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usar" sheetId="1" r:id="rId5"/>
    <sheet state="visible" name="Time" sheetId="2" r:id="rId6"/>
    <sheet state="visible" name="Rotação" sheetId="3" r:id="rId7"/>
    <sheet state="visible" name="Perfis de buff" sheetId="4" r:id="rId8"/>
    <sheet state="visible" name="Resultado" sheetId="5" r:id="rId9"/>
    <sheet state="visible" name="Golpes extras" sheetId="6" r:id="rId10"/>
    <sheet state="visible" name="Dano fixo" sheetId="7" r:id="rId11"/>
    <sheet state="visible" name="Personagens (efeitos)" sheetId="8" r:id="rId12"/>
    <sheet state="visible" name="Armas (efeitos)" sheetId="9" r:id="rId13"/>
    <sheet state="visible" name="Sets (efeitos)" sheetId="10" r:id="rId14"/>
    <sheet state="visible" name="Stats" sheetId="11" r:id="rId15"/>
    <sheet state="visible" name="Cálculos" sheetId="12" r:id="rId16"/>
    <sheet state="visible" name="Otimizador" sheetId="13" r:id="rId17"/>
    <sheet state="visible" name="Otimizador (sem fixo)" sheetId="14" r:id="rId18"/>
    <sheet state="visible" name="Fixo (cálculo)" sheetId="15" r:id="rId19"/>
    <sheet state="visible" name="Listas" sheetId="16" r:id="rId20"/>
    <sheet state="visible" name="L_Personagens" sheetId="17" r:id="rId21"/>
    <sheet state="visible" name="L_Armas" sheetId="18" r:id="rId22"/>
    <sheet state="visible" name="L_Sets" sheetId="19" r:id="rId23"/>
    <sheet state="visible" name="L_Golpes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Cada peça pode ser 5★ ou 4★ (ex.: Instructor 4★ com um coringa 5★). Muda main stat, valor dos rolls, rolls por peça e o limite de rolls.</t>
      </text>
    </comment>
    <comment authorId="0" ref="A27">
      <text>
        <t xml:space="preserve">Padrão KQM: todo substatus tem 2 rolls fixos; o otimizador distribui o resto.</t>
      </text>
    </comment>
    <comment authorId="0" ref="A21">
      <text>
        <t xml:space="preserve">Total de rolls em CR+CD, já contando os 2 mínimos de cada. Ex.: 25 com 45 rolls e mínimo 2 = 25 em crítico, 10 úteis (ATK%/EM/ER/escala) e 10 inúteis. O otimizador ainda escolhe a divisão CR/CD e a divisão dos úteis. Vazio = otimiza tudo.</t>
      </text>
    </comment>
    <comment authorId="0" ref="A20">
      <text>
        <t xml:space="preserve">Vazio = 9 rolls por peça 5★ + 7 por peça 4★. Preencha para forçar outro total.</t>
      </text>
    </comment>
    <comment authorId="0" ref="A19">
      <text>
        <t xml:space="preserve">O otimizador coloca rolls em ER primeiro até chegar nesse valor.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Soma/subtrai DMG% só nesta linha. Ex.: o A4 da Mavuika (40%) decaindo: -2%, -4%...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Golpe = golpe base do Lunaris (no nível de talento escolhido) + as escalas extras. Use para bônus de passivas/constelações. Não deixe linhas vazias no meio.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Buffs que somam DANO FIXO a cada hit (quills do Shenhe, Lead Vocal/Chorus da Vodyanitsa, Yun Jin...). Valor por hit = coeficiente × (stat FINAL da fonte − limiar), até o máximo. Os stacks são consumidos pelos primeiros hits da Rotação que batem com alvo/elemento/tipo.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Só precisa de linha quem tem passiva/buff que entra na conta. Quem não estiver aqui conta como zero.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ATK base e substat vêm do Lunaris. Aqui só a passiva (números na condição que você joga).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O texto dos efeitos está na aba L_Sets (do Lunaris). Aqui você coloca os números.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 preenchida pelo Apps Script (Genshin → Atualizar dados do Lunaris). Não edite à mão.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 preenchida pelo Apps Script (Genshin → Atualizar dados do Lunaris). Não edite à mão.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 preenchida pelo Apps Script (Genshin → Atualizar dados do Lunaris). Não edite à mão.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 preenchida pelo Apps Script (Genshin → Atualizar dados do Lunaris). Não edite à mão.</t>
      </text>
    </comment>
  </commentList>
</comments>
</file>

<file path=xl/sharedStrings.xml><?xml version="1.0" encoding="utf-8"?>
<sst xmlns="http://schemas.openxmlformats.org/spreadsheetml/2006/main" count="1758" uniqueCount="891">
  <si>
    <t>Como usar</t>
  </si>
  <si>
    <t>Time e configurações</t>
  </si>
  <si>
    <t>Primeira vez (Google Sheets)</t>
  </si>
  <si>
    <t>1. Arquivo → Importar → envie este .xlsx → 'Criar nova planilha'.</t>
  </si>
  <si>
    <t>Perfis de buff — quais buffs do time valem em cada parte da rotação</t>
  </si>
  <si>
    <t>Rotação</t>
  </si>
  <si>
    <t>2. Extensões → Apps Script → apague o código, cole o conteúdo de Lunaris.gs, salve. Recarregue a planilha.</t>
  </si>
  <si>
    <t>3. Menu Genshin → 'Aplicar caixas de seleção e listas' (autorize). Depois Genshin → 'Atualizar dados do Lunaris'.</t>
  </si>
  <si>
    <t>4. Opcional: Genshin → 'Atualizar automaticamente todo dia'.</t>
  </si>
  <si>
    <t>5. Para as listas virarem 'chips': selecione a célula → Dados → Validação de dados → Avançado → Estilo de exibição: Chip.</t>
  </si>
  <si>
    <t>Uso normal</t>
  </si>
  <si>
    <t>• Time: personagem, arma, sets, main stats, raridade de cada peça (caixa marcada = 5★) e nível dos talentos.</t>
  </si>
  <si>
    <t>Amarelo = você escolhe. Caixa marcada em '5★?' = peça 5 estrelas; desmarcada = 4 estrelas.</t>
  </si>
  <si>
    <t>• Rotação: uma linha por golpe — a lista mostra só os golpes dos 4 do time (+ Golpes extras).</t>
  </si>
  <si>
    <t>• Perfis de buff: cada linha da Rotação escolhe um perfil (Todos, Nenhum ou um que você monta) dizendo quais buffs do</t>
  </si>
  <si>
    <t xml:space="preserve">   time ainda estão ativos naquele trecho (ex.: depois que o Supremo da Iansan acaba).</t>
  </si>
  <si>
    <t>• Resultado: atributos finais, melhor distribuição de substatus, dano e DPS. 'Avisos' indica o que falta cadastrar.</t>
  </si>
  <si>
    <t>Cada linha da Rotação escolhe um perfil. Marque quais fontes de buff do time estão ativas naquele perfil. 'personagem' = buff do próprio personagem (ex.: ATK fixo do Bennett); 'arma/set' = buffs de time da arma e do set (ex.: Noblesse, Instructor). Rótulos = buffs extras da aba Time com aquele rótulo.</t>
  </si>
  <si>
    <t>De onde vem cada coisa</t>
  </si>
  <si>
    <t>• Abas azuis (L_*): Lunaris — stats base, armas, sets e multiplicadores de todos os talentos (nv 1–15). Não edite.</t>
  </si>
  <si>
    <t>• 'Personagens/Armas/Sets (efeitos)': números das passivas na condição que você joga. Sem linha = zero.</t>
  </si>
  <si>
    <t>• 'Golpes extras': golpe do Lunaris + escala extra (ex.: Fighting Spirit da Mavuika, bônus de EM da Citlali).</t>
  </si>
  <si>
    <t>• 'Dano fixo': buffs que somam dano fixo por hit (quills do Shenhe, Lead Vocal/Chorus da Vodyanitsa, Yun Jin). O valor usa o stat</t>
  </si>
  <si>
    <t xml:space="preserve">   final de quem dá o buff, e os stacks são gastos pelos primeiros hits da Rotação que batem com alvo/elemento/tipo.</t>
  </si>
  <si>
    <t>Limitações</t>
  </si>
  <si>
    <t>• Raridade mista: o valor de cada roll é a média ponderada entre peças 5★ (9 rolls) e 4★ (7 rolls).</t>
  </si>
  <si>
    <t>• O otimizador escolhe a escala principal (ATK, HP ou DEF) pelo peso na rotação; rolls vão para CR, CD, esse % e EM.</t>
  </si>
  <si>
    <t>Perfil</t>
  </si>
  <si>
    <t>• Buff de ATK fixo da Iansan usa o ATK dela só com os rolls mínimos (evita referência circular).</t>
  </si>
  <si>
    <t>• Taxa/dano crit extras valem para a rotação inteira.</t>
  </si>
  <si>
    <t>Preencha só A–E. A lista de golpes mostra os golpes dos 4 do time + os 'Golpes extras'. Desmarque 'Buffs do time' quando os buffs já acabaram.</t>
  </si>
  <si>
    <t>Slot 1</t>
  </si>
  <si>
    <t>Slot 2</t>
  </si>
  <si>
    <t>Slot 3</t>
  </si>
  <si>
    <t>Slot 4</t>
  </si>
  <si>
    <t>Personagem</t>
  </si>
  <si>
    <t>Golpe</t>
  </si>
  <si>
    <t>Hits</t>
  </si>
  <si>
    <t>Reação</t>
  </si>
  <si>
    <t>Perfil de buffs</t>
  </si>
  <si>
    <t>Ajuste DMG% (linha)</t>
  </si>
  <si>
    <t>Golpe extra?</t>
  </si>
  <si>
    <t>Golpe base</t>
  </si>
  <si>
    <t>Linha em L_Golpes</t>
  </si>
  <si>
    <t>Slot</t>
  </si>
  <si>
    <t>Tipo</t>
  </si>
  <si>
    <t>Mavuika</t>
  </si>
  <si>
    <t>Talento</t>
  </si>
  <si>
    <t>Nível</t>
  </si>
  <si>
    <t>Escala ATK</t>
  </si>
  <si>
    <t>Escala EM</t>
  </si>
  <si>
    <t>Escala HP</t>
  </si>
  <si>
    <t>Escala DEF</t>
  </si>
  <si>
    <t>Elemento</t>
  </si>
  <si>
    <t>Reação efetiva</t>
  </si>
  <si>
    <t>Perfil (efetivo)</t>
  </si>
  <si>
    <t>DMG% total</t>
  </si>
  <si>
    <t>Citlali</t>
  </si>
  <si>
    <t>Mult. DEF</t>
  </si>
  <si>
    <t>Mult. RES</t>
  </si>
  <si>
    <t>Fator (hits×DMG×DEF×RES)</t>
  </si>
  <si>
    <t>Iansan</t>
  </si>
  <si>
    <t>Fator × ATK</t>
  </si>
  <si>
    <t>Fator × EM</t>
  </si>
  <si>
    <t>Bennett</t>
  </si>
  <si>
    <t>Fator × HP</t>
  </si>
  <si>
    <t>Fator × DEF</t>
  </si>
  <si>
    <t>ATK usado</t>
  </si>
  <si>
    <t>Arma</t>
  </si>
  <si>
    <t>EM usada</t>
  </si>
  <si>
    <t>HP usado</t>
  </si>
  <si>
    <t>DEF usada</t>
  </si>
  <si>
    <t>Mult. reação</t>
  </si>
  <si>
    <t>A Thousand Blazing Suns</t>
  </si>
  <si>
    <t>Dano (sem crit)</t>
  </si>
  <si>
    <t>Thrilling Tales of Dragon Slayers</t>
  </si>
  <si>
    <t>Dano (crit)</t>
  </si>
  <si>
    <t>Dano (média)</t>
  </si>
  <si>
    <t>Engulfing Lightning</t>
  </si>
  <si>
    <t>Dano fixo recebido (soma)</t>
  </si>
  <si>
    <t>Fator dano fixo</t>
  </si>
  <si>
    <t>Notas (livre)</t>
  </si>
  <si>
    <t>Absolution</t>
  </si>
  <si>
    <t>Set principal (4 peças)</t>
  </si>
  <si>
    <t>Obsidian Codex</t>
  </si>
  <si>
    <t>Instructor</t>
  </si>
  <si>
    <t>Scroll of the Hero of Cinder City</t>
  </si>
  <si>
    <t>Noblesse Oblige</t>
  </si>
  <si>
    <t>Set secundário (opcional → vira 2+2)</t>
  </si>
  <si>
    <t>Areia (main)</t>
  </si>
  <si>
    <t>EM</t>
  </si>
  <si>
    <t>ER</t>
  </si>
  <si>
    <t>ATK%</t>
  </si>
  <si>
    <t>Mavuika - Habilidade: Flamestrider Charged Attack Cyclic DMG</t>
  </si>
  <si>
    <t>Cálice (main)</t>
  </si>
  <si>
    <t>DMG% elemental</t>
  </si>
  <si>
    <t>Extras sem rótulo</t>
  </si>
  <si>
    <t>Derreter</t>
  </si>
  <si>
    <t>TTDS</t>
  </si>
  <si>
    <t>Tiara (main)</t>
  </si>
  <si>
    <t>CD</t>
  </si>
  <si>
    <t>CR</t>
  </si>
  <si>
    <t>Scroll</t>
  </si>
  <si>
    <t>Rótulo 3</t>
  </si>
  <si>
    <t>Rótulo 4</t>
  </si>
  <si>
    <t>Todos</t>
  </si>
  <si>
    <t>Flor 5★?</t>
  </si>
  <si>
    <t>Sim</t>
  </si>
  <si>
    <t>Pena 5★?</t>
  </si>
  <si>
    <t>Areia 5★?</t>
  </si>
  <si>
    <t>Iansan (início)</t>
  </si>
  <si>
    <t>Cálice 5★?</t>
  </si>
  <si>
    <t>Não</t>
  </si>
  <si>
    <t>Tiara 5★?</t>
  </si>
  <si>
    <t>Nível do talento: Ataque normal</t>
  </si>
  <si>
    <t>Pós-Supremo</t>
  </si>
  <si>
    <t>Resultado</t>
  </si>
  <si>
    <t>Nível do talento: Habilidade</t>
  </si>
  <si>
    <t>Tudo calculado. Os substatus são a melhor distribuição encontrada pelo otimizador.</t>
  </si>
  <si>
    <t>Nível do talento: Supremo</t>
  </si>
  <si>
    <t>Final</t>
  </si>
  <si>
    <t>ER mínimo desejado</t>
  </si>
  <si>
    <t>Rolls totais (vazio = automático)</t>
  </si>
  <si>
    <t>Nenhum</t>
  </si>
  <si>
    <t>Rolls em crítico CR+CD (vazio = otimizar)</t>
  </si>
  <si>
    <t>Configurações gerais</t>
  </si>
  <si>
    <t>Valor</t>
  </si>
  <si>
    <t>Nível dos personagens</t>
  </si>
  <si>
    <t>Nível do inimigo</t>
  </si>
  <si>
    <t>Auxiliar (não editar)</t>
  </si>
  <si>
    <t>RES base do inimigo</t>
  </si>
  <si>
    <t>Redução de DEF do inimigo</t>
  </si>
  <si>
    <t>Rolls mínimos em cada substatus</t>
  </si>
  <si>
    <t>Duração da rotação (s)</t>
  </si>
  <si>
    <t>Set</t>
  </si>
  <si>
    <t>Buffs extras (o que não vem automático de personagem/arma/set)</t>
  </si>
  <si>
    <t>Alvo (personagem ou Todos)</t>
  </si>
  <si>
    <t>Stat</t>
  </si>
  <si>
    <t>É buff do time? (segue o perfil)</t>
  </si>
  <si>
    <t>Descrição</t>
  </si>
  <si>
    <t>Rótulo (perfis de buff)</t>
  </si>
  <si>
    <t>(auxiliar)</t>
  </si>
  <si>
    <t>TTDS R5 da Citlali (10 s após a troca em 6,7 s)</t>
  </si>
  <si>
    <t>DMG%</t>
  </si>
  <si>
    <t>Scroll da Iansan (12% + 28% Nightsoul) — Pyro/Electro</t>
  </si>
  <si>
    <t>Scroll da Iansan</t>
  </si>
  <si>
    <t>Scroll da Iansan (depois da reação dela)</t>
  </si>
  <si>
    <t>Peças 5★ / 4★</t>
  </si>
  <si>
    <t>Da planilha original — origem não identificada, confirme</t>
  </si>
  <si>
    <t>Areia / Cálice / Tiara</t>
  </si>
  <si>
    <t>Valores fixos (ATK, EM, HP, DEF) em número; o resto em %. Taxa/dano crit extras valem sempre.</t>
  </si>
  <si>
    <t>Avisos</t>
  </si>
  <si>
    <t>Dica: 'Todos' e 'Nenhum' equivalem ao antigo Sim/Não. Renomeie os perfis 2–4 (ex.: 'Pós-Supremo') e marque o que ainda está ativo naquele trecho da rotação.</t>
  </si>
  <si>
    <t>Atributos finais</t>
  </si>
  <si>
    <t>Escala principal</t>
  </si>
  <si>
    <t>ATK (perfil Todos)</t>
  </si>
  <si>
    <t>HP</t>
  </si>
  <si>
    <t>DEF</t>
  </si>
  <si>
    <t>EM (perfil Todos)</t>
  </si>
  <si>
    <t>Recarga de energia</t>
  </si>
  <si>
    <t>Nome do golpe extra</t>
  </si>
  <si>
    <t>Golpe base (Lunaris)</t>
  </si>
  <si>
    <t>Personagem (se não houver base)</t>
  </si>
  <si>
    <t>Tipo (opcional)</t>
  </si>
  <si>
    <t>+ escala ATK</t>
  </si>
  <si>
    <t>+ escala EM</t>
  </si>
  <si>
    <t>+ escala HP</t>
  </si>
  <si>
    <t>+ escala DEF</t>
  </si>
  <si>
    <t>Por que existe</t>
  </si>
  <si>
    <t>Mavuika - Carregado no Supremo</t>
  </si>
  <si>
    <t>Taxa crítica</t>
  </si>
  <si>
    <t>Supremo: 200 Fighting Spirit × 1,02% ATK (nv 10 do Supremo, Lunaris). Mude se o nível mudar.</t>
  </si>
  <si>
    <t>Mavuika - Carregado final no Supremo</t>
  </si>
  <si>
    <t>Mavuika - Habilidade: Flamestrider Charged Attack Final DMG</t>
  </si>
  <si>
    <t>Idem.</t>
  </si>
  <si>
    <t>Mavuika - Supremo (200 FS)</t>
  </si>
  <si>
    <t>Mavuika - Supremo: Skill DMG</t>
  </si>
  <si>
    <t>Sunfell Slice: 200 Fighting Spirit × 2,88% ATK (nv 10).</t>
  </si>
  <si>
    <t>Citlali - Obsidian Tzitzimitl (+EM)</t>
  </si>
  <si>
    <t>Citlali - Habilidade: Obsidian Tzitzimitl DMG</t>
  </si>
  <si>
    <t>Sem bônus de EM: a passiva p2 vale só para Frostfall Storm e Ice Storm (Lunaris).</t>
  </si>
  <si>
    <t>Citlali - Frostfall Storm (+EM)</t>
  </si>
  <si>
    <t>Citlali - Habilidade: Frostfall Storm DMG</t>
  </si>
  <si>
    <t>Dano crítico</t>
  </si>
  <si>
    <t>Bônus de 90% EM da sua planilha (passiva).</t>
  </si>
  <si>
    <t>Citlali - Ice Storm (+EM)</t>
  </si>
  <si>
    <t>Citlali - Supremo: Ice Storm DMG</t>
  </si>
  <si>
    <t>Bônus de 1200% EM da sua planilha (passiva).</t>
  </si>
  <si>
    <t>Bônus de DMG geral (com time)</t>
  </si>
  <si>
    <t>Nome do buff</t>
  </si>
  <si>
    <t>Fonte (quem dá)</t>
  </si>
  <si>
    <t>Stat da fonte</t>
  </si>
  <si>
    <t>Coeficiente (por ponto de stat)</t>
  </si>
  <si>
    <t>Só conta acima de (limiar)</t>
  </si>
  <si>
    <t>Máximo por hit (vazio = sem)</t>
  </si>
  <si>
    <t>Alvos (nomes separados por vírgula, ou Todos)</t>
  </si>
  <si>
    <t>Elementos (vazio = todos)</t>
  </si>
  <si>
    <t>Tipos de golpe (vazio = todos)</t>
  </si>
  <si>
    <t>Stacks = nº de hits (vazio = ilimitado)</t>
  </si>
  <si>
    <t>Ativo?</t>
  </si>
  <si>
    <t>Valor por hit (calculado)</t>
  </si>
  <si>
    <t>Observações</t>
  </si>
  <si>
    <t>Melhor distribuição de substatus (rolls, já contando os mínimos)</t>
  </si>
  <si>
    <t>Lead Vocal (Vodyanitsa)</t>
  </si>
  <si>
    <t>Taxa crítica (CR)</t>
  </si>
  <si>
    <t>Vodyanitsa</t>
  </si>
  <si>
    <t>Skirk</t>
  </si>
  <si>
    <t>Hydro,Cryo</t>
  </si>
  <si>
    <t>Normal,Carregado,Outro,Habilidade,Supremo</t>
  </si>
  <si>
    <t>Dano crítico (CD)</t>
  </si>
  <si>
    <t>+140 por 1000 HP acima de 40k, máx. 3500. Alvo = personagem em campo.</t>
  </si>
  <si>
    <t>Chorus (Vodyanitsa)</t>
  </si>
  <si>
    <t>HP%</t>
  </si>
  <si>
    <t>Furina,Escoffier</t>
  </si>
  <si>
    <t>DEF%</t>
  </si>
  <si>
    <t>Igual ao Lead Vocal, para quem está fora de campo (10 stacks no total).</t>
  </si>
  <si>
    <t>Recarga (ER)</t>
  </si>
  <si>
    <t>C  6,9 s — antes do Q (sem Fighting Spirit, sem A4)</t>
  </si>
  <si>
    <t>ATK / HP / DEF fixos (cada)</t>
  </si>
  <si>
    <t>Total de rolls usados</t>
  </si>
  <si>
    <t>Rolls disponíveis</t>
  </si>
  <si>
    <t>Dano na rotação</t>
  </si>
  <si>
    <t>Dano sem crit</t>
  </si>
  <si>
    <t>Dano com crit</t>
  </si>
  <si>
    <t>Dano médio</t>
  </si>
  <si>
    <t>% do dano do time</t>
  </si>
  <si>
    <t>Time</t>
  </si>
  <si>
    <t>Dano total médio (DPR)</t>
  </si>
  <si>
    <t>DPS médio</t>
  </si>
  <si>
    <t>Dano total com crit</t>
  </si>
  <si>
    <t>Dano total sem crit</t>
  </si>
  <si>
    <t>ATK% (passivas)</t>
  </si>
  <si>
    <t>DMG% (passivas)</t>
  </si>
  <si>
    <t>Taxa crit (passivas)</t>
  </si>
  <si>
    <t>Dano crit (passivas)</t>
  </si>
  <si>
    <t>EM (passivas)</t>
  </si>
  <si>
    <t>Buff ATK fixo ao time: coef × ATK base</t>
  </si>
  <si>
    <t>Buff ATK fixo ao time: coef × ATK total</t>
  </si>
  <si>
    <t>Limite desse buff</t>
  </si>
  <si>
    <t>Buff vale para si mesmo?</t>
  </si>
  <si>
    <t>Redução de RES no inimigo</t>
  </si>
  <si>
    <t>Elementos afetados</t>
  </si>
  <si>
    <t>Fonte / observações</t>
  </si>
  <si>
    <t>A1 +30% ATK (Lunaris p1); A4 +40% DMG decaindo (use 'Ajuste DMG%' na Rotação).</t>
  </si>
  <si>
    <t>Pyro,Hydro</t>
  </si>
  <si>
    <t>Reduz RES Pyro/Hydro em 20%.</t>
  </si>
  <si>
    <t>Supremo: ATK fixo = 37% do ATK dela, máx. 810 (sua planilha).</t>
  </si>
  <si>
    <t>Supremo: 139% do ATK base (nv 13 + C1, sua planilha).</t>
  </si>
  <si>
    <t>ATK% (passiva)</t>
  </si>
  <si>
    <t>DMG% (passiva)</t>
  </si>
  <si>
    <t>Taxa crit (passiva)</t>
  </si>
  <si>
    <t>Dano crit (passiva)</t>
  </si>
  <si>
    <t>EM (passiva)</t>
  </si>
  <si>
    <t>ER (passiva)</t>
  </si>
  <si>
    <t>ATK% por ER acima de 100% (coef)</t>
  </si>
  <si>
    <t>Limite ATK% por ER</t>
  </si>
  <si>
    <t>Buff ao time: ATK%</t>
  </si>
  <si>
    <t>Buff ao time: DMG%</t>
  </si>
  <si>
    <t>Buff ao time: EM</t>
  </si>
  <si>
    <t>R1 em Nightsoul (×1,75): 28%→49% ATK, 20%→35% CD.</t>
  </si>
  <si>
    <t>Vai só ao PRÓXIMO personagem: use 'Buffs extras' (R5 = 48%).</t>
  </si>
  <si>
    <t>R1: ATK% = 28% do ER acima de 100%, máx. 80%.</t>
  </si>
  <si>
    <t>R1: +20% dano crit (stacks de DMG não incluídos).</t>
  </si>
  <si>
    <t>Wolf's Gravestone</t>
  </si>
  <si>
    <t>R1: +20% ATK (buff condicional de time não incluído).</t>
  </si>
  <si>
    <t>Serpent Spine</t>
  </si>
  <si>
    <t>R1, 5 stacks.</t>
  </si>
  <si>
    <t>Beacon of the Reed Sea</t>
  </si>
  <si>
    <t>R1: 20% + 20%.</t>
  </si>
  <si>
    <t>8.0 s · Q  7,4 s</t>
  </si>
  <si>
    <t>Nenhuma</t>
  </si>
  <si>
    <t>2 peças: stat</t>
  </si>
  <si>
    <t>2 peças: valor</t>
  </si>
  <si>
    <t>4 peças: ATK%</t>
  </si>
  <si>
    <t>4 peças: DMG%</t>
  </si>
  <si>
    <t>4 peças: Taxa crit</t>
  </si>
  <si>
    <t>4 peças: Dano crit</t>
  </si>
  <si>
    <t>4 peças: EM</t>
  </si>
  <si>
    <t>4 peças: DMG% Normal</t>
  </si>
  <si>
    <t>4 peças: DMG% Carregado</t>
  </si>
  <si>
    <t>4 peças: DMG% Habilidade</t>
  </si>
  <si>
    <t>4 peças: DMG% Supremo</t>
  </si>
  <si>
    <t>4 peças: bônus Derreter</t>
  </si>
  <si>
    <t>4 peças: bônus Vaporizar</t>
  </si>
  <si>
    <t>4 peças → time: ATK%</t>
  </si>
  <si>
    <t>4 peças → time: DMG%</t>
  </si>
  <si>
    <t>4 peças → time: EM</t>
  </si>
  <si>
    <t>12% + 28% em Nightsoul</t>
  </si>
  <si>
    <t>DMG% Supremo</t>
  </si>
  <si>
    <t>Crimson Witch of Flames</t>
  </si>
  <si>
    <t>1 stack</t>
  </si>
  <si>
    <t>Gladiator's Finale</t>
  </si>
  <si>
    <t>Shimenawa's Reminiscence</t>
  </si>
  <si>
    <t>8.2 s · c</t>
  </si>
  <si>
    <t>Mavuika - Habilidade: Flamestrider Sprint DMG</t>
  </si>
  <si>
    <t>Main stats e substatus</t>
  </si>
  <si>
    <t>Areia</t>
  </si>
  <si>
    <t>Cálculos por personagem (não editar)</t>
  </si>
  <si>
    <t>5★</t>
  </si>
  <si>
    <t>4★</t>
  </si>
  <si>
    <t>Cálice</t>
  </si>
  <si>
    <t>Tiara</t>
  </si>
  <si>
    <t>Item</t>
  </si>
  <si>
    <t>Obs</t>
  </si>
  <si>
    <t>Escolhas</t>
  </si>
  <si>
    <t>Cura</t>
  </si>
  <si>
    <t>Peça fixa</t>
  </si>
  <si>
    <t>8.9 s · d</t>
  </si>
  <si>
    <t>Flor (HP)</t>
  </si>
  <si>
    <t>Pena (ATK)</t>
  </si>
  <si>
    <t>Substatus</t>
  </si>
  <si>
    <t>Valor por roll 5★</t>
  </si>
  <si>
    <t>Valor por roll 4★</t>
  </si>
  <si>
    <t>Linha em L_Personagens</t>
  </si>
  <si>
    <t>ATK</t>
  </si>
  <si>
    <t>Máx. de rolls de um mesmo substat por peça</t>
  </si>
  <si>
    <t>Rolls de substatus por peça (iniciais + upgrades)</t>
  </si>
  <si>
    <t>Linha em Personagens (efeitos)</t>
  </si>
  <si>
    <t>Valores por roll = os da sua planilha (média de roll, padrão KQM). 5★: 4 iniciais + 5 upgrades = 9; 4★: 3 iniciais + 4 upgrades = 7.</t>
  </si>
  <si>
    <t>Linha em L_Armas</t>
  </si>
  <si>
    <t>Linha em Armas (efeitos)</t>
  </si>
  <si>
    <t>Set principal em Sets (efeitos)</t>
  </si>
  <si>
    <t>Set secundário em Sets (efeitos)</t>
  </si>
  <si>
    <t>Bônus de 4 peças ativo (1/0)</t>
  </si>
  <si>
    <t>Nível talento normal</t>
  </si>
  <si>
    <t>Nível talento habilidade</t>
  </si>
  <si>
    <t>Otimizador de substatus (busca exata por fórmulas)</t>
  </si>
  <si>
    <t>Nível talento supremo</t>
  </si>
  <si>
    <t>Não editar. Dano = (fator crítico) × (fator ATK/HP/DEF + EM). Para cada k rolls em crítico, acha a melhor divisão CR/CD e a melhor divisão escala%/EM do resto; fica com o melhor k. ER recebe só o necessário p/ o mínimo.</t>
  </si>
  <si>
    <t>k = rolls em crítico</t>
  </si>
  <si>
    <t>Melhor fator crítico</t>
  </si>
  <si>
    <t>m = rolls em escala%/EM</t>
  </si>
  <si>
    <t>Melhor fator escala/EM</t>
  </si>
  <si>
    <t>Dano (k)</t>
  </si>
  <si>
    <t>Divisão CR/CD no k escolhido</t>
  </si>
  <si>
    <t>Divisão escala%/EM no m escolhido</t>
  </si>
  <si>
    <t>Lunaris: personagem e arma</t>
  </si>
  <si>
    <t>HP base</t>
  </si>
  <si>
    <t>ATK base</t>
  </si>
  <si>
    <t>DEF base</t>
  </si>
  <si>
    <t>Stat de ascensão</t>
  </si>
  <si>
    <t>Valor ascensão</t>
  </si>
  <si>
    <t>Otimizador sem dano fixo (só para calcular o stat de quem DÁ dano fixo)</t>
  </si>
  <si>
    <t>Arma: ATK base</t>
  </si>
  <si>
    <t>Arma: substat</t>
  </si>
  <si>
    <t>9.5 s · C</t>
  </si>
  <si>
    <t>Arma: valor substat</t>
  </si>
  <si>
    <t>Efeitos cadastrados (personagem / arma / sets)</t>
  </si>
  <si>
    <t>Personagem: ATK% (passivas)</t>
  </si>
  <si>
    <t>Personagem: DMG% (passivas)</t>
  </si>
  <si>
    <t>Personagem: Taxa crit (passivas)</t>
  </si>
  <si>
    <t>Personagem: Dano crit (passivas)</t>
  </si>
  <si>
    <t>Personagem: EM (passivas)</t>
  </si>
  <si>
    <t>Personagem: Buff ATK fixo ao time: coef × ATK base</t>
  </si>
  <si>
    <t>Personagem: Buff ATK fixo ao time: coef × ATK total</t>
  </si>
  <si>
    <t>Personagem: Limite desse buff</t>
  </si>
  <si>
    <t>Personagem: Buff vale para si mesmo?</t>
  </si>
  <si>
    <t>Personagem: Redução de RES no inimigo</t>
  </si>
  <si>
    <t>Personagem: Elementos afetados</t>
  </si>
  <si>
    <t>Arma: ATK% (passiva)</t>
  </si>
  <si>
    <t>Arma: DMG% (passiva)</t>
  </si>
  <si>
    <t>Arma: Taxa crit (passiva)</t>
  </si>
  <si>
    <t>Arma: Dano crit (passiva)</t>
  </si>
  <si>
    <t>10.2 s · c</t>
  </si>
  <si>
    <t>Arma: EM (passiva)</t>
  </si>
  <si>
    <t>Arma: ER (passiva)</t>
  </si>
  <si>
    <t>Arma: ATK% por ER acima de 100% (coef)</t>
  </si>
  <si>
    <t>Arma: Limite ATK% por ER</t>
  </si>
  <si>
    <t>Arma: Buff ao time: ATK%</t>
  </si>
  <si>
    <t>Arma: Buff ao time: DMG%</t>
  </si>
  <si>
    <t>Arma: Buff ao time: EM</t>
  </si>
  <si>
    <t>Set principal: 2 peças stat</t>
  </si>
  <si>
    <t>Set principal: 2 peças valor</t>
  </si>
  <si>
    <t>Set secundário: 2 peças stat</t>
  </si>
  <si>
    <t>Set secundário: 2 peças valor</t>
  </si>
  <si>
    <t>Set principal: 4 peças: ATK%</t>
  </si>
  <si>
    <t>Set principal: 4 peças: DMG%</t>
  </si>
  <si>
    <t>Set principal: 4 peças: Taxa crit</t>
  </si>
  <si>
    <t>Set principal: 4 peças: Dano crit</t>
  </si>
  <si>
    <t>Set principal: 4 peças: EM</t>
  </si>
  <si>
    <t>Set principal: 4 peças: DMG% Normal</t>
  </si>
  <si>
    <t>10.8 s · c</t>
  </si>
  <si>
    <t>Set principal: 4 peças: DMG% Carregado</t>
  </si>
  <si>
    <t>Set principal: 4 peças: DMG% Habilidade</t>
  </si>
  <si>
    <t>Set principal: 4 peças: DMG% Supremo</t>
  </si>
  <si>
    <t>Set principal: 4 peças: bônus Derreter</t>
  </si>
  <si>
    <t>Set principal: 4 peças: bônus Vaporizar</t>
  </si>
  <si>
    <t>Set principal: 4 peças → time: ATK%</t>
  </si>
  <si>
    <t>Set principal: 4 peças → time: DMG%</t>
  </si>
  <si>
    <t>Set principal: 4 peças → time: EM</t>
  </si>
  <si>
    <t>Artefatos: raridade e main stats</t>
  </si>
  <si>
    <t>Flor 5★ (5 ou 4)</t>
  </si>
  <si>
    <t>Pena 5★ (5 ou 4)</t>
  </si>
  <si>
    <t>Areia 5★ (5 ou 4)</t>
  </si>
  <si>
    <t>Cálice 5★ (5 ou 4)</t>
  </si>
  <si>
    <t>Tiara 5★ (5 ou 4)</t>
  </si>
  <si>
    <t>Peças 5★</t>
  </si>
  <si>
    <t>Rolls vindos de peças 5★</t>
  </si>
  <si>
    <t>Rolls vindos de peças 4★</t>
  </si>
  <si>
    <t>11.5 s · F</t>
  </si>
  <si>
    <t>Areia: stat</t>
  </si>
  <si>
    <t>Cálice: stat</t>
  </si>
  <si>
    <t>Tiara: stat</t>
  </si>
  <si>
    <t>Areia: valor</t>
  </si>
  <si>
    <t>Cálice: valor</t>
  </si>
  <si>
    <t>Tiara: valor</t>
  </si>
  <si>
    <t>Pena: ATK fixo</t>
  </si>
  <si>
    <t>Flor: HP fixo</t>
  </si>
  <si>
    <t>Máx. rolls de um substat (F)</t>
  </si>
  <si>
    <t>Máx. rolls de um substat (P)</t>
  </si>
  <si>
    <t>Máx. rolls de um substat (S)</t>
  </si>
  <si>
    <t>Máx. rolls de um substat (G)</t>
  </si>
  <si>
    <t>Máx. rolls de um substat (C)</t>
  </si>
  <si>
    <t>Valor médio por roll (ponderado pela raridade das peças)</t>
  </si>
  <si>
    <t>Roll de CR</t>
  </si>
  <si>
    <t>Roll de CD</t>
  </si>
  <si>
    <t>12.1 s · [d</t>
  </si>
  <si>
    <t>Roll de ATK%</t>
  </si>
  <si>
    <t>Roll de EM</t>
  </si>
  <si>
    <t>Roll de ER</t>
  </si>
  <si>
    <t>Roll de ATK</t>
  </si>
  <si>
    <t>Roll de HP%</t>
  </si>
  <si>
    <t>Roll de HP</t>
  </si>
  <si>
    <t>Roll de DEF%</t>
  </si>
  <si>
    <t>Roll de DEF</t>
  </si>
  <si>
    <t>Atributos próprios (sem substatus e sem buffs do time)</t>
  </si>
  <si>
    <t>ATK fixo (sem a pena)</t>
  </si>
  <si>
    <t>12.8 s · c</t>
  </si>
  <si>
    <t>ER (além dos 100%)</t>
  </si>
  <si>
    <t>Taxa crit (além dos 5%)</t>
  </si>
  <si>
    <t>Dano crit (além dos 50%)</t>
  </si>
  <si>
    <t>13.5 s · F]</t>
  </si>
  <si>
    <t>DMG% Normal</t>
  </si>
  <si>
    <t>DMG% Carregado</t>
  </si>
  <si>
    <t>14.1 s · [d</t>
  </si>
  <si>
    <t>DMG% Habilidade</t>
  </si>
  <si>
    <t>14.8 s · c  — Crucible acabou em 14,4 s</t>
  </si>
  <si>
    <t>HP fixo (sem a flor)</t>
  </si>
  <si>
    <t>Bônus de reação: Derreter</t>
  </si>
  <si>
    <t>Bônus de reação: Vaporizar</t>
  </si>
  <si>
    <t>Multiplicador Derreter do elemento</t>
  </si>
  <si>
    <t>Multiplicador Vaporizar do elemento</t>
  </si>
  <si>
    <t>Buffs que este personagem dá ao time</t>
  </si>
  <si>
    <t>15.4 s · F]</t>
  </si>
  <si>
    <t>ATK% ao time</t>
  </si>
  <si>
    <t>DMG% ao time</t>
  </si>
  <si>
    <t>EM ao time</t>
  </si>
  <si>
    <t>ATK base (personagem + arma)</t>
  </si>
  <si>
    <t>Ressonância Pyro (2+ Pyro: +25% ATK)</t>
  </si>
  <si>
    <t>ATK% recebido do time (perfil 1)</t>
  </si>
  <si>
    <t>ATK% recebido do time (perfil 2)</t>
  </si>
  <si>
    <t>ATK% recebido do time (perfil 3)</t>
  </si>
  <si>
    <t>ATK% recebido do time (perfil 4)</t>
  </si>
  <si>
    <t>16.1 s · [d  — Noblesse acabou ~16 s</t>
  </si>
  <si>
    <t>ATK% recebido do time (perfil 5)</t>
  </si>
  <si>
    <t>ER só com os rolls mínimos</t>
  </si>
  <si>
    <t>ATK de referência p/ buff (rolls mínimos, sem ATK fixo do time)</t>
  </si>
  <si>
    <t>ATK fixo dado ao time</t>
  </si>
  <si>
    <t>Buffs recebidos do time (por perfil)</t>
  </si>
  <si>
    <t>DMG% recebido (perfil 1)</t>
  </si>
  <si>
    <t>DMG% recebido (perfil 2)</t>
  </si>
  <si>
    <t>16.7 s · c  — TTDS acabou ~16,7 s</t>
  </si>
  <si>
    <t>DMG% recebido (perfil 3)</t>
  </si>
  <si>
    <t>DMG% recebido (perfil 4)</t>
  </si>
  <si>
    <t>DMG% recebido (perfil 5)</t>
  </si>
  <si>
    <t>DMG% Normal recebido (perfil 1)</t>
  </si>
  <si>
    <t>17.4 s · F]</t>
  </si>
  <si>
    <t>DMG% Normal recebido (perfil 2)</t>
  </si>
  <si>
    <t>DMG% Normal recebido (perfil 3)</t>
  </si>
  <si>
    <t>DMG% Normal recebido (perfil 4)</t>
  </si>
  <si>
    <t>DMG% Normal recebido (perfil 5)</t>
  </si>
  <si>
    <t>DMG% Carregado recebido (perfil 1)</t>
  </si>
  <si>
    <t>Citlali E</t>
  </si>
  <si>
    <t>DMG% Carregado recebido (perfil 2)</t>
  </si>
  <si>
    <t>DMG% Carregado recebido (perfil 3)</t>
  </si>
  <si>
    <t>DMG% Carregado recebido (perfil 4)</t>
  </si>
  <si>
    <t>DMG% Carregado recebido (perfil 5)</t>
  </si>
  <si>
    <t>DMG% Habilidade recebido (perfil 1)</t>
  </si>
  <si>
    <t>DMG% Habilidade recebido (perfil 2)</t>
  </si>
  <si>
    <t>DMG% Habilidade recebido (perfil 3)</t>
  </si>
  <si>
    <t>DMG% Habilidade recebido (perfil 4)</t>
  </si>
  <si>
    <t>DMG% Habilidade recebido (perfil 5)</t>
  </si>
  <si>
    <t>DMG% Supremo recebido (perfil 1)</t>
  </si>
  <si>
    <t>DMG% Supremo recebido (perfil 2)</t>
  </si>
  <si>
    <t>DMG% Supremo recebido (perfil 3)</t>
  </si>
  <si>
    <t>Citlali Q</t>
  </si>
  <si>
    <t>Citlali - Supremo: Spiritvessel Skull DMG</t>
  </si>
  <si>
    <t>DMG% Supremo recebido (perfil 4)</t>
  </si>
  <si>
    <t>DMG% Supremo recebido (perfil 5)</t>
  </si>
  <si>
    <t>EM recebida (perfil 1)</t>
  </si>
  <si>
    <t>EM recebida (perfil 2)</t>
  </si>
  <si>
    <t>Iansan - Habilidade: Skill DMG</t>
  </si>
  <si>
    <t>EM recebida (perfil 3)</t>
  </si>
  <si>
    <t>EM recebida (perfil 4)</t>
  </si>
  <si>
    <t>EM recebida (perfil 5)</t>
  </si>
  <si>
    <t>Iansan E (antes do Bennett)</t>
  </si>
  <si>
    <t>Iansan - Supremo: Skill DMG</t>
  </si>
  <si>
    <t>ATK fixo recebido (perfil 1)</t>
  </si>
  <si>
    <t>ATK fixo recebido (perfil 2)</t>
  </si>
  <si>
    <t>ATK fixo recebido (perfil 3)</t>
  </si>
  <si>
    <t>Iansan Q</t>
  </si>
  <si>
    <t>Bennett - Supremo: Skill DMG</t>
  </si>
  <si>
    <t>ATK fixo recebido (perfil 4)</t>
  </si>
  <si>
    <t>ATK fixo recebido (perfil 5)</t>
  </si>
  <si>
    <t>Inimigo</t>
  </si>
  <si>
    <t>Multiplicador de DEF</t>
  </si>
  <si>
    <t>Redução de RES no elemento deste personagem</t>
  </si>
  <si>
    <t>Bennett Q</t>
  </si>
  <si>
    <t>Multiplicador de RES</t>
  </si>
  <si>
    <t>Constantes do otimizador</t>
  </si>
  <si>
    <t>ATK% fixo (perfil 1)</t>
  </si>
  <si>
    <t>ATK% fixo (perfil 2)</t>
  </si>
  <si>
    <t>ATK% fixo (perfil 3)</t>
  </si>
  <si>
    <t>ATK% fixo (perfil 4)</t>
  </si>
  <si>
    <t>ATK% fixo (perfil 5)</t>
  </si>
  <si>
    <t>ATK fixo (perfil 1)</t>
  </si>
  <si>
    <t>ATK fixo (perfil 2)</t>
  </si>
  <si>
    <t>ATK fixo (perfil 3)</t>
  </si>
  <si>
    <t>ATK fixo (perfil 4)</t>
  </si>
  <si>
    <t>ATK fixo (perfil 5)</t>
  </si>
  <si>
    <t>EM fixa (perfil 1)</t>
  </si>
  <si>
    <t>EM fixa (perfil 2)</t>
  </si>
  <si>
    <t>EM fixa (perfil 3)</t>
  </si>
  <si>
    <t>EM fixa (perfil 4)</t>
  </si>
  <si>
    <t>EM fixa (perfil 5)</t>
  </si>
  <si>
    <t>HP% fixo</t>
  </si>
  <si>
    <t>HP fixo</t>
  </si>
  <si>
    <t>DEF% fixo</t>
  </si>
  <si>
    <t>DEF fixa</t>
  </si>
  <si>
    <t>Taxa crit fixa</t>
  </si>
  <si>
    <t>Dano crit fixo</t>
  </si>
  <si>
    <t>Soma fator×escala ATK | perfil 1 | Nenhuma</t>
  </si>
  <si>
    <t>Soma fator×escala EM | perfil 1 | Nenhuma</t>
  </si>
  <si>
    <t>Soma fator×escala HP | perfil 1 | Nenhuma</t>
  </si>
  <si>
    <t>Soma fator×escala DEF | perfil 1 | Nenhuma</t>
  </si>
  <si>
    <t>Soma fator×escala dano fixo | perfil 1 | Nenhuma</t>
  </si>
  <si>
    <t>Soma fator×escala ATK | perfil 1 | Derreter</t>
  </si>
  <si>
    <t>Soma fator×escala EM | perfil 1 | Derreter</t>
  </si>
  <si>
    <t>Soma fator×escala HP | perfil 1 | Derreter</t>
  </si>
  <si>
    <t>Soma fator×escala DEF | perfil 1 | Derreter</t>
  </si>
  <si>
    <t>Soma fator×escala dano fixo | perfil 1 | Derreter</t>
  </si>
  <si>
    <t>Soma fator×escala ATK | perfil 1 | Vaporizar</t>
  </si>
  <si>
    <t>Soma fator×escala EM | perfil 1 | Vaporizar</t>
  </si>
  <si>
    <t>Soma fator×escala HP | perfil 1 | Vaporizar</t>
  </si>
  <si>
    <t>Soma fator×escala DEF | perfil 1 | Vaporizar</t>
  </si>
  <si>
    <t>Soma fator×escala dano fixo | perfil 1 | Vaporizar</t>
  </si>
  <si>
    <t>Soma fator×escala ATK | perfil 2 | Nenhuma</t>
  </si>
  <si>
    <t>Soma fator×escala EM | perfil 2 | Nenhuma</t>
  </si>
  <si>
    <t>Soma fator×escala HP | perfil 2 | Nenhuma</t>
  </si>
  <si>
    <t>Soma fator×escala DEF | perfil 2 | Nenhuma</t>
  </si>
  <si>
    <t>Soma fator×escala dano fixo | perfil 2 | Nenhuma</t>
  </si>
  <si>
    <t>Soma fator×escala ATK | perfil 2 | Derreter</t>
  </si>
  <si>
    <t>Soma fator×escala EM | perfil 2 | Derreter</t>
  </si>
  <si>
    <t>Soma fator×escala HP | perfil 2 | Derreter</t>
  </si>
  <si>
    <t>Soma fator×escala DEF | perfil 2 | Derreter</t>
  </si>
  <si>
    <t>Soma fator×escala dano fixo | perfil 2 | Derreter</t>
  </si>
  <si>
    <t>Soma fator×escala ATK | perfil 2 | Vaporizar</t>
  </si>
  <si>
    <t>Soma fator×escala EM | perfil 2 | Vaporizar</t>
  </si>
  <si>
    <t>Soma fator×escala HP | perfil 2 | Vaporizar</t>
  </si>
  <si>
    <t>Soma fator×escala DEF | perfil 2 | Vaporizar</t>
  </si>
  <si>
    <t>Soma fator×escala dano fixo | perfil 2 | Vaporizar</t>
  </si>
  <si>
    <t>Soma fator×escala ATK | perfil 3 | Nenhuma</t>
  </si>
  <si>
    <t>Soma fator×escala EM | perfil 3 | Nenhuma</t>
  </si>
  <si>
    <t>Soma fator×escala HP | perfil 3 | Nenhuma</t>
  </si>
  <si>
    <t>Soma fator×escala DEF | perfil 3 | Nenhuma</t>
  </si>
  <si>
    <t>Soma fator×escala dano fixo | perfil 3 | Nenhuma</t>
  </si>
  <si>
    <t>Soma fator×escala ATK | perfil 3 | Derreter</t>
  </si>
  <si>
    <t>Soma fator×escala EM | perfil 3 | Derreter</t>
  </si>
  <si>
    <t>Soma fator×escala HP | perfil 3 | Derreter</t>
  </si>
  <si>
    <t>Soma fator×escala DEF | perfil 3 | Derreter</t>
  </si>
  <si>
    <t>Soma fator×escala dano fixo | perfil 3 | Derreter</t>
  </si>
  <si>
    <t>Soma fator×escala ATK | perfil 3 | Vaporizar</t>
  </si>
  <si>
    <t>Soma fator×escala EM | perfil 3 | Vaporizar</t>
  </si>
  <si>
    <t>Soma fator×escala HP | perfil 3 | Vaporizar</t>
  </si>
  <si>
    <t>Soma fator×escala DEF | perfil 3 | Vaporizar</t>
  </si>
  <si>
    <t>Soma fator×escala dano fixo | perfil 3 | Vaporizar</t>
  </si>
  <si>
    <t>Soma fator×escala ATK | perfil 4 | Nenhuma</t>
  </si>
  <si>
    <t>Soma fator×escala EM | perfil 4 | Nenhuma</t>
  </si>
  <si>
    <t>Soma fator×escala HP | perfil 4 | Nenhuma</t>
  </si>
  <si>
    <t>Soma fator×escala DEF | perfil 4 | Nenhuma</t>
  </si>
  <si>
    <t>Soma fator×escala dano fixo | perfil 4 | Nenhuma</t>
  </si>
  <si>
    <t>Soma fator×escala ATK | perfil 4 | Derreter</t>
  </si>
  <si>
    <t>Soma fator×escala EM | perfil 4 | Derreter</t>
  </si>
  <si>
    <t>Soma fator×escala HP | perfil 4 | Derreter</t>
  </si>
  <si>
    <t>Soma fator×escala DEF | perfil 4 | Derreter</t>
  </si>
  <si>
    <t>Soma fator×escala dano fixo | perfil 4 | Derreter</t>
  </si>
  <si>
    <t>Soma fator×escala ATK | perfil 4 | Vaporizar</t>
  </si>
  <si>
    <t>Soma fator×escala EM | perfil 4 | Vaporizar</t>
  </si>
  <si>
    <t>Soma fator×escala HP | perfil 4 | Vaporizar</t>
  </si>
  <si>
    <t>Soma fator×escala DEF | perfil 4 | Vaporizar</t>
  </si>
  <si>
    <t>Soma fator×escala dano fixo | perfil 4 | Vaporizar</t>
  </si>
  <si>
    <t>Soma fator×escala ATK | perfil 5 | Nenhuma</t>
  </si>
  <si>
    <t>Soma fator×escala EM | perfil 5 | Nenhuma</t>
  </si>
  <si>
    <t>Soma fator×escala HP | perfil 5 | Nenhuma</t>
  </si>
  <si>
    <t>Soma fator×escala DEF | perfil 5 | Nenhuma</t>
  </si>
  <si>
    <t>Soma fator×escala dano fixo | perfil 5 | Nenhuma</t>
  </si>
  <si>
    <t>Soma fator×escala ATK | perfil 5 | Derreter</t>
  </si>
  <si>
    <t>Soma fator×escala EM | perfil 5 | Derreter</t>
  </si>
  <si>
    <t>Soma fator×escala HP | perfil 5 | Derreter</t>
  </si>
  <si>
    <t>Soma fator×escala DEF | perfil 5 | Derreter</t>
  </si>
  <si>
    <t>Soma fator×escala dano fixo | perfil 5 | Derreter</t>
  </si>
  <si>
    <t>Soma fator×escala ATK | perfil 5 | Vaporizar</t>
  </si>
  <si>
    <t>Soma fator×escala EM | perfil 5 | Vaporizar</t>
  </si>
  <si>
    <t>Soma fator×escala HP | perfil 5 | Vaporizar</t>
  </si>
  <si>
    <t>Soma fator×escala DEF | perfil 5 | Vaporizar</t>
  </si>
  <si>
    <t>Soma fator×escala dano fixo | perfil 5 | Vaporizar</t>
  </si>
  <si>
    <t>Peso da escala ATK</t>
  </si>
  <si>
    <t>Peso da escala HP</t>
  </si>
  <si>
    <t>Peso da escala DEF</t>
  </si>
  <si>
    <t>Sem dano próprio na rotação? (1 = sim)</t>
  </si>
  <si>
    <t>Stat do dano fixo que ele dá (1=ATK, 2=HP, 3=DEF; 0 = nenhum)</t>
  </si>
  <si>
    <t>Suporte: maximizar o stat do buff (1 = sim)</t>
  </si>
  <si>
    <t>Escala principal (1=ATK, 2=HP, 3=DEF)</t>
  </si>
  <si>
    <t>Rolls de substatus totais</t>
  </si>
  <si>
    <t>Rolls livres para distribuir</t>
  </si>
  <si>
    <t>Máx. rolls livres em CR</t>
  </si>
  <si>
    <t>Máx. rolls livres em CD</t>
  </si>
  <si>
    <t>Máx. rolls livres em ATK%</t>
  </si>
  <si>
    <t>Máx. rolls livres em EM</t>
  </si>
  <si>
    <t>Máx. rolls livres em ER</t>
  </si>
  <si>
    <t>Máx. rolls livres em HP%</t>
  </si>
  <si>
    <t>Máx. rolls livres em DEF%</t>
  </si>
  <si>
    <t>Máx. rolls livres no % da escala principal</t>
  </si>
  <si>
    <t>Rolls livres em ER (para atingir o mínimo)</t>
  </si>
  <si>
    <t>Rolls livres para dano (CR/CD/escala%/EM)</t>
  </si>
  <si>
    <t>Rolls livres em crítico forçados (vazio = otimizar)</t>
  </si>
  <si>
    <t>ATK% vindo do ER (arma) com o ER final</t>
  </si>
  <si>
    <t>Pré-otimização sem dano fixo (stats usados quando este personagem DÁ dano fixo)</t>
  </si>
  <si>
    <t>Rolls livres em CR (sem dano fixo)</t>
  </si>
  <si>
    <t>Rolls livres em CD (sem dano fixo)</t>
  </si>
  <si>
    <t>Rolls livres em % da escala principal (sem dano fixo)</t>
  </si>
  <si>
    <t>Rolls livres em EM (sem dano fixo)</t>
  </si>
  <si>
    <t>ATK (pré-otimização)</t>
  </si>
  <si>
    <t>HP (pré-otimização)</t>
  </si>
  <si>
    <t>DEF (pré-otimização)</t>
  </si>
  <si>
    <t>EM (pré-otimização)</t>
  </si>
  <si>
    <t>Resultado do otimizador (rolls livres escolhidos)</t>
  </si>
  <si>
    <t>Rolls livres em CR</t>
  </si>
  <si>
    <t>Rolls livres em CD</t>
  </si>
  <si>
    <t>Rolls livres em % da escala principal</t>
  </si>
  <si>
    <t>Rolls livres em EM</t>
  </si>
  <si>
    <t>Rolls livres em ER</t>
  </si>
  <si>
    <t>Rolls livres em ATK%</t>
  </si>
  <si>
    <t>Rolls livres em HP%</t>
  </si>
  <si>
    <t>Rolls livres em DEF%</t>
  </si>
  <si>
    <t>ER final</t>
  </si>
  <si>
    <t>ATK% vindo do ER (arma)</t>
  </si>
  <si>
    <t>Taxa crit final</t>
  </si>
  <si>
    <t>Dano crit final</t>
  </si>
  <si>
    <t>ATK final (perfil 1)</t>
  </si>
  <si>
    <t>ATK final (perfil 2)</t>
  </si>
  <si>
    <t>ATK final (perfil 3)</t>
  </si>
  <si>
    <t>ATK final (perfil 4)</t>
  </si>
  <si>
    <t>ATK final (perfil 5)</t>
  </si>
  <si>
    <t>HP final</t>
  </si>
  <si>
    <t>DEF final</t>
  </si>
  <si>
    <t>EM final (perfil 1)</t>
  </si>
  <si>
    <t>EM final (perfil 2)</t>
  </si>
  <si>
    <t>EM final (perfil 3)</t>
  </si>
  <si>
    <t>EM final (perfil 4)</t>
  </si>
  <si>
    <t>EM final (perfil 5)</t>
  </si>
  <si>
    <t>Bônus DMG geral (com time)</t>
  </si>
  <si>
    <t>Dano médio segundo o otimizador</t>
  </si>
  <si>
    <t>Dano médio somado na Rotação</t>
  </si>
  <si>
    <t>Checagem (deve ser 0)</t>
  </si>
  <si>
    <t>Consumo dos stacks de dano fixo (não editar) — linhas alinhadas com a Rotação</t>
  </si>
  <si>
    <t>Acertos (hits × acertos do golpe)</t>
  </si>
  <si>
    <t>Buff 1: qualifica</t>
  </si>
  <si>
    <t>Buff 1: acumulado</t>
  </si>
  <si>
    <t>Buff 1: hits cobertos</t>
  </si>
  <si>
    <t>Buff 2: qualifica</t>
  </si>
  <si>
    <t>Buff 2: acumulado</t>
  </si>
  <si>
    <t>Buff 2: hits cobertos</t>
  </si>
  <si>
    <t>Buff 3: qualifica</t>
  </si>
  <si>
    <t>Buff 3: acumulado</t>
  </si>
  <si>
    <t>Buff 3: hits cobertos</t>
  </si>
  <si>
    <t>Buff 4: qualifica</t>
  </si>
  <si>
    <t>Buff 4: acumulado</t>
  </si>
  <si>
    <t>Buff 4: hits cobertos</t>
  </si>
  <si>
    <t>Buff 5: qualifica</t>
  </si>
  <si>
    <t>Buff 5: acumulado</t>
  </si>
  <si>
    <t>Buff 5: hits cobertos</t>
  </si>
  <si>
    <t>Buff 6: qualifica</t>
  </si>
  <si>
    <t>Buff 6: acumulado</t>
  </si>
  <si>
    <t>Buff 6: hits cobertos</t>
  </si>
  <si>
    <t>Buff 7: qualifica</t>
  </si>
  <si>
    <t>Buff 7: acumulado</t>
  </si>
  <si>
    <t>Buff 7: hits cobertos</t>
  </si>
  <si>
    <t>Buff 8: qualifica</t>
  </si>
  <si>
    <t>Buff 8: acumulado</t>
  </si>
  <si>
    <t>Buff 8: hits cobertos</t>
  </si>
  <si>
    <t>Buff 9: qualifica</t>
  </si>
  <si>
    <t>Buff 9: acumulado</t>
  </si>
  <si>
    <t>Buff 9: hits cobertos</t>
  </si>
  <si>
    <t>Buff 10: qualifica</t>
  </si>
  <si>
    <t>Buff 10: acumulado</t>
  </si>
  <si>
    <t>Buff 10: hits cobertos</t>
  </si>
  <si>
    <t>Dano fixo total da linha</t>
  </si>
  <si>
    <t>Total</t>
  </si>
  <si>
    <t>Golpes disponíveis (extras + golpes dos 4 do time)</t>
  </si>
  <si>
    <t>Bloco</t>
  </si>
  <si>
    <t>Início em L_Golpes</t>
  </si>
  <si>
    <t>Qtde</t>
  </si>
  <si>
    <t>Acumulado</t>
  </si>
  <si>
    <t>Golpes extras</t>
  </si>
  <si>
    <t>Nome</t>
  </si>
  <si>
    <t>Raridade</t>
  </si>
  <si>
    <t>ID</t>
  </si>
  <si>
    <t>Versão do Lunaris</t>
  </si>
  <si>
    <t>Pyro</t>
  </si>
  <si>
    <t>Espada</t>
  </si>
  <si>
    <t>10000032</t>
  </si>
  <si>
    <t>amostra (rode Genshin → Atualizar dados do Lunaris)</t>
  </si>
  <si>
    <t>Cryo</t>
  </si>
  <si>
    <t>Catalisador</t>
  </si>
  <si>
    <t>10000107</t>
  </si>
  <si>
    <t>Electro</t>
  </si>
  <si>
    <t>Lança</t>
  </si>
  <si>
    <t>10000110</t>
  </si>
  <si>
    <t>Espadão</t>
  </si>
  <si>
    <t>10000106</t>
  </si>
  <si>
    <t>Traveler (Anemo)</t>
  </si>
  <si>
    <t>Anemo</t>
  </si>
  <si>
    <t>10000005_ANEMO</t>
  </si>
  <si>
    <t>Substat</t>
  </si>
  <si>
    <t>Valor substat</t>
  </si>
  <si>
    <t>12514</t>
  </si>
  <si>
    <t>11515</t>
  </si>
  <si>
    <t>Cool Steel</t>
  </si>
  <si>
    <t>11301</t>
  </si>
  <si>
    <t>13509</t>
  </si>
  <si>
    <t>14302</t>
  </si>
  <si>
    <t>Verdict</t>
  </si>
  <si>
    <t>Raridade máx.</t>
  </si>
  <si>
    <t>2 peças</t>
  </si>
  <si>
    <t>4 peças</t>
  </si>
  <si>
    <t>Pyro DMG Bonus +15%</t>
  </si>
  <si>
    <t>Overloaded/Burning/Burgeon +40%, Vaporize/Melt +15%; skill: +50% 2pc effect (max 3 stacks)</t>
  </si>
  <si>
    <t>ATK +18%</t>
  </si>
  <si>
    <t>Sword/Claymore/Polearm: Normal Attack DMG +35%</t>
  </si>
  <si>
    <t>Elemental Mastery +80</t>
  </si>
  <si>
    <t>After triggering a reaction, all party members EM +120 for 8s</t>
  </si>
  <si>
    <t>Elemental Burst DMG +20%</t>
  </si>
  <si>
    <t>Using a Burst increases all party members' ATK by 20% for 12s</t>
  </si>
  <si>
    <t>+15% DMG while in Nightsoul's Blessing and on the field</t>
  </si>
  <si>
    <t>After consuming 1 Nightsoul point while on the field, CRIT Rate +40% for 6s</t>
  </si>
  <si>
    <t>Party member Nightsoul Burst: restore 6 Energy</t>
  </si>
  <si>
    <t>Party Elemental DMG +12% (+28% in Nightsoul's Blessing) for the involved elements</t>
  </si>
  <si>
    <t>Using skill with 15+ Energy: Normal/Charged/Plunge DMG +50%</t>
  </si>
  <si>
    <t>Rótulo no Lunaris</t>
  </si>
  <si>
    <t>ATK nv1</t>
  </si>
  <si>
    <t>ATK nv2</t>
  </si>
  <si>
    <t>ATK nv3</t>
  </si>
  <si>
    <t>ATK nv4</t>
  </si>
  <si>
    <t>ATK nv5</t>
  </si>
  <si>
    <t>ATK nv6</t>
  </si>
  <si>
    <t>ATK nv7</t>
  </si>
  <si>
    <t>ATK nv8</t>
  </si>
  <si>
    <t>ATK nv9</t>
  </si>
  <si>
    <t>ATK nv10</t>
  </si>
  <si>
    <t>ATK nv11</t>
  </si>
  <si>
    <t>ATK nv12</t>
  </si>
  <si>
    <t>ATK nv13</t>
  </si>
  <si>
    <t>ATK nv14</t>
  </si>
  <si>
    <t>ATK nv15</t>
  </si>
  <si>
    <t>EM nv1</t>
  </si>
  <si>
    <t>EM nv2</t>
  </si>
  <si>
    <t>EM nv3</t>
  </si>
  <si>
    <t>EM nv4</t>
  </si>
  <si>
    <t>EM nv5</t>
  </si>
  <si>
    <t>EM nv6</t>
  </si>
  <si>
    <t>EM nv7</t>
  </si>
  <si>
    <t>EM nv8</t>
  </si>
  <si>
    <t>EM nv9</t>
  </si>
  <si>
    <t>EM nv10</t>
  </si>
  <si>
    <t>EM nv11</t>
  </si>
  <si>
    <t>EM nv12</t>
  </si>
  <si>
    <t>EM nv13</t>
  </si>
  <si>
    <t>EM nv14</t>
  </si>
  <si>
    <t>EM nv15</t>
  </si>
  <si>
    <t>HP nv1</t>
  </si>
  <si>
    <t>HP nv2</t>
  </si>
  <si>
    <t>HP nv3</t>
  </si>
  <si>
    <t>HP nv4</t>
  </si>
  <si>
    <t>HP nv5</t>
  </si>
  <si>
    <t>HP nv6</t>
  </si>
  <si>
    <t>HP nv7</t>
  </si>
  <si>
    <t>HP nv8</t>
  </si>
  <si>
    <t>HP nv9</t>
  </si>
  <si>
    <t>HP nv10</t>
  </si>
  <si>
    <t>HP nv11</t>
  </si>
  <si>
    <t>HP nv12</t>
  </si>
  <si>
    <t>HP nv13</t>
  </si>
  <si>
    <t>HP nv14</t>
  </si>
  <si>
    <t>HP nv15</t>
  </si>
  <si>
    <t>DEF nv1</t>
  </si>
  <si>
    <t>DEF nv2</t>
  </si>
  <si>
    <t>DEF nv3</t>
  </si>
  <si>
    <t>DEF nv4</t>
  </si>
  <si>
    <t>DEF nv5</t>
  </si>
  <si>
    <t>DEF nv6</t>
  </si>
  <si>
    <t>DEF nv7</t>
  </si>
  <si>
    <t>DEF nv8</t>
  </si>
  <si>
    <t>DEF nv9</t>
  </si>
  <si>
    <t>DEF nv10</t>
  </si>
  <si>
    <t>DEF nv11</t>
  </si>
  <si>
    <t>DEF nv12</t>
  </si>
  <si>
    <t>DEF nv13</t>
  </si>
  <si>
    <t>DEF nv14</t>
  </si>
  <si>
    <t>DEF nv15</t>
  </si>
  <si>
    <t>Acertos por golpe</t>
  </si>
  <si>
    <t>Bennett - Normal: 1-Hit DMG</t>
  </si>
  <si>
    <t>Normal</t>
  </si>
  <si>
    <t>1-Hit DMG</t>
  </si>
  <si>
    <t>Bennett - Normal: 2-Hit DMG</t>
  </si>
  <si>
    <t>2-Hit DMG</t>
  </si>
  <si>
    <t>Bennett - Normal: 3-Hit DMG</t>
  </si>
  <si>
    <t>3-Hit DMG</t>
  </si>
  <si>
    <t>Bennett - Normal: 4-Hit DMG</t>
  </si>
  <si>
    <t>4-Hit DMG</t>
  </si>
  <si>
    <t>Bennett - Normal: 5-Hit DMG</t>
  </si>
  <si>
    <t>5-Hit DMG</t>
  </si>
  <si>
    <t>Bennett - Normal: Charged Attack DMG</t>
  </si>
  <si>
    <t>Carregado</t>
  </si>
  <si>
    <t>Charged Attack DMG</t>
  </si>
  <si>
    <t>Bennett - Normal: Plunge DMG</t>
  </si>
  <si>
    <t>Outro</t>
  </si>
  <si>
    <t>Plunge DMG</t>
  </si>
  <si>
    <t>Bennett - Normal: Low Plunge DMG</t>
  </si>
  <si>
    <t>Low/High Plunge DMG</t>
  </si>
  <si>
    <t>Bennett - Normal: High Plunge DMG</t>
  </si>
  <si>
    <t>Bennett - Habilidade: Press DMG</t>
  </si>
  <si>
    <t>Habilidade</t>
  </si>
  <si>
    <t>Press DMG</t>
  </si>
  <si>
    <t>Bennett - Habilidade: Charge Level 1 DMG</t>
  </si>
  <si>
    <t>Charge Level 1 DMG</t>
  </si>
  <si>
    <t>Bennett - Habilidade: Charge Level 2 DMG</t>
  </si>
  <si>
    <t>Charge Level 2 DMG</t>
  </si>
  <si>
    <t>Bennett - Habilidade: Explosion DMG</t>
  </si>
  <si>
    <t>Explosion DMG</t>
  </si>
  <si>
    <t>Supremo</t>
  </si>
  <si>
    <t>Skill DMG</t>
  </si>
  <si>
    <t>Citlali - Normal: 1-Hit DMG</t>
  </si>
  <si>
    <t>Citlali - Normal: 2-Hit DMG</t>
  </si>
  <si>
    <t>Citlali - Normal: 3-Hit DMG</t>
  </si>
  <si>
    <t>Citlali - Normal: Charged Attack DMG</t>
  </si>
  <si>
    <t>Citlali - Normal: Plunge DMG</t>
  </si>
  <si>
    <t>Citlali - Normal: Low Plunge DMG</t>
  </si>
  <si>
    <t>Citlali - Normal: High Plunge DMG</t>
  </si>
  <si>
    <t>Obsidian Tzitzimitl DMG</t>
  </si>
  <si>
    <t>Frostfall Storm DMG</t>
  </si>
  <si>
    <t>Ice Storm DMG</t>
  </si>
  <si>
    <t>Spiritvessel Skull DMG</t>
  </si>
  <si>
    <t>Iansan - Normal: 1-Hit DMG</t>
  </si>
  <si>
    <t>Iansan - Normal: 2-Hit DMG</t>
  </si>
  <si>
    <t>Iansan - Normal: 3-Hit DMG</t>
  </si>
  <si>
    <t>Iansan - Normal: Charged Attack DMG</t>
  </si>
  <si>
    <t>Iansan - Normal: Swift Stormflight DMG</t>
  </si>
  <si>
    <t>Swift Stormflight DMG</t>
  </si>
  <si>
    <t>Iansan - Normal: Plunge DMG</t>
  </si>
  <si>
    <t>Iansan - Normal: Low Plunge DMG</t>
  </si>
  <si>
    <t>Iansan - Normal: High Plunge DMG</t>
  </si>
  <si>
    <t>Mavuika - Normal: 1-Hit DMG</t>
  </si>
  <si>
    <t>Mavuika - Normal: 2-Hit DMG</t>
  </si>
  <si>
    <t>Mavuika - Normal: 3-Hit DMG</t>
  </si>
  <si>
    <t>Mavuika - Normal: 4-Hit DMG</t>
  </si>
  <si>
    <t>Mavuika - Normal: Charged Attack DMG</t>
  </si>
  <si>
    <t>Mavuika - Normal: Plunge DMG</t>
  </si>
  <si>
    <t>Mavuika - Normal: Low Plunge DMG</t>
  </si>
  <si>
    <t>Mavuika - Normal: High Plunge DMG</t>
  </si>
  <si>
    <t>Mavuika - Habilidade: Skill DMG</t>
  </si>
  <si>
    <t>Mavuika - Habilidade: Ring of Searing Radiance DMG</t>
  </si>
  <si>
    <t>Ring of Searing Radiance DMG</t>
  </si>
  <si>
    <t>Mavuika - Habilidade: Flamestrider Normal Attack 1-Hit DMG</t>
  </si>
  <si>
    <t>Flamestrider Normal Attack 1-Hit DMG</t>
  </si>
  <si>
    <t>Mavuika - Habilidade: Flamestrider Normal Attack 2-Hit DMG</t>
  </si>
  <si>
    <t>Flamestrider Normal Attack 2-Hit DMG</t>
  </si>
  <si>
    <t>Mavuika - Habilidade: Flamestrider Normal Attack 3-Hit DMG</t>
  </si>
  <si>
    <t>Flamestrider Normal Attack 3-Hit DMG</t>
  </si>
  <si>
    <t>Mavuika - Habilidade: Flamestrider Normal Attack 4-Hit DMG</t>
  </si>
  <si>
    <t>Flamestrider Normal Attack 4-Hit DMG</t>
  </si>
  <si>
    <t>Mavuika - Habilidade: Flamestrider Normal Attack 5-Hit DMG</t>
  </si>
  <si>
    <t>Flamestrider Normal Attack 5-Hit DMG</t>
  </si>
  <si>
    <t>Flamestrider Sprint DMG</t>
  </si>
  <si>
    <t>Flamestrider Charged Attack Cyclic DMG</t>
  </si>
  <si>
    <t>Flamestrider Charged Attack Final DMG</t>
  </si>
  <si>
    <t>Mavuika - Habilidade: Flamestrider Plunge DMG</t>
  </si>
  <si>
    <t>Flamestrider Plunge DMG</t>
  </si>
  <si>
    <t>k escolhido</t>
  </si>
  <si>
    <t>m escolhido</t>
  </si>
  <si>
    <t>Rolls livres no % da escala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</si>
</sst>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000"/>
    <numFmt numFmtId="166" formatCode="#,##0.0"/>
    <numFmt numFmtId="167" formatCode="0.000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i/>
      <color rgb="FF666666"/>
      <name val="Arial"/>
    </font>
    <font>
      <b/>
      <color rgb="FFFFFFFF"/>
      <name val="Arial"/>
    </font>
    <font>
      <color rgb="FF0000FF"/>
      <name val="Arial"/>
    </font>
    <font>
      <color theme="1"/>
      <name val="Calibri"/>
      <scheme val="minor"/>
    </font>
    <font>
      <b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F3B1E"/>
        <bgColor rgb="FF7F3B1E"/>
      </patternFill>
    </fill>
    <fill>
      <patternFill patternType="solid">
        <fgColor rgb="FFFFF2CC"/>
        <bgColor rgb="FFFFF2CC"/>
      </patternFill>
    </fill>
    <fill>
      <patternFill patternType="solid">
        <fgColor rgb="FFF3E3D3"/>
        <bgColor rgb="FFF3E3D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shrinkToFit="0" vertical="center" wrapText="1"/>
    </xf>
    <xf borderId="1" fillId="3" fontId="7" numFmtId="0" xfId="0" applyBorder="1" applyFill="1" applyFont="1"/>
    <xf borderId="0" fillId="0" fontId="8" numFmtId="0" xfId="0" applyFont="1"/>
    <xf borderId="1" fillId="3" fontId="9" numFmtId="0" xfId="0" applyAlignment="1" applyBorder="1" applyFill="1" applyFont="1">
      <alignment shrinkToFit="0" vertical="center" wrapText="1"/>
    </xf>
    <xf borderId="1" fillId="3" fontId="7" numFmtId="0" xfId="0" applyAlignment="1" applyBorder="1" applyFill="1" applyFont="1">
      <alignment horizontal="center"/>
    </xf>
    <xf borderId="1" fillId="3" fontId="7" numFmtId="9" xfId="0" applyBorder="1" applyFill="1" applyFont="1" applyNumberFormat="1"/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readingOrder="0"/>
    </xf>
    <xf borderId="1" fillId="3" fontId="7" numFmtId="9" xfId="0" applyAlignment="1" applyBorder="1" applyFill="1" applyFont="1" applyNumberFormat="1">
      <alignment readingOrder="0"/>
    </xf>
    <xf borderId="1" fillId="3" fontId="7" numFmtId="164" xfId="0" applyBorder="1" applyFill="1" applyFont="1" applyNumberFormat="1"/>
    <xf borderId="0" fillId="0" fontId="4" numFmtId="165" xfId="0" applyFont="1" applyNumberFormat="1"/>
    <xf borderId="0" fillId="0" fontId="4" numFmtId="2" xfId="0" applyFont="1" applyNumberFormat="1"/>
    <xf borderId="0" fillId="0" fontId="4" numFmtId="0" xfId="0" applyAlignment="1" applyFont="1">
      <alignment shrinkToFit="0" wrapText="1"/>
    </xf>
    <xf borderId="1" fillId="4" fontId="3" numFmtId="0" xfId="0" applyBorder="1" applyFill="1" applyFont="1"/>
    <xf borderId="1" fillId="4" fontId="2" numFmtId="0" xfId="0" applyBorder="1" applyFill="1" applyFont="1"/>
    <xf borderId="0" fillId="0" fontId="4" numFmtId="3" xfId="0" applyFont="1" applyNumberFormat="1"/>
    <xf borderId="0" fillId="0" fontId="4" numFmtId="164" xfId="0" applyFont="1" applyNumberFormat="1"/>
    <xf borderId="0" fillId="5" fontId="3" numFmtId="0" xfId="0" applyFill="1" applyFont="1"/>
    <xf borderId="0" fillId="5" fontId="4" numFmtId="164" xfId="0" applyFill="1" applyFont="1" applyNumberFormat="1"/>
    <xf borderId="1" fillId="6" fontId="2" numFmtId="166" xfId="0" applyBorder="1" applyFill="1" applyFont="1" applyNumberFormat="1"/>
    <xf borderId="0" fillId="0" fontId="4" numFmtId="4" xfId="0" applyFont="1" applyNumberFormat="1"/>
    <xf borderId="0" fillId="0" fontId="2" numFmtId="164" xfId="0" applyFont="1" applyNumberFormat="1"/>
    <xf borderId="1" fillId="6" fontId="3" numFmtId="3" xfId="0" applyBorder="1" applyFill="1" applyFont="1" applyNumberFormat="1"/>
    <xf borderId="1" fillId="3" fontId="7" numFmtId="10" xfId="0" applyBorder="1" applyFill="1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3" xfId="0" applyFont="1" applyNumberFormat="1"/>
    <xf borderId="0" fillId="0" fontId="4" numFmtId="10" xfId="0" applyFont="1" applyNumberFormat="1"/>
    <xf borderId="0" fillId="0" fontId="4" numFmtId="167" xfId="0" applyFont="1" applyNumberFormat="1"/>
    <xf borderId="0" fillId="0" fontId="3" numFmtId="3" xfId="0" applyFont="1" applyNumberFormat="1"/>
    <xf borderId="1" fillId="7" fontId="6" numFmtId="0" xfId="0" applyAlignment="1" applyBorder="1" applyFill="1" applyFont="1">
      <alignment shrinkToFit="0" vertical="center" wrapText="1"/>
    </xf>
    <xf borderId="1" fillId="6" fontId="2" numFmtId="0" xfId="0" applyBorder="1" applyFill="1" applyFont="1"/>
  </cellXfs>
  <cellStyles count="1">
    <cellStyle xfId="0" name="Normal" builtinId="0"/>
  </cellStyles>
  <dxfs count="2">
    <dxf>
      <font>
        <color rgb="FFC00000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solid">
          <fgColor rgb="FFFCE4E4"/>
          <bgColor rgb="FFFCE4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8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9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0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1" t="s">
        <v>0</v>
      </c>
    </row>
    <row r="2">
      <c r="A2" s="2"/>
    </row>
    <row r="3">
      <c r="A3" s="3" t="s">
        <v>2</v>
      </c>
    </row>
    <row r="4">
      <c r="A4" s="4" t="s">
        <v>3</v>
      </c>
    </row>
    <row r="5">
      <c r="A5" s="4" t="s">
        <v>6</v>
      </c>
    </row>
    <row r="6">
      <c r="A6" s="4" t="s">
        <v>7</v>
      </c>
    </row>
    <row r="7">
      <c r="A7" s="4" t="s">
        <v>8</v>
      </c>
    </row>
    <row r="8">
      <c r="A8" s="4" t="s">
        <v>9</v>
      </c>
    </row>
    <row r="9">
      <c r="A9" s="2"/>
    </row>
    <row r="10">
      <c r="A10" s="3" t="s">
        <v>10</v>
      </c>
    </row>
    <row r="11">
      <c r="A11" s="4" t="s">
        <v>11</v>
      </c>
    </row>
    <row r="12">
      <c r="A12" s="4" t="s">
        <v>13</v>
      </c>
    </row>
    <row r="13">
      <c r="A13" s="4" t="s">
        <v>14</v>
      </c>
    </row>
    <row r="14">
      <c r="A14" s="4" t="s">
        <v>15</v>
      </c>
    </row>
    <row r="15">
      <c r="A15" s="4" t="s">
        <v>16</v>
      </c>
    </row>
    <row r="16">
      <c r="A16" s="2"/>
    </row>
    <row r="17">
      <c r="A17" s="3" t="s">
        <v>18</v>
      </c>
    </row>
    <row r="18">
      <c r="A18" s="4" t="s">
        <v>19</v>
      </c>
    </row>
    <row r="19">
      <c r="A19" s="4" t="s">
        <v>20</v>
      </c>
    </row>
    <row r="20">
      <c r="A20" s="4" t="s">
        <v>21</v>
      </c>
    </row>
    <row r="21" ht="15.75" customHeight="1">
      <c r="A21" s="4" t="s">
        <v>22</v>
      </c>
    </row>
    <row r="22" ht="15.75" customHeight="1">
      <c r="A22" s="4" t="s">
        <v>23</v>
      </c>
    </row>
    <row r="23" ht="15.75" customHeight="1">
      <c r="A23" s="2"/>
    </row>
    <row r="24" ht="15.75" customHeight="1">
      <c r="A24" s="3" t="s">
        <v>24</v>
      </c>
    </row>
    <row r="25" ht="15.75" customHeight="1">
      <c r="A25" s="4" t="s">
        <v>25</v>
      </c>
    </row>
    <row r="26" ht="15.75" customHeight="1">
      <c r="A26" s="4" t="s">
        <v>26</v>
      </c>
    </row>
    <row r="27" ht="15.75" customHeight="1">
      <c r="A27" s="4" t="s">
        <v>28</v>
      </c>
    </row>
    <row r="28" ht="15.75" customHeight="1">
      <c r="A28" s="4" t="s">
        <v>29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0.0"/>
    <col customWidth="1" min="3" max="4" width="32.0"/>
    <col customWidth="1" min="5" max="5" width="30.0"/>
    <col customWidth="1" min="6" max="6" width="22.0"/>
    <col customWidth="1" min="7" max="7" width="10.0"/>
    <col customWidth="1" min="8" max="26" width="8.71"/>
  </cols>
  <sheetData>
    <row r="1">
      <c r="A1" s="1" t="s">
        <v>1</v>
      </c>
      <c r="B1" s="2"/>
      <c r="C1" s="2"/>
      <c r="D1" s="2"/>
      <c r="E1" s="2"/>
      <c r="F1" s="2"/>
      <c r="G1" s="2"/>
    </row>
    <row r="2">
      <c r="A2" s="5" t="s">
        <v>12</v>
      </c>
      <c r="B2" s="2"/>
      <c r="C2" s="2"/>
      <c r="D2" s="2"/>
      <c r="E2" s="2"/>
      <c r="F2" s="2"/>
      <c r="G2" s="2"/>
    </row>
    <row r="3">
      <c r="A3" s="6"/>
      <c r="B3" s="6" t="s">
        <v>31</v>
      </c>
      <c r="C3" s="6" t="s">
        <v>32</v>
      </c>
      <c r="D3" s="6" t="s">
        <v>33</v>
      </c>
      <c r="E3" s="6" t="s">
        <v>34</v>
      </c>
      <c r="F3" s="2"/>
      <c r="G3" s="2"/>
    </row>
    <row r="4">
      <c r="A4" s="3" t="s">
        <v>35</v>
      </c>
      <c r="B4" s="7" t="s">
        <v>46</v>
      </c>
      <c r="C4" s="7" t="s">
        <v>57</v>
      </c>
      <c r="D4" s="7" t="s">
        <v>61</v>
      </c>
      <c r="E4" s="7" t="s">
        <v>64</v>
      </c>
      <c r="F4" s="2"/>
      <c r="G4" s="2"/>
    </row>
    <row r="5">
      <c r="A5" s="3" t="s">
        <v>68</v>
      </c>
      <c r="B5" s="7" t="s">
        <v>73</v>
      </c>
      <c r="C5" s="7" t="s">
        <v>75</v>
      </c>
      <c r="D5" s="7" t="s">
        <v>78</v>
      </c>
      <c r="E5" s="7" t="s">
        <v>82</v>
      </c>
      <c r="F5" s="2"/>
      <c r="G5" s="2"/>
    </row>
    <row r="6">
      <c r="A6" s="3" t="s">
        <v>83</v>
      </c>
      <c r="B6" s="7" t="s">
        <v>84</v>
      </c>
      <c r="C6" s="7" t="s">
        <v>85</v>
      </c>
      <c r="D6" s="7" t="s">
        <v>86</v>
      </c>
      <c r="E6" s="7" t="s">
        <v>87</v>
      </c>
      <c r="F6" s="2"/>
      <c r="G6" s="2"/>
    </row>
    <row r="7">
      <c r="A7" s="3" t="s">
        <v>88</v>
      </c>
      <c r="B7" s="7"/>
      <c r="C7" s="7"/>
      <c r="D7" s="7"/>
      <c r="E7" s="7"/>
      <c r="F7" s="2"/>
      <c r="G7" s="2"/>
    </row>
    <row r="8">
      <c r="A8" s="3" t="s">
        <v>89</v>
      </c>
      <c r="B8" s="7" t="s">
        <v>90</v>
      </c>
      <c r="C8" s="7" t="s">
        <v>91</v>
      </c>
      <c r="D8" s="7" t="s">
        <v>92</v>
      </c>
      <c r="E8" s="7" t="s">
        <v>91</v>
      </c>
      <c r="F8" s="2"/>
      <c r="G8" s="2"/>
    </row>
    <row r="9">
      <c r="A9" s="3" t="s">
        <v>94</v>
      </c>
      <c r="B9" s="7" t="s">
        <v>95</v>
      </c>
      <c r="C9" s="7" t="s">
        <v>95</v>
      </c>
      <c r="D9" s="7" t="s">
        <v>92</v>
      </c>
      <c r="E9" s="7" t="s">
        <v>95</v>
      </c>
      <c r="F9" s="2"/>
      <c r="G9" s="2"/>
    </row>
    <row r="10">
      <c r="A10" s="3" t="s">
        <v>99</v>
      </c>
      <c r="B10" s="7" t="s">
        <v>100</v>
      </c>
      <c r="C10" s="7" t="s">
        <v>101</v>
      </c>
      <c r="D10" s="7" t="s">
        <v>101</v>
      </c>
      <c r="E10" s="7" t="s">
        <v>101</v>
      </c>
      <c r="F10" s="2"/>
      <c r="G10" s="2"/>
    </row>
    <row r="11">
      <c r="A11" s="3" t="s">
        <v>106</v>
      </c>
      <c r="B11" s="12" t="b">
        <v>1</v>
      </c>
      <c r="C11" s="12" t="b">
        <v>0</v>
      </c>
      <c r="D11" s="12" t="b">
        <v>1</v>
      </c>
      <c r="E11" s="12" t="b">
        <v>1</v>
      </c>
      <c r="F11" s="2"/>
      <c r="G11" s="2"/>
    </row>
    <row r="12">
      <c r="A12" s="3" t="s">
        <v>108</v>
      </c>
      <c r="B12" s="12" t="b">
        <v>1</v>
      </c>
      <c r="C12" s="12" t="b">
        <v>0</v>
      </c>
      <c r="D12" s="12" t="b">
        <v>1</v>
      </c>
      <c r="E12" s="12" t="b">
        <v>1</v>
      </c>
      <c r="F12" s="2"/>
      <c r="G12" s="2"/>
    </row>
    <row r="13">
      <c r="A13" s="3" t="s">
        <v>109</v>
      </c>
      <c r="B13" s="12" t="b">
        <v>1</v>
      </c>
      <c r="C13" s="12" t="b">
        <v>1</v>
      </c>
      <c r="D13" s="12" t="b">
        <v>1</v>
      </c>
      <c r="E13" s="12" t="b">
        <v>1</v>
      </c>
      <c r="F13" s="2"/>
      <c r="G13" s="2"/>
    </row>
    <row r="14">
      <c r="A14" s="3" t="s">
        <v>111</v>
      </c>
      <c r="B14" s="12" t="b">
        <v>1</v>
      </c>
      <c r="C14" s="12" t="b">
        <v>0</v>
      </c>
      <c r="D14" s="12" t="b">
        <v>1</v>
      </c>
      <c r="E14" s="12" t="b">
        <v>1</v>
      </c>
      <c r="F14" s="2"/>
      <c r="G14" s="2"/>
    </row>
    <row r="15">
      <c r="A15" s="3" t="s">
        <v>113</v>
      </c>
      <c r="B15" s="12" t="b">
        <v>1</v>
      </c>
      <c r="C15" s="12" t="b">
        <v>0</v>
      </c>
      <c r="D15" s="12" t="b">
        <v>1</v>
      </c>
      <c r="E15" s="12" t="b">
        <v>1</v>
      </c>
      <c r="F15" s="2"/>
      <c r="G15" s="2"/>
    </row>
    <row r="16">
      <c r="A16" s="3" t="s">
        <v>114</v>
      </c>
      <c r="B16" s="7">
        <v>10.0</v>
      </c>
      <c r="C16" s="7">
        <v>10.0</v>
      </c>
      <c r="D16" s="7">
        <v>10.0</v>
      </c>
      <c r="E16" s="7">
        <v>10.0</v>
      </c>
      <c r="F16" s="2"/>
      <c r="G16" s="2"/>
    </row>
    <row r="17">
      <c r="A17" s="3" t="s">
        <v>117</v>
      </c>
      <c r="B17" s="7">
        <v>10.0</v>
      </c>
      <c r="C17" s="7">
        <v>10.0</v>
      </c>
      <c r="D17" s="7">
        <v>13.0</v>
      </c>
      <c r="E17" s="13">
        <v>13.0</v>
      </c>
      <c r="F17" s="2"/>
      <c r="G17" s="2"/>
    </row>
    <row r="18">
      <c r="A18" s="3" t="s">
        <v>119</v>
      </c>
      <c r="B18" s="7">
        <v>10.0</v>
      </c>
      <c r="C18" s="7">
        <v>10.0</v>
      </c>
      <c r="D18" s="7">
        <v>13.0</v>
      </c>
      <c r="E18" s="13">
        <v>13.0</v>
      </c>
      <c r="F18" s="2"/>
      <c r="G18" s="2"/>
    </row>
    <row r="19">
      <c r="A19" s="3" t="s">
        <v>121</v>
      </c>
      <c r="B19" s="11">
        <v>1.0</v>
      </c>
      <c r="C19" s="14">
        <v>2.0</v>
      </c>
      <c r="D19" s="14">
        <v>2.0</v>
      </c>
      <c r="E19" s="14">
        <v>2.0</v>
      </c>
      <c r="F19" s="2"/>
      <c r="G19" s="2"/>
    </row>
    <row r="20">
      <c r="A20" s="3" t="s">
        <v>122</v>
      </c>
      <c r="B20" s="13">
        <v>40.0</v>
      </c>
      <c r="C20" s="13">
        <v>40.0</v>
      </c>
      <c r="D20" s="13">
        <v>40.0</v>
      </c>
      <c r="E20" s="13">
        <v>40.0</v>
      </c>
      <c r="F20" s="2"/>
      <c r="G20" s="2"/>
    </row>
    <row r="21" ht="15.75" customHeight="1">
      <c r="A21" s="3" t="s">
        <v>124</v>
      </c>
      <c r="B21" s="13">
        <v>20.0</v>
      </c>
      <c r="C21" s="7"/>
      <c r="D21" s="7"/>
      <c r="E21" s="7"/>
      <c r="F21" s="2"/>
      <c r="G21" s="2"/>
    </row>
    <row r="22" ht="15.75" customHeight="1">
      <c r="A22" s="6" t="s">
        <v>125</v>
      </c>
      <c r="B22" s="6" t="s">
        <v>126</v>
      </c>
      <c r="C22" s="2"/>
      <c r="D22" s="2"/>
      <c r="E22" s="2"/>
      <c r="F22" s="2"/>
      <c r="G22" s="2"/>
    </row>
    <row r="23" ht="15.75" customHeight="1">
      <c r="A23" s="3" t="s">
        <v>127</v>
      </c>
      <c r="B23" s="7">
        <v>90.0</v>
      </c>
      <c r="C23" s="2"/>
      <c r="D23" s="2"/>
      <c r="E23" s="2"/>
      <c r="F23" s="2"/>
      <c r="G23" s="2"/>
    </row>
    <row r="24" ht="15.75" customHeight="1">
      <c r="A24" s="3" t="s">
        <v>128</v>
      </c>
      <c r="B24" s="7">
        <v>100.0</v>
      </c>
      <c r="C24" s="2"/>
      <c r="D24" s="2"/>
      <c r="E24" s="2"/>
      <c r="F24" s="2"/>
      <c r="G24" s="2"/>
    </row>
    <row r="25" ht="15.75" customHeight="1">
      <c r="A25" s="3" t="s">
        <v>130</v>
      </c>
      <c r="B25" s="15">
        <v>0.1</v>
      </c>
      <c r="C25" s="2"/>
      <c r="D25" s="2"/>
      <c r="E25" s="2"/>
      <c r="F25" s="2"/>
      <c r="G25" s="2"/>
    </row>
    <row r="26" ht="15.75" customHeight="1">
      <c r="A26" s="3" t="s">
        <v>131</v>
      </c>
      <c r="B26" s="15">
        <v>0.0</v>
      </c>
      <c r="C26" s="2"/>
      <c r="D26" s="2"/>
      <c r="E26" s="2"/>
      <c r="F26" s="2"/>
      <c r="G26" s="2"/>
    </row>
    <row r="27" ht="15.75" customHeight="1">
      <c r="A27" s="3" t="s">
        <v>132</v>
      </c>
      <c r="B27" s="7">
        <v>2.0</v>
      </c>
      <c r="C27" s="2"/>
      <c r="D27" s="2"/>
      <c r="E27" s="2"/>
      <c r="F27" s="2"/>
      <c r="G27" s="2"/>
    </row>
    <row r="28" ht="15.75" customHeight="1">
      <c r="A28" s="3" t="s">
        <v>133</v>
      </c>
      <c r="B28" s="7">
        <v>17.5</v>
      </c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3" t="s">
        <v>135</v>
      </c>
      <c r="B30" s="2"/>
      <c r="C30" s="2"/>
      <c r="D30" s="2"/>
      <c r="E30" s="2"/>
      <c r="F30" s="2"/>
      <c r="G30" s="2"/>
    </row>
    <row r="31" ht="15.75" customHeight="1">
      <c r="A31" s="6" t="s">
        <v>136</v>
      </c>
      <c r="B31" s="6" t="s">
        <v>137</v>
      </c>
      <c r="C31" s="6" t="s">
        <v>126</v>
      </c>
      <c r="D31" s="6" t="s">
        <v>138</v>
      </c>
      <c r="E31" s="6" t="s">
        <v>139</v>
      </c>
      <c r="F31" s="6" t="s">
        <v>140</v>
      </c>
      <c r="G31" s="6" t="s">
        <v>141</v>
      </c>
    </row>
    <row r="32" ht="15.75" customHeight="1">
      <c r="A32" s="7" t="s">
        <v>46</v>
      </c>
      <c r="B32" s="7" t="s">
        <v>92</v>
      </c>
      <c r="C32" s="15">
        <v>0.48</v>
      </c>
      <c r="D32" s="7" t="s">
        <v>107</v>
      </c>
      <c r="E32" s="7" t="s">
        <v>142</v>
      </c>
      <c r="F32" s="7" t="s">
        <v>98</v>
      </c>
      <c r="G32" s="5" t="str">
        <f t="shared" ref="G32:G51" si="1">IF(F32="","_geral",TRIM(F32))</f>
        <v>TTDS</v>
      </c>
    </row>
    <row r="33" ht="15.75" customHeight="1">
      <c r="A33" s="7" t="s">
        <v>46</v>
      </c>
      <c r="B33" s="7" t="s">
        <v>143</v>
      </c>
      <c r="C33" s="15">
        <v>0.4</v>
      </c>
      <c r="D33" s="7" t="s">
        <v>107</v>
      </c>
      <c r="E33" s="7" t="s">
        <v>144</v>
      </c>
      <c r="F33" s="7" t="s">
        <v>102</v>
      </c>
      <c r="G33" s="5" t="str">
        <f t="shared" si="1"/>
        <v>Scroll</v>
      </c>
    </row>
    <row r="34" ht="15.75" customHeight="1">
      <c r="A34" s="7" t="s">
        <v>64</v>
      </c>
      <c r="B34" s="7" t="s">
        <v>143</v>
      </c>
      <c r="C34" s="15">
        <v>0.4</v>
      </c>
      <c r="D34" s="7" t="s">
        <v>107</v>
      </c>
      <c r="E34" s="7" t="s">
        <v>145</v>
      </c>
      <c r="F34" s="7" t="s">
        <v>102</v>
      </c>
      <c r="G34" s="5" t="str">
        <f t="shared" si="1"/>
        <v>Scroll</v>
      </c>
    </row>
    <row r="35" ht="15.75" customHeight="1">
      <c r="A35" s="7" t="s">
        <v>61</v>
      </c>
      <c r="B35" s="7" t="s">
        <v>143</v>
      </c>
      <c r="C35" s="15">
        <v>0.4</v>
      </c>
      <c r="D35" s="7" t="s">
        <v>107</v>
      </c>
      <c r="E35" s="7" t="s">
        <v>146</v>
      </c>
      <c r="F35" s="7" t="s">
        <v>102</v>
      </c>
      <c r="G35" s="5" t="str">
        <f t="shared" si="1"/>
        <v>Scroll</v>
      </c>
    </row>
    <row r="36" ht="15.75" customHeight="1">
      <c r="A36" s="7" t="s">
        <v>46</v>
      </c>
      <c r="B36" s="7" t="s">
        <v>92</v>
      </c>
      <c r="C36" s="15">
        <v>0.3</v>
      </c>
      <c r="D36" s="7" t="s">
        <v>112</v>
      </c>
      <c r="E36" s="7" t="s">
        <v>148</v>
      </c>
      <c r="F36" s="7"/>
      <c r="G36" s="5" t="str">
        <f t="shared" si="1"/>
        <v>_geral</v>
      </c>
    </row>
    <row r="37" ht="15.75" customHeight="1">
      <c r="A37" s="7" t="s">
        <v>46</v>
      </c>
      <c r="B37" s="7" t="s">
        <v>143</v>
      </c>
      <c r="C37" s="15">
        <v>0.25</v>
      </c>
      <c r="D37" s="7" t="s">
        <v>112</v>
      </c>
      <c r="E37" s="7" t="s">
        <v>148</v>
      </c>
      <c r="F37" s="7"/>
      <c r="G37" s="5" t="str">
        <f t="shared" si="1"/>
        <v>_geral</v>
      </c>
    </row>
    <row r="38" ht="15.75" customHeight="1">
      <c r="A38" s="7" t="s">
        <v>46</v>
      </c>
      <c r="B38" s="7" t="s">
        <v>143</v>
      </c>
      <c r="C38" s="15">
        <v>0.15</v>
      </c>
      <c r="D38" s="7" t="s">
        <v>112</v>
      </c>
      <c r="E38" s="7" t="s">
        <v>148</v>
      </c>
      <c r="F38" s="7"/>
      <c r="G38" s="5" t="str">
        <f t="shared" si="1"/>
        <v>_geral</v>
      </c>
    </row>
    <row r="39" ht="15.75" customHeight="1">
      <c r="A39" s="7" t="s">
        <v>57</v>
      </c>
      <c r="B39" s="7" t="s">
        <v>92</v>
      </c>
      <c r="C39" s="15">
        <v>0.3</v>
      </c>
      <c r="D39" s="7" t="s">
        <v>112</v>
      </c>
      <c r="E39" s="7" t="s">
        <v>148</v>
      </c>
      <c r="F39" s="7"/>
      <c r="G39" s="5" t="str">
        <f t="shared" si="1"/>
        <v>_geral</v>
      </c>
    </row>
    <row r="40" ht="15.75" customHeight="1">
      <c r="A40" s="7"/>
      <c r="B40" s="7"/>
      <c r="C40" s="15"/>
      <c r="D40" s="7" t="s">
        <v>112</v>
      </c>
      <c r="E40" s="7"/>
      <c r="F40" s="7"/>
      <c r="G40" s="5" t="str">
        <f t="shared" si="1"/>
        <v>_geral</v>
      </c>
    </row>
    <row r="41" ht="15.75" customHeight="1">
      <c r="A41" s="7"/>
      <c r="B41" s="7"/>
      <c r="C41" s="15"/>
      <c r="D41" s="7" t="s">
        <v>112</v>
      </c>
      <c r="E41" s="7"/>
      <c r="F41" s="7"/>
      <c r="G41" s="5" t="str">
        <f t="shared" si="1"/>
        <v>_geral</v>
      </c>
    </row>
    <row r="42" ht="15.75" customHeight="1">
      <c r="A42" s="7"/>
      <c r="B42" s="7"/>
      <c r="C42" s="15"/>
      <c r="D42" s="7" t="s">
        <v>112</v>
      </c>
      <c r="E42" s="7"/>
      <c r="F42" s="7"/>
      <c r="G42" s="5" t="str">
        <f t="shared" si="1"/>
        <v>_geral</v>
      </c>
    </row>
    <row r="43" ht="15.75" customHeight="1">
      <c r="A43" s="7"/>
      <c r="B43" s="7"/>
      <c r="C43" s="15"/>
      <c r="D43" s="7" t="s">
        <v>112</v>
      </c>
      <c r="E43" s="7"/>
      <c r="F43" s="7"/>
      <c r="G43" s="5" t="str">
        <f t="shared" si="1"/>
        <v>_geral</v>
      </c>
    </row>
    <row r="44" ht="15.75" customHeight="1">
      <c r="A44" s="7"/>
      <c r="B44" s="7"/>
      <c r="C44" s="15"/>
      <c r="D44" s="7" t="s">
        <v>112</v>
      </c>
      <c r="E44" s="7"/>
      <c r="F44" s="7"/>
      <c r="G44" s="5" t="str">
        <f t="shared" si="1"/>
        <v>_geral</v>
      </c>
    </row>
    <row r="45" ht="15.75" customHeight="1">
      <c r="A45" s="7"/>
      <c r="B45" s="7"/>
      <c r="C45" s="15"/>
      <c r="D45" s="7" t="s">
        <v>112</v>
      </c>
      <c r="E45" s="7"/>
      <c r="F45" s="7"/>
      <c r="G45" s="5" t="str">
        <f t="shared" si="1"/>
        <v>_geral</v>
      </c>
    </row>
    <row r="46" ht="15.75" customHeight="1">
      <c r="A46" s="7"/>
      <c r="B46" s="7"/>
      <c r="C46" s="15"/>
      <c r="D46" s="7" t="s">
        <v>112</v>
      </c>
      <c r="E46" s="7"/>
      <c r="F46" s="7"/>
      <c r="G46" s="5" t="str">
        <f t="shared" si="1"/>
        <v>_geral</v>
      </c>
    </row>
    <row r="47" ht="15.75" customHeight="1">
      <c r="A47" s="7"/>
      <c r="B47" s="7"/>
      <c r="C47" s="15"/>
      <c r="D47" s="7" t="s">
        <v>112</v>
      </c>
      <c r="E47" s="7"/>
      <c r="F47" s="7"/>
      <c r="G47" s="5" t="str">
        <f t="shared" si="1"/>
        <v>_geral</v>
      </c>
    </row>
    <row r="48" ht="15.75" customHeight="1">
      <c r="A48" s="7"/>
      <c r="B48" s="7"/>
      <c r="C48" s="15"/>
      <c r="D48" s="7" t="s">
        <v>112</v>
      </c>
      <c r="E48" s="7"/>
      <c r="F48" s="7"/>
      <c r="G48" s="5" t="str">
        <f t="shared" si="1"/>
        <v>_geral</v>
      </c>
    </row>
    <row r="49" ht="15.75" customHeight="1">
      <c r="A49" s="7"/>
      <c r="B49" s="7"/>
      <c r="C49" s="15"/>
      <c r="D49" s="7" t="s">
        <v>112</v>
      </c>
      <c r="E49" s="7"/>
      <c r="F49" s="7"/>
      <c r="G49" s="5" t="str">
        <f t="shared" si="1"/>
        <v>_geral</v>
      </c>
    </row>
    <row r="50" ht="15.75" customHeight="1">
      <c r="A50" s="7"/>
      <c r="B50" s="7"/>
      <c r="C50" s="15"/>
      <c r="D50" s="7" t="s">
        <v>112</v>
      </c>
      <c r="E50" s="7"/>
      <c r="F50" s="7"/>
      <c r="G50" s="5" t="str">
        <f t="shared" si="1"/>
        <v>_geral</v>
      </c>
    </row>
    <row r="51" ht="15.75" customHeight="1">
      <c r="A51" s="7"/>
      <c r="B51" s="7"/>
      <c r="C51" s="15"/>
      <c r="D51" s="7" t="s">
        <v>112</v>
      </c>
      <c r="E51" s="7"/>
      <c r="F51" s="7"/>
      <c r="G51" s="5" t="str">
        <f t="shared" si="1"/>
        <v>_geral</v>
      </c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5" t="s">
        <v>150</v>
      </c>
      <c r="B53" s="2"/>
      <c r="C53" s="2"/>
      <c r="D53" s="2"/>
      <c r="E53" s="2"/>
      <c r="F53" s="2"/>
      <c r="G53" s="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6:E7">
      <formula1>L_Sets!$A$2:$A$200</formula1>
    </dataValidation>
    <dataValidation type="list" allowBlank="1" showErrorMessage="1" sqref="B10:E10">
      <formula1>Stats!$I$4:$I$10</formula1>
    </dataValidation>
    <dataValidation type="list" allowBlank="1" showErrorMessage="1" sqref="B4:E4">
      <formula1>L_Personagens!$A$2:$A$400</formula1>
    </dataValidation>
    <dataValidation type="list" allowBlank="1" showErrorMessage="1" sqref="B8:E8">
      <formula1>Stats!$A$4:$A$8</formula1>
    </dataValidation>
    <dataValidation type="list" allowBlank="1" showErrorMessage="1" sqref="B9:E9">
      <formula1>Stats!$E$4:$E$8</formula1>
    </dataValidation>
    <dataValidation type="list" allowBlank="1" showErrorMessage="1" sqref="B16:E18">
      <formula1>"1,2,3,4,5,6,7,8,9,10,11,12,13,14,15"</formula1>
    </dataValidation>
    <dataValidation type="list" allowBlank="1" showErrorMessage="1" sqref="B5:E5">
      <formula1>L_Armas!$A$2:$A$600</formula1>
    </dataValidation>
    <dataValidation type="list" allowBlank="1" showErrorMessage="1" sqref="B32:B51">
      <formula1>"ATK%,ATK,EM,ER,CR,CD,DMG%,DMG% Normal,DMG% Carregado,DMG% Habilidade,DMG% Supremo,HP%,HP,DEF%,DEF"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7.29"/>
    <col customWidth="1" min="2" max="2" width="5.14"/>
    <col customWidth="1" min="3" max="3" width="13.14"/>
    <col customWidth="1" min="4" max="4" width="17.14"/>
    <col customWidth="1" min="5" max="5" width="7.86"/>
    <col customWidth="1" min="6" max="6" width="7.43"/>
    <col customWidth="1" min="7" max="7" width="60.14"/>
    <col customWidth="1" min="8" max="8" width="10.71"/>
    <col customWidth="1" min="9" max="9" width="11.86"/>
    <col customWidth="1" min="10" max="10" width="5.14"/>
    <col customWidth="1" min="11" max="12" width="11.0"/>
    <col customWidth="1" min="13" max="13" width="6.14"/>
    <col customWidth="1" min="14" max="14" width="8.71"/>
    <col customWidth="1" min="15" max="15" width="11.57"/>
    <col customWidth="1" min="16" max="16" width="11.29"/>
    <col customWidth="1" min="17" max="17" width="7.71"/>
    <col customWidth="1" min="18" max="18" width="10.57"/>
    <col customWidth="1" min="19" max="19" width="10.29"/>
    <col customWidth="1" min="20" max="20" width="14.29"/>
    <col customWidth="1" min="21" max="21" width="8.29"/>
    <col customWidth="1" min="22" max="23" width="10.86"/>
    <col customWidth="1" min="24" max="24" width="12.14"/>
    <col customWidth="1" min="25" max="25" width="8.71"/>
    <col customWidth="1" min="26" max="26" width="11.86"/>
    <col customWidth="1" min="27" max="27" width="11.71"/>
    <col customWidth="1" min="28" max="28" width="8.14"/>
    <col customWidth="1" min="29" max="29" width="12.0"/>
    <col customWidth="1" min="30" max="31" width="10.86"/>
    <col customWidth="1" min="32" max="32" width="12.0"/>
    <col customWidth="1" min="33" max="33" width="7.86"/>
    <col customWidth="1" min="34" max="34" width="11.86"/>
    <col customWidth="1" min="35" max="35" width="11.57"/>
    <col customWidth="1" min="36" max="36" width="10.43"/>
    <col customWidth="1" min="37" max="37" width="10.71"/>
    <col customWidth="1" min="38" max="38" width="12.0"/>
    <col customWidth="1" min="39" max="39" width="8.71"/>
    <col customWidth="1" min="40" max="40" width="43.86"/>
  </cols>
  <sheetData>
    <row r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5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45.0" customHeight="1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35</v>
      </c>
      <c r="J4" s="6" t="s">
        <v>44</v>
      </c>
      <c r="K4" s="6" t="s">
        <v>45</v>
      </c>
      <c r="L4" s="6" t="s">
        <v>47</v>
      </c>
      <c r="M4" s="6" t="s">
        <v>48</v>
      </c>
      <c r="N4" s="6" t="s">
        <v>49</v>
      </c>
      <c r="O4" s="6" t="s">
        <v>50</v>
      </c>
      <c r="P4" s="6" t="s">
        <v>51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56</v>
      </c>
      <c r="V4" s="6" t="s">
        <v>58</v>
      </c>
      <c r="W4" s="6" t="s">
        <v>59</v>
      </c>
      <c r="X4" s="6" t="s">
        <v>60</v>
      </c>
      <c r="Y4" s="6" t="s">
        <v>62</v>
      </c>
      <c r="Z4" s="6" t="s">
        <v>63</v>
      </c>
      <c r="AA4" s="6" t="s">
        <v>65</v>
      </c>
      <c r="AB4" s="6" t="s">
        <v>66</v>
      </c>
      <c r="AC4" s="6" t="s">
        <v>67</v>
      </c>
      <c r="AD4" s="6" t="s">
        <v>69</v>
      </c>
      <c r="AE4" s="6" t="s">
        <v>70</v>
      </c>
      <c r="AF4" s="6" t="s">
        <v>71</v>
      </c>
      <c r="AG4" s="6" t="s">
        <v>72</v>
      </c>
      <c r="AH4" s="6" t="s">
        <v>74</v>
      </c>
      <c r="AI4" s="6" t="s">
        <v>76</v>
      </c>
      <c r="AJ4" s="6" t="s">
        <v>77</v>
      </c>
      <c r="AK4" s="6" t="s">
        <v>79</v>
      </c>
      <c r="AL4" s="6" t="s">
        <v>80</v>
      </c>
      <c r="AN4" s="8" t="s">
        <v>81</v>
      </c>
    </row>
    <row r="5">
      <c r="A5" s="7" t="s">
        <v>93</v>
      </c>
      <c r="B5" s="7">
        <v>1.0</v>
      </c>
      <c r="C5" s="7" t="s">
        <v>97</v>
      </c>
      <c r="D5" s="10" t="s">
        <v>105</v>
      </c>
      <c r="E5" s="11">
        <v>-0.4</v>
      </c>
      <c r="F5" s="4" t="str">
        <f>IF($A5="","",IF(ISNUMBER(MATCH($A5,'Golpes extras'!$A$2:$A$101,0)),"Sim","Não"))</f>
        <v>Não</v>
      </c>
      <c r="G5" s="4" t="str">
        <f t="array" ref="G5">IF($A5="","",IF($F5="Sim",INDEX('Golpes extras'!$B$2:$B$101,MATCH($A5,'Golpes extras'!$A$2:$A$101,0))&amp;"",$A5))</f>
        <v>Mavuika - Habilidade: Flamestrider Charged Attack Cyclic DMG</v>
      </c>
      <c r="H5" s="4">
        <f>IF($G5="","",IFERROR(MATCH($G5,L_Golpes!$A$2:$A$6000,0),""))</f>
        <v>52</v>
      </c>
      <c r="I5" s="4" t="str">
        <f t="array" ref="I5">IF($A5="","",IF(ISNUMBER($H5),INDEX(L_Golpes!$B$2:$B$6000,$H5),IF(IFERROR(INDEX('Golpes extras'!$C$2:$C$101,MATCH($A5,'Golpes extras'!$A$2:$A$101,0))&amp;"","")&lt;&gt;"",INDEX('Golpes extras'!$C$2:$C$101,MATCH($A5,'Golpes extras'!$A$2:$A$101,0))&amp;"","golpe?")))</f>
        <v>Mavuika</v>
      </c>
      <c r="J5" s="4">
        <f>IF(OR($I5="",$I5="golpe?"),"",IFERROR(MATCH($I5,Time!$B$4:$E$4,0),"fora do time"))</f>
        <v>1</v>
      </c>
      <c r="K5" s="4" t="str">
        <f t="array" ref="K5">IF(ISNUMBER($J5),IF(IFERROR(INDEX('Golpes extras'!$D$2:$D$101,MATCH($A5,'Golpes extras'!$A$2:$A$101,0))&amp;"","")&lt;&gt;"",INDEX('Golpes extras'!$D$2:$D$101,MATCH($A5,'Golpes extras'!$A$2:$A$101,0))&amp;"",IF(ISNUMBER($H5),INDEX(L_Golpes!$D$2:$D$6000,$H5),"Outro")),"")</f>
        <v>Carregado</v>
      </c>
      <c r="L5" s="4" t="str">
        <f t="array" ref="L5">IF(ISNUMBER($J5),IF(ISNUMBER($H5),INDEX(L_Golpes!$C$2:$C$6000,$H5),""),"")</f>
        <v>Habilidade</v>
      </c>
      <c r="M5" s="4">
        <f t="array" ref="M5">IF(ISNUMBER($J5),IF($L5="Normal",INDEX('Cálculos'!$C$14:$F$14,$J5),IF($L5="Habilidade",INDEX('Cálculos'!$C$15:$F$15,$J5),IF($L5="Supremo",INDEX('Cálculos'!$C$16:$F$16,$J5),""))),"")</f>
        <v>10</v>
      </c>
      <c r="N5" s="16">
        <f t="array" ref="N5">IF(ISNUMBER($J5),IF(ISNUMBER($H5),INDEX(L_Golpes!$F$2:$T$6000,$H5,MAX(1,MIN(15,$M5))),0)+IF($F5="Sim",N(INDEX('Golpes extras'!$E$2:$E$101,MATCH($A5,'Golpes extras'!$A$2:$A$101,0))),0),"")</f>
        <v>1.955</v>
      </c>
      <c r="O5" s="17">
        <f t="array" ref="O5">IF(ISNUMBER($J5),IF(ISNUMBER($H5),INDEX(L_Golpes!$U$2:$AI$6000,$H5,MAX(1,MIN(15,$M5))),0)+IF($F5="Sim",N(INDEX('Golpes extras'!$F$2:$F$101,MATCH($A5,'Golpes extras'!$A$2:$A$101,0))),0),"")</f>
        <v>0</v>
      </c>
      <c r="P5" s="16">
        <f t="array" ref="P5">IF(ISNUMBER($J5),IF(ISNUMBER($H5),INDEX(L_Golpes!$AJ$2:$AX$6000,$H5,MAX(1,MIN(15,$M5))),0)+IF($F5="Sim",N(INDEX('Golpes extras'!$G$2:$G$101,MATCH($A5,'Golpes extras'!$A$2:$A$101,0))),0),"")</f>
        <v>0</v>
      </c>
      <c r="Q5" s="16">
        <f t="array" ref="Q5">IF(ISNUMBER($J5),IF(ISNUMBER($H5),INDEX(L_Golpes!$AY$2:$BM$6000,$H5,MAX(1,MIN(15,$M5))),0)+IF($F5="Sim",N(INDEX('Golpes extras'!$H$2:$H$101,MATCH($A5,'Golpes extras'!$A$2:$A$101,0))),0),"")</f>
        <v>0</v>
      </c>
      <c r="R5" s="4" t="str">
        <f t="array" ref="R5">IF(ISNUMBER($J5),INDEX('Cálculos'!$C$19:$F$19,$J5),"")</f>
        <v>Pyro</v>
      </c>
      <c r="S5" s="4" t="str">
        <f t="shared" ref="S5:S64" si="1">IF(ISNUMBER($J5),IF(AND($C5="Derreter",OR($R5="Pyro",$R5="Cryo")),"Derreter",IF(AND($C5="Vaporizar",OR($R5="Pyro",$R5="Hydro")),"Vaporizar","Nenhuma")),"")</f>
        <v>Derreter</v>
      </c>
      <c r="T5" s="4" t="str">
        <f>IF(ISNUMBER($J5),IF(OR($D5="Não",$D5=FALSE),'Perfis de buff'!$A$8,IF(OR($D5="",$D5="Sim",$D5=TRUE),'Perfis de buff'!$A$4,$D5)),"")</f>
        <v>Todos</v>
      </c>
      <c r="U5" s="22">
        <f t="array" ref="U5">IF(ISNUMBER($J5),INDEX('Cálculos'!$C$113:$F$113,$J5)+IF($K5="Normal",INDEX('Cálculos'!$C$114:$F$114,$J5),IF($K5="Carregado",INDEX('Cálculos'!$C$115:$F$115,$J5),IF($K5="Habilidade",INDEX('Cálculos'!$C$116:$F$116,$J5),IF($K5="Supremo",INDEX('Cálculos'!$C$117:$F$117,$J5),0))))+INDEX('Cálculos'!$C$143:$F$147,IFERROR(MATCH($T5,'Perfis de buff'!$A$4:$A$8,0),1),$J5)+IF($K5="Normal",INDEX('Cálculos'!$C$148:$F$152,IFERROR(MATCH($T5,'Perfis de buff'!$A$4:$A$8,0),1),$J5),IF($K5="Carregado",INDEX('Cálculos'!$C$153:$F$157,IFERROR(MATCH($T5,'Perfis de buff'!$A$4:$A$8,0),1),$J5),IF($K5="Habilidade",INDEX('Cálculos'!$C$158:$F$162,IFERROR(MATCH($T5,'Perfis de buff'!$A$4:$A$8,0),1),$J5),IF($K5="Supremo",INDEX('Cálculos'!$C$163:$F$167,IFERROR(MATCH($T5,'Perfis de buff'!$A$4:$A$8,0),1),$J5),0))))+N($E5),"")</f>
        <v>1.416</v>
      </c>
      <c r="V5" s="16">
        <f t="array" ref="V5">IF(ISNUMBER($J5),INDEX('Cálculos'!$C$180:$F$180,$J5),"")</f>
        <v>0.4871794872</v>
      </c>
      <c r="W5" s="16">
        <f t="array" ref="W5">IF(ISNUMBER($J5),INDEX('Cálculos'!$C$182:$F$182,$J5),"")</f>
        <v>1.05</v>
      </c>
      <c r="X5" s="16">
        <f t="shared" ref="X5:X64" si="2">IF(ISNUMBER($J5),IF($B5="",1,$B5)*(1+$U5)*$V5*$W5,"")</f>
        <v>1.235876923</v>
      </c>
      <c r="Y5" s="16">
        <f t="shared" ref="Y5:Y64" si="3">IF(ISNUMBER($J5),$X5*$N5,"")</f>
        <v>2.416139385</v>
      </c>
      <c r="Z5" s="16">
        <f t="shared" ref="Z5:Z64" si="4">IF(ISNUMBER($J5),$X5*$O5,"")</f>
        <v>0</v>
      </c>
      <c r="AA5" s="16">
        <f t="shared" ref="AA5:AA64" si="5">IF(ISNUMBER($J5),$X5*$P5,"")</f>
        <v>0</v>
      </c>
      <c r="AB5" s="16">
        <f t="shared" ref="AB5:AB64" si="6">IF(ISNUMBER($J5),$X5*$Q5,"")</f>
        <v>0</v>
      </c>
      <c r="AC5" s="21">
        <f t="array" ref="AC5">IF(ISNUMBER($J5),INDEX('Cálculos'!$C$332:$F$336,IFERROR(MATCH($T5,'Perfis de buff'!$A$4:$A$8,0),1),$J5),"")</f>
        <v>5791.25</v>
      </c>
      <c r="AD5" s="21">
        <f t="array" ref="AD5">IF(ISNUMBER($J5),INDEX('Cálculos'!$C$339:$F$343,IFERROR(MATCH($T5,'Perfis de buff'!$A$4:$A$8,0),1),$J5),"")</f>
        <v>424</v>
      </c>
      <c r="AE5" s="21">
        <f t="array" ref="AE5">IF(ISNUMBER($J5),INDEX('Cálculos'!$C$337:$F$337,$J5),"")</f>
        <v>19082.648</v>
      </c>
      <c r="AF5" s="21">
        <f t="array" ref="AF5">IF(ISNUMBER($J5),INDEX('Cálculos'!$C$338:$F$338,$J5),"")</f>
        <v>929.208</v>
      </c>
      <c r="AG5" s="16">
        <f t="array" ref="AG5">IF(ISNUMBER($J5),IF($S5="Derreter",INDEX('Cálculos'!$C$124:$F$124,$J5)*(1+2.78*$AD5/($AD5+1400)+INDEX('Cálculos'!$C$122:$F$122,$J5)),IF($S5="Vaporizar",INDEX('Cálculos'!$C$125:$F$125,$J5)*(1+2.78*$AD5/($AD5+1400)+INDEX('Cálculos'!$C$123:$F$123,$J5)),1)),"")</f>
        <v>3.29245614</v>
      </c>
      <c r="AH5" s="21">
        <f t="shared" ref="AH5:AH64" si="7">IF(ISNUMBER($J5),(($AC5*$N5+$AD5*$O5+$AE5*$P5+$AF5*$Q5)*$X5+$AL5)*$AG5,"")</f>
        <v>46069.58459</v>
      </c>
      <c r="AI5" s="21">
        <f t="array" ref="AI5">IF(ISNUMBER($J5),$AH5*(1+INDEX('Cálculos'!$C$331:$F$331,$J5)),"")</f>
        <v>152858.8817</v>
      </c>
      <c r="AJ5" s="21">
        <f t="array" ref="AJ5">IF(ISNUMBER($J5),$AH5*(1+MIN(INDEX('Cálculos'!$C$330:$F$330,$J5),1)*INDEX('Cálculos'!$C$331:$F$331,$J5)),"")</f>
        <v>151684.1994</v>
      </c>
      <c r="AK5" s="21">
        <f>IF(ISNUMBER($J5),'Fixo (cálculo)'!$AF5,"")</f>
        <v>0</v>
      </c>
      <c r="AL5" s="26">
        <f t="shared" ref="AL5:AL64" si="8">IF(ISNUMBER($J5),$AK5*(1+$U5)*$V5*$W5,"")</f>
        <v>0</v>
      </c>
      <c r="AN5" s="8" t="s">
        <v>217</v>
      </c>
    </row>
    <row r="6">
      <c r="A6" s="7" t="s">
        <v>175</v>
      </c>
      <c r="B6" s="7">
        <v>1.0</v>
      </c>
      <c r="C6" s="7" t="s">
        <v>97</v>
      </c>
      <c r="D6" s="10" t="s">
        <v>105</v>
      </c>
      <c r="E6" s="11">
        <v>-0.012</v>
      </c>
      <c r="F6" s="4" t="str">
        <f>IF($A6="","",IF(ISNUMBER(MATCH($A6,'Golpes extras'!$A$2:$A$101,0)),"Sim","Não"))</f>
        <v>Sim</v>
      </c>
      <c r="G6" s="4" t="str">
        <f t="array" ref="G6">IF($A6="","",IF($F6="Sim",INDEX('Golpes extras'!$B$2:$B$101,MATCH($A6,'Golpes extras'!$A$2:$A$101,0))&amp;"",$A6))</f>
        <v>Mavuika - Supremo: Skill DMG</v>
      </c>
      <c r="H6" s="4">
        <f>IF($G6="","",IFERROR(MATCH($G6,L_Golpes!$A$2:$A$6000,0),""))</f>
        <v>55</v>
      </c>
      <c r="I6" s="4" t="str">
        <f t="array" ref="I6">IF($A6="","",IF(ISNUMBER($H6),INDEX(L_Golpes!$B$2:$B$6000,$H6),IF(IFERROR(INDEX('Golpes extras'!$C$2:$C$101,MATCH($A6,'Golpes extras'!$A$2:$A$101,0))&amp;"","")&lt;&gt;"",INDEX('Golpes extras'!$C$2:$C$101,MATCH($A6,'Golpes extras'!$A$2:$A$101,0))&amp;"","golpe?")))</f>
        <v>Mavuika</v>
      </c>
      <c r="J6" s="4">
        <f>IF(OR($I6="",$I6="golpe?"),"",IFERROR(MATCH($I6,Time!$B$4:$E$4,0),"fora do time"))</f>
        <v>1</v>
      </c>
      <c r="K6" s="4" t="str">
        <f t="array" ref="K6">IF(ISNUMBER($J6),IF(IFERROR(INDEX('Golpes extras'!$D$2:$D$101,MATCH($A6,'Golpes extras'!$A$2:$A$101,0))&amp;"","")&lt;&gt;"",INDEX('Golpes extras'!$D$2:$D$101,MATCH($A6,'Golpes extras'!$A$2:$A$101,0))&amp;"",IF(ISNUMBER($H6),INDEX(L_Golpes!$D$2:$D$6000,$H6),"Outro")),"")</f>
        <v>Supremo</v>
      </c>
      <c r="L6" s="4" t="str">
        <f t="array" ref="L6">IF(ISNUMBER($J6),IF(ISNUMBER($H6),INDEX(L_Golpes!$C$2:$C$6000,$H6),""),"")</f>
        <v>Supremo</v>
      </c>
      <c r="M6" s="4">
        <f t="array" ref="M6">IF(ISNUMBER($J6),IF($L6="Normal",INDEX('Cálculos'!$C$14:$F$14,$J6),IF($L6="Habilidade",INDEX('Cálculos'!$C$15:$F$15,$J6),IF($L6="Supremo",INDEX('Cálculos'!$C$16:$F$16,$J6),""))),"")</f>
        <v>10</v>
      </c>
      <c r="N6" s="16">
        <f t="array" ref="N6">IF(ISNUMBER($J6),IF(ISNUMBER($H6),INDEX(L_Golpes!$F$2:$T$6000,$H6,MAX(1,MIN(15,$M6))),0)+IF($F6="Sim",N(INDEX('Golpes extras'!$E$2:$E$101,MATCH($A6,'Golpes extras'!$A$2:$A$101,0))),0),"")</f>
        <v>13.7664</v>
      </c>
      <c r="O6" s="17">
        <f t="array" ref="O6">IF(ISNUMBER($J6),IF(ISNUMBER($H6),INDEX(L_Golpes!$U$2:$AI$6000,$H6,MAX(1,MIN(15,$M6))),0)+IF($F6="Sim",N(INDEX('Golpes extras'!$F$2:$F$101,MATCH($A6,'Golpes extras'!$A$2:$A$101,0))),0),"")</f>
        <v>0</v>
      </c>
      <c r="P6" s="16">
        <f t="array" ref="P6">IF(ISNUMBER($J6),IF(ISNUMBER($H6),INDEX(L_Golpes!$AJ$2:$AX$6000,$H6,MAX(1,MIN(15,$M6))),0)+IF($F6="Sim",N(INDEX('Golpes extras'!$G$2:$G$101,MATCH($A6,'Golpes extras'!$A$2:$A$101,0))),0),"")</f>
        <v>0</v>
      </c>
      <c r="Q6" s="16">
        <f t="array" ref="Q6">IF(ISNUMBER($J6),IF(ISNUMBER($H6),INDEX(L_Golpes!$AY$2:$BM$6000,$H6,MAX(1,MIN(15,$M6))),0)+IF($F6="Sim",N(INDEX('Golpes extras'!$H$2:$H$101,MATCH($A6,'Golpes extras'!$A$2:$A$101,0))),0),"")</f>
        <v>0</v>
      </c>
      <c r="R6" s="4" t="str">
        <f t="array" ref="R6">IF(ISNUMBER($J6),INDEX('Cálculos'!$C$19:$F$19,$J6),"")</f>
        <v>Pyro</v>
      </c>
      <c r="S6" s="4" t="str">
        <f t="shared" si="1"/>
        <v>Derreter</v>
      </c>
      <c r="T6" s="4" t="str">
        <f>IF(ISNUMBER($J6),IF(OR($D6="Não",$D6=FALSE),'Perfis de buff'!$A$8,IF(OR($D6="",$D6="Sim",$D6=TRUE),'Perfis de buff'!$A$4,$D6)),"")</f>
        <v>Todos</v>
      </c>
      <c r="U6" s="22">
        <f t="array" ref="U6">IF(ISNUMBER($J6),INDEX('Cálculos'!$C$113:$F$113,$J6)+IF($K6="Normal",INDEX('Cálculos'!$C$114:$F$114,$J6),IF($K6="Carregado",INDEX('Cálculos'!$C$115:$F$115,$J6),IF($K6="Habilidade",INDEX('Cálculos'!$C$116:$F$116,$J6),IF($K6="Supremo",INDEX('Cálculos'!$C$117:$F$117,$J6),0))))+INDEX('Cálculos'!$C$143:$F$147,IFERROR(MATCH($T6,'Perfis de buff'!$A$4:$A$8,0),1),$J6)+IF($K6="Normal",INDEX('Cálculos'!$C$148:$F$152,IFERROR(MATCH($T6,'Perfis de buff'!$A$4:$A$8,0),1),$J6),IF($K6="Carregado",INDEX('Cálculos'!$C$153:$F$157,IFERROR(MATCH($T6,'Perfis de buff'!$A$4:$A$8,0),1),$J6),IF($K6="Habilidade",INDEX('Cálculos'!$C$158:$F$162,IFERROR(MATCH($T6,'Perfis de buff'!$A$4:$A$8,0),1),$J6),IF($K6="Supremo",INDEX('Cálculos'!$C$163:$F$167,IFERROR(MATCH($T6,'Perfis de buff'!$A$4:$A$8,0),1),$J6),0))))+N($E6),"")</f>
        <v>1.804</v>
      </c>
      <c r="V6" s="16">
        <f t="array" ref="V6">IF(ISNUMBER($J6),INDEX('Cálculos'!$C$180:$F$180,$J6),"")</f>
        <v>0.4871794872</v>
      </c>
      <c r="W6" s="16">
        <f t="array" ref="W6">IF(ISNUMBER($J6),INDEX('Cálculos'!$C$182:$F$182,$J6),"")</f>
        <v>1.05</v>
      </c>
      <c r="X6" s="16">
        <f t="shared" si="2"/>
        <v>1.434353846</v>
      </c>
      <c r="Y6" s="16">
        <f t="shared" si="3"/>
        <v>19.74588879</v>
      </c>
      <c r="Z6" s="16">
        <f t="shared" si="4"/>
        <v>0</v>
      </c>
      <c r="AA6" s="16">
        <f t="shared" si="5"/>
        <v>0</v>
      </c>
      <c r="AB6" s="16">
        <f t="shared" si="6"/>
        <v>0</v>
      </c>
      <c r="AC6" s="21">
        <f t="array" ref="AC6">IF(ISNUMBER($J6),INDEX('Cálculos'!$C$332:$F$336,IFERROR(MATCH($T6,'Perfis de buff'!$A$4:$A$8,0),1),$J6),"")</f>
        <v>5791.25</v>
      </c>
      <c r="AD6" s="21">
        <f t="array" ref="AD6">IF(ISNUMBER($J6),INDEX('Cálculos'!$C$339:$F$343,IFERROR(MATCH($T6,'Perfis de buff'!$A$4:$A$8,0),1),$J6),"")</f>
        <v>424</v>
      </c>
      <c r="AE6" s="21">
        <f t="array" ref="AE6">IF(ISNUMBER($J6),INDEX('Cálculos'!$C$337:$F$337,$J6),"")</f>
        <v>19082.648</v>
      </c>
      <c r="AF6" s="21">
        <f t="array" ref="AF6">IF(ISNUMBER($J6),INDEX('Cálculos'!$C$338:$F$338,$J6),"")</f>
        <v>929.208</v>
      </c>
      <c r="AG6" s="16">
        <f t="array" ref="AG6">IF(ISNUMBER($J6),IF($S6="Derreter",INDEX('Cálculos'!$C$124:$F$124,$J6)*(1+2.78*$AD6/($AD6+1400)+INDEX('Cálculos'!$C$122:$F$122,$J6)),IF($S6="Vaporizar",INDEX('Cálculos'!$C$125:$F$125,$J6)*(1+2.78*$AD6/($AD6+1400)+INDEX('Cálculos'!$C$123:$F$123,$J6)),1)),"")</f>
        <v>3.29245614</v>
      </c>
      <c r="AH6" s="21">
        <f t="shared" si="7"/>
        <v>376503.483</v>
      </c>
      <c r="AI6" s="21">
        <f t="array" ref="AI6">IF(ISNUMBER($J6),$AH6*(1+INDEX('Cálculos'!$C$331:$F$331,$J6)),"")</f>
        <v>1249238.557</v>
      </c>
      <c r="AJ6" s="21">
        <f t="array" ref="AJ6">IF(ISNUMBER($J6),$AH6*(1+MIN(INDEX('Cálculos'!$C$330:$F$330,$J6),1)*INDEX('Cálculos'!$C$331:$F$331,$J6)),"")</f>
        <v>1239638.471</v>
      </c>
      <c r="AK6" s="21">
        <f>IF(ISNUMBER($J6),'Fixo (cálculo)'!$AF6,"")</f>
        <v>0</v>
      </c>
      <c r="AL6" s="26">
        <f t="shared" si="8"/>
        <v>0</v>
      </c>
      <c r="AN6" s="8" t="s">
        <v>269</v>
      </c>
    </row>
    <row r="7">
      <c r="A7" s="7" t="s">
        <v>169</v>
      </c>
      <c r="B7" s="7">
        <v>1.0</v>
      </c>
      <c r="C7" s="7" t="s">
        <v>270</v>
      </c>
      <c r="D7" s="10" t="s">
        <v>105</v>
      </c>
      <c r="E7" s="11">
        <v>-0.016</v>
      </c>
      <c r="F7" s="4" t="str">
        <f>IF($A7="","",IF(ISNUMBER(MATCH($A7,'Golpes extras'!$A$2:$A$101,0)),"Sim","Não"))</f>
        <v>Sim</v>
      </c>
      <c r="G7" s="4" t="str">
        <f t="array" ref="G7">IF($A7="","",IF($F7="Sim",INDEX('Golpes extras'!$B$2:$B$101,MATCH($A7,'Golpes extras'!$A$2:$A$101,0))&amp;"",$A7))</f>
        <v>Mavuika - Habilidade: Flamestrider Charged Attack Cyclic DMG</v>
      </c>
      <c r="H7" s="4">
        <f>IF($G7="","",IFERROR(MATCH($G7,L_Golpes!$A$2:$A$6000,0),""))</f>
        <v>52</v>
      </c>
      <c r="I7" s="4" t="str">
        <f t="array" ref="I7">IF($A7="","",IF(ISNUMBER($H7),INDEX(L_Golpes!$B$2:$B$6000,$H7),IF(IFERROR(INDEX('Golpes extras'!$C$2:$C$101,MATCH($A7,'Golpes extras'!$A$2:$A$101,0))&amp;"","")&lt;&gt;"",INDEX('Golpes extras'!$C$2:$C$101,MATCH($A7,'Golpes extras'!$A$2:$A$101,0))&amp;"","golpe?")))</f>
        <v>Mavuika</v>
      </c>
      <c r="J7" s="4">
        <f>IF(OR($I7="",$I7="golpe?"),"",IFERROR(MATCH($I7,Time!$B$4:$E$4,0),"fora do time"))</f>
        <v>1</v>
      </c>
      <c r="K7" s="4" t="str">
        <f t="array" ref="K7">IF(ISNUMBER($J7),IF(IFERROR(INDEX('Golpes extras'!$D$2:$D$101,MATCH($A7,'Golpes extras'!$A$2:$A$101,0))&amp;"","")&lt;&gt;"",INDEX('Golpes extras'!$D$2:$D$101,MATCH($A7,'Golpes extras'!$A$2:$A$101,0))&amp;"",IF(ISNUMBER($H7),INDEX(L_Golpes!$D$2:$D$6000,$H7),"Outro")),"")</f>
        <v>Carregado</v>
      </c>
      <c r="L7" s="4" t="str">
        <f t="array" ref="L7">IF(ISNUMBER($J7),IF(ISNUMBER($H7),INDEX(L_Golpes!$C$2:$C$6000,$H7),""),"")</f>
        <v>Habilidade</v>
      </c>
      <c r="M7" s="4">
        <f t="array" ref="M7">IF(ISNUMBER($J7),IF($L7="Normal",INDEX('Cálculos'!$C$14:$F$14,$J7),IF($L7="Habilidade",INDEX('Cálculos'!$C$15:$F$15,$J7),IF($L7="Supremo",INDEX('Cálculos'!$C$16:$F$16,$J7),""))),"")</f>
        <v>10</v>
      </c>
      <c r="N7" s="16">
        <f t="array" ref="N7">IF(ISNUMBER($J7),IF(ISNUMBER($H7),INDEX(L_Golpes!$F$2:$T$6000,$H7,MAX(1,MIN(15,$M7))),0)+IF($F7="Sim",N(INDEX('Golpes extras'!$E$2:$E$101,MATCH($A7,'Golpes extras'!$A$2:$A$101,0))),0),"")</f>
        <v>3.995</v>
      </c>
      <c r="O7" s="17">
        <f t="array" ref="O7">IF(ISNUMBER($J7),IF(ISNUMBER($H7),INDEX(L_Golpes!$U$2:$AI$6000,$H7,MAX(1,MIN(15,$M7))),0)+IF($F7="Sim",N(INDEX('Golpes extras'!$F$2:$F$101,MATCH($A7,'Golpes extras'!$A$2:$A$101,0))),0),"")</f>
        <v>0</v>
      </c>
      <c r="P7" s="16">
        <f t="array" ref="P7">IF(ISNUMBER($J7),IF(ISNUMBER($H7),INDEX(L_Golpes!$AJ$2:$AX$6000,$H7,MAX(1,MIN(15,$M7))),0)+IF($F7="Sim",N(INDEX('Golpes extras'!$G$2:$G$101,MATCH($A7,'Golpes extras'!$A$2:$A$101,0))),0),"")</f>
        <v>0</v>
      </c>
      <c r="Q7" s="16">
        <f t="array" ref="Q7">IF(ISNUMBER($J7),IF(ISNUMBER($H7),INDEX(L_Golpes!$AY$2:$BM$6000,$H7,MAX(1,MIN(15,$M7))),0)+IF($F7="Sim",N(INDEX('Golpes extras'!$H$2:$H$101,MATCH($A7,'Golpes extras'!$A$2:$A$101,0))),0),"")</f>
        <v>0</v>
      </c>
      <c r="R7" s="4" t="str">
        <f t="array" ref="R7">IF(ISNUMBER($J7),INDEX('Cálculos'!$C$19:$F$19,$J7),"")</f>
        <v>Pyro</v>
      </c>
      <c r="S7" s="4" t="str">
        <f t="shared" si="1"/>
        <v>Nenhuma</v>
      </c>
      <c r="T7" s="4" t="str">
        <f>IF(ISNUMBER($J7),IF(OR($D7="Não",$D7=FALSE),'Perfis de buff'!$A$8,IF(OR($D7="",$D7="Sim",$D7=TRUE),'Perfis de buff'!$A$4,$D7)),"")</f>
        <v>Todos</v>
      </c>
      <c r="U7" s="22">
        <f t="array" ref="U7">IF(ISNUMBER($J7),INDEX('Cálculos'!$C$113:$F$113,$J7)+IF($K7="Normal",INDEX('Cálculos'!$C$114:$F$114,$J7),IF($K7="Carregado",INDEX('Cálculos'!$C$115:$F$115,$J7),IF($K7="Habilidade",INDEX('Cálculos'!$C$116:$F$116,$J7),IF($K7="Supremo",INDEX('Cálculos'!$C$117:$F$117,$J7),0))))+INDEX('Cálculos'!$C$143:$F$147,IFERROR(MATCH($T7,'Perfis de buff'!$A$4:$A$8,0),1),$J7)+IF($K7="Normal",INDEX('Cálculos'!$C$148:$F$152,IFERROR(MATCH($T7,'Perfis de buff'!$A$4:$A$8,0),1),$J7),IF($K7="Carregado",INDEX('Cálculos'!$C$153:$F$157,IFERROR(MATCH($T7,'Perfis de buff'!$A$4:$A$8,0),1),$J7),IF($K7="Habilidade",INDEX('Cálculos'!$C$158:$F$162,IFERROR(MATCH($T7,'Perfis de buff'!$A$4:$A$8,0),1),$J7),IF($K7="Supremo",INDEX('Cálculos'!$C$163:$F$167,IFERROR(MATCH($T7,'Perfis de buff'!$A$4:$A$8,0),1),$J7),0))))+N($E7),"")</f>
        <v>1.8</v>
      </c>
      <c r="V7" s="16">
        <f t="array" ref="V7">IF(ISNUMBER($J7),INDEX('Cálculos'!$C$180:$F$180,$J7),"")</f>
        <v>0.4871794872</v>
      </c>
      <c r="W7" s="16">
        <f t="array" ref="W7">IF(ISNUMBER($J7),INDEX('Cálculos'!$C$182:$F$182,$J7),"")</f>
        <v>1.05</v>
      </c>
      <c r="X7" s="16">
        <f t="shared" si="2"/>
        <v>1.432307692</v>
      </c>
      <c r="Y7" s="16">
        <f t="shared" si="3"/>
        <v>5.722069231</v>
      </c>
      <c r="Z7" s="16">
        <f t="shared" si="4"/>
        <v>0</v>
      </c>
      <c r="AA7" s="16">
        <f t="shared" si="5"/>
        <v>0</v>
      </c>
      <c r="AB7" s="16">
        <f t="shared" si="6"/>
        <v>0</v>
      </c>
      <c r="AC7" s="21">
        <f t="array" ref="AC7">IF(ISNUMBER($J7),INDEX('Cálculos'!$C$332:$F$336,IFERROR(MATCH($T7,'Perfis de buff'!$A$4:$A$8,0),1),$J7),"")</f>
        <v>5791.25</v>
      </c>
      <c r="AD7" s="21">
        <f t="array" ref="AD7">IF(ISNUMBER($J7),INDEX('Cálculos'!$C$339:$F$343,IFERROR(MATCH($T7,'Perfis de buff'!$A$4:$A$8,0),1),$J7),"")</f>
        <v>424</v>
      </c>
      <c r="AE7" s="21">
        <f t="array" ref="AE7">IF(ISNUMBER($J7),INDEX('Cálculos'!$C$337:$F$337,$J7),"")</f>
        <v>19082.648</v>
      </c>
      <c r="AF7" s="21">
        <f t="array" ref="AF7">IF(ISNUMBER($J7),INDEX('Cálculos'!$C$338:$F$338,$J7),"")</f>
        <v>929.208</v>
      </c>
      <c r="AG7" s="16">
        <f t="array" ref="AG7">IF(ISNUMBER($J7),IF($S7="Derreter",INDEX('Cálculos'!$C$124:$F$124,$J7)*(1+2.78*$AD7/($AD7+1400)+INDEX('Cálculos'!$C$122:$F$122,$J7)),IF($S7="Vaporizar",INDEX('Cálculos'!$C$125:$F$125,$J7)*(1+2.78*$AD7/($AD7+1400)+INDEX('Cálculos'!$C$123:$F$123,$J7)),1)),"")</f>
        <v>1</v>
      </c>
      <c r="AH7" s="21">
        <f t="shared" si="7"/>
        <v>33137.93343</v>
      </c>
      <c r="AI7" s="21">
        <f t="array" ref="AI7">IF(ISNUMBER($J7),$AH7*(1+INDEX('Cálculos'!$C$331:$F$331,$J7)),"")</f>
        <v>109951.6631</v>
      </c>
      <c r="AJ7" s="21">
        <f t="array" ref="AJ7">IF(ISNUMBER($J7),$AH7*(1+MIN(INDEX('Cálculos'!$C$330:$F$330,$J7),1)*INDEX('Cálculos'!$C$331:$F$331,$J7)),"")</f>
        <v>109106.7121</v>
      </c>
      <c r="AK7" s="21">
        <f>IF(ISNUMBER($J7),'Fixo (cálculo)'!$AF7,"")</f>
        <v>0</v>
      </c>
      <c r="AL7" s="26">
        <f t="shared" si="8"/>
        <v>0</v>
      </c>
      <c r="AN7" s="8" t="s">
        <v>293</v>
      </c>
    </row>
    <row r="8">
      <c r="A8" s="7" t="s">
        <v>294</v>
      </c>
      <c r="B8" s="7">
        <v>1.0</v>
      </c>
      <c r="C8" s="7" t="s">
        <v>270</v>
      </c>
      <c r="D8" s="10" t="s">
        <v>105</v>
      </c>
      <c r="E8" s="11">
        <v>-0.029</v>
      </c>
      <c r="F8" s="4" t="str">
        <f>IF($A8="","",IF(ISNUMBER(MATCH($A8,'Golpes extras'!$A$2:$A$101,0)),"Sim","Não"))</f>
        <v>Não</v>
      </c>
      <c r="G8" s="4" t="str">
        <f t="array" ref="G8">IF($A8="","",IF($F8="Sim",INDEX('Golpes extras'!$B$2:$B$101,MATCH($A8,'Golpes extras'!$A$2:$A$101,0))&amp;"",$A8))</f>
        <v>Mavuika - Habilidade: Flamestrider Sprint DMG</v>
      </c>
      <c r="H8" s="4">
        <f>IF($G8="","",IFERROR(MATCH($G8,L_Golpes!$A$2:$A$6000,0),""))</f>
        <v>51</v>
      </c>
      <c r="I8" s="4" t="str">
        <f t="array" ref="I8">IF($A8="","",IF(ISNUMBER($H8),INDEX(L_Golpes!$B$2:$B$6000,$H8),IF(IFERROR(INDEX('Golpes extras'!$C$2:$C$101,MATCH($A8,'Golpes extras'!$A$2:$A$101,0))&amp;"","")&lt;&gt;"",INDEX('Golpes extras'!$C$2:$C$101,MATCH($A8,'Golpes extras'!$A$2:$A$101,0))&amp;"","golpe?")))</f>
        <v>Mavuika</v>
      </c>
      <c r="J8" s="4">
        <f>IF(OR($I8="",$I8="golpe?"),"",IFERROR(MATCH($I8,Time!$B$4:$E$4,0),"fora do time"))</f>
        <v>1</v>
      </c>
      <c r="K8" s="4" t="str">
        <f t="array" ref="K8">IF(ISNUMBER($J8),IF(IFERROR(INDEX('Golpes extras'!$D$2:$D$101,MATCH($A8,'Golpes extras'!$A$2:$A$101,0))&amp;"","")&lt;&gt;"",INDEX('Golpes extras'!$D$2:$D$101,MATCH($A8,'Golpes extras'!$A$2:$A$101,0))&amp;"",IF(ISNUMBER($H8),INDEX(L_Golpes!$D$2:$D$6000,$H8),"Outro")),"")</f>
        <v>Habilidade</v>
      </c>
      <c r="L8" s="4" t="str">
        <f t="array" ref="L8">IF(ISNUMBER($J8),IF(ISNUMBER($H8),INDEX(L_Golpes!$C$2:$C$6000,$H8),""),"")</f>
        <v>Habilidade</v>
      </c>
      <c r="M8" s="4">
        <f t="array" ref="M8">IF(ISNUMBER($J8),IF($L8="Normal",INDEX('Cálculos'!$C$14:$F$14,$J8),IF($L8="Habilidade",INDEX('Cálculos'!$C$15:$F$15,$J8),IF($L8="Supremo",INDEX('Cálculos'!$C$16:$F$16,$J8),""))),"")</f>
        <v>10</v>
      </c>
      <c r="N8" s="16">
        <f t="array" ref="N8">IF(ISNUMBER($J8),IF(ISNUMBER($H8),INDEX(L_Golpes!$F$2:$T$6000,$H8,MAX(1,MIN(15,$M8))),0)+IF($F8="Sim",N(INDEX('Golpes extras'!$E$2:$E$101,MATCH($A8,'Golpes extras'!$A$2:$A$101,0))),0),"")</f>
        <v>1.598</v>
      </c>
      <c r="O8" s="17">
        <f t="array" ref="O8">IF(ISNUMBER($J8),IF(ISNUMBER($H8),INDEX(L_Golpes!$U$2:$AI$6000,$H8,MAX(1,MIN(15,$M8))),0)+IF($F8="Sim",N(INDEX('Golpes extras'!$F$2:$F$101,MATCH($A8,'Golpes extras'!$A$2:$A$101,0))),0),"")</f>
        <v>0</v>
      </c>
      <c r="P8" s="16">
        <f t="array" ref="P8">IF(ISNUMBER($J8),IF(ISNUMBER($H8),INDEX(L_Golpes!$AJ$2:$AX$6000,$H8,MAX(1,MIN(15,$M8))),0)+IF($F8="Sim",N(INDEX('Golpes extras'!$G$2:$G$101,MATCH($A8,'Golpes extras'!$A$2:$A$101,0))),0),"")</f>
        <v>0</v>
      </c>
      <c r="Q8" s="16">
        <f t="array" ref="Q8">IF(ISNUMBER($J8),IF(ISNUMBER($H8),INDEX(L_Golpes!$AY$2:$BM$6000,$H8,MAX(1,MIN(15,$M8))),0)+IF($F8="Sim",N(INDEX('Golpes extras'!$H$2:$H$101,MATCH($A8,'Golpes extras'!$A$2:$A$101,0))),0),"")</f>
        <v>0</v>
      </c>
      <c r="R8" s="4" t="str">
        <f t="array" ref="R8">IF(ISNUMBER($J8),INDEX('Cálculos'!$C$19:$F$19,$J8),"")</f>
        <v>Pyro</v>
      </c>
      <c r="S8" s="4" t="str">
        <f t="shared" si="1"/>
        <v>Nenhuma</v>
      </c>
      <c r="T8" s="4" t="str">
        <f>IF(ISNUMBER($J8),IF(OR($D8="Não",$D8=FALSE),'Perfis de buff'!$A$8,IF(OR($D8="",$D8="Sim",$D8=TRUE),'Perfis de buff'!$A$4,$D8)),"")</f>
        <v>Todos</v>
      </c>
      <c r="U8" s="22">
        <f t="array" ref="U8">IF(ISNUMBER($J8),INDEX('Cálculos'!$C$113:$F$113,$J8)+IF($K8="Normal",INDEX('Cálculos'!$C$114:$F$114,$J8),IF($K8="Carregado",INDEX('Cálculos'!$C$115:$F$115,$J8),IF($K8="Habilidade",INDEX('Cálculos'!$C$116:$F$116,$J8),IF($K8="Supremo",INDEX('Cálculos'!$C$117:$F$117,$J8),0))))+INDEX('Cálculos'!$C$143:$F$147,IFERROR(MATCH($T8,'Perfis de buff'!$A$4:$A$8,0),1),$J8)+IF($K8="Normal",INDEX('Cálculos'!$C$148:$F$152,IFERROR(MATCH($T8,'Perfis de buff'!$A$4:$A$8,0),1),$J8),IF($K8="Carregado",INDEX('Cálculos'!$C$153:$F$157,IFERROR(MATCH($T8,'Perfis de buff'!$A$4:$A$8,0),1),$J8),IF($K8="Habilidade",INDEX('Cálculos'!$C$158:$F$162,IFERROR(MATCH($T8,'Perfis de buff'!$A$4:$A$8,0),1),$J8),IF($K8="Supremo",INDEX('Cálculos'!$C$163:$F$167,IFERROR(MATCH($T8,'Perfis de buff'!$A$4:$A$8,0),1),$J8),0))))+N($E8),"")</f>
        <v>1.787</v>
      </c>
      <c r="V8" s="16">
        <f t="array" ref="V8">IF(ISNUMBER($J8),INDEX('Cálculos'!$C$180:$F$180,$J8),"")</f>
        <v>0.4871794872</v>
      </c>
      <c r="W8" s="16">
        <f t="array" ref="W8">IF(ISNUMBER($J8),INDEX('Cálculos'!$C$182:$F$182,$J8),"")</f>
        <v>1.05</v>
      </c>
      <c r="X8" s="16">
        <f t="shared" si="2"/>
        <v>1.425657692</v>
      </c>
      <c r="Y8" s="16">
        <f t="shared" si="3"/>
        <v>2.278200992</v>
      </c>
      <c r="Z8" s="16">
        <f t="shared" si="4"/>
        <v>0</v>
      </c>
      <c r="AA8" s="16">
        <f t="shared" si="5"/>
        <v>0</v>
      </c>
      <c r="AB8" s="16">
        <f t="shared" si="6"/>
        <v>0</v>
      </c>
      <c r="AC8" s="21">
        <f t="array" ref="AC8">IF(ISNUMBER($J8),INDEX('Cálculos'!$C$332:$F$336,IFERROR(MATCH($T8,'Perfis de buff'!$A$4:$A$8,0),1),$J8),"")</f>
        <v>5791.25</v>
      </c>
      <c r="AD8" s="21">
        <f t="array" ref="AD8">IF(ISNUMBER($J8),INDEX('Cálculos'!$C$339:$F$343,IFERROR(MATCH($T8,'Perfis de buff'!$A$4:$A$8,0),1),$J8),"")</f>
        <v>424</v>
      </c>
      <c r="AE8" s="21">
        <f t="array" ref="AE8">IF(ISNUMBER($J8),INDEX('Cálculos'!$C$337:$F$337,$J8),"")</f>
        <v>19082.648</v>
      </c>
      <c r="AF8" s="21">
        <f t="array" ref="AF8">IF(ISNUMBER($J8),INDEX('Cálculos'!$C$338:$F$338,$J8),"")</f>
        <v>929.208</v>
      </c>
      <c r="AG8" s="16">
        <f t="array" ref="AG8">IF(ISNUMBER($J8),IF($S8="Derreter",INDEX('Cálculos'!$C$124:$F$124,$J8)*(1+2.78*$AD8/($AD8+1400)+INDEX('Cálculos'!$C$122:$F$122,$J8)),IF($S8="Vaporizar",INDEX('Cálculos'!$C$125:$F$125,$J8)*(1+2.78*$AD8/($AD8+1400)+INDEX('Cálculos'!$C$123:$F$123,$J8)),1)),"")</f>
        <v>1</v>
      </c>
      <c r="AH8" s="21">
        <f t="shared" si="7"/>
        <v>13193.6315</v>
      </c>
      <c r="AI8" s="21">
        <f t="array" ref="AI8">IF(ISNUMBER($J8),$AH8*(1+INDEX('Cálculos'!$C$331:$F$331,$J8)),"")</f>
        <v>43776.46931</v>
      </c>
      <c r="AJ8" s="21">
        <f t="array" ref="AJ8">IF(ISNUMBER($J8),$AH8*(1+MIN(INDEX('Cálculos'!$C$330:$F$330,$J8),1)*INDEX('Cálculos'!$C$331:$F$331,$J8)),"")</f>
        <v>43440.05809</v>
      </c>
      <c r="AK8" s="21">
        <f>IF(ISNUMBER($J8),'Fixo (cálculo)'!$AF8,"")</f>
        <v>0</v>
      </c>
      <c r="AL8" s="26">
        <f t="shared" si="8"/>
        <v>0</v>
      </c>
      <c r="AN8" s="8" t="s">
        <v>307</v>
      </c>
    </row>
    <row r="9">
      <c r="A9" s="7" t="s">
        <v>169</v>
      </c>
      <c r="B9" s="7">
        <v>1.0</v>
      </c>
      <c r="C9" s="7" t="s">
        <v>97</v>
      </c>
      <c r="D9" s="10" t="s">
        <v>105</v>
      </c>
      <c r="E9" s="11">
        <v>-0.042</v>
      </c>
      <c r="F9" s="4" t="str">
        <f>IF($A9="","",IF(ISNUMBER(MATCH($A9,'Golpes extras'!$A$2:$A$101,0)),"Sim","Não"))</f>
        <v>Sim</v>
      </c>
      <c r="G9" s="4" t="str">
        <f t="array" ref="G9">IF($A9="","",IF($F9="Sim",INDEX('Golpes extras'!$B$2:$B$101,MATCH($A9,'Golpes extras'!$A$2:$A$101,0))&amp;"",$A9))</f>
        <v>Mavuika - Habilidade: Flamestrider Charged Attack Cyclic DMG</v>
      </c>
      <c r="H9" s="4">
        <f>IF($G9="","",IFERROR(MATCH($G9,L_Golpes!$A$2:$A$6000,0),""))</f>
        <v>52</v>
      </c>
      <c r="I9" s="4" t="str">
        <f t="array" ref="I9">IF($A9="","",IF(ISNUMBER($H9),INDEX(L_Golpes!$B$2:$B$6000,$H9),IF(IFERROR(INDEX('Golpes extras'!$C$2:$C$101,MATCH($A9,'Golpes extras'!$A$2:$A$101,0))&amp;"","")&lt;&gt;"",INDEX('Golpes extras'!$C$2:$C$101,MATCH($A9,'Golpes extras'!$A$2:$A$101,0))&amp;"","golpe?")))</f>
        <v>Mavuika</v>
      </c>
      <c r="J9" s="4">
        <f>IF(OR($I9="",$I9="golpe?"),"",IFERROR(MATCH($I9,Time!$B$4:$E$4,0),"fora do time"))</f>
        <v>1</v>
      </c>
      <c r="K9" s="4" t="str">
        <f t="array" ref="K9">IF(ISNUMBER($J9),IF(IFERROR(INDEX('Golpes extras'!$D$2:$D$101,MATCH($A9,'Golpes extras'!$A$2:$A$101,0))&amp;"","")&lt;&gt;"",INDEX('Golpes extras'!$D$2:$D$101,MATCH($A9,'Golpes extras'!$A$2:$A$101,0))&amp;"",IF(ISNUMBER($H9),INDEX(L_Golpes!$D$2:$D$6000,$H9),"Outro")),"")</f>
        <v>Carregado</v>
      </c>
      <c r="L9" s="4" t="str">
        <f t="array" ref="L9">IF(ISNUMBER($J9),IF(ISNUMBER($H9),INDEX(L_Golpes!$C$2:$C$6000,$H9),""),"")</f>
        <v>Habilidade</v>
      </c>
      <c r="M9" s="4">
        <f t="array" ref="M9">IF(ISNUMBER($J9),IF($L9="Normal",INDEX('Cálculos'!$C$14:$F$14,$J9),IF($L9="Habilidade",INDEX('Cálculos'!$C$15:$F$15,$J9),IF($L9="Supremo",INDEX('Cálculos'!$C$16:$F$16,$J9),""))),"")</f>
        <v>10</v>
      </c>
      <c r="N9" s="16">
        <f t="array" ref="N9">IF(ISNUMBER($J9),IF(ISNUMBER($H9),INDEX(L_Golpes!$F$2:$T$6000,$H9,MAX(1,MIN(15,$M9))),0)+IF($F9="Sim",N(INDEX('Golpes extras'!$E$2:$E$101,MATCH($A9,'Golpes extras'!$A$2:$A$101,0))),0),"")</f>
        <v>3.995</v>
      </c>
      <c r="O9" s="17">
        <f t="array" ref="O9">IF(ISNUMBER($J9),IF(ISNUMBER($H9),INDEX(L_Golpes!$U$2:$AI$6000,$H9,MAX(1,MIN(15,$M9))),0)+IF($F9="Sim",N(INDEX('Golpes extras'!$F$2:$F$101,MATCH($A9,'Golpes extras'!$A$2:$A$101,0))),0),"")</f>
        <v>0</v>
      </c>
      <c r="P9" s="16">
        <f t="array" ref="P9">IF(ISNUMBER($J9),IF(ISNUMBER($H9),INDEX(L_Golpes!$AJ$2:$AX$6000,$H9,MAX(1,MIN(15,$M9))),0)+IF($F9="Sim",N(INDEX('Golpes extras'!$G$2:$G$101,MATCH($A9,'Golpes extras'!$A$2:$A$101,0))),0),"")</f>
        <v>0</v>
      </c>
      <c r="Q9" s="16">
        <f t="array" ref="Q9">IF(ISNUMBER($J9),IF(ISNUMBER($H9),INDEX(L_Golpes!$AY$2:$BM$6000,$H9,MAX(1,MIN(15,$M9))),0)+IF($F9="Sim",N(INDEX('Golpes extras'!$H$2:$H$101,MATCH($A9,'Golpes extras'!$A$2:$A$101,0))),0),"")</f>
        <v>0</v>
      </c>
      <c r="R9" s="4" t="str">
        <f t="array" ref="R9">IF(ISNUMBER($J9),INDEX('Cálculos'!$C$19:$F$19,$J9),"")</f>
        <v>Pyro</v>
      </c>
      <c r="S9" s="4" t="str">
        <f t="shared" si="1"/>
        <v>Derreter</v>
      </c>
      <c r="T9" s="4" t="str">
        <f>IF(ISNUMBER($J9),IF(OR($D9="Não",$D9=FALSE),'Perfis de buff'!$A$8,IF(OR($D9="",$D9="Sim",$D9=TRUE),'Perfis de buff'!$A$4,$D9)),"")</f>
        <v>Todos</v>
      </c>
      <c r="U9" s="22">
        <f t="array" ref="U9">IF(ISNUMBER($J9),INDEX('Cálculos'!$C$113:$F$113,$J9)+IF($K9="Normal",INDEX('Cálculos'!$C$114:$F$114,$J9),IF($K9="Carregado",INDEX('Cálculos'!$C$115:$F$115,$J9),IF($K9="Habilidade",INDEX('Cálculos'!$C$116:$F$116,$J9),IF($K9="Supremo",INDEX('Cálculos'!$C$117:$F$117,$J9),0))))+INDEX('Cálculos'!$C$143:$F$147,IFERROR(MATCH($T9,'Perfis de buff'!$A$4:$A$8,0),1),$J9)+IF($K9="Normal",INDEX('Cálculos'!$C$148:$F$152,IFERROR(MATCH($T9,'Perfis de buff'!$A$4:$A$8,0),1),$J9),IF($K9="Carregado",INDEX('Cálculos'!$C$153:$F$157,IFERROR(MATCH($T9,'Perfis de buff'!$A$4:$A$8,0),1),$J9),IF($K9="Habilidade",INDEX('Cálculos'!$C$158:$F$162,IFERROR(MATCH($T9,'Perfis de buff'!$A$4:$A$8,0),1),$J9),IF($K9="Supremo",INDEX('Cálculos'!$C$163:$F$167,IFERROR(MATCH($T9,'Perfis de buff'!$A$4:$A$8,0),1),$J9),0))))+N($E9),"")</f>
        <v>1.774</v>
      </c>
      <c r="V9" s="16">
        <f t="array" ref="V9">IF(ISNUMBER($J9),INDEX('Cálculos'!$C$180:$F$180,$J9),"")</f>
        <v>0.4871794872</v>
      </c>
      <c r="W9" s="16">
        <f t="array" ref="W9">IF(ISNUMBER($J9),INDEX('Cálculos'!$C$182:$F$182,$J9),"")</f>
        <v>1.05</v>
      </c>
      <c r="X9" s="16">
        <f t="shared" si="2"/>
        <v>1.419007692</v>
      </c>
      <c r="Y9" s="16">
        <f t="shared" si="3"/>
        <v>5.668935731</v>
      </c>
      <c r="Z9" s="16">
        <f t="shared" si="4"/>
        <v>0</v>
      </c>
      <c r="AA9" s="16">
        <f t="shared" si="5"/>
        <v>0</v>
      </c>
      <c r="AB9" s="16">
        <f t="shared" si="6"/>
        <v>0</v>
      </c>
      <c r="AC9" s="21">
        <f t="array" ref="AC9">IF(ISNUMBER($J9),INDEX('Cálculos'!$C$332:$F$336,IFERROR(MATCH($T9,'Perfis de buff'!$A$4:$A$8,0),1),$J9),"")</f>
        <v>5791.25</v>
      </c>
      <c r="AD9" s="21">
        <f t="array" ref="AD9">IF(ISNUMBER($J9),INDEX('Cálculos'!$C$339:$F$343,IFERROR(MATCH($T9,'Perfis de buff'!$A$4:$A$8,0),1),$J9),"")</f>
        <v>424</v>
      </c>
      <c r="AE9" s="21">
        <f t="array" ref="AE9">IF(ISNUMBER($J9),INDEX('Cálculos'!$C$337:$F$337,$J9),"")</f>
        <v>19082.648</v>
      </c>
      <c r="AF9" s="21">
        <f t="array" ref="AF9">IF(ISNUMBER($J9),INDEX('Cálculos'!$C$338:$F$338,$J9),"")</f>
        <v>929.208</v>
      </c>
      <c r="AG9" s="16">
        <f t="array" ref="AG9">IF(ISNUMBER($J9),IF($S9="Derreter",INDEX('Cálculos'!$C$124:$F$124,$J9)*(1+2.78*$AD9/($AD9+1400)+INDEX('Cálculos'!$C$122:$F$122,$J9)),IF($S9="Vaporizar",INDEX('Cálculos'!$C$125:$F$125,$J9)*(1+2.78*$AD9/($AD9+1400)+INDEX('Cálculos'!$C$123:$F$123,$J9)),1)),"")</f>
        <v>3.29245614</v>
      </c>
      <c r="AH9" s="21">
        <f t="shared" si="7"/>
        <v>108092.0728</v>
      </c>
      <c r="AI9" s="21">
        <f t="array" ref="AI9">IF(ISNUMBER($J9),$AH9*(1+INDEX('Cálculos'!$C$331:$F$331,$J9)),"")</f>
        <v>358649.4974</v>
      </c>
      <c r="AJ9" s="21">
        <f t="array" ref="AJ9">IF(ISNUMBER($J9),$AH9*(1+MIN(INDEX('Cálculos'!$C$330:$F$330,$J9),1)*INDEX('Cálculos'!$C$331:$F$331,$J9)),"")</f>
        <v>355893.3658</v>
      </c>
      <c r="AK9" s="21">
        <f>IF(ISNUMBER($J9),'Fixo (cálculo)'!$AF9,"")</f>
        <v>0</v>
      </c>
      <c r="AL9" s="26">
        <f t="shared" si="8"/>
        <v>0</v>
      </c>
      <c r="AN9" s="8" t="s">
        <v>345</v>
      </c>
    </row>
    <row r="10">
      <c r="A10" s="7" t="s">
        <v>169</v>
      </c>
      <c r="B10" s="7">
        <v>1.0</v>
      </c>
      <c r="C10" s="7" t="s">
        <v>270</v>
      </c>
      <c r="D10" s="10" t="s">
        <v>105</v>
      </c>
      <c r="E10" s="11">
        <v>-0.055</v>
      </c>
      <c r="F10" s="4" t="str">
        <f>IF($A10="","",IF(ISNUMBER(MATCH($A10,'Golpes extras'!$A$2:$A$101,0)),"Sim","Não"))</f>
        <v>Sim</v>
      </c>
      <c r="G10" s="4" t="str">
        <f t="array" ref="G10">IF($A10="","",IF($F10="Sim",INDEX('Golpes extras'!$B$2:$B$101,MATCH($A10,'Golpes extras'!$A$2:$A$101,0))&amp;"",$A10))</f>
        <v>Mavuika - Habilidade: Flamestrider Charged Attack Cyclic DMG</v>
      </c>
      <c r="H10" s="4">
        <f>IF($G10="","",IFERROR(MATCH($G10,L_Golpes!$A$2:$A$6000,0),""))</f>
        <v>52</v>
      </c>
      <c r="I10" s="4" t="str">
        <f t="array" ref="I10">IF($A10="","",IF(ISNUMBER($H10),INDEX(L_Golpes!$B$2:$B$6000,$H10),IF(IFERROR(INDEX('Golpes extras'!$C$2:$C$101,MATCH($A10,'Golpes extras'!$A$2:$A$101,0))&amp;"","")&lt;&gt;"",INDEX('Golpes extras'!$C$2:$C$101,MATCH($A10,'Golpes extras'!$A$2:$A$101,0))&amp;"","golpe?")))</f>
        <v>Mavuika</v>
      </c>
      <c r="J10" s="4">
        <f>IF(OR($I10="",$I10="golpe?"),"",IFERROR(MATCH($I10,Time!$B$4:$E$4,0),"fora do time"))</f>
        <v>1</v>
      </c>
      <c r="K10" s="4" t="str">
        <f t="array" ref="K10">IF(ISNUMBER($J10),IF(IFERROR(INDEX('Golpes extras'!$D$2:$D$101,MATCH($A10,'Golpes extras'!$A$2:$A$101,0))&amp;"","")&lt;&gt;"",INDEX('Golpes extras'!$D$2:$D$101,MATCH($A10,'Golpes extras'!$A$2:$A$101,0))&amp;"",IF(ISNUMBER($H10),INDEX(L_Golpes!$D$2:$D$6000,$H10),"Outro")),"")</f>
        <v>Carregado</v>
      </c>
      <c r="L10" s="4" t="str">
        <f t="array" ref="L10">IF(ISNUMBER($J10),IF(ISNUMBER($H10),INDEX(L_Golpes!$C$2:$C$6000,$H10),""),"")</f>
        <v>Habilidade</v>
      </c>
      <c r="M10" s="4">
        <f t="array" ref="M10">IF(ISNUMBER($J10),IF($L10="Normal",INDEX('Cálculos'!$C$14:$F$14,$J10),IF($L10="Habilidade",INDEX('Cálculos'!$C$15:$F$15,$J10),IF($L10="Supremo",INDEX('Cálculos'!$C$16:$F$16,$J10),""))),"")</f>
        <v>10</v>
      </c>
      <c r="N10" s="16">
        <f t="array" ref="N10">IF(ISNUMBER($J10),IF(ISNUMBER($H10),INDEX(L_Golpes!$F$2:$T$6000,$H10,MAX(1,MIN(15,$M10))),0)+IF($F10="Sim",N(INDEX('Golpes extras'!$E$2:$E$101,MATCH($A10,'Golpes extras'!$A$2:$A$101,0))),0),"")</f>
        <v>3.995</v>
      </c>
      <c r="O10" s="17">
        <f t="array" ref="O10">IF(ISNUMBER($J10),IF(ISNUMBER($H10),INDEX(L_Golpes!$U$2:$AI$6000,$H10,MAX(1,MIN(15,$M10))),0)+IF($F10="Sim",N(INDEX('Golpes extras'!$F$2:$F$101,MATCH($A10,'Golpes extras'!$A$2:$A$101,0))),0),"")</f>
        <v>0</v>
      </c>
      <c r="P10" s="16">
        <f t="array" ref="P10">IF(ISNUMBER($J10),IF(ISNUMBER($H10),INDEX(L_Golpes!$AJ$2:$AX$6000,$H10,MAX(1,MIN(15,$M10))),0)+IF($F10="Sim",N(INDEX('Golpes extras'!$G$2:$G$101,MATCH($A10,'Golpes extras'!$A$2:$A$101,0))),0),"")</f>
        <v>0</v>
      </c>
      <c r="Q10" s="16">
        <f t="array" ref="Q10">IF(ISNUMBER($J10),IF(ISNUMBER($H10),INDEX(L_Golpes!$AY$2:$BM$6000,$H10,MAX(1,MIN(15,$M10))),0)+IF($F10="Sim",N(INDEX('Golpes extras'!$H$2:$H$101,MATCH($A10,'Golpes extras'!$A$2:$A$101,0))),0),"")</f>
        <v>0</v>
      </c>
      <c r="R10" s="4" t="str">
        <f t="array" ref="R10">IF(ISNUMBER($J10),INDEX('Cálculos'!$C$19:$F$19,$J10),"")</f>
        <v>Pyro</v>
      </c>
      <c r="S10" s="4" t="str">
        <f t="shared" si="1"/>
        <v>Nenhuma</v>
      </c>
      <c r="T10" s="4" t="str">
        <f>IF(ISNUMBER($J10),IF(OR($D10="Não",$D10=FALSE),'Perfis de buff'!$A$8,IF(OR($D10="",$D10="Sim",$D10=TRUE),'Perfis de buff'!$A$4,$D10)),"")</f>
        <v>Todos</v>
      </c>
      <c r="U10" s="22">
        <f t="array" ref="U10">IF(ISNUMBER($J10),INDEX('Cálculos'!$C$113:$F$113,$J10)+IF($K10="Normal",INDEX('Cálculos'!$C$114:$F$114,$J10),IF($K10="Carregado",INDEX('Cálculos'!$C$115:$F$115,$J10),IF($K10="Habilidade",INDEX('Cálculos'!$C$116:$F$116,$J10),IF($K10="Supremo",INDEX('Cálculos'!$C$117:$F$117,$J10),0))))+INDEX('Cálculos'!$C$143:$F$147,IFERROR(MATCH($T10,'Perfis de buff'!$A$4:$A$8,0),1),$J10)+IF($K10="Normal",INDEX('Cálculos'!$C$148:$F$152,IFERROR(MATCH($T10,'Perfis de buff'!$A$4:$A$8,0),1),$J10),IF($K10="Carregado",INDEX('Cálculos'!$C$153:$F$157,IFERROR(MATCH($T10,'Perfis de buff'!$A$4:$A$8,0),1),$J10),IF($K10="Habilidade",INDEX('Cálculos'!$C$158:$F$162,IFERROR(MATCH($T10,'Perfis de buff'!$A$4:$A$8,0),1),$J10),IF($K10="Supremo",INDEX('Cálculos'!$C$163:$F$167,IFERROR(MATCH($T10,'Perfis de buff'!$A$4:$A$8,0),1),$J10),0))))+N($E10),"")</f>
        <v>1.761</v>
      </c>
      <c r="V10" s="16">
        <f t="array" ref="V10">IF(ISNUMBER($J10),INDEX('Cálculos'!$C$180:$F$180,$J10),"")</f>
        <v>0.4871794872</v>
      </c>
      <c r="W10" s="16">
        <f t="array" ref="W10">IF(ISNUMBER($J10),INDEX('Cálculos'!$C$182:$F$182,$J10),"")</f>
        <v>1.05</v>
      </c>
      <c r="X10" s="16">
        <f t="shared" si="2"/>
        <v>1.412357692</v>
      </c>
      <c r="Y10" s="16">
        <f t="shared" si="3"/>
        <v>5.642368981</v>
      </c>
      <c r="Z10" s="16">
        <f t="shared" si="4"/>
        <v>0</v>
      </c>
      <c r="AA10" s="16">
        <f t="shared" si="5"/>
        <v>0</v>
      </c>
      <c r="AB10" s="16">
        <f t="shared" si="6"/>
        <v>0</v>
      </c>
      <c r="AC10" s="21">
        <f t="array" ref="AC10">IF(ISNUMBER($J10),INDEX('Cálculos'!$C$332:$F$336,IFERROR(MATCH($T10,'Perfis de buff'!$A$4:$A$8,0),1),$J10),"")</f>
        <v>5791.25</v>
      </c>
      <c r="AD10" s="21">
        <f t="array" ref="AD10">IF(ISNUMBER($J10),INDEX('Cálculos'!$C$339:$F$343,IFERROR(MATCH($T10,'Perfis de buff'!$A$4:$A$8,0),1),$J10),"")</f>
        <v>424</v>
      </c>
      <c r="AE10" s="21">
        <f t="array" ref="AE10">IF(ISNUMBER($J10),INDEX('Cálculos'!$C$337:$F$337,$J10),"")</f>
        <v>19082.648</v>
      </c>
      <c r="AF10" s="21">
        <f t="array" ref="AF10">IF(ISNUMBER($J10),INDEX('Cálculos'!$C$338:$F$338,$J10),"")</f>
        <v>929.208</v>
      </c>
      <c r="AG10" s="16">
        <f t="array" ref="AG10">IF(ISNUMBER($J10),IF($S10="Derreter",INDEX('Cálculos'!$C$124:$F$124,$J10)*(1+2.78*$AD10/($AD10+1400)+INDEX('Cálculos'!$C$122:$F$122,$J10)),IF($S10="Vaporizar",INDEX('Cálculos'!$C$125:$F$125,$J10)*(1+2.78*$AD10/($AD10+1400)+INDEX('Cálculos'!$C$123:$F$123,$J10)),1)),"")</f>
        <v>1</v>
      </c>
      <c r="AH10" s="21">
        <f t="shared" si="7"/>
        <v>32676.36936</v>
      </c>
      <c r="AI10" s="21">
        <f t="array" ref="AI10">IF(ISNUMBER($J10),$AH10*(1+INDEX('Cálculos'!$C$331:$F$331,$J10)),"")</f>
        <v>108420.1935</v>
      </c>
      <c r="AJ10" s="21">
        <f t="array" ref="AJ10">IF(ISNUMBER($J10),$AH10*(1+MIN(INDEX('Cálculos'!$C$330:$F$330,$J10),1)*INDEX('Cálculos'!$C$331:$F$331,$J10)),"")</f>
        <v>107587.0115</v>
      </c>
      <c r="AK10" s="21">
        <f>IF(ISNUMBER($J10),'Fixo (cálculo)'!$AF10,"")</f>
        <v>0</v>
      </c>
      <c r="AL10" s="26">
        <f t="shared" si="8"/>
        <v>0</v>
      </c>
      <c r="AN10" s="8" t="s">
        <v>363</v>
      </c>
    </row>
    <row r="11">
      <c r="A11" s="7" t="s">
        <v>169</v>
      </c>
      <c r="B11" s="7">
        <v>1.0</v>
      </c>
      <c r="C11" s="7" t="s">
        <v>270</v>
      </c>
      <c r="D11" s="10" t="s">
        <v>105</v>
      </c>
      <c r="E11" s="11">
        <v>-0.069</v>
      </c>
      <c r="F11" s="4" t="str">
        <f>IF($A11="","",IF(ISNUMBER(MATCH($A11,'Golpes extras'!$A$2:$A$101,0)),"Sim","Não"))</f>
        <v>Sim</v>
      </c>
      <c r="G11" s="4" t="str">
        <f t="array" ref="G11">IF($A11="","",IF($F11="Sim",INDEX('Golpes extras'!$B$2:$B$101,MATCH($A11,'Golpes extras'!$A$2:$A$101,0))&amp;"",$A11))</f>
        <v>Mavuika - Habilidade: Flamestrider Charged Attack Cyclic DMG</v>
      </c>
      <c r="H11" s="4">
        <f>IF($G11="","",IFERROR(MATCH($G11,L_Golpes!$A$2:$A$6000,0),""))</f>
        <v>52</v>
      </c>
      <c r="I11" s="4" t="str">
        <f t="array" ref="I11">IF($A11="","",IF(ISNUMBER($H11),INDEX(L_Golpes!$B$2:$B$6000,$H11),IF(IFERROR(INDEX('Golpes extras'!$C$2:$C$101,MATCH($A11,'Golpes extras'!$A$2:$A$101,0))&amp;"","")&lt;&gt;"",INDEX('Golpes extras'!$C$2:$C$101,MATCH($A11,'Golpes extras'!$A$2:$A$101,0))&amp;"","golpe?")))</f>
        <v>Mavuika</v>
      </c>
      <c r="J11" s="4">
        <f>IF(OR($I11="",$I11="golpe?"),"",IFERROR(MATCH($I11,Time!$B$4:$E$4,0),"fora do time"))</f>
        <v>1</v>
      </c>
      <c r="K11" s="4" t="str">
        <f t="array" ref="K11">IF(ISNUMBER($J11),IF(IFERROR(INDEX('Golpes extras'!$D$2:$D$101,MATCH($A11,'Golpes extras'!$A$2:$A$101,0))&amp;"","")&lt;&gt;"",INDEX('Golpes extras'!$D$2:$D$101,MATCH($A11,'Golpes extras'!$A$2:$A$101,0))&amp;"",IF(ISNUMBER($H11),INDEX(L_Golpes!$D$2:$D$6000,$H11),"Outro")),"")</f>
        <v>Carregado</v>
      </c>
      <c r="L11" s="4" t="str">
        <f t="array" ref="L11">IF(ISNUMBER($J11),IF(ISNUMBER($H11),INDEX(L_Golpes!$C$2:$C$6000,$H11),""),"")</f>
        <v>Habilidade</v>
      </c>
      <c r="M11" s="4">
        <f t="array" ref="M11">IF(ISNUMBER($J11),IF($L11="Normal",INDEX('Cálculos'!$C$14:$F$14,$J11),IF($L11="Habilidade",INDEX('Cálculos'!$C$15:$F$15,$J11),IF($L11="Supremo",INDEX('Cálculos'!$C$16:$F$16,$J11),""))),"")</f>
        <v>10</v>
      </c>
      <c r="N11" s="16">
        <f t="array" ref="N11">IF(ISNUMBER($J11),IF(ISNUMBER($H11),INDEX(L_Golpes!$F$2:$T$6000,$H11,MAX(1,MIN(15,$M11))),0)+IF($F11="Sim",N(INDEX('Golpes extras'!$E$2:$E$101,MATCH($A11,'Golpes extras'!$A$2:$A$101,0))),0),"")</f>
        <v>3.995</v>
      </c>
      <c r="O11" s="17">
        <f t="array" ref="O11">IF(ISNUMBER($J11),IF(ISNUMBER($H11),INDEX(L_Golpes!$U$2:$AI$6000,$H11,MAX(1,MIN(15,$M11))),0)+IF($F11="Sim",N(INDEX('Golpes extras'!$F$2:$F$101,MATCH($A11,'Golpes extras'!$A$2:$A$101,0))),0),"")</f>
        <v>0</v>
      </c>
      <c r="P11" s="16">
        <f t="array" ref="P11">IF(ISNUMBER($J11),IF(ISNUMBER($H11),INDEX(L_Golpes!$AJ$2:$AX$6000,$H11,MAX(1,MIN(15,$M11))),0)+IF($F11="Sim",N(INDEX('Golpes extras'!$G$2:$G$101,MATCH($A11,'Golpes extras'!$A$2:$A$101,0))),0),"")</f>
        <v>0</v>
      </c>
      <c r="Q11" s="16">
        <f t="array" ref="Q11">IF(ISNUMBER($J11),IF(ISNUMBER($H11),INDEX(L_Golpes!$AY$2:$BM$6000,$H11,MAX(1,MIN(15,$M11))),0)+IF($F11="Sim",N(INDEX('Golpes extras'!$H$2:$H$101,MATCH($A11,'Golpes extras'!$A$2:$A$101,0))),0),"")</f>
        <v>0</v>
      </c>
      <c r="R11" s="4" t="str">
        <f t="array" ref="R11">IF(ISNUMBER($J11),INDEX('Cálculos'!$C$19:$F$19,$J11),"")</f>
        <v>Pyro</v>
      </c>
      <c r="S11" s="4" t="str">
        <f t="shared" si="1"/>
        <v>Nenhuma</v>
      </c>
      <c r="T11" s="4" t="str">
        <f>IF(ISNUMBER($J11),IF(OR($D11="Não",$D11=FALSE),'Perfis de buff'!$A$8,IF(OR($D11="",$D11="Sim",$D11=TRUE),'Perfis de buff'!$A$4,$D11)),"")</f>
        <v>Todos</v>
      </c>
      <c r="U11" s="22">
        <f t="array" ref="U11">IF(ISNUMBER($J11),INDEX('Cálculos'!$C$113:$F$113,$J11)+IF($K11="Normal",INDEX('Cálculos'!$C$114:$F$114,$J11),IF($K11="Carregado",INDEX('Cálculos'!$C$115:$F$115,$J11),IF($K11="Habilidade",INDEX('Cálculos'!$C$116:$F$116,$J11),IF($K11="Supremo",INDEX('Cálculos'!$C$117:$F$117,$J11),0))))+INDEX('Cálculos'!$C$143:$F$147,IFERROR(MATCH($T11,'Perfis de buff'!$A$4:$A$8,0),1),$J11)+IF($K11="Normal",INDEX('Cálculos'!$C$148:$F$152,IFERROR(MATCH($T11,'Perfis de buff'!$A$4:$A$8,0),1),$J11),IF($K11="Carregado",INDEX('Cálculos'!$C$153:$F$157,IFERROR(MATCH($T11,'Perfis de buff'!$A$4:$A$8,0),1),$J11),IF($K11="Habilidade",INDEX('Cálculos'!$C$158:$F$162,IFERROR(MATCH($T11,'Perfis de buff'!$A$4:$A$8,0),1),$J11),IF($K11="Supremo",INDEX('Cálculos'!$C$163:$F$167,IFERROR(MATCH($T11,'Perfis de buff'!$A$4:$A$8,0),1),$J11),0))))+N($E11),"")</f>
        <v>1.747</v>
      </c>
      <c r="V11" s="16">
        <f t="array" ref="V11">IF(ISNUMBER($J11),INDEX('Cálculos'!$C$180:$F$180,$J11),"")</f>
        <v>0.4871794872</v>
      </c>
      <c r="W11" s="16">
        <f t="array" ref="W11">IF(ISNUMBER($J11),INDEX('Cálculos'!$C$182:$F$182,$J11),"")</f>
        <v>1.05</v>
      </c>
      <c r="X11" s="16">
        <f t="shared" si="2"/>
        <v>1.405196154</v>
      </c>
      <c r="Y11" s="16">
        <f t="shared" si="3"/>
        <v>5.613758635</v>
      </c>
      <c r="Z11" s="16">
        <f t="shared" si="4"/>
        <v>0</v>
      </c>
      <c r="AA11" s="16">
        <f t="shared" si="5"/>
        <v>0</v>
      </c>
      <c r="AB11" s="16">
        <f t="shared" si="6"/>
        <v>0</v>
      </c>
      <c r="AC11" s="21">
        <f t="array" ref="AC11">IF(ISNUMBER($J11),INDEX('Cálculos'!$C$332:$F$336,IFERROR(MATCH($T11,'Perfis de buff'!$A$4:$A$8,0),1),$J11),"")</f>
        <v>5791.25</v>
      </c>
      <c r="AD11" s="21">
        <f t="array" ref="AD11">IF(ISNUMBER($J11),INDEX('Cálculos'!$C$339:$F$343,IFERROR(MATCH($T11,'Perfis de buff'!$A$4:$A$8,0),1),$J11),"")</f>
        <v>424</v>
      </c>
      <c r="AE11" s="21">
        <f t="array" ref="AE11">IF(ISNUMBER($J11),INDEX('Cálculos'!$C$337:$F$337,$J11),"")</f>
        <v>19082.648</v>
      </c>
      <c r="AF11" s="21">
        <f t="array" ref="AF11">IF(ISNUMBER($J11),INDEX('Cálculos'!$C$338:$F$338,$J11),"")</f>
        <v>929.208</v>
      </c>
      <c r="AG11" s="16">
        <f t="array" ref="AG11">IF(ISNUMBER($J11),IF($S11="Derreter",INDEX('Cálculos'!$C$124:$F$124,$J11)*(1+2.78*$AD11/($AD11+1400)+INDEX('Cálculos'!$C$122:$F$122,$J11)),IF($S11="Vaporizar",INDEX('Cálculos'!$C$125:$F$125,$J11)*(1+2.78*$AD11/($AD11+1400)+INDEX('Cálculos'!$C$123:$F$123,$J11)),1)),"")</f>
        <v>1</v>
      </c>
      <c r="AH11" s="21">
        <f t="shared" si="7"/>
        <v>32510.67969</v>
      </c>
      <c r="AI11" s="21">
        <f t="array" ref="AI11">IF(ISNUMBER($J11),$AH11*(1+INDEX('Cálculos'!$C$331:$F$331,$J11)),"")</f>
        <v>107870.4352</v>
      </c>
      <c r="AJ11" s="21">
        <f t="array" ref="AJ11">IF(ISNUMBER($J11),$AH11*(1+MIN(INDEX('Cálculos'!$C$330:$F$330,$J11),1)*INDEX('Cálculos'!$C$331:$F$331,$J11)),"")</f>
        <v>107041.4779</v>
      </c>
      <c r="AK11" s="21">
        <f>IF(ISNUMBER($J11),'Fixo (cálculo)'!$AF11,"")</f>
        <v>0</v>
      </c>
      <c r="AL11" s="26">
        <f t="shared" si="8"/>
        <v>0</v>
      </c>
      <c r="AN11" s="8" t="s">
        <v>381</v>
      </c>
    </row>
    <row r="12">
      <c r="A12" s="7" t="s">
        <v>172</v>
      </c>
      <c r="B12" s="7">
        <v>1.0</v>
      </c>
      <c r="C12" s="7" t="s">
        <v>97</v>
      </c>
      <c r="D12" s="10" t="s">
        <v>105</v>
      </c>
      <c r="E12" s="11">
        <v>-0.082</v>
      </c>
      <c r="F12" s="4" t="str">
        <f>IF($A12="","",IF(ISNUMBER(MATCH($A12,'Golpes extras'!$A$2:$A$101,0)),"Sim","Não"))</f>
        <v>Sim</v>
      </c>
      <c r="G12" s="4" t="str">
        <f t="array" ref="G12">IF($A12="","",IF($F12="Sim",INDEX('Golpes extras'!$B$2:$B$101,MATCH($A12,'Golpes extras'!$A$2:$A$101,0))&amp;"",$A12))</f>
        <v>Mavuika - Habilidade: Flamestrider Charged Attack Final DMG</v>
      </c>
      <c r="H12" s="4">
        <f>IF($G12="","",IFERROR(MATCH($G12,L_Golpes!$A$2:$A$6000,0),""))</f>
        <v>53</v>
      </c>
      <c r="I12" s="4" t="str">
        <f t="array" ref="I12">IF($A12="","",IF(ISNUMBER($H12),INDEX(L_Golpes!$B$2:$B$6000,$H12),IF(IFERROR(INDEX('Golpes extras'!$C$2:$C$101,MATCH($A12,'Golpes extras'!$A$2:$A$101,0))&amp;"","")&lt;&gt;"",INDEX('Golpes extras'!$C$2:$C$101,MATCH($A12,'Golpes extras'!$A$2:$A$101,0))&amp;"","golpe?")))</f>
        <v>Mavuika</v>
      </c>
      <c r="J12" s="4">
        <f>IF(OR($I12="",$I12="golpe?"),"",IFERROR(MATCH($I12,Time!$B$4:$E$4,0),"fora do time"))</f>
        <v>1</v>
      </c>
      <c r="K12" s="4" t="str">
        <f t="array" ref="K12">IF(ISNUMBER($J12),IF(IFERROR(INDEX('Golpes extras'!$D$2:$D$101,MATCH($A12,'Golpes extras'!$A$2:$A$101,0))&amp;"","")&lt;&gt;"",INDEX('Golpes extras'!$D$2:$D$101,MATCH($A12,'Golpes extras'!$A$2:$A$101,0))&amp;"",IF(ISNUMBER($H12),INDEX(L_Golpes!$D$2:$D$6000,$H12),"Outro")),"")</f>
        <v>Carregado</v>
      </c>
      <c r="L12" s="4" t="str">
        <f t="array" ref="L12">IF(ISNUMBER($J12),IF(ISNUMBER($H12),INDEX(L_Golpes!$C$2:$C$6000,$H12),""),"")</f>
        <v>Habilidade</v>
      </c>
      <c r="M12" s="4">
        <f t="array" ref="M12">IF(ISNUMBER($J12),IF($L12="Normal",INDEX('Cálculos'!$C$14:$F$14,$J12),IF($L12="Habilidade",INDEX('Cálculos'!$C$15:$F$15,$J12),IF($L12="Supremo",INDEX('Cálculos'!$C$16:$F$16,$J12),""))),"")</f>
        <v>10</v>
      </c>
      <c r="N12" s="16">
        <f t="array" ref="N12">IF(ISNUMBER($J12),IF(ISNUMBER($H12),INDEX(L_Golpes!$F$2:$T$6000,$H12,MAX(1,MIN(15,$M12))),0)+IF($F12="Sim",N(INDEX('Golpes extras'!$E$2:$E$101,MATCH($A12,'Golpes extras'!$A$2:$A$101,0))),0),"")</f>
        <v>4.76</v>
      </c>
      <c r="O12" s="17">
        <f t="array" ref="O12">IF(ISNUMBER($J12),IF(ISNUMBER($H12),INDEX(L_Golpes!$U$2:$AI$6000,$H12,MAX(1,MIN(15,$M12))),0)+IF($F12="Sim",N(INDEX('Golpes extras'!$F$2:$F$101,MATCH($A12,'Golpes extras'!$A$2:$A$101,0))),0),"")</f>
        <v>0</v>
      </c>
      <c r="P12" s="16">
        <f t="array" ref="P12">IF(ISNUMBER($J12),IF(ISNUMBER($H12),INDEX(L_Golpes!$AJ$2:$AX$6000,$H12,MAX(1,MIN(15,$M12))),0)+IF($F12="Sim",N(INDEX('Golpes extras'!$G$2:$G$101,MATCH($A12,'Golpes extras'!$A$2:$A$101,0))),0),"")</f>
        <v>0</v>
      </c>
      <c r="Q12" s="16">
        <f t="array" ref="Q12">IF(ISNUMBER($J12),IF(ISNUMBER($H12),INDEX(L_Golpes!$AY$2:$BM$6000,$H12,MAX(1,MIN(15,$M12))),0)+IF($F12="Sim",N(INDEX('Golpes extras'!$H$2:$H$101,MATCH($A12,'Golpes extras'!$A$2:$A$101,0))),0),"")</f>
        <v>0</v>
      </c>
      <c r="R12" s="4" t="str">
        <f t="array" ref="R12">IF(ISNUMBER($J12),INDEX('Cálculos'!$C$19:$F$19,$J12),"")</f>
        <v>Pyro</v>
      </c>
      <c r="S12" s="4" t="str">
        <f t="shared" si="1"/>
        <v>Derreter</v>
      </c>
      <c r="T12" s="4" t="str">
        <f>IF(ISNUMBER($J12),IF(OR($D12="Não",$D12=FALSE),'Perfis de buff'!$A$8,IF(OR($D12="",$D12="Sim",$D12=TRUE),'Perfis de buff'!$A$4,$D12)),"")</f>
        <v>Todos</v>
      </c>
      <c r="U12" s="22">
        <f t="array" ref="U12">IF(ISNUMBER($J12),INDEX('Cálculos'!$C$113:$F$113,$J12)+IF($K12="Normal",INDEX('Cálculos'!$C$114:$F$114,$J12),IF($K12="Carregado",INDEX('Cálculos'!$C$115:$F$115,$J12),IF($K12="Habilidade",INDEX('Cálculos'!$C$116:$F$116,$J12),IF($K12="Supremo",INDEX('Cálculos'!$C$117:$F$117,$J12),0))))+INDEX('Cálculos'!$C$143:$F$147,IFERROR(MATCH($T12,'Perfis de buff'!$A$4:$A$8,0),1),$J12)+IF($K12="Normal",INDEX('Cálculos'!$C$148:$F$152,IFERROR(MATCH($T12,'Perfis de buff'!$A$4:$A$8,0),1),$J12),IF($K12="Carregado",INDEX('Cálculos'!$C$153:$F$157,IFERROR(MATCH($T12,'Perfis de buff'!$A$4:$A$8,0),1),$J12),IF($K12="Habilidade",INDEX('Cálculos'!$C$158:$F$162,IFERROR(MATCH($T12,'Perfis de buff'!$A$4:$A$8,0),1),$J12),IF($K12="Supremo",INDEX('Cálculos'!$C$163:$F$167,IFERROR(MATCH($T12,'Perfis de buff'!$A$4:$A$8,0),1),$J12),0))))+N($E12),"")</f>
        <v>1.734</v>
      </c>
      <c r="V12" s="16">
        <f t="array" ref="V12">IF(ISNUMBER($J12),INDEX('Cálculos'!$C$180:$F$180,$J12),"")</f>
        <v>0.4871794872</v>
      </c>
      <c r="W12" s="16">
        <f t="array" ref="W12">IF(ISNUMBER($J12),INDEX('Cálculos'!$C$182:$F$182,$J12),"")</f>
        <v>1.05</v>
      </c>
      <c r="X12" s="16">
        <f t="shared" si="2"/>
        <v>1.398546154</v>
      </c>
      <c r="Y12" s="16">
        <f t="shared" si="3"/>
        <v>6.657079692</v>
      </c>
      <c r="Z12" s="16">
        <f t="shared" si="4"/>
        <v>0</v>
      </c>
      <c r="AA12" s="16">
        <f t="shared" si="5"/>
        <v>0</v>
      </c>
      <c r="AB12" s="16">
        <f t="shared" si="6"/>
        <v>0</v>
      </c>
      <c r="AC12" s="21">
        <f t="array" ref="AC12">IF(ISNUMBER($J12),INDEX('Cálculos'!$C$332:$F$336,IFERROR(MATCH($T12,'Perfis de buff'!$A$4:$A$8,0),1),$J12),"")</f>
        <v>5791.25</v>
      </c>
      <c r="AD12" s="21">
        <f t="array" ref="AD12">IF(ISNUMBER($J12),INDEX('Cálculos'!$C$339:$F$343,IFERROR(MATCH($T12,'Perfis de buff'!$A$4:$A$8,0),1),$J12),"")</f>
        <v>424</v>
      </c>
      <c r="AE12" s="21">
        <f t="array" ref="AE12">IF(ISNUMBER($J12),INDEX('Cálculos'!$C$337:$F$337,$J12),"")</f>
        <v>19082.648</v>
      </c>
      <c r="AF12" s="21">
        <f t="array" ref="AF12">IF(ISNUMBER($J12),INDEX('Cálculos'!$C$338:$F$338,$J12),"")</f>
        <v>929.208</v>
      </c>
      <c r="AG12" s="16">
        <f t="array" ref="AG12">IF(ISNUMBER($J12),IF($S12="Derreter",INDEX('Cálculos'!$C$124:$F$124,$J12)*(1+2.78*$AD12/($AD12+1400)+INDEX('Cálculos'!$C$122:$F$122,$J12)),IF($S12="Vaporizar",INDEX('Cálculos'!$C$125:$F$125,$J12)*(1+2.78*$AD12/($AD12+1400)+INDEX('Cálculos'!$C$123:$F$123,$J12)),1)),"")</f>
        <v>3.29245614</v>
      </c>
      <c r="AH12" s="21">
        <f t="shared" si="7"/>
        <v>126933.4451</v>
      </c>
      <c r="AI12" s="21">
        <f t="array" ref="AI12">IF(ISNUMBER($J12),$AH12*(1+INDEX('Cálculos'!$C$331:$F$331,$J12)),"")</f>
        <v>421165.1709</v>
      </c>
      <c r="AJ12" s="21">
        <f t="array" ref="AJ12">IF(ISNUMBER($J12),$AH12*(1+MIN(INDEX('Cálculos'!$C$330:$F$330,$J12),1)*INDEX('Cálculos'!$C$331:$F$331,$J12)),"")</f>
        <v>417928.6219</v>
      </c>
      <c r="AK12" s="21">
        <f>IF(ISNUMBER($J12),'Fixo (cálculo)'!$AF12,"")</f>
        <v>0</v>
      </c>
      <c r="AL12" s="26">
        <f t="shared" si="8"/>
        <v>0</v>
      </c>
      <c r="AN12" s="8" t="s">
        <v>399</v>
      </c>
    </row>
    <row r="13">
      <c r="A13" s="7" t="s">
        <v>294</v>
      </c>
      <c r="B13" s="7">
        <v>1.0</v>
      </c>
      <c r="C13" s="7" t="s">
        <v>270</v>
      </c>
      <c r="D13" s="10" t="s">
        <v>105</v>
      </c>
      <c r="E13" s="11">
        <v>-0.095</v>
      </c>
      <c r="F13" s="4" t="str">
        <f>IF($A13="","",IF(ISNUMBER(MATCH($A13,'Golpes extras'!$A$2:$A$101,0)),"Sim","Não"))</f>
        <v>Não</v>
      </c>
      <c r="G13" s="4" t="str">
        <f t="array" ref="G13">IF($A13="","",IF($F13="Sim",INDEX('Golpes extras'!$B$2:$B$101,MATCH($A13,'Golpes extras'!$A$2:$A$101,0))&amp;"",$A13))</f>
        <v>Mavuika - Habilidade: Flamestrider Sprint DMG</v>
      </c>
      <c r="H13" s="4">
        <f>IF($G13="","",IFERROR(MATCH($G13,L_Golpes!$A$2:$A$6000,0),""))</f>
        <v>51</v>
      </c>
      <c r="I13" s="4" t="str">
        <f t="array" ref="I13">IF($A13="","",IF(ISNUMBER($H13),INDEX(L_Golpes!$B$2:$B$6000,$H13),IF(IFERROR(INDEX('Golpes extras'!$C$2:$C$101,MATCH($A13,'Golpes extras'!$A$2:$A$101,0))&amp;"","")&lt;&gt;"",INDEX('Golpes extras'!$C$2:$C$101,MATCH($A13,'Golpes extras'!$A$2:$A$101,0))&amp;"","golpe?")))</f>
        <v>Mavuika</v>
      </c>
      <c r="J13" s="4">
        <f>IF(OR($I13="",$I13="golpe?"),"",IFERROR(MATCH($I13,Time!$B$4:$E$4,0),"fora do time"))</f>
        <v>1</v>
      </c>
      <c r="K13" s="4" t="str">
        <f t="array" ref="K13">IF(ISNUMBER($J13),IF(IFERROR(INDEX('Golpes extras'!$D$2:$D$101,MATCH($A13,'Golpes extras'!$A$2:$A$101,0))&amp;"","")&lt;&gt;"",INDEX('Golpes extras'!$D$2:$D$101,MATCH($A13,'Golpes extras'!$A$2:$A$101,0))&amp;"",IF(ISNUMBER($H13),INDEX(L_Golpes!$D$2:$D$6000,$H13),"Outro")),"")</f>
        <v>Habilidade</v>
      </c>
      <c r="L13" s="4" t="str">
        <f t="array" ref="L13">IF(ISNUMBER($J13),IF(ISNUMBER($H13),INDEX(L_Golpes!$C$2:$C$6000,$H13),""),"")</f>
        <v>Habilidade</v>
      </c>
      <c r="M13" s="4">
        <f t="array" ref="M13">IF(ISNUMBER($J13),IF($L13="Normal",INDEX('Cálculos'!$C$14:$F$14,$J13),IF($L13="Habilidade",INDEX('Cálculos'!$C$15:$F$15,$J13),IF($L13="Supremo",INDEX('Cálculos'!$C$16:$F$16,$J13),""))),"")</f>
        <v>10</v>
      </c>
      <c r="N13" s="16">
        <f t="array" ref="N13">IF(ISNUMBER($J13),IF(ISNUMBER($H13),INDEX(L_Golpes!$F$2:$T$6000,$H13,MAX(1,MIN(15,$M13))),0)+IF($F13="Sim",N(INDEX('Golpes extras'!$E$2:$E$101,MATCH($A13,'Golpes extras'!$A$2:$A$101,0))),0),"")</f>
        <v>1.598</v>
      </c>
      <c r="O13" s="17">
        <f t="array" ref="O13">IF(ISNUMBER($J13),IF(ISNUMBER($H13),INDEX(L_Golpes!$U$2:$AI$6000,$H13,MAX(1,MIN(15,$M13))),0)+IF($F13="Sim",N(INDEX('Golpes extras'!$F$2:$F$101,MATCH($A13,'Golpes extras'!$A$2:$A$101,0))),0),"")</f>
        <v>0</v>
      </c>
      <c r="P13" s="16">
        <f t="array" ref="P13">IF(ISNUMBER($J13),IF(ISNUMBER($H13),INDEX(L_Golpes!$AJ$2:$AX$6000,$H13,MAX(1,MIN(15,$M13))),0)+IF($F13="Sim",N(INDEX('Golpes extras'!$G$2:$G$101,MATCH($A13,'Golpes extras'!$A$2:$A$101,0))),0),"")</f>
        <v>0</v>
      </c>
      <c r="Q13" s="16">
        <f t="array" ref="Q13">IF(ISNUMBER($J13),IF(ISNUMBER($H13),INDEX(L_Golpes!$AY$2:$BM$6000,$H13,MAX(1,MIN(15,$M13))),0)+IF($F13="Sim",N(INDEX('Golpes extras'!$H$2:$H$101,MATCH($A13,'Golpes extras'!$A$2:$A$101,0))),0),"")</f>
        <v>0</v>
      </c>
      <c r="R13" s="4" t="str">
        <f t="array" ref="R13">IF(ISNUMBER($J13),INDEX('Cálculos'!$C$19:$F$19,$J13),"")</f>
        <v>Pyro</v>
      </c>
      <c r="S13" s="4" t="str">
        <f t="shared" si="1"/>
        <v>Nenhuma</v>
      </c>
      <c r="T13" s="4" t="str">
        <f>IF(ISNUMBER($J13),IF(OR($D13="Não",$D13=FALSE),'Perfis de buff'!$A$8,IF(OR($D13="",$D13="Sim",$D13=TRUE),'Perfis de buff'!$A$4,$D13)),"")</f>
        <v>Todos</v>
      </c>
      <c r="U13" s="22">
        <f t="array" ref="U13">IF(ISNUMBER($J13),INDEX('Cálculos'!$C$113:$F$113,$J13)+IF($K13="Normal",INDEX('Cálculos'!$C$114:$F$114,$J13),IF($K13="Carregado",INDEX('Cálculos'!$C$115:$F$115,$J13),IF($K13="Habilidade",INDEX('Cálculos'!$C$116:$F$116,$J13),IF($K13="Supremo",INDEX('Cálculos'!$C$117:$F$117,$J13),0))))+INDEX('Cálculos'!$C$143:$F$147,IFERROR(MATCH($T13,'Perfis de buff'!$A$4:$A$8,0),1),$J13)+IF($K13="Normal",INDEX('Cálculos'!$C$148:$F$152,IFERROR(MATCH($T13,'Perfis de buff'!$A$4:$A$8,0),1),$J13),IF($K13="Carregado",INDEX('Cálculos'!$C$153:$F$157,IFERROR(MATCH($T13,'Perfis de buff'!$A$4:$A$8,0),1),$J13),IF($K13="Habilidade",INDEX('Cálculos'!$C$158:$F$162,IFERROR(MATCH($T13,'Perfis de buff'!$A$4:$A$8,0),1),$J13),IF($K13="Supremo",INDEX('Cálculos'!$C$163:$F$167,IFERROR(MATCH($T13,'Perfis de buff'!$A$4:$A$8,0),1),$J13),0))))+N($E13),"")</f>
        <v>1.721</v>
      </c>
      <c r="V13" s="16">
        <f t="array" ref="V13">IF(ISNUMBER($J13),INDEX('Cálculos'!$C$180:$F$180,$J13),"")</f>
        <v>0.4871794872</v>
      </c>
      <c r="W13" s="16">
        <f t="array" ref="W13">IF(ISNUMBER($J13),INDEX('Cálculos'!$C$182:$F$182,$J13),"")</f>
        <v>1.05</v>
      </c>
      <c r="X13" s="16">
        <f t="shared" si="2"/>
        <v>1.391896154</v>
      </c>
      <c r="Y13" s="16">
        <f t="shared" si="3"/>
        <v>2.224250054</v>
      </c>
      <c r="Z13" s="16">
        <f t="shared" si="4"/>
        <v>0</v>
      </c>
      <c r="AA13" s="16">
        <f t="shared" si="5"/>
        <v>0</v>
      </c>
      <c r="AB13" s="16">
        <f t="shared" si="6"/>
        <v>0</v>
      </c>
      <c r="AC13" s="21">
        <f t="array" ref="AC13">IF(ISNUMBER($J13),INDEX('Cálculos'!$C$332:$F$336,IFERROR(MATCH($T13,'Perfis de buff'!$A$4:$A$8,0),1),$J13),"")</f>
        <v>5791.25</v>
      </c>
      <c r="AD13" s="21">
        <f t="array" ref="AD13">IF(ISNUMBER($J13),INDEX('Cálculos'!$C$339:$F$343,IFERROR(MATCH($T13,'Perfis de buff'!$A$4:$A$8,0),1),$J13),"")</f>
        <v>424</v>
      </c>
      <c r="AE13" s="21">
        <f t="array" ref="AE13">IF(ISNUMBER($J13),INDEX('Cálculos'!$C$337:$F$337,$J13),"")</f>
        <v>19082.648</v>
      </c>
      <c r="AF13" s="21">
        <f t="array" ref="AF13">IF(ISNUMBER($J13),INDEX('Cálculos'!$C$338:$F$338,$J13),"")</f>
        <v>929.208</v>
      </c>
      <c r="AG13" s="16">
        <f t="array" ref="AG13">IF(ISNUMBER($J13),IF($S13="Derreter",INDEX('Cálculos'!$C$124:$F$124,$J13)*(1+2.78*$AD13/($AD13+1400)+INDEX('Cálculos'!$C$122:$F$122,$J13)),IF($S13="Vaporizar",INDEX('Cálculos'!$C$125:$F$125,$J13)*(1+2.78*$AD13/($AD13+1400)+INDEX('Cálculos'!$C$123:$F$123,$J13)),1)),"")</f>
        <v>1</v>
      </c>
      <c r="AH13" s="21">
        <f t="shared" si="7"/>
        <v>12881.18812</v>
      </c>
      <c r="AI13" s="21">
        <f t="array" ref="AI13">IF(ISNUMBER($J13),$AH13*(1+INDEX('Cálculos'!$C$331:$F$331,$J13)),"")</f>
        <v>42739.7822</v>
      </c>
      <c r="AJ13" s="21">
        <f t="array" ref="AJ13">IF(ISNUMBER($J13),$AH13*(1+MIN(INDEX('Cálculos'!$C$330:$F$330,$J13),1)*INDEX('Cálculos'!$C$331:$F$331,$J13)),"")</f>
        <v>42411.33766</v>
      </c>
      <c r="AK13" s="21">
        <f>IF(ISNUMBER($J13),'Fixo (cálculo)'!$AF13,"")</f>
        <v>0</v>
      </c>
      <c r="AL13" s="26">
        <f t="shared" si="8"/>
        <v>0</v>
      </c>
      <c r="AN13" s="8" t="s">
        <v>416</v>
      </c>
    </row>
    <row r="14">
      <c r="A14" s="7" t="s">
        <v>169</v>
      </c>
      <c r="B14" s="7">
        <v>1.0</v>
      </c>
      <c r="C14" s="7" t="s">
        <v>270</v>
      </c>
      <c r="D14" s="10" t="s">
        <v>105</v>
      </c>
      <c r="E14" s="11">
        <v>-0.108</v>
      </c>
      <c r="F14" s="4" t="str">
        <f>IF($A14="","",IF(ISNUMBER(MATCH($A14,'Golpes extras'!$A$2:$A$101,0)),"Sim","Não"))</f>
        <v>Sim</v>
      </c>
      <c r="G14" s="4" t="str">
        <f t="array" ref="G14">IF($A14="","",IF($F14="Sim",INDEX('Golpes extras'!$B$2:$B$101,MATCH($A14,'Golpes extras'!$A$2:$A$101,0))&amp;"",$A14))</f>
        <v>Mavuika - Habilidade: Flamestrider Charged Attack Cyclic DMG</v>
      </c>
      <c r="H14" s="4">
        <f>IF($G14="","",IFERROR(MATCH($G14,L_Golpes!$A$2:$A$6000,0),""))</f>
        <v>52</v>
      </c>
      <c r="I14" s="4" t="str">
        <f t="array" ref="I14">IF($A14="","",IF(ISNUMBER($H14),INDEX(L_Golpes!$B$2:$B$6000,$H14),IF(IFERROR(INDEX('Golpes extras'!$C$2:$C$101,MATCH($A14,'Golpes extras'!$A$2:$A$101,0))&amp;"","")&lt;&gt;"",INDEX('Golpes extras'!$C$2:$C$101,MATCH($A14,'Golpes extras'!$A$2:$A$101,0))&amp;"","golpe?")))</f>
        <v>Mavuika</v>
      </c>
      <c r="J14" s="4">
        <f>IF(OR($I14="",$I14="golpe?"),"",IFERROR(MATCH($I14,Time!$B$4:$E$4,0),"fora do time"))</f>
        <v>1</v>
      </c>
      <c r="K14" s="4" t="str">
        <f t="array" ref="K14">IF(ISNUMBER($J14),IF(IFERROR(INDEX('Golpes extras'!$D$2:$D$101,MATCH($A14,'Golpes extras'!$A$2:$A$101,0))&amp;"","")&lt;&gt;"",INDEX('Golpes extras'!$D$2:$D$101,MATCH($A14,'Golpes extras'!$A$2:$A$101,0))&amp;"",IF(ISNUMBER($H14),INDEX(L_Golpes!$D$2:$D$6000,$H14),"Outro")),"")</f>
        <v>Carregado</v>
      </c>
      <c r="L14" s="4" t="str">
        <f t="array" ref="L14">IF(ISNUMBER($J14),IF(ISNUMBER($H14),INDEX(L_Golpes!$C$2:$C$6000,$H14),""),"")</f>
        <v>Habilidade</v>
      </c>
      <c r="M14" s="4">
        <f t="array" ref="M14">IF(ISNUMBER($J14),IF($L14="Normal",INDEX('Cálculos'!$C$14:$F$14,$J14),IF($L14="Habilidade",INDEX('Cálculos'!$C$15:$F$15,$J14),IF($L14="Supremo",INDEX('Cálculos'!$C$16:$F$16,$J14),""))),"")</f>
        <v>10</v>
      </c>
      <c r="N14" s="16">
        <f t="array" ref="N14">IF(ISNUMBER($J14),IF(ISNUMBER($H14),INDEX(L_Golpes!$F$2:$T$6000,$H14,MAX(1,MIN(15,$M14))),0)+IF($F14="Sim",N(INDEX('Golpes extras'!$E$2:$E$101,MATCH($A14,'Golpes extras'!$A$2:$A$101,0))),0),"")</f>
        <v>3.995</v>
      </c>
      <c r="O14" s="17">
        <f t="array" ref="O14">IF(ISNUMBER($J14),IF(ISNUMBER($H14),INDEX(L_Golpes!$U$2:$AI$6000,$H14,MAX(1,MIN(15,$M14))),0)+IF($F14="Sim",N(INDEX('Golpes extras'!$F$2:$F$101,MATCH($A14,'Golpes extras'!$A$2:$A$101,0))),0),"")</f>
        <v>0</v>
      </c>
      <c r="P14" s="16">
        <f t="array" ref="P14">IF(ISNUMBER($J14),IF(ISNUMBER($H14),INDEX(L_Golpes!$AJ$2:$AX$6000,$H14,MAX(1,MIN(15,$M14))),0)+IF($F14="Sim",N(INDEX('Golpes extras'!$G$2:$G$101,MATCH($A14,'Golpes extras'!$A$2:$A$101,0))),0),"")</f>
        <v>0</v>
      </c>
      <c r="Q14" s="16">
        <f t="array" ref="Q14">IF(ISNUMBER($J14),IF(ISNUMBER($H14),INDEX(L_Golpes!$AY$2:$BM$6000,$H14,MAX(1,MIN(15,$M14))),0)+IF($F14="Sim",N(INDEX('Golpes extras'!$H$2:$H$101,MATCH($A14,'Golpes extras'!$A$2:$A$101,0))),0),"")</f>
        <v>0</v>
      </c>
      <c r="R14" s="4" t="str">
        <f t="array" ref="R14">IF(ISNUMBER($J14),INDEX('Cálculos'!$C$19:$F$19,$J14),"")</f>
        <v>Pyro</v>
      </c>
      <c r="S14" s="4" t="str">
        <f t="shared" si="1"/>
        <v>Nenhuma</v>
      </c>
      <c r="T14" s="4" t="str">
        <f>IF(ISNUMBER($J14),IF(OR($D14="Não",$D14=FALSE),'Perfis de buff'!$A$8,IF(OR($D14="",$D14="Sim",$D14=TRUE),'Perfis de buff'!$A$4,$D14)),"")</f>
        <v>Todos</v>
      </c>
      <c r="U14" s="22">
        <f t="array" ref="U14">IF(ISNUMBER($J14),INDEX('Cálculos'!$C$113:$F$113,$J14)+IF($K14="Normal",INDEX('Cálculos'!$C$114:$F$114,$J14),IF($K14="Carregado",INDEX('Cálculos'!$C$115:$F$115,$J14),IF($K14="Habilidade",INDEX('Cálculos'!$C$116:$F$116,$J14),IF($K14="Supremo",INDEX('Cálculos'!$C$117:$F$117,$J14),0))))+INDEX('Cálculos'!$C$143:$F$147,IFERROR(MATCH($T14,'Perfis de buff'!$A$4:$A$8,0),1),$J14)+IF($K14="Normal",INDEX('Cálculos'!$C$148:$F$152,IFERROR(MATCH($T14,'Perfis de buff'!$A$4:$A$8,0),1),$J14),IF($K14="Carregado",INDEX('Cálculos'!$C$153:$F$157,IFERROR(MATCH($T14,'Perfis de buff'!$A$4:$A$8,0),1),$J14),IF($K14="Habilidade",INDEX('Cálculos'!$C$158:$F$162,IFERROR(MATCH($T14,'Perfis de buff'!$A$4:$A$8,0),1),$J14),IF($K14="Supremo",INDEX('Cálculos'!$C$163:$F$167,IFERROR(MATCH($T14,'Perfis de buff'!$A$4:$A$8,0),1),$J14),0))))+N($E14),"")</f>
        <v>1.708</v>
      </c>
      <c r="V14" s="16">
        <f t="array" ref="V14">IF(ISNUMBER($J14),INDEX('Cálculos'!$C$180:$F$180,$J14),"")</f>
        <v>0.4871794872</v>
      </c>
      <c r="W14" s="16">
        <f t="array" ref="W14">IF(ISNUMBER($J14),INDEX('Cálculos'!$C$182:$F$182,$J14),"")</f>
        <v>1.05</v>
      </c>
      <c r="X14" s="16">
        <f t="shared" si="2"/>
        <v>1.385246154</v>
      </c>
      <c r="Y14" s="16">
        <f t="shared" si="3"/>
        <v>5.534058385</v>
      </c>
      <c r="Z14" s="16">
        <f t="shared" si="4"/>
        <v>0</v>
      </c>
      <c r="AA14" s="16">
        <f t="shared" si="5"/>
        <v>0</v>
      </c>
      <c r="AB14" s="16">
        <f t="shared" si="6"/>
        <v>0</v>
      </c>
      <c r="AC14" s="21">
        <f t="array" ref="AC14">IF(ISNUMBER($J14),INDEX('Cálculos'!$C$332:$F$336,IFERROR(MATCH($T14,'Perfis de buff'!$A$4:$A$8,0),1),$J14),"")</f>
        <v>5791.25</v>
      </c>
      <c r="AD14" s="21">
        <f t="array" ref="AD14">IF(ISNUMBER($J14),INDEX('Cálculos'!$C$339:$F$343,IFERROR(MATCH($T14,'Perfis de buff'!$A$4:$A$8,0),1),$J14),"")</f>
        <v>424</v>
      </c>
      <c r="AE14" s="21">
        <f t="array" ref="AE14">IF(ISNUMBER($J14),INDEX('Cálculos'!$C$337:$F$337,$J14),"")</f>
        <v>19082.648</v>
      </c>
      <c r="AF14" s="21">
        <f t="array" ref="AF14">IF(ISNUMBER($J14),INDEX('Cálculos'!$C$338:$F$338,$J14),"")</f>
        <v>929.208</v>
      </c>
      <c r="AG14" s="16">
        <f t="array" ref="AG14">IF(ISNUMBER($J14),IF($S14="Derreter",INDEX('Cálculos'!$C$124:$F$124,$J14)*(1+2.78*$AD14/($AD14+1400)+INDEX('Cálculos'!$C$122:$F$122,$J14)),IF($S14="Vaporizar",INDEX('Cálculos'!$C$125:$F$125,$J14)*(1+2.78*$AD14/($AD14+1400)+INDEX('Cálculos'!$C$123:$F$123,$J14)),1)),"")</f>
        <v>1</v>
      </c>
      <c r="AH14" s="21">
        <f t="shared" si="7"/>
        <v>32049.11562</v>
      </c>
      <c r="AI14" s="21">
        <f t="array" ref="AI14">IF(ISNUMBER($J14),$AH14*(1+INDEX('Cálculos'!$C$331:$F$331,$J14)),"")</f>
        <v>106338.9656</v>
      </c>
      <c r="AJ14" s="21">
        <f t="array" ref="AJ14">IF(ISNUMBER($J14),$AH14*(1+MIN(INDEX('Cálculos'!$C$330:$F$330,$J14),1)*INDEX('Cálculos'!$C$331:$F$331,$J14)),"")</f>
        <v>105521.7773</v>
      </c>
      <c r="AK14" s="21">
        <f>IF(ISNUMBER($J14),'Fixo (cálculo)'!$AF14,"")</f>
        <v>0</v>
      </c>
      <c r="AL14" s="26">
        <f t="shared" si="8"/>
        <v>0</v>
      </c>
      <c r="AN14" s="8" t="s">
        <v>427</v>
      </c>
    </row>
    <row r="15">
      <c r="A15" s="7" t="s">
        <v>172</v>
      </c>
      <c r="B15" s="7">
        <v>1.0</v>
      </c>
      <c r="C15" s="7" t="s">
        <v>97</v>
      </c>
      <c r="D15" s="10" t="s">
        <v>105</v>
      </c>
      <c r="E15" s="11">
        <v>-0.121</v>
      </c>
      <c r="F15" s="4" t="str">
        <f>IF($A15="","",IF(ISNUMBER(MATCH($A15,'Golpes extras'!$A$2:$A$101,0)),"Sim","Não"))</f>
        <v>Sim</v>
      </c>
      <c r="G15" s="4" t="str">
        <f t="array" ref="G15">IF($A15="","",IF($F15="Sim",INDEX('Golpes extras'!$B$2:$B$101,MATCH($A15,'Golpes extras'!$A$2:$A$101,0))&amp;"",$A15))</f>
        <v>Mavuika - Habilidade: Flamestrider Charged Attack Final DMG</v>
      </c>
      <c r="H15" s="4">
        <f>IF($G15="","",IFERROR(MATCH($G15,L_Golpes!$A$2:$A$6000,0),""))</f>
        <v>53</v>
      </c>
      <c r="I15" s="4" t="str">
        <f t="array" ref="I15">IF($A15="","",IF(ISNUMBER($H15),INDEX(L_Golpes!$B$2:$B$6000,$H15),IF(IFERROR(INDEX('Golpes extras'!$C$2:$C$101,MATCH($A15,'Golpes extras'!$A$2:$A$101,0))&amp;"","")&lt;&gt;"",INDEX('Golpes extras'!$C$2:$C$101,MATCH($A15,'Golpes extras'!$A$2:$A$101,0))&amp;"","golpe?")))</f>
        <v>Mavuika</v>
      </c>
      <c r="J15" s="4">
        <f>IF(OR($I15="",$I15="golpe?"),"",IFERROR(MATCH($I15,Time!$B$4:$E$4,0),"fora do time"))</f>
        <v>1</v>
      </c>
      <c r="K15" s="4" t="str">
        <f t="array" ref="K15">IF(ISNUMBER($J15),IF(IFERROR(INDEX('Golpes extras'!$D$2:$D$101,MATCH($A15,'Golpes extras'!$A$2:$A$101,0))&amp;"","")&lt;&gt;"",INDEX('Golpes extras'!$D$2:$D$101,MATCH($A15,'Golpes extras'!$A$2:$A$101,0))&amp;"",IF(ISNUMBER($H15),INDEX(L_Golpes!$D$2:$D$6000,$H15),"Outro")),"")</f>
        <v>Carregado</v>
      </c>
      <c r="L15" s="4" t="str">
        <f t="array" ref="L15">IF(ISNUMBER($J15),IF(ISNUMBER($H15),INDEX(L_Golpes!$C$2:$C$6000,$H15),""),"")</f>
        <v>Habilidade</v>
      </c>
      <c r="M15" s="4">
        <f t="array" ref="M15">IF(ISNUMBER($J15),IF($L15="Normal",INDEX('Cálculos'!$C$14:$F$14,$J15),IF($L15="Habilidade",INDEX('Cálculos'!$C$15:$F$15,$J15),IF($L15="Supremo",INDEX('Cálculos'!$C$16:$F$16,$J15),""))),"")</f>
        <v>10</v>
      </c>
      <c r="N15" s="16">
        <f t="array" ref="N15">IF(ISNUMBER($J15),IF(ISNUMBER($H15),INDEX(L_Golpes!$F$2:$T$6000,$H15,MAX(1,MIN(15,$M15))),0)+IF($F15="Sim",N(INDEX('Golpes extras'!$E$2:$E$101,MATCH($A15,'Golpes extras'!$A$2:$A$101,0))),0),"")</f>
        <v>4.76</v>
      </c>
      <c r="O15" s="17">
        <f t="array" ref="O15">IF(ISNUMBER($J15),IF(ISNUMBER($H15),INDEX(L_Golpes!$U$2:$AI$6000,$H15,MAX(1,MIN(15,$M15))),0)+IF($F15="Sim",N(INDEX('Golpes extras'!$F$2:$F$101,MATCH($A15,'Golpes extras'!$A$2:$A$101,0))),0),"")</f>
        <v>0</v>
      </c>
      <c r="P15" s="16">
        <f t="array" ref="P15">IF(ISNUMBER($J15),IF(ISNUMBER($H15),INDEX(L_Golpes!$AJ$2:$AX$6000,$H15,MAX(1,MIN(15,$M15))),0)+IF($F15="Sim",N(INDEX('Golpes extras'!$G$2:$G$101,MATCH($A15,'Golpes extras'!$A$2:$A$101,0))),0),"")</f>
        <v>0</v>
      </c>
      <c r="Q15" s="16">
        <f t="array" ref="Q15">IF(ISNUMBER($J15),IF(ISNUMBER($H15),INDEX(L_Golpes!$AY$2:$BM$6000,$H15,MAX(1,MIN(15,$M15))),0)+IF($F15="Sim",N(INDEX('Golpes extras'!$H$2:$H$101,MATCH($A15,'Golpes extras'!$A$2:$A$101,0))),0),"")</f>
        <v>0</v>
      </c>
      <c r="R15" s="4" t="str">
        <f t="array" ref="R15">IF(ISNUMBER($J15),INDEX('Cálculos'!$C$19:$F$19,$J15),"")</f>
        <v>Pyro</v>
      </c>
      <c r="S15" s="4" t="str">
        <f t="shared" si="1"/>
        <v>Derreter</v>
      </c>
      <c r="T15" s="4" t="str">
        <f>IF(ISNUMBER($J15),IF(OR($D15="Não",$D15=FALSE),'Perfis de buff'!$A$8,IF(OR($D15="",$D15="Sim",$D15=TRUE),'Perfis de buff'!$A$4,$D15)),"")</f>
        <v>Todos</v>
      </c>
      <c r="U15" s="22">
        <f t="array" ref="U15">IF(ISNUMBER($J15),INDEX('Cálculos'!$C$113:$F$113,$J15)+IF($K15="Normal",INDEX('Cálculos'!$C$114:$F$114,$J15),IF($K15="Carregado",INDEX('Cálculos'!$C$115:$F$115,$J15),IF($K15="Habilidade",INDEX('Cálculos'!$C$116:$F$116,$J15),IF($K15="Supremo",INDEX('Cálculos'!$C$117:$F$117,$J15),0))))+INDEX('Cálculos'!$C$143:$F$147,IFERROR(MATCH($T15,'Perfis de buff'!$A$4:$A$8,0),1),$J15)+IF($K15="Normal",INDEX('Cálculos'!$C$148:$F$152,IFERROR(MATCH($T15,'Perfis de buff'!$A$4:$A$8,0),1),$J15),IF($K15="Carregado",INDEX('Cálculos'!$C$153:$F$157,IFERROR(MATCH($T15,'Perfis de buff'!$A$4:$A$8,0),1),$J15),IF($K15="Habilidade",INDEX('Cálculos'!$C$158:$F$162,IFERROR(MATCH($T15,'Perfis de buff'!$A$4:$A$8,0),1),$J15),IF($K15="Supremo",INDEX('Cálculos'!$C$163:$F$167,IFERROR(MATCH($T15,'Perfis de buff'!$A$4:$A$8,0),1),$J15),0))))+N($E15),"")</f>
        <v>1.695</v>
      </c>
      <c r="V15" s="16">
        <f t="array" ref="V15">IF(ISNUMBER($J15),INDEX('Cálculos'!$C$180:$F$180,$J15),"")</f>
        <v>0.4871794872</v>
      </c>
      <c r="W15" s="16">
        <f t="array" ref="W15">IF(ISNUMBER($J15),INDEX('Cálculos'!$C$182:$F$182,$J15),"")</f>
        <v>1.05</v>
      </c>
      <c r="X15" s="16">
        <f t="shared" si="2"/>
        <v>1.378596154</v>
      </c>
      <c r="Y15" s="16">
        <f t="shared" si="3"/>
        <v>6.562117692</v>
      </c>
      <c r="Z15" s="16">
        <f t="shared" si="4"/>
        <v>0</v>
      </c>
      <c r="AA15" s="16">
        <f t="shared" si="5"/>
        <v>0</v>
      </c>
      <c r="AB15" s="16">
        <f t="shared" si="6"/>
        <v>0</v>
      </c>
      <c r="AC15" s="21">
        <f t="array" ref="AC15">IF(ISNUMBER($J15),INDEX('Cálculos'!$C$332:$F$336,IFERROR(MATCH($T15,'Perfis de buff'!$A$4:$A$8,0),1),$J15),"")</f>
        <v>5791.25</v>
      </c>
      <c r="AD15" s="21">
        <f t="array" ref="AD15">IF(ISNUMBER($J15),INDEX('Cálculos'!$C$339:$F$343,IFERROR(MATCH($T15,'Perfis de buff'!$A$4:$A$8,0),1),$J15),"")</f>
        <v>424</v>
      </c>
      <c r="AE15" s="21">
        <f t="array" ref="AE15">IF(ISNUMBER($J15),INDEX('Cálculos'!$C$337:$F$337,$J15),"")</f>
        <v>19082.648</v>
      </c>
      <c r="AF15" s="21">
        <f t="array" ref="AF15">IF(ISNUMBER($J15),INDEX('Cálculos'!$C$338:$F$338,$J15),"")</f>
        <v>929.208</v>
      </c>
      <c r="AG15" s="16">
        <f t="array" ref="AG15">IF(ISNUMBER($J15),IF($S15="Derreter",INDEX('Cálculos'!$C$124:$F$124,$J15)*(1+2.78*$AD15/($AD15+1400)+INDEX('Cálculos'!$C$122:$F$122,$J15)),IF($S15="Vaporizar",INDEX('Cálculos'!$C$125:$F$125,$J15)*(1+2.78*$AD15/($AD15+1400)+INDEX('Cálculos'!$C$123:$F$123,$J15)),1)),"")</f>
        <v>3.29245614</v>
      </c>
      <c r="AH15" s="21">
        <f t="shared" si="7"/>
        <v>125122.7632</v>
      </c>
      <c r="AI15" s="21">
        <f t="array" ref="AI15">IF(ISNUMBER($J15),$AH15*(1+INDEX('Cálculos'!$C$331:$F$331,$J15)),"")</f>
        <v>415157.3283</v>
      </c>
      <c r="AJ15" s="21">
        <f t="array" ref="AJ15">IF(ISNUMBER($J15),$AH15*(1+MIN(INDEX('Cálculos'!$C$330:$F$330,$J15),1)*INDEX('Cálculos'!$C$331:$F$331,$J15)),"")</f>
        <v>411966.9481</v>
      </c>
      <c r="AK15" s="21">
        <f>IF(ISNUMBER($J15),'Fixo (cálculo)'!$AF15,"")</f>
        <v>0</v>
      </c>
      <c r="AL15" s="26">
        <f t="shared" si="8"/>
        <v>0</v>
      </c>
      <c r="AN15" s="8" t="s">
        <v>431</v>
      </c>
    </row>
    <row r="16">
      <c r="A16" s="7" t="s">
        <v>294</v>
      </c>
      <c r="B16" s="7">
        <v>1.0</v>
      </c>
      <c r="C16" s="7" t="s">
        <v>270</v>
      </c>
      <c r="D16" s="10" t="s">
        <v>105</v>
      </c>
      <c r="E16" s="11">
        <v>-0.134</v>
      </c>
      <c r="F16" s="4" t="str">
        <f>IF($A16="","",IF(ISNUMBER(MATCH($A16,'Golpes extras'!$A$2:$A$101,0)),"Sim","Não"))</f>
        <v>Não</v>
      </c>
      <c r="G16" s="4" t="str">
        <f t="array" ref="G16">IF($A16="","",IF($F16="Sim",INDEX('Golpes extras'!$B$2:$B$101,MATCH($A16,'Golpes extras'!$A$2:$A$101,0))&amp;"",$A16))</f>
        <v>Mavuika - Habilidade: Flamestrider Sprint DMG</v>
      </c>
      <c r="H16" s="4">
        <f>IF($G16="","",IFERROR(MATCH($G16,L_Golpes!$A$2:$A$6000,0),""))</f>
        <v>51</v>
      </c>
      <c r="I16" s="4" t="str">
        <f t="array" ref="I16">IF($A16="","",IF(ISNUMBER($H16),INDEX(L_Golpes!$B$2:$B$6000,$H16),IF(IFERROR(INDEX('Golpes extras'!$C$2:$C$101,MATCH($A16,'Golpes extras'!$A$2:$A$101,0))&amp;"","")&lt;&gt;"",INDEX('Golpes extras'!$C$2:$C$101,MATCH($A16,'Golpes extras'!$A$2:$A$101,0))&amp;"","golpe?")))</f>
        <v>Mavuika</v>
      </c>
      <c r="J16" s="4">
        <f>IF(OR($I16="",$I16="golpe?"),"",IFERROR(MATCH($I16,Time!$B$4:$E$4,0),"fora do time"))</f>
        <v>1</v>
      </c>
      <c r="K16" s="4" t="str">
        <f t="array" ref="K16">IF(ISNUMBER($J16),IF(IFERROR(INDEX('Golpes extras'!$D$2:$D$101,MATCH($A16,'Golpes extras'!$A$2:$A$101,0))&amp;"","")&lt;&gt;"",INDEX('Golpes extras'!$D$2:$D$101,MATCH($A16,'Golpes extras'!$A$2:$A$101,0))&amp;"",IF(ISNUMBER($H16),INDEX(L_Golpes!$D$2:$D$6000,$H16),"Outro")),"")</f>
        <v>Habilidade</v>
      </c>
      <c r="L16" s="4" t="str">
        <f t="array" ref="L16">IF(ISNUMBER($J16),IF(ISNUMBER($H16),INDEX(L_Golpes!$C$2:$C$6000,$H16),""),"")</f>
        <v>Habilidade</v>
      </c>
      <c r="M16" s="4">
        <f t="array" ref="M16">IF(ISNUMBER($J16),IF($L16="Normal",INDEX('Cálculos'!$C$14:$F$14,$J16),IF($L16="Habilidade",INDEX('Cálculos'!$C$15:$F$15,$J16),IF($L16="Supremo",INDEX('Cálculos'!$C$16:$F$16,$J16),""))),"")</f>
        <v>10</v>
      </c>
      <c r="N16" s="16">
        <f t="array" ref="N16">IF(ISNUMBER($J16),IF(ISNUMBER($H16),INDEX(L_Golpes!$F$2:$T$6000,$H16,MAX(1,MIN(15,$M16))),0)+IF($F16="Sim",N(INDEX('Golpes extras'!$E$2:$E$101,MATCH($A16,'Golpes extras'!$A$2:$A$101,0))),0),"")</f>
        <v>1.598</v>
      </c>
      <c r="O16" s="17">
        <f t="array" ref="O16">IF(ISNUMBER($J16),IF(ISNUMBER($H16),INDEX(L_Golpes!$U$2:$AI$6000,$H16,MAX(1,MIN(15,$M16))),0)+IF($F16="Sim",N(INDEX('Golpes extras'!$F$2:$F$101,MATCH($A16,'Golpes extras'!$A$2:$A$101,0))),0),"")</f>
        <v>0</v>
      </c>
      <c r="P16" s="16">
        <f t="array" ref="P16">IF(ISNUMBER($J16),IF(ISNUMBER($H16),INDEX(L_Golpes!$AJ$2:$AX$6000,$H16,MAX(1,MIN(15,$M16))),0)+IF($F16="Sim",N(INDEX('Golpes extras'!$G$2:$G$101,MATCH($A16,'Golpes extras'!$A$2:$A$101,0))),0),"")</f>
        <v>0</v>
      </c>
      <c r="Q16" s="16">
        <f t="array" ref="Q16">IF(ISNUMBER($J16),IF(ISNUMBER($H16),INDEX(L_Golpes!$AY$2:$BM$6000,$H16,MAX(1,MIN(15,$M16))),0)+IF($F16="Sim",N(INDEX('Golpes extras'!$H$2:$H$101,MATCH($A16,'Golpes extras'!$A$2:$A$101,0))),0),"")</f>
        <v>0</v>
      </c>
      <c r="R16" s="4" t="str">
        <f t="array" ref="R16">IF(ISNUMBER($J16),INDEX('Cálculos'!$C$19:$F$19,$J16),"")</f>
        <v>Pyro</v>
      </c>
      <c r="S16" s="4" t="str">
        <f t="shared" si="1"/>
        <v>Nenhuma</v>
      </c>
      <c r="T16" s="4" t="str">
        <f>IF(ISNUMBER($J16),IF(OR($D16="Não",$D16=FALSE),'Perfis de buff'!$A$8,IF(OR($D16="",$D16="Sim",$D16=TRUE),'Perfis de buff'!$A$4,$D16)),"")</f>
        <v>Todos</v>
      </c>
      <c r="U16" s="22">
        <f t="array" ref="U16">IF(ISNUMBER($J16),INDEX('Cálculos'!$C$113:$F$113,$J16)+IF($K16="Normal",INDEX('Cálculos'!$C$114:$F$114,$J16),IF($K16="Carregado",INDEX('Cálculos'!$C$115:$F$115,$J16),IF($K16="Habilidade",INDEX('Cálculos'!$C$116:$F$116,$J16),IF($K16="Supremo",INDEX('Cálculos'!$C$117:$F$117,$J16),0))))+INDEX('Cálculos'!$C$143:$F$147,IFERROR(MATCH($T16,'Perfis de buff'!$A$4:$A$8,0),1),$J16)+IF($K16="Normal",INDEX('Cálculos'!$C$148:$F$152,IFERROR(MATCH($T16,'Perfis de buff'!$A$4:$A$8,0),1),$J16),IF($K16="Carregado",INDEX('Cálculos'!$C$153:$F$157,IFERROR(MATCH($T16,'Perfis de buff'!$A$4:$A$8,0),1),$J16),IF($K16="Habilidade",INDEX('Cálculos'!$C$158:$F$162,IFERROR(MATCH($T16,'Perfis de buff'!$A$4:$A$8,0),1),$J16),IF($K16="Supremo",INDEX('Cálculos'!$C$163:$F$167,IFERROR(MATCH($T16,'Perfis de buff'!$A$4:$A$8,0),1),$J16),0))))+N($E16),"")</f>
        <v>1.682</v>
      </c>
      <c r="V16" s="16">
        <f t="array" ref="V16">IF(ISNUMBER($J16),INDEX('Cálculos'!$C$180:$F$180,$J16),"")</f>
        <v>0.4871794872</v>
      </c>
      <c r="W16" s="16">
        <f t="array" ref="W16">IF(ISNUMBER($J16),INDEX('Cálculos'!$C$182:$F$182,$J16),"")</f>
        <v>1.05</v>
      </c>
      <c r="X16" s="16">
        <f t="shared" si="2"/>
        <v>1.371946154</v>
      </c>
      <c r="Y16" s="16">
        <f t="shared" si="3"/>
        <v>2.192369954</v>
      </c>
      <c r="Z16" s="16">
        <f t="shared" si="4"/>
        <v>0</v>
      </c>
      <c r="AA16" s="16">
        <f t="shared" si="5"/>
        <v>0</v>
      </c>
      <c r="AB16" s="16">
        <f t="shared" si="6"/>
        <v>0</v>
      </c>
      <c r="AC16" s="21">
        <f t="array" ref="AC16">IF(ISNUMBER($J16),INDEX('Cálculos'!$C$332:$F$336,IFERROR(MATCH($T16,'Perfis de buff'!$A$4:$A$8,0),1),$J16),"")</f>
        <v>5791.25</v>
      </c>
      <c r="AD16" s="21">
        <f t="array" ref="AD16">IF(ISNUMBER($J16),INDEX('Cálculos'!$C$339:$F$343,IFERROR(MATCH($T16,'Perfis de buff'!$A$4:$A$8,0),1),$J16),"")</f>
        <v>424</v>
      </c>
      <c r="AE16" s="21">
        <f t="array" ref="AE16">IF(ISNUMBER($J16),INDEX('Cálculos'!$C$337:$F$337,$J16),"")</f>
        <v>19082.648</v>
      </c>
      <c r="AF16" s="21">
        <f t="array" ref="AF16">IF(ISNUMBER($J16),INDEX('Cálculos'!$C$338:$F$338,$J16),"")</f>
        <v>929.208</v>
      </c>
      <c r="AG16" s="16">
        <f t="array" ref="AG16">IF(ISNUMBER($J16),IF($S16="Derreter",INDEX('Cálculos'!$C$124:$F$124,$J16)*(1+2.78*$AD16/($AD16+1400)+INDEX('Cálculos'!$C$122:$F$122,$J16)),IF($S16="Vaporizar",INDEX('Cálculos'!$C$125:$F$125,$J16)*(1+2.78*$AD16/($AD16+1400)+INDEX('Cálculos'!$C$123:$F$123,$J16)),1)),"")</f>
        <v>1</v>
      </c>
      <c r="AH16" s="21">
        <f t="shared" si="7"/>
        <v>12696.5625</v>
      </c>
      <c r="AI16" s="21">
        <f t="array" ref="AI16">IF(ISNUMBER($J16),$AH16*(1+INDEX('Cálculos'!$C$331:$F$331,$J16)),"")</f>
        <v>42127.19436</v>
      </c>
      <c r="AJ16" s="21">
        <f t="array" ref="AJ16">IF(ISNUMBER($J16),$AH16*(1+MIN(INDEX('Cálculos'!$C$330:$F$330,$J16),1)*INDEX('Cálculos'!$C$331:$F$331,$J16)),"")</f>
        <v>41803.45741</v>
      </c>
      <c r="AK16" s="21">
        <f>IF(ISNUMBER($J16),'Fixo (cálculo)'!$AF16,"")</f>
        <v>0</v>
      </c>
      <c r="AL16" s="26">
        <f t="shared" si="8"/>
        <v>0</v>
      </c>
      <c r="AN16" s="8" t="s">
        <v>434</v>
      </c>
    </row>
    <row r="17">
      <c r="A17" s="7" t="s">
        <v>93</v>
      </c>
      <c r="B17" s="7">
        <v>1.0</v>
      </c>
      <c r="C17" s="7" t="s">
        <v>270</v>
      </c>
      <c r="D17" s="10" t="s">
        <v>115</v>
      </c>
      <c r="E17" s="11">
        <v>-0.147</v>
      </c>
      <c r="F17" s="4" t="str">
        <f>IF($A17="","",IF(ISNUMBER(MATCH($A17,'Golpes extras'!$A$2:$A$101,0)),"Sim","Não"))</f>
        <v>Não</v>
      </c>
      <c r="G17" s="4" t="str">
        <f t="array" ref="G17">IF($A17="","",IF($F17="Sim",INDEX('Golpes extras'!$B$2:$B$101,MATCH($A17,'Golpes extras'!$A$2:$A$101,0))&amp;"",$A17))</f>
        <v>Mavuika - Habilidade: Flamestrider Charged Attack Cyclic DMG</v>
      </c>
      <c r="H17" s="4">
        <f>IF($G17="","",IFERROR(MATCH($G17,L_Golpes!$A$2:$A$6000,0),""))</f>
        <v>52</v>
      </c>
      <c r="I17" s="4" t="str">
        <f t="array" ref="I17">IF($A17="","",IF(ISNUMBER($H17),INDEX(L_Golpes!$B$2:$B$6000,$H17),IF(IFERROR(INDEX('Golpes extras'!$C$2:$C$101,MATCH($A17,'Golpes extras'!$A$2:$A$101,0))&amp;"","")&lt;&gt;"",INDEX('Golpes extras'!$C$2:$C$101,MATCH($A17,'Golpes extras'!$A$2:$A$101,0))&amp;"","golpe?")))</f>
        <v>Mavuika</v>
      </c>
      <c r="J17" s="4">
        <f>IF(OR($I17="",$I17="golpe?"),"",IFERROR(MATCH($I17,Time!$B$4:$E$4,0),"fora do time"))</f>
        <v>1</v>
      </c>
      <c r="K17" s="4" t="str">
        <f t="array" ref="K17">IF(ISNUMBER($J17),IF(IFERROR(INDEX('Golpes extras'!$D$2:$D$101,MATCH($A17,'Golpes extras'!$A$2:$A$101,0))&amp;"","")&lt;&gt;"",INDEX('Golpes extras'!$D$2:$D$101,MATCH($A17,'Golpes extras'!$A$2:$A$101,0))&amp;"",IF(ISNUMBER($H17),INDEX(L_Golpes!$D$2:$D$6000,$H17),"Outro")),"")</f>
        <v>Carregado</v>
      </c>
      <c r="L17" s="4" t="str">
        <f t="array" ref="L17">IF(ISNUMBER($J17),IF(ISNUMBER($H17),INDEX(L_Golpes!$C$2:$C$6000,$H17),""),"")</f>
        <v>Habilidade</v>
      </c>
      <c r="M17" s="4">
        <f t="array" ref="M17">IF(ISNUMBER($J17),IF($L17="Normal",INDEX('Cálculos'!$C$14:$F$14,$J17),IF($L17="Habilidade",INDEX('Cálculos'!$C$15:$F$15,$J17),IF($L17="Supremo",INDEX('Cálculos'!$C$16:$F$16,$J17),""))),"")</f>
        <v>10</v>
      </c>
      <c r="N17" s="16">
        <f t="array" ref="N17">IF(ISNUMBER($J17),IF(ISNUMBER($H17),INDEX(L_Golpes!$F$2:$T$6000,$H17,MAX(1,MIN(15,$M17))),0)+IF($F17="Sim",N(INDEX('Golpes extras'!$E$2:$E$101,MATCH($A17,'Golpes extras'!$A$2:$A$101,0))),0),"")</f>
        <v>1.955</v>
      </c>
      <c r="O17" s="17">
        <f t="array" ref="O17">IF(ISNUMBER($J17),IF(ISNUMBER($H17),INDEX(L_Golpes!$U$2:$AI$6000,$H17,MAX(1,MIN(15,$M17))),0)+IF($F17="Sim",N(INDEX('Golpes extras'!$F$2:$F$101,MATCH($A17,'Golpes extras'!$A$2:$A$101,0))),0),"")</f>
        <v>0</v>
      </c>
      <c r="P17" s="16">
        <f t="array" ref="P17">IF(ISNUMBER($J17),IF(ISNUMBER($H17),INDEX(L_Golpes!$AJ$2:$AX$6000,$H17,MAX(1,MIN(15,$M17))),0)+IF($F17="Sim",N(INDEX('Golpes extras'!$G$2:$G$101,MATCH($A17,'Golpes extras'!$A$2:$A$101,0))),0),"")</f>
        <v>0</v>
      </c>
      <c r="Q17" s="16">
        <f t="array" ref="Q17">IF(ISNUMBER($J17),IF(ISNUMBER($H17),INDEX(L_Golpes!$AY$2:$BM$6000,$H17,MAX(1,MIN(15,$M17))),0)+IF($F17="Sim",N(INDEX('Golpes extras'!$H$2:$H$101,MATCH($A17,'Golpes extras'!$A$2:$A$101,0))),0),"")</f>
        <v>0</v>
      </c>
      <c r="R17" s="4" t="str">
        <f t="array" ref="R17">IF(ISNUMBER($J17),INDEX('Cálculos'!$C$19:$F$19,$J17),"")</f>
        <v>Pyro</v>
      </c>
      <c r="S17" s="4" t="str">
        <f t="shared" si="1"/>
        <v>Nenhuma</v>
      </c>
      <c r="T17" s="4" t="str">
        <f>IF(ISNUMBER($J17),IF(OR($D17="Não",$D17=FALSE),'Perfis de buff'!$A$8,IF(OR($D17="",$D17="Sim",$D17=TRUE),'Perfis de buff'!$A$4,$D17)),"")</f>
        <v>Pós-Supremo</v>
      </c>
      <c r="U17" s="22">
        <f t="array" ref="U17">IF(ISNUMBER($J17),INDEX('Cálculos'!$C$113:$F$113,$J17)+IF($K17="Normal",INDEX('Cálculos'!$C$114:$F$114,$J17),IF($K17="Carregado",INDEX('Cálculos'!$C$115:$F$115,$J17),IF($K17="Habilidade",INDEX('Cálculos'!$C$116:$F$116,$J17),IF($K17="Supremo",INDEX('Cálculos'!$C$117:$F$117,$J17),0))))+INDEX('Cálculos'!$C$143:$F$147,IFERROR(MATCH($T17,'Perfis de buff'!$A$4:$A$8,0),1),$J17)+IF($K17="Normal",INDEX('Cálculos'!$C$148:$F$152,IFERROR(MATCH($T17,'Perfis de buff'!$A$4:$A$8,0),1),$J17),IF($K17="Carregado",INDEX('Cálculos'!$C$153:$F$157,IFERROR(MATCH($T17,'Perfis de buff'!$A$4:$A$8,0),1),$J17),IF($K17="Habilidade",INDEX('Cálculos'!$C$158:$F$162,IFERROR(MATCH($T17,'Perfis de buff'!$A$4:$A$8,0),1),$J17),IF($K17="Supremo",INDEX('Cálculos'!$C$163:$F$167,IFERROR(MATCH($T17,'Perfis de buff'!$A$4:$A$8,0),1),$J17),0))))+N($E17),"")</f>
        <v>1.669</v>
      </c>
      <c r="V17" s="16">
        <f t="array" ref="V17">IF(ISNUMBER($J17),INDEX('Cálculos'!$C$180:$F$180,$J17),"")</f>
        <v>0.4871794872</v>
      </c>
      <c r="W17" s="16">
        <f t="array" ref="W17">IF(ISNUMBER($J17),INDEX('Cálculos'!$C$182:$F$182,$J17),"")</f>
        <v>1.05</v>
      </c>
      <c r="X17" s="16">
        <f t="shared" si="2"/>
        <v>1.365296154</v>
      </c>
      <c r="Y17" s="16">
        <f t="shared" si="3"/>
        <v>2.669153981</v>
      </c>
      <c r="Z17" s="16">
        <f t="shared" si="4"/>
        <v>0</v>
      </c>
      <c r="AA17" s="16">
        <f t="shared" si="5"/>
        <v>0</v>
      </c>
      <c r="AB17" s="16">
        <f t="shared" si="6"/>
        <v>0</v>
      </c>
      <c r="AC17" s="21">
        <f t="array" ref="AC17">IF(ISNUMBER($J17),INDEX('Cálculos'!$C$332:$F$336,IFERROR(MATCH($T17,'Perfis de buff'!$A$4:$A$8,0),1),$J17),"")</f>
        <v>4981.25</v>
      </c>
      <c r="AD17" s="21">
        <f t="array" ref="AD17">IF(ISNUMBER($J17),INDEX('Cálculos'!$C$339:$F$343,IFERROR(MATCH($T17,'Perfis de buff'!$A$4:$A$8,0),1),$J17),"")</f>
        <v>424</v>
      </c>
      <c r="AE17" s="21">
        <f t="array" ref="AE17">IF(ISNUMBER($J17),INDEX('Cálculos'!$C$337:$F$337,$J17),"")</f>
        <v>19082.648</v>
      </c>
      <c r="AF17" s="21">
        <f t="array" ref="AF17">IF(ISNUMBER($J17),INDEX('Cálculos'!$C$338:$F$338,$J17),"")</f>
        <v>929.208</v>
      </c>
      <c r="AG17" s="16">
        <f t="array" ref="AG17">IF(ISNUMBER($J17),IF($S17="Derreter",INDEX('Cálculos'!$C$124:$F$124,$J17)*(1+2.78*$AD17/($AD17+1400)+INDEX('Cálculos'!$C$122:$F$122,$J17)),IF($S17="Vaporizar",INDEX('Cálculos'!$C$125:$F$125,$J17)*(1+2.78*$AD17/($AD17+1400)+INDEX('Cálculos'!$C$123:$F$123,$J17)),1)),"")</f>
        <v>1</v>
      </c>
      <c r="AH17" s="21">
        <f t="shared" si="7"/>
        <v>13295.72327</v>
      </c>
      <c r="AI17" s="21">
        <f t="array" ref="AI17">IF(ISNUMBER($J17),$AH17*(1+INDEX('Cálculos'!$C$331:$F$331,$J17)),"")</f>
        <v>44115.2098</v>
      </c>
      <c r="AJ17" s="21">
        <f t="array" ref="AJ17">IF(ISNUMBER($J17),$AH17*(1+MIN(INDEX('Cálculos'!$C$330:$F$330,$J17),1)*INDEX('Cálculos'!$C$331:$F$331,$J17)),"")</f>
        <v>43776.19545</v>
      </c>
      <c r="AK17" s="21">
        <f>IF(ISNUMBER($J17),'Fixo (cálculo)'!$AF17,"")</f>
        <v>0</v>
      </c>
      <c r="AL17" s="26">
        <f t="shared" si="8"/>
        <v>0</v>
      </c>
      <c r="AN17" s="8" t="s">
        <v>436</v>
      </c>
    </row>
    <row r="18">
      <c r="A18" s="7" t="s">
        <v>173</v>
      </c>
      <c r="B18" s="7">
        <v>1.0</v>
      </c>
      <c r="C18" s="7" t="s">
        <v>97</v>
      </c>
      <c r="D18" s="10" t="s">
        <v>115</v>
      </c>
      <c r="E18" s="11">
        <v>-0.161</v>
      </c>
      <c r="F18" s="4" t="str">
        <f>IF($A18="","",IF(ISNUMBER(MATCH($A18,'Golpes extras'!$A$2:$A$101,0)),"Sim","Não"))</f>
        <v>Não</v>
      </c>
      <c r="G18" s="4" t="str">
        <f t="array" ref="G18">IF($A18="","",IF($F18="Sim",INDEX('Golpes extras'!$B$2:$B$101,MATCH($A18,'Golpes extras'!$A$2:$A$101,0))&amp;"",$A18))</f>
        <v>Mavuika - Habilidade: Flamestrider Charged Attack Final DMG</v>
      </c>
      <c r="H18" s="4">
        <f>IF($G18="","",IFERROR(MATCH($G18,L_Golpes!$A$2:$A$6000,0),""))</f>
        <v>53</v>
      </c>
      <c r="I18" s="4" t="str">
        <f t="array" ref="I18">IF($A18="","",IF(ISNUMBER($H18),INDEX(L_Golpes!$B$2:$B$6000,$H18),IF(IFERROR(INDEX('Golpes extras'!$C$2:$C$101,MATCH($A18,'Golpes extras'!$A$2:$A$101,0))&amp;"","")&lt;&gt;"",INDEX('Golpes extras'!$C$2:$C$101,MATCH($A18,'Golpes extras'!$A$2:$A$101,0))&amp;"","golpe?")))</f>
        <v>Mavuika</v>
      </c>
      <c r="J18" s="4">
        <f>IF(OR($I18="",$I18="golpe?"),"",IFERROR(MATCH($I18,Time!$B$4:$E$4,0),"fora do time"))</f>
        <v>1</v>
      </c>
      <c r="K18" s="4" t="str">
        <f t="array" ref="K18">IF(ISNUMBER($J18),IF(IFERROR(INDEX('Golpes extras'!$D$2:$D$101,MATCH($A18,'Golpes extras'!$A$2:$A$101,0))&amp;"","")&lt;&gt;"",INDEX('Golpes extras'!$D$2:$D$101,MATCH($A18,'Golpes extras'!$A$2:$A$101,0))&amp;"",IF(ISNUMBER($H18),INDEX(L_Golpes!$D$2:$D$6000,$H18),"Outro")),"")</f>
        <v>Carregado</v>
      </c>
      <c r="L18" s="4" t="str">
        <f t="array" ref="L18">IF(ISNUMBER($J18),IF(ISNUMBER($H18),INDEX(L_Golpes!$C$2:$C$6000,$H18),""),"")</f>
        <v>Habilidade</v>
      </c>
      <c r="M18" s="4">
        <f t="array" ref="M18">IF(ISNUMBER($J18),IF($L18="Normal",INDEX('Cálculos'!$C$14:$F$14,$J18),IF($L18="Habilidade",INDEX('Cálculos'!$C$15:$F$15,$J18),IF($L18="Supremo",INDEX('Cálculos'!$C$16:$F$16,$J18),""))),"")</f>
        <v>10</v>
      </c>
      <c r="N18" s="16">
        <f t="array" ref="N18">IF(ISNUMBER($J18),IF(ISNUMBER($H18),INDEX(L_Golpes!$F$2:$T$6000,$H18,MAX(1,MIN(15,$M18))),0)+IF($F18="Sim",N(INDEX('Golpes extras'!$E$2:$E$101,MATCH($A18,'Golpes extras'!$A$2:$A$101,0))),0),"")</f>
        <v>2.72</v>
      </c>
      <c r="O18" s="17">
        <f t="array" ref="O18">IF(ISNUMBER($J18),IF(ISNUMBER($H18),INDEX(L_Golpes!$U$2:$AI$6000,$H18,MAX(1,MIN(15,$M18))),0)+IF($F18="Sim",N(INDEX('Golpes extras'!$F$2:$F$101,MATCH($A18,'Golpes extras'!$A$2:$A$101,0))),0),"")</f>
        <v>0</v>
      </c>
      <c r="P18" s="16">
        <f t="array" ref="P18">IF(ISNUMBER($J18),IF(ISNUMBER($H18),INDEX(L_Golpes!$AJ$2:$AX$6000,$H18,MAX(1,MIN(15,$M18))),0)+IF($F18="Sim",N(INDEX('Golpes extras'!$G$2:$G$101,MATCH($A18,'Golpes extras'!$A$2:$A$101,0))),0),"")</f>
        <v>0</v>
      </c>
      <c r="Q18" s="16">
        <f t="array" ref="Q18">IF(ISNUMBER($J18),IF(ISNUMBER($H18),INDEX(L_Golpes!$AY$2:$BM$6000,$H18,MAX(1,MIN(15,$M18))),0)+IF($F18="Sim",N(INDEX('Golpes extras'!$H$2:$H$101,MATCH($A18,'Golpes extras'!$A$2:$A$101,0))),0),"")</f>
        <v>0</v>
      </c>
      <c r="R18" s="4" t="str">
        <f t="array" ref="R18">IF(ISNUMBER($J18),INDEX('Cálculos'!$C$19:$F$19,$J18),"")</f>
        <v>Pyro</v>
      </c>
      <c r="S18" s="4" t="str">
        <f t="shared" si="1"/>
        <v>Derreter</v>
      </c>
      <c r="T18" s="4" t="str">
        <f>IF(ISNUMBER($J18),IF(OR($D18="Não",$D18=FALSE),'Perfis de buff'!$A$8,IF(OR($D18="",$D18="Sim",$D18=TRUE),'Perfis de buff'!$A$4,$D18)),"")</f>
        <v>Pós-Supremo</v>
      </c>
      <c r="U18" s="22">
        <f t="array" ref="U18">IF(ISNUMBER($J18),INDEX('Cálculos'!$C$113:$F$113,$J18)+IF($K18="Normal",INDEX('Cálculos'!$C$114:$F$114,$J18),IF($K18="Carregado",INDEX('Cálculos'!$C$115:$F$115,$J18),IF($K18="Habilidade",INDEX('Cálculos'!$C$116:$F$116,$J18),IF($K18="Supremo",INDEX('Cálculos'!$C$117:$F$117,$J18),0))))+INDEX('Cálculos'!$C$143:$F$147,IFERROR(MATCH($T18,'Perfis de buff'!$A$4:$A$8,0),1),$J18)+IF($K18="Normal",INDEX('Cálculos'!$C$148:$F$152,IFERROR(MATCH($T18,'Perfis de buff'!$A$4:$A$8,0),1),$J18),IF($K18="Carregado",INDEX('Cálculos'!$C$153:$F$157,IFERROR(MATCH($T18,'Perfis de buff'!$A$4:$A$8,0),1),$J18),IF($K18="Habilidade",INDEX('Cálculos'!$C$158:$F$162,IFERROR(MATCH($T18,'Perfis de buff'!$A$4:$A$8,0),1),$J18),IF($K18="Supremo",INDEX('Cálculos'!$C$163:$F$167,IFERROR(MATCH($T18,'Perfis de buff'!$A$4:$A$8,0),1),$J18),0))))+N($E18),"")</f>
        <v>1.655</v>
      </c>
      <c r="V18" s="16">
        <f t="array" ref="V18">IF(ISNUMBER($J18),INDEX('Cálculos'!$C$180:$F$180,$J18),"")</f>
        <v>0.4871794872</v>
      </c>
      <c r="W18" s="16">
        <f t="array" ref="W18">IF(ISNUMBER($J18),INDEX('Cálculos'!$C$182:$F$182,$J18),"")</f>
        <v>1.05</v>
      </c>
      <c r="X18" s="16">
        <f t="shared" si="2"/>
        <v>1.358134615</v>
      </c>
      <c r="Y18" s="16">
        <f t="shared" si="3"/>
        <v>3.694126154</v>
      </c>
      <c r="Z18" s="16">
        <f t="shared" si="4"/>
        <v>0</v>
      </c>
      <c r="AA18" s="16">
        <f t="shared" si="5"/>
        <v>0</v>
      </c>
      <c r="AB18" s="16">
        <f t="shared" si="6"/>
        <v>0</v>
      </c>
      <c r="AC18" s="21">
        <f t="array" ref="AC18">IF(ISNUMBER($J18),INDEX('Cálculos'!$C$332:$F$336,IFERROR(MATCH($T18,'Perfis de buff'!$A$4:$A$8,0),1),$J18),"")</f>
        <v>4981.25</v>
      </c>
      <c r="AD18" s="21">
        <f t="array" ref="AD18">IF(ISNUMBER($J18),INDEX('Cálculos'!$C$339:$F$343,IFERROR(MATCH($T18,'Perfis de buff'!$A$4:$A$8,0),1),$J18),"")</f>
        <v>424</v>
      </c>
      <c r="AE18" s="21">
        <f t="array" ref="AE18">IF(ISNUMBER($J18),INDEX('Cálculos'!$C$337:$F$337,$J18),"")</f>
        <v>19082.648</v>
      </c>
      <c r="AF18" s="21">
        <f t="array" ref="AF18">IF(ISNUMBER($J18),INDEX('Cálculos'!$C$338:$F$338,$J18),"")</f>
        <v>929.208</v>
      </c>
      <c r="AG18" s="16">
        <f t="array" ref="AG18">IF(ISNUMBER($J18),IF($S18="Derreter",INDEX('Cálculos'!$C$124:$F$124,$J18)*(1+2.78*$AD18/($AD18+1400)+INDEX('Cálculos'!$C$122:$F$122,$J18)),IF($S18="Vaporizar",INDEX('Cálculos'!$C$125:$F$125,$J18)*(1+2.78*$AD18/($AD18+1400)+INDEX('Cálculos'!$C$123:$F$123,$J18)),1)),"")</f>
        <v>3.29245614</v>
      </c>
      <c r="AH18" s="21">
        <f t="shared" si="7"/>
        <v>60585.69016</v>
      </c>
      <c r="AI18" s="21">
        <f t="array" ref="AI18">IF(ISNUMBER($J18),$AH18*(1+INDEX('Cálculos'!$C$331:$F$331,$J18)),"")</f>
        <v>201023.32</v>
      </c>
      <c r="AJ18" s="21">
        <f t="array" ref="AJ18">IF(ISNUMBER($J18),$AH18*(1+MIN(INDEX('Cálculos'!$C$330:$F$330,$J18),1)*INDEX('Cálculos'!$C$331:$F$331,$J18)),"")</f>
        <v>199478.506</v>
      </c>
      <c r="AK18" s="21">
        <f>IF(ISNUMBER($J18),'Fixo (cálculo)'!$AF18,"")</f>
        <v>0</v>
      </c>
      <c r="AL18" s="26">
        <f t="shared" si="8"/>
        <v>0</v>
      </c>
      <c r="AN18" s="8" t="s">
        <v>443</v>
      </c>
    </row>
    <row r="19">
      <c r="A19" s="7" t="s">
        <v>294</v>
      </c>
      <c r="B19" s="7">
        <v>1.0</v>
      </c>
      <c r="C19" s="7" t="s">
        <v>270</v>
      </c>
      <c r="D19" s="10" t="s">
        <v>120</v>
      </c>
      <c r="E19" s="11">
        <v>-0.174</v>
      </c>
      <c r="F19" s="4" t="str">
        <f>IF($A19="","",IF(ISNUMBER(MATCH($A19,'Golpes extras'!$A$2:$A$101,0)),"Sim","Não"))</f>
        <v>Não</v>
      </c>
      <c r="G19" s="4" t="str">
        <f t="array" ref="G19">IF($A19="","",IF($F19="Sim",INDEX('Golpes extras'!$B$2:$B$101,MATCH($A19,'Golpes extras'!$A$2:$A$101,0))&amp;"",$A19))</f>
        <v>Mavuika - Habilidade: Flamestrider Sprint DMG</v>
      </c>
      <c r="H19" s="4">
        <f>IF($G19="","",IFERROR(MATCH($G19,L_Golpes!$A$2:$A$6000,0),""))</f>
        <v>51</v>
      </c>
      <c r="I19" s="4" t="str">
        <f t="array" ref="I19">IF($A19="","",IF(ISNUMBER($H19),INDEX(L_Golpes!$B$2:$B$6000,$H19),IF(IFERROR(INDEX('Golpes extras'!$C$2:$C$101,MATCH($A19,'Golpes extras'!$A$2:$A$101,0))&amp;"","")&lt;&gt;"",INDEX('Golpes extras'!$C$2:$C$101,MATCH($A19,'Golpes extras'!$A$2:$A$101,0))&amp;"","golpe?")))</f>
        <v>Mavuika</v>
      </c>
      <c r="J19" s="4">
        <f>IF(OR($I19="",$I19="golpe?"),"",IFERROR(MATCH($I19,Time!$B$4:$E$4,0),"fora do time"))</f>
        <v>1</v>
      </c>
      <c r="K19" s="4" t="str">
        <f t="array" ref="K19">IF(ISNUMBER($J19),IF(IFERROR(INDEX('Golpes extras'!$D$2:$D$101,MATCH($A19,'Golpes extras'!$A$2:$A$101,0))&amp;"","")&lt;&gt;"",INDEX('Golpes extras'!$D$2:$D$101,MATCH($A19,'Golpes extras'!$A$2:$A$101,0))&amp;"",IF(ISNUMBER($H19),INDEX(L_Golpes!$D$2:$D$6000,$H19),"Outro")),"")</f>
        <v>Habilidade</v>
      </c>
      <c r="L19" s="4" t="str">
        <f t="array" ref="L19">IF(ISNUMBER($J19),IF(ISNUMBER($H19),INDEX(L_Golpes!$C$2:$C$6000,$H19),""),"")</f>
        <v>Habilidade</v>
      </c>
      <c r="M19" s="4">
        <f t="array" ref="M19">IF(ISNUMBER($J19),IF($L19="Normal",INDEX('Cálculos'!$C$14:$F$14,$J19),IF($L19="Habilidade",INDEX('Cálculos'!$C$15:$F$15,$J19),IF($L19="Supremo",INDEX('Cálculos'!$C$16:$F$16,$J19),""))),"")</f>
        <v>10</v>
      </c>
      <c r="N19" s="16">
        <f t="array" ref="N19">IF(ISNUMBER($J19),IF(ISNUMBER($H19),INDEX(L_Golpes!$F$2:$T$6000,$H19,MAX(1,MIN(15,$M19))),0)+IF($F19="Sim",N(INDEX('Golpes extras'!$E$2:$E$101,MATCH($A19,'Golpes extras'!$A$2:$A$101,0))),0),"")</f>
        <v>1.598</v>
      </c>
      <c r="O19" s="17">
        <f t="array" ref="O19">IF(ISNUMBER($J19),IF(ISNUMBER($H19),INDEX(L_Golpes!$U$2:$AI$6000,$H19,MAX(1,MIN(15,$M19))),0)+IF($F19="Sim",N(INDEX('Golpes extras'!$F$2:$F$101,MATCH($A19,'Golpes extras'!$A$2:$A$101,0))),0),"")</f>
        <v>0</v>
      </c>
      <c r="P19" s="16">
        <f t="array" ref="P19">IF(ISNUMBER($J19),IF(ISNUMBER($H19),INDEX(L_Golpes!$AJ$2:$AX$6000,$H19,MAX(1,MIN(15,$M19))),0)+IF($F19="Sim",N(INDEX('Golpes extras'!$G$2:$G$101,MATCH($A19,'Golpes extras'!$A$2:$A$101,0))),0),"")</f>
        <v>0</v>
      </c>
      <c r="Q19" s="16">
        <f t="array" ref="Q19">IF(ISNUMBER($J19),IF(ISNUMBER($H19),INDEX(L_Golpes!$AY$2:$BM$6000,$H19,MAX(1,MIN(15,$M19))),0)+IF($F19="Sim",N(INDEX('Golpes extras'!$H$2:$H$101,MATCH($A19,'Golpes extras'!$A$2:$A$101,0))),0),"")</f>
        <v>0</v>
      </c>
      <c r="R19" s="4" t="str">
        <f t="array" ref="R19">IF(ISNUMBER($J19),INDEX('Cálculos'!$C$19:$F$19,$J19),"")</f>
        <v>Pyro</v>
      </c>
      <c r="S19" s="4" t="str">
        <f t="shared" si="1"/>
        <v>Nenhuma</v>
      </c>
      <c r="T19" s="4" t="str">
        <f>IF(ISNUMBER($J19),IF(OR($D19="Não",$D19=FALSE),'Perfis de buff'!$A$8,IF(OR($D19="",$D19="Sim",$D19=TRUE),'Perfis de buff'!$A$4,$D19)),"")</f>
        <v>Final</v>
      </c>
      <c r="U19" s="22">
        <f t="array" ref="U19">IF(ISNUMBER($J19),INDEX('Cálculos'!$C$113:$F$113,$J19)+IF($K19="Normal",INDEX('Cálculos'!$C$114:$F$114,$J19),IF($K19="Carregado",INDEX('Cálculos'!$C$115:$F$115,$J19),IF($K19="Habilidade",INDEX('Cálculos'!$C$116:$F$116,$J19),IF($K19="Supremo",INDEX('Cálculos'!$C$117:$F$117,$J19),0))))+INDEX('Cálculos'!$C$143:$F$147,IFERROR(MATCH($T19,'Perfis de buff'!$A$4:$A$8,0),1),$J19)+IF($K19="Normal",INDEX('Cálculos'!$C$148:$F$152,IFERROR(MATCH($T19,'Perfis de buff'!$A$4:$A$8,0),1),$J19),IF($K19="Carregado",INDEX('Cálculos'!$C$153:$F$157,IFERROR(MATCH($T19,'Perfis de buff'!$A$4:$A$8,0),1),$J19),IF($K19="Habilidade",INDEX('Cálculos'!$C$158:$F$162,IFERROR(MATCH($T19,'Perfis de buff'!$A$4:$A$8,0),1),$J19),IF($K19="Supremo",INDEX('Cálculos'!$C$163:$F$167,IFERROR(MATCH($T19,'Perfis de buff'!$A$4:$A$8,0),1),$J19),0))))+N($E19),"")</f>
        <v>1.642</v>
      </c>
      <c r="V19" s="16">
        <f t="array" ref="V19">IF(ISNUMBER($J19),INDEX('Cálculos'!$C$180:$F$180,$J19),"")</f>
        <v>0.4871794872</v>
      </c>
      <c r="W19" s="16">
        <f t="array" ref="W19">IF(ISNUMBER($J19),INDEX('Cálculos'!$C$182:$F$182,$J19),"")</f>
        <v>1.05</v>
      </c>
      <c r="X19" s="16">
        <f t="shared" si="2"/>
        <v>1.351484615</v>
      </c>
      <c r="Y19" s="16">
        <f t="shared" si="3"/>
        <v>2.159672415</v>
      </c>
      <c r="Z19" s="16">
        <f t="shared" si="4"/>
        <v>0</v>
      </c>
      <c r="AA19" s="16">
        <f t="shared" si="5"/>
        <v>0</v>
      </c>
      <c r="AB19" s="16">
        <f t="shared" si="6"/>
        <v>0</v>
      </c>
      <c r="AC19" s="21">
        <f t="array" ref="AC19">IF(ISNUMBER($J19),INDEX('Cálculos'!$C$332:$F$336,IFERROR(MATCH($T19,'Perfis de buff'!$A$4:$A$8,0),1),$J19),"")</f>
        <v>4233.25</v>
      </c>
      <c r="AD19" s="21">
        <f t="array" ref="AD19">IF(ISNUMBER($J19),INDEX('Cálculos'!$C$339:$F$343,IFERROR(MATCH($T19,'Perfis de buff'!$A$4:$A$8,0),1),$J19),"")</f>
        <v>424</v>
      </c>
      <c r="AE19" s="21">
        <f t="array" ref="AE19">IF(ISNUMBER($J19),INDEX('Cálculos'!$C$337:$F$337,$J19),"")</f>
        <v>19082.648</v>
      </c>
      <c r="AF19" s="21">
        <f t="array" ref="AF19">IF(ISNUMBER($J19),INDEX('Cálculos'!$C$338:$F$338,$J19),"")</f>
        <v>929.208</v>
      </c>
      <c r="AG19" s="16">
        <f t="array" ref="AG19">IF(ISNUMBER($J19),IF($S19="Derreter",INDEX('Cálculos'!$C$124:$F$124,$J19)*(1+2.78*$AD19/($AD19+1400)+INDEX('Cálculos'!$C$122:$F$122,$J19)),IF($S19="Vaporizar",INDEX('Cálculos'!$C$125:$F$125,$J19)*(1+2.78*$AD19/($AD19+1400)+INDEX('Cálculos'!$C$123:$F$123,$J19)),1)),"")</f>
        <v>1</v>
      </c>
      <c r="AH19" s="21">
        <f t="shared" si="7"/>
        <v>9142.433252</v>
      </c>
      <c r="AI19" s="21">
        <f t="array" ref="AI19">IF(ISNUMBER($J19),$AH19*(1+INDEX('Cálculos'!$C$331:$F$331,$J19)),"")</f>
        <v>30334.59353</v>
      </c>
      <c r="AJ19" s="21">
        <f t="array" ref="AJ19">IF(ISNUMBER($J19),$AH19*(1+MIN(INDEX('Cálculos'!$C$330:$F$330,$J19),1)*INDEX('Cálculos'!$C$331:$F$331,$J19)),"")</f>
        <v>30101.47977</v>
      </c>
      <c r="AK19" s="21">
        <f>IF(ISNUMBER($J19),'Fixo (cálculo)'!$AF19,"")</f>
        <v>0</v>
      </c>
      <c r="AL19" s="26">
        <f t="shared" si="8"/>
        <v>0</v>
      </c>
      <c r="AN19" s="8" t="s">
        <v>453</v>
      </c>
    </row>
    <row r="20">
      <c r="A20" s="7" t="s">
        <v>93</v>
      </c>
      <c r="B20" s="7">
        <v>1.0</v>
      </c>
      <c r="C20" s="7" t="s">
        <v>270</v>
      </c>
      <c r="D20" s="10" t="s">
        <v>120</v>
      </c>
      <c r="E20" s="11">
        <v>-0.187</v>
      </c>
      <c r="F20" s="4" t="str">
        <f>IF($A20="","",IF(ISNUMBER(MATCH($A20,'Golpes extras'!$A$2:$A$101,0)),"Sim","Não"))</f>
        <v>Não</v>
      </c>
      <c r="G20" s="4" t="str">
        <f t="array" ref="G20">IF($A20="","",IF($F20="Sim",INDEX('Golpes extras'!$B$2:$B$101,MATCH($A20,'Golpes extras'!$A$2:$A$101,0))&amp;"",$A20))</f>
        <v>Mavuika - Habilidade: Flamestrider Charged Attack Cyclic DMG</v>
      </c>
      <c r="H20" s="4">
        <f>IF($G20="","",IFERROR(MATCH($G20,L_Golpes!$A$2:$A$6000,0),""))</f>
        <v>52</v>
      </c>
      <c r="I20" s="4" t="str">
        <f t="array" ref="I20">IF($A20="","",IF(ISNUMBER($H20),INDEX(L_Golpes!$B$2:$B$6000,$H20),IF(IFERROR(INDEX('Golpes extras'!$C$2:$C$101,MATCH($A20,'Golpes extras'!$A$2:$A$101,0))&amp;"","")&lt;&gt;"",INDEX('Golpes extras'!$C$2:$C$101,MATCH($A20,'Golpes extras'!$A$2:$A$101,0))&amp;"","golpe?")))</f>
        <v>Mavuika</v>
      </c>
      <c r="J20" s="4">
        <f>IF(OR($I20="",$I20="golpe?"),"",IFERROR(MATCH($I20,Time!$B$4:$E$4,0),"fora do time"))</f>
        <v>1</v>
      </c>
      <c r="K20" s="4" t="str">
        <f t="array" ref="K20">IF(ISNUMBER($J20),IF(IFERROR(INDEX('Golpes extras'!$D$2:$D$101,MATCH($A20,'Golpes extras'!$A$2:$A$101,0))&amp;"","")&lt;&gt;"",INDEX('Golpes extras'!$D$2:$D$101,MATCH($A20,'Golpes extras'!$A$2:$A$101,0))&amp;"",IF(ISNUMBER($H20),INDEX(L_Golpes!$D$2:$D$6000,$H20),"Outro")),"")</f>
        <v>Carregado</v>
      </c>
      <c r="L20" s="4" t="str">
        <f t="array" ref="L20">IF(ISNUMBER($J20),IF(ISNUMBER($H20),INDEX(L_Golpes!$C$2:$C$6000,$H20),""),"")</f>
        <v>Habilidade</v>
      </c>
      <c r="M20" s="4">
        <f t="array" ref="M20">IF(ISNUMBER($J20),IF($L20="Normal",INDEX('Cálculos'!$C$14:$F$14,$J20),IF($L20="Habilidade",INDEX('Cálculos'!$C$15:$F$15,$J20),IF($L20="Supremo",INDEX('Cálculos'!$C$16:$F$16,$J20),""))),"")</f>
        <v>10</v>
      </c>
      <c r="N20" s="16">
        <f t="array" ref="N20">IF(ISNUMBER($J20),IF(ISNUMBER($H20),INDEX(L_Golpes!$F$2:$T$6000,$H20,MAX(1,MIN(15,$M20))),0)+IF($F20="Sim",N(INDEX('Golpes extras'!$E$2:$E$101,MATCH($A20,'Golpes extras'!$A$2:$A$101,0))),0),"")</f>
        <v>1.955</v>
      </c>
      <c r="O20" s="17">
        <f t="array" ref="O20">IF(ISNUMBER($J20),IF(ISNUMBER($H20),INDEX(L_Golpes!$U$2:$AI$6000,$H20,MAX(1,MIN(15,$M20))),0)+IF($F20="Sim",N(INDEX('Golpes extras'!$F$2:$F$101,MATCH($A20,'Golpes extras'!$A$2:$A$101,0))),0),"")</f>
        <v>0</v>
      </c>
      <c r="P20" s="16">
        <f t="array" ref="P20">IF(ISNUMBER($J20),IF(ISNUMBER($H20),INDEX(L_Golpes!$AJ$2:$AX$6000,$H20,MAX(1,MIN(15,$M20))),0)+IF($F20="Sim",N(INDEX('Golpes extras'!$G$2:$G$101,MATCH($A20,'Golpes extras'!$A$2:$A$101,0))),0),"")</f>
        <v>0</v>
      </c>
      <c r="Q20" s="16">
        <f t="array" ref="Q20">IF(ISNUMBER($J20),IF(ISNUMBER($H20),INDEX(L_Golpes!$AY$2:$BM$6000,$H20,MAX(1,MIN(15,$M20))),0)+IF($F20="Sim",N(INDEX('Golpes extras'!$H$2:$H$101,MATCH($A20,'Golpes extras'!$A$2:$A$101,0))),0),"")</f>
        <v>0</v>
      </c>
      <c r="R20" s="4" t="str">
        <f t="array" ref="R20">IF(ISNUMBER($J20),INDEX('Cálculos'!$C$19:$F$19,$J20),"")</f>
        <v>Pyro</v>
      </c>
      <c r="S20" s="4" t="str">
        <f t="shared" si="1"/>
        <v>Nenhuma</v>
      </c>
      <c r="T20" s="4" t="str">
        <f>IF(ISNUMBER($J20),IF(OR($D20="Não",$D20=FALSE),'Perfis de buff'!$A$8,IF(OR($D20="",$D20="Sim",$D20=TRUE),'Perfis de buff'!$A$4,$D20)),"")</f>
        <v>Final</v>
      </c>
      <c r="U20" s="22">
        <f t="array" ref="U20">IF(ISNUMBER($J20),INDEX('Cálculos'!$C$113:$F$113,$J20)+IF($K20="Normal",INDEX('Cálculos'!$C$114:$F$114,$J20),IF($K20="Carregado",INDEX('Cálculos'!$C$115:$F$115,$J20),IF($K20="Habilidade",INDEX('Cálculos'!$C$116:$F$116,$J20),IF($K20="Supremo",INDEX('Cálculos'!$C$117:$F$117,$J20),0))))+INDEX('Cálculos'!$C$143:$F$147,IFERROR(MATCH($T20,'Perfis de buff'!$A$4:$A$8,0),1),$J20)+IF($K20="Normal",INDEX('Cálculos'!$C$148:$F$152,IFERROR(MATCH($T20,'Perfis de buff'!$A$4:$A$8,0),1),$J20),IF($K20="Carregado",INDEX('Cálculos'!$C$153:$F$157,IFERROR(MATCH($T20,'Perfis de buff'!$A$4:$A$8,0),1),$J20),IF($K20="Habilidade",INDEX('Cálculos'!$C$158:$F$162,IFERROR(MATCH($T20,'Perfis de buff'!$A$4:$A$8,0),1),$J20),IF($K20="Supremo",INDEX('Cálculos'!$C$163:$F$167,IFERROR(MATCH($T20,'Perfis de buff'!$A$4:$A$8,0),1),$J20),0))))+N($E20),"")</f>
        <v>1.629</v>
      </c>
      <c r="V20" s="16">
        <f t="array" ref="V20">IF(ISNUMBER($J20),INDEX('Cálculos'!$C$180:$F$180,$J20),"")</f>
        <v>0.4871794872</v>
      </c>
      <c r="W20" s="16">
        <f t="array" ref="W20">IF(ISNUMBER($J20),INDEX('Cálculos'!$C$182:$F$182,$J20),"")</f>
        <v>1.05</v>
      </c>
      <c r="X20" s="16">
        <f t="shared" si="2"/>
        <v>1.344834615</v>
      </c>
      <c r="Y20" s="16">
        <f t="shared" si="3"/>
        <v>2.629151673</v>
      </c>
      <c r="Z20" s="16">
        <f t="shared" si="4"/>
        <v>0</v>
      </c>
      <c r="AA20" s="16">
        <f t="shared" si="5"/>
        <v>0</v>
      </c>
      <c r="AB20" s="16">
        <f t="shared" si="6"/>
        <v>0</v>
      </c>
      <c r="AC20" s="21">
        <f t="array" ref="AC20">IF(ISNUMBER($J20),INDEX('Cálculos'!$C$332:$F$336,IFERROR(MATCH($T20,'Perfis de buff'!$A$4:$A$8,0),1),$J20),"")</f>
        <v>4233.25</v>
      </c>
      <c r="AD20" s="21">
        <f t="array" ref="AD20">IF(ISNUMBER($J20),INDEX('Cálculos'!$C$339:$F$343,IFERROR(MATCH($T20,'Perfis de buff'!$A$4:$A$8,0),1),$J20),"")</f>
        <v>424</v>
      </c>
      <c r="AE20" s="21">
        <f t="array" ref="AE20">IF(ISNUMBER($J20),INDEX('Cálculos'!$C$337:$F$337,$J20),"")</f>
        <v>19082.648</v>
      </c>
      <c r="AF20" s="21">
        <f t="array" ref="AF20">IF(ISNUMBER($J20),INDEX('Cálculos'!$C$338:$F$338,$J20),"")</f>
        <v>929.208</v>
      </c>
      <c r="AG20" s="16">
        <f t="array" ref="AG20">IF(ISNUMBER($J20),IF($S20="Derreter",INDEX('Cálculos'!$C$124:$F$124,$J20)*(1+2.78*$AD20/($AD20+1400)+INDEX('Cálculos'!$C$122:$F$122,$J20)),IF($S20="Vaporizar",INDEX('Cálculos'!$C$125:$F$125,$J20)*(1+2.78*$AD20/($AD20+1400)+INDEX('Cálculos'!$C$123:$F$123,$J20)),1)),"")</f>
        <v>1</v>
      </c>
      <c r="AH20" s="21">
        <f t="shared" si="7"/>
        <v>11129.85632</v>
      </c>
      <c r="AI20" s="21">
        <f t="array" ref="AI20">IF(ISNUMBER($J20),$AH20*(1+INDEX('Cálculos'!$C$331:$F$331,$J20)),"")</f>
        <v>36928.86327</v>
      </c>
      <c r="AJ20" s="21">
        <f t="array" ref="AJ20">IF(ISNUMBER($J20),$AH20*(1+MIN(INDEX('Cálculos'!$C$330:$F$330,$J20),1)*INDEX('Cálculos'!$C$331:$F$331,$J20)),"")</f>
        <v>36645.07419</v>
      </c>
      <c r="AK20" s="21">
        <f>IF(ISNUMBER($J20),'Fixo (cálculo)'!$AF20,"")</f>
        <v>0</v>
      </c>
      <c r="AL20" s="26">
        <f t="shared" si="8"/>
        <v>0</v>
      </c>
      <c r="AN20" s="8" t="s">
        <v>461</v>
      </c>
    </row>
    <row r="21" ht="15.75" customHeight="1">
      <c r="A21" s="7" t="s">
        <v>173</v>
      </c>
      <c r="B21" s="7">
        <v>1.0</v>
      </c>
      <c r="C21" s="7" t="s">
        <v>97</v>
      </c>
      <c r="D21" s="10" t="s">
        <v>120</v>
      </c>
      <c r="E21" s="11">
        <v>-0.2</v>
      </c>
      <c r="F21" s="4" t="str">
        <f>IF($A21="","",IF(ISNUMBER(MATCH($A21,'Golpes extras'!$A$2:$A$101,0)),"Sim","Não"))</f>
        <v>Não</v>
      </c>
      <c r="G21" s="4" t="str">
        <f t="array" ref="G21">IF($A21="","",IF($F21="Sim",INDEX('Golpes extras'!$B$2:$B$101,MATCH($A21,'Golpes extras'!$A$2:$A$101,0))&amp;"",$A21))</f>
        <v>Mavuika - Habilidade: Flamestrider Charged Attack Final DMG</v>
      </c>
      <c r="H21" s="4">
        <f>IF($G21="","",IFERROR(MATCH($G21,L_Golpes!$A$2:$A$6000,0),""))</f>
        <v>53</v>
      </c>
      <c r="I21" s="4" t="str">
        <f t="array" ref="I21">IF($A21="","",IF(ISNUMBER($H21),INDEX(L_Golpes!$B$2:$B$6000,$H21),IF(IFERROR(INDEX('Golpes extras'!$C$2:$C$101,MATCH($A21,'Golpes extras'!$A$2:$A$101,0))&amp;"","")&lt;&gt;"",INDEX('Golpes extras'!$C$2:$C$101,MATCH($A21,'Golpes extras'!$A$2:$A$101,0))&amp;"","golpe?")))</f>
        <v>Mavuika</v>
      </c>
      <c r="J21" s="4">
        <f>IF(OR($I21="",$I21="golpe?"),"",IFERROR(MATCH($I21,Time!$B$4:$E$4,0),"fora do time"))</f>
        <v>1</v>
      </c>
      <c r="K21" s="4" t="str">
        <f t="array" ref="K21">IF(ISNUMBER($J21),IF(IFERROR(INDEX('Golpes extras'!$D$2:$D$101,MATCH($A21,'Golpes extras'!$A$2:$A$101,0))&amp;"","")&lt;&gt;"",INDEX('Golpes extras'!$D$2:$D$101,MATCH($A21,'Golpes extras'!$A$2:$A$101,0))&amp;"",IF(ISNUMBER($H21),INDEX(L_Golpes!$D$2:$D$6000,$H21),"Outro")),"")</f>
        <v>Carregado</v>
      </c>
      <c r="L21" s="4" t="str">
        <f t="array" ref="L21">IF(ISNUMBER($J21),IF(ISNUMBER($H21),INDEX(L_Golpes!$C$2:$C$6000,$H21),""),"")</f>
        <v>Habilidade</v>
      </c>
      <c r="M21" s="4">
        <f t="array" ref="M21">IF(ISNUMBER($J21),IF($L21="Normal",INDEX('Cálculos'!$C$14:$F$14,$J21),IF($L21="Habilidade",INDEX('Cálculos'!$C$15:$F$15,$J21),IF($L21="Supremo",INDEX('Cálculos'!$C$16:$F$16,$J21),""))),"")</f>
        <v>10</v>
      </c>
      <c r="N21" s="16">
        <f t="array" ref="N21">IF(ISNUMBER($J21),IF(ISNUMBER($H21),INDEX(L_Golpes!$F$2:$T$6000,$H21,MAX(1,MIN(15,$M21))),0)+IF($F21="Sim",N(INDEX('Golpes extras'!$E$2:$E$101,MATCH($A21,'Golpes extras'!$A$2:$A$101,0))),0),"")</f>
        <v>2.72</v>
      </c>
      <c r="O21" s="17">
        <f t="array" ref="O21">IF(ISNUMBER($J21),IF(ISNUMBER($H21),INDEX(L_Golpes!$U$2:$AI$6000,$H21,MAX(1,MIN(15,$M21))),0)+IF($F21="Sim",N(INDEX('Golpes extras'!$F$2:$F$101,MATCH($A21,'Golpes extras'!$A$2:$A$101,0))),0),"")</f>
        <v>0</v>
      </c>
      <c r="P21" s="16">
        <f t="array" ref="P21">IF(ISNUMBER($J21),IF(ISNUMBER($H21),INDEX(L_Golpes!$AJ$2:$AX$6000,$H21,MAX(1,MIN(15,$M21))),0)+IF($F21="Sim",N(INDEX('Golpes extras'!$G$2:$G$101,MATCH($A21,'Golpes extras'!$A$2:$A$101,0))),0),"")</f>
        <v>0</v>
      </c>
      <c r="Q21" s="16">
        <f t="array" ref="Q21">IF(ISNUMBER($J21),IF(ISNUMBER($H21),INDEX(L_Golpes!$AY$2:$BM$6000,$H21,MAX(1,MIN(15,$M21))),0)+IF($F21="Sim",N(INDEX('Golpes extras'!$H$2:$H$101,MATCH($A21,'Golpes extras'!$A$2:$A$101,0))),0),"")</f>
        <v>0</v>
      </c>
      <c r="R21" s="4" t="str">
        <f t="array" ref="R21">IF(ISNUMBER($J21),INDEX('Cálculos'!$C$19:$F$19,$J21),"")</f>
        <v>Pyro</v>
      </c>
      <c r="S21" s="4" t="str">
        <f t="shared" si="1"/>
        <v>Derreter</v>
      </c>
      <c r="T21" s="4" t="str">
        <f>IF(ISNUMBER($J21),IF(OR($D21="Não",$D21=FALSE),'Perfis de buff'!$A$8,IF(OR($D21="",$D21="Sim",$D21=TRUE),'Perfis de buff'!$A$4,$D21)),"")</f>
        <v>Final</v>
      </c>
      <c r="U21" s="22">
        <f t="array" ref="U21">IF(ISNUMBER($J21),INDEX('Cálculos'!$C$113:$F$113,$J21)+IF($K21="Normal",INDEX('Cálculos'!$C$114:$F$114,$J21),IF($K21="Carregado",INDEX('Cálculos'!$C$115:$F$115,$J21),IF($K21="Habilidade",INDEX('Cálculos'!$C$116:$F$116,$J21),IF($K21="Supremo",INDEX('Cálculos'!$C$117:$F$117,$J21),0))))+INDEX('Cálculos'!$C$143:$F$147,IFERROR(MATCH($T21,'Perfis de buff'!$A$4:$A$8,0),1),$J21)+IF($K21="Normal",INDEX('Cálculos'!$C$148:$F$152,IFERROR(MATCH($T21,'Perfis de buff'!$A$4:$A$8,0),1),$J21),IF($K21="Carregado",INDEX('Cálculos'!$C$153:$F$157,IFERROR(MATCH($T21,'Perfis de buff'!$A$4:$A$8,0),1),$J21),IF($K21="Habilidade",INDEX('Cálculos'!$C$158:$F$162,IFERROR(MATCH($T21,'Perfis de buff'!$A$4:$A$8,0),1),$J21),IF($K21="Supremo",INDEX('Cálculos'!$C$163:$F$167,IFERROR(MATCH($T21,'Perfis de buff'!$A$4:$A$8,0),1),$J21),0))))+N($E21),"")</f>
        <v>1.616</v>
      </c>
      <c r="V21" s="16">
        <f t="array" ref="V21">IF(ISNUMBER($J21),INDEX('Cálculos'!$C$180:$F$180,$J21),"")</f>
        <v>0.4871794872</v>
      </c>
      <c r="W21" s="16">
        <f t="array" ref="W21">IF(ISNUMBER($J21),INDEX('Cálculos'!$C$182:$F$182,$J21),"")</f>
        <v>1.05</v>
      </c>
      <c r="X21" s="16">
        <f t="shared" si="2"/>
        <v>1.338184615</v>
      </c>
      <c r="Y21" s="16">
        <f t="shared" si="3"/>
        <v>3.639862154</v>
      </c>
      <c r="Z21" s="16">
        <f t="shared" si="4"/>
        <v>0</v>
      </c>
      <c r="AA21" s="16">
        <f t="shared" si="5"/>
        <v>0</v>
      </c>
      <c r="AB21" s="16">
        <f t="shared" si="6"/>
        <v>0</v>
      </c>
      <c r="AC21" s="21">
        <f t="array" ref="AC21">IF(ISNUMBER($J21),INDEX('Cálculos'!$C$332:$F$336,IFERROR(MATCH($T21,'Perfis de buff'!$A$4:$A$8,0),1),$J21),"")</f>
        <v>4233.25</v>
      </c>
      <c r="AD21" s="21">
        <f t="array" ref="AD21">IF(ISNUMBER($J21),INDEX('Cálculos'!$C$339:$F$343,IFERROR(MATCH($T21,'Perfis de buff'!$A$4:$A$8,0),1),$J21),"")</f>
        <v>424</v>
      </c>
      <c r="AE21" s="21">
        <f t="array" ref="AE21">IF(ISNUMBER($J21),INDEX('Cálculos'!$C$337:$F$337,$J21),"")</f>
        <v>19082.648</v>
      </c>
      <c r="AF21" s="21">
        <f t="array" ref="AF21">IF(ISNUMBER($J21),INDEX('Cálculos'!$C$338:$F$338,$J21),"")</f>
        <v>929.208</v>
      </c>
      <c r="AG21" s="16">
        <f t="array" ref="AG21">IF(ISNUMBER($J21),IF($S21="Derreter",INDEX('Cálculos'!$C$124:$F$124,$J21)*(1+2.78*$AD21/($AD21+1400)+INDEX('Cálculos'!$C$122:$F$122,$J21)),IF($S21="Vaporizar",INDEX('Cálculos'!$C$125:$F$125,$J21)*(1+2.78*$AD21/($AD21+1400)+INDEX('Cálculos'!$C$123:$F$123,$J21)),1)),"")</f>
        <v>3.29245614</v>
      </c>
      <c r="AH21" s="21">
        <f t="shared" si="7"/>
        <v>50731.63417</v>
      </c>
      <c r="AI21" s="21">
        <f t="array" ref="AI21">IF(ISNUMBER($J21),$AH21*(1+INDEX('Cálculos'!$C$331:$F$331,$J21)),"")</f>
        <v>168327.5622</v>
      </c>
      <c r="AJ21" s="21">
        <f t="array" ref="AJ21">IF(ISNUMBER($J21),$AH21*(1+MIN(INDEX('Cálculos'!$C$330:$F$330,$J21),1)*INDEX('Cálculos'!$C$331:$F$331,$J21)),"")</f>
        <v>167034.007</v>
      </c>
      <c r="AK21" s="21">
        <f>IF(ISNUMBER($J21),'Fixo (cálculo)'!$AF21,"")</f>
        <v>0</v>
      </c>
      <c r="AL21" s="26">
        <f t="shared" si="8"/>
        <v>0</v>
      </c>
      <c r="AN21" s="8" t="s">
        <v>466</v>
      </c>
    </row>
    <row r="22" ht="15.75" customHeight="1">
      <c r="A22" s="7" t="s">
        <v>178</v>
      </c>
      <c r="B22" s="7">
        <v>1.0</v>
      </c>
      <c r="C22" s="7" t="s">
        <v>97</v>
      </c>
      <c r="D22" s="10" t="s">
        <v>105</v>
      </c>
      <c r="E22" s="11"/>
      <c r="F22" s="4" t="str">
        <f>IF($A22="","",IF(ISNUMBER(MATCH($A22,'Golpes extras'!$A$2:$A$101,0)),"Sim","Não"))</f>
        <v>Sim</v>
      </c>
      <c r="G22" s="4" t="str">
        <f t="array" ref="G22">IF($A22="","",IF($F22="Sim",INDEX('Golpes extras'!$B$2:$B$101,MATCH($A22,'Golpes extras'!$A$2:$A$101,0))&amp;"",$A22))</f>
        <v>Citlali - Habilidade: Obsidian Tzitzimitl DMG</v>
      </c>
      <c r="H22" s="4">
        <f>IF($G22="","",IFERROR(MATCH($G22,L_Golpes!$A$2:$A$6000,0),""))</f>
        <v>22</v>
      </c>
      <c r="I22" s="4" t="str">
        <f t="array" ref="I22">IF($A22="","",IF(ISNUMBER($H22),INDEX(L_Golpes!$B$2:$B$6000,$H22),IF(IFERROR(INDEX('Golpes extras'!$C$2:$C$101,MATCH($A22,'Golpes extras'!$A$2:$A$101,0))&amp;"","")&lt;&gt;"",INDEX('Golpes extras'!$C$2:$C$101,MATCH($A22,'Golpes extras'!$A$2:$A$101,0))&amp;"","golpe?")))</f>
        <v>Citlali</v>
      </c>
      <c r="J22" s="4">
        <f>IF(OR($I22="",$I22="golpe?"),"",IFERROR(MATCH($I22,Time!$B$4:$E$4,0),"fora do time"))</f>
        <v>2</v>
      </c>
      <c r="K22" s="4" t="str">
        <f t="array" ref="K22">IF(ISNUMBER($J22),IF(IFERROR(INDEX('Golpes extras'!$D$2:$D$101,MATCH($A22,'Golpes extras'!$A$2:$A$101,0))&amp;"","")&lt;&gt;"",INDEX('Golpes extras'!$D$2:$D$101,MATCH($A22,'Golpes extras'!$A$2:$A$101,0))&amp;"",IF(ISNUMBER($H22),INDEX(L_Golpes!$D$2:$D$6000,$H22),"Outro")),"")</f>
        <v>Habilidade</v>
      </c>
      <c r="L22" s="4" t="str">
        <f t="array" ref="L22">IF(ISNUMBER($J22),IF(ISNUMBER($H22),INDEX(L_Golpes!$C$2:$C$6000,$H22),""),"")</f>
        <v>Habilidade</v>
      </c>
      <c r="M22" s="4">
        <f t="array" ref="M22">IF(ISNUMBER($J22),IF($L22="Normal",INDEX('Cálculos'!$C$14:$F$14,$J22),IF($L22="Habilidade",INDEX('Cálculos'!$C$15:$F$15,$J22),IF($L22="Supremo",INDEX('Cálculos'!$C$16:$F$16,$J22),""))),"")</f>
        <v>10</v>
      </c>
      <c r="N22" s="16">
        <f t="array" ref="N22">IF(ISNUMBER($J22),IF(ISNUMBER($H22),INDEX(L_Golpes!$F$2:$T$6000,$H22,MAX(1,MIN(15,$M22))),0)+IF($F22="Sim",N(INDEX('Golpes extras'!$E$2:$E$101,MATCH($A22,'Golpes extras'!$A$2:$A$101,0))),0),"")</f>
        <v>1.3133</v>
      </c>
      <c r="O22" s="17">
        <f t="array" ref="O22">IF(ISNUMBER($J22),IF(ISNUMBER($H22),INDEX(L_Golpes!$U$2:$AI$6000,$H22,MAX(1,MIN(15,$M22))),0)+IF($F22="Sim",N(INDEX('Golpes extras'!$F$2:$F$101,MATCH($A22,'Golpes extras'!$A$2:$A$101,0))),0),"")</f>
        <v>0</v>
      </c>
      <c r="P22" s="16">
        <f t="array" ref="P22">IF(ISNUMBER($J22),IF(ISNUMBER($H22),INDEX(L_Golpes!$AJ$2:$AX$6000,$H22,MAX(1,MIN(15,$M22))),0)+IF($F22="Sim",N(INDEX('Golpes extras'!$G$2:$G$101,MATCH($A22,'Golpes extras'!$A$2:$A$101,0))),0),"")</f>
        <v>0</v>
      </c>
      <c r="Q22" s="16">
        <f t="array" ref="Q22">IF(ISNUMBER($J22),IF(ISNUMBER($H22),INDEX(L_Golpes!$AY$2:$BM$6000,$H22,MAX(1,MIN(15,$M22))),0)+IF($F22="Sim",N(INDEX('Golpes extras'!$H$2:$H$101,MATCH($A22,'Golpes extras'!$A$2:$A$101,0))),0),"")</f>
        <v>0</v>
      </c>
      <c r="R22" s="4" t="str">
        <f t="array" ref="R22">IF(ISNUMBER($J22),INDEX('Cálculos'!$C$19:$F$19,$J22),"")</f>
        <v>Cryo</v>
      </c>
      <c r="S22" s="4" t="str">
        <f t="shared" si="1"/>
        <v>Derreter</v>
      </c>
      <c r="T22" s="4" t="str">
        <f>IF(ISNUMBER($J22),IF(OR($D22="Não",$D22=FALSE),'Perfis de buff'!$A$8,IF(OR($D22="",$D22="Sim",$D22=TRUE),'Perfis de buff'!$A$4,$D22)),"")</f>
        <v>Todos</v>
      </c>
      <c r="U22" s="22">
        <f t="array" ref="U22">IF(ISNUMBER($J22),INDEX('Cálculos'!$C$113:$F$113,$J22)+IF($K22="Normal",INDEX('Cálculos'!$C$114:$F$114,$J22),IF($K22="Carregado",INDEX('Cálculos'!$C$115:$F$115,$J22),IF($K22="Habilidade",INDEX('Cálculos'!$C$116:$F$116,$J22),IF($K22="Supremo",INDEX('Cálculos'!$C$117:$F$117,$J22),0))))+INDEX('Cálculos'!$C$143:$F$147,IFERROR(MATCH($T22,'Perfis de buff'!$A$4:$A$8,0),1),$J22)+IF($K22="Normal",INDEX('Cálculos'!$C$148:$F$152,IFERROR(MATCH($T22,'Perfis de buff'!$A$4:$A$8,0),1),$J22),IF($K22="Carregado",INDEX('Cálculos'!$C$153:$F$157,IFERROR(MATCH($T22,'Perfis de buff'!$A$4:$A$8,0),1),$J22),IF($K22="Habilidade",INDEX('Cálculos'!$C$158:$F$162,IFERROR(MATCH($T22,'Perfis de buff'!$A$4:$A$8,0),1),$J22),IF($K22="Supremo",INDEX('Cálculos'!$C$163:$F$167,IFERROR(MATCH($T22,'Perfis de buff'!$A$4:$A$8,0),1),$J22),0))))+N($E22),"")</f>
        <v>0.348</v>
      </c>
      <c r="V22" s="16">
        <f t="array" ref="V22">IF(ISNUMBER($J22),INDEX('Cálculos'!$C$180:$F$180,$J22),"")</f>
        <v>0.4871794872</v>
      </c>
      <c r="W22" s="16">
        <f t="array" ref="W22">IF(ISNUMBER($J22),INDEX('Cálculos'!$C$182:$F$182,$J22),"")</f>
        <v>0.9</v>
      </c>
      <c r="X22" s="16">
        <f t="shared" si="2"/>
        <v>0.5910461538</v>
      </c>
      <c r="Y22" s="16">
        <f t="shared" si="3"/>
        <v>0.7762209138</v>
      </c>
      <c r="Z22" s="16">
        <f t="shared" si="4"/>
        <v>0</v>
      </c>
      <c r="AA22" s="16">
        <f t="shared" si="5"/>
        <v>0</v>
      </c>
      <c r="AB22" s="16">
        <f t="shared" si="6"/>
        <v>0</v>
      </c>
      <c r="AC22" s="21">
        <f t="array" ref="AC22">IF(ISNUMBER($J22),INDEX('Cálculos'!$C$332:$F$336,IFERROR(MATCH($T22,'Perfis de buff'!$A$4:$A$8,0),1),$J22),"")</f>
        <v>3241.734346</v>
      </c>
      <c r="AD22" s="21">
        <f t="array" ref="AD22">IF(ISNUMBER($J22),INDEX('Cálculos'!$C$339:$F$343,IFERROR(MATCH($T22,'Perfis de buff'!$A$4:$A$8,0),1),$J22),"")</f>
        <v>348.4908108</v>
      </c>
      <c r="AE22" s="21">
        <f t="array" ref="AE22">IF(ISNUMBER($J22),INDEX('Cálculos'!$C$337:$F$337,$J22),"")</f>
        <v>20708.6505</v>
      </c>
      <c r="AF22" s="21">
        <f t="array" ref="AF22">IF(ISNUMBER($J22),INDEX('Cálculos'!$C$338:$F$338,$J22),"")</f>
        <v>876.6015351</v>
      </c>
      <c r="AG22" s="16">
        <f t="array" ref="AG22">IF(ISNUMBER($J22),IF($S22="Derreter",INDEX('Cálculos'!$C$124:$F$124,$J22)*(1+2.78*$AD22/($AD22+1400)+INDEX('Cálculos'!$C$122:$F$122,$J22)),IF($S22="Vaporizar",INDEX('Cálculos'!$C$125:$F$125,$J22)*(1+2.78*$AD22/($AD22+1400)+INDEX('Cálculos'!$C$123:$F$123,$J22)),1)),"")</f>
        <v>2.331120571</v>
      </c>
      <c r="AH22" s="21">
        <f t="shared" si="7"/>
        <v>5865.803347</v>
      </c>
      <c r="AI22" s="21">
        <f t="array" ref="AI22">IF(ISNUMBER($J22),$AH22*(1+INDEX('Cálculos'!$C$331:$F$331,$J22)),"")</f>
        <v>11430.64342</v>
      </c>
      <c r="AJ22" s="21">
        <f t="array" ref="AJ22">IF(ISNUMBER($J22),$AH22*(1+MIN(INDEX('Cálculos'!$C$330:$F$330,$J22),1)*INDEX('Cálculos'!$C$331:$F$331,$J22)),"")</f>
        <v>8526.007464</v>
      </c>
      <c r="AK22" s="21">
        <f>IF(ISNUMBER($J22),'Fixo (cálculo)'!$AF22,"")</f>
        <v>0</v>
      </c>
      <c r="AL22" s="26">
        <f t="shared" si="8"/>
        <v>0</v>
      </c>
      <c r="AN22" s="8" t="s">
        <v>472</v>
      </c>
    </row>
    <row r="23" ht="15.75" customHeight="1">
      <c r="A23" s="7" t="s">
        <v>181</v>
      </c>
      <c r="B23" s="7">
        <v>8.0</v>
      </c>
      <c r="C23" s="7" t="s">
        <v>270</v>
      </c>
      <c r="D23" s="10" t="s">
        <v>105</v>
      </c>
      <c r="E23" s="11"/>
      <c r="F23" s="4" t="str">
        <f>IF($A23="","",IF(ISNUMBER(MATCH($A23,'Golpes extras'!$A$2:$A$101,0)),"Sim","Não"))</f>
        <v>Sim</v>
      </c>
      <c r="G23" s="4" t="str">
        <f t="array" ref="G23">IF($A23="","",IF($F23="Sim",INDEX('Golpes extras'!$B$2:$B$101,MATCH($A23,'Golpes extras'!$A$2:$A$101,0))&amp;"",$A23))</f>
        <v>Citlali - Habilidade: Frostfall Storm DMG</v>
      </c>
      <c r="H23" s="4">
        <f>IF($G23="","",IFERROR(MATCH($G23,L_Golpes!$A$2:$A$6000,0),""))</f>
        <v>23</v>
      </c>
      <c r="I23" s="4" t="str">
        <f t="array" ref="I23">IF($A23="","",IF(ISNUMBER($H23),INDEX(L_Golpes!$B$2:$B$6000,$H23),IF(IFERROR(INDEX('Golpes extras'!$C$2:$C$101,MATCH($A23,'Golpes extras'!$A$2:$A$101,0))&amp;"","")&lt;&gt;"",INDEX('Golpes extras'!$C$2:$C$101,MATCH($A23,'Golpes extras'!$A$2:$A$101,0))&amp;"","golpe?")))</f>
        <v>Citlali</v>
      </c>
      <c r="J23" s="4">
        <f>IF(OR($I23="",$I23="golpe?"),"",IFERROR(MATCH($I23,Time!$B$4:$E$4,0),"fora do time"))</f>
        <v>2</v>
      </c>
      <c r="K23" s="4" t="str">
        <f t="array" ref="K23">IF(ISNUMBER($J23),IF(IFERROR(INDEX('Golpes extras'!$D$2:$D$101,MATCH($A23,'Golpes extras'!$A$2:$A$101,0))&amp;"","")&lt;&gt;"",INDEX('Golpes extras'!$D$2:$D$101,MATCH($A23,'Golpes extras'!$A$2:$A$101,0))&amp;"",IF(ISNUMBER($H23),INDEX(L_Golpes!$D$2:$D$6000,$H23),"Outro")),"")</f>
        <v>Habilidade</v>
      </c>
      <c r="L23" s="4" t="str">
        <f t="array" ref="L23">IF(ISNUMBER($J23),IF(ISNUMBER($H23),INDEX(L_Golpes!$C$2:$C$6000,$H23),""),"")</f>
        <v>Habilidade</v>
      </c>
      <c r="M23" s="4">
        <f t="array" ref="M23">IF(ISNUMBER($J23),IF($L23="Normal",INDEX('Cálculos'!$C$14:$F$14,$J23),IF($L23="Habilidade",INDEX('Cálculos'!$C$15:$F$15,$J23),IF($L23="Supremo",INDEX('Cálculos'!$C$16:$F$16,$J23),""))),"")</f>
        <v>10</v>
      </c>
      <c r="N23" s="16">
        <f t="array" ref="N23">IF(ISNUMBER($J23),IF(ISNUMBER($H23),INDEX(L_Golpes!$F$2:$T$6000,$H23,MAX(1,MIN(15,$M23))),0)+IF($F23="Sim",N(INDEX('Golpes extras'!$E$2:$E$101,MATCH($A23,'Golpes extras'!$A$2:$A$101,0))),0),"")</f>
        <v>0.3064</v>
      </c>
      <c r="O23" s="17">
        <f t="array" ref="O23">IF(ISNUMBER($J23),IF(ISNUMBER($H23),INDEX(L_Golpes!$U$2:$AI$6000,$H23,MAX(1,MIN(15,$M23))),0)+IF($F23="Sim",N(INDEX('Golpes extras'!$F$2:$F$101,MATCH($A23,'Golpes extras'!$A$2:$A$101,0))),0),"")</f>
        <v>0.9</v>
      </c>
      <c r="P23" s="16">
        <f t="array" ref="P23">IF(ISNUMBER($J23),IF(ISNUMBER($H23),INDEX(L_Golpes!$AJ$2:$AX$6000,$H23,MAX(1,MIN(15,$M23))),0)+IF($F23="Sim",N(INDEX('Golpes extras'!$G$2:$G$101,MATCH($A23,'Golpes extras'!$A$2:$A$101,0))),0),"")</f>
        <v>0</v>
      </c>
      <c r="Q23" s="16">
        <f t="array" ref="Q23">IF(ISNUMBER($J23),IF(ISNUMBER($H23),INDEX(L_Golpes!$AY$2:$BM$6000,$H23,MAX(1,MIN(15,$M23))),0)+IF($F23="Sim",N(INDEX('Golpes extras'!$H$2:$H$101,MATCH($A23,'Golpes extras'!$A$2:$A$101,0))),0),"")</f>
        <v>0</v>
      </c>
      <c r="R23" s="4" t="str">
        <f t="array" ref="R23">IF(ISNUMBER($J23),INDEX('Cálculos'!$C$19:$F$19,$J23),"")</f>
        <v>Cryo</v>
      </c>
      <c r="S23" s="4" t="str">
        <f t="shared" si="1"/>
        <v>Nenhuma</v>
      </c>
      <c r="T23" s="4" t="str">
        <f>IF(ISNUMBER($J23),IF(OR($D23="Não",$D23=FALSE),'Perfis de buff'!$A$8,IF(OR($D23="",$D23="Sim",$D23=TRUE),'Perfis de buff'!$A$4,$D23)),"")</f>
        <v>Todos</v>
      </c>
      <c r="U23" s="22">
        <f t="array" ref="U23">IF(ISNUMBER($J23),INDEX('Cálculos'!$C$113:$F$113,$J23)+IF($K23="Normal",INDEX('Cálculos'!$C$114:$F$114,$J23),IF($K23="Carregado",INDEX('Cálculos'!$C$115:$F$115,$J23),IF($K23="Habilidade",INDEX('Cálculos'!$C$116:$F$116,$J23),IF($K23="Supremo",INDEX('Cálculos'!$C$117:$F$117,$J23),0))))+INDEX('Cálculos'!$C$143:$F$147,IFERROR(MATCH($T23,'Perfis de buff'!$A$4:$A$8,0),1),$J23)+IF($K23="Normal",INDEX('Cálculos'!$C$148:$F$152,IFERROR(MATCH($T23,'Perfis de buff'!$A$4:$A$8,0),1),$J23),IF($K23="Carregado",INDEX('Cálculos'!$C$153:$F$157,IFERROR(MATCH($T23,'Perfis de buff'!$A$4:$A$8,0),1),$J23),IF($K23="Habilidade",INDEX('Cálculos'!$C$158:$F$162,IFERROR(MATCH($T23,'Perfis de buff'!$A$4:$A$8,0),1),$J23),IF($K23="Supremo",INDEX('Cálculos'!$C$163:$F$167,IFERROR(MATCH($T23,'Perfis de buff'!$A$4:$A$8,0),1),$J23),0))))+N($E23),"")</f>
        <v>0.348</v>
      </c>
      <c r="V23" s="16">
        <f t="array" ref="V23">IF(ISNUMBER($J23),INDEX('Cálculos'!$C$180:$F$180,$J23),"")</f>
        <v>0.4871794872</v>
      </c>
      <c r="W23" s="16">
        <f t="array" ref="W23">IF(ISNUMBER($J23),INDEX('Cálculos'!$C$182:$F$182,$J23),"")</f>
        <v>0.9</v>
      </c>
      <c r="X23" s="16">
        <f t="shared" si="2"/>
        <v>4.728369231</v>
      </c>
      <c r="Y23" s="16">
        <f t="shared" si="3"/>
        <v>1.448772332</v>
      </c>
      <c r="Z23" s="16">
        <f t="shared" si="4"/>
        <v>4.255532308</v>
      </c>
      <c r="AA23" s="16">
        <f t="shared" si="5"/>
        <v>0</v>
      </c>
      <c r="AB23" s="16">
        <f t="shared" si="6"/>
        <v>0</v>
      </c>
      <c r="AC23" s="21">
        <f t="array" ref="AC23">IF(ISNUMBER($J23),INDEX('Cálculos'!$C$332:$F$336,IFERROR(MATCH($T23,'Perfis de buff'!$A$4:$A$8,0),1),$J23),"")</f>
        <v>3241.734346</v>
      </c>
      <c r="AD23" s="21">
        <f t="array" ref="AD23">IF(ISNUMBER($J23),INDEX('Cálculos'!$C$339:$F$343,IFERROR(MATCH($T23,'Perfis de buff'!$A$4:$A$8,0),1),$J23),"")</f>
        <v>348.4908108</v>
      </c>
      <c r="AE23" s="21">
        <f t="array" ref="AE23">IF(ISNUMBER($J23),INDEX('Cálculos'!$C$337:$F$337,$J23),"")</f>
        <v>20708.6505</v>
      </c>
      <c r="AF23" s="21">
        <f t="array" ref="AF23">IF(ISNUMBER($J23),INDEX('Cálculos'!$C$338:$F$338,$J23),"")</f>
        <v>876.6015351</v>
      </c>
      <c r="AG23" s="16">
        <f t="array" ref="AG23">IF(ISNUMBER($J23),IF($S23="Derreter",INDEX('Cálculos'!$C$124:$F$124,$J23)*(1+2.78*$AD23/($AD23+1400)+INDEX('Cálculos'!$C$122:$F$122,$J23)),IF($S23="Vaporizar",INDEX('Cálculos'!$C$125:$F$125,$J23)*(1+2.78*$AD23/($AD23+1400)+INDEX('Cálculos'!$C$123:$F$123,$J23)),1)),"")</f>
        <v>1</v>
      </c>
      <c r="AH23" s="21">
        <f t="shared" si="7"/>
        <v>6179.548933</v>
      </c>
      <c r="AI23" s="21">
        <f t="array" ref="AI23">IF(ISNUMBER($J23),$AH23*(1+INDEX('Cálculos'!$C$331:$F$331,$J23)),"")</f>
        <v>12042.0369</v>
      </c>
      <c r="AJ23" s="21">
        <f t="array" ref="AJ23">IF(ISNUMBER($J23),$AH23*(1+MIN(INDEX('Cálculos'!$C$330:$F$330,$J23),1)*INDEX('Cálculos'!$C$331:$F$331,$J23)),"")</f>
        <v>8982.040006</v>
      </c>
      <c r="AK23" s="21">
        <f>IF(ISNUMBER($J23),'Fixo (cálculo)'!$AF23,"")</f>
        <v>0</v>
      </c>
      <c r="AL23" s="26">
        <f t="shared" si="8"/>
        <v>0</v>
      </c>
    </row>
    <row r="24" ht="15.75" customHeight="1">
      <c r="A24" s="7" t="s">
        <v>185</v>
      </c>
      <c r="B24" s="7">
        <v>1.0</v>
      </c>
      <c r="C24" s="7" t="s">
        <v>97</v>
      </c>
      <c r="D24" s="10" t="s">
        <v>105</v>
      </c>
      <c r="E24" s="11"/>
      <c r="F24" s="4" t="str">
        <f>IF($A24="","",IF(ISNUMBER(MATCH($A24,'Golpes extras'!$A$2:$A$101,0)),"Sim","Não"))</f>
        <v>Sim</v>
      </c>
      <c r="G24" s="4" t="str">
        <f t="array" ref="G24">IF($A24="","",IF($F24="Sim",INDEX('Golpes extras'!$B$2:$B$101,MATCH($A24,'Golpes extras'!$A$2:$A$101,0))&amp;"",$A24))</f>
        <v>Citlali - Supremo: Ice Storm DMG</v>
      </c>
      <c r="H24" s="4">
        <f>IF($G24="","",IFERROR(MATCH($G24,L_Golpes!$A$2:$A$6000,0),""))</f>
        <v>24</v>
      </c>
      <c r="I24" s="4" t="str">
        <f t="array" ref="I24">IF($A24="","",IF(ISNUMBER($H24),INDEX(L_Golpes!$B$2:$B$6000,$H24),IF(IFERROR(INDEX('Golpes extras'!$C$2:$C$101,MATCH($A24,'Golpes extras'!$A$2:$A$101,0))&amp;"","")&lt;&gt;"",INDEX('Golpes extras'!$C$2:$C$101,MATCH($A24,'Golpes extras'!$A$2:$A$101,0))&amp;"","golpe?")))</f>
        <v>Citlali</v>
      </c>
      <c r="J24" s="4">
        <f>IF(OR($I24="",$I24="golpe?"),"",IFERROR(MATCH($I24,Time!$B$4:$E$4,0),"fora do time"))</f>
        <v>2</v>
      </c>
      <c r="K24" s="4" t="str">
        <f t="array" ref="K24">IF(ISNUMBER($J24),IF(IFERROR(INDEX('Golpes extras'!$D$2:$D$101,MATCH($A24,'Golpes extras'!$A$2:$A$101,0))&amp;"","")&lt;&gt;"",INDEX('Golpes extras'!$D$2:$D$101,MATCH($A24,'Golpes extras'!$A$2:$A$101,0))&amp;"",IF(ISNUMBER($H24),INDEX(L_Golpes!$D$2:$D$6000,$H24),"Outro")),"")</f>
        <v>Supremo</v>
      </c>
      <c r="L24" s="4" t="str">
        <f t="array" ref="L24">IF(ISNUMBER($J24),IF(ISNUMBER($H24),INDEX(L_Golpes!$C$2:$C$6000,$H24),""),"")</f>
        <v>Supremo</v>
      </c>
      <c r="M24" s="4">
        <f t="array" ref="M24">IF(ISNUMBER($J24),IF($L24="Normal",INDEX('Cálculos'!$C$14:$F$14,$J24),IF($L24="Habilidade",INDEX('Cálculos'!$C$15:$F$15,$J24),IF($L24="Supremo",INDEX('Cálculos'!$C$16:$F$16,$J24),""))),"")</f>
        <v>10</v>
      </c>
      <c r="N24" s="16">
        <f t="array" ref="N24">IF(ISNUMBER($J24),IF(ISNUMBER($H24),INDEX(L_Golpes!$F$2:$T$6000,$H24,MAX(1,MIN(15,$M24))),0)+IF($F24="Sim",N(INDEX('Golpes extras'!$E$2:$E$101,MATCH($A24,'Golpes extras'!$A$2:$A$101,0))),0),"")</f>
        <v>9.6768</v>
      </c>
      <c r="O24" s="17">
        <f t="array" ref="O24">IF(ISNUMBER($J24),IF(ISNUMBER($H24),INDEX(L_Golpes!$U$2:$AI$6000,$H24,MAX(1,MIN(15,$M24))),0)+IF($F24="Sim",N(INDEX('Golpes extras'!$F$2:$F$101,MATCH($A24,'Golpes extras'!$A$2:$A$101,0))),0),"")</f>
        <v>12</v>
      </c>
      <c r="P24" s="16">
        <f t="array" ref="P24">IF(ISNUMBER($J24),IF(ISNUMBER($H24),INDEX(L_Golpes!$AJ$2:$AX$6000,$H24,MAX(1,MIN(15,$M24))),0)+IF($F24="Sim",N(INDEX('Golpes extras'!$G$2:$G$101,MATCH($A24,'Golpes extras'!$A$2:$A$101,0))),0),"")</f>
        <v>0</v>
      </c>
      <c r="Q24" s="16">
        <f t="array" ref="Q24">IF(ISNUMBER($J24),IF(ISNUMBER($H24),INDEX(L_Golpes!$AY$2:$BM$6000,$H24,MAX(1,MIN(15,$M24))),0)+IF($F24="Sim",N(INDEX('Golpes extras'!$H$2:$H$101,MATCH($A24,'Golpes extras'!$A$2:$A$101,0))),0),"")</f>
        <v>0</v>
      </c>
      <c r="R24" s="4" t="str">
        <f t="array" ref="R24">IF(ISNUMBER($J24),INDEX('Cálculos'!$C$19:$F$19,$J24),"")</f>
        <v>Cryo</v>
      </c>
      <c r="S24" s="4" t="str">
        <f t="shared" si="1"/>
        <v>Derreter</v>
      </c>
      <c r="T24" s="4" t="str">
        <f>IF(ISNUMBER($J24),IF(OR($D24="Não",$D24=FALSE),'Perfis de buff'!$A$8,IF(OR($D24="",$D24="Sim",$D24=TRUE),'Perfis de buff'!$A$4,$D24)),"")</f>
        <v>Todos</v>
      </c>
      <c r="U24" s="22">
        <f t="array" ref="U24">IF(ISNUMBER($J24),INDEX('Cálculos'!$C$113:$F$113,$J24)+IF($K24="Normal",INDEX('Cálculos'!$C$114:$F$114,$J24),IF($K24="Carregado",INDEX('Cálculos'!$C$115:$F$115,$J24),IF($K24="Habilidade",INDEX('Cálculos'!$C$116:$F$116,$J24),IF($K24="Supremo",INDEX('Cálculos'!$C$117:$F$117,$J24),0))))+INDEX('Cálculos'!$C$143:$F$147,IFERROR(MATCH($T24,'Perfis de buff'!$A$4:$A$8,0),1),$J24)+IF($K24="Normal",INDEX('Cálculos'!$C$148:$F$152,IFERROR(MATCH($T24,'Perfis de buff'!$A$4:$A$8,0),1),$J24),IF($K24="Carregado",INDEX('Cálculos'!$C$153:$F$157,IFERROR(MATCH($T24,'Perfis de buff'!$A$4:$A$8,0),1),$J24),IF($K24="Habilidade",INDEX('Cálculos'!$C$158:$F$162,IFERROR(MATCH($T24,'Perfis de buff'!$A$4:$A$8,0),1),$J24),IF($K24="Supremo",INDEX('Cálculos'!$C$163:$F$167,IFERROR(MATCH($T24,'Perfis de buff'!$A$4:$A$8,0),1),$J24),0))))+N($E24),"")</f>
        <v>0.348</v>
      </c>
      <c r="V24" s="16">
        <f t="array" ref="V24">IF(ISNUMBER($J24),INDEX('Cálculos'!$C$180:$F$180,$J24),"")</f>
        <v>0.4871794872</v>
      </c>
      <c r="W24" s="16">
        <f t="array" ref="W24">IF(ISNUMBER($J24),INDEX('Cálculos'!$C$182:$F$182,$J24),"")</f>
        <v>0.9</v>
      </c>
      <c r="X24" s="16">
        <f t="shared" si="2"/>
        <v>0.5910461538</v>
      </c>
      <c r="Y24" s="16">
        <f t="shared" si="3"/>
        <v>5.719435422</v>
      </c>
      <c r="Z24" s="16">
        <f t="shared" si="4"/>
        <v>7.092553846</v>
      </c>
      <c r="AA24" s="16">
        <f t="shared" si="5"/>
        <v>0</v>
      </c>
      <c r="AB24" s="16">
        <f t="shared" si="6"/>
        <v>0</v>
      </c>
      <c r="AC24" s="21">
        <f t="array" ref="AC24">IF(ISNUMBER($J24),INDEX('Cálculos'!$C$332:$F$336,IFERROR(MATCH($T24,'Perfis de buff'!$A$4:$A$8,0),1),$J24),"")</f>
        <v>3241.734346</v>
      </c>
      <c r="AD24" s="21">
        <f t="array" ref="AD24">IF(ISNUMBER($J24),INDEX('Cálculos'!$C$339:$F$343,IFERROR(MATCH($T24,'Perfis de buff'!$A$4:$A$8,0),1),$J24),"")</f>
        <v>348.4908108</v>
      </c>
      <c r="AE24" s="21">
        <f t="array" ref="AE24">IF(ISNUMBER($J24),INDEX('Cálculos'!$C$337:$F$337,$J24),"")</f>
        <v>20708.6505</v>
      </c>
      <c r="AF24" s="21">
        <f t="array" ref="AF24">IF(ISNUMBER($J24),INDEX('Cálculos'!$C$338:$F$338,$J24),"")</f>
        <v>876.6015351</v>
      </c>
      <c r="AG24" s="16">
        <f t="array" ref="AG24">IF(ISNUMBER($J24),IF($S24="Derreter",INDEX('Cálculos'!$C$124:$F$124,$J24)*(1+2.78*$AD24/($AD24+1400)+INDEX('Cálculos'!$C$122:$F$122,$J24)),IF($S24="Vaporizar",INDEX('Cálculos'!$C$125:$F$125,$J24)*(1+2.78*$AD24/($AD24+1400)+INDEX('Cálculos'!$C$123:$F$123,$J24)),1)),"")</f>
        <v>2.331120571</v>
      </c>
      <c r="AH24" s="21">
        <f t="shared" si="7"/>
        <v>48982.85769</v>
      </c>
      <c r="AI24" s="21">
        <f t="array" ref="AI24">IF(ISNUMBER($J24),$AH24*(1+INDEX('Cálculos'!$C$331:$F$331,$J24)),"")</f>
        <v>95452.49762</v>
      </c>
      <c r="AJ24" s="21">
        <f t="array" ref="AJ24">IF(ISNUMBER($J24),$AH24*(1+MIN(INDEX('Cálculos'!$C$330:$F$330,$J24),1)*INDEX('Cálculos'!$C$331:$F$331,$J24)),"")</f>
        <v>71197.10389</v>
      </c>
      <c r="AK24" s="21">
        <f>IF(ISNUMBER($J24),'Fixo (cálculo)'!$AF24,"")</f>
        <v>0</v>
      </c>
      <c r="AL24" s="26">
        <f t="shared" si="8"/>
        <v>0</v>
      </c>
      <c r="AN24" s="8" t="s">
        <v>485</v>
      </c>
    </row>
    <row r="25" ht="15.75" customHeight="1">
      <c r="A25" s="7" t="s">
        <v>486</v>
      </c>
      <c r="B25" s="7">
        <v>2.0</v>
      </c>
      <c r="C25" s="7" t="s">
        <v>270</v>
      </c>
      <c r="D25" s="10" t="s">
        <v>105</v>
      </c>
      <c r="E25" s="11"/>
      <c r="F25" s="4" t="str">
        <f>IF($A25="","",IF(ISNUMBER(MATCH($A25,'Golpes extras'!$A$2:$A$101,0)),"Sim","Não"))</f>
        <v>Não</v>
      </c>
      <c r="G25" s="4" t="str">
        <f t="array" ref="G25">IF($A25="","",IF($F25="Sim",INDEX('Golpes extras'!$B$2:$B$101,MATCH($A25,'Golpes extras'!$A$2:$A$101,0))&amp;"",$A25))</f>
        <v>Citlali - Supremo: Spiritvessel Skull DMG</v>
      </c>
      <c r="H25" s="4">
        <f>IF($G25="","",IFERROR(MATCH($G25,L_Golpes!$A$2:$A$6000,0),""))</f>
        <v>25</v>
      </c>
      <c r="I25" s="4" t="str">
        <f t="array" ref="I25">IF($A25="","",IF(ISNUMBER($H25),INDEX(L_Golpes!$B$2:$B$6000,$H25),IF(IFERROR(INDEX('Golpes extras'!$C$2:$C$101,MATCH($A25,'Golpes extras'!$A$2:$A$101,0))&amp;"","")&lt;&gt;"",INDEX('Golpes extras'!$C$2:$C$101,MATCH($A25,'Golpes extras'!$A$2:$A$101,0))&amp;"","golpe?")))</f>
        <v>Citlali</v>
      </c>
      <c r="J25" s="4">
        <f>IF(OR($I25="",$I25="golpe?"),"",IFERROR(MATCH($I25,Time!$B$4:$E$4,0),"fora do time"))</f>
        <v>2</v>
      </c>
      <c r="K25" s="4" t="str">
        <f t="array" ref="K25">IF(ISNUMBER($J25),IF(IFERROR(INDEX('Golpes extras'!$D$2:$D$101,MATCH($A25,'Golpes extras'!$A$2:$A$101,0))&amp;"","")&lt;&gt;"",INDEX('Golpes extras'!$D$2:$D$101,MATCH($A25,'Golpes extras'!$A$2:$A$101,0))&amp;"",IF(ISNUMBER($H25),INDEX(L_Golpes!$D$2:$D$6000,$H25),"Outro")),"")</f>
        <v>Supremo</v>
      </c>
      <c r="L25" s="4" t="str">
        <f t="array" ref="L25">IF(ISNUMBER($J25),IF(ISNUMBER($H25),INDEX(L_Golpes!$C$2:$C$6000,$H25),""),"")</f>
        <v>Supremo</v>
      </c>
      <c r="M25" s="4">
        <f t="array" ref="M25">IF(ISNUMBER($J25),IF($L25="Normal",INDEX('Cálculos'!$C$14:$F$14,$J25),IF($L25="Habilidade",INDEX('Cálculos'!$C$15:$F$15,$J25),IF($L25="Supremo",INDEX('Cálculos'!$C$16:$F$16,$J25),""))),"")</f>
        <v>10</v>
      </c>
      <c r="N25" s="16">
        <f t="array" ref="N25">IF(ISNUMBER($J25),IF(ISNUMBER($H25),INDEX(L_Golpes!$F$2:$T$6000,$H25,MAX(1,MIN(15,$M25))),0)+IF($F25="Sim",N(INDEX('Golpes extras'!$E$2:$E$101,MATCH($A25,'Golpes extras'!$A$2:$A$101,0))),0),"")</f>
        <v>2.4192</v>
      </c>
      <c r="O25" s="17">
        <f t="array" ref="O25">IF(ISNUMBER($J25),IF(ISNUMBER($H25),INDEX(L_Golpes!$U$2:$AI$6000,$H25,MAX(1,MIN(15,$M25))),0)+IF($F25="Sim",N(INDEX('Golpes extras'!$F$2:$F$101,MATCH($A25,'Golpes extras'!$A$2:$A$101,0))),0),"")</f>
        <v>0</v>
      </c>
      <c r="P25" s="16">
        <f t="array" ref="P25">IF(ISNUMBER($J25),IF(ISNUMBER($H25),INDEX(L_Golpes!$AJ$2:$AX$6000,$H25,MAX(1,MIN(15,$M25))),0)+IF($F25="Sim",N(INDEX('Golpes extras'!$G$2:$G$101,MATCH($A25,'Golpes extras'!$A$2:$A$101,0))),0),"")</f>
        <v>0</v>
      </c>
      <c r="Q25" s="16">
        <f t="array" ref="Q25">IF(ISNUMBER($J25),IF(ISNUMBER($H25),INDEX(L_Golpes!$AY$2:$BM$6000,$H25,MAX(1,MIN(15,$M25))),0)+IF($F25="Sim",N(INDEX('Golpes extras'!$H$2:$H$101,MATCH($A25,'Golpes extras'!$A$2:$A$101,0))),0),"")</f>
        <v>0</v>
      </c>
      <c r="R25" s="4" t="str">
        <f t="array" ref="R25">IF(ISNUMBER($J25),INDEX('Cálculos'!$C$19:$F$19,$J25),"")</f>
        <v>Cryo</v>
      </c>
      <c r="S25" s="4" t="str">
        <f t="shared" si="1"/>
        <v>Nenhuma</v>
      </c>
      <c r="T25" s="4" t="str">
        <f>IF(ISNUMBER($J25),IF(OR($D25="Não",$D25=FALSE),'Perfis de buff'!$A$8,IF(OR($D25="",$D25="Sim",$D25=TRUE),'Perfis de buff'!$A$4,$D25)),"")</f>
        <v>Todos</v>
      </c>
      <c r="U25" s="22">
        <f t="array" ref="U25">IF(ISNUMBER($J25),INDEX('Cálculos'!$C$113:$F$113,$J25)+IF($K25="Normal",INDEX('Cálculos'!$C$114:$F$114,$J25),IF($K25="Carregado",INDEX('Cálculos'!$C$115:$F$115,$J25),IF($K25="Habilidade",INDEX('Cálculos'!$C$116:$F$116,$J25),IF($K25="Supremo",INDEX('Cálculos'!$C$117:$F$117,$J25),0))))+INDEX('Cálculos'!$C$143:$F$147,IFERROR(MATCH($T25,'Perfis de buff'!$A$4:$A$8,0),1),$J25)+IF($K25="Normal",INDEX('Cálculos'!$C$148:$F$152,IFERROR(MATCH($T25,'Perfis de buff'!$A$4:$A$8,0),1),$J25),IF($K25="Carregado",INDEX('Cálculos'!$C$153:$F$157,IFERROR(MATCH($T25,'Perfis de buff'!$A$4:$A$8,0),1),$J25),IF($K25="Habilidade",INDEX('Cálculos'!$C$158:$F$162,IFERROR(MATCH($T25,'Perfis de buff'!$A$4:$A$8,0),1),$J25),IF($K25="Supremo",INDEX('Cálculos'!$C$163:$F$167,IFERROR(MATCH($T25,'Perfis de buff'!$A$4:$A$8,0),1),$J25),0))))+N($E25),"")</f>
        <v>0.348</v>
      </c>
      <c r="V25" s="16">
        <f t="array" ref="V25">IF(ISNUMBER($J25),INDEX('Cálculos'!$C$180:$F$180,$J25),"")</f>
        <v>0.4871794872</v>
      </c>
      <c r="W25" s="16">
        <f t="array" ref="W25">IF(ISNUMBER($J25),INDEX('Cálculos'!$C$182:$F$182,$J25),"")</f>
        <v>0.9</v>
      </c>
      <c r="X25" s="16">
        <f t="shared" si="2"/>
        <v>1.182092308</v>
      </c>
      <c r="Y25" s="16">
        <f t="shared" si="3"/>
        <v>2.859717711</v>
      </c>
      <c r="Z25" s="16">
        <f t="shared" si="4"/>
        <v>0</v>
      </c>
      <c r="AA25" s="16">
        <f t="shared" si="5"/>
        <v>0</v>
      </c>
      <c r="AB25" s="16">
        <f t="shared" si="6"/>
        <v>0</v>
      </c>
      <c r="AC25" s="21">
        <f t="array" ref="AC25">IF(ISNUMBER($J25),INDEX('Cálculos'!$C$332:$F$336,IFERROR(MATCH($T25,'Perfis de buff'!$A$4:$A$8,0),1),$J25),"")</f>
        <v>3241.734346</v>
      </c>
      <c r="AD25" s="21">
        <f t="array" ref="AD25">IF(ISNUMBER($J25),INDEX('Cálculos'!$C$339:$F$343,IFERROR(MATCH($T25,'Perfis de buff'!$A$4:$A$8,0),1),$J25),"")</f>
        <v>348.4908108</v>
      </c>
      <c r="AE25" s="21">
        <f t="array" ref="AE25">IF(ISNUMBER($J25),INDEX('Cálculos'!$C$337:$F$337,$J25),"")</f>
        <v>20708.6505</v>
      </c>
      <c r="AF25" s="21">
        <f t="array" ref="AF25">IF(ISNUMBER($J25),INDEX('Cálculos'!$C$338:$F$338,$J25),"")</f>
        <v>876.6015351</v>
      </c>
      <c r="AG25" s="16">
        <f t="array" ref="AG25">IF(ISNUMBER($J25),IF($S25="Derreter",INDEX('Cálculos'!$C$124:$F$124,$J25)*(1+2.78*$AD25/($AD25+1400)+INDEX('Cálculos'!$C$122:$F$122,$J25)),IF($S25="Vaporizar",INDEX('Cálculos'!$C$125:$F$125,$J25)*(1+2.78*$AD25/($AD25+1400)+INDEX('Cálculos'!$C$123:$F$123,$J25)),1)),"")</f>
        <v>1</v>
      </c>
      <c r="AH25" s="21">
        <f t="shared" si="7"/>
        <v>9270.445123</v>
      </c>
      <c r="AI25" s="21">
        <f t="array" ref="AI25">IF(ISNUMBER($J25),$AH25*(1+INDEX('Cálculos'!$C$331:$F$331,$J25)),"")</f>
        <v>18065.24124</v>
      </c>
      <c r="AJ25" s="21">
        <f t="array" ref="AJ25">IF(ISNUMBER($J25),$AH25*(1+MIN(INDEX('Cálculos'!$C$330:$F$330,$J25),1)*INDEX('Cálculos'!$C$331:$F$331,$J25)),"")</f>
        <v>13474.69045</v>
      </c>
      <c r="AK25" s="21">
        <f>IF(ISNUMBER($J25),'Fixo (cálculo)'!$AF25,"")</f>
        <v>0</v>
      </c>
      <c r="AL25" s="26">
        <f t="shared" si="8"/>
        <v>0</v>
      </c>
    </row>
    <row r="26" ht="15.75" customHeight="1">
      <c r="A26" s="7" t="s">
        <v>491</v>
      </c>
      <c r="B26" s="7">
        <v>1.0</v>
      </c>
      <c r="C26" s="7" t="s">
        <v>270</v>
      </c>
      <c r="D26" s="10" t="s">
        <v>110</v>
      </c>
      <c r="E26" s="11"/>
      <c r="F26" s="4" t="str">
        <f>IF($A26="","",IF(ISNUMBER(MATCH($A26,'Golpes extras'!$A$2:$A$101,0)),"Sim","Não"))</f>
        <v>Não</v>
      </c>
      <c r="G26" s="4" t="str">
        <f t="array" ref="G26">IF($A26="","",IF($F26="Sim",INDEX('Golpes extras'!$B$2:$B$101,MATCH($A26,'Golpes extras'!$A$2:$A$101,0))&amp;"",$A26))</f>
        <v>Iansan - Habilidade: Skill DMG</v>
      </c>
      <c r="H26" s="4">
        <f>IF($G26="","",IFERROR(MATCH($G26,L_Golpes!$A$2:$A$6000,0),""))</f>
        <v>34</v>
      </c>
      <c r="I26" s="4" t="str">
        <f t="array" ref="I26">IF($A26="","",IF(ISNUMBER($H26),INDEX(L_Golpes!$B$2:$B$6000,$H26),IF(IFERROR(INDEX('Golpes extras'!$C$2:$C$101,MATCH($A26,'Golpes extras'!$A$2:$A$101,0))&amp;"","")&lt;&gt;"",INDEX('Golpes extras'!$C$2:$C$101,MATCH($A26,'Golpes extras'!$A$2:$A$101,0))&amp;"","golpe?")))</f>
        <v>Iansan</v>
      </c>
      <c r="J26" s="4">
        <f>IF(OR($I26="",$I26="golpe?"),"",IFERROR(MATCH($I26,Time!$B$4:$E$4,0),"fora do time"))</f>
        <v>3</v>
      </c>
      <c r="K26" s="4" t="str">
        <f t="array" ref="K26">IF(ISNUMBER($J26),IF(IFERROR(INDEX('Golpes extras'!$D$2:$D$101,MATCH($A26,'Golpes extras'!$A$2:$A$101,0))&amp;"","")&lt;&gt;"",INDEX('Golpes extras'!$D$2:$D$101,MATCH($A26,'Golpes extras'!$A$2:$A$101,0))&amp;"",IF(ISNUMBER($H26),INDEX(L_Golpes!$D$2:$D$6000,$H26),"Outro")),"")</f>
        <v>Habilidade</v>
      </c>
      <c r="L26" s="4" t="str">
        <f t="array" ref="L26">IF(ISNUMBER($J26),IF(ISNUMBER($H26),INDEX(L_Golpes!$C$2:$C$6000,$H26),""),"")</f>
        <v>Habilidade</v>
      </c>
      <c r="M26" s="4">
        <f t="array" ref="M26">IF(ISNUMBER($J26),IF($L26="Normal",INDEX('Cálculos'!$C$14:$F$14,$J26),IF($L26="Habilidade",INDEX('Cálculos'!$C$15:$F$15,$J26),IF($L26="Supremo",INDEX('Cálculos'!$C$16:$F$16,$J26),""))),"")</f>
        <v>13</v>
      </c>
      <c r="N26" s="16">
        <f t="array" ref="N26">IF(ISNUMBER($J26),IF(ISNUMBER($H26),INDEX(L_Golpes!$F$2:$T$6000,$H26,MAX(1,MIN(15,$M26))),0)+IF($F26="Sim",N(INDEX('Golpes extras'!$E$2:$E$101,MATCH($A26,'Golpes extras'!$A$2:$A$101,0))),0),"")</f>
        <v>6.086</v>
      </c>
      <c r="O26" s="17">
        <f t="array" ref="O26">IF(ISNUMBER($J26),IF(ISNUMBER($H26),INDEX(L_Golpes!$U$2:$AI$6000,$H26,MAX(1,MIN(15,$M26))),0)+IF($F26="Sim",N(INDEX('Golpes extras'!$F$2:$F$101,MATCH($A26,'Golpes extras'!$A$2:$A$101,0))),0),"")</f>
        <v>0</v>
      </c>
      <c r="P26" s="16">
        <f t="array" ref="P26">IF(ISNUMBER($J26),IF(ISNUMBER($H26),INDEX(L_Golpes!$AJ$2:$AX$6000,$H26,MAX(1,MIN(15,$M26))),0)+IF($F26="Sim",N(INDEX('Golpes extras'!$G$2:$G$101,MATCH($A26,'Golpes extras'!$A$2:$A$101,0))),0),"")</f>
        <v>0</v>
      </c>
      <c r="Q26" s="16">
        <f t="array" ref="Q26">IF(ISNUMBER($J26),IF(ISNUMBER($H26),INDEX(L_Golpes!$AY$2:$BM$6000,$H26,MAX(1,MIN(15,$M26))),0)+IF($F26="Sim",N(INDEX('Golpes extras'!$H$2:$H$101,MATCH($A26,'Golpes extras'!$A$2:$A$101,0))),0),"")</f>
        <v>0</v>
      </c>
      <c r="R26" s="4" t="str">
        <f t="array" ref="R26">IF(ISNUMBER($J26),INDEX('Cálculos'!$C$19:$F$19,$J26),"")</f>
        <v>Electro</v>
      </c>
      <c r="S26" s="4" t="str">
        <f t="shared" si="1"/>
        <v>Nenhuma</v>
      </c>
      <c r="T26" s="4" t="str">
        <f>IF(ISNUMBER($J26),IF(OR($D26="Não",$D26=FALSE),'Perfis de buff'!$A$8,IF(OR($D26="",$D26="Sim",$D26=TRUE),'Perfis de buff'!$A$4,$D26)),"")</f>
        <v>Iansan (início)</v>
      </c>
      <c r="U26" s="22">
        <f t="array" ref="U26">IF(ISNUMBER($J26),INDEX('Cálculos'!$C$113:$F$113,$J26)+IF($K26="Normal",INDEX('Cálculos'!$C$114:$F$114,$J26),IF($K26="Carregado",INDEX('Cálculos'!$C$115:$F$115,$J26),IF($K26="Habilidade",INDEX('Cálculos'!$C$116:$F$116,$J26),IF($K26="Supremo",INDEX('Cálculos'!$C$117:$F$117,$J26),0))))+INDEX('Cálculos'!$C$143:$F$147,IFERROR(MATCH($T26,'Perfis de buff'!$A$4:$A$8,0),1),$J26)+IF($K26="Normal",INDEX('Cálculos'!$C$148:$F$152,IFERROR(MATCH($T26,'Perfis de buff'!$A$4:$A$8,0),1),$J26),IF($K26="Carregado",INDEX('Cálculos'!$C$153:$F$157,IFERROR(MATCH($T26,'Perfis de buff'!$A$4:$A$8,0),1),$J26),IF($K26="Habilidade",INDEX('Cálculos'!$C$158:$F$162,IFERROR(MATCH($T26,'Perfis de buff'!$A$4:$A$8,0),1),$J26),IF($K26="Supremo",INDEX('Cálculos'!$C$163:$F$167,IFERROR(MATCH($T26,'Perfis de buff'!$A$4:$A$8,0),1),$J26),0))))+N($E26),"")</f>
        <v>0</v>
      </c>
      <c r="V26" s="16">
        <f t="array" ref="V26">IF(ISNUMBER($J26),INDEX('Cálculos'!$C$180:$F$180,$J26),"")</f>
        <v>0.4871794872</v>
      </c>
      <c r="W26" s="16">
        <f t="array" ref="W26">IF(ISNUMBER($J26),INDEX('Cálculos'!$C$182:$F$182,$J26),"")</f>
        <v>0.9</v>
      </c>
      <c r="X26" s="16">
        <f t="shared" si="2"/>
        <v>0.4384615385</v>
      </c>
      <c r="Y26" s="16">
        <f t="shared" si="3"/>
        <v>2.668476923</v>
      </c>
      <c r="Z26" s="16">
        <f t="shared" si="4"/>
        <v>0</v>
      </c>
      <c r="AA26" s="16">
        <f t="shared" si="5"/>
        <v>0</v>
      </c>
      <c r="AB26" s="16">
        <f t="shared" si="6"/>
        <v>0</v>
      </c>
      <c r="AC26" s="21">
        <f t="array" ref="AC26">IF(ISNUMBER($J26),INDEX('Cálculos'!$C$332:$F$336,IFERROR(MATCH($T26,'Perfis de buff'!$A$4:$A$8,0),1),$J26),"")</f>
        <v>2782.0062</v>
      </c>
      <c r="AD26" s="21">
        <f t="array" ref="AD26">IF(ISNUMBER($J26),INDEX('Cálculos'!$C$339:$F$343,IFERROR(MATCH($T26,'Perfis de buff'!$A$4:$A$8,0),1),$J26),"")</f>
        <v>39</v>
      </c>
      <c r="AE26" s="21">
        <f t="array" ref="AE26">IF(ISNUMBER($J26),INDEX('Cálculos'!$C$337:$F$337,$J26),"")</f>
        <v>17000.043</v>
      </c>
      <c r="AF26" s="21">
        <f t="array" ref="AF26">IF(ISNUMBER($J26),INDEX('Cálculos'!$C$338:$F$338,$J26),"")</f>
        <v>756.112</v>
      </c>
      <c r="AG26" s="16">
        <f t="array" ref="AG26">IF(ISNUMBER($J26),IF($S26="Derreter",INDEX('Cálculos'!$C$124:$F$124,$J26)*(1+2.78*$AD26/($AD26+1400)+INDEX('Cálculos'!$C$122:$F$122,$J26)),IF($S26="Vaporizar",INDEX('Cálculos'!$C$125:$F$125,$J26)*(1+2.78*$AD26/($AD26+1400)+INDEX('Cálculos'!$C$123:$F$123,$J26)),1)),"")</f>
        <v>1</v>
      </c>
      <c r="AH26" s="21">
        <f t="shared" si="7"/>
        <v>7423.719345</v>
      </c>
      <c r="AI26" s="21">
        <f t="array" ref="AI26">IF(ISNUMBER($J26),$AH26*(1+INDEX('Cálculos'!$C$331:$F$331,$J26)),"")</f>
        <v>16035.23378</v>
      </c>
      <c r="AJ26" s="21">
        <f t="array" ref="AJ26">IF(ISNUMBER($J26),$AH26*(1+MIN(INDEX('Cálculos'!$C$330:$F$330,$J26),1)*INDEX('Cálculos'!$C$331:$F$331,$J26)),"")</f>
        <v>12521.73589</v>
      </c>
      <c r="AK26" s="21">
        <f>IF(ISNUMBER($J26),'Fixo (cálculo)'!$AF26,"")</f>
        <v>0</v>
      </c>
      <c r="AL26" s="26">
        <f t="shared" si="8"/>
        <v>0</v>
      </c>
      <c r="AN26" s="8" t="s">
        <v>495</v>
      </c>
    </row>
    <row r="27" ht="15.75" customHeight="1">
      <c r="A27" s="7" t="s">
        <v>496</v>
      </c>
      <c r="B27" s="7">
        <v>1.0</v>
      </c>
      <c r="C27" s="7" t="s">
        <v>270</v>
      </c>
      <c r="D27" s="10" t="s">
        <v>110</v>
      </c>
      <c r="E27" s="11"/>
      <c r="F27" s="4" t="str">
        <f>IF($A27="","",IF(ISNUMBER(MATCH($A27,'Golpes extras'!$A$2:$A$101,0)),"Sim","Não"))</f>
        <v>Não</v>
      </c>
      <c r="G27" s="4" t="str">
        <f t="array" ref="G27">IF($A27="","",IF($F27="Sim",INDEX('Golpes extras'!$B$2:$B$101,MATCH($A27,'Golpes extras'!$A$2:$A$101,0))&amp;"",$A27))</f>
        <v>Iansan - Supremo: Skill DMG</v>
      </c>
      <c r="H27" s="4">
        <f>IF($G27="","",IFERROR(MATCH($G27,L_Golpes!$A$2:$A$6000,0),""))</f>
        <v>35</v>
      </c>
      <c r="I27" s="4" t="str">
        <f t="array" ref="I27">IF($A27="","",IF(ISNUMBER($H27),INDEX(L_Golpes!$B$2:$B$6000,$H27),IF(IFERROR(INDEX('Golpes extras'!$C$2:$C$101,MATCH($A27,'Golpes extras'!$A$2:$A$101,0))&amp;"","")&lt;&gt;"",INDEX('Golpes extras'!$C$2:$C$101,MATCH($A27,'Golpes extras'!$A$2:$A$101,0))&amp;"","golpe?")))</f>
        <v>Iansan</v>
      </c>
      <c r="J27" s="4">
        <f>IF(OR($I27="",$I27="golpe?"),"",IFERROR(MATCH($I27,Time!$B$4:$E$4,0),"fora do time"))</f>
        <v>3</v>
      </c>
      <c r="K27" s="4" t="str">
        <f t="array" ref="K27">IF(ISNUMBER($J27),IF(IFERROR(INDEX('Golpes extras'!$D$2:$D$101,MATCH($A27,'Golpes extras'!$A$2:$A$101,0))&amp;"","")&lt;&gt;"",INDEX('Golpes extras'!$D$2:$D$101,MATCH($A27,'Golpes extras'!$A$2:$A$101,0))&amp;"",IF(ISNUMBER($H27),INDEX(L_Golpes!$D$2:$D$6000,$H27),"Outro")),"")</f>
        <v>Supremo</v>
      </c>
      <c r="L27" s="4" t="str">
        <f t="array" ref="L27">IF(ISNUMBER($J27),IF(ISNUMBER($H27),INDEX(L_Golpes!$C$2:$C$6000,$H27),""),"")</f>
        <v>Supremo</v>
      </c>
      <c r="M27" s="4">
        <f t="array" ref="M27">IF(ISNUMBER($J27),IF($L27="Normal",INDEX('Cálculos'!$C$14:$F$14,$J27),IF($L27="Habilidade",INDEX('Cálculos'!$C$15:$F$15,$J27),IF($L27="Supremo",INDEX('Cálculos'!$C$16:$F$16,$J27),""))),"")</f>
        <v>13</v>
      </c>
      <c r="N27" s="16">
        <f t="array" ref="N27">IF(ISNUMBER($J27),IF(ISNUMBER($H27),INDEX(L_Golpes!$F$2:$T$6000,$H27,MAX(1,MIN(15,$M27))),0)+IF($F27="Sim",N(INDEX('Golpes extras'!$E$2:$E$101,MATCH($A27,'Golpes extras'!$A$2:$A$101,0))),0),"")</f>
        <v>9.146</v>
      </c>
      <c r="O27" s="17">
        <f t="array" ref="O27">IF(ISNUMBER($J27),IF(ISNUMBER($H27),INDEX(L_Golpes!$U$2:$AI$6000,$H27,MAX(1,MIN(15,$M27))),0)+IF($F27="Sim",N(INDEX('Golpes extras'!$F$2:$F$101,MATCH($A27,'Golpes extras'!$A$2:$A$101,0))),0),"")</f>
        <v>0</v>
      </c>
      <c r="P27" s="16">
        <f t="array" ref="P27">IF(ISNUMBER($J27),IF(ISNUMBER($H27),INDEX(L_Golpes!$AJ$2:$AX$6000,$H27,MAX(1,MIN(15,$M27))),0)+IF($F27="Sim",N(INDEX('Golpes extras'!$G$2:$G$101,MATCH($A27,'Golpes extras'!$A$2:$A$101,0))),0),"")</f>
        <v>0</v>
      </c>
      <c r="Q27" s="16">
        <f t="array" ref="Q27">IF(ISNUMBER($J27),IF(ISNUMBER($H27),INDEX(L_Golpes!$AY$2:$BM$6000,$H27,MAX(1,MIN(15,$M27))),0)+IF($F27="Sim",N(INDEX('Golpes extras'!$H$2:$H$101,MATCH($A27,'Golpes extras'!$A$2:$A$101,0))),0),"")</f>
        <v>0</v>
      </c>
      <c r="R27" s="4" t="str">
        <f t="array" ref="R27">IF(ISNUMBER($J27),INDEX('Cálculos'!$C$19:$F$19,$J27),"")</f>
        <v>Electro</v>
      </c>
      <c r="S27" s="4" t="str">
        <f t="shared" si="1"/>
        <v>Nenhuma</v>
      </c>
      <c r="T27" s="4" t="str">
        <f>IF(ISNUMBER($J27),IF(OR($D27="Não",$D27=FALSE),'Perfis de buff'!$A$8,IF(OR($D27="",$D27="Sim",$D27=TRUE),'Perfis de buff'!$A$4,$D27)),"")</f>
        <v>Iansan (início)</v>
      </c>
      <c r="U27" s="22">
        <f t="array" ref="U27">IF(ISNUMBER($J27),INDEX('Cálculos'!$C$113:$F$113,$J27)+IF($K27="Normal",INDEX('Cálculos'!$C$114:$F$114,$J27),IF($K27="Carregado",INDEX('Cálculos'!$C$115:$F$115,$J27),IF($K27="Habilidade",INDEX('Cálculos'!$C$116:$F$116,$J27),IF($K27="Supremo",INDEX('Cálculos'!$C$117:$F$117,$J27),0))))+INDEX('Cálculos'!$C$143:$F$147,IFERROR(MATCH($T27,'Perfis de buff'!$A$4:$A$8,0),1),$J27)+IF($K27="Normal",INDEX('Cálculos'!$C$148:$F$152,IFERROR(MATCH($T27,'Perfis de buff'!$A$4:$A$8,0),1),$J27),IF($K27="Carregado",INDEX('Cálculos'!$C$153:$F$157,IFERROR(MATCH($T27,'Perfis de buff'!$A$4:$A$8,0),1),$J27),IF($K27="Habilidade",INDEX('Cálculos'!$C$158:$F$162,IFERROR(MATCH($T27,'Perfis de buff'!$A$4:$A$8,0),1),$J27),IF($K27="Supremo",INDEX('Cálculos'!$C$163:$F$167,IFERROR(MATCH($T27,'Perfis de buff'!$A$4:$A$8,0),1),$J27),0))))+N($E27),"")</f>
        <v>0</v>
      </c>
      <c r="V27" s="16">
        <f t="array" ref="V27">IF(ISNUMBER($J27),INDEX('Cálculos'!$C$180:$F$180,$J27),"")</f>
        <v>0.4871794872</v>
      </c>
      <c r="W27" s="16">
        <f t="array" ref="W27">IF(ISNUMBER($J27),INDEX('Cálculos'!$C$182:$F$182,$J27),"")</f>
        <v>0.9</v>
      </c>
      <c r="X27" s="16">
        <f t="shared" si="2"/>
        <v>0.4384615385</v>
      </c>
      <c r="Y27" s="16">
        <f t="shared" si="3"/>
        <v>4.010169231</v>
      </c>
      <c r="Z27" s="16">
        <f t="shared" si="4"/>
        <v>0</v>
      </c>
      <c r="AA27" s="16">
        <f t="shared" si="5"/>
        <v>0</v>
      </c>
      <c r="AB27" s="16">
        <f t="shared" si="6"/>
        <v>0</v>
      </c>
      <c r="AC27" s="21">
        <f t="array" ref="AC27">IF(ISNUMBER($J27),INDEX('Cálculos'!$C$332:$F$336,IFERROR(MATCH($T27,'Perfis de buff'!$A$4:$A$8,0),1),$J27),"")</f>
        <v>2782.0062</v>
      </c>
      <c r="AD27" s="21">
        <f t="array" ref="AD27">IF(ISNUMBER($J27),INDEX('Cálculos'!$C$339:$F$343,IFERROR(MATCH($T27,'Perfis de buff'!$A$4:$A$8,0),1),$J27),"")</f>
        <v>39</v>
      </c>
      <c r="AE27" s="21">
        <f t="array" ref="AE27">IF(ISNUMBER($J27),INDEX('Cálculos'!$C$337:$F$337,$J27),"")</f>
        <v>17000.043</v>
      </c>
      <c r="AF27" s="21">
        <f t="array" ref="AF27">IF(ISNUMBER($J27),INDEX('Cálculos'!$C$338:$F$338,$J27),"")</f>
        <v>756.112</v>
      </c>
      <c r="AG27" s="16">
        <f t="array" ref="AG27">IF(ISNUMBER($J27),IF($S27="Derreter",INDEX('Cálculos'!$C$124:$F$124,$J27)*(1+2.78*$AD27/($AD27+1400)+INDEX('Cálculos'!$C$122:$F$122,$J27)),IF($S27="Vaporizar",INDEX('Cálculos'!$C$125:$F$125,$J27)*(1+2.78*$AD27/($AD27+1400)+INDEX('Cálculos'!$C$123:$F$123,$J27)),1)),"")</f>
        <v>1</v>
      </c>
      <c r="AH27" s="21">
        <f t="shared" si="7"/>
        <v>11156.31566</v>
      </c>
      <c r="AI27" s="21">
        <f t="array" ref="AI27">IF(ISNUMBER($J27),$AH27*(1+INDEX('Cálculos'!$C$331:$F$331,$J27)),"")</f>
        <v>24097.64183</v>
      </c>
      <c r="AJ27" s="21">
        <f t="array" ref="AJ27">IF(ISNUMBER($J27),$AH27*(1+MIN(INDEX('Cálculos'!$C$330:$F$330,$J27),1)*INDEX('Cálculos'!$C$331:$F$331,$J27)),"")</f>
        <v>18817.58076</v>
      </c>
      <c r="AK27" s="21">
        <f>IF(ISNUMBER($J27),'Fixo (cálculo)'!$AF27,"")</f>
        <v>0</v>
      </c>
      <c r="AL27" s="26">
        <f t="shared" si="8"/>
        <v>0</v>
      </c>
      <c r="AN27" s="8" t="s">
        <v>500</v>
      </c>
    </row>
    <row r="28" ht="15.75" customHeight="1">
      <c r="A28" s="7" t="s">
        <v>501</v>
      </c>
      <c r="B28" s="7">
        <v>1.0</v>
      </c>
      <c r="C28" s="7" t="s">
        <v>270</v>
      </c>
      <c r="D28" s="10" t="s">
        <v>105</v>
      </c>
      <c r="E28" s="11"/>
      <c r="F28" s="4" t="str">
        <f>IF($A28="","",IF(ISNUMBER(MATCH($A28,'Golpes extras'!$A$2:$A$101,0)),"Sim","Não"))</f>
        <v>Não</v>
      </c>
      <c r="G28" s="4" t="str">
        <f t="array" ref="G28">IF($A28="","",IF($F28="Sim",INDEX('Golpes extras'!$B$2:$B$101,MATCH($A28,'Golpes extras'!$A$2:$A$101,0))&amp;"",$A28))</f>
        <v>Bennett - Supremo: Skill DMG</v>
      </c>
      <c r="H28" s="4">
        <f>IF($G28="","",IFERROR(MATCH($G28,L_Golpes!$A$2:$A$6000,0),""))</f>
        <v>14</v>
      </c>
      <c r="I28" s="4" t="str">
        <f t="array" ref="I28">IF($A28="","",IF(ISNUMBER($H28),INDEX(L_Golpes!$B$2:$B$6000,$H28),IF(IFERROR(INDEX('Golpes extras'!$C$2:$C$101,MATCH($A28,'Golpes extras'!$A$2:$A$101,0))&amp;"","")&lt;&gt;"",INDEX('Golpes extras'!$C$2:$C$101,MATCH($A28,'Golpes extras'!$A$2:$A$101,0))&amp;"","golpe?")))</f>
        <v>Bennett</v>
      </c>
      <c r="J28" s="4">
        <f>IF(OR($I28="",$I28="golpe?"),"",IFERROR(MATCH($I28,Time!$B$4:$E$4,0),"fora do time"))</f>
        <v>4</v>
      </c>
      <c r="K28" s="4" t="str">
        <f t="array" ref="K28">IF(ISNUMBER($J28),IF(IFERROR(INDEX('Golpes extras'!$D$2:$D$101,MATCH($A28,'Golpes extras'!$A$2:$A$101,0))&amp;"","")&lt;&gt;"",INDEX('Golpes extras'!$D$2:$D$101,MATCH($A28,'Golpes extras'!$A$2:$A$101,0))&amp;"",IF(ISNUMBER($H28),INDEX(L_Golpes!$D$2:$D$6000,$H28),"Outro")),"")</f>
        <v>Supremo</v>
      </c>
      <c r="L28" s="4" t="str">
        <f t="array" ref="L28">IF(ISNUMBER($J28),IF(ISNUMBER($H28),INDEX(L_Golpes!$C$2:$C$6000,$H28),""),"")</f>
        <v>Supremo</v>
      </c>
      <c r="M28" s="4">
        <f t="array" ref="M28">IF(ISNUMBER($J28),IF($L28="Normal",INDEX('Cálculos'!$C$14:$F$14,$J28),IF($L28="Habilidade",INDEX('Cálculos'!$C$15:$F$15,$J28),IF($L28="Supremo",INDEX('Cálculos'!$C$16:$F$16,$J28),""))),"")</f>
        <v>13</v>
      </c>
      <c r="N28" s="16">
        <f t="array" ref="N28">IF(ISNUMBER($J28),IF(ISNUMBER($H28),INDEX(L_Golpes!$F$2:$T$6000,$H28,MAX(1,MIN(15,$M28))),0)+IF($F28="Sim",N(INDEX('Golpes extras'!$E$2:$E$101,MATCH($A28,'Golpes extras'!$A$2:$A$101,0))),0),"")</f>
        <v>4.947</v>
      </c>
      <c r="O28" s="17">
        <f t="array" ref="O28">IF(ISNUMBER($J28),IF(ISNUMBER($H28),INDEX(L_Golpes!$U$2:$AI$6000,$H28,MAX(1,MIN(15,$M28))),0)+IF($F28="Sim",N(INDEX('Golpes extras'!$F$2:$F$101,MATCH($A28,'Golpes extras'!$A$2:$A$101,0))),0),"")</f>
        <v>0</v>
      </c>
      <c r="P28" s="16">
        <f t="array" ref="P28">IF(ISNUMBER($J28),IF(ISNUMBER($H28),INDEX(L_Golpes!$AJ$2:$AX$6000,$H28,MAX(1,MIN(15,$M28))),0)+IF($F28="Sim",N(INDEX('Golpes extras'!$G$2:$G$101,MATCH($A28,'Golpes extras'!$A$2:$A$101,0))),0),"")</f>
        <v>0</v>
      </c>
      <c r="Q28" s="16">
        <f t="array" ref="Q28">IF(ISNUMBER($J28),IF(ISNUMBER($H28),INDEX(L_Golpes!$AY$2:$BM$6000,$H28,MAX(1,MIN(15,$M28))),0)+IF($F28="Sim",N(INDEX('Golpes extras'!$H$2:$H$101,MATCH($A28,'Golpes extras'!$A$2:$A$101,0))),0),"")</f>
        <v>0</v>
      </c>
      <c r="R28" s="4" t="str">
        <f t="array" ref="R28">IF(ISNUMBER($J28),INDEX('Cálculos'!$C$19:$F$19,$J28),"")</f>
        <v>Pyro</v>
      </c>
      <c r="S28" s="4" t="str">
        <f t="shared" si="1"/>
        <v>Nenhuma</v>
      </c>
      <c r="T28" s="4" t="str">
        <f>IF(ISNUMBER($J28),IF(OR($D28="Não",$D28=FALSE),'Perfis de buff'!$A$8,IF(OR($D28="",$D28="Sim",$D28=TRUE),'Perfis de buff'!$A$4,$D28)),"")</f>
        <v>Todos</v>
      </c>
      <c r="U28" s="22">
        <f t="array" ref="U28">IF(ISNUMBER($J28),INDEX('Cálculos'!$C$113:$F$113,$J28)+IF($K28="Normal",INDEX('Cálculos'!$C$114:$F$114,$J28),IF($K28="Carregado",INDEX('Cálculos'!$C$115:$F$115,$J28),IF($K28="Habilidade",INDEX('Cálculos'!$C$116:$F$116,$J28),IF($K28="Supremo",INDEX('Cálculos'!$C$117:$F$117,$J28),0))))+INDEX('Cálculos'!$C$143:$F$147,IFERROR(MATCH($T28,'Perfis de buff'!$A$4:$A$8,0),1),$J28)+IF($K28="Normal",INDEX('Cálculos'!$C$148:$F$152,IFERROR(MATCH($T28,'Perfis de buff'!$A$4:$A$8,0),1),$J28),IF($K28="Carregado",INDEX('Cálculos'!$C$153:$F$157,IFERROR(MATCH($T28,'Perfis de buff'!$A$4:$A$8,0),1),$J28),IF($K28="Habilidade",INDEX('Cálculos'!$C$158:$F$162,IFERROR(MATCH($T28,'Perfis de buff'!$A$4:$A$8,0),1),$J28),IF($K28="Supremo",INDEX('Cálculos'!$C$163:$F$167,IFERROR(MATCH($T28,'Perfis de buff'!$A$4:$A$8,0),1),$J28),0))))+N($E28),"")</f>
        <v>1.066</v>
      </c>
      <c r="V28" s="16">
        <f t="array" ref="V28">IF(ISNUMBER($J28),INDEX('Cálculos'!$C$180:$F$180,$J28),"")</f>
        <v>0.4871794872</v>
      </c>
      <c r="W28" s="16">
        <f t="array" ref="W28">IF(ISNUMBER($J28),INDEX('Cálculos'!$C$182:$F$182,$J28),"")</f>
        <v>1.05</v>
      </c>
      <c r="X28" s="16">
        <f t="shared" si="2"/>
        <v>1.056838462</v>
      </c>
      <c r="Y28" s="16">
        <f t="shared" si="3"/>
        <v>5.228179869</v>
      </c>
      <c r="Z28" s="16">
        <f t="shared" si="4"/>
        <v>0</v>
      </c>
      <c r="AA28" s="16">
        <f t="shared" si="5"/>
        <v>0</v>
      </c>
      <c r="AB28" s="16">
        <f t="shared" si="6"/>
        <v>0</v>
      </c>
      <c r="AC28" s="21">
        <f t="array" ref="AC28">IF(ISNUMBER($J28),INDEX('Cálculos'!$C$332:$F$336,IFERROR(MATCH($T28,'Perfis de buff'!$A$4:$A$8,0),1),$J28),"")</f>
        <v>3700.235</v>
      </c>
      <c r="AD28" s="21">
        <f t="array" ref="AD28">IF(ISNUMBER($J28),INDEX('Cálculos'!$C$339:$F$343,IFERROR(MATCH($T28,'Perfis de buff'!$A$4:$A$8,0),1),$J28),"")</f>
        <v>159</v>
      </c>
      <c r="AE28" s="21">
        <f t="array" ref="AE28">IF(ISNUMBER($J28),INDEX('Cálculos'!$C$337:$F$337,$J28),"")</f>
        <v>18912.303</v>
      </c>
      <c r="AF28" s="21">
        <f t="array" ref="AF28">IF(ISNUMBER($J28),INDEX('Cálculos'!$C$338:$F$338,$J28),"")</f>
        <v>905.604</v>
      </c>
      <c r="AG28" s="16">
        <f t="array" ref="AG28">IF(ISNUMBER($J28),IF($S28="Derreter",INDEX('Cálculos'!$C$124:$F$124,$J28)*(1+2.78*$AD28/($AD28+1400)+INDEX('Cálculos'!$C$122:$F$122,$J28)),IF($S28="Vaporizar",INDEX('Cálculos'!$C$125:$F$125,$J28)*(1+2.78*$AD28/($AD28+1400)+INDEX('Cálculos'!$C$123:$F$123,$J28)),1)),"")</f>
        <v>1</v>
      </c>
      <c r="AH28" s="21">
        <f t="shared" si="7"/>
        <v>19345.49414</v>
      </c>
      <c r="AI28" s="21">
        <f t="array" ref="AI28">IF(ISNUMBER($J28),$AH28*(1+INDEX('Cálculos'!$C$331:$F$331,$J28)),"")</f>
        <v>51633.12386</v>
      </c>
      <c r="AJ28" s="21">
        <f t="array" ref="AJ28">IF(ISNUMBER($J28),$AH28*(1+MIN(INDEX('Cálculos'!$C$330:$F$330,$J28),1)*INDEX('Cálculos'!$C$331:$F$331,$J28)),"")</f>
        <v>45918.2134</v>
      </c>
      <c r="AK28" s="21">
        <f>IF(ISNUMBER($J28),'Fixo (cálculo)'!$AF28,"")</f>
        <v>0</v>
      </c>
      <c r="AL28" s="26">
        <f t="shared" si="8"/>
        <v>0</v>
      </c>
      <c r="AN28" s="8" t="s">
        <v>507</v>
      </c>
    </row>
    <row r="29" ht="15.75" customHeight="1">
      <c r="A29" s="7"/>
      <c r="B29" s="7"/>
      <c r="C29" s="7"/>
      <c r="D29" s="10" t="s">
        <v>105</v>
      </c>
      <c r="E29" s="11"/>
      <c r="F29" s="4" t="str">
        <f>IF($A29="","",IF(ISNUMBER(MATCH($A29,'Golpes extras'!$A$2:$A$101,0)),"Sim","Não"))</f>
        <v/>
      </c>
      <c r="G29" s="4" t="str">
        <f t="array" ref="G29">IF($A29="","",IF($F29="Sim",INDEX('Golpes extras'!$B$2:$B$101,MATCH($A29,'Golpes extras'!$A$2:$A$101,0))&amp;"",$A29))</f>
        <v/>
      </c>
      <c r="H29" s="4" t="str">
        <f>IF($G29="","",IFERROR(MATCH($G29,L_Golpes!$A$2:$A$6000,0),""))</f>
        <v/>
      </c>
      <c r="I29" s="4" t="str">
        <f t="array" ref="I29">IF($A29="","",IF(ISNUMBER($H29),INDEX(L_Golpes!$B$2:$B$6000,$H29),IF(IFERROR(INDEX('Golpes extras'!$C$2:$C$101,MATCH($A29,'Golpes extras'!$A$2:$A$101,0))&amp;"","")&lt;&gt;"",INDEX('Golpes extras'!$C$2:$C$101,MATCH($A29,'Golpes extras'!$A$2:$A$101,0))&amp;"","golpe?")))</f>
        <v/>
      </c>
      <c r="J29" s="4" t="str">
        <f>IF(OR($I29="",$I29="golpe?"),"",IFERROR(MATCH($I29,Time!$B$4:$E$4,0),"fora do time"))</f>
        <v/>
      </c>
      <c r="K29" s="4" t="str">
        <f t="array" ref="K29">IF(ISNUMBER($J29),IF(IFERROR(INDEX('Golpes extras'!$D$2:$D$101,MATCH($A29,'Golpes extras'!$A$2:$A$101,0))&amp;"","")&lt;&gt;"",INDEX('Golpes extras'!$D$2:$D$101,MATCH($A29,'Golpes extras'!$A$2:$A$101,0))&amp;"",IF(ISNUMBER($H29),INDEX(L_Golpes!$D$2:$D$6000,$H29),"Outro")),"")</f>
        <v/>
      </c>
      <c r="L29" s="4" t="str">
        <f t="array" ref="L29">IF(ISNUMBER($J29),IF(ISNUMBER($H29),INDEX(L_Golpes!$C$2:$C$6000,$H29),""),"")</f>
        <v/>
      </c>
      <c r="M29" s="4" t="str">
        <f t="array" ref="M29">IF(ISNUMBER($J29),IF($L29="Normal",INDEX('Cálculos'!$C$14:$F$14,$J29),IF($L29="Habilidade",INDEX('Cálculos'!$C$15:$F$15,$J29),IF($L29="Supremo",INDEX('Cálculos'!$C$16:$F$16,$J29),""))),"")</f>
        <v/>
      </c>
      <c r="N29" s="16" t="str">
        <f t="array" ref="N29">IF(ISNUMBER($J29),IF(ISNUMBER($H29),INDEX(L_Golpes!$F$2:$T$6000,$H29,MAX(1,MIN(15,$M29))),0)+IF($F29="Sim",N(INDEX('Golpes extras'!$E$2:$E$101,MATCH($A29,'Golpes extras'!$A$2:$A$101,0))),0),"")</f>
        <v/>
      </c>
      <c r="O29" s="17" t="str">
        <f t="array" ref="O29">IF(ISNUMBER($J29),IF(ISNUMBER($H29),INDEX(L_Golpes!$U$2:$AI$6000,$H29,MAX(1,MIN(15,$M29))),0)+IF($F29="Sim",N(INDEX('Golpes extras'!$F$2:$F$101,MATCH($A29,'Golpes extras'!$A$2:$A$101,0))),0),"")</f>
        <v/>
      </c>
      <c r="P29" s="16" t="str">
        <f t="array" ref="P29">IF(ISNUMBER($J29),IF(ISNUMBER($H29),INDEX(L_Golpes!$AJ$2:$AX$6000,$H29,MAX(1,MIN(15,$M29))),0)+IF($F29="Sim",N(INDEX('Golpes extras'!$G$2:$G$101,MATCH($A29,'Golpes extras'!$A$2:$A$101,0))),0),"")</f>
        <v/>
      </c>
      <c r="Q29" s="16" t="str">
        <f t="array" ref="Q29">IF(ISNUMBER($J29),IF(ISNUMBER($H29),INDEX(L_Golpes!$AY$2:$BM$6000,$H29,MAX(1,MIN(15,$M29))),0)+IF($F29="Sim",N(INDEX('Golpes extras'!$H$2:$H$101,MATCH($A29,'Golpes extras'!$A$2:$A$101,0))),0),"")</f>
        <v/>
      </c>
      <c r="R29" s="4" t="str">
        <f t="array" ref="R29">IF(ISNUMBER($J29),INDEX('Cálculos'!$C$19:$F$19,$J29),"")</f>
        <v/>
      </c>
      <c r="S29" s="4" t="str">
        <f t="shared" si="1"/>
        <v/>
      </c>
      <c r="T29" s="4" t="str">
        <f>IF(ISNUMBER($J29),IF(OR($D29="Não",$D29=FALSE),'Perfis de buff'!$A$8,IF(OR($D29="",$D29="Sim",$D29=TRUE),'Perfis de buff'!$A$4,$D29)),"")</f>
        <v/>
      </c>
      <c r="U29" s="22" t="str">
        <f t="array" ref="U29">IF(ISNUMBER($J29),INDEX('Cálculos'!$C$113:$F$113,$J29)+IF($K29="Normal",INDEX('Cálculos'!$C$114:$F$114,$J29),IF($K29="Carregado",INDEX('Cálculos'!$C$115:$F$115,$J29),IF($K29="Habilidade",INDEX('Cálculos'!$C$116:$F$116,$J29),IF($K29="Supremo",INDEX('Cálculos'!$C$117:$F$117,$J29),0))))+INDEX('Cálculos'!$C$143:$F$147,IFERROR(MATCH($T29,'Perfis de buff'!$A$4:$A$8,0),1),$J29)+IF($K29="Normal",INDEX('Cálculos'!$C$148:$F$152,IFERROR(MATCH($T29,'Perfis de buff'!$A$4:$A$8,0),1),$J29),IF($K29="Carregado",INDEX('Cálculos'!$C$153:$F$157,IFERROR(MATCH($T29,'Perfis de buff'!$A$4:$A$8,0),1),$J29),IF($K29="Habilidade",INDEX('Cálculos'!$C$158:$F$162,IFERROR(MATCH($T29,'Perfis de buff'!$A$4:$A$8,0),1),$J29),IF($K29="Supremo",INDEX('Cálculos'!$C$163:$F$167,IFERROR(MATCH($T29,'Perfis de buff'!$A$4:$A$8,0),1),$J29),0))))+N($E29),"")</f>
        <v/>
      </c>
      <c r="V29" s="16" t="str">
        <f t="array" ref="V29">IF(ISNUMBER($J29),INDEX('Cálculos'!$C$180:$F$180,$J29),"")</f>
        <v/>
      </c>
      <c r="W29" s="16" t="str">
        <f t="array" ref="W29">IF(ISNUMBER($J29),INDEX('Cálculos'!$C$182:$F$182,$J29),"")</f>
        <v/>
      </c>
      <c r="X29" s="16" t="str">
        <f t="shared" si="2"/>
        <v/>
      </c>
      <c r="Y29" s="16" t="str">
        <f t="shared" si="3"/>
        <v/>
      </c>
      <c r="Z29" s="16" t="str">
        <f t="shared" si="4"/>
        <v/>
      </c>
      <c r="AA29" s="16" t="str">
        <f t="shared" si="5"/>
        <v/>
      </c>
      <c r="AB29" s="16" t="str">
        <f t="shared" si="6"/>
        <v/>
      </c>
      <c r="AC29" s="21" t="str">
        <f t="array" ref="AC29">IF(ISNUMBER($J29),INDEX('Cálculos'!$C$332:$F$336,IFERROR(MATCH($T29,'Perfis de buff'!$A$4:$A$8,0),1),$J29),"")</f>
        <v/>
      </c>
      <c r="AD29" s="21" t="str">
        <f t="array" ref="AD29">IF(ISNUMBER($J29),INDEX('Cálculos'!$C$339:$F$343,IFERROR(MATCH($T29,'Perfis de buff'!$A$4:$A$8,0),1),$J29),"")</f>
        <v/>
      </c>
      <c r="AE29" s="21" t="str">
        <f t="array" ref="AE29">IF(ISNUMBER($J29),INDEX('Cálculos'!$C$337:$F$337,$J29),"")</f>
        <v/>
      </c>
      <c r="AF29" s="21" t="str">
        <f t="array" ref="AF29">IF(ISNUMBER($J29),INDEX('Cálculos'!$C$338:$F$338,$J29),"")</f>
        <v/>
      </c>
      <c r="AG29" s="16" t="str">
        <f t="array" ref="AG29">IF(ISNUMBER($J29),IF($S29="Derreter",INDEX('Cálculos'!$C$124:$F$124,$J29)*(1+2.78*$AD29/($AD29+1400)+INDEX('Cálculos'!$C$122:$F$122,$J29)),IF($S29="Vaporizar",INDEX('Cálculos'!$C$125:$F$125,$J29)*(1+2.78*$AD29/($AD29+1400)+INDEX('Cálculos'!$C$123:$F$123,$J29)),1)),"")</f>
        <v/>
      </c>
      <c r="AH29" s="21" t="str">
        <f t="shared" si="7"/>
        <v/>
      </c>
      <c r="AI29" s="21" t="str">
        <f t="array" ref="AI29">IF(ISNUMBER($J29),$AH29*(1+INDEX('Cálculos'!$C$331:$F$331,$J29)),"")</f>
        <v/>
      </c>
      <c r="AJ29" s="21" t="str">
        <f t="array" ref="AJ29">IF(ISNUMBER($J29),$AH29*(1+MIN(INDEX('Cálculos'!$C$330:$F$330,$J29),1)*INDEX('Cálculos'!$C$331:$F$331,$J29)),"")</f>
        <v/>
      </c>
      <c r="AK29" s="21" t="str">
        <f>IF(ISNUMBER($J29),'Fixo (cálculo)'!$AF29,"")</f>
        <v/>
      </c>
      <c r="AL29" s="26" t="str">
        <f t="shared" si="8"/>
        <v/>
      </c>
    </row>
    <row r="30" ht="15.75" customHeight="1">
      <c r="A30" s="7"/>
      <c r="B30" s="7"/>
      <c r="C30" s="7"/>
      <c r="D30" s="10" t="s">
        <v>105</v>
      </c>
      <c r="E30" s="11"/>
      <c r="F30" s="4" t="str">
        <f>IF($A30="","",IF(ISNUMBER(MATCH($A30,'Golpes extras'!$A$2:$A$101,0)),"Sim","Não"))</f>
        <v/>
      </c>
      <c r="G30" s="4" t="str">
        <f t="array" ref="G30">IF($A30="","",IF($F30="Sim",INDEX('Golpes extras'!$B$2:$B$101,MATCH($A30,'Golpes extras'!$A$2:$A$101,0))&amp;"",$A30))</f>
        <v/>
      </c>
      <c r="H30" s="4" t="str">
        <f>IF($G30="","",IFERROR(MATCH($G30,L_Golpes!$A$2:$A$6000,0),""))</f>
        <v/>
      </c>
      <c r="I30" s="4" t="str">
        <f t="array" ref="I30">IF($A30="","",IF(ISNUMBER($H30),INDEX(L_Golpes!$B$2:$B$6000,$H30),IF(IFERROR(INDEX('Golpes extras'!$C$2:$C$101,MATCH($A30,'Golpes extras'!$A$2:$A$101,0))&amp;"","")&lt;&gt;"",INDEX('Golpes extras'!$C$2:$C$101,MATCH($A30,'Golpes extras'!$A$2:$A$101,0))&amp;"","golpe?")))</f>
        <v/>
      </c>
      <c r="J30" s="4" t="str">
        <f>IF(OR($I30="",$I30="golpe?"),"",IFERROR(MATCH($I30,Time!$B$4:$E$4,0),"fora do time"))</f>
        <v/>
      </c>
      <c r="K30" s="4" t="str">
        <f t="array" ref="K30">IF(ISNUMBER($J30),IF(IFERROR(INDEX('Golpes extras'!$D$2:$D$101,MATCH($A30,'Golpes extras'!$A$2:$A$101,0))&amp;"","")&lt;&gt;"",INDEX('Golpes extras'!$D$2:$D$101,MATCH($A30,'Golpes extras'!$A$2:$A$101,0))&amp;"",IF(ISNUMBER($H30),INDEX(L_Golpes!$D$2:$D$6000,$H30),"Outro")),"")</f>
        <v/>
      </c>
      <c r="L30" s="4" t="str">
        <f t="array" ref="L30">IF(ISNUMBER($J30),IF(ISNUMBER($H30),INDEX(L_Golpes!$C$2:$C$6000,$H30),""),"")</f>
        <v/>
      </c>
      <c r="M30" s="4" t="str">
        <f t="array" ref="M30">IF(ISNUMBER($J30),IF($L30="Normal",INDEX('Cálculos'!$C$14:$F$14,$J30),IF($L30="Habilidade",INDEX('Cálculos'!$C$15:$F$15,$J30),IF($L30="Supremo",INDEX('Cálculos'!$C$16:$F$16,$J30),""))),"")</f>
        <v/>
      </c>
      <c r="N30" s="16" t="str">
        <f t="array" ref="N30">IF(ISNUMBER($J30),IF(ISNUMBER($H30),INDEX(L_Golpes!$F$2:$T$6000,$H30,MAX(1,MIN(15,$M30))),0)+IF($F30="Sim",N(INDEX('Golpes extras'!$E$2:$E$101,MATCH($A30,'Golpes extras'!$A$2:$A$101,0))),0),"")</f>
        <v/>
      </c>
      <c r="O30" s="17" t="str">
        <f t="array" ref="O30">IF(ISNUMBER($J30),IF(ISNUMBER($H30),INDEX(L_Golpes!$U$2:$AI$6000,$H30,MAX(1,MIN(15,$M30))),0)+IF($F30="Sim",N(INDEX('Golpes extras'!$F$2:$F$101,MATCH($A30,'Golpes extras'!$A$2:$A$101,0))),0),"")</f>
        <v/>
      </c>
      <c r="P30" s="16" t="str">
        <f t="array" ref="P30">IF(ISNUMBER($J30),IF(ISNUMBER($H30),INDEX(L_Golpes!$AJ$2:$AX$6000,$H30,MAX(1,MIN(15,$M30))),0)+IF($F30="Sim",N(INDEX('Golpes extras'!$G$2:$G$101,MATCH($A30,'Golpes extras'!$A$2:$A$101,0))),0),"")</f>
        <v/>
      </c>
      <c r="Q30" s="16" t="str">
        <f t="array" ref="Q30">IF(ISNUMBER($J30),IF(ISNUMBER($H30),INDEX(L_Golpes!$AY$2:$BM$6000,$H30,MAX(1,MIN(15,$M30))),0)+IF($F30="Sim",N(INDEX('Golpes extras'!$H$2:$H$101,MATCH($A30,'Golpes extras'!$A$2:$A$101,0))),0),"")</f>
        <v/>
      </c>
      <c r="R30" s="4" t="str">
        <f t="array" ref="R30">IF(ISNUMBER($J30),INDEX('Cálculos'!$C$19:$F$19,$J30),"")</f>
        <v/>
      </c>
      <c r="S30" s="4" t="str">
        <f t="shared" si="1"/>
        <v/>
      </c>
      <c r="T30" s="4" t="str">
        <f>IF(ISNUMBER($J30),IF(OR($D30="Não",$D30=FALSE),'Perfis de buff'!$A$8,IF(OR($D30="",$D30="Sim",$D30=TRUE),'Perfis de buff'!$A$4,$D30)),"")</f>
        <v/>
      </c>
      <c r="U30" s="22" t="str">
        <f t="array" ref="U30">IF(ISNUMBER($J30),INDEX('Cálculos'!$C$113:$F$113,$J30)+IF($K30="Normal",INDEX('Cálculos'!$C$114:$F$114,$J30),IF($K30="Carregado",INDEX('Cálculos'!$C$115:$F$115,$J30),IF($K30="Habilidade",INDEX('Cálculos'!$C$116:$F$116,$J30),IF($K30="Supremo",INDEX('Cálculos'!$C$117:$F$117,$J30),0))))+INDEX('Cálculos'!$C$143:$F$147,IFERROR(MATCH($T30,'Perfis de buff'!$A$4:$A$8,0),1),$J30)+IF($K30="Normal",INDEX('Cálculos'!$C$148:$F$152,IFERROR(MATCH($T30,'Perfis de buff'!$A$4:$A$8,0),1),$J30),IF($K30="Carregado",INDEX('Cálculos'!$C$153:$F$157,IFERROR(MATCH($T30,'Perfis de buff'!$A$4:$A$8,0),1),$J30),IF($K30="Habilidade",INDEX('Cálculos'!$C$158:$F$162,IFERROR(MATCH($T30,'Perfis de buff'!$A$4:$A$8,0),1),$J30),IF($K30="Supremo",INDEX('Cálculos'!$C$163:$F$167,IFERROR(MATCH($T30,'Perfis de buff'!$A$4:$A$8,0),1),$J30),0))))+N($E30),"")</f>
        <v/>
      </c>
      <c r="V30" s="16" t="str">
        <f t="array" ref="V30">IF(ISNUMBER($J30),INDEX('Cálculos'!$C$180:$F$180,$J30),"")</f>
        <v/>
      </c>
      <c r="W30" s="16" t="str">
        <f t="array" ref="W30">IF(ISNUMBER($J30),INDEX('Cálculos'!$C$182:$F$182,$J30),"")</f>
        <v/>
      </c>
      <c r="X30" s="16" t="str">
        <f t="shared" si="2"/>
        <v/>
      </c>
      <c r="Y30" s="16" t="str">
        <f t="shared" si="3"/>
        <v/>
      </c>
      <c r="Z30" s="16" t="str">
        <f t="shared" si="4"/>
        <v/>
      </c>
      <c r="AA30" s="16" t="str">
        <f t="shared" si="5"/>
        <v/>
      </c>
      <c r="AB30" s="16" t="str">
        <f t="shared" si="6"/>
        <v/>
      </c>
      <c r="AC30" s="21" t="str">
        <f t="array" ref="AC30">IF(ISNUMBER($J30),INDEX('Cálculos'!$C$332:$F$336,IFERROR(MATCH($T30,'Perfis de buff'!$A$4:$A$8,0),1),$J30),"")</f>
        <v/>
      </c>
      <c r="AD30" s="21" t="str">
        <f t="array" ref="AD30">IF(ISNUMBER($J30),INDEX('Cálculos'!$C$339:$F$343,IFERROR(MATCH($T30,'Perfis de buff'!$A$4:$A$8,0),1),$J30),"")</f>
        <v/>
      </c>
      <c r="AE30" s="21" t="str">
        <f t="array" ref="AE30">IF(ISNUMBER($J30),INDEX('Cálculos'!$C$337:$F$337,$J30),"")</f>
        <v/>
      </c>
      <c r="AF30" s="21" t="str">
        <f t="array" ref="AF30">IF(ISNUMBER($J30),INDEX('Cálculos'!$C$338:$F$338,$J30),"")</f>
        <v/>
      </c>
      <c r="AG30" s="16" t="str">
        <f t="array" ref="AG30">IF(ISNUMBER($J30),IF($S30="Derreter",INDEX('Cálculos'!$C$124:$F$124,$J30)*(1+2.78*$AD30/($AD30+1400)+INDEX('Cálculos'!$C$122:$F$122,$J30)),IF($S30="Vaporizar",INDEX('Cálculos'!$C$125:$F$125,$J30)*(1+2.78*$AD30/($AD30+1400)+INDEX('Cálculos'!$C$123:$F$123,$J30)),1)),"")</f>
        <v/>
      </c>
      <c r="AH30" s="21" t="str">
        <f t="shared" si="7"/>
        <v/>
      </c>
      <c r="AI30" s="21" t="str">
        <f t="array" ref="AI30">IF(ISNUMBER($J30),$AH30*(1+INDEX('Cálculos'!$C$331:$F$331,$J30)),"")</f>
        <v/>
      </c>
      <c r="AJ30" s="21" t="str">
        <f t="array" ref="AJ30">IF(ISNUMBER($J30),$AH30*(1+MIN(INDEX('Cálculos'!$C$330:$F$330,$J30),1)*INDEX('Cálculos'!$C$331:$F$331,$J30)),"")</f>
        <v/>
      </c>
      <c r="AK30" s="21" t="str">
        <f>IF(ISNUMBER($J30),'Fixo (cálculo)'!$AF30,"")</f>
        <v/>
      </c>
      <c r="AL30" s="26" t="str">
        <f t="shared" si="8"/>
        <v/>
      </c>
    </row>
    <row r="31" ht="15.75" customHeight="1">
      <c r="A31" s="7"/>
      <c r="B31" s="7"/>
      <c r="C31" s="7"/>
      <c r="D31" s="10" t="s">
        <v>105</v>
      </c>
      <c r="E31" s="11"/>
      <c r="F31" s="4" t="str">
        <f>IF($A31="","",IF(ISNUMBER(MATCH($A31,'Golpes extras'!$A$2:$A$101,0)),"Sim","Não"))</f>
        <v/>
      </c>
      <c r="G31" s="4" t="str">
        <f t="array" ref="G31">IF($A31="","",IF($F31="Sim",INDEX('Golpes extras'!$B$2:$B$101,MATCH($A31,'Golpes extras'!$A$2:$A$101,0))&amp;"",$A31))</f>
        <v/>
      </c>
      <c r="H31" s="4" t="str">
        <f>IF($G31="","",IFERROR(MATCH($G31,L_Golpes!$A$2:$A$6000,0),""))</f>
        <v/>
      </c>
      <c r="I31" s="4" t="str">
        <f t="array" ref="I31">IF($A31="","",IF(ISNUMBER($H31),INDEX(L_Golpes!$B$2:$B$6000,$H31),IF(IFERROR(INDEX('Golpes extras'!$C$2:$C$101,MATCH($A31,'Golpes extras'!$A$2:$A$101,0))&amp;"","")&lt;&gt;"",INDEX('Golpes extras'!$C$2:$C$101,MATCH($A31,'Golpes extras'!$A$2:$A$101,0))&amp;"","golpe?")))</f>
        <v/>
      </c>
      <c r="J31" s="4" t="str">
        <f>IF(OR($I31="",$I31="golpe?"),"",IFERROR(MATCH($I31,Time!$B$4:$E$4,0),"fora do time"))</f>
        <v/>
      </c>
      <c r="K31" s="4" t="str">
        <f t="array" ref="K31">IF(ISNUMBER($J31),IF(IFERROR(INDEX('Golpes extras'!$D$2:$D$101,MATCH($A31,'Golpes extras'!$A$2:$A$101,0))&amp;"","")&lt;&gt;"",INDEX('Golpes extras'!$D$2:$D$101,MATCH($A31,'Golpes extras'!$A$2:$A$101,0))&amp;"",IF(ISNUMBER($H31),INDEX(L_Golpes!$D$2:$D$6000,$H31),"Outro")),"")</f>
        <v/>
      </c>
      <c r="L31" s="4" t="str">
        <f t="array" ref="L31">IF(ISNUMBER($J31),IF(ISNUMBER($H31),INDEX(L_Golpes!$C$2:$C$6000,$H31),""),"")</f>
        <v/>
      </c>
      <c r="M31" s="4" t="str">
        <f t="array" ref="M31">IF(ISNUMBER($J31),IF($L31="Normal",INDEX('Cálculos'!$C$14:$F$14,$J31),IF($L31="Habilidade",INDEX('Cálculos'!$C$15:$F$15,$J31),IF($L31="Supremo",INDEX('Cálculos'!$C$16:$F$16,$J31),""))),"")</f>
        <v/>
      </c>
      <c r="N31" s="16" t="str">
        <f t="array" ref="N31">IF(ISNUMBER($J31),IF(ISNUMBER($H31),INDEX(L_Golpes!$F$2:$T$6000,$H31,MAX(1,MIN(15,$M31))),0)+IF($F31="Sim",N(INDEX('Golpes extras'!$E$2:$E$101,MATCH($A31,'Golpes extras'!$A$2:$A$101,0))),0),"")</f>
        <v/>
      </c>
      <c r="O31" s="17" t="str">
        <f t="array" ref="O31">IF(ISNUMBER($J31),IF(ISNUMBER($H31),INDEX(L_Golpes!$U$2:$AI$6000,$H31,MAX(1,MIN(15,$M31))),0)+IF($F31="Sim",N(INDEX('Golpes extras'!$F$2:$F$101,MATCH($A31,'Golpes extras'!$A$2:$A$101,0))),0),"")</f>
        <v/>
      </c>
      <c r="P31" s="16" t="str">
        <f t="array" ref="P31">IF(ISNUMBER($J31),IF(ISNUMBER($H31),INDEX(L_Golpes!$AJ$2:$AX$6000,$H31,MAX(1,MIN(15,$M31))),0)+IF($F31="Sim",N(INDEX('Golpes extras'!$G$2:$G$101,MATCH($A31,'Golpes extras'!$A$2:$A$101,0))),0),"")</f>
        <v/>
      </c>
      <c r="Q31" s="16" t="str">
        <f t="array" ref="Q31">IF(ISNUMBER($J31),IF(ISNUMBER($H31),INDEX(L_Golpes!$AY$2:$BM$6000,$H31,MAX(1,MIN(15,$M31))),0)+IF($F31="Sim",N(INDEX('Golpes extras'!$H$2:$H$101,MATCH($A31,'Golpes extras'!$A$2:$A$101,0))),0),"")</f>
        <v/>
      </c>
      <c r="R31" s="4" t="str">
        <f t="array" ref="R31">IF(ISNUMBER($J31),INDEX('Cálculos'!$C$19:$F$19,$J31),"")</f>
        <v/>
      </c>
      <c r="S31" s="4" t="str">
        <f t="shared" si="1"/>
        <v/>
      </c>
      <c r="T31" s="4" t="str">
        <f>IF(ISNUMBER($J31),IF(OR($D31="Não",$D31=FALSE),'Perfis de buff'!$A$8,IF(OR($D31="",$D31="Sim",$D31=TRUE),'Perfis de buff'!$A$4,$D31)),"")</f>
        <v/>
      </c>
      <c r="U31" s="22" t="str">
        <f t="array" ref="U31">IF(ISNUMBER($J31),INDEX('Cálculos'!$C$113:$F$113,$J31)+IF($K31="Normal",INDEX('Cálculos'!$C$114:$F$114,$J31),IF($K31="Carregado",INDEX('Cálculos'!$C$115:$F$115,$J31),IF($K31="Habilidade",INDEX('Cálculos'!$C$116:$F$116,$J31),IF($K31="Supremo",INDEX('Cálculos'!$C$117:$F$117,$J31),0))))+INDEX('Cálculos'!$C$143:$F$147,IFERROR(MATCH($T31,'Perfis de buff'!$A$4:$A$8,0),1),$J31)+IF($K31="Normal",INDEX('Cálculos'!$C$148:$F$152,IFERROR(MATCH($T31,'Perfis de buff'!$A$4:$A$8,0),1),$J31),IF($K31="Carregado",INDEX('Cálculos'!$C$153:$F$157,IFERROR(MATCH($T31,'Perfis de buff'!$A$4:$A$8,0),1),$J31),IF($K31="Habilidade",INDEX('Cálculos'!$C$158:$F$162,IFERROR(MATCH($T31,'Perfis de buff'!$A$4:$A$8,0),1),$J31),IF($K31="Supremo",INDEX('Cálculos'!$C$163:$F$167,IFERROR(MATCH($T31,'Perfis de buff'!$A$4:$A$8,0),1),$J31),0))))+N($E31),"")</f>
        <v/>
      </c>
      <c r="V31" s="16" t="str">
        <f t="array" ref="V31">IF(ISNUMBER($J31),INDEX('Cálculos'!$C$180:$F$180,$J31),"")</f>
        <v/>
      </c>
      <c r="W31" s="16" t="str">
        <f t="array" ref="W31">IF(ISNUMBER($J31),INDEX('Cálculos'!$C$182:$F$182,$J31),"")</f>
        <v/>
      </c>
      <c r="X31" s="16" t="str">
        <f t="shared" si="2"/>
        <v/>
      </c>
      <c r="Y31" s="16" t="str">
        <f t="shared" si="3"/>
        <v/>
      </c>
      <c r="Z31" s="16" t="str">
        <f t="shared" si="4"/>
        <v/>
      </c>
      <c r="AA31" s="16" t="str">
        <f t="shared" si="5"/>
        <v/>
      </c>
      <c r="AB31" s="16" t="str">
        <f t="shared" si="6"/>
        <v/>
      </c>
      <c r="AC31" s="21" t="str">
        <f t="array" ref="AC31">IF(ISNUMBER($J31),INDEX('Cálculos'!$C$332:$F$336,IFERROR(MATCH($T31,'Perfis de buff'!$A$4:$A$8,0),1),$J31),"")</f>
        <v/>
      </c>
      <c r="AD31" s="21" t="str">
        <f t="array" ref="AD31">IF(ISNUMBER($J31),INDEX('Cálculos'!$C$339:$F$343,IFERROR(MATCH($T31,'Perfis de buff'!$A$4:$A$8,0),1),$J31),"")</f>
        <v/>
      </c>
      <c r="AE31" s="21" t="str">
        <f t="array" ref="AE31">IF(ISNUMBER($J31),INDEX('Cálculos'!$C$337:$F$337,$J31),"")</f>
        <v/>
      </c>
      <c r="AF31" s="21" t="str">
        <f t="array" ref="AF31">IF(ISNUMBER($J31),INDEX('Cálculos'!$C$338:$F$338,$J31),"")</f>
        <v/>
      </c>
      <c r="AG31" s="16" t="str">
        <f t="array" ref="AG31">IF(ISNUMBER($J31),IF($S31="Derreter",INDEX('Cálculos'!$C$124:$F$124,$J31)*(1+2.78*$AD31/($AD31+1400)+INDEX('Cálculos'!$C$122:$F$122,$J31)),IF($S31="Vaporizar",INDEX('Cálculos'!$C$125:$F$125,$J31)*(1+2.78*$AD31/($AD31+1400)+INDEX('Cálculos'!$C$123:$F$123,$J31)),1)),"")</f>
        <v/>
      </c>
      <c r="AH31" s="21" t="str">
        <f t="shared" si="7"/>
        <v/>
      </c>
      <c r="AI31" s="21" t="str">
        <f t="array" ref="AI31">IF(ISNUMBER($J31),$AH31*(1+INDEX('Cálculos'!$C$331:$F$331,$J31)),"")</f>
        <v/>
      </c>
      <c r="AJ31" s="21" t="str">
        <f t="array" ref="AJ31">IF(ISNUMBER($J31),$AH31*(1+MIN(INDEX('Cálculos'!$C$330:$F$330,$J31),1)*INDEX('Cálculos'!$C$331:$F$331,$J31)),"")</f>
        <v/>
      </c>
      <c r="AK31" s="21" t="str">
        <f>IF(ISNUMBER($J31),'Fixo (cálculo)'!$AF31,"")</f>
        <v/>
      </c>
      <c r="AL31" s="26" t="str">
        <f t="shared" si="8"/>
        <v/>
      </c>
    </row>
    <row r="32" ht="15.75" customHeight="1">
      <c r="A32" s="7"/>
      <c r="B32" s="7"/>
      <c r="C32" s="7"/>
      <c r="D32" s="10" t="s">
        <v>105</v>
      </c>
      <c r="E32" s="11"/>
      <c r="F32" s="4" t="str">
        <f>IF($A32="","",IF(ISNUMBER(MATCH($A32,'Golpes extras'!$A$2:$A$101,0)),"Sim","Não"))</f>
        <v/>
      </c>
      <c r="G32" s="4" t="str">
        <f t="array" ref="G32">IF($A32="","",IF($F32="Sim",INDEX('Golpes extras'!$B$2:$B$101,MATCH($A32,'Golpes extras'!$A$2:$A$101,0))&amp;"",$A32))</f>
        <v/>
      </c>
      <c r="H32" s="4" t="str">
        <f>IF($G32="","",IFERROR(MATCH($G32,L_Golpes!$A$2:$A$6000,0),""))</f>
        <v/>
      </c>
      <c r="I32" s="4" t="str">
        <f t="array" ref="I32">IF($A32="","",IF(ISNUMBER($H32),INDEX(L_Golpes!$B$2:$B$6000,$H32),IF(IFERROR(INDEX('Golpes extras'!$C$2:$C$101,MATCH($A32,'Golpes extras'!$A$2:$A$101,0))&amp;"","")&lt;&gt;"",INDEX('Golpes extras'!$C$2:$C$101,MATCH($A32,'Golpes extras'!$A$2:$A$101,0))&amp;"","golpe?")))</f>
        <v/>
      </c>
      <c r="J32" s="4" t="str">
        <f>IF(OR($I32="",$I32="golpe?"),"",IFERROR(MATCH($I32,Time!$B$4:$E$4,0),"fora do time"))</f>
        <v/>
      </c>
      <c r="K32" s="4" t="str">
        <f t="array" ref="K32">IF(ISNUMBER($J32),IF(IFERROR(INDEX('Golpes extras'!$D$2:$D$101,MATCH($A32,'Golpes extras'!$A$2:$A$101,0))&amp;"","")&lt;&gt;"",INDEX('Golpes extras'!$D$2:$D$101,MATCH($A32,'Golpes extras'!$A$2:$A$101,0))&amp;"",IF(ISNUMBER($H32),INDEX(L_Golpes!$D$2:$D$6000,$H32),"Outro")),"")</f>
        <v/>
      </c>
      <c r="L32" s="4" t="str">
        <f t="array" ref="L32">IF(ISNUMBER($J32),IF(ISNUMBER($H32),INDEX(L_Golpes!$C$2:$C$6000,$H32),""),"")</f>
        <v/>
      </c>
      <c r="M32" s="4" t="str">
        <f t="array" ref="M32">IF(ISNUMBER($J32),IF($L32="Normal",INDEX('Cálculos'!$C$14:$F$14,$J32),IF($L32="Habilidade",INDEX('Cálculos'!$C$15:$F$15,$J32),IF($L32="Supremo",INDEX('Cálculos'!$C$16:$F$16,$J32),""))),"")</f>
        <v/>
      </c>
      <c r="N32" s="16" t="str">
        <f t="array" ref="N32">IF(ISNUMBER($J32),IF(ISNUMBER($H32),INDEX(L_Golpes!$F$2:$T$6000,$H32,MAX(1,MIN(15,$M32))),0)+IF($F32="Sim",N(INDEX('Golpes extras'!$E$2:$E$101,MATCH($A32,'Golpes extras'!$A$2:$A$101,0))),0),"")</f>
        <v/>
      </c>
      <c r="O32" s="17" t="str">
        <f t="array" ref="O32">IF(ISNUMBER($J32),IF(ISNUMBER($H32),INDEX(L_Golpes!$U$2:$AI$6000,$H32,MAX(1,MIN(15,$M32))),0)+IF($F32="Sim",N(INDEX('Golpes extras'!$F$2:$F$101,MATCH($A32,'Golpes extras'!$A$2:$A$101,0))),0),"")</f>
        <v/>
      </c>
      <c r="P32" s="16" t="str">
        <f t="array" ref="P32">IF(ISNUMBER($J32),IF(ISNUMBER($H32),INDEX(L_Golpes!$AJ$2:$AX$6000,$H32,MAX(1,MIN(15,$M32))),0)+IF($F32="Sim",N(INDEX('Golpes extras'!$G$2:$G$101,MATCH($A32,'Golpes extras'!$A$2:$A$101,0))),0),"")</f>
        <v/>
      </c>
      <c r="Q32" s="16" t="str">
        <f t="array" ref="Q32">IF(ISNUMBER($J32),IF(ISNUMBER($H32),INDEX(L_Golpes!$AY$2:$BM$6000,$H32,MAX(1,MIN(15,$M32))),0)+IF($F32="Sim",N(INDEX('Golpes extras'!$H$2:$H$101,MATCH($A32,'Golpes extras'!$A$2:$A$101,0))),0),"")</f>
        <v/>
      </c>
      <c r="R32" s="4" t="str">
        <f t="array" ref="R32">IF(ISNUMBER($J32),INDEX('Cálculos'!$C$19:$F$19,$J32),"")</f>
        <v/>
      </c>
      <c r="S32" s="4" t="str">
        <f t="shared" si="1"/>
        <v/>
      </c>
      <c r="T32" s="4" t="str">
        <f>IF(ISNUMBER($J32),IF(OR($D32="Não",$D32=FALSE),'Perfis de buff'!$A$8,IF(OR($D32="",$D32="Sim",$D32=TRUE),'Perfis de buff'!$A$4,$D32)),"")</f>
        <v/>
      </c>
      <c r="U32" s="22" t="str">
        <f t="array" ref="U32">IF(ISNUMBER($J32),INDEX('Cálculos'!$C$113:$F$113,$J32)+IF($K32="Normal",INDEX('Cálculos'!$C$114:$F$114,$J32),IF($K32="Carregado",INDEX('Cálculos'!$C$115:$F$115,$J32),IF($K32="Habilidade",INDEX('Cálculos'!$C$116:$F$116,$J32),IF($K32="Supremo",INDEX('Cálculos'!$C$117:$F$117,$J32),0))))+INDEX('Cálculos'!$C$143:$F$147,IFERROR(MATCH($T32,'Perfis de buff'!$A$4:$A$8,0),1),$J32)+IF($K32="Normal",INDEX('Cálculos'!$C$148:$F$152,IFERROR(MATCH($T32,'Perfis de buff'!$A$4:$A$8,0),1),$J32),IF($K32="Carregado",INDEX('Cálculos'!$C$153:$F$157,IFERROR(MATCH($T32,'Perfis de buff'!$A$4:$A$8,0),1),$J32),IF($K32="Habilidade",INDEX('Cálculos'!$C$158:$F$162,IFERROR(MATCH($T32,'Perfis de buff'!$A$4:$A$8,0),1),$J32),IF($K32="Supremo",INDEX('Cálculos'!$C$163:$F$167,IFERROR(MATCH($T32,'Perfis de buff'!$A$4:$A$8,0),1),$J32),0))))+N($E32),"")</f>
        <v/>
      </c>
      <c r="V32" s="16" t="str">
        <f t="array" ref="V32">IF(ISNUMBER($J32),INDEX('Cálculos'!$C$180:$F$180,$J32),"")</f>
        <v/>
      </c>
      <c r="W32" s="16" t="str">
        <f t="array" ref="W32">IF(ISNUMBER($J32),INDEX('Cálculos'!$C$182:$F$182,$J32),"")</f>
        <v/>
      </c>
      <c r="X32" s="16" t="str">
        <f t="shared" si="2"/>
        <v/>
      </c>
      <c r="Y32" s="16" t="str">
        <f t="shared" si="3"/>
        <v/>
      </c>
      <c r="Z32" s="16" t="str">
        <f t="shared" si="4"/>
        <v/>
      </c>
      <c r="AA32" s="16" t="str">
        <f t="shared" si="5"/>
        <v/>
      </c>
      <c r="AB32" s="16" t="str">
        <f t="shared" si="6"/>
        <v/>
      </c>
      <c r="AC32" s="21" t="str">
        <f t="array" ref="AC32">IF(ISNUMBER($J32),INDEX('Cálculos'!$C$332:$F$336,IFERROR(MATCH($T32,'Perfis de buff'!$A$4:$A$8,0),1),$J32),"")</f>
        <v/>
      </c>
      <c r="AD32" s="21" t="str">
        <f t="array" ref="AD32">IF(ISNUMBER($J32),INDEX('Cálculos'!$C$339:$F$343,IFERROR(MATCH($T32,'Perfis de buff'!$A$4:$A$8,0),1),$J32),"")</f>
        <v/>
      </c>
      <c r="AE32" s="21" t="str">
        <f t="array" ref="AE32">IF(ISNUMBER($J32),INDEX('Cálculos'!$C$337:$F$337,$J32),"")</f>
        <v/>
      </c>
      <c r="AF32" s="21" t="str">
        <f t="array" ref="AF32">IF(ISNUMBER($J32),INDEX('Cálculos'!$C$338:$F$338,$J32),"")</f>
        <v/>
      </c>
      <c r="AG32" s="16" t="str">
        <f t="array" ref="AG32">IF(ISNUMBER($J32),IF($S32="Derreter",INDEX('Cálculos'!$C$124:$F$124,$J32)*(1+2.78*$AD32/($AD32+1400)+INDEX('Cálculos'!$C$122:$F$122,$J32)),IF($S32="Vaporizar",INDEX('Cálculos'!$C$125:$F$125,$J32)*(1+2.78*$AD32/($AD32+1400)+INDEX('Cálculos'!$C$123:$F$123,$J32)),1)),"")</f>
        <v/>
      </c>
      <c r="AH32" s="21" t="str">
        <f t="shared" si="7"/>
        <v/>
      </c>
      <c r="AI32" s="21" t="str">
        <f t="array" ref="AI32">IF(ISNUMBER($J32),$AH32*(1+INDEX('Cálculos'!$C$331:$F$331,$J32)),"")</f>
        <v/>
      </c>
      <c r="AJ32" s="21" t="str">
        <f t="array" ref="AJ32">IF(ISNUMBER($J32),$AH32*(1+MIN(INDEX('Cálculos'!$C$330:$F$330,$J32),1)*INDEX('Cálculos'!$C$331:$F$331,$J32)),"")</f>
        <v/>
      </c>
      <c r="AK32" s="21" t="str">
        <f>IF(ISNUMBER($J32),'Fixo (cálculo)'!$AF32,"")</f>
        <v/>
      </c>
      <c r="AL32" s="26" t="str">
        <f t="shared" si="8"/>
        <v/>
      </c>
    </row>
    <row r="33" ht="15.75" customHeight="1">
      <c r="A33" s="7"/>
      <c r="B33" s="7"/>
      <c r="C33" s="7"/>
      <c r="D33" s="10" t="s">
        <v>105</v>
      </c>
      <c r="E33" s="11"/>
      <c r="F33" s="4" t="str">
        <f>IF($A33="","",IF(ISNUMBER(MATCH($A33,'Golpes extras'!$A$2:$A$101,0)),"Sim","Não"))</f>
        <v/>
      </c>
      <c r="G33" s="4" t="str">
        <f t="array" ref="G33">IF($A33="","",IF($F33="Sim",INDEX('Golpes extras'!$B$2:$B$101,MATCH($A33,'Golpes extras'!$A$2:$A$101,0))&amp;"",$A33))</f>
        <v/>
      </c>
      <c r="H33" s="4" t="str">
        <f>IF($G33="","",IFERROR(MATCH($G33,L_Golpes!$A$2:$A$6000,0),""))</f>
        <v/>
      </c>
      <c r="I33" s="4" t="str">
        <f t="array" ref="I33">IF($A33="","",IF(ISNUMBER($H33),INDEX(L_Golpes!$B$2:$B$6000,$H33),IF(IFERROR(INDEX('Golpes extras'!$C$2:$C$101,MATCH($A33,'Golpes extras'!$A$2:$A$101,0))&amp;"","")&lt;&gt;"",INDEX('Golpes extras'!$C$2:$C$101,MATCH($A33,'Golpes extras'!$A$2:$A$101,0))&amp;"","golpe?")))</f>
        <v/>
      </c>
      <c r="J33" s="4" t="str">
        <f>IF(OR($I33="",$I33="golpe?"),"",IFERROR(MATCH($I33,Time!$B$4:$E$4,0),"fora do time"))</f>
        <v/>
      </c>
      <c r="K33" s="4" t="str">
        <f t="array" ref="K33">IF(ISNUMBER($J33),IF(IFERROR(INDEX('Golpes extras'!$D$2:$D$101,MATCH($A33,'Golpes extras'!$A$2:$A$101,0))&amp;"","")&lt;&gt;"",INDEX('Golpes extras'!$D$2:$D$101,MATCH($A33,'Golpes extras'!$A$2:$A$101,0))&amp;"",IF(ISNUMBER($H33),INDEX(L_Golpes!$D$2:$D$6000,$H33),"Outro")),"")</f>
        <v/>
      </c>
      <c r="L33" s="4" t="str">
        <f t="array" ref="L33">IF(ISNUMBER($J33),IF(ISNUMBER($H33),INDEX(L_Golpes!$C$2:$C$6000,$H33),""),"")</f>
        <v/>
      </c>
      <c r="M33" s="4" t="str">
        <f t="array" ref="M33">IF(ISNUMBER($J33),IF($L33="Normal",INDEX('Cálculos'!$C$14:$F$14,$J33),IF($L33="Habilidade",INDEX('Cálculos'!$C$15:$F$15,$J33),IF($L33="Supremo",INDEX('Cálculos'!$C$16:$F$16,$J33),""))),"")</f>
        <v/>
      </c>
      <c r="N33" s="16" t="str">
        <f t="array" ref="N33">IF(ISNUMBER($J33),IF(ISNUMBER($H33),INDEX(L_Golpes!$F$2:$T$6000,$H33,MAX(1,MIN(15,$M33))),0)+IF($F33="Sim",N(INDEX('Golpes extras'!$E$2:$E$101,MATCH($A33,'Golpes extras'!$A$2:$A$101,0))),0),"")</f>
        <v/>
      </c>
      <c r="O33" s="17" t="str">
        <f t="array" ref="O33">IF(ISNUMBER($J33),IF(ISNUMBER($H33),INDEX(L_Golpes!$U$2:$AI$6000,$H33,MAX(1,MIN(15,$M33))),0)+IF($F33="Sim",N(INDEX('Golpes extras'!$F$2:$F$101,MATCH($A33,'Golpes extras'!$A$2:$A$101,0))),0),"")</f>
        <v/>
      </c>
      <c r="P33" s="16" t="str">
        <f t="array" ref="P33">IF(ISNUMBER($J33),IF(ISNUMBER($H33),INDEX(L_Golpes!$AJ$2:$AX$6000,$H33,MAX(1,MIN(15,$M33))),0)+IF($F33="Sim",N(INDEX('Golpes extras'!$G$2:$G$101,MATCH($A33,'Golpes extras'!$A$2:$A$101,0))),0),"")</f>
        <v/>
      </c>
      <c r="Q33" s="16" t="str">
        <f t="array" ref="Q33">IF(ISNUMBER($J33),IF(ISNUMBER($H33),INDEX(L_Golpes!$AY$2:$BM$6000,$H33,MAX(1,MIN(15,$M33))),0)+IF($F33="Sim",N(INDEX('Golpes extras'!$H$2:$H$101,MATCH($A33,'Golpes extras'!$A$2:$A$101,0))),0),"")</f>
        <v/>
      </c>
      <c r="R33" s="4" t="str">
        <f t="array" ref="R33">IF(ISNUMBER($J33),INDEX('Cálculos'!$C$19:$F$19,$J33),"")</f>
        <v/>
      </c>
      <c r="S33" s="4" t="str">
        <f t="shared" si="1"/>
        <v/>
      </c>
      <c r="T33" s="4" t="str">
        <f>IF(ISNUMBER($J33),IF(OR($D33="Não",$D33=FALSE),'Perfis de buff'!$A$8,IF(OR($D33="",$D33="Sim",$D33=TRUE),'Perfis de buff'!$A$4,$D33)),"")</f>
        <v/>
      </c>
      <c r="U33" s="22" t="str">
        <f t="array" ref="U33">IF(ISNUMBER($J33),INDEX('Cálculos'!$C$113:$F$113,$J33)+IF($K33="Normal",INDEX('Cálculos'!$C$114:$F$114,$J33),IF($K33="Carregado",INDEX('Cálculos'!$C$115:$F$115,$J33),IF($K33="Habilidade",INDEX('Cálculos'!$C$116:$F$116,$J33),IF($K33="Supremo",INDEX('Cálculos'!$C$117:$F$117,$J33),0))))+INDEX('Cálculos'!$C$143:$F$147,IFERROR(MATCH($T33,'Perfis de buff'!$A$4:$A$8,0),1),$J33)+IF($K33="Normal",INDEX('Cálculos'!$C$148:$F$152,IFERROR(MATCH($T33,'Perfis de buff'!$A$4:$A$8,0),1),$J33),IF($K33="Carregado",INDEX('Cálculos'!$C$153:$F$157,IFERROR(MATCH($T33,'Perfis de buff'!$A$4:$A$8,0),1),$J33),IF($K33="Habilidade",INDEX('Cálculos'!$C$158:$F$162,IFERROR(MATCH($T33,'Perfis de buff'!$A$4:$A$8,0),1),$J33),IF($K33="Supremo",INDEX('Cálculos'!$C$163:$F$167,IFERROR(MATCH($T33,'Perfis de buff'!$A$4:$A$8,0),1),$J33),0))))+N($E33),"")</f>
        <v/>
      </c>
      <c r="V33" s="16" t="str">
        <f t="array" ref="V33">IF(ISNUMBER($J33),INDEX('Cálculos'!$C$180:$F$180,$J33),"")</f>
        <v/>
      </c>
      <c r="W33" s="16" t="str">
        <f t="array" ref="W33">IF(ISNUMBER($J33),INDEX('Cálculos'!$C$182:$F$182,$J33),"")</f>
        <v/>
      </c>
      <c r="X33" s="16" t="str">
        <f t="shared" si="2"/>
        <v/>
      </c>
      <c r="Y33" s="16" t="str">
        <f t="shared" si="3"/>
        <v/>
      </c>
      <c r="Z33" s="16" t="str">
        <f t="shared" si="4"/>
        <v/>
      </c>
      <c r="AA33" s="16" t="str">
        <f t="shared" si="5"/>
        <v/>
      </c>
      <c r="AB33" s="16" t="str">
        <f t="shared" si="6"/>
        <v/>
      </c>
      <c r="AC33" s="21" t="str">
        <f t="array" ref="AC33">IF(ISNUMBER($J33),INDEX('Cálculos'!$C$332:$F$336,IFERROR(MATCH($T33,'Perfis de buff'!$A$4:$A$8,0),1),$J33),"")</f>
        <v/>
      </c>
      <c r="AD33" s="21" t="str">
        <f t="array" ref="AD33">IF(ISNUMBER($J33),INDEX('Cálculos'!$C$339:$F$343,IFERROR(MATCH($T33,'Perfis de buff'!$A$4:$A$8,0),1),$J33),"")</f>
        <v/>
      </c>
      <c r="AE33" s="21" t="str">
        <f t="array" ref="AE33">IF(ISNUMBER($J33),INDEX('Cálculos'!$C$337:$F$337,$J33),"")</f>
        <v/>
      </c>
      <c r="AF33" s="21" t="str">
        <f t="array" ref="AF33">IF(ISNUMBER($J33),INDEX('Cálculos'!$C$338:$F$338,$J33),"")</f>
        <v/>
      </c>
      <c r="AG33" s="16" t="str">
        <f t="array" ref="AG33">IF(ISNUMBER($J33),IF($S33="Derreter",INDEX('Cálculos'!$C$124:$F$124,$J33)*(1+2.78*$AD33/($AD33+1400)+INDEX('Cálculos'!$C$122:$F$122,$J33)),IF($S33="Vaporizar",INDEX('Cálculos'!$C$125:$F$125,$J33)*(1+2.78*$AD33/($AD33+1400)+INDEX('Cálculos'!$C$123:$F$123,$J33)),1)),"")</f>
        <v/>
      </c>
      <c r="AH33" s="21" t="str">
        <f t="shared" si="7"/>
        <v/>
      </c>
      <c r="AI33" s="21" t="str">
        <f t="array" ref="AI33">IF(ISNUMBER($J33),$AH33*(1+INDEX('Cálculos'!$C$331:$F$331,$J33)),"")</f>
        <v/>
      </c>
      <c r="AJ33" s="21" t="str">
        <f t="array" ref="AJ33">IF(ISNUMBER($J33),$AH33*(1+MIN(INDEX('Cálculos'!$C$330:$F$330,$J33),1)*INDEX('Cálculos'!$C$331:$F$331,$J33)),"")</f>
        <v/>
      </c>
      <c r="AK33" s="21" t="str">
        <f>IF(ISNUMBER($J33),'Fixo (cálculo)'!$AF33,"")</f>
        <v/>
      </c>
      <c r="AL33" s="26" t="str">
        <f t="shared" si="8"/>
        <v/>
      </c>
    </row>
    <row r="34" ht="15.75" customHeight="1">
      <c r="A34" s="7"/>
      <c r="B34" s="7"/>
      <c r="C34" s="7"/>
      <c r="D34" s="10" t="s">
        <v>105</v>
      </c>
      <c r="E34" s="11"/>
      <c r="F34" s="4" t="str">
        <f>IF($A34="","",IF(ISNUMBER(MATCH($A34,'Golpes extras'!$A$2:$A$101,0)),"Sim","Não"))</f>
        <v/>
      </c>
      <c r="G34" s="4" t="str">
        <f t="array" ref="G34">IF($A34="","",IF($F34="Sim",INDEX('Golpes extras'!$B$2:$B$101,MATCH($A34,'Golpes extras'!$A$2:$A$101,0))&amp;"",$A34))</f>
        <v/>
      </c>
      <c r="H34" s="4" t="str">
        <f>IF($G34="","",IFERROR(MATCH($G34,L_Golpes!$A$2:$A$6000,0),""))</f>
        <v/>
      </c>
      <c r="I34" s="4" t="str">
        <f t="array" ref="I34">IF($A34="","",IF(ISNUMBER($H34),INDEX(L_Golpes!$B$2:$B$6000,$H34),IF(IFERROR(INDEX('Golpes extras'!$C$2:$C$101,MATCH($A34,'Golpes extras'!$A$2:$A$101,0))&amp;"","")&lt;&gt;"",INDEX('Golpes extras'!$C$2:$C$101,MATCH($A34,'Golpes extras'!$A$2:$A$101,0))&amp;"","golpe?")))</f>
        <v/>
      </c>
      <c r="J34" s="4" t="str">
        <f>IF(OR($I34="",$I34="golpe?"),"",IFERROR(MATCH($I34,Time!$B$4:$E$4,0),"fora do time"))</f>
        <v/>
      </c>
      <c r="K34" s="4" t="str">
        <f t="array" ref="K34">IF(ISNUMBER($J34),IF(IFERROR(INDEX('Golpes extras'!$D$2:$D$101,MATCH($A34,'Golpes extras'!$A$2:$A$101,0))&amp;"","")&lt;&gt;"",INDEX('Golpes extras'!$D$2:$D$101,MATCH($A34,'Golpes extras'!$A$2:$A$101,0))&amp;"",IF(ISNUMBER($H34),INDEX(L_Golpes!$D$2:$D$6000,$H34),"Outro")),"")</f>
        <v/>
      </c>
      <c r="L34" s="4" t="str">
        <f t="array" ref="L34">IF(ISNUMBER($J34),IF(ISNUMBER($H34),INDEX(L_Golpes!$C$2:$C$6000,$H34),""),"")</f>
        <v/>
      </c>
      <c r="M34" s="4" t="str">
        <f t="array" ref="M34">IF(ISNUMBER($J34),IF($L34="Normal",INDEX('Cálculos'!$C$14:$F$14,$J34),IF($L34="Habilidade",INDEX('Cálculos'!$C$15:$F$15,$J34),IF($L34="Supremo",INDEX('Cálculos'!$C$16:$F$16,$J34),""))),"")</f>
        <v/>
      </c>
      <c r="N34" s="16" t="str">
        <f t="array" ref="N34">IF(ISNUMBER($J34),IF(ISNUMBER($H34),INDEX(L_Golpes!$F$2:$T$6000,$H34,MAX(1,MIN(15,$M34))),0)+IF($F34="Sim",N(INDEX('Golpes extras'!$E$2:$E$101,MATCH($A34,'Golpes extras'!$A$2:$A$101,0))),0),"")</f>
        <v/>
      </c>
      <c r="O34" s="17" t="str">
        <f t="array" ref="O34">IF(ISNUMBER($J34),IF(ISNUMBER($H34),INDEX(L_Golpes!$U$2:$AI$6000,$H34,MAX(1,MIN(15,$M34))),0)+IF($F34="Sim",N(INDEX('Golpes extras'!$F$2:$F$101,MATCH($A34,'Golpes extras'!$A$2:$A$101,0))),0),"")</f>
        <v/>
      </c>
      <c r="P34" s="16" t="str">
        <f t="array" ref="P34">IF(ISNUMBER($J34),IF(ISNUMBER($H34),INDEX(L_Golpes!$AJ$2:$AX$6000,$H34,MAX(1,MIN(15,$M34))),0)+IF($F34="Sim",N(INDEX('Golpes extras'!$G$2:$G$101,MATCH($A34,'Golpes extras'!$A$2:$A$101,0))),0),"")</f>
        <v/>
      </c>
      <c r="Q34" s="16" t="str">
        <f t="array" ref="Q34">IF(ISNUMBER($J34),IF(ISNUMBER($H34),INDEX(L_Golpes!$AY$2:$BM$6000,$H34,MAX(1,MIN(15,$M34))),0)+IF($F34="Sim",N(INDEX('Golpes extras'!$H$2:$H$101,MATCH($A34,'Golpes extras'!$A$2:$A$101,0))),0),"")</f>
        <v/>
      </c>
      <c r="R34" s="4" t="str">
        <f t="array" ref="R34">IF(ISNUMBER($J34),INDEX('Cálculos'!$C$19:$F$19,$J34),"")</f>
        <v/>
      </c>
      <c r="S34" s="4" t="str">
        <f t="shared" si="1"/>
        <v/>
      </c>
      <c r="T34" s="4" t="str">
        <f>IF(ISNUMBER($J34),IF(OR($D34="Não",$D34=FALSE),'Perfis de buff'!$A$8,IF(OR($D34="",$D34="Sim",$D34=TRUE),'Perfis de buff'!$A$4,$D34)),"")</f>
        <v/>
      </c>
      <c r="U34" s="22" t="str">
        <f t="array" ref="U34">IF(ISNUMBER($J34),INDEX('Cálculos'!$C$113:$F$113,$J34)+IF($K34="Normal",INDEX('Cálculos'!$C$114:$F$114,$J34),IF($K34="Carregado",INDEX('Cálculos'!$C$115:$F$115,$J34),IF($K34="Habilidade",INDEX('Cálculos'!$C$116:$F$116,$J34),IF($K34="Supremo",INDEX('Cálculos'!$C$117:$F$117,$J34),0))))+INDEX('Cálculos'!$C$143:$F$147,IFERROR(MATCH($T34,'Perfis de buff'!$A$4:$A$8,0),1),$J34)+IF($K34="Normal",INDEX('Cálculos'!$C$148:$F$152,IFERROR(MATCH($T34,'Perfis de buff'!$A$4:$A$8,0),1),$J34),IF($K34="Carregado",INDEX('Cálculos'!$C$153:$F$157,IFERROR(MATCH($T34,'Perfis de buff'!$A$4:$A$8,0),1),$J34),IF($K34="Habilidade",INDEX('Cálculos'!$C$158:$F$162,IFERROR(MATCH($T34,'Perfis de buff'!$A$4:$A$8,0),1),$J34),IF($K34="Supremo",INDEX('Cálculos'!$C$163:$F$167,IFERROR(MATCH($T34,'Perfis de buff'!$A$4:$A$8,0),1),$J34),0))))+N($E34),"")</f>
        <v/>
      </c>
      <c r="V34" s="16" t="str">
        <f t="array" ref="V34">IF(ISNUMBER($J34),INDEX('Cálculos'!$C$180:$F$180,$J34),"")</f>
        <v/>
      </c>
      <c r="W34" s="16" t="str">
        <f t="array" ref="W34">IF(ISNUMBER($J34),INDEX('Cálculos'!$C$182:$F$182,$J34),"")</f>
        <v/>
      </c>
      <c r="X34" s="16" t="str">
        <f t="shared" si="2"/>
        <v/>
      </c>
      <c r="Y34" s="16" t="str">
        <f t="shared" si="3"/>
        <v/>
      </c>
      <c r="Z34" s="16" t="str">
        <f t="shared" si="4"/>
        <v/>
      </c>
      <c r="AA34" s="16" t="str">
        <f t="shared" si="5"/>
        <v/>
      </c>
      <c r="AB34" s="16" t="str">
        <f t="shared" si="6"/>
        <v/>
      </c>
      <c r="AC34" s="21" t="str">
        <f t="array" ref="AC34">IF(ISNUMBER($J34),INDEX('Cálculos'!$C$332:$F$336,IFERROR(MATCH($T34,'Perfis de buff'!$A$4:$A$8,0),1),$J34),"")</f>
        <v/>
      </c>
      <c r="AD34" s="21" t="str">
        <f t="array" ref="AD34">IF(ISNUMBER($J34),INDEX('Cálculos'!$C$339:$F$343,IFERROR(MATCH($T34,'Perfis de buff'!$A$4:$A$8,0),1),$J34),"")</f>
        <v/>
      </c>
      <c r="AE34" s="21" t="str">
        <f t="array" ref="AE34">IF(ISNUMBER($J34),INDEX('Cálculos'!$C$337:$F$337,$J34),"")</f>
        <v/>
      </c>
      <c r="AF34" s="21" t="str">
        <f t="array" ref="AF34">IF(ISNUMBER($J34),INDEX('Cálculos'!$C$338:$F$338,$J34),"")</f>
        <v/>
      </c>
      <c r="AG34" s="16" t="str">
        <f t="array" ref="AG34">IF(ISNUMBER($J34),IF($S34="Derreter",INDEX('Cálculos'!$C$124:$F$124,$J34)*(1+2.78*$AD34/($AD34+1400)+INDEX('Cálculos'!$C$122:$F$122,$J34)),IF($S34="Vaporizar",INDEX('Cálculos'!$C$125:$F$125,$J34)*(1+2.78*$AD34/($AD34+1400)+INDEX('Cálculos'!$C$123:$F$123,$J34)),1)),"")</f>
        <v/>
      </c>
      <c r="AH34" s="21" t="str">
        <f t="shared" si="7"/>
        <v/>
      </c>
      <c r="AI34" s="21" t="str">
        <f t="array" ref="AI34">IF(ISNUMBER($J34),$AH34*(1+INDEX('Cálculos'!$C$331:$F$331,$J34)),"")</f>
        <v/>
      </c>
      <c r="AJ34" s="21" t="str">
        <f t="array" ref="AJ34">IF(ISNUMBER($J34),$AH34*(1+MIN(INDEX('Cálculos'!$C$330:$F$330,$J34),1)*INDEX('Cálculos'!$C$331:$F$331,$J34)),"")</f>
        <v/>
      </c>
      <c r="AK34" s="21" t="str">
        <f>IF(ISNUMBER($J34),'Fixo (cálculo)'!$AF34,"")</f>
        <v/>
      </c>
      <c r="AL34" s="26" t="str">
        <f t="shared" si="8"/>
        <v/>
      </c>
    </row>
    <row r="35" ht="15.75" customHeight="1">
      <c r="A35" s="7"/>
      <c r="B35" s="7"/>
      <c r="C35" s="7"/>
      <c r="D35" s="10" t="s">
        <v>105</v>
      </c>
      <c r="E35" s="11"/>
      <c r="F35" s="4" t="str">
        <f>IF($A35="","",IF(ISNUMBER(MATCH($A35,'Golpes extras'!$A$2:$A$101,0)),"Sim","Não"))</f>
        <v/>
      </c>
      <c r="G35" s="4" t="str">
        <f t="array" ref="G35">IF($A35="","",IF($F35="Sim",INDEX('Golpes extras'!$B$2:$B$101,MATCH($A35,'Golpes extras'!$A$2:$A$101,0))&amp;"",$A35))</f>
        <v/>
      </c>
      <c r="H35" s="4" t="str">
        <f>IF($G35="","",IFERROR(MATCH($G35,L_Golpes!$A$2:$A$6000,0),""))</f>
        <v/>
      </c>
      <c r="I35" s="4" t="str">
        <f t="array" ref="I35">IF($A35="","",IF(ISNUMBER($H35),INDEX(L_Golpes!$B$2:$B$6000,$H35),IF(IFERROR(INDEX('Golpes extras'!$C$2:$C$101,MATCH($A35,'Golpes extras'!$A$2:$A$101,0))&amp;"","")&lt;&gt;"",INDEX('Golpes extras'!$C$2:$C$101,MATCH($A35,'Golpes extras'!$A$2:$A$101,0))&amp;"","golpe?")))</f>
        <v/>
      </c>
      <c r="J35" s="4" t="str">
        <f>IF(OR($I35="",$I35="golpe?"),"",IFERROR(MATCH($I35,Time!$B$4:$E$4,0),"fora do time"))</f>
        <v/>
      </c>
      <c r="K35" s="4" t="str">
        <f t="array" ref="K35">IF(ISNUMBER($J35),IF(IFERROR(INDEX('Golpes extras'!$D$2:$D$101,MATCH($A35,'Golpes extras'!$A$2:$A$101,0))&amp;"","")&lt;&gt;"",INDEX('Golpes extras'!$D$2:$D$101,MATCH($A35,'Golpes extras'!$A$2:$A$101,0))&amp;"",IF(ISNUMBER($H35),INDEX(L_Golpes!$D$2:$D$6000,$H35),"Outro")),"")</f>
        <v/>
      </c>
      <c r="L35" s="4" t="str">
        <f t="array" ref="L35">IF(ISNUMBER($J35),IF(ISNUMBER($H35),INDEX(L_Golpes!$C$2:$C$6000,$H35),""),"")</f>
        <v/>
      </c>
      <c r="M35" s="4" t="str">
        <f t="array" ref="M35">IF(ISNUMBER($J35),IF($L35="Normal",INDEX('Cálculos'!$C$14:$F$14,$J35),IF($L35="Habilidade",INDEX('Cálculos'!$C$15:$F$15,$J35),IF($L35="Supremo",INDEX('Cálculos'!$C$16:$F$16,$J35),""))),"")</f>
        <v/>
      </c>
      <c r="N35" s="16" t="str">
        <f t="array" ref="N35">IF(ISNUMBER($J35),IF(ISNUMBER($H35),INDEX(L_Golpes!$F$2:$T$6000,$H35,MAX(1,MIN(15,$M35))),0)+IF($F35="Sim",N(INDEX('Golpes extras'!$E$2:$E$101,MATCH($A35,'Golpes extras'!$A$2:$A$101,0))),0),"")</f>
        <v/>
      </c>
      <c r="O35" s="17" t="str">
        <f t="array" ref="O35">IF(ISNUMBER($J35),IF(ISNUMBER($H35),INDEX(L_Golpes!$U$2:$AI$6000,$H35,MAX(1,MIN(15,$M35))),0)+IF($F35="Sim",N(INDEX('Golpes extras'!$F$2:$F$101,MATCH($A35,'Golpes extras'!$A$2:$A$101,0))),0),"")</f>
        <v/>
      </c>
      <c r="P35" s="16" t="str">
        <f t="array" ref="P35">IF(ISNUMBER($J35),IF(ISNUMBER($H35),INDEX(L_Golpes!$AJ$2:$AX$6000,$H35,MAX(1,MIN(15,$M35))),0)+IF($F35="Sim",N(INDEX('Golpes extras'!$G$2:$G$101,MATCH($A35,'Golpes extras'!$A$2:$A$101,0))),0),"")</f>
        <v/>
      </c>
      <c r="Q35" s="16" t="str">
        <f t="array" ref="Q35">IF(ISNUMBER($J35),IF(ISNUMBER($H35),INDEX(L_Golpes!$AY$2:$BM$6000,$H35,MAX(1,MIN(15,$M35))),0)+IF($F35="Sim",N(INDEX('Golpes extras'!$H$2:$H$101,MATCH($A35,'Golpes extras'!$A$2:$A$101,0))),0),"")</f>
        <v/>
      </c>
      <c r="R35" s="4" t="str">
        <f t="array" ref="R35">IF(ISNUMBER($J35),INDEX('Cálculos'!$C$19:$F$19,$J35),"")</f>
        <v/>
      </c>
      <c r="S35" s="4" t="str">
        <f t="shared" si="1"/>
        <v/>
      </c>
      <c r="T35" s="4" t="str">
        <f>IF(ISNUMBER($J35),IF(OR($D35="Não",$D35=FALSE),'Perfis de buff'!$A$8,IF(OR($D35="",$D35="Sim",$D35=TRUE),'Perfis de buff'!$A$4,$D35)),"")</f>
        <v/>
      </c>
      <c r="U35" s="22" t="str">
        <f t="array" ref="U35">IF(ISNUMBER($J35),INDEX('Cálculos'!$C$113:$F$113,$J35)+IF($K35="Normal",INDEX('Cálculos'!$C$114:$F$114,$J35),IF($K35="Carregado",INDEX('Cálculos'!$C$115:$F$115,$J35),IF($K35="Habilidade",INDEX('Cálculos'!$C$116:$F$116,$J35),IF($K35="Supremo",INDEX('Cálculos'!$C$117:$F$117,$J35),0))))+INDEX('Cálculos'!$C$143:$F$147,IFERROR(MATCH($T35,'Perfis de buff'!$A$4:$A$8,0),1),$J35)+IF($K35="Normal",INDEX('Cálculos'!$C$148:$F$152,IFERROR(MATCH($T35,'Perfis de buff'!$A$4:$A$8,0),1),$J35),IF($K35="Carregado",INDEX('Cálculos'!$C$153:$F$157,IFERROR(MATCH($T35,'Perfis de buff'!$A$4:$A$8,0),1),$J35),IF($K35="Habilidade",INDEX('Cálculos'!$C$158:$F$162,IFERROR(MATCH($T35,'Perfis de buff'!$A$4:$A$8,0),1),$J35),IF($K35="Supremo",INDEX('Cálculos'!$C$163:$F$167,IFERROR(MATCH($T35,'Perfis de buff'!$A$4:$A$8,0),1),$J35),0))))+N($E35),"")</f>
        <v/>
      </c>
      <c r="V35" s="16" t="str">
        <f t="array" ref="V35">IF(ISNUMBER($J35),INDEX('Cálculos'!$C$180:$F$180,$J35),"")</f>
        <v/>
      </c>
      <c r="W35" s="16" t="str">
        <f t="array" ref="W35">IF(ISNUMBER($J35),INDEX('Cálculos'!$C$182:$F$182,$J35),"")</f>
        <v/>
      </c>
      <c r="X35" s="16" t="str">
        <f t="shared" si="2"/>
        <v/>
      </c>
      <c r="Y35" s="16" t="str">
        <f t="shared" si="3"/>
        <v/>
      </c>
      <c r="Z35" s="16" t="str">
        <f t="shared" si="4"/>
        <v/>
      </c>
      <c r="AA35" s="16" t="str">
        <f t="shared" si="5"/>
        <v/>
      </c>
      <c r="AB35" s="16" t="str">
        <f t="shared" si="6"/>
        <v/>
      </c>
      <c r="AC35" s="21" t="str">
        <f t="array" ref="AC35">IF(ISNUMBER($J35),INDEX('Cálculos'!$C$332:$F$336,IFERROR(MATCH($T35,'Perfis de buff'!$A$4:$A$8,0),1),$J35),"")</f>
        <v/>
      </c>
      <c r="AD35" s="21" t="str">
        <f t="array" ref="AD35">IF(ISNUMBER($J35),INDEX('Cálculos'!$C$339:$F$343,IFERROR(MATCH($T35,'Perfis de buff'!$A$4:$A$8,0),1),$J35),"")</f>
        <v/>
      </c>
      <c r="AE35" s="21" t="str">
        <f t="array" ref="AE35">IF(ISNUMBER($J35),INDEX('Cálculos'!$C$337:$F$337,$J35),"")</f>
        <v/>
      </c>
      <c r="AF35" s="21" t="str">
        <f t="array" ref="AF35">IF(ISNUMBER($J35),INDEX('Cálculos'!$C$338:$F$338,$J35),"")</f>
        <v/>
      </c>
      <c r="AG35" s="16" t="str">
        <f t="array" ref="AG35">IF(ISNUMBER($J35),IF($S35="Derreter",INDEX('Cálculos'!$C$124:$F$124,$J35)*(1+2.78*$AD35/($AD35+1400)+INDEX('Cálculos'!$C$122:$F$122,$J35)),IF($S35="Vaporizar",INDEX('Cálculos'!$C$125:$F$125,$J35)*(1+2.78*$AD35/($AD35+1400)+INDEX('Cálculos'!$C$123:$F$123,$J35)),1)),"")</f>
        <v/>
      </c>
      <c r="AH35" s="21" t="str">
        <f t="shared" si="7"/>
        <v/>
      </c>
      <c r="AI35" s="21" t="str">
        <f t="array" ref="AI35">IF(ISNUMBER($J35),$AH35*(1+INDEX('Cálculos'!$C$331:$F$331,$J35)),"")</f>
        <v/>
      </c>
      <c r="AJ35" s="21" t="str">
        <f t="array" ref="AJ35">IF(ISNUMBER($J35),$AH35*(1+MIN(INDEX('Cálculos'!$C$330:$F$330,$J35),1)*INDEX('Cálculos'!$C$331:$F$331,$J35)),"")</f>
        <v/>
      </c>
      <c r="AK35" s="21" t="str">
        <f>IF(ISNUMBER($J35),'Fixo (cálculo)'!$AF35,"")</f>
        <v/>
      </c>
      <c r="AL35" s="26" t="str">
        <f t="shared" si="8"/>
        <v/>
      </c>
    </row>
    <row r="36" ht="15.75" customHeight="1">
      <c r="A36" s="7"/>
      <c r="B36" s="7"/>
      <c r="C36" s="7"/>
      <c r="D36" s="10" t="s">
        <v>105</v>
      </c>
      <c r="E36" s="11"/>
      <c r="F36" s="4" t="str">
        <f>IF($A36="","",IF(ISNUMBER(MATCH($A36,'Golpes extras'!$A$2:$A$101,0)),"Sim","Não"))</f>
        <v/>
      </c>
      <c r="G36" s="4" t="str">
        <f t="array" ref="G36">IF($A36="","",IF($F36="Sim",INDEX('Golpes extras'!$B$2:$B$101,MATCH($A36,'Golpes extras'!$A$2:$A$101,0))&amp;"",$A36))</f>
        <v/>
      </c>
      <c r="H36" s="4" t="str">
        <f>IF($G36="","",IFERROR(MATCH($G36,L_Golpes!$A$2:$A$6000,0),""))</f>
        <v/>
      </c>
      <c r="I36" s="4" t="str">
        <f t="array" ref="I36">IF($A36="","",IF(ISNUMBER($H36),INDEX(L_Golpes!$B$2:$B$6000,$H36),IF(IFERROR(INDEX('Golpes extras'!$C$2:$C$101,MATCH($A36,'Golpes extras'!$A$2:$A$101,0))&amp;"","")&lt;&gt;"",INDEX('Golpes extras'!$C$2:$C$101,MATCH($A36,'Golpes extras'!$A$2:$A$101,0))&amp;"","golpe?")))</f>
        <v/>
      </c>
      <c r="J36" s="4" t="str">
        <f>IF(OR($I36="",$I36="golpe?"),"",IFERROR(MATCH($I36,Time!$B$4:$E$4,0),"fora do time"))</f>
        <v/>
      </c>
      <c r="K36" s="4" t="str">
        <f t="array" ref="K36">IF(ISNUMBER($J36),IF(IFERROR(INDEX('Golpes extras'!$D$2:$D$101,MATCH($A36,'Golpes extras'!$A$2:$A$101,0))&amp;"","")&lt;&gt;"",INDEX('Golpes extras'!$D$2:$D$101,MATCH($A36,'Golpes extras'!$A$2:$A$101,0))&amp;"",IF(ISNUMBER($H36),INDEX(L_Golpes!$D$2:$D$6000,$H36),"Outro")),"")</f>
        <v/>
      </c>
      <c r="L36" s="4" t="str">
        <f t="array" ref="L36">IF(ISNUMBER($J36),IF(ISNUMBER($H36),INDEX(L_Golpes!$C$2:$C$6000,$H36),""),"")</f>
        <v/>
      </c>
      <c r="M36" s="4" t="str">
        <f t="array" ref="M36">IF(ISNUMBER($J36),IF($L36="Normal",INDEX('Cálculos'!$C$14:$F$14,$J36),IF($L36="Habilidade",INDEX('Cálculos'!$C$15:$F$15,$J36),IF($L36="Supremo",INDEX('Cálculos'!$C$16:$F$16,$J36),""))),"")</f>
        <v/>
      </c>
      <c r="N36" s="16" t="str">
        <f t="array" ref="N36">IF(ISNUMBER($J36),IF(ISNUMBER($H36),INDEX(L_Golpes!$F$2:$T$6000,$H36,MAX(1,MIN(15,$M36))),0)+IF($F36="Sim",N(INDEX('Golpes extras'!$E$2:$E$101,MATCH($A36,'Golpes extras'!$A$2:$A$101,0))),0),"")</f>
        <v/>
      </c>
      <c r="O36" s="17" t="str">
        <f t="array" ref="O36">IF(ISNUMBER($J36),IF(ISNUMBER($H36),INDEX(L_Golpes!$U$2:$AI$6000,$H36,MAX(1,MIN(15,$M36))),0)+IF($F36="Sim",N(INDEX('Golpes extras'!$F$2:$F$101,MATCH($A36,'Golpes extras'!$A$2:$A$101,0))),0),"")</f>
        <v/>
      </c>
      <c r="P36" s="16" t="str">
        <f t="array" ref="P36">IF(ISNUMBER($J36),IF(ISNUMBER($H36),INDEX(L_Golpes!$AJ$2:$AX$6000,$H36,MAX(1,MIN(15,$M36))),0)+IF($F36="Sim",N(INDEX('Golpes extras'!$G$2:$G$101,MATCH($A36,'Golpes extras'!$A$2:$A$101,0))),0),"")</f>
        <v/>
      </c>
      <c r="Q36" s="16" t="str">
        <f t="array" ref="Q36">IF(ISNUMBER($J36),IF(ISNUMBER($H36),INDEX(L_Golpes!$AY$2:$BM$6000,$H36,MAX(1,MIN(15,$M36))),0)+IF($F36="Sim",N(INDEX('Golpes extras'!$H$2:$H$101,MATCH($A36,'Golpes extras'!$A$2:$A$101,0))),0),"")</f>
        <v/>
      </c>
      <c r="R36" s="4" t="str">
        <f t="array" ref="R36">IF(ISNUMBER($J36),INDEX('Cálculos'!$C$19:$F$19,$J36),"")</f>
        <v/>
      </c>
      <c r="S36" s="4" t="str">
        <f t="shared" si="1"/>
        <v/>
      </c>
      <c r="T36" s="4" t="str">
        <f>IF(ISNUMBER($J36),IF(OR($D36="Não",$D36=FALSE),'Perfis de buff'!$A$8,IF(OR($D36="",$D36="Sim",$D36=TRUE),'Perfis de buff'!$A$4,$D36)),"")</f>
        <v/>
      </c>
      <c r="U36" s="22" t="str">
        <f t="array" ref="U36">IF(ISNUMBER($J36),INDEX('Cálculos'!$C$113:$F$113,$J36)+IF($K36="Normal",INDEX('Cálculos'!$C$114:$F$114,$J36),IF($K36="Carregado",INDEX('Cálculos'!$C$115:$F$115,$J36),IF($K36="Habilidade",INDEX('Cálculos'!$C$116:$F$116,$J36),IF($K36="Supremo",INDEX('Cálculos'!$C$117:$F$117,$J36),0))))+INDEX('Cálculos'!$C$143:$F$147,IFERROR(MATCH($T36,'Perfis de buff'!$A$4:$A$8,0),1),$J36)+IF($K36="Normal",INDEX('Cálculos'!$C$148:$F$152,IFERROR(MATCH($T36,'Perfis de buff'!$A$4:$A$8,0),1),$J36),IF($K36="Carregado",INDEX('Cálculos'!$C$153:$F$157,IFERROR(MATCH($T36,'Perfis de buff'!$A$4:$A$8,0),1),$J36),IF($K36="Habilidade",INDEX('Cálculos'!$C$158:$F$162,IFERROR(MATCH($T36,'Perfis de buff'!$A$4:$A$8,0),1),$J36),IF($K36="Supremo",INDEX('Cálculos'!$C$163:$F$167,IFERROR(MATCH($T36,'Perfis de buff'!$A$4:$A$8,0),1),$J36),0))))+N($E36),"")</f>
        <v/>
      </c>
      <c r="V36" s="16" t="str">
        <f t="array" ref="V36">IF(ISNUMBER($J36),INDEX('Cálculos'!$C$180:$F$180,$J36),"")</f>
        <v/>
      </c>
      <c r="W36" s="16" t="str">
        <f t="array" ref="W36">IF(ISNUMBER($J36),INDEX('Cálculos'!$C$182:$F$182,$J36),"")</f>
        <v/>
      </c>
      <c r="X36" s="16" t="str">
        <f t="shared" si="2"/>
        <v/>
      </c>
      <c r="Y36" s="16" t="str">
        <f t="shared" si="3"/>
        <v/>
      </c>
      <c r="Z36" s="16" t="str">
        <f t="shared" si="4"/>
        <v/>
      </c>
      <c r="AA36" s="16" t="str">
        <f t="shared" si="5"/>
        <v/>
      </c>
      <c r="AB36" s="16" t="str">
        <f t="shared" si="6"/>
        <v/>
      </c>
      <c r="AC36" s="21" t="str">
        <f t="array" ref="AC36">IF(ISNUMBER($J36),INDEX('Cálculos'!$C$332:$F$336,IFERROR(MATCH($T36,'Perfis de buff'!$A$4:$A$8,0),1),$J36),"")</f>
        <v/>
      </c>
      <c r="AD36" s="21" t="str">
        <f t="array" ref="AD36">IF(ISNUMBER($J36),INDEX('Cálculos'!$C$339:$F$343,IFERROR(MATCH($T36,'Perfis de buff'!$A$4:$A$8,0),1),$J36),"")</f>
        <v/>
      </c>
      <c r="AE36" s="21" t="str">
        <f t="array" ref="AE36">IF(ISNUMBER($J36),INDEX('Cálculos'!$C$337:$F$337,$J36),"")</f>
        <v/>
      </c>
      <c r="AF36" s="21" t="str">
        <f t="array" ref="AF36">IF(ISNUMBER($J36),INDEX('Cálculos'!$C$338:$F$338,$J36),"")</f>
        <v/>
      </c>
      <c r="AG36" s="16" t="str">
        <f t="array" ref="AG36">IF(ISNUMBER($J36),IF($S36="Derreter",INDEX('Cálculos'!$C$124:$F$124,$J36)*(1+2.78*$AD36/($AD36+1400)+INDEX('Cálculos'!$C$122:$F$122,$J36)),IF($S36="Vaporizar",INDEX('Cálculos'!$C$125:$F$125,$J36)*(1+2.78*$AD36/($AD36+1400)+INDEX('Cálculos'!$C$123:$F$123,$J36)),1)),"")</f>
        <v/>
      </c>
      <c r="AH36" s="21" t="str">
        <f t="shared" si="7"/>
        <v/>
      </c>
      <c r="AI36" s="21" t="str">
        <f t="array" ref="AI36">IF(ISNUMBER($J36),$AH36*(1+INDEX('Cálculos'!$C$331:$F$331,$J36)),"")</f>
        <v/>
      </c>
      <c r="AJ36" s="21" t="str">
        <f t="array" ref="AJ36">IF(ISNUMBER($J36),$AH36*(1+MIN(INDEX('Cálculos'!$C$330:$F$330,$J36),1)*INDEX('Cálculos'!$C$331:$F$331,$J36)),"")</f>
        <v/>
      </c>
      <c r="AK36" s="21" t="str">
        <f>IF(ISNUMBER($J36),'Fixo (cálculo)'!$AF36,"")</f>
        <v/>
      </c>
      <c r="AL36" s="26" t="str">
        <f t="shared" si="8"/>
        <v/>
      </c>
    </row>
    <row r="37" ht="15.75" customHeight="1">
      <c r="A37" s="7"/>
      <c r="B37" s="7"/>
      <c r="C37" s="7"/>
      <c r="D37" s="10" t="s">
        <v>105</v>
      </c>
      <c r="E37" s="11"/>
      <c r="F37" s="4" t="str">
        <f>IF($A37="","",IF(ISNUMBER(MATCH($A37,'Golpes extras'!$A$2:$A$101,0)),"Sim","Não"))</f>
        <v/>
      </c>
      <c r="G37" s="4" t="str">
        <f t="array" ref="G37">IF($A37="","",IF($F37="Sim",INDEX('Golpes extras'!$B$2:$B$101,MATCH($A37,'Golpes extras'!$A$2:$A$101,0))&amp;"",$A37))</f>
        <v/>
      </c>
      <c r="H37" s="4" t="str">
        <f>IF($G37="","",IFERROR(MATCH($G37,L_Golpes!$A$2:$A$6000,0),""))</f>
        <v/>
      </c>
      <c r="I37" s="4" t="str">
        <f t="array" ref="I37">IF($A37="","",IF(ISNUMBER($H37),INDEX(L_Golpes!$B$2:$B$6000,$H37),IF(IFERROR(INDEX('Golpes extras'!$C$2:$C$101,MATCH($A37,'Golpes extras'!$A$2:$A$101,0))&amp;"","")&lt;&gt;"",INDEX('Golpes extras'!$C$2:$C$101,MATCH($A37,'Golpes extras'!$A$2:$A$101,0))&amp;"","golpe?")))</f>
        <v/>
      </c>
      <c r="J37" s="4" t="str">
        <f>IF(OR($I37="",$I37="golpe?"),"",IFERROR(MATCH($I37,Time!$B$4:$E$4,0),"fora do time"))</f>
        <v/>
      </c>
      <c r="K37" s="4" t="str">
        <f t="array" ref="K37">IF(ISNUMBER($J37),IF(IFERROR(INDEX('Golpes extras'!$D$2:$D$101,MATCH($A37,'Golpes extras'!$A$2:$A$101,0))&amp;"","")&lt;&gt;"",INDEX('Golpes extras'!$D$2:$D$101,MATCH($A37,'Golpes extras'!$A$2:$A$101,0))&amp;"",IF(ISNUMBER($H37),INDEX(L_Golpes!$D$2:$D$6000,$H37),"Outro")),"")</f>
        <v/>
      </c>
      <c r="L37" s="4" t="str">
        <f t="array" ref="L37">IF(ISNUMBER($J37),IF(ISNUMBER($H37),INDEX(L_Golpes!$C$2:$C$6000,$H37),""),"")</f>
        <v/>
      </c>
      <c r="M37" s="4" t="str">
        <f t="array" ref="M37">IF(ISNUMBER($J37),IF($L37="Normal",INDEX('Cálculos'!$C$14:$F$14,$J37),IF($L37="Habilidade",INDEX('Cálculos'!$C$15:$F$15,$J37),IF($L37="Supremo",INDEX('Cálculos'!$C$16:$F$16,$J37),""))),"")</f>
        <v/>
      </c>
      <c r="N37" s="16" t="str">
        <f t="array" ref="N37">IF(ISNUMBER($J37),IF(ISNUMBER($H37),INDEX(L_Golpes!$F$2:$T$6000,$H37,MAX(1,MIN(15,$M37))),0)+IF($F37="Sim",N(INDEX('Golpes extras'!$E$2:$E$101,MATCH($A37,'Golpes extras'!$A$2:$A$101,0))),0),"")</f>
        <v/>
      </c>
      <c r="O37" s="17" t="str">
        <f t="array" ref="O37">IF(ISNUMBER($J37),IF(ISNUMBER($H37),INDEX(L_Golpes!$U$2:$AI$6000,$H37,MAX(1,MIN(15,$M37))),0)+IF($F37="Sim",N(INDEX('Golpes extras'!$F$2:$F$101,MATCH($A37,'Golpes extras'!$A$2:$A$101,0))),0),"")</f>
        <v/>
      </c>
      <c r="P37" s="16" t="str">
        <f t="array" ref="P37">IF(ISNUMBER($J37),IF(ISNUMBER($H37),INDEX(L_Golpes!$AJ$2:$AX$6000,$H37,MAX(1,MIN(15,$M37))),0)+IF($F37="Sim",N(INDEX('Golpes extras'!$G$2:$G$101,MATCH($A37,'Golpes extras'!$A$2:$A$101,0))),0),"")</f>
        <v/>
      </c>
      <c r="Q37" s="16" t="str">
        <f t="array" ref="Q37">IF(ISNUMBER($J37),IF(ISNUMBER($H37),INDEX(L_Golpes!$AY$2:$BM$6000,$H37,MAX(1,MIN(15,$M37))),0)+IF($F37="Sim",N(INDEX('Golpes extras'!$H$2:$H$101,MATCH($A37,'Golpes extras'!$A$2:$A$101,0))),0),"")</f>
        <v/>
      </c>
      <c r="R37" s="4" t="str">
        <f t="array" ref="R37">IF(ISNUMBER($J37),INDEX('Cálculos'!$C$19:$F$19,$J37),"")</f>
        <v/>
      </c>
      <c r="S37" s="4" t="str">
        <f t="shared" si="1"/>
        <v/>
      </c>
      <c r="T37" s="4" t="str">
        <f>IF(ISNUMBER($J37),IF(OR($D37="Não",$D37=FALSE),'Perfis de buff'!$A$8,IF(OR($D37="",$D37="Sim",$D37=TRUE),'Perfis de buff'!$A$4,$D37)),"")</f>
        <v/>
      </c>
      <c r="U37" s="22" t="str">
        <f t="array" ref="U37">IF(ISNUMBER($J37),INDEX('Cálculos'!$C$113:$F$113,$J37)+IF($K37="Normal",INDEX('Cálculos'!$C$114:$F$114,$J37),IF($K37="Carregado",INDEX('Cálculos'!$C$115:$F$115,$J37),IF($K37="Habilidade",INDEX('Cálculos'!$C$116:$F$116,$J37),IF($K37="Supremo",INDEX('Cálculos'!$C$117:$F$117,$J37),0))))+INDEX('Cálculos'!$C$143:$F$147,IFERROR(MATCH($T37,'Perfis de buff'!$A$4:$A$8,0),1),$J37)+IF($K37="Normal",INDEX('Cálculos'!$C$148:$F$152,IFERROR(MATCH($T37,'Perfis de buff'!$A$4:$A$8,0),1),$J37),IF($K37="Carregado",INDEX('Cálculos'!$C$153:$F$157,IFERROR(MATCH($T37,'Perfis de buff'!$A$4:$A$8,0),1),$J37),IF($K37="Habilidade",INDEX('Cálculos'!$C$158:$F$162,IFERROR(MATCH($T37,'Perfis de buff'!$A$4:$A$8,0),1),$J37),IF($K37="Supremo",INDEX('Cálculos'!$C$163:$F$167,IFERROR(MATCH($T37,'Perfis de buff'!$A$4:$A$8,0),1),$J37),0))))+N($E37),"")</f>
        <v/>
      </c>
      <c r="V37" s="16" t="str">
        <f t="array" ref="V37">IF(ISNUMBER($J37),INDEX('Cálculos'!$C$180:$F$180,$J37),"")</f>
        <v/>
      </c>
      <c r="W37" s="16" t="str">
        <f t="array" ref="W37">IF(ISNUMBER($J37),INDEX('Cálculos'!$C$182:$F$182,$J37),"")</f>
        <v/>
      </c>
      <c r="X37" s="16" t="str">
        <f t="shared" si="2"/>
        <v/>
      </c>
      <c r="Y37" s="16" t="str">
        <f t="shared" si="3"/>
        <v/>
      </c>
      <c r="Z37" s="16" t="str">
        <f t="shared" si="4"/>
        <v/>
      </c>
      <c r="AA37" s="16" t="str">
        <f t="shared" si="5"/>
        <v/>
      </c>
      <c r="AB37" s="16" t="str">
        <f t="shared" si="6"/>
        <v/>
      </c>
      <c r="AC37" s="21" t="str">
        <f t="array" ref="AC37">IF(ISNUMBER($J37),INDEX('Cálculos'!$C$332:$F$336,IFERROR(MATCH($T37,'Perfis de buff'!$A$4:$A$8,0),1),$J37),"")</f>
        <v/>
      </c>
      <c r="AD37" s="21" t="str">
        <f t="array" ref="AD37">IF(ISNUMBER($J37),INDEX('Cálculos'!$C$339:$F$343,IFERROR(MATCH($T37,'Perfis de buff'!$A$4:$A$8,0),1),$J37),"")</f>
        <v/>
      </c>
      <c r="AE37" s="21" t="str">
        <f t="array" ref="AE37">IF(ISNUMBER($J37),INDEX('Cálculos'!$C$337:$F$337,$J37),"")</f>
        <v/>
      </c>
      <c r="AF37" s="21" t="str">
        <f t="array" ref="AF37">IF(ISNUMBER($J37),INDEX('Cálculos'!$C$338:$F$338,$J37),"")</f>
        <v/>
      </c>
      <c r="AG37" s="16" t="str">
        <f t="array" ref="AG37">IF(ISNUMBER($J37),IF($S37="Derreter",INDEX('Cálculos'!$C$124:$F$124,$J37)*(1+2.78*$AD37/($AD37+1400)+INDEX('Cálculos'!$C$122:$F$122,$J37)),IF($S37="Vaporizar",INDEX('Cálculos'!$C$125:$F$125,$J37)*(1+2.78*$AD37/($AD37+1400)+INDEX('Cálculos'!$C$123:$F$123,$J37)),1)),"")</f>
        <v/>
      </c>
      <c r="AH37" s="21" t="str">
        <f t="shared" si="7"/>
        <v/>
      </c>
      <c r="AI37" s="21" t="str">
        <f t="array" ref="AI37">IF(ISNUMBER($J37),$AH37*(1+INDEX('Cálculos'!$C$331:$F$331,$J37)),"")</f>
        <v/>
      </c>
      <c r="AJ37" s="21" t="str">
        <f t="array" ref="AJ37">IF(ISNUMBER($J37),$AH37*(1+MIN(INDEX('Cálculos'!$C$330:$F$330,$J37),1)*INDEX('Cálculos'!$C$331:$F$331,$J37)),"")</f>
        <v/>
      </c>
      <c r="AK37" s="21" t="str">
        <f>IF(ISNUMBER($J37),'Fixo (cálculo)'!$AF37,"")</f>
        <v/>
      </c>
      <c r="AL37" s="26" t="str">
        <f t="shared" si="8"/>
        <v/>
      </c>
    </row>
    <row r="38" ht="15.75" customHeight="1">
      <c r="A38" s="7"/>
      <c r="B38" s="7"/>
      <c r="C38" s="7"/>
      <c r="D38" s="10" t="s">
        <v>105</v>
      </c>
      <c r="E38" s="11"/>
      <c r="F38" s="4" t="str">
        <f>IF($A38="","",IF(ISNUMBER(MATCH($A38,'Golpes extras'!$A$2:$A$101,0)),"Sim","Não"))</f>
        <v/>
      </c>
      <c r="G38" s="4" t="str">
        <f t="array" ref="G38">IF($A38="","",IF($F38="Sim",INDEX('Golpes extras'!$B$2:$B$101,MATCH($A38,'Golpes extras'!$A$2:$A$101,0))&amp;"",$A38))</f>
        <v/>
      </c>
      <c r="H38" s="4" t="str">
        <f>IF($G38="","",IFERROR(MATCH($G38,L_Golpes!$A$2:$A$6000,0),""))</f>
        <v/>
      </c>
      <c r="I38" s="4" t="str">
        <f t="array" ref="I38">IF($A38="","",IF(ISNUMBER($H38),INDEX(L_Golpes!$B$2:$B$6000,$H38),IF(IFERROR(INDEX('Golpes extras'!$C$2:$C$101,MATCH($A38,'Golpes extras'!$A$2:$A$101,0))&amp;"","")&lt;&gt;"",INDEX('Golpes extras'!$C$2:$C$101,MATCH($A38,'Golpes extras'!$A$2:$A$101,0))&amp;"","golpe?")))</f>
        <v/>
      </c>
      <c r="J38" s="4" t="str">
        <f>IF(OR($I38="",$I38="golpe?"),"",IFERROR(MATCH($I38,Time!$B$4:$E$4,0),"fora do time"))</f>
        <v/>
      </c>
      <c r="K38" s="4" t="str">
        <f t="array" ref="K38">IF(ISNUMBER($J38),IF(IFERROR(INDEX('Golpes extras'!$D$2:$D$101,MATCH($A38,'Golpes extras'!$A$2:$A$101,0))&amp;"","")&lt;&gt;"",INDEX('Golpes extras'!$D$2:$D$101,MATCH($A38,'Golpes extras'!$A$2:$A$101,0))&amp;"",IF(ISNUMBER($H38),INDEX(L_Golpes!$D$2:$D$6000,$H38),"Outro")),"")</f>
        <v/>
      </c>
      <c r="L38" s="4" t="str">
        <f t="array" ref="L38">IF(ISNUMBER($J38),IF(ISNUMBER($H38),INDEX(L_Golpes!$C$2:$C$6000,$H38),""),"")</f>
        <v/>
      </c>
      <c r="M38" s="4" t="str">
        <f t="array" ref="M38">IF(ISNUMBER($J38),IF($L38="Normal",INDEX('Cálculos'!$C$14:$F$14,$J38),IF($L38="Habilidade",INDEX('Cálculos'!$C$15:$F$15,$J38),IF($L38="Supremo",INDEX('Cálculos'!$C$16:$F$16,$J38),""))),"")</f>
        <v/>
      </c>
      <c r="N38" s="16" t="str">
        <f t="array" ref="N38">IF(ISNUMBER($J38),IF(ISNUMBER($H38),INDEX(L_Golpes!$F$2:$T$6000,$H38,MAX(1,MIN(15,$M38))),0)+IF($F38="Sim",N(INDEX('Golpes extras'!$E$2:$E$101,MATCH($A38,'Golpes extras'!$A$2:$A$101,0))),0),"")</f>
        <v/>
      </c>
      <c r="O38" s="17" t="str">
        <f t="array" ref="O38">IF(ISNUMBER($J38),IF(ISNUMBER($H38),INDEX(L_Golpes!$U$2:$AI$6000,$H38,MAX(1,MIN(15,$M38))),0)+IF($F38="Sim",N(INDEX('Golpes extras'!$F$2:$F$101,MATCH($A38,'Golpes extras'!$A$2:$A$101,0))),0),"")</f>
        <v/>
      </c>
      <c r="P38" s="16" t="str">
        <f t="array" ref="P38">IF(ISNUMBER($J38),IF(ISNUMBER($H38),INDEX(L_Golpes!$AJ$2:$AX$6000,$H38,MAX(1,MIN(15,$M38))),0)+IF($F38="Sim",N(INDEX('Golpes extras'!$G$2:$G$101,MATCH($A38,'Golpes extras'!$A$2:$A$101,0))),0),"")</f>
        <v/>
      </c>
      <c r="Q38" s="16" t="str">
        <f t="array" ref="Q38">IF(ISNUMBER($J38),IF(ISNUMBER($H38),INDEX(L_Golpes!$AY$2:$BM$6000,$H38,MAX(1,MIN(15,$M38))),0)+IF($F38="Sim",N(INDEX('Golpes extras'!$H$2:$H$101,MATCH($A38,'Golpes extras'!$A$2:$A$101,0))),0),"")</f>
        <v/>
      </c>
      <c r="R38" s="4" t="str">
        <f t="array" ref="R38">IF(ISNUMBER($J38),INDEX('Cálculos'!$C$19:$F$19,$J38),"")</f>
        <v/>
      </c>
      <c r="S38" s="4" t="str">
        <f t="shared" si="1"/>
        <v/>
      </c>
      <c r="T38" s="4" t="str">
        <f>IF(ISNUMBER($J38),IF(OR($D38="Não",$D38=FALSE),'Perfis de buff'!$A$8,IF(OR($D38="",$D38="Sim",$D38=TRUE),'Perfis de buff'!$A$4,$D38)),"")</f>
        <v/>
      </c>
      <c r="U38" s="22" t="str">
        <f t="array" ref="U38">IF(ISNUMBER($J38),INDEX('Cálculos'!$C$113:$F$113,$J38)+IF($K38="Normal",INDEX('Cálculos'!$C$114:$F$114,$J38),IF($K38="Carregado",INDEX('Cálculos'!$C$115:$F$115,$J38),IF($K38="Habilidade",INDEX('Cálculos'!$C$116:$F$116,$J38),IF($K38="Supremo",INDEX('Cálculos'!$C$117:$F$117,$J38),0))))+INDEX('Cálculos'!$C$143:$F$147,IFERROR(MATCH($T38,'Perfis de buff'!$A$4:$A$8,0),1),$J38)+IF($K38="Normal",INDEX('Cálculos'!$C$148:$F$152,IFERROR(MATCH($T38,'Perfis de buff'!$A$4:$A$8,0),1),$J38),IF($K38="Carregado",INDEX('Cálculos'!$C$153:$F$157,IFERROR(MATCH($T38,'Perfis de buff'!$A$4:$A$8,0),1),$J38),IF($K38="Habilidade",INDEX('Cálculos'!$C$158:$F$162,IFERROR(MATCH($T38,'Perfis de buff'!$A$4:$A$8,0),1),$J38),IF($K38="Supremo",INDEX('Cálculos'!$C$163:$F$167,IFERROR(MATCH($T38,'Perfis de buff'!$A$4:$A$8,0),1),$J38),0))))+N($E38),"")</f>
        <v/>
      </c>
      <c r="V38" s="16" t="str">
        <f t="array" ref="V38">IF(ISNUMBER($J38),INDEX('Cálculos'!$C$180:$F$180,$J38),"")</f>
        <v/>
      </c>
      <c r="W38" s="16" t="str">
        <f t="array" ref="W38">IF(ISNUMBER($J38),INDEX('Cálculos'!$C$182:$F$182,$J38),"")</f>
        <v/>
      </c>
      <c r="X38" s="16" t="str">
        <f t="shared" si="2"/>
        <v/>
      </c>
      <c r="Y38" s="16" t="str">
        <f t="shared" si="3"/>
        <v/>
      </c>
      <c r="Z38" s="16" t="str">
        <f t="shared" si="4"/>
        <v/>
      </c>
      <c r="AA38" s="16" t="str">
        <f t="shared" si="5"/>
        <v/>
      </c>
      <c r="AB38" s="16" t="str">
        <f t="shared" si="6"/>
        <v/>
      </c>
      <c r="AC38" s="21" t="str">
        <f t="array" ref="AC38">IF(ISNUMBER($J38),INDEX('Cálculos'!$C$332:$F$336,IFERROR(MATCH($T38,'Perfis de buff'!$A$4:$A$8,0),1),$J38),"")</f>
        <v/>
      </c>
      <c r="AD38" s="21" t="str">
        <f t="array" ref="AD38">IF(ISNUMBER($J38),INDEX('Cálculos'!$C$339:$F$343,IFERROR(MATCH($T38,'Perfis de buff'!$A$4:$A$8,0),1),$J38),"")</f>
        <v/>
      </c>
      <c r="AE38" s="21" t="str">
        <f t="array" ref="AE38">IF(ISNUMBER($J38),INDEX('Cálculos'!$C$337:$F$337,$J38),"")</f>
        <v/>
      </c>
      <c r="AF38" s="21" t="str">
        <f t="array" ref="AF38">IF(ISNUMBER($J38),INDEX('Cálculos'!$C$338:$F$338,$J38),"")</f>
        <v/>
      </c>
      <c r="AG38" s="16" t="str">
        <f t="array" ref="AG38">IF(ISNUMBER($J38),IF($S38="Derreter",INDEX('Cálculos'!$C$124:$F$124,$J38)*(1+2.78*$AD38/($AD38+1400)+INDEX('Cálculos'!$C$122:$F$122,$J38)),IF($S38="Vaporizar",INDEX('Cálculos'!$C$125:$F$125,$J38)*(1+2.78*$AD38/($AD38+1400)+INDEX('Cálculos'!$C$123:$F$123,$J38)),1)),"")</f>
        <v/>
      </c>
      <c r="AH38" s="21" t="str">
        <f t="shared" si="7"/>
        <v/>
      </c>
      <c r="AI38" s="21" t="str">
        <f t="array" ref="AI38">IF(ISNUMBER($J38),$AH38*(1+INDEX('Cálculos'!$C$331:$F$331,$J38)),"")</f>
        <v/>
      </c>
      <c r="AJ38" s="21" t="str">
        <f t="array" ref="AJ38">IF(ISNUMBER($J38),$AH38*(1+MIN(INDEX('Cálculos'!$C$330:$F$330,$J38),1)*INDEX('Cálculos'!$C$331:$F$331,$J38)),"")</f>
        <v/>
      </c>
      <c r="AK38" s="21" t="str">
        <f>IF(ISNUMBER($J38),'Fixo (cálculo)'!$AF38,"")</f>
        <v/>
      </c>
      <c r="AL38" s="26" t="str">
        <f t="shared" si="8"/>
        <v/>
      </c>
    </row>
    <row r="39" ht="15.75" customHeight="1">
      <c r="A39" s="7"/>
      <c r="B39" s="7"/>
      <c r="C39" s="7"/>
      <c r="D39" s="10" t="s">
        <v>105</v>
      </c>
      <c r="E39" s="11"/>
      <c r="F39" s="4" t="str">
        <f>IF($A39="","",IF(ISNUMBER(MATCH($A39,'Golpes extras'!$A$2:$A$101,0)),"Sim","Não"))</f>
        <v/>
      </c>
      <c r="G39" s="4" t="str">
        <f t="array" ref="G39">IF($A39="","",IF($F39="Sim",INDEX('Golpes extras'!$B$2:$B$101,MATCH($A39,'Golpes extras'!$A$2:$A$101,0))&amp;"",$A39))</f>
        <v/>
      </c>
      <c r="H39" s="4" t="str">
        <f>IF($G39="","",IFERROR(MATCH($G39,L_Golpes!$A$2:$A$6000,0),""))</f>
        <v/>
      </c>
      <c r="I39" s="4" t="str">
        <f t="array" ref="I39">IF($A39="","",IF(ISNUMBER($H39),INDEX(L_Golpes!$B$2:$B$6000,$H39),IF(IFERROR(INDEX('Golpes extras'!$C$2:$C$101,MATCH($A39,'Golpes extras'!$A$2:$A$101,0))&amp;"","")&lt;&gt;"",INDEX('Golpes extras'!$C$2:$C$101,MATCH($A39,'Golpes extras'!$A$2:$A$101,0))&amp;"","golpe?")))</f>
        <v/>
      </c>
      <c r="J39" s="4" t="str">
        <f>IF(OR($I39="",$I39="golpe?"),"",IFERROR(MATCH($I39,Time!$B$4:$E$4,0),"fora do time"))</f>
        <v/>
      </c>
      <c r="K39" s="4" t="str">
        <f t="array" ref="K39">IF(ISNUMBER($J39),IF(IFERROR(INDEX('Golpes extras'!$D$2:$D$101,MATCH($A39,'Golpes extras'!$A$2:$A$101,0))&amp;"","")&lt;&gt;"",INDEX('Golpes extras'!$D$2:$D$101,MATCH($A39,'Golpes extras'!$A$2:$A$101,0))&amp;"",IF(ISNUMBER($H39),INDEX(L_Golpes!$D$2:$D$6000,$H39),"Outro")),"")</f>
        <v/>
      </c>
      <c r="L39" s="4" t="str">
        <f t="array" ref="L39">IF(ISNUMBER($J39),IF(ISNUMBER($H39),INDEX(L_Golpes!$C$2:$C$6000,$H39),""),"")</f>
        <v/>
      </c>
      <c r="M39" s="4" t="str">
        <f t="array" ref="M39">IF(ISNUMBER($J39),IF($L39="Normal",INDEX('Cálculos'!$C$14:$F$14,$J39),IF($L39="Habilidade",INDEX('Cálculos'!$C$15:$F$15,$J39),IF($L39="Supremo",INDEX('Cálculos'!$C$16:$F$16,$J39),""))),"")</f>
        <v/>
      </c>
      <c r="N39" s="16" t="str">
        <f t="array" ref="N39">IF(ISNUMBER($J39),IF(ISNUMBER($H39),INDEX(L_Golpes!$F$2:$T$6000,$H39,MAX(1,MIN(15,$M39))),0)+IF($F39="Sim",N(INDEX('Golpes extras'!$E$2:$E$101,MATCH($A39,'Golpes extras'!$A$2:$A$101,0))),0),"")</f>
        <v/>
      </c>
      <c r="O39" s="17" t="str">
        <f t="array" ref="O39">IF(ISNUMBER($J39),IF(ISNUMBER($H39),INDEX(L_Golpes!$U$2:$AI$6000,$H39,MAX(1,MIN(15,$M39))),0)+IF($F39="Sim",N(INDEX('Golpes extras'!$F$2:$F$101,MATCH($A39,'Golpes extras'!$A$2:$A$101,0))),0),"")</f>
        <v/>
      </c>
      <c r="P39" s="16" t="str">
        <f t="array" ref="P39">IF(ISNUMBER($J39),IF(ISNUMBER($H39),INDEX(L_Golpes!$AJ$2:$AX$6000,$H39,MAX(1,MIN(15,$M39))),0)+IF($F39="Sim",N(INDEX('Golpes extras'!$G$2:$G$101,MATCH($A39,'Golpes extras'!$A$2:$A$101,0))),0),"")</f>
        <v/>
      </c>
      <c r="Q39" s="16" t="str">
        <f t="array" ref="Q39">IF(ISNUMBER($J39),IF(ISNUMBER($H39),INDEX(L_Golpes!$AY$2:$BM$6000,$H39,MAX(1,MIN(15,$M39))),0)+IF($F39="Sim",N(INDEX('Golpes extras'!$H$2:$H$101,MATCH($A39,'Golpes extras'!$A$2:$A$101,0))),0),"")</f>
        <v/>
      </c>
      <c r="R39" s="4" t="str">
        <f t="array" ref="R39">IF(ISNUMBER($J39),INDEX('Cálculos'!$C$19:$F$19,$J39),"")</f>
        <v/>
      </c>
      <c r="S39" s="4" t="str">
        <f t="shared" si="1"/>
        <v/>
      </c>
      <c r="T39" s="4" t="str">
        <f>IF(ISNUMBER($J39),IF(OR($D39="Não",$D39=FALSE),'Perfis de buff'!$A$8,IF(OR($D39="",$D39="Sim",$D39=TRUE),'Perfis de buff'!$A$4,$D39)),"")</f>
        <v/>
      </c>
      <c r="U39" s="22" t="str">
        <f t="array" ref="U39">IF(ISNUMBER($J39),INDEX('Cálculos'!$C$113:$F$113,$J39)+IF($K39="Normal",INDEX('Cálculos'!$C$114:$F$114,$J39),IF($K39="Carregado",INDEX('Cálculos'!$C$115:$F$115,$J39),IF($K39="Habilidade",INDEX('Cálculos'!$C$116:$F$116,$J39),IF($K39="Supremo",INDEX('Cálculos'!$C$117:$F$117,$J39),0))))+INDEX('Cálculos'!$C$143:$F$147,IFERROR(MATCH($T39,'Perfis de buff'!$A$4:$A$8,0),1),$J39)+IF($K39="Normal",INDEX('Cálculos'!$C$148:$F$152,IFERROR(MATCH($T39,'Perfis de buff'!$A$4:$A$8,0),1),$J39),IF($K39="Carregado",INDEX('Cálculos'!$C$153:$F$157,IFERROR(MATCH($T39,'Perfis de buff'!$A$4:$A$8,0),1),$J39),IF($K39="Habilidade",INDEX('Cálculos'!$C$158:$F$162,IFERROR(MATCH($T39,'Perfis de buff'!$A$4:$A$8,0),1),$J39),IF($K39="Supremo",INDEX('Cálculos'!$C$163:$F$167,IFERROR(MATCH($T39,'Perfis de buff'!$A$4:$A$8,0),1),$J39),0))))+N($E39),"")</f>
        <v/>
      </c>
      <c r="V39" s="16" t="str">
        <f t="array" ref="V39">IF(ISNUMBER($J39),INDEX('Cálculos'!$C$180:$F$180,$J39),"")</f>
        <v/>
      </c>
      <c r="W39" s="16" t="str">
        <f t="array" ref="W39">IF(ISNUMBER($J39),INDEX('Cálculos'!$C$182:$F$182,$J39),"")</f>
        <v/>
      </c>
      <c r="X39" s="16" t="str">
        <f t="shared" si="2"/>
        <v/>
      </c>
      <c r="Y39" s="16" t="str">
        <f t="shared" si="3"/>
        <v/>
      </c>
      <c r="Z39" s="16" t="str">
        <f t="shared" si="4"/>
        <v/>
      </c>
      <c r="AA39" s="16" t="str">
        <f t="shared" si="5"/>
        <v/>
      </c>
      <c r="AB39" s="16" t="str">
        <f t="shared" si="6"/>
        <v/>
      </c>
      <c r="AC39" s="21" t="str">
        <f t="array" ref="AC39">IF(ISNUMBER($J39),INDEX('Cálculos'!$C$332:$F$336,IFERROR(MATCH($T39,'Perfis de buff'!$A$4:$A$8,0),1),$J39),"")</f>
        <v/>
      </c>
      <c r="AD39" s="21" t="str">
        <f t="array" ref="AD39">IF(ISNUMBER($J39),INDEX('Cálculos'!$C$339:$F$343,IFERROR(MATCH($T39,'Perfis de buff'!$A$4:$A$8,0),1),$J39),"")</f>
        <v/>
      </c>
      <c r="AE39" s="21" t="str">
        <f t="array" ref="AE39">IF(ISNUMBER($J39),INDEX('Cálculos'!$C$337:$F$337,$J39),"")</f>
        <v/>
      </c>
      <c r="AF39" s="21" t="str">
        <f t="array" ref="AF39">IF(ISNUMBER($J39),INDEX('Cálculos'!$C$338:$F$338,$J39),"")</f>
        <v/>
      </c>
      <c r="AG39" s="16" t="str">
        <f t="array" ref="AG39">IF(ISNUMBER($J39),IF($S39="Derreter",INDEX('Cálculos'!$C$124:$F$124,$J39)*(1+2.78*$AD39/($AD39+1400)+INDEX('Cálculos'!$C$122:$F$122,$J39)),IF($S39="Vaporizar",INDEX('Cálculos'!$C$125:$F$125,$J39)*(1+2.78*$AD39/($AD39+1400)+INDEX('Cálculos'!$C$123:$F$123,$J39)),1)),"")</f>
        <v/>
      </c>
      <c r="AH39" s="21" t="str">
        <f t="shared" si="7"/>
        <v/>
      </c>
      <c r="AI39" s="21" t="str">
        <f t="array" ref="AI39">IF(ISNUMBER($J39),$AH39*(1+INDEX('Cálculos'!$C$331:$F$331,$J39)),"")</f>
        <v/>
      </c>
      <c r="AJ39" s="21" t="str">
        <f t="array" ref="AJ39">IF(ISNUMBER($J39),$AH39*(1+MIN(INDEX('Cálculos'!$C$330:$F$330,$J39),1)*INDEX('Cálculos'!$C$331:$F$331,$J39)),"")</f>
        <v/>
      </c>
      <c r="AK39" s="21" t="str">
        <f>IF(ISNUMBER($J39),'Fixo (cálculo)'!$AF39,"")</f>
        <v/>
      </c>
      <c r="AL39" s="26" t="str">
        <f t="shared" si="8"/>
        <v/>
      </c>
    </row>
    <row r="40" ht="15.75" customHeight="1">
      <c r="A40" s="7"/>
      <c r="B40" s="7"/>
      <c r="C40" s="7"/>
      <c r="D40" s="10" t="s">
        <v>105</v>
      </c>
      <c r="E40" s="11"/>
      <c r="F40" s="4" t="str">
        <f>IF($A40="","",IF(ISNUMBER(MATCH($A40,'Golpes extras'!$A$2:$A$101,0)),"Sim","Não"))</f>
        <v/>
      </c>
      <c r="G40" s="4" t="str">
        <f t="array" ref="G40">IF($A40="","",IF($F40="Sim",INDEX('Golpes extras'!$B$2:$B$101,MATCH($A40,'Golpes extras'!$A$2:$A$101,0))&amp;"",$A40))</f>
        <v/>
      </c>
      <c r="H40" s="4" t="str">
        <f>IF($G40="","",IFERROR(MATCH($G40,L_Golpes!$A$2:$A$6000,0),""))</f>
        <v/>
      </c>
      <c r="I40" s="4" t="str">
        <f t="array" ref="I40">IF($A40="","",IF(ISNUMBER($H40),INDEX(L_Golpes!$B$2:$B$6000,$H40),IF(IFERROR(INDEX('Golpes extras'!$C$2:$C$101,MATCH($A40,'Golpes extras'!$A$2:$A$101,0))&amp;"","")&lt;&gt;"",INDEX('Golpes extras'!$C$2:$C$101,MATCH($A40,'Golpes extras'!$A$2:$A$101,0))&amp;"","golpe?")))</f>
        <v/>
      </c>
      <c r="J40" s="4" t="str">
        <f>IF(OR($I40="",$I40="golpe?"),"",IFERROR(MATCH($I40,Time!$B$4:$E$4,0),"fora do time"))</f>
        <v/>
      </c>
      <c r="K40" s="4" t="str">
        <f t="array" ref="K40">IF(ISNUMBER($J40),IF(IFERROR(INDEX('Golpes extras'!$D$2:$D$101,MATCH($A40,'Golpes extras'!$A$2:$A$101,0))&amp;"","")&lt;&gt;"",INDEX('Golpes extras'!$D$2:$D$101,MATCH($A40,'Golpes extras'!$A$2:$A$101,0))&amp;"",IF(ISNUMBER($H40),INDEX(L_Golpes!$D$2:$D$6000,$H40),"Outro")),"")</f>
        <v/>
      </c>
      <c r="L40" s="4" t="str">
        <f t="array" ref="L40">IF(ISNUMBER($J40),IF(ISNUMBER($H40),INDEX(L_Golpes!$C$2:$C$6000,$H40),""),"")</f>
        <v/>
      </c>
      <c r="M40" s="4" t="str">
        <f t="array" ref="M40">IF(ISNUMBER($J40),IF($L40="Normal",INDEX('Cálculos'!$C$14:$F$14,$J40),IF($L40="Habilidade",INDEX('Cálculos'!$C$15:$F$15,$J40),IF($L40="Supremo",INDEX('Cálculos'!$C$16:$F$16,$J40),""))),"")</f>
        <v/>
      </c>
      <c r="N40" s="16" t="str">
        <f t="array" ref="N40">IF(ISNUMBER($J40),IF(ISNUMBER($H40),INDEX(L_Golpes!$F$2:$T$6000,$H40,MAX(1,MIN(15,$M40))),0)+IF($F40="Sim",N(INDEX('Golpes extras'!$E$2:$E$101,MATCH($A40,'Golpes extras'!$A$2:$A$101,0))),0),"")</f>
        <v/>
      </c>
      <c r="O40" s="17" t="str">
        <f t="array" ref="O40">IF(ISNUMBER($J40),IF(ISNUMBER($H40),INDEX(L_Golpes!$U$2:$AI$6000,$H40,MAX(1,MIN(15,$M40))),0)+IF($F40="Sim",N(INDEX('Golpes extras'!$F$2:$F$101,MATCH($A40,'Golpes extras'!$A$2:$A$101,0))),0),"")</f>
        <v/>
      </c>
      <c r="P40" s="16" t="str">
        <f t="array" ref="P40">IF(ISNUMBER($J40),IF(ISNUMBER($H40),INDEX(L_Golpes!$AJ$2:$AX$6000,$H40,MAX(1,MIN(15,$M40))),0)+IF($F40="Sim",N(INDEX('Golpes extras'!$G$2:$G$101,MATCH($A40,'Golpes extras'!$A$2:$A$101,0))),0),"")</f>
        <v/>
      </c>
      <c r="Q40" s="16" t="str">
        <f t="array" ref="Q40">IF(ISNUMBER($J40),IF(ISNUMBER($H40),INDEX(L_Golpes!$AY$2:$BM$6000,$H40,MAX(1,MIN(15,$M40))),0)+IF($F40="Sim",N(INDEX('Golpes extras'!$H$2:$H$101,MATCH($A40,'Golpes extras'!$A$2:$A$101,0))),0),"")</f>
        <v/>
      </c>
      <c r="R40" s="4" t="str">
        <f t="array" ref="R40">IF(ISNUMBER($J40),INDEX('Cálculos'!$C$19:$F$19,$J40),"")</f>
        <v/>
      </c>
      <c r="S40" s="4" t="str">
        <f t="shared" si="1"/>
        <v/>
      </c>
      <c r="T40" s="4" t="str">
        <f>IF(ISNUMBER($J40),IF(OR($D40="Não",$D40=FALSE),'Perfis de buff'!$A$8,IF(OR($D40="",$D40="Sim",$D40=TRUE),'Perfis de buff'!$A$4,$D40)),"")</f>
        <v/>
      </c>
      <c r="U40" s="22" t="str">
        <f t="array" ref="U40">IF(ISNUMBER($J40),INDEX('Cálculos'!$C$113:$F$113,$J40)+IF($K40="Normal",INDEX('Cálculos'!$C$114:$F$114,$J40),IF($K40="Carregado",INDEX('Cálculos'!$C$115:$F$115,$J40),IF($K40="Habilidade",INDEX('Cálculos'!$C$116:$F$116,$J40),IF($K40="Supremo",INDEX('Cálculos'!$C$117:$F$117,$J40),0))))+INDEX('Cálculos'!$C$143:$F$147,IFERROR(MATCH($T40,'Perfis de buff'!$A$4:$A$8,0),1),$J40)+IF($K40="Normal",INDEX('Cálculos'!$C$148:$F$152,IFERROR(MATCH($T40,'Perfis de buff'!$A$4:$A$8,0),1),$J40),IF($K40="Carregado",INDEX('Cálculos'!$C$153:$F$157,IFERROR(MATCH($T40,'Perfis de buff'!$A$4:$A$8,0),1),$J40),IF($K40="Habilidade",INDEX('Cálculos'!$C$158:$F$162,IFERROR(MATCH($T40,'Perfis de buff'!$A$4:$A$8,0),1),$J40),IF($K40="Supremo",INDEX('Cálculos'!$C$163:$F$167,IFERROR(MATCH($T40,'Perfis de buff'!$A$4:$A$8,0),1),$J40),0))))+N($E40),"")</f>
        <v/>
      </c>
      <c r="V40" s="16" t="str">
        <f t="array" ref="V40">IF(ISNUMBER($J40),INDEX('Cálculos'!$C$180:$F$180,$J40),"")</f>
        <v/>
      </c>
      <c r="W40" s="16" t="str">
        <f t="array" ref="W40">IF(ISNUMBER($J40),INDEX('Cálculos'!$C$182:$F$182,$J40),"")</f>
        <v/>
      </c>
      <c r="X40" s="16" t="str">
        <f t="shared" si="2"/>
        <v/>
      </c>
      <c r="Y40" s="16" t="str">
        <f t="shared" si="3"/>
        <v/>
      </c>
      <c r="Z40" s="16" t="str">
        <f t="shared" si="4"/>
        <v/>
      </c>
      <c r="AA40" s="16" t="str">
        <f t="shared" si="5"/>
        <v/>
      </c>
      <c r="AB40" s="16" t="str">
        <f t="shared" si="6"/>
        <v/>
      </c>
      <c r="AC40" s="21" t="str">
        <f t="array" ref="AC40">IF(ISNUMBER($J40),INDEX('Cálculos'!$C$332:$F$336,IFERROR(MATCH($T40,'Perfis de buff'!$A$4:$A$8,0),1),$J40),"")</f>
        <v/>
      </c>
      <c r="AD40" s="21" t="str">
        <f t="array" ref="AD40">IF(ISNUMBER($J40),INDEX('Cálculos'!$C$339:$F$343,IFERROR(MATCH($T40,'Perfis de buff'!$A$4:$A$8,0),1),$J40),"")</f>
        <v/>
      </c>
      <c r="AE40" s="21" t="str">
        <f t="array" ref="AE40">IF(ISNUMBER($J40),INDEX('Cálculos'!$C$337:$F$337,$J40),"")</f>
        <v/>
      </c>
      <c r="AF40" s="21" t="str">
        <f t="array" ref="AF40">IF(ISNUMBER($J40),INDEX('Cálculos'!$C$338:$F$338,$J40),"")</f>
        <v/>
      </c>
      <c r="AG40" s="16" t="str">
        <f t="array" ref="AG40">IF(ISNUMBER($J40),IF($S40="Derreter",INDEX('Cálculos'!$C$124:$F$124,$J40)*(1+2.78*$AD40/($AD40+1400)+INDEX('Cálculos'!$C$122:$F$122,$J40)),IF($S40="Vaporizar",INDEX('Cálculos'!$C$125:$F$125,$J40)*(1+2.78*$AD40/($AD40+1400)+INDEX('Cálculos'!$C$123:$F$123,$J40)),1)),"")</f>
        <v/>
      </c>
      <c r="AH40" s="21" t="str">
        <f t="shared" si="7"/>
        <v/>
      </c>
      <c r="AI40" s="21" t="str">
        <f t="array" ref="AI40">IF(ISNUMBER($J40),$AH40*(1+INDEX('Cálculos'!$C$331:$F$331,$J40)),"")</f>
        <v/>
      </c>
      <c r="AJ40" s="21" t="str">
        <f t="array" ref="AJ40">IF(ISNUMBER($J40),$AH40*(1+MIN(INDEX('Cálculos'!$C$330:$F$330,$J40),1)*INDEX('Cálculos'!$C$331:$F$331,$J40)),"")</f>
        <v/>
      </c>
      <c r="AK40" s="21" t="str">
        <f>IF(ISNUMBER($J40),'Fixo (cálculo)'!$AF40,"")</f>
        <v/>
      </c>
      <c r="AL40" s="26" t="str">
        <f t="shared" si="8"/>
        <v/>
      </c>
    </row>
    <row r="41" ht="15.75" customHeight="1">
      <c r="A41" s="7"/>
      <c r="B41" s="7"/>
      <c r="C41" s="7"/>
      <c r="D41" s="10" t="s">
        <v>105</v>
      </c>
      <c r="E41" s="11"/>
      <c r="F41" s="4" t="str">
        <f>IF($A41="","",IF(ISNUMBER(MATCH($A41,'Golpes extras'!$A$2:$A$101,0)),"Sim","Não"))</f>
        <v/>
      </c>
      <c r="G41" s="4" t="str">
        <f t="array" ref="G41">IF($A41="","",IF($F41="Sim",INDEX('Golpes extras'!$B$2:$B$101,MATCH($A41,'Golpes extras'!$A$2:$A$101,0))&amp;"",$A41))</f>
        <v/>
      </c>
      <c r="H41" s="4" t="str">
        <f>IF($G41="","",IFERROR(MATCH($G41,L_Golpes!$A$2:$A$6000,0),""))</f>
        <v/>
      </c>
      <c r="I41" s="4" t="str">
        <f t="array" ref="I41">IF($A41="","",IF(ISNUMBER($H41),INDEX(L_Golpes!$B$2:$B$6000,$H41),IF(IFERROR(INDEX('Golpes extras'!$C$2:$C$101,MATCH($A41,'Golpes extras'!$A$2:$A$101,0))&amp;"","")&lt;&gt;"",INDEX('Golpes extras'!$C$2:$C$101,MATCH($A41,'Golpes extras'!$A$2:$A$101,0))&amp;"","golpe?")))</f>
        <v/>
      </c>
      <c r="J41" s="4" t="str">
        <f>IF(OR($I41="",$I41="golpe?"),"",IFERROR(MATCH($I41,Time!$B$4:$E$4,0),"fora do time"))</f>
        <v/>
      </c>
      <c r="K41" s="4" t="str">
        <f t="array" ref="K41">IF(ISNUMBER($J41),IF(IFERROR(INDEX('Golpes extras'!$D$2:$D$101,MATCH($A41,'Golpes extras'!$A$2:$A$101,0))&amp;"","")&lt;&gt;"",INDEX('Golpes extras'!$D$2:$D$101,MATCH($A41,'Golpes extras'!$A$2:$A$101,0))&amp;"",IF(ISNUMBER($H41),INDEX(L_Golpes!$D$2:$D$6000,$H41),"Outro")),"")</f>
        <v/>
      </c>
      <c r="L41" s="4" t="str">
        <f t="array" ref="L41">IF(ISNUMBER($J41),IF(ISNUMBER($H41),INDEX(L_Golpes!$C$2:$C$6000,$H41),""),"")</f>
        <v/>
      </c>
      <c r="M41" s="4" t="str">
        <f t="array" ref="M41">IF(ISNUMBER($J41),IF($L41="Normal",INDEX('Cálculos'!$C$14:$F$14,$J41),IF($L41="Habilidade",INDEX('Cálculos'!$C$15:$F$15,$J41),IF($L41="Supremo",INDEX('Cálculos'!$C$16:$F$16,$J41),""))),"")</f>
        <v/>
      </c>
      <c r="N41" s="16" t="str">
        <f t="array" ref="N41">IF(ISNUMBER($J41),IF(ISNUMBER($H41),INDEX(L_Golpes!$F$2:$T$6000,$H41,MAX(1,MIN(15,$M41))),0)+IF($F41="Sim",N(INDEX('Golpes extras'!$E$2:$E$101,MATCH($A41,'Golpes extras'!$A$2:$A$101,0))),0),"")</f>
        <v/>
      </c>
      <c r="O41" s="17" t="str">
        <f t="array" ref="O41">IF(ISNUMBER($J41),IF(ISNUMBER($H41),INDEX(L_Golpes!$U$2:$AI$6000,$H41,MAX(1,MIN(15,$M41))),0)+IF($F41="Sim",N(INDEX('Golpes extras'!$F$2:$F$101,MATCH($A41,'Golpes extras'!$A$2:$A$101,0))),0),"")</f>
        <v/>
      </c>
      <c r="P41" s="16" t="str">
        <f t="array" ref="P41">IF(ISNUMBER($J41),IF(ISNUMBER($H41),INDEX(L_Golpes!$AJ$2:$AX$6000,$H41,MAX(1,MIN(15,$M41))),0)+IF($F41="Sim",N(INDEX('Golpes extras'!$G$2:$G$101,MATCH($A41,'Golpes extras'!$A$2:$A$101,0))),0),"")</f>
        <v/>
      </c>
      <c r="Q41" s="16" t="str">
        <f t="array" ref="Q41">IF(ISNUMBER($J41),IF(ISNUMBER($H41),INDEX(L_Golpes!$AY$2:$BM$6000,$H41,MAX(1,MIN(15,$M41))),0)+IF($F41="Sim",N(INDEX('Golpes extras'!$H$2:$H$101,MATCH($A41,'Golpes extras'!$A$2:$A$101,0))),0),"")</f>
        <v/>
      </c>
      <c r="R41" s="4" t="str">
        <f t="array" ref="R41">IF(ISNUMBER($J41),INDEX('Cálculos'!$C$19:$F$19,$J41),"")</f>
        <v/>
      </c>
      <c r="S41" s="4" t="str">
        <f t="shared" si="1"/>
        <v/>
      </c>
      <c r="T41" s="4" t="str">
        <f>IF(ISNUMBER($J41),IF(OR($D41="Não",$D41=FALSE),'Perfis de buff'!$A$8,IF(OR($D41="",$D41="Sim",$D41=TRUE),'Perfis de buff'!$A$4,$D41)),"")</f>
        <v/>
      </c>
      <c r="U41" s="22" t="str">
        <f t="array" ref="U41">IF(ISNUMBER($J41),INDEX('Cálculos'!$C$113:$F$113,$J41)+IF($K41="Normal",INDEX('Cálculos'!$C$114:$F$114,$J41),IF($K41="Carregado",INDEX('Cálculos'!$C$115:$F$115,$J41),IF($K41="Habilidade",INDEX('Cálculos'!$C$116:$F$116,$J41),IF($K41="Supremo",INDEX('Cálculos'!$C$117:$F$117,$J41),0))))+INDEX('Cálculos'!$C$143:$F$147,IFERROR(MATCH($T41,'Perfis de buff'!$A$4:$A$8,0),1),$J41)+IF($K41="Normal",INDEX('Cálculos'!$C$148:$F$152,IFERROR(MATCH($T41,'Perfis de buff'!$A$4:$A$8,0),1),$J41),IF($K41="Carregado",INDEX('Cálculos'!$C$153:$F$157,IFERROR(MATCH($T41,'Perfis de buff'!$A$4:$A$8,0),1),$J41),IF($K41="Habilidade",INDEX('Cálculos'!$C$158:$F$162,IFERROR(MATCH($T41,'Perfis de buff'!$A$4:$A$8,0),1),$J41),IF($K41="Supremo",INDEX('Cálculos'!$C$163:$F$167,IFERROR(MATCH($T41,'Perfis de buff'!$A$4:$A$8,0),1),$J41),0))))+N($E41),"")</f>
        <v/>
      </c>
      <c r="V41" s="16" t="str">
        <f t="array" ref="V41">IF(ISNUMBER($J41),INDEX('Cálculos'!$C$180:$F$180,$J41),"")</f>
        <v/>
      </c>
      <c r="W41" s="16" t="str">
        <f t="array" ref="W41">IF(ISNUMBER($J41),INDEX('Cálculos'!$C$182:$F$182,$J41),"")</f>
        <v/>
      </c>
      <c r="X41" s="16" t="str">
        <f t="shared" si="2"/>
        <v/>
      </c>
      <c r="Y41" s="16" t="str">
        <f t="shared" si="3"/>
        <v/>
      </c>
      <c r="Z41" s="16" t="str">
        <f t="shared" si="4"/>
        <v/>
      </c>
      <c r="AA41" s="16" t="str">
        <f t="shared" si="5"/>
        <v/>
      </c>
      <c r="AB41" s="16" t="str">
        <f t="shared" si="6"/>
        <v/>
      </c>
      <c r="AC41" s="21" t="str">
        <f t="array" ref="AC41">IF(ISNUMBER($J41),INDEX('Cálculos'!$C$332:$F$336,IFERROR(MATCH($T41,'Perfis de buff'!$A$4:$A$8,0),1),$J41),"")</f>
        <v/>
      </c>
      <c r="AD41" s="21" t="str">
        <f t="array" ref="AD41">IF(ISNUMBER($J41),INDEX('Cálculos'!$C$339:$F$343,IFERROR(MATCH($T41,'Perfis de buff'!$A$4:$A$8,0),1),$J41),"")</f>
        <v/>
      </c>
      <c r="AE41" s="21" t="str">
        <f t="array" ref="AE41">IF(ISNUMBER($J41),INDEX('Cálculos'!$C$337:$F$337,$J41),"")</f>
        <v/>
      </c>
      <c r="AF41" s="21" t="str">
        <f t="array" ref="AF41">IF(ISNUMBER($J41),INDEX('Cálculos'!$C$338:$F$338,$J41),"")</f>
        <v/>
      </c>
      <c r="AG41" s="16" t="str">
        <f t="array" ref="AG41">IF(ISNUMBER($J41),IF($S41="Derreter",INDEX('Cálculos'!$C$124:$F$124,$J41)*(1+2.78*$AD41/($AD41+1400)+INDEX('Cálculos'!$C$122:$F$122,$J41)),IF($S41="Vaporizar",INDEX('Cálculos'!$C$125:$F$125,$J41)*(1+2.78*$AD41/($AD41+1400)+INDEX('Cálculos'!$C$123:$F$123,$J41)),1)),"")</f>
        <v/>
      </c>
      <c r="AH41" s="21" t="str">
        <f t="shared" si="7"/>
        <v/>
      </c>
      <c r="AI41" s="21" t="str">
        <f t="array" ref="AI41">IF(ISNUMBER($J41),$AH41*(1+INDEX('Cálculos'!$C$331:$F$331,$J41)),"")</f>
        <v/>
      </c>
      <c r="AJ41" s="21" t="str">
        <f t="array" ref="AJ41">IF(ISNUMBER($J41),$AH41*(1+MIN(INDEX('Cálculos'!$C$330:$F$330,$J41),1)*INDEX('Cálculos'!$C$331:$F$331,$J41)),"")</f>
        <v/>
      </c>
      <c r="AK41" s="21" t="str">
        <f>IF(ISNUMBER($J41),'Fixo (cálculo)'!$AF41,"")</f>
        <v/>
      </c>
      <c r="AL41" s="26" t="str">
        <f t="shared" si="8"/>
        <v/>
      </c>
    </row>
    <row r="42" ht="15.75" customHeight="1">
      <c r="A42" s="7"/>
      <c r="B42" s="7"/>
      <c r="C42" s="7"/>
      <c r="D42" s="10" t="s">
        <v>105</v>
      </c>
      <c r="E42" s="11"/>
      <c r="F42" s="4" t="str">
        <f>IF($A42="","",IF(ISNUMBER(MATCH($A42,'Golpes extras'!$A$2:$A$101,0)),"Sim","Não"))</f>
        <v/>
      </c>
      <c r="G42" s="4" t="str">
        <f t="array" ref="G42">IF($A42="","",IF($F42="Sim",INDEX('Golpes extras'!$B$2:$B$101,MATCH($A42,'Golpes extras'!$A$2:$A$101,0))&amp;"",$A42))</f>
        <v/>
      </c>
      <c r="H42" s="4" t="str">
        <f>IF($G42="","",IFERROR(MATCH($G42,L_Golpes!$A$2:$A$6000,0),""))</f>
        <v/>
      </c>
      <c r="I42" s="4" t="str">
        <f t="array" ref="I42">IF($A42="","",IF(ISNUMBER($H42),INDEX(L_Golpes!$B$2:$B$6000,$H42),IF(IFERROR(INDEX('Golpes extras'!$C$2:$C$101,MATCH($A42,'Golpes extras'!$A$2:$A$101,0))&amp;"","")&lt;&gt;"",INDEX('Golpes extras'!$C$2:$C$101,MATCH($A42,'Golpes extras'!$A$2:$A$101,0))&amp;"","golpe?")))</f>
        <v/>
      </c>
      <c r="J42" s="4" t="str">
        <f>IF(OR($I42="",$I42="golpe?"),"",IFERROR(MATCH($I42,Time!$B$4:$E$4,0),"fora do time"))</f>
        <v/>
      </c>
      <c r="K42" s="4" t="str">
        <f t="array" ref="K42">IF(ISNUMBER($J42),IF(IFERROR(INDEX('Golpes extras'!$D$2:$D$101,MATCH($A42,'Golpes extras'!$A$2:$A$101,0))&amp;"","")&lt;&gt;"",INDEX('Golpes extras'!$D$2:$D$101,MATCH($A42,'Golpes extras'!$A$2:$A$101,0))&amp;"",IF(ISNUMBER($H42),INDEX(L_Golpes!$D$2:$D$6000,$H42),"Outro")),"")</f>
        <v/>
      </c>
      <c r="L42" s="4" t="str">
        <f t="array" ref="L42">IF(ISNUMBER($J42),IF(ISNUMBER($H42),INDEX(L_Golpes!$C$2:$C$6000,$H42),""),"")</f>
        <v/>
      </c>
      <c r="M42" s="4" t="str">
        <f t="array" ref="M42">IF(ISNUMBER($J42),IF($L42="Normal",INDEX('Cálculos'!$C$14:$F$14,$J42),IF($L42="Habilidade",INDEX('Cálculos'!$C$15:$F$15,$J42),IF($L42="Supremo",INDEX('Cálculos'!$C$16:$F$16,$J42),""))),"")</f>
        <v/>
      </c>
      <c r="N42" s="16" t="str">
        <f t="array" ref="N42">IF(ISNUMBER($J42),IF(ISNUMBER($H42),INDEX(L_Golpes!$F$2:$T$6000,$H42,MAX(1,MIN(15,$M42))),0)+IF($F42="Sim",N(INDEX('Golpes extras'!$E$2:$E$101,MATCH($A42,'Golpes extras'!$A$2:$A$101,0))),0),"")</f>
        <v/>
      </c>
      <c r="O42" s="17" t="str">
        <f t="array" ref="O42">IF(ISNUMBER($J42),IF(ISNUMBER($H42),INDEX(L_Golpes!$U$2:$AI$6000,$H42,MAX(1,MIN(15,$M42))),0)+IF($F42="Sim",N(INDEX('Golpes extras'!$F$2:$F$101,MATCH($A42,'Golpes extras'!$A$2:$A$101,0))),0),"")</f>
        <v/>
      </c>
      <c r="P42" s="16" t="str">
        <f t="array" ref="P42">IF(ISNUMBER($J42),IF(ISNUMBER($H42),INDEX(L_Golpes!$AJ$2:$AX$6000,$H42,MAX(1,MIN(15,$M42))),0)+IF($F42="Sim",N(INDEX('Golpes extras'!$G$2:$G$101,MATCH($A42,'Golpes extras'!$A$2:$A$101,0))),0),"")</f>
        <v/>
      </c>
      <c r="Q42" s="16" t="str">
        <f t="array" ref="Q42">IF(ISNUMBER($J42),IF(ISNUMBER($H42),INDEX(L_Golpes!$AY$2:$BM$6000,$H42,MAX(1,MIN(15,$M42))),0)+IF($F42="Sim",N(INDEX('Golpes extras'!$H$2:$H$101,MATCH($A42,'Golpes extras'!$A$2:$A$101,0))),0),"")</f>
        <v/>
      </c>
      <c r="R42" s="4" t="str">
        <f t="array" ref="R42">IF(ISNUMBER($J42),INDEX('Cálculos'!$C$19:$F$19,$J42),"")</f>
        <v/>
      </c>
      <c r="S42" s="4" t="str">
        <f t="shared" si="1"/>
        <v/>
      </c>
      <c r="T42" s="4" t="str">
        <f>IF(ISNUMBER($J42),IF(OR($D42="Não",$D42=FALSE),'Perfis de buff'!$A$8,IF(OR($D42="",$D42="Sim",$D42=TRUE),'Perfis de buff'!$A$4,$D42)),"")</f>
        <v/>
      </c>
      <c r="U42" s="22" t="str">
        <f t="array" ref="U42">IF(ISNUMBER($J42),INDEX('Cálculos'!$C$113:$F$113,$J42)+IF($K42="Normal",INDEX('Cálculos'!$C$114:$F$114,$J42),IF($K42="Carregado",INDEX('Cálculos'!$C$115:$F$115,$J42),IF($K42="Habilidade",INDEX('Cálculos'!$C$116:$F$116,$J42),IF($K42="Supremo",INDEX('Cálculos'!$C$117:$F$117,$J42),0))))+INDEX('Cálculos'!$C$143:$F$147,IFERROR(MATCH($T42,'Perfis de buff'!$A$4:$A$8,0),1),$J42)+IF($K42="Normal",INDEX('Cálculos'!$C$148:$F$152,IFERROR(MATCH($T42,'Perfis de buff'!$A$4:$A$8,0),1),$J42),IF($K42="Carregado",INDEX('Cálculos'!$C$153:$F$157,IFERROR(MATCH($T42,'Perfis de buff'!$A$4:$A$8,0),1),$J42),IF($K42="Habilidade",INDEX('Cálculos'!$C$158:$F$162,IFERROR(MATCH($T42,'Perfis de buff'!$A$4:$A$8,0),1),$J42),IF($K42="Supremo",INDEX('Cálculos'!$C$163:$F$167,IFERROR(MATCH($T42,'Perfis de buff'!$A$4:$A$8,0),1),$J42),0))))+N($E42),"")</f>
        <v/>
      </c>
      <c r="V42" s="16" t="str">
        <f t="array" ref="V42">IF(ISNUMBER($J42),INDEX('Cálculos'!$C$180:$F$180,$J42),"")</f>
        <v/>
      </c>
      <c r="W42" s="16" t="str">
        <f t="array" ref="W42">IF(ISNUMBER($J42),INDEX('Cálculos'!$C$182:$F$182,$J42),"")</f>
        <v/>
      </c>
      <c r="X42" s="16" t="str">
        <f t="shared" si="2"/>
        <v/>
      </c>
      <c r="Y42" s="16" t="str">
        <f t="shared" si="3"/>
        <v/>
      </c>
      <c r="Z42" s="16" t="str">
        <f t="shared" si="4"/>
        <v/>
      </c>
      <c r="AA42" s="16" t="str">
        <f t="shared" si="5"/>
        <v/>
      </c>
      <c r="AB42" s="16" t="str">
        <f t="shared" si="6"/>
        <v/>
      </c>
      <c r="AC42" s="21" t="str">
        <f t="array" ref="AC42">IF(ISNUMBER($J42),INDEX('Cálculos'!$C$332:$F$336,IFERROR(MATCH($T42,'Perfis de buff'!$A$4:$A$8,0),1),$J42),"")</f>
        <v/>
      </c>
      <c r="AD42" s="21" t="str">
        <f t="array" ref="AD42">IF(ISNUMBER($J42),INDEX('Cálculos'!$C$339:$F$343,IFERROR(MATCH($T42,'Perfis de buff'!$A$4:$A$8,0),1),$J42),"")</f>
        <v/>
      </c>
      <c r="AE42" s="21" t="str">
        <f t="array" ref="AE42">IF(ISNUMBER($J42),INDEX('Cálculos'!$C$337:$F$337,$J42),"")</f>
        <v/>
      </c>
      <c r="AF42" s="21" t="str">
        <f t="array" ref="AF42">IF(ISNUMBER($J42),INDEX('Cálculos'!$C$338:$F$338,$J42),"")</f>
        <v/>
      </c>
      <c r="AG42" s="16" t="str">
        <f t="array" ref="AG42">IF(ISNUMBER($J42),IF($S42="Derreter",INDEX('Cálculos'!$C$124:$F$124,$J42)*(1+2.78*$AD42/($AD42+1400)+INDEX('Cálculos'!$C$122:$F$122,$J42)),IF($S42="Vaporizar",INDEX('Cálculos'!$C$125:$F$125,$J42)*(1+2.78*$AD42/($AD42+1400)+INDEX('Cálculos'!$C$123:$F$123,$J42)),1)),"")</f>
        <v/>
      </c>
      <c r="AH42" s="21" t="str">
        <f t="shared" si="7"/>
        <v/>
      </c>
      <c r="AI42" s="21" t="str">
        <f t="array" ref="AI42">IF(ISNUMBER($J42),$AH42*(1+INDEX('Cálculos'!$C$331:$F$331,$J42)),"")</f>
        <v/>
      </c>
      <c r="AJ42" s="21" t="str">
        <f t="array" ref="AJ42">IF(ISNUMBER($J42),$AH42*(1+MIN(INDEX('Cálculos'!$C$330:$F$330,$J42),1)*INDEX('Cálculos'!$C$331:$F$331,$J42)),"")</f>
        <v/>
      </c>
      <c r="AK42" s="21" t="str">
        <f>IF(ISNUMBER($J42),'Fixo (cálculo)'!$AF42,"")</f>
        <v/>
      </c>
      <c r="AL42" s="26" t="str">
        <f t="shared" si="8"/>
        <v/>
      </c>
    </row>
    <row r="43" ht="15.75" customHeight="1">
      <c r="A43" s="7"/>
      <c r="B43" s="7"/>
      <c r="C43" s="7"/>
      <c r="D43" s="10" t="s">
        <v>105</v>
      </c>
      <c r="E43" s="11"/>
      <c r="F43" s="4" t="str">
        <f>IF($A43="","",IF(ISNUMBER(MATCH($A43,'Golpes extras'!$A$2:$A$101,0)),"Sim","Não"))</f>
        <v/>
      </c>
      <c r="G43" s="4" t="str">
        <f t="array" ref="G43">IF($A43="","",IF($F43="Sim",INDEX('Golpes extras'!$B$2:$B$101,MATCH($A43,'Golpes extras'!$A$2:$A$101,0))&amp;"",$A43))</f>
        <v/>
      </c>
      <c r="H43" s="4" t="str">
        <f>IF($G43="","",IFERROR(MATCH($G43,L_Golpes!$A$2:$A$6000,0),""))</f>
        <v/>
      </c>
      <c r="I43" s="4" t="str">
        <f t="array" ref="I43">IF($A43="","",IF(ISNUMBER($H43),INDEX(L_Golpes!$B$2:$B$6000,$H43),IF(IFERROR(INDEX('Golpes extras'!$C$2:$C$101,MATCH($A43,'Golpes extras'!$A$2:$A$101,0))&amp;"","")&lt;&gt;"",INDEX('Golpes extras'!$C$2:$C$101,MATCH($A43,'Golpes extras'!$A$2:$A$101,0))&amp;"","golpe?")))</f>
        <v/>
      </c>
      <c r="J43" s="4" t="str">
        <f>IF(OR($I43="",$I43="golpe?"),"",IFERROR(MATCH($I43,Time!$B$4:$E$4,0),"fora do time"))</f>
        <v/>
      </c>
      <c r="K43" s="4" t="str">
        <f t="array" ref="K43">IF(ISNUMBER($J43),IF(IFERROR(INDEX('Golpes extras'!$D$2:$D$101,MATCH($A43,'Golpes extras'!$A$2:$A$101,0))&amp;"","")&lt;&gt;"",INDEX('Golpes extras'!$D$2:$D$101,MATCH($A43,'Golpes extras'!$A$2:$A$101,0))&amp;"",IF(ISNUMBER($H43),INDEX(L_Golpes!$D$2:$D$6000,$H43),"Outro")),"")</f>
        <v/>
      </c>
      <c r="L43" s="4" t="str">
        <f t="array" ref="L43">IF(ISNUMBER($J43),IF(ISNUMBER($H43),INDEX(L_Golpes!$C$2:$C$6000,$H43),""),"")</f>
        <v/>
      </c>
      <c r="M43" s="4" t="str">
        <f t="array" ref="M43">IF(ISNUMBER($J43),IF($L43="Normal",INDEX('Cálculos'!$C$14:$F$14,$J43),IF($L43="Habilidade",INDEX('Cálculos'!$C$15:$F$15,$J43),IF($L43="Supremo",INDEX('Cálculos'!$C$16:$F$16,$J43),""))),"")</f>
        <v/>
      </c>
      <c r="N43" s="16" t="str">
        <f t="array" ref="N43">IF(ISNUMBER($J43),IF(ISNUMBER($H43),INDEX(L_Golpes!$F$2:$T$6000,$H43,MAX(1,MIN(15,$M43))),0)+IF($F43="Sim",N(INDEX('Golpes extras'!$E$2:$E$101,MATCH($A43,'Golpes extras'!$A$2:$A$101,0))),0),"")</f>
        <v/>
      </c>
      <c r="O43" s="17" t="str">
        <f t="array" ref="O43">IF(ISNUMBER($J43),IF(ISNUMBER($H43),INDEX(L_Golpes!$U$2:$AI$6000,$H43,MAX(1,MIN(15,$M43))),0)+IF($F43="Sim",N(INDEX('Golpes extras'!$F$2:$F$101,MATCH($A43,'Golpes extras'!$A$2:$A$101,0))),0),"")</f>
        <v/>
      </c>
      <c r="P43" s="16" t="str">
        <f t="array" ref="P43">IF(ISNUMBER($J43),IF(ISNUMBER($H43),INDEX(L_Golpes!$AJ$2:$AX$6000,$H43,MAX(1,MIN(15,$M43))),0)+IF($F43="Sim",N(INDEX('Golpes extras'!$G$2:$G$101,MATCH($A43,'Golpes extras'!$A$2:$A$101,0))),0),"")</f>
        <v/>
      </c>
      <c r="Q43" s="16" t="str">
        <f t="array" ref="Q43">IF(ISNUMBER($J43),IF(ISNUMBER($H43),INDEX(L_Golpes!$AY$2:$BM$6000,$H43,MAX(1,MIN(15,$M43))),0)+IF($F43="Sim",N(INDEX('Golpes extras'!$H$2:$H$101,MATCH($A43,'Golpes extras'!$A$2:$A$101,0))),0),"")</f>
        <v/>
      </c>
      <c r="R43" s="4" t="str">
        <f t="array" ref="R43">IF(ISNUMBER($J43),INDEX('Cálculos'!$C$19:$F$19,$J43),"")</f>
        <v/>
      </c>
      <c r="S43" s="4" t="str">
        <f t="shared" si="1"/>
        <v/>
      </c>
      <c r="T43" s="4" t="str">
        <f>IF(ISNUMBER($J43),IF(OR($D43="Não",$D43=FALSE),'Perfis de buff'!$A$8,IF(OR($D43="",$D43="Sim",$D43=TRUE),'Perfis de buff'!$A$4,$D43)),"")</f>
        <v/>
      </c>
      <c r="U43" s="22" t="str">
        <f t="array" ref="U43">IF(ISNUMBER($J43),INDEX('Cálculos'!$C$113:$F$113,$J43)+IF($K43="Normal",INDEX('Cálculos'!$C$114:$F$114,$J43),IF($K43="Carregado",INDEX('Cálculos'!$C$115:$F$115,$J43),IF($K43="Habilidade",INDEX('Cálculos'!$C$116:$F$116,$J43),IF($K43="Supremo",INDEX('Cálculos'!$C$117:$F$117,$J43),0))))+INDEX('Cálculos'!$C$143:$F$147,IFERROR(MATCH($T43,'Perfis de buff'!$A$4:$A$8,0),1),$J43)+IF($K43="Normal",INDEX('Cálculos'!$C$148:$F$152,IFERROR(MATCH($T43,'Perfis de buff'!$A$4:$A$8,0),1),$J43),IF($K43="Carregado",INDEX('Cálculos'!$C$153:$F$157,IFERROR(MATCH($T43,'Perfis de buff'!$A$4:$A$8,0),1),$J43),IF($K43="Habilidade",INDEX('Cálculos'!$C$158:$F$162,IFERROR(MATCH($T43,'Perfis de buff'!$A$4:$A$8,0),1),$J43),IF($K43="Supremo",INDEX('Cálculos'!$C$163:$F$167,IFERROR(MATCH($T43,'Perfis de buff'!$A$4:$A$8,0),1),$J43),0))))+N($E43),"")</f>
        <v/>
      </c>
      <c r="V43" s="16" t="str">
        <f t="array" ref="V43">IF(ISNUMBER($J43),INDEX('Cálculos'!$C$180:$F$180,$J43),"")</f>
        <v/>
      </c>
      <c r="W43" s="16" t="str">
        <f t="array" ref="W43">IF(ISNUMBER($J43),INDEX('Cálculos'!$C$182:$F$182,$J43),"")</f>
        <v/>
      </c>
      <c r="X43" s="16" t="str">
        <f t="shared" si="2"/>
        <v/>
      </c>
      <c r="Y43" s="16" t="str">
        <f t="shared" si="3"/>
        <v/>
      </c>
      <c r="Z43" s="16" t="str">
        <f t="shared" si="4"/>
        <v/>
      </c>
      <c r="AA43" s="16" t="str">
        <f t="shared" si="5"/>
        <v/>
      </c>
      <c r="AB43" s="16" t="str">
        <f t="shared" si="6"/>
        <v/>
      </c>
      <c r="AC43" s="21" t="str">
        <f t="array" ref="AC43">IF(ISNUMBER($J43),INDEX('Cálculos'!$C$332:$F$336,IFERROR(MATCH($T43,'Perfis de buff'!$A$4:$A$8,0),1),$J43),"")</f>
        <v/>
      </c>
      <c r="AD43" s="21" t="str">
        <f t="array" ref="AD43">IF(ISNUMBER($J43),INDEX('Cálculos'!$C$339:$F$343,IFERROR(MATCH($T43,'Perfis de buff'!$A$4:$A$8,0),1),$J43),"")</f>
        <v/>
      </c>
      <c r="AE43" s="21" t="str">
        <f t="array" ref="AE43">IF(ISNUMBER($J43),INDEX('Cálculos'!$C$337:$F$337,$J43),"")</f>
        <v/>
      </c>
      <c r="AF43" s="21" t="str">
        <f t="array" ref="AF43">IF(ISNUMBER($J43),INDEX('Cálculos'!$C$338:$F$338,$J43),"")</f>
        <v/>
      </c>
      <c r="AG43" s="16" t="str">
        <f t="array" ref="AG43">IF(ISNUMBER($J43),IF($S43="Derreter",INDEX('Cálculos'!$C$124:$F$124,$J43)*(1+2.78*$AD43/($AD43+1400)+INDEX('Cálculos'!$C$122:$F$122,$J43)),IF($S43="Vaporizar",INDEX('Cálculos'!$C$125:$F$125,$J43)*(1+2.78*$AD43/($AD43+1400)+INDEX('Cálculos'!$C$123:$F$123,$J43)),1)),"")</f>
        <v/>
      </c>
      <c r="AH43" s="21" t="str">
        <f t="shared" si="7"/>
        <v/>
      </c>
      <c r="AI43" s="21" t="str">
        <f t="array" ref="AI43">IF(ISNUMBER($J43),$AH43*(1+INDEX('Cálculos'!$C$331:$F$331,$J43)),"")</f>
        <v/>
      </c>
      <c r="AJ43" s="21" t="str">
        <f t="array" ref="AJ43">IF(ISNUMBER($J43),$AH43*(1+MIN(INDEX('Cálculos'!$C$330:$F$330,$J43),1)*INDEX('Cálculos'!$C$331:$F$331,$J43)),"")</f>
        <v/>
      </c>
      <c r="AK43" s="21" t="str">
        <f>IF(ISNUMBER($J43),'Fixo (cálculo)'!$AF43,"")</f>
        <v/>
      </c>
      <c r="AL43" s="26" t="str">
        <f t="shared" si="8"/>
        <v/>
      </c>
    </row>
    <row r="44" ht="15.75" customHeight="1">
      <c r="A44" s="7"/>
      <c r="B44" s="7"/>
      <c r="C44" s="7"/>
      <c r="D44" s="10" t="s">
        <v>105</v>
      </c>
      <c r="E44" s="11"/>
      <c r="F44" s="4" t="str">
        <f>IF($A44="","",IF(ISNUMBER(MATCH($A44,'Golpes extras'!$A$2:$A$101,0)),"Sim","Não"))</f>
        <v/>
      </c>
      <c r="G44" s="4" t="str">
        <f t="array" ref="G44">IF($A44="","",IF($F44="Sim",INDEX('Golpes extras'!$B$2:$B$101,MATCH($A44,'Golpes extras'!$A$2:$A$101,0))&amp;"",$A44))</f>
        <v/>
      </c>
      <c r="H44" s="4" t="str">
        <f>IF($G44="","",IFERROR(MATCH($G44,L_Golpes!$A$2:$A$6000,0),""))</f>
        <v/>
      </c>
      <c r="I44" s="4" t="str">
        <f t="array" ref="I44">IF($A44="","",IF(ISNUMBER($H44),INDEX(L_Golpes!$B$2:$B$6000,$H44),IF(IFERROR(INDEX('Golpes extras'!$C$2:$C$101,MATCH($A44,'Golpes extras'!$A$2:$A$101,0))&amp;"","")&lt;&gt;"",INDEX('Golpes extras'!$C$2:$C$101,MATCH($A44,'Golpes extras'!$A$2:$A$101,0))&amp;"","golpe?")))</f>
        <v/>
      </c>
      <c r="J44" s="4" t="str">
        <f>IF(OR($I44="",$I44="golpe?"),"",IFERROR(MATCH($I44,Time!$B$4:$E$4,0),"fora do time"))</f>
        <v/>
      </c>
      <c r="K44" s="4" t="str">
        <f t="array" ref="K44">IF(ISNUMBER($J44),IF(IFERROR(INDEX('Golpes extras'!$D$2:$D$101,MATCH($A44,'Golpes extras'!$A$2:$A$101,0))&amp;"","")&lt;&gt;"",INDEX('Golpes extras'!$D$2:$D$101,MATCH($A44,'Golpes extras'!$A$2:$A$101,0))&amp;"",IF(ISNUMBER($H44),INDEX(L_Golpes!$D$2:$D$6000,$H44),"Outro")),"")</f>
        <v/>
      </c>
      <c r="L44" s="4" t="str">
        <f t="array" ref="L44">IF(ISNUMBER($J44),IF(ISNUMBER($H44),INDEX(L_Golpes!$C$2:$C$6000,$H44),""),"")</f>
        <v/>
      </c>
      <c r="M44" s="4" t="str">
        <f t="array" ref="M44">IF(ISNUMBER($J44),IF($L44="Normal",INDEX('Cálculos'!$C$14:$F$14,$J44),IF($L44="Habilidade",INDEX('Cálculos'!$C$15:$F$15,$J44),IF($L44="Supremo",INDEX('Cálculos'!$C$16:$F$16,$J44),""))),"")</f>
        <v/>
      </c>
      <c r="N44" s="16" t="str">
        <f t="array" ref="N44">IF(ISNUMBER($J44),IF(ISNUMBER($H44),INDEX(L_Golpes!$F$2:$T$6000,$H44,MAX(1,MIN(15,$M44))),0)+IF($F44="Sim",N(INDEX('Golpes extras'!$E$2:$E$101,MATCH($A44,'Golpes extras'!$A$2:$A$101,0))),0),"")</f>
        <v/>
      </c>
      <c r="O44" s="17" t="str">
        <f t="array" ref="O44">IF(ISNUMBER($J44),IF(ISNUMBER($H44),INDEX(L_Golpes!$U$2:$AI$6000,$H44,MAX(1,MIN(15,$M44))),0)+IF($F44="Sim",N(INDEX('Golpes extras'!$F$2:$F$101,MATCH($A44,'Golpes extras'!$A$2:$A$101,0))),0),"")</f>
        <v/>
      </c>
      <c r="P44" s="16" t="str">
        <f t="array" ref="P44">IF(ISNUMBER($J44),IF(ISNUMBER($H44),INDEX(L_Golpes!$AJ$2:$AX$6000,$H44,MAX(1,MIN(15,$M44))),0)+IF($F44="Sim",N(INDEX('Golpes extras'!$G$2:$G$101,MATCH($A44,'Golpes extras'!$A$2:$A$101,0))),0),"")</f>
        <v/>
      </c>
      <c r="Q44" s="16" t="str">
        <f t="array" ref="Q44">IF(ISNUMBER($J44),IF(ISNUMBER($H44),INDEX(L_Golpes!$AY$2:$BM$6000,$H44,MAX(1,MIN(15,$M44))),0)+IF($F44="Sim",N(INDEX('Golpes extras'!$H$2:$H$101,MATCH($A44,'Golpes extras'!$A$2:$A$101,0))),0),"")</f>
        <v/>
      </c>
      <c r="R44" s="4" t="str">
        <f t="array" ref="R44">IF(ISNUMBER($J44),INDEX('Cálculos'!$C$19:$F$19,$J44),"")</f>
        <v/>
      </c>
      <c r="S44" s="4" t="str">
        <f t="shared" si="1"/>
        <v/>
      </c>
      <c r="T44" s="4" t="str">
        <f>IF(ISNUMBER($J44),IF(OR($D44="Não",$D44=FALSE),'Perfis de buff'!$A$8,IF(OR($D44="",$D44="Sim",$D44=TRUE),'Perfis de buff'!$A$4,$D44)),"")</f>
        <v/>
      </c>
      <c r="U44" s="22" t="str">
        <f t="array" ref="U44">IF(ISNUMBER($J44),INDEX('Cálculos'!$C$113:$F$113,$J44)+IF($K44="Normal",INDEX('Cálculos'!$C$114:$F$114,$J44),IF($K44="Carregado",INDEX('Cálculos'!$C$115:$F$115,$J44),IF($K44="Habilidade",INDEX('Cálculos'!$C$116:$F$116,$J44),IF($K44="Supremo",INDEX('Cálculos'!$C$117:$F$117,$J44),0))))+INDEX('Cálculos'!$C$143:$F$147,IFERROR(MATCH($T44,'Perfis de buff'!$A$4:$A$8,0),1),$J44)+IF($K44="Normal",INDEX('Cálculos'!$C$148:$F$152,IFERROR(MATCH($T44,'Perfis de buff'!$A$4:$A$8,0),1),$J44),IF($K44="Carregado",INDEX('Cálculos'!$C$153:$F$157,IFERROR(MATCH($T44,'Perfis de buff'!$A$4:$A$8,0),1),$J44),IF($K44="Habilidade",INDEX('Cálculos'!$C$158:$F$162,IFERROR(MATCH($T44,'Perfis de buff'!$A$4:$A$8,0),1),$J44),IF($K44="Supremo",INDEX('Cálculos'!$C$163:$F$167,IFERROR(MATCH($T44,'Perfis de buff'!$A$4:$A$8,0),1),$J44),0))))+N($E44),"")</f>
        <v/>
      </c>
      <c r="V44" s="16" t="str">
        <f t="array" ref="V44">IF(ISNUMBER($J44),INDEX('Cálculos'!$C$180:$F$180,$J44),"")</f>
        <v/>
      </c>
      <c r="W44" s="16" t="str">
        <f t="array" ref="W44">IF(ISNUMBER($J44),INDEX('Cálculos'!$C$182:$F$182,$J44),"")</f>
        <v/>
      </c>
      <c r="X44" s="16" t="str">
        <f t="shared" si="2"/>
        <v/>
      </c>
      <c r="Y44" s="16" t="str">
        <f t="shared" si="3"/>
        <v/>
      </c>
      <c r="Z44" s="16" t="str">
        <f t="shared" si="4"/>
        <v/>
      </c>
      <c r="AA44" s="16" t="str">
        <f t="shared" si="5"/>
        <v/>
      </c>
      <c r="AB44" s="16" t="str">
        <f t="shared" si="6"/>
        <v/>
      </c>
      <c r="AC44" s="21" t="str">
        <f t="array" ref="AC44">IF(ISNUMBER($J44),INDEX('Cálculos'!$C$332:$F$336,IFERROR(MATCH($T44,'Perfis de buff'!$A$4:$A$8,0),1),$J44),"")</f>
        <v/>
      </c>
      <c r="AD44" s="21" t="str">
        <f t="array" ref="AD44">IF(ISNUMBER($J44),INDEX('Cálculos'!$C$339:$F$343,IFERROR(MATCH($T44,'Perfis de buff'!$A$4:$A$8,0),1),$J44),"")</f>
        <v/>
      </c>
      <c r="AE44" s="21" t="str">
        <f t="array" ref="AE44">IF(ISNUMBER($J44),INDEX('Cálculos'!$C$337:$F$337,$J44),"")</f>
        <v/>
      </c>
      <c r="AF44" s="21" t="str">
        <f t="array" ref="AF44">IF(ISNUMBER($J44),INDEX('Cálculos'!$C$338:$F$338,$J44),"")</f>
        <v/>
      </c>
      <c r="AG44" s="16" t="str">
        <f t="array" ref="AG44">IF(ISNUMBER($J44),IF($S44="Derreter",INDEX('Cálculos'!$C$124:$F$124,$J44)*(1+2.78*$AD44/($AD44+1400)+INDEX('Cálculos'!$C$122:$F$122,$J44)),IF($S44="Vaporizar",INDEX('Cálculos'!$C$125:$F$125,$J44)*(1+2.78*$AD44/($AD44+1400)+INDEX('Cálculos'!$C$123:$F$123,$J44)),1)),"")</f>
        <v/>
      </c>
      <c r="AH44" s="21" t="str">
        <f t="shared" si="7"/>
        <v/>
      </c>
      <c r="AI44" s="21" t="str">
        <f t="array" ref="AI44">IF(ISNUMBER($J44),$AH44*(1+INDEX('Cálculos'!$C$331:$F$331,$J44)),"")</f>
        <v/>
      </c>
      <c r="AJ44" s="21" t="str">
        <f t="array" ref="AJ44">IF(ISNUMBER($J44),$AH44*(1+MIN(INDEX('Cálculos'!$C$330:$F$330,$J44),1)*INDEX('Cálculos'!$C$331:$F$331,$J44)),"")</f>
        <v/>
      </c>
      <c r="AK44" s="21" t="str">
        <f>IF(ISNUMBER($J44),'Fixo (cálculo)'!$AF44,"")</f>
        <v/>
      </c>
      <c r="AL44" s="26" t="str">
        <f t="shared" si="8"/>
        <v/>
      </c>
    </row>
    <row r="45" ht="15.75" customHeight="1">
      <c r="A45" s="7"/>
      <c r="B45" s="7"/>
      <c r="C45" s="7"/>
      <c r="D45" s="10" t="s">
        <v>105</v>
      </c>
      <c r="E45" s="11"/>
      <c r="F45" s="4" t="str">
        <f>IF($A45="","",IF(ISNUMBER(MATCH($A45,'Golpes extras'!$A$2:$A$101,0)),"Sim","Não"))</f>
        <v/>
      </c>
      <c r="G45" s="4" t="str">
        <f t="array" ref="G45">IF($A45="","",IF($F45="Sim",INDEX('Golpes extras'!$B$2:$B$101,MATCH($A45,'Golpes extras'!$A$2:$A$101,0))&amp;"",$A45))</f>
        <v/>
      </c>
      <c r="H45" s="4" t="str">
        <f>IF($G45="","",IFERROR(MATCH($G45,L_Golpes!$A$2:$A$6000,0),""))</f>
        <v/>
      </c>
      <c r="I45" s="4" t="str">
        <f t="array" ref="I45">IF($A45="","",IF(ISNUMBER($H45),INDEX(L_Golpes!$B$2:$B$6000,$H45),IF(IFERROR(INDEX('Golpes extras'!$C$2:$C$101,MATCH($A45,'Golpes extras'!$A$2:$A$101,0))&amp;"","")&lt;&gt;"",INDEX('Golpes extras'!$C$2:$C$101,MATCH($A45,'Golpes extras'!$A$2:$A$101,0))&amp;"","golpe?")))</f>
        <v/>
      </c>
      <c r="J45" s="4" t="str">
        <f>IF(OR($I45="",$I45="golpe?"),"",IFERROR(MATCH($I45,Time!$B$4:$E$4,0),"fora do time"))</f>
        <v/>
      </c>
      <c r="K45" s="4" t="str">
        <f t="array" ref="K45">IF(ISNUMBER($J45),IF(IFERROR(INDEX('Golpes extras'!$D$2:$D$101,MATCH($A45,'Golpes extras'!$A$2:$A$101,0))&amp;"","")&lt;&gt;"",INDEX('Golpes extras'!$D$2:$D$101,MATCH($A45,'Golpes extras'!$A$2:$A$101,0))&amp;"",IF(ISNUMBER($H45),INDEX(L_Golpes!$D$2:$D$6000,$H45),"Outro")),"")</f>
        <v/>
      </c>
      <c r="L45" s="4" t="str">
        <f t="array" ref="L45">IF(ISNUMBER($J45),IF(ISNUMBER($H45),INDEX(L_Golpes!$C$2:$C$6000,$H45),""),"")</f>
        <v/>
      </c>
      <c r="M45" s="4" t="str">
        <f t="array" ref="M45">IF(ISNUMBER($J45),IF($L45="Normal",INDEX('Cálculos'!$C$14:$F$14,$J45),IF($L45="Habilidade",INDEX('Cálculos'!$C$15:$F$15,$J45),IF($L45="Supremo",INDEX('Cálculos'!$C$16:$F$16,$J45),""))),"")</f>
        <v/>
      </c>
      <c r="N45" s="16" t="str">
        <f t="array" ref="N45">IF(ISNUMBER($J45),IF(ISNUMBER($H45),INDEX(L_Golpes!$F$2:$T$6000,$H45,MAX(1,MIN(15,$M45))),0)+IF($F45="Sim",N(INDEX('Golpes extras'!$E$2:$E$101,MATCH($A45,'Golpes extras'!$A$2:$A$101,0))),0),"")</f>
        <v/>
      </c>
      <c r="O45" s="17" t="str">
        <f t="array" ref="O45">IF(ISNUMBER($J45),IF(ISNUMBER($H45),INDEX(L_Golpes!$U$2:$AI$6000,$H45,MAX(1,MIN(15,$M45))),0)+IF($F45="Sim",N(INDEX('Golpes extras'!$F$2:$F$101,MATCH($A45,'Golpes extras'!$A$2:$A$101,0))),0),"")</f>
        <v/>
      </c>
      <c r="P45" s="16" t="str">
        <f t="array" ref="P45">IF(ISNUMBER($J45),IF(ISNUMBER($H45),INDEX(L_Golpes!$AJ$2:$AX$6000,$H45,MAX(1,MIN(15,$M45))),0)+IF($F45="Sim",N(INDEX('Golpes extras'!$G$2:$G$101,MATCH($A45,'Golpes extras'!$A$2:$A$101,0))),0),"")</f>
        <v/>
      </c>
      <c r="Q45" s="16" t="str">
        <f t="array" ref="Q45">IF(ISNUMBER($J45),IF(ISNUMBER($H45),INDEX(L_Golpes!$AY$2:$BM$6000,$H45,MAX(1,MIN(15,$M45))),0)+IF($F45="Sim",N(INDEX('Golpes extras'!$H$2:$H$101,MATCH($A45,'Golpes extras'!$A$2:$A$101,0))),0),"")</f>
        <v/>
      </c>
      <c r="R45" s="4" t="str">
        <f t="array" ref="R45">IF(ISNUMBER($J45),INDEX('Cálculos'!$C$19:$F$19,$J45),"")</f>
        <v/>
      </c>
      <c r="S45" s="4" t="str">
        <f t="shared" si="1"/>
        <v/>
      </c>
      <c r="T45" s="4" t="str">
        <f>IF(ISNUMBER($J45),IF(OR($D45="Não",$D45=FALSE),'Perfis de buff'!$A$8,IF(OR($D45="",$D45="Sim",$D45=TRUE),'Perfis de buff'!$A$4,$D45)),"")</f>
        <v/>
      </c>
      <c r="U45" s="22" t="str">
        <f t="array" ref="U45">IF(ISNUMBER($J45),INDEX('Cálculos'!$C$113:$F$113,$J45)+IF($K45="Normal",INDEX('Cálculos'!$C$114:$F$114,$J45),IF($K45="Carregado",INDEX('Cálculos'!$C$115:$F$115,$J45),IF($K45="Habilidade",INDEX('Cálculos'!$C$116:$F$116,$J45),IF($K45="Supremo",INDEX('Cálculos'!$C$117:$F$117,$J45),0))))+INDEX('Cálculos'!$C$143:$F$147,IFERROR(MATCH($T45,'Perfis de buff'!$A$4:$A$8,0),1),$J45)+IF($K45="Normal",INDEX('Cálculos'!$C$148:$F$152,IFERROR(MATCH($T45,'Perfis de buff'!$A$4:$A$8,0),1),$J45),IF($K45="Carregado",INDEX('Cálculos'!$C$153:$F$157,IFERROR(MATCH($T45,'Perfis de buff'!$A$4:$A$8,0),1),$J45),IF($K45="Habilidade",INDEX('Cálculos'!$C$158:$F$162,IFERROR(MATCH($T45,'Perfis de buff'!$A$4:$A$8,0),1),$J45),IF($K45="Supremo",INDEX('Cálculos'!$C$163:$F$167,IFERROR(MATCH($T45,'Perfis de buff'!$A$4:$A$8,0),1),$J45),0))))+N($E45),"")</f>
        <v/>
      </c>
      <c r="V45" s="16" t="str">
        <f t="array" ref="V45">IF(ISNUMBER($J45),INDEX('Cálculos'!$C$180:$F$180,$J45),"")</f>
        <v/>
      </c>
      <c r="W45" s="16" t="str">
        <f t="array" ref="W45">IF(ISNUMBER($J45),INDEX('Cálculos'!$C$182:$F$182,$J45),"")</f>
        <v/>
      </c>
      <c r="X45" s="16" t="str">
        <f t="shared" si="2"/>
        <v/>
      </c>
      <c r="Y45" s="16" t="str">
        <f t="shared" si="3"/>
        <v/>
      </c>
      <c r="Z45" s="16" t="str">
        <f t="shared" si="4"/>
        <v/>
      </c>
      <c r="AA45" s="16" t="str">
        <f t="shared" si="5"/>
        <v/>
      </c>
      <c r="AB45" s="16" t="str">
        <f t="shared" si="6"/>
        <v/>
      </c>
      <c r="AC45" s="21" t="str">
        <f t="array" ref="AC45">IF(ISNUMBER($J45),INDEX('Cálculos'!$C$332:$F$336,IFERROR(MATCH($T45,'Perfis de buff'!$A$4:$A$8,0),1),$J45),"")</f>
        <v/>
      </c>
      <c r="AD45" s="21" t="str">
        <f t="array" ref="AD45">IF(ISNUMBER($J45),INDEX('Cálculos'!$C$339:$F$343,IFERROR(MATCH($T45,'Perfis de buff'!$A$4:$A$8,0),1),$J45),"")</f>
        <v/>
      </c>
      <c r="AE45" s="21" t="str">
        <f t="array" ref="AE45">IF(ISNUMBER($J45),INDEX('Cálculos'!$C$337:$F$337,$J45),"")</f>
        <v/>
      </c>
      <c r="AF45" s="21" t="str">
        <f t="array" ref="AF45">IF(ISNUMBER($J45),INDEX('Cálculos'!$C$338:$F$338,$J45),"")</f>
        <v/>
      </c>
      <c r="AG45" s="16" t="str">
        <f t="array" ref="AG45">IF(ISNUMBER($J45),IF($S45="Derreter",INDEX('Cálculos'!$C$124:$F$124,$J45)*(1+2.78*$AD45/($AD45+1400)+INDEX('Cálculos'!$C$122:$F$122,$J45)),IF($S45="Vaporizar",INDEX('Cálculos'!$C$125:$F$125,$J45)*(1+2.78*$AD45/($AD45+1400)+INDEX('Cálculos'!$C$123:$F$123,$J45)),1)),"")</f>
        <v/>
      </c>
      <c r="AH45" s="21" t="str">
        <f t="shared" si="7"/>
        <v/>
      </c>
      <c r="AI45" s="21" t="str">
        <f t="array" ref="AI45">IF(ISNUMBER($J45),$AH45*(1+INDEX('Cálculos'!$C$331:$F$331,$J45)),"")</f>
        <v/>
      </c>
      <c r="AJ45" s="21" t="str">
        <f t="array" ref="AJ45">IF(ISNUMBER($J45),$AH45*(1+MIN(INDEX('Cálculos'!$C$330:$F$330,$J45),1)*INDEX('Cálculos'!$C$331:$F$331,$J45)),"")</f>
        <v/>
      </c>
      <c r="AK45" s="21" t="str">
        <f>IF(ISNUMBER($J45),'Fixo (cálculo)'!$AF45,"")</f>
        <v/>
      </c>
      <c r="AL45" s="26" t="str">
        <f t="shared" si="8"/>
        <v/>
      </c>
    </row>
    <row r="46" ht="15.75" customHeight="1">
      <c r="A46" s="7"/>
      <c r="B46" s="7"/>
      <c r="C46" s="7"/>
      <c r="D46" s="10" t="s">
        <v>105</v>
      </c>
      <c r="E46" s="11"/>
      <c r="F46" s="4" t="str">
        <f>IF($A46="","",IF(ISNUMBER(MATCH($A46,'Golpes extras'!$A$2:$A$101,0)),"Sim","Não"))</f>
        <v/>
      </c>
      <c r="G46" s="4" t="str">
        <f t="array" ref="G46">IF($A46="","",IF($F46="Sim",INDEX('Golpes extras'!$B$2:$B$101,MATCH($A46,'Golpes extras'!$A$2:$A$101,0))&amp;"",$A46))</f>
        <v/>
      </c>
      <c r="H46" s="4" t="str">
        <f>IF($G46="","",IFERROR(MATCH($G46,L_Golpes!$A$2:$A$6000,0),""))</f>
        <v/>
      </c>
      <c r="I46" s="4" t="str">
        <f t="array" ref="I46">IF($A46="","",IF(ISNUMBER($H46),INDEX(L_Golpes!$B$2:$B$6000,$H46),IF(IFERROR(INDEX('Golpes extras'!$C$2:$C$101,MATCH($A46,'Golpes extras'!$A$2:$A$101,0))&amp;"","")&lt;&gt;"",INDEX('Golpes extras'!$C$2:$C$101,MATCH($A46,'Golpes extras'!$A$2:$A$101,0))&amp;"","golpe?")))</f>
        <v/>
      </c>
      <c r="J46" s="4" t="str">
        <f>IF(OR($I46="",$I46="golpe?"),"",IFERROR(MATCH($I46,Time!$B$4:$E$4,0),"fora do time"))</f>
        <v/>
      </c>
      <c r="K46" s="4" t="str">
        <f t="array" ref="K46">IF(ISNUMBER($J46),IF(IFERROR(INDEX('Golpes extras'!$D$2:$D$101,MATCH($A46,'Golpes extras'!$A$2:$A$101,0))&amp;"","")&lt;&gt;"",INDEX('Golpes extras'!$D$2:$D$101,MATCH($A46,'Golpes extras'!$A$2:$A$101,0))&amp;"",IF(ISNUMBER($H46),INDEX(L_Golpes!$D$2:$D$6000,$H46),"Outro")),"")</f>
        <v/>
      </c>
      <c r="L46" s="4" t="str">
        <f t="array" ref="L46">IF(ISNUMBER($J46),IF(ISNUMBER($H46),INDEX(L_Golpes!$C$2:$C$6000,$H46),""),"")</f>
        <v/>
      </c>
      <c r="M46" s="4" t="str">
        <f t="array" ref="M46">IF(ISNUMBER($J46),IF($L46="Normal",INDEX('Cálculos'!$C$14:$F$14,$J46),IF($L46="Habilidade",INDEX('Cálculos'!$C$15:$F$15,$J46),IF($L46="Supremo",INDEX('Cálculos'!$C$16:$F$16,$J46),""))),"")</f>
        <v/>
      </c>
      <c r="N46" s="16" t="str">
        <f t="array" ref="N46">IF(ISNUMBER($J46),IF(ISNUMBER($H46),INDEX(L_Golpes!$F$2:$T$6000,$H46,MAX(1,MIN(15,$M46))),0)+IF($F46="Sim",N(INDEX('Golpes extras'!$E$2:$E$101,MATCH($A46,'Golpes extras'!$A$2:$A$101,0))),0),"")</f>
        <v/>
      </c>
      <c r="O46" s="17" t="str">
        <f t="array" ref="O46">IF(ISNUMBER($J46),IF(ISNUMBER($H46),INDEX(L_Golpes!$U$2:$AI$6000,$H46,MAX(1,MIN(15,$M46))),0)+IF($F46="Sim",N(INDEX('Golpes extras'!$F$2:$F$101,MATCH($A46,'Golpes extras'!$A$2:$A$101,0))),0),"")</f>
        <v/>
      </c>
      <c r="P46" s="16" t="str">
        <f t="array" ref="P46">IF(ISNUMBER($J46),IF(ISNUMBER($H46),INDEX(L_Golpes!$AJ$2:$AX$6000,$H46,MAX(1,MIN(15,$M46))),0)+IF($F46="Sim",N(INDEX('Golpes extras'!$G$2:$G$101,MATCH($A46,'Golpes extras'!$A$2:$A$101,0))),0),"")</f>
        <v/>
      </c>
      <c r="Q46" s="16" t="str">
        <f t="array" ref="Q46">IF(ISNUMBER($J46),IF(ISNUMBER($H46),INDEX(L_Golpes!$AY$2:$BM$6000,$H46,MAX(1,MIN(15,$M46))),0)+IF($F46="Sim",N(INDEX('Golpes extras'!$H$2:$H$101,MATCH($A46,'Golpes extras'!$A$2:$A$101,0))),0),"")</f>
        <v/>
      </c>
      <c r="R46" s="4" t="str">
        <f t="array" ref="R46">IF(ISNUMBER($J46),INDEX('Cálculos'!$C$19:$F$19,$J46),"")</f>
        <v/>
      </c>
      <c r="S46" s="4" t="str">
        <f t="shared" si="1"/>
        <v/>
      </c>
      <c r="T46" s="4" t="str">
        <f>IF(ISNUMBER($J46),IF(OR($D46="Não",$D46=FALSE),'Perfis de buff'!$A$8,IF(OR($D46="",$D46="Sim",$D46=TRUE),'Perfis de buff'!$A$4,$D46)),"")</f>
        <v/>
      </c>
      <c r="U46" s="22" t="str">
        <f t="array" ref="U46">IF(ISNUMBER($J46),INDEX('Cálculos'!$C$113:$F$113,$J46)+IF($K46="Normal",INDEX('Cálculos'!$C$114:$F$114,$J46),IF($K46="Carregado",INDEX('Cálculos'!$C$115:$F$115,$J46),IF($K46="Habilidade",INDEX('Cálculos'!$C$116:$F$116,$J46),IF($K46="Supremo",INDEX('Cálculos'!$C$117:$F$117,$J46),0))))+INDEX('Cálculos'!$C$143:$F$147,IFERROR(MATCH($T46,'Perfis de buff'!$A$4:$A$8,0),1),$J46)+IF($K46="Normal",INDEX('Cálculos'!$C$148:$F$152,IFERROR(MATCH($T46,'Perfis de buff'!$A$4:$A$8,0),1),$J46),IF($K46="Carregado",INDEX('Cálculos'!$C$153:$F$157,IFERROR(MATCH($T46,'Perfis de buff'!$A$4:$A$8,0),1),$J46),IF($K46="Habilidade",INDEX('Cálculos'!$C$158:$F$162,IFERROR(MATCH($T46,'Perfis de buff'!$A$4:$A$8,0),1),$J46),IF($K46="Supremo",INDEX('Cálculos'!$C$163:$F$167,IFERROR(MATCH($T46,'Perfis de buff'!$A$4:$A$8,0),1),$J46),0))))+N($E46),"")</f>
        <v/>
      </c>
      <c r="V46" s="16" t="str">
        <f t="array" ref="V46">IF(ISNUMBER($J46),INDEX('Cálculos'!$C$180:$F$180,$J46),"")</f>
        <v/>
      </c>
      <c r="W46" s="16" t="str">
        <f t="array" ref="W46">IF(ISNUMBER($J46),INDEX('Cálculos'!$C$182:$F$182,$J46),"")</f>
        <v/>
      </c>
      <c r="X46" s="16" t="str">
        <f t="shared" si="2"/>
        <v/>
      </c>
      <c r="Y46" s="16" t="str">
        <f t="shared" si="3"/>
        <v/>
      </c>
      <c r="Z46" s="16" t="str">
        <f t="shared" si="4"/>
        <v/>
      </c>
      <c r="AA46" s="16" t="str">
        <f t="shared" si="5"/>
        <v/>
      </c>
      <c r="AB46" s="16" t="str">
        <f t="shared" si="6"/>
        <v/>
      </c>
      <c r="AC46" s="21" t="str">
        <f t="array" ref="AC46">IF(ISNUMBER($J46),INDEX('Cálculos'!$C$332:$F$336,IFERROR(MATCH($T46,'Perfis de buff'!$A$4:$A$8,0),1),$J46),"")</f>
        <v/>
      </c>
      <c r="AD46" s="21" t="str">
        <f t="array" ref="AD46">IF(ISNUMBER($J46),INDEX('Cálculos'!$C$339:$F$343,IFERROR(MATCH($T46,'Perfis de buff'!$A$4:$A$8,0),1),$J46),"")</f>
        <v/>
      </c>
      <c r="AE46" s="21" t="str">
        <f t="array" ref="AE46">IF(ISNUMBER($J46),INDEX('Cálculos'!$C$337:$F$337,$J46),"")</f>
        <v/>
      </c>
      <c r="AF46" s="21" t="str">
        <f t="array" ref="AF46">IF(ISNUMBER($J46),INDEX('Cálculos'!$C$338:$F$338,$J46),"")</f>
        <v/>
      </c>
      <c r="AG46" s="16" t="str">
        <f t="array" ref="AG46">IF(ISNUMBER($J46),IF($S46="Derreter",INDEX('Cálculos'!$C$124:$F$124,$J46)*(1+2.78*$AD46/($AD46+1400)+INDEX('Cálculos'!$C$122:$F$122,$J46)),IF($S46="Vaporizar",INDEX('Cálculos'!$C$125:$F$125,$J46)*(1+2.78*$AD46/($AD46+1400)+INDEX('Cálculos'!$C$123:$F$123,$J46)),1)),"")</f>
        <v/>
      </c>
      <c r="AH46" s="21" t="str">
        <f t="shared" si="7"/>
        <v/>
      </c>
      <c r="AI46" s="21" t="str">
        <f t="array" ref="AI46">IF(ISNUMBER($J46),$AH46*(1+INDEX('Cálculos'!$C$331:$F$331,$J46)),"")</f>
        <v/>
      </c>
      <c r="AJ46" s="21" t="str">
        <f t="array" ref="AJ46">IF(ISNUMBER($J46),$AH46*(1+MIN(INDEX('Cálculos'!$C$330:$F$330,$J46),1)*INDEX('Cálculos'!$C$331:$F$331,$J46)),"")</f>
        <v/>
      </c>
      <c r="AK46" s="21" t="str">
        <f>IF(ISNUMBER($J46),'Fixo (cálculo)'!$AF46,"")</f>
        <v/>
      </c>
      <c r="AL46" s="26" t="str">
        <f t="shared" si="8"/>
        <v/>
      </c>
    </row>
    <row r="47" ht="15.75" customHeight="1">
      <c r="A47" s="7"/>
      <c r="B47" s="7"/>
      <c r="C47" s="7"/>
      <c r="D47" s="10" t="s">
        <v>105</v>
      </c>
      <c r="E47" s="11"/>
      <c r="F47" s="4" t="str">
        <f>IF($A47="","",IF(ISNUMBER(MATCH($A47,'Golpes extras'!$A$2:$A$101,0)),"Sim","Não"))</f>
        <v/>
      </c>
      <c r="G47" s="4" t="str">
        <f t="array" ref="G47">IF($A47="","",IF($F47="Sim",INDEX('Golpes extras'!$B$2:$B$101,MATCH($A47,'Golpes extras'!$A$2:$A$101,0))&amp;"",$A47))</f>
        <v/>
      </c>
      <c r="H47" s="4" t="str">
        <f>IF($G47="","",IFERROR(MATCH($G47,L_Golpes!$A$2:$A$6000,0),""))</f>
        <v/>
      </c>
      <c r="I47" s="4" t="str">
        <f t="array" ref="I47">IF($A47="","",IF(ISNUMBER($H47),INDEX(L_Golpes!$B$2:$B$6000,$H47),IF(IFERROR(INDEX('Golpes extras'!$C$2:$C$101,MATCH($A47,'Golpes extras'!$A$2:$A$101,0))&amp;"","")&lt;&gt;"",INDEX('Golpes extras'!$C$2:$C$101,MATCH($A47,'Golpes extras'!$A$2:$A$101,0))&amp;"","golpe?")))</f>
        <v/>
      </c>
      <c r="J47" s="4" t="str">
        <f>IF(OR($I47="",$I47="golpe?"),"",IFERROR(MATCH($I47,Time!$B$4:$E$4,0),"fora do time"))</f>
        <v/>
      </c>
      <c r="K47" s="4" t="str">
        <f t="array" ref="K47">IF(ISNUMBER($J47),IF(IFERROR(INDEX('Golpes extras'!$D$2:$D$101,MATCH($A47,'Golpes extras'!$A$2:$A$101,0))&amp;"","")&lt;&gt;"",INDEX('Golpes extras'!$D$2:$D$101,MATCH($A47,'Golpes extras'!$A$2:$A$101,0))&amp;"",IF(ISNUMBER($H47),INDEX(L_Golpes!$D$2:$D$6000,$H47),"Outro")),"")</f>
        <v/>
      </c>
      <c r="L47" s="4" t="str">
        <f t="array" ref="L47">IF(ISNUMBER($J47),IF(ISNUMBER($H47),INDEX(L_Golpes!$C$2:$C$6000,$H47),""),"")</f>
        <v/>
      </c>
      <c r="M47" s="4" t="str">
        <f t="array" ref="M47">IF(ISNUMBER($J47),IF($L47="Normal",INDEX('Cálculos'!$C$14:$F$14,$J47),IF($L47="Habilidade",INDEX('Cálculos'!$C$15:$F$15,$J47),IF($L47="Supremo",INDEX('Cálculos'!$C$16:$F$16,$J47),""))),"")</f>
        <v/>
      </c>
      <c r="N47" s="16" t="str">
        <f t="array" ref="N47">IF(ISNUMBER($J47),IF(ISNUMBER($H47),INDEX(L_Golpes!$F$2:$T$6000,$H47,MAX(1,MIN(15,$M47))),0)+IF($F47="Sim",N(INDEX('Golpes extras'!$E$2:$E$101,MATCH($A47,'Golpes extras'!$A$2:$A$101,0))),0),"")</f>
        <v/>
      </c>
      <c r="O47" s="17" t="str">
        <f t="array" ref="O47">IF(ISNUMBER($J47),IF(ISNUMBER($H47),INDEX(L_Golpes!$U$2:$AI$6000,$H47,MAX(1,MIN(15,$M47))),0)+IF($F47="Sim",N(INDEX('Golpes extras'!$F$2:$F$101,MATCH($A47,'Golpes extras'!$A$2:$A$101,0))),0),"")</f>
        <v/>
      </c>
      <c r="P47" s="16" t="str">
        <f t="array" ref="P47">IF(ISNUMBER($J47),IF(ISNUMBER($H47),INDEX(L_Golpes!$AJ$2:$AX$6000,$H47,MAX(1,MIN(15,$M47))),0)+IF($F47="Sim",N(INDEX('Golpes extras'!$G$2:$G$101,MATCH($A47,'Golpes extras'!$A$2:$A$101,0))),0),"")</f>
        <v/>
      </c>
      <c r="Q47" s="16" t="str">
        <f t="array" ref="Q47">IF(ISNUMBER($J47),IF(ISNUMBER($H47),INDEX(L_Golpes!$AY$2:$BM$6000,$H47,MAX(1,MIN(15,$M47))),0)+IF($F47="Sim",N(INDEX('Golpes extras'!$H$2:$H$101,MATCH($A47,'Golpes extras'!$A$2:$A$101,0))),0),"")</f>
        <v/>
      </c>
      <c r="R47" s="4" t="str">
        <f t="array" ref="R47">IF(ISNUMBER($J47),INDEX('Cálculos'!$C$19:$F$19,$J47),"")</f>
        <v/>
      </c>
      <c r="S47" s="4" t="str">
        <f t="shared" si="1"/>
        <v/>
      </c>
      <c r="T47" s="4" t="str">
        <f>IF(ISNUMBER($J47),IF(OR($D47="Não",$D47=FALSE),'Perfis de buff'!$A$8,IF(OR($D47="",$D47="Sim",$D47=TRUE),'Perfis de buff'!$A$4,$D47)),"")</f>
        <v/>
      </c>
      <c r="U47" s="22" t="str">
        <f t="array" ref="U47">IF(ISNUMBER($J47),INDEX('Cálculos'!$C$113:$F$113,$J47)+IF($K47="Normal",INDEX('Cálculos'!$C$114:$F$114,$J47),IF($K47="Carregado",INDEX('Cálculos'!$C$115:$F$115,$J47),IF($K47="Habilidade",INDEX('Cálculos'!$C$116:$F$116,$J47),IF($K47="Supremo",INDEX('Cálculos'!$C$117:$F$117,$J47),0))))+INDEX('Cálculos'!$C$143:$F$147,IFERROR(MATCH($T47,'Perfis de buff'!$A$4:$A$8,0),1),$J47)+IF($K47="Normal",INDEX('Cálculos'!$C$148:$F$152,IFERROR(MATCH($T47,'Perfis de buff'!$A$4:$A$8,0),1),$J47),IF($K47="Carregado",INDEX('Cálculos'!$C$153:$F$157,IFERROR(MATCH($T47,'Perfis de buff'!$A$4:$A$8,0),1),$J47),IF($K47="Habilidade",INDEX('Cálculos'!$C$158:$F$162,IFERROR(MATCH($T47,'Perfis de buff'!$A$4:$A$8,0),1),$J47),IF($K47="Supremo",INDEX('Cálculos'!$C$163:$F$167,IFERROR(MATCH($T47,'Perfis de buff'!$A$4:$A$8,0),1),$J47),0))))+N($E47),"")</f>
        <v/>
      </c>
      <c r="V47" s="16" t="str">
        <f t="array" ref="V47">IF(ISNUMBER($J47),INDEX('Cálculos'!$C$180:$F$180,$J47),"")</f>
        <v/>
      </c>
      <c r="W47" s="16" t="str">
        <f t="array" ref="W47">IF(ISNUMBER($J47),INDEX('Cálculos'!$C$182:$F$182,$J47),"")</f>
        <v/>
      </c>
      <c r="X47" s="16" t="str">
        <f t="shared" si="2"/>
        <v/>
      </c>
      <c r="Y47" s="16" t="str">
        <f t="shared" si="3"/>
        <v/>
      </c>
      <c r="Z47" s="16" t="str">
        <f t="shared" si="4"/>
        <v/>
      </c>
      <c r="AA47" s="16" t="str">
        <f t="shared" si="5"/>
        <v/>
      </c>
      <c r="AB47" s="16" t="str">
        <f t="shared" si="6"/>
        <v/>
      </c>
      <c r="AC47" s="21" t="str">
        <f t="array" ref="AC47">IF(ISNUMBER($J47),INDEX('Cálculos'!$C$332:$F$336,IFERROR(MATCH($T47,'Perfis de buff'!$A$4:$A$8,0),1),$J47),"")</f>
        <v/>
      </c>
      <c r="AD47" s="21" t="str">
        <f t="array" ref="AD47">IF(ISNUMBER($J47),INDEX('Cálculos'!$C$339:$F$343,IFERROR(MATCH($T47,'Perfis de buff'!$A$4:$A$8,0),1),$J47),"")</f>
        <v/>
      </c>
      <c r="AE47" s="21" t="str">
        <f t="array" ref="AE47">IF(ISNUMBER($J47),INDEX('Cálculos'!$C$337:$F$337,$J47),"")</f>
        <v/>
      </c>
      <c r="AF47" s="21" t="str">
        <f t="array" ref="AF47">IF(ISNUMBER($J47),INDEX('Cálculos'!$C$338:$F$338,$J47),"")</f>
        <v/>
      </c>
      <c r="AG47" s="16" t="str">
        <f t="array" ref="AG47">IF(ISNUMBER($J47),IF($S47="Derreter",INDEX('Cálculos'!$C$124:$F$124,$J47)*(1+2.78*$AD47/($AD47+1400)+INDEX('Cálculos'!$C$122:$F$122,$J47)),IF($S47="Vaporizar",INDEX('Cálculos'!$C$125:$F$125,$J47)*(1+2.78*$AD47/($AD47+1400)+INDEX('Cálculos'!$C$123:$F$123,$J47)),1)),"")</f>
        <v/>
      </c>
      <c r="AH47" s="21" t="str">
        <f t="shared" si="7"/>
        <v/>
      </c>
      <c r="AI47" s="21" t="str">
        <f t="array" ref="AI47">IF(ISNUMBER($J47),$AH47*(1+INDEX('Cálculos'!$C$331:$F$331,$J47)),"")</f>
        <v/>
      </c>
      <c r="AJ47" s="21" t="str">
        <f t="array" ref="AJ47">IF(ISNUMBER($J47),$AH47*(1+MIN(INDEX('Cálculos'!$C$330:$F$330,$J47),1)*INDEX('Cálculos'!$C$331:$F$331,$J47)),"")</f>
        <v/>
      </c>
      <c r="AK47" s="21" t="str">
        <f>IF(ISNUMBER($J47),'Fixo (cálculo)'!$AF47,"")</f>
        <v/>
      </c>
      <c r="AL47" s="26" t="str">
        <f t="shared" si="8"/>
        <v/>
      </c>
    </row>
    <row r="48" ht="15.75" customHeight="1">
      <c r="A48" s="7"/>
      <c r="B48" s="7"/>
      <c r="C48" s="7"/>
      <c r="D48" s="10" t="s">
        <v>105</v>
      </c>
      <c r="E48" s="11"/>
      <c r="F48" s="4" t="str">
        <f>IF($A48="","",IF(ISNUMBER(MATCH($A48,'Golpes extras'!$A$2:$A$101,0)),"Sim","Não"))</f>
        <v/>
      </c>
      <c r="G48" s="4" t="str">
        <f t="array" ref="G48">IF($A48="","",IF($F48="Sim",INDEX('Golpes extras'!$B$2:$B$101,MATCH($A48,'Golpes extras'!$A$2:$A$101,0))&amp;"",$A48))</f>
        <v/>
      </c>
      <c r="H48" s="4" t="str">
        <f>IF($G48="","",IFERROR(MATCH($G48,L_Golpes!$A$2:$A$6000,0),""))</f>
        <v/>
      </c>
      <c r="I48" s="4" t="str">
        <f t="array" ref="I48">IF($A48="","",IF(ISNUMBER($H48),INDEX(L_Golpes!$B$2:$B$6000,$H48),IF(IFERROR(INDEX('Golpes extras'!$C$2:$C$101,MATCH($A48,'Golpes extras'!$A$2:$A$101,0))&amp;"","")&lt;&gt;"",INDEX('Golpes extras'!$C$2:$C$101,MATCH($A48,'Golpes extras'!$A$2:$A$101,0))&amp;"","golpe?")))</f>
        <v/>
      </c>
      <c r="J48" s="4" t="str">
        <f>IF(OR($I48="",$I48="golpe?"),"",IFERROR(MATCH($I48,Time!$B$4:$E$4,0),"fora do time"))</f>
        <v/>
      </c>
      <c r="K48" s="4" t="str">
        <f t="array" ref="K48">IF(ISNUMBER($J48),IF(IFERROR(INDEX('Golpes extras'!$D$2:$D$101,MATCH($A48,'Golpes extras'!$A$2:$A$101,0))&amp;"","")&lt;&gt;"",INDEX('Golpes extras'!$D$2:$D$101,MATCH($A48,'Golpes extras'!$A$2:$A$101,0))&amp;"",IF(ISNUMBER($H48),INDEX(L_Golpes!$D$2:$D$6000,$H48),"Outro")),"")</f>
        <v/>
      </c>
      <c r="L48" s="4" t="str">
        <f t="array" ref="L48">IF(ISNUMBER($J48),IF(ISNUMBER($H48),INDEX(L_Golpes!$C$2:$C$6000,$H48),""),"")</f>
        <v/>
      </c>
      <c r="M48" s="4" t="str">
        <f t="array" ref="M48">IF(ISNUMBER($J48),IF($L48="Normal",INDEX('Cálculos'!$C$14:$F$14,$J48),IF($L48="Habilidade",INDEX('Cálculos'!$C$15:$F$15,$J48),IF($L48="Supremo",INDEX('Cálculos'!$C$16:$F$16,$J48),""))),"")</f>
        <v/>
      </c>
      <c r="N48" s="16" t="str">
        <f t="array" ref="N48">IF(ISNUMBER($J48),IF(ISNUMBER($H48),INDEX(L_Golpes!$F$2:$T$6000,$H48,MAX(1,MIN(15,$M48))),0)+IF($F48="Sim",N(INDEX('Golpes extras'!$E$2:$E$101,MATCH($A48,'Golpes extras'!$A$2:$A$101,0))),0),"")</f>
        <v/>
      </c>
      <c r="O48" s="17" t="str">
        <f t="array" ref="O48">IF(ISNUMBER($J48),IF(ISNUMBER($H48),INDEX(L_Golpes!$U$2:$AI$6000,$H48,MAX(1,MIN(15,$M48))),0)+IF($F48="Sim",N(INDEX('Golpes extras'!$F$2:$F$101,MATCH($A48,'Golpes extras'!$A$2:$A$101,0))),0),"")</f>
        <v/>
      </c>
      <c r="P48" s="16" t="str">
        <f t="array" ref="P48">IF(ISNUMBER($J48),IF(ISNUMBER($H48),INDEX(L_Golpes!$AJ$2:$AX$6000,$H48,MAX(1,MIN(15,$M48))),0)+IF($F48="Sim",N(INDEX('Golpes extras'!$G$2:$G$101,MATCH($A48,'Golpes extras'!$A$2:$A$101,0))),0),"")</f>
        <v/>
      </c>
      <c r="Q48" s="16" t="str">
        <f t="array" ref="Q48">IF(ISNUMBER($J48),IF(ISNUMBER($H48),INDEX(L_Golpes!$AY$2:$BM$6000,$H48,MAX(1,MIN(15,$M48))),0)+IF($F48="Sim",N(INDEX('Golpes extras'!$H$2:$H$101,MATCH($A48,'Golpes extras'!$A$2:$A$101,0))),0),"")</f>
        <v/>
      </c>
      <c r="R48" s="4" t="str">
        <f t="array" ref="R48">IF(ISNUMBER($J48),INDEX('Cálculos'!$C$19:$F$19,$J48),"")</f>
        <v/>
      </c>
      <c r="S48" s="4" t="str">
        <f t="shared" si="1"/>
        <v/>
      </c>
      <c r="T48" s="4" t="str">
        <f>IF(ISNUMBER($J48),IF(OR($D48="Não",$D48=FALSE),'Perfis de buff'!$A$8,IF(OR($D48="",$D48="Sim",$D48=TRUE),'Perfis de buff'!$A$4,$D48)),"")</f>
        <v/>
      </c>
      <c r="U48" s="22" t="str">
        <f t="array" ref="U48">IF(ISNUMBER($J48),INDEX('Cálculos'!$C$113:$F$113,$J48)+IF($K48="Normal",INDEX('Cálculos'!$C$114:$F$114,$J48),IF($K48="Carregado",INDEX('Cálculos'!$C$115:$F$115,$J48),IF($K48="Habilidade",INDEX('Cálculos'!$C$116:$F$116,$J48),IF($K48="Supremo",INDEX('Cálculos'!$C$117:$F$117,$J48),0))))+INDEX('Cálculos'!$C$143:$F$147,IFERROR(MATCH($T48,'Perfis de buff'!$A$4:$A$8,0),1),$J48)+IF($K48="Normal",INDEX('Cálculos'!$C$148:$F$152,IFERROR(MATCH($T48,'Perfis de buff'!$A$4:$A$8,0),1),$J48),IF($K48="Carregado",INDEX('Cálculos'!$C$153:$F$157,IFERROR(MATCH($T48,'Perfis de buff'!$A$4:$A$8,0),1),$J48),IF($K48="Habilidade",INDEX('Cálculos'!$C$158:$F$162,IFERROR(MATCH($T48,'Perfis de buff'!$A$4:$A$8,0),1),$J48),IF($K48="Supremo",INDEX('Cálculos'!$C$163:$F$167,IFERROR(MATCH($T48,'Perfis de buff'!$A$4:$A$8,0),1),$J48),0))))+N($E48),"")</f>
        <v/>
      </c>
      <c r="V48" s="16" t="str">
        <f t="array" ref="V48">IF(ISNUMBER($J48),INDEX('Cálculos'!$C$180:$F$180,$J48),"")</f>
        <v/>
      </c>
      <c r="W48" s="16" t="str">
        <f t="array" ref="W48">IF(ISNUMBER($J48),INDEX('Cálculos'!$C$182:$F$182,$J48),"")</f>
        <v/>
      </c>
      <c r="X48" s="16" t="str">
        <f t="shared" si="2"/>
        <v/>
      </c>
      <c r="Y48" s="16" t="str">
        <f t="shared" si="3"/>
        <v/>
      </c>
      <c r="Z48" s="16" t="str">
        <f t="shared" si="4"/>
        <v/>
      </c>
      <c r="AA48" s="16" t="str">
        <f t="shared" si="5"/>
        <v/>
      </c>
      <c r="AB48" s="16" t="str">
        <f t="shared" si="6"/>
        <v/>
      </c>
      <c r="AC48" s="21" t="str">
        <f t="array" ref="AC48">IF(ISNUMBER($J48),INDEX('Cálculos'!$C$332:$F$336,IFERROR(MATCH($T48,'Perfis de buff'!$A$4:$A$8,0),1),$J48),"")</f>
        <v/>
      </c>
      <c r="AD48" s="21" t="str">
        <f t="array" ref="AD48">IF(ISNUMBER($J48),INDEX('Cálculos'!$C$339:$F$343,IFERROR(MATCH($T48,'Perfis de buff'!$A$4:$A$8,0),1),$J48),"")</f>
        <v/>
      </c>
      <c r="AE48" s="21" t="str">
        <f t="array" ref="AE48">IF(ISNUMBER($J48),INDEX('Cálculos'!$C$337:$F$337,$J48),"")</f>
        <v/>
      </c>
      <c r="AF48" s="21" t="str">
        <f t="array" ref="AF48">IF(ISNUMBER($J48),INDEX('Cálculos'!$C$338:$F$338,$J48),"")</f>
        <v/>
      </c>
      <c r="AG48" s="16" t="str">
        <f t="array" ref="AG48">IF(ISNUMBER($J48),IF($S48="Derreter",INDEX('Cálculos'!$C$124:$F$124,$J48)*(1+2.78*$AD48/($AD48+1400)+INDEX('Cálculos'!$C$122:$F$122,$J48)),IF($S48="Vaporizar",INDEX('Cálculos'!$C$125:$F$125,$J48)*(1+2.78*$AD48/($AD48+1400)+INDEX('Cálculos'!$C$123:$F$123,$J48)),1)),"")</f>
        <v/>
      </c>
      <c r="AH48" s="21" t="str">
        <f t="shared" si="7"/>
        <v/>
      </c>
      <c r="AI48" s="21" t="str">
        <f t="array" ref="AI48">IF(ISNUMBER($J48),$AH48*(1+INDEX('Cálculos'!$C$331:$F$331,$J48)),"")</f>
        <v/>
      </c>
      <c r="AJ48" s="21" t="str">
        <f t="array" ref="AJ48">IF(ISNUMBER($J48),$AH48*(1+MIN(INDEX('Cálculos'!$C$330:$F$330,$J48),1)*INDEX('Cálculos'!$C$331:$F$331,$J48)),"")</f>
        <v/>
      </c>
      <c r="AK48" s="21" t="str">
        <f>IF(ISNUMBER($J48),'Fixo (cálculo)'!$AF48,"")</f>
        <v/>
      </c>
      <c r="AL48" s="26" t="str">
        <f t="shared" si="8"/>
        <v/>
      </c>
    </row>
    <row r="49" ht="15.75" customHeight="1">
      <c r="A49" s="7"/>
      <c r="B49" s="7"/>
      <c r="C49" s="7"/>
      <c r="D49" s="10" t="s">
        <v>105</v>
      </c>
      <c r="E49" s="11"/>
      <c r="F49" s="4" t="str">
        <f>IF($A49="","",IF(ISNUMBER(MATCH($A49,'Golpes extras'!$A$2:$A$101,0)),"Sim","Não"))</f>
        <v/>
      </c>
      <c r="G49" s="4" t="str">
        <f t="array" ref="G49">IF($A49="","",IF($F49="Sim",INDEX('Golpes extras'!$B$2:$B$101,MATCH($A49,'Golpes extras'!$A$2:$A$101,0))&amp;"",$A49))</f>
        <v/>
      </c>
      <c r="H49" s="4" t="str">
        <f>IF($G49="","",IFERROR(MATCH($G49,L_Golpes!$A$2:$A$6000,0),""))</f>
        <v/>
      </c>
      <c r="I49" s="4" t="str">
        <f t="array" ref="I49">IF($A49="","",IF(ISNUMBER($H49),INDEX(L_Golpes!$B$2:$B$6000,$H49),IF(IFERROR(INDEX('Golpes extras'!$C$2:$C$101,MATCH($A49,'Golpes extras'!$A$2:$A$101,0))&amp;"","")&lt;&gt;"",INDEX('Golpes extras'!$C$2:$C$101,MATCH($A49,'Golpes extras'!$A$2:$A$101,0))&amp;"","golpe?")))</f>
        <v/>
      </c>
      <c r="J49" s="4" t="str">
        <f>IF(OR($I49="",$I49="golpe?"),"",IFERROR(MATCH($I49,Time!$B$4:$E$4,0),"fora do time"))</f>
        <v/>
      </c>
      <c r="K49" s="4" t="str">
        <f t="array" ref="K49">IF(ISNUMBER($J49),IF(IFERROR(INDEX('Golpes extras'!$D$2:$D$101,MATCH($A49,'Golpes extras'!$A$2:$A$101,0))&amp;"","")&lt;&gt;"",INDEX('Golpes extras'!$D$2:$D$101,MATCH($A49,'Golpes extras'!$A$2:$A$101,0))&amp;"",IF(ISNUMBER($H49),INDEX(L_Golpes!$D$2:$D$6000,$H49),"Outro")),"")</f>
        <v/>
      </c>
      <c r="L49" s="4" t="str">
        <f t="array" ref="L49">IF(ISNUMBER($J49),IF(ISNUMBER($H49),INDEX(L_Golpes!$C$2:$C$6000,$H49),""),"")</f>
        <v/>
      </c>
      <c r="M49" s="4" t="str">
        <f t="array" ref="M49">IF(ISNUMBER($J49),IF($L49="Normal",INDEX('Cálculos'!$C$14:$F$14,$J49),IF($L49="Habilidade",INDEX('Cálculos'!$C$15:$F$15,$J49),IF($L49="Supremo",INDEX('Cálculos'!$C$16:$F$16,$J49),""))),"")</f>
        <v/>
      </c>
      <c r="N49" s="16" t="str">
        <f t="array" ref="N49">IF(ISNUMBER($J49),IF(ISNUMBER($H49),INDEX(L_Golpes!$F$2:$T$6000,$H49,MAX(1,MIN(15,$M49))),0)+IF($F49="Sim",N(INDEX('Golpes extras'!$E$2:$E$101,MATCH($A49,'Golpes extras'!$A$2:$A$101,0))),0),"")</f>
        <v/>
      </c>
      <c r="O49" s="17" t="str">
        <f t="array" ref="O49">IF(ISNUMBER($J49),IF(ISNUMBER($H49),INDEX(L_Golpes!$U$2:$AI$6000,$H49,MAX(1,MIN(15,$M49))),0)+IF($F49="Sim",N(INDEX('Golpes extras'!$F$2:$F$101,MATCH($A49,'Golpes extras'!$A$2:$A$101,0))),0),"")</f>
        <v/>
      </c>
      <c r="P49" s="16" t="str">
        <f t="array" ref="P49">IF(ISNUMBER($J49),IF(ISNUMBER($H49),INDEX(L_Golpes!$AJ$2:$AX$6000,$H49,MAX(1,MIN(15,$M49))),0)+IF($F49="Sim",N(INDEX('Golpes extras'!$G$2:$G$101,MATCH($A49,'Golpes extras'!$A$2:$A$101,0))),0),"")</f>
        <v/>
      </c>
      <c r="Q49" s="16" t="str">
        <f t="array" ref="Q49">IF(ISNUMBER($J49),IF(ISNUMBER($H49),INDEX(L_Golpes!$AY$2:$BM$6000,$H49,MAX(1,MIN(15,$M49))),0)+IF($F49="Sim",N(INDEX('Golpes extras'!$H$2:$H$101,MATCH($A49,'Golpes extras'!$A$2:$A$101,0))),0),"")</f>
        <v/>
      </c>
      <c r="R49" s="4" t="str">
        <f t="array" ref="R49">IF(ISNUMBER($J49),INDEX('Cálculos'!$C$19:$F$19,$J49),"")</f>
        <v/>
      </c>
      <c r="S49" s="4" t="str">
        <f t="shared" si="1"/>
        <v/>
      </c>
      <c r="T49" s="4" t="str">
        <f>IF(ISNUMBER($J49),IF(OR($D49="Não",$D49=FALSE),'Perfis de buff'!$A$8,IF(OR($D49="",$D49="Sim",$D49=TRUE),'Perfis de buff'!$A$4,$D49)),"")</f>
        <v/>
      </c>
      <c r="U49" s="22" t="str">
        <f t="array" ref="U49">IF(ISNUMBER($J49),INDEX('Cálculos'!$C$113:$F$113,$J49)+IF($K49="Normal",INDEX('Cálculos'!$C$114:$F$114,$J49),IF($K49="Carregado",INDEX('Cálculos'!$C$115:$F$115,$J49),IF($K49="Habilidade",INDEX('Cálculos'!$C$116:$F$116,$J49),IF($K49="Supremo",INDEX('Cálculos'!$C$117:$F$117,$J49),0))))+INDEX('Cálculos'!$C$143:$F$147,IFERROR(MATCH($T49,'Perfis de buff'!$A$4:$A$8,0),1),$J49)+IF($K49="Normal",INDEX('Cálculos'!$C$148:$F$152,IFERROR(MATCH($T49,'Perfis de buff'!$A$4:$A$8,0),1),$J49),IF($K49="Carregado",INDEX('Cálculos'!$C$153:$F$157,IFERROR(MATCH($T49,'Perfis de buff'!$A$4:$A$8,0),1),$J49),IF($K49="Habilidade",INDEX('Cálculos'!$C$158:$F$162,IFERROR(MATCH($T49,'Perfis de buff'!$A$4:$A$8,0),1),$J49),IF($K49="Supremo",INDEX('Cálculos'!$C$163:$F$167,IFERROR(MATCH($T49,'Perfis de buff'!$A$4:$A$8,0),1),$J49),0))))+N($E49),"")</f>
        <v/>
      </c>
      <c r="V49" s="16" t="str">
        <f t="array" ref="V49">IF(ISNUMBER($J49),INDEX('Cálculos'!$C$180:$F$180,$J49),"")</f>
        <v/>
      </c>
      <c r="W49" s="16" t="str">
        <f t="array" ref="W49">IF(ISNUMBER($J49),INDEX('Cálculos'!$C$182:$F$182,$J49),"")</f>
        <v/>
      </c>
      <c r="X49" s="16" t="str">
        <f t="shared" si="2"/>
        <v/>
      </c>
      <c r="Y49" s="16" t="str">
        <f t="shared" si="3"/>
        <v/>
      </c>
      <c r="Z49" s="16" t="str">
        <f t="shared" si="4"/>
        <v/>
      </c>
      <c r="AA49" s="16" t="str">
        <f t="shared" si="5"/>
        <v/>
      </c>
      <c r="AB49" s="16" t="str">
        <f t="shared" si="6"/>
        <v/>
      </c>
      <c r="AC49" s="21" t="str">
        <f t="array" ref="AC49">IF(ISNUMBER($J49),INDEX('Cálculos'!$C$332:$F$336,IFERROR(MATCH($T49,'Perfis de buff'!$A$4:$A$8,0),1),$J49),"")</f>
        <v/>
      </c>
      <c r="AD49" s="21" t="str">
        <f t="array" ref="AD49">IF(ISNUMBER($J49),INDEX('Cálculos'!$C$339:$F$343,IFERROR(MATCH($T49,'Perfis de buff'!$A$4:$A$8,0),1),$J49),"")</f>
        <v/>
      </c>
      <c r="AE49" s="21" t="str">
        <f t="array" ref="AE49">IF(ISNUMBER($J49),INDEX('Cálculos'!$C$337:$F$337,$J49),"")</f>
        <v/>
      </c>
      <c r="AF49" s="21" t="str">
        <f t="array" ref="AF49">IF(ISNUMBER($J49),INDEX('Cálculos'!$C$338:$F$338,$J49),"")</f>
        <v/>
      </c>
      <c r="AG49" s="16" t="str">
        <f t="array" ref="AG49">IF(ISNUMBER($J49),IF($S49="Derreter",INDEX('Cálculos'!$C$124:$F$124,$J49)*(1+2.78*$AD49/($AD49+1400)+INDEX('Cálculos'!$C$122:$F$122,$J49)),IF($S49="Vaporizar",INDEX('Cálculos'!$C$125:$F$125,$J49)*(1+2.78*$AD49/($AD49+1400)+INDEX('Cálculos'!$C$123:$F$123,$J49)),1)),"")</f>
        <v/>
      </c>
      <c r="AH49" s="21" t="str">
        <f t="shared" si="7"/>
        <v/>
      </c>
      <c r="AI49" s="21" t="str">
        <f t="array" ref="AI49">IF(ISNUMBER($J49),$AH49*(1+INDEX('Cálculos'!$C$331:$F$331,$J49)),"")</f>
        <v/>
      </c>
      <c r="AJ49" s="21" t="str">
        <f t="array" ref="AJ49">IF(ISNUMBER($J49),$AH49*(1+MIN(INDEX('Cálculos'!$C$330:$F$330,$J49),1)*INDEX('Cálculos'!$C$331:$F$331,$J49)),"")</f>
        <v/>
      </c>
      <c r="AK49" s="21" t="str">
        <f>IF(ISNUMBER($J49),'Fixo (cálculo)'!$AF49,"")</f>
        <v/>
      </c>
      <c r="AL49" s="26" t="str">
        <f t="shared" si="8"/>
        <v/>
      </c>
    </row>
    <row r="50" ht="15.75" customHeight="1">
      <c r="A50" s="7"/>
      <c r="B50" s="7"/>
      <c r="C50" s="7"/>
      <c r="D50" s="10" t="s">
        <v>105</v>
      </c>
      <c r="E50" s="11"/>
      <c r="F50" s="4" t="str">
        <f>IF($A50="","",IF(ISNUMBER(MATCH($A50,'Golpes extras'!$A$2:$A$101,0)),"Sim","Não"))</f>
        <v/>
      </c>
      <c r="G50" s="4" t="str">
        <f t="array" ref="G50">IF($A50="","",IF($F50="Sim",INDEX('Golpes extras'!$B$2:$B$101,MATCH($A50,'Golpes extras'!$A$2:$A$101,0))&amp;"",$A50))</f>
        <v/>
      </c>
      <c r="H50" s="4" t="str">
        <f>IF($G50="","",IFERROR(MATCH($G50,L_Golpes!$A$2:$A$6000,0),""))</f>
        <v/>
      </c>
      <c r="I50" s="4" t="str">
        <f t="array" ref="I50">IF($A50="","",IF(ISNUMBER($H50),INDEX(L_Golpes!$B$2:$B$6000,$H50),IF(IFERROR(INDEX('Golpes extras'!$C$2:$C$101,MATCH($A50,'Golpes extras'!$A$2:$A$101,0))&amp;"","")&lt;&gt;"",INDEX('Golpes extras'!$C$2:$C$101,MATCH($A50,'Golpes extras'!$A$2:$A$101,0))&amp;"","golpe?")))</f>
        <v/>
      </c>
      <c r="J50" s="4" t="str">
        <f>IF(OR($I50="",$I50="golpe?"),"",IFERROR(MATCH($I50,Time!$B$4:$E$4,0),"fora do time"))</f>
        <v/>
      </c>
      <c r="K50" s="4" t="str">
        <f t="array" ref="K50">IF(ISNUMBER($J50),IF(IFERROR(INDEX('Golpes extras'!$D$2:$D$101,MATCH($A50,'Golpes extras'!$A$2:$A$101,0))&amp;"","")&lt;&gt;"",INDEX('Golpes extras'!$D$2:$D$101,MATCH($A50,'Golpes extras'!$A$2:$A$101,0))&amp;"",IF(ISNUMBER($H50),INDEX(L_Golpes!$D$2:$D$6000,$H50),"Outro")),"")</f>
        <v/>
      </c>
      <c r="L50" s="4" t="str">
        <f t="array" ref="L50">IF(ISNUMBER($J50),IF(ISNUMBER($H50),INDEX(L_Golpes!$C$2:$C$6000,$H50),""),"")</f>
        <v/>
      </c>
      <c r="M50" s="4" t="str">
        <f t="array" ref="M50">IF(ISNUMBER($J50),IF($L50="Normal",INDEX('Cálculos'!$C$14:$F$14,$J50),IF($L50="Habilidade",INDEX('Cálculos'!$C$15:$F$15,$J50),IF($L50="Supremo",INDEX('Cálculos'!$C$16:$F$16,$J50),""))),"")</f>
        <v/>
      </c>
      <c r="N50" s="16" t="str">
        <f t="array" ref="N50">IF(ISNUMBER($J50),IF(ISNUMBER($H50),INDEX(L_Golpes!$F$2:$T$6000,$H50,MAX(1,MIN(15,$M50))),0)+IF($F50="Sim",N(INDEX('Golpes extras'!$E$2:$E$101,MATCH($A50,'Golpes extras'!$A$2:$A$101,0))),0),"")</f>
        <v/>
      </c>
      <c r="O50" s="17" t="str">
        <f t="array" ref="O50">IF(ISNUMBER($J50),IF(ISNUMBER($H50),INDEX(L_Golpes!$U$2:$AI$6000,$H50,MAX(1,MIN(15,$M50))),0)+IF($F50="Sim",N(INDEX('Golpes extras'!$F$2:$F$101,MATCH($A50,'Golpes extras'!$A$2:$A$101,0))),0),"")</f>
        <v/>
      </c>
      <c r="P50" s="16" t="str">
        <f t="array" ref="P50">IF(ISNUMBER($J50),IF(ISNUMBER($H50),INDEX(L_Golpes!$AJ$2:$AX$6000,$H50,MAX(1,MIN(15,$M50))),0)+IF($F50="Sim",N(INDEX('Golpes extras'!$G$2:$G$101,MATCH($A50,'Golpes extras'!$A$2:$A$101,0))),0),"")</f>
        <v/>
      </c>
      <c r="Q50" s="16" t="str">
        <f t="array" ref="Q50">IF(ISNUMBER($J50),IF(ISNUMBER($H50),INDEX(L_Golpes!$AY$2:$BM$6000,$H50,MAX(1,MIN(15,$M50))),0)+IF($F50="Sim",N(INDEX('Golpes extras'!$H$2:$H$101,MATCH($A50,'Golpes extras'!$A$2:$A$101,0))),0),"")</f>
        <v/>
      </c>
      <c r="R50" s="4" t="str">
        <f t="array" ref="R50">IF(ISNUMBER($J50),INDEX('Cálculos'!$C$19:$F$19,$J50),"")</f>
        <v/>
      </c>
      <c r="S50" s="4" t="str">
        <f t="shared" si="1"/>
        <v/>
      </c>
      <c r="T50" s="4" t="str">
        <f>IF(ISNUMBER($J50),IF(OR($D50="Não",$D50=FALSE),'Perfis de buff'!$A$8,IF(OR($D50="",$D50="Sim",$D50=TRUE),'Perfis de buff'!$A$4,$D50)),"")</f>
        <v/>
      </c>
      <c r="U50" s="22" t="str">
        <f t="array" ref="U50">IF(ISNUMBER($J50),INDEX('Cálculos'!$C$113:$F$113,$J50)+IF($K50="Normal",INDEX('Cálculos'!$C$114:$F$114,$J50),IF($K50="Carregado",INDEX('Cálculos'!$C$115:$F$115,$J50),IF($K50="Habilidade",INDEX('Cálculos'!$C$116:$F$116,$J50),IF($K50="Supremo",INDEX('Cálculos'!$C$117:$F$117,$J50),0))))+INDEX('Cálculos'!$C$143:$F$147,IFERROR(MATCH($T50,'Perfis de buff'!$A$4:$A$8,0),1),$J50)+IF($K50="Normal",INDEX('Cálculos'!$C$148:$F$152,IFERROR(MATCH($T50,'Perfis de buff'!$A$4:$A$8,0),1),$J50),IF($K50="Carregado",INDEX('Cálculos'!$C$153:$F$157,IFERROR(MATCH($T50,'Perfis de buff'!$A$4:$A$8,0),1),$J50),IF($K50="Habilidade",INDEX('Cálculos'!$C$158:$F$162,IFERROR(MATCH($T50,'Perfis de buff'!$A$4:$A$8,0),1),$J50),IF($K50="Supremo",INDEX('Cálculos'!$C$163:$F$167,IFERROR(MATCH($T50,'Perfis de buff'!$A$4:$A$8,0),1),$J50),0))))+N($E50),"")</f>
        <v/>
      </c>
      <c r="V50" s="16" t="str">
        <f t="array" ref="V50">IF(ISNUMBER($J50),INDEX('Cálculos'!$C$180:$F$180,$J50),"")</f>
        <v/>
      </c>
      <c r="W50" s="16" t="str">
        <f t="array" ref="W50">IF(ISNUMBER($J50),INDEX('Cálculos'!$C$182:$F$182,$J50),"")</f>
        <v/>
      </c>
      <c r="X50" s="16" t="str">
        <f t="shared" si="2"/>
        <v/>
      </c>
      <c r="Y50" s="16" t="str">
        <f t="shared" si="3"/>
        <v/>
      </c>
      <c r="Z50" s="16" t="str">
        <f t="shared" si="4"/>
        <v/>
      </c>
      <c r="AA50" s="16" t="str">
        <f t="shared" si="5"/>
        <v/>
      </c>
      <c r="AB50" s="16" t="str">
        <f t="shared" si="6"/>
        <v/>
      </c>
      <c r="AC50" s="21" t="str">
        <f t="array" ref="AC50">IF(ISNUMBER($J50),INDEX('Cálculos'!$C$332:$F$336,IFERROR(MATCH($T50,'Perfis de buff'!$A$4:$A$8,0),1),$J50),"")</f>
        <v/>
      </c>
      <c r="AD50" s="21" t="str">
        <f t="array" ref="AD50">IF(ISNUMBER($J50),INDEX('Cálculos'!$C$339:$F$343,IFERROR(MATCH($T50,'Perfis de buff'!$A$4:$A$8,0),1),$J50),"")</f>
        <v/>
      </c>
      <c r="AE50" s="21" t="str">
        <f t="array" ref="AE50">IF(ISNUMBER($J50),INDEX('Cálculos'!$C$337:$F$337,$J50),"")</f>
        <v/>
      </c>
      <c r="AF50" s="21" t="str">
        <f t="array" ref="AF50">IF(ISNUMBER($J50),INDEX('Cálculos'!$C$338:$F$338,$J50),"")</f>
        <v/>
      </c>
      <c r="AG50" s="16" t="str">
        <f t="array" ref="AG50">IF(ISNUMBER($J50),IF($S50="Derreter",INDEX('Cálculos'!$C$124:$F$124,$J50)*(1+2.78*$AD50/($AD50+1400)+INDEX('Cálculos'!$C$122:$F$122,$J50)),IF($S50="Vaporizar",INDEX('Cálculos'!$C$125:$F$125,$J50)*(1+2.78*$AD50/($AD50+1400)+INDEX('Cálculos'!$C$123:$F$123,$J50)),1)),"")</f>
        <v/>
      </c>
      <c r="AH50" s="21" t="str">
        <f t="shared" si="7"/>
        <v/>
      </c>
      <c r="AI50" s="21" t="str">
        <f t="array" ref="AI50">IF(ISNUMBER($J50),$AH50*(1+INDEX('Cálculos'!$C$331:$F$331,$J50)),"")</f>
        <v/>
      </c>
      <c r="AJ50" s="21" t="str">
        <f t="array" ref="AJ50">IF(ISNUMBER($J50),$AH50*(1+MIN(INDEX('Cálculos'!$C$330:$F$330,$J50),1)*INDEX('Cálculos'!$C$331:$F$331,$J50)),"")</f>
        <v/>
      </c>
      <c r="AK50" s="21" t="str">
        <f>IF(ISNUMBER($J50),'Fixo (cálculo)'!$AF50,"")</f>
        <v/>
      </c>
      <c r="AL50" s="26" t="str">
        <f t="shared" si="8"/>
        <v/>
      </c>
    </row>
    <row r="51" ht="15.75" customHeight="1">
      <c r="A51" s="7"/>
      <c r="B51" s="7"/>
      <c r="C51" s="7"/>
      <c r="D51" s="10" t="s">
        <v>105</v>
      </c>
      <c r="E51" s="11"/>
      <c r="F51" s="4" t="str">
        <f>IF($A51="","",IF(ISNUMBER(MATCH($A51,'Golpes extras'!$A$2:$A$101,0)),"Sim","Não"))</f>
        <v/>
      </c>
      <c r="G51" s="4" t="str">
        <f t="array" ref="G51">IF($A51="","",IF($F51="Sim",INDEX('Golpes extras'!$B$2:$B$101,MATCH($A51,'Golpes extras'!$A$2:$A$101,0))&amp;"",$A51))</f>
        <v/>
      </c>
      <c r="H51" s="4" t="str">
        <f>IF($G51="","",IFERROR(MATCH($G51,L_Golpes!$A$2:$A$6000,0),""))</f>
        <v/>
      </c>
      <c r="I51" s="4" t="str">
        <f t="array" ref="I51">IF($A51="","",IF(ISNUMBER($H51),INDEX(L_Golpes!$B$2:$B$6000,$H51),IF(IFERROR(INDEX('Golpes extras'!$C$2:$C$101,MATCH($A51,'Golpes extras'!$A$2:$A$101,0))&amp;"","")&lt;&gt;"",INDEX('Golpes extras'!$C$2:$C$101,MATCH($A51,'Golpes extras'!$A$2:$A$101,0))&amp;"","golpe?")))</f>
        <v/>
      </c>
      <c r="J51" s="4" t="str">
        <f>IF(OR($I51="",$I51="golpe?"),"",IFERROR(MATCH($I51,Time!$B$4:$E$4,0),"fora do time"))</f>
        <v/>
      </c>
      <c r="K51" s="4" t="str">
        <f t="array" ref="K51">IF(ISNUMBER($J51),IF(IFERROR(INDEX('Golpes extras'!$D$2:$D$101,MATCH($A51,'Golpes extras'!$A$2:$A$101,0))&amp;"","")&lt;&gt;"",INDEX('Golpes extras'!$D$2:$D$101,MATCH($A51,'Golpes extras'!$A$2:$A$101,0))&amp;"",IF(ISNUMBER($H51),INDEX(L_Golpes!$D$2:$D$6000,$H51),"Outro")),"")</f>
        <v/>
      </c>
      <c r="L51" s="4" t="str">
        <f t="array" ref="L51">IF(ISNUMBER($J51),IF(ISNUMBER($H51),INDEX(L_Golpes!$C$2:$C$6000,$H51),""),"")</f>
        <v/>
      </c>
      <c r="M51" s="4" t="str">
        <f t="array" ref="M51">IF(ISNUMBER($J51),IF($L51="Normal",INDEX('Cálculos'!$C$14:$F$14,$J51),IF($L51="Habilidade",INDEX('Cálculos'!$C$15:$F$15,$J51),IF($L51="Supremo",INDEX('Cálculos'!$C$16:$F$16,$J51),""))),"")</f>
        <v/>
      </c>
      <c r="N51" s="16" t="str">
        <f t="array" ref="N51">IF(ISNUMBER($J51),IF(ISNUMBER($H51),INDEX(L_Golpes!$F$2:$T$6000,$H51,MAX(1,MIN(15,$M51))),0)+IF($F51="Sim",N(INDEX('Golpes extras'!$E$2:$E$101,MATCH($A51,'Golpes extras'!$A$2:$A$101,0))),0),"")</f>
        <v/>
      </c>
      <c r="O51" s="17" t="str">
        <f t="array" ref="O51">IF(ISNUMBER($J51),IF(ISNUMBER($H51),INDEX(L_Golpes!$U$2:$AI$6000,$H51,MAX(1,MIN(15,$M51))),0)+IF($F51="Sim",N(INDEX('Golpes extras'!$F$2:$F$101,MATCH($A51,'Golpes extras'!$A$2:$A$101,0))),0),"")</f>
        <v/>
      </c>
      <c r="P51" s="16" t="str">
        <f t="array" ref="P51">IF(ISNUMBER($J51),IF(ISNUMBER($H51),INDEX(L_Golpes!$AJ$2:$AX$6000,$H51,MAX(1,MIN(15,$M51))),0)+IF($F51="Sim",N(INDEX('Golpes extras'!$G$2:$G$101,MATCH($A51,'Golpes extras'!$A$2:$A$101,0))),0),"")</f>
        <v/>
      </c>
      <c r="Q51" s="16" t="str">
        <f t="array" ref="Q51">IF(ISNUMBER($J51),IF(ISNUMBER($H51),INDEX(L_Golpes!$AY$2:$BM$6000,$H51,MAX(1,MIN(15,$M51))),0)+IF($F51="Sim",N(INDEX('Golpes extras'!$H$2:$H$101,MATCH($A51,'Golpes extras'!$A$2:$A$101,0))),0),"")</f>
        <v/>
      </c>
      <c r="R51" s="4" t="str">
        <f t="array" ref="R51">IF(ISNUMBER($J51),INDEX('Cálculos'!$C$19:$F$19,$J51),"")</f>
        <v/>
      </c>
      <c r="S51" s="4" t="str">
        <f t="shared" si="1"/>
        <v/>
      </c>
      <c r="T51" s="4" t="str">
        <f>IF(ISNUMBER($J51),IF(OR($D51="Não",$D51=FALSE),'Perfis de buff'!$A$8,IF(OR($D51="",$D51="Sim",$D51=TRUE),'Perfis de buff'!$A$4,$D51)),"")</f>
        <v/>
      </c>
      <c r="U51" s="22" t="str">
        <f t="array" ref="U51">IF(ISNUMBER($J51),INDEX('Cálculos'!$C$113:$F$113,$J51)+IF($K51="Normal",INDEX('Cálculos'!$C$114:$F$114,$J51),IF($K51="Carregado",INDEX('Cálculos'!$C$115:$F$115,$J51),IF($K51="Habilidade",INDEX('Cálculos'!$C$116:$F$116,$J51),IF($K51="Supremo",INDEX('Cálculos'!$C$117:$F$117,$J51),0))))+INDEX('Cálculos'!$C$143:$F$147,IFERROR(MATCH($T51,'Perfis de buff'!$A$4:$A$8,0),1),$J51)+IF($K51="Normal",INDEX('Cálculos'!$C$148:$F$152,IFERROR(MATCH($T51,'Perfis de buff'!$A$4:$A$8,0),1),$J51),IF($K51="Carregado",INDEX('Cálculos'!$C$153:$F$157,IFERROR(MATCH($T51,'Perfis de buff'!$A$4:$A$8,0),1),$J51),IF($K51="Habilidade",INDEX('Cálculos'!$C$158:$F$162,IFERROR(MATCH($T51,'Perfis de buff'!$A$4:$A$8,0),1),$J51),IF($K51="Supremo",INDEX('Cálculos'!$C$163:$F$167,IFERROR(MATCH($T51,'Perfis de buff'!$A$4:$A$8,0),1),$J51),0))))+N($E51),"")</f>
        <v/>
      </c>
      <c r="V51" s="16" t="str">
        <f t="array" ref="V51">IF(ISNUMBER($J51),INDEX('Cálculos'!$C$180:$F$180,$J51),"")</f>
        <v/>
      </c>
      <c r="W51" s="16" t="str">
        <f t="array" ref="W51">IF(ISNUMBER($J51),INDEX('Cálculos'!$C$182:$F$182,$J51),"")</f>
        <v/>
      </c>
      <c r="X51" s="16" t="str">
        <f t="shared" si="2"/>
        <v/>
      </c>
      <c r="Y51" s="16" t="str">
        <f t="shared" si="3"/>
        <v/>
      </c>
      <c r="Z51" s="16" t="str">
        <f t="shared" si="4"/>
        <v/>
      </c>
      <c r="AA51" s="16" t="str">
        <f t="shared" si="5"/>
        <v/>
      </c>
      <c r="AB51" s="16" t="str">
        <f t="shared" si="6"/>
        <v/>
      </c>
      <c r="AC51" s="21" t="str">
        <f t="array" ref="AC51">IF(ISNUMBER($J51),INDEX('Cálculos'!$C$332:$F$336,IFERROR(MATCH($T51,'Perfis de buff'!$A$4:$A$8,0),1),$J51),"")</f>
        <v/>
      </c>
      <c r="AD51" s="21" t="str">
        <f t="array" ref="AD51">IF(ISNUMBER($J51),INDEX('Cálculos'!$C$339:$F$343,IFERROR(MATCH($T51,'Perfis de buff'!$A$4:$A$8,0),1),$J51),"")</f>
        <v/>
      </c>
      <c r="AE51" s="21" t="str">
        <f t="array" ref="AE51">IF(ISNUMBER($J51),INDEX('Cálculos'!$C$337:$F$337,$J51),"")</f>
        <v/>
      </c>
      <c r="AF51" s="21" t="str">
        <f t="array" ref="AF51">IF(ISNUMBER($J51),INDEX('Cálculos'!$C$338:$F$338,$J51),"")</f>
        <v/>
      </c>
      <c r="AG51" s="16" t="str">
        <f t="array" ref="AG51">IF(ISNUMBER($J51),IF($S51="Derreter",INDEX('Cálculos'!$C$124:$F$124,$J51)*(1+2.78*$AD51/($AD51+1400)+INDEX('Cálculos'!$C$122:$F$122,$J51)),IF($S51="Vaporizar",INDEX('Cálculos'!$C$125:$F$125,$J51)*(1+2.78*$AD51/($AD51+1400)+INDEX('Cálculos'!$C$123:$F$123,$J51)),1)),"")</f>
        <v/>
      </c>
      <c r="AH51" s="21" t="str">
        <f t="shared" si="7"/>
        <v/>
      </c>
      <c r="AI51" s="21" t="str">
        <f t="array" ref="AI51">IF(ISNUMBER($J51),$AH51*(1+INDEX('Cálculos'!$C$331:$F$331,$J51)),"")</f>
        <v/>
      </c>
      <c r="AJ51" s="21" t="str">
        <f t="array" ref="AJ51">IF(ISNUMBER($J51),$AH51*(1+MIN(INDEX('Cálculos'!$C$330:$F$330,$J51),1)*INDEX('Cálculos'!$C$331:$F$331,$J51)),"")</f>
        <v/>
      </c>
      <c r="AK51" s="21" t="str">
        <f>IF(ISNUMBER($J51),'Fixo (cálculo)'!$AF51,"")</f>
        <v/>
      </c>
      <c r="AL51" s="26" t="str">
        <f t="shared" si="8"/>
        <v/>
      </c>
    </row>
    <row r="52" ht="15.75" customHeight="1">
      <c r="A52" s="7"/>
      <c r="B52" s="7"/>
      <c r="C52" s="7"/>
      <c r="D52" s="10" t="s">
        <v>105</v>
      </c>
      <c r="E52" s="11"/>
      <c r="F52" s="4" t="str">
        <f>IF($A52="","",IF(ISNUMBER(MATCH($A52,'Golpes extras'!$A$2:$A$101,0)),"Sim","Não"))</f>
        <v/>
      </c>
      <c r="G52" s="4" t="str">
        <f t="array" ref="G52">IF($A52="","",IF($F52="Sim",INDEX('Golpes extras'!$B$2:$B$101,MATCH($A52,'Golpes extras'!$A$2:$A$101,0))&amp;"",$A52))</f>
        <v/>
      </c>
      <c r="H52" s="4" t="str">
        <f>IF($G52="","",IFERROR(MATCH($G52,L_Golpes!$A$2:$A$6000,0),""))</f>
        <v/>
      </c>
      <c r="I52" s="4" t="str">
        <f t="array" ref="I52">IF($A52="","",IF(ISNUMBER($H52),INDEX(L_Golpes!$B$2:$B$6000,$H52),IF(IFERROR(INDEX('Golpes extras'!$C$2:$C$101,MATCH($A52,'Golpes extras'!$A$2:$A$101,0))&amp;"","")&lt;&gt;"",INDEX('Golpes extras'!$C$2:$C$101,MATCH($A52,'Golpes extras'!$A$2:$A$101,0))&amp;"","golpe?")))</f>
        <v/>
      </c>
      <c r="J52" s="4" t="str">
        <f>IF(OR($I52="",$I52="golpe?"),"",IFERROR(MATCH($I52,Time!$B$4:$E$4,0),"fora do time"))</f>
        <v/>
      </c>
      <c r="K52" s="4" t="str">
        <f t="array" ref="K52">IF(ISNUMBER($J52),IF(IFERROR(INDEX('Golpes extras'!$D$2:$D$101,MATCH($A52,'Golpes extras'!$A$2:$A$101,0))&amp;"","")&lt;&gt;"",INDEX('Golpes extras'!$D$2:$D$101,MATCH($A52,'Golpes extras'!$A$2:$A$101,0))&amp;"",IF(ISNUMBER($H52),INDEX(L_Golpes!$D$2:$D$6000,$H52),"Outro")),"")</f>
        <v/>
      </c>
      <c r="L52" s="4" t="str">
        <f t="array" ref="L52">IF(ISNUMBER($J52),IF(ISNUMBER($H52),INDEX(L_Golpes!$C$2:$C$6000,$H52),""),"")</f>
        <v/>
      </c>
      <c r="M52" s="4" t="str">
        <f t="array" ref="M52">IF(ISNUMBER($J52),IF($L52="Normal",INDEX('Cálculos'!$C$14:$F$14,$J52),IF($L52="Habilidade",INDEX('Cálculos'!$C$15:$F$15,$J52),IF($L52="Supremo",INDEX('Cálculos'!$C$16:$F$16,$J52),""))),"")</f>
        <v/>
      </c>
      <c r="N52" s="16" t="str">
        <f t="array" ref="N52">IF(ISNUMBER($J52),IF(ISNUMBER($H52),INDEX(L_Golpes!$F$2:$T$6000,$H52,MAX(1,MIN(15,$M52))),0)+IF($F52="Sim",N(INDEX('Golpes extras'!$E$2:$E$101,MATCH($A52,'Golpes extras'!$A$2:$A$101,0))),0),"")</f>
        <v/>
      </c>
      <c r="O52" s="17" t="str">
        <f t="array" ref="O52">IF(ISNUMBER($J52),IF(ISNUMBER($H52),INDEX(L_Golpes!$U$2:$AI$6000,$H52,MAX(1,MIN(15,$M52))),0)+IF($F52="Sim",N(INDEX('Golpes extras'!$F$2:$F$101,MATCH($A52,'Golpes extras'!$A$2:$A$101,0))),0),"")</f>
        <v/>
      </c>
      <c r="P52" s="16" t="str">
        <f t="array" ref="P52">IF(ISNUMBER($J52),IF(ISNUMBER($H52),INDEX(L_Golpes!$AJ$2:$AX$6000,$H52,MAX(1,MIN(15,$M52))),0)+IF($F52="Sim",N(INDEX('Golpes extras'!$G$2:$G$101,MATCH($A52,'Golpes extras'!$A$2:$A$101,0))),0),"")</f>
        <v/>
      </c>
      <c r="Q52" s="16" t="str">
        <f t="array" ref="Q52">IF(ISNUMBER($J52),IF(ISNUMBER($H52),INDEX(L_Golpes!$AY$2:$BM$6000,$H52,MAX(1,MIN(15,$M52))),0)+IF($F52="Sim",N(INDEX('Golpes extras'!$H$2:$H$101,MATCH($A52,'Golpes extras'!$A$2:$A$101,0))),0),"")</f>
        <v/>
      </c>
      <c r="R52" s="4" t="str">
        <f t="array" ref="R52">IF(ISNUMBER($J52),INDEX('Cálculos'!$C$19:$F$19,$J52),"")</f>
        <v/>
      </c>
      <c r="S52" s="4" t="str">
        <f t="shared" si="1"/>
        <v/>
      </c>
      <c r="T52" s="4" t="str">
        <f>IF(ISNUMBER($J52),IF(OR($D52="Não",$D52=FALSE),'Perfis de buff'!$A$8,IF(OR($D52="",$D52="Sim",$D52=TRUE),'Perfis de buff'!$A$4,$D52)),"")</f>
        <v/>
      </c>
      <c r="U52" s="22" t="str">
        <f t="array" ref="U52">IF(ISNUMBER($J52),INDEX('Cálculos'!$C$113:$F$113,$J52)+IF($K52="Normal",INDEX('Cálculos'!$C$114:$F$114,$J52),IF($K52="Carregado",INDEX('Cálculos'!$C$115:$F$115,$J52),IF($K52="Habilidade",INDEX('Cálculos'!$C$116:$F$116,$J52),IF($K52="Supremo",INDEX('Cálculos'!$C$117:$F$117,$J52),0))))+INDEX('Cálculos'!$C$143:$F$147,IFERROR(MATCH($T52,'Perfis de buff'!$A$4:$A$8,0),1),$J52)+IF($K52="Normal",INDEX('Cálculos'!$C$148:$F$152,IFERROR(MATCH($T52,'Perfis de buff'!$A$4:$A$8,0),1),$J52),IF($K52="Carregado",INDEX('Cálculos'!$C$153:$F$157,IFERROR(MATCH($T52,'Perfis de buff'!$A$4:$A$8,0),1),$J52),IF($K52="Habilidade",INDEX('Cálculos'!$C$158:$F$162,IFERROR(MATCH($T52,'Perfis de buff'!$A$4:$A$8,0),1),$J52),IF($K52="Supremo",INDEX('Cálculos'!$C$163:$F$167,IFERROR(MATCH($T52,'Perfis de buff'!$A$4:$A$8,0),1),$J52),0))))+N($E52),"")</f>
        <v/>
      </c>
      <c r="V52" s="16" t="str">
        <f t="array" ref="V52">IF(ISNUMBER($J52),INDEX('Cálculos'!$C$180:$F$180,$J52),"")</f>
        <v/>
      </c>
      <c r="W52" s="16" t="str">
        <f t="array" ref="W52">IF(ISNUMBER($J52),INDEX('Cálculos'!$C$182:$F$182,$J52),"")</f>
        <v/>
      </c>
      <c r="X52" s="16" t="str">
        <f t="shared" si="2"/>
        <v/>
      </c>
      <c r="Y52" s="16" t="str">
        <f t="shared" si="3"/>
        <v/>
      </c>
      <c r="Z52" s="16" t="str">
        <f t="shared" si="4"/>
        <v/>
      </c>
      <c r="AA52" s="16" t="str">
        <f t="shared" si="5"/>
        <v/>
      </c>
      <c r="AB52" s="16" t="str">
        <f t="shared" si="6"/>
        <v/>
      </c>
      <c r="AC52" s="21" t="str">
        <f t="array" ref="AC52">IF(ISNUMBER($J52),INDEX('Cálculos'!$C$332:$F$336,IFERROR(MATCH($T52,'Perfis de buff'!$A$4:$A$8,0),1),$J52),"")</f>
        <v/>
      </c>
      <c r="AD52" s="21" t="str">
        <f t="array" ref="AD52">IF(ISNUMBER($J52),INDEX('Cálculos'!$C$339:$F$343,IFERROR(MATCH($T52,'Perfis de buff'!$A$4:$A$8,0),1),$J52),"")</f>
        <v/>
      </c>
      <c r="AE52" s="21" t="str">
        <f t="array" ref="AE52">IF(ISNUMBER($J52),INDEX('Cálculos'!$C$337:$F$337,$J52),"")</f>
        <v/>
      </c>
      <c r="AF52" s="21" t="str">
        <f t="array" ref="AF52">IF(ISNUMBER($J52),INDEX('Cálculos'!$C$338:$F$338,$J52),"")</f>
        <v/>
      </c>
      <c r="AG52" s="16" t="str">
        <f t="array" ref="AG52">IF(ISNUMBER($J52),IF($S52="Derreter",INDEX('Cálculos'!$C$124:$F$124,$J52)*(1+2.78*$AD52/($AD52+1400)+INDEX('Cálculos'!$C$122:$F$122,$J52)),IF($S52="Vaporizar",INDEX('Cálculos'!$C$125:$F$125,$J52)*(1+2.78*$AD52/($AD52+1400)+INDEX('Cálculos'!$C$123:$F$123,$J52)),1)),"")</f>
        <v/>
      </c>
      <c r="AH52" s="21" t="str">
        <f t="shared" si="7"/>
        <v/>
      </c>
      <c r="AI52" s="21" t="str">
        <f t="array" ref="AI52">IF(ISNUMBER($J52),$AH52*(1+INDEX('Cálculos'!$C$331:$F$331,$J52)),"")</f>
        <v/>
      </c>
      <c r="AJ52" s="21" t="str">
        <f t="array" ref="AJ52">IF(ISNUMBER($J52),$AH52*(1+MIN(INDEX('Cálculos'!$C$330:$F$330,$J52),1)*INDEX('Cálculos'!$C$331:$F$331,$J52)),"")</f>
        <v/>
      </c>
      <c r="AK52" s="21" t="str">
        <f>IF(ISNUMBER($J52),'Fixo (cálculo)'!$AF52,"")</f>
        <v/>
      </c>
      <c r="AL52" s="26" t="str">
        <f t="shared" si="8"/>
        <v/>
      </c>
    </row>
    <row r="53" ht="15.75" customHeight="1">
      <c r="A53" s="7"/>
      <c r="B53" s="7"/>
      <c r="C53" s="7"/>
      <c r="D53" s="10" t="s">
        <v>105</v>
      </c>
      <c r="E53" s="11"/>
      <c r="F53" s="4" t="str">
        <f>IF($A53="","",IF(ISNUMBER(MATCH($A53,'Golpes extras'!$A$2:$A$101,0)),"Sim","Não"))</f>
        <v/>
      </c>
      <c r="G53" s="4" t="str">
        <f t="array" ref="G53">IF($A53="","",IF($F53="Sim",INDEX('Golpes extras'!$B$2:$B$101,MATCH($A53,'Golpes extras'!$A$2:$A$101,0))&amp;"",$A53))</f>
        <v/>
      </c>
      <c r="H53" s="4" t="str">
        <f>IF($G53="","",IFERROR(MATCH($G53,L_Golpes!$A$2:$A$6000,0),""))</f>
        <v/>
      </c>
      <c r="I53" s="4" t="str">
        <f t="array" ref="I53">IF($A53="","",IF(ISNUMBER($H53),INDEX(L_Golpes!$B$2:$B$6000,$H53),IF(IFERROR(INDEX('Golpes extras'!$C$2:$C$101,MATCH($A53,'Golpes extras'!$A$2:$A$101,0))&amp;"","")&lt;&gt;"",INDEX('Golpes extras'!$C$2:$C$101,MATCH($A53,'Golpes extras'!$A$2:$A$101,0))&amp;"","golpe?")))</f>
        <v/>
      </c>
      <c r="J53" s="4" t="str">
        <f>IF(OR($I53="",$I53="golpe?"),"",IFERROR(MATCH($I53,Time!$B$4:$E$4,0),"fora do time"))</f>
        <v/>
      </c>
      <c r="K53" s="4" t="str">
        <f t="array" ref="K53">IF(ISNUMBER($J53),IF(IFERROR(INDEX('Golpes extras'!$D$2:$D$101,MATCH($A53,'Golpes extras'!$A$2:$A$101,0))&amp;"","")&lt;&gt;"",INDEX('Golpes extras'!$D$2:$D$101,MATCH($A53,'Golpes extras'!$A$2:$A$101,0))&amp;"",IF(ISNUMBER($H53),INDEX(L_Golpes!$D$2:$D$6000,$H53),"Outro")),"")</f>
        <v/>
      </c>
      <c r="L53" s="4" t="str">
        <f t="array" ref="L53">IF(ISNUMBER($J53),IF(ISNUMBER($H53),INDEX(L_Golpes!$C$2:$C$6000,$H53),""),"")</f>
        <v/>
      </c>
      <c r="M53" s="4" t="str">
        <f t="array" ref="M53">IF(ISNUMBER($J53),IF($L53="Normal",INDEX('Cálculos'!$C$14:$F$14,$J53),IF($L53="Habilidade",INDEX('Cálculos'!$C$15:$F$15,$J53),IF($L53="Supremo",INDEX('Cálculos'!$C$16:$F$16,$J53),""))),"")</f>
        <v/>
      </c>
      <c r="N53" s="16" t="str">
        <f t="array" ref="N53">IF(ISNUMBER($J53),IF(ISNUMBER($H53),INDEX(L_Golpes!$F$2:$T$6000,$H53,MAX(1,MIN(15,$M53))),0)+IF($F53="Sim",N(INDEX('Golpes extras'!$E$2:$E$101,MATCH($A53,'Golpes extras'!$A$2:$A$101,0))),0),"")</f>
        <v/>
      </c>
      <c r="O53" s="17" t="str">
        <f t="array" ref="O53">IF(ISNUMBER($J53),IF(ISNUMBER($H53),INDEX(L_Golpes!$U$2:$AI$6000,$H53,MAX(1,MIN(15,$M53))),0)+IF($F53="Sim",N(INDEX('Golpes extras'!$F$2:$F$101,MATCH($A53,'Golpes extras'!$A$2:$A$101,0))),0),"")</f>
        <v/>
      </c>
      <c r="P53" s="16" t="str">
        <f t="array" ref="P53">IF(ISNUMBER($J53),IF(ISNUMBER($H53),INDEX(L_Golpes!$AJ$2:$AX$6000,$H53,MAX(1,MIN(15,$M53))),0)+IF($F53="Sim",N(INDEX('Golpes extras'!$G$2:$G$101,MATCH($A53,'Golpes extras'!$A$2:$A$101,0))),0),"")</f>
        <v/>
      </c>
      <c r="Q53" s="16" t="str">
        <f t="array" ref="Q53">IF(ISNUMBER($J53),IF(ISNUMBER($H53),INDEX(L_Golpes!$AY$2:$BM$6000,$H53,MAX(1,MIN(15,$M53))),0)+IF($F53="Sim",N(INDEX('Golpes extras'!$H$2:$H$101,MATCH($A53,'Golpes extras'!$A$2:$A$101,0))),0),"")</f>
        <v/>
      </c>
      <c r="R53" s="4" t="str">
        <f t="array" ref="R53">IF(ISNUMBER($J53),INDEX('Cálculos'!$C$19:$F$19,$J53),"")</f>
        <v/>
      </c>
      <c r="S53" s="4" t="str">
        <f t="shared" si="1"/>
        <v/>
      </c>
      <c r="T53" s="4" t="str">
        <f>IF(ISNUMBER($J53),IF(OR($D53="Não",$D53=FALSE),'Perfis de buff'!$A$8,IF(OR($D53="",$D53="Sim",$D53=TRUE),'Perfis de buff'!$A$4,$D53)),"")</f>
        <v/>
      </c>
      <c r="U53" s="22" t="str">
        <f t="array" ref="U53">IF(ISNUMBER($J53),INDEX('Cálculos'!$C$113:$F$113,$J53)+IF($K53="Normal",INDEX('Cálculos'!$C$114:$F$114,$J53),IF($K53="Carregado",INDEX('Cálculos'!$C$115:$F$115,$J53),IF($K53="Habilidade",INDEX('Cálculos'!$C$116:$F$116,$J53),IF($K53="Supremo",INDEX('Cálculos'!$C$117:$F$117,$J53),0))))+INDEX('Cálculos'!$C$143:$F$147,IFERROR(MATCH($T53,'Perfis de buff'!$A$4:$A$8,0),1),$J53)+IF($K53="Normal",INDEX('Cálculos'!$C$148:$F$152,IFERROR(MATCH($T53,'Perfis de buff'!$A$4:$A$8,0),1),$J53),IF($K53="Carregado",INDEX('Cálculos'!$C$153:$F$157,IFERROR(MATCH($T53,'Perfis de buff'!$A$4:$A$8,0),1),$J53),IF($K53="Habilidade",INDEX('Cálculos'!$C$158:$F$162,IFERROR(MATCH($T53,'Perfis de buff'!$A$4:$A$8,0),1),$J53),IF($K53="Supremo",INDEX('Cálculos'!$C$163:$F$167,IFERROR(MATCH($T53,'Perfis de buff'!$A$4:$A$8,0),1),$J53),0))))+N($E53),"")</f>
        <v/>
      </c>
      <c r="V53" s="16" t="str">
        <f t="array" ref="V53">IF(ISNUMBER($J53),INDEX('Cálculos'!$C$180:$F$180,$J53),"")</f>
        <v/>
      </c>
      <c r="W53" s="16" t="str">
        <f t="array" ref="W53">IF(ISNUMBER($J53),INDEX('Cálculos'!$C$182:$F$182,$J53),"")</f>
        <v/>
      </c>
      <c r="X53" s="16" t="str">
        <f t="shared" si="2"/>
        <v/>
      </c>
      <c r="Y53" s="16" t="str">
        <f t="shared" si="3"/>
        <v/>
      </c>
      <c r="Z53" s="16" t="str">
        <f t="shared" si="4"/>
        <v/>
      </c>
      <c r="AA53" s="16" t="str">
        <f t="shared" si="5"/>
        <v/>
      </c>
      <c r="AB53" s="16" t="str">
        <f t="shared" si="6"/>
        <v/>
      </c>
      <c r="AC53" s="21" t="str">
        <f t="array" ref="AC53">IF(ISNUMBER($J53),INDEX('Cálculos'!$C$332:$F$336,IFERROR(MATCH($T53,'Perfis de buff'!$A$4:$A$8,0),1),$J53),"")</f>
        <v/>
      </c>
      <c r="AD53" s="21" t="str">
        <f t="array" ref="AD53">IF(ISNUMBER($J53),INDEX('Cálculos'!$C$339:$F$343,IFERROR(MATCH($T53,'Perfis de buff'!$A$4:$A$8,0),1),$J53),"")</f>
        <v/>
      </c>
      <c r="AE53" s="21" t="str">
        <f t="array" ref="AE53">IF(ISNUMBER($J53),INDEX('Cálculos'!$C$337:$F$337,$J53),"")</f>
        <v/>
      </c>
      <c r="AF53" s="21" t="str">
        <f t="array" ref="AF53">IF(ISNUMBER($J53),INDEX('Cálculos'!$C$338:$F$338,$J53),"")</f>
        <v/>
      </c>
      <c r="AG53" s="16" t="str">
        <f t="array" ref="AG53">IF(ISNUMBER($J53),IF($S53="Derreter",INDEX('Cálculos'!$C$124:$F$124,$J53)*(1+2.78*$AD53/($AD53+1400)+INDEX('Cálculos'!$C$122:$F$122,$J53)),IF($S53="Vaporizar",INDEX('Cálculos'!$C$125:$F$125,$J53)*(1+2.78*$AD53/($AD53+1400)+INDEX('Cálculos'!$C$123:$F$123,$J53)),1)),"")</f>
        <v/>
      </c>
      <c r="AH53" s="21" t="str">
        <f t="shared" si="7"/>
        <v/>
      </c>
      <c r="AI53" s="21" t="str">
        <f t="array" ref="AI53">IF(ISNUMBER($J53),$AH53*(1+INDEX('Cálculos'!$C$331:$F$331,$J53)),"")</f>
        <v/>
      </c>
      <c r="AJ53" s="21" t="str">
        <f t="array" ref="AJ53">IF(ISNUMBER($J53),$AH53*(1+MIN(INDEX('Cálculos'!$C$330:$F$330,$J53),1)*INDEX('Cálculos'!$C$331:$F$331,$J53)),"")</f>
        <v/>
      </c>
      <c r="AK53" s="21" t="str">
        <f>IF(ISNUMBER($J53),'Fixo (cálculo)'!$AF53,"")</f>
        <v/>
      </c>
      <c r="AL53" s="26" t="str">
        <f t="shared" si="8"/>
        <v/>
      </c>
    </row>
    <row r="54" ht="15.75" customHeight="1">
      <c r="A54" s="7"/>
      <c r="B54" s="7"/>
      <c r="C54" s="7"/>
      <c r="D54" s="10" t="s">
        <v>105</v>
      </c>
      <c r="E54" s="11"/>
      <c r="F54" s="4" t="str">
        <f>IF($A54="","",IF(ISNUMBER(MATCH($A54,'Golpes extras'!$A$2:$A$101,0)),"Sim","Não"))</f>
        <v/>
      </c>
      <c r="G54" s="4" t="str">
        <f t="array" ref="G54">IF($A54="","",IF($F54="Sim",INDEX('Golpes extras'!$B$2:$B$101,MATCH($A54,'Golpes extras'!$A$2:$A$101,0))&amp;"",$A54))</f>
        <v/>
      </c>
      <c r="H54" s="4" t="str">
        <f>IF($G54="","",IFERROR(MATCH($G54,L_Golpes!$A$2:$A$6000,0),""))</f>
        <v/>
      </c>
      <c r="I54" s="4" t="str">
        <f t="array" ref="I54">IF($A54="","",IF(ISNUMBER($H54),INDEX(L_Golpes!$B$2:$B$6000,$H54),IF(IFERROR(INDEX('Golpes extras'!$C$2:$C$101,MATCH($A54,'Golpes extras'!$A$2:$A$101,0))&amp;"","")&lt;&gt;"",INDEX('Golpes extras'!$C$2:$C$101,MATCH($A54,'Golpes extras'!$A$2:$A$101,0))&amp;"","golpe?")))</f>
        <v/>
      </c>
      <c r="J54" s="4" t="str">
        <f>IF(OR($I54="",$I54="golpe?"),"",IFERROR(MATCH($I54,Time!$B$4:$E$4,0),"fora do time"))</f>
        <v/>
      </c>
      <c r="K54" s="4" t="str">
        <f t="array" ref="K54">IF(ISNUMBER($J54),IF(IFERROR(INDEX('Golpes extras'!$D$2:$D$101,MATCH($A54,'Golpes extras'!$A$2:$A$101,0))&amp;"","")&lt;&gt;"",INDEX('Golpes extras'!$D$2:$D$101,MATCH($A54,'Golpes extras'!$A$2:$A$101,0))&amp;"",IF(ISNUMBER($H54),INDEX(L_Golpes!$D$2:$D$6000,$H54),"Outro")),"")</f>
        <v/>
      </c>
      <c r="L54" s="4" t="str">
        <f t="array" ref="L54">IF(ISNUMBER($J54),IF(ISNUMBER($H54),INDEX(L_Golpes!$C$2:$C$6000,$H54),""),"")</f>
        <v/>
      </c>
      <c r="M54" s="4" t="str">
        <f t="array" ref="M54">IF(ISNUMBER($J54),IF($L54="Normal",INDEX('Cálculos'!$C$14:$F$14,$J54),IF($L54="Habilidade",INDEX('Cálculos'!$C$15:$F$15,$J54),IF($L54="Supremo",INDEX('Cálculos'!$C$16:$F$16,$J54),""))),"")</f>
        <v/>
      </c>
      <c r="N54" s="16" t="str">
        <f t="array" ref="N54">IF(ISNUMBER($J54),IF(ISNUMBER($H54),INDEX(L_Golpes!$F$2:$T$6000,$H54,MAX(1,MIN(15,$M54))),0)+IF($F54="Sim",N(INDEX('Golpes extras'!$E$2:$E$101,MATCH($A54,'Golpes extras'!$A$2:$A$101,0))),0),"")</f>
        <v/>
      </c>
      <c r="O54" s="17" t="str">
        <f t="array" ref="O54">IF(ISNUMBER($J54),IF(ISNUMBER($H54),INDEX(L_Golpes!$U$2:$AI$6000,$H54,MAX(1,MIN(15,$M54))),0)+IF($F54="Sim",N(INDEX('Golpes extras'!$F$2:$F$101,MATCH($A54,'Golpes extras'!$A$2:$A$101,0))),0),"")</f>
        <v/>
      </c>
      <c r="P54" s="16" t="str">
        <f t="array" ref="P54">IF(ISNUMBER($J54),IF(ISNUMBER($H54),INDEX(L_Golpes!$AJ$2:$AX$6000,$H54,MAX(1,MIN(15,$M54))),0)+IF($F54="Sim",N(INDEX('Golpes extras'!$G$2:$G$101,MATCH($A54,'Golpes extras'!$A$2:$A$101,0))),0),"")</f>
        <v/>
      </c>
      <c r="Q54" s="16" t="str">
        <f t="array" ref="Q54">IF(ISNUMBER($J54),IF(ISNUMBER($H54),INDEX(L_Golpes!$AY$2:$BM$6000,$H54,MAX(1,MIN(15,$M54))),0)+IF($F54="Sim",N(INDEX('Golpes extras'!$H$2:$H$101,MATCH($A54,'Golpes extras'!$A$2:$A$101,0))),0),"")</f>
        <v/>
      </c>
      <c r="R54" s="4" t="str">
        <f t="array" ref="R54">IF(ISNUMBER($J54),INDEX('Cálculos'!$C$19:$F$19,$J54),"")</f>
        <v/>
      </c>
      <c r="S54" s="4" t="str">
        <f t="shared" si="1"/>
        <v/>
      </c>
      <c r="T54" s="4" t="str">
        <f>IF(ISNUMBER($J54),IF(OR($D54="Não",$D54=FALSE),'Perfis de buff'!$A$8,IF(OR($D54="",$D54="Sim",$D54=TRUE),'Perfis de buff'!$A$4,$D54)),"")</f>
        <v/>
      </c>
      <c r="U54" s="22" t="str">
        <f t="array" ref="U54">IF(ISNUMBER($J54),INDEX('Cálculos'!$C$113:$F$113,$J54)+IF($K54="Normal",INDEX('Cálculos'!$C$114:$F$114,$J54),IF($K54="Carregado",INDEX('Cálculos'!$C$115:$F$115,$J54),IF($K54="Habilidade",INDEX('Cálculos'!$C$116:$F$116,$J54),IF($K54="Supremo",INDEX('Cálculos'!$C$117:$F$117,$J54),0))))+INDEX('Cálculos'!$C$143:$F$147,IFERROR(MATCH($T54,'Perfis de buff'!$A$4:$A$8,0),1),$J54)+IF($K54="Normal",INDEX('Cálculos'!$C$148:$F$152,IFERROR(MATCH($T54,'Perfis de buff'!$A$4:$A$8,0),1),$J54),IF($K54="Carregado",INDEX('Cálculos'!$C$153:$F$157,IFERROR(MATCH($T54,'Perfis de buff'!$A$4:$A$8,0),1),$J54),IF($K54="Habilidade",INDEX('Cálculos'!$C$158:$F$162,IFERROR(MATCH($T54,'Perfis de buff'!$A$4:$A$8,0),1),$J54),IF($K54="Supremo",INDEX('Cálculos'!$C$163:$F$167,IFERROR(MATCH($T54,'Perfis de buff'!$A$4:$A$8,0),1),$J54),0))))+N($E54),"")</f>
        <v/>
      </c>
      <c r="V54" s="16" t="str">
        <f t="array" ref="V54">IF(ISNUMBER($J54),INDEX('Cálculos'!$C$180:$F$180,$J54),"")</f>
        <v/>
      </c>
      <c r="W54" s="16" t="str">
        <f t="array" ref="W54">IF(ISNUMBER($J54),INDEX('Cálculos'!$C$182:$F$182,$J54),"")</f>
        <v/>
      </c>
      <c r="X54" s="16" t="str">
        <f t="shared" si="2"/>
        <v/>
      </c>
      <c r="Y54" s="16" t="str">
        <f t="shared" si="3"/>
        <v/>
      </c>
      <c r="Z54" s="16" t="str">
        <f t="shared" si="4"/>
        <v/>
      </c>
      <c r="AA54" s="16" t="str">
        <f t="shared" si="5"/>
        <v/>
      </c>
      <c r="AB54" s="16" t="str">
        <f t="shared" si="6"/>
        <v/>
      </c>
      <c r="AC54" s="21" t="str">
        <f t="array" ref="AC54">IF(ISNUMBER($J54),INDEX('Cálculos'!$C$332:$F$336,IFERROR(MATCH($T54,'Perfis de buff'!$A$4:$A$8,0),1),$J54),"")</f>
        <v/>
      </c>
      <c r="AD54" s="21" t="str">
        <f t="array" ref="AD54">IF(ISNUMBER($J54),INDEX('Cálculos'!$C$339:$F$343,IFERROR(MATCH($T54,'Perfis de buff'!$A$4:$A$8,0),1),$J54),"")</f>
        <v/>
      </c>
      <c r="AE54" s="21" t="str">
        <f t="array" ref="AE54">IF(ISNUMBER($J54),INDEX('Cálculos'!$C$337:$F$337,$J54),"")</f>
        <v/>
      </c>
      <c r="AF54" s="21" t="str">
        <f t="array" ref="AF54">IF(ISNUMBER($J54),INDEX('Cálculos'!$C$338:$F$338,$J54),"")</f>
        <v/>
      </c>
      <c r="AG54" s="16" t="str">
        <f t="array" ref="AG54">IF(ISNUMBER($J54),IF($S54="Derreter",INDEX('Cálculos'!$C$124:$F$124,$J54)*(1+2.78*$AD54/($AD54+1400)+INDEX('Cálculos'!$C$122:$F$122,$J54)),IF($S54="Vaporizar",INDEX('Cálculos'!$C$125:$F$125,$J54)*(1+2.78*$AD54/($AD54+1400)+INDEX('Cálculos'!$C$123:$F$123,$J54)),1)),"")</f>
        <v/>
      </c>
      <c r="AH54" s="21" t="str">
        <f t="shared" si="7"/>
        <v/>
      </c>
      <c r="AI54" s="21" t="str">
        <f t="array" ref="AI54">IF(ISNUMBER($J54),$AH54*(1+INDEX('Cálculos'!$C$331:$F$331,$J54)),"")</f>
        <v/>
      </c>
      <c r="AJ54" s="21" t="str">
        <f t="array" ref="AJ54">IF(ISNUMBER($J54),$AH54*(1+MIN(INDEX('Cálculos'!$C$330:$F$330,$J54),1)*INDEX('Cálculos'!$C$331:$F$331,$J54)),"")</f>
        <v/>
      </c>
      <c r="AK54" s="21" t="str">
        <f>IF(ISNUMBER($J54),'Fixo (cálculo)'!$AF54,"")</f>
        <v/>
      </c>
      <c r="AL54" s="26" t="str">
        <f t="shared" si="8"/>
        <v/>
      </c>
    </row>
    <row r="55" ht="15.75" customHeight="1">
      <c r="A55" s="7"/>
      <c r="B55" s="7"/>
      <c r="C55" s="7"/>
      <c r="D55" s="10" t="s">
        <v>105</v>
      </c>
      <c r="E55" s="11"/>
      <c r="F55" s="4" t="str">
        <f>IF($A55="","",IF(ISNUMBER(MATCH($A55,'Golpes extras'!$A$2:$A$101,0)),"Sim","Não"))</f>
        <v/>
      </c>
      <c r="G55" s="4" t="str">
        <f t="array" ref="G55">IF($A55="","",IF($F55="Sim",INDEX('Golpes extras'!$B$2:$B$101,MATCH($A55,'Golpes extras'!$A$2:$A$101,0))&amp;"",$A55))</f>
        <v/>
      </c>
      <c r="H55" s="4" t="str">
        <f>IF($G55="","",IFERROR(MATCH($G55,L_Golpes!$A$2:$A$6000,0),""))</f>
        <v/>
      </c>
      <c r="I55" s="4" t="str">
        <f t="array" ref="I55">IF($A55="","",IF(ISNUMBER($H55),INDEX(L_Golpes!$B$2:$B$6000,$H55),IF(IFERROR(INDEX('Golpes extras'!$C$2:$C$101,MATCH($A55,'Golpes extras'!$A$2:$A$101,0))&amp;"","")&lt;&gt;"",INDEX('Golpes extras'!$C$2:$C$101,MATCH($A55,'Golpes extras'!$A$2:$A$101,0))&amp;"","golpe?")))</f>
        <v/>
      </c>
      <c r="J55" s="4" t="str">
        <f>IF(OR($I55="",$I55="golpe?"),"",IFERROR(MATCH($I55,Time!$B$4:$E$4,0),"fora do time"))</f>
        <v/>
      </c>
      <c r="K55" s="4" t="str">
        <f t="array" ref="K55">IF(ISNUMBER($J55),IF(IFERROR(INDEX('Golpes extras'!$D$2:$D$101,MATCH($A55,'Golpes extras'!$A$2:$A$101,0))&amp;"","")&lt;&gt;"",INDEX('Golpes extras'!$D$2:$D$101,MATCH($A55,'Golpes extras'!$A$2:$A$101,0))&amp;"",IF(ISNUMBER($H55),INDEX(L_Golpes!$D$2:$D$6000,$H55),"Outro")),"")</f>
        <v/>
      </c>
      <c r="L55" s="4" t="str">
        <f t="array" ref="L55">IF(ISNUMBER($J55),IF(ISNUMBER($H55),INDEX(L_Golpes!$C$2:$C$6000,$H55),""),"")</f>
        <v/>
      </c>
      <c r="M55" s="4" t="str">
        <f t="array" ref="M55">IF(ISNUMBER($J55),IF($L55="Normal",INDEX('Cálculos'!$C$14:$F$14,$J55),IF($L55="Habilidade",INDEX('Cálculos'!$C$15:$F$15,$J55),IF($L55="Supremo",INDEX('Cálculos'!$C$16:$F$16,$J55),""))),"")</f>
        <v/>
      </c>
      <c r="N55" s="16" t="str">
        <f t="array" ref="N55">IF(ISNUMBER($J55),IF(ISNUMBER($H55),INDEX(L_Golpes!$F$2:$T$6000,$H55,MAX(1,MIN(15,$M55))),0)+IF($F55="Sim",N(INDEX('Golpes extras'!$E$2:$E$101,MATCH($A55,'Golpes extras'!$A$2:$A$101,0))),0),"")</f>
        <v/>
      </c>
      <c r="O55" s="17" t="str">
        <f t="array" ref="O55">IF(ISNUMBER($J55),IF(ISNUMBER($H55),INDEX(L_Golpes!$U$2:$AI$6000,$H55,MAX(1,MIN(15,$M55))),0)+IF($F55="Sim",N(INDEX('Golpes extras'!$F$2:$F$101,MATCH($A55,'Golpes extras'!$A$2:$A$101,0))),0),"")</f>
        <v/>
      </c>
      <c r="P55" s="16" t="str">
        <f t="array" ref="P55">IF(ISNUMBER($J55),IF(ISNUMBER($H55),INDEX(L_Golpes!$AJ$2:$AX$6000,$H55,MAX(1,MIN(15,$M55))),0)+IF($F55="Sim",N(INDEX('Golpes extras'!$G$2:$G$101,MATCH($A55,'Golpes extras'!$A$2:$A$101,0))),0),"")</f>
        <v/>
      </c>
      <c r="Q55" s="16" t="str">
        <f t="array" ref="Q55">IF(ISNUMBER($J55),IF(ISNUMBER($H55),INDEX(L_Golpes!$AY$2:$BM$6000,$H55,MAX(1,MIN(15,$M55))),0)+IF($F55="Sim",N(INDEX('Golpes extras'!$H$2:$H$101,MATCH($A55,'Golpes extras'!$A$2:$A$101,0))),0),"")</f>
        <v/>
      </c>
      <c r="R55" s="4" t="str">
        <f t="array" ref="R55">IF(ISNUMBER($J55),INDEX('Cálculos'!$C$19:$F$19,$J55),"")</f>
        <v/>
      </c>
      <c r="S55" s="4" t="str">
        <f t="shared" si="1"/>
        <v/>
      </c>
      <c r="T55" s="4" t="str">
        <f>IF(ISNUMBER($J55),IF(OR($D55="Não",$D55=FALSE),'Perfis de buff'!$A$8,IF(OR($D55="",$D55="Sim",$D55=TRUE),'Perfis de buff'!$A$4,$D55)),"")</f>
        <v/>
      </c>
      <c r="U55" s="22" t="str">
        <f t="array" ref="U55">IF(ISNUMBER($J55),INDEX('Cálculos'!$C$113:$F$113,$J55)+IF($K55="Normal",INDEX('Cálculos'!$C$114:$F$114,$J55),IF($K55="Carregado",INDEX('Cálculos'!$C$115:$F$115,$J55),IF($K55="Habilidade",INDEX('Cálculos'!$C$116:$F$116,$J55),IF($K55="Supremo",INDEX('Cálculos'!$C$117:$F$117,$J55),0))))+INDEX('Cálculos'!$C$143:$F$147,IFERROR(MATCH($T55,'Perfis de buff'!$A$4:$A$8,0),1),$J55)+IF($K55="Normal",INDEX('Cálculos'!$C$148:$F$152,IFERROR(MATCH($T55,'Perfis de buff'!$A$4:$A$8,0),1),$J55),IF($K55="Carregado",INDEX('Cálculos'!$C$153:$F$157,IFERROR(MATCH($T55,'Perfis de buff'!$A$4:$A$8,0),1),$J55),IF($K55="Habilidade",INDEX('Cálculos'!$C$158:$F$162,IFERROR(MATCH($T55,'Perfis de buff'!$A$4:$A$8,0),1),$J55),IF($K55="Supremo",INDEX('Cálculos'!$C$163:$F$167,IFERROR(MATCH($T55,'Perfis de buff'!$A$4:$A$8,0),1),$J55),0))))+N($E55),"")</f>
        <v/>
      </c>
      <c r="V55" s="16" t="str">
        <f t="array" ref="V55">IF(ISNUMBER($J55),INDEX('Cálculos'!$C$180:$F$180,$J55),"")</f>
        <v/>
      </c>
      <c r="W55" s="16" t="str">
        <f t="array" ref="W55">IF(ISNUMBER($J55),INDEX('Cálculos'!$C$182:$F$182,$J55),"")</f>
        <v/>
      </c>
      <c r="X55" s="16" t="str">
        <f t="shared" si="2"/>
        <v/>
      </c>
      <c r="Y55" s="16" t="str">
        <f t="shared" si="3"/>
        <v/>
      </c>
      <c r="Z55" s="16" t="str">
        <f t="shared" si="4"/>
        <v/>
      </c>
      <c r="AA55" s="16" t="str">
        <f t="shared" si="5"/>
        <v/>
      </c>
      <c r="AB55" s="16" t="str">
        <f t="shared" si="6"/>
        <v/>
      </c>
      <c r="AC55" s="21" t="str">
        <f t="array" ref="AC55">IF(ISNUMBER($J55),INDEX('Cálculos'!$C$332:$F$336,IFERROR(MATCH($T55,'Perfis de buff'!$A$4:$A$8,0),1),$J55),"")</f>
        <v/>
      </c>
      <c r="AD55" s="21" t="str">
        <f t="array" ref="AD55">IF(ISNUMBER($J55),INDEX('Cálculos'!$C$339:$F$343,IFERROR(MATCH($T55,'Perfis de buff'!$A$4:$A$8,0),1),$J55),"")</f>
        <v/>
      </c>
      <c r="AE55" s="21" t="str">
        <f t="array" ref="AE55">IF(ISNUMBER($J55),INDEX('Cálculos'!$C$337:$F$337,$J55),"")</f>
        <v/>
      </c>
      <c r="AF55" s="21" t="str">
        <f t="array" ref="AF55">IF(ISNUMBER($J55),INDEX('Cálculos'!$C$338:$F$338,$J55),"")</f>
        <v/>
      </c>
      <c r="AG55" s="16" t="str">
        <f t="array" ref="AG55">IF(ISNUMBER($J55),IF($S55="Derreter",INDEX('Cálculos'!$C$124:$F$124,$J55)*(1+2.78*$AD55/($AD55+1400)+INDEX('Cálculos'!$C$122:$F$122,$J55)),IF($S55="Vaporizar",INDEX('Cálculos'!$C$125:$F$125,$J55)*(1+2.78*$AD55/($AD55+1400)+INDEX('Cálculos'!$C$123:$F$123,$J55)),1)),"")</f>
        <v/>
      </c>
      <c r="AH55" s="21" t="str">
        <f t="shared" si="7"/>
        <v/>
      </c>
      <c r="AI55" s="21" t="str">
        <f t="array" ref="AI55">IF(ISNUMBER($J55),$AH55*(1+INDEX('Cálculos'!$C$331:$F$331,$J55)),"")</f>
        <v/>
      </c>
      <c r="AJ55" s="21" t="str">
        <f t="array" ref="AJ55">IF(ISNUMBER($J55),$AH55*(1+MIN(INDEX('Cálculos'!$C$330:$F$330,$J55),1)*INDEX('Cálculos'!$C$331:$F$331,$J55)),"")</f>
        <v/>
      </c>
      <c r="AK55" s="21" t="str">
        <f>IF(ISNUMBER($J55),'Fixo (cálculo)'!$AF55,"")</f>
        <v/>
      </c>
      <c r="AL55" s="26" t="str">
        <f t="shared" si="8"/>
        <v/>
      </c>
    </row>
    <row r="56" ht="15.75" customHeight="1">
      <c r="A56" s="7"/>
      <c r="B56" s="7"/>
      <c r="C56" s="7"/>
      <c r="D56" s="10" t="s">
        <v>105</v>
      </c>
      <c r="E56" s="11"/>
      <c r="F56" s="4" t="str">
        <f>IF($A56="","",IF(ISNUMBER(MATCH($A56,'Golpes extras'!$A$2:$A$101,0)),"Sim","Não"))</f>
        <v/>
      </c>
      <c r="G56" s="4" t="str">
        <f t="array" ref="G56">IF($A56="","",IF($F56="Sim",INDEX('Golpes extras'!$B$2:$B$101,MATCH($A56,'Golpes extras'!$A$2:$A$101,0))&amp;"",$A56))</f>
        <v/>
      </c>
      <c r="H56" s="4" t="str">
        <f>IF($G56="","",IFERROR(MATCH($G56,L_Golpes!$A$2:$A$6000,0),""))</f>
        <v/>
      </c>
      <c r="I56" s="4" t="str">
        <f t="array" ref="I56">IF($A56="","",IF(ISNUMBER($H56),INDEX(L_Golpes!$B$2:$B$6000,$H56),IF(IFERROR(INDEX('Golpes extras'!$C$2:$C$101,MATCH($A56,'Golpes extras'!$A$2:$A$101,0))&amp;"","")&lt;&gt;"",INDEX('Golpes extras'!$C$2:$C$101,MATCH($A56,'Golpes extras'!$A$2:$A$101,0))&amp;"","golpe?")))</f>
        <v/>
      </c>
      <c r="J56" s="4" t="str">
        <f>IF(OR($I56="",$I56="golpe?"),"",IFERROR(MATCH($I56,Time!$B$4:$E$4,0),"fora do time"))</f>
        <v/>
      </c>
      <c r="K56" s="4" t="str">
        <f t="array" ref="K56">IF(ISNUMBER($J56),IF(IFERROR(INDEX('Golpes extras'!$D$2:$D$101,MATCH($A56,'Golpes extras'!$A$2:$A$101,0))&amp;"","")&lt;&gt;"",INDEX('Golpes extras'!$D$2:$D$101,MATCH($A56,'Golpes extras'!$A$2:$A$101,0))&amp;"",IF(ISNUMBER($H56),INDEX(L_Golpes!$D$2:$D$6000,$H56),"Outro")),"")</f>
        <v/>
      </c>
      <c r="L56" s="4" t="str">
        <f t="array" ref="L56">IF(ISNUMBER($J56),IF(ISNUMBER($H56),INDEX(L_Golpes!$C$2:$C$6000,$H56),""),"")</f>
        <v/>
      </c>
      <c r="M56" s="4" t="str">
        <f t="array" ref="M56">IF(ISNUMBER($J56),IF($L56="Normal",INDEX('Cálculos'!$C$14:$F$14,$J56),IF($L56="Habilidade",INDEX('Cálculos'!$C$15:$F$15,$J56),IF($L56="Supremo",INDEX('Cálculos'!$C$16:$F$16,$J56),""))),"")</f>
        <v/>
      </c>
      <c r="N56" s="16" t="str">
        <f t="array" ref="N56">IF(ISNUMBER($J56),IF(ISNUMBER($H56),INDEX(L_Golpes!$F$2:$T$6000,$H56,MAX(1,MIN(15,$M56))),0)+IF($F56="Sim",N(INDEX('Golpes extras'!$E$2:$E$101,MATCH($A56,'Golpes extras'!$A$2:$A$101,0))),0),"")</f>
        <v/>
      </c>
      <c r="O56" s="17" t="str">
        <f t="array" ref="O56">IF(ISNUMBER($J56),IF(ISNUMBER($H56),INDEX(L_Golpes!$U$2:$AI$6000,$H56,MAX(1,MIN(15,$M56))),0)+IF($F56="Sim",N(INDEX('Golpes extras'!$F$2:$F$101,MATCH($A56,'Golpes extras'!$A$2:$A$101,0))),0),"")</f>
        <v/>
      </c>
      <c r="P56" s="16" t="str">
        <f t="array" ref="P56">IF(ISNUMBER($J56),IF(ISNUMBER($H56),INDEX(L_Golpes!$AJ$2:$AX$6000,$H56,MAX(1,MIN(15,$M56))),0)+IF($F56="Sim",N(INDEX('Golpes extras'!$G$2:$G$101,MATCH($A56,'Golpes extras'!$A$2:$A$101,0))),0),"")</f>
        <v/>
      </c>
      <c r="Q56" s="16" t="str">
        <f t="array" ref="Q56">IF(ISNUMBER($J56),IF(ISNUMBER($H56),INDEX(L_Golpes!$AY$2:$BM$6000,$H56,MAX(1,MIN(15,$M56))),0)+IF($F56="Sim",N(INDEX('Golpes extras'!$H$2:$H$101,MATCH($A56,'Golpes extras'!$A$2:$A$101,0))),0),"")</f>
        <v/>
      </c>
      <c r="R56" s="4" t="str">
        <f t="array" ref="R56">IF(ISNUMBER($J56),INDEX('Cálculos'!$C$19:$F$19,$J56),"")</f>
        <v/>
      </c>
      <c r="S56" s="4" t="str">
        <f t="shared" si="1"/>
        <v/>
      </c>
      <c r="T56" s="4" t="str">
        <f>IF(ISNUMBER($J56),IF(OR($D56="Não",$D56=FALSE),'Perfis de buff'!$A$8,IF(OR($D56="",$D56="Sim",$D56=TRUE),'Perfis de buff'!$A$4,$D56)),"")</f>
        <v/>
      </c>
      <c r="U56" s="22" t="str">
        <f t="array" ref="U56">IF(ISNUMBER($J56),INDEX('Cálculos'!$C$113:$F$113,$J56)+IF($K56="Normal",INDEX('Cálculos'!$C$114:$F$114,$J56),IF($K56="Carregado",INDEX('Cálculos'!$C$115:$F$115,$J56),IF($K56="Habilidade",INDEX('Cálculos'!$C$116:$F$116,$J56),IF($K56="Supremo",INDEX('Cálculos'!$C$117:$F$117,$J56),0))))+INDEX('Cálculos'!$C$143:$F$147,IFERROR(MATCH($T56,'Perfis de buff'!$A$4:$A$8,0),1),$J56)+IF($K56="Normal",INDEX('Cálculos'!$C$148:$F$152,IFERROR(MATCH($T56,'Perfis de buff'!$A$4:$A$8,0),1),$J56),IF($K56="Carregado",INDEX('Cálculos'!$C$153:$F$157,IFERROR(MATCH($T56,'Perfis de buff'!$A$4:$A$8,0),1),$J56),IF($K56="Habilidade",INDEX('Cálculos'!$C$158:$F$162,IFERROR(MATCH($T56,'Perfis de buff'!$A$4:$A$8,0),1),$J56),IF($K56="Supremo",INDEX('Cálculos'!$C$163:$F$167,IFERROR(MATCH($T56,'Perfis de buff'!$A$4:$A$8,0),1),$J56),0))))+N($E56),"")</f>
        <v/>
      </c>
      <c r="V56" s="16" t="str">
        <f t="array" ref="V56">IF(ISNUMBER($J56),INDEX('Cálculos'!$C$180:$F$180,$J56),"")</f>
        <v/>
      </c>
      <c r="W56" s="16" t="str">
        <f t="array" ref="W56">IF(ISNUMBER($J56),INDEX('Cálculos'!$C$182:$F$182,$J56),"")</f>
        <v/>
      </c>
      <c r="X56" s="16" t="str">
        <f t="shared" si="2"/>
        <v/>
      </c>
      <c r="Y56" s="16" t="str">
        <f t="shared" si="3"/>
        <v/>
      </c>
      <c r="Z56" s="16" t="str">
        <f t="shared" si="4"/>
        <v/>
      </c>
      <c r="AA56" s="16" t="str">
        <f t="shared" si="5"/>
        <v/>
      </c>
      <c r="AB56" s="16" t="str">
        <f t="shared" si="6"/>
        <v/>
      </c>
      <c r="AC56" s="21" t="str">
        <f t="array" ref="AC56">IF(ISNUMBER($J56),INDEX('Cálculos'!$C$332:$F$336,IFERROR(MATCH($T56,'Perfis de buff'!$A$4:$A$8,0),1),$J56),"")</f>
        <v/>
      </c>
      <c r="AD56" s="21" t="str">
        <f t="array" ref="AD56">IF(ISNUMBER($J56),INDEX('Cálculos'!$C$339:$F$343,IFERROR(MATCH($T56,'Perfis de buff'!$A$4:$A$8,0),1),$J56),"")</f>
        <v/>
      </c>
      <c r="AE56" s="21" t="str">
        <f t="array" ref="AE56">IF(ISNUMBER($J56),INDEX('Cálculos'!$C$337:$F$337,$J56),"")</f>
        <v/>
      </c>
      <c r="AF56" s="21" t="str">
        <f t="array" ref="AF56">IF(ISNUMBER($J56),INDEX('Cálculos'!$C$338:$F$338,$J56),"")</f>
        <v/>
      </c>
      <c r="AG56" s="16" t="str">
        <f t="array" ref="AG56">IF(ISNUMBER($J56),IF($S56="Derreter",INDEX('Cálculos'!$C$124:$F$124,$J56)*(1+2.78*$AD56/($AD56+1400)+INDEX('Cálculos'!$C$122:$F$122,$J56)),IF($S56="Vaporizar",INDEX('Cálculos'!$C$125:$F$125,$J56)*(1+2.78*$AD56/($AD56+1400)+INDEX('Cálculos'!$C$123:$F$123,$J56)),1)),"")</f>
        <v/>
      </c>
      <c r="AH56" s="21" t="str">
        <f t="shared" si="7"/>
        <v/>
      </c>
      <c r="AI56" s="21" t="str">
        <f t="array" ref="AI56">IF(ISNUMBER($J56),$AH56*(1+INDEX('Cálculos'!$C$331:$F$331,$J56)),"")</f>
        <v/>
      </c>
      <c r="AJ56" s="21" t="str">
        <f t="array" ref="AJ56">IF(ISNUMBER($J56),$AH56*(1+MIN(INDEX('Cálculos'!$C$330:$F$330,$J56),1)*INDEX('Cálculos'!$C$331:$F$331,$J56)),"")</f>
        <v/>
      </c>
      <c r="AK56" s="21" t="str">
        <f>IF(ISNUMBER($J56),'Fixo (cálculo)'!$AF56,"")</f>
        <v/>
      </c>
      <c r="AL56" s="26" t="str">
        <f t="shared" si="8"/>
        <v/>
      </c>
    </row>
    <row r="57" ht="15.75" customHeight="1">
      <c r="A57" s="7"/>
      <c r="B57" s="7"/>
      <c r="C57" s="7"/>
      <c r="D57" s="10" t="s">
        <v>105</v>
      </c>
      <c r="E57" s="11"/>
      <c r="F57" s="4" t="str">
        <f>IF($A57="","",IF(ISNUMBER(MATCH($A57,'Golpes extras'!$A$2:$A$101,0)),"Sim","Não"))</f>
        <v/>
      </c>
      <c r="G57" s="4" t="str">
        <f t="array" ref="G57">IF($A57="","",IF($F57="Sim",INDEX('Golpes extras'!$B$2:$B$101,MATCH($A57,'Golpes extras'!$A$2:$A$101,0))&amp;"",$A57))</f>
        <v/>
      </c>
      <c r="H57" s="4" t="str">
        <f>IF($G57="","",IFERROR(MATCH($G57,L_Golpes!$A$2:$A$6000,0),""))</f>
        <v/>
      </c>
      <c r="I57" s="4" t="str">
        <f t="array" ref="I57">IF($A57="","",IF(ISNUMBER($H57),INDEX(L_Golpes!$B$2:$B$6000,$H57),IF(IFERROR(INDEX('Golpes extras'!$C$2:$C$101,MATCH($A57,'Golpes extras'!$A$2:$A$101,0))&amp;"","")&lt;&gt;"",INDEX('Golpes extras'!$C$2:$C$101,MATCH($A57,'Golpes extras'!$A$2:$A$101,0))&amp;"","golpe?")))</f>
        <v/>
      </c>
      <c r="J57" s="4" t="str">
        <f>IF(OR($I57="",$I57="golpe?"),"",IFERROR(MATCH($I57,Time!$B$4:$E$4,0),"fora do time"))</f>
        <v/>
      </c>
      <c r="K57" s="4" t="str">
        <f t="array" ref="K57">IF(ISNUMBER($J57),IF(IFERROR(INDEX('Golpes extras'!$D$2:$D$101,MATCH($A57,'Golpes extras'!$A$2:$A$101,0))&amp;"","")&lt;&gt;"",INDEX('Golpes extras'!$D$2:$D$101,MATCH($A57,'Golpes extras'!$A$2:$A$101,0))&amp;"",IF(ISNUMBER($H57),INDEX(L_Golpes!$D$2:$D$6000,$H57),"Outro")),"")</f>
        <v/>
      </c>
      <c r="L57" s="4" t="str">
        <f t="array" ref="L57">IF(ISNUMBER($J57),IF(ISNUMBER($H57),INDEX(L_Golpes!$C$2:$C$6000,$H57),""),"")</f>
        <v/>
      </c>
      <c r="M57" s="4" t="str">
        <f t="array" ref="M57">IF(ISNUMBER($J57),IF($L57="Normal",INDEX('Cálculos'!$C$14:$F$14,$J57),IF($L57="Habilidade",INDEX('Cálculos'!$C$15:$F$15,$J57),IF($L57="Supremo",INDEX('Cálculos'!$C$16:$F$16,$J57),""))),"")</f>
        <v/>
      </c>
      <c r="N57" s="16" t="str">
        <f t="array" ref="N57">IF(ISNUMBER($J57),IF(ISNUMBER($H57),INDEX(L_Golpes!$F$2:$T$6000,$H57,MAX(1,MIN(15,$M57))),0)+IF($F57="Sim",N(INDEX('Golpes extras'!$E$2:$E$101,MATCH($A57,'Golpes extras'!$A$2:$A$101,0))),0),"")</f>
        <v/>
      </c>
      <c r="O57" s="17" t="str">
        <f t="array" ref="O57">IF(ISNUMBER($J57),IF(ISNUMBER($H57),INDEX(L_Golpes!$U$2:$AI$6000,$H57,MAX(1,MIN(15,$M57))),0)+IF($F57="Sim",N(INDEX('Golpes extras'!$F$2:$F$101,MATCH($A57,'Golpes extras'!$A$2:$A$101,0))),0),"")</f>
        <v/>
      </c>
      <c r="P57" s="16" t="str">
        <f t="array" ref="P57">IF(ISNUMBER($J57),IF(ISNUMBER($H57),INDEX(L_Golpes!$AJ$2:$AX$6000,$H57,MAX(1,MIN(15,$M57))),0)+IF($F57="Sim",N(INDEX('Golpes extras'!$G$2:$G$101,MATCH($A57,'Golpes extras'!$A$2:$A$101,0))),0),"")</f>
        <v/>
      </c>
      <c r="Q57" s="16" t="str">
        <f t="array" ref="Q57">IF(ISNUMBER($J57),IF(ISNUMBER($H57),INDEX(L_Golpes!$AY$2:$BM$6000,$H57,MAX(1,MIN(15,$M57))),0)+IF($F57="Sim",N(INDEX('Golpes extras'!$H$2:$H$101,MATCH($A57,'Golpes extras'!$A$2:$A$101,0))),0),"")</f>
        <v/>
      </c>
      <c r="R57" s="4" t="str">
        <f t="array" ref="R57">IF(ISNUMBER($J57),INDEX('Cálculos'!$C$19:$F$19,$J57),"")</f>
        <v/>
      </c>
      <c r="S57" s="4" t="str">
        <f t="shared" si="1"/>
        <v/>
      </c>
      <c r="T57" s="4" t="str">
        <f>IF(ISNUMBER($J57),IF(OR($D57="Não",$D57=FALSE),'Perfis de buff'!$A$8,IF(OR($D57="",$D57="Sim",$D57=TRUE),'Perfis de buff'!$A$4,$D57)),"")</f>
        <v/>
      </c>
      <c r="U57" s="22" t="str">
        <f t="array" ref="U57">IF(ISNUMBER($J57),INDEX('Cálculos'!$C$113:$F$113,$J57)+IF($K57="Normal",INDEX('Cálculos'!$C$114:$F$114,$J57),IF($K57="Carregado",INDEX('Cálculos'!$C$115:$F$115,$J57),IF($K57="Habilidade",INDEX('Cálculos'!$C$116:$F$116,$J57),IF($K57="Supremo",INDEX('Cálculos'!$C$117:$F$117,$J57),0))))+INDEX('Cálculos'!$C$143:$F$147,IFERROR(MATCH($T57,'Perfis de buff'!$A$4:$A$8,0),1),$J57)+IF($K57="Normal",INDEX('Cálculos'!$C$148:$F$152,IFERROR(MATCH($T57,'Perfis de buff'!$A$4:$A$8,0),1),$J57),IF($K57="Carregado",INDEX('Cálculos'!$C$153:$F$157,IFERROR(MATCH($T57,'Perfis de buff'!$A$4:$A$8,0),1),$J57),IF($K57="Habilidade",INDEX('Cálculos'!$C$158:$F$162,IFERROR(MATCH($T57,'Perfis de buff'!$A$4:$A$8,0),1),$J57),IF($K57="Supremo",INDEX('Cálculos'!$C$163:$F$167,IFERROR(MATCH($T57,'Perfis de buff'!$A$4:$A$8,0),1),$J57),0))))+N($E57),"")</f>
        <v/>
      </c>
      <c r="V57" s="16" t="str">
        <f t="array" ref="V57">IF(ISNUMBER($J57),INDEX('Cálculos'!$C$180:$F$180,$J57),"")</f>
        <v/>
      </c>
      <c r="W57" s="16" t="str">
        <f t="array" ref="W57">IF(ISNUMBER($J57),INDEX('Cálculos'!$C$182:$F$182,$J57),"")</f>
        <v/>
      </c>
      <c r="X57" s="16" t="str">
        <f t="shared" si="2"/>
        <v/>
      </c>
      <c r="Y57" s="16" t="str">
        <f t="shared" si="3"/>
        <v/>
      </c>
      <c r="Z57" s="16" t="str">
        <f t="shared" si="4"/>
        <v/>
      </c>
      <c r="AA57" s="16" t="str">
        <f t="shared" si="5"/>
        <v/>
      </c>
      <c r="AB57" s="16" t="str">
        <f t="shared" si="6"/>
        <v/>
      </c>
      <c r="AC57" s="21" t="str">
        <f t="array" ref="AC57">IF(ISNUMBER($J57),INDEX('Cálculos'!$C$332:$F$336,IFERROR(MATCH($T57,'Perfis de buff'!$A$4:$A$8,0),1),$J57),"")</f>
        <v/>
      </c>
      <c r="AD57" s="21" t="str">
        <f t="array" ref="AD57">IF(ISNUMBER($J57),INDEX('Cálculos'!$C$339:$F$343,IFERROR(MATCH($T57,'Perfis de buff'!$A$4:$A$8,0),1),$J57),"")</f>
        <v/>
      </c>
      <c r="AE57" s="21" t="str">
        <f t="array" ref="AE57">IF(ISNUMBER($J57),INDEX('Cálculos'!$C$337:$F$337,$J57),"")</f>
        <v/>
      </c>
      <c r="AF57" s="21" t="str">
        <f t="array" ref="AF57">IF(ISNUMBER($J57),INDEX('Cálculos'!$C$338:$F$338,$J57),"")</f>
        <v/>
      </c>
      <c r="AG57" s="16" t="str">
        <f t="array" ref="AG57">IF(ISNUMBER($J57),IF($S57="Derreter",INDEX('Cálculos'!$C$124:$F$124,$J57)*(1+2.78*$AD57/($AD57+1400)+INDEX('Cálculos'!$C$122:$F$122,$J57)),IF($S57="Vaporizar",INDEX('Cálculos'!$C$125:$F$125,$J57)*(1+2.78*$AD57/($AD57+1400)+INDEX('Cálculos'!$C$123:$F$123,$J57)),1)),"")</f>
        <v/>
      </c>
      <c r="AH57" s="21" t="str">
        <f t="shared" si="7"/>
        <v/>
      </c>
      <c r="AI57" s="21" t="str">
        <f t="array" ref="AI57">IF(ISNUMBER($J57),$AH57*(1+INDEX('Cálculos'!$C$331:$F$331,$J57)),"")</f>
        <v/>
      </c>
      <c r="AJ57" s="21" t="str">
        <f t="array" ref="AJ57">IF(ISNUMBER($J57),$AH57*(1+MIN(INDEX('Cálculos'!$C$330:$F$330,$J57),1)*INDEX('Cálculos'!$C$331:$F$331,$J57)),"")</f>
        <v/>
      </c>
      <c r="AK57" s="21" t="str">
        <f>IF(ISNUMBER($J57),'Fixo (cálculo)'!$AF57,"")</f>
        <v/>
      </c>
      <c r="AL57" s="26" t="str">
        <f t="shared" si="8"/>
        <v/>
      </c>
    </row>
    <row r="58" ht="15.75" customHeight="1">
      <c r="A58" s="7"/>
      <c r="B58" s="7"/>
      <c r="C58" s="7"/>
      <c r="D58" s="10" t="s">
        <v>105</v>
      </c>
      <c r="E58" s="11"/>
      <c r="F58" s="4" t="str">
        <f>IF($A58="","",IF(ISNUMBER(MATCH($A58,'Golpes extras'!$A$2:$A$101,0)),"Sim","Não"))</f>
        <v/>
      </c>
      <c r="G58" s="4" t="str">
        <f t="array" ref="G58">IF($A58="","",IF($F58="Sim",INDEX('Golpes extras'!$B$2:$B$101,MATCH($A58,'Golpes extras'!$A$2:$A$101,0))&amp;"",$A58))</f>
        <v/>
      </c>
      <c r="H58" s="4" t="str">
        <f>IF($G58="","",IFERROR(MATCH($G58,L_Golpes!$A$2:$A$6000,0),""))</f>
        <v/>
      </c>
      <c r="I58" s="4" t="str">
        <f t="array" ref="I58">IF($A58="","",IF(ISNUMBER($H58),INDEX(L_Golpes!$B$2:$B$6000,$H58),IF(IFERROR(INDEX('Golpes extras'!$C$2:$C$101,MATCH($A58,'Golpes extras'!$A$2:$A$101,0))&amp;"","")&lt;&gt;"",INDEX('Golpes extras'!$C$2:$C$101,MATCH($A58,'Golpes extras'!$A$2:$A$101,0))&amp;"","golpe?")))</f>
        <v/>
      </c>
      <c r="J58" s="4" t="str">
        <f>IF(OR($I58="",$I58="golpe?"),"",IFERROR(MATCH($I58,Time!$B$4:$E$4,0),"fora do time"))</f>
        <v/>
      </c>
      <c r="K58" s="4" t="str">
        <f t="array" ref="K58">IF(ISNUMBER($J58),IF(IFERROR(INDEX('Golpes extras'!$D$2:$D$101,MATCH($A58,'Golpes extras'!$A$2:$A$101,0))&amp;"","")&lt;&gt;"",INDEX('Golpes extras'!$D$2:$D$101,MATCH($A58,'Golpes extras'!$A$2:$A$101,0))&amp;"",IF(ISNUMBER($H58),INDEX(L_Golpes!$D$2:$D$6000,$H58),"Outro")),"")</f>
        <v/>
      </c>
      <c r="L58" s="4" t="str">
        <f t="array" ref="L58">IF(ISNUMBER($J58),IF(ISNUMBER($H58),INDEX(L_Golpes!$C$2:$C$6000,$H58),""),"")</f>
        <v/>
      </c>
      <c r="M58" s="4" t="str">
        <f t="array" ref="M58">IF(ISNUMBER($J58),IF($L58="Normal",INDEX('Cálculos'!$C$14:$F$14,$J58),IF($L58="Habilidade",INDEX('Cálculos'!$C$15:$F$15,$J58),IF($L58="Supremo",INDEX('Cálculos'!$C$16:$F$16,$J58),""))),"")</f>
        <v/>
      </c>
      <c r="N58" s="16" t="str">
        <f t="array" ref="N58">IF(ISNUMBER($J58),IF(ISNUMBER($H58),INDEX(L_Golpes!$F$2:$T$6000,$H58,MAX(1,MIN(15,$M58))),0)+IF($F58="Sim",N(INDEX('Golpes extras'!$E$2:$E$101,MATCH($A58,'Golpes extras'!$A$2:$A$101,0))),0),"")</f>
        <v/>
      </c>
      <c r="O58" s="17" t="str">
        <f t="array" ref="O58">IF(ISNUMBER($J58),IF(ISNUMBER($H58),INDEX(L_Golpes!$U$2:$AI$6000,$H58,MAX(1,MIN(15,$M58))),0)+IF($F58="Sim",N(INDEX('Golpes extras'!$F$2:$F$101,MATCH($A58,'Golpes extras'!$A$2:$A$101,0))),0),"")</f>
        <v/>
      </c>
      <c r="P58" s="16" t="str">
        <f t="array" ref="P58">IF(ISNUMBER($J58),IF(ISNUMBER($H58),INDEX(L_Golpes!$AJ$2:$AX$6000,$H58,MAX(1,MIN(15,$M58))),0)+IF($F58="Sim",N(INDEX('Golpes extras'!$G$2:$G$101,MATCH($A58,'Golpes extras'!$A$2:$A$101,0))),0),"")</f>
        <v/>
      </c>
      <c r="Q58" s="16" t="str">
        <f t="array" ref="Q58">IF(ISNUMBER($J58),IF(ISNUMBER($H58),INDEX(L_Golpes!$AY$2:$BM$6000,$H58,MAX(1,MIN(15,$M58))),0)+IF($F58="Sim",N(INDEX('Golpes extras'!$H$2:$H$101,MATCH($A58,'Golpes extras'!$A$2:$A$101,0))),0),"")</f>
        <v/>
      </c>
      <c r="R58" s="4" t="str">
        <f t="array" ref="R58">IF(ISNUMBER($J58),INDEX('Cálculos'!$C$19:$F$19,$J58),"")</f>
        <v/>
      </c>
      <c r="S58" s="4" t="str">
        <f t="shared" si="1"/>
        <v/>
      </c>
      <c r="T58" s="4" t="str">
        <f>IF(ISNUMBER($J58),IF(OR($D58="Não",$D58=FALSE),'Perfis de buff'!$A$8,IF(OR($D58="",$D58="Sim",$D58=TRUE),'Perfis de buff'!$A$4,$D58)),"")</f>
        <v/>
      </c>
      <c r="U58" s="22" t="str">
        <f t="array" ref="U58">IF(ISNUMBER($J58),INDEX('Cálculos'!$C$113:$F$113,$J58)+IF($K58="Normal",INDEX('Cálculos'!$C$114:$F$114,$J58),IF($K58="Carregado",INDEX('Cálculos'!$C$115:$F$115,$J58),IF($K58="Habilidade",INDEX('Cálculos'!$C$116:$F$116,$J58),IF($K58="Supremo",INDEX('Cálculos'!$C$117:$F$117,$J58),0))))+INDEX('Cálculos'!$C$143:$F$147,IFERROR(MATCH($T58,'Perfis de buff'!$A$4:$A$8,0),1),$J58)+IF($K58="Normal",INDEX('Cálculos'!$C$148:$F$152,IFERROR(MATCH($T58,'Perfis de buff'!$A$4:$A$8,0),1),$J58),IF($K58="Carregado",INDEX('Cálculos'!$C$153:$F$157,IFERROR(MATCH($T58,'Perfis de buff'!$A$4:$A$8,0),1),$J58),IF($K58="Habilidade",INDEX('Cálculos'!$C$158:$F$162,IFERROR(MATCH($T58,'Perfis de buff'!$A$4:$A$8,0),1),$J58),IF($K58="Supremo",INDEX('Cálculos'!$C$163:$F$167,IFERROR(MATCH($T58,'Perfis de buff'!$A$4:$A$8,0),1),$J58),0))))+N($E58),"")</f>
        <v/>
      </c>
      <c r="V58" s="16" t="str">
        <f t="array" ref="V58">IF(ISNUMBER($J58),INDEX('Cálculos'!$C$180:$F$180,$J58),"")</f>
        <v/>
      </c>
      <c r="W58" s="16" t="str">
        <f t="array" ref="W58">IF(ISNUMBER($J58),INDEX('Cálculos'!$C$182:$F$182,$J58),"")</f>
        <v/>
      </c>
      <c r="X58" s="16" t="str">
        <f t="shared" si="2"/>
        <v/>
      </c>
      <c r="Y58" s="16" t="str">
        <f t="shared" si="3"/>
        <v/>
      </c>
      <c r="Z58" s="16" t="str">
        <f t="shared" si="4"/>
        <v/>
      </c>
      <c r="AA58" s="16" t="str">
        <f t="shared" si="5"/>
        <v/>
      </c>
      <c r="AB58" s="16" t="str">
        <f t="shared" si="6"/>
        <v/>
      </c>
      <c r="AC58" s="21" t="str">
        <f t="array" ref="AC58">IF(ISNUMBER($J58),INDEX('Cálculos'!$C$332:$F$336,IFERROR(MATCH($T58,'Perfis de buff'!$A$4:$A$8,0),1),$J58),"")</f>
        <v/>
      </c>
      <c r="AD58" s="21" t="str">
        <f t="array" ref="AD58">IF(ISNUMBER($J58),INDEX('Cálculos'!$C$339:$F$343,IFERROR(MATCH($T58,'Perfis de buff'!$A$4:$A$8,0),1),$J58),"")</f>
        <v/>
      </c>
      <c r="AE58" s="21" t="str">
        <f t="array" ref="AE58">IF(ISNUMBER($J58),INDEX('Cálculos'!$C$337:$F$337,$J58),"")</f>
        <v/>
      </c>
      <c r="AF58" s="21" t="str">
        <f t="array" ref="AF58">IF(ISNUMBER($J58),INDEX('Cálculos'!$C$338:$F$338,$J58),"")</f>
        <v/>
      </c>
      <c r="AG58" s="16" t="str">
        <f t="array" ref="AG58">IF(ISNUMBER($J58),IF($S58="Derreter",INDEX('Cálculos'!$C$124:$F$124,$J58)*(1+2.78*$AD58/($AD58+1400)+INDEX('Cálculos'!$C$122:$F$122,$J58)),IF($S58="Vaporizar",INDEX('Cálculos'!$C$125:$F$125,$J58)*(1+2.78*$AD58/($AD58+1400)+INDEX('Cálculos'!$C$123:$F$123,$J58)),1)),"")</f>
        <v/>
      </c>
      <c r="AH58" s="21" t="str">
        <f t="shared" si="7"/>
        <v/>
      </c>
      <c r="AI58" s="21" t="str">
        <f t="array" ref="AI58">IF(ISNUMBER($J58),$AH58*(1+INDEX('Cálculos'!$C$331:$F$331,$J58)),"")</f>
        <v/>
      </c>
      <c r="AJ58" s="21" t="str">
        <f t="array" ref="AJ58">IF(ISNUMBER($J58),$AH58*(1+MIN(INDEX('Cálculos'!$C$330:$F$330,$J58),1)*INDEX('Cálculos'!$C$331:$F$331,$J58)),"")</f>
        <v/>
      </c>
      <c r="AK58" s="21" t="str">
        <f>IF(ISNUMBER($J58),'Fixo (cálculo)'!$AF58,"")</f>
        <v/>
      </c>
      <c r="AL58" s="26" t="str">
        <f t="shared" si="8"/>
        <v/>
      </c>
    </row>
    <row r="59" ht="15.75" customHeight="1">
      <c r="A59" s="7"/>
      <c r="B59" s="7"/>
      <c r="C59" s="7"/>
      <c r="D59" s="10" t="s">
        <v>105</v>
      </c>
      <c r="E59" s="11"/>
      <c r="F59" s="4" t="str">
        <f>IF($A59="","",IF(ISNUMBER(MATCH($A59,'Golpes extras'!$A$2:$A$101,0)),"Sim","Não"))</f>
        <v/>
      </c>
      <c r="G59" s="4" t="str">
        <f t="array" ref="G59">IF($A59="","",IF($F59="Sim",INDEX('Golpes extras'!$B$2:$B$101,MATCH($A59,'Golpes extras'!$A$2:$A$101,0))&amp;"",$A59))</f>
        <v/>
      </c>
      <c r="H59" s="4" t="str">
        <f>IF($G59="","",IFERROR(MATCH($G59,L_Golpes!$A$2:$A$6000,0),""))</f>
        <v/>
      </c>
      <c r="I59" s="4" t="str">
        <f t="array" ref="I59">IF($A59="","",IF(ISNUMBER($H59),INDEX(L_Golpes!$B$2:$B$6000,$H59),IF(IFERROR(INDEX('Golpes extras'!$C$2:$C$101,MATCH($A59,'Golpes extras'!$A$2:$A$101,0))&amp;"","")&lt;&gt;"",INDEX('Golpes extras'!$C$2:$C$101,MATCH($A59,'Golpes extras'!$A$2:$A$101,0))&amp;"","golpe?")))</f>
        <v/>
      </c>
      <c r="J59" s="4" t="str">
        <f>IF(OR($I59="",$I59="golpe?"),"",IFERROR(MATCH($I59,Time!$B$4:$E$4,0),"fora do time"))</f>
        <v/>
      </c>
      <c r="K59" s="4" t="str">
        <f t="array" ref="K59">IF(ISNUMBER($J59),IF(IFERROR(INDEX('Golpes extras'!$D$2:$D$101,MATCH($A59,'Golpes extras'!$A$2:$A$101,0))&amp;"","")&lt;&gt;"",INDEX('Golpes extras'!$D$2:$D$101,MATCH($A59,'Golpes extras'!$A$2:$A$101,0))&amp;"",IF(ISNUMBER($H59),INDEX(L_Golpes!$D$2:$D$6000,$H59),"Outro")),"")</f>
        <v/>
      </c>
      <c r="L59" s="4" t="str">
        <f t="array" ref="L59">IF(ISNUMBER($J59),IF(ISNUMBER($H59),INDEX(L_Golpes!$C$2:$C$6000,$H59),""),"")</f>
        <v/>
      </c>
      <c r="M59" s="4" t="str">
        <f t="array" ref="M59">IF(ISNUMBER($J59),IF($L59="Normal",INDEX('Cálculos'!$C$14:$F$14,$J59),IF($L59="Habilidade",INDEX('Cálculos'!$C$15:$F$15,$J59),IF($L59="Supremo",INDEX('Cálculos'!$C$16:$F$16,$J59),""))),"")</f>
        <v/>
      </c>
      <c r="N59" s="16" t="str">
        <f t="array" ref="N59">IF(ISNUMBER($J59),IF(ISNUMBER($H59),INDEX(L_Golpes!$F$2:$T$6000,$H59,MAX(1,MIN(15,$M59))),0)+IF($F59="Sim",N(INDEX('Golpes extras'!$E$2:$E$101,MATCH($A59,'Golpes extras'!$A$2:$A$101,0))),0),"")</f>
        <v/>
      </c>
      <c r="O59" s="17" t="str">
        <f t="array" ref="O59">IF(ISNUMBER($J59),IF(ISNUMBER($H59),INDEX(L_Golpes!$U$2:$AI$6000,$H59,MAX(1,MIN(15,$M59))),0)+IF($F59="Sim",N(INDEX('Golpes extras'!$F$2:$F$101,MATCH($A59,'Golpes extras'!$A$2:$A$101,0))),0),"")</f>
        <v/>
      </c>
      <c r="P59" s="16" t="str">
        <f t="array" ref="P59">IF(ISNUMBER($J59),IF(ISNUMBER($H59),INDEX(L_Golpes!$AJ$2:$AX$6000,$H59,MAX(1,MIN(15,$M59))),0)+IF($F59="Sim",N(INDEX('Golpes extras'!$G$2:$G$101,MATCH($A59,'Golpes extras'!$A$2:$A$101,0))),0),"")</f>
        <v/>
      </c>
      <c r="Q59" s="16" t="str">
        <f t="array" ref="Q59">IF(ISNUMBER($J59),IF(ISNUMBER($H59),INDEX(L_Golpes!$AY$2:$BM$6000,$H59,MAX(1,MIN(15,$M59))),0)+IF($F59="Sim",N(INDEX('Golpes extras'!$H$2:$H$101,MATCH($A59,'Golpes extras'!$A$2:$A$101,0))),0),"")</f>
        <v/>
      </c>
      <c r="R59" s="4" t="str">
        <f t="array" ref="R59">IF(ISNUMBER($J59),INDEX('Cálculos'!$C$19:$F$19,$J59),"")</f>
        <v/>
      </c>
      <c r="S59" s="4" t="str">
        <f t="shared" si="1"/>
        <v/>
      </c>
      <c r="T59" s="4" t="str">
        <f>IF(ISNUMBER($J59),IF(OR($D59="Não",$D59=FALSE),'Perfis de buff'!$A$8,IF(OR($D59="",$D59="Sim",$D59=TRUE),'Perfis de buff'!$A$4,$D59)),"")</f>
        <v/>
      </c>
      <c r="U59" s="22" t="str">
        <f t="array" ref="U59">IF(ISNUMBER($J59),INDEX('Cálculos'!$C$113:$F$113,$J59)+IF($K59="Normal",INDEX('Cálculos'!$C$114:$F$114,$J59),IF($K59="Carregado",INDEX('Cálculos'!$C$115:$F$115,$J59),IF($K59="Habilidade",INDEX('Cálculos'!$C$116:$F$116,$J59),IF($K59="Supremo",INDEX('Cálculos'!$C$117:$F$117,$J59),0))))+INDEX('Cálculos'!$C$143:$F$147,IFERROR(MATCH($T59,'Perfis de buff'!$A$4:$A$8,0),1),$J59)+IF($K59="Normal",INDEX('Cálculos'!$C$148:$F$152,IFERROR(MATCH($T59,'Perfis de buff'!$A$4:$A$8,0),1),$J59),IF($K59="Carregado",INDEX('Cálculos'!$C$153:$F$157,IFERROR(MATCH($T59,'Perfis de buff'!$A$4:$A$8,0),1),$J59),IF($K59="Habilidade",INDEX('Cálculos'!$C$158:$F$162,IFERROR(MATCH($T59,'Perfis de buff'!$A$4:$A$8,0),1),$J59),IF($K59="Supremo",INDEX('Cálculos'!$C$163:$F$167,IFERROR(MATCH($T59,'Perfis de buff'!$A$4:$A$8,0),1),$J59),0))))+N($E59),"")</f>
        <v/>
      </c>
      <c r="V59" s="16" t="str">
        <f t="array" ref="V59">IF(ISNUMBER($J59),INDEX('Cálculos'!$C$180:$F$180,$J59),"")</f>
        <v/>
      </c>
      <c r="W59" s="16" t="str">
        <f t="array" ref="W59">IF(ISNUMBER($J59),INDEX('Cálculos'!$C$182:$F$182,$J59),"")</f>
        <v/>
      </c>
      <c r="X59" s="16" t="str">
        <f t="shared" si="2"/>
        <v/>
      </c>
      <c r="Y59" s="16" t="str">
        <f t="shared" si="3"/>
        <v/>
      </c>
      <c r="Z59" s="16" t="str">
        <f t="shared" si="4"/>
        <v/>
      </c>
      <c r="AA59" s="16" t="str">
        <f t="shared" si="5"/>
        <v/>
      </c>
      <c r="AB59" s="16" t="str">
        <f t="shared" si="6"/>
        <v/>
      </c>
      <c r="AC59" s="21" t="str">
        <f t="array" ref="AC59">IF(ISNUMBER($J59),INDEX('Cálculos'!$C$332:$F$336,IFERROR(MATCH($T59,'Perfis de buff'!$A$4:$A$8,0),1),$J59),"")</f>
        <v/>
      </c>
      <c r="AD59" s="21" t="str">
        <f t="array" ref="AD59">IF(ISNUMBER($J59),INDEX('Cálculos'!$C$339:$F$343,IFERROR(MATCH($T59,'Perfis de buff'!$A$4:$A$8,0),1),$J59),"")</f>
        <v/>
      </c>
      <c r="AE59" s="21" t="str">
        <f t="array" ref="AE59">IF(ISNUMBER($J59),INDEX('Cálculos'!$C$337:$F$337,$J59),"")</f>
        <v/>
      </c>
      <c r="AF59" s="21" t="str">
        <f t="array" ref="AF59">IF(ISNUMBER($J59),INDEX('Cálculos'!$C$338:$F$338,$J59),"")</f>
        <v/>
      </c>
      <c r="AG59" s="16" t="str">
        <f t="array" ref="AG59">IF(ISNUMBER($J59),IF($S59="Derreter",INDEX('Cálculos'!$C$124:$F$124,$J59)*(1+2.78*$AD59/($AD59+1400)+INDEX('Cálculos'!$C$122:$F$122,$J59)),IF($S59="Vaporizar",INDEX('Cálculos'!$C$125:$F$125,$J59)*(1+2.78*$AD59/($AD59+1400)+INDEX('Cálculos'!$C$123:$F$123,$J59)),1)),"")</f>
        <v/>
      </c>
      <c r="AH59" s="21" t="str">
        <f t="shared" si="7"/>
        <v/>
      </c>
      <c r="AI59" s="21" t="str">
        <f t="array" ref="AI59">IF(ISNUMBER($J59),$AH59*(1+INDEX('Cálculos'!$C$331:$F$331,$J59)),"")</f>
        <v/>
      </c>
      <c r="AJ59" s="21" t="str">
        <f t="array" ref="AJ59">IF(ISNUMBER($J59),$AH59*(1+MIN(INDEX('Cálculos'!$C$330:$F$330,$J59),1)*INDEX('Cálculos'!$C$331:$F$331,$J59)),"")</f>
        <v/>
      </c>
      <c r="AK59" s="21" t="str">
        <f>IF(ISNUMBER($J59),'Fixo (cálculo)'!$AF59,"")</f>
        <v/>
      </c>
      <c r="AL59" s="26" t="str">
        <f t="shared" si="8"/>
        <v/>
      </c>
    </row>
    <row r="60" ht="15.75" customHeight="1">
      <c r="A60" s="7"/>
      <c r="B60" s="7"/>
      <c r="C60" s="7"/>
      <c r="D60" s="10" t="s">
        <v>105</v>
      </c>
      <c r="E60" s="11"/>
      <c r="F60" s="4" t="str">
        <f>IF($A60="","",IF(ISNUMBER(MATCH($A60,'Golpes extras'!$A$2:$A$101,0)),"Sim","Não"))</f>
        <v/>
      </c>
      <c r="G60" s="4" t="str">
        <f t="array" ref="G60">IF($A60="","",IF($F60="Sim",INDEX('Golpes extras'!$B$2:$B$101,MATCH($A60,'Golpes extras'!$A$2:$A$101,0))&amp;"",$A60))</f>
        <v/>
      </c>
      <c r="H60" s="4" t="str">
        <f>IF($G60="","",IFERROR(MATCH($G60,L_Golpes!$A$2:$A$6000,0),""))</f>
        <v/>
      </c>
      <c r="I60" s="4" t="str">
        <f t="array" ref="I60">IF($A60="","",IF(ISNUMBER($H60),INDEX(L_Golpes!$B$2:$B$6000,$H60),IF(IFERROR(INDEX('Golpes extras'!$C$2:$C$101,MATCH($A60,'Golpes extras'!$A$2:$A$101,0))&amp;"","")&lt;&gt;"",INDEX('Golpes extras'!$C$2:$C$101,MATCH($A60,'Golpes extras'!$A$2:$A$101,0))&amp;"","golpe?")))</f>
        <v/>
      </c>
      <c r="J60" s="4" t="str">
        <f>IF(OR($I60="",$I60="golpe?"),"",IFERROR(MATCH($I60,Time!$B$4:$E$4,0),"fora do time"))</f>
        <v/>
      </c>
      <c r="K60" s="4" t="str">
        <f t="array" ref="K60">IF(ISNUMBER($J60),IF(IFERROR(INDEX('Golpes extras'!$D$2:$D$101,MATCH($A60,'Golpes extras'!$A$2:$A$101,0))&amp;"","")&lt;&gt;"",INDEX('Golpes extras'!$D$2:$D$101,MATCH($A60,'Golpes extras'!$A$2:$A$101,0))&amp;"",IF(ISNUMBER($H60),INDEX(L_Golpes!$D$2:$D$6000,$H60),"Outro")),"")</f>
        <v/>
      </c>
      <c r="L60" s="4" t="str">
        <f t="array" ref="L60">IF(ISNUMBER($J60),IF(ISNUMBER($H60),INDEX(L_Golpes!$C$2:$C$6000,$H60),""),"")</f>
        <v/>
      </c>
      <c r="M60" s="4" t="str">
        <f t="array" ref="M60">IF(ISNUMBER($J60),IF($L60="Normal",INDEX('Cálculos'!$C$14:$F$14,$J60),IF($L60="Habilidade",INDEX('Cálculos'!$C$15:$F$15,$J60),IF($L60="Supremo",INDEX('Cálculos'!$C$16:$F$16,$J60),""))),"")</f>
        <v/>
      </c>
      <c r="N60" s="16" t="str">
        <f t="array" ref="N60">IF(ISNUMBER($J60),IF(ISNUMBER($H60),INDEX(L_Golpes!$F$2:$T$6000,$H60,MAX(1,MIN(15,$M60))),0)+IF($F60="Sim",N(INDEX('Golpes extras'!$E$2:$E$101,MATCH($A60,'Golpes extras'!$A$2:$A$101,0))),0),"")</f>
        <v/>
      </c>
      <c r="O60" s="17" t="str">
        <f t="array" ref="O60">IF(ISNUMBER($J60),IF(ISNUMBER($H60),INDEX(L_Golpes!$U$2:$AI$6000,$H60,MAX(1,MIN(15,$M60))),0)+IF($F60="Sim",N(INDEX('Golpes extras'!$F$2:$F$101,MATCH($A60,'Golpes extras'!$A$2:$A$101,0))),0),"")</f>
        <v/>
      </c>
      <c r="P60" s="16" t="str">
        <f t="array" ref="P60">IF(ISNUMBER($J60),IF(ISNUMBER($H60),INDEX(L_Golpes!$AJ$2:$AX$6000,$H60,MAX(1,MIN(15,$M60))),0)+IF($F60="Sim",N(INDEX('Golpes extras'!$G$2:$G$101,MATCH($A60,'Golpes extras'!$A$2:$A$101,0))),0),"")</f>
        <v/>
      </c>
      <c r="Q60" s="16" t="str">
        <f t="array" ref="Q60">IF(ISNUMBER($J60),IF(ISNUMBER($H60),INDEX(L_Golpes!$AY$2:$BM$6000,$H60,MAX(1,MIN(15,$M60))),0)+IF($F60="Sim",N(INDEX('Golpes extras'!$H$2:$H$101,MATCH($A60,'Golpes extras'!$A$2:$A$101,0))),0),"")</f>
        <v/>
      </c>
      <c r="R60" s="4" t="str">
        <f t="array" ref="R60">IF(ISNUMBER($J60),INDEX('Cálculos'!$C$19:$F$19,$J60),"")</f>
        <v/>
      </c>
      <c r="S60" s="4" t="str">
        <f t="shared" si="1"/>
        <v/>
      </c>
      <c r="T60" s="4" t="str">
        <f>IF(ISNUMBER($J60),IF(OR($D60="Não",$D60=FALSE),'Perfis de buff'!$A$8,IF(OR($D60="",$D60="Sim",$D60=TRUE),'Perfis de buff'!$A$4,$D60)),"")</f>
        <v/>
      </c>
      <c r="U60" s="22" t="str">
        <f t="array" ref="U60">IF(ISNUMBER($J60),INDEX('Cálculos'!$C$113:$F$113,$J60)+IF($K60="Normal",INDEX('Cálculos'!$C$114:$F$114,$J60),IF($K60="Carregado",INDEX('Cálculos'!$C$115:$F$115,$J60),IF($K60="Habilidade",INDEX('Cálculos'!$C$116:$F$116,$J60),IF($K60="Supremo",INDEX('Cálculos'!$C$117:$F$117,$J60),0))))+INDEX('Cálculos'!$C$143:$F$147,IFERROR(MATCH($T60,'Perfis de buff'!$A$4:$A$8,0),1),$J60)+IF($K60="Normal",INDEX('Cálculos'!$C$148:$F$152,IFERROR(MATCH($T60,'Perfis de buff'!$A$4:$A$8,0),1),$J60),IF($K60="Carregado",INDEX('Cálculos'!$C$153:$F$157,IFERROR(MATCH($T60,'Perfis de buff'!$A$4:$A$8,0),1),$J60),IF($K60="Habilidade",INDEX('Cálculos'!$C$158:$F$162,IFERROR(MATCH($T60,'Perfis de buff'!$A$4:$A$8,0),1),$J60),IF($K60="Supremo",INDEX('Cálculos'!$C$163:$F$167,IFERROR(MATCH($T60,'Perfis de buff'!$A$4:$A$8,0),1),$J60),0))))+N($E60),"")</f>
        <v/>
      </c>
      <c r="V60" s="16" t="str">
        <f t="array" ref="V60">IF(ISNUMBER($J60),INDEX('Cálculos'!$C$180:$F$180,$J60),"")</f>
        <v/>
      </c>
      <c r="W60" s="16" t="str">
        <f t="array" ref="W60">IF(ISNUMBER($J60),INDEX('Cálculos'!$C$182:$F$182,$J60),"")</f>
        <v/>
      </c>
      <c r="X60" s="16" t="str">
        <f t="shared" si="2"/>
        <v/>
      </c>
      <c r="Y60" s="16" t="str">
        <f t="shared" si="3"/>
        <v/>
      </c>
      <c r="Z60" s="16" t="str">
        <f t="shared" si="4"/>
        <v/>
      </c>
      <c r="AA60" s="16" t="str">
        <f t="shared" si="5"/>
        <v/>
      </c>
      <c r="AB60" s="16" t="str">
        <f t="shared" si="6"/>
        <v/>
      </c>
      <c r="AC60" s="21" t="str">
        <f t="array" ref="AC60">IF(ISNUMBER($J60),INDEX('Cálculos'!$C$332:$F$336,IFERROR(MATCH($T60,'Perfis de buff'!$A$4:$A$8,0),1),$J60),"")</f>
        <v/>
      </c>
      <c r="AD60" s="21" t="str">
        <f t="array" ref="AD60">IF(ISNUMBER($J60),INDEX('Cálculos'!$C$339:$F$343,IFERROR(MATCH($T60,'Perfis de buff'!$A$4:$A$8,0),1),$J60),"")</f>
        <v/>
      </c>
      <c r="AE60" s="21" t="str">
        <f t="array" ref="AE60">IF(ISNUMBER($J60),INDEX('Cálculos'!$C$337:$F$337,$J60),"")</f>
        <v/>
      </c>
      <c r="AF60" s="21" t="str">
        <f t="array" ref="AF60">IF(ISNUMBER($J60),INDEX('Cálculos'!$C$338:$F$338,$J60),"")</f>
        <v/>
      </c>
      <c r="AG60" s="16" t="str">
        <f t="array" ref="AG60">IF(ISNUMBER($J60),IF($S60="Derreter",INDEX('Cálculos'!$C$124:$F$124,$J60)*(1+2.78*$AD60/($AD60+1400)+INDEX('Cálculos'!$C$122:$F$122,$J60)),IF($S60="Vaporizar",INDEX('Cálculos'!$C$125:$F$125,$J60)*(1+2.78*$AD60/($AD60+1400)+INDEX('Cálculos'!$C$123:$F$123,$J60)),1)),"")</f>
        <v/>
      </c>
      <c r="AH60" s="21" t="str">
        <f t="shared" si="7"/>
        <v/>
      </c>
      <c r="AI60" s="21" t="str">
        <f t="array" ref="AI60">IF(ISNUMBER($J60),$AH60*(1+INDEX('Cálculos'!$C$331:$F$331,$J60)),"")</f>
        <v/>
      </c>
      <c r="AJ60" s="21" t="str">
        <f t="array" ref="AJ60">IF(ISNUMBER($J60),$AH60*(1+MIN(INDEX('Cálculos'!$C$330:$F$330,$J60),1)*INDEX('Cálculos'!$C$331:$F$331,$J60)),"")</f>
        <v/>
      </c>
      <c r="AK60" s="21" t="str">
        <f>IF(ISNUMBER($J60),'Fixo (cálculo)'!$AF60,"")</f>
        <v/>
      </c>
      <c r="AL60" s="26" t="str">
        <f t="shared" si="8"/>
        <v/>
      </c>
    </row>
    <row r="61" ht="15.75" customHeight="1">
      <c r="A61" s="7"/>
      <c r="B61" s="7"/>
      <c r="C61" s="7"/>
      <c r="D61" s="10" t="s">
        <v>105</v>
      </c>
      <c r="E61" s="11"/>
      <c r="F61" s="4" t="str">
        <f>IF($A61="","",IF(ISNUMBER(MATCH($A61,'Golpes extras'!$A$2:$A$101,0)),"Sim","Não"))</f>
        <v/>
      </c>
      <c r="G61" s="4" t="str">
        <f t="array" ref="G61">IF($A61="","",IF($F61="Sim",INDEX('Golpes extras'!$B$2:$B$101,MATCH($A61,'Golpes extras'!$A$2:$A$101,0))&amp;"",$A61))</f>
        <v/>
      </c>
      <c r="H61" s="4" t="str">
        <f>IF($G61="","",IFERROR(MATCH($G61,L_Golpes!$A$2:$A$6000,0),""))</f>
        <v/>
      </c>
      <c r="I61" s="4" t="str">
        <f t="array" ref="I61">IF($A61="","",IF(ISNUMBER($H61),INDEX(L_Golpes!$B$2:$B$6000,$H61),IF(IFERROR(INDEX('Golpes extras'!$C$2:$C$101,MATCH($A61,'Golpes extras'!$A$2:$A$101,0))&amp;"","")&lt;&gt;"",INDEX('Golpes extras'!$C$2:$C$101,MATCH($A61,'Golpes extras'!$A$2:$A$101,0))&amp;"","golpe?")))</f>
        <v/>
      </c>
      <c r="J61" s="4" t="str">
        <f>IF(OR($I61="",$I61="golpe?"),"",IFERROR(MATCH($I61,Time!$B$4:$E$4,0),"fora do time"))</f>
        <v/>
      </c>
      <c r="K61" s="4" t="str">
        <f t="array" ref="K61">IF(ISNUMBER($J61),IF(IFERROR(INDEX('Golpes extras'!$D$2:$D$101,MATCH($A61,'Golpes extras'!$A$2:$A$101,0))&amp;"","")&lt;&gt;"",INDEX('Golpes extras'!$D$2:$D$101,MATCH($A61,'Golpes extras'!$A$2:$A$101,0))&amp;"",IF(ISNUMBER($H61),INDEX(L_Golpes!$D$2:$D$6000,$H61),"Outro")),"")</f>
        <v/>
      </c>
      <c r="L61" s="4" t="str">
        <f t="array" ref="L61">IF(ISNUMBER($J61),IF(ISNUMBER($H61),INDEX(L_Golpes!$C$2:$C$6000,$H61),""),"")</f>
        <v/>
      </c>
      <c r="M61" s="4" t="str">
        <f t="array" ref="M61">IF(ISNUMBER($J61),IF($L61="Normal",INDEX('Cálculos'!$C$14:$F$14,$J61),IF($L61="Habilidade",INDEX('Cálculos'!$C$15:$F$15,$J61),IF($L61="Supremo",INDEX('Cálculos'!$C$16:$F$16,$J61),""))),"")</f>
        <v/>
      </c>
      <c r="N61" s="16" t="str">
        <f t="array" ref="N61">IF(ISNUMBER($J61),IF(ISNUMBER($H61),INDEX(L_Golpes!$F$2:$T$6000,$H61,MAX(1,MIN(15,$M61))),0)+IF($F61="Sim",N(INDEX('Golpes extras'!$E$2:$E$101,MATCH($A61,'Golpes extras'!$A$2:$A$101,0))),0),"")</f>
        <v/>
      </c>
      <c r="O61" s="17" t="str">
        <f t="array" ref="O61">IF(ISNUMBER($J61),IF(ISNUMBER($H61),INDEX(L_Golpes!$U$2:$AI$6000,$H61,MAX(1,MIN(15,$M61))),0)+IF($F61="Sim",N(INDEX('Golpes extras'!$F$2:$F$101,MATCH($A61,'Golpes extras'!$A$2:$A$101,0))),0),"")</f>
        <v/>
      </c>
      <c r="P61" s="16" t="str">
        <f t="array" ref="P61">IF(ISNUMBER($J61),IF(ISNUMBER($H61),INDEX(L_Golpes!$AJ$2:$AX$6000,$H61,MAX(1,MIN(15,$M61))),0)+IF($F61="Sim",N(INDEX('Golpes extras'!$G$2:$G$101,MATCH($A61,'Golpes extras'!$A$2:$A$101,0))),0),"")</f>
        <v/>
      </c>
      <c r="Q61" s="16" t="str">
        <f t="array" ref="Q61">IF(ISNUMBER($J61),IF(ISNUMBER($H61),INDEX(L_Golpes!$AY$2:$BM$6000,$H61,MAX(1,MIN(15,$M61))),0)+IF($F61="Sim",N(INDEX('Golpes extras'!$H$2:$H$101,MATCH($A61,'Golpes extras'!$A$2:$A$101,0))),0),"")</f>
        <v/>
      </c>
      <c r="R61" s="4" t="str">
        <f t="array" ref="R61">IF(ISNUMBER($J61),INDEX('Cálculos'!$C$19:$F$19,$J61),"")</f>
        <v/>
      </c>
      <c r="S61" s="4" t="str">
        <f t="shared" si="1"/>
        <v/>
      </c>
      <c r="T61" s="4" t="str">
        <f>IF(ISNUMBER($J61),IF(OR($D61="Não",$D61=FALSE),'Perfis de buff'!$A$8,IF(OR($D61="",$D61="Sim",$D61=TRUE),'Perfis de buff'!$A$4,$D61)),"")</f>
        <v/>
      </c>
      <c r="U61" s="22" t="str">
        <f t="array" ref="U61">IF(ISNUMBER($J61),INDEX('Cálculos'!$C$113:$F$113,$J61)+IF($K61="Normal",INDEX('Cálculos'!$C$114:$F$114,$J61),IF($K61="Carregado",INDEX('Cálculos'!$C$115:$F$115,$J61),IF($K61="Habilidade",INDEX('Cálculos'!$C$116:$F$116,$J61),IF($K61="Supremo",INDEX('Cálculos'!$C$117:$F$117,$J61),0))))+INDEX('Cálculos'!$C$143:$F$147,IFERROR(MATCH($T61,'Perfis de buff'!$A$4:$A$8,0),1),$J61)+IF($K61="Normal",INDEX('Cálculos'!$C$148:$F$152,IFERROR(MATCH($T61,'Perfis de buff'!$A$4:$A$8,0),1),$J61),IF($K61="Carregado",INDEX('Cálculos'!$C$153:$F$157,IFERROR(MATCH($T61,'Perfis de buff'!$A$4:$A$8,0),1),$J61),IF($K61="Habilidade",INDEX('Cálculos'!$C$158:$F$162,IFERROR(MATCH($T61,'Perfis de buff'!$A$4:$A$8,0),1),$J61),IF($K61="Supremo",INDEX('Cálculos'!$C$163:$F$167,IFERROR(MATCH($T61,'Perfis de buff'!$A$4:$A$8,0),1),$J61),0))))+N($E61),"")</f>
        <v/>
      </c>
      <c r="V61" s="16" t="str">
        <f t="array" ref="V61">IF(ISNUMBER($J61),INDEX('Cálculos'!$C$180:$F$180,$J61),"")</f>
        <v/>
      </c>
      <c r="W61" s="16" t="str">
        <f t="array" ref="W61">IF(ISNUMBER($J61),INDEX('Cálculos'!$C$182:$F$182,$J61),"")</f>
        <v/>
      </c>
      <c r="X61" s="16" t="str">
        <f t="shared" si="2"/>
        <v/>
      </c>
      <c r="Y61" s="16" t="str">
        <f t="shared" si="3"/>
        <v/>
      </c>
      <c r="Z61" s="16" t="str">
        <f t="shared" si="4"/>
        <v/>
      </c>
      <c r="AA61" s="16" t="str">
        <f t="shared" si="5"/>
        <v/>
      </c>
      <c r="AB61" s="16" t="str">
        <f t="shared" si="6"/>
        <v/>
      </c>
      <c r="AC61" s="21" t="str">
        <f t="array" ref="AC61">IF(ISNUMBER($J61),INDEX('Cálculos'!$C$332:$F$336,IFERROR(MATCH($T61,'Perfis de buff'!$A$4:$A$8,0),1),$J61),"")</f>
        <v/>
      </c>
      <c r="AD61" s="21" t="str">
        <f t="array" ref="AD61">IF(ISNUMBER($J61),INDEX('Cálculos'!$C$339:$F$343,IFERROR(MATCH($T61,'Perfis de buff'!$A$4:$A$8,0),1),$J61),"")</f>
        <v/>
      </c>
      <c r="AE61" s="21" t="str">
        <f t="array" ref="AE61">IF(ISNUMBER($J61),INDEX('Cálculos'!$C$337:$F$337,$J61),"")</f>
        <v/>
      </c>
      <c r="AF61" s="21" t="str">
        <f t="array" ref="AF61">IF(ISNUMBER($J61),INDEX('Cálculos'!$C$338:$F$338,$J61),"")</f>
        <v/>
      </c>
      <c r="AG61" s="16" t="str">
        <f t="array" ref="AG61">IF(ISNUMBER($J61),IF($S61="Derreter",INDEX('Cálculos'!$C$124:$F$124,$J61)*(1+2.78*$AD61/($AD61+1400)+INDEX('Cálculos'!$C$122:$F$122,$J61)),IF($S61="Vaporizar",INDEX('Cálculos'!$C$125:$F$125,$J61)*(1+2.78*$AD61/($AD61+1400)+INDEX('Cálculos'!$C$123:$F$123,$J61)),1)),"")</f>
        <v/>
      </c>
      <c r="AH61" s="21" t="str">
        <f t="shared" si="7"/>
        <v/>
      </c>
      <c r="AI61" s="21" t="str">
        <f t="array" ref="AI61">IF(ISNUMBER($J61),$AH61*(1+INDEX('Cálculos'!$C$331:$F$331,$J61)),"")</f>
        <v/>
      </c>
      <c r="AJ61" s="21" t="str">
        <f t="array" ref="AJ61">IF(ISNUMBER($J61),$AH61*(1+MIN(INDEX('Cálculos'!$C$330:$F$330,$J61),1)*INDEX('Cálculos'!$C$331:$F$331,$J61)),"")</f>
        <v/>
      </c>
      <c r="AK61" s="21" t="str">
        <f>IF(ISNUMBER($J61),'Fixo (cálculo)'!$AF61,"")</f>
        <v/>
      </c>
      <c r="AL61" s="26" t="str">
        <f t="shared" si="8"/>
        <v/>
      </c>
    </row>
    <row r="62" ht="15.75" customHeight="1">
      <c r="A62" s="7"/>
      <c r="B62" s="7"/>
      <c r="C62" s="7"/>
      <c r="D62" s="10" t="s">
        <v>105</v>
      </c>
      <c r="E62" s="11"/>
      <c r="F62" s="4" t="str">
        <f>IF($A62="","",IF(ISNUMBER(MATCH($A62,'Golpes extras'!$A$2:$A$101,0)),"Sim","Não"))</f>
        <v/>
      </c>
      <c r="G62" s="4" t="str">
        <f t="array" ref="G62">IF($A62="","",IF($F62="Sim",INDEX('Golpes extras'!$B$2:$B$101,MATCH($A62,'Golpes extras'!$A$2:$A$101,0))&amp;"",$A62))</f>
        <v/>
      </c>
      <c r="H62" s="4" t="str">
        <f>IF($G62="","",IFERROR(MATCH($G62,L_Golpes!$A$2:$A$6000,0),""))</f>
        <v/>
      </c>
      <c r="I62" s="4" t="str">
        <f t="array" ref="I62">IF($A62="","",IF(ISNUMBER($H62),INDEX(L_Golpes!$B$2:$B$6000,$H62),IF(IFERROR(INDEX('Golpes extras'!$C$2:$C$101,MATCH($A62,'Golpes extras'!$A$2:$A$101,0))&amp;"","")&lt;&gt;"",INDEX('Golpes extras'!$C$2:$C$101,MATCH($A62,'Golpes extras'!$A$2:$A$101,0))&amp;"","golpe?")))</f>
        <v/>
      </c>
      <c r="J62" s="4" t="str">
        <f>IF(OR($I62="",$I62="golpe?"),"",IFERROR(MATCH($I62,Time!$B$4:$E$4,0),"fora do time"))</f>
        <v/>
      </c>
      <c r="K62" s="4" t="str">
        <f t="array" ref="K62">IF(ISNUMBER($J62),IF(IFERROR(INDEX('Golpes extras'!$D$2:$D$101,MATCH($A62,'Golpes extras'!$A$2:$A$101,0))&amp;"","")&lt;&gt;"",INDEX('Golpes extras'!$D$2:$D$101,MATCH($A62,'Golpes extras'!$A$2:$A$101,0))&amp;"",IF(ISNUMBER($H62),INDEX(L_Golpes!$D$2:$D$6000,$H62),"Outro")),"")</f>
        <v/>
      </c>
      <c r="L62" s="4" t="str">
        <f t="array" ref="L62">IF(ISNUMBER($J62),IF(ISNUMBER($H62),INDEX(L_Golpes!$C$2:$C$6000,$H62),""),"")</f>
        <v/>
      </c>
      <c r="M62" s="4" t="str">
        <f t="array" ref="M62">IF(ISNUMBER($J62),IF($L62="Normal",INDEX('Cálculos'!$C$14:$F$14,$J62),IF($L62="Habilidade",INDEX('Cálculos'!$C$15:$F$15,$J62),IF($L62="Supremo",INDEX('Cálculos'!$C$16:$F$16,$J62),""))),"")</f>
        <v/>
      </c>
      <c r="N62" s="16" t="str">
        <f t="array" ref="N62">IF(ISNUMBER($J62),IF(ISNUMBER($H62),INDEX(L_Golpes!$F$2:$T$6000,$H62,MAX(1,MIN(15,$M62))),0)+IF($F62="Sim",N(INDEX('Golpes extras'!$E$2:$E$101,MATCH($A62,'Golpes extras'!$A$2:$A$101,0))),0),"")</f>
        <v/>
      </c>
      <c r="O62" s="17" t="str">
        <f t="array" ref="O62">IF(ISNUMBER($J62),IF(ISNUMBER($H62),INDEX(L_Golpes!$U$2:$AI$6000,$H62,MAX(1,MIN(15,$M62))),0)+IF($F62="Sim",N(INDEX('Golpes extras'!$F$2:$F$101,MATCH($A62,'Golpes extras'!$A$2:$A$101,0))),0),"")</f>
        <v/>
      </c>
      <c r="P62" s="16" t="str">
        <f t="array" ref="P62">IF(ISNUMBER($J62),IF(ISNUMBER($H62),INDEX(L_Golpes!$AJ$2:$AX$6000,$H62,MAX(1,MIN(15,$M62))),0)+IF($F62="Sim",N(INDEX('Golpes extras'!$G$2:$G$101,MATCH($A62,'Golpes extras'!$A$2:$A$101,0))),0),"")</f>
        <v/>
      </c>
      <c r="Q62" s="16" t="str">
        <f t="array" ref="Q62">IF(ISNUMBER($J62),IF(ISNUMBER($H62),INDEX(L_Golpes!$AY$2:$BM$6000,$H62,MAX(1,MIN(15,$M62))),0)+IF($F62="Sim",N(INDEX('Golpes extras'!$H$2:$H$101,MATCH($A62,'Golpes extras'!$A$2:$A$101,0))),0),"")</f>
        <v/>
      </c>
      <c r="R62" s="4" t="str">
        <f t="array" ref="R62">IF(ISNUMBER($J62),INDEX('Cálculos'!$C$19:$F$19,$J62),"")</f>
        <v/>
      </c>
      <c r="S62" s="4" t="str">
        <f t="shared" si="1"/>
        <v/>
      </c>
      <c r="T62" s="4" t="str">
        <f>IF(ISNUMBER($J62),IF(OR($D62="Não",$D62=FALSE),'Perfis de buff'!$A$8,IF(OR($D62="",$D62="Sim",$D62=TRUE),'Perfis de buff'!$A$4,$D62)),"")</f>
        <v/>
      </c>
      <c r="U62" s="22" t="str">
        <f t="array" ref="U62">IF(ISNUMBER($J62),INDEX('Cálculos'!$C$113:$F$113,$J62)+IF($K62="Normal",INDEX('Cálculos'!$C$114:$F$114,$J62),IF($K62="Carregado",INDEX('Cálculos'!$C$115:$F$115,$J62),IF($K62="Habilidade",INDEX('Cálculos'!$C$116:$F$116,$J62),IF($K62="Supremo",INDEX('Cálculos'!$C$117:$F$117,$J62),0))))+INDEX('Cálculos'!$C$143:$F$147,IFERROR(MATCH($T62,'Perfis de buff'!$A$4:$A$8,0),1),$J62)+IF($K62="Normal",INDEX('Cálculos'!$C$148:$F$152,IFERROR(MATCH($T62,'Perfis de buff'!$A$4:$A$8,0),1),$J62),IF($K62="Carregado",INDEX('Cálculos'!$C$153:$F$157,IFERROR(MATCH($T62,'Perfis de buff'!$A$4:$A$8,0),1),$J62),IF($K62="Habilidade",INDEX('Cálculos'!$C$158:$F$162,IFERROR(MATCH($T62,'Perfis de buff'!$A$4:$A$8,0),1),$J62),IF($K62="Supremo",INDEX('Cálculos'!$C$163:$F$167,IFERROR(MATCH($T62,'Perfis de buff'!$A$4:$A$8,0),1),$J62),0))))+N($E62),"")</f>
        <v/>
      </c>
      <c r="V62" s="16" t="str">
        <f t="array" ref="V62">IF(ISNUMBER($J62),INDEX('Cálculos'!$C$180:$F$180,$J62),"")</f>
        <v/>
      </c>
      <c r="W62" s="16" t="str">
        <f t="array" ref="W62">IF(ISNUMBER($J62),INDEX('Cálculos'!$C$182:$F$182,$J62),"")</f>
        <v/>
      </c>
      <c r="X62" s="16" t="str">
        <f t="shared" si="2"/>
        <v/>
      </c>
      <c r="Y62" s="16" t="str">
        <f t="shared" si="3"/>
        <v/>
      </c>
      <c r="Z62" s="16" t="str">
        <f t="shared" si="4"/>
        <v/>
      </c>
      <c r="AA62" s="16" t="str">
        <f t="shared" si="5"/>
        <v/>
      </c>
      <c r="AB62" s="16" t="str">
        <f t="shared" si="6"/>
        <v/>
      </c>
      <c r="AC62" s="21" t="str">
        <f t="array" ref="AC62">IF(ISNUMBER($J62),INDEX('Cálculos'!$C$332:$F$336,IFERROR(MATCH($T62,'Perfis de buff'!$A$4:$A$8,0),1),$J62),"")</f>
        <v/>
      </c>
      <c r="AD62" s="21" t="str">
        <f t="array" ref="AD62">IF(ISNUMBER($J62),INDEX('Cálculos'!$C$339:$F$343,IFERROR(MATCH($T62,'Perfis de buff'!$A$4:$A$8,0),1),$J62),"")</f>
        <v/>
      </c>
      <c r="AE62" s="21" t="str">
        <f t="array" ref="AE62">IF(ISNUMBER($J62),INDEX('Cálculos'!$C$337:$F$337,$J62),"")</f>
        <v/>
      </c>
      <c r="AF62" s="21" t="str">
        <f t="array" ref="AF62">IF(ISNUMBER($J62),INDEX('Cálculos'!$C$338:$F$338,$J62),"")</f>
        <v/>
      </c>
      <c r="AG62" s="16" t="str">
        <f t="array" ref="AG62">IF(ISNUMBER($J62),IF($S62="Derreter",INDEX('Cálculos'!$C$124:$F$124,$J62)*(1+2.78*$AD62/($AD62+1400)+INDEX('Cálculos'!$C$122:$F$122,$J62)),IF($S62="Vaporizar",INDEX('Cálculos'!$C$125:$F$125,$J62)*(1+2.78*$AD62/($AD62+1400)+INDEX('Cálculos'!$C$123:$F$123,$J62)),1)),"")</f>
        <v/>
      </c>
      <c r="AH62" s="21" t="str">
        <f t="shared" si="7"/>
        <v/>
      </c>
      <c r="AI62" s="21" t="str">
        <f t="array" ref="AI62">IF(ISNUMBER($J62),$AH62*(1+INDEX('Cálculos'!$C$331:$F$331,$J62)),"")</f>
        <v/>
      </c>
      <c r="AJ62" s="21" t="str">
        <f t="array" ref="AJ62">IF(ISNUMBER($J62),$AH62*(1+MIN(INDEX('Cálculos'!$C$330:$F$330,$J62),1)*INDEX('Cálculos'!$C$331:$F$331,$J62)),"")</f>
        <v/>
      </c>
      <c r="AK62" s="21" t="str">
        <f>IF(ISNUMBER($J62),'Fixo (cálculo)'!$AF62,"")</f>
        <v/>
      </c>
      <c r="AL62" s="26" t="str">
        <f t="shared" si="8"/>
        <v/>
      </c>
    </row>
    <row r="63" ht="15.75" customHeight="1">
      <c r="A63" s="7"/>
      <c r="B63" s="7"/>
      <c r="C63" s="7"/>
      <c r="D63" s="10" t="s">
        <v>105</v>
      </c>
      <c r="E63" s="11"/>
      <c r="F63" s="4" t="str">
        <f>IF($A63="","",IF(ISNUMBER(MATCH($A63,'Golpes extras'!$A$2:$A$101,0)),"Sim","Não"))</f>
        <v/>
      </c>
      <c r="G63" s="4" t="str">
        <f t="array" ref="G63">IF($A63="","",IF($F63="Sim",INDEX('Golpes extras'!$B$2:$B$101,MATCH($A63,'Golpes extras'!$A$2:$A$101,0))&amp;"",$A63))</f>
        <v/>
      </c>
      <c r="H63" s="4" t="str">
        <f>IF($G63="","",IFERROR(MATCH($G63,L_Golpes!$A$2:$A$6000,0),""))</f>
        <v/>
      </c>
      <c r="I63" s="4" t="str">
        <f t="array" ref="I63">IF($A63="","",IF(ISNUMBER($H63),INDEX(L_Golpes!$B$2:$B$6000,$H63),IF(IFERROR(INDEX('Golpes extras'!$C$2:$C$101,MATCH($A63,'Golpes extras'!$A$2:$A$101,0))&amp;"","")&lt;&gt;"",INDEX('Golpes extras'!$C$2:$C$101,MATCH($A63,'Golpes extras'!$A$2:$A$101,0))&amp;"","golpe?")))</f>
        <v/>
      </c>
      <c r="J63" s="4" t="str">
        <f>IF(OR($I63="",$I63="golpe?"),"",IFERROR(MATCH($I63,Time!$B$4:$E$4,0),"fora do time"))</f>
        <v/>
      </c>
      <c r="K63" s="4" t="str">
        <f t="array" ref="K63">IF(ISNUMBER($J63),IF(IFERROR(INDEX('Golpes extras'!$D$2:$D$101,MATCH($A63,'Golpes extras'!$A$2:$A$101,0))&amp;"","")&lt;&gt;"",INDEX('Golpes extras'!$D$2:$D$101,MATCH($A63,'Golpes extras'!$A$2:$A$101,0))&amp;"",IF(ISNUMBER($H63),INDEX(L_Golpes!$D$2:$D$6000,$H63),"Outro")),"")</f>
        <v/>
      </c>
      <c r="L63" s="4" t="str">
        <f t="array" ref="L63">IF(ISNUMBER($J63),IF(ISNUMBER($H63),INDEX(L_Golpes!$C$2:$C$6000,$H63),""),"")</f>
        <v/>
      </c>
      <c r="M63" s="4" t="str">
        <f t="array" ref="M63">IF(ISNUMBER($J63),IF($L63="Normal",INDEX('Cálculos'!$C$14:$F$14,$J63),IF($L63="Habilidade",INDEX('Cálculos'!$C$15:$F$15,$J63),IF($L63="Supremo",INDEX('Cálculos'!$C$16:$F$16,$J63),""))),"")</f>
        <v/>
      </c>
      <c r="N63" s="16" t="str">
        <f t="array" ref="N63">IF(ISNUMBER($J63),IF(ISNUMBER($H63),INDEX(L_Golpes!$F$2:$T$6000,$H63,MAX(1,MIN(15,$M63))),0)+IF($F63="Sim",N(INDEX('Golpes extras'!$E$2:$E$101,MATCH($A63,'Golpes extras'!$A$2:$A$101,0))),0),"")</f>
        <v/>
      </c>
      <c r="O63" s="17" t="str">
        <f t="array" ref="O63">IF(ISNUMBER($J63),IF(ISNUMBER($H63),INDEX(L_Golpes!$U$2:$AI$6000,$H63,MAX(1,MIN(15,$M63))),0)+IF($F63="Sim",N(INDEX('Golpes extras'!$F$2:$F$101,MATCH($A63,'Golpes extras'!$A$2:$A$101,0))),0),"")</f>
        <v/>
      </c>
      <c r="P63" s="16" t="str">
        <f t="array" ref="P63">IF(ISNUMBER($J63),IF(ISNUMBER($H63),INDEX(L_Golpes!$AJ$2:$AX$6000,$H63,MAX(1,MIN(15,$M63))),0)+IF($F63="Sim",N(INDEX('Golpes extras'!$G$2:$G$101,MATCH($A63,'Golpes extras'!$A$2:$A$101,0))),0),"")</f>
        <v/>
      </c>
      <c r="Q63" s="16" t="str">
        <f t="array" ref="Q63">IF(ISNUMBER($J63),IF(ISNUMBER($H63),INDEX(L_Golpes!$AY$2:$BM$6000,$H63,MAX(1,MIN(15,$M63))),0)+IF($F63="Sim",N(INDEX('Golpes extras'!$H$2:$H$101,MATCH($A63,'Golpes extras'!$A$2:$A$101,0))),0),"")</f>
        <v/>
      </c>
      <c r="R63" s="4" t="str">
        <f t="array" ref="R63">IF(ISNUMBER($J63),INDEX('Cálculos'!$C$19:$F$19,$J63),"")</f>
        <v/>
      </c>
      <c r="S63" s="4" t="str">
        <f t="shared" si="1"/>
        <v/>
      </c>
      <c r="T63" s="4" t="str">
        <f>IF(ISNUMBER($J63),IF(OR($D63="Não",$D63=FALSE),'Perfis de buff'!$A$8,IF(OR($D63="",$D63="Sim",$D63=TRUE),'Perfis de buff'!$A$4,$D63)),"")</f>
        <v/>
      </c>
      <c r="U63" s="22" t="str">
        <f t="array" ref="U63">IF(ISNUMBER($J63),INDEX('Cálculos'!$C$113:$F$113,$J63)+IF($K63="Normal",INDEX('Cálculos'!$C$114:$F$114,$J63),IF($K63="Carregado",INDEX('Cálculos'!$C$115:$F$115,$J63),IF($K63="Habilidade",INDEX('Cálculos'!$C$116:$F$116,$J63),IF($K63="Supremo",INDEX('Cálculos'!$C$117:$F$117,$J63),0))))+INDEX('Cálculos'!$C$143:$F$147,IFERROR(MATCH($T63,'Perfis de buff'!$A$4:$A$8,0),1),$J63)+IF($K63="Normal",INDEX('Cálculos'!$C$148:$F$152,IFERROR(MATCH($T63,'Perfis de buff'!$A$4:$A$8,0),1),$J63),IF($K63="Carregado",INDEX('Cálculos'!$C$153:$F$157,IFERROR(MATCH($T63,'Perfis de buff'!$A$4:$A$8,0),1),$J63),IF($K63="Habilidade",INDEX('Cálculos'!$C$158:$F$162,IFERROR(MATCH($T63,'Perfis de buff'!$A$4:$A$8,0),1),$J63),IF($K63="Supremo",INDEX('Cálculos'!$C$163:$F$167,IFERROR(MATCH($T63,'Perfis de buff'!$A$4:$A$8,0),1),$J63),0))))+N($E63),"")</f>
        <v/>
      </c>
      <c r="V63" s="16" t="str">
        <f t="array" ref="V63">IF(ISNUMBER($J63),INDEX('Cálculos'!$C$180:$F$180,$J63),"")</f>
        <v/>
      </c>
      <c r="W63" s="16" t="str">
        <f t="array" ref="W63">IF(ISNUMBER($J63),INDEX('Cálculos'!$C$182:$F$182,$J63),"")</f>
        <v/>
      </c>
      <c r="X63" s="16" t="str">
        <f t="shared" si="2"/>
        <v/>
      </c>
      <c r="Y63" s="16" t="str">
        <f t="shared" si="3"/>
        <v/>
      </c>
      <c r="Z63" s="16" t="str">
        <f t="shared" si="4"/>
        <v/>
      </c>
      <c r="AA63" s="16" t="str">
        <f t="shared" si="5"/>
        <v/>
      </c>
      <c r="AB63" s="16" t="str">
        <f t="shared" si="6"/>
        <v/>
      </c>
      <c r="AC63" s="21" t="str">
        <f t="array" ref="AC63">IF(ISNUMBER($J63),INDEX('Cálculos'!$C$332:$F$336,IFERROR(MATCH($T63,'Perfis de buff'!$A$4:$A$8,0),1),$J63),"")</f>
        <v/>
      </c>
      <c r="AD63" s="21" t="str">
        <f t="array" ref="AD63">IF(ISNUMBER($J63),INDEX('Cálculos'!$C$339:$F$343,IFERROR(MATCH($T63,'Perfis de buff'!$A$4:$A$8,0),1),$J63),"")</f>
        <v/>
      </c>
      <c r="AE63" s="21" t="str">
        <f t="array" ref="AE63">IF(ISNUMBER($J63),INDEX('Cálculos'!$C$337:$F$337,$J63),"")</f>
        <v/>
      </c>
      <c r="AF63" s="21" t="str">
        <f t="array" ref="AF63">IF(ISNUMBER($J63),INDEX('Cálculos'!$C$338:$F$338,$J63),"")</f>
        <v/>
      </c>
      <c r="AG63" s="16" t="str">
        <f t="array" ref="AG63">IF(ISNUMBER($J63),IF($S63="Derreter",INDEX('Cálculos'!$C$124:$F$124,$J63)*(1+2.78*$AD63/($AD63+1400)+INDEX('Cálculos'!$C$122:$F$122,$J63)),IF($S63="Vaporizar",INDEX('Cálculos'!$C$125:$F$125,$J63)*(1+2.78*$AD63/($AD63+1400)+INDEX('Cálculos'!$C$123:$F$123,$J63)),1)),"")</f>
        <v/>
      </c>
      <c r="AH63" s="21" t="str">
        <f t="shared" si="7"/>
        <v/>
      </c>
      <c r="AI63" s="21" t="str">
        <f t="array" ref="AI63">IF(ISNUMBER($J63),$AH63*(1+INDEX('Cálculos'!$C$331:$F$331,$J63)),"")</f>
        <v/>
      </c>
      <c r="AJ63" s="21" t="str">
        <f t="array" ref="AJ63">IF(ISNUMBER($J63),$AH63*(1+MIN(INDEX('Cálculos'!$C$330:$F$330,$J63),1)*INDEX('Cálculos'!$C$331:$F$331,$J63)),"")</f>
        <v/>
      </c>
      <c r="AK63" s="21" t="str">
        <f>IF(ISNUMBER($J63),'Fixo (cálculo)'!$AF63,"")</f>
        <v/>
      </c>
      <c r="AL63" s="26" t="str">
        <f t="shared" si="8"/>
        <v/>
      </c>
    </row>
    <row r="64" ht="15.75" customHeight="1">
      <c r="A64" s="7"/>
      <c r="B64" s="7"/>
      <c r="C64" s="7"/>
      <c r="D64" s="10" t="s">
        <v>105</v>
      </c>
      <c r="E64" s="11"/>
      <c r="F64" s="4" t="str">
        <f>IF($A64="","",IF(ISNUMBER(MATCH($A64,'Golpes extras'!$A$2:$A$101,0)),"Sim","Não"))</f>
        <v/>
      </c>
      <c r="G64" s="4" t="str">
        <f t="array" ref="G64">IF($A64="","",IF($F64="Sim",INDEX('Golpes extras'!$B$2:$B$101,MATCH($A64,'Golpes extras'!$A$2:$A$101,0))&amp;"",$A64))</f>
        <v/>
      </c>
      <c r="H64" s="4" t="str">
        <f>IF($G64="","",IFERROR(MATCH($G64,L_Golpes!$A$2:$A$6000,0),""))</f>
        <v/>
      </c>
      <c r="I64" s="4" t="str">
        <f t="array" ref="I64">IF($A64="","",IF(ISNUMBER($H64),INDEX(L_Golpes!$B$2:$B$6000,$H64),IF(IFERROR(INDEX('Golpes extras'!$C$2:$C$101,MATCH($A64,'Golpes extras'!$A$2:$A$101,0))&amp;"","")&lt;&gt;"",INDEX('Golpes extras'!$C$2:$C$101,MATCH($A64,'Golpes extras'!$A$2:$A$101,0))&amp;"","golpe?")))</f>
        <v/>
      </c>
      <c r="J64" s="4" t="str">
        <f>IF(OR($I64="",$I64="golpe?"),"",IFERROR(MATCH($I64,Time!$B$4:$E$4,0),"fora do time"))</f>
        <v/>
      </c>
      <c r="K64" s="4" t="str">
        <f t="array" ref="K64">IF(ISNUMBER($J64),IF(IFERROR(INDEX('Golpes extras'!$D$2:$D$101,MATCH($A64,'Golpes extras'!$A$2:$A$101,0))&amp;"","")&lt;&gt;"",INDEX('Golpes extras'!$D$2:$D$101,MATCH($A64,'Golpes extras'!$A$2:$A$101,0))&amp;"",IF(ISNUMBER($H64),INDEX(L_Golpes!$D$2:$D$6000,$H64),"Outro")),"")</f>
        <v/>
      </c>
      <c r="L64" s="4" t="str">
        <f t="array" ref="L64">IF(ISNUMBER($J64),IF(ISNUMBER($H64),INDEX(L_Golpes!$C$2:$C$6000,$H64),""),"")</f>
        <v/>
      </c>
      <c r="M64" s="4" t="str">
        <f t="array" ref="M64">IF(ISNUMBER($J64),IF($L64="Normal",INDEX('Cálculos'!$C$14:$F$14,$J64),IF($L64="Habilidade",INDEX('Cálculos'!$C$15:$F$15,$J64),IF($L64="Supremo",INDEX('Cálculos'!$C$16:$F$16,$J64),""))),"")</f>
        <v/>
      </c>
      <c r="N64" s="16" t="str">
        <f t="array" ref="N64">IF(ISNUMBER($J64),IF(ISNUMBER($H64),INDEX(L_Golpes!$F$2:$T$6000,$H64,MAX(1,MIN(15,$M64))),0)+IF($F64="Sim",N(INDEX('Golpes extras'!$E$2:$E$101,MATCH($A64,'Golpes extras'!$A$2:$A$101,0))),0),"")</f>
        <v/>
      </c>
      <c r="O64" s="17" t="str">
        <f t="array" ref="O64">IF(ISNUMBER($J64),IF(ISNUMBER($H64),INDEX(L_Golpes!$U$2:$AI$6000,$H64,MAX(1,MIN(15,$M64))),0)+IF($F64="Sim",N(INDEX('Golpes extras'!$F$2:$F$101,MATCH($A64,'Golpes extras'!$A$2:$A$101,0))),0),"")</f>
        <v/>
      </c>
      <c r="P64" s="16" t="str">
        <f t="array" ref="P64">IF(ISNUMBER($J64),IF(ISNUMBER($H64),INDEX(L_Golpes!$AJ$2:$AX$6000,$H64,MAX(1,MIN(15,$M64))),0)+IF($F64="Sim",N(INDEX('Golpes extras'!$G$2:$G$101,MATCH($A64,'Golpes extras'!$A$2:$A$101,0))),0),"")</f>
        <v/>
      </c>
      <c r="Q64" s="16" t="str">
        <f t="array" ref="Q64">IF(ISNUMBER($J64),IF(ISNUMBER($H64),INDEX(L_Golpes!$AY$2:$BM$6000,$H64,MAX(1,MIN(15,$M64))),0)+IF($F64="Sim",N(INDEX('Golpes extras'!$H$2:$H$101,MATCH($A64,'Golpes extras'!$A$2:$A$101,0))),0),"")</f>
        <v/>
      </c>
      <c r="R64" s="4" t="str">
        <f t="array" ref="R64">IF(ISNUMBER($J64),INDEX('Cálculos'!$C$19:$F$19,$J64),"")</f>
        <v/>
      </c>
      <c r="S64" s="4" t="str">
        <f t="shared" si="1"/>
        <v/>
      </c>
      <c r="T64" s="4" t="str">
        <f>IF(ISNUMBER($J64),IF(OR($D64="Não",$D64=FALSE),'Perfis de buff'!$A$8,IF(OR($D64="",$D64="Sim",$D64=TRUE),'Perfis de buff'!$A$4,$D64)),"")</f>
        <v/>
      </c>
      <c r="U64" s="22" t="str">
        <f t="array" ref="U64">IF(ISNUMBER($J64),INDEX('Cálculos'!$C$113:$F$113,$J64)+IF($K64="Normal",INDEX('Cálculos'!$C$114:$F$114,$J64),IF($K64="Carregado",INDEX('Cálculos'!$C$115:$F$115,$J64),IF($K64="Habilidade",INDEX('Cálculos'!$C$116:$F$116,$J64),IF($K64="Supremo",INDEX('Cálculos'!$C$117:$F$117,$J64),0))))+INDEX('Cálculos'!$C$143:$F$147,IFERROR(MATCH($T64,'Perfis de buff'!$A$4:$A$8,0),1),$J64)+IF($K64="Normal",INDEX('Cálculos'!$C$148:$F$152,IFERROR(MATCH($T64,'Perfis de buff'!$A$4:$A$8,0),1),$J64),IF($K64="Carregado",INDEX('Cálculos'!$C$153:$F$157,IFERROR(MATCH($T64,'Perfis de buff'!$A$4:$A$8,0),1),$J64),IF($K64="Habilidade",INDEX('Cálculos'!$C$158:$F$162,IFERROR(MATCH($T64,'Perfis de buff'!$A$4:$A$8,0),1),$J64),IF($K64="Supremo",INDEX('Cálculos'!$C$163:$F$167,IFERROR(MATCH($T64,'Perfis de buff'!$A$4:$A$8,0),1),$J64),0))))+N($E64),"")</f>
        <v/>
      </c>
      <c r="V64" s="16" t="str">
        <f t="array" ref="V64">IF(ISNUMBER($J64),INDEX('Cálculos'!$C$180:$F$180,$J64),"")</f>
        <v/>
      </c>
      <c r="W64" s="16" t="str">
        <f t="array" ref="W64">IF(ISNUMBER($J64),INDEX('Cálculos'!$C$182:$F$182,$J64),"")</f>
        <v/>
      </c>
      <c r="X64" s="16" t="str">
        <f t="shared" si="2"/>
        <v/>
      </c>
      <c r="Y64" s="16" t="str">
        <f t="shared" si="3"/>
        <v/>
      </c>
      <c r="Z64" s="16" t="str">
        <f t="shared" si="4"/>
        <v/>
      </c>
      <c r="AA64" s="16" t="str">
        <f t="shared" si="5"/>
        <v/>
      </c>
      <c r="AB64" s="16" t="str">
        <f t="shared" si="6"/>
        <v/>
      </c>
      <c r="AC64" s="21" t="str">
        <f t="array" ref="AC64">IF(ISNUMBER($J64),INDEX('Cálculos'!$C$332:$F$336,IFERROR(MATCH($T64,'Perfis de buff'!$A$4:$A$8,0),1),$J64),"")</f>
        <v/>
      </c>
      <c r="AD64" s="21" t="str">
        <f t="array" ref="AD64">IF(ISNUMBER($J64),INDEX('Cálculos'!$C$339:$F$343,IFERROR(MATCH($T64,'Perfis de buff'!$A$4:$A$8,0),1),$J64),"")</f>
        <v/>
      </c>
      <c r="AE64" s="21" t="str">
        <f t="array" ref="AE64">IF(ISNUMBER($J64),INDEX('Cálculos'!$C$337:$F$337,$J64),"")</f>
        <v/>
      </c>
      <c r="AF64" s="21" t="str">
        <f t="array" ref="AF64">IF(ISNUMBER($J64),INDEX('Cálculos'!$C$338:$F$338,$J64),"")</f>
        <v/>
      </c>
      <c r="AG64" s="16" t="str">
        <f t="array" ref="AG64">IF(ISNUMBER($J64),IF($S64="Derreter",INDEX('Cálculos'!$C$124:$F$124,$J64)*(1+2.78*$AD64/($AD64+1400)+INDEX('Cálculos'!$C$122:$F$122,$J64)),IF($S64="Vaporizar",INDEX('Cálculos'!$C$125:$F$125,$J64)*(1+2.78*$AD64/($AD64+1400)+INDEX('Cálculos'!$C$123:$F$123,$J64)),1)),"")</f>
        <v/>
      </c>
      <c r="AH64" s="21" t="str">
        <f t="shared" si="7"/>
        <v/>
      </c>
      <c r="AI64" s="21" t="str">
        <f t="array" ref="AI64">IF(ISNUMBER($J64),$AH64*(1+INDEX('Cálculos'!$C$331:$F$331,$J64)),"")</f>
        <v/>
      </c>
      <c r="AJ64" s="21" t="str">
        <f t="array" ref="AJ64">IF(ISNUMBER($J64),$AH64*(1+MIN(INDEX('Cálculos'!$C$330:$F$330,$J64),1)*INDEX('Cálculos'!$C$331:$F$331,$J64)),"")</f>
        <v/>
      </c>
      <c r="AK64" s="21" t="str">
        <f>IF(ISNUMBER($J64),'Fixo (cálculo)'!$AF64,"")</f>
        <v/>
      </c>
      <c r="AL64" s="26" t="str">
        <f t="shared" si="8"/>
        <v/>
      </c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 t="s">
        <v>698</v>
      </c>
      <c r="AH66" s="35">
        <f t="shared" ref="AH66:AJ66" si="9">SUM(AH5:AH64)</f>
        <v>1204976.35</v>
      </c>
      <c r="AI66" s="35">
        <f t="shared" si="9"/>
        <v>3867780.106</v>
      </c>
      <c r="AJ66" s="35">
        <f t="shared" si="9"/>
        <v>3790496.072</v>
      </c>
      <c r="AK66" s="2"/>
      <c r="AL66" s="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5:J64">
    <cfRule type="expression" dxfId="1" priority="1">
      <formula>OR($J5="fora do time",$I5="golpe?")</formula>
    </cfRule>
  </conditionalFormatting>
  <dataValidations>
    <dataValidation type="list" allowBlank="1" showErrorMessage="1" sqref="D5:D64">
      <formula1>'Perfis de buff'!$A$4:$A$8</formula1>
    </dataValidation>
    <dataValidation type="list" allowBlank="1" showErrorMessage="1" sqref="A5:A64">
      <formula1>Listas!$A$2:$A$401</formula1>
    </dataValidation>
    <dataValidation type="list" allowBlank="1" showErrorMessage="1" sqref="C5:C64">
      <formula1>"Nenhuma,Derreter,Vaporizar"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4" width="15.0"/>
    <col customWidth="1" min="15" max="26" width="8.71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5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5.0" customHeight="1">
      <c r="A3" s="6" t="s">
        <v>27</v>
      </c>
      <c r="B3" s="6" t="str">
        <f>IF(Time!B4="","Slot 1",Time!B4)&amp;": personagem"</f>
        <v>Mavuika: personagem</v>
      </c>
      <c r="C3" s="6" t="str">
        <f>IF(Time!B4="","Slot 1",Time!B4)&amp;": arma/set"</f>
        <v>Mavuika: arma/set</v>
      </c>
      <c r="D3" s="6" t="str">
        <f>IF(Time!C4="","Slot 2",Time!C4)&amp;": personagem"</f>
        <v>Citlali: personagem</v>
      </c>
      <c r="E3" s="6" t="str">
        <f>IF(Time!C4="","Slot 2",Time!C4)&amp;": arma/set"</f>
        <v>Citlali: arma/set</v>
      </c>
      <c r="F3" s="6" t="str">
        <f>IF(Time!D4="","Slot 3",Time!D4)&amp;": personagem"</f>
        <v>Iansan: personagem</v>
      </c>
      <c r="G3" s="6" t="str">
        <f>IF(Time!D4="","Slot 3",Time!D4)&amp;": arma/set"</f>
        <v>Iansan: arma/set</v>
      </c>
      <c r="H3" s="6" t="str">
        <f>IF(Time!E4="","Slot 4",Time!E4)&amp;": personagem"</f>
        <v>Bennett: personagem</v>
      </c>
      <c r="I3" s="6" t="str">
        <f>IF(Time!E4="","Slot 4",Time!E4)&amp;": arma/set"</f>
        <v>Bennett: arma/set</v>
      </c>
      <c r="J3" s="6" t="s">
        <v>96</v>
      </c>
      <c r="K3" s="9" t="s">
        <v>98</v>
      </c>
      <c r="L3" s="9" t="s">
        <v>102</v>
      </c>
      <c r="M3" s="9" t="s">
        <v>103</v>
      </c>
      <c r="N3" s="9" t="s">
        <v>104</v>
      </c>
    </row>
    <row r="4">
      <c r="A4" s="7" t="s">
        <v>105</v>
      </c>
      <c r="B4" s="10" t="s">
        <v>107</v>
      </c>
      <c r="C4" s="10" t="s">
        <v>107</v>
      </c>
      <c r="D4" s="10" t="s">
        <v>107</v>
      </c>
      <c r="E4" s="10" t="s">
        <v>107</v>
      </c>
      <c r="F4" s="10" t="s">
        <v>107</v>
      </c>
      <c r="G4" s="10" t="s">
        <v>107</v>
      </c>
      <c r="H4" s="10" t="s">
        <v>107</v>
      </c>
      <c r="I4" s="10" t="s">
        <v>107</v>
      </c>
      <c r="J4" s="10" t="s">
        <v>107</v>
      </c>
      <c r="K4" s="10" t="s">
        <v>107</v>
      </c>
      <c r="L4" s="10" t="s">
        <v>107</v>
      </c>
      <c r="M4" s="10" t="s">
        <v>107</v>
      </c>
      <c r="N4" s="10" t="s">
        <v>107</v>
      </c>
    </row>
    <row r="5">
      <c r="A5" s="7" t="s">
        <v>110</v>
      </c>
      <c r="B5" s="10" t="s">
        <v>107</v>
      </c>
      <c r="C5" s="10" t="s">
        <v>107</v>
      </c>
      <c r="D5" s="10" t="s">
        <v>112</v>
      </c>
      <c r="E5" s="10" t="s">
        <v>112</v>
      </c>
      <c r="F5" s="10" t="s">
        <v>112</v>
      </c>
      <c r="G5" s="10" t="s">
        <v>112</v>
      </c>
      <c r="H5" s="10" t="s">
        <v>112</v>
      </c>
      <c r="I5" s="10" t="s">
        <v>112</v>
      </c>
      <c r="J5" s="10" t="s">
        <v>107</v>
      </c>
      <c r="K5" s="10" t="s">
        <v>112</v>
      </c>
      <c r="L5" s="10" t="s">
        <v>112</v>
      </c>
      <c r="M5" s="10" t="s">
        <v>112</v>
      </c>
      <c r="N5" s="10" t="s">
        <v>112</v>
      </c>
    </row>
    <row r="6">
      <c r="A6" s="7" t="s">
        <v>115</v>
      </c>
      <c r="B6" s="10" t="s">
        <v>107</v>
      </c>
      <c r="C6" s="10" t="s">
        <v>107</v>
      </c>
      <c r="D6" s="10" t="s">
        <v>107</v>
      </c>
      <c r="E6" s="10" t="s">
        <v>107</v>
      </c>
      <c r="F6" s="10" t="s">
        <v>112</v>
      </c>
      <c r="G6" s="10" t="s">
        <v>107</v>
      </c>
      <c r="H6" s="10" t="s">
        <v>107</v>
      </c>
      <c r="I6" s="10" t="s">
        <v>107</v>
      </c>
      <c r="J6" s="10" t="s">
        <v>107</v>
      </c>
      <c r="K6" s="10" t="s">
        <v>107</v>
      </c>
      <c r="L6" s="10" t="s">
        <v>107</v>
      </c>
      <c r="M6" s="10" t="s">
        <v>112</v>
      </c>
      <c r="N6" s="10" t="s">
        <v>112</v>
      </c>
    </row>
    <row r="7">
      <c r="A7" s="7" t="s">
        <v>120</v>
      </c>
      <c r="B7" s="10" t="s">
        <v>107</v>
      </c>
      <c r="C7" s="10" t="s">
        <v>107</v>
      </c>
      <c r="D7" s="10" t="s">
        <v>107</v>
      </c>
      <c r="E7" s="10" t="s">
        <v>107</v>
      </c>
      <c r="F7" s="10" t="s">
        <v>112</v>
      </c>
      <c r="G7" s="10" t="s">
        <v>107</v>
      </c>
      <c r="H7" s="10" t="s">
        <v>107</v>
      </c>
      <c r="I7" s="10" t="s">
        <v>112</v>
      </c>
      <c r="J7" s="10" t="s">
        <v>107</v>
      </c>
      <c r="K7" s="10" t="s">
        <v>112</v>
      </c>
      <c r="L7" s="10" t="s">
        <v>107</v>
      </c>
      <c r="M7" s="10" t="s">
        <v>112</v>
      </c>
      <c r="N7" s="10" t="s">
        <v>112</v>
      </c>
    </row>
    <row r="8">
      <c r="A8" s="7" t="s">
        <v>123</v>
      </c>
      <c r="B8" s="10" t="s">
        <v>112</v>
      </c>
      <c r="C8" s="10" t="s">
        <v>112</v>
      </c>
      <c r="D8" s="10" t="s">
        <v>112</v>
      </c>
      <c r="E8" s="10" t="s">
        <v>112</v>
      </c>
      <c r="F8" s="10" t="s">
        <v>112</v>
      </c>
      <c r="G8" s="10" t="s">
        <v>112</v>
      </c>
      <c r="H8" s="10" t="s">
        <v>112</v>
      </c>
      <c r="I8" s="10" t="s">
        <v>112</v>
      </c>
      <c r="J8" s="10" t="s">
        <v>112</v>
      </c>
      <c r="K8" s="10" t="s">
        <v>112</v>
      </c>
      <c r="L8" s="10" t="s">
        <v>112</v>
      </c>
      <c r="M8" s="10" t="s">
        <v>112</v>
      </c>
      <c r="N8" s="10" t="s">
        <v>112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5" t="s">
        <v>129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5" t="str">
        <f t="shared" ref="A11:A15" si="3">A4</f>
        <v>Todos</v>
      </c>
      <c r="B11" s="5">
        <f t="shared" ref="B11:I11" si="1">IF(OR(B4="Sim",B4=TRUE),1,0)</f>
        <v>1</v>
      </c>
      <c r="C11" s="5">
        <f t="shared" si="1"/>
        <v>1</v>
      </c>
      <c r="D11" s="5">
        <f t="shared" si="1"/>
        <v>1</v>
      </c>
      <c r="E11" s="5">
        <f t="shared" si="1"/>
        <v>1</v>
      </c>
      <c r="F11" s="5">
        <f t="shared" si="1"/>
        <v>1</v>
      </c>
      <c r="G11" s="5">
        <f t="shared" si="1"/>
        <v>1</v>
      </c>
      <c r="H11" s="5">
        <f t="shared" si="1"/>
        <v>1</v>
      </c>
      <c r="I11" s="5">
        <f t="shared" si="1"/>
        <v>1</v>
      </c>
      <c r="J11" s="5" t="str">
        <f t="shared" ref="J11:J15" si="5">IF(OR(J4="Sim",J4=TRUE),"_geral","#")</f>
        <v>_geral</v>
      </c>
      <c r="K11" s="5" t="str">
        <f t="shared" ref="K11:N11" si="2">IF(OR(K4="Sim",K4=TRUE),TRIM(K$3),"#")</f>
        <v>TTDS</v>
      </c>
      <c r="L11" s="5" t="str">
        <f t="shared" si="2"/>
        <v>Scroll</v>
      </c>
      <c r="M11" s="5" t="str">
        <f t="shared" si="2"/>
        <v>Rótulo 3</v>
      </c>
      <c r="N11" s="5" t="str">
        <f t="shared" si="2"/>
        <v>Rótulo 4</v>
      </c>
    </row>
    <row r="12">
      <c r="A12" s="5" t="str">
        <f t="shared" si="3"/>
        <v>Iansan (início)</v>
      </c>
      <c r="B12" s="5">
        <f t="shared" ref="B12:I12" si="4">IF(OR(B5="Sim",B5=TRUE),1,0)</f>
        <v>1</v>
      </c>
      <c r="C12" s="5">
        <f t="shared" si="4"/>
        <v>1</v>
      </c>
      <c r="D12" s="5">
        <f t="shared" si="4"/>
        <v>0</v>
      </c>
      <c r="E12" s="5">
        <f t="shared" si="4"/>
        <v>0</v>
      </c>
      <c r="F12" s="5">
        <f t="shared" si="4"/>
        <v>0</v>
      </c>
      <c r="G12" s="5">
        <f t="shared" si="4"/>
        <v>0</v>
      </c>
      <c r="H12" s="5">
        <f t="shared" si="4"/>
        <v>0</v>
      </c>
      <c r="I12" s="5">
        <f t="shared" si="4"/>
        <v>0</v>
      </c>
      <c r="J12" s="5" t="str">
        <f t="shared" si="5"/>
        <v>_geral</v>
      </c>
      <c r="K12" s="5" t="str">
        <f t="shared" ref="K12:N12" si="6">IF(OR(K5="Sim",K5=TRUE),TRIM(K$3),"#")</f>
        <v>#</v>
      </c>
      <c r="L12" s="5" t="str">
        <f t="shared" si="6"/>
        <v>#</v>
      </c>
      <c r="M12" s="5" t="str">
        <f t="shared" si="6"/>
        <v>#</v>
      </c>
      <c r="N12" s="5" t="str">
        <f t="shared" si="6"/>
        <v>#</v>
      </c>
    </row>
    <row r="13">
      <c r="A13" s="5" t="str">
        <f t="shared" si="3"/>
        <v>Pós-Supremo</v>
      </c>
      <c r="B13" s="5">
        <f t="shared" ref="B13:I13" si="7">IF(OR(B6="Sim",B6=TRUE),1,0)</f>
        <v>1</v>
      </c>
      <c r="C13" s="5">
        <f t="shared" si="7"/>
        <v>1</v>
      </c>
      <c r="D13" s="5">
        <f t="shared" si="7"/>
        <v>1</v>
      </c>
      <c r="E13" s="5">
        <f t="shared" si="7"/>
        <v>1</v>
      </c>
      <c r="F13" s="5">
        <f t="shared" si="7"/>
        <v>0</v>
      </c>
      <c r="G13" s="5">
        <f t="shared" si="7"/>
        <v>1</v>
      </c>
      <c r="H13" s="5">
        <f t="shared" si="7"/>
        <v>1</v>
      </c>
      <c r="I13" s="5">
        <f t="shared" si="7"/>
        <v>1</v>
      </c>
      <c r="J13" s="5" t="str">
        <f t="shared" si="5"/>
        <v>_geral</v>
      </c>
      <c r="K13" s="5" t="str">
        <f t="shared" ref="K13:N13" si="8">IF(OR(K6="Sim",K6=TRUE),TRIM(K$3),"#")</f>
        <v>TTDS</v>
      </c>
      <c r="L13" s="5" t="str">
        <f t="shared" si="8"/>
        <v>Scroll</v>
      </c>
      <c r="M13" s="5" t="str">
        <f t="shared" si="8"/>
        <v>#</v>
      </c>
      <c r="N13" s="5" t="str">
        <f t="shared" si="8"/>
        <v>#</v>
      </c>
    </row>
    <row r="14">
      <c r="A14" s="5" t="str">
        <f t="shared" si="3"/>
        <v>Final</v>
      </c>
      <c r="B14" s="5">
        <f t="shared" ref="B14:I14" si="9">IF(OR(B7="Sim",B7=TRUE),1,0)</f>
        <v>1</v>
      </c>
      <c r="C14" s="5">
        <f t="shared" si="9"/>
        <v>1</v>
      </c>
      <c r="D14" s="5">
        <f t="shared" si="9"/>
        <v>1</v>
      </c>
      <c r="E14" s="5">
        <f t="shared" si="9"/>
        <v>1</v>
      </c>
      <c r="F14" s="5">
        <f t="shared" si="9"/>
        <v>0</v>
      </c>
      <c r="G14" s="5">
        <f t="shared" si="9"/>
        <v>1</v>
      </c>
      <c r="H14" s="5">
        <f t="shared" si="9"/>
        <v>1</v>
      </c>
      <c r="I14" s="5">
        <f t="shared" si="9"/>
        <v>0</v>
      </c>
      <c r="J14" s="5" t="str">
        <f t="shared" si="5"/>
        <v>_geral</v>
      </c>
      <c r="K14" s="5" t="str">
        <f t="shared" ref="K14:N14" si="10">IF(OR(K7="Sim",K7=TRUE),TRIM(K$3),"#")</f>
        <v>#</v>
      </c>
      <c r="L14" s="5" t="str">
        <f t="shared" si="10"/>
        <v>Scroll</v>
      </c>
      <c r="M14" s="5" t="str">
        <f t="shared" si="10"/>
        <v>#</v>
      </c>
      <c r="N14" s="5" t="str">
        <f t="shared" si="10"/>
        <v>#</v>
      </c>
    </row>
    <row r="15">
      <c r="A15" s="5" t="str">
        <f t="shared" si="3"/>
        <v>Nenhum</v>
      </c>
      <c r="B15" s="5">
        <f t="shared" ref="B15:I15" si="11">IF(OR(B8="Sim",B8=TRUE),1,0)</f>
        <v>0</v>
      </c>
      <c r="C15" s="5">
        <f t="shared" si="11"/>
        <v>0</v>
      </c>
      <c r="D15" s="5">
        <f t="shared" si="11"/>
        <v>0</v>
      </c>
      <c r="E15" s="5">
        <f t="shared" si="11"/>
        <v>0</v>
      </c>
      <c r="F15" s="5">
        <f t="shared" si="11"/>
        <v>0</v>
      </c>
      <c r="G15" s="5">
        <f t="shared" si="11"/>
        <v>0</v>
      </c>
      <c r="H15" s="5">
        <f t="shared" si="11"/>
        <v>0</v>
      </c>
      <c r="I15" s="5">
        <f t="shared" si="11"/>
        <v>0</v>
      </c>
      <c r="J15" s="5" t="str">
        <f t="shared" si="5"/>
        <v>#</v>
      </c>
      <c r="K15" s="5" t="str">
        <f t="shared" ref="K15:N15" si="12">IF(OR(K8="Sim",K8=TRUE),TRIM(K$3),"#")</f>
        <v>#</v>
      </c>
      <c r="L15" s="5" t="str">
        <f t="shared" si="12"/>
        <v>#</v>
      </c>
      <c r="M15" s="5" t="str">
        <f t="shared" si="12"/>
        <v>#</v>
      </c>
      <c r="N15" s="5" t="str">
        <f t="shared" si="12"/>
        <v>#</v>
      </c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5" t="s">
        <v>152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5" width="30.0"/>
    <col customWidth="1" min="6" max="26" width="8.71"/>
  </cols>
  <sheetData>
    <row r="1">
      <c r="A1" s="1" t="s">
        <v>116</v>
      </c>
      <c r="B1" s="2"/>
      <c r="C1" s="2"/>
      <c r="D1" s="2"/>
      <c r="E1" s="2"/>
    </row>
    <row r="2">
      <c r="A2" s="5" t="s">
        <v>118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6"/>
      <c r="B4" s="6" t="s">
        <v>31</v>
      </c>
      <c r="C4" s="6" t="s">
        <v>32</v>
      </c>
      <c r="D4" s="6" t="s">
        <v>33</v>
      </c>
      <c r="E4" s="6" t="s">
        <v>34</v>
      </c>
    </row>
    <row r="5">
      <c r="A5" s="3" t="s">
        <v>35</v>
      </c>
      <c r="B5" s="4" t="str">
        <f>IF('Cálculos'!C6="","",'Cálculos'!C6)</f>
        <v>Mavuika</v>
      </c>
      <c r="C5" s="4" t="str">
        <f>IF('Cálculos'!D6="","",'Cálculos'!D6)</f>
        <v>Citlali</v>
      </c>
      <c r="D5" s="4" t="str">
        <f>IF('Cálculos'!E6="","",'Cálculos'!E6)</f>
        <v>Iansan</v>
      </c>
      <c r="E5" s="4" t="str">
        <f>IF('Cálculos'!F6="","",'Cálculos'!F6)</f>
        <v>Bennett</v>
      </c>
    </row>
    <row r="6">
      <c r="A6" s="3" t="s">
        <v>68</v>
      </c>
      <c r="B6" s="4" t="str">
        <f>IF('Cálculos'!C6="","",Time!B5&amp;"")</f>
        <v>A Thousand Blazing Suns</v>
      </c>
      <c r="C6" s="4" t="str">
        <f>IF('Cálculos'!D6="","",Time!C5&amp;"")</f>
        <v>Thrilling Tales of Dragon Slayers</v>
      </c>
      <c r="D6" s="4" t="str">
        <f>IF('Cálculos'!E6="","",Time!D5&amp;"")</f>
        <v>Engulfing Lightning</v>
      </c>
      <c r="E6" s="4" t="str">
        <f>IF('Cálculos'!F6="","",Time!E5&amp;"")</f>
        <v>Absolution</v>
      </c>
    </row>
    <row r="7">
      <c r="A7" s="3" t="s">
        <v>134</v>
      </c>
      <c r="B7" s="4" t="str">
        <f>IF('Cálculos'!C6="","",IF(Time!B7="",Time!B6&amp;" (4p)",Time!B6&amp;" + "&amp;Time!B7&amp;" (2p+2p)"))</f>
        <v>Obsidian Codex (4p)</v>
      </c>
      <c r="C7" s="4" t="str">
        <f>IF('Cálculos'!D6="","",IF(Time!C7="",Time!C6&amp;" (4p)",Time!C6&amp;" + "&amp;Time!C7&amp;" (2p+2p)"))</f>
        <v>Instructor (4p)</v>
      </c>
      <c r="D7" s="4" t="str">
        <f>IF('Cálculos'!E6="","",IF(Time!D7="",Time!D6&amp;" (4p)",Time!D6&amp;" + "&amp;Time!D7&amp;" (2p+2p)"))</f>
        <v>Scroll of the Hero of Cinder City (4p)</v>
      </c>
      <c r="E7" s="4" t="str">
        <f>IF('Cálculos'!F6="","",IF(Time!E7="",Time!E6&amp;" (4p)",Time!E6&amp;" + "&amp;Time!E7&amp;" (2p+2p)"))</f>
        <v>Noblesse Oblige (4p)</v>
      </c>
    </row>
    <row r="8">
      <c r="A8" s="3" t="s">
        <v>147</v>
      </c>
      <c r="B8" s="4" t="str">
        <f>IF('Cálculos'!C6="","",'Cálculos'!C77&amp;" × 5★ / "&amp;(5-'Cálculos'!C77)&amp;" × 4★")</f>
        <v>5 × 5★ / 0 × 4★</v>
      </c>
      <c r="C8" s="4" t="str">
        <f>IF('Cálculos'!D6="","",'Cálculos'!D77&amp;" × 5★ / "&amp;(5-'Cálculos'!D77)&amp;" × 4★")</f>
        <v>1 × 5★ / 4 × 4★</v>
      </c>
      <c r="D8" s="4" t="str">
        <f>IF('Cálculos'!E6="","",'Cálculos'!E77&amp;" × 5★ / "&amp;(5-'Cálculos'!E77)&amp;" × 4★")</f>
        <v>5 × 5★ / 0 × 4★</v>
      </c>
      <c r="E8" s="4" t="str">
        <f>IF('Cálculos'!F6="","",'Cálculos'!F77&amp;" × 5★ / "&amp;(5-'Cálculos'!F77)&amp;" × 4★")</f>
        <v>5 × 5★ / 0 × 4★</v>
      </c>
    </row>
    <row r="9">
      <c r="A9" s="3" t="s">
        <v>149</v>
      </c>
      <c r="B9" s="4" t="str">
        <f>IF('Cálculos'!C6="","",Time!B8&amp;" / "&amp;Time!B9&amp;" / "&amp;Time!B10)</f>
        <v>EM / DMG% elemental / CD</v>
      </c>
      <c r="C9" s="4" t="str">
        <f>IF('Cálculos'!D6="","",Time!C8&amp;" / "&amp;Time!C9&amp;" / "&amp;Time!C10)</f>
        <v>ER / DMG% elemental / CR</v>
      </c>
      <c r="D9" s="4" t="str">
        <f>IF('Cálculos'!E6="","",Time!D8&amp;" / "&amp;Time!D9&amp;" / "&amp;Time!D10)</f>
        <v>ATK% / ATK% / CR</v>
      </c>
      <c r="E9" s="4" t="str">
        <f>IF('Cálculos'!F6="","",Time!E8&amp;" / "&amp;Time!E9&amp;" / "&amp;Time!E10)</f>
        <v>ER / DMG% elemental / CR</v>
      </c>
    </row>
    <row r="10">
      <c r="A10" s="3" t="s">
        <v>151</v>
      </c>
      <c r="B10" s="18" t="str">
        <f>IF('Cálculos'!C6="","",TRIM(IF('Cálculos'!C7=0,"Personagem fora do L_Personagens. ","")&amp;IF(AND(Time!B5&lt;&gt;"",'Cálculos'!C10=0),"Arma sem passiva cadastrada. ","")&amp;IF(AND(Time!B6&lt;&gt;"",'Cálculos'!C11=0),"Set principal sem efeitos cadastrados. ","")&amp;IF(AND(Time!B7&lt;&gt;"",'Cálculos'!C12=0),"Set secundário sem efeitos cadastrados.","")))</f>
        <v/>
      </c>
      <c r="C10" s="18" t="str">
        <f>IF('Cálculos'!D6="","",TRIM(IF('Cálculos'!D7=0,"Personagem fora do L_Personagens. ","")&amp;IF(AND(Time!C5&lt;&gt;"",'Cálculos'!D10=0),"Arma sem passiva cadastrada. ","")&amp;IF(AND(Time!C6&lt;&gt;"",'Cálculos'!D11=0),"Set principal sem efeitos cadastrados. ","")&amp;IF(AND(Time!C7&lt;&gt;"",'Cálculos'!D12=0),"Set secundário sem efeitos cadastrados.","")))</f>
        <v/>
      </c>
      <c r="D10" s="18" t="str">
        <f>IF('Cálculos'!E6="","",TRIM(IF('Cálculos'!E7=0,"Personagem fora do L_Personagens. ","")&amp;IF(AND(Time!D5&lt;&gt;"",'Cálculos'!E10=0),"Arma sem passiva cadastrada. ","")&amp;IF(AND(Time!D6&lt;&gt;"",'Cálculos'!E11=0),"Set principal sem efeitos cadastrados. ","")&amp;IF(AND(Time!D7&lt;&gt;"",'Cálculos'!E12=0),"Set secundário sem efeitos cadastrados.","")))</f>
        <v/>
      </c>
      <c r="E10" s="18" t="str">
        <f>IF('Cálculos'!F6="","",TRIM(IF('Cálculos'!F7=0,"Personagem fora do L_Personagens. ","")&amp;IF(AND(Time!E5&lt;&gt;"",'Cálculos'!F10=0),"Arma sem passiva cadastrada. ","")&amp;IF(AND(Time!E6&lt;&gt;"",'Cálculos'!F11=0),"Set principal sem efeitos cadastrados. ","")&amp;IF(AND(Time!E7&lt;&gt;"",'Cálculos'!F12=0),"Set secundário sem efeitos cadastrados.","")))</f>
        <v/>
      </c>
    </row>
    <row r="11">
      <c r="A11" s="2"/>
      <c r="B11" s="2"/>
      <c r="C11" s="2"/>
      <c r="D11" s="2"/>
      <c r="E11" s="2"/>
    </row>
    <row r="12">
      <c r="A12" s="19" t="s">
        <v>153</v>
      </c>
      <c r="B12" s="20"/>
      <c r="C12" s="20"/>
      <c r="D12" s="20"/>
      <c r="E12" s="20"/>
    </row>
    <row r="13">
      <c r="A13" s="3" t="s">
        <v>154</v>
      </c>
      <c r="B13" s="4" t="str">
        <f>IF('Cálculos'!C6="","",CHOOSE('Cálculos'!C290,"ATK","HP","DEF"))</f>
        <v>ATK</v>
      </c>
      <c r="C13" s="4" t="str">
        <f>IF('Cálculos'!D6="","",CHOOSE('Cálculos'!D290,"ATK","HP","DEF"))</f>
        <v>ATK</v>
      </c>
      <c r="D13" s="4" t="str">
        <f>IF('Cálculos'!E6="","",CHOOSE('Cálculos'!E290,"ATK","HP","DEF"))</f>
        <v>ATK</v>
      </c>
      <c r="E13" s="4" t="str">
        <f>IF('Cálculos'!F6="","",CHOOSE('Cálculos'!F290,"ATK","HP","DEF"))</f>
        <v>ATK</v>
      </c>
    </row>
    <row r="14">
      <c r="A14" s="3" t="s">
        <v>155</v>
      </c>
      <c r="B14" s="21">
        <f>IF('Cálculos'!C6="","",'Cálculos'!C332)</f>
        <v>5791.25</v>
      </c>
      <c r="C14" s="21">
        <f>IF('Cálculos'!D6="","",'Cálculos'!D332)</f>
        <v>3241.734346</v>
      </c>
      <c r="D14" s="21">
        <f>IF('Cálculos'!E6="","",'Cálculos'!E332)</f>
        <v>4157.3562</v>
      </c>
      <c r="E14" s="21">
        <f>IF('Cálculos'!F6="","",'Cálculos'!F332)</f>
        <v>3700.235</v>
      </c>
    </row>
    <row r="15">
      <c r="A15" s="3" t="s">
        <v>156</v>
      </c>
      <c r="B15" s="21">
        <f>IF('Cálculos'!C6="","",'Cálculos'!C337)</f>
        <v>19082.648</v>
      </c>
      <c r="C15" s="21">
        <f>IF('Cálculos'!D6="","",'Cálculos'!D337)</f>
        <v>20708.6505</v>
      </c>
      <c r="D15" s="21">
        <f>IF('Cálculos'!E6="","",'Cálculos'!E337)</f>
        <v>17000.043</v>
      </c>
      <c r="E15" s="21">
        <f>IF('Cálculos'!F6="","",'Cálculos'!F337)</f>
        <v>18912.303</v>
      </c>
    </row>
    <row r="16">
      <c r="A16" s="3" t="s">
        <v>157</v>
      </c>
      <c r="B16" s="21">
        <f>IF('Cálculos'!C6="","",'Cálculos'!C338)</f>
        <v>929.208</v>
      </c>
      <c r="C16" s="21">
        <f>IF('Cálculos'!D6="","",'Cálculos'!D338)</f>
        <v>876.6015351</v>
      </c>
      <c r="D16" s="21">
        <f>IF('Cálculos'!E6="","",'Cálculos'!E338)</f>
        <v>756.112</v>
      </c>
      <c r="E16" s="21">
        <f>IF('Cálculos'!F6="","",'Cálculos'!F338)</f>
        <v>905.604</v>
      </c>
    </row>
    <row r="17">
      <c r="A17" s="3" t="s">
        <v>158</v>
      </c>
      <c r="B17" s="21">
        <f>IF('Cálculos'!C6="","",'Cálculos'!C339)</f>
        <v>424</v>
      </c>
      <c r="C17" s="21">
        <f>IF('Cálculos'!D6="","",'Cálculos'!D339)</f>
        <v>348.4908108</v>
      </c>
      <c r="D17" s="21">
        <f>IF('Cálculos'!E6="","",'Cálculos'!E339)</f>
        <v>159</v>
      </c>
      <c r="E17" s="21">
        <f>IF('Cálculos'!F6="","",'Cálculos'!F339)</f>
        <v>159</v>
      </c>
    </row>
    <row r="18">
      <c r="A18" s="3" t="s">
        <v>159</v>
      </c>
      <c r="B18" s="22">
        <f>IF('Cálculos'!C6="","",'Cálculos'!C328)</f>
        <v>1.11</v>
      </c>
      <c r="C18" s="22">
        <f>IF('Cálculos'!D6="","",'Cálculos'!D328)</f>
        <v>2.031432432</v>
      </c>
      <c r="D18" s="22">
        <f>IF('Cálculos'!E6="","",'Cálculos'!E328)</f>
        <v>2.046</v>
      </c>
      <c r="E18" s="22">
        <f>IF('Cálculos'!F6="","",'Cálculos'!F328)</f>
        <v>2.005</v>
      </c>
    </row>
    <row r="19">
      <c r="A19" s="23" t="s">
        <v>170</v>
      </c>
      <c r="B19" s="24">
        <f>IF('Cálculos'!C6="","",'Cálculos'!C330)</f>
        <v>0.989</v>
      </c>
      <c r="C19" s="24">
        <f>IF('Cálculos'!D6="","",'Cálculos'!D330)</f>
        <v>0.4780378378</v>
      </c>
      <c r="D19" s="24">
        <f>IF('Cálculos'!E6="","",'Cálculos'!E330)</f>
        <v>0.592</v>
      </c>
      <c r="E19" s="24">
        <f>IF('Cálculos'!F6="","",'Cálculos'!F330)</f>
        <v>0.823</v>
      </c>
    </row>
    <row r="20">
      <c r="A20" s="23" t="s">
        <v>183</v>
      </c>
      <c r="B20" s="24">
        <f>'Cálculos'!C331</f>
        <v>2.318</v>
      </c>
      <c r="C20" s="24">
        <f>'Cálculos'!D331</f>
        <v>0.9486918919</v>
      </c>
      <c r="D20" s="24">
        <f>'Cálculos'!E331</f>
        <v>1.16</v>
      </c>
      <c r="E20" s="24">
        <f>'Cálculos'!F331</f>
        <v>1.669</v>
      </c>
    </row>
    <row r="21" ht="15.75" customHeight="1">
      <c r="A21" s="3" t="s">
        <v>188</v>
      </c>
      <c r="B21" s="22">
        <f>IF('Cálculos'!C6="","",'Cálculos'!C344)</f>
        <v>1.816</v>
      </c>
      <c r="C21" s="22">
        <f>IF('Cálculos'!D6="","",'Cálculos'!D344)</f>
        <v>0.348</v>
      </c>
      <c r="D21" s="22">
        <f>IF('Cálculos'!E6="","",'Cálculos'!E344)</f>
        <v>0.4</v>
      </c>
      <c r="E21" s="22">
        <f>IF('Cálculos'!F6="","",'Cálculos'!F344)</f>
        <v>0.866</v>
      </c>
    </row>
    <row r="22" ht="15.75" customHeight="1">
      <c r="A22" s="2"/>
      <c r="B22" s="2"/>
      <c r="C22" s="2"/>
      <c r="D22" s="2"/>
      <c r="E22" s="2"/>
    </row>
    <row r="23" ht="15.75" customHeight="1">
      <c r="A23" s="19" t="s">
        <v>202</v>
      </c>
      <c r="B23" s="20"/>
      <c r="C23" s="20"/>
      <c r="D23" s="20"/>
      <c r="E23" s="20"/>
    </row>
    <row r="24" ht="15.75" customHeight="1">
      <c r="A24" s="3" t="s">
        <v>204</v>
      </c>
      <c r="B24" s="4">
        <f>IF('Cálculos'!C6="","",'Cálculos'!C318+Time!$B$27)</f>
        <v>13</v>
      </c>
      <c r="C24" s="4">
        <f>IF('Cálculos'!D6="","",'Cálculos'!D318+Time!$B$27)</f>
        <v>7</v>
      </c>
      <c r="D24" s="4">
        <f>IF('Cálculos'!E6="","",'Cálculos'!E318+Time!$B$27)</f>
        <v>7</v>
      </c>
      <c r="E24" s="4">
        <f>IF('Cálculos'!F6="","",'Cálculos'!F318+Time!$B$27)</f>
        <v>14</v>
      </c>
    </row>
    <row r="25" ht="15.75" customHeight="1">
      <c r="A25" s="3" t="s">
        <v>209</v>
      </c>
      <c r="B25" s="4">
        <f>'Cálculos'!C319+Time!$B$27</f>
        <v>7</v>
      </c>
      <c r="C25" s="4">
        <f>'Cálculos'!D319+Time!$B$27</f>
        <v>8</v>
      </c>
      <c r="D25" s="4">
        <f>'Cálculos'!E319+Time!$B$27</f>
        <v>10</v>
      </c>
      <c r="E25" s="4">
        <f>'Cálculos'!F319+Time!$B$27</f>
        <v>8</v>
      </c>
    </row>
    <row r="26" ht="15.75" customHeight="1">
      <c r="A26" s="3" t="s">
        <v>92</v>
      </c>
      <c r="B26" s="4">
        <f>IF('Cálculos'!C6="","",'Cálculos'!C323+Time!$B$27)</f>
        <v>2</v>
      </c>
      <c r="C26" s="4">
        <f>IF('Cálculos'!D6="","",'Cálculos'!D323+Time!$B$27)</f>
        <v>2</v>
      </c>
      <c r="D26" s="4">
        <f>IF('Cálculos'!E6="","",'Cálculos'!E323+Time!$B$27)</f>
        <v>2</v>
      </c>
      <c r="E26" s="4">
        <f>IF('Cálculos'!F6="","",'Cálculos'!F323+Time!$B$27)</f>
        <v>2</v>
      </c>
    </row>
    <row r="27" ht="15.75" customHeight="1">
      <c r="A27" s="3" t="s">
        <v>212</v>
      </c>
      <c r="B27" s="4">
        <f>IF('Cálculos'!C6="","",'Cálculos'!C324+Time!$B$27)</f>
        <v>2</v>
      </c>
      <c r="C27" s="4">
        <f>IF('Cálculos'!D6="","",'Cálculos'!D324+Time!$B$27)</f>
        <v>2</v>
      </c>
      <c r="D27" s="4">
        <f>IF('Cálculos'!E6="","",'Cálculos'!E324+Time!$B$27)</f>
        <v>2</v>
      </c>
      <c r="E27" s="4">
        <f>IF('Cálculos'!F6="","",'Cálculos'!F324+Time!$B$27)</f>
        <v>2</v>
      </c>
    </row>
    <row r="28" ht="15.75" customHeight="1">
      <c r="A28" s="3" t="s">
        <v>214</v>
      </c>
      <c r="B28" s="4">
        <f>IF('Cálculos'!C6="","",'Cálculos'!C325+Time!$B$27)</f>
        <v>2</v>
      </c>
      <c r="C28" s="4">
        <f>IF('Cálculos'!D6="","",'Cálculos'!D325+Time!$B$27)</f>
        <v>2</v>
      </c>
      <c r="D28" s="4">
        <f>IF('Cálculos'!E6="","",'Cálculos'!E325+Time!$B$27)</f>
        <v>2</v>
      </c>
      <c r="E28" s="4">
        <f>IF('Cálculos'!F6="","",'Cálculos'!F325+Time!$B$27)</f>
        <v>2</v>
      </c>
    </row>
    <row r="29" ht="15.75" customHeight="1">
      <c r="A29" s="3" t="s">
        <v>90</v>
      </c>
      <c r="B29" s="4">
        <f>IF('Cálculos'!C6="","",'Cálculos'!C321+Time!$B$27)</f>
        <v>6</v>
      </c>
      <c r="C29" s="4">
        <f>IF('Cálculos'!D6="","",'Cálculos'!D321+Time!$B$27)</f>
        <v>2</v>
      </c>
      <c r="D29" s="4">
        <f>IF('Cálculos'!E6="","",'Cálculos'!E321+Time!$B$27)</f>
        <v>2</v>
      </c>
      <c r="E29" s="4">
        <f>IF('Cálculos'!F6="","",'Cálculos'!F321+Time!$B$27)</f>
        <v>2</v>
      </c>
    </row>
    <row r="30" ht="15.75" customHeight="1">
      <c r="A30" s="3" t="s">
        <v>216</v>
      </c>
      <c r="B30" s="4">
        <f>IF('Cálculos'!C6="","",'Cálculos'!C322+Time!$B$27)</f>
        <v>2</v>
      </c>
      <c r="C30" s="4">
        <f>IF('Cálculos'!D6="","",'Cálculos'!D322+Time!$B$27)</f>
        <v>11</v>
      </c>
      <c r="D30" s="4">
        <f>IF('Cálculos'!E6="","",'Cálculos'!E322+Time!$B$27)</f>
        <v>9</v>
      </c>
      <c r="E30" s="4">
        <f>IF('Cálculos'!F6="","",'Cálculos'!F322+Time!$B$27)</f>
        <v>4</v>
      </c>
    </row>
    <row r="31" ht="15.75" customHeight="1">
      <c r="A31" s="3" t="s">
        <v>218</v>
      </c>
      <c r="B31" s="4">
        <f>IF('Cálculos'!C6="","",Time!$B$27)</f>
        <v>2</v>
      </c>
      <c r="C31" s="4">
        <f>IF('Cálculos'!D6="","",Time!$B$27)</f>
        <v>2</v>
      </c>
      <c r="D31" s="4">
        <f>IF('Cálculos'!E6="","",Time!$B$27)</f>
        <v>2</v>
      </c>
      <c r="E31" s="4">
        <f>IF('Cálculos'!F6="","",Time!$B$27)</f>
        <v>2</v>
      </c>
    </row>
    <row r="32" ht="15.75" customHeight="1">
      <c r="A32" s="3" t="s">
        <v>219</v>
      </c>
      <c r="B32" s="4">
        <f>IF('Cálculos'!C6="","",'Cálculos'!C318+'Cálculos'!C319+'Cálculos'!C320+'Cálculos'!C321+'Cálculos'!C322+10*Time!$B$27)</f>
        <v>40</v>
      </c>
      <c r="C32" s="4">
        <f>IF('Cálculos'!D6="","",'Cálculos'!D318+'Cálculos'!D319+'Cálculos'!D320+'Cálculos'!D321+'Cálculos'!D322+10*Time!$B$27)</f>
        <v>40</v>
      </c>
      <c r="D32" s="4">
        <f>IF('Cálculos'!E6="","",'Cálculos'!E318+'Cálculos'!E319+'Cálculos'!E320+'Cálculos'!E321+'Cálculos'!E322+10*Time!$B$27)</f>
        <v>40</v>
      </c>
      <c r="E32" s="4">
        <f>IF('Cálculos'!F6="","",'Cálculos'!F318+'Cálculos'!F319+'Cálculos'!F320+'Cálculos'!F321+'Cálculos'!F322+10*Time!$B$27)</f>
        <v>40</v>
      </c>
    </row>
    <row r="33" ht="15.75" customHeight="1">
      <c r="A33" s="3" t="s">
        <v>220</v>
      </c>
      <c r="B33" s="4">
        <f>IF('Cálculos'!C6="","",'Cálculos'!C291)</f>
        <v>40</v>
      </c>
      <c r="C33" s="4">
        <f>IF('Cálculos'!D6="","",'Cálculos'!D291)</f>
        <v>40</v>
      </c>
      <c r="D33" s="4">
        <f>IF('Cálculos'!E6="","",'Cálculos'!E291)</f>
        <v>40</v>
      </c>
      <c r="E33" s="4">
        <f>IF('Cálculos'!F6="","",'Cálculos'!F291)</f>
        <v>40</v>
      </c>
    </row>
    <row r="34" ht="15.75" customHeight="1">
      <c r="A34" s="2"/>
      <c r="B34" s="2"/>
      <c r="C34" s="2"/>
      <c r="D34" s="2"/>
      <c r="E34" s="2"/>
    </row>
    <row r="35" ht="15.75" customHeight="1">
      <c r="A35" s="19" t="s">
        <v>221</v>
      </c>
      <c r="B35" s="20"/>
      <c r="C35" s="20"/>
      <c r="D35" s="20"/>
      <c r="E35" s="20"/>
    </row>
    <row r="36" ht="15.75" customHeight="1">
      <c r="A36" s="3" t="s">
        <v>222</v>
      </c>
      <c r="B36" s="21">
        <f>SUMIFS('Rotação'!$AH$5:$AH$64,'Rotação'!$J$5:$J$64,1)</f>
        <v>1096752.166</v>
      </c>
      <c r="C36" s="21">
        <f>SUMIFS('Rotação'!$AH$5:$AH$64,'Rotação'!$J$5:$J$64,2)</f>
        <v>70298.65509</v>
      </c>
      <c r="D36" s="21">
        <f>SUMIFS('Rotação'!$AH$5:$AH$64,'Rotação'!$J$5:$J$64,3)</f>
        <v>18580.03501</v>
      </c>
      <c r="E36" s="21">
        <f>SUMIFS('Rotação'!$AH$5:$AH$64,'Rotação'!$J$5:$J$64,4)</f>
        <v>19345.49414</v>
      </c>
    </row>
    <row r="37" ht="15.75" customHeight="1">
      <c r="A37" s="3" t="s">
        <v>223</v>
      </c>
      <c r="B37" s="21">
        <f>SUMIFS('Rotação'!$AI$5:$AI$64,'Rotação'!$J$5:$J$64,1)</f>
        <v>3639023.687</v>
      </c>
      <c r="C37" s="21">
        <f>SUMIFS('Rotação'!$AI$5:$AI$64,'Rotação'!$J$5:$J$64,2)</f>
        <v>136990.4192</v>
      </c>
      <c r="D37" s="21">
        <f>SUMIFS('Rotação'!$AI$5:$AI$64,'Rotação'!$J$5:$J$64,3)</f>
        <v>40132.87562</v>
      </c>
      <c r="E37" s="21">
        <f>SUMIFS('Rotação'!$AI$5:$AI$64,'Rotação'!$J$5:$J$64,4)</f>
        <v>51633.12386</v>
      </c>
    </row>
    <row r="38" ht="15.75" customHeight="1">
      <c r="A38" s="3" t="s">
        <v>224</v>
      </c>
      <c r="B38" s="21">
        <f>SUMIFS('Rotação'!$AJ$5:$AJ$64,'Rotação'!$J$5:$J$64,1)</f>
        <v>3611058.7</v>
      </c>
      <c r="C38" s="21">
        <f>SUMIFS('Rotação'!$AJ$5:$AJ$64,'Rotação'!$J$5:$J$64,2)</f>
        <v>102179.8418</v>
      </c>
      <c r="D38" s="21">
        <f>SUMIFS('Rotação'!$AJ$5:$AJ$64,'Rotação'!$J$5:$J$64,3)</f>
        <v>31339.31665</v>
      </c>
      <c r="E38" s="21">
        <f>SUMIFS('Rotação'!$AJ$5:$AJ$64,'Rotação'!$J$5:$J$64,4)</f>
        <v>45918.2134</v>
      </c>
    </row>
    <row r="39" ht="15.75" customHeight="1">
      <c r="A39" s="3" t="s">
        <v>225</v>
      </c>
      <c r="B39" s="27">
        <f t="shared" ref="B39:E39" si="1">IF($B$42=0,0,B38/$B$42)</f>
        <v>0.9526612432</v>
      </c>
      <c r="C39" s="27">
        <f t="shared" si="1"/>
        <v>0.02695685205</v>
      </c>
      <c r="D39" s="27">
        <f t="shared" si="1"/>
        <v>0.008267866804</v>
      </c>
      <c r="E39" s="27">
        <f t="shared" si="1"/>
        <v>0.01211403798</v>
      </c>
    </row>
    <row r="40" ht="15.75" customHeight="1">
      <c r="A40" s="2"/>
      <c r="B40" s="2"/>
      <c r="C40" s="2"/>
      <c r="D40" s="2"/>
      <c r="E40" s="2"/>
    </row>
    <row r="41" ht="15.75" customHeight="1">
      <c r="A41" s="6" t="s">
        <v>226</v>
      </c>
      <c r="B41" s="6" t="s">
        <v>126</v>
      </c>
      <c r="C41" s="2"/>
      <c r="D41" s="2"/>
      <c r="E41" s="2"/>
    </row>
    <row r="42" ht="15.75" customHeight="1">
      <c r="A42" s="3" t="s">
        <v>227</v>
      </c>
      <c r="B42" s="28">
        <f>SUM(B38:E38)</f>
        <v>3790496.072</v>
      </c>
      <c r="C42" s="2"/>
      <c r="D42" s="2"/>
      <c r="E42" s="2"/>
    </row>
    <row r="43" ht="15.75" customHeight="1">
      <c r="A43" s="3" t="s">
        <v>228</v>
      </c>
      <c r="B43" s="28">
        <f>B42/Time!$B$28</f>
        <v>216599.7756</v>
      </c>
      <c r="C43" s="2"/>
      <c r="D43" s="2"/>
      <c r="E43" s="2"/>
    </row>
    <row r="44" ht="15.75" customHeight="1">
      <c r="A44" s="3" t="s">
        <v>229</v>
      </c>
      <c r="B44" s="28">
        <f>SUM(B37:E37)</f>
        <v>3867780.106</v>
      </c>
      <c r="C44" s="2"/>
      <c r="D44" s="2"/>
      <c r="E44" s="2"/>
    </row>
    <row r="45" ht="15.75" customHeight="1">
      <c r="A45" s="3" t="s">
        <v>230</v>
      </c>
      <c r="B45" s="28">
        <f>SUM(B36:E36)</f>
        <v>1204976.35</v>
      </c>
      <c r="C45" s="2"/>
      <c r="D45" s="2"/>
      <c r="E45" s="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0:E10">
    <cfRule type="expression" dxfId="0" priority="1">
      <formula>LEN(B10)&gt;0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0"/>
    <col customWidth="1" min="2" max="2" width="58.0"/>
    <col customWidth="1" min="3" max="3" width="18.0"/>
    <col customWidth="1" min="4" max="4" width="13.0"/>
    <col customWidth="1" min="5" max="8" width="11.0"/>
    <col customWidth="1" min="9" max="9" width="70.0"/>
    <col customWidth="1" min="10" max="26" width="8.71"/>
  </cols>
  <sheetData>
    <row r="1" ht="45.0" customHeight="1">
      <c r="A1" s="6" t="s">
        <v>160</v>
      </c>
      <c r="B1" s="6" t="s">
        <v>161</v>
      </c>
      <c r="C1" s="6" t="s">
        <v>162</v>
      </c>
      <c r="D1" s="6" t="s">
        <v>163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</row>
    <row r="2">
      <c r="A2" s="7" t="s">
        <v>169</v>
      </c>
      <c r="B2" s="7" t="s">
        <v>93</v>
      </c>
      <c r="C2" s="7"/>
      <c r="D2" s="7"/>
      <c r="E2" s="7">
        <v>2.04</v>
      </c>
      <c r="F2" s="7">
        <v>0.0</v>
      </c>
      <c r="G2" s="7">
        <v>0.0</v>
      </c>
      <c r="H2" s="7">
        <v>0.0</v>
      </c>
      <c r="I2" s="7" t="s">
        <v>171</v>
      </c>
    </row>
    <row r="3">
      <c r="A3" s="7" t="s">
        <v>172</v>
      </c>
      <c r="B3" s="7" t="s">
        <v>173</v>
      </c>
      <c r="C3" s="7"/>
      <c r="D3" s="7"/>
      <c r="E3" s="7">
        <v>2.04</v>
      </c>
      <c r="F3" s="7">
        <v>0.0</v>
      </c>
      <c r="G3" s="7">
        <v>0.0</v>
      </c>
      <c r="H3" s="7">
        <v>0.0</v>
      </c>
      <c r="I3" s="7" t="s">
        <v>174</v>
      </c>
    </row>
    <row r="4">
      <c r="A4" s="7" t="s">
        <v>175</v>
      </c>
      <c r="B4" s="7" t="s">
        <v>176</v>
      </c>
      <c r="C4" s="7"/>
      <c r="D4" s="7"/>
      <c r="E4" s="7">
        <v>5.76</v>
      </c>
      <c r="F4" s="7">
        <v>0.0</v>
      </c>
      <c r="G4" s="7">
        <v>0.0</v>
      </c>
      <c r="H4" s="7">
        <v>0.0</v>
      </c>
      <c r="I4" s="7" t="s">
        <v>177</v>
      </c>
    </row>
    <row r="5">
      <c r="A5" s="7" t="s">
        <v>178</v>
      </c>
      <c r="B5" s="7" t="s">
        <v>179</v>
      </c>
      <c r="C5" s="7"/>
      <c r="D5" s="7"/>
      <c r="E5" s="7">
        <v>0.0</v>
      </c>
      <c r="F5" s="7">
        <v>0.0</v>
      </c>
      <c r="G5" s="7">
        <v>0.0</v>
      </c>
      <c r="H5" s="7">
        <v>0.0</v>
      </c>
      <c r="I5" s="7" t="s">
        <v>180</v>
      </c>
    </row>
    <row r="6">
      <c r="A6" s="7" t="s">
        <v>181</v>
      </c>
      <c r="B6" s="7" t="s">
        <v>182</v>
      </c>
      <c r="C6" s="7"/>
      <c r="D6" s="7"/>
      <c r="E6" s="7">
        <v>0.0</v>
      </c>
      <c r="F6" s="7">
        <v>0.9</v>
      </c>
      <c r="G6" s="7">
        <v>0.0</v>
      </c>
      <c r="H6" s="7">
        <v>0.0</v>
      </c>
      <c r="I6" s="7" t="s">
        <v>184</v>
      </c>
    </row>
    <row r="7">
      <c r="A7" s="7" t="s">
        <v>185</v>
      </c>
      <c r="B7" s="7" t="s">
        <v>186</v>
      </c>
      <c r="C7" s="7"/>
      <c r="D7" s="7"/>
      <c r="E7" s="7">
        <v>0.0</v>
      </c>
      <c r="F7" s="7">
        <v>12.0</v>
      </c>
      <c r="G7" s="7">
        <v>0.0</v>
      </c>
      <c r="H7" s="7">
        <v>0.0</v>
      </c>
      <c r="I7" s="7" t="s">
        <v>187</v>
      </c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01">
      <formula1>L_Personagens!$A$2:$A$400</formula1>
    </dataValidation>
    <dataValidation type="list" allowBlank="1" showErrorMessage="1" sqref="D2:D101">
      <formula1>"Normal,Carregado,Habilidade,Supremo,Outro"</formula1>
    </dataValidation>
    <dataValidation type="list" allowBlank="1" showErrorMessage="1" sqref="B2:B101">
      <formula1>L_Golpes!$A$2:$A$6000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10.0"/>
    <col customWidth="1" min="4" max="6" width="14.0"/>
    <col customWidth="1" min="7" max="7" width="28.0"/>
    <col customWidth="1" min="8" max="8" width="16.0"/>
    <col customWidth="1" min="9" max="9" width="30.0"/>
    <col customWidth="1" min="10" max="10" width="14.0"/>
    <col customWidth="1" min="11" max="11" width="9.0"/>
    <col customWidth="1" min="12" max="12" width="14.0"/>
    <col customWidth="1" min="13" max="13" width="60.0"/>
    <col customWidth="1" min="14" max="26" width="8.71"/>
  </cols>
  <sheetData>
    <row r="1" ht="60.0" customHeight="1">
      <c r="A1" s="6" t="s">
        <v>189</v>
      </c>
      <c r="B1" s="6" t="s">
        <v>190</v>
      </c>
      <c r="C1" s="6" t="s">
        <v>191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  <c r="K1" s="6" t="s">
        <v>199</v>
      </c>
      <c r="L1" s="6" t="s">
        <v>200</v>
      </c>
      <c r="M1" s="6" t="s">
        <v>201</v>
      </c>
    </row>
    <row r="2">
      <c r="A2" s="7" t="s">
        <v>203</v>
      </c>
      <c r="B2" s="7" t="s">
        <v>205</v>
      </c>
      <c r="C2" s="7" t="s">
        <v>156</v>
      </c>
      <c r="D2" s="7">
        <v>0.14</v>
      </c>
      <c r="E2" s="7">
        <v>40000.0</v>
      </c>
      <c r="F2" s="7">
        <v>3500.0</v>
      </c>
      <c r="G2" s="7" t="s">
        <v>206</v>
      </c>
      <c r="H2" s="7" t="s">
        <v>207</v>
      </c>
      <c r="I2" s="7" t="s">
        <v>208</v>
      </c>
      <c r="J2" s="7">
        <v>25.0</v>
      </c>
      <c r="K2" s="7" t="s">
        <v>107</v>
      </c>
      <c r="L2" s="25">
        <f t="array" ref="L2">IF(OR($A2="",$B2="",$K2="Não",$K2=FALSE),0,IFERROR(IF($F2="",N($D2)*MAX(0,INDEX(IF($C2="HP",'Cálculos'!$C$313:$F$313,IF($C2="DEF",'Cálculos'!$C$314:$F$314,IF($C2="EM",'Cálculos'!$C$315:$F$315,'Cálculos'!$C$312:$F$312))),MATCH($B2,Time!$B$4:$E$4,0))-N($E2)),MIN($F2,N($D2)*MAX(0,INDEX(IF($C2="HP",'Cálculos'!$C$313:$F$313,IF($C2="DEF",'Cálculos'!$C$314:$F$314,IF($C2="EM",'Cálculos'!$C$315:$F$315,'Cálculos'!$C$312:$F$312))),MATCH($B2,Time!$B$4:$E$4,0))-N($E2)))),0))</f>
        <v>0</v>
      </c>
      <c r="M2" s="7" t="s">
        <v>210</v>
      </c>
    </row>
    <row r="3">
      <c r="A3" s="7" t="s">
        <v>211</v>
      </c>
      <c r="B3" s="7" t="s">
        <v>205</v>
      </c>
      <c r="C3" s="7" t="s">
        <v>156</v>
      </c>
      <c r="D3" s="7">
        <v>0.14</v>
      </c>
      <c r="E3" s="7">
        <v>40000.0</v>
      </c>
      <c r="F3" s="7">
        <v>3500.0</v>
      </c>
      <c r="G3" s="7" t="s">
        <v>213</v>
      </c>
      <c r="H3" s="7" t="s">
        <v>207</v>
      </c>
      <c r="I3" s="7"/>
      <c r="J3" s="7">
        <v>10.0</v>
      </c>
      <c r="K3" s="7" t="s">
        <v>107</v>
      </c>
      <c r="L3" s="25">
        <f t="array" ref="L3">IF(OR($A3="",$B3="",$K3="Não",$K3=FALSE),0,IFERROR(IF($F3="",N($D3)*MAX(0,INDEX(IF($C3="HP",'Cálculos'!$C$313:$F$313,IF($C3="DEF",'Cálculos'!$C$314:$F$314,IF($C3="EM",'Cálculos'!$C$315:$F$315,'Cálculos'!$C$312:$F$312))),MATCH($B3,Time!$B$4:$E$4,0))-N($E3)),MIN($F3,N($D3)*MAX(0,INDEX(IF($C3="HP",'Cálculos'!$C$313:$F$313,IF($C3="DEF",'Cálculos'!$C$314:$F$314,IF($C3="EM",'Cálculos'!$C$315:$F$315,'Cálculos'!$C$312:$F$312))),MATCH($B3,Time!$B$4:$E$4,0))-N($E3)))),0))</f>
        <v>0</v>
      </c>
      <c r="M3" s="7" t="s">
        <v>215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 t="s">
        <v>107</v>
      </c>
      <c r="L4" s="25">
        <f t="array" ref="L4">IF(OR($A4="",$B4="",$K4="Não",$K4=FALSE),0,IFERROR(IF($F4="",N($D4)*MAX(0,INDEX(IF($C4="HP",'Cálculos'!$C$313:$F$313,IF($C4="DEF",'Cálculos'!$C$314:$F$314,IF($C4="EM",'Cálculos'!$C$315:$F$315,'Cálculos'!$C$312:$F$312))),MATCH($B4,Time!$B$4:$E$4,0))-N($E4)),MIN($F4,N($D4)*MAX(0,INDEX(IF($C4="HP",'Cálculos'!$C$313:$F$313,IF($C4="DEF",'Cálculos'!$C$314:$F$314,IF($C4="EM",'Cálculos'!$C$315:$F$315,'Cálculos'!$C$312:$F$312))),MATCH($B4,Time!$B$4:$E$4,0))-N($E4)))),0))</f>
        <v>0</v>
      </c>
      <c r="M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 t="s">
        <v>107</v>
      </c>
      <c r="L5" s="25">
        <f t="array" ref="L5">IF(OR($A5="",$B5="",$K5="Não",$K5=FALSE),0,IFERROR(IF($F5="",N($D5)*MAX(0,INDEX(IF($C5="HP",'Cálculos'!$C$313:$F$313,IF($C5="DEF",'Cálculos'!$C$314:$F$314,IF($C5="EM",'Cálculos'!$C$315:$F$315,'Cálculos'!$C$312:$F$312))),MATCH($B5,Time!$B$4:$E$4,0))-N($E5)),MIN($F5,N($D5)*MAX(0,INDEX(IF($C5="HP",'Cálculos'!$C$313:$F$313,IF($C5="DEF",'Cálculos'!$C$314:$F$314,IF($C5="EM",'Cálculos'!$C$315:$F$315,'Cálculos'!$C$312:$F$312))),MATCH($B5,Time!$B$4:$E$4,0))-N($E5)))),0))</f>
        <v>0</v>
      </c>
      <c r="M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 t="s">
        <v>107</v>
      </c>
      <c r="L6" s="25">
        <f t="array" ref="L6">IF(OR($A6="",$B6="",$K6="Não",$K6=FALSE),0,IFERROR(IF($F6="",N($D6)*MAX(0,INDEX(IF($C6="HP",'Cálculos'!$C$313:$F$313,IF($C6="DEF",'Cálculos'!$C$314:$F$314,IF($C6="EM",'Cálculos'!$C$315:$F$315,'Cálculos'!$C$312:$F$312))),MATCH($B6,Time!$B$4:$E$4,0))-N($E6)),MIN($F6,N($D6)*MAX(0,INDEX(IF($C6="HP",'Cálculos'!$C$313:$F$313,IF($C6="DEF",'Cálculos'!$C$314:$F$314,IF($C6="EM",'Cálculos'!$C$315:$F$315,'Cálculos'!$C$312:$F$312))),MATCH($B6,Time!$B$4:$E$4,0))-N($E6)))),0))</f>
        <v>0</v>
      </c>
      <c r="M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 t="s">
        <v>107</v>
      </c>
      <c r="L7" s="25">
        <f t="array" ref="L7">IF(OR($A7="",$B7="",$K7="Não",$K7=FALSE),0,IFERROR(IF($F7="",N($D7)*MAX(0,INDEX(IF($C7="HP",'Cálculos'!$C$313:$F$313,IF($C7="DEF",'Cálculos'!$C$314:$F$314,IF($C7="EM",'Cálculos'!$C$315:$F$315,'Cálculos'!$C$312:$F$312))),MATCH($B7,Time!$B$4:$E$4,0))-N($E7)),MIN($F7,N($D7)*MAX(0,INDEX(IF($C7="HP",'Cálculos'!$C$313:$F$313,IF($C7="DEF",'Cálculos'!$C$314:$F$314,IF($C7="EM",'Cálculos'!$C$315:$F$315,'Cálculos'!$C$312:$F$312))),MATCH($B7,Time!$B$4:$E$4,0))-N($E7)))),0))</f>
        <v>0</v>
      </c>
      <c r="M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 t="s">
        <v>107</v>
      </c>
      <c r="L8" s="25">
        <f t="array" ref="L8">IF(OR($A8="",$B8="",$K8="Não",$K8=FALSE),0,IFERROR(IF($F8="",N($D8)*MAX(0,INDEX(IF($C8="HP",'Cálculos'!$C$313:$F$313,IF($C8="DEF",'Cálculos'!$C$314:$F$314,IF($C8="EM",'Cálculos'!$C$315:$F$315,'Cálculos'!$C$312:$F$312))),MATCH($B8,Time!$B$4:$E$4,0))-N($E8)),MIN($F8,N($D8)*MAX(0,INDEX(IF($C8="HP",'Cálculos'!$C$313:$F$313,IF($C8="DEF",'Cálculos'!$C$314:$F$314,IF($C8="EM",'Cálculos'!$C$315:$F$315,'Cálculos'!$C$312:$F$312))),MATCH($B8,Time!$B$4:$E$4,0))-N($E8)))),0))</f>
        <v>0</v>
      </c>
      <c r="M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 t="s">
        <v>107</v>
      </c>
      <c r="L9" s="25">
        <f t="array" ref="L9">IF(OR($A9="",$B9="",$K9="Não",$K9=FALSE),0,IFERROR(IF($F9="",N($D9)*MAX(0,INDEX(IF($C9="HP",'Cálculos'!$C$313:$F$313,IF($C9="DEF",'Cálculos'!$C$314:$F$314,IF($C9="EM",'Cálculos'!$C$315:$F$315,'Cálculos'!$C$312:$F$312))),MATCH($B9,Time!$B$4:$E$4,0))-N($E9)),MIN($F9,N($D9)*MAX(0,INDEX(IF($C9="HP",'Cálculos'!$C$313:$F$313,IF($C9="DEF",'Cálculos'!$C$314:$F$314,IF($C9="EM",'Cálculos'!$C$315:$F$315,'Cálculos'!$C$312:$F$312))),MATCH($B9,Time!$B$4:$E$4,0))-N($E9)))),0))</f>
        <v>0</v>
      </c>
      <c r="M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 t="s">
        <v>107</v>
      </c>
      <c r="L10" s="25">
        <f t="array" ref="L10">IF(OR($A10="",$B10="",$K10="Não",$K10=FALSE),0,IFERROR(IF($F10="",N($D10)*MAX(0,INDEX(IF($C10="HP",'Cálculos'!$C$313:$F$313,IF($C10="DEF",'Cálculos'!$C$314:$F$314,IF($C10="EM",'Cálculos'!$C$315:$F$315,'Cálculos'!$C$312:$F$312))),MATCH($B10,Time!$B$4:$E$4,0))-N($E10)),MIN($F10,N($D10)*MAX(0,INDEX(IF($C10="HP",'Cálculos'!$C$313:$F$313,IF($C10="DEF",'Cálculos'!$C$314:$F$314,IF($C10="EM",'Cálculos'!$C$315:$F$315,'Cálculos'!$C$312:$F$312))),MATCH($B10,Time!$B$4:$E$4,0))-N($E10)))),0))</f>
        <v>0</v>
      </c>
      <c r="M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 t="s">
        <v>107</v>
      </c>
      <c r="L11" s="25">
        <f t="array" ref="L11">IF(OR($A11="",$B11="",$K11="Não",$K11=FALSE),0,IFERROR(IF($F11="",N($D11)*MAX(0,INDEX(IF($C11="HP",'Cálculos'!$C$313:$F$313,IF($C11="DEF",'Cálculos'!$C$314:$F$314,IF($C11="EM",'Cálculos'!$C$315:$F$315,'Cálculos'!$C$312:$F$312))),MATCH($B11,Time!$B$4:$E$4,0))-N($E11)),MIN($F11,N($D11)*MAX(0,INDEX(IF($C11="HP",'Cálculos'!$C$313:$F$313,IF($C11="DEF",'Cálculos'!$C$314:$F$314,IF($C11="EM",'Cálculos'!$C$315:$F$315,'Cálculos'!$C$312:$F$312))),MATCH($B11,Time!$B$4:$E$4,0))-N($E11)))),0))</f>
        <v>0</v>
      </c>
      <c r="M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1">
      <formula1>L_Personagens!$A$2:$A$400</formula1>
    </dataValidation>
    <dataValidation type="list" allowBlank="1" showErrorMessage="1" sqref="C2:C11">
      <formula1>"ATK,HP,DEF,EM"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12" width="13.0"/>
    <col customWidth="1" min="13" max="13" width="70.0"/>
    <col customWidth="1" min="14" max="26" width="8.71"/>
  </cols>
  <sheetData>
    <row r="1" ht="60.0" customHeight="1">
      <c r="A1" s="6" t="s">
        <v>35</v>
      </c>
      <c r="B1" s="6" t="s">
        <v>231</v>
      </c>
      <c r="C1" s="6" t="s">
        <v>232</v>
      </c>
      <c r="D1" s="6" t="s">
        <v>233</v>
      </c>
      <c r="E1" s="6" t="s">
        <v>234</v>
      </c>
      <c r="F1" s="6" t="s">
        <v>235</v>
      </c>
      <c r="G1" s="6" t="s">
        <v>236</v>
      </c>
      <c r="H1" s="6" t="s">
        <v>237</v>
      </c>
      <c r="I1" s="6" t="s">
        <v>238</v>
      </c>
      <c r="J1" s="6" t="s">
        <v>239</v>
      </c>
      <c r="K1" s="6" t="s">
        <v>240</v>
      </c>
      <c r="L1" s="6" t="s">
        <v>241</v>
      </c>
      <c r="M1" s="6" t="s">
        <v>242</v>
      </c>
    </row>
    <row r="2">
      <c r="A2" s="7" t="s">
        <v>46</v>
      </c>
      <c r="B2" s="15">
        <v>0.3</v>
      </c>
      <c r="C2" s="15">
        <v>0.4</v>
      </c>
      <c r="D2" s="15">
        <v>0.0</v>
      </c>
      <c r="E2" s="15">
        <v>0.0</v>
      </c>
      <c r="F2" s="7">
        <v>0.0</v>
      </c>
      <c r="G2" s="7">
        <v>0.0</v>
      </c>
      <c r="H2" s="7">
        <v>0.0</v>
      </c>
      <c r="I2" s="7">
        <v>0.0</v>
      </c>
      <c r="J2" s="7" t="s">
        <v>112</v>
      </c>
      <c r="K2" s="15">
        <v>0.0</v>
      </c>
      <c r="L2" s="7"/>
      <c r="M2" s="7" t="s">
        <v>243</v>
      </c>
    </row>
    <row r="3">
      <c r="A3" s="7" t="s">
        <v>57</v>
      </c>
      <c r="B3" s="15">
        <v>0.0</v>
      </c>
      <c r="C3" s="15">
        <v>0.0</v>
      </c>
      <c r="D3" s="15">
        <v>0.0</v>
      </c>
      <c r="E3" s="15">
        <v>0.0</v>
      </c>
      <c r="F3" s="7">
        <v>0.0</v>
      </c>
      <c r="G3" s="7">
        <v>0.0</v>
      </c>
      <c r="H3" s="7">
        <v>0.0</v>
      </c>
      <c r="I3" s="7">
        <v>0.0</v>
      </c>
      <c r="J3" s="7" t="s">
        <v>112</v>
      </c>
      <c r="K3" s="15">
        <v>0.2</v>
      </c>
      <c r="L3" s="7" t="s">
        <v>244</v>
      </c>
      <c r="M3" s="7" t="s">
        <v>245</v>
      </c>
    </row>
    <row r="4">
      <c r="A4" s="7" t="s">
        <v>61</v>
      </c>
      <c r="B4" s="15">
        <v>0.0</v>
      </c>
      <c r="C4" s="15">
        <v>0.0</v>
      </c>
      <c r="D4" s="15">
        <v>0.0</v>
      </c>
      <c r="E4" s="15">
        <v>0.0</v>
      </c>
      <c r="F4" s="7">
        <v>0.0</v>
      </c>
      <c r="G4" s="7">
        <v>0.0</v>
      </c>
      <c r="H4" s="7">
        <v>0.37</v>
      </c>
      <c r="I4" s="7">
        <v>810.0</v>
      </c>
      <c r="J4" s="7" t="s">
        <v>112</v>
      </c>
      <c r="K4" s="15">
        <v>0.0</v>
      </c>
      <c r="L4" s="7"/>
      <c r="M4" s="7" t="s">
        <v>246</v>
      </c>
    </row>
    <row r="5">
      <c r="A5" s="7" t="s">
        <v>64</v>
      </c>
      <c r="B5" s="15">
        <v>0.0</v>
      </c>
      <c r="C5" s="15">
        <v>0.0</v>
      </c>
      <c r="D5" s="15">
        <v>0.0</v>
      </c>
      <c r="E5" s="15">
        <v>0.0</v>
      </c>
      <c r="F5" s="7">
        <v>0.0</v>
      </c>
      <c r="G5" s="7">
        <v>1.39</v>
      </c>
      <c r="H5" s="7">
        <v>0.0</v>
      </c>
      <c r="I5" s="7">
        <v>0.0</v>
      </c>
      <c r="J5" s="7" t="s">
        <v>107</v>
      </c>
      <c r="K5" s="15">
        <v>0.0</v>
      </c>
      <c r="L5" s="7"/>
      <c r="M5" s="7" t="s">
        <v>247</v>
      </c>
    </row>
    <row r="6">
      <c r="A6" s="7"/>
      <c r="B6" s="15"/>
      <c r="C6" s="15"/>
      <c r="D6" s="15"/>
      <c r="E6" s="15"/>
      <c r="F6" s="7"/>
      <c r="G6" s="7"/>
      <c r="H6" s="7"/>
      <c r="I6" s="7"/>
      <c r="J6" s="7" t="s">
        <v>112</v>
      </c>
      <c r="K6" s="15"/>
      <c r="L6" s="7"/>
      <c r="M6" s="7"/>
    </row>
    <row r="7">
      <c r="A7" s="7"/>
      <c r="B7" s="15"/>
      <c r="C7" s="15"/>
      <c r="D7" s="15"/>
      <c r="E7" s="15"/>
      <c r="F7" s="7"/>
      <c r="G7" s="7"/>
      <c r="H7" s="7"/>
      <c r="I7" s="7"/>
      <c r="J7" s="7" t="s">
        <v>112</v>
      </c>
      <c r="K7" s="15"/>
      <c r="L7" s="7"/>
      <c r="M7" s="7"/>
    </row>
    <row r="8">
      <c r="A8" s="7"/>
      <c r="B8" s="15"/>
      <c r="C8" s="15"/>
      <c r="D8" s="15"/>
      <c r="E8" s="15"/>
      <c r="F8" s="7"/>
      <c r="G8" s="7"/>
      <c r="H8" s="7"/>
      <c r="I8" s="7"/>
      <c r="J8" s="7" t="s">
        <v>112</v>
      </c>
      <c r="K8" s="15"/>
      <c r="L8" s="7"/>
      <c r="M8" s="7"/>
    </row>
    <row r="9">
      <c r="A9" s="7"/>
      <c r="B9" s="15"/>
      <c r="C9" s="15"/>
      <c r="D9" s="15"/>
      <c r="E9" s="15"/>
      <c r="F9" s="7"/>
      <c r="G9" s="7"/>
      <c r="H9" s="7"/>
      <c r="I9" s="7"/>
      <c r="J9" s="7" t="s">
        <v>112</v>
      </c>
      <c r="K9" s="15"/>
      <c r="L9" s="7"/>
      <c r="M9" s="7"/>
    </row>
    <row r="10">
      <c r="A10" s="7"/>
      <c r="B10" s="15"/>
      <c r="C10" s="15"/>
      <c r="D10" s="15"/>
      <c r="E10" s="15"/>
      <c r="F10" s="7"/>
      <c r="G10" s="7"/>
      <c r="H10" s="7"/>
      <c r="I10" s="7"/>
      <c r="J10" s="7" t="s">
        <v>112</v>
      </c>
      <c r="K10" s="15"/>
      <c r="L10" s="7"/>
      <c r="M10" s="7"/>
    </row>
    <row r="11">
      <c r="A11" s="7"/>
      <c r="B11" s="15"/>
      <c r="C11" s="15"/>
      <c r="D11" s="15"/>
      <c r="E11" s="15"/>
      <c r="F11" s="7"/>
      <c r="G11" s="7"/>
      <c r="H11" s="7"/>
      <c r="I11" s="7"/>
      <c r="J11" s="7" t="s">
        <v>112</v>
      </c>
      <c r="K11" s="15"/>
      <c r="L11" s="7"/>
      <c r="M11" s="7"/>
    </row>
    <row r="12">
      <c r="A12" s="7"/>
      <c r="B12" s="15"/>
      <c r="C12" s="15"/>
      <c r="D12" s="15"/>
      <c r="E12" s="15"/>
      <c r="F12" s="7"/>
      <c r="G12" s="7"/>
      <c r="H12" s="7"/>
      <c r="I12" s="7"/>
      <c r="J12" s="7" t="s">
        <v>112</v>
      </c>
      <c r="K12" s="15"/>
      <c r="L12" s="7"/>
      <c r="M12" s="7"/>
    </row>
    <row r="13">
      <c r="A13" s="7"/>
      <c r="B13" s="15"/>
      <c r="C13" s="15"/>
      <c r="D13" s="15"/>
      <c r="E13" s="15"/>
      <c r="F13" s="7"/>
      <c r="G13" s="7"/>
      <c r="H13" s="7"/>
      <c r="I13" s="7"/>
      <c r="J13" s="7" t="s">
        <v>112</v>
      </c>
      <c r="K13" s="15"/>
      <c r="L13" s="7"/>
      <c r="M13" s="7"/>
    </row>
    <row r="14">
      <c r="A14" s="7"/>
      <c r="B14" s="15"/>
      <c r="C14" s="15"/>
      <c r="D14" s="15"/>
      <c r="E14" s="15"/>
      <c r="F14" s="7"/>
      <c r="G14" s="7"/>
      <c r="H14" s="7"/>
      <c r="I14" s="7"/>
      <c r="J14" s="7" t="s">
        <v>112</v>
      </c>
      <c r="K14" s="15"/>
      <c r="L14" s="7"/>
      <c r="M14" s="7"/>
    </row>
    <row r="15">
      <c r="A15" s="7"/>
      <c r="B15" s="15"/>
      <c r="C15" s="15"/>
      <c r="D15" s="15"/>
      <c r="E15" s="15"/>
      <c r="F15" s="7"/>
      <c r="G15" s="7"/>
      <c r="H15" s="7"/>
      <c r="I15" s="7"/>
      <c r="J15" s="7" t="s">
        <v>112</v>
      </c>
      <c r="K15" s="15"/>
      <c r="L15" s="7"/>
      <c r="M15" s="7"/>
    </row>
    <row r="16">
      <c r="A16" s="7"/>
      <c r="B16" s="15"/>
      <c r="C16" s="15"/>
      <c r="D16" s="15"/>
      <c r="E16" s="15"/>
      <c r="F16" s="7"/>
      <c r="G16" s="7"/>
      <c r="H16" s="7"/>
      <c r="I16" s="7"/>
      <c r="J16" s="7" t="s">
        <v>112</v>
      </c>
      <c r="K16" s="15"/>
      <c r="L16" s="7"/>
      <c r="M16" s="7"/>
    </row>
    <row r="17">
      <c r="A17" s="7"/>
      <c r="B17" s="15"/>
      <c r="C17" s="15"/>
      <c r="D17" s="15"/>
      <c r="E17" s="15"/>
      <c r="F17" s="7"/>
      <c r="G17" s="7"/>
      <c r="H17" s="7"/>
      <c r="I17" s="7"/>
      <c r="J17" s="7" t="s">
        <v>112</v>
      </c>
      <c r="K17" s="15"/>
      <c r="L17" s="7"/>
      <c r="M17" s="7"/>
    </row>
    <row r="18">
      <c r="A18" s="7"/>
      <c r="B18" s="15"/>
      <c r="C18" s="15"/>
      <c r="D18" s="15"/>
      <c r="E18" s="15"/>
      <c r="F18" s="7"/>
      <c r="G18" s="7"/>
      <c r="H18" s="7"/>
      <c r="I18" s="7"/>
      <c r="J18" s="7" t="s">
        <v>112</v>
      </c>
      <c r="K18" s="15"/>
      <c r="L18" s="7"/>
      <c r="M18" s="7"/>
    </row>
    <row r="19">
      <c r="A19" s="7"/>
      <c r="B19" s="15"/>
      <c r="C19" s="15"/>
      <c r="D19" s="15"/>
      <c r="E19" s="15"/>
      <c r="F19" s="7"/>
      <c r="G19" s="7"/>
      <c r="H19" s="7"/>
      <c r="I19" s="7"/>
      <c r="J19" s="7" t="s">
        <v>112</v>
      </c>
      <c r="K19" s="15"/>
      <c r="L19" s="7"/>
      <c r="M19" s="7"/>
    </row>
    <row r="20">
      <c r="A20" s="7"/>
      <c r="B20" s="15"/>
      <c r="C20" s="15"/>
      <c r="D20" s="15"/>
      <c r="E20" s="15"/>
      <c r="F20" s="7"/>
      <c r="G20" s="7"/>
      <c r="H20" s="7"/>
      <c r="I20" s="7"/>
      <c r="J20" s="7" t="s">
        <v>112</v>
      </c>
      <c r="K20" s="15"/>
      <c r="L20" s="7"/>
      <c r="M20" s="7"/>
    </row>
    <row r="21" ht="15.75" customHeight="1">
      <c r="A21" s="7"/>
      <c r="B21" s="15"/>
      <c r="C21" s="15"/>
      <c r="D21" s="15"/>
      <c r="E21" s="15"/>
      <c r="F21" s="7"/>
      <c r="G21" s="7"/>
      <c r="H21" s="7"/>
      <c r="I21" s="7"/>
      <c r="J21" s="7" t="s">
        <v>112</v>
      </c>
      <c r="K21" s="15"/>
      <c r="L21" s="7"/>
      <c r="M21" s="7"/>
    </row>
    <row r="22" ht="15.75" customHeight="1">
      <c r="A22" s="7"/>
      <c r="B22" s="15"/>
      <c r="C22" s="15"/>
      <c r="D22" s="15"/>
      <c r="E22" s="15"/>
      <c r="F22" s="7"/>
      <c r="G22" s="7"/>
      <c r="H22" s="7"/>
      <c r="I22" s="7"/>
      <c r="J22" s="7" t="s">
        <v>112</v>
      </c>
      <c r="K22" s="15"/>
      <c r="L22" s="7"/>
      <c r="M22" s="7"/>
    </row>
    <row r="23" ht="15.75" customHeight="1">
      <c r="A23" s="7"/>
      <c r="B23" s="15"/>
      <c r="C23" s="15"/>
      <c r="D23" s="15"/>
      <c r="E23" s="15"/>
      <c r="F23" s="7"/>
      <c r="G23" s="7"/>
      <c r="H23" s="7"/>
      <c r="I23" s="7"/>
      <c r="J23" s="7" t="s">
        <v>112</v>
      </c>
      <c r="K23" s="15"/>
      <c r="L23" s="7"/>
      <c r="M23" s="7"/>
    </row>
    <row r="24" ht="15.75" customHeight="1">
      <c r="A24" s="7"/>
      <c r="B24" s="15"/>
      <c r="C24" s="15"/>
      <c r="D24" s="15"/>
      <c r="E24" s="15"/>
      <c r="F24" s="7"/>
      <c r="G24" s="7"/>
      <c r="H24" s="7"/>
      <c r="I24" s="7"/>
      <c r="J24" s="7" t="s">
        <v>112</v>
      </c>
      <c r="K24" s="15"/>
      <c r="L24" s="7"/>
      <c r="M24" s="7"/>
    </row>
    <row r="25" ht="15.75" customHeight="1">
      <c r="A25" s="7"/>
      <c r="B25" s="15"/>
      <c r="C25" s="15"/>
      <c r="D25" s="15"/>
      <c r="E25" s="15"/>
      <c r="F25" s="7"/>
      <c r="G25" s="7"/>
      <c r="H25" s="7"/>
      <c r="I25" s="7"/>
      <c r="J25" s="7" t="s">
        <v>112</v>
      </c>
      <c r="K25" s="15"/>
      <c r="L25" s="7"/>
      <c r="M25" s="7"/>
    </row>
    <row r="26" ht="15.75" customHeight="1">
      <c r="A26" s="7"/>
      <c r="B26" s="15"/>
      <c r="C26" s="15"/>
      <c r="D26" s="15"/>
      <c r="E26" s="15"/>
      <c r="F26" s="7"/>
      <c r="G26" s="7"/>
      <c r="H26" s="7"/>
      <c r="I26" s="7"/>
      <c r="J26" s="7" t="s">
        <v>112</v>
      </c>
      <c r="K26" s="15"/>
      <c r="L26" s="7"/>
      <c r="M26" s="7"/>
    </row>
    <row r="27" ht="15.75" customHeight="1">
      <c r="A27" s="7"/>
      <c r="B27" s="15"/>
      <c r="C27" s="15"/>
      <c r="D27" s="15"/>
      <c r="E27" s="15"/>
      <c r="F27" s="7"/>
      <c r="G27" s="7"/>
      <c r="H27" s="7"/>
      <c r="I27" s="7"/>
      <c r="J27" s="7" t="s">
        <v>112</v>
      </c>
      <c r="K27" s="15"/>
      <c r="L27" s="7"/>
      <c r="M27" s="7"/>
    </row>
    <row r="28" ht="15.75" customHeight="1">
      <c r="A28" s="7"/>
      <c r="B28" s="15"/>
      <c r="C28" s="15"/>
      <c r="D28" s="15"/>
      <c r="E28" s="15"/>
      <c r="F28" s="7"/>
      <c r="G28" s="7"/>
      <c r="H28" s="7"/>
      <c r="I28" s="7"/>
      <c r="J28" s="7" t="s">
        <v>112</v>
      </c>
      <c r="K28" s="15"/>
      <c r="L28" s="7"/>
      <c r="M28" s="7"/>
    </row>
    <row r="29" ht="15.75" customHeight="1">
      <c r="A29" s="7"/>
      <c r="B29" s="15"/>
      <c r="C29" s="15"/>
      <c r="D29" s="15"/>
      <c r="E29" s="15"/>
      <c r="F29" s="7"/>
      <c r="G29" s="7"/>
      <c r="H29" s="7"/>
      <c r="I29" s="7"/>
      <c r="J29" s="7" t="s">
        <v>112</v>
      </c>
      <c r="K29" s="15"/>
      <c r="L29" s="7"/>
      <c r="M29" s="7"/>
    </row>
    <row r="30" ht="15.75" customHeight="1">
      <c r="A30" s="7"/>
      <c r="B30" s="15"/>
      <c r="C30" s="15"/>
      <c r="D30" s="15"/>
      <c r="E30" s="15"/>
      <c r="F30" s="7"/>
      <c r="G30" s="7"/>
      <c r="H30" s="7"/>
      <c r="I30" s="7"/>
      <c r="J30" s="7" t="s">
        <v>112</v>
      </c>
      <c r="K30" s="15"/>
      <c r="L30" s="7"/>
      <c r="M30" s="7"/>
    </row>
    <row r="31" ht="15.75" customHeight="1">
      <c r="A31" s="7"/>
      <c r="B31" s="15"/>
      <c r="C31" s="15"/>
      <c r="D31" s="15"/>
      <c r="E31" s="15"/>
      <c r="F31" s="7"/>
      <c r="G31" s="7"/>
      <c r="H31" s="7"/>
      <c r="I31" s="7"/>
      <c r="J31" s="7" t="s">
        <v>112</v>
      </c>
      <c r="K31" s="15"/>
      <c r="L31" s="7"/>
      <c r="M31" s="7"/>
    </row>
    <row r="32" ht="15.75" customHeight="1">
      <c r="A32" s="7"/>
      <c r="B32" s="15"/>
      <c r="C32" s="15"/>
      <c r="D32" s="15"/>
      <c r="E32" s="15"/>
      <c r="F32" s="7"/>
      <c r="G32" s="7"/>
      <c r="H32" s="7"/>
      <c r="I32" s="7"/>
      <c r="J32" s="7" t="s">
        <v>112</v>
      </c>
      <c r="K32" s="15"/>
      <c r="L32" s="7"/>
      <c r="M32" s="7"/>
    </row>
    <row r="33" ht="15.75" customHeight="1">
      <c r="A33" s="7"/>
      <c r="B33" s="15"/>
      <c r="C33" s="15"/>
      <c r="D33" s="15"/>
      <c r="E33" s="15"/>
      <c r="F33" s="7"/>
      <c r="G33" s="7"/>
      <c r="H33" s="7"/>
      <c r="I33" s="7"/>
      <c r="J33" s="7" t="s">
        <v>112</v>
      </c>
      <c r="K33" s="15"/>
      <c r="L33" s="7"/>
      <c r="M33" s="7"/>
    </row>
    <row r="34" ht="15.75" customHeight="1">
      <c r="A34" s="7"/>
      <c r="B34" s="15"/>
      <c r="C34" s="15"/>
      <c r="D34" s="15"/>
      <c r="E34" s="15"/>
      <c r="F34" s="7"/>
      <c r="G34" s="7"/>
      <c r="H34" s="7"/>
      <c r="I34" s="7"/>
      <c r="J34" s="7" t="s">
        <v>112</v>
      </c>
      <c r="K34" s="15"/>
      <c r="L34" s="7"/>
      <c r="M34" s="7"/>
    </row>
    <row r="35" ht="15.75" customHeight="1">
      <c r="A35" s="7"/>
      <c r="B35" s="15"/>
      <c r="C35" s="15"/>
      <c r="D35" s="15"/>
      <c r="E35" s="15"/>
      <c r="F35" s="7"/>
      <c r="G35" s="7"/>
      <c r="H35" s="7"/>
      <c r="I35" s="7"/>
      <c r="J35" s="7" t="s">
        <v>112</v>
      </c>
      <c r="K35" s="15"/>
      <c r="L35" s="7"/>
      <c r="M35" s="7"/>
    </row>
    <row r="36" ht="15.75" customHeight="1">
      <c r="A36" s="7"/>
      <c r="B36" s="15"/>
      <c r="C36" s="15"/>
      <c r="D36" s="15"/>
      <c r="E36" s="15"/>
      <c r="F36" s="7"/>
      <c r="G36" s="7"/>
      <c r="H36" s="7"/>
      <c r="I36" s="7"/>
      <c r="J36" s="7" t="s">
        <v>112</v>
      </c>
      <c r="K36" s="15"/>
      <c r="L36" s="7"/>
      <c r="M36" s="7"/>
    </row>
    <row r="37" ht="15.75" customHeight="1">
      <c r="A37" s="7"/>
      <c r="B37" s="15"/>
      <c r="C37" s="15"/>
      <c r="D37" s="15"/>
      <c r="E37" s="15"/>
      <c r="F37" s="7"/>
      <c r="G37" s="7"/>
      <c r="H37" s="7"/>
      <c r="I37" s="7"/>
      <c r="J37" s="7" t="s">
        <v>112</v>
      </c>
      <c r="K37" s="15"/>
      <c r="L37" s="7"/>
      <c r="M37" s="7"/>
    </row>
    <row r="38" ht="15.75" customHeight="1">
      <c r="A38" s="7"/>
      <c r="B38" s="15"/>
      <c r="C38" s="15"/>
      <c r="D38" s="15"/>
      <c r="E38" s="15"/>
      <c r="F38" s="7"/>
      <c r="G38" s="7"/>
      <c r="H38" s="7"/>
      <c r="I38" s="7"/>
      <c r="J38" s="7" t="s">
        <v>112</v>
      </c>
      <c r="K38" s="15"/>
      <c r="L38" s="7"/>
      <c r="M38" s="7"/>
    </row>
    <row r="39" ht="15.75" customHeight="1">
      <c r="A39" s="7"/>
      <c r="B39" s="15"/>
      <c r="C39" s="15"/>
      <c r="D39" s="15"/>
      <c r="E39" s="15"/>
      <c r="F39" s="7"/>
      <c r="G39" s="7"/>
      <c r="H39" s="7"/>
      <c r="I39" s="7"/>
      <c r="J39" s="7" t="s">
        <v>112</v>
      </c>
      <c r="K39" s="15"/>
      <c r="L39" s="7"/>
      <c r="M39" s="7"/>
    </row>
    <row r="40" ht="15.75" customHeight="1">
      <c r="A40" s="7"/>
      <c r="B40" s="15"/>
      <c r="C40" s="15"/>
      <c r="D40" s="15"/>
      <c r="E40" s="15"/>
      <c r="F40" s="7"/>
      <c r="G40" s="7"/>
      <c r="H40" s="7"/>
      <c r="I40" s="7"/>
      <c r="J40" s="7" t="s">
        <v>112</v>
      </c>
      <c r="K40" s="15"/>
      <c r="L40" s="7"/>
      <c r="M40" s="7"/>
    </row>
    <row r="41" ht="15.75" customHeight="1">
      <c r="A41" s="7"/>
      <c r="B41" s="15"/>
      <c r="C41" s="15"/>
      <c r="D41" s="15"/>
      <c r="E41" s="15"/>
      <c r="F41" s="7"/>
      <c r="G41" s="7"/>
      <c r="H41" s="7"/>
      <c r="I41" s="7"/>
      <c r="J41" s="7" t="s">
        <v>112</v>
      </c>
      <c r="K41" s="15"/>
      <c r="L41" s="7"/>
      <c r="M41" s="7"/>
    </row>
    <row r="42" ht="15.75" customHeight="1">
      <c r="A42" s="7"/>
      <c r="B42" s="15"/>
      <c r="C42" s="15"/>
      <c r="D42" s="15"/>
      <c r="E42" s="15"/>
      <c r="F42" s="7"/>
      <c r="G42" s="7"/>
      <c r="H42" s="7"/>
      <c r="I42" s="7"/>
      <c r="J42" s="7" t="s">
        <v>112</v>
      </c>
      <c r="K42" s="15"/>
      <c r="L42" s="7"/>
      <c r="M42" s="7"/>
    </row>
    <row r="43" ht="15.75" customHeight="1">
      <c r="A43" s="7"/>
      <c r="B43" s="15"/>
      <c r="C43" s="15"/>
      <c r="D43" s="15"/>
      <c r="E43" s="15"/>
      <c r="F43" s="7"/>
      <c r="G43" s="7"/>
      <c r="H43" s="7"/>
      <c r="I43" s="7"/>
      <c r="J43" s="7" t="s">
        <v>112</v>
      </c>
      <c r="K43" s="15"/>
      <c r="L43" s="7"/>
      <c r="M43" s="7"/>
    </row>
    <row r="44" ht="15.75" customHeight="1">
      <c r="A44" s="7"/>
      <c r="B44" s="15"/>
      <c r="C44" s="15"/>
      <c r="D44" s="15"/>
      <c r="E44" s="15"/>
      <c r="F44" s="7"/>
      <c r="G44" s="7"/>
      <c r="H44" s="7"/>
      <c r="I44" s="7"/>
      <c r="J44" s="7" t="s">
        <v>112</v>
      </c>
      <c r="K44" s="15"/>
      <c r="L44" s="7"/>
      <c r="M44" s="7"/>
    </row>
    <row r="45" ht="15.75" customHeight="1">
      <c r="A45" s="7"/>
      <c r="B45" s="15"/>
      <c r="C45" s="15"/>
      <c r="D45" s="15"/>
      <c r="E45" s="15"/>
      <c r="F45" s="7"/>
      <c r="G45" s="7"/>
      <c r="H45" s="7"/>
      <c r="I45" s="7"/>
      <c r="J45" s="7" t="s">
        <v>112</v>
      </c>
      <c r="K45" s="15"/>
      <c r="L45" s="7"/>
      <c r="M45" s="7"/>
    </row>
    <row r="46" ht="15.75" customHeight="1">
      <c r="A46" s="7"/>
      <c r="B46" s="15"/>
      <c r="C46" s="15"/>
      <c r="D46" s="15"/>
      <c r="E46" s="15"/>
      <c r="F46" s="7"/>
      <c r="G46" s="7"/>
      <c r="H46" s="7"/>
      <c r="I46" s="7"/>
      <c r="J46" s="7" t="s">
        <v>112</v>
      </c>
      <c r="K46" s="15"/>
      <c r="L46" s="7"/>
      <c r="M46" s="7"/>
    </row>
    <row r="47" ht="15.75" customHeight="1">
      <c r="A47" s="7"/>
      <c r="B47" s="15"/>
      <c r="C47" s="15"/>
      <c r="D47" s="15"/>
      <c r="E47" s="15"/>
      <c r="F47" s="7"/>
      <c r="G47" s="7"/>
      <c r="H47" s="7"/>
      <c r="I47" s="7"/>
      <c r="J47" s="7" t="s">
        <v>112</v>
      </c>
      <c r="K47" s="15"/>
      <c r="L47" s="7"/>
      <c r="M47" s="7"/>
    </row>
    <row r="48" ht="15.75" customHeight="1">
      <c r="A48" s="7"/>
      <c r="B48" s="15"/>
      <c r="C48" s="15"/>
      <c r="D48" s="15"/>
      <c r="E48" s="15"/>
      <c r="F48" s="7"/>
      <c r="G48" s="7"/>
      <c r="H48" s="7"/>
      <c r="I48" s="7"/>
      <c r="J48" s="7" t="s">
        <v>112</v>
      </c>
      <c r="K48" s="15"/>
      <c r="L48" s="7"/>
      <c r="M48" s="7"/>
    </row>
    <row r="49" ht="15.75" customHeight="1">
      <c r="A49" s="7"/>
      <c r="B49" s="15"/>
      <c r="C49" s="15"/>
      <c r="D49" s="15"/>
      <c r="E49" s="15"/>
      <c r="F49" s="7"/>
      <c r="G49" s="7"/>
      <c r="H49" s="7"/>
      <c r="I49" s="7"/>
      <c r="J49" s="7" t="s">
        <v>112</v>
      </c>
      <c r="K49" s="15"/>
      <c r="L49" s="7"/>
      <c r="M49" s="7"/>
    </row>
    <row r="50" ht="15.75" customHeight="1">
      <c r="A50" s="7"/>
      <c r="B50" s="15"/>
      <c r="C50" s="15"/>
      <c r="D50" s="15"/>
      <c r="E50" s="15"/>
      <c r="F50" s="7"/>
      <c r="G50" s="7"/>
      <c r="H50" s="7"/>
      <c r="I50" s="7"/>
      <c r="J50" s="7" t="s">
        <v>112</v>
      </c>
      <c r="K50" s="15"/>
      <c r="L50" s="7"/>
      <c r="M50" s="7"/>
    </row>
    <row r="51" ht="15.75" customHeight="1">
      <c r="A51" s="7"/>
      <c r="B51" s="15"/>
      <c r="C51" s="15"/>
      <c r="D51" s="15"/>
      <c r="E51" s="15"/>
      <c r="F51" s="7"/>
      <c r="G51" s="7"/>
      <c r="H51" s="7"/>
      <c r="I51" s="7"/>
      <c r="J51" s="7" t="s">
        <v>112</v>
      </c>
      <c r="K51" s="15"/>
      <c r="L51" s="7"/>
      <c r="M51" s="7"/>
    </row>
    <row r="52" ht="15.75" customHeight="1">
      <c r="A52" s="7"/>
      <c r="B52" s="15"/>
      <c r="C52" s="15"/>
      <c r="D52" s="15"/>
      <c r="E52" s="15"/>
      <c r="F52" s="7"/>
      <c r="G52" s="7"/>
      <c r="H52" s="7"/>
      <c r="I52" s="7"/>
      <c r="J52" s="7" t="s">
        <v>112</v>
      </c>
      <c r="K52" s="15"/>
      <c r="L52" s="7"/>
      <c r="M52" s="7"/>
    </row>
    <row r="53" ht="15.75" customHeight="1">
      <c r="A53" s="7"/>
      <c r="B53" s="15"/>
      <c r="C53" s="15"/>
      <c r="D53" s="15"/>
      <c r="E53" s="15"/>
      <c r="F53" s="7"/>
      <c r="G53" s="7"/>
      <c r="H53" s="7"/>
      <c r="I53" s="7"/>
      <c r="J53" s="7" t="s">
        <v>112</v>
      </c>
      <c r="K53" s="15"/>
      <c r="L53" s="7"/>
      <c r="M53" s="7"/>
    </row>
    <row r="54" ht="15.75" customHeight="1">
      <c r="A54" s="7"/>
      <c r="B54" s="15"/>
      <c r="C54" s="15"/>
      <c r="D54" s="15"/>
      <c r="E54" s="15"/>
      <c r="F54" s="7"/>
      <c r="G54" s="7"/>
      <c r="H54" s="7"/>
      <c r="I54" s="7"/>
      <c r="J54" s="7" t="s">
        <v>112</v>
      </c>
      <c r="K54" s="15"/>
      <c r="L54" s="7"/>
      <c r="M54" s="7"/>
    </row>
    <row r="55" ht="15.75" customHeight="1">
      <c r="A55" s="7"/>
      <c r="B55" s="15"/>
      <c r="C55" s="15"/>
      <c r="D55" s="15"/>
      <c r="E55" s="15"/>
      <c r="F55" s="7"/>
      <c r="G55" s="7"/>
      <c r="H55" s="7"/>
      <c r="I55" s="7"/>
      <c r="J55" s="7" t="s">
        <v>112</v>
      </c>
      <c r="K55" s="15"/>
      <c r="L55" s="7"/>
      <c r="M55" s="7"/>
    </row>
    <row r="56" ht="15.75" customHeight="1">
      <c r="A56" s="7"/>
      <c r="B56" s="15"/>
      <c r="C56" s="15"/>
      <c r="D56" s="15"/>
      <c r="E56" s="15"/>
      <c r="F56" s="7"/>
      <c r="G56" s="7"/>
      <c r="H56" s="7"/>
      <c r="I56" s="7"/>
      <c r="J56" s="7" t="s">
        <v>112</v>
      </c>
      <c r="K56" s="15"/>
      <c r="L56" s="7"/>
      <c r="M56" s="7"/>
    </row>
    <row r="57" ht="15.75" customHeight="1">
      <c r="A57" s="7"/>
      <c r="B57" s="15"/>
      <c r="C57" s="15"/>
      <c r="D57" s="15"/>
      <c r="E57" s="15"/>
      <c r="F57" s="7"/>
      <c r="G57" s="7"/>
      <c r="H57" s="7"/>
      <c r="I57" s="7"/>
      <c r="J57" s="7" t="s">
        <v>112</v>
      </c>
      <c r="K57" s="15"/>
      <c r="L57" s="7"/>
      <c r="M57" s="7"/>
    </row>
    <row r="58" ht="15.75" customHeight="1">
      <c r="A58" s="7"/>
      <c r="B58" s="15"/>
      <c r="C58" s="15"/>
      <c r="D58" s="15"/>
      <c r="E58" s="15"/>
      <c r="F58" s="7"/>
      <c r="G58" s="7"/>
      <c r="H58" s="7"/>
      <c r="I58" s="7"/>
      <c r="J58" s="7" t="s">
        <v>112</v>
      </c>
      <c r="K58" s="15"/>
      <c r="L58" s="7"/>
      <c r="M58" s="7"/>
    </row>
    <row r="59" ht="15.75" customHeight="1">
      <c r="A59" s="7"/>
      <c r="B59" s="15"/>
      <c r="C59" s="15"/>
      <c r="D59" s="15"/>
      <c r="E59" s="15"/>
      <c r="F59" s="7"/>
      <c r="G59" s="7"/>
      <c r="H59" s="7"/>
      <c r="I59" s="7"/>
      <c r="J59" s="7" t="s">
        <v>112</v>
      </c>
      <c r="K59" s="15"/>
      <c r="L59" s="7"/>
      <c r="M59" s="7"/>
    </row>
    <row r="60" ht="15.75" customHeight="1">
      <c r="A60" s="7"/>
      <c r="B60" s="15"/>
      <c r="C60" s="15"/>
      <c r="D60" s="15"/>
      <c r="E60" s="15"/>
      <c r="F60" s="7"/>
      <c r="G60" s="7"/>
      <c r="H60" s="7"/>
      <c r="I60" s="7"/>
      <c r="J60" s="7" t="s">
        <v>112</v>
      </c>
      <c r="K60" s="15"/>
      <c r="L60" s="7"/>
      <c r="M60" s="7"/>
    </row>
    <row r="61" ht="15.75" customHeight="1">
      <c r="A61" s="7"/>
      <c r="B61" s="15"/>
      <c r="C61" s="15"/>
      <c r="D61" s="15"/>
      <c r="E61" s="15"/>
      <c r="F61" s="7"/>
      <c r="G61" s="7"/>
      <c r="H61" s="7"/>
      <c r="I61" s="7"/>
      <c r="J61" s="7" t="s">
        <v>112</v>
      </c>
      <c r="K61" s="15"/>
      <c r="L61" s="7"/>
      <c r="M61" s="7"/>
    </row>
    <row r="62" ht="15.75" customHeight="1">
      <c r="A62" s="7"/>
      <c r="B62" s="15"/>
      <c r="C62" s="15"/>
      <c r="D62" s="15"/>
      <c r="E62" s="15"/>
      <c r="F62" s="7"/>
      <c r="G62" s="7"/>
      <c r="H62" s="7"/>
      <c r="I62" s="7"/>
      <c r="J62" s="7" t="s">
        <v>112</v>
      </c>
      <c r="K62" s="15"/>
      <c r="L62" s="7"/>
      <c r="M62" s="7"/>
    </row>
    <row r="63" ht="15.75" customHeight="1">
      <c r="A63" s="7"/>
      <c r="B63" s="15"/>
      <c r="C63" s="15"/>
      <c r="D63" s="15"/>
      <c r="E63" s="15"/>
      <c r="F63" s="7"/>
      <c r="G63" s="7"/>
      <c r="H63" s="7"/>
      <c r="I63" s="7"/>
      <c r="J63" s="7" t="s">
        <v>112</v>
      </c>
      <c r="K63" s="15"/>
      <c r="L63" s="7"/>
      <c r="M63" s="7"/>
    </row>
    <row r="64" ht="15.75" customHeight="1">
      <c r="A64" s="7"/>
      <c r="B64" s="15"/>
      <c r="C64" s="15"/>
      <c r="D64" s="15"/>
      <c r="E64" s="15"/>
      <c r="F64" s="7"/>
      <c r="G64" s="7"/>
      <c r="H64" s="7"/>
      <c r="I64" s="7"/>
      <c r="J64" s="7" t="s">
        <v>112</v>
      </c>
      <c r="K64" s="15"/>
      <c r="L64" s="7"/>
      <c r="M64" s="7"/>
    </row>
    <row r="65" ht="15.75" customHeight="1">
      <c r="A65" s="7"/>
      <c r="B65" s="15"/>
      <c r="C65" s="15"/>
      <c r="D65" s="15"/>
      <c r="E65" s="15"/>
      <c r="F65" s="7"/>
      <c r="G65" s="7"/>
      <c r="H65" s="7"/>
      <c r="I65" s="7"/>
      <c r="J65" s="7" t="s">
        <v>112</v>
      </c>
      <c r="K65" s="15"/>
      <c r="L65" s="7"/>
      <c r="M65" s="7"/>
    </row>
    <row r="66" ht="15.75" customHeight="1">
      <c r="A66" s="7"/>
      <c r="B66" s="15"/>
      <c r="C66" s="15"/>
      <c r="D66" s="15"/>
      <c r="E66" s="15"/>
      <c r="F66" s="7"/>
      <c r="G66" s="7"/>
      <c r="H66" s="7"/>
      <c r="I66" s="7"/>
      <c r="J66" s="7" t="s">
        <v>112</v>
      </c>
      <c r="K66" s="15"/>
      <c r="L66" s="7"/>
      <c r="M66" s="7"/>
    </row>
    <row r="67" ht="15.75" customHeight="1">
      <c r="A67" s="7"/>
      <c r="B67" s="15"/>
      <c r="C67" s="15"/>
      <c r="D67" s="15"/>
      <c r="E67" s="15"/>
      <c r="F67" s="7"/>
      <c r="G67" s="7"/>
      <c r="H67" s="7"/>
      <c r="I67" s="7"/>
      <c r="J67" s="7" t="s">
        <v>112</v>
      </c>
      <c r="K67" s="15"/>
      <c r="L67" s="7"/>
      <c r="M67" s="7"/>
    </row>
    <row r="68" ht="15.75" customHeight="1">
      <c r="A68" s="7"/>
      <c r="B68" s="15"/>
      <c r="C68" s="15"/>
      <c r="D68" s="15"/>
      <c r="E68" s="15"/>
      <c r="F68" s="7"/>
      <c r="G68" s="7"/>
      <c r="H68" s="7"/>
      <c r="I68" s="7"/>
      <c r="J68" s="7" t="s">
        <v>112</v>
      </c>
      <c r="K68" s="15"/>
      <c r="L68" s="7"/>
      <c r="M68" s="7"/>
    </row>
    <row r="69" ht="15.75" customHeight="1">
      <c r="A69" s="7"/>
      <c r="B69" s="15"/>
      <c r="C69" s="15"/>
      <c r="D69" s="15"/>
      <c r="E69" s="15"/>
      <c r="F69" s="7"/>
      <c r="G69" s="7"/>
      <c r="H69" s="7"/>
      <c r="I69" s="7"/>
      <c r="J69" s="7" t="s">
        <v>112</v>
      </c>
      <c r="K69" s="15"/>
      <c r="L69" s="7"/>
      <c r="M69" s="7"/>
    </row>
    <row r="70" ht="15.75" customHeight="1">
      <c r="A70" s="7"/>
      <c r="B70" s="15"/>
      <c r="C70" s="15"/>
      <c r="D70" s="15"/>
      <c r="E70" s="15"/>
      <c r="F70" s="7"/>
      <c r="G70" s="7"/>
      <c r="H70" s="7"/>
      <c r="I70" s="7"/>
      <c r="J70" s="7" t="s">
        <v>112</v>
      </c>
      <c r="K70" s="15"/>
      <c r="L70" s="7"/>
      <c r="M70" s="7"/>
    </row>
    <row r="71" ht="15.75" customHeight="1">
      <c r="A71" s="7"/>
      <c r="B71" s="15"/>
      <c r="C71" s="15"/>
      <c r="D71" s="15"/>
      <c r="E71" s="15"/>
      <c r="F71" s="7"/>
      <c r="G71" s="7"/>
      <c r="H71" s="7"/>
      <c r="I71" s="7"/>
      <c r="J71" s="7" t="s">
        <v>112</v>
      </c>
      <c r="K71" s="15"/>
      <c r="L71" s="7"/>
      <c r="M71" s="7"/>
    </row>
    <row r="72" ht="15.75" customHeight="1">
      <c r="A72" s="7"/>
      <c r="B72" s="15"/>
      <c r="C72" s="15"/>
      <c r="D72" s="15"/>
      <c r="E72" s="15"/>
      <c r="F72" s="7"/>
      <c r="G72" s="7"/>
      <c r="H72" s="7"/>
      <c r="I72" s="7"/>
      <c r="J72" s="7" t="s">
        <v>112</v>
      </c>
      <c r="K72" s="15"/>
      <c r="L72" s="7"/>
      <c r="M72" s="7"/>
    </row>
    <row r="73" ht="15.75" customHeight="1">
      <c r="A73" s="7"/>
      <c r="B73" s="15"/>
      <c r="C73" s="15"/>
      <c r="D73" s="15"/>
      <c r="E73" s="15"/>
      <c r="F73" s="7"/>
      <c r="G73" s="7"/>
      <c r="H73" s="7"/>
      <c r="I73" s="7"/>
      <c r="J73" s="7" t="s">
        <v>112</v>
      </c>
      <c r="K73" s="15"/>
      <c r="L73" s="7"/>
      <c r="M73" s="7"/>
    </row>
    <row r="74" ht="15.75" customHeight="1">
      <c r="A74" s="7"/>
      <c r="B74" s="15"/>
      <c r="C74" s="15"/>
      <c r="D74" s="15"/>
      <c r="E74" s="15"/>
      <c r="F74" s="7"/>
      <c r="G74" s="7"/>
      <c r="H74" s="7"/>
      <c r="I74" s="7"/>
      <c r="J74" s="7" t="s">
        <v>112</v>
      </c>
      <c r="K74" s="15"/>
      <c r="L74" s="7"/>
      <c r="M74" s="7"/>
    </row>
    <row r="75" ht="15.75" customHeight="1">
      <c r="A75" s="7"/>
      <c r="B75" s="15"/>
      <c r="C75" s="15"/>
      <c r="D75" s="15"/>
      <c r="E75" s="15"/>
      <c r="F75" s="7"/>
      <c r="G75" s="7"/>
      <c r="H75" s="7"/>
      <c r="I75" s="7"/>
      <c r="J75" s="7" t="s">
        <v>112</v>
      </c>
      <c r="K75" s="15"/>
      <c r="L75" s="7"/>
      <c r="M75" s="7"/>
    </row>
    <row r="76" ht="15.75" customHeight="1">
      <c r="A76" s="7"/>
      <c r="B76" s="15"/>
      <c r="C76" s="15"/>
      <c r="D76" s="15"/>
      <c r="E76" s="15"/>
      <c r="F76" s="7"/>
      <c r="G76" s="7"/>
      <c r="H76" s="7"/>
      <c r="I76" s="7"/>
      <c r="J76" s="7" t="s">
        <v>112</v>
      </c>
      <c r="K76" s="15"/>
      <c r="L76" s="7"/>
      <c r="M76" s="7"/>
    </row>
    <row r="77" ht="15.75" customHeight="1">
      <c r="A77" s="7"/>
      <c r="B77" s="15"/>
      <c r="C77" s="15"/>
      <c r="D77" s="15"/>
      <c r="E77" s="15"/>
      <c r="F77" s="7"/>
      <c r="G77" s="7"/>
      <c r="H77" s="7"/>
      <c r="I77" s="7"/>
      <c r="J77" s="7" t="s">
        <v>112</v>
      </c>
      <c r="K77" s="15"/>
      <c r="L77" s="7"/>
      <c r="M77" s="7"/>
    </row>
    <row r="78" ht="15.75" customHeight="1">
      <c r="A78" s="7"/>
      <c r="B78" s="15"/>
      <c r="C78" s="15"/>
      <c r="D78" s="15"/>
      <c r="E78" s="15"/>
      <c r="F78" s="7"/>
      <c r="G78" s="7"/>
      <c r="H78" s="7"/>
      <c r="I78" s="7"/>
      <c r="J78" s="7" t="s">
        <v>112</v>
      </c>
      <c r="K78" s="15"/>
      <c r="L78" s="7"/>
      <c r="M78" s="7"/>
    </row>
    <row r="79" ht="15.75" customHeight="1">
      <c r="A79" s="7"/>
      <c r="B79" s="15"/>
      <c r="C79" s="15"/>
      <c r="D79" s="15"/>
      <c r="E79" s="15"/>
      <c r="F79" s="7"/>
      <c r="G79" s="7"/>
      <c r="H79" s="7"/>
      <c r="I79" s="7"/>
      <c r="J79" s="7" t="s">
        <v>112</v>
      </c>
      <c r="K79" s="15"/>
      <c r="L79" s="7"/>
      <c r="M79" s="7"/>
    </row>
    <row r="80" ht="15.75" customHeight="1">
      <c r="A80" s="7"/>
      <c r="B80" s="15"/>
      <c r="C80" s="15"/>
      <c r="D80" s="15"/>
      <c r="E80" s="15"/>
      <c r="F80" s="7"/>
      <c r="G80" s="7"/>
      <c r="H80" s="7"/>
      <c r="I80" s="7"/>
      <c r="J80" s="7" t="s">
        <v>112</v>
      </c>
      <c r="K80" s="15"/>
      <c r="L80" s="7"/>
      <c r="M80" s="7"/>
    </row>
    <row r="81" ht="15.75" customHeight="1">
      <c r="A81" s="7"/>
      <c r="B81" s="15"/>
      <c r="C81" s="15"/>
      <c r="D81" s="15"/>
      <c r="E81" s="15"/>
      <c r="F81" s="7"/>
      <c r="G81" s="7"/>
      <c r="H81" s="7"/>
      <c r="I81" s="7"/>
      <c r="J81" s="7" t="s">
        <v>112</v>
      </c>
      <c r="K81" s="15"/>
      <c r="L81" s="7"/>
      <c r="M81" s="7"/>
    </row>
    <row r="82" ht="15.75" customHeight="1">
      <c r="A82" s="7"/>
      <c r="B82" s="15"/>
      <c r="C82" s="15"/>
      <c r="D82" s="15"/>
      <c r="E82" s="15"/>
      <c r="F82" s="7"/>
      <c r="G82" s="7"/>
      <c r="H82" s="7"/>
      <c r="I82" s="7"/>
      <c r="J82" s="7" t="s">
        <v>112</v>
      </c>
      <c r="K82" s="15"/>
      <c r="L82" s="7"/>
      <c r="M82" s="7"/>
    </row>
    <row r="83" ht="15.75" customHeight="1">
      <c r="A83" s="7"/>
      <c r="B83" s="15"/>
      <c r="C83" s="15"/>
      <c r="D83" s="15"/>
      <c r="E83" s="15"/>
      <c r="F83" s="7"/>
      <c r="G83" s="7"/>
      <c r="H83" s="7"/>
      <c r="I83" s="7"/>
      <c r="J83" s="7" t="s">
        <v>112</v>
      </c>
      <c r="K83" s="15"/>
      <c r="L83" s="7"/>
      <c r="M83" s="7"/>
    </row>
    <row r="84" ht="15.75" customHeight="1">
      <c r="A84" s="7"/>
      <c r="B84" s="15"/>
      <c r="C84" s="15"/>
      <c r="D84" s="15"/>
      <c r="E84" s="15"/>
      <c r="F84" s="7"/>
      <c r="G84" s="7"/>
      <c r="H84" s="7"/>
      <c r="I84" s="7"/>
      <c r="J84" s="7" t="s">
        <v>112</v>
      </c>
      <c r="K84" s="15"/>
      <c r="L84" s="7"/>
      <c r="M84" s="7"/>
    </row>
    <row r="85" ht="15.75" customHeight="1">
      <c r="A85" s="7"/>
      <c r="B85" s="15"/>
      <c r="C85" s="15"/>
      <c r="D85" s="15"/>
      <c r="E85" s="15"/>
      <c r="F85" s="7"/>
      <c r="G85" s="7"/>
      <c r="H85" s="7"/>
      <c r="I85" s="7"/>
      <c r="J85" s="7" t="s">
        <v>112</v>
      </c>
      <c r="K85" s="15"/>
      <c r="L85" s="7"/>
      <c r="M85" s="7"/>
    </row>
    <row r="86" ht="15.75" customHeight="1">
      <c r="A86" s="7"/>
      <c r="B86" s="15"/>
      <c r="C86" s="15"/>
      <c r="D86" s="15"/>
      <c r="E86" s="15"/>
      <c r="F86" s="7"/>
      <c r="G86" s="7"/>
      <c r="H86" s="7"/>
      <c r="I86" s="7"/>
      <c r="J86" s="7" t="s">
        <v>112</v>
      </c>
      <c r="K86" s="15"/>
      <c r="L86" s="7"/>
      <c r="M86" s="7"/>
    </row>
    <row r="87" ht="15.75" customHeight="1">
      <c r="A87" s="7"/>
      <c r="B87" s="15"/>
      <c r="C87" s="15"/>
      <c r="D87" s="15"/>
      <c r="E87" s="15"/>
      <c r="F87" s="7"/>
      <c r="G87" s="7"/>
      <c r="H87" s="7"/>
      <c r="I87" s="7"/>
      <c r="J87" s="7" t="s">
        <v>112</v>
      </c>
      <c r="K87" s="15"/>
      <c r="L87" s="7"/>
      <c r="M87" s="7"/>
    </row>
    <row r="88" ht="15.75" customHeight="1">
      <c r="A88" s="7"/>
      <c r="B88" s="15"/>
      <c r="C88" s="15"/>
      <c r="D88" s="15"/>
      <c r="E88" s="15"/>
      <c r="F88" s="7"/>
      <c r="G88" s="7"/>
      <c r="H88" s="7"/>
      <c r="I88" s="7"/>
      <c r="J88" s="7" t="s">
        <v>112</v>
      </c>
      <c r="K88" s="15"/>
      <c r="L88" s="7"/>
      <c r="M88" s="7"/>
    </row>
    <row r="89" ht="15.75" customHeight="1">
      <c r="A89" s="7"/>
      <c r="B89" s="15"/>
      <c r="C89" s="15"/>
      <c r="D89" s="15"/>
      <c r="E89" s="15"/>
      <c r="F89" s="7"/>
      <c r="G89" s="7"/>
      <c r="H89" s="7"/>
      <c r="I89" s="7"/>
      <c r="J89" s="7" t="s">
        <v>112</v>
      </c>
      <c r="K89" s="15"/>
      <c r="L89" s="7"/>
      <c r="M89" s="7"/>
    </row>
    <row r="90" ht="15.75" customHeight="1">
      <c r="A90" s="7"/>
      <c r="B90" s="15"/>
      <c r="C90" s="15"/>
      <c r="D90" s="15"/>
      <c r="E90" s="15"/>
      <c r="F90" s="7"/>
      <c r="G90" s="7"/>
      <c r="H90" s="7"/>
      <c r="I90" s="7"/>
      <c r="J90" s="7" t="s">
        <v>112</v>
      </c>
      <c r="K90" s="15"/>
      <c r="L90" s="7"/>
      <c r="M90" s="7"/>
    </row>
    <row r="91" ht="15.75" customHeight="1">
      <c r="A91" s="7"/>
      <c r="B91" s="15"/>
      <c r="C91" s="15"/>
      <c r="D91" s="15"/>
      <c r="E91" s="15"/>
      <c r="F91" s="7"/>
      <c r="G91" s="7"/>
      <c r="H91" s="7"/>
      <c r="I91" s="7"/>
      <c r="J91" s="7" t="s">
        <v>112</v>
      </c>
      <c r="K91" s="15"/>
      <c r="L91" s="7"/>
      <c r="M91" s="7"/>
    </row>
    <row r="92" ht="15.75" customHeight="1">
      <c r="A92" s="7"/>
      <c r="B92" s="15"/>
      <c r="C92" s="15"/>
      <c r="D92" s="15"/>
      <c r="E92" s="15"/>
      <c r="F92" s="7"/>
      <c r="G92" s="7"/>
      <c r="H92" s="7"/>
      <c r="I92" s="7"/>
      <c r="J92" s="7" t="s">
        <v>112</v>
      </c>
      <c r="K92" s="15"/>
      <c r="L92" s="7"/>
      <c r="M92" s="7"/>
    </row>
    <row r="93" ht="15.75" customHeight="1">
      <c r="A93" s="7"/>
      <c r="B93" s="15"/>
      <c r="C93" s="15"/>
      <c r="D93" s="15"/>
      <c r="E93" s="15"/>
      <c r="F93" s="7"/>
      <c r="G93" s="7"/>
      <c r="H93" s="7"/>
      <c r="I93" s="7"/>
      <c r="J93" s="7" t="s">
        <v>112</v>
      </c>
      <c r="K93" s="15"/>
      <c r="L93" s="7"/>
      <c r="M93" s="7"/>
    </row>
    <row r="94" ht="15.75" customHeight="1">
      <c r="A94" s="7"/>
      <c r="B94" s="15"/>
      <c r="C94" s="15"/>
      <c r="D94" s="15"/>
      <c r="E94" s="15"/>
      <c r="F94" s="7"/>
      <c r="G94" s="7"/>
      <c r="H94" s="7"/>
      <c r="I94" s="7"/>
      <c r="J94" s="7" t="s">
        <v>112</v>
      </c>
      <c r="K94" s="15"/>
      <c r="L94" s="7"/>
      <c r="M94" s="7"/>
    </row>
    <row r="95" ht="15.75" customHeight="1">
      <c r="A95" s="7"/>
      <c r="B95" s="15"/>
      <c r="C95" s="15"/>
      <c r="D95" s="15"/>
      <c r="E95" s="15"/>
      <c r="F95" s="7"/>
      <c r="G95" s="7"/>
      <c r="H95" s="7"/>
      <c r="I95" s="7"/>
      <c r="J95" s="7" t="s">
        <v>112</v>
      </c>
      <c r="K95" s="15"/>
      <c r="L95" s="7"/>
      <c r="M95" s="7"/>
    </row>
    <row r="96" ht="15.75" customHeight="1">
      <c r="A96" s="7"/>
      <c r="B96" s="15"/>
      <c r="C96" s="15"/>
      <c r="D96" s="15"/>
      <c r="E96" s="15"/>
      <c r="F96" s="7"/>
      <c r="G96" s="7"/>
      <c r="H96" s="7"/>
      <c r="I96" s="7"/>
      <c r="J96" s="7" t="s">
        <v>112</v>
      </c>
      <c r="K96" s="15"/>
      <c r="L96" s="7"/>
      <c r="M96" s="7"/>
    </row>
    <row r="97" ht="15.75" customHeight="1">
      <c r="A97" s="7"/>
      <c r="B97" s="15"/>
      <c r="C97" s="15"/>
      <c r="D97" s="15"/>
      <c r="E97" s="15"/>
      <c r="F97" s="7"/>
      <c r="G97" s="7"/>
      <c r="H97" s="7"/>
      <c r="I97" s="7"/>
      <c r="J97" s="7" t="s">
        <v>112</v>
      </c>
      <c r="K97" s="15"/>
      <c r="L97" s="7"/>
      <c r="M97" s="7"/>
    </row>
    <row r="98" ht="15.75" customHeight="1">
      <c r="A98" s="7"/>
      <c r="B98" s="15"/>
      <c r="C98" s="15"/>
      <c r="D98" s="15"/>
      <c r="E98" s="15"/>
      <c r="F98" s="7"/>
      <c r="G98" s="7"/>
      <c r="H98" s="7"/>
      <c r="I98" s="7"/>
      <c r="J98" s="7" t="s">
        <v>112</v>
      </c>
      <c r="K98" s="15"/>
      <c r="L98" s="7"/>
      <c r="M98" s="7"/>
    </row>
    <row r="99" ht="15.75" customHeight="1">
      <c r="A99" s="7"/>
      <c r="B99" s="15"/>
      <c r="C99" s="15"/>
      <c r="D99" s="15"/>
      <c r="E99" s="15"/>
      <c r="F99" s="7"/>
      <c r="G99" s="7"/>
      <c r="H99" s="7"/>
      <c r="I99" s="7"/>
      <c r="J99" s="7" t="s">
        <v>112</v>
      </c>
      <c r="K99" s="15"/>
      <c r="L99" s="7"/>
      <c r="M99" s="7"/>
    </row>
    <row r="100" ht="15.75" customHeight="1">
      <c r="A100" s="7"/>
      <c r="B100" s="15"/>
      <c r="C100" s="15"/>
      <c r="D100" s="15"/>
      <c r="E100" s="15"/>
      <c r="F100" s="7"/>
      <c r="G100" s="7"/>
      <c r="H100" s="7"/>
      <c r="I100" s="7"/>
      <c r="J100" s="7" t="s">
        <v>112</v>
      </c>
      <c r="K100" s="15"/>
      <c r="L100" s="7"/>
      <c r="M100" s="7"/>
    </row>
    <row r="101" ht="15.75" customHeight="1">
      <c r="A101" s="7"/>
      <c r="B101" s="15"/>
      <c r="C101" s="15"/>
      <c r="D101" s="15"/>
      <c r="E101" s="15"/>
      <c r="F101" s="7"/>
      <c r="G101" s="7"/>
      <c r="H101" s="7"/>
      <c r="I101" s="7"/>
      <c r="J101" s="7" t="s">
        <v>112</v>
      </c>
      <c r="K101" s="15"/>
      <c r="L101" s="7"/>
      <c r="M101" s="7"/>
    </row>
    <row r="102" ht="15.75" customHeight="1">
      <c r="A102" s="7"/>
      <c r="B102" s="15"/>
      <c r="C102" s="15"/>
      <c r="D102" s="15"/>
      <c r="E102" s="15"/>
      <c r="F102" s="7"/>
      <c r="G102" s="7"/>
      <c r="H102" s="7"/>
      <c r="I102" s="7"/>
      <c r="J102" s="7" t="s">
        <v>112</v>
      </c>
      <c r="K102" s="15"/>
      <c r="L102" s="7"/>
      <c r="M102" s="7"/>
    </row>
    <row r="103" ht="15.75" customHeight="1">
      <c r="A103" s="7"/>
      <c r="B103" s="15"/>
      <c r="C103" s="15"/>
      <c r="D103" s="15"/>
      <c r="E103" s="15"/>
      <c r="F103" s="7"/>
      <c r="G103" s="7"/>
      <c r="H103" s="7"/>
      <c r="I103" s="7"/>
      <c r="J103" s="7" t="s">
        <v>112</v>
      </c>
      <c r="K103" s="15"/>
      <c r="L103" s="7"/>
      <c r="M103" s="7"/>
    </row>
    <row r="104" ht="15.75" customHeight="1">
      <c r="A104" s="7"/>
      <c r="B104" s="15"/>
      <c r="C104" s="15"/>
      <c r="D104" s="15"/>
      <c r="E104" s="15"/>
      <c r="F104" s="7"/>
      <c r="G104" s="7"/>
      <c r="H104" s="7"/>
      <c r="I104" s="7"/>
      <c r="J104" s="7" t="s">
        <v>112</v>
      </c>
      <c r="K104" s="15"/>
      <c r="L104" s="7"/>
      <c r="M104" s="7"/>
    </row>
    <row r="105" ht="15.75" customHeight="1">
      <c r="A105" s="7"/>
      <c r="B105" s="15"/>
      <c r="C105" s="15"/>
      <c r="D105" s="15"/>
      <c r="E105" s="15"/>
      <c r="F105" s="7"/>
      <c r="G105" s="7"/>
      <c r="H105" s="7"/>
      <c r="I105" s="7"/>
      <c r="J105" s="7" t="s">
        <v>112</v>
      </c>
      <c r="K105" s="15"/>
      <c r="L105" s="7"/>
      <c r="M105" s="7"/>
    </row>
    <row r="106" ht="15.75" customHeight="1">
      <c r="A106" s="7"/>
      <c r="B106" s="15"/>
      <c r="C106" s="15"/>
      <c r="D106" s="15"/>
      <c r="E106" s="15"/>
      <c r="F106" s="7"/>
      <c r="G106" s="7"/>
      <c r="H106" s="7"/>
      <c r="I106" s="7"/>
      <c r="J106" s="7" t="s">
        <v>112</v>
      </c>
      <c r="K106" s="15"/>
      <c r="L106" s="7"/>
      <c r="M106" s="7"/>
    </row>
    <row r="107" ht="15.75" customHeight="1">
      <c r="A107" s="7"/>
      <c r="B107" s="15"/>
      <c r="C107" s="15"/>
      <c r="D107" s="15"/>
      <c r="E107" s="15"/>
      <c r="F107" s="7"/>
      <c r="G107" s="7"/>
      <c r="H107" s="7"/>
      <c r="I107" s="7"/>
      <c r="J107" s="7" t="s">
        <v>112</v>
      </c>
      <c r="K107" s="15"/>
      <c r="L107" s="7"/>
      <c r="M107" s="7"/>
    </row>
    <row r="108" ht="15.75" customHeight="1">
      <c r="A108" s="7"/>
      <c r="B108" s="15"/>
      <c r="C108" s="15"/>
      <c r="D108" s="15"/>
      <c r="E108" s="15"/>
      <c r="F108" s="7"/>
      <c r="G108" s="7"/>
      <c r="H108" s="7"/>
      <c r="I108" s="7"/>
      <c r="J108" s="7" t="s">
        <v>112</v>
      </c>
      <c r="K108" s="15"/>
      <c r="L108" s="7"/>
      <c r="M108" s="7"/>
    </row>
    <row r="109" ht="15.75" customHeight="1">
      <c r="A109" s="7"/>
      <c r="B109" s="15"/>
      <c r="C109" s="15"/>
      <c r="D109" s="15"/>
      <c r="E109" s="15"/>
      <c r="F109" s="7"/>
      <c r="G109" s="7"/>
      <c r="H109" s="7"/>
      <c r="I109" s="7"/>
      <c r="J109" s="7" t="s">
        <v>112</v>
      </c>
      <c r="K109" s="15"/>
      <c r="L109" s="7"/>
      <c r="M109" s="7"/>
    </row>
    <row r="110" ht="15.75" customHeight="1">
      <c r="A110" s="7"/>
      <c r="B110" s="15"/>
      <c r="C110" s="15"/>
      <c r="D110" s="15"/>
      <c r="E110" s="15"/>
      <c r="F110" s="7"/>
      <c r="G110" s="7"/>
      <c r="H110" s="7"/>
      <c r="I110" s="7"/>
      <c r="J110" s="7" t="s">
        <v>112</v>
      </c>
      <c r="K110" s="15"/>
      <c r="L110" s="7"/>
      <c r="M110" s="7"/>
    </row>
    <row r="111" ht="15.75" customHeight="1">
      <c r="A111" s="7"/>
      <c r="B111" s="15"/>
      <c r="C111" s="15"/>
      <c r="D111" s="15"/>
      <c r="E111" s="15"/>
      <c r="F111" s="7"/>
      <c r="G111" s="7"/>
      <c r="H111" s="7"/>
      <c r="I111" s="7"/>
      <c r="J111" s="7" t="s">
        <v>112</v>
      </c>
      <c r="K111" s="15"/>
      <c r="L111" s="7"/>
      <c r="M111" s="7"/>
    </row>
    <row r="112" ht="15.75" customHeight="1">
      <c r="A112" s="7"/>
      <c r="B112" s="15"/>
      <c r="C112" s="15"/>
      <c r="D112" s="15"/>
      <c r="E112" s="15"/>
      <c r="F112" s="7"/>
      <c r="G112" s="7"/>
      <c r="H112" s="7"/>
      <c r="I112" s="7"/>
      <c r="J112" s="7" t="s">
        <v>112</v>
      </c>
      <c r="K112" s="15"/>
      <c r="L112" s="7"/>
      <c r="M112" s="7"/>
    </row>
    <row r="113" ht="15.75" customHeight="1">
      <c r="A113" s="7"/>
      <c r="B113" s="15"/>
      <c r="C113" s="15"/>
      <c r="D113" s="15"/>
      <c r="E113" s="15"/>
      <c r="F113" s="7"/>
      <c r="G113" s="7"/>
      <c r="H113" s="7"/>
      <c r="I113" s="7"/>
      <c r="J113" s="7" t="s">
        <v>112</v>
      </c>
      <c r="K113" s="15"/>
      <c r="L113" s="7"/>
      <c r="M113" s="7"/>
    </row>
    <row r="114" ht="15.75" customHeight="1">
      <c r="A114" s="7"/>
      <c r="B114" s="15"/>
      <c r="C114" s="15"/>
      <c r="D114" s="15"/>
      <c r="E114" s="15"/>
      <c r="F114" s="7"/>
      <c r="G114" s="7"/>
      <c r="H114" s="7"/>
      <c r="I114" s="7"/>
      <c r="J114" s="7" t="s">
        <v>112</v>
      </c>
      <c r="K114" s="15"/>
      <c r="L114" s="7"/>
      <c r="M114" s="7"/>
    </row>
    <row r="115" ht="15.75" customHeight="1">
      <c r="A115" s="7"/>
      <c r="B115" s="15"/>
      <c r="C115" s="15"/>
      <c r="D115" s="15"/>
      <c r="E115" s="15"/>
      <c r="F115" s="7"/>
      <c r="G115" s="7"/>
      <c r="H115" s="7"/>
      <c r="I115" s="7"/>
      <c r="J115" s="7" t="s">
        <v>112</v>
      </c>
      <c r="K115" s="15"/>
      <c r="L115" s="7"/>
      <c r="M115" s="7"/>
    </row>
    <row r="116" ht="15.75" customHeight="1">
      <c r="A116" s="7"/>
      <c r="B116" s="15"/>
      <c r="C116" s="15"/>
      <c r="D116" s="15"/>
      <c r="E116" s="15"/>
      <c r="F116" s="7"/>
      <c r="G116" s="7"/>
      <c r="H116" s="7"/>
      <c r="I116" s="7"/>
      <c r="J116" s="7" t="s">
        <v>112</v>
      </c>
      <c r="K116" s="15"/>
      <c r="L116" s="7"/>
      <c r="M116" s="7"/>
    </row>
    <row r="117" ht="15.75" customHeight="1">
      <c r="A117" s="7"/>
      <c r="B117" s="15"/>
      <c r="C117" s="15"/>
      <c r="D117" s="15"/>
      <c r="E117" s="15"/>
      <c r="F117" s="7"/>
      <c r="G117" s="7"/>
      <c r="H117" s="7"/>
      <c r="I117" s="7"/>
      <c r="J117" s="7" t="s">
        <v>112</v>
      </c>
      <c r="K117" s="15"/>
      <c r="L117" s="7"/>
      <c r="M117" s="7"/>
    </row>
    <row r="118" ht="15.75" customHeight="1">
      <c r="A118" s="7"/>
      <c r="B118" s="15"/>
      <c r="C118" s="15"/>
      <c r="D118" s="15"/>
      <c r="E118" s="15"/>
      <c r="F118" s="7"/>
      <c r="G118" s="7"/>
      <c r="H118" s="7"/>
      <c r="I118" s="7"/>
      <c r="J118" s="7" t="s">
        <v>112</v>
      </c>
      <c r="K118" s="15"/>
      <c r="L118" s="7"/>
      <c r="M118" s="7"/>
    </row>
    <row r="119" ht="15.75" customHeight="1">
      <c r="A119" s="7"/>
      <c r="B119" s="15"/>
      <c r="C119" s="15"/>
      <c r="D119" s="15"/>
      <c r="E119" s="15"/>
      <c r="F119" s="7"/>
      <c r="G119" s="7"/>
      <c r="H119" s="7"/>
      <c r="I119" s="7"/>
      <c r="J119" s="7" t="s">
        <v>112</v>
      </c>
      <c r="K119" s="15"/>
      <c r="L119" s="7"/>
      <c r="M119" s="7"/>
    </row>
    <row r="120" ht="15.75" customHeight="1">
      <c r="A120" s="7"/>
      <c r="B120" s="15"/>
      <c r="C120" s="15"/>
      <c r="D120" s="15"/>
      <c r="E120" s="15"/>
      <c r="F120" s="7"/>
      <c r="G120" s="7"/>
      <c r="H120" s="7"/>
      <c r="I120" s="7"/>
      <c r="J120" s="7" t="s">
        <v>112</v>
      </c>
      <c r="K120" s="15"/>
      <c r="L120" s="7"/>
      <c r="M120" s="7"/>
    </row>
    <row r="121" ht="15.75" customHeight="1">
      <c r="A121" s="7"/>
      <c r="B121" s="15"/>
      <c r="C121" s="15"/>
      <c r="D121" s="15"/>
      <c r="E121" s="15"/>
      <c r="F121" s="7"/>
      <c r="G121" s="7"/>
      <c r="H121" s="7"/>
      <c r="I121" s="7"/>
      <c r="J121" s="7" t="s">
        <v>112</v>
      </c>
      <c r="K121" s="15"/>
      <c r="L121" s="7"/>
      <c r="M121" s="7"/>
    </row>
    <row r="122" ht="15.75" customHeight="1">
      <c r="A122" s="7"/>
      <c r="B122" s="15"/>
      <c r="C122" s="15"/>
      <c r="D122" s="15"/>
      <c r="E122" s="15"/>
      <c r="F122" s="7"/>
      <c r="G122" s="7"/>
      <c r="H122" s="7"/>
      <c r="I122" s="7"/>
      <c r="J122" s="7" t="s">
        <v>112</v>
      </c>
      <c r="K122" s="15"/>
      <c r="L122" s="7"/>
      <c r="M122" s="7"/>
    </row>
    <row r="123" ht="15.75" customHeight="1">
      <c r="A123" s="7"/>
      <c r="B123" s="15"/>
      <c r="C123" s="15"/>
      <c r="D123" s="15"/>
      <c r="E123" s="15"/>
      <c r="F123" s="7"/>
      <c r="G123" s="7"/>
      <c r="H123" s="7"/>
      <c r="I123" s="7"/>
      <c r="J123" s="7" t="s">
        <v>112</v>
      </c>
      <c r="K123" s="15"/>
      <c r="L123" s="7"/>
      <c r="M123" s="7"/>
    </row>
    <row r="124" ht="15.75" customHeight="1">
      <c r="A124" s="7"/>
      <c r="B124" s="15"/>
      <c r="C124" s="15"/>
      <c r="D124" s="15"/>
      <c r="E124" s="15"/>
      <c r="F124" s="7"/>
      <c r="G124" s="7"/>
      <c r="H124" s="7"/>
      <c r="I124" s="7"/>
      <c r="J124" s="7" t="s">
        <v>112</v>
      </c>
      <c r="K124" s="15"/>
      <c r="L124" s="7"/>
      <c r="M124" s="7"/>
    </row>
    <row r="125" ht="15.75" customHeight="1">
      <c r="A125" s="7"/>
      <c r="B125" s="15"/>
      <c r="C125" s="15"/>
      <c r="D125" s="15"/>
      <c r="E125" s="15"/>
      <c r="F125" s="7"/>
      <c r="G125" s="7"/>
      <c r="H125" s="7"/>
      <c r="I125" s="7"/>
      <c r="J125" s="7" t="s">
        <v>112</v>
      </c>
      <c r="K125" s="15"/>
      <c r="L125" s="7"/>
      <c r="M125" s="7"/>
    </row>
    <row r="126" ht="15.75" customHeight="1">
      <c r="A126" s="7"/>
      <c r="B126" s="15"/>
      <c r="C126" s="15"/>
      <c r="D126" s="15"/>
      <c r="E126" s="15"/>
      <c r="F126" s="7"/>
      <c r="G126" s="7"/>
      <c r="H126" s="7"/>
      <c r="I126" s="7"/>
      <c r="J126" s="7" t="s">
        <v>112</v>
      </c>
      <c r="K126" s="15"/>
      <c r="L126" s="7"/>
      <c r="M126" s="7"/>
    </row>
    <row r="127" ht="15.75" customHeight="1">
      <c r="A127" s="7"/>
      <c r="B127" s="15"/>
      <c r="C127" s="15"/>
      <c r="D127" s="15"/>
      <c r="E127" s="15"/>
      <c r="F127" s="7"/>
      <c r="G127" s="7"/>
      <c r="H127" s="7"/>
      <c r="I127" s="7"/>
      <c r="J127" s="7" t="s">
        <v>112</v>
      </c>
      <c r="K127" s="15"/>
      <c r="L127" s="7"/>
      <c r="M127" s="7"/>
    </row>
    <row r="128" ht="15.75" customHeight="1">
      <c r="A128" s="7"/>
      <c r="B128" s="15"/>
      <c r="C128" s="15"/>
      <c r="D128" s="15"/>
      <c r="E128" s="15"/>
      <c r="F128" s="7"/>
      <c r="G128" s="7"/>
      <c r="H128" s="7"/>
      <c r="I128" s="7"/>
      <c r="J128" s="7" t="s">
        <v>112</v>
      </c>
      <c r="K128" s="15"/>
      <c r="L128" s="7"/>
      <c r="M128" s="7"/>
    </row>
    <row r="129" ht="15.75" customHeight="1">
      <c r="A129" s="7"/>
      <c r="B129" s="15"/>
      <c r="C129" s="15"/>
      <c r="D129" s="15"/>
      <c r="E129" s="15"/>
      <c r="F129" s="7"/>
      <c r="G129" s="7"/>
      <c r="H129" s="7"/>
      <c r="I129" s="7"/>
      <c r="J129" s="7" t="s">
        <v>112</v>
      </c>
      <c r="K129" s="15"/>
      <c r="L129" s="7"/>
      <c r="M129" s="7"/>
    </row>
    <row r="130" ht="15.75" customHeight="1">
      <c r="A130" s="7"/>
      <c r="B130" s="15"/>
      <c r="C130" s="15"/>
      <c r="D130" s="15"/>
      <c r="E130" s="15"/>
      <c r="F130" s="7"/>
      <c r="G130" s="7"/>
      <c r="H130" s="7"/>
      <c r="I130" s="7"/>
      <c r="J130" s="7" t="s">
        <v>112</v>
      </c>
      <c r="K130" s="15"/>
      <c r="L130" s="7"/>
      <c r="M130" s="7"/>
    </row>
    <row r="131" ht="15.75" customHeight="1">
      <c r="A131" s="7"/>
      <c r="B131" s="15"/>
      <c r="C131" s="15"/>
      <c r="D131" s="15"/>
      <c r="E131" s="15"/>
      <c r="F131" s="7"/>
      <c r="G131" s="7"/>
      <c r="H131" s="7"/>
      <c r="I131" s="7"/>
      <c r="J131" s="7" t="s">
        <v>112</v>
      </c>
      <c r="K131" s="15"/>
      <c r="L131" s="7"/>
      <c r="M131" s="7"/>
    </row>
    <row r="132" ht="15.75" customHeight="1">
      <c r="A132" s="7"/>
      <c r="B132" s="15"/>
      <c r="C132" s="15"/>
      <c r="D132" s="15"/>
      <c r="E132" s="15"/>
      <c r="F132" s="7"/>
      <c r="G132" s="7"/>
      <c r="H132" s="7"/>
      <c r="I132" s="7"/>
      <c r="J132" s="7" t="s">
        <v>112</v>
      </c>
      <c r="K132" s="15"/>
      <c r="L132" s="7"/>
      <c r="M132" s="7"/>
    </row>
    <row r="133" ht="15.75" customHeight="1">
      <c r="A133" s="7"/>
      <c r="B133" s="15"/>
      <c r="C133" s="15"/>
      <c r="D133" s="15"/>
      <c r="E133" s="15"/>
      <c r="F133" s="7"/>
      <c r="G133" s="7"/>
      <c r="H133" s="7"/>
      <c r="I133" s="7"/>
      <c r="J133" s="7" t="s">
        <v>112</v>
      </c>
      <c r="K133" s="15"/>
      <c r="L133" s="7"/>
      <c r="M133" s="7"/>
    </row>
    <row r="134" ht="15.75" customHeight="1">
      <c r="A134" s="7"/>
      <c r="B134" s="15"/>
      <c r="C134" s="15"/>
      <c r="D134" s="15"/>
      <c r="E134" s="15"/>
      <c r="F134" s="7"/>
      <c r="G134" s="7"/>
      <c r="H134" s="7"/>
      <c r="I134" s="7"/>
      <c r="J134" s="7" t="s">
        <v>112</v>
      </c>
      <c r="K134" s="15"/>
      <c r="L134" s="7"/>
      <c r="M134" s="7"/>
    </row>
    <row r="135" ht="15.75" customHeight="1">
      <c r="A135" s="7"/>
      <c r="B135" s="15"/>
      <c r="C135" s="15"/>
      <c r="D135" s="15"/>
      <c r="E135" s="15"/>
      <c r="F135" s="7"/>
      <c r="G135" s="7"/>
      <c r="H135" s="7"/>
      <c r="I135" s="7"/>
      <c r="J135" s="7" t="s">
        <v>112</v>
      </c>
      <c r="K135" s="15"/>
      <c r="L135" s="7"/>
      <c r="M135" s="7"/>
    </row>
    <row r="136" ht="15.75" customHeight="1">
      <c r="A136" s="7"/>
      <c r="B136" s="15"/>
      <c r="C136" s="15"/>
      <c r="D136" s="15"/>
      <c r="E136" s="15"/>
      <c r="F136" s="7"/>
      <c r="G136" s="7"/>
      <c r="H136" s="7"/>
      <c r="I136" s="7"/>
      <c r="J136" s="7" t="s">
        <v>112</v>
      </c>
      <c r="K136" s="15"/>
      <c r="L136" s="7"/>
      <c r="M136" s="7"/>
    </row>
    <row r="137" ht="15.75" customHeight="1">
      <c r="A137" s="7"/>
      <c r="B137" s="15"/>
      <c r="C137" s="15"/>
      <c r="D137" s="15"/>
      <c r="E137" s="15"/>
      <c r="F137" s="7"/>
      <c r="G137" s="7"/>
      <c r="H137" s="7"/>
      <c r="I137" s="7"/>
      <c r="J137" s="7" t="s">
        <v>112</v>
      </c>
      <c r="K137" s="15"/>
      <c r="L137" s="7"/>
      <c r="M137" s="7"/>
    </row>
    <row r="138" ht="15.75" customHeight="1">
      <c r="A138" s="7"/>
      <c r="B138" s="15"/>
      <c r="C138" s="15"/>
      <c r="D138" s="15"/>
      <c r="E138" s="15"/>
      <c r="F138" s="7"/>
      <c r="G138" s="7"/>
      <c r="H138" s="7"/>
      <c r="I138" s="7"/>
      <c r="J138" s="7" t="s">
        <v>112</v>
      </c>
      <c r="K138" s="15"/>
      <c r="L138" s="7"/>
      <c r="M138" s="7"/>
    </row>
    <row r="139" ht="15.75" customHeight="1">
      <c r="A139" s="7"/>
      <c r="B139" s="15"/>
      <c r="C139" s="15"/>
      <c r="D139" s="15"/>
      <c r="E139" s="15"/>
      <c r="F139" s="7"/>
      <c r="G139" s="7"/>
      <c r="H139" s="7"/>
      <c r="I139" s="7"/>
      <c r="J139" s="7" t="s">
        <v>112</v>
      </c>
      <c r="K139" s="15"/>
      <c r="L139" s="7"/>
      <c r="M139" s="7"/>
    </row>
    <row r="140" ht="15.75" customHeight="1">
      <c r="A140" s="7"/>
      <c r="B140" s="15"/>
      <c r="C140" s="15"/>
      <c r="D140" s="15"/>
      <c r="E140" s="15"/>
      <c r="F140" s="7"/>
      <c r="G140" s="7"/>
      <c r="H140" s="7"/>
      <c r="I140" s="7"/>
      <c r="J140" s="7" t="s">
        <v>112</v>
      </c>
      <c r="K140" s="15"/>
      <c r="L140" s="7"/>
      <c r="M140" s="7"/>
    </row>
    <row r="141" ht="15.75" customHeight="1">
      <c r="A141" s="7"/>
      <c r="B141" s="15"/>
      <c r="C141" s="15"/>
      <c r="D141" s="15"/>
      <c r="E141" s="15"/>
      <c r="F141" s="7"/>
      <c r="G141" s="7"/>
      <c r="H141" s="7"/>
      <c r="I141" s="7"/>
      <c r="J141" s="7" t="s">
        <v>112</v>
      </c>
      <c r="K141" s="15"/>
      <c r="L141" s="7"/>
      <c r="M141" s="7"/>
    </row>
    <row r="142" ht="15.75" customHeight="1">
      <c r="A142" s="7"/>
      <c r="B142" s="15"/>
      <c r="C142" s="15"/>
      <c r="D142" s="15"/>
      <c r="E142" s="15"/>
      <c r="F142" s="7"/>
      <c r="G142" s="7"/>
      <c r="H142" s="7"/>
      <c r="I142" s="7"/>
      <c r="J142" s="7" t="s">
        <v>112</v>
      </c>
      <c r="K142" s="15"/>
      <c r="L142" s="7"/>
      <c r="M142" s="7"/>
    </row>
    <row r="143" ht="15.75" customHeight="1">
      <c r="A143" s="7"/>
      <c r="B143" s="15"/>
      <c r="C143" s="15"/>
      <c r="D143" s="15"/>
      <c r="E143" s="15"/>
      <c r="F143" s="7"/>
      <c r="G143" s="7"/>
      <c r="H143" s="7"/>
      <c r="I143" s="7"/>
      <c r="J143" s="7" t="s">
        <v>112</v>
      </c>
      <c r="K143" s="15"/>
      <c r="L143" s="7"/>
      <c r="M143" s="7"/>
    </row>
    <row r="144" ht="15.75" customHeight="1">
      <c r="A144" s="7"/>
      <c r="B144" s="15"/>
      <c r="C144" s="15"/>
      <c r="D144" s="15"/>
      <c r="E144" s="15"/>
      <c r="F144" s="7"/>
      <c r="G144" s="7"/>
      <c r="H144" s="7"/>
      <c r="I144" s="7"/>
      <c r="J144" s="7" t="s">
        <v>112</v>
      </c>
      <c r="K144" s="15"/>
      <c r="L144" s="7"/>
      <c r="M144" s="7"/>
    </row>
    <row r="145" ht="15.75" customHeight="1">
      <c r="A145" s="7"/>
      <c r="B145" s="15"/>
      <c r="C145" s="15"/>
      <c r="D145" s="15"/>
      <c r="E145" s="15"/>
      <c r="F145" s="7"/>
      <c r="G145" s="7"/>
      <c r="H145" s="7"/>
      <c r="I145" s="7"/>
      <c r="J145" s="7" t="s">
        <v>112</v>
      </c>
      <c r="K145" s="15"/>
      <c r="L145" s="7"/>
      <c r="M145" s="7"/>
    </row>
    <row r="146" ht="15.75" customHeight="1">
      <c r="A146" s="7"/>
      <c r="B146" s="15"/>
      <c r="C146" s="15"/>
      <c r="D146" s="15"/>
      <c r="E146" s="15"/>
      <c r="F146" s="7"/>
      <c r="G146" s="7"/>
      <c r="H146" s="7"/>
      <c r="I146" s="7"/>
      <c r="J146" s="7" t="s">
        <v>112</v>
      </c>
      <c r="K146" s="15"/>
      <c r="L146" s="7"/>
      <c r="M146" s="7"/>
    </row>
    <row r="147" ht="15.75" customHeight="1">
      <c r="A147" s="7"/>
      <c r="B147" s="15"/>
      <c r="C147" s="15"/>
      <c r="D147" s="15"/>
      <c r="E147" s="15"/>
      <c r="F147" s="7"/>
      <c r="G147" s="7"/>
      <c r="H147" s="7"/>
      <c r="I147" s="7"/>
      <c r="J147" s="7" t="s">
        <v>112</v>
      </c>
      <c r="K147" s="15"/>
      <c r="L147" s="7"/>
      <c r="M147" s="7"/>
    </row>
    <row r="148" ht="15.75" customHeight="1">
      <c r="A148" s="7"/>
      <c r="B148" s="15"/>
      <c r="C148" s="15"/>
      <c r="D148" s="15"/>
      <c r="E148" s="15"/>
      <c r="F148" s="7"/>
      <c r="G148" s="7"/>
      <c r="H148" s="7"/>
      <c r="I148" s="7"/>
      <c r="J148" s="7" t="s">
        <v>112</v>
      </c>
      <c r="K148" s="15"/>
      <c r="L148" s="7"/>
      <c r="M148" s="7"/>
    </row>
    <row r="149" ht="15.75" customHeight="1">
      <c r="A149" s="7"/>
      <c r="B149" s="15"/>
      <c r="C149" s="15"/>
      <c r="D149" s="15"/>
      <c r="E149" s="15"/>
      <c r="F149" s="7"/>
      <c r="G149" s="7"/>
      <c r="H149" s="7"/>
      <c r="I149" s="7"/>
      <c r="J149" s="7" t="s">
        <v>112</v>
      </c>
      <c r="K149" s="15"/>
      <c r="L149" s="7"/>
      <c r="M149" s="7"/>
    </row>
    <row r="150" ht="15.75" customHeight="1">
      <c r="A150" s="7"/>
      <c r="B150" s="15"/>
      <c r="C150" s="15"/>
      <c r="D150" s="15"/>
      <c r="E150" s="15"/>
      <c r="F150" s="7"/>
      <c r="G150" s="7"/>
      <c r="H150" s="7"/>
      <c r="I150" s="7"/>
      <c r="J150" s="7" t="s">
        <v>112</v>
      </c>
      <c r="K150" s="15"/>
      <c r="L150" s="7"/>
      <c r="M150" s="7"/>
    </row>
    <row r="151" ht="15.75" customHeight="1">
      <c r="A151" s="7"/>
      <c r="B151" s="15"/>
      <c r="C151" s="15"/>
      <c r="D151" s="15"/>
      <c r="E151" s="15"/>
      <c r="F151" s="7"/>
      <c r="G151" s="7"/>
      <c r="H151" s="7"/>
      <c r="I151" s="7"/>
      <c r="J151" s="7" t="s">
        <v>112</v>
      </c>
      <c r="K151" s="15"/>
      <c r="L151" s="7"/>
      <c r="M151" s="7"/>
    </row>
    <row r="152" ht="15.75" customHeight="1">
      <c r="A152" s="7"/>
      <c r="B152" s="15"/>
      <c r="C152" s="15"/>
      <c r="D152" s="15"/>
      <c r="E152" s="15"/>
      <c r="F152" s="7"/>
      <c r="G152" s="7"/>
      <c r="H152" s="7"/>
      <c r="I152" s="7"/>
      <c r="J152" s="7" t="s">
        <v>112</v>
      </c>
      <c r="K152" s="15"/>
      <c r="L152" s="7"/>
      <c r="M152" s="7"/>
    </row>
    <row r="153" ht="15.75" customHeight="1">
      <c r="A153" s="7"/>
      <c r="B153" s="15"/>
      <c r="C153" s="15"/>
      <c r="D153" s="15"/>
      <c r="E153" s="15"/>
      <c r="F153" s="7"/>
      <c r="G153" s="7"/>
      <c r="H153" s="7"/>
      <c r="I153" s="7"/>
      <c r="J153" s="7" t="s">
        <v>112</v>
      </c>
      <c r="K153" s="15"/>
      <c r="L153" s="7"/>
      <c r="M153" s="7"/>
    </row>
    <row r="154" ht="15.75" customHeight="1">
      <c r="A154" s="7"/>
      <c r="B154" s="15"/>
      <c r="C154" s="15"/>
      <c r="D154" s="15"/>
      <c r="E154" s="15"/>
      <c r="F154" s="7"/>
      <c r="G154" s="7"/>
      <c r="H154" s="7"/>
      <c r="I154" s="7"/>
      <c r="J154" s="7" t="s">
        <v>112</v>
      </c>
      <c r="K154" s="15"/>
      <c r="L154" s="7"/>
      <c r="M154" s="7"/>
    </row>
    <row r="155" ht="15.75" customHeight="1">
      <c r="A155" s="7"/>
      <c r="B155" s="15"/>
      <c r="C155" s="15"/>
      <c r="D155" s="15"/>
      <c r="E155" s="15"/>
      <c r="F155" s="7"/>
      <c r="G155" s="7"/>
      <c r="H155" s="7"/>
      <c r="I155" s="7"/>
      <c r="J155" s="7" t="s">
        <v>112</v>
      </c>
      <c r="K155" s="15"/>
      <c r="L155" s="7"/>
      <c r="M155" s="7"/>
    </row>
    <row r="156" ht="15.75" customHeight="1">
      <c r="A156" s="7"/>
      <c r="B156" s="15"/>
      <c r="C156" s="15"/>
      <c r="D156" s="15"/>
      <c r="E156" s="15"/>
      <c r="F156" s="7"/>
      <c r="G156" s="7"/>
      <c r="H156" s="7"/>
      <c r="I156" s="7"/>
      <c r="J156" s="7" t="s">
        <v>112</v>
      </c>
      <c r="K156" s="15"/>
      <c r="L156" s="7"/>
      <c r="M156" s="7"/>
    </row>
    <row r="157" ht="15.75" customHeight="1">
      <c r="A157" s="7"/>
      <c r="B157" s="15"/>
      <c r="C157" s="15"/>
      <c r="D157" s="15"/>
      <c r="E157" s="15"/>
      <c r="F157" s="7"/>
      <c r="G157" s="7"/>
      <c r="H157" s="7"/>
      <c r="I157" s="7"/>
      <c r="J157" s="7" t="s">
        <v>112</v>
      </c>
      <c r="K157" s="15"/>
      <c r="L157" s="7"/>
      <c r="M157" s="7"/>
    </row>
    <row r="158" ht="15.75" customHeight="1">
      <c r="A158" s="7"/>
      <c r="B158" s="15"/>
      <c r="C158" s="15"/>
      <c r="D158" s="15"/>
      <c r="E158" s="15"/>
      <c r="F158" s="7"/>
      <c r="G158" s="7"/>
      <c r="H158" s="7"/>
      <c r="I158" s="7"/>
      <c r="J158" s="7" t="s">
        <v>112</v>
      </c>
      <c r="K158" s="15"/>
      <c r="L158" s="7"/>
      <c r="M158" s="7"/>
    </row>
    <row r="159" ht="15.75" customHeight="1">
      <c r="A159" s="7"/>
      <c r="B159" s="15"/>
      <c r="C159" s="15"/>
      <c r="D159" s="15"/>
      <c r="E159" s="15"/>
      <c r="F159" s="7"/>
      <c r="G159" s="7"/>
      <c r="H159" s="7"/>
      <c r="I159" s="7"/>
      <c r="J159" s="7" t="s">
        <v>112</v>
      </c>
      <c r="K159" s="15"/>
      <c r="L159" s="7"/>
      <c r="M159" s="7"/>
    </row>
    <row r="160" ht="15.75" customHeight="1">
      <c r="A160" s="7"/>
      <c r="B160" s="15"/>
      <c r="C160" s="15"/>
      <c r="D160" s="15"/>
      <c r="E160" s="15"/>
      <c r="F160" s="7"/>
      <c r="G160" s="7"/>
      <c r="H160" s="7"/>
      <c r="I160" s="7"/>
      <c r="J160" s="7" t="s">
        <v>112</v>
      </c>
      <c r="K160" s="15"/>
      <c r="L160" s="7"/>
      <c r="M160" s="7"/>
    </row>
    <row r="161" ht="15.75" customHeight="1">
      <c r="A161" s="7"/>
      <c r="B161" s="15"/>
      <c r="C161" s="15"/>
      <c r="D161" s="15"/>
      <c r="E161" s="15"/>
      <c r="F161" s="7"/>
      <c r="G161" s="7"/>
      <c r="H161" s="7"/>
      <c r="I161" s="7"/>
      <c r="J161" s="7" t="s">
        <v>112</v>
      </c>
      <c r="K161" s="15"/>
      <c r="L161" s="7"/>
      <c r="M161" s="7"/>
    </row>
    <row r="162" ht="15.75" customHeight="1">
      <c r="A162" s="7"/>
      <c r="B162" s="15"/>
      <c r="C162" s="15"/>
      <c r="D162" s="15"/>
      <c r="E162" s="15"/>
      <c r="F162" s="7"/>
      <c r="G162" s="7"/>
      <c r="H162" s="7"/>
      <c r="I162" s="7"/>
      <c r="J162" s="7" t="s">
        <v>112</v>
      </c>
      <c r="K162" s="15"/>
      <c r="L162" s="7"/>
      <c r="M162" s="7"/>
    </row>
    <row r="163" ht="15.75" customHeight="1">
      <c r="A163" s="7"/>
      <c r="B163" s="15"/>
      <c r="C163" s="15"/>
      <c r="D163" s="15"/>
      <c r="E163" s="15"/>
      <c r="F163" s="7"/>
      <c r="G163" s="7"/>
      <c r="H163" s="7"/>
      <c r="I163" s="7"/>
      <c r="J163" s="7" t="s">
        <v>112</v>
      </c>
      <c r="K163" s="15"/>
      <c r="L163" s="7"/>
      <c r="M163" s="7"/>
    </row>
    <row r="164" ht="15.75" customHeight="1">
      <c r="A164" s="7"/>
      <c r="B164" s="15"/>
      <c r="C164" s="15"/>
      <c r="D164" s="15"/>
      <c r="E164" s="15"/>
      <c r="F164" s="7"/>
      <c r="G164" s="7"/>
      <c r="H164" s="7"/>
      <c r="I164" s="7"/>
      <c r="J164" s="7" t="s">
        <v>112</v>
      </c>
      <c r="K164" s="15"/>
      <c r="L164" s="7"/>
      <c r="M164" s="7"/>
    </row>
    <row r="165" ht="15.75" customHeight="1">
      <c r="A165" s="7"/>
      <c r="B165" s="15"/>
      <c r="C165" s="15"/>
      <c r="D165" s="15"/>
      <c r="E165" s="15"/>
      <c r="F165" s="7"/>
      <c r="G165" s="7"/>
      <c r="H165" s="7"/>
      <c r="I165" s="7"/>
      <c r="J165" s="7" t="s">
        <v>112</v>
      </c>
      <c r="K165" s="15"/>
      <c r="L165" s="7"/>
      <c r="M165" s="7"/>
    </row>
    <row r="166" ht="15.75" customHeight="1">
      <c r="A166" s="7"/>
      <c r="B166" s="15"/>
      <c r="C166" s="15"/>
      <c r="D166" s="15"/>
      <c r="E166" s="15"/>
      <c r="F166" s="7"/>
      <c r="G166" s="7"/>
      <c r="H166" s="7"/>
      <c r="I166" s="7"/>
      <c r="J166" s="7" t="s">
        <v>112</v>
      </c>
      <c r="K166" s="15"/>
      <c r="L166" s="7"/>
      <c r="M166" s="7"/>
    </row>
    <row r="167" ht="15.75" customHeight="1">
      <c r="A167" s="7"/>
      <c r="B167" s="15"/>
      <c r="C167" s="15"/>
      <c r="D167" s="15"/>
      <c r="E167" s="15"/>
      <c r="F167" s="7"/>
      <c r="G167" s="7"/>
      <c r="H167" s="7"/>
      <c r="I167" s="7"/>
      <c r="J167" s="7" t="s">
        <v>112</v>
      </c>
      <c r="K167" s="15"/>
      <c r="L167" s="7"/>
      <c r="M167" s="7"/>
    </row>
    <row r="168" ht="15.75" customHeight="1">
      <c r="A168" s="7"/>
      <c r="B168" s="15"/>
      <c r="C168" s="15"/>
      <c r="D168" s="15"/>
      <c r="E168" s="15"/>
      <c r="F168" s="7"/>
      <c r="G168" s="7"/>
      <c r="H168" s="7"/>
      <c r="I168" s="7"/>
      <c r="J168" s="7" t="s">
        <v>112</v>
      </c>
      <c r="K168" s="15"/>
      <c r="L168" s="7"/>
      <c r="M168" s="7"/>
    </row>
    <row r="169" ht="15.75" customHeight="1">
      <c r="A169" s="7"/>
      <c r="B169" s="15"/>
      <c r="C169" s="15"/>
      <c r="D169" s="15"/>
      <c r="E169" s="15"/>
      <c r="F169" s="7"/>
      <c r="G169" s="7"/>
      <c r="H169" s="7"/>
      <c r="I169" s="7"/>
      <c r="J169" s="7" t="s">
        <v>112</v>
      </c>
      <c r="K169" s="15"/>
      <c r="L169" s="7"/>
      <c r="M169" s="7"/>
    </row>
    <row r="170" ht="15.75" customHeight="1">
      <c r="A170" s="7"/>
      <c r="B170" s="15"/>
      <c r="C170" s="15"/>
      <c r="D170" s="15"/>
      <c r="E170" s="15"/>
      <c r="F170" s="7"/>
      <c r="G170" s="7"/>
      <c r="H170" s="7"/>
      <c r="I170" s="7"/>
      <c r="J170" s="7" t="s">
        <v>112</v>
      </c>
      <c r="K170" s="15"/>
      <c r="L170" s="7"/>
      <c r="M170" s="7"/>
    </row>
    <row r="171" ht="15.75" customHeight="1">
      <c r="A171" s="7"/>
      <c r="B171" s="15"/>
      <c r="C171" s="15"/>
      <c r="D171" s="15"/>
      <c r="E171" s="15"/>
      <c r="F171" s="7"/>
      <c r="G171" s="7"/>
      <c r="H171" s="7"/>
      <c r="I171" s="7"/>
      <c r="J171" s="7" t="s">
        <v>112</v>
      </c>
      <c r="K171" s="15"/>
      <c r="L171" s="7"/>
      <c r="M171" s="7"/>
    </row>
    <row r="172" ht="15.75" customHeight="1">
      <c r="A172" s="7"/>
      <c r="B172" s="15"/>
      <c r="C172" s="15"/>
      <c r="D172" s="15"/>
      <c r="E172" s="15"/>
      <c r="F172" s="7"/>
      <c r="G172" s="7"/>
      <c r="H172" s="7"/>
      <c r="I172" s="7"/>
      <c r="J172" s="7" t="s">
        <v>112</v>
      </c>
      <c r="K172" s="15"/>
      <c r="L172" s="7"/>
      <c r="M172" s="7"/>
    </row>
    <row r="173" ht="15.75" customHeight="1">
      <c r="A173" s="7"/>
      <c r="B173" s="15"/>
      <c r="C173" s="15"/>
      <c r="D173" s="15"/>
      <c r="E173" s="15"/>
      <c r="F173" s="7"/>
      <c r="G173" s="7"/>
      <c r="H173" s="7"/>
      <c r="I173" s="7"/>
      <c r="J173" s="7" t="s">
        <v>112</v>
      </c>
      <c r="K173" s="15"/>
      <c r="L173" s="7"/>
      <c r="M173" s="7"/>
    </row>
    <row r="174" ht="15.75" customHeight="1">
      <c r="A174" s="7"/>
      <c r="B174" s="15"/>
      <c r="C174" s="15"/>
      <c r="D174" s="15"/>
      <c r="E174" s="15"/>
      <c r="F174" s="7"/>
      <c r="G174" s="7"/>
      <c r="H174" s="7"/>
      <c r="I174" s="7"/>
      <c r="J174" s="7" t="s">
        <v>112</v>
      </c>
      <c r="K174" s="15"/>
      <c r="L174" s="7"/>
      <c r="M174" s="7"/>
    </row>
    <row r="175" ht="15.75" customHeight="1">
      <c r="A175" s="7"/>
      <c r="B175" s="15"/>
      <c r="C175" s="15"/>
      <c r="D175" s="15"/>
      <c r="E175" s="15"/>
      <c r="F175" s="7"/>
      <c r="G175" s="7"/>
      <c r="H175" s="7"/>
      <c r="I175" s="7"/>
      <c r="J175" s="7" t="s">
        <v>112</v>
      </c>
      <c r="K175" s="15"/>
      <c r="L175" s="7"/>
      <c r="M175" s="7"/>
    </row>
    <row r="176" ht="15.75" customHeight="1">
      <c r="A176" s="7"/>
      <c r="B176" s="15"/>
      <c r="C176" s="15"/>
      <c r="D176" s="15"/>
      <c r="E176" s="15"/>
      <c r="F176" s="7"/>
      <c r="G176" s="7"/>
      <c r="H176" s="7"/>
      <c r="I176" s="7"/>
      <c r="J176" s="7" t="s">
        <v>112</v>
      </c>
      <c r="K176" s="15"/>
      <c r="L176" s="7"/>
      <c r="M176" s="7"/>
    </row>
    <row r="177" ht="15.75" customHeight="1">
      <c r="A177" s="7"/>
      <c r="B177" s="15"/>
      <c r="C177" s="15"/>
      <c r="D177" s="15"/>
      <c r="E177" s="15"/>
      <c r="F177" s="7"/>
      <c r="G177" s="7"/>
      <c r="H177" s="7"/>
      <c r="I177" s="7"/>
      <c r="J177" s="7" t="s">
        <v>112</v>
      </c>
      <c r="K177" s="15"/>
      <c r="L177" s="7"/>
      <c r="M177" s="7"/>
    </row>
    <row r="178" ht="15.75" customHeight="1">
      <c r="A178" s="7"/>
      <c r="B178" s="15"/>
      <c r="C178" s="15"/>
      <c r="D178" s="15"/>
      <c r="E178" s="15"/>
      <c r="F178" s="7"/>
      <c r="G178" s="7"/>
      <c r="H178" s="7"/>
      <c r="I178" s="7"/>
      <c r="J178" s="7" t="s">
        <v>112</v>
      </c>
      <c r="K178" s="15"/>
      <c r="L178" s="7"/>
      <c r="M178" s="7"/>
    </row>
    <row r="179" ht="15.75" customHeight="1">
      <c r="A179" s="7"/>
      <c r="B179" s="15"/>
      <c r="C179" s="15"/>
      <c r="D179" s="15"/>
      <c r="E179" s="15"/>
      <c r="F179" s="7"/>
      <c r="G179" s="7"/>
      <c r="H179" s="7"/>
      <c r="I179" s="7"/>
      <c r="J179" s="7" t="s">
        <v>112</v>
      </c>
      <c r="K179" s="15"/>
      <c r="L179" s="7"/>
      <c r="M179" s="7"/>
    </row>
    <row r="180" ht="15.75" customHeight="1">
      <c r="A180" s="7"/>
      <c r="B180" s="15"/>
      <c r="C180" s="15"/>
      <c r="D180" s="15"/>
      <c r="E180" s="15"/>
      <c r="F180" s="7"/>
      <c r="G180" s="7"/>
      <c r="H180" s="7"/>
      <c r="I180" s="7"/>
      <c r="J180" s="7" t="s">
        <v>112</v>
      </c>
      <c r="K180" s="15"/>
      <c r="L180" s="7"/>
      <c r="M180" s="7"/>
    </row>
    <row r="181" ht="15.75" customHeight="1">
      <c r="A181" s="7"/>
      <c r="B181" s="15"/>
      <c r="C181" s="15"/>
      <c r="D181" s="15"/>
      <c r="E181" s="15"/>
      <c r="F181" s="7"/>
      <c r="G181" s="7"/>
      <c r="H181" s="7"/>
      <c r="I181" s="7"/>
      <c r="J181" s="7" t="s">
        <v>112</v>
      </c>
      <c r="K181" s="15"/>
      <c r="L181" s="7"/>
      <c r="M181" s="7"/>
    </row>
    <row r="182" ht="15.75" customHeight="1">
      <c r="A182" s="7"/>
      <c r="B182" s="15"/>
      <c r="C182" s="15"/>
      <c r="D182" s="15"/>
      <c r="E182" s="15"/>
      <c r="F182" s="7"/>
      <c r="G182" s="7"/>
      <c r="H182" s="7"/>
      <c r="I182" s="7"/>
      <c r="J182" s="7" t="s">
        <v>112</v>
      </c>
      <c r="K182" s="15"/>
      <c r="L182" s="7"/>
      <c r="M182" s="7"/>
    </row>
    <row r="183" ht="15.75" customHeight="1">
      <c r="A183" s="7"/>
      <c r="B183" s="15"/>
      <c r="C183" s="15"/>
      <c r="D183" s="15"/>
      <c r="E183" s="15"/>
      <c r="F183" s="7"/>
      <c r="G183" s="7"/>
      <c r="H183" s="7"/>
      <c r="I183" s="7"/>
      <c r="J183" s="7" t="s">
        <v>112</v>
      </c>
      <c r="K183" s="15"/>
      <c r="L183" s="7"/>
      <c r="M183" s="7"/>
    </row>
    <row r="184" ht="15.75" customHeight="1">
      <c r="A184" s="7"/>
      <c r="B184" s="15"/>
      <c r="C184" s="15"/>
      <c r="D184" s="15"/>
      <c r="E184" s="15"/>
      <c r="F184" s="7"/>
      <c r="G184" s="7"/>
      <c r="H184" s="7"/>
      <c r="I184" s="7"/>
      <c r="J184" s="7" t="s">
        <v>112</v>
      </c>
      <c r="K184" s="15"/>
      <c r="L184" s="7"/>
      <c r="M184" s="7"/>
    </row>
    <row r="185" ht="15.75" customHeight="1">
      <c r="A185" s="7"/>
      <c r="B185" s="15"/>
      <c r="C185" s="15"/>
      <c r="D185" s="15"/>
      <c r="E185" s="15"/>
      <c r="F185" s="7"/>
      <c r="G185" s="7"/>
      <c r="H185" s="7"/>
      <c r="I185" s="7"/>
      <c r="J185" s="7" t="s">
        <v>112</v>
      </c>
      <c r="K185" s="15"/>
      <c r="L185" s="7"/>
      <c r="M185" s="7"/>
    </row>
    <row r="186" ht="15.75" customHeight="1">
      <c r="A186" s="7"/>
      <c r="B186" s="15"/>
      <c r="C186" s="15"/>
      <c r="D186" s="15"/>
      <c r="E186" s="15"/>
      <c r="F186" s="7"/>
      <c r="G186" s="7"/>
      <c r="H186" s="7"/>
      <c r="I186" s="7"/>
      <c r="J186" s="7" t="s">
        <v>112</v>
      </c>
      <c r="K186" s="15"/>
      <c r="L186" s="7"/>
      <c r="M186" s="7"/>
    </row>
    <row r="187" ht="15.75" customHeight="1">
      <c r="A187" s="7"/>
      <c r="B187" s="15"/>
      <c r="C187" s="15"/>
      <c r="D187" s="15"/>
      <c r="E187" s="15"/>
      <c r="F187" s="7"/>
      <c r="G187" s="7"/>
      <c r="H187" s="7"/>
      <c r="I187" s="7"/>
      <c r="J187" s="7" t="s">
        <v>112</v>
      </c>
      <c r="K187" s="15"/>
      <c r="L187" s="7"/>
      <c r="M187" s="7"/>
    </row>
    <row r="188" ht="15.75" customHeight="1">
      <c r="A188" s="7"/>
      <c r="B188" s="15"/>
      <c r="C188" s="15"/>
      <c r="D188" s="15"/>
      <c r="E188" s="15"/>
      <c r="F188" s="7"/>
      <c r="G188" s="7"/>
      <c r="H188" s="7"/>
      <c r="I188" s="7"/>
      <c r="J188" s="7" t="s">
        <v>112</v>
      </c>
      <c r="K188" s="15"/>
      <c r="L188" s="7"/>
      <c r="M188" s="7"/>
    </row>
    <row r="189" ht="15.75" customHeight="1">
      <c r="A189" s="7"/>
      <c r="B189" s="15"/>
      <c r="C189" s="15"/>
      <c r="D189" s="15"/>
      <c r="E189" s="15"/>
      <c r="F189" s="7"/>
      <c r="G189" s="7"/>
      <c r="H189" s="7"/>
      <c r="I189" s="7"/>
      <c r="J189" s="7" t="s">
        <v>112</v>
      </c>
      <c r="K189" s="15"/>
      <c r="L189" s="7"/>
      <c r="M189" s="7"/>
    </row>
    <row r="190" ht="15.75" customHeight="1">
      <c r="A190" s="7"/>
      <c r="B190" s="15"/>
      <c r="C190" s="15"/>
      <c r="D190" s="15"/>
      <c r="E190" s="15"/>
      <c r="F190" s="7"/>
      <c r="G190" s="7"/>
      <c r="H190" s="7"/>
      <c r="I190" s="7"/>
      <c r="J190" s="7" t="s">
        <v>112</v>
      </c>
      <c r="K190" s="15"/>
      <c r="L190" s="7"/>
      <c r="M190" s="7"/>
    </row>
    <row r="191" ht="15.75" customHeight="1">
      <c r="A191" s="7"/>
      <c r="B191" s="15"/>
      <c r="C191" s="15"/>
      <c r="D191" s="15"/>
      <c r="E191" s="15"/>
      <c r="F191" s="7"/>
      <c r="G191" s="7"/>
      <c r="H191" s="7"/>
      <c r="I191" s="7"/>
      <c r="J191" s="7" t="s">
        <v>112</v>
      </c>
      <c r="K191" s="15"/>
      <c r="L191" s="7"/>
      <c r="M191" s="7"/>
    </row>
    <row r="192" ht="15.75" customHeight="1">
      <c r="A192" s="7"/>
      <c r="B192" s="15"/>
      <c r="C192" s="15"/>
      <c r="D192" s="15"/>
      <c r="E192" s="15"/>
      <c r="F192" s="7"/>
      <c r="G192" s="7"/>
      <c r="H192" s="7"/>
      <c r="I192" s="7"/>
      <c r="J192" s="7" t="s">
        <v>112</v>
      </c>
      <c r="K192" s="15"/>
      <c r="L192" s="7"/>
      <c r="M192" s="7"/>
    </row>
    <row r="193" ht="15.75" customHeight="1">
      <c r="A193" s="7"/>
      <c r="B193" s="15"/>
      <c r="C193" s="15"/>
      <c r="D193" s="15"/>
      <c r="E193" s="15"/>
      <c r="F193" s="7"/>
      <c r="G193" s="7"/>
      <c r="H193" s="7"/>
      <c r="I193" s="7"/>
      <c r="J193" s="7" t="s">
        <v>112</v>
      </c>
      <c r="K193" s="15"/>
      <c r="L193" s="7"/>
      <c r="M193" s="7"/>
    </row>
    <row r="194" ht="15.75" customHeight="1">
      <c r="A194" s="7"/>
      <c r="B194" s="15"/>
      <c r="C194" s="15"/>
      <c r="D194" s="15"/>
      <c r="E194" s="15"/>
      <c r="F194" s="7"/>
      <c r="G194" s="7"/>
      <c r="H194" s="7"/>
      <c r="I194" s="7"/>
      <c r="J194" s="7" t="s">
        <v>112</v>
      </c>
      <c r="K194" s="15"/>
      <c r="L194" s="7"/>
      <c r="M194" s="7"/>
    </row>
    <row r="195" ht="15.75" customHeight="1">
      <c r="A195" s="7"/>
      <c r="B195" s="15"/>
      <c r="C195" s="15"/>
      <c r="D195" s="15"/>
      <c r="E195" s="15"/>
      <c r="F195" s="7"/>
      <c r="G195" s="7"/>
      <c r="H195" s="7"/>
      <c r="I195" s="7"/>
      <c r="J195" s="7" t="s">
        <v>112</v>
      </c>
      <c r="K195" s="15"/>
      <c r="L195" s="7"/>
      <c r="M195" s="7"/>
    </row>
    <row r="196" ht="15.75" customHeight="1">
      <c r="A196" s="7"/>
      <c r="B196" s="15"/>
      <c r="C196" s="15"/>
      <c r="D196" s="15"/>
      <c r="E196" s="15"/>
      <c r="F196" s="7"/>
      <c r="G196" s="7"/>
      <c r="H196" s="7"/>
      <c r="I196" s="7"/>
      <c r="J196" s="7" t="s">
        <v>112</v>
      </c>
      <c r="K196" s="15"/>
      <c r="L196" s="7"/>
      <c r="M196" s="7"/>
    </row>
    <row r="197" ht="15.75" customHeight="1">
      <c r="A197" s="7"/>
      <c r="B197" s="15"/>
      <c r="C197" s="15"/>
      <c r="D197" s="15"/>
      <c r="E197" s="15"/>
      <c r="F197" s="7"/>
      <c r="G197" s="7"/>
      <c r="H197" s="7"/>
      <c r="I197" s="7"/>
      <c r="J197" s="7" t="s">
        <v>112</v>
      </c>
      <c r="K197" s="15"/>
      <c r="L197" s="7"/>
      <c r="M197" s="7"/>
    </row>
    <row r="198" ht="15.75" customHeight="1">
      <c r="A198" s="7"/>
      <c r="B198" s="15"/>
      <c r="C198" s="15"/>
      <c r="D198" s="15"/>
      <c r="E198" s="15"/>
      <c r="F198" s="7"/>
      <c r="G198" s="7"/>
      <c r="H198" s="7"/>
      <c r="I198" s="7"/>
      <c r="J198" s="7" t="s">
        <v>112</v>
      </c>
      <c r="K198" s="15"/>
      <c r="L198" s="7"/>
      <c r="M198" s="7"/>
    </row>
    <row r="199" ht="15.75" customHeight="1">
      <c r="A199" s="7"/>
      <c r="B199" s="15"/>
      <c r="C199" s="15"/>
      <c r="D199" s="15"/>
      <c r="E199" s="15"/>
      <c r="F199" s="7"/>
      <c r="G199" s="7"/>
      <c r="H199" s="7"/>
      <c r="I199" s="7"/>
      <c r="J199" s="7" t="s">
        <v>112</v>
      </c>
      <c r="K199" s="15"/>
      <c r="L199" s="7"/>
      <c r="M199" s="7"/>
    </row>
    <row r="200" ht="15.75" customHeight="1">
      <c r="A200" s="7"/>
      <c r="B200" s="15"/>
      <c r="C200" s="15"/>
      <c r="D200" s="15"/>
      <c r="E200" s="15"/>
      <c r="F200" s="7"/>
      <c r="G200" s="7"/>
      <c r="H200" s="7"/>
      <c r="I200" s="7"/>
      <c r="J200" s="7" t="s">
        <v>112</v>
      </c>
      <c r="K200" s="15"/>
      <c r="L200" s="7"/>
      <c r="M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200">
      <formula1>L_Personagens!$A$2:$A$400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0"/>
    <col customWidth="1" min="2" max="12" width="13.0"/>
    <col customWidth="1" min="13" max="13" width="60.0"/>
    <col customWidth="1" min="14" max="26" width="8.71"/>
  </cols>
  <sheetData>
    <row r="1" ht="60.0" customHeight="1">
      <c r="A1" s="6" t="s">
        <v>68</v>
      </c>
      <c r="B1" s="6" t="s">
        <v>248</v>
      </c>
      <c r="C1" s="6" t="s">
        <v>249</v>
      </c>
      <c r="D1" s="6" t="s">
        <v>250</v>
      </c>
      <c r="E1" s="6" t="s">
        <v>251</v>
      </c>
      <c r="F1" s="6" t="s">
        <v>252</v>
      </c>
      <c r="G1" s="6" t="s">
        <v>253</v>
      </c>
      <c r="H1" s="6" t="s">
        <v>254</v>
      </c>
      <c r="I1" s="6" t="s">
        <v>255</v>
      </c>
      <c r="J1" s="6" t="s">
        <v>256</v>
      </c>
      <c r="K1" s="6" t="s">
        <v>257</v>
      </c>
      <c r="L1" s="6" t="s">
        <v>258</v>
      </c>
      <c r="M1" s="6" t="s">
        <v>242</v>
      </c>
    </row>
    <row r="2">
      <c r="A2" s="7" t="s">
        <v>73</v>
      </c>
      <c r="B2" s="15">
        <v>0.49</v>
      </c>
      <c r="C2" s="15">
        <v>0.0</v>
      </c>
      <c r="D2" s="15">
        <v>0.0</v>
      </c>
      <c r="E2" s="15">
        <v>0.35</v>
      </c>
      <c r="F2" s="7">
        <v>0.0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7">
        <v>0.0</v>
      </c>
      <c r="M2" s="7" t="s">
        <v>259</v>
      </c>
    </row>
    <row r="3">
      <c r="A3" s="7" t="s">
        <v>75</v>
      </c>
      <c r="B3" s="15">
        <v>0.0</v>
      </c>
      <c r="C3" s="15">
        <v>0.0</v>
      </c>
      <c r="D3" s="15">
        <v>0.0</v>
      </c>
      <c r="E3" s="15">
        <v>0.0</v>
      </c>
      <c r="F3" s="7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7">
        <v>0.0</v>
      </c>
      <c r="M3" s="7" t="s">
        <v>260</v>
      </c>
    </row>
    <row r="4">
      <c r="A4" s="7" t="s">
        <v>78</v>
      </c>
      <c r="B4" s="15">
        <v>0.0</v>
      </c>
      <c r="C4" s="15">
        <v>0.0</v>
      </c>
      <c r="D4" s="15">
        <v>0.0</v>
      </c>
      <c r="E4" s="15">
        <v>0.0</v>
      </c>
      <c r="F4" s="7">
        <v>0.0</v>
      </c>
      <c r="G4" s="15">
        <v>0.0</v>
      </c>
      <c r="H4" s="15">
        <v>0.28</v>
      </c>
      <c r="I4" s="15">
        <v>0.8</v>
      </c>
      <c r="J4" s="15">
        <v>0.0</v>
      </c>
      <c r="K4" s="15">
        <v>0.0</v>
      </c>
      <c r="L4" s="7">
        <v>0.0</v>
      </c>
      <c r="M4" s="7" t="s">
        <v>261</v>
      </c>
    </row>
    <row r="5">
      <c r="A5" s="7" t="s">
        <v>82</v>
      </c>
      <c r="B5" s="15">
        <v>0.0</v>
      </c>
      <c r="C5" s="15">
        <v>0.0</v>
      </c>
      <c r="D5" s="15">
        <v>0.0</v>
      </c>
      <c r="E5" s="15">
        <v>0.2</v>
      </c>
      <c r="F5" s="7">
        <v>0.0</v>
      </c>
      <c r="G5" s="15">
        <v>0.0</v>
      </c>
      <c r="H5" s="15">
        <v>0.0</v>
      </c>
      <c r="I5" s="15">
        <v>0.0</v>
      </c>
      <c r="J5" s="15">
        <v>0.0</v>
      </c>
      <c r="K5" s="15">
        <v>0.0</v>
      </c>
      <c r="L5" s="7">
        <v>0.0</v>
      </c>
      <c r="M5" s="7" t="s">
        <v>262</v>
      </c>
    </row>
    <row r="6">
      <c r="A6" s="7" t="s">
        <v>263</v>
      </c>
      <c r="B6" s="15">
        <v>0.2</v>
      </c>
      <c r="C6" s="15">
        <v>0.0</v>
      </c>
      <c r="D6" s="15">
        <v>0.0</v>
      </c>
      <c r="E6" s="15">
        <v>0.0</v>
      </c>
      <c r="F6" s="7">
        <v>0.0</v>
      </c>
      <c r="G6" s="15">
        <v>0.0</v>
      </c>
      <c r="H6" s="15">
        <v>0.0</v>
      </c>
      <c r="I6" s="15">
        <v>0.0</v>
      </c>
      <c r="J6" s="15">
        <v>0.0</v>
      </c>
      <c r="K6" s="15">
        <v>0.0</v>
      </c>
      <c r="L6" s="7">
        <v>0.0</v>
      </c>
      <c r="M6" s="7" t="s">
        <v>264</v>
      </c>
    </row>
    <row r="7">
      <c r="A7" s="7" t="s">
        <v>265</v>
      </c>
      <c r="B7" s="15">
        <v>0.0</v>
      </c>
      <c r="C7" s="15">
        <v>0.3</v>
      </c>
      <c r="D7" s="15">
        <v>0.0</v>
      </c>
      <c r="E7" s="15">
        <v>0.0</v>
      </c>
      <c r="F7" s="7">
        <v>0.0</v>
      </c>
      <c r="G7" s="15">
        <v>0.0</v>
      </c>
      <c r="H7" s="15">
        <v>0.0</v>
      </c>
      <c r="I7" s="15">
        <v>0.0</v>
      </c>
      <c r="J7" s="15">
        <v>0.0</v>
      </c>
      <c r="K7" s="15">
        <v>0.0</v>
      </c>
      <c r="L7" s="7">
        <v>0.0</v>
      </c>
      <c r="M7" s="7" t="s">
        <v>266</v>
      </c>
    </row>
    <row r="8">
      <c r="A8" s="7" t="s">
        <v>267</v>
      </c>
      <c r="B8" s="15">
        <v>0.4</v>
      </c>
      <c r="C8" s="15">
        <v>0.0</v>
      </c>
      <c r="D8" s="15">
        <v>0.0</v>
      </c>
      <c r="E8" s="15">
        <v>0.0</v>
      </c>
      <c r="F8" s="7">
        <v>0.0</v>
      </c>
      <c r="G8" s="15">
        <v>0.0</v>
      </c>
      <c r="H8" s="15">
        <v>0.0</v>
      </c>
      <c r="I8" s="15">
        <v>0.0</v>
      </c>
      <c r="J8" s="15">
        <v>0.0</v>
      </c>
      <c r="K8" s="15">
        <v>0.0</v>
      </c>
      <c r="L8" s="7">
        <v>0.0</v>
      </c>
      <c r="M8" s="7" t="s">
        <v>268</v>
      </c>
    </row>
    <row r="9">
      <c r="A9" s="7"/>
      <c r="B9" s="15"/>
      <c r="C9" s="15"/>
      <c r="D9" s="15"/>
      <c r="E9" s="15"/>
      <c r="F9" s="7"/>
      <c r="G9" s="15"/>
      <c r="H9" s="15"/>
      <c r="I9" s="15"/>
      <c r="J9" s="15"/>
      <c r="K9" s="15"/>
      <c r="L9" s="7"/>
      <c r="M9" s="7"/>
    </row>
    <row r="10">
      <c r="A10" s="7"/>
      <c r="B10" s="15"/>
      <c r="C10" s="15"/>
      <c r="D10" s="15"/>
      <c r="E10" s="15"/>
      <c r="F10" s="7"/>
      <c r="G10" s="15"/>
      <c r="H10" s="15"/>
      <c r="I10" s="15"/>
      <c r="J10" s="15"/>
      <c r="K10" s="15"/>
      <c r="L10" s="7"/>
      <c r="M10" s="7"/>
    </row>
    <row r="11">
      <c r="A11" s="7"/>
      <c r="B11" s="15"/>
      <c r="C11" s="15"/>
      <c r="D11" s="15"/>
      <c r="E11" s="15"/>
      <c r="F11" s="7"/>
      <c r="G11" s="15"/>
      <c r="H11" s="15"/>
      <c r="I11" s="15"/>
      <c r="J11" s="15"/>
      <c r="K11" s="15"/>
      <c r="L11" s="7"/>
      <c r="M11" s="7"/>
    </row>
    <row r="12">
      <c r="A12" s="7"/>
      <c r="B12" s="15"/>
      <c r="C12" s="15"/>
      <c r="D12" s="15"/>
      <c r="E12" s="15"/>
      <c r="F12" s="7"/>
      <c r="G12" s="15"/>
      <c r="H12" s="15"/>
      <c r="I12" s="15"/>
      <c r="J12" s="15"/>
      <c r="K12" s="15"/>
      <c r="L12" s="7"/>
      <c r="M12" s="7"/>
    </row>
    <row r="13">
      <c r="A13" s="7"/>
      <c r="B13" s="15"/>
      <c r="C13" s="15"/>
      <c r="D13" s="15"/>
      <c r="E13" s="15"/>
      <c r="F13" s="7"/>
      <c r="G13" s="15"/>
      <c r="H13" s="15"/>
      <c r="I13" s="15"/>
      <c r="J13" s="15"/>
      <c r="K13" s="15"/>
      <c r="L13" s="7"/>
      <c r="M13" s="7"/>
    </row>
    <row r="14">
      <c r="A14" s="7"/>
      <c r="B14" s="15"/>
      <c r="C14" s="15"/>
      <c r="D14" s="15"/>
      <c r="E14" s="15"/>
      <c r="F14" s="7"/>
      <c r="G14" s="15"/>
      <c r="H14" s="15"/>
      <c r="I14" s="15"/>
      <c r="J14" s="15"/>
      <c r="K14" s="15"/>
      <c r="L14" s="7"/>
      <c r="M14" s="7"/>
    </row>
    <row r="15">
      <c r="A15" s="7"/>
      <c r="B15" s="15"/>
      <c r="C15" s="15"/>
      <c r="D15" s="15"/>
      <c r="E15" s="15"/>
      <c r="F15" s="7"/>
      <c r="G15" s="15"/>
      <c r="H15" s="15"/>
      <c r="I15" s="15"/>
      <c r="J15" s="15"/>
      <c r="K15" s="15"/>
      <c r="L15" s="7"/>
      <c r="M15" s="7"/>
    </row>
    <row r="16">
      <c r="A16" s="7"/>
      <c r="B16" s="15"/>
      <c r="C16" s="15"/>
      <c r="D16" s="15"/>
      <c r="E16" s="15"/>
      <c r="F16" s="7"/>
      <c r="G16" s="15"/>
      <c r="H16" s="15"/>
      <c r="I16" s="15"/>
      <c r="J16" s="15"/>
      <c r="K16" s="15"/>
      <c r="L16" s="7"/>
      <c r="M16" s="7"/>
    </row>
    <row r="17">
      <c r="A17" s="7"/>
      <c r="B17" s="15"/>
      <c r="C17" s="15"/>
      <c r="D17" s="15"/>
      <c r="E17" s="15"/>
      <c r="F17" s="7"/>
      <c r="G17" s="15"/>
      <c r="H17" s="15"/>
      <c r="I17" s="15"/>
      <c r="J17" s="15"/>
      <c r="K17" s="15"/>
      <c r="L17" s="7"/>
      <c r="M17" s="7"/>
    </row>
    <row r="18">
      <c r="A18" s="7"/>
      <c r="B18" s="15"/>
      <c r="C18" s="15"/>
      <c r="D18" s="15"/>
      <c r="E18" s="15"/>
      <c r="F18" s="7"/>
      <c r="G18" s="15"/>
      <c r="H18" s="15"/>
      <c r="I18" s="15"/>
      <c r="J18" s="15"/>
      <c r="K18" s="15"/>
      <c r="L18" s="7"/>
      <c r="M18" s="7"/>
    </row>
    <row r="19">
      <c r="A19" s="7"/>
      <c r="B19" s="15"/>
      <c r="C19" s="15"/>
      <c r="D19" s="15"/>
      <c r="E19" s="15"/>
      <c r="F19" s="7"/>
      <c r="G19" s="15"/>
      <c r="H19" s="15"/>
      <c r="I19" s="15"/>
      <c r="J19" s="15"/>
      <c r="K19" s="15"/>
      <c r="L19" s="7"/>
      <c r="M19" s="7"/>
    </row>
    <row r="20">
      <c r="A20" s="7"/>
      <c r="B20" s="15"/>
      <c r="C20" s="15"/>
      <c r="D20" s="15"/>
      <c r="E20" s="15"/>
      <c r="F20" s="7"/>
      <c r="G20" s="15"/>
      <c r="H20" s="15"/>
      <c r="I20" s="15"/>
      <c r="J20" s="15"/>
      <c r="K20" s="15"/>
      <c r="L20" s="7"/>
      <c r="M20" s="7"/>
    </row>
    <row r="21" ht="15.75" customHeight="1">
      <c r="A21" s="7"/>
      <c r="B21" s="15"/>
      <c r="C21" s="15"/>
      <c r="D21" s="15"/>
      <c r="E21" s="15"/>
      <c r="F21" s="7"/>
      <c r="G21" s="15"/>
      <c r="H21" s="15"/>
      <c r="I21" s="15"/>
      <c r="J21" s="15"/>
      <c r="K21" s="15"/>
      <c r="L21" s="7"/>
      <c r="M21" s="7"/>
    </row>
    <row r="22" ht="15.75" customHeight="1">
      <c r="A22" s="7"/>
      <c r="B22" s="15"/>
      <c r="C22" s="15"/>
      <c r="D22" s="15"/>
      <c r="E22" s="15"/>
      <c r="F22" s="7"/>
      <c r="G22" s="15"/>
      <c r="H22" s="15"/>
      <c r="I22" s="15"/>
      <c r="J22" s="15"/>
      <c r="K22" s="15"/>
      <c r="L22" s="7"/>
      <c r="M22" s="7"/>
    </row>
    <row r="23" ht="15.75" customHeight="1">
      <c r="A23" s="7"/>
      <c r="B23" s="15"/>
      <c r="C23" s="15"/>
      <c r="D23" s="15"/>
      <c r="E23" s="15"/>
      <c r="F23" s="7"/>
      <c r="G23" s="15"/>
      <c r="H23" s="15"/>
      <c r="I23" s="15"/>
      <c r="J23" s="15"/>
      <c r="K23" s="15"/>
      <c r="L23" s="7"/>
      <c r="M23" s="7"/>
    </row>
    <row r="24" ht="15.75" customHeight="1">
      <c r="A24" s="7"/>
      <c r="B24" s="15"/>
      <c r="C24" s="15"/>
      <c r="D24" s="15"/>
      <c r="E24" s="15"/>
      <c r="F24" s="7"/>
      <c r="G24" s="15"/>
      <c r="H24" s="15"/>
      <c r="I24" s="15"/>
      <c r="J24" s="15"/>
      <c r="K24" s="15"/>
      <c r="L24" s="7"/>
      <c r="M24" s="7"/>
    </row>
    <row r="25" ht="15.75" customHeight="1">
      <c r="A25" s="7"/>
      <c r="B25" s="15"/>
      <c r="C25" s="15"/>
      <c r="D25" s="15"/>
      <c r="E25" s="15"/>
      <c r="F25" s="7"/>
      <c r="G25" s="15"/>
      <c r="H25" s="15"/>
      <c r="I25" s="15"/>
      <c r="J25" s="15"/>
      <c r="K25" s="15"/>
      <c r="L25" s="7"/>
      <c r="M25" s="7"/>
    </row>
    <row r="26" ht="15.75" customHeight="1">
      <c r="A26" s="7"/>
      <c r="B26" s="15"/>
      <c r="C26" s="15"/>
      <c r="D26" s="15"/>
      <c r="E26" s="15"/>
      <c r="F26" s="7"/>
      <c r="G26" s="15"/>
      <c r="H26" s="15"/>
      <c r="I26" s="15"/>
      <c r="J26" s="15"/>
      <c r="K26" s="15"/>
      <c r="L26" s="7"/>
      <c r="M26" s="7"/>
    </row>
    <row r="27" ht="15.75" customHeight="1">
      <c r="A27" s="7"/>
      <c r="B27" s="15"/>
      <c r="C27" s="15"/>
      <c r="D27" s="15"/>
      <c r="E27" s="15"/>
      <c r="F27" s="7"/>
      <c r="G27" s="15"/>
      <c r="H27" s="15"/>
      <c r="I27" s="15"/>
      <c r="J27" s="15"/>
      <c r="K27" s="15"/>
      <c r="L27" s="7"/>
      <c r="M27" s="7"/>
    </row>
    <row r="28" ht="15.75" customHeight="1">
      <c r="A28" s="7"/>
      <c r="B28" s="15"/>
      <c r="C28" s="15"/>
      <c r="D28" s="15"/>
      <c r="E28" s="15"/>
      <c r="F28" s="7"/>
      <c r="G28" s="15"/>
      <c r="H28" s="15"/>
      <c r="I28" s="15"/>
      <c r="J28" s="15"/>
      <c r="K28" s="15"/>
      <c r="L28" s="7"/>
      <c r="M28" s="7"/>
    </row>
    <row r="29" ht="15.75" customHeight="1">
      <c r="A29" s="7"/>
      <c r="B29" s="15"/>
      <c r="C29" s="15"/>
      <c r="D29" s="15"/>
      <c r="E29" s="15"/>
      <c r="F29" s="7"/>
      <c r="G29" s="15"/>
      <c r="H29" s="15"/>
      <c r="I29" s="15"/>
      <c r="J29" s="15"/>
      <c r="K29" s="15"/>
      <c r="L29" s="7"/>
      <c r="M29" s="7"/>
    </row>
    <row r="30" ht="15.75" customHeight="1">
      <c r="A30" s="7"/>
      <c r="B30" s="15"/>
      <c r="C30" s="15"/>
      <c r="D30" s="15"/>
      <c r="E30" s="15"/>
      <c r="F30" s="7"/>
      <c r="G30" s="15"/>
      <c r="H30" s="15"/>
      <c r="I30" s="15"/>
      <c r="J30" s="15"/>
      <c r="K30" s="15"/>
      <c r="L30" s="7"/>
      <c r="M30" s="7"/>
    </row>
    <row r="31" ht="15.75" customHeight="1">
      <c r="A31" s="7"/>
      <c r="B31" s="15"/>
      <c r="C31" s="15"/>
      <c r="D31" s="15"/>
      <c r="E31" s="15"/>
      <c r="F31" s="7"/>
      <c r="G31" s="15"/>
      <c r="H31" s="15"/>
      <c r="I31" s="15"/>
      <c r="J31" s="15"/>
      <c r="K31" s="15"/>
      <c r="L31" s="7"/>
      <c r="M31" s="7"/>
    </row>
    <row r="32" ht="15.75" customHeight="1">
      <c r="A32" s="7"/>
      <c r="B32" s="15"/>
      <c r="C32" s="15"/>
      <c r="D32" s="15"/>
      <c r="E32" s="15"/>
      <c r="F32" s="7"/>
      <c r="G32" s="15"/>
      <c r="H32" s="15"/>
      <c r="I32" s="15"/>
      <c r="J32" s="15"/>
      <c r="K32" s="15"/>
      <c r="L32" s="7"/>
      <c r="M32" s="7"/>
    </row>
    <row r="33" ht="15.75" customHeight="1">
      <c r="A33" s="7"/>
      <c r="B33" s="15"/>
      <c r="C33" s="15"/>
      <c r="D33" s="15"/>
      <c r="E33" s="15"/>
      <c r="F33" s="7"/>
      <c r="G33" s="15"/>
      <c r="H33" s="15"/>
      <c r="I33" s="15"/>
      <c r="J33" s="15"/>
      <c r="K33" s="15"/>
      <c r="L33" s="7"/>
      <c r="M33" s="7"/>
    </row>
    <row r="34" ht="15.75" customHeight="1">
      <c r="A34" s="7"/>
      <c r="B34" s="15"/>
      <c r="C34" s="15"/>
      <c r="D34" s="15"/>
      <c r="E34" s="15"/>
      <c r="F34" s="7"/>
      <c r="G34" s="15"/>
      <c r="H34" s="15"/>
      <c r="I34" s="15"/>
      <c r="J34" s="15"/>
      <c r="K34" s="15"/>
      <c r="L34" s="7"/>
      <c r="M34" s="7"/>
    </row>
    <row r="35" ht="15.75" customHeight="1">
      <c r="A35" s="7"/>
      <c r="B35" s="15"/>
      <c r="C35" s="15"/>
      <c r="D35" s="15"/>
      <c r="E35" s="15"/>
      <c r="F35" s="7"/>
      <c r="G35" s="15"/>
      <c r="H35" s="15"/>
      <c r="I35" s="15"/>
      <c r="J35" s="15"/>
      <c r="K35" s="15"/>
      <c r="L35" s="7"/>
      <c r="M35" s="7"/>
    </row>
    <row r="36" ht="15.75" customHeight="1">
      <c r="A36" s="7"/>
      <c r="B36" s="15"/>
      <c r="C36" s="15"/>
      <c r="D36" s="15"/>
      <c r="E36" s="15"/>
      <c r="F36" s="7"/>
      <c r="G36" s="15"/>
      <c r="H36" s="15"/>
      <c r="I36" s="15"/>
      <c r="J36" s="15"/>
      <c r="K36" s="15"/>
      <c r="L36" s="7"/>
      <c r="M36" s="7"/>
    </row>
    <row r="37" ht="15.75" customHeight="1">
      <c r="A37" s="7"/>
      <c r="B37" s="15"/>
      <c r="C37" s="15"/>
      <c r="D37" s="15"/>
      <c r="E37" s="15"/>
      <c r="F37" s="7"/>
      <c r="G37" s="15"/>
      <c r="H37" s="15"/>
      <c r="I37" s="15"/>
      <c r="J37" s="15"/>
      <c r="K37" s="15"/>
      <c r="L37" s="7"/>
      <c r="M37" s="7"/>
    </row>
    <row r="38" ht="15.75" customHeight="1">
      <c r="A38" s="7"/>
      <c r="B38" s="15"/>
      <c r="C38" s="15"/>
      <c r="D38" s="15"/>
      <c r="E38" s="15"/>
      <c r="F38" s="7"/>
      <c r="G38" s="15"/>
      <c r="H38" s="15"/>
      <c r="I38" s="15"/>
      <c r="J38" s="15"/>
      <c r="K38" s="15"/>
      <c r="L38" s="7"/>
      <c r="M38" s="7"/>
    </row>
    <row r="39" ht="15.75" customHeight="1">
      <c r="A39" s="7"/>
      <c r="B39" s="15"/>
      <c r="C39" s="15"/>
      <c r="D39" s="15"/>
      <c r="E39" s="15"/>
      <c r="F39" s="7"/>
      <c r="G39" s="15"/>
      <c r="H39" s="15"/>
      <c r="I39" s="15"/>
      <c r="J39" s="15"/>
      <c r="K39" s="15"/>
      <c r="L39" s="7"/>
      <c r="M39" s="7"/>
    </row>
    <row r="40" ht="15.75" customHeight="1">
      <c r="A40" s="7"/>
      <c r="B40" s="15"/>
      <c r="C40" s="15"/>
      <c r="D40" s="15"/>
      <c r="E40" s="15"/>
      <c r="F40" s="7"/>
      <c r="G40" s="15"/>
      <c r="H40" s="15"/>
      <c r="I40" s="15"/>
      <c r="J40" s="15"/>
      <c r="K40" s="15"/>
      <c r="L40" s="7"/>
      <c r="M40" s="7"/>
    </row>
    <row r="41" ht="15.75" customHeight="1">
      <c r="A41" s="7"/>
      <c r="B41" s="15"/>
      <c r="C41" s="15"/>
      <c r="D41" s="15"/>
      <c r="E41" s="15"/>
      <c r="F41" s="7"/>
      <c r="G41" s="15"/>
      <c r="H41" s="15"/>
      <c r="I41" s="15"/>
      <c r="J41" s="15"/>
      <c r="K41" s="15"/>
      <c r="L41" s="7"/>
      <c r="M41" s="7"/>
    </row>
    <row r="42" ht="15.75" customHeight="1">
      <c r="A42" s="7"/>
      <c r="B42" s="15"/>
      <c r="C42" s="15"/>
      <c r="D42" s="15"/>
      <c r="E42" s="15"/>
      <c r="F42" s="7"/>
      <c r="G42" s="15"/>
      <c r="H42" s="15"/>
      <c r="I42" s="15"/>
      <c r="J42" s="15"/>
      <c r="K42" s="15"/>
      <c r="L42" s="7"/>
      <c r="M42" s="7"/>
    </row>
    <row r="43" ht="15.75" customHeight="1">
      <c r="A43" s="7"/>
      <c r="B43" s="15"/>
      <c r="C43" s="15"/>
      <c r="D43" s="15"/>
      <c r="E43" s="15"/>
      <c r="F43" s="7"/>
      <c r="G43" s="15"/>
      <c r="H43" s="15"/>
      <c r="I43" s="15"/>
      <c r="J43" s="15"/>
      <c r="K43" s="15"/>
      <c r="L43" s="7"/>
      <c r="M43" s="7"/>
    </row>
    <row r="44" ht="15.75" customHeight="1">
      <c r="A44" s="7"/>
      <c r="B44" s="15"/>
      <c r="C44" s="15"/>
      <c r="D44" s="15"/>
      <c r="E44" s="15"/>
      <c r="F44" s="7"/>
      <c r="G44" s="15"/>
      <c r="H44" s="15"/>
      <c r="I44" s="15"/>
      <c r="J44" s="15"/>
      <c r="K44" s="15"/>
      <c r="L44" s="7"/>
      <c r="M44" s="7"/>
    </row>
    <row r="45" ht="15.75" customHeight="1">
      <c r="A45" s="7"/>
      <c r="B45" s="15"/>
      <c r="C45" s="15"/>
      <c r="D45" s="15"/>
      <c r="E45" s="15"/>
      <c r="F45" s="7"/>
      <c r="G45" s="15"/>
      <c r="H45" s="15"/>
      <c r="I45" s="15"/>
      <c r="J45" s="15"/>
      <c r="K45" s="15"/>
      <c r="L45" s="7"/>
      <c r="M45" s="7"/>
    </row>
    <row r="46" ht="15.75" customHeight="1">
      <c r="A46" s="7"/>
      <c r="B46" s="15"/>
      <c r="C46" s="15"/>
      <c r="D46" s="15"/>
      <c r="E46" s="15"/>
      <c r="F46" s="7"/>
      <c r="G46" s="15"/>
      <c r="H46" s="15"/>
      <c r="I46" s="15"/>
      <c r="J46" s="15"/>
      <c r="K46" s="15"/>
      <c r="L46" s="7"/>
      <c r="M46" s="7"/>
    </row>
    <row r="47" ht="15.75" customHeight="1">
      <c r="A47" s="7"/>
      <c r="B47" s="15"/>
      <c r="C47" s="15"/>
      <c r="D47" s="15"/>
      <c r="E47" s="15"/>
      <c r="F47" s="7"/>
      <c r="G47" s="15"/>
      <c r="H47" s="15"/>
      <c r="I47" s="15"/>
      <c r="J47" s="15"/>
      <c r="K47" s="15"/>
      <c r="L47" s="7"/>
      <c r="M47" s="7"/>
    </row>
    <row r="48" ht="15.75" customHeight="1">
      <c r="A48" s="7"/>
      <c r="B48" s="15"/>
      <c r="C48" s="15"/>
      <c r="D48" s="15"/>
      <c r="E48" s="15"/>
      <c r="F48" s="7"/>
      <c r="G48" s="15"/>
      <c r="H48" s="15"/>
      <c r="I48" s="15"/>
      <c r="J48" s="15"/>
      <c r="K48" s="15"/>
      <c r="L48" s="7"/>
      <c r="M48" s="7"/>
    </row>
    <row r="49" ht="15.75" customHeight="1">
      <c r="A49" s="7"/>
      <c r="B49" s="15"/>
      <c r="C49" s="15"/>
      <c r="D49" s="15"/>
      <c r="E49" s="15"/>
      <c r="F49" s="7"/>
      <c r="G49" s="15"/>
      <c r="H49" s="15"/>
      <c r="I49" s="15"/>
      <c r="J49" s="15"/>
      <c r="K49" s="15"/>
      <c r="L49" s="7"/>
      <c r="M49" s="7"/>
    </row>
    <row r="50" ht="15.75" customHeight="1">
      <c r="A50" s="7"/>
      <c r="B50" s="15"/>
      <c r="C50" s="15"/>
      <c r="D50" s="15"/>
      <c r="E50" s="15"/>
      <c r="F50" s="7"/>
      <c r="G50" s="15"/>
      <c r="H50" s="15"/>
      <c r="I50" s="15"/>
      <c r="J50" s="15"/>
      <c r="K50" s="15"/>
      <c r="L50" s="7"/>
      <c r="M50" s="7"/>
    </row>
    <row r="51" ht="15.75" customHeight="1">
      <c r="A51" s="7"/>
      <c r="B51" s="15"/>
      <c r="C51" s="15"/>
      <c r="D51" s="15"/>
      <c r="E51" s="15"/>
      <c r="F51" s="7"/>
      <c r="G51" s="15"/>
      <c r="H51" s="15"/>
      <c r="I51" s="15"/>
      <c r="J51" s="15"/>
      <c r="K51" s="15"/>
      <c r="L51" s="7"/>
      <c r="M51" s="7"/>
    </row>
    <row r="52" ht="15.75" customHeight="1">
      <c r="A52" s="7"/>
      <c r="B52" s="15"/>
      <c r="C52" s="15"/>
      <c r="D52" s="15"/>
      <c r="E52" s="15"/>
      <c r="F52" s="7"/>
      <c r="G52" s="15"/>
      <c r="H52" s="15"/>
      <c r="I52" s="15"/>
      <c r="J52" s="15"/>
      <c r="K52" s="15"/>
      <c r="L52" s="7"/>
      <c r="M52" s="7"/>
    </row>
    <row r="53" ht="15.75" customHeight="1">
      <c r="A53" s="7"/>
      <c r="B53" s="15"/>
      <c r="C53" s="15"/>
      <c r="D53" s="15"/>
      <c r="E53" s="15"/>
      <c r="F53" s="7"/>
      <c r="G53" s="15"/>
      <c r="H53" s="15"/>
      <c r="I53" s="15"/>
      <c r="J53" s="15"/>
      <c r="K53" s="15"/>
      <c r="L53" s="7"/>
      <c r="M53" s="7"/>
    </row>
    <row r="54" ht="15.75" customHeight="1">
      <c r="A54" s="7"/>
      <c r="B54" s="15"/>
      <c r="C54" s="15"/>
      <c r="D54" s="15"/>
      <c r="E54" s="15"/>
      <c r="F54" s="7"/>
      <c r="G54" s="15"/>
      <c r="H54" s="15"/>
      <c r="I54" s="15"/>
      <c r="J54" s="15"/>
      <c r="K54" s="15"/>
      <c r="L54" s="7"/>
      <c r="M54" s="7"/>
    </row>
    <row r="55" ht="15.75" customHeight="1">
      <c r="A55" s="7"/>
      <c r="B55" s="15"/>
      <c r="C55" s="15"/>
      <c r="D55" s="15"/>
      <c r="E55" s="15"/>
      <c r="F55" s="7"/>
      <c r="G55" s="15"/>
      <c r="H55" s="15"/>
      <c r="I55" s="15"/>
      <c r="J55" s="15"/>
      <c r="K55" s="15"/>
      <c r="L55" s="7"/>
      <c r="M55" s="7"/>
    </row>
    <row r="56" ht="15.75" customHeight="1">
      <c r="A56" s="7"/>
      <c r="B56" s="15"/>
      <c r="C56" s="15"/>
      <c r="D56" s="15"/>
      <c r="E56" s="15"/>
      <c r="F56" s="7"/>
      <c r="G56" s="15"/>
      <c r="H56" s="15"/>
      <c r="I56" s="15"/>
      <c r="J56" s="15"/>
      <c r="K56" s="15"/>
      <c r="L56" s="7"/>
      <c r="M56" s="7"/>
    </row>
    <row r="57" ht="15.75" customHeight="1">
      <c r="A57" s="7"/>
      <c r="B57" s="15"/>
      <c r="C57" s="15"/>
      <c r="D57" s="15"/>
      <c r="E57" s="15"/>
      <c r="F57" s="7"/>
      <c r="G57" s="15"/>
      <c r="H57" s="15"/>
      <c r="I57" s="15"/>
      <c r="J57" s="15"/>
      <c r="K57" s="15"/>
      <c r="L57" s="7"/>
      <c r="M57" s="7"/>
    </row>
    <row r="58" ht="15.75" customHeight="1">
      <c r="A58" s="7"/>
      <c r="B58" s="15"/>
      <c r="C58" s="15"/>
      <c r="D58" s="15"/>
      <c r="E58" s="15"/>
      <c r="F58" s="7"/>
      <c r="G58" s="15"/>
      <c r="H58" s="15"/>
      <c r="I58" s="15"/>
      <c r="J58" s="15"/>
      <c r="K58" s="15"/>
      <c r="L58" s="7"/>
      <c r="M58" s="7"/>
    </row>
    <row r="59" ht="15.75" customHeight="1">
      <c r="A59" s="7"/>
      <c r="B59" s="15"/>
      <c r="C59" s="15"/>
      <c r="D59" s="15"/>
      <c r="E59" s="15"/>
      <c r="F59" s="7"/>
      <c r="G59" s="15"/>
      <c r="H59" s="15"/>
      <c r="I59" s="15"/>
      <c r="J59" s="15"/>
      <c r="K59" s="15"/>
      <c r="L59" s="7"/>
      <c r="M59" s="7"/>
    </row>
    <row r="60" ht="15.75" customHeight="1">
      <c r="A60" s="7"/>
      <c r="B60" s="15"/>
      <c r="C60" s="15"/>
      <c r="D60" s="15"/>
      <c r="E60" s="15"/>
      <c r="F60" s="7"/>
      <c r="G60" s="15"/>
      <c r="H60" s="15"/>
      <c r="I60" s="15"/>
      <c r="J60" s="15"/>
      <c r="K60" s="15"/>
      <c r="L60" s="7"/>
      <c r="M60" s="7"/>
    </row>
    <row r="61" ht="15.75" customHeight="1">
      <c r="A61" s="7"/>
      <c r="B61" s="15"/>
      <c r="C61" s="15"/>
      <c r="D61" s="15"/>
      <c r="E61" s="15"/>
      <c r="F61" s="7"/>
      <c r="G61" s="15"/>
      <c r="H61" s="15"/>
      <c r="I61" s="15"/>
      <c r="J61" s="15"/>
      <c r="K61" s="15"/>
      <c r="L61" s="7"/>
      <c r="M61" s="7"/>
    </row>
    <row r="62" ht="15.75" customHeight="1">
      <c r="A62" s="7"/>
      <c r="B62" s="15"/>
      <c r="C62" s="15"/>
      <c r="D62" s="15"/>
      <c r="E62" s="15"/>
      <c r="F62" s="7"/>
      <c r="G62" s="15"/>
      <c r="H62" s="15"/>
      <c r="I62" s="15"/>
      <c r="J62" s="15"/>
      <c r="K62" s="15"/>
      <c r="L62" s="7"/>
      <c r="M62" s="7"/>
    </row>
    <row r="63" ht="15.75" customHeight="1">
      <c r="A63" s="7"/>
      <c r="B63" s="15"/>
      <c r="C63" s="15"/>
      <c r="D63" s="15"/>
      <c r="E63" s="15"/>
      <c r="F63" s="7"/>
      <c r="G63" s="15"/>
      <c r="H63" s="15"/>
      <c r="I63" s="15"/>
      <c r="J63" s="15"/>
      <c r="K63" s="15"/>
      <c r="L63" s="7"/>
      <c r="M63" s="7"/>
    </row>
    <row r="64" ht="15.75" customHeight="1">
      <c r="A64" s="7"/>
      <c r="B64" s="15"/>
      <c r="C64" s="15"/>
      <c r="D64" s="15"/>
      <c r="E64" s="15"/>
      <c r="F64" s="7"/>
      <c r="G64" s="15"/>
      <c r="H64" s="15"/>
      <c r="I64" s="15"/>
      <c r="J64" s="15"/>
      <c r="K64" s="15"/>
      <c r="L64" s="7"/>
      <c r="M64" s="7"/>
    </row>
    <row r="65" ht="15.75" customHeight="1">
      <c r="A65" s="7"/>
      <c r="B65" s="15"/>
      <c r="C65" s="15"/>
      <c r="D65" s="15"/>
      <c r="E65" s="15"/>
      <c r="F65" s="7"/>
      <c r="G65" s="15"/>
      <c r="H65" s="15"/>
      <c r="I65" s="15"/>
      <c r="J65" s="15"/>
      <c r="K65" s="15"/>
      <c r="L65" s="7"/>
      <c r="M65" s="7"/>
    </row>
    <row r="66" ht="15.75" customHeight="1">
      <c r="A66" s="7"/>
      <c r="B66" s="15"/>
      <c r="C66" s="15"/>
      <c r="D66" s="15"/>
      <c r="E66" s="15"/>
      <c r="F66" s="7"/>
      <c r="G66" s="15"/>
      <c r="H66" s="15"/>
      <c r="I66" s="15"/>
      <c r="J66" s="15"/>
      <c r="K66" s="15"/>
      <c r="L66" s="7"/>
      <c r="M66" s="7"/>
    </row>
    <row r="67" ht="15.75" customHeight="1">
      <c r="A67" s="7"/>
      <c r="B67" s="15"/>
      <c r="C67" s="15"/>
      <c r="D67" s="15"/>
      <c r="E67" s="15"/>
      <c r="F67" s="7"/>
      <c r="G67" s="15"/>
      <c r="H67" s="15"/>
      <c r="I67" s="15"/>
      <c r="J67" s="15"/>
      <c r="K67" s="15"/>
      <c r="L67" s="7"/>
      <c r="M67" s="7"/>
    </row>
    <row r="68" ht="15.75" customHeight="1">
      <c r="A68" s="7"/>
      <c r="B68" s="15"/>
      <c r="C68" s="15"/>
      <c r="D68" s="15"/>
      <c r="E68" s="15"/>
      <c r="F68" s="7"/>
      <c r="G68" s="15"/>
      <c r="H68" s="15"/>
      <c r="I68" s="15"/>
      <c r="J68" s="15"/>
      <c r="K68" s="15"/>
      <c r="L68" s="7"/>
      <c r="M68" s="7"/>
    </row>
    <row r="69" ht="15.75" customHeight="1">
      <c r="A69" s="7"/>
      <c r="B69" s="15"/>
      <c r="C69" s="15"/>
      <c r="D69" s="15"/>
      <c r="E69" s="15"/>
      <c r="F69" s="7"/>
      <c r="G69" s="15"/>
      <c r="H69" s="15"/>
      <c r="I69" s="15"/>
      <c r="J69" s="15"/>
      <c r="K69" s="15"/>
      <c r="L69" s="7"/>
      <c r="M69" s="7"/>
    </row>
    <row r="70" ht="15.75" customHeight="1">
      <c r="A70" s="7"/>
      <c r="B70" s="15"/>
      <c r="C70" s="15"/>
      <c r="D70" s="15"/>
      <c r="E70" s="15"/>
      <c r="F70" s="7"/>
      <c r="G70" s="15"/>
      <c r="H70" s="15"/>
      <c r="I70" s="15"/>
      <c r="J70" s="15"/>
      <c r="K70" s="15"/>
      <c r="L70" s="7"/>
      <c r="M70" s="7"/>
    </row>
    <row r="71" ht="15.75" customHeight="1">
      <c r="A71" s="7"/>
      <c r="B71" s="15"/>
      <c r="C71" s="15"/>
      <c r="D71" s="15"/>
      <c r="E71" s="15"/>
      <c r="F71" s="7"/>
      <c r="G71" s="15"/>
      <c r="H71" s="15"/>
      <c r="I71" s="15"/>
      <c r="J71" s="15"/>
      <c r="K71" s="15"/>
      <c r="L71" s="7"/>
      <c r="M71" s="7"/>
    </row>
    <row r="72" ht="15.75" customHeight="1">
      <c r="A72" s="7"/>
      <c r="B72" s="15"/>
      <c r="C72" s="15"/>
      <c r="D72" s="15"/>
      <c r="E72" s="15"/>
      <c r="F72" s="7"/>
      <c r="G72" s="15"/>
      <c r="H72" s="15"/>
      <c r="I72" s="15"/>
      <c r="J72" s="15"/>
      <c r="K72" s="15"/>
      <c r="L72" s="7"/>
      <c r="M72" s="7"/>
    </row>
    <row r="73" ht="15.75" customHeight="1">
      <c r="A73" s="7"/>
      <c r="B73" s="15"/>
      <c r="C73" s="15"/>
      <c r="D73" s="15"/>
      <c r="E73" s="15"/>
      <c r="F73" s="7"/>
      <c r="G73" s="15"/>
      <c r="H73" s="15"/>
      <c r="I73" s="15"/>
      <c r="J73" s="15"/>
      <c r="K73" s="15"/>
      <c r="L73" s="7"/>
      <c r="M73" s="7"/>
    </row>
    <row r="74" ht="15.75" customHeight="1">
      <c r="A74" s="7"/>
      <c r="B74" s="15"/>
      <c r="C74" s="15"/>
      <c r="D74" s="15"/>
      <c r="E74" s="15"/>
      <c r="F74" s="7"/>
      <c r="G74" s="15"/>
      <c r="H74" s="15"/>
      <c r="I74" s="15"/>
      <c r="J74" s="15"/>
      <c r="K74" s="15"/>
      <c r="L74" s="7"/>
      <c r="M74" s="7"/>
    </row>
    <row r="75" ht="15.75" customHeight="1">
      <c r="A75" s="7"/>
      <c r="B75" s="15"/>
      <c r="C75" s="15"/>
      <c r="D75" s="15"/>
      <c r="E75" s="15"/>
      <c r="F75" s="7"/>
      <c r="G75" s="15"/>
      <c r="H75" s="15"/>
      <c r="I75" s="15"/>
      <c r="J75" s="15"/>
      <c r="K75" s="15"/>
      <c r="L75" s="7"/>
      <c r="M75" s="7"/>
    </row>
    <row r="76" ht="15.75" customHeight="1">
      <c r="A76" s="7"/>
      <c r="B76" s="15"/>
      <c r="C76" s="15"/>
      <c r="D76" s="15"/>
      <c r="E76" s="15"/>
      <c r="F76" s="7"/>
      <c r="G76" s="15"/>
      <c r="H76" s="15"/>
      <c r="I76" s="15"/>
      <c r="J76" s="15"/>
      <c r="K76" s="15"/>
      <c r="L76" s="7"/>
      <c r="M76" s="7"/>
    </row>
    <row r="77" ht="15.75" customHeight="1">
      <c r="A77" s="7"/>
      <c r="B77" s="15"/>
      <c r="C77" s="15"/>
      <c r="D77" s="15"/>
      <c r="E77" s="15"/>
      <c r="F77" s="7"/>
      <c r="G77" s="15"/>
      <c r="H77" s="15"/>
      <c r="I77" s="15"/>
      <c r="J77" s="15"/>
      <c r="K77" s="15"/>
      <c r="L77" s="7"/>
      <c r="M77" s="7"/>
    </row>
    <row r="78" ht="15.75" customHeight="1">
      <c r="A78" s="7"/>
      <c r="B78" s="15"/>
      <c r="C78" s="15"/>
      <c r="D78" s="15"/>
      <c r="E78" s="15"/>
      <c r="F78" s="7"/>
      <c r="G78" s="15"/>
      <c r="H78" s="15"/>
      <c r="I78" s="15"/>
      <c r="J78" s="15"/>
      <c r="K78" s="15"/>
      <c r="L78" s="7"/>
      <c r="M78" s="7"/>
    </row>
    <row r="79" ht="15.75" customHeight="1">
      <c r="A79" s="7"/>
      <c r="B79" s="15"/>
      <c r="C79" s="15"/>
      <c r="D79" s="15"/>
      <c r="E79" s="15"/>
      <c r="F79" s="7"/>
      <c r="G79" s="15"/>
      <c r="H79" s="15"/>
      <c r="I79" s="15"/>
      <c r="J79" s="15"/>
      <c r="K79" s="15"/>
      <c r="L79" s="7"/>
      <c r="M79" s="7"/>
    </row>
    <row r="80" ht="15.75" customHeight="1">
      <c r="A80" s="7"/>
      <c r="B80" s="15"/>
      <c r="C80" s="15"/>
      <c r="D80" s="15"/>
      <c r="E80" s="15"/>
      <c r="F80" s="7"/>
      <c r="G80" s="15"/>
      <c r="H80" s="15"/>
      <c r="I80" s="15"/>
      <c r="J80" s="15"/>
      <c r="K80" s="15"/>
      <c r="L80" s="7"/>
      <c r="M80" s="7"/>
    </row>
    <row r="81" ht="15.75" customHeight="1">
      <c r="A81" s="7"/>
      <c r="B81" s="15"/>
      <c r="C81" s="15"/>
      <c r="D81" s="15"/>
      <c r="E81" s="15"/>
      <c r="F81" s="7"/>
      <c r="G81" s="15"/>
      <c r="H81" s="15"/>
      <c r="I81" s="15"/>
      <c r="J81" s="15"/>
      <c r="K81" s="15"/>
      <c r="L81" s="7"/>
      <c r="M81" s="7"/>
    </row>
    <row r="82" ht="15.75" customHeight="1">
      <c r="A82" s="7"/>
      <c r="B82" s="15"/>
      <c r="C82" s="15"/>
      <c r="D82" s="15"/>
      <c r="E82" s="15"/>
      <c r="F82" s="7"/>
      <c r="G82" s="15"/>
      <c r="H82" s="15"/>
      <c r="I82" s="15"/>
      <c r="J82" s="15"/>
      <c r="K82" s="15"/>
      <c r="L82" s="7"/>
      <c r="M82" s="7"/>
    </row>
    <row r="83" ht="15.75" customHeight="1">
      <c r="A83" s="7"/>
      <c r="B83" s="15"/>
      <c r="C83" s="15"/>
      <c r="D83" s="15"/>
      <c r="E83" s="15"/>
      <c r="F83" s="7"/>
      <c r="G83" s="15"/>
      <c r="H83" s="15"/>
      <c r="I83" s="15"/>
      <c r="J83" s="15"/>
      <c r="K83" s="15"/>
      <c r="L83" s="7"/>
      <c r="M83" s="7"/>
    </row>
    <row r="84" ht="15.75" customHeight="1">
      <c r="A84" s="7"/>
      <c r="B84" s="15"/>
      <c r="C84" s="15"/>
      <c r="D84" s="15"/>
      <c r="E84" s="15"/>
      <c r="F84" s="7"/>
      <c r="G84" s="15"/>
      <c r="H84" s="15"/>
      <c r="I84" s="15"/>
      <c r="J84" s="15"/>
      <c r="K84" s="15"/>
      <c r="L84" s="7"/>
      <c r="M84" s="7"/>
    </row>
    <row r="85" ht="15.75" customHeight="1">
      <c r="A85" s="7"/>
      <c r="B85" s="15"/>
      <c r="C85" s="15"/>
      <c r="D85" s="15"/>
      <c r="E85" s="15"/>
      <c r="F85" s="7"/>
      <c r="G85" s="15"/>
      <c r="H85" s="15"/>
      <c r="I85" s="15"/>
      <c r="J85" s="15"/>
      <c r="K85" s="15"/>
      <c r="L85" s="7"/>
      <c r="M85" s="7"/>
    </row>
    <row r="86" ht="15.75" customHeight="1">
      <c r="A86" s="7"/>
      <c r="B86" s="15"/>
      <c r="C86" s="15"/>
      <c r="D86" s="15"/>
      <c r="E86" s="15"/>
      <c r="F86" s="7"/>
      <c r="G86" s="15"/>
      <c r="H86" s="15"/>
      <c r="I86" s="15"/>
      <c r="J86" s="15"/>
      <c r="K86" s="15"/>
      <c r="L86" s="7"/>
      <c r="M86" s="7"/>
    </row>
    <row r="87" ht="15.75" customHeight="1">
      <c r="A87" s="7"/>
      <c r="B87" s="15"/>
      <c r="C87" s="15"/>
      <c r="D87" s="15"/>
      <c r="E87" s="15"/>
      <c r="F87" s="7"/>
      <c r="G87" s="15"/>
      <c r="H87" s="15"/>
      <c r="I87" s="15"/>
      <c r="J87" s="15"/>
      <c r="K87" s="15"/>
      <c r="L87" s="7"/>
      <c r="M87" s="7"/>
    </row>
    <row r="88" ht="15.75" customHeight="1">
      <c r="A88" s="7"/>
      <c r="B88" s="15"/>
      <c r="C88" s="15"/>
      <c r="D88" s="15"/>
      <c r="E88" s="15"/>
      <c r="F88" s="7"/>
      <c r="G88" s="15"/>
      <c r="H88" s="15"/>
      <c r="I88" s="15"/>
      <c r="J88" s="15"/>
      <c r="K88" s="15"/>
      <c r="L88" s="7"/>
      <c r="M88" s="7"/>
    </row>
    <row r="89" ht="15.75" customHeight="1">
      <c r="A89" s="7"/>
      <c r="B89" s="15"/>
      <c r="C89" s="15"/>
      <c r="D89" s="15"/>
      <c r="E89" s="15"/>
      <c r="F89" s="7"/>
      <c r="G89" s="15"/>
      <c r="H89" s="15"/>
      <c r="I89" s="15"/>
      <c r="J89" s="15"/>
      <c r="K89" s="15"/>
      <c r="L89" s="7"/>
      <c r="M89" s="7"/>
    </row>
    <row r="90" ht="15.75" customHeight="1">
      <c r="A90" s="7"/>
      <c r="B90" s="15"/>
      <c r="C90" s="15"/>
      <c r="D90" s="15"/>
      <c r="E90" s="15"/>
      <c r="F90" s="7"/>
      <c r="G90" s="15"/>
      <c r="H90" s="15"/>
      <c r="I90" s="15"/>
      <c r="J90" s="15"/>
      <c r="K90" s="15"/>
      <c r="L90" s="7"/>
      <c r="M90" s="7"/>
    </row>
    <row r="91" ht="15.75" customHeight="1">
      <c r="A91" s="7"/>
      <c r="B91" s="15"/>
      <c r="C91" s="15"/>
      <c r="D91" s="15"/>
      <c r="E91" s="15"/>
      <c r="F91" s="7"/>
      <c r="G91" s="15"/>
      <c r="H91" s="15"/>
      <c r="I91" s="15"/>
      <c r="J91" s="15"/>
      <c r="K91" s="15"/>
      <c r="L91" s="7"/>
      <c r="M91" s="7"/>
    </row>
    <row r="92" ht="15.75" customHeight="1">
      <c r="A92" s="7"/>
      <c r="B92" s="15"/>
      <c r="C92" s="15"/>
      <c r="D92" s="15"/>
      <c r="E92" s="15"/>
      <c r="F92" s="7"/>
      <c r="G92" s="15"/>
      <c r="H92" s="15"/>
      <c r="I92" s="15"/>
      <c r="J92" s="15"/>
      <c r="K92" s="15"/>
      <c r="L92" s="7"/>
      <c r="M92" s="7"/>
    </row>
    <row r="93" ht="15.75" customHeight="1">
      <c r="A93" s="7"/>
      <c r="B93" s="15"/>
      <c r="C93" s="15"/>
      <c r="D93" s="15"/>
      <c r="E93" s="15"/>
      <c r="F93" s="7"/>
      <c r="G93" s="15"/>
      <c r="H93" s="15"/>
      <c r="I93" s="15"/>
      <c r="J93" s="15"/>
      <c r="K93" s="15"/>
      <c r="L93" s="7"/>
      <c r="M93" s="7"/>
    </row>
    <row r="94" ht="15.75" customHeight="1">
      <c r="A94" s="7"/>
      <c r="B94" s="15"/>
      <c r="C94" s="15"/>
      <c r="D94" s="15"/>
      <c r="E94" s="15"/>
      <c r="F94" s="7"/>
      <c r="G94" s="15"/>
      <c r="H94" s="15"/>
      <c r="I94" s="15"/>
      <c r="J94" s="15"/>
      <c r="K94" s="15"/>
      <c r="L94" s="7"/>
      <c r="M94" s="7"/>
    </row>
    <row r="95" ht="15.75" customHeight="1">
      <c r="A95" s="7"/>
      <c r="B95" s="15"/>
      <c r="C95" s="15"/>
      <c r="D95" s="15"/>
      <c r="E95" s="15"/>
      <c r="F95" s="7"/>
      <c r="G95" s="15"/>
      <c r="H95" s="15"/>
      <c r="I95" s="15"/>
      <c r="J95" s="15"/>
      <c r="K95" s="15"/>
      <c r="L95" s="7"/>
      <c r="M95" s="7"/>
    </row>
    <row r="96" ht="15.75" customHeight="1">
      <c r="A96" s="7"/>
      <c r="B96" s="15"/>
      <c r="C96" s="15"/>
      <c r="D96" s="15"/>
      <c r="E96" s="15"/>
      <c r="F96" s="7"/>
      <c r="G96" s="15"/>
      <c r="H96" s="15"/>
      <c r="I96" s="15"/>
      <c r="J96" s="15"/>
      <c r="K96" s="15"/>
      <c r="L96" s="7"/>
      <c r="M96" s="7"/>
    </row>
    <row r="97" ht="15.75" customHeight="1">
      <c r="A97" s="7"/>
      <c r="B97" s="15"/>
      <c r="C97" s="15"/>
      <c r="D97" s="15"/>
      <c r="E97" s="15"/>
      <c r="F97" s="7"/>
      <c r="G97" s="15"/>
      <c r="H97" s="15"/>
      <c r="I97" s="15"/>
      <c r="J97" s="15"/>
      <c r="K97" s="15"/>
      <c r="L97" s="7"/>
      <c r="M97" s="7"/>
    </row>
    <row r="98" ht="15.75" customHeight="1">
      <c r="A98" s="7"/>
      <c r="B98" s="15"/>
      <c r="C98" s="15"/>
      <c r="D98" s="15"/>
      <c r="E98" s="15"/>
      <c r="F98" s="7"/>
      <c r="G98" s="15"/>
      <c r="H98" s="15"/>
      <c r="I98" s="15"/>
      <c r="J98" s="15"/>
      <c r="K98" s="15"/>
      <c r="L98" s="7"/>
      <c r="M98" s="7"/>
    </row>
    <row r="99" ht="15.75" customHeight="1">
      <c r="A99" s="7"/>
      <c r="B99" s="15"/>
      <c r="C99" s="15"/>
      <c r="D99" s="15"/>
      <c r="E99" s="15"/>
      <c r="F99" s="7"/>
      <c r="G99" s="15"/>
      <c r="H99" s="15"/>
      <c r="I99" s="15"/>
      <c r="J99" s="15"/>
      <c r="K99" s="15"/>
      <c r="L99" s="7"/>
      <c r="M99" s="7"/>
    </row>
    <row r="100" ht="15.75" customHeight="1">
      <c r="A100" s="7"/>
      <c r="B100" s="15"/>
      <c r="C100" s="15"/>
      <c r="D100" s="15"/>
      <c r="E100" s="15"/>
      <c r="F100" s="7"/>
      <c r="G100" s="15"/>
      <c r="H100" s="15"/>
      <c r="I100" s="15"/>
      <c r="J100" s="15"/>
      <c r="K100" s="15"/>
      <c r="L100" s="7"/>
      <c r="M100" s="7"/>
    </row>
    <row r="101" ht="15.75" customHeight="1">
      <c r="A101" s="7"/>
      <c r="B101" s="15"/>
      <c r="C101" s="15"/>
      <c r="D101" s="15"/>
      <c r="E101" s="15"/>
      <c r="F101" s="7"/>
      <c r="G101" s="15"/>
      <c r="H101" s="15"/>
      <c r="I101" s="15"/>
      <c r="J101" s="15"/>
      <c r="K101" s="15"/>
      <c r="L101" s="7"/>
      <c r="M101" s="7"/>
    </row>
    <row r="102" ht="15.75" customHeight="1">
      <c r="A102" s="7"/>
      <c r="B102" s="15"/>
      <c r="C102" s="15"/>
      <c r="D102" s="15"/>
      <c r="E102" s="15"/>
      <c r="F102" s="7"/>
      <c r="G102" s="15"/>
      <c r="H102" s="15"/>
      <c r="I102" s="15"/>
      <c r="J102" s="15"/>
      <c r="K102" s="15"/>
      <c r="L102" s="7"/>
      <c r="M102" s="7"/>
    </row>
    <row r="103" ht="15.75" customHeight="1">
      <c r="A103" s="7"/>
      <c r="B103" s="15"/>
      <c r="C103" s="15"/>
      <c r="D103" s="15"/>
      <c r="E103" s="15"/>
      <c r="F103" s="7"/>
      <c r="G103" s="15"/>
      <c r="H103" s="15"/>
      <c r="I103" s="15"/>
      <c r="J103" s="15"/>
      <c r="K103" s="15"/>
      <c r="L103" s="7"/>
      <c r="M103" s="7"/>
    </row>
    <row r="104" ht="15.75" customHeight="1">
      <c r="A104" s="7"/>
      <c r="B104" s="15"/>
      <c r="C104" s="15"/>
      <c r="D104" s="15"/>
      <c r="E104" s="15"/>
      <c r="F104" s="7"/>
      <c r="G104" s="15"/>
      <c r="H104" s="15"/>
      <c r="I104" s="15"/>
      <c r="J104" s="15"/>
      <c r="K104" s="15"/>
      <c r="L104" s="7"/>
      <c r="M104" s="7"/>
    </row>
    <row r="105" ht="15.75" customHeight="1">
      <c r="A105" s="7"/>
      <c r="B105" s="15"/>
      <c r="C105" s="15"/>
      <c r="D105" s="15"/>
      <c r="E105" s="15"/>
      <c r="F105" s="7"/>
      <c r="G105" s="15"/>
      <c r="H105" s="15"/>
      <c r="I105" s="15"/>
      <c r="J105" s="15"/>
      <c r="K105" s="15"/>
      <c r="L105" s="7"/>
      <c r="M105" s="7"/>
    </row>
    <row r="106" ht="15.75" customHeight="1">
      <c r="A106" s="7"/>
      <c r="B106" s="15"/>
      <c r="C106" s="15"/>
      <c r="D106" s="15"/>
      <c r="E106" s="15"/>
      <c r="F106" s="7"/>
      <c r="G106" s="15"/>
      <c r="H106" s="15"/>
      <c r="I106" s="15"/>
      <c r="J106" s="15"/>
      <c r="K106" s="15"/>
      <c r="L106" s="7"/>
      <c r="M106" s="7"/>
    </row>
    <row r="107" ht="15.75" customHeight="1">
      <c r="A107" s="7"/>
      <c r="B107" s="15"/>
      <c r="C107" s="15"/>
      <c r="D107" s="15"/>
      <c r="E107" s="15"/>
      <c r="F107" s="7"/>
      <c r="G107" s="15"/>
      <c r="H107" s="15"/>
      <c r="I107" s="15"/>
      <c r="J107" s="15"/>
      <c r="K107" s="15"/>
      <c r="L107" s="7"/>
      <c r="M107" s="7"/>
    </row>
    <row r="108" ht="15.75" customHeight="1">
      <c r="A108" s="7"/>
      <c r="B108" s="15"/>
      <c r="C108" s="15"/>
      <c r="D108" s="15"/>
      <c r="E108" s="15"/>
      <c r="F108" s="7"/>
      <c r="G108" s="15"/>
      <c r="H108" s="15"/>
      <c r="I108" s="15"/>
      <c r="J108" s="15"/>
      <c r="K108" s="15"/>
      <c r="L108" s="7"/>
      <c r="M108" s="7"/>
    </row>
    <row r="109" ht="15.75" customHeight="1">
      <c r="A109" s="7"/>
      <c r="B109" s="15"/>
      <c r="C109" s="15"/>
      <c r="D109" s="15"/>
      <c r="E109" s="15"/>
      <c r="F109" s="7"/>
      <c r="G109" s="15"/>
      <c r="H109" s="15"/>
      <c r="I109" s="15"/>
      <c r="J109" s="15"/>
      <c r="K109" s="15"/>
      <c r="L109" s="7"/>
      <c r="M109" s="7"/>
    </row>
    <row r="110" ht="15.75" customHeight="1">
      <c r="A110" s="7"/>
      <c r="B110" s="15"/>
      <c r="C110" s="15"/>
      <c r="D110" s="15"/>
      <c r="E110" s="15"/>
      <c r="F110" s="7"/>
      <c r="G110" s="15"/>
      <c r="H110" s="15"/>
      <c r="I110" s="15"/>
      <c r="J110" s="15"/>
      <c r="K110" s="15"/>
      <c r="L110" s="7"/>
      <c r="M110" s="7"/>
    </row>
    <row r="111" ht="15.75" customHeight="1">
      <c r="A111" s="7"/>
      <c r="B111" s="15"/>
      <c r="C111" s="15"/>
      <c r="D111" s="15"/>
      <c r="E111" s="15"/>
      <c r="F111" s="7"/>
      <c r="G111" s="15"/>
      <c r="H111" s="15"/>
      <c r="I111" s="15"/>
      <c r="J111" s="15"/>
      <c r="K111" s="15"/>
      <c r="L111" s="7"/>
      <c r="M111" s="7"/>
    </row>
    <row r="112" ht="15.75" customHeight="1">
      <c r="A112" s="7"/>
      <c r="B112" s="15"/>
      <c r="C112" s="15"/>
      <c r="D112" s="15"/>
      <c r="E112" s="15"/>
      <c r="F112" s="7"/>
      <c r="G112" s="15"/>
      <c r="H112" s="15"/>
      <c r="I112" s="15"/>
      <c r="J112" s="15"/>
      <c r="K112" s="15"/>
      <c r="L112" s="7"/>
      <c r="M112" s="7"/>
    </row>
    <row r="113" ht="15.75" customHeight="1">
      <c r="A113" s="7"/>
      <c r="B113" s="15"/>
      <c r="C113" s="15"/>
      <c r="D113" s="15"/>
      <c r="E113" s="15"/>
      <c r="F113" s="7"/>
      <c r="G113" s="15"/>
      <c r="H113" s="15"/>
      <c r="I113" s="15"/>
      <c r="J113" s="15"/>
      <c r="K113" s="15"/>
      <c r="L113" s="7"/>
      <c r="M113" s="7"/>
    </row>
    <row r="114" ht="15.75" customHeight="1">
      <c r="A114" s="7"/>
      <c r="B114" s="15"/>
      <c r="C114" s="15"/>
      <c r="D114" s="15"/>
      <c r="E114" s="15"/>
      <c r="F114" s="7"/>
      <c r="G114" s="15"/>
      <c r="H114" s="15"/>
      <c r="I114" s="15"/>
      <c r="J114" s="15"/>
      <c r="K114" s="15"/>
      <c r="L114" s="7"/>
      <c r="M114" s="7"/>
    </row>
    <row r="115" ht="15.75" customHeight="1">
      <c r="A115" s="7"/>
      <c r="B115" s="15"/>
      <c r="C115" s="15"/>
      <c r="D115" s="15"/>
      <c r="E115" s="15"/>
      <c r="F115" s="7"/>
      <c r="G115" s="15"/>
      <c r="H115" s="15"/>
      <c r="I115" s="15"/>
      <c r="J115" s="15"/>
      <c r="K115" s="15"/>
      <c r="L115" s="7"/>
      <c r="M115" s="7"/>
    </row>
    <row r="116" ht="15.75" customHeight="1">
      <c r="A116" s="7"/>
      <c r="B116" s="15"/>
      <c r="C116" s="15"/>
      <c r="D116" s="15"/>
      <c r="E116" s="15"/>
      <c r="F116" s="7"/>
      <c r="G116" s="15"/>
      <c r="H116" s="15"/>
      <c r="I116" s="15"/>
      <c r="J116" s="15"/>
      <c r="K116" s="15"/>
      <c r="L116" s="7"/>
      <c r="M116" s="7"/>
    </row>
    <row r="117" ht="15.75" customHeight="1">
      <c r="A117" s="7"/>
      <c r="B117" s="15"/>
      <c r="C117" s="15"/>
      <c r="D117" s="15"/>
      <c r="E117" s="15"/>
      <c r="F117" s="7"/>
      <c r="G117" s="15"/>
      <c r="H117" s="15"/>
      <c r="I117" s="15"/>
      <c r="J117" s="15"/>
      <c r="K117" s="15"/>
      <c r="L117" s="7"/>
      <c r="M117" s="7"/>
    </row>
    <row r="118" ht="15.75" customHeight="1">
      <c r="A118" s="7"/>
      <c r="B118" s="15"/>
      <c r="C118" s="15"/>
      <c r="D118" s="15"/>
      <c r="E118" s="15"/>
      <c r="F118" s="7"/>
      <c r="G118" s="15"/>
      <c r="H118" s="15"/>
      <c r="I118" s="15"/>
      <c r="J118" s="15"/>
      <c r="K118" s="15"/>
      <c r="L118" s="7"/>
      <c r="M118" s="7"/>
    </row>
    <row r="119" ht="15.75" customHeight="1">
      <c r="A119" s="7"/>
      <c r="B119" s="15"/>
      <c r="C119" s="15"/>
      <c r="D119" s="15"/>
      <c r="E119" s="15"/>
      <c r="F119" s="7"/>
      <c r="G119" s="15"/>
      <c r="H119" s="15"/>
      <c r="I119" s="15"/>
      <c r="J119" s="15"/>
      <c r="K119" s="15"/>
      <c r="L119" s="7"/>
      <c r="M119" s="7"/>
    </row>
    <row r="120" ht="15.75" customHeight="1">
      <c r="A120" s="7"/>
      <c r="B120" s="15"/>
      <c r="C120" s="15"/>
      <c r="D120" s="15"/>
      <c r="E120" s="15"/>
      <c r="F120" s="7"/>
      <c r="G120" s="15"/>
      <c r="H120" s="15"/>
      <c r="I120" s="15"/>
      <c r="J120" s="15"/>
      <c r="K120" s="15"/>
      <c r="L120" s="7"/>
      <c r="M120" s="7"/>
    </row>
    <row r="121" ht="15.75" customHeight="1">
      <c r="A121" s="7"/>
      <c r="B121" s="15"/>
      <c r="C121" s="15"/>
      <c r="D121" s="15"/>
      <c r="E121" s="15"/>
      <c r="F121" s="7"/>
      <c r="G121" s="15"/>
      <c r="H121" s="15"/>
      <c r="I121" s="15"/>
      <c r="J121" s="15"/>
      <c r="K121" s="15"/>
      <c r="L121" s="7"/>
      <c r="M121" s="7"/>
    </row>
    <row r="122" ht="15.75" customHeight="1">
      <c r="A122" s="7"/>
      <c r="B122" s="15"/>
      <c r="C122" s="15"/>
      <c r="D122" s="15"/>
      <c r="E122" s="15"/>
      <c r="F122" s="7"/>
      <c r="G122" s="15"/>
      <c r="H122" s="15"/>
      <c r="I122" s="15"/>
      <c r="J122" s="15"/>
      <c r="K122" s="15"/>
      <c r="L122" s="7"/>
      <c r="M122" s="7"/>
    </row>
    <row r="123" ht="15.75" customHeight="1">
      <c r="A123" s="7"/>
      <c r="B123" s="15"/>
      <c r="C123" s="15"/>
      <c r="D123" s="15"/>
      <c r="E123" s="15"/>
      <c r="F123" s="7"/>
      <c r="G123" s="15"/>
      <c r="H123" s="15"/>
      <c r="I123" s="15"/>
      <c r="J123" s="15"/>
      <c r="K123" s="15"/>
      <c r="L123" s="7"/>
      <c r="M123" s="7"/>
    </row>
    <row r="124" ht="15.75" customHeight="1">
      <c r="A124" s="7"/>
      <c r="B124" s="15"/>
      <c r="C124" s="15"/>
      <c r="D124" s="15"/>
      <c r="E124" s="15"/>
      <c r="F124" s="7"/>
      <c r="G124" s="15"/>
      <c r="H124" s="15"/>
      <c r="I124" s="15"/>
      <c r="J124" s="15"/>
      <c r="K124" s="15"/>
      <c r="L124" s="7"/>
      <c r="M124" s="7"/>
    </row>
    <row r="125" ht="15.75" customHeight="1">
      <c r="A125" s="7"/>
      <c r="B125" s="15"/>
      <c r="C125" s="15"/>
      <c r="D125" s="15"/>
      <c r="E125" s="15"/>
      <c r="F125" s="7"/>
      <c r="G125" s="15"/>
      <c r="H125" s="15"/>
      <c r="I125" s="15"/>
      <c r="J125" s="15"/>
      <c r="K125" s="15"/>
      <c r="L125" s="7"/>
      <c r="M125" s="7"/>
    </row>
    <row r="126" ht="15.75" customHeight="1">
      <c r="A126" s="7"/>
      <c r="B126" s="15"/>
      <c r="C126" s="15"/>
      <c r="D126" s="15"/>
      <c r="E126" s="15"/>
      <c r="F126" s="7"/>
      <c r="G126" s="15"/>
      <c r="H126" s="15"/>
      <c r="I126" s="15"/>
      <c r="J126" s="15"/>
      <c r="K126" s="15"/>
      <c r="L126" s="7"/>
      <c r="M126" s="7"/>
    </row>
    <row r="127" ht="15.75" customHeight="1">
      <c r="A127" s="7"/>
      <c r="B127" s="15"/>
      <c r="C127" s="15"/>
      <c r="D127" s="15"/>
      <c r="E127" s="15"/>
      <c r="F127" s="7"/>
      <c r="G127" s="15"/>
      <c r="H127" s="15"/>
      <c r="I127" s="15"/>
      <c r="J127" s="15"/>
      <c r="K127" s="15"/>
      <c r="L127" s="7"/>
      <c r="M127" s="7"/>
    </row>
    <row r="128" ht="15.75" customHeight="1">
      <c r="A128" s="7"/>
      <c r="B128" s="15"/>
      <c r="C128" s="15"/>
      <c r="D128" s="15"/>
      <c r="E128" s="15"/>
      <c r="F128" s="7"/>
      <c r="G128" s="15"/>
      <c r="H128" s="15"/>
      <c r="I128" s="15"/>
      <c r="J128" s="15"/>
      <c r="K128" s="15"/>
      <c r="L128" s="7"/>
      <c r="M128" s="7"/>
    </row>
    <row r="129" ht="15.75" customHeight="1">
      <c r="A129" s="7"/>
      <c r="B129" s="15"/>
      <c r="C129" s="15"/>
      <c r="D129" s="15"/>
      <c r="E129" s="15"/>
      <c r="F129" s="7"/>
      <c r="G129" s="15"/>
      <c r="H129" s="15"/>
      <c r="I129" s="15"/>
      <c r="J129" s="15"/>
      <c r="K129" s="15"/>
      <c r="L129" s="7"/>
      <c r="M129" s="7"/>
    </row>
    <row r="130" ht="15.75" customHeight="1">
      <c r="A130" s="7"/>
      <c r="B130" s="15"/>
      <c r="C130" s="15"/>
      <c r="D130" s="15"/>
      <c r="E130" s="15"/>
      <c r="F130" s="7"/>
      <c r="G130" s="15"/>
      <c r="H130" s="15"/>
      <c r="I130" s="15"/>
      <c r="J130" s="15"/>
      <c r="K130" s="15"/>
      <c r="L130" s="7"/>
      <c r="M130" s="7"/>
    </row>
    <row r="131" ht="15.75" customHeight="1">
      <c r="A131" s="7"/>
      <c r="B131" s="15"/>
      <c r="C131" s="15"/>
      <c r="D131" s="15"/>
      <c r="E131" s="15"/>
      <c r="F131" s="7"/>
      <c r="G131" s="15"/>
      <c r="H131" s="15"/>
      <c r="I131" s="15"/>
      <c r="J131" s="15"/>
      <c r="K131" s="15"/>
      <c r="L131" s="7"/>
      <c r="M131" s="7"/>
    </row>
    <row r="132" ht="15.75" customHeight="1">
      <c r="A132" s="7"/>
      <c r="B132" s="15"/>
      <c r="C132" s="15"/>
      <c r="D132" s="15"/>
      <c r="E132" s="15"/>
      <c r="F132" s="7"/>
      <c r="G132" s="15"/>
      <c r="H132" s="15"/>
      <c r="I132" s="15"/>
      <c r="J132" s="15"/>
      <c r="K132" s="15"/>
      <c r="L132" s="7"/>
      <c r="M132" s="7"/>
    </row>
    <row r="133" ht="15.75" customHeight="1">
      <c r="A133" s="7"/>
      <c r="B133" s="15"/>
      <c r="C133" s="15"/>
      <c r="D133" s="15"/>
      <c r="E133" s="15"/>
      <c r="F133" s="7"/>
      <c r="G133" s="15"/>
      <c r="H133" s="15"/>
      <c r="I133" s="15"/>
      <c r="J133" s="15"/>
      <c r="K133" s="15"/>
      <c r="L133" s="7"/>
      <c r="M133" s="7"/>
    </row>
    <row r="134" ht="15.75" customHeight="1">
      <c r="A134" s="7"/>
      <c r="B134" s="15"/>
      <c r="C134" s="15"/>
      <c r="D134" s="15"/>
      <c r="E134" s="15"/>
      <c r="F134" s="7"/>
      <c r="G134" s="15"/>
      <c r="H134" s="15"/>
      <c r="I134" s="15"/>
      <c r="J134" s="15"/>
      <c r="K134" s="15"/>
      <c r="L134" s="7"/>
      <c r="M134" s="7"/>
    </row>
    <row r="135" ht="15.75" customHeight="1">
      <c r="A135" s="7"/>
      <c r="B135" s="15"/>
      <c r="C135" s="15"/>
      <c r="D135" s="15"/>
      <c r="E135" s="15"/>
      <c r="F135" s="7"/>
      <c r="G135" s="15"/>
      <c r="H135" s="15"/>
      <c r="I135" s="15"/>
      <c r="J135" s="15"/>
      <c r="K135" s="15"/>
      <c r="L135" s="7"/>
      <c r="M135" s="7"/>
    </row>
    <row r="136" ht="15.75" customHeight="1">
      <c r="A136" s="7"/>
      <c r="B136" s="15"/>
      <c r="C136" s="15"/>
      <c r="D136" s="15"/>
      <c r="E136" s="15"/>
      <c r="F136" s="7"/>
      <c r="G136" s="15"/>
      <c r="H136" s="15"/>
      <c r="I136" s="15"/>
      <c r="J136" s="15"/>
      <c r="K136" s="15"/>
      <c r="L136" s="7"/>
      <c r="M136" s="7"/>
    </row>
    <row r="137" ht="15.75" customHeight="1">
      <c r="A137" s="7"/>
      <c r="B137" s="15"/>
      <c r="C137" s="15"/>
      <c r="D137" s="15"/>
      <c r="E137" s="15"/>
      <c r="F137" s="7"/>
      <c r="G137" s="15"/>
      <c r="H137" s="15"/>
      <c r="I137" s="15"/>
      <c r="J137" s="15"/>
      <c r="K137" s="15"/>
      <c r="L137" s="7"/>
      <c r="M137" s="7"/>
    </row>
    <row r="138" ht="15.75" customHeight="1">
      <c r="A138" s="7"/>
      <c r="B138" s="15"/>
      <c r="C138" s="15"/>
      <c r="D138" s="15"/>
      <c r="E138" s="15"/>
      <c r="F138" s="7"/>
      <c r="G138" s="15"/>
      <c r="H138" s="15"/>
      <c r="I138" s="15"/>
      <c r="J138" s="15"/>
      <c r="K138" s="15"/>
      <c r="L138" s="7"/>
      <c r="M138" s="7"/>
    </row>
    <row r="139" ht="15.75" customHeight="1">
      <c r="A139" s="7"/>
      <c r="B139" s="15"/>
      <c r="C139" s="15"/>
      <c r="D139" s="15"/>
      <c r="E139" s="15"/>
      <c r="F139" s="7"/>
      <c r="G139" s="15"/>
      <c r="H139" s="15"/>
      <c r="I139" s="15"/>
      <c r="J139" s="15"/>
      <c r="K139" s="15"/>
      <c r="L139" s="7"/>
      <c r="M139" s="7"/>
    </row>
    <row r="140" ht="15.75" customHeight="1">
      <c r="A140" s="7"/>
      <c r="B140" s="15"/>
      <c r="C140" s="15"/>
      <c r="D140" s="15"/>
      <c r="E140" s="15"/>
      <c r="F140" s="7"/>
      <c r="G140" s="15"/>
      <c r="H140" s="15"/>
      <c r="I140" s="15"/>
      <c r="J140" s="15"/>
      <c r="K140" s="15"/>
      <c r="L140" s="7"/>
      <c r="M140" s="7"/>
    </row>
    <row r="141" ht="15.75" customHeight="1">
      <c r="A141" s="7"/>
      <c r="B141" s="15"/>
      <c r="C141" s="15"/>
      <c r="D141" s="15"/>
      <c r="E141" s="15"/>
      <c r="F141" s="7"/>
      <c r="G141" s="15"/>
      <c r="H141" s="15"/>
      <c r="I141" s="15"/>
      <c r="J141" s="15"/>
      <c r="K141" s="15"/>
      <c r="L141" s="7"/>
      <c r="M141" s="7"/>
    </row>
    <row r="142" ht="15.75" customHeight="1">
      <c r="A142" s="7"/>
      <c r="B142" s="15"/>
      <c r="C142" s="15"/>
      <c r="D142" s="15"/>
      <c r="E142" s="15"/>
      <c r="F142" s="7"/>
      <c r="G142" s="15"/>
      <c r="H142" s="15"/>
      <c r="I142" s="15"/>
      <c r="J142" s="15"/>
      <c r="K142" s="15"/>
      <c r="L142" s="7"/>
      <c r="M142" s="7"/>
    </row>
    <row r="143" ht="15.75" customHeight="1">
      <c r="A143" s="7"/>
      <c r="B143" s="15"/>
      <c r="C143" s="15"/>
      <c r="D143" s="15"/>
      <c r="E143" s="15"/>
      <c r="F143" s="7"/>
      <c r="G143" s="15"/>
      <c r="H143" s="15"/>
      <c r="I143" s="15"/>
      <c r="J143" s="15"/>
      <c r="K143" s="15"/>
      <c r="L143" s="7"/>
      <c r="M143" s="7"/>
    </row>
    <row r="144" ht="15.75" customHeight="1">
      <c r="A144" s="7"/>
      <c r="B144" s="15"/>
      <c r="C144" s="15"/>
      <c r="D144" s="15"/>
      <c r="E144" s="15"/>
      <c r="F144" s="7"/>
      <c r="G144" s="15"/>
      <c r="H144" s="15"/>
      <c r="I144" s="15"/>
      <c r="J144" s="15"/>
      <c r="K144" s="15"/>
      <c r="L144" s="7"/>
      <c r="M144" s="7"/>
    </row>
    <row r="145" ht="15.75" customHeight="1">
      <c r="A145" s="7"/>
      <c r="B145" s="15"/>
      <c r="C145" s="15"/>
      <c r="D145" s="15"/>
      <c r="E145" s="15"/>
      <c r="F145" s="7"/>
      <c r="G145" s="15"/>
      <c r="H145" s="15"/>
      <c r="I145" s="15"/>
      <c r="J145" s="15"/>
      <c r="K145" s="15"/>
      <c r="L145" s="7"/>
      <c r="M145" s="7"/>
    </row>
    <row r="146" ht="15.75" customHeight="1">
      <c r="A146" s="7"/>
      <c r="B146" s="15"/>
      <c r="C146" s="15"/>
      <c r="D146" s="15"/>
      <c r="E146" s="15"/>
      <c r="F146" s="7"/>
      <c r="G146" s="15"/>
      <c r="H146" s="15"/>
      <c r="I146" s="15"/>
      <c r="J146" s="15"/>
      <c r="K146" s="15"/>
      <c r="L146" s="7"/>
      <c r="M146" s="7"/>
    </row>
    <row r="147" ht="15.75" customHeight="1">
      <c r="A147" s="7"/>
      <c r="B147" s="15"/>
      <c r="C147" s="15"/>
      <c r="D147" s="15"/>
      <c r="E147" s="15"/>
      <c r="F147" s="7"/>
      <c r="G147" s="15"/>
      <c r="H147" s="15"/>
      <c r="I147" s="15"/>
      <c r="J147" s="15"/>
      <c r="K147" s="15"/>
      <c r="L147" s="7"/>
      <c r="M147" s="7"/>
    </row>
    <row r="148" ht="15.75" customHeight="1">
      <c r="A148" s="7"/>
      <c r="B148" s="15"/>
      <c r="C148" s="15"/>
      <c r="D148" s="15"/>
      <c r="E148" s="15"/>
      <c r="F148" s="7"/>
      <c r="G148" s="15"/>
      <c r="H148" s="15"/>
      <c r="I148" s="15"/>
      <c r="J148" s="15"/>
      <c r="K148" s="15"/>
      <c r="L148" s="7"/>
      <c r="M148" s="7"/>
    </row>
    <row r="149" ht="15.75" customHeight="1">
      <c r="A149" s="7"/>
      <c r="B149" s="15"/>
      <c r="C149" s="15"/>
      <c r="D149" s="15"/>
      <c r="E149" s="15"/>
      <c r="F149" s="7"/>
      <c r="G149" s="15"/>
      <c r="H149" s="15"/>
      <c r="I149" s="15"/>
      <c r="J149" s="15"/>
      <c r="K149" s="15"/>
      <c r="L149" s="7"/>
      <c r="M149" s="7"/>
    </row>
    <row r="150" ht="15.75" customHeight="1">
      <c r="A150" s="7"/>
      <c r="B150" s="15"/>
      <c r="C150" s="15"/>
      <c r="D150" s="15"/>
      <c r="E150" s="15"/>
      <c r="F150" s="7"/>
      <c r="G150" s="15"/>
      <c r="H150" s="15"/>
      <c r="I150" s="15"/>
      <c r="J150" s="15"/>
      <c r="K150" s="15"/>
      <c r="L150" s="7"/>
      <c r="M150" s="7"/>
    </row>
    <row r="151" ht="15.75" customHeight="1">
      <c r="A151" s="7"/>
      <c r="B151" s="15"/>
      <c r="C151" s="15"/>
      <c r="D151" s="15"/>
      <c r="E151" s="15"/>
      <c r="F151" s="7"/>
      <c r="G151" s="15"/>
      <c r="H151" s="15"/>
      <c r="I151" s="15"/>
      <c r="J151" s="15"/>
      <c r="K151" s="15"/>
      <c r="L151" s="7"/>
      <c r="M151" s="7"/>
    </row>
    <row r="152" ht="15.75" customHeight="1">
      <c r="A152" s="7"/>
      <c r="B152" s="15"/>
      <c r="C152" s="15"/>
      <c r="D152" s="15"/>
      <c r="E152" s="15"/>
      <c r="F152" s="7"/>
      <c r="G152" s="15"/>
      <c r="H152" s="15"/>
      <c r="I152" s="15"/>
      <c r="J152" s="15"/>
      <c r="K152" s="15"/>
      <c r="L152" s="7"/>
      <c r="M152" s="7"/>
    </row>
    <row r="153" ht="15.75" customHeight="1">
      <c r="A153" s="7"/>
      <c r="B153" s="15"/>
      <c r="C153" s="15"/>
      <c r="D153" s="15"/>
      <c r="E153" s="15"/>
      <c r="F153" s="7"/>
      <c r="G153" s="15"/>
      <c r="H153" s="15"/>
      <c r="I153" s="15"/>
      <c r="J153" s="15"/>
      <c r="K153" s="15"/>
      <c r="L153" s="7"/>
      <c r="M153" s="7"/>
    </row>
    <row r="154" ht="15.75" customHeight="1">
      <c r="A154" s="7"/>
      <c r="B154" s="15"/>
      <c r="C154" s="15"/>
      <c r="D154" s="15"/>
      <c r="E154" s="15"/>
      <c r="F154" s="7"/>
      <c r="G154" s="15"/>
      <c r="H154" s="15"/>
      <c r="I154" s="15"/>
      <c r="J154" s="15"/>
      <c r="K154" s="15"/>
      <c r="L154" s="7"/>
      <c r="M154" s="7"/>
    </row>
    <row r="155" ht="15.75" customHeight="1">
      <c r="A155" s="7"/>
      <c r="B155" s="15"/>
      <c r="C155" s="15"/>
      <c r="D155" s="15"/>
      <c r="E155" s="15"/>
      <c r="F155" s="7"/>
      <c r="G155" s="15"/>
      <c r="H155" s="15"/>
      <c r="I155" s="15"/>
      <c r="J155" s="15"/>
      <c r="K155" s="15"/>
      <c r="L155" s="7"/>
      <c r="M155" s="7"/>
    </row>
    <row r="156" ht="15.75" customHeight="1">
      <c r="A156" s="7"/>
      <c r="B156" s="15"/>
      <c r="C156" s="15"/>
      <c r="D156" s="15"/>
      <c r="E156" s="15"/>
      <c r="F156" s="7"/>
      <c r="G156" s="15"/>
      <c r="H156" s="15"/>
      <c r="I156" s="15"/>
      <c r="J156" s="15"/>
      <c r="K156" s="15"/>
      <c r="L156" s="7"/>
      <c r="M156" s="7"/>
    </row>
    <row r="157" ht="15.75" customHeight="1">
      <c r="A157" s="7"/>
      <c r="B157" s="15"/>
      <c r="C157" s="15"/>
      <c r="D157" s="15"/>
      <c r="E157" s="15"/>
      <c r="F157" s="7"/>
      <c r="G157" s="15"/>
      <c r="H157" s="15"/>
      <c r="I157" s="15"/>
      <c r="J157" s="15"/>
      <c r="K157" s="15"/>
      <c r="L157" s="7"/>
      <c r="M157" s="7"/>
    </row>
    <row r="158" ht="15.75" customHeight="1">
      <c r="A158" s="7"/>
      <c r="B158" s="15"/>
      <c r="C158" s="15"/>
      <c r="D158" s="15"/>
      <c r="E158" s="15"/>
      <c r="F158" s="7"/>
      <c r="G158" s="15"/>
      <c r="H158" s="15"/>
      <c r="I158" s="15"/>
      <c r="J158" s="15"/>
      <c r="K158" s="15"/>
      <c r="L158" s="7"/>
      <c r="M158" s="7"/>
    </row>
    <row r="159" ht="15.75" customHeight="1">
      <c r="A159" s="7"/>
      <c r="B159" s="15"/>
      <c r="C159" s="15"/>
      <c r="D159" s="15"/>
      <c r="E159" s="15"/>
      <c r="F159" s="7"/>
      <c r="G159" s="15"/>
      <c r="H159" s="15"/>
      <c r="I159" s="15"/>
      <c r="J159" s="15"/>
      <c r="K159" s="15"/>
      <c r="L159" s="7"/>
      <c r="M159" s="7"/>
    </row>
    <row r="160" ht="15.75" customHeight="1">
      <c r="A160" s="7"/>
      <c r="B160" s="15"/>
      <c r="C160" s="15"/>
      <c r="D160" s="15"/>
      <c r="E160" s="15"/>
      <c r="F160" s="7"/>
      <c r="G160" s="15"/>
      <c r="H160" s="15"/>
      <c r="I160" s="15"/>
      <c r="J160" s="15"/>
      <c r="K160" s="15"/>
      <c r="L160" s="7"/>
      <c r="M160" s="7"/>
    </row>
    <row r="161" ht="15.75" customHeight="1">
      <c r="A161" s="7"/>
      <c r="B161" s="15"/>
      <c r="C161" s="15"/>
      <c r="D161" s="15"/>
      <c r="E161" s="15"/>
      <c r="F161" s="7"/>
      <c r="G161" s="15"/>
      <c r="H161" s="15"/>
      <c r="I161" s="15"/>
      <c r="J161" s="15"/>
      <c r="K161" s="15"/>
      <c r="L161" s="7"/>
      <c r="M161" s="7"/>
    </row>
    <row r="162" ht="15.75" customHeight="1">
      <c r="A162" s="7"/>
      <c r="B162" s="15"/>
      <c r="C162" s="15"/>
      <c r="D162" s="15"/>
      <c r="E162" s="15"/>
      <c r="F162" s="7"/>
      <c r="G162" s="15"/>
      <c r="H162" s="15"/>
      <c r="I162" s="15"/>
      <c r="J162" s="15"/>
      <c r="K162" s="15"/>
      <c r="L162" s="7"/>
      <c r="M162" s="7"/>
    </row>
    <row r="163" ht="15.75" customHeight="1">
      <c r="A163" s="7"/>
      <c r="B163" s="15"/>
      <c r="C163" s="15"/>
      <c r="D163" s="15"/>
      <c r="E163" s="15"/>
      <c r="F163" s="7"/>
      <c r="G163" s="15"/>
      <c r="H163" s="15"/>
      <c r="I163" s="15"/>
      <c r="J163" s="15"/>
      <c r="K163" s="15"/>
      <c r="L163" s="7"/>
      <c r="M163" s="7"/>
    </row>
    <row r="164" ht="15.75" customHeight="1">
      <c r="A164" s="7"/>
      <c r="B164" s="15"/>
      <c r="C164" s="15"/>
      <c r="D164" s="15"/>
      <c r="E164" s="15"/>
      <c r="F164" s="7"/>
      <c r="G164" s="15"/>
      <c r="H164" s="15"/>
      <c r="I164" s="15"/>
      <c r="J164" s="15"/>
      <c r="K164" s="15"/>
      <c r="L164" s="7"/>
      <c r="M164" s="7"/>
    </row>
    <row r="165" ht="15.75" customHeight="1">
      <c r="A165" s="7"/>
      <c r="B165" s="15"/>
      <c r="C165" s="15"/>
      <c r="D165" s="15"/>
      <c r="E165" s="15"/>
      <c r="F165" s="7"/>
      <c r="G165" s="15"/>
      <c r="H165" s="15"/>
      <c r="I165" s="15"/>
      <c r="J165" s="15"/>
      <c r="K165" s="15"/>
      <c r="L165" s="7"/>
      <c r="M165" s="7"/>
    </row>
    <row r="166" ht="15.75" customHeight="1">
      <c r="A166" s="7"/>
      <c r="B166" s="15"/>
      <c r="C166" s="15"/>
      <c r="D166" s="15"/>
      <c r="E166" s="15"/>
      <c r="F166" s="7"/>
      <c r="G166" s="15"/>
      <c r="H166" s="15"/>
      <c r="I166" s="15"/>
      <c r="J166" s="15"/>
      <c r="K166" s="15"/>
      <c r="L166" s="7"/>
      <c r="M166" s="7"/>
    </row>
    <row r="167" ht="15.75" customHeight="1">
      <c r="A167" s="7"/>
      <c r="B167" s="15"/>
      <c r="C167" s="15"/>
      <c r="D167" s="15"/>
      <c r="E167" s="15"/>
      <c r="F167" s="7"/>
      <c r="G167" s="15"/>
      <c r="H167" s="15"/>
      <c r="I167" s="15"/>
      <c r="J167" s="15"/>
      <c r="K167" s="15"/>
      <c r="L167" s="7"/>
      <c r="M167" s="7"/>
    </row>
    <row r="168" ht="15.75" customHeight="1">
      <c r="A168" s="7"/>
      <c r="B168" s="15"/>
      <c r="C168" s="15"/>
      <c r="D168" s="15"/>
      <c r="E168" s="15"/>
      <c r="F168" s="7"/>
      <c r="G168" s="15"/>
      <c r="H168" s="15"/>
      <c r="I168" s="15"/>
      <c r="J168" s="15"/>
      <c r="K168" s="15"/>
      <c r="L168" s="7"/>
      <c r="M168" s="7"/>
    </row>
    <row r="169" ht="15.75" customHeight="1">
      <c r="A169" s="7"/>
      <c r="B169" s="15"/>
      <c r="C169" s="15"/>
      <c r="D169" s="15"/>
      <c r="E169" s="15"/>
      <c r="F169" s="7"/>
      <c r="G169" s="15"/>
      <c r="H169" s="15"/>
      <c r="I169" s="15"/>
      <c r="J169" s="15"/>
      <c r="K169" s="15"/>
      <c r="L169" s="7"/>
      <c r="M169" s="7"/>
    </row>
    <row r="170" ht="15.75" customHeight="1">
      <c r="A170" s="7"/>
      <c r="B170" s="15"/>
      <c r="C170" s="15"/>
      <c r="D170" s="15"/>
      <c r="E170" s="15"/>
      <c r="F170" s="7"/>
      <c r="G170" s="15"/>
      <c r="H170" s="15"/>
      <c r="I170" s="15"/>
      <c r="J170" s="15"/>
      <c r="K170" s="15"/>
      <c r="L170" s="7"/>
      <c r="M170" s="7"/>
    </row>
    <row r="171" ht="15.75" customHeight="1">
      <c r="A171" s="7"/>
      <c r="B171" s="15"/>
      <c r="C171" s="15"/>
      <c r="D171" s="15"/>
      <c r="E171" s="15"/>
      <c r="F171" s="7"/>
      <c r="G171" s="15"/>
      <c r="H171" s="15"/>
      <c r="I171" s="15"/>
      <c r="J171" s="15"/>
      <c r="K171" s="15"/>
      <c r="L171" s="7"/>
      <c r="M171" s="7"/>
    </row>
    <row r="172" ht="15.75" customHeight="1">
      <c r="A172" s="7"/>
      <c r="B172" s="15"/>
      <c r="C172" s="15"/>
      <c r="D172" s="15"/>
      <c r="E172" s="15"/>
      <c r="F172" s="7"/>
      <c r="G172" s="15"/>
      <c r="H172" s="15"/>
      <c r="I172" s="15"/>
      <c r="J172" s="15"/>
      <c r="K172" s="15"/>
      <c r="L172" s="7"/>
      <c r="M172" s="7"/>
    </row>
    <row r="173" ht="15.75" customHeight="1">
      <c r="A173" s="7"/>
      <c r="B173" s="15"/>
      <c r="C173" s="15"/>
      <c r="D173" s="15"/>
      <c r="E173" s="15"/>
      <c r="F173" s="7"/>
      <c r="G173" s="15"/>
      <c r="H173" s="15"/>
      <c r="I173" s="15"/>
      <c r="J173" s="15"/>
      <c r="K173" s="15"/>
      <c r="L173" s="7"/>
      <c r="M173" s="7"/>
    </row>
    <row r="174" ht="15.75" customHeight="1">
      <c r="A174" s="7"/>
      <c r="B174" s="15"/>
      <c r="C174" s="15"/>
      <c r="D174" s="15"/>
      <c r="E174" s="15"/>
      <c r="F174" s="7"/>
      <c r="G174" s="15"/>
      <c r="H174" s="15"/>
      <c r="I174" s="15"/>
      <c r="J174" s="15"/>
      <c r="K174" s="15"/>
      <c r="L174" s="7"/>
      <c r="M174" s="7"/>
    </row>
    <row r="175" ht="15.75" customHeight="1">
      <c r="A175" s="7"/>
      <c r="B175" s="15"/>
      <c r="C175" s="15"/>
      <c r="D175" s="15"/>
      <c r="E175" s="15"/>
      <c r="F175" s="7"/>
      <c r="G175" s="15"/>
      <c r="H175" s="15"/>
      <c r="I175" s="15"/>
      <c r="J175" s="15"/>
      <c r="K175" s="15"/>
      <c r="L175" s="7"/>
      <c r="M175" s="7"/>
    </row>
    <row r="176" ht="15.75" customHeight="1">
      <c r="A176" s="7"/>
      <c r="B176" s="15"/>
      <c r="C176" s="15"/>
      <c r="D176" s="15"/>
      <c r="E176" s="15"/>
      <c r="F176" s="7"/>
      <c r="G176" s="15"/>
      <c r="H176" s="15"/>
      <c r="I176" s="15"/>
      <c r="J176" s="15"/>
      <c r="K176" s="15"/>
      <c r="L176" s="7"/>
      <c r="M176" s="7"/>
    </row>
    <row r="177" ht="15.75" customHeight="1">
      <c r="A177" s="7"/>
      <c r="B177" s="15"/>
      <c r="C177" s="15"/>
      <c r="D177" s="15"/>
      <c r="E177" s="15"/>
      <c r="F177" s="7"/>
      <c r="G177" s="15"/>
      <c r="H177" s="15"/>
      <c r="I177" s="15"/>
      <c r="J177" s="15"/>
      <c r="K177" s="15"/>
      <c r="L177" s="7"/>
      <c r="M177" s="7"/>
    </row>
    <row r="178" ht="15.75" customHeight="1">
      <c r="A178" s="7"/>
      <c r="B178" s="15"/>
      <c r="C178" s="15"/>
      <c r="D178" s="15"/>
      <c r="E178" s="15"/>
      <c r="F178" s="7"/>
      <c r="G178" s="15"/>
      <c r="H178" s="15"/>
      <c r="I178" s="15"/>
      <c r="J178" s="15"/>
      <c r="K178" s="15"/>
      <c r="L178" s="7"/>
      <c r="M178" s="7"/>
    </row>
    <row r="179" ht="15.75" customHeight="1">
      <c r="A179" s="7"/>
      <c r="B179" s="15"/>
      <c r="C179" s="15"/>
      <c r="D179" s="15"/>
      <c r="E179" s="15"/>
      <c r="F179" s="7"/>
      <c r="G179" s="15"/>
      <c r="H179" s="15"/>
      <c r="I179" s="15"/>
      <c r="J179" s="15"/>
      <c r="K179" s="15"/>
      <c r="L179" s="7"/>
      <c r="M179" s="7"/>
    </row>
    <row r="180" ht="15.75" customHeight="1">
      <c r="A180" s="7"/>
      <c r="B180" s="15"/>
      <c r="C180" s="15"/>
      <c r="D180" s="15"/>
      <c r="E180" s="15"/>
      <c r="F180" s="7"/>
      <c r="G180" s="15"/>
      <c r="H180" s="15"/>
      <c r="I180" s="15"/>
      <c r="J180" s="15"/>
      <c r="K180" s="15"/>
      <c r="L180" s="7"/>
      <c r="M180" s="7"/>
    </row>
    <row r="181" ht="15.75" customHeight="1">
      <c r="A181" s="7"/>
      <c r="B181" s="15"/>
      <c r="C181" s="15"/>
      <c r="D181" s="15"/>
      <c r="E181" s="15"/>
      <c r="F181" s="7"/>
      <c r="G181" s="15"/>
      <c r="H181" s="15"/>
      <c r="I181" s="15"/>
      <c r="J181" s="15"/>
      <c r="K181" s="15"/>
      <c r="L181" s="7"/>
      <c r="M181" s="7"/>
    </row>
    <row r="182" ht="15.75" customHeight="1">
      <c r="A182" s="7"/>
      <c r="B182" s="15"/>
      <c r="C182" s="15"/>
      <c r="D182" s="15"/>
      <c r="E182" s="15"/>
      <c r="F182" s="7"/>
      <c r="G182" s="15"/>
      <c r="H182" s="15"/>
      <c r="I182" s="15"/>
      <c r="J182" s="15"/>
      <c r="K182" s="15"/>
      <c r="L182" s="7"/>
      <c r="M182" s="7"/>
    </row>
    <row r="183" ht="15.75" customHeight="1">
      <c r="A183" s="7"/>
      <c r="B183" s="15"/>
      <c r="C183" s="15"/>
      <c r="D183" s="15"/>
      <c r="E183" s="15"/>
      <c r="F183" s="7"/>
      <c r="G183" s="15"/>
      <c r="H183" s="15"/>
      <c r="I183" s="15"/>
      <c r="J183" s="15"/>
      <c r="K183" s="15"/>
      <c r="L183" s="7"/>
      <c r="M183" s="7"/>
    </row>
    <row r="184" ht="15.75" customHeight="1">
      <c r="A184" s="7"/>
      <c r="B184" s="15"/>
      <c r="C184" s="15"/>
      <c r="D184" s="15"/>
      <c r="E184" s="15"/>
      <c r="F184" s="7"/>
      <c r="G184" s="15"/>
      <c r="H184" s="15"/>
      <c r="I184" s="15"/>
      <c r="J184" s="15"/>
      <c r="K184" s="15"/>
      <c r="L184" s="7"/>
      <c r="M184" s="7"/>
    </row>
    <row r="185" ht="15.75" customHeight="1">
      <c r="A185" s="7"/>
      <c r="B185" s="15"/>
      <c r="C185" s="15"/>
      <c r="D185" s="15"/>
      <c r="E185" s="15"/>
      <c r="F185" s="7"/>
      <c r="G185" s="15"/>
      <c r="H185" s="15"/>
      <c r="I185" s="15"/>
      <c r="J185" s="15"/>
      <c r="K185" s="15"/>
      <c r="L185" s="7"/>
      <c r="M185" s="7"/>
    </row>
    <row r="186" ht="15.75" customHeight="1">
      <c r="A186" s="7"/>
      <c r="B186" s="15"/>
      <c r="C186" s="15"/>
      <c r="D186" s="15"/>
      <c r="E186" s="15"/>
      <c r="F186" s="7"/>
      <c r="G186" s="15"/>
      <c r="H186" s="15"/>
      <c r="I186" s="15"/>
      <c r="J186" s="15"/>
      <c r="K186" s="15"/>
      <c r="L186" s="7"/>
      <c r="M186" s="7"/>
    </row>
    <row r="187" ht="15.75" customHeight="1">
      <c r="A187" s="7"/>
      <c r="B187" s="15"/>
      <c r="C187" s="15"/>
      <c r="D187" s="15"/>
      <c r="E187" s="15"/>
      <c r="F187" s="7"/>
      <c r="G187" s="15"/>
      <c r="H187" s="15"/>
      <c r="I187" s="15"/>
      <c r="J187" s="15"/>
      <c r="K187" s="15"/>
      <c r="L187" s="7"/>
      <c r="M187" s="7"/>
    </row>
    <row r="188" ht="15.75" customHeight="1">
      <c r="A188" s="7"/>
      <c r="B188" s="15"/>
      <c r="C188" s="15"/>
      <c r="D188" s="15"/>
      <c r="E188" s="15"/>
      <c r="F188" s="7"/>
      <c r="G188" s="15"/>
      <c r="H188" s="15"/>
      <c r="I188" s="15"/>
      <c r="J188" s="15"/>
      <c r="K188" s="15"/>
      <c r="L188" s="7"/>
      <c r="M188" s="7"/>
    </row>
    <row r="189" ht="15.75" customHeight="1">
      <c r="A189" s="7"/>
      <c r="B189" s="15"/>
      <c r="C189" s="15"/>
      <c r="D189" s="15"/>
      <c r="E189" s="15"/>
      <c r="F189" s="7"/>
      <c r="G189" s="15"/>
      <c r="H189" s="15"/>
      <c r="I189" s="15"/>
      <c r="J189" s="15"/>
      <c r="K189" s="15"/>
      <c r="L189" s="7"/>
      <c r="M189" s="7"/>
    </row>
    <row r="190" ht="15.75" customHeight="1">
      <c r="A190" s="7"/>
      <c r="B190" s="15"/>
      <c r="C190" s="15"/>
      <c r="D190" s="15"/>
      <c r="E190" s="15"/>
      <c r="F190" s="7"/>
      <c r="G190" s="15"/>
      <c r="H190" s="15"/>
      <c r="I190" s="15"/>
      <c r="J190" s="15"/>
      <c r="K190" s="15"/>
      <c r="L190" s="7"/>
      <c r="M190" s="7"/>
    </row>
    <row r="191" ht="15.75" customHeight="1">
      <c r="A191" s="7"/>
      <c r="B191" s="15"/>
      <c r="C191" s="15"/>
      <c r="D191" s="15"/>
      <c r="E191" s="15"/>
      <c r="F191" s="7"/>
      <c r="G191" s="15"/>
      <c r="H191" s="15"/>
      <c r="I191" s="15"/>
      <c r="J191" s="15"/>
      <c r="K191" s="15"/>
      <c r="L191" s="7"/>
      <c r="M191" s="7"/>
    </row>
    <row r="192" ht="15.75" customHeight="1">
      <c r="A192" s="7"/>
      <c r="B192" s="15"/>
      <c r="C192" s="15"/>
      <c r="D192" s="15"/>
      <c r="E192" s="15"/>
      <c r="F192" s="7"/>
      <c r="G192" s="15"/>
      <c r="H192" s="15"/>
      <c r="I192" s="15"/>
      <c r="J192" s="15"/>
      <c r="K192" s="15"/>
      <c r="L192" s="7"/>
      <c r="M192" s="7"/>
    </row>
    <row r="193" ht="15.75" customHeight="1">
      <c r="A193" s="7"/>
      <c r="B193" s="15"/>
      <c r="C193" s="15"/>
      <c r="D193" s="15"/>
      <c r="E193" s="15"/>
      <c r="F193" s="7"/>
      <c r="G193" s="15"/>
      <c r="H193" s="15"/>
      <c r="I193" s="15"/>
      <c r="J193" s="15"/>
      <c r="K193" s="15"/>
      <c r="L193" s="7"/>
      <c r="M193" s="7"/>
    </row>
    <row r="194" ht="15.75" customHeight="1">
      <c r="A194" s="7"/>
      <c r="B194" s="15"/>
      <c r="C194" s="15"/>
      <c r="D194" s="15"/>
      <c r="E194" s="15"/>
      <c r="F194" s="7"/>
      <c r="G194" s="15"/>
      <c r="H194" s="15"/>
      <c r="I194" s="15"/>
      <c r="J194" s="15"/>
      <c r="K194" s="15"/>
      <c r="L194" s="7"/>
      <c r="M194" s="7"/>
    </row>
    <row r="195" ht="15.75" customHeight="1">
      <c r="A195" s="7"/>
      <c r="B195" s="15"/>
      <c r="C195" s="15"/>
      <c r="D195" s="15"/>
      <c r="E195" s="15"/>
      <c r="F195" s="7"/>
      <c r="G195" s="15"/>
      <c r="H195" s="15"/>
      <c r="I195" s="15"/>
      <c r="J195" s="15"/>
      <c r="K195" s="15"/>
      <c r="L195" s="7"/>
      <c r="M195" s="7"/>
    </row>
    <row r="196" ht="15.75" customHeight="1">
      <c r="A196" s="7"/>
      <c r="B196" s="15"/>
      <c r="C196" s="15"/>
      <c r="D196" s="15"/>
      <c r="E196" s="15"/>
      <c r="F196" s="7"/>
      <c r="G196" s="15"/>
      <c r="H196" s="15"/>
      <c r="I196" s="15"/>
      <c r="J196" s="15"/>
      <c r="K196" s="15"/>
      <c r="L196" s="7"/>
      <c r="M196" s="7"/>
    </row>
    <row r="197" ht="15.75" customHeight="1">
      <c r="A197" s="7"/>
      <c r="B197" s="15"/>
      <c r="C197" s="15"/>
      <c r="D197" s="15"/>
      <c r="E197" s="15"/>
      <c r="F197" s="7"/>
      <c r="G197" s="15"/>
      <c r="H197" s="15"/>
      <c r="I197" s="15"/>
      <c r="J197" s="15"/>
      <c r="K197" s="15"/>
      <c r="L197" s="7"/>
      <c r="M197" s="7"/>
    </row>
    <row r="198" ht="15.75" customHeight="1">
      <c r="A198" s="7"/>
      <c r="B198" s="15"/>
      <c r="C198" s="15"/>
      <c r="D198" s="15"/>
      <c r="E198" s="15"/>
      <c r="F198" s="7"/>
      <c r="G198" s="15"/>
      <c r="H198" s="15"/>
      <c r="I198" s="15"/>
      <c r="J198" s="15"/>
      <c r="K198" s="15"/>
      <c r="L198" s="7"/>
      <c r="M198" s="7"/>
    </row>
    <row r="199" ht="15.75" customHeight="1">
      <c r="A199" s="7"/>
      <c r="B199" s="15"/>
      <c r="C199" s="15"/>
      <c r="D199" s="15"/>
      <c r="E199" s="15"/>
      <c r="F199" s="7"/>
      <c r="G199" s="15"/>
      <c r="H199" s="15"/>
      <c r="I199" s="15"/>
      <c r="J199" s="15"/>
      <c r="K199" s="15"/>
      <c r="L199" s="7"/>
      <c r="M199" s="7"/>
    </row>
    <row r="200" ht="15.75" customHeight="1">
      <c r="A200" s="7"/>
      <c r="B200" s="15"/>
      <c r="C200" s="15"/>
      <c r="D200" s="15"/>
      <c r="E200" s="15"/>
      <c r="F200" s="7"/>
      <c r="G200" s="15"/>
      <c r="H200" s="15"/>
      <c r="I200" s="15"/>
      <c r="J200" s="15"/>
      <c r="K200" s="15"/>
      <c r="L200" s="7"/>
      <c r="M200" s="7"/>
    </row>
    <row r="201" ht="15.75" customHeight="1">
      <c r="A201" s="7"/>
      <c r="B201" s="15"/>
      <c r="C201" s="15"/>
      <c r="D201" s="15"/>
      <c r="E201" s="15"/>
      <c r="F201" s="7"/>
      <c r="G201" s="15"/>
      <c r="H201" s="15"/>
      <c r="I201" s="15"/>
      <c r="J201" s="15"/>
      <c r="K201" s="15"/>
      <c r="L201" s="7"/>
      <c r="M201" s="7"/>
    </row>
    <row r="202" ht="15.75" customHeight="1">
      <c r="A202" s="7"/>
      <c r="B202" s="15"/>
      <c r="C202" s="15"/>
      <c r="D202" s="15"/>
      <c r="E202" s="15"/>
      <c r="F202" s="7"/>
      <c r="G202" s="15"/>
      <c r="H202" s="15"/>
      <c r="I202" s="15"/>
      <c r="J202" s="15"/>
      <c r="K202" s="15"/>
      <c r="L202" s="7"/>
      <c r="M202" s="7"/>
    </row>
    <row r="203" ht="15.75" customHeight="1">
      <c r="A203" s="7"/>
      <c r="B203" s="15"/>
      <c r="C203" s="15"/>
      <c r="D203" s="15"/>
      <c r="E203" s="15"/>
      <c r="F203" s="7"/>
      <c r="G203" s="15"/>
      <c r="H203" s="15"/>
      <c r="I203" s="15"/>
      <c r="J203" s="15"/>
      <c r="K203" s="15"/>
      <c r="L203" s="7"/>
      <c r="M203" s="7"/>
    </row>
    <row r="204" ht="15.75" customHeight="1">
      <c r="A204" s="7"/>
      <c r="B204" s="15"/>
      <c r="C204" s="15"/>
      <c r="D204" s="15"/>
      <c r="E204" s="15"/>
      <c r="F204" s="7"/>
      <c r="G204" s="15"/>
      <c r="H204" s="15"/>
      <c r="I204" s="15"/>
      <c r="J204" s="15"/>
      <c r="K204" s="15"/>
      <c r="L204" s="7"/>
      <c r="M204" s="7"/>
    </row>
    <row r="205" ht="15.75" customHeight="1">
      <c r="A205" s="7"/>
      <c r="B205" s="15"/>
      <c r="C205" s="15"/>
      <c r="D205" s="15"/>
      <c r="E205" s="15"/>
      <c r="F205" s="7"/>
      <c r="G205" s="15"/>
      <c r="H205" s="15"/>
      <c r="I205" s="15"/>
      <c r="J205" s="15"/>
      <c r="K205" s="15"/>
      <c r="L205" s="7"/>
      <c r="M205" s="7"/>
    </row>
    <row r="206" ht="15.75" customHeight="1">
      <c r="A206" s="7"/>
      <c r="B206" s="15"/>
      <c r="C206" s="15"/>
      <c r="D206" s="15"/>
      <c r="E206" s="15"/>
      <c r="F206" s="7"/>
      <c r="G206" s="15"/>
      <c r="H206" s="15"/>
      <c r="I206" s="15"/>
      <c r="J206" s="15"/>
      <c r="K206" s="15"/>
      <c r="L206" s="7"/>
      <c r="M206" s="7"/>
    </row>
    <row r="207" ht="15.75" customHeight="1">
      <c r="A207" s="7"/>
      <c r="B207" s="15"/>
      <c r="C207" s="15"/>
      <c r="D207" s="15"/>
      <c r="E207" s="15"/>
      <c r="F207" s="7"/>
      <c r="G207" s="15"/>
      <c r="H207" s="15"/>
      <c r="I207" s="15"/>
      <c r="J207" s="15"/>
      <c r="K207" s="15"/>
      <c r="L207" s="7"/>
      <c r="M207" s="7"/>
    </row>
    <row r="208" ht="15.75" customHeight="1">
      <c r="A208" s="7"/>
      <c r="B208" s="15"/>
      <c r="C208" s="15"/>
      <c r="D208" s="15"/>
      <c r="E208" s="15"/>
      <c r="F208" s="7"/>
      <c r="G208" s="15"/>
      <c r="H208" s="15"/>
      <c r="I208" s="15"/>
      <c r="J208" s="15"/>
      <c r="K208" s="15"/>
      <c r="L208" s="7"/>
      <c r="M208" s="7"/>
    </row>
    <row r="209" ht="15.75" customHeight="1">
      <c r="A209" s="7"/>
      <c r="B209" s="15"/>
      <c r="C209" s="15"/>
      <c r="D209" s="15"/>
      <c r="E209" s="15"/>
      <c r="F209" s="7"/>
      <c r="G209" s="15"/>
      <c r="H209" s="15"/>
      <c r="I209" s="15"/>
      <c r="J209" s="15"/>
      <c r="K209" s="15"/>
      <c r="L209" s="7"/>
      <c r="M209" s="7"/>
    </row>
    <row r="210" ht="15.75" customHeight="1">
      <c r="A210" s="7"/>
      <c r="B210" s="15"/>
      <c r="C210" s="15"/>
      <c r="D210" s="15"/>
      <c r="E210" s="15"/>
      <c r="F210" s="7"/>
      <c r="G210" s="15"/>
      <c r="H210" s="15"/>
      <c r="I210" s="15"/>
      <c r="J210" s="15"/>
      <c r="K210" s="15"/>
      <c r="L210" s="7"/>
      <c r="M210" s="7"/>
    </row>
    <row r="211" ht="15.75" customHeight="1">
      <c r="A211" s="7"/>
      <c r="B211" s="15"/>
      <c r="C211" s="15"/>
      <c r="D211" s="15"/>
      <c r="E211" s="15"/>
      <c r="F211" s="7"/>
      <c r="G211" s="15"/>
      <c r="H211" s="15"/>
      <c r="I211" s="15"/>
      <c r="J211" s="15"/>
      <c r="K211" s="15"/>
      <c r="L211" s="7"/>
      <c r="M211" s="7"/>
    </row>
    <row r="212" ht="15.75" customHeight="1">
      <c r="A212" s="7"/>
      <c r="B212" s="15"/>
      <c r="C212" s="15"/>
      <c r="D212" s="15"/>
      <c r="E212" s="15"/>
      <c r="F212" s="7"/>
      <c r="G212" s="15"/>
      <c r="H212" s="15"/>
      <c r="I212" s="15"/>
      <c r="J212" s="15"/>
      <c r="K212" s="15"/>
      <c r="L212" s="7"/>
      <c r="M212" s="7"/>
    </row>
    <row r="213" ht="15.75" customHeight="1">
      <c r="A213" s="7"/>
      <c r="B213" s="15"/>
      <c r="C213" s="15"/>
      <c r="D213" s="15"/>
      <c r="E213" s="15"/>
      <c r="F213" s="7"/>
      <c r="G213" s="15"/>
      <c r="H213" s="15"/>
      <c r="I213" s="15"/>
      <c r="J213" s="15"/>
      <c r="K213" s="15"/>
      <c r="L213" s="7"/>
      <c r="M213" s="7"/>
    </row>
    <row r="214" ht="15.75" customHeight="1">
      <c r="A214" s="7"/>
      <c r="B214" s="15"/>
      <c r="C214" s="15"/>
      <c r="D214" s="15"/>
      <c r="E214" s="15"/>
      <c r="F214" s="7"/>
      <c r="G214" s="15"/>
      <c r="H214" s="15"/>
      <c r="I214" s="15"/>
      <c r="J214" s="15"/>
      <c r="K214" s="15"/>
      <c r="L214" s="7"/>
      <c r="M214" s="7"/>
    </row>
    <row r="215" ht="15.75" customHeight="1">
      <c r="A215" s="7"/>
      <c r="B215" s="15"/>
      <c r="C215" s="15"/>
      <c r="D215" s="15"/>
      <c r="E215" s="15"/>
      <c r="F215" s="7"/>
      <c r="G215" s="15"/>
      <c r="H215" s="15"/>
      <c r="I215" s="15"/>
      <c r="J215" s="15"/>
      <c r="K215" s="15"/>
      <c r="L215" s="7"/>
      <c r="M215" s="7"/>
    </row>
    <row r="216" ht="15.75" customHeight="1">
      <c r="A216" s="7"/>
      <c r="B216" s="15"/>
      <c r="C216" s="15"/>
      <c r="D216" s="15"/>
      <c r="E216" s="15"/>
      <c r="F216" s="7"/>
      <c r="G216" s="15"/>
      <c r="H216" s="15"/>
      <c r="I216" s="15"/>
      <c r="J216" s="15"/>
      <c r="K216" s="15"/>
      <c r="L216" s="7"/>
      <c r="M216" s="7"/>
    </row>
    <row r="217" ht="15.75" customHeight="1">
      <c r="A217" s="7"/>
      <c r="B217" s="15"/>
      <c r="C217" s="15"/>
      <c r="D217" s="15"/>
      <c r="E217" s="15"/>
      <c r="F217" s="7"/>
      <c r="G217" s="15"/>
      <c r="H217" s="15"/>
      <c r="I217" s="15"/>
      <c r="J217" s="15"/>
      <c r="K217" s="15"/>
      <c r="L217" s="7"/>
      <c r="M217" s="7"/>
    </row>
    <row r="218" ht="15.75" customHeight="1">
      <c r="A218" s="7"/>
      <c r="B218" s="15"/>
      <c r="C218" s="15"/>
      <c r="D218" s="15"/>
      <c r="E218" s="15"/>
      <c r="F218" s="7"/>
      <c r="G218" s="15"/>
      <c r="H218" s="15"/>
      <c r="I218" s="15"/>
      <c r="J218" s="15"/>
      <c r="K218" s="15"/>
      <c r="L218" s="7"/>
      <c r="M218" s="7"/>
    </row>
    <row r="219" ht="15.75" customHeight="1">
      <c r="A219" s="7"/>
      <c r="B219" s="15"/>
      <c r="C219" s="15"/>
      <c r="D219" s="15"/>
      <c r="E219" s="15"/>
      <c r="F219" s="7"/>
      <c r="G219" s="15"/>
      <c r="H219" s="15"/>
      <c r="I219" s="15"/>
      <c r="J219" s="15"/>
      <c r="K219" s="15"/>
      <c r="L219" s="7"/>
      <c r="M219" s="7"/>
    </row>
    <row r="220" ht="15.75" customHeight="1">
      <c r="A220" s="7"/>
      <c r="B220" s="15"/>
      <c r="C220" s="15"/>
      <c r="D220" s="15"/>
      <c r="E220" s="15"/>
      <c r="F220" s="7"/>
      <c r="G220" s="15"/>
      <c r="H220" s="15"/>
      <c r="I220" s="15"/>
      <c r="J220" s="15"/>
      <c r="K220" s="15"/>
      <c r="L220" s="7"/>
      <c r="M220" s="7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300">
      <formula1>L_Armas!$A$2:$A$600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0"/>
    <col customWidth="1" min="2" max="2" width="16.0"/>
    <col customWidth="1" min="3" max="17" width="12.0"/>
    <col customWidth="1" min="18" max="18" width="40.0"/>
    <col customWidth="1" min="19" max="26" width="8.71"/>
  </cols>
  <sheetData>
    <row r="1" ht="60.0" customHeight="1">
      <c r="A1" s="6" t="s">
        <v>134</v>
      </c>
      <c r="B1" s="6" t="s">
        <v>271</v>
      </c>
      <c r="C1" s="6" t="s">
        <v>272</v>
      </c>
      <c r="D1" s="6" t="s">
        <v>273</v>
      </c>
      <c r="E1" s="6" t="s">
        <v>274</v>
      </c>
      <c r="F1" s="6" t="s">
        <v>275</v>
      </c>
      <c r="G1" s="6" t="s">
        <v>276</v>
      </c>
      <c r="H1" s="6" t="s">
        <v>277</v>
      </c>
      <c r="I1" s="6" t="s">
        <v>278</v>
      </c>
      <c r="J1" s="6" t="s">
        <v>279</v>
      </c>
      <c r="K1" s="6" t="s">
        <v>280</v>
      </c>
      <c r="L1" s="6" t="s">
        <v>281</v>
      </c>
      <c r="M1" s="6" t="s">
        <v>282</v>
      </c>
      <c r="N1" s="6" t="s">
        <v>283</v>
      </c>
      <c r="O1" s="6" t="s">
        <v>284</v>
      </c>
      <c r="P1" s="6" t="s">
        <v>285</v>
      </c>
      <c r="Q1" s="6" t="s">
        <v>286</v>
      </c>
      <c r="R1" s="6" t="s">
        <v>201</v>
      </c>
    </row>
    <row r="2">
      <c r="A2" s="7" t="s">
        <v>84</v>
      </c>
      <c r="B2" s="7" t="s">
        <v>143</v>
      </c>
      <c r="C2" s="7">
        <v>0.15</v>
      </c>
      <c r="D2" s="15">
        <v>0.0</v>
      </c>
      <c r="E2" s="15">
        <v>0.0</v>
      </c>
      <c r="F2" s="15">
        <v>0.4</v>
      </c>
      <c r="G2" s="15">
        <v>0.0</v>
      </c>
      <c r="H2" s="7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7">
        <v>0.0</v>
      </c>
      <c r="R2" s="7"/>
    </row>
    <row r="3">
      <c r="A3" s="7" t="s">
        <v>86</v>
      </c>
      <c r="B3" s="7"/>
      <c r="C3" s="7">
        <v>0.0</v>
      </c>
      <c r="D3" s="15">
        <v>0.0</v>
      </c>
      <c r="E3" s="15">
        <v>0.0</v>
      </c>
      <c r="F3" s="15">
        <v>0.0</v>
      </c>
      <c r="G3" s="15">
        <v>0.0</v>
      </c>
      <c r="H3" s="7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7">
        <v>0.0</v>
      </c>
      <c r="R3" s="7" t="s">
        <v>287</v>
      </c>
    </row>
    <row r="4">
      <c r="A4" s="7" t="s">
        <v>87</v>
      </c>
      <c r="B4" s="7" t="s">
        <v>288</v>
      </c>
      <c r="C4" s="7">
        <v>0.2</v>
      </c>
      <c r="D4" s="15">
        <v>0.0</v>
      </c>
      <c r="E4" s="15">
        <v>0.0</v>
      </c>
      <c r="F4" s="15">
        <v>0.0</v>
      </c>
      <c r="G4" s="15">
        <v>0.0</v>
      </c>
      <c r="H4" s="7">
        <v>0.0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0.2</v>
      </c>
      <c r="P4" s="15">
        <v>0.0</v>
      </c>
      <c r="Q4" s="7">
        <v>0.0</v>
      </c>
      <c r="R4" s="7"/>
    </row>
    <row r="5">
      <c r="A5" s="7" t="s">
        <v>85</v>
      </c>
      <c r="B5" s="7" t="s">
        <v>90</v>
      </c>
      <c r="C5" s="7">
        <v>80.0</v>
      </c>
      <c r="D5" s="15">
        <v>0.0</v>
      </c>
      <c r="E5" s="15">
        <v>0.0</v>
      </c>
      <c r="F5" s="15">
        <v>0.0</v>
      </c>
      <c r="G5" s="15">
        <v>0.0</v>
      </c>
      <c r="H5" s="7">
        <v>0.0</v>
      </c>
      <c r="I5" s="15">
        <v>0.0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7">
        <v>120.0</v>
      </c>
      <c r="R5" s="7"/>
    </row>
    <row r="6">
      <c r="A6" s="7" t="s">
        <v>289</v>
      </c>
      <c r="B6" s="7" t="s">
        <v>143</v>
      </c>
      <c r="C6" s="7">
        <v>0.15</v>
      </c>
      <c r="D6" s="15">
        <v>0.0</v>
      </c>
      <c r="E6" s="15">
        <v>0.075</v>
      </c>
      <c r="F6" s="15">
        <v>0.0</v>
      </c>
      <c r="G6" s="15">
        <v>0.0</v>
      </c>
      <c r="H6" s="7">
        <v>0.0</v>
      </c>
      <c r="I6" s="15">
        <v>0.0</v>
      </c>
      <c r="J6" s="15">
        <v>0.0</v>
      </c>
      <c r="K6" s="15">
        <v>0.0</v>
      </c>
      <c r="L6" s="15">
        <v>0.0</v>
      </c>
      <c r="M6" s="15">
        <v>0.15</v>
      </c>
      <c r="N6" s="15">
        <v>0.15</v>
      </c>
      <c r="O6" s="15">
        <v>0.0</v>
      </c>
      <c r="P6" s="15">
        <v>0.0</v>
      </c>
      <c r="Q6" s="7">
        <v>0.0</v>
      </c>
      <c r="R6" s="7" t="s">
        <v>290</v>
      </c>
    </row>
    <row r="7">
      <c r="A7" s="7" t="s">
        <v>291</v>
      </c>
      <c r="B7" s="7" t="s">
        <v>92</v>
      </c>
      <c r="C7" s="7">
        <v>0.18</v>
      </c>
      <c r="D7" s="15">
        <v>0.0</v>
      </c>
      <c r="E7" s="15">
        <v>0.0</v>
      </c>
      <c r="F7" s="15">
        <v>0.0</v>
      </c>
      <c r="G7" s="15">
        <v>0.0</v>
      </c>
      <c r="H7" s="7">
        <v>0.0</v>
      </c>
      <c r="I7" s="15">
        <v>0.35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7">
        <v>0.0</v>
      </c>
      <c r="R7" s="7"/>
    </row>
    <row r="8">
      <c r="A8" s="7" t="s">
        <v>292</v>
      </c>
      <c r="B8" s="7" t="s">
        <v>92</v>
      </c>
      <c r="C8" s="7">
        <v>0.18</v>
      </c>
      <c r="D8" s="15">
        <v>0.0</v>
      </c>
      <c r="E8" s="15">
        <v>0.0</v>
      </c>
      <c r="F8" s="15">
        <v>0.0</v>
      </c>
      <c r="G8" s="15">
        <v>0.0</v>
      </c>
      <c r="H8" s="7">
        <v>0.0</v>
      </c>
      <c r="I8" s="15">
        <v>0.5</v>
      </c>
      <c r="J8" s="15">
        <v>0.5</v>
      </c>
      <c r="K8" s="15">
        <v>0.0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7">
        <v>0.0</v>
      </c>
      <c r="R8" s="7"/>
    </row>
    <row r="9">
      <c r="A9" s="7"/>
      <c r="B9" s="7"/>
      <c r="C9" s="7"/>
      <c r="D9" s="15"/>
      <c r="E9" s="15"/>
      <c r="F9" s="15"/>
      <c r="G9" s="15"/>
      <c r="H9" s="7"/>
      <c r="I9" s="15"/>
      <c r="J9" s="15"/>
      <c r="K9" s="15"/>
      <c r="L9" s="15"/>
      <c r="M9" s="15"/>
      <c r="N9" s="15"/>
      <c r="O9" s="15"/>
      <c r="P9" s="15"/>
      <c r="Q9" s="7"/>
      <c r="R9" s="7"/>
    </row>
    <row r="10">
      <c r="A10" s="7"/>
      <c r="B10" s="7"/>
      <c r="C10" s="7"/>
      <c r="D10" s="15"/>
      <c r="E10" s="15"/>
      <c r="F10" s="15"/>
      <c r="G10" s="15"/>
      <c r="H10" s="7"/>
      <c r="I10" s="15"/>
      <c r="J10" s="15"/>
      <c r="K10" s="15"/>
      <c r="L10" s="15"/>
      <c r="M10" s="15"/>
      <c r="N10" s="15"/>
      <c r="O10" s="15"/>
      <c r="P10" s="15"/>
      <c r="Q10" s="7"/>
      <c r="R10" s="7"/>
    </row>
    <row r="11">
      <c r="A11" s="7"/>
      <c r="B11" s="7"/>
      <c r="C11" s="7"/>
      <c r="D11" s="15"/>
      <c r="E11" s="15"/>
      <c r="F11" s="15"/>
      <c r="G11" s="15"/>
      <c r="H11" s="7"/>
      <c r="I11" s="15"/>
      <c r="J11" s="15"/>
      <c r="K11" s="15"/>
      <c r="L11" s="15"/>
      <c r="M11" s="15"/>
      <c r="N11" s="15"/>
      <c r="O11" s="15"/>
      <c r="P11" s="15"/>
      <c r="Q11" s="7"/>
      <c r="R11" s="7"/>
    </row>
    <row r="12">
      <c r="A12" s="7"/>
      <c r="B12" s="7"/>
      <c r="C12" s="7"/>
      <c r="D12" s="15"/>
      <c r="E12" s="15"/>
      <c r="F12" s="15"/>
      <c r="G12" s="15"/>
      <c r="H12" s="7"/>
      <c r="I12" s="15"/>
      <c r="J12" s="15"/>
      <c r="K12" s="15"/>
      <c r="L12" s="15"/>
      <c r="M12" s="15"/>
      <c r="N12" s="15"/>
      <c r="O12" s="15"/>
      <c r="P12" s="15"/>
      <c r="Q12" s="7"/>
      <c r="R12" s="7"/>
    </row>
    <row r="13">
      <c r="A13" s="7"/>
      <c r="B13" s="7"/>
      <c r="C13" s="7"/>
      <c r="D13" s="15"/>
      <c r="E13" s="15"/>
      <c r="F13" s="15"/>
      <c r="G13" s="15"/>
      <c r="H13" s="7"/>
      <c r="I13" s="15"/>
      <c r="J13" s="15"/>
      <c r="K13" s="15"/>
      <c r="L13" s="15"/>
      <c r="M13" s="15"/>
      <c r="N13" s="15"/>
      <c r="O13" s="15"/>
      <c r="P13" s="15"/>
      <c r="Q13" s="7"/>
      <c r="R13" s="7"/>
    </row>
    <row r="14">
      <c r="A14" s="7"/>
      <c r="B14" s="7"/>
      <c r="C14" s="7"/>
      <c r="D14" s="15"/>
      <c r="E14" s="15"/>
      <c r="F14" s="15"/>
      <c r="G14" s="15"/>
      <c r="H14" s="7"/>
      <c r="I14" s="15"/>
      <c r="J14" s="15"/>
      <c r="K14" s="15"/>
      <c r="L14" s="15"/>
      <c r="M14" s="15"/>
      <c r="N14" s="15"/>
      <c r="O14" s="15"/>
      <c r="P14" s="15"/>
      <c r="Q14" s="7"/>
      <c r="R14" s="7"/>
    </row>
    <row r="15">
      <c r="A15" s="7"/>
      <c r="B15" s="7"/>
      <c r="C15" s="7"/>
      <c r="D15" s="15"/>
      <c r="E15" s="15"/>
      <c r="F15" s="15"/>
      <c r="G15" s="15"/>
      <c r="H15" s="7"/>
      <c r="I15" s="15"/>
      <c r="J15" s="15"/>
      <c r="K15" s="15"/>
      <c r="L15" s="15"/>
      <c r="M15" s="15"/>
      <c r="N15" s="15"/>
      <c r="O15" s="15"/>
      <c r="P15" s="15"/>
      <c r="Q15" s="7"/>
      <c r="R15" s="7"/>
    </row>
    <row r="16">
      <c r="A16" s="7"/>
      <c r="B16" s="7"/>
      <c r="C16" s="7"/>
      <c r="D16" s="15"/>
      <c r="E16" s="15"/>
      <c r="F16" s="15"/>
      <c r="G16" s="15"/>
      <c r="H16" s="7"/>
      <c r="I16" s="15"/>
      <c r="J16" s="15"/>
      <c r="K16" s="15"/>
      <c r="L16" s="15"/>
      <c r="M16" s="15"/>
      <c r="N16" s="15"/>
      <c r="O16" s="15"/>
      <c r="P16" s="15"/>
      <c r="Q16" s="7"/>
      <c r="R16" s="7"/>
    </row>
    <row r="17">
      <c r="A17" s="7"/>
      <c r="B17" s="7"/>
      <c r="C17" s="7"/>
      <c r="D17" s="15"/>
      <c r="E17" s="15"/>
      <c r="F17" s="15"/>
      <c r="G17" s="15"/>
      <c r="H17" s="7"/>
      <c r="I17" s="15"/>
      <c r="J17" s="15"/>
      <c r="K17" s="15"/>
      <c r="L17" s="15"/>
      <c r="M17" s="15"/>
      <c r="N17" s="15"/>
      <c r="O17" s="15"/>
      <c r="P17" s="15"/>
      <c r="Q17" s="7"/>
      <c r="R17" s="7"/>
    </row>
    <row r="18">
      <c r="A18" s="7"/>
      <c r="B18" s="7"/>
      <c r="C18" s="7"/>
      <c r="D18" s="15"/>
      <c r="E18" s="15"/>
      <c r="F18" s="15"/>
      <c r="G18" s="15"/>
      <c r="H18" s="7"/>
      <c r="I18" s="15"/>
      <c r="J18" s="15"/>
      <c r="K18" s="15"/>
      <c r="L18" s="15"/>
      <c r="M18" s="15"/>
      <c r="N18" s="15"/>
      <c r="O18" s="15"/>
      <c r="P18" s="15"/>
      <c r="Q18" s="7"/>
      <c r="R18" s="7"/>
    </row>
    <row r="19">
      <c r="A19" s="7"/>
      <c r="B19" s="7"/>
      <c r="C19" s="7"/>
      <c r="D19" s="15"/>
      <c r="E19" s="15"/>
      <c r="F19" s="15"/>
      <c r="G19" s="15"/>
      <c r="H19" s="7"/>
      <c r="I19" s="15"/>
      <c r="J19" s="15"/>
      <c r="K19" s="15"/>
      <c r="L19" s="15"/>
      <c r="M19" s="15"/>
      <c r="N19" s="15"/>
      <c r="O19" s="15"/>
      <c r="P19" s="15"/>
      <c r="Q19" s="7"/>
      <c r="R19" s="7"/>
    </row>
    <row r="20">
      <c r="A20" s="7"/>
      <c r="B20" s="7"/>
      <c r="C20" s="7"/>
      <c r="D20" s="15"/>
      <c r="E20" s="15"/>
      <c r="F20" s="15"/>
      <c r="G20" s="15"/>
      <c r="H20" s="7"/>
      <c r="I20" s="15"/>
      <c r="J20" s="15"/>
      <c r="K20" s="15"/>
      <c r="L20" s="15"/>
      <c r="M20" s="15"/>
      <c r="N20" s="15"/>
      <c r="O20" s="15"/>
      <c r="P20" s="15"/>
      <c r="Q20" s="7"/>
      <c r="R20" s="7"/>
    </row>
    <row r="21" ht="15.75" customHeight="1">
      <c r="A21" s="7"/>
      <c r="B21" s="7"/>
      <c r="C21" s="7"/>
      <c r="D21" s="15"/>
      <c r="E21" s="15"/>
      <c r="F21" s="15"/>
      <c r="G21" s="15"/>
      <c r="H21" s="7"/>
      <c r="I21" s="15"/>
      <c r="J21" s="15"/>
      <c r="K21" s="15"/>
      <c r="L21" s="15"/>
      <c r="M21" s="15"/>
      <c r="N21" s="15"/>
      <c r="O21" s="15"/>
      <c r="P21" s="15"/>
      <c r="Q21" s="7"/>
      <c r="R21" s="7"/>
    </row>
    <row r="22" ht="15.75" customHeight="1">
      <c r="A22" s="7"/>
      <c r="B22" s="7"/>
      <c r="C22" s="7"/>
      <c r="D22" s="15"/>
      <c r="E22" s="15"/>
      <c r="F22" s="15"/>
      <c r="G22" s="15"/>
      <c r="H22" s="7"/>
      <c r="I22" s="15"/>
      <c r="J22" s="15"/>
      <c r="K22" s="15"/>
      <c r="L22" s="15"/>
      <c r="M22" s="15"/>
      <c r="N22" s="15"/>
      <c r="O22" s="15"/>
      <c r="P22" s="15"/>
      <c r="Q22" s="7"/>
      <c r="R22" s="7"/>
    </row>
    <row r="23" ht="15.75" customHeight="1">
      <c r="A23" s="7"/>
      <c r="B23" s="7"/>
      <c r="C23" s="7"/>
      <c r="D23" s="15"/>
      <c r="E23" s="15"/>
      <c r="F23" s="15"/>
      <c r="G23" s="15"/>
      <c r="H23" s="7"/>
      <c r="I23" s="15"/>
      <c r="J23" s="15"/>
      <c r="K23" s="15"/>
      <c r="L23" s="15"/>
      <c r="M23" s="15"/>
      <c r="N23" s="15"/>
      <c r="O23" s="15"/>
      <c r="P23" s="15"/>
      <c r="Q23" s="7"/>
      <c r="R23" s="7"/>
    </row>
    <row r="24" ht="15.75" customHeight="1">
      <c r="A24" s="7"/>
      <c r="B24" s="7"/>
      <c r="C24" s="7"/>
      <c r="D24" s="15"/>
      <c r="E24" s="15"/>
      <c r="F24" s="15"/>
      <c r="G24" s="15"/>
      <c r="H24" s="7"/>
      <c r="I24" s="15"/>
      <c r="J24" s="15"/>
      <c r="K24" s="15"/>
      <c r="L24" s="15"/>
      <c r="M24" s="15"/>
      <c r="N24" s="15"/>
      <c r="O24" s="15"/>
      <c r="P24" s="15"/>
      <c r="Q24" s="7"/>
      <c r="R24" s="7"/>
    </row>
    <row r="25" ht="15.75" customHeight="1">
      <c r="A25" s="7"/>
      <c r="B25" s="7"/>
      <c r="C25" s="7"/>
      <c r="D25" s="15"/>
      <c r="E25" s="15"/>
      <c r="F25" s="15"/>
      <c r="G25" s="15"/>
      <c r="H25" s="7"/>
      <c r="I25" s="15"/>
      <c r="J25" s="15"/>
      <c r="K25" s="15"/>
      <c r="L25" s="15"/>
      <c r="M25" s="15"/>
      <c r="N25" s="15"/>
      <c r="O25" s="15"/>
      <c r="P25" s="15"/>
      <c r="Q25" s="7"/>
      <c r="R25" s="7"/>
    </row>
    <row r="26" ht="15.75" customHeight="1">
      <c r="A26" s="7"/>
      <c r="B26" s="7"/>
      <c r="C26" s="7"/>
      <c r="D26" s="15"/>
      <c r="E26" s="15"/>
      <c r="F26" s="15"/>
      <c r="G26" s="15"/>
      <c r="H26" s="7"/>
      <c r="I26" s="15"/>
      <c r="J26" s="15"/>
      <c r="K26" s="15"/>
      <c r="L26" s="15"/>
      <c r="M26" s="15"/>
      <c r="N26" s="15"/>
      <c r="O26" s="15"/>
      <c r="P26" s="15"/>
      <c r="Q26" s="7"/>
      <c r="R26" s="7"/>
    </row>
    <row r="27" ht="15.75" customHeight="1">
      <c r="A27" s="7"/>
      <c r="B27" s="7"/>
      <c r="C27" s="7"/>
      <c r="D27" s="15"/>
      <c r="E27" s="15"/>
      <c r="F27" s="15"/>
      <c r="G27" s="15"/>
      <c r="H27" s="7"/>
      <c r="I27" s="15"/>
      <c r="J27" s="15"/>
      <c r="K27" s="15"/>
      <c r="L27" s="15"/>
      <c r="M27" s="15"/>
      <c r="N27" s="15"/>
      <c r="O27" s="15"/>
      <c r="P27" s="15"/>
      <c r="Q27" s="7"/>
      <c r="R27" s="7"/>
    </row>
    <row r="28" ht="15.75" customHeight="1">
      <c r="A28" s="7"/>
      <c r="B28" s="7"/>
      <c r="C28" s="7"/>
      <c r="D28" s="15"/>
      <c r="E28" s="15"/>
      <c r="F28" s="15"/>
      <c r="G28" s="15"/>
      <c r="H28" s="7"/>
      <c r="I28" s="15"/>
      <c r="J28" s="15"/>
      <c r="K28" s="15"/>
      <c r="L28" s="15"/>
      <c r="M28" s="15"/>
      <c r="N28" s="15"/>
      <c r="O28" s="15"/>
      <c r="P28" s="15"/>
      <c r="Q28" s="7"/>
      <c r="R28" s="7"/>
    </row>
    <row r="29" ht="15.75" customHeight="1">
      <c r="A29" s="7"/>
      <c r="B29" s="7"/>
      <c r="C29" s="7"/>
      <c r="D29" s="15"/>
      <c r="E29" s="15"/>
      <c r="F29" s="15"/>
      <c r="G29" s="15"/>
      <c r="H29" s="7"/>
      <c r="I29" s="15"/>
      <c r="J29" s="15"/>
      <c r="K29" s="15"/>
      <c r="L29" s="15"/>
      <c r="M29" s="15"/>
      <c r="N29" s="15"/>
      <c r="O29" s="15"/>
      <c r="P29" s="15"/>
      <c r="Q29" s="7"/>
      <c r="R29" s="7"/>
    </row>
    <row r="30" ht="15.75" customHeight="1">
      <c r="A30" s="7"/>
      <c r="B30" s="7"/>
      <c r="C30" s="7"/>
      <c r="D30" s="15"/>
      <c r="E30" s="15"/>
      <c r="F30" s="15"/>
      <c r="G30" s="15"/>
      <c r="H30" s="7"/>
      <c r="I30" s="15"/>
      <c r="J30" s="15"/>
      <c r="K30" s="15"/>
      <c r="L30" s="15"/>
      <c r="M30" s="15"/>
      <c r="N30" s="15"/>
      <c r="O30" s="15"/>
      <c r="P30" s="15"/>
      <c r="Q30" s="7"/>
      <c r="R30" s="7"/>
    </row>
    <row r="31" ht="15.75" customHeight="1">
      <c r="A31" s="7"/>
      <c r="B31" s="7"/>
      <c r="C31" s="7"/>
      <c r="D31" s="15"/>
      <c r="E31" s="15"/>
      <c r="F31" s="15"/>
      <c r="G31" s="15"/>
      <c r="H31" s="7"/>
      <c r="I31" s="15"/>
      <c r="J31" s="15"/>
      <c r="K31" s="15"/>
      <c r="L31" s="15"/>
      <c r="M31" s="15"/>
      <c r="N31" s="15"/>
      <c r="O31" s="15"/>
      <c r="P31" s="15"/>
      <c r="Q31" s="7"/>
      <c r="R31" s="7"/>
    </row>
    <row r="32" ht="15.75" customHeight="1">
      <c r="A32" s="7"/>
      <c r="B32" s="7"/>
      <c r="C32" s="7"/>
      <c r="D32" s="15"/>
      <c r="E32" s="15"/>
      <c r="F32" s="15"/>
      <c r="G32" s="15"/>
      <c r="H32" s="7"/>
      <c r="I32" s="15"/>
      <c r="J32" s="15"/>
      <c r="K32" s="15"/>
      <c r="L32" s="15"/>
      <c r="M32" s="15"/>
      <c r="N32" s="15"/>
      <c r="O32" s="15"/>
      <c r="P32" s="15"/>
      <c r="Q32" s="7"/>
      <c r="R32" s="7"/>
    </row>
    <row r="33" ht="15.75" customHeight="1">
      <c r="A33" s="7"/>
      <c r="B33" s="7"/>
      <c r="C33" s="7"/>
      <c r="D33" s="15"/>
      <c r="E33" s="15"/>
      <c r="F33" s="15"/>
      <c r="G33" s="15"/>
      <c r="H33" s="7"/>
      <c r="I33" s="15"/>
      <c r="J33" s="15"/>
      <c r="K33" s="15"/>
      <c r="L33" s="15"/>
      <c r="M33" s="15"/>
      <c r="N33" s="15"/>
      <c r="O33" s="15"/>
      <c r="P33" s="15"/>
      <c r="Q33" s="7"/>
      <c r="R33" s="7"/>
    </row>
    <row r="34" ht="15.75" customHeight="1">
      <c r="A34" s="7"/>
      <c r="B34" s="7"/>
      <c r="C34" s="7"/>
      <c r="D34" s="15"/>
      <c r="E34" s="15"/>
      <c r="F34" s="15"/>
      <c r="G34" s="15"/>
      <c r="H34" s="7"/>
      <c r="I34" s="15"/>
      <c r="J34" s="15"/>
      <c r="K34" s="15"/>
      <c r="L34" s="15"/>
      <c r="M34" s="15"/>
      <c r="N34" s="15"/>
      <c r="O34" s="15"/>
      <c r="P34" s="15"/>
      <c r="Q34" s="7"/>
      <c r="R34" s="7"/>
    </row>
    <row r="35" ht="15.75" customHeight="1">
      <c r="A35" s="7"/>
      <c r="B35" s="7"/>
      <c r="C35" s="7"/>
      <c r="D35" s="15"/>
      <c r="E35" s="15"/>
      <c r="F35" s="15"/>
      <c r="G35" s="15"/>
      <c r="H35" s="7"/>
      <c r="I35" s="15"/>
      <c r="J35" s="15"/>
      <c r="K35" s="15"/>
      <c r="L35" s="15"/>
      <c r="M35" s="15"/>
      <c r="N35" s="15"/>
      <c r="O35" s="15"/>
      <c r="P35" s="15"/>
      <c r="Q35" s="7"/>
      <c r="R35" s="7"/>
    </row>
    <row r="36" ht="15.75" customHeight="1">
      <c r="A36" s="7"/>
      <c r="B36" s="7"/>
      <c r="C36" s="7"/>
      <c r="D36" s="15"/>
      <c r="E36" s="15"/>
      <c r="F36" s="15"/>
      <c r="G36" s="15"/>
      <c r="H36" s="7"/>
      <c r="I36" s="15"/>
      <c r="J36" s="15"/>
      <c r="K36" s="15"/>
      <c r="L36" s="15"/>
      <c r="M36" s="15"/>
      <c r="N36" s="15"/>
      <c r="O36" s="15"/>
      <c r="P36" s="15"/>
      <c r="Q36" s="7"/>
      <c r="R36" s="7"/>
    </row>
    <row r="37" ht="15.75" customHeight="1">
      <c r="A37" s="7"/>
      <c r="B37" s="7"/>
      <c r="C37" s="7"/>
      <c r="D37" s="15"/>
      <c r="E37" s="15"/>
      <c r="F37" s="15"/>
      <c r="G37" s="15"/>
      <c r="H37" s="7"/>
      <c r="I37" s="15"/>
      <c r="J37" s="15"/>
      <c r="K37" s="15"/>
      <c r="L37" s="15"/>
      <c r="M37" s="15"/>
      <c r="N37" s="15"/>
      <c r="O37" s="15"/>
      <c r="P37" s="15"/>
      <c r="Q37" s="7"/>
      <c r="R37" s="7"/>
    </row>
    <row r="38" ht="15.75" customHeight="1">
      <c r="A38" s="7"/>
      <c r="B38" s="7"/>
      <c r="C38" s="7"/>
      <c r="D38" s="15"/>
      <c r="E38" s="15"/>
      <c r="F38" s="15"/>
      <c r="G38" s="15"/>
      <c r="H38" s="7"/>
      <c r="I38" s="15"/>
      <c r="J38" s="15"/>
      <c r="K38" s="15"/>
      <c r="L38" s="15"/>
      <c r="M38" s="15"/>
      <c r="N38" s="15"/>
      <c r="O38" s="15"/>
      <c r="P38" s="15"/>
      <c r="Q38" s="7"/>
      <c r="R38" s="7"/>
    </row>
    <row r="39" ht="15.75" customHeight="1">
      <c r="A39" s="7"/>
      <c r="B39" s="7"/>
      <c r="C39" s="7"/>
      <c r="D39" s="15"/>
      <c r="E39" s="15"/>
      <c r="F39" s="15"/>
      <c r="G39" s="15"/>
      <c r="H39" s="7"/>
      <c r="I39" s="15"/>
      <c r="J39" s="15"/>
      <c r="K39" s="15"/>
      <c r="L39" s="15"/>
      <c r="M39" s="15"/>
      <c r="N39" s="15"/>
      <c r="O39" s="15"/>
      <c r="P39" s="15"/>
      <c r="Q39" s="7"/>
      <c r="R39" s="7"/>
    </row>
    <row r="40" ht="15.75" customHeight="1">
      <c r="A40" s="7"/>
      <c r="B40" s="7"/>
      <c r="C40" s="7"/>
      <c r="D40" s="15"/>
      <c r="E40" s="15"/>
      <c r="F40" s="15"/>
      <c r="G40" s="15"/>
      <c r="H40" s="7"/>
      <c r="I40" s="15"/>
      <c r="J40" s="15"/>
      <c r="K40" s="15"/>
      <c r="L40" s="15"/>
      <c r="M40" s="15"/>
      <c r="N40" s="15"/>
      <c r="O40" s="15"/>
      <c r="P40" s="15"/>
      <c r="Q40" s="7"/>
      <c r="R40" s="7"/>
    </row>
    <row r="41" ht="15.75" customHeight="1">
      <c r="A41" s="7"/>
      <c r="B41" s="7"/>
      <c r="C41" s="7"/>
      <c r="D41" s="15"/>
      <c r="E41" s="15"/>
      <c r="F41" s="15"/>
      <c r="G41" s="15"/>
      <c r="H41" s="7"/>
      <c r="I41" s="15"/>
      <c r="J41" s="15"/>
      <c r="K41" s="15"/>
      <c r="L41" s="15"/>
      <c r="M41" s="15"/>
      <c r="N41" s="15"/>
      <c r="O41" s="15"/>
      <c r="P41" s="15"/>
      <c r="Q41" s="7"/>
      <c r="R41" s="7"/>
    </row>
    <row r="42" ht="15.75" customHeight="1">
      <c r="A42" s="7"/>
      <c r="B42" s="7"/>
      <c r="C42" s="7"/>
      <c r="D42" s="15"/>
      <c r="E42" s="15"/>
      <c r="F42" s="15"/>
      <c r="G42" s="15"/>
      <c r="H42" s="7"/>
      <c r="I42" s="15"/>
      <c r="J42" s="15"/>
      <c r="K42" s="15"/>
      <c r="L42" s="15"/>
      <c r="M42" s="15"/>
      <c r="N42" s="15"/>
      <c r="O42" s="15"/>
      <c r="P42" s="15"/>
      <c r="Q42" s="7"/>
      <c r="R42" s="7"/>
    </row>
    <row r="43" ht="15.75" customHeight="1">
      <c r="A43" s="7"/>
      <c r="B43" s="7"/>
      <c r="C43" s="7"/>
      <c r="D43" s="15"/>
      <c r="E43" s="15"/>
      <c r="F43" s="15"/>
      <c r="G43" s="15"/>
      <c r="H43" s="7"/>
      <c r="I43" s="15"/>
      <c r="J43" s="15"/>
      <c r="K43" s="15"/>
      <c r="L43" s="15"/>
      <c r="M43" s="15"/>
      <c r="N43" s="15"/>
      <c r="O43" s="15"/>
      <c r="P43" s="15"/>
      <c r="Q43" s="7"/>
      <c r="R43" s="7"/>
    </row>
    <row r="44" ht="15.75" customHeight="1">
      <c r="A44" s="7"/>
      <c r="B44" s="7"/>
      <c r="C44" s="7"/>
      <c r="D44" s="15"/>
      <c r="E44" s="15"/>
      <c r="F44" s="15"/>
      <c r="G44" s="15"/>
      <c r="H44" s="7"/>
      <c r="I44" s="15"/>
      <c r="J44" s="15"/>
      <c r="K44" s="15"/>
      <c r="L44" s="15"/>
      <c r="M44" s="15"/>
      <c r="N44" s="15"/>
      <c r="O44" s="15"/>
      <c r="P44" s="15"/>
      <c r="Q44" s="7"/>
      <c r="R44" s="7"/>
    </row>
    <row r="45" ht="15.75" customHeight="1">
      <c r="A45" s="7"/>
      <c r="B45" s="7"/>
      <c r="C45" s="7"/>
      <c r="D45" s="15"/>
      <c r="E45" s="15"/>
      <c r="F45" s="15"/>
      <c r="G45" s="15"/>
      <c r="H45" s="7"/>
      <c r="I45" s="15"/>
      <c r="J45" s="15"/>
      <c r="K45" s="15"/>
      <c r="L45" s="15"/>
      <c r="M45" s="15"/>
      <c r="N45" s="15"/>
      <c r="O45" s="15"/>
      <c r="P45" s="15"/>
      <c r="Q45" s="7"/>
      <c r="R45" s="7"/>
    </row>
    <row r="46" ht="15.75" customHeight="1">
      <c r="A46" s="7"/>
      <c r="B46" s="7"/>
      <c r="C46" s="7"/>
      <c r="D46" s="15"/>
      <c r="E46" s="15"/>
      <c r="F46" s="15"/>
      <c r="G46" s="15"/>
      <c r="H46" s="7"/>
      <c r="I46" s="15"/>
      <c r="J46" s="15"/>
      <c r="K46" s="15"/>
      <c r="L46" s="15"/>
      <c r="M46" s="15"/>
      <c r="N46" s="15"/>
      <c r="O46" s="15"/>
      <c r="P46" s="15"/>
      <c r="Q46" s="7"/>
      <c r="R46" s="7"/>
    </row>
    <row r="47" ht="15.75" customHeight="1">
      <c r="A47" s="7"/>
      <c r="B47" s="7"/>
      <c r="C47" s="7"/>
      <c r="D47" s="15"/>
      <c r="E47" s="15"/>
      <c r="F47" s="15"/>
      <c r="G47" s="15"/>
      <c r="H47" s="7"/>
      <c r="I47" s="15"/>
      <c r="J47" s="15"/>
      <c r="K47" s="15"/>
      <c r="L47" s="15"/>
      <c r="M47" s="15"/>
      <c r="N47" s="15"/>
      <c r="O47" s="15"/>
      <c r="P47" s="15"/>
      <c r="Q47" s="7"/>
      <c r="R47" s="7"/>
    </row>
    <row r="48" ht="15.75" customHeight="1">
      <c r="A48" s="7"/>
      <c r="B48" s="7"/>
      <c r="C48" s="7"/>
      <c r="D48" s="15"/>
      <c r="E48" s="15"/>
      <c r="F48" s="15"/>
      <c r="G48" s="15"/>
      <c r="H48" s="7"/>
      <c r="I48" s="15"/>
      <c r="J48" s="15"/>
      <c r="K48" s="15"/>
      <c r="L48" s="15"/>
      <c r="M48" s="15"/>
      <c r="N48" s="15"/>
      <c r="O48" s="15"/>
      <c r="P48" s="15"/>
      <c r="Q48" s="7"/>
      <c r="R48" s="7"/>
    </row>
    <row r="49" ht="15.75" customHeight="1">
      <c r="A49" s="7"/>
      <c r="B49" s="7"/>
      <c r="C49" s="7"/>
      <c r="D49" s="15"/>
      <c r="E49" s="15"/>
      <c r="F49" s="15"/>
      <c r="G49" s="15"/>
      <c r="H49" s="7"/>
      <c r="I49" s="15"/>
      <c r="J49" s="15"/>
      <c r="K49" s="15"/>
      <c r="L49" s="15"/>
      <c r="M49" s="15"/>
      <c r="N49" s="15"/>
      <c r="O49" s="15"/>
      <c r="P49" s="15"/>
      <c r="Q49" s="7"/>
      <c r="R49" s="7"/>
    </row>
    <row r="50" ht="15.75" customHeight="1">
      <c r="A50" s="7"/>
      <c r="B50" s="7"/>
      <c r="C50" s="7"/>
      <c r="D50" s="15"/>
      <c r="E50" s="15"/>
      <c r="F50" s="15"/>
      <c r="G50" s="15"/>
      <c r="H50" s="7"/>
      <c r="I50" s="15"/>
      <c r="J50" s="15"/>
      <c r="K50" s="15"/>
      <c r="L50" s="15"/>
      <c r="M50" s="15"/>
      <c r="N50" s="15"/>
      <c r="O50" s="15"/>
      <c r="P50" s="15"/>
      <c r="Q50" s="7"/>
      <c r="R50" s="7"/>
    </row>
    <row r="51" ht="15.75" customHeight="1">
      <c r="A51" s="7"/>
      <c r="B51" s="7"/>
      <c r="C51" s="7"/>
      <c r="D51" s="15"/>
      <c r="E51" s="15"/>
      <c r="F51" s="15"/>
      <c r="G51" s="15"/>
      <c r="H51" s="7"/>
      <c r="I51" s="15"/>
      <c r="J51" s="15"/>
      <c r="K51" s="15"/>
      <c r="L51" s="15"/>
      <c r="M51" s="15"/>
      <c r="N51" s="15"/>
      <c r="O51" s="15"/>
      <c r="P51" s="15"/>
      <c r="Q51" s="7"/>
      <c r="R51" s="7"/>
    </row>
    <row r="52" ht="15.75" customHeight="1">
      <c r="A52" s="7"/>
      <c r="B52" s="7"/>
      <c r="C52" s="7"/>
      <c r="D52" s="15"/>
      <c r="E52" s="15"/>
      <c r="F52" s="15"/>
      <c r="G52" s="15"/>
      <c r="H52" s="7"/>
      <c r="I52" s="15"/>
      <c r="J52" s="15"/>
      <c r="K52" s="15"/>
      <c r="L52" s="15"/>
      <c r="M52" s="15"/>
      <c r="N52" s="15"/>
      <c r="O52" s="15"/>
      <c r="P52" s="15"/>
      <c r="Q52" s="7"/>
      <c r="R52" s="7"/>
    </row>
    <row r="53" ht="15.75" customHeight="1">
      <c r="A53" s="7"/>
      <c r="B53" s="7"/>
      <c r="C53" s="7"/>
      <c r="D53" s="15"/>
      <c r="E53" s="15"/>
      <c r="F53" s="15"/>
      <c r="G53" s="15"/>
      <c r="H53" s="7"/>
      <c r="I53" s="15"/>
      <c r="J53" s="15"/>
      <c r="K53" s="15"/>
      <c r="L53" s="15"/>
      <c r="M53" s="15"/>
      <c r="N53" s="15"/>
      <c r="O53" s="15"/>
      <c r="P53" s="15"/>
      <c r="Q53" s="7"/>
      <c r="R53" s="7"/>
    </row>
    <row r="54" ht="15.75" customHeight="1">
      <c r="A54" s="7"/>
      <c r="B54" s="7"/>
      <c r="C54" s="7"/>
      <c r="D54" s="15"/>
      <c r="E54" s="15"/>
      <c r="F54" s="15"/>
      <c r="G54" s="15"/>
      <c r="H54" s="7"/>
      <c r="I54" s="15"/>
      <c r="J54" s="15"/>
      <c r="K54" s="15"/>
      <c r="L54" s="15"/>
      <c r="M54" s="15"/>
      <c r="N54" s="15"/>
      <c r="O54" s="15"/>
      <c r="P54" s="15"/>
      <c r="Q54" s="7"/>
      <c r="R54" s="7"/>
    </row>
    <row r="55" ht="15.75" customHeight="1">
      <c r="A55" s="7"/>
      <c r="B55" s="7"/>
      <c r="C55" s="7"/>
      <c r="D55" s="15"/>
      <c r="E55" s="15"/>
      <c r="F55" s="15"/>
      <c r="G55" s="15"/>
      <c r="H55" s="7"/>
      <c r="I55" s="15"/>
      <c r="J55" s="15"/>
      <c r="K55" s="15"/>
      <c r="L55" s="15"/>
      <c r="M55" s="15"/>
      <c r="N55" s="15"/>
      <c r="O55" s="15"/>
      <c r="P55" s="15"/>
      <c r="Q55" s="7"/>
      <c r="R55" s="7"/>
    </row>
    <row r="56" ht="15.75" customHeight="1">
      <c r="A56" s="7"/>
      <c r="B56" s="7"/>
      <c r="C56" s="7"/>
      <c r="D56" s="15"/>
      <c r="E56" s="15"/>
      <c r="F56" s="15"/>
      <c r="G56" s="15"/>
      <c r="H56" s="7"/>
      <c r="I56" s="15"/>
      <c r="J56" s="15"/>
      <c r="K56" s="15"/>
      <c r="L56" s="15"/>
      <c r="M56" s="15"/>
      <c r="N56" s="15"/>
      <c r="O56" s="15"/>
      <c r="P56" s="15"/>
      <c r="Q56" s="7"/>
      <c r="R56" s="7"/>
    </row>
    <row r="57" ht="15.75" customHeight="1">
      <c r="A57" s="7"/>
      <c r="B57" s="7"/>
      <c r="C57" s="7"/>
      <c r="D57" s="15"/>
      <c r="E57" s="15"/>
      <c r="F57" s="15"/>
      <c r="G57" s="15"/>
      <c r="H57" s="7"/>
      <c r="I57" s="15"/>
      <c r="J57" s="15"/>
      <c r="K57" s="15"/>
      <c r="L57" s="15"/>
      <c r="M57" s="15"/>
      <c r="N57" s="15"/>
      <c r="O57" s="15"/>
      <c r="P57" s="15"/>
      <c r="Q57" s="7"/>
      <c r="R57" s="7"/>
    </row>
    <row r="58" ht="15.75" customHeight="1">
      <c r="A58" s="7"/>
      <c r="B58" s="7"/>
      <c r="C58" s="7"/>
      <c r="D58" s="15"/>
      <c r="E58" s="15"/>
      <c r="F58" s="15"/>
      <c r="G58" s="15"/>
      <c r="H58" s="7"/>
      <c r="I58" s="15"/>
      <c r="J58" s="15"/>
      <c r="K58" s="15"/>
      <c r="L58" s="15"/>
      <c r="M58" s="15"/>
      <c r="N58" s="15"/>
      <c r="O58" s="15"/>
      <c r="P58" s="15"/>
      <c r="Q58" s="7"/>
      <c r="R58" s="7"/>
    </row>
    <row r="59" ht="15.75" customHeight="1">
      <c r="A59" s="7"/>
      <c r="B59" s="7"/>
      <c r="C59" s="7"/>
      <c r="D59" s="15"/>
      <c r="E59" s="15"/>
      <c r="F59" s="15"/>
      <c r="G59" s="15"/>
      <c r="H59" s="7"/>
      <c r="I59" s="15"/>
      <c r="J59" s="15"/>
      <c r="K59" s="15"/>
      <c r="L59" s="15"/>
      <c r="M59" s="15"/>
      <c r="N59" s="15"/>
      <c r="O59" s="15"/>
      <c r="P59" s="15"/>
      <c r="Q59" s="7"/>
      <c r="R59" s="7"/>
    </row>
    <row r="60" ht="15.75" customHeight="1">
      <c r="A60" s="7"/>
      <c r="B60" s="7"/>
      <c r="C60" s="7"/>
      <c r="D60" s="15"/>
      <c r="E60" s="15"/>
      <c r="F60" s="15"/>
      <c r="G60" s="15"/>
      <c r="H60" s="7"/>
      <c r="I60" s="15"/>
      <c r="J60" s="15"/>
      <c r="K60" s="15"/>
      <c r="L60" s="15"/>
      <c r="M60" s="15"/>
      <c r="N60" s="15"/>
      <c r="O60" s="15"/>
      <c r="P60" s="15"/>
      <c r="Q60" s="7"/>
      <c r="R60" s="7"/>
    </row>
    <row r="61" ht="15.75" customHeight="1">
      <c r="A61" s="7"/>
      <c r="B61" s="7"/>
      <c r="C61" s="7"/>
      <c r="D61" s="15"/>
      <c r="E61" s="15"/>
      <c r="F61" s="15"/>
      <c r="G61" s="15"/>
      <c r="H61" s="7"/>
      <c r="I61" s="15"/>
      <c r="J61" s="15"/>
      <c r="K61" s="15"/>
      <c r="L61" s="15"/>
      <c r="M61" s="15"/>
      <c r="N61" s="15"/>
      <c r="O61" s="15"/>
      <c r="P61" s="15"/>
      <c r="Q61" s="7"/>
      <c r="R61" s="7"/>
    </row>
    <row r="62" ht="15.75" customHeight="1">
      <c r="A62" s="7"/>
      <c r="B62" s="7"/>
      <c r="C62" s="7"/>
      <c r="D62" s="15"/>
      <c r="E62" s="15"/>
      <c r="F62" s="15"/>
      <c r="G62" s="15"/>
      <c r="H62" s="7"/>
      <c r="I62" s="15"/>
      <c r="J62" s="15"/>
      <c r="K62" s="15"/>
      <c r="L62" s="15"/>
      <c r="M62" s="15"/>
      <c r="N62" s="15"/>
      <c r="O62" s="15"/>
      <c r="P62" s="15"/>
      <c r="Q62" s="7"/>
      <c r="R62" s="7"/>
    </row>
    <row r="63" ht="15.75" customHeight="1">
      <c r="A63" s="7"/>
      <c r="B63" s="7"/>
      <c r="C63" s="7"/>
      <c r="D63" s="15"/>
      <c r="E63" s="15"/>
      <c r="F63" s="15"/>
      <c r="G63" s="15"/>
      <c r="H63" s="7"/>
      <c r="I63" s="15"/>
      <c r="J63" s="15"/>
      <c r="K63" s="15"/>
      <c r="L63" s="15"/>
      <c r="M63" s="15"/>
      <c r="N63" s="15"/>
      <c r="O63" s="15"/>
      <c r="P63" s="15"/>
      <c r="Q63" s="7"/>
      <c r="R63" s="7"/>
    </row>
    <row r="64" ht="15.75" customHeight="1">
      <c r="A64" s="7"/>
      <c r="B64" s="7"/>
      <c r="C64" s="7"/>
      <c r="D64" s="15"/>
      <c r="E64" s="15"/>
      <c r="F64" s="15"/>
      <c r="G64" s="15"/>
      <c r="H64" s="7"/>
      <c r="I64" s="15"/>
      <c r="J64" s="15"/>
      <c r="K64" s="15"/>
      <c r="L64" s="15"/>
      <c r="M64" s="15"/>
      <c r="N64" s="15"/>
      <c r="O64" s="15"/>
      <c r="P64" s="15"/>
      <c r="Q64" s="7"/>
      <c r="R64" s="7"/>
    </row>
    <row r="65" ht="15.75" customHeight="1">
      <c r="A65" s="7"/>
      <c r="B65" s="7"/>
      <c r="C65" s="7"/>
      <c r="D65" s="15"/>
      <c r="E65" s="15"/>
      <c r="F65" s="15"/>
      <c r="G65" s="15"/>
      <c r="H65" s="7"/>
      <c r="I65" s="15"/>
      <c r="J65" s="15"/>
      <c r="K65" s="15"/>
      <c r="L65" s="15"/>
      <c r="M65" s="15"/>
      <c r="N65" s="15"/>
      <c r="O65" s="15"/>
      <c r="P65" s="15"/>
      <c r="Q65" s="7"/>
      <c r="R65" s="7"/>
    </row>
    <row r="66" ht="15.75" customHeight="1">
      <c r="A66" s="7"/>
      <c r="B66" s="7"/>
      <c r="C66" s="7"/>
      <c r="D66" s="15"/>
      <c r="E66" s="15"/>
      <c r="F66" s="15"/>
      <c r="G66" s="15"/>
      <c r="H66" s="7"/>
      <c r="I66" s="15"/>
      <c r="J66" s="15"/>
      <c r="K66" s="15"/>
      <c r="L66" s="15"/>
      <c r="M66" s="15"/>
      <c r="N66" s="15"/>
      <c r="O66" s="15"/>
      <c r="P66" s="15"/>
      <c r="Q66" s="7"/>
      <c r="R66" s="7"/>
    </row>
    <row r="67" ht="15.75" customHeight="1">
      <c r="A67" s="7"/>
      <c r="B67" s="7"/>
      <c r="C67" s="7"/>
      <c r="D67" s="15"/>
      <c r="E67" s="15"/>
      <c r="F67" s="15"/>
      <c r="G67" s="15"/>
      <c r="H67" s="7"/>
      <c r="I67" s="15"/>
      <c r="J67" s="15"/>
      <c r="K67" s="15"/>
      <c r="L67" s="15"/>
      <c r="M67" s="15"/>
      <c r="N67" s="15"/>
      <c r="O67" s="15"/>
      <c r="P67" s="15"/>
      <c r="Q67" s="7"/>
      <c r="R67" s="7"/>
    </row>
    <row r="68" ht="15.75" customHeight="1">
      <c r="A68" s="7"/>
      <c r="B68" s="7"/>
      <c r="C68" s="7"/>
      <c r="D68" s="15"/>
      <c r="E68" s="15"/>
      <c r="F68" s="15"/>
      <c r="G68" s="15"/>
      <c r="H68" s="7"/>
      <c r="I68" s="15"/>
      <c r="J68" s="15"/>
      <c r="K68" s="15"/>
      <c r="L68" s="15"/>
      <c r="M68" s="15"/>
      <c r="N68" s="15"/>
      <c r="O68" s="15"/>
      <c r="P68" s="15"/>
      <c r="Q68" s="7"/>
      <c r="R68" s="7"/>
    </row>
    <row r="69" ht="15.75" customHeight="1">
      <c r="A69" s="7"/>
      <c r="B69" s="7"/>
      <c r="C69" s="7"/>
      <c r="D69" s="15"/>
      <c r="E69" s="15"/>
      <c r="F69" s="15"/>
      <c r="G69" s="15"/>
      <c r="H69" s="7"/>
      <c r="I69" s="15"/>
      <c r="J69" s="15"/>
      <c r="K69" s="15"/>
      <c r="L69" s="15"/>
      <c r="M69" s="15"/>
      <c r="N69" s="15"/>
      <c r="O69" s="15"/>
      <c r="P69" s="15"/>
      <c r="Q69" s="7"/>
      <c r="R69" s="7"/>
    </row>
    <row r="70" ht="15.75" customHeight="1">
      <c r="A70" s="7"/>
      <c r="B70" s="7"/>
      <c r="C70" s="7"/>
      <c r="D70" s="15"/>
      <c r="E70" s="15"/>
      <c r="F70" s="15"/>
      <c r="G70" s="15"/>
      <c r="H70" s="7"/>
      <c r="I70" s="15"/>
      <c r="J70" s="15"/>
      <c r="K70" s="15"/>
      <c r="L70" s="15"/>
      <c r="M70" s="15"/>
      <c r="N70" s="15"/>
      <c r="O70" s="15"/>
      <c r="P70" s="15"/>
      <c r="Q70" s="7"/>
      <c r="R70" s="7"/>
    </row>
    <row r="71" ht="15.75" customHeight="1">
      <c r="A71" s="7"/>
      <c r="B71" s="7"/>
      <c r="C71" s="7"/>
      <c r="D71" s="15"/>
      <c r="E71" s="15"/>
      <c r="F71" s="15"/>
      <c r="G71" s="15"/>
      <c r="H71" s="7"/>
      <c r="I71" s="15"/>
      <c r="J71" s="15"/>
      <c r="K71" s="15"/>
      <c r="L71" s="15"/>
      <c r="M71" s="15"/>
      <c r="N71" s="15"/>
      <c r="O71" s="15"/>
      <c r="P71" s="15"/>
      <c r="Q71" s="7"/>
      <c r="R71" s="7"/>
    </row>
    <row r="72" ht="15.75" customHeight="1">
      <c r="A72" s="7"/>
      <c r="B72" s="7"/>
      <c r="C72" s="7"/>
      <c r="D72" s="15"/>
      <c r="E72" s="15"/>
      <c r="F72" s="15"/>
      <c r="G72" s="15"/>
      <c r="H72" s="7"/>
      <c r="I72" s="15"/>
      <c r="J72" s="15"/>
      <c r="K72" s="15"/>
      <c r="L72" s="15"/>
      <c r="M72" s="15"/>
      <c r="N72" s="15"/>
      <c r="O72" s="15"/>
      <c r="P72" s="15"/>
      <c r="Q72" s="7"/>
      <c r="R72" s="7"/>
    </row>
    <row r="73" ht="15.75" customHeight="1">
      <c r="A73" s="7"/>
      <c r="B73" s="7"/>
      <c r="C73" s="7"/>
      <c r="D73" s="15"/>
      <c r="E73" s="15"/>
      <c r="F73" s="15"/>
      <c r="G73" s="15"/>
      <c r="H73" s="7"/>
      <c r="I73" s="15"/>
      <c r="J73" s="15"/>
      <c r="K73" s="15"/>
      <c r="L73" s="15"/>
      <c r="M73" s="15"/>
      <c r="N73" s="15"/>
      <c r="O73" s="15"/>
      <c r="P73" s="15"/>
      <c r="Q73" s="7"/>
      <c r="R73" s="7"/>
    </row>
    <row r="74" ht="15.75" customHeight="1">
      <c r="A74" s="7"/>
      <c r="B74" s="7"/>
      <c r="C74" s="7"/>
      <c r="D74" s="15"/>
      <c r="E74" s="15"/>
      <c r="F74" s="15"/>
      <c r="G74" s="15"/>
      <c r="H74" s="7"/>
      <c r="I74" s="15"/>
      <c r="J74" s="15"/>
      <c r="K74" s="15"/>
      <c r="L74" s="15"/>
      <c r="M74" s="15"/>
      <c r="N74" s="15"/>
      <c r="O74" s="15"/>
      <c r="P74" s="15"/>
      <c r="Q74" s="7"/>
      <c r="R74" s="7"/>
    </row>
    <row r="75" ht="15.75" customHeight="1">
      <c r="A75" s="7"/>
      <c r="B75" s="7"/>
      <c r="C75" s="7"/>
      <c r="D75" s="15"/>
      <c r="E75" s="15"/>
      <c r="F75" s="15"/>
      <c r="G75" s="15"/>
      <c r="H75" s="7"/>
      <c r="I75" s="15"/>
      <c r="J75" s="15"/>
      <c r="K75" s="15"/>
      <c r="L75" s="15"/>
      <c r="M75" s="15"/>
      <c r="N75" s="15"/>
      <c r="O75" s="15"/>
      <c r="P75" s="15"/>
      <c r="Q75" s="7"/>
      <c r="R75" s="7"/>
    </row>
    <row r="76" ht="15.75" customHeight="1">
      <c r="A76" s="7"/>
      <c r="B76" s="7"/>
      <c r="C76" s="7"/>
      <c r="D76" s="15"/>
      <c r="E76" s="15"/>
      <c r="F76" s="15"/>
      <c r="G76" s="15"/>
      <c r="H76" s="7"/>
      <c r="I76" s="15"/>
      <c r="J76" s="15"/>
      <c r="K76" s="15"/>
      <c r="L76" s="15"/>
      <c r="M76" s="15"/>
      <c r="N76" s="15"/>
      <c r="O76" s="15"/>
      <c r="P76" s="15"/>
      <c r="Q76" s="7"/>
      <c r="R76" s="7"/>
    </row>
    <row r="77" ht="15.75" customHeight="1">
      <c r="A77" s="7"/>
      <c r="B77" s="7"/>
      <c r="C77" s="7"/>
      <c r="D77" s="15"/>
      <c r="E77" s="15"/>
      <c r="F77" s="15"/>
      <c r="G77" s="15"/>
      <c r="H77" s="7"/>
      <c r="I77" s="15"/>
      <c r="J77" s="15"/>
      <c r="K77" s="15"/>
      <c r="L77" s="15"/>
      <c r="M77" s="15"/>
      <c r="N77" s="15"/>
      <c r="O77" s="15"/>
      <c r="P77" s="15"/>
      <c r="Q77" s="7"/>
      <c r="R77" s="7"/>
    </row>
    <row r="78" ht="15.75" customHeight="1">
      <c r="A78" s="7"/>
      <c r="B78" s="7"/>
      <c r="C78" s="7"/>
      <c r="D78" s="15"/>
      <c r="E78" s="15"/>
      <c r="F78" s="15"/>
      <c r="G78" s="15"/>
      <c r="H78" s="7"/>
      <c r="I78" s="15"/>
      <c r="J78" s="15"/>
      <c r="K78" s="15"/>
      <c r="L78" s="15"/>
      <c r="M78" s="15"/>
      <c r="N78" s="15"/>
      <c r="O78" s="15"/>
      <c r="P78" s="15"/>
      <c r="Q78" s="7"/>
      <c r="R78" s="7"/>
    </row>
    <row r="79" ht="15.75" customHeight="1">
      <c r="A79" s="7"/>
      <c r="B79" s="7"/>
      <c r="C79" s="7"/>
      <c r="D79" s="15"/>
      <c r="E79" s="15"/>
      <c r="F79" s="15"/>
      <c r="G79" s="15"/>
      <c r="H79" s="7"/>
      <c r="I79" s="15"/>
      <c r="J79" s="15"/>
      <c r="K79" s="15"/>
      <c r="L79" s="15"/>
      <c r="M79" s="15"/>
      <c r="N79" s="15"/>
      <c r="O79" s="15"/>
      <c r="P79" s="15"/>
      <c r="Q79" s="7"/>
      <c r="R79" s="7"/>
    </row>
    <row r="80" ht="15.75" customHeight="1">
      <c r="A80" s="7"/>
      <c r="B80" s="7"/>
      <c r="C80" s="7"/>
      <c r="D80" s="15"/>
      <c r="E80" s="15"/>
      <c r="F80" s="15"/>
      <c r="G80" s="15"/>
      <c r="H80" s="7"/>
      <c r="I80" s="15"/>
      <c r="J80" s="15"/>
      <c r="K80" s="15"/>
      <c r="L80" s="15"/>
      <c r="M80" s="15"/>
      <c r="N80" s="15"/>
      <c r="O80" s="15"/>
      <c r="P80" s="15"/>
      <c r="Q80" s="7"/>
      <c r="R80" s="7"/>
    </row>
    <row r="81" ht="15.75" customHeight="1">
      <c r="A81" s="7"/>
      <c r="B81" s="7"/>
      <c r="C81" s="7"/>
      <c r="D81" s="15"/>
      <c r="E81" s="15"/>
      <c r="F81" s="15"/>
      <c r="G81" s="15"/>
      <c r="H81" s="7"/>
      <c r="I81" s="15"/>
      <c r="J81" s="15"/>
      <c r="K81" s="15"/>
      <c r="L81" s="15"/>
      <c r="M81" s="15"/>
      <c r="N81" s="15"/>
      <c r="O81" s="15"/>
      <c r="P81" s="15"/>
      <c r="Q81" s="7"/>
      <c r="R81" s="7"/>
    </row>
    <row r="82" ht="15.75" customHeight="1">
      <c r="A82" s="7"/>
      <c r="B82" s="7"/>
      <c r="C82" s="7"/>
      <c r="D82" s="15"/>
      <c r="E82" s="15"/>
      <c r="F82" s="15"/>
      <c r="G82" s="15"/>
      <c r="H82" s="7"/>
      <c r="I82" s="15"/>
      <c r="J82" s="15"/>
      <c r="K82" s="15"/>
      <c r="L82" s="15"/>
      <c r="M82" s="15"/>
      <c r="N82" s="15"/>
      <c r="O82" s="15"/>
      <c r="P82" s="15"/>
      <c r="Q82" s="7"/>
      <c r="R82" s="7"/>
    </row>
    <row r="83" ht="15.75" customHeight="1">
      <c r="A83" s="7"/>
      <c r="B83" s="7"/>
      <c r="C83" s="7"/>
      <c r="D83" s="15"/>
      <c r="E83" s="15"/>
      <c r="F83" s="15"/>
      <c r="G83" s="15"/>
      <c r="H83" s="7"/>
      <c r="I83" s="15"/>
      <c r="J83" s="15"/>
      <c r="K83" s="15"/>
      <c r="L83" s="15"/>
      <c r="M83" s="15"/>
      <c r="N83" s="15"/>
      <c r="O83" s="15"/>
      <c r="P83" s="15"/>
      <c r="Q83" s="7"/>
      <c r="R83" s="7"/>
    </row>
    <row r="84" ht="15.75" customHeight="1">
      <c r="A84" s="7"/>
      <c r="B84" s="7"/>
      <c r="C84" s="7"/>
      <c r="D84" s="15"/>
      <c r="E84" s="15"/>
      <c r="F84" s="15"/>
      <c r="G84" s="15"/>
      <c r="H84" s="7"/>
      <c r="I84" s="15"/>
      <c r="J84" s="15"/>
      <c r="K84" s="15"/>
      <c r="L84" s="15"/>
      <c r="M84" s="15"/>
      <c r="N84" s="15"/>
      <c r="O84" s="15"/>
      <c r="P84" s="15"/>
      <c r="Q84" s="7"/>
      <c r="R84" s="7"/>
    </row>
    <row r="85" ht="15.75" customHeight="1">
      <c r="A85" s="7"/>
      <c r="B85" s="7"/>
      <c r="C85" s="7"/>
      <c r="D85" s="15"/>
      <c r="E85" s="15"/>
      <c r="F85" s="15"/>
      <c r="G85" s="15"/>
      <c r="H85" s="7"/>
      <c r="I85" s="15"/>
      <c r="J85" s="15"/>
      <c r="K85" s="15"/>
      <c r="L85" s="15"/>
      <c r="M85" s="15"/>
      <c r="N85" s="15"/>
      <c r="O85" s="15"/>
      <c r="P85" s="15"/>
      <c r="Q85" s="7"/>
      <c r="R85" s="7"/>
    </row>
    <row r="86" ht="15.75" customHeight="1">
      <c r="A86" s="7"/>
      <c r="B86" s="7"/>
      <c r="C86" s="7"/>
      <c r="D86" s="15"/>
      <c r="E86" s="15"/>
      <c r="F86" s="15"/>
      <c r="G86" s="15"/>
      <c r="H86" s="7"/>
      <c r="I86" s="15"/>
      <c r="J86" s="15"/>
      <c r="K86" s="15"/>
      <c r="L86" s="15"/>
      <c r="M86" s="15"/>
      <c r="N86" s="15"/>
      <c r="O86" s="15"/>
      <c r="P86" s="15"/>
      <c r="Q86" s="7"/>
      <c r="R86" s="7"/>
    </row>
    <row r="87" ht="15.75" customHeight="1">
      <c r="A87" s="7"/>
      <c r="B87" s="7"/>
      <c r="C87" s="7"/>
      <c r="D87" s="15"/>
      <c r="E87" s="15"/>
      <c r="F87" s="15"/>
      <c r="G87" s="15"/>
      <c r="H87" s="7"/>
      <c r="I87" s="15"/>
      <c r="J87" s="15"/>
      <c r="K87" s="15"/>
      <c r="L87" s="15"/>
      <c r="M87" s="15"/>
      <c r="N87" s="15"/>
      <c r="O87" s="15"/>
      <c r="P87" s="15"/>
      <c r="Q87" s="7"/>
      <c r="R87" s="7"/>
    </row>
    <row r="88" ht="15.75" customHeight="1">
      <c r="A88" s="7"/>
      <c r="B88" s="7"/>
      <c r="C88" s="7"/>
      <c r="D88" s="15"/>
      <c r="E88" s="15"/>
      <c r="F88" s="15"/>
      <c r="G88" s="15"/>
      <c r="H88" s="7"/>
      <c r="I88" s="15"/>
      <c r="J88" s="15"/>
      <c r="K88" s="15"/>
      <c r="L88" s="15"/>
      <c r="M88" s="15"/>
      <c r="N88" s="15"/>
      <c r="O88" s="15"/>
      <c r="P88" s="15"/>
      <c r="Q88" s="7"/>
      <c r="R88" s="7"/>
    </row>
    <row r="89" ht="15.75" customHeight="1">
      <c r="A89" s="7"/>
      <c r="B89" s="7"/>
      <c r="C89" s="7"/>
      <c r="D89" s="15"/>
      <c r="E89" s="15"/>
      <c r="F89" s="15"/>
      <c r="G89" s="15"/>
      <c r="H89" s="7"/>
      <c r="I89" s="15"/>
      <c r="J89" s="15"/>
      <c r="K89" s="15"/>
      <c r="L89" s="15"/>
      <c r="M89" s="15"/>
      <c r="N89" s="15"/>
      <c r="O89" s="15"/>
      <c r="P89" s="15"/>
      <c r="Q89" s="7"/>
      <c r="R89" s="7"/>
    </row>
    <row r="90" ht="15.75" customHeight="1">
      <c r="A90" s="7"/>
      <c r="B90" s="7"/>
      <c r="C90" s="7"/>
      <c r="D90" s="15"/>
      <c r="E90" s="15"/>
      <c r="F90" s="15"/>
      <c r="G90" s="15"/>
      <c r="H90" s="7"/>
      <c r="I90" s="15"/>
      <c r="J90" s="15"/>
      <c r="K90" s="15"/>
      <c r="L90" s="15"/>
      <c r="M90" s="15"/>
      <c r="N90" s="15"/>
      <c r="O90" s="15"/>
      <c r="P90" s="15"/>
      <c r="Q90" s="7"/>
      <c r="R90" s="7"/>
    </row>
    <row r="91" ht="15.75" customHeight="1">
      <c r="A91" s="7"/>
      <c r="B91" s="7"/>
      <c r="C91" s="7"/>
      <c r="D91" s="15"/>
      <c r="E91" s="15"/>
      <c r="F91" s="15"/>
      <c r="G91" s="15"/>
      <c r="H91" s="7"/>
      <c r="I91" s="15"/>
      <c r="J91" s="15"/>
      <c r="K91" s="15"/>
      <c r="L91" s="15"/>
      <c r="M91" s="15"/>
      <c r="N91" s="15"/>
      <c r="O91" s="15"/>
      <c r="P91" s="15"/>
      <c r="Q91" s="7"/>
      <c r="R91" s="7"/>
    </row>
    <row r="92" ht="15.75" customHeight="1">
      <c r="A92" s="7"/>
      <c r="B92" s="7"/>
      <c r="C92" s="7"/>
      <c r="D92" s="15"/>
      <c r="E92" s="15"/>
      <c r="F92" s="15"/>
      <c r="G92" s="15"/>
      <c r="H92" s="7"/>
      <c r="I92" s="15"/>
      <c r="J92" s="15"/>
      <c r="K92" s="15"/>
      <c r="L92" s="15"/>
      <c r="M92" s="15"/>
      <c r="N92" s="15"/>
      <c r="O92" s="15"/>
      <c r="P92" s="15"/>
      <c r="Q92" s="7"/>
      <c r="R92" s="7"/>
    </row>
    <row r="93" ht="15.75" customHeight="1">
      <c r="A93" s="7"/>
      <c r="B93" s="7"/>
      <c r="C93" s="7"/>
      <c r="D93" s="15"/>
      <c r="E93" s="15"/>
      <c r="F93" s="15"/>
      <c r="G93" s="15"/>
      <c r="H93" s="7"/>
      <c r="I93" s="15"/>
      <c r="J93" s="15"/>
      <c r="K93" s="15"/>
      <c r="L93" s="15"/>
      <c r="M93" s="15"/>
      <c r="N93" s="15"/>
      <c r="O93" s="15"/>
      <c r="P93" s="15"/>
      <c r="Q93" s="7"/>
      <c r="R93" s="7"/>
    </row>
    <row r="94" ht="15.75" customHeight="1">
      <c r="A94" s="7"/>
      <c r="B94" s="7"/>
      <c r="C94" s="7"/>
      <c r="D94" s="15"/>
      <c r="E94" s="15"/>
      <c r="F94" s="15"/>
      <c r="G94" s="15"/>
      <c r="H94" s="7"/>
      <c r="I94" s="15"/>
      <c r="J94" s="15"/>
      <c r="K94" s="15"/>
      <c r="L94" s="15"/>
      <c r="M94" s="15"/>
      <c r="N94" s="15"/>
      <c r="O94" s="15"/>
      <c r="P94" s="15"/>
      <c r="Q94" s="7"/>
      <c r="R94" s="7"/>
    </row>
    <row r="95" ht="15.75" customHeight="1">
      <c r="A95" s="7"/>
      <c r="B95" s="7"/>
      <c r="C95" s="7"/>
      <c r="D95" s="15"/>
      <c r="E95" s="15"/>
      <c r="F95" s="15"/>
      <c r="G95" s="15"/>
      <c r="H95" s="7"/>
      <c r="I95" s="15"/>
      <c r="J95" s="15"/>
      <c r="K95" s="15"/>
      <c r="L95" s="15"/>
      <c r="M95" s="15"/>
      <c r="N95" s="15"/>
      <c r="O95" s="15"/>
      <c r="P95" s="15"/>
      <c r="Q95" s="7"/>
      <c r="R95" s="7"/>
    </row>
    <row r="96" ht="15.75" customHeight="1">
      <c r="A96" s="7"/>
      <c r="B96" s="7"/>
      <c r="C96" s="7"/>
      <c r="D96" s="15"/>
      <c r="E96" s="15"/>
      <c r="F96" s="15"/>
      <c r="G96" s="15"/>
      <c r="H96" s="7"/>
      <c r="I96" s="15"/>
      <c r="J96" s="15"/>
      <c r="K96" s="15"/>
      <c r="L96" s="15"/>
      <c r="M96" s="15"/>
      <c r="N96" s="15"/>
      <c r="O96" s="15"/>
      <c r="P96" s="15"/>
      <c r="Q96" s="7"/>
      <c r="R96" s="7"/>
    </row>
    <row r="97" ht="15.75" customHeight="1">
      <c r="A97" s="7"/>
      <c r="B97" s="7"/>
      <c r="C97" s="7"/>
      <c r="D97" s="15"/>
      <c r="E97" s="15"/>
      <c r="F97" s="15"/>
      <c r="G97" s="15"/>
      <c r="H97" s="7"/>
      <c r="I97" s="15"/>
      <c r="J97" s="15"/>
      <c r="K97" s="15"/>
      <c r="L97" s="15"/>
      <c r="M97" s="15"/>
      <c r="N97" s="15"/>
      <c r="O97" s="15"/>
      <c r="P97" s="15"/>
      <c r="Q97" s="7"/>
      <c r="R97" s="7"/>
    </row>
    <row r="98" ht="15.75" customHeight="1">
      <c r="A98" s="7"/>
      <c r="B98" s="7"/>
      <c r="C98" s="7"/>
      <c r="D98" s="15"/>
      <c r="E98" s="15"/>
      <c r="F98" s="15"/>
      <c r="G98" s="15"/>
      <c r="H98" s="7"/>
      <c r="I98" s="15"/>
      <c r="J98" s="15"/>
      <c r="K98" s="15"/>
      <c r="L98" s="15"/>
      <c r="M98" s="15"/>
      <c r="N98" s="15"/>
      <c r="O98" s="15"/>
      <c r="P98" s="15"/>
      <c r="Q98" s="7"/>
      <c r="R98" s="7"/>
    </row>
    <row r="99" ht="15.75" customHeight="1">
      <c r="A99" s="7"/>
      <c r="B99" s="7"/>
      <c r="C99" s="7"/>
      <c r="D99" s="15"/>
      <c r="E99" s="15"/>
      <c r="F99" s="15"/>
      <c r="G99" s="15"/>
      <c r="H99" s="7"/>
      <c r="I99" s="15"/>
      <c r="J99" s="15"/>
      <c r="K99" s="15"/>
      <c r="L99" s="15"/>
      <c r="M99" s="15"/>
      <c r="N99" s="15"/>
      <c r="O99" s="15"/>
      <c r="P99" s="15"/>
      <c r="Q99" s="7"/>
      <c r="R99" s="7"/>
    </row>
    <row r="100" ht="15.75" customHeight="1">
      <c r="A100" s="7"/>
      <c r="B100" s="7"/>
      <c r="C100" s="7"/>
      <c r="D100" s="15"/>
      <c r="E100" s="15"/>
      <c r="F100" s="15"/>
      <c r="G100" s="15"/>
      <c r="H100" s="7"/>
      <c r="I100" s="15"/>
      <c r="J100" s="15"/>
      <c r="K100" s="15"/>
      <c r="L100" s="15"/>
      <c r="M100" s="15"/>
      <c r="N100" s="15"/>
      <c r="O100" s="15"/>
      <c r="P100" s="15"/>
      <c r="Q100" s="7"/>
      <c r="R100" s="7"/>
    </row>
    <row r="101" ht="15.75" customHeight="1">
      <c r="A101" s="7"/>
      <c r="B101" s="7"/>
      <c r="C101" s="7"/>
      <c r="D101" s="15"/>
      <c r="E101" s="15"/>
      <c r="F101" s="15"/>
      <c r="G101" s="15"/>
      <c r="H101" s="7"/>
      <c r="I101" s="15"/>
      <c r="J101" s="15"/>
      <c r="K101" s="15"/>
      <c r="L101" s="15"/>
      <c r="M101" s="15"/>
      <c r="N101" s="15"/>
      <c r="O101" s="15"/>
      <c r="P101" s="15"/>
      <c r="Q101" s="7"/>
      <c r="R101" s="7"/>
    </row>
    <row r="102" ht="15.75" customHeight="1">
      <c r="A102" s="7"/>
      <c r="B102" s="7"/>
      <c r="C102" s="7"/>
      <c r="D102" s="15"/>
      <c r="E102" s="15"/>
      <c r="F102" s="15"/>
      <c r="G102" s="15"/>
      <c r="H102" s="7"/>
      <c r="I102" s="15"/>
      <c r="J102" s="15"/>
      <c r="K102" s="15"/>
      <c r="L102" s="15"/>
      <c r="M102" s="15"/>
      <c r="N102" s="15"/>
      <c r="O102" s="15"/>
      <c r="P102" s="15"/>
      <c r="Q102" s="7"/>
      <c r="R102" s="7"/>
    </row>
    <row r="103" ht="15.75" customHeight="1">
      <c r="A103" s="7"/>
      <c r="B103" s="7"/>
      <c r="C103" s="7"/>
      <c r="D103" s="15"/>
      <c r="E103" s="15"/>
      <c r="F103" s="15"/>
      <c r="G103" s="15"/>
      <c r="H103" s="7"/>
      <c r="I103" s="15"/>
      <c r="J103" s="15"/>
      <c r="K103" s="15"/>
      <c r="L103" s="15"/>
      <c r="M103" s="15"/>
      <c r="N103" s="15"/>
      <c r="O103" s="15"/>
      <c r="P103" s="15"/>
      <c r="Q103" s="7"/>
      <c r="R103" s="7"/>
    </row>
    <row r="104" ht="15.75" customHeight="1">
      <c r="A104" s="7"/>
      <c r="B104" s="7"/>
      <c r="C104" s="7"/>
      <c r="D104" s="15"/>
      <c r="E104" s="15"/>
      <c r="F104" s="15"/>
      <c r="G104" s="15"/>
      <c r="H104" s="7"/>
      <c r="I104" s="15"/>
      <c r="J104" s="15"/>
      <c r="K104" s="15"/>
      <c r="L104" s="15"/>
      <c r="M104" s="15"/>
      <c r="N104" s="15"/>
      <c r="O104" s="15"/>
      <c r="P104" s="15"/>
      <c r="Q104" s="7"/>
      <c r="R104" s="7"/>
    </row>
    <row r="105" ht="15.75" customHeight="1">
      <c r="A105" s="7"/>
      <c r="B105" s="7"/>
      <c r="C105" s="7"/>
      <c r="D105" s="15"/>
      <c r="E105" s="15"/>
      <c r="F105" s="15"/>
      <c r="G105" s="15"/>
      <c r="H105" s="7"/>
      <c r="I105" s="15"/>
      <c r="J105" s="15"/>
      <c r="K105" s="15"/>
      <c r="L105" s="15"/>
      <c r="M105" s="15"/>
      <c r="N105" s="15"/>
      <c r="O105" s="15"/>
      <c r="P105" s="15"/>
      <c r="Q105" s="7"/>
      <c r="R105" s="7"/>
    </row>
    <row r="106" ht="15.75" customHeight="1">
      <c r="A106" s="7"/>
      <c r="B106" s="7"/>
      <c r="C106" s="7"/>
      <c r="D106" s="15"/>
      <c r="E106" s="15"/>
      <c r="F106" s="15"/>
      <c r="G106" s="15"/>
      <c r="H106" s="7"/>
      <c r="I106" s="15"/>
      <c r="J106" s="15"/>
      <c r="K106" s="15"/>
      <c r="L106" s="15"/>
      <c r="M106" s="15"/>
      <c r="N106" s="15"/>
      <c r="O106" s="15"/>
      <c r="P106" s="15"/>
      <c r="Q106" s="7"/>
      <c r="R106" s="7"/>
    </row>
    <row r="107" ht="15.75" customHeight="1">
      <c r="A107" s="7"/>
      <c r="B107" s="7"/>
      <c r="C107" s="7"/>
      <c r="D107" s="15"/>
      <c r="E107" s="15"/>
      <c r="F107" s="15"/>
      <c r="G107" s="15"/>
      <c r="H107" s="7"/>
      <c r="I107" s="15"/>
      <c r="J107" s="15"/>
      <c r="K107" s="15"/>
      <c r="L107" s="15"/>
      <c r="M107" s="15"/>
      <c r="N107" s="15"/>
      <c r="O107" s="15"/>
      <c r="P107" s="15"/>
      <c r="Q107" s="7"/>
      <c r="R107" s="7"/>
    </row>
    <row r="108" ht="15.75" customHeight="1">
      <c r="A108" s="7"/>
      <c r="B108" s="7"/>
      <c r="C108" s="7"/>
      <c r="D108" s="15"/>
      <c r="E108" s="15"/>
      <c r="F108" s="15"/>
      <c r="G108" s="15"/>
      <c r="H108" s="7"/>
      <c r="I108" s="15"/>
      <c r="J108" s="15"/>
      <c r="K108" s="15"/>
      <c r="L108" s="15"/>
      <c r="M108" s="15"/>
      <c r="N108" s="15"/>
      <c r="O108" s="15"/>
      <c r="P108" s="15"/>
      <c r="Q108" s="7"/>
      <c r="R108" s="7"/>
    </row>
    <row r="109" ht="15.75" customHeight="1">
      <c r="A109" s="7"/>
      <c r="B109" s="7"/>
      <c r="C109" s="7"/>
      <c r="D109" s="15"/>
      <c r="E109" s="15"/>
      <c r="F109" s="15"/>
      <c r="G109" s="15"/>
      <c r="H109" s="7"/>
      <c r="I109" s="15"/>
      <c r="J109" s="15"/>
      <c r="K109" s="15"/>
      <c r="L109" s="15"/>
      <c r="M109" s="15"/>
      <c r="N109" s="15"/>
      <c r="O109" s="15"/>
      <c r="P109" s="15"/>
      <c r="Q109" s="7"/>
      <c r="R109" s="7"/>
    </row>
    <row r="110" ht="15.75" customHeight="1">
      <c r="A110" s="7"/>
      <c r="B110" s="7"/>
      <c r="C110" s="7"/>
      <c r="D110" s="15"/>
      <c r="E110" s="15"/>
      <c r="F110" s="15"/>
      <c r="G110" s="15"/>
      <c r="H110" s="7"/>
      <c r="I110" s="15"/>
      <c r="J110" s="15"/>
      <c r="K110" s="15"/>
      <c r="L110" s="15"/>
      <c r="M110" s="15"/>
      <c r="N110" s="15"/>
      <c r="O110" s="15"/>
      <c r="P110" s="15"/>
      <c r="Q110" s="7"/>
      <c r="R110" s="7"/>
    </row>
    <row r="111" ht="15.75" customHeight="1">
      <c r="A111" s="7"/>
      <c r="B111" s="7"/>
      <c r="C111" s="7"/>
      <c r="D111" s="15"/>
      <c r="E111" s="15"/>
      <c r="F111" s="15"/>
      <c r="G111" s="15"/>
      <c r="H111" s="7"/>
      <c r="I111" s="15"/>
      <c r="J111" s="15"/>
      <c r="K111" s="15"/>
      <c r="L111" s="15"/>
      <c r="M111" s="15"/>
      <c r="N111" s="15"/>
      <c r="O111" s="15"/>
      <c r="P111" s="15"/>
      <c r="Q111" s="7"/>
      <c r="R111" s="7"/>
    </row>
    <row r="112" ht="15.75" customHeight="1">
      <c r="A112" s="7"/>
      <c r="B112" s="7"/>
      <c r="C112" s="7"/>
      <c r="D112" s="15"/>
      <c r="E112" s="15"/>
      <c r="F112" s="15"/>
      <c r="G112" s="15"/>
      <c r="H112" s="7"/>
      <c r="I112" s="15"/>
      <c r="J112" s="15"/>
      <c r="K112" s="15"/>
      <c r="L112" s="15"/>
      <c r="M112" s="15"/>
      <c r="N112" s="15"/>
      <c r="O112" s="15"/>
      <c r="P112" s="15"/>
      <c r="Q112" s="7"/>
      <c r="R112" s="7"/>
    </row>
    <row r="113" ht="15.75" customHeight="1">
      <c r="A113" s="7"/>
      <c r="B113" s="7"/>
      <c r="C113" s="7"/>
      <c r="D113" s="15"/>
      <c r="E113" s="15"/>
      <c r="F113" s="15"/>
      <c r="G113" s="15"/>
      <c r="H113" s="7"/>
      <c r="I113" s="15"/>
      <c r="J113" s="15"/>
      <c r="K113" s="15"/>
      <c r="L113" s="15"/>
      <c r="M113" s="15"/>
      <c r="N113" s="15"/>
      <c r="O113" s="15"/>
      <c r="P113" s="15"/>
      <c r="Q113" s="7"/>
      <c r="R113" s="7"/>
    </row>
    <row r="114" ht="15.75" customHeight="1">
      <c r="A114" s="7"/>
      <c r="B114" s="7"/>
      <c r="C114" s="7"/>
      <c r="D114" s="15"/>
      <c r="E114" s="15"/>
      <c r="F114" s="15"/>
      <c r="G114" s="15"/>
      <c r="H114" s="7"/>
      <c r="I114" s="15"/>
      <c r="J114" s="15"/>
      <c r="K114" s="15"/>
      <c r="L114" s="15"/>
      <c r="M114" s="15"/>
      <c r="N114" s="15"/>
      <c r="O114" s="15"/>
      <c r="P114" s="15"/>
      <c r="Q114" s="7"/>
      <c r="R114" s="7"/>
    </row>
    <row r="115" ht="15.75" customHeight="1">
      <c r="A115" s="7"/>
      <c r="B115" s="7"/>
      <c r="C115" s="7"/>
      <c r="D115" s="15"/>
      <c r="E115" s="15"/>
      <c r="F115" s="15"/>
      <c r="G115" s="15"/>
      <c r="H115" s="7"/>
      <c r="I115" s="15"/>
      <c r="J115" s="15"/>
      <c r="K115" s="15"/>
      <c r="L115" s="15"/>
      <c r="M115" s="15"/>
      <c r="N115" s="15"/>
      <c r="O115" s="15"/>
      <c r="P115" s="15"/>
      <c r="Q115" s="7"/>
      <c r="R115" s="7"/>
    </row>
    <row r="116" ht="15.75" customHeight="1">
      <c r="A116" s="7"/>
      <c r="B116" s="7"/>
      <c r="C116" s="7"/>
      <c r="D116" s="15"/>
      <c r="E116" s="15"/>
      <c r="F116" s="15"/>
      <c r="G116" s="15"/>
      <c r="H116" s="7"/>
      <c r="I116" s="15"/>
      <c r="J116" s="15"/>
      <c r="K116" s="15"/>
      <c r="L116" s="15"/>
      <c r="M116" s="15"/>
      <c r="N116" s="15"/>
      <c r="O116" s="15"/>
      <c r="P116" s="15"/>
      <c r="Q116" s="7"/>
      <c r="R116" s="7"/>
    </row>
    <row r="117" ht="15.75" customHeight="1">
      <c r="A117" s="7"/>
      <c r="B117" s="7"/>
      <c r="C117" s="7"/>
      <c r="D117" s="15"/>
      <c r="E117" s="15"/>
      <c r="F117" s="15"/>
      <c r="G117" s="15"/>
      <c r="H117" s="7"/>
      <c r="I117" s="15"/>
      <c r="J117" s="15"/>
      <c r="K117" s="15"/>
      <c r="L117" s="15"/>
      <c r="M117" s="15"/>
      <c r="N117" s="15"/>
      <c r="O117" s="15"/>
      <c r="P117" s="15"/>
      <c r="Q117" s="7"/>
      <c r="R117" s="7"/>
    </row>
    <row r="118" ht="15.75" customHeight="1">
      <c r="A118" s="7"/>
      <c r="B118" s="7"/>
      <c r="C118" s="7"/>
      <c r="D118" s="15"/>
      <c r="E118" s="15"/>
      <c r="F118" s="15"/>
      <c r="G118" s="15"/>
      <c r="H118" s="7"/>
      <c r="I118" s="15"/>
      <c r="J118" s="15"/>
      <c r="K118" s="15"/>
      <c r="L118" s="15"/>
      <c r="M118" s="15"/>
      <c r="N118" s="15"/>
      <c r="O118" s="15"/>
      <c r="P118" s="15"/>
      <c r="Q118" s="7"/>
      <c r="R118" s="7"/>
    </row>
    <row r="119" ht="15.75" customHeight="1">
      <c r="A119" s="7"/>
      <c r="B119" s="7"/>
      <c r="C119" s="7"/>
      <c r="D119" s="15"/>
      <c r="E119" s="15"/>
      <c r="F119" s="15"/>
      <c r="G119" s="15"/>
      <c r="H119" s="7"/>
      <c r="I119" s="15"/>
      <c r="J119" s="15"/>
      <c r="K119" s="15"/>
      <c r="L119" s="15"/>
      <c r="M119" s="15"/>
      <c r="N119" s="15"/>
      <c r="O119" s="15"/>
      <c r="P119" s="15"/>
      <c r="Q119" s="7"/>
      <c r="R119" s="7"/>
    </row>
    <row r="120" ht="15.75" customHeight="1">
      <c r="A120" s="7"/>
      <c r="B120" s="7"/>
      <c r="C120" s="7"/>
      <c r="D120" s="15"/>
      <c r="E120" s="15"/>
      <c r="F120" s="15"/>
      <c r="G120" s="15"/>
      <c r="H120" s="7"/>
      <c r="I120" s="15"/>
      <c r="J120" s="15"/>
      <c r="K120" s="15"/>
      <c r="L120" s="15"/>
      <c r="M120" s="15"/>
      <c r="N120" s="15"/>
      <c r="O120" s="15"/>
      <c r="P120" s="15"/>
      <c r="Q120" s="7"/>
      <c r="R120" s="7"/>
    </row>
    <row r="121" ht="15.75" customHeight="1">
      <c r="A121" s="7"/>
      <c r="B121" s="7"/>
      <c r="C121" s="7"/>
      <c r="D121" s="15"/>
      <c r="E121" s="15"/>
      <c r="F121" s="15"/>
      <c r="G121" s="15"/>
      <c r="H121" s="7"/>
      <c r="I121" s="15"/>
      <c r="J121" s="15"/>
      <c r="K121" s="15"/>
      <c r="L121" s="15"/>
      <c r="M121" s="15"/>
      <c r="N121" s="15"/>
      <c r="O121" s="15"/>
      <c r="P121" s="15"/>
      <c r="Q121" s="7"/>
      <c r="R121" s="7"/>
    </row>
    <row r="122" ht="15.75" customHeight="1">
      <c r="A122" s="7"/>
      <c r="B122" s="7"/>
      <c r="C122" s="7"/>
      <c r="D122" s="15"/>
      <c r="E122" s="15"/>
      <c r="F122" s="15"/>
      <c r="G122" s="15"/>
      <c r="H122" s="7"/>
      <c r="I122" s="15"/>
      <c r="J122" s="15"/>
      <c r="K122" s="15"/>
      <c r="L122" s="15"/>
      <c r="M122" s="15"/>
      <c r="N122" s="15"/>
      <c r="O122" s="15"/>
      <c r="P122" s="15"/>
      <c r="Q122" s="7"/>
      <c r="R122" s="7"/>
    </row>
    <row r="123" ht="15.75" customHeight="1">
      <c r="A123" s="7"/>
      <c r="B123" s="7"/>
      <c r="C123" s="7"/>
      <c r="D123" s="15"/>
      <c r="E123" s="15"/>
      <c r="F123" s="15"/>
      <c r="G123" s="15"/>
      <c r="H123" s="7"/>
      <c r="I123" s="15"/>
      <c r="J123" s="15"/>
      <c r="K123" s="15"/>
      <c r="L123" s="15"/>
      <c r="M123" s="15"/>
      <c r="N123" s="15"/>
      <c r="O123" s="15"/>
      <c r="P123" s="15"/>
      <c r="Q123" s="7"/>
      <c r="R123" s="7"/>
    </row>
    <row r="124" ht="15.75" customHeight="1">
      <c r="A124" s="7"/>
      <c r="B124" s="7"/>
      <c r="C124" s="7"/>
      <c r="D124" s="15"/>
      <c r="E124" s="15"/>
      <c r="F124" s="15"/>
      <c r="G124" s="15"/>
      <c r="H124" s="7"/>
      <c r="I124" s="15"/>
      <c r="J124" s="15"/>
      <c r="K124" s="15"/>
      <c r="L124" s="15"/>
      <c r="M124" s="15"/>
      <c r="N124" s="15"/>
      <c r="O124" s="15"/>
      <c r="P124" s="15"/>
      <c r="Q124" s="7"/>
      <c r="R124" s="7"/>
    </row>
    <row r="125" ht="15.75" customHeight="1">
      <c r="A125" s="7"/>
      <c r="B125" s="7"/>
      <c r="C125" s="7"/>
      <c r="D125" s="15"/>
      <c r="E125" s="15"/>
      <c r="F125" s="15"/>
      <c r="G125" s="15"/>
      <c r="H125" s="7"/>
      <c r="I125" s="15"/>
      <c r="J125" s="15"/>
      <c r="K125" s="15"/>
      <c r="L125" s="15"/>
      <c r="M125" s="15"/>
      <c r="N125" s="15"/>
      <c r="O125" s="15"/>
      <c r="P125" s="15"/>
      <c r="Q125" s="7"/>
      <c r="R125" s="7"/>
    </row>
    <row r="126" ht="15.75" customHeight="1">
      <c r="A126" s="7"/>
      <c r="B126" s="7"/>
      <c r="C126" s="7"/>
      <c r="D126" s="15"/>
      <c r="E126" s="15"/>
      <c r="F126" s="15"/>
      <c r="G126" s="15"/>
      <c r="H126" s="7"/>
      <c r="I126" s="15"/>
      <c r="J126" s="15"/>
      <c r="K126" s="15"/>
      <c r="L126" s="15"/>
      <c r="M126" s="15"/>
      <c r="N126" s="15"/>
      <c r="O126" s="15"/>
      <c r="P126" s="15"/>
      <c r="Q126" s="7"/>
      <c r="R126" s="7"/>
    </row>
    <row r="127" ht="15.75" customHeight="1">
      <c r="A127" s="7"/>
      <c r="B127" s="7"/>
      <c r="C127" s="7"/>
      <c r="D127" s="15"/>
      <c r="E127" s="15"/>
      <c r="F127" s="15"/>
      <c r="G127" s="15"/>
      <c r="H127" s="7"/>
      <c r="I127" s="15"/>
      <c r="J127" s="15"/>
      <c r="K127" s="15"/>
      <c r="L127" s="15"/>
      <c r="M127" s="15"/>
      <c r="N127" s="15"/>
      <c r="O127" s="15"/>
      <c r="P127" s="15"/>
      <c r="Q127" s="7"/>
      <c r="R127" s="7"/>
    </row>
    <row r="128" ht="15.75" customHeight="1">
      <c r="A128" s="7"/>
      <c r="B128" s="7"/>
      <c r="C128" s="7"/>
      <c r="D128" s="15"/>
      <c r="E128" s="15"/>
      <c r="F128" s="15"/>
      <c r="G128" s="15"/>
      <c r="H128" s="7"/>
      <c r="I128" s="15"/>
      <c r="J128" s="15"/>
      <c r="K128" s="15"/>
      <c r="L128" s="15"/>
      <c r="M128" s="15"/>
      <c r="N128" s="15"/>
      <c r="O128" s="15"/>
      <c r="P128" s="15"/>
      <c r="Q128" s="7"/>
      <c r="R128" s="7"/>
    </row>
    <row r="129" ht="15.75" customHeight="1">
      <c r="A129" s="7"/>
      <c r="B129" s="7"/>
      <c r="C129" s="7"/>
      <c r="D129" s="15"/>
      <c r="E129" s="15"/>
      <c r="F129" s="15"/>
      <c r="G129" s="15"/>
      <c r="H129" s="7"/>
      <c r="I129" s="15"/>
      <c r="J129" s="15"/>
      <c r="K129" s="15"/>
      <c r="L129" s="15"/>
      <c r="M129" s="15"/>
      <c r="N129" s="15"/>
      <c r="O129" s="15"/>
      <c r="P129" s="15"/>
      <c r="Q129" s="7"/>
      <c r="R129" s="7"/>
    </row>
    <row r="130" ht="15.75" customHeight="1">
      <c r="A130" s="7"/>
      <c r="B130" s="7"/>
      <c r="C130" s="7"/>
      <c r="D130" s="15"/>
      <c r="E130" s="15"/>
      <c r="F130" s="15"/>
      <c r="G130" s="15"/>
      <c r="H130" s="7"/>
      <c r="I130" s="15"/>
      <c r="J130" s="15"/>
      <c r="K130" s="15"/>
      <c r="L130" s="15"/>
      <c r="M130" s="15"/>
      <c r="N130" s="15"/>
      <c r="O130" s="15"/>
      <c r="P130" s="15"/>
      <c r="Q130" s="7"/>
      <c r="R130" s="7"/>
    </row>
    <row r="131" ht="15.75" customHeight="1">
      <c r="A131" s="7"/>
      <c r="B131" s="7"/>
      <c r="C131" s="7"/>
      <c r="D131" s="15"/>
      <c r="E131" s="15"/>
      <c r="F131" s="15"/>
      <c r="G131" s="15"/>
      <c r="H131" s="7"/>
      <c r="I131" s="15"/>
      <c r="J131" s="15"/>
      <c r="K131" s="15"/>
      <c r="L131" s="15"/>
      <c r="M131" s="15"/>
      <c r="N131" s="15"/>
      <c r="O131" s="15"/>
      <c r="P131" s="15"/>
      <c r="Q131" s="7"/>
      <c r="R131" s="7"/>
    </row>
    <row r="132" ht="15.75" customHeight="1">
      <c r="A132" s="7"/>
      <c r="B132" s="7"/>
      <c r="C132" s="7"/>
      <c r="D132" s="15"/>
      <c r="E132" s="15"/>
      <c r="F132" s="15"/>
      <c r="G132" s="15"/>
      <c r="H132" s="7"/>
      <c r="I132" s="15"/>
      <c r="J132" s="15"/>
      <c r="K132" s="15"/>
      <c r="L132" s="15"/>
      <c r="M132" s="15"/>
      <c r="N132" s="15"/>
      <c r="O132" s="15"/>
      <c r="P132" s="15"/>
      <c r="Q132" s="7"/>
      <c r="R132" s="7"/>
    </row>
    <row r="133" ht="15.75" customHeight="1">
      <c r="A133" s="7"/>
      <c r="B133" s="7"/>
      <c r="C133" s="7"/>
      <c r="D133" s="15"/>
      <c r="E133" s="15"/>
      <c r="F133" s="15"/>
      <c r="G133" s="15"/>
      <c r="H133" s="7"/>
      <c r="I133" s="15"/>
      <c r="J133" s="15"/>
      <c r="K133" s="15"/>
      <c r="L133" s="15"/>
      <c r="M133" s="15"/>
      <c r="N133" s="15"/>
      <c r="O133" s="15"/>
      <c r="P133" s="15"/>
      <c r="Q133" s="7"/>
      <c r="R133" s="7"/>
    </row>
    <row r="134" ht="15.75" customHeight="1">
      <c r="A134" s="7"/>
      <c r="B134" s="7"/>
      <c r="C134" s="7"/>
      <c r="D134" s="15"/>
      <c r="E134" s="15"/>
      <c r="F134" s="15"/>
      <c r="G134" s="15"/>
      <c r="H134" s="7"/>
      <c r="I134" s="15"/>
      <c r="J134" s="15"/>
      <c r="K134" s="15"/>
      <c r="L134" s="15"/>
      <c r="M134" s="15"/>
      <c r="N134" s="15"/>
      <c r="O134" s="15"/>
      <c r="P134" s="15"/>
      <c r="Q134" s="7"/>
      <c r="R134" s="7"/>
    </row>
    <row r="135" ht="15.75" customHeight="1">
      <c r="A135" s="7"/>
      <c r="B135" s="7"/>
      <c r="C135" s="7"/>
      <c r="D135" s="15"/>
      <c r="E135" s="15"/>
      <c r="F135" s="15"/>
      <c r="G135" s="15"/>
      <c r="H135" s="7"/>
      <c r="I135" s="15"/>
      <c r="J135" s="15"/>
      <c r="K135" s="15"/>
      <c r="L135" s="15"/>
      <c r="M135" s="15"/>
      <c r="N135" s="15"/>
      <c r="O135" s="15"/>
      <c r="P135" s="15"/>
      <c r="Q135" s="7"/>
      <c r="R135" s="7"/>
    </row>
    <row r="136" ht="15.75" customHeight="1">
      <c r="A136" s="7"/>
      <c r="B136" s="7"/>
      <c r="C136" s="7"/>
      <c r="D136" s="15"/>
      <c r="E136" s="15"/>
      <c r="F136" s="15"/>
      <c r="G136" s="15"/>
      <c r="H136" s="7"/>
      <c r="I136" s="15"/>
      <c r="J136" s="15"/>
      <c r="K136" s="15"/>
      <c r="L136" s="15"/>
      <c r="M136" s="15"/>
      <c r="N136" s="15"/>
      <c r="O136" s="15"/>
      <c r="P136" s="15"/>
      <c r="Q136" s="7"/>
      <c r="R136" s="7"/>
    </row>
    <row r="137" ht="15.75" customHeight="1">
      <c r="A137" s="7"/>
      <c r="B137" s="7"/>
      <c r="C137" s="7"/>
      <c r="D137" s="15"/>
      <c r="E137" s="15"/>
      <c r="F137" s="15"/>
      <c r="G137" s="15"/>
      <c r="H137" s="7"/>
      <c r="I137" s="15"/>
      <c r="J137" s="15"/>
      <c r="K137" s="15"/>
      <c r="L137" s="15"/>
      <c r="M137" s="15"/>
      <c r="N137" s="15"/>
      <c r="O137" s="15"/>
      <c r="P137" s="15"/>
      <c r="Q137" s="7"/>
      <c r="R137" s="7"/>
    </row>
    <row r="138" ht="15.75" customHeight="1">
      <c r="A138" s="7"/>
      <c r="B138" s="7"/>
      <c r="C138" s="7"/>
      <c r="D138" s="15"/>
      <c r="E138" s="15"/>
      <c r="F138" s="15"/>
      <c r="G138" s="15"/>
      <c r="H138" s="7"/>
      <c r="I138" s="15"/>
      <c r="J138" s="15"/>
      <c r="K138" s="15"/>
      <c r="L138" s="15"/>
      <c r="M138" s="15"/>
      <c r="N138" s="15"/>
      <c r="O138" s="15"/>
      <c r="P138" s="15"/>
      <c r="Q138" s="7"/>
      <c r="R138" s="7"/>
    </row>
    <row r="139" ht="15.75" customHeight="1">
      <c r="A139" s="7"/>
      <c r="B139" s="7"/>
      <c r="C139" s="7"/>
      <c r="D139" s="15"/>
      <c r="E139" s="15"/>
      <c r="F139" s="15"/>
      <c r="G139" s="15"/>
      <c r="H139" s="7"/>
      <c r="I139" s="15"/>
      <c r="J139" s="15"/>
      <c r="K139" s="15"/>
      <c r="L139" s="15"/>
      <c r="M139" s="15"/>
      <c r="N139" s="15"/>
      <c r="O139" s="15"/>
      <c r="P139" s="15"/>
      <c r="Q139" s="7"/>
      <c r="R139" s="7"/>
    </row>
    <row r="140" ht="15.75" customHeight="1">
      <c r="A140" s="7"/>
      <c r="B140" s="7"/>
      <c r="C140" s="7"/>
      <c r="D140" s="15"/>
      <c r="E140" s="15"/>
      <c r="F140" s="15"/>
      <c r="G140" s="15"/>
      <c r="H140" s="7"/>
      <c r="I140" s="15"/>
      <c r="J140" s="15"/>
      <c r="K140" s="15"/>
      <c r="L140" s="15"/>
      <c r="M140" s="15"/>
      <c r="N140" s="15"/>
      <c r="O140" s="15"/>
      <c r="P140" s="15"/>
      <c r="Q140" s="7"/>
      <c r="R140" s="7"/>
    </row>
    <row r="141" ht="15.75" customHeight="1">
      <c r="A141" s="7"/>
      <c r="B141" s="7"/>
      <c r="C141" s="7"/>
      <c r="D141" s="15"/>
      <c r="E141" s="15"/>
      <c r="F141" s="15"/>
      <c r="G141" s="15"/>
      <c r="H141" s="7"/>
      <c r="I141" s="15"/>
      <c r="J141" s="15"/>
      <c r="K141" s="15"/>
      <c r="L141" s="15"/>
      <c r="M141" s="15"/>
      <c r="N141" s="15"/>
      <c r="O141" s="15"/>
      <c r="P141" s="15"/>
      <c r="Q141" s="7"/>
      <c r="R141" s="7"/>
    </row>
    <row r="142" ht="15.75" customHeight="1">
      <c r="A142" s="7"/>
      <c r="B142" s="7"/>
      <c r="C142" s="7"/>
      <c r="D142" s="15"/>
      <c r="E142" s="15"/>
      <c r="F142" s="15"/>
      <c r="G142" s="15"/>
      <c r="H142" s="7"/>
      <c r="I142" s="15"/>
      <c r="J142" s="15"/>
      <c r="K142" s="15"/>
      <c r="L142" s="15"/>
      <c r="M142" s="15"/>
      <c r="N142" s="15"/>
      <c r="O142" s="15"/>
      <c r="P142" s="15"/>
      <c r="Q142" s="7"/>
      <c r="R142" s="7"/>
    </row>
    <row r="143" ht="15.75" customHeight="1">
      <c r="A143" s="7"/>
      <c r="B143" s="7"/>
      <c r="C143" s="7"/>
      <c r="D143" s="15"/>
      <c r="E143" s="15"/>
      <c r="F143" s="15"/>
      <c r="G143" s="15"/>
      <c r="H143" s="7"/>
      <c r="I143" s="15"/>
      <c r="J143" s="15"/>
      <c r="K143" s="15"/>
      <c r="L143" s="15"/>
      <c r="M143" s="15"/>
      <c r="N143" s="15"/>
      <c r="O143" s="15"/>
      <c r="P143" s="15"/>
      <c r="Q143" s="7"/>
      <c r="R143" s="7"/>
    </row>
    <row r="144" ht="15.75" customHeight="1">
      <c r="A144" s="7"/>
      <c r="B144" s="7"/>
      <c r="C144" s="7"/>
      <c r="D144" s="15"/>
      <c r="E144" s="15"/>
      <c r="F144" s="15"/>
      <c r="G144" s="15"/>
      <c r="H144" s="7"/>
      <c r="I144" s="15"/>
      <c r="J144" s="15"/>
      <c r="K144" s="15"/>
      <c r="L144" s="15"/>
      <c r="M144" s="15"/>
      <c r="N144" s="15"/>
      <c r="O144" s="15"/>
      <c r="P144" s="15"/>
      <c r="Q144" s="7"/>
      <c r="R144" s="7"/>
    </row>
    <row r="145" ht="15.75" customHeight="1">
      <c r="A145" s="7"/>
      <c r="B145" s="7"/>
      <c r="C145" s="7"/>
      <c r="D145" s="15"/>
      <c r="E145" s="15"/>
      <c r="F145" s="15"/>
      <c r="G145" s="15"/>
      <c r="H145" s="7"/>
      <c r="I145" s="15"/>
      <c r="J145" s="15"/>
      <c r="K145" s="15"/>
      <c r="L145" s="15"/>
      <c r="M145" s="15"/>
      <c r="N145" s="15"/>
      <c r="O145" s="15"/>
      <c r="P145" s="15"/>
      <c r="Q145" s="7"/>
      <c r="R145" s="7"/>
    </row>
    <row r="146" ht="15.75" customHeight="1">
      <c r="A146" s="7"/>
      <c r="B146" s="7"/>
      <c r="C146" s="7"/>
      <c r="D146" s="15"/>
      <c r="E146" s="15"/>
      <c r="F146" s="15"/>
      <c r="G146" s="15"/>
      <c r="H146" s="7"/>
      <c r="I146" s="15"/>
      <c r="J146" s="15"/>
      <c r="K146" s="15"/>
      <c r="L146" s="15"/>
      <c r="M146" s="15"/>
      <c r="N146" s="15"/>
      <c r="O146" s="15"/>
      <c r="P146" s="15"/>
      <c r="Q146" s="7"/>
      <c r="R146" s="7"/>
    </row>
    <row r="147" ht="15.75" customHeight="1">
      <c r="A147" s="7"/>
      <c r="B147" s="7"/>
      <c r="C147" s="7"/>
      <c r="D147" s="15"/>
      <c r="E147" s="15"/>
      <c r="F147" s="15"/>
      <c r="G147" s="15"/>
      <c r="H147" s="7"/>
      <c r="I147" s="15"/>
      <c r="J147" s="15"/>
      <c r="K147" s="15"/>
      <c r="L147" s="15"/>
      <c r="M147" s="15"/>
      <c r="N147" s="15"/>
      <c r="O147" s="15"/>
      <c r="P147" s="15"/>
      <c r="Q147" s="7"/>
      <c r="R147" s="7"/>
    </row>
    <row r="148" ht="15.75" customHeight="1">
      <c r="A148" s="7"/>
      <c r="B148" s="7"/>
      <c r="C148" s="7"/>
      <c r="D148" s="15"/>
      <c r="E148" s="15"/>
      <c r="F148" s="15"/>
      <c r="G148" s="15"/>
      <c r="H148" s="7"/>
      <c r="I148" s="15"/>
      <c r="J148" s="15"/>
      <c r="K148" s="15"/>
      <c r="L148" s="15"/>
      <c r="M148" s="15"/>
      <c r="N148" s="15"/>
      <c r="O148" s="15"/>
      <c r="P148" s="15"/>
      <c r="Q148" s="7"/>
      <c r="R148" s="7"/>
    </row>
    <row r="149" ht="15.75" customHeight="1">
      <c r="A149" s="7"/>
      <c r="B149" s="7"/>
      <c r="C149" s="7"/>
      <c r="D149" s="15"/>
      <c r="E149" s="15"/>
      <c r="F149" s="15"/>
      <c r="G149" s="15"/>
      <c r="H149" s="7"/>
      <c r="I149" s="15"/>
      <c r="J149" s="15"/>
      <c r="K149" s="15"/>
      <c r="L149" s="15"/>
      <c r="M149" s="15"/>
      <c r="N149" s="15"/>
      <c r="O149" s="15"/>
      <c r="P149" s="15"/>
      <c r="Q149" s="7"/>
      <c r="R149" s="7"/>
    </row>
    <row r="150" ht="15.75" customHeight="1">
      <c r="A150" s="7"/>
      <c r="B150" s="7"/>
      <c r="C150" s="7"/>
      <c r="D150" s="15"/>
      <c r="E150" s="15"/>
      <c r="F150" s="15"/>
      <c r="G150" s="15"/>
      <c r="H150" s="7"/>
      <c r="I150" s="15"/>
      <c r="J150" s="15"/>
      <c r="K150" s="15"/>
      <c r="L150" s="15"/>
      <c r="M150" s="15"/>
      <c r="N150" s="15"/>
      <c r="O150" s="15"/>
      <c r="P150" s="15"/>
      <c r="Q150" s="7"/>
      <c r="R150" s="7"/>
    </row>
    <row r="151" ht="15.75" customHeight="1">
      <c r="A151" s="7"/>
      <c r="B151" s="7"/>
      <c r="C151" s="7"/>
      <c r="D151" s="15"/>
      <c r="E151" s="15"/>
      <c r="F151" s="15"/>
      <c r="G151" s="15"/>
      <c r="H151" s="7"/>
      <c r="I151" s="15"/>
      <c r="J151" s="15"/>
      <c r="K151" s="15"/>
      <c r="L151" s="15"/>
      <c r="M151" s="15"/>
      <c r="N151" s="15"/>
      <c r="O151" s="15"/>
      <c r="P151" s="15"/>
      <c r="Q151" s="7"/>
      <c r="R151" s="7"/>
    </row>
    <row r="152" ht="15.75" customHeight="1">
      <c r="A152" s="7"/>
      <c r="B152" s="7"/>
      <c r="C152" s="7"/>
      <c r="D152" s="15"/>
      <c r="E152" s="15"/>
      <c r="F152" s="15"/>
      <c r="G152" s="15"/>
      <c r="H152" s="7"/>
      <c r="I152" s="15"/>
      <c r="J152" s="15"/>
      <c r="K152" s="15"/>
      <c r="L152" s="15"/>
      <c r="M152" s="15"/>
      <c r="N152" s="15"/>
      <c r="O152" s="15"/>
      <c r="P152" s="15"/>
      <c r="Q152" s="7"/>
      <c r="R152" s="7"/>
    </row>
    <row r="153" ht="15.75" customHeight="1">
      <c r="A153" s="7"/>
      <c r="B153" s="7"/>
      <c r="C153" s="7"/>
      <c r="D153" s="15"/>
      <c r="E153" s="15"/>
      <c r="F153" s="15"/>
      <c r="G153" s="15"/>
      <c r="H153" s="7"/>
      <c r="I153" s="15"/>
      <c r="J153" s="15"/>
      <c r="K153" s="15"/>
      <c r="L153" s="15"/>
      <c r="M153" s="15"/>
      <c r="N153" s="15"/>
      <c r="O153" s="15"/>
      <c r="P153" s="15"/>
      <c r="Q153" s="7"/>
      <c r="R153" s="7"/>
    </row>
    <row r="154" ht="15.75" customHeight="1">
      <c r="A154" s="7"/>
      <c r="B154" s="7"/>
      <c r="C154" s="7"/>
      <c r="D154" s="15"/>
      <c r="E154" s="15"/>
      <c r="F154" s="15"/>
      <c r="G154" s="15"/>
      <c r="H154" s="7"/>
      <c r="I154" s="15"/>
      <c r="J154" s="15"/>
      <c r="K154" s="15"/>
      <c r="L154" s="15"/>
      <c r="M154" s="15"/>
      <c r="N154" s="15"/>
      <c r="O154" s="15"/>
      <c r="P154" s="15"/>
      <c r="Q154" s="7"/>
      <c r="R154" s="7"/>
    </row>
    <row r="155" ht="15.75" customHeight="1">
      <c r="A155" s="7"/>
      <c r="B155" s="7"/>
      <c r="C155" s="7"/>
      <c r="D155" s="15"/>
      <c r="E155" s="15"/>
      <c r="F155" s="15"/>
      <c r="G155" s="15"/>
      <c r="H155" s="7"/>
      <c r="I155" s="15"/>
      <c r="J155" s="15"/>
      <c r="K155" s="15"/>
      <c r="L155" s="15"/>
      <c r="M155" s="15"/>
      <c r="N155" s="15"/>
      <c r="O155" s="15"/>
      <c r="P155" s="15"/>
      <c r="Q155" s="7"/>
      <c r="R155" s="7"/>
    </row>
    <row r="156" ht="15.75" customHeight="1">
      <c r="A156" s="7"/>
      <c r="B156" s="7"/>
      <c r="C156" s="7"/>
      <c r="D156" s="15"/>
      <c r="E156" s="15"/>
      <c r="F156" s="15"/>
      <c r="G156" s="15"/>
      <c r="H156" s="7"/>
      <c r="I156" s="15"/>
      <c r="J156" s="15"/>
      <c r="K156" s="15"/>
      <c r="L156" s="15"/>
      <c r="M156" s="15"/>
      <c r="N156" s="15"/>
      <c r="O156" s="15"/>
      <c r="P156" s="15"/>
      <c r="Q156" s="7"/>
      <c r="R156" s="7"/>
    </row>
    <row r="157" ht="15.75" customHeight="1">
      <c r="A157" s="7"/>
      <c r="B157" s="7"/>
      <c r="C157" s="7"/>
      <c r="D157" s="15"/>
      <c r="E157" s="15"/>
      <c r="F157" s="15"/>
      <c r="G157" s="15"/>
      <c r="H157" s="7"/>
      <c r="I157" s="15"/>
      <c r="J157" s="15"/>
      <c r="K157" s="15"/>
      <c r="L157" s="15"/>
      <c r="M157" s="15"/>
      <c r="N157" s="15"/>
      <c r="O157" s="15"/>
      <c r="P157" s="15"/>
      <c r="Q157" s="7"/>
      <c r="R157" s="7"/>
    </row>
    <row r="158" ht="15.75" customHeight="1">
      <c r="A158" s="7"/>
      <c r="B158" s="7"/>
      <c r="C158" s="7"/>
      <c r="D158" s="15"/>
      <c r="E158" s="15"/>
      <c r="F158" s="15"/>
      <c r="G158" s="15"/>
      <c r="H158" s="7"/>
      <c r="I158" s="15"/>
      <c r="J158" s="15"/>
      <c r="K158" s="15"/>
      <c r="L158" s="15"/>
      <c r="M158" s="15"/>
      <c r="N158" s="15"/>
      <c r="O158" s="15"/>
      <c r="P158" s="15"/>
      <c r="Q158" s="7"/>
      <c r="R158" s="7"/>
    </row>
    <row r="159" ht="15.75" customHeight="1">
      <c r="A159" s="7"/>
      <c r="B159" s="7"/>
      <c r="C159" s="7"/>
      <c r="D159" s="15"/>
      <c r="E159" s="15"/>
      <c r="F159" s="15"/>
      <c r="G159" s="15"/>
      <c r="H159" s="7"/>
      <c r="I159" s="15"/>
      <c r="J159" s="15"/>
      <c r="K159" s="15"/>
      <c r="L159" s="15"/>
      <c r="M159" s="15"/>
      <c r="N159" s="15"/>
      <c r="O159" s="15"/>
      <c r="P159" s="15"/>
      <c r="Q159" s="7"/>
      <c r="R159" s="7"/>
    </row>
    <row r="160" ht="15.75" customHeight="1">
      <c r="A160" s="7"/>
      <c r="B160" s="7"/>
      <c r="C160" s="7"/>
      <c r="D160" s="15"/>
      <c r="E160" s="15"/>
      <c r="F160" s="15"/>
      <c r="G160" s="15"/>
      <c r="H160" s="7"/>
      <c r="I160" s="15"/>
      <c r="J160" s="15"/>
      <c r="K160" s="15"/>
      <c r="L160" s="15"/>
      <c r="M160" s="15"/>
      <c r="N160" s="15"/>
      <c r="O160" s="15"/>
      <c r="P160" s="15"/>
      <c r="Q160" s="7"/>
      <c r="R160" s="7"/>
    </row>
    <row r="161" ht="15.75" customHeight="1">
      <c r="A161" s="7"/>
      <c r="B161" s="7"/>
      <c r="C161" s="7"/>
      <c r="D161" s="15"/>
      <c r="E161" s="15"/>
      <c r="F161" s="15"/>
      <c r="G161" s="15"/>
      <c r="H161" s="7"/>
      <c r="I161" s="15"/>
      <c r="J161" s="15"/>
      <c r="K161" s="15"/>
      <c r="L161" s="15"/>
      <c r="M161" s="15"/>
      <c r="N161" s="15"/>
      <c r="O161" s="15"/>
      <c r="P161" s="15"/>
      <c r="Q161" s="7"/>
      <c r="R161" s="7"/>
    </row>
    <row r="162" ht="15.75" customHeight="1">
      <c r="A162" s="7"/>
      <c r="B162" s="7"/>
      <c r="C162" s="7"/>
      <c r="D162" s="15"/>
      <c r="E162" s="15"/>
      <c r="F162" s="15"/>
      <c r="G162" s="15"/>
      <c r="H162" s="7"/>
      <c r="I162" s="15"/>
      <c r="J162" s="15"/>
      <c r="K162" s="15"/>
      <c r="L162" s="15"/>
      <c r="M162" s="15"/>
      <c r="N162" s="15"/>
      <c r="O162" s="15"/>
      <c r="P162" s="15"/>
      <c r="Q162" s="7"/>
      <c r="R162" s="7"/>
    </row>
    <row r="163" ht="15.75" customHeight="1">
      <c r="A163" s="7"/>
      <c r="B163" s="7"/>
      <c r="C163" s="7"/>
      <c r="D163" s="15"/>
      <c r="E163" s="15"/>
      <c r="F163" s="15"/>
      <c r="G163" s="15"/>
      <c r="H163" s="7"/>
      <c r="I163" s="15"/>
      <c r="J163" s="15"/>
      <c r="K163" s="15"/>
      <c r="L163" s="15"/>
      <c r="M163" s="15"/>
      <c r="N163" s="15"/>
      <c r="O163" s="15"/>
      <c r="P163" s="15"/>
      <c r="Q163" s="7"/>
      <c r="R163" s="7"/>
    </row>
    <row r="164" ht="15.75" customHeight="1">
      <c r="A164" s="7"/>
      <c r="B164" s="7"/>
      <c r="C164" s="7"/>
      <c r="D164" s="15"/>
      <c r="E164" s="15"/>
      <c r="F164" s="15"/>
      <c r="G164" s="15"/>
      <c r="H164" s="7"/>
      <c r="I164" s="15"/>
      <c r="J164" s="15"/>
      <c r="K164" s="15"/>
      <c r="L164" s="15"/>
      <c r="M164" s="15"/>
      <c r="N164" s="15"/>
      <c r="O164" s="15"/>
      <c r="P164" s="15"/>
      <c r="Q164" s="7"/>
      <c r="R164" s="7"/>
    </row>
    <row r="165" ht="15.75" customHeight="1">
      <c r="A165" s="7"/>
      <c r="B165" s="7"/>
      <c r="C165" s="7"/>
      <c r="D165" s="15"/>
      <c r="E165" s="15"/>
      <c r="F165" s="15"/>
      <c r="G165" s="15"/>
      <c r="H165" s="7"/>
      <c r="I165" s="15"/>
      <c r="J165" s="15"/>
      <c r="K165" s="15"/>
      <c r="L165" s="15"/>
      <c r="M165" s="15"/>
      <c r="N165" s="15"/>
      <c r="O165" s="15"/>
      <c r="P165" s="15"/>
      <c r="Q165" s="7"/>
      <c r="R165" s="7"/>
    </row>
    <row r="166" ht="15.75" customHeight="1">
      <c r="A166" s="7"/>
      <c r="B166" s="7"/>
      <c r="C166" s="7"/>
      <c r="D166" s="15"/>
      <c r="E166" s="15"/>
      <c r="F166" s="15"/>
      <c r="G166" s="15"/>
      <c r="H166" s="7"/>
      <c r="I166" s="15"/>
      <c r="J166" s="15"/>
      <c r="K166" s="15"/>
      <c r="L166" s="15"/>
      <c r="M166" s="15"/>
      <c r="N166" s="15"/>
      <c r="O166" s="15"/>
      <c r="P166" s="15"/>
      <c r="Q166" s="7"/>
      <c r="R166" s="7"/>
    </row>
    <row r="167" ht="15.75" customHeight="1">
      <c r="A167" s="7"/>
      <c r="B167" s="7"/>
      <c r="C167" s="7"/>
      <c r="D167" s="15"/>
      <c r="E167" s="15"/>
      <c r="F167" s="15"/>
      <c r="G167" s="15"/>
      <c r="H167" s="7"/>
      <c r="I167" s="15"/>
      <c r="J167" s="15"/>
      <c r="K167" s="15"/>
      <c r="L167" s="15"/>
      <c r="M167" s="15"/>
      <c r="N167" s="15"/>
      <c r="O167" s="15"/>
      <c r="P167" s="15"/>
      <c r="Q167" s="7"/>
      <c r="R167" s="7"/>
    </row>
    <row r="168" ht="15.75" customHeight="1">
      <c r="A168" s="7"/>
      <c r="B168" s="7"/>
      <c r="C168" s="7"/>
      <c r="D168" s="15"/>
      <c r="E168" s="15"/>
      <c r="F168" s="15"/>
      <c r="G168" s="15"/>
      <c r="H168" s="7"/>
      <c r="I168" s="15"/>
      <c r="J168" s="15"/>
      <c r="K168" s="15"/>
      <c r="L168" s="15"/>
      <c r="M168" s="15"/>
      <c r="N168" s="15"/>
      <c r="O168" s="15"/>
      <c r="P168" s="15"/>
      <c r="Q168" s="7"/>
      <c r="R168" s="7"/>
    </row>
    <row r="169" ht="15.75" customHeight="1">
      <c r="A169" s="7"/>
      <c r="B169" s="7"/>
      <c r="C169" s="7"/>
      <c r="D169" s="15"/>
      <c r="E169" s="15"/>
      <c r="F169" s="15"/>
      <c r="G169" s="15"/>
      <c r="H169" s="7"/>
      <c r="I169" s="15"/>
      <c r="J169" s="15"/>
      <c r="K169" s="15"/>
      <c r="L169" s="15"/>
      <c r="M169" s="15"/>
      <c r="N169" s="15"/>
      <c r="O169" s="15"/>
      <c r="P169" s="15"/>
      <c r="Q169" s="7"/>
      <c r="R169" s="7"/>
    </row>
    <row r="170" ht="15.75" customHeight="1">
      <c r="A170" s="7"/>
      <c r="B170" s="7"/>
      <c r="C170" s="7"/>
      <c r="D170" s="15"/>
      <c r="E170" s="15"/>
      <c r="F170" s="15"/>
      <c r="G170" s="15"/>
      <c r="H170" s="7"/>
      <c r="I170" s="15"/>
      <c r="J170" s="15"/>
      <c r="K170" s="15"/>
      <c r="L170" s="15"/>
      <c r="M170" s="15"/>
      <c r="N170" s="15"/>
      <c r="O170" s="15"/>
      <c r="P170" s="15"/>
      <c r="Q170" s="7"/>
      <c r="R170" s="7"/>
    </row>
    <row r="171" ht="15.75" customHeight="1">
      <c r="A171" s="7"/>
      <c r="B171" s="7"/>
      <c r="C171" s="7"/>
      <c r="D171" s="15"/>
      <c r="E171" s="15"/>
      <c r="F171" s="15"/>
      <c r="G171" s="15"/>
      <c r="H171" s="7"/>
      <c r="I171" s="15"/>
      <c r="J171" s="15"/>
      <c r="K171" s="15"/>
      <c r="L171" s="15"/>
      <c r="M171" s="15"/>
      <c r="N171" s="15"/>
      <c r="O171" s="15"/>
      <c r="P171" s="15"/>
      <c r="Q171" s="7"/>
      <c r="R171" s="7"/>
    </row>
    <row r="172" ht="15.75" customHeight="1">
      <c r="A172" s="7"/>
      <c r="B172" s="7"/>
      <c r="C172" s="7"/>
      <c r="D172" s="15"/>
      <c r="E172" s="15"/>
      <c r="F172" s="15"/>
      <c r="G172" s="15"/>
      <c r="H172" s="7"/>
      <c r="I172" s="15"/>
      <c r="J172" s="15"/>
      <c r="K172" s="15"/>
      <c r="L172" s="15"/>
      <c r="M172" s="15"/>
      <c r="N172" s="15"/>
      <c r="O172" s="15"/>
      <c r="P172" s="15"/>
      <c r="Q172" s="7"/>
      <c r="R172" s="7"/>
    </row>
    <row r="173" ht="15.75" customHeight="1">
      <c r="A173" s="7"/>
      <c r="B173" s="7"/>
      <c r="C173" s="7"/>
      <c r="D173" s="15"/>
      <c r="E173" s="15"/>
      <c r="F173" s="15"/>
      <c r="G173" s="15"/>
      <c r="H173" s="7"/>
      <c r="I173" s="15"/>
      <c r="J173" s="15"/>
      <c r="K173" s="15"/>
      <c r="L173" s="15"/>
      <c r="M173" s="15"/>
      <c r="N173" s="15"/>
      <c r="O173" s="15"/>
      <c r="P173" s="15"/>
      <c r="Q173" s="7"/>
      <c r="R173" s="7"/>
    </row>
    <row r="174" ht="15.75" customHeight="1">
      <c r="A174" s="7"/>
      <c r="B174" s="7"/>
      <c r="C174" s="7"/>
      <c r="D174" s="15"/>
      <c r="E174" s="15"/>
      <c r="F174" s="15"/>
      <c r="G174" s="15"/>
      <c r="H174" s="7"/>
      <c r="I174" s="15"/>
      <c r="J174" s="15"/>
      <c r="K174" s="15"/>
      <c r="L174" s="15"/>
      <c r="M174" s="15"/>
      <c r="N174" s="15"/>
      <c r="O174" s="15"/>
      <c r="P174" s="15"/>
      <c r="Q174" s="7"/>
      <c r="R174" s="7"/>
    </row>
    <row r="175" ht="15.75" customHeight="1">
      <c r="A175" s="7"/>
      <c r="B175" s="7"/>
      <c r="C175" s="7"/>
      <c r="D175" s="15"/>
      <c r="E175" s="15"/>
      <c r="F175" s="15"/>
      <c r="G175" s="15"/>
      <c r="H175" s="7"/>
      <c r="I175" s="15"/>
      <c r="J175" s="15"/>
      <c r="K175" s="15"/>
      <c r="L175" s="15"/>
      <c r="M175" s="15"/>
      <c r="N175" s="15"/>
      <c r="O175" s="15"/>
      <c r="P175" s="15"/>
      <c r="Q175" s="7"/>
      <c r="R175" s="7"/>
    </row>
    <row r="176" ht="15.75" customHeight="1">
      <c r="A176" s="7"/>
      <c r="B176" s="7"/>
      <c r="C176" s="7"/>
      <c r="D176" s="15"/>
      <c r="E176" s="15"/>
      <c r="F176" s="15"/>
      <c r="G176" s="15"/>
      <c r="H176" s="7"/>
      <c r="I176" s="15"/>
      <c r="J176" s="15"/>
      <c r="K176" s="15"/>
      <c r="L176" s="15"/>
      <c r="M176" s="15"/>
      <c r="N176" s="15"/>
      <c r="O176" s="15"/>
      <c r="P176" s="15"/>
      <c r="Q176" s="7"/>
      <c r="R176" s="7"/>
    </row>
    <row r="177" ht="15.75" customHeight="1">
      <c r="A177" s="7"/>
      <c r="B177" s="7"/>
      <c r="C177" s="7"/>
      <c r="D177" s="15"/>
      <c r="E177" s="15"/>
      <c r="F177" s="15"/>
      <c r="G177" s="15"/>
      <c r="H177" s="7"/>
      <c r="I177" s="15"/>
      <c r="J177" s="15"/>
      <c r="K177" s="15"/>
      <c r="L177" s="15"/>
      <c r="M177" s="15"/>
      <c r="N177" s="15"/>
      <c r="O177" s="15"/>
      <c r="P177" s="15"/>
      <c r="Q177" s="7"/>
      <c r="R177" s="7"/>
    </row>
    <row r="178" ht="15.75" customHeight="1">
      <c r="A178" s="7"/>
      <c r="B178" s="7"/>
      <c r="C178" s="7"/>
      <c r="D178" s="15"/>
      <c r="E178" s="15"/>
      <c r="F178" s="15"/>
      <c r="G178" s="15"/>
      <c r="H178" s="7"/>
      <c r="I178" s="15"/>
      <c r="J178" s="15"/>
      <c r="K178" s="15"/>
      <c r="L178" s="15"/>
      <c r="M178" s="15"/>
      <c r="N178" s="15"/>
      <c r="O178" s="15"/>
      <c r="P178" s="15"/>
      <c r="Q178" s="7"/>
      <c r="R178" s="7"/>
    </row>
    <row r="179" ht="15.75" customHeight="1">
      <c r="A179" s="7"/>
      <c r="B179" s="7"/>
      <c r="C179" s="7"/>
      <c r="D179" s="15"/>
      <c r="E179" s="15"/>
      <c r="F179" s="15"/>
      <c r="G179" s="15"/>
      <c r="H179" s="7"/>
      <c r="I179" s="15"/>
      <c r="J179" s="15"/>
      <c r="K179" s="15"/>
      <c r="L179" s="15"/>
      <c r="M179" s="15"/>
      <c r="N179" s="15"/>
      <c r="O179" s="15"/>
      <c r="P179" s="15"/>
      <c r="Q179" s="7"/>
      <c r="R179" s="7"/>
    </row>
    <row r="180" ht="15.75" customHeight="1">
      <c r="A180" s="7"/>
      <c r="B180" s="7"/>
      <c r="C180" s="7"/>
      <c r="D180" s="15"/>
      <c r="E180" s="15"/>
      <c r="F180" s="15"/>
      <c r="G180" s="15"/>
      <c r="H180" s="7"/>
      <c r="I180" s="15"/>
      <c r="J180" s="15"/>
      <c r="K180" s="15"/>
      <c r="L180" s="15"/>
      <c r="M180" s="15"/>
      <c r="N180" s="15"/>
      <c r="O180" s="15"/>
      <c r="P180" s="15"/>
      <c r="Q180" s="7"/>
      <c r="R180" s="7"/>
    </row>
    <row r="181" ht="15.75" customHeight="1">
      <c r="A181" s="7"/>
      <c r="B181" s="7"/>
      <c r="C181" s="7"/>
      <c r="D181" s="15"/>
      <c r="E181" s="15"/>
      <c r="F181" s="15"/>
      <c r="G181" s="15"/>
      <c r="H181" s="7"/>
      <c r="I181" s="15"/>
      <c r="J181" s="15"/>
      <c r="K181" s="15"/>
      <c r="L181" s="15"/>
      <c r="M181" s="15"/>
      <c r="N181" s="15"/>
      <c r="O181" s="15"/>
      <c r="P181" s="15"/>
      <c r="Q181" s="7"/>
      <c r="R181" s="7"/>
    </row>
    <row r="182" ht="15.75" customHeight="1">
      <c r="A182" s="7"/>
      <c r="B182" s="7"/>
      <c r="C182" s="7"/>
      <c r="D182" s="15"/>
      <c r="E182" s="15"/>
      <c r="F182" s="15"/>
      <c r="G182" s="15"/>
      <c r="H182" s="7"/>
      <c r="I182" s="15"/>
      <c r="J182" s="15"/>
      <c r="K182" s="15"/>
      <c r="L182" s="15"/>
      <c r="M182" s="15"/>
      <c r="N182" s="15"/>
      <c r="O182" s="15"/>
      <c r="P182" s="15"/>
      <c r="Q182" s="7"/>
      <c r="R182" s="7"/>
    </row>
    <row r="183" ht="15.75" customHeight="1">
      <c r="A183" s="7"/>
      <c r="B183" s="7"/>
      <c r="C183" s="7"/>
      <c r="D183" s="15"/>
      <c r="E183" s="15"/>
      <c r="F183" s="15"/>
      <c r="G183" s="15"/>
      <c r="H183" s="7"/>
      <c r="I183" s="15"/>
      <c r="J183" s="15"/>
      <c r="K183" s="15"/>
      <c r="L183" s="15"/>
      <c r="M183" s="15"/>
      <c r="N183" s="15"/>
      <c r="O183" s="15"/>
      <c r="P183" s="15"/>
      <c r="Q183" s="7"/>
      <c r="R183" s="7"/>
    </row>
    <row r="184" ht="15.75" customHeight="1">
      <c r="A184" s="7"/>
      <c r="B184" s="7"/>
      <c r="C184" s="7"/>
      <c r="D184" s="15"/>
      <c r="E184" s="15"/>
      <c r="F184" s="15"/>
      <c r="G184" s="15"/>
      <c r="H184" s="7"/>
      <c r="I184" s="15"/>
      <c r="J184" s="15"/>
      <c r="K184" s="15"/>
      <c r="L184" s="15"/>
      <c r="M184" s="15"/>
      <c r="N184" s="15"/>
      <c r="O184" s="15"/>
      <c r="P184" s="15"/>
      <c r="Q184" s="7"/>
      <c r="R184" s="7"/>
    </row>
    <row r="185" ht="15.75" customHeight="1">
      <c r="A185" s="7"/>
      <c r="B185" s="7"/>
      <c r="C185" s="7"/>
      <c r="D185" s="15"/>
      <c r="E185" s="15"/>
      <c r="F185" s="15"/>
      <c r="G185" s="15"/>
      <c r="H185" s="7"/>
      <c r="I185" s="15"/>
      <c r="J185" s="15"/>
      <c r="K185" s="15"/>
      <c r="L185" s="15"/>
      <c r="M185" s="15"/>
      <c r="N185" s="15"/>
      <c r="O185" s="15"/>
      <c r="P185" s="15"/>
      <c r="Q185" s="7"/>
      <c r="R185" s="7"/>
    </row>
    <row r="186" ht="15.75" customHeight="1">
      <c r="A186" s="7"/>
      <c r="B186" s="7"/>
      <c r="C186" s="7"/>
      <c r="D186" s="15"/>
      <c r="E186" s="15"/>
      <c r="F186" s="15"/>
      <c r="G186" s="15"/>
      <c r="H186" s="7"/>
      <c r="I186" s="15"/>
      <c r="J186" s="15"/>
      <c r="K186" s="15"/>
      <c r="L186" s="15"/>
      <c r="M186" s="15"/>
      <c r="N186" s="15"/>
      <c r="O186" s="15"/>
      <c r="P186" s="15"/>
      <c r="Q186" s="7"/>
      <c r="R186" s="7"/>
    </row>
    <row r="187" ht="15.75" customHeight="1">
      <c r="A187" s="7"/>
      <c r="B187" s="7"/>
      <c r="C187" s="7"/>
      <c r="D187" s="15"/>
      <c r="E187" s="15"/>
      <c r="F187" s="15"/>
      <c r="G187" s="15"/>
      <c r="H187" s="7"/>
      <c r="I187" s="15"/>
      <c r="J187" s="15"/>
      <c r="K187" s="15"/>
      <c r="L187" s="15"/>
      <c r="M187" s="15"/>
      <c r="N187" s="15"/>
      <c r="O187" s="15"/>
      <c r="P187" s="15"/>
      <c r="Q187" s="7"/>
      <c r="R187" s="7"/>
    </row>
    <row r="188" ht="15.75" customHeight="1">
      <c r="A188" s="7"/>
      <c r="B188" s="7"/>
      <c r="C188" s="7"/>
      <c r="D188" s="15"/>
      <c r="E188" s="15"/>
      <c r="F188" s="15"/>
      <c r="G188" s="15"/>
      <c r="H188" s="7"/>
      <c r="I188" s="15"/>
      <c r="J188" s="15"/>
      <c r="K188" s="15"/>
      <c r="L188" s="15"/>
      <c r="M188" s="15"/>
      <c r="N188" s="15"/>
      <c r="O188" s="15"/>
      <c r="P188" s="15"/>
      <c r="Q188" s="7"/>
      <c r="R188" s="7"/>
    </row>
    <row r="189" ht="15.75" customHeight="1">
      <c r="A189" s="7"/>
      <c r="B189" s="7"/>
      <c r="C189" s="7"/>
      <c r="D189" s="15"/>
      <c r="E189" s="15"/>
      <c r="F189" s="15"/>
      <c r="G189" s="15"/>
      <c r="H189" s="7"/>
      <c r="I189" s="15"/>
      <c r="J189" s="15"/>
      <c r="K189" s="15"/>
      <c r="L189" s="15"/>
      <c r="M189" s="15"/>
      <c r="N189" s="15"/>
      <c r="O189" s="15"/>
      <c r="P189" s="15"/>
      <c r="Q189" s="7"/>
      <c r="R189" s="7"/>
    </row>
    <row r="190" ht="15.75" customHeight="1">
      <c r="A190" s="7"/>
      <c r="B190" s="7"/>
      <c r="C190" s="7"/>
      <c r="D190" s="15"/>
      <c r="E190" s="15"/>
      <c r="F190" s="15"/>
      <c r="G190" s="15"/>
      <c r="H190" s="7"/>
      <c r="I190" s="15"/>
      <c r="J190" s="15"/>
      <c r="K190" s="15"/>
      <c r="L190" s="15"/>
      <c r="M190" s="15"/>
      <c r="N190" s="15"/>
      <c r="O190" s="15"/>
      <c r="P190" s="15"/>
      <c r="Q190" s="7"/>
      <c r="R190" s="7"/>
    </row>
    <row r="191" ht="15.75" customHeight="1">
      <c r="A191" s="7"/>
      <c r="B191" s="7"/>
      <c r="C191" s="7"/>
      <c r="D191" s="15"/>
      <c r="E191" s="15"/>
      <c r="F191" s="15"/>
      <c r="G191" s="15"/>
      <c r="H191" s="7"/>
      <c r="I191" s="15"/>
      <c r="J191" s="15"/>
      <c r="K191" s="15"/>
      <c r="L191" s="15"/>
      <c r="M191" s="15"/>
      <c r="N191" s="15"/>
      <c r="O191" s="15"/>
      <c r="P191" s="15"/>
      <c r="Q191" s="7"/>
      <c r="R191" s="7"/>
    </row>
    <row r="192" ht="15.75" customHeight="1">
      <c r="A192" s="7"/>
      <c r="B192" s="7"/>
      <c r="C192" s="7"/>
      <c r="D192" s="15"/>
      <c r="E192" s="15"/>
      <c r="F192" s="15"/>
      <c r="G192" s="15"/>
      <c r="H192" s="7"/>
      <c r="I192" s="15"/>
      <c r="J192" s="15"/>
      <c r="K192" s="15"/>
      <c r="L192" s="15"/>
      <c r="M192" s="15"/>
      <c r="N192" s="15"/>
      <c r="O192" s="15"/>
      <c r="P192" s="15"/>
      <c r="Q192" s="7"/>
      <c r="R192" s="7"/>
    </row>
    <row r="193" ht="15.75" customHeight="1">
      <c r="A193" s="7"/>
      <c r="B193" s="7"/>
      <c r="C193" s="7"/>
      <c r="D193" s="15"/>
      <c r="E193" s="15"/>
      <c r="F193" s="15"/>
      <c r="G193" s="15"/>
      <c r="H193" s="7"/>
      <c r="I193" s="15"/>
      <c r="J193" s="15"/>
      <c r="K193" s="15"/>
      <c r="L193" s="15"/>
      <c r="M193" s="15"/>
      <c r="N193" s="15"/>
      <c r="O193" s="15"/>
      <c r="P193" s="15"/>
      <c r="Q193" s="7"/>
      <c r="R193" s="7"/>
    </row>
    <row r="194" ht="15.75" customHeight="1">
      <c r="A194" s="7"/>
      <c r="B194" s="7"/>
      <c r="C194" s="7"/>
      <c r="D194" s="15"/>
      <c r="E194" s="15"/>
      <c r="F194" s="15"/>
      <c r="G194" s="15"/>
      <c r="H194" s="7"/>
      <c r="I194" s="15"/>
      <c r="J194" s="15"/>
      <c r="K194" s="15"/>
      <c r="L194" s="15"/>
      <c r="M194" s="15"/>
      <c r="N194" s="15"/>
      <c r="O194" s="15"/>
      <c r="P194" s="15"/>
      <c r="Q194" s="7"/>
      <c r="R194" s="7"/>
    </row>
    <row r="195" ht="15.75" customHeight="1">
      <c r="A195" s="7"/>
      <c r="B195" s="7"/>
      <c r="C195" s="7"/>
      <c r="D195" s="15"/>
      <c r="E195" s="15"/>
      <c r="F195" s="15"/>
      <c r="G195" s="15"/>
      <c r="H195" s="7"/>
      <c r="I195" s="15"/>
      <c r="J195" s="15"/>
      <c r="K195" s="15"/>
      <c r="L195" s="15"/>
      <c r="M195" s="15"/>
      <c r="N195" s="15"/>
      <c r="O195" s="15"/>
      <c r="P195" s="15"/>
      <c r="Q195" s="7"/>
      <c r="R195" s="7"/>
    </row>
    <row r="196" ht="15.75" customHeight="1">
      <c r="A196" s="7"/>
      <c r="B196" s="7"/>
      <c r="C196" s="7"/>
      <c r="D196" s="15"/>
      <c r="E196" s="15"/>
      <c r="F196" s="15"/>
      <c r="G196" s="15"/>
      <c r="H196" s="7"/>
      <c r="I196" s="15"/>
      <c r="J196" s="15"/>
      <c r="K196" s="15"/>
      <c r="L196" s="15"/>
      <c r="M196" s="15"/>
      <c r="N196" s="15"/>
      <c r="O196" s="15"/>
      <c r="P196" s="15"/>
      <c r="Q196" s="7"/>
      <c r="R196" s="7"/>
    </row>
    <row r="197" ht="15.75" customHeight="1">
      <c r="A197" s="7"/>
      <c r="B197" s="7"/>
      <c r="C197" s="7"/>
      <c r="D197" s="15"/>
      <c r="E197" s="15"/>
      <c r="F197" s="15"/>
      <c r="G197" s="15"/>
      <c r="H197" s="7"/>
      <c r="I197" s="15"/>
      <c r="J197" s="15"/>
      <c r="K197" s="15"/>
      <c r="L197" s="15"/>
      <c r="M197" s="15"/>
      <c r="N197" s="15"/>
      <c r="O197" s="15"/>
      <c r="P197" s="15"/>
      <c r="Q197" s="7"/>
      <c r="R197" s="7"/>
    </row>
    <row r="198" ht="15.75" customHeight="1">
      <c r="A198" s="7"/>
      <c r="B198" s="7"/>
      <c r="C198" s="7"/>
      <c r="D198" s="15"/>
      <c r="E198" s="15"/>
      <c r="F198" s="15"/>
      <c r="G198" s="15"/>
      <c r="H198" s="7"/>
      <c r="I198" s="15"/>
      <c r="J198" s="15"/>
      <c r="K198" s="15"/>
      <c r="L198" s="15"/>
      <c r="M198" s="15"/>
      <c r="N198" s="15"/>
      <c r="O198" s="15"/>
      <c r="P198" s="15"/>
      <c r="Q198" s="7"/>
      <c r="R198" s="7"/>
    </row>
    <row r="199" ht="15.75" customHeight="1">
      <c r="A199" s="7"/>
      <c r="B199" s="7"/>
      <c r="C199" s="7"/>
      <c r="D199" s="15"/>
      <c r="E199" s="15"/>
      <c r="F199" s="15"/>
      <c r="G199" s="15"/>
      <c r="H199" s="7"/>
      <c r="I199" s="15"/>
      <c r="J199" s="15"/>
      <c r="K199" s="15"/>
      <c r="L199" s="15"/>
      <c r="M199" s="15"/>
      <c r="N199" s="15"/>
      <c r="O199" s="15"/>
      <c r="P199" s="15"/>
      <c r="Q199" s="7"/>
      <c r="R199" s="7"/>
    </row>
    <row r="200" ht="15.75" customHeight="1">
      <c r="A200" s="7"/>
      <c r="B200" s="7"/>
      <c r="C200" s="7"/>
      <c r="D200" s="15"/>
      <c r="E200" s="15"/>
      <c r="F200" s="15"/>
      <c r="G200" s="15"/>
      <c r="H200" s="7"/>
      <c r="I200" s="15"/>
      <c r="J200" s="15"/>
      <c r="K200" s="15"/>
      <c r="L200" s="15"/>
      <c r="M200" s="15"/>
      <c r="N200" s="15"/>
      <c r="O200" s="15"/>
      <c r="P200" s="15"/>
      <c r="Q200" s="7"/>
      <c r="R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200">
      <formula1>L_Sets!$A$2:$A$200</formula1>
    </dataValidation>
    <dataValidation type="list" allowBlank="1" showErrorMessage="1" sqref="B2:B200">
      <formula1>"ATK%,ATK,EM,ER,CR,CD,DMG%,DMG% Normal,DMG% Carregado,DMG% Habilidade,DMG% Supremo,HP%,HP,DEF%,DEF"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3" width="16.0"/>
    <col customWidth="1" min="4" max="4" width="3.0"/>
    <col customWidth="1" min="5" max="5" width="18.0"/>
    <col customWidth="1" min="6" max="7" width="10.0"/>
    <col customWidth="1" min="8" max="8" width="3.0"/>
    <col customWidth="1" min="9" max="9" width="12.0"/>
    <col customWidth="1" min="10" max="11" width="10.0"/>
    <col customWidth="1" min="12" max="26" width="8.71"/>
  </cols>
  <sheetData>
    <row r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6" t="s">
        <v>296</v>
      </c>
      <c r="B3" s="6" t="s">
        <v>298</v>
      </c>
      <c r="C3" s="6" t="s">
        <v>299</v>
      </c>
      <c r="D3" s="2"/>
      <c r="E3" s="6" t="s">
        <v>300</v>
      </c>
      <c r="F3" s="6" t="s">
        <v>298</v>
      </c>
      <c r="G3" s="6" t="s">
        <v>299</v>
      </c>
      <c r="H3" s="2"/>
      <c r="I3" s="6" t="s">
        <v>301</v>
      </c>
      <c r="J3" s="6" t="s">
        <v>298</v>
      </c>
      <c r="K3" s="6" t="s">
        <v>299</v>
      </c>
    </row>
    <row r="4">
      <c r="A4" s="7" t="s">
        <v>92</v>
      </c>
      <c r="B4" s="15">
        <v>0.466</v>
      </c>
      <c r="C4" s="15">
        <v>0.348</v>
      </c>
      <c r="D4" s="2"/>
      <c r="E4" s="7" t="s">
        <v>95</v>
      </c>
      <c r="F4" s="15">
        <v>0.466</v>
      </c>
      <c r="G4" s="15">
        <v>0.348</v>
      </c>
      <c r="H4" s="2"/>
      <c r="I4" s="7" t="s">
        <v>101</v>
      </c>
      <c r="J4" s="15">
        <v>0.311</v>
      </c>
      <c r="K4" s="15">
        <v>0.232</v>
      </c>
    </row>
    <row r="5">
      <c r="A5" s="7" t="s">
        <v>90</v>
      </c>
      <c r="B5" s="7">
        <v>187.0</v>
      </c>
      <c r="C5" s="7">
        <v>139.0</v>
      </c>
      <c r="D5" s="2"/>
      <c r="E5" s="7" t="s">
        <v>92</v>
      </c>
      <c r="F5" s="15">
        <v>0.466</v>
      </c>
      <c r="G5" s="15">
        <v>0.348</v>
      </c>
      <c r="H5" s="2"/>
      <c r="I5" s="7" t="s">
        <v>100</v>
      </c>
      <c r="J5" s="15">
        <v>0.622</v>
      </c>
      <c r="K5" s="15">
        <v>0.464</v>
      </c>
    </row>
    <row r="6">
      <c r="A6" s="7" t="s">
        <v>91</v>
      </c>
      <c r="B6" s="15">
        <v>0.518</v>
      </c>
      <c r="C6" s="15">
        <v>0.387</v>
      </c>
      <c r="D6" s="2"/>
      <c r="E6" s="7" t="s">
        <v>90</v>
      </c>
      <c r="F6" s="7">
        <v>187.0</v>
      </c>
      <c r="G6" s="7">
        <v>139.0</v>
      </c>
      <c r="H6" s="2"/>
      <c r="I6" s="7" t="s">
        <v>92</v>
      </c>
      <c r="J6" s="15">
        <v>0.466</v>
      </c>
      <c r="K6" s="15">
        <v>0.348</v>
      </c>
    </row>
    <row r="7">
      <c r="A7" s="7" t="s">
        <v>212</v>
      </c>
      <c r="B7" s="15">
        <v>0.466</v>
      </c>
      <c r="C7" s="15">
        <v>0.348</v>
      </c>
      <c r="D7" s="2"/>
      <c r="E7" s="7" t="s">
        <v>212</v>
      </c>
      <c r="F7" s="15">
        <v>0.466</v>
      </c>
      <c r="G7" s="15">
        <v>0.348</v>
      </c>
      <c r="H7" s="2"/>
      <c r="I7" s="7" t="s">
        <v>90</v>
      </c>
      <c r="J7" s="7">
        <v>187.0</v>
      </c>
      <c r="K7" s="7">
        <v>139.0</v>
      </c>
    </row>
    <row r="8">
      <c r="A8" s="7" t="s">
        <v>214</v>
      </c>
      <c r="B8" s="15">
        <v>0.583</v>
      </c>
      <c r="C8" s="15">
        <v>0.435</v>
      </c>
      <c r="D8" s="2"/>
      <c r="E8" s="7" t="s">
        <v>214</v>
      </c>
      <c r="F8" s="15">
        <v>0.583</v>
      </c>
      <c r="G8" s="15">
        <v>0.435</v>
      </c>
      <c r="H8" s="2"/>
      <c r="I8" s="7" t="s">
        <v>212</v>
      </c>
      <c r="J8" s="15">
        <v>0.466</v>
      </c>
      <c r="K8" s="15">
        <v>0.348</v>
      </c>
    </row>
    <row r="9">
      <c r="A9" s="2"/>
      <c r="B9" s="2"/>
      <c r="C9" s="2"/>
      <c r="D9" s="2"/>
      <c r="E9" s="2"/>
      <c r="F9" s="2"/>
      <c r="G9" s="2"/>
      <c r="H9" s="2"/>
      <c r="I9" s="7" t="s">
        <v>214</v>
      </c>
      <c r="J9" s="15">
        <v>0.583</v>
      </c>
      <c r="K9" s="15">
        <v>0.435</v>
      </c>
    </row>
    <row r="10">
      <c r="A10" s="2"/>
      <c r="B10" s="2"/>
      <c r="C10" s="2"/>
      <c r="D10" s="2"/>
      <c r="E10" s="2"/>
      <c r="F10" s="2"/>
      <c r="G10" s="2"/>
      <c r="H10" s="2"/>
      <c r="I10" s="7" t="s">
        <v>305</v>
      </c>
      <c r="J10" s="15">
        <v>0.359</v>
      </c>
      <c r="K10" s="15">
        <v>0.268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6" t="s">
        <v>306</v>
      </c>
      <c r="B12" s="6" t="s">
        <v>298</v>
      </c>
      <c r="C12" s="6" t="s">
        <v>299</v>
      </c>
      <c r="D12" s="2"/>
      <c r="E12" s="2"/>
      <c r="F12" s="2"/>
      <c r="G12" s="2"/>
      <c r="H12" s="2"/>
      <c r="I12" s="2"/>
      <c r="J12" s="2"/>
      <c r="K12" s="2"/>
    </row>
    <row r="13">
      <c r="A13" s="7" t="s">
        <v>308</v>
      </c>
      <c r="B13" s="7">
        <v>4780.0</v>
      </c>
      <c r="C13" s="7">
        <v>3571.0</v>
      </c>
      <c r="D13" s="2"/>
      <c r="E13" s="2"/>
      <c r="F13" s="2"/>
      <c r="G13" s="2"/>
      <c r="H13" s="2"/>
      <c r="I13" s="2"/>
      <c r="J13" s="2"/>
      <c r="K13" s="2"/>
    </row>
    <row r="14">
      <c r="A14" s="7" t="s">
        <v>309</v>
      </c>
      <c r="B14" s="7">
        <v>311.0</v>
      </c>
      <c r="C14" s="7">
        <v>232.0</v>
      </c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6" t="s">
        <v>310</v>
      </c>
      <c r="B16" s="6" t="s">
        <v>311</v>
      </c>
      <c r="C16" s="6" t="s">
        <v>312</v>
      </c>
      <c r="D16" s="2"/>
      <c r="E16" s="2"/>
      <c r="F16" s="2"/>
      <c r="G16" s="2"/>
      <c r="H16" s="2"/>
      <c r="I16" s="2"/>
      <c r="J16" s="2"/>
      <c r="K16" s="2"/>
    </row>
    <row r="17">
      <c r="A17" s="7" t="s">
        <v>101</v>
      </c>
      <c r="B17" s="29">
        <v>0.033</v>
      </c>
      <c r="C17" s="29">
        <v>0.0264</v>
      </c>
      <c r="D17" s="2"/>
      <c r="E17" s="2"/>
      <c r="F17" s="2"/>
      <c r="G17" s="2"/>
      <c r="H17" s="2"/>
      <c r="I17" s="2"/>
      <c r="J17" s="2"/>
      <c r="K17" s="2"/>
    </row>
    <row r="18">
      <c r="A18" s="7" t="s">
        <v>100</v>
      </c>
      <c r="B18" s="29">
        <v>0.066</v>
      </c>
      <c r="C18" s="29">
        <v>0.0529</v>
      </c>
      <c r="D18" s="2"/>
      <c r="E18" s="2"/>
      <c r="F18" s="2"/>
      <c r="G18" s="2"/>
      <c r="H18" s="2"/>
      <c r="I18" s="2"/>
      <c r="J18" s="2"/>
      <c r="K18" s="2"/>
    </row>
    <row r="19">
      <c r="A19" s="7" t="s">
        <v>92</v>
      </c>
      <c r="B19" s="29">
        <v>0.0495</v>
      </c>
      <c r="C19" s="29">
        <v>0.0396</v>
      </c>
      <c r="D19" s="2"/>
      <c r="E19" s="2"/>
      <c r="F19" s="2"/>
      <c r="G19" s="2"/>
      <c r="H19" s="2"/>
      <c r="I19" s="2"/>
      <c r="J19" s="2"/>
      <c r="K19" s="2"/>
    </row>
    <row r="20">
      <c r="A20" s="7" t="s">
        <v>90</v>
      </c>
      <c r="B20" s="7">
        <v>19.5</v>
      </c>
      <c r="C20" s="7">
        <v>15.86</v>
      </c>
      <c r="D20" s="2"/>
      <c r="E20" s="2"/>
      <c r="F20" s="2"/>
      <c r="G20" s="2"/>
      <c r="H20" s="2"/>
      <c r="I20" s="2"/>
      <c r="J20" s="2"/>
      <c r="K20" s="2"/>
    </row>
    <row r="21" ht="15.75" customHeight="1">
      <c r="A21" s="7" t="s">
        <v>91</v>
      </c>
      <c r="B21" s="29">
        <v>0.055</v>
      </c>
      <c r="C21" s="29">
        <v>0.044</v>
      </c>
      <c r="D21" s="2"/>
      <c r="E21" s="2"/>
      <c r="F21" s="2"/>
      <c r="G21" s="2"/>
      <c r="H21" s="2"/>
      <c r="I21" s="2"/>
      <c r="J21" s="2"/>
      <c r="K21" s="2"/>
    </row>
    <row r="22" ht="15.75" customHeight="1">
      <c r="A22" s="7" t="s">
        <v>314</v>
      </c>
      <c r="B22" s="7">
        <v>18.5</v>
      </c>
      <c r="C22" s="7">
        <v>13.23</v>
      </c>
      <c r="D22" s="2"/>
      <c r="E22" s="2"/>
      <c r="F22" s="2"/>
      <c r="G22" s="2"/>
      <c r="H22" s="2"/>
      <c r="I22" s="2"/>
      <c r="J22" s="2"/>
      <c r="K22" s="2"/>
    </row>
    <row r="23" ht="15.75" customHeight="1">
      <c r="A23" s="7" t="s">
        <v>212</v>
      </c>
      <c r="B23" s="29">
        <v>0.0495</v>
      </c>
      <c r="C23" s="29">
        <v>0.0396</v>
      </c>
      <c r="D23" s="2"/>
      <c r="E23" s="2"/>
      <c r="F23" s="2"/>
      <c r="G23" s="2"/>
      <c r="H23" s="2"/>
      <c r="I23" s="2"/>
      <c r="J23" s="2"/>
      <c r="K23" s="2"/>
    </row>
    <row r="24" ht="15.75" customHeight="1">
      <c r="A24" s="7" t="s">
        <v>156</v>
      </c>
      <c r="B24" s="7">
        <v>254.0</v>
      </c>
      <c r="C24" s="7">
        <v>203.15</v>
      </c>
      <c r="D24" s="2"/>
      <c r="E24" s="2"/>
      <c r="F24" s="2"/>
      <c r="G24" s="2"/>
      <c r="H24" s="2"/>
      <c r="I24" s="2"/>
      <c r="J24" s="2"/>
      <c r="K24" s="2"/>
    </row>
    <row r="25" ht="15.75" customHeight="1">
      <c r="A25" s="7" t="s">
        <v>214</v>
      </c>
      <c r="B25" s="29">
        <v>0.062</v>
      </c>
      <c r="C25" s="29">
        <v>0.0496</v>
      </c>
      <c r="D25" s="2"/>
      <c r="E25" s="2"/>
      <c r="F25" s="2"/>
      <c r="G25" s="2"/>
      <c r="H25" s="2"/>
      <c r="I25" s="2"/>
      <c r="J25" s="2"/>
      <c r="K25" s="2"/>
    </row>
    <row r="26" ht="15.75" customHeight="1">
      <c r="A26" s="7" t="s">
        <v>157</v>
      </c>
      <c r="B26" s="7">
        <v>19.5</v>
      </c>
      <c r="C26" s="7">
        <v>15.74</v>
      </c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3" t="s">
        <v>315</v>
      </c>
      <c r="B28" s="7">
        <v>6.0</v>
      </c>
      <c r="C28" s="7">
        <v>5.0</v>
      </c>
      <c r="D28" s="2"/>
      <c r="E28" s="2"/>
      <c r="F28" s="2"/>
      <c r="G28" s="2"/>
      <c r="H28" s="2"/>
      <c r="I28" s="2"/>
      <c r="J28" s="2"/>
      <c r="K28" s="2"/>
    </row>
    <row r="29" ht="15.75" customHeight="1">
      <c r="A29" s="3" t="s">
        <v>316</v>
      </c>
      <c r="B29" s="7">
        <v>9.0</v>
      </c>
      <c r="C29" s="7">
        <v>7.0</v>
      </c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5" t="s">
        <v>318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8.0"/>
    <col customWidth="1" min="2" max="2" width="4.0"/>
    <col customWidth="1" min="3" max="6" width="16.0"/>
    <col customWidth="1" min="7" max="26" width="8.71"/>
  </cols>
  <sheetData>
    <row r="1">
      <c r="A1" s="1" t="s">
        <v>297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6" t="s">
        <v>302</v>
      </c>
      <c r="B3" s="6" t="s">
        <v>303</v>
      </c>
      <c r="C3" s="6" t="s">
        <v>31</v>
      </c>
      <c r="D3" s="6" t="s">
        <v>32</v>
      </c>
      <c r="E3" s="6" t="s">
        <v>33</v>
      </c>
      <c r="F3" s="6" t="s">
        <v>34</v>
      </c>
    </row>
    <row r="4">
      <c r="A4" s="2"/>
      <c r="B4" s="2"/>
      <c r="C4" s="2"/>
      <c r="D4" s="2"/>
      <c r="E4" s="2"/>
      <c r="F4" s="2"/>
    </row>
    <row r="5">
      <c r="A5" s="19" t="s">
        <v>304</v>
      </c>
      <c r="B5" s="20"/>
      <c r="C5" s="20"/>
      <c r="D5" s="20"/>
      <c r="E5" s="20"/>
      <c r="F5" s="20"/>
    </row>
    <row r="6">
      <c r="A6" s="4" t="s">
        <v>35</v>
      </c>
      <c r="B6" s="2"/>
      <c r="C6" s="4" t="str">
        <f>IF(Time!B4="","",Time!B4&amp;"")</f>
        <v>Mavuika</v>
      </c>
      <c r="D6" s="4" t="str">
        <f>IF(Time!C4="","",Time!C4&amp;"")</f>
        <v>Citlali</v>
      </c>
      <c r="E6" s="4" t="str">
        <f>IF(Time!D4="","",Time!D4&amp;"")</f>
        <v>Iansan</v>
      </c>
      <c r="F6" s="4" t="str">
        <f>IF(Time!E4="","",Time!E4&amp;"")</f>
        <v>Bennett</v>
      </c>
    </row>
    <row r="7">
      <c r="A7" s="4" t="s">
        <v>313</v>
      </c>
      <c r="B7" s="2"/>
      <c r="C7" s="4">
        <f>IFERROR(MATCH(C6,L_Personagens!$A$2:$A$400,0),0)</f>
        <v>4</v>
      </c>
      <c r="D7" s="4">
        <f>IFERROR(MATCH(D6,L_Personagens!$A$2:$A$400,0),0)</f>
        <v>2</v>
      </c>
      <c r="E7" s="4">
        <f>IFERROR(MATCH(E6,L_Personagens!$A$2:$A$400,0),0)</f>
        <v>3</v>
      </c>
      <c r="F7" s="4">
        <f>IFERROR(MATCH(F6,L_Personagens!$A$2:$A$400,0),0)</f>
        <v>1</v>
      </c>
    </row>
    <row r="8">
      <c r="A8" s="4" t="s">
        <v>317</v>
      </c>
      <c r="B8" s="2"/>
      <c r="C8" s="4">
        <f>IFERROR(MATCH(C6,'Personagens (efeitos)'!$A$2:$A$200,0),0)</f>
        <v>1</v>
      </c>
      <c r="D8" s="4">
        <f>IFERROR(MATCH(D6,'Personagens (efeitos)'!$A$2:$A$200,0),0)</f>
        <v>2</v>
      </c>
      <c r="E8" s="4">
        <f>IFERROR(MATCH(E6,'Personagens (efeitos)'!$A$2:$A$200,0),0)</f>
        <v>3</v>
      </c>
      <c r="F8" s="4">
        <f>IFERROR(MATCH(F6,'Personagens (efeitos)'!$A$2:$A$200,0),0)</f>
        <v>4</v>
      </c>
    </row>
    <row r="9">
      <c r="A9" s="4" t="s">
        <v>319</v>
      </c>
      <c r="B9" s="2"/>
      <c r="C9" s="4">
        <f>IFERROR(MATCH(Time!B5,L_Armas!$A$2:$A$600,0),0)</f>
        <v>1</v>
      </c>
      <c r="D9" s="4">
        <f>IFERROR(MATCH(Time!C5,L_Armas!$A$2:$A$600,0),0)</f>
        <v>7</v>
      </c>
      <c r="E9" s="4">
        <f>IFERROR(MATCH(Time!D5,L_Armas!$A$2:$A$600,0),0)</f>
        <v>5</v>
      </c>
      <c r="F9" s="4">
        <f>IFERROR(MATCH(Time!E5,L_Armas!$A$2:$A$600,0),0)</f>
        <v>2</v>
      </c>
    </row>
    <row r="10">
      <c r="A10" s="4" t="s">
        <v>320</v>
      </c>
      <c r="B10" s="2"/>
      <c r="C10" s="4">
        <f>IFERROR(MATCH(Time!B5,'Armas (efeitos)'!$A$2:$A$300,0),0)</f>
        <v>1</v>
      </c>
      <c r="D10" s="4">
        <f>IFERROR(MATCH(Time!C5,'Armas (efeitos)'!$A$2:$A$300,0),0)</f>
        <v>2</v>
      </c>
      <c r="E10" s="4">
        <f>IFERROR(MATCH(Time!D5,'Armas (efeitos)'!$A$2:$A$300,0),0)</f>
        <v>3</v>
      </c>
      <c r="F10" s="4">
        <f>IFERROR(MATCH(Time!E5,'Armas (efeitos)'!$A$2:$A$300,0),0)</f>
        <v>4</v>
      </c>
    </row>
    <row r="11">
      <c r="A11" s="4" t="s">
        <v>321</v>
      </c>
      <c r="B11" s="2"/>
      <c r="C11" s="4">
        <f>IFERROR(MATCH(Time!B6,'Sets (efeitos)'!$A$2:$A$200,0),0)</f>
        <v>1</v>
      </c>
      <c r="D11" s="4">
        <f>IFERROR(MATCH(Time!C6,'Sets (efeitos)'!$A$2:$A$200,0),0)</f>
        <v>4</v>
      </c>
      <c r="E11" s="4">
        <f>IFERROR(MATCH(Time!D6,'Sets (efeitos)'!$A$2:$A$200,0),0)</f>
        <v>2</v>
      </c>
      <c r="F11" s="4">
        <f>IFERROR(MATCH(Time!E6,'Sets (efeitos)'!$A$2:$A$200,0),0)</f>
        <v>3</v>
      </c>
    </row>
    <row r="12">
      <c r="A12" s="4" t="s">
        <v>322</v>
      </c>
      <c r="B12" s="2"/>
      <c r="C12" s="4">
        <f>IFERROR(MATCH(Time!B7,'Sets (efeitos)'!$A$2:$A$200,0),0)</f>
        <v>0</v>
      </c>
      <c r="D12" s="4">
        <f>IFERROR(MATCH(Time!C7,'Sets (efeitos)'!$A$2:$A$200,0),0)</f>
        <v>0</v>
      </c>
      <c r="E12" s="4">
        <f>IFERROR(MATCH(Time!D7,'Sets (efeitos)'!$A$2:$A$200,0),0)</f>
        <v>0</v>
      </c>
      <c r="F12" s="4">
        <f>IFERROR(MATCH(Time!E7,'Sets (efeitos)'!$A$2:$A$200,0),0)</f>
        <v>0</v>
      </c>
    </row>
    <row r="13">
      <c r="A13" s="4" t="s">
        <v>323</v>
      </c>
      <c r="B13" s="2"/>
      <c r="C13" s="4">
        <f>IF(AND(Time!B6&lt;&gt;"",Time!B7=""),1,0)</f>
        <v>1</v>
      </c>
      <c r="D13" s="4">
        <f>IF(AND(Time!C6&lt;&gt;"",Time!C7=""),1,0)</f>
        <v>1</v>
      </c>
      <c r="E13" s="4">
        <f>IF(AND(Time!D6&lt;&gt;"",Time!D7=""),1,0)</f>
        <v>1</v>
      </c>
      <c r="F13" s="4">
        <f>IF(AND(Time!E6&lt;&gt;"",Time!E7=""),1,0)</f>
        <v>1</v>
      </c>
    </row>
    <row r="14">
      <c r="A14" s="4" t="s">
        <v>324</v>
      </c>
      <c r="B14" s="2"/>
      <c r="C14" s="4">
        <f>IF(Time!B16="",10,VALUE(Time!B16&amp;""))</f>
        <v>10</v>
      </c>
      <c r="D14" s="4">
        <f>IF(Time!C16="",10,VALUE(Time!C16&amp;""))</f>
        <v>10</v>
      </c>
      <c r="E14" s="4">
        <f>IF(Time!D16="",10,VALUE(Time!D16&amp;""))</f>
        <v>10</v>
      </c>
      <c r="F14" s="4">
        <f>IF(Time!E16="",10,VALUE(Time!E16&amp;""))</f>
        <v>10</v>
      </c>
    </row>
    <row r="15">
      <c r="A15" s="4" t="s">
        <v>325</v>
      </c>
      <c r="B15" s="2"/>
      <c r="C15" s="4">
        <f>IF(Time!B17="",10,VALUE(Time!B17&amp;""))</f>
        <v>10</v>
      </c>
      <c r="D15" s="4">
        <f>IF(Time!C17="",10,VALUE(Time!C17&amp;""))</f>
        <v>10</v>
      </c>
      <c r="E15" s="4">
        <f>IF(Time!D17="",10,VALUE(Time!D17&amp;""))</f>
        <v>13</v>
      </c>
      <c r="F15" s="4">
        <f>IF(Time!E17="",10,VALUE(Time!E17&amp;""))</f>
        <v>13</v>
      </c>
    </row>
    <row r="16">
      <c r="A16" s="4" t="s">
        <v>327</v>
      </c>
      <c r="B16" s="2"/>
      <c r="C16" s="4">
        <f>IF(Time!B18="",10,VALUE(Time!B18&amp;""))</f>
        <v>10</v>
      </c>
      <c r="D16" s="4">
        <f>IF(Time!C18="",10,VALUE(Time!C18&amp;""))</f>
        <v>10</v>
      </c>
      <c r="E16" s="4">
        <f>IF(Time!D18="",10,VALUE(Time!D18&amp;""))</f>
        <v>13</v>
      </c>
      <c r="F16" s="4">
        <f>IF(Time!E18="",10,VALUE(Time!E18&amp;""))</f>
        <v>13</v>
      </c>
    </row>
    <row r="17">
      <c r="A17" s="2"/>
      <c r="B17" s="2"/>
      <c r="C17" s="2"/>
      <c r="D17" s="2"/>
      <c r="E17" s="2"/>
      <c r="F17" s="2"/>
    </row>
    <row r="18">
      <c r="A18" s="19" t="s">
        <v>336</v>
      </c>
      <c r="B18" s="20"/>
      <c r="C18" s="20"/>
      <c r="D18" s="20"/>
      <c r="E18" s="20"/>
      <c r="F18" s="20"/>
    </row>
    <row r="19">
      <c r="A19" s="4" t="s">
        <v>53</v>
      </c>
      <c r="B19" s="2"/>
      <c r="C19" s="4" t="str">
        <f t="array" ref="C19">IF(C7=0,0,INDEX(L_Personagens!$B$2:$B$400,C7))</f>
        <v>Pyro</v>
      </c>
      <c r="D19" s="4" t="str">
        <f t="array" ref="D19">IF(D7=0,0,INDEX(L_Personagens!$B$2:$B$400,D7))</f>
        <v>Cryo</v>
      </c>
      <c r="E19" s="4" t="str">
        <f t="array" ref="E19">IF(E7=0,0,INDEX(L_Personagens!$B$2:$B$400,E7))</f>
        <v>Electro</v>
      </c>
      <c r="F19" s="4" t="str">
        <f t="array" ref="F19">IF(F7=0,0,INDEX(L_Personagens!$B$2:$B$400,F7))</f>
        <v>Pyro</v>
      </c>
    </row>
    <row r="20">
      <c r="A20" s="4" t="s">
        <v>337</v>
      </c>
      <c r="B20" s="2"/>
      <c r="C20" s="4">
        <f t="array" ref="C20">IF(C7=0,0,INDEX(L_Personagens!$E$2:$E$400,C7))</f>
        <v>12552</v>
      </c>
      <c r="D20" s="4">
        <f t="array" ref="D20">IF(D7=0,0,INDEX(L_Personagens!$E$2:$E$400,D7))</f>
        <v>11634</v>
      </c>
      <c r="E20" s="4">
        <f t="array" ref="E20">IF(E7=0,0,INDEX(L_Personagens!$E$2:$E$400,E7))</f>
        <v>10657</v>
      </c>
      <c r="F20" s="4">
        <f t="array" ref="F20">IF(F7=0,0,INDEX(L_Personagens!$E$2:$E$400,F7))</f>
        <v>12397</v>
      </c>
    </row>
    <row r="21" ht="15.75" customHeight="1">
      <c r="A21" s="4" t="s">
        <v>338</v>
      </c>
      <c r="B21" s="2"/>
      <c r="C21" s="4">
        <f t="array" ref="C21">IF(C7=0,0,INDEX(L_Personagens!$F$2:$F$400,C7))</f>
        <v>359</v>
      </c>
      <c r="D21" s="4">
        <f t="array" ref="D21">IF(D7=0,0,INDEX(L_Personagens!$F$2:$F$400,D7))</f>
        <v>127</v>
      </c>
      <c r="E21" s="4">
        <f t="array" ref="E21">IF(E7=0,0,INDEX(L_Personagens!$F$2:$F$400,E7))</f>
        <v>257</v>
      </c>
      <c r="F21" s="4">
        <f t="array" ref="F21">IF(F7=0,0,INDEX(L_Personagens!$F$2:$F$400,F7))</f>
        <v>191</v>
      </c>
    </row>
    <row r="22" ht="15.75" customHeight="1">
      <c r="A22" s="4" t="s">
        <v>339</v>
      </c>
      <c r="B22" s="2"/>
      <c r="C22" s="4">
        <f t="array" ref="C22">IF(C7=0,0,INDEX(L_Personagens!$G$2:$G$400,C7))</f>
        <v>792</v>
      </c>
      <c r="D22" s="4">
        <f t="array" ref="D22">IF(D7=0,0,INDEX(L_Personagens!$G$2:$G$400,D7))</f>
        <v>763</v>
      </c>
      <c r="E22" s="4">
        <f t="array" ref="E22">IF(E7=0,0,INDEX(L_Personagens!$G$2:$G$400,E7))</f>
        <v>638</v>
      </c>
      <c r="F22" s="4">
        <f t="array" ref="F22">IF(F7=0,0,INDEX(L_Personagens!$G$2:$G$400,F7))</f>
        <v>771</v>
      </c>
    </row>
    <row r="23" ht="15.75" customHeight="1">
      <c r="A23" s="4" t="s">
        <v>340</v>
      </c>
      <c r="B23" s="2"/>
      <c r="C23" s="4" t="str">
        <f t="array" ref="C23">IF(C7=0,0,INDEX(L_Personagens!$H$2:$H$400,C7))</f>
        <v>CD</v>
      </c>
      <c r="D23" s="4" t="str">
        <f t="array" ref="D23">IF(D7=0,0,INDEX(L_Personagens!$H$2:$H$400,D7))</f>
        <v>EM</v>
      </c>
      <c r="E23" s="4" t="str">
        <f t="array" ref="E23">IF(E7=0,0,INDEX(L_Personagens!$H$2:$H$400,E7))</f>
        <v>ATK%</v>
      </c>
      <c r="F23" s="4" t="str">
        <f t="array" ref="F23">IF(F7=0,0,INDEX(L_Personagens!$H$2:$H$400,F7))</f>
        <v>ER</v>
      </c>
    </row>
    <row r="24" ht="15.75" customHeight="1">
      <c r="A24" s="4" t="s">
        <v>341</v>
      </c>
      <c r="B24" s="2"/>
      <c r="C24" s="4">
        <f t="array" ref="C24">IF(C7=0,0,INDEX(L_Personagens!$I$2:$I$400,C7))</f>
        <v>0.384</v>
      </c>
      <c r="D24" s="4">
        <f t="array" ref="D24">IF(D7=0,0,INDEX(L_Personagens!$I$2:$I$400,D7))</f>
        <v>115</v>
      </c>
      <c r="E24" s="4">
        <f t="array" ref="E24">IF(E7=0,0,INDEX(L_Personagens!$I$2:$I$400,E7))</f>
        <v>0.24</v>
      </c>
      <c r="F24" s="4">
        <f t="array" ref="F24">IF(F7=0,0,INDEX(L_Personagens!$I$2:$I$400,F7))</f>
        <v>0.267</v>
      </c>
    </row>
    <row r="25" ht="15.75" customHeight="1">
      <c r="A25" s="4" t="s">
        <v>343</v>
      </c>
      <c r="B25" s="2"/>
      <c r="C25" s="4">
        <f t="array" ref="C25">IF(C9=0,0,INDEX(L_Armas!$D$2:$D$600,C9))</f>
        <v>741</v>
      </c>
      <c r="D25" s="4">
        <f t="array" ref="D25">IF(D9=0,0,INDEX(L_Armas!$D$2:$D$600,D9))</f>
        <v>401</v>
      </c>
      <c r="E25" s="4">
        <f t="array" ref="E25">IF(E9=0,0,INDEX(L_Armas!$D$2:$D$600,E9))</f>
        <v>608</v>
      </c>
      <c r="F25" s="4">
        <f t="array" ref="F25">IF(F9=0,0,INDEX(L_Armas!$D$2:$D$600,F9))</f>
        <v>674</v>
      </c>
    </row>
    <row r="26" ht="15.75" customHeight="1">
      <c r="A26" s="4" t="s">
        <v>344</v>
      </c>
      <c r="B26" s="2"/>
      <c r="C26" s="4" t="str">
        <f t="array" ref="C26">IF(C9=0,0,INDEX(L_Armas!$E$2:$E$600,C9))</f>
        <v>CR</v>
      </c>
      <c r="D26" s="4" t="str">
        <f t="array" ref="D26">IF(D9=0,0,INDEX(L_Armas!$E$2:$E$600,D9))</f>
        <v>HP%</v>
      </c>
      <c r="E26" s="4" t="str">
        <f t="array" ref="E26">IF(E9=0,0,INDEX(L_Armas!$E$2:$E$600,E9))</f>
        <v>ER</v>
      </c>
      <c r="F26" s="4" t="str">
        <f t="array" ref="F26">IF(F9=0,0,INDEX(L_Armas!$E$2:$E$600,F9))</f>
        <v>CD</v>
      </c>
    </row>
    <row r="27" ht="15.75" customHeight="1">
      <c r="A27" s="4" t="s">
        <v>346</v>
      </c>
      <c r="B27" s="2"/>
      <c r="C27" s="4">
        <f t="array" ref="C27">IF(C9=0,0,INDEX(L_Armas!$F$2:$F$600,C9))</f>
        <v>0.11</v>
      </c>
      <c r="D27" s="4">
        <f t="array" ref="D27">IF(D9=0,0,INDEX(L_Armas!$F$2:$F$600,D9))</f>
        <v>0.352</v>
      </c>
      <c r="E27" s="4">
        <f t="array" ref="E27">IF(E9=0,0,INDEX(L_Armas!$F$2:$F$600,E9))</f>
        <v>0.551</v>
      </c>
      <c r="F27" s="4">
        <f t="array" ref="F27">IF(F9=0,0,INDEX(L_Armas!$F$2:$F$600,F9))</f>
        <v>0.441</v>
      </c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19" t="s">
        <v>347</v>
      </c>
      <c r="B29" s="20"/>
      <c r="C29" s="20"/>
      <c r="D29" s="20"/>
      <c r="E29" s="20"/>
      <c r="F29" s="20"/>
    </row>
    <row r="30" ht="15.75" customHeight="1">
      <c r="A30" s="4" t="s">
        <v>348</v>
      </c>
      <c r="B30" s="2"/>
      <c r="C30" s="22">
        <f t="array" ref="C30">IF(C8=0,0,INDEX('Personagens (efeitos)'!$B$2:$B$200,C8))</f>
        <v>0.3</v>
      </c>
      <c r="D30" s="22">
        <f t="array" ref="D30">IF(D8=0,0,INDEX('Personagens (efeitos)'!$B$2:$B$200,D8))</f>
        <v>0</v>
      </c>
      <c r="E30" s="22">
        <f t="array" ref="E30">IF(E8=0,0,INDEX('Personagens (efeitos)'!$B$2:$B$200,E8))</f>
        <v>0</v>
      </c>
      <c r="F30" s="22">
        <f t="array" ref="F30">IF(F8=0,0,INDEX('Personagens (efeitos)'!$B$2:$B$200,F8))</f>
        <v>0</v>
      </c>
    </row>
    <row r="31" ht="15.75" customHeight="1">
      <c r="A31" s="4" t="s">
        <v>349</v>
      </c>
      <c r="B31" s="2"/>
      <c r="C31" s="22">
        <f t="array" ref="C31">IF(C8=0,0,INDEX('Personagens (efeitos)'!$C$2:$C$200,C8))</f>
        <v>0.4</v>
      </c>
      <c r="D31" s="22">
        <f t="array" ref="D31">IF(D8=0,0,INDEX('Personagens (efeitos)'!$C$2:$C$200,D8))</f>
        <v>0</v>
      </c>
      <c r="E31" s="22">
        <f t="array" ref="E31">IF(E8=0,0,INDEX('Personagens (efeitos)'!$C$2:$C$200,E8))</f>
        <v>0</v>
      </c>
      <c r="F31" s="22">
        <f t="array" ref="F31">IF(F8=0,0,INDEX('Personagens (efeitos)'!$C$2:$C$200,F8))</f>
        <v>0</v>
      </c>
    </row>
    <row r="32" ht="15.75" customHeight="1">
      <c r="A32" s="4" t="s">
        <v>350</v>
      </c>
      <c r="B32" s="2"/>
      <c r="C32" s="22">
        <f t="array" ref="C32">IF(C8=0,0,INDEX('Personagens (efeitos)'!$D$2:$D$200,C8))</f>
        <v>0</v>
      </c>
      <c r="D32" s="22">
        <f t="array" ref="D32">IF(D8=0,0,INDEX('Personagens (efeitos)'!$D$2:$D$200,D8))</f>
        <v>0</v>
      </c>
      <c r="E32" s="22">
        <f t="array" ref="E32">IF(E8=0,0,INDEX('Personagens (efeitos)'!$D$2:$D$200,E8))</f>
        <v>0</v>
      </c>
      <c r="F32" s="22">
        <f t="array" ref="F32">IF(F8=0,0,INDEX('Personagens (efeitos)'!$D$2:$D$200,F8))</f>
        <v>0</v>
      </c>
    </row>
    <row r="33" ht="15.75" customHeight="1">
      <c r="A33" s="4" t="s">
        <v>351</v>
      </c>
      <c r="B33" s="2"/>
      <c r="C33" s="22">
        <f t="array" ref="C33">IF(C8=0,0,INDEX('Personagens (efeitos)'!$E$2:$E$200,C8))</f>
        <v>0</v>
      </c>
      <c r="D33" s="22">
        <f t="array" ref="D33">IF(D8=0,0,INDEX('Personagens (efeitos)'!$E$2:$E$200,D8))</f>
        <v>0</v>
      </c>
      <c r="E33" s="22">
        <f t="array" ref="E33">IF(E8=0,0,INDEX('Personagens (efeitos)'!$E$2:$E$200,E8))</f>
        <v>0</v>
      </c>
      <c r="F33" s="22">
        <f t="array" ref="F33">IF(F8=0,0,INDEX('Personagens (efeitos)'!$E$2:$E$200,F8))</f>
        <v>0</v>
      </c>
    </row>
    <row r="34" ht="15.75" customHeight="1">
      <c r="A34" s="4" t="s">
        <v>352</v>
      </c>
      <c r="B34" s="2"/>
      <c r="C34" s="4">
        <f t="array" ref="C34">IF(C8=0,0,INDEX('Personagens (efeitos)'!$F$2:$F$200,C8))</f>
        <v>0</v>
      </c>
      <c r="D34" s="4">
        <f t="array" ref="D34">IF(D8=0,0,INDEX('Personagens (efeitos)'!$F$2:$F$200,D8))</f>
        <v>0</v>
      </c>
      <c r="E34" s="4">
        <f t="array" ref="E34">IF(E8=0,0,INDEX('Personagens (efeitos)'!$F$2:$F$200,E8))</f>
        <v>0</v>
      </c>
      <c r="F34" s="4">
        <f t="array" ref="F34">IF(F8=0,0,INDEX('Personagens (efeitos)'!$F$2:$F$200,F8))</f>
        <v>0</v>
      </c>
    </row>
    <row r="35" ht="15.75" customHeight="1">
      <c r="A35" s="4" t="s">
        <v>353</v>
      </c>
      <c r="B35" s="2"/>
      <c r="C35" s="4">
        <f t="array" ref="C35">IF(C8=0,0,INDEX('Personagens (efeitos)'!$G$2:$G$200,C8))</f>
        <v>0</v>
      </c>
      <c r="D35" s="4">
        <f t="array" ref="D35">IF(D8=0,0,INDEX('Personagens (efeitos)'!$G$2:$G$200,D8))</f>
        <v>0</v>
      </c>
      <c r="E35" s="4">
        <f t="array" ref="E35">IF(E8=0,0,INDEX('Personagens (efeitos)'!$G$2:$G$200,E8))</f>
        <v>0</v>
      </c>
      <c r="F35" s="4">
        <f t="array" ref="F35">IF(F8=0,0,INDEX('Personagens (efeitos)'!$G$2:$G$200,F8))</f>
        <v>1.39</v>
      </c>
    </row>
    <row r="36" ht="15.75" customHeight="1">
      <c r="A36" s="4" t="s">
        <v>354</v>
      </c>
      <c r="B36" s="2"/>
      <c r="C36" s="4">
        <f t="array" ref="C36">IF(C8=0,0,INDEX('Personagens (efeitos)'!$H$2:$H$200,C8))</f>
        <v>0</v>
      </c>
      <c r="D36" s="4">
        <f t="array" ref="D36">IF(D8=0,0,INDEX('Personagens (efeitos)'!$H$2:$H$200,D8))</f>
        <v>0</v>
      </c>
      <c r="E36" s="4">
        <f t="array" ref="E36">IF(E8=0,0,INDEX('Personagens (efeitos)'!$H$2:$H$200,E8))</f>
        <v>0.37</v>
      </c>
      <c r="F36" s="4">
        <f t="array" ref="F36">IF(F8=0,0,INDEX('Personagens (efeitos)'!$H$2:$H$200,F8))</f>
        <v>0</v>
      </c>
    </row>
    <row r="37" ht="15.75" customHeight="1">
      <c r="A37" s="4" t="s">
        <v>355</v>
      </c>
      <c r="B37" s="2"/>
      <c r="C37" s="4">
        <f t="array" ref="C37">IF(C8=0,0,INDEX('Personagens (efeitos)'!$I$2:$I$200,C8))</f>
        <v>0</v>
      </c>
      <c r="D37" s="4">
        <f t="array" ref="D37">IF(D8=0,0,INDEX('Personagens (efeitos)'!$I$2:$I$200,D8))</f>
        <v>0</v>
      </c>
      <c r="E37" s="4">
        <f t="array" ref="E37">IF(E8=0,0,INDEX('Personagens (efeitos)'!$I$2:$I$200,E8))</f>
        <v>810</v>
      </c>
      <c r="F37" s="4">
        <f t="array" ref="F37">IF(F8=0,0,INDEX('Personagens (efeitos)'!$I$2:$I$200,F8))</f>
        <v>0</v>
      </c>
    </row>
    <row r="38" ht="15.75" customHeight="1">
      <c r="A38" s="4" t="s">
        <v>356</v>
      </c>
      <c r="B38" s="2"/>
      <c r="C38" s="4" t="str">
        <f t="array" ref="C38">IF(C8=0,0,INDEX('Personagens (efeitos)'!$J$2:$J$200,C8))</f>
        <v>Não</v>
      </c>
      <c r="D38" s="4" t="str">
        <f t="array" ref="D38">IF(D8=0,0,INDEX('Personagens (efeitos)'!$J$2:$J$200,D8))</f>
        <v>Não</v>
      </c>
      <c r="E38" s="4" t="str">
        <f t="array" ref="E38">IF(E8=0,0,INDEX('Personagens (efeitos)'!$J$2:$J$200,E8))</f>
        <v>Não</v>
      </c>
      <c r="F38" s="4" t="str">
        <f t="array" ref="F38">IF(F8=0,0,INDEX('Personagens (efeitos)'!$J$2:$J$200,F8))</f>
        <v>Sim</v>
      </c>
    </row>
    <row r="39" ht="15.75" customHeight="1">
      <c r="A39" s="4" t="s">
        <v>357</v>
      </c>
      <c r="B39" s="2"/>
      <c r="C39" s="22">
        <f t="array" ref="C39">IF(C8=0,0,INDEX('Personagens (efeitos)'!$K$2:$K$200,C8))</f>
        <v>0</v>
      </c>
      <c r="D39" s="22">
        <f t="array" ref="D39">IF(D8=0,0,INDEX('Personagens (efeitos)'!$K$2:$K$200,D8))</f>
        <v>0.2</v>
      </c>
      <c r="E39" s="22">
        <f t="array" ref="E39">IF(E8=0,0,INDEX('Personagens (efeitos)'!$K$2:$K$200,E8))</f>
        <v>0</v>
      </c>
      <c r="F39" s="22">
        <f t="array" ref="F39">IF(F8=0,0,INDEX('Personagens (efeitos)'!$K$2:$K$200,F8))</f>
        <v>0</v>
      </c>
    </row>
    <row r="40" ht="15.75" customHeight="1">
      <c r="A40" s="4" t="s">
        <v>358</v>
      </c>
      <c r="B40" s="2"/>
      <c r="C40" s="4" t="str">
        <f t="array" ref="C40">IF(C8=0,0,INDEX('Personagens (efeitos)'!$L$2:$L$200,C8))</f>
        <v/>
      </c>
      <c r="D40" s="4" t="str">
        <f t="array" ref="D40">IF(D8=0,0,INDEX('Personagens (efeitos)'!$L$2:$L$200,D8))</f>
        <v>Pyro,Hydro</v>
      </c>
      <c r="E40" s="4" t="str">
        <f t="array" ref="E40">IF(E8=0,0,INDEX('Personagens (efeitos)'!$L$2:$L$200,E8))</f>
        <v/>
      </c>
      <c r="F40" s="4" t="str">
        <f t="array" ref="F40">IF(F8=0,0,INDEX('Personagens (efeitos)'!$L$2:$L$200,F8))</f>
        <v/>
      </c>
    </row>
    <row r="41" ht="15.75" customHeight="1">
      <c r="A41" s="4" t="s">
        <v>359</v>
      </c>
      <c r="B41" s="2"/>
      <c r="C41" s="22">
        <f t="array" ref="C41">IF(C10=0,0,INDEX('Armas (efeitos)'!$B$2:$B$300,C10))</f>
        <v>0.49</v>
      </c>
      <c r="D41" s="22">
        <f t="array" ref="D41">IF(D10=0,0,INDEX('Armas (efeitos)'!$B$2:$B$300,D10))</f>
        <v>0</v>
      </c>
      <c r="E41" s="22">
        <f t="array" ref="E41">IF(E10=0,0,INDEX('Armas (efeitos)'!$B$2:$B$300,E10))</f>
        <v>0</v>
      </c>
      <c r="F41" s="22">
        <f t="array" ref="F41">IF(F10=0,0,INDEX('Armas (efeitos)'!$B$2:$B$300,F10))</f>
        <v>0</v>
      </c>
    </row>
    <row r="42" ht="15.75" customHeight="1">
      <c r="A42" s="4" t="s">
        <v>360</v>
      </c>
      <c r="B42" s="2"/>
      <c r="C42" s="22">
        <f t="array" ref="C42">IF(C10=0,0,INDEX('Armas (efeitos)'!$C$2:$C$300,C10))</f>
        <v>0</v>
      </c>
      <c r="D42" s="22">
        <f t="array" ref="D42">IF(D10=0,0,INDEX('Armas (efeitos)'!$C$2:$C$300,D10))</f>
        <v>0</v>
      </c>
      <c r="E42" s="22">
        <f t="array" ref="E42">IF(E10=0,0,INDEX('Armas (efeitos)'!$C$2:$C$300,E10))</f>
        <v>0</v>
      </c>
      <c r="F42" s="22">
        <f t="array" ref="F42">IF(F10=0,0,INDEX('Armas (efeitos)'!$C$2:$C$300,F10))</f>
        <v>0</v>
      </c>
    </row>
    <row r="43" ht="15.75" customHeight="1">
      <c r="A43" s="4" t="s">
        <v>361</v>
      </c>
      <c r="B43" s="2"/>
      <c r="C43" s="22">
        <f t="array" ref="C43">IF(C10=0,0,INDEX('Armas (efeitos)'!$D$2:$D$300,C10))</f>
        <v>0</v>
      </c>
      <c r="D43" s="22">
        <f t="array" ref="D43">IF(D10=0,0,INDEX('Armas (efeitos)'!$D$2:$D$300,D10))</f>
        <v>0</v>
      </c>
      <c r="E43" s="22">
        <f t="array" ref="E43">IF(E10=0,0,INDEX('Armas (efeitos)'!$D$2:$D$300,E10))</f>
        <v>0</v>
      </c>
      <c r="F43" s="22">
        <f t="array" ref="F43">IF(F10=0,0,INDEX('Armas (efeitos)'!$D$2:$D$300,F10))</f>
        <v>0</v>
      </c>
    </row>
    <row r="44" ht="15.75" customHeight="1">
      <c r="A44" s="4" t="s">
        <v>362</v>
      </c>
      <c r="B44" s="2"/>
      <c r="C44" s="22">
        <f t="array" ref="C44">IF(C10=0,0,INDEX('Armas (efeitos)'!$E$2:$E$300,C10))</f>
        <v>0.35</v>
      </c>
      <c r="D44" s="22">
        <f t="array" ref="D44">IF(D10=0,0,INDEX('Armas (efeitos)'!$E$2:$E$300,D10))</f>
        <v>0</v>
      </c>
      <c r="E44" s="22">
        <f t="array" ref="E44">IF(E10=0,0,INDEX('Armas (efeitos)'!$E$2:$E$300,E10))</f>
        <v>0</v>
      </c>
      <c r="F44" s="22">
        <f t="array" ref="F44">IF(F10=0,0,INDEX('Armas (efeitos)'!$E$2:$E$300,F10))</f>
        <v>0.2</v>
      </c>
    </row>
    <row r="45" ht="15.75" customHeight="1">
      <c r="A45" s="4" t="s">
        <v>364</v>
      </c>
      <c r="B45" s="2"/>
      <c r="C45" s="4">
        <f t="array" ref="C45">IF(C10=0,0,INDEX('Armas (efeitos)'!$F$2:$F$300,C10))</f>
        <v>0</v>
      </c>
      <c r="D45" s="4">
        <f t="array" ref="D45">IF(D10=0,0,INDEX('Armas (efeitos)'!$F$2:$F$300,D10))</f>
        <v>0</v>
      </c>
      <c r="E45" s="4">
        <f t="array" ref="E45">IF(E10=0,0,INDEX('Armas (efeitos)'!$F$2:$F$300,E10))</f>
        <v>0</v>
      </c>
      <c r="F45" s="4">
        <f t="array" ref="F45">IF(F10=0,0,INDEX('Armas (efeitos)'!$F$2:$F$300,F10))</f>
        <v>0</v>
      </c>
    </row>
    <row r="46" ht="15.75" customHeight="1">
      <c r="A46" s="4" t="s">
        <v>365</v>
      </c>
      <c r="B46" s="2"/>
      <c r="C46" s="22">
        <f t="array" ref="C46">IF(C10=0,0,INDEX('Armas (efeitos)'!$G$2:$G$300,C10))</f>
        <v>0</v>
      </c>
      <c r="D46" s="22">
        <f t="array" ref="D46">IF(D10=0,0,INDEX('Armas (efeitos)'!$G$2:$G$300,D10))</f>
        <v>0</v>
      </c>
      <c r="E46" s="22">
        <f t="array" ref="E46">IF(E10=0,0,INDEX('Armas (efeitos)'!$G$2:$G$300,E10))</f>
        <v>0</v>
      </c>
      <c r="F46" s="22">
        <f t="array" ref="F46">IF(F10=0,0,INDEX('Armas (efeitos)'!$G$2:$G$300,F10))</f>
        <v>0</v>
      </c>
    </row>
    <row r="47" ht="15.75" customHeight="1">
      <c r="A47" s="4" t="s">
        <v>366</v>
      </c>
      <c r="B47" s="2"/>
      <c r="C47" s="22">
        <f t="array" ref="C47">IF(C10=0,0,INDEX('Armas (efeitos)'!$H$2:$H$300,C10))</f>
        <v>0</v>
      </c>
      <c r="D47" s="22">
        <f t="array" ref="D47">IF(D10=0,0,INDEX('Armas (efeitos)'!$H$2:$H$300,D10))</f>
        <v>0</v>
      </c>
      <c r="E47" s="22">
        <f t="array" ref="E47">IF(E10=0,0,INDEX('Armas (efeitos)'!$H$2:$H$300,E10))</f>
        <v>0.28</v>
      </c>
      <c r="F47" s="22">
        <f t="array" ref="F47">IF(F10=0,0,INDEX('Armas (efeitos)'!$H$2:$H$300,F10))</f>
        <v>0</v>
      </c>
    </row>
    <row r="48" ht="15.75" customHeight="1">
      <c r="A48" s="4" t="s">
        <v>367</v>
      </c>
      <c r="B48" s="2"/>
      <c r="C48" s="22">
        <f t="array" ref="C48">IF(C10=0,0,INDEX('Armas (efeitos)'!$I$2:$I$300,C10))</f>
        <v>0</v>
      </c>
      <c r="D48" s="22">
        <f t="array" ref="D48">IF(D10=0,0,INDEX('Armas (efeitos)'!$I$2:$I$300,D10))</f>
        <v>0</v>
      </c>
      <c r="E48" s="22">
        <f t="array" ref="E48">IF(E10=0,0,INDEX('Armas (efeitos)'!$I$2:$I$300,E10))</f>
        <v>0.8</v>
      </c>
      <c r="F48" s="22">
        <f t="array" ref="F48">IF(F10=0,0,INDEX('Armas (efeitos)'!$I$2:$I$300,F10))</f>
        <v>0</v>
      </c>
    </row>
    <row r="49" ht="15.75" customHeight="1">
      <c r="A49" s="4" t="s">
        <v>368</v>
      </c>
      <c r="B49" s="2"/>
      <c r="C49" s="22">
        <f t="array" ref="C49">IF(C10=0,0,INDEX('Armas (efeitos)'!$J$2:$J$300,C10))</f>
        <v>0</v>
      </c>
      <c r="D49" s="22">
        <f t="array" ref="D49">IF(D10=0,0,INDEX('Armas (efeitos)'!$J$2:$J$300,D10))</f>
        <v>0</v>
      </c>
      <c r="E49" s="22">
        <f t="array" ref="E49">IF(E10=0,0,INDEX('Armas (efeitos)'!$J$2:$J$300,E10))</f>
        <v>0</v>
      </c>
      <c r="F49" s="22">
        <f t="array" ref="F49">IF(F10=0,0,INDEX('Armas (efeitos)'!$J$2:$J$300,F10))</f>
        <v>0</v>
      </c>
    </row>
    <row r="50" ht="15.75" customHeight="1">
      <c r="A50" s="4" t="s">
        <v>369</v>
      </c>
      <c r="B50" s="2"/>
      <c r="C50" s="22">
        <f t="array" ref="C50">IF(C10=0,0,INDEX('Armas (efeitos)'!$K$2:$K$300,C10))</f>
        <v>0</v>
      </c>
      <c r="D50" s="22">
        <f t="array" ref="D50">IF(D10=0,0,INDEX('Armas (efeitos)'!$K$2:$K$300,D10))</f>
        <v>0</v>
      </c>
      <c r="E50" s="22">
        <f t="array" ref="E50">IF(E10=0,0,INDEX('Armas (efeitos)'!$K$2:$K$300,E10))</f>
        <v>0</v>
      </c>
      <c r="F50" s="22">
        <f t="array" ref="F50">IF(F10=0,0,INDEX('Armas (efeitos)'!$K$2:$K$300,F10))</f>
        <v>0</v>
      </c>
    </row>
    <row r="51" ht="15.75" customHeight="1">
      <c r="A51" s="4" t="s">
        <v>370</v>
      </c>
      <c r="B51" s="2"/>
      <c r="C51" s="4">
        <f t="array" ref="C51">IF(C10=0,0,INDEX('Armas (efeitos)'!$L$2:$L$300,C10))</f>
        <v>0</v>
      </c>
      <c r="D51" s="4">
        <f t="array" ref="D51">IF(D10=0,0,INDEX('Armas (efeitos)'!$L$2:$L$300,D10))</f>
        <v>0</v>
      </c>
      <c r="E51" s="4">
        <f t="array" ref="E51">IF(E10=0,0,INDEX('Armas (efeitos)'!$L$2:$L$300,E10))</f>
        <v>0</v>
      </c>
      <c r="F51" s="4">
        <f t="array" ref="F51">IF(F10=0,0,INDEX('Armas (efeitos)'!$L$2:$L$300,F10))</f>
        <v>0</v>
      </c>
    </row>
    <row r="52" ht="15.75" customHeight="1">
      <c r="A52" s="4" t="s">
        <v>371</v>
      </c>
      <c r="B52" s="2"/>
      <c r="C52" s="4" t="str">
        <f t="array" ref="C52">IF(C11=0,0,INDEX('Sets (efeitos)'!$B$2:$B$200,C11))</f>
        <v>DMG%</v>
      </c>
      <c r="D52" s="4" t="str">
        <f t="array" ref="D52">IF(D11=0,0,INDEX('Sets (efeitos)'!$B$2:$B$200,D11))</f>
        <v>EM</v>
      </c>
      <c r="E52" s="4" t="str">
        <f t="array" ref="E52">IF(E11=0,0,INDEX('Sets (efeitos)'!$B$2:$B$200,E11))</f>
        <v/>
      </c>
      <c r="F52" s="4" t="str">
        <f t="array" ref="F52">IF(F11=0,0,INDEX('Sets (efeitos)'!$B$2:$B$200,F11))</f>
        <v>DMG% Supremo</v>
      </c>
    </row>
    <row r="53" ht="15.75" customHeight="1">
      <c r="A53" s="4" t="s">
        <v>372</v>
      </c>
      <c r="B53" s="2"/>
      <c r="C53" s="4">
        <f t="array" ref="C53">IF(C11=0,0,INDEX('Sets (efeitos)'!$C$2:$C$200,C11))</f>
        <v>0.15</v>
      </c>
      <c r="D53" s="4">
        <f t="array" ref="D53">IF(D11=0,0,INDEX('Sets (efeitos)'!$C$2:$C$200,D11))</f>
        <v>80</v>
      </c>
      <c r="E53" s="4">
        <f t="array" ref="E53">IF(E11=0,0,INDEX('Sets (efeitos)'!$C$2:$C$200,E11))</f>
        <v>0</v>
      </c>
      <c r="F53" s="4">
        <f t="array" ref="F53">IF(F11=0,0,INDEX('Sets (efeitos)'!$C$2:$C$200,F11))</f>
        <v>0.2</v>
      </c>
    </row>
    <row r="54" ht="15.75" customHeight="1">
      <c r="A54" s="4" t="s">
        <v>373</v>
      </c>
      <c r="B54" s="2"/>
      <c r="C54" s="4">
        <f t="array" ref="C54">IF(C12=0,0,INDEX('Sets (efeitos)'!$B$2:$B$200,C12))</f>
        <v>0</v>
      </c>
      <c r="D54" s="4">
        <f t="array" ref="D54">IF(D12=0,0,INDEX('Sets (efeitos)'!$B$2:$B$200,D12))</f>
        <v>0</v>
      </c>
      <c r="E54" s="4">
        <f t="array" ref="E54">IF(E12=0,0,INDEX('Sets (efeitos)'!$B$2:$B$200,E12))</f>
        <v>0</v>
      </c>
      <c r="F54" s="4">
        <f t="array" ref="F54">IF(F12=0,0,INDEX('Sets (efeitos)'!$B$2:$B$200,F12))</f>
        <v>0</v>
      </c>
    </row>
    <row r="55" ht="15.75" customHeight="1">
      <c r="A55" s="4" t="s">
        <v>374</v>
      </c>
      <c r="B55" s="2"/>
      <c r="C55" s="4">
        <f t="array" ref="C55">IF(C12=0,0,INDEX('Sets (efeitos)'!$C$2:$C$200,C12))</f>
        <v>0</v>
      </c>
      <c r="D55" s="4">
        <f t="array" ref="D55">IF(D12=0,0,INDEX('Sets (efeitos)'!$C$2:$C$200,D12))</f>
        <v>0</v>
      </c>
      <c r="E55" s="4">
        <f t="array" ref="E55">IF(E12=0,0,INDEX('Sets (efeitos)'!$C$2:$C$200,E12))</f>
        <v>0</v>
      </c>
      <c r="F55" s="4">
        <f t="array" ref="F55">IF(F12=0,0,INDEX('Sets (efeitos)'!$C$2:$C$200,F12))</f>
        <v>0</v>
      </c>
    </row>
    <row r="56" ht="15.75" customHeight="1">
      <c r="A56" s="4" t="s">
        <v>375</v>
      </c>
      <c r="B56" s="2"/>
      <c r="C56" s="4">
        <f t="array" ref="C56">C13*IF(C11=0,0,INDEX('Sets (efeitos)'!$D$2:$D$200,C11))</f>
        <v>0</v>
      </c>
      <c r="D56" s="4">
        <f t="array" ref="D56">D13*IF(D11=0,0,INDEX('Sets (efeitos)'!$D$2:$D$200,D11))</f>
        <v>0</v>
      </c>
      <c r="E56" s="4">
        <f t="array" ref="E56">E13*IF(E11=0,0,INDEX('Sets (efeitos)'!$D$2:$D$200,E11))</f>
        <v>0</v>
      </c>
      <c r="F56" s="4">
        <f t="array" ref="F56">F13*IF(F11=0,0,INDEX('Sets (efeitos)'!$D$2:$D$200,F11))</f>
        <v>0</v>
      </c>
    </row>
    <row r="57" ht="15.75" customHeight="1">
      <c r="A57" s="4" t="s">
        <v>376</v>
      </c>
      <c r="B57" s="2"/>
      <c r="C57" s="4">
        <f t="array" ref="C57">C13*IF(C11=0,0,INDEX('Sets (efeitos)'!$E$2:$E$200,C11))</f>
        <v>0</v>
      </c>
      <c r="D57" s="4">
        <f t="array" ref="D57">D13*IF(D11=0,0,INDEX('Sets (efeitos)'!$E$2:$E$200,D11))</f>
        <v>0</v>
      </c>
      <c r="E57" s="4">
        <f t="array" ref="E57">E13*IF(E11=0,0,INDEX('Sets (efeitos)'!$E$2:$E$200,E11))</f>
        <v>0</v>
      </c>
      <c r="F57" s="4">
        <f t="array" ref="F57">F13*IF(F11=0,0,INDEX('Sets (efeitos)'!$E$2:$E$200,F11))</f>
        <v>0</v>
      </c>
    </row>
    <row r="58" ht="15.75" customHeight="1">
      <c r="A58" s="4" t="s">
        <v>377</v>
      </c>
      <c r="B58" s="2"/>
      <c r="C58" s="4">
        <f t="array" ref="C58">C13*IF(C11=0,0,INDEX('Sets (efeitos)'!$F$2:$F$200,C11))</f>
        <v>0.4</v>
      </c>
      <c r="D58" s="4">
        <f t="array" ref="D58">D13*IF(D11=0,0,INDEX('Sets (efeitos)'!$F$2:$F$200,D11))</f>
        <v>0</v>
      </c>
      <c r="E58" s="4">
        <f t="array" ref="E58">E13*IF(E11=0,0,INDEX('Sets (efeitos)'!$F$2:$F$200,E11))</f>
        <v>0</v>
      </c>
      <c r="F58" s="4">
        <f t="array" ref="F58">F13*IF(F11=0,0,INDEX('Sets (efeitos)'!$F$2:$F$200,F11))</f>
        <v>0</v>
      </c>
    </row>
    <row r="59" ht="15.75" customHeight="1">
      <c r="A59" s="4" t="s">
        <v>378</v>
      </c>
      <c r="B59" s="2"/>
      <c r="C59" s="4">
        <f t="array" ref="C59">C13*IF(C11=0,0,INDEX('Sets (efeitos)'!$G$2:$G$200,C11))</f>
        <v>0</v>
      </c>
      <c r="D59" s="4">
        <f t="array" ref="D59">D13*IF(D11=0,0,INDEX('Sets (efeitos)'!$G$2:$G$200,D11))</f>
        <v>0</v>
      </c>
      <c r="E59" s="4">
        <f t="array" ref="E59">E13*IF(E11=0,0,INDEX('Sets (efeitos)'!$G$2:$G$200,E11))</f>
        <v>0</v>
      </c>
      <c r="F59" s="4">
        <f t="array" ref="F59">F13*IF(F11=0,0,INDEX('Sets (efeitos)'!$G$2:$G$200,F11))</f>
        <v>0</v>
      </c>
    </row>
    <row r="60" ht="15.75" customHeight="1">
      <c r="A60" s="4" t="s">
        <v>379</v>
      </c>
      <c r="B60" s="2"/>
      <c r="C60" s="4">
        <f t="array" ref="C60">C13*IF(C11=0,0,INDEX('Sets (efeitos)'!$H$2:$H$200,C11))</f>
        <v>0</v>
      </c>
      <c r="D60" s="4">
        <f t="array" ref="D60">D13*IF(D11=0,0,INDEX('Sets (efeitos)'!$H$2:$H$200,D11))</f>
        <v>0</v>
      </c>
      <c r="E60" s="4">
        <f t="array" ref="E60">E13*IF(E11=0,0,INDEX('Sets (efeitos)'!$H$2:$H$200,E11))</f>
        <v>0</v>
      </c>
      <c r="F60" s="4">
        <f t="array" ref="F60">F13*IF(F11=0,0,INDEX('Sets (efeitos)'!$H$2:$H$200,F11))</f>
        <v>0</v>
      </c>
    </row>
    <row r="61" ht="15.75" customHeight="1">
      <c r="A61" s="4" t="s">
        <v>380</v>
      </c>
      <c r="B61" s="2"/>
      <c r="C61" s="4">
        <f t="array" ref="C61">C13*IF(C11=0,0,INDEX('Sets (efeitos)'!$I$2:$I$200,C11))</f>
        <v>0</v>
      </c>
      <c r="D61" s="4">
        <f t="array" ref="D61">D13*IF(D11=0,0,INDEX('Sets (efeitos)'!$I$2:$I$200,D11))</f>
        <v>0</v>
      </c>
      <c r="E61" s="4">
        <f t="array" ref="E61">E13*IF(E11=0,0,INDEX('Sets (efeitos)'!$I$2:$I$200,E11))</f>
        <v>0</v>
      </c>
      <c r="F61" s="4">
        <f t="array" ref="F61">F13*IF(F11=0,0,INDEX('Sets (efeitos)'!$I$2:$I$200,F11))</f>
        <v>0</v>
      </c>
    </row>
    <row r="62" ht="15.75" customHeight="1">
      <c r="A62" s="4" t="s">
        <v>382</v>
      </c>
      <c r="B62" s="2"/>
      <c r="C62" s="4">
        <f t="array" ref="C62">C13*IF(C11=0,0,INDEX('Sets (efeitos)'!$J$2:$J$200,C11))</f>
        <v>0</v>
      </c>
      <c r="D62" s="4">
        <f t="array" ref="D62">D13*IF(D11=0,0,INDEX('Sets (efeitos)'!$J$2:$J$200,D11))</f>
        <v>0</v>
      </c>
      <c r="E62" s="4">
        <f t="array" ref="E62">E13*IF(E11=0,0,INDEX('Sets (efeitos)'!$J$2:$J$200,E11))</f>
        <v>0</v>
      </c>
      <c r="F62" s="4">
        <f t="array" ref="F62">F13*IF(F11=0,0,INDEX('Sets (efeitos)'!$J$2:$J$200,F11))</f>
        <v>0</v>
      </c>
    </row>
    <row r="63" ht="15.75" customHeight="1">
      <c r="A63" s="4" t="s">
        <v>383</v>
      </c>
      <c r="B63" s="2"/>
      <c r="C63" s="4">
        <f t="array" ref="C63">C13*IF(C11=0,0,INDEX('Sets (efeitos)'!$K$2:$K$200,C11))</f>
        <v>0</v>
      </c>
      <c r="D63" s="4">
        <f t="array" ref="D63">D13*IF(D11=0,0,INDEX('Sets (efeitos)'!$K$2:$K$200,D11))</f>
        <v>0</v>
      </c>
      <c r="E63" s="4">
        <f t="array" ref="E63">E13*IF(E11=0,0,INDEX('Sets (efeitos)'!$K$2:$K$200,E11))</f>
        <v>0</v>
      </c>
      <c r="F63" s="4">
        <f t="array" ref="F63">F13*IF(F11=0,0,INDEX('Sets (efeitos)'!$K$2:$K$200,F11))</f>
        <v>0</v>
      </c>
    </row>
    <row r="64" ht="15.75" customHeight="1">
      <c r="A64" s="4" t="s">
        <v>384</v>
      </c>
      <c r="B64" s="2"/>
      <c r="C64" s="4">
        <f t="array" ref="C64">C13*IF(C11=0,0,INDEX('Sets (efeitos)'!$L$2:$L$200,C11))</f>
        <v>0</v>
      </c>
      <c r="D64" s="4">
        <f t="array" ref="D64">D13*IF(D11=0,0,INDEX('Sets (efeitos)'!$L$2:$L$200,D11))</f>
        <v>0</v>
      </c>
      <c r="E64" s="4">
        <f t="array" ref="E64">E13*IF(E11=0,0,INDEX('Sets (efeitos)'!$L$2:$L$200,E11))</f>
        <v>0</v>
      </c>
      <c r="F64" s="4">
        <f t="array" ref="F64">F13*IF(F11=0,0,INDEX('Sets (efeitos)'!$L$2:$L$200,F11))</f>
        <v>0</v>
      </c>
    </row>
    <row r="65" ht="15.75" customHeight="1">
      <c r="A65" s="4" t="s">
        <v>385</v>
      </c>
      <c r="B65" s="2"/>
      <c r="C65" s="4">
        <f t="array" ref="C65">C13*IF(C11=0,0,INDEX('Sets (efeitos)'!$M$2:$M$200,C11))</f>
        <v>0</v>
      </c>
      <c r="D65" s="4">
        <f t="array" ref="D65">D13*IF(D11=0,0,INDEX('Sets (efeitos)'!$M$2:$M$200,D11))</f>
        <v>0</v>
      </c>
      <c r="E65" s="4">
        <f t="array" ref="E65">E13*IF(E11=0,0,INDEX('Sets (efeitos)'!$M$2:$M$200,E11))</f>
        <v>0</v>
      </c>
      <c r="F65" s="4">
        <f t="array" ref="F65">F13*IF(F11=0,0,INDEX('Sets (efeitos)'!$M$2:$M$200,F11))</f>
        <v>0</v>
      </c>
    </row>
    <row r="66" ht="15.75" customHeight="1">
      <c r="A66" s="4" t="s">
        <v>386</v>
      </c>
      <c r="B66" s="2"/>
      <c r="C66" s="4">
        <f t="array" ref="C66">C13*IF(C11=0,0,INDEX('Sets (efeitos)'!$N$2:$N$200,C11))</f>
        <v>0</v>
      </c>
      <c r="D66" s="4">
        <f t="array" ref="D66">D13*IF(D11=0,0,INDEX('Sets (efeitos)'!$N$2:$N$200,D11))</f>
        <v>0</v>
      </c>
      <c r="E66" s="4">
        <f t="array" ref="E66">E13*IF(E11=0,0,INDEX('Sets (efeitos)'!$N$2:$N$200,E11))</f>
        <v>0</v>
      </c>
      <c r="F66" s="4">
        <f t="array" ref="F66">F13*IF(F11=0,0,INDEX('Sets (efeitos)'!$N$2:$N$200,F11))</f>
        <v>0</v>
      </c>
    </row>
    <row r="67" ht="15.75" customHeight="1">
      <c r="A67" s="4" t="s">
        <v>387</v>
      </c>
      <c r="B67" s="2"/>
      <c r="C67" s="4">
        <f t="array" ref="C67">C13*IF(C11=0,0,INDEX('Sets (efeitos)'!$O$2:$O$200,C11))</f>
        <v>0</v>
      </c>
      <c r="D67" s="4">
        <f t="array" ref="D67">D13*IF(D11=0,0,INDEX('Sets (efeitos)'!$O$2:$O$200,D11))</f>
        <v>0</v>
      </c>
      <c r="E67" s="4">
        <f t="array" ref="E67">E13*IF(E11=0,0,INDEX('Sets (efeitos)'!$O$2:$O$200,E11))</f>
        <v>0</v>
      </c>
      <c r="F67" s="4">
        <f t="array" ref="F67">F13*IF(F11=0,0,INDEX('Sets (efeitos)'!$O$2:$O$200,F11))</f>
        <v>0.2</v>
      </c>
    </row>
    <row r="68" ht="15.75" customHeight="1">
      <c r="A68" s="4" t="s">
        <v>388</v>
      </c>
      <c r="B68" s="2"/>
      <c r="C68" s="4">
        <f t="array" ref="C68">C13*IF(C11=0,0,INDEX('Sets (efeitos)'!$P$2:$P$200,C11))</f>
        <v>0</v>
      </c>
      <c r="D68" s="4">
        <f t="array" ref="D68">D13*IF(D11=0,0,INDEX('Sets (efeitos)'!$P$2:$P$200,D11))</f>
        <v>0</v>
      </c>
      <c r="E68" s="4">
        <f t="array" ref="E68">E13*IF(E11=0,0,INDEX('Sets (efeitos)'!$P$2:$P$200,E11))</f>
        <v>0</v>
      </c>
      <c r="F68" s="4">
        <f t="array" ref="F68">F13*IF(F11=0,0,INDEX('Sets (efeitos)'!$P$2:$P$200,F11))</f>
        <v>0</v>
      </c>
    </row>
    <row r="69" ht="15.75" customHeight="1">
      <c r="A69" s="4" t="s">
        <v>389</v>
      </c>
      <c r="B69" s="2"/>
      <c r="C69" s="4">
        <f t="array" ref="C69">C13*IF(C11=0,0,INDEX('Sets (efeitos)'!$Q$2:$Q$200,C11))</f>
        <v>0</v>
      </c>
      <c r="D69" s="4">
        <f t="array" ref="D69">D13*IF(D11=0,0,INDEX('Sets (efeitos)'!$Q$2:$Q$200,D11))</f>
        <v>120</v>
      </c>
      <c r="E69" s="4">
        <f t="array" ref="E69">E13*IF(E11=0,0,INDEX('Sets (efeitos)'!$Q$2:$Q$200,E11))</f>
        <v>0</v>
      </c>
      <c r="F69" s="4">
        <f t="array" ref="F69">F13*IF(F11=0,0,INDEX('Sets (efeitos)'!$Q$2:$Q$200,F11))</f>
        <v>0</v>
      </c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19" t="s">
        <v>390</v>
      </c>
      <c r="B71" s="20"/>
      <c r="C71" s="20"/>
      <c r="D71" s="20"/>
      <c r="E71" s="20"/>
      <c r="F71" s="20"/>
    </row>
    <row r="72" ht="15.75" customHeight="1">
      <c r="A72" s="4" t="s">
        <v>391</v>
      </c>
      <c r="B72" s="2"/>
      <c r="C72" s="4">
        <f>IF(OR(Time!B11=4,Time!B11=FALSE,Time!B11="4"),4,5)</f>
        <v>5</v>
      </c>
      <c r="D72" s="4">
        <f>IF(OR(Time!C11=4,Time!C11=FALSE,Time!C11="4"),4,5)</f>
        <v>4</v>
      </c>
      <c r="E72" s="4">
        <f>IF(OR(Time!D11=4,Time!D11=FALSE,Time!D11="4"),4,5)</f>
        <v>5</v>
      </c>
      <c r="F72" s="4">
        <f>IF(OR(Time!E11=4,Time!E11=FALSE,Time!E11="4"),4,5)</f>
        <v>5</v>
      </c>
    </row>
    <row r="73" ht="15.75" customHeight="1">
      <c r="A73" s="4" t="s">
        <v>392</v>
      </c>
      <c r="B73" s="2"/>
      <c r="C73" s="4">
        <f>IF(OR(Time!B12=4,Time!B12=FALSE,Time!B12="4"),4,5)</f>
        <v>5</v>
      </c>
      <c r="D73" s="4">
        <f>IF(OR(Time!C12=4,Time!C12=FALSE,Time!C12="4"),4,5)</f>
        <v>4</v>
      </c>
      <c r="E73" s="4">
        <f>IF(OR(Time!D12=4,Time!D12=FALSE,Time!D12="4"),4,5)</f>
        <v>5</v>
      </c>
      <c r="F73" s="4">
        <f>IF(OR(Time!E12=4,Time!E12=FALSE,Time!E12="4"),4,5)</f>
        <v>5</v>
      </c>
    </row>
    <row r="74" ht="15.75" customHeight="1">
      <c r="A74" s="4" t="s">
        <v>393</v>
      </c>
      <c r="B74" s="2"/>
      <c r="C74" s="4">
        <f>IF(OR(Time!B13=4,Time!B13=FALSE,Time!B13="4"),4,5)</f>
        <v>5</v>
      </c>
      <c r="D74" s="4">
        <f>IF(OR(Time!C13=4,Time!C13=FALSE,Time!C13="4"),4,5)</f>
        <v>5</v>
      </c>
      <c r="E74" s="4">
        <f>IF(OR(Time!D13=4,Time!D13=FALSE,Time!D13="4"),4,5)</f>
        <v>5</v>
      </c>
      <c r="F74" s="4">
        <f>IF(OR(Time!E13=4,Time!E13=FALSE,Time!E13="4"),4,5)</f>
        <v>5</v>
      </c>
    </row>
    <row r="75" ht="15.75" customHeight="1">
      <c r="A75" s="4" t="s">
        <v>394</v>
      </c>
      <c r="B75" s="2"/>
      <c r="C75" s="4">
        <f>IF(OR(Time!B14=4,Time!B14=FALSE,Time!B14="4"),4,5)</f>
        <v>5</v>
      </c>
      <c r="D75" s="4">
        <f>IF(OR(Time!C14=4,Time!C14=FALSE,Time!C14="4"),4,5)</f>
        <v>4</v>
      </c>
      <c r="E75" s="4">
        <f>IF(OR(Time!D14=4,Time!D14=FALSE,Time!D14="4"),4,5)</f>
        <v>5</v>
      </c>
      <c r="F75" s="4">
        <f>IF(OR(Time!E14=4,Time!E14=FALSE,Time!E14="4"),4,5)</f>
        <v>5</v>
      </c>
    </row>
    <row r="76" ht="15.75" customHeight="1">
      <c r="A76" s="4" t="s">
        <v>395</v>
      </c>
      <c r="B76" s="2"/>
      <c r="C76" s="4">
        <f>IF(OR(Time!B15=4,Time!B15=FALSE,Time!B15="4"),4,5)</f>
        <v>5</v>
      </c>
      <c r="D76" s="4">
        <f>IF(OR(Time!C15=4,Time!C15=FALSE,Time!C15="4"),4,5)</f>
        <v>4</v>
      </c>
      <c r="E76" s="4">
        <f>IF(OR(Time!D15=4,Time!D15=FALSE,Time!D15="4"),4,5)</f>
        <v>5</v>
      </c>
      <c r="F76" s="4">
        <f>IF(OR(Time!E15=4,Time!E15=FALSE,Time!E15="4"),4,5)</f>
        <v>5</v>
      </c>
    </row>
    <row r="77" ht="15.75" customHeight="1">
      <c r="A77" s="4" t="s">
        <v>396</v>
      </c>
      <c r="B77" s="2"/>
      <c r="C77" s="4">
        <f t="shared" ref="C77:F77" si="1">(C72=5)+(C73=5)+(C74=5)+(C75=5)+(C76=5)</f>
        <v>5</v>
      </c>
      <c r="D77" s="4">
        <f t="shared" si="1"/>
        <v>1</v>
      </c>
      <c r="E77" s="4">
        <f t="shared" si="1"/>
        <v>5</v>
      </c>
      <c r="F77" s="4">
        <f t="shared" si="1"/>
        <v>5</v>
      </c>
    </row>
    <row r="78" ht="15.75" customHeight="1">
      <c r="A78" s="4" t="s">
        <v>397</v>
      </c>
      <c r="B78" s="2"/>
      <c r="C78" s="4">
        <f>C77*Stats!$B$29</f>
        <v>45</v>
      </c>
      <c r="D78" s="4">
        <f>D77*Stats!$B$29</f>
        <v>9</v>
      </c>
      <c r="E78" s="4">
        <f>E77*Stats!$B$29</f>
        <v>45</v>
      </c>
      <c r="F78" s="4">
        <f>F77*Stats!$B$29</f>
        <v>45</v>
      </c>
    </row>
    <row r="79" ht="15.75" customHeight="1">
      <c r="A79" s="4" t="s">
        <v>398</v>
      </c>
      <c r="B79" s="2"/>
      <c r="C79" s="4">
        <f>(5-C77)*Stats!$C$29</f>
        <v>0</v>
      </c>
      <c r="D79" s="4">
        <f>(5-D77)*Stats!$C$29</f>
        <v>28</v>
      </c>
      <c r="E79" s="4">
        <f>(5-E77)*Stats!$C$29</f>
        <v>0</v>
      </c>
      <c r="F79" s="4">
        <f>(5-F77)*Stats!$C$29</f>
        <v>0</v>
      </c>
    </row>
    <row r="80" ht="15.75" customHeight="1">
      <c r="A80" s="4" t="s">
        <v>400</v>
      </c>
      <c r="B80" s="2"/>
      <c r="C80" s="4" t="str">
        <f>Time!B8&amp;""</f>
        <v>EM</v>
      </c>
      <c r="D80" s="4" t="str">
        <f>Time!C8&amp;""</f>
        <v>ER</v>
      </c>
      <c r="E80" s="4" t="str">
        <f>Time!D8&amp;""</f>
        <v>ATK%</v>
      </c>
      <c r="F80" s="4" t="str">
        <f>Time!E8&amp;""</f>
        <v>ER</v>
      </c>
    </row>
    <row r="81" ht="15.75" customHeight="1">
      <c r="A81" s="4" t="s">
        <v>401</v>
      </c>
      <c r="B81" s="2"/>
      <c r="C81" s="4" t="str">
        <f>IF(Time!B9="DMG% elemental","DMG%",Time!B9&amp;"")</f>
        <v>DMG%</v>
      </c>
      <c r="D81" s="4" t="str">
        <f>IF(Time!C9="DMG% elemental","DMG%",Time!C9&amp;"")</f>
        <v>DMG%</v>
      </c>
      <c r="E81" s="4" t="str">
        <f>IF(Time!D9="DMG% elemental","DMG%",Time!D9&amp;"")</f>
        <v>ATK%</v>
      </c>
      <c r="F81" s="4" t="str">
        <f>IF(Time!E9="DMG% elemental","DMG%",Time!E9&amp;"")</f>
        <v>DMG%</v>
      </c>
    </row>
    <row r="82" ht="15.75" customHeight="1">
      <c r="A82" s="4" t="s">
        <v>402</v>
      </c>
      <c r="B82" s="2"/>
      <c r="C82" s="4" t="str">
        <f>Time!B10&amp;""</f>
        <v>CD</v>
      </c>
      <c r="D82" s="4" t="str">
        <f>Time!C10&amp;""</f>
        <v>CR</v>
      </c>
      <c r="E82" s="4" t="str">
        <f>Time!D10&amp;""</f>
        <v>CR</v>
      </c>
      <c r="F82" s="4" t="str">
        <f>Time!E10&amp;""</f>
        <v>CR</v>
      </c>
    </row>
    <row r="83" ht="15.75" customHeight="1">
      <c r="A83" s="4" t="s">
        <v>403</v>
      </c>
      <c r="B83" s="2"/>
      <c r="C83" s="4">
        <f t="array" ref="C83">IFERROR(INDEX(Stats!$B$4:$C$8,MATCH(Time!B8,Stats!$A$4:$A$8,0),IF(C74=4,2,1)),0)</f>
        <v>187</v>
      </c>
      <c r="D83" s="4">
        <f t="array" ref="D83">IFERROR(INDEX(Stats!$B$4:$C$8,MATCH(Time!C8,Stats!$A$4:$A$8,0),IF(D74=4,2,1)),0)</f>
        <v>0.518</v>
      </c>
      <c r="E83" s="4">
        <f t="array" ref="E83">IFERROR(INDEX(Stats!$B$4:$C$8,MATCH(Time!D8,Stats!$A$4:$A$8,0),IF(E74=4,2,1)),0)</f>
        <v>0.466</v>
      </c>
      <c r="F83" s="4">
        <f t="array" ref="F83">IFERROR(INDEX(Stats!$B$4:$C$8,MATCH(Time!E8,Stats!$A$4:$A$8,0),IF(F74=4,2,1)),0)</f>
        <v>0.518</v>
      </c>
    </row>
    <row r="84" ht="15.75" customHeight="1">
      <c r="A84" s="4" t="s">
        <v>404</v>
      </c>
      <c r="B84" s="2"/>
      <c r="C84" s="4">
        <f t="array" ref="C84">IFERROR(INDEX(Stats!$F$4:$G$8,MATCH(Time!B9,Stats!$E$4:$E$8,0),IF(C75=4,2,1)),0)</f>
        <v>0.466</v>
      </c>
      <c r="D84" s="4">
        <f t="array" ref="D84">IFERROR(INDEX(Stats!$F$4:$G$8,MATCH(Time!C9,Stats!$E$4:$E$8,0),IF(D75=4,2,1)),0)</f>
        <v>0.348</v>
      </c>
      <c r="E84" s="4">
        <f t="array" ref="E84">IFERROR(INDEX(Stats!$F$4:$G$8,MATCH(Time!D9,Stats!$E$4:$E$8,0),IF(E75=4,2,1)),0)</f>
        <v>0.466</v>
      </c>
      <c r="F84" s="4">
        <f t="array" ref="F84">IFERROR(INDEX(Stats!$F$4:$G$8,MATCH(Time!E9,Stats!$E$4:$E$8,0),IF(F75=4,2,1)),0)</f>
        <v>0.466</v>
      </c>
    </row>
    <row r="85" ht="15.75" customHeight="1">
      <c r="A85" s="4" t="s">
        <v>405</v>
      </c>
      <c r="B85" s="2"/>
      <c r="C85" s="4">
        <f t="array" ref="C85">IFERROR(INDEX(Stats!$J$4:$K$10,MATCH(Time!B10,Stats!$I$4:$I$10,0),IF(C76=4,2,1)),0)</f>
        <v>0.622</v>
      </c>
      <c r="D85" s="4">
        <f t="array" ref="D85">IFERROR(INDEX(Stats!$J$4:$K$10,MATCH(Time!C10,Stats!$I$4:$I$10,0),IF(D76=4,2,1)),0)</f>
        <v>0.232</v>
      </c>
      <c r="E85" s="4">
        <f t="array" ref="E85">IFERROR(INDEX(Stats!$J$4:$K$10,MATCH(Time!D10,Stats!$I$4:$I$10,0),IF(E76=4,2,1)),0)</f>
        <v>0.311</v>
      </c>
      <c r="F85" s="4">
        <f t="array" ref="F85">IFERROR(INDEX(Stats!$J$4:$K$10,MATCH(Time!E10,Stats!$I$4:$I$10,0),IF(F76=4,2,1)),0)</f>
        <v>0.311</v>
      </c>
    </row>
    <row r="86" ht="15.75" customHeight="1">
      <c r="A86" s="4" t="s">
        <v>406</v>
      </c>
      <c r="B86" s="2"/>
      <c r="C86" s="4">
        <f t="array" ref="C86">INDEX(Stats!$B$14:$C$14,IF(C73=4,2,1))</f>
        <v>311</v>
      </c>
      <c r="D86" s="4">
        <f t="array" ref="D86">INDEX(Stats!$B$14:$C$14,IF(D73=4,2,1))</f>
        <v>232</v>
      </c>
      <c r="E86" s="4">
        <f t="array" ref="E86">INDEX(Stats!$B$14:$C$14,IF(E73=4,2,1))</f>
        <v>311</v>
      </c>
      <c r="F86" s="4">
        <f t="array" ref="F86">INDEX(Stats!$B$14:$C$14,IF(F73=4,2,1))</f>
        <v>311</v>
      </c>
    </row>
    <row r="87" ht="15.75" customHeight="1">
      <c r="A87" s="4" t="s">
        <v>407</v>
      </c>
      <c r="B87" s="2"/>
      <c r="C87" s="4">
        <f t="array" ref="C87">INDEX(Stats!$B$13:$C$13,IF(C72=4,2,1))</f>
        <v>4780</v>
      </c>
      <c r="D87" s="4">
        <f t="array" ref="D87">INDEX(Stats!$B$13:$C$13,IF(D72=4,2,1))</f>
        <v>3571</v>
      </c>
      <c r="E87" s="4">
        <f t="array" ref="E87">INDEX(Stats!$B$13:$C$13,IF(E72=4,2,1))</f>
        <v>4780</v>
      </c>
      <c r="F87" s="4">
        <f t="array" ref="F87">INDEX(Stats!$B$13:$C$13,IF(F72=4,2,1))</f>
        <v>4780</v>
      </c>
    </row>
    <row r="88" ht="15.75" customHeight="1">
      <c r="A88" s="4" t="s">
        <v>408</v>
      </c>
      <c r="B88" s="2"/>
      <c r="C88" s="4">
        <f>IF(C72=4,Stats!$C$28,Stats!$B$28)</f>
        <v>6</v>
      </c>
      <c r="D88" s="4">
        <f>IF(D72=4,Stats!$C$28,Stats!$B$28)</f>
        <v>5</v>
      </c>
      <c r="E88" s="4">
        <f>IF(E72=4,Stats!$C$28,Stats!$B$28)</f>
        <v>6</v>
      </c>
      <c r="F88" s="4">
        <f>IF(F72=4,Stats!$C$28,Stats!$B$28)</f>
        <v>6</v>
      </c>
    </row>
    <row r="89" ht="15.75" customHeight="1">
      <c r="A89" s="4" t="s">
        <v>409</v>
      </c>
      <c r="B89" s="2"/>
      <c r="C89" s="4">
        <f>IF(C73=4,Stats!$C$28,Stats!$B$28)</f>
        <v>6</v>
      </c>
      <c r="D89" s="4">
        <f>IF(D73=4,Stats!$C$28,Stats!$B$28)</f>
        <v>5</v>
      </c>
      <c r="E89" s="4">
        <f>IF(E73=4,Stats!$C$28,Stats!$B$28)</f>
        <v>6</v>
      </c>
      <c r="F89" s="4">
        <f>IF(F73=4,Stats!$C$28,Stats!$B$28)</f>
        <v>6</v>
      </c>
    </row>
    <row r="90" ht="15.75" customHeight="1">
      <c r="A90" s="4" t="s">
        <v>410</v>
      </c>
      <c r="B90" s="2"/>
      <c r="C90" s="4">
        <f>IF(C74=4,Stats!$C$28,Stats!$B$28)</f>
        <v>6</v>
      </c>
      <c r="D90" s="4">
        <f>IF(D74=4,Stats!$C$28,Stats!$B$28)</f>
        <v>6</v>
      </c>
      <c r="E90" s="4">
        <f>IF(E74=4,Stats!$C$28,Stats!$B$28)</f>
        <v>6</v>
      </c>
      <c r="F90" s="4">
        <f>IF(F74=4,Stats!$C$28,Stats!$B$28)</f>
        <v>6</v>
      </c>
    </row>
    <row r="91" ht="15.75" customHeight="1">
      <c r="A91" s="4" t="s">
        <v>411</v>
      </c>
      <c r="B91" s="2"/>
      <c r="C91" s="4">
        <f>IF(C75=4,Stats!$C$28,Stats!$B$28)</f>
        <v>6</v>
      </c>
      <c r="D91" s="4">
        <f>IF(D75=4,Stats!$C$28,Stats!$B$28)</f>
        <v>5</v>
      </c>
      <c r="E91" s="4">
        <f>IF(E75=4,Stats!$C$28,Stats!$B$28)</f>
        <v>6</v>
      </c>
      <c r="F91" s="4">
        <f>IF(F75=4,Stats!$C$28,Stats!$B$28)</f>
        <v>6</v>
      </c>
    </row>
    <row r="92" ht="15.75" customHeight="1">
      <c r="A92" s="4" t="s">
        <v>412</v>
      </c>
      <c r="B92" s="2"/>
      <c r="C92" s="4">
        <f>IF(C76=4,Stats!$C$28,Stats!$B$28)</f>
        <v>6</v>
      </c>
      <c r="D92" s="4">
        <f>IF(D76=4,Stats!$C$28,Stats!$B$28)</f>
        <v>5</v>
      </c>
      <c r="E92" s="4">
        <f>IF(E76=4,Stats!$C$28,Stats!$B$28)</f>
        <v>6</v>
      </c>
      <c r="F92" s="4">
        <f>IF(F76=4,Stats!$C$28,Stats!$B$28)</f>
        <v>6</v>
      </c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19" t="s">
        <v>413</v>
      </c>
      <c r="B94" s="20"/>
      <c r="C94" s="20"/>
      <c r="D94" s="20"/>
      <c r="E94" s="20"/>
      <c r="F94" s="20"/>
    </row>
    <row r="95" ht="15.75" customHeight="1">
      <c r="A95" s="4" t="s">
        <v>414</v>
      </c>
      <c r="B95" s="2"/>
      <c r="C95" s="33">
        <f>(C78*Stats!$B$17+C79*Stats!$C$17)/(C78+C79)</f>
        <v>0.033</v>
      </c>
      <c r="D95" s="33">
        <f>(D78*Stats!$B$17+D79*Stats!$C$17)/(D78+D79)</f>
        <v>0.02800540541</v>
      </c>
      <c r="E95" s="33">
        <f>(E78*Stats!$B$17+E79*Stats!$C$17)/(E78+E79)</f>
        <v>0.033</v>
      </c>
      <c r="F95" s="33">
        <f>(F78*Stats!$B$17+F79*Stats!$C$17)/(F78+F79)</f>
        <v>0.033</v>
      </c>
    </row>
    <row r="96" ht="15.75" customHeight="1">
      <c r="A96" s="4" t="s">
        <v>415</v>
      </c>
      <c r="B96" s="2"/>
      <c r="C96" s="33">
        <f>(C78*Stats!$B$18+C79*Stats!$C$18)/(C78+C79)</f>
        <v>0.066</v>
      </c>
      <c r="D96" s="33">
        <f>(D78*Stats!$B$18+D79*Stats!$C$18)/(D78+D79)</f>
        <v>0.05608648649</v>
      </c>
      <c r="E96" s="33">
        <f>(E78*Stats!$B$18+E79*Stats!$C$18)/(E78+E79)</f>
        <v>0.066</v>
      </c>
      <c r="F96" s="33">
        <f>(F78*Stats!$B$18+F79*Stats!$C$18)/(F78+F79)</f>
        <v>0.066</v>
      </c>
    </row>
    <row r="97" ht="15.75" customHeight="1">
      <c r="A97" s="4" t="s">
        <v>417</v>
      </c>
      <c r="B97" s="2"/>
      <c r="C97" s="33">
        <f>(C78*Stats!$B$19+C79*Stats!$C$19)/(C78+C79)</f>
        <v>0.0495</v>
      </c>
      <c r="D97" s="33">
        <f>(D78*Stats!$B$19+D79*Stats!$C$19)/(D78+D79)</f>
        <v>0.04200810811</v>
      </c>
      <c r="E97" s="33">
        <f>(E78*Stats!$B$19+E79*Stats!$C$19)/(E78+E79)</f>
        <v>0.0495</v>
      </c>
      <c r="F97" s="33">
        <f>(F78*Stats!$B$19+F79*Stats!$C$19)/(F78+F79)</f>
        <v>0.0495</v>
      </c>
    </row>
    <row r="98" ht="15.75" customHeight="1">
      <c r="A98" s="4" t="s">
        <v>418</v>
      </c>
      <c r="B98" s="2"/>
      <c r="C98" s="17">
        <f>(C78*Stats!$B$20+C79*Stats!$C$20)/(C78+C79)</f>
        <v>19.5</v>
      </c>
      <c r="D98" s="17">
        <f>(D78*Stats!$B$20+D79*Stats!$C$20)/(D78+D79)</f>
        <v>16.74540541</v>
      </c>
      <c r="E98" s="17">
        <f>(E78*Stats!$B$20+E79*Stats!$C$20)/(E78+E79)</f>
        <v>19.5</v>
      </c>
      <c r="F98" s="17">
        <f>(F78*Stats!$B$20+F79*Stats!$C$20)/(F78+F79)</f>
        <v>19.5</v>
      </c>
    </row>
    <row r="99" ht="15.75" customHeight="1">
      <c r="A99" s="4" t="s">
        <v>419</v>
      </c>
      <c r="B99" s="2"/>
      <c r="C99" s="33">
        <f>(C78*Stats!$B$21+C79*Stats!$C$21)/(C78+C79)</f>
        <v>0.055</v>
      </c>
      <c r="D99" s="33">
        <f>(D78*Stats!$B$21+D79*Stats!$C$21)/(D78+D79)</f>
        <v>0.04667567568</v>
      </c>
      <c r="E99" s="33">
        <f>(E78*Stats!$B$21+E79*Stats!$C$21)/(E78+E79)</f>
        <v>0.055</v>
      </c>
      <c r="F99" s="33">
        <f>(F78*Stats!$B$21+F79*Stats!$C$21)/(F78+F79)</f>
        <v>0.055</v>
      </c>
    </row>
    <row r="100" ht="15.75" customHeight="1">
      <c r="A100" s="4" t="s">
        <v>420</v>
      </c>
      <c r="B100" s="2"/>
      <c r="C100" s="17">
        <f>(C78*Stats!$B$22+C79*Stats!$C$22)/(C78+C79)</f>
        <v>18.5</v>
      </c>
      <c r="D100" s="17">
        <f>(D78*Stats!$B$22+D79*Stats!$C$22)/(D78+D79)</f>
        <v>14.51189189</v>
      </c>
      <c r="E100" s="17">
        <f>(E78*Stats!$B$22+E79*Stats!$C$22)/(E78+E79)</f>
        <v>18.5</v>
      </c>
      <c r="F100" s="17">
        <f>(F78*Stats!$B$22+F79*Stats!$C$22)/(F78+F79)</f>
        <v>18.5</v>
      </c>
    </row>
    <row r="101" ht="15.75" customHeight="1">
      <c r="A101" s="4" t="s">
        <v>421</v>
      </c>
      <c r="B101" s="2"/>
      <c r="C101" s="33">
        <f>(C78*Stats!$B$23+C79*Stats!$C$23)/(C78+C79)</f>
        <v>0.0495</v>
      </c>
      <c r="D101" s="33">
        <f>(D78*Stats!$B$23+D79*Stats!$C$23)/(D78+D79)</f>
        <v>0.04200810811</v>
      </c>
      <c r="E101" s="33">
        <f>(E78*Stats!$B$23+E79*Stats!$C$23)/(E78+E79)</f>
        <v>0.0495</v>
      </c>
      <c r="F101" s="33">
        <f>(F78*Stats!$B$23+F79*Stats!$C$23)/(F78+F79)</f>
        <v>0.0495</v>
      </c>
    </row>
    <row r="102" ht="15.75" customHeight="1">
      <c r="A102" s="4" t="s">
        <v>422</v>
      </c>
      <c r="B102" s="2"/>
      <c r="C102" s="17">
        <f>(C78*Stats!$B$24+C79*Stats!$C$24)/(C78+C79)</f>
        <v>254</v>
      </c>
      <c r="D102" s="17">
        <f>(D78*Stats!$B$24+D79*Stats!$C$24)/(D78+D79)</f>
        <v>215.5189189</v>
      </c>
      <c r="E102" s="17">
        <f>(E78*Stats!$B$24+E79*Stats!$C$24)/(E78+E79)</f>
        <v>254</v>
      </c>
      <c r="F102" s="17">
        <f>(F78*Stats!$B$24+F79*Stats!$C$24)/(F78+F79)</f>
        <v>254</v>
      </c>
    </row>
    <row r="103" ht="15.75" customHeight="1">
      <c r="A103" s="4" t="s">
        <v>423</v>
      </c>
      <c r="B103" s="2"/>
      <c r="C103" s="33">
        <f>(C78*Stats!$B$25+C79*Stats!$C$25)/(C78+C79)</f>
        <v>0.062</v>
      </c>
      <c r="D103" s="33">
        <f>(D78*Stats!$B$25+D79*Stats!$C$25)/(D78+D79)</f>
        <v>0.05261621622</v>
      </c>
      <c r="E103" s="33">
        <f>(E78*Stats!$B$25+E79*Stats!$C$25)/(E78+E79)</f>
        <v>0.062</v>
      </c>
      <c r="F103" s="33">
        <f>(F78*Stats!$B$25+F79*Stats!$C$25)/(F78+F79)</f>
        <v>0.062</v>
      </c>
    </row>
    <row r="104" ht="15.75" customHeight="1">
      <c r="A104" s="4" t="s">
        <v>424</v>
      </c>
      <c r="B104" s="2"/>
      <c r="C104" s="17">
        <f>(C78*Stats!$B$26+C79*Stats!$C$26)/(C78+C79)</f>
        <v>19.5</v>
      </c>
      <c r="D104" s="17">
        <f>(D78*Stats!$B$26+D79*Stats!$C$26)/(D78+D79)</f>
        <v>16.65459459</v>
      </c>
      <c r="E104" s="17">
        <f>(E78*Stats!$B$26+E79*Stats!$C$26)/(E78+E79)</f>
        <v>19.5</v>
      </c>
      <c r="F104" s="17">
        <f>(F78*Stats!$B$26+F79*Stats!$C$26)/(F78+F79)</f>
        <v>19.5</v>
      </c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19" t="s">
        <v>425</v>
      </c>
      <c r="B106" s="20"/>
      <c r="C106" s="20"/>
      <c r="D106" s="20"/>
      <c r="E106" s="20"/>
      <c r="F106" s="20"/>
    </row>
    <row r="107" ht="15.75" customHeight="1">
      <c r="A107" s="4" t="s">
        <v>92</v>
      </c>
      <c r="B107" s="2"/>
      <c r="C107" s="22">
        <f>IF(C23="ATK%",C24,0)+IF(C26="ATK%",C27,0)+IF(C52="ATK%",C53,0)+IF(C54="ATK%",C55,0)+C30+C41+C56+(C80="ATK%")*C83+(C81="ATK%")*C84+(C82="ATK%")*C85+SUMIFS(Time!$C$32:$C$51,Time!$A$32:$A$51,C6,Time!$B$32:$B$51,"ATK%",Time!$D$32:$D$51,"&lt;&gt;Sim")+SUMIFS(Time!$C$32:$C$51,Time!$A$32:$A$51,"Todos",Time!$B$32:$B$51,"ATK%",Time!$D$32:$D$51,"&lt;&gt;Sim")</f>
        <v>1.09</v>
      </c>
      <c r="D107" s="22">
        <f>IF(D23="ATK%",D24,0)+IF(D26="ATK%",D27,0)+IF(D52="ATK%",D53,0)+IF(D54="ATK%",D55,0)+D30+D41+D56+(D80="ATK%")*D83+(D81="ATK%")*D84+(D82="ATK%")*D85+SUMIFS(Time!$C$32:$C$51,Time!$A$32:$A$51,D6,Time!$B$32:$B$51,"ATK%",Time!$D$32:$D$51,"&lt;&gt;Sim")+SUMIFS(Time!$C$32:$C$51,Time!$A$32:$A$51,"Todos",Time!$B$32:$B$51,"ATK%",Time!$D$32:$D$51,"&lt;&gt;Sim")</f>
        <v>0.3</v>
      </c>
      <c r="E107" s="22">
        <f>IF(E23="ATK%",E24,0)+IF(E26="ATK%",E27,0)+IF(E52="ATK%",E53,0)+IF(E54="ATK%",E55,0)+E30+E41+E56+(E80="ATK%")*E83+(E81="ATK%")*E84+(E82="ATK%")*E85+SUMIFS(Time!$C$32:$C$51,Time!$A$32:$A$51,E6,Time!$B$32:$B$51,"ATK%",Time!$D$32:$D$51,"&lt;&gt;Sim")+SUMIFS(Time!$C$32:$C$51,Time!$A$32:$A$51,"Todos",Time!$B$32:$B$51,"ATK%",Time!$D$32:$D$51,"&lt;&gt;Sim")</f>
        <v>1.172</v>
      </c>
      <c r="F107" s="22">
        <f>IF(F23="ATK%",F24,0)+IF(F26="ATK%",F27,0)+IF(F52="ATK%",F53,0)+IF(F54="ATK%",F55,0)+F30+F41+F56+(F80="ATK%")*F83+(F81="ATK%")*F84+(F82="ATK%")*F85+SUMIFS(Time!$C$32:$C$51,Time!$A$32:$A$51,F6,Time!$B$32:$B$51,"ATK%",Time!$D$32:$D$51,"&lt;&gt;Sim")+SUMIFS(Time!$C$32:$C$51,Time!$A$32:$A$51,"Todos",Time!$B$32:$B$51,"ATK%",Time!$D$32:$D$51,"&lt;&gt;Sim")</f>
        <v>0</v>
      </c>
    </row>
    <row r="108" ht="15.75" customHeight="1">
      <c r="A108" s="4" t="s">
        <v>426</v>
      </c>
      <c r="B108" s="2"/>
      <c r="C108" s="21">
        <f>IF(C23="ATK",C24,0)+IF(C26="ATK",C27,0)+IF(C52="ATK",C53,0)+IF(C54="ATK",C55,0)+SUMIFS(Time!$C$32:$C$51,Time!$A$32:$A$51,C6,Time!$B$32:$B$51,"ATK",Time!$D$32:$D$51,"&lt;&gt;Sim")+SUMIFS(Time!$C$32:$C$51,Time!$A$32:$A$51,"Todos",Time!$B$32:$B$51,"ATK",Time!$D$32:$D$51,"&lt;&gt;Sim")</f>
        <v>0</v>
      </c>
      <c r="D108" s="21">
        <f>IF(D23="ATK",D24,0)+IF(D26="ATK",D27,0)+IF(D52="ATK",D53,0)+IF(D54="ATK",D55,0)+SUMIFS(Time!$C$32:$C$51,Time!$A$32:$A$51,D6,Time!$B$32:$B$51,"ATK",Time!$D$32:$D$51,"&lt;&gt;Sim")+SUMIFS(Time!$C$32:$C$51,Time!$A$32:$A$51,"Todos",Time!$B$32:$B$51,"ATK",Time!$D$32:$D$51,"&lt;&gt;Sim")</f>
        <v>0</v>
      </c>
      <c r="E108" s="21">
        <f>IF(E23="ATK",E24,0)+IF(E26="ATK",E27,0)+IF(E52="ATK",E53,0)+IF(E54="ATK",E55,0)+SUMIFS(Time!$C$32:$C$51,Time!$A$32:$A$51,E6,Time!$B$32:$B$51,"ATK",Time!$D$32:$D$51,"&lt;&gt;Sim")+SUMIFS(Time!$C$32:$C$51,Time!$A$32:$A$51,"Todos",Time!$B$32:$B$51,"ATK",Time!$D$32:$D$51,"&lt;&gt;Sim")</f>
        <v>0</v>
      </c>
      <c r="F108" s="21">
        <f>IF(F23="ATK",F24,0)+IF(F26="ATK",F27,0)+IF(F52="ATK",F53,0)+IF(F54="ATK",F55,0)+SUMIFS(Time!$C$32:$C$51,Time!$A$32:$A$51,F6,Time!$B$32:$B$51,"ATK",Time!$D$32:$D$51,"&lt;&gt;Sim")+SUMIFS(Time!$C$32:$C$51,Time!$A$32:$A$51,"Todos",Time!$B$32:$B$51,"ATK",Time!$D$32:$D$51,"&lt;&gt;Sim")</f>
        <v>0</v>
      </c>
    </row>
    <row r="109" ht="15.75" customHeight="1">
      <c r="A109" s="4" t="s">
        <v>90</v>
      </c>
      <c r="B109" s="2"/>
      <c r="C109" s="21">
        <f>IF(C23="EM",C24,0)+IF(C26="EM",C27,0)+IF(C52="EM",C53,0)+IF(C54="EM",C55,0)+C34+C45+C60+(C80="EM")*C83+(C81="EM")*C84+(C82="EM")*C85+SUMIFS(Time!$C$32:$C$51,Time!$A$32:$A$51,C6,Time!$B$32:$B$51,"EM",Time!$D$32:$D$51,"&lt;&gt;Sim")+SUMIFS(Time!$C$32:$C$51,Time!$A$32:$A$51,"Todos",Time!$B$32:$B$51,"EM",Time!$D$32:$D$51,"&lt;&gt;Sim")</f>
        <v>187</v>
      </c>
      <c r="D109" s="21">
        <f>IF(D23="EM",D24,0)+IF(D26="EM",D27,0)+IF(D52="EM",D53,0)+IF(D54="EM",D55,0)+D34+D45+D60+(D80="EM")*D83+(D81="EM")*D84+(D82="EM")*D85+SUMIFS(Time!$C$32:$C$51,Time!$A$32:$A$51,D6,Time!$B$32:$B$51,"EM",Time!$D$32:$D$51,"&lt;&gt;Sim")+SUMIFS(Time!$C$32:$C$51,Time!$A$32:$A$51,"Todos",Time!$B$32:$B$51,"EM",Time!$D$32:$D$51,"&lt;&gt;Sim")</f>
        <v>195</v>
      </c>
      <c r="E109" s="21">
        <f>IF(E23="EM",E24,0)+IF(E26="EM",E27,0)+IF(E52="EM",E53,0)+IF(E54="EM",E55,0)+E34+E45+E60+(E80="EM")*E83+(E81="EM")*E84+(E82="EM")*E85+SUMIFS(Time!$C$32:$C$51,Time!$A$32:$A$51,E6,Time!$B$32:$B$51,"EM",Time!$D$32:$D$51,"&lt;&gt;Sim")+SUMIFS(Time!$C$32:$C$51,Time!$A$32:$A$51,"Todos",Time!$B$32:$B$51,"EM",Time!$D$32:$D$51,"&lt;&gt;Sim")</f>
        <v>0</v>
      </c>
      <c r="F109" s="21">
        <f>IF(F23="EM",F24,0)+IF(F26="EM",F27,0)+IF(F52="EM",F53,0)+IF(F54="EM",F55,0)+F34+F45+F60+(F80="EM")*F83+(F81="EM")*F84+(F82="EM")*F85+SUMIFS(Time!$C$32:$C$51,Time!$A$32:$A$51,F6,Time!$B$32:$B$51,"EM",Time!$D$32:$D$51,"&lt;&gt;Sim")+SUMIFS(Time!$C$32:$C$51,Time!$A$32:$A$51,"Todos",Time!$B$32:$B$51,"EM",Time!$D$32:$D$51,"&lt;&gt;Sim")</f>
        <v>0</v>
      </c>
    </row>
    <row r="110" ht="15.75" customHeight="1">
      <c r="A110" s="4" t="s">
        <v>428</v>
      </c>
      <c r="B110" s="2"/>
      <c r="C110" s="22">
        <f>IF(C23="ER",C24,0)+IF(C26="ER",C27,0)+IF(C52="ER",C53,0)+IF(C54="ER",C55,0)+C46+(C80="ER")*C83+(C81="ER")*C84+(C82="ER")*C85+SUMIFS(Time!$C$32:$C$51,Time!$A$32:$A$51,C6,Time!$B$32:$B$51,"ER",Time!$D$32:$D$51,"&lt;&gt;Sim")+SUMIFS(Time!$C$32:$C$51,Time!$A$32:$A$51,"Todos",Time!$B$32:$B$51,"ER",Time!$D$32:$D$51,"&lt;&gt;Sim")</f>
        <v>0</v>
      </c>
      <c r="D110" s="22">
        <f>IF(D23="ER",D24,0)+IF(D26="ER",D27,0)+IF(D52="ER",D53,0)+IF(D54="ER",D55,0)+D46+(D80="ER")*D83+(D81="ER")*D84+(D82="ER")*D85+SUMIFS(Time!$C$32:$C$51,Time!$A$32:$A$51,D6,Time!$B$32:$B$51,"ER",Time!$D$32:$D$51,"&lt;&gt;Sim")+SUMIFS(Time!$C$32:$C$51,Time!$A$32:$A$51,"Todos",Time!$B$32:$B$51,"ER",Time!$D$32:$D$51,"&lt;&gt;Sim")</f>
        <v>0.518</v>
      </c>
      <c r="E110" s="22">
        <f>IF(E23="ER",E24,0)+IF(E26="ER",E27,0)+IF(E52="ER",E53,0)+IF(E54="ER",E55,0)+E46+(E80="ER")*E83+(E81="ER")*E84+(E82="ER")*E85+SUMIFS(Time!$C$32:$C$51,Time!$A$32:$A$51,E6,Time!$B$32:$B$51,"ER",Time!$D$32:$D$51,"&lt;&gt;Sim")+SUMIFS(Time!$C$32:$C$51,Time!$A$32:$A$51,"Todos",Time!$B$32:$B$51,"ER",Time!$D$32:$D$51,"&lt;&gt;Sim")</f>
        <v>0.551</v>
      </c>
      <c r="F110" s="22">
        <f>IF(F23="ER",F24,0)+IF(F26="ER",F27,0)+IF(F52="ER",F53,0)+IF(F54="ER",F55,0)+F46+(F80="ER")*F83+(F81="ER")*F84+(F82="ER")*F85+SUMIFS(Time!$C$32:$C$51,Time!$A$32:$A$51,F6,Time!$B$32:$B$51,"ER",Time!$D$32:$D$51,"&lt;&gt;Sim")+SUMIFS(Time!$C$32:$C$51,Time!$A$32:$A$51,"Todos",Time!$B$32:$B$51,"ER",Time!$D$32:$D$51,"&lt;&gt;Sim")</f>
        <v>0.785</v>
      </c>
    </row>
    <row r="111" ht="15.75" customHeight="1">
      <c r="A111" s="4" t="s">
        <v>429</v>
      </c>
      <c r="B111" s="2"/>
      <c r="C111" s="22">
        <f>IF(C23="CR",C24,0)+IF(C26="CR",C27,0)+IF(C52="CR",C53,0)+IF(C54="CR",C55,0)+C32+C43+C58+(C80="CR")*C83+(C81="CR")*C84+(C82="CR")*C85+SUMIFS(Time!$C$32:$C$51,Time!$A$32:$A$51,C6,Time!$B$32:$B$51,"CR",Time!$D$32:$D$51,"&lt;&gt;Sim")+SUMIFS(Time!$C$32:$C$51,Time!$A$32:$A$51,"Todos",Time!$B$32:$B$51,"CR",Time!$D$32:$D$51,"&lt;&gt;Sim")</f>
        <v>0.51</v>
      </c>
      <c r="D111" s="22">
        <f>IF(D23="CR",D24,0)+IF(D26="CR",D27,0)+IF(D52="CR",D53,0)+IF(D54="CR",D55,0)+D32+D43+D58+(D80="CR")*D83+(D81="CR")*D84+(D82="CR")*D85+SUMIFS(Time!$C$32:$C$51,Time!$A$32:$A$51,D6,Time!$B$32:$B$51,"CR",Time!$D$32:$D$51,"&lt;&gt;Sim")+SUMIFS(Time!$C$32:$C$51,Time!$A$32:$A$51,"Todos",Time!$B$32:$B$51,"CR",Time!$D$32:$D$51,"&lt;&gt;Sim")</f>
        <v>0.232</v>
      </c>
      <c r="E111" s="22">
        <f>IF(E23="CR",E24,0)+IF(E26="CR",E27,0)+IF(E52="CR",E53,0)+IF(E54="CR",E55,0)+E32+E43+E58+(E80="CR")*E83+(E81="CR")*E84+(E82="CR")*E85+SUMIFS(Time!$C$32:$C$51,Time!$A$32:$A$51,E6,Time!$B$32:$B$51,"CR",Time!$D$32:$D$51,"&lt;&gt;Sim")+SUMIFS(Time!$C$32:$C$51,Time!$A$32:$A$51,"Todos",Time!$B$32:$B$51,"CR",Time!$D$32:$D$51,"&lt;&gt;Sim")</f>
        <v>0.311</v>
      </c>
      <c r="F111" s="22">
        <f>IF(F23="CR",F24,0)+IF(F26="CR",F27,0)+IF(F52="CR",F53,0)+IF(F54="CR",F55,0)+F32+F43+F58+(F80="CR")*F83+(F81="CR")*F84+(F82="CR")*F85+SUMIFS(Time!$C$32:$C$51,Time!$A$32:$A$51,F6,Time!$B$32:$B$51,"CR",Time!$D$32:$D$51,"&lt;&gt;Sim")+SUMIFS(Time!$C$32:$C$51,Time!$A$32:$A$51,"Todos",Time!$B$32:$B$51,"CR",Time!$D$32:$D$51,"&lt;&gt;Sim")</f>
        <v>0.311</v>
      </c>
    </row>
    <row r="112" ht="15.75" customHeight="1">
      <c r="A112" s="4" t="s">
        <v>430</v>
      </c>
      <c r="B112" s="2"/>
      <c r="C112" s="22">
        <f>IF(C23="CD",C24,0)+IF(C26="CD",C27,0)+IF(C52="CD",C53,0)+IF(C54="CD",C55,0)+C33+C44+C59+(C80="CD")*C83+(C81="CD")*C84+(C82="CD")*C85+SUMIFS(Time!$C$32:$C$51,Time!$A$32:$A$51,C6,Time!$B$32:$B$51,"CD",Time!$D$32:$D$51,"&lt;&gt;Sim")+SUMIFS(Time!$C$32:$C$51,Time!$A$32:$A$51,"Todos",Time!$B$32:$B$51,"CD",Time!$D$32:$D$51,"&lt;&gt;Sim")</f>
        <v>1.356</v>
      </c>
      <c r="D112" s="22">
        <f>IF(D23="CD",D24,0)+IF(D26="CD",D27,0)+IF(D52="CD",D53,0)+IF(D54="CD",D55,0)+D33+D44+D59+(D80="CD")*D83+(D81="CD")*D84+(D82="CD")*D85+SUMIFS(Time!$C$32:$C$51,Time!$A$32:$A$51,D6,Time!$B$32:$B$51,"CD",Time!$D$32:$D$51,"&lt;&gt;Sim")+SUMIFS(Time!$C$32:$C$51,Time!$A$32:$A$51,"Todos",Time!$B$32:$B$51,"CD",Time!$D$32:$D$51,"&lt;&gt;Sim")</f>
        <v>0</v>
      </c>
      <c r="E112" s="22">
        <f>IF(E23="CD",E24,0)+IF(E26="CD",E27,0)+IF(E52="CD",E53,0)+IF(E54="CD",E55,0)+E33+E44+E59+(E80="CD")*E83+(E81="CD")*E84+(E82="CD")*E85+SUMIFS(Time!$C$32:$C$51,Time!$A$32:$A$51,E6,Time!$B$32:$B$51,"CD",Time!$D$32:$D$51,"&lt;&gt;Sim")+SUMIFS(Time!$C$32:$C$51,Time!$A$32:$A$51,"Todos",Time!$B$32:$B$51,"CD",Time!$D$32:$D$51,"&lt;&gt;Sim")</f>
        <v>0</v>
      </c>
      <c r="F112" s="22">
        <f>IF(F23="CD",F24,0)+IF(F26="CD",F27,0)+IF(F52="CD",F53,0)+IF(F54="CD",F55,0)+F33+F44+F59+(F80="CD")*F83+(F81="CD")*F84+(F82="CD")*F85+SUMIFS(Time!$C$32:$C$51,Time!$A$32:$A$51,F6,Time!$B$32:$B$51,"CD",Time!$D$32:$D$51,"&lt;&gt;Sim")+SUMIFS(Time!$C$32:$C$51,Time!$A$32:$A$51,"Todos",Time!$B$32:$B$51,"CD",Time!$D$32:$D$51,"&lt;&gt;Sim")</f>
        <v>0.641</v>
      </c>
    </row>
    <row r="113" ht="15.75" customHeight="1">
      <c r="A113" s="4" t="s">
        <v>143</v>
      </c>
      <c r="B113" s="2"/>
      <c r="C113" s="22">
        <f>IF(C23="DMG%",C24,0)+IF(C26="DMG%",C27,0)+IF(C52="DMG%",C53,0)+IF(C54="DMG%",C55,0)+C31+C42+C57+(C80="DMG%")*C83+(C81="DMG%")*C84+(C82="DMG%")*C85+SUMIFS(Time!$C$32:$C$51,Time!$A$32:$A$51,C6,Time!$B$32:$B$51,"DMG%",Time!$D$32:$D$51,"&lt;&gt;Sim")+SUMIFS(Time!$C$32:$C$51,Time!$A$32:$A$51,"Todos",Time!$B$32:$B$51,"DMG%",Time!$D$32:$D$51,"&lt;&gt;Sim")</f>
        <v>1.416</v>
      </c>
      <c r="D113" s="22">
        <f>IF(D23="DMG%",D24,0)+IF(D26="DMG%",D27,0)+IF(D52="DMG%",D53,0)+IF(D54="DMG%",D55,0)+D31+D42+D57+(D80="DMG%")*D83+(D81="DMG%")*D84+(D82="DMG%")*D85+SUMIFS(Time!$C$32:$C$51,Time!$A$32:$A$51,D6,Time!$B$32:$B$51,"DMG%",Time!$D$32:$D$51,"&lt;&gt;Sim")+SUMIFS(Time!$C$32:$C$51,Time!$A$32:$A$51,"Todos",Time!$B$32:$B$51,"DMG%",Time!$D$32:$D$51,"&lt;&gt;Sim")</f>
        <v>0.348</v>
      </c>
      <c r="E113" s="22">
        <f>IF(E23="DMG%",E24,0)+IF(E26="DMG%",E27,0)+IF(E52="DMG%",E53,0)+IF(E54="DMG%",E55,0)+E31+E42+E57+(E80="DMG%")*E83+(E81="DMG%")*E84+(E82="DMG%")*E85+SUMIFS(Time!$C$32:$C$51,Time!$A$32:$A$51,E6,Time!$B$32:$B$51,"DMG%",Time!$D$32:$D$51,"&lt;&gt;Sim")+SUMIFS(Time!$C$32:$C$51,Time!$A$32:$A$51,"Todos",Time!$B$32:$B$51,"DMG%",Time!$D$32:$D$51,"&lt;&gt;Sim")</f>
        <v>0</v>
      </c>
      <c r="F113" s="22">
        <f>IF(F23="DMG%",F24,0)+IF(F26="DMG%",F27,0)+IF(F52="DMG%",F53,0)+IF(F54="DMG%",F55,0)+F31+F42+F57+(F80="DMG%")*F83+(F81="DMG%")*F84+(F82="DMG%")*F85+SUMIFS(Time!$C$32:$C$51,Time!$A$32:$A$51,F6,Time!$B$32:$B$51,"DMG%",Time!$D$32:$D$51,"&lt;&gt;Sim")+SUMIFS(Time!$C$32:$C$51,Time!$A$32:$A$51,"Todos",Time!$B$32:$B$51,"DMG%",Time!$D$32:$D$51,"&lt;&gt;Sim")</f>
        <v>0.466</v>
      </c>
    </row>
    <row r="114" ht="15.75" customHeight="1">
      <c r="A114" s="4" t="s">
        <v>432</v>
      </c>
      <c r="B114" s="2"/>
      <c r="C114" s="22">
        <f>IF(C23="DMG% Normal",C24,0)+IF(C26="DMG% Normal",C27,0)+IF(C52="DMG% Normal",C53,0)+IF(C54="DMG% Normal",C55,0)+C61+SUMIFS(Time!$C$32:$C$51,Time!$A$32:$A$51,C6,Time!$B$32:$B$51,"DMG% Normal",Time!$D$32:$D$51,"&lt;&gt;Sim")+SUMIFS(Time!$C$32:$C$51,Time!$A$32:$A$51,"Todos",Time!$B$32:$B$51,"DMG% Normal",Time!$D$32:$D$51,"&lt;&gt;Sim")</f>
        <v>0</v>
      </c>
      <c r="D114" s="22">
        <f>IF(D23="DMG% Normal",D24,0)+IF(D26="DMG% Normal",D27,0)+IF(D52="DMG% Normal",D53,0)+IF(D54="DMG% Normal",D55,0)+D61+SUMIFS(Time!$C$32:$C$51,Time!$A$32:$A$51,D6,Time!$B$32:$B$51,"DMG% Normal",Time!$D$32:$D$51,"&lt;&gt;Sim")+SUMIFS(Time!$C$32:$C$51,Time!$A$32:$A$51,"Todos",Time!$B$32:$B$51,"DMG% Normal",Time!$D$32:$D$51,"&lt;&gt;Sim")</f>
        <v>0</v>
      </c>
      <c r="E114" s="22">
        <f>IF(E23="DMG% Normal",E24,0)+IF(E26="DMG% Normal",E27,0)+IF(E52="DMG% Normal",E53,0)+IF(E54="DMG% Normal",E55,0)+E61+SUMIFS(Time!$C$32:$C$51,Time!$A$32:$A$51,E6,Time!$B$32:$B$51,"DMG% Normal",Time!$D$32:$D$51,"&lt;&gt;Sim")+SUMIFS(Time!$C$32:$C$51,Time!$A$32:$A$51,"Todos",Time!$B$32:$B$51,"DMG% Normal",Time!$D$32:$D$51,"&lt;&gt;Sim")</f>
        <v>0</v>
      </c>
      <c r="F114" s="22">
        <f>IF(F23="DMG% Normal",F24,0)+IF(F26="DMG% Normal",F27,0)+IF(F52="DMG% Normal",F53,0)+IF(F54="DMG% Normal",F55,0)+F61+SUMIFS(Time!$C$32:$C$51,Time!$A$32:$A$51,F6,Time!$B$32:$B$51,"DMG% Normal",Time!$D$32:$D$51,"&lt;&gt;Sim")+SUMIFS(Time!$C$32:$C$51,Time!$A$32:$A$51,"Todos",Time!$B$32:$B$51,"DMG% Normal",Time!$D$32:$D$51,"&lt;&gt;Sim")</f>
        <v>0</v>
      </c>
    </row>
    <row r="115" ht="15.75" customHeight="1">
      <c r="A115" s="4" t="s">
        <v>433</v>
      </c>
      <c r="B115" s="2"/>
      <c r="C115" s="22">
        <f>IF(C23="DMG% Carregado",C24,0)+IF(C26="DMG% Carregado",C27,0)+IF(C52="DMG% Carregado",C53,0)+IF(C54="DMG% Carregado",C55,0)+C62+SUMIFS(Time!$C$32:$C$51,Time!$A$32:$A$51,C6,Time!$B$32:$B$51,"DMG% Carregado",Time!$D$32:$D$51,"&lt;&gt;Sim")+SUMIFS(Time!$C$32:$C$51,Time!$A$32:$A$51,"Todos",Time!$B$32:$B$51,"DMG% Carregado",Time!$D$32:$D$51,"&lt;&gt;Sim")</f>
        <v>0</v>
      </c>
      <c r="D115" s="22">
        <f>IF(D23="DMG% Carregado",D24,0)+IF(D26="DMG% Carregado",D27,0)+IF(D52="DMG% Carregado",D53,0)+IF(D54="DMG% Carregado",D55,0)+D62+SUMIFS(Time!$C$32:$C$51,Time!$A$32:$A$51,D6,Time!$B$32:$B$51,"DMG% Carregado",Time!$D$32:$D$51,"&lt;&gt;Sim")+SUMIFS(Time!$C$32:$C$51,Time!$A$32:$A$51,"Todos",Time!$B$32:$B$51,"DMG% Carregado",Time!$D$32:$D$51,"&lt;&gt;Sim")</f>
        <v>0</v>
      </c>
      <c r="E115" s="22">
        <f>IF(E23="DMG% Carregado",E24,0)+IF(E26="DMG% Carregado",E27,0)+IF(E52="DMG% Carregado",E53,0)+IF(E54="DMG% Carregado",E55,0)+E62+SUMIFS(Time!$C$32:$C$51,Time!$A$32:$A$51,E6,Time!$B$32:$B$51,"DMG% Carregado",Time!$D$32:$D$51,"&lt;&gt;Sim")+SUMIFS(Time!$C$32:$C$51,Time!$A$32:$A$51,"Todos",Time!$B$32:$B$51,"DMG% Carregado",Time!$D$32:$D$51,"&lt;&gt;Sim")</f>
        <v>0</v>
      </c>
      <c r="F115" s="22">
        <f>IF(F23="DMG% Carregado",F24,0)+IF(F26="DMG% Carregado",F27,0)+IF(F52="DMG% Carregado",F53,0)+IF(F54="DMG% Carregado",F55,0)+F62+SUMIFS(Time!$C$32:$C$51,Time!$A$32:$A$51,F6,Time!$B$32:$B$51,"DMG% Carregado",Time!$D$32:$D$51,"&lt;&gt;Sim")+SUMIFS(Time!$C$32:$C$51,Time!$A$32:$A$51,"Todos",Time!$B$32:$B$51,"DMG% Carregado",Time!$D$32:$D$51,"&lt;&gt;Sim")</f>
        <v>0</v>
      </c>
    </row>
    <row r="116" ht="15.75" customHeight="1">
      <c r="A116" s="4" t="s">
        <v>435</v>
      </c>
      <c r="B116" s="2"/>
      <c r="C116" s="22">
        <f>IF(C23="DMG% Habilidade",C24,0)+IF(C26="DMG% Habilidade",C27,0)+IF(C52="DMG% Habilidade",C53,0)+IF(C54="DMG% Habilidade",C55,0)+C63+SUMIFS(Time!$C$32:$C$51,Time!$A$32:$A$51,C6,Time!$B$32:$B$51,"DMG% Habilidade",Time!$D$32:$D$51,"&lt;&gt;Sim")+SUMIFS(Time!$C$32:$C$51,Time!$A$32:$A$51,"Todos",Time!$B$32:$B$51,"DMG% Habilidade",Time!$D$32:$D$51,"&lt;&gt;Sim")</f>
        <v>0</v>
      </c>
      <c r="D116" s="22">
        <f>IF(D23="DMG% Habilidade",D24,0)+IF(D26="DMG% Habilidade",D27,0)+IF(D52="DMG% Habilidade",D53,0)+IF(D54="DMG% Habilidade",D55,0)+D63+SUMIFS(Time!$C$32:$C$51,Time!$A$32:$A$51,D6,Time!$B$32:$B$51,"DMG% Habilidade",Time!$D$32:$D$51,"&lt;&gt;Sim")+SUMIFS(Time!$C$32:$C$51,Time!$A$32:$A$51,"Todos",Time!$B$32:$B$51,"DMG% Habilidade",Time!$D$32:$D$51,"&lt;&gt;Sim")</f>
        <v>0</v>
      </c>
      <c r="E116" s="22">
        <f>IF(E23="DMG% Habilidade",E24,0)+IF(E26="DMG% Habilidade",E27,0)+IF(E52="DMG% Habilidade",E53,0)+IF(E54="DMG% Habilidade",E55,0)+E63+SUMIFS(Time!$C$32:$C$51,Time!$A$32:$A$51,E6,Time!$B$32:$B$51,"DMG% Habilidade",Time!$D$32:$D$51,"&lt;&gt;Sim")+SUMIFS(Time!$C$32:$C$51,Time!$A$32:$A$51,"Todos",Time!$B$32:$B$51,"DMG% Habilidade",Time!$D$32:$D$51,"&lt;&gt;Sim")</f>
        <v>0</v>
      </c>
      <c r="F116" s="22">
        <f>IF(F23="DMG% Habilidade",F24,0)+IF(F26="DMG% Habilidade",F27,0)+IF(F52="DMG% Habilidade",F53,0)+IF(F54="DMG% Habilidade",F55,0)+F63+SUMIFS(Time!$C$32:$C$51,Time!$A$32:$A$51,F6,Time!$B$32:$B$51,"DMG% Habilidade",Time!$D$32:$D$51,"&lt;&gt;Sim")+SUMIFS(Time!$C$32:$C$51,Time!$A$32:$A$51,"Todos",Time!$B$32:$B$51,"DMG% Habilidade",Time!$D$32:$D$51,"&lt;&gt;Sim")</f>
        <v>0</v>
      </c>
    </row>
    <row r="117" ht="15.75" customHeight="1">
      <c r="A117" s="4" t="s">
        <v>288</v>
      </c>
      <c r="B117" s="2"/>
      <c r="C117" s="22">
        <f>IF(C23="DMG% Supremo",C24,0)+IF(C26="DMG% Supremo",C27,0)+IF(C52="DMG% Supremo",C53,0)+IF(C54="DMG% Supremo",C55,0)+C64+SUMIFS(Time!$C$32:$C$51,Time!$A$32:$A$51,C6,Time!$B$32:$B$51,"DMG% Supremo",Time!$D$32:$D$51,"&lt;&gt;Sim")+SUMIFS(Time!$C$32:$C$51,Time!$A$32:$A$51,"Todos",Time!$B$32:$B$51,"DMG% Supremo",Time!$D$32:$D$51,"&lt;&gt;Sim")</f>
        <v>0</v>
      </c>
      <c r="D117" s="22">
        <f>IF(D23="DMG% Supremo",D24,0)+IF(D26="DMG% Supremo",D27,0)+IF(D52="DMG% Supremo",D53,0)+IF(D54="DMG% Supremo",D55,0)+D64+SUMIFS(Time!$C$32:$C$51,Time!$A$32:$A$51,D6,Time!$B$32:$B$51,"DMG% Supremo",Time!$D$32:$D$51,"&lt;&gt;Sim")+SUMIFS(Time!$C$32:$C$51,Time!$A$32:$A$51,"Todos",Time!$B$32:$B$51,"DMG% Supremo",Time!$D$32:$D$51,"&lt;&gt;Sim")</f>
        <v>0</v>
      </c>
      <c r="E117" s="22">
        <f>IF(E23="DMG% Supremo",E24,0)+IF(E26="DMG% Supremo",E27,0)+IF(E52="DMG% Supremo",E53,0)+IF(E54="DMG% Supremo",E55,0)+E64+SUMIFS(Time!$C$32:$C$51,Time!$A$32:$A$51,E6,Time!$B$32:$B$51,"DMG% Supremo",Time!$D$32:$D$51,"&lt;&gt;Sim")+SUMIFS(Time!$C$32:$C$51,Time!$A$32:$A$51,"Todos",Time!$B$32:$B$51,"DMG% Supremo",Time!$D$32:$D$51,"&lt;&gt;Sim")</f>
        <v>0</v>
      </c>
      <c r="F117" s="22">
        <f>IF(F23="DMG% Supremo",F24,0)+IF(F26="DMG% Supremo",F27,0)+IF(F52="DMG% Supremo",F53,0)+IF(F54="DMG% Supremo",F55,0)+F64+SUMIFS(Time!$C$32:$C$51,Time!$A$32:$A$51,F6,Time!$B$32:$B$51,"DMG% Supremo",Time!$D$32:$D$51,"&lt;&gt;Sim")+SUMIFS(Time!$C$32:$C$51,Time!$A$32:$A$51,"Todos",Time!$B$32:$B$51,"DMG% Supremo",Time!$D$32:$D$51,"&lt;&gt;Sim")</f>
        <v>0.2</v>
      </c>
    </row>
    <row r="118" ht="15.75" customHeight="1">
      <c r="A118" s="4" t="s">
        <v>212</v>
      </c>
      <c r="B118" s="2"/>
      <c r="C118" s="22">
        <f>IF(C23="HP%",C24,0)+IF(C26="HP%",C27,0)+IF(C52="HP%",C53,0)+IF(C54="HP%",C55,0)+(C80="HP%")*C83+(C81="HP%")*C84+(C82="HP%")*C85+SUMIFS(Time!$C$32:$C$51,Time!$A$32:$A$51,C6,Time!$B$32:$B$51,"HP%",Time!$D$32:$D$51,"&lt;&gt;Sim")+SUMIFS(Time!$C$32:$C$51,Time!$A$32:$A$51,"Todos",Time!$B$32:$B$51,"HP%",Time!$D$32:$D$51,"&lt;&gt;Sim")</f>
        <v>0</v>
      </c>
      <c r="D118" s="22">
        <f>IF(D23="HP%",D24,0)+IF(D26="HP%",D27,0)+IF(D52="HP%",D53,0)+IF(D54="HP%",D55,0)+(D80="HP%")*D83+(D81="HP%")*D84+(D82="HP%")*D85+SUMIFS(Time!$C$32:$C$51,Time!$A$32:$A$51,D6,Time!$B$32:$B$51,"HP%",Time!$D$32:$D$51,"&lt;&gt;Sim")+SUMIFS(Time!$C$32:$C$51,Time!$A$32:$A$51,"Todos",Time!$B$32:$B$51,"HP%",Time!$D$32:$D$51,"&lt;&gt;Sim")</f>
        <v>0.352</v>
      </c>
      <c r="E118" s="22">
        <f>IF(E23="HP%",E24,0)+IF(E26="HP%",E27,0)+IF(E52="HP%",E53,0)+IF(E54="HP%",E55,0)+(E80="HP%")*E83+(E81="HP%")*E84+(E82="HP%")*E85+SUMIFS(Time!$C$32:$C$51,Time!$A$32:$A$51,E6,Time!$B$32:$B$51,"HP%",Time!$D$32:$D$51,"&lt;&gt;Sim")+SUMIFS(Time!$C$32:$C$51,Time!$A$32:$A$51,"Todos",Time!$B$32:$B$51,"HP%",Time!$D$32:$D$51,"&lt;&gt;Sim")</f>
        <v>0</v>
      </c>
      <c r="F118" s="22">
        <f>IF(F23="HP%",F24,0)+IF(F26="HP%",F27,0)+IF(F52="HP%",F53,0)+IF(F54="HP%",F55,0)+(F80="HP%")*F83+(F81="HP%")*F84+(F82="HP%")*F85+SUMIFS(Time!$C$32:$C$51,Time!$A$32:$A$51,F6,Time!$B$32:$B$51,"HP%",Time!$D$32:$D$51,"&lt;&gt;Sim")+SUMIFS(Time!$C$32:$C$51,Time!$A$32:$A$51,"Todos",Time!$B$32:$B$51,"HP%",Time!$D$32:$D$51,"&lt;&gt;Sim")</f>
        <v>0</v>
      </c>
    </row>
    <row r="119" ht="15.75" customHeight="1">
      <c r="A119" s="4" t="s">
        <v>437</v>
      </c>
      <c r="B119" s="2"/>
      <c r="C119" s="21">
        <f>IF(C23="HP",C24,0)+IF(C26="HP",C27,0)+IF(C52="HP",C53,0)+IF(C54="HP",C55,0)+SUMIFS(Time!$C$32:$C$51,Time!$A$32:$A$51,C6,Time!$B$32:$B$51,"HP",Time!$D$32:$D$51,"&lt;&gt;Sim")+SUMIFS(Time!$C$32:$C$51,Time!$A$32:$A$51,"Todos",Time!$B$32:$B$51,"HP",Time!$D$32:$D$51,"&lt;&gt;Sim")</f>
        <v>0</v>
      </c>
      <c r="D119" s="21">
        <f>IF(D23="HP",D24,0)+IF(D26="HP",D27,0)+IF(D52="HP",D53,0)+IF(D54="HP",D55,0)+SUMIFS(Time!$C$32:$C$51,Time!$A$32:$A$51,D6,Time!$B$32:$B$51,"HP",Time!$D$32:$D$51,"&lt;&gt;Sim")+SUMIFS(Time!$C$32:$C$51,Time!$A$32:$A$51,"Todos",Time!$B$32:$B$51,"HP",Time!$D$32:$D$51,"&lt;&gt;Sim")</f>
        <v>0</v>
      </c>
      <c r="E119" s="21">
        <f>IF(E23="HP",E24,0)+IF(E26="HP",E27,0)+IF(E52="HP",E53,0)+IF(E54="HP",E55,0)+SUMIFS(Time!$C$32:$C$51,Time!$A$32:$A$51,E6,Time!$B$32:$B$51,"HP",Time!$D$32:$D$51,"&lt;&gt;Sim")+SUMIFS(Time!$C$32:$C$51,Time!$A$32:$A$51,"Todos",Time!$B$32:$B$51,"HP",Time!$D$32:$D$51,"&lt;&gt;Sim")</f>
        <v>0</v>
      </c>
      <c r="F119" s="21">
        <f>IF(F23="HP",F24,0)+IF(F26="HP",F27,0)+IF(F52="HP",F53,0)+IF(F54="HP",F55,0)+SUMIFS(Time!$C$32:$C$51,Time!$A$32:$A$51,F6,Time!$B$32:$B$51,"HP",Time!$D$32:$D$51,"&lt;&gt;Sim")+SUMIFS(Time!$C$32:$C$51,Time!$A$32:$A$51,"Todos",Time!$B$32:$B$51,"HP",Time!$D$32:$D$51,"&lt;&gt;Sim")</f>
        <v>0</v>
      </c>
    </row>
    <row r="120" ht="15.75" customHeight="1">
      <c r="A120" s="4" t="s">
        <v>214</v>
      </c>
      <c r="B120" s="2"/>
      <c r="C120" s="22">
        <f>IF(C23="DEF%",C24,0)+IF(C26="DEF%",C27,0)+IF(C52="DEF%",C53,0)+IF(C54="DEF%",C55,0)+(C80="DEF%")*C83+(C81="DEF%")*C84+(C82="DEF%")*C85+SUMIFS(Time!$C$32:$C$51,Time!$A$32:$A$51,C6,Time!$B$32:$B$51,"DEF%",Time!$D$32:$D$51,"&lt;&gt;Sim")+SUMIFS(Time!$C$32:$C$51,Time!$A$32:$A$51,"Todos",Time!$B$32:$B$51,"DEF%",Time!$D$32:$D$51,"&lt;&gt;Sim")</f>
        <v>0</v>
      </c>
      <c r="D120" s="22">
        <f>IF(D23="DEF%",D24,0)+IF(D26="DEF%",D27,0)+IF(D52="DEF%",D53,0)+IF(D54="DEF%",D55,0)+(D80="DEF%")*D83+(D81="DEF%")*D84+(D82="DEF%")*D85+SUMIFS(Time!$C$32:$C$51,Time!$A$32:$A$51,D6,Time!$B$32:$B$51,"DEF%",Time!$D$32:$D$51,"&lt;&gt;Sim")+SUMIFS(Time!$C$32:$C$51,Time!$A$32:$A$51,"Todos",Time!$B$32:$B$51,"DEF%",Time!$D$32:$D$51,"&lt;&gt;Sim")</f>
        <v>0</v>
      </c>
      <c r="E120" s="22">
        <f>IF(E23="DEF%",E24,0)+IF(E26="DEF%",E27,0)+IF(E52="DEF%",E53,0)+IF(E54="DEF%",E55,0)+(E80="DEF%")*E83+(E81="DEF%")*E84+(E82="DEF%")*E85+SUMIFS(Time!$C$32:$C$51,Time!$A$32:$A$51,E6,Time!$B$32:$B$51,"DEF%",Time!$D$32:$D$51,"&lt;&gt;Sim")+SUMIFS(Time!$C$32:$C$51,Time!$A$32:$A$51,"Todos",Time!$B$32:$B$51,"DEF%",Time!$D$32:$D$51,"&lt;&gt;Sim")</f>
        <v>0</v>
      </c>
      <c r="F120" s="22">
        <f>IF(F23="DEF%",F24,0)+IF(F26="DEF%",F27,0)+IF(F52="DEF%",F53,0)+IF(F54="DEF%",F55,0)+(F80="DEF%")*F83+(F81="DEF%")*F84+(F82="DEF%")*F85+SUMIFS(Time!$C$32:$C$51,Time!$A$32:$A$51,F6,Time!$B$32:$B$51,"DEF%",Time!$D$32:$D$51,"&lt;&gt;Sim")+SUMIFS(Time!$C$32:$C$51,Time!$A$32:$A$51,"Todos",Time!$B$32:$B$51,"DEF%",Time!$D$32:$D$51,"&lt;&gt;Sim")</f>
        <v>0</v>
      </c>
    </row>
    <row r="121" ht="15.75" customHeight="1">
      <c r="A121" s="4" t="s">
        <v>157</v>
      </c>
      <c r="B121" s="2"/>
      <c r="C121" s="21">
        <f>IF(C23="DEF",C24,0)+IF(C26="DEF",C27,0)+IF(C52="DEF",C53,0)+IF(C54="DEF",C55,0)+SUMIFS(Time!$C$32:$C$51,Time!$A$32:$A$51,C6,Time!$B$32:$B$51,"DEF",Time!$D$32:$D$51,"&lt;&gt;Sim")+SUMIFS(Time!$C$32:$C$51,Time!$A$32:$A$51,"Todos",Time!$B$32:$B$51,"DEF",Time!$D$32:$D$51,"&lt;&gt;Sim")</f>
        <v>0</v>
      </c>
      <c r="D121" s="21">
        <f>IF(D23="DEF",D24,0)+IF(D26="DEF",D27,0)+IF(D52="DEF",D53,0)+IF(D54="DEF",D55,0)+SUMIFS(Time!$C$32:$C$51,Time!$A$32:$A$51,D6,Time!$B$32:$B$51,"DEF",Time!$D$32:$D$51,"&lt;&gt;Sim")+SUMIFS(Time!$C$32:$C$51,Time!$A$32:$A$51,"Todos",Time!$B$32:$B$51,"DEF",Time!$D$32:$D$51,"&lt;&gt;Sim")</f>
        <v>0</v>
      </c>
      <c r="E121" s="21">
        <f>IF(E23="DEF",E24,0)+IF(E26="DEF",E27,0)+IF(E52="DEF",E53,0)+IF(E54="DEF",E55,0)+SUMIFS(Time!$C$32:$C$51,Time!$A$32:$A$51,E6,Time!$B$32:$B$51,"DEF",Time!$D$32:$D$51,"&lt;&gt;Sim")+SUMIFS(Time!$C$32:$C$51,Time!$A$32:$A$51,"Todos",Time!$B$32:$B$51,"DEF",Time!$D$32:$D$51,"&lt;&gt;Sim")</f>
        <v>0</v>
      </c>
      <c r="F121" s="21">
        <f>IF(F23="DEF",F24,0)+IF(F26="DEF",F27,0)+IF(F52="DEF",F53,0)+IF(F54="DEF",F55,0)+SUMIFS(Time!$C$32:$C$51,Time!$A$32:$A$51,F6,Time!$B$32:$B$51,"DEF",Time!$D$32:$D$51,"&lt;&gt;Sim")+SUMIFS(Time!$C$32:$C$51,Time!$A$32:$A$51,"Todos",Time!$B$32:$B$51,"DEF",Time!$D$32:$D$51,"&lt;&gt;Sim")</f>
        <v>0</v>
      </c>
    </row>
    <row r="122" ht="15.75" customHeight="1">
      <c r="A122" s="4" t="s">
        <v>438</v>
      </c>
      <c r="B122" s="2"/>
      <c r="C122" s="22">
        <f t="shared" ref="C122:F122" si="2">C65</f>
        <v>0</v>
      </c>
      <c r="D122" s="22">
        <f t="shared" si="2"/>
        <v>0</v>
      </c>
      <c r="E122" s="22">
        <f t="shared" si="2"/>
        <v>0</v>
      </c>
      <c r="F122" s="22">
        <f t="shared" si="2"/>
        <v>0</v>
      </c>
    </row>
    <row r="123" ht="15.75" customHeight="1">
      <c r="A123" s="4" t="s">
        <v>439</v>
      </c>
      <c r="B123" s="2"/>
      <c r="C123" s="22">
        <f t="shared" ref="C123:F123" si="3">C66</f>
        <v>0</v>
      </c>
      <c r="D123" s="22">
        <f t="shared" si="3"/>
        <v>0</v>
      </c>
      <c r="E123" s="22">
        <f t="shared" si="3"/>
        <v>0</v>
      </c>
      <c r="F123" s="22">
        <f t="shared" si="3"/>
        <v>0</v>
      </c>
    </row>
    <row r="124" ht="15.75" customHeight="1">
      <c r="A124" s="4" t="s">
        <v>440</v>
      </c>
      <c r="B124" s="2"/>
      <c r="C124" s="4">
        <f t="shared" ref="C124:F124" si="4">IF(C19="Pyro",2,IF(C19="Cryo",1.5,0))</f>
        <v>2</v>
      </c>
      <c r="D124" s="4">
        <f t="shared" si="4"/>
        <v>1.5</v>
      </c>
      <c r="E124" s="4">
        <f t="shared" si="4"/>
        <v>0</v>
      </c>
      <c r="F124" s="4">
        <f t="shared" si="4"/>
        <v>2</v>
      </c>
    </row>
    <row r="125" ht="15.75" customHeight="1">
      <c r="A125" s="4" t="s">
        <v>441</v>
      </c>
      <c r="B125" s="2"/>
      <c r="C125" s="4">
        <f t="shared" ref="C125:F125" si="5">IF(C19="Hydro",2,IF(C19="Pyro",1.5,0))</f>
        <v>1.5</v>
      </c>
      <c r="D125" s="4">
        <f t="shared" si="5"/>
        <v>0</v>
      </c>
      <c r="E125" s="4">
        <f t="shared" si="5"/>
        <v>0</v>
      </c>
      <c r="F125" s="4">
        <f t="shared" si="5"/>
        <v>1.5</v>
      </c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19" t="s">
        <v>442</v>
      </c>
      <c r="B127" s="20"/>
      <c r="C127" s="20"/>
      <c r="D127" s="20"/>
      <c r="E127" s="20"/>
      <c r="F127" s="20"/>
    </row>
    <row r="128" ht="15.75" customHeight="1">
      <c r="A128" s="4" t="s">
        <v>444</v>
      </c>
      <c r="B128" s="2"/>
      <c r="C128" s="22">
        <f t="shared" ref="C128:F128" si="6">C49+C67</f>
        <v>0</v>
      </c>
      <c r="D128" s="22">
        <f t="shared" si="6"/>
        <v>0</v>
      </c>
      <c r="E128" s="22">
        <f t="shared" si="6"/>
        <v>0</v>
      </c>
      <c r="F128" s="22">
        <f t="shared" si="6"/>
        <v>0.2</v>
      </c>
    </row>
    <row r="129" ht="15.75" customHeight="1">
      <c r="A129" s="4" t="s">
        <v>445</v>
      </c>
      <c r="B129" s="2"/>
      <c r="C129" s="22">
        <f t="shared" ref="C129:F129" si="7">C50+C68</f>
        <v>0</v>
      </c>
      <c r="D129" s="22">
        <f t="shared" si="7"/>
        <v>0</v>
      </c>
      <c r="E129" s="22">
        <f t="shared" si="7"/>
        <v>0</v>
      </c>
      <c r="F129" s="22">
        <f t="shared" si="7"/>
        <v>0</v>
      </c>
    </row>
    <row r="130" ht="15.75" customHeight="1">
      <c r="A130" s="4" t="s">
        <v>446</v>
      </c>
      <c r="B130" s="2"/>
      <c r="C130" s="21">
        <f t="shared" ref="C130:F130" si="8">C51+C69</f>
        <v>0</v>
      </c>
      <c r="D130" s="21">
        <f t="shared" si="8"/>
        <v>120</v>
      </c>
      <c r="E130" s="21">
        <f t="shared" si="8"/>
        <v>0</v>
      </c>
      <c r="F130" s="21">
        <f t="shared" si="8"/>
        <v>0</v>
      </c>
    </row>
    <row r="131" ht="15.75" customHeight="1">
      <c r="A131" s="4" t="s">
        <v>447</v>
      </c>
      <c r="B131" s="2"/>
      <c r="C131" s="21">
        <f t="shared" ref="C131:F131" si="9">C21+C25</f>
        <v>1100</v>
      </c>
      <c r="D131" s="21">
        <f t="shared" si="9"/>
        <v>528</v>
      </c>
      <c r="E131" s="21">
        <f t="shared" si="9"/>
        <v>865</v>
      </c>
      <c r="F131" s="21">
        <f t="shared" si="9"/>
        <v>865</v>
      </c>
    </row>
    <row r="132" ht="15.75" customHeight="1">
      <c r="A132" s="4" t="s">
        <v>448</v>
      </c>
      <c r="B132" s="2"/>
      <c r="C132" s="22">
        <f t="shared" ref="C132:F132" si="10">IF(COUNTIF($C$19:$F$19,"Pyro")&gt;=2,0.25,0)</f>
        <v>0.25</v>
      </c>
      <c r="D132" s="22">
        <f t="shared" si="10"/>
        <v>0.25</v>
      </c>
      <c r="E132" s="22">
        <f t="shared" si="10"/>
        <v>0.25</v>
      </c>
      <c r="F132" s="22">
        <f t="shared" si="10"/>
        <v>0.25</v>
      </c>
    </row>
    <row r="133" ht="15.75" customHeight="1">
      <c r="A133" s="4" t="s">
        <v>449</v>
      </c>
      <c r="B133" s="2"/>
      <c r="C133" s="22">
        <f>C128*'Perfis de buff'!$C$11+D128*'Perfis de buff'!$E$11+E128*'Perfis de buff'!$G$11+F128*'Perfis de buff'!$I$11+SUMPRODUCT(Time!$C$32:$C$51*(((Time!$A$32:$A$51=C6)+(Time!$A$32:$A$51="Todos"))&gt;0)*(Time!$B$32:$B$51="ATK%")*(Time!$D$32:$D$51="Sim")*ISNUMBER(MATCH(Time!$G$32:$G$51,'Perfis de buff'!$J$11:$N$11,0)))</f>
        <v>0.68</v>
      </c>
      <c r="D133" s="22">
        <f>C128*'Perfis de buff'!$C$11+D128*'Perfis de buff'!$E$11+E128*'Perfis de buff'!$G$11+F128*'Perfis de buff'!$I$11+SUMPRODUCT(Time!$C$32:$C$51*(((Time!$A$32:$A$51=D6)+(Time!$A$32:$A$51="Todos"))&gt;0)*(Time!$B$32:$B$51="ATK%")*(Time!$D$32:$D$51="Sim")*ISNUMBER(MATCH(Time!$G$32:$G$51,'Perfis de buff'!$J$11:$N$11,0)))</f>
        <v>0.2</v>
      </c>
      <c r="E133" s="22">
        <f>C128*'Perfis de buff'!$C$11+D128*'Perfis de buff'!$E$11+E128*'Perfis de buff'!$G$11+F128*'Perfis de buff'!$I$11+SUMPRODUCT(Time!$C$32:$C$51*(((Time!$A$32:$A$51=E6)+(Time!$A$32:$A$51="Todos"))&gt;0)*(Time!$B$32:$B$51="ATK%")*(Time!$D$32:$D$51="Sim")*ISNUMBER(MATCH(Time!$G$32:$G$51,'Perfis de buff'!$J$11:$N$11,0)))</f>
        <v>0.2</v>
      </c>
      <c r="F133" s="22">
        <f>C128*'Perfis de buff'!$C$11+D128*'Perfis de buff'!$E$11+E128*'Perfis de buff'!$G$11+F128*'Perfis de buff'!$I$11+SUMPRODUCT(Time!$C$32:$C$51*(((Time!$A$32:$A$51=F6)+(Time!$A$32:$A$51="Todos"))&gt;0)*(Time!$B$32:$B$51="ATK%")*(Time!$D$32:$D$51="Sim")*ISNUMBER(MATCH(Time!$G$32:$G$51,'Perfis de buff'!$J$11:$N$11,0)))</f>
        <v>0.2</v>
      </c>
    </row>
    <row r="134" ht="15.75" customHeight="1">
      <c r="A134" s="4" t="s">
        <v>450</v>
      </c>
      <c r="B134" s="2"/>
      <c r="C134" s="22">
        <f>C128*'Perfis de buff'!$C$12+D128*'Perfis de buff'!$E$12+E128*'Perfis de buff'!$G$12+F128*'Perfis de buff'!$I$12+SUMPRODUCT(Time!$C$32:$C$51*(((Time!$A$32:$A$51=C6)+(Time!$A$32:$A$51="Todos"))&gt;0)*(Time!$B$32:$B$51="ATK%")*(Time!$D$32:$D$51="Sim")*ISNUMBER(MATCH(Time!$G$32:$G$51,'Perfis de buff'!$J$12:$N$12,0)))</f>
        <v>0</v>
      </c>
      <c r="D134" s="22">
        <f>C128*'Perfis de buff'!$C$12+D128*'Perfis de buff'!$E$12+E128*'Perfis de buff'!$G$12+F128*'Perfis de buff'!$I$12+SUMPRODUCT(Time!$C$32:$C$51*(((Time!$A$32:$A$51=D6)+(Time!$A$32:$A$51="Todos"))&gt;0)*(Time!$B$32:$B$51="ATK%")*(Time!$D$32:$D$51="Sim")*ISNUMBER(MATCH(Time!$G$32:$G$51,'Perfis de buff'!$J$12:$N$12,0)))</f>
        <v>0</v>
      </c>
      <c r="E134" s="22">
        <f>C128*'Perfis de buff'!$C$12+D128*'Perfis de buff'!$E$12+E128*'Perfis de buff'!$G$12+F128*'Perfis de buff'!$I$12+SUMPRODUCT(Time!$C$32:$C$51*(((Time!$A$32:$A$51=E6)+(Time!$A$32:$A$51="Todos"))&gt;0)*(Time!$B$32:$B$51="ATK%")*(Time!$D$32:$D$51="Sim")*ISNUMBER(MATCH(Time!$G$32:$G$51,'Perfis de buff'!$J$12:$N$12,0)))</f>
        <v>0</v>
      </c>
      <c r="F134" s="22">
        <f>C128*'Perfis de buff'!$C$12+D128*'Perfis de buff'!$E$12+E128*'Perfis de buff'!$G$12+F128*'Perfis de buff'!$I$12+SUMPRODUCT(Time!$C$32:$C$51*(((Time!$A$32:$A$51=F6)+(Time!$A$32:$A$51="Todos"))&gt;0)*(Time!$B$32:$B$51="ATK%")*(Time!$D$32:$D$51="Sim")*ISNUMBER(MATCH(Time!$G$32:$G$51,'Perfis de buff'!$J$12:$N$12,0)))</f>
        <v>0</v>
      </c>
    </row>
    <row r="135" ht="15.75" customHeight="1">
      <c r="A135" s="4" t="s">
        <v>451</v>
      </c>
      <c r="B135" s="2"/>
      <c r="C135" s="22">
        <f>C128*'Perfis de buff'!$C$13+D128*'Perfis de buff'!$E$13+E128*'Perfis de buff'!$G$13+F128*'Perfis de buff'!$I$13+SUMPRODUCT(Time!$C$32:$C$51*(((Time!$A$32:$A$51=C6)+(Time!$A$32:$A$51="Todos"))&gt;0)*(Time!$B$32:$B$51="ATK%")*(Time!$D$32:$D$51="Sim")*ISNUMBER(MATCH(Time!$G$32:$G$51,'Perfis de buff'!$J$13:$N$13,0)))</f>
        <v>0.68</v>
      </c>
      <c r="D135" s="22">
        <f>C128*'Perfis de buff'!$C$13+D128*'Perfis de buff'!$E$13+E128*'Perfis de buff'!$G$13+F128*'Perfis de buff'!$I$13+SUMPRODUCT(Time!$C$32:$C$51*(((Time!$A$32:$A$51=D6)+(Time!$A$32:$A$51="Todos"))&gt;0)*(Time!$B$32:$B$51="ATK%")*(Time!$D$32:$D$51="Sim")*ISNUMBER(MATCH(Time!$G$32:$G$51,'Perfis de buff'!$J$13:$N$13,0)))</f>
        <v>0.2</v>
      </c>
      <c r="E135" s="22">
        <f>C128*'Perfis de buff'!$C$13+D128*'Perfis de buff'!$E$13+E128*'Perfis de buff'!$G$13+F128*'Perfis de buff'!$I$13+SUMPRODUCT(Time!$C$32:$C$51*(((Time!$A$32:$A$51=E6)+(Time!$A$32:$A$51="Todos"))&gt;0)*(Time!$B$32:$B$51="ATK%")*(Time!$D$32:$D$51="Sim")*ISNUMBER(MATCH(Time!$G$32:$G$51,'Perfis de buff'!$J$13:$N$13,0)))</f>
        <v>0.2</v>
      </c>
      <c r="F135" s="22">
        <f>C128*'Perfis de buff'!$C$13+D128*'Perfis de buff'!$E$13+E128*'Perfis de buff'!$G$13+F128*'Perfis de buff'!$I$13+SUMPRODUCT(Time!$C$32:$C$51*(((Time!$A$32:$A$51=F6)+(Time!$A$32:$A$51="Todos"))&gt;0)*(Time!$B$32:$B$51="ATK%")*(Time!$D$32:$D$51="Sim")*ISNUMBER(MATCH(Time!$G$32:$G$51,'Perfis de buff'!$J$13:$N$13,0)))</f>
        <v>0.2</v>
      </c>
    </row>
    <row r="136" ht="15.75" customHeight="1">
      <c r="A136" s="4" t="s">
        <v>452</v>
      </c>
      <c r="B136" s="2"/>
      <c r="C136" s="22">
        <f>C128*'Perfis de buff'!$C$14+D128*'Perfis de buff'!$E$14+E128*'Perfis de buff'!$G$14+F128*'Perfis de buff'!$I$14+SUMPRODUCT(Time!$C$32:$C$51*(((Time!$A$32:$A$51=C6)+(Time!$A$32:$A$51="Todos"))&gt;0)*(Time!$B$32:$B$51="ATK%")*(Time!$D$32:$D$51="Sim")*ISNUMBER(MATCH(Time!$G$32:$G$51,'Perfis de buff'!$J$14:$N$14,0)))</f>
        <v>0</v>
      </c>
      <c r="D136" s="22">
        <f>C128*'Perfis de buff'!$C$14+D128*'Perfis de buff'!$E$14+E128*'Perfis de buff'!$G$14+F128*'Perfis de buff'!$I$14+SUMPRODUCT(Time!$C$32:$C$51*(((Time!$A$32:$A$51=D6)+(Time!$A$32:$A$51="Todos"))&gt;0)*(Time!$B$32:$B$51="ATK%")*(Time!$D$32:$D$51="Sim")*ISNUMBER(MATCH(Time!$G$32:$G$51,'Perfis de buff'!$J$14:$N$14,0)))</f>
        <v>0</v>
      </c>
      <c r="E136" s="22">
        <f>C128*'Perfis de buff'!$C$14+D128*'Perfis de buff'!$E$14+E128*'Perfis de buff'!$G$14+F128*'Perfis de buff'!$I$14+SUMPRODUCT(Time!$C$32:$C$51*(((Time!$A$32:$A$51=E6)+(Time!$A$32:$A$51="Todos"))&gt;0)*(Time!$B$32:$B$51="ATK%")*(Time!$D$32:$D$51="Sim")*ISNUMBER(MATCH(Time!$G$32:$G$51,'Perfis de buff'!$J$14:$N$14,0)))</f>
        <v>0</v>
      </c>
      <c r="F136" s="22">
        <f>C128*'Perfis de buff'!$C$14+D128*'Perfis de buff'!$E$14+E128*'Perfis de buff'!$G$14+F128*'Perfis de buff'!$I$14+SUMPRODUCT(Time!$C$32:$C$51*(((Time!$A$32:$A$51=F6)+(Time!$A$32:$A$51="Todos"))&gt;0)*(Time!$B$32:$B$51="ATK%")*(Time!$D$32:$D$51="Sim")*ISNUMBER(MATCH(Time!$G$32:$G$51,'Perfis de buff'!$J$14:$N$14,0)))</f>
        <v>0</v>
      </c>
    </row>
    <row r="137" ht="15.75" customHeight="1">
      <c r="A137" s="4" t="s">
        <v>454</v>
      </c>
      <c r="B137" s="2"/>
      <c r="C137" s="22">
        <f>C128*'Perfis de buff'!$C$15+D128*'Perfis de buff'!$E$15+E128*'Perfis de buff'!$G$15+F128*'Perfis de buff'!$I$15+SUMPRODUCT(Time!$C$32:$C$51*(((Time!$A$32:$A$51=C6)+(Time!$A$32:$A$51="Todos"))&gt;0)*(Time!$B$32:$B$51="ATK%")*(Time!$D$32:$D$51="Sim")*ISNUMBER(MATCH(Time!$G$32:$G$51,'Perfis de buff'!$J$15:$N$15,0)))</f>
        <v>0</v>
      </c>
      <c r="D137" s="22">
        <f>C128*'Perfis de buff'!$C$15+D128*'Perfis de buff'!$E$15+E128*'Perfis de buff'!$G$15+F128*'Perfis de buff'!$I$15+SUMPRODUCT(Time!$C$32:$C$51*(((Time!$A$32:$A$51=D6)+(Time!$A$32:$A$51="Todos"))&gt;0)*(Time!$B$32:$B$51="ATK%")*(Time!$D$32:$D$51="Sim")*ISNUMBER(MATCH(Time!$G$32:$G$51,'Perfis de buff'!$J$15:$N$15,0)))</f>
        <v>0</v>
      </c>
      <c r="E137" s="22">
        <f>C128*'Perfis de buff'!$C$15+D128*'Perfis de buff'!$E$15+E128*'Perfis de buff'!$G$15+F128*'Perfis de buff'!$I$15+SUMPRODUCT(Time!$C$32:$C$51*(((Time!$A$32:$A$51=E6)+(Time!$A$32:$A$51="Todos"))&gt;0)*(Time!$B$32:$B$51="ATK%")*(Time!$D$32:$D$51="Sim")*ISNUMBER(MATCH(Time!$G$32:$G$51,'Perfis de buff'!$J$15:$N$15,0)))</f>
        <v>0</v>
      </c>
      <c r="F137" s="22">
        <f>C128*'Perfis de buff'!$C$15+D128*'Perfis de buff'!$E$15+E128*'Perfis de buff'!$G$15+F128*'Perfis de buff'!$I$15+SUMPRODUCT(Time!$C$32:$C$51*(((Time!$A$32:$A$51=F6)+(Time!$A$32:$A$51="Todos"))&gt;0)*(Time!$B$32:$B$51="ATK%")*(Time!$D$32:$D$51="Sim")*ISNUMBER(MATCH(Time!$G$32:$G$51,'Perfis de buff'!$J$15:$N$15,0)))</f>
        <v>0</v>
      </c>
    </row>
    <row r="138" ht="15.75" customHeight="1">
      <c r="A138" s="4" t="s">
        <v>455</v>
      </c>
      <c r="B138" s="2"/>
      <c r="C138" s="22">
        <f>1+C110+Time!$B$27*C99</f>
        <v>1.11</v>
      </c>
      <c r="D138" s="22">
        <f>1+D110+Time!$B$27*D99</f>
        <v>1.611351351</v>
      </c>
      <c r="E138" s="22">
        <f>1+E110+Time!$B$27*E99</f>
        <v>1.661</v>
      </c>
      <c r="F138" s="22">
        <f>1+F110+Time!$B$27*F99</f>
        <v>1.895</v>
      </c>
    </row>
    <row r="139" ht="15.75" customHeight="1">
      <c r="A139" s="4" t="s">
        <v>456</v>
      </c>
      <c r="B139" s="2"/>
      <c r="C139" s="21">
        <f>C131*(1+C107+Time!$B$27*C97+C133+C132+MIN(MAX(C138-1,0)*C47,C48))+C86+C108+Time!$B$27*C100</f>
        <v>3778.9</v>
      </c>
      <c r="D139" s="21">
        <f>D131*(1+D107+Time!$B$27*D97+D133+D132+MIN(MAX(D138-1,0)*D47,D48))+D86+D108+Time!$B$27*D100</f>
        <v>1229.384346</v>
      </c>
      <c r="E139" s="21">
        <f>E131*(1+E107+Time!$B$27*E97+E133+E132+MIN(MAX(E138-1,0)*E47,E48))+E86+E108+Time!$B$27*E100</f>
        <v>2861.7592</v>
      </c>
      <c r="F139" s="21">
        <f>F131*(1+F107+Time!$B$27*F97+F133+F132+MIN(MAX(F138-1,0)*F47,F48))+F86+F108+Time!$B$27*F100</f>
        <v>1687.885</v>
      </c>
    </row>
    <row r="140" ht="15.75" customHeight="1">
      <c r="A140" s="4" t="s">
        <v>457</v>
      </c>
      <c r="B140" s="2"/>
      <c r="C140" s="21">
        <f t="shared" ref="C140:F140" si="11">C35*C131+IF(C36=0,0,MIN(C36*C139,IF(C37&gt;0,C37,1E+99)))</f>
        <v>0</v>
      </c>
      <c r="D140" s="21">
        <f t="shared" si="11"/>
        <v>0</v>
      </c>
      <c r="E140" s="21">
        <f t="shared" si="11"/>
        <v>810</v>
      </c>
      <c r="F140" s="21">
        <f t="shared" si="11"/>
        <v>1202.35</v>
      </c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19" t="s">
        <v>458</v>
      </c>
      <c r="B142" s="20"/>
      <c r="C142" s="20"/>
      <c r="D142" s="20"/>
      <c r="E142" s="20"/>
      <c r="F142" s="20"/>
    </row>
    <row r="143" ht="15.75" customHeight="1">
      <c r="A143" s="4" t="s">
        <v>459</v>
      </c>
      <c r="B143" s="2"/>
      <c r="C143" s="22">
        <f>C129*'Perfis de buff'!$C$11+D129*'Perfis de buff'!$E$11+E129*'Perfis de buff'!$G$11+F129*'Perfis de buff'!$I$11+SUMPRODUCT(Time!$C$32:$C$51*(((Time!$A$32:$A$51=C6)+(Time!$A$32:$A$51="Todos"))&gt;0)*(Time!$B$32:$B$51="DMG%")*(Time!$D$32:$D$51="Sim")*ISNUMBER(MATCH(Time!$G$32:$G$51,'Perfis de buff'!$J$11:$N$11,0)))</f>
        <v>0.4</v>
      </c>
      <c r="D143" s="22">
        <f>C129*'Perfis de buff'!$C$11+D129*'Perfis de buff'!$E$11+E129*'Perfis de buff'!$G$11+F129*'Perfis de buff'!$I$11+SUMPRODUCT(Time!$C$32:$C$51*(((Time!$A$32:$A$51=D6)+(Time!$A$32:$A$51="Todos"))&gt;0)*(Time!$B$32:$B$51="DMG%")*(Time!$D$32:$D$51="Sim")*ISNUMBER(MATCH(Time!$G$32:$G$51,'Perfis de buff'!$J$11:$N$11,0)))</f>
        <v>0</v>
      </c>
      <c r="E143" s="22">
        <f>C129*'Perfis de buff'!$C$11+D129*'Perfis de buff'!$E$11+E129*'Perfis de buff'!$G$11+F129*'Perfis de buff'!$I$11+SUMPRODUCT(Time!$C$32:$C$51*(((Time!$A$32:$A$51=E6)+(Time!$A$32:$A$51="Todos"))&gt;0)*(Time!$B$32:$B$51="DMG%")*(Time!$D$32:$D$51="Sim")*ISNUMBER(MATCH(Time!$G$32:$G$51,'Perfis de buff'!$J$11:$N$11,0)))</f>
        <v>0.4</v>
      </c>
      <c r="F143" s="22">
        <f>C129*'Perfis de buff'!$C$11+D129*'Perfis de buff'!$E$11+E129*'Perfis de buff'!$G$11+F129*'Perfis de buff'!$I$11+SUMPRODUCT(Time!$C$32:$C$51*(((Time!$A$32:$A$51=F6)+(Time!$A$32:$A$51="Todos"))&gt;0)*(Time!$B$32:$B$51="DMG%")*(Time!$D$32:$D$51="Sim")*ISNUMBER(MATCH(Time!$G$32:$G$51,'Perfis de buff'!$J$11:$N$11,0)))</f>
        <v>0.4</v>
      </c>
    </row>
    <row r="144" ht="15.75" customHeight="1">
      <c r="A144" s="4" t="s">
        <v>460</v>
      </c>
      <c r="B144" s="2"/>
      <c r="C144" s="22">
        <f>C129*'Perfis de buff'!$C$12+D129*'Perfis de buff'!$E$12+E129*'Perfis de buff'!$G$12+F129*'Perfis de buff'!$I$12+SUMPRODUCT(Time!$C$32:$C$51*(((Time!$A$32:$A$51=C6)+(Time!$A$32:$A$51="Todos"))&gt;0)*(Time!$B$32:$B$51="DMG%")*(Time!$D$32:$D$51="Sim")*ISNUMBER(MATCH(Time!$G$32:$G$51,'Perfis de buff'!$J$12:$N$12,0)))</f>
        <v>0</v>
      </c>
      <c r="D144" s="22">
        <f>C129*'Perfis de buff'!$C$12+D129*'Perfis de buff'!$E$12+E129*'Perfis de buff'!$G$12+F129*'Perfis de buff'!$I$12+SUMPRODUCT(Time!$C$32:$C$51*(((Time!$A$32:$A$51=D6)+(Time!$A$32:$A$51="Todos"))&gt;0)*(Time!$B$32:$B$51="DMG%")*(Time!$D$32:$D$51="Sim")*ISNUMBER(MATCH(Time!$G$32:$G$51,'Perfis de buff'!$J$12:$N$12,0)))</f>
        <v>0</v>
      </c>
      <c r="E144" s="22">
        <f>C129*'Perfis de buff'!$C$12+D129*'Perfis de buff'!$E$12+E129*'Perfis de buff'!$G$12+F129*'Perfis de buff'!$I$12+SUMPRODUCT(Time!$C$32:$C$51*(((Time!$A$32:$A$51=E6)+(Time!$A$32:$A$51="Todos"))&gt;0)*(Time!$B$32:$B$51="DMG%")*(Time!$D$32:$D$51="Sim")*ISNUMBER(MATCH(Time!$G$32:$G$51,'Perfis de buff'!$J$12:$N$12,0)))</f>
        <v>0</v>
      </c>
      <c r="F144" s="22">
        <f>C129*'Perfis de buff'!$C$12+D129*'Perfis de buff'!$E$12+E129*'Perfis de buff'!$G$12+F129*'Perfis de buff'!$I$12+SUMPRODUCT(Time!$C$32:$C$51*(((Time!$A$32:$A$51=F6)+(Time!$A$32:$A$51="Todos"))&gt;0)*(Time!$B$32:$B$51="DMG%")*(Time!$D$32:$D$51="Sim")*ISNUMBER(MATCH(Time!$G$32:$G$51,'Perfis de buff'!$J$12:$N$12,0)))</f>
        <v>0</v>
      </c>
    </row>
    <row r="145" ht="15.75" customHeight="1">
      <c r="A145" s="4" t="s">
        <v>462</v>
      </c>
      <c r="B145" s="2"/>
      <c r="C145" s="22">
        <f>C129*'Perfis de buff'!$C$13+D129*'Perfis de buff'!$E$13+E129*'Perfis de buff'!$G$13+F129*'Perfis de buff'!$I$13+SUMPRODUCT(Time!$C$32:$C$51*(((Time!$A$32:$A$51=C6)+(Time!$A$32:$A$51="Todos"))&gt;0)*(Time!$B$32:$B$51="DMG%")*(Time!$D$32:$D$51="Sim")*ISNUMBER(MATCH(Time!$G$32:$G$51,'Perfis de buff'!$J$13:$N$13,0)))</f>
        <v>0.4</v>
      </c>
      <c r="D145" s="22">
        <f>C129*'Perfis de buff'!$C$13+D129*'Perfis de buff'!$E$13+E129*'Perfis de buff'!$G$13+F129*'Perfis de buff'!$I$13+SUMPRODUCT(Time!$C$32:$C$51*(((Time!$A$32:$A$51=D6)+(Time!$A$32:$A$51="Todos"))&gt;0)*(Time!$B$32:$B$51="DMG%")*(Time!$D$32:$D$51="Sim")*ISNUMBER(MATCH(Time!$G$32:$G$51,'Perfis de buff'!$J$13:$N$13,0)))</f>
        <v>0</v>
      </c>
      <c r="E145" s="22">
        <f>C129*'Perfis de buff'!$C$13+D129*'Perfis de buff'!$E$13+E129*'Perfis de buff'!$G$13+F129*'Perfis de buff'!$I$13+SUMPRODUCT(Time!$C$32:$C$51*(((Time!$A$32:$A$51=E6)+(Time!$A$32:$A$51="Todos"))&gt;0)*(Time!$B$32:$B$51="DMG%")*(Time!$D$32:$D$51="Sim")*ISNUMBER(MATCH(Time!$G$32:$G$51,'Perfis de buff'!$J$13:$N$13,0)))</f>
        <v>0.4</v>
      </c>
      <c r="F145" s="22">
        <f>C129*'Perfis de buff'!$C$13+D129*'Perfis de buff'!$E$13+E129*'Perfis de buff'!$G$13+F129*'Perfis de buff'!$I$13+SUMPRODUCT(Time!$C$32:$C$51*(((Time!$A$32:$A$51=F6)+(Time!$A$32:$A$51="Todos"))&gt;0)*(Time!$B$32:$B$51="DMG%")*(Time!$D$32:$D$51="Sim")*ISNUMBER(MATCH(Time!$G$32:$G$51,'Perfis de buff'!$J$13:$N$13,0)))</f>
        <v>0.4</v>
      </c>
    </row>
    <row r="146" ht="15.75" customHeight="1">
      <c r="A146" s="4" t="s">
        <v>463</v>
      </c>
      <c r="B146" s="2"/>
      <c r="C146" s="22">
        <f>C129*'Perfis de buff'!$C$14+D129*'Perfis de buff'!$E$14+E129*'Perfis de buff'!$G$14+F129*'Perfis de buff'!$I$14+SUMPRODUCT(Time!$C$32:$C$51*(((Time!$A$32:$A$51=C6)+(Time!$A$32:$A$51="Todos"))&gt;0)*(Time!$B$32:$B$51="DMG%")*(Time!$D$32:$D$51="Sim")*ISNUMBER(MATCH(Time!$G$32:$G$51,'Perfis de buff'!$J$14:$N$14,0)))</f>
        <v>0.4</v>
      </c>
      <c r="D146" s="22">
        <f>C129*'Perfis de buff'!$C$14+D129*'Perfis de buff'!$E$14+E129*'Perfis de buff'!$G$14+F129*'Perfis de buff'!$I$14+SUMPRODUCT(Time!$C$32:$C$51*(((Time!$A$32:$A$51=D6)+(Time!$A$32:$A$51="Todos"))&gt;0)*(Time!$B$32:$B$51="DMG%")*(Time!$D$32:$D$51="Sim")*ISNUMBER(MATCH(Time!$G$32:$G$51,'Perfis de buff'!$J$14:$N$14,0)))</f>
        <v>0</v>
      </c>
      <c r="E146" s="22">
        <f>C129*'Perfis de buff'!$C$14+D129*'Perfis de buff'!$E$14+E129*'Perfis de buff'!$G$14+F129*'Perfis de buff'!$I$14+SUMPRODUCT(Time!$C$32:$C$51*(((Time!$A$32:$A$51=E6)+(Time!$A$32:$A$51="Todos"))&gt;0)*(Time!$B$32:$B$51="DMG%")*(Time!$D$32:$D$51="Sim")*ISNUMBER(MATCH(Time!$G$32:$G$51,'Perfis de buff'!$J$14:$N$14,0)))</f>
        <v>0.4</v>
      </c>
      <c r="F146" s="22">
        <f>C129*'Perfis de buff'!$C$14+D129*'Perfis de buff'!$E$14+E129*'Perfis de buff'!$G$14+F129*'Perfis de buff'!$I$14+SUMPRODUCT(Time!$C$32:$C$51*(((Time!$A$32:$A$51=F6)+(Time!$A$32:$A$51="Todos"))&gt;0)*(Time!$B$32:$B$51="DMG%")*(Time!$D$32:$D$51="Sim")*ISNUMBER(MATCH(Time!$G$32:$G$51,'Perfis de buff'!$J$14:$N$14,0)))</f>
        <v>0.4</v>
      </c>
    </row>
    <row r="147" ht="15.75" customHeight="1">
      <c r="A147" s="4" t="s">
        <v>464</v>
      </c>
      <c r="B147" s="2"/>
      <c r="C147" s="22">
        <f>C129*'Perfis de buff'!$C$15+D129*'Perfis de buff'!$E$15+E129*'Perfis de buff'!$G$15+F129*'Perfis de buff'!$I$15+SUMPRODUCT(Time!$C$32:$C$51*(((Time!$A$32:$A$51=C6)+(Time!$A$32:$A$51="Todos"))&gt;0)*(Time!$B$32:$B$51="DMG%")*(Time!$D$32:$D$51="Sim")*ISNUMBER(MATCH(Time!$G$32:$G$51,'Perfis de buff'!$J$15:$N$15,0)))</f>
        <v>0</v>
      </c>
      <c r="D147" s="22">
        <f>C129*'Perfis de buff'!$C$15+D129*'Perfis de buff'!$E$15+E129*'Perfis de buff'!$G$15+F129*'Perfis de buff'!$I$15+SUMPRODUCT(Time!$C$32:$C$51*(((Time!$A$32:$A$51=D6)+(Time!$A$32:$A$51="Todos"))&gt;0)*(Time!$B$32:$B$51="DMG%")*(Time!$D$32:$D$51="Sim")*ISNUMBER(MATCH(Time!$G$32:$G$51,'Perfis de buff'!$J$15:$N$15,0)))</f>
        <v>0</v>
      </c>
      <c r="E147" s="22">
        <f>C129*'Perfis de buff'!$C$15+D129*'Perfis de buff'!$E$15+E129*'Perfis de buff'!$G$15+F129*'Perfis de buff'!$I$15+SUMPRODUCT(Time!$C$32:$C$51*(((Time!$A$32:$A$51=E6)+(Time!$A$32:$A$51="Todos"))&gt;0)*(Time!$B$32:$B$51="DMG%")*(Time!$D$32:$D$51="Sim")*ISNUMBER(MATCH(Time!$G$32:$G$51,'Perfis de buff'!$J$15:$N$15,0)))</f>
        <v>0</v>
      </c>
      <c r="F147" s="22">
        <f>C129*'Perfis de buff'!$C$15+D129*'Perfis de buff'!$E$15+E129*'Perfis de buff'!$G$15+F129*'Perfis de buff'!$I$15+SUMPRODUCT(Time!$C$32:$C$51*(((Time!$A$32:$A$51=F6)+(Time!$A$32:$A$51="Todos"))&gt;0)*(Time!$B$32:$B$51="DMG%")*(Time!$D$32:$D$51="Sim")*ISNUMBER(MATCH(Time!$G$32:$G$51,'Perfis de buff'!$J$15:$N$15,0)))</f>
        <v>0</v>
      </c>
    </row>
    <row r="148" ht="15.75" customHeight="1">
      <c r="A148" s="4" t="s">
        <v>465</v>
      </c>
      <c r="B148" s="2"/>
      <c r="C148" s="22">
        <f>SUMPRODUCT(Time!$C$32:$C$51*(((Time!$A$32:$A$51=C6)+(Time!$A$32:$A$51="Todos"))&gt;0)*(Time!$B$32:$B$51="DMG% Normal")*(Time!$D$32:$D$51="Sim")*ISNUMBER(MATCH(Time!$G$32:$G$51,'Perfis de buff'!$J$11:$N$11,0)))</f>
        <v>0</v>
      </c>
      <c r="D148" s="22">
        <f>SUMPRODUCT(Time!$C$32:$C$51*(((Time!$A$32:$A$51=D6)+(Time!$A$32:$A$51="Todos"))&gt;0)*(Time!$B$32:$B$51="DMG% Normal")*(Time!$D$32:$D$51="Sim")*ISNUMBER(MATCH(Time!$G$32:$G$51,'Perfis de buff'!$J$11:$N$11,0)))</f>
        <v>0</v>
      </c>
      <c r="E148" s="22">
        <f>SUMPRODUCT(Time!$C$32:$C$51*(((Time!$A$32:$A$51=E6)+(Time!$A$32:$A$51="Todos"))&gt;0)*(Time!$B$32:$B$51="DMG% Normal")*(Time!$D$32:$D$51="Sim")*ISNUMBER(MATCH(Time!$G$32:$G$51,'Perfis de buff'!$J$11:$N$11,0)))</f>
        <v>0</v>
      </c>
      <c r="F148" s="22">
        <f>SUMPRODUCT(Time!$C$32:$C$51*(((Time!$A$32:$A$51=F6)+(Time!$A$32:$A$51="Todos"))&gt;0)*(Time!$B$32:$B$51="DMG% Normal")*(Time!$D$32:$D$51="Sim")*ISNUMBER(MATCH(Time!$G$32:$G$51,'Perfis de buff'!$J$11:$N$11,0)))</f>
        <v>0</v>
      </c>
    </row>
    <row r="149" ht="15.75" customHeight="1">
      <c r="A149" s="4" t="s">
        <v>467</v>
      </c>
      <c r="B149" s="2"/>
      <c r="C149" s="22">
        <f>SUMPRODUCT(Time!$C$32:$C$51*(((Time!$A$32:$A$51=C6)+(Time!$A$32:$A$51="Todos"))&gt;0)*(Time!$B$32:$B$51="DMG% Normal")*(Time!$D$32:$D$51="Sim")*ISNUMBER(MATCH(Time!$G$32:$G$51,'Perfis de buff'!$J$12:$N$12,0)))</f>
        <v>0</v>
      </c>
      <c r="D149" s="22">
        <f>SUMPRODUCT(Time!$C$32:$C$51*(((Time!$A$32:$A$51=D6)+(Time!$A$32:$A$51="Todos"))&gt;0)*(Time!$B$32:$B$51="DMG% Normal")*(Time!$D$32:$D$51="Sim")*ISNUMBER(MATCH(Time!$G$32:$G$51,'Perfis de buff'!$J$12:$N$12,0)))</f>
        <v>0</v>
      </c>
      <c r="E149" s="22">
        <f>SUMPRODUCT(Time!$C$32:$C$51*(((Time!$A$32:$A$51=E6)+(Time!$A$32:$A$51="Todos"))&gt;0)*(Time!$B$32:$B$51="DMG% Normal")*(Time!$D$32:$D$51="Sim")*ISNUMBER(MATCH(Time!$G$32:$G$51,'Perfis de buff'!$J$12:$N$12,0)))</f>
        <v>0</v>
      </c>
      <c r="F149" s="22">
        <f>SUMPRODUCT(Time!$C$32:$C$51*(((Time!$A$32:$A$51=F6)+(Time!$A$32:$A$51="Todos"))&gt;0)*(Time!$B$32:$B$51="DMG% Normal")*(Time!$D$32:$D$51="Sim")*ISNUMBER(MATCH(Time!$G$32:$G$51,'Perfis de buff'!$J$12:$N$12,0)))</f>
        <v>0</v>
      </c>
    </row>
    <row r="150" ht="15.75" customHeight="1">
      <c r="A150" s="4" t="s">
        <v>468</v>
      </c>
      <c r="B150" s="2"/>
      <c r="C150" s="22">
        <f>SUMPRODUCT(Time!$C$32:$C$51*(((Time!$A$32:$A$51=C6)+(Time!$A$32:$A$51="Todos"))&gt;0)*(Time!$B$32:$B$51="DMG% Normal")*(Time!$D$32:$D$51="Sim")*ISNUMBER(MATCH(Time!$G$32:$G$51,'Perfis de buff'!$J$13:$N$13,0)))</f>
        <v>0</v>
      </c>
      <c r="D150" s="22">
        <f>SUMPRODUCT(Time!$C$32:$C$51*(((Time!$A$32:$A$51=D6)+(Time!$A$32:$A$51="Todos"))&gt;0)*(Time!$B$32:$B$51="DMG% Normal")*(Time!$D$32:$D$51="Sim")*ISNUMBER(MATCH(Time!$G$32:$G$51,'Perfis de buff'!$J$13:$N$13,0)))</f>
        <v>0</v>
      </c>
      <c r="E150" s="22">
        <f>SUMPRODUCT(Time!$C$32:$C$51*(((Time!$A$32:$A$51=E6)+(Time!$A$32:$A$51="Todos"))&gt;0)*(Time!$B$32:$B$51="DMG% Normal")*(Time!$D$32:$D$51="Sim")*ISNUMBER(MATCH(Time!$G$32:$G$51,'Perfis de buff'!$J$13:$N$13,0)))</f>
        <v>0</v>
      </c>
      <c r="F150" s="22">
        <f>SUMPRODUCT(Time!$C$32:$C$51*(((Time!$A$32:$A$51=F6)+(Time!$A$32:$A$51="Todos"))&gt;0)*(Time!$B$32:$B$51="DMG% Normal")*(Time!$D$32:$D$51="Sim")*ISNUMBER(MATCH(Time!$G$32:$G$51,'Perfis de buff'!$J$13:$N$13,0)))</f>
        <v>0</v>
      </c>
    </row>
    <row r="151" ht="15.75" customHeight="1">
      <c r="A151" s="4" t="s">
        <v>469</v>
      </c>
      <c r="B151" s="2"/>
      <c r="C151" s="22">
        <f>SUMPRODUCT(Time!$C$32:$C$51*(((Time!$A$32:$A$51=C6)+(Time!$A$32:$A$51="Todos"))&gt;0)*(Time!$B$32:$B$51="DMG% Normal")*(Time!$D$32:$D$51="Sim")*ISNUMBER(MATCH(Time!$G$32:$G$51,'Perfis de buff'!$J$14:$N$14,0)))</f>
        <v>0</v>
      </c>
      <c r="D151" s="22">
        <f>SUMPRODUCT(Time!$C$32:$C$51*(((Time!$A$32:$A$51=D6)+(Time!$A$32:$A$51="Todos"))&gt;0)*(Time!$B$32:$B$51="DMG% Normal")*(Time!$D$32:$D$51="Sim")*ISNUMBER(MATCH(Time!$G$32:$G$51,'Perfis de buff'!$J$14:$N$14,0)))</f>
        <v>0</v>
      </c>
      <c r="E151" s="22">
        <f>SUMPRODUCT(Time!$C$32:$C$51*(((Time!$A$32:$A$51=E6)+(Time!$A$32:$A$51="Todos"))&gt;0)*(Time!$B$32:$B$51="DMG% Normal")*(Time!$D$32:$D$51="Sim")*ISNUMBER(MATCH(Time!$G$32:$G$51,'Perfis de buff'!$J$14:$N$14,0)))</f>
        <v>0</v>
      </c>
      <c r="F151" s="22">
        <f>SUMPRODUCT(Time!$C$32:$C$51*(((Time!$A$32:$A$51=F6)+(Time!$A$32:$A$51="Todos"))&gt;0)*(Time!$B$32:$B$51="DMG% Normal")*(Time!$D$32:$D$51="Sim")*ISNUMBER(MATCH(Time!$G$32:$G$51,'Perfis de buff'!$J$14:$N$14,0)))</f>
        <v>0</v>
      </c>
    </row>
    <row r="152" ht="15.75" customHeight="1">
      <c r="A152" s="4" t="s">
        <v>470</v>
      </c>
      <c r="B152" s="2"/>
      <c r="C152" s="22">
        <f>SUMPRODUCT(Time!$C$32:$C$51*(((Time!$A$32:$A$51=C6)+(Time!$A$32:$A$51="Todos"))&gt;0)*(Time!$B$32:$B$51="DMG% Normal")*(Time!$D$32:$D$51="Sim")*ISNUMBER(MATCH(Time!$G$32:$G$51,'Perfis de buff'!$J$15:$N$15,0)))</f>
        <v>0</v>
      </c>
      <c r="D152" s="22">
        <f>SUMPRODUCT(Time!$C$32:$C$51*(((Time!$A$32:$A$51=D6)+(Time!$A$32:$A$51="Todos"))&gt;0)*(Time!$B$32:$B$51="DMG% Normal")*(Time!$D$32:$D$51="Sim")*ISNUMBER(MATCH(Time!$G$32:$G$51,'Perfis de buff'!$J$15:$N$15,0)))</f>
        <v>0</v>
      </c>
      <c r="E152" s="22">
        <f>SUMPRODUCT(Time!$C$32:$C$51*(((Time!$A$32:$A$51=E6)+(Time!$A$32:$A$51="Todos"))&gt;0)*(Time!$B$32:$B$51="DMG% Normal")*(Time!$D$32:$D$51="Sim")*ISNUMBER(MATCH(Time!$G$32:$G$51,'Perfis de buff'!$J$15:$N$15,0)))</f>
        <v>0</v>
      </c>
      <c r="F152" s="22">
        <f>SUMPRODUCT(Time!$C$32:$C$51*(((Time!$A$32:$A$51=F6)+(Time!$A$32:$A$51="Todos"))&gt;0)*(Time!$B$32:$B$51="DMG% Normal")*(Time!$D$32:$D$51="Sim")*ISNUMBER(MATCH(Time!$G$32:$G$51,'Perfis de buff'!$J$15:$N$15,0)))</f>
        <v>0</v>
      </c>
    </row>
    <row r="153" ht="15.75" customHeight="1">
      <c r="A153" s="4" t="s">
        <v>471</v>
      </c>
      <c r="B153" s="2"/>
      <c r="C153" s="22">
        <f>SUMPRODUCT(Time!$C$32:$C$51*(((Time!$A$32:$A$51=C6)+(Time!$A$32:$A$51="Todos"))&gt;0)*(Time!$B$32:$B$51="DMG% Carregado")*(Time!$D$32:$D$51="Sim")*ISNUMBER(MATCH(Time!$G$32:$G$51,'Perfis de buff'!$J$11:$N$11,0)))</f>
        <v>0</v>
      </c>
      <c r="D153" s="22">
        <f>SUMPRODUCT(Time!$C$32:$C$51*(((Time!$A$32:$A$51=D6)+(Time!$A$32:$A$51="Todos"))&gt;0)*(Time!$B$32:$B$51="DMG% Carregado")*(Time!$D$32:$D$51="Sim")*ISNUMBER(MATCH(Time!$G$32:$G$51,'Perfis de buff'!$J$11:$N$11,0)))</f>
        <v>0</v>
      </c>
      <c r="E153" s="22">
        <f>SUMPRODUCT(Time!$C$32:$C$51*(((Time!$A$32:$A$51=E6)+(Time!$A$32:$A$51="Todos"))&gt;0)*(Time!$B$32:$B$51="DMG% Carregado")*(Time!$D$32:$D$51="Sim")*ISNUMBER(MATCH(Time!$G$32:$G$51,'Perfis de buff'!$J$11:$N$11,0)))</f>
        <v>0</v>
      </c>
      <c r="F153" s="22">
        <f>SUMPRODUCT(Time!$C$32:$C$51*(((Time!$A$32:$A$51=F6)+(Time!$A$32:$A$51="Todos"))&gt;0)*(Time!$B$32:$B$51="DMG% Carregado")*(Time!$D$32:$D$51="Sim")*ISNUMBER(MATCH(Time!$G$32:$G$51,'Perfis de buff'!$J$11:$N$11,0)))</f>
        <v>0</v>
      </c>
    </row>
    <row r="154" ht="15.75" customHeight="1">
      <c r="A154" s="4" t="s">
        <v>473</v>
      </c>
      <c r="B154" s="2"/>
      <c r="C154" s="22">
        <f>SUMPRODUCT(Time!$C$32:$C$51*(((Time!$A$32:$A$51=C6)+(Time!$A$32:$A$51="Todos"))&gt;0)*(Time!$B$32:$B$51="DMG% Carregado")*(Time!$D$32:$D$51="Sim")*ISNUMBER(MATCH(Time!$G$32:$G$51,'Perfis de buff'!$J$12:$N$12,0)))</f>
        <v>0</v>
      </c>
      <c r="D154" s="22">
        <f>SUMPRODUCT(Time!$C$32:$C$51*(((Time!$A$32:$A$51=D6)+(Time!$A$32:$A$51="Todos"))&gt;0)*(Time!$B$32:$B$51="DMG% Carregado")*(Time!$D$32:$D$51="Sim")*ISNUMBER(MATCH(Time!$G$32:$G$51,'Perfis de buff'!$J$12:$N$12,0)))</f>
        <v>0</v>
      </c>
      <c r="E154" s="22">
        <f>SUMPRODUCT(Time!$C$32:$C$51*(((Time!$A$32:$A$51=E6)+(Time!$A$32:$A$51="Todos"))&gt;0)*(Time!$B$32:$B$51="DMG% Carregado")*(Time!$D$32:$D$51="Sim")*ISNUMBER(MATCH(Time!$G$32:$G$51,'Perfis de buff'!$J$12:$N$12,0)))</f>
        <v>0</v>
      </c>
      <c r="F154" s="22">
        <f>SUMPRODUCT(Time!$C$32:$C$51*(((Time!$A$32:$A$51=F6)+(Time!$A$32:$A$51="Todos"))&gt;0)*(Time!$B$32:$B$51="DMG% Carregado")*(Time!$D$32:$D$51="Sim")*ISNUMBER(MATCH(Time!$G$32:$G$51,'Perfis de buff'!$J$12:$N$12,0)))</f>
        <v>0</v>
      </c>
    </row>
    <row r="155" ht="15.75" customHeight="1">
      <c r="A155" s="4" t="s">
        <v>474</v>
      </c>
      <c r="B155" s="2"/>
      <c r="C155" s="22">
        <f>SUMPRODUCT(Time!$C$32:$C$51*(((Time!$A$32:$A$51=C6)+(Time!$A$32:$A$51="Todos"))&gt;0)*(Time!$B$32:$B$51="DMG% Carregado")*(Time!$D$32:$D$51="Sim")*ISNUMBER(MATCH(Time!$G$32:$G$51,'Perfis de buff'!$J$13:$N$13,0)))</f>
        <v>0</v>
      </c>
      <c r="D155" s="22">
        <f>SUMPRODUCT(Time!$C$32:$C$51*(((Time!$A$32:$A$51=D6)+(Time!$A$32:$A$51="Todos"))&gt;0)*(Time!$B$32:$B$51="DMG% Carregado")*(Time!$D$32:$D$51="Sim")*ISNUMBER(MATCH(Time!$G$32:$G$51,'Perfis de buff'!$J$13:$N$13,0)))</f>
        <v>0</v>
      </c>
      <c r="E155" s="22">
        <f>SUMPRODUCT(Time!$C$32:$C$51*(((Time!$A$32:$A$51=E6)+(Time!$A$32:$A$51="Todos"))&gt;0)*(Time!$B$32:$B$51="DMG% Carregado")*(Time!$D$32:$D$51="Sim")*ISNUMBER(MATCH(Time!$G$32:$G$51,'Perfis de buff'!$J$13:$N$13,0)))</f>
        <v>0</v>
      </c>
      <c r="F155" s="22">
        <f>SUMPRODUCT(Time!$C$32:$C$51*(((Time!$A$32:$A$51=F6)+(Time!$A$32:$A$51="Todos"))&gt;0)*(Time!$B$32:$B$51="DMG% Carregado")*(Time!$D$32:$D$51="Sim")*ISNUMBER(MATCH(Time!$G$32:$G$51,'Perfis de buff'!$J$13:$N$13,0)))</f>
        <v>0</v>
      </c>
    </row>
    <row r="156" ht="15.75" customHeight="1">
      <c r="A156" s="4" t="s">
        <v>475</v>
      </c>
      <c r="B156" s="2"/>
      <c r="C156" s="22">
        <f>SUMPRODUCT(Time!$C$32:$C$51*(((Time!$A$32:$A$51=C6)+(Time!$A$32:$A$51="Todos"))&gt;0)*(Time!$B$32:$B$51="DMG% Carregado")*(Time!$D$32:$D$51="Sim")*ISNUMBER(MATCH(Time!$G$32:$G$51,'Perfis de buff'!$J$14:$N$14,0)))</f>
        <v>0</v>
      </c>
      <c r="D156" s="22">
        <f>SUMPRODUCT(Time!$C$32:$C$51*(((Time!$A$32:$A$51=D6)+(Time!$A$32:$A$51="Todos"))&gt;0)*(Time!$B$32:$B$51="DMG% Carregado")*(Time!$D$32:$D$51="Sim")*ISNUMBER(MATCH(Time!$G$32:$G$51,'Perfis de buff'!$J$14:$N$14,0)))</f>
        <v>0</v>
      </c>
      <c r="E156" s="22">
        <f>SUMPRODUCT(Time!$C$32:$C$51*(((Time!$A$32:$A$51=E6)+(Time!$A$32:$A$51="Todos"))&gt;0)*(Time!$B$32:$B$51="DMG% Carregado")*(Time!$D$32:$D$51="Sim")*ISNUMBER(MATCH(Time!$G$32:$G$51,'Perfis de buff'!$J$14:$N$14,0)))</f>
        <v>0</v>
      </c>
      <c r="F156" s="22">
        <f>SUMPRODUCT(Time!$C$32:$C$51*(((Time!$A$32:$A$51=F6)+(Time!$A$32:$A$51="Todos"))&gt;0)*(Time!$B$32:$B$51="DMG% Carregado")*(Time!$D$32:$D$51="Sim")*ISNUMBER(MATCH(Time!$G$32:$G$51,'Perfis de buff'!$J$14:$N$14,0)))</f>
        <v>0</v>
      </c>
    </row>
    <row r="157" ht="15.75" customHeight="1">
      <c r="A157" s="4" t="s">
        <v>476</v>
      </c>
      <c r="B157" s="2"/>
      <c r="C157" s="22">
        <f>SUMPRODUCT(Time!$C$32:$C$51*(((Time!$A$32:$A$51=C6)+(Time!$A$32:$A$51="Todos"))&gt;0)*(Time!$B$32:$B$51="DMG% Carregado")*(Time!$D$32:$D$51="Sim")*ISNUMBER(MATCH(Time!$G$32:$G$51,'Perfis de buff'!$J$15:$N$15,0)))</f>
        <v>0</v>
      </c>
      <c r="D157" s="22">
        <f>SUMPRODUCT(Time!$C$32:$C$51*(((Time!$A$32:$A$51=D6)+(Time!$A$32:$A$51="Todos"))&gt;0)*(Time!$B$32:$B$51="DMG% Carregado")*(Time!$D$32:$D$51="Sim")*ISNUMBER(MATCH(Time!$G$32:$G$51,'Perfis de buff'!$J$15:$N$15,0)))</f>
        <v>0</v>
      </c>
      <c r="E157" s="22">
        <f>SUMPRODUCT(Time!$C$32:$C$51*(((Time!$A$32:$A$51=E6)+(Time!$A$32:$A$51="Todos"))&gt;0)*(Time!$B$32:$B$51="DMG% Carregado")*(Time!$D$32:$D$51="Sim")*ISNUMBER(MATCH(Time!$G$32:$G$51,'Perfis de buff'!$J$15:$N$15,0)))</f>
        <v>0</v>
      </c>
      <c r="F157" s="22">
        <f>SUMPRODUCT(Time!$C$32:$C$51*(((Time!$A$32:$A$51=F6)+(Time!$A$32:$A$51="Todos"))&gt;0)*(Time!$B$32:$B$51="DMG% Carregado")*(Time!$D$32:$D$51="Sim")*ISNUMBER(MATCH(Time!$G$32:$G$51,'Perfis de buff'!$J$15:$N$15,0)))</f>
        <v>0</v>
      </c>
    </row>
    <row r="158" ht="15.75" customHeight="1">
      <c r="A158" s="4" t="s">
        <v>477</v>
      </c>
      <c r="B158" s="2"/>
      <c r="C158" s="22">
        <f>SUMPRODUCT(Time!$C$32:$C$51*(((Time!$A$32:$A$51=C6)+(Time!$A$32:$A$51="Todos"))&gt;0)*(Time!$B$32:$B$51="DMG% Habilidade")*(Time!$D$32:$D$51="Sim")*ISNUMBER(MATCH(Time!$G$32:$G$51,'Perfis de buff'!$J$11:$N$11,0)))</f>
        <v>0</v>
      </c>
      <c r="D158" s="22">
        <f>SUMPRODUCT(Time!$C$32:$C$51*(((Time!$A$32:$A$51=D6)+(Time!$A$32:$A$51="Todos"))&gt;0)*(Time!$B$32:$B$51="DMG% Habilidade")*(Time!$D$32:$D$51="Sim")*ISNUMBER(MATCH(Time!$G$32:$G$51,'Perfis de buff'!$J$11:$N$11,0)))</f>
        <v>0</v>
      </c>
      <c r="E158" s="22">
        <f>SUMPRODUCT(Time!$C$32:$C$51*(((Time!$A$32:$A$51=E6)+(Time!$A$32:$A$51="Todos"))&gt;0)*(Time!$B$32:$B$51="DMG% Habilidade")*(Time!$D$32:$D$51="Sim")*ISNUMBER(MATCH(Time!$G$32:$G$51,'Perfis de buff'!$J$11:$N$11,0)))</f>
        <v>0</v>
      </c>
      <c r="F158" s="22">
        <f>SUMPRODUCT(Time!$C$32:$C$51*(((Time!$A$32:$A$51=F6)+(Time!$A$32:$A$51="Todos"))&gt;0)*(Time!$B$32:$B$51="DMG% Habilidade")*(Time!$D$32:$D$51="Sim")*ISNUMBER(MATCH(Time!$G$32:$G$51,'Perfis de buff'!$J$11:$N$11,0)))</f>
        <v>0</v>
      </c>
    </row>
    <row r="159" ht="15.75" customHeight="1">
      <c r="A159" s="4" t="s">
        <v>478</v>
      </c>
      <c r="B159" s="2"/>
      <c r="C159" s="22">
        <f>SUMPRODUCT(Time!$C$32:$C$51*(((Time!$A$32:$A$51=C6)+(Time!$A$32:$A$51="Todos"))&gt;0)*(Time!$B$32:$B$51="DMG% Habilidade")*(Time!$D$32:$D$51="Sim")*ISNUMBER(MATCH(Time!$G$32:$G$51,'Perfis de buff'!$J$12:$N$12,0)))</f>
        <v>0</v>
      </c>
      <c r="D159" s="22">
        <f>SUMPRODUCT(Time!$C$32:$C$51*(((Time!$A$32:$A$51=D6)+(Time!$A$32:$A$51="Todos"))&gt;0)*(Time!$B$32:$B$51="DMG% Habilidade")*(Time!$D$32:$D$51="Sim")*ISNUMBER(MATCH(Time!$G$32:$G$51,'Perfis de buff'!$J$12:$N$12,0)))</f>
        <v>0</v>
      </c>
      <c r="E159" s="22">
        <f>SUMPRODUCT(Time!$C$32:$C$51*(((Time!$A$32:$A$51=E6)+(Time!$A$32:$A$51="Todos"))&gt;0)*(Time!$B$32:$B$51="DMG% Habilidade")*(Time!$D$32:$D$51="Sim")*ISNUMBER(MATCH(Time!$G$32:$G$51,'Perfis de buff'!$J$12:$N$12,0)))</f>
        <v>0</v>
      </c>
      <c r="F159" s="22">
        <f>SUMPRODUCT(Time!$C$32:$C$51*(((Time!$A$32:$A$51=F6)+(Time!$A$32:$A$51="Todos"))&gt;0)*(Time!$B$32:$B$51="DMG% Habilidade")*(Time!$D$32:$D$51="Sim")*ISNUMBER(MATCH(Time!$G$32:$G$51,'Perfis de buff'!$J$12:$N$12,0)))</f>
        <v>0</v>
      </c>
    </row>
    <row r="160" ht="15.75" customHeight="1">
      <c r="A160" s="4" t="s">
        <v>479</v>
      </c>
      <c r="B160" s="2"/>
      <c r="C160" s="22">
        <f>SUMPRODUCT(Time!$C$32:$C$51*(((Time!$A$32:$A$51=C6)+(Time!$A$32:$A$51="Todos"))&gt;0)*(Time!$B$32:$B$51="DMG% Habilidade")*(Time!$D$32:$D$51="Sim")*ISNUMBER(MATCH(Time!$G$32:$G$51,'Perfis de buff'!$J$13:$N$13,0)))</f>
        <v>0</v>
      </c>
      <c r="D160" s="22">
        <f>SUMPRODUCT(Time!$C$32:$C$51*(((Time!$A$32:$A$51=D6)+(Time!$A$32:$A$51="Todos"))&gt;0)*(Time!$B$32:$B$51="DMG% Habilidade")*(Time!$D$32:$D$51="Sim")*ISNUMBER(MATCH(Time!$G$32:$G$51,'Perfis de buff'!$J$13:$N$13,0)))</f>
        <v>0</v>
      </c>
      <c r="E160" s="22">
        <f>SUMPRODUCT(Time!$C$32:$C$51*(((Time!$A$32:$A$51=E6)+(Time!$A$32:$A$51="Todos"))&gt;0)*(Time!$B$32:$B$51="DMG% Habilidade")*(Time!$D$32:$D$51="Sim")*ISNUMBER(MATCH(Time!$G$32:$G$51,'Perfis de buff'!$J$13:$N$13,0)))</f>
        <v>0</v>
      </c>
      <c r="F160" s="22">
        <f>SUMPRODUCT(Time!$C$32:$C$51*(((Time!$A$32:$A$51=F6)+(Time!$A$32:$A$51="Todos"))&gt;0)*(Time!$B$32:$B$51="DMG% Habilidade")*(Time!$D$32:$D$51="Sim")*ISNUMBER(MATCH(Time!$G$32:$G$51,'Perfis de buff'!$J$13:$N$13,0)))</f>
        <v>0</v>
      </c>
    </row>
    <row r="161" ht="15.75" customHeight="1">
      <c r="A161" s="4" t="s">
        <v>480</v>
      </c>
      <c r="B161" s="2"/>
      <c r="C161" s="22">
        <f>SUMPRODUCT(Time!$C$32:$C$51*(((Time!$A$32:$A$51=C6)+(Time!$A$32:$A$51="Todos"))&gt;0)*(Time!$B$32:$B$51="DMG% Habilidade")*(Time!$D$32:$D$51="Sim")*ISNUMBER(MATCH(Time!$G$32:$G$51,'Perfis de buff'!$J$14:$N$14,0)))</f>
        <v>0</v>
      </c>
      <c r="D161" s="22">
        <f>SUMPRODUCT(Time!$C$32:$C$51*(((Time!$A$32:$A$51=D6)+(Time!$A$32:$A$51="Todos"))&gt;0)*(Time!$B$32:$B$51="DMG% Habilidade")*(Time!$D$32:$D$51="Sim")*ISNUMBER(MATCH(Time!$G$32:$G$51,'Perfis de buff'!$J$14:$N$14,0)))</f>
        <v>0</v>
      </c>
      <c r="E161" s="22">
        <f>SUMPRODUCT(Time!$C$32:$C$51*(((Time!$A$32:$A$51=E6)+(Time!$A$32:$A$51="Todos"))&gt;0)*(Time!$B$32:$B$51="DMG% Habilidade")*(Time!$D$32:$D$51="Sim")*ISNUMBER(MATCH(Time!$G$32:$G$51,'Perfis de buff'!$J$14:$N$14,0)))</f>
        <v>0</v>
      </c>
      <c r="F161" s="22">
        <f>SUMPRODUCT(Time!$C$32:$C$51*(((Time!$A$32:$A$51=F6)+(Time!$A$32:$A$51="Todos"))&gt;0)*(Time!$B$32:$B$51="DMG% Habilidade")*(Time!$D$32:$D$51="Sim")*ISNUMBER(MATCH(Time!$G$32:$G$51,'Perfis de buff'!$J$14:$N$14,0)))</f>
        <v>0</v>
      </c>
    </row>
    <row r="162" ht="15.75" customHeight="1">
      <c r="A162" s="4" t="s">
        <v>481</v>
      </c>
      <c r="B162" s="2"/>
      <c r="C162" s="22">
        <f>SUMPRODUCT(Time!$C$32:$C$51*(((Time!$A$32:$A$51=C6)+(Time!$A$32:$A$51="Todos"))&gt;0)*(Time!$B$32:$B$51="DMG% Habilidade")*(Time!$D$32:$D$51="Sim")*ISNUMBER(MATCH(Time!$G$32:$G$51,'Perfis de buff'!$J$15:$N$15,0)))</f>
        <v>0</v>
      </c>
      <c r="D162" s="22">
        <f>SUMPRODUCT(Time!$C$32:$C$51*(((Time!$A$32:$A$51=D6)+(Time!$A$32:$A$51="Todos"))&gt;0)*(Time!$B$32:$B$51="DMG% Habilidade")*(Time!$D$32:$D$51="Sim")*ISNUMBER(MATCH(Time!$G$32:$G$51,'Perfis de buff'!$J$15:$N$15,0)))</f>
        <v>0</v>
      </c>
      <c r="E162" s="22">
        <f>SUMPRODUCT(Time!$C$32:$C$51*(((Time!$A$32:$A$51=E6)+(Time!$A$32:$A$51="Todos"))&gt;0)*(Time!$B$32:$B$51="DMG% Habilidade")*(Time!$D$32:$D$51="Sim")*ISNUMBER(MATCH(Time!$G$32:$G$51,'Perfis de buff'!$J$15:$N$15,0)))</f>
        <v>0</v>
      </c>
      <c r="F162" s="22">
        <f>SUMPRODUCT(Time!$C$32:$C$51*(((Time!$A$32:$A$51=F6)+(Time!$A$32:$A$51="Todos"))&gt;0)*(Time!$B$32:$B$51="DMG% Habilidade")*(Time!$D$32:$D$51="Sim")*ISNUMBER(MATCH(Time!$G$32:$G$51,'Perfis de buff'!$J$15:$N$15,0)))</f>
        <v>0</v>
      </c>
    </row>
    <row r="163" ht="15.75" customHeight="1">
      <c r="A163" s="4" t="s">
        <v>482</v>
      </c>
      <c r="B163" s="2"/>
      <c r="C163" s="22">
        <f>SUMPRODUCT(Time!$C$32:$C$51*(((Time!$A$32:$A$51=C6)+(Time!$A$32:$A$51="Todos"))&gt;0)*(Time!$B$32:$B$51="DMG% Supremo")*(Time!$D$32:$D$51="Sim")*ISNUMBER(MATCH(Time!$G$32:$G$51,'Perfis de buff'!$J$11:$N$11,0)))</f>
        <v>0</v>
      </c>
      <c r="D163" s="22">
        <f>SUMPRODUCT(Time!$C$32:$C$51*(((Time!$A$32:$A$51=D6)+(Time!$A$32:$A$51="Todos"))&gt;0)*(Time!$B$32:$B$51="DMG% Supremo")*(Time!$D$32:$D$51="Sim")*ISNUMBER(MATCH(Time!$G$32:$G$51,'Perfis de buff'!$J$11:$N$11,0)))</f>
        <v>0</v>
      </c>
      <c r="E163" s="22">
        <f>SUMPRODUCT(Time!$C$32:$C$51*(((Time!$A$32:$A$51=E6)+(Time!$A$32:$A$51="Todos"))&gt;0)*(Time!$B$32:$B$51="DMG% Supremo")*(Time!$D$32:$D$51="Sim")*ISNUMBER(MATCH(Time!$G$32:$G$51,'Perfis de buff'!$J$11:$N$11,0)))</f>
        <v>0</v>
      </c>
      <c r="F163" s="22">
        <f>SUMPRODUCT(Time!$C$32:$C$51*(((Time!$A$32:$A$51=F6)+(Time!$A$32:$A$51="Todos"))&gt;0)*(Time!$B$32:$B$51="DMG% Supremo")*(Time!$D$32:$D$51="Sim")*ISNUMBER(MATCH(Time!$G$32:$G$51,'Perfis de buff'!$J$11:$N$11,0)))</f>
        <v>0</v>
      </c>
    </row>
    <row r="164" ht="15.75" customHeight="1">
      <c r="A164" s="4" t="s">
        <v>483</v>
      </c>
      <c r="B164" s="2"/>
      <c r="C164" s="22">
        <f>SUMPRODUCT(Time!$C$32:$C$51*(((Time!$A$32:$A$51=C6)+(Time!$A$32:$A$51="Todos"))&gt;0)*(Time!$B$32:$B$51="DMG% Supremo")*(Time!$D$32:$D$51="Sim")*ISNUMBER(MATCH(Time!$G$32:$G$51,'Perfis de buff'!$J$12:$N$12,0)))</f>
        <v>0</v>
      </c>
      <c r="D164" s="22">
        <f>SUMPRODUCT(Time!$C$32:$C$51*(((Time!$A$32:$A$51=D6)+(Time!$A$32:$A$51="Todos"))&gt;0)*(Time!$B$32:$B$51="DMG% Supremo")*(Time!$D$32:$D$51="Sim")*ISNUMBER(MATCH(Time!$G$32:$G$51,'Perfis de buff'!$J$12:$N$12,0)))</f>
        <v>0</v>
      </c>
      <c r="E164" s="22">
        <f>SUMPRODUCT(Time!$C$32:$C$51*(((Time!$A$32:$A$51=E6)+(Time!$A$32:$A$51="Todos"))&gt;0)*(Time!$B$32:$B$51="DMG% Supremo")*(Time!$D$32:$D$51="Sim")*ISNUMBER(MATCH(Time!$G$32:$G$51,'Perfis de buff'!$J$12:$N$12,0)))</f>
        <v>0</v>
      </c>
      <c r="F164" s="22">
        <f>SUMPRODUCT(Time!$C$32:$C$51*(((Time!$A$32:$A$51=F6)+(Time!$A$32:$A$51="Todos"))&gt;0)*(Time!$B$32:$B$51="DMG% Supremo")*(Time!$D$32:$D$51="Sim")*ISNUMBER(MATCH(Time!$G$32:$G$51,'Perfis de buff'!$J$12:$N$12,0)))</f>
        <v>0</v>
      </c>
    </row>
    <row r="165" ht="15.75" customHeight="1">
      <c r="A165" s="4" t="s">
        <v>484</v>
      </c>
      <c r="B165" s="2"/>
      <c r="C165" s="22">
        <f>SUMPRODUCT(Time!$C$32:$C$51*(((Time!$A$32:$A$51=C6)+(Time!$A$32:$A$51="Todos"))&gt;0)*(Time!$B$32:$B$51="DMG% Supremo")*(Time!$D$32:$D$51="Sim")*ISNUMBER(MATCH(Time!$G$32:$G$51,'Perfis de buff'!$J$13:$N$13,0)))</f>
        <v>0</v>
      </c>
      <c r="D165" s="22">
        <f>SUMPRODUCT(Time!$C$32:$C$51*(((Time!$A$32:$A$51=D6)+(Time!$A$32:$A$51="Todos"))&gt;0)*(Time!$B$32:$B$51="DMG% Supremo")*(Time!$D$32:$D$51="Sim")*ISNUMBER(MATCH(Time!$G$32:$G$51,'Perfis de buff'!$J$13:$N$13,0)))</f>
        <v>0</v>
      </c>
      <c r="E165" s="22">
        <f>SUMPRODUCT(Time!$C$32:$C$51*(((Time!$A$32:$A$51=E6)+(Time!$A$32:$A$51="Todos"))&gt;0)*(Time!$B$32:$B$51="DMG% Supremo")*(Time!$D$32:$D$51="Sim")*ISNUMBER(MATCH(Time!$G$32:$G$51,'Perfis de buff'!$J$13:$N$13,0)))</f>
        <v>0</v>
      </c>
      <c r="F165" s="22">
        <f>SUMPRODUCT(Time!$C$32:$C$51*(((Time!$A$32:$A$51=F6)+(Time!$A$32:$A$51="Todos"))&gt;0)*(Time!$B$32:$B$51="DMG% Supremo")*(Time!$D$32:$D$51="Sim")*ISNUMBER(MATCH(Time!$G$32:$G$51,'Perfis de buff'!$J$13:$N$13,0)))</f>
        <v>0</v>
      </c>
    </row>
    <row r="166" ht="15.75" customHeight="1">
      <c r="A166" s="4" t="s">
        <v>487</v>
      </c>
      <c r="B166" s="2"/>
      <c r="C166" s="22">
        <f>SUMPRODUCT(Time!$C$32:$C$51*(((Time!$A$32:$A$51=C6)+(Time!$A$32:$A$51="Todos"))&gt;0)*(Time!$B$32:$B$51="DMG% Supremo")*(Time!$D$32:$D$51="Sim")*ISNUMBER(MATCH(Time!$G$32:$G$51,'Perfis de buff'!$J$14:$N$14,0)))</f>
        <v>0</v>
      </c>
      <c r="D166" s="22">
        <f>SUMPRODUCT(Time!$C$32:$C$51*(((Time!$A$32:$A$51=D6)+(Time!$A$32:$A$51="Todos"))&gt;0)*(Time!$B$32:$B$51="DMG% Supremo")*(Time!$D$32:$D$51="Sim")*ISNUMBER(MATCH(Time!$G$32:$G$51,'Perfis de buff'!$J$14:$N$14,0)))</f>
        <v>0</v>
      </c>
      <c r="E166" s="22">
        <f>SUMPRODUCT(Time!$C$32:$C$51*(((Time!$A$32:$A$51=E6)+(Time!$A$32:$A$51="Todos"))&gt;0)*(Time!$B$32:$B$51="DMG% Supremo")*(Time!$D$32:$D$51="Sim")*ISNUMBER(MATCH(Time!$G$32:$G$51,'Perfis de buff'!$J$14:$N$14,0)))</f>
        <v>0</v>
      </c>
      <c r="F166" s="22">
        <f>SUMPRODUCT(Time!$C$32:$C$51*(((Time!$A$32:$A$51=F6)+(Time!$A$32:$A$51="Todos"))&gt;0)*(Time!$B$32:$B$51="DMG% Supremo")*(Time!$D$32:$D$51="Sim")*ISNUMBER(MATCH(Time!$G$32:$G$51,'Perfis de buff'!$J$14:$N$14,0)))</f>
        <v>0</v>
      </c>
    </row>
    <row r="167" ht="15.75" customHeight="1">
      <c r="A167" s="4" t="s">
        <v>488</v>
      </c>
      <c r="B167" s="2"/>
      <c r="C167" s="22">
        <f>SUMPRODUCT(Time!$C$32:$C$51*(((Time!$A$32:$A$51=C6)+(Time!$A$32:$A$51="Todos"))&gt;0)*(Time!$B$32:$B$51="DMG% Supremo")*(Time!$D$32:$D$51="Sim")*ISNUMBER(MATCH(Time!$G$32:$G$51,'Perfis de buff'!$J$15:$N$15,0)))</f>
        <v>0</v>
      </c>
      <c r="D167" s="22">
        <f>SUMPRODUCT(Time!$C$32:$C$51*(((Time!$A$32:$A$51=D6)+(Time!$A$32:$A$51="Todos"))&gt;0)*(Time!$B$32:$B$51="DMG% Supremo")*(Time!$D$32:$D$51="Sim")*ISNUMBER(MATCH(Time!$G$32:$G$51,'Perfis de buff'!$J$15:$N$15,0)))</f>
        <v>0</v>
      </c>
      <c r="E167" s="22">
        <f>SUMPRODUCT(Time!$C$32:$C$51*(((Time!$A$32:$A$51=E6)+(Time!$A$32:$A$51="Todos"))&gt;0)*(Time!$B$32:$B$51="DMG% Supremo")*(Time!$D$32:$D$51="Sim")*ISNUMBER(MATCH(Time!$G$32:$G$51,'Perfis de buff'!$J$15:$N$15,0)))</f>
        <v>0</v>
      </c>
      <c r="F167" s="22">
        <f>SUMPRODUCT(Time!$C$32:$C$51*(((Time!$A$32:$A$51=F6)+(Time!$A$32:$A$51="Todos"))&gt;0)*(Time!$B$32:$B$51="DMG% Supremo")*(Time!$D$32:$D$51="Sim")*ISNUMBER(MATCH(Time!$G$32:$G$51,'Perfis de buff'!$J$15:$N$15,0)))</f>
        <v>0</v>
      </c>
    </row>
    <row r="168" ht="15.75" customHeight="1">
      <c r="A168" s="4" t="s">
        <v>489</v>
      </c>
      <c r="B168" s="2"/>
      <c r="C168" s="21">
        <f>C130*'Perfis de buff'!$C$11+D130*'Perfis de buff'!$E$11+E130*'Perfis de buff'!$G$11+F130*'Perfis de buff'!$I$11+SUMPRODUCT(Time!$C$32:$C$51*(((Time!$A$32:$A$51=C6)+(Time!$A$32:$A$51="Todos"))&gt;0)*(Time!$B$32:$B$51="EM")*(Time!$D$32:$D$51="Sim")*ISNUMBER(MATCH(Time!$G$32:$G$51,'Perfis de buff'!$J$11:$N$11,0)))</f>
        <v>120</v>
      </c>
      <c r="D168" s="21">
        <f>C130*'Perfis de buff'!$C$11+D130*'Perfis de buff'!$E$11+E130*'Perfis de buff'!$G$11+F130*'Perfis de buff'!$I$11+SUMPRODUCT(Time!$C$32:$C$51*(((Time!$A$32:$A$51=D6)+(Time!$A$32:$A$51="Todos"))&gt;0)*(Time!$B$32:$B$51="EM")*(Time!$D$32:$D$51="Sim")*ISNUMBER(MATCH(Time!$G$32:$G$51,'Perfis de buff'!$J$11:$N$11,0)))</f>
        <v>120</v>
      </c>
      <c r="E168" s="21">
        <f>C130*'Perfis de buff'!$C$11+D130*'Perfis de buff'!$E$11+E130*'Perfis de buff'!$G$11+F130*'Perfis de buff'!$I$11+SUMPRODUCT(Time!$C$32:$C$51*(((Time!$A$32:$A$51=E6)+(Time!$A$32:$A$51="Todos"))&gt;0)*(Time!$B$32:$B$51="EM")*(Time!$D$32:$D$51="Sim")*ISNUMBER(MATCH(Time!$G$32:$G$51,'Perfis de buff'!$J$11:$N$11,0)))</f>
        <v>120</v>
      </c>
      <c r="F168" s="21">
        <f>C130*'Perfis de buff'!$C$11+D130*'Perfis de buff'!$E$11+E130*'Perfis de buff'!$G$11+F130*'Perfis de buff'!$I$11+SUMPRODUCT(Time!$C$32:$C$51*(((Time!$A$32:$A$51=F6)+(Time!$A$32:$A$51="Todos"))&gt;0)*(Time!$B$32:$B$51="EM")*(Time!$D$32:$D$51="Sim")*ISNUMBER(MATCH(Time!$G$32:$G$51,'Perfis de buff'!$J$11:$N$11,0)))</f>
        <v>120</v>
      </c>
    </row>
    <row r="169" ht="15.75" customHeight="1">
      <c r="A169" s="4" t="s">
        <v>490</v>
      </c>
      <c r="B169" s="2"/>
      <c r="C169" s="21">
        <f>C130*'Perfis de buff'!$C$12+D130*'Perfis de buff'!$E$12+E130*'Perfis de buff'!$G$12+F130*'Perfis de buff'!$I$12+SUMPRODUCT(Time!$C$32:$C$51*(((Time!$A$32:$A$51=C6)+(Time!$A$32:$A$51="Todos"))&gt;0)*(Time!$B$32:$B$51="EM")*(Time!$D$32:$D$51="Sim")*ISNUMBER(MATCH(Time!$G$32:$G$51,'Perfis de buff'!$J$12:$N$12,0)))</f>
        <v>0</v>
      </c>
      <c r="D169" s="21">
        <f>C130*'Perfis de buff'!$C$12+D130*'Perfis de buff'!$E$12+E130*'Perfis de buff'!$G$12+F130*'Perfis de buff'!$I$12+SUMPRODUCT(Time!$C$32:$C$51*(((Time!$A$32:$A$51=D6)+(Time!$A$32:$A$51="Todos"))&gt;0)*(Time!$B$32:$B$51="EM")*(Time!$D$32:$D$51="Sim")*ISNUMBER(MATCH(Time!$G$32:$G$51,'Perfis de buff'!$J$12:$N$12,0)))</f>
        <v>0</v>
      </c>
      <c r="E169" s="21">
        <f>C130*'Perfis de buff'!$C$12+D130*'Perfis de buff'!$E$12+E130*'Perfis de buff'!$G$12+F130*'Perfis de buff'!$I$12+SUMPRODUCT(Time!$C$32:$C$51*(((Time!$A$32:$A$51=E6)+(Time!$A$32:$A$51="Todos"))&gt;0)*(Time!$B$32:$B$51="EM")*(Time!$D$32:$D$51="Sim")*ISNUMBER(MATCH(Time!$G$32:$G$51,'Perfis de buff'!$J$12:$N$12,0)))</f>
        <v>0</v>
      </c>
      <c r="F169" s="21">
        <f>C130*'Perfis de buff'!$C$12+D130*'Perfis de buff'!$E$12+E130*'Perfis de buff'!$G$12+F130*'Perfis de buff'!$I$12+SUMPRODUCT(Time!$C$32:$C$51*(((Time!$A$32:$A$51=F6)+(Time!$A$32:$A$51="Todos"))&gt;0)*(Time!$B$32:$B$51="EM")*(Time!$D$32:$D$51="Sim")*ISNUMBER(MATCH(Time!$G$32:$G$51,'Perfis de buff'!$J$12:$N$12,0)))</f>
        <v>0</v>
      </c>
    </row>
    <row r="170" ht="15.75" customHeight="1">
      <c r="A170" s="4" t="s">
        <v>492</v>
      </c>
      <c r="B170" s="2"/>
      <c r="C170" s="21">
        <f>C130*'Perfis de buff'!$C$13+D130*'Perfis de buff'!$E$13+E130*'Perfis de buff'!$G$13+F130*'Perfis de buff'!$I$13+SUMPRODUCT(Time!$C$32:$C$51*(((Time!$A$32:$A$51=C6)+(Time!$A$32:$A$51="Todos"))&gt;0)*(Time!$B$32:$B$51="EM")*(Time!$D$32:$D$51="Sim")*ISNUMBER(MATCH(Time!$G$32:$G$51,'Perfis de buff'!$J$13:$N$13,0)))</f>
        <v>120</v>
      </c>
      <c r="D170" s="21">
        <f>C130*'Perfis de buff'!$C$13+D130*'Perfis de buff'!$E$13+E130*'Perfis de buff'!$G$13+F130*'Perfis de buff'!$I$13+SUMPRODUCT(Time!$C$32:$C$51*(((Time!$A$32:$A$51=D6)+(Time!$A$32:$A$51="Todos"))&gt;0)*(Time!$B$32:$B$51="EM")*(Time!$D$32:$D$51="Sim")*ISNUMBER(MATCH(Time!$G$32:$G$51,'Perfis de buff'!$J$13:$N$13,0)))</f>
        <v>120</v>
      </c>
      <c r="E170" s="21">
        <f>C130*'Perfis de buff'!$C$13+D130*'Perfis de buff'!$E$13+E130*'Perfis de buff'!$G$13+F130*'Perfis de buff'!$I$13+SUMPRODUCT(Time!$C$32:$C$51*(((Time!$A$32:$A$51=E6)+(Time!$A$32:$A$51="Todos"))&gt;0)*(Time!$B$32:$B$51="EM")*(Time!$D$32:$D$51="Sim")*ISNUMBER(MATCH(Time!$G$32:$G$51,'Perfis de buff'!$J$13:$N$13,0)))</f>
        <v>120</v>
      </c>
      <c r="F170" s="21">
        <f>C130*'Perfis de buff'!$C$13+D130*'Perfis de buff'!$E$13+E130*'Perfis de buff'!$G$13+F130*'Perfis de buff'!$I$13+SUMPRODUCT(Time!$C$32:$C$51*(((Time!$A$32:$A$51=F6)+(Time!$A$32:$A$51="Todos"))&gt;0)*(Time!$B$32:$B$51="EM")*(Time!$D$32:$D$51="Sim")*ISNUMBER(MATCH(Time!$G$32:$G$51,'Perfis de buff'!$J$13:$N$13,0)))</f>
        <v>120</v>
      </c>
    </row>
    <row r="171" ht="15.75" customHeight="1">
      <c r="A171" s="4" t="s">
        <v>493</v>
      </c>
      <c r="B171" s="2"/>
      <c r="C171" s="21">
        <f>C130*'Perfis de buff'!$C$14+D130*'Perfis de buff'!$E$14+E130*'Perfis de buff'!$G$14+F130*'Perfis de buff'!$I$14+SUMPRODUCT(Time!$C$32:$C$51*(((Time!$A$32:$A$51=C6)+(Time!$A$32:$A$51="Todos"))&gt;0)*(Time!$B$32:$B$51="EM")*(Time!$D$32:$D$51="Sim")*ISNUMBER(MATCH(Time!$G$32:$G$51,'Perfis de buff'!$J$14:$N$14,0)))</f>
        <v>120</v>
      </c>
      <c r="D171" s="21">
        <f>C130*'Perfis de buff'!$C$14+D130*'Perfis de buff'!$E$14+E130*'Perfis de buff'!$G$14+F130*'Perfis de buff'!$I$14+SUMPRODUCT(Time!$C$32:$C$51*(((Time!$A$32:$A$51=D6)+(Time!$A$32:$A$51="Todos"))&gt;0)*(Time!$B$32:$B$51="EM")*(Time!$D$32:$D$51="Sim")*ISNUMBER(MATCH(Time!$G$32:$G$51,'Perfis de buff'!$J$14:$N$14,0)))</f>
        <v>120</v>
      </c>
      <c r="E171" s="21">
        <f>C130*'Perfis de buff'!$C$14+D130*'Perfis de buff'!$E$14+E130*'Perfis de buff'!$G$14+F130*'Perfis de buff'!$I$14+SUMPRODUCT(Time!$C$32:$C$51*(((Time!$A$32:$A$51=E6)+(Time!$A$32:$A$51="Todos"))&gt;0)*(Time!$B$32:$B$51="EM")*(Time!$D$32:$D$51="Sim")*ISNUMBER(MATCH(Time!$G$32:$G$51,'Perfis de buff'!$J$14:$N$14,0)))</f>
        <v>120</v>
      </c>
      <c r="F171" s="21">
        <f>C130*'Perfis de buff'!$C$14+D130*'Perfis de buff'!$E$14+E130*'Perfis de buff'!$G$14+F130*'Perfis de buff'!$I$14+SUMPRODUCT(Time!$C$32:$C$51*(((Time!$A$32:$A$51=F6)+(Time!$A$32:$A$51="Todos"))&gt;0)*(Time!$B$32:$B$51="EM")*(Time!$D$32:$D$51="Sim")*ISNUMBER(MATCH(Time!$G$32:$G$51,'Perfis de buff'!$J$14:$N$14,0)))</f>
        <v>120</v>
      </c>
    </row>
    <row r="172" ht="15.75" customHeight="1">
      <c r="A172" s="4" t="s">
        <v>494</v>
      </c>
      <c r="B172" s="2"/>
      <c r="C172" s="21">
        <f>C130*'Perfis de buff'!$C$15+D130*'Perfis de buff'!$E$15+E130*'Perfis de buff'!$G$15+F130*'Perfis de buff'!$I$15+SUMPRODUCT(Time!$C$32:$C$51*(((Time!$A$32:$A$51=C6)+(Time!$A$32:$A$51="Todos"))&gt;0)*(Time!$B$32:$B$51="EM")*(Time!$D$32:$D$51="Sim")*ISNUMBER(MATCH(Time!$G$32:$G$51,'Perfis de buff'!$J$15:$N$15,0)))</f>
        <v>0</v>
      </c>
      <c r="D172" s="21">
        <f>C130*'Perfis de buff'!$C$15+D130*'Perfis de buff'!$E$15+E130*'Perfis de buff'!$G$15+F130*'Perfis de buff'!$I$15+SUMPRODUCT(Time!$C$32:$C$51*(((Time!$A$32:$A$51=D6)+(Time!$A$32:$A$51="Todos"))&gt;0)*(Time!$B$32:$B$51="EM")*(Time!$D$32:$D$51="Sim")*ISNUMBER(MATCH(Time!$G$32:$G$51,'Perfis de buff'!$J$15:$N$15,0)))</f>
        <v>0</v>
      </c>
      <c r="E172" s="21">
        <f>C130*'Perfis de buff'!$C$15+D130*'Perfis de buff'!$E$15+E130*'Perfis de buff'!$G$15+F130*'Perfis de buff'!$I$15+SUMPRODUCT(Time!$C$32:$C$51*(((Time!$A$32:$A$51=E6)+(Time!$A$32:$A$51="Todos"))&gt;0)*(Time!$B$32:$B$51="EM")*(Time!$D$32:$D$51="Sim")*ISNUMBER(MATCH(Time!$G$32:$G$51,'Perfis de buff'!$J$15:$N$15,0)))</f>
        <v>0</v>
      </c>
      <c r="F172" s="21">
        <f>C130*'Perfis de buff'!$C$15+D130*'Perfis de buff'!$E$15+E130*'Perfis de buff'!$G$15+F130*'Perfis de buff'!$I$15+SUMPRODUCT(Time!$C$32:$C$51*(((Time!$A$32:$A$51=F6)+(Time!$A$32:$A$51="Todos"))&gt;0)*(Time!$B$32:$B$51="EM")*(Time!$D$32:$D$51="Sim")*ISNUMBER(MATCH(Time!$G$32:$G$51,'Perfis de buff'!$J$15:$N$15,0)))</f>
        <v>0</v>
      </c>
    </row>
    <row r="173" ht="15.75" customHeight="1">
      <c r="A173" s="4" t="s">
        <v>497</v>
      </c>
      <c r="B173" s="2"/>
      <c r="C173" s="21">
        <f>IF(OR(C38="Sim",C38=TRUE),C140*'Perfis de buff'!$B$11,0)+D140*'Perfis de buff'!$D$11+E140*'Perfis de buff'!$F$11+F140*'Perfis de buff'!$H$11+SUMPRODUCT(Time!$C$32:$C$51*(((Time!$A$32:$A$51=C6)+(Time!$A$32:$A$51="Todos"))&gt;0)*(Time!$B$32:$B$51="ATK")*(Time!$D$32:$D$51="Sim")*ISNUMBER(MATCH(Time!$G$32:$G$51,'Perfis de buff'!$J$11:$N$11,0)))</f>
        <v>2012.35</v>
      </c>
      <c r="D173" s="21">
        <f>C140*'Perfis de buff'!$B$11+IF(OR(D38="Sim",D38=TRUE),D140*'Perfis de buff'!$D$11,0)+E140*'Perfis de buff'!$F$11+F140*'Perfis de buff'!$H$11+SUMPRODUCT(Time!$C$32:$C$51*(((Time!$A$32:$A$51=D6)+(Time!$A$32:$A$51="Todos"))&gt;0)*(Time!$B$32:$B$51="ATK")*(Time!$D$32:$D$51="Sim")*ISNUMBER(MATCH(Time!$G$32:$G$51,'Perfis de buff'!$J$11:$N$11,0)))</f>
        <v>2012.35</v>
      </c>
      <c r="E173" s="21">
        <f>C140*'Perfis de buff'!$B$11+D140*'Perfis de buff'!$D$11+IF(OR(E38="Sim",E38=TRUE),E140*'Perfis de buff'!$F$11,0)+F140*'Perfis de buff'!$H$11+SUMPRODUCT(Time!$C$32:$C$51*(((Time!$A$32:$A$51=E6)+(Time!$A$32:$A$51="Todos"))&gt;0)*(Time!$B$32:$B$51="ATK")*(Time!$D$32:$D$51="Sim")*ISNUMBER(MATCH(Time!$G$32:$G$51,'Perfis de buff'!$J$11:$N$11,0)))</f>
        <v>1202.35</v>
      </c>
      <c r="F173" s="21">
        <f>C140*'Perfis de buff'!$B$11+D140*'Perfis de buff'!$D$11+E140*'Perfis de buff'!$F$11+IF(OR(F38="Sim",F38=TRUE),F140*'Perfis de buff'!$H$11,0)+SUMPRODUCT(Time!$C$32:$C$51*(((Time!$A$32:$A$51=F6)+(Time!$A$32:$A$51="Todos"))&gt;0)*(Time!$B$32:$B$51="ATK")*(Time!$D$32:$D$51="Sim")*ISNUMBER(MATCH(Time!$G$32:$G$51,'Perfis de buff'!$J$11:$N$11,0)))</f>
        <v>2012.35</v>
      </c>
    </row>
    <row r="174" ht="15.75" customHeight="1">
      <c r="A174" s="4" t="s">
        <v>498</v>
      </c>
      <c r="B174" s="2"/>
      <c r="C174" s="21">
        <f>IF(OR(C38="Sim",C38=TRUE),C140*'Perfis de buff'!$B$12,0)+D140*'Perfis de buff'!$D$12+E140*'Perfis de buff'!$F$12+F140*'Perfis de buff'!$H$12+SUMPRODUCT(Time!$C$32:$C$51*(((Time!$A$32:$A$51=C6)+(Time!$A$32:$A$51="Todos"))&gt;0)*(Time!$B$32:$B$51="ATK")*(Time!$D$32:$D$51="Sim")*ISNUMBER(MATCH(Time!$G$32:$G$51,'Perfis de buff'!$J$12:$N$12,0)))</f>
        <v>0</v>
      </c>
      <c r="D174" s="21">
        <f>C140*'Perfis de buff'!$B$12+IF(OR(D38="Sim",D38=TRUE),D140*'Perfis de buff'!$D$12,0)+E140*'Perfis de buff'!$F$12+F140*'Perfis de buff'!$H$12+SUMPRODUCT(Time!$C$32:$C$51*(((Time!$A$32:$A$51=D6)+(Time!$A$32:$A$51="Todos"))&gt;0)*(Time!$B$32:$B$51="ATK")*(Time!$D$32:$D$51="Sim")*ISNUMBER(MATCH(Time!$G$32:$G$51,'Perfis de buff'!$J$12:$N$12,0)))</f>
        <v>0</v>
      </c>
      <c r="E174" s="21">
        <f>C140*'Perfis de buff'!$B$12+D140*'Perfis de buff'!$D$12+IF(OR(E38="Sim",E38=TRUE),E140*'Perfis de buff'!$F$12,0)+F140*'Perfis de buff'!$H$12+SUMPRODUCT(Time!$C$32:$C$51*(((Time!$A$32:$A$51=E6)+(Time!$A$32:$A$51="Todos"))&gt;0)*(Time!$B$32:$B$51="ATK")*(Time!$D$32:$D$51="Sim")*ISNUMBER(MATCH(Time!$G$32:$G$51,'Perfis de buff'!$J$12:$N$12,0)))</f>
        <v>0</v>
      </c>
      <c r="F174" s="21">
        <f>C140*'Perfis de buff'!$B$12+D140*'Perfis de buff'!$D$12+E140*'Perfis de buff'!$F$12+IF(OR(F38="Sim",F38=TRUE),F140*'Perfis de buff'!$H$12,0)+SUMPRODUCT(Time!$C$32:$C$51*(((Time!$A$32:$A$51=F6)+(Time!$A$32:$A$51="Todos"))&gt;0)*(Time!$B$32:$B$51="ATK")*(Time!$D$32:$D$51="Sim")*ISNUMBER(MATCH(Time!$G$32:$G$51,'Perfis de buff'!$J$12:$N$12,0)))</f>
        <v>0</v>
      </c>
    </row>
    <row r="175" ht="15.75" customHeight="1">
      <c r="A175" s="4" t="s">
        <v>499</v>
      </c>
      <c r="B175" s="2"/>
      <c r="C175" s="21">
        <f>IF(OR(C38="Sim",C38=TRUE),C140*'Perfis de buff'!$B$13,0)+D140*'Perfis de buff'!$D$13+E140*'Perfis de buff'!$F$13+F140*'Perfis de buff'!$H$13+SUMPRODUCT(Time!$C$32:$C$51*(((Time!$A$32:$A$51=C6)+(Time!$A$32:$A$51="Todos"))&gt;0)*(Time!$B$32:$B$51="ATK")*(Time!$D$32:$D$51="Sim")*ISNUMBER(MATCH(Time!$G$32:$G$51,'Perfis de buff'!$J$13:$N$13,0)))</f>
        <v>1202.35</v>
      </c>
      <c r="D175" s="21">
        <f>C140*'Perfis de buff'!$B$13+IF(OR(D38="Sim",D38=TRUE),D140*'Perfis de buff'!$D$13,0)+E140*'Perfis de buff'!$F$13+F140*'Perfis de buff'!$H$13+SUMPRODUCT(Time!$C$32:$C$51*(((Time!$A$32:$A$51=D6)+(Time!$A$32:$A$51="Todos"))&gt;0)*(Time!$B$32:$B$51="ATK")*(Time!$D$32:$D$51="Sim")*ISNUMBER(MATCH(Time!$G$32:$G$51,'Perfis de buff'!$J$13:$N$13,0)))</f>
        <v>1202.35</v>
      </c>
      <c r="E175" s="21">
        <f>C140*'Perfis de buff'!$B$13+D140*'Perfis de buff'!$D$13+IF(OR(E38="Sim",E38=TRUE),E140*'Perfis de buff'!$F$13,0)+F140*'Perfis de buff'!$H$13+SUMPRODUCT(Time!$C$32:$C$51*(((Time!$A$32:$A$51=E6)+(Time!$A$32:$A$51="Todos"))&gt;0)*(Time!$B$32:$B$51="ATK")*(Time!$D$32:$D$51="Sim")*ISNUMBER(MATCH(Time!$G$32:$G$51,'Perfis de buff'!$J$13:$N$13,0)))</f>
        <v>1202.35</v>
      </c>
      <c r="F175" s="21">
        <f>C140*'Perfis de buff'!$B$13+D140*'Perfis de buff'!$D$13+E140*'Perfis de buff'!$F$13+IF(OR(F38="Sim",F38=TRUE),F140*'Perfis de buff'!$H$13,0)+SUMPRODUCT(Time!$C$32:$C$51*(((Time!$A$32:$A$51=F6)+(Time!$A$32:$A$51="Todos"))&gt;0)*(Time!$B$32:$B$51="ATK")*(Time!$D$32:$D$51="Sim")*ISNUMBER(MATCH(Time!$G$32:$G$51,'Perfis de buff'!$J$13:$N$13,0)))</f>
        <v>1202.35</v>
      </c>
    </row>
    <row r="176" ht="15.75" customHeight="1">
      <c r="A176" s="4" t="s">
        <v>502</v>
      </c>
      <c r="B176" s="2"/>
      <c r="C176" s="21">
        <f>IF(OR(C38="Sim",C38=TRUE),C140*'Perfis de buff'!$B$14,0)+D140*'Perfis de buff'!$D$14+E140*'Perfis de buff'!$F$14+F140*'Perfis de buff'!$H$14+SUMPRODUCT(Time!$C$32:$C$51*(((Time!$A$32:$A$51=C6)+(Time!$A$32:$A$51="Todos"))&gt;0)*(Time!$B$32:$B$51="ATK")*(Time!$D$32:$D$51="Sim")*ISNUMBER(MATCH(Time!$G$32:$G$51,'Perfis de buff'!$J$14:$N$14,0)))</f>
        <v>1202.35</v>
      </c>
      <c r="D176" s="21">
        <f>C140*'Perfis de buff'!$B$14+IF(OR(D38="Sim",D38=TRUE),D140*'Perfis de buff'!$D$14,0)+E140*'Perfis de buff'!$F$14+F140*'Perfis de buff'!$H$14+SUMPRODUCT(Time!$C$32:$C$51*(((Time!$A$32:$A$51=D6)+(Time!$A$32:$A$51="Todos"))&gt;0)*(Time!$B$32:$B$51="ATK")*(Time!$D$32:$D$51="Sim")*ISNUMBER(MATCH(Time!$G$32:$G$51,'Perfis de buff'!$J$14:$N$14,0)))</f>
        <v>1202.35</v>
      </c>
      <c r="E176" s="21">
        <f>C140*'Perfis de buff'!$B$14+D140*'Perfis de buff'!$D$14+IF(OR(E38="Sim",E38=TRUE),E140*'Perfis de buff'!$F$14,0)+F140*'Perfis de buff'!$H$14+SUMPRODUCT(Time!$C$32:$C$51*(((Time!$A$32:$A$51=E6)+(Time!$A$32:$A$51="Todos"))&gt;0)*(Time!$B$32:$B$51="ATK")*(Time!$D$32:$D$51="Sim")*ISNUMBER(MATCH(Time!$G$32:$G$51,'Perfis de buff'!$J$14:$N$14,0)))</f>
        <v>1202.35</v>
      </c>
      <c r="F176" s="21">
        <f>C140*'Perfis de buff'!$B$14+D140*'Perfis de buff'!$D$14+E140*'Perfis de buff'!$F$14+IF(OR(F38="Sim",F38=TRUE),F140*'Perfis de buff'!$H$14,0)+SUMPRODUCT(Time!$C$32:$C$51*(((Time!$A$32:$A$51=F6)+(Time!$A$32:$A$51="Todos"))&gt;0)*(Time!$B$32:$B$51="ATK")*(Time!$D$32:$D$51="Sim")*ISNUMBER(MATCH(Time!$G$32:$G$51,'Perfis de buff'!$J$14:$N$14,0)))</f>
        <v>1202.35</v>
      </c>
    </row>
    <row r="177" ht="15.75" customHeight="1">
      <c r="A177" s="4" t="s">
        <v>503</v>
      </c>
      <c r="B177" s="2"/>
      <c r="C177" s="21">
        <f>IF(OR(C38="Sim",C38=TRUE),C140*'Perfis de buff'!$B$15,0)+D140*'Perfis de buff'!$D$15+E140*'Perfis de buff'!$F$15+F140*'Perfis de buff'!$H$15+SUMPRODUCT(Time!$C$32:$C$51*(((Time!$A$32:$A$51=C6)+(Time!$A$32:$A$51="Todos"))&gt;0)*(Time!$B$32:$B$51="ATK")*(Time!$D$32:$D$51="Sim")*ISNUMBER(MATCH(Time!$G$32:$G$51,'Perfis de buff'!$J$15:$N$15,0)))</f>
        <v>0</v>
      </c>
      <c r="D177" s="21">
        <f>C140*'Perfis de buff'!$B$15+IF(OR(D38="Sim",D38=TRUE),D140*'Perfis de buff'!$D$15,0)+E140*'Perfis de buff'!$F$15+F140*'Perfis de buff'!$H$15+SUMPRODUCT(Time!$C$32:$C$51*(((Time!$A$32:$A$51=D6)+(Time!$A$32:$A$51="Todos"))&gt;0)*(Time!$B$32:$B$51="ATK")*(Time!$D$32:$D$51="Sim")*ISNUMBER(MATCH(Time!$G$32:$G$51,'Perfis de buff'!$J$15:$N$15,0)))</f>
        <v>0</v>
      </c>
      <c r="E177" s="21">
        <f>C140*'Perfis de buff'!$B$15+D140*'Perfis de buff'!$D$15+IF(OR(E38="Sim",E38=TRUE),E140*'Perfis de buff'!$F$15,0)+F140*'Perfis de buff'!$H$15+SUMPRODUCT(Time!$C$32:$C$51*(((Time!$A$32:$A$51=E6)+(Time!$A$32:$A$51="Todos"))&gt;0)*(Time!$B$32:$B$51="ATK")*(Time!$D$32:$D$51="Sim")*ISNUMBER(MATCH(Time!$G$32:$G$51,'Perfis de buff'!$J$15:$N$15,0)))</f>
        <v>0</v>
      </c>
      <c r="F177" s="21">
        <f>C140*'Perfis de buff'!$B$15+D140*'Perfis de buff'!$D$15+E140*'Perfis de buff'!$F$15+IF(OR(F38="Sim",F38=TRUE),F140*'Perfis de buff'!$H$15,0)+SUMPRODUCT(Time!$C$32:$C$51*(((Time!$A$32:$A$51=F6)+(Time!$A$32:$A$51="Todos"))&gt;0)*(Time!$B$32:$B$51="ATK")*(Time!$D$32:$D$51="Sim")*ISNUMBER(MATCH(Time!$G$32:$G$51,'Perfis de buff'!$J$15:$N$15,0)))</f>
        <v>0</v>
      </c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19" t="s">
        <v>504</v>
      </c>
      <c r="B179" s="20"/>
      <c r="C179" s="20"/>
      <c r="D179" s="20"/>
      <c r="E179" s="20"/>
      <c r="F179" s="20"/>
    </row>
    <row r="180" ht="15.75" customHeight="1">
      <c r="A180" s="4" t="s">
        <v>505</v>
      </c>
      <c r="B180" s="2"/>
      <c r="C180" s="16">
        <f>(Time!$B$23+100)/((Time!$B$23+100)+(Time!$B$24+100)*(1-Time!$B$26))</f>
        <v>0.4871794872</v>
      </c>
      <c r="D180" s="16">
        <f>(Time!$B$23+100)/((Time!$B$23+100)+(Time!$B$24+100)*(1-Time!$B$26))</f>
        <v>0.4871794872</v>
      </c>
      <c r="E180" s="16">
        <f>(Time!$B$23+100)/((Time!$B$23+100)+(Time!$B$24+100)*(1-Time!$B$26))</f>
        <v>0.4871794872</v>
      </c>
      <c r="F180" s="16">
        <f>(Time!$B$23+100)/((Time!$B$23+100)+(Time!$B$24+100)*(1-Time!$B$26))</f>
        <v>0.4871794872</v>
      </c>
    </row>
    <row r="181" ht="15.75" customHeight="1">
      <c r="A181" s="4" t="s">
        <v>506</v>
      </c>
      <c r="B181" s="2"/>
      <c r="C181" s="22">
        <f>IF(AND(C39&gt;0,ISNUMBER(SEARCH(C19,C40&amp;""))),C39,0)+IF(AND(D39&gt;0,ISNUMBER(SEARCH(C19,D40&amp;""))),D39,0)+IF(AND(E39&gt;0,ISNUMBER(SEARCH(C19,E40&amp;""))),E39,0)+IF(AND(F39&gt;0,ISNUMBER(SEARCH(C19,F40&amp;""))),F39,0)</f>
        <v>0.2</v>
      </c>
      <c r="D181" s="22">
        <f>IF(AND(C39&gt;0,ISNUMBER(SEARCH(D19,C40&amp;""))),C39,0)+IF(AND(D39&gt;0,ISNUMBER(SEARCH(D19,D40&amp;""))),D39,0)+IF(AND(E39&gt;0,ISNUMBER(SEARCH(D19,E40&amp;""))),E39,0)+IF(AND(F39&gt;0,ISNUMBER(SEARCH(D19,F40&amp;""))),F39,0)</f>
        <v>0</v>
      </c>
      <c r="E181" s="22">
        <f>IF(AND(C39&gt;0,ISNUMBER(SEARCH(E19,C40&amp;""))),C39,0)+IF(AND(D39&gt;0,ISNUMBER(SEARCH(E19,D40&amp;""))),D39,0)+IF(AND(E39&gt;0,ISNUMBER(SEARCH(E19,E40&amp;""))),E39,0)+IF(AND(F39&gt;0,ISNUMBER(SEARCH(E19,F40&amp;""))),F39,0)</f>
        <v>0</v>
      </c>
      <c r="F181" s="22">
        <f>IF(AND(C39&gt;0,ISNUMBER(SEARCH(F19,C40&amp;""))),C39,0)+IF(AND(D39&gt;0,ISNUMBER(SEARCH(F19,D40&amp;""))),D39,0)+IF(AND(E39&gt;0,ISNUMBER(SEARCH(F19,E40&amp;""))),E39,0)+IF(AND(F39&gt;0,ISNUMBER(SEARCH(F19,F40&amp;""))),F39,0)</f>
        <v>0.2</v>
      </c>
    </row>
    <row r="182" ht="15.75" customHeight="1">
      <c r="A182" s="4" t="s">
        <v>508</v>
      </c>
      <c r="B182" s="2"/>
      <c r="C182" s="16">
        <f>IF(Time!$B$25-C181&lt;0,1-(Time!$B$25-C181)/2,IF(Time!$B$25-C181&lt;0.75,1-(Time!$B$25-C181),1/(1+4*(Time!$B$25-C181))))</f>
        <v>1.05</v>
      </c>
      <c r="D182" s="16">
        <f>IF(Time!$B$25-D181&lt;0,1-(Time!$B$25-D181)/2,IF(Time!$B$25-D181&lt;0.75,1-(Time!$B$25-D181),1/(1+4*(Time!$B$25-D181))))</f>
        <v>0.9</v>
      </c>
      <c r="E182" s="16">
        <f>IF(Time!$B$25-E181&lt;0,1-(Time!$B$25-E181)/2,IF(Time!$B$25-E181&lt;0.75,1-(Time!$B$25-E181),1/(1+4*(Time!$B$25-E181))))</f>
        <v>0.9</v>
      </c>
      <c r="F182" s="16">
        <f>IF(Time!$B$25-F181&lt;0,1-(Time!$B$25-F181)/2,IF(Time!$B$25-F181&lt;0.75,1-(Time!$B$25-F181),1/(1+4*(Time!$B$25-F181))))</f>
        <v>1.05</v>
      </c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19" t="s">
        <v>509</v>
      </c>
      <c r="B184" s="20"/>
      <c r="C184" s="20"/>
      <c r="D184" s="20"/>
      <c r="E184" s="20"/>
      <c r="F184" s="20"/>
    </row>
    <row r="185" ht="15.75" customHeight="1">
      <c r="A185" s="4" t="s">
        <v>338</v>
      </c>
      <c r="B185" s="2"/>
      <c r="C185" s="21">
        <f t="shared" ref="C185:F185" si="12">C131</f>
        <v>1100</v>
      </c>
      <c r="D185" s="21">
        <f t="shared" si="12"/>
        <v>528</v>
      </c>
      <c r="E185" s="21">
        <f t="shared" si="12"/>
        <v>865</v>
      </c>
      <c r="F185" s="21">
        <f t="shared" si="12"/>
        <v>865</v>
      </c>
    </row>
    <row r="186" ht="15.75" customHeight="1">
      <c r="A186" s="4" t="s">
        <v>510</v>
      </c>
      <c r="B186" s="2"/>
      <c r="C186" s="22">
        <f>C107+Time!$B$27*C97+C133+C132</f>
        <v>2.119</v>
      </c>
      <c r="D186" s="22">
        <f>D107+Time!$B$27*D97+D133+D132</f>
        <v>0.8340162162</v>
      </c>
      <c r="E186" s="22">
        <f>E107+Time!$B$27*E97+E133+E132</f>
        <v>1.721</v>
      </c>
      <c r="F186" s="22">
        <f>F107+Time!$B$27*F97+F133+F132</f>
        <v>0.549</v>
      </c>
    </row>
    <row r="187" ht="15.75" customHeight="1">
      <c r="A187" s="4" t="s">
        <v>511</v>
      </c>
      <c r="B187" s="2"/>
      <c r="C187" s="22">
        <f>C107+Time!$B$27*C97+C134+C132</f>
        <v>1.439</v>
      </c>
      <c r="D187" s="22">
        <f>D107+Time!$B$27*D97+D134+D132</f>
        <v>0.6340162162</v>
      </c>
      <c r="E187" s="22">
        <f>E107+Time!$B$27*E97+E134+E132</f>
        <v>1.521</v>
      </c>
      <c r="F187" s="22">
        <f>F107+Time!$B$27*F97+F134+F132</f>
        <v>0.349</v>
      </c>
    </row>
    <row r="188" ht="15.75" customHeight="1">
      <c r="A188" s="4" t="s">
        <v>512</v>
      </c>
      <c r="B188" s="2"/>
      <c r="C188" s="22">
        <f>C107+Time!$B$27*C97+C135+C132</f>
        <v>2.119</v>
      </c>
      <c r="D188" s="22">
        <f>D107+Time!$B$27*D97+D135+D132</f>
        <v>0.8340162162</v>
      </c>
      <c r="E188" s="22">
        <f>E107+Time!$B$27*E97+E135+E132</f>
        <v>1.721</v>
      </c>
      <c r="F188" s="22">
        <f>F107+Time!$B$27*F97+F135+F132</f>
        <v>0.549</v>
      </c>
    </row>
    <row r="189" ht="15.75" customHeight="1">
      <c r="A189" s="4" t="s">
        <v>513</v>
      </c>
      <c r="B189" s="2"/>
      <c r="C189" s="22">
        <f>C107+Time!$B$27*C97+C136+C132</f>
        <v>1.439</v>
      </c>
      <c r="D189" s="22">
        <f>D107+Time!$B$27*D97+D136+D132</f>
        <v>0.6340162162</v>
      </c>
      <c r="E189" s="22">
        <f>E107+Time!$B$27*E97+E136+E132</f>
        <v>1.521</v>
      </c>
      <c r="F189" s="22">
        <f>F107+Time!$B$27*F97+F136+F132</f>
        <v>0.349</v>
      </c>
    </row>
    <row r="190" ht="15.75" customHeight="1">
      <c r="A190" s="4" t="s">
        <v>514</v>
      </c>
      <c r="B190" s="2"/>
      <c r="C190" s="22">
        <f>C107+Time!$B$27*C97+C137+C132</f>
        <v>1.439</v>
      </c>
      <c r="D190" s="22">
        <f>D107+Time!$B$27*D97+D137+D132</f>
        <v>0.6340162162</v>
      </c>
      <c r="E190" s="22">
        <f>E107+Time!$B$27*E97+E137+E132</f>
        <v>1.521</v>
      </c>
      <c r="F190" s="22">
        <f>F107+Time!$B$27*F97+F137+F132</f>
        <v>0.349</v>
      </c>
    </row>
    <row r="191" ht="15.75" customHeight="1">
      <c r="A191" s="4" t="s">
        <v>515</v>
      </c>
      <c r="B191" s="2"/>
      <c r="C191" s="21">
        <f>C86+C108+Time!$B$27*C100+C173</f>
        <v>2360.35</v>
      </c>
      <c r="D191" s="21">
        <f>D86+D108+Time!$B$27*D100+D173</f>
        <v>2273.373784</v>
      </c>
      <c r="E191" s="21">
        <f>E86+E108+Time!$B$27*E100+E173</f>
        <v>1550.35</v>
      </c>
      <c r="F191" s="21">
        <f>F86+F108+Time!$B$27*F100+F173</f>
        <v>2360.35</v>
      </c>
    </row>
    <row r="192" ht="15.75" customHeight="1">
      <c r="A192" s="4" t="s">
        <v>516</v>
      </c>
      <c r="B192" s="2"/>
      <c r="C192" s="21">
        <f>C86+C108+Time!$B$27*C100+C174</f>
        <v>348</v>
      </c>
      <c r="D192" s="21">
        <f>D86+D108+Time!$B$27*D100+D174</f>
        <v>261.0237838</v>
      </c>
      <c r="E192" s="21">
        <f>E86+E108+Time!$B$27*E100+E174</f>
        <v>348</v>
      </c>
      <c r="F192" s="21">
        <f>F86+F108+Time!$B$27*F100+F174</f>
        <v>348</v>
      </c>
    </row>
    <row r="193" ht="15.75" customHeight="1">
      <c r="A193" s="4" t="s">
        <v>517</v>
      </c>
      <c r="B193" s="2"/>
      <c r="C193" s="21">
        <f>C86+C108+Time!$B$27*C100+C175</f>
        <v>1550.35</v>
      </c>
      <c r="D193" s="21">
        <f>D86+D108+Time!$B$27*D100+D175</f>
        <v>1463.373784</v>
      </c>
      <c r="E193" s="21">
        <f>E86+E108+Time!$B$27*E100+E175</f>
        <v>1550.35</v>
      </c>
      <c r="F193" s="21">
        <f>F86+F108+Time!$B$27*F100+F175</f>
        <v>1550.35</v>
      </c>
    </row>
    <row r="194" ht="15.75" customHeight="1">
      <c r="A194" s="4" t="s">
        <v>518</v>
      </c>
      <c r="B194" s="2"/>
      <c r="C194" s="21">
        <f>C86+C108+Time!$B$27*C100+C176</f>
        <v>1550.35</v>
      </c>
      <c r="D194" s="21">
        <f>D86+D108+Time!$B$27*D100+D176</f>
        <v>1463.373784</v>
      </c>
      <c r="E194" s="21">
        <f>E86+E108+Time!$B$27*E100+E176</f>
        <v>1550.35</v>
      </c>
      <c r="F194" s="21">
        <f>F86+F108+Time!$B$27*F100+F176</f>
        <v>1550.35</v>
      </c>
    </row>
    <row r="195" ht="15.75" customHeight="1">
      <c r="A195" s="4" t="s">
        <v>519</v>
      </c>
      <c r="B195" s="2"/>
      <c r="C195" s="21">
        <f>C86+C108+Time!$B$27*C100+C177</f>
        <v>348</v>
      </c>
      <c r="D195" s="21">
        <f>D86+D108+Time!$B$27*D100+D177</f>
        <v>261.0237838</v>
      </c>
      <c r="E195" s="21">
        <f>E86+E108+Time!$B$27*E100+E177</f>
        <v>348</v>
      </c>
      <c r="F195" s="21">
        <f>F86+F108+Time!$B$27*F100+F177</f>
        <v>348</v>
      </c>
    </row>
    <row r="196" ht="15.75" customHeight="1">
      <c r="A196" s="4" t="s">
        <v>520</v>
      </c>
      <c r="B196" s="2"/>
      <c r="C196" s="21">
        <f>C109+Time!$B$27*C98+C168</f>
        <v>346</v>
      </c>
      <c r="D196" s="21">
        <f>D109+Time!$B$27*D98+D168</f>
        <v>348.4908108</v>
      </c>
      <c r="E196" s="21">
        <f>E109+Time!$B$27*E98+E168</f>
        <v>159</v>
      </c>
      <c r="F196" s="21">
        <f>F109+Time!$B$27*F98+F168</f>
        <v>159</v>
      </c>
    </row>
    <row r="197" ht="15.75" customHeight="1">
      <c r="A197" s="4" t="s">
        <v>521</v>
      </c>
      <c r="B197" s="2"/>
      <c r="C197" s="21">
        <f>C109+Time!$B$27*C98+C169</f>
        <v>226</v>
      </c>
      <c r="D197" s="21">
        <f>D109+Time!$B$27*D98+D169</f>
        <v>228.4908108</v>
      </c>
      <c r="E197" s="21">
        <f>E109+Time!$B$27*E98+E169</f>
        <v>39</v>
      </c>
      <c r="F197" s="21">
        <f>F109+Time!$B$27*F98+F169</f>
        <v>39</v>
      </c>
    </row>
    <row r="198" ht="15.75" customHeight="1">
      <c r="A198" s="4" t="s">
        <v>522</v>
      </c>
      <c r="B198" s="2"/>
      <c r="C198" s="21">
        <f>C109+Time!$B$27*C98+C170</f>
        <v>346</v>
      </c>
      <c r="D198" s="21">
        <f>D109+Time!$B$27*D98+D170</f>
        <v>348.4908108</v>
      </c>
      <c r="E198" s="21">
        <f>E109+Time!$B$27*E98+E170</f>
        <v>159</v>
      </c>
      <c r="F198" s="21">
        <f>F109+Time!$B$27*F98+F170</f>
        <v>159</v>
      </c>
    </row>
    <row r="199" ht="15.75" customHeight="1">
      <c r="A199" s="4" t="s">
        <v>523</v>
      </c>
      <c r="B199" s="2"/>
      <c r="C199" s="21">
        <f>C109+Time!$B$27*C98+C171</f>
        <v>346</v>
      </c>
      <c r="D199" s="21">
        <f>D109+Time!$B$27*D98+D171</f>
        <v>348.4908108</v>
      </c>
      <c r="E199" s="21">
        <f>E109+Time!$B$27*E98+E171</f>
        <v>159</v>
      </c>
      <c r="F199" s="21">
        <f>F109+Time!$B$27*F98+F171</f>
        <v>159</v>
      </c>
    </row>
    <row r="200" ht="15.75" customHeight="1">
      <c r="A200" s="4" t="s">
        <v>524</v>
      </c>
      <c r="B200" s="2"/>
      <c r="C200" s="21">
        <f>C109+Time!$B$27*C98+C172</f>
        <v>226</v>
      </c>
      <c r="D200" s="21">
        <f>D109+Time!$B$27*D98+D172</f>
        <v>228.4908108</v>
      </c>
      <c r="E200" s="21">
        <f>E109+Time!$B$27*E98+E172</f>
        <v>39</v>
      </c>
      <c r="F200" s="21">
        <f>F109+Time!$B$27*F98+F172</f>
        <v>39</v>
      </c>
    </row>
    <row r="201" ht="15.75" customHeight="1">
      <c r="A201" s="4" t="s">
        <v>337</v>
      </c>
      <c r="B201" s="2"/>
      <c r="C201" s="21">
        <f t="shared" ref="C201:F201" si="13">C20</f>
        <v>12552</v>
      </c>
      <c r="D201" s="21">
        <f t="shared" si="13"/>
        <v>11634</v>
      </c>
      <c r="E201" s="21">
        <f t="shared" si="13"/>
        <v>10657</v>
      </c>
      <c r="F201" s="21">
        <f t="shared" si="13"/>
        <v>12397</v>
      </c>
    </row>
    <row r="202" ht="15.75" customHeight="1">
      <c r="A202" s="4" t="s">
        <v>525</v>
      </c>
      <c r="B202" s="2"/>
      <c r="C202" s="22">
        <f>C118+Time!$B$27*C101</f>
        <v>0.099</v>
      </c>
      <c r="D202" s="22">
        <f>D118+Time!$B$27*D101</f>
        <v>0.4360162162</v>
      </c>
      <c r="E202" s="22">
        <f>E118+Time!$B$27*E101</f>
        <v>0.099</v>
      </c>
      <c r="F202" s="22">
        <f>F118+Time!$B$27*F101</f>
        <v>0.099</v>
      </c>
    </row>
    <row r="203" ht="15.75" customHeight="1">
      <c r="A203" s="4" t="s">
        <v>526</v>
      </c>
      <c r="B203" s="2"/>
      <c r="C203" s="21">
        <f>C87+C119+Time!$B$27*C102</f>
        <v>5288</v>
      </c>
      <c r="D203" s="21">
        <f>D87+D119+Time!$B$27*D102</f>
        <v>4002.037838</v>
      </c>
      <c r="E203" s="21">
        <f>E87+E119+Time!$B$27*E102</f>
        <v>5288</v>
      </c>
      <c r="F203" s="21">
        <f>F87+F119+Time!$B$27*F102</f>
        <v>5288</v>
      </c>
    </row>
    <row r="204" ht="15.75" customHeight="1">
      <c r="A204" s="4" t="s">
        <v>339</v>
      </c>
      <c r="B204" s="2"/>
      <c r="C204" s="21">
        <f t="shared" ref="C204:F204" si="14">C22</f>
        <v>792</v>
      </c>
      <c r="D204" s="21">
        <f t="shared" si="14"/>
        <v>763</v>
      </c>
      <c r="E204" s="21">
        <f t="shared" si="14"/>
        <v>638</v>
      </c>
      <c r="F204" s="21">
        <f t="shared" si="14"/>
        <v>771</v>
      </c>
    </row>
    <row r="205" ht="15.75" customHeight="1">
      <c r="A205" s="4" t="s">
        <v>527</v>
      </c>
      <c r="B205" s="2"/>
      <c r="C205" s="22">
        <f>C120+Time!$B$27*C103</f>
        <v>0.124</v>
      </c>
      <c r="D205" s="22">
        <f>D120+Time!$B$27*D103</f>
        <v>0.1052324324</v>
      </c>
      <c r="E205" s="22">
        <f>E120+Time!$B$27*E103</f>
        <v>0.124</v>
      </c>
      <c r="F205" s="22">
        <f>F120+Time!$B$27*F103</f>
        <v>0.124</v>
      </c>
    </row>
    <row r="206" ht="15.75" customHeight="1">
      <c r="A206" s="4" t="s">
        <v>528</v>
      </c>
      <c r="B206" s="2"/>
      <c r="C206" s="21">
        <f>C121+Time!$B$27*C104</f>
        <v>39</v>
      </c>
      <c r="D206" s="21">
        <f>D121+Time!$B$27*D104</f>
        <v>33.30918919</v>
      </c>
      <c r="E206" s="21">
        <f>E121+Time!$B$27*E104</f>
        <v>39</v>
      </c>
      <c r="F206" s="21">
        <f>F121+Time!$B$27*F104</f>
        <v>39</v>
      </c>
    </row>
    <row r="207" ht="15.75" customHeight="1">
      <c r="A207" s="4" t="s">
        <v>529</v>
      </c>
      <c r="B207" s="2"/>
      <c r="C207" s="22">
        <f>0.05+C111+Time!$B$27*C95</f>
        <v>0.626</v>
      </c>
      <c r="D207" s="22">
        <f>0.05+D111+Time!$B$27*D95</f>
        <v>0.3380108108</v>
      </c>
      <c r="E207" s="22">
        <f>0.05+E111+Time!$B$27*E95</f>
        <v>0.427</v>
      </c>
      <c r="F207" s="22">
        <f>0.05+F111+Time!$B$27*F95</f>
        <v>0.427</v>
      </c>
    </row>
    <row r="208" ht="15.75" customHeight="1">
      <c r="A208" s="4" t="s">
        <v>530</v>
      </c>
      <c r="B208" s="2"/>
      <c r="C208" s="22">
        <f>0.5+C112+Time!$B$27*C96</f>
        <v>1.988</v>
      </c>
      <c r="D208" s="22">
        <f>0.5+D112+Time!$B$27*D96</f>
        <v>0.612172973</v>
      </c>
      <c r="E208" s="22">
        <f>0.5+E112+Time!$B$27*E96</f>
        <v>0.632</v>
      </c>
      <c r="F208" s="22">
        <f>0.5+F112+Time!$B$27*F96</f>
        <v>1.273</v>
      </c>
    </row>
    <row r="209" ht="15.75" customHeight="1">
      <c r="A209" s="4" t="s">
        <v>531</v>
      </c>
      <c r="B209" s="2"/>
      <c r="C209" s="34">
        <f>SUMIFS('Rotação'!$Y$5:$Y$64,'Rotação'!$J$5:$J$64,1,'Rotação'!$T$5:$T$64,'Perfis de buff'!$A$4,'Rotação'!$S$5:$S$64,"Nenhuma")</f>
        <v>29.20707623</v>
      </c>
      <c r="D209" s="34">
        <f>SUMIFS('Rotação'!$Y$5:$Y$64,'Rotação'!$J$5:$J$64,2,'Rotação'!$T$5:$T$64,'Perfis de buff'!$A$4,'Rotação'!$S$5:$S$64,"Nenhuma")</f>
        <v>4.308490043</v>
      </c>
      <c r="E209" s="34">
        <f>SUMIFS('Rotação'!$Y$5:$Y$64,'Rotação'!$J$5:$J$64,3,'Rotação'!$T$5:$T$64,'Perfis de buff'!$A$4,'Rotação'!$S$5:$S$64,"Nenhuma")</f>
        <v>0</v>
      </c>
      <c r="F209" s="34">
        <f>SUMIFS('Rotação'!$Y$5:$Y$64,'Rotação'!$J$5:$J$64,4,'Rotação'!$T$5:$T$64,'Perfis de buff'!$A$4,'Rotação'!$S$5:$S$64,"Nenhuma")</f>
        <v>5.228179869</v>
      </c>
    </row>
    <row r="210" ht="15.75" customHeight="1">
      <c r="A210" s="4" t="s">
        <v>532</v>
      </c>
      <c r="B210" s="2"/>
      <c r="C210" s="34">
        <f>SUMIFS('Rotação'!$Z$5:$Z$64,'Rotação'!$J$5:$J$64,1,'Rotação'!$T$5:$T$64,'Perfis de buff'!$A$4,'Rotação'!$S$5:$S$64,"Nenhuma")</f>
        <v>0</v>
      </c>
      <c r="D210" s="34">
        <f>SUMIFS('Rotação'!$Z$5:$Z$64,'Rotação'!$J$5:$J$64,2,'Rotação'!$T$5:$T$64,'Perfis de buff'!$A$4,'Rotação'!$S$5:$S$64,"Nenhuma")</f>
        <v>4.255532308</v>
      </c>
      <c r="E210" s="34">
        <f>SUMIFS('Rotação'!$Z$5:$Z$64,'Rotação'!$J$5:$J$64,3,'Rotação'!$T$5:$T$64,'Perfis de buff'!$A$4,'Rotação'!$S$5:$S$64,"Nenhuma")</f>
        <v>0</v>
      </c>
      <c r="F210" s="34">
        <f>SUMIFS('Rotação'!$Z$5:$Z$64,'Rotação'!$J$5:$J$64,4,'Rotação'!$T$5:$T$64,'Perfis de buff'!$A$4,'Rotação'!$S$5:$S$64,"Nenhuma")</f>
        <v>0</v>
      </c>
    </row>
    <row r="211" ht="15.75" customHeight="1">
      <c r="A211" s="4" t="s">
        <v>533</v>
      </c>
      <c r="B211" s="2"/>
      <c r="C211" s="34">
        <f>SUMIFS('Rotação'!$AA$5:$AA$64,'Rotação'!$J$5:$J$64,1,'Rotação'!$T$5:$T$64,'Perfis de buff'!$A$4,'Rotação'!$S$5:$S$64,"Nenhuma")</f>
        <v>0</v>
      </c>
      <c r="D211" s="34">
        <f>SUMIFS('Rotação'!$AA$5:$AA$64,'Rotação'!$J$5:$J$64,2,'Rotação'!$T$5:$T$64,'Perfis de buff'!$A$4,'Rotação'!$S$5:$S$64,"Nenhuma")</f>
        <v>0</v>
      </c>
      <c r="E211" s="34">
        <f>SUMIFS('Rotação'!$AA$5:$AA$64,'Rotação'!$J$5:$J$64,3,'Rotação'!$T$5:$T$64,'Perfis de buff'!$A$4,'Rotação'!$S$5:$S$64,"Nenhuma")</f>
        <v>0</v>
      </c>
      <c r="F211" s="34">
        <f>SUMIFS('Rotação'!$AA$5:$AA$64,'Rotação'!$J$5:$J$64,4,'Rotação'!$T$5:$T$64,'Perfis de buff'!$A$4,'Rotação'!$S$5:$S$64,"Nenhuma")</f>
        <v>0</v>
      </c>
    </row>
    <row r="212" ht="15.75" customHeight="1">
      <c r="A212" s="4" t="s">
        <v>534</v>
      </c>
      <c r="B212" s="2"/>
      <c r="C212" s="34">
        <f>SUMIFS('Rotação'!$AB$5:$AB$64,'Rotação'!$J$5:$J$64,1,'Rotação'!$T$5:$T$64,'Perfis de buff'!$A$4,'Rotação'!$S$5:$S$64,"Nenhuma")</f>
        <v>0</v>
      </c>
      <c r="D212" s="34">
        <f>SUMIFS('Rotação'!$AB$5:$AB$64,'Rotação'!$J$5:$J$64,2,'Rotação'!$T$5:$T$64,'Perfis de buff'!$A$4,'Rotação'!$S$5:$S$64,"Nenhuma")</f>
        <v>0</v>
      </c>
      <c r="E212" s="34">
        <f>SUMIFS('Rotação'!$AB$5:$AB$64,'Rotação'!$J$5:$J$64,3,'Rotação'!$T$5:$T$64,'Perfis de buff'!$A$4,'Rotação'!$S$5:$S$64,"Nenhuma")</f>
        <v>0</v>
      </c>
      <c r="F212" s="34">
        <f>SUMIFS('Rotação'!$AB$5:$AB$64,'Rotação'!$J$5:$J$64,4,'Rotação'!$T$5:$T$64,'Perfis de buff'!$A$4,'Rotação'!$S$5:$S$64,"Nenhuma")</f>
        <v>0</v>
      </c>
    </row>
    <row r="213" ht="15.75" customHeight="1">
      <c r="A213" s="4" t="s">
        <v>535</v>
      </c>
      <c r="B213" s="2"/>
      <c r="C213" s="34">
        <f>SUMIFS('Rotação'!$AL$5:$AL$64,'Rotação'!$J$5:$J$64,1,'Rotação'!$T$5:$T$64,'Perfis de buff'!$A$4,'Rotação'!$S$5:$S$64,"Nenhuma")</f>
        <v>0</v>
      </c>
      <c r="D213" s="34">
        <f>SUMIFS('Rotação'!$AL$5:$AL$64,'Rotação'!$J$5:$J$64,2,'Rotação'!$T$5:$T$64,'Perfis de buff'!$A$4,'Rotação'!$S$5:$S$64,"Nenhuma")</f>
        <v>0</v>
      </c>
      <c r="E213" s="34">
        <f>SUMIFS('Rotação'!$AL$5:$AL$64,'Rotação'!$J$5:$J$64,3,'Rotação'!$T$5:$T$64,'Perfis de buff'!$A$4,'Rotação'!$S$5:$S$64,"Nenhuma")</f>
        <v>0</v>
      </c>
      <c r="F213" s="34">
        <f>SUMIFS('Rotação'!$AL$5:$AL$64,'Rotação'!$J$5:$J$64,4,'Rotação'!$T$5:$T$64,'Perfis de buff'!$A$4,'Rotação'!$S$5:$S$64,"Nenhuma")</f>
        <v>0</v>
      </c>
    </row>
    <row r="214" ht="15.75" customHeight="1">
      <c r="A214" s="4" t="s">
        <v>536</v>
      </c>
      <c r="B214" s="2"/>
      <c r="C214" s="34">
        <f>SUMIFS('Rotação'!$Y$5:$Y$64,'Rotação'!$J$5:$J$64,1,'Rotação'!$T$5:$T$64,'Perfis de buff'!$A$4,'Rotação'!$S$5:$S$64,"Derreter")</f>
        <v>41.05016129</v>
      </c>
      <c r="D214" s="34">
        <f>SUMIFS('Rotação'!$Y$5:$Y$64,'Rotação'!$J$5:$J$64,2,'Rotação'!$T$5:$T$64,'Perfis de buff'!$A$4,'Rotação'!$S$5:$S$64,"Derreter")</f>
        <v>6.495656335</v>
      </c>
      <c r="E214" s="34">
        <f>SUMIFS('Rotação'!$Y$5:$Y$64,'Rotação'!$J$5:$J$64,3,'Rotação'!$T$5:$T$64,'Perfis de buff'!$A$4,'Rotação'!$S$5:$S$64,"Derreter")</f>
        <v>0</v>
      </c>
      <c r="F214" s="34">
        <f>SUMIFS('Rotação'!$Y$5:$Y$64,'Rotação'!$J$5:$J$64,4,'Rotação'!$T$5:$T$64,'Perfis de buff'!$A$4,'Rotação'!$S$5:$S$64,"Derreter")</f>
        <v>0</v>
      </c>
    </row>
    <row r="215" ht="15.75" customHeight="1">
      <c r="A215" s="4" t="s">
        <v>537</v>
      </c>
      <c r="B215" s="2"/>
      <c r="C215" s="34">
        <f>SUMIFS('Rotação'!$Z$5:$Z$64,'Rotação'!$J$5:$J$64,1,'Rotação'!$T$5:$T$64,'Perfis de buff'!$A$4,'Rotação'!$S$5:$S$64,"Derreter")</f>
        <v>0</v>
      </c>
      <c r="D215" s="34">
        <f>SUMIFS('Rotação'!$Z$5:$Z$64,'Rotação'!$J$5:$J$64,2,'Rotação'!$T$5:$T$64,'Perfis de buff'!$A$4,'Rotação'!$S$5:$S$64,"Derreter")</f>
        <v>7.092553846</v>
      </c>
      <c r="E215" s="34">
        <f>SUMIFS('Rotação'!$Z$5:$Z$64,'Rotação'!$J$5:$J$64,3,'Rotação'!$T$5:$T$64,'Perfis de buff'!$A$4,'Rotação'!$S$5:$S$64,"Derreter")</f>
        <v>0</v>
      </c>
      <c r="F215" s="34">
        <f>SUMIFS('Rotação'!$Z$5:$Z$64,'Rotação'!$J$5:$J$64,4,'Rotação'!$T$5:$T$64,'Perfis de buff'!$A$4,'Rotação'!$S$5:$S$64,"Derreter")</f>
        <v>0</v>
      </c>
    </row>
    <row r="216" ht="15.75" customHeight="1">
      <c r="A216" s="4" t="s">
        <v>538</v>
      </c>
      <c r="B216" s="2"/>
      <c r="C216" s="34">
        <f>SUMIFS('Rotação'!$AA$5:$AA$64,'Rotação'!$J$5:$J$64,1,'Rotação'!$T$5:$T$64,'Perfis de buff'!$A$4,'Rotação'!$S$5:$S$64,"Derreter")</f>
        <v>0</v>
      </c>
      <c r="D216" s="34">
        <f>SUMIFS('Rotação'!$AA$5:$AA$64,'Rotação'!$J$5:$J$64,2,'Rotação'!$T$5:$T$64,'Perfis de buff'!$A$4,'Rotação'!$S$5:$S$64,"Derreter")</f>
        <v>0</v>
      </c>
      <c r="E216" s="34">
        <f>SUMIFS('Rotação'!$AA$5:$AA$64,'Rotação'!$J$5:$J$64,3,'Rotação'!$T$5:$T$64,'Perfis de buff'!$A$4,'Rotação'!$S$5:$S$64,"Derreter")</f>
        <v>0</v>
      </c>
      <c r="F216" s="34">
        <f>SUMIFS('Rotação'!$AA$5:$AA$64,'Rotação'!$J$5:$J$64,4,'Rotação'!$T$5:$T$64,'Perfis de buff'!$A$4,'Rotação'!$S$5:$S$64,"Derreter")</f>
        <v>0</v>
      </c>
    </row>
    <row r="217" ht="15.75" customHeight="1">
      <c r="A217" s="4" t="s">
        <v>539</v>
      </c>
      <c r="B217" s="2"/>
      <c r="C217" s="34">
        <f>SUMIFS('Rotação'!$AB$5:$AB$64,'Rotação'!$J$5:$J$64,1,'Rotação'!$T$5:$T$64,'Perfis de buff'!$A$4,'Rotação'!$S$5:$S$64,"Derreter")</f>
        <v>0</v>
      </c>
      <c r="D217" s="34">
        <f>SUMIFS('Rotação'!$AB$5:$AB$64,'Rotação'!$J$5:$J$64,2,'Rotação'!$T$5:$T$64,'Perfis de buff'!$A$4,'Rotação'!$S$5:$S$64,"Derreter")</f>
        <v>0</v>
      </c>
      <c r="E217" s="34">
        <f>SUMIFS('Rotação'!$AB$5:$AB$64,'Rotação'!$J$5:$J$64,3,'Rotação'!$T$5:$T$64,'Perfis de buff'!$A$4,'Rotação'!$S$5:$S$64,"Derreter")</f>
        <v>0</v>
      </c>
      <c r="F217" s="34">
        <f>SUMIFS('Rotação'!$AB$5:$AB$64,'Rotação'!$J$5:$J$64,4,'Rotação'!$T$5:$T$64,'Perfis de buff'!$A$4,'Rotação'!$S$5:$S$64,"Derreter")</f>
        <v>0</v>
      </c>
    </row>
    <row r="218" ht="15.75" customHeight="1">
      <c r="A218" s="4" t="s">
        <v>540</v>
      </c>
      <c r="B218" s="2"/>
      <c r="C218" s="34">
        <f>SUMIFS('Rotação'!$AL$5:$AL$64,'Rotação'!$J$5:$J$64,1,'Rotação'!$T$5:$T$64,'Perfis de buff'!$A$4,'Rotação'!$S$5:$S$64,"Derreter")</f>
        <v>0</v>
      </c>
      <c r="D218" s="34">
        <f>SUMIFS('Rotação'!$AL$5:$AL$64,'Rotação'!$J$5:$J$64,2,'Rotação'!$T$5:$T$64,'Perfis de buff'!$A$4,'Rotação'!$S$5:$S$64,"Derreter")</f>
        <v>0</v>
      </c>
      <c r="E218" s="34">
        <f>SUMIFS('Rotação'!$AL$5:$AL$64,'Rotação'!$J$5:$J$64,3,'Rotação'!$T$5:$T$64,'Perfis de buff'!$A$4,'Rotação'!$S$5:$S$64,"Derreter")</f>
        <v>0</v>
      </c>
      <c r="F218" s="34">
        <f>SUMIFS('Rotação'!$AL$5:$AL$64,'Rotação'!$J$5:$J$64,4,'Rotação'!$T$5:$T$64,'Perfis de buff'!$A$4,'Rotação'!$S$5:$S$64,"Derreter")</f>
        <v>0</v>
      </c>
    </row>
    <row r="219" ht="15.75" customHeight="1">
      <c r="A219" s="4" t="s">
        <v>541</v>
      </c>
      <c r="B219" s="2"/>
      <c r="C219" s="34">
        <f>SUMIFS('Rotação'!$Y$5:$Y$64,'Rotação'!$J$5:$J$64,1,'Rotação'!$T$5:$T$64,'Perfis de buff'!$A$4,'Rotação'!$S$5:$S$64,"Vaporizar")</f>
        <v>0</v>
      </c>
      <c r="D219" s="34">
        <f>SUMIFS('Rotação'!$Y$5:$Y$64,'Rotação'!$J$5:$J$64,2,'Rotação'!$T$5:$T$64,'Perfis de buff'!$A$4,'Rotação'!$S$5:$S$64,"Vaporizar")</f>
        <v>0</v>
      </c>
      <c r="E219" s="34">
        <f>SUMIFS('Rotação'!$Y$5:$Y$64,'Rotação'!$J$5:$J$64,3,'Rotação'!$T$5:$T$64,'Perfis de buff'!$A$4,'Rotação'!$S$5:$S$64,"Vaporizar")</f>
        <v>0</v>
      </c>
      <c r="F219" s="34">
        <f>SUMIFS('Rotação'!$Y$5:$Y$64,'Rotação'!$J$5:$J$64,4,'Rotação'!$T$5:$T$64,'Perfis de buff'!$A$4,'Rotação'!$S$5:$S$64,"Vaporizar")</f>
        <v>0</v>
      </c>
    </row>
    <row r="220" ht="15.75" customHeight="1">
      <c r="A220" s="4" t="s">
        <v>542</v>
      </c>
      <c r="B220" s="2"/>
      <c r="C220" s="34">
        <f>SUMIFS('Rotação'!$Z$5:$Z$64,'Rotação'!$J$5:$J$64,1,'Rotação'!$T$5:$T$64,'Perfis de buff'!$A$4,'Rotação'!$S$5:$S$64,"Vaporizar")</f>
        <v>0</v>
      </c>
      <c r="D220" s="34">
        <f>SUMIFS('Rotação'!$Z$5:$Z$64,'Rotação'!$J$5:$J$64,2,'Rotação'!$T$5:$T$64,'Perfis de buff'!$A$4,'Rotação'!$S$5:$S$64,"Vaporizar")</f>
        <v>0</v>
      </c>
      <c r="E220" s="34">
        <f>SUMIFS('Rotação'!$Z$5:$Z$64,'Rotação'!$J$5:$J$64,3,'Rotação'!$T$5:$T$64,'Perfis de buff'!$A$4,'Rotação'!$S$5:$S$64,"Vaporizar")</f>
        <v>0</v>
      </c>
      <c r="F220" s="34">
        <f>SUMIFS('Rotação'!$Z$5:$Z$64,'Rotação'!$J$5:$J$64,4,'Rotação'!$T$5:$T$64,'Perfis de buff'!$A$4,'Rotação'!$S$5:$S$64,"Vaporizar")</f>
        <v>0</v>
      </c>
    </row>
    <row r="221" ht="15.75" customHeight="1">
      <c r="A221" s="4" t="s">
        <v>543</v>
      </c>
      <c r="B221" s="2"/>
      <c r="C221" s="34">
        <f>SUMIFS('Rotação'!$AA$5:$AA$64,'Rotação'!$J$5:$J$64,1,'Rotação'!$T$5:$T$64,'Perfis de buff'!$A$4,'Rotação'!$S$5:$S$64,"Vaporizar")</f>
        <v>0</v>
      </c>
      <c r="D221" s="34">
        <f>SUMIFS('Rotação'!$AA$5:$AA$64,'Rotação'!$J$5:$J$64,2,'Rotação'!$T$5:$T$64,'Perfis de buff'!$A$4,'Rotação'!$S$5:$S$64,"Vaporizar")</f>
        <v>0</v>
      </c>
      <c r="E221" s="34">
        <f>SUMIFS('Rotação'!$AA$5:$AA$64,'Rotação'!$J$5:$J$64,3,'Rotação'!$T$5:$T$64,'Perfis de buff'!$A$4,'Rotação'!$S$5:$S$64,"Vaporizar")</f>
        <v>0</v>
      </c>
      <c r="F221" s="34">
        <f>SUMIFS('Rotação'!$AA$5:$AA$64,'Rotação'!$J$5:$J$64,4,'Rotação'!$T$5:$T$64,'Perfis de buff'!$A$4,'Rotação'!$S$5:$S$64,"Vaporizar")</f>
        <v>0</v>
      </c>
    </row>
    <row r="222" ht="15.75" customHeight="1">
      <c r="A222" s="4" t="s">
        <v>544</v>
      </c>
      <c r="B222" s="2"/>
      <c r="C222" s="34">
        <f>SUMIFS('Rotação'!$AB$5:$AB$64,'Rotação'!$J$5:$J$64,1,'Rotação'!$T$5:$T$64,'Perfis de buff'!$A$4,'Rotação'!$S$5:$S$64,"Vaporizar")</f>
        <v>0</v>
      </c>
      <c r="D222" s="34">
        <f>SUMIFS('Rotação'!$AB$5:$AB$64,'Rotação'!$J$5:$J$64,2,'Rotação'!$T$5:$T$64,'Perfis de buff'!$A$4,'Rotação'!$S$5:$S$64,"Vaporizar")</f>
        <v>0</v>
      </c>
      <c r="E222" s="34">
        <f>SUMIFS('Rotação'!$AB$5:$AB$64,'Rotação'!$J$5:$J$64,3,'Rotação'!$T$5:$T$64,'Perfis de buff'!$A$4,'Rotação'!$S$5:$S$64,"Vaporizar")</f>
        <v>0</v>
      </c>
      <c r="F222" s="34">
        <f>SUMIFS('Rotação'!$AB$5:$AB$64,'Rotação'!$J$5:$J$64,4,'Rotação'!$T$5:$T$64,'Perfis de buff'!$A$4,'Rotação'!$S$5:$S$64,"Vaporizar")</f>
        <v>0</v>
      </c>
    </row>
    <row r="223" ht="15.75" customHeight="1">
      <c r="A223" s="4" t="s">
        <v>545</v>
      </c>
      <c r="B223" s="2"/>
      <c r="C223" s="34">
        <f>SUMIFS('Rotação'!$AL$5:$AL$64,'Rotação'!$J$5:$J$64,1,'Rotação'!$T$5:$T$64,'Perfis de buff'!$A$4,'Rotação'!$S$5:$S$64,"Vaporizar")</f>
        <v>0</v>
      </c>
      <c r="D223" s="34">
        <f>SUMIFS('Rotação'!$AL$5:$AL$64,'Rotação'!$J$5:$J$64,2,'Rotação'!$T$5:$T$64,'Perfis de buff'!$A$4,'Rotação'!$S$5:$S$64,"Vaporizar")</f>
        <v>0</v>
      </c>
      <c r="E223" s="34">
        <f>SUMIFS('Rotação'!$AL$5:$AL$64,'Rotação'!$J$5:$J$64,3,'Rotação'!$T$5:$T$64,'Perfis de buff'!$A$4,'Rotação'!$S$5:$S$64,"Vaporizar")</f>
        <v>0</v>
      </c>
      <c r="F223" s="34">
        <f>SUMIFS('Rotação'!$AL$5:$AL$64,'Rotação'!$J$5:$J$64,4,'Rotação'!$T$5:$T$64,'Perfis de buff'!$A$4,'Rotação'!$S$5:$S$64,"Vaporizar")</f>
        <v>0</v>
      </c>
    </row>
    <row r="224" ht="15.75" customHeight="1">
      <c r="A224" s="4" t="s">
        <v>546</v>
      </c>
      <c r="B224" s="2"/>
      <c r="C224" s="34">
        <f>SUMIFS('Rotação'!$Y$5:$Y$64,'Rotação'!$J$5:$J$64,1,'Rotação'!$T$5:$T$64,'Perfis de buff'!$A$5,'Rotação'!$S$5:$S$64,"Nenhuma")</f>
        <v>0</v>
      </c>
      <c r="D224" s="34">
        <f>SUMIFS('Rotação'!$Y$5:$Y$64,'Rotação'!$J$5:$J$64,2,'Rotação'!$T$5:$T$64,'Perfis de buff'!$A$5,'Rotação'!$S$5:$S$64,"Nenhuma")</f>
        <v>0</v>
      </c>
      <c r="E224" s="34">
        <f>SUMIFS('Rotação'!$Y$5:$Y$64,'Rotação'!$J$5:$J$64,3,'Rotação'!$T$5:$T$64,'Perfis de buff'!$A$5,'Rotação'!$S$5:$S$64,"Nenhuma")</f>
        <v>6.678646154</v>
      </c>
      <c r="F224" s="34">
        <f>SUMIFS('Rotação'!$Y$5:$Y$64,'Rotação'!$J$5:$J$64,4,'Rotação'!$T$5:$T$64,'Perfis de buff'!$A$5,'Rotação'!$S$5:$S$64,"Nenhuma")</f>
        <v>0</v>
      </c>
    </row>
    <row r="225" ht="15.75" customHeight="1">
      <c r="A225" s="4" t="s">
        <v>547</v>
      </c>
      <c r="B225" s="2"/>
      <c r="C225" s="34">
        <f>SUMIFS('Rotação'!$Z$5:$Z$64,'Rotação'!$J$5:$J$64,1,'Rotação'!$T$5:$T$64,'Perfis de buff'!$A$5,'Rotação'!$S$5:$S$64,"Nenhuma")</f>
        <v>0</v>
      </c>
      <c r="D225" s="34">
        <f>SUMIFS('Rotação'!$Z$5:$Z$64,'Rotação'!$J$5:$J$64,2,'Rotação'!$T$5:$T$64,'Perfis de buff'!$A$5,'Rotação'!$S$5:$S$64,"Nenhuma")</f>
        <v>0</v>
      </c>
      <c r="E225" s="34">
        <f>SUMIFS('Rotação'!$Z$5:$Z$64,'Rotação'!$J$5:$J$64,3,'Rotação'!$T$5:$T$64,'Perfis de buff'!$A$5,'Rotação'!$S$5:$S$64,"Nenhuma")</f>
        <v>0</v>
      </c>
      <c r="F225" s="34">
        <f>SUMIFS('Rotação'!$Z$5:$Z$64,'Rotação'!$J$5:$J$64,4,'Rotação'!$T$5:$T$64,'Perfis de buff'!$A$5,'Rotação'!$S$5:$S$64,"Nenhuma")</f>
        <v>0</v>
      </c>
    </row>
    <row r="226" ht="15.75" customHeight="1">
      <c r="A226" s="4" t="s">
        <v>548</v>
      </c>
      <c r="B226" s="2"/>
      <c r="C226" s="34">
        <f>SUMIFS('Rotação'!$AA$5:$AA$64,'Rotação'!$J$5:$J$64,1,'Rotação'!$T$5:$T$64,'Perfis de buff'!$A$5,'Rotação'!$S$5:$S$64,"Nenhuma")</f>
        <v>0</v>
      </c>
      <c r="D226" s="34">
        <f>SUMIFS('Rotação'!$AA$5:$AA$64,'Rotação'!$J$5:$J$64,2,'Rotação'!$T$5:$T$64,'Perfis de buff'!$A$5,'Rotação'!$S$5:$S$64,"Nenhuma")</f>
        <v>0</v>
      </c>
      <c r="E226" s="34">
        <f>SUMIFS('Rotação'!$AA$5:$AA$64,'Rotação'!$J$5:$J$64,3,'Rotação'!$T$5:$T$64,'Perfis de buff'!$A$5,'Rotação'!$S$5:$S$64,"Nenhuma")</f>
        <v>0</v>
      </c>
      <c r="F226" s="34">
        <f>SUMIFS('Rotação'!$AA$5:$AA$64,'Rotação'!$J$5:$J$64,4,'Rotação'!$T$5:$T$64,'Perfis de buff'!$A$5,'Rotação'!$S$5:$S$64,"Nenhuma")</f>
        <v>0</v>
      </c>
    </row>
    <row r="227" ht="15.75" customHeight="1">
      <c r="A227" s="4" t="s">
        <v>549</v>
      </c>
      <c r="B227" s="2"/>
      <c r="C227" s="34">
        <f>SUMIFS('Rotação'!$AB$5:$AB$64,'Rotação'!$J$5:$J$64,1,'Rotação'!$T$5:$T$64,'Perfis de buff'!$A$5,'Rotação'!$S$5:$S$64,"Nenhuma")</f>
        <v>0</v>
      </c>
      <c r="D227" s="34">
        <f>SUMIFS('Rotação'!$AB$5:$AB$64,'Rotação'!$J$5:$J$64,2,'Rotação'!$T$5:$T$64,'Perfis de buff'!$A$5,'Rotação'!$S$5:$S$64,"Nenhuma")</f>
        <v>0</v>
      </c>
      <c r="E227" s="34">
        <f>SUMIFS('Rotação'!$AB$5:$AB$64,'Rotação'!$J$5:$J$64,3,'Rotação'!$T$5:$T$64,'Perfis de buff'!$A$5,'Rotação'!$S$5:$S$64,"Nenhuma")</f>
        <v>0</v>
      </c>
      <c r="F227" s="34">
        <f>SUMIFS('Rotação'!$AB$5:$AB$64,'Rotação'!$J$5:$J$64,4,'Rotação'!$T$5:$T$64,'Perfis de buff'!$A$5,'Rotação'!$S$5:$S$64,"Nenhuma")</f>
        <v>0</v>
      </c>
    </row>
    <row r="228" ht="15.75" customHeight="1">
      <c r="A228" s="4" t="s">
        <v>550</v>
      </c>
      <c r="B228" s="2"/>
      <c r="C228" s="34">
        <f>SUMIFS('Rotação'!$AL$5:$AL$64,'Rotação'!$J$5:$J$64,1,'Rotação'!$T$5:$T$64,'Perfis de buff'!$A$5,'Rotação'!$S$5:$S$64,"Nenhuma")</f>
        <v>0</v>
      </c>
      <c r="D228" s="34">
        <f>SUMIFS('Rotação'!$AL$5:$AL$64,'Rotação'!$J$5:$J$64,2,'Rotação'!$T$5:$T$64,'Perfis de buff'!$A$5,'Rotação'!$S$5:$S$64,"Nenhuma")</f>
        <v>0</v>
      </c>
      <c r="E228" s="34">
        <f>SUMIFS('Rotação'!$AL$5:$AL$64,'Rotação'!$J$5:$J$64,3,'Rotação'!$T$5:$T$64,'Perfis de buff'!$A$5,'Rotação'!$S$5:$S$64,"Nenhuma")</f>
        <v>0</v>
      </c>
      <c r="F228" s="34">
        <f>SUMIFS('Rotação'!$AL$5:$AL$64,'Rotação'!$J$5:$J$64,4,'Rotação'!$T$5:$T$64,'Perfis de buff'!$A$5,'Rotação'!$S$5:$S$64,"Nenhuma")</f>
        <v>0</v>
      </c>
    </row>
    <row r="229" ht="15.75" customHeight="1">
      <c r="A229" s="4" t="s">
        <v>551</v>
      </c>
      <c r="B229" s="2"/>
      <c r="C229" s="34">
        <f>SUMIFS('Rotação'!$Y$5:$Y$64,'Rotação'!$J$5:$J$64,1,'Rotação'!$T$5:$T$64,'Perfis de buff'!$A$5,'Rotação'!$S$5:$S$64,"Derreter")</f>
        <v>0</v>
      </c>
      <c r="D229" s="34">
        <f>SUMIFS('Rotação'!$Y$5:$Y$64,'Rotação'!$J$5:$J$64,2,'Rotação'!$T$5:$T$64,'Perfis de buff'!$A$5,'Rotação'!$S$5:$S$64,"Derreter")</f>
        <v>0</v>
      </c>
      <c r="E229" s="34">
        <f>SUMIFS('Rotação'!$Y$5:$Y$64,'Rotação'!$J$5:$J$64,3,'Rotação'!$T$5:$T$64,'Perfis de buff'!$A$5,'Rotação'!$S$5:$S$64,"Derreter")</f>
        <v>0</v>
      </c>
      <c r="F229" s="34">
        <f>SUMIFS('Rotação'!$Y$5:$Y$64,'Rotação'!$J$5:$J$64,4,'Rotação'!$T$5:$T$64,'Perfis de buff'!$A$5,'Rotação'!$S$5:$S$64,"Derreter")</f>
        <v>0</v>
      </c>
    </row>
    <row r="230" ht="15.75" customHeight="1">
      <c r="A230" s="4" t="s">
        <v>552</v>
      </c>
      <c r="B230" s="2"/>
      <c r="C230" s="34">
        <f>SUMIFS('Rotação'!$Z$5:$Z$64,'Rotação'!$J$5:$J$64,1,'Rotação'!$T$5:$T$64,'Perfis de buff'!$A$5,'Rotação'!$S$5:$S$64,"Derreter")</f>
        <v>0</v>
      </c>
      <c r="D230" s="34">
        <f>SUMIFS('Rotação'!$Z$5:$Z$64,'Rotação'!$J$5:$J$64,2,'Rotação'!$T$5:$T$64,'Perfis de buff'!$A$5,'Rotação'!$S$5:$S$64,"Derreter")</f>
        <v>0</v>
      </c>
      <c r="E230" s="34">
        <f>SUMIFS('Rotação'!$Z$5:$Z$64,'Rotação'!$J$5:$J$64,3,'Rotação'!$T$5:$T$64,'Perfis de buff'!$A$5,'Rotação'!$S$5:$S$64,"Derreter")</f>
        <v>0</v>
      </c>
      <c r="F230" s="34">
        <f>SUMIFS('Rotação'!$Z$5:$Z$64,'Rotação'!$J$5:$J$64,4,'Rotação'!$T$5:$T$64,'Perfis de buff'!$A$5,'Rotação'!$S$5:$S$64,"Derreter")</f>
        <v>0</v>
      </c>
    </row>
    <row r="231" ht="15.75" customHeight="1">
      <c r="A231" s="4" t="s">
        <v>553</v>
      </c>
      <c r="B231" s="2"/>
      <c r="C231" s="34">
        <f>SUMIFS('Rotação'!$AA$5:$AA$64,'Rotação'!$J$5:$J$64,1,'Rotação'!$T$5:$T$64,'Perfis de buff'!$A$5,'Rotação'!$S$5:$S$64,"Derreter")</f>
        <v>0</v>
      </c>
      <c r="D231" s="34">
        <f>SUMIFS('Rotação'!$AA$5:$AA$64,'Rotação'!$J$5:$J$64,2,'Rotação'!$T$5:$T$64,'Perfis de buff'!$A$5,'Rotação'!$S$5:$S$64,"Derreter")</f>
        <v>0</v>
      </c>
      <c r="E231" s="34">
        <f>SUMIFS('Rotação'!$AA$5:$AA$64,'Rotação'!$J$5:$J$64,3,'Rotação'!$T$5:$T$64,'Perfis de buff'!$A$5,'Rotação'!$S$5:$S$64,"Derreter")</f>
        <v>0</v>
      </c>
      <c r="F231" s="34">
        <f>SUMIFS('Rotação'!$AA$5:$AA$64,'Rotação'!$J$5:$J$64,4,'Rotação'!$T$5:$T$64,'Perfis de buff'!$A$5,'Rotação'!$S$5:$S$64,"Derreter")</f>
        <v>0</v>
      </c>
    </row>
    <row r="232" ht="15.75" customHeight="1">
      <c r="A232" s="4" t="s">
        <v>554</v>
      </c>
      <c r="B232" s="2"/>
      <c r="C232" s="34">
        <f>SUMIFS('Rotação'!$AB$5:$AB$64,'Rotação'!$J$5:$J$64,1,'Rotação'!$T$5:$T$64,'Perfis de buff'!$A$5,'Rotação'!$S$5:$S$64,"Derreter")</f>
        <v>0</v>
      </c>
      <c r="D232" s="34">
        <f>SUMIFS('Rotação'!$AB$5:$AB$64,'Rotação'!$J$5:$J$64,2,'Rotação'!$T$5:$T$64,'Perfis de buff'!$A$5,'Rotação'!$S$5:$S$64,"Derreter")</f>
        <v>0</v>
      </c>
      <c r="E232" s="34">
        <f>SUMIFS('Rotação'!$AB$5:$AB$64,'Rotação'!$J$5:$J$64,3,'Rotação'!$T$5:$T$64,'Perfis de buff'!$A$5,'Rotação'!$S$5:$S$64,"Derreter")</f>
        <v>0</v>
      </c>
      <c r="F232" s="34">
        <f>SUMIFS('Rotação'!$AB$5:$AB$64,'Rotação'!$J$5:$J$64,4,'Rotação'!$T$5:$T$64,'Perfis de buff'!$A$5,'Rotação'!$S$5:$S$64,"Derreter")</f>
        <v>0</v>
      </c>
    </row>
    <row r="233" ht="15.75" customHeight="1">
      <c r="A233" s="4" t="s">
        <v>555</v>
      </c>
      <c r="B233" s="2"/>
      <c r="C233" s="34">
        <f>SUMIFS('Rotação'!$AL$5:$AL$64,'Rotação'!$J$5:$J$64,1,'Rotação'!$T$5:$T$64,'Perfis de buff'!$A$5,'Rotação'!$S$5:$S$64,"Derreter")</f>
        <v>0</v>
      </c>
      <c r="D233" s="34">
        <f>SUMIFS('Rotação'!$AL$5:$AL$64,'Rotação'!$J$5:$J$64,2,'Rotação'!$T$5:$T$64,'Perfis de buff'!$A$5,'Rotação'!$S$5:$S$64,"Derreter")</f>
        <v>0</v>
      </c>
      <c r="E233" s="34">
        <f>SUMIFS('Rotação'!$AL$5:$AL$64,'Rotação'!$J$5:$J$64,3,'Rotação'!$T$5:$T$64,'Perfis de buff'!$A$5,'Rotação'!$S$5:$S$64,"Derreter")</f>
        <v>0</v>
      </c>
      <c r="F233" s="34">
        <f>SUMIFS('Rotação'!$AL$5:$AL$64,'Rotação'!$J$5:$J$64,4,'Rotação'!$T$5:$T$64,'Perfis de buff'!$A$5,'Rotação'!$S$5:$S$64,"Derreter")</f>
        <v>0</v>
      </c>
    </row>
    <row r="234" ht="15.75" customHeight="1">
      <c r="A234" s="4" t="s">
        <v>556</v>
      </c>
      <c r="B234" s="2"/>
      <c r="C234" s="34">
        <f>SUMIFS('Rotação'!$Y$5:$Y$64,'Rotação'!$J$5:$J$64,1,'Rotação'!$T$5:$T$64,'Perfis de buff'!$A$5,'Rotação'!$S$5:$S$64,"Vaporizar")</f>
        <v>0</v>
      </c>
      <c r="D234" s="34">
        <f>SUMIFS('Rotação'!$Y$5:$Y$64,'Rotação'!$J$5:$J$64,2,'Rotação'!$T$5:$T$64,'Perfis de buff'!$A$5,'Rotação'!$S$5:$S$64,"Vaporizar")</f>
        <v>0</v>
      </c>
      <c r="E234" s="34">
        <f>SUMIFS('Rotação'!$Y$5:$Y$64,'Rotação'!$J$5:$J$64,3,'Rotação'!$T$5:$T$64,'Perfis de buff'!$A$5,'Rotação'!$S$5:$S$64,"Vaporizar")</f>
        <v>0</v>
      </c>
      <c r="F234" s="34">
        <f>SUMIFS('Rotação'!$Y$5:$Y$64,'Rotação'!$J$5:$J$64,4,'Rotação'!$T$5:$T$64,'Perfis de buff'!$A$5,'Rotação'!$S$5:$S$64,"Vaporizar")</f>
        <v>0</v>
      </c>
    </row>
    <row r="235" ht="15.75" customHeight="1">
      <c r="A235" s="4" t="s">
        <v>557</v>
      </c>
      <c r="B235" s="2"/>
      <c r="C235" s="34">
        <f>SUMIFS('Rotação'!$Z$5:$Z$64,'Rotação'!$J$5:$J$64,1,'Rotação'!$T$5:$T$64,'Perfis de buff'!$A$5,'Rotação'!$S$5:$S$64,"Vaporizar")</f>
        <v>0</v>
      </c>
      <c r="D235" s="34">
        <f>SUMIFS('Rotação'!$Z$5:$Z$64,'Rotação'!$J$5:$J$64,2,'Rotação'!$T$5:$T$64,'Perfis de buff'!$A$5,'Rotação'!$S$5:$S$64,"Vaporizar")</f>
        <v>0</v>
      </c>
      <c r="E235" s="34">
        <f>SUMIFS('Rotação'!$Z$5:$Z$64,'Rotação'!$J$5:$J$64,3,'Rotação'!$T$5:$T$64,'Perfis de buff'!$A$5,'Rotação'!$S$5:$S$64,"Vaporizar")</f>
        <v>0</v>
      </c>
      <c r="F235" s="34">
        <f>SUMIFS('Rotação'!$Z$5:$Z$64,'Rotação'!$J$5:$J$64,4,'Rotação'!$T$5:$T$64,'Perfis de buff'!$A$5,'Rotação'!$S$5:$S$64,"Vaporizar")</f>
        <v>0</v>
      </c>
    </row>
    <row r="236" ht="15.75" customHeight="1">
      <c r="A236" s="4" t="s">
        <v>558</v>
      </c>
      <c r="B236" s="2"/>
      <c r="C236" s="34">
        <f>SUMIFS('Rotação'!$AA$5:$AA$64,'Rotação'!$J$5:$J$64,1,'Rotação'!$T$5:$T$64,'Perfis de buff'!$A$5,'Rotação'!$S$5:$S$64,"Vaporizar")</f>
        <v>0</v>
      </c>
      <c r="D236" s="34">
        <f>SUMIFS('Rotação'!$AA$5:$AA$64,'Rotação'!$J$5:$J$64,2,'Rotação'!$T$5:$T$64,'Perfis de buff'!$A$5,'Rotação'!$S$5:$S$64,"Vaporizar")</f>
        <v>0</v>
      </c>
      <c r="E236" s="34">
        <f>SUMIFS('Rotação'!$AA$5:$AA$64,'Rotação'!$J$5:$J$64,3,'Rotação'!$T$5:$T$64,'Perfis de buff'!$A$5,'Rotação'!$S$5:$S$64,"Vaporizar")</f>
        <v>0</v>
      </c>
      <c r="F236" s="34">
        <f>SUMIFS('Rotação'!$AA$5:$AA$64,'Rotação'!$J$5:$J$64,4,'Rotação'!$T$5:$T$64,'Perfis de buff'!$A$5,'Rotação'!$S$5:$S$64,"Vaporizar")</f>
        <v>0</v>
      </c>
    </row>
    <row r="237" ht="15.75" customHeight="1">
      <c r="A237" s="4" t="s">
        <v>559</v>
      </c>
      <c r="B237" s="2"/>
      <c r="C237" s="34">
        <f>SUMIFS('Rotação'!$AB$5:$AB$64,'Rotação'!$J$5:$J$64,1,'Rotação'!$T$5:$T$64,'Perfis de buff'!$A$5,'Rotação'!$S$5:$S$64,"Vaporizar")</f>
        <v>0</v>
      </c>
      <c r="D237" s="34">
        <f>SUMIFS('Rotação'!$AB$5:$AB$64,'Rotação'!$J$5:$J$64,2,'Rotação'!$T$5:$T$64,'Perfis de buff'!$A$5,'Rotação'!$S$5:$S$64,"Vaporizar")</f>
        <v>0</v>
      </c>
      <c r="E237" s="34">
        <f>SUMIFS('Rotação'!$AB$5:$AB$64,'Rotação'!$J$5:$J$64,3,'Rotação'!$T$5:$T$64,'Perfis de buff'!$A$5,'Rotação'!$S$5:$S$64,"Vaporizar")</f>
        <v>0</v>
      </c>
      <c r="F237" s="34">
        <f>SUMIFS('Rotação'!$AB$5:$AB$64,'Rotação'!$J$5:$J$64,4,'Rotação'!$T$5:$T$64,'Perfis de buff'!$A$5,'Rotação'!$S$5:$S$64,"Vaporizar")</f>
        <v>0</v>
      </c>
    </row>
    <row r="238" ht="15.75" customHeight="1">
      <c r="A238" s="4" t="s">
        <v>560</v>
      </c>
      <c r="B238" s="2"/>
      <c r="C238" s="34">
        <f>SUMIFS('Rotação'!$AL$5:$AL$64,'Rotação'!$J$5:$J$64,1,'Rotação'!$T$5:$T$64,'Perfis de buff'!$A$5,'Rotação'!$S$5:$S$64,"Vaporizar")</f>
        <v>0</v>
      </c>
      <c r="D238" s="34">
        <f>SUMIFS('Rotação'!$AL$5:$AL$64,'Rotação'!$J$5:$J$64,2,'Rotação'!$T$5:$T$64,'Perfis de buff'!$A$5,'Rotação'!$S$5:$S$64,"Vaporizar")</f>
        <v>0</v>
      </c>
      <c r="E238" s="34">
        <f>SUMIFS('Rotação'!$AL$5:$AL$64,'Rotação'!$J$5:$J$64,3,'Rotação'!$T$5:$T$64,'Perfis de buff'!$A$5,'Rotação'!$S$5:$S$64,"Vaporizar")</f>
        <v>0</v>
      </c>
      <c r="F238" s="34">
        <f>SUMIFS('Rotação'!$AL$5:$AL$64,'Rotação'!$J$5:$J$64,4,'Rotação'!$T$5:$T$64,'Perfis de buff'!$A$5,'Rotação'!$S$5:$S$64,"Vaporizar")</f>
        <v>0</v>
      </c>
    </row>
    <row r="239" ht="15.75" customHeight="1">
      <c r="A239" s="4" t="s">
        <v>561</v>
      </c>
      <c r="B239" s="2"/>
      <c r="C239" s="34">
        <f>SUMIFS('Rotação'!$Y$5:$Y$64,'Rotação'!$J$5:$J$64,1,'Rotação'!$T$5:$T$64,'Perfis de buff'!$A$6,'Rotação'!$S$5:$S$64,"Nenhuma")</f>
        <v>2.669153981</v>
      </c>
      <c r="D239" s="34">
        <f>SUMIFS('Rotação'!$Y$5:$Y$64,'Rotação'!$J$5:$J$64,2,'Rotação'!$T$5:$T$64,'Perfis de buff'!$A$6,'Rotação'!$S$5:$S$64,"Nenhuma")</f>
        <v>0</v>
      </c>
      <c r="E239" s="34">
        <f>SUMIFS('Rotação'!$Y$5:$Y$64,'Rotação'!$J$5:$J$64,3,'Rotação'!$T$5:$T$64,'Perfis de buff'!$A$6,'Rotação'!$S$5:$S$64,"Nenhuma")</f>
        <v>0</v>
      </c>
      <c r="F239" s="34">
        <f>SUMIFS('Rotação'!$Y$5:$Y$64,'Rotação'!$J$5:$J$64,4,'Rotação'!$T$5:$T$64,'Perfis de buff'!$A$6,'Rotação'!$S$5:$S$64,"Nenhuma")</f>
        <v>0</v>
      </c>
    </row>
    <row r="240" ht="15.75" customHeight="1">
      <c r="A240" s="4" t="s">
        <v>562</v>
      </c>
      <c r="B240" s="2"/>
      <c r="C240" s="34">
        <f>SUMIFS('Rotação'!$Z$5:$Z$64,'Rotação'!$J$5:$J$64,1,'Rotação'!$T$5:$T$64,'Perfis de buff'!$A$6,'Rotação'!$S$5:$S$64,"Nenhuma")</f>
        <v>0</v>
      </c>
      <c r="D240" s="34">
        <f>SUMIFS('Rotação'!$Z$5:$Z$64,'Rotação'!$J$5:$J$64,2,'Rotação'!$T$5:$T$64,'Perfis de buff'!$A$6,'Rotação'!$S$5:$S$64,"Nenhuma")</f>
        <v>0</v>
      </c>
      <c r="E240" s="34">
        <f>SUMIFS('Rotação'!$Z$5:$Z$64,'Rotação'!$J$5:$J$64,3,'Rotação'!$T$5:$T$64,'Perfis de buff'!$A$6,'Rotação'!$S$5:$S$64,"Nenhuma")</f>
        <v>0</v>
      </c>
      <c r="F240" s="34">
        <f>SUMIFS('Rotação'!$Z$5:$Z$64,'Rotação'!$J$5:$J$64,4,'Rotação'!$T$5:$T$64,'Perfis de buff'!$A$6,'Rotação'!$S$5:$S$64,"Nenhuma")</f>
        <v>0</v>
      </c>
    </row>
    <row r="241" ht="15.75" customHeight="1">
      <c r="A241" s="4" t="s">
        <v>563</v>
      </c>
      <c r="B241" s="2"/>
      <c r="C241" s="34">
        <f>SUMIFS('Rotação'!$AA$5:$AA$64,'Rotação'!$J$5:$J$64,1,'Rotação'!$T$5:$T$64,'Perfis de buff'!$A$6,'Rotação'!$S$5:$S$64,"Nenhuma")</f>
        <v>0</v>
      </c>
      <c r="D241" s="34">
        <f>SUMIFS('Rotação'!$AA$5:$AA$64,'Rotação'!$J$5:$J$64,2,'Rotação'!$T$5:$T$64,'Perfis de buff'!$A$6,'Rotação'!$S$5:$S$64,"Nenhuma")</f>
        <v>0</v>
      </c>
      <c r="E241" s="34">
        <f>SUMIFS('Rotação'!$AA$5:$AA$64,'Rotação'!$J$5:$J$64,3,'Rotação'!$T$5:$T$64,'Perfis de buff'!$A$6,'Rotação'!$S$5:$S$64,"Nenhuma")</f>
        <v>0</v>
      </c>
      <c r="F241" s="34">
        <f>SUMIFS('Rotação'!$AA$5:$AA$64,'Rotação'!$J$5:$J$64,4,'Rotação'!$T$5:$T$64,'Perfis de buff'!$A$6,'Rotação'!$S$5:$S$64,"Nenhuma")</f>
        <v>0</v>
      </c>
    </row>
    <row r="242" ht="15.75" customHeight="1">
      <c r="A242" s="4" t="s">
        <v>564</v>
      </c>
      <c r="B242" s="2"/>
      <c r="C242" s="34">
        <f>SUMIFS('Rotação'!$AB$5:$AB$64,'Rotação'!$J$5:$J$64,1,'Rotação'!$T$5:$T$64,'Perfis de buff'!$A$6,'Rotação'!$S$5:$S$64,"Nenhuma")</f>
        <v>0</v>
      </c>
      <c r="D242" s="34">
        <f>SUMIFS('Rotação'!$AB$5:$AB$64,'Rotação'!$J$5:$J$64,2,'Rotação'!$T$5:$T$64,'Perfis de buff'!$A$6,'Rotação'!$S$5:$S$64,"Nenhuma")</f>
        <v>0</v>
      </c>
      <c r="E242" s="34">
        <f>SUMIFS('Rotação'!$AB$5:$AB$64,'Rotação'!$J$5:$J$64,3,'Rotação'!$T$5:$T$64,'Perfis de buff'!$A$6,'Rotação'!$S$5:$S$64,"Nenhuma")</f>
        <v>0</v>
      </c>
      <c r="F242" s="34">
        <f>SUMIFS('Rotação'!$AB$5:$AB$64,'Rotação'!$J$5:$J$64,4,'Rotação'!$T$5:$T$64,'Perfis de buff'!$A$6,'Rotação'!$S$5:$S$64,"Nenhuma")</f>
        <v>0</v>
      </c>
    </row>
    <row r="243" ht="15.75" customHeight="1">
      <c r="A243" s="4" t="s">
        <v>565</v>
      </c>
      <c r="B243" s="2"/>
      <c r="C243" s="34">
        <f>SUMIFS('Rotação'!$AL$5:$AL$64,'Rotação'!$J$5:$J$64,1,'Rotação'!$T$5:$T$64,'Perfis de buff'!$A$6,'Rotação'!$S$5:$S$64,"Nenhuma")</f>
        <v>0</v>
      </c>
      <c r="D243" s="34">
        <f>SUMIFS('Rotação'!$AL$5:$AL$64,'Rotação'!$J$5:$J$64,2,'Rotação'!$T$5:$T$64,'Perfis de buff'!$A$6,'Rotação'!$S$5:$S$64,"Nenhuma")</f>
        <v>0</v>
      </c>
      <c r="E243" s="34">
        <f>SUMIFS('Rotação'!$AL$5:$AL$64,'Rotação'!$J$5:$J$64,3,'Rotação'!$T$5:$T$64,'Perfis de buff'!$A$6,'Rotação'!$S$5:$S$64,"Nenhuma")</f>
        <v>0</v>
      </c>
      <c r="F243" s="34">
        <f>SUMIFS('Rotação'!$AL$5:$AL$64,'Rotação'!$J$5:$J$64,4,'Rotação'!$T$5:$T$64,'Perfis de buff'!$A$6,'Rotação'!$S$5:$S$64,"Nenhuma")</f>
        <v>0</v>
      </c>
    </row>
    <row r="244" ht="15.75" customHeight="1">
      <c r="A244" s="4" t="s">
        <v>566</v>
      </c>
      <c r="B244" s="2"/>
      <c r="C244" s="34">
        <f>SUMIFS('Rotação'!$Y$5:$Y$64,'Rotação'!$J$5:$J$64,1,'Rotação'!$T$5:$T$64,'Perfis de buff'!$A$6,'Rotação'!$S$5:$S$64,"Derreter")</f>
        <v>3.694126154</v>
      </c>
      <c r="D244" s="34">
        <f>SUMIFS('Rotação'!$Y$5:$Y$64,'Rotação'!$J$5:$J$64,2,'Rotação'!$T$5:$T$64,'Perfis de buff'!$A$6,'Rotação'!$S$5:$S$64,"Derreter")</f>
        <v>0</v>
      </c>
      <c r="E244" s="34">
        <f>SUMIFS('Rotação'!$Y$5:$Y$64,'Rotação'!$J$5:$J$64,3,'Rotação'!$T$5:$T$64,'Perfis de buff'!$A$6,'Rotação'!$S$5:$S$64,"Derreter")</f>
        <v>0</v>
      </c>
      <c r="F244" s="34">
        <f>SUMIFS('Rotação'!$Y$5:$Y$64,'Rotação'!$J$5:$J$64,4,'Rotação'!$T$5:$T$64,'Perfis de buff'!$A$6,'Rotação'!$S$5:$S$64,"Derreter")</f>
        <v>0</v>
      </c>
    </row>
    <row r="245" ht="15.75" customHeight="1">
      <c r="A245" s="4" t="s">
        <v>567</v>
      </c>
      <c r="B245" s="2"/>
      <c r="C245" s="34">
        <f>SUMIFS('Rotação'!$Z$5:$Z$64,'Rotação'!$J$5:$J$64,1,'Rotação'!$T$5:$T$64,'Perfis de buff'!$A$6,'Rotação'!$S$5:$S$64,"Derreter")</f>
        <v>0</v>
      </c>
      <c r="D245" s="34">
        <f>SUMIFS('Rotação'!$Z$5:$Z$64,'Rotação'!$J$5:$J$64,2,'Rotação'!$T$5:$T$64,'Perfis de buff'!$A$6,'Rotação'!$S$5:$S$64,"Derreter")</f>
        <v>0</v>
      </c>
      <c r="E245" s="34">
        <f>SUMIFS('Rotação'!$Z$5:$Z$64,'Rotação'!$J$5:$J$64,3,'Rotação'!$T$5:$T$64,'Perfis de buff'!$A$6,'Rotação'!$S$5:$S$64,"Derreter")</f>
        <v>0</v>
      </c>
      <c r="F245" s="34">
        <f>SUMIFS('Rotação'!$Z$5:$Z$64,'Rotação'!$J$5:$J$64,4,'Rotação'!$T$5:$T$64,'Perfis de buff'!$A$6,'Rotação'!$S$5:$S$64,"Derreter")</f>
        <v>0</v>
      </c>
    </row>
    <row r="246" ht="15.75" customHeight="1">
      <c r="A246" s="4" t="s">
        <v>568</v>
      </c>
      <c r="B246" s="2"/>
      <c r="C246" s="34">
        <f>SUMIFS('Rotação'!$AA$5:$AA$64,'Rotação'!$J$5:$J$64,1,'Rotação'!$T$5:$T$64,'Perfis de buff'!$A$6,'Rotação'!$S$5:$S$64,"Derreter")</f>
        <v>0</v>
      </c>
      <c r="D246" s="34">
        <f>SUMIFS('Rotação'!$AA$5:$AA$64,'Rotação'!$J$5:$J$64,2,'Rotação'!$T$5:$T$64,'Perfis de buff'!$A$6,'Rotação'!$S$5:$S$64,"Derreter")</f>
        <v>0</v>
      </c>
      <c r="E246" s="34">
        <f>SUMIFS('Rotação'!$AA$5:$AA$64,'Rotação'!$J$5:$J$64,3,'Rotação'!$T$5:$T$64,'Perfis de buff'!$A$6,'Rotação'!$S$5:$S$64,"Derreter")</f>
        <v>0</v>
      </c>
      <c r="F246" s="34">
        <f>SUMIFS('Rotação'!$AA$5:$AA$64,'Rotação'!$J$5:$J$64,4,'Rotação'!$T$5:$T$64,'Perfis de buff'!$A$6,'Rotação'!$S$5:$S$64,"Derreter")</f>
        <v>0</v>
      </c>
    </row>
    <row r="247" ht="15.75" customHeight="1">
      <c r="A247" s="4" t="s">
        <v>569</v>
      </c>
      <c r="B247" s="2"/>
      <c r="C247" s="34">
        <f>SUMIFS('Rotação'!$AB$5:$AB$64,'Rotação'!$J$5:$J$64,1,'Rotação'!$T$5:$T$64,'Perfis de buff'!$A$6,'Rotação'!$S$5:$S$64,"Derreter")</f>
        <v>0</v>
      </c>
      <c r="D247" s="34">
        <f>SUMIFS('Rotação'!$AB$5:$AB$64,'Rotação'!$J$5:$J$64,2,'Rotação'!$T$5:$T$64,'Perfis de buff'!$A$6,'Rotação'!$S$5:$S$64,"Derreter")</f>
        <v>0</v>
      </c>
      <c r="E247" s="34">
        <f>SUMIFS('Rotação'!$AB$5:$AB$64,'Rotação'!$J$5:$J$64,3,'Rotação'!$T$5:$T$64,'Perfis de buff'!$A$6,'Rotação'!$S$5:$S$64,"Derreter")</f>
        <v>0</v>
      </c>
      <c r="F247" s="34">
        <f>SUMIFS('Rotação'!$AB$5:$AB$64,'Rotação'!$J$5:$J$64,4,'Rotação'!$T$5:$T$64,'Perfis de buff'!$A$6,'Rotação'!$S$5:$S$64,"Derreter")</f>
        <v>0</v>
      </c>
    </row>
    <row r="248" ht="15.75" customHeight="1">
      <c r="A248" s="4" t="s">
        <v>570</v>
      </c>
      <c r="B248" s="2"/>
      <c r="C248" s="34">
        <f>SUMIFS('Rotação'!$AL$5:$AL$64,'Rotação'!$J$5:$J$64,1,'Rotação'!$T$5:$T$64,'Perfis de buff'!$A$6,'Rotação'!$S$5:$S$64,"Derreter")</f>
        <v>0</v>
      </c>
      <c r="D248" s="34">
        <f>SUMIFS('Rotação'!$AL$5:$AL$64,'Rotação'!$J$5:$J$64,2,'Rotação'!$T$5:$T$64,'Perfis de buff'!$A$6,'Rotação'!$S$5:$S$64,"Derreter")</f>
        <v>0</v>
      </c>
      <c r="E248" s="34">
        <f>SUMIFS('Rotação'!$AL$5:$AL$64,'Rotação'!$J$5:$J$64,3,'Rotação'!$T$5:$T$64,'Perfis de buff'!$A$6,'Rotação'!$S$5:$S$64,"Derreter")</f>
        <v>0</v>
      </c>
      <c r="F248" s="34">
        <f>SUMIFS('Rotação'!$AL$5:$AL$64,'Rotação'!$J$5:$J$64,4,'Rotação'!$T$5:$T$64,'Perfis de buff'!$A$6,'Rotação'!$S$5:$S$64,"Derreter")</f>
        <v>0</v>
      </c>
    </row>
    <row r="249" ht="15.75" customHeight="1">
      <c r="A249" s="4" t="s">
        <v>571</v>
      </c>
      <c r="B249" s="2"/>
      <c r="C249" s="34">
        <f>SUMIFS('Rotação'!$Y$5:$Y$64,'Rotação'!$J$5:$J$64,1,'Rotação'!$T$5:$T$64,'Perfis de buff'!$A$6,'Rotação'!$S$5:$S$64,"Vaporizar")</f>
        <v>0</v>
      </c>
      <c r="D249" s="34">
        <f>SUMIFS('Rotação'!$Y$5:$Y$64,'Rotação'!$J$5:$J$64,2,'Rotação'!$T$5:$T$64,'Perfis de buff'!$A$6,'Rotação'!$S$5:$S$64,"Vaporizar")</f>
        <v>0</v>
      </c>
      <c r="E249" s="34">
        <f>SUMIFS('Rotação'!$Y$5:$Y$64,'Rotação'!$J$5:$J$64,3,'Rotação'!$T$5:$T$64,'Perfis de buff'!$A$6,'Rotação'!$S$5:$S$64,"Vaporizar")</f>
        <v>0</v>
      </c>
      <c r="F249" s="34">
        <f>SUMIFS('Rotação'!$Y$5:$Y$64,'Rotação'!$J$5:$J$64,4,'Rotação'!$T$5:$T$64,'Perfis de buff'!$A$6,'Rotação'!$S$5:$S$64,"Vaporizar")</f>
        <v>0</v>
      </c>
    </row>
    <row r="250" ht="15.75" customHeight="1">
      <c r="A250" s="4" t="s">
        <v>572</v>
      </c>
      <c r="B250" s="2"/>
      <c r="C250" s="34">
        <f>SUMIFS('Rotação'!$Z$5:$Z$64,'Rotação'!$J$5:$J$64,1,'Rotação'!$T$5:$T$64,'Perfis de buff'!$A$6,'Rotação'!$S$5:$S$64,"Vaporizar")</f>
        <v>0</v>
      </c>
      <c r="D250" s="34">
        <f>SUMIFS('Rotação'!$Z$5:$Z$64,'Rotação'!$J$5:$J$64,2,'Rotação'!$T$5:$T$64,'Perfis de buff'!$A$6,'Rotação'!$S$5:$S$64,"Vaporizar")</f>
        <v>0</v>
      </c>
      <c r="E250" s="34">
        <f>SUMIFS('Rotação'!$Z$5:$Z$64,'Rotação'!$J$5:$J$64,3,'Rotação'!$T$5:$T$64,'Perfis de buff'!$A$6,'Rotação'!$S$5:$S$64,"Vaporizar")</f>
        <v>0</v>
      </c>
      <c r="F250" s="34">
        <f>SUMIFS('Rotação'!$Z$5:$Z$64,'Rotação'!$J$5:$J$64,4,'Rotação'!$T$5:$T$64,'Perfis de buff'!$A$6,'Rotação'!$S$5:$S$64,"Vaporizar")</f>
        <v>0</v>
      </c>
    </row>
    <row r="251" ht="15.75" customHeight="1">
      <c r="A251" s="4" t="s">
        <v>573</v>
      </c>
      <c r="B251" s="2"/>
      <c r="C251" s="34">
        <f>SUMIFS('Rotação'!$AA$5:$AA$64,'Rotação'!$J$5:$J$64,1,'Rotação'!$T$5:$T$64,'Perfis de buff'!$A$6,'Rotação'!$S$5:$S$64,"Vaporizar")</f>
        <v>0</v>
      </c>
      <c r="D251" s="34">
        <f>SUMIFS('Rotação'!$AA$5:$AA$64,'Rotação'!$J$5:$J$64,2,'Rotação'!$T$5:$T$64,'Perfis de buff'!$A$6,'Rotação'!$S$5:$S$64,"Vaporizar")</f>
        <v>0</v>
      </c>
      <c r="E251" s="34">
        <f>SUMIFS('Rotação'!$AA$5:$AA$64,'Rotação'!$J$5:$J$64,3,'Rotação'!$T$5:$T$64,'Perfis de buff'!$A$6,'Rotação'!$S$5:$S$64,"Vaporizar")</f>
        <v>0</v>
      </c>
      <c r="F251" s="34">
        <f>SUMIFS('Rotação'!$AA$5:$AA$64,'Rotação'!$J$5:$J$64,4,'Rotação'!$T$5:$T$64,'Perfis de buff'!$A$6,'Rotação'!$S$5:$S$64,"Vaporizar")</f>
        <v>0</v>
      </c>
    </row>
    <row r="252" ht="15.75" customHeight="1">
      <c r="A252" s="4" t="s">
        <v>574</v>
      </c>
      <c r="B252" s="2"/>
      <c r="C252" s="34">
        <f>SUMIFS('Rotação'!$AB$5:$AB$64,'Rotação'!$J$5:$J$64,1,'Rotação'!$T$5:$T$64,'Perfis de buff'!$A$6,'Rotação'!$S$5:$S$64,"Vaporizar")</f>
        <v>0</v>
      </c>
      <c r="D252" s="34">
        <f>SUMIFS('Rotação'!$AB$5:$AB$64,'Rotação'!$J$5:$J$64,2,'Rotação'!$T$5:$T$64,'Perfis de buff'!$A$6,'Rotação'!$S$5:$S$64,"Vaporizar")</f>
        <v>0</v>
      </c>
      <c r="E252" s="34">
        <f>SUMIFS('Rotação'!$AB$5:$AB$64,'Rotação'!$J$5:$J$64,3,'Rotação'!$T$5:$T$64,'Perfis de buff'!$A$6,'Rotação'!$S$5:$S$64,"Vaporizar")</f>
        <v>0</v>
      </c>
      <c r="F252" s="34">
        <f>SUMIFS('Rotação'!$AB$5:$AB$64,'Rotação'!$J$5:$J$64,4,'Rotação'!$T$5:$T$64,'Perfis de buff'!$A$6,'Rotação'!$S$5:$S$64,"Vaporizar")</f>
        <v>0</v>
      </c>
    </row>
    <row r="253" ht="15.75" customHeight="1">
      <c r="A253" s="4" t="s">
        <v>575</v>
      </c>
      <c r="B253" s="2"/>
      <c r="C253" s="34">
        <f>SUMIFS('Rotação'!$AL$5:$AL$64,'Rotação'!$J$5:$J$64,1,'Rotação'!$T$5:$T$64,'Perfis de buff'!$A$6,'Rotação'!$S$5:$S$64,"Vaporizar")</f>
        <v>0</v>
      </c>
      <c r="D253" s="34">
        <f>SUMIFS('Rotação'!$AL$5:$AL$64,'Rotação'!$J$5:$J$64,2,'Rotação'!$T$5:$T$64,'Perfis de buff'!$A$6,'Rotação'!$S$5:$S$64,"Vaporizar")</f>
        <v>0</v>
      </c>
      <c r="E253" s="34">
        <f>SUMIFS('Rotação'!$AL$5:$AL$64,'Rotação'!$J$5:$J$64,3,'Rotação'!$T$5:$T$64,'Perfis de buff'!$A$6,'Rotação'!$S$5:$S$64,"Vaporizar")</f>
        <v>0</v>
      </c>
      <c r="F253" s="34">
        <f>SUMIFS('Rotação'!$AL$5:$AL$64,'Rotação'!$J$5:$J$64,4,'Rotação'!$T$5:$T$64,'Perfis de buff'!$A$6,'Rotação'!$S$5:$S$64,"Vaporizar")</f>
        <v>0</v>
      </c>
    </row>
    <row r="254" ht="15.75" customHeight="1">
      <c r="A254" s="4" t="s">
        <v>576</v>
      </c>
      <c r="B254" s="2"/>
      <c r="C254" s="34">
        <f>SUMIFS('Rotação'!$Y$5:$Y$64,'Rotação'!$J$5:$J$64,1,'Rotação'!$T$5:$T$64,'Perfis de buff'!$A$7,'Rotação'!$S$5:$S$64,"Nenhuma")</f>
        <v>4.788824088</v>
      </c>
      <c r="D254" s="34">
        <f>SUMIFS('Rotação'!$Y$5:$Y$64,'Rotação'!$J$5:$J$64,2,'Rotação'!$T$5:$T$64,'Perfis de buff'!$A$7,'Rotação'!$S$5:$S$64,"Nenhuma")</f>
        <v>0</v>
      </c>
      <c r="E254" s="34">
        <f>SUMIFS('Rotação'!$Y$5:$Y$64,'Rotação'!$J$5:$J$64,3,'Rotação'!$T$5:$T$64,'Perfis de buff'!$A$7,'Rotação'!$S$5:$S$64,"Nenhuma")</f>
        <v>0</v>
      </c>
      <c r="F254" s="34">
        <f>SUMIFS('Rotação'!$Y$5:$Y$64,'Rotação'!$J$5:$J$64,4,'Rotação'!$T$5:$T$64,'Perfis de buff'!$A$7,'Rotação'!$S$5:$S$64,"Nenhuma")</f>
        <v>0</v>
      </c>
    </row>
    <row r="255" ht="15.75" customHeight="1">
      <c r="A255" s="4" t="s">
        <v>577</v>
      </c>
      <c r="B255" s="2"/>
      <c r="C255" s="34">
        <f>SUMIFS('Rotação'!$Z$5:$Z$64,'Rotação'!$J$5:$J$64,1,'Rotação'!$T$5:$T$64,'Perfis de buff'!$A$7,'Rotação'!$S$5:$S$64,"Nenhuma")</f>
        <v>0</v>
      </c>
      <c r="D255" s="34">
        <f>SUMIFS('Rotação'!$Z$5:$Z$64,'Rotação'!$J$5:$J$64,2,'Rotação'!$T$5:$T$64,'Perfis de buff'!$A$7,'Rotação'!$S$5:$S$64,"Nenhuma")</f>
        <v>0</v>
      </c>
      <c r="E255" s="34">
        <f>SUMIFS('Rotação'!$Z$5:$Z$64,'Rotação'!$J$5:$J$64,3,'Rotação'!$T$5:$T$64,'Perfis de buff'!$A$7,'Rotação'!$S$5:$S$64,"Nenhuma")</f>
        <v>0</v>
      </c>
      <c r="F255" s="34">
        <f>SUMIFS('Rotação'!$Z$5:$Z$64,'Rotação'!$J$5:$J$64,4,'Rotação'!$T$5:$T$64,'Perfis de buff'!$A$7,'Rotação'!$S$5:$S$64,"Nenhuma")</f>
        <v>0</v>
      </c>
    </row>
    <row r="256" ht="15.75" customHeight="1">
      <c r="A256" s="4" t="s">
        <v>578</v>
      </c>
      <c r="B256" s="2"/>
      <c r="C256" s="34">
        <f>SUMIFS('Rotação'!$AA$5:$AA$64,'Rotação'!$J$5:$J$64,1,'Rotação'!$T$5:$T$64,'Perfis de buff'!$A$7,'Rotação'!$S$5:$S$64,"Nenhuma")</f>
        <v>0</v>
      </c>
      <c r="D256" s="34">
        <f>SUMIFS('Rotação'!$AA$5:$AA$64,'Rotação'!$J$5:$J$64,2,'Rotação'!$T$5:$T$64,'Perfis de buff'!$A$7,'Rotação'!$S$5:$S$64,"Nenhuma")</f>
        <v>0</v>
      </c>
      <c r="E256" s="34">
        <f>SUMIFS('Rotação'!$AA$5:$AA$64,'Rotação'!$J$5:$J$64,3,'Rotação'!$T$5:$T$64,'Perfis de buff'!$A$7,'Rotação'!$S$5:$S$64,"Nenhuma")</f>
        <v>0</v>
      </c>
      <c r="F256" s="34">
        <f>SUMIFS('Rotação'!$AA$5:$AA$64,'Rotação'!$J$5:$J$64,4,'Rotação'!$T$5:$T$64,'Perfis de buff'!$A$7,'Rotação'!$S$5:$S$64,"Nenhuma")</f>
        <v>0</v>
      </c>
    </row>
    <row r="257" ht="15.75" customHeight="1">
      <c r="A257" s="4" t="s">
        <v>579</v>
      </c>
      <c r="B257" s="2"/>
      <c r="C257" s="34">
        <f>SUMIFS('Rotação'!$AB$5:$AB$64,'Rotação'!$J$5:$J$64,1,'Rotação'!$T$5:$T$64,'Perfis de buff'!$A$7,'Rotação'!$S$5:$S$64,"Nenhuma")</f>
        <v>0</v>
      </c>
      <c r="D257" s="34">
        <f>SUMIFS('Rotação'!$AB$5:$AB$64,'Rotação'!$J$5:$J$64,2,'Rotação'!$T$5:$T$64,'Perfis de buff'!$A$7,'Rotação'!$S$5:$S$64,"Nenhuma")</f>
        <v>0</v>
      </c>
      <c r="E257" s="34">
        <f>SUMIFS('Rotação'!$AB$5:$AB$64,'Rotação'!$J$5:$J$64,3,'Rotação'!$T$5:$T$64,'Perfis de buff'!$A$7,'Rotação'!$S$5:$S$64,"Nenhuma")</f>
        <v>0</v>
      </c>
      <c r="F257" s="34">
        <f>SUMIFS('Rotação'!$AB$5:$AB$64,'Rotação'!$J$5:$J$64,4,'Rotação'!$T$5:$T$64,'Perfis de buff'!$A$7,'Rotação'!$S$5:$S$64,"Nenhuma")</f>
        <v>0</v>
      </c>
    </row>
    <row r="258" ht="15.75" customHeight="1">
      <c r="A258" s="4" t="s">
        <v>580</v>
      </c>
      <c r="B258" s="2"/>
      <c r="C258" s="34">
        <f>SUMIFS('Rotação'!$AL$5:$AL$64,'Rotação'!$J$5:$J$64,1,'Rotação'!$T$5:$T$64,'Perfis de buff'!$A$7,'Rotação'!$S$5:$S$64,"Nenhuma")</f>
        <v>0</v>
      </c>
      <c r="D258" s="34">
        <f>SUMIFS('Rotação'!$AL$5:$AL$64,'Rotação'!$J$5:$J$64,2,'Rotação'!$T$5:$T$64,'Perfis de buff'!$A$7,'Rotação'!$S$5:$S$64,"Nenhuma")</f>
        <v>0</v>
      </c>
      <c r="E258" s="34">
        <f>SUMIFS('Rotação'!$AL$5:$AL$64,'Rotação'!$J$5:$J$64,3,'Rotação'!$T$5:$T$64,'Perfis de buff'!$A$7,'Rotação'!$S$5:$S$64,"Nenhuma")</f>
        <v>0</v>
      </c>
      <c r="F258" s="34">
        <f>SUMIFS('Rotação'!$AL$5:$AL$64,'Rotação'!$J$5:$J$64,4,'Rotação'!$T$5:$T$64,'Perfis de buff'!$A$7,'Rotação'!$S$5:$S$64,"Nenhuma")</f>
        <v>0</v>
      </c>
    </row>
    <row r="259" ht="15.75" customHeight="1">
      <c r="A259" s="4" t="s">
        <v>581</v>
      </c>
      <c r="B259" s="2"/>
      <c r="C259" s="34">
        <f>SUMIFS('Rotação'!$Y$5:$Y$64,'Rotação'!$J$5:$J$64,1,'Rotação'!$T$5:$T$64,'Perfis de buff'!$A$7,'Rotação'!$S$5:$S$64,"Derreter")</f>
        <v>3.639862154</v>
      </c>
      <c r="D259" s="34">
        <f>SUMIFS('Rotação'!$Y$5:$Y$64,'Rotação'!$J$5:$J$64,2,'Rotação'!$T$5:$T$64,'Perfis de buff'!$A$7,'Rotação'!$S$5:$S$64,"Derreter")</f>
        <v>0</v>
      </c>
      <c r="E259" s="34">
        <f>SUMIFS('Rotação'!$Y$5:$Y$64,'Rotação'!$J$5:$J$64,3,'Rotação'!$T$5:$T$64,'Perfis de buff'!$A$7,'Rotação'!$S$5:$S$64,"Derreter")</f>
        <v>0</v>
      </c>
      <c r="F259" s="34">
        <f>SUMIFS('Rotação'!$Y$5:$Y$64,'Rotação'!$J$5:$J$64,4,'Rotação'!$T$5:$T$64,'Perfis de buff'!$A$7,'Rotação'!$S$5:$S$64,"Derreter")</f>
        <v>0</v>
      </c>
    </row>
    <row r="260" ht="15.75" customHeight="1">
      <c r="A260" s="4" t="s">
        <v>582</v>
      </c>
      <c r="B260" s="2"/>
      <c r="C260" s="34">
        <f>SUMIFS('Rotação'!$Z$5:$Z$64,'Rotação'!$J$5:$J$64,1,'Rotação'!$T$5:$T$64,'Perfis de buff'!$A$7,'Rotação'!$S$5:$S$64,"Derreter")</f>
        <v>0</v>
      </c>
      <c r="D260" s="34">
        <f>SUMIFS('Rotação'!$Z$5:$Z$64,'Rotação'!$J$5:$J$64,2,'Rotação'!$T$5:$T$64,'Perfis de buff'!$A$7,'Rotação'!$S$5:$S$64,"Derreter")</f>
        <v>0</v>
      </c>
      <c r="E260" s="34">
        <f>SUMIFS('Rotação'!$Z$5:$Z$64,'Rotação'!$J$5:$J$64,3,'Rotação'!$T$5:$T$64,'Perfis de buff'!$A$7,'Rotação'!$S$5:$S$64,"Derreter")</f>
        <v>0</v>
      </c>
      <c r="F260" s="34">
        <f>SUMIFS('Rotação'!$Z$5:$Z$64,'Rotação'!$J$5:$J$64,4,'Rotação'!$T$5:$T$64,'Perfis de buff'!$A$7,'Rotação'!$S$5:$S$64,"Derreter")</f>
        <v>0</v>
      </c>
    </row>
    <row r="261" ht="15.75" customHeight="1">
      <c r="A261" s="4" t="s">
        <v>583</v>
      </c>
      <c r="B261" s="2"/>
      <c r="C261" s="34">
        <f>SUMIFS('Rotação'!$AA$5:$AA$64,'Rotação'!$J$5:$J$64,1,'Rotação'!$T$5:$T$64,'Perfis de buff'!$A$7,'Rotação'!$S$5:$S$64,"Derreter")</f>
        <v>0</v>
      </c>
      <c r="D261" s="34">
        <f>SUMIFS('Rotação'!$AA$5:$AA$64,'Rotação'!$J$5:$J$64,2,'Rotação'!$T$5:$T$64,'Perfis de buff'!$A$7,'Rotação'!$S$5:$S$64,"Derreter")</f>
        <v>0</v>
      </c>
      <c r="E261" s="34">
        <f>SUMIFS('Rotação'!$AA$5:$AA$64,'Rotação'!$J$5:$J$64,3,'Rotação'!$T$5:$T$64,'Perfis de buff'!$A$7,'Rotação'!$S$5:$S$64,"Derreter")</f>
        <v>0</v>
      </c>
      <c r="F261" s="34">
        <f>SUMIFS('Rotação'!$AA$5:$AA$64,'Rotação'!$J$5:$J$64,4,'Rotação'!$T$5:$T$64,'Perfis de buff'!$A$7,'Rotação'!$S$5:$S$64,"Derreter")</f>
        <v>0</v>
      </c>
    </row>
    <row r="262" ht="15.75" customHeight="1">
      <c r="A262" s="4" t="s">
        <v>584</v>
      </c>
      <c r="B262" s="2"/>
      <c r="C262" s="34">
        <f>SUMIFS('Rotação'!$AB$5:$AB$64,'Rotação'!$J$5:$J$64,1,'Rotação'!$T$5:$T$64,'Perfis de buff'!$A$7,'Rotação'!$S$5:$S$64,"Derreter")</f>
        <v>0</v>
      </c>
      <c r="D262" s="34">
        <f>SUMIFS('Rotação'!$AB$5:$AB$64,'Rotação'!$J$5:$J$64,2,'Rotação'!$T$5:$T$64,'Perfis de buff'!$A$7,'Rotação'!$S$5:$S$64,"Derreter")</f>
        <v>0</v>
      </c>
      <c r="E262" s="34">
        <f>SUMIFS('Rotação'!$AB$5:$AB$64,'Rotação'!$J$5:$J$64,3,'Rotação'!$T$5:$T$64,'Perfis de buff'!$A$7,'Rotação'!$S$5:$S$64,"Derreter")</f>
        <v>0</v>
      </c>
      <c r="F262" s="34">
        <f>SUMIFS('Rotação'!$AB$5:$AB$64,'Rotação'!$J$5:$J$64,4,'Rotação'!$T$5:$T$64,'Perfis de buff'!$A$7,'Rotação'!$S$5:$S$64,"Derreter")</f>
        <v>0</v>
      </c>
    </row>
    <row r="263" ht="15.75" customHeight="1">
      <c r="A263" s="4" t="s">
        <v>585</v>
      </c>
      <c r="B263" s="2"/>
      <c r="C263" s="34">
        <f>SUMIFS('Rotação'!$AL$5:$AL$64,'Rotação'!$J$5:$J$64,1,'Rotação'!$T$5:$T$64,'Perfis de buff'!$A$7,'Rotação'!$S$5:$S$64,"Derreter")</f>
        <v>0</v>
      </c>
      <c r="D263" s="34">
        <f>SUMIFS('Rotação'!$AL$5:$AL$64,'Rotação'!$J$5:$J$64,2,'Rotação'!$T$5:$T$64,'Perfis de buff'!$A$7,'Rotação'!$S$5:$S$64,"Derreter")</f>
        <v>0</v>
      </c>
      <c r="E263" s="34">
        <f>SUMIFS('Rotação'!$AL$5:$AL$64,'Rotação'!$J$5:$J$64,3,'Rotação'!$T$5:$T$64,'Perfis de buff'!$A$7,'Rotação'!$S$5:$S$64,"Derreter")</f>
        <v>0</v>
      </c>
      <c r="F263" s="34">
        <f>SUMIFS('Rotação'!$AL$5:$AL$64,'Rotação'!$J$5:$J$64,4,'Rotação'!$T$5:$T$64,'Perfis de buff'!$A$7,'Rotação'!$S$5:$S$64,"Derreter")</f>
        <v>0</v>
      </c>
    </row>
    <row r="264" ht="15.75" customHeight="1">
      <c r="A264" s="4" t="s">
        <v>586</v>
      </c>
      <c r="B264" s="2"/>
      <c r="C264" s="34">
        <f>SUMIFS('Rotação'!$Y$5:$Y$64,'Rotação'!$J$5:$J$64,1,'Rotação'!$T$5:$T$64,'Perfis de buff'!$A$7,'Rotação'!$S$5:$S$64,"Vaporizar")</f>
        <v>0</v>
      </c>
      <c r="D264" s="34">
        <f>SUMIFS('Rotação'!$Y$5:$Y$64,'Rotação'!$J$5:$J$64,2,'Rotação'!$T$5:$T$64,'Perfis de buff'!$A$7,'Rotação'!$S$5:$S$64,"Vaporizar")</f>
        <v>0</v>
      </c>
      <c r="E264" s="34">
        <f>SUMIFS('Rotação'!$Y$5:$Y$64,'Rotação'!$J$5:$J$64,3,'Rotação'!$T$5:$T$64,'Perfis de buff'!$A$7,'Rotação'!$S$5:$S$64,"Vaporizar")</f>
        <v>0</v>
      </c>
      <c r="F264" s="34">
        <f>SUMIFS('Rotação'!$Y$5:$Y$64,'Rotação'!$J$5:$J$64,4,'Rotação'!$T$5:$T$64,'Perfis de buff'!$A$7,'Rotação'!$S$5:$S$64,"Vaporizar")</f>
        <v>0</v>
      </c>
    </row>
    <row r="265" ht="15.75" customHeight="1">
      <c r="A265" s="4" t="s">
        <v>587</v>
      </c>
      <c r="B265" s="2"/>
      <c r="C265" s="34">
        <f>SUMIFS('Rotação'!$Z$5:$Z$64,'Rotação'!$J$5:$J$64,1,'Rotação'!$T$5:$T$64,'Perfis de buff'!$A$7,'Rotação'!$S$5:$S$64,"Vaporizar")</f>
        <v>0</v>
      </c>
      <c r="D265" s="34">
        <f>SUMIFS('Rotação'!$Z$5:$Z$64,'Rotação'!$J$5:$J$64,2,'Rotação'!$T$5:$T$64,'Perfis de buff'!$A$7,'Rotação'!$S$5:$S$64,"Vaporizar")</f>
        <v>0</v>
      </c>
      <c r="E265" s="34">
        <f>SUMIFS('Rotação'!$Z$5:$Z$64,'Rotação'!$J$5:$J$64,3,'Rotação'!$T$5:$T$64,'Perfis de buff'!$A$7,'Rotação'!$S$5:$S$64,"Vaporizar")</f>
        <v>0</v>
      </c>
      <c r="F265" s="34">
        <f>SUMIFS('Rotação'!$Z$5:$Z$64,'Rotação'!$J$5:$J$64,4,'Rotação'!$T$5:$T$64,'Perfis de buff'!$A$7,'Rotação'!$S$5:$S$64,"Vaporizar")</f>
        <v>0</v>
      </c>
    </row>
    <row r="266" ht="15.75" customHeight="1">
      <c r="A266" s="4" t="s">
        <v>588</v>
      </c>
      <c r="B266" s="2"/>
      <c r="C266" s="34">
        <f>SUMIFS('Rotação'!$AA$5:$AA$64,'Rotação'!$J$5:$J$64,1,'Rotação'!$T$5:$T$64,'Perfis de buff'!$A$7,'Rotação'!$S$5:$S$64,"Vaporizar")</f>
        <v>0</v>
      </c>
      <c r="D266" s="34">
        <f>SUMIFS('Rotação'!$AA$5:$AA$64,'Rotação'!$J$5:$J$64,2,'Rotação'!$T$5:$T$64,'Perfis de buff'!$A$7,'Rotação'!$S$5:$S$64,"Vaporizar")</f>
        <v>0</v>
      </c>
      <c r="E266" s="34">
        <f>SUMIFS('Rotação'!$AA$5:$AA$64,'Rotação'!$J$5:$J$64,3,'Rotação'!$T$5:$T$64,'Perfis de buff'!$A$7,'Rotação'!$S$5:$S$64,"Vaporizar")</f>
        <v>0</v>
      </c>
      <c r="F266" s="34">
        <f>SUMIFS('Rotação'!$AA$5:$AA$64,'Rotação'!$J$5:$J$64,4,'Rotação'!$T$5:$T$64,'Perfis de buff'!$A$7,'Rotação'!$S$5:$S$64,"Vaporizar")</f>
        <v>0</v>
      </c>
    </row>
    <row r="267" ht="15.75" customHeight="1">
      <c r="A267" s="4" t="s">
        <v>589</v>
      </c>
      <c r="B267" s="2"/>
      <c r="C267" s="34">
        <f>SUMIFS('Rotação'!$AB$5:$AB$64,'Rotação'!$J$5:$J$64,1,'Rotação'!$T$5:$T$64,'Perfis de buff'!$A$7,'Rotação'!$S$5:$S$64,"Vaporizar")</f>
        <v>0</v>
      </c>
      <c r="D267" s="34">
        <f>SUMIFS('Rotação'!$AB$5:$AB$64,'Rotação'!$J$5:$J$64,2,'Rotação'!$T$5:$T$64,'Perfis de buff'!$A$7,'Rotação'!$S$5:$S$64,"Vaporizar")</f>
        <v>0</v>
      </c>
      <c r="E267" s="34">
        <f>SUMIFS('Rotação'!$AB$5:$AB$64,'Rotação'!$J$5:$J$64,3,'Rotação'!$T$5:$T$64,'Perfis de buff'!$A$7,'Rotação'!$S$5:$S$64,"Vaporizar")</f>
        <v>0</v>
      </c>
      <c r="F267" s="34">
        <f>SUMIFS('Rotação'!$AB$5:$AB$64,'Rotação'!$J$5:$J$64,4,'Rotação'!$T$5:$T$64,'Perfis de buff'!$A$7,'Rotação'!$S$5:$S$64,"Vaporizar")</f>
        <v>0</v>
      </c>
    </row>
    <row r="268" ht="15.75" customHeight="1">
      <c r="A268" s="4" t="s">
        <v>590</v>
      </c>
      <c r="B268" s="2"/>
      <c r="C268" s="34">
        <f>SUMIFS('Rotação'!$AL$5:$AL$64,'Rotação'!$J$5:$J$64,1,'Rotação'!$T$5:$T$64,'Perfis de buff'!$A$7,'Rotação'!$S$5:$S$64,"Vaporizar")</f>
        <v>0</v>
      </c>
      <c r="D268" s="34">
        <f>SUMIFS('Rotação'!$AL$5:$AL$64,'Rotação'!$J$5:$J$64,2,'Rotação'!$T$5:$T$64,'Perfis de buff'!$A$7,'Rotação'!$S$5:$S$64,"Vaporizar")</f>
        <v>0</v>
      </c>
      <c r="E268" s="34">
        <f>SUMIFS('Rotação'!$AL$5:$AL$64,'Rotação'!$J$5:$J$64,3,'Rotação'!$T$5:$T$64,'Perfis de buff'!$A$7,'Rotação'!$S$5:$S$64,"Vaporizar")</f>
        <v>0</v>
      </c>
      <c r="F268" s="34">
        <f>SUMIFS('Rotação'!$AL$5:$AL$64,'Rotação'!$J$5:$J$64,4,'Rotação'!$T$5:$T$64,'Perfis de buff'!$A$7,'Rotação'!$S$5:$S$64,"Vaporizar")</f>
        <v>0</v>
      </c>
    </row>
    <row r="269" ht="15.75" customHeight="1">
      <c r="A269" s="4" t="s">
        <v>591</v>
      </c>
      <c r="B269" s="2"/>
      <c r="C269" s="34">
        <f>SUMIFS('Rotação'!$Y$5:$Y$64,'Rotação'!$J$5:$J$64,1,'Rotação'!$T$5:$T$64,'Perfis de buff'!$A$8,'Rotação'!$S$5:$S$64,"Nenhuma")</f>
        <v>0</v>
      </c>
      <c r="D269" s="34">
        <f>SUMIFS('Rotação'!$Y$5:$Y$64,'Rotação'!$J$5:$J$64,2,'Rotação'!$T$5:$T$64,'Perfis de buff'!$A$8,'Rotação'!$S$5:$S$64,"Nenhuma")</f>
        <v>0</v>
      </c>
      <c r="E269" s="34">
        <f>SUMIFS('Rotação'!$Y$5:$Y$64,'Rotação'!$J$5:$J$64,3,'Rotação'!$T$5:$T$64,'Perfis de buff'!$A$8,'Rotação'!$S$5:$S$64,"Nenhuma")</f>
        <v>0</v>
      </c>
      <c r="F269" s="34">
        <f>SUMIFS('Rotação'!$Y$5:$Y$64,'Rotação'!$J$5:$J$64,4,'Rotação'!$T$5:$T$64,'Perfis de buff'!$A$8,'Rotação'!$S$5:$S$64,"Nenhuma")</f>
        <v>0</v>
      </c>
    </row>
    <row r="270" ht="15.75" customHeight="1">
      <c r="A270" s="4" t="s">
        <v>592</v>
      </c>
      <c r="B270" s="2"/>
      <c r="C270" s="34">
        <f>SUMIFS('Rotação'!$Z$5:$Z$64,'Rotação'!$J$5:$J$64,1,'Rotação'!$T$5:$T$64,'Perfis de buff'!$A$8,'Rotação'!$S$5:$S$64,"Nenhuma")</f>
        <v>0</v>
      </c>
      <c r="D270" s="34">
        <f>SUMIFS('Rotação'!$Z$5:$Z$64,'Rotação'!$J$5:$J$64,2,'Rotação'!$T$5:$T$64,'Perfis de buff'!$A$8,'Rotação'!$S$5:$S$64,"Nenhuma")</f>
        <v>0</v>
      </c>
      <c r="E270" s="34">
        <f>SUMIFS('Rotação'!$Z$5:$Z$64,'Rotação'!$J$5:$J$64,3,'Rotação'!$T$5:$T$64,'Perfis de buff'!$A$8,'Rotação'!$S$5:$S$64,"Nenhuma")</f>
        <v>0</v>
      </c>
      <c r="F270" s="34">
        <f>SUMIFS('Rotação'!$Z$5:$Z$64,'Rotação'!$J$5:$J$64,4,'Rotação'!$T$5:$T$64,'Perfis de buff'!$A$8,'Rotação'!$S$5:$S$64,"Nenhuma")</f>
        <v>0</v>
      </c>
    </row>
    <row r="271" ht="15.75" customHeight="1">
      <c r="A271" s="4" t="s">
        <v>593</v>
      </c>
      <c r="B271" s="2"/>
      <c r="C271" s="34">
        <f>SUMIFS('Rotação'!$AA$5:$AA$64,'Rotação'!$J$5:$J$64,1,'Rotação'!$T$5:$T$64,'Perfis de buff'!$A$8,'Rotação'!$S$5:$S$64,"Nenhuma")</f>
        <v>0</v>
      </c>
      <c r="D271" s="34">
        <f>SUMIFS('Rotação'!$AA$5:$AA$64,'Rotação'!$J$5:$J$64,2,'Rotação'!$T$5:$T$64,'Perfis de buff'!$A$8,'Rotação'!$S$5:$S$64,"Nenhuma")</f>
        <v>0</v>
      </c>
      <c r="E271" s="34">
        <f>SUMIFS('Rotação'!$AA$5:$AA$64,'Rotação'!$J$5:$J$64,3,'Rotação'!$T$5:$T$64,'Perfis de buff'!$A$8,'Rotação'!$S$5:$S$64,"Nenhuma")</f>
        <v>0</v>
      </c>
      <c r="F271" s="34">
        <f>SUMIFS('Rotação'!$AA$5:$AA$64,'Rotação'!$J$5:$J$64,4,'Rotação'!$T$5:$T$64,'Perfis de buff'!$A$8,'Rotação'!$S$5:$S$64,"Nenhuma")</f>
        <v>0</v>
      </c>
    </row>
    <row r="272" ht="15.75" customHeight="1">
      <c r="A272" s="4" t="s">
        <v>594</v>
      </c>
      <c r="B272" s="2"/>
      <c r="C272" s="34">
        <f>SUMIFS('Rotação'!$AB$5:$AB$64,'Rotação'!$J$5:$J$64,1,'Rotação'!$T$5:$T$64,'Perfis de buff'!$A$8,'Rotação'!$S$5:$S$64,"Nenhuma")</f>
        <v>0</v>
      </c>
      <c r="D272" s="34">
        <f>SUMIFS('Rotação'!$AB$5:$AB$64,'Rotação'!$J$5:$J$64,2,'Rotação'!$T$5:$T$64,'Perfis de buff'!$A$8,'Rotação'!$S$5:$S$64,"Nenhuma")</f>
        <v>0</v>
      </c>
      <c r="E272" s="34">
        <f>SUMIFS('Rotação'!$AB$5:$AB$64,'Rotação'!$J$5:$J$64,3,'Rotação'!$T$5:$T$64,'Perfis de buff'!$A$8,'Rotação'!$S$5:$S$64,"Nenhuma")</f>
        <v>0</v>
      </c>
      <c r="F272" s="34">
        <f>SUMIFS('Rotação'!$AB$5:$AB$64,'Rotação'!$J$5:$J$64,4,'Rotação'!$T$5:$T$64,'Perfis de buff'!$A$8,'Rotação'!$S$5:$S$64,"Nenhuma")</f>
        <v>0</v>
      </c>
    </row>
    <row r="273" ht="15.75" customHeight="1">
      <c r="A273" s="4" t="s">
        <v>595</v>
      </c>
      <c r="B273" s="2"/>
      <c r="C273" s="34">
        <f>SUMIFS('Rotação'!$AL$5:$AL$64,'Rotação'!$J$5:$J$64,1,'Rotação'!$T$5:$T$64,'Perfis de buff'!$A$8,'Rotação'!$S$5:$S$64,"Nenhuma")</f>
        <v>0</v>
      </c>
      <c r="D273" s="34">
        <f>SUMIFS('Rotação'!$AL$5:$AL$64,'Rotação'!$J$5:$J$64,2,'Rotação'!$T$5:$T$64,'Perfis de buff'!$A$8,'Rotação'!$S$5:$S$64,"Nenhuma")</f>
        <v>0</v>
      </c>
      <c r="E273" s="34">
        <f>SUMIFS('Rotação'!$AL$5:$AL$64,'Rotação'!$J$5:$J$64,3,'Rotação'!$T$5:$T$64,'Perfis de buff'!$A$8,'Rotação'!$S$5:$S$64,"Nenhuma")</f>
        <v>0</v>
      </c>
      <c r="F273" s="34">
        <f>SUMIFS('Rotação'!$AL$5:$AL$64,'Rotação'!$J$5:$J$64,4,'Rotação'!$T$5:$T$64,'Perfis de buff'!$A$8,'Rotação'!$S$5:$S$64,"Nenhuma")</f>
        <v>0</v>
      </c>
    </row>
    <row r="274" ht="15.75" customHeight="1">
      <c r="A274" s="4" t="s">
        <v>596</v>
      </c>
      <c r="B274" s="2"/>
      <c r="C274" s="34">
        <f>SUMIFS('Rotação'!$Y$5:$Y$64,'Rotação'!$J$5:$J$64,1,'Rotação'!$T$5:$T$64,'Perfis de buff'!$A$8,'Rotação'!$S$5:$S$64,"Derreter")</f>
        <v>0</v>
      </c>
      <c r="D274" s="34">
        <f>SUMIFS('Rotação'!$Y$5:$Y$64,'Rotação'!$J$5:$J$64,2,'Rotação'!$T$5:$T$64,'Perfis de buff'!$A$8,'Rotação'!$S$5:$S$64,"Derreter")</f>
        <v>0</v>
      </c>
      <c r="E274" s="34">
        <f>SUMIFS('Rotação'!$Y$5:$Y$64,'Rotação'!$J$5:$J$64,3,'Rotação'!$T$5:$T$64,'Perfis de buff'!$A$8,'Rotação'!$S$5:$S$64,"Derreter")</f>
        <v>0</v>
      </c>
      <c r="F274" s="34">
        <f>SUMIFS('Rotação'!$Y$5:$Y$64,'Rotação'!$J$5:$J$64,4,'Rotação'!$T$5:$T$64,'Perfis de buff'!$A$8,'Rotação'!$S$5:$S$64,"Derreter")</f>
        <v>0</v>
      </c>
    </row>
    <row r="275" ht="15.75" customHeight="1">
      <c r="A275" s="4" t="s">
        <v>597</v>
      </c>
      <c r="B275" s="2"/>
      <c r="C275" s="34">
        <f>SUMIFS('Rotação'!$Z$5:$Z$64,'Rotação'!$J$5:$J$64,1,'Rotação'!$T$5:$T$64,'Perfis de buff'!$A$8,'Rotação'!$S$5:$S$64,"Derreter")</f>
        <v>0</v>
      </c>
      <c r="D275" s="34">
        <f>SUMIFS('Rotação'!$Z$5:$Z$64,'Rotação'!$J$5:$J$64,2,'Rotação'!$T$5:$T$64,'Perfis de buff'!$A$8,'Rotação'!$S$5:$S$64,"Derreter")</f>
        <v>0</v>
      </c>
      <c r="E275" s="34">
        <f>SUMIFS('Rotação'!$Z$5:$Z$64,'Rotação'!$J$5:$J$64,3,'Rotação'!$T$5:$T$64,'Perfis de buff'!$A$8,'Rotação'!$S$5:$S$64,"Derreter")</f>
        <v>0</v>
      </c>
      <c r="F275" s="34">
        <f>SUMIFS('Rotação'!$Z$5:$Z$64,'Rotação'!$J$5:$J$64,4,'Rotação'!$T$5:$T$64,'Perfis de buff'!$A$8,'Rotação'!$S$5:$S$64,"Derreter")</f>
        <v>0</v>
      </c>
    </row>
    <row r="276" ht="15.75" customHeight="1">
      <c r="A276" s="4" t="s">
        <v>598</v>
      </c>
      <c r="B276" s="2"/>
      <c r="C276" s="34">
        <f>SUMIFS('Rotação'!$AA$5:$AA$64,'Rotação'!$J$5:$J$64,1,'Rotação'!$T$5:$T$64,'Perfis de buff'!$A$8,'Rotação'!$S$5:$S$64,"Derreter")</f>
        <v>0</v>
      </c>
      <c r="D276" s="34">
        <f>SUMIFS('Rotação'!$AA$5:$AA$64,'Rotação'!$J$5:$J$64,2,'Rotação'!$T$5:$T$64,'Perfis de buff'!$A$8,'Rotação'!$S$5:$S$64,"Derreter")</f>
        <v>0</v>
      </c>
      <c r="E276" s="34">
        <f>SUMIFS('Rotação'!$AA$5:$AA$64,'Rotação'!$J$5:$J$64,3,'Rotação'!$T$5:$T$64,'Perfis de buff'!$A$8,'Rotação'!$S$5:$S$64,"Derreter")</f>
        <v>0</v>
      </c>
      <c r="F276" s="34">
        <f>SUMIFS('Rotação'!$AA$5:$AA$64,'Rotação'!$J$5:$J$64,4,'Rotação'!$T$5:$T$64,'Perfis de buff'!$A$8,'Rotação'!$S$5:$S$64,"Derreter")</f>
        <v>0</v>
      </c>
    </row>
    <row r="277" ht="15.75" customHeight="1">
      <c r="A277" s="4" t="s">
        <v>599</v>
      </c>
      <c r="B277" s="2"/>
      <c r="C277" s="34">
        <f>SUMIFS('Rotação'!$AB$5:$AB$64,'Rotação'!$J$5:$J$64,1,'Rotação'!$T$5:$T$64,'Perfis de buff'!$A$8,'Rotação'!$S$5:$S$64,"Derreter")</f>
        <v>0</v>
      </c>
      <c r="D277" s="34">
        <f>SUMIFS('Rotação'!$AB$5:$AB$64,'Rotação'!$J$5:$J$64,2,'Rotação'!$T$5:$T$64,'Perfis de buff'!$A$8,'Rotação'!$S$5:$S$64,"Derreter")</f>
        <v>0</v>
      </c>
      <c r="E277" s="34">
        <f>SUMIFS('Rotação'!$AB$5:$AB$64,'Rotação'!$J$5:$J$64,3,'Rotação'!$T$5:$T$64,'Perfis de buff'!$A$8,'Rotação'!$S$5:$S$64,"Derreter")</f>
        <v>0</v>
      </c>
      <c r="F277" s="34">
        <f>SUMIFS('Rotação'!$AB$5:$AB$64,'Rotação'!$J$5:$J$64,4,'Rotação'!$T$5:$T$64,'Perfis de buff'!$A$8,'Rotação'!$S$5:$S$64,"Derreter")</f>
        <v>0</v>
      </c>
    </row>
    <row r="278" ht="15.75" customHeight="1">
      <c r="A278" s="4" t="s">
        <v>600</v>
      </c>
      <c r="B278" s="2"/>
      <c r="C278" s="34">
        <f>SUMIFS('Rotação'!$AL$5:$AL$64,'Rotação'!$J$5:$J$64,1,'Rotação'!$T$5:$T$64,'Perfis de buff'!$A$8,'Rotação'!$S$5:$S$64,"Derreter")</f>
        <v>0</v>
      </c>
      <c r="D278" s="34">
        <f>SUMIFS('Rotação'!$AL$5:$AL$64,'Rotação'!$J$5:$J$64,2,'Rotação'!$T$5:$T$64,'Perfis de buff'!$A$8,'Rotação'!$S$5:$S$64,"Derreter")</f>
        <v>0</v>
      </c>
      <c r="E278" s="34">
        <f>SUMIFS('Rotação'!$AL$5:$AL$64,'Rotação'!$J$5:$J$64,3,'Rotação'!$T$5:$T$64,'Perfis de buff'!$A$8,'Rotação'!$S$5:$S$64,"Derreter")</f>
        <v>0</v>
      </c>
      <c r="F278" s="34">
        <f>SUMIFS('Rotação'!$AL$5:$AL$64,'Rotação'!$J$5:$J$64,4,'Rotação'!$T$5:$T$64,'Perfis de buff'!$A$8,'Rotação'!$S$5:$S$64,"Derreter")</f>
        <v>0</v>
      </c>
    </row>
    <row r="279" ht="15.75" customHeight="1">
      <c r="A279" s="4" t="s">
        <v>601</v>
      </c>
      <c r="B279" s="2"/>
      <c r="C279" s="34">
        <f>SUMIFS('Rotação'!$Y$5:$Y$64,'Rotação'!$J$5:$J$64,1,'Rotação'!$T$5:$T$64,'Perfis de buff'!$A$8,'Rotação'!$S$5:$S$64,"Vaporizar")</f>
        <v>0</v>
      </c>
      <c r="D279" s="34">
        <f>SUMIFS('Rotação'!$Y$5:$Y$64,'Rotação'!$J$5:$J$64,2,'Rotação'!$T$5:$T$64,'Perfis de buff'!$A$8,'Rotação'!$S$5:$S$64,"Vaporizar")</f>
        <v>0</v>
      </c>
      <c r="E279" s="34">
        <f>SUMIFS('Rotação'!$Y$5:$Y$64,'Rotação'!$J$5:$J$64,3,'Rotação'!$T$5:$T$64,'Perfis de buff'!$A$8,'Rotação'!$S$5:$S$64,"Vaporizar")</f>
        <v>0</v>
      </c>
      <c r="F279" s="34">
        <f>SUMIFS('Rotação'!$Y$5:$Y$64,'Rotação'!$J$5:$J$64,4,'Rotação'!$T$5:$T$64,'Perfis de buff'!$A$8,'Rotação'!$S$5:$S$64,"Vaporizar")</f>
        <v>0</v>
      </c>
    </row>
    <row r="280" ht="15.75" customHeight="1">
      <c r="A280" s="4" t="s">
        <v>602</v>
      </c>
      <c r="B280" s="2"/>
      <c r="C280" s="34">
        <f>SUMIFS('Rotação'!$Z$5:$Z$64,'Rotação'!$J$5:$J$64,1,'Rotação'!$T$5:$T$64,'Perfis de buff'!$A$8,'Rotação'!$S$5:$S$64,"Vaporizar")</f>
        <v>0</v>
      </c>
      <c r="D280" s="34">
        <f>SUMIFS('Rotação'!$Z$5:$Z$64,'Rotação'!$J$5:$J$64,2,'Rotação'!$T$5:$T$64,'Perfis de buff'!$A$8,'Rotação'!$S$5:$S$64,"Vaporizar")</f>
        <v>0</v>
      </c>
      <c r="E280" s="34">
        <f>SUMIFS('Rotação'!$Z$5:$Z$64,'Rotação'!$J$5:$J$64,3,'Rotação'!$T$5:$T$64,'Perfis de buff'!$A$8,'Rotação'!$S$5:$S$64,"Vaporizar")</f>
        <v>0</v>
      </c>
      <c r="F280" s="34">
        <f>SUMIFS('Rotação'!$Z$5:$Z$64,'Rotação'!$J$5:$J$64,4,'Rotação'!$T$5:$T$64,'Perfis de buff'!$A$8,'Rotação'!$S$5:$S$64,"Vaporizar")</f>
        <v>0</v>
      </c>
    </row>
    <row r="281" ht="15.75" customHeight="1">
      <c r="A281" s="4" t="s">
        <v>603</v>
      </c>
      <c r="B281" s="2"/>
      <c r="C281" s="34">
        <f>SUMIFS('Rotação'!$AA$5:$AA$64,'Rotação'!$J$5:$J$64,1,'Rotação'!$T$5:$T$64,'Perfis de buff'!$A$8,'Rotação'!$S$5:$S$64,"Vaporizar")</f>
        <v>0</v>
      </c>
      <c r="D281" s="34">
        <f>SUMIFS('Rotação'!$AA$5:$AA$64,'Rotação'!$J$5:$J$64,2,'Rotação'!$T$5:$T$64,'Perfis de buff'!$A$8,'Rotação'!$S$5:$S$64,"Vaporizar")</f>
        <v>0</v>
      </c>
      <c r="E281" s="34">
        <f>SUMIFS('Rotação'!$AA$5:$AA$64,'Rotação'!$J$5:$J$64,3,'Rotação'!$T$5:$T$64,'Perfis de buff'!$A$8,'Rotação'!$S$5:$S$64,"Vaporizar")</f>
        <v>0</v>
      </c>
      <c r="F281" s="34">
        <f>SUMIFS('Rotação'!$AA$5:$AA$64,'Rotação'!$J$5:$J$64,4,'Rotação'!$T$5:$T$64,'Perfis de buff'!$A$8,'Rotação'!$S$5:$S$64,"Vaporizar")</f>
        <v>0</v>
      </c>
    </row>
    <row r="282" ht="15.75" customHeight="1">
      <c r="A282" s="4" t="s">
        <v>604</v>
      </c>
      <c r="B282" s="2"/>
      <c r="C282" s="34">
        <f>SUMIFS('Rotação'!$AB$5:$AB$64,'Rotação'!$J$5:$J$64,1,'Rotação'!$T$5:$T$64,'Perfis de buff'!$A$8,'Rotação'!$S$5:$S$64,"Vaporizar")</f>
        <v>0</v>
      </c>
      <c r="D282" s="34">
        <f>SUMIFS('Rotação'!$AB$5:$AB$64,'Rotação'!$J$5:$J$64,2,'Rotação'!$T$5:$T$64,'Perfis de buff'!$A$8,'Rotação'!$S$5:$S$64,"Vaporizar")</f>
        <v>0</v>
      </c>
      <c r="E282" s="34">
        <f>SUMIFS('Rotação'!$AB$5:$AB$64,'Rotação'!$J$5:$J$64,3,'Rotação'!$T$5:$T$64,'Perfis de buff'!$A$8,'Rotação'!$S$5:$S$64,"Vaporizar")</f>
        <v>0</v>
      </c>
      <c r="F282" s="34">
        <f>SUMIFS('Rotação'!$AB$5:$AB$64,'Rotação'!$J$5:$J$64,4,'Rotação'!$T$5:$T$64,'Perfis de buff'!$A$8,'Rotação'!$S$5:$S$64,"Vaporizar")</f>
        <v>0</v>
      </c>
    </row>
    <row r="283" ht="15.75" customHeight="1">
      <c r="A283" s="4" t="s">
        <v>605</v>
      </c>
      <c r="B283" s="2"/>
      <c r="C283" s="34">
        <f>SUMIFS('Rotação'!$AL$5:$AL$64,'Rotação'!$J$5:$J$64,1,'Rotação'!$T$5:$T$64,'Perfis de buff'!$A$8,'Rotação'!$S$5:$S$64,"Vaporizar")</f>
        <v>0</v>
      </c>
      <c r="D283" s="34">
        <f>SUMIFS('Rotação'!$AL$5:$AL$64,'Rotação'!$J$5:$J$64,2,'Rotação'!$T$5:$T$64,'Perfis de buff'!$A$8,'Rotação'!$S$5:$S$64,"Vaporizar")</f>
        <v>0</v>
      </c>
      <c r="E283" s="34">
        <f>SUMIFS('Rotação'!$AL$5:$AL$64,'Rotação'!$J$5:$J$64,3,'Rotação'!$T$5:$T$64,'Perfis de buff'!$A$8,'Rotação'!$S$5:$S$64,"Vaporizar")</f>
        <v>0</v>
      </c>
      <c r="F283" s="34">
        <f>SUMIFS('Rotação'!$AL$5:$AL$64,'Rotação'!$J$5:$J$64,4,'Rotação'!$T$5:$T$64,'Perfis de buff'!$A$8,'Rotação'!$S$5:$S$64,"Vaporizar")</f>
        <v>0</v>
      </c>
    </row>
    <row r="284" ht="15.75" customHeight="1">
      <c r="A284" s="4" t="s">
        <v>606</v>
      </c>
      <c r="B284" s="2"/>
      <c r="C284" s="21">
        <f t="shared" ref="C284:F284" si="15">(C209+C214+C219+C224+C229+C234+C239+C244+C249+C254+C259+C264+C269+C274+C279)*(C185*(1+C186)+C191)</f>
        <v>492541.2021</v>
      </c>
      <c r="D284" s="21">
        <f t="shared" si="15"/>
        <v>35024.17239</v>
      </c>
      <c r="E284" s="21">
        <f t="shared" si="15"/>
        <v>26073.53476</v>
      </c>
      <c r="F284" s="21">
        <f t="shared" si="15"/>
        <v>19345.49414</v>
      </c>
    </row>
    <row r="285" ht="15.75" customHeight="1">
      <c r="A285" s="4" t="s">
        <v>607</v>
      </c>
      <c r="B285" s="2"/>
      <c r="C285" s="21">
        <f t="shared" ref="C285:F285" si="16">(C211+C216+C221+C226+C231+C236+C241+C246+C251+C256+C261+C266+C271+C276+C281)*(C201*(1+C202)+C203)</f>
        <v>0</v>
      </c>
      <c r="D285" s="21">
        <f t="shared" si="16"/>
        <v>0</v>
      </c>
      <c r="E285" s="21">
        <f t="shared" si="16"/>
        <v>0</v>
      </c>
      <c r="F285" s="21">
        <f t="shared" si="16"/>
        <v>0</v>
      </c>
    </row>
    <row r="286" ht="15.75" customHeight="1">
      <c r="A286" s="4" t="s">
        <v>608</v>
      </c>
      <c r="B286" s="2"/>
      <c r="C286" s="21">
        <f t="shared" ref="C286:F286" si="17">(C212+C217+C222+C227+C232+C237+C242+C247+C252+C257+C262+C267+C272+C277+C282)*(C204*(1+C205)+C206)</f>
        <v>0</v>
      </c>
      <c r="D286" s="21">
        <f t="shared" si="17"/>
        <v>0</v>
      </c>
      <c r="E286" s="21">
        <f t="shared" si="17"/>
        <v>0</v>
      </c>
      <c r="F286" s="21">
        <f t="shared" si="17"/>
        <v>0</v>
      </c>
    </row>
    <row r="287" ht="15.75" customHeight="1">
      <c r="A287" s="4" t="s">
        <v>609</v>
      </c>
      <c r="B287" s="2"/>
      <c r="C287" s="4">
        <f t="shared" ref="C287:F287" si="18">IF(C209+C214+C219+C224+C229+C234+C239+C244+C249+C254+C259+C264+C269+C274+C279+C210+C215+C220+C225+C230+C235+C240+C245+C250+C255+C260+C265+C270+C275+C280+C211+C216+C221+C226+C231+C236+C241+C246+C251+C256+C261+C266+C271+C276+C281+C212+C217+C222+C227+C232+C237+C242+C247+C252+C257+C262+C267+C272+C277+C282=0,1,0)</f>
        <v>0</v>
      </c>
      <c r="D287" s="4">
        <f t="shared" si="18"/>
        <v>0</v>
      </c>
      <c r="E287" s="4">
        <f t="shared" si="18"/>
        <v>0</v>
      </c>
      <c r="F287" s="4">
        <f t="shared" si="18"/>
        <v>0</v>
      </c>
    </row>
    <row r="288" ht="15.75" customHeight="1">
      <c r="A288" s="4" t="s">
        <v>610</v>
      </c>
      <c r="B288" s="2"/>
      <c r="C288" s="4">
        <f t="array" ref="C288">IF(C6="",0,IFERROR(MATCH(INDEX('Dano fixo'!$C$2:$C$11,MATCH(C6,'Dano fixo'!$B$2:$B$11,0)),{"ATK","HP","DEF"},0),0))</f>
        <v>0</v>
      </c>
      <c r="D288" s="4">
        <f t="array" ref="D288">IF(D6="",0,IFERROR(MATCH(INDEX('Dano fixo'!$C$2:$C$11,MATCH(D6,'Dano fixo'!$B$2:$B$11,0)),{"ATK","HP","DEF"},0),0))</f>
        <v>0</v>
      </c>
      <c r="E288" s="4">
        <f t="array" ref="E288">IF(E6="",0,IFERROR(MATCH(INDEX('Dano fixo'!$C$2:$C$11,MATCH(E6,'Dano fixo'!$B$2:$B$11,0)),{"ATK","HP","DEF"},0),0))</f>
        <v>0</v>
      </c>
      <c r="F288" s="4">
        <f t="array" ref="F288">IF(F6="",0,IFERROR(MATCH(INDEX('Dano fixo'!$C$2:$C$11,MATCH(F6,'Dano fixo'!$B$2:$B$11,0)),{"ATK","HP","DEF"},0),0))</f>
        <v>0</v>
      </c>
    </row>
    <row r="289" ht="15.75" customHeight="1">
      <c r="A289" s="4" t="s">
        <v>611</v>
      </c>
      <c r="B289" s="2"/>
      <c r="C289" s="4">
        <f t="shared" ref="C289:F289" si="19">IF(AND(C287=1,C288&gt;0),1,0)</f>
        <v>0</v>
      </c>
      <c r="D289" s="4">
        <f t="shared" si="19"/>
        <v>0</v>
      </c>
      <c r="E289" s="4">
        <f t="shared" si="19"/>
        <v>0</v>
      </c>
      <c r="F289" s="4">
        <f t="shared" si="19"/>
        <v>0</v>
      </c>
    </row>
    <row r="290" ht="15.75" customHeight="1">
      <c r="A290" s="4" t="s">
        <v>612</v>
      </c>
      <c r="B290" s="2"/>
      <c r="C290" s="4">
        <f t="shared" ref="C290:F290" si="20">IF(C289=1,C288,IF(AND(C284&gt;=C285,C284&gt;=C286),1,IF(C285&gt;=C286,2,3)))</f>
        <v>1</v>
      </c>
      <c r="D290" s="4">
        <f t="shared" si="20"/>
        <v>1</v>
      </c>
      <c r="E290" s="4">
        <f t="shared" si="20"/>
        <v>1</v>
      </c>
      <c r="F290" s="4">
        <f t="shared" si="20"/>
        <v>1</v>
      </c>
    </row>
    <row r="291" ht="15.75" customHeight="1">
      <c r="A291" s="4" t="s">
        <v>613</v>
      </c>
      <c r="B291" s="2"/>
      <c r="C291" s="4">
        <f>IF(Time!B20="",C78+C79,Time!B20)</f>
        <v>40</v>
      </c>
      <c r="D291" s="4">
        <f>IF(Time!C20="",D78+D79,Time!C20)</f>
        <v>40</v>
      </c>
      <c r="E291" s="4">
        <f>IF(Time!D20="",E78+E79,Time!D20)</f>
        <v>40</v>
      </c>
      <c r="F291" s="4">
        <f>IF(Time!E20="",F78+F79,Time!E20)</f>
        <v>40</v>
      </c>
    </row>
    <row r="292" ht="15.75" customHeight="1">
      <c r="A292" s="4" t="s">
        <v>614</v>
      </c>
      <c r="B292" s="2"/>
      <c r="C292" s="4">
        <f>MAX(0,C291-10*Time!$B$27)</f>
        <v>20</v>
      </c>
      <c r="D292" s="4">
        <f>MAX(0,D291-10*Time!$B$27)</f>
        <v>20</v>
      </c>
      <c r="E292" s="4">
        <f>MAX(0,E291-10*Time!$B$27)</f>
        <v>20</v>
      </c>
      <c r="F292" s="4">
        <f>MAX(0,F291-10*Time!$B$27)</f>
        <v>20</v>
      </c>
    </row>
    <row r="293" ht="15.75" customHeight="1">
      <c r="A293" s="4" t="s">
        <v>121</v>
      </c>
      <c r="B293" s="2"/>
      <c r="C293" s="22">
        <f>IF(Time!B19="",0,Time!B19)</f>
        <v>1</v>
      </c>
      <c r="D293" s="22">
        <f>IF(Time!C19="",0,Time!C19)</f>
        <v>2</v>
      </c>
      <c r="E293" s="22">
        <f>IF(Time!D19="",0,Time!D19)</f>
        <v>2</v>
      </c>
      <c r="F293" s="22">
        <f>IF(Time!E19="",0,Time!E19)</f>
        <v>2</v>
      </c>
    </row>
    <row r="294" ht="15.75" customHeight="1">
      <c r="A294" s="4" t="s">
        <v>615</v>
      </c>
      <c r="B294" s="2"/>
      <c r="C294" s="4">
        <f>MAX(0,C88+C89+C90*(C80&lt;&gt;"CR")+C91*(C81&lt;&gt;"CR")+C92*(C82&lt;&gt;"CR")-Time!$B$27)</f>
        <v>28</v>
      </c>
      <c r="D294" s="4">
        <f>MAX(0,D88+D89+D90*(D80&lt;&gt;"CR")+D91*(D81&lt;&gt;"CR")+D92*(D82&lt;&gt;"CR")-Time!$B$27)</f>
        <v>19</v>
      </c>
      <c r="E294" s="4">
        <f>MAX(0,E88+E89+E90*(E80&lt;&gt;"CR")+E91*(E81&lt;&gt;"CR")+E92*(E82&lt;&gt;"CR")-Time!$B$27)</f>
        <v>22</v>
      </c>
      <c r="F294" s="4">
        <f>MAX(0,F88+F89+F90*(F80&lt;&gt;"CR")+F91*(F81&lt;&gt;"CR")+F92*(F82&lt;&gt;"CR")-Time!$B$27)</f>
        <v>22</v>
      </c>
    </row>
    <row r="295" ht="15.75" customHeight="1">
      <c r="A295" s="4" t="s">
        <v>616</v>
      </c>
      <c r="B295" s="2"/>
      <c r="C295" s="4">
        <f>MAX(0,C88+C89+C90*(C80&lt;&gt;"CD")+C91*(C81&lt;&gt;"CD")+C92*(C82&lt;&gt;"CD")-Time!$B$27)</f>
        <v>22</v>
      </c>
      <c r="D295" s="4">
        <f>MAX(0,D88+D89+D90*(D80&lt;&gt;"CD")+D91*(D81&lt;&gt;"CD")+D92*(D82&lt;&gt;"CD")-Time!$B$27)</f>
        <v>24</v>
      </c>
      <c r="E295" s="4">
        <f>MAX(0,E88+E89+E90*(E80&lt;&gt;"CD")+E91*(E81&lt;&gt;"CD")+E92*(E82&lt;&gt;"CD")-Time!$B$27)</f>
        <v>28</v>
      </c>
      <c r="F295" s="4">
        <f>MAX(0,F88+F89+F90*(F80&lt;&gt;"CD")+F91*(F81&lt;&gt;"CD")+F92*(F82&lt;&gt;"CD")-Time!$B$27)</f>
        <v>28</v>
      </c>
    </row>
    <row r="296" ht="15.75" customHeight="1">
      <c r="A296" s="4" t="s">
        <v>617</v>
      </c>
      <c r="B296" s="2"/>
      <c r="C296" s="4">
        <f>MAX(0,C88+C89+C90*(C80&lt;&gt;"ATK%")+C91*(C81&lt;&gt;"ATK%")+C92*(C82&lt;&gt;"ATK%")-Time!$B$27)</f>
        <v>28</v>
      </c>
      <c r="D296" s="4">
        <f>MAX(0,D88+D89+D90*(D80&lt;&gt;"ATK%")+D91*(D81&lt;&gt;"ATK%")+D92*(D82&lt;&gt;"ATK%")-Time!$B$27)</f>
        <v>24</v>
      </c>
      <c r="E296" s="4">
        <f>MAX(0,E88+E89+E90*(E80&lt;&gt;"ATK%")+E91*(E81&lt;&gt;"ATK%")+E92*(E82&lt;&gt;"ATK%")-Time!$B$27)</f>
        <v>16</v>
      </c>
      <c r="F296" s="4">
        <f>MAX(0,F88+F89+F90*(F80&lt;&gt;"ATK%")+F91*(F81&lt;&gt;"ATK%")+F92*(F82&lt;&gt;"ATK%")-Time!$B$27)</f>
        <v>28</v>
      </c>
    </row>
    <row r="297" ht="15.75" customHeight="1">
      <c r="A297" s="4" t="s">
        <v>618</v>
      </c>
      <c r="B297" s="2"/>
      <c r="C297" s="4">
        <f>MAX(0,C88+C89+C90*(C80&lt;&gt;"EM")+C91*(C81&lt;&gt;"EM")+C92*(C82&lt;&gt;"EM")-Time!$B$27)</f>
        <v>22</v>
      </c>
      <c r="D297" s="4">
        <f>MAX(0,D88+D89+D90*(D80&lt;&gt;"EM")+D91*(D81&lt;&gt;"EM")+D92*(D82&lt;&gt;"EM")-Time!$B$27)</f>
        <v>24</v>
      </c>
      <c r="E297" s="4">
        <f>MAX(0,E88+E89+E90*(E80&lt;&gt;"EM")+E91*(E81&lt;&gt;"EM")+E92*(E82&lt;&gt;"EM")-Time!$B$27)</f>
        <v>28</v>
      </c>
      <c r="F297" s="4">
        <f>MAX(0,F88+F89+F90*(F80&lt;&gt;"EM")+F91*(F81&lt;&gt;"EM")+F92*(F82&lt;&gt;"EM")-Time!$B$27)</f>
        <v>28</v>
      </c>
    </row>
    <row r="298" ht="15.75" customHeight="1">
      <c r="A298" s="4" t="s">
        <v>619</v>
      </c>
      <c r="B298" s="2"/>
      <c r="C298" s="4">
        <f>MAX(0,C88+C89+C90*(C80&lt;&gt;"ER")+C91*(C81&lt;&gt;"ER")+C92*(C82&lt;&gt;"ER")-Time!$B$27)</f>
        <v>28</v>
      </c>
      <c r="D298" s="4">
        <f>MAX(0,D88+D89+D90*(D80&lt;&gt;"ER")+D91*(D81&lt;&gt;"ER")+D92*(D82&lt;&gt;"ER")-Time!$B$27)</f>
        <v>18</v>
      </c>
      <c r="E298" s="4">
        <f>MAX(0,E88+E89+E90*(E80&lt;&gt;"ER")+E91*(E81&lt;&gt;"ER")+E92*(E82&lt;&gt;"ER")-Time!$B$27)</f>
        <v>28</v>
      </c>
      <c r="F298" s="4">
        <f>MAX(0,F88+F89+F90*(F80&lt;&gt;"ER")+F91*(F81&lt;&gt;"ER")+F92*(F82&lt;&gt;"ER")-Time!$B$27)</f>
        <v>22</v>
      </c>
    </row>
    <row r="299" ht="15.75" customHeight="1">
      <c r="A299" s="4" t="s">
        <v>620</v>
      </c>
      <c r="B299" s="2"/>
      <c r="C299" s="4">
        <f>MAX(0,C88+C89+C90*(C80&lt;&gt;"HP%")+C91*(C81&lt;&gt;"HP%")+C92*(C82&lt;&gt;"HP%")-Time!$B$27)</f>
        <v>28</v>
      </c>
      <c r="D299" s="4">
        <f>MAX(0,D88+D89+D90*(D80&lt;&gt;"HP%")+D91*(D81&lt;&gt;"HP%")+D92*(D82&lt;&gt;"HP%")-Time!$B$27)</f>
        <v>24</v>
      </c>
      <c r="E299" s="4">
        <f>MAX(0,E88+E89+E90*(E80&lt;&gt;"HP%")+E91*(E81&lt;&gt;"HP%")+E92*(E82&lt;&gt;"HP%")-Time!$B$27)</f>
        <v>28</v>
      </c>
      <c r="F299" s="4">
        <f>MAX(0,F88+F89+F90*(F80&lt;&gt;"HP%")+F91*(F81&lt;&gt;"HP%")+F92*(F82&lt;&gt;"HP%")-Time!$B$27)</f>
        <v>28</v>
      </c>
    </row>
    <row r="300" ht="15.75" customHeight="1">
      <c r="A300" s="4" t="s">
        <v>621</v>
      </c>
      <c r="B300" s="2"/>
      <c r="C300" s="4">
        <f>MAX(0,C88+C89+C90*(C80&lt;&gt;"DEF%")+C91*(C81&lt;&gt;"DEF%")+C92*(C82&lt;&gt;"DEF%")-Time!$B$27)</f>
        <v>28</v>
      </c>
      <c r="D300" s="4">
        <f>MAX(0,D88+D89+D90*(D80&lt;&gt;"DEF%")+D91*(D81&lt;&gt;"DEF%")+D92*(D82&lt;&gt;"DEF%")-Time!$B$27)</f>
        <v>24</v>
      </c>
      <c r="E300" s="4">
        <f>MAX(0,E88+E89+E90*(E80&lt;&gt;"DEF%")+E91*(E81&lt;&gt;"DEF%")+E92*(E82&lt;&gt;"DEF%")-Time!$B$27)</f>
        <v>28</v>
      </c>
      <c r="F300" s="4">
        <f>MAX(0,F88+F89+F90*(F80&lt;&gt;"DEF%")+F91*(F81&lt;&gt;"DEF%")+F92*(F82&lt;&gt;"DEF%")-Time!$B$27)</f>
        <v>28</v>
      </c>
    </row>
    <row r="301" ht="15.75" customHeight="1">
      <c r="A301" s="4" t="s">
        <v>622</v>
      </c>
      <c r="B301" s="2"/>
      <c r="C301" s="4">
        <f t="shared" ref="C301:F301" si="21">CHOOSE(C290,C296,C299,C300)</f>
        <v>28</v>
      </c>
      <c r="D301" s="4">
        <f t="shared" si="21"/>
        <v>24</v>
      </c>
      <c r="E301" s="4">
        <f t="shared" si="21"/>
        <v>16</v>
      </c>
      <c r="F301" s="4">
        <f t="shared" si="21"/>
        <v>28</v>
      </c>
    </row>
    <row r="302" ht="15.75" customHeight="1">
      <c r="A302" s="4" t="s">
        <v>623</v>
      </c>
      <c r="B302" s="2"/>
      <c r="C302" s="4">
        <f t="shared" ref="C302:F302" si="22">IF(C293&lt;=C138,0,MIN(C298,C292,ROUNDUP((C293-C138)/C99-0.000000001,0)))</f>
        <v>0</v>
      </c>
      <c r="D302" s="4">
        <f t="shared" si="22"/>
        <v>9</v>
      </c>
      <c r="E302" s="4">
        <f t="shared" si="22"/>
        <v>7</v>
      </c>
      <c r="F302" s="4">
        <f t="shared" si="22"/>
        <v>2</v>
      </c>
    </row>
    <row r="303" ht="15.75" customHeight="1">
      <c r="A303" s="4" t="s">
        <v>624</v>
      </c>
      <c r="B303" s="2"/>
      <c r="C303" s="4">
        <f t="shared" ref="C303:F303" si="23">MIN(45,C292-C302)</f>
        <v>20</v>
      </c>
      <c r="D303" s="4">
        <f t="shared" si="23"/>
        <v>11</v>
      </c>
      <c r="E303" s="4">
        <f t="shared" si="23"/>
        <v>13</v>
      </c>
      <c r="F303" s="4">
        <f t="shared" si="23"/>
        <v>18</v>
      </c>
    </row>
    <row r="304" ht="15.75" customHeight="1">
      <c r="A304" s="4" t="s">
        <v>625</v>
      </c>
      <c r="B304" s="2"/>
      <c r="C304" s="4">
        <f>IF(Time!B21="","",MAX(0,MIN(C303,Time!B21-2*Time!$B$27)))</f>
        <v>16</v>
      </c>
      <c r="D304" s="4" t="str">
        <f>IF(Time!C21="","",MAX(0,MIN(D303,Time!C21-2*Time!$B$27)))</f>
        <v/>
      </c>
      <c r="E304" s="4" t="str">
        <f>IF(Time!D21="","",MAX(0,MIN(E303,Time!D21-2*Time!$B$27)))</f>
        <v/>
      </c>
      <c r="F304" s="4" t="str">
        <f>IF(Time!E21="","",MAX(0,MIN(F303,Time!E21-2*Time!$B$27)))</f>
        <v/>
      </c>
    </row>
    <row r="305" ht="15.75" customHeight="1">
      <c r="A305" s="4" t="s">
        <v>626</v>
      </c>
      <c r="B305" s="2"/>
      <c r="C305" s="22">
        <f t="shared" ref="C305:F305" si="24">MIN(MAX(C138+C302*C99-1,0)*C47,C48)</f>
        <v>0</v>
      </c>
      <c r="D305" s="22">
        <f t="shared" si="24"/>
        <v>0</v>
      </c>
      <c r="E305" s="22">
        <f t="shared" si="24"/>
        <v>0.29288</v>
      </c>
      <c r="F305" s="22">
        <f t="shared" si="24"/>
        <v>0</v>
      </c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19" t="s">
        <v>627</v>
      </c>
      <c r="B307" s="20"/>
      <c r="C307" s="20"/>
      <c r="D307" s="20"/>
      <c r="E307" s="20"/>
      <c r="F307" s="20"/>
    </row>
    <row r="308" ht="15.75" customHeight="1">
      <c r="A308" s="4" t="s">
        <v>628</v>
      </c>
      <c r="B308" s="2"/>
      <c r="C308" s="4">
        <f>IF(C289=1,C303-MIN(C303,C301),'Otimizador (sem fixo)'!B55)</f>
        <v>11</v>
      </c>
      <c r="D308" s="4">
        <f>IF(D289=1,D303-MIN(D303,D301),'Otimizador (sem fixo)'!B112)</f>
        <v>5</v>
      </c>
      <c r="E308" s="4">
        <f>IF(E289=1,E303-MIN(E303,E301),'Otimizador (sem fixo)'!B169)</f>
        <v>5</v>
      </c>
      <c r="F308" s="4">
        <f>IF(F289=1,F303-MIN(F303,F301),'Otimizador (sem fixo)'!B226)</f>
        <v>12</v>
      </c>
    </row>
    <row r="309" ht="15.75" customHeight="1">
      <c r="A309" s="4" t="s">
        <v>629</v>
      </c>
      <c r="B309" s="2"/>
      <c r="C309" s="4">
        <f>IF(C289=1,0,'Otimizador (sem fixo)'!B56)</f>
        <v>5</v>
      </c>
      <c r="D309" s="4">
        <f>IF(D289=1,0,'Otimizador (sem fixo)'!B113)</f>
        <v>6</v>
      </c>
      <c r="E309" s="4">
        <f>IF(E289=1,0,'Otimizador (sem fixo)'!B170)</f>
        <v>8</v>
      </c>
      <c r="F309" s="4">
        <f>IF(F289=1,0,'Otimizador (sem fixo)'!B227)</f>
        <v>6</v>
      </c>
    </row>
    <row r="310" ht="15.75" customHeight="1">
      <c r="A310" s="4" t="s">
        <v>630</v>
      </c>
      <c r="B310" s="2"/>
      <c r="C310" s="4">
        <f>IF(C289=1,MIN(C303,C301),'Otimizador (sem fixo)'!B57)</f>
        <v>0</v>
      </c>
      <c r="D310" s="4">
        <f>IF(D289=1,MIN(D303,D301),'Otimizador (sem fixo)'!B114)</f>
        <v>0</v>
      </c>
      <c r="E310" s="4">
        <f>IF(E289=1,MIN(E303,E301),'Otimizador (sem fixo)'!B171)</f>
        <v>0</v>
      </c>
      <c r="F310" s="4">
        <f>IF(F289=1,MIN(F303,F301),'Otimizador (sem fixo)'!B228)</f>
        <v>0</v>
      </c>
    </row>
    <row r="311" ht="15.75" customHeight="1">
      <c r="A311" s="4" t="s">
        <v>631</v>
      </c>
      <c r="B311" s="2"/>
      <c r="C311" s="4">
        <f>IF(C289=1,0,'Otimizador (sem fixo)'!B58)</f>
        <v>4</v>
      </c>
      <c r="D311" s="4">
        <f>IF(D289=1,0,'Otimizador (sem fixo)'!B115)</f>
        <v>0</v>
      </c>
      <c r="E311" s="4">
        <f>IF(E289=1,0,'Otimizador (sem fixo)'!B172)</f>
        <v>0</v>
      </c>
      <c r="F311" s="4">
        <f>IF(F289=1,0,'Otimizador (sem fixo)'!B229)</f>
        <v>0</v>
      </c>
    </row>
    <row r="312" ht="15.75" customHeight="1">
      <c r="A312" s="4" t="s">
        <v>632</v>
      </c>
      <c r="B312" s="2"/>
      <c r="C312" s="21">
        <f t="shared" ref="C312:F312" si="25">C185*(1+C186+C310*(C290=1)*C97+C305)+C191</f>
        <v>5791.25</v>
      </c>
      <c r="D312" s="21">
        <f t="shared" si="25"/>
        <v>3241.734346</v>
      </c>
      <c r="E312" s="21">
        <f t="shared" si="25"/>
        <v>4157.3562</v>
      </c>
      <c r="F312" s="21">
        <f t="shared" si="25"/>
        <v>3700.235</v>
      </c>
    </row>
    <row r="313" ht="15.75" customHeight="1">
      <c r="A313" s="4" t="s">
        <v>633</v>
      </c>
      <c r="B313" s="2"/>
      <c r="C313" s="21">
        <f t="shared" ref="C313:F313" si="26">C201*(1+C202+C310*(C290=2)*C101)+C203</f>
        <v>19082.648</v>
      </c>
      <c r="D313" s="21">
        <f t="shared" si="26"/>
        <v>20708.6505</v>
      </c>
      <c r="E313" s="21">
        <f t="shared" si="26"/>
        <v>17000.043</v>
      </c>
      <c r="F313" s="21">
        <f t="shared" si="26"/>
        <v>18912.303</v>
      </c>
    </row>
    <row r="314" ht="15.75" customHeight="1">
      <c r="A314" s="4" t="s">
        <v>634</v>
      </c>
      <c r="B314" s="2"/>
      <c r="C314" s="21">
        <f t="shared" ref="C314:F314" si="27">C204*(1+C205+C310*(C290=3)*C103)+C206</f>
        <v>929.208</v>
      </c>
      <c r="D314" s="21">
        <f t="shared" si="27"/>
        <v>876.6015351</v>
      </c>
      <c r="E314" s="21">
        <f t="shared" si="27"/>
        <v>756.112</v>
      </c>
      <c r="F314" s="21">
        <f t="shared" si="27"/>
        <v>905.604</v>
      </c>
    </row>
    <row r="315" ht="15.75" customHeight="1">
      <c r="A315" s="4" t="s">
        <v>635</v>
      </c>
      <c r="B315" s="2"/>
      <c r="C315" s="21">
        <f t="shared" ref="C315:F315" si="28">C196+C311*C98</f>
        <v>424</v>
      </c>
      <c r="D315" s="21">
        <f t="shared" si="28"/>
        <v>348.4908108</v>
      </c>
      <c r="E315" s="21">
        <f t="shared" si="28"/>
        <v>159</v>
      </c>
      <c r="F315" s="21">
        <f t="shared" si="28"/>
        <v>159</v>
      </c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19" t="s">
        <v>636</v>
      </c>
      <c r="B317" s="20"/>
      <c r="C317" s="20"/>
      <c r="D317" s="20"/>
      <c r="E317" s="20"/>
      <c r="F317" s="20"/>
    </row>
    <row r="318" ht="15.75" customHeight="1">
      <c r="A318" s="4" t="s">
        <v>637</v>
      </c>
      <c r="B318" s="2"/>
      <c r="C318" s="4">
        <f>IF(C289=1,C303-MIN(C303,C301),Otimizador!B55)</f>
        <v>11</v>
      </c>
      <c r="D318" s="4">
        <f>IF(D289=1,D303-MIN(D303,D301),Otimizador!B112)</f>
        <v>5</v>
      </c>
      <c r="E318" s="4">
        <f>IF(E289=1,E303-MIN(E303,E301),Otimizador!B169)</f>
        <v>5</v>
      </c>
      <c r="F318" s="4">
        <f>IF(F289=1,F303-MIN(F303,F301),Otimizador!B226)</f>
        <v>12</v>
      </c>
    </row>
    <row r="319" ht="15.75" customHeight="1">
      <c r="A319" s="4" t="s">
        <v>638</v>
      </c>
      <c r="B319" s="2"/>
      <c r="C319" s="4">
        <f>IF(C289=1,0,Otimizador!B56)</f>
        <v>5</v>
      </c>
      <c r="D319" s="4">
        <f>IF(D289=1,0,Otimizador!B113)</f>
        <v>6</v>
      </c>
      <c r="E319" s="4">
        <f>IF(E289=1,0,Otimizador!B170)</f>
        <v>8</v>
      </c>
      <c r="F319" s="4">
        <f>IF(F289=1,0,Otimizador!B227)</f>
        <v>6</v>
      </c>
    </row>
    <row r="320" ht="15.75" customHeight="1">
      <c r="A320" s="4" t="s">
        <v>639</v>
      </c>
      <c r="B320" s="2"/>
      <c r="C320" s="4">
        <f>IF(C289=1,MIN(C303,C301),Otimizador!B57)</f>
        <v>0</v>
      </c>
      <c r="D320" s="4">
        <f>IF(D289=1,MIN(D303,D301),Otimizador!B114)</f>
        <v>0</v>
      </c>
      <c r="E320" s="4">
        <f>IF(E289=1,MIN(E303,E301),Otimizador!B171)</f>
        <v>0</v>
      </c>
      <c r="F320" s="4">
        <f>IF(F289=1,MIN(F303,F301),Otimizador!B228)</f>
        <v>0</v>
      </c>
    </row>
    <row r="321" ht="15.75" customHeight="1">
      <c r="A321" s="4" t="s">
        <v>640</v>
      </c>
      <c r="B321" s="2"/>
      <c r="C321" s="4">
        <f>IF(C289=1,0,Otimizador!B58)</f>
        <v>4</v>
      </c>
      <c r="D321" s="4">
        <f>IF(D289=1,0,Otimizador!B115)</f>
        <v>0</v>
      </c>
      <c r="E321" s="4">
        <f>IF(E289=1,0,Otimizador!B172)</f>
        <v>0</v>
      </c>
      <c r="F321" s="4">
        <f>IF(F289=1,0,Otimizador!B229)</f>
        <v>0</v>
      </c>
    </row>
    <row r="322" ht="15.75" customHeight="1">
      <c r="A322" s="4" t="s">
        <v>641</v>
      </c>
      <c r="B322" s="2"/>
      <c r="C322" s="4">
        <f>Otimizador!B59</f>
        <v>0</v>
      </c>
      <c r="D322" s="4">
        <f>Otimizador!B116</f>
        <v>9</v>
      </c>
      <c r="E322" s="4">
        <f>Otimizador!B173</f>
        <v>7</v>
      </c>
      <c r="F322" s="4">
        <f>Otimizador!B230</f>
        <v>2</v>
      </c>
    </row>
    <row r="323" ht="15.75" customHeight="1">
      <c r="A323" s="4" t="s">
        <v>642</v>
      </c>
      <c r="B323" s="2"/>
      <c r="C323" s="4">
        <f t="shared" ref="C323:F323" si="29">C320*(C290=1)</f>
        <v>0</v>
      </c>
      <c r="D323" s="4">
        <f t="shared" si="29"/>
        <v>0</v>
      </c>
      <c r="E323" s="4">
        <f t="shared" si="29"/>
        <v>0</v>
      </c>
      <c r="F323" s="4">
        <f t="shared" si="29"/>
        <v>0</v>
      </c>
    </row>
    <row r="324" ht="15.75" customHeight="1">
      <c r="A324" s="4" t="s">
        <v>643</v>
      </c>
      <c r="B324" s="2"/>
      <c r="C324" s="4">
        <f t="shared" ref="C324:F324" si="30">C320*(C290=2)</f>
        <v>0</v>
      </c>
      <c r="D324" s="4">
        <f t="shared" si="30"/>
        <v>0</v>
      </c>
      <c r="E324" s="4">
        <f t="shared" si="30"/>
        <v>0</v>
      </c>
      <c r="F324" s="4">
        <f t="shared" si="30"/>
        <v>0</v>
      </c>
    </row>
    <row r="325" ht="15.75" customHeight="1">
      <c r="A325" s="4" t="s">
        <v>644</v>
      </c>
      <c r="B325" s="2"/>
      <c r="C325" s="4">
        <f t="shared" ref="C325:F325" si="31">C320*(C290=3)</f>
        <v>0</v>
      </c>
      <c r="D325" s="4">
        <f t="shared" si="31"/>
        <v>0</v>
      </c>
      <c r="E325" s="4">
        <f t="shared" si="31"/>
        <v>0</v>
      </c>
      <c r="F325" s="4">
        <f t="shared" si="31"/>
        <v>0</v>
      </c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19" t="s">
        <v>153</v>
      </c>
      <c r="B327" s="20"/>
      <c r="C327" s="20"/>
      <c r="D327" s="20"/>
      <c r="E327" s="20"/>
      <c r="F327" s="20"/>
    </row>
    <row r="328" ht="15.75" customHeight="1">
      <c r="A328" s="4" t="s">
        <v>645</v>
      </c>
      <c r="B328" s="2"/>
      <c r="C328" s="22">
        <f t="shared" ref="C328:F328" si="32">C138+C322*C99</f>
        <v>1.11</v>
      </c>
      <c r="D328" s="22">
        <f t="shared" si="32"/>
        <v>2.031432432</v>
      </c>
      <c r="E328" s="22">
        <f t="shared" si="32"/>
        <v>2.046</v>
      </c>
      <c r="F328" s="22">
        <f t="shared" si="32"/>
        <v>2.005</v>
      </c>
    </row>
    <row r="329" ht="15.75" customHeight="1">
      <c r="A329" s="4" t="s">
        <v>646</v>
      </c>
      <c r="B329" s="2"/>
      <c r="C329" s="22">
        <f t="shared" ref="C329:F329" si="33">MIN(MAX(C328-1,0)*C47,C48)</f>
        <v>0</v>
      </c>
      <c r="D329" s="22">
        <f t="shared" si="33"/>
        <v>0</v>
      </c>
      <c r="E329" s="22">
        <f t="shared" si="33"/>
        <v>0.29288</v>
      </c>
      <c r="F329" s="22">
        <f t="shared" si="33"/>
        <v>0</v>
      </c>
    </row>
    <row r="330" ht="15.75" customHeight="1">
      <c r="A330" s="4" t="s">
        <v>647</v>
      </c>
      <c r="B330" s="2"/>
      <c r="C330" s="22">
        <f t="shared" ref="C330:F330" si="34">C207+C318*C95</f>
        <v>0.989</v>
      </c>
      <c r="D330" s="22">
        <f t="shared" si="34"/>
        <v>0.4780378378</v>
      </c>
      <c r="E330" s="22">
        <f t="shared" si="34"/>
        <v>0.592</v>
      </c>
      <c r="F330" s="22">
        <f t="shared" si="34"/>
        <v>0.823</v>
      </c>
    </row>
    <row r="331" ht="15.75" customHeight="1">
      <c r="A331" s="4" t="s">
        <v>648</v>
      </c>
      <c r="B331" s="2"/>
      <c r="C331" s="22">
        <f t="shared" ref="C331:F331" si="35">C208+C319*C96</f>
        <v>2.318</v>
      </c>
      <c r="D331" s="22">
        <f t="shared" si="35"/>
        <v>0.9486918919</v>
      </c>
      <c r="E331" s="22">
        <f t="shared" si="35"/>
        <v>1.16</v>
      </c>
      <c r="F331" s="22">
        <f t="shared" si="35"/>
        <v>1.669</v>
      </c>
    </row>
    <row r="332" ht="15.75" customHeight="1">
      <c r="A332" s="4" t="s">
        <v>649</v>
      </c>
      <c r="B332" s="2"/>
      <c r="C332" s="21">
        <f t="shared" ref="C332:F332" si="36">C185*(1+C186+C323*C97+C329)+C191</f>
        <v>5791.25</v>
      </c>
      <c r="D332" s="21">
        <f t="shared" si="36"/>
        <v>3241.734346</v>
      </c>
      <c r="E332" s="21">
        <f t="shared" si="36"/>
        <v>4157.3562</v>
      </c>
      <c r="F332" s="21">
        <f t="shared" si="36"/>
        <v>3700.235</v>
      </c>
    </row>
    <row r="333" ht="15.75" customHeight="1">
      <c r="A333" s="4" t="s">
        <v>650</v>
      </c>
      <c r="B333" s="2"/>
      <c r="C333" s="21">
        <f t="shared" ref="C333:F333" si="37">C185*(1+C187+C323*C97+C329)+C192</f>
        <v>3030.9</v>
      </c>
      <c r="D333" s="21">
        <f t="shared" si="37"/>
        <v>1123.784346</v>
      </c>
      <c r="E333" s="21">
        <f t="shared" si="37"/>
        <v>2782.0062</v>
      </c>
      <c r="F333" s="21">
        <f t="shared" si="37"/>
        <v>1514.885</v>
      </c>
    </row>
    <row r="334" ht="15.75" customHeight="1">
      <c r="A334" s="4" t="s">
        <v>651</v>
      </c>
      <c r="B334" s="2"/>
      <c r="C334" s="21">
        <f t="shared" ref="C334:F334" si="38">C185*(1+C188+C323*C97+C329)+C193</f>
        <v>4981.25</v>
      </c>
      <c r="D334" s="21">
        <f t="shared" si="38"/>
        <v>2431.734346</v>
      </c>
      <c r="E334" s="21">
        <f t="shared" si="38"/>
        <v>4157.3562</v>
      </c>
      <c r="F334" s="21">
        <f t="shared" si="38"/>
        <v>2890.235</v>
      </c>
    </row>
    <row r="335" ht="15.75" customHeight="1">
      <c r="A335" s="4" t="s">
        <v>652</v>
      </c>
      <c r="B335" s="2"/>
      <c r="C335" s="21">
        <f t="shared" ref="C335:F335" si="39">C185*(1+C189+C323*C97+C329)+C194</f>
        <v>4233.25</v>
      </c>
      <c r="D335" s="21">
        <f t="shared" si="39"/>
        <v>2326.134346</v>
      </c>
      <c r="E335" s="21">
        <f t="shared" si="39"/>
        <v>3984.3562</v>
      </c>
      <c r="F335" s="21">
        <f t="shared" si="39"/>
        <v>2717.235</v>
      </c>
    </row>
    <row r="336" ht="15.75" customHeight="1">
      <c r="A336" s="4" t="s">
        <v>653</v>
      </c>
      <c r="B336" s="2"/>
      <c r="C336" s="21">
        <f t="shared" ref="C336:F336" si="40">C185*(1+C190+C323*C97+C329)+C195</f>
        <v>3030.9</v>
      </c>
      <c r="D336" s="21">
        <f t="shared" si="40"/>
        <v>1123.784346</v>
      </c>
      <c r="E336" s="21">
        <f t="shared" si="40"/>
        <v>2782.0062</v>
      </c>
      <c r="F336" s="21">
        <f t="shared" si="40"/>
        <v>1514.885</v>
      </c>
    </row>
    <row r="337" ht="15.75" customHeight="1">
      <c r="A337" s="4" t="s">
        <v>654</v>
      </c>
      <c r="B337" s="2"/>
      <c r="C337" s="21">
        <f t="shared" ref="C337:F337" si="41">C201*(1+C202+C324*C101)+C203</f>
        <v>19082.648</v>
      </c>
      <c r="D337" s="21">
        <f t="shared" si="41"/>
        <v>20708.6505</v>
      </c>
      <c r="E337" s="21">
        <f t="shared" si="41"/>
        <v>17000.043</v>
      </c>
      <c r="F337" s="21">
        <f t="shared" si="41"/>
        <v>18912.303</v>
      </c>
    </row>
    <row r="338" ht="15.75" customHeight="1">
      <c r="A338" s="4" t="s">
        <v>655</v>
      </c>
      <c r="B338" s="2"/>
      <c r="C338" s="21">
        <f t="shared" ref="C338:F338" si="42">C204*(1+C205+C325*C103)+C206</f>
        <v>929.208</v>
      </c>
      <c r="D338" s="21">
        <f t="shared" si="42"/>
        <v>876.6015351</v>
      </c>
      <c r="E338" s="21">
        <f t="shared" si="42"/>
        <v>756.112</v>
      </c>
      <c r="F338" s="21">
        <f t="shared" si="42"/>
        <v>905.604</v>
      </c>
    </row>
    <row r="339" ht="15.75" customHeight="1">
      <c r="A339" s="4" t="s">
        <v>656</v>
      </c>
      <c r="B339" s="2"/>
      <c r="C339" s="21">
        <f t="shared" ref="C339:F339" si="43">C196+C321*C98</f>
        <v>424</v>
      </c>
      <c r="D339" s="21">
        <f t="shared" si="43"/>
        <v>348.4908108</v>
      </c>
      <c r="E339" s="21">
        <f t="shared" si="43"/>
        <v>159</v>
      </c>
      <c r="F339" s="21">
        <f t="shared" si="43"/>
        <v>159</v>
      </c>
    </row>
    <row r="340" ht="15.75" customHeight="1">
      <c r="A340" s="4" t="s">
        <v>657</v>
      </c>
      <c r="B340" s="2"/>
      <c r="C340" s="21">
        <f t="shared" ref="C340:F340" si="44">C197+C321*C98</f>
        <v>304</v>
      </c>
      <c r="D340" s="21">
        <f t="shared" si="44"/>
        <v>228.4908108</v>
      </c>
      <c r="E340" s="21">
        <f t="shared" si="44"/>
        <v>39</v>
      </c>
      <c r="F340" s="21">
        <f t="shared" si="44"/>
        <v>39</v>
      </c>
    </row>
    <row r="341" ht="15.75" customHeight="1">
      <c r="A341" s="4" t="s">
        <v>658</v>
      </c>
      <c r="B341" s="2"/>
      <c r="C341" s="21">
        <f t="shared" ref="C341:F341" si="45">C198+C321*C98</f>
        <v>424</v>
      </c>
      <c r="D341" s="21">
        <f t="shared" si="45"/>
        <v>348.4908108</v>
      </c>
      <c r="E341" s="21">
        <f t="shared" si="45"/>
        <v>159</v>
      </c>
      <c r="F341" s="21">
        <f t="shared" si="45"/>
        <v>159</v>
      </c>
    </row>
    <row r="342" ht="15.75" customHeight="1">
      <c r="A342" s="4" t="s">
        <v>659</v>
      </c>
      <c r="B342" s="2"/>
      <c r="C342" s="21">
        <f t="shared" ref="C342:F342" si="46">C199+C321*C98</f>
        <v>424</v>
      </c>
      <c r="D342" s="21">
        <f t="shared" si="46"/>
        <v>348.4908108</v>
      </c>
      <c r="E342" s="21">
        <f t="shared" si="46"/>
        <v>159</v>
      </c>
      <c r="F342" s="21">
        <f t="shared" si="46"/>
        <v>159</v>
      </c>
    </row>
    <row r="343" ht="15.75" customHeight="1">
      <c r="A343" s="4" t="s">
        <v>660</v>
      </c>
      <c r="B343" s="2"/>
      <c r="C343" s="21">
        <f t="shared" ref="C343:F343" si="47">C200+C321*C98</f>
        <v>304</v>
      </c>
      <c r="D343" s="21">
        <f t="shared" si="47"/>
        <v>228.4908108</v>
      </c>
      <c r="E343" s="21">
        <f t="shared" si="47"/>
        <v>39</v>
      </c>
      <c r="F343" s="21">
        <f t="shared" si="47"/>
        <v>39</v>
      </c>
    </row>
    <row r="344" ht="15.75" customHeight="1">
      <c r="A344" s="4" t="s">
        <v>661</v>
      </c>
      <c r="B344" s="2"/>
      <c r="C344" s="22">
        <f t="shared" ref="C344:F344" si="48">C113+C143</f>
        <v>1.816</v>
      </c>
      <c r="D344" s="22">
        <f t="shared" si="48"/>
        <v>0.348</v>
      </c>
      <c r="E344" s="22">
        <f t="shared" si="48"/>
        <v>0.4</v>
      </c>
      <c r="F344" s="22">
        <f t="shared" si="48"/>
        <v>0.866</v>
      </c>
    </row>
    <row r="345" ht="15.75" customHeight="1">
      <c r="A345" s="4" t="s">
        <v>662</v>
      </c>
      <c r="B345" s="2"/>
      <c r="C345" s="21">
        <f>IF(C6="",0,(1+MIN('Cálculos'!$C$207+(C318)*'Cálculos'!$C$95,1)*('Cálculos'!$C$208+(C319)*'Cálculos'!$C$96))*(('Cálculos'!$C$185*(1+'Cálculos'!$C$186+(C320)*('Cálculos'!$C$290=1)*'Cálculos'!$C$97+MIN(MAX(('Cálculos'!$C$138+(C322)*'Cálculos'!$C$99)-1,0)*'Cálculos'!$C$47,'Cálculos'!$C$48))+'Cálculos'!$C$191)*('Cálculos'!$C$209+'Cálculos'!$C$124*(1+2.78*('Cálculos'!$C$196+(C321)*'Cálculos'!$C$98)/(('Cálculos'!$C$196+(C321)*'Cálculos'!$C$98)+1400)+'Cálculos'!$C$122)*'Cálculos'!$C$214+'Cálculos'!$C$125*(1+2.78*('Cálculos'!$C$196+(C321)*'Cálculos'!$C$98)/(('Cálculos'!$C$196+(C321)*'Cálculos'!$C$98)+1400)+'Cálculos'!$C$123)*'Cálculos'!$C$219)+('Cálculos'!$C$196+(C321)*'Cálculos'!$C$98)*('Cálculos'!$C$210+'Cálculos'!$C$124*(1+2.78*('Cálculos'!$C$196+(C321)*'Cálculos'!$C$98)/(('Cálculos'!$C$196+(C321)*'Cálculos'!$C$98)+1400)+'Cálculos'!$C$122)*'Cálculos'!$C$215+'Cálculos'!$C$125*(1+2.78*('Cálculos'!$C$196+(C321)*'Cálculos'!$C$98)/(('Cálculos'!$C$196+(C321)*'Cálculos'!$C$98)+1400)+'Cálculos'!$C$123)*'Cálculos'!$C$220)+('Cálculos'!$C$201*(1+'Cálculos'!$C$202+(C320)*('Cálculos'!$C$290=2)*'Cálculos'!$C$101)+'Cálculos'!$C$203)*('Cálculos'!$C$211+'Cálculos'!$C$124*(1+2.78*('Cálculos'!$C$196+(C321)*'Cálculos'!$C$98)/(('Cálculos'!$C$196+(C321)*'Cálculos'!$C$98)+1400)+'Cálculos'!$C$122)*'Cálculos'!$C$216+'Cálculos'!$C$125*(1+2.78*('Cálculos'!$C$196+(C321)*'Cálculos'!$C$98)/(('Cálculos'!$C$196+(C321)*'Cálculos'!$C$98)+1400)+'Cálculos'!$C$123)*'Cálculos'!$C$221)+('Cálculos'!$C$204*(1+'Cálculos'!$C$205+(C320)*('Cálculos'!$C$290=3)*'Cálculos'!$C$103)+'Cálculos'!$C$206)*('Cálculos'!$C$212+'Cálculos'!$C$124*(1+2.78*('Cálculos'!$C$196+(C321)*'Cálculos'!$C$98)/(('Cálculos'!$C$196+(C321)*'Cálculos'!$C$98)+1400)+'Cálculos'!$C$122)*'Cálculos'!$C$217+'Cálculos'!$C$125*(1+2.78*('Cálculos'!$C$196+(C321)*'Cálculos'!$C$98)/(('Cálculos'!$C$196+(C321)*'Cálculos'!$C$98)+1400)+'Cálculos'!$C$123)*'Cálculos'!$C$222)+('Cálculos'!$C$213+'Cálculos'!$C$124*(1+2.78*('Cálculos'!$C$196+(C321)*'Cálculos'!$C$98)/(('Cálculos'!$C$196+(C321)*'Cálculos'!$C$98)+1400)+'Cálculos'!$C$122)*'Cálculos'!$C$218+'Cálculos'!$C$125*(1+2.78*('Cálculos'!$C$196+(C321)*'Cálculos'!$C$98)/(('Cálculos'!$C$196+(C321)*'Cálculos'!$C$98)+1400)+'Cálculos'!$C$123)*'Cálculos'!$C$223)+('Cálculos'!$C$185*(1+'Cálculos'!$C$187+(C320)*('Cálculos'!$C$290=1)*'Cálculos'!$C$97+MIN(MAX(('Cálculos'!$C$138+(C322)*'Cálculos'!$C$99)-1,0)*'Cálculos'!$C$47,'Cálculos'!$C$48))+'Cálculos'!$C$192)*('Cálculos'!$C$224+'Cálculos'!$C$124*(1+2.78*('Cálculos'!$C$197+(C321)*'Cálculos'!$C$98)/(('Cálculos'!$C$197+(C321)*'Cálculos'!$C$98)+1400)+'Cálculos'!$C$122)*'Cálculos'!$C$229+'Cálculos'!$C$125*(1+2.78*('Cálculos'!$C$197+(C321)*'Cálculos'!$C$98)/(('Cálculos'!$C$197+(C321)*'Cálculos'!$C$98)+1400)+'Cálculos'!$C$123)*'Cálculos'!$C$234)+('Cálculos'!$C$197+(C321)*'Cálculos'!$C$98)*('Cálculos'!$C$225+'Cálculos'!$C$124*(1+2.78*('Cálculos'!$C$197+(C321)*'Cálculos'!$C$98)/(('Cálculos'!$C$197+(C321)*'Cálculos'!$C$98)+1400)+'Cálculos'!$C$122)*'Cálculos'!$C$230+'Cálculos'!$C$125*(1+2.78*('Cálculos'!$C$197+(C321)*'Cálculos'!$C$98)/(('Cálculos'!$C$197+(C321)*'Cálculos'!$C$98)+1400)+'Cálculos'!$C$123)*'Cálculos'!$C$235)+('Cálculos'!$C$201*(1+'Cálculos'!$C$202+(C320)*('Cálculos'!$C$290=2)*'Cálculos'!$C$101)+'Cálculos'!$C$203)*('Cálculos'!$C$226+'Cálculos'!$C$124*(1+2.78*('Cálculos'!$C$197+(C321)*'Cálculos'!$C$98)/(('Cálculos'!$C$197+(C321)*'Cálculos'!$C$98)+1400)+'Cálculos'!$C$122)*'Cálculos'!$C$231+'Cálculos'!$C$125*(1+2.78*('Cálculos'!$C$197+(C321)*'Cálculos'!$C$98)/(('Cálculos'!$C$197+(C321)*'Cálculos'!$C$98)+1400)+'Cálculos'!$C$123)*'Cálculos'!$C$236)+('Cálculos'!$C$204*(1+'Cálculos'!$C$205+(C320)*('Cálculos'!$C$290=3)*'Cálculos'!$C$103)+'Cálculos'!$C$206)*('Cálculos'!$C$227+'Cálculos'!$C$124*(1+2.78*('Cálculos'!$C$197+(C321)*'Cálculos'!$C$98)/(('Cálculos'!$C$197+(C321)*'Cálculos'!$C$98)+1400)+'Cálculos'!$C$122)*'Cálculos'!$C$232+'Cálculos'!$C$125*(1+2.78*('Cálculos'!$C$197+(C321)*'Cálculos'!$C$98)/(('Cálculos'!$C$197+(C321)*'Cálculos'!$C$98)+1400)+'Cálculos'!$C$123)*'Cálculos'!$C$237)+('Cálculos'!$C$228+'Cálculos'!$C$124*(1+2.78*('Cálculos'!$C$197+(C321)*'Cálculos'!$C$98)/(('Cálculos'!$C$197+(C321)*'Cálculos'!$C$98)+1400)+'Cálculos'!$C$122)*'Cálculos'!$C$233+'Cálculos'!$C$125*(1+2.78*('Cálculos'!$C$197+(C321)*'Cálculos'!$C$98)/(('Cálculos'!$C$197+(C321)*'Cálculos'!$C$98)+1400)+'Cálculos'!$C$123)*'Cálculos'!$C$238)+('Cálculos'!$C$185*(1+'Cálculos'!$C$188+(C320)*('Cálculos'!$C$290=1)*'Cálculos'!$C$97+MIN(MAX(('Cálculos'!$C$138+(C322)*'Cálculos'!$C$99)-1,0)*'Cálculos'!$C$47,'Cálculos'!$C$48))+'Cálculos'!$C$193)*('Cálculos'!$C$239+'Cálculos'!$C$124*(1+2.78*('Cálculos'!$C$198+(C321)*'Cálculos'!$C$98)/(('Cálculos'!$C$198+(C321)*'Cálculos'!$C$98)+1400)+'Cálculos'!$C$122)*'Cálculos'!$C$244+'Cálculos'!$C$125*(1+2.78*('Cálculos'!$C$198+(C321)*'Cálculos'!$C$98)/(('Cálculos'!$C$198+(C321)*'Cálculos'!$C$98)+1400)+'Cálculos'!$C$123)*'Cálculos'!$C$249)+('Cálculos'!$C$198+(C321)*'Cálculos'!$C$98)*('Cálculos'!$C$240+'Cálculos'!$C$124*(1+2.78*('Cálculos'!$C$198+(C321)*'Cálculos'!$C$98)/(('Cálculos'!$C$198+(C321)*'Cálculos'!$C$98)+1400)+'Cálculos'!$C$122)*'Cálculos'!$C$245+'Cálculos'!$C$125*(1+2.78*('Cálculos'!$C$198+(C321)*'Cálculos'!$C$98)/(('Cálculos'!$C$198+(C321)*'Cálculos'!$C$98)+1400)+'Cálculos'!$C$123)*'Cálculos'!$C$250)+('Cálculos'!$C$201*(1+'Cálculos'!$C$202+(C320)*('Cálculos'!$C$290=2)*'Cálculos'!$C$101)+'Cálculos'!$C$203)*('Cálculos'!$C$241+'Cálculos'!$C$124*(1+2.78*('Cálculos'!$C$198+(C321)*'Cálculos'!$C$98)/(('Cálculos'!$C$198+(C321)*'Cálculos'!$C$98)+1400)+'Cálculos'!$C$122)*'Cálculos'!$C$246+'Cálculos'!$C$125*(1+2.78*('Cálculos'!$C$198+(C321)*'Cálculos'!$C$98)/(('Cálculos'!$C$198+(C321)*'Cálculos'!$C$98)+1400)+'Cálculos'!$C$123)*'Cálculos'!$C$251)+('Cálculos'!$C$204*(1+'Cálculos'!$C$205+(C320)*('Cálculos'!$C$290=3)*'Cálculos'!$C$103)+'Cálculos'!$C$206)*('Cálculos'!$C$242+'Cálculos'!$C$124*(1+2.78*('Cálculos'!$C$198+(C321)*'Cálculos'!$C$98)/(('Cálculos'!$C$198+(C321)*'Cálculos'!$C$98)+1400)+'Cálculos'!$C$122)*'Cálculos'!$C$247+'Cálculos'!$C$125*(1+2.78*('Cálculos'!$C$198+(C321)*'Cálculos'!$C$98)/(('Cálculos'!$C$198+(C321)*'Cálculos'!$C$98)+1400)+'Cálculos'!$C$123)*'Cálculos'!$C$252)+('Cálculos'!$C$243+'Cálculos'!$C$124*(1+2.78*('Cálculos'!$C$198+(C321)*'Cálculos'!$C$98)/(('Cálculos'!$C$198+(C321)*'Cálculos'!$C$98)+1400)+'Cálculos'!$C$122)*'Cálculos'!$C$248+'Cálculos'!$C$125*(1+2.78*('Cálculos'!$C$198+(C321)*'Cálculos'!$C$98)/(('Cálculos'!$C$198+(C321)*'Cálculos'!$C$98)+1400)+'Cálculos'!$C$123)*'Cálculos'!$C$253)+('Cálculos'!$C$185*(1+'Cálculos'!$C$189+(C320)*('Cálculos'!$C$290=1)*'Cálculos'!$C$97+MIN(MAX(('Cálculos'!$C$138+(C322)*'Cálculos'!$C$99)-1,0)*'Cálculos'!$C$47,'Cálculos'!$C$48))+'Cálculos'!$C$194)*('Cálculos'!$C$254+'Cálculos'!$C$124*(1+2.78*('Cálculos'!$C$199+(C321)*'Cálculos'!$C$98)/(('Cálculos'!$C$199+(C321)*'Cálculos'!$C$98)+1400)+'Cálculos'!$C$122)*'Cálculos'!$C$259+'Cálculos'!$C$125*(1+2.78*('Cálculos'!$C$199+(C321)*'Cálculos'!$C$98)/(('Cálculos'!$C$199+(C321)*'Cálculos'!$C$98)+1400)+'Cálculos'!$C$123)*'Cálculos'!$C$264)+('Cálculos'!$C$199+(C321)*'Cálculos'!$C$98)*('Cálculos'!$C$255+'Cálculos'!$C$124*(1+2.78*('Cálculos'!$C$199+(C321)*'Cálculos'!$C$98)/(('Cálculos'!$C$199+(C321)*'Cálculos'!$C$98)+1400)+'Cálculos'!$C$122)*'Cálculos'!$C$260+'Cálculos'!$C$125*(1+2.78*('Cálculos'!$C$199+(C321)*'Cálculos'!$C$98)/(('Cálculos'!$C$199+(C321)*'Cálculos'!$C$98)+1400)+'Cálculos'!$C$123)*'Cálculos'!$C$265)+('Cálculos'!$C$201*(1+'Cálculos'!$C$202+(C320)*('Cálculos'!$C$290=2)*'Cálculos'!$C$101)+'Cálculos'!$C$203)*('Cálculos'!$C$256+'Cálculos'!$C$124*(1+2.78*('Cálculos'!$C$199+(C321)*'Cálculos'!$C$98)/(('Cálculos'!$C$199+(C321)*'Cálculos'!$C$98)+1400)+'Cálculos'!$C$122)*'Cálculos'!$C$261+'Cálculos'!$C$125*(1+2.78*('Cálculos'!$C$199+(C321)*'Cálculos'!$C$98)/(('Cálculos'!$C$199+(C321)*'Cálculos'!$C$98)+1400)+'Cálculos'!$C$123)*'Cálculos'!$C$266)+('Cálculos'!$C$204*(1+'Cálculos'!$C$205+(C320)*('Cálculos'!$C$290=3)*'Cálculos'!$C$103)+'Cálculos'!$C$206)*('Cálculos'!$C$257+'Cálculos'!$C$124*(1+2.78*('Cálculos'!$C$199+(C321)*'Cálculos'!$C$98)/(('Cálculos'!$C$199+(C321)*'Cálculos'!$C$98)+1400)+'Cálculos'!$C$122)*'Cálculos'!$C$262+'Cálculos'!$C$125*(1+2.78*('Cálculos'!$C$199+(C321)*'Cálculos'!$C$98)/(('Cálculos'!$C$199+(C321)*'Cálculos'!$C$98)+1400)+'Cálculos'!$C$123)*'Cálculos'!$C$267)+('Cálculos'!$C$258+'Cálculos'!$C$124*(1+2.78*('Cálculos'!$C$199+(C321)*'Cálculos'!$C$98)/(('Cálculos'!$C$199+(C321)*'Cálculos'!$C$98)+1400)+'Cálculos'!$C$122)*'Cálculos'!$C$263+'Cálculos'!$C$125*(1+2.78*('Cálculos'!$C$199+(C321)*'Cálculos'!$C$98)/(('Cálculos'!$C$199+(C321)*'Cálculos'!$C$98)+1400)+'Cálculos'!$C$123)*'Cálculos'!$C$268)+('Cálculos'!$C$185*(1+'Cálculos'!$C$190+(C320)*('Cálculos'!$C$290=1)*'Cálculos'!$C$97+MIN(MAX(('Cálculos'!$C$138+(C322)*'Cálculos'!$C$99)-1,0)*'Cálculos'!$C$47,'Cálculos'!$C$48))+'Cálculos'!$C$195)*('Cálculos'!$C$269+'Cálculos'!$C$124*(1+2.78*('Cálculos'!$C$200+(C321)*'Cálculos'!$C$98)/(('Cálculos'!$C$200+(C321)*'Cálculos'!$C$98)+1400)+'Cálculos'!$C$122)*'Cálculos'!$C$274+'Cálculos'!$C$125*(1+2.78*('Cálculos'!$C$200+(C321)*'Cálculos'!$C$98)/(('Cálculos'!$C$200+(C321)*'Cálculos'!$C$98)+1400)+'Cálculos'!$C$123)*'Cálculos'!$C$279)+('Cálculos'!$C$200+(C321)*'Cálculos'!$C$98)*('Cálculos'!$C$270+'Cálculos'!$C$124*(1+2.78*('Cálculos'!$C$200+(C321)*'Cálculos'!$C$98)/(('Cálculos'!$C$200+(C321)*'Cálculos'!$C$98)+1400)+'Cálculos'!$C$122)*'Cálculos'!$C$275+'Cálculos'!$C$125*(1+2.78*('Cálculos'!$C$200+(C321)*'Cálculos'!$C$98)/(('Cálculos'!$C$200+(C321)*'Cálculos'!$C$98)+1400)+'Cálculos'!$C$123)*'Cálculos'!$C$280)+('Cálculos'!$C$201*(1+'Cálculos'!$C$202+(C320)*('Cálculos'!$C$290=2)*'Cálculos'!$C$101)+'Cálculos'!$C$203)*('Cálculos'!$C$271+'Cálculos'!$C$124*(1+2.78*('Cálculos'!$C$200+(C321)*'Cálculos'!$C$98)/(('Cálculos'!$C$200+(C321)*'Cálculos'!$C$98)+1400)+'Cálculos'!$C$122)*'Cálculos'!$C$276+'Cálculos'!$C$125*(1+2.78*('Cálculos'!$C$200+(C321)*'Cálculos'!$C$98)/(('Cálculos'!$C$200+(C321)*'Cálculos'!$C$98)+1400)+'Cálculos'!$C$123)*'Cálculos'!$C$281)+('Cálculos'!$C$204*(1+'Cálculos'!$C$205+(C320)*('Cálculos'!$C$290=3)*'Cálculos'!$C$103)+'Cálculos'!$C$206)*('Cálculos'!$C$272+'Cálculos'!$C$124*(1+2.78*('Cálculos'!$C$200+(C321)*'Cálculos'!$C$98)/(('Cálculos'!$C$200+(C321)*'Cálculos'!$C$98)+1400)+'Cálculos'!$C$122)*'Cálculos'!$C$277+'Cálculos'!$C$125*(1+2.78*('Cálculos'!$C$200+(C321)*'Cálculos'!$C$98)/(('Cálculos'!$C$200+(C321)*'Cálculos'!$C$98)+1400)+'Cálculos'!$C$123)*'Cálculos'!$C$282)+('Cálculos'!$C$273+'Cálculos'!$C$124*(1+2.78*('Cálculos'!$C$200+(C321)*'Cálculos'!$C$98)/(('Cálculos'!$C$200+(C321)*'Cálculos'!$C$98)+1400)+'Cálculos'!$C$122)*'Cálculos'!$C$278+'Cálculos'!$C$125*(1+2.78*('Cálculos'!$C$200+(C321)*'Cálculos'!$C$98)/(('Cálculos'!$C$200+(C321)*'Cálculos'!$C$98)+1400)+'Cálculos'!$C$123)*'Cálculos'!$C$283)))</f>
        <v>3611058.7</v>
      </c>
      <c r="D345" s="21">
        <f>IF(D6="",0,(1+MIN('Cálculos'!$D$207+(D318)*'Cálculos'!$D$95,1)*('Cálculos'!$D$208+(D319)*'Cálculos'!$D$96))*(('Cálculos'!$D$185*(1+'Cálculos'!$D$186+(D320)*('Cálculos'!$D$290=1)*'Cálculos'!$D$97+MIN(MAX(('Cálculos'!$D$138+(D322)*'Cálculos'!$D$99)-1,0)*'Cálculos'!$D$47,'Cálculos'!$D$48))+'Cálculos'!$D$191)*('Cálculos'!$D$209+'Cálculos'!$D$124*(1+2.78*('Cálculos'!$D$196+(D321)*'Cálculos'!$D$98)/(('Cálculos'!$D$196+(D321)*'Cálculos'!$D$98)+1400)+'Cálculos'!$D$122)*'Cálculos'!$D$214+'Cálculos'!$D$125*(1+2.78*('Cálculos'!$D$196+(D321)*'Cálculos'!$D$98)/(('Cálculos'!$D$196+(D321)*'Cálculos'!$D$98)+1400)+'Cálculos'!$D$123)*'Cálculos'!$D$219)+('Cálculos'!$D$196+(D321)*'Cálculos'!$D$98)*('Cálculos'!$D$210+'Cálculos'!$D$124*(1+2.78*('Cálculos'!$D$196+(D321)*'Cálculos'!$D$98)/(('Cálculos'!$D$196+(D321)*'Cálculos'!$D$98)+1400)+'Cálculos'!$D$122)*'Cálculos'!$D$215+'Cálculos'!$D$125*(1+2.78*('Cálculos'!$D$196+(D321)*'Cálculos'!$D$98)/(('Cálculos'!$D$196+(D321)*'Cálculos'!$D$98)+1400)+'Cálculos'!$D$123)*'Cálculos'!$D$220)+('Cálculos'!$D$201*(1+'Cálculos'!$D$202+(D320)*('Cálculos'!$D$290=2)*'Cálculos'!$D$101)+'Cálculos'!$D$203)*('Cálculos'!$D$211+'Cálculos'!$D$124*(1+2.78*('Cálculos'!$D$196+(D321)*'Cálculos'!$D$98)/(('Cálculos'!$D$196+(D321)*'Cálculos'!$D$98)+1400)+'Cálculos'!$D$122)*'Cálculos'!$D$216+'Cálculos'!$D$125*(1+2.78*('Cálculos'!$D$196+(D321)*'Cálculos'!$D$98)/(('Cálculos'!$D$196+(D321)*'Cálculos'!$D$98)+1400)+'Cálculos'!$D$123)*'Cálculos'!$D$221)+('Cálculos'!$D$204*(1+'Cálculos'!$D$205+(D320)*('Cálculos'!$D$290=3)*'Cálculos'!$D$103)+'Cálculos'!$D$206)*('Cálculos'!$D$212+'Cálculos'!$D$124*(1+2.78*('Cálculos'!$D$196+(D321)*'Cálculos'!$D$98)/(('Cálculos'!$D$196+(D321)*'Cálculos'!$D$98)+1400)+'Cálculos'!$D$122)*'Cálculos'!$D$217+'Cálculos'!$D$125*(1+2.78*('Cálculos'!$D$196+(D321)*'Cálculos'!$D$98)/(('Cálculos'!$D$196+(D321)*'Cálculos'!$D$98)+1400)+'Cálculos'!$D$123)*'Cálculos'!$D$222)+('Cálculos'!$D$213+'Cálculos'!$D$124*(1+2.78*('Cálculos'!$D$196+(D321)*'Cálculos'!$D$98)/(('Cálculos'!$D$196+(D321)*'Cálculos'!$D$98)+1400)+'Cálculos'!$D$122)*'Cálculos'!$D$218+'Cálculos'!$D$125*(1+2.78*('Cálculos'!$D$196+(D321)*'Cálculos'!$D$98)/(('Cálculos'!$D$196+(D321)*'Cálculos'!$D$98)+1400)+'Cálculos'!$D$123)*'Cálculos'!$D$223)+('Cálculos'!$D$185*(1+'Cálculos'!$D$187+(D320)*('Cálculos'!$D$290=1)*'Cálculos'!$D$97+MIN(MAX(('Cálculos'!$D$138+(D322)*'Cálculos'!$D$99)-1,0)*'Cálculos'!$D$47,'Cálculos'!$D$48))+'Cálculos'!$D$192)*('Cálculos'!$D$224+'Cálculos'!$D$124*(1+2.78*('Cálculos'!$D$197+(D321)*'Cálculos'!$D$98)/(('Cálculos'!$D$197+(D321)*'Cálculos'!$D$98)+1400)+'Cálculos'!$D$122)*'Cálculos'!$D$229+'Cálculos'!$D$125*(1+2.78*('Cálculos'!$D$197+(D321)*'Cálculos'!$D$98)/(('Cálculos'!$D$197+(D321)*'Cálculos'!$D$98)+1400)+'Cálculos'!$D$123)*'Cálculos'!$D$234)+('Cálculos'!$D$197+(D321)*'Cálculos'!$D$98)*('Cálculos'!$D$225+'Cálculos'!$D$124*(1+2.78*('Cálculos'!$D$197+(D321)*'Cálculos'!$D$98)/(('Cálculos'!$D$197+(D321)*'Cálculos'!$D$98)+1400)+'Cálculos'!$D$122)*'Cálculos'!$D$230+'Cálculos'!$D$125*(1+2.78*('Cálculos'!$D$197+(D321)*'Cálculos'!$D$98)/(('Cálculos'!$D$197+(D321)*'Cálculos'!$D$98)+1400)+'Cálculos'!$D$123)*'Cálculos'!$D$235)+('Cálculos'!$D$201*(1+'Cálculos'!$D$202+(D320)*('Cálculos'!$D$290=2)*'Cálculos'!$D$101)+'Cálculos'!$D$203)*('Cálculos'!$D$226+'Cálculos'!$D$124*(1+2.78*('Cálculos'!$D$197+(D321)*'Cálculos'!$D$98)/(('Cálculos'!$D$197+(D321)*'Cálculos'!$D$98)+1400)+'Cálculos'!$D$122)*'Cálculos'!$D$231+'Cálculos'!$D$125*(1+2.78*('Cálculos'!$D$197+(D321)*'Cálculos'!$D$98)/(('Cálculos'!$D$197+(D321)*'Cálculos'!$D$98)+1400)+'Cálculos'!$D$123)*'Cálculos'!$D$236)+('Cálculos'!$D$204*(1+'Cálculos'!$D$205+(D320)*('Cálculos'!$D$290=3)*'Cálculos'!$D$103)+'Cálculos'!$D$206)*('Cálculos'!$D$227+'Cálculos'!$D$124*(1+2.78*('Cálculos'!$D$197+(D321)*'Cálculos'!$D$98)/(('Cálculos'!$D$197+(D321)*'Cálculos'!$D$98)+1400)+'Cálculos'!$D$122)*'Cálculos'!$D$232+'Cálculos'!$D$125*(1+2.78*('Cálculos'!$D$197+(D321)*'Cálculos'!$D$98)/(('Cálculos'!$D$197+(D321)*'Cálculos'!$D$98)+1400)+'Cálculos'!$D$123)*'Cálculos'!$D$237)+('Cálculos'!$D$228+'Cálculos'!$D$124*(1+2.78*('Cálculos'!$D$197+(D321)*'Cálculos'!$D$98)/(('Cálculos'!$D$197+(D321)*'Cálculos'!$D$98)+1400)+'Cálculos'!$D$122)*'Cálculos'!$D$233+'Cálculos'!$D$125*(1+2.78*('Cálculos'!$D$197+(D321)*'Cálculos'!$D$98)/(('Cálculos'!$D$197+(D321)*'Cálculos'!$D$98)+1400)+'Cálculos'!$D$123)*'Cálculos'!$D$238)+('Cálculos'!$D$185*(1+'Cálculos'!$D$188+(D320)*('Cálculos'!$D$290=1)*'Cálculos'!$D$97+MIN(MAX(('Cálculos'!$D$138+(D322)*'Cálculos'!$D$99)-1,0)*'Cálculos'!$D$47,'Cálculos'!$D$48))+'Cálculos'!$D$193)*('Cálculos'!$D$239+'Cálculos'!$D$124*(1+2.78*('Cálculos'!$D$198+(D321)*'Cálculos'!$D$98)/(('Cálculos'!$D$198+(D321)*'Cálculos'!$D$98)+1400)+'Cálculos'!$D$122)*'Cálculos'!$D$244+'Cálculos'!$D$125*(1+2.78*('Cálculos'!$D$198+(D321)*'Cálculos'!$D$98)/(('Cálculos'!$D$198+(D321)*'Cálculos'!$D$98)+1400)+'Cálculos'!$D$123)*'Cálculos'!$D$249)+('Cálculos'!$D$198+(D321)*'Cálculos'!$D$98)*('Cálculos'!$D$240+'Cálculos'!$D$124*(1+2.78*('Cálculos'!$D$198+(D321)*'Cálculos'!$D$98)/(('Cálculos'!$D$198+(D321)*'Cálculos'!$D$98)+1400)+'Cálculos'!$D$122)*'Cálculos'!$D$245+'Cálculos'!$D$125*(1+2.78*('Cálculos'!$D$198+(D321)*'Cálculos'!$D$98)/(('Cálculos'!$D$198+(D321)*'Cálculos'!$D$98)+1400)+'Cálculos'!$D$123)*'Cálculos'!$D$250)+('Cálculos'!$D$201*(1+'Cálculos'!$D$202+(D320)*('Cálculos'!$D$290=2)*'Cálculos'!$D$101)+'Cálculos'!$D$203)*('Cálculos'!$D$241+'Cálculos'!$D$124*(1+2.78*('Cálculos'!$D$198+(D321)*'Cálculos'!$D$98)/(('Cálculos'!$D$198+(D321)*'Cálculos'!$D$98)+1400)+'Cálculos'!$D$122)*'Cálculos'!$D$246+'Cálculos'!$D$125*(1+2.78*('Cálculos'!$D$198+(D321)*'Cálculos'!$D$98)/(('Cálculos'!$D$198+(D321)*'Cálculos'!$D$98)+1400)+'Cálculos'!$D$123)*'Cálculos'!$D$251)+('Cálculos'!$D$204*(1+'Cálculos'!$D$205+(D320)*('Cálculos'!$D$290=3)*'Cálculos'!$D$103)+'Cálculos'!$D$206)*('Cálculos'!$D$242+'Cálculos'!$D$124*(1+2.78*('Cálculos'!$D$198+(D321)*'Cálculos'!$D$98)/(('Cálculos'!$D$198+(D321)*'Cálculos'!$D$98)+1400)+'Cálculos'!$D$122)*'Cálculos'!$D$247+'Cálculos'!$D$125*(1+2.78*('Cálculos'!$D$198+(D321)*'Cálculos'!$D$98)/(('Cálculos'!$D$198+(D321)*'Cálculos'!$D$98)+1400)+'Cálculos'!$D$123)*'Cálculos'!$D$252)+('Cálculos'!$D$243+'Cálculos'!$D$124*(1+2.78*('Cálculos'!$D$198+(D321)*'Cálculos'!$D$98)/(('Cálculos'!$D$198+(D321)*'Cálculos'!$D$98)+1400)+'Cálculos'!$D$122)*'Cálculos'!$D$248+'Cálculos'!$D$125*(1+2.78*('Cálculos'!$D$198+(D321)*'Cálculos'!$D$98)/(('Cálculos'!$D$198+(D321)*'Cálculos'!$D$98)+1400)+'Cálculos'!$D$123)*'Cálculos'!$D$253)+('Cálculos'!$D$185*(1+'Cálculos'!$D$189+(D320)*('Cálculos'!$D$290=1)*'Cálculos'!$D$97+MIN(MAX(('Cálculos'!$D$138+(D322)*'Cálculos'!$D$99)-1,0)*'Cálculos'!$D$47,'Cálculos'!$D$48))+'Cálculos'!$D$194)*('Cálculos'!$D$254+'Cálculos'!$D$124*(1+2.78*('Cálculos'!$D$199+(D321)*'Cálculos'!$D$98)/(('Cálculos'!$D$199+(D321)*'Cálculos'!$D$98)+1400)+'Cálculos'!$D$122)*'Cálculos'!$D$259+'Cálculos'!$D$125*(1+2.78*('Cálculos'!$D$199+(D321)*'Cálculos'!$D$98)/(('Cálculos'!$D$199+(D321)*'Cálculos'!$D$98)+1400)+'Cálculos'!$D$123)*'Cálculos'!$D$264)+('Cálculos'!$D$199+(D321)*'Cálculos'!$D$98)*('Cálculos'!$D$255+'Cálculos'!$D$124*(1+2.78*('Cálculos'!$D$199+(D321)*'Cálculos'!$D$98)/(('Cálculos'!$D$199+(D321)*'Cálculos'!$D$98)+1400)+'Cálculos'!$D$122)*'Cálculos'!$D$260+'Cálculos'!$D$125*(1+2.78*('Cálculos'!$D$199+(D321)*'Cálculos'!$D$98)/(('Cálculos'!$D$199+(D321)*'Cálculos'!$D$98)+1400)+'Cálculos'!$D$123)*'Cálculos'!$D$265)+('Cálculos'!$D$201*(1+'Cálculos'!$D$202+(D320)*('Cálculos'!$D$290=2)*'Cálculos'!$D$101)+'Cálculos'!$D$203)*('Cálculos'!$D$256+'Cálculos'!$D$124*(1+2.78*('Cálculos'!$D$199+(D321)*'Cálculos'!$D$98)/(('Cálculos'!$D$199+(D321)*'Cálculos'!$D$98)+1400)+'Cálculos'!$D$122)*'Cálculos'!$D$261+'Cálculos'!$D$125*(1+2.78*('Cálculos'!$D$199+(D321)*'Cálculos'!$D$98)/(('Cálculos'!$D$199+(D321)*'Cálculos'!$D$98)+1400)+'Cálculos'!$D$123)*'Cálculos'!$D$266)+('Cálculos'!$D$204*(1+'Cálculos'!$D$205+(D320)*('Cálculos'!$D$290=3)*'Cálculos'!$D$103)+'Cálculos'!$D$206)*('Cálculos'!$D$257+'Cálculos'!$D$124*(1+2.78*('Cálculos'!$D$199+(D321)*'Cálculos'!$D$98)/(('Cálculos'!$D$199+(D321)*'Cálculos'!$D$98)+1400)+'Cálculos'!$D$122)*'Cálculos'!$D$262+'Cálculos'!$D$125*(1+2.78*('Cálculos'!$D$199+(D321)*'Cálculos'!$D$98)/(('Cálculos'!$D$199+(D321)*'Cálculos'!$D$98)+1400)+'Cálculos'!$D$123)*'Cálculos'!$D$267)+('Cálculos'!$D$258+'Cálculos'!$D$124*(1+2.78*('Cálculos'!$D$199+(D321)*'Cálculos'!$D$98)/(('Cálculos'!$D$199+(D321)*'Cálculos'!$D$98)+1400)+'Cálculos'!$D$122)*'Cálculos'!$D$263+'Cálculos'!$D$125*(1+2.78*('Cálculos'!$D$199+(D321)*'Cálculos'!$D$98)/(('Cálculos'!$D$199+(D321)*'Cálculos'!$D$98)+1400)+'Cálculos'!$D$123)*'Cálculos'!$D$268)+('Cálculos'!$D$185*(1+'Cálculos'!$D$190+(D320)*('Cálculos'!$D$290=1)*'Cálculos'!$D$97+MIN(MAX(('Cálculos'!$D$138+(D322)*'Cálculos'!$D$99)-1,0)*'Cálculos'!$D$47,'Cálculos'!$D$48))+'Cálculos'!$D$195)*('Cálculos'!$D$269+'Cálculos'!$D$124*(1+2.78*('Cálculos'!$D$200+(D321)*'Cálculos'!$D$98)/(('Cálculos'!$D$200+(D321)*'Cálculos'!$D$98)+1400)+'Cálculos'!$D$122)*'Cálculos'!$D$274+'Cálculos'!$D$125*(1+2.78*('Cálculos'!$D$200+(D321)*'Cálculos'!$D$98)/(('Cálculos'!$D$200+(D321)*'Cálculos'!$D$98)+1400)+'Cálculos'!$D$123)*'Cálculos'!$D$279)+('Cálculos'!$D$200+(D321)*'Cálculos'!$D$98)*('Cálculos'!$D$270+'Cálculos'!$D$124*(1+2.78*('Cálculos'!$D$200+(D321)*'Cálculos'!$D$98)/(('Cálculos'!$D$200+(D321)*'Cálculos'!$D$98)+1400)+'Cálculos'!$D$122)*'Cálculos'!$D$275+'Cálculos'!$D$125*(1+2.78*('Cálculos'!$D$200+(D321)*'Cálculos'!$D$98)/(('Cálculos'!$D$200+(D321)*'Cálculos'!$D$98)+1400)+'Cálculos'!$D$123)*'Cálculos'!$D$280)+('Cálculos'!$D$201*(1+'Cálculos'!$D$202+(D320)*('Cálculos'!$D$290=2)*'Cálculos'!$D$101)+'Cálculos'!$D$203)*('Cálculos'!$D$271+'Cálculos'!$D$124*(1+2.78*('Cálculos'!$D$200+(D321)*'Cálculos'!$D$98)/(('Cálculos'!$D$200+(D321)*'Cálculos'!$D$98)+1400)+'Cálculos'!$D$122)*'Cálculos'!$D$276+'Cálculos'!$D$125*(1+2.78*('Cálculos'!$D$200+(D321)*'Cálculos'!$D$98)/(('Cálculos'!$D$200+(D321)*'Cálculos'!$D$98)+1400)+'Cálculos'!$D$123)*'Cálculos'!$D$281)+('Cálculos'!$D$204*(1+'Cálculos'!$D$205+(D320)*('Cálculos'!$D$290=3)*'Cálculos'!$D$103)+'Cálculos'!$D$206)*('Cálculos'!$D$272+'Cálculos'!$D$124*(1+2.78*('Cálculos'!$D$200+(D321)*'Cálculos'!$D$98)/(('Cálculos'!$D$200+(D321)*'Cálculos'!$D$98)+1400)+'Cálculos'!$D$122)*'Cálculos'!$D$277+'Cálculos'!$D$125*(1+2.78*('Cálculos'!$D$200+(D321)*'Cálculos'!$D$98)/(('Cálculos'!$D$200+(D321)*'Cálculos'!$D$98)+1400)+'Cálculos'!$D$123)*'Cálculos'!$D$282)+('Cálculos'!$D$273+'Cálculos'!$D$124*(1+2.78*('Cálculos'!$D$200+(D321)*'Cálculos'!$D$98)/(('Cálculos'!$D$200+(D321)*'Cálculos'!$D$98)+1400)+'Cálculos'!$D$122)*'Cálculos'!$D$278+'Cálculos'!$D$125*(1+2.78*('Cálculos'!$D$200+(D321)*'Cálculos'!$D$98)/(('Cálculos'!$D$200+(D321)*'Cálculos'!$D$98)+1400)+'Cálculos'!$D$123)*'Cálculos'!$D$283)))</f>
        <v>102179.8418</v>
      </c>
      <c r="E345" s="21">
        <f>IF(E6="",0,(1+MIN('Cálculos'!$E$207+(E318)*'Cálculos'!$E$95,1)*('Cálculos'!$E$208+(E319)*'Cálculos'!$E$96))*(('Cálculos'!$E$185*(1+'Cálculos'!$E$186+(E320)*('Cálculos'!$E$290=1)*'Cálculos'!$E$97+MIN(MAX(('Cálculos'!$E$138+(E322)*'Cálculos'!$E$99)-1,0)*'Cálculos'!$E$47,'Cálculos'!$E$48))+'Cálculos'!$E$191)*('Cálculos'!$E$209+'Cálculos'!$E$124*(1+2.78*('Cálculos'!$E$196+(E321)*'Cálculos'!$E$98)/(('Cálculos'!$E$196+(E321)*'Cálculos'!$E$98)+1400)+'Cálculos'!$E$122)*'Cálculos'!$E$214+'Cálculos'!$E$125*(1+2.78*('Cálculos'!$E$196+(E321)*'Cálculos'!$E$98)/(('Cálculos'!$E$196+(E321)*'Cálculos'!$E$98)+1400)+'Cálculos'!$E$123)*'Cálculos'!$E$219)+('Cálculos'!$E$196+(E321)*'Cálculos'!$E$98)*('Cálculos'!$E$210+'Cálculos'!$E$124*(1+2.78*('Cálculos'!$E$196+(E321)*'Cálculos'!$E$98)/(('Cálculos'!$E$196+(E321)*'Cálculos'!$E$98)+1400)+'Cálculos'!$E$122)*'Cálculos'!$E$215+'Cálculos'!$E$125*(1+2.78*('Cálculos'!$E$196+(E321)*'Cálculos'!$E$98)/(('Cálculos'!$E$196+(E321)*'Cálculos'!$E$98)+1400)+'Cálculos'!$E$123)*'Cálculos'!$E$220)+('Cálculos'!$E$201*(1+'Cálculos'!$E$202+(E320)*('Cálculos'!$E$290=2)*'Cálculos'!$E$101)+'Cálculos'!$E$203)*('Cálculos'!$E$211+'Cálculos'!$E$124*(1+2.78*('Cálculos'!$E$196+(E321)*'Cálculos'!$E$98)/(('Cálculos'!$E$196+(E321)*'Cálculos'!$E$98)+1400)+'Cálculos'!$E$122)*'Cálculos'!$E$216+'Cálculos'!$E$125*(1+2.78*('Cálculos'!$E$196+(E321)*'Cálculos'!$E$98)/(('Cálculos'!$E$196+(E321)*'Cálculos'!$E$98)+1400)+'Cálculos'!$E$123)*'Cálculos'!$E$221)+('Cálculos'!$E$204*(1+'Cálculos'!$E$205+(E320)*('Cálculos'!$E$290=3)*'Cálculos'!$E$103)+'Cálculos'!$E$206)*('Cálculos'!$E$212+'Cálculos'!$E$124*(1+2.78*('Cálculos'!$E$196+(E321)*'Cálculos'!$E$98)/(('Cálculos'!$E$196+(E321)*'Cálculos'!$E$98)+1400)+'Cálculos'!$E$122)*'Cálculos'!$E$217+'Cálculos'!$E$125*(1+2.78*('Cálculos'!$E$196+(E321)*'Cálculos'!$E$98)/(('Cálculos'!$E$196+(E321)*'Cálculos'!$E$98)+1400)+'Cálculos'!$E$123)*'Cálculos'!$E$222)+('Cálculos'!$E$213+'Cálculos'!$E$124*(1+2.78*('Cálculos'!$E$196+(E321)*'Cálculos'!$E$98)/(('Cálculos'!$E$196+(E321)*'Cálculos'!$E$98)+1400)+'Cálculos'!$E$122)*'Cálculos'!$E$218+'Cálculos'!$E$125*(1+2.78*('Cálculos'!$E$196+(E321)*'Cálculos'!$E$98)/(('Cálculos'!$E$196+(E321)*'Cálculos'!$E$98)+1400)+'Cálculos'!$E$123)*'Cálculos'!$E$223)+('Cálculos'!$E$185*(1+'Cálculos'!$E$187+(E320)*('Cálculos'!$E$290=1)*'Cálculos'!$E$97+MIN(MAX(('Cálculos'!$E$138+(E322)*'Cálculos'!$E$99)-1,0)*'Cálculos'!$E$47,'Cálculos'!$E$48))+'Cálculos'!$E$192)*('Cálculos'!$E$224+'Cálculos'!$E$124*(1+2.78*('Cálculos'!$E$197+(E321)*'Cálculos'!$E$98)/(('Cálculos'!$E$197+(E321)*'Cálculos'!$E$98)+1400)+'Cálculos'!$E$122)*'Cálculos'!$E$229+'Cálculos'!$E$125*(1+2.78*('Cálculos'!$E$197+(E321)*'Cálculos'!$E$98)/(('Cálculos'!$E$197+(E321)*'Cálculos'!$E$98)+1400)+'Cálculos'!$E$123)*'Cálculos'!$E$234)+('Cálculos'!$E$197+(E321)*'Cálculos'!$E$98)*('Cálculos'!$E$225+'Cálculos'!$E$124*(1+2.78*('Cálculos'!$E$197+(E321)*'Cálculos'!$E$98)/(('Cálculos'!$E$197+(E321)*'Cálculos'!$E$98)+1400)+'Cálculos'!$E$122)*'Cálculos'!$E$230+'Cálculos'!$E$125*(1+2.78*('Cálculos'!$E$197+(E321)*'Cálculos'!$E$98)/(('Cálculos'!$E$197+(E321)*'Cálculos'!$E$98)+1400)+'Cálculos'!$E$123)*'Cálculos'!$E$235)+('Cálculos'!$E$201*(1+'Cálculos'!$E$202+(E320)*('Cálculos'!$E$290=2)*'Cálculos'!$E$101)+'Cálculos'!$E$203)*('Cálculos'!$E$226+'Cálculos'!$E$124*(1+2.78*('Cálculos'!$E$197+(E321)*'Cálculos'!$E$98)/(('Cálculos'!$E$197+(E321)*'Cálculos'!$E$98)+1400)+'Cálculos'!$E$122)*'Cálculos'!$E$231+'Cálculos'!$E$125*(1+2.78*('Cálculos'!$E$197+(E321)*'Cálculos'!$E$98)/(('Cálculos'!$E$197+(E321)*'Cálculos'!$E$98)+1400)+'Cálculos'!$E$123)*'Cálculos'!$E$236)+('Cálculos'!$E$204*(1+'Cálculos'!$E$205+(E320)*('Cálculos'!$E$290=3)*'Cálculos'!$E$103)+'Cálculos'!$E$206)*('Cálculos'!$E$227+'Cálculos'!$E$124*(1+2.78*('Cálculos'!$E$197+(E321)*'Cálculos'!$E$98)/(('Cálculos'!$E$197+(E321)*'Cálculos'!$E$98)+1400)+'Cálculos'!$E$122)*'Cálculos'!$E$232+'Cálculos'!$E$125*(1+2.78*('Cálculos'!$E$197+(E321)*'Cálculos'!$E$98)/(('Cálculos'!$E$197+(E321)*'Cálculos'!$E$98)+1400)+'Cálculos'!$E$123)*'Cálculos'!$E$237)+('Cálculos'!$E$228+'Cálculos'!$E$124*(1+2.78*('Cálculos'!$E$197+(E321)*'Cálculos'!$E$98)/(('Cálculos'!$E$197+(E321)*'Cálculos'!$E$98)+1400)+'Cálculos'!$E$122)*'Cálculos'!$E$233+'Cálculos'!$E$125*(1+2.78*('Cálculos'!$E$197+(E321)*'Cálculos'!$E$98)/(('Cálculos'!$E$197+(E321)*'Cálculos'!$E$98)+1400)+'Cálculos'!$E$123)*'Cálculos'!$E$238)+('Cálculos'!$E$185*(1+'Cálculos'!$E$188+(E320)*('Cálculos'!$E$290=1)*'Cálculos'!$E$97+MIN(MAX(('Cálculos'!$E$138+(E322)*'Cálculos'!$E$99)-1,0)*'Cálculos'!$E$47,'Cálculos'!$E$48))+'Cálculos'!$E$193)*('Cálculos'!$E$239+'Cálculos'!$E$124*(1+2.78*('Cálculos'!$E$198+(E321)*'Cálculos'!$E$98)/(('Cálculos'!$E$198+(E321)*'Cálculos'!$E$98)+1400)+'Cálculos'!$E$122)*'Cálculos'!$E$244+'Cálculos'!$E$125*(1+2.78*('Cálculos'!$E$198+(E321)*'Cálculos'!$E$98)/(('Cálculos'!$E$198+(E321)*'Cálculos'!$E$98)+1400)+'Cálculos'!$E$123)*'Cálculos'!$E$249)+('Cálculos'!$E$198+(E321)*'Cálculos'!$E$98)*('Cálculos'!$E$240+'Cálculos'!$E$124*(1+2.78*('Cálculos'!$E$198+(E321)*'Cálculos'!$E$98)/(('Cálculos'!$E$198+(E321)*'Cálculos'!$E$98)+1400)+'Cálculos'!$E$122)*'Cálculos'!$E$245+'Cálculos'!$E$125*(1+2.78*('Cálculos'!$E$198+(E321)*'Cálculos'!$E$98)/(('Cálculos'!$E$198+(E321)*'Cálculos'!$E$98)+1400)+'Cálculos'!$E$123)*'Cálculos'!$E$250)+('Cálculos'!$E$201*(1+'Cálculos'!$E$202+(E320)*('Cálculos'!$E$290=2)*'Cálculos'!$E$101)+'Cálculos'!$E$203)*('Cálculos'!$E$241+'Cálculos'!$E$124*(1+2.78*('Cálculos'!$E$198+(E321)*'Cálculos'!$E$98)/(('Cálculos'!$E$198+(E321)*'Cálculos'!$E$98)+1400)+'Cálculos'!$E$122)*'Cálculos'!$E$246+'Cálculos'!$E$125*(1+2.78*('Cálculos'!$E$198+(E321)*'Cálculos'!$E$98)/(('Cálculos'!$E$198+(E321)*'Cálculos'!$E$98)+1400)+'Cálculos'!$E$123)*'Cálculos'!$E$251)+('Cálculos'!$E$204*(1+'Cálculos'!$E$205+(E320)*('Cálculos'!$E$290=3)*'Cálculos'!$E$103)+'Cálculos'!$E$206)*('Cálculos'!$E$242+'Cálculos'!$E$124*(1+2.78*('Cálculos'!$E$198+(E321)*'Cálculos'!$E$98)/(('Cálculos'!$E$198+(E321)*'Cálculos'!$E$98)+1400)+'Cálculos'!$E$122)*'Cálculos'!$E$247+'Cálculos'!$E$125*(1+2.78*('Cálculos'!$E$198+(E321)*'Cálculos'!$E$98)/(('Cálculos'!$E$198+(E321)*'Cálculos'!$E$98)+1400)+'Cálculos'!$E$123)*'Cálculos'!$E$252)+('Cálculos'!$E$243+'Cálculos'!$E$124*(1+2.78*('Cálculos'!$E$198+(E321)*'Cálculos'!$E$98)/(('Cálculos'!$E$198+(E321)*'Cálculos'!$E$98)+1400)+'Cálculos'!$E$122)*'Cálculos'!$E$248+'Cálculos'!$E$125*(1+2.78*('Cálculos'!$E$198+(E321)*'Cálculos'!$E$98)/(('Cálculos'!$E$198+(E321)*'Cálculos'!$E$98)+1400)+'Cálculos'!$E$123)*'Cálculos'!$E$253)+('Cálculos'!$E$185*(1+'Cálculos'!$E$189+(E320)*('Cálculos'!$E$290=1)*'Cálculos'!$E$97+MIN(MAX(('Cálculos'!$E$138+(E322)*'Cálculos'!$E$99)-1,0)*'Cálculos'!$E$47,'Cálculos'!$E$48))+'Cálculos'!$E$194)*('Cálculos'!$E$254+'Cálculos'!$E$124*(1+2.78*('Cálculos'!$E$199+(E321)*'Cálculos'!$E$98)/(('Cálculos'!$E$199+(E321)*'Cálculos'!$E$98)+1400)+'Cálculos'!$E$122)*'Cálculos'!$E$259+'Cálculos'!$E$125*(1+2.78*('Cálculos'!$E$199+(E321)*'Cálculos'!$E$98)/(('Cálculos'!$E$199+(E321)*'Cálculos'!$E$98)+1400)+'Cálculos'!$E$123)*'Cálculos'!$E$264)+('Cálculos'!$E$199+(E321)*'Cálculos'!$E$98)*('Cálculos'!$E$255+'Cálculos'!$E$124*(1+2.78*('Cálculos'!$E$199+(E321)*'Cálculos'!$E$98)/(('Cálculos'!$E$199+(E321)*'Cálculos'!$E$98)+1400)+'Cálculos'!$E$122)*'Cálculos'!$E$260+'Cálculos'!$E$125*(1+2.78*('Cálculos'!$E$199+(E321)*'Cálculos'!$E$98)/(('Cálculos'!$E$199+(E321)*'Cálculos'!$E$98)+1400)+'Cálculos'!$E$123)*'Cálculos'!$E$265)+('Cálculos'!$E$201*(1+'Cálculos'!$E$202+(E320)*('Cálculos'!$E$290=2)*'Cálculos'!$E$101)+'Cálculos'!$E$203)*('Cálculos'!$E$256+'Cálculos'!$E$124*(1+2.78*('Cálculos'!$E$199+(E321)*'Cálculos'!$E$98)/(('Cálculos'!$E$199+(E321)*'Cálculos'!$E$98)+1400)+'Cálculos'!$E$122)*'Cálculos'!$E$261+'Cálculos'!$E$125*(1+2.78*('Cálculos'!$E$199+(E321)*'Cálculos'!$E$98)/(('Cálculos'!$E$199+(E321)*'Cálculos'!$E$98)+1400)+'Cálculos'!$E$123)*'Cálculos'!$E$266)+('Cálculos'!$E$204*(1+'Cálculos'!$E$205+(E320)*('Cálculos'!$E$290=3)*'Cálculos'!$E$103)+'Cálculos'!$E$206)*('Cálculos'!$E$257+'Cálculos'!$E$124*(1+2.78*('Cálculos'!$E$199+(E321)*'Cálculos'!$E$98)/(('Cálculos'!$E$199+(E321)*'Cálculos'!$E$98)+1400)+'Cálculos'!$E$122)*'Cálculos'!$E$262+'Cálculos'!$E$125*(1+2.78*('Cálculos'!$E$199+(E321)*'Cálculos'!$E$98)/(('Cálculos'!$E$199+(E321)*'Cálculos'!$E$98)+1400)+'Cálculos'!$E$123)*'Cálculos'!$E$267)+('Cálculos'!$E$258+'Cálculos'!$E$124*(1+2.78*('Cálculos'!$E$199+(E321)*'Cálculos'!$E$98)/(('Cálculos'!$E$199+(E321)*'Cálculos'!$E$98)+1400)+'Cálculos'!$E$122)*'Cálculos'!$E$263+'Cálculos'!$E$125*(1+2.78*('Cálculos'!$E$199+(E321)*'Cálculos'!$E$98)/(('Cálculos'!$E$199+(E321)*'Cálculos'!$E$98)+1400)+'Cálculos'!$E$123)*'Cálculos'!$E$268)+('Cálculos'!$E$185*(1+'Cálculos'!$E$190+(E320)*('Cálculos'!$E$290=1)*'Cálculos'!$E$97+MIN(MAX(('Cálculos'!$E$138+(E322)*'Cálculos'!$E$99)-1,0)*'Cálculos'!$E$47,'Cálculos'!$E$48))+'Cálculos'!$E$195)*('Cálculos'!$E$269+'Cálculos'!$E$124*(1+2.78*('Cálculos'!$E$200+(E321)*'Cálculos'!$E$98)/(('Cálculos'!$E$200+(E321)*'Cálculos'!$E$98)+1400)+'Cálculos'!$E$122)*'Cálculos'!$E$274+'Cálculos'!$E$125*(1+2.78*('Cálculos'!$E$200+(E321)*'Cálculos'!$E$98)/(('Cálculos'!$E$200+(E321)*'Cálculos'!$E$98)+1400)+'Cálculos'!$E$123)*'Cálculos'!$E$279)+('Cálculos'!$E$200+(E321)*'Cálculos'!$E$98)*('Cálculos'!$E$270+'Cálculos'!$E$124*(1+2.78*('Cálculos'!$E$200+(E321)*'Cálculos'!$E$98)/(('Cálculos'!$E$200+(E321)*'Cálculos'!$E$98)+1400)+'Cálculos'!$E$122)*'Cálculos'!$E$275+'Cálculos'!$E$125*(1+2.78*('Cálculos'!$E$200+(E321)*'Cálculos'!$E$98)/(('Cálculos'!$E$200+(E321)*'Cálculos'!$E$98)+1400)+'Cálculos'!$E$123)*'Cálculos'!$E$280)+('Cálculos'!$E$201*(1+'Cálculos'!$E$202+(E320)*('Cálculos'!$E$290=2)*'Cálculos'!$E$101)+'Cálculos'!$E$203)*('Cálculos'!$E$271+'Cálculos'!$E$124*(1+2.78*('Cálculos'!$E$200+(E321)*'Cálculos'!$E$98)/(('Cálculos'!$E$200+(E321)*'Cálculos'!$E$98)+1400)+'Cálculos'!$E$122)*'Cálculos'!$E$276+'Cálculos'!$E$125*(1+2.78*('Cálculos'!$E$200+(E321)*'Cálculos'!$E$98)/(('Cálculos'!$E$200+(E321)*'Cálculos'!$E$98)+1400)+'Cálculos'!$E$123)*'Cálculos'!$E$281)+('Cálculos'!$E$204*(1+'Cálculos'!$E$205+(E320)*('Cálculos'!$E$290=3)*'Cálculos'!$E$103)+'Cálculos'!$E$206)*('Cálculos'!$E$272+'Cálculos'!$E$124*(1+2.78*('Cálculos'!$E$200+(E321)*'Cálculos'!$E$98)/(('Cálculos'!$E$200+(E321)*'Cálculos'!$E$98)+1400)+'Cálculos'!$E$122)*'Cálculos'!$E$277+'Cálculos'!$E$125*(1+2.78*('Cálculos'!$E$200+(E321)*'Cálculos'!$E$98)/(('Cálculos'!$E$200+(E321)*'Cálculos'!$E$98)+1400)+'Cálculos'!$E$123)*'Cálculos'!$E$282)+('Cálculos'!$E$273+'Cálculos'!$E$124*(1+2.78*('Cálculos'!$E$200+(E321)*'Cálculos'!$E$98)/(('Cálculos'!$E$200+(E321)*'Cálculos'!$E$98)+1400)+'Cálculos'!$E$122)*'Cálculos'!$E$278+'Cálculos'!$E$125*(1+2.78*('Cálculos'!$E$200+(E321)*'Cálculos'!$E$98)/(('Cálculos'!$E$200+(E321)*'Cálculos'!$E$98)+1400)+'Cálculos'!$E$123)*'Cálculos'!$E$283)))</f>
        <v>31339.31665</v>
      </c>
      <c r="F345" s="21">
        <f>IF(F6="",0,(1+MIN('Cálculos'!$F$207+(F318)*'Cálculos'!$F$95,1)*('Cálculos'!$F$208+(F319)*'Cálculos'!$F$96))*(('Cálculos'!$F$185*(1+'Cálculos'!$F$186+(F320)*('Cálculos'!$F$290=1)*'Cálculos'!$F$97+MIN(MAX(('Cálculos'!$F$138+(F322)*'Cálculos'!$F$99)-1,0)*'Cálculos'!$F$47,'Cálculos'!$F$48))+'Cálculos'!$F$191)*('Cálculos'!$F$209+'Cálculos'!$F$124*(1+2.78*('Cálculos'!$F$196+(F321)*'Cálculos'!$F$98)/(('Cálculos'!$F$196+(F321)*'Cálculos'!$F$98)+1400)+'Cálculos'!$F$122)*'Cálculos'!$F$214+'Cálculos'!$F$125*(1+2.78*('Cálculos'!$F$196+(F321)*'Cálculos'!$F$98)/(('Cálculos'!$F$196+(F321)*'Cálculos'!$F$98)+1400)+'Cálculos'!$F$123)*'Cálculos'!$F$219)+('Cálculos'!$F$196+(F321)*'Cálculos'!$F$98)*('Cálculos'!$F$210+'Cálculos'!$F$124*(1+2.78*('Cálculos'!$F$196+(F321)*'Cálculos'!$F$98)/(('Cálculos'!$F$196+(F321)*'Cálculos'!$F$98)+1400)+'Cálculos'!$F$122)*'Cálculos'!$F$215+'Cálculos'!$F$125*(1+2.78*('Cálculos'!$F$196+(F321)*'Cálculos'!$F$98)/(('Cálculos'!$F$196+(F321)*'Cálculos'!$F$98)+1400)+'Cálculos'!$F$123)*'Cálculos'!$F$220)+('Cálculos'!$F$201*(1+'Cálculos'!$F$202+(F320)*('Cálculos'!$F$290=2)*'Cálculos'!$F$101)+'Cálculos'!$F$203)*('Cálculos'!$F$211+'Cálculos'!$F$124*(1+2.78*('Cálculos'!$F$196+(F321)*'Cálculos'!$F$98)/(('Cálculos'!$F$196+(F321)*'Cálculos'!$F$98)+1400)+'Cálculos'!$F$122)*'Cálculos'!$F$216+'Cálculos'!$F$125*(1+2.78*('Cálculos'!$F$196+(F321)*'Cálculos'!$F$98)/(('Cálculos'!$F$196+(F321)*'Cálculos'!$F$98)+1400)+'Cálculos'!$F$123)*'Cálculos'!$F$221)+('Cálculos'!$F$204*(1+'Cálculos'!$F$205+(F320)*('Cálculos'!$F$290=3)*'Cálculos'!$F$103)+'Cálculos'!$F$206)*('Cálculos'!$F$212+'Cálculos'!$F$124*(1+2.78*('Cálculos'!$F$196+(F321)*'Cálculos'!$F$98)/(('Cálculos'!$F$196+(F321)*'Cálculos'!$F$98)+1400)+'Cálculos'!$F$122)*'Cálculos'!$F$217+'Cálculos'!$F$125*(1+2.78*('Cálculos'!$F$196+(F321)*'Cálculos'!$F$98)/(('Cálculos'!$F$196+(F321)*'Cálculos'!$F$98)+1400)+'Cálculos'!$F$123)*'Cálculos'!$F$222)+('Cálculos'!$F$213+'Cálculos'!$F$124*(1+2.78*('Cálculos'!$F$196+(F321)*'Cálculos'!$F$98)/(('Cálculos'!$F$196+(F321)*'Cálculos'!$F$98)+1400)+'Cálculos'!$F$122)*'Cálculos'!$F$218+'Cálculos'!$F$125*(1+2.78*('Cálculos'!$F$196+(F321)*'Cálculos'!$F$98)/(('Cálculos'!$F$196+(F321)*'Cálculos'!$F$98)+1400)+'Cálculos'!$F$123)*'Cálculos'!$F$223)+('Cálculos'!$F$185*(1+'Cálculos'!$F$187+(F320)*('Cálculos'!$F$290=1)*'Cálculos'!$F$97+MIN(MAX(('Cálculos'!$F$138+(F322)*'Cálculos'!$F$99)-1,0)*'Cálculos'!$F$47,'Cálculos'!$F$48))+'Cálculos'!$F$192)*('Cálculos'!$F$224+'Cálculos'!$F$124*(1+2.78*('Cálculos'!$F$197+(F321)*'Cálculos'!$F$98)/(('Cálculos'!$F$197+(F321)*'Cálculos'!$F$98)+1400)+'Cálculos'!$F$122)*'Cálculos'!$F$229+'Cálculos'!$F$125*(1+2.78*('Cálculos'!$F$197+(F321)*'Cálculos'!$F$98)/(('Cálculos'!$F$197+(F321)*'Cálculos'!$F$98)+1400)+'Cálculos'!$F$123)*'Cálculos'!$F$234)+('Cálculos'!$F$197+(F321)*'Cálculos'!$F$98)*('Cálculos'!$F$225+'Cálculos'!$F$124*(1+2.78*('Cálculos'!$F$197+(F321)*'Cálculos'!$F$98)/(('Cálculos'!$F$197+(F321)*'Cálculos'!$F$98)+1400)+'Cálculos'!$F$122)*'Cálculos'!$F$230+'Cálculos'!$F$125*(1+2.78*('Cálculos'!$F$197+(F321)*'Cálculos'!$F$98)/(('Cálculos'!$F$197+(F321)*'Cálculos'!$F$98)+1400)+'Cálculos'!$F$123)*'Cálculos'!$F$235)+('Cálculos'!$F$201*(1+'Cálculos'!$F$202+(F320)*('Cálculos'!$F$290=2)*'Cálculos'!$F$101)+'Cálculos'!$F$203)*('Cálculos'!$F$226+'Cálculos'!$F$124*(1+2.78*('Cálculos'!$F$197+(F321)*'Cálculos'!$F$98)/(('Cálculos'!$F$197+(F321)*'Cálculos'!$F$98)+1400)+'Cálculos'!$F$122)*'Cálculos'!$F$231+'Cálculos'!$F$125*(1+2.78*('Cálculos'!$F$197+(F321)*'Cálculos'!$F$98)/(('Cálculos'!$F$197+(F321)*'Cálculos'!$F$98)+1400)+'Cálculos'!$F$123)*'Cálculos'!$F$236)+('Cálculos'!$F$204*(1+'Cálculos'!$F$205+(F320)*('Cálculos'!$F$290=3)*'Cálculos'!$F$103)+'Cálculos'!$F$206)*('Cálculos'!$F$227+'Cálculos'!$F$124*(1+2.78*('Cálculos'!$F$197+(F321)*'Cálculos'!$F$98)/(('Cálculos'!$F$197+(F321)*'Cálculos'!$F$98)+1400)+'Cálculos'!$F$122)*'Cálculos'!$F$232+'Cálculos'!$F$125*(1+2.78*('Cálculos'!$F$197+(F321)*'Cálculos'!$F$98)/(('Cálculos'!$F$197+(F321)*'Cálculos'!$F$98)+1400)+'Cálculos'!$F$123)*'Cálculos'!$F$237)+('Cálculos'!$F$228+'Cálculos'!$F$124*(1+2.78*('Cálculos'!$F$197+(F321)*'Cálculos'!$F$98)/(('Cálculos'!$F$197+(F321)*'Cálculos'!$F$98)+1400)+'Cálculos'!$F$122)*'Cálculos'!$F$233+'Cálculos'!$F$125*(1+2.78*('Cálculos'!$F$197+(F321)*'Cálculos'!$F$98)/(('Cálculos'!$F$197+(F321)*'Cálculos'!$F$98)+1400)+'Cálculos'!$F$123)*'Cálculos'!$F$238)+('Cálculos'!$F$185*(1+'Cálculos'!$F$188+(F320)*('Cálculos'!$F$290=1)*'Cálculos'!$F$97+MIN(MAX(('Cálculos'!$F$138+(F322)*'Cálculos'!$F$99)-1,0)*'Cálculos'!$F$47,'Cálculos'!$F$48))+'Cálculos'!$F$193)*('Cálculos'!$F$239+'Cálculos'!$F$124*(1+2.78*('Cálculos'!$F$198+(F321)*'Cálculos'!$F$98)/(('Cálculos'!$F$198+(F321)*'Cálculos'!$F$98)+1400)+'Cálculos'!$F$122)*'Cálculos'!$F$244+'Cálculos'!$F$125*(1+2.78*('Cálculos'!$F$198+(F321)*'Cálculos'!$F$98)/(('Cálculos'!$F$198+(F321)*'Cálculos'!$F$98)+1400)+'Cálculos'!$F$123)*'Cálculos'!$F$249)+('Cálculos'!$F$198+(F321)*'Cálculos'!$F$98)*('Cálculos'!$F$240+'Cálculos'!$F$124*(1+2.78*('Cálculos'!$F$198+(F321)*'Cálculos'!$F$98)/(('Cálculos'!$F$198+(F321)*'Cálculos'!$F$98)+1400)+'Cálculos'!$F$122)*'Cálculos'!$F$245+'Cálculos'!$F$125*(1+2.78*('Cálculos'!$F$198+(F321)*'Cálculos'!$F$98)/(('Cálculos'!$F$198+(F321)*'Cálculos'!$F$98)+1400)+'Cálculos'!$F$123)*'Cálculos'!$F$250)+('Cálculos'!$F$201*(1+'Cálculos'!$F$202+(F320)*('Cálculos'!$F$290=2)*'Cálculos'!$F$101)+'Cálculos'!$F$203)*('Cálculos'!$F$241+'Cálculos'!$F$124*(1+2.78*('Cálculos'!$F$198+(F321)*'Cálculos'!$F$98)/(('Cálculos'!$F$198+(F321)*'Cálculos'!$F$98)+1400)+'Cálculos'!$F$122)*'Cálculos'!$F$246+'Cálculos'!$F$125*(1+2.78*('Cálculos'!$F$198+(F321)*'Cálculos'!$F$98)/(('Cálculos'!$F$198+(F321)*'Cálculos'!$F$98)+1400)+'Cálculos'!$F$123)*'Cálculos'!$F$251)+('Cálculos'!$F$204*(1+'Cálculos'!$F$205+(F320)*('Cálculos'!$F$290=3)*'Cálculos'!$F$103)+'Cálculos'!$F$206)*('Cálculos'!$F$242+'Cálculos'!$F$124*(1+2.78*('Cálculos'!$F$198+(F321)*'Cálculos'!$F$98)/(('Cálculos'!$F$198+(F321)*'Cálculos'!$F$98)+1400)+'Cálculos'!$F$122)*'Cálculos'!$F$247+'Cálculos'!$F$125*(1+2.78*('Cálculos'!$F$198+(F321)*'Cálculos'!$F$98)/(('Cálculos'!$F$198+(F321)*'Cálculos'!$F$98)+1400)+'Cálculos'!$F$123)*'Cálculos'!$F$252)+('Cálculos'!$F$243+'Cálculos'!$F$124*(1+2.78*('Cálculos'!$F$198+(F321)*'Cálculos'!$F$98)/(('Cálculos'!$F$198+(F321)*'Cálculos'!$F$98)+1400)+'Cálculos'!$F$122)*'Cálculos'!$F$248+'Cálculos'!$F$125*(1+2.78*('Cálculos'!$F$198+(F321)*'Cálculos'!$F$98)/(('Cálculos'!$F$198+(F321)*'Cálculos'!$F$98)+1400)+'Cálculos'!$F$123)*'Cálculos'!$F$253)+('Cálculos'!$F$185*(1+'Cálculos'!$F$189+(F320)*('Cálculos'!$F$290=1)*'Cálculos'!$F$97+MIN(MAX(('Cálculos'!$F$138+(F322)*'Cálculos'!$F$99)-1,0)*'Cálculos'!$F$47,'Cálculos'!$F$48))+'Cálculos'!$F$194)*('Cálculos'!$F$254+'Cálculos'!$F$124*(1+2.78*('Cálculos'!$F$199+(F321)*'Cálculos'!$F$98)/(('Cálculos'!$F$199+(F321)*'Cálculos'!$F$98)+1400)+'Cálculos'!$F$122)*'Cálculos'!$F$259+'Cálculos'!$F$125*(1+2.78*('Cálculos'!$F$199+(F321)*'Cálculos'!$F$98)/(('Cálculos'!$F$199+(F321)*'Cálculos'!$F$98)+1400)+'Cálculos'!$F$123)*'Cálculos'!$F$264)+('Cálculos'!$F$199+(F321)*'Cálculos'!$F$98)*('Cálculos'!$F$255+'Cálculos'!$F$124*(1+2.78*('Cálculos'!$F$199+(F321)*'Cálculos'!$F$98)/(('Cálculos'!$F$199+(F321)*'Cálculos'!$F$98)+1400)+'Cálculos'!$F$122)*'Cálculos'!$F$260+'Cálculos'!$F$125*(1+2.78*('Cálculos'!$F$199+(F321)*'Cálculos'!$F$98)/(('Cálculos'!$F$199+(F321)*'Cálculos'!$F$98)+1400)+'Cálculos'!$F$123)*'Cálculos'!$F$265)+('Cálculos'!$F$201*(1+'Cálculos'!$F$202+(F320)*('Cálculos'!$F$290=2)*'Cálculos'!$F$101)+'Cálculos'!$F$203)*('Cálculos'!$F$256+'Cálculos'!$F$124*(1+2.78*('Cálculos'!$F$199+(F321)*'Cálculos'!$F$98)/(('Cálculos'!$F$199+(F321)*'Cálculos'!$F$98)+1400)+'Cálculos'!$F$122)*'Cálculos'!$F$261+'Cálculos'!$F$125*(1+2.78*('Cálculos'!$F$199+(F321)*'Cálculos'!$F$98)/(('Cálculos'!$F$199+(F321)*'Cálculos'!$F$98)+1400)+'Cálculos'!$F$123)*'Cálculos'!$F$266)+('Cálculos'!$F$204*(1+'Cálculos'!$F$205+(F320)*('Cálculos'!$F$290=3)*'Cálculos'!$F$103)+'Cálculos'!$F$206)*('Cálculos'!$F$257+'Cálculos'!$F$124*(1+2.78*('Cálculos'!$F$199+(F321)*'Cálculos'!$F$98)/(('Cálculos'!$F$199+(F321)*'Cálculos'!$F$98)+1400)+'Cálculos'!$F$122)*'Cálculos'!$F$262+'Cálculos'!$F$125*(1+2.78*('Cálculos'!$F$199+(F321)*'Cálculos'!$F$98)/(('Cálculos'!$F$199+(F321)*'Cálculos'!$F$98)+1400)+'Cálculos'!$F$123)*'Cálculos'!$F$267)+('Cálculos'!$F$258+'Cálculos'!$F$124*(1+2.78*('Cálculos'!$F$199+(F321)*'Cálculos'!$F$98)/(('Cálculos'!$F$199+(F321)*'Cálculos'!$F$98)+1400)+'Cálculos'!$F$122)*'Cálculos'!$F$263+'Cálculos'!$F$125*(1+2.78*('Cálculos'!$F$199+(F321)*'Cálculos'!$F$98)/(('Cálculos'!$F$199+(F321)*'Cálculos'!$F$98)+1400)+'Cálculos'!$F$123)*'Cálculos'!$F$268)+('Cálculos'!$F$185*(1+'Cálculos'!$F$190+(F320)*('Cálculos'!$F$290=1)*'Cálculos'!$F$97+MIN(MAX(('Cálculos'!$F$138+(F322)*'Cálculos'!$F$99)-1,0)*'Cálculos'!$F$47,'Cálculos'!$F$48))+'Cálculos'!$F$195)*('Cálculos'!$F$269+'Cálculos'!$F$124*(1+2.78*('Cálculos'!$F$200+(F321)*'Cálculos'!$F$98)/(('Cálculos'!$F$200+(F321)*'Cálculos'!$F$98)+1400)+'Cálculos'!$F$122)*'Cálculos'!$F$274+'Cálculos'!$F$125*(1+2.78*('Cálculos'!$F$200+(F321)*'Cálculos'!$F$98)/(('Cálculos'!$F$200+(F321)*'Cálculos'!$F$98)+1400)+'Cálculos'!$F$123)*'Cálculos'!$F$279)+('Cálculos'!$F$200+(F321)*'Cálculos'!$F$98)*('Cálculos'!$F$270+'Cálculos'!$F$124*(1+2.78*('Cálculos'!$F$200+(F321)*'Cálculos'!$F$98)/(('Cálculos'!$F$200+(F321)*'Cálculos'!$F$98)+1400)+'Cálculos'!$F$122)*'Cálculos'!$F$275+'Cálculos'!$F$125*(1+2.78*('Cálculos'!$F$200+(F321)*'Cálculos'!$F$98)/(('Cálculos'!$F$200+(F321)*'Cálculos'!$F$98)+1400)+'Cálculos'!$F$123)*'Cálculos'!$F$280)+('Cálculos'!$F$201*(1+'Cálculos'!$F$202+(F320)*('Cálculos'!$F$290=2)*'Cálculos'!$F$101)+'Cálculos'!$F$203)*('Cálculos'!$F$271+'Cálculos'!$F$124*(1+2.78*('Cálculos'!$F$200+(F321)*'Cálculos'!$F$98)/(('Cálculos'!$F$200+(F321)*'Cálculos'!$F$98)+1400)+'Cálculos'!$F$122)*'Cálculos'!$F$276+'Cálculos'!$F$125*(1+2.78*('Cálculos'!$F$200+(F321)*'Cálculos'!$F$98)/(('Cálculos'!$F$200+(F321)*'Cálculos'!$F$98)+1400)+'Cálculos'!$F$123)*'Cálculos'!$F$281)+('Cálculos'!$F$204*(1+'Cálculos'!$F$205+(F320)*('Cálculos'!$F$290=3)*'Cálculos'!$F$103)+'Cálculos'!$F$206)*('Cálculos'!$F$272+'Cálculos'!$F$124*(1+2.78*('Cálculos'!$F$200+(F321)*'Cálculos'!$F$98)/(('Cálculos'!$F$200+(F321)*'Cálculos'!$F$98)+1400)+'Cálculos'!$F$122)*'Cálculos'!$F$277+'Cálculos'!$F$125*(1+2.78*('Cálculos'!$F$200+(F321)*'Cálculos'!$F$98)/(('Cálculos'!$F$200+(F321)*'Cálculos'!$F$98)+1400)+'Cálculos'!$F$123)*'Cálculos'!$F$282)+('Cálculos'!$F$273+'Cálculos'!$F$124*(1+2.78*('Cálculos'!$F$200+(F321)*'Cálculos'!$F$98)/(('Cálculos'!$F$200+(F321)*'Cálculos'!$F$98)+1400)+'Cálculos'!$F$122)*'Cálculos'!$F$278+'Cálculos'!$F$125*(1+2.78*('Cálculos'!$F$200+(F321)*'Cálculos'!$F$98)/(('Cálculos'!$F$200+(F321)*'Cálculos'!$F$98)+1400)+'Cálculos'!$F$123)*'Cálculos'!$F$283)))</f>
        <v>45918.2134</v>
      </c>
    </row>
    <row r="346" ht="15.75" customHeight="1">
      <c r="A346" s="4" t="s">
        <v>663</v>
      </c>
      <c r="B346" s="2"/>
      <c r="C346" s="21">
        <f>SUMIFS('Rotação'!$AJ$5:$AJ$64,'Rotação'!$J$5:$J$64,1)</f>
        <v>3611058.7</v>
      </c>
      <c r="D346" s="21">
        <f>SUMIFS('Rotação'!$AJ$5:$AJ$64,'Rotação'!$J$5:$J$64,2)</f>
        <v>102179.8418</v>
      </c>
      <c r="E346" s="21">
        <f>SUMIFS('Rotação'!$AJ$5:$AJ$64,'Rotação'!$J$5:$J$64,3)</f>
        <v>31339.31665</v>
      </c>
      <c r="F346" s="21">
        <f>SUMIFS('Rotação'!$AJ$5:$AJ$64,'Rotação'!$J$5:$J$64,4)</f>
        <v>45918.2134</v>
      </c>
    </row>
    <row r="347" ht="15.75" customHeight="1">
      <c r="A347" s="4" t="s">
        <v>664</v>
      </c>
      <c r="B347" s="2"/>
      <c r="C347" s="21">
        <f t="shared" ref="C347:F347" si="49">ROUND(C345-C346,2)</f>
        <v>0</v>
      </c>
      <c r="D347" s="21">
        <f t="shared" si="49"/>
        <v>0</v>
      </c>
      <c r="E347" s="21">
        <f t="shared" si="49"/>
        <v>0</v>
      </c>
      <c r="F347" s="21">
        <f t="shared" si="49"/>
        <v>0</v>
      </c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4" width="22.0"/>
    <col customWidth="1" min="5" max="5" width="16.0"/>
    <col customWidth="1" min="6" max="6" width="3.0"/>
    <col customWidth="1" min="7" max="8" width="26.0"/>
    <col customWidth="1" min="9" max="26" width="8.71"/>
  </cols>
  <sheetData>
    <row r="1">
      <c r="A1" s="1" t="s">
        <v>326</v>
      </c>
      <c r="B1" s="2"/>
      <c r="C1" s="2"/>
      <c r="D1" s="2"/>
      <c r="E1" s="2"/>
      <c r="F1" s="2"/>
      <c r="G1" s="2"/>
      <c r="H1" s="2"/>
    </row>
    <row r="2">
      <c r="A2" s="5" t="s">
        <v>328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3" t="str">
        <f>"Slot 1: "&amp;'Cálculos'!C6</f>
        <v>Slot 1: Mavuika</v>
      </c>
      <c r="B4" s="2"/>
      <c r="C4" s="2"/>
      <c r="D4" s="2"/>
      <c r="E4" s="2"/>
      <c r="F4" s="2"/>
      <c r="G4" s="2"/>
      <c r="H4" s="2"/>
    </row>
    <row r="5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  <c r="F5" s="6"/>
      <c r="G5" s="6" t="s">
        <v>334</v>
      </c>
      <c r="H5" s="6" t="s">
        <v>335</v>
      </c>
    </row>
    <row r="6">
      <c r="A6" s="2">
        <v>0.0</v>
      </c>
      <c r="B6" s="30">
        <f>SUMPRODUCT(MAX(($A$6:$A$51&lt;=$A6)*($A$6:$A$51&lt;='Cálculos'!$C$294)*(($A6)-$A$6:$A$51&lt;='Cálculos'!$C$295)*(1+(('Cálculos'!$C$207+$A$6:$A$51*'Cálculos'!$C$95)-(('Cálculos'!$C$207+$A$6:$A$51*'Cálculos'!$C$95)&gt;1)*(('Cálculos'!$C$207+$A$6:$A$51*'Cálculos'!$C$95)-1))*('Cálculos'!$C$208+(($A6)-$A$6:$A$51)*'Cálculos'!$C$96))))</f>
        <v>2.244488</v>
      </c>
      <c r="C6" s="2">
        <f>'Cálculos'!$C$303-$A6</f>
        <v>20</v>
      </c>
      <c r="D6" s="31">
        <f>IF($C6&lt;0,0,SUMPRODUCT(MAX(($A$6:$A$51&lt;=$C6)*($A$6:$A$51&lt;='Cálculos'!$C$301)*(($C6)-$A$6:$A$51&lt;='Cálculos'!$C$297)*(('Cálculos'!$C$185*(1+'Cálculos'!$C$186+$A$6:$A$51*('Cálculos'!$C$290=1)*'Cálculos'!$C$97+'Cálculos'!$C$305)+'Cálculos'!$C$191)*('Cálculos'!$C$209+'Cálculos'!$C$124*(1+2.78*('Cálculos'!$C$196+(($C6)-$A$6:$A$51)*'Cálculos'!$C$98)/(('Cálculos'!$C$196+(($C6)-$A$6:$A$51)*'Cálculos'!$C$98)+1400)+'Cálculos'!$C$122)*'Cálculos'!$C$214+'Cálculos'!$C$125*(1+2.78*('Cálculos'!$C$196+(($C6)-$A$6:$A$51)*'Cálculos'!$C$98)/(('Cálculos'!$C$196+(($C6)-$A$6:$A$51)*'Cálculos'!$C$98)+1400)+'Cálculos'!$C$123)*'Cálculos'!$C$219)+('Cálculos'!$C$196+(($C6)-$A$6:$A$51)*'Cálculos'!$C$98)*('Cálculos'!$C$210+'Cálculos'!$C$124*(1+2.78*('Cálculos'!$C$196+(($C6)-$A$6:$A$51)*'Cálculos'!$C$98)/(('Cálculos'!$C$196+(($C6)-$A$6:$A$51)*'Cálculos'!$C$98)+1400)+'Cálculos'!$C$122)*'Cálculos'!$C$215+'Cálculos'!$C$125*(1+2.78*('Cálculos'!$C$196+(($C6)-$A$6:$A$51)*'Cálculos'!$C$98)/(('Cálculos'!$C$196+(($C6)-$A$6:$A$51)*'Cálculos'!$C$98)+1400)+'Cálculos'!$C$123)*'Cálculos'!$C$220)+('Cálculos'!$C$201*(1+'Cálculos'!$C$202+$A$6:$A$51*('Cálculos'!$C$290=2)*'Cálculos'!$C$101)+'Cálculos'!$C$203)*('Cálculos'!$C$211+'Cálculos'!$C$124*(1+2.78*('Cálculos'!$C$196+(($C6)-$A$6:$A$51)*'Cálculos'!$C$98)/(('Cálculos'!$C$196+(($C6)-$A$6:$A$51)*'Cálculos'!$C$98)+1400)+'Cálculos'!$C$122)*'Cálculos'!$C$216+'Cálculos'!$C$125*(1+2.78*('Cálculos'!$C$196+(($C6)-$A$6:$A$51)*'Cálculos'!$C$98)/(('Cálculos'!$C$196+(($C6)-$A$6:$A$51)*'Cálculos'!$C$98)+1400)+'Cálculos'!$C$123)*'Cálculos'!$C$221)+('Cálculos'!$C$204*(1+'Cálculos'!$C$205+$A$6:$A$51*('Cálculos'!$C$290=3)*'Cálculos'!$C$103)+'Cálculos'!$C$206)*('Cálculos'!$C$212+'Cálculos'!$C$124*(1+2.78*('Cálculos'!$C$196+(($C6)-$A$6:$A$51)*'Cálculos'!$C$98)/(('Cálculos'!$C$196+(($C6)-$A$6:$A$51)*'Cálculos'!$C$98)+1400)+'Cálculos'!$C$122)*'Cálculos'!$C$217+'Cálculos'!$C$125*(1+2.78*('Cálculos'!$C$196+(($C6)-$A$6:$A$51)*'Cálculos'!$C$98)/(('Cálculos'!$C$196+(($C6)-$A$6:$A$51)*'Cálculos'!$C$98)+1400)+'Cálculos'!$C$123)*'Cálculos'!$C$222)+('Cálculos'!$C$213+'Cálculos'!$C$124*(1+2.78*('Cálculos'!$C$196+(($C6)-$A$6:$A$51)*'Cálculos'!$C$98)/(('Cálculos'!$C$196+(($C6)-$A$6:$A$51)*'Cálculos'!$C$98)+1400)+'Cálculos'!$C$122)*'Cálculos'!$C$218+'Cálculos'!$C$125*(1+2.78*('Cálculos'!$C$196+(($C6)-$A$6:$A$51)*'Cálculos'!$C$98)/(('Cálculos'!$C$196+(($C6)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6)-$A$6:$A$51)*'Cálculos'!$C$98)/(('Cálculos'!$C$197+(($C6)-$A$6:$A$51)*'Cálculos'!$C$98)+1400)+'Cálculos'!$C$122)*'Cálculos'!$C$229+'Cálculos'!$C$125*(1+2.78*('Cálculos'!$C$197+(($C6)-$A$6:$A$51)*'Cálculos'!$C$98)/(('Cálculos'!$C$197+(($C6)-$A$6:$A$51)*'Cálculos'!$C$98)+1400)+'Cálculos'!$C$123)*'Cálculos'!$C$234)+('Cálculos'!$C$197+(($C6)-$A$6:$A$51)*'Cálculos'!$C$98)*('Cálculos'!$C$225+'Cálculos'!$C$124*(1+2.78*('Cálculos'!$C$197+(($C6)-$A$6:$A$51)*'Cálculos'!$C$98)/(('Cálculos'!$C$197+(($C6)-$A$6:$A$51)*'Cálculos'!$C$98)+1400)+'Cálculos'!$C$122)*'Cálculos'!$C$230+'Cálculos'!$C$125*(1+2.78*('Cálculos'!$C$197+(($C6)-$A$6:$A$51)*'Cálculos'!$C$98)/(('Cálculos'!$C$197+(($C6)-$A$6:$A$51)*'Cálculos'!$C$98)+1400)+'Cálculos'!$C$123)*'Cálculos'!$C$235)+('Cálculos'!$C$201*(1+'Cálculos'!$C$202+$A$6:$A$51*('Cálculos'!$C$290=2)*'Cálculos'!$C$101)+'Cálculos'!$C$203)*('Cálculos'!$C$226+'Cálculos'!$C$124*(1+2.78*('Cálculos'!$C$197+(($C6)-$A$6:$A$51)*'Cálculos'!$C$98)/(('Cálculos'!$C$197+(($C6)-$A$6:$A$51)*'Cálculos'!$C$98)+1400)+'Cálculos'!$C$122)*'Cálculos'!$C$231+'Cálculos'!$C$125*(1+2.78*('Cálculos'!$C$197+(($C6)-$A$6:$A$51)*'Cálculos'!$C$98)/(('Cálculos'!$C$197+(($C6)-$A$6:$A$51)*'Cálculos'!$C$98)+1400)+'Cálculos'!$C$123)*'Cálculos'!$C$236)+('Cálculos'!$C$204*(1+'Cálculos'!$C$205+$A$6:$A$51*('Cálculos'!$C$290=3)*'Cálculos'!$C$103)+'Cálculos'!$C$206)*('Cálculos'!$C$227+'Cálculos'!$C$124*(1+2.78*('Cálculos'!$C$197+(($C6)-$A$6:$A$51)*'Cálculos'!$C$98)/(('Cálculos'!$C$197+(($C6)-$A$6:$A$51)*'Cálculos'!$C$98)+1400)+'Cálculos'!$C$122)*'Cálculos'!$C$232+'Cálculos'!$C$125*(1+2.78*('Cálculos'!$C$197+(($C6)-$A$6:$A$51)*'Cálculos'!$C$98)/(('Cálculos'!$C$197+(($C6)-$A$6:$A$51)*'Cálculos'!$C$98)+1400)+'Cálculos'!$C$123)*'Cálculos'!$C$237)+('Cálculos'!$C$228+'Cálculos'!$C$124*(1+2.78*('Cálculos'!$C$197+(($C6)-$A$6:$A$51)*'Cálculos'!$C$98)/(('Cálculos'!$C$197+(($C6)-$A$6:$A$51)*'Cálculos'!$C$98)+1400)+'Cálculos'!$C$122)*'Cálculos'!$C$233+'Cálculos'!$C$125*(1+2.78*('Cálculos'!$C$197+(($C6)-$A$6:$A$51)*'Cálculos'!$C$98)/(('Cálculos'!$C$197+(($C6)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6)-$A$6:$A$51)*'Cálculos'!$C$98)/(('Cálculos'!$C$198+(($C6)-$A$6:$A$51)*'Cálculos'!$C$98)+1400)+'Cálculos'!$C$122)*'Cálculos'!$C$244+'Cálculos'!$C$125*(1+2.78*('Cálculos'!$C$198+(($C6)-$A$6:$A$51)*'Cálculos'!$C$98)/(('Cálculos'!$C$198+(($C6)-$A$6:$A$51)*'Cálculos'!$C$98)+1400)+'Cálculos'!$C$123)*'Cálculos'!$C$249)+('Cálculos'!$C$198+(($C6)-$A$6:$A$51)*'Cálculos'!$C$98)*('Cálculos'!$C$240+'Cálculos'!$C$124*(1+2.78*('Cálculos'!$C$198+(($C6)-$A$6:$A$51)*'Cálculos'!$C$98)/(('Cálculos'!$C$198+(($C6)-$A$6:$A$51)*'Cálculos'!$C$98)+1400)+'Cálculos'!$C$122)*'Cálculos'!$C$245+'Cálculos'!$C$125*(1+2.78*('Cálculos'!$C$198+(($C6)-$A$6:$A$51)*'Cálculos'!$C$98)/(('Cálculos'!$C$198+(($C6)-$A$6:$A$51)*'Cálculos'!$C$98)+1400)+'Cálculos'!$C$123)*'Cálculos'!$C$250)+('Cálculos'!$C$201*(1+'Cálculos'!$C$202+$A$6:$A$51*('Cálculos'!$C$290=2)*'Cálculos'!$C$101)+'Cálculos'!$C$203)*('Cálculos'!$C$241+'Cálculos'!$C$124*(1+2.78*('Cálculos'!$C$198+(($C6)-$A$6:$A$51)*'Cálculos'!$C$98)/(('Cálculos'!$C$198+(($C6)-$A$6:$A$51)*'Cálculos'!$C$98)+1400)+'Cálculos'!$C$122)*'Cálculos'!$C$246+'Cálculos'!$C$125*(1+2.78*('Cálculos'!$C$198+(($C6)-$A$6:$A$51)*'Cálculos'!$C$98)/(('Cálculos'!$C$198+(($C6)-$A$6:$A$51)*'Cálculos'!$C$98)+1400)+'Cálculos'!$C$123)*'Cálculos'!$C$251)+('Cálculos'!$C$204*(1+'Cálculos'!$C$205+$A$6:$A$51*('Cálculos'!$C$290=3)*'Cálculos'!$C$103)+'Cálculos'!$C$206)*('Cálculos'!$C$242+'Cálculos'!$C$124*(1+2.78*('Cálculos'!$C$198+(($C6)-$A$6:$A$51)*'Cálculos'!$C$98)/(('Cálculos'!$C$198+(($C6)-$A$6:$A$51)*'Cálculos'!$C$98)+1400)+'Cálculos'!$C$122)*'Cálculos'!$C$247+'Cálculos'!$C$125*(1+2.78*('Cálculos'!$C$198+(($C6)-$A$6:$A$51)*'Cálculos'!$C$98)/(('Cálculos'!$C$198+(($C6)-$A$6:$A$51)*'Cálculos'!$C$98)+1400)+'Cálculos'!$C$123)*'Cálculos'!$C$252)+('Cálculos'!$C$243+'Cálculos'!$C$124*(1+2.78*('Cálculos'!$C$198+(($C6)-$A$6:$A$51)*'Cálculos'!$C$98)/(('Cálculos'!$C$198+(($C6)-$A$6:$A$51)*'Cálculos'!$C$98)+1400)+'Cálculos'!$C$122)*'Cálculos'!$C$248+'Cálculos'!$C$125*(1+2.78*('Cálculos'!$C$198+(($C6)-$A$6:$A$51)*'Cálculos'!$C$98)/(('Cálculos'!$C$198+(($C6)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6)-$A$6:$A$51)*'Cálculos'!$C$98)/(('Cálculos'!$C$199+(($C6)-$A$6:$A$51)*'Cálculos'!$C$98)+1400)+'Cálculos'!$C$122)*'Cálculos'!$C$259+'Cálculos'!$C$125*(1+2.78*('Cálculos'!$C$199+(($C6)-$A$6:$A$51)*'Cálculos'!$C$98)/(('Cálculos'!$C$199+(($C6)-$A$6:$A$51)*'Cálculos'!$C$98)+1400)+'Cálculos'!$C$123)*'Cálculos'!$C$264)+('Cálculos'!$C$199+(($C6)-$A$6:$A$51)*'Cálculos'!$C$98)*('Cálculos'!$C$255+'Cálculos'!$C$124*(1+2.78*('Cálculos'!$C$199+(($C6)-$A$6:$A$51)*'Cálculos'!$C$98)/(('Cálculos'!$C$199+(($C6)-$A$6:$A$51)*'Cálculos'!$C$98)+1400)+'Cálculos'!$C$122)*'Cálculos'!$C$260+'Cálculos'!$C$125*(1+2.78*('Cálculos'!$C$199+(($C6)-$A$6:$A$51)*'Cálculos'!$C$98)/(('Cálculos'!$C$199+(($C6)-$A$6:$A$51)*'Cálculos'!$C$98)+1400)+'Cálculos'!$C$123)*'Cálculos'!$C$265)+('Cálculos'!$C$201*(1+'Cálculos'!$C$202+$A$6:$A$51*('Cálculos'!$C$290=2)*'Cálculos'!$C$101)+'Cálculos'!$C$203)*('Cálculos'!$C$256+'Cálculos'!$C$124*(1+2.78*('Cálculos'!$C$199+(($C6)-$A$6:$A$51)*'Cálculos'!$C$98)/(('Cálculos'!$C$199+(($C6)-$A$6:$A$51)*'Cálculos'!$C$98)+1400)+'Cálculos'!$C$122)*'Cálculos'!$C$261+'Cálculos'!$C$125*(1+2.78*('Cálculos'!$C$199+(($C6)-$A$6:$A$51)*'Cálculos'!$C$98)/(('Cálculos'!$C$199+(($C6)-$A$6:$A$51)*'Cálculos'!$C$98)+1400)+'Cálculos'!$C$123)*'Cálculos'!$C$266)+('Cálculos'!$C$204*(1+'Cálculos'!$C$205+$A$6:$A$51*('Cálculos'!$C$290=3)*'Cálculos'!$C$103)+'Cálculos'!$C$206)*('Cálculos'!$C$257+'Cálculos'!$C$124*(1+2.78*('Cálculos'!$C$199+(($C6)-$A$6:$A$51)*'Cálculos'!$C$98)/(('Cálculos'!$C$199+(($C6)-$A$6:$A$51)*'Cálculos'!$C$98)+1400)+'Cálculos'!$C$122)*'Cálculos'!$C$262+'Cálculos'!$C$125*(1+2.78*('Cálculos'!$C$199+(($C6)-$A$6:$A$51)*'Cálculos'!$C$98)/(('Cálculos'!$C$199+(($C6)-$A$6:$A$51)*'Cálculos'!$C$98)+1400)+'Cálculos'!$C$123)*'Cálculos'!$C$267)+('Cálculos'!$C$258+'Cálculos'!$C$124*(1+2.78*('Cálculos'!$C$199+(($C6)-$A$6:$A$51)*'Cálculos'!$C$98)/(('Cálculos'!$C$199+(($C6)-$A$6:$A$51)*'Cálculos'!$C$98)+1400)+'Cálculos'!$C$122)*'Cálculos'!$C$263+'Cálculos'!$C$125*(1+2.78*('Cálculos'!$C$199+(($C6)-$A$6:$A$51)*'Cálculos'!$C$98)/(('Cálculos'!$C$199+(($C6)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6)-$A$6:$A$51)*'Cálculos'!$C$98)/(('Cálculos'!$C$200+(($C6)-$A$6:$A$51)*'Cálculos'!$C$98)+1400)+'Cálculos'!$C$122)*'Cálculos'!$C$274+'Cálculos'!$C$125*(1+2.78*('Cálculos'!$C$200+(($C6)-$A$6:$A$51)*'Cálculos'!$C$98)/(('Cálculos'!$C$200+(($C6)-$A$6:$A$51)*'Cálculos'!$C$98)+1400)+'Cálculos'!$C$123)*'Cálculos'!$C$279)+('Cálculos'!$C$200+(($C6)-$A$6:$A$51)*'Cálculos'!$C$98)*('Cálculos'!$C$270+'Cálculos'!$C$124*(1+2.78*('Cálculos'!$C$200+(($C6)-$A$6:$A$51)*'Cálculos'!$C$98)/(('Cálculos'!$C$200+(($C6)-$A$6:$A$51)*'Cálculos'!$C$98)+1400)+'Cálculos'!$C$122)*'Cálculos'!$C$275+'Cálculos'!$C$125*(1+2.78*('Cálculos'!$C$200+(($C6)-$A$6:$A$51)*'Cálculos'!$C$98)/(('Cálculos'!$C$200+(($C6)-$A$6:$A$51)*'Cálculos'!$C$98)+1400)+'Cálculos'!$C$123)*'Cálculos'!$C$280)+('Cálculos'!$C$201*(1+'Cálculos'!$C$202+$A$6:$A$51*('Cálculos'!$C$290=2)*'Cálculos'!$C$101)+'Cálculos'!$C$203)*('Cálculos'!$C$271+'Cálculos'!$C$124*(1+2.78*('Cálculos'!$C$200+(($C6)-$A$6:$A$51)*'Cálculos'!$C$98)/(('Cálculos'!$C$200+(($C6)-$A$6:$A$51)*'Cálculos'!$C$98)+1400)+'Cálculos'!$C$122)*'Cálculos'!$C$276+'Cálculos'!$C$125*(1+2.78*('Cálculos'!$C$200+(($C6)-$A$6:$A$51)*'Cálculos'!$C$98)/(('Cálculos'!$C$200+(($C6)-$A$6:$A$51)*'Cálculos'!$C$98)+1400)+'Cálculos'!$C$123)*'Cálculos'!$C$281)+('Cálculos'!$C$204*(1+'Cálculos'!$C$205+$A$6:$A$51*('Cálculos'!$C$290=3)*'Cálculos'!$C$103)+'Cálculos'!$C$206)*('Cálculos'!$C$272+'Cálculos'!$C$124*(1+2.78*('Cálculos'!$C$200+(($C6)-$A$6:$A$51)*'Cálculos'!$C$98)/(('Cálculos'!$C$200+(($C6)-$A$6:$A$51)*'Cálculos'!$C$98)+1400)+'Cálculos'!$C$122)*'Cálculos'!$C$277+'Cálculos'!$C$125*(1+2.78*('Cálculos'!$C$200+(($C6)-$A$6:$A$51)*'Cálculos'!$C$98)/(('Cálculos'!$C$200+(($C6)-$A$6:$A$51)*'Cálculos'!$C$98)+1400)+'Cálculos'!$C$123)*'Cálculos'!$C$282)+('Cálculos'!$C$273+'Cálculos'!$C$124*(1+2.78*('Cálculos'!$C$200+(($C6)-$A$6:$A$51)*'Cálculos'!$C$98)/(('Cálculos'!$C$200+(($C6)-$A$6:$A$51)*'Cálculos'!$C$98)+1400)+'Cálculos'!$C$122)*'Cálculos'!$C$278+'Cálculos'!$C$125*(1+2.78*('Cálculos'!$C$200+(($C6)-$A$6:$A$51)*'Cálculos'!$C$98)/(('Cálculos'!$C$200+(($C6)-$A$6:$A$51)*'Cálculos'!$C$98)+1400)+'Cálculos'!$C$123)*'Cálculos'!$C$283)))))</f>
        <v>1280513.903</v>
      </c>
      <c r="E6" s="32">
        <f>IF(OR($C6&lt;0,'Cálculos'!$C$6=""),0,$B6*$D6)</f>
        <v>2874098.088</v>
      </c>
      <c r="F6" s="2"/>
      <c r="G6" s="30">
        <f>($A6&lt;=$B$53)*($A6&lt;='Cálculos'!$C$294)*(($B$53)-$A6&lt;='Cálculos'!$C$295)*(1+MIN(('Cálculos'!$C$207+$A6*'Cálculos'!$C$95),1)*('Cálculos'!$C$208+(($B$53)-$A6)*'Cálculos'!$C$96))</f>
        <v>2.905544</v>
      </c>
      <c r="H6" s="31">
        <f>IF($B$54&lt;0,0,($A6&lt;=$B$54)*($A6&lt;='Cálculos'!$C$301)*(($B$54)-$A6&lt;='Cálculos'!$C$297)*(('Cálculos'!$C$185*(1+'Cálculos'!$C$186+$A6*('Cálculos'!$C$290=1)*'Cálculos'!$C$97+'Cálculos'!$C$305)+'Cálculos'!$C$191)*('Cálculos'!$C$209+'Cálculos'!$C$124*(1+2.78*('Cálculos'!$C$196+(($B$54)-$A6)*'Cálculos'!$C$98)/(('Cálculos'!$C$196+(($B$54)-$A6)*'Cálculos'!$C$98)+1400)+'Cálculos'!$C$122)*'Cálculos'!$C$214+'Cálculos'!$C$125*(1+2.78*('Cálculos'!$C$196+(($B$54)-$A6)*'Cálculos'!$C$98)/(('Cálculos'!$C$196+(($B$54)-$A6)*'Cálculos'!$C$98)+1400)+'Cálculos'!$C$123)*'Cálculos'!$C$219)+('Cálculos'!$C$196+(($B$54)-$A6)*'Cálculos'!$C$98)*('Cálculos'!$C$210+'Cálculos'!$C$124*(1+2.78*('Cálculos'!$C$196+(($B$54)-$A6)*'Cálculos'!$C$98)/(('Cálculos'!$C$196+(($B$54)-$A6)*'Cálculos'!$C$98)+1400)+'Cálculos'!$C$122)*'Cálculos'!$C$215+'Cálculos'!$C$125*(1+2.78*('Cálculos'!$C$196+(($B$54)-$A6)*'Cálculos'!$C$98)/(('Cálculos'!$C$196+(($B$54)-$A6)*'Cálculos'!$C$98)+1400)+'Cálculos'!$C$123)*'Cálculos'!$C$220)+('Cálculos'!$C$201*(1+'Cálculos'!$C$202+$A6*('Cálculos'!$C$290=2)*'Cálculos'!$C$101)+'Cálculos'!$C$203)*('Cálculos'!$C$211+'Cálculos'!$C$124*(1+2.78*('Cálculos'!$C$196+(($B$54)-$A6)*'Cálculos'!$C$98)/(('Cálculos'!$C$196+(($B$54)-$A6)*'Cálculos'!$C$98)+1400)+'Cálculos'!$C$122)*'Cálculos'!$C$216+'Cálculos'!$C$125*(1+2.78*('Cálculos'!$C$196+(($B$54)-$A6)*'Cálculos'!$C$98)/(('Cálculos'!$C$196+(($B$54)-$A6)*'Cálculos'!$C$98)+1400)+'Cálculos'!$C$123)*'Cálculos'!$C$221)+('Cálculos'!$C$204*(1+'Cálculos'!$C$205+$A6*('Cálculos'!$C$290=3)*'Cálculos'!$C$103)+'Cálculos'!$C$206)*('Cálculos'!$C$212+'Cálculos'!$C$124*(1+2.78*('Cálculos'!$C$196+(($B$54)-$A6)*'Cálculos'!$C$98)/(('Cálculos'!$C$196+(($B$54)-$A6)*'Cálculos'!$C$98)+1400)+'Cálculos'!$C$122)*'Cálculos'!$C$217+'Cálculos'!$C$125*(1+2.78*('Cálculos'!$C$196+(($B$54)-$A6)*'Cálculos'!$C$98)/(('Cálculos'!$C$196+(($B$54)-$A6)*'Cálculos'!$C$98)+1400)+'Cálculos'!$C$123)*'Cálculos'!$C$222)+('Cálculos'!$C$213+'Cálculos'!$C$124*(1+2.78*('Cálculos'!$C$196+(($B$54)-$A6)*'Cálculos'!$C$98)/(('Cálculos'!$C$196+(($B$54)-$A6)*'Cálculos'!$C$98)+1400)+'Cálculos'!$C$122)*'Cálculos'!$C$218+'Cálculos'!$C$125*(1+2.78*('Cálculos'!$C$196+(($B$54)-$A6)*'Cálculos'!$C$98)/(('Cálculos'!$C$196+(($B$54)-$A6)*'Cálculos'!$C$98)+1400)+'Cálculos'!$C$123)*'Cálculos'!$C$223)+('Cálculos'!$C$185*(1+'Cálculos'!$C$187+$A6*('Cálculos'!$C$290=1)*'Cálculos'!$C$97+'Cálculos'!$C$305)+'Cálculos'!$C$192)*('Cálculos'!$C$224+'Cálculos'!$C$124*(1+2.78*('Cálculos'!$C$197+(($B$54)-$A6)*'Cálculos'!$C$98)/(('Cálculos'!$C$197+(($B$54)-$A6)*'Cálculos'!$C$98)+1400)+'Cálculos'!$C$122)*'Cálculos'!$C$229+'Cálculos'!$C$125*(1+2.78*('Cálculos'!$C$197+(($B$54)-$A6)*'Cálculos'!$C$98)/(('Cálculos'!$C$197+(($B$54)-$A6)*'Cálculos'!$C$98)+1400)+'Cálculos'!$C$123)*'Cálculos'!$C$234)+('Cálculos'!$C$197+(($B$54)-$A6)*'Cálculos'!$C$98)*('Cálculos'!$C$225+'Cálculos'!$C$124*(1+2.78*('Cálculos'!$C$197+(($B$54)-$A6)*'Cálculos'!$C$98)/(('Cálculos'!$C$197+(($B$54)-$A6)*'Cálculos'!$C$98)+1400)+'Cálculos'!$C$122)*'Cálculos'!$C$230+'Cálculos'!$C$125*(1+2.78*('Cálculos'!$C$197+(($B$54)-$A6)*'Cálculos'!$C$98)/(('Cálculos'!$C$197+(($B$54)-$A6)*'Cálculos'!$C$98)+1400)+'Cálculos'!$C$123)*'Cálculos'!$C$235)+('Cálculos'!$C$201*(1+'Cálculos'!$C$202+$A6*('Cálculos'!$C$290=2)*'Cálculos'!$C$101)+'Cálculos'!$C$203)*('Cálculos'!$C$226+'Cálculos'!$C$124*(1+2.78*('Cálculos'!$C$197+(($B$54)-$A6)*'Cálculos'!$C$98)/(('Cálculos'!$C$197+(($B$54)-$A6)*'Cálculos'!$C$98)+1400)+'Cálculos'!$C$122)*'Cálculos'!$C$231+'Cálculos'!$C$125*(1+2.78*('Cálculos'!$C$197+(($B$54)-$A6)*'Cálculos'!$C$98)/(('Cálculos'!$C$197+(($B$54)-$A6)*'Cálculos'!$C$98)+1400)+'Cálculos'!$C$123)*'Cálculos'!$C$236)+('Cálculos'!$C$204*(1+'Cálculos'!$C$205+$A6*('Cálculos'!$C$290=3)*'Cálculos'!$C$103)+'Cálculos'!$C$206)*('Cálculos'!$C$227+'Cálculos'!$C$124*(1+2.78*('Cálculos'!$C$197+(($B$54)-$A6)*'Cálculos'!$C$98)/(('Cálculos'!$C$197+(($B$54)-$A6)*'Cálculos'!$C$98)+1400)+'Cálculos'!$C$122)*'Cálculos'!$C$232+'Cálculos'!$C$125*(1+2.78*('Cálculos'!$C$197+(($B$54)-$A6)*'Cálculos'!$C$98)/(('Cálculos'!$C$197+(($B$54)-$A6)*'Cálculos'!$C$98)+1400)+'Cálculos'!$C$123)*'Cálculos'!$C$237)+('Cálculos'!$C$228+'Cálculos'!$C$124*(1+2.78*('Cálculos'!$C$197+(($B$54)-$A6)*'Cálculos'!$C$98)/(('Cálculos'!$C$197+(($B$54)-$A6)*'Cálculos'!$C$98)+1400)+'Cálculos'!$C$122)*'Cálculos'!$C$233+'Cálculos'!$C$125*(1+2.78*('Cálculos'!$C$197+(($B$54)-$A6)*'Cálculos'!$C$98)/(('Cálculos'!$C$197+(($B$54)-$A6)*'Cálculos'!$C$98)+1400)+'Cálculos'!$C$123)*'Cálculos'!$C$238)+('Cálculos'!$C$185*(1+'Cálculos'!$C$188+$A6*('Cálculos'!$C$290=1)*'Cálculos'!$C$97+'Cálculos'!$C$305)+'Cálculos'!$C$193)*('Cálculos'!$C$239+'Cálculos'!$C$124*(1+2.78*('Cálculos'!$C$198+(($B$54)-$A6)*'Cálculos'!$C$98)/(('Cálculos'!$C$198+(($B$54)-$A6)*'Cálculos'!$C$98)+1400)+'Cálculos'!$C$122)*'Cálculos'!$C$244+'Cálculos'!$C$125*(1+2.78*('Cálculos'!$C$198+(($B$54)-$A6)*'Cálculos'!$C$98)/(('Cálculos'!$C$198+(($B$54)-$A6)*'Cálculos'!$C$98)+1400)+'Cálculos'!$C$123)*'Cálculos'!$C$249)+('Cálculos'!$C$198+(($B$54)-$A6)*'Cálculos'!$C$98)*('Cálculos'!$C$240+'Cálculos'!$C$124*(1+2.78*('Cálculos'!$C$198+(($B$54)-$A6)*'Cálculos'!$C$98)/(('Cálculos'!$C$198+(($B$54)-$A6)*'Cálculos'!$C$98)+1400)+'Cálculos'!$C$122)*'Cálculos'!$C$245+'Cálculos'!$C$125*(1+2.78*('Cálculos'!$C$198+(($B$54)-$A6)*'Cálculos'!$C$98)/(('Cálculos'!$C$198+(($B$54)-$A6)*'Cálculos'!$C$98)+1400)+'Cálculos'!$C$123)*'Cálculos'!$C$250)+('Cálculos'!$C$201*(1+'Cálculos'!$C$202+$A6*('Cálculos'!$C$290=2)*'Cálculos'!$C$101)+'Cálculos'!$C$203)*('Cálculos'!$C$241+'Cálculos'!$C$124*(1+2.78*('Cálculos'!$C$198+(($B$54)-$A6)*'Cálculos'!$C$98)/(('Cálculos'!$C$198+(($B$54)-$A6)*'Cálculos'!$C$98)+1400)+'Cálculos'!$C$122)*'Cálculos'!$C$246+'Cálculos'!$C$125*(1+2.78*('Cálculos'!$C$198+(($B$54)-$A6)*'Cálculos'!$C$98)/(('Cálculos'!$C$198+(($B$54)-$A6)*'Cálculos'!$C$98)+1400)+'Cálculos'!$C$123)*'Cálculos'!$C$251)+('Cálculos'!$C$204*(1+'Cálculos'!$C$205+$A6*('Cálculos'!$C$290=3)*'Cálculos'!$C$103)+'Cálculos'!$C$206)*('Cálculos'!$C$242+'Cálculos'!$C$124*(1+2.78*('Cálculos'!$C$198+(($B$54)-$A6)*'Cálculos'!$C$98)/(('Cálculos'!$C$198+(($B$54)-$A6)*'Cálculos'!$C$98)+1400)+'Cálculos'!$C$122)*'Cálculos'!$C$247+'Cálculos'!$C$125*(1+2.78*('Cálculos'!$C$198+(($B$54)-$A6)*'Cálculos'!$C$98)/(('Cálculos'!$C$198+(($B$54)-$A6)*'Cálculos'!$C$98)+1400)+'Cálculos'!$C$123)*'Cálculos'!$C$252)+('Cálculos'!$C$243+'Cálculos'!$C$124*(1+2.78*('Cálculos'!$C$198+(($B$54)-$A6)*'Cálculos'!$C$98)/(('Cálculos'!$C$198+(($B$54)-$A6)*'Cálculos'!$C$98)+1400)+'Cálculos'!$C$122)*'Cálculos'!$C$248+'Cálculos'!$C$125*(1+2.78*('Cálculos'!$C$198+(($B$54)-$A6)*'Cálculos'!$C$98)/(('Cálculos'!$C$198+(($B$54)-$A6)*'Cálculos'!$C$98)+1400)+'Cálculos'!$C$123)*'Cálculos'!$C$253)+('Cálculos'!$C$185*(1+'Cálculos'!$C$189+$A6*('Cálculos'!$C$290=1)*'Cálculos'!$C$97+'Cálculos'!$C$305)+'Cálculos'!$C$194)*('Cálculos'!$C$254+'Cálculos'!$C$124*(1+2.78*('Cálculos'!$C$199+(($B$54)-$A6)*'Cálculos'!$C$98)/(('Cálculos'!$C$199+(($B$54)-$A6)*'Cálculos'!$C$98)+1400)+'Cálculos'!$C$122)*'Cálculos'!$C$259+'Cálculos'!$C$125*(1+2.78*('Cálculos'!$C$199+(($B$54)-$A6)*'Cálculos'!$C$98)/(('Cálculos'!$C$199+(($B$54)-$A6)*'Cálculos'!$C$98)+1400)+'Cálculos'!$C$123)*'Cálculos'!$C$264)+('Cálculos'!$C$199+(($B$54)-$A6)*'Cálculos'!$C$98)*('Cálculos'!$C$255+'Cálculos'!$C$124*(1+2.78*('Cálculos'!$C$199+(($B$54)-$A6)*'Cálculos'!$C$98)/(('Cálculos'!$C$199+(($B$54)-$A6)*'Cálculos'!$C$98)+1400)+'Cálculos'!$C$122)*'Cálculos'!$C$260+'Cálculos'!$C$125*(1+2.78*('Cálculos'!$C$199+(($B$54)-$A6)*'Cálculos'!$C$98)/(('Cálculos'!$C$199+(($B$54)-$A6)*'Cálculos'!$C$98)+1400)+'Cálculos'!$C$123)*'Cálculos'!$C$265)+('Cálculos'!$C$201*(1+'Cálculos'!$C$202+$A6*('Cálculos'!$C$290=2)*'Cálculos'!$C$101)+'Cálculos'!$C$203)*('Cálculos'!$C$256+'Cálculos'!$C$124*(1+2.78*('Cálculos'!$C$199+(($B$54)-$A6)*'Cálculos'!$C$98)/(('Cálculos'!$C$199+(($B$54)-$A6)*'Cálculos'!$C$98)+1400)+'Cálculos'!$C$122)*'Cálculos'!$C$261+'Cálculos'!$C$125*(1+2.78*('Cálculos'!$C$199+(($B$54)-$A6)*'Cálculos'!$C$98)/(('Cálculos'!$C$199+(($B$54)-$A6)*'Cálculos'!$C$98)+1400)+'Cálculos'!$C$123)*'Cálculos'!$C$266)+('Cálculos'!$C$204*(1+'Cálculos'!$C$205+$A6*('Cálculos'!$C$290=3)*'Cálculos'!$C$103)+'Cálculos'!$C$206)*('Cálculos'!$C$257+'Cálculos'!$C$124*(1+2.78*('Cálculos'!$C$199+(($B$54)-$A6)*'Cálculos'!$C$98)/(('Cálculos'!$C$199+(($B$54)-$A6)*'Cálculos'!$C$98)+1400)+'Cálculos'!$C$122)*'Cálculos'!$C$262+'Cálculos'!$C$125*(1+2.78*('Cálculos'!$C$199+(($B$54)-$A6)*'Cálculos'!$C$98)/(('Cálculos'!$C$199+(($B$54)-$A6)*'Cálculos'!$C$98)+1400)+'Cálculos'!$C$123)*'Cálculos'!$C$267)+('Cálculos'!$C$258+'Cálculos'!$C$124*(1+2.78*('Cálculos'!$C$199+(($B$54)-$A6)*'Cálculos'!$C$98)/(('Cálculos'!$C$199+(($B$54)-$A6)*'Cálculos'!$C$98)+1400)+'Cálculos'!$C$122)*'Cálculos'!$C$263+'Cálculos'!$C$125*(1+2.78*('Cálculos'!$C$199+(($B$54)-$A6)*'Cálculos'!$C$98)/(('Cálculos'!$C$199+(($B$54)-$A6)*'Cálculos'!$C$98)+1400)+'Cálculos'!$C$123)*'Cálculos'!$C$268)+('Cálculos'!$C$185*(1+'Cálculos'!$C$190+$A6*('Cálculos'!$C$290=1)*'Cálculos'!$C$97+'Cálculos'!$C$305)+'Cálculos'!$C$195)*('Cálculos'!$C$269+'Cálculos'!$C$124*(1+2.78*('Cálculos'!$C$200+(($B$54)-$A6)*'Cálculos'!$C$98)/(('Cálculos'!$C$200+(($B$54)-$A6)*'Cálculos'!$C$98)+1400)+'Cálculos'!$C$122)*'Cálculos'!$C$274+'Cálculos'!$C$125*(1+2.78*('Cálculos'!$C$200+(($B$54)-$A6)*'Cálculos'!$C$98)/(('Cálculos'!$C$200+(($B$54)-$A6)*'Cálculos'!$C$98)+1400)+'Cálculos'!$C$123)*'Cálculos'!$C$279)+('Cálculos'!$C$200+(($B$54)-$A6)*'Cálculos'!$C$98)*('Cálculos'!$C$270+'Cálculos'!$C$124*(1+2.78*('Cálculos'!$C$200+(($B$54)-$A6)*'Cálculos'!$C$98)/(('Cálculos'!$C$200+(($B$54)-$A6)*'Cálculos'!$C$98)+1400)+'Cálculos'!$C$122)*'Cálculos'!$C$275+'Cálculos'!$C$125*(1+2.78*('Cálculos'!$C$200+(($B$54)-$A6)*'Cálculos'!$C$98)/(('Cálculos'!$C$200+(($B$54)-$A6)*'Cálculos'!$C$98)+1400)+'Cálculos'!$C$123)*'Cálculos'!$C$280)+('Cálculos'!$C$201*(1+'Cálculos'!$C$202+$A6*('Cálculos'!$C$290=2)*'Cálculos'!$C$101)+'Cálculos'!$C$203)*('Cálculos'!$C$271+'Cálculos'!$C$124*(1+2.78*('Cálculos'!$C$200+(($B$54)-$A6)*'Cálculos'!$C$98)/(('Cálculos'!$C$200+(($B$54)-$A6)*'Cálculos'!$C$98)+1400)+'Cálculos'!$C$122)*'Cálculos'!$C$276+'Cálculos'!$C$125*(1+2.78*('Cálculos'!$C$200+(($B$54)-$A6)*'Cálculos'!$C$98)/(('Cálculos'!$C$200+(($B$54)-$A6)*'Cálculos'!$C$98)+1400)+'Cálculos'!$C$123)*'Cálculos'!$C$281)+('Cálculos'!$C$204*(1+'Cálculos'!$C$205+$A6*('Cálculos'!$C$290=3)*'Cálculos'!$C$103)+'Cálculos'!$C$206)*('Cálculos'!$C$272+'Cálculos'!$C$124*(1+2.78*('Cálculos'!$C$200+(($B$54)-$A6)*'Cálculos'!$C$98)/(('Cálculos'!$C$200+(($B$54)-$A6)*'Cálculos'!$C$98)+1400)+'Cálculos'!$C$122)*'Cálculos'!$C$277+'Cálculos'!$C$125*(1+2.78*('Cálculos'!$C$200+(($B$54)-$A6)*'Cálculos'!$C$98)/(('Cálculos'!$C$200+(($B$54)-$A6)*'Cálculos'!$C$98)+1400)+'Cálculos'!$C$123)*'Cálculos'!$C$282)+('Cálculos'!$C$273+'Cálculos'!$C$124*(1+2.78*('Cálculos'!$C$200+(($B$54)-$A6)*'Cálculos'!$C$98)/(('Cálculos'!$C$200+(($B$54)-$A6)*'Cálculos'!$C$98)+1400)+'Cálculos'!$C$122)*'Cálculos'!$C$278+'Cálculos'!$C$125*(1+2.78*('Cálculos'!$C$200+(($B$54)-$A6)*'Cálculos'!$C$98)/(('Cálculos'!$C$200+(($B$54)-$A6)*'Cálculos'!$C$98)+1400)+'Cálculos'!$C$123)*'Cálculos'!$C$283)))</f>
        <v>1096752.166</v>
      </c>
    </row>
    <row r="7">
      <c r="A7" s="2">
        <v>1.0</v>
      </c>
      <c r="B7" s="30">
        <f>SUMPRODUCT(MAX(($A$6:$A$51&lt;=$A7)*($A$6:$A$51&lt;='Cálculos'!$C$294)*(($A7)-$A$6:$A$51&lt;='Cálculos'!$C$295)*(1+(('Cálculos'!$C$207+$A$6:$A$51*'Cálculos'!$C$95)-(('Cálculos'!$C$207+$A$6:$A$51*'Cálculos'!$C$95)&gt;1)*(('Cálculos'!$C$207+$A$6:$A$51*'Cálculos'!$C$95)-1))*('Cálculos'!$C$208+(($A7)-$A$6:$A$51)*'Cálculos'!$C$96))))</f>
        <v>2.310092</v>
      </c>
      <c r="C7" s="2">
        <f>'Cálculos'!$C$303-$A7</f>
        <v>19</v>
      </c>
      <c r="D7" s="31">
        <f>IF($C7&lt;0,0,SUMPRODUCT(MAX(($A$6:$A$51&lt;=$C7)*($A$6:$A$51&lt;='Cálculos'!$C$301)*(($C7)-$A$6:$A$51&lt;='Cálculos'!$C$297)*(('Cálculos'!$C$185*(1+'Cálculos'!$C$186+$A$6:$A$51*('Cálculos'!$C$290=1)*'Cálculos'!$C$97+'Cálculos'!$C$305)+'Cálculos'!$C$191)*('Cálculos'!$C$209+'Cálculos'!$C$124*(1+2.78*('Cálculos'!$C$196+(($C7)-$A$6:$A$51)*'Cálculos'!$C$98)/(('Cálculos'!$C$196+(($C7)-$A$6:$A$51)*'Cálculos'!$C$98)+1400)+'Cálculos'!$C$122)*'Cálculos'!$C$214+'Cálculos'!$C$125*(1+2.78*('Cálculos'!$C$196+(($C7)-$A$6:$A$51)*'Cálculos'!$C$98)/(('Cálculos'!$C$196+(($C7)-$A$6:$A$51)*'Cálculos'!$C$98)+1400)+'Cálculos'!$C$123)*'Cálculos'!$C$219)+('Cálculos'!$C$196+(($C7)-$A$6:$A$51)*'Cálculos'!$C$98)*('Cálculos'!$C$210+'Cálculos'!$C$124*(1+2.78*('Cálculos'!$C$196+(($C7)-$A$6:$A$51)*'Cálculos'!$C$98)/(('Cálculos'!$C$196+(($C7)-$A$6:$A$51)*'Cálculos'!$C$98)+1400)+'Cálculos'!$C$122)*'Cálculos'!$C$215+'Cálculos'!$C$125*(1+2.78*('Cálculos'!$C$196+(($C7)-$A$6:$A$51)*'Cálculos'!$C$98)/(('Cálculos'!$C$196+(($C7)-$A$6:$A$51)*'Cálculos'!$C$98)+1400)+'Cálculos'!$C$123)*'Cálculos'!$C$220)+('Cálculos'!$C$201*(1+'Cálculos'!$C$202+$A$6:$A$51*('Cálculos'!$C$290=2)*'Cálculos'!$C$101)+'Cálculos'!$C$203)*('Cálculos'!$C$211+'Cálculos'!$C$124*(1+2.78*('Cálculos'!$C$196+(($C7)-$A$6:$A$51)*'Cálculos'!$C$98)/(('Cálculos'!$C$196+(($C7)-$A$6:$A$51)*'Cálculos'!$C$98)+1400)+'Cálculos'!$C$122)*'Cálculos'!$C$216+'Cálculos'!$C$125*(1+2.78*('Cálculos'!$C$196+(($C7)-$A$6:$A$51)*'Cálculos'!$C$98)/(('Cálculos'!$C$196+(($C7)-$A$6:$A$51)*'Cálculos'!$C$98)+1400)+'Cálculos'!$C$123)*'Cálculos'!$C$221)+('Cálculos'!$C$204*(1+'Cálculos'!$C$205+$A$6:$A$51*('Cálculos'!$C$290=3)*'Cálculos'!$C$103)+'Cálculos'!$C$206)*('Cálculos'!$C$212+'Cálculos'!$C$124*(1+2.78*('Cálculos'!$C$196+(($C7)-$A$6:$A$51)*'Cálculos'!$C$98)/(('Cálculos'!$C$196+(($C7)-$A$6:$A$51)*'Cálculos'!$C$98)+1400)+'Cálculos'!$C$122)*'Cálculos'!$C$217+'Cálculos'!$C$125*(1+2.78*('Cálculos'!$C$196+(($C7)-$A$6:$A$51)*'Cálculos'!$C$98)/(('Cálculos'!$C$196+(($C7)-$A$6:$A$51)*'Cálculos'!$C$98)+1400)+'Cálculos'!$C$123)*'Cálculos'!$C$222)+('Cálculos'!$C$213+'Cálculos'!$C$124*(1+2.78*('Cálculos'!$C$196+(($C7)-$A$6:$A$51)*'Cálculos'!$C$98)/(('Cálculos'!$C$196+(($C7)-$A$6:$A$51)*'Cálculos'!$C$98)+1400)+'Cálculos'!$C$122)*'Cálculos'!$C$218+'Cálculos'!$C$125*(1+2.78*('Cálculos'!$C$196+(($C7)-$A$6:$A$51)*'Cálculos'!$C$98)/(('Cálculos'!$C$196+(($C7)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7)-$A$6:$A$51)*'Cálculos'!$C$98)/(('Cálculos'!$C$197+(($C7)-$A$6:$A$51)*'Cálculos'!$C$98)+1400)+'Cálculos'!$C$122)*'Cálculos'!$C$229+'Cálculos'!$C$125*(1+2.78*('Cálculos'!$C$197+(($C7)-$A$6:$A$51)*'Cálculos'!$C$98)/(('Cálculos'!$C$197+(($C7)-$A$6:$A$51)*'Cálculos'!$C$98)+1400)+'Cálculos'!$C$123)*'Cálculos'!$C$234)+('Cálculos'!$C$197+(($C7)-$A$6:$A$51)*'Cálculos'!$C$98)*('Cálculos'!$C$225+'Cálculos'!$C$124*(1+2.78*('Cálculos'!$C$197+(($C7)-$A$6:$A$51)*'Cálculos'!$C$98)/(('Cálculos'!$C$197+(($C7)-$A$6:$A$51)*'Cálculos'!$C$98)+1400)+'Cálculos'!$C$122)*'Cálculos'!$C$230+'Cálculos'!$C$125*(1+2.78*('Cálculos'!$C$197+(($C7)-$A$6:$A$51)*'Cálculos'!$C$98)/(('Cálculos'!$C$197+(($C7)-$A$6:$A$51)*'Cálculos'!$C$98)+1400)+'Cálculos'!$C$123)*'Cálculos'!$C$235)+('Cálculos'!$C$201*(1+'Cálculos'!$C$202+$A$6:$A$51*('Cálculos'!$C$290=2)*'Cálculos'!$C$101)+'Cálculos'!$C$203)*('Cálculos'!$C$226+'Cálculos'!$C$124*(1+2.78*('Cálculos'!$C$197+(($C7)-$A$6:$A$51)*'Cálculos'!$C$98)/(('Cálculos'!$C$197+(($C7)-$A$6:$A$51)*'Cálculos'!$C$98)+1400)+'Cálculos'!$C$122)*'Cálculos'!$C$231+'Cálculos'!$C$125*(1+2.78*('Cálculos'!$C$197+(($C7)-$A$6:$A$51)*'Cálculos'!$C$98)/(('Cálculos'!$C$197+(($C7)-$A$6:$A$51)*'Cálculos'!$C$98)+1400)+'Cálculos'!$C$123)*'Cálculos'!$C$236)+('Cálculos'!$C$204*(1+'Cálculos'!$C$205+$A$6:$A$51*('Cálculos'!$C$290=3)*'Cálculos'!$C$103)+'Cálculos'!$C$206)*('Cálculos'!$C$227+'Cálculos'!$C$124*(1+2.78*('Cálculos'!$C$197+(($C7)-$A$6:$A$51)*'Cálculos'!$C$98)/(('Cálculos'!$C$197+(($C7)-$A$6:$A$51)*'Cálculos'!$C$98)+1400)+'Cálculos'!$C$122)*'Cálculos'!$C$232+'Cálculos'!$C$125*(1+2.78*('Cálculos'!$C$197+(($C7)-$A$6:$A$51)*'Cálculos'!$C$98)/(('Cálculos'!$C$197+(($C7)-$A$6:$A$51)*'Cálculos'!$C$98)+1400)+'Cálculos'!$C$123)*'Cálculos'!$C$237)+('Cálculos'!$C$228+'Cálculos'!$C$124*(1+2.78*('Cálculos'!$C$197+(($C7)-$A$6:$A$51)*'Cálculos'!$C$98)/(('Cálculos'!$C$197+(($C7)-$A$6:$A$51)*'Cálculos'!$C$98)+1400)+'Cálculos'!$C$122)*'Cálculos'!$C$233+'Cálculos'!$C$125*(1+2.78*('Cálculos'!$C$197+(($C7)-$A$6:$A$51)*'Cálculos'!$C$98)/(('Cálculos'!$C$197+(($C7)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7)-$A$6:$A$51)*'Cálculos'!$C$98)/(('Cálculos'!$C$198+(($C7)-$A$6:$A$51)*'Cálculos'!$C$98)+1400)+'Cálculos'!$C$122)*'Cálculos'!$C$244+'Cálculos'!$C$125*(1+2.78*('Cálculos'!$C$198+(($C7)-$A$6:$A$51)*'Cálculos'!$C$98)/(('Cálculos'!$C$198+(($C7)-$A$6:$A$51)*'Cálculos'!$C$98)+1400)+'Cálculos'!$C$123)*'Cálculos'!$C$249)+('Cálculos'!$C$198+(($C7)-$A$6:$A$51)*'Cálculos'!$C$98)*('Cálculos'!$C$240+'Cálculos'!$C$124*(1+2.78*('Cálculos'!$C$198+(($C7)-$A$6:$A$51)*'Cálculos'!$C$98)/(('Cálculos'!$C$198+(($C7)-$A$6:$A$51)*'Cálculos'!$C$98)+1400)+'Cálculos'!$C$122)*'Cálculos'!$C$245+'Cálculos'!$C$125*(1+2.78*('Cálculos'!$C$198+(($C7)-$A$6:$A$51)*'Cálculos'!$C$98)/(('Cálculos'!$C$198+(($C7)-$A$6:$A$51)*'Cálculos'!$C$98)+1400)+'Cálculos'!$C$123)*'Cálculos'!$C$250)+('Cálculos'!$C$201*(1+'Cálculos'!$C$202+$A$6:$A$51*('Cálculos'!$C$290=2)*'Cálculos'!$C$101)+'Cálculos'!$C$203)*('Cálculos'!$C$241+'Cálculos'!$C$124*(1+2.78*('Cálculos'!$C$198+(($C7)-$A$6:$A$51)*'Cálculos'!$C$98)/(('Cálculos'!$C$198+(($C7)-$A$6:$A$51)*'Cálculos'!$C$98)+1400)+'Cálculos'!$C$122)*'Cálculos'!$C$246+'Cálculos'!$C$125*(1+2.78*('Cálculos'!$C$198+(($C7)-$A$6:$A$51)*'Cálculos'!$C$98)/(('Cálculos'!$C$198+(($C7)-$A$6:$A$51)*'Cálculos'!$C$98)+1400)+'Cálculos'!$C$123)*'Cálculos'!$C$251)+('Cálculos'!$C$204*(1+'Cálculos'!$C$205+$A$6:$A$51*('Cálculos'!$C$290=3)*'Cálculos'!$C$103)+'Cálculos'!$C$206)*('Cálculos'!$C$242+'Cálculos'!$C$124*(1+2.78*('Cálculos'!$C$198+(($C7)-$A$6:$A$51)*'Cálculos'!$C$98)/(('Cálculos'!$C$198+(($C7)-$A$6:$A$51)*'Cálculos'!$C$98)+1400)+'Cálculos'!$C$122)*'Cálculos'!$C$247+'Cálculos'!$C$125*(1+2.78*('Cálculos'!$C$198+(($C7)-$A$6:$A$51)*'Cálculos'!$C$98)/(('Cálculos'!$C$198+(($C7)-$A$6:$A$51)*'Cálculos'!$C$98)+1400)+'Cálculos'!$C$123)*'Cálculos'!$C$252)+('Cálculos'!$C$243+'Cálculos'!$C$124*(1+2.78*('Cálculos'!$C$198+(($C7)-$A$6:$A$51)*'Cálculos'!$C$98)/(('Cálculos'!$C$198+(($C7)-$A$6:$A$51)*'Cálculos'!$C$98)+1400)+'Cálculos'!$C$122)*'Cálculos'!$C$248+'Cálculos'!$C$125*(1+2.78*('Cálculos'!$C$198+(($C7)-$A$6:$A$51)*'Cálculos'!$C$98)/(('Cálculos'!$C$198+(($C7)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7)-$A$6:$A$51)*'Cálculos'!$C$98)/(('Cálculos'!$C$199+(($C7)-$A$6:$A$51)*'Cálculos'!$C$98)+1400)+'Cálculos'!$C$122)*'Cálculos'!$C$259+'Cálculos'!$C$125*(1+2.78*('Cálculos'!$C$199+(($C7)-$A$6:$A$51)*'Cálculos'!$C$98)/(('Cálculos'!$C$199+(($C7)-$A$6:$A$51)*'Cálculos'!$C$98)+1400)+'Cálculos'!$C$123)*'Cálculos'!$C$264)+('Cálculos'!$C$199+(($C7)-$A$6:$A$51)*'Cálculos'!$C$98)*('Cálculos'!$C$255+'Cálculos'!$C$124*(1+2.78*('Cálculos'!$C$199+(($C7)-$A$6:$A$51)*'Cálculos'!$C$98)/(('Cálculos'!$C$199+(($C7)-$A$6:$A$51)*'Cálculos'!$C$98)+1400)+'Cálculos'!$C$122)*'Cálculos'!$C$260+'Cálculos'!$C$125*(1+2.78*('Cálculos'!$C$199+(($C7)-$A$6:$A$51)*'Cálculos'!$C$98)/(('Cálculos'!$C$199+(($C7)-$A$6:$A$51)*'Cálculos'!$C$98)+1400)+'Cálculos'!$C$123)*'Cálculos'!$C$265)+('Cálculos'!$C$201*(1+'Cálculos'!$C$202+$A$6:$A$51*('Cálculos'!$C$290=2)*'Cálculos'!$C$101)+'Cálculos'!$C$203)*('Cálculos'!$C$256+'Cálculos'!$C$124*(1+2.78*('Cálculos'!$C$199+(($C7)-$A$6:$A$51)*'Cálculos'!$C$98)/(('Cálculos'!$C$199+(($C7)-$A$6:$A$51)*'Cálculos'!$C$98)+1400)+'Cálculos'!$C$122)*'Cálculos'!$C$261+'Cálculos'!$C$125*(1+2.78*('Cálculos'!$C$199+(($C7)-$A$6:$A$51)*'Cálculos'!$C$98)/(('Cálculos'!$C$199+(($C7)-$A$6:$A$51)*'Cálculos'!$C$98)+1400)+'Cálculos'!$C$123)*'Cálculos'!$C$266)+('Cálculos'!$C$204*(1+'Cálculos'!$C$205+$A$6:$A$51*('Cálculos'!$C$290=3)*'Cálculos'!$C$103)+'Cálculos'!$C$206)*('Cálculos'!$C$257+'Cálculos'!$C$124*(1+2.78*('Cálculos'!$C$199+(($C7)-$A$6:$A$51)*'Cálculos'!$C$98)/(('Cálculos'!$C$199+(($C7)-$A$6:$A$51)*'Cálculos'!$C$98)+1400)+'Cálculos'!$C$122)*'Cálculos'!$C$262+'Cálculos'!$C$125*(1+2.78*('Cálculos'!$C$199+(($C7)-$A$6:$A$51)*'Cálculos'!$C$98)/(('Cálculos'!$C$199+(($C7)-$A$6:$A$51)*'Cálculos'!$C$98)+1400)+'Cálculos'!$C$123)*'Cálculos'!$C$267)+('Cálculos'!$C$258+'Cálculos'!$C$124*(1+2.78*('Cálculos'!$C$199+(($C7)-$A$6:$A$51)*'Cálculos'!$C$98)/(('Cálculos'!$C$199+(($C7)-$A$6:$A$51)*'Cálculos'!$C$98)+1400)+'Cálculos'!$C$122)*'Cálculos'!$C$263+'Cálculos'!$C$125*(1+2.78*('Cálculos'!$C$199+(($C7)-$A$6:$A$51)*'Cálculos'!$C$98)/(('Cálculos'!$C$199+(($C7)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7)-$A$6:$A$51)*'Cálculos'!$C$98)/(('Cálculos'!$C$200+(($C7)-$A$6:$A$51)*'Cálculos'!$C$98)+1400)+'Cálculos'!$C$122)*'Cálculos'!$C$274+'Cálculos'!$C$125*(1+2.78*('Cálculos'!$C$200+(($C7)-$A$6:$A$51)*'Cálculos'!$C$98)/(('Cálculos'!$C$200+(($C7)-$A$6:$A$51)*'Cálculos'!$C$98)+1400)+'Cálculos'!$C$123)*'Cálculos'!$C$279)+('Cálculos'!$C$200+(($C7)-$A$6:$A$51)*'Cálculos'!$C$98)*('Cálculos'!$C$270+'Cálculos'!$C$124*(1+2.78*('Cálculos'!$C$200+(($C7)-$A$6:$A$51)*'Cálculos'!$C$98)/(('Cálculos'!$C$200+(($C7)-$A$6:$A$51)*'Cálculos'!$C$98)+1400)+'Cálculos'!$C$122)*'Cálculos'!$C$275+'Cálculos'!$C$125*(1+2.78*('Cálculos'!$C$200+(($C7)-$A$6:$A$51)*'Cálculos'!$C$98)/(('Cálculos'!$C$200+(($C7)-$A$6:$A$51)*'Cálculos'!$C$98)+1400)+'Cálculos'!$C$123)*'Cálculos'!$C$280)+('Cálculos'!$C$201*(1+'Cálculos'!$C$202+$A$6:$A$51*('Cálculos'!$C$290=2)*'Cálculos'!$C$101)+'Cálculos'!$C$203)*('Cálculos'!$C$271+'Cálculos'!$C$124*(1+2.78*('Cálculos'!$C$200+(($C7)-$A$6:$A$51)*'Cálculos'!$C$98)/(('Cálculos'!$C$200+(($C7)-$A$6:$A$51)*'Cálculos'!$C$98)+1400)+'Cálculos'!$C$122)*'Cálculos'!$C$276+'Cálculos'!$C$125*(1+2.78*('Cálculos'!$C$200+(($C7)-$A$6:$A$51)*'Cálculos'!$C$98)/(('Cálculos'!$C$200+(($C7)-$A$6:$A$51)*'Cálculos'!$C$98)+1400)+'Cálculos'!$C$123)*'Cálculos'!$C$281)+('Cálculos'!$C$204*(1+'Cálculos'!$C$205+$A$6:$A$51*('Cálculos'!$C$290=3)*'Cálculos'!$C$103)+'Cálculos'!$C$206)*('Cálculos'!$C$272+'Cálculos'!$C$124*(1+2.78*('Cálculos'!$C$200+(($C7)-$A$6:$A$51)*'Cálculos'!$C$98)/(('Cálculos'!$C$200+(($C7)-$A$6:$A$51)*'Cálculos'!$C$98)+1400)+'Cálculos'!$C$122)*'Cálculos'!$C$277+'Cálculos'!$C$125*(1+2.78*('Cálculos'!$C$200+(($C7)-$A$6:$A$51)*'Cálculos'!$C$98)/(('Cálculos'!$C$200+(($C7)-$A$6:$A$51)*'Cálculos'!$C$98)+1400)+'Cálculos'!$C$123)*'Cálculos'!$C$282)+('Cálculos'!$C$273+'Cálculos'!$C$124*(1+2.78*('Cálculos'!$C$200+(($C7)-$A$6:$A$51)*'Cálculos'!$C$98)/(('Cálculos'!$C$200+(($C7)-$A$6:$A$51)*'Cálculos'!$C$98)+1400)+'Cálculos'!$C$122)*'Cálculos'!$C$278+'Cálculos'!$C$125*(1+2.78*('Cálculos'!$C$200+(($C7)-$A$6:$A$51)*'Cálculos'!$C$98)/(('Cálculos'!$C$200+(($C7)-$A$6:$A$51)*'Cálculos'!$C$98)+1400)+'Cálculos'!$C$123)*'Cálculos'!$C$283)))))</f>
        <v>1269060.67</v>
      </c>
      <c r="E7" s="32">
        <f>IF(OR($C7&lt;0,'Cálculos'!$C$6=""),0,$B7*$D7)</f>
        <v>2931646.901</v>
      </c>
      <c r="F7" s="2"/>
      <c r="G7" s="30">
        <f>($A7&lt;=$B$53)*($A7&lt;='Cálculos'!$C$294)*(($B$53)-$A7&lt;='Cálculos'!$C$295)*(1+MIN(('Cálculos'!$C$207+$A7*'Cálculos'!$C$95),1)*('Cálculos'!$C$208+(($B$53)-$A7)*'Cálculos'!$C$96))</f>
        <v>2.962502</v>
      </c>
      <c r="H7" s="31">
        <f>IF($B$54&lt;0,0,($A7&lt;=$B$54)*($A7&lt;='Cálculos'!$C$301)*(($B$54)-$A7&lt;='Cálculos'!$C$297)*(('Cálculos'!$C$185*(1+'Cálculos'!$C$186+$A7*('Cálculos'!$C$290=1)*'Cálculos'!$C$97+'Cálculos'!$C$305)+'Cálculos'!$C$191)*('Cálculos'!$C$209+'Cálculos'!$C$124*(1+2.78*('Cálculos'!$C$196+(($B$54)-$A7)*'Cálculos'!$C$98)/(('Cálculos'!$C$196+(($B$54)-$A7)*'Cálculos'!$C$98)+1400)+'Cálculos'!$C$122)*'Cálculos'!$C$214+'Cálculos'!$C$125*(1+2.78*('Cálculos'!$C$196+(($B$54)-$A7)*'Cálculos'!$C$98)/(('Cálculos'!$C$196+(($B$54)-$A7)*'Cálculos'!$C$98)+1400)+'Cálculos'!$C$123)*'Cálculos'!$C$219)+('Cálculos'!$C$196+(($B$54)-$A7)*'Cálculos'!$C$98)*('Cálculos'!$C$210+'Cálculos'!$C$124*(1+2.78*('Cálculos'!$C$196+(($B$54)-$A7)*'Cálculos'!$C$98)/(('Cálculos'!$C$196+(($B$54)-$A7)*'Cálculos'!$C$98)+1400)+'Cálculos'!$C$122)*'Cálculos'!$C$215+'Cálculos'!$C$125*(1+2.78*('Cálculos'!$C$196+(($B$54)-$A7)*'Cálculos'!$C$98)/(('Cálculos'!$C$196+(($B$54)-$A7)*'Cálculos'!$C$98)+1400)+'Cálculos'!$C$123)*'Cálculos'!$C$220)+('Cálculos'!$C$201*(1+'Cálculos'!$C$202+$A7*('Cálculos'!$C$290=2)*'Cálculos'!$C$101)+'Cálculos'!$C$203)*('Cálculos'!$C$211+'Cálculos'!$C$124*(1+2.78*('Cálculos'!$C$196+(($B$54)-$A7)*'Cálculos'!$C$98)/(('Cálculos'!$C$196+(($B$54)-$A7)*'Cálculos'!$C$98)+1400)+'Cálculos'!$C$122)*'Cálculos'!$C$216+'Cálculos'!$C$125*(1+2.78*('Cálculos'!$C$196+(($B$54)-$A7)*'Cálculos'!$C$98)/(('Cálculos'!$C$196+(($B$54)-$A7)*'Cálculos'!$C$98)+1400)+'Cálculos'!$C$123)*'Cálculos'!$C$221)+('Cálculos'!$C$204*(1+'Cálculos'!$C$205+$A7*('Cálculos'!$C$290=3)*'Cálculos'!$C$103)+'Cálculos'!$C$206)*('Cálculos'!$C$212+'Cálculos'!$C$124*(1+2.78*('Cálculos'!$C$196+(($B$54)-$A7)*'Cálculos'!$C$98)/(('Cálculos'!$C$196+(($B$54)-$A7)*'Cálculos'!$C$98)+1400)+'Cálculos'!$C$122)*'Cálculos'!$C$217+'Cálculos'!$C$125*(1+2.78*('Cálculos'!$C$196+(($B$54)-$A7)*'Cálculos'!$C$98)/(('Cálculos'!$C$196+(($B$54)-$A7)*'Cálculos'!$C$98)+1400)+'Cálculos'!$C$123)*'Cálculos'!$C$222)+('Cálculos'!$C$213+'Cálculos'!$C$124*(1+2.78*('Cálculos'!$C$196+(($B$54)-$A7)*'Cálculos'!$C$98)/(('Cálculos'!$C$196+(($B$54)-$A7)*'Cálculos'!$C$98)+1400)+'Cálculos'!$C$122)*'Cálculos'!$C$218+'Cálculos'!$C$125*(1+2.78*('Cálculos'!$C$196+(($B$54)-$A7)*'Cálculos'!$C$98)/(('Cálculos'!$C$196+(($B$54)-$A7)*'Cálculos'!$C$98)+1400)+'Cálculos'!$C$123)*'Cálculos'!$C$223)+('Cálculos'!$C$185*(1+'Cálculos'!$C$187+$A7*('Cálculos'!$C$290=1)*'Cálculos'!$C$97+'Cálculos'!$C$305)+'Cálculos'!$C$192)*('Cálculos'!$C$224+'Cálculos'!$C$124*(1+2.78*('Cálculos'!$C$197+(($B$54)-$A7)*'Cálculos'!$C$98)/(('Cálculos'!$C$197+(($B$54)-$A7)*'Cálculos'!$C$98)+1400)+'Cálculos'!$C$122)*'Cálculos'!$C$229+'Cálculos'!$C$125*(1+2.78*('Cálculos'!$C$197+(($B$54)-$A7)*'Cálculos'!$C$98)/(('Cálculos'!$C$197+(($B$54)-$A7)*'Cálculos'!$C$98)+1400)+'Cálculos'!$C$123)*'Cálculos'!$C$234)+('Cálculos'!$C$197+(($B$54)-$A7)*'Cálculos'!$C$98)*('Cálculos'!$C$225+'Cálculos'!$C$124*(1+2.78*('Cálculos'!$C$197+(($B$54)-$A7)*'Cálculos'!$C$98)/(('Cálculos'!$C$197+(($B$54)-$A7)*'Cálculos'!$C$98)+1400)+'Cálculos'!$C$122)*'Cálculos'!$C$230+'Cálculos'!$C$125*(1+2.78*('Cálculos'!$C$197+(($B$54)-$A7)*'Cálculos'!$C$98)/(('Cálculos'!$C$197+(($B$54)-$A7)*'Cálculos'!$C$98)+1400)+'Cálculos'!$C$123)*'Cálculos'!$C$235)+('Cálculos'!$C$201*(1+'Cálculos'!$C$202+$A7*('Cálculos'!$C$290=2)*'Cálculos'!$C$101)+'Cálculos'!$C$203)*('Cálculos'!$C$226+'Cálculos'!$C$124*(1+2.78*('Cálculos'!$C$197+(($B$54)-$A7)*'Cálculos'!$C$98)/(('Cálculos'!$C$197+(($B$54)-$A7)*'Cálculos'!$C$98)+1400)+'Cálculos'!$C$122)*'Cálculos'!$C$231+'Cálculos'!$C$125*(1+2.78*('Cálculos'!$C$197+(($B$54)-$A7)*'Cálculos'!$C$98)/(('Cálculos'!$C$197+(($B$54)-$A7)*'Cálculos'!$C$98)+1400)+'Cálculos'!$C$123)*'Cálculos'!$C$236)+('Cálculos'!$C$204*(1+'Cálculos'!$C$205+$A7*('Cálculos'!$C$290=3)*'Cálculos'!$C$103)+'Cálculos'!$C$206)*('Cálculos'!$C$227+'Cálculos'!$C$124*(1+2.78*('Cálculos'!$C$197+(($B$54)-$A7)*'Cálculos'!$C$98)/(('Cálculos'!$C$197+(($B$54)-$A7)*'Cálculos'!$C$98)+1400)+'Cálculos'!$C$122)*'Cálculos'!$C$232+'Cálculos'!$C$125*(1+2.78*('Cálculos'!$C$197+(($B$54)-$A7)*'Cálculos'!$C$98)/(('Cálculos'!$C$197+(($B$54)-$A7)*'Cálculos'!$C$98)+1400)+'Cálculos'!$C$123)*'Cálculos'!$C$237)+('Cálculos'!$C$228+'Cálculos'!$C$124*(1+2.78*('Cálculos'!$C$197+(($B$54)-$A7)*'Cálculos'!$C$98)/(('Cálculos'!$C$197+(($B$54)-$A7)*'Cálculos'!$C$98)+1400)+'Cálculos'!$C$122)*'Cálculos'!$C$233+'Cálculos'!$C$125*(1+2.78*('Cálculos'!$C$197+(($B$54)-$A7)*'Cálculos'!$C$98)/(('Cálculos'!$C$197+(($B$54)-$A7)*'Cálculos'!$C$98)+1400)+'Cálculos'!$C$123)*'Cálculos'!$C$238)+('Cálculos'!$C$185*(1+'Cálculos'!$C$188+$A7*('Cálculos'!$C$290=1)*'Cálculos'!$C$97+'Cálculos'!$C$305)+'Cálculos'!$C$193)*('Cálculos'!$C$239+'Cálculos'!$C$124*(1+2.78*('Cálculos'!$C$198+(($B$54)-$A7)*'Cálculos'!$C$98)/(('Cálculos'!$C$198+(($B$54)-$A7)*'Cálculos'!$C$98)+1400)+'Cálculos'!$C$122)*'Cálculos'!$C$244+'Cálculos'!$C$125*(1+2.78*('Cálculos'!$C$198+(($B$54)-$A7)*'Cálculos'!$C$98)/(('Cálculos'!$C$198+(($B$54)-$A7)*'Cálculos'!$C$98)+1400)+'Cálculos'!$C$123)*'Cálculos'!$C$249)+('Cálculos'!$C$198+(($B$54)-$A7)*'Cálculos'!$C$98)*('Cálculos'!$C$240+'Cálculos'!$C$124*(1+2.78*('Cálculos'!$C$198+(($B$54)-$A7)*'Cálculos'!$C$98)/(('Cálculos'!$C$198+(($B$54)-$A7)*'Cálculos'!$C$98)+1400)+'Cálculos'!$C$122)*'Cálculos'!$C$245+'Cálculos'!$C$125*(1+2.78*('Cálculos'!$C$198+(($B$54)-$A7)*'Cálculos'!$C$98)/(('Cálculos'!$C$198+(($B$54)-$A7)*'Cálculos'!$C$98)+1400)+'Cálculos'!$C$123)*'Cálculos'!$C$250)+('Cálculos'!$C$201*(1+'Cálculos'!$C$202+$A7*('Cálculos'!$C$290=2)*'Cálculos'!$C$101)+'Cálculos'!$C$203)*('Cálculos'!$C$241+'Cálculos'!$C$124*(1+2.78*('Cálculos'!$C$198+(($B$54)-$A7)*'Cálculos'!$C$98)/(('Cálculos'!$C$198+(($B$54)-$A7)*'Cálculos'!$C$98)+1400)+'Cálculos'!$C$122)*'Cálculos'!$C$246+'Cálculos'!$C$125*(1+2.78*('Cálculos'!$C$198+(($B$54)-$A7)*'Cálculos'!$C$98)/(('Cálculos'!$C$198+(($B$54)-$A7)*'Cálculos'!$C$98)+1400)+'Cálculos'!$C$123)*'Cálculos'!$C$251)+('Cálculos'!$C$204*(1+'Cálculos'!$C$205+$A7*('Cálculos'!$C$290=3)*'Cálculos'!$C$103)+'Cálculos'!$C$206)*('Cálculos'!$C$242+'Cálculos'!$C$124*(1+2.78*('Cálculos'!$C$198+(($B$54)-$A7)*'Cálculos'!$C$98)/(('Cálculos'!$C$198+(($B$54)-$A7)*'Cálculos'!$C$98)+1400)+'Cálculos'!$C$122)*'Cálculos'!$C$247+'Cálculos'!$C$125*(1+2.78*('Cálculos'!$C$198+(($B$54)-$A7)*'Cálculos'!$C$98)/(('Cálculos'!$C$198+(($B$54)-$A7)*'Cálculos'!$C$98)+1400)+'Cálculos'!$C$123)*'Cálculos'!$C$252)+('Cálculos'!$C$243+'Cálculos'!$C$124*(1+2.78*('Cálculos'!$C$198+(($B$54)-$A7)*'Cálculos'!$C$98)/(('Cálculos'!$C$198+(($B$54)-$A7)*'Cálculos'!$C$98)+1400)+'Cálculos'!$C$122)*'Cálculos'!$C$248+'Cálculos'!$C$125*(1+2.78*('Cálculos'!$C$198+(($B$54)-$A7)*'Cálculos'!$C$98)/(('Cálculos'!$C$198+(($B$54)-$A7)*'Cálculos'!$C$98)+1400)+'Cálculos'!$C$123)*'Cálculos'!$C$253)+('Cálculos'!$C$185*(1+'Cálculos'!$C$189+$A7*('Cálculos'!$C$290=1)*'Cálculos'!$C$97+'Cálculos'!$C$305)+'Cálculos'!$C$194)*('Cálculos'!$C$254+'Cálculos'!$C$124*(1+2.78*('Cálculos'!$C$199+(($B$54)-$A7)*'Cálculos'!$C$98)/(('Cálculos'!$C$199+(($B$54)-$A7)*'Cálculos'!$C$98)+1400)+'Cálculos'!$C$122)*'Cálculos'!$C$259+'Cálculos'!$C$125*(1+2.78*('Cálculos'!$C$199+(($B$54)-$A7)*'Cálculos'!$C$98)/(('Cálculos'!$C$199+(($B$54)-$A7)*'Cálculos'!$C$98)+1400)+'Cálculos'!$C$123)*'Cálculos'!$C$264)+('Cálculos'!$C$199+(($B$54)-$A7)*'Cálculos'!$C$98)*('Cálculos'!$C$255+'Cálculos'!$C$124*(1+2.78*('Cálculos'!$C$199+(($B$54)-$A7)*'Cálculos'!$C$98)/(('Cálculos'!$C$199+(($B$54)-$A7)*'Cálculos'!$C$98)+1400)+'Cálculos'!$C$122)*'Cálculos'!$C$260+'Cálculos'!$C$125*(1+2.78*('Cálculos'!$C$199+(($B$54)-$A7)*'Cálculos'!$C$98)/(('Cálculos'!$C$199+(($B$54)-$A7)*'Cálculos'!$C$98)+1400)+'Cálculos'!$C$123)*'Cálculos'!$C$265)+('Cálculos'!$C$201*(1+'Cálculos'!$C$202+$A7*('Cálculos'!$C$290=2)*'Cálculos'!$C$101)+'Cálculos'!$C$203)*('Cálculos'!$C$256+'Cálculos'!$C$124*(1+2.78*('Cálculos'!$C$199+(($B$54)-$A7)*'Cálculos'!$C$98)/(('Cálculos'!$C$199+(($B$54)-$A7)*'Cálculos'!$C$98)+1400)+'Cálculos'!$C$122)*'Cálculos'!$C$261+'Cálculos'!$C$125*(1+2.78*('Cálculos'!$C$199+(($B$54)-$A7)*'Cálculos'!$C$98)/(('Cálculos'!$C$199+(($B$54)-$A7)*'Cálculos'!$C$98)+1400)+'Cálculos'!$C$123)*'Cálculos'!$C$266)+('Cálculos'!$C$204*(1+'Cálculos'!$C$205+$A7*('Cálculos'!$C$290=3)*'Cálculos'!$C$103)+'Cálculos'!$C$206)*('Cálculos'!$C$257+'Cálculos'!$C$124*(1+2.78*('Cálculos'!$C$199+(($B$54)-$A7)*'Cálculos'!$C$98)/(('Cálculos'!$C$199+(($B$54)-$A7)*'Cálculos'!$C$98)+1400)+'Cálculos'!$C$122)*'Cálculos'!$C$262+'Cálculos'!$C$125*(1+2.78*('Cálculos'!$C$199+(($B$54)-$A7)*'Cálculos'!$C$98)/(('Cálculos'!$C$199+(($B$54)-$A7)*'Cálculos'!$C$98)+1400)+'Cálculos'!$C$123)*'Cálculos'!$C$267)+('Cálculos'!$C$258+'Cálculos'!$C$124*(1+2.78*('Cálculos'!$C$199+(($B$54)-$A7)*'Cálculos'!$C$98)/(('Cálculos'!$C$199+(($B$54)-$A7)*'Cálculos'!$C$98)+1400)+'Cálculos'!$C$122)*'Cálculos'!$C$263+'Cálculos'!$C$125*(1+2.78*('Cálculos'!$C$199+(($B$54)-$A7)*'Cálculos'!$C$98)/(('Cálculos'!$C$199+(($B$54)-$A7)*'Cálculos'!$C$98)+1400)+'Cálculos'!$C$123)*'Cálculos'!$C$268)+('Cálculos'!$C$185*(1+'Cálculos'!$C$190+$A7*('Cálculos'!$C$290=1)*'Cálculos'!$C$97+'Cálculos'!$C$305)+'Cálculos'!$C$195)*('Cálculos'!$C$269+'Cálculos'!$C$124*(1+2.78*('Cálculos'!$C$200+(($B$54)-$A7)*'Cálculos'!$C$98)/(('Cálculos'!$C$200+(($B$54)-$A7)*'Cálculos'!$C$98)+1400)+'Cálculos'!$C$122)*'Cálculos'!$C$274+'Cálculos'!$C$125*(1+2.78*('Cálculos'!$C$200+(($B$54)-$A7)*'Cálculos'!$C$98)/(('Cálculos'!$C$200+(($B$54)-$A7)*'Cálculos'!$C$98)+1400)+'Cálculos'!$C$123)*'Cálculos'!$C$279)+('Cálculos'!$C$200+(($B$54)-$A7)*'Cálculos'!$C$98)*('Cálculos'!$C$270+'Cálculos'!$C$124*(1+2.78*('Cálculos'!$C$200+(($B$54)-$A7)*'Cálculos'!$C$98)/(('Cálculos'!$C$200+(($B$54)-$A7)*'Cálculos'!$C$98)+1400)+'Cálculos'!$C$122)*'Cálculos'!$C$275+'Cálculos'!$C$125*(1+2.78*('Cálculos'!$C$200+(($B$54)-$A7)*'Cálculos'!$C$98)/(('Cálculos'!$C$200+(($B$54)-$A7)*'Cálculos'!$C$98)+1400)+'Cálculos'!$C$123)*'Cálculos'!$C$280)+('Cálculos'!$C$201*(1+'Cálculos'!$C$202+$A7*('Cálculos'!$C$290=2)*'Cálculos'!$C$101)+'Cálculos'!$C$203)*('Cálculos'!$C$271+'Cálculos'!$C$124*(1+2.78*('Cálculos'!$C$200+(($B$54)-$A7)*'Cálculos'!$C$98)/(('Cálculos'!$C$200+(($B$54)-$A7)*'Cálculos'!$C$98)+1400)+'Cálculos'!$C$122)*'Cálculos'!$C$276+'Cálculos'!$C$125*(1+2.78*('Cálculos'!$C$200+(($B$54)-$A7)*'Cálculos'!$C$98)/(('Cálculos'!$C$200+(($B$54)-$A7)*'Cálculos'!$C$98)+1400)+'Cálculos'!$C$123)*'Cálculos'!$C$281)+('Cálculos'!$C$204*(1+'Cálculos'!$C$205+$A7*('Cálculos'!$C$290=3)*'Cálculos'!$C$103)+'Cálculos'!$C$206)*('Cálculos'!$C$272+'Cálculos'!$C$124*(1+2.78*('Cálculos'!$C$200+(($B$54)-$A7)*'Cálculos'!$C$98)/(('Cálculos'!$C$200+(($B$54)-$A7)*'Cálculos'!$C$98)+1400)+'Cálculos'!$C$122)*'Cálculos'!$C$277+'Cálculos'!$C$125*(1+2.78*('Cálculos'!$C$200+(($B$54)-$A7)*'Cálculos'!$C$98)/(('Cálculos'!$C$200+(($B$54)-$A7)*'Cálculos'!$C$98)+1400)+'Cálculos'!$C$123)*'Cálculos'!$C$282)+('Cálculos'!$C$273+'Cálculos'!$C$124*(1+2.78*('Cálculos'!$C$200+(($B$54)-$A7)*'Cálculos'!$C$98)/(('Cálculos'!$C$200+(($B$54)-$A7)*'Cálculos'!$C$98)+1400)+'Cálculos'!$C$122)*'Cálculos'!$C$278+'Cálculos'!$C$125*(1+2.78*('Cálculos'!$C$200+(($B$54)-$A7)*'Cálculos'!$C$98)/(('Cálculos'!$C$200+(($B$54)-$A7)*'Cálculos'!$C$98)+1400)+'Cálculos'!$C$123)*'Cálculos'!$C$283)))</f>
        <v>1094778.587</v>
      </c>
    </row>
    <row r="8">
      <c r="A8" s="2">
        <v>2.0</v>
      </c>
      <c r="B8" s="30">
        <f>SUMPRODUCT(MAX(($A$6:$A$51&lt;=$A8)*($A$6:$A$51&lt;='Cálculos'!$C$294)*(($A8)-$A$6:$A$51&lt;='Cálculos'!$C$295)*(1+(('Cálculos'!$C$207+$A$6:$A$51*'Cálculos'!$C$95)-(('Cálculos'!$C$207+$A$6:$A$51*'Cálculos'!$C$95)&gt;1)*(('Cálculos'!$C$207+$A$6:$A$51*'Cálculos'!$C$95)-1))*('Cálculos'!$C$208+(($A8)-$A$6:$A$51)*'Cálculos'!$C$96))))</f>
        <v>2.375696</v>
      </c>
      <c r="C8" s="2">
        <f>'Cálculos'!$C$303-$A8</f>
        <v>18</v>
      </c>
      <c r="D8" s="31">
        <f>IF($C8&lt;0,0,SUMPRODUCT(MAX(($A$6:$A$51&lt;=$C8)*($A$6:$A$51&lt;='Cálculos'!$C$301)*(($C8)-$A$6:$A$51&lt;='Cálculos'!$C$297)*(('Cálculos'!$C$185*(1+'Cálculos'!$C$186+$A$6:$A$51*('Cálculos'!$C$290=1)*'Cálculos'!$C$97+'Cálculos'!$C$305)+'Cálculos'!$C$191)*('Cálculos'!$C$209+'Cálculos'!$C$124*(1+2.78*('Cálculos'!$C$196+(($C8)-$A$6:$A$51)*'Cálculos'!$C$98)/(('Cálculos'!$C$196+(($C8)-$A$6:$A$51)*'Cálculos'!$C$98)+1400)+'Cálculos'!$C$122)*'Cálculos'!$C$214+'Cálculos'!$C$125*(1+2.78*('Cálculos'!$C$196+(($C8)-$A$6:$A$51)*'Cálculos'!$C$98)/(('Cálculos'!$C$196+(($C8)-$A$6:$A$51)*'Cálculos'!$C$98)+1400)+'Cálculos'!$C$123)*'Cálculos'!$C$219)+('Cálculos'!$C$196+(($C8)-$A$6:$A$51)*'Cálculos'!$C$98)*('Cálculos'!$C$210+'Cálculos'!$C$124*(1+2.78*('Cálculos'!$C$196+(($C8)-$A$6:$A$51)*'Cálculos'!$C$98)/(('Cálculos'!$C$196+(($C8)-$A$6:$A$51)*'Cálculos'!$C$98)+1400)+'Cálculos'!$C$122)*'Cálculos'!$C$215+'Cálculos'!$C$125*(1+2.78*('Cálculos'!$C$196+(($C8)-$A$6:$A$51)*'Cálculos'!$C$98)/(('Cálculos'!$C$196+(($C8)-$A$6:$A$51)*'Cálculos'!$C$98)+1400)+'Cálculos'!$C$123)*'Cálculos'!$C$220)+('Cálculos'!$C$201*(1+'Cálculos'!$C$202+$A$6:$A$51*('Cálculos'!$C$290=2)*'Cálculos'!$C$101)+'Cálculos'!$C$203)*('Cálculos'!$C$211+'Cálculos'!$C$124*(1+2.78*('Cálculos'!$C$196+(($C8)-$A$6:$A$51)*'Cálculos'!$C$98)/(('Cálculos'!$C$196+(($C8)-$A$6:$A$51)*'Cálculos'!$C$98)+1400)+'Cálculos'!$C$122)*'Cálculos'!$C$216+'Cálculos'!$C$125*(1+2.78*('Cálculos'!$C$196+(($C8)-$A$6:$A$51)*'Cálculos'!$C$98)/(('Cálculos'!$C$196+(($C8)-$A$6:$A$51)*'Cálculos'!$C$98)+1400)+'Cálculos'!$C$123)*'Cálculos'!$C$221)+('Cálculos'!$C$204*(1+'Cálculos'!$C$205+$A$6:$A$51*('Cálculos'!$C$290=3)*'Cálculos'!$C$103)+'Cálculos'!$C$206)*('Cálculos'!$C$212+'Cálculos'!$C$124*(1+2.78*('Cálculos'!$C$196+(($C8)-$A$6:$A$51)*'Cálculos'!$C$98)/(('Cálculos'!$C$196+(($C8)-$A$6:$A$51)*'Cálculos'!$C$98)+1400)+'Cálculos'!$C$122)*'Cálculos'!$C$217+'Cálculos'!$C$125*(1+2.78*('Cálculos'!$C$196+(($C8)-$A$6:$A$51)*'Cálculos'!$C$98)/(('Cálculos'!$C$196+(($C8)-$A$6:$A$51)*'Cálculos'!$C$98)+1400)+'Cálculos'!$C$123)*'Cálculos'!$C$222)+('Cálculos'!$C$213+'Cálculos'!$C$124*(1+2.78*('Cálculos'!$C$196+(($C8)-$A$6:$A$51)*'Cálculos'!$C$98)/(('Cálculos'!$C$196+(($C8)-$A$6:$A$51)*'Cálculos'!$C$98)+1400)+'Cálculos'!$C$122)*'Cálculos'!$C$218+'Cálculos'!$C$125*(1+2.78*('Cálculos'!$C$196+(($C8)-$A$6:$A$51)*'Cálculos'!$C$98)/(('Cálculos'!$C$196+(($C8)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8)-$A$6:$A$51)*'Cálculos'!$C$98)/(('Cálculos'!$C$197+(($C8)-$A$6:$A$51)*'Cálculos'!$C$98)+1400)+'Cálculos'!$C$122)*'Cálculos'!$C$229+'Cálculos'!$C$125*(1+2.78*('Cálculos'!$C$197+(($C8)-$A$6:$A$51)*'Cálculos'!$C$98)/(('Cálculos'!$C$197+(($C8)-$A$6:$A$51)*'Cálculos'!$C$98)+1400)+'Cálculos'!$C$123)*'Cálculos'!$C$234)+('Cálculos'!$C$197+(($C8)-$A$6:$A$51)*'Cálculos'!$C$98)*('Cálculos'!$C$225+'Cálculos'!$C$124*(1+2.78*('Cálculos'!$C$197+(($C8)-$A$6:$A$51)*'Cálculos'!$C$98)/(('Cálculos'!$C$197+(($C8)-$A$6:$A$51)*'Cálculos'!$C$98)+1400)+'Cálculos'!$C$122)*'Cálculos'!$C$230+'Cálculos'!$C$125*(1+2.78*('Cálculos'!$C$197+(($C8)-$A$6:$A$51)*'Cálculos'!$C$98)/(('Cálculos'!$C$197+(($C8)-$A$6:$A$51)*'Cálculos'!$C$98)+1400)+'Cálculos'!$C$123)*'Cálculos'!$C$235)+('Cálculos'!$C$201*(1+'Cálculos'!$C$202+$A$6:$A$51*('Cálculos'!$C$290=2)*'Cálculos'!$C$101)+'Cálculos'!$C$203)*('Cálculos'!$C$226+'Cálculos'!$C$124*(1+2.78*('Cálculos'!$C$197+(($C8)-$A$6:$A$51)*'Cálculos'!$C$98)/(('Cálculos'!$C$197+(($C8)-$A$6:$A$51)*'Cálculos'!$C$98)+1400)+'Cálculos'!$C$122)*'Cálculos'!$C$231+'Cálculos'!$C$125*(1+2.78*('Cálculos'!$C$197+(($C8)-$A$6:$A$51)*'Cálculos'!$C$98)/(('Cálculos'!$C$197+(($C8)-$A$6:$A$51)*'Cálculos'!$C$98)+1400)+'Cálculos'!$C$123)*'Cálculos'!$C$236)+('Cálculos'!$C$204*(1+'Cálculos'!$C$205+$A$6:$A$51*('Cálculos'!$C$290=3)*'Cálculos'!$C$103)+'Cálculos'!$C$206)*('Cálculos'!$C$227+'Cálculos'!$C$124*(1+2.78*('Cálculos'!$C$197+(($C8)-$A$6:$A$51)*'Cálculos'!$C$98)/(('Cálculos'!$C$197+(($C8)-$A$6:$A$51)*'Cálculos'!$C$98)+1400)+'Cálculos'!$C$122)*'Cálculos'!$C$232+'Cálculos'!$C$125*(1+2.78*('Cálculos'!$C$197+(($C8)-$A$6:$A$51)*'Cálculos'!$C$98)/(('Cálculos'!$C$197+(($C8)-$A$6:$A$51)*'Cálculos'!$C$98)+1400)+'Cálculos'!$C$123)*'Cálculos'!$C$237)+('Cálculos'!$C$228+'Cálculos'!$C$124*(1+2.78*('Cálculos'!$C$197+(($C8)-$A$6:$A$51)*'Cálculos'!$C$98)/(('Cálculos'!$C$197+(($C8)-$A$6:$A$51)*'Cálculos'!$C$98)+1400)+'Cálculos'!$C$122)*'Cálculos'!$C$233+'Cálculos'!$C$125*(1+2.78*('Cálculos'!$C$197+(($C8)-$A$6:$A$51)*'Cálculos'!$C$98)/(('Cálculos'!$C$197+(($C8)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8)-$A$6:$A$51)*'Cálculos'!$C$98)/(('Cálculos'!$C$198+(($C8)-$A$6:$A$51)*'Cálculos'!$C$98)+1400)+'Cálculos'!$C$122)*'Cálculos'!$C$244+'Cálculos'!$C$125*(1+2.78*('Cálculos'!$C$198+(($C8)-$A$6:$A$51)*'Cálculos'!$C$98)/(('Cálculos'!$C$198+(($C8)-$A$6:$A$51)*'Cálculos'!$C$98)+1400)+'Cálculos'!$C$123)*'Cálculos'!$C$249)+('Cálculos'!$C$198+(($C8)-$A$6:$A$51)*'Cálculos'!$C$98)*('Cálculos'!$C$240+'Cálculos'!$C$124*(1+2.78*('Cálculos'!$C$198+(($C8)-$A$6:$A$51)*'Cálculos'!$C$98)/(('Cálculos'!$C$198+(($C8)-$A$6:$A$51)*'Cálculos'!$C$98)+1400)+'Cálculos'!$C$122)*'Cálculos'!$C$245+'Cálculos'!$C$125*(1+2.78*('Cálculos'!$C$198+(($C8)-$A$6:$A$51)*'Cálculos'!$C$98)/(('Cálculos'!$C$198+(($C8)-$A$6:$A$51)*'Cálculos'!$C$98)+1400)+'Cálculos'!$C$123)*'Cálculos'!$C$250)+('Cálculos'!$C$201*(1+'Cálculos'!$C$202+$A$6:$A$51*('Cálculos'!$C$290=2)*'Cálculos'!$C$101)+'Cálculos'!$C$203)*('Cálculos'!$C$241+'Cálculos'!$C$124*(1+2.78*('Cálculos'!$C$198+(($C8)-$A$6:$A$51)*'Cálculos'!$C$98)/(('Cálculos'!$C$198+(($C8)-$A$6:$A$51)*'Cálculos'!$C$98)+1400)+'Cálculos'!$C$122)*'Cálculos'!$C$246+'Cálculos'!$C$125*(1+2.78*('Cálculos'!$C$198+(($C8)-$A$6:$A$51)*'Cálculos'!$C$98)/(('Cálculos'!$C$198+(($C8)-$A$6:$A$51)*'Cálculos'!$C$98)+1400)+'Cálculos'!$C$123)*'Cálculos'!$C$251)+('Cálculos'!$C$204*(1+'Cálculos'!$C$205+$A$6:$A$51*('Cálculos'!$C$290=3)*'Cálculos'!$C$103)+'Cálculos'!$C$206)*('Cálculos'!$C$242+'Cálculos'!$C$124*(1+2.78*('Cálculos'!$C$198+(($C8)-$A$6:$A$51)*'Cálculos'!$C$98)/(('Cálculos'!$C$198+(($C8)-$A$6:$A$51)*'Cálculos'!$C$98)+1400)+'Cálculos'!$C$122)*'Cálculos'!$C$247+'Cálculos'!$C$125*(1+2.78*('Cálculos'!$C$198+(($C8)-$A$6:$A$51)*'Cálculos'!$C$98)/(('Cálculos'!$C$198+(($C8)-$A$6:$A$51)*'Cálculos'!$C$98)+1400)+'Cálculos'!$C$123)*'Cálculos'!$C$252)+('Cálculos'!$C$243+'Cálculos'!$C$124*(1+2.78*('Cálculos'!$C$198+(($C8)-$A$6:$A$51)*'Cálculos'!$C$98)/(('Cálculos'!$C$198+(($C8)-$A$6:$A$51)*'Cálculos'!$C$98)+1400)+'Cálculos'!$C$122)*'Cálculos'!$C$248+'Cálculos'!$C$125*(1+2.78*('Cálculos'!$C$198+(($C8)-$A$6:$A$51)*'Cálculos'!$C$98)/(('Cálculos'!$C$198+(($C8)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8)-$A$6:$A$51)*'Cálculos'!$C$98)/(('Cálculos'!$C$199+(($C8)-$A$6:$A$51)*'Cálculos'!$C$98)+1400)+'Cálculos'!$C$122)*'Cálculos'!$C$259+'Cálculos'!$C$125*(1+2.78*('Cálculos'!$C$199+(($C8)-$A$6:$A$51)*'Cálculos'!$C$98)/(('Cálculos'!$C$199+(($C8)-$A$6:$A$51)*'Cálculos'!$C$98)+1400)+'Cálculos'!$C$123)*'Cálculos'!$C$264)+('Cálculos'!$C$199+(($C8)-$A$6:$A$51)*'Cálculos'!$C$98)*('Cálculos'!$C$255+'Cálculos'!$C$124*(1+2.78*('Cálculos'!$C$199+(($C8)-$A$6:$A$51)*'Cálculos'!$C$98)/(('Cálculos'!$C$199+(($C8)-$A$6:$A$51)*'Cálculos'!$C$98)+1400)+'Cálculos'!$C$122)*'Cálculos'!$C$260+'Cálculos'!$C$125*(1+2.78*('Cálculos'!$C$199+(($C8)-$A$6:$A$51)*'Cálculos'!$C$98)/(('Cálculos'!$C$199+(($C8)-$A$6:$A$51)*'Cálculos'!$C$98)+1400)+'Cálculos'!$C$123)*'Cálculos'!$C$265)+('Cálculos'!$C$201*(1+'Cálculos'!$C$202+$A$6:$A$51*('Cálculos'!$C$290=2)*'Cálculos'!$C$101)+'Cálculos'!$C$203)*('Cálculos'!$C$256+'Cálculos'!$C$124*(1+2.78*('Cálculos'!$C$199+(($C8)-$A$6:$A$51)*'Cálculos'!$C$98)/(('Cálculos'!$C$199+(($C8)-$A$6:$A$51)*'Cálculos'!$C$98)+1400)+'Cálculos'!$C$122)*'Cálculos'!$C$261+'Cálculos'!$C$125*(1+2.78*('Cálculos'!$C$199+(($C8)-$A$6:$A$51)*'Cálculos'!$C$98)/(('Cálculos'!$C$199+(($C8)-$A$6:$A$51)*'Cálculos'!$C$98)+1400)+'Cálculos'!$C$123)*'Cálculos'!$C$266)+('Cálculos'!$C$204*(1+'Cálculos'!$C$205+$A$6:$A$51*('Cálculos'!$C$290=3)*'Cálculos'!$C$103)+'Cálculos'!$C$206)*('Cálculos'!$C$257+'Cálculos'!$C$124*(1+2.78*('Cálculos'!$C$199+(($C8)-$A$6:$A$51)*'Cálculos'!$C$98)/(('Cálculos'!$C$199+(($C8)-$A$6:$A$51)*'Cálculos'!$C$98)+1400)+'Cálculos'!$C$122)*'Cálculos'!$C$262+'Cálculos'!$C$125*(1+2.78*('Cálculos'!$C$199+(($C8)-$A$6:$A$51)*'Cálculos'!$C$98)/(('Cálculos'!$C$199+(($C8)-$A$6:$A$51)*'Cálculos'!$C$98)+1400)+'Cálculos'!$C$123)*'Cálculos'!$C$267)+('Cálculos'!$C$258+'Cálculos'!$C$124*(1+2.78*('Cálculos'!$C$199+(($C8)-$A$6:$A$51)*'Cálculos'!$C$98)/(('Cálculos'!$C$199+(($C8)-$A$6:$A$51)*'Cálculos'!$C$98)+1400)+'Cálculos'!$C$122)*'Cálculos'!$C$263+'Cálculos'!$C$125*(1+2.78*('Cálculos'!$C$199+(($C8)-$A$6:$A$51)*'Cálculos'!$C$98)/(('Cálculos'!$C$199+(($C8)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8)-$A$6:$A$51)*'Cálculos'!$C$98)/(('Cálculos'!$C$200+(($C8)-$A$6:$A$51)*'Cálculos'!$C$98)+1400)+'Cálculos'!$C$122)*'Cálculos'!$C$274+'Cálculos'!$C$125*(1+2.78*('Cálculos'!$C$200+(($C8)-$A$6:$A$51)*'Cálculos'!$C$98)/(('Cálculos'!$C$200+(($C8)-$A$6:$A$51)*'Cálculos'!$C$98)+1400)+'Cálculos'!$C$123)*'Cálculos'!$C$279)+('Cálculos'!$C$200+(($C8)-$A$6:$A$51)*'Cálculos'!$C$98)*('Cálculos'!$C$270+'Cálculos'!$C$124*(1+2.78*('Cálculos'!$C$200+(($C8)-$A$6:$A$51)*'Cálculos'!$C$98)/(('Cálculos'!$C$200+(($C8)-$A$6:$A$51)*'Cálculos'!$C$98)+1400)+'Cálculos'!$C$122)*'Cálculos'!$C$275+'Cálculos'!$C$125*(1+2.78*('Cálculos'!$C$200+(($C8)-$A$6:$A$51)*'Cálculos'!$C$98)/(('Cálculos'!$C$200+(($C8)-$A$6:$A$51)*'Cálculos'!$C$98)+1400)+'Cálculos'!$C$123)*'Cálculos'!$C$280)+('Cálculos'!$C$201*(1+'Cálculos'!$C$202+$A$6:$A$51*('Cálculos'!$C$290=2)*'Cálculos'!$C$101)+'Cálculos'!$C$203)*('Cálculos'!$C$271+'Cálculos'!$C$124*(1+2.78*('Cálculos'!$C$200+(($C8)-$A$6:$A$51)*'Cálculos'!$C$98)/(('Cálculos'!$C$200+(($C8)-$A$6:$A$51)*'Cálculos'!$C$98)+1400)+'Cálculos'!$C$122)*'Cálculos'!$C$276+'Cálculos'!$C$125*(1+2.78*('Cálculos'!$C$200+(($C8)-$A$6:$A$51)*'Cálculos'!$C$98)/(('Cálculos'!$C$200+(($C8)-$A$6:$A$51)*'Cálculos'!$C$98)+1400)+'Cálculos'!$C$123)*'Cálculos'!$C$281)+('Cálculos'!$C$204*(1+'Cálculos'!$C$205+$A$6:$A$51*('Cálculos'!$C$290=3)*'Cálculos'!$C$103)+'Cálculos'!$C$206)*('Cálculos'!$C$272+'Cálculos'!$C$124*(1+2.78*('Cálculos'!$C$200+(($C8)-$A$6:$A$51)*'Cálculos'!$C$98)/(('Cálculos'!$C$200+(($C8)-$A$6:$A$51)*'Cálculos'!$C$98)+1400)+'Cálculos'!$C$122)*'Cálculos'!$C$277+'Cálculos'!$C$125*(1+2.78*('Cálculos'!$C$200+(($C8)-$A$6:$A$51)*'Cálculos'!$C$98)/(('Cálculos'!$C$200+(($C8)-$A$6:$A$51)*'Cálculos'!$C$98)+1400)+'Cálculos'!$C$123)*'Cálculos'!$C$282)+('Cálculos'!$C$273+'Cálculos'!$C$124*(1+2.78*('Cálculos'!$C$200+(($C8)-$A$6:$A$51)*'Cálculos'!$C$98)/(('Cálculos'!$C$200+(($C8)-$A$6:$A$51)*'Cálculos'!$C$98)+1400)+'Cálculos'!$C$122)*'Cálculos'!$C$278+'Cálculos'!$C$125*(1+2.78*('Cálculos'!$C$200+(($C8)-$A$6:$A$51)*'Cálculos'!$C$98)/(('Cálculos'!$C$200+(($C8)-$A$6:$A$51)*'Cálculos'!$C$98)+1400)+'Cálculos'!$C$123)*'Cálculos'!$C$283)))))</f>
        <v>1257607.437</v>
      </c>
      <c r="E8" s="32">
        <f>IF(OR($C8&lt;0,'Cálculos'!$C$6=""),0,$B8*$D8)</f>
        <v>2987692.957</v>
      </c>
      <c r="F8" s="2"/>
      <c r="G8" s="30">
        <f>($A8&lt;=$B$53)*($A8&lt;='Cálculos'!$C$294)*(($B$53)-$A8&lt;='Cálculos'!$C$295)*(1+MIN(('Cálculos'!$C$207+$A8*'Cálculos'!$C$95),1)*('Cálculos'!$C$208+(($B$53)-$A8)*'Cálculos'!$C$96))</f>
        <v>3.015104</v>
      </c>
      <c r="H8" s="31">
        <f>IF($B$54&lt;0,0,($A8&lt;=$B$54)*($A8&lt;='Cálculos'!$C$301)*(($B$54)-$A8&lt;='Cálculos'!$C$297)*(('Cálculos'!$C$185*(1+'Cálculos'!$C$186+$A8*('Cálculos'!$C$290=1)*'Cálculos'!$C$97+'Cálculos'!$C$305)+'Cálculos'!$C$191)*('Cálculos'!$C$209+'Cálculos'!$C$124*(1+2.78*('Cálculos'!$C$196+(($B$54)-$A8)*'Cálculos'!$C$98)/(('Cálculos'!$C$196+(($B$54)-$A8)*'Cálculos'!$C$98)+1400)+'Cálculos'!$C$122)*'Cálculos'!$C$214+'Cálculos'!$C$125*(1+2.78*('Cálculos'!$C$196+(($B$54)-$A8)*'Cálculos'!$C$98)/(('Cálculos'!$C$196+(($B$54)-$A8)*'Cálculos'!$C$98)+1400)+'Cálculos'!$C$123)*'Cálculos'!$C$219)+('Cálculos'!$C$196+(($B$54)-$A8)*'Cálculos'!$C$98)*('Cálculos'!$C$210+'Cálculos'!$C$124*(1+2.78*('Cálculos'!$C$196+(($B$54)-$A8)*'Cálculos'!$C$98)/(('Cálculos'!$C$196+(($B$54)-$A8)*'Cálculos'!$C$98)+1400)+'Cálculos'!$C$122)*'Cálculos'!$C$215+'Cálculos'!$C$125*(1+2.78*('Cálculos'!$C$196+(($B$54)-$A8)*'Cálculos'!$C$98)/(('Cálculos'!$C$196+(($B$54)-$A8)*'Cálculos'!$C$98)+1400)+'Cálculos'!$C$123)*'Cálculos'!$C$220)+('Cálculos'!$C$201*(1+'Cálculos'!$C$202+$A8*('Cálculos'!$C$290=2)*'Cálculos'!$C$101)+'Cálculos'!$C$203)*('Cálculos'!$C$211+'Cálculos'!$C$124*(1+2.78*('Cálculos'!$C$196+(($B$54)-$A8)*'Cálculos'!$C$98)/(('Cálculos'!$C$196+(($B$54)-$A8)*'Cálculos'!$C$98)+1400)+'Cálculos'!$C$122)*'Cálculos'!$C$216+'Cálculos'!$C$125*(1+2.78*('Cálculos'!$C$196+(($B$54)-$A8)*'Cálculos'!$C$98)/(('Cálculos'!$C$196+(($B$54)-$A8)*'Cálculos'!$C$98)+1400)+'Cálculos'!$C$123)*'Cálculos'!$C$221)+('Cálculos'!$C$204*(1+'Cálculos'!$C$205+$A8*('Cálculos'!$C$290=3)*'Cálculos'!$C$103)+'Cálculos'!$C$206)*('Cálculos'!$C$212+'Cálculos'!$C$124*(1+2.78*('Cálculos'!$C$196+(($B$54)-$A8)*'Cálculos'!$C$98)/(('Cálculos'!$C$196+(($B$54)-$A8)*'Cálculos'!$C$98)+1400)+'Cálculos'!$C$122)*'Cálculos'!$C$217+'Cálculos'!$C$125*(1+2.78*('Cálculos'!$C$196+(($B$54)-$A8)*'Cálculos'!$C$98)/(('Cálculos'!$C$196+(($B$54)-$A8)*'Cálculos'!$C$98)+1400)+'Cálculos'!$C$123)*'Cálculos'!$C$222)+('Cálculos'!$C$213+'Cálculos'!$C$124*(1+2.78*('Cálculos'!$C$196+(($B$54)-$A8)*'Cálculos'!$C$98)/(('Cálculos'!$C$196+(($B$54)-$A8)*'Cálculos'!$C$98)+1400)+'Cálculos'!$C$122)*'Cálculos'!$C$218+'Cálculos'!$C$125*(1+2.78*('Cálculos'!$C$196+(($B$54)-$A8)*'Cálculos'!$C$98)/(('Cálculos'!$C$196+(($B$54)-$A8)*'Cálculos'!$C$98)+1400)+'Cálculos'!$C$123)*'Cálculos'!$C$223)+('Cálculos'!$C$185*(1+'Cálculos'!$C$187+$A8*('Cálculos'!$C$290=1)*'Cálculos'!$C$97+'Cálculos'!$C$305)+'Cálculos'!$C$192)*('Cálculos'!$C$224+'Cálculos'!$C$124*(1+2.78*('Cálculos'!$C$197+(($B$54)-$A8)*'Cálculos'!$C$98)/(('Cálculos'!$C$197+(($B$54)-$A8)*'Cálculos'!$C$98)+1400)+'Cálculos'!$C$122)*'Cálculos'!$C$229+'Cálculos'!$C$125*(1+2.78*('Cálculos'!$C$197+(($B$54)-$A8)*'Cálculos'!$C$98)/(('Cálculos'!$C$197+(($B$54)-$A8)*'Cálculos'!$C$98)+1400)+'Cálculos'!$C$123)*'Cálculos'!$C$234)+('Cálculos'!$C$197+(($B$54)-$A8)*'Cálculos'!$C$98)*('Cálculos'!$C$225+'Cálculos'!$C$124*(1+2.78*('Cálculos'!$C$197+(($B$54)-$A8)*'Cálculos'!$C$98)/(('Cálculos'!$C$197+(($B$54)-$A8)*'Cálculos'!$C$98)+1400)+'Cálculos'!$C$122)*'Cálculos'!$C$230+'Cálculos'!$C$125*(1+2.78*('Cálculos'!$C$197+(($B$54)-$A8)*'Cálculos'!$C$98)/(('Cálculos'!$C$197+(($B$54)-$A8)*'Cálculos'!$C$98)+1400)+'Cálculos'!$C$123)*'Cálculos'!$C$235)+('Cálculos'!$C$201*(1+'Cálculos'!$C$202+$A8*('Cálculos'!$C$290=2)*'Cálculos'!$C$101)+'Cálculos'!$C$203)*('Cálculos'!$C$226+'Cálculos'!$C$124*(1+2.78*('Cálculos'!$C$197+(($B$54)-$A8)*'Cálculos'!$C$98)/(('Cálculos'!$C$197+(($B$54)-$A8)*'Cálculos'!$C$98)+1400)+'Cálculos'!$C$122)*'Cálculos'!$C$231+'Cálculos'!$C$125*(1+2.78*('Cálculos'!$C$197+(($B$54)-$A8)*'Cálculos'!$C$98)/(('Cálculos'!$C$197+(($B$54)-$A8)*'Cálculos'!$C$98)+1400)+'Cálculos'!$C$123)*'Cálculos'!$C$236)+('Cálculos'!$C$204*(1+'Cálculos'!$C$205+$A8*('Cálculos'!$C$290=3)*'Cálculos'!$C$103)+'Cálculos'!$C$206)*('Cálculos'!$C$227+'Cálculos'!$C$124*(1+2.78*('Cálculos'!$C$197+(($B$54)-$A8)*'Cálculos'!$C$98)/(('Cálculos'!$C$197+(($B$54)-$A8)*'Cálculos'!$C$98)+1400)+'Cálculos'!$C$122)*'Cálculos'!$C$232+'Cálculos'!$C$125*(1+2.78*('Cálculos'!$C$197+(($B$54)-$A8)*'Cálculos'!$C$98)/(('Cálculos'!$C$197+(($B$54)-$A8)*'Cálculos'!$C$98)+1400)+'Cálculos'!$C$123)*'Cálculos'!$C$237)+('Cálculos'!$C$228+'Cálculos'!$C$124*(1+2.78*('Cálculos'!$C$197+(($B$54)-$A8)*'Cálculos'!$C$98)/(('Cálculos'!$C$197+(($B$54)-$A8)*'Cálculos'!$C$98)+1400)+'Cálculos'!$C$122)*'Cálculos'!$C$233+'Cálculos'!$C$125*(1+2.78*('Cálculos'!$C$197+(($B$54)-$A8)*'Cálculos'!$C$98)/(('Cálculos'!$C$197+(($B$54)-$A8)*'Cálculos'!$C$98)+1400)+'Cálculos'!$C$123)*'Cálculos'!$C$238)+('Cálculos'!$C$185*(1+'Cálculos'!$C$188+$A8*('Cálculos'!$C$290=1)*'Cálculos'!$C$97+'Cálculos'!$C$305)+'Cálculos'!$C$193)*('Cálculos'!$C$239+'Cálculos'!$C$124*(1+2.78*('Cálculos'!$C$198+(($B$54)-$A8)*'Cálculos'!$C$98)/(('Cálculos'!$C$198+(($B$54)-$A8)*'Cálculos'!$C$98)+1400)+'Cálculos'!$C$122)*'Cálculos'!$C$244+'Cálculos'!$C$125*(1+2.78*('Cálculos'!$C$198+(($B$54)-$A8)*'Cálculos'!$C$98)/(('Cálculos'!$C$198+(($B$54)-$A8)*'Cálculos'!$C$98)+1400)+'Cálculos'!$C$123)*'Cálculos'!$C$249)+('Cálculos'!$C$198+(($B$54)-$A8)*'Cálculos'!$C$98)*('Cálculos'!$C$240+'Cálculos'!$C$124*(1+2.78*('Cálculos'!$C$198+(($B$54)-$A8)*'Cálculos'!$C$98)/(('Cálculos'!$C$198+(($B$54)-$A8)*'Cálculos'!$C$98)+1400)+'Cálculos'!$C$122)*'Cálculos'!$C$245+'Cálculos'!$C$125*(1+2.78*('Cálculos'!$C$198+(($B$54)-$A8)*'Cálculos'!$C$98)/(('Cálculos'!$C$198+(($B$54)-$A8)*'Cálculos'!$C$98)+1400)+'Cálculos'!$C$123)*'Cálculos'!$C$250)+('Cálculos'!$C$201*(1+'Cálculos'!$C$202+$A8*('Cálculos'!$C$290=2)*'Cálculos'!$C$101)+'Cálculos'!$C$203)*('Cálculos'!$C$241+'Cálculos'!$C$124*(1+2.78*('Cálculos'!$C$198+(($B$54)-$A8)*'Cálculos'!$C$98)/(('Cálculos'!$C$198+(($B$54)-$A8)*'Cálculos'!$C$98)+1400)+'Cálculos'!$C$122)*'Cálculos'!$C$246+'Cálculos'!$C$125*(1+2.78*('Cálculos'!$C$198+(($B$54)-$A8)*'Cálculos'!$C$98)/(('Cálculos'!$C$198+(($B$54)-$A8)*'Cálculos'!$C$98)+1400)+'Cálculos'!$C$123)*'Cálculos'!$C$251)+('Cálculos'!$C$204*(1+'Cálculos'!$C$205+$A8*('Cálculos'!$C$290=3)*'Cálculos'!$C$103)+'Cálculos'!$C$206)*('Cálculos'!$C$242+'Cálculos'!$C$124*(1+2.78*('Cálculos'!$C$198+(($B$54)-$A8)*'Cálculos'!$C$98)/(('Cálculos'!$C$198+(($B$54)-$A8)*'Cálculos'!$C$98)+1400)+'Cálculos'!$C$122)*'Cálculos'!$C$247+'Cálculos'!$C$125*(1+2.78*('Cálculos'!$C$198+(($B$54)-$A8)*'Cálculos'!$C$98)/(('Cálculos'!$C$198+(($B$54)-$A8)*'Cálculos'!$C$98)+1400)+'Cálculos'!$C$123)*'Cálculos'!$C$252)+('Cálculos'!$C$243+'Cálculos'!$C$124*(1+2.78*('Cálculos'!$C$198+(($B$54)-$A8)*'Cálculos'!$C$98)/(('Cálculos'!$C$198+(($B$54)-$A8)*'Cálculos'!$C$98)+1400)+'Cálculos'!$C$122)*'Cálculos'!$C$248+'Cálculos'!$C$125*(1+2.78*('Cálculos'!$C$198+(($B$54)-$A8)*'Cálculos'!$C$98)/(('Cálculos'!$C$198+(($B$54)-$A8)*'Cálculos'!$C$98)+1400)+'Cálculos'!$C$123)*'Cálculos'!$C$253)+('Cálculos'!$C$185*(1+'Cálculos'!$C$189+$A8*('Cálculos'!$C$290=1)*'Cálculos'!$C$97+'Cálculos'!$C$305)+'Cálculos'!$C$194)*('Cálculos'!$C$254+'Cálculos'!$C$124*(1+2.78*('Cálculos'!$C$199+(($B$54)-$A8)*'Cálculos'!$C$98)/(('Cálculos'!$C$199+(($B$54)-$A8)*'Cálculos'!$C$98)+1400)+'Cálculos'!$C$122)*'Cálculos'!$C$259+'Cálculos'!$C$125*(1+2.78*('Cálculos'!$C$199+(($B$54)-$A8)*'Cálculos'!$C$98)/(('Cálculos'!$C$199+(($B$54)-$A8)*'Cálculos'!$C$98)+1400)+'Cálculos'!$C$123)*'Cálculos'!$C$264)+('Cálculos'!$C$199+(($B$54)-$A8)*'Cálculos'!$C$98)*('Cálculos'!$C$255+'Cálculos'!$C$124*(1+2.78*('Cálculos'!$C$199+(($B$54)-$A8)*'Cálculos'!$C$98)/(('Cálculos'!$C$199+(($B$54)-$A8)*'Cálculos'!$C$98)+1400)+'Cálculos'!$C$122)*'Cálculos'!$C$260+'Cálculos'!$C$125*(1+2.78*('Cálculos'!$C$199+(($B$54)-$A8)*'Cálculos'!$C$98)/(('Cálculos'!$C$199+(($B$54)-$A8)*'Cálculos'!$C$98)+1400)+'Cálculos'!$C$123)*'Cálculos'!$C$265)+('Cálculos'!$C$201*(1+'Cálculos'!$C$202+$A8*('Cálculos'!$C$290=2)*'Cálculos'!$C$101)+'Cálculos'!$C$203)*('Cálculos'!$C$256+'Cálculos'!$C$124*(1+2.78*('Cálculos'!$C$199+(($B$54)-$A8)*'Cálculos'!$C$98)/(('Cálculos'!$C$199+(($B$54)-$A8)*'Cálculos'!$C$98)+1400)+'Cálculos'!$C$122)*'Cálculos'!$C$261+'Cálculos'!$C$125*(1+2.78*('Cálculos'!$C$199+(($B$54)-$A8)*'Cálculos'!$C$98)/(('Cálculos'!$C$199+(($B$54)-$A8)*'Cálculos'!$C$98)+1400)+'Cálculos'!$C$123)*'Cálculos'!$C$266)+('Cálculos'!$C$204*(1+'Cálculos'!$C$205+$A8*('Cálculos'!$C$290=3)*'Cálculos'!$C$103)+'Cálculos'!$C$206)*('Cálculos'!$C$257+'Cálculos'!$C$124*(1+2.78*('Cálculos'!$C$199+(($B$54)-$A8)*'Cálculos'!$C$98)/(('Cálculos'!$C$199+(($B$54)-$A8)*'Cálculos'!$C$98)+1400)+'Cálculos'!$C$122)*'Cálculos'!$C$262+'Cálculos'!$C$125*(1+2.78*('Cálculos'!$C$199+(($B$54)-$A8)*'Cálculos'!$C$98)/(('Cálculos'!$C$199+(($B$54)-$A8)*'Cálculos'!$C$98)+1400)+'Cálculos'!$C$123)*'Cálculos'!$C$267)+('Cálculos'!$C$258+'Cálculos'!$C$124*(1+2.78*('Cálculos'!$C$199+(($B$54)-$A8)*'Cálculos'!$C$98)/(('Cálculos'!$C$199+(($B$54)-$A8)*'Cálculos'!$C$98)+1400)+'Cálculos'!$C$122)*'Cálculos'!$C$263+'Cálculos'!$C$125*(1+2.78*('Cálculos'!$C$199+(($B$54)-$A8)*'Cálculos'!$C$98)/(('Cálculos'!$C$199+(($B$54)-$A8)*'Cálculos'!$C$98)+1400)+'Cálculos'!$C$123)*'Cálculos'!$C$268)+('Cálculos'!$C$185*(1+'Cálculos'!$C$190+$A8*('Cálculos'!$C$290=1)*'Cálculos'!$C$97+'Cálculos'!$C$305)+'Cálculos'!$C$195)*('Cálculos'!$C$269+'Cálculos'!$C$124*(1+2.78*('Cálculos'!$C$200+(($B$54)-$A8)*'Cálculos'!$C$98)/(('Cálculos'!$C$200+(($B$54)-$A8)*'Cálculos'!$C$98)+1400)+'Cálculos'!$C$122)*'Cálculos'!$C$274+'Cálculos'!$C$125*(1+2.78*('Cálculos'!$C$200+(($B$54)-$A8)*'Cálculos'!$C$98)/(('Cálculos'!$C$200+(($B$54)-$A8)*'Cálculos'!$C$98)+1400)+'Cálculos'!$C$123)*'Cálculos'!$C$279)+('Cálculos'!$C$200+(($B$54)-$A8)*'Cálculos'!$C$98)*('Cálculos'!$C$270+'Cálculos'!$C$124*(1+2.78*('Cálculos'!$C$200+(($B$54)-$A8)*'Cálculos'!$C$98)/(('Cálculos'!$C$200+(($B$54)-$A8)*'Cálculos'!$C$98)+1400)+'Cálculos'!$C$122)*'Cálculos'!$C$275+'Cálculos'!$C$125*(1+2.78*('Cálculos'!$C$200+(($B$54)-$A8)*'Cálculos'!$C$98)/(('Cálculos'!$C$200+(($B$54)-$A8)*'Cálculos'!$C$98)+1400)+'Cálculos'!$C$123)*'Cálculos'!$C$280)+('Cálculos'!$C$201*(1+'Cálculos'!$C$202+$A8*('Cálculos'!$C$290=2)*'Cálculos'!$C$101)+'Cálculos'!$C$203)*('Cálculos'!$C$271+'Cálculos'!$C$124*(1+2.78*('Cálculos'!$C$200+(($B$54)-$A8)*'Cálculos'!$C$98)/(('Cálculos'!$C$200+(($B$54)-$A8)*'Cálculos'!$C$98)+1400)+'Cálculos'!$C$122)*'Cálculos'!$C$276+'Cálculos'!$C$125*(1+2.78*('Cálculos'!$C$200+(($B$54)-$A8)*'Cálculos'!$C$98)/(('Cálculos'!$C$200+(($B$54)-$A8)*'Cálculos'!$C$98)+1400)+'Cálculos'!$C$123)*'Cálculos'!$C$281)+('Cálculos'!$C$204*(1+'Cálculos'!$C$205+$A8*('Cálculos'!$C$290=3)*'Cálculos'!$C$103)+'Cálculos'!$C$206)*('Cálculos'!$C$272+'Cálculos'!$C$124*(1+2.78*('Cálculos'!$C$200+(($B$54)-$A8)*'Cálculos'!$C$98)/(('Cálculos'!$C$200+(($B$54)-$A8)*'Cálculos'!$C$98)+1400)+'Cálculos'!$C$122)*'Cálculos'!$C$277+'Cálculos'!$C$125*(1+2.78*('Cálculos'!$C$200+(($B$54)-$A8)*'Cálculos'!$C$98)/(('Cálculos'!$C$200+(($B$54)-$A8)*'Cálculos'!$C$98)+1400)+'Cálculos'!$C$123)*'Cálculos'!$C$282)+('Cálculos'!$C$273+'Cálculos'!$C$124*(1+2.78*('Cálculos'!$C$200+(($B$54)-$A8)*'Cálculos'!$C$98)/(('Cálculos'!$C$200+(($B$54)-$A8)*'Cálculos'!$C$98)+1400)+'Cálculos'!$C$122)*'Cálculos'!$C$278+'Cálculos'!$C$125*(1+2.78*('Cálculos'!$C$200+(($B$54)-$A8)*'Cálculos'!$C$98)/(('Cálculos'!$C$200+(($B$54)-$A8)*'Cálculos'!$C$98)+1400)+'Cálculos'!$C$123)*'Cálculos'!$C$283)))</f>
        <v>1092283.108</v>
      </c>
    </row>
    <row r="9">
      <c r="A9" s="2">
        <v>3.0</v>
      </c>
      <c r="B9" s="30">
        <f>SUMPRODUCT(MAX(($A$6:$A$51&lt;=$A9)*($A$6:$A$51&lt;='Cálculos'!$C$294)*(($A9)-$A$6:$A$51&lt;='Cálculos'!$C$295)*(1+(('Cálculos'!$C$207+$A$6:$A$51*'Cálculos'!$C$95)-(('Cálculos'!$C$207+$A$6:$A$51*'Cálculos'!$C$95)&gt;1)*(('Cálculos'!$C$207+$A$6:$A$51*'Cálculos'!$C$95)-1))*('Cálculos'!$C$208+(($A9)-$A$6:$A$51)*'Cálculos'!$C$96))))</f>
        <v>2.4413</v>
      </c>
      <c r="C9" s="2">
        <f>'Cálculos'!$C$303-$A9</f>
        <v>17</v>
      </c>
      <c r="D9" s="31">
        <f>IF($C9&lt;0,0,SUMPRODUCT(MAX(($A$6:$A$51&lt;=$C9)*($A$6:$A$51&lt;='Cálculos'!$C$301)*(($C9)-$A$6:$A$51&lt;='Cálculos'!$C$297)*(('Cálculos'!$C$185*(1+'Cálculos'!$C$186+$A$6:$A$51*('Cálculos'!$C$290=1)*'Cálculos'!$C$97+'Cálculos'!$C$305)+'Cálculos'!$C$191)*('Cálculos'!$C$209+'Cálculos'!$C$124*(1+2.78*('Cálculos'!$C$196+(($C9)-$A$6:$A$51)*'Cálculos'!$C$98)/(('Cálculos'!$C$196+(($C9)-$A$6:$A$51)*'Cálculos'!$C$98)+1400)+'Cálculos'!$C$122)*'Cálculos'!$C$214+'Cálculos'!$C$125*(1+2.78*('Cálculos'!$C$196+(($C9)-$A$6:$A$51)*'Cálculos'!$C$98)/(('Cálculos'!$C$196+(($C9)-$A$6:$A$51)*'Cálculos'!$C$98)+1400)+'Cálculos'!$C$123)*'Cálculos'!$C$219)+('Cálculos'!$C$196+(($C9)-$A$6:$A$51)*'Cálculos'!$C$98)*('Cálculos'!$C$210+'Cálculos'!$C$124*(1+2.78*('Cálculos'!$C$196+(($C9)-$A$6:$A$51)*'Cálculos'!$C$98)/(('Cálculos'!$C$196+(($C9)-$A$6:$A$51)*'Cálculos'!$C$98)+1400)+'Cálculos'!$C$122)*'Cálculos'!$C$215+'Cálculos'!$C$125*(1+2.78*('Cálculos'!$C$196+(($C9)-$A$6:$A$51)*'Cálculos'!$C$98)/(('Cálculos'!$C$196+(($C9)-$A$6:$A$51)*'Cálculos'!$C$98)+1400)+'Cálculos'!$C$123)*'Cálculos'!$C$220)+('Cálculos'!$C$201*(1+'Cálculos'!$C$202+$A$6:$A$51*('Cálculos'!$C$290=2)*'Cálculos'!$C$101)+'Cálculos'!$C$203)*('Cálculos'!$C$211+'Cálculos'!$C$124*(1+2.78*('Cálculos'!$C$196+(($C9)-$A$6:$A$51)*'Cálculos'!$C$98)/(('Cálculos'!$C$196+(($C9)-$A$6:$A$51)*'Cálculos'!$C$98)+1400)+'Cálculos'!$C$122)*'Cálculos'!$C$216+'Cálculos'!$C$125*(1+2.78*('Cálculos'!$C$196+(($C9)-$A$6:$A$51)*'Cálculos'!$C$98)/(('Cálculos'!$C$196+(($C9)-$A$6:$A$51)*'Cálculos'!$C$98)+1400)+'Cálculos'!$C$123)*'Cálculos'!$C$221)+('Cálculos'!$C$204*(1+'Cálculos'!$C$205+$A$6:$A$51*('Cálculos'!$C$290=3)*'Cálculos'!$C$103)+'Cálculos'!$C$206)*('Cálculos'!$C$212+'Cálculos'!$C$124*(1+2.78*('Cálculos'!$C$196+(($C9)-$A$6:$A$51)*'Cálculos'!$C$98)/(('Cálculos'!$C$196+(($C9)-$A$6:$A$51)*'Cálculos'!$C$98)+1400)+'Cálculos'!$C$122)*'Cálculos'!$C$217+'Cálculos'!$C$125*(1+2.78*('Cálculos'!$C$196+(($C9)-$A$6:$A$51)*'Cálculos'!$C$98)/(('Cálculos'!$C$196+(($C9)-$A$6:$A$51)*'Cálculos'!$C$98)+1400)+'Cálculos'!$C$123)*'Cálculos'!$C$222)+('Cálculos'!$C$213+'Cálculos'!$C$124*(1+2.78*('Cálculos'!$C$196+(($C9)-$A$6:$A$51)*'Cálculos'!$C$98)/(('Cálculos'!$C$196+(($C9)-$A$6:$A$51)*'Cálculos'!$C$98)+1400)+'Cálculos'!$C$122)*'Cálculos'!$C$218+'Cálculos'!$C$125*(1+2.78*('Cálculos'!$C$196+(($C9)-$A$6:$A$51)*'Cálculos'!$C$98)/(('Cálculos'!$C$196+(($C9)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9)-$A$6:$A$51)*'Cálculos'!$C$98)/(('Cálculos'!$C$197+(($C9)-$A$6:$A$51)*'Cálculos'!$C$98)+1400)+'Cálculos'!$C$122)*'Cálculos'!$C$229+'Cálculos'!$C$125*(1+2.78*('Cálculos'!$C$197+(($C9)-$A$6:$A$51)*'Cálculos'!$C$98)/(('Cálculos'!$C$197+(($C9)-$A$6:$A$51)*'Cálculos'!$C$98)+1400)+'Cálculos'!$C$123)*'Cálculos'!$C$234)+('Cálculos'!$C$197+(($C9)-$A$6:$A$51)*'Cálculos'!$C$98)*('Cálculos'!$C$225+'Cálculos'!$C$124*(1+2.78*('Cálculos'!$C$197+(($C9)-$A$6:$A$51)*'Cálculos'!$C$98)/(('Cálculos'!$C$197+(($C9)-$A$6:$A$51)*'Cálculos'!$C$98)+1400)+'Cálculos'!$C$122)*'Cálculos'!$C$230+'Cálculos'!$C$125*(1+2.78*('Cálculos'!$C$197+(($C9)-$A$6:$A$51)*'Cálculos'!$C$98)/(('Cálculos'!$C$197+(($C9)-$A$6:$A$51)*'Cálculos'!$C$98)+1400)+'Cálculos'!$C$123)*'Cálculos'!$C$235)+('Cálculos'!$C$201*(1+'Cálculos'!$C$202+$A$6:$A$51*('Cálculos'!$C$290=2)*'Cálculos'!$C$101)+'Cálculos'!$C$203)*('Cálculos'!$C$226+'Cálculos'!$C$124*(1+2.78*('Cálculos'!$C$197+(($C9)-$A$6:$A$51)*'Cálculos'!$C$98)/(('Cálculos'!$C$197+(($C9)-$A$6:$A$51)*'Cálculos'!$C$98)+1400)+'Cálculos'!$C$122)*'Cálculos'!$C$231+'Cálculos'!$C$125*(1+2.78*('Cálculos'!$C$197+(($C9)-$A$6:$A$51)*'Cálculos'!$C$98)/(('Cálculos'!$C$197+(($C9)-$A$6:$A$51)*'Cálculos'!$C$98)+1400)+'Cálculos'!$C$123)*'Cálculos'!$C$236)+('Cálculos'!$C$204*(1+'Cálculos'!$C$205+$A$6:$A$51*('Cálculos'!$C$290=3)*'Cálculos'!$C$103)+'Cálculos'!$C$206)*('Cálculos'!$C$227+'Cálculos'!$C$124*(1+2.78*('Cálculos'!$C$197+(($C9)-$A$6:$A$51)*'Cálculos'!$C$98)/(('Cálculos'!$C$197+(($C9)-$A$6:$A$51)*'Cálculos'!$C$98)+1400)+'Cálculos'!$C$122)*'Cálculos'!$C$232+'Cálculos'!$C$125*(1+2.78*('Cálculos'!$C$197+(($C9)-$A$6:$A$51)*'Cálculos'!$C$98)/(('Cálculos'!$C$197+(($C9)-$A$6:$A$51)*'Cálculos'!$C$98)+1400)+'Cálculos'!$C$123)*'Cálculos'!$C$237)+('Cálculos'!$C$228+'Cálculos'!$C$124*(1+2.78*('Cálculos'!$C$197+(($C9)-$A$6:$A$51)*'Cálculos'!$C$98)/(('Cálculos'!$C$197+(($C9)-$A$6:$A$51)*'Cálculos'!$C$98)+1400)+'Cálculos'!$C$122)*'Cálculos'!$C$233+'Cálculos'!$C$125*(1+2.78*('Cálculos'!$C$197+(($C9)-$A$6:$A$51)*'Cálculos'!$C$98)/(('Cálculos'!$C$197+(($C9)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9)-$A$6:$A$51)*'Cálculos'!$C$98)/(('Cálculos'!$C$198+(($C9)-$A$6:$A$51)*'Cálculos'!$C$98)+1400)+'Cálculos'!$C$122)*'Cálculos'!$C$244+'Cálculos'!$C$125*(1+2.78*('Cálculos'!$C$198+(($C9)-$A$6:$A$51)*'Cálculos'!$C$98)/(('Cálculos'!$C$198+(($C9)-$A$6:$A$51)*'Cálculos'!$C$98)+1400)+'Cálculos'!$C$123)*'Cálculos'!$C$249)+('Cálculos'!$C$198+(($C9)-$A$6:$A$51)*'Cálculos'!$C$98)*('Cálculos'!$C$240+'Cálculos'!$C$124*(1+2.78*('Cálculos'!$C$198+(($C9)-$A$6:$A$51)*'Cálculos'!$C$98)/(('Cálculos'!$C$198+(($C9)-$A$6:$A$51)*'Cálculos'!$C$98)+1400)+'Cálculos'!$C$122)*'Cálculos'!$C$245+'Cálculos'!$C$125*(1+2.78*('Cálculos'!$C$198+(($C9)-$A$6:$A$51)*'Cálculos'!$C$98)/(('Cálculos'!$C$198+(($C9)-$A$6:$A$51)*'Cálculos'!$C$98)+1400)+'Cálculos'!$C$123)*'Cálculos'!$C$250)+('Cálculos'!$C$201*(1+'Cálculos'!$C$202+$A$6:$A$51*('Cálculos'!$C$290=2)*'Cálculos'!$C$101)+'Cálculos'!$C$203)*('Cálculos'!$C$241+'Cálculos'!$C$124*(1+2.78*('Cálculos'!$C$198+(($C9)-$A$6:$A$51)*'Cálculos'!$C$98)/(('Cálculos'!$C$198+(($C9)-$A$6:$A$51)*'Cálculos'!$C$98)+1400)+'Cálculos'!$C$122)*'Cálculos'!$C$246+'Cálculos'!$C$125*(1+2.78*('Cálculos'!$C$198+(($C9)-$A$6:$A$51)*'Cálculos'!$C$98)/(('Cálculos'!$C$198+(($C9)-$A$6:$A$51)*'Cálculos'!$C$98)+1400)+'Cálculos'!$C$123)*'Cálculos'!$C$251)+('Cálculos'!$C$204*(1+'Cálculos'!$C$205+$A$6:$A$51*('Cálculos'!$C$290=3)*'Cálculos'!$C$103)+'Cálculos'!$C$206)*('Cálculos'!$C$242+'Cálculos'!$C$124*(1+2.78*('Cálculos'!$C$198+(($C9)-$A$6:$A$51)*'Cálculos'!$C$98)/(('Cálculos'!$C$198+(($C9)-$A$6:$A$51)*'Cálculos'!$C$98)+1400)+'Cálculos'!$C$122)*'Cálculos'!$C$247+'Cálculos'!$C$125*(1+2.78*('Cálculos'!$C$198+(($C9)-$A$6:$A$51)*'Cálculos'!$C$98)/(('Cálculos'!$C$198+(($C9)-$A$6:$A$51)*'Cálculos'!$C$98)+1400)+'Cálculos'!$C$123)*'Cálculos'!$C$252)+('Cálculos'!$C$243+'Cálculos'!$C$124*(1+2.78*('Cálculos'!$C$198+(($C9)-$A$6:$A$51)*'Cálculos'!$C$98)/(('Cálculos'!$C$198+(($C9)-$A$6:$A$51)*'Cálculos'!$C$98)+1400)+'Cálculos'!$C$122)*'Cálculos'!$C$248+'Cálculos'!$C$125*(1+2.78*('Cálculos'!$C$198+(($C9)-$A$6:$A$51)*'Cálculos'!$C$98)/(('Cálculos'!$C$198+(($C9)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9)-$A$6:$A$51)*'Cálculos'!$C$98)/(('Cálculos'!$C$199+(($C9)-$A$6:$A$51)*'Cálculos'!$C$98)+1400)+'Cálculos'!$C$122)*'Cálculos'!$C$259+'Cálculos'!$C$125*(1+2.78*('Cálculos'!$C$199+(($C9)-$A$6:$A$51)*'Cálculos'!$C$98)/(('Cálculos'!$C$199+(($C9)-$A$6:$A$51)*'Cálculos'!$C$98)+1400)+'Cálculos'!$C$123)*'Cálculos'!$C$264)+('Cálculos'!$C$199+(($C9)-$A$6:$A$51)*'Cálculos'!$C$98)*('Cálculos'!$C$255+'Cálculos'!$C$124*(1+2.78*('Cálculos'!$C$199+(($C9)-$A$6:$A$51)*'Cálculos'!$C$98)/(('Cálculos'!$C$199+(($C9)-$A$6:$A$51)*'Cálculos'!$C$98)+1400)+'Cálculos'!$C$122)*'Cálculos'!$C$260+'Cálculos'!$C$125*(1+2.78*('Cálculos'!$C$199+(($C9)-$A$6:$A$51)*'Cálculos'!$C$98)/(('Cálculos'!$C$199+(($C9)-$A$6:$A$51)*'Cálculos'!$C$98)+1400)+'Cálculos'!$C$123)*'Cálculos'!$C$265)+('Cálculos'!$C$201*(1+'Cálculos'!$C$202+$A$6:$A$51*('Cálculos'!$C$290=2)*'Cálculos'!$C$101)+'Cálculos'!$C$203)*('Cálculos'!$C$256+'Cálculos'!$C$124*(1+2.78*('Cálculos'!$C$199+(($C9)-$A$6:$A$51)*'Cálculos'!$C$98)/(('Cálculos'!$C$199+(($C9)-$A$6:$A$51)*'Cálculos'!$C$98)+1400)+'Cálculos'!$C$122)*'Cálculos'!$C$261+'Cálculos'!$C$125*(1+2.78*('Cálculos'!$C$199+(($C9)-$A$6:$A$51)*'Cálculos'!$C$98)/(('Cálculos'!$C$199+(($C9)-$A$6:$A$51)*'Cálculos'!$C$98)+1400)+'Cálculos'!$C$123)*'Cálculos'!$C$266)+('Cálculos'!$C$204*(1+'Cálculos'!$C$205+$A$6:$A$51*('Cálculos'!$C$290=3)*'Cálculos'!$C$103)+'Cálculos'!$C$206)*('Cálculos'!$C$257+'Cálculos'!$C$124*(1+2.78*('Cálculos'!$C$199+(($C9)-$A$6:$A$51)*'Cálculos'!$C$98)/(('Cálculos'!$C$199+(($C9)-$A$6:$A$51)*'Cálculos'!$C$98)+1400)+'Cálculos'!$C$122)*'Cálculos'!$C$262+'Cálculos'!$C$125*(1+2.78*('Cálculos'!$C$199+(($C9)-$A$6:$A$51)*'Cálculos'!$C$98)/(('Cálculos'!$C$199+(($C9)-$A$6:$A$51)*'Cálculos'!$C$98)+1400)+'Cálculos'!$C$123)*'Cálculos'!$C$267)+('Cálculos'!$C$258+'Cálculos'!$C$124*(1+2.78*('Cálculos'!$C$199+(($C9)-$A$6:$A$51)*'Cálculos'!$C$98)/(('Cálculos'!$C$199+(($C9)-$A$6:$A$51)*'Cálculos'!$C$98)+1400)+'Cálculos'!$C$122)*'Cálculos'!$C$263+'Cálculos'!$C$125*(1+2.78*('Cálculos'!$C$199+(($C9)-$A$6:$A$51)*'Cálculos'!$C$98)/(('Cálculos'!$C$199+(($C9)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9)-$A$6:$A$51)*'Cálculos'!$C$98)/(('Cálculos'!$C$200+(($C9)-$A$6:$A$51)*'Cálculos'!$C$98)+1400)+'Cálculos'!$C$122)*'Cálculos'!$C$274+'Cálculos'!$C$125*(1+2.78*('Cálculos'!$C$200+(($C9)-$A$6:$A$51)*'Cálculos'!$C$98)/(('Cálculos'!$C$200+(($C9)-$A$6:$A$51)*'Cálculos'!$C$98)+1400)+'Cálculos'!$C$123)*'Cálculos'!$C$279)+('Cálculos'!$C$200+(($C9)-$A$6:$A$51)*'Cálculos'!$C$98)*('Cálculos'!$C$270+'Cálculos'!$C$124*(1+2.78*('Cálculos'!$C$200+(($C9)-$A$6:$A$51)*'Cálculos'!$C$98)/(('Cálculos'!$C$200+(($C9)-$A$6:$A$51)*'Cálculos'!$C$98)+1400)+'Cálculos'!$C$122)*'Cálculos'!$C$275+'Cálculos'!$C$125*(1+2.78*('Cálculos'!$C$200+(($C9)-$A$6:$A$51)*'Cálculos'!$C$98)/(('Cálculos'!$C$200+(($C9)-$A$6:$A$51)*'Cálculos'!$C$98)+1400)+'Cálculos'!$C$123)*'Cálculos'!$C$280)+('Cálculos'!$C$201*(1+'Cálculos'!$C$202+$A$6:$A$51*('Cálculos'!$C$290=2)*'Cálculos'!$C$101)+'Cálculos'!$C$203)*('Cálculos'!$C$271+'Cálculos'!$C$124*(1+2.78*('Cálculos'!$C$200+(($C9)-$A$6:$A$51)*'Cálculos'!$C$98)/(('Cálculos'!$C$200+(($C9)-$A$6:$A$51)*'Cálculos'!$C$98)+1400)+'Cálculos'!$C$122)*'Cálculos'!$C$276+'Cálculos'!$C$125*(1+2.78*('Cálculos'!$C$200+(($C9)-$A$6:$A$51)*'Cálculos'!$C$98)/(('Cálculos'!$C$200+(($C9)-$A$6:$A$51)*'Cálculos'!$C$98)+1400)+'Cálculos'!$C$123)*'Cálculos'!$C$281)+('Cálculos'!$C$204*(1+'Cálculos'!$C$205+$A$6:$A$51*('Cálculos'!$C$290=3)*'Cálculos'!$C$103)+'Cálculos'!$C$206)*('Cálculos'!$C$272+'Cálculos'!$C$124*(1+2.78*('Cálculos'!$C$200+(($C9)-$A$6:$A$51)*'Cálculos'!$C$98)/(('Cálculos'!$C$200+(($C9)-$A$6:$A$51)*'Cálculos'!$C$98)+1400)+'Cálculos'!$C$122)*'Cálculos'!$C$277+'Cálculos'!$C$125*(1+2.78*('Cálculos'!$C$200+(($C9)-$A$6:$A$51)*'Cálculos'!$C$98)/(('Cálculos'!$C$200+(($C9)-$A$6:$A$51)*'Cálculos'!$C$98)+1400)+'Cálculos'!$C$123)*'Cálculos'!$C$282)+('Cálculos'!$C$273+'Cálculos'!$C$124*(1+2.78*('Cálculos'!$C$200+(($C9)-$A$6:$A$51)*'Cálculos'!$C$98)/(('Cálculos'!$C$200+(($C9)-$A$6:$A$51)*'Cálculos'!$C$98)+1400)+'Cálculos'!$C$122)*'Cálculos'!$C$278+'Cálculos'!$C$125*(1+2.78*('Cálculos'!$C$200+(($C9)-$A$6:$A$51)*'Cálculos'!$C$98)/(('Cálculos'!$C$200+(($C9)-$A$6:$A$51)*'Cálculos'!$C$98)+1400)+'Cálculos'!$C$123)*'Cálculos'!$C$283)))))</f>
        <v>1246154.204</v>
      </c>
      <c r="E9" s="32">
        <f>IF(OR($C9&lt;0,'Cálculos'!$C$6=""),0,$B9*$D9)</f>
        <v>3042236.258</v>
      </c>
      <c r="F9" s="2"/>
      <c r="G9" s="30">
        <f>($A9&lt;=$B$53)*($A9&lt;='Cálculos'!$C$294)*(($B$53)-$A9&lt;='Cálculos'!$C$295)*(1+MIN(('Cálculos'!$C$207+$A9*'Cálculos'!$C$95),1)*('Cálculos'!$C$208+(($B$53)-$A9)*'Cálculos'!$C$96))</f>
        <v>3.06335</v>
      </c>
      <c r="H9" s="31">
        <f>IF($B$54&lt;0,0,($A9&lt;=$B$54)*($A9&lt;='Cálculos'!$C$301)*(($B$54)-$A9&lt;='Cálculos'!$C$297)*(('Cálculos'!$C$185*(1+'Cálculos'!$C$186+$A9*('Cálculos'!$C$290=1)*'Cálculos'!$C$97+'Cálculos'!$C$305)+'Cálculos'!$C$191)*('Cálculos'!$C$209+'Cálculos'!$C$124*(1+2.78*('Cálculos'!$C$196+(($B$54)-$A9)*'Cálculos'!$C$98)/(('Cálculos'!$C$196+(($B$54)-$A9)*'Cálculos'!$C$98)+1400)+'Cálculos'!$C$122)*'Cálculos'!$C$214+'Cálculos'!$C$125*(1+2.78*('Cálculos'!$C$196+(($B$54)-$A9)*'Cálculos'!$C$98)/(('Cálculos'!$C$196+(($B$54)-$A9)*'Cálculos'!$C$98)+1400)+'Cálculos'!$C$123)*'Cálculos'!$C$219)+('Cálculos'!$C$196+(($B$54)-$A9)*'Cálculos'!$C$98)*('Cálculos'!$C$210+'Cálculos'!$C$124*(1+2.78*('Cálculos'!$C$196+(($B$54)-$A9)*'Cálculos'!$C$98)/(('Cálculos'!$C$196+(($B$54)-$A9)*'Cálculos'!$C$98)+1400)+'Cálculos'!$C$122)*'Cálculos'!$C$215+'Cálculos'!$C$125*(1+2.78*('Cálculos'!$C$196+(($B$54)-$A9)*'Cálculos'!$C$98)/(('Cálculos'!$C$196+(($B$54)-$A9)*'Cálculos'!$C$98)+1400)+'Cálculos'!$C$123)*'Cálculos'!$C$220)+('Cálculos'!$C$201*(1+'Cálculos'!$C$202+$A9*('Cálculos'!$C$290=2)*'Cálculos'!$C$101)+'Cálculos'!$C$203)*('Cálculos'!$C$211+'Cálculos'!$C$124*(1+2.78*('Cálculos'!$C$196+(($B$54)-$A9)*'Cálculos'!$C$98)/(('Cálculos'!$C$196+(($B$54)-$A9)*'Cálculos'!$C$98)+1400)+'Cálculos'!$C$122)*'Cálculos'!$C$216+'Cálculos'!$C$125*(1+2.78*('Cálculos'!$C$196+(($B$54)-$A9)*'Cálculos'!$C$98)/(('Cálculos'!$C$196+(($B$54)-$A9)*'Cálculos'!$C$98)+1400)+'Cálculos'!$C$123)*'Cálculos'!$C$221)+('Cálculos'!$C$204*(1+'Cálculos'!$C$205+$A9*('Cálculos'!$C$290=3)*'Cálculos'!$C$103)+'Cálculos'!$C$206)*('Cálculos'!$C$212+'Cálculos'!$C$124*(1+2.78*('Cálculos'!$C$196+(($B$54)-$A9)*'Cálculos'!$C$98)/(('Cálculos'!$C$196+(($B$54)-$A9)*'Cálculos'!$C$98)+1400)+'Cálculos'!$C$122)*'Cálculos'!$C$217+'Cálculos'!$C$125*(1+2.78*('Cálculos'!$C$196+(($B$54)-$A9)*'Cálculos'!$C$98)/(('Cálculos'!$C$196+(($B$54)-$A9)*'Cálculos'!$C$98)+1400)+'Cálculos'!$C$123)*'Cálculos'!$C$222)+('Cálculos'!$C$213+'Cálculos'!$C$124*(1+2.78*('Cálculos'!$C$196+(($B$54)-$A9)*'Cálculos'!$C$98)/(('Cálculos'!$C$196+(($B$54)-$A9)*'Cálculos'!$C$98)+1400)+'Cálculos'!$C$122)*'Cálculos'!$C$218+'Cálculos'!$C$125*(1+2.78*('Cálculos'!$C$196+(($B$54)-$A9)*'Cálculos'!$C$98)/(('Cálculos'!$C$196+(($B$54)-$A9)*'Cálculos'!$C$98)+1400)+'Cálculos'!$C$123)*'Cálculos'!$C$223)+('Cálculos'!$C$185*(1+'Cálculos'!$C$187+$A9*('Cálculos'!$C$290=1)*'Cálculos'!$C$97+'Cálculos'!$C$305)+'Cálculos'!$C$192)*('Cálculos'!$C$224+'Cálculos'!$C$124*(1+2.78*('Cálculos'!$C$197+(($B$54)-$A9)*'Cálculos'!$C$98)/(('Cálculos'!$C$197+(($B$54)-$A9)*'Cálculos'!$C$98)+1400)+'Cálculos'!$C$122)*'Cálculos'!$C$229+'Cálculos'!$C$125*(1+2.78*('Cálculos'!$C$197+(($B$54)-$A9)*'Cálculos'!$C$98)/(('Cálculos'!$C$197+(($B$54)-$A9)*'Cálculos'!$C$98)+1400)+'Cálculos'!$C$123)*'Cálculos'!$C$234)+('Cálculos'!$C$197+(($B$54)-$A9)*'Cálculos'!$C$98)*('Cálculos'!$C$225+'Cálculos'!$C$124*(1+2.78*('Cálculos'!$C$197+(($B$54)-$A9)*'Cálculos'!$C$98)/(('Cálculos'!$C$197+(($B$54)-$A9)*'Cálculos'!$C$98)+1400)+'Cálculos'!$C$122)*'Cálculos'!$C$230+'Cálculos'!$C$125*(1+2.78*('Cálculos'!$C$197+(($B$54)-$A9)*'Cálculos'!$C$98)/(('Cálculos'!$C$197+(($B$54)-$A9)*'Cálculos'!$C$98)+1400)+'Cálculos'!$C$123)*'Cálculos'!$C$235)+('Cálculos'!$C$201*(1+'Cálculos'!$C$202+$A9*('Cálculos'!$C$290=2)*'Cálculos'!$C$101)+'Cálculos'!$C$203)*('Cálculos'!$C$226+'Cálculos'!$C$124*(1+2.78*('Cálculos'!$C$197+(($B$54)-$A9)*'Cálculos'!$C$98)/(('Cálculos'!$C$197+(($B$54)-$A9)*'Cálculos'!$C$98)+1400)+'Cálculos'!$C$122)*'Cálculos'!$C$231+'Cálculos'!$C$125*(1+2.78*('Cálculos'!$C$197+(($B$54)-$A9)*'Cálculos'!$C$98)/(('Cálculos'!$C$197+(($B$54)-$A9)*'Cálculos'!$C$98)+1400)+'Cálculos'!$C$123)*'Cálculos'!$C$236)+('Cálculos'!$C$204*(1+'Cálculos'!$C$205+$A9*('Cálculos'!$C$290=3)*'Cálculos'!$C$103)+'Cálculos'!$C$206)*('Cálculos'!$C$227+'Cálculos'!$C$124*(1+2.78*('Cálculos'!$C$197+(($B$54)-$A9)*'Cálculos'!$C$98)/(('Cálculos'!$C$197+(($B$54)-$A9)*'Cálculos'!$C$98)+1400)+'Cálculos'!$C$122)*'Cálculos'!$C$232+'Cálculos'!$C$125*(1+2.78*('Cálculos'!$C$197+(($B$54)-$A9)*'Cálculos'!$C$98)/(('Cálculos'!$C$197+(($B$54)-$A9)*'Cálculos'!$C$98)+1400)+'Cálculos'!$C$123)*'Cálculos'!$C$237)+('Cálculos'!$C$228+'Cálculos'!$C$124*(1+2.78*('Cálculos'!$C$197+(($B$54)-$A9)*'Cálculos'!$C$98)/(('Cálculos'!$C$197+(($B$54)-$A9)*'Cálculos'!$C$98)+1400)+'Cálculos'!$C$122)*'Cálculos'!$C$233+'Cálculos'!$C$125*(1+2.78*('Cálculos'!$C$197+(($B$54)-$A9)*'Cálculos'!$C$98)/(('Cálculos'!$C$197+(($B$54)-$A9)*'Cálculos'!$C$98)+1400)+'Cálculos'!$C$123)*'Cálculos'!$C$238)+('Cálculos'!$C$185*(1+'Cálculos'!$C$188+$A9*('Cálculos'!$C$290=1)*'Cálculos'!$C$97+'Cálculos'!$C$305)+'Cálculos'!$C$193)*('Cálculos'!$C$239+'Cálculos'!$C$124*(1+2.78*('Cálculos'!$C$198+(($B$54)-$A9)*'Cálculos'!$C$98)/(('Cálculos'!$C$198+(($B$54)-$A9)*'Cálculos'!$C$98)+1400)+'Cálculos'!$C$122)*'Cálculos'!$C$244+'Cálculos'!$C$125*(1+2.78*('Cálculos'!$C$198+(($B$54)-$A9)*'Cálculos'!$C$98)/(('Cálculos'!$C$198+(($B$54)-$A9)*'Cálculos'!$C$98)+1400)+'Cálculos'!$C$123)*'Cálculos'!$C$249)+('Cálculos'!$C$198+(($B$54)-$A9)*'Cálculos'!$C$98)*('Cálculos'!$C$240+'Cálculos'!$C$124*(1+2.78*('Cálculos'!$C$198+(($B$54)-$A9)*'Cálculos'!$C$98)/(('Cálculos'!$C$198+(($B$54)-$A9)*'Cálculos'!$C$98)+1400)+'Cálculos'!$C$122)*'Cálculos'!$C$245+'Cálculos'!$C$125*(1+2.78*('Cálculos'!$C$198+(($B$54)-$A9)*'Cálculos'!$C$98)/(('Cálculos'!$C$198+(($B$54)-$A9)*'Cálculos'!$C$98)+1400)+'Cálculos'!$C$123)*'Cálculos'!$C$250)+('Cálculos'!$C$201*(1+'Cálculos'!$C$202+$A9*('Cálculos'!$C$290=2)*'Cálculos'!$C$101)+'Cálculos'!$C$203)*('Cálculos'!$C$241+'Cálculos'!$C$124*(1+2.78*('Cálculos'!$C$198+(($B$54)-$A9)*'Cálculos'!$C$98)/(('Cálculos'!$C$198+(($B$54)-$A9)*'Cálculos'!$C$98)+1400)+'Cálculos'!$C$122)*'Cálculos'!$C$246+'Cálculos'!$C$125*(1+2.78*('Cálculos'!$C$198+(($B$54)-$A9)*'Cálculos'!$C$98)/(('Cálculos'!$C$198+(($B$54)-$A9)*'Cálculos'!$C$98)+1400)+'Cálculos'!$C$123)*'Cálculos'!$C$251)+('Cálculos'!$C$204*(1+'Cálculos'!$C$205+$A9*('Cálculos'!$C$290=3)*'Cálculos'!$C$103)+'Cálculos'!$C$206)*('Cálculos'!$C$242+'Cálculos'!$C$124*(1+2.78*('Cálculos'!$C$198+(($B$54)-$A9)*'Cálculos'!$C$98)/(('Cálculos'!$C$198+(($B$54)-$A9)*'Cálculos'!$C$98)+1400)+'Cálculos'!$C$122)*'Cálculos'!$C$247+'Cálculos'!$C$125*(1+2.78*('Cálculos'!$C$198+(($B$54)-$A9)*'Cálculos'!$C$98)/(('Cálculos'!$C$198+(($B$54)-$A9)*'Cálculos'!$C$98)+1400)+'Cálculos'!$C$123)*'Cálculos'!$C$252)+('Cálculos'!$C$243+'Cálculos'!$C$124*(1+2.78*('Cálculos'!$C$198+(($B$54)-$A9)*'Cálculos'!$C$98)/(('Cálculos'!$C$198+(($B$54)-$A9)*'Cálculos'!$C$98)+1400)+'Cálculos'!$C$122)*'Cálculos'!$C$248+'Cálculos'!$C$125*(1+2.78*('Cálculos'!$C$198+(($B$54)-$A9)*'Cálculos'!$C$98)/(('Cálculos'!$C$198+(($B$54)-$A9)*'Cálculos'!$C$98)+1400)+'Cálculos'!$C$123)*'Cálculos'!$C$253)+('Cálculos'!$C$185*(1+'Cálculos'!$C$189+$A9*('Cálculos'!$C$290=1)*'Cálculos'!$C$97+'Cálculos'!$C$305)+'Cálculos'!$C$194)*('Cálculos'!$C$254+'Cálculos'!$C$124*(1+2.78*('Cálculos'!$C$199+(($B$54)-$A9)*'Cálculos'!$C$98)/(('Cálculos'!$C$199+(($B$54)-$A9)*'Cálculos'!$C$98)+1400)+'Cálculos'!$C$122)*'Cálculos'!$C$259+'Cálculos'!$C$125*(1+2.78*('Cálculos'!$C$199+(($B$54)-$A9)*'Cálculos'!$C$98)/(('Cálculos'!$C$199+(($B$54)-$A9)*'Cálculos'!$C$98)+1400)+'Cálculos'!$C$123)*'Cálculos'!$C$264)+('Cálculos'!$C$199+(($B$54)-$A9)*'Cálculos'!$C$98)*('Cálculos'!$C$255+'Cálculos'!$C$124*(1+2.78*('Cálculos'!$C$199+(($B$54)-$A9)*'Cálculos'!$C$98)/(('Cálculos'!$C$199+(($B$54)-$A9)*'Cálculos'!$C$98)+1400)+'Cálculos'!$C$122)*'Cálculos'!$C$260+'Cálculos'!$C$125*(1+2.78*('Cálculos'!$C$199+(($B$54)-$A9)*'Cálculos'!$C$98)/(('Cálculos'!$C$199+(($B$54)-$A9)*'Cálculos'!$C$98)+1400)+'Cálculos'!$C$123)*'Cálculos'!$C$265)+('Cálculos'!$C$201*(1+'Cálculos'!$C$202+$A9*('Cálculos'!$C$290=2)*'Cálculos'!$C$101)+'Cálculos'!$C$203)*('Cálculos'!$C$256+'Cálculos'!$C$124*(1+2.78*('Cálculos'!$C$199+(($B$54)-$A9)*'Cálculos'!$C$98)/(('Cálculos'!$C$199+(($B$54)-$A9)*'Cálculos'!$C$98)+1400)+'Cálculos'!$C$122)*'Cálculos'!$C$261+'Cálculos'!$C$125*(1+2.78*('Cálculos'!$C$199+(($B$54)-$A9)*'Cálculos'!$C$98)/(('Cálculos'!$C$199+(($B$54)-$A9)*'Cálculos'!$C$98)+1400)+'Cálculos'!$C$123)*'Cálculos'!$C$266)+('Cálculos'!$C$204*(1+'Cálculos'!$C$205+$A9*('Cálculos'!$C$290=3)*'Cálculos'!$C$103)+'Cálculos'!$C$206)*('Cálculos'!$C$257+'Cálculos'!$C$124*(1+2.78*('Cálculos'!$C$199+(($B$54)-$A9)*'Cálculos'!$C$98)/(('Cálculos'!$C$199+(($B$54)-$A9)*'Cálculos'!$C$98)+1400)+'Cálculos'!$C$122)*'Cálculos'!$C$262+'Cálculos'!$C$125*(1+2.78*('Cálculos'!$C$199+(($B$54)-$A9)*'Cálculos'!$C$98)/(('Cálculos'!$C$199+(($B$54)-$A9)*'Cálculos'!$C$98)+1400)+'Cálculos'!$C$123)*'Cálculos'!$C$267)+('Cálculos'!$C$258+'Cálculos'!$C$124*(1+2.78*('Cálculos'!$C$199+(($B$54)-$A9)*'Cálculos'!$C$98)/(('Cálculos'!$C$199+(($B$54)-$A9)*'Cálculos'!$C$98)+1400)+'Cálculos'!$C$122)*'Cálculos'!$C$263+'Cálculos'!$C$125*(1+2.78*('Cálculos'!$C$199+(($B$54)-$A9)*'Cálculos'!$C$98)/(('Cálculos'!$C$199+(($B$54)-$A9)*'Cálculos'!$C$98)+1400)+'Cálculos'!$C$123)*'Cálculos'!$C$268)+('Cálculos'!$C$185*(1+'Cálculos'!$C$190+$A9*('Cálculos'!$C$290=1)*'Cálculos'!$C$97+'Cálculos'!$C$305)+'Cálculos'!$C$195)*('Cálculos'!$C$269+'Cálculos'!$C$124*(1+2.78*('Cálculos'!$C$200+(($B$54)-$A9)*'Cálculos'!$C$98)/(('Cálculos'!$C$200+(($B$54)-$A9)*'Cálculos'!$C$98)+1400)+'Cálculos'!$C$122)*'Cálculos'!$C$274+'Cálculos'!$C$125*(1+2.78*('Cálculos'!$C$200+(($B$54)-$A9)*'Cálculos'!$C$98)/(('Cálculos'!$C$200+(($B$54)-$A9)*'Cálculos'!$C$98)+1400)+'Cálculos'!$C$123)*'Cálculos'!$C$279)+('Cálculos'!$C$200+(($B$54)-$A9)*'Cálculos'!$C$98)*('Cálculos'!$C$270+'Cálculos'!$C$124*(1+2.78*('Cálculos'!$C$200+(($B$54)-$A9)*'Cálculos'!$C$98)/(('Cálculos'!$C$200+(($B$54)-$A9)*'Cálculos'!$C$98)+1400)+'Cálculos'!$C$122)*'Cálculos'!$C$275+'Cálculos'!$C$125*(1+2.78*('Cálculos'!$C$200+(($B$54)-$A9)*'Cálculos'!$C$98)/(('Cálculos'!$C$200+(($B$54)-$A9)*'Cálculos'!$C$98)+1400)+'Cálculos'!$C$123)*'Cálculos'!$C$280)+('Cálculos'!$C$201*(1+'Cálculos'!$C$202+$A9*('Cálculos'!$C$290=2)*'Cálculos'!$C$101)+'Cálculos'!$C$203)*('Cálculos'!$C$271+'Cálculos'!$C$124*(1+2.78*('Cálculos'!$C$200+(($B$54)-$A9)*'Cálculos'!$C$98)/(('Cálculos'!$C$200+(($B$54)-$A9)*'Cálculos'!$C$98)+1400)+'Cálculos'!$C$122)*'Cálculos'!$C$276+'Cálculos'!$C$125*(1+2.78*('Cálculos'!$C$200+(($B$54)-$A9)*'Cálculos'!$C$98)/(('Cálculos'!$C$200+(($B$54)-$A9)*'Cálculos'!$C$98)+1400)+'Cálculos'!$C$123)*'Cálculos'!$C$281)+('Cálculos'!$C$204*(1+'Cálculos'!$C$205+$A9*('Cálculos'!$C$290=3)*'Cálculos'!$C$103)+'Cálculos'!$C$206)*('Cálculos'!$C$272+'Cálculos'!$C$124*(1+2.78*('Cálculos'!$C$200+(($B$54)-$A9)*'Cálculos'!$C$98)/(('Cálculos'!$C$200+(($B$54)-$A9)*'Cálculos'!$C$98)+1400)+'Cálculos'!$C$122)*'Cálculos'!$C$277+'Cálculos'!$C$125*(1+2.78*('Cálculos'!$C$200+(($B$54)-$A9)*'Cálculos'!$C$98)/(('Cálculos'!$C$200+(($B$54)-$A9)*'Cálculos'!$C$98)+1400)+'Cálculos'!$C$123)*'Cálculos'!$C$282)+('Cálculos'!$C$273+'Cálculos'!$C$124*(1+2.78*('Cálculos'!$C$200+(($B$54)-$A9)*'Cálculos'!$C$98)/(('Cálculos'!$C$200+(($B$54)-$A9)*'Cálculos'!$C$98)+1400)+'Cálculos'!$C$122)*'Cálculos'!$C$278+'Cálculos'!$C$125*(1+2.78*('Cálculos'!$C$200+(($B$54)-$A9)*'Cálculos'!$C$98)/(('Cálculos'!$C$200+(($B$54)-$A9)*'Cálculos'!$C$98)+1400)+'Cálculos'!$C$123)*'Cálculos'!$C$283)))</f>
        <v>1089248.437</v>
      </c>
    </row>
    <row r="10">
      <c r="A10" s="2">
        <v>4.0</v>
      </c>
      <c r="B10" s="30">
        <f>SUMPRODUCT(MAX(($A$6:$A$51&lt;=$A10)*($A$6:$A$51&lt;='Cálculos'!$C$294)*(($A10)-$A$6:$A$51&lt;='Cálculos'!$C$295)*(1+(('Cálculos'!$C$207+$A$6:$A$51*'Cálculos'!$C$95)-(('Cálculos'!$C$207+$A$6:$A$51*'Cálculos'!$C$95)&gt;1)*(('Cálculos'!$C$207+$A$6:$A$51*'Cálculos'!$C$95)-1))*('Cálculos'!$C$208+(($A10)-$A$6:$A$51)*'Cálculos'!$C$96))))</f>
        <v>2.506904</v>
      </c>
      <c r="C10" s="2">
        <f>'Cálculos'!$C$303-$A10</f>
        <v>16</v>
      </c>
      <c r="D10" s="31">
        <f>IF($C10&lt;0,0,SUMPRODUCT(MAX(($A$6:$A$51&lt;=$C10)*($A$6:$A$51&lt;='Cálculos'!$C$301)*(($C10)-$A$6:$A$51&lt;='Cálculos'!$C$297)*(('Cálculos'!$C$185*(1+'Cálculos'!$C$186+$A$6:$A$51*('Cálculos'!$C$290=1)*'Cálculos'!$C$97+'Cálculos'!$C$305)+'Cálculos'!$C$191)*('Cálculos'!$C$209+'Cálculos'!$C$124*(1+2.78*('Cálculos'!$C$196+(($C10)-$A$6:$A$51)*'Cálculos'!$C$98)/(('Cálculos'!$C$196+(($C10)-$A$6:$A$51)*'Cálculos'!$C$98)+1400)+'Cálculos'!$C$122)*'Cálculos'!$C$214+'Cálculos'!$C$125*(1+2.78*('Cálculos'!$C$196+(($C10)-$A$6:$A$51)*'Cálculos'!$C$98)/(('Cálculos'!$C$196+(($C10)-$A$6:$A$51)*'Cálculos'!$C$98)+1400)+'Cálculos'!$C$123)*'Cálculos'!$C$219)+('Cálculos'!$C$196+(($C10)-$A$6:$A$51)*'Cálculos'!$C$98)*('Cálculos'!$C$210+'Cálculos'!$C$124*(1+2.78*('Cálculos'!$C$196+(($C10)-$A$6:$A$51)*'Cálculos'!$C$98)/(('Cálculos'!$C$196+(($C10)-$A$6:$A$51)*'Cálculos'!$C$98)+1400)+'Cálculos'!$C$122)*'Cálculos'!$C$215+'Cálculos'!$C$125*(1+2.78*('Cálculos'!$C$196+(($C10)-$A$6:$A$51)*'Cálculos'!$C$98)/(('Cálculos'!$C$196+(($C10)-$A$6:$A$51)*'Cálculos'!$C$98)+1400)+'Cálculos'!$C$123)*'Cálculos'!$C$220)+('Cálculos'!$C$201*(1+'Cálculos'!$C$202+$A$6:$A$51*('Cálculos'!$C$290=2)*'Cálculos'!$C$101)+'Cálculos'!$C$203)*('Cálculos'!$C$211+'Cálculos'!$C$124*(1+2.78*('Cálculos'!$C$196+(($C10)-$A$6:$A$51)*'Cálculos'!$C$98)/(('Cálculos'!$C$196+(($C10)-$A$6:$A$51)*'Cálculos'!$C$98)+1400)+'Cálculos'!$C$122)*'Cálculos'!$C$216+'Cálculos'!$C$125*(1+2.78*('Cálculos'!$C$196+(($C10)-$A$6:$A$51)*'Cálculos'!$C$98)/(('Cálculos'!$C$196+(($C10)-$A$6:$A$51)*'Cálculos'!$C$98)+1400)+'Cálculos'!$C$123)*'Cálculos'!$C$221)+('Cálculos'!$C$204*(1+'Cálculos'!$C$205+$A$6:$A$51*('Cálculos'!$C$290=3)*'Cálculos'!$C$103)+'Cálculos'!$C$206)*('Cálculos'!$C$212+'Cálculos'!$C$124*(1+2.78*('Cálculos'!$C$196+(($C10)-$A$6:$A$51)*'Cálculos'!$C$98)/(('Cálculos'!$C$196+(($C10)-$A$6:$A$51)*'Cálculos'!$C$98)+1400)+'Cálculos'!$C$122)*'Cálculos'!$C$217+'Cálculos'!$C$125*(1+2.78*('Cálculos'!$C$196+(($C10)-$A$6:$A$51)*'Cálculos'!$C$98)/(('Cálculos'!$C$196+(($C10)-$A$6:$A$51)*'Cálculos'!$C$98)+1400)+'Cálculos'!$C$123)*'Cálculos'!$C$222)+('Cálculos'!$C$213+'Cálculos'!$C$124*(1+2.78*('Cálculos'!$C$196+(($C10)-$A$6:$A$51)*'Cálculos'!$C$98)/(('Cálculos'!$C$196+(($C10)-$A$6:$A$51)*'Cálculos'!$C$98)+1400)+'Cálculos'!$C$122)*'Cálculos'!$C$218+'Cálculos'!$C$125*(1+2.78*('Cálculos'!$C$196+(($C10)-$A$6:$A$51)*'Cálculos'!$C$98)/(('Cálculos'!$C$196+(($C10)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10)-$A$6:$A$51)*'Cálculos'!$C$98)/(('Cálculos'!$C$197+(($C10)-$A$6:$A$51)*'Cálculos'!$C$98)+1400)+'Cálculos'!$C$122)*'Cálculos'!$C$229+'Cálculos'!$C$125*(1+2.78*('Cálculos'!$C$197+(($C10)-$A$6:$A$51)*'Cálculos'!$C$98)/(('Cálculos'!$C$197+(($C10)-$A$6:$A$51)*'Cálculos'!$C$98)+1400)+'Cálculos'!$C$123)*'Cálculos'!$C$234)+('Cálculos'!$C$197+(($C10)-$A$6:$A$51)*'Cálculos'!$C$98)*('Cálculos'!$C$225+'Cálculos'!$C$124*(1+2.78*('Cálculos'!$C$197+(($C10)-$A$6:$A$51)*'Cálculos'!$C$98)/(('Cálculos'!$C$197+(($C10)-$A$6:$A$51)*'Cálculos'!$C$98)+1400)+'Cálculos'!$C$122)*'Cálculos'!$C$230+'Cálculos'!$C$125*(1+2.78*('Cálculos'!$C$197+(($C10)-$A$6:$A$51)*'Cálculos'!$C$98)/(('Cálculos'!$C$197+(($C10)-$A$6:$A$51)*'Cálculos'!$C$98)+1400)+'Cálculos'!$C$123)*'Cálculos'!$C$235)+('Cálculos'!$C$201*(1+'Cálculos'!$C$202+$A$6:$A$51*('Cálculos'!$C$290=2)*'Cálculos'!$C$101)+'Cálculos'!$C$203)*('Cálculos'!$C$226+'Cálculos'!$C$124*(1+2.78*('Cálculos'!$C$197+(($C10)-$A$6:$A$51)*'Cálculos'!$C$98)/(('Cálculos'!$C$197+(($C10)-$A$6:$A$51)*'Cálculos'!$C$98)+1400)+'Cálculos'!$C$122)*'Cálculos'!$C$231+'Cálculos'!$C$125*(1+2.78*('Cálculos'!$C$197+(($C10)-$A$6:$A$51)*'Cálculos'!$C$98)/(('Cálculos'!$C$197+(($C10)-$A$6:$A$51)*'Cálculos'!$C$98)+1400)+'Cálculos'!$C$123)*'Cálculos'!$C$236)+('Cálculos'!$C$204*(1+'Cálculos'!$C$205+$A$6:$A$51*('Cálculos'!$C$290=3)*'Cálculos'!$C$103)+'Cálculos'!$C$206)*('Cálculos'!$C$227+'Cálculos'!$C$124*(1+2.78*('Cálculos'!$C$197+(($C10)-$A$6:$A$51)*'Cálculos'!$C$98)/(('Cálculos'!$C$197+(($C10)-$A$6:$A$51)*'Cálculos'!$C$98)+1400)+'Cálculos'!$C$122)*'Cálculos'!$C$232+'Cálculos'!$C$125*(1+2.78*('Cálculos'!$C$197+(($C10)-$A$6:$A$51)*'Cálculos'!$C$98)/(('Cálculos'!$C$197+(($C10)-$A$6:$A$51)*'Cálculos'!$C$98)+1400)+'Cálculos'!$C$123)*'Cálculos'!$C$237)+('Cálculos'!$C$228+'Cálculos'!$C$124*(1+2.78*('Cálculos'!$C$197+(($C10)-$A$6:$A$51)*'Cálculos'!$C$98)/(('Cálculos'!$C$197+(($C10)-$A$6:$A$51)*'Cálculos'!$C$98)+1400)+'Cálculos'!$C$122)*'Cálculos'!$C$233+'Cálculos'!$C$125*(1+2.78*('Cálculos'!$C$197+(($C10)-$A$6:$A$51)*'Cálculos'!$C$98)/(('Cálculos'!$C$197+(($C10)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10)-$A$6:$A$51)*'Cálculos'!$C$98)/(('Cálculos'!$C$198+(($C10)-$A$6:$A$51)*'Cálculos'!$C$98)+1400)+'Cálculos'!$C$122)*'Cálculos'!$C$244+'Cálculos'!$C$125*(1+2.78*('Cálculos'!$C$198+(($C10)-$A$6:$A$51)*'Cálculos'!$C$98)/(('Cálculos'!$C$198+(($C10)-$A$6:$A$51)*'Cálculos'!$C$98)+1400)+'Cálculos'!$C$123)*'Cálculos'!$C$249)+('Cálculos'!$C$198+(($C10)-$A$6:$A$51)*'Cálculos'!$C$98)*('Cálculos'!$C$240+'Cálculos'!$C$124*(1+2.78*('Cálculos'!$C$198+(($C10)-$A$6:$A$51)*'Cálculos'!$C$98)/(('Cálculos'!$C$198+(($C10)-$A$6:$A$51)*'Cálculos'!$C$98)+1400)+'Cálculos'!$C$122)*'Cálculos'!$C$245+'Cálculos'!$C$125*(1+2.78*('Cálculos'!$C$198+(($C10)-$A$6:$A$51)*'Cálculos'!$C$98)/(('Cálculos'!$C$198+(($C10)-$A$6:$A$51)*'Cálculos'!$C$98)+1400)+'Cálculos'!$C$123)*'Cálculos'!$C$250)+('Cálculos'!$C$201*(1+'Cálculos'!$C$202+$A$6:$A$51*('Cálculos'!$C$290=2)*'Cálculos'!$C$101)+'Cálculos'!$C$203)*('Cálculos'!$C$241+'Cálculos'!$C$124*(1+2.78*('Cálculos'!$C$198+(($C10)-$A$6:$A$51)*'Cálculos'!$C$98)/(('Cálculos'!$C$198+(($C10)-$A$6:$A$51)*'Cálculos'!$C$98)+1400)+'Cálculos'!$C$122)*'Cálculos'!$C$246+'Cálculos'!$C$125*(1+2.78*('Cálculos'!$C$198+(($C10)-$A$6:$A$51)*'Cálculos'!$C$98)/(('Cálculos'!$C$198+(($C10)-$A$6:$A$51)*'Cálculos'!$C$98)+1400)+'Cálculos'!$C$123)*'Cálculos'!$C$251)+('Cálculos'!$C$204*(1+'Cálculos'!$C$205+$A$6:$A$51*('Cálculos'!$C$290=3)*'Cálculos'!$C$103)+'Cálculos'!$C$206)*('Cálculos'!$C$242+'Cálculos'!$C$124*(1+2.78*('Cálculos'!$C$198+(($C10)-$A$6:$A$51)*'Cálculos'!$C$98)/(('Cálculos'!$C$198+(($C10)-$A$6:$A$51)*'Cálculos'!$C$98)+1400)+'Cálculos'!$C$122)*'Cálculos'!$C$247+'Cálculos'!$C$125*(1+2.78*('Cálculos'!$C$198+(($C10)-$A$6:$A$51)*'Cálculos'!$C$98)/(('Cálculos'!$C$198+(($C10)-$A$6:$A$51)*'Cálculos'!$C$98)+1400)+'Cálculos'!$C$123)*'Cálculos'!$C$252)+('Cálculos'!$C$243+'Cálculos'!$C$124*(1+2.78*('Cálculos'!$C$198+(($C10)-$A$6:$A$51)*'Cálculos'!$C$98)/(('Cálculos'!$C$198+(($C10)-$A$6:$A$51)*'Cálculos'!$C$98)+1400)+'Cálculos'!$C$122)*'Cálculos'!$C$248+'Cálculos'!$C$125*(1+2.78*('Cálculos'!$C$198+(($C10)-$A$6:$A$51)*'Cálculos'!$C$98)/(('Cálculos'!$C$198+(($C10)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10)-$A$6:$A$51)*'Cálculos'!$C$98)/(('Cálculos'!$C$199+(($C10)-$A$6:$A$51)*'Cálculos'!$C$98)+1400)+'Cálculos'!$C$122)*'Cálculos'!$C$259+'Cálculos'!$C$125*(1+2.78*('Cálculos'!$C$199+(($C10)-$A$6:$A$51)*'Cálculos'!$C$98)/(('Cálculos'!$C$199+(($C10)-$A$6:$A$51)*'Cálculos'!$C$98)+1400)+'Cálculos'!$C$123)*'Cálculos'!$C$264)+('Cálculos'!$C$199+(($C10)-$A$6:$A$51)*'Cálculos'!$C$98)*('Cálculos'!$C$255+'Cálculos'!$C$124*(1+2.78*('Cálculos'!$C$199+(($C10)-$A$6:$A$51)*'Cálculos'!$C$98)/(('Cálculos'!$C$199+(($C10)-$A$6:$A$51)*'Cálculos'!$C$98)+1400)+'Cálculos'!$C$122)*'Cálculos'!$C$260+'Cálculos'!$C$125*(1+2.78*('Cálculos'!$C$199+(($C10)-$A$6:$A$51)*'Cálculos'!$C$98)/(('Cálculos'!$C$199+(($C10)-$A$6:$A$51)*'Cálculos'!$C$98)+1400)+'Cálculos'!$C$123)*'Cálculos'!$C$265)+('Cálculos'!$C$201*(1+'Cálculos'!$C$202+$A$6:$A$51*('Cálculos'!$C$290=2)*'Cálculos'!$C$101)+'Cálculos'!$C$203)*('Cálculos'!$C$256+'Cálculos'!$C$124*(1+2.78*('Cálculos'!$C$199+(($C10)-$A$6:$A$51)*'Cálculos'!$C$98)/(('Cálculos'!$C$199+(($C10)-$A$6:$A$51)*'Cálculos'!$C$98)+1400)+'Cálculos'!$C$122)*'Cálculos'!$C$261+'Cálculos'!$C$125*(1+2.78*('Cálculos'!$C$199+(($C10)-$A$6:$A$51)*'Cálculos'!$C$98)/(('Cálculos'!$C$199+(($C10)-$A$6:$A$51)*'Cálculos'!$C$98)+1400)+'Cálculos'!$C$123)*'Cálculos'!$C$266)+('Cálculos'!$C$204*(1+'Cálculos'!$C$205+$A$6:$A$51*('Cálculos'!$C$290=3)*'Cálculos'!$C$103)+'Cálculos'!$C$206)*('Cálculos'!$C$257+'Cálculos'!$C$124*(1+2.78*('Cálculos'!$C$199+(($C10)-$A$6:$A$51)*'Cálculos'!$C$98)/(('Cálculos'!$C$199+(($C10)-$A$6:$A$51)*'Cálculos'!$C$98)+1400)+'Cálculos'!$C$122)*'Cálculos'!$C$262+'Cálculos'!$C$125*(1+2.78*('Cálculos'!$C$199+(($C10)-$A$6:$A$51)*'Cálculos'!$C$98)/(('Cálculos'!$C$199+(($C10)-$A$6:$A$51)*'Cálculos'!$C$98)+1400)+'Cálculos'!$C$123)*'Cálculos'!$C$267)+('Cálculos'!$C$258+'Cálculos'!$C$124*(1+2.78*('Cálculos'!$C$199+(($C10)-$A$6:$A$51)*'Cálculos'!$C$98)/(('Cálculos'!$C$199+(($C10)-$A$6:$A$51)*'Cálculos'!$C$98)+1400)+'Cálculos'!$C$122)*'Cálculos'!$C$263+'Cálculos'!$C$125*(1+2.78*('Cálculos'!$C$199+(($C10)-$A$6:$A$51)*'Cálculos'!$C$98)/(('Cálculos'!$C$199+(($C10)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10)-$A$6:$A$51)*'Cálculos'!$C$98)/(('Cálculos'!$C$200+(($C10)-$A$6:$A$51)*'Cálculos'!$C$98)+1400)+'Cálculos'!$C$122)*'Cálculos'!$C$274+'Cálculos'!$C$125*(1+2.78*('Cálculos'!$C$200+(($C10)-$A$6:$A$51)*'Cálculos'!$C$98)/(('Cálculos'!$C$200+(($C10)-$A$6:$A$51)*'Cálculos'!$C$98)+1400)+'Cálculos'!$C$123)*'Cálculos'!$C$279)+('Cálculos'!$C$200+(($C10)-$A$6:$A$51)*'Cálculos'!$C$98)*('Cálculos'!$C$270+'Cálculos'!$C$124*(1+2.78*('Cálculos'!$C$200+(($C10)-$A$6:$A$51)*'Cálculos'!$C$98)/(('Cálculos'!$C$200+(($C10)-$A$6:$A$51)*'Cálculos'!$C$98)+1400)+'Cálculos'!$C$122)*'Cálculos'!$C$275+'Cálculos'!$C$125*(1+2.78*('Cálculos'!$C$200+(($C10)-$A$6:$A$51)*'Cálculos'!$C$98)/(('Cálculos'!$C$200+(($C10)-$A$6:$A$51)*'Cálculos'!$C$98)+1400)+'Cálculos'!$C$123)*'Cálculos'!$C$280)+('Cálculos'!$C$201*(1+'Cálculos'!$C$202+$A$6:$A$51*('Cálculos'!$C$290=2)*'Cálculos'!$C$101)+'Cálculos'!$C$203)*('Cálculos'!$C$271+'Cálculos'!$C$124*(1+2.78*('Cálculos'!$C$200+(($C10)-$A$6:$A$51)*'Cálculos'!$C$98)/(('Cálculos'!$C$200+(($C10)-$A$6:$A$51)*'Cálculos'!$C$98)+1400)+'Cálculos'!$C$122)*'Cálculos'!$C$276+'Cálculos'!$C$125*(1+2.78*('Cálculos'!$C$200+(($C10)-$A$6:$A$51)*'Cálculos'!$C$98)/(('Cálculos'!$C$200+(($C10)-$A$6:$A$51)*'Cálculos'!$C$98)+1400)+'Cálculos'!$C$123)*'Cálculos'!$C$281)+('Cálculos'!$C$204*(1+'Cálculos'!$C$205+$A$6:$A$51*('Cálculos'!$C$290=3)*'Cálculos'!$C$103)+'Cálculos'!$C$206)*('Cálculos'!$C$272+'Cálculos'!$C$124*(1+2.78*('Cálculos'!$C$200+(($C10)-$A$6:$A$51)*'Cálculos'!$C$98)/(('Cálculos'!$C$200+(($C10)-$A$6:$A$51)*'Cálculos'!$C$98)+1400)+'Cálculos'!$C$122)*'Cálculos'!$C$277+'Cálculos'!$C$125*(1+2.78*('Cálculos'!$C$200+(($C10)-$A$6:$A$51)*'Cálculos'!$C$98)/(('Cálculos'!$C$200+(($C10)-$A$6:$A$51)*'Cálculos'!$C$98)+1400)+'Cálculos'!$C$123)*'Cálculos'!$C$282)+('Cálculos'!$C$273+'Cálculos'!$C$124*(1+2.78*('Cálculos'!$C$200+(($C10)-$A$6:$A$51)*'Cálculos'!$C$98)/(('Cálculos'!$C$200+(($C10)-$A$6:$A$51)*'Cálculos'!$C$98)+1400)+'Cálculos'!$C$122)*'Cálculos'!$C$278+'Cálculos'!$C$125*(1+2.78*('Cálculos'!$C$200+(($C10)-$A$6:$A$51)*'Cálculos'!$C$98)/(('Cálculos'!$C$200+(($C10)-$A$6:$A$51)*'Cálculos'!$C$98)+1400)+'Cálculos'!$C$123)*'Cálculos'!$C$283)))))</f>
        <v>1234700.971</v>
      </c>
      <c r="E10" s="32">
        <f>IF(OR($C10&lt;0,'Cálculos'!$C$6=""),0,$B10*$D10)</f>
        <v>3095276.804</v>
      </c>
      <c r="F10" s="2"/>
      <c r="G10" s="30">
        <f>($A10&lt;=$B$53)*($A10&lt;='Cálculos'!$C$294)*(($B$53)-$A10&lt;='Cálculos'!$C$295)*(1+MIN(('Cálculos'!$C$207+$A10*'Cálculos'!$C$95),1)*('Cálculos'!$C$208+(($B$53)-$A10)*'Cálculos'!$C$96))</f>
        <v>3.10724</v>
      </c>
      <c r="H10" s="31">
        <f>IF($B$54&lt;0,0,($A10&lt;=$B$54)*($A10&lt;='Cálculos'!$C$301)*(($B$54)-$A10&lt;='Cálculos'!$C$297)*(('Cálculos'!$C$185*(1+'Cálculos'!$C$186+$A10*('Cálculos'!$C$290=1)*'Cálculos'!$C$97+'Cálculos'!$C$305)+'Cálculos'!$C$191)*('Cálculos'!$C$209+'Cálculos'!$C$124*(1+2.78*('Cálculos'!$C$196+(($B$54)-$A10)*'Cálculos'!$C$98)/(('Cálculos'!$C$196+(($B$54)-$A10)*'Cálculos'!$C$98)+1400)+'Cálculos'!$C$122)*'Cálculos'!$C$214+'Cálculos'!$C$125*(1+2.78*('Cálculos'!$C$196+(($B$54)-$A10)*'Cálculos'!$C$98)/(('Cálculos'!$C$196+(($B$54)-$A10)*'Cálculos'!$C$98)+1400)+'Cálculos'!$C$123)*'Cálculos'!$C$219)+('Cálculos'!$C$196+(($B$54)-$A10)*'Cálculos'!$C$98)*('Cálculos'!$C$210+'Cálculos'!$C$124*(1+2.78*('Cálculos'!$C$196+(($B$54)-$A10)*'Cálculos'!$C$98)/(('Cálculos'!$C$196+(($B$54)-$A10)*'Cálculos'!$C$98)+1400)+'Cálculos'!$C$122)*'Cálculos'!$C$215+'Cálculos'!$C$125*(1+2.78*('Cálculos'!$C$196+(($B$54)-$A10)*'Cálculos'!$C$98)/(('Cálculos'!$C$196+(($B$54)-$A10)*'Cálculos'!$C$98)+1400)+'Cálculos'!$C$123)*'Cálculos'!$C$220)+('Cálculos'!$C$201*(1+'Cálculos'!$C$202+$A10*('Cálculos'!$C$290=2)*'Cálculos'!$C$101)+'Cálculos'!$C$203)*('Cálculos'!$C$211+'Cálculos'!$C$124*(1+2.78*('Cálculos'!$C$196+(($B$54)-$A10)*'Cálculos'!$C$98)/(('Cálculos'!$C$196+(($B$54)-$A10)*'Cálculos'!$C$98)+1400)+'Cálculos'!$C$122)*'Cálculos'!$C$216+'Cálculos'!$C$125*(1+2.78*('Cálculos'!$C$196+(($B$54)-$A10)*'Cálculos'!$C$98)/(('Cálculos'!$C$196+(($B$54)-$A10)*'Cálculos'!$C$98)+1400)+'Cálculos'!$C$123)*'Cálculos'!$C$221)+('Cálculos'!$C$204*(1+'Cálculos'!$C$205+$A10*('Cálculos'!$C$290=3)*'Cálculos'!$C$103)+'Cálculos'!$C$206)*('Cálculos'!$C$212+'Cálculos'!$C$124*(1+2.78*('Cálculos'!$C$196+(($B$54)-$A10)*'Cálculos'!$C$98)/(('Cálculos'!$C$196+(($B$54)-$A10)*'Cálculos'!$C$98)+1400)+'Cálculos'!$C$122)*'Cálculos'!$C$217+'Cálculos'!$C$125*(1+2.78*('Cálculos'!$C$196+(($B$54)-$A10)*'Cálculos'!$C$98)/(('Cálculos'!$C$196+(($B$54)-$A10)*'Cálculos'!$C$98)+1400)+'Cálculos'!$C$123)*'Cálculos'!$C$222)+('Cálculos'!$C$213+'Cálculos'!$C$124*(1+2.78*('Cálculos'!$C$196+(($B$54)-$A10)*'Cálculos'!$C$98)/(('Cálculos'!$C$196+(($B$54)-$A10)*'Cálculos'!$C$98)+1400)+'Cálculos'!$C$122)*'Cálculos'!$C$218+'Cálculos'!$C$125*(1+2.78*('Cálculos'!$C$196+(($B$54)-$A10)*'Cálculos'!$C$98)/(('Cálculos'!$C$196+(($B$54)-$A10)*'Cálculos'!$C$98)+1400)+'Cálculos'!$C$123)*'Cálculos'!$C$223)+('Cálculos'!$C$185*(1+'Cálculos'!$C$187+$A10*('Cálculos'!$C$290=1)*'Cálculos'!$C$97+'Cálculos'!$C$305)+'Cálculos'!$C$192)*('Cálculos'!$C$224+'Cálculos'!$C$124*(1+2.78*('Cálculos'!$C$197+(($B$54)-$A10)*'Cálculos'!$C$98)/(('Cálculos'!$C$197+(($B$54)-$A10)*'Cálculos'!$C$98)+1400)+'Cálculos'!$C$122)*'Cálculos'!$C$229+'Cálculos'!$C$125*(1+2.78*('Cálculos'!$C$197+(($B$54)-$A10)*'Cálculos'!$C$98)/(('Cálculos'!$C$197+(($B$54)-$A10)*'Cálculos'!$C$98)+1400)+'Cálculos'!$C$123)*'Cálculos'!$C$234)+('Cálculos'!$C$197+(($B$54)-$A10)*'Cálculos'!$C$98)*('Cálculos'!$C$225+'Cálculos'!$C$124*(1+2.78*('Cálculos'!$C$197+(($B$54)-$A10)*'Cálculos'!$C$98)/(('Cálculos'!$C$197+(($B$54)-$A10)*'Cálculos'!$C$98)+1400)+'Cálculos'!$C$122)*'Cálculos'!$C$230+'Cálculos'!$C$125*(1+2.78*('Cálculos'!$C$197+(($B$54)-$A10)*'Cálculos'!$C$98)/(('Cálculos'!$C$197+(($B$54)-$A10)*'Cálculos'!$C$98)+1400)+'Cálculos'!$C$123)*'Cálculos'!$C$235)+('Cálculos'!$C$201*(1+'Cálculos'!$C$202+$A10*('Cálculos'!$C$290=2)*'Cálculos'!$C$101)+'Cálculos'!$C$203)*('Cálculos'!$C$226+'Cálculos'!$C$124*(1+2.78*('Cálculos'!$C$197+(($B$54)-$A10)*'Cálculos'!$C$98)/(('Cálculos'!$C$197+(($B$54)-$A10)*'Cálculos'!$C$98)+1400)+'Cálculos'!$C$122)*'Cálculos'!$C$231+'Cálculos'!$C$125*(1+2.78*('Cálculos'!$C$197+(($B$54)-$A10)*'Cálculos'!$C$98)/(('Cálculos'!$C$197+(($B$54)-$A10)*'Cálculos'!$C$98)+1400)+'Cálculos'!$C$123)*'Cálculos'!$C$236)+('Cálculos'!$C$204*(1+'Cálculos'!$C$205+$A10*('Cálculos'!$C$290=3)*'Cálculos'!$C$103)+'Cálculos'!$C$206)*('Cálculos'!$C$227+'Cálculos'!$C$124*(1+2.78*('Cálculos'!$C$197+(($B$54)-$A10)*'Cálculos'!$C$98)/(('Cálculos'!$C$197+(($B$54)-$A10)*'Cálculos'!$C$98)+1400)+'Cálculos'!$C$122)*'Cálculos'!$C$232+'Cálculos'!$C$125*(1+2.78*('Cálculos'!$C$197+(($B$54)-$A10)*'Cálculos'!$C$98)/(('Cálculos'!$C$197+(($B$54)-$A10)*'Cálculos'!$C$98)+1400)+'Cálculos'!$C$123)*'Cálculos'!$C$237)+('Cálculos'!$C$228+'Cálculos'!$C$124*(1+2.78*('Cálculos'!$C$197+(($B$54)-$A10)*'Cálculos'!$C$98)/(('Cálculos'!$C$197+(($B$54)-$A10)*'Cálculos'!$C$98)+1400)+'Cálculos'!$C$122)*'Cálculos'!$C$233+'Cálculos'!$C$125*(1+2.78*('Cálculos'!$C$197+(($B$54)-$A10)*'Cálculos'!$C$98)/(('Cálculos'!$C$197+(($B$54)-$A10)*'Cálculos'!$C$98)+1400)+'Cálculos'!$C$123)*'Cálculos'!$C$238)+('Cálculos'!$C$185*(1+'Cálculos'!$C$188+$A10*('Cálculos'!$C$290=1)*'Cálculos'!$C$97+'Cálculos'!$C$305)+'Cálculos'!$C$193)*('Cálculos'!$C$239+'Cálculos'!$C$124*(1+2.78*('Cálculos'!$C$198+(($B$54)-$A10)*'Cálculos'!$C$98)/(('Cálculos'!$C$198+(($B$54)-$A10)*'Cálculos'!$C$98)+1400)+'Cálculos'!$C$122)*'Cálculos'!$C$244+'Cálculos'!$C$125*(1+2.78*('Cálculos'!$C$198+(($B$54)-$A10)*'Cálculos'!$C$98)/(('Cálculos'!$C$198+(($B$54)-$A10)*'Cálculos'!$C$98)+1400)+'Cálculos'!$C$123)*'Cálculos'!$C$249)+('Cálculos'!$C$198+(($B$54)-$A10)*'Cálculos'!$C$98)*('Cálculos'!$C$240+'Cálculos'!$C$124*(1+2.78*('Cálculos'!$C$198+(($B$54)-$A10)*'Cálculos'!$C$98)/(('Cálculos'!$C$198+(($B$54)-$A10)*'Cálculos'!$C$98)+1400)+'Cálculos'!$C$122)*'Cálculos'!$C$245+'Cálculos'!$C$125*(1+2.78*('Cálculos'!$C$198+(($B$54)-$A10)*'Cálculos'!$C$98)/(('Cálculos'!$C$198+(($B$54)-$A10)*'Cálculos'!$C$98)+1400)+'Cálculos'!$C$123)*'Cálculos'!$C$250)+('Cálculos'!$C$201*(1+'Cálculos'!$C$202+$A10*('Cálculos'!$C$290=2)*'Cálculos'!$C$101)+'Cálculos'!$C$203)*('Cálculos'!$C$241+'Cálculos'!$C$124*(1+2.78*('Cálculos'!$C$198+(($B$54)-$A10)*'Cálculos'!$C$98)/(('Cálculos'!$C$198+(($B$54)-$A10)*'Cálculos'!$C$98)+1400)+'Cálculos'!$C$122)*'Cálculos'!$C$246+'Cálculos'!$C$125*(1+2.78*('Cálculos'!$C$198+(($B$54)-$A10)*'Cálculos'!$C$98)/(('Cálculos'!$C$198+(($B$54)-$A10)*'Cálculos'!$C$98)+1400)+'Cálculos'!$C$123)*'Cálculos'!$C$251)+('Cálculos'!$C$204*(1+'Cálculos'!$C$205+$A10*('Cálculos'!$C$290=3)*'Cálculos'!$C$103)+'Cálculos'!$C$206)*('Cálculos'!$C$242+'Cálculos'!$C$124*(1+2.78*('Cálculos'!$C$198+(($B$54)-$A10)*'Cálculos'!$C$98)/(('Cálculos'!$C$198+(($B$54)-$A10)*'Cálculos'!$C$98)+1400)+'Cálculos'!$C$122)*'Cálculos'!$C$247+'Cálculos'!$C$125*(1+2.78*('Cálculos'!$C$198+(($B$54)-$A10)*'Cálculos'!$C$98)/(('Cálculos'!$C$198+(($B$54)-$A10)*'Cálculos'!$C$98)+1400)+'Cálculos'!$C$123)*'Cálculos'!$C$252)+('Cálculos'!$C$243+'Cálculos'!$C$124*(1+2.78*('Cálculos'!$C$198+(($B$54)-$A10)*'Cálculos'!$C$98)/(('Cálculos'!$C$198+(($B$54)-$A10)*'Cálculos'!$C$98)+1400)+'Cálculos'!$C$122)*'Cálculos'!$C$248+'Cálculos'!$C$125*(1+2.78*('Cálculos'!$C$198+(($B$54)-$A10)*'Cálculos'!$C$98)/(('Cálculos'!$C$198+(($B$54)-$A10)*'Cálculos'!$C$98)+1400)+'Cálculos'!$C$123)*'Cálculos'!$C$253)+('Cálculos'!$C$185*(1+'Cálculos'!$C$189+$A10*('Cálculos'!$C$290=1)*'Cálculos'!$C$97+'Cálculos'!$C$305)+'Cálculos'!$C$194)*('Cálculos'!$C$254+'Cálculos'!$C$124*(1+2.78*('Cálculos'!$C$199+(($B$54)-$A10)*'Cálculos'!$C$98)/(('Cálculos'!$C$199+(($B$54)-$A10)*'Cálculos'!$C$98)+1400)+'Cálculos'!$C$122)*'Cálculos'!$C$259+'Cálculos'!$C$125*(1+2.78*('Cálculos'!$C$199+(($B$54)-$A10)*'Cálculos'!$C$98)/(('Cálculos'!$C$199+(($B$54)-$A10)*'Cálculos'!$C$98)+1400)+'Cálculos'!$C$123)*'Cálculos'!$C$264)+('Cálculos'!$C$199+(($B$54)-$A10)*'Cálculos'!$C$98)*('Cálculos'!$C$255+'Cálculos'!$C$124*(1+2.78*('Cálculos'!$C$199+(($B$54)-$A10)*'Cálculos'!$C$98)/(('Cálculos'!$C$199+(($B$54)-$A10)*'Cálculos'!$C$98)+1400)+'Cálculos'!$C$122)*'Cálculos'!$C$260+'Cálculos'!$C$125*(1+2.78*('Cálculos'!$C$199+(($B$54)-$A10)*'Cálculos'!$C$98)/(('Cálculos'!$C$199+(($B$54)-$A10)*'Cálculos'!$C$98)+1400)+'Cálculos'!$C$123)*'Cálculos'!$C$265)+('Cálculos'!$C$201*(1+'Cálculos'!$C$202+$A10*('Cálculos'!$C$290=2)*'Cálculos'!$C$101)+'Cálculos'!$C$203)*('Cálculos'!$C$256+'Cálculos'!$C$124*(1+2.78*('Cálculos'!$C$199+(($B$54)-$A10)*'Cálculos'!$C$98)/(('Cálculos'!$C$199+(($B$54)-$A10)*'Cálculos'!$C$98)+1400)+'Cálculos'!$C$122)*'Cálculos'!$C$261+'Cálculos'!$C$125*(1+2.78*('Cálculos'!$C$199+(($B$54)-$A10)*'Cálculos'!$C$98)/(('Cálculos'!$C$199+(($B$54)-$A10)*'Cálculos'!$C$98)+1400)+'Cálculos'!$C$123)*'Cálculos'!$C$266)+('Cálculos'!$C$204*(1+'Cálculos'!$C$205+$A10*('Cálculos'!$C$290=3)*'Cálculos'!$C$103)+'Cálculos'!$C$206)*('Cálculos'!$C$257+'Cálculos'!$C$124*(1+2.78*('Cálculos'!$C$199+(($B$54)-$A10)*'Cálculos'!$C$98)/(('Cálculos'!$C$199+(($B$54)-$A10)*'Cálculos'!$C$98)+1400)+'Cálculos'!$C$122)*'Cálculos'!$C$262+'Cálculos'!$C$125*(1+2.78*('Cálculos'!$C$199+(($B$54)-$A10)*'Cálculos'!$C$98)/(('Cálculos'!$C$199+(($B$54)-$A10)*'Cálculos'!$C$98)+1400)+'Cálculos'!$C$123)*'Cálculos'!$C$267)+('Cálculos'!$C$258+'Cálculos'!$C$124*(1+2.78*('Cálculos'!$C$199+(($B$54)-$A10)*'Cálculos'!$C$98)/(('Cálculos'!$C$199+(($B$54)-$A10)*'Cálculos'!$C$98)+1400)+'Cálculos'!$C$122)*'Cálculos'!$C$263+'Cálculos'!$C$125*(1+2.78*('Cálculos'!$C$199+(($B$54)-$A10)*'Cálculos'!$C$98)/(('Cálculos'!$C$199+(($B$54)-$A10)*'Cálculos'!$C$98)+1400)+'Cálculos'!$C$123)*'Cálculos'!$C$268)+('Cálculos'!$C$185*(1+'Cálculos'!$C$190+$A10*('Cálculos'!$C$290=1)*'Cálculos'!$C$97+'Cálculos'!$C$305)+'Cálculos'!$C$195)*('Cálculos'!$C$269+'Cálculos'!$C$124*(1+2.78*('Cálculos'!$C$200+(($B$54)-$A10)*'Cálculos'!$C$98)/(('Cálculos'!$C$200+(($B$54)-$A10)*'Cálculos'!$C$98)+1400)+'Cálculos'!$C$122)*'Cálculos'!$C$274+'Cálculos'!$C$125*(1+2.78*('Cálculos'!$C$200+(($B$54)-$A10)*'Cálculos'!$C$98)/(('Cálculos'!$C$200+(($B$54)-$A10)*'Cálculos'!$C$98)+1400)+'Cálculos'!$C$123)*'Cálculos'!$C$279)+('Cálculos'!$C$200+(($B$54)-$A10)*'Cálculos'!$C$98)*('Cálculos'!$C$270+'Cálculos'!$C$124*(1+2.78*('Cálculos'!$C$200+(($B$54)-$A10)*'Cálculos'!$C$98)/(('Cálculos'!$C$200+(($B$54)-$A10)*'Cálculos'!$C$98)+1400)+'Cálculos'!$C$122)*'Cálculos'!$C$275+'Cálculos'!$C$125*(1+2.78*('Cálculos'!$C$200+(($B$54)-$A10)*'Cálculos'!$C$98)/(('Cálculos'!$C$200+(($B$54)-$A10)*'Cálculos'!$C$98)+1400)+'Cálculos'!$C$123)*'Cálculos'!$C$280)+('Cálculos'!$C$201*(1+'Cálculos'!$C$202+$A10*('Cálculos'!$C$290=2)*'Cálculos'!$C$101)+'Cálculos'!$C$203)*('Cálculos'!$C$271+'Cálculos'!$C$124*(1+2.78*('Cálculos'!$C$200+(($B$54)-$A10)*'Cálculos'!$C$98)/(('Cálculos'!$C$200+(($B$54)-$A10)*'Cálculos'!$C$98)+1400)+'Cálculos'!$C$122)*'Cálculos'!$C$276+'Cálculos'!$C$125*(1+2.78*('Cálculos'!$C$200+(($B$54)-$A10)*'Cálculos'!$C$98)/(('Cálculos'!$C$200+(($B$54)-$A10)*'Cálculos'!$C$98)+1400)+'Cálculos'!$C$123)*'Cálculos'!$C$281)+('Cálculos'!$C$204*(1+'Cálculos'!$C$205+$A10*('Cálculos'!$C$290=3)*'Cálculos'!$C$103)+'Cálculos'!$C$206)*('Cálculos'!$C$272+'Cálculos'!$C$124*(1+2.78*('Cálculos'!$C$200+(($B$54)-$A10)*'Cálculos'!$C$98)/(('Cálculos'!$C$200+(($B$54)-$A10)*'Cálculos'!$C$98)+1400)+'Cálculos'!$C$122)*'Cálculos'!$C$277+'Cálculos'!$C$125*(1+2.78*('Cálculos'!$C$200+(($B$54)-$A10)*'Cálculos'!$C$98)/(('Cálculos'!$C$200+(($B$54)-$A10)*'Cálculos'!$C$98)+1400)+'Cálculos'!$C$123)*'Cálculos'!$C$282)+('Cálculos'!$C$273+'Cálculos'!$C$124*(1+2.78*('Cálculos'!$C$200+(($B$54)-$A10)*'Cálculos'!$C$98)/(('Cálculos'!$C$200+(($B$54)-$A10)*'Cálculos'!$C$98)+1400)+'Cálculos'!$C$122)*'Cálculos'!$C$278+'Cálculos'!$C$125*(1+2.78*('Cálculos'!$C$200+(($B$54)-$A10)*'Cálculos'!$C$98)/(('Cálculos'!$C$200+(($B$54)-$A10)*'Cálculos'!$C$98)+1400)+'Cálculos'!$C$123)*'Cálculos'!$C$283)))</f>
        <v>1085656.507</v>
      </c>
    </row>
    <row r="11">
      <c r="A11" s="2">
        <v>5.0</v>
      </c>
      <c r="B11" s="30">
        <f>SUMPRODUCT(MAX(($A$6:$A$51&lt;=$A11)*($A$6:$A$51&lt;='Cálculos'!$C$294)*(($A11)-$A$6:$A$51&lt;='Cálculos'!$C$295)*(1+(('Cálculos'!$C$207+$A$6:$A$51*'Cálculos'!$C$95)-(('Cálculos'!$C$207+$A$6:$A$51*'Cálculos'!$C$95)&gt;1)*(('Cálculos'!$C$207+$A$6:$A$51*'Cálculos'!$C$95)-1))*('Cálculos'!$C$208+(($A11)-$A$6:$A$51)*'Cálculos'!$C$96))))</f>
        <v>2.572508</v>
      </c>
      <c r="C11" s="2">
        <f>'Cálculos'!$C$303-$A11</f>
        <v>15</v>
      </c>
      <c r="D11" s="31">
        <f>IF($C11&lt;0,0,SUMPRODUCT(MAX(($A$6:$A$51&lt;=$C11)*($A$6:$A$51&lt;='Cálculos'!$C$301)*(($C11)-$A$6:$A$51&lt;='Cálculos'!$C$297)*(('Cálculos'!$C$185*(1+'Cálculos'!$C$186+$A$6:$A$51*('Cálculos'!$C$290=1)*'Cálculos'!$C$97+'Cálculos'!$C$305)+'Cálculos'!$C$191)*('Cálculos'!$C$209+'Cálculos'!$C$124*(1+2.78*('Cálculos'!$C$196+(($C11)-$A$6:$A$51)*'Cálculos'!$C$98)/(('Cálculos'!$C$196+(($C11)-$A$6:$A$51)*'Cálculos'!$C$98)+1400)+'Cálculos'!$C$122)*'Cálculos'!$C$214+'Cálculos'!$C$125*(1+2.78*('Cálculos'!$C$196+(($C11)-$A$6:$A$51)*'Cálculos'!$C$98)/(('Cálculos'!$C$196+(($C11)-$A$6:$A$51)*'Cálculos'!$C$98)+1400)+'Cálculos'!$C$123)*'Cálculos'!$C$219)+('Cálculos'!$C$196+(($C11)-$A$6:$A$51)*'Cálculos'!$C$98)*('Cálculos'!$C$210+'Cálculos'!$C$124*(1+2.78*('Cálculos'!$C$196+(($C11)-$A$6:$A$51)*'Cálculos'!$C$98)/(('Cálculos'!$C$196+(($C11)-$A$6:$A$51)*'Cálculos'!$C$98)+1400)+'Cálculos'!$C$122)*'Cálculos'!$C$215+'Cálculos'!$C$125*(1+2.78*('Cálculos'!$C$196+(($C11)-$A$6:$A$51)*'Cálculos'!$C$98)/(('Cálculos'!$C$196+(($C11)-$A$6:$A$51)*'Cálculos'!$C$98)+1400)+'Cálculos'!$C$123)*'Cálculos'!$C$220)+('Cálculos'!$C$201*(1+'Cálculos'!$C$202+$A$6:$A$51*('Cálculos'!$C$290=2)*'Cálculos'!$C$101)+'Cálculos'!$C$203)*('Cálculos'!$C$211+'Cálculos'!$C$124*(1+2.78*('Cálculos'!$C$196+(($C11)-$A$6:$A$51)*'Cálculos'!$C$98)/(('Cálculos'!$C$196+(($C11)-$A$6:$A$51)*'Cálculos'!$C$98)+1400)+'Cálculos'!$C$122)*'Cálculos'!$C$216+'Cálculos'!$C$125*(1+2.78*('Cálculos'!$C$196+(($C11)-$A$6:$A$51)*'Cálculos'!$C$98)/(('Cálculos'!$C$196+(($C11)-$A$6:$A$51)*'Cálculos'!$C$98)+1400)+'Cálculos'!$C$123)*'Cálculos'!$C$221)+('Cálculos'!$C$204*(1+'Cálculos'!$C$205+$A$6:$A$51*('Cálculos'!$C$290=3)*'Cálculos'!$C$103)+'Cálculos'!$C$206)*('Cálculos'!$C$212+'Cálculos'!$C$124*(1+2.78*('Cálculos'!$C$196+(($C11)-$A$6:$A$51)*'Cálculos'!$C$98)/(('Cálculos'!$C$196+(($C11)-$A$6:$A$51)*'Cálculos'!$C$98)+1400)+'Cálculos'!$C$122)*'Cálculos'!$C$217+'Cálculos'!$C$125*(1+2.78*('Cálculos'!$C$196+(($C11)-$A$6:$A$51)*'Cálculos'!$C$98)/(('Cálculos'!$C$196+(($C11)-$A$6:$A$51)*'Cálculos'!$C$98)+1400)+'Cálculos'!$C$123)*'Cálculos'!$C$222)+('Cálculos'!$C$213+'Cálculos'!$C$124*(1+2.78*('Cálculos'!$C$196+(($C11)-$A$6:$A$51)*'Cálculos'!$C$98)/(('Cálculos'!$C$196+(($C11)-$A$6:$A$51)*'Cálculos'!$C$98)+1400)+'Cálculos'!$C$122)*'Cálculos'!$C$218+'Cálculos'!$C$125*(1+2.78*('Cálculos'!$C$196+(($C11)-$A$6:$A$51)*'Cálculos'!$C$98)/(('Cálculos'!$C$196+(($C11)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11)-$A$6:$A$51)*'Cálculos'!$C$98)/(('Cálculos'!$C$197+(($C11)-$A$6:$A$51)*'Cálculos'!$C$98)+1400)+'Cálculos'!$C$122)*'Cálculos'!$C$229+'Cálculos'!$C$125*(1+2.78*('Cálculos'!$C$197+(($C11)-$A$6:$A$51)*'Cálculos'!$C$98)/(('Cálculos'!$C$197+(($C11)-$A$6:$A$51)*'Cálculos'!$C$98)+1400)+'Cálculos'!$C$123)*'Cálculos'!$C$234)+('Cálculos'!$C$197+(($C11)-$A$6:$A$51)*'Cálculos'!$C$98)*('Cálculos'!$C$225+'Cálculos'!$C$124*(1+2.78*('Cálculos'!$C$197+(($C11)-$A$6:$A$51)*'Cálculos'!$C$98)/(('Cálculos'!$C$197+(($C11)-$A$6:$A$51)*'Cálculos'!$C$98)+1400)+'Cálculos'!$C$122)*'Cálculos'!$C$230+'Cálculos'!$C$125*(1+2.78*('Cálculos'!$C$197+(($C11)-$A$6:$A$51)*'Cálculos'!$C$98)/(('Cálculos'!$C$197+(($C11)-$A$6:$A$51)*'Cálculos'!$C$98)+1400)+'Cálculos'!$C$123)*'Cálculos'!$C$235)+('Cálculos'!$C$201*(1+'Cálculos'!$C$202+$A$6:$A$51*('Cálculos'!$C$290=2)*'Cálculos'!$C$101)+'Cálculos'!$C$203)*('Cálculos'!$C$226+'Cálculos'!$C$124*(1+2.78*('Cálculos'!$C$197+(($C11)-$A$6:$A$51)*'Cálculos'!$C$98)/(('Cálculos'!$C$197+(($C11)-$A$6:$A$51)*'Cálculos'!$C$98)+1400)+'Cálculos'!$C$122)*'Cálculos'!$C$231+'Cálculos'!$C$125*(1+2.78*('Cálculos'!$C$197+(($C11)-$A$6:$A$51)*'Cálculos'!$C$98)/(('Cálculos'!$C$197+(($C11)-$A$6:$A$51)*'Cálculos'!$C$98)+1400)+'Cálculos'!$C$123)*'Cálculos'!$C$236)+('Cálculos'!$C$204*(1+'Cálculos'!$C$205+$A$6:$A$51*('Cálculos'!$C$290=3)*'Cálculos'!$C$103)+'Cálculos'!$C$206)*('Cálculos'!$C$227+'Cálculos'!$C$124*(1+2.78*('Cálculos'!$C$197+(($C11)-$A$6:$A$51)*'Cálculos'!$C$98)/(('Cálculos'!$C$197+(($C11)-$A$6:$A$51)*'Cálculos'!$C$98)+1400)+'Cálculos'!$C$122)*'Cálculos'!$C$232+'Cálculos'!$C$125*(1+2.78*('Cálculos'!$C$197+(($C11)-$A$6:$A$51)*'Cálculos'!$C$98)/(('Cálculos'!$C$197+(($C11)-$A$6:$A$51)*'Cálculos'!$C$98)+1400)+'Cálculos'!$C$123)*'Cálculos'!$C$237)+('Cálculos'!$C$228+'Cálculos'!$C$124*(1+2.78*('Cálculos'!$C$197+(($C11)-$A$6:$A$51)*'Cálculos'!$C$98)/(('Cálculos'!$C$197+(($C11)-$A$6:$A$51)*'Cálculos'!$C$98)+1400)+'Cálculos'!$C$122)*'Cálculos'!$C$233+'Cálculos'!$C$125*(1+2.78*('Cálculos'!$C$197+(($C11)-$A$6:$A$51)*'Cálculos'!$C$98)/(('Cálculos'!$C$197+(($C11)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11)-$A$6:$A$51)*'Cálculos'!$C$98)/(('Cálculos'!$C$198+(($C11)-$A$6:$A$51)*'Cálculos'!$C$98)+1400)+'Cálculos'!$C$122)*'Cálculos'!$C$244+'Cálculos'!$C$125*(1+2.78*('Cálculos'!$C$198+(($C11)-$A$6:$A$51)*'Cálculos'!$C$98)/(('Cálculos'!$C$198+(($C11)-$A$6:$A$51)*'Cálculos'!$C$98)+1400)+'Cálculos'!$C$123)*'Cálculos'!$C$249)+('Cálculos'!$C$198+(($C11)-$A$6:$A$51)*'Cálculos'!$C$98)*('Cálculos'!$C$240+'Cálculos'!$C$124*(1+2.78*('Cálculos'!$C$198+(($C11)-$A$6:$A$51)*'Cálculos'!$C$98)/(('Cálculos'!$C$198+(($C11)-$A$6:$A$51)*'Cálculos'!$C$98)+1400)+'Cálculos'!$C$122)*'Cálculos'!$C$245+'Cálculos'!$C$125*(1+2.78*('Cálculos'!$C$198+(($C11)-$A$6:$A$51)*'Cálculos'!$C$98)/(('Cálculos'!$C$198+(($C11)-$A$6:$A$51)*'Cálculos'!$C$98)+1400)+'Cálculos'!$C$123)*'Cálculos'!$C$250)+('Cálculos'!$C$201*(1+'Cálculos'!$C$202+$A$6:$A$51*('Cálculos'!$C$290=2)*'Cálculos'!$C$101)+'Cálculos'!$C$203)*('Cálculos'!$C$241+'Cálculos'!$C$124*(1+2.78*('Cálculos'!$C$198+(($C11)-$A$6:$A$51)*'Cálculos'!$C$98)/(('Cálculos'!$C$198+(($C11)-$A$6:$A$51)*'Cálculos'!$C$98)+1400)+'Cálculos'!$C$122)*'Cálculos'!$C$246+'Cálculos'!$C$125*(1+2.78*('Cálculos'!$C$198+(($C11)-$A$6:$A$51)*'Cálculos'!$C$98)/(('Cálculos'!$C$198+(($C11)-$A$6:$A$51)*'Cálculos'!$C$98)+1400)+'Cálculos'!$C$123)*'Cálculos'!$C$251)+('Cálculos'!$C$204*(1+'Cálculos'!$C$205+$A$6:$A$51*('Cálculos'!$C$290=3)*'Cálculos'!$C$103)+'Cálculos'!$C$206)*('Cálculos'!$C$242+'Cálculos'!$C$124*(1+2.78*('Cálculos'!$C$198+(($C11)-$A$6:$A$51)*'Cálculos'!$C$98)/(('Cálculos'!$C$198+(($C11)-$A$6:$A$51)*'Cálculos'!$C$98)+1400)+'Cálculos'!$C$122)*'Cálculos'!$C$247+'Cálculos'!$C$125*(1+2.78*('Cálculos'!$C$198+(($C11)-$A$6:$A$51)*'Cálculos'!$C$98)/(('Cálculos'!$C$198+(($C11)-$A$6:$A$51)*'Cálculos'!$C$98)+1400)+'Cálculos'!$C$123)*'Cálculos'!$C$252)+('Cálculos'!$C$243+'Cálculos'!$C$124*(1+2.78*('Cálculos'!$C$198+(($C11)-$A$6:$A$51)*'Cálculos'!$C$98)/(('Cálculos'!$C$198+(($C11)-$A$6:$A$51)*'Cálculos'!$C$98)+1400)+'Cálculos'!$C$122)*'Cálculos'!$C$248+'Cálculos'!$C$125*(1+2.78*('Cálculos'!$C$198+(($C11)-$A$6:$A$51)*'Cálculos'!$C$98)/(('Cálculos'!$C$198+(($C11)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11)-$A$6:$A$51)*'Cálculos'!$C$98)/(('Cálculos'!$C$199+(($C11)-$A$6:$A$51)*'Cálculos'!$C$98)+1400)+'Cálculos'!$C$122)*'Cálculos'!$C$259+'Cálculos'!$C$125*(1+2.78*('Cálculos'!$C$199+(($C11)-$A$6:$A$51)*'Cálculos'!$C$98)/(('Cálculos'!$C$199+(($C11)-$A$6:$A$51)*'Cálculos'!$C$98)+1400)+'Cálculos'!$C$123)*'Cálculos'!$C$264)+('Cálculos'!$C$199+(($C11)-$A$6:$A$51)*'Cálculos'!$C$98)*('Cálculos'!$C$255+'Cálculos'!$C$124*(1+2.78*('Cálculos'!$C$199+(($C11)-$A$6:$A$51)*'Cálculos'!$C$98)/(('Cálculos'!$C$199+(($C11)-$A$6:$A$51)*'Cálculos'!$C$98)+1400)+'Cálculos'!$C$122)*'Cálculos'!$C$260+'Cálculos'!$C$125*(1+2.78*('Cálculos'!$C$199+(($C11)-$A$6:$A$51)*'Cálculos'!$C$98)/(('Cálculos'!$C$199+(($C11)-$A$6:$A$51)*'Cálculos'!$C$98)+1400)+'Cálculos'!$C$123)*'Cálculos'!$C$265)+('Cálculos'!$C$201*(1+'Cálculos'!$C$202+$A$6:$A$51*('Cálculos'!$C$290=2)*'Cálculos'!$C$101)+'Cálculos'!$C$203)*('Cálculos'!$C$256+'Cálculos'!$C$124*(1+2.78*('Cálculos'!$C$199+(($C11)-$A$6:$A$51)*'Cálculos'!$C$98)/(('Cálculos'!$C$199+(($C11)-$A$6:$A$51)*'Cálculos'!$C$98)+1400)+'Cálculos'!$C$122)*'Cálculos'!$C$261+'Cálculos'!$C$125*(1+2.78*('Cálculos'!$C$199+(($C11)-$A$6:$A$51)*'Cálculos'!$C$98)/(('Cálculos'!$C$199+(($C11)-$A$6:$A$51)*'Cálculos'!$C$98)+1400)+'Cálculos'!$C$123)*'Cálculos'!$C$266)+('Cálculos'!$C$204*(1+'Cálculos'!$C$205+$A$6:$A$51*('Cálculos'!$C$290=3)*'Cálculos'!$C$103)+'Cálculos'!$C$206)*('Cálculos'!$C$257+'Cálculos'!$C$124*(1+2.78*('Cálculos'!$C$199+(($C11)-$A$6:$A$51)*'Cálculos'!$C$98)/(('Cálculos'!$C$199+(($C11)-$A$6:$A$51)*'Cálculos'!$C$98)+1400)+'Cálculos'!$C$122)*'Cálculos'!$C$262+'Cálculos'!$C$125*(1+2.78*('Cálculos'!$C$199+(($C11)-$A$6:$A$51)*'Cálculos'!$C$98)/(('Cálculos'!$C$199+(($C11)-$A$6:$A$51)*'Cálculos'!$C$98)+1400)+'Cálculos'!$C$123)*'Cálculos'!$C$267)+('Cálculos'!$C$258+'Cálculos'!$C$124*(1+2.78*('Cálculos'!$C$199+(($C11)-$A$6:$A$51)*'Cálculos'!$C$98)/(('Cálculos'!$C$199+(($C11)-$A$6:$A$51)*'Cálculos'!$C$98)+1400)+'Cálculos'!$C$122)*'Cálculos'!$C$263+'Cálculos'!$C$125*(1+2.78*('Cálculos'!$C$199+(($C11)-$A$6:$A$51)*'Cálculos'!$C$98)/(('Cálculos'!$C$199+(($C11)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11)-$A$6:$A$51)*'Cálculos'!$C$98)/(('Cálculos'!$C$200+(($C11)-$A$6:$A$51)*'Cálculos'!$C$98)+1400)+'Cálculos'!$C$122)*'Cálculos'!$C$274+'Cálculos'!$C$125*(1+2.78*('Cálculos'!$C$200+(($C11)-$A$6:$A$51)*'Cálculos'!$C$98)/(('Cálculos'!$C$200+(($C11)-$A$6:$A$51)*'Cálculos'!$C$98)+1400)+'Cálculos'!$C$123)*'Cálculos'!$C$279)+('Cálculos'!$C$200+(($C11)-$A$6:$A$51)*'Cálculos'!$C$98)*('Cálculos'!$C$270+'Cálculos'!$C$124*(1+2.78*('Cálculos'!$C$200+(($C11)-$A$6:$A$51)*'Cálculos'!$C$98)/(('Cálculos'!$C$200+(($C11)-$A$6:$A$51)*'Cálculos'!$C$98)+1400)+'Cálculos'!$C$122)*'Cálculos'!$C$275+'Cálculos'!$C$125*(1+2.78*('Cálculos'!$C$200+(($C11)-$A$6:$A$51)*'Cálculos'!$C$98)/(('Cálculos'!$C$200+(($C11)-$A$6:$A$51)*'Cálculos'!$C$98)+1400)+'Cálculos'!$C$123)*'Cálculos'!$C$280)+('Cálculos'!$C$201*(1+'Cálculos'!$C$202+$A$6:$A$51*('Cálculos'!$C$290=2)*'Cálculos'!$C$101)+'Cálculos'!$C$203)*('Cálculos'!$C$271+'Cálculos'!$C$124*(1+2.78*('Cálculos'!$C$200+(($C11)-$A$6:$A$51)*'Cálculos'!$C$98)/(('Cálculos'!$C$200+(($C11)-$A$6:$A$51)*'Cálculos'!$C$98)+1400)+'Cálculos'!$C$122)*'Cálculos'!$C$276+'Cálculos'!$C$125*(1+2.78*('Cálculos'!$C$200+(($C11)-$A$6:$A$51)*'Cálculos'!$C$98)/(('Cálculos'!$C$200+(($C11)-$A$6:$A$51)*'Cálculos'!$C$98)+1400)+'Cálculos'!$C$123)*'Cálculos'!$C$281)+('Cálculos'!$C$204*(1+'Cálculos'!$C$205+$A$6:$A$51*('Cálculos'!$C$290=3)*'Cálculos'!$C$103)+'Cálculos'!$C$206)*('Cálculos'!$C$272+'Cálculos'!$C$124*(1+2.78*('Cálculos'!$C$200+(($C11)-$A$6:$A$51)*'Cálculos'!$C$98)/(('Cálculos'!$C$200+(($C11)-$A$6:$A$51)*'Cálculos'!$C$98)+1400)+'Cálculos'!$C$122)*'Cálculos'!$C$277+'Cálculos'!$C$125*(1+2.78*('Cálculos'!$C$200+(($C11)-$A$6:$A$51)*'Cálculos'!$C$98)/(('Cálculos'!$C$200+(($C11)-$A$6:$A$51)*'Cálculos'!$C$98)+1400)+'Cálculos'!$C$123)*'Cálculos'!$C$282)+('Cálculos'!$C$273+'Cálculos'!$C$124*(1+2.78*('Cálculos'!$C$200+(($C11)-$A$6:$A$51)*'Cálculos'!$C$98)/(('Cálculos'!$C$200+(($C11)-$A$6:$A$51)*'Cálculos'!$C$98)+1400)+'Cálculos'!$C$122)*'Cálculos'!$C$278+'Cálculos'!$C$125*(1+2.78*('Cálculos'!$C$200+(($C11)-$A$6:$A$51)*'Cálculos'!$C$98)/(('Cálculos'!$C$200+(($C11)-$A$6:$A$51)*'Cálculos'!$C$98)+1400)+'Cálculos'!$C$123)*'Cálculos'!$C$283)))))</f>
        <v>1223344.22</v>
      </c>
      <c r="E11" s="32">
        <f>IF(OR($C11&lt;0,'Cálculos'!$C$6=""),0,$B11*$D11)</f>
        <v>3147062.794</v>
      </c>
      <c r="F11" s="2"/>
      <c r="G11" s="30">
        <f>($A11&lt;=$B$53)*($A11&lt;='Cálculos'!$C$294)*(($B$53)-$A11&lt;='Cálculos'!$C$295)*(1+MIN(('Cálculos'!$C$207+$A11*'Cálculos'!$C$95),1)*('Cálculos'!$C$208+(($B$53)-$A11)*'Cálculos'!$C$96))</f>
        <v>3.146774</v>
      </c>
      <c r="H11" s="31">
        <f>IF($B$54&lt;0,0,($A11&lt;=$B$54)*($A11&lt;='Cálculos'!$C$301)*(($B$54)-$A11&lt;='Cálculos'!$C$297)*(('Cálculos'!$C$185*(1+'Cálculos'!$C$186+$A11*('Cálculos'!$C$290=1)*'Cálculos'!$C$97+'Cálculos'!$C$305)+'Cálculos'!$C$191)*('Cálculos'!$C$209+'Cálculos'!$C$124*(1+2.78*('Cálculos'!$C$196+(($B$54)-$A11)*'Cálculos'!$C$98)/(('Cálculos'!$C$196+(($B$54)-$A11)*'Cálculos'!$C$98)+1400)+'Cálculos'!$C$122)*'Cálculos'!$C$214+'Cálculos'!$C$125*(1+2.78*('Cálculos'!$C$196+(($B$54)-$A11)*'Cálculos'!$C$98)/(('Cálculos'!$C$196+(($B$54)-$A11)*'Cálculos'!$C$98)+1400)+'Cálculos'!$C$123)*'Cálculos'!$C$219)+('Cálculos'!$C$196+(($B$54)-$A11)*'Cálculos'!$C$98)*('Cálculos'!$C$210+'Cálculos'!$C$124*(1+2.78*('Cálculos'!$C$196+(($B$54)-$A11)*'Cálculos'!$C$98)/(('Cálculos'!$C$196+(($B$54)-$A11)*'Cálculos'!$C$98)+1400)+'Cálculos'!$C$122)*'Cálculos'!$C$215+'Cálculos'!$C$125*(1+2.78*('Cálculos'!$C$196+(($B$54)-$A11)*'Cálculos'!$C$98)/(('Cálculos'!$C$196+(($B$54)-$A11)*'Cálculos'!$C$98)+1400)+'Cálculos'!$C$123)*'Cálculos'!$C$220)+('Cálculos'!$C$201*(1+'Cálculos'!$C$202+$A11*('Cálculos'!$C$290=2)*'Cálculos'!$C$101)+'Cálculos'!$C$203)*('Cálculos'!$C$211+'Cálculos'!$C$124*(1+2.78*('Cálculos'!$C$196+(($B$54)-$A11)*'Cálculos'!$C$98)/(('Cálculos'!$C$196+(($B$54)-$A11)*'Cálculos'!$C$98)+1400)+'Cálculos'!$C$122)*'Cálculos'!$C$216+'Cálculos'!$C$125*(1+2.78*('Cálculos'!$C$196+(($B$54)-$A11)*'Cálculos'!$C$98)/(('Cálculos'!$C$196+(($B$54)-$A11)*'Cálculos'!$C$98)+1400)+'Cálculos'!$C$123)*'Cálculos'!$C$221)+('Cálculos'!$C$204*(1+'Cálculos'!$C$205+$A11*('Cálculos'!$C$290=3)*'Cálculos'!$C$103)+'Cálculos'!$C$206)*('Cálculos'!$C$212+'Cálculos'!$C$124*(1+2.78*('Cálculos'!$C$196+(($B$54)-$A11)*'Cálculos'!$C$98)/(('Cálculos'!$C$196+(($B$54)-$A11)*'Cálculos'!$C$98)+1400)+'Cálculos'!$C$122)*'Cálculos'!$C$217+'Cálculos'!$C$125*(1+2.78*('Cálculos'!$C$196+(($B$54)-$A11)*'Cálculos'!$C$98)/(('Cálculos'!$C$196+(($B$54)-$A11)*'Cálculos'!$C$98)+1400)+'Cálculos'!$C$123)*'Cálculos'!$C$222)+('Cálculos'!$C$213+'Cálculos'!$C$124*(1+2.78*('Cálculos'!$C$196+(($B$54)-$A11)*'Cálculos'!$C$98)/(('Cálculos'!$C$196+(($B$54)-$A11)*'Cálculos'!$C$98)+1400)+'Cálculos'!$C$122)*'Cálculos'!$C$218+'Cálculos'!$C$125*(1+2.78*('Cálculos'!$C$196+(($B$54)-$A11)*'Cálculos'!$C$98)/(('Cálculos'!$C$196+(($B$54)-$A11)*'Cálculos'!$C$98)+1400)+'Cálculos'!$C$123)*'Cálculos'!$C$223)+('Cálculos'!$C$185*(1+'Cálculos'!$C$187+$A11*('Cálculos'!$C$290=1)*'Cálculos'!$C$97+'Cálculos'!$C$305)+'Cálculos'!$C$192)*('Cálculos'!$C$224+'Cálculos'!$C$124*(1+2.78*('Cálculos'!$C$197+(($B$54)-$A11)*'Cálculos'!$C$98)/(('Cálculos'!$C$197+(($B$54)-$A11)*'Cálculos'!$C$98)+1400)+'Cálculos'!$C$122)*'Cálculos'!$C$229+'Cálculos'!$C$125*(1+2.78*('Cálculos'!$C$197+(($B$54)-$A11)*'Cálculos'!$C$98)/(('Cálculos'!$C$197+(($B$54)-$A11)*'Cálculos'!$C$98)+1400)+'Cálculos'!$C$123)*'Cálculos'!$C$234)+('Cálculos'!$C$197+(($B$54)-$A11)*'Cálculos'!$C$98)*('Cálculos'!$C$225+'Cálculos'!$C$124*(1+2.78*('Cálculos'!$C$197+(($B$54)-$A11)*'Cálculos'!$C$98)/(('Cálculos'!$C$197+(($B$54)-$A11)*'Cálculos'!$C$98)+1400)+'Cálculos'!$C$122)*'Cálculos'!$C$230+'Cálculos'!$C$125*(1+2.78*('Cálculos'!$C$197+(($B$54)-$A11)*'Cálculos'!$C$98)/(('Cálculos'!$C$197+(($B$54)-$A11)*'Cálculos'!$C$98)+1400)+'Cálculos'!$C$123)*'Cálculos'!$C$235)+('Cálculos'!$C$201*(1+'Cálculos'!$C$202+$A11*('Cálculos'!$C$290=2)*'Cálculos'!$C$101)+'Cálculos'!$C$203)*('Cálculos'!$C$226+'Cálculos'!$C$124*(1+2.78*('Cálculos'!$C$197+(($B$54)-$A11)*'Cálculos'!$C$98)/(('Cálculos'!$C$197+(($B$54)-$A11)*'Cálculos'!$C$98)+1400)+'Cálculos'!$C$122)*'Cálculos'!$C$231+'Cálculos'!$C$125*(1+2.78*('Cálculos'!$C$197+(($B$54)-$A11)*'Cálculos'!$C$98)/(('Cálculos'!$C$197+(($B$54)-$A11)*'Cálculos'!$C$98)+1400)+'Cálculos'!$C$123)*'Cálculos'!$C$236)+('Cálculos'!$C$204*(1+'Cálculos'!$C$205+$A11*('Cálculos'!$C$290=3)*'Cálculos'!$C$103)+'Cálculos'!$C$206)*('Cálculos'!$C$227+'Cálculos'!$C$124*(1+2.78*('Cálculos'!$C$197+(($B$54)-$A11)*'Cálculos'!$C$98)/(('Cálculos'!$C$197+(($B$54)-$A11)*'Cálculos'!$C$98)+1400)+'Cálculos'!$C$122)*'Cálculos'!$C$232+'Cálculos'!$C$125*(1+2.78*('Cálculos'!$C$197+(($B$54)-$A11)*'Cálculos'!$C$98)/(('Cálculos'!$C$197+(($B$54)-$A11)*'Cálculos'!$C$98)+1400)+'Cálculos'!$C$123)*'Cálculos'!$C$237)+('Cálculos'!$C$228+'Cálculos'!$C$124*(1+2.78*('Cálculos'!$C$197+(($B$54)-$A11)*'Cálculos'!$C$98)/(('Cálculos'!$C$197+(($B$54)-$A11)*'Cálculos'!$C$98)+1400)+'Cálculos'!$C$122)*'Cálculos'!$C$233+'Cálculos'!$C$125*(1+2.78*('Cálculos'!$C$197+(($B$54)-$A11)*'Cálculos'!$C$98)/(('Cálculos'!$C$197+(($B$54)-$A11)*'Cálculos'!$C$98)+1400)+'Cálculos'!$C$123)*'Cálculos'!$C$238)+('Cálculos'!$C$185*(1+'Cálculos'!$C$188+$A11*('Cálculos'!$C$290=1)*'Cálculos'!$C$97+'Cálculos'!$C$305)+'Cálculos'!$C$193)*('Cálculos'!$C$239+'Cálculos'!$C$124*(1+2.78*('Cálculos'!$C$198+(($B$54)-$A11)*'Cálculos'!$C$98)/(('Cálculos'!$C$198+(($B$54)-$A11)*'Cálculos'!$C$98)+1400)+'Cálculos'!$C$122)*'Cálculos'!$C$244+'Cálculos'!$C$125*(1+2.78*('Cálculos'!$C$198+(($B$54)-$A11)*'Cálculos'!$C$98)/(('Cálculos'!$C$198+(($B$54)-$A11)*'Cálculos'!$C$98)+1400)+'Cálculos'!$C$123)*'Cálculos'!$C$249)+('Cálculos'!$C$198+(($B$54)-$A11)*'Cálculos'!$C$98)*('Cálculos'!$C$240+'Cálculos'!$C$124*(1+2.78*('Cálculos'!$C$198+(($B$54)-$A11)*'Cálculos'!$C$98)/(('Cálculos'!$C$198+(($B$54)-$A11)*'Cálculos'!$C$98)+1400)+'Cálculos'!$C$122)*'Cálculos'!$C$245+'Cálculos'!$C$125*(1+2.78*('Cálculos'!$C$198+(($B$54)-$A11)*'Cálculos'!$C$98)/(('Cálculos'!$C$198+(($B$54)-$A11)*'Cálculos'!$C$98)+1400)+'Cálculos'!$C$123)*'Cálculos'!$C$250)+('Cálculos'!$C$201*(1+'Cálculos'!$C$202+$A11*('Cálculos'!$C$290=2)*'Cálculos'!$C$101)+'Cálculos'!$C$203)*('Cálculos'!$C$241+'Cálculos'!$C$124*(1+2.78*('Cálculos'!$C$198+(($B$54)-$A11)*'Cálculos'!$C$98)/(('Cálculos'!$C$198+(($B$54)-$A11)*'Cálculos'!$C$98)+1400)+'Cálculos'!$C$122)*'Cálculos'!$C$246+'Cálculos'!$C$125*(1+2.78*('Cálculos'!$C$198+(($B$54)-$A11)*'Cálculos'!$C$98)/(('Cálculos'!$C$198+(($B$54)-$A11)*'Cálculos'!$C$98)+1400)+'Cálculos'!$C$123)*'Cálculos'!$C$251)+('Cálculos'!$C$204*(1+'Cálculos'!$C$205+$A11*('Cálculos'!$C$290=3)*'Cálculos'!$C$103)+'Cálculos'!$C$206)*('Cálculos'!$C$242+'Cálculos'!$C$124*(1+2.78*('Cálculos'!$C$198+(($B$54)-$A11)*'Cálculos'!$C$98)/(('Cálculos'!$C$198+(($B$54)-$A11)*'Cálculos'!$C$98)+1400)+'Cálculos'!$C$122)*'Cálculos'!$C$247+'Cálculos'!$C$125*(1+2.78*('Cálculos'!$C$198+(($B$54)-$A11)*'Cálculos'!$C$98)/(('Cálculos'!$C$198+(($B$54)-$A11)*'Cálculos'!$C$98)+1400)+'Cálculos'!$C$123)*'Cálculos'!$C$252)+('Cálculos'!$C$243+'Cálculos'!$C$124*(1+2.78*('Cálculos'!$C$198+(($B$54)-$A11)*'Cálculos'!$C$98)/(('Cálculos'!$C$198+(($B$54)-$A11)*'Cálculos'!$C$98)+1400)+'Cálculos'!$C$122)*'Cálculos'!$C$248+'Cálculos'!$C$125*(1+2.78*('Cálculos'!$C$198+(($B$54)-$A11)*'Cálculos'!$C$98)/(('Cálculos'!$C$198+(($B$54)-$A11)*'Cálculos'!$C$98)+1400)+'Cálculos'!$C$123)*'Cálculos'!$C$253)+('Cálculos'!$C$185*(1+'Cálculos'!$C$189+$A11*('Cálculos'!$C$290=1)*'Cálculos'!$C$97+'Cálculos'!$C$305)+'Cálculos'!$C$194)*('Cálculos'!$C$254+'Cálculos'!$C$124*(1+2.78*('Cálculos'!$C$199+(($B$54)-$A11)*'Cálculos'!$C$98)/(('Cálculos'!$C$199+(($B$54)-$A11)*'Cálculos'!$C$98)+1400)+'Cálculos'!$C$122)*'Cálculos'!$C$259+'Cálculos'!$C$125*(1+2.78*('Cálculos'!$C$199+(($B$54)-$A11)*'Cálculos'!$C$98)/(('Cálculos'!$C$199+(($B$54)-$A11)*'Cálculos'!$C$98)+1400)+'Cálculos'!$C$123)*'Cálculos'!$C$264)+('Cálculos'!$C$199+(($B$54)-$A11)*'Cálculos'!$C$98)*('Cálculos'!$C$255+'Cálculos'!$C$124*(1+2.78*('Cálculos'!$C$199+(($B$54)-$A11)*'Cálculos'!$C$98)/(('Cálculos'!$C$199+(($B$54)-$A11)*'Cálculos'!$C$98)+1400)+'Cálculos'!$C$122)*'Cálculos'!$C$260+'Cálculos'!$C$125*(1+2.78*('Cálculos'!$C$199+(($B$54)-$A11)*'Cálculos'!$C$98)/(('Cálculos'!$C$199+(($B$54)-$A11)*'Cálculos'!$C$98)+1400)+'Cálculos'!$C$123)*'Cálculos'!$C$265)+('Cálculos'!$C$201*(1+'Cálculos'!$C$202+$A11*('Cálculos'!$C$290=2)*'Cálculos'!$C$101)+'Cálculos'!$C$203)*('Cálculos'!$C$256+'Cálculos'!$C$124*(1+2.78*('Cálculos'!$C$199+(($B$54)-$A11)*'Cálculos'!$C$98)/(('Cálculos'!$C$199+(($B$54)-$A11)*'Cálculos'!$C$98)+1400)+'Cálculos'!$C$122)*'Cálculos'!$C$261+'Cálculos'!$C$125*(1+2.78*('Cálculos'!$C$199+(($B$54)-$A11)*'Cálculos'!$C$98)/(('Cálculos'!$C$199+(($B$54)-$A11)*'Cálculos'!$C$98)+1400)+'Cálculos'!$C$123)*'Cálculos'!$C$266)+('Cálculos'!$C$204*(1+'Cálculos'!$C$205+$A11*('Cálculos'!$C$290=3)*'Cálculos'!$C$103)+'Cálculos'!$C$206)*('Cálculos'!$C$257+'Cálculos'!$C$124*(1+2.78*('Cálculos'!$C$199+(($B$54)-$A11)*'Cálculos'!$C$98)/(('Cálculos'!$C$199+(($B$54)-$A11)*'Cálculos'!$C$98)+1400)+'Cálculos'!$C$122)*'Cálculos'!$C$262+'Cálculos'!$C$125*(1+2.78*('Cálculos'!$C$199+(($B$54)-$A11)*'Cálculos'!$C$98)/(('Cálculos'!$C$199+(($B$54)-$A11)*'Cálculos'!$C$98)+1400)+'Cálculos'!$C$123)*'Cálculos'!$C$267)+('Cálculos'!$C$258+'Cálculos'!$C$124*(1+2.78*('Cálculos'!$C$199+(($B$54)-$A11)*'Cálculos'!$C$98)/(('Cálculos'!$C$199+(($B$54)-$A11)*'Cálculos'!$C$98)+1400)+'Cálculos'!$C$122)*'Cálculos'!$C$263+'Cálculos'!$C$125*(1+2.78*('Cálculos'!$C$199+(($B$54)-$A11)*'Cálculos'!$C$98)/(('Cálculos'!$C$199+(($B$54)-$A11)*'Cálculos'!$C$98)+1400)+'Cálculos'!$C$123)*'Cálculos'!$C$268)+('Cálculos'!$C$185*(1+'Cálculos'!$C$190+$A11*('Cálculos'!$C$290=1)*'Cálculos'!$C$97+'Cálculos'!$C$305)+'Cálculos'!$C$195)*('Cálculos'!$C$269+'Cálculos'!$C$124*(1+2.78*('Cálculos'!$C$200+(($B$54)-$A11)*'Cálculos'!$C$98)/(('Cálculos'!$C$200+(($B$54)-$A11)*'Cálculos'!$C$98)+1400)+'Cálculos'!$C$122)*'Cálculos'!$C$274+'Cálculos'!$C$125*(1+2.78*('Cálculos'!$C$200+(($B$54)-$A11)*'Cálculos'!$C$98)/(('Cálculos'!$C$200+(($B$54)-$A11)*'Cálculos'!$C$98)+1400)+'Cálculos'!$C$123)*'Cálculos'!$C$279)+('Cálculos'!$C$200+(($B$54)-$A11)*'Cálculos'!$C$98)*('Cálculos'!$C$270+'Cálculos'!$C$124*(1+2.78*('Cálculos'!$C$200+(($B$54)-$A11)*'Cálculos'!$C$98)/(('Cálculos'!$C$200+(($B$54)-$A11)*'Cálculos'!$C$98)+1400)+'Cálculos'!$C$122)*'Cálculos'!$C$275+'Cálculos'!$C$125*(1+2.78*('Cálculos'!$C$200+(($B$54)-$A11)*'Cálculos'!$C$98)/(('Cálculos'!$C$200+(($B$54)-$A11)*'Cálculos'!$C$98)+1400)+'Cálculos'!$C$123)*'Cálculos'!$C$280)+('Cálculos'!$C$201*(1+'Cálculos'!$C$202+$A11*('Cálculos'!$C$290=2)*'Cálculos'!$C$101)+'Cálculos'!$C$203)*('Cálculos'!$C$271+'Cálculos'!$C$124*(1+2.78*('Cálculos'!$C$200+(($B$54)-$A11)*'Cálculos'!$C$98)/(('Cálculos'!$C$200+(($B$54)-$A11)*'Cálculos'!$C$98)+1400)+'Cálculos'!$C$122)*'Cálculos'!$C$276+'Cálculos'!$C$125*(1+2.78*('Cálculos'!$C$200+(($B$54)-$A11)*'Cálculos'!$C$98)/(('Cálculos'!$C$200+(($B$54)-$A11)*'Cálculos'!$C$98)+1400)+'Cálculos'!$C$123)*'Cálculos'!$C$281)+('Cálculos'!$C$204*(1+'Cálculos'!$C$205+$A11*('Cálculos'!$C$290=3)*'Cálculos'!$C$103)+'Cálculos'!$C$206)*('Cálculos'!$C$272+'Cálculos'!$C$124*(1+2.78*('Cálculos'!$C$200+(($B$54)-$A11)*'Cálculos'!$C$98)/(('Cálculos'!$C$200+(($B$54)-$A11)*'Cálculos'!$C$98)+1400)+'Cálculos'!$C$122)*'Cálculos'!$C$277+'Cálculos'!$C$125*(1+2.78*('Cálculos'!$C$200+(($B$54)-$A11)*'Cálculos'!$C$98)/(('Cálculos'!$C$200+(($B$54)-$A11)*'Cálculos'!$C$98)+1400)+'Cálculos'!$C$123)*'Cálculos'!$C$282)+('Cálculos'!$C$273+'Cálculos'!$C$124*(1+2.78*('Cálculos'!$C$200+(($B$54)-$A11)*'Cálculos'!$C$98)/(('Cálculos'!$C$200+(($B$54)-$A11)*'Cálculos'!$C$98)+1400)+'Cálculos'!$C$122)*'Cálculos'!$C$278+'Cálculos'!$C$125*(1+2.78*('Cálculos'!$C$200+(($B$54)-$A11)*'Cálculos'!$C$98)/(('Cálculos'!$C$200+(($B$54)-$A11)*'Cálculos'!$C$98)+1400)+'Cálculos'!$C$123)*'Cálculos'!$C$283)))</f>
        <v>0</v>
      </c>
    </row>
    <row r="12">
      <c r="A12" s="2">
        <v>6.0</v>
      </c>
      <c r="B12" s="30">
        <f>SUMPRODUCT(MAX(($A$6:$A$51&lt;=$A12)*($A$6:$A$51&lt;='Cálculos'!$C$294)*(($A12)-$A$6:$A$51&lt;='Cálculos'!$C$295)*(1+(('Cálculos'!$C$207+$A$6:$A$51*'Cálculos'!$C$95)-(('Cálculos'!$C$207+$A$6:$A$51*'Cálculos'!$C$95)&gt;1)*(('Cálculos'!$C$207+$A$6:$A$51*'Cálculos'!$C$95)-1))*('Cálculos'!$C$208+(($A12)-$A$6:$A$51)*'Cálculos'!$C$96))))</f>
        <v>2.638112</v>
      </c>
      <c r="C12" s="2">
        <f>'Cálculos'!$C$303-$A12</f>
        <v>14</v>
      </c>
      <c r="D12" s="31">
        <f>IF($C12&lt;0,0,SUMPRODUCT(MAX(($A$6:$A$51&lt;=$C12)*($A$6:$A$51&lt;='Cálculos'!$C$301)*(($C12)-$A$6:$A$51&lt;='Cálculos'!$C$297)*(('Cálculos'!$C$185*(1+'Cálculos'!$C$186+$A$6:$A$51*('Cálculos'!$C$290=1)*'Cálculos'!$C$97+'Cálculos'!$C$305)+'Cálculos'!$C$191)*('Cálculos'!$C$209+'Cálculos'!$C$124*(1+2.78*('Cálculos'!$C$196+(($C12)-$A$6:$A$51)*'Cálculos'!$C$98)/(('Cálculos'!$C$196+(($C12)-$A$6:$A$51)*'Cálculos'!$C$98)+1400)+'Cálculos'!$C$122)*'Cálculos'!$C$214+'Cálculos'!$C$125*(1+2.78*('Cálculos'!$C$196+(($C12)-$A$6:$A$51)*'Cálculos'!$C$98)/(('Cálculos'!$C$196+(($C12)-$A$6:$A$51)*'Cálculos'!$C$98)+1400)+'Cálculos'!$C$123)*'Cálculos'!$C$219)+('Cálculos'!$C$196+(($C12)-$A$6:$A$51)*'Cálculos'!$C$98)*('Cálculos'!$C$210+'Cálculos'!$C$124*(1+2.78*('Cálculos'!$C$196+(($C12)-$A$6:$A$51)*'Cálculos'!$C$98)/(('Cálculos'!$C$196+(($C12)-$A$6:$A$51)*'Cálculos'!$C$98)+1400)+'Cálculos'!$C$122)*'Cálculos'!$C$215+'Cálculos'!$C$125*(1+2.78*('Cálculos'!$C$196+(($C12)-$A$6:$A$51)*'Cálculos'!$C$98)/(('Cálculos'!$C$196+(($C12)-$A$6:$A$51)*'Cálculos'!$C$98)+1400)+'Cálculos'!$C$123)*'Cálculos'!$C$220)+('Cálculos'!$C$201*(1+'Cálculos'!$C$202+$A$6:$A$51*('Cálculos'!$C$290=2)*'Cálculos'!$C$101)+'Cálculos'!$C$203)*('Cálculos'!$C$211+'Cálculos'!$C$124*(1+2.78*('Cálculos'!$C$196+(($C12)-$A$6:$A$51)*'Cálculos'!$C$98)/(('Cálculos'!$C$196+(($C12)-$A$6:$A$51)*'Cálculos'!$C$98)+1400)+'Cálculos'!$C$122)*'Cálculos'!$C$216+'Cálculos'!$C$125*(1+2.78*('Cálculos'!$C$196+(($C12)-$A$6:$A$51)*'Cálculos'!$C$98)/(('Cálculos'!$C$196+(($C12)-$A$6:$A$51)*'Cálculos'!$C$98)+1400)+'Cálculos'!$C$123)*'Cálculos'!$C$221)+('Cálculos'!$C$204*(1+'Cálculos'!$C$205+$A$6:$A$51*('Cálculos'!$C$290=3)*'Cálculos'!$C$103)+'Cálculos'!$C$206)*('Cálculos'!$C$212+'Cálculos'!$C$124*(1+2.78*('Cálculos'!$C$196+(($C12)-$A$6:$A$51)*'Cálculos'!$C$98)/(('Cálculos'!$C$196+(($C12)-$A$6:$A$51)*'Cálculos'!$C$98)+1400)+'Cálculos'!$C$122)*'Cálculos'!$C$217+'Cálculos'!$C$125*(1+2.78*('Cálculos'!$C$196+(($C12)-$A$6:$A$51)*'Cálculos'!$C$98)/(('Cálculos'!$C$196+(($C12)-$A$6:$A$51)*'Cálculos'!$C$98)+1400)+'Cálculos'!$C$123)*'Cálculos'!$C$222)+('Cálculos'!$C$213+'Cálculos'!$C$124*(1+2.78*('Cálculos'!$C$196+(($C12)-$A$6:$A$51)*'Cálculos'!$C$98)/(('Cálculos'!$C$196+(($C12)-$A$6:$A$51)*'Cálculos'!$C$98)+1400)+'Cálculos'!$C$122)*'Cálculos'!$C$218+'Cálculos'!$C$125*(1+2.78*('Cálculos'!$C$196+(($C12)-$A$6:$A$51)*'Cálculos'!$C$98)/(('Cálculos'!$C$196+(($C12)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12)-$A$6:$A$51)*'Cálculos'!$C$98)/(('Cálculos'!$C$197+(($C12)-$A$6:$A$51)*'Cálculos'!$C$98)+1400)+'Cálculos'!$C$122)*'Cálculos'!$C$229+'Cálculos'!$C$125*(1+2.78*('Cálculos'!$C$197+(($C12)-$A$6:$A$51)*'Cálculos'!$C$98)/(('Cálculos'!$C$197+(($C12)-$A$6:$A$51)*'Cálculos'!$C$98)+1400)+'Cálculos'!$C$123)*'Cálculos'!$C$234)+('Cálculos'!$C$197+(($C12)-$A$6:$A$51)*'Cálculos'!$C$98)*('Cálculos'!$C$225+'Cálculos'!$C$124*(1+2.78*('Cálculos'!$C$197+(($C12)-$A$6:$A$51)*'Cálculos'!$C$98)/(('Cálculos'!$C$197+(($C12)-$A$6:$A$51)*'Cálculos'!$C$98)+1400)+'Cálculos'!$C$122)*'Cálculos'!$C$230+'Cálculos'!$C$125*(1+2.78*('Cálculos'!$C$197+(($C12)-$A$6:$A$51)*'Cálculos'!$C$98)/(('Cálculos'!$C$197+(($C12)-$A$6:$A$51)*'Cálculos'!$C$98)+1400)+'Cálculos'!$C$123)*'Cálculos'!$C$235)+('Cálculos'!$C$201*(1+'Cálculos'!$C$202+$A$6:$A$51*('Cálculos'!$C$290=2)*'Cálculos'!$C$101)+'Cálculos'!$C$203)*('Cálculos'!$C$226+'Cálculos'!$C$124*(1+2.78*('Cálculos'!$C$197+(($C12)-$A$6:$A$51)*'Cálculos'!$C$98)/(('Cálculos'!$C$197+(($C12)-$A$6:$A$51)*'Cálculos'!$C$98)+1400)+'Cálculos'!$C$122)*'Cálculos'!$C$231+'Cálculos'!$C$125*(1+2.78*('Cálculos'!$C$197+(($C12)-$A$6:$A$51)*'Cálculos'!$C$98)/(('Cálculos'!$C$197+(($C12)-$A$6:$A$51)*'Cálculos'!$C$98)+1400)+'Cálculos'!$C$123)*'Cálculos'!$C$236)+('Cálculos'!$C$204*(1+'Cálculos'!$C$205+$A$6:$A$51*('Cálculos'!$C$290=3)*'Cálculos'!$C$103)+'Cálculos'!$C$206)*('Cálculos'!$C$227+'Cálculos'!$C$124*(1+2.78*('Cálculos'!$C$197+(($C12)-$A$6:$A$51)*'Cálculos'!$C$98)/(('Cálculos'!$C$197+(($C12)-$A$6:$A$51)*'Cálculos'!$C$98)+1400)+'Cálculos'!$C$122)*'Cálculos'!$C$232+'Cálculos'!$C$125*(1+2.78*('Cálculos'!$C$197+(($C12)-$A$6:$A$51)*'Cálculos'!$C$98)/(('Cálculos'!$C$197+(($C12)-$A$6:$A$51)*'Cálculos'!$C$98)+1400)+'Cálculos'!$C$123)*'Cálculos'!$C$237)+('Cálculos'!$C$228+'Cálculos'!$C$124*(1+2.78*('Cálculos'!$C$197+(($C12)-$A$6:$A$51)*'Cálculos'!$C$98)/(('Cálculos'!$C$197+(($C12)-$A$6:$A$51)*'Cálculos'!$C$98)+1400)+'Cálculos'!$C$122)*'Cálculos'!$C$233+'Cálculos'!$C$125*(1+2.78*('Cálculos'!$C$197+(($C12)-$A$6:$A$51)*'Cálculos'!$C$98)/(('Cálculos'!$C$197+(($C12)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12)-$A$6:$A$51)*'Cálculos'!$C$98)/(('Cálculos'!$C$198+(($C12)-$A$6:$A$51)*'Cálculos'!$C$98)+1400)+'Cálculos'!$C$122)*'Cálculos'!$C$244+'Cálculos'!$C$125*(1+2.78*('Cálculos'!$C$198+(($C12)-$A$6:$A$51)*'Cálculos'!$C$98)/(('Cálculos'!$C$198+(($C12)-$A$6:$A$51)*'Cálculos'!$C$98)+1400)+'Cálculos'!$C$123)*'Cálculos'!$C$249)+('Cálculos'!$C$198+(($C12)-$A$6:$A$51)*'Cálculos'!$C$98)*('Cálculos'!$C$240+'Cálculos'!$C$124*(1+2.78*('Cálculos'!$C$198+(($C12)-$A$6:$A$51)*'Cálculos'!$C$98)/(('Cálculos'!$C$198+(($C12)-$A$6:$A$51)*'Cálculos'!$C$98)+1400)+'Cálculos'!$C$122)*'Cálculos'!$C$245+'Cálculos'!$C$125*(1+2.78*('Cálculos'!$C$198+(($C12)-$A$6:$A$51)*'Cálculos'!$C$98)/(('Cálculos'!$C$198+(($C12)-$A$6:$A$51)*'Cálculos'!$C$98)+1400)+'Cálculos'!$C$123)*'Cálculos'!$C$250)+('Cálculos'!$C$201*(1+'Cálculos'!$C$202+$A$6:$A$51*('Cálculos'!$C$290=2)*'Cálculos'!$C$101)+'Cálculos'!$C$203)*('Cálculos'!$C$241+'Cálculos'!$C$124*(1+2.78*('Cálculos'!$C$198+(($C12)-$A$6:$A$51)*'Cálculos'!$C$98)/(('Cálculos'!$C$198+(($C12)-$A$6:$A$51)*'Cálculos'!$C$98)+1400)+'Cálculos'!$C$122)*'Cálculos'!$C$246+'Cálculos'!$C$125*(1+2.78*('Cálculos'!$C$198+(($C12)-$A$6:$A$51)*'Cálculos'!$C$98)/(('Cálculos'!$C$198+(($C12)-$A$6:$A$51)*'Cálculos'!$C$98)+1400)+'Cálculos'!$C$123)*'Cálculos'!$C$251)+('Cálculos'!$C$204*(1+'Cálculos'!$C$205+$A$6:$A$51*('Cálculos'!$C$290=3)*'Cálculos'!$C$103)+'Cálculos'!$C$206)*('Cálculos'!$C$242+'Cálculos'!$C$124*(1+2.78*('Cálculos'!$C$198+(($C12)-$A$6:$A$51)*'Cálculos'!$C$98)/(('Cálculos'!$C$198+(($C12)-$A$6:$A$51)*'Cálculos'!$C$98)+1400)+'Cálculos'!$C$122)*'Cálculos'!$C$247+'Cálculos'!$C$125*(1+2.78*('Cálculos'!$C$198+(($C12)-$A$6:$A$51)*'Cálculos'!$C$98)/(('Cálculos'!$C$198+(($C12)-$A$6:$A$51)*'Cálculos'!$C$98)+1400)+'Cálculos'!$C$123)*'Cálculos'!$C$252)+('Cálculos'!$C$243+'Cálculos'!$C$124*(1+2.78*('Cálculos'!$C$198+(($C12)-$A$6:$A$51)*'Cálculos'!$C$98)/(('Cálculos'!$C$198+(($C12)-$A$6:$A$51)*'Cálculos'!$C$98)+1400)+'Cálculos'!$C$122)*'Cálculos'!$C$248+'Cálculos'!$C$125*(1+2.78*('Cálculos'!$C$198+(($C12)-$A$6:$A$51)*'Cálculos'!$C$98)/(('Cálculos'!$C$198+(($C12)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12)-$A$6:$A$51)*'Cálculos'!$C$98)/(('Cálculos'!$C$199+(($C12)-$A$6:$A$51)*'Cálculos'!$C$98)+1400)+'Cálculos'!$C$122)*'Cálculos'!$C$259+'Cálculos'!$C$125*(1+2.78*('Cálculos'!$C$199+(($C12)-$A$6:$A$51)*'Cálculos'!$C$98)/(('Cálculos'!$C$199+(($C12)-$A$6:$A$51)*'Cálculos'!$C$98)+1400)+'Cálculos'!$C$123)*'Cálculos'!$C$264)+('Cálculos'!$C$199+(($C12)-$A$6:$A$51)*'Cálculos'!$C$98)*('Cálculos'!$C$255+'Cálculos'!$C$124*(1+2.78*('Cálculos'!$C$199+(($C12)-$A$6:$A$51)*'Cálculos'!$C$98)/(('Cálculos'!$C$199+(($C12)-$A$6:$A$51)*'Cálculos'!$C$98)+1400)+'Cálculos'!$C$122)*'Cálculos'!$C$260+'Cálculos'!$C$125*(1+2.78*('Cálculos'!$C$199+(($C12)-$A$6:$A$51)*'Cálculos'!$C$98)/(('Cálculos'!$C$199+(($C12)-$A$6:$A$51)*'Cálculos'!$C$98)+1400)+'Cálculos'!$C$123)*'Cálculos'!$C$265)+('Cálculos'!$C$201*(1+'Cálculos'!$C$202+$A$6:$A$51*('Cálculos'!$C$290=2)*'Cálculos'!$C$101)+'Cálculos'!$C$203)*('Cálculos'!$C$256+'Cálculos'!$C$124*(1+2.78*('Cálculos'!$C$199+(($C12)-$A$6:$A$51)*'Cálculos'!$C$98)/(('Cálculos'!$C$199+(($C12)-$A$6:$A$51)*'Cálculos'!$C$98)+1400)+'Cálculos'!$C$122)*'Cálculos'!$C$261+'Cálculos'!$C$125*(1+2.78*('Cálculos'!$C$199+(($C12)-$A$6:$A$51)*'Cálculos'!$C$98)/(('Cálculos'!$C$199+(($C12)-$A$6:$A$51)*'Cálculos'!$C$98)+1400)+'Cálculos'!$C$123)*'Cálculos'!$C$266)+('Cálculos'!$C$204*(1+'Cálculos'!$C$205+$A$6:$A$51*('Cálculos'!$C$290=3)*'Cálculos'!$C$103)+'Cálculos'!$C$206)*('Cálculos'!$C$257+'Cálculos'!$C$124*(1+2.78*('Cálculos'!$C$199+(($C12)-$A$6:$A$51)*'Cálculos'!$C$98)/(('Cálculos'!$C$199+(($C12)-$A$6:$A$51)*'Cálculos'!$C$98)+1400)+'Cálculos'!$C$122)*'Cálculos'!$C$262+'Cálculos'!$C$125*(1+2.78*('Cálculos'!$C$199+(($C12)-$A$6:$A$51)*'Cálculos'!$C$98)/(('Cálculos'!$C$199+(($C12)-$A$6:$A$51)*'Cálculos'!$C$98)+1400)+'Cálculos'!$C$123)*'Cálculos'!$C$267)+('Cálculos'!$C$258+'Cálculos'!$C$124*(1+2.78*('Cálculos'!$C$199+(($C12)-$A$6:$A$51)*'Cálculos'!$C$98)/(('Cálculos'!$C$199+(($C12)-$A$6:$A$51)*'Cálculos'!$C$98)+1400)+'Cálculos'!$C$122)*'Cálculos'!$C$263+'Cálculos'!$C$125*(1+2.78*('Cálculos'!$C$199+(($C12)-$A$6:$A$51)*'Cálculos'!$C$98)/(('Cálculos'!$C$199+(($C12)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12)-$A$6:$A$51)*'Cálculos'!$C$98)/(('Cálculos'!$C$200+(($C12)-$A$6:$A$51)*'Cálculos'!$C$98)+1400)+'Cálculos'!$C$122)*'Cálculos'!$C$274+'Cálculos'!$C$125*(1+2.78*('Cálculos'!$C$200+(($C12)-$A$6:$A$51)*'Cálculos'!$C$98)/(('Cálculos'!$C$200+(($C12)-$A$6:$A$51)*'Cálculos'!$C$98)+1400)+'Cálculos'!$C$123)*'Cálculos'!$C$279)+('Cálculos'!$C$200+(($C12)-$A$6:$A$51)*'Cálculos'!$C$98)*('Cálculos'!$C$270+'Cálculos'!$C$124*(1+2.78*('Cálculos'!$C$200+(($C12)-$A$6:$A$51)*'Cálculos'!$C$98)/(('Cálculos'!$C$200+(($C12)-$A$6:$A$51)*'Cálculos'!$C$98)+1400)+'Cálculos'!$C$122)*'Cálculos'!$C$275+'Cálculos'!$C$125*(1+2.78*('Cálculos'!$C$200+(($C12)-$A$6:$A$51)*'Cálculos'!$C$98)/(('Cálculos'!$C$200+(($C12)-$A$6:$A$51)*'Cálculos'!$C$98)+1400)+'Cálculos'!$C$123)*'Cálculos'!$C$280)+('Cálculos'!$C$201*(1+'Cálculos'!$C$202+$A$6:$A$51*('Cálculos'!$C$290=2)*'Cálculos'!$C$101)+'Cálculos'!$C$203)*('Cálculos'!$C$271+'Cálculos'!$C$124*(1+2.78*('Cálculos'!$C$200+(($C12)-$A$6:$A$51)*'Cálculos'!$C$98)/(('Cálculos'!$C$200+(($C12)-$A$6:$A$51)*'Cálculos'!$C$98)+1400)+'Cálculos'!$C$122)*'Cálculos'!$C$276+'Cálculos'!$C$125*(1+2.78*('Cálculos'!$C$200+(($C12)-$A$6:$A$51)*'Cálculos'!$C$98)/(('Cálculos'!$C$200+(($C12)-$A$6:$A$51)*'Cálculos'!$C$98)+1400)+'Cálculos'!$C$123)*'Cálculos'!$C$281)+('Cálculos'!$C$204*(1+'Cálculos'!$C$205+$A$6:$A$51*('Cálculos'!$C$290=3)*'Cálculos'!$C$103)+'Cálculos'!$C$206)*('Cálculos'!$C$272+'Cálculos'!$C$124*(1+2.78*('Cálculos'!$C$200+(($C12)-$A$6:$A$51)*'Cálculos'!$C$98)/(('Cálculos'!$C$200+(($C12)-$A$6:$A$51)*'Cálculos'!$C$98)+1400)+'Cálculos'!$C$122)*'Cálculos'!$C$277+'Cálculos'!$C$125*(1+2.78*('Cálculos'!$C$200+(($C12)-$A$6:$A$51)*'Cálculos'!$C$98)/(('Cálculos'!$C$200+(($C12)-$A$6:$A$51)*'Cálculos'!$C$98)+1400)+'Cálculos'!$C$123)*'Cálculos'!$C$282)+('Cálculos'!$C$273+'Cálculos'!$C$124*(1+2.78*('Cálculos'!$C$200+(($C12)-$A$6:$A$51)*'Cálculos'!$C$98)/(('Cálculos'!$C$200+(($C12)-$A$6:$A$51)*'Cálculos'!$C$98)+1400)+'Cálculos'!$C$122)*'Cálculos'!$C$278+'Cálculos'!$C$125*(1+2.78*('Cálculos'!$C$200+(($C12)-$A$6:$A$51)*'Cálculos'!$C$98)/(('Cálculos'!$C$200+(($C12)-$A$6:$A$51)*'Cálculos'!$C$98)+1400)+'Cálculos'!$C$123)*'Cálculos'!$C$283)))))</f>
        <v>1211996.074</v>
      </c>
      <c r="E12" s="32">
        <f>IF(OR($C12&lt;0,'Cálculos'!$C$6=""),0,$B12*$D12)</f>
        <v>3197381.386</v>
      </c>
      <c r="F12" s="2"/>
      <c r="G12" s="30">
        <f>($A12&lt;=$B$53)*($A12&lt;='Cálculos'!$C$294)*(($B$53)-$A12&lt;='Cálculos'!$C$295)*(1+MIN(('Cálculos'!$C$207+$A12*'Cálculos'!$C$95),1)*('Cálculos'!$C$208+(($B$53)-$A12)*'Cálculos'!$C$96))</f>
        <v>3.181952</v>
      </c>
      <c r="H12" s="31">
        <f>IF($B$54&lt;0,0,($A12&lt;=$B$54)*($A12&lt;='Cálculos'!$C$301)*(($B$54)-$A12&lt;='Cálculos'!$C$297)*(('Cálculos'!$C$185*(1+'Cálculos'!$C$186+$A12*('Cálculos'!$C$290=1)*'Cálculos'!$C$97+'Cálculos'!$C$305)+'Cálculos'!$C$191)*('Cálculos'!$C$209+'Cálculos'!$C$124*(1+2.78*('Cálculos'!$C$196+(($B$54)-$A12)*'Cálculos'!$C$98)/(('Cálculos'!$C$196+(($B$54)-$A12)*'Cálculos'!$C$98)+1400)+'Cálculos'!$C$122)*'Cálculos'!$C$214+'Cálculos'!$C$125*(1+2.78*('Cálculos'!$C$196+(($B$54)-$A12)*'Cálculos'!$C$98)/(('Cálculos'!$C$196+(($B$54)-$A12)*'Cálculos'!$C$98)+1400)+'Cálculos'!$C$123)*'Cálculos'!$C$219)+('Cálculos'!$C$196+(($B$54)-$A12)*'Cálculos'!$C$98)*('Cálculos'!$C$210+'Cálculos'!$C$124*(1+2.78*('Cálculos'!$C$196+(($B$54)-$A12)*'Cálculos'!$C$98)/(('Cálculos'!$C$196+(($B$54)-$A12)*'Cálculos'!$C$98)+1400)+'Cálculos'!$C$122)*'Cálculos'!$C$215+'Cálculos'!$C$125*(1+2.78*('Cálculos'!$C$196+(($B$54)-$A12)*'Cálculos'!$C$98)/(('Cálculos'!$C$196+(($B$54)-$A12)*'Cálculos'!$C$98)+1400)+'Cálculos'!$C$123)*'Cálculos'!$C$220)+('Cálculos'!$C$201*(1+'Cálculos'!$C$202+$A12*('Cálculos'!$C$290=2)*'Cálculos'!$C$101)+'Cálculos'!$C$203)*('Cálculos'!$C$211+'Cálculos'!$C$124*(1+2.78*('Cálculos'!$C$196+(($B$54)-$A12)*'Cálculos'!$C$98)/(('Cálculos'!$C$196+(($B$54)-$A12)*'Cálculos'!$C$98)+1400)+'Cálculos'!$C$122)*'Cálculos'!$C$216+'Cálculos'!$C$125*(1+2.78*('Cálculos'!$C$196+(($B$54)-$A12)*'Cálculos'!$C$98)/(('Cálculos'!$C$196+(($B$54)-$A12)*'Cálculos'!$C$98)+1400)+'Cálculos'!$C$123)*'Cálculos'!$C$221)+('Cálculos'!$C$204*(1+'Cálculos'!$C$205+$A12*('Cálculos'!$C$290=3)*'Cálculos'!$C$103)+'Cálculos'!$C$206)*('Cálculos'!$C$212+'Cálculos'!$C$124*(1+2.78*('Cálculos'!$C$196+(($B$54)-$A12)*'Cálculos'!$C$98)/(('Cálculos'!$C$196+(($B$54)-$A12)*'Cálculos'!$C$98)+1400)+'Cálculos'!$C$122)*'Cálculos'!$C$217+'Cálculos'!$C$125*(1+2.78*('Cálculos'!$C$196+(($B$54)-$A12)*'Cálculos'!$C$98)/(('Cálculos'!$C$196+(($B$54)-$A12)*'Cálculos'!$C$98)+1400)+'Cálculos'!$C$123)*'Cálculos'!$C$222)+('Cálculos'!$C$213+'Cálculos'!$C$124*(1+2.78*('Cálculos'!$C$196+(($B$54)-$A12)*'Cálculos'!$C$98)/(('Cálculos'!$C$196+(($B$54)-$A12)*'Cálculos'!$C$98)+1400)+'Cálculos'!$C$122)*'Cálculos'!$C$218+'Cálculos'!$C$125*(1+2.78*('Cálculos'!$C$196+(($B$54)-$A12)*'Cálculos'!$C$98)/(('Cálculos'!$C$196+(($B$54)-$A12)*'Cálculos'!$C$98)+1400)+'Cálculos'!$C$123)*'Cálculos'!$C$223)+('Cálculos'!$C$185*(1+'Cálculos'!$C$187+$A12*('Cálculos'!$C$290=1)*'Cálculos'!$C$97+'Cálculos'!$C$305)+'Cálculos'!$C$192)*('Cálculos'!$C$224+'Cálculos'!$C$124*(1+2.78*('Cálculos'!$C$197+(($B$54)-$A12)*'Cálculos'!$C$98)/(('Cálculos'!$C$197+(($B$54)-$A12)*'Cálculos'!$C$98)+1400)+'Cálculos'!$C$122)*'Cálculos'!$C$229+'Cálculos'!$C$125*(1+2.78*('Cálculos'!$C$197+(($B$54)-$A12)*'Cálculos'!$C$98)/(('Cálculos'!$C$197+(($B$54)-$A12)*'Cálculos'!$C$98)+1400)+'Cálculos'!$C$123)*'Cálculos'!$C$234)+('Cálculos'!$C$197+(($B$54)-$A12)*'Cálculos'!$C$98)*('Cálculos'!$C$225+'Cálculos'!$C$124*(1+2.78*('Cálculos'!$C$197+(($B$54)-$A12)*'Cálculos'!$C$98)/(('Cálculos'!$C$197+(($B$54)-$A12)*'Cálculos'!$C$98)+1400)+'Cálculos'!$C$122)*'Cálculos'!$C$230+'Cálculos'!$C$125*(1+2.78*('Cálculos'!$C$197+(($B$54)-$A12)*'Cálculos'!$C$98)/(('Cálculos'!$C$197+(($B$54)-$A12)*'Cálculos'!$C$98)+1400)+'Cálculos'!$C$123)*'Cálculos'!$C$235)+('Cálculos'!$C$201*(1+'Cálculos'!$C$202+$A12*('Cálculos'!$C$290=2)*'Cálculos'!$C$101)+'Cálculos'!$C$203)*('Cálculos'!$C$226+'Cálculos'!$C$124*(1+2.78*('Cálculos'!$C$197+(($B$54)-$A12)*'Cálculos'!$C$98)/(('Cálculos'!$C$197+(($B$54)-$A12)*'Cálculos'!$C$98)+1400)+'Cálculos'!$C$122)*'Cálculos'!$C$231+'Cálculos'!$C$125*(1+2.78*('Cálculos'!$C$197+(($B$54)-$A12)*'Cálculos'!$C$98)/(('Cálculos'!$C$197+(($B$54)-$A12)*'Cálculos'!$C$98)+1400)+'Cálculos'!$C$123)*'Cálculos'!$C$236)+('Cálculos'!$C$204*(1+'Cálculos'!$C$205+$A12*('Cálculos'!$C$290=3)*'Cálculos'!$C$103)+'Cálculos'!$C$206)*('Cálculos'!$C$227+'Cálculos'!$C$124*(1+2.78*('Cálculos'!$C$197+(($B$54)-$A12)*'Cálculos'!$C$98)/(('Cálculos'!$C$197+(($B$54)-$A12)*'Cálculos'!$C$98)+1400)+'Cálculos'!$C$122)*'Cálculos'!$C$232+'Cálculos'!$C$125*(1+2.78*('Cálculos'!$C$197+(($B$54)-$A12)*'Cálculos'!$C$98)/(('Cálculos'!$C$197+(($B$54)-$A12)*'Cálculos'!$C$98)+1400)+'Cálculos'!$C$123)*'Cálculos'!$C$237)+('Cálculos'!$C$228+'Cálculos'!$C$124*(1+2.78*('Cálculos'!$C$197+(($B$54)-$A12)*'Cálculos'!$C$98)/(('Cálculos'!$C$197+(($B$54)-$A12)*'Cálculos'!$C$98)+1400)+'Cálculos'!$C$122)*'Cálculos'!$C$233+'Cálculos'!$C$125*(1+2.78*('Cálculos'!$C$197+(($B$54)-$A12)*'Cálculos'!$C$98)/(('Cálculos'!$C$197+(($B$54)-$A12)*'Cálculos'!$C$98)+1400)+'Cálculos'!$C$123)*'Cálculos'!$C$238)+('Cálculos'!$C$185*(1+'Cálculos'!$C$188+$A12*('Cálculos'!$C$290=1)*'Cálculos'!$C$97+'Cálculos'!$C$305)+'Cálculos'!$C$193)*('Cálculos'!$C$239+'Cálculos'!$C$124*(1+2.78*('Cálculos'!$C$198+(($B$54)-$A12)*'Cálculos'!$C$98)/(('Cálculos'!$C$198+(($B$54)-$A12)*'Cálculos'!$C$98)+1400)+'Cálculos'!$C$122)*'Cálculos'!$C$244+'Cálculos'!$C$125*(1+2.78*('Cálculos'!$C$198+(($B$54)-$A12)*'Cálculos'!$C$98)/(('Cálculos'!$C$198+(($B$54)-$A12)*'Cálculos'!$C$98)+1400)+'Cálculos'!$C$123)*'Cálculos'!$C$249)+('Cálculos'!$C$198+(($B$54)-$A12)*'Cálculos'!$C$98)*('Cálculos'!$C$240+'Cálculos'!$C$124*(1+2.78*('Cálculos'!$C$198+(($B$54)-$A12)*'Cálculos'!$C$98)/(('Cálculos'!$C$198+(($B$54)-$A12)*'Cálculos'!$C$98)+1400)+'Cálculos'!$C$122)*'Cálculos'!$C$245+'Cálculos'!$C$125*(1+2.78*('Cálculos'!$C$198+(($B$54)-$A12)*'Cálculos'!$C$98)/(('Cálculos'!$C$198+(($B$54)-$A12)*'Cálculos'!$C$98)+1400)+'Cálculos'!$C$123)*'Cálculos'!$C$250)+('Cálculos'!$C$201*(1+'Cálculos'!$C$202+$A12*('Cálculos'!$C$290=2)*'Cálculos'!$C$101)+'Cálculos'!$C$203)*('Cálculos'!$C$241+'Cálculos'!$C$124*(1+2.78*('Cálculos'!$C$198+(($B$54)-$A12)*'Cálculos'!$C$98)/(('Cálculos'!$C$198+(($B$54)-$A12)*'Cálculos'!$C$98)+1400)+'Cálculos'!$C$122)*'Cálculos'!$C$246+'Cálculos'!$C$125*(1+2.78*('Cálculos'!$C$198+(($B$54)-$A12)*'Cálculos'!$C$98)/(('Cálculos'!$C$198+(($B$54)-$A12)*'Cálculos'!$C$98)+1400)+'Cálculos'!$C$123)*'Cálculos'!$C$251)+('Cálculos'!$C$204*(1+'Cálculos'!$C$205+$A12*('Cálculos'!$C$290=3)*'Cálculos'!$C$103)+'Cálculos'!$C$206)*('Cálculos'!$C$242+'Cálculos'!$C$124*(1+2.78*('Cálculos'!$C$198+(($B$54)-$A12)*'Cálculos'!$C$98)/(('Cálculos'!$C$198+(($B$54)-$A12)*'Cálculos'!$C$98)+1400)+'Cálculos'!$C$122)*'Cálculos'!$C$247+'Cálculos'!$C$125*(1+2.78*('Cálculos'!$C$198+(($B$54)-$A12)*'Cálculos'!$C$98)/(('Cálculos'!$C$198+(($B$54)-$A12)*'Cálculos'!$C$98)+1400)+'Cálculos'!$C$123)*'Cálculos'!$C$252)+('Cálculos'!$C$243+'Cálculos'!$C$124*(1+2.78*('Cálculos'!$C$198+(($B$54)-$A12)*'Cálculos'!$C$98)/(('Cálculos'!$C$198+(($B$54)-$A12)*'Cálculos'!$C$98)+1400)+'Cálculos'!$C$122)*'Cálculos'!$C$248+'Cálculos'!$C$125*(1+2.78*('Cálculos'!$C$198+(($B$54)-$A12)*'Cálculos'!$C$98)/(('Cálculos'!$C$198+(($B$54)-$A12)*'Cálculos'!$C$98)+1400)+'Cálculos'!$C$123)*'Cálculos'!$C$253)+('Cálculos'!$C$185*(1+'Cálculos'!$C$189+$A12*('Cálculos'!$C$290=1)*'Cálculos'!$C$97+'Cálculos'!$C$305)+'Cálculos'!$C$194)*('Cálculos'!$C$254+'Cálculos'!$C$124*(1+2.78*('Cálculos'!$C$199+(($B$54)-$A12)*'Cálculos'!$C$98)/(('Cálculos'!$C$199+(($B$54)-$A12)*'Cálculos'!$C$98)+1400)+'Cálculos'!$C$122)*'Cálculos'!$C$259+'Cálculos'!$C$125*(1+2.78*('Cálculos'!$C$199+(($B$54)-$A12)*'Cálculos'!$C$98)/(('Cálculos'!$C$199+(($B$54)-$A12)*'Cálculos'!$C$98)+1400)+'Cálculos'!$C$123)*'Cálculos'!$C$264)+('Cálculos'!$C$199+(($B$54)-$A12)*'Cálculos'!$C$98)*('Cálculos'!$C$255+'Cálculos'!$C$124*(1+2.78*('Cálculos'!$C$199+(($B$54)-$A12)*'Cálculos'!$C$98)/(('Cálculos'!$C$199+(($B$54)-$A12)*'Cálculos'!$C$98)+1400)+'Cálculos'!$C$122)*'Cálculos'!$C$260+'Cálculos'!$C$125*(1+2.78*('Cálculos'!$C$199+(($B$54)-$A12)*'Cálculos'!$C$98)/(('Cálculos'!$C$199+(($B$54)-$A12)*'Cálculos'!$C$98)+1400)+'Cálculos'!$C$123)*'Cálculos'!$C$265)+('Cálculos'!$C$201*(1+'Cálculos'!$C$202+$A12*('Cálculos'!$C$290=2)*'Cálculos'!$C$101)+'Cálculos'!$C$203)*('Cálculos'!$C$256+'Cálculos'!$C$124*(1+2.78*('Cálculos'!$C$199+(($B$54)-$A12)*'Cálculos'!$C$98)/(('Cálculos'!$C$199+(($B$54)-$A12)*'Cálculos'!$C$98)+1400)+'Cálculos'!$C$122)*'Cálculos'!$C$261+'Cálculos'!$C$125*(1+2.78*('Cálculos'!$C$199+(($B$54)-$A12)*'Cálculos'!$C$98)/(('Cálculos'!$C$199+(($B$54)-$A12)*'Cálculos'!$C$98)+1400)+'Cálculos'!$C$123)*'Cálculos'!$C$266)+('Cálculos'!$C$204*(1+'Cálculos'!$C$205+$A12*('Cálculos'!$C$290=3)*'Cálculos'!$C$103)+'Cálculos'!$C$206)*('Cálculos'!$C$257+'Cálculos'!$C$124*(1+2.78*('Cálculos'!$C$199+(($B$54)-$A12)*'Cálculos'!$C$98)/(('Cálculos'!$C$199+(($B$54)-$A12)*'Cálculos'!$C$98)+1400)+'Cálculos'!$C$122)*'Cálculos'!$C$262+'Cálculos'!$C$125*(1+2.78*('Cálculos'!$C$199+(($B$54)-$A12)*'Cálculos'!$C$98)/(('Cálculos'!$C$199+(($B$54)-$A12)*'Cálculos'!$C$98)+1400)+'Cálculos'!$C$123)*'Cálculos'!$C$267)+('Cálculos'!$C$258+'Cálculos'!$C$124*(1+2.78*('Cálculos'!$C$199+(($B$54)-$A12)*'Cálculos'!$C$98)/(('Cálculos'!$C$199+(($B$54)-$A12)*'Cálculos'!$C$98)+1400)+'Cálculos'!$C$122)*'Cálculos'!$C$263+'Cálculos'!$C$125*(1+2.78*('Cálculos'!$C$199+(($B$54)-$A12)*'Cálculos'!$C$98)/(('Cálculos'!$C$199+(($B$54)-$A12)*'Cálculos'!$C$98)+1400)+'Cálculos'!$C$123)*'Cálculos'!$C$268)+('Cálculos'!$C$185*(1+'Cálculos'!$C$190+$A12*('Cálculos'!$C$290=1)*'Cálculos'!$C$97+'Cálculos'!$C$305)+'Cálculos'!$C$195)*('Cálculos'!$C$269+'Cálculos'!$C$124*(1+2.78*('Cálculos'!$C$200+(($B$54)-$A12)*'Cálculos'!$C$98)/(('Cálculos'!$C$200+(($B$54)-$A12)*'Cálculos'!$C$98)+1400)+'Cálculos'!$C$122)*'Cálculos'!$C$274+'Cálculos'!$C$125*(1+2.78*('Cálculos'!$C$200+(($B$54)-$A12)*'Cálculos'!$C$98)/(('Cálculos'!$C$200+(($B$54)-$A12)*'Cálculos'!$C$98)+1400)+'Cálculos'!$C$123)*'Cálculos'!$C$279)+('Cálculos'!$C$200+(($B$54)-$A12)*'Cálculos'!$C$98)*('Cálculos'!$C$270+'Cálculos'!$C$124*(1+2.78*('Cálculos'!$C$200+(($B$54)-$A12)*'Cálculos'!$C$98)/(('Cálculos'!$C$200+(($B$54)-$A12)*'Cálculos'!$C$98)+1400)+'Cálculos'!$C$122)*'Cálculos'!$C$275+'Cálculos'!$C$125*(1+2.78*('Cálculos'!$C$200+(($B$54)-$A12)*'Cálculos'!$C$98)/(('Cálculos'!$C$200+(($B$54)-$A12)*'Cálculos'!$C$98)+1400)+'Cálculos'!$C$123)*'Cálculos'!$C$280)+('Cálculos'!$C$201*(1+'Cálculos'!$C$202+$A12*('Cálculos'!$C$290=2)*'Cálculos'!$C$101)+'Cálculos'!$C$203)*('Cálculos'!$C$271+'Cálculos'!$C$124*(1+2.78*('Cálculos'!$C$200+(($B$54)-$A12)*'Cálculos'!$C$98)/(('Cálculos'!$C$200+(($B$54)-$A12)*'Cálculos'!$C$98)+1400)+'Cálculos'!$C$122)*'Cálculos'!$C$276+'Cálculos'!$C$125*(1+2.78*('Cálculos'!$C$200+(($B$54)-$A12)*'Cálculos'!$C$98)/(('Cálculos'!$C$200+(($B$54)-$A12)*'Cálculos'!$C$98)+1400)+'Cálculos'!$C$123)*'Cálculos'!$C$281)+('Cálculos'!$C$204*(1+'Cálculos'!$C$205+$A12*('Cálculos'!$C$290=3)*'Cálculos'!$C$103)+'Cálculos'!$C$206)*('Cálculos'!$C$272+'Cálculos'!$C$124*(1+2.78*('Cálculos'!$C$200+(($B$54)-$A12)*'Cálculos'!$C$98)/(('Cálculos'!$C$200+(($B$54)-$A12)*'Cálculos'!$C$98)+1400)+'Cálculos'!$C$122)*'Cálculos'!$C$277+'Cálculos'!$C$125*(1+2.78*('Cálculos'!$C$200+(($B$54)-$A12)*'Cálculos'!$C$98)/(('Cálculos'!$C$200+(($B$54)-$A12)*'Cálculos'!$C$98)+1400)+'Cálculos'!$C$123)*'Cálculos'!$C$282)+('Cálculos'!$C$273+'Cálculos'!$C$124*(1+2.78*('Cálculos'!$C$200+(($B$54)-$A12)*'Cálculos'!$C$98)/(('Cálculos'!$C$200+(($B$54)-$A12)*'Cálculos'!$C$98)+1400)+'Cálculos'!$C$122)*'Cálculos'!$C$278+'Cálculos'!$C$125*(1+2.78*('Cálculos'!$C$200+(($B$54)-$A12)*'Cálculos'!$C$98)/(('Cálculos'!$C$200+(($B$54)-$A12)*'Cálculos'!$C$98)+1400)+'Cálculos'!$C$123)*'Cálculos'!$C$283)))</f>
        <v>0</v>
      </c>
    </row>
    <row r="13">
      <c r="A13" s="2">
        <v>7.0</v>
      </c>
      <c r="B13" s="30">
        <f>SUMPRODUCT(MAX(($A$6:$A$51&lt;=$A13)*($A$6:$A$51&lt;='Cálculos'!$C$294)*(($A13)-$A$6:$A$51&lt;='Cálculos'!$C$295)*(1+(('Cálculos'!$C$207+$A$6:$A$51*'Cálculos'!$C$95)-(('Cálculos'!$C$207+$A$6:$A$51*'Cálculos'!$C$95)&gt;1)*(('Cálculos'!$C$207+$A$6:$A$51*'Cálculos'!$C$95)-1))*('Cálculos'!$C$208+(($A13)-$A$6:$A$51)*'Cálculos'!$C$96))))</f>
        <v>2.703716</v>
      </c>
      <c r="C13" s="2">
        <f>'Cálculos'!$C$303-$A13</f>
        <v>13</v>
      </c>
      <c r="D13" s="31">
        <f>IF($C13&lt;0,0,SUMPRODUCT(MAX(($A$6:$A$51&lt;=$C13)*($A$6:$A$51&lt;='Cálculos'!$C$301)*(($C13)-$A$6:$A$51&lt;='Cálculos'!$C$297)*(('Cálculos'!$C$185*(1+'Cálculos'!$C$186+$A$6:$A$51*('Cálculos'!$C$290=1)*'Cálculos'!$C$97+'Cálculos'!$C$305)+'Cálculos'!$C$191)*('Cálculos'!$C$209+'Cálculos'!$C$124*(1+2.78*('Cálculos'!$C$196+(($C13)-$A$6:$A$51)*'Cálculos'!$C$98)/(('Cálculos'!$C$196+(($C13)-$A$6:$A$51)*'Cálculos'!$C$98)+1400)+'Cálculos'!$C$122)*'Cálculos'!$C$214+'Cálculos'!$C$125*(1+2.78*('Cálculos'!$C$196+(($C13)-$A$6:$A$51)*'Cálculos'!$C$98)/(('Cálculos'!$C$196+(($C13)-$A$6:$A$51)*'Cálculos'!$C$98)+1400)+'Cálculos'!$C$123)*'Cálculos'!$C$219)+('Cálculos'!$C$196+(($C13)-$A$6:$A$51)*'Cálculos'!$C$98)*('Cálculos'!$C$210+'Cálculos'!$C$124*(1+2.78*('Cálculos'!$C$196+(($C13)-$A$6:$A$51)*'Cálculos'!$C$98)/(('Cálculos'!$C$196+(($C13)-$A$6:$A$51)*'Cálculos'!$C$98)+1400)+'Cálculos'!$C$122)*'Cálculos'!$C$215+'Cálculos'!$C$125*(1+2.78*('Cálculos'!$C$196+(($C13)-$A$6:$A$51)*'Cálculos'!$C$98)/(('Cálculos'!$C$196+(($C13)-$A$6:$A$51)*'Cálculos'!$C$98)+1400)+'Cálculos'!$C$123)*'Cálculos'!$C$220)+('Cálculos'!$C$201*(1+'Cálculos'!$C$202+$A$6:$A$51*('Cálculos'!$C$290=2)*'Cálculos'!$C$101)+'Cálculos'!$C$203)*('Cálculos'!$C$211+'Cálculos'!$C$124*(1+2.78*('Cálculos'!$C$196+(($C13)-$A$6:$A$51)*'Cálculos'!$C$98)/(('Cálculos'!$C$196+(($C13)-$A$6:$A$51)*'Cálculos'!$C$98)+1400)+'Cálculos'!$C$122)*'Cálculos'!$C$216+'Cálculos'!$C$125*(1+2.78*('Cálculos'!$C$196+(($C13)-$A$6:$A$51)*'Cálculos'!$C$98)/(('Cálculos'!$C$196+(($C13)-$A$6:$A$51)*'Cálculos'!$C$98)+1400)+'Cálculos'!$C$123)*'Cálculos'!$C$221)+('Cálculos'!$C$204*(1+'Cálculos'!$C$205+$A$6:$A$51*('Cálculos'!$C$290=3)*'Cálculos'!$C$103)+'Cálculos'!$C$206)*('Cálculos'!$C$212+'Cálculos'!$C$124*(1+2.78*('Cálculos'!$C$196+(($C13)-$A$6:$A$51)*'Cálculos'!$C$98)/(('Cálculos'!$C$196+(($C13)-$A$6:$A$51)*'Cálculos'!$C$98)+1400)+'Cálculos'!$C$122)*'Cálculos'!$C$217+'Cálculos'!$C$125*(1+2.78*('Cálculos'!$C$196+(($C13)-$A$6:$A$51)*'Cálculos'!$C$98)/(('Cálculos'!$C$196+(($C13)-$A$6:$A$51)*'Cálculos'!$C$98)+1400)+'Cálculos'!$C$123)*'Cálculos'!$C$222)+('Cálculos'!$C$213+'Cálculos'!$C$124*(1+2.78*('Cálculos'!$C$196+(($C13)-$A$6:$A$51)*'Cálculos'!$C$98)/(('Cálculos'!$C$196+(($C13)-$A$6:$A$51)*'Cálculos'!$C$98)+1400)+'Cálculos'!$C$122)*'Cálculos'!$C$218+'Cálculos'!$C$125*(1+2.78*('Cálculos'!$C$196+(($C13)-$A$6:$A$51)*'Cálculos'!$C$98)/(('Cálculos'!$C$196+(($C13)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13)-$A$6:$A$51)*'Cálculos'!$C$98)/(('Cálculos'!$C$197+(($C13)-$A$6:$A$51)*'Cálculos'!$C$98)+1400)+'Cálculos'!$C$122)*'Cálculos'!$C$229+'Cálculos'!$C$125*(1+2.78*('Cálculos'!$C$197+(($C13)-$A$6:$A$51)*'Cálculos'!$C$98)/(('Cálculos'!$C$197+(($C13)-$A$6:$A$51)*'Cálculos'!$C$98)+1400)+'Cálculos'!$C$123)*'Cálculos'!$C$234)+('Cálculos'!$C$197+(($C13)-$A$6:$A$51)*'Cálculos'!$C$98)*('Cálculos'!$C$225+'Cálculos'!$C$124*(1+2.78*('Cálculos'!$C$197+(($C13)-$A$6:$A$51)*'Cálculos'!$C$98)/(('Cálculos'!$C$197+(($C13)-$A$6:$A$51)*'Cálculos'!$C$98)+1400)+'Cálculos'!$C$122)*'Cálculos'!$C$230+'Cálculos'!$C$125*(1+2.78*('Cálculos'!$C$197+(($C13)-$A$6:$A$51)*'Cálculos'!$C$98)/(('Cálculos'!$C$197+(($C13)-$A$6:$A$51)*'Cálculos'!$C$98)+1400)+'Cálculos'!$C$123)*'Cálculos'!$C$235)+('Cálculos'!$C$201*(1+'Cálculos'!$C$202+$A$6:$A$51*('Cálculos'!$C$290=2)*'Cálculos'!$C$101)+'Cálculos'!$C$203)*('Cálculos'!$C$226+'Cálculos'!$C$124*(1+2.78*('Cálculos'!$C$197+(($C13)-$A$6:$A$51)*'Cálculos'!$C$98)/(('Cálculos'!$C$197+(($C13)-$A$6:$A$51)*'Cálculos'!$C$98)+1400)+'Cálculos'!$C$122)*'Cálculos'!$C$231+'Cálculos'!$C$125*(1+2.78*('Cálculos'!$C$197+(($C13)-$A$6:$A$51)*'Cálculos'!$C$98)/(('Cálculos'!$C$197+(($C13)-$A$6:$A$51)*'Cálculos'!$C$98)+1400)+'Cálculos'!$C$123)*'Cálculos'!$C$236)+('Cálculos'!$C$204*(1+'Cálculos'!$C$205+$A$6:$A$51*('Cálculos'!$C$290=3)*'Cálculos'!$C$103)+'Cálculos'!$C$206)*('Cálculos'!$C$227+'Cálculos'!$C$124*(1+2.78*('Cálculos'!$C$197+(($C13)-$A$6:$A$51)*'Cálculos'!$C$98)/(('Cálculos'!$C$197+(($C13)-$A$6:$A$51)*'Cálculos'!$C$98)+1400)+'Cálculos'!$C$122)*'Cálculos'!$C$232+'Cálculos'!$C$125*(1+2.78*('Cálculos'!$C$197+(($C13)-$A$6:$A$51)*'Cálculos'!$C$98)/(('Cálculos'!$C$197+(($C13)-$A$6:$A$51)*'Cálculos'!$C$98)+1400)+'Cálculos'!$C$123)*'Cálculos'!$C$237)+('Cálculos'!$C$228+'Cálculos'!$C$124*(1+2.78*('Cálculos'!$C$197+(($C13)-$A$6:$A$51)*'Cálculos'!$C$98)/(('Cálculos'!$C$197+(($C13)-$A$6:$A$51)*'Cálculos'!$C$98)+1400)+'Cálculos'!$C$122)*'Cálculos'!$C$233+'Cálculos'!$C$125*(1+2.78*('Cálculos'!$C$197+(($C13)-$A$6:$A$51)*'Cálculos'!$C$98)/(('Cálculos'!$C$197+(($C13)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13)-$A$6:$A$51)*'Cálculos'!$C$98)/(('Cálculos'!$C$198+(($C13)-$A$6:$A$51)*'Cálculos'!$C$98)+1400)+'Cálculos'!$C$122)*'Cálculos'!$C$244+'Cálculos'!$C$125*(1+2.78*('Cálculos'!$C$198+(($C13)-$A$6:$A$51)*'Cálculos'!$C$98)/(('Cálculos'!$C$198+(($C13)-$A$6:$A$51)*'Cálculos'!$C$98)+1400)+'Cálculos'!$C$123)*'Cálculos'!$C$249)+('Cálculos'!$C$198+(($C13)-$A$6:$A$51)*'Cálculos'!$C$98)*('Cálculos'!$C$240+'Cálculos'!$C$124*(1+2.78*('Cálculos'!$C$198+(($C13)-$A$6:$A$51)*'Cálculos'!$C$98)/(('Cálculos'!$C$198+(($C13)-$A$6:$A$51)*'Cálculos'!$C$98)+1400)+'Cálculos'!$C$122)*'Cálculos'!$C$245+'Cálculos'!$C$125*(1+2.78*('Cálculos'!$C$198+(($C13)-$A$6:$A$51)*'Cálculos'!$C$98)/(('Cálculos'!$C$198+(($C13)-$A$6:$A$51)*'Cálculos'!$C$98)+1400)+'Cálculos'!$C$123)*'Cálculos'!$C$250)+('Cálculos'!$C$201*(1+'Cálculos'!$C$202+$A$6:$A$51*('Cálculos'!$C$290=2)*'Cálculos'!$C$101)+'Cálculos'!$C$203)*('Cálculos'!$C$241+'Cálculos'!$C$124*(1+2.78*('Cálculos'!$C$198+(($C13)-$A$6:$A$51)*'Cálculos'!$C$98)/(('Cálculos'!$C$198+(($C13)-$A$6:$A$51)*'Cálculos'!$C$98)+1400)+'Cálculos'!$C$122)*'Cálculos'!$C$246+'Cálculos'!$C$125*(1+2.78*('Cálculos'!$C$198+(($C13)-$A$6:$A$51)*'Cálculos'!$C$98)/(('Cálculos'!$C$198+(($C13)-$A$6:$A$51)*'Cálculos'!$C$98)+1400)+'Cálculos'!$C$123)*'Cálculos'!$C$251)+('Cálculos'!$C$204*(1+'Cálculos'!$C$205+$A$6:$A$51*('Cálculos'!$C$290=3)*'Cálculos'!$C$103)+'Cálculos'!$C$206)*('Cálculos'!$C$242+'Cálculos'!$C$124*(1+2.78*('Cálculos'!$C$198+(($C13)-$A$6:$A$51)*'Cálculos'!$C$98)/(('Cálculos'!$C$198+(($C13)-$A$6:$A$51)*'Cálculos'!$C$98)+1400)+'Cálculos'!$C$122)*'Cálculos'!$C$247+'Cálculos'!$C$125*(1+2.78*('Cálculos'!$C$198+(($C13)-$A$6:$A$51)*'Cálculos'!$C$98)/(('Cálculos'!$C$198+(($C13)-$A$6:$A$51)*'Cálculos'!$C$98)+1400)+'Cálculos'!$C$123)*'Cálculos'!$C$252)+('Cálculos'!$C$243+'Cálculos'!$C$124*(1+2.78*('Cálculos'!$C$198+(($C13)-$A$6:$A$51)*'Cálculos'!$C$98)/(('Cálculos'!$C$198+(($C13)-$A$6:$A$51)*'Cálculos'!$C$98)+1400)+'Cálculos'!$C$122)*'Cálculos'!$C$248+'Cálculos'!$C$125*(1+2.78*('Cálculos'!$C$198+(($C13)-$A$6:$A$51)*'Cálculos'!$C$98)/(('Cálculos'!$C$198+(($C13)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13)-$A$6:$A$51)*'Cálculos'!$C$98)/(('Cálculos'!$C$199+(($C13)-$A$6:$A$51)*'Cálculos'!$C$98)+1400)+'Cálculos'!$C$122)*'Cálculos'!$C$259+'Cálculos'!$C$125*(1+2.78*('Cálculos'!$C$199+(($C13)-$A$6:$A$51)*'Cálculos'!$C$98)/(('Cálculos'!$C$199+(($C13)-$A$6:$A$51)*'Cálculos'!$C$98)+1400)+'Cálculos'!$C$123)*'Cálculos'!$C$264)+('Cálculos'!$C$199+(($C13)-$A$6:$A$51)*'Cálculos'!$C$98)*('Cálculos'!$C$255+'Cálculos'!$C$124*(1+2.78*('Cálculos'!$C$199+(($C13)-$A$6:$A$51)*'Cálculos'!$C$98)/(('Cálculos'!$C$199+(($C13)-$A$6:$A$51)*'Cálculos'!$C$98)+1400)+'Cálculos'!$C$122)*'Cálculos'!$C$260+'Cálculos'!$C$125*(1+2.78*('Cálculos'!$C$199+(($C13)-$A$6:$A$51)*'Cálculos'!$C$98)/(('Cálculos'!$C$199+(($C13)-$A$6:$A$51)*'Cálculos'!$C$98)+1400)+'Cálculos'!$C$123)*'Cálculos'!$C$265)+('Cálculos'!$C$201*(1+'Cálculos'!$C$202+$A$6:$A$51*('Cálculos'!$C$290=2)*'Cálculos'!$C$101)+'Cálculos'!$C$203)*('Cálculos'!$C$256+'Cálculos'!$C$124*(1+2.78*('Cálculos'!$C$199+(($C13)-$A$6:$A$51)*'Cálculos'!$C$98)/(('Cálculos'!$C$199+(($C13)-$A$6:$A$51)*'Cálculos'!$C$98)+1400)+'Cálculos'!$C$122)*'Cálculos'!$C$261+'Cálculos'!$C$125*(1+2.78*('Cálculos'!$C$199+(($C13)-$A$6:$A$51)*'Cálculos'!$C$98)/(('Cálculos'!$C$199+(($C13)-$A$6:$A$51)*'Cálculos'!$C$98)+1400)+'Cálculos'!$C$123)*'Cálculos'!$C$266)+('Cálculos'!$C$204*(1+'Cálculos'!$C$205+$A$6:$A$51*('Cálculos'!$C$290=3)*'Cálculos'!$C$103)+'Cálculos'!$C$206)*('Cálculos'!$C$257+'Cálculos'!$C$124*(1+2.78*('Cálculos'!$C$199+(($C13)-$A$6:$A$51)*'Cálculos'!$C$98)/(('Cálculos'!$C$199+(($C13)-$A$6:$A$51)*'Cálculos'!$C$98)+1400)+'Cálculos'!$C$122)*'Cálculos'!$C$262+'Cálculos'!$C$125*(1+2.78*('Cálculos'!$C$199+(($C13)-$A$6:$A$51)*'Cálculos'!$C$98)/(('Cálculos'!$C$199+(($C13)-$A$6:$A$51)*'Cálculos'!$C$98)+1400)+'Cálculos'!$C$123)*'Cálculos'!$C$267)+('Cálculos'!$C$258+'Cálculos'!$C$124*(1+2.78*('Cálculos'!$C$199+(($C13)-$A$6:$A$51)*'Cálculos'!$C$98)/(('Cálculos'!$C$199+(($C13)-$A$6:$A$51)*'Cálculos'!$C$98)+1400)+'Cálculos'!$C$122)*'Cálculos'!$C$263+'Cálculos'!$C$125*(1+2.78*('Cálculos'!$C$199+(($C13)-$A$6:$A$51)*'Cálculos'!$C$98)/(('Cálculos'!$C$199+(($C13)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13)-$A$6:$A$51)*'Cálculos'!$C$98)/(('Cálculos'!$C$200+(($C13)-$A$6:$A$51)*'Cálculos'!$C$98)+1400)+'Cálculos'!$C$122)*'Cálculos'!$C$274+'Cálculos'!$C$125*(1+2.78*('Cálculos'!$C$200+(($C13)-$A$6:$A$51)*'Cálculos'!$C$98)/(('Cálculos'!$C$200+(($C13)-$A$6:$A$51)*'Cálculos'!$C$98)+1400)+'Cálculos'!$C$123)*'Cálculos'!$C$279)+('Cálculos'!$C$200+(($C13)-$A$6:$A$51)*'Cálculos'!$C$98)*('Cálculos'!$C$270+'Cálculos'!$C$124*(1+2.78*('Cálculos'!$C$200+(($C13)-$A$6:$A$51)*'Cálculos'!$C$98)/(('Cálculos'!$C$200+(($C13)-$A$6:$A$51)*'Cálculos'!$C$98)+1400)+'Cálculos'!$C$122)*'Cálculos'!$C$275+'Cálculos'!$C$125*(1+2.78*('Cálculos'!$C$200+(($C13)-$A$6:$A$51)*'Cálculos'!$C$98)/(('Cálculos'!$C$200+(($C13)-$A$6:$A$51)*'Cálculos'!$C$98)+1400)+'Cálculos'!$C$123)*'Cálculos'!$C$280)+('Cálculos'!$C$201*(1+'Cálculos'!$C$202+$A$6:$A$51*('Cálculos'!$C$290=2)*'Cálculos'!$C$101)+'Cálculos'!$C$203)*('Cálculos'!$C$271+'Cálculos'!$C$124*(1+2.78*('Cálculos'!$C$200+(($C13)-$A$6:$A$51)*'Cálculos'!$C$98)/(('Cálculos'!$C$200+(($C13)-$A$6:$A$51)*'Cálculos'!$C$98)+1400)+'Cálculos'!$C$122)*'Cálculos'!$C$276+'Cálculos'!$C$125*(1+2.78*('Cálculos'!$C$200+(($C13)-$A$6:$A$51)*'Cálculos'!$C$98)/(('Cálculos'!$C$200+(($C13)-$A$6:$A$51)*'Cálculos'!$C$98)+1400)+'Cálculos'!$C$123)*'Cálculos'!$C$281)+('Cálculos'!$C$204*(1+'Cálculos'!$C$205+$A$6:$A$51*('Cálculos'!$C$290=3)*'Cálculos'!$C$103)+'Cálculos'!$C$206)*('Cálculos'!$C$272+'Cálculos'!$C$124*(1+2.78*('Cálculos'!$C$200+(($C13)-$A$6:$A$51)*'Cálculos'!$C$98)/(('Cálculos'!$C$200+(($C13)-$A$6:$A$51)*'Cálculos'!$C$98)+1400)+'Cálculos'!$C$122)*'Cálculos'!$C$277+'Cálculos'!$C$125*(1+2.78*('Cálculos'!$C$200+(($C13)-$A$6:$A$51)*'Cálculos'!$C$98)/(('Cálculos'!$C$200+(($C13)-$A$6:$A$51)*'Cálculos'!$C$98)+1400)+'Cálculos'!$C$123)*'Cálculos'!$C$282)+('Cálculos'!$C$273+'Cálculos'!$C$124*(1+2.78*('Cálculos'!$C$200+(($C13)-$A$6:$A$51)*'Cálculos'!$C$98)/(('Cálculos'!$C$200+(($C13)-$A$6:$A$51)*'Cálculos'!$C$98)+1400)+'Cálculos'!$C$122)*'Cálculos'!$C$278+'Cálculos'!$C$125*(1+2.78*('Cálculos'!$C$200+(($C13)-$A$6:$A$51)*'Cálculos'!$C$98)/(('Cálculos'!$C$200+(($C13)-$A$6:$A$51)*'Cálculos'!$C$98)+1400)+'Cálculos'!$C$123)*'Cálculos'!$C$283)))))</f>
        <v>1200647.927</v>
      </c>
      <c r="E13" s="32">
        <f>IF(OR($C13&lt;0,'Cálculos'!$C$6=""),0,$B13*$D13)</f>
        <v>3246211.011</v>
      </c>
      <c r="F13" s="2"/>
      <c r="G13" s="30">
        <f>($A13&lt;=$B$53)*($A13&lt;='Cálculos'!$C$294)*(($B$53)-$A13&lt;='Cálculos'!$C$295)*(1+MIN(('Cálculos'!$C$207+$A13*'Cálculos'!$C$95),1)*('Cálculos'!$C$208+(($B$53)-$A13)*'Cálculos'!$C$96))</f>
        <v>3.212774</v>
      </c>
      <c r="H13" s="31">
        <f>IF($B$54&lt;0,0,($A13&lt;=$B$54)*($A13&lt;='Cálculos'!$C$301)*(($B$54)-$A13&lt;='Cálculos'!$C$297)*(('Cálculos'!$C$185*(1+'Cálculos'!$C$186+$A13*('Cálculos'!$C$290=1)*'Cálculos'!$C$97+'Cálculos'!$C$305)+'Cálculos'!$C$191)*('Cálculos'!$C$209+'Cálculos'!$C$124*(1+2.78*('Cálculos'!$C$196+(($B$54)-$A13)*'Cálculos'!$C$98)/(('Cálculos'!$C$196+(($B$54)-$A13)*'Cálculos'!$C$98)+1400)+'Cálculos'!$C$122)*'Cálculos'!$C$214+'Cálculos'!$C$125*(1+2.78*('Cálculos'!$C$196+(($B$54)-$A13)*'Cálculos'!$C$98)/(('Cálculos'!$C$196+(($B$54)-$A13)*'Cálculos'!$C$98)+1400)+'Cálculos'!$C$123)*'Cálculos'!$C$219)+('Cálculos'!$C$196+(($B$54)-$A13)*'Cálculos'!$C$98)*('Cálculos'!$C$210+'Cálculos'!$C$124*(1+2.78*('Cálculos'!$C$196+(($B$54)-$A13)*'Cálculos'!$C$98)/(('Cálculos'!$C$196+(($B$54)-$A13)*'Cálculos'!$C$98)+1400)+'Cálculos'!$C$122)*'Cálculos'!$C$215+'Cálculos'!$C$125*(1+2.78*('Cálculos'!$C$196+(($B$54)-$A13)*'Cálculos'!$C$98)/(('Cálculos'!$C$196+(($B$54)-$A13)*'Cálculos'!$C$98)+1400)+'Cálculos'!$C$123)*'Cálculos'!$C$220)+('Cálculos'!$C$201*(1+'Cálculos'!$C$202+$A13*('Cálculos'!$C$290=2)*'Cálculos'!$C$101)+'Cálculos'!$C$203)*('Cálculos'!$C$211+'Cálculos'!$C$124*(1+2.78*('Cálculos'!$C$196+(($B$54)-$A13)*'Cálculos'!$C$98)/(('Cálculos'!$C$196+(($B$54)-$A13)*'Cálculos'!$C$98)+1400)+'Cálculos'!$C$122)*'Cálculos'!$C$216+'Cálculos'!$C$125*(1+2.78*('Cálculos'!$C$196+(($B$54)-$A13)*'Cálculos'!$C$98)/(('Cálculos'!$C$196+(($B$54)-$A13)*'Cálculos'!$C$98)+1400)+'Cálculos'!$C$123)*'Cálculos'!$C$221)+('Cálculos'!$C$204*(1+'Cálculos'!$C$205+$A13*('Cálculos'!$C$290=3)*'Cálculos'!$C$103)+'Cálculos'!$C$206)*('Cálculos'!$C$212+'Cálculos'!$C$124*(1+2.78*('Cálculos'!$C$196+(($B$54)-$A13)*'Cálculos'!$C$98)/(('Cálculos'!$C$196+(($B$54)-$A13)*'Cálculos'!$C$98)+1400)+'Cálculos'!$C$122)*'Cálculos'!$C$217+'Cálculos'!$C$125*(1+2.78*('Cálculos'!$C$196+(($B$54)-$A13)*'Cálculos'!$C$98)/(('Cálculos'!$C$196+(($B$54)-$A13)*'Cálculos'!$C$98)+1400)+'Cálculos'!$C$123)*'Cálculos'!$C$222)+('Cálculos'!$C$213+'Cálculos'!$C$124*(1+2.78*('Cálculos'!$C$196+(($B$54)-$A13)*'Cálculos'!$C$98)/(('Cálculos'!$C$196+(($B$54)-$A13)*'Cálculos'!$C$98)+1400)+'Cálculos'!$C$122)*'Cálculos'!$C$218+'Cálculos'!$C$125*(1+2.78*('Cálculos'!$C$196+(($B$54)-$A13)*'Cálculos'!$C$98)/(('Cálculos'!$C$196+(($B$54)-$A13)*'Cálculos'!$C$98)+1400)+'Cálculos'!$C$123)*'Cálculos'!$C$223)+('Cálculos'!$C$185*(1+'Cálculos'!$C$187+$A13*('Cálculos'!$C$290=1)*'Cálculos'!$C$97+'Cálculos'!$C$305)+'Cálculos'!$C$192)*('Cálculos'!$C$224+'Cálculos'!$C$124*(1+2.78*('Cálculos'!$C$197+(($B$54)-$A13)*'Cálculos'!$C$98)/(('Cálculos'!$C$197+(($B$54)-$A13)*'Cálculos'!$C$98)+1400)+'Cálculos'!$C$122)*'Cálculos'!$C$229+'Cálculos'!$C$125*(1+2.78*('Cálculos'!$C$197+(($B$54)-$A13)*'Cálculos'!$C$98)/(('Cálculos'!$C$197+(($B$54)-$A13)*'Cálculos'!$C$98)+1400)+'Cálculos'!$C$123)*'Cálculos'!$C$234)+('Cálculos'!$C$197+(($B$54)-$A13)*'Cálculos'!$C$98)*('Cálculos'!$C$225+'Cálculos'!$C$124*(1+2.78*('Cálculos'!$C$197+(($B$54)-$A13)*'Cálculos'!$C$98)/(('Cálculos'!$C$197+(($B$54)-$A13)*'Cálculos'!$C$98)+1400)+'Cálculos'!$C$122)*'Cálculos'!$C$230+'Cálculos'!$C$125*(1+2.78*('Cálculos'!$C$197+(($B$54)-$A13)*'Cálculos'!$C$98)/(('Cálculos'!$C$197+(($B$54)-$A13)*'Cálculos'!$C$98)+1400)+'Cálculos'!$C$123)*'Cálculos'!$C$235)+('Cálculos'!$C$201*(1+'Cálculos'!$C$202+$A13*('Cálculos'!$C$290=2)*'Cálculos'!$C$101)+'Cálculos'!$C$203)*('Cálculos'!$C$226+'Cálculos'!$C$124*(1+2.78*('Cálculos'!$C$197+(($B$54)-$A13)*'Cálculos'!$C$98)/(('Cálculos'!$C$197+(($B$54)-$A13)*'Cálculos'!$C$98)+1400)+'Cálculos'!$C$122)*'Cálculos'!$C$231+'Cálculos'!$C$125*(1+2.78*('Cálculos'!$C$197+(($B$54)-$A13)*'Cálculos'!$C$98)/(('Cálculos'!$C$197+(($B$54)-$A13)*'Cálculos'!$C$98)+1400)+'Cálculos'!$C$123)*'Cálculos'!$C$236)+('Cálculos'!$C$204*(1+'Cálculos'!$C$205+$A13*('Cálculos'!$C$290=3)*'Cálculos'!$C$103)+'Cálculos'!$C$206)*('Cálculos'!$C$227+'Cálculos'!$C$124*(1+2.78*('Cálculos'!$C$197+(($B$54)-$A13)*'Cálculos'!$C$98)/(('Cálculos'!$C$197+(($B$54)-$A13)*'Cálculos'!$C$98)+1400)+'Cálculos'!$C$122)*'Cálculos'!$C$232+'Cálculos'!$C$125*(1+2.78*('Cálculos'!$C$197+(($B$54)-$A13)*'Cálculos'!$C$98)/(('Cálculos'!$C$197+(($B$54)-$A13)*'Cálculos'!$C$98)+1400)+'Cálculos'!$C$123)*'Cálculos'!$C$237)+('Cálculos'!$C$228+'Cálculos'!$C$124*(1+2.78*('Cálculos'!$C$197+(($B$54)-$A13)*'Cálculos'!$C$98)/(('Cálculos'!$C$197+(($B$54)-$A13)*'Cálculos'!$C$98)+1400)+'Cálculos'!$C$122)*'Cálculos'!$C$233+'Cálculos'!$C$125*(1+2.78*('Cálculos'!$C$197+(($B$54)-$A13)*'Cálculos'!$C$98)/(('Cálculos'!$C$197+(($B$54)-$A13)*'Cálculos'!$C$98)+1400)+'Cálculos'!$C$123)*'Cálculos'!$C$238)+('Cálculos'!$C$185*(1+'Cálculos'!$C$188+$A13*('Cálculos'!$C$290=1)*'Cálculos'!$C$97+'Cálculos'!$C$305)+'Cálculos'!$C$193)*('Cálculos'!$C$239+'Cálculos'!$C$124*(1+2.78*('Cálculos'!$C$198+(($B$54)-$A13)*'Cálculos'!$C$98)/(('Cálculos'!$C$198+(($B$54)-$A13)*'Cálculos'!$C$98)+1400)+'Cálculos'!$C$122)*'Cálculos'!$C$244+'Cálculos'!$C$125*(1+2.78*('Cálculos'!$C$198+(($B$54)-$A13)*'Cálculos'!$C$98)/(('Cálculos'!$C$198+(($B$54)-$A13)*'Cálculos'!$C$98)+1400)+'Cálculos'!$C$123)*'Cálculos'!$C$249)+('Cálculos'!$C$198+(($B$54)-$A13)*'Cálculos'!$C$98)*('Cálculos'!$C$240+'Cálculos'!$C$124*(1+2.78*('Cálculos'!$C$198+(($B$54)-$A13)*'Cálculos'!$C$98)/(('Cálculos'!$C$198+(($B$54)-$A13)*'Cálculos'!$C$98)+1400)+'Cálculos'!$C$122)*'Cálculos'!$C$245+'Cálculos'!$C$125*(1+2.78*('Cálculos'!$C$198+(($B$54)-$A13)*'Cálculos'!$C$98)/(('Cálculos'!$C$198+(($B$54)-$A13)*'Cálculos'!$C$98)+1400)+'Cálculos'!$C$123)*'Cálculos'!$C$250)+('Cálculos'!$C$201*(1+'Cálculos'!$C$202+$A13*('Cálculos'!$C$290=2)*'Cálculos'!$C$101)+'Cálculos'!$C$203)*('Cálculos'!$C$241+'Cálculos'!$C$124*(1+2.78*('Cálculos'!$C$198+(($B$54)-$A13)*'Cálculos'!$C$98)/(('Cálculos'!$C$198+(($B$54)-$A13)*'Cálculos'!$C$98)+1400)+'Cálculos'!$C$122)*'Cálculos'!$C$246+'Cálculos'!$C$125*(1+2.78*('Cálculos'!$C$198+(($B$54)-$A13)*'Cálculos'!$C$98)/(('Cálculos'!$C$198+(($B$54)-$A13)*'Cálculos'!$C$98)+1400)+'Cálculos'!$C$123)*'Cálculos'!$C$251)+('Cálculos'!$C$204*(1+'Cálculos'!$C$205+$A13*('Cálculos'!$C$290=3)*'Cálculos'!$C$103)+'Cálculos'!$C$206)*('Cálculos'!$C$242+'Cálculos'!$C$124*(1+2.78*('Cálculos'!$C$198+(($B$54)-$A13)*'Cálculos'!$C$98)/(('Cálculos'!$C$198+(($B$54)-$A13)*'Cálculos'!$C$98)+1400)+'Cálculos'!$C$122)*'Cálculos'!$C$247+'Cálculos'!$C$125*(1+2.78*('Cálculos'!$C$198+(($B$54)-$A13)*'Cálculos'!$C$98)/(('Cálculos'!$C$198+(($B$54)-$A13)*'Cálculos'!$C$98)+1400)+'Cálculos'!$C$123)*'Cálculos'!$C$252)+('Cálculos'!$C$243+'Cálculos'!$C$124*(1+2.78*('Cálculos'!$C$198+(($B$54)-$A13)*'Cálculos'!$C$98)/(('Cálculos'!$C$198+(($B$54)-$A13)*'Cálculos'!$C$98)+1400)+'Cálculos'!$C$122)*'Cálculos'!$C$248+'Cálculos'!$C$125*(1+2.78*('Cálculos'!$C$198+(($B$54)-$A13)*'Cálculos'!$C$98)/(('Cálculos'!$C$198+(($B$54)-$A13)*'Cálculos'!$C$98)+1400)+'Cálculos'!$C$123)*'Cálculos'!$C$253)+('Cálculos'!$C$185*(1+'Cálculos'!$C$189+$A13*('Cálculos'!$C$290=1)*'Cálculos'!$C$97+'Cálculos'!$C$305)+'Cálculos'!$C$194)*('Cálculos'!$C$254+'Cálculos'!$C$124*(1+2.78*('Cálculos'!$C$199+(($B$54)-$A13)*'Cálculos'!$C$98)/(('Cálculos'!$C$199+(($B$54)-$A13)*'Cálculos'!$C$98)+1400)+'Cálculos'!$C$122)*'Cálculos'!$C$259+'Cálculos'!$C$125*(1+2.78*('Cálculos'!$C$199+(($B$54)-$A13)*'Cálculos'!$C$98)/(('Cálculos'!$C$199+(($B$54)-$A13)*'Cálculos'!$C$98)+1400)+'Cálculos'!$C$123)*'Cálculos'!$C$264)+('Cálculos'!$C$199+(($B$54)-$A13)*'Cálculos'!$C$98)*('Cálculos'!$C$255+'Cálculos'!$C$124*(1+2.78*('Cálculos'!$C$199+(($B$54)-$A13)*'Cálculos'!$C$98)/(('Cálculos'!$C$199+(($B$54)-$A13)*'Cálculos'!$C$98)+1400)+'Cálculos'!$C$122)*'Cálculos'!$C$260+'Cálculos'!$C$125*(1+2.78*('Cálculos'!$C$199+(($B$54)-$A13)*'Cálculos'!$C$98)/(('Cálculos'!$C$199+(($B$54)-$A13)*'Cálculos'!$C$98)+1400)+'Cálculos'!$C$123)*'Cálculos'!$C$265)+('Cálculos'!$C$201*(1+'Cálculos'!$C$202+$A13*('Cálculos'!$C$290=2)*'Cálculos'!$C$101)+'Cálculos'!$C$203)*('Cálculos'!$C$256+'Cálculos'!$C$124*(1+2.78*('Cálculos'!$C$199+(($B$54)-$A13)*'Cálculos'!$C$98)/(('Cálculos'!$C$199+(($B$54)-$A13)*'Cálculos'!$C$98)+1400)+'Cálculos'!$C$122)*'Cálculos'!$C$261+'Cálculos'!$C$125*(1+2.78*('Cálculos'!$C$199+(($B$54)-$A13)*'Cálculos'!$C$98)/(('Cálculos'!$C$199+(($B$54)-$A13)*'Cálculos'!$C$98)+1400)+'Cálculos'!$C$123)*'Cálculos'!$C$266)+('Cálculos'!$C$204*(1+'Cálculos'!$C$205+$A13*('Cálculos'!$C$290=3)*'Cálculos'!$C$103)+'Cálculos'!$C$206)*('Cálculos'!$C$257+'Cálculos'!$C$124*(1+2.78*('Cálculos'!$C$199+(($B$54)-$A13)*'Cálculos'!$C$98)/(('Cálculos'!$C$199+(($B$54)-$A13)*'Cálculos'!$C$98)+1400)+'Cálculos'!$C$122)*'Cálculos'!$C$262+'Cálculos'!$C$125*(1+2.78*('Cálculos'!$C$199+(($B$54)-$A13)*'Cálculos'!$C$98)/(('Cálculos'!$C$199+(($B$54)-$A13)*'Cálculos'!$C$98)+1400)+'Cálculos'!$C$123)*'Cálculos'!$C$267)+('Cálculos'!$C$258+'Cálculos'!$C$124*(1+2.78*('Cálculos'!$C$199+(($B$54)-$A13)*'Cálculos'!$C$98)/(('Cálculos'!$C$199+(($B$54)-$A13)*'Cálculos'!$C$98)+1400)+'Cálculos'!$C$122)*'Cálculos'!$C$263+'Cálculos'!$C$125*(1+2.78*('Cálculos'!$C$199+(($B$54)-$A13)*'Cálculos'!$C$98)/(('Cálculos'!$C$199+(($B$54)-$A13)*'Cálculos'!$C$98)+1400)+'Cálculos'!$C$123)*'Cálculos'!$C$268)+('Cálculos'!$C$185*(1+'Cálculos'!$C$190+$A13*('Cálculos'!$C$290=1)*'Cálculos'!$C$97+'Cálculos'!$C$305)+'Cálculos'!$C$195)*('Cálculos'!$C$269+'Cálculos'!$C$124*(1+2.78*('Cálculos'!$C$200+(($B$54)-$A13)*'Cálculos'!$C$98)/(('Cálculos'!$C$200+(($B$54)-$A13)*'Cálculos'!$C$98)+1400)+'Cálculos'!$C$122)*'Cálculos'!$C$274+'Cálculos'!$C$125*(1+2.78*('Cálculos'!$C$200+(($B$54)-$A13)*'Cálculos'!$C$98)/(('Cálculos'!$C$200+(($B$54)-$A13)*'Cálculos'!$C$98)+1400)+'Cálculos'!$C$123)*'Cálculos'!$C$279)+('Cálculos'!$C$200+(($B$54)-$A13)*'Cálculos'!$C$98)*('Cálculos'!$C$270+'Cálculos'!$C$124*(1+2.78*('Cálculos'!$C$200+(($B$54)-$A13)*'Cálculos'!$C$98)/(('Cálculos'!$C$200+(($B$54)-$A13)*'Cálculos'!$C$98)+1400)+'Cálculos'!$C$122)*'Cálculos'!$C$275+'Cálculos'!$C$125*(1+2.78*('Cálculos'!$C$200+(($B$54)-$A13)*'Cálculos'!$C$98)/(('Cálculos'!$C$200+(($B$54)-$A13)*'Cálculos'!$C$98)+1400)+'Cálculos'!$C$123)*'Cálculos'!$C$280)+('Cálculos'!$C$201*(1+'Cálculos'!$C$202+$A13*('Cálculos'!$C$290=2)*'Cálculos'!$C$101)+'Cálculos'!$C$203)*('Cálculos'!$C$271+'Cálculos'!$C$124*(1+2.78*('Cálculos'!$C$200+(($B$54)-$A13)*'Cálculos'!$C$98)/(('Cálculos'!$C$200+(($B$54)-$A13)*'Cálculos'!$C$98)+1400)+'Cálculos'!$C$122)*'Cálculos'!$C$276+'Cálculos'!$C$125*(1+2.78*('Cálculos'!$C$200+(($B$54)-$A13)*'Cálculos'!$C$98)/(('Cálculos'!$C$200+(($B$54)-$A13)*'Cálculos'!$C$98)+1400)+'Cálculos'!$C$123)*'Cálculos'!$C$281)+('Cálculos'!$C$204*(1+'Cálculos'!$C$205+$A13*('Cálculos'!$C$290=3)*'Cálculos'!$C$103)+'Cálculos'!$C$206)*('Cálculos'!$C$272+'Cálculos'!$C$124*(1+2.78*('Cálculos'!$C$200+(($B$54)-$A13)*'Cálculos'!$C$98)/(('Cálculos'!$C$200+(($B$54)-$A13)*'Cálculos'!$C$98)+1400)+'Cálculos'!$C$122)*'Cálculos'!$C$277+'Cálculos'!$C$125*(1+2.78*('Cálculos'!$C$200+(($B$54)-$A13)*'Cálculos'!$C$98)/(('Cálculos'!$C$200+(($B$54)-$A13)*'Cálculos'!$C$98)+1400)+'Cálculos'!$C$123)*'Cálculos'!$C$282)+('Cálculos'!$C$273+'Cálculos'!$C$124*(1+2.78*('Cálculos'!$C$200+(($B$54)-$A13)*'Cálculos'!$C$98)/(('Cálculos'!$C$200+(($B$54)-$A13)*'Cálculos'!$C$98)+1400)+'Cálculos'!$C$122)*'Cálculos'!$C$278+'Cálculos'!$C$125*(1+2.78*('Cálculos'!$C$200+(($B$54)-$A13)*'Cálculos'!$C$98)/(('Cálculos'!$C$200+(($B$54)-$A13)*'Cálculos'!$C$98)+1400)+'Cálculos'!$C$123)*'Cálculos'!$C$283)))</f>
        <v>0</v>
      </c>
    </row>
    <row r="14">
      <c r="A14" s="2">
        <v>8.0</v>
      </c>
      <c r="B14" s="30">
        <f>SUMPRODUCT(MAX(($A$6:$A$51&lt;=$A14)*($A$6:$A$51&lt;='Cálculos'!$C$294)*(($A14)-$A$6:$A$51&lt;='Cálculos'!$C$295)*(1+(('Cálculos'!$C$207+$A$6:$A$51*'Cálculos'!$C$95)-(('Cálculos'!$C$207+$A$6:$A$51*'Cálculos'!$C$95)&gt;1)*(('Cálculos'!$C$207+$A$6:$A$51*'Cálculos'!$C$95)-1))*('Cálculos'!$C$208+(($A14)-$A$6:$A$51)*'Cálculos'!$C$96))))</f>
        <v>2.76932</v>
      </c>
      <c r="C14" s="2">
        <f>'Cálculos'!$C$303-$A14</f>
        <v>12</v>
      </c>
      <c r="D14" s="31">
        <f>IF($C14&lt;0,0,SUMPRODUCT(MAX(($A$6:$A$51&lt;=$C14)*($A$6:$A$51&lt;='Cálculos'!$C$301)*(($C14)-$A$6:$A$51&lt;='Cálculos'!$C$297)*(('Cálculos'!$C$185*(1+'Cálculos'!$C$186+$A$6:$A$51*('Cálculos'!$C$290=1)*'Cálculos'!$C$97+'Cálculos'!$C$305)+'Cálculos'!$C$191)*('Cálculos'!$C$209+'Cálculos'!$C$124*(1+2.78*('Cálculos'!$C$196+(($C14)-$A$6:$A$51)*'Cálculos'!$C$98)/(('Cálculos'!$C$196+(($C14)-$A$6:$A$51)*'Cálculos'!$C$98)+1400)+'Cálculos'!$C$122)*'Cálculos'!$C$214+'Cálculos'!$C$125*(1+2.78*('Cálculos'!$C$196+(($C14)-$A$6:$A$51)*'Cálculos'!$C$98)/(('Cálculos'!$C$196+(($C14)-$A$6:$A$51)*'Cálculos'!$C$98)+1400)+'Cálculos'!$C$123)*'Cálculos'!$C$219)+('Cálculos'!$C$196+(($C14)-$A$6:$A$51)*'Cálculos'!$C$98)*('Cálculos'!$C$210+'Cálculos'!$C$124*(1+2.78*('Cálculos'!$C$196+(($C14)-$A$6:$A$51)*'Cálculos'!$C$98)/(('Cálculos'!$C$196+(($C14)-$A$6:$A$51)*'Cálculos'!$C$98)+1400)+'Cálculos'!$C$122)*'Cálculos'!$C$215+'Cálculos'!$C$125*(1+2.78*('Cálculos'!$C$196+(($C14)-$A$6:$A$51)*'Cálculos'!$C$98)/(('Cálculos'!$C$196+(($C14)-$A$6:$A$51)*'Cálculos'!$C$98)+1400)+'Cálculos'!$C$123)*'Cálculos'!$C$220)+('Cálculos'!$C$201*(1+'Cálculos'!$C$202+$A$6:$A$51*('Cálculos'!$C$290=2)*'Cálculos'!$C$101)+'Cálculos'!$C$203)*('Cálculos'!$C$211+'Cálculos'!$C$124*(1+2.78*('Cálculos'!$C$196+(($C14)-$A$6:$A$51)*'Cálculos'!$C$98)/(('Cálculos'!$C$196+(($C14)-$A$6:$A$51)*'Cálculos'!$C$98)+1400)+'Cálculos'!$C$122)*'Cálculos'!$C$216+'Cálculos'!$C$125*(1+2.78*('Cálculos'!$C$196+(($C14)-$A$6:$A$51)*'Cálculos'!$C$98)/(('Cálculos'!$C$196+(($C14)-$A$6:$A$51)*'Cálculos'!$C$98)+1400)+'Cálculos'!$C$123)*'Cálculos'!$C$221)+('Cálculos'!$C$204*(1+'Cálculos'!$C$205+$A$6:$A$51*('Cálculos'!$C$290=3)*'Cálculos'!$C$103)+'Cálculos'!$C$206)*('Cálculos'!$C$212+'Cálculos'!$C$124*(1+2.78*('Cálculos'!$C$196+(($C14)-$A$6:$A$51)*'Cálculos'!$C$98)/(('Cálculos'!$C$196+(($C14)-$A$6:$A$51)*'Cálculos'!$C$98)+1400)+'Cálculos'!$C$122)*'Cálculos'!$C$217+'Cálculos'!$C$125*(1+2.78*('Cálculos'!$C$196+(($C14)-$A$6:$A$51)*'Cálculos'!$C$98)/(('Cálculos'!$C$196+(($C14)-$A$6:$A$51)*'Cálculos'!$C$98)+1400)+'Cálculos'!$C$123)*'Cálculos'!$C$222)+('Cálculos'!$C$213+'Cálculos'!$C$124*(1+2.78*('Cálculos'!$C$196+(($C14)-$A$6:$A$51)*'Cálculos'!$C$98)/(('Cálculos'!$C$196+(($C14)-$A$6:$A$51)*'Cálculos'!$C$98)+1400)+'Cálculos'!$C$122)*'Cálculos'!$C$218+'Cálculos'!$C$125*(1+2.78*('Cálculos'!$C$196+(($C14)-$A$6:$A$51)*'Cálculos'!$C$98)/(('Cálculos'!$C$196+(($C14)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14)-$A$6:$A$51)*'Cálculos'!$C$98)/(('Cálculos'!$C$197+(($C14)-$A$6:$A$51)*'Cálculos'!$C$98)+1400)+'Cálculos'!$C$122)*'Cálculos'!$C$229+'Cálculos'!$C$125*(1+2.78*('Cálculos'!$C$197+(($C14)-$A$6:$A$51)*'Cálculos'!$C$98)/(('Cálculos'!$C$197+(($C14)-$A$6:$A$51)*'Cálculos'!$C$98)+1400)+'Cálculos'!$C$123)*'Cálculos'!$C$234)+('Cálculos'!$C$197+(($C14)-$A$6:$A$51)*'Cálculos'!$C$98)*('Cálculos'!$C$225+'Cálculos'!$C$124*(1+2.78*('Cálculos'!$C$197+(($C14)-$A$6:$A$51)*'Cálculos'!$C$98)/(('Cálculos'!$C$197+(($C14)-$A$6:$A$51)*'Cálculos'!$C$98)+1400)+'Cálculos'!$C$122)*'Cálculos'!$C$230+'Cálculos'!$C$125*(1+2.78*('Cálculos'!$C$197+(($C14)-$A$6:$A$51)*'Cálculos'!$C$98)/(('Cálculos'!$C$197+(($C14)-$A$6:$A$51)*'Cálculos'!$C$98)+1400)+'Cálculos'!$C$123)*'Cálculos'!$C$235)+('Cálculos'!$C$201*(1+'Cálculos'!$C$202+$A$6:$A$51*('Cálculos'!$C$290=2)*'Cálculos'!$C$101)+'Cálculos'!$C$203)*('Cálculos'!$C$226+'Cálculos'!$C$124*(1+2.78*('Cálculos'!$C$197+(($C14)-$A$6:$A$51)*'Cálculos'!$C$98)/(('Cálculos'!$C$197+(($C14)-$A$6:$A$51)*'Cálculos'!$C$98)+1400)+'Cálculos'!$C$122)*'Cálculos'!$C$231+'Cálculos'!$C$125*(1+2.78*('Cálculos'!$C$197+(($C14)-$A$6:$A$51)*'Cálculos'!$C$98)/(('Cálculos'!$C$197+(($C14)-$A$6:$A$51)*'Cálculos'!$C$98)+1400)+'Cálculos'!$C$123)*'Cálculos'!$C$236)+('Cálculos'!$C$204*(1+'Cálculos'!$C$205+$A$6:$A$51*('Cálculos'!$C$290=3)*'Cálculos'!$C$103)+'Cálculos'!$C$206)*('Cálculos'!$C$227+'Cálculos'!$C$124*(1+2.78*('Cálculos'!$C$197+(($C14)-$A$6:$A$51)*'Cálculos'!$C$98)/(('Cálculos'!$C$197+(($C14)-$A$6:$A$51)*'Cálculos'!$C$98)+1400)+'Cálculos'!$C$122)*'Cálculos'!$C$232+'Cálculos'!$C$125*(1+2.78*('Cálculos'!$C$197+(($C14)-$A$6:$A$51)*'Cálculos'!$C$98)/(('Cálculos'!$C$197+(($C14)-$A$6:$A$51)*'Cálculos'!$C$98)+1400)+'Cálculos'!$C$123)*'Cálculos'!$C$237)+('Cálculos'!$C$228+'Cálculos'!$C$124*(1+2.78*('Cálculos'!$C$197+(($C14)-$A$6:$A$51)*'Cálculos'!$C$98)/(('Cálculos'!$C$197+(($C14)-$A$6:$A$51)*'Cálculos'!$C$98)+1400)+'Cálculos'!$C$122)*'Cálculos'!$C$233+'Cálculos'!$C$125*(1+2.78*('Cálculos'!$C$197+(($C14)-$A$6:$A$51)*'Cálculos'!$C$98)/(('Cálculos'!$C$197+(($C14)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14)-$A$6:$A$51)*'Cálculos'!$C$98)/(('Cálculos'!$C$198+(($C14)-$A$6:$A$51)*'Cálculos'!$C$98)+1400)+'Cálculos'!$C$122)*'Cálculos'!$C$244+'Cálculos'!$C$125*(1+2.78*('Cálculos'!$C$198+(($C14)-$A$6:$A$51)*'Cálculos'!$C$98)/(('Cálculos'!$C$198+(($C14)-$A$6:$A$51)*'Cálculos'!$C$98)+1400)+'Cálculos'!$C$123)*'Cálculos'!$C$249)+('Cálculos'!$C$198+(($C14)-$A$6:$A$51)*'Cálculos'!$C$98)*('Cálculos'!$C$240+'Cálculos'!$C$124*(1+2.78*('Cálculos'!$C$198+(($C14)-$A$6:$A$51)*'Cálculos'!$C$98)/(('Cálculos'!$C$198+(($C14)-$A$6:$A$51)*'Cálculos'!$C$98)+1400)+'Cálculos'!$C$122)*'Cálculos'!$C$245+'Cálculos'!$C$125*(1+2.78*('Cálculos'!$C$198+(($C14)-$A$6:$A$51)*'Cálculos'!$C$98)/(('Cálculos'!$C$198+(($C14)-$A$6:$A$51)*'Cálculos'!$C$98)+1400)+'Cálculos'!$C$123)*'Cálculos'!$C$250)+('Cálculos'!$C$201*(1+'Cálculos'!$C$202+$A$6:$A$51*('Cálculos'!$C$290=2)*'Cálculos'!$C$101)+'Cálculos'!$C$203)*('Cálculos'!$C$241+'Cálculos'!$C$124*(1+2.78*('Cálculos'!$C$198+(($C14)-$A$6:$A$51)*'Cálculos'!$C$98)/(('Cálculos'!$C$198+(($C14)-$A$6:$A$51)*'Cálculos'!$C$98)+1400)+'Cálculos'!$C$122)*'Cálculos'!$C$246+'Cálculos'!$C$125*(1+2.78*('Cálculos'!$C$198+(($C14)-$A$6:$A$51)*'Cálculos'!$C$98)/(('Cálculos'!$C$198+(($C14)-$A$6:$A$51)*'Cálculos'!$C$98)+1400)+'Cálculos'!$C$123)*'Cálculos'!$C$251)+('Cálculos'!$C$204*(1+'Cálculos'!$C$205+$A$6:$A$51*('Cálculos'!$C$290=3)*'Cálculos'!$C$103)+'Cálculos'!$C$206)*('Cálculos'!$C$242+'Cálculos'!$C$124*(1+2.78*('Cálculos'!$C$198+(($C14)-$A$6:$A$51)*'Cálculos'!$C$98)/(('Cálculos'!$C$198+(($C14)-$A$6:$A$51)*'Cálculos'!$C$98)+1400)+'Cálculos'!$C$122)*'Cálculos'!$C$247+'Cálculos'!$C$125*(1+2.78*('Cálculos'!$C$198+(($C14)-$A$6:$A$51)*'Cálculos'!$C$98)/(('Cálculos'!$C$198+(($C14)-$A$6:$A$51)*'Cálculos'!$C$98)+1400)+'Cálculos'!$C$123)*'Cálculos'!$C$252)+('Cálculos'!$C$243+'Cálculos'!$C$124*(1+2.78*('Cálculos'!$C$198+(($C14)-$A$6:$A$51)*'Cálculos'!$C$98)/(('Cálculos'!$C$198+(($C14)-$A$6:$A$51)*'Cálculos'!$C$98)+1400)+'Cálculos'!$C$122)*'Cálculos'!$C$248+'Cálculos'!$C$125*(1+2.78*('Cálculos'!$C$198+(($C14)-$A$6:$A$51)*'Cálculos'!$C$98)/(('Cálculos'!$C$198+(($C14)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14)-$A$6:$A$51)*'Cálculos'!$C$98)/(('Cálculos'!$C$199+(($C14)-$A$6:$A$51)*'Cálculos'!$C$98)+1400)+'Cálculos'!$C$122)*'Cálculos'!$C$259+'Cálculos'!$C$125*(1+2.78*('Cálculos'!$C$199+(($C14)-$A$6:$A$51)*'Cálculos'!$C$98)/(('Cálculos'!$C$199+(($C14)-$A$6:$A$51)*'Cálculos'!$C$98)+1400)+'Cálculos'!$C$123)*'Cálculos'!$C$264)+('Cálculos'!$C$199+(($C14)-$A$6:$A$51)*'Cálculos'!$C$98)*('Cálculos'!$C$255+'Cálculos'!$C$124*(1+2.78*('Cálculos'!$C$199+(($C14)-$A$6:$A$51)*'Cálculos'!$C$98)/(('Cálculos'!$C$199+(($C14)-$A$6:$A$51)*'Cálculos'!$C$98)+1400)+'Cálculos'!$C$122)*'Cálculos'!$C$260+'Cálculos'!$C$125*(1+2.78*('Cálculos'!$C$199+(($C14)-$A$6:$A$51)*'Cálculos'!$C$98)/(('Cálculos'!$C$199+(($C14)-$A$6:$A$51)*'Cálculos'!$C$98)+1400)+'Cálculos'!$C$123)*'Cálculos'!$C$265)+('Cálculos'!$C$201*(1+'Cálculos'!$C$202+$A$6:$A$51*('Cálculos'!$C$290=2)*'Cálculos'!$C$101)+'Cálculos'!$C$203)*('Cálculos'!$C$256+'Cálculos'!$C$124*(1+2.78*('Cálculos'!$C$199+(($C14)-$A$6:$A$51)*'Cálculos'!$C$98)/(('Cálculos'!$C$199+(($C14)-$A$6:$A$51)*'Cálculos'!$C$98)+1400)+'Cálculos'!$C$122)*'Cálculos'!$C$261+'Cálculos'!$C$125*(1+2.78*('Cálculos'!$C$199+(($C14)-$A$6:$A$51)*'Cálculos'!$C$98)/(('Cálculos'!$C$199+(($C14)-$A$6:$A$51)*'Cálculos'!$C$98)+1400)+'Cálculos'!$C$123)*'Cálculos'!$C$266)+('Cálculos'!$C$204*(1+'Cálculos'!$C$205+$A$6:$A$51*('Cálculos'!$C$290=3)*'Cálculos'!$C$103)+'Cálculos'!$C$206)*('Cálculos'!$C$257+'Cálculos'!$C$124*(1+2.78*('Cálculos'!$C$199+(($C14)-$A$6:$A$51)*'Cálculos'!$C$98)/(('Cálculos'!$C$199+(($C14)-$A$6:$A$51)*'Cálculos'!$C$98)+1400)+'Cálculos'!$C$122)*'Cálculos'!$C$262+'Cálculos'!$C$125*(1+2.78*('Cálculos'!$C$199+(($C14)-$A$6:$A$51)*'Cálculos'!$C$98)/(('Cálculos'!$C$199+(($C14)-$A$6:$A$51)*'Cálculos'!$C$98)+1400)+'Cálculos'!$C$123)*'Cálculos'!$C$267)+('Cálculos'!$C$258+'Cálculos'!$C$124*(1+2.78*('Cálculos'!$C$199+(($C14)-$A$6:$A$51)*'Cálculos'!$C$98)/(('Cálculos'!$C$199+(($C14)-$A$6:$A$51)*'Cálculos'!$C$98)+1400)+'Cálculos'!$C$122)*'Cálculos'!$C$263+'Cálculos'!$C$125*(1+2.78*('Cálculos'!$C$199+(($C14)-$A$6:$A$51)*'Cálculos'!$C$98)/(('Cálculos'!$C$199+(($C14)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14)-$A$6:$A$51)*'Cálculos'!$C$98)/(('Cálculos'!$C$200+(($C14)-$A$6:$A$51)*'Cálculos'!$C$98)+1400)+'Cálculos'!$C$122)*'Cálculos'!$C$274+'Cálculos'!$C$125*(1+2.78*('Cálculos'!$C$200+(($C14)-$A$6:$A$51)*'Cálculos'!$C$98)/(('Cálculos'!$C$200+(($C14)-$A$6:$A$51)*'Cálculos'!$C$98)+1400)+'Cálculos'!$C$123)*'Cálculos'!$C$279)+('Cálculos'!$C$200+(($C14)-$A$6:$A$51)*'Cálculos'!$C$98)*('Cálculos'!$C$270+'Cálculos'!$C$124*(1+2.78*('Cálculos'!$C$200+(($C14)-$A$6:$A$51)*'Cálculos'!$C$98)/(('Cálculos'!$C$200+(($C14)-$A$6:$A$51)*'Cálculos'!$C$98)+1400)+'Cálculos'!$C$122)*'Cálculos'!$C$275+'Cálculos'!$C$125*(1+2.78*('Cálculos'!$C$200+(($C14)-$A$6:$A$51)*'Cálculos'!$C$98)/(('Cálculos'!$C$200+(($C14)-$A$6:$A$51)*'Cálculos'!$C$98)+1400)+'Cálculos'!$C$123)*'Cálculos'!$C$280)+('Cálculos'!$C$201*(1+'Cálculos'!$C$202+$A$6:$A$51*('Cálculos'!$C$290=2)*'Cálculos'!$C$101)+'Cálculos'!$C$203)*('Cálculos'!$C$271+'Cálculos'!$C$124*(1+2.78*('Cálculos'!$C$200+(($C14)-$A$6:$A$51)*'Cálculos'!$C$98)/(('Cálculos'!$C$200+(($C14)-$A$6:$A$51)*'Cálculos'!$C$98)+1400)+'Cálculos'!$C$122)*'Cálculos'!$C$276+'Cálculos'!$C$125*(1+2.78*('Cálculos'!$C$200+(($C14)-$A$6:$A$51)*'Cálculos'!$C$98)/(('Cálculos'!$C$200+(($C14)-$A$6:$A$51)*'Cálculos'!$C$98)+1400)+'Cálculos'!$C$123)*'Cálculos'!$C$281)+('Cálculos'!$C$204*(1+'Cálculos'!$C$205+$A$6:$A$51*('Cálculos'!$C$290=3)*'Cálculos'!$C$103)+'Cálculos'!$C$206)*('Cálculos'!$C$272+'Cálculos'!$C$124*(1+2.78*('Cálculos'!$C$200+(($C14)-$A$6:$A$51)*'Cálculos'!$C$98)/(('Cálculos'!$C$200+(($C14)-$A$6:$A$51)*'Cálculos'!$C$98)+1400)+'Cálculos'!$C$122)*'Cálculos'!$C$277+'Cálculos'!$C$125*(1+2.78*('Cálculos'!$C$200+(($C14)-$A$6:$A$51)*'Cálculos'!$C$98)/(('Cálculos'!$C$200+(($C14)-$A$6:$A$51)*'Cálculos'!$C$98)+1400)+'Cálculos'!$C$123)*'Cálculos'!$C$282)+('Cálculos'!$C$273+'Cálculos'!$C$124*(1+2.78*('Cálculos'!$C$200+(($C14)-$A$6:$A$51)*'Cálculos'!$C$98)/(('Cálculos'!$C$200+(($C14)-$A$6:$A$51)*'Cálculos'!$C$98)+1400)+'Cálculos'!$C$122)*'Cálculos'!$C$278+'Cálculos'!$C$125*(1+2.78*('Cálculos'!$C$200+(($C14)-$A$6:$A$51)*'Cálculos'!$C$98)/(('Cálculos'!$C$200+(($C14)-$A$6:$A$51)*'Cálculos'!$C$98)+1400)+'Cálculos'!$C$123)*'Cálculos'!$C$283)))))</f>
        <v>1189299.781</v>
      </c>
      <c r="E14" s="32">
        <f>IF(OR($C14&lt;0,'Cálculos'!$C$6=""),0,$B14*$D14)</f>
        <v>3293551.669</v>
      </c>
      <c r="F14" s="2"/>
      <c r="G14" s="30">
        <f>($A14&lt;=$B$53)*($A14&lt;='Cálculos'!$C$294)*(($B$53)-$A14&lt;='Cálculos'!$C$295)*(1+MIN(('Cálculos'!$C$207+$A14*'Cálculos'!$C$95),1)*('Cálculos'!$C$208+(($B$53)-$A14)*'Cálculos'!$C$96))</f>
        <v>3.23924</v>
      </c>
      <c r="H14" s="31">
        <f>IF($B$54&lt;0,0,($A14&lt;=$B$54)*($A14&lt;='Cálculos'!$C$301)*(($B$54)-$A14&lt;='Cálculos'!$C$297)*(('Cálculos'!$C$185*(1+'Cálculos'!$C$186+$A14*('Cálculos'!$C$290=1)*'Cálculos'!$C$97+'Cálculos'!$C$305)+'Cálculos'!$C$191)*('Cálculos'!$C$209+'Cálculos'!$C$124*(1+2.78*('Cálculos'!$C$196+(($B$54)-$A14)*'Cálculos'!$C$98)/(('Cálculos'!$C$196+(($B$54)-$A14)*'Cálculos'!$C$98)+1400)+'Cálculos'!$C$122)*'Cálculos'!$C$214+'Cálculos'!$C$125*(1+2.78*('Cálculos'!$C$196+(($B$54)-$A14)*'Cálculos'!$C$98)/(('Cálculos'!$C$196+(($B$54)-$A14)*'Cálculos'!$C$98)+1400)+'Cálculos'!$C$123)*'Cálculos'!$C$219)+('Cálculos'!$C$196+(($B$54)-$A14)*'Cálculos'!$C$98)*('Cálculos'!$C$210+'Cálculos'!$C$124*(1+2.78*('Cálculos'!$C$196+(($B$54)-$A14)*'Cálculos'!$C$98)/(('Cálculos'!$C$196+(($B$54)-$A14)*'Cálculos'!$C$98)+1400)+'Cálculos'!$C$122)*'Cálculos'!$C$215+'Cálculos'!$C$125*(1+2.78*('Cálculos'!$C$196+(($B$54)-$A14)*'Cálculos'!$C$98)/(('Cálculos'!$C$196+(($B$54)-$A14)*'Cálculos'!$C$98)+1400)+'Cálculos'!$C$123)*'Cálculos'!$C$220)+('Cálculos'!$C$201*(1+'Cálculos'!$C$202+$A14*('Cálculos'!$C$290=2)*'Cálculos'!$C$101)+'Cálculos'!$C$203)*('Cálculos'!$C$211+'Cálculos'!$C$124*(1+2.78*('Cálculos'!$C$196+(($B$54)-$A14)*'Cálculos'!$C$98)/(('Cálculos'!$C$196+(($B$54)-$A14)*'Cálculos'!$C$98)+1400)+'Cálculos'!$C$122)*'Cálculos'!$C$216+'Cálculos'!$C$125*(1+2.78*('Cálculos'!$C$196+(($B$54)-$A14)*'Cálculos'!$C$98)/(('Cálculos'!$C$196+(($B$54)-$A14)*'Cálculos'!$C$98)+1400)+'Cálculos'!$C$123)*'Cálculos'!$C$221)+('Cálculos'!$C$204*(1+'Cálculos'!$C$205+$A14*('Cálculos'!$C$290=3)*'Cálculos'!$C$103)+'Cálculos'!$C$206)*('Cálculos'!$C$212+'Cálculos'!$C$124*(1+2.78*('Cálculos'!$C$196+(($B$54)-$A14)*'Cálculos'!$C$98)/(('Cálculos'!$C$196+(($B$54)-$A14)*'Cálculos'!$C$98)+1400)+'Cálculos'!$C$122)*'Cálculos'!$C$217+'Cálculos'!$C$125*(1+2.78*('Cálculos'!$C$196+(($B$54)-$A14)*'Cálculos'!$C$98)/(('Cálculos'!$C$196+(($B$54)-$A14)*'Cálculos'!$C$98)+1400)+'Cálculos'!$C$123)*'Cálculos'!$C$222)+('Cálculos'!$C$213+'Cálculos'!$C$124*(1+2.78*('Cálculos'!$C$196+(($B$54)-$A14)*'Cálculos'!$C$98)/(('Cálculos'!$C$196+(($B$54)-$A14)*'Cálculos'!$C$98)+1400)+'Cálculos'!$C$122)*'Cálculos'!$C$218+'Cálculos'!$C$125*(1+2.78*('Cálculos'!$C$196+(($B$54)-$A14)*'Cálculos'!$C$98)/(('Cálculos'!$C$196+(($B$54)-$A14)*'Cálculos'!$C$98)+1400)+'Cálculos'!$C$123)*'Cálculos'!$C$223)+('Cálculos'!$C$185*(1+'Cálculos'!$C$187+$A14*('Cálculos'!$C$290=1)*'Cálculos'!$C$97+'Cálculos'!$C$305)+'Cálculos'!$C$192)*('Cálculos'!$C$224+'Cálculos'!$C$124*(1+2.78*('Cálculos'!$C$197+(($B$54)-$A14)*'Cálculos'!$C$98)/(('Cálculos'!$C$197+(($B$54)-$A14)*'Cálculos'!$C$98)+1400)+'Cálculos'!$C$122)*'Cálculos'!$C$229+'Cálculos'!$C$125*(1+2.78*('Cálculos'!$C$197+(($B$54)-$A14)*'Cálculos'!$C$98)/(('Cálculos'!$C$197+(($B$54)-$A14)*'Cálculos'!$C$98)+1400)+'Cálculos'!$C$123)*'Cálculos'!$C$234)+('Cálculos'!$C$197+(($B$54)-$A14)*'Cálculos'!$C$98)*('Cálculos'!$C$225+'Cálculos'!$C$124*(1+2.78*('Cálculos'!$C$197+(($B$54)-$A14)*'Cálculos'!$C$98)/(('Cálculos'!$C$197+(($B$54)-$A14)*'Cálculos'!$C$98)+1400)+'Cálculos'!$C$122)*'Cálculos'!$C$230+'Cálculos'!$C$125*(1+2.78*('Cálculos'!$C$197+(($B$54)-$A14)*'Cálculos'!$C$98)/(('Cálculos'!$C$197+(($B$54)-$A14)*'Cálculos'!$C$98)+1400)+'Cálculos'!$C$123)*'Cálculos'!$C$235)+('Cálculos'!$C$201*(1+'Cálculos'!$C$202+$A14*('Cálculos'!$C$290=2)*'Cálculos'!$C$101)+'Cálculos'!$C$203)*('Cálculos'!$C$226+'Cálculos'!$C$124*(1+2.78*('Cálculos'!$C$197+(($B$54)-$A14)*'Cálculos'!$C$98)/(('Cálculos'!$C$197+(($B$54)-$A14)*'Cálculos'!$C$98)+1400)+'Cálculos'!$C$122)*'Cálculos'!$C$231+'Cálculos'!$C$125*(1+2.78*('Cálculos'!$C$197+(($B$54)-$A14)*'Cálculos'!$C$98)/(('Cálculos'!$C$197+(($B$54)-$A14)*'Cálculos'!$C$98)+1400)+'Cálculos'!$C$123)*'Cálculos'!$C$236)+('Cálculos'!$C$204*(1+'Cálculos'!$C$205+$A14*('Cálculos'!$C$290=3)*'Cálculos'!$C$103)+'Cálculos'!$C$206)*('Cálculos'!$C$227+'Cálculos'!$C$124*(1+2.78*('Cálculos'!$C$197+(($B$54)-$A14)*'Cálculos'!$C$98)/(('Cálculos'!$C$197+(($B$54)-$A14)*'Cálculos'!$C$98)+1400)+'Cálculos'!$C$122)*'Cálculos'!$C$232+'Cálculos'!$C$125*(1+2.78*('Cálculos'!$C$197+(($B$54)-$A14)*'Cálculos'!$C$98)/(('Cálculos'!$C$197+(($B$54)-$A14)*'Cálculos'!$C$98)+1400)+'Cálculos'!$C$123)*'Cálculos'!$C$237)+('Cálculos'!$C$228+'Cálculos'!$C$124*(1+2.78*('Cálculos'!$C$197+(($B$54)-$A14)*'Cálculos'!$C$98)/(('Cálculos'!$C$197+(($B$54)-$A14)*'Cálculos'!$C$98)+1400)+'Cálculos'!$C$122)*'Cálculos'!$C$233+'Cálculos'!$C$125*(1+2.78*('Cálculos'!$C$197+(($B$54)-$A14)*'Cálculos'!$C$98)/(('Cálculos'!$C$197+(($B$54)-$A14)*'Cálculos'!$C$98)+1400)+'Cálculos'!$C$123)*'Cálculos'!$C$238)+('Cálculos'!$C$185*(1+'Cálculos'!$C$188+$A14*('Cálculos'!$C$290=1)*'Cálculos'!$C$97+'Cálculos'!$C$305)+'Cálculos'!$C$193)*('Cálculos'!$C$239+'Cálculos'!$C$124*(1+2.78*('Cálculos'!$C$198+(($B$54)-$A14)*'Cálculos'!$C$98)/(('Cálculos'!$C$198+(($B$54)-$A14)*'Cálculos'!$C$98)+1400)+'Cálculos'!$C$122)*'Cálculos'!$C$244+'Cálculos'!$C$125*(1+2.78*('Cálculos'!$C$198+(($B$54)-$A14)*'Cálculos'!$C$98)/(('Cálculos'!$C$198+(($B$54)-$A14)*'Cálculos'!$C$98)+1400)+'Cálculos'!$C$123)*'Cálculos'!$C$249)+('Cálculos'!$C$198+(($B$54)-$A14)*'Cálculos'!$C$98)*('Cálculos'!$C$240+'Cálculos'!$C$124*(1+2.78*('Cálculos'!$C$198+(($B$54)-$A14)*'Cálculos'!$C$98)/(('Cálculos'!$C$198+(($B$54)-$A14)*'Cálculos'!$C$98)+1400)+'Cálculos'!$C$122)*'Cálculos'!$C$245+'Cálculos'!$C$125*(1+2.78*('Cálculos'!$C$198+(($B$54)-$A14)*'Cálculos'!$C$98)/(('Cálculos'!$C$198+(($B$54)-$A14)*'Cálculos'!$C$98)+1400)+'Cálculos'!$C$123)*'Cálculos'!$C$250)+('Cálculos'!$C$201*(1+'Cálculos'!$C$202+$A14*('Cálculos'!$C$290=2)*'Cálculos'!$C$101)+'Cálculos'!$C$203)*('Cálculos'!$C$241+'Cálculos'!$C$124*(1+2.78*('Cálculos'!$C$198+(($B$54)-$A14)*'Cálculos'!$C$98)/(('Cálculos'!$C$198+(($B$54)-$A14)*'Cálculos'!$C$98)+1400)+'Cálculos'!$C$122)*'Cálculos'!$C$246+'Cálculos'!$C$125*(1+2.78*('Cálculos'!$C$198+(($B$54)-$A14)*'Cálculos'!$C$98)/(('Cálculos'!$C$198+(($B$54)-$A14)*'Cálculos'!$C$98)+1400)+'Cálculos'!$C$123)*'Cálculos'!$C$251)+('Cálculos'!$C$204*(1+'Cálculos'!$C$205+$A14*('Cálculos'!$C$290=3)*'Cálculos'!$C$103)+'Cálculos'!$C$206)*('Cálculos'!$C$242+'Cálculos'!$C$124*(1+2.78*('Cálculos'!$C$198+(($B$54)-$A14)*'Cálculos'!$C$98)/(('Cálculos'!$C$198+(($B$54)-$A14)*'Cálculos'!$C$98)+1400)+'Cálculos'!$C$122)*'Cálculos'!$C$247+'Cálculos'!$C$125*(1+2.78*('Cálculos'!$C$198+(($B$54)-$A14)*'Cálculos'!$C$98)/(('Cálculos'!$C$198+(($B$54)-$A14)*'Cálculos'!$C$98)+1400)+'Cálculos'!$C$123)*'Cálculos'!$C$252)+('Cálculos'!$C$243+'Cálculos'!$C$124*(1+2.78*('Cálculos'!$C$198+(($B$54)-$A14)*'Cálculos'!$C$98)/(('Cálculos'!$C$198+(($B$54)-$A14)*'Cálculos'!$C$98)+1400)+'Cálculos'!$C$122)*'Cálculos'!$C$248+'Cálculos'!$C$125*(1+2.78*('Cálculos'!$C$198+(($B$54)-$A14)*'Cálculos'!$C$98)/(('Cálculos'!$C$198+(($B$54)-$A14)*'Cálculos'!$C$98)+1400)+'Cálculos'!$C$123)*'Cálculos'!$C$253)+('Cálculos'!$C$185*(1+'Cálculos'!$C$189+$A14*('Cálculos'!$C$290=1)*'Cálculos'!$C$97+'Cálculos'!$C$305)+'Cálculos'!$C$194)*('Cálculos'!$C$254+'Cálculos'!$C$124*(1+2.78*('Cálculos'!$C$199+(($B$54)-$A14)*'Cálculos'!$C$98)/(('Cálculos'!$C$199+(($B$54)-$A14)*'Cálculos'!$C$98)+1400)+'Cálculos'!$C$122)*'Cálculos'!$C$259+'Cálculos'!$C$125*(1+2.78*('Cálculos'!$C$199+(($B$54)-$A14)*'Cálculos'!$C$98)/(('Cálculos'!$C$199+(($B$54)-$A14)*'Cálculos'!$C$98)+1400)+'Cálculos'!$C$123)*'Cálculos'!$C$264)+('Cálculos'!$C$199+(($B$54)-$A14)*'Cálculos'!$C$98)*('Cálculos'!$C$255+'Cálculos'!$C$124*(1+2.78*('Cálculos'!$C$199+(($B$54)-$A14)*'Cálculos'!$C$98)/(('Cálculos'!$C$199+(($B$54)-$A14)*'Cálculos'!$C$98)+1400)+'Cálculos'!$C$122)*'Cálculos'!$C$260+'Cálculos'!$C$125*(1+2.78*('Cálculos'!$C$199+(($B$54)-$A14)*'Cálculos'!$C$98)/(('Cálculos'!$C$199+(($B$54)-$A14)*'Cálculos'!$C$98)+1400)+'Cálculos'!$C$123)*'Cálculos'!$C$265)+('Cálculos'!$C$201*(1+'Cálculos'!$C$202+$A14*('Cálculos'!$C$290=2)*'Cálculos'!$C$101)+'Cálculos'!$C$203)*('Cálculos'!$C$256+'Cálculos'!$C$124*(1+2.78*('Cálculos'!$C$199+(($B$54)-$A14)*'Cálculos'!$C$98)/(('Cálculos'!$C$199+(($B$54)-$A14)*'Cálculos'!$C$98)+1400)+'Cálculos'!$C$122)*'Cálculos'!$C$261+'Cálculos'!$C$125*(1+2.78*('Cálculos'!$C$199+(($B$54)-$A14)*'Cálculos'!$C$98)/(('Cálculos'!$C$199+(($B$54)-$A14)*'Cálculos'!$C$98)+1400)+'Cálculos'!$C$123)*'Cálculos'!$C$266)+('Cálculos'!$C$204*(1+'Cálculos'!$C$205+$A14*('Cálculos'!$C$290=3)*'Cálculos'!$C$103)+'Cálculos'!$C$206)*('Cálculos'!$C$257+'Cálculos'!$C$124*(1+2.78*('Cálculos'!$C$199+(($B$54)-$A14)*'Cálculos'!$C$98)/(('Cálculos'!$C$199+(($B$54)-$A14)*'Cálculos'!$C$98)+1400)+'Cálculos'!$C$122)*'Cálculos'!$C$262+'Cálculos'!$C$125*(1+2.78*('Cálculos'!$C$199+(($B$54)-$A14)*'Cálculos'!$C$98)/(('Cálculos'!$C$199+(($B$54)-$A14)*'Cálculos'!$C$98)+1400)+'Cálculos'!$C$123)*'Cálculos'!$C$267)+('Cálculos'!$C$258+'Cálculos'!$C$124*(1+2.78*('Cálculos'!$C$199+(($B$54)-$A14)*'Cálculos'!$C$98)/(('Cálculos'!$C$199+(($B$54)-$A14)*'Cálculos'!$C$98)+1400)+'Cálculos'!$C$122)*'Cálculos'!$C$263+'Cálculos'!$C$125*(1+2.78*('Cálculos'!$C$199+(($B$54)-$A14)*'Cálculos'!$C$98)/(('Cálculos'!$C$199+(($B$54)-$A14)*'Cálculos'!$C$98)+1400)+'Cálculos'!$C$123)*'Cálculos'!$C$268)+('Cálculos'!$C$185*(1+'Cálculos'!$C$190+$A14*('Cálculos'!$C$290=1)*'Cálculos'!$C$97+'Cálculos'!$C$305)+'Cálculos'!$C$195)*('Cálculos'!$C$269+'Cálculos'!$C$124*(1+2.78*('Cálculos'!$C$200+(($B$54)-$A14)*'Cálculos'!$C$98)/(('Cálculos'!$C$200+(($B$54)-$A14)*'Cálculos'!$C$98)+1400)+'Cálculos'!$C$122)*'Cálculos'!$C$274+'Cálculos'!$C$125*(1+2.78*('Cálculos'!$C$200+(($B$54)-$A14)*'Cálculos'!$C$98)/(('Cálculos'!$C$200+(($B$54)-$A14)*'Cálculos'!$C$98)+1400)+'Cálculos'!$C$123)*'Cálculos'!$C$279)+('Cálculos'!$C$200+(($B$54)-$A14)*'Cálculos'!$C$98)*('Cálculos'!$C$270+'Cálculos'!$C$124*(1+2.78*('Cálculos'!$C$200+(($B$54)-$A14)*'Cálculos'!$C$98)/(('Cálculos'!$C$200+(($B$54)-$A14)*'Cálculos'!$C$98)+1400)+'Cálculos'!$C$122)*'Cálculos'!$C$275+'Cálculos'!$C$125*(1+2.78*('Cálculos'!$C$200+(($B$54)-$A14)*'Cálculos'!$C$98)/(('Cálculos'!$C$200+(($B$54)-$A14)*'Cálculos'!$C$98)+1400)+'Cálculos'!$C$123)*'Cálculos'!$C$280)+('Cálculos'!$C$201*(1+'Cálculos'!$C$202+$A14*('Cálculos'!$C$290=2)*'Cálculos'!$C$101)+'Cálculos'!$C$203)*('Cálculos'!$C$271+'Cálculos'!$C$124*(1+2.78*('Cálculos'!$C$200+(($B$54)-$A14)*'Cálculos'!$C$98)/(('Cálculos'!$C$200+(($B$54)-$A14)*'Cálculos'!$C$98)+1400)+'Cálculos'!$C$122)*'Cálculos'!$C$276+'Cálculos'!$C$125*(1+2.78*('Cálculos'!$C$200+(($B$54)-$A14)*'Cálculos'!$C$98)/(('Cálculos'!$C$200+(($B$54)-$A14)*'Cálculos'!$C$98)+1400)+'Cálculos'!$C$123)*'Cálculos'!$C$281)+('Cálculos'!$C$204*(1+'Cálculos'!$C$205+$A14*('Cálculos'!$C$290=3)*'Cálculos'!$C$103)+'Cálculos'!$C$206)*('Cálculos'!$C$272+'Cálculos'!$C$124*(1+2.78*('Cálculos'!$C$200+(($B$54)-$A14)*'Cálculos'!$C$98)/(('Cálculos'!$C$200+(($B$54)-$A14)*'Cálculos'!$C$98)+1400)+'Cálculos'!$C$122)*'Cálculos'!$C$277+'Cálculos'!$C$125*(1+2.78*('Cálculos'!$C$200+(($B$54)-$A14)*'Cálculos'!$C$98)/(('Cálculos'!$C$200+(($B$54)-$A14)*'Cálculos'!$C$98)+1400)+'Cálculos'!$C$123)*'Cálculos'!$C$282)+('Cálculos'!$C$273+'Cálculos'!$C$124*(1+2.78*('Cálculos'!$C$200+(($B$54)-$A14)*'Cálculos'!$C$98)/(('Cálculos'!$C$200+(($B$54)-$A14)*'Cálculos'!$C$98)+1400)+'Cálculos'!$C$122)*'Cálculos'!$C$278+'Cálculos'!$C$125*(1+2.78*('Cálculos'!$C$200+(($B$54)-$A14)*'Cálculos'!$C$98)/(('Cálculos'!$C$200+(($B$54)-$A14)*'Cálculos'!$C$98)+1400)+'Cálculos'!$C$123)*'Cálculos'!$C$283)))</f>
        <v>0</v>
      </c>
    </row>
    <row r="15">
      <c r="A15" s="2">
        <v>9.0</v>
      </c>
      <c r="B15" s="30">
        <f>SUMPRODUCT(MAX(($A$6:$A$51&lt;=$A15)*($A$6:$A$51&lt;='Cálculos'!$C$294)*(($A15)-$A$6:$A$51&lt;='Cálculos'!$C$295)*(1+(('Cálculos'!$C$207+$A$6:$A$51*'Cálculos'!$C$95)-(('Cálculos'!$C$207+$A$6:$A$51*'Cálculos'!$C$95)&gt;1)*(('Cálculos'!$C$207+$A$6:$A$51*'Cálculos'!$C$95)-1))*('Cálculos'!$C$208+(($A15)-$A$6:$A$51)*'Cálculos'!$C$96))))</f>
        <v>2.834924</v>
      </c>
      <c r="C15" s="2">
        <f>'Cálculos'!$C$303-$A15</f>
        <v>11</v>
      </c>
      <c r="D15" s="31">
        <f>IF($C15&lt;0,0,SUMPRODUCT(MAX(($A$6:$A$51&lt;=$C15)*($A$6:$A$51&lt;='Cálculos'!$C$301)*(($C15)-$A$6:$A$51&lt;='Cálculos'!$C$297)*(('Cálculos'!$C$185*(1+'Cálculos'!$C$186+$A$6:$A$51*('Cálculos'!$C$290=1)*'Cálculos'!$C$97+'Cálculos'!$C$305)+'Cálculos'!$C$191)*('Cálculos'!$C$209+'Cálculos'!$C$124*(1+2.78*('Cálculos'!$C$196+(($C15)-$A$6:$A$51)*'Cálculos'!$C$98)/(('Cálculos'!$C$196+(($C15)-$A$6:$A$51)*'Cálculos'!$C$98)+1400)+'Cálculos'!$C$122)*'Cálculos'!$C$214+'Cálculos'!$C$125*(1+2.78*('Cálculos'!$C$196+(($C15)-$A$6:$A$51)*'Cálculos'!$C$98)/(('Cálculos'!$C$196+(($C15)-$A$6:$A$51)*'Cálculos'!$C$98)+1400)+'Cálculos'!$C$123)*'Cálculos'!$C$219)+('Cálculos'!$C$196+(($C15)-$A$6:$A$51)*'Cálculos'!$C$98)*('Cálculos'!$C$210+'Cálculos'!$C$124*(1+2.78*('Cálculos'!$C$196+(($C15)-$A$6:$A$51)*'Cálculos'!$C$98)/(('Cálculos'!$C$196+(($C15)-$A$6:$A$51)*'Cálculos'!$C$98)+1400)+'Cálculos'!$C$122)*'Cálculos'!$C$215+'Cálculos'!$C$125*(1+2.78*('Cálculos'!$C$196+(($C15)-$A$6:$A$51)*'Cálculos'!$C$98)/(('Cálculos'!$C$196+(($C15)-$A$6:$A$51)*'Cálculos'!$C$98)+1400)+'Cálculos'!$C$123)*'Cálculos'!$C$220)+('Cálculos'!$C$201*(1+'Cálculos'!$C$202+$A$6:$A$51*('Cálculos'!$C$290=2)*'Cálculos'!$C$101)+'Cálculos'!$C$203)*('Cálculos'!$C$211+'Cálculos'!$C$124*(1+2.78*('Cálculos'!$C$196+(($C15)-$A$6:$A$51)*'Cálculos'!$C$98)/(('Cálculos'!$C$196+(($C15)-$A$6:$A$51)*'Cálculos'!$C$98)+1400)+'Cálculos'!$C$122)*'Cálculos'!$C$216+'Cálculos'!$C$125*(1+2.78*('Cálculos'!$C$196+(($C15)-$A$6:$A$51)*'Cálculos'!$C$98)/(('Cálculos'!$C$196+(($C15)-$A$6:$A$51)*'Cálculos'!$C$98)+1400)+'Cálculos'!$C$123)*'Cálculos'!$C$221)+('Cálculos'!$C$204*(1+'Cálculos'!$C$205+$A$6:$A$51*('Cálculos'!$C$290=3)*'Cálculos'!$C$103)+'Cálculos'!$C$206)*('Cálculos'!$C$212+'Cálculos'!$C$124*(1+2.78*('Cálculos'!$C$196+(($C15)-$A$6:$A$51)*'Cálculos'!$C$98)/(('Cálculos'!$C$196+(($C15)-$A$6:$A$51)*'Cálculos'!$C$98)+1400)+'Cálculos'!$C$122)*'Cálculos'!$C$217+'Cálculos'!$C$125*(1+2.78*('Cálculos'!$C$196+(($C15)-$A$6:$A$51)*'Cálculos'!$C$98)/(('Cálculos'!$C$196+(($C15)-$A$6:$A$51)*'Cálculos'!$C$98)+1400)+'Cálculos'!$C$123)*'Cálculos'!$C$222)+('Cálculos'!$C$213+'Cálculos'!$C$124*(1+2.78*('Cálculos'!$C$196+(($C15)-$A$6:$A$51)*'Cálculos'!$C$98)/(('Cálculos'!$C$196+(($C15)-$A$6:$A$51)*'Cálculos'!$C$98)+1400)+'Cálculos'!$C$122)*'Cálculos'!$C$218+'Cálculos'!$C$125*(1+2.78*('Cálculos'!$C$196+(($C15)-$A$6:$A$51)*'Cálculos'!$C$98)/(('Cálculos'!$C$196+(($C15)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15)-$A$6:$A$51)*'Cálculos'!$C$98)/(('Cálculos'!$C$197+(($C15)-$A$6:$A$51)*'Cálculos'!$C$98)+1400)+'Cálculos'!$C$122)*'Cálculos'!$C$229+'Cálculos'!$C$125*(1+2.78*('Cálculos'!$C$197+(($C15)-$A$6:$A$51)*'Cálculos'!$C$98)/(('Cálculos'!$C$197+(($C15)-$A$6:$A$51)*'Cálculos'!$C$98)+1400)+'Cálculos'!$C$123)*'Cálculos'!$C$234)+('Cálculos'!$C$197+(($C15)-$A$6:$A$51)*'Cálculos'!$C$98)*('Cálculos'!$C$225+'Cálculos'!$C$124*(1+2.78*('Cálculos'!$C$197+(($C15)-$A$6:$A$51)*'Cálculos'!$C$98)/(('Cálculos'!$C$197+(($C15)-$A$6:$A$51)*'Cálculos'!$C$98)+1400)+'Cálculos'!$C$122)*'Cálculos'!$C$230+'Cálculos'!$C$125*(1+2.78*('Cálculos'!$C$197+(($C15)-$A$6:$A$51)*'Cálculos'!$C$98)/(('Cálculos'!$C$197+(($C15)-$A$6:$A$51)*'Cálculos'!$C$98)+1400)+'Cálculos'!$C$123)*'Cálculos'!$C$235)+('Cálculos'!$C$201*(1+'Cálculos'!$C$202+$A$6:$A$51*('Cálculos'!$C$290=2)*'Cálculos'!$C$101)+'Cálculos'!$C$203)*('Cálculos'!$C$226+'Cálculos'!$C$124*(1+2.78*('Cálculos'!$C$197+(($C15)-$A$6:$A$51)*'Cálculos'!$C$98)/(('Cálculos'!$C$197+(($C15)-$A$6:$A$51)*'Cálculos'!$C$98)+1400)+'Cálculos'!$C$122)*'Cálculos'!$C$231+'Cálculos'!$C$125*(1+2.78*('Cálculos'!$C$197+(($C15)-$A$6:$A$51)*'Cálculos'!$C$98)/(('Cálculos'!$C$197+(($C15)-$A$6:$A$51)*'Cálculos'!$C$98)+1400)+'Cálculos'!$C$123)*'Cálculos'!$C$236)+('Cálculos'!$C$204*(1+'Cálculos'!$C$205+$A$6:$A$51*('Cálculos'!$C$290=3)*'Cálculos'!$C$103)+'Cálculos'!$C$206)*('Cálculos'!$C$227+'Cálculos'!$C$124*(1+2.78*('Cálculos'!$C$197+(($C15)-$A$6:$A$51)*'Cálculos'!$C$98)/(('Cálculos'!$C$197+(($C15)-$A$6:$A$51)*'Cálculos'!$C$98)+1400)+'Cálculos'!$C$122)*'Cálculos'!$C$232+'Cálculos'!$C$125*(1+2.78*('Cálculos'!$C$197+(($C15)-$A$6:$A$51)*'Cálculos'!$C$98)/(('Cálculos'!$C$197+(($C15)-$A$6:$A$51)*'Cálculos'!$C$98)+1400)+'Cálculos'!$C$123)*'Cálculos'!$C$237)+('Cálculos'!$C$228+'Cálculos'!$C$124*(1+2.78*('Cálculos'!$C$197+(($C15)-$A$6:$A$51)*'Cálculos'!$C$98)/(('Cálculos'!$C$197+(($C15)-$A$6:$A$51)*'Cálculos'!$C$98)+1400)+'Cálculos'!$C$122)*'Cálculos'!$C$233+'Cálculos'!$C$125*(1+2.78*('Cálculos'!$C$197+(($C15)-$A$6:$A$51)*'Cálculos'!$C$98)/(('Cálculos'!$C$197+(($C15)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15)-$A$6:$A$51)*'Cálculos'!$C$98)/(('Cálculos'!$C$198+(($C15)-$A$6:$A$51)*'Cálculos'!$C$98)+1400)+'Cálculos'!$C$122)*'Cálculos'!$C$244+'Cálculos'!$C$125*(1+2.78*('Cálculos'!$C$198+(($C15)-$A$6:$A$51)*'Cálculos'!$C$98)/(('Cálculos'!$C$198+(($C15)-$A$6:$A$51)*'Cálculos'!$C$98)+1400)+'Cálculos'!$C$123)*'Cálculos'!$C$249)+('Cálculos'!$C$198+(($C15)-$A$6:$A$51)*'Cálculos'!$C$98)*('Cálculos'!$C$240+'Cálculos'!$C$124*(1+2.78*('Cálculos'!$C$198+(($C15)-$A$6:$A$51)*'Cálculos'!$C$98)/(('Cálculos'!$C$198+(($C15)-$A$6:$A$51)*'Cálculos'!$C$98)+1400)+'Cálculos'!$C$122)*'Cálculos'!$C$245+'Cálculos'!$C$125*(1+2.78*('Cálculos'!$C$198+(($C15)-$A$6:$A$51)*'Cálculos'!$C$98)/(('Cálculos'!$C$198+(($C15)-$A$6:$A$51)*'Cálculos'!$C$98)+1400)+'Cálculos'!$C$123)*'Cálculos'!$C$250)+('Cálculos'!$C$201*(1+'Cálculos'!$C$202+$A$6:$A$51*('Cálculos'!$C$290=2)*'Cálculos'!$C$101)+'Cálculos'!$C$203)*('Cálculos'!$C$241+'Cálculos'!$C$124*(1+2.78*('Cálculos'!$C$198+(($C15)-$A$6:$A$51)*'Cálculos'!$C$98)/(('Cálculos'!$C$198+(($C15)-$A$6:$A$51)*'Cálculos'!$C$98)+1400)+'Cálculos'!$C$122)*'Cálculos'!$C$246+'Cálculos'!$C$125*(1+2.78*('Cálculos'!$C$198+(($C15)-$A$6:$A$51)*'Cálculos'!$C$98)/(('Cálculos'!$C$198+(($C15)-$A$6:$A$51)*'Cálculos'!$C$98)+1400)+'Cálculos'!$C$123)*'Cálculos'!$C$251)+('Cálculos'!$C$204*(1+'Cálculos'!$C$205+$A$6:$A$51*('Cálculos'!$C$290=3)*'Cálculos'!$C$103)+'Cálculos'!$C$206)*('Cálculos'!$C$242+'Cálculos'!$C$124*(1+2.78*('Cálculos'!$C$198+(($C15)-$A$6:$A$51)*'Cálculos'!$C$98)/(('Cálculos'!$C$198+(($C15)-$A$6:$A$51)*'Cálculos'!$C$98)+1400)+'Cálculos'!$C$122)*'Cálculos'!$C$247+'Cálculos'!$C$125*(1+2.78*('Cálculos'!$C$198+(($C15)-$A$6:$A$51)*'Cálculos'!$C$98)/(('Cálculos'!$C$198+(($C15)-$A$6:$A$51)*'Cálculos'!$C$98)+1400)+'Cálculos'!$C$123)*'Cálculos'!$C$252)+('Cálculos'!$C$243+'Cálculos'!$C$124*(1+2.78*('Cálculos'!$C$198+(($C15)-$A$6:$A$51)*'Cálculos'!$C$98)/(('Cálculos'!$C$198+(($C15)-$A$6:$A$51)*'Cálculos'!$C$98)+1400)+'Cálculos'!$C$122)*'Cálculos'!$C$248+'Cálculos'!$C$125*(1+2.78*('Cálculos'!$C$198+(($C15)-$A$6:$A$51)*'Cálculos'!$C$98)/(('Cálculos'!$C$198+(($C15)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15)-$A$6:$A$51)*'Cálculos'!$C$98)/(('Cálculos'!$C$199+(($C15)-$A$6:$A$51)*'Cálculos'!$C$98)+1400)+'Cálculos'!$C$122)*'Cálculos'!$C$259+'Cálculos'!$C$125*(1+2.78*('Cálculos'!$C$199+(($C15)-$A$6:$A$51)*'Cálculos'!$C$98)/(('Cálculos'!$C$199+(($C15)-$A$6:$A$51)*'Cálculos'!$C$98)+1400)+'Cálculos'!$C$123)*'Cálculos'!$C$264)+('Cálculos'!$C$199+(($C15)-$A$6:$A$51)*'Cálculos'!$C$98)*('Cálculos'!$C$255+'Cálculos'!$C$124*(1+2.78*('Cálculos'!$C$199+(($C15)-$A$6:$A$51)*'Cálculos'!$C$98)/(('Cálculos'!$C$199+(($C15)-$A$6:$A$51)*'Cálculos'!$C$98)+1400)+'Cálculos'!$C$122)*'Cálculos'!$C$260+'Cálculos'!$C$125*(1+2.78*('Cálculos'!$C$199+(($C15)-$A$6:$A$51)*'Cálculos'!$C$98)/(('Cálculos'!$C$199+(($C15)-$A$6:$A$51)*'Cálculos'!$C$98)+1400)+'Cálculos'!$C$123)*'Cálculos'!$C$265)+('Cálculos'!$C$201*(1+'Cálculos'!$C$202+$A$6:$A$51*('Cálculos'!$C$290=2)*'Cálculos'!$C$101)+'Cálculos'!$C$203)*('Cálculos'!$C$256+'Cálculos'!$C$124*(1+2.78*('Cálculos'!$C$199+(($C15)-$A$6:$A$51)*'Cálculos'!$C$98)/(('Cálculos'!$C$199+(($C15)-$A$6:$A$51)*'Cálculos'!$C$98)+1400)+'Cálculos'!$C$122)*'Cálculos'!$C$261+'Cálculos'!$C$125*(1+2.78*('Cálculos'!$C$199+(($C15)-$A$6:$A$51)*'Cálculos'!$C$98)/(('Cálculos'!$C$199+(($C15)-$A$6:$A$51)*'Cálculos'!$C$98)+1400)+'Cálculos'!$C$123)*'Cálculos'!$C$266)+('Cálculos'!$C$204*(1+'Cálculos'!$C$205+$A$6:$A$51*('Cálculos'!$C$290=3)*'Cálculos'!$C$103)+'Cálculos'!$C$206)*('Cálculos'!$C$257+'Cálculos'!$C$124*(1+2.78*('Cálculos'!$C$199+(($C15)-$A$6:$A$51)*'Cálculos'!$C$98)/(('Cálculos'!$C$199+(($C15)-$A$6:$A$51)*'Cálculos'!$C$98)+1400)+'Cálculos'!$C$122)*'Cálculos'!$C$262+'Cálculos'!$C$125*(1+2.78*('Cálculos'!$C$199+(($C15)-$A$6:$A$51)*'Cálculos'!$C$98)/(('Cálculos'!$C$199+(($C15)-$A$6:$A$51)*'Cálculos'!$C$98)+1400)+'Cálculos'!$C$123)*'Cálculos'!$C$267)+('Cálculos'!$C$258+'Cálculos'!$C$124*(1+2.78*('Cálculos'!$C$199+(($C15)-$A$6:$A$51)*'Cálculos'!$C$98)/(('Cálculos'!$C$199+(($C15)-$A$6:$A$51)*'Cálculos'!$C$98)+1400)+'Cálculos'!$C$122)*'Cálculos'!$C$263+'Cálculos'!$C$125*(1+2.78*('Cálculos'!$C$199+(($C15)-$A$6:$A$51)*'Cálculos'!$C$98)/(('Cálculos'!$C$199+(($C15)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15)-$A$6:$A$51)*'Cálculos'!$C$98)/(('Cálculos'!$C$200+(($C15)-$A$6:$A$51)*'Cálculos'!$C$98)+1400)+'Cálculos'!$C$122)*'Cálculos'!$C$274+'Cálculos'!$C$125*(1+2.78*('Cálculos'!$C$200+(($C15)-$A$6:$A$51)*'Cálculos'!$C$98)/(('Cálculos'!$C$200+(($C15)-$A$6:$A$51)*'Cálculos'!$C$98)+1400)+'Cálculos'!$C$123)*'Cálculos'!$C$279)+('Cálculos'!$C$200+(($C15)-$A$6:$A$51)*'Cálculos'!$C$98)*('Cálculos'!$C$270+'Cálculos'!$C$124*(1+2.78*('Cálculos'!$C$200+(($C15)-$A$6:$A$51)*'Cálculos'!$C$98)/(('Cálculos'!$C$200+(($C15)-$A$6:$A$51)*'Cálculos'!$C$98)+1400)+'Cálculos'!$C$122)*'Cálculos'!$C$275+'Cálculos'!$C$125*(1+2.78*('Cálculos'!$C$200+(($C15)-$A$6:$A$51)*'Cálculos'!$C$98)/(('Cálculos'!$C$200+(($C15)-$A$6:$A$51)*'Cálculos'!$C$98)+1400)+'Cálculos'!$C$123)*'Cálculos'!$C$280)+('Cálculos'!$C$201*(1+'Cálculos'!$C$202+$A$6:$A$51*('Cálculos'!$C$290=2)*'Cálculos'!$C$101)+'Cálculos'!$C$203)*('Cálculos'!$C$271+'Cálculos'!$C$124*(1+2.78*('Cálculos'!$C$200+(($C15)-$A$6:$A$51)*'Cálculos'!$C$98)/(('Cálculos'!$C$200+(($C15)-$A$6:$A$51)*'Cálculos'!$C$98)+1400)+'Cálculos'!$C$122)*'Cálculos'!$C$276+'Cálculos'!$C$125*(1+2.78*('Cálculos'!$C$200+(($C15)-$A$6:$A$51)*'Cálculos'!$C$98)/(('Cálculos'!$C$200+(($C15)-$A$6:$A$51)*'Cálculos'!$C$98)+1400)+'Cálculos'!$C$123)*'Cálculos'!$C$281)+('Cálculos'!$C$204*(1+'Cálculos'!$C$205+$A$6:$A$51*('Cálculos'!$C$290=3)*'Cálculos'!$C$103)+'Cálculos'!$C$206)*('Cálculos'!$C$272+'Cálculos'!$C$124*(1+2.78*('Cálculos'!$C$200+(($C15)-$A$6:$A$51)*'Cálculos'!$C$98)/(('Cálculos'!$C$200+(($C15)-$A$6:$A$51)*'Cálculos'!$C$98)+1400)+'Cálculos'!$C$122)*'Cálculos'!$C$277+'Cálculos'!$C$125*(1+2.78*('Cálculos'!$C$200+(($C15)-$A$6:$A$51)*'Cálculos'!$C$98)/(('Cálculos'!$C$200+(($C15)-$A$6:$A$51)*'Cálculos'!$C$98)+1400)+'Cálculos'!$C$123)*'Cálculos'!$C$282)+('Cálculos'!$C$273+'Cálculos'!$C$124*(1+2.78*('Cálculos'!$C$200+(($C15)-$A$6:$A$51)*'Cálculos'!$C$98)/(('Cálculos'!$C$200+(($C15)-$A$6:$A$51)*'Cálculos'!$C$98)+1400)+'Cálculos'!$C$122)*'Cálculos'!$C$278+'Cálculos'!$C$125*(1+2.78*('Cálculos'!$C$200+(($C15)-$A$6:$A$51)*'Cálculos'!$C$98)/(('Cálculos'!$C$200+(($C15)-$A$6:$A$51)*'Cálculos'!$C$98)+1400)+'Cálculos'!$C$123)*'Cálculos'!$C$283)))))</f>
        <v>1178034.183</v>
      </c>
      <c r="E15" s="32">
        <f>IF(OR($C15&lt;0,'Cálculos'!$C$6=""),0,$B15*$D15)</f>
        <v>3339637.379</v>
      </c>
      <c r="F15" s="2"/>
      <c r="G15" s="30">
        <f>($A15&lt;=$B$53)*($A15&lt;='Cálculos'!$C$294)*(($B$53)-$A15&lt;='Cálculos'!$C$295)*(1+MIN(('Cálculos'!$C$207+$A15*'Cálculos'!$C$95),1)*('Cálculos'!$C$208+(($B$53)-$A15)*'Cálculos'!$C$96))</f>
        <v>3.26135</v>
      </c>
      <c r="H15" s="31">
        <f>IF($B$54&lt;0,0,($A15&lt;=$B$54)*($A15&lt;='Cálculos'!$C$301)*(($B$54)-$A15&lt;='Cálculos'!$C$297)*(('Cálculos'!$C$185*(1+'Cálculos'!$C$186+$A15*('Cálculos'!$C$290=1)*'Cálculos'!$C$97+'Cálculos'!$C$305)+'Cálculos'!$C$191)*('Cálculos'!$C$209+'Cálculos'!$C$124*(1+2.78*('Cálculos'!$C$196+(($B$54)-$A15)*'Cálculos'!$C$98)/(('Cálculos'!$C$196+(($B$54)-$A15)*'Cálculos'!$C$98)+1400)+'Cálculos'!$C$122)*'Cálculos'!$C$214+'Cálculos'!$C$125*(1+2.78*('Cálculos'!$C$196+(($B$54)-$A15)*'Cálculos'!$C$98)/(('Cálculos'!$C$196+(($B$54)-$A15)*'Cálculos'!$C$98)+1400)+'Cálculos'!$C$123)*'Cálculos'!$C$219)+('Cálculos'!$C$196+(($B$54)-$A15)*'Cálculos'!$C$98)*('Cálculos'!$C$210+'Cálculos'!$C$124*(1+2.78*('Cálculos'!$C$196+(($B$54)-$A15)*'Cálculos'!$C$98)/(('Cálculos'!$C$196+(($B$54)-$A15)*'Cálculos'!$C$98)+1400)+'Cálculos'!$C$122)*'Cálculos'!$C$215+'Cálculos'!$C$125*(1+2.78*('Cálculos'!$C$196+(($B$54)-$A15)*'Cálculos'!$C$98)/(('Cálculos'!$C$196+(($B$54)-$A15)*'Cálculos'!$C$98)+1400)+'Cálculos'!$C$123)*'Cálculos'!$C$220)+('Cálculos'!$C$201*(1+'Cálculos'!$C$202+$A15*('Cálculos'!$C$290=2)*'Cálculos'!$C$101)+'Cálculos'!$C$203)*('Cálculos'!$C$211+'Cálculos'!$C$124*(1+2.78*('Cálculos'!$C$196+(($B$54)-$A15)*'Cálculos'!$C$98)/(('Cálculos'!$C$196+(($B$54)-$A15)*'Cálculos'!$C$98)+1400)+'Cálculos'!$C$122)*'Cálculos'!$C$216+'Cálculos'!$C$125*(1+2.78*('Cálculos'!$C$196+(($B$54)-$A15)*'Cálculos'!$C$98)/(('Cálculos'!$C$196+(($B$54)-$A15)*'Cálculos'!$C$98)+1400)+'Cálculos'!$C$123)*'Cálculos'!$C$221)+('Cálculos'!$C$204*(1+'Cálculos'!$C$205+$A15*('Cálculos'!$C$290=3)*'Cálculos'!$C$103)+'Cálculos'!$C$206)*('Cálculos'!$C$212+'Cálculos'!$C$124*(1+2.78*('Cálculos'!$C$196+(($B$54)-$A15)*'Cálculos'!$C$98)/(('Cálculos'!$C$196+(($B$54)-$A15)*'Cálculos'!$C$98)+1400)+'Cálculos'!$C$122)*'Cálculos'!$C$217+'Cálculos'!$C$125*(1+2.78*('Cálculos'!$C$196+(($B$54)-$A15)*'Cálculos'!$C$98)/(('Cálculos'!$C$196+(($B$54)-$A15)*'Cálculos'!$C$98)+1400)+'Cálculos'!$C$123)*'Cálculos'!$C$222)+('Cálculos'!$C$213+'Cálculos'!$C$124*(1+2.78*('Cálculos'!$C$196+(($B$54)-$A15)*'Cálculos'!$C$98)/(('Cálculos'!$C$196+(($B$54)-$A15)*'Cálculos'!$C$98)+1400)+'Cálculos'!$C$122)*'Cálculos'!$C$218+'Cálculos'!$C$125*(1+2.78*('Cálculos'!$C$196+(($B$54)-$A15)*'Cálculos'!$C$98)/(('Cálculos'!$C$196+(($B$54)-$A15)*'Cálculos'!$C$98)+1400)+'Cálculos'!$C$123)*'Cálculos'!$C$223)+('Cálculos'!$C$185*(1+'Cálculos'!$C$187+$A15*('Cálculos'!$C$290=1)*'Cálculos'!$C$97+'Cálculos'!$C$305)+'Cálculos'!$C$192)*('Cálculos'!$C$224+'Cálculos'!$C$124*(1+2.78*('Cálculos'!$C$197+(($B$54)-$A15)*'Cálculos'!$C$98)/(('Cálculos'!$C$197+(($B$54)-$A15)*'Cálculos'!$C$98)+1400)+'Cálculos'!$C$122)*'Cálculos'!$C$229+'Cálculos'!$C$125*(1+2.78*('Cálculos'!$C$197+(($B$54)-$A15)*'Cálculos'!$C$98)/(('Cálculos'!$C$197+(($B$54)-$A15)*'Cálculos'!$C$98)+1400)+'Cálculos'!$C$123)*'Cálculos'!$C$234)+('Cálculos'!$C$197+(($B$54)-$A15)*'Cálculos'!$C$98)*('Cálculos'!$C$225+'Cálculos'!$C$124*(1+2.78*('Cálculos'!$C$197+(($B$54)-$A15)*'Cálculos'!$C$98)/(('Cálculos'!$C$197+(($B$54)-$A15)*'Cálculos'!$C$98)+1400)+'Cálculos'!$C$122)*'Cálculos'!$C$230+'Cálculos'!$C$125*(1+2.78*('Cálculos'!$C$197+(($B$54)-$A15)*'Cálculos'!$C$98)/(('Cálculos'!$C$197+(($B$54)-$A15)*'Cálculos'!$C$98)+1400)+'Cálculos'!$C$123)*'Cálculos'!$C$235)+('Cálculos'!$C$201*(1+'Cálculos'!$C$202+$A15*('Cálculos'!$C$290=2)*'Cálculos'!$C$101)+'Cálculos'!$C$203)*('Cálculos'!$C$226+'Cálculos'!$C$124*(1+2.78*('Cálculos'!$C$197+(($B$54)-$A15)*'Cálculos'!$C$98)/(('Cálculos'!$C$197+(($B$54)-$A15)*'Cálculos'!$C$98)+1400)+'Cálculos'!$C$122)*'Cálculos'!$C$231+'Cálculos'!$C$125*(1+2.78*('Cálculos'!$C$197+(($B$54)-$A15)*'Cálculos'!$C$98)/(('Cálculos'!$C$197+(($B$54)-$A15)*'Cálculos'!$C$98)+1400)+'Cálculos'!$C$123)*'Cálculos'!$C$236)+('Cálculos'!$C$204*(1+'Cálculos'!$C$205+$A15*('Cálculos'!$C$290=3)*'Cálculos'!$C$103)+'Cálculos'!$C$206)*('Cálculos'!$C$227+'Cálculos'!$C$124*(1+2.78*('Cálculos'!$C$197+(($B$54)-$A15)*'Cálculos'!$C$98)/(('Cálculos'!$C$197+(($B$54)-$A15)*'Cálculos'!$C$98)+1400)+'Cálculos'!$C$122)*'Cálculos'!$C$232+'Cálculos'!$C$125*(1+2.78*('Cálculos'!$C$197+(($B$54)-$A15)*'Cálculos'!$C$98)/(('Cálculos'!$C$197+(($B$54)-$A15)*'Cálculos'!$C$98)+1400)+'Cálculos'!$C$123)*'Cálculos'!$C$237)+('Cálculos'!$C$228+'Cálculos'!$C$124*(1+2.78*('Cálculos'!$C$197+(($B$54)-$A15)*'Cálculos'!$C$98)/(('Cálculos'!$C$197+(($B$54)-$A15)*'Cálculos'!$C$98)+1400)+'Cálculos'!$C$122)*'Cálculos'!$C$233+'Cálculos'!$C$125*(1+2.78*('Cálculos'!$C$197+(($B$54)-$A15)*'Cálculos'!$C$98)/(('Cálculos'!$C$197+(($B$54)-$A15)*'Cálculos'!$C$98)+1400)+'Cálculos'!$C$123)*'Cálculos'!$C$238)+('Cálculos'!$C$185*(1+'Cálculos'!$C$188+$A15*('Cálculos'!$C$290=1)*'Cálculos'!$C$97+'Cálculos'!$C$305)+'Cálculos'!$C$193)*('Cálculos'!$C$239+'Cálculos'!$C$124*(1+2.78*('Cálculos'!$C$198+(($B$54)-$A15)*'Cálculos'!$C$98)/(('Cálculos'!$C$198+(($B$54)-$A15)*'Cálculos'!$C$98)+1400)+'Cálculos'!$C$122)*'Cálculos'!$C$244+'Cálculos'!$C$125*(1+2.78*('Cálculos'!$C$198+(($B$54)-$A15)*'Cálculos'!$C$98)/(('Cálculos'!$C$198+(($B$54)-$A15)*'Cálculos'!$C$98)+1400)+'Cálculos'!$C$123)*'Cálculos'!$C$249)+('Cálculos'!$C$198+(($B$54)-$A15)*'Cálculos'!$C$98)*('Cálculos'!$C$240+'Cálculos'!$C$124*(1+2.78*('Cálculos'!$C$198+(($B$54)-$A15)*'Cálculos'!$C$98)/(('Cálculos'!$C$198+(($B$54)-$A15)*'Cálculos'!$C$98)+1400)+'Cálculos'!$C$122)*'Cálculos'!$C$245+'Cálculos'!$C$125*(1+2.78*('Cálculos'!$C$198+(($B$54)-$A15)*'Cálculos'!$C$98)/(('Cálculos'!$C$198+(($B$54)-$A15)*'Cálculos'!$C$98)+1400)+'Cálculos'!$C$123)*'Cálculos'!$C$250)+('Cálculos'!$C$201*(1+'Cálculos'!$C$202+$A15*('Cálculos'!$C$290=2)*'Cálculos'!$C$101)+'Cálculos'!$C$203)*('Cálculos'!$C$241+'Cálculos'!$C$124*(1+2.78*('Cálculos'!$C$198+(($B$54)-$A15)*'Cálculos'!$C$98)/(('Cálculos'!$C$198+(($B$54)-$A15)*'Cálculos'!$C$98)+1400)+'Cálculos'!$C$122)*'Cálculos'!$C$246+'Cálculos'!$C$125*(1+2.78*('Cálculos'!$C$198+(($B$54)-$A15)*'Cálculos'!$C$98)/(('Cálculos'!$C$198+(($B$54)-$A15)*'Cálculos'!$C$98)+1400)+'Cálculos'!$C$123)*'Cálculos'!$C$251)+('Cálculos'!$C$204*(1+'Cálculos'!$C$205+$A15*('Cálculos'!$C$290=3)*'Cálculos'!$C$103)+'Cálculos'!$C$206)*('Cálculos'!$C$242+'Cálculos'!$C$124*(1+2.78*('Cálculos'!$C$198+(($B$54)-$A15)*'Cálculos'!$C$98)/(('Cálculos'!$C$198+(($B$54)-$A15)*'Cálculos'!$C$98)+1400)+'Cálculos'!$C$122)*'Cálculos'!$C$247+'Cálculos'!$C$125*(1+2.78*('Cálculos'!$C$198+(($B$54)-$A15)*'Cálculos'!$C$98)/(('Cálculos'!$C$198+(($B$54)-$A15)*'Cálculos'!$C$98)+1400)+'Cálculos'!$C$123)*'Cálculos'!$C$252)+('Cálculos'!$C$243+'Cálculos'!$C$124*(1+2.78*('Cálculos'!$C$198+(($B$54)-$A15)*'Cálculos'!$C$98)/(('Cálculos'!$C$198+(($B$54)-$A15)*'Cálculos'!$C$98)+1400)+'Cálculos'!$C$122)*'Cálculos'!$C$248+'Cálculos'!$C$125*(1+2.78*('Cálculos'!$C$198+(($B$54)-$A15)*'Cálculos'!$C$98)/(('Cálculos'!$C$198+(($B$54)-$A15)*'Cálculos'!$C$98)+1400)+'Cálculos'!$C$123)*'Cálculos'!$C$253)+('Cálculos'!$C$185*(1+'Cálculos'!$C$189+$A15*('Cálculos'!$C$290=1)*'Cálculos'!$C$97+'Cálculos'!$C$305)+'Cálculos'!$C$194)*('Cálculos'!$C$254+'Cálculos'!$C$124*(1+2.78*('Cálculos'!$C$199+(($B$54)-$A15)*'Cálculos'!$C$98)/(('Cálculos'!$C$199+(($B$54)-$A15)*'Cálculos'!$C$98)+1400)+'Cálculos'!$C$122)*'Cálculos'!$C$259+'Cálculos'!$C$125*(1+2.78*('Cálculos'!$C$199+(($B$54)-$A15)*'Cálculos'!$C$98)/(('Cálculos'!$C$199+(($B$54)-$A15)*'Cálculos'!$C$98)+1400)+'Cálculos'!$C$123)*'Cálculos'!$C$264)+('Cálculos'!$C$199+(($B$54)-$A15)*'Cálculos'!$C$98)*('Cálculos'!$C$255+'Cálculos'!$C$124*(1+2.78*('Cálculos'!$C$199+(($B$54)-$A15)*'Cálculos'!$C$98)/(('Cálculos'!$C$199+(($B$54)-$A15)*'Cálculos'!$C$98)+1400)+'Cálculos'!$C$122)*'Cálculos'!$C$260+'Cálculos'!$C$125*(1+2.78*('Cálculos'!$C$199+(($B$54)-$A15)*'Cálculos'!$C$98)/(('Cálculos'!$C$199+(($B$54)-$A15)*'Cálculos'!$C$98)+1400)+'Cálculos'!$C$123)*'Cálculos'!$C$265)+('Cálculos'!$C$201*(1+'Cálculos'!$C$202+$A15*('Cálculos'!$C$290=2)*'Cálculos'!$C$101)+'Cálculos'!$C$203)*('Cálculos'!$C$256+'Cálculos'!$C$124*(1+2.78*('Cálculos'!$C$199+(($B$54)-$A15)*'Cálculos'!$C$98)/(('Cálculos'!$C$199+(($B$54)-$A15)*'Cálculos'!$C$98)+1400)+'Cálculos'!$C$122)*'Cálculos'!$C$261+'Cálculos'!$C$125*(1+2.78*('Cálculos'!$C$199+(($B$54)-$A15)*'Cálculos'!$C$98)/(('Cálculos'!$C$199+(($B$54)-$A15)*'Cálculos'!$C$98)+1400)+'Cálculos'!$C$123)*'Cálculos'!$C$266)+('Cálculos'!$C$204*(1+'Cálculos'!$C$205+$A15*('Cálculos'!$C$290=3)*'Cálculos'!$C$103)+'Cálculos'!$C$206)*('Cálculos'!$C$257+'Cálculos'!$C$124*(1+2.78*('Cálculos'!$C$199+(($B$54)-$A15)*'Cálculos'!$C$98)/(('Cálculos'!$C$199+(($B$54)-$A15)*'Cálculos'!$C$98)+1400)+'Cálculos'!$C$122)*'Cálculos'!$C$262+'Cálculos'!$C$125*(1+2.78*('Cálculos'!$C$199+(($B$54)-$A15)*'Cálculos'!$C$98)/(('Cálculos'!$C$199+(($B$54)-$A15)*'Cálculos'!$C$98)+1400)+'Cálculos'!$C$123)*'Cálculos'!$C$267)+('Cálculos'!$C$258+'Cálculos'!$C$124*(1+2.78*('Cálculos'!$C$199+(($B$54)-$A15)*'Cálculos'!$C$98)/(('Cálculos'!$C$199+(($B$54)-$A15)*'Cálculos'!$C$98)+1400)+'Cálculos'!$C$122)*'Cálculos'!$C$263+'Cálculos'!$C$125*(1+2.78*('Cálculos'!$C$199+(($B$54)-$A15)*'Cálculos'!$C$98)/(('Cálculos'!$C$199+(($B$54)-$A15)*'Cálculos'!$C$98)+1400)+'Cálculos'!$C$123)*'Cálculos'!$C$268)+('Cálculos'!$C$185*(1+'Cálculos'!$C$190+$A15*('Cálculos'!$C$290=1)*'Cálculos'!$C$97+'Cálculos'!$C$305)+'Cálculos'!$C$195)*('Cálculos'!$C$269+'Cálculos'!$C$124*(1+2.78*('Cálculos'!$C$200+(($B$54)-$A15)*'Cálculos'!$C$98)/(('Cálculos'!$C$200+(($B$54)-$A15)*'Cálculos'!$C$98)+1400)+'Cálculos'!$C$122)*'Cálculos'!$C$274+'Cálculos'!$C$125*(1+2.78*('Cálculos'!$C$200+(($B$54)-$A15)*'Cálculos'!$C$98)/(('Cálculos'!$C$200+(($B$54)-$A15)*'Cálculos'!$C$98)+1400)+'Cálculos'!$C$123)*'Cálculos'!$C$279)+('Cálculos'!$C$200+(($B$54)-$A15)*'Cálculos'!$C$98)*('Cálculos'!$C$270+'Cálculos'!$C$124*(1+2.78*('Cálculos'!$C$200+(($B$54)-$A15)*'Cálculos'!$C$98)/(('Cálculos'!$C$200+(($B$54)-$A15)*'Cálculos'!$C$98)+1400)+'Cálculos'!$C$122)*'Cálculos'!$C$275+'Cálculos'!$C$125*(1+2.78*('Cálculos'!$C$200+(($B$54)-$A15)*'Cálculos'!$C$98)/(('Cálculos'!$C$200+(($B$54)-$A15)*'Cálculos'!$C$98)+1400)+'Cálculos'!$C$123)*'Cálculos'!$C$280)+('Cálculos'!$C$201*(1+'Cálculos'!$C$202+$A15*('Cálculos'!$C$290=2)*'Cálculos'!$C$101)+'Cálculos'!$C$203)*('Cálculos'!$C$271+'Cálculos'!$C$124*(1+2.78*('Cálculos'!$C$200+(($B$54)-$A15)*'Cálculos'!$C$98)/(('Cálculos'!$C$200+(($B$54)-$A15)*'Cálculos'!$C$98)+1400)+'Cálculos'!$C$122)*'Cálculos'!$C$276+'Cálculos'!$C$125*(1+2.78*('Cálculos'!$C$200+(($B$54)-$A15)*'Cálculos'!$C$98)/(('Cálculos'!$C$200+(($B$54)-$A15)*'Cálculos'!$C$98)+1400)+'Cálculos'!$C$123)*'Cálculos'!$C$281)+('Cálculos'!$C$204*(1+'Cálculos'!$C$205+$A15*('Cálculos'!$C$290=3)*'Cálculos'!$C$103)+'Cálculos'!$C$206)*('Cálculos'!$C$272+'Cálculos'!$C$124*(1+2.78*('Cálculos'!$C$200+(($B$54)-$A15)*'Cálculos'!$C$98)/(('Cálculos'!$C$200+(($B$54)-$A15)*'Cálculos'!$C$98)+1400)+'Cálculos'!$C$122)*'Cálculos'!$C$277+'Cálculos'!$C$125*(1+2.78*('Cálculos'!$C$200+(($B$54)-$A15)*'Cálculos'!$C$98)/(('Cálculos'!$C$200+(($B$54)-$A15)*'Cálculos'!$C$98)+1400)+'Cálculos'!$C$123)*'Cálculos'!$C$282)+('Cálculos'!$C$273+'Cálculos'!$C$124*(1+2.78*('Cálculos'!$C$200+(($B$54)-$A15)*'Cálculos'!$C$98)/(('Cálculos'!$C$200+(($B$54)-$A15)*'Cálculos'!$C$98)+1400)+'Cálculos'!$C$122)*'Cálculos'!$C$278+'Cálculos'!$C$125*(1+2.78*('Cálculos'!$C$200+(($B$54)-$A15)*'Cálculos'!$C$98)/(('Cálculos'!$C$200+(($B$54)-$A15)*'Cálculos'!$C$98)+1400)+'Cálculos'!$C$123)*'Cálculos'!$C$283)))</f>
        <v>0</v>
      </c>
    </row>
    <row r="16">
      <c r="A16" s="2">
        <v>10.0</v>
      </c>
      <c r="B16" s="30">
        <f>SUMPRODUCT(MAX(($A$6:$A$51&lt;=$A16)*($A$6:$A$51&lt;='Cálculos'!$C$294)*(($A16)-$A$6:$A$51&lt;='Cálculos'!$C$295)*(1+(('Cálculos'!$C$207+$A$6:$A$51*'Cálculos'!$C$95)-(('Cálculos'!$C$207+$A$6:$A$51*'Cálculos'!$C$95)&gt;1)*(('Cálculos'!$C$207+$A$6:$A$51*'Cálculos'!$C$95)-1))*('Cálculos'!$C$208+(($A16)-$A$6:$A$51)*'Cálculos'!$C$96))))</f>
        <v>2.900528</v>
      </c>
      <c r="C16" s="2">
        <f>'Cálculos'!$C$303-$A16</f>
        <v>10</v>
      </c>
      <c r="D16" s="31">
        <f>IF($C16&lt;0,0,SUMPRODUCT(MAX(($A$6:$A$51&lt;=$C16)*($A$6:$A$51&lt;='Cálculos'!$C$301)*(($C16)-$A$6:$A$51&lt;='Cálculos'!$C$297)*(('Cálculos'!$C$185*(1+'Cálculos'!$C$186+$A$6:$A$51*('Cálculos'!$C$290=1)*'Cálculos'!$C$97+'Cálculos'!$C$305)+'Cálculos'!$C$191)*('Cálculos'!$C$209+'Cálculos'!$C$124*(1+2.78*('Cálculos'!$C$196+(($C16)-$A$6:$A$51)*'Cálculos'!$C$98)/(('Cálculos'!$C$196+(($C16)-$A$6:$A$51)*'Cálculos'!$C$98)+1400)+'Cálculos'!$C$122)*'Cálculos'!$C$214+'Cálculos'!$C$125*(1+2.78*('Cálculos'!$C$196+(($C16)-$A$6:$A$51)*'Cálculos'!$C$98)/(('Cálculos'!$C$196+(($C16)-$A$6:$A$51)*'Cálculos'!$C$98)+1400)+'Cálculos'!$C$123)*'Cálculos'!$C$219)+('Cálculos'!$C$196+(($C16)-$A$6:$A$51)*'Cálculos'!$C$98)*('Cálculos'!$C$210+'Cálculos'!$C$124*(1+2.78*('Cálculos'!$C$196+(($C16)-$A$6:$A$51)*'Cálculos'!$C$98)/(('Cálculos'!$C$196+(($C16)-$A$6:$A$51)*'Cálculos'!$C$98)+1400)+'Cálculos'!$C$122)*'Cálculos'!$C$215+'Cálculos'!$C$125*(1+2.78*('Cálculos'!$C$196+(($C16)-$A$6:$A$51)*'Cálculos'!$C$98)/(('Cálculos'!$C$196+(($C16)-$A$6:$A$51)*'Cálculos'!$C$98)+1400)+'Cálculos'!$C$123)*'Cálculos'!$C$220)+('Cálculos'!$C$201*(1+'Cálculos'!$C$202+$A$6:$A$51*('Cálculos'!$C$290=2)*'Cálculos'!$C$101)+'Cálculos'!$C$203)*('Cálculos'!$C$211+'Cálculos'!$C$124*(1+2.78*('Cálculos'!$C$196+(($C16)-$A$6:$A$51)*'Cálculos'!$C$98)/(('Cálculos'!$C$196+(($C16)-$A$6:$A$51)*'Cálculos'!$C$98)+1400)+'Cálculos'!$C$122)*'Cálculos'!$C$216+'Cálculos'!$C$125*(1+2.78*('Cálculos'!$C$196+(($C16)-$A$6:$A$51)*'Cálculos'!$C$98)/(('Cálculos'!$C$196+(($C16)-$A$6:$A$51)*'Cálculos'!$C$98)+1400)+'Cálculos'!$C$123)*'Cálculos'!$C$221)+('Cálculos'!$C$204*(1+'Cálculos'!$C$205+$A$6:$A$51*('Cálculos'!$C$290=3)*'Cálculos'!$C$103)+'Cálculos'!$C$206)*('Cálculos'!$C$212+'Cálculos'!$C$124*(1+2.78*('Cálculos'!$C$196+(($C16)-$A$6:$A$51)*'Cálculos'!$C$98)/(('Cálculos'!$C$196+(($C16)-$A$6:$A$51)*'Cálculos'!$C$98)+1400)+'Cálculos'!$C$122)*'Cálculos'!$C$217+'Cálculos'!$C$125*(1+2.78*('Cálculos'!$C$196+(($C16)-$A$6:$A$51)*'Cálculos'!$C$98)/(('Cálculos'!$C$196+(($C16)-$A$6:$A$51)*'Cálculos'!$C$98)+1400)+'Cálculos'!$C$123)*'Cálculos'!$C$222)+('Cálculos'!$C$213+'Cálculos'!$C$124*(1+2.78*('Cálculos'!$C$196+(($C16)-$A$6:$A$51)*'Cálculos'!$C$98)/(('Cálculos'!$C$196+(($C16)-$A$6:$A$51)*'Cálculos'!$C$98)+1400)+'Cálculos'!$C$122)*'Cálculos'!$C$218+'Cálculos'!$C$125*(1+2.78*('Cálculos'!$C$196+(($C16)-$A$6:$A$51)*'Cálculos'!$C$98)/(('Cálculos'!$C$196+(($C16)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16)-$A$6:$A$51)*'Cálculos'!$C$98)/(('Cálculos'!$C$197+(($C16)-$A$6:$A$51)*'Cálculos'!$C$98)+1400)+'Cálculos'!$C$122)*'Cálculos'!$C$229+'Cálculos'!$C$125*(1+2.78*('Cálculos'!$C$197+(($C16)-$A$6:$A$51)*'Cálculos'!$C$98)/(('Cálculos'!$C$197+(($C16)-$A$6:$A$51)*'Cálculos'!$C$98)+1400)+'Cálculos'!$C$123)*'Cálculos'!$C$234)+('Cálculos'!$C$197+(($C16)-$A$6:$A$51)*'Cálculos'!$C$98)*('Cálculos'!$C$225+'Cálculos'!$C$124*(1+2.78*('Cálculos'!$C$197+(($C16)-$A$6:$A$51)*'Cálculos'!$C$98)/(('Cálculos'!$C$197+(($C16)-$A$6:$A$51)*'Cálculos'!$C$98)+1400)+'Cálculos'!$C$122)*'Cálculos'!$C$230+'Cálculos'!$C$125*(1+2.78*('Cálculos'!$C$197+(($C16)-$A$6:$A$51)*'Cálculos'!$C$98)/(('Cálculos'!$C$197+(($C16)-$A$6:$A$51)*'Cálculos'!$C$98)+1400)+'Cálculos'!$C$123)*'Cálculos'!$C$235)+('Cálculos'!$C$201*(1+'Cálculos'!$C$202+$A$6:$A$51*('Cálculos'!$C$290=2)*'Cálculos'!$C$101)+'Cálculos'!$C$203)*('Cálculos'!$C$226+'Cálculos'!$C$124*(1+2.78*('Cálculos'!$C$197+(($C16)-$A$6:$A$51)*'Cálculos'!$C$98)/(('Cálculos'!$C$197+(($C16)-$A$6:$A$51)*'Cálculos'!$C$98)+1400)+'Cálculos'!$C$122)*'Cálculos'!$C$231+'Cálculos'!$C$125*(1+2.78*('Cálculos'!$C$197+(($C16)-$A$6:$A$51)*'Cálculos'!$C$98)/(('Cálculos'!$C$197+(($C16)-$A$6:$A$51)*'Cálculos'!$C$98)+1400)+'Cálculos'!$C$123)*'Cálculos'!$C$236)+('Cálculos'!$C$204*(1+'Cálculos'!$C$205+$A$6:$A$51*('Cálculos'!$C$290=3)*'Cálculos'!$C$103)+'Cálculos'!$C$206)*('Cálculos'!$C$227+'Cálculos'!$C$124*(1+2.78*('Cálculos'!$C$197+(($C16)-$A$6:$A$51)*'Cálculos'!$C$98)/(('Cálculos'!$C$197+(($C16)-$A$6:$A$51)*'Cálculos'!$C$98)+1400)+'Cálculos'!$C$122)*'Cálculos'!$C$232+'Cálculos'!$C$125*(1+2.78*('Cálculos'!$C$197+(($C16)-$A$6:$A$51)*'Cálculos'!$C$98)/(('Cálculos'!$C$197+(($C16)-$A$6:$A$51)*'Cálculos'!$C$98)+1400)+'Cálculos'!$C$123)*'Cálculos'!$C$237)+('Cálculos'!$C$228+'Cálculos'!$C$124*(1+2.78*('Cálculos'!$C$197+(($C16)-$A$6:$A$51)*'Cálculos'!$C$98)/(('Cálculos'!$C$197+(($C16)-$A$6:$A$51)*'Cálculos'!$C$98)+1400)+'Cálculos'!$C$122)*'Cálculos'!$C$233+'Cálculos'!$C$125*(1+2.78*('Cálculos'!$C$197+(($C16)-$A$6:$A$51)*'Cálculos'!$C$98)/(('Cálculos'!$C$197+(($C16)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16)-$A$6:$A$51)*'Cálculos'!$C$98)/(('Cálculos'!$C$198+(($C16)-$A$6:$A$51)*'Cálculos'!$C$98)+1400)+'Cálculos'!$C$122)*'Cálculos'!$C$244+'Cálculos'!$C$125*(1+2.78*('Cálculos'!$C$198+(($C16)-$A$6:$A$51)*'Cálculos'!$C$98)/(('Cálculos'!$C$198+(($C16)-$A$6:$A$51)*'Cálculos'!$C$98)+1400)+'Cálculos'!$C$123)*'Cálculos'!$C$249)+('Cálculos'!$C$198+(($C16)-$A$6:$A$51)*'Cálculos'!$C$98)*('Cálculos'!$C$240+'Cálculos'!$C$124*(1+2.78*('Cálculos'!$C$198+(($C16)-$A$6:$A$51)*'Cálculos'!$C$98)/(('Cálculos'!$C$198+(($C16)-$A$6:$A$51)*'Cálculos'!$C$98)+1400)+'Cálculos'!$C$122)*'Cálculos'!$C$245+'Cálculos'!$C$125*(1+2.78*('Cálculos'!$C$198+(($C16)-$A$6:$A$51)*'Cálculos'!$C$98)/(('Cálculos'!$C$198+(($C16)-$A$6:$A$51)*'Cálculos'!$C$98)+1400)+'Cálculos'!$C$123)*'Cálculos'!$C$250)+('Cálculos'!$C$201*(1+'Cálculos'!$C$202+$A$6:$A$51*('Cálculos'!$C$290=2)*'Cálculos'!$C$101)+'Cálculos'!$C$203)*('Cálculos'!$C$241+'Cálculos'!$C$124*(1+2.78*('Cálculos'!$C$198+(($C16)-$A$6:$A$51)*'Cálculos'!$C$98)/(('Cálculos'!$C$198+(($C16)-$A$6:$A$51)*'Cálculos'!$C$98)+1400)+'Cálculos'!$C$122)*'Cálculos'!$C$246+'Cálculos'!$C$125*(1+2.78*('Cálculos'!$C$198+(($C16)-$A$6:$A$51)*'Cálculos'!$C$98)/(('Cálculos'!$C$198+(($C16)-$A$6:$A$51)*'Cálculos'!$C$98)+1400)+'Cálculos'!$C$123)*'Cálculos'!$C$251)+('Cálculos'!$C$204*(1+'Cálculos'!$C$205+$A$6:$A$51*('Cálculos'!$C$290=3)*'Cálculos'!$C$103)+'Cálculos'!$C$206)*('Cálculos'!$C$242+'Cálculos'!$C$124*(1+2.78*('Cálculos'!$C$198+(($C16)-$A$6:$A$51)*'Cálculos'!$C$98)/(('Cálculos'!$C$198+(($C16)-$A$6:$A$51)*'Cálculos'!$C$98)+1400)+'Cálculos'!$C$122)*'Cálculos'!$C$247+'Cálculos'!$C$125*(1+2.78*('Cálculos'!$C$198+(($C16)-$A$6:$A$51)*'Cálculos'!$C$98)/(('Cálculos'!$C$198+(($C16)-$A$6:$A$51)*'Cálculos'!$C$98)+1400)+'Cálculos'!$C$123)*'Cálculos'!$C$252)+('Cálculos'!$C$243+'Cálculos'!$C$124*(1+2.78*('Cálculos'!$C$198+(($C16)-$A$6:$A$51)*'Cálculos'!$C$98)/(('Cálculos'!$C$198+(($C16)-$A$6:$A$51)*'Cálculos'!$C$98)+1400)+'Cálculos'!$C$122)*'Cálculos'!$C$248+'Cálculos'!$C$125*(1+2.78*('Cálculos'!$C$198+(($C16)-$A$6:$A$51)*'Cálculos'!$C$98)/(('Cálculos'!$C$198+(($C16)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16)-$A$6:$A$51)*'Cálculos'!$C$98)/(('Cálculos'!$C$199+(($C16)-$A$6:$A$51)*'Cálculos'!$C$98)+1400)+'Cálculos'!$C$122)*'Cálculos'!$C$259+'Cálculos'!$C$125*(1+2.78*('Cálculos'!$C$199+(($C16)-$A$6:$A$51)*'Cálculos'!$C$98)/(('Cálculos'!$C$199+(($C16)-$A$6:$A$51)*'Cálculos'!$C$98)+1400)+'Cálculos'!$C$123)*'Cálculos'!$C$264)+('Cálculos'!$C$199+(($C16)-$A$6:$A$51)*'Cálculos'!$C$98)*('Cálculos'!$C$255+'Cálculos'!$C$124*(1+2.78*('Cálculos'!$C$199+(($C16)-$A$6:$A$51)*'Cálculos'!$C$98)/(('Cálculos'!$C$199+(($C16)-$A$6:$A$51)*'Cálculos'!$C$98)+1400)+'Cálculos'!$C$122)*'Cálculos'!$C$260+'Cálculos'!$C$125*(1+2.78*('Cálculos'!$C$199+(($C16)-$A$6:$A$51)*'Cálculos'!$C$98)/(('Cálculos'!$C$199+(($C16)-$A$6:$A$51)*'Cálculos'!$C$98)+1400)+'Cálculos'!$C$123)*'Cálculos'!$C$265)+('Cálculos'!$C$201*(1+'Cálculos'!$C$202+$A$6:$A$51*('Cálculos'!$C$290=2)*'Cálculos'!$C$101)+'Cálculos'!$C$203)*('Cálculos'!$C$256+'Cálculos'!$C$124*(1+2.78*('Cálculos'!$C$199+(($C16)-$A$6:$A$51)*'Cálculos'!$C$98)/(('Cálculos'!$C$199+(($C16)-$A$6:$A$51)*'Cálculos'!$C$98)+1400)+'Cálculos'!$C$122)*'Cálculos'!$C$261+'Cálculos'!$C$125*(1+2.78*('Cálculos'!$C$199+(($C16)-$A$6:$A$51)*'Cálculos'!$C$98)/(('Cálculos'!$C$199+(($C16)-$A$6:$A$51)*'Cálculos'!$C$98)+1400)+'Cálculos'!$C$123)*'Cálculos'!$C$266)+('Cálculos'!$C$204*(1+'Cálculos'!$C$205+$A$6:$A$51*('Cálculos'!$C$290=3)*'Cálculos'!$C$103)+'Cálculos'!$C$206)*('Cálculos'!$C$257+'Cálculos'!$C$124*(1+2.78*('Cálculos'!$C$199+(($C16)-$A$6:$A$51)*'Cálculos'!$C$98)/(('Cálculos'!$C$199+(($C16)-$A$6:$A$51)*'Cálculos'!$C$98)+1400)+'Cálculos'!$C$122)*'Cálculos'!$C$262+'Cálculos'!$C$125*(1+2.78*('Cálculos'!$C$199+(($C16)-$A$6:$A$51)*'Cálculos'!$C$98)/(('Cálculos'!$C$199+(($C16)-$A$6:$A$51)*'Cálculos'!$C$98)+1400)+'Cálculos'!$C$123)*'Cálculos'!$C$267)+('Cálculos'!$C$258+'Cálculos'!$C$124*(1+2.78*('Cálculos'!$C$199+(($C16)-$A$6:$A$51)*'Cálculos'!$C$98)/(('Cálculos'!$C$199+(($C16)-$A$6:$A$51)*'Cálculos'!$C$98)+1400)+'Cálculos'!$C$122)*'Cálculos'!$C$263+'Cálculos'!$C$125*(1+2.78*('Cálculos'!$C$199+(($C16)-$A$6:$A$51)*'Cálculos'!$C$98)/(('Cálculos'!$C$199+(($C16)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16)-$A$6:$A$51)*'Cálculos'!$C$98)/(('Cálculos'!$C$200+(($C16)-$A$6:$A$51)*'Cálculos'!$C$98)+1400)+'Cálculos'!$C$122)*'Cálculos'!$C$274+'Cálculos'!$C$125*(1+2.78*('Cálculos'!$C$200+(($C16)-$A$6:$A$51)*'Cálculos'!$C$98)/(('Cálculos'!$C$200+(($C16)-$A$6:$A$51)*'Cálculos'!$C$98)+1400)+'Cálculos'!$C$123)*'Cálculos'!$C$279)+('Cálculos'!$C$200+(($C16)-$A$6:$A$51)*'Cálculos'!$C$98)*('Cálculos'!$C$270+'Cálculos'!$C$124*(1+2.78*('Cálculos'!$C$200+(($C16)-$A$6:$A$51)*'Cálculos'!$C$98)/(('Cálculos'!$C$200+(($C16)-$A$6:$A$51)*'Cálculos'!$C$98)+1400)+'Cálculos'!$C$122)*'Cálculos'!$C$275+'Cálculos'!$C$125*(1+2.78*('Cálculos'!$C$200+(($C16)-$A$6:$A$51)*'Cálculos'!$C$98)/(('Cálculos'!$C$200+(($C16)-$A$6:$A$51)*'Cálculos'!$C$98)+1400)+'Cálculos'!$C$123)*'Cálculos'!$C$280)+('Cálculos'!$C$201*(1+'Cálculos'!$C$202+$A$6:$A$51*('Cálculos'!$C$290=2)*'Cálculos'!$C$101)+'Cálculos'!$C$203)*('Cálculos'!$C$271+'Cálculos'!$C$124*(1+2.78*('Cálculos'!$C$200+(($C16)-$A$6:$A$51)*'Cálculos'!$C$98)/(('Cálculos'!$C$200+(($C16)-$A$6:$A$51)*'Cálculos'!$C$98)+1400)+'Cálculos'!$C$122)*'Cálculos'!$C$276+'Cálculos'!$C$125*(1+2.78*('Cálculos'!$C$200+(($C16)-$A$6:$A$51)*'Cálculos'!$C$98)/(('Cálculos'!$C$200+(($C16)-$A$6:$A$51)*'Cálculos'!$C$98)+1400)+'Cálculos'!$C$123)*'Cálculos'!$C$281)+('Cálculos'!$C$204*(1+'Cálculos'!$C$205+$A$6:$A$51*('Cálculos'!$C$290=3)*'Cálculos'!$C$103)+'Cálculos'!$C$206)*('Cálculos'!$C$272+'Cálculos'!$C$124*(1+2.78*('Cálculos'!$C$200+(($C16)-$A$6:$A$51)*'Cálculos'!$C$98)/(('Cálculos'!$C$200+(($C16)-$A$6:$A$51)*'Cálculos'!$C$98)+1400)+'Cálculos'!$C$122)*'Cálculos'!$C$277+'Cálculos'!$C$125*(1+2.78*('Cálculos'!$C$200+(($C16)-$A$6:$A$51)*'Cálculos'!$C$98)/(('Cálculos'!$C$200+(($C16)-$A$6:$A$51)*'Cálculos'!$C$98)+1400)+'Cálculos'!$C$123)*'Cálculos'!$C$282)+('Cálculos'!$C$273+'Cálculos'!$C$124*(1+2.78*('Cálculos'!$C$200+(($C16)-$A$6:$A$51)*'Cálculos'!$C$98)/(('Cálculos'!$C$200+(($C16)-$A$6:$A$51)*'Cálculos'!$C$98)+1400)+'Cálculos'!$C$122)*'Cálculos'!$C$278+'Cálculos'!$C$125*(1+2.78*('Cálculos'!$C$200+(($C16)-$A$6:$A$51)*'Cálculos'!$C$98)/(('Cálculos'!$C$200+(($C16)-$A$6:$A$51)*'Cálculos'!$C$98)+1400)+'Cálculos'!$C$123)*'Cálculos'!$C$283)))))</f>
        <v>1166793.256</v>
      </c>
      <c r="E16" s="32">
        <f>IF(OR($C16&lt;0,'Cálculos'!$C$6=""),0,$B16*$D16)</f>
        <v>3384316.509</v>
      </c>
      <c r="F16" s="2"/>
      <c r="G16" s="30">
        <f>($A16&lt;=$B$53)*($A16&lt;='Cálculos'!$C$294)*(($B$53)-$A16&lt;='Cálculos'!$C$295)*(1+MIN(('Cálculos'!$C$207+$A16*'Cálculos'!$C$95),1)*('Cálculos'!$C$208+(($B$53)-$A16)*'Cálculos'!$C$96))</f>
        <v>3.279104</v>
      </c>
      <c r="H16" s="31">
        <f>IF($B$54&lt;0,0,($A16&lt;=$B$54)*($A16&lt;='Cálculos'!$C$301)*(($B$54)-$A16&lt;='Cálculos'!$C$297)*(('Cálculos'!$C$185*(1+'Cálculos'!$C$186+$A16*('Cálculos'!$C$290=1)*'Cálculos'!$C$97+'Cálculos'!$C$305)+'Cálculos'!$C$191)*('Cálculos'!$C$209+'Cálculos'!$C$124*(1+2.78*('Cálculos'!$C$196+(($B$54)-$A16)*'Cálculos'!$C$98)/(('Cálculos'!$C$196+(($B$54)-$A16)*'Cálculos'!$C$98)+1400)+'Cálculos'!$C$122)*'Cálculos'!$C$214+'Cálculos'!$C$125*(1+2.78*('Cálculos'!$C$196+(($B$54)-$A16)*'Cálculos'!$C$98)/(('Cálculos'!$C$196+(($B$54)-$A16)*'Cálculos'!$C$98)+1400)+'Cálculos'!$C$123)*'Cálculos'!$C$219)+('Cálculos'!$C$196+(($B$54)-$A16)*'Cálculos'!$C$98)*('Cálculos'!$C$210+'Cálculos'!$C$124*(1+2.78*('Cálculos'!$C$196+(($B$54)-$A16)*'Cálculos'!$C$98)/(('Cálculos'!$C$196+(($B$54)-$A16)*'Cálculos'!$C$98)+1400)+'Cálculos'!$C$122)*'Cálculos'!$C$215+'Cálculos'!$C$125*(1+2.78*('Cálculos'!$C$196+(($B$54)-$A16)*'Cálculos'!$C$98)/(('Cálculos'!$C$196+(($B$54)-$A16)*'Cálculos'!$C$98)+1400)+'Cálculos'!$C$123)*'Cálculos'!$C$220)+('Cálculos'!$C$201*(1+'Cálculos'!$C$202+$A16*('Cálculos'!$C$290=2)*'Cálculos'!$C$101)+'Cálculos'!$C$203)*('Cálculos'!$C$211+'Cálculos'!$C$124*(1+2.78*('Cálculos'!$C$196+(($B$54)-$A16)*'Cálculos'!$C$98)/(('Cálculos'!$C$196+(($B$54)-$A16)*'Cálculos'!$C$98)+1400)+'Cálculos'!$C$122)*'Cálculos'!$C$216+'Cálculos'!$C$125*(1+2.78*('Cálculos'!$C$196+(($B$54)-$A16)*'Cálculos'!$C$98)/(('Cálculos'!$C$196+(($B$54)-$A16)*'Cálculos'!$C$98)+1400)+'Cálculos'!$C$123)*'Cálculos'!$C$221)+('Cálculos'!$C$204*(1+'Cálculos'!$C$205+$A16*('Cálculos'!$C$290=3)*'Cálculos'!$C$103)+'Cálculos'!$C$206)*('Cálculos'!$C$212+'Cálculos'!$C$124*(1+2.78*('Cálculos'!$C$196+(($B$54)-$A16)*'Cálculos'!$C$98)/(('Cálculos'!$C$196+(($B$54)-$A16)*'Cálculos'!$C$98)+1400)+'Cálculos'!$C$122)*'Cálculos'!$C$217+'Cálculos'!$C$125*(1+2.78*('Cálculos'!$C$196+(($B$54)-$A16)*'Cálculos'!$C$98)/(('Cálculos'!$C$196+(($B$54)-$A16)*'Cálculos'!$C$98)+1400)+'Cálculos'!$C$123)*'Cálculos'!$C$222)+('Cálculos'!$C$213+'Cálculos'!$C$124*(1+2.78*('Cálculos'!$C$196+(($B$54)-$A16)*'Cálculos'!$C$98)/(('Cálculos'!$C$196+(($B$54)-$A16)*'Cálculos'!$C$98)+1400)+'Cálculos'!$C$122)*'Cálculos'!$C$218+'Cálculos'!$C$125*(1+2.78*('Cálculos'!$C$196+(($B$54)-$A16)*'Cálculos'!$C$98)/(('Cálculos'!$C$196+(($B$54)-$A16)*'Cálculos'!$C$98)+1400)+'Cálculos'!$C$123)*'Cálculos'!$C$223)+('Cálculos'!$C$185*(1+'Cálculos'!$C$187+$A16*('Cálculos'!$C$290=1)*'Cálculos'!$C$97+'Cálculos'!$C$305)+'Cálculos'!$C$192)*('Cálculos'!$C$224+'Cálculos'!$C$124*(1+2.78*('Cálculos'!$C$197+(($B$54)-$A16)*'Cálculos'!$C$98)/(('Cálculos'!$C$197+(($B$54)-$A16)*'Cálculos'!$C$98)+1400)+'Cálculos'!$C$122)*'Cálculos'!$C$229+'Cálculos'!$C$125*(1+2.78*('Cálculos'!$C$197+(($B$54)-$A16)*'Cálculos'!$C$98)/(('Cálculos'!$C$197+(($B$54)-$A16)*'Cálculos'!$C$98)+1400)+'Cálculos'!$C$123)*'Cálculos'!$C$234)+('Cálculos'!$C$197+(($B$54)-$A16)*'Cálculos'!$C$98)*('Cálculos'!$C$225+'Cálculos'!$C$124*(1+2.78*('Cálculos'!$C$197+(($B$54)-$A16)*'Cálculos'!$C$98)/(('Cálculos'!$C$197+(($B$54)-$A16)*'Cálculos'!$C$98)+1400)+'Cálculos'!$C$122)*'Cálculos'!$C$230+'Cálculos'!$C$125*(1+2.78*('Cálculos'!$C$197+(($B$54)-$A16)*'Cálculos'!$C$98)/(('Cálculos'!$C$197+(($B$54)-$A16)*'Cálculos'!$C$98)+1400)+'Cálculos'!$C$123)*'Cálculos'!$C$235)+('Cálculos'!$C$201*(1+'Cálculos'!$C$202+$A16*('Cálculos'!$C$290=2)*'Cálculos'!$C$101)+'Cálculos'!$C$203)*('Cálculos'!$C$226+'Cálculos'!$C$124*(1+2.78*('Cálculos'!$C$197+(($B$54)-$A16)*'Cálculos'!$C$98)/(('Cálculos'!$C$197+(($B$54)-$A16)*'Cálculos'!$C$98)+1400)+'Cálculos'!$C$122)*'Cálculos'!$C$231+'Cálculos'!$C$125*(1+2.78*('Cálculos'!$C$197+(($B$54)-$A16)*'Cálculos'!$C$98)/(('Cálculos'!$C$197+(($B$54)-$A16)*'Cálculos'!$C$98)+1400)+'Cálculos'!$C$123)*'Cálculos'!$C$236)+('Cálculos'!$C$204*(1+'Cálculos'!$C$205+$A16*('Cálculos'!$C$290=3)*'Cálculos'!$C$103)+'Cálculos'!$C$206)*('Cálculos'!$C$227+'Cálculos'!$C$124*(1+2.78*('Cálculos'!$C$197+(($B$54)-$A16)*'Cálculos'!$C$98)/(('Cálculos'!$C$197+(($B$54)-$A16)*'Cálculos'!$C$98)+1400)+'Cálculos'!$C$122)*'Cálculos'!$C$232+'Cálculos'!$C$125*(1+2.78*('Cálculos'!$C$197+(($B$54)-$A16)*'Cálculos'!$C$98)/(('Cálculos'!$C$197+(($B$54)-$A16)*'Cálculos'!$C$98)+1400)+'Cálculos'!$C$123)*'Cálculos'!$C$237)+('Cálculos'!$C$228+'Cálculos'!$C$124*(1+2.78*('Cálculos'!$C$197+(($B$54)-$A16)*'Cálculos'!$C$98)/(('Cálculos'!$C$197+(($B$54)-$A16)*'Cálculos'!$C$98)+1400)+'Cálculos'!$C$122)*'Cálculos'!$C$233+'Cálculos'!$C$125*(1+2.78*('Cálculos'!$C$197+(($B$54)-$A16)*'Cálculos'!$C$98)/(('Cálculos'!$C$197+(($B$54)-$A16)*'Cálculos'!$C$98)+1400)+'Cálculos'!$C$123)*'Cálculos'!$C$238)+('Cálculos'!$C$185*(1+'Cálculos'!$C$188+$A16*('Cálculos'!$C$290=1)*'Cálculos'!$C$97+'Cálculos'!$C$305)+'Cálculos'!$C$193)*('Cálculos'!$C$239+'Cálculos'!$C$124*(1+2.78*('Cálculos'!$C$198+(($B$54)-$A16)*'Cálculos'!$C$98)/(('Cálculos'!$C$198+(($B$54)-$A16)*'Cálculos'!$C$98)+1400)+'Cálculos'!$C$122)*'Cálculos'!$C$244+'Cálculos'!$C$125*(1+2.78*('Cálculos'!$C$198+(($B$54)-$A16)*'Cálculos'!$C$98)/(('Cálculos'!$C$198+(($B$54)-$A16)*'Cálculos'!$C$98)+1400)+'Cálculos'!$C$123)*'Cálculos'!$C$249)+('Cálculos'!$C$198+(($B$54)-$A16)*'Cálculos'!$C$98)*('Cálculos'!$C$240+'Cálculos'!$C$124*(1+2.78*('Cálculos'!$C$198+(($B$54)-$A16)*'Cálculos'!$C$98)/(('Cálculos'!$C$198+(($B$54)-$A16)*'Cálculos'!$C$98)+1400)+'Cálculos'!$C$122)*'Cálculos'!$C$245+'Cálculos'!$C$125*(1+2.78*('Cálculos'!$C$198+(($B$54)-$A16)*'Cálculos'!$C$98)/(('Cálculos'!$C$198+(($B$54)-$A16)*'Cálculos'!$C$98)+1400)+'Cálculos'!$C$123)*'Cálculos'!$C$250)+('Cálculos'!$C$201*(1+'Cálculos'!$C$202+$A16*('Cálculos'!$C$290=2)*'Cálculos'!$C$101)+'Cálculos'!$C$203)*('Cálculos'!$C$241+'Cálculos'!$C$124*(1+2.78*('Cálculos'!$C$198+(($B$54)-$A16)*'Cálculos'!$C$98)/(('Cálculos'!$C$198+(($B$54)-$A16)*'Cálculos'!$C$98)+1400)+'Cálculos'!$C$122)*'Cálculos'!$C$246+'Cálculos'!$C$125*(1+2.78*('Cálculos'!$C$198+(($B$54)-$A16)*'Cálculos'!$C$98)/(('Cálculos'!$C$198+(($B$54)-$A16)*'Cálculos'!$C$98)+1400)+'Cálculos'!$C$123)*'Cálculos'!$C$251)+('Cálculos'!$C$204*(1+'Cálculos'!$C$205+$A16*('Cálculos'!$C$290=3)*'Cálculos'!$C$103)+'Cálculos'!$C$206)*('Cálculos'!$C$242+'Cálculos'!$C$124*(1+2.78*('Cálculos'!$C$198+(($B$54)-$A16)*'Cálculos'!$C$98)/(('Cálculos'!$C$198+(($B$54)-$A16)*'Cálculos'!$C$98)+1400)+'Cálculos'!$C$122)*'Cálculos'!$C$247+'Cálculos'!$C$125*(1+2.78*('Cálculos'!$C$198+(($B$54)-$A16)*'Cálculos'!$C$98)/(('Cálculos'!$C$198+(($B$54)-$A16)*'Cálculos'!$C$98)+1400)+'Cálculos'!$C$123)*'Cálculos'!$C$252)+('Cálculos'!$C$243+'Cálculos'!$C$124*(1+2.78*('Cálculos'!$C$198+(($B$54)-$A16)*'Cálculos'!$C$98)/(('Cálculos'!$C$198+(($B$54)-$A16)*'Cálculos'!$C$98)+1400)+'Cálculos'!$C$122)*'Cálculos'!$C$248+'Cálculos'!$C$125*(1+2.78*('Cálculos'!$C$198+(($B$54)-$A16)*'Cálculos'!$C$98)/(('Cálculos'!$C$198+(($B$54)-$A16)*'Cálculos'!$C$98)+1400)+'Cálculos'!$C$123)*'Cálculos'!$C$253)+('Cálculos'!$C$185*(1+'Cálculos'!$C$189+$A16*('Cálculos'!$C$290=1)*'Cálculos'!$C$97+'Cálculos'!$C$305)+'Cálculos'!$C$194)*('Cálculos'!$C$254+'Cálculos'!$C$124*(1+2.78*('Cálculos'!$C$199+(($B$54)-$A16)*'Cálculos'!$C$98)/(('Cálculos'!$C$199+(($B$54)-$A16)*'Cálculos'!$C$98)+1400)+'Cálculos'!$C$122)*'Cálculos'!$C$259+'Cálculos'!$C$125*(1+2.78*('Cálculos'!$C$199+(($B$54)-$A16)*'Cálculos'!$C$98)/(('Cálculos'!$C$199+(($B$54)-$A16)*'Cálculos'!$C$98)+1400)+'Cálculos'!$C$123)*'Cálculos'!$C$264)+('Cálculos'!$C$199+(($B$54)-$A16)*'Cálculos'!$C$98)*('Cálculos'!$C$255+'Cálculos'!$C$124*(1+2.78*('Cálculos'!$C$199+(($B$54)-$A16)*'Cálculos'!$C$98)/(('Cálculos'!$C$199+(($B$54)-$A16)*'Cálculos'!$C$98)+1400)+'Cálculos'!$C$122)*'Cálculos'!$C$260+'Cálculos'!$C$125*(1+2.78*('Cálculos'!$C$199+(($B$54)-$A16)*'Cálculos'!$C$98)/(('Cálculos'!$C$199+(($B$54)-$A16)*'Cálculos'!$C$98)+1400)+'Cálculos'!$C$123)*'Cálculos'!$C$265)+('Cálculos'!$C$201*(1+'Cálculos'!$C$202+$A16*('Cálculos'!$C$290=2)*'Cálculos'!$C$101)+'Cálculos'!$C$203)*('Cálculos'!$C$256+'Cálculos'!$C$124*(1+2.78*('Cálculos'!$C$199+(($B$54)-$A16)*'Cálculos'!$C$98)/(('Cálculos'!$C$199+(($B$54)-$A16)*'Cálculos'!$C$98)+1400)+'Cálculos'!$C$122)*'Cálculos'!$C$261+'Cálculos'!$C$125*(1+2.78*('Cálculos'!$C$199+(($B$54)-$A16)*'Cálculos'!$C$98)/(('Cálculos'!$C$199+(($B$54)-$A16)*'Cálculos'!$C$98)+1400)+'Cálculos'!$C$123)*'Cálculos'!$C$266)+('Cálculos'!$C$204*(1+'Cálculos'!$C$205+$A16*('Cálculos'!$C$290=3)*'Cálculos'!$C$103)+'Cálculos'!$C$206)*('Cálculos'!$C$257+'Cálculos'!$C$124*(1+2.78*('Cálculos'!$C$199+(($B$54)-$A16)*'Cálculos'!$C$98)/(('Cálculos'!$C$199+(($B$54)-$A16)*'Cálculos'!$C$98)+1400)+'Cálculos'!$C$122)*'Cálculos'!$C$262+'Cálculos'!$C$125*(1+2.78*('Cálculos'!$C$199+(($B$54)-$A16)*'Cálculos'!$C$98)/(('Cálculos'!$C$199+(($B$54)-$A16)*'Cálculos'!$C$98)+1400)+'Cálculos'!$C$123)*'Cálculos'!$C$267)+('Cálculos'!$C$258+'Cálculos'!$C$124*(1+2.78*('Cálculos'!$C$199+(($B$54)-$A16)*'Cálculos'!$C$98)/(('Cálculos'!$C$199+(($B$54)-$A16)*'Cálculos'!$C$98)+1400)+'Cálculos'!$C$122)*'Cálculos'!$C$263+'Cálculos'!$C$125*(1+2.78*('Cálculos'!$C$199+(($B$54)-$A16)*'Cálculos'!$C$98)/(('Cálculos'!$C$199+(($B$54)-$A16)*'Cálculos'!$C$98)+1400)+'Cálculos'!$C$123)*'Cálculos'!$C$268)+('Cálculos'!$C$185*(1+'Cálculos'!$C$190+$A16*('Cálculos'!$C$290=1)*'Cálculos'!$C$97+'Cálculos'!$C$305)+'Cálculos'!$C$195)*('Cálculos'!$C$269+'Cálculos'!$C$124*(1+2.78*('Cálculos'!$C$200+(($B$54)-$A16)*'Cálculos'!$C$98)/(('Cálculos'!$C$200+(($B$54)-$A16)*'Cálculos'!$C$98)+1400)+'Cálculos'!$C$122)*'Cálculos'!$C$274+'Cálculos'!$C$125*(1+2.78*('Cálculos'!$C$200+(($B$54)-$A16)*'Cálculos'!$C$98)/(('Cálculos'!$C$200+(($B$54)-$A16)*'Cálculos'!$C$98)+1400)+'Cálculos'!$C$123)*'Cálculos'!$C$279)+('Cálculos'!$C$200+(($B$54)-$A16)*'Cálculos'!$C$98)*('Cálculos'!$C$270+'Cálculos'!$C$124*(1+2.78*('Cálculos'!$C$200+(($B$54)-$A16)*'Cálculos'!$C$98)/(('Cálculos'!$C$200+(($B$54)-$A16)*'Cálculos'!$C$98)+1400)+'Cálculos'!$C$122)*'Cálculos'!$C$275+'Cálculos'!$C$125*(1+2.78*('Cálculos'!$C$200+(($B$54)-$A16)*'Cálculos'!$C$98)/(('Cálculos'!$C$200+(($B$54)-$A16)*'Cálculos'!$C$98)+1400)+'Cálculos'!$C$123)*'Cálculos'!$C$280)+('Cálculos'!$C$201*(1+'Cálculos'!$C$202+$A16*('Cálculos'!$C$290=2)*'Cálculos'!$C$101)+'Cálculos'!$C$203)*('Cálculos'!$C$271+'Cálculos'!$C$124*(1+2.78*('Cálculos'!$C$200+(($B$54)-$A16)*'Cálculos'!$C$98)/(('Cálculos'!$C$200+(($B$54)-$A16)*'Cálculos'!$C$98)+1400)+'Cálculos'!$C$122)*'Cálculos'!$C$276+'Cálculos'!$C$125*(1+2.78*('Cálculos'!$C$200+(($B$54)-$A16)*'Cálculos'!$C$98)/(('Cálculos'!$C$200+(($B$54)-$A16)*'Cálculos'!$C$98)+1400)+'Cálculos'!$C$123)*'Cálculos'!$C$281)+('Cálculos'!$C$204*(1+'Cálculos'!$C$205+$A16*('Cálculos'!$C$290=3)*'Cálculos'!$C$103)+'Cálculos'!$C$206)*('Cálculos'!$C$272+'Cálculos'!$C$124*(1+2.78*('Cálculos'!$C$200+(($B$54)-$A16)*'Cálculos'!$C$98)/(('Cálculos'!$C$200+(($B$54)-$A16)*'Cálculos'!$C$98)+1400)+'Cálculos'!$C$122)*'Cálculos'!$C$277+'Cálculos'!$C$125*(1+2.78*('Cálculos'!$C$200+(($B$54)-$A16)*'Cálculos'!$C$98)/(('Cálculos'!$C$200+(($B$54)-$A16)*'Cálculos'!$C$98)+1400)+'Cálculos'!$C$123)*'Cálculos'!$C$282)+('Cálculos'!$C$273+'Cálculos'!$C$124*(1+2.78*('Cálculos'!$C$200+(($B$54)-$A16)*'Cálculos'!$C$98)/(('Cálculos'!$C$200+(($B$54)-$A16)*'Cálculos'!$C$98)+1400)+'Cálculos'!$C$122)*'Cálculos'!$C$278+'Cálculos'!$C$125*(1+2.78*('Cálculos'!$C$200+(($B$54)-$A16)*'Cálculos'!$C$98)/(('Cálculos'!$C$200+(($B$54)-$A16)*'Cálculos'!$C$98)+1400)+'Cálculos'!$C$123)*'Cálculos'!$C$283)))</f>
        <v>0</v>
      </c>
    </row>
    <row r="17">
      <c r="A17" s="2">
        <v>11.0</v>
      </c>
      <c r="B17" s="30">
        <f>SUMPRODUCT(MAX(($A$6:$A$51&lt;=$A17)*($A$6:$A$51&lt;='Cálculos'!$C$294)*(($A17)-$A$6:$A$51&lt;='Cálculos'!$C$295)*(1+(('Cálculos'!$C$207+$A$6:$A$51*'Cálculos'!$C$95)-(('Cálculos'!$C$207+$A$6:$A$51*'Cálculos'!$C$95)&gt;1)*(('Cálculos'!$C$207+$A$6:$A$51*'Cálculos'!$C$95)-1))*('Cálculos'!$C$208+(($A17)-$A$6:$A$51)*'Cálculos'!$C$96))))</f>
        <v>2.966132</v>
      </c>
      <c r="C17" s="2">
        <f>'Cálculos'!$C$303-$A17</f>
        <v>9</v>
      </c>
      <c r="D17" s="31">
        <f>IF($C17&lt;0,0,SUMPRODUCT(MAX(($A$6:$A$51&lt;=$C17)*($A$6:$A$51&lt;='Cálculos'!$C$301)*(($C17)-$A$6:$A$51&lt;='Cálculos'!$C$297)*(('Cálculos'!$C$185*(1+'Cálculos'!$C$186+$A$6:$A$51*('Cálculos'!$C$290=1)*'Cálculos'!$C$97+'Cálculos'!$C$305)+'Cálculos'!$C$191)*('Cálculos'!$C$209+'Cálculos'!$C$124*(1+2.78*('Cálculos'!$C$196+(($C17)-$A$6:$A$51)*'Cálculos'!$C$98)/(('Cálculos'!$C$196+(($C17)-$A$6:$A$51)*'Cálculos'!$C$98)+1400)+'Cálculos'!$C$122)*'Cálculos'!$C$214+'Cálculos'!$C$125*(1+2.78*('Cálculos'!$C$196+(($C17)-$A$6:$A$51)*'Cálculos'!$C$98)/(('Cálculos'!$C$196+(($C17)-$A$6:$A$51)*'Cálculos'!$C$98)+1400)+'Cálculos'!$C$123)*'Cálculos'!$C$219)+('Cálculos'!$C$196+(($C17)-$A$6:$A$51)*'Cálculos'!$C$98)*('Cálculos'!$C$210+'Cálculos'!$C$124*(1+2.78*('Cálculos'!$C$196+(($C17)-$A$6:$A$51)*'Cálculos'!$C$98)/(('Cálculos'!$C$196+(($C17)-$A$6:$A$51)*'Cálculos'!$C$98)+1400)+'Cálculos'!$C$122)*'Cálculos'!$C$215+'Cálculos'!$C$125*(1+2.78*('Cálculos'!$C$196+(($C17)-$A$6:$A$51)*'Cálculos'!$C$98)/(('Cálculos'!$C$196+(($C17)-$A$6:$A$51)*'Cálculos'!$C$98)+1400)+'Cálculos'!$C$123)*'Cálculos'!$C$220)+('Cálculos'!$C$201*(1+'Cálculos'!$C$202+$A$6:$A$51*('Cálculos'!$C$290=2)*'Cálculos'!$C$101)+'Cálculos'!$C$203)*('Cálculos'!$C$211+'Cálculos'!$C$124*(1+2.78*('Cálculos'!$C$196+(($C17)-$A$6:$A$51)*'Cálculos'!$C$98)/(('Cálculos'!$C$196+(($C17)-$A$6:$A$51)*'Cálculos'!$C$98)+1400)+'Cálculos'!$C$122)*'Cálculos'!$C$216+'Cálculos'!$C$125*(1+2.78*('Cálculos'!$C$196+(($C17)-$A$6:$A$51)*'Cálculos'!$C$98)/(('Cálculos'!$C$196+(($C17)-$A$6:$A$51)*'Cálculos'!$C$98)+1400)+'Cálculos'!$C$123)*'Cálculos'!$C$221)+('Cálculos'!$C$204*(1+'Cálculos'!$C$205+$A$6:$A$51*('Cálculos'!$C$290=3)*'Cálculos'!$C$103)+'Cálculos'!$C$206)*('Cálculos'!$C$212+'Cálculos'!$C$124*(1+2.78*('Cálculos'!$C$196+(($C17)-$A$6:$A$51)*'Cálculos'!$C$98)/(('Cálculos'!$C$196+(($C17)-$A$6:$A$51)*'Cálculos'!$C$98)+1400)+'Cálculos'!$C$122)*'Cálculos'!$C$217+'Cálculos'!$C$125*(1+2.78*('Cálculos'!$C$196+(($C17)-$A$6:$A$51)*'Cálculos'!$C$98)/(('Cálculos'!$C$196+(($C17)-$A$6:$A$51)*'Cálculos'!$C$98)+1400)+'Cálculos'!$C$123)*'Cálculos'!$C$222)+('Cálculos'!$C$213+'Cálculos'!$C$124*(1+2.78*('Cálculos'!$C$196+(($C17)-$A$6:$A$51)*'Cálculos'!$C$98)/(('Cálculos'!$C$196+(($C17)-$A$6:$A$51)*'Cálculos'!$C$98)+1400)+'Cálculos'!$C$122)*'Cálculos'!$C$218+'Cálculos'!$C$125*(1+2.78*('Cálculos'!$C$196+(($C17)-$A$6:$A$51)*'Cálculos'!$C$98)/(('Cálculos'!$C$196+(($C17)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17)-$A$6:$A$51)*'Cálculos'!$C$98)/(('Cálculos'!$C$197+(($C17)-$A$6:$A$51)*'Cálculos'!$C$98)+1400)+'Cálculos'!$C$122)*'Cálculos'!$C$229+'Cálculos'!$C$125*(1+2.78*('Cálculos'!$C$197+(($C17)-$A$6:$A$51)*'Cálculos'!$C$98)/(('Cálculos'!$C$197+(($C17)-$A$6:$A$51)*'Cálculos'!$C$98)+1400)+'Cálculos'!$C$123)*'Cálculos'!$C$234)+('Cálculos'!$C$197+(($C17)-$A$6:$A$51)*'Cálculos'!$C$98)*('Cálculos'!$C$225+'Cálculos'!$C$124*(1+2.78*('Cálculos'!$C$197+(($C17)-$A$6:$A$51)*'Cálculos'!$C$98)/(('Cálculos'!$C$197+(($C17)-$A$6:$A$51)*'Cálculos'!$C$98)+1400)+'Cálculos'!$C$122)*'Cálculos'!$C$230+'Cálculos'!$C$125*(1+2.78*('Cálculos'!$C$197+(($C17)-$A$6:$A$51)*'Cálculos'!$C$98)/(('Cálculos'!$C$197+(($C17)-$A$6:$A$51)*'Cálculos'!$C$98)+1400)+'Cálculos'!$C$123)*'Cálculos'!$C$235)+('Cálculos'!$C$201*(1+'Cálculos'!$C$202+$A$6:$A$51*('Cálculos'!$C$290=2)*'Cálculos'!$C$101)+'Cálculos'!$C$203)*('Cálculos'!$C$226+'Cálculos'!$C$124*(1+2.78*('Cálculos'!$C$197+(($C17)-$A$6:$A$51)*'Cálculos'!$C$98)/(('Cálculos'!$C$197+(($C17)-$A$6:$A$51)*'Cálculos'!$C$98)+1400)+'Cálculos'!$C$122)*'Cálculos'!$C$231+'Cálculos'!$C$125*(1+2.78*('Cálculos'!$C$197+(($C17)-$A$6:$A$51)*'Cálculos'!$C$98)/(('Cálculos'!$C$197+(($C17)-$A$6:$A$51)*'Cálculos'!$C$98)+1400)+'Cálculos'!$C$123)*'Cálculos'!$C$236)+('Cálculos'!$C$204*(1+'Cálculos'!$C$205+$A$6:$A$51*('Cálculos'!$C$290=3)*'Cálculos'!$C$103)+'Cálculos'!$C$206)*('Cálculos'!$C$227+'Cálculos'!$C$124*(1+2.78*('Cálculos'!$C$197+(($C17)-$A$6:$A$51)*'Cálculos'!$C$98)/(('Cálculos'!$C$197+(($C17)-$A$6:$A$51)*'Cálculos'!$C$98)+1400)+'Cálculos'!$C$122)*'Cálculos'!$C$232+'Cálculos'!$C$125*(1+2.78*('Cálculos'!$C$197+(($C17)-$A$6:$A$51)*'Cálculos'!$C$98)/(('Cálculos'!$C$197+(($C17)-$A$6:$A$51)*'Cálculos'!$C$98)+1400)+'Cálculos'!$C$123)*'Cálculos'!$C$237)+('Cálculos'!$C$228+'Cálculos'!$C$124*(1+2.78*('Cálculos'!$C$197+(($C17)-$A$6:$A$51)*'Cálculos'!$C$98)/(('Cálculos'!$C$197+(($C17)-$A$6:$A$51)*'Cálculos'!$C$98)+1400)+'Cálculos'!$C$122)*'Cálculos'!$C$233+'Cálculos'!$C$125*(1+2.78*('Cálculos'!$C$197+(($C17)-$A$6:$A$51)*'Cálculos'!$C$98)/(('Cálculos'!$C$197+(($C17)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17)-$A$6:$A$51)*'Cálculos'!$C$98)/(('Cálculos'!$C$198+(($C17)-$A$6:$A$51)*'Cálculos'!$C$98)+1400)+'Cálculos'!$C$122)*'Cálculos'!$C$244+'Cálculos'!$C$125*(1+2.78*('Cálculos'!$C$198+(($C17)-$A$6:$A$51)*'Cálculos'!$C$98)/(('Cálculos'!$C$198+(($C17)-$A$6:$A$51)*'Cálculos'!$C$98)+1400)+'Cálculos'!$C$123)*'Cálculos'!$C$249)+('Cálculos'!$C$198+(($C17)-$A$6:$A$51)*'Cálculos'!$C$98)*('Cálculos'!$C$240+'Cálculos'!$C$124*(1+2.78*('Cálculos'!$C$198+(($C17)-$A$6:$A$51)*'Cálculos'!$C$98)/(('Cálculos'!$C$198+(($C17)-$A$6:$A$51)*'Cálculos'!$C$98)+1400)+'Cálculos'!$C$122)*'Cálculos'!$C$245+'Cálculos'!$C$125*(1+2.78*('Cálculos'!$C$198+(($C17)-$A$6:$A$51)*'Cálculos'!$C$98)/(('Cálculos'!$C$198+(($C17)-$A$6:$A$51)*'Cálculos'!$C$98)+1400)+'Cálculos'!$C$123)*'Cálculos'!$C$250)+('Cálculos'!$C$201*(1+'Cálculos'!$C$202+$A$6:$A$51*('Cálculos'!$C$290=2)*'Cálculos'!$C$101)+'Cálculos'!$C$203)*('Cálculos'!$C$241+'Cálculos'!$C$124*(1+2.78*('Cálculos'!$C$198+(($C17)-$A$6:$A$51)*'Cálculos'!$C$98)/(('Cálculos'!$C$198+(($C17)-$A$6:$A$51)*'Cálculos'!$C$98)+1400)+'Cálculos'!$C$122)*'Cálculos'!$C$246+'Cálculos'!$C$125*(1+2.78*('Cálculos'!$C$198+(($C17)-$A$6:$A$51)*'Cálculos'!$C$98)/(('Cálculos'!$C$198+(($C17)-$A$6:$A$51)*'Cálculos'!$C$98)+1400)+'Cálculos'!$C$123)*'Cálculos'!$C$251)+('Cálculos'!$C$204*(1+'Cálculos'!$C$205+$A$6:$A$51*('Cálculos'!$C$290=3)*'Cálculos'!$C$103)+'Cálculos'!$C$206)*('Cálculos'!$C$242+'Cálculos'!$C$124*(1+2.78*('Cálculos'!$C$198+(($C17)-$A$6:$A$51)*'Cálculos'!$C$98)/(('Cálculos'!$C$198+(($C17)-$A$6:$A$51)*'Cálculos'!$C$98)+1400)+'Cálculos'!$C$122)*'Cálculos'!$C$247+'Cálculos'!$C$125*(1+2.78*('Cálculos'!$C$198+(($C17)-$A$6:$A$51)*'Cálculos'!$C$98)/(('Cálculos'!$C$198+(($C17)-$A$6:$A$51)*'Cálculos'!$C$98)+1400)+'Cálculos'!$C$123)*'Cálculos'!$C$252)+('Cálculos'!$C$243+'Cálculos'!$C$124*(1+2.78*('Cálculos'!$C$198+(($C17)-$A$6:$A$51)*'Cálculos'!$C$98)/(('Cálculos'!$C$198+(($C17)-$A$6:$A$51)*'Cálculos'!$C$98)+1400)+'Cálculos'!$C$122)*'Cálculos'!$C$248+'Cálculos'!$C$125*(1+2.78*('Cálculos'!$C$198+(($C17)-$A$6:$A$51)*'Cálculos'!$C$98)/(('Cálculos'!$C$198+(($C17)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17)-$A$6:$A$51)*'Cálculos'!$C$98)/(('Cálculos'!$C$199+(($C17)-$A$6:$A$51)*'Cálculos'!$C$98)+1400)+'Cálculos'!$C$122)*'Cálculos'!$C$259+'Cálculos'!$C$125*(1+2.78*('Cálculos'!$C$199+(($C17)-$A$6:$A$51)*'Cálculos'!$C$98)/(('Cálculos'!$C$199+(($C17)-$A$6:$A$51)*'Cálculos'!$C$98)+1400)+'Cálculos'!$C$123)*'Cálculos'!$C$264)+('Cálculos'!$C$199+(($C17)-$A$6:$A$51)*'Cálculos'!$C$98)*('Cálculos'!$C$255+'Cálculos'!$C$124*(1+2.78*('Cálculos'!$C$199+(($C17)-$A$6:$A$51)*'Cálculos'!$C$98)/(('Cálculos'!$C$199+(($C17)-$A$6:$A$51)*'Cálculos'!$C$98)+1400)+'Cálculos'!$C$122)*'Cálculos'!$C$260+'Cálculos'!$C$125*(1+2.78*('Cálculos'!$C$199+(($C17)-$A$6:$A$51)*'Cálculos'!$C$98)/(('Cálculos'!$C$199+(($C17)-$A$6:$A$51)*'Cálculos'!$C$98)+1400)+'Cálculos'!$C$123)*'Cálculos'!$C$265)+('Cálculos'!$C$201*(1+'Cálculos'!$C$202+$A$6:$A$51*('Cálculos'!$C$290=2)*'Cálculos'!$C$101)+'Cálculos'!$C$203)*('Cálculos'!$C$256+'Cálculos'!$C$124*(1+2.78*('Cálculos'!$C$199+(($C17)-$A$6:$A$51)*'Cálculos'!$C$98)/(('Cálculos'!$C$199+(($C17)-$A$6:$A$51)*'Cálculos'!$C$98)+1400)+'Cálculos'!$C$122)*'Cálculos'!$C$261+'Cálculos'!$C$125*(1+2.78*('Cálculos'!$C$199+(($C17)-$A$6:$A$51)*'Cálculos'!$C$98)/(('Cálculos'!$C$199+(($C17)-$A$6:$A$51)*'Cálculos'!$C$98)+1400)+'Cálculos'!$C$123)*'Cálculos'!$C$266)+('Cálculos'!$C$204*(1+'Cálculos'!$C$205+$A$6:$A$51*('Cálculos'!$C$290=3)*'Cálculos'!$C$103)+'Cálculos'!$C$206)*('Cálculos'!$C$257+'Cálculos'!$C$124*(1+2.78*('Cálculos'!$C$199+(($C17)-$A$6:$A$51)*'Cálculos'!$C$98)/(('Cálculos'!$C$199+(($C17)-$A$6:$A$51)*'Cálculos'!$C$98)+1400)+'Cálculos'!$C$122)*'Cálculos'!$C$262+'Cálculos'!$C$125*(1+2.78*('Cálculos'!$C$199+(($C17)-$A$6:$A$51)*'Cálculos'!$C$98)/(('Cálculos'!$C$199+(($C17)-$A$6:$A$51)*'Cálculos'!$C$98)+1400)+'Cálculos'!$C$123)*'Cálculos'!$C$267)+('Cálculos'!$C$258+'Cálculos'!$C$124*(1+2.78*('Cálculos'!$C$199+(($C17)-$A$6:$A$51)*'Cálculos'!$C$98)/(('Cálculos'!$C$199+(($C17)-$A$6:$A$51)*'Cálculos'!$C$98)+1400)+'Cálculos'!$C$122)*'Cálculos'!$C$263+'Cálculos'!$C$125*(1+2.78*('Cálculos'!$C$199+(($C17)-$A$6:$A$51)*'Cálculos'!$C$98)/(('Cálculos'!$C$199+(($C17)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17)-$A$6:$A$51)*'Cálculos'!$C$98)/(('Cálculos'!$C$200+(($C17)-$A$6:$A$51)*'Cálculos'!$C$98)+1400)+'Cálculos'!$C$122)*'Cálculos'!$C$274+'Cálculos'!$C$125*(1+2.78*('Cálculos'!$C$200+(($C17)-$A$6:$A$51)*'Cálculos'!$C$98)/(('Cálculos'!$C$200+(($C17)-$A$6:$A$51)*'Cálculos'!$C$98)+1400)+'Cálculos'!$C$123)*'Cálculos'!$C$279)+('Cálculos'!$C$200+(($C17)-$A$6:$A$51)*'Cálculos'!$C$98)*('Cálculos'!$C$270+'Cálculos'!$C$124*(1+2.78*('Cálculos'!$C$200+(($C17)-$A$6:$A$51)*'Cálculos'!$C$98)/(('Cálculos'!$C$200+(($C17)-$A$6:$A$51)*'Cálculos'!$C$98)+1400)+'Cálculos'!$C$122)*'Cálculos'!$C$275+'Cálculos'!$C$125*(1+2.78*('Cálculos'!$C$200+(($C17)-$A$6:$A$51)*'Cálculos'!$C$98)/(('Cálculos'!$C$200+(($C17)-$A$6:$A$51)*'Cálculos'!$C$98)+1400)+'Cálculos'!$C$123)*'Cálculos'!$C$280)+('Cálculos'!$C$201*(1+'Cálculos'!$C$202+$A$6:$A$51*('Cálculos'!$C$290=2)*'Cálculos'!$C$101)+'Cálculos'!$C$203)*('Cálculos'!$C$271+'Cálculos'!$C$124*(1+2.78*('Cálculos'!$C$200+(($C17)-$A$6:$A$51)*'Cálculos'!$C$98)/(('Cálculos'!$C$200+(($C17)-$A$6:$A$51)*'Cálculos'!$C$98)+1400)+'Cálculos'!$C$122)*'Cálculos'!$C$276+'Cálculos'!$C$125*(1+2.78*('Cálculos'!$C$200+(($C17)-$A$6:$A$51)*'Cálculos'!$C$98)/(('Cálculos'!$C$200+(($C17)-$A$6:$A$51)*'Cálculos'!$C$98)+1400)+'Cálculos'!$C$123)*'Cálculos'!$C$281)+('Cálculos'!$C$204*(1+'Cálculos'!$C$205+$A$6:$A$51*('Cálculos'!$C$290=3)*'Cálculos'!$C$103)+'Cálculos'!$C$206)*('Cálculos'!$C$272+'Cálculos'!$C$124*(1+2.78*('Cálculos'!$C$200+(($C17)-$A$6:$A$51)*'Cálculos'!$C$98)/(('Cálculos'!$C$200+(($C17)-$A$6:$A$51)*'Cálculos'!$C$98)+1400)+'Cálculos'!$C$122)*'Cálculos'!$C$277+'Cálculos'!$C$125*(1+2.78*('Cálculos'!$C$200+(($C17)-$A$6:$A$51)*'Cálculos'!$C$98)/(('Cálculos'!$C$200+(($C17)-$A$6:$A$51)*'Cálculos'!$C$98)+1400)+'Cálculos'!$C$123)*'Cálculos'!$C$282)+('Cálculos'!$C$273+'Cálculos'!$C$124*(1+2.78*('Cálculos'!$C$200+(($C17)-$A$6:$A$51)*'Cálculos'!$C$98)/(('Cálculos'!$C$200+(($C17)-$A$6:$A$51)*'Cálculos'!$C$98)+1400)+'Cálculos'!$C$122)*'Cálculos'!$C$278+'Cálculos'!$C$125*(1+2.78*('Cálculos'!$C$200+(($C17)-$A$6:$A$51)*'Cálculos'!$C$98)/(('Cálculos'!$C$200+(($C17)-$A$6:$A$51)*'Cálculos'!$C$98)+1400)+'Cálculos'!$C$123)*'Cálculos'!$C$283)))))</f>
        <v>1155552.329</v>
      </c>
      <c r="E17" s="32">
        <f>IF(OR($C17&lt;0,'Cálculos'!$C$6=""),0,$B17*$D17)</f>
        <v>3427520.74</v>
      </c>
      <c r="F17" s="2"/>
      <c r="G17" s="30">
        <f>($A17&lt;=$B$53)*($A17&lt;='Cálculos'!$C$294)*(($B$53)-$A17&lt;='Cálculos'!$C$295)*(1+MIN(('Cálculos'!$C$207+$A17*'Cálculos'!$C$95),1)*('Cálculos'!$C$208+(($B$53)-$A17)*'Cálculos'!$C$96))</f>
        <v>3.292502</v>
      </c>
      <c r="H17" s="31">
        <f>IF($B$54&lt;0,0,($A17&lt;=$B$54)*($A17&lt;='Cálculos'!$C$301)*(($B$54)-$A17&lt;='Cálculos'!$C$297)*(('Cálculos'!$C$185*(1+'Cálculos'!$C$186+$A17*('Cálculos'!$C$290=1)*'Cálculos'!$C$97+'Cálculos'!$C$305)+'Cálculos'!$C$191)*('Cálculos'!$C$209+'Cálculos'!$C$124*(1+2.78*('Cálculos'!$C$196+(($B$54)-$A17)*'Cálculos'!$C$98)/(('Cálculos'!$C$196+(($B$54)-$A17)*'Cálculos'!$C$98)+1400)+'Cálculos'!$C$122)*'Cálculos'!$C$214+'Cálculos'!$C$125*(1+2.78*('Cálculos'!$C$196+(($B$54)-$A17)*'Cálculos'!$C$98)/(('Cálculos'!$C$196+(($B$54)-$A17)*'Cálculos'!$C$98)+1400)+'Cálculos'!$C$123)*'Cálculos'!$C$219)+('Cálculos'!$C$196+(($B$54)-$A17)*'Cálculos'!$C$98)*('Cálculos'!$C$210+'Cálculos'!$C$124*(1+2.78*('Cálculos'!$C$196+(($B$54)-$A17)*'Cálculos'!$C$98)/(('Cálculos'!$C$196+(($B$54)-$A17)*'Cálculos'!$C$98)+1400)+'Cálculos'!$C$122)*'Cálculos'!$C$215+'Cálculos'!$C$125*(1+2.78*('Cálculos'!$C$196+(($B$54)-$A17)*'Cálculos'!$C$98)/(('Cálculos'!$C$196+(($B$54)-$A17)*'Cálculos'!$C$98)+1400)+'Cálculos'!$C$123)*'Cálculos'!$C$220)+('Cálculos'!$C$201*(1+'Cálculos'!$C$202+$A17*('Cálculos'!$C$290=2)*'Cálculos'!$C$101)+'Cálculos'!$C$203)*('Cálculos'!$C$211+'Cálculos'!$C$124*(1+2.78*('Cálculos'!$C$196+(($B$54)-$A17)*'Cálculos'!$C$98)/(('Cálculos'!$C$196+(($B$54)-$A17)*'Cálculos'!$C$98)+1400)+'Cálculos'!$C$122)*'Cálculos'!$C$216+'Cálculos'!$C$125*(1+2.78*('Cálculos'!$C$196+(($B$54)-$A17)*'Cálculos'!$C$98)/(('Cálculos'!$C$196+(($B$54)-$A17)*'Cálculos'!$C$98)+1400)+'Cálculos'!$C$123)*'Cálculos'!$C$221)+('Cálculos'!$C$204*(1+'Cálculos'!$C$205+$A17*('Cálculos'!$C$290=3)*'Cálculos'!$C$103)+'Cálculos'!$C$206)*('Cálculos'!$C$212+'Cálculos'!$C$124*(1+2.78*('Cálculos'!$C$196+(($B$54)-$A17)*'Cálculos'!$C$98)/(('Cálculos'!$C$196+(($B$54)-$A17)*'Cálculos'!$C$98)+1400)+'Cálculos'!$C$122)*'Cálculos'!$C$217+'Cálculos'!$C$125*(1+2.78*('Cálculos'!$C$196+(($B$54)-$A17)*'Cálculos'!$C$98)/(('Cálculos'!$C$196+(($B$54)-$A17)*'Cálculos'!$C$98)+1400)+'Cálculos'!$C$123)*'Cálculos'!$C$222)+('Cálculos'!$C$213+'Cálculos'!$C$124*(1+2.78*('Cálculos'!$C$196+(($B$54)-$A17)*'Cálculos'!$C$98)/(('Cálculos'!$C$196+(($B$54)-$A17)*'Cálculos'!$C$98)+1400)+'Cálculos'!$C$122)*'Cálculos'!$C$218+'Cálculos'!$C$125*(1+2.78*('Cálculos'!$C$196+(($B$54)-$A17)*'Cálculos'!$C$98)/(('Cálculos'!$C$196+(($B$54)-$A17)*'Cálculos'!$C$98)+1400)+'Cálculos'!$C$123)*'Cálculos'!$C$223)+('Cálculos'!$C$185*(1+'Cálculos'!$C$187+$A17*('Cálculos'!$C$290=1)*'Cálculos'!$C$97+'Cálculos'!$C$305)+'Cálculos'!$C$192)*('Cálculos'!$C$224+'Cálculos'!$C$124*(1+2.78*('Cálculos'!$C$197+(($B$54)-$A17)*'Cálculos'!$C$98)/(('Cálculos'!$C$197+(($B$54)-$A17)*'Cálculos'!$C$98)+1400)+'Cálculos'!$C$122)*'Cálculos'!$C$229+'Cálculos'!$C$125*(1+2.78*('Cálculos'!$C$197+(($B$54)-$A17)*'Cálculos'!$C$98)/(('Cálculos'!$C$197+(($B$54)-$A17)*'Cálculos'!$C$98)+1400)+'Cálculos'!$C$123)*'Cálculos'!$C$234)+('Cálculos'!$C$197+(($B$54)-$A17)*'Cálculos'!$C$98)*('Cálculos'!$C$225+'Cálculos'!$C$124*(1+2.78*('Cálculos'!$C$197+(($B$54)-$A17)*'Cálculos'!$C$98)/(('Cálculos'!$C$197+(($B$54)-$A17)*'Cálculos'!$C$98)+1400)+'Cálculos'!$C$122)*'Cálculos'!$C$230+'Cálculos'!$C$125*(1+2.78*('Cálculos'!$C$197+(($B$54)-$A17)*'Cálculos'!$C$98)/(('Cálculos'!$C$197+(($B$54)-$A17)*'Cálculos'!$C$98)+1400)+'Cálculos'!$C$123)*'Cálculos'!$C$235)+('Cálculos'!$C$201*(1+'Cálculos'!$C$202+$A17*('Cálculos'!$C$290=2)*'Cálculos'!$C$101)+'Cálculos'!$C$203)*('Cálculos'!$C$226+'Cálculos'!$C$124*(1+2.78*('Cálculos'!$C$197+(($B$54)-$A17)*'Cálculos'!$C$98)/(('Cálculos'!$C$197+(($B$54)-$A17)*'Cálculos'!$C$98)+1400)+'Cálculos'!$C$122)*'Cálculos'!$C$231+'Cálculos'!$C$125*(1+2.78*('Cálculos'!$C$197+(($B$54)-$A17)*'Cálculos'!$C$98)/(('Cálculos'!$C$197+(($B$54)-$A17)*'Cálculos'!$C$98)+1400)+'Cálculos'!$C$123)*'Cálculos'!$C$236)+('Cálculos'!$C$204*(1+'Cálculos'!$C$205+$A17*('Cálculos'!$C$290=3)*'Cálculos'!$C$103)+'Cálculos'!$C$206)*('Cálculos'!$C$227+'Cálculos'!$C$124*(1+2.78*('Cálculos'!$C$197+(($B$54)-$A17)*'Cálculos'!$C$98)/(('Cálculos'!$C$197+(($B$54)-$A17)*'Cálculos'!$C$98)+1400)+'Cálculos'!$C$122)*'Cálculos'!$C$232+'Cálculos'!$C$125*(1+2.78*('Cálculos'!$C$197+(($B$54)-$A17)*'Cálculos'!$C$98)/(('Cálculos'!$C$197+(($B$54)-$A17)*'Cálculos'!$C$98)+1400)+'Cálculos'!$C$123)*'Cálculos'!$C$237)+('Cálculos'!$C$228+'Cálculos'!$C$124*(1+2.78*('Cálculos'!$C$197+(($B$54)-$A17)*'Cálculos'!$C$98)/(('Cálculos'!$C$197+(($B$54)-$A17)*'Cálculos'!$C$98)+1400)+'Cálculos'!$C$122)*'Cálculos'!$C$233+'Cálculos'!$C$125*(1+2.78*('Cálculos'!$C$197+(($B$54)-$A17)*'Cálculos'!$C$98)/(('Cálculos'!$C$197+(($B$54)-$A17)*'Cálculos'!$C$98)+1400)+'Cálculos'!$C$123)*'Cálculos'!$C$238)+('Cálculos'!$C$185*(1+'Cálculos'!$C$188+$A17*('Cálculos'!$C$290=1)*'Cálculos'!$C$97+'Cálculos'!$C$305)+'Cálculos'!$C$193)*('Cálculos'!$C$239+'Cálculos'!$C$124*(1+2.78*('Cálculos'!$C$198+(($B$54)-$A17)*'Cálculos'!$C$98)/(('Cálculos'!$C$198+(($B$54)-$A17)*'Cálculos'!$C$98)+1400)+'Cálculos'!$C$122)*'Cálculos'!$C$244+'Cálculos'!$C$125*(1+2.78*('Cálculos'!$C$198+(($B$54)-$A17)*'Cálculos'!$C$98)/(('Cálculos'!$C$198+(($B$54)-$A17)*'Cálculos'!$C$98)+1400)+'Cálculos'!$C$123)*'Cálculos'!$C$249)+('Cálculos'!$C$198+(($B$54)-$A17)*'Cálculos'!$C$98)*('Cálculos'!$C$240+'Cálculos'!$C$124*(1+2.78*('Cálculos'!$C$198+(($B$54)-$A17)*'Cálculos'!$C$98)/(('Cálculos'!$C$198+(($B$54)-$A17)*'Cálculos'!$C$98)+1400)+'Cálculos'!$C$122)*'Cálculos'!$C$245+'Cálculos'!$C$125*(1+2.78*('Cálculos'!$C$198+(($B$54)-$A17)*'Cálculos'!$C$98)/(('Cálculos'!$C$198+(($B$54)-$A17)*'Cálculos'!$C$98)+1400)+'Cálculos'!$C$123)*'Cálculos'!$C$250)+('Cálculos'!$C$201*(1+'Cálculos'!$C$202+$A17*('Cálculos'!$C$290=2)*'Cálculos'!$C$101)+'Cálculos'!$C$203)*('Cálculos'!$C$241+'Cálculos'!$C$124*(1+2.78*('Cálculos'!$C$198+(($B$54)-$A17)*'Cálculos'!$C$98)/(('Cálculos'!$C$198+(($B$54)-$A17)*'Cálculos'!$C$98)+1400)+'Cálculos'!$C$122)*'Cálculos'!$C$246+'Cálculos'!$C$125*(1+2.78*('Cálculos'!$C$198+(($B$54)-$A17)*'Cálculos'!$C$98)/(('Cálculos'!$C$198+(($B$54)-$A17)*'Cálculos'!$C$98)+1400)+'Cálculos'!$C$123)*'Cálculos'!$C$251)+('Cálculos'!$C$204*(1+'Cálculos'!$C$205+$A17*('Cálculos'!$C$290=3)*'Cálculos'!$C$103)+'Cálculos'!$C$206)*('Cálculos'!$C$242+'Cálculos'!$C$124*(1+2.78*('Cálculos'!$C$198+(($B$54)-$A17)*'Cálculos'!$C$98)/(('Cálculos'!$C$198+(($B$54)-$A17)*'Cálculos'!$C$98)+1400)+'Cálculos'!$C$122)*'Cálculos'!$C$247+'Cálculos'!$C$125*(1+2.78*('Cálculos'!$C$198+(($B$54)-$A17)*'Cálculos'!$C$98)/(('Cálculos'!$C$198+(($B$54)-$A17)*'Cálculos'!$C$98)+1400)+'Cálculos'!$C$123)*'Cálculos'!$C$252)+('Cálculos'!$C$243+'Cálculos'!$C$124*(1+2.78*('Cálculos'!$C$198+(($B$54)-$A17)*'Cálculos'!$C$98)/(('Cálculos'!$C$198+(($B$54)-$A17)*'Cálculos'!$C$98)+1400)+'Cálculos'!$C$122)*'Cálculos'!$C$248+'Cálculos'!$C$125*(1+2.78*('Cálculos'!$C$198+(($B$54)-$A17)*'Cálculos'!$C$98)/(('Cálculos'!$C$198+(($B$54)-$A17)*'Cálculos'!$C$98)+1400)+'Cálculos'!$C$123)*'Cálculos'!$C$253)+('Cálculos'!$C$185*(1+'Cálculos'!$C$189+$A17*('Cálculos'!$C$290=1)*'Cálculos'!$C$97+'Cálculos'!$C$305)+'Cálculos'!$C$194)*('Cálculos'!$C$254+'Cálculos'!$C$124*(1+2.78*('Cálculos'!$C$199+(($B$54)-$A17)*'Cálculos'!$C$98)/(('Cálculos'!$C$199+(($B$54)-$A17)*'Cálculos'!$C$98)+1400)+'Cálculos'!$C$122)*'Cálculos'!$C$259+'Cálculos'!$C$125*(1+2.78*('Cálculos'!$C$199+(($B$54)-$A17)*'Cálculos'!$C$98)/(('Cálculos'!$C$199+(($B$54)-$A17)*'Cálculos'!$C$98)+1400)+'Cálculos'!$C$123)*'Cálculos'!$C$264)+('Cálculos'!$C$199+(($B$54)-$A17)*'Cálculos'!$C$98)*('Cálculos'!$C$255+'Cálculos'!$C$124*(1+2.78*('Cálculos'!$C$199+(($B$54)-$A17)*'Cálculos'!$C$98)/(('Cálculos'!$C$199+(($B$54)-$A17)*'Cálculos'!$C$98)+1400)+'Cálculos'!$C$122)*'Cálculos'!$C$260+'Cálculos'!$C$125*(1+2.78*('Cálculos'!$C$199+(($B$54)-$A17)*'Cálculos'!$C$98)/(('Cálculos'!$C$199+(($B$54)-$A17)*'Cálculos'!$C$98)+1400)+'Cálculos'!$C$123)*'Cálculos'!$C$265)+('Cálculos'!$C$201*(1+'Cálculos'!$C$202+$A17*('Cálculos'!$C$290=2)*'Cálculos'!$C$101)+'Cálculos'!$C$203)*('Cálculos'!$C$256+'Cálculos'!$C$124*(1+2.78*('Cálculos'!$C$199+(($B$54)-$A17)*'Cálculos'!$C$98)/(('Cálculos'!$C$199+(($B$54)-$A17)*'Cálculos'!$C$98)+1400)+'Cálculos'!$C$122)*'Cálculos'!$C$261+'Cálculos'!$C$125*(1+2.78*('Cálculos'!$C$199+(($B$54)-$A17)*'Cálculos'!$C$98)/(('Cálculos'!$C$199+(($B$54)-$A17)*'Cálculos'!$C$98)+1400)+'Cálculos'!$C$123)*'Cálculos'!$C$266)+('Cálculos'!$C$204*(1+'Cálculos'!$C$205+$A17*('Cálculos'!$C$290=3)*'Cálculos'!$C$103)+'Cálculos'!$C$206)*('Cálculos'!$C$257+'Cálculos'!$C$124*(1+2.78*('Cálculos'!$C$199+(($B$54)-$A17)*'Cálculos'!$C$98)/(('Cálculos'!$C$199+(($B$54)-$A17)*'Cálculos'!$C$98)+1400)+'Cálculos'!$C$122)*'Cálculos'!$C$262+'Cálculos'!$C$125*(1+2.78*('Cálculos'!$C$199+(($B$54)-$A17)*'Cálculos'!$C$98)/(('Cálculos'!$C$199+(($B$54)-$A17)*'Cálculos'!$C$98)+1400)+'Cálculos'!$C$123)*'Cálculos'!$C$267)+('Cálculos'!$C$258+'Cálculos'!$C$124*(1+2.78*('Cálculos'!$C$199+(($B$54)-$A17)*'Cálculos'!$C$98)/(('Cálculos'!$C$199+(($B$54)-$A17)*'Cálculos'!$C$98)+1400)+'Cálculos'!$C$122)*'Cálculos'!$C$263+'Cálculos'!$C$125*(1+2.78*('Cálculos'!$C$199+(($B$54)-$A17)*'Cálculos'!$C$98)/(('Cálculos'!$C$199+(($B$54)-$A17)*'Cálculos'!$C$98)+1400)+'Cálculos'!$C$123)*'Cálculos'!$C$268)+('Cálculos'!$C$185*(1+'Cálculos'!$C$190+$A17*('Cálculos'!$C$290=1)*'Cálculos'!$C$97+'Cálculos'!$C$305)+'Cálculos'!$C$195)*('Cálculos'!$C$269+'Cálculos'!$C$124*(1+2.78*('Cálculos'!$C$200+(($B$54)-$A17)*'Cálculos'!$C$98)/(('Cálculos'!$C$200+(($B$54)-$A17)*'Cálculos'!$C$98)+1400)+'Cálculos'!$C$122)*'Cálculos'!$C$274+'Cálculos'!$C$125*(1+2.78*('Cálculos'!$C$200+(($B$54)-$A17)*'Cálculos'!$C$98)/(('Cálculos'!$C$200+(($B$54)-$A17)*'Cálculos'!$C$98)+1400)+'Cálculos'!$C$123)*'Cálculos'!$C$279)+('Cálculos'!$C$200+(($B$54)-$A17)*'Cálculos'!$C$98)*('Cálculos'!$C$270+'Cálculos'!$C$124*(1+2.78*('Cálculos'!$C$200+(($B$54)-$A17)*'Cálculos'!$C$98)/(('Cálculos'!$C$200+(($B$54)-$A17)*'Cálculos'!$C$98)+1400)+'Cálculos'!$C$122)*'Cálculos'!$C$275+'Cálculos'!$C$125*(1+2.78*('Cálculos'!$C$200+(($B$54)-$A17)*'Cálculos'!$C$98)/(('Cálculos'!$C$200+(($B$54)-$A17)*'Cálculos'!$C$98)+1400)+'Cálculos'!$C$123)*'Cálculos'!$C$280)+('Cálculos'!$C$201*(1+'Cálculos'!$C$202+$A17*('Cálculos'!$C$290=2)*'Cálculos'!$C$101)+'Cálculos'!$C$203)*('Cálculos'!$C$271+'Cálculos'!$C$124*(1+2.78*('Cálculos'!$C$200+(($B$54)-$A17)*'Cálculos'!$C$98)/(('Cálculos'!$C$200+(($B$54)-$A17)*'Cálculos'!$C$98)+1400)+'Cálculos'!$C$122)*'Cálculos'!$C$276+'Cálculos'!$C$125*(1+2.78*('Cálculos'!$C$200+(($B$54)-$A17)*'Cálculos'!$C$98)/(('Cálculos'!$C$200+(($B$54)-$A17)*'Cálculos'!$C$98)+1400)+'Cálculos'!$C$123)*'Cálculos'!$C$281)+('Cálculos'!$C$204*(1+'Cálculos'!$C$205+$A17*('Cálculos'!$C$290=3)*'Cálculos'!$C$103)+'Cálculos'!$C$206)*('Cálculos'!$C$272+'Cálculos'!$C$124*(1+2.78*('Cálculos'!$C$200+(($B$54)-$A17)*'Cálculos'!$C$98)/(('Cálculos'!$C$200+(($B$54)-$A17)*'Cálculos'!$C$98)+1400)+'Cálculos'!$C$122)*'Cálculos'!$C$277+'Cálculos'!$C$125*(1+2.78*('Cálculos'!$C$200+(($B$54)-$A17)*'Cálculos'!$C$98)/(('Cálculos'!$C$200+(($B$54)-$A17)*'Cálculos'!$C$98)+1400)+'Cálculos'!$C$123)*'Cálculos'!$C$282)+('Cálculos'!$C$273+'Cálculos'!$C$124*(1+2.78*('Cálculos'!$C$200+(($B$54)-$A17)*'Cálculos'!$C$98)/(('Cálculos'!$C$200+(($B$54)-$A17)*'Cálculos'!$C$98)+1400)+'Cálculos'!$C$122)*'Cálculos'!$C$278+'Cálculos'!$C$125*(1+2.78*('Cálculos'!$C$200+(($B$54)-$A17)*'Cálculos'!$C$98)/(('Cálculos'!$C$200+(($B$54)-$A17)*'Cálculos'!$C$98)+1400)+'Cálculos'!$C$123)*'Cálculos'!$C$283)))</f>
        <v>0</v>
      </c>
    </row>
    <row r="18">
      <c r="A18" s="2">
        <v>12.0</v>
      </c>
      <c r="B18" s="30">
        <f>SUMPRODUCT(MAX(($A$6:$A$51&lt;=$A18)*($A$6:$A$51&lt;='Cálculos'!$C$294)*(($A18)-$A$6:$A$51&lt;='Cálculos'!$C$295)*(1+(('Cálculos'!$C$207+$A$6:$A$51*'Cálculos'!$C$95)-(('Cálculos'!$C$207+$A$6:$A$51*'Cálculos'!$C$95)&gt;1)*(('Cálculos'!$C$207+$A$6:$A$51*'Cálculos'!$C$95)-1))*('Cálculos'!$C$208+(($A18)-$A$6:$A$51)*'Cálculos'!$C$96))))</f>
        <v>3.031406</v>
      </c>
      <c r="C18" s="2">
        <f>'Cálculos'!$C$303-$A18</f>
        <v>8</v>
      </c>
      <c r="D18" s="31">
        <f>IF($C18&lt;0,0,SUMPRODUCT(MAX(($A$6:$A$51&lt;=$C18)*($A$6:$A$51&lt;='Cálculos'!$C$301)*(($C18)-$A$6:$A$51&lt;='Cálculos'!$C$297)*(('Cálculos'!$C$185*(1+'Cálculos'!$C$186+$A$6:$A$51*('Cálculos'!$C$290=1)*'Cálculos'!$C$97+'Cálculos'!$C$305)+'Cálculos'!$C$191)*('Cálculos'!$C$209+'Cálculos'!$C$124*(1+2.78*('Cálculos'!$C$196+(($C18)-$A$6:$A$51)*'Cálculos'!$C$98)/(('Cálculos'!$C$196+(($C18)-$A$6:$A$51)*'Cálculos'!$C$98)+1400)+'Cálculos'!$C$122)*'Cálculos'!$C$214+'Cálculos'!$C$125*(1+2.78*('Cálculos'!$C$196+(($C18)-$A$6:$A$51)*'Cálculos'!$C$98)/(('Cálculos'!$C$196+(($C18)-$A$6:$A$51)*'Cálculos'!$C$98)+1400)+'Cálculos'!$C$123)*'Cálculos'!$C$219)+('Cálculos'!$C$196+(($C18)-$A$6:$A$51)*'Cálculos'!$C$98)*('Cálculos'!$C$210+'Cálculos'!$C$124*(1+2.78*('Cálculos'!$C$196+(($C18)-$A$6:$A$51)*'Cálculos'!$C$98)/(('Cálculos'!$C$196+(($C18)-$A$6:$A$51)*'Cálculos'!$C$98)+1400)+'Cálculos'!$C$122)*'Cálculos'!$C$215+'Cálculos'!$C$125*(1+2.78*('Cálculos'!$C$196+(($C18)-$A$6:$A$51)*'Cálculos'!$C$98)/(('Cálculos'!$C$196+(($C18)-$A$6:$A$51)*'Cálculos'!$C$98)+1400)+'Cálculos'!$C$123)*'Cálculos'!$C$220)+('Cálculos'!$C$201*(1+'Cálculos'!$C$202+$A$6:$A$51*('Cálculos'!$C$290=2)*'Cálculos'!$C$101)+'Cálculos'!$C$203)*('Cálculos'!$C$211+'Cálculos'!$C$124*(1+2.78*('Cálculos'!$C$196+(($C18)-$A$6:$A$51)*'Cálculos'!$C$98)/(('Cálculos'!$C$196+(($C18)-$A$6:$A$51)*'Cálculos'!$C$98)+1400)+'Cálculos'!$C$122)*'Cálculos'!$C$216+'Cálculos'!$C$125*(1+2.78*('Cálculos'!$C$196+(($C18)-$A$6:$A$51)*'Cálculos'!$C$98)/(('Cálculos'!$C$196+(($C18)-$A$6:$A$51)*'Cálculos'!$C$98)+1400)+'Cálculos'!$C$123)*'Cálculos'!$C$221)+('Cálculos'!$C$204*(1+'Cálculos'!$C$205+$A$6:$A$51*('Cálculos'!$C$290=3)*'Cálculos'!$C$103)+'Cálculos'!$C$206)*('Cálculos'!$C$212+'Cálculos'!$C$124*(1+2.78*('Cálculos'!$C$196+(($C18)-$A$6:$A$51)*'Cálculos'!$C$98)/(('Cálculos'!$C$196+(($C18)-$A$6:$A$51)*'Cálculos'!$C$98)+1400)+'Cálculos'!$C$122)*'Cálculos'!$C$217+'Cálculos'!$C$125*(1+2.78*('Cálculos'!$C$196+(($C18)-$A$6:$A$51)*'Cálculos'!$C$98)/(('Cálculos'!$C$196+(($C18)-$A$6:$A$51)*'Cálculos'!$C$98)+1400)+'Cálculos'!$C$123)*'Cálculos'!$C$222)+('Cálculos'!$C$213+'Cálculos'!$C$124*(1+2.78*('Cálculos'!$C$196+(($C18)-$A$6:$A$51)*'Cálculos'!$C$98)/(('Cálculos'!$C$196+(($C18)-$A$6:$A$51)*'Cálculos'!$C$98)+1400)+'Cálculos'!$C$122)*'Cálculos'!$C$218+'Cálculos'!$C$125*(1+2.78*('Cálculos'!$C$196+(($C18)-$A$6:$A$51)*'Cálculos'!$C$98)/(('Cálculos'!$C$196+(($C18)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18)-$A$6:$A$51)*'Cálculos'!$C$98)/(('Cálculos'!$C$197+(($C18)-$A$6:$A$51)*'Cálculos'!$C$98)+1400)+'Cálculos'!$C$122)*'Cálculos'!$C$229+'Cálculos'!$C$125*(1+2.78*('Cálculos'!$C$197+(($C18)-$A$6:$A$51)*'Cálculos'!$C$98)/(('Cálculos'!$C$197+(($C18)-$A$6:$A$51)*'Cálculos'!$C$98)+1400)+'Cálculos'!$C$123)*'Cálculos'!$C$234)+('Cálculos'!$C$197+(($C18)-$A$6:$A$51)*'Cálculos'!$C$98)*('Cálculos'!$C$225+'Cálculos'!$C$124*(1+2.78*('Cálculos'!$C$197+(($C18)-$A$6:$A$51)*'Cálculos'!$C$98)/(('Cálculos'!$C$197+(($C18)-$A$6:$A$51)*'Cálculos'!$C$98)+1400)+'Cálculos'!$C$122)*'Cálculos'!$C$230+'Cálculos'!$C$125*(1+2.78*('Cálculos'!$C$197+(($C18)-$A$6:$A$51)*'Cálculos'!$C$98)/(('Cálculos'!$C$197+(($C18)-$A$6:$A$51)*'Cálculos'!$C$98)+1400)+'Cálculos'!$C$123)*'Cálculos'!$C$235)+('Cálculos'!$C$201*(1+'Cálculos'!$C$202+$A$6:$A$51*('Cálculos'!$C$290=2)*'Cálculos'!$C$101)+'Cálculos'!$C$203)*('Cálculos'!$C$226+'Cálculos'!$C$124*(1+2.78*('Cálculos'!$C$197+(($C18)-$A$6:$A$51)*'Cálculos'!$C$98)/(('Cálculos'!$C$197+(($C18)-$A$6:$A$51)*'Cálculos'!$C$98)+1400)+'Cálculos'!$C$122)*'Cálculos'!$C$231+'Cálculos'!$C$125*(1+2.78*('Cálculos'!$C$197+(($C18)-$A$6:$A$51)*'Cálculos'!$C$98)/(('Cálculos'!$C$197+(($C18)-$A$6:$A$51)*'Cálculos'!$C$98)+1400)+'Cálculos'!$C$123)*'Cálculos'!$C$236)+('Cálculos'!$C$204*(1+'Cálculos'!$C$205+$A$6:$A$51*('Cálculos'!$C$290=3)*'Cálculos'!$C$103)+'Cálculos'!$C$206)*('Cálculos'!$C$227+'Cálculos'!$C$124*(1+2.78*('Cálculos'!$C$197+(($C18)-$A$6:$A$51)*'Cálculos'!$C$98)/(('Cálculos'!$C$197+(($C18)-$A$6:$A$51)*'Cálculos'!$C$98)+1400)+'Cálculos'!$C$122)*'Cálculos'!$C$232+'Cálculos'!$C$125*(1+2.78*('Cálculos'!$C$197+(($C18)-$A$6:$A$51)*'Cálculos'!$C$98)/(('Cálculos'!$C$197+(($C18)-$A$6:$A$51)*'Cálculos'!$C$98)+1400)+'Cálculos'!$C$123)*'Cálculos'!$C$237)+('Cálculos'!$C$228+'Cálculos'!$C$124*(1+2.78*('Cálculos'!$C$197+(($C18)-$A$6:$A$51)*'Cálculos'!$C$98)/(('Cálculos'!$C$197+(($C18)-$A$6:$A$51)*'Cálculos'!$C$98)+1400)+'Cálculos'!$C$122)*'Cálculos'!$C$233+'Cálculos'!$C$125*(1+2.78*('Cálculos'!$C$197+(($C18)-$A$6:$A$51)*'Cálculos'!$C$98)/(('Cálculos'!$C$197+(($C18)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18)-$A$6:$A$51)*'Cálculos'!$C$98)/(('Cálculos'!$C$198+(($C18)-$A$6:$A$51)*'Cálculos'!$C$98)+1400)+'Cálculos'!$C$122)*'Cálculos'!$C$244+'Cálculos'!$C$125*(1+2.78*('Cálculos'!$C$198+(($C18)-$A$6:$A$51)*'Cálculos'!$C$98)/(('Cálculos'!$C$198+(($C18)-$A$6:$A$51)*'Cálculos'!$C$98)+1400)+'Cálculos'!$C$123)*'Cálculos'!$C$249)+('Cálculos'!$C$198+(($C18)-$A$6:$A$51)*'Cálculos'!$C$98)*('Cálculos'!$C$240+'Cálculos'!$C$124*(1+2.78*('Cálculos'!$C$198+(($C18)-$A$6:$A$51)*'Cálculos'!$C$98)/(('Cálculos'!$C$198+(($C18)-$A$6:$A$51)*'Cálculos'!$C$98)+1400)+'Cálculos'!$C$122)*'Cálculos'!$C$245+'Cálculos'!$C$125*(1+2.78*('Cálculos'!$C$198+(($C18)-$A$6:$A$51)*'Cálculos'!$C$98)/(('Cálculos'!$C$198+(($C18)-$A$6:$A$51)*'Cálculos'!$C$98)+1400)+'Cálculos'!$C$123)*'Cálculos'!$C$250)+('Cálculos'!$C$201*(1+'Cálculos'!$C$202+$A$6:$A$51*('Cálculos'!$C$290=2)*'Cálculos'!$C$101)+'Cálculos'!$C$203)*('Cálculos'!$C$241+'Cálculos'!$C$124*(1+2.78*('Cálculos'!$C$198+(($C18)-$A$6:$A$51)*'Cálculos'!$C$98)/(('Cálculos'!$C$198+(($C18)-$A$6:$A$51)*'Cálculos'!$C$98)+1400)+'Cálculos'!$C$122)*'Cálculos'!$C$246+'Cálculos'!$C$125*(1+2.78*('Cálculos'!$C$198+(($C18)-$A$6:$A$51)*'Cálculos'!$C$98)/(('Cálculos'!$C$198+(($C18)-$A$6:$A$51)*'Cálculos'!$C$98)+1400)+'Cálculos'!$C$123)*'Cálculos'!$C$251)+('Cálculos'!$C$204*(1+'Cálculos'!$C$205+$A$6:$A$51*('Cálculos'!$C$290=3)*'Cálculos'!$C$103)+'Cálculos'!$C$206)*('Cálculos'!$C$242+'Cálculos'!$C$124*(1+2.78*('Cálculos'!$C$198+(($C18)-$A$6:$A$51)*'Cálculos'!$C$98)/(('Cálculos'!$C$198+(($C18)-$A$6:$A$51)*'Cálculos'!$C$98)+1400)+'Cálculos'!$C$122)*'Cálculos'!$C$247+'Cálculos'!$C$125*(1+2.78*('Cálculos'!$C$198+(($C18)-$A$6:$A$51)*'Cálculos'!$C$98)/(('Cálculos'!$C$198+(($C18)-$A$6:$A$51)*'Cálculos'!$C$98)+1400)+'Cálculos'!$C$123)*'Cálculos'!$C$252)+('Cálculos'!$C$243+'Cálculos'!$C$124*(1+2.78*('Cálculos'!$C$198+(($C18)-$A$6:$A$51)*'Cálculos'!$C$98)/(('Cálculos'!$C$198+(($C18)-$A$6:$A$51)*'Cálculos'!$C$98)+1400)+'Cálculos'!$C$122)*'Cálculos'!$C$248+'Cálculos'!$C$125*(1+2.78*('Cálculos'!$C$198+(($C18)-$A$6:$A$51)*'Cálculos'!$C$98)/(('Cálculos'!$C$198+(($C18)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18)-$A$6:$A$51)*'Cálculos'!$C$98)/(('Cálculos'!$C$199+(($C18)-$A$6:$A$51)*'Cálculos'!$C$98)+1400)+'Cálculos'!$C$122)*'Cálculos'!$C$259+'Cálculos'!$C$125*(1+2.78*('Cálculos'!$C$199+(($C18)-$A$6:$A$51)*'Cálculos'!$C$98)/(('Cálculos'!$C$199+(($C18)-$A$6:$A$51)*'Cálculos'!$C$98)+1400)+'Cálculos'!$C$123)*'Cálculos'!$C$264)+('Cálculos'!$C$199+(($C18)-$A$6:$A$51)*'Cálculos'!$C$98)*('Cálculos'!$C$255+'Cálculos'!$C$124*(1+2.78*('Cálculos'!$C$199+(($C18)-$A$6:$A$51)*'Cálculos'!$C$98)/(('Cálculos'!$C$199+(($C18)-$A$6:$A$51)*'Cálculos'!$C$98)+1400)+'Cálculos'!$C$122)*'Cálculos'!$C$260+'Cálculos'!$C$125*(1+2.78*('Cálculos'!$C$199+(($C18)-$A$6:$A$51)*'Cálculos'!$C$98)/(('Cálculos'!$C$199+(($C18)-$A$6:$A$51)*'Cálculos'!$C$98)+1400)+'Cálculos'!$C$123)*'Cálculos'!$C$265)+('Cálculos'!$C$201*(1+'Cálculos'!$C$202+$A$6:$A$51*('Cálculos'!$C$290=2)*'Cálculos'!$C$101)+'Cálculos'!$C$203)*('Cálculos'!$C$256+'Cálculos'!$C$124*(1+2.78*('Cálculos'!$C$199+(($C18)-$A$6:$A$51)*'Cálculos'!$C$98)/(('Cálculos'!$C$199+(($C18)-$A$6:$A$51)*'Cálculos'!$C$98)+1400)+'Cálculos'!$C$122)*'Cálculos'!$C$261+'Cálculos'!$C$125*(1+2.78*('Cálculos'!$C$199+(($C18)-$A$6:$A$51)*'Cálculos'!$C$98)/(('Cálculos'!$C$199+(($C18)-$A$6:$A$51)*'Cálculos'!$C$98)+1400)+'Cálculos'!$C$123)*'Cálculos'!$C$266)+('Cálculos'!$C$204*(1+'Cálculos'!$C$205+$A$6:$A$51*('Cálculos'!$C$290=3)*'Cálculos'!$C$103)+'Cálculos'!$C$206)*('Cálculos'!$C$257+'Cálculos'!$C$124*(1+2.78*('Cálculos'!$C$199+(($C18)-$A$6:$A$51)*'Cálculos'!$C$98)/(('Cálculos'!$C$199+(($C18)-$A$6:$A$51)*'Cálculos'!$C$98)+1400)+'Cálculos'!$C$122)*'Cálculos'!$C$262+'Cálculos'!$C$125*(1+2.78*('Cálculos'!$C$199+(($C18)-$A$6:$A$51)*'Cálculos'!$C$98)/(('Cálculos'!$C$199+(($C18)-$A$6:$A$51)*'Cálculos'!$C$98)+1400)+'Cálculos'!$C$123)*'Cálculos'!$C$267)+('Cálculos'!$C$258+'Cálculos'!$C$124*(1+2.78*('Cálculos'!$C$199+(($C18)-$A$6:$A$51)*'Cálculos'!$C$98)/(('Cálculos'!$C$199+(($C18)-$A$6:$A$51)*'Cálculos'!$C$98)+1400)+'Cálculos'!$C$122)*'Cálculos'!$C$263+'Cálculos'!$C$125*(1+2.78*('Cálculos'!$C$199+(($C18)-$A$6:$A$51)*'Cálculos'!$C$98)/(('Cálculos'!$C$199+(($C18)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18)-$A$6:$A$51)*'Cálculos'!$C$98)/(('Cálculos'!$C$200+(($C18)-$A$6:$A$51)*'Cálculos'!$C$98)+1400)+'Cálculos'!$C$122)*'Cálculos'!$C$274+'Cálculos'!$C$125*(1+2.78*('Cálculos'!$C$200+(($C18)-$A$6:$A$51)*'Cálculos'!$C$98)/(('Cálculos'!$C$200+(($C18)-$A$6:$A$51)*'Cálculos'!$C$98)+1400)+'Cálculos'!$C$123)*'Cálculos'!$C$279)+('Cálculos'!$C$200+(($C18)-$A$6:$A$51)*'Cálculos'!$C$98)*('Cálculos'!$C$270+'Cálculos'!$C$124*(1+2.78*('Cálculos'!$C$200+(($C18)-$A$6:$A$51)*'Cálculos'!$C$98)/(('Cálculos'!$C$200+(($C18)-$A$6:$A$51)*'Cálculos'!$C$98)+1400)+'Cálculos'!$C$122)*'Cálculos'!$C$275+'Cálculos'!$C$125*(1+2.78*('Cálculos'!$C$200+(($C18)-$A$6:$A$51)*'Cálculos'!$C$98)/(('Cálculos'!$C$200+(($C18)-$A$6:$A$51)*'Cálculos'!$C$98)+1400)+'Cálculos'!$C$123)*'Cálculos'!$C$280)+('Cálculos'!$C$201*(1+'Cálculos'!$C$202+$A$6:$A$51*('Cálculos'!$C$290=2)*'Cálculos'!$C$101)+'Cálculos'!$C$203)*('Cálculos'!$C$271+'Cálculos'!$C$124*(1+2.78*('Cálculos'!$C$200+(($C18)-$A$6:$A$51)*'Cálculos'!$C$98)/(('Cálculos'!$C$200+(($C18)-$A$6:$A$51)*'Cálculos'!$C$98)+1400)+'Cálculos'!$C$122)*'Cálculos'!$C$276+'Cálculos'!$C$125*(1+2.78*('Cálculos'!$C$200+(($C18)-$A$6:$A$51)*'Cálculos'!$C$98)/(('Cálculos'!$C$200+(($C18)-$A$6:$A$51)*'Cálculos'!$C$98)+1400)+'Cálculos'!$C$123)*'Cálculos'!$C$281)+('Cálculos'!$C$204*(1+'Cálculos'!$C$205+$A$6:$A$51*('Cálculos'!$C$290=3)*'Cálculos'!$C$103)+'Cálculos'!$C$206)*('Cálculos'!$C$272+'Cálculos'!$C$124*(1+2.78*('Cálculos'!$C$200+(($C18)-$A$6:$A$51)*'Cálculos'!$C$98)/(('Cálculos'!$C$200+(($C18)-$A$6:$A$51)*'Cálculos'!$C$98)+1400)+'Cálculos'!$C$122)*'Cálculos'!$C$277+'Cálculos'!$C$125*(1+2.78*('Cálculos'!$C$200+(($C18)-$A$6:$A$51)*'Cálculos'!$C$98)/(('Cálculos'!$C$200+(($C18)-$A$6:$A$51)*'Cálculos'!$C$98)+1400)+'Cálculos'!$C$123)*'Cálculos'!$C$282)+('Cálculos'!$C$273+'Cálculos'!$C$124*(1+2.78*('Cálculos'!$C$200+(($C18)-$A$6:$A$51)*'Cálculos'!$C$98)/(('Cálculos'!$C$200+(($C18)-$A$6:$A$51)*'Cálculos'!$C$98)+1400)+'Cálculos'!$C$122)*'Cálculos'!$C$278+'Cálculos'!$C$125*(1+2.78*('Cálculos'!$C$200+(($C18)-$A$6:$A$51)*'Cálculos'!$C$98)/(('Cálculos'!$C$200+(($C18)-$A$6:$A$51)*'Cálculos'!$C$98)+1400)+'Cálculos'!$C$123)*'Cálculos'!$C$283)))))</f>
        <v>1144274.569</v>
      </c>
      <c r="E18" s="32">
        <f>IF(OR($C18&lt;0,'Cálculos'!$C$6=""),0,$B18*$D18)</f>
        <v>3468760.794</v>
      </c>
      <c r="F18" s="2"/>
      <c r="G18" s="30">
        <f>($A18&lt;=$B$53)*($A18&lt;='Cálculos'!$C$294)*(($B$53)-$A18&lt;='Cálculos'!$C$295)*(1+MIN(('Cálculos'!$C$207+$A18*'Cálculos'!$C$95),1)*('Cálculos'!$C$208+(($B$53)-$A18)*'Cálculos'!$C$96))</f>
        <v>3.252</v>
      </c>
      <c r="H18" s="31">
        <f>IF($B$54&lt;0,0,($A18&lt;=$B$54)*($A18&lt;='Cálculos'!$C$301)*(($B$54)-$A18&lt;='Cálculos'!$C$297)*(('Cálculos'!$C$185*(1+'Cálculos'!$C$186+$A18*('Cálculos'!$C$290=1)*'Cálculos'!$C$97+'Cálculos'!$C$305)+'Cálculos'!$C$191)*('Cálculos'!$C$209+'Cálculos'!$C$124*(1+2.78*('Cálculos'!$C$196+(($B$54)-$A18)*'Cálculos'!$C$98)/(('Cálculos'!$C$196+(($B$54)-$A18)*'Cálculos'!$C$98)+1400)+'Cálculos'!$C$122)*'Cálculos'!$C$214+'Cálculos'!$C$125*(1+2.78*('Cálculos'!$C$196+(($B$54)-$A18)*'Cálculos'!$C$98)/(('Cálculos'!$C$196+(($B$54)-$A18)*'Cálculos'!$C$98)+1400)+'Cálculos'!$C$123)*'Cálculos'!$C$219)+('Cálculos'!$C$196+(($B$54)-$A18)*'Cálculos'!$C$98)*('Cálculos'!$C$210+'Cálculos'!$C$124*(1+2.78*('Cálculos'!$C$196+(($B$54)-$A18)*'Cálculos'!$C$98)/(('Cálculos'!$C$196+(($B$54)-$A18)*'Cálculos'!$C$98)+1400)+'Cálculos'!$C$122)*'Cálculos'!$C$215+'Cálculos'!$C$125*(1+2.78*('Cálculos'!$C$196+(($B$54)-$A18)*'Cálculos'!$C$98)/(('Cálculos'!$C$196+(($B$54)-$A18)*'Cálculos'!$C$98)+1400)+'Cálculos'!$C$123)*'Cálculos'!$C$220)+('Cálculos'!$C$201*(1+'Cálculos'!$C$202+$A18*('Cálculos'!$C$290=2)*'Cálculos'!$C$101)+'Cálculos'!$C$203)*('Cálculos'!$C$211+'Cálculos'!$C$124*(1+2.78*('Cálculos'!$C$196+(($B$54)-$A18)*'Cálculos'!$C$98)/(('Cálculos'!$C$196+(($B$54)-$A18)*'Cálculos'!$C$98)+1400)+'Cálculos'!$C$122)*'Cálculos'!$C$216+'Cálculos'!$C$125*(1+2.78*('Cálculos'!$C$196+(($B$54)-$A18)*'Cálculos'!$C$98)/(('Cálculos'!$C$196+(($B$54)-$A18)*'Cálculos'!$C$98)+1400)+'Cálculos'!$C$123)*'Cálculos'!$C$221)+('Cálculos'!$C$204*(1+'Cálculos'!$C$205+$A18*('Cálculos'!$C$290=3)*'Cálculos'!$C$103)+'Cálculos'!$C$206)*('Cálculos'!$C$212+'Cálculos'!$C$124*(1+2.78*('Cálculos'!$C$196+(($B$54)-$A18)*'Cálculos'!$C$98)/(('Cálculos'!$C$196+(($B$54)-$A18)*'Cálculos'!$C$98)+1400)+'Cálculos'!$C$122)*'Cálculos'!$C$217+'Cálculos'!$C$125*(1+2.78*('Cálculos'!$C$196+(($B$54)-$A18)*'Cálculos'!$C$98)/(('Cálculos'!$C$196+(($B$54)-$A18)*'Cálculos'!$C$98)+1400)+'Cálculos'!$C$123)*'Cálculos'!$C$222)+('Cálculos'!$C$213+'Cálculos'!$C$124*(1+2.78*('Cálculos'!$C$196+(($B$54)-$A18)*'Cálculos'!$C$98)/(('Cálculos'!$C$196+(($B$54)-$A18)*'Cálculos'!$C$98)+1400)+'Cálculos'!$C$122)*'Cálculos'!$C$218+'Cálculos'!$C$125*(1+2.78*('Cálculos'!$C$196+(($B$54)-$A18)*'Cálculos'!$C$98)/(('Cálculos'!$C$196+(($B$54)-$A18)*'Cálculos'!$C$98)+1400)+'Cálculos'!$C$123)*'Cálculos'!$C$223)+('Cálculos'!$C$185*(1+'Cálculos'!$C$187+$A18*('Cálculos'!$C$290=1)*'Cálculos'!$C$97+'Cálculos'!$C$305)+'Cálculos'!$C$192)*('Cálculos'!$C$224+'Cálculos'!$C$124*(1+2.78*('Cálculos'!$C$197+(($B$54)-$A18)*'Cálculos'!$C$98)/(('Cálculos'!$C$197+(($B$54)-$A18)*'Cálculos'!$C$98)+1400)+'Cálculos'!$C$122)*'Cálculos'!$C$229+'Cálculos'!$C$125*(1+2.78*('Cálculos'!$C$197+(($B$54)-$A18)*'Cálculos'!$C$98)/(('Cálculos'!$C$197+(($B$54)-$A18)*'Cálculos'!$C$98)+1400)+'Cálculos'!$C$123)*'Cálculos'!$C$234)+('Cálculos'!$C$197+(($B$54)-$A18)*'Cálculos'!$C$98)*('Cálculos'!$C$225+'Cálculos'!$C$124*(1+2.78*('Cálculos'!$C$197+(($B$54)-$A18)*'Cálculos'!$C$98)/(('Cálculos'!$C$197+(($B$54)-$A18)*'Cálculos'!$C$98)+1400)+'Cálculos'!$C$122)*'Cálculos'!$C$230+'Cálculos'!$C$125*(1+2.78*('Cálculos'!$C$197+(($B$54)-$A18)*'Cálculos'!$C$98)/(('Cálculos'!$C$197+(($B$54)-$A18)*'Cálculos'!$C$98)+1400)+'Cálculos'!$C$123)*'Cálculos'!$C$235)+('Cálculos'!$C$201*(1+'Cálculos'!$C$202+$A18*('Cálculos'!$C$290=2)*'Cálculos'!$C$101)+'Cálculos'!$C$203)*('Cálculos'!$C$226+'Cálculos'!$C$124*(1+2.78*('Cálculos'!$C$197+(($B$54)-$A18)*'Cálculos'!$C$98)/(('Cálculos'!$C$197+(($B$54)-$A18)*'Cálculos'!$C$98)+1400)+'Cálculos'!$C$122)*'Cálculos'!$C$231+'Cálculos'!$C$125*(1+2.78*('Cálculos'!$C$197+(($B$54)-$A18)*'Cálculos'!$C$98)/(('Cálculos'!$C$197+(($B$54)-$A18)*'Cálculos'!$C$98)+1400)+'Cálculos'!$C$123)*'Cálculos'!$C$236)+('Cálculos'!$C$204*(1+'Cálculos'!$C$205+$A18*('Cálculos'!$C$290=3)*'Cálculos'!$C$103)+'Cálculos'!$C$206)*('Cálculos'!$C$227+'Cálculos'!$C$124*(1+2.78*('Cálculos'!$C$197+(($B$54)-$A18)*'Cálculos'!$C$98)/(('Cálculos'!$C$197+(($B$54)-$A18)*'Cálculos'!$C$98)+1400)+'Cálculos'!$C$122)*'Cálculos'!$C$232+'Cálculos'!$C$125*(1+2.78*('Cálculos'!$C$197+(($B$54)-$A18)*'Cálculos'!$C$98)/(('Cálculos'!$C$197+(($B$54)-$A18)*'Cálculos'!$C$98)+1400)+'Cálculos'!$C$123)*'Cálculos'!$C$237)+('Cálculos'!$C$228+'Cálculos'!$C$124*(1+2.78*('Cálculos'!$C$197+(($B$54)-$A18)*'Cálculos'!$C$98)/(('Cálculos'!$C$197+(($B$54)-$A18)*'Cálculos'!$C$98)+1400)+'Cálculos'!$C$122)*'Cálculos'!$C$233+'Cálculos'!$C$125*(1+2.78*('Cálculos'!$C$197+(($B$54)-$A18)*'Cálculos'!$C$98)/(('Cálculos'!$C$197+(($B$54)-$A18)*'Cálculos'!$C$98)+1400)+'Cálculos'!$C$123)*'Cálculos'!$C$238)+('Cálculos'!$C$185*(1+'Cálculos'!$C$188+$A18*('Cálculos'!$C$290=1)*'Cálculos'!$C$97+'Cálculos'!$C$305)+'Cálculos'!$C$193)*('Cálculos'!$C$239+'Cálculos'!$C$124*(1+2.78*('Cálculos'!$C$198+(($B$54)-$A18)*'Cálculos'!$C$98)/(('Cálculos'!$C$198+(($B$54)-$A18)*'Cálculos'!$C$98)+1400)+'Cálculos'!$C$122)*'Cálculos'!$C$244+'Cálculos'!$C$125*(1+2.78*('Cálculos'!$C$198+(($B$54)-$A18)*'Cálculos'!$C$98)/(('Cálculos'!$C$198+(($B$54)-$A18)*'Cálculos'!$C$98)+1400)+'Cálculos'!$C$123)*'Cálculos'!$C$249)+('Cálculos'!$C$198+(($B$54)-$A18)*'Cálculos'!$C$98)*('Cálculos'!$C$240+'Cálculos'!$C$124*(1+2.78*('Cálculos'!$C$198+(($B$54)-$A18)*'Cálculos'!$C$98)/(('Cálculos'!$C$198+(($B$54)-$A18)*'Cálculos'!$C$98)+1400)+'Cálculos'!$C$122)*'Cálculos'!$C$245+'Cálculos'!$C$125*(1+2.78*('Cálculos'!$C$198+(($B$54)-$A18)*'Cálculos'!$C$98)/(('Cálculos'!$C$198+(($B$54)-$A18)*'Cálculos'!$C$98)+1400)+'Cálculos'!$C$123)*'Cálculos'!$C$250)+('Cálculos'!$C$201*(1+'Cálculos'!$C$202+$A18*('Cálculos'!$C$290=2)*'Cálculos'!$C$101)+'Cálculos'!$C$203)*('Cálculos'!$C$241+'Cálculos'!$C$124*(1+2.78*('Cálculos'!$C$198+(($B$54)-$A18)*'Cálculos'!$C$98)/(('Cálculos'!$C$198+(($B$54)-$A18)*'Cálculos'!$C$98)+1400)+'Cálculos'!$C$122)*'Cálculos'!$C$246+'Cálculos'!$C$125*(1+2.78*('Cálculos'!$C$198+(($B$54)-$A18)*'Cálculos'!$C$98)/(('Cálculos'!$C$198+(($B$54)-$A18)*'Cálculos'!$C$98)+1400)+'Cálculos'!$C$123)*'Cálculos'!$C$251)+('Cálculos'!$C$204*(1+'Cálculos'!$C$205+$A18*('Cálculos'!$C$290=3)*'Cálculos'!$C$103)+'Cálculos'!$C$206)*('Cálculos'!$C$242+'Cálculos'!$C$124*(1+2.78*('Cálculos'!$C$198+(($B$54)-$A18)*'Cálculos'!$C$98)/(('Cálculos'!$C$198+(($B$54)-$A18)*'Cálculos'!$C$98)+1400)+'Cálculos'!$C$122)*'Cálculos'!$C$247+'Cálculos'!$C$125*(1+2.78*('Cálculos'!$C$198+(($B$54)-$A18)*'Cálculos'!$C$98)/(('Cálculos'!$C$198+(($B$54)-$A18)*'Cálculos'!$C$98)+1400)+'Cálculos'!$C$123)*'Cálculos'!$C$252)+('Cálculos'!$C$243+'Cálculos'!$C$124*(1+2.78*('Cálculos'!$C$198+(($B$54)-$A18)*'Cálculos'!$C$98)/(('Cálculos'!$C$198+(($B$54)-$A18)*'Cálculos'!$C$98)+1400)+'Cálculos'!$C$122)*'Cálculos'!$C$248+'Cálculos'!$C$125*(1+2.78*('Cálculos'!$C$198+(($B$54)-$A18)*'Cálculos'!$C$98)/(('Cálculos'!$C$198+(($B$54)-$A18)*'Cálculos'!$C$98)+1400)+'Cálculos'!$C$123)*'Cálculos'!$C$253)+('Cálculos'!$C$185*(1+'Cálculos'!$C$189+$A18*('Cálculos'!$C$290=1)*'Cálculos'!$C$97+'Cálculos'!$C$305)+'Cálculos'!$C$194)*('Cálculos'!$C$254+'Cálculos'!$C$124*(1+2.78*('Cálculos'!$C$199+(($B$54)-$A18)*'Cálculos'!$C$98)/(('Cálculos'!$C$199+(($B$54)-$A18)*'Cálculos'!$C$98)+1400)+'Cálculos'!$C$122)*'Cálculos'!$C$259+'Cálculos'!$C$125*(1+2.78*('Cálculos'!$C$199+(($B$54)-$A18)*'Cálculos'!$C$98)/(('Cálculos'!$C$199+(($B$54)-$A18)*'Cálculos'!$C$98)+1400)+'Cálculos'!$C$123)*'Cálculos'!$C$264)+('Cálculos'!$C$199+(($B$54)-$A18)*'Cálculos'!$C$98)*('Cálculos'!$C$255+'Cálculos'!$C$124*(1+2.78*('Cálculos'!$C$199+(($B$54)-$A18)*'Cálculos'!$C$98)/(('Cálculos'!$C$199+(($B$54)-$A18)*'Cálculos'!$C$98)+1400)+'Cálculos'!$C$122)*'Cálculos'!$C$260+'Cálculos'!$C$125*(1+2.78*('Cálculos'!$C$199+(($B$54)-$A18)*'Cálculos'!$C$98)/(('Cálculos'!$C$199+(($B$54)-$A18)*'Cálculos'!$C$98)+1400)+'Cálculos'!$C$123)*'Cálculos'!$C$265)+('Cálculos'!$C$201*(1+'Cálculos'!$C$202+$A18*('Cálculos'!$C$290=2)*'Cálculos'!$C$101)+'Cálculos'!$C$203)*('Cálculos'!$C$256+'Cálculos'!$C$124*(1+2.78*('Cálculos'!$C$199+(($B$54)-$A18)*'Cálculos'!$C$98)/(('Cálculos'!$C$199+(($B$54)-$A18)*'Cálculos'!$C$98)+1400)+'Cálculos'!$C$122)*'Cálculos'!$C$261+'Cálculos'!$C$125*(1+2.78*('Cálculos'!$C$199+(($B$54)-$A18)*'Cálculos'!$C$98)/(('Cálculos'!$C$199+(($B$54)-$A18)*'Cálculos'!$C$98)+1400)+'Cálculos'!$C$123)*'Cálculos'!$C$266)+('Cálculos'!$C$204*(1+'Cálculos'!$C$205+$A18*('Cálculos'!$C$290=3)*'Cálculos'!$C$103)+'Cálculos'!$C$206)*('Cálculos'!$C$257+'Cálculos'!$C$124*(1+2.78*('Cálculos'!$C$199+(($B$54)-$A18)*'Cálculos'!$C$98)/(('Cálculos'!$C$199+(($B$54)-$A18)*'Cálculos'!$C$98)+1400)+'Cálculos'!$C$122)*'Cálculos'!$C$262+'Cálculos'!$C$125*(1+2.78*('Cálculos'!$C$199+(($B$54)-$A18)*'Cálculos'!$C$98)/(('Cálculos'!$C$199+(($B$54)-$A18)*'Cálculos'!$C$98)+1400)+'Cálculos'!$C$123)*'Cálculos'!$C$267)+('Cálculos'!$C$258+'Cálculos'!$C$124*(1+2.78*('Cálculos'!$C$199+(($B$54)-$A18)*'Cálculos'!$C$98)/(('Cálculos'!$C$199+(($B$54)-$A18)*'Cálculos'!$C$98)+1400)+'Cálculos'!$C$122)*'Cálculos'!$C$263+'Cálculos'!$C$125*(1+2.78*('Cálculos'!$C$199+(($B$54)-$A18)*'Cálculos'!$C$98)/(('Cálculos'!$C$199+(($B$54)-$A18)*'Cálculos'!$C$98)+1400)+'Cálculos'!$C$123)*'Cálculos'!$C$268)+('Cálculos'!$C$185*(1+'Cálculos'!$C$190+$A18*('Cálculos'!$C$290=1)*'Cálculos'!$C$97+'Cálculos'!$C$305)+'Cálculos'!$C$195)*('Cálculos'!$C$269+'Cálculos'!$C$124*(1+2.78*('Cálculos'!$C$200+(($B$54)-$A18)*'Cálculos'!$C$98)/(('Cálculos'!$C$200+(($B$54)-$A18)*'Cálculos'!$C$98)+1400)+'Cálculos'!$C$122)*'Cálculos'!$C$274+'Cálculos'!$C$125*(1+2.78*('Cálculos'!$C$200+(($B$54)-$A18)*'Cálculos'!$C$98)/(('Cálculos'!$C$200+(($B$54)-$A18)*'Cálculos'!$C$98)+1400)+'Cálculos'!$C$123)*'Cálculos'!$C$279)+('Cálculos'!$C$200+(($B$54)-$A18)*'Cálculos'!$C$98)*('Cálculos'!$C$270+'Cálculos'!$C$124*(1+2.78*('Cálculos'!$C$200+(($B$54)-$A18)*'Cálculos'!$C$98)/(('Cálculos'!$C$200+(($B$54)-$A18)*'Cálculos'!$C$98)+1400)+'Cálculos'!$C$122)*'Cálculos'!$C$275+'Cálculos'!$C$125*(1+2.78*('Cálculos'!$C$200+(($B$54)-$A18)*'Cálculos'!$C$98)/(('Cálculos'!$C$200+(($B$54)-$A18)*'Cálculos'!$C$98)+1400)+'Cálculos'!$C$123)*'Cálculos'!$C$280)+('Cálculos'!$C$201*(1+'Cálculos'!$C$202+$A18*('Cálculos'!$C$290=2)*'Cálculos'!$C$101)+'Cálculos'!$C$203)*('Cálculos'!$C$271+'Cálculos'!$C$124*(1+2.78*('Cálculos'!$C$200+(($B$54)-$A18)*'Cálculos'!$C$98)/(('Cálculos'!$C$200+(($B$54)-$A18)*'Cálculos'!$C$98)+1400)+'Cálculos'!$C$122)*'Cálculos'!$C$276+'Cálculos'!$C$125*(1+2.78*('Cálculos'!$C$200+(($B$54)-$A18)*'Cálculos'!$C$98)/(('Cálculos'!$C$200+(($B$54)-$A18)*'Cálculos'!$C$98)+1400)+'Cálculos'!$C$123)*'Cálculos'!$C$281)+('Cálculos'!$C$204*(1+'Cálculos'!$C$205+$A18*('Cálculos'!$C$290=3)*'Cálculos'!$C$103)+'Cálculos'!$C$206)*('Cálculos'!$C$272+'Cálculos'!$C$124*(1+2.78*('Cálculos'!$C$200+(($B$54)-$A18)*'Cálculos'!$C$98)/(('Cálculos'!$C$200+(($B$54)-$A18)*'Cálculos'!$C$98)+1400)+'Cálculos'!$C$122)*'Cálculos'!$C$277+'Cálculos'!$C$125*(1+2.78*('Cálculos'!$C$200+(($B$54)-$A18)*'Cálculos'!$C$98)/(('Cálculos'!$C$200+(($B$54)-$A18)*'Cálculos'!$C$98)+1400)+'Cálculos'!$C$123)*'Cálculos'!$C$282)+('Cálculos'!$C$273+'Cálculos'!$C$124*(1+2.78*('Cálculos'!$C$200+(($B$54)-$A18)*'Cálculos'!$C$98)/(('Cálculos'!$C$200+(($B$54)-$A18)*'Cálculos'!$C$98)+1400)+'Cálculos'!$C$122)*'Cálculos'!$C$278+'Cálculos'!$C$125*(1+2.78*('Cálculos'!$C$200+(($B$54)-$A18)*'Cálculos'!$C$98)/(('Cálculos'!$C$200+(($B$54)-$A18)*'Cálculos'!$C$98)+1400)+'Cálculos'!$C$123)*'Cálculos'!$C$283)))</f>
        <v>0</v>
      </c>
    </row>
    <row r="19">
      <c r="A19" s="2">
        <v>13.0</v>
      </c>
      <c r="B19" s="30">
        <f>SUMPRODUCT(MAX(($A$6:$A$51&lt;=$A19)*($A$6:$A$51&lt;='Cálculos'!$C$294)*(($A19)-$A$6:$A$51&lt;='Cálculos'!$C$295)*(1+(('Cálculos'!$C$207+$A$6:$A$51*'Cálculos'!$C$95)-(('Cálculos'!$C$207+$A$6:$A$51*'Cálculos'!$C$95)&gt;1)*(('Cálculos'!$C$207+$A$6:$A$51*'Cálculos'!$C$95)-1))*('Cálculos'!$C$208+(($A19)-$A$6:$A$51)*'Cálculos'!$C$96))))</f>
        <v>3.09668</v>
      </c>
      <c r="C19" s="2">
        <f>'Cálculos'!$C$303-$A19</f>
        <v>7</v>
      </c>
      <c r="D19" s="31">
        <f>IF($C19&lt;0,0,SUMPRODUCT(MAX(($A$6:$A$51&lt;=$C19)*($A$6:$A$51&lt;='Cálculos'!$C$301)*(($C19)-$A$6:$A$51&lt;='Cálculos'!$C$297)*(('Cálculos'!$C$185*(1+'Cálculos'!$C$186+$A$6:$A$51*('Cálculos'!$C$290=1)*'Cálculos'!$C$97+'Cálculos'!$C$305)+'Cálculos'!$C$191)*('Cálculos'!$C$209+'Cálculos'!$C$124*(1+2.78*('Cálculos'!$C$196+(($C19)-$A$6:$A$51)*'Cálculos'!$C$98)/(('Cálculos'!$C$196+(($C19)-$A$6:$A$51)*'Cálculos'!$C$98)+1400)+'Cálculos'!$C$122)*'Cálculos'!$C$214+'Cálculos'!$C$125*(1+2.78*('Cálculos'!$C$196+(($C19)-$A$6:$A$51)*'Cálculos'!$C$98)/(('Cálculos'!$C$196+(($C19)-$A$6:$A$51)*'Cálculos'!$C$98)+1400)+'Cálculos'!$C$123)*'Cálculos'!$C$219)+('Cálculos'!$C$196+(($C19)-$A$6:$A$51)*'Cálculos'!$C$98)*('Cálculos'!$C$210+'Cálculos'!$C$124*(1+2.78*('Cálculos'!$C$196+(($C19)-$A$6:$A$51)*'Cálculos'!$C$98)/(('Cálculos'!$C$196+(($C19)-$A$6:$A$51)*'Cálculos'!$C$98)+1400)+'Cálculos'!$C$122)*'Cálculos'!$C$215+'Cálculos'!$C$125*(1+2.78*('Cálculos'!$C$196+(($C19)-$A$6:$A$51)*'Cálculos'!$C$98)/(('Cálculos'!$C$196+(($C19)-$A$6:$A$51)*'Cálculos'!$C$98)+1400)+'Cálculos'!$C$123)*'Cálculos'!$C$220)+('Cálculos'!$C$201*(1+'Cálculos'!$C$202+$A$6:$A$51*('Cálculos'!$C$290=2)*'Cálculos'!$C$101)+'Cálculos'!$C$203)*('Cálculos'!$C$211+'Cálculos'!$C$124*(1+2.78*('Cálculos'!$C$196+(($C19)-$A$6:$A$51)*'Cálculos'!$C$98)/(('Cálculos'!$C$196+(($C19)-$A$6:$A$51)*'Cálculos'!$C$98)+1400)+'Cálculos'!$C$122)*'Cálculos'!$C$216+'Cálculos'!$C$125*(1+2.78*('Cálculos'!$C$196+(($C19)-$A$6:$A$51)*'Cálculos'!$C$98)/(('Cálculos'!$C$196+(($C19)-$A$6:$A$51)*'Cálculos'!$C$98)+1400)+'Cálculos'!$C$123)*'Cálculos'!$C$221)+('Cálculos'!$C$204*(1+'Cálculos'!$C$205+$A$6:$A$51*('Cálculos'!$C$290=3)*'Cálculos'!$C$103)+'Cálculos'!$C$206)*('Cálculos'!$C$212+'Cálculos'!$C$124*(1+2.78*('Cálculos'!$C$196+(($C19)-$A$6:$A$51)*'Cálculos'!$C$98)/(('Cálculos'!$C$196+(($C19)-$A$6:$A$51)*'Cálculos'!$C$98)+1400)+'Cálculos'!$C$122)*'Cálculos'!$C$217+'Cálculos'!$C$125*(1+2.78*('Cálculos'!$C$196+(($C19)-$A$6:$A$51)*'Cálculos'!$C$98)/(('Cálculos'!$C$196+(($C19)-$A$6:$A$51)*'Cálculos'!$C$98)+1400)+'Cálculos'!$C$123)*'Cálculos'!$C$222)+('Cálculos'!$C$213+'Cálculos'!$C$124*(1+2.78*('Cálculos'!$C$196+(($C19)-$A$6:$A$51)*'Cálculos'!$C$98)/(('Cálculos'!$C$196+(($C19)-$A$6:$A$51)*'Cálculos'!$C$98)+1400)+'Cálculos'!$C$122)*'Cálculos'!$C$218+'Cálculos'!$C$125*(1+2.78*('Cálculos'!$C$196+(($C19)-$A$6:$A$51)*'Cálculos'!$C$98)/(('Cálculos'!$C$196+(($C19)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19)-$A$6:$A$51)*'Cálculos'!$C$98)/(('Cálculos'!$C$197+(($C19)-$A$6:$A$51)*'Cálculos'!$C$98)+1400)+'Cálculos'!$C$122)*'Cálculos'!$C$229+'Cálculos'!$C$125*(1+2.78*('Cálculos'!$C$197+(($C19)-$A$6:$A$51)*'Cálculos'!$C$98)/(('Cálculos'!$C$197+(($C19)-$A$6:$A$51)*'Cálculos'!$C$98)+1400)+'Cálculos'!$C$123)*'Cálculos'!$C$234)+('Cálculos'!$C$197+(($C19)-$A$6:$A$51)*'Cálculos'!$C$98)*('Cálculos'!$C$225+'Cálculos'!$C$124*(1+2.78*('Cálculos'!$C$197+(($C19)-$A$6:$A$51)*'Cálculos'!$C$98)/(('Cálculos'!$C$197+(($C19)-$A$6:$A$51)*'Cálculos'!$C$98)+1400)+'Cálculos'!$C$122)*'Cálculos'!$C$230+'Cálculos'!$C$125*(1+2.78*('Cálculos'!$C$197+(($C19)-$A$6:$A$51)*'Cálculos'!$C$98)/(('Cálculos'!$C$197+(($C19)-$A$6:$A$51)*'Cálculos'!$C$98)+1400)+'Cálculos'!$C$123)*'Cálculos'!$C$235)+('Cálculos'!$C$201*(1+'Cálculos'!$C$202+$A$6:$A$51*('Cálculos'!$C$290=2)*'Cálculos'!$C$101)+'Cálculos'!$C$203)*('Cálculos'!$C$226+'Cálculos'!$C$124*(1+2.78*('Cálculos'!$C$197+(($C19)-$A$6:$A$51)*'Cálculos'!$C$98)/(('Cálculos'!$C$197+(($C19)-$A$6:$A$51)*'Cálculos'!$C$98)+1400)+'Cálculos'!$C$122)*'Cálculos'!$C$231+'Cálculos'!$C$125*(1+2.78*('Cálculos'!$C$197+(($C19)-$A$6:$A$51)*'Cálculos'!$C$98)/(('Cálculos'!$C$197+(($C19)-$A$6:$A$51)*'Cálculos'!$C$98)+1400)+'Cálculos'!$C$123)*'Cálculos'!$C$236)+('Cálculos'!$C$204*(1+'Cálculos'!$C$205+$A$6:$A$51*('Cálculos'!$C$290=3)*'Cálculos'!$C$103)+'Cálculos'!$C$206)*('Cálculos'!$C$227+'Cálculos'!$C$124*(1+2.78*('Cálculos'!$C$197+(($C19)-$A$6:$A$51)*'Cálculos'!$C$98)/(('Cálculos'!$C$197+(($C19)-$A$6:$A$51)*'Cálculos'!$C$98)+1400)+'Cálculos'!$C$122)*'Cálculos'!$C$232+'Cálculos'!$C$125*(1+2.78*('Cálculos'!$C$197+(($C19)-$A$6:$A$51)*'Cálculos'!$C$98)/(('Cálculos'!$C$197+(($C19)-$A$6:$A$51)*'Cálculos'!$C$98)+1400)+'Cálculos'!$C$123)*'Cálculos'!$C$237)+('Cálculos'!$C$228+'Cálculos'!$C$124*(1+2.78*('Cálculos'!$C$197+(($C19)-$A$6:$A$51)*'Cálculos'!$C$98)/(('Cálculos'!$C$197+(($C19)-$A$6:$A$51)*'Cálculos'!$C$98)+1400)+'Cálculos'!$C$122)*'Cálculos'!$C$233+'Cálculos'!$C$125*(1+2.78*('Cálculos'!$C$197+(($C19)-$A$6:$A$51)*'Cálculos'!$C$98)/(('Cálculos'!$C$197+(($C19)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19)-$A$6:$A$51)*'Cálculos'!$C$98)/(('Cálculos'!$C$198+(($C19)-$A$6:$A$51)*'Cálculos'!$C$98)+1400)+'Cálculos'!$C$122)*'Cálculos'!$C$244+'Cálculos'!$C$125*(1+2.78*('Cálculos'!$C$198+(($C19)-$A$6:$A$51)*'Cálculos'!$C$98)/(('Cálculos'!$C$198+(($C19)-$A$6:$A$51)*'Cálculos'!$C$98)+1400)+'Cálculos'!$C$123)*'Cálculos'!$C$249)+('Cálculos'!$C$198+(($C19)-$A$6:$A$51)*'Cálculos'!$C$98)*('Cálculos'!$C$240+'Cálculos'!$C$124*(1+2.78*('Cálculos'!$C$198+(($C19)-$A$6:$A$51)*'Cálculos'!$C$98)/(('Cálculos'!$C$198+(($C19)-$A$6:$A$51)*'Cálculos'!$C$98)+1400)+'Cálculos'!$C$122)*'Cálculos'!$C$245+'Cálculos'!$C$125*(1+2.78*('Cálculos'!$C$198+(($C19)-$A$6:$A$51)*'Cálculos'!$C$98)/(('Cálculos'!$C$198+(($C19)-$A$6:$A$51)*'Cálculos'!$C$98)+1400)+'Cálculos'!$C$123)*'Cálculos'!$C$250)+('Cálculos'!$C$201*(1+'Cálculos'!$C$202+$A$6:$A$51*('Cálculos'!$C$290=2)*'Cálculos'!$C$101)+'Cálculos'!$C$203)*('Cálculos'!$C$241+'Cálculos'!$C$124*(1+2.78*('Cálculos'!$C$198+(($C19)-$A$6:$A$51)*'Cálculos'!$C$98)/(('Cálculos'!$C$198+(($C19)-$A$6:$A$51)*'Cálculos'!$C$98)+1400)+'Cálculos'!$C$122)*'Cálculos'!$C$246+'Cálculos'!$C$125*(1+2.78*('Cálculos'!$C$198+(($C19)-$A$6:$A$51)*'Cálculos'!$C$98)/(('Cálculos'!$C$198+(($C19)-$A$6:$A$51)*'Cálculos'!$C$98)+1400)+'Cálculos'!$C$123)*'Cálculos'!$C$251)+('Cálculos'!$C$204*(1+'Cálculos'!$C$205+$A$6:$A$51*('Cálculos'!$C$290=3)*'Cálculos'!$C$103)+'Cálculos'!$C$206)*('Cálculos'!$C$242+'Cálculos'!$C$124*(1+2.78*('Cálculos'!$C$198+(($C19)-$A$6:$A$51)*'Cálculos'!$C$98)/(('Cálculos'!$C$198+(($C19)-$A$6:$A$51)*'Cálculos'!$C$98)+1400)+'Cálculos'!$C$122)*'Cálculos'!$C$247+'Cálculos'!$C$125*(1+2.78*('Cálculos'!$C$198+(($C19)-$A$6:$A$51)*'Cálculos'!$C$98)/(('Cálculos'!$C$198+(($C19)-$A$6:$A$51)*'Cálculos'!$C$98)+1400)+'Cálculos'!$C$123)*'Cálculos'!$C$252)+('Cálculos'!$C$243+'Cálculos'!$C$124*(1+2.78*('Cálculos'!$C$198+(($C19)-$A$6:$A$51)*'Cálculos'!$C$98)/(('Cálculos'!$C$198+(($C19)-$A$6:$A$51)*'Cálculos'!$C$98)+1400)+'Cálculos'!$C$122)*'Cálculos'!$C$248+'Cálculos'!$C$125*(1+2.78*('Cálculos'!$C$198+(($C19)-$A$6:$A$51)*'Cálculos'!$C$98)/(('Cálculos'!$C$198+(($C19)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19)-$A$6:$A$51)*'Cálculos'!$C$98)/(('Cálculos'!$C$199+(($C19)-$A$6:$A$51)*'Cálculos'!$C$98)+1400)+'Cálculos'!$C$122)*'Cálculos'!$C$259+'Cálculos'!$C$125*(1+2.78*('Cálculos'!$C$199+(($C19)-$A$6:$A$51)*'Cálculos'!$C$98)/(('Cálculos'!$C$199+(($C19)-$A$6:$A$51)*'Cálculos'!$C$98)+1400)+'Cálculos'!$C$123)*'Cálculos'!$C$264)+('Cálculos'!$C$199+(($C19)-$A$6:$A$51)*'Cálculos'!$C$98)*('Cálculos'!$C$255+'Cálculos'!$C$124*(1+2.78*('Cálculos'!$C$199+(($C19)-$A$6:$A$51)*'Cálculos'!$C$98)/(('Cálculos'!$C$199+(($C19)-$A$6:$A$51)*'Cálculos'!$C$98)+1400)+'Cálculos'!$C$122)*'Cálculos'!$C$260+'Cálculos'!$C$125*(1+2.78*('Cálculos'!$C$199+(($C19)-$A$6:$A$51)*'Cálculos'!$C$98)/(('Cálculos'!$C$199+(($C19)-$A$6:$A$51)*'Cálculos'!$C$98)+1400)+'Cálculos'!$C$123)*'Cálculos'!$C$265)+('Cálculos'!$C$201*(1+'Cálculos'!$C$202+$A$6:$A$51*('Cálculos'!$C$290=2)*'Cálculos'!$C$101)+'Cálculos'!$C$203)*('Cálculos'!$C$256+'Cálculos'!$C$124*(1+2.78*('Cálculos'!$C$199+(($C19)-$A$6:$A$51)*'Cálculos'!$C$98)/(('Cálculos'!$C$199+(($C19)-$A$6:$A$51)*'Cálculos'!$C$98)+1400)+'Cálculos'!$C$122)*'Cálculos'!$C$261+'Cálculos'!$C$125*(1+2.78*('Cálculos'!$C$199+(($C19)-$A$6:$A$51)*'Cálculos'!$C$98)/(('Cálculos'!$C$199+(($C19)-$A$6:$A$51)*'Cálculos'!$C$98)+1400)+'Cálculos'!$C$123)*'Cálculos'!$C$266)+('Cálculos'!$C$204*(1+'Cálculos'!$C$205+$A$6:$A$51*('Cálculos'!$C$290=3)*'Cálculos'!$C$103)+'Cálculos'!$C$206)*('Cálculos'!$C$257+'Cálculos'!$C$124*(1+2.78*('Cálculos'!$C$199+(($C19)-$A$6:$A$51)*'Cálculos'!$C$98)/(('Cálculos'!$C$199+(($C19)-$A$6:$A$51)*'Cálculos'!$C$98)+1400)+'Cálculos'!$C$122)*'Cálculos'!$C$262+'Cálculos'!$C$125*(1+2.78*('Cálculos'!$C$199+(($C19)-$A$6:$A$51)*'Cálculos'!$C$98)/(('Cálculos'!$C$199+(($C19)-$A$6:$A$51)*'Cálculos'!$C$98)+1400)+'Cálculos'!$C$123)*'Cálculos'!$C$267)+('Cálculos'!$C$258+'Cálculos'!$C$124*(1+2.78*('Cálculos'!$C$199+(($C19)-$A$6:$A$51)*'Cálculos'!$C$98)/(('Cálculos'!$C$199+(($C19)-$A$6:$A$51)*'Cálculos'!$C$98)+1400)+'Cálculos'!$C$122)*'Cálculos'!$C$263+'Cálculos'!$C$125*(1+2.78*('Cálculos'!$C$199+(($C19)-$A$6:$A$51)*'Cálculos'!$C$98)/(('Cálculos'!$C$199+(($C19)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19)-$A$6:$A$51)*'Cálculos'!$C$98)/(('Cálculos'!$C$200+(($C19)-$A$6:$A$51)*'Cálculos'!$C$98)+1400)+'Cálculos'!$C$122)*'Cálculos'!$C$274+'Cálculos'!$C$125*(1+2.78*('Cálculos'!$C$200+(($C19)-$A$6:$A$51)*'Cálculos'!$C$98)/(('Cálculos'!$C$200+(($C19)-$A$6:$A$51)*'Cálculos'!$C$98)+1400)+'Cálculos'!$C$123)*'Cálculos'!$C$279)+('Cálculos'!$C$200+(($C19)-$A$6:$A$51)*'Cálculos'!$C$98)*('Cálculos'!$C$270+'Cálculos'!$C$124*(1+2.78*('Cálculos'!$C$200+(($C19)-$A$6:$A$51)*'Cálculos'!$C$98)/(('Cálculos'!$C$200+(($C19)-$A$6:$A$51)*'Cálculos'!$C$98)+1400)+'Cálculos'!$C$122)*'Cálculos'!$C$275+'Cálculos'!$C$125*(1+2.78*('Cálculos'!$C$200+(($C19)-$A$6:$A$51)*'Cálculos'!$C$98)/(('Cálculos'!$C$200+(($C19)-$A$6:$A$51)*'Cálculos'!$C$98)+1400)+'Cálculos'!$C$123)*'Cálculos'!$C$280)+('Cálculos'!$C$201*(1+'Cálculos'!$C$202+$A$6:$A$51*('Cálculos'!$C$290=2)*'Cálculos'!$C$101)+'Cálculos'!$C$203)*('Cálculos'!$C$271+'Cálculos'!$C$124*(1+2.78*('Cálculos'!$C$200+(($C19)-$A$6:$A$51)*'Cálculos'!$C$98)/(('Cálculos'!$C$200+(($C19)-$A$6:$A$51)*'Cálculos'!$C$98)+1400)+'Cálculos'!$C$122)*'Cálculos'!$C$276+'Cálculos'!$C$125*(1+2.78*('Cálculos'!$C$200+(($C19)-$A$6:$A$51)*'Cálculos'!$C$98)/(('Cálculos'!$C$200+(($C19)-$A$6:$A$51)*'Cálculos'!$C$98)+1400)+'Cálculos'!$C$123)*'Cálculos'!$C$281)+('Cálculos'!$C$204*(1+'Cálculos'!$C$205+$A$6:$A$51*('Cálculos'!$C$290=3)*'Cálculos'!$C$103)+'Cálculos'!$C$206)*('Cálculos'!$C$272+'Cálculos'!$C$124*(1+2.78*('Cálculos'!$C$200+(($C19)-$A$6:$A$51)*'Cálculos'!$C$98)/(('Cálculos'!$C$200+(($C19)-$A$6:$A$51)*'Cálculos'!$C$98)+1400)+'Cálculos'!$C$122)*'Cálculos'!$C$277+'Cálculos'!$C$125*(1+2.78*('Cálculos'!$C$200+(($C19)-$A$6:$A$51)*'Cálculos'!$C$98)/(('Cálculos'!$C$200+(($C19)-$A$6:$A$51)*'Cálculos'!$C$98)+1400)+'Cálculos'!$C$123)*'Cálculos'!$C$282)+('Cálculos'!$C$273+'Cálculos'!$C$124*(1+2.78*('Cálculos'!$C$200+(($C19)-$A$6:$A$51)*'Cálculos'!$C$98)/(('Cálculos'!$C$200+(($C19)-$A$6:$A$51)*'Cálculos'!$C$98)+1400)+'Cálculos'!$C$122)*'Cálculos'!$C$278+'Cálculos'!$C$125*(1+2.78*('Cálculos'!$C$200+(($C19)-$A$6:$A$51)*'Cálculos'!$C$98)/(('Cálculos'!$C$200+(($C19)-$A$6:$A$51)*'Cálculos'!$C$98)+1400)+'Cálculos'!$C$123)*'Cálculos'!$C$283)))))</f>
        <v>1132763.166</v>
      </c>
      <c r="E19" s="32">
        <f>IF(OR($C19&lt;0,'Cálculos'!$C$6=""),0,$B19*$D19)</f>
        <v>3507805.041</v>
      </c>
      <c r="F19" s="2"/>
      <c r="G19" s="30">
        <f>($A19&lt;=$B$53)*($A19&lt;='Cálculos'!$C$294)*(($B$53)-$A19&lt;='Cálculos'!$C$295)*(1+MIN(('Cálculos'!$C$207+$A19*'Cálculos'!$C$95),1)*('Cálculos'!$C$208+(($B$53)-$A19)*'Cálculos'!$C$96))</f>
        <v>3.186</v>
      </c>
      <c r="H19" s="31">
        <f>IF($B$54&lt;0,0,($A19&lt;=$B$54)*($A19&lt;='Cálculos'!$C$301)*(($B$54)-$A19&lt;='Cálculos'!$C$297)*(('Cálculos'!$C$185*(1+'Cálculos'!$C$186+$A19*('Cálculos'!$C$290=1)*'Cálculos'!$C$97+'Cálculos'!$C$305)+'Cálculos'!$C$191)*('Cálculos'!$C$209+'Cálculos'!$C$124*(1+2.78*('Cálculos'!$C$196+(($B$54)-$A19)*'Cálculos'!$C$98)/(('Cálculos'!$C$196+(($B$54)-$A19)*'Cálculos'!$C$98)+1400)+'Cálculos'!$C$122)*'Cálculos'!$C$214+'Cálculos'!$C$125*(1+2.78*('Cálculos'!$C$196+(($B$54)-$A19)*'Cálculos'!$C$98)/(('Cálculos'!$C$196+(($B$54)-$A19)*'Cálculos'!$C$98)+1400)+'Cálculos'!$C$123)*'Cálculos'!$C$219)+('Cálculos'!$C$196+(($B$54)-$A19)*'Cálculos'!$C$98)*('Cálculos'!$C$210+'Cálculos'!$C$124*(1+2.78*('Cálculos'!$C$196+(($B$54)-$A19)*'Cálculos'!$C$98)/(('Cálculos'!$C$196+(($B$54)-$A19)*'Cálculos'!$C$98)+1400)+'Cálculos'!$C$122)*'Cálculos'!$C$215+'Cálculos'!$C$125*(1+2.78*('Cálculos'!$C$196+(($B$54)-$A19)*'Cálculos'!$C$98)/(('Cálculos'!$C$196+(($B$54)-$A19)*'Cálculos'!$C$98)+1400)+'Cálculos'!$C$123)*'Cálculos'!$C$220)+('Cálculos'!$C$201*(1+'Cálculos'!$C$202+$A19*('Cálculos'!$C$290=2)*'Cálculos'!$C$101)+'Cálculos'!$C$203)*('Cálculos'!$C$211+'Cálculos'!$C$124*(1+2.78*('Cálculos'!$C$196+(($B$54)-$A19)*'Cálculos'!$C$98)/(('Cálculos'!$C$196+(($B$54)-$A19)*'Cálculos'!$C$98)+1400)+'Cálculos'!$C$122)*'Cálculos'!$C$216+'Cálculos'!$C$125*(1+2.78*('Cálculos'!$C$196+(($B$54)-$A19)*'Cálculos'!$C$98)/(('Cálculos'!$C$196+(($B$54)-$A19)*'Cálculos'!$C$98)+1400)+'Cálculos'!$C$123)*'Cálculos'!$C$221)+('Cálculos'!$C$204*(1+'Cálculos'!$C$205+$A19*('Cálculos'!$C$290=3)*'Cálculos'!$C$103)+'Cálculos'!$C$206)*('Cálculos'!$C$212+'Cálculos'!$C$124*(1+2.78*('Cálculos'!$C$196+(($B$54)-$A19)*'Cálculos'!$C$98)/(('Cálculos'!$C$196+(($B$54)-$A19)*'Cálculos'!$C$98)+1400)+'Cálculos'!$C$122)*'Cálculos'!$C$217+'Cálculos'!$C$125*(1+2.78*('Cálculos'!$C$196+(($B$54)-$A19)*'Cálculos'!$C$98)/(('Cálculos'!$C$196+(($B$54)-$A19)*'Cálculos'!$C$98)+1400)+'Cálculos'!$C$123)*'Cálculos'!$C$222)+('Cálculos'!$C$213+'Cálculos'!$C$124*(1+2.78*('Cálculos'!$C$196+(($B$54)-$A19)*'Cálculos'!$C$98)/(('Cálculos'!$C$196+(($B$54)-$A19)*'Cálculos'!$C$98)+1400)+'Cálculos'!$C$122)*'Cálculos'!$C$218+'Cálculos'!$C$125*(1+2.78*('Cálculos'!$C$196+(($B$54)-$A19)*'Cálculos'!$C$98)/(('Cálculos'!$C$196+(($B$54)-$A19)*'Cálculos'!$C$98)+1400)+'Cálculos'!$C$123)*'Cálculos'!$C$223)+('Cálculos'!$C$185*(1+'Cálculos'!$C$187+$A19*('Cálculos'!$C$290=1)*'Cálculos'!$C$97+'Cálculos'!$C$305)+'Cálculos'!$C$192)*('Cálculos'!$C$224+'Cálculos'!$C$124*(1+2.78*('Cálculos'!$C$197+(($B$54)-$A19)*'Cálculos'!$C$98)/(('Cálculos'!$C$197+(($B$54)-$A19)*'Cálculos'!$C$98)+1400)+'Cálculos'!$C$122)*'Cálculos'!$C$229+'Cálculos'!$C$125*(1+2.78*('Cálculos'!$C$197+(($B$54)-$A19)*'Cálculos'!$C$98)/(('Cálculos'!$C$197+(($B$54)-$A19)*'Cálculos'!$C$98)+1400)+'Cálculos'!$C$123)*'Cálculos'!$C$234)+('Cálculos'!$C$197+(($B$54)-$A19)*'Cálculos'!$C$98)*('Cálculos'!$C$225+'Cálculos'!$C$124*(1+2.78*('Cálculos'!$C$197+(($B$54)-$A19)*'Cálculos'!$C$98)/(('Cálculos'!$C$197+(($B$54)-$A19)*'Cálculos'!$C$98)+1400)+'Cálculos'!$C$122)*'Cálculos'!$C$230+'Cálculos'!$C$125*(1+2.78*('Cálculos'!$C$197+(($B$54)-$A19)*'Cálculos'!$C$98)/(('Cálculos'!$C$197+(($B$54)-$A19)*'Cálculos'!$C$98)+1400)+'Cálculos'!$C$123)*'Cálculos'!$C$235)+('Cálculos'!$C$201*(1+'Cálculos'!$C$202+$A19*('Cálculos'!$C$290=2)*'Cálculos'!$C$101)+'Cálculos'!$C$203)*('Cálculos'!$C$226+'Cálculos'!$C$124*(1+2.78*('Cálculos'!$C$197+(($B$54)-$A19)*'Cálculos'!$C$98)/(('Cálculos'!$C$197+(($B$54)-$A19)*'Cálculos'!$C$98)+1400)+'Cálculos'!$C$122)*'Cálculos'!$C$231+'Cálculos'!$C$125*(1+2.78*('Cálculos'!$C$197+(($B$54)-$A19)*'Cálculos'!$C$98)/(('Cálculos'!$C$197+(($B$54)-$A19)*'Cálculos'!$C$98)+1400)+'Cálculos'!$C$123)*'Cálculos'!$C$236)+('Cálculos'!$C$204*(1+'Cálculos'!$C$205+$A19*('Cálculos'!$C$290=3)*'Cálculos'!$C$103)+'Cálculos'!$C$206)*('Cálculos'!$C$227+'Cálculos'!$C$124*(1+2.78*('Cálculos'!$C$197+(($B$54)-$A19)*'Cálculos'!$C$98)/(('Cálculos'!$C$197+(($B$54)-$A19)*'Cálculos'!$C$98)+1400)+'Cálculos'!$C$122)*'Cálculos'!$C$232+'Cálculos'!$C$125*(1+2.78*('Cálculos'!$C$197+(($B$54)-$A19)*'Cálculos'!$C$98)/(('Cálculos'!$C$197+(($B$54)-$A19)*'Cálculos'!$C$98)+1400)+'Cálculos'!$C$123)*'Cálculos'!$C$237)+('Cálculos'!$C$228+'Cálculos'!$C$124*(1+2.78*('Cálculos'!$C$197+(($B$54)-$A19)*'Cálculos'!$C$98)/(('Cálculos'!$C$197+(($B$54)-$A19)*'Cálculos'!$C$98)+1400)+'Cálculos'!$C$122)*'Cálculos'!$C$233+'Cálculos'!$C$125*(1+2.78*('Cálculos'!$C$197+(($B$54)-$A19)*'Cálculos'!$C$98)/(('Cálculos'!$C$197+(($B$54)-$A19)*'Cálculos'!$C$98)+1400)+'Cálculos'!$C$123)*'Cálculos'!$C$238)+('Cálculos'!$C$185*(1+'Cálculos'!$C$188+$A19*('Cálculos'!$C$290=1)*'Cálculos'!$C$97+'Cálculos'!$C$305)+'Cálculos'!$C$193)*('Cálculos'!$C$239+'Cálculos'!$C$124*(1+2.78*('Cálculos'!$C$198+(($B$54)-$A19)*'Cálculos'!$C$98)/(('Cálculos'!$C$198+(($B$54)-$A19)*'Cálculos'!$C$98)+1400)+'Cálculos'!$C$122)*'Cálculos'!$C$244+'Cálculos'!$C$125*(1+2.78*('Cálculos'!$C$198+(($B$54)-$A19)*'Cálculos'!$C$98)/(('Cálculos'!$C$198+(($B$54)-$A19)*'Cálculos'!$C$98)+1400)+'Cálculos'!$C$123)*'Cálculos'!$C$249)+('Cálculos'!$C$198+(($B$54)-$A19)*'Cálculos'!$C$98)*('Cálculos'!$C$240+'Cálculos'!$C$124*(1+2.78*('Cálculos'!$C$198+(($B$54)-$A19)*'Cálculos'!$C$98)/(('Cálculos'!$C$198+(($B$54)-$A19)*'Cálculos'!$C$98)+1400)+'Cálculos'!$C$122)*'Cálculos'!$C$245+'Cálculos'!$C$125*(1+2.78*('Cálculos'!$C$198+(($B$54)-$A19)*'Cálculos'!$C$98)/(('Cálculos'!$C$198+(($B$54)-$A19)*'Cálculos'!$C$98)+1400)+'Cálculos'!$C$123)*'Cálculos'!$C$250)+('Cálculos'!$C$201*(1+'Cálculos'!$C$202+$A19*('Cálculos'!$C$290=2)*'Cálculos'!$C$101)+'Cálculos'!$C$203)*('Cálculos'!$C$241+'Cálculos'!$C$124*(1+2.78*('Cálculos'!$C$198+(($B$54)-$A19)*'Cálculos'!$C$98)/(('Cálculos'!$C$198+(($B$54)-$A19)*'Cálculos'!$C$98)+1400)+'Cálculos'!$C$122)*'Cálculos'!$C$246+'Cálculos'!$C$125*(1+2.78*('Cálculos'!$C$198+(($B$54)-$A19)*'Cálculos'!$C$98)/(('Cálculos'!$C$198+(($B$54)-$A19)*'Cálculos'!$C$98)+1400)+'Cálculos'!$C$123)*'Cálculos'!$C$251)+('Cálculos'!$C$204*(1+'Cálculos'!$C$205+$A19*('Cálculos'!$C$290=3)*'Cálculos'!$C$103)+'Cálculos'!$C$206)*('Cálculos'!$C$242+'Cálculos'!$C$124*(1+2.78*('Cálculos'!$C$198+(($B$54)-$A19)*'Cálculos'!$C$98)/(('Cálculos'!$C$198+(($B$54)-$A19)*'Cálculos'!$C$98)+1400)+'Cálculos'!$C$122)*'Cálculos'!$C$247+'Cálculos'!$C$125*(1+2.78*('Cálculos'!$C$198+(($B$54)-$A19)*'Cálculos'!$C$98)/(('Cálculos'!$C$198+(($B$54)-$A19)*'Cálculos'!$C$98)+1400)+'Cálculos'!$C$123)*'Cálculos'!$C$252)+('Cálculos'!$C$243+'Cálculos'!$C$124*(1+2.78*('Cálculos'!$C$198+(($B$54)-$A19)*'Cálculos'!$C$98)/(('Cálculos'!$C$198+(($B$54)-$A19)*'Cálculos'!$C$98)+1400)+'Cálculos'!$C$122)*'Cálculos'!$C$248+'Cálculos'!$C$125*(1+2.78*('Cálculos'!$C$198+(($B$54)-$A19)*'Cálculos'!$C$98)/(('Cálculos'!$C$198+(($B$54)-$A19)*'Cálculos'!$C$98)+1400)+'Cálculos'!$C$123)*'Cálculos'!$C$253)+('Cálculos'!$C$185*(1+'Cálculos'!$C$189+$A19*('Cálculos'!$C$290=1)*'Cálculos'!$C$97+'Cálculos'!$C$305)+'Cálculos'!$C$194)*('Cálculos'!$C$254+'Cálculos'!$C$124*(1+2.78*('Cálculos'!$C$199+(($B$54)-$A19)*'Cálculos'!$C$98)/(('Cálculos'!$C$199+(($B$54)-$A19)*'Cálculos'!$C$98)+1400)+'Cálculos'!$C$122)*'Cálculos'!$C$259+'Cálculos'!$C$125*(1+2.78*('Cálculos'!$C$199+(($B$54)-$A19)*'Cálculos'!$C$98)/(('Cálculos'!$C$199+(($B$54)-$A19)*'Cálculos'!$C$98)+1400)+'Cálculos'!$C$123)*'Cálculos'!$C$264)+('Cálculos'!$C$199+(($B$54)-$A19)*'Cálculos'!$C$98)*('Cálculos'!$C$255+'Cálculos'!$C$124*(1+2.78*('Cálculos'!$C$199+(($B$54)-$A19)*'Cálculos'!$C$98)/(('Cálculos'!$C$199+(($B$54)-$A19)*'Cálculos'!$C$98)+1400)+'Cálculos'!$C$122)*'Cálculos'!$C$260+'Cálculos'!$C$125*(1+2.78*('Cálculos'!$C$199+(($B$54)-$A19)*'Cálculos'!$C$98)/(('Cálculos'!$C$199+(($B$54)-$A19)*'Cálculos'!$C$98)+1400)+'Cálculos'!$C$123)*'Cálculos'!$C$265)+('Cálculos'!$C$201*(1+'Cálculos'!$C$202+$A19*('Cálculos'!$C$290=2)*'Cálculos'!$C$101)+'Cálculos'!$C$203)*('Cálculos'!$C$256+'Cálculos'!$C$124*(1+2.78*('Cálculos'!$C$199+(($B$54)-$A19)*'Cálculos'!$C$98)/(('Cálculos'!$C$199+(($B$54)-$A19)*'Cálculos'!$C$98)+1400)+'Cálculos'!$C$122)*'Cálculos'!$C$261+'Cálculos'!$C$125*(1+2.78*('Cálculos'!$C$199+(($B$54)-$A19)*'Cálculos'!$C$98)/(('Cálculos'!$C$199+(($B$54)-$A19)*'Cálculos'!$C$98)+1400)+'Cálculos'!$C$123)*'Cálculos'!$C$266)+('Cálculos'!$C$204*(1+'Cálculos'!$C$205+$A19*('Cálculos'!$C$290=3)*'Cálculos'!$C$103)+'Cálculos'!$C$206)*('Cálculos'!$C$257+'Cálculos'!$C$124*(1+2.78*('Cálculos'!$C$199+(($B$54)-$A19)*'Cálculos'!$C$98)/(('Cálculos'!$C$199+(($B$54)-$A19)*'Cálculos'!$C$98)+1400)+'Cálculos'!$C$122)*'Cálculos'!$C$262+'Cálculos'!$C$125*(1+2.78*('Cálculos'!$C$199+(($B$54)-$A19)*'Cálculos'!$C$98)/(('Cálculos'!$C$199+(($B$54)-$A19)*'Cálculos'!$C$98)+1400)+'Cálculos'!$C$123)*'Cálculos'!$C$267)+('Cálculos'!$C$258+'Cálculos'!$C$124*(1+2.78*('Cálculos'!$C$199+(($B$54)-$A19)*'Cálculos'!$C$98)/(('Cálculos'!$C$199+(($B$54)-$A19)*'Cálculos'!$C$98)+1400)+'Cálculos'!$C$122)*'Cálculos'!$C$263+'Cálculos'!$C$125*(1+2.78*('Cálculos'!$C$199+(($B$54)-$A19)*'Cálculos'!$C$98)/(('Cálculos'!$C$199+(($B$54)-$A19)*'Cálculos'!$C$98)+1400)+'Cálculos'!$C$123)*'Cálculos'!$C$268)+('Cálculos'!$C$185*(1+'Cálculos'!$C$190+$A19*('Cálculos'!$C$290=1)*'Cálculos'!$C$97+'Cálculos'!$C$305)+'Cálculos'!$C$195)*('Cálculos'!$C$269+'Cálculos'!$C$124*(1+2.78*('Cálculos'!$C$200+(($B$54)-$A19)*'Cálculos'!$C$98)/(('Cálculos'!$C$200+(($B$54)-$A19)*'Cálculos'!$C$98)+1400)+'Cálculos'!$C$122)*'Cálculos'!$C$274+'Cálculos'!$C$125*(1+2.78*('Cálculos'!$C$200+(($B$54)-$A19)*'Cálculos'!$C$98)/(('Cálculos'!$C$200+(($B$54)-$A19)*'Cálculos'!$C$98)+1400)+'Cálculos'!$C$123)*'Cálculos'!$C$279)+('Cálculos'!$C$200+(($B$54)-$A19)*'Cálculos'!$C$98)*('Cálculos'!$C$270+'Cálculos'!$C$124*(1+2.78*('Cálculos'!$C$200+(($B$54)-$A19)*'Cálculos'!$C$98)/(('Cálculos'!$C$200+(($B$54)-$A19)*'Cálculos'!$C$98)+1400)+'Cálculos'!$C$122)*'Cálculos'!$C$275+'Cálculos'!$C$125*(1+2.78*('Cálculos'!$C$200+(($B$54)-$A19)*'Cálculos'!$C$98)/(('Cálculos'!$C$200+(($B$54)-$A19)*'Cálculos'!$C$98)+1400)+'Cálculos'!$C$123)*'Cálculos'!$C$280)+('Cálculos'!$C$201*(1+'Cálculos'!$C$202+$A19*('Cálculos'!$C$290=2)*'Cálculos'!$C$101)+'Cálculos'!$C$203)*('Cálculos'!$C$271+'Cálculos'!$C$124*(1+2.78*('Cálculos'!$C$200+(($B$54)-$A19)*'Cálculos'!$C$98)/(('Cálculos'!$C$200+(($B$54)-$A19)*'Cálculos'!$C$98)+1400)+'Cálculos'!$C$122)*'Cálculos'!$C$276+'Cálculos'!$C$125*(1+2.78*('Cálculos'!$C$200+(($B$54)-$A19)*'Cálculos'!$C$98)/(('Cálculos'!$C$200+(($B$54)-$A19)*'Cálculos'!$C$98)+1400)+'Cálculos'!$C$123)*'Cálculos'!$C$281)+('Cálculos'!$C$204*(1+'Cálculos'!$C$205+$A19*('Cálculos'!$C$290=3)*'Cálculos'!$C$103)+'Cálculos'!$C$206)*('Cálculos'!$C$272+'Cálculos'!$C$124*(1+2.78*('Cálculos'!$C$200+(($B$54)-$A19)*'Cálculos'!$C$98)/(('Cálculos'!$C$200+(($B$54)-$A19)*'Cálculos'!$C$98)+1400)+'Cálculos'!$C$122)*'Cálculos'!$C$277+'Cálculos'!$C$125*(1+2.78*('Cálculos'!$C$200+(($B$54)-$A19)*'Cálculos'!$C$98)/(('Cálculos'!$C$200+(($B$54)-$A19)*'Cálculos'!$C$98)+1400)+'Cálculos'!$C$123)*'Cálculos'!$C$282)+('Cálculos'!$C$273+'Cálculos'!$C$124*(1+2.78*('Cálculos'!$C$200+(($B$54)-$A19)*'Cálculos'!$C$98)/(('Cálculos'!$C$200+(($B$54)-$A19)*'Cálculos'!$C$98)+1400)+'Cálculos'!$C$122)*'Cálculos'!$C$278+'Cálculos'!$C$125*(1+2.78*('Cálculos'!$C$200+(($B$54)-$A19)*'Cálculos'!$C$98)/(('Cálculos'!$C$200+(($B$54)-$A19)*'Cálculos'!$C$98)+1400)+'Cálculos'!$C$123)*'Cálculos'!$C$283)))</f>
        <v>0</v>
      </c>
    </row>
    <row r="20">
      <c r="A20" s="2">
        <v>14.0</v>
      </c>
      <c r="B20" s="30">
        <f>SUMPRODUCT(MAX(($A$6:$A$51&lt;=$A20)*($A$6:$A$51&lt;='Cálculos'!$C$294)*(($A20)-$A$6:$A$51&lt;='Cálculos'!$C$295)*(1+(('Cálculos'!$C$207+$A$6:$A$51*'Cálculos'!$C$95)-(('Cálculos'!$C$207+$A$6:$A$51*'Cálculos'!$C$95)&gt;1)*(('Cálculos'!$C$207+$A$6:$A$51*'Cálculos'!$C$95)-1))*('Cálculos'!$C$208+(($A20)-$A$6:$A$51)*'Cálculos'!$C$96))))</f>
        <v>3.161954</v>
      </c>
      <c r="C20" s="2">
        <f>'Cálculos'!$C$303-$A20</f>
        <v>6</v>
      </c>
      <c r="D20" s="31">
        <f>IF($C20&lt;0,0,SUMPRODUCT(MAX(($A$6:$A$51&lt;=$C20)*($A$6:$A$51&lt;='Cálculos'!$C$301)*(($C20)-$A$6:$A$51&lt;='Cálculos'!$C$297)*(('Cálculos'!$C$185*(1+'Cálculos'!$C$186+$A$6:$A$51*('Cálculos'!$C$290=1)*'Cálculos'!$C$97+'Cálculos'!$C$305)+'Cálculos'!$C$191)*('Cálculos'!$C$209+'Cálculos'!$C$124*(1+2.78*('Cálculos'!$C$196+(($C20)-$A$6:$A$51)*'Cálculos'!$C$98)/(('Cálculos'!$C$196+(($C20)-$A$6:$A$51)*'Cálculos'!$C$98)+1400)+'Cálculos'!$C$122)*'Cálculos'!$C$214+'Cálculos'!$C$125*(1+2.78*('Cálculos'!$C$196+(($C20)-$A$6:$A$51)*'Cálculos'!$C$98)/(('Cálculos'!$C$196+(($C20)-$A$6:$A$51)*'Cálculos'!$C$98)+1400)+'Cálculos'!$C$123)*'Cálculos'!$C$219)+('Cálculos'!$C$196+(($C20)-$A$6:$A$51)*'Cálculos'!$C$98)*('Cálculos'!$C$210+'Cálculos'!$C$124*(1+2.78*('Cálculos'!$C$196+(($C20)-$A$6:$A$51)*'Cálculos'!$C$98)/(('Cálculos'!$C$196+(($C20)-$A$6:$A$51)*'Cálculos'!$C$98)+1400)+'Cálculos'!$C$122)*'Cálculos'!$C$215+'Cálculos'!$C$125*(1+2.78*('Cálculos'!$C$196+(($C20)-$A$6:$A$51)*'Cálculos'!$C$98)/(('Cálculos'!$C$196+(($C20)-$A$6:$A$51)*'Cálculos'!$C$98)+1400)+'Cálculos'!$C$123)*'Cálculos'!$C$220)+('Cálculos'!$C$201*(1+'Cálculos'!$C$202+$A$6:$A$51*('Cálculos'!$C$290=2)*'Cálculos'!$C$101)+'Cálculos'!$C$203)*('Cálculos'!$C$211+'Cálculos'!$C$124*(1+2.78*('Cálculos'!$C$196+(($C20)-$A$6:$A$51)*'Cálculos'!$C$98)/(('Cálculos'!$C$196+(($C20)-$A$6:$A$51)*'Cálculos'!$C$98)+1400)+'Cálculos'!$C$122)*'Cálculos'!$C$216+'Cálculos'!$C$125*(1+2.78*('Cálculos'!$C$196+(($C20)-$A$6:$A$51)*'Cálculos'!$C$98)/(('Cálculos'!$C$196+(($C20)-$A$6:$A$51)*'Cálculos'!$C$98)+1400)+'Cálculos'!$C$123)*'Cálculos'!$C$221)+('Cálculos'!$C$204*(1+'Cálculos'!$C$205+$A$6:$A$51*('Cálculos'!$C$290=3)*'Cálculos'!$C$103)+'Cálculos'!$C$206)*('Cálculos'!$C$212+'Cálculos'!$C$124*(1+2.78*('Cálculos'!$C$196+(($C20)-$A$6:$A$51)*'Cálculos'!$C$98)/(('Cálculos'!$C$196+(($C20)-$A$6:$A$51)*'Cálculos'!$C$98)+1400)+'Cálculos'!$C$122)*'Cálculos'!$C$217+'Cálculos'!$C$125*(1+2.78*('Cálculos'!$C$196+(($C20)-$A$6:$A$51)*'Cálculos'!$C$98)/(('Cálculos'!$C$196+(($C20)-$A$6:$A$51)*'Cálculos'!$C$98)+1400)+'Cálculos'!$C$123)*'Cálculos'!$C$222)+('Cálculos'!$C$213+'Cálculos'!$C$124*(1+2.78*('Cálculos'!$C$196+(($C20)-$A$6:$A$51)*'Cálculos'!$C$98)/(('Cálculos'!$C$196+(($C20)-$A$6:$A$51)*'Cálculos'!$C$98)+1400)+'Cálculos'!$C$122)*'Cálculos'!$C$218+'Cálculos'!$C$125*(1+2.78*('Cálculos'!$C$196+(($C20)-$A$6:$A$51)*'Cálculos'!$C$98)/(('Cálculos'!$C$196+(($C20)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20)-$A$6:$A$51)*'Cálculos'!$C$98)/(('Cálculos'!$C$197+(($C20)-$A$6:$A$51)*'Cálculos'!$C$98)+1400)+'Cálculos'!$C$122)*'Cálculos'!$C$229+'Cálculos'!$C$125*(1+2.78*('Cálculos'!$C$197+(($C20)-$A$6:$A$51)*'Cálculos'!$C$98)/(('Cálculos'!$C$197+(($C20)-$A$6:$A$51)*'Cálculos'!$C$98)+1400)+'Cálculos'!$C$123)*'Cálculos'!$C$234)+('Cálculos'!$C$197+(($C20)-$A$6:$A$51)*'Cálculos'!$C$98)*('Cálculos'!$C$225+'Cálculos'!$C$124*(1+2.78*('Cálculos'!$C$197+(($C20)-$A$6:$A$51)*'Cálculos'!$C$98)/(('Cálculos'!$C$197+(($C20)-$A$6:$A$51)*'Cálculos'!$C$98)+1400)+'Cálculos'!$C$122)*'Cálculos'!$C$230+'Cálculos'!$C$125*(1+2.78*('Cálculos'!$C$197+(($C20)-$A$6:$A$51)*'Cálculos'!$C$98)/(('Cálculos'!$C$197+(($C20)-$A$6:$A$51)*'Cálculos'!$C$98)+1400)+'Cálculos'!$C$123)*'Cálculos'!$C$235)+('Cálculos'!$C$201*(1+'Cálculos'!$C$202+$A$6:$A$51*('Cálculos'!$C$290=2)*'Cálculos'!$C$101)+'Cálculos'!$C$203)*('Cálculos'!$C$226+'Cálculos'!$C$124*(1+2.78*('Cálculos'!$C$197+(($C20)-$A$6:$A$51)*'Cálculos'!$C$98)/(('Cálculos'!$C$197+(($C20)-$A$6:$A$51)*'Cálculos'!$C$98)+1400)+'Cálculos'!$C$122)*'Cálculos'!$C$231+'Cálculos'!$C$125*(1+2.78*('Cálculos'!$C$197+(($C20)-$A$6:$A$51)*'Cálculos'!$C$98)/(('Cálculos'!$C$197+(($C20)-$A$6:$A$51)*'Cálculos'!$C$98)+1400)+'Cálculos'!$C$123)*'Cálculos'!$C$236)+('Cálculos'!$C$204*(1+'Cálculos'!$C$205+$A$6:$A$51*('Cálculos'!$C$290=3)*'Cálculos'!$C$103)+'Cálculos'!$C$206)*('Cálculos'!$C$227+'Cálculos'!$C$124*(1+2.78*('Cálculos'!$C$197+(($C20)-$A$6:$A$51)*'Cálculos'!$C$98)/(('Cálculos'!$C$197+(($C20)-$A$6:$A$51)*'Cálculos'!$C$98)+1400)+'Cálculos'!$C$122)*'Cálculos'!$C$232+'Cálculos'!$C$125*(1+2.78*('Cálculos'!$C$197+(($C20)-$A$6:$A$51)*'Cálculos'!$C$98)/(('Cálculos'!$C$197+(($C20)-$A$6:$A$51)*'Cálculos'!$C$98)+1400)+'Cálculos'!$C$123)*'Cálculos'!$C$237)+('Cálculos'!$C$228+'Cálculos'!$C$124*(1+2.78*('Cálculos'!$C$197+(($C20)-$A$6:$A$51)*'Cálculos'!$C$98)/(('Cálculos'!$C$197+(($C20)-$A$6:$A$51)*'Cálculos'!$C$98)+1400)+'Cálculos'!$C$122)*'Cálculos'!$C$233+'Cálculos'!$C$125*(1+2.78*('Cálculos'!$C$197+(($C20)-$A$6:$A$51)*'Cálculos'!$C$98)/(('Cálculos'!$C$197+(($C20)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20)-$A$6:$A$51)*'Cálculos'!$C$98)/(('Cálculos'!$C$198+(($C20)-$A$6:$A$51)*'Cálculos'!$C$98)+1400)+'Cálculos'!$C$122)*'Cálculos'!$C$244+'Cálculos'!$C$125*(1+2.78*('Cálculos'!$C$198+(($C20)-$A$6:$A$51)*'Cálculos'!$C$98)/(('Cálculos'!$C$198+(($C20)-$A$6:$A$51)*'Cálculos'!$C$98)+1400)+'Cálculos'!$C$123)*'Cálculos'!$C$249)+('Cálculos'!$C$198+(($C20)-$A$6:$A$51)*'Cálculos'!$C$98)*('Cálculos'!$C$240+'Cálculos'!$C$124*(1+2.78*('Cálculos'!$C$198+(($C20)-$A$6:$A$51)*'Cálculos'!$C$98)/(('Cálculos'!$C$198+(($C20)-$A$6:$A$51)*'Cálculos'!$C$98)+1400)+'Cálculos'!$C$122)*'Cálculos'!$C$245+'Cálculos'!$C$125*(1+2.78*('Cálculos'!$C$198+(($C20)-$A$6:$A$51)*'Cálculos'!$C$98)/(('Cálculos'!$C$198+(($C20)-$A$6:$A$51)*'Cálculos'!$C$98)+1400)+'Cálculos'!$C$123)*'Cálculos'!$C$250)+('Cálculos'!$C$201*(1+'Cálculos'!$C$202+$A$6:$A$51*('Cálculos'!$C$290=2)*'Cálculos'!$C$101)+'Cálculos'!$C$203)*('Cálculos'!$C$241+'Cálculos'!$C$124*(1+2.78*('Cálculos'!$C$198+(($C20)-$A$6:$A$51)*'Cálculos'!$C$98)/(('Cálculos'!$C$198+(($C20)-$A$6:$A$51)*'Cálculos'!$C$98)+1400)+'Cálculos'!$C$122)*'Cálculos'!$C$246+'Cálculos'!$C$125*(1+2.78*('Cálculos'!$C$198+(($C20)-$A$6:$A$51)*'Cálculos'!$C$98)/(('Cálculos'!$C$198+(($C20)-$A$6:$A$51)*'Cálculos'!$C$98)+1400)+'Cálculos'!$C$123)*'Cálculos'!$C$251)+('Cálculos'!$C$204*(1+'Cálculos'!$C$205+$A$6:$A$51*('Cálculos'!$C$290=3)*'Cálculos'!$C$103)+'Cálculos'!$C$206)*('Cálculos'!$C$242+'Cálculos'!$C$124*(1+2.78*('Cálculos'!$C$198+(($C20)-$A$6:$A$51)*'Cálculos'!$C$98)/(('Cálculos'!$C$198+(($C20)-$A$6:$A$51)*'Cálculos'!$C$98)+1400)+'Cálculos'!$C$122)*'Cálculos'!$C$247+'Cálculos'!$C$125*(1+2.78*('Cálculos'!$C$198+(($C20)-$A$6:$A$51)*'Cálculos'!$C$98)/(('Cálculos'!$C$198+(($C20)-$A$6:$A$51)*'Cálculos'!$C$98)+1400)+'Cálculos'!$C$123)*'Cálculos'!$C$252)+('Cálculos'!$C$243+'Cálculos'!$C$124*(1+2.78*('Cálculos'!$C$198+(($C20)-$A$6:$A$51)*'Cálculos'!$C$98)/(('Cálculos'!$C$198+(($C20)-$A$6:$A$51)*'Cálculos'!$C$98)+1400)+'Cálculos'!$C$122)*'Cálculos'!$C$248+'Cálculos'!$C$125*(1+2.78*('Cálculos'!$C$198+(($C20)-$A$6:$A$51)*'Cálculos'!$C$98)/(('Cálculos'!$C$198+(($C20)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20)-$A$6:$A$51)*'Cálculos'!$C$98)/(('Cálculos'!$C$199+(($C20)-$A$6:$A$51)*'Cálculos'!$C$98)+1400)+'Cálculos'!$C$122)*'Cálculos'!$C$259+'Cálculos'!$C$125*(1+2.78*('Cálculos'!$C$199+(($C20)-$A$6:$A$51)*'Cálculos'!$C$98)/(('Cálculos'!$C$199+(($C20)-$A$6:$A$51)*'Cálculos'!$C$98)+1400)+'Cálculos'!$C$123)*'Cálculos'!$C$264)+('Cálculos'!$C$199+(($C20)-$A$6:$A$51)*'Cálculos'!$C$98)*('Cálculos'!$C$255+'Cálculos'!$C$124*(1+2.78*('Cálculos'!$C$199+(($C20)-$A$6:$A$51)*'Cálculos'!$C$98)/(('Cálculos'!$C$199+(($C20)-$A$6:$A$51)*'Cálculos'!$C$98)+1400)+'Cálculos'!$C$122)*'Cálculos'!$C$260+'Cálculos'!$C$125*(1+2.78*('Cálculos'!$C$199+(($C20)-$A$6:$A$51)*'Cálculos'!$C$98)/(('Cálculos'!$C$199+(($C20)-$A$6:$A$51)*'Cálculos'!$C$98)+1400)+'Cálculos'!$C$123)*'Cálculos'!$C$265)+('Cálculos'!$C$201*(1+'Cálculos'!$C$202+$A$6:$A$51*('Cálculos'!$C$290=2)*'Cálculos'!$C$101)+'Cálculos'!$C$203)*('Cálculos'!$C$256+'Cálculos'!$C$124*(1+2.78*('Cálculos'!$C$199+(($C20)-$A$6:$A$51)*'Cálculos'!$C$98)/(('Cálculos'!$C$199+(($C20)-$A$6:$A$51)*'Cálculos'!$C$98)+1400)+'Cálculos'!$C$122)*'Cálculos'!$C$261+'Cálculos'!$C$125*(1+2.78*('Cálculos'!$C$199+(($C20)-$A$6:$A$51)*'Cálculos'!$C$98)/(('Cálculos'!$C$199+(($C20)-$A$6:$A$51)*'Cálculos'!$C$98)+1400)+'Cálculos'!$C$123)*'Cálculos'!$C$266)+('Cálculos'!$C$204*(1+'Cálculos'!$C$205+$A$6:$A$51*('Cálculos'!$C$290=3)*'Cálculos'!$C$103)+'Cálculos'!$C$206)*('Cálculos'!$C$257+'Cálculos'!$C$124*(1+2.78*('Cálculos'!$C$199+(($C20)-$A$6:$A$51)*'Cálculos'!$C$98)/(('Cálculos'!$C$199+(($C20)-$A$6:$A$51)*'Cálculos'!$C$98)+1400)+'Cálculos'!$C$122)*'Cálculos'!$C$262+'Cálculos'!$C$125*(1+2.78*('Cálculos'!$C$199+(($C20)-$A$6:$A$51)*'Cálculos'!$C$98)/(('Cálculos'!$C$199+(($C20)-$A$6:$A$51)*'Cálculos'!$C$98)+1400)+'Cálculos'!$C$123)*'Cálculos'!$C$267)+('Cálculos'!$C$258+'Cálculos'!$C$124*(1+2.78*('Cálculos'!$C$199+(($C20)-$A$6:$A$51)*'Cálculos'!$C$98)/(('Cálculos'!$C$199+(($C20)-$A$6:$A$51)*'Cálculos'!$C$98)+1400)+'Cálculos'!$C$122)*'Cálculos'!$C$263+'Cálculos'!$C$125*(1+2.78*('Cálculos'!$C$199+(($C20)-$A$6:$A$51)*'Cálculos'!$C$98)/(('Cálculos'!$C$199+(($C20)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20)-$A$6:$A$51)*'Cálculos'!$C$98)/(('Cálculos'!$C$200+(($C20)-$A$6:$A$51)*'Cálculos'!$C$98)+1400)+'Cálculos'!$C$122)*'Cálculos'!$C$274+'Cálculos'!$C$125*(1+2.78*('Cálculos'!$C$200+(($C20)-$A$6:$A$51)*'Cálculos'!$C$98)/(('Cálculos'!$C$200+(($C20)-$A$6:$A$51)*'Cálculos'!$C$98)+1400)+'Cálculos'!$C$123)*'Cálculos'!$C$279)+('Cálculos'!$C$200+(($C20)-$A$6:$A$51)*'Cálculos'!$C$98)*('Cálculos'!$C$270+'Cálculos'!$C$124*(1+2.78*('Cálculos'!$C$200+(($C20)-$A$6:$A$51)*'Cálculos'!$C$98)/(('Cálculos'!$C$200+(($C20)-$A$6:$A$51)*'Cálculos'!$C$98)+1400)+'Cálculos'!$C$122)*'Cálculos'!$C$275+'Cálculos'!$C$125*(1+2.78*('Cálculos'!$C$200+(($C20)-$A$6:$A$51)*'Cálculos'!$C$98)/(('Cálculos'!$C$200+(($C20)-$A$6:$A$51)*'Cálculos'!$C$98)+1400)+'Cálculos'!$C$123)*'Cálculos'!$C$280)+('Cálculos'!$C$201*(1+'Cálculos'!$C$202+$A$6:$A$51*('Cálculos'!$C$290=2)*'Cálculos'!$C$101)+'Cálculos'!$C$203)*('Cálculos'!$C$271+'Cálculos'!$C$124*(1+2.78*('Cálculos'!$C$200+(($C20)-$A$6:$A$51)*'Cálculos'!$C$98)/(('Cálculos'!$C$200+(($C20)-$A$6:$A$51)*'Cálculos'!$C$98)+1400)+'Cálculos'!$C$122)*'Cálculos'!$C$276+'Cálculos'!$C$125*(1+2.78*('Cálculos'!$C$200+(($C20)-$A$6:$A$51)*'Cálculos'!$C$98)/(('Cálculos'!$C$200+(($C20)-$A$6:$A$51)*'Cálculos'!$C$98)+1400)+'Cálculos'!$C$123)*'Cálculos'!$C$281)+('Cálculos'!$C$204*(1+'Cálculos'!$C$205+$A$6:$A$51*('Cálculos'!$C$290=3)*'Cálculos'!$C$103)+'Cálculos'!$C$206)*('Cálculos'!$C$272+'Cálculos'!$C$124*(1+2.78*('Cálculos'!$C$200+(($C20)-$A$6:$A$51)*'Cálculos'!$C$98)/(('Cálculos'!$C$200+(($C20)-$A$6:$A$51)*'Cálculos'!$C$98)+1400)+'Cálculos'!$C$122)*'Cálculos'!$C$277+'Cálculos'!$C$125*(1+2.78*('Cálculos'!$C$200+(($C20)-$A$6:$A$51)*'Cálculos'!$C$98)/(('Cálculos'!$C$200+(($C20)-$A$6:$A$51)*'Cálculos'!$C$98)+1400)+'Cálculos'!$C$123)*'Cálculos'!$C$282)+('Cálculos'!$C$273+'Cálculos'!$C$124*(1+2.78*('Cálculos'!$C$200+(($C20)-$A$6:$A$51)*'Cálculos'!$C$98)/(('Cálculos'!$C$200+(($C20)-$A$6:$A$51)*'Cálculos'!$C$98)+1400)+'Cálculos'!$C$122)*'Cálculos'!$C$278+'Cálculos'!$C$125*(1+2.78*('Cálculos'!$C$200+(($C20)-$A$6:$A$51)*'Cálculos'!$C$98)/(('Cálculos'!$C$200+(($C20)-$A$6:$A$51)*'Cálculos'!$C$98)+1400)+'Cálculos'!$C$123)*'Cálculos'!$C$283)))))</f>
        <v>1121010.784</v>
      </c>
      <c r="E20" s="32">
        <f>IF(OR($C20&lt;0,'Cálculos'!$C$6=""),0,$B20*$D20)</f>
        <v>3544584.532</v>
      </c>
      <c r="F20" s="2"/>
      <c r="G20" s="30">
        <f>($A20&lt;=$B$53)*($A20&lt;='Cálculos'!$C$294)*(($B$53)-$A20&lt;='Cálculos'!$C$295)*(1+MIN(('Cálculos'!$C$207+$A20*'Cálculos'!$C$95),1)*('Cálculos'!$C$208+(($B$53)-$A20)*'Cálculos'!$C$96))</f>
        <v>3.12</v>
      </c>
      <c r="H20" s="31">
        <f>IF($B$54&lt;0,0,($A20&lt;=$B$54)*($A20&lt;='Cálculos'!$C$301)*(($B$54)-$A20&lt;='Cálculos'!$C$297)*(('Cálculos'!$C$185*(1+'Cálculos'!$C$186+$A20*('Cálculos'!$C$290=1)*'Cálculos'!$C$97+'Cálculos'!$C$305)+'Cálculos'!$C$191)*('Cálculos'!$C$209+'Cálculos'!$C$124*(1+2.78*('Cálculos'!$C$196+(($B$54)-$A20)*'Cálculos'!$C$98)/(('Cálculos'!$C$196+(($B$54)-$A20)*'Cálculos'!$C$98)+1400)+'Cálculos'!$C$122)*'Cálculos'!$C$214+'Cálculos'!$C$125*(1+2.78*('Cálculos'!$C$196+(($B$54)-$A20)*'Cálculos'!$C$98)/(('Cálculos'!$C$196+(($B$54)-$A20)*'Cálculos'!$C$98)+1400)+'Cálculos'!$C$123)*'Cálculos'!$C$219)+('Cálculos'!$C$196+(($B$54)-$A20)*'Cálculos'!$C$98)*('Cálculos'!$C$210+'Cálculos'!$C$124*(1+2.78*('Cálculos'!$C$196+(($B$54)-$A20)*'Cálculos'!$C$98)/(('Cálculos'!$C$196+(($B$54)-$A20)*'Cálculos'!$C$98)+1400)+'Cálculos'!$C$122)*'Cálculos'!$C$215+'Cálculos'!$C$125*(1+2.78*('Cálculos'!$C$196+(($B$54)-$A20)*'Cálculos'!$C$98)/(('Cálculos'!$C$196+(($B$54)-$A20)*'Cálculos'!$C$98)+1400)+'Cálculos'!$C$123)*'Cálculos'!$C$220)+('Cálculos'!$C$201*(1+'Cálculos'!$C$202+$A20*('Cálculos'!$C$290=2)*'Cálculos'!$C$101)+'Cálculos'!$C$203)*('Cálculos'!$C$211+'Cálculos'!$C$124*(1+2.78*('Cálculos'!$C$196+(($B$54)-$A20)*'Cálculos'!$C$98)/(('Cálculos'!$C$196+(($B$54)-$A20)*'Cálculos'!$C$98)+1400)+'Cálculos'!$C$122)*'Cálculos'!$C$216+'Cálculos'!$C$125*(1+2.78*('Cálculos'!$C$196+(($B$54)-$A20)*'Cálculos'!$C$98)/(('Cálculos'!$C$196+(($B$54)-$A20)*'Cálculos'!$C$98)+1400)+'Cálculos'!$C$123)*'Cálculos'!$C$221)+('Cálculos'!$C$204*(1+'Cálculos'!$C$205+$A20*('Cálculos'!$C$290=3)*'Cálculos'!$C$103)+'Cálculos'!$C$206)*('Cálculos'!$C$212+'Cálculos'!$C$124*(1+2.78*('Cálculos'!$C$196+(($B$54)-$A20)*'Cálculos'!$C$98)/(('Cálculos'!$C$196+(($B$54)-$A20)*'Cálculos'!$C$98)+1400)+'Cálculos'!$C$122)*'Cálculos'!$C$217+'Cálculos'!$C$125*(1+2.78*('Cálculos'!$C$196+(($B$54)-$A20)*'Cálculos'!$C$98)/(('Cálculos'!$C$196+(($B$54)-$A20)*'Cálculos'!$C$98)+1400)+'Cálculos'!$C$123)*'Cálculos'!$C$222)+('Cálculos'!$C$213+'Cálculos'!$C$124*(1+2.78*('Cálculos'!$C$196+(($B$54)-$A20)*'Cálculos'!$C$98)/(('Cálculos'!$C$196+(($B$54)-$A20)*'Cálculos'!$C$98)+1400)+'Cálculos'!$C$122)*'Cálculos'!$C$218+'Cálculos'!$C$125*(1+2.78*('Cálculos'!$C$196+(($B$54)-$A20)*'Cálculos'!$C$98)/(('Cálculos'!$C$196+(($B$54)-$A20)*'Cálculos'!$C$98)+1400)+'Cálculos'!$C$123)*'Cálculos'!$C$223)+('Cálculos'!$C$185*(1+'Cálculos'!$C$187+$A20*('Cálculos'!$C$290=1)*'Cálculos'!$C$97+'Cálculos'!$C$305)+'Cálculos'!$C$192)*('Cálculos'!$C$224+'Cálculos'!$C$124*(1+2.78*('Cálculos'!$C$197+(($B$54)-$A20)*'Cálculos'!$C$98)/(('Cálculos'!$C$197+(($B$54)-$A20)*'Cálculos'!$C$98)+1400)+'Cálculos'!$C$122)*'Cálculos'!$C$229+'Cálculos'!$C$125*(1+2.78*('Cálculos'!$C$197+(($B$54)-$A20)*'Cálculos'!$C$98)/(('Cálculos'!$C$197+(($B$54)-$A20)*'Cálculos'!$C$98)+1400)+'Cálculos'!$C$123)*'Cálculos'!$C$234)+('Cálculos'!$C$197+(($B$54)-$A20)*'Cálculos'!$C$98)*('Cálculos'!$C$225+'Cálculos'!$C$124*(1+2.78*('Cálculos'!$C$197+(($B$54)-$A20)*'Cálculos'!$C$98)/(('Cálculos'!$C$197+(($B$54)-$A20)*'Cálculos'!$C$98)+1400)+'Cálculos'!$C$122)*'Cálculos'!$C$230+'Cálculos'!$C$125*(1+2.78*('Cálculos'!$C$197+(($B$54)-$A20)*'Cálculos'!$C$98)/(('Cálculos'!$C$197+(($B$54)-$A20)*'Cálculos'!$C$98)+1400)+'Cálculos'!$C$123)*'Cálculos'!$C$235)+('Cálculos'!$C$201*(1+'Cálculos'!$C$202+$A20*('Cálculos'!$C$290=2)*'Cálculos'!$C$101)+'Cálculos'!$C$203)*('Cálculos'!$C$226+'Cálculos'!$C$124*(1+2.78*('Cálculos'!$C$197+(($B$54)-$A20)*'Cálculos'!$C$98)/(('Cálculos'!$C$197+(($B$54)-$A20)*'Cálculos'!$C$98)+1400)+'Cálculos'!$C$122)*'Cálculos'!$C$231+'Cálculos'!$C$125*(1+2.78*('Cálculos'!$C$197+(($B$54)-$A20)*'Cálculos'!$C$98)/(('Cálculos'!$C$197+(($B$54)-$A20)*'Cálculos'!$C$98)+1400)+'Cálculos'!$C$123)*'Cálculos'!$C$236)+('Cálculos'!$C$204*(1+'Cálculos'!$C$205+$A20*('Cálculos'!$C$290=3)*'Cálculos'!$C$103)+'Cálculos'!$C$206)*('Cálculos'!$C$227+'Cálculos'!$C$124*(1+2.78*('Cálculos'!$C$197+(($B$54)-$A20)*'Cálculos'!$C$98)/(('Cálculos'!$C$197+(($B$54)-$A20)*'Cálculos'!$C$98)+1400)+'Cálculos'!$C$122)*'Cálculos'!$C$232+'Cálculos'!$C$125*(1+2.78*('Cálculos'!$C$197+(($B$54)-$A20)*'Cálculos'!$C$98)/(('Cálculos'!$C$197+(($B$54)-$A20)*'Cálculos'!$C$98)+1400)+'Cálculos'!$C$123)*'Cálculos'!$C$237)+('Cálculos'!$C$228+'Cálculos'!$C$124*(1+2.78*('Cálculos'!$C$197+(($B$54)-$A20)*'Cálculos'!$C$98)/(('Cálculos'!$C$197+(($B$54)-$A20)*'Cálculos'!$C$98)+1400)+'Cálculos'!$C$122)*'Cálculos'!$C$233+'Cálculos'!$C$125*(1+2.78*('Cálculos'!$C$197+(($B$54)-$A20)*'Cálculos'!$C$98)/(('Cálculos'!$C$197+(($B$54)-$A20)*'Cálculos'!$C$98)+1400)+'Cálculos'!$C$123)*'Cálculos'!$C$238)+('Cálculos'!$C$185*(1+'Cálculos'!$C$188+$A20*('Cálculos'!$C$290=1)*'Cálculos'!$C$97+'Cálculos'!$C$305)+'Cálculos'!$C$193)*('Cálculos'!$C$239+'Cálculos'!$C$124*(1+2.78*('Cálculos'!$C$198+(($B$54)-$A20)*'Cálculos'!$C$98)/(('Cálculos'!$C$198+(($B$54)-$A20)*'Cálculos'!$C$98)+1400)+'Cálculos'!$C$122)*'Cálculos'!$C$244+'Cálculos'!$C$125*(1+2.78*('Cálculos'!$C$198+(($B$54)-$A20)*'Cálculos'!$C$98)/(('Cálculos'!$C$198+(($B$54)-$A20)*'Cálculos'!$C$98)+1400)+'Cálculos'!$C$123)*'Cálculos'!$C$249)+('Cálculos'!$C$198+(($B$54)-$A20)*'Cálculos'!$C$98)*('Cálculos'!$C$240+'Cálculos'!$C$124*(1+2.78*('Cálculos'!$C$198+(($B$54)-$A20)*'Cálculos'!$C$98)/(('Cálculos'!$C$198+(($B$54)-$A20)*'Cálculos'!$C$98)+1400)+'Cálculos'!$C$122)*'Cálculos'!$C$245+'Cálculos'!$C$125*(1+2.78*('Cálculos'!$C$198+(($B$54)-$A20)*'Cálculos'!$C$98)/(('Cálculos'!$C$198+(($B$54)-$A20)*'Cálculos'!$C$98)+1400)+'Cálculos'!$C$123)*'Cálculos'!$C$250)+('Cálculos'!$C$201*(1+'Cálculos'!$C$202+$A20*('Cálculos'!$C$290=2)*'Cálculos'!$C$101)+'Cálculos'!$C$203)*('Cálculos'!$C$241+'Cálculos'!$C$124*(1+2.78*('Cálculos'!$C$198+(($B$54)-$A20)*'Cálculos'!$C$98)/(('Cálculos'!$C$198+(($B$54)-$A20)*'Cálculos'!$C$98)+1400)+'Cálculos'!$C$122)*'Cálculos'!$C$246+'Cálculos'!$C$125*(1+2.78*('Cálculos'!$C$198+(($B$54)-$A20)*'Cálculos'!$C$98)/(('Cálculos'!$C$198+(($B$54)-$A20)*'Cálculos'!$C$98)+1400)+'Cálculos'!$C$123)*'Cálculos'!$C$251)+('Cálculos'!$C$204*(1+'Cálculos'!$C$205+$A20*('Cálculos'!$C$290=3)*'Cálculos'!$C$103)+'Cálculos'!$C$206)*('Cálculos'!$C$242+'Cálculos'!$C$124*(1+2.78*('Cálculos'!$C$198+(($B$54)-$A20)*'Cálculos'!$C$98)/(('Cálculos'!$C$198+(($B$54)-$A20)*'Cálculos'!$C$98)+1400)+'Cálculos'!$C$122)*'Cálculos'!$C$247+'Cálculos'!$C$125*(1+2.78*('Cálculos'!$C$198+(($B$54)-$A20)*'Cálculos'!$C$98)/(('Cálculos'!$C$198+(($B$54)-$A20)*'Cálculos'!$C$98)+1400)+'Cálculos'!$C$123)*'Cálculos'!$C$252)+('Cálculos'!$C$243+'Cálculos'!$C$124*(1+2.78*('Cálculos'!$C$198+(($B$54)-$A20)*'Cálculos'!$C$98)/(('Cálculos'!$C$198+(($B$54)-$A20)*'Cálculos'!$C$98)+1400)+'Cálculos'!$C$122)*'Cálculos'!$C$248+'Cálculos'!$C$125*(1+2.78*('Cálculos'!$C$198+(($B$54)-$A20)*'Cálculos'!$C$98)/(('Cálculos'!$C$198+(($B$54)-$A20)*'Cálculos'!$C$98)+1400)+'Cálculos'!$C$123)*'Cálculos'!$C$253)+('Cálculos'!$C$185*(1+'Cálculos'!$C$189+$A20*('Cálculos'!$C$290=1)*'Cálculos'!$C$97+'Cálculos'!$C$305)+'Cálculos'!$C$194)*('Cálculos'!$C$254+'Cálculos'!$C$124*(1+2.78*('Cálculos'!$C$199+(($B$54)-$A20)*'Cálculos'!$C$98)/(('Cálculos'!$C$199+(($B$54)-$A20)*'Cálculos'!$C$98)+1400)+'Cálculos'!$C$122)*'Cálculos'!$C$259+'Cálculos'!$C$125*(1+2.78*('Cálculos'!$C$199+(($B$54)-$A20)*'Cálculos'!$C$98)/(('Cálculos'!$C$199+(($B$54)-$A20)*'Cálculos'!$C$98)+1400)+'Cálculos'!$C$123)*'Cálculos'!$C$264)+('Cálculos'!$C$199+(($B$54)-$A20)*'Cálculos'!$C$98)*('Cálculos'!$C$255+'Cálculos'!$C$124*(1+2.78*('Cálculos'!$C$199+(($B$54)-$A20)*'Cálculos'!$C$98)/(('Cálculos'!$C$199+(($B$54)-$A20)*'Cálculos'!$C$98)+1400)+'Cálculos'!$C$122)*'Cálculos'!$C$260+'Cálculos'!$C$125*(1+2.78*('Cálculos'!$C$199+(($B$54)-$A20)*'Cálculos'!$C$98)/(('Cálculos'!$C$199+(($B$54)-$A20)*'Cálculos'!$C$98)+1400)+'Cálculos'!$C$123)*'Cálculos'!$C$265)+('Cálculos'!$C$201*(1+'Cálculos'!$C$202+$A20*('Cálculos'!$C$290=2)*'Cálculos'!$C$101)+'Cálculos'!$C$203)*('Cálculos'!$C$256+'Cálculos'!$C$124*(1+2.78*('Cálculos'!$C$199+(($B$54)-$A20)*'Cálculos'!$C$98)/(('Cálculos'!$C$199+(($B$54)-$A20)*'Cálculos'!$C$98)+1400)+'Cálculos'!$C$122)*'Cálculos'!$C$261+'Cálculos'!$C$125*(1+2.78*('Cálculos'!$C$199+(($B$54)-$A20)*'Cálculos'!$C$98)/(('Cálculos'!$C$199+(($B$54)-$A20)*'Cálculos'!$C$98)+1400)+'Cálculos'!$C$123)*'Cálculos'!$C$266)+('Cálculos'!$C$204*(1+'Cálculos'!$C$205+$A20*('Cálculos'!$C$290=3)*'Cálculos'!$C$103)+'Cálculos'!$C$206)*('Cálculos'!$C$257+'Cálculos'!$C$124*(1+2.78*('Cálculos'!$C$199+(($B$54)-$A20)*'Cálculos'!$C$98)/(('Cálculos'!$C$199+(($B$54)-$A20)*'Cálculos'!$C$98)+1400)+'Cálculos'!$C$122)*'Cálculos'!$C$262+'Cálculos'!$C$125*(1+2.78*('Cálculos'!$C$199+(($B$54)-$A20)*'Cálculos'!$C$98)/(('Cálculos'!$C$199+(($B$54)-$A20)*'Cálculos'!$C$98)+1400)+'Cálculos'!$C$123)*'Cálculos'!$C$267)+('Cálculos'!$C$258+'Cálculos'!$C$124*(1+2.78*('Cálculos'!$C$199+(($B$54)-$A20)*'Cálculos'!$C$98)/(('Cálculos'!$C$199+(($B$54)-$A20)*'Cálculos'!$C$98)+1400)+'Cálculos'!$C$122)*'Cálculos'!$C$263+'Cálculos'!$C$125*(1+2.78*('Cálculos'!$C$199+(($B$54)-$A20)*'Cálculos'!$C$98)/(('Cálculos'!$C$199+(($B$54)-$A20)*'Cálculos'!$C$98)+1400)+'Cálculos'!$C$123)*'Cálculos'!$C$268)+('Cálculos'!$C$185*(1+'Cálculos'!$C$190+$A20*('Cálculos'!$C$290=1)*'Cálculos'!$C$97+'Cálculos'!$C$305)+'Cálculos'!$C$195)*('Cálculos'!$C$269+'Cálculos'!$C$124*(1+2.78*('Cálculos'!$C$200+(($B$54)-$A20)*'Cálculos'!$C$98)/(('Cálculos'!$C$200+(($B$54)-$A20)*'Cálculos'!$C$98)+1400)+'Cálculos'!$C$122)*'Cálculos'!$C$274+'Cálculos'!$C$125*(1+2.78*('Cálculos'!$C$200+(($B$54)-$A20)*'Cálculos'!$C$98)/(('Cálculos'!$C$200+(($B$54)-$A20)*'Cálculos'!$C$98)+1400)+'Cálculos'!$C$123)*'Cálculos'!$C$279)+('Cálculos'!$C$200+(($B$54)-$A20)*'Cálculos'!$C$98)*('Cálculos'!$C$270+'Cálculos'!$C$124*(1+2.78*('Cálculos'!$C$200+(($B$54)-$A20)*'Cálculos'!$C$98)/(('Cálculos'!$C$200+(($B$54)-$A20)*'Cálculos'!$C$98)+1400)+'Cálculos'!$C$122)*'Cálculos'!$C$275+'Cálculos'!$C$125*(1+2.78*('Cálculos'!$C$200+(($B$54)-$A20)*'Cálculos'!$C$98)/(('Cálculos'!$C$200+(($B$54)-$A20)*'Cálculos'!$C$98)+1400)+'Cálculos'!$C$123)*'Cálculos'!$C$280)+('Cálculos'!$C$201*(1+'Cálculos'!$C$202+$A20*('Cálculos'!$C$290=2)*'Cálculos'!$C$101)+'Cálculos'!$C$203)*('Cálculos'!$C$271+'Cálculos'!$C$124*(1+2.78*('Cálculos'!$C$200+(($B$54)-$A20)*'Cálculos'!$C$98)/(('Cálculos'!$C$200+(($B$54)-$A20)*'Cálculos'!$C$98)+1400)+'Cálculos'!$C$122)*'Cálculos'!$C$276+'Cálculos'!$C$125*(1+2.78*('Cálculos'!$C$200+(($B$54)-$A20)*'Cálculos'!$C$98)/(('Cálculos'!$C$200+(($B$54)-$A20)*'Cálculos'!$C$98)+1400)+'Cálculos'!$C$123)*'Cálculos'!$C$281)+('Cálculos'!$C$204*(1+'Cálculos'!$C$205+$A20*('Cálculos'!$C$290=3)*'Cálculos'!$C$103)+'Cálculos'!$C$206)*('Cálculos'!$C$272+'Cálculos'!$C$124*(1+2.78*('Cálculos'!$C$200+(($B$54)-$A20)*'Cálculos'!$C$98)/(('Cálculos'!$C$200+(($B$54)-$A20)*'Cálculos'!$C$98)+1400)+'Cálculos'!$C$122)*'Cálculos'!$C$277+'Cálculos'!$C$125*(1+2.78*('Cálculos'!$C$200+(($B$54)-$A20)*'Cálculos'!$C$98)/(('Cálculos'!$C$200+(($B$54)-$A20)*'Cálculos'!$C$98)+1400)+'Cálculos'!$C$123)*'Cálculos'!$C$282)+('Cálculos'!$C$273+'Cálculos'!$C$124*(1+2.78*('Cálculos'!$C$200+(($B$54)-$A20)*'Cálculos'!$C$98)/(('Cálculos'!$C$200+(($B$54)-$A20)*'Cálculos'!$C$98)+1400)+'Cálculos'!$C$122)*'Cálculos'!$C$278+'Cálculos'!$C$125*(1+2.78*('Cálculos'!$C$200+(($B$54)-$A20)*'Cálculos'!$C$98)/(('Cálculos'!$C$200+(($B$54)-$A20)*'Cálculos'!$C$98)+1400)+'Cálculos'!$C$123)*'Cálculos'!$C$283)))</f>
        <v>0</v>
      </c>
    </row>
    <row r="21" ht="15.75" customHeight="1">
      <c r="A21" s="2">
        <v>15.0</v>
      </c>
      <c r="B21" s="30">
        <f>SUMPRODUCT(MAX(($A$6:$A$51&lt;=$A21)*($A$6:$A$51&lt;='Cálculos'!$C$294)*(($A21)-$A$6:$A$51&lt;='Cálculos'!$C$295)*(1+(('Cálculos'!$C$207+$A$6:$A$51*'Cálculos'!$C$95)-(('Cálculos'!$C$207+$A$6:$A$51*'Cálculos'!$C$95)&gt;1)*(('Cálculos'!$C$207+$A$6:$A$51*'Cálculos'!$C$95)-1))*('Cálculos'!$C$208+(($A21)-$A$6:$A$51)*'Cálculos'!$C$96))))</f>
        <v>3.227228</v>
      </c>
      <c r="C21" s="2">
        <f>'Cálculos'!$C$303-$A21</f>
        <v>5</v>
      </c>
      <c r="D21" s="31">
        <f>IF($C21&lt;0,0,SUMPRODUCT(MAX(($A$6:$A$51&lt;=$C21)*($A$6:$A$51&lt;='Cálculos'!$C$301)*(($C21)-$A$6:$A$51&lt;='Cálculos'!$C$297)*(('Cálculos'!$C$185*(1+'Cálculos'!$C$186+$A$6:$A$51*('Cálculos'!$C$290=1)*'Cálculos'!$C$97+'Cálculos'!$C$305)+'Cálculos'!$C$191)*('Cálculos'!$C$209+'Cálculos'!$C$124*(1+2.78*('Cálculos'!$C$196+(($C21)-$A$6:$A$51)*'Cálculos'!$C$98)/(('Cálculos'!$C$196+(($C21)-$A$6:$A$51)*'Cálculos'!$C$98)+1400)+'Cálculos'!$C$122)*'Cálculos'!$C$214+'Cálculos'!$C$125*(1+2.78*('Cálculos'!$C$196+(($C21)-$A$6:$A$51)*'Cálculos'!$C$98)/(('Cálculos'!$C$196+(($C21)-$A$6:$A$51)*'Cálculos'!$C$98)+1400)+'Cálculos'!$C$123)*'Cálculos'!$C$219)+('Cálculos'!$C$196+(($C21)-$A$6:$A$51)*'Cálculos'!$C$98)*('Cálculos'!$C$210+'Cálculos'!$C$124*(1+2.78*('Cálculos'!$C$196+(($C21)-$A$6:$A$51)*'Cálculos'!$C$98)/(('Cálculos'!$C$196+(($C21)-$A$6:$A$51)*'Cálculos'!$C$98)+1400)+'Cálculos'!$C$122)*'Cálculos'!$C$215+'Cálculos'!$C$125*(1+2.78*('Cálculos'!$C$196+(($C21)-$A$6:$A$51)*'Cálculos'!$C$98)/(('Cálculos'!$C$196+(($C21)-$A$6:$A$51)*'Cálculos'!$C$98)+1400)+'Cálculos'!$C$123)*'Cálculos'!$C$220)+('Cálculos'!$C$201*(1+'Cálculos'!$C$202+$A$6:$A$51*('Cálculos'!$C$290=2)*'Cálculos'!$C$101)+'Cálculos'!$C$203)*('Cálculos'!$C$211+'Cálculos'!$C$124*(1+2.78*('Cálculos'!$C$196+(($C21)-$A$6:$A$51)*'Cálculos'!$C$98)/(('Cálculos'!$C$196+(($C21)-$A$6:$A$51)*'Cálculos'!$C$98)+1400)+'Cálculos'!$C$122)*'Cálculos'!$C$216+'Cálculos'!$C$125*(1+2.78*('Cálculos'!$C$196+(($C21)-$A$6:$A$51)*'Cálculos'!$C$98)/(('Cálculos'!$C$196+(($C21)-$A$6:$A$51)*'Cálculos'!$C$98)+1400)+'Cálculos'!$C$123)*'Cálculos'!$C$221)+('Cálculos'!$C$204*(1+'Cálculos'!$C$205+$A$6:$A$51*('Cálculos'!$C$290=3)*'Cálculos'!$C$103)+'Cálculos'!$C$206)*('Cálculos'!$C$212+'Cálculos'!$C$124*(1+2.78*('Cálculos'!$C$196+(($C21)-$A$6:$A$51)*'Cálculos'!$C$98)/(('Cálculos'!$C$196+(($C21)-$A$6:$A$51)*'Cálculos'!$C$98)+1400)+'Cálculos'!$C$122)*'Cálculos'!$C$217+'Cálculos'!$C$125*(1+2.78*('Cálculos'!$C$196+(($C21)-$A$6:$A$51)*'Cálculos'!$C$98)/(('Cálculos'!$C$196+(($C21)-$A$6:$A$51)*'Cálculos'!$C$98)+1400)+'Cálculos'!$C$123)*'Cálculos'!$C$222)+('Cálculos'!$C$213+'Cálculos'!$C$124*(1+2.78*('Cálculos'!$C$196+(($C21)-$A$6:$A$51)*'Cálculos'!$C$98)/(('Cálculos'!$C$196+(($C21)-$A$6:$A$51)*'Cálculos'!$C$98)+1400)+'Cálculos'!$C$122)*'Cálculos'!$C$218+'Cálculos'!$C$125*(1+2.78*('Cálculos'!$C$196+(($C21)-$A$6:$A$51)*'Cálculos'!$C$98)/(('Cálculos'!$C$196+(($C21)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21)-$A$6:$A$51)*'Cálculos'!$C$98)/(('Cálculos'!$C$197+(($C21)-$A$6:$A$51)*'Cálculos'!$C$98)+1400)+'Cálculos'!$C$122)*'Cálculos'!$C$229+'Cálculos'!$C$125*(1+2.78*('Cálculos'!$C$197+(($C21)-$A$6:$A$51)*'Cálculos'!$C$98)/(('Cálculos'!$C$197+(($C21)-$A$6:$A$51)*'Cálculos'!$C$98)+1400)+'Cálculos'!$C$123)*'Cálculos'!$C$234)+('Cálculos'!$C$197+(($C21)-$A$6:$A$51)*'Cálculos'!$C$98)*('Cálculos'!$C$225+'Cálculos'!$C$124*(1+2.78*('Cálculos'!$C$197+(($C21)-$A$6:$A$51)*'Cálculos'!$C$98)/(('Cálculos'!$C$197+(($C21)-$A$6:$A$51)*'Cálculos'!$C$98)+1400)+'Cálculos'!$C$122)*'Cálculos'!$C$230+'Cálculos'!$C$125*(1+2.78*('Cálculos'!$C$197+(($C21)-$A$6:$A$51)*'Cálculos'!$C$98)/(('Cálculos'!$C$197+(($C21)-$A$6:$A$51)*'Cálculos'!$C$98)+1400)+'Cálculos'!$C$123)*'Cálculos'!$C$235)+('Cálculos'!$C$201*(1+'Cálculos'!$C$202+$A$6:$A$51*('Cálculos'!$C$290=2)*'Cálculos'!$C$101)+'Cálculos'!$C$203)*('Cálculos'!$C$226+'Cálculos'!$C$124*(1+2.78*('Cálculos'!$C$197+(($C21)-$A$6:$A$51)*'Cálculos'!$C$98)/(('Cálculos'!$C$197+(($C21)-$A$6:$A$51)*'Cálculos'!$C$98)+1400)+'Cálculos'!$C$122)*'Cálculos'!$C$231+'Cálculos'!$C$125*(1+2.78*('Cálculos'!$C$197+(($C21)-$A$6:$A$51)*'Cálculos'!$C$98)/(('Cálculos'!$C$197+(($C21)-$A$6:$A$51)*'Cálculos'!$C$98)+1400)+'Cálculos'!$C$123)*'Cálculos'!$C$236)+('Cálculos'!$C$204*(1+'Cálculos'!$C$205+$A$6:$A$51*('Cálculos'!$C$290=3)*'Cálculos'!$C$103)+'Cálculos'!$C$206)*('Cálculos'!$C$227+'Cálculos'!$C$124*(1+2.78*('Cálculos'!$C$197+(($C21)-$A$6:$A$51)*'Cálculos'!$C$98)/(('Cálculos'!$C$197+(($C21)-$A$6:$A$51)*'Cálculos'!$C$98)+1400)+'Cálculos'!$C$122)*'Cálculos'!$C$232+'Cálculos'!$C$125*(1+2.78*('Cálculos'!$C$197+(($C21)-$A$6:$A$51)*'Cálculos'!$C$98)/(('Cálculos'!$C$197+(($C21)-$A$6:$A$51)*'Cálculos'!$C$98)+1400)+'Cálculos'!$C$123)*'Cálculos'!$C$237)+('Cálculos'!$C$228+'Cálculos'!$C$124*(1+2.78*('Cálculos'!$C$197+(($C21)-$A$6:$A$51)*'Cálculos'!$C$98)/(('Cálculos'!$C$197+(($C21)-$A$6:$A$51)*'Cálculos'!$C$98)+1400)+'Cálculos'!$C$122)*'Cálculos'!$C$233+'Cálculos'!$C$125*(1+2.78*('Cálculos'!$C$197+(($C21)-$A$6:$A$51)*'Cálculos'!$C$98)/(('Cálculos'!$C$197+(($C21)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21)-$A$6:$A$51)*'Cálculos'!$C$98)/(('Cálculos'!$C$198+(($C21)-$A$6:$A$51)*'Cálculos'!$C$98)+1400)+'Cálculos'!$C$122)*'Cálculos'!$C$244+'Cálculos'!$C$125*(1+2.78*('Cálculos'!$C$198+(($C21)-$A$6:$A$51)*'Cálculos'!$C$98)/(('Cálculos'!$C$198+(($C21)-$A$6:$A$51)*'Cálculos'!$C$98)+1400)+'Cálculos'!$C$123)*'Cálculos'!$C$249)+('Cálculos'!$C$198+(($C21)-$A$6:$A$51)*'Cálculos'!$C$98)*('Cálculos'!$C$240+'Cálculos'!$C$124*(1+2.78*('Cálculos'!$C$198+(($C21)-$A$6:$A$51)*'Cálculos'!$C$98)/(('Cálculos'!$C$198+(($C21)-$A$6:$A$51)*'Cálculos'!$C$98)+1400)+'Cálculos'!$C$122)*'Cálculos'!$C$245+'Cálculos'!$C$125*(1+2.78*('Cálculos'!$C$198+(($C21)-$A$6:$A$51)*'Cálculos'!$C$98)/(('Cálculos'!$C$198+(($C21)-$A$6:$A$51)*'Cálculos'!$C$98)+1400)+'Cálculos'!$C$123)*'Cálculos'!$C$250)+('Cálculos'!$C$201*(1+'Cálculos'!$C$202+$A$6:$A$51*('Cálculos'!$C$290=2)*'Cálculos'!$C$101)+'Cálculos'!$C$203)*('Cálculos'!$C$241+'Cálculos'!$C$124*(1+2.78*('Cálculos'!$C$198+(($C21)-$A$6:$A$51)*'Cálculos'!$C$98)/(('Cálculos'!$C$198+(($C21)-$A$6:$A$51)*'Cálculos'!$C$98)+1400)+'Cálculos'!$C$122)*'Cálculos'!$C$246+'Cálculos'!$C$125*(1+2.78*('Cálculos'!$C$198+(($C21)-$A$6:$A$51)*'Cálculos'!$C$98)/(('Cálculos'!$C$198+(($C21)-$A$6:$A$51)*'Cálculos'!$C$98)+1400)+'Cálculos'!$C$123)*'Cálculos'!$C$251)+('Cálculos'!$C$204*(1+'Cálculos'!$C$205+$A$6:$A$51*('Cálculos'!$C$290=3)*'Cálculos'!$C$103)+'Cálculos'!$C$206)*('Cálculos'!$C$242+'Cálculos'!$C$124*(1+2.78*('Cálculos'!$C$198+(($C21)-$A$6:$A$51)*'Cálculos'!$C$98)/(('Cálculos'!$C$198+(($C21)-$A$6:$A$51)*'Cálculos'!$C$98)+1400)+'Cálculos'!$C$122)*'Cálculos'!$C$247+'Cálculos'!$C$125*(1+2.78*('Cálculos'!$C$198+(($C21)-$A$6:$A$51)*'Cálculos'!$C$98)/(('Cálculos'!$C$198+(($C21)-$A$6:$A$51)*'Cálculos'!$C$98)+1400)+'Cálculos'!$C$123)*'Cálculos'!$C$252)+('Cálculos'!$C$243+'Cálculos'!$C$124*(1+2.78*('Cálculos'!$C$198+(($C21)-$A$6:$A$51)*'Cálculos'!$C$98)/(('Cálculos'!$C$198+(($C21)-$A$6:$A$51)*'Cálculos'!$C$98)+1400)+'Cálculos'!$C$122)*'Cálculos'!$C$248+'Cálculos'!$C$125*(1+2.78*('Cálculos'!$C$198+(($C21)-$A$6:$A$51)*'Cálculos'!$C$98)/(('Cálculos'!$C$198+(($C21)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21)-$A$6:$A$51)*'Cálculos'!$C$98)/(('Cálculos'!$C$199+(($C21)-$A$6:$A$51)*'Cálculos'!$C$98)+1400)+'Cálculos'!$C$122)*'Cálculos'!$C$259+'Cálculos'!$C$125*(1+2.78*('Cálculos'!$C$199+(($C21)-$A$6:$A$51)*'Cálculos'!$C$98)/(('Cálculos'!$C$199+(($C21)-$A$6:$A$51)*'Cálculos'!$C$98)+1400)+'Cálculos'!$C$123)*'Cálculos'!$C$264)+('Cálculos'!$C$199+(($C21)-$A$6:$A$51)*'Cálculos'!$C$98)*('Cálculos'!$C$255+'Cálculos'!$C$124*(1+2.78*('Cálculos'!$C$199+(($C21)-$A$6:$A$51)*'Cálculos'!$C$98)/(('Cálculos'!$C$199+(($C21)-$A$6:$A$51)*'Cálculos'!$C$98)+1400)+'Cálculos'!$C$122)*'Cálculos'!$C$260+'Cálculos'!$C$125*(1+2.78*('Cálculos'!$C$199+(($C21)-$A$6:$A$51)*'Cálculos'!$C$98)/(('Cálculos'!$C$199+(($C21)-$A$6:$A$51)*'Cálculos'!$C$98)+1400)+'Cálculos'!$C$123)*'Cálculos'!$C$265)+('Cálculos'!$C$201*(1+'Cálculos'!$C$202+$A$6:$A$51*('Cálculos'!$C$290=2)*'Cálculos'!$C$101)+'Cálculos'!$C$203)*('Cálculos'!$C$256+'Cálculos'!$C$124*(1+2.78*('Cálculos'!$C$199+(($C21)-$A$6:$A$51)*'Cálculos'!$C$98)/(('Cálculos'!$C$199+(($C21)-$A$6:$A$51)*'Cálculos'!$C$98)+1400)+'Cálculos'!$C$122)*'Cálculos'!$C$261+'Cálculos'!$C$125*(1+2.78*('Cálculos'!$C$199+(($C21)-$A$6:$A$51)*'Cálculos'!$C$98)/(('Cálculos'!$C$199+(($C21)-$A$6:$A$51)*'Cálculos'!$C$98)+1400)+'Cálculos'!$C$123)*'Cálculos'!$C$266)+('Cálculos'!$C$204*(1+'Cálculos'!$C$205+$A$6:$A$51*('Cálculos'!$C$290=3)*'Cálculos'!$C$103)+'Cálculos'!$C$206)*('Cálculos'!$C$257+'Cálculos'!$C$124*(1+2.78*('Cálculos'!$C$199+(($C21)-$A$6:$A$51)*'Cálculos'!$C$98)/(('Cálculos'!$C$199+(($C21)-$A$6:$A$51)*'Cálculos'!$C$98)+1400)+'Cálculos'!$C$122)*'Cálculos'!$C$262+'Cálculos'!$C$125*(1+2.78*('Cálculos'!$C$199+(($C21)-$A$6:$A$51)*'Cálculos'!$C$98)/(('Cálculos'!$C$199+(($C21)-$A$6:$A$51)*'Cálculos'!$C$98)+1400)+'Cálculos'!$C$123)*'Cálculos'!$C$267)+('Cálculos'!$C$258+'Cálculos'!$C$124*(1+2.78*('Cálculos'!$C$199+(($C21)-$A$6:$A$51)*'Cálculos'!$C$98)/(('Cálculos'!$C$199+(($C21)-$A$6:$A$51)*'Cálculos'!$C$98)+1400)+'Cálculos'!$C$122)*'Cálculos'!$C$263+'Cálculos'!$C$125*(1+2.78*('Cálculos'!$C$199+(($C21)-$A$6:$A$51)*'Cálculos'!$C$98)/(('Cálculos'!$C$199+(($C21)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21)-$A$6:$A$51)*'Cálculos'!$C$98)/(('Cálculos'!$C$200+(($C21)-$A$6:$A$51)*'Cálculos'!$C$98)+1400)+'Cálculos'!$C$122)*'Cálculos'!$C$274+'Cálculos'!$C$125*(1+2.78*('Cálculos'!$C$200+(($C21)-$A$6:$A$51)*'Cálculos'!$C$98)/(('Cálculos'!$C$200+(($C21)-$A$6:$A$51)*'Cálculos'!$C$98)+1400)+'Cálculos'!$C$123)*'Cálculos'!$C$279)+('Cálculos'!$C$200+(($C21)-$A$6:$A$51)*'Cálculos'!$C$98)*('Cálculos'!$C$270+'Cálculos'!$C$124*(1+2.78*('Cálculos'!$C$200+(($C21)-$A$6:$A$51)*'Cálculos'!$C$98)/(('Cálculos'!$C$200+(($C21)-$A$6:$A$51)*'Cálculos'!$C$98)+1400)+'Cálculos'!$C$122)*'Cálculos'!$C$275+'Cálculos'!$C$125*(1+2.78*('Cálculos'!$C$200+(($C21)-$A$6:$A$51)*'Cálculos'!$C$98)/(('Cálculos'!$C$200+(($C21)-$A$6:$A$51)*'Cálculos'!$C$98)+1400)+'Cálculos'!$C$123)*'Cálculos'!$C$280)+('Cálculos'!$C$201*(1+'Cálculos'!$C$202+$A$6:$A$51*('Cálculos'!$C$290=2)*'Cálculos'!$C$101)+'Cálculos'!$C$203)*('Cálculos'!$C$271+'Cálculos'!$C$124*(1+2.78*('Cálculos'!$C$200+(($C21)-$A$6:$A$51)*'Cálculos'!$C$98)/(('Cálculos'!$C$200+(($C21)-$A$6:$A$51)*'Cálculos'!$C$98)+1400)+'Cálculos'!$C$122)*'Cálculos'!$C$276+'Cálculos'!$C$125*(1+2.78*('Cálculos'!$C$200+(($C21)-$A$6:$A$51)*'Cálculos'!$C$98)/(('Cálculos'!$C$200+(($C21)-$A$6:$A$51)*'Cálculos'!$C$98)+1400)+'Cálculos'!$C$123)*'Cálculos'!$C$281)+('Cálculos'!$C$204*(1+'Cálculos'!$C$205+$A$6:$A$51*('Cálculos'!$C$290=3)*'Cálculos'!$C$103)+'Cálculos'!$C$206)*('Cálculos'!$C$272+'Cálculos'!$C$124*(1+2.78*('Cálculos'!$C$200+(($C21)-$A$6:$A$51)*'Cálculos'!$C$98)/(('Cálculos'!$C$200+(($C21)-$A$6:$A$51)*'Cálculos'!$C$98)+1400)+'Cálculos'!$C$122)*'Cálculos'!$C$277+'Cálculos'!$C$125*(1+2.78*('Cálculos'!$C$200+(($C21)-$A$6:$A$51)*'Cálculos'!$C$98)/(('Cálculos'!$C$200+(($C21)-$A$6:$A$51)*'Cálculos'!$C$98)+1400)+'Cálculos'!$C$123)*'Cálculos'!$C$282)+('Cálculos'!$C$273+'Cálculos'!$C$124*(1+2.78*('Cálculos'!$C$200+(($C21)-$A$6:$A$51)*'Cálculos'!$C$98)/(('Cálculos'!$C$200+(($C21)-$A$6:$A$51)*'Cálculos'!$C$98)+1400)+'Cálculos'!$C$122)*'Cálculos'!$C$278+'Cálculos'!$C$125*(1+2.78*('Cálculos'!$C$200+(($C21)-$A$6:$A$51)*'Cálculos'!$C$98)/(('Cálculos'!$C$200+(($C21)-$A$6:$A$51)*'Cálculos'!$C$98)+1400)+'Cálculos'!$C$123)*'Cálculos'!$C$283)))))</f>
        <v>1109009.775</v>
      </c>
      <c r="E21" s="32">
        <f>IF(OR($C21&lt;0,'Cálculos'!$C$6=""),0,$B21*$D21)</f>
        <v>3579027.399</v>
      </c>
      <c r="F21" s="2"/>
      <c r="G21" s="30">
        <f>($A21&lt;=$B$53)*($A21&lt;='Cálculos'!$C$294)*(($B$53)-$A21&lt;='Cálculos'!$C$295)*(1+MIN(('Cálculos'!$C$207+$A21*'Cálculos'!$C$95),1)*('Cálculos'!$C$208+(($B$53)-$A21)*'Cálculos'!$C$96))</f>
        <v>3.054</v>
      </c>
      <c r="H21" s="31">
        <f>IF($B$54&lt;0,0,($A21&lt;=$B$54)*($A21&lt;='Cálculos'!$C$301)*(($B$54)-$A21&lt;='Cálculos'!$C$297)*(('Cálculos'!$C$185*(1+'Cálculos'!$C$186+$A21*('Cálculos'!$C$290=1)*'Cálculos'!$C$97+'Cálculos'!$C$305)+'Cálculos'!$C$191)*('Cálculos'!$C$209+'Cálculos'!$C$124*(1+2.78*('Cálculos'!$C$196+(($B$54)-$A21)*'Cálculos'!$C$98)/(('Cálculos'!$C$196+(($B$54)-$A21)*'Cálculos'!$C$98)+1400)+'Cálculos'!$C$122)*'Cálculos'!$C$214+'Cálculos'!$C$125*(1+2.78*('Cálculos'!$C$196+(($B$54)-$A21)*'Cálculos'!$C$98)/(('Cálculos'!$C$196+(($B$54)-$A21)*'Cálculos'!$C$98)+1400)+'Cálculos'!$C$123)*'Cálculos'!$C$219)+('Cálculos'!$C$196+(($B$54)-$A21)*'Cálculos'!$C$98)*('Cálculos'!$C$210+'Cálculos'!$C$124*(1+2.78*('Cálculos'!$C$196+(($B$54)-$A21)*'Cálculos'!$C$98)/(('Cálculos'!$C$196+(($B$54)-$A21)*'Cálculos'!$C$98)+1400)+'Cálculos'!$C$122)*'Cálculos'!$C$215+'Cálculos'!$C$125*(1+2.78*('Cálculos'!$C$196+(($B$54)-$A21)*'Cálculos'!$C$98)/(('Cálculos'!$C$196+(($B$54)-$A21)*'Cálculos'!$C$98)+1400)+'Cálculos'!$C$123)*'Cálculos'!$C$220)+('Cálculos'!$C$201*(1+'Cálculos'!$C$202+$A21*('Cálculos'!$C$290=2)*'Cálculos'!$C$101)+'Cálculos'!$C$203)*('Cálculos'!$C$211+'Cálculos'!$C$124*(1+2.78*('Cálculos'!$C$196+(($B$54)-$A21)*'Cálculos'!$C$98)/(('Cálculos'!$C$196+(($B$54)-$A21)*'Cálculos'!$C$98)+1400)+'Cálculos'!$C$122)*'Cálculos'!$C$216+'Cálculos'!$C$125*(1+2.78*('Cálculos'!$C$196+(($B$54)-$A21)*'Cálculos'!$C$98)/(('Cálculos'!$C$196+(($B$54)-$A21)*'Cálculos'!$C$98)+1400)+'Cálculos'!$C$123)*'Cálculos'!$C$221)+('Cálculos'!$C$204*(1+'Cálculos'!$C$205+$A21*('Cálculos'!$C$290=3)*'Cálculos'!$C$103)+'Cálculos'!$C$206)*('Cálculos'!$C$212+'Cálculos'!$C$124*(1+2.78*('Cálculos'!$C$196+(($B$54)-$A21)*'Cálculos'!$C$98)/(('Cálculos'!$C$196+(($B$54)-$A21)*'Cálculos'!$C$98)+1400)+'Cálculos'!$C$122)*'Cálculos'!$C$217+'Cálculos'!$C$125*(1+2.78*('Cálculos'!$C$196+(($B$54)-$A21)*'Cálculos'!$C$98)/(('Cálculos'!$C$196+(($B$54)-$A21)*'Cálculos'!$C$98)+1400)+'Cálculos'!$C$123)*'Cálculos'!$C$222)+('Cálculos'!$C$213+'Cálculos'!$C$124*(1+2.78*('Cálculos'!$C$196+(($B$54)-$A21)*'Cálculos'!$C$98)/(('Cálculos'!$C$196+(($B$54)-$A21)*'Cálculos'!$C$98)+1400)+'Cálculos'!$C$122)*'Cálculos'!$C$218+'Cálculos'!$C$125*(1+2.78*('Cálculos'!$C$196+(($B$54)-$A21)*'Cálculos'!$C$98)/(('Cálculos'!$C$196+(($B$54)-$A21)*'Cálculos'!$C$98)+1400)+'Cálculos'!$C$123)*'Cálculos'!$C$223)+('Cálculos'!$C$185*(1+'Cálculos'!$C$187+$A21*('Cálculos'!$C$290=1)*'Cálculos'!$C$97+'Cálculos'!$C$305)+'Cálculos'!$C$192)*('Cálculos'!$C$224+'Cálculos'!$C$124*(1+2.78*('Cálculos'!$C$197+(($B$54)-$A21)*'Cálculos'!$C$98)/(('Cálculos'!$C$197+(($B$54)-$A21)*'Cálculos'!$C$98)+1400)+'Cálculos'!$C$122)*'Cálculos'!$C$229+'Cálculos'!$C$125*(1+2.78*('Cálculos'!$C$197+(($B$54)-$A21)*'Cálculos'!$C$98)/(('Cálculos'!$C$197+(($B$54)-$A21)*'Cálculos'!$C$98)+1400)+'Cálculos'!$C$123)*'Cálculos'!$C$234)+('Cálculos'!$C$197+(($B$54)-$A21)*'Cálculos'!$C$98)*('Cálculos'!$C$225+'Cálculos'!$C$124*(1+2.78*('Cálculos'!$C$197+(($B$54)-$A21)*'Cálculos'!$C$98)/(('Cálculos'!$C$197+(($B$54)-$A21)*'Cálculos'!$C$98)+1400)+'Cálculos'!$C$122)*'Cálculos'!$C$230+'Cálculos'!$C$125*(1+2.78*('Cálculos'!$C$197+(($B$54)-$A21)*'Cálculos'!$C$98)/(('Cálculos'!$C$197+(($B$54)-$A21)*'Cálculos'!$C$98)+1400)+'Cálculos'!$C$123)*'Cálculos'!$C$235)+('Cálculos'!$C$201*(1+'Cálculos'!$C$202+$A21*('Cálculos'!$C$290=2)*'Cálculos'!$C$101)+'Cálculos'!$C$203)*('Cálculos'!$C$226+'Cálculos'!$C$124*(1+2.78*('Cálculos'!$C$197+(($B$54)-$A21)*'Cálculos'!$C$98)/(('Cálculos'!$C$197+(($B$54)-$A21)*'Cálculos'!$C$98)+1400)+'Cálculos'!$C$122)*'Cálculos'!$C$231+'Cálculos'!$C$125*(1+2.78*('Cálculos'!$C$197+(($B$54)-$A21)*'Cálculos'!$C$98)/(('Cálculos'!$C$197+(($B$54)-$A21)*'Cálculos'!$C$98)+1400)+'Cálculos'!$C$123)*'Cálculos'!$C$236)+('Cálculos'!$C$204*(1+'Cálculos'!$C$205+$A21*('Cálculos'!$C$290=3)*'Cálculos'!$C$103)+'Cálculos'!$C$206)*('Cálculos'!$C$227+'Cálculos'!$C$124*(1+2.78*('Cálculos'!$C$197+(($B$54)-$A21)*'Cálculos'!$C$98)/(('Cálculos'!$C$197+(($B$54)-$A21)*'Cálculos'!$C$98)+1400)+'Cálculos'!$C$122)*'Cálculos'!$C$232+'Cálculos'!$C$125*(1+2.78*('Cálculos'!$C$197+(($B$54)-$A21)*'Cálculos'!$C$98)/(('Cálculos'!$C$197+(($B$54)-$A21)*'Cálculos'!$C$98)+1400)+'Cálculos'!$C$123)*'Cálculos'!$C$237)+('Cálculos'!$C$228+'Cálculos'!$C$124*(1+2.78*('Cálculos'!$C$197+(($B$54)-$A21)*'Cálculos'!$C$98)/(('Cálculos'!$C$197+(($B$54)-$A21)*'Cálculos'!$C$98)+1400)+'Cálculos'!$C$122)*'Cálculos'!$C$233+'Cálculos'!$C$125*(1+2.78*('Cálculos'!$C$197+(($B$54)-$A21)*'Cálculos'!$C$98)/(('Cálculos'!$C$197+(($B$54)-$A21)*'Cálculos'!$C$98)+1400)+'Cálculos'!$C$123)*'Cálculos'!$C$238)+('Cálculos'!$C$185*(1+'Cálculos'!$C$188+$A21*('Cálculos'!$C$290=1)*'Cálculos'!$C$97+'Cálculos'!$C$305)+'Cálculos'!$C$193)*('Cálculos'!$C$239+'Cálculos'!$C$124*(1+2.78*('Cálculos'!$C$198+(($B$54)-$A21)*'Cálculos'!$C$98)/(('Cálculos'!$C$198+(($B$54)-$A21)*'Cálculos'!$C$98)+1400)+'Cálculos'!$C$122)*'Cálculos'!$C$244+'Cálculos'!$C$125*(1+2.78*('Cálculos'!$C$198+(($B$54)-$A21)*'Cálculos'!$C$98)/(('Cálculos'!$C$198+(($B$54)-$A21)*'Cálculos'!$C$98)+1400)+'Cálculos'!$C$123)*'Cálculos'!$C$249)+('Cálculos'!$C$198+(($B$54)-$A21)*'Cálculos'!$C$98)*('Cálculos'!$C$240+'Cálculos'!$C$124*(1+2.78*('Cálculos'!$C$198+(($B$54)-$A21)*'Cálculos'!$C$98)/(('Cálculos'!$C$198+(($B$54)-$A21)*'Cálculos'!$C$98)+1400)+'Cálculos'!$C$122)*'Cálculos'!$C$245+'Cálculos'!$C$125*(1+2.78*('Cálculos'!$C$198+(($B$54)-$A21)*'Cálculos'!$C$98)/(('Cálculos'!$C$198+(($B$54)-$A21)*'Cálculos'!$C$98)+1400)+'Cálculos'!$C$123)*'Cálculos'!$C$250)+('Cálculos'!$C$201*(1+'Cálculos'!$C$202+$A21*('Cálculos'!$C$290=2)*'Cálculos'!$C$101)+'Cálculos'!$C$203)*('Cálculos'!$C$241+'Cálculos'!$C$124*(1+2.78*('Cálculos'!$C$198+(($B$54)-$A21)*'Cálculos'!$C$98)/(('Cálculos'!$C$198+(($B$54)-$A21)*'Cálculos'!$C$98)+1400)+'Cálculos'!$C$122)*'Cálculos'!$C$246+'Cálculos'!$C$125*(1+2.78*('Cálculos'!$C$198+(($B$54)-$A21)*'Cálculos'!$C$98)/(('Cálculos'!$C$198+(($B$54)-$A21)*'Cálculos'!$C$98)+1400)+'Cálculos'!$C$123)*'Cálculos'!$C$251)+('Cálculos'!$C$204*(1+'Cálculos'!$C$205+$A21*('Cálculos'!$C$290=3)*'Cálculos'!$C$103)+'Cálculos'!$C$206)*('Cálculos'!$C$242+'Cálculos'!$C$124*(1+2.78*('Cálculos'!$C$198+(($B$54)-$A21)*'Cálculos'!$C$98)/(('Cálculos'!$C$198+(($B$54)-$A21)*'Cálculos'!$C$98)+1400)+'Cálculos'!$C$122)*'Cálculos'!$C$247+'Cálculos'!$C$125*(1+2.78*('Cálculos'!$C$198+(($B$54)-$A21)*'Cálculos'!$C$98)/(('Cálculos'!$C$198+(($B$54)-$A21)*'Cálculos'!$C$98)+1400)+'Cálculos'!$C$123)*'Cálculos'!$C$252)+('Cálculos'!$C$243+'Cálculos'!$C$124*(1+2.78*('Cálculos'!$C$198+(($B$54)-$A21)*'Cálculos'!$C$98)/(('Cálculos'!$C$198+(($B$54)-$A21)*'Cálculos'!$C$98)+1400)+'Cálculos'!$C$122)*'Cálculos'!$C$248+'Cálculos'!$C$125*(1+2.78*('Cálculos'!$C$198+(($B$54)-$A21)*'Cálculos'!$C$98)/(('Cálculos'!$C$198+(($B$54)-$A21)*'Cálculos'!$C$98)+1400)+'Cálculos'!$C$123)*'Cálculos'!$C$253)+('Cálculos'!$C$185*(1+'Cálculos'!$C$189+$A21*('Cálculos'!$C$290=1)*'Cálculos'!$C$97+'Cálculos'!$C$305)+'Cálculos'!$C$194)*('Cálculos'!$C$254+'Cálculos'!$C$124*(1+2.78*('Cálculos'!$C$199+(($B$54)-$A21)*'Cálculos'!$C$98)/(('Cálculos'!$C$199+(($B$54)-$A21)*'Cálculos'!$C$98)+1400)+'Cálculos'!$C$122)*'Cálculos'!$C$259+'Cálculos'!$C$125*(1+2.78*('Cálculos'!$C$199+(($B$54)-$A21)*'Cálculos'!$C$98)/(('Cálculos'!$C$199+(($B$54)-$A21)*'Cálculos'!$C$98)+1400)+'Cálculos'!$C$123)*'Cálculos'!$C$264)+('Cálculos'!$C$199+(($B$54)-$A21)*'Cálculos'!$C$98)*('Cálculos'!$C$255+'Cálculos'!$C$124*(1+2.78*('Cálculos'!$C$199+(($B$54)-$A21)*'Cálculos'!$C$98)/(('Cálculos'!$C$199+(($B$54)-$A21)*'Cálculos'!$C$98)+1400)+'Cálculos'!$C$122)*'Cálculos'!$C$260+'Cálculos'!$C$125*(1+2.78*('Cálculos'!$C$199+(($B$54)-$A21)*'Cálculos'!$C$98)/(('Cálculos'!$C$199+(($B$54)-$A21)*'Cálculos'!$C$98)+1400)+'Cálculos'!$C$123)*'Cálculos'!$C$265)+('Cálculos'!$C$201*(1+'Cálculos'!$C$202+$A21*('Cálculos'!$C$290=2)*'Cálculos'!$C$101)+'Cálculos'!$C$203)*('Cálculos'!$C$256+'Cálculos'!$C$124*(1+2.78*('Cálculos'!$C$199+(($B$54)-$A21)*'Cálculos'!$C$98)/(('Cálculos'!$C$199+(($B$54)-$A21)*'Cálculos'!$C$98)+1400)+'Cálculos'!$C$122)*'Cálculos'!$C$261+'Cálculos'!$C$125*(1+2.78*('Cálculos'!$C$199+(($B$54)-$A21)*'Cálculos'!$C$98)/(('Cálculos'!$C$199+(($B$54)-$A21)*'Cálculos'!$C$98)+1400)+'Cálculos'!$C$123)*'Cálculos'!$C$266)+('Cálculos'!$C$204*(1+'Cálculos'!$C$205+$A21*('Cálculos'!$C$290=3)*'Cálculos'!$C$103)+'Cálculos'!$C$206)*('Cálculos'!$C$257+'Cálculos'!$C$124*(1+2.78*('Cálculos'!$C$199+(($B$54)-$A21)*'Cálculos'!$C$98)/(('Cálculos'!$C$199+(($B$54)-$A21)*'Cálculos'!$C$98)+1400)+'Cálculos'!$C$122)*'Cálculos'!$C$262+'Cálculos'!$C$125*(1+2.78*('Cálculos'!$C$199+(($B$54)-$A21)*'Cálculos'!$C$98)/(('Cálculos'!$C$199+(($B$54)-$A21)*'Cálculos'!$C$98)+1400)+'Cálculos'!$C$123)*'Cálculos'!$C$267)+('Cálculos'!$C$258+'Cálculos'!$C$124*(1+2.78*('Cálculos'!$C$199+(($B$54)-$A21)*'Cálculos'!$C$98)/(('Cálculos'!$C$199+(($B$54)-$A21)*'Cálculos'!$C$98)+1400)+'Cálculos'!$C$122)*'Cálculos'!$C$263+'Cálculos'!$C$125*(1+2.78*('Cálculos'!$C$199+(($B$54)-$A21)*'Cálculos'!$C$98)/(('Cálculos'!$C$199+(($B$54)-$A21)*'Cálculos'!$C$98)+1400)+'Cálculos'!$C$123)*'Cálculos'!$C$268)+('Cálculos'!$C$185*(1+'Cálculos'!$C$190+$A21*('Cálculos'!$C$290=1)*'Cálculos'!$C$97+'Cálculos'!$C$305)+'Cálculos'!$C$195)*('Cálculos'!$C$269+'Cálculos'!$C$124*(1+2.78*('Cálculos'!$C$200+(($B$54)-$A21)*'Cálculos'!$C$98)/(('Cálculos'!$C$200+(($B$54)-$A21)*'Cálculos'!$C$98)+1400)+'Cálculos'!$C$122)*'Cálculos'!$C$274+'Cálculos'!$C$125*(1+2.78*('Cálculos'!$C$200+(($B$54)-$A21)*'Cálculos'!$C$98)/(('Cálculos'!$C$200+(($B$54)-$A21)*'Cálculos'!$C$98)+1400)+'Cálculos'!$C$123)*'Cálculos'!$C$279)+('Cálculos'!$C$200+(($B$54)-$A21)*'Cálculos'!$C$98)*('Cálculos'!$C$270+'Cálculos'!$C$124*(1+2.78*('Cálculos'!$C$200+(($B$54)-$A21)*'Cálculos'!$C$98)/(('Cálculos'!$C$200+(($B$54)-$A21)*'Cálculos'!$C$98)+1400)+'Cálculos'!$C$122)*'Cálculos'!$C$275+'Cálculos'!$C$125*(1+2.78*('Cálculos'!$C$200+(($B$54)-$A21)*'Cálculos'!$C$98)/(('Cálculos'!$C$200+(($B$54)-$A21)*'Cálculos'!$C$98)+1400)+'Cálculos'!$C$123)*'Cálculos'!$C$280)+('Cálculos'!$C$201*(1+'Cálculos'!$C$202+$A21*('Cálculos'!$C$290=2)*'Cálculos'!$C$101)+'Cálculos'!$C$203)*('Cálculos'!$C$271+'Cálculos'!$C$124*(1+2.78*('Cálculos'!$C$200+(($B$54)-$A21)*'Cálculos'!$C$98)/(('Cálculos'!$C$200+(($B$54)-$A21)*'Cálculos'!$C$98)+1400)+'Cálculos'!$C$122)*'Cálculos'!$C$276+'Cálculos'!$C$125*(1+2.78*('Cálculos'!$C$200+(($B$54)-$A21)*'Cálculos'!$C$98)/(('Cálculos'!$C$200+(($B$54)-$A21)*'Cálculos'!$C$98)+1400)+'Cálculos'!$C$123)*'Cálculos'!$C$281)+('Cálculos'!$C$204*(1+'Cálculos'!$C$205+$A21*('Cálculos'!$C$290=3)*'Cálculos'!$C$103)+'Cálculos'!$C$206)*('Cálculos'!$C$272+'Cálculos'!$C$124*(1+2.78*('Cálculos'!$C$200+(($B$54)-$A21)*'Cálculos'!$C$98)/(('Cálculos'!$C$200+(($B$54)-$A21)*'Cálculos'!$C$98)+1400)+'Cálculos'!$C$122)*'Cálculos'!$C$277+'Cálculos'!$C$125*(1+2.78*('Cálculos'!$C$200+(($B$54)-$A21)*'Cálculos'!$C$98)/(('Cálculos'!$C$200+(($B$54)-$A21)*'Cálculos'!$C$98)+1400)+'Cálculos'!$C$123)*'Cálculos'!$C$282)+('Cálculos'!$C$273+'Cálculos'!$C$124*(1+2.78*('Cálculos'!$C$200+(($B$54)-$A21)*'Cálculos'!$C$98)/(('Cálculos'!$C$200+(($B$54)-$A21)*'Cálculos'!$C$98)+1400)+'Cálculos'!$C$122)*'Cálculos'!$C$278+'Cálculos'!$C$125*(1+2.78*('Cálculos'!$C$200+(($B$54)-$A21)*'Cálculos'!$C$98)/(('Cálculos'!$C$200+(($B$54)-$A21)*'Cálculos'!$C$98)+1400)+'Cálculos'!$C$123)*'Cálculos'!$C$283)))</f>
        <v>0</v>
      </c>
    </row>
    <row r="22" ht="15.75" customHeight="1">
      <c r="A22" s="2">
        <v>16.0</v>
      </c>
      <c r="B22" s="30">
        <f>SUMPRODUCT(MAX(($A$6:$A$51&lt;=$A22)*($A$6:$A$51&lt;='Cálculos'!$C$294)*(($A22)-$A$6:$A$51&lt;='Cálculos'!$C$295)*(1+(('Cálculos'!$C$207+$A$6:$A$51*'Cálculos'!$C$95)-(('Cálculos'!$C$207+$A$6:$A$51*'Cálculos'!$C$95)&gt;1)*(('Cálculos'!$C$207+$A$6:$A$51*'Cálculos'!$C$95)-1))*('Cálculos'!$C$208+(($A22)-$A$6:$A$51)*'Cálculos'!$C$96))))</f>
        <v>3.292502</v>
      </c>
      <c r="C22" s="2">
        <f>'Cálculos'!$C$303-$A22</f>
        <v>4</v>
      </c>
      <c r="D22" s="31">
        <f>IF($C22&lt;0,0,SUMPRODUCT(MAX(($A$6:$A$51&lt;=$C22)*($A$6:$A$51&lt;='Cálculos'!$C$301)*(($C22)-$A$6:$A$51&lt;='Cálculos'!$C$297)*(('Cálculos'!$C$185*(1+'Cálculos'!$C$186+$A$6:$A$51*('Cálculos'!$C$290=1)*'Cálculos'!$C$97+'Cálculos'!$C$305)+'Cálculos'!$C$191)*('Cálculos'!$C$209+'Cálculos'!$C$124*(1+2.78*('Cálculos'!$C$196+(($C22)-$A$6:$A$51)*'Cálculos'!$C$98)/(('Cálculos'!$C$196+(($C22)-$A$6:$A$51)*'Cálculos'!$C$98)+1400)+'Cálculos'!$C$122)*'Cálculos'!$C$214+'Cálculos'!$C$125*(1+2.78*('Cálculos'!$C$196+(($C22)-$A$6:$A$51)*'Cálculos'!$C$98)/(('Cálculos'!$C$196+(($C22)-$A$6:$A$51)*'Cálculos'!$C$98)+1400)+'Cálculos'!$C$123)*'Cálculos'!$C$219)+('Cálculos'!$C$196+(($C22)-$A$6:$A$51)*'Cálculos'!$C$98)*('Cálculos'!$C$210+'Cálculos'!$C$124*(1+2.78*('Cálculos'!$C$196+(($C22)-$A$6:$A$51)*'Cálculos'!$C$98)/(('Cálculos'!$C$196+(($C22)-$A$6:$A$51)*'Cálculos'!$C$98)+1400)+'Cálculos'!$C$122)*'Cálculos'!$C$215+'Cálculos'!$C$125*(1+2.78*('Cálculos'!$C$196+(($C22)-$A$6:$A$51)*'Cálculos'!$C$98)/(('Cálculos'!$C$196+(($C22)-$A$6:$A$51)*'Cálculos'!$C$98)+1400)+'Cálculos'!$C$123)*'Cálculos'!$C$220)+('Cálculos'!$C$201*(1+'Cálculos'!$C$202+$A$6:$A$51*('Cálculos'!$C$290=2)*'Cálculos'!$C$101)+'Cálculos'!$C$203)*('Cálculos'!$C$211+'Cálculos'!$C$124*(1+2.78*('Cálculos'!$C$196+(($C22)-$A$6:$A$51)*'Cálculos'!$C$98)/(('Cálculos'!$C$196+(($C22)-$A$6:$A$51)*'Cálculos'!$C$98)+1400)+'Cálculos'!$C$122)*'Cálculos'!$C$216+'Cálculos'!$C$125*(1+2.78*('Cálculos'!$C$196+(($C22)-$A$6:$A$51)*'Cálculos'!$C$98)/(('Cálculos'!$C$196+(($C22)-$A$6:$A$51)*'Cálculos'!$C$98)+1400)+'Cálculos'!$C$123)*'Cálculos'!$C$221)+('Cálculos'!$C$204*(1+'Cálculos'!$C$205+$A$6:$A$51*('Cálculos'!$C$290=3)*'Cálculos'!$C$103)+'Cálculos'!$C$206)*('Cálculos'!$C$212+'Cálculos'!$C$124*(1+2.78*('Cálculos'!$C$196+(($C22)-$A$6:$A$51)*'Cálculos'!$C$98)/(('Cálculos'!$C$196+(($C22)-$A$6:$A$51)*'Cálculos'!$C$98)+1400)+'Cálculos'!$C$122)*'Cálculos'!$C$217+'Cálculos'!$C$125*(1+2.78*('Cálculos'!$C$196+(($C22)-$A$6:$A$51)*'Cálculos'!$C$98)/(('Cálculos'!$C$196+(($C22)-$A$6:$A$51)*'Cálculos'!$C$98)+1400)+'Cálculos'!$C$123)*'Cálculos'!$C$222)+('Cálculos'!$C$213+'Cálculos'!$C$124*(1+2.78*('Cálculos'!$C$196+(($C22)-$A$6:$A$51)*'Cálculos'!$C$98)/(('Cálculos'!$C$196+(($C22)-$A$6:$A$51)*'Cálculos'!$C$98)+1400)+'Cálculos'!$C$122)*'Cálculos'!$C$218+'Cálculos'!$C$125*(1+2.78*('Cálculos'!$C$196+(($C22)-$A$6:$A$51)*'Cálculos'!$C$98)/(('Cálculos'!$C$196+(($C22)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22)-$A$6:$A$51)*'Cálculos'!$C$98)/(('Cálculos'!$C$197+(($C22)-$A$6:$A$51)*'Cálculos'!$C$98)+1400)+'Cálculos'!$C$122)*'Cálculos'!$C$229+'Cálculos'!$C$125*(1+2.78*('Cálculos'!$C$197+(($C22)-$A$6:$A$51)*'Cálculos'!$C$98)/(('Cálculos'!$C$197+(($C22)-$A$6:$A$51)*'Cálculos'!$C$98)+1400)+'Cálculos'!$C$123)*'Cálculos'!$C$234)+('Cálculos'!$C$197+(($C22)-$A$6:$A$51)*'Cálculos'!$C$98)*('Cálculos'!$C$225+'Cálculos'!$C$124*(1+2.78*('Cálculos'!$C$197+(($C22)-$A$6:$A$51)*'Cálculos'!$C$98)/(('Cálculos'!$C$197+(($C22)-$A$6:$A$51)*'Cálculos'!$C$98)+1400)+'Cálculos'!$C$122)*'Cálculos'!$C$230+'Cálculos'!$C$125*(1+2.78*('Cálculos'!$C$197+(($C22)-$A$6:$A$51)*'Cálculos'!$C$98)/(('Cálculos'!$C$197+(($C22)-$A$6:$A$51)*'Cálculos'!$C$98)+1400)+'Cálculos'!$C$123)*'Cálculos'!$C$235)+('Cálculos'!$C$201*(1+'Cálculos'!$C$202+$A$6:$A$51*('Cálculos'!$C$290=2)*'Cálculos'!$C$101)+'Cálculos'!$C$203)*('Cálculos'!$C$226+'Cálculos'!$C$124*(1+2.78*('Cálculos'!$C$197+(($C22)-$A$6:$A$51)*'Cálculos'!$C$98)/(('Cálculos'!$C$197+(($C22)-$A$6:$A$51)*'Cálculos'!$C$98)+1400)+'Cálculos'!$C$122)*'Cálculos'!$C$231+'Cálculos'!$C$125*(1+2.78*('Cálculos'!$C$197+(($C22)-$A$6:$A$51)*'Cálculos'!$C$98)/(('Cálculos'!$C$197+(($C22)-$A$6:$A$51)*'Cálculos'!$C$98)+1400)+'Cálculos'!$C$123)*'Cálculos'!$C$236)+('Cálculos'!$C$204*(1+'Cálculos'!$C$205+$A$6:$A$51*('Cálculos'!$C$290=3)*'Cálculos'!$C$103)+'Cálculos'!$C$206)*('Cálculos'!$C$227+'Cálculos'!$C$124*(1+2.78*('Cálculos'!$C$197+(($C22)-$A$6:$A$51)*'Cálculos'!$C$98)/(('Cálculos'!$C$197+(($C22)-$A$6:$A$51)*'Cálculos'!$C$98)+1400)+'Cálculos'!$C$122)*'Cálculos'!$C$232+'Cálculos'!$C$125*(1+2.78*('Cálculos'!$C$197+(($C22)-$A$6:$A$51)*'Cálculos'!$C$98)/(('Cálculos'!$C$197+(($C22)-$A$6:$A$51)*'Cálculos'!$C$98)+1400)+'Cálculos'!$C$123)*'Cálculos'!$C$237)+('Cálculos'!$C$228+'Cálculos'!$C$124*(1+2.78*('Cálculos'!$C$197+(($C22)-$A$6:$A$51)*'Cálculos'!$C$98)/(('Cálculos'!$C$197+(($C22)-$A$6:$A$51)*'Cálculos'!$C$98)+1400)+'Cálculos'!$C$122)*'Cálculos'!$C$233+'Cálculos'!$C$125*(1+2.78*('Cálculos'!$C$197+(($C22)-$A$6:$A$51)*'Cálculos'!$C$98)/(('Cálculos'!$C$197+(($C22)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22)-$A$6:$A$51)*'Cálculos'!$C$98)/(('Cálculos'!$C$198+(($C22)-$A$6:$A$51)*'Cálculos'!$C$98)+1400)+'Cálculos'!$C$122)*'Cálculos'!$C$244+'Cálculos'!$C$125*(1+2.78*('Cálculos'!$C$198+(($C22)-$A$6:$A$51)*'Cálculos'!$C$98)/(('Cálculos'!$C$198+(($C22)-$A$6:$A$51)*'Cálculos'!$C$98)+1400)+'Cálculos'!$C$123)*'Cálculos'!$C$249)+('Cálculos'!$C$198+(($C22)-$A$6:$A$51)*'Cálculos'!$C$98)*('Cálculos'!$C$240+'Cálculos'!$C$124*(1+2.78*('Cálculos'!$C$198+(($C22)-$A$6:$A$51)*'Cálculos'!$C$98)/(('Cálculos'!$C$198+(($C22)-$A$6:$A$51)*'Cálculos'!$C$98)+1400)+'Cálculos'!$C$122)*'Cálculos'!$C$245+'Cálculos'!$C$125*(1+2.78*('Cálculos'!$C$198+(($C22)-$A$6:$A$51)*'Cálculos'!$C$98)/(('Cálculos'!$C$198+(($C22)-$A$6:$A$51)*'Cálculos'!$C$98)+1400)+'Cálculos'!$C$123)*'Cálculos'!$C$250)+('Cálculos'!$C$201*(1+'Cálculos'!$C$202+$A$6:$A$51*('Cálculos'!$C$290=2)*'Cálculos'!$C$101)+'Cálculos'!$C$203)*('Cálculos'!$C$241+'Cálculos'!$C$124*(1+2.78*('Cálculos'!$C$198+(($C22)-$A$6:$A$51)*'Cálculos'!$C$98)/(('Cálculos'!$C$198+(($C22)-$A$6:$A$51)*'Cálculos'!$C$98)+1400)+'Cálculos'!$C$122)*'Cálculos'!$C$246+'Cálculos'!$C$125*(1+2.78*('Cálculos'!$C$198+(($C22)-$A$6:$A$51)*'Cálculos'!$C$98)/(('Cálculos'!$C$198+(($C22)-$A$6:$A$51)*'Cálculos'!$C$98)+1400)+'Cálculos'!$C$123)*'Cálculos'!$C$251)+('Cálculos'!$C$204*(1+'Cálculos'!$C$205+$A$6:$A$51*('Cálculos'!$C$290=3)*'Cálculos'!$C$103)+'Cálculos'!$C$206)*('Cálculos'!$C$242+'Cálculos'!$C$124*(1+2.78*('Cálculos'!$C$198+(($C22)-$A$6:$A$51)*'Cálculos'!$C$98)/(('Cálculos'!$C$198+(($C22)-$A$6:$A$51)*'Cálculos'!$C$98)+1400)+'Cálculos'!$C$122)*'Cálculos'!$C$247+'Cálculos'!$C$125*(1+2.78*('Cálculos'!$C$198+(($C22)-$A$6:$A$51)*'Cálculos'!$C$98)/(('Cálculos'!$C$198+(($C22)-$A$6:$A$51)*'Cálculos'!$C$98)+1400)+'Cálculos'!$C$123)*'Cálculos'!$C$252)+('Cálculos'!$C$243+'Cálculos'!$C$124*(1+2.78*('Cálculos'!$C$198+(($C22)-$A$6:$A$51)*'Cálculos'!$C$98)/(('Cálculos'!$C$198+(($C22)-$A$6:$A$51)*'Cálculos'!$C$98)+1400)+'Cálculos'!$C$122)*'Cálculos'!$C$248+'Cálculos'!$C$125*(1+2.78*('Cálculos'!$C$198+(($C22)-$A$6:$A$51)*'Cálculos'!$C$98)/(('Cálculos'!$C$198+(($C22)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22)-$A$6:$A$51)*'Cálculos'!$C$98)/(('Cálculos'!$C$199+(($C22)-$A$6:$A$51)*'Cálculos'!$C$98)+1400)+'Cálculos'!$C$122)*'Cálculos'!$C$259+'Cálculos'!$C$125*(1+2.78*('Cálculos'!$C$199+(($C22)-$A$6:$A$51)*'Cálculos'!$C$98)/(('Cálculos'!$C$199+(($C22)-$A$6:$A$51)*'Cálculos'!$C$98)+1400)+'Cálculos'!$C$123)*'Cálculos'!$C$264)+('Cálculos'!$C$199+(($C22)-$A$6:$A$51)*'Cálculos'!$C$98)*('Cálculos'!$C$255+'Cálculos'!$C$124*(1+2.78*('Cálculos'!$C$199+(($C22)-$A$6:$A$51)*'Cálculos'!$C$98)/(('Cálculos'!$C$199+(($C22)-$A$6:$A$51)*'Cálculos'!$C$98)+1400)+'Cálculos'!$C$122)*'Cálculos'!$C$260+'Cálculos'!$C$125*(1+2.78*('Cálculos'!$C$199+(($C22)-$A$6:$A$51)*'Cálculos'!$C$98)/(('Cálculos'!$C$199+(($C22)-$A$6:$A$51)*'Cálculos'!$C$98)+1400)+'Cálculos'!$C$123)*'Cálculos'!$C$265)+('Cálculos'!$C$201*(1+'Cálculos'!$C$202+$A$6:$A$51*('Cálculos'!$C$290=2)*'Cálculos'!$C$101)+'Cálculos'!$C$203)*('Cálculos'!$C$256+'Cálculos'!$C$124*(1+2.78*('Cálculos'!$C$199+(($C22)-$A$6:$A$51)*'Cálculos'!$C$98)/(('Cálculos'!$C$199+(($C22)-$A$6:$A$51)*'Cálculos'!$C$98)+1400)+'Cálculos'!$C$122)*'Cálculos'!$C$261+'Cálculos'!$C$125*(1+2.78*('Cálculos'!$C$199+(($C22)-$A$6:$A$51)*'Cálculos'!$C$98)/(('Cálculos'!$C$199+(($C22)-$A$6:$A$51)*'Cálculos'!$C$98)+1400)+'Cálculos'!$C$123)*'Cálculos'!$C$266)+('Cálculos'!$C$204*(1+'Cálculos'!$C$205+$A$6:$A$51*('Cálculos'!$C$290=3)*'Cálculos'!$C$103)+'Cálculos'!$C$206)*('Cálculos'!$C$257+'Cálculos'!$C$124*(1+2.78*('Cálculos'!$C$199+(($C22)-$A$6:$A$51)*'Cálculos'!$C$98)/(('Cálculos'!$C$199+(($C22)-$A$6:$A$51)*'Cálculos'!$C$98)+1400)+'Cálculos'!$C$122)*'Cálculos'!$C$262+'Cálculos'!$C$125*(1+2.78*('Cálculos'!$C$199+(($C22)-$A$6:$A$51)*'Cálculos'!$C$98)/(('Cálculos'!$C$199+(($C22)-$A$6:$A$51)*'Cálculos'!$C$98)+1400)+'Cálculos'!$C$123)*'Cálculos'!$C$267)+('Cálculos'!$C$258+'Cálculos'!$C$124*(1+2.78*('Cálculos'!$C$199+(($C22)-$A$6:$A$51)*'Cálculos'!$C$98)/(('Cálculos'!$C$199+(($C22)-$A$6:$A$51)*'Cálculos'!$C$98)+1400)+'Cálculos'!$C$122)*'Cálculos'!$C$263+'Cálculos'!$C$125*(1+2.78*('Cálculos'!$C$199+(($C22)-$A$6:$A$51)*'Cálculos'!$C$98)/(('Cálculos'!$C$199+(($C22)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22)-$A$6:$A$51)*'Cálculos'!$C$98)/(('Cálculos'!$C$200+(($C22)-$A$6:$A$51)*'Cálculos'!$C$98)+1400)+'Cálculos'!$C$122)*'Cálculos'!$C$274+'Cálculos'!$C$125*(1+2.78*('Cálculos'!$C$200+(($C22)-$A$6:$A$51)*'Cálculos'!$C$98)/(('Cálculos'!$C$200+(($C22)-$A$6:$A$51)*'Cálculos'!$C$98)+1400)+'Cálculos'!$C$123)*'Cálculos'!$C$279)+('Cálculos'!$C$200+(($C22)-$A$6:$A$51)*'Cálculos'!$C$98)*('Cálculos'!$C$270+'Cálculos'!$C$124*(1+2.78*('Cálculos'!$C$200+(($C22)-$A$6:$A$51)*'Cálculos'!$C$98)/(('Cálculos'!$C$200+(($C22)-$A$6:$A$51)*'Cálculos'!$C$98)+1400)+'Cálculos'!$C$122)*'Cálculos'!$C$275+'Cálculos'!$C$125*(1+2.78*('Cálculos'!$C$200+(($C22)-$A$6:$A$51)*'Cálculos'!$C$98)/(('Cálculos'!$C$200+(($C22)-$A$6:$A$51)*'Cálculos'!$C$98)+1400)+'Cálculos'!$C$123)*'Cálculos'!$C$280)+('Cálculos'!$C$201*(1+'Cálculos'!$C$202+$A$6:$A$51*('Cálculos'!$C$290=2)*'Cálculos'!$C$101)+'Cálculos'!$C$203)*('Cálculos'!$C$271+'Cálculos'!$C$124*(1+2.78*('Cálculos'!$C$200+(($C22)-$A$6:$A$51)*'Cálculos'!$C$98)/(('Cálculos'!$C$200+(($C22)-$A$6:$A$51)*'Cálculos'!$C$98)+1400)+'Cálculos'!$C$122)*'Cálculos'!$C$276+'Cálculos'!$C$125*(1+2.78*('Cálculos'!$C$200+(($C22)-$A$6:$A$51)*'Cálculos'!$C$98)/(('Cálculos'!$C$200+(($C22)-$A$6:$A$51)*'Cálculos'!$C$98)+1400)+'Cálculos'!$C$123)*'Cálculos'!$C$281)+('Cálculos'!$C$204*(1+'Cálculos'!$C$205+$A$6:$A$51*('Cálculos'!$C$290=3)*'Cálculos'!$C$103)+'Cálculos'!$C$206)*('Cálculos'!$C$272+'Cálculos'!$C$124*(1+2.78*('Cálculos'!$C$200+(($C22)-$A$6:$A$51)*'Cálculos'!$C$98)/(('Cálculos'!$C$200+(($C22)-$A$6:$A$51)*'Cálculos'!$C$98)+1400)+'Cálculos'!$C$122)*'Cálculos'!$C$277+'Cálculos'!$C$125*(1+2.78*('Cálculos'!$C$200+(($C22)-$A$6:$A$51)*'Cálculos'!$C$98)/(('Cálculos'!$C$200+(($C22)-$A$6:$A$51)*'Cálculos'!$C$98)+1400)+'Cálculos'!$C$123)*'Cálculos'!$C$282)+('Cálculos'!$C$273+'Cálculos'!$C$124*(1+2.78*('Cálculos'!$C$200+(($C22)-$A$6:$A$51)*'Cálculos'!$C$98)/(('Cálculos'!$C$200+(($C22)-$A$6:$A$51)*'Cálculos'!$C$98)+1400)+'Cálculos'!$C$122)*'Cálculos'!$C$278+'Cálculos'!$C$125*(1+2.78*('Cálculos'!$C$200+(($C22)-$A$6:$A$51)*'Cálculos'!$C$98)/(('Cálculos'!$C$200+(($C22)-$A$6:$A$51)*'Cálculos'!$C$98)+1400)+'Cálculos'!$C$123)*'Cálculos'!$C$283)))))</f>
        <v>1096752.166</v>
      </c>
      <c r="E22" s="32">
        <f>IF(OR($C22&lt;0,'Cálculos'!$C$6=""),0,$B22*$D22)</f>
        <v>3611058.7</v>
      </c>
      <c r="F22" s="2"/>
      <c r="G22" s="30">
        <f>($A22&lt;=$B$53)*($A22&lt;='Cálculos'!$C$294)*(($B$53)-$A22&lt;='Cálculos'!$C$295)*(1+MIN(('Cálculos'!$C$207+$A22*'Cálculos'!$C$95),1)*('Cálculos'!$C$208+(($B$53)-$A22)*'Cálculos'!$C$96))</f>
        <v>2.988</v>
      </c>
      <c r="H22" s="31">
        <f>IF($B$54&lt;0,0,($A22&lt;=$B$54)*($A22&lt;='Cálculos'!$C$301)*(($B$54)-$A22&lt;='Cálculos'!$C$297)*(('Cálculos'!$C$185*(1+'Cálculos'!$C$186+$A22*('Cálculos'!$C$290=1)*'Cálculos'!$C$97+'Cálculos'!$C$305)+'Cálculos'!$C$191)*('Cálculos'!$C$209+'Cálculos'!$C$124*(1+2.78*('Cálculos'!$C$196+(($B$54)-$A22)*'Cálculos'!$C$98)/(('Cálculos'!$C$196+(($B$54)-$A22)*'Cálculos'!$C$98)+1400)+'Cálculos'!$C$122)*'Cálculos'!$C$214+'Cálculos'!$C$125*(1+2.78*('Cálculos'!$C$196+(($B$54)-$A22)*'Cálculos'!$C$98)/(('Cálculos'!$C$196+(($B$54)-$A22)*'Cálculos'!$C$98)+1400)+'Cálculos'!$C$123)*'Cálculos'!$C$219)+('Cálculos'!$C$196+(($B$54)-$A22)*'Cálculos'!$C$98)*('Cálculos'!$C$210+'Cálculos'!$C$124*(1+2.78*('Cálculos'!$C$196+(($B$54)-$A22)*'Cálculos'!$C$98)/(('Cálculos'!$C$196+(($B$54)-$A22)*'Cálculos'!$C$98)+1400)+'Cálculos'!$C$122)*'Cálculos'!$C$215+'Cálculos'!$C$125*(1+2.78*('Cálculos'!$C$196+(($B$54)-$A22)*'Cálculos'!$C$98)/(('Cálculos'!$C$196+(($B$54)-$A22)*'Cálculos'!$C$98)+1400)+'Cálculos'!$C$123)*'Cálculos'!$C$220)+('Cálculos'!$C$201*(1+'Cálculos'!$C$202+$A22*('Cálculos'!$C$290=2)*'Cálculos'!$C$101)+'Cálculos'!$C$203)*('Cálculos'!$C$211+'Cálculos'!$C$124*(1+2.78*('Cálculos'!$C$196+(($B$54)-$A22)*'Cálculos'!$C$98)/(('Cálculos'!$C$196+(($B$54)-$A22)*'Cálculos'!$C$98)+1400)+'Cálculos'!$C$122)*'Cálculos'!$C$216+'Cálculos'!$C$125*(1+2.78*('Cálculos'!$C$196+(($B$54)-$A22)*'Cálculos'!$C$98)/(('Cálculos'!$C$196+(($B$54)-$A22)*'Cálculos'!$C$98)+1400)+'Cálculos'!$C$123)*'Cálculos'!$C$221)+('Cálculos'!$C$204*(1+'Cálculos'!$C$205+$A22*('Cálculos'!$C$290=3)*'Cálculos'!$C$103)+'Cálculos'!$C$206)*('Cálculos'!$C$212+'Cálculos'!$C$124*(1+2.78*('Cálculos'!$C$196+(($B$54)-$A22)*'Cálculos'!$C$98)/(('Cálculos'!$C$196+(($B$54)-$A22)*'Cálculos'!$C$98)+1400)+'Cálculos'!$C$122)*'Cálculos'!$C$217+'Cálculos'!$C$125*(1+2.78*('Cálculos'!$C$196+(($B$54)-$A22)*'Cálculos'!$C$98)/(('Cálculos'!$C$196+(($B$54)-$A22)*'Cálculos'!$C$98)+1400)+'Cálculos'!$C$123)*'Cálculos'!$C$222)+('Cálculos'!$C$213+'Cálculos'!$C$124*(1+2.78*('Cálculos'!$C$196+(($B$54)-$A22)*'Cálculos'!$C$98)/(('Cálculos'!$C$196+(($B$54)-$A22)*'Cálculos'!$C$98)+1400)+'Cálculos'!$C$122)*'Cálculos'!$C$218+'Cálculos'!$C$125*(1+2.78*('Cálculos'!$C$196+(($B$54)-$A22)*'Cálculos'!$C$98)/(('Cálculos'!$C$196+(($B$54)-$A22)*'Cálculos'!$C$98)+1400)+'Cálculos'!$C$123)*'Cálculos'!$C$223)+('Cálculos'!$C$185*(1+'Cálculos'!$C$187+$A22*('Cálculos'!$C$290=1)*'Cálculos'!$C$97+'Cálculos'!$C$305)+'Cálculos'!$C$192)*('Cálculos'!$C$224+'Cálculos'!$C$124*(1+2.78*('Cálculos'!$C$197+(($B$54)-$A22)*'Cálculos'!$C$98)/(('Cálculos'!$C$197+(($B$54)-$A22)*'Cálculos'!$C$98)+1400)+'Cálculos'!$C$122)*'Cálculos'!$C$229+'Cálculos'!$C$125*(1+2.78*('Cálculos'!$C$197+(($B$54)-$A22)*'Cálculos'!$C$98)/(('Cálculos'!$C$197+(($B$54)-$A22)*'Cálculos'!$C$98)+1400)+'Cálculos'!$C$123)*'Cálculos'!$C$234)+('Cálculos'!$C$197+(($B$54)-$A22)*'Cálculos'!$C$98)*('Cálculos'!$C$225+'Cálculos'!$C$124*(1+2.78*('Cálculos'!$C$197+(($B$54)-$A22)*'Cálculos'!$C$98)/(('Cálculos'!$C$197+(($B$54)-$A22)*'Cálculos'!$C$98)+1400)+'Cálculos'!$C$122)*'Cálculos'!$C$230+'Cálculos'!$C$125*(1+2.78*('Cálculos'!$C$197+(($B$54)-$A22)*'Cálculos'!$C$98)/(('Cálculos'!$C$197+(($B$54)-$A22)*'Cálculos'!$C$98)+1400)+'Cálculos'!$C$123)*'Cálculos'!$C$235)+('Cálculos'!$C$201*(1+'Cálculos'!$C$202+$A22*('Cálculos'!$C$290=2)*'Cálculos'!$C$101)+'Cálculos'!$C$203)*('Cálculos'!$C$226+'Cálculos'!$C$124*(1+2.78*('Cálculos'!$C$197+(($B$54)-$A22)*'Cálculos'!$C$98)/(('Cálculos'!$C$197+(($B$54)-$A22)*'Cálculos'!$C$98)+1400)+'Cálculos'!$C$122)*'Cálculos'!$C$231+'Cálculos'!$C$125*(1+2.78*('Cálculos'!$C$197+(($B$54)-$A22)*'Cálculos'!$C$98)/(('Cálculos'!$C$197+(($B$54)-$A22)*'Cálculos'!$C$98)+1400)+'Cálculos'!$C$123)*'Cálculos'!$C$236)+('Cálculos'!$C$204*(1+'Cálculos'!$C$205+$A22*('Cálculos'!$C$290=3)*'Cálculos'!$C$103)+'Cálculos'!$C$206)*('Cálculos'!$C$227+'Cálculos'!$C$124*(1+2.78*('Cálculos'!$C$197+(($B$54)-$A22)*'Cálculos'!$C$98)/(('Cálculos'!$C$197+(($B$54)-$A22)*'Cálculos'!$C$98)+1400)+'Cálculos'!$C$122)*'Cálculos'!$C$232+'Cálculos'!$C$125*(1+2.78*('Cálculos'!$C$197+(($B$54)-$A22)*'Cálculos'!$C$98)/(('Cálculos'!$C$197+(($B$54)-$A22)*'Cálculos'!$C$98)+1400)+'Cálculos'!$C$123)*'Cálculos'!$C$237)+('Cálculos'!$C$228+'Cálculos'!$C$124*(1+2.78*('Cálculos'!$C$197+(($B$54)-$A22)*'Cálculos'!$C$98)/(('Cálculos'!$C$197+(($B$54)-$A22)*'Cálculos'!$C$98)+1400)+'Cálculos'!$C$122)*'Cálculos'!$C$233+'Cálculos'!$C$125*(1+2.78*('Cálculos'!$C$197+(($B$54)-$A22)*'Cálculos'!$C$98)/(('Cálculos'!$C$197+(($B$54)-$A22)*'Cálculos'!$C$98)+1400)+'Cálculos'!$C$123)*'Cálculos'!$C$238)+('Cálculos'!$C$185*(1+'Cálculos'!$C$188+$A22*('Cálculos'!$C$290=1)*'Cálculos'!$C$97+'Cálculos'!$C$305)+'Cálculos'!$C$193)*('Cálculos'!$C$239+'Cálculos'!$C$124*(1+2.78*('Cálculos'!$C$198+(($B$54)-$A22)*'Cálculos'!$C$98)/(('Cálculos'!$C$198+(($B$54)-$A22)*'Cálculos'!$C$98)+1400)+'Cálculos'!$C$122)*'Cálculos'!$C$244+'Cálculos'!$C$125*(1+2.78*('Cálculos'!$C$198+(($B$54)-$A22)*'Cálculos'!$C$98)/(('Cálculos'!$C$198+(($B$54)-$A22)*'Cálculos'!$C$98)+1400)+'Cálculos'!$C$123)*'Cálculos'!$C$249)+('Cálculos'!$C$198+(($B$54)-$A22)*'Cálculos'!$C$98)*('Cálculos'!$C$240+'Cálculos'!$C$124*(1+2.78*('Cálculos'!$C$198+(($B$54)-$A22)*'Cálculos'!$C$98)/(('Cálculos'!$C$198+(($B$54)-$A22)*'Cálculos'!$C$98)+1400)+'Cálculos'!$C$122)*'Cálculos'!$C$245+'Cálculos'!$C$125*(1+2.78*('Cálculos'!$C$198+(($B$54)-$A22)*'Cálculos'!$C$98)/(('Cálculos'!$C$198+(($B$54)-$A22)*'Cálculos'!$C$98)+1400)+'Cálculos'!$C$123)*'Cálculos'!$C$250)+('Cálculos'!$C$201*(1+'Cálculos'!$C$202+$A22*('Cálculos'!$C$290=2)*'Cálculos'!$C$101)+'Cálculos'!$C$203)*('Cálculos'!$C$241+'Cálculos'!$C$124*(1+2.78*('Cálculos'!$C$198+(($B$54)-$A22)*'Cálculos'!$C$98)/(('Cálculos'!$C$198+(($B$54)-$A22)*'Cálculos'!$C$98)+1400)+'Cálculos'!$C$122)*'Cálculos'!$C$246+'Cálculos'!$C$125*(1+2.78*('Cálculos'!$C$198+(($B$54)-$A22)*'Cálculos'!$C$98)/(('Cálculos'!$C$198+(($B$54)-$A22)*'Cálculos'!$C$98)+1400)+'Cálculos'!$C$123)*'Cálculos'!$C$251)+('Cálculos'!$C$204*(1+'Cálculos'!$C$205+$A22*('Cálculos'!$C$290=3)*'Cálculos'!$C$103)+'Cálculos'!$C$206)*('Cálculos'!$C$242+'Cálculos'!$C$124*(1+2.78*('Cálculos'!$C$198+(($B$54)-$A22)*'Cálculos'!$C$98)/(('Cálculos'!$C$198+(($B$54)-$A22)*'Cálculos'!$C$98)+1400)+'Cálculos'!$C$122)*'Cálculos'!$C$247+'Cálculos'!$C$125*(1+2.78*('Cálculos'!$C$198+(($B$54)-$A22)*'Cálculos'!$C$98)/(('Cálculos'!$C$198+(($B$54)-$A22)*'Cálculos'!$C$98)+1400)+'Cálculos'!$C$123)*'Cálculos'!$C$252)+('Cálculos'!$C$243+'Cálculos'!$C$124*(1+2.78*('Cálculos'!$C$198+(($B$54)-$A22)*'Cálculos'!$C$98)/(('Cálculos'!$C$198+(($B$54)-$A22)*'Cálculos'!$C$98)+1400)+'Cálculos'!$C$122)*'Cálculos'!$C$248+'Cálculos'!$C$125*(1+2.78*('Cálculos'!$C$198+(($B$54)-$A22)*'Cálculos'!$C$98)/(('Cálculos'!$C$198+(($B$54)-$A22)*'Cálculos'!$C$98)+1400)+'Cálculos'!$C$123)*'Cálculos'!$C$253)+('Cálculos'!$C$185*(1+'Cálculos'!$C$189+$A22*('Cálculos'!$C$290=1)*'Cálculos'!$C$97+'Cálculos'!$C$305)+'Cálculos'!$C$194)*('Cálculos'!$C$254+'Cálculos'!$C$124*(1+2.78*('Cálculos'!$C$199+(($B$54)-$A22)*'Cálculos'!$C$98)/(('Cálculos'!$C$199+(($B$54)-$A22)*'Cálculos'!$C$98)+1400)+'Cálculos'!$C$122)*'Cálculos'!$C$259+'Cálculos'!$C$125*(1+2.78*('Cálculos'!$C$199+(($B$54)-$A22)*'Cálculos'!$C$98)/(('Cálculos'!$C$199+(($B$54)-$A22)*'Cálculos'!$C$98)+1400)+'Cálculos'!$C$123)*'Cálculos'!$C$264)+('Cálculos'!$C$199+(($B$54)-$A22)*'Cálculos'!$C$98)*('Cálculos'!$C$255+'Cálculos'!$C$124*(1+2.78*('Cálculos'!$C$199+(($B$54)-$A22)*'Cálculos'!$C$98)/(('Cálculos'!$C$199+(($B$54)-$A22)*'Cálculos'!$C$98)+1400)+'Cálculos'!$C$122)*'Cálculos'!$C$260+'Cálculos'!$C$125*(1+2.78*('Cálculos'!$C$199+(($B$54)-$A22)*'Cálculos'!$C$98)/(('Cálculos'!$C$199+(($B$54)-$A22)*'Cálculos'!$C$98)+1400)+'Cálculos'!$C$123)*'Cálculos'!$C$265)+('Cálculos'!$C$201*(1+'Cálculos'!$C$202+$A22*('Cálculos'!$C$290=2)*'Cálculos'!$C$101)+'Cálculos'!$C$203)*('Cálculos'!$C$256+'Cálculos'!$C$124*(1+2.78*('Cálculos'!$C$199+(($B$54)-$A22)*'Cálculos'!$C$98)/(('Cálculos'!$C$199+(($B$54)-$A22)*'Cálculos'!$C$98)+1400)+'Cálculos'!$C$122)*'Cálculos'!$C$261+'Cálculos'!$C$125*(1+2.78*('Cálculos'!$C$199+(($B$54)-$A22)*'Cálculos'!$C$98)/(('Cálculos'!$C$199+(($B$54)-$A22)*'Cálculos'!$C$98)+1400)+'Cálculos'!$C$123)*'Cálculos'!$C$266)+('Cálculos'!$C$204*(1+'Cálculos'!$C$205+$A22*('Cálculos'!$C$290=3)*'Cálculos'!$C$103)+'Cálculos'!$C$206)*('Cálculos'!$C$257+'Cálculos'!$C$124*(1+2.78*('Cálculos'!$C$199+(($B$54)-$A22)*'Cálculos'!$C$98)/(('Cálculos'!$C$199+(($B$54)-$A22)*'Cálculos'!$C$98)+1400)+'Cálculos'!$C$122)*'Cálculos'!$C$262+'Cálculos'!$C$125*(1+2.78*('Cálculos'!$C$199+(($B$54)-$A22)*'Cálculos'!$C$98)/(('Cálculos'!$C$199+(($B$54)-$A22)*'Cálculos'!$C$98)+1400)+'Cálculos'!$C$123)*'Cálculos'!$C$267)+('Cálculos'!$C$258+'Cálculos'!$C$124*(1+2.78*('Cálculos'!$C$199+(($B$54)-$A22)*'Cálculos'!$C$98)/(('Cálculos'!$C$199+(($B$54)-$A22)*'Cálculos'!$C$98)+1400)+'Cálculos'!$C$122)*'Cálculos'!$C$263+'Cálculos'!$C$125*(1+2.78*('Cálculos'!$C$199+(($B$54)-$A22)*'Cálculos'!$C$98)/(('Cálculos'!$C$199+(($B$54)-$A22)*'Cálculos'!$C$98)+1400)+'Cálculos'!$C$123)*'Cálculos'!$C$268)+('Cálculos'!$C$185*(1+'Cálculos'!$C$190+$A22*('Cálculos'!$C$290=1)*'Cálculos'!$C$97+'Cálculos'!$C$305)+'Cálculos'!$C$195)*('Cálculos'!$C$269+'Cálculos'!$C$124*(1+2.78*('Cálculos'!$C$200+(($B$54)-$A22)*'Cálculos'!$C$98)/(('Cálculos'!$C$200+(($B$54)-$A22)*'Cálculos'!$C$98)+1400)+'Cálculos'!$C$122)*'Cálculos'!$C$274+'Cálculos'!$C$125*(1+2.78*('Cálculos'!$C$200+(($B$54)-$A22)*'Cálculos'!$C$98)/(('Cálculos'!$C$200+(($B$54)-$A22)*'Cálculos'!$C$98)+1400)+'Cálculos'!$C$123)*'Cálculos'!$C$279)+('Cálculos'!$C$200+(($B$54)-$A22)*'Cálculos'!$C$98)*('Cálculos'!$C$270+'Cálculos'!$C$124*(1+2.78*('Cálculos'!$C$200+(($B$54)-$A22)*'Cálculos'!$C$98)/(('Cálculos'!$C$200+(($B$54)-$A22)*'Cálculos'!$C$98)+1400)+'Cálculos'!$C$122)*'Cálculos'!$C$275+'Cálculos'!$C$125*(1+2.78*('Cálculos'!$C$200+(($B$54)-$A22)*'Cálculos'!$C$98)/(('Cálculos'!$C$200+(($B$54)-$A22)*'Cálculos'!$C$98)+1400)+'Cálculos'!$C$123)*'Cálculos'!$C$280)+('Cálculos'!$C$201*(1+'Cálculos'!$C$202+$A22*('Cálculos'!$C$290=2)*'Cálculos'!$C$101)+'Cálculos'!$C$203)*('Cálculos'!$C$271+'Cálculos'!$C$124*(1+2.78*('Cálculos'!$C$200+(($B$54)-$A22)*'Cálculos'!$C$98)/(('Cálculos'!$C$200+(($B$54)-$A22)*'Cálculos'!$C$98)+1400)+'Cálculos'!$C$122)*'Cálculos'!$C$276+'Cálculos'!$C$125*(1+2.78*('Cálculos'!$C$200+(($B$54)-$A22)*'Cálculos'!$C$98)/(('Cálculos'!$C$200+(($B$54)-$A22)*'Cálculos'!$C$98)+1400)+'Cálculos'!$C$123)*'Cálculos'!$C$281)+('Cálculos'!$C$204*(1+'Cálculos'!$C$205+$A22*('Cálculos'!$C$290=3)*'Cálculos'!$C$103)+'Cálculos'!$C$206)*('Cálculos'!$C$272+'Cálculos'!$C$124*(1+2.78*('Cálculos'!$C$200+(($B$54)-$A22)*'Cálculos'!$C$98)/(('Cálculos'!$C$200+(($B$54)-$A22)*'Cálculos'!$C$98)+1400)+'Cálculos'!$C$122)*'Cálculos'!$C$277+'Cálculos'!$C$125*(1+2.78*('Cálculos'!$C$200+(($B$54)-$A22)*'Cálculos'!$C$98)/(('Cálculos'!$C$200+(($B$54)-$A22)*'Cálculos'!$C$98)+1400)+'Cálculos'!$C$123)*'Cálculos'!$C$282)+('Cálculos'!$C$273+'Cálculos'!$C$124*(1+2.78*('Cálculos'!$C$200+(($B$54)-$A22)*'Cálculos'!$C$98)/(('Cálculos'!$C$200+(($B$54)-$A22)*'Cálculos'!$C$98)+1400)+'Cálculos'!$C$122)*'Cálculos'!$C$278+'Cálculos'!$C$125*(1+2.78*('Cálculos'!$C$200+(($B$54)-$A22)*'Cálculos'!$C$98)/(('Cálculos'!$C$200+(($B$54)-$A22)*'Cálculos'!$C$98)+1400)+'Cálculos'!$C$123)*'Cálculos'!$C$283)))</f>
        <v>0</v>
      </c>
    </row>
    <row r="23" ht="15.75" customHeight="1">
      <c r="A23" s="2">
        <v>17.0</v>
      </c>
      <c r="B23" s="30">
        <f>SUMPRODUCT(MAX(($A$6:$A$51&lt;=$A23)*($A$6:$A$51&lt;='Cálculos'!$C$294)*(($A23)-$A$6:$A$51&lt;='Cálculos'!$C$295)*(1+(('Cálculos'!$C$207+$A$6:$A$51*'Cálculos'!$C$95)-(('Cálculos'!$C$207+$A$6:$A$51*'Cálculos'!$C$95)&gt;1)*(('Cálculos'!$C$207+$A$6:$A$51*'Cálculos'!$C$95)-1))*('Cálculos'!$C$208+(($A23)-$A$6:$A$51)*'Cálculos'!$C$96))))</f>
        <v>3.357776</v>
      </c>
      <c r="C23" s="2">
        <f>'Cálculos'!$C$303-$A23</f>
        <v>3</v>
      </c>
      <c r="D23" s="31">
        <f>IF($C23&lt;0,0,SUMPRODUCT(MAX(($A$6:$A$51&lt;=$C23)*($A$6:$A$51&lt;='Cálculos'!$C$301)*(($C23)-$A$6:$A$51&lt;='Cálculos'!$C$297)*(('Cálculos'!$C$185*(1+'Cálculos'!$C$186+$A$6:$A$51*('Cálculos'!$C$290=1)*'Cálculos'!$C$97+'Cálculos'!$C$305)+'Cálculos'!$C$191)*('Cálculos'!$C$209+'Cálculos'!$C$124*(1+2.78*('Cálculos'!$C$196+(($C23)-$A$6:$A$51)*'Cálculos'!$C$98)/(('Cálculos'!$C$196+(($C23)-$A$6:$A$51)*'Cálculos'!$C$98)+1400)+'Cálculos'!$C$122)*'Cálculos'!$C$214+'Cálculos'!$C$125*(1+2.78*('Cálculos'!$C$196+(($C23)-$A$6:$A$51)*'Cálculos'!$C$98)/(('Cálculos'!$C$196+(($C23)-$A$6:$A$51)*'Cálculos'!$C$98)+1400)+'Cálculos'!$C$123)*'Cálculos'!$C$219)+('Cálculos'!$C$196+(($C23)-$A$6:$A$51)*'Cálculos'!$C$98)*('Cálculos'!$C$210+'Cálculos'!$C$124*(1+2.78*('Cálculos'!$C$196+(($C23)-$A$6:$A$51)*'Cálculos'!$C$98)/(('Cálculos'!$C$196+(($C23)-$A$6:$A$51)*'Cálculos'!$C$98)+1400)+'Cálculos'!$C$122)*'Cálculos'!$C$215+'Cálculos'!$C$125*(1+2.78*('Cálculos'!$C$196+(($C23)-$A$6:$A$51)*'Cálculos'!$C$98)/(('Cálculos'!$C$196+(($C23)-$A$6:$A$51)*'Cálculos'!$C$98)+1400)+'Cálculos'!$C$123)*'Cálculos'!$C$220)+('Cálculos'!$C$201*(1+'Cálculos'!$C$202+$A$6:$A$51*('Cálculos'!$C$290=2)*'Cálculos'!$C$101)+'Cálculos'!$C$203)*('Cálculos'!$C$211+'Cálculos'!$C$124*(1+2.78*('Cálculos'!$C$196+(($C23)-$A$6:$A$51)*'Cálculos'!$C$98)/(('Cálculos'!$C$196+(($C23)-$A$6:$A$51)*'Cálculos'!$C$98)+1400)+'Cálculos'!$C$122)*'Cálculos'!$C$216+'Cálculos'!$C$125*(1+2.78*('Cálculos'!$C$196+(($C23)-$A$6:$A$51)*'Cálculos'!$C$98)/(('Cálculos'!$C$196+(($C23)-$A$6:$A$51)*'Cálculos'!$C$98)+1400)+'Cálculos'!$C$123)*'Cálculos'!$C$221)+('Cálculos'!$C$204*(1+'Cálculos'!$C$205+$A$6:$A$51*('Cálculos'!$C$290=3)*'Cálculos'!$C$103)+'Cálculos'!$C$206)*('Cálculos'!$C$212+'Cálculos'!$C$124*(1+2.78*('Cálculos'!$C$196+(($C23)-$A$6:$A$51)*'Cálculos'!$C$98)/(('Cálculos'!$C$196+(($C23)-$A$6:$A$51)*'Cálculos'!$C$98)+1400)+'Cálculos'!$C$122)*'Cálculos'!$C$217+'Cálculos'!$C$125*(1+2.78*('Cálculos'!$C$196+(($C23)-$A$6:$A$51)*'Cálculos'!$C$98)/(('Cálculos'!$C$196+(($C23)-$A$6:$A$51)*'Cálculos'!$C$98)+1400)+'Cálculos'!$C$123)*'Cálculos'!$C$222)+('Cálculos'!$C$213+'Cálculos'!$C$124*(1+2.78*('Cálculos'!$C$196+(($C23)-$A$6:$A$51)*'Cálculos'!$C$98)/(('Cálculos'!$C$196+(($C23)-$A$6:$A$51)*'Cálculos'!$C$98)+1400)+'Cálculos'!$C$122)*'Cálculos'!$C$218+'Cálculos'!$C$125*(1+2.78*('Cálculos'!$C$196+(($C23)-$A$6:$A$51)*'Cálculos'!$C$98)/(('Cálculos'!$C$196+(($C23)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23)-$A$6:$A$51)*'Cálculos'!$C$98)/(('Cálculos'!$C$197+(($C23)-$A$6:$A$51)*'Cálculos'!$C$98)+1400)+'Cálculos'!$C$122)*'Cálculos'!$C$229+'Cálculos'!$C$125*(1+2.78*('Cálculos'!$C$197+(($C23)-$A$6:$A$51)*'Cálculos'!$C$98)/(('Cálculos'!$C$197+(($C23)-$A$6:$A$51)*'Cálculos'!$C$98)+1400)+'Cálculos'!$C$123)*'Cálculos'!$C$234)+('Cálculos'!$C$197+(($C23)-$A$6:$A$51)*'Cálculos'!$C$98)*('Cálculos'!$C$225+'Cálculos'!$C$124*(1+2.78*('Cálculos'!$C$197+(($C23)-$A$6:$A$51)*'Cálculos'!$C$98)/(('Cálculos'!$C$197+(($C23)-$A$6:$A$51)*'Cálculos'!$C$98)+1400)+'Cálculos'!$C$122)*'Cálculos'!$C$230+'Cálculos'!$C$125*(1+2.78*('Cálculos'!$C$197+(($C23)-$A$6:$A$51)*'Cálculos'!$C$98)/(('Cálculos'!$C$197+(($C23)-$A$6:$A$51)*'Cálculos'!$C$98)+1400)+'Cálculos'!$C$123)*'Cálculos'!$C$235)+('Cálculos'!$C$201*(1+'Cálculos'!$C$202+$A$6:$A$51*('Cálculos'!$C$290=2)*'Cálculos'!$C$101)+'Cálculos'!$C$203)*('Cálculos'!$C$226+'Cálculos'!$C$124*(1+2.78*('Cálculos'!$C$197+(($C23)-$A$6:$A$51)*'Cálculos'!$C$98)/(('Cálculos'!$C$197+(($C23)-$A$6:$A$51)*'Cálculos'!$C$98)+1400)+'Cálculos'!$C$122)*'Cálculos'!$C$231+'Cálculos'!$C$125*(1+2.78*('Cálculos'!$C$197+(($C23)-$A$6:$A$51)*'Cálculos'!$C$98)/(('Cálculos'!$C$197+(($C23)-$A$6:$A$51)*'Cálculos'!$C$98)+1400)+'Cálculos'!$C$123)*'Cálculos'!$C$236)+('Cálculos'!$C$204*(1+'Cálculos'!$C$205+$A$6:$A$51*('Cálculos'!$C$290=3)*'Cálculos'!$C$103)+'Cálculos'!$C$206)*('Cálculos'!$C$227+'Cálculos'!$C$124*(1+2.78*('Cálculos'!$C$197+(($C23)-$A$6:$A$51)*'Cálculos'!$C$98)/(('Cálculos'!$C$197+(($C23)-$A$6:$A$51)*'Cálculos'!$C$98)+1400)+'Cálculos'!$C$122)*'Cálculos'!$C$232+'Cálculos'!$C$125*(1+2.78*('Cálculos'!$C$197+(($C23)-$A$6:$A$51)*'Cálculos'!$C$98)/(('Cálculos'!$C$197+(($C23)-$A$6:$A$51)*'Cálculos'!$C$98)+1400)+'Cálculos'!$C$123)*'Cálculos'!$C$237)+('Cálculos'!$C$228+'Cálculos'!$C$124*(1+2.78*('Cálculos'!$C$197+(($C23)-$A$6:$A$51)*'Cálculos'!$C$98)/(('Cálculos'!$C$197+(($C23)-$A$6:$A$51)*'Cálculos'!$C$98)+1400)+'Cálculos'!$C$122)*'Cálculos'!$C$233+'Cálculos'!$C$125*(1+2.78*('Cálculos'!$C$197+(($C23)-$A$6:$A$51)*'Cálculos'!$C$98)/(('Cálculos'!$C$197+(($C23)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23)-$A$6:$A$51)*'Cálculos'!$C$98)/(('Cálculos'!$C$198+(($C23)-$A$6:$A$51)*'Cálculos'!$C$98)+1400)+'Cálculos'!$C$122)*'Cálculos'!$C$244+'Cálculos'!$C$125*(1+2.78*('Cálculos'!$C$198+(($C23)-$A$6:$A$51)*'Cálculos'!$C$98)/(('Cálculos'!$C$198+(($C23)-$A$6:$A$51)*'Cálculos'!$C$98)+1400)+'Cálculos'!$C$123)*'Cálculos'!$C$249)+('Cálculos'!$C$198+(($C23)-$A$6:$A$51)*'Cálculos'!$C$98)*('Cálculos'!$C$240+'Cálculos'!$C$124*(1+2.78*('Cálculos'!$C$198+(($C23)-$A$6:$A$51)*'Cálculos'!$C$98)/(('Cálculos'!$C$198+(($C23)-$A$6:$A$51)*'Cálculos'!$C$98)+1400)+'Cálculos'!$C$122)*'Cálculos'!$C$245+'Cálculos'!$C$125*(1+2.78*('Cálculos'!$C$198+(($C23)-$A$6:$A$51)*'Cálculos'!$C$98)/(('Cálculos'!$C$198+(($C23)-$A$6:$A$51)*'Cálculos'!$C$98)+1400)+'Cálculos'!$C$123)*'Cálculos'!$C$250)+('Cálculos'!$C$201*(1+'Cálculos'!$C$202+$A$6:$A$51*('Cálculos'!$C$290=2)*'Cálculos'!$C$101)+'Cálculos'!$C$203)*('Cálculos'!$C$241+'Cálculos'!$C$124*(1+2.78*('Cálculos'!$C$198+(($C23)-$A$6:$A$51)*'Cálculos'!$C$98)/(('Cálculos'!$C$198+(($C23)-$A$6:$A$51)*'Cálculos'!$C$98)+1400)+'Cálculos'!$C$122)*'Cálculos'!$C$246+'Cálculos'!$C$125*(1+2.78*('Cálculos'!$C$198+(($C23)-$A$6:$A$51)*'Cálculos'!$C$98)/(('Cálculos'!$C$198+(($C23)-$A$6:$A$51)*'Cálculos'!$C$98)+1400)+'Cálculos'!$C$123)*'Cálculos'!$C$251)+('Cálculos'!$C$204*(1+'Cálculos'!$C$205+$A$6:$A$51*('Cálculos'!$C$290=3)*'Cálculos'!$C$103)+'Cálculos'!$C$206)*('Cálculos'!$C$242+'Cálculos'!$C$124*(1+2.78*('Cálculos'!$C$198+(($C23)-$A$6:$A$51)*'Cálculos'!$C$98)/(('Cálculos'!$C$198+(($C23)-$A$6:$A$51)*'Cálculos'!$C$98)+1400)+'Cálculos'!$C$122)*'Cálculos'!$C$247+'Cálculos'!$C$125*(1+2.78*('Cálculos'!$C$198+(($C23)-$A$6:$A$51)*'Cálculos'!$C$98)/(('Cálculos'!$C$198+(($C23)-$A$6:$A$51)*'Cálculos'!$C$98)+1400)+'Cálculos'!$C$123)*'Cálculos'!$C$252)+('Cálculos'!$C$243+'Cálculos'!$C$124*(1+2.78*('Cálculos'!$C$198+(($C23)-$A$6:$A$51)*'Cálculos'!$C$98)/(('Cálculos'!$C$198+(($C23)-$A$6:$A$51)*'Cálculos'!$C$98)+1400)+'Cálculos'!$C$122)*'Cálculos'!$C$248+'Cálculos'!$C$125*(1+2.78*('Cálculos'!$C$198+(($C23)-$A$6:$A$51)*'Cálculos'!$C$98)/(('Cálculos'!$C$198+(($C23)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23)-$A$6:$A$51)*'Cálculos'!$C$98)/(('Cálculos'!$C$199+(($C23)-$A$6:$A$51)*'Cálculos'!$C$98)+1400)+'Cálculos'!$C$122)*'Cálculos'!$C$259+'Cálculos'!$C$125*(1+2.78*('Cálculos'!$C$199+(($C23)-$A$6:$A$51)*'Cálculos'!$C$98)/(('Cálculos'!$C$199+(($C23)-$A$6:$A$51)*'Cálculos'!$C$98)+1400)+'Cálculos'!$C$123)*'Cálculos'!$C$264)+('Cálculos'!$C$199+(($C23)-$A$6:$A$51)*'Cálculos'!$C$98)*('Cálculos'!$C$255+'Cálculos'!$C$124*(1+2.78*('Cálculos'!$C$199+(($C23)-$A$6:$A$51)*'Cálculos'!$C$98)/(('Cálculos'!$C$199+(($C23)-$A$6:$A$51)*'Cálculos'!$C$98)+1400)+'Cálculos'!$C$122)*'Cálculos'!$C$260+'Cálculos'!$C$125*(1+2.78*('Cálculos'!$C$199+(($C23)-$A$6:$A$51)*'Cálculos'!$C$98)/(('Cálculos'!$C$199+(($C23)-$A$6:$A$51)*'Cálculos'!$C$98)+1400)+'Cálculos'!$C$123)*'Cálculos'!$C$265)+('Cálculos'!$C$201*(1+'Cálculos'!$C$202+$A$6:$A$51*('Cálculos'!$C$290=2)*'Cálculos'!$C$101)+'Cálculos'!$C$203)*('Cálculos'!$C$256+'Cálculos'!$C$124*(1+2.78*('Cálculos'!$C$199+(($C23)-$A$6:$A$51)*'Cálculos'!$C$98)/(('Cálculos'!$C$199+(($C23)-$A$6:$A$51)*'Cálculos'!$C$98)+1400)+'Cálculos'!$C$122)*'Cálculos'!$C$261+'Cálculos'!$C$125*(1+2.78*('Cálculos'!$C$199+(($C23)-$A$6:$A$51)*'Cálculos'!$C$98)/(('Cálculos'!$C$199+(($C23)-$A$6:$A$51)*'Cálculos'!$C$98)+1400)+'Cálculos'!$C$123)*'Cálculos'!$C$266)+('Cálculos'!$C$204*(1+'Cálculos'!$C$205+$A$6:$A$51*('Cálculos'!$C$290=3)*'Cálculos'!$C$103)+'Cálculos'!$C$206)*('Cálculos'!$C$257+'Cálculos'!$C$124*(1+2.78*('Cálculos'!$C$199+(($C23)-$A$6:$A$51)*'Cálculos'!$C$98)/(('Cálculos'!$C$199+(($C23)-$A$6:$A$51)*'Cálculos'!$C$98)+1400)+'Cálculos'!$C$122)*'Cálculos'!$C$262+'Cálculos'!$C$125*(1+2.78*('Cálculos'!$C$199+(($C23)-$A$6:$A$51)*'Cálculos'!$C$98)/(('Cálculos'!$C$199+(($C23)-$A$6:$A$51)*'Cálculos'!$C$98)+1400)+'Cálculos'!$C$123)*'Cálculos'!$C$267)+('Cálculos'!$C$258+'Cálculos'!$C$124*(1+2.78*('Cálculos'!$C$199+(($C23)-$A$6:$A$51)*'Cálculos'!$C$98)/(('Cálculos'!$C$199+(($C23)-$A$6:$A$51)*'Cálculos'!$C$98)+1400)+'Cálculos'!$C$122)*'Cálculos'!$C$263+'Cálculos'!$C$125*(1+2.78*('Cálculos'!$C$199+(($C23)-$A$6:$A$51)*'Cálculos'!$C$98)/(('Cálculos'!$C$199+(($C23)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23)-$A$6:$A$51)*'Cálculos'!$C$98)/(('Cálculos'!$C$200+(($C23)-$A$6:$A$51)*'Cálculos'!$C$98)+1400)+'Cálculos'!$C$122)*'Cálculos'!$C$274+'Cálculos'!$C$125*(1+2.78*('Cálculos'!$C$200+(($C23)-$A$6:$A$51)*'Cálculos'!$C$98)/(('Cálculos'!$C$200+(($C23)-$A$6:$A$51)*'Cálculos'!$C$98)+1400)+'Cálculos'!$C$123)*'Cálculos'!$C$279)+('Cálculos'!$C$200+(($C23)-$A$6:$A$51)*'Cálculos'!$C$98)*('Cálculos'!$C$270+'Cálculos'!$C$124*(1+2.78*('Cálculos'!$C$200+(($C23)-$A$6:$A$51)*'Cálculos'!$C$98)/(('Cálculos'!$C$200+(($C23)-$A$6:$A$51)*'Cálculos'!$C$98)+1400)+'Cálculos'!$C$122)*'Cálculos'!$C$275+'Cálculos'!$C$125*(1+2.78*('Cálculos'!$C$200+(($C23)-$A$6:$A$51)*'Cálculos'!$C$98)/(('Cálculos'!$C$200+(($C23)-$A$6:$A$51)*'Cálculos'!$C$98)+1400)+'Cálculos'!$C$123)*'Cálculos'!$C$280)+('Cálculos'!$C$201*(1+'Cálculos'!$C$202+$A$6:$A$51*('Cálculos'!$C$290=2)*'Cálculos'!$C$101)+'Cálculos'!$C$203)*('Cálculos'!$C$271+'Cálculos'!$C$124*(1+2.78*('Cálculos'!$C$200+(($C23)-$A$6:$A$51)*'Cálculos'!$C$98)/(('Cálculos'!$C$200+(($C23)-$A$6:$A$51)*'Cálculos'!$C$98)+1400)+'Cálculos'!$C$122)*'Cálculos'!$C$276+'Cálculos'!$C$125*(1+2.78*('Cálculos'!$C$200+(($C23)-$A$6:$A$51)*'Cálculos'!$C$98)/(('Cálculos'!$C$200+(($C23)-$A$6:$A$51)*'Cálculos'!$C$98)+1400)+'Cálculos'!$C$123)*'Cálculos'!$C$281)+('Cálculos'!$C$204*(1+'Cálculos'!$C$205+$A$6:$A$51*('Cálculos'!$C$290=3)*'Cálculos'!$C$103)+'Cálculos'!$C$206)*('Cálculos'!$C$272+'Cálculos'!$C$124*(1+2.78*('Cálculos'!$C$200+(($C23)-$A$6:$A$51)*'Cálculos'!$C$98)/(('Cálculos'!$C$200+(($C23)-$A$6:$A$51)*'Cálculos'!$C$98)+1400)+'Cálculos'!$C$122)*'Cálculos'!$C$277+'Cálculos'!$C$125*(1+2.78*('Cálculos'!$C$200+(($C23)-$A$6:$A$51)*'Cálculos'!$C$98)/(('Cálculos'!$C$200+(($C23)-$A$6:$A$51)*'Cálculos'!$C$98)+1400)+'Cálculos'!$C$123)*'Cálculos'!$C$282)+('Cálculos'!$C$273+'Cálculos'!$C$124*(1+2.78*('Cálculos'!$C$200+(($C23)-$A$6:$A$51)*'Cálculos'!$C$98)/(('Cálculos'!$C$200+(($C23)-$A$6:$A$51)*'Cálculos'!$C$98)+1400)+'Cálculos'!$C$122)*'Cálculos'!$C$278+'Cálculos'!$C$125*(1+2.78*('Cálculos'!$C$200+(($C23)-$A$6:$A$51)*'Cálculos'!$C$98)/(('Cálculos'!$C$200+(($C23)-$A$6:$A$51)*'Cálculos'!$C$98)+1400)+'Cálculos'!$C$123)*'Cálculos'!$C$283)))))</f>
        <v>1084229.638</v>
      </c>
      <c r="E23" s="32">
        <f>IF(OR($C23&lt;0,'Cálculos'!$C$6=""),0,$B23*$D23)</f>
        <v>3640600.256</v>
      </c>
      <c r="F23" s="2"/>
      <c r="G23" s="30">
        <f>($A23&lt;=$B$53)*($A23&lt;='Cálculos'!$C$294)*(($B$53)-$A23&lt;='Cálculos'!$C$295)*(1+MIN(('Cálculos'!$C$207+$A23*'Cálculos'!$C$95),1)*('Cálculos'!$C$208+(($B$53)-$A23)*'Cálculos'!$C$96))</f>
        <v>0</v>
      </c>
      <c r="H23" s="31">
        <f>IF($B$54&lt;0,0,($A23&lt;=$B$54)*($A23&lt;='Cálculos'!$C$301)*(($B$54)-$A23&lt;='Cálculos'!$C$297)*(('Cálculos'!$C$185*(1+'Cálculos'!$C$186+$A23*('Cálculos'!$C$290=1)*'Cálculos'!$C$97+'Cálculos'!$C$305)+'Cálculos'!$C$191)*('Cálculos'!$C$209+'Cálculos'!$C$124*(1+2.78*('Cálculos'!$C$196+(($B$54)-$A23)*'Cálculos'!$C$98)/(('Cálculos'!$C$196+(($B$54)-$A23)*'Cálculos'!$C$98)+1400)+'Cálculos'!$C$122)*'Cálculos'!$C$214+'Cálculos'!$C$125*(1+2.78*('Cálculos'!$C$196+(($B$54)-$A23)*'Cálculos'!$C$98)/(('Cálculos'!$C$196+(($B$54)-$A23)*'Cálculos'!$C$98)+1400)+'Cálculos'!$C$123)*'Cálculos'!$C$219)+('Cálculos'!$C$196+(($B$54)-$A23)*'Cálculos'!$C$98)*('Cálculos'!$C$210+'Cálculos'!$C$124*(1+2.78*('Cálculos'!$C$196+(($B$54)-$A23)*'Cálculos'!$C$98)/(('Cálculos'!$C$196+(($B$54)-$A23)*'Cálculos'!$C$98)+1400)+'Cálculos'!$C$122)*'Cálculos'!$C$215+'Cálculos'!$C$125*(1+2.78*('Cálculos'!$C$196+(($B$54)-$A23)*'Cálculos'!$C$98)/(('Cálculos'!$C$196+(($B$54)-$A23)*'Cálculos'!$C$98)+1400)+'Cálculos'!$C$123)*'Cálculos'!$C$220)+('Cálculos'!$C$201*(1+'Cálculos'!$C$202+$A23*('Cálculos'!$C$290=2)*'Cálculos'!$C$101)+'Cálculos'!$C$203)*('Cálculos'!$C$211+'Cálculos'!$C$124*(1+2.78*('Cálculos'!$C$196+(($B$54)-$A23)*'Cálculos'!$C$98)/(('Cálculos'!$C$196+(($B$54)-$A23)*'Cálculos'!$C$98)+1400)+'Cálculos'!$C$122)*'Cálculos'!$C$216+'Cálculos'!$C$125*(1+2.78*('Cálculos'!$C$196+(($B$54)-$A23)*'Cálculos'!$C$98)/(('Cálculos'!$C$196+(($B$54)-$A23)*'Cálculos'!$C$98)+1400)+'Cálculos'!$C$123)*'Cálculos'!$C$221)+('Cálculos'!$C$204*(1+'Cálculos'!$C$205+$A23*('Cálculos'!$C$290=3)*'Cálculos'!$C$103)+'Cálculos'!$C$206)*('Cálculos'!$C$212+'Cálculos'!$C$124*(1+2.78*('Cálculos'!$C$196+(($B$54)-$A23)*'Cálculos'!$C$98)/(('Cálculos'!$C$196+(($B$54)-$A23)*'Cálculos'!$C$98)+1400)+'Cálculos'!$C$122)*'Cálculos'!$C$217+'Cálculos'!$C$125*(1+2.78*('Cálculos'!$C$196+(($B$54)-$A23)*'Cálculos'!$C$98)/(('Cálculos'!$C$196+(($B$54)-$A23)*'Cálculos'!$C$98)+1400)+'Cálculos'!$C$123)*'Cálculos'!$C$222)+('Cálculos'!$C$213+'Cálculos'!$C$124*(1+2.78*('Cálculos'!$C$196+(($B$54)-$A23)*'Cálculos'!$C$98)/(('Cálculos'!$C$196+(($B$54)-$A23)*'Cálculos'!$C$98)+1400)+'Cálculos'!$C$122)*'Cálculos'!$C$218+'Cálculos'!$C$125*(1+2.78*('Cálculos'!$C$196+(($B$54)-$A23)*'Cálculos'!$C$98)/(('Cálculos'!$C$196+(($B$54)-$A23)*'Cálculos'!$C$98)+1400)+'Cálculos'!$C$123)*'Cálculos'!$C$223)+('Cálculos'!$C$185*(1+'Cálculos'!$C$187+$A23*('Cálculos'!$C$290=1)*'Cálculos'!$C$97+'Cálculos'!$C$305)+'Cálculos'!$C$192)*('Cálculos'!$C$224+'Cálculos'!$C$124*(1+2.78*('Cálculos'!$C$197+(($B$54)-$A23)*'Cálculos'!$C$98)/(('Cálculos'!$C$197+(($B$54)-$A23)*'Cálculos'!$C$98)+1400)+'Cálculos'!$C$122)*'Cálculos'!$C$229+'Cálculos'!$C$125*(1+2.78*('Cálculos'!$C$197+(($B$54)-$A23)*'Cálculos'!$C$98)/(('Cálculos'!$C$197+(($B$54)-$A23)*'Cálculos'!$C$98)+1400)+'Cálculos'!$C$123)*'Cálculos'!$C$234)+('Cálculos'!$C$197+(($B$54)-$A23)*'Cálculos'!$C$98)*('Cálculos'!$C$225+'Cálculos'!$C$124*(1+2.78*('Cálculos'!$C$197+(($B$54)-$A23)*'Cálculos'!$C$98)/(('Cálculos'!$C$197+(($B$54)-$A23)*'Cálculos'!$C$98)+1400)+'Cálculos'!$C$122)*'Cálculos'!$C$230+'Cálculos'!$C$125*(1+2.78*('Cálculos'!$C$197+(($B$54)-$A23)*'Cálculos'!$C$98)/(('Cálculos'!$C$197+(($B$54)-$A23)*'Cálculos'!$C$98)+1400)+'Cálculos'!$C$123)*'Cálculos'!$C$235)+('Cálculos'!$C$201*(1+'Cálculos'!$C$202+$A23*('Cálculos'!$C$290=2)*'Cálculos'!$C$101)+'Cálculos'!$C$203)*('Cálculos'!$C$226+'Cálculos'!$C$124*(1+2.78*('Cálculos'!$C$197+(($B$54)-$A23)*'Cálculos'!$C$98)/(('Cálculos'!$C$197+(($B$54)-$A23)*'Cálculos'!$C$98)+1400)+'Cálculos'!$C$122)*'Cálculos'!$C$231+'Cálculos'!$C$125*(1+2.78*('Cálculos'!$C$197+(($B$54)-$A23)*'Cálculos'!$C$98)/(('Cálculos'!$C$197+(($B$54)-$A23)*'Cálculos'!$C$98)+1400)+'Cálculos'!$C$123)*'Cálculos'!$C$236)+('Cálculos'!$C$204*(1+'Cálculos'!$C$205+$A23*('Cálculos'!$C$290=3)*'Cálculos'!$C$103)+'Cálculos'!$C$206)*('Cálculos'!$C$227+'Cálculos'!$C$124*(1+2.78*('Cálculos'!$C$197+(($B$54)-$A23)*'Cálculos'!$C$98)/(('Cálculos'!$C$197+(($B$54)-$A23)*'Cálculos'!$C$98)+1400)+'Cálculos'!$C$122)*'Cálculos'!$C$232+'Cálculos'!$C$125*(1+2.78*('Cálculos'!$C$197+(($B$54)-$A23)*'Cálculos'!$C$98)/(('Cálculos'!$C$197+(($B$54)-$A23)*'Cálculos'!$C$98)+1400)+'Cálculos'!$C$123)*'Cálculos'!$C$237)+('Cálculos'!$C$228+'Cálculos'!$C$124*(1+2.78*('Cálculos'!$C$197+(($B$54)-$A23)*'Cálculos'!$C$98)/(('Cálculos'!$C$197+(($B$54)-$A23)*'Cálculos'!$C$98)+1400)+'Cálculos'!$C$122)*'Cálculos'!$C$233+'Cálculos'!$C$125*(1+2.78*('Cálculos'!$C$197+(($B$54)-$A23)*'Cálculos'!$C$98)/(('Cálculos'!$C$197+(($B$54)-$A23)*'Cálculos'!$C$98)+1400)+'Cálculos'!$C$123)*'Cálculos'!$C$238)+('Cálculos'!$C$185*(1+'Cálculos'!$C$188+$A23*('Cálculos'!$C$290=1)*'Cálculos'!$C$97+'Cálculos'!$C$305)+'Cálculos'!$C$193)*('Cálculos'!$C$239+'Cálculos'!$C$124*(1+2.78*('Cálculos'!$C$198+(($B$54)-$A23)*'Cálculos'!$C$98)/(('Cálculos'!$C$198+(($B$54)-$A23)*'Cálculos'!$C$98)+1400)+'Cálculos'!$C$122)*'Cálculos'!$C$244+'Cálculos'!$C$125*(1+2.78*('Cálculos'!$C$198+(($B$54)-$A23)*'Cálculos'!$C$98)/(('Cálculos'!$C$198+(($B$54)-$A23)*'Cálculos'!$C$98)+1400)+'Cálculos'!$C$123)*'Cálculos'!$C$249)+('Cálculos'!$C$198+(($B$54)-$A23)*'Cálculos'!$C$98)*('Cálculos'!$C$240+'Cálculos'!$C$124*(1+2.78*('Cálculos'!$C$198+(($B$54)-$A23)*'Cálculos'!$C$98)/(('Cálculos'!$C$198+(($B$54)-$A23)*'Cálculos'!$C$98)+1400)+'Cálculos'!$C$122)*'Cálculos'!$C$245+'Cálculos'!$C$125*(1+2.78*('Cálculos'!$C$198+(($B$54)-$A23)*'Cálculos'!$C$98)/(('Cálculos'!$C$198+(($B$54)-$A23)*'Cálculos'!$C$98)+1400)+'Cálculos'!$C$123)*'Cálculos'!$C$250)+('Cálculos'!$C$201*(1+'Cálculos'!$C$202+$A23*('Cálculos'!$C$290=2)*'Cálculos'!$C$101)+'Cálculos'!$C$203)*('Cálculos'!$C$241+'Cálculos'!$C$124*(1+2.78*('Cálculos'!$C$198+(($B$54)-$A23)*'Cálculos'!$C$98)/(('Cálculos'!$C$198+(($B$54)-$A23)*'Cálculos'!$C$98)+1400)+'Cálculos'!$C$122)*'Cálculos'!$C$246+'Cálculos'!$C$125*(1+2.78*('Cálculos'!$C$198+(($B$54)-$A23)*'Cálculos'!$C$98)/(('Cálculos'!$C$198+(($B$54)-$A23)*'Cálculos'!$C$98)+1400)+'Cálculos'!$C$123)*'Cálculos'!$C$251)+('Cálculos'!$C$204*(1+'Cálculos'!$C$205+$A23*('Cálculos'!$C$290=3)*'Cálculos'!$C$103)+'Cálculos'!$C$206)*('Cálculos'!$C$242+'Cálculos'!$C$124*(1+2.78*('Cálculos'!$C$198+(($B$54)-$A23)*'Cálculos'!$C$98)/(('Cálculos'!$C$198+(($B$54)-$A23)*'Cálculos'!$C$98)+1400)+'Cálculos'!$C$122)*'Cálculos'!$C$247+'Cálculos'!$C$125*(1+2.78*('Cálculos'!$C$198+(($B$54)-$A23)*'Cálculos'!$C$98)/(('Cálculos'!$C$198+(($B$54)-$A23)*'Cálculos'!$C$98)+1400)+'Cálculos'!$C$123)*'Cálculos'!$C$252)+('Cálculos'!$C$243+'Cálculos'!$C$124*(1+2.78*('Cálculos'!$C$198+(($B$54)-$A23)*'Cálculos'!$C$98)/(('Cálculos'!$C$198+(($B$54)-$A23)*'Cálculos'!$C$98)+1400)+'Cálculos'!$C$122)*'Cálculos'!$C$248+'Cálculos'!$C$125*(1+2.78*('Cálculos'!$C$198+(($B$54)-$A23)*'Cálculos'!$C$98)/(('Cálculos'!$C$198+(($B$54)-$A23)*'Cálculos'!$C$98)+1400)+'Cálculos'!$C$123)*'Cálculos'!$C$253)+('Cálculos'!$C$185*(1+'Cálculos'!$C$189+$A23*('Cálculos'!$C$290=1)*'Cálculos'!$C$97+'Cálculos'!$C$305)+'Cálculos'!$C$194)*('Cálculos'!$C$254+'Cálculos'!$C$124*(1+2.78*('Cálculos'!$C$199+(($B$54)-$A23)*'Cálculos'!$C$98)/(('Cálculos'!$C$199+(($B$54)-$A23)*'Cálculos'!$C$98)+1400)+'Cálculos'!$C$122)*'Cálculos'!$C$259+'Cálculos'!$C$125*(1+2.78*('Cálculos'!$C$199+(($B$54)-$A23)*'Cálculos'!$C$98)/(('Cálculos'!$C$199+(($B$54)-$A23)*'Cálculos'!$C$98)+1400)+'Cálculos'!$C$123)*'Cálculos'!$C$264)+('Cálculos'!$C$199+(($B$54)-$A23)*'Cálculos'!$C$98)*('Cálculos'!$C$255+'Cálculos'!$C$124*(1+2.78*('Cálculos'!$C$199+(($B$54)-$A23)*'Cálculos'!$C$98)/(('Cálculos'!$C$199+(($B$54)-$A23)*'Cálculos'!$C$98)+1400)+'Cálculos'!$C$122)*'Cálculos'!$C$260+'Cálculos'!$C$125*(1+2.78*('Cálculos'!$C$199+(($B$54)-$A23)*'Cálculos'!$C$98)/(('Cálculos'!$C$199+(($B$54)-$A23)*'Cálculos'!$C$98)+1400)+'Cálculos'!$C$123)*'Cálculos'!$C$265)+('Cálculos'!$C$201*(1+'Cálculos'!$C$202+$A23*('Cálculos'!$C$290=2)*'Cálculos'!$C$101)+'Cálculos'!$C$203)*('Cálculos'!$C$256+'Cálculos'!$C$124*(1+2.78*('Cálculos'!$C$199+(($B$54)-$A23)*'Cálculos'!$C$98)/(('Cálculos'!$C$199+(($B$54)-$A23)*'Cálculos'!$C$98)+1400)+'Cálculos'!$C$122)*'Cálculos'!$C$261+'Cálculos'!$C$125*(1+2.78*('Cálculos'!$C$199+(($B$54)-$A23)*'Cálculos'!$C$98)/(('Cálculos'!$C$199+(($B$54)-$A23)*'Cálculos'!$C$98)+1400)+'Cálculos'!$C$123)*'Cálculos'!$C$266)+('Cálculos'!$C$204*(1+'Cálculos'!$C$205+$A23*('Cálculos'!$C$290=3)*'Cálculos'!$C$103)+'Cálculos'!$C$206)*('Cálculos'!$C$257+'Cálculos'!$C$124*(1+2.78*('Cálculos'!$C$199+(($B$54)-$A23)*'Cálculos'!$C$98)/(('Cálculos'!$C$199+(($B$54)-$A23)*'Cálculos'!$C$98)+1400)+'Cálculos'!$C$122)*'Cálculos'!$C$262+'Cálculos'!$C$125*(1+2.78*('Cálculos'!$C$199+(($B$54)-$A23)*'Cálculos'!$C$98)/(('Cálculos'!$C$199+(($B$54)-$A23)*'Cálculos'!$C$98)+1400)+'Cálculos'!$C$123)*'Cálculos'!$C$267)+('Cálculos'!$C$258+'Cálculos'!$C$124*(1+2.78*('Cálculos'!$C$199+(($B$54)-$A23)*'Cálculos'!$C$98)/(('Cálculos'!$C$199+(($B$54)-$A23)*'Cálculos'!$C$98)+1400)+'Cálculos'!$C$122)*'Cálculos'!$C$263+'Cálculos'!$C$125*(1+2.78*('Cálculos'!$C$199+(($B$54)-$A23)*'Cálculos'!$C$98)/(('Cálculos'!$C$199+(($B$54)-$A23)*'Cálculos'!$C$98)+1400)+'Cálculos'!$C$123)*'Cálculos'!$C$268)+('Cálculos'!$C$185*(1+'Cálculos'!$C$190+$A23*('Cálculos'!$C$290=1)*'Cálculos'!$C$97+'Cálculos'!$C$305)+'Cálculos'!$C$195)*('Cálculos'!$C$269+'Cálculos'!$C$124*(1+2.78*('Cálculos'!$C$200+(($B$54)-$A23)*'Cálculos'!$C$98)/(('Cálculos'!$C$200+(($B$54)-$A23)*'Cálculos'!$C$98)+1400)+'Cálculos'!$C$122)*'Cálculos'!$C$274+'Cálculos'!$C$125*(1+2.78*('Cálculos'!$C$200+(($B$54)-$A23)*'Cálculos'!$C$98)/(('Cálculos'!$C$200+(($B$54)-$A23)*'Cálculos'!$C$98)+1400)+'Cálculos'!$C$123)*'Cálculos'!$C$279)+('Cálculos'!$C$200+(($B$54)-$A23)*'Cálculos'!$C$98)*('Cálculos'!$C$270+'Cálculos'!$C$124*(1+2.78*('Cálculos'!$C$200+(($B$54)-$A23)*'Cálculos'!$C$98)/(('Cálculos'!$C$200+(($B$54)-$A23)*'Cálculos'!$C$98)+1400)+'Cálculos'!$C$122)*'Cálculos'!$C$275+'Cálculos'!$C$125*(1+2.78*('Cálculos'!$C$200+(($B$54)-$A23)*'Cálculos'!$C$98)/(('Cálculos'!$C$200+(($B$54)-$A23)*'Cálculos'!$C$98)+1400)+'Cálculos'!$C$123)*'Cálculos'!$C$280)+('Cálculos'!$C$201*(1+'Cálculos'!$C$202+$A23*('Cálculos'!$C$290=2)*'Cálculos'!$C$101)+'Cálculos'!$C$203)*('Cálculos'!$C$271+'Cálculos'!$C$124*(1+2.78*('Cálculos'!$C$200+(($B$54)-$A23)*'Cálculos'!$C$98)/(('Cálculos'!$C$200+(($B$54)-$A23)*'Cálculos'!$C$98)+1400)+'Cálculos'!$C$122)*'Cálculos'!$C$276+'Cálculos'!$C$125*(1+2.78*('Cálculos'!$C$200+(($B$54)-$A23)*'Cálculos'!$C$98)/(('Cálculos'!$C$200+(($B$54)-$A23)*'Cálculos'!$C$98)+1400)+'Cálculos'!$C$123)*'Cálculos'!$C$281)+('Cálculos'!$C$204*(1+'Cálculos'!$C$205+$A23*('Cálculos'!$C$290=3)*'Cálculos'!$C$103)+'Cálculos'!$C$206)*('Cálculos'!$C$272+'Cálculos'!$C$124*(1+2.78*('Cálculos'!$C$200+(($B$54)-$A23)*'Cálculos'!$C$98)/(('Cálculos'!$C$200+(($B$54)-$A23)*'Cálculos'!$C$98)+1400)+'Cálculos'!$C$122)*'Cálculos'!$C$277+'Cálculos'!$C$125*(1+2.78*('Cálculos'!$C$200+(($B$54)-$A23)*'Cálculos'!$C$98)/(('Cálculos'!$C$200+(($B$54)-$A23)*'Cálculos'!$C$98)+1400)+'Cálculos'!$C$123)*'Cálculos'!$C$282)+('Cálculos'!$C$273+'Cálculos'!$C$124*(1+2.78*('Cálculos'!$C$200+(($B$54)-$A23)*'Cálculos'!$C$98)/(('Cálculos'!$C$200+(($B$54)-$A23)*'Cálculos'!$C$98)+1400)+'Cálculos'!$C$122)*'Cálculos'!$C$278+'Cálculos'!$C$125*(1+2.78*('Cálculos'!$C$200+(($B$54)-$A23)*'Cálculos'!$C$98)/(('Cálculos'!$C$200+(($B$54)-$A23)*'Cálculos'!$C$98)+1400)+'Cálculos'!$C$123)*'Cálculos'!$C$283)))</f>
        <v>0</v>
      </c>
    </row>
    <row r="24" ht="15.75" customHeight="1">
      <c r="A24" s="2">
        <v>18.0</v>
      </c>
      <c r="B24" s="30">
        <f>SUMPRODUCT(MAX(($A$6:$A$51&lt;=$A24)*($A$6:$A$51&lt;='Cálculos'!$C$294)*(($A24)-$A$6:$A$51&lt;='Cálculos'!$C$295)*(1+(('Cálculos'!$C$207+$A$6:$A$51*'Cálculos'!$C$95)-(('Cálculos'!$C$207+$A$6:$A$51*'Cálculos'!$C$95)&gt;1)*(('Cálculos'!$C$207+$A$6:$A$51*'Cálculos'!$C$95)-1))*('Cálculos'!$C$208+(($A24)-$A$6:$A$51)*'Cálculos'!$C$96))))</f>
        <v>3.42305</v>
      </c>
      <c r="C24" s="2">
        <f>'Cálculos'!$C$303-$A24</f>
        <v>2</v>
      </c>
      <c r="D24" s="31">
        <f>IF($C24&lt;0,0,SUMPRODUCT(MAX(($A$6:$A$51&lt;=$C24)*($A$6:$A$51&lt;='Cálculos'!$C$301)*(($C24)-$A$6:$A$51&lt;='Cálculos'!$C$297)*(('Cálculos'!$C$185*(1+'Cálculos'!$C$186+$A$6:$A$51*('Cálculos'!$C$290=1)*'Cálculos'!$C$97+'Cálculos'!$C$305)+'Cálculos'!$C$191)*('Cálculos'!$C$209+'Cálculos'!$C$124*(1+2.78*('Cálculos'!$C$196+(($C24)-$A$6:$A$51)*'Cálculos'!$C$98)/(('Cálculos'!$C$196+(($C24)-$A$6:$A$51)*'Cálculos'!$C$98)+1400)+'Cálculos'!$C$122)*'Cálculos'!$C$214+'Cálculos'!$C$125*(1+2.78*('Cálculos'!$C$196+(($C24)-$A$6:$A$51)*'Cálculos'!$C$98)/(('Cálculos'!$C$196+(($C24)-$A$6:$A$51)*'Cálculos'!$C$98)+1400)+'Cálculos'!$C$123)*'Cálculos'!$C$219)+('Cálculos'!$C$196+(($C24)-$A$6:$A$51)*'Cálculos'!$C$98)*('Cálculos'!$C$210+'Cálculos'!$C$124*(1+2.78*('Cálculos'!$C$196+(($C24)-$A$6:$A$51)*'Cálculos'!$C$98)/(('Cálculos'!$C$196+(($C24)-$A$6:$A$51)*'Cálculos'!$C$98)+1400)+'Cálculos'!$C$122)*'Cálculos'!$C$215+'Cálculos'!$C$125*(1+2.78*('Cálculos'!$C$196+(($C24)-$A$6:$A$51)*'Cálculos'!$C$98)/(('Cálculos'!$C$196+(($C24)-$A$6:$A$51)*'Cálculos'!$C$98)+1400)+'Cálculos'!$C$123)*'Cálculos'!$C$220)+('Cálculos'!$C$201*(1+'Cálculos'!$C$202+$A$6:$A$51*('Cálculos'!$C$290=2)*'Cálculos'!$C$101)+'Cálculos'!$C$203)*('Cálculos'!$C$211+'Cálculos'!$C$124*(1+2.78*('Cálculos'!$C$196+(($C24)-$A$6:$A$51)*'Cálculos'!$C$98)/(('Cálculos'!$C$196+(($C24)-$A$6:$A$51)*'Cálculos'!$C$98)+1400)+'Cálculos'!$C$122)*'Cálculos'!$C$216+'Cálculos'!$C$125*(1+2.78*('Cálculos'!$C$196+(($C24)-$A$6:$A$51)*'Cálculos'!$C$98)/(('Cálculos'!$C$196+(($C24)-$A$6:$A$51)*'Cálculos'!$C$98)+1400)+'Cálculos'!$C$123)*'Cálculos'!$C$221)+('Cálculos'!$C$204*(1+'Cálculos'!$C$205+$A$6:$A$51*('Cálculos'!$C$290=3)*'Cálculos'!$C$103)+'Cálculos'!$C$206)*('Cálculos'!$C$212+'Cálculos'!$C$124*(1+2.78*('Cálculos'!$C$196+(($C24)-$A$6:$A$51)*'Cálculos'!$C$98)/(('Cálculos'!$C$196+(($C24)-$A$6:$A$51)*'Cálculos'!$C$98)+1400)+'Cálculos'!$C$122)*'Cálculos'!$C$217+'Cálculos'!$C$125*(1+2.78*('Cálculos'!$C$196+(($C24)-$A$6:$A$51)*'Cálculos'!$C$98)/(('Cálculos'!$C$196+(($C24)-$A$6:$A$51)*'Cálculos'!$C$98)+1400)+'Cálculos'!$C$123)*'Cálculos'!$C$222)+('Cálculos'!$C$213+'Cálculos'!$C$124*(1+2.78*('Cálculos'!$C$196+(($C24)-$A$6:$A$51)*'Cálculos'!$C$98)/(('Cálculos'!$C$196+(($C24)-$A$6:$A$51)*'Cálculos'!$C$98)+1400)+'Cálculos'!$C$122)*'Cálculos'!$C$218+'Cálculos'!$C$125*(1+2.78*('Cálculos'!$C$196+(($C24)-$A$6:$A$51)*'Cálculos'!$C$98)/(('Cálculos'!$C$196+(($C24)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24)-$A$6:$A$51)*'Cálculos'!$C$98)/(('Cálculos'!$C$197+(($C24)-$A$6:$A$51)*'Cálculos'!$C$98)+1400)+'Cálculos'!$C$122)*'Cálculos'!$C$229+'Cálculos'!$C$125*(1+2.78*('Cálculos'!$C$197+(($C24)-$A$6:$A$51)*'Cálculos'!$C$98)/(('Cálculos'!$C$197+(($C24)-$A$6:$A$51)*'Cálculos'!$C$98)+1400)+'Cálculos'!$C$123)*'Cálculos'!$C$234)+('Cálculos'!$C$197+(($C24)-$A$6:$A$51)*'Cálculos'!$C$98)*('Cálculos'!$C$225+'Cálculos'!$C$124*(1+2.78*('Cálculos'!$C$197+(($C24)-$A$6:$A$51)*'Cálculos'!$C$98)/(('Cálculos'!$C$197+(($C24)-$A$6:$A$51)*'Cálculos'!$C$98)+1400)+'Cálculos'!$C$122)*'Cálculos'!$C$230+'Cálculos'!$C$125*(1+2.78*('Cálculos'!$C$197+(($C24)-$A$6:$A$51)*'Cálculos'!$C$98)/(('Cálculos'!$C$197+(($C24)-$A$6:$A$51)*'Cálculos'!$C$98)+1400)+'Cálculos'!$C$123)*'Cálculos'!$C$235)+('Cálculos'!$C$201*(1+'Cálculos'!$C$202+$A$6:$A$51*('Cálculos'!$C$290=2)*'Cálculos'!$C$101)+'Cálculos'!$C$203)*('Cálculos'!$C$226+'Cálculos'!$C$124*(1+2.78*('Cálculos'!$C$197+(($C24)-$A$6:$A$51)*'Cálculos'!$C$98)/(('Cálculos'!$C$197+(($C24)-$A$6:$A$51)*'Cálculos'!$C$98)+1400)+'Cálculos'!$C$122)*'Cálculos'!$C$231+'Cálculos'!$C$125*(1+2.78*('Cálculos'!$C$197+(($C24)-$A$6:$A$51)*'Cálculos'!$C$98)/(('Cálculos'!$C$197+(($C24)-$A$6:$A$51)*'Cálculos'!$C$98)+1400)+'Cálculos'!$C$123)*'Cálculos'!$C$236)+('Cálculos'!$C$204*(1+'Cálculos'!$C$205+$A$6:$A$51*('Cálculos'!$C$290=3)*'Cálculos'!$C$103)+'Cálculos'!$C$206)*('Cálculos'!$C$227+'Cálculos'!$C$124*(1+2.78*('Cálculos'!$C$197+(($C24)-$A$6:$A$51)*'Cálculos'!$C$98)/(('Cálculos'!$C$197+(($C24)-$A$6:$A$51)*'Cálculos'!$C$98)+1400)+'Cálculos'!$C$122)*'Cálculos'!$C$232+'Cálculos'!$C$125*(1+2.78*('Cálculos'!$C$197+(($C24)-$A$6:$A$51)*'Cálculos'!$C$98)/(('Cálculos'!$C$197+(($C24)-$A$6:$A$51)*'Cálculos'!$C$98)+1400)+'Cálculos'!$C$123)*'Cálculos'!$C$237)+('Cálculos'!$C$228+'Cálculos'!$C$124*(1+2.78*('Cálculos'!$C$197+(($C24)-$A$6:$A$51)*'Cálculos'!$C$98)/(('Cálculos'!$C$197+(($C24)-$A$6:$A$51)*'Cálculos'!$C$98)+1400)+'Cálculos'!$C$122)*'Cálculos'!$C$233+'Cálculos'!$C$125*(1+2.78*('Cálculos'!$C$197+(($C24)-$A$6:$A$51)*'Cálculos'!$C$98)/(('Cálculos'!$C$197+(($C24)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24)-$A$6:$A$51)*'Cálculos'!$C$98)/(('Cálculos'!$C$198+(($C24)-$A$6:$A$51)*'Cálculos'!$C$98)+1400)+'Cálculos'!$C$122)*'Cálculos'!$C$244+'Cálculos'!$C$125*(1+2.78*('Cálculos'!$C$198+(($C24)-$A$6:$A$51)*'Cálculos'!$C$98)/(('Cálculos'!$C$198+(($C24)-$A$6:$A$51)*'Cálculos'!$C$98)+1400)+'Cálculos'!$C$123)*'Cálculos'!$C$249)+('Cálculos'!$C$198+(($C24)-$A$6:$A$51)*'Cálculos'!$C$98)*('Cálculos'!$C$240+'Cálculos'!$C$124*(1+2.78*('Cálculos'!$C$198+(($C24)-$A$6:$A$51)*'Cálculos'!$C$98)/(('Cálculos'!$C$198+(($C24)-$A$6:$A$51)*'Cálculos'!$C$98)+1400)+'Cálculos'!$C$122)*'Cálculos'!$C$245+'Cálculos'!$C$125*(1+2.78*('Cálculos'!$C$198+(($C24)-$A$6:$A$51)*'Cálculos'!$C$98)/(('Cálculos'!$C$198+(($C24)-$A$6:$A$51)*'Cálculos'!$C$98)+1400)+'Cálculos'!$C$123)*'Cálculos'!$C$250)+('Cálculos'!$C$201*(1+'Cálculos'!$C$202+$A$6:$A$51*('Cálculos'!$C$290=2)*'Cálculos'!$C$101)+'Cálculos'!$C$203)*('Cálculos'!$C$241+'Cálculos'!$C$124*(1+2.78*('Cálculos'!$C$198+(($C24)-$A$6:$A$51)*'Cálculos'!$C$98)/(('Cálculos'!$C$198+(($C24)-$A$6:$A$51)*'Cálculos'!$C$98)+1400)+'Cálculos'!$C$122)*'Cálculos'!$C$246+'Cálculos'!$C$125*(1+2.78*('Cálculos'!$C$198+(($C24)-$A$6:$A$51)*'Cálculos'!$C$98)/(('Cálculos'!$C$198+(($C24)-$A$6:$A$51)*'Cálculos'!$C$98)+1400)+'Cálculos'!$C$123)*'Cálculos'!$C$251)+('Cálculos'!$C$204*(1+'Cálculos'!$C$205+$A$6:$A$51*('Cálculos'!$C$290=3)*'Cálculos'!$C$103)+'Cálculos'!$C$206)*('Cálculos'!$C$242+'Cálculos'!$C$124*(1+2.78*('Cálculos'!$C$198+(($C24)-$A$6:$A$51)*'Cálculos'!$C$98)/(('Cálculos'!$C$198+(($C24)-$A$6:$A$51)*'Cálculos'!$C$98)+1400)+'Cálculos'!$C$122)*'Cálculos'!$C$247+'Cálculos'!$C$125*(1+2.78*('Cálculos'!$C$198+(($C24)-$A$6:$A$51)*'Cálculos'!$C$98)/(('Cálculos'!$C$198+(($C24)-$A$6:$A$51)*'Cálculos'!$C$98)+1400)+'Cálculos'!$C$123)*'Cálculos'!$C$252)+('Cálculos'!$C$243+'Cálculos'!$C$124*(1+2.78*('Cálculos'!$C$198+(($C24)-$A$6:$A$51)*'Cálculos'!$C$98)/(('Cálculos'!$C$198+(($C24)-$A$6:$A$51)*'Cálculos'!$C$98)+1400)+'Cálculos'!$C$122)*'Cálculos'!$C$248+'Cálculos'!$C$125*(1+2.78*('Cálculos'!$C$198+(($C24)-$A$6:$A$51)*'Cálculos'!$C$98)/(('Cálculos'!$C$198+(($C24)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24)-$A$6:$A$51)*'Cálculos'!$C$98)/(('Cálculos'!$C$199+(($C24)-$A$6:$A$51)*'Cálculos'!$C$98)+1400)+'Cálculos'!$C$122)*'Cálculos'!$C$259+'Cálculos'!$C$125*(1+2.78*('Cálculos'!$C$199+(($C24)-$A$6:$A$51)*'Cálculos'!$C$98)/(('Cálculos'!$C$199+(($C24)-$A$6:$A$51)*'Cálculos'!$C$98)+1400)+'Cálculos'!$C$123)*'Cálculos'!$C$264)+('Cálculos'!$C$199+(($C24)-$A$6:$A$51)*'Cálculos'!$C$98)*('Cálculos'!$C$255+'Cálculos'!$C$124*(1+2.78*('Cálculos'!$C$199+(($C24)-$A$6:$A$51)*'Cálculos'!$C$98)/(('Cálculos'!$C$199+(($C24)-$A$6:$A$51)*'Cálculos'!$C$98)+1400)+'Cálculos'!$C$122)*'Cálculos'!$C$260+'Cálculos'!$C$125*(1+2.78*('Cálculos'!$C$199+(($C24)-$A$6:$A$51)*'Cálculos'!$C$98)/(('Cálculos'!$C$199+(($C24)-$A$6:$A$51)*'Cálculos'!$C$98)+1400)+'Cálculos'!$C$123)*'Cálculos'!$C$265)+('Cálculos'!$C$201*(1+'Cálculos'!$C$202+$A$6:$A$51*('Cálculos'!$C$290=2)*'Cálculos'!$C$101)+'Cálculos'!$C$203)*('Cálculos'!$C$256+'Cálculos'!$C$124*(1+2.78*('Cálculos'!$C$199+(($C24)-$A$6:$A$51)*'Cálculos'!$C$98)/(('Cálculos'!$C$199+(($C24)-$A$6:$A$51)*'Cálculos'!$C$98)+1400)+'Cálculos'!$C$122)*'Cálculos'!$C$261+'Cálculos'!$C$125*(1+2.78*('Cálculos'!$C$199+(($C24)-$A$6:$A$51)*'Cálculos'!$C$98)/(('Cálculos'!$C$199+(($C24)-$A$6:$A$51)*'Cálculos'!$C$98)+1400)+'Cálculos'!$C$123)*'Cálculos'!$C$266)+('Cálculos'!$C$204*(1+'Cálculos'!$C$205+$A$6:$A$51*('Cálculos'!$C$290=3)*'Cálculos'!$C$103)+'Cálculos'!$C$206)*('Cálculos'!$C$257+'Cálculos'!$C$124*(1+2.78*('Cálculos'!$C$199+(($C24)-$A$6:$A$51)*'Cálculos'!$C$98)/(('Cálculos'!$C$199+(($C24)-$A$6:$A$51)*'Cálculos'!$C$98)+1400)+'Cálculos'!$C$122)*'Cálculos'!$C$262+'Cálculos'!$C$125*(1+2.78*('Cálculos'!$C$199+(($C24)-$A$6:$A$51)*'Cálculos'!$C$98)/(('Cálculos'!$C$199+(($C24)-$A$6:$A$51)*'Cálculos'!$C$98)+1400)+'Cálculos'!$C$123)*'Cálculos'!$C$267)+('Cálculos'!$C$258+'Cálculos'!$C$124*(1+2.78*('Cálculos'!$C$199+(($C24)-$A$6:$A$51)*'Cálculos'!$C$98)/(('Cálculos'!$C$199+(($C24)-$A$6:$A$51)*'Cálculos'!$C$98)+1400)+'Cálculos'!$C$122)*'Cálculos'!$C$263+'Cálculos'!$C$125*(1+2.78*('Cálculos'!$C$199+(($C24)-$A$6:$A$51)*'Cálculos'!$C$98)/(('Cálculos'!$C$199+(($C24)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24)-$A$6:$A$51)*'Cálculos'!$C$98)/(('Cálculos'!$C$200+(($C24)-$A$6:$A$51)*'Cálculos'!$C$98)+1400)+'Cálculos'!$C$122)*'Cálculos'!$C$274+'Cálculos'!$C$125*(1+2.78*('Cálculos'!$C$200+(($C24)-$A$6:$A$51)*'Cálculos'!$C$98)/(('Cálculos'!$C$200+(($C24)-$A$6:$A$51)*'Cálculos'!$C$98)+1400)+'Cálculos'!$C$123)*'Cálculos'!$C$279)+('Cálculos'!$C$200+(($C24)-$A$6:$A$51)*'Cálculos'!$C$98)*('Cálculos'!$C$270+'Cálculos'!$C$124*(1+2.78*('Cálculos'!$C$200+(($C24)-$A$6:$A$51)*'Cálculos'!$C$98)/(('Cálculos'!$C$200+(($C24)-$A$6:$A$51)*'Cálculos'!$C$98)+1400)+'Cálculos'!$C$122)*'Cálculos'!$C$275+'Cálculos'!$C$125*(1+2.78*('Cálculos'!$C$200+(($C24)-$A$6:$A$51)*'Cálculos'!$C$98)/(('Cálculos'!$C$200+(($C24)-$A$6:$A$51)*'Cálculos'!$C$98)+1400)+'Cálculos'!$C$123)*'Cálculos'!$C$280)+('Cálculos'!$C$201*(1+'Cálculos'!$C$202+$A$6:$A$51*('Cálculos'!$C$290=2)*'Cálculos'!$C$101)+'Cálculos'!$C$203)*('Cálculos'!$C$271+'Cálculos'!$C$124*(1+2.78*('Cálculos'!$C$200+(($C24)-$A$6:$A$51)*'Cálculos'!$C$98)/(('Cálculos'!$C$200+(($C24)-$A$6:$A$51)*'Cálculos'!$C$98)+1400)+'Cálculos'!$C$122)*'Cálculos'!$C$276+'Cálculos'!$C$125*(1+2.78*('Cálculos'!$C$200+(($C24)-$A$6:$A$51)*'Cálculos'!$C$98)/(('Cálculos'!$C$200+(($C24)-$A$6:$A$51)*'Cálculos'!$C$98)+1400)+'Cálculos'!$C$123)*'Cálculos'!$C$281)+('Cálculos'!$C$204*(1+'Cálculos'!$C$205+$A$6:$A$51*('Cálculos'!$C$290=3)*'Cálculos'!$C$103)+'Cálculos'!$C$206)*('Cálculos'!$C$272+'Cálculos'!$C$124*(1+2.78*('Cálculos'!$C$200+(($C24)-$A$6:$A$51)*'Cálculos'!$C$98)/(('Cálculos'!$C$200+(($C24)-$A$6:$A$51)*'Cálculos'!$C$98)+1400)+'Cálculos'!$C$122)*'Cálculos'!$C$277+'Cálculos'!$C$125*(1+2.78*('Cálculos'!$C$200+(($C24)-$A$6:$A$51)*'Cálculos'!$C$98)/(('Cálculos'!$C$200+(($C24)-$A$6:$A$51)*'Cálculos'!$C$98)+1400)+'Cálculos'!$C$123)*'Cálculos'!$C$282)+('Cálculos'!$C$273+'Cálculos'!$C$124*(1+2.78*('Cálculos'!$C$200+(($C24)-$A$6:$A$51)*'Cálculos'!$C$98)/(('Cálculos'!$C$200+(($C24)-$A$6:$A$51)*'Cálculos'!$C$98)+1400)+'Cálculos'!$C$122)*'Cálculos'!$C$278+'Cálculos'!$C$125*(1+2.78*('Cálculos'!$C$200+(($C24)-$A$6:$A$51)*'Cálculos'!$C$98)/(('Cálculos'!$C$200+(($C24)-$A$6:$A$51)*'Cálculos'!$C$98)+1400)+'Cálculos'!$C$123)*'Cálculos'!$C$283)))))</f>
        <v>1071433.508</v>
      </c>
      <c r="E24" s="32">
        <f>IF(OR($C24&lt;0,'Cálculos'!$C$6=""),0,$B24*$D24)</f>
        <v>3667570.469</v>
      </c>
      <c r="F24" s="2"/>
      <c r="G24" s="30">
        <f>($A24&lt;=$B$53)*($A24&lt;='Cálculos'!$C$294)*(($B$53)-$A24&lt;='Cálculos'!$C$295)*(1+MIN(('Cálculos'!$C$207+$A24*'Cálculos'!$C$95),1)*('Cálculos'!$C$208+(($B$53)-$A24)*'Cálculos'!$C$96))</f>
        <v>0</v>
      </c>
      <c r="H24" s="31">
        <f>IF($B$54&lt;0,0,($A24&lt;=$B$54)*($A24&lt;='Cálculos'!$C$301)*(($B$54)-$A24&lt;='Cálculos'!$C$297)*(('Cálculos'!$C$185*(1+'Cálculos'!$C$186+$A24*('Cálculos'!$C$290=1)*'Cálculos'!$C$97+'Cálculos'!$C$305)+'Cálculos'!$C$191)*('Cálculos'!$C$209+'Cálculos'!$C$124*(1+2.78*('Cálculos'!$C$196+(($B$54)-$A24)*'Cálculos'!$C$98)/(('Cálculos'!$C$196+(($B$54)-$A24)*'Cálculos'!$C$98)+1400)+'Cálculos'!$C$122)*'Cálculos'!$C$214+'Cálculos'!$C$125*(1+2.78*('Cálculos'!$C$196+(($B$54)-$A24)*'Cálculos'!$C$98)/(('Cálculos'!$C$196+(($B$54)-$A24)*'Cálculos'!$C$98)+1400)+'Cálculos'!$C$123)*'Cálculos'!$C$219)+('Cálculos'!$C$196+(($B$54)-$A24)*'Cálculos'!$C$98)*('Cálculos'!$C$210+'Cálculos'!$C$124*(1+2.78*('Cálculos'!$C$196+(($B$54)-$A24)*'Cálculos'!$C$98)/(('Cálculos'!$C$196+(($B$54)-$A24)*'Cálculos'!$C$98)+1400)+'Cálculos'!$C$122)*'Cálculos'!$C$215+'Cálculos'!$C$125*(1+2.78*('Cálculos'!$C$196+(($B$54)-$A24)*'Cálculos'!$C$98)/(('Cálculos'!$C$196+(($B$54)-$A24)*'Cálculos'!$C$98)+1400)+'Cálculos'!$C$123)*'Cálculos'!$C$220)+('Cálculos'!$C$201*(1+'Cálculos'!$C$202+$A24*('Cálculos'!$C$290=2)*'Cálculos'!$C$101)+'Cálculos'!$C$203)*('Cálculos'!$C$211+'Cálculos'!$C$124*(1+2.78*('Cálculos'!$C$196+(($B$54)-$A24)*'Cálculos'!$C$98)/(('Cálculos'!$C$196+(($B$54)-$A24)*'Cálculos'!$C$98)+1400)+'Cálculos'!$C$122)*'Cálculos'!$C$216+'Cálculos'!$C$125*(1+2.78*('Cálculos'!$C$196+(($B$54)-$A24)*'Cálculos'!$C$98)/(('Cálculos'!$C$196+(($B$54)-$A24)*'Cálculos'!$C$98)+1400)+'Cálculos'!$C$123)*'Cálculos'!$C$221)+('Cálculos'!$C$204*(1+'Cálculos'!$C$205+$A24*('Cálculos'!$C$290=3)*'Cálculos'!$C$103)+'Cálculos'!$C$206)*('Cálculos'!$C$212+'Cálculos'!$C$124*(1+2.78*('Cálculos'!$C$196+(($B$54)-$A24)*'Cálculos'!$C$98)/(('Cálculos'!$C$196+(($B$54)-$A24)*'Cálculos'!$C$98)+1400)+'Cálculos'!$C$122)*'Cálculos'!$C$217+'Cálculos'!$C$125*(1+2.78*('Cálculos'!$C$196+(($B$54)-$A24)*'Cálculos'!$C$98)/(('Cálculos'!$C$196+(($B$54)-$A24)*'Cálculos'!$C$98)+1400)+'Cálculos'!$C$123)*'Cálculos'!$C$222)+('Cálculos'!$C$213+'Cálculos'!$C$124*(1+2.78*('Cálculos'!$C$196+(($B$54)-$A24)*'Cálculos'!$C$98)/(('Cálculos'!$C$196+(($B$54)-$A24)*'Cálculos'!$C$98)+1400)+'Cálculos'!$C$122)*'Cálculos'!$C$218+'Cálculos'!$C$125*(1+2.78*('Cálculos'!$C$196+(($B$54)-$A24)*'Cálculos'!$C$98)/(('Cálculos'!$C$196+(($B$54)-$A24)*'Cálculos'!$C$98)+1400)+'Cálculos'!$C$123)*'Cálculos'!$C$223)+('Cálculos'!$C$185*(1+'Cálculos'!$C$187+$A24*('Cálculos'!$C$290=1)*'Cálculos'!$C$97+'Cálculos'!$C$305)+'Cálculos'!$C$192)*('Cálculos'!$C$224+'Cálculos'!$C$124*(1+2.78*('Cálculos'!$C$197+(($B$54)-$A24)*'Cálculos'!$C$98)/(('Cálculos'!$C$197+(($B$54)-$A24)*'Cálculos'!$C$98)+1400)+'Cálculos'!$C$122)*'Cálculos'!$C$229+'Cálculos'!$C$125*(1+2.78*('Cálculos'!$C$197+(($B$54)-$A24)*'Cálculos'!$C$98)/(('Cálculos'!$C$197+(($B$54)-$A24)*'Cálculos'!$C$98)+1400)+'Cálculos'!$C$123)*'Cálculos'!$C$234)+('Cálculos'!$C$197+(($B$54)-$A24)*'Cálculos'!$C$98)*('Cálculos'!$C$225+'Cálculos'!$C$124*(1+2.78*('Cálculos'!$C$197+(($B$54)-$A24)*'Cálculos'!$C$98)/(('Cálculos'!$C$197+(($B$54)-$A24)*'Cálculos'!$C$98)+1400)+'Cálculos'!$C$122)*'Cálculos'!$C$230+'Cálculos'!$C$125*(1+2.78*('Cálculos'!$C$197+(($B$54)-$A24)*'Cálculos'!$C$98)/(('Cálculos'!$C$197+(($B$54)-$A24)*'Cálculos'!$C$98)+1400)+'Cálculos'!$C$123)*'Cálculos'!$C$235)+('Cálculos'!$C$201*(1+'Cálculos'!$C$202+$A24*('Cálculos'!$C$290=2)*'Cálculos'!$C$101)+'Cálculos'!$C$203)*('Cálculos'!$C$226+'Cálculos'!$C$124*(1+2.78*('Cálculos'!$C$197+(($B$54)-$A24)*'Cálculos'!$C$98)/(('Cálculos'!$C$197+(($B$54)-$A24)*'Cálculos'!$C$98)+1400)+'Cálculos'!$C$122)*'Cálculos'!$C$231+'Cálculos'!$C$125*(1+2.78*('Cálculos'!$C$197+(($B$54)-$A24)*'Cálculos'!$C$98)/(('Cálculos'!$C$197+(($B$54)-$A24)*'Cálculos'!$C$98)+1400)+'Cálculos'!$C$123)*'Cálculos'!$C$236)+('Cálculos'!$C$204*(1+'Cálculos'!$C$205+$A24*('Cálculos'!$C$290=3)*'Cálculos'!$C$103)+'Cálculos'!$C$206)*('Cálculos'!$C$227+'Cálculos'!$C$124*(1+2.78*('Cálculos'!$C$197+(($B$54)-$A24)*'Cálculos'!$C$98)/(('Cálculos'!$C$197+(($B$54)-$A24)*'Cálculos'!$C$98)+1400)+'Cálculos'!$C$122)*'Cálculos'!$C$232+'Cálculos'!$C$125*(1+2.78*('Cálculos'!$C$197+(($B$54)-$A24)*'Cálculos'!$C$98)/(('Cálculos'!$C$197+(($B$54)-$A24)*'Cálculos'!$C$98)+1400)+'Cálculos'!$C$123)*'Cálculos'!$C$237)+('Cálculos'!$C$228+'Cálculos'!$C$124*(1+2.78*('Cálculos'!$C$197+(($B$54)-$A24)*'Cálculos'!$C$98)/(('Cálculos'!$C$197+(($B$54)-$A24)*'Cálculos'!$C$98)+1400)+'Cálculos'!$C$122)*'Cálculos'!$C$233+'Cálculos'!$C$125*(1+2.78*('Cálculos'!$C$197+(($B$54)-$A24)*'Cálculos'!$C$98)/(('Cálculos'!$C$197+(($B$54)-$A24)*'Cálculos'!$C$98)+1400)+'Cálculos'!$C$123)*'Cálculos'!$C$238)+('Cálculos'!$C$185*(1+'Cálculos'!$C$188+$A24*('Cálculos'!$C$290=1)*'Cálculos'!$C$97+'Cálculos'!$C$305)+'Cálculos'!$C$193)*('Cálculos'!$C$239+'Cálculos'!$C$124*(1+2.78*('Cálculos'!$C$198+(($B$54)-$A24)*'Cálculos'!$C$98)/(('Cálculos'!$C$198+(($B$54)-$A24)*'Cálculos'!$C$98)+1400)+'Cálculos'!$C$122)*'Cálculos'!$C$244+'Cálculos'!$C$125*(1+2.78*('Cálculos'!$C$198+(($B$54)-$A24)*'Cálculos'!$C$98)/(('Cálculos'!$C$198+(($B$54)-$A24)*'Cálculos'!$C$98)+1400)+'Cálculos'!$C$123)*'Cálculos'!$C$249)+('Cálculos'!$C$198+(($B$54)-$A24)*'Cálculos'!$C$98)*('Cálculos'!$C$240+'Cálculos'!$C$124*(1+2.78*('Cálculos'!$C$198+(($B$54)-$A24)*'Cálculos'!$C$98)/(('Cálculos'!$C$198+(($B$54)-$A24)*'Cálculos'!$C$98)+1400)+'Cálculos'!$C$122)*'Cálculos'!$C$245+'Cálculos'!$C$125*(1+2.78*('Cálculos'!$C$198+(($B$54)-$A24)*'Cálculos'!$C$98)/(('Cálculos'!$C$198+(($B$54)-$A24)*'Cálculos'!$C$98)+1400)+'Cálculos'!$C$123)*'Cálculos'!$C$250)+('Cálculos'!$C$201*(1+'Cálculos'!$C$202+$A24*('Cálculos'!$C$290=2)*'Cálculos'!$C$101)+'Cálculos'!$C$203)*('Cálculos'!$C$241+'Cálculos'!$C$124*(1+2.78*('Cálculos'!$C$198+(($B$54)-$A24)*'Cálculos'!$C$98)/(('Cálculos'!$C$198+(($B$54)-$A24)*'Cálculos'!$C$98)+1400)+'Cálculos'!$C$122)*'Cálculos'!$C$246+'Cálculos'!$C$125*(1+2.78*('Cálculos'!$C$198+(($B$54)-$A24)*'Cálculos'!$C$98)/(('Cálculos'!$C$198+(($B$54)-$A24)*'Cálculos'!$C$98)+1400)+'Cálculos'!$C$123)*'Cálculos'!$C$251)+('Cálculos'!$C$204*(1+'Cálculos'!$C$205+$A24*('Cálculos'!$C$290=3)*'Cálculos'!$C$103)+'Cálculos'!$C$206)*('Cálculos'!$C$242+'Cálculos'!$C$124*(1+2.78*('Cálculos'!$C$198+(($B$54)-$A24)*'Cálculos'!$C$98)/(('Cálculos'!$C$198+(($B$54)-$A24)*'Cálculos'!$C$98)+1400)+'Cálculos'!$C$122)*'Cálculos'!$C$247+'Cálculos'!$C$125*(1+2.78*('Cálculos'!$C$198+(($B$54)-$A24)*'Cálculos'!$C$98)/(('Cálculos'!$C$198+(($B$54)-$A24)*'Cálculos'!$C$98)+1400)+'Cálculos'!$C$123)*'Cálculos'!$C$252)+('Cálculos'!$C$243+'Cálculos'!$C$124*(1+2.78*('Cálculos'!$C$198+(($B$54)-$A24)*'Cálculos'!$C$98)/(('Cálculos'!$C$198+(($B$54)-$A24)*'Cálculos'!$C$98)+1400)+'Cálculos'!$C$122)*'Cálculos'!$C$248+'Cálculos'!$C$125*(1+2.78*('Cálculos'!$C$198+(($B$54)-$A24)*'Cálculos'!$C$98)/(('Cálculos'!$C$198+(($B$54)-$A24)*'Cálculos'!$C$98)+1400)+'Cálculos'!$C$123)*'Cálculos'!$C$253)+('Cálculos'!$C$185*(1+'Cálculos'!$C$189+$A24*('Cálculos'!$C$290=1)*'Cálculos'!$C$97+'Cálculos'!$C$305)+'Cálculos'!$C$194)*('Cálculos'!$C$254+'Cálculos'!$C$124*(1+2.78*('Cálculos'!$C$199+(($B$54)-$A24)*'Cálculos'!$C$98)/(('Cálculos'!$C$199+(($B$54)-$A24)*'Cálculos'!$C$98)+1400)+'Cálculos'!$C$122)*'Cálculos'!$C$259+'Cálculos'!$C$125*(1+2.78*('Cálculos'!$C$199+(($B$54)-$A24)*'Cálculos'!$C$98)/(('Cálculos'!$C$199+(($B$54)-$A24)*'Cálculos'!$C$98)+1400)+'Cálculos'!$C$123)*'Cálculos'!$C$264)+('Cálculos'!$C$199+(($B$54)-$A24)*'Cálculos'!$C$98)*('Cálculos'!$C$255+'Cálculos'!$C$124*(1+2.78*('Cálculos'!$C$199+(($B$54)-$A24)*'Cálculos'!$C$98)/(('Cálculos'!$C$199+(($B$54)-$A24)*'Cálculos'!$C$98)+1400)+'Cálculos'!$C$122)*'Cálculos'!$C$260+'Cálculos'!$C$125*(1+2.78*('Cálculos'!$C$199+(($B$54)-$A24)*'Cálculos'!$C$98)/(('Cálculos'!$C$199+(($B$54)-$A24)*'Cálculos'!$C$98)+1400)+'Cálculos'!$C$123)*'Cálculos'!$C$265)+('Cálculos'!$C$201*(1+'Cálculos'!$C$202+$A24*('Cálculos'!$C$290=2)*'Cálculos'!$C$101)+'Cálculos'!$C$203)*('Cálculos'!$C$256+'Cálculos'!$C$124*(1+2.78*('Cálculos'!$C$199+(($B$54)-$A24)*'Cálculos'!$C$98)/(('Cálculos'!$C$199+(($B$54)-$A24)*'Cálculos'!$C$98)+1400)+'Cálculos'!$C$122)*'Cálculos'!$C$261+'Cálculos'!$C$125*(1+2.78*('Cálculos'!$C$199+(($B$54)-$A24)*'Cálculos'!$C$98)/(('Cálculos'!$C$199+(($B$54)-$A24)*'Cálculos'!$C$98)+1400)+'Cálculos'!$C$123)*'Cálculos'!$C$266)+('Cálculos'!$C$204*(1+'Cálculos'!$C$205+$A24*('Cálculos'!$C$290=3)*'Cálculos'!$C$103)+'Cálculos'!$C$206)*('Cálculos'!$C$257+'Cálculos'!$C$124*(1+2.78*('Cálculos'!$C$199+(($B$54)-$A24)*'Cálculos'!$C$98)/(('Cálculos'!$C$199+(($B$54)-$A24)*'Cálculos'!$C$98)+1400)+'Cálculos'!$C$122)*'Cálculos'!$C$262+'Cálculos'!$C$125*(1+2.78*('Cálculos'!$C$199+(($B$54)-$A24)*'Cálculos'!$C$98)/(('Cálculos'!$C$199+(($B$54)-$A24)*'Cálculos'!$C$98)+1400)+'Cálculos'!$C$123)*'Cálculos'!$C$267)+('Cálculos'!$C$258+'Cálculos'!$C$124*(1+2.78*('Cálculos'!$C$199+(($B$54)-$A24)*'Cálculos'!$C$98)/(('Cálculos'!$C$199+(($B$54)-$A24)*'Cálculos'!$C$98)+1400)+'Cálculos'!$C$122)*'Cálculos'!$C$263+'Cálculos'!$C$125*(1+2.78*('Cálculos'!$C$199+(($B$54)-$A24)*'Cálculos'!$C$98)/(('Cálculos'!$C$199+(($B$54)-$A24)*'Cálculos'!$C$98)+1400)+'Cálculos'!$C$123)*'Cálculos'!$C$268)+('Cálculos'!$C$185*(1+'Cálculos'!$C$190+$A24*('Cálculos'!$C$290=1)*'Cálculos'!$C$97+'Cálculos'!$C$305)+'Cálculos'!$C$195)*('Cálculos'!$C$269+'Cálculos'!$C$124*(1+2.78*('Cálculos'!$C$200+(($B$54)-$A24)*'Cálculos'!$C$98)/(('Cálculos'!$C$200+(($B$54)-$A24)*'Cálculos'!$C$98)+1400)+'Cálculos'!$C$122)*'Cálculos'!$C$274+'Cálculos'!$C$125*(1+2.78*('Cálculos'!$C$200+(($B$54)-$A24)*'Cálculos'!$C$98)/(('Cálculos'!$C$200+(($B$54)-$A24)*'Cálculos'!$C$98)+1400)+'Cálculos'!$C$123)*'Cálculos'!$C$279)+('Cálculos'!$C$200+(($B$54)-$A24)*'Cálculos'!$C$98)*('Cálculos'!$C$270+'Cálculos'!$C$124*(1+2.78*('Cálculos'!$C$200+(($B$54)-$A24)*'Cálculos'!$C$98)/(('Cálculos'!$C$200+(($B$54)-$A24)*'Cálculos'!$C$98)+1400)+'Cálculos'!$C$122)*'Cálculos'!$C$275+'Cálculos'!$C$125*(1+2.78*('Cálculos'!$C$200+(($B$54)-$A24)*'Cálculos'!$C$98)/(('Cálculos'!$C$200+(($B$54)-$A24)*'Cálculos'!$C$98)+1400)+'Cálculos'!$C$123)*'Cálculos'!$C$280)+('Cálculos'!$C$201*(1+'Cálculos'!$C$202+$A24*('Cálculos'!$C$290=2)*'Cálculos'!$C$101)+'Cálculos'!$C$203)*('Cálculos'!$C$271+'Cálculos'!$C$124*(1+2.78*('Cálculos'!$C$200+(($B$54)-$A24)*'Cálculos'!$C$98)/(('Cálculos'!$C$200+(($B$54)-$A24)*'Cálculos'!$C$98)+1400)+'Cálculos'!$C$122)*'Cálculos'!$C$276+'Cálculos'!$C$125*(1+2.78*('Cálculos'!$C$200+(($B$54)-$A24)*'Cálculos'!$C$98)/(('Cálculos'!$C$200+(($B$54)-$A24)*'Cálculos'!$C$98)+1400)+'Cálculos'!$C$123)*'Cálculos'!$C$281)+('Cálculos'!$C$204*(1+'Cálculos'!$C$205+$A24*('Cálculos'!$C$290=3)*'Cálculos'!$C$103)+'Cálculos'!$C$206)*('Cálculos'!$C$272+'Cálculos'!$C$124*(1+2.78*('Cálculos'!$C$200+(($B$54)-$A24)*'Cálculos'!$C$98)/(('Cálculos'!$C$200+(($B$54)-$A24)*'Cálculos'!$C$98)+1400)+'Cálculos'!$C$122)*'Cálculos'!$C$277+'Cálculos'!$C$125*(1+2.78*('Cálculos'!$C$200+(($B$54)-$A24)*'Cálculos'!$C$98)/(('Cálculos'!$C$200+(($B$54)-$A24)*'Cálculos'!$C$98)+1400)+'Cálculos'!$C$123)*'Cálculos'!$C$282)+('Cálculos'!$C$273+'Cálculos'!$C$124*(1+2.78*('Cálculos'!$C$200+(($B$54)-$A24)*'Cálculos'!$C$98)/(('Cálculos'!$C$200+(($B$54)-$A24)*'Cálculos'!$C$98)+1400)+'Cálculos'!$C$122)*'Cálculos'!$C$278+'Cálculos'!$C$125*(1+2.78*('Cálculos'!$C$200+(($B$54)-$A24)*'Cálculos'!$C$98)/(('Cálculos'!$C$200+(($B$54)-$A24)*'Cálculos'!$C$98)+1400)+'Cálculos'!$C$123)*'Cálculos'!$C$283)))</f>
        <v>0</v>
      </c>
    </row>
    <row r="25" ht="15.75" customHeight="1">
      <c r="A25" s="2">
        <v>19.0</v>
      </c>
      <c r="B25" s="30">
        <f>SUMPRODUCT(MAX(($A$6:$A$51&lt;=$A25)*($A$6:$A$51&lt;='Cálculos'!$C$294)*(($A25)-$A$6:$A$51&lt;='Cálculos'!$C$295)*(1+(('Cálculos'!$C$207+$A$6:$A$51*'Cálculos'!$C$95)-(('Cálculos'!$C$207+$A$6:$A$51*'Cálculos'!$C$95)&gt;1)*(('Cálculos'!$C$207+$A$6:$A$51*'Cálculos'!$C$95)-1))*('Cálculos'!$C$208+(($A25)-$A$6:$A$51)*'Cálculos'!$C$96))))</f>
        <v>3.488324</v>
      </c>
      <c r="C25" s="2">
        <f>'Cálculos'!$C$303-$A25</f>
        <v>1</v>
      </c>
      <c r="D25" s="31">
        <f>IF($C25&lt;0,0,SUMPRODUCT(MAX(($A$6:$A$51&lt;=$C25)*($A$6:$A$51&lt;='Cálculos'!$C$301)*(($C25)-$A$6:$A$51&lt;='Cálculos'!$C$297)*(('Cálculos'!$C$185*(1+'Cálculos'!$C$186+$A$6:$A$51*('Cálculos'!$C$290=1)*'Cálculos'!$C$97+'Cálculos'!$C$305)+'Cálculos'!$C$191)*('Cálculos'!$C$209+'Cálculos'!$C$124*(1+2.78*('Cálculos'!$C$196+(($C25)-$A$6:$A$51)*'Cálculos'!$C$98)/(('Cálculos'!$C$196+(($C25)-$A$6:$A$51)*'Cálculos'!$C$98)+1400)+'Cálculos'!$C$122)*'Cálculos'!$C$214+'Cálculos'!$C$125*(1+2.78*('Cálculos'!$C$196+(($C25)-$A$6:$A$51)*'Cálculos'!$C$98)/(('Cálculos'!$C$196+(($C25)-$A$6:$A$51)*'Cálculos'!$C$98)+1400)+'Cálculos'!$C$123)*'Cálculos'!$C$219)+('Cálculos'!$C$196+(($C25)-$A$6:$A$51)*'Cálculos'!$C$98)*('Cálculos'!$C$210+'Cálculos'!$C$124*(1+2.78*('Cálculos'!$C$196+(($C25)-$A$6:$A$51)*'Cálculos'!$C$98)/(('Cálculos'!$C$196+(($C25)-$A$6:$A$51)*'Cálculos'!$C$98)+1400)+'Cálculos'!$C$122)*'Cálculos'!$C$215+'Cálculos'!$C$125*(1+2.78*('Cálculos'!$C$196+(($C25)-$A$6:$A$51)*'Cálculos'!$C$98)/(('Cálculos'!$C$196+(($C25)-$A$6:$A$51)*'Cálculos'!$C$98)+1400)+'Cálculos'!$C$123)*'Cálculos'!$C$220)+('Cálculos'!$C$201*(1+'Cálculos'!$C$202+$A$6:$A$51*('Cálculos'!$C$290=2)*'Cálculos'!$C$101)+'Cálculos'!$C$203)*('Cálculos'!$C$211+'Cálculos'!$C$124*(1+2.78*('Cálculos'!$C$196+(($C25)-$A$6:$A$51)*'Cálculos'!$C$98)/(('Cálculos'!$C$196+(($C25)-$A$6:$A$51)*'Cálculos'!$C$98)+1400)+'Cálculos'!$C$122)*'Cálculos'!$C$216+'Cálculos'!$C$125*(1+2.78*('Cálculos'!$C$196+(($C25)-$A$6:$A$51)*'Cálculos'!$C$98)/(('Cálculos'!$C$196+(($C25)-$A$6:$A$51)*'Cálculos'!$C$98)+1400)+'Cálculos'!$C$123)*'Cálculos'!$C$221)+('Cálculos'!$C$204*(1+'Cálculos'!$C$205+$A$6:$A$51*('Cálculos'!$C$290=3)*'Cálculos'!$C$103)+'Cálculos'!$C$206)*('Cálculos'!$C$212+'Cálculos'!$C$124*(1+2.78*('Cálculos'!$C$196+(($C25)-$A$6:$A$51)*'Cálculos'!$C$98)/(('Cálculos'!$C$196+(($C25)-$A$6:$A$51)*'Cálculos'!$C$98)+1400)+'Cálculos'!$C$122)*'Cálculos'!$C$217+'Cálculos'!$C$125*(1+2.78*('Cálculos'!$C$196+(($C25)-$A$6:$A$51)*'Cálculos'!$C$98)/(('Cálculos'!$C$196+(($C25)-$A$6:$A$51)*'Cálculos'!$C$98)+1400)+'Cálculos'!$C$123)*'Cálculos'!$C$222)+('Cálculos'!$C$213+'Cálculos'!$C$124*(1+2.78*('Cálculos'!$C$196+(($C25)-$A$6:$A$51)*'Cálculos'!$C$98)/(('Cálculos'!$C$196+(($C25)-$A$6:$A$51)*'Cálculos'!$C$98)+1400)+'Cálculos'!$C$122)*'Cálculos'!$C$218+'Cálculos'!$C$125*(1+2.78*('Cálculos'!$C$196+(($C25)-$A$6:$A$51)*'Cálculos'!$C$98)/(('Cálculos'!$C$196+(($C25)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25)-$A$6:$A$51)*'Cálculos'!$C$98)/(('Cálculos'!$C$197+(($C25)-$A$6:$A$51)*'Cálculos'!$C$98)+1400)+'Cálculos'!$C$122)*'Cálculos'!$C$229+'Cálculos'!$C$125*(1+2.78*('Cálculos'!$C$197+(($C25)-$A$6:$A$51)*'Cálculos'!$C$98)/(('Cálculos'!$C$197+(($C25)-$A$6:$A$51)*'Cálculos'!$C$98)+1400)+'Cálculos'!$C$123)*'Cálculos'!$C$234)+('Cálculos'!$C$197+(($C25)-$A$6:$A$51)*'Cálculos'!$C$98)*('Cálculos'!$C$225+'Cálculos'!$C$124*(1+2.78*('Cálculos'!$C$197+(($C25)-$A$6:$A$51)*'Cálculos'!$C$98)/(('Cálculos'!$C$197+(($C25)-$A$6:$A$51)*'Cálculos'!$C$98)+1400)+'Cálculos'!$C$122)*'Cálculos'!$C$230+'Cálculos'!$C$125*(1+2.78*('Cálculos'!$C$197+(($C25)-$A$6:$A$51)*'Cálculos'!$C$98)/(('Cálculos'!$C$197+(($C25)-$A$6:$A$51)*'Cálculos'!$C$98)+1400)+'Cálculos'!$C$123)*'Cálculos'!$C$235)+('Cálculos'!$C$201*(1+'Cálculos'!$C$202+$A$6:$A$51*('Cálculos'!$C$290=2)*'Cálculos'!$C$101)+'Cálculos'!$C$203)*('Cálculos'!$C$226+'Cálculos'!$C$124*(1+2.78*('Cálculos'!$C$197+(($C25)-$A$6:$A$51)*'Cálculos'!$C$98)/(('Cálculos'!$C$197+(($C25)-$A$6:$A$51)*'Cálculos'!$C$98)+1400)+'Cálculos'!$C$122)*'Cálculos'!$C$231+'Cálculos'!$C$125*(1+2.78*('Cálculos'!$C$197+(($C25)-$A$6:$A$51)*'Cálculos'!$C$98)/(('Cálculos'!$C$197+(($C25)-$A$6:$A$51)*'Cálculos'!$C$98)+1400)+'Cálculos'!$C$123)*'Cálculos'!$C$236)+('Cálculos'!$C$204*(1+'Cálculos'!$C$205+$A$6:$A$51*('Cálculos'!$C$290=3)*'Cálculos'!$C$103)+'Cálculos'!$C$206)*('Cálculos'!$C$227+'Cálculos'!$C$124*(1+2.78*('Cálculos'!$C$197+(($C25)-$A$6:$A$51)*'Cálculos'!$C$98)/(('Cálculos'!$C$197+(($C25)-$A$6:$A$51)*'Cálculos'!$C$98)+1400)+'Cálculos'!$C$122)*'Cálculos'!$C$232+'Cálculos'!$C$125*(1+2.78*('Cálculos'!$C$197+(($C25)-$A$6:$A$51)*'Cálculos'!$C$98)/(('Cálculos'!$C$197+(($C25)-$A$6:$A$51)*'Cálculos'!$C$98)+1400)+'Cálculos'!$C$123)*'Cálculos'!$C$237)+('Cálculos'!$C$228+'Cálculos'!$C$124*(1+2.78*('Cálculos'!$C$197+(($C25)-$A$6:$A$51)*'Cálculos'!$C$98)/(('Cálculos'!$C$197+(($C25)-$A$6:$A$51)*'Cálculos'!$C$98)+1400)+'Cálculos'!$C$122)*'Cálculos'!$C$233+'Cálculos'!$C$125*(1+2.78*('Cálculos'!$C$197+(($C25)-$A$6:$A$51)*'Cálculos'!$C$98)/(('Cálculos'!$C$197+(($C25)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25)-$A$6:$A$51)*'Cálculos'!$C$98)/(('Cálculos'!$C$198+(($C25)-$A$6:$A$51)*'Cálculos'!$C$98)+1400)+'Cálculos'!$C$122)*'Cálculos'!$C$244+'Cálculos'!$C$125*(1+2.78*('Cálculos'!$C$198+(($C25)-$A$6:$A$51)*'Cálculos'!$C$98)/(('Cálculos'!$C$198+(($C25)-$A$6:$A$51)*'Cálculos'!$C$98)+1400)+'Cálculos'!$C$123)*'Cálculos'!$C$249)+('Cálculos'!$C$198+(($C25)-$A$6:$A$51)*'Cálculos'!$C$98)*('Cálculos'!$C$240+'Cálculos'!$C$124*(1+2.78*('Cálculos'!$C$198+(($C25)-$A$6:$A$51)*'Cálculos'!$C$98)/(('Cálculos'!$C$198+(($C25)-$A$6:$A$51)*'Cálculos'!$C$98)+1400)+'Cálculos'!$C$122)*'Cálculos'!$C$245+'Cálculos'!$C$125*(1+2.78*('Cálculos'!$C$198+(($C25)-$A$6:$A$51)*'Cálculos'!$C$98)/(('Cálculos'!$C$198+(($C25)-$A$6:$A$51)*'Cálculos'!$C$98)+1400)+'Cálculos'!$C$123)*'Cálculos'!$C$250)+('Cálculos'!$C$201*(1+'Cálculos'!$C$202+$A$6:$A$51*('Cálculos'!$C$290=2)*'Cálculos'!$C$101)+'Cálculos'!$C$203)*('Cálculos'!$C$241+'Cálculos'!$C$124*(1+2.78*('Cálculos'!$C$198+(($C25)-$A$6:$A$51)*'Cálculos'!$C$98)/(('Cálculos'!$C$198+(($C25)-$A$6:$A$51)*'Cálculos'!$C$98)+1400)+'Cálculos'!$C$122)*'Cálculos'!$C$246+'Cálculos'!$C$125*(1+2.78*('Cálculos'!$C$198+(($C25)-$A$6:$A$51)*'Cálculos'!$C$98)/(('Cálculos'!$C$198+(($C25)-$A$6:$A$51)*'Cálculos'!$C$98)+1400)+'Cálculos'!$C$123)*'Cálculos'!$C$251)+('Cálculos'!$C$204*(1+'Cálculos'!$C$205+$A$6:$A$51*('Cálculos'!$C$290=3)*'Cálculos'!$C$103)+'Cálculos'!$C$206)*('Cálculos'!$C$242+'Cálculos'!$C$124*(1+2.78*('Cálculos'!$C$198+(($C25)-$A$6:$A$51)*'Cálculos'!$C$98)/(('Cálculos'!$C$198+(($C25)-$A$6:$A$51)*'Cálculos'!$C$98)+1400)+'Cálculos'!$C$122)*'Cálculos'!$C$247+'Cálculos'!$C$125*(1+2.78*('Cálculos'!$C$198+(($C25)-$A$6:$A$51)*'Cálculos'!$C$98)/(('Cálculos'!$C$198+(($C25)-$A$6:$A$51)*'Cálculos'!$C$98)+1400)+'Cálculos'!$C$123)*'Cálculos'!$C$252)+('Cálculos'!$C$243+'Cálculos'!$C$124*(1+2.78*('Cálculos'!$C$198+(($C25)-$A$6:$A$51)*'Cálculos'!$C$98)/(('Cálculos'!$C$198+(($C25)-$A$6:$A$51)*'Cálculos'!$C$98)+1400)+'Cálculos'!$C$122)*'Cálculos'!$C$248+'Cálculos'!$C$125*(1+2.78*('Cálculos'!$C$198+(($C25)-$A$6:$A$51)*'Cálculos'!$C$98)/(('Cálculos'!$C$198+(($C25)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25)-$A$6:$A$51)*'Cálculos'!$C$98)/(('Cálculos'!$C$199+(($C25)-$A$6:$A$51)*'Cálculos'!$C$98)+1400)+'Cálculos'!$C$122)*'Cálculos'!$C$259+'Cálculos'!$C$125*(1+2.78*('Cálculos'!$C$199+(($C25)-$A$6:$A$51)*'Cálculos'!$C$98)/(('Cálculos'!$C$199+(($C25)-$A$6:$A$51)*'Cálculos'!$C$98)+1400)+'Cálculos'!$C$123)*'Cálculos'!$C$264)+('Cálculos'!$C$199+(($C25)-$A$6:$A$51)*'Cálculos'!$C$98)*('Cálculos'!$C$255+'Cálculos'!$C$124*(1+2.78*('Cálculos'!$C$199+(($C25)-$A$6:$A$51)*'Cálculos'!$C$98)/(('Cálculos'!$C$199+(($C25)-$A$6:$A$51)*'Cálculos'!$C$98)+1400)+'Cálculos'!$C$122)*'Cálculos'!$C$260+'Cálculos'!$C$125*(1+2.78*('Cálculos'!$C$199+(($C25)-$A$6:$A$51)*'Cálculos'!$C$98)/(('Cálculos'!$C$199+(($C25)-$A$6:$A$51)*'Cálculos'!$C$98)+1400)+'Cálculos'!$C$123)*'Cálculos'!$C$265)+('Cálculos'!$C$201*(1+'Cálculos'!$C$202+$A$6:$A$51*('Cálculos'!$C$290=2)*'Cálculos'!$C$101)+'Cálculos'!$C$203)*('Cálculos'!$C$256+'Cálculos'!$C$124*(1+2.78*('Cálculos'!$C$199+(($C25)-$A$6:$A$51)*'Cálculos'!$C$98)/(('Cálculos'!$C$199+(($C25)-$A$6:$A$51)*'Cálculos'!$C$98)+1400)+'Cálculos'!$C$122)*'Cálculos'!$C$261+'Cálculos'!$C$125*(1+2.78*('Cálculos'!$C$199+(($C25)-$A$6:$A$51)*'Cálculos'!$C$98)/(('Cálculos'!$C$199+(($C25)-$A$6:$A$51)*'Cálculos'!$C$98)+1400)+'Cálculos'!$C$123)*'Cálculos'!$C$266)+('Cálculos'!$C$204*(1+'Cálculos'!$C$205+$A$6:$A$51*('Cálculos'!$C$290=3)*'Cálculos'!$C$103)+'Cálculos'!$C$206)*('Cálculos'!$C$257+'Cálculos'!$C$124*(1+2.78*('Cálculos'!$C$199+(($C25)-$A$6:$A$51)*'Cálculos'!$C$98)/(('Cálculos'!$C$199+(($C25)-$A$6:$A$51)*'Cálculos'!$C$98)+1400)+'Cálculos'!$C$122)*'Cálculos'!$C$262+'Cálculos'!$C$125*(1+2.78*('Cálculos'!$C$199+(($C25)-$A$6:$A$51)*'Cálculos'!$C$98)/(('Cálculos'!$C$199+(($C25)-$A$6:$A$51)*'Cálculos'!$C$98)+1400)+'Cálculos'!$C$123)*'Cálculos'!$C$267)+('Cálculos'!$C$258+'Cálculos'!$C$124*(1+2.78*('Cálculos'!$C$199+(($C25)-$A$6:$A$51)*'Cálculos'!$C$98)/(('Cálculos'!$C$199+(($C25)-$A$6:$A$51)*'Cálculos'!$C$98)+1400)+'Cálculos'!$C$122)*'Cálculos'!$C$263+'Cálculos'!$C$125*(1+2.78*('Cálculos'!$C$199+(($C25)-$A$6:$A$51)*'Cálculos'!$C$98)/(('Cálculos'!$C$199+(($C25)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25)-$A$6:$A$51)*'Cálculos'!$C$98)/(('Cálculos'!$C$200+(($C25)-$A$6:$A$51)*'Cálculos'!$C$98)+1400)+'Cálculos'!$C$122)*'Cálculos'!$C$274+'Cálculos'!$C$125*(1+2.78*('Cálculos'!$C$200+(($C25)-$A$6:$A$51)*'Cálculos'!$C$98)/(('Cálculos'!$C$200+(($C25)-$A$6:$A$51)*'Cálculos'!$C$98)+1400)+'Cálculos'!$C$123)*'Cálculos'!$C$279)+('Cálculos'!$C$200+(($C25)-$A$6:$A$51)*'Cálculos'!$C$98)*('Cálculos'!$C$270+'Cálculos'!$C$124*(1+2.78*('Cálculos'!$C$200+(($C25)-$A$6:$A$51)*'Cálculos'!$C$98)/(('Cálculos'!$C$200+(($C25)-$A$6:$A$51)*'Cálculos'!$C$98)+1400)+'Cálculos'!$C$122)*'Cálculos'!$C$275+'Cálculos'!$C$125*(1+2.78*('Cálculos'!$C$200+(($C25)-$A$6:$A$51)*'Cálculos'!$C$98)/(('Cálculos'!$C$200+(($C25)-$A$6:$A$51)*'Cálculos'!$C$98)+1400)+'Cálculos'!$C$123)*'Cálculos'!$C$280)+('Cálculos'!$C$201*(1+'Cálculos'!$C$202+$A$6:$A$51*('Cálculos'!$C$290=2)*'Cálculos'!$C$101)+'Cálculos'!$C$203)*('Cálculos'!$C$271+'Cálculos'!$C$124*(1+2.78*('Cálculos'!$C$200+(($C25)-$A$6:$A$51)*'Cálculos'!$C$98)/(('Cálculos'!$C$200+(($C25)-$A$6:$A$51)*'Cálculos'!$C$98)+1400)+'Cálculos'!$C$122)*'Cálculos'!$C$276+'Cálculos'!$C$125*(1+2.78*('Cálculos'!$C$200+(($C25)-$A$6:$A$51)*'Cálculos'!$C$98)/(('Cálculos'!$C$200+(($C25)-$A$6:$A$51)*'Cálculos'!$C$98)+1400)+'Cálculos'!$C$123)*'Cálculos'!$C$281)+('Cálculos'!$C$204*(1+'Cálculos'!$C$205+$A$6:$A$51*('Cálculos'!$C$290=3)*'Cálculos'!$C$103)+'Cálculos'!$C$206)*('Cálculos'!$C$272+'Cálculos'!$C$124*(1+2.78*('Cálculos'!$C$200+(($C25)-$A$6:$A$51)*'Cálculos'!$C$98)/(('Cálculos'!$C$200+(($C25)-$A$6:$A$51)*'Cálculos'!$C$98)+1400)+'Cálculos'!$C$122)*'Cálculos'!$C$277+'Cálculos'!$C$125*(1+2.78*('Cálculos'!$C$200+(($C25)-$A$6:$A$51)*'Cálculos'!$C$98)/(('Cálculos'!$C$200+(($C25)-$A$6:$A$51)*'Cálculos'!$C$98)+1400)+'Cálculos'!$C$123)*'Cálculos'!$C$282)+('Cálculos'!$C$273+'Cálculos'!$C$124*(1+2.78*('Cálculos'!$C$200+(($C25)-$A$6:$A$51)*'Cálculos'!$C$98)/(('Cálculos'!$C$200+(($C25)-$A$6:$A$51)*'Cálculos'!$C$98)+1400)+'Cálculos'!$C$122)*'Cálculos'!$C$278+'Cálculos'!$C$125*(1+2.78*('Cálculos'!$C$200+(($C25)-$A$6:$A$51)*'Cálculos'!$C$98)/(('Cálculos'!$C$200+(($C25)-$A$6:$A$51)*'Cálculos'!$C$98)+1400)+'Cálculos'!$C$123)*'Cálculos'!$C$283)))))</f>
        <v>1058354.711</v>
      </c>
      <c r="E25" s="32">
        <f>IF(OR($C25&lt;0,'Cálculos'!$C$6=""),0,$B25*$D25)</f>
        <v>3691884.138</v>
      </c>
      <c r="F25" s="2"/>
      <c r="G25" s="30">
        <f>($A25&lt;=$B$53)*($A25&lt;='Cálculos'!$C$294)*(($B$53)-$A25&lt;='Cálculos'!$C$295)*(1+MIN(('Cálculos'!$C$207+$A25*'Cálculos'!$C$95),1)*('Cálculos'!$C$208+(($B$53)-$A25)*'Cálculos'!$C$96))</f>
        <v>0</v>
      </c>
      <c r="H25" s="31">
        <f>IF($B$54&lt;0,0,($A25&lt;=$B$54)*($A25&lt;='Cálculos'!$C$301)*(($B$54)-$A25&lt;='Cálculos'!$C$297)*(('Cálculos'!$C$185*(1+'Cálculos'!$C$186+$A25*('Cálculos'!$C$290=1)*'Cálculos'!$C$97+'Cálculos'!$C$305)+'Cálculos'!$C$191)*('Cálculos'!$C$209+'Cálculos'!$C$124*(1+2.78*('Cálculos'!$C$196+(($B$54)-$A25)*'Cálculos'!$C$98)/(('Cálculos'!$C$196+(($B$54)-$A25)*'Cálculos'!$C$98)+1400)+'Cálculos'!$C$122)*'Cálculos'!$C$214+'Cálculos'!$C$125*(1+2.78*('Cálculos'!$C$196+(($B$54)-$A25)*'Cálculos'!$C$98)/(('Cálculos'!$C$196+(($B$54)-$A25)*'Cálculos'!$C$98)+1400)+'Cálculos'!$C$123)*'Cálculos'!$C$219)+('Cálculos'!$C$196+(($B$54)-$A25)*'Cálculos'!$C$98)*('Cálculos'!$C$210+'Cálculos'!$C$124*(1+2.78*('Cálculos'!$C$196+(($B$54)-$A25)*'Cálculos'!$C$98)/(('Cálculos'!$C$196+(($B$54)-$A25)*'Cálculos'!$C$98)+1400)+'Cálculos'!$C$122)*'Cálculos'!$C$215+'Cálculos'!$C$125*(1+2.78*('Cálculos'!$C$196+(($B$54)-$A25)*'Cálculos'!$C$98)/(('Cálculos'!$C$196+(($B$54)-$A25)*'Cálculos'!$C$98)+1400)+'Cálculos'!$C$123)*'Cálculos'!$C$220)+('Cálculos'!$C$201*(1+'Cálculos'!$C$202+$A25*('Cálculos'!$C$290=2)*'Cálculos'!$C$101)+'Cálculos'!$C$203)*('Cálculos'!$C$211+'Cálculos'!$C$124*(1+2.78*('Cálculos'!$C$196+(($B$54)-$A25)*'Cálculos'!$C$98)/(('Cálculos'!$C$196+(($B$54)-$A25)*'Cálculos'!$C$98)+1400)+'Cálculos'!$C$122)*'Cálculos'!$C$216+'Cálculos'!$C$125*(1+2.78*('Cálculos'!$C$196+(($B$54)-$A25)*'Cálculos'!$C$98)/(('Cálculos'!$C$196+(($B$54)-$A25)*'Cálculos'!$C$98)+1400)+'Cálculos'!$C$123)*'Cálculos'!$C$221)+('Cálculos'!$C$204*(1+'Cálculos'!$C$205+$A25*('Cálculos'!$C$290=3)*'Cálculos'!$C$103)+'Cálculos'!$C$206)*('Cálculos'!$C$212+'Cálculos'!$C$124*(1+2.78*('Cálculos'!$C$196+(($B$54)-$A25)*'Cálculos'!$C$98)/(('Cálculos'!$C$196+(($B$54)-$A25)*'Cálculos'!$C$98)+1400)+'Cálculos'!$C$122)*'Cálculos'!$C$217+'Cálculos'!$C$125*(1+2.78*('Cálculos'!$C$196+(($B$54)-$A25)*'Cálculos'!$C$98)/(('Cálculos'!$C$196+(($B$54)-$A25)*'Cálculos'!$C$98)+1400)+'Cálculos'!$C$123)*'Cálculos'!$C$222)+('Cálculos'!$C$213+'Cálculos'!$C$124*(1+2.78*('Cálculos'!$C$196+(($B$54)-$A25)*'Cálculos'!$C$98)/(('Cálculos'!$C$196+(($B$54)-$A25)*'Cálculos'!$C$98)+1400)+'Cálculos'!$C$122)*'Cálculos'!$C$218+'Cálculos'!$C$125*(1+2.78*('Cálculos'!$C$196+(($B$54)-$A25)*'Cálculos'!$C$98)/(('Cálculos'!$C$196+(($B$54)-$A25)*'Cálculos'!$C$98)+1400)+'Cálculos'!$C$123)*'Cálculos'!$C$223)+('Cálculos'!$C$185*(1+'Cálculos'!$C$187+$A25*('Cálculos'!$C$290=1)*'Cálculos'!$C$97+'Cálculos'!$C$305)+'Cálculos'!$C$192)*('Cálculos'!$C$224+'Cálculos'!$C$124*(1+2.78*('Cálculos'!$C$197+(($B$54)-$A25)*'Cálculos'!$C$98)/(('Cálculos'!$C$197+(($B$54)-$A25)*'Cálculos'!$C$98)+1400)+'Cálculos'!$C$122)*'Cálculos'!$C$229+'Cálculos'!$C$125*(1+2.78*('Cálculos'!$C$197+(($B$54)-$A25)*'Cálculos'!$C$98)/(('Cálculos'!$C$197+(($B$54)-$A25)*'Cálculos'!$C$98)+1400)+'Cálculos'!$C$123)*'Cálculos'!$C$234)+('Cálculos'!$C$197+(($B$54)-$A25)*'Cálculos'!$C$98)*('Cálculos'!$C$225+'Cálculos'!$C$124*(1+2.78*('Cálculos'!$C$197+(($B$54)-$A25)*'Cálculos'!$C$98)/(('Cálculos'!$C$197+(($B$54)-$A25)*'Cálculos'!$C$98)+1400)+'Cálculos'!$C$122)*'Cálculos'!$C$230+'Cálculos'!$C$125*(1+2.78*('Cálculos'!$C$197+(($B$54)-$A25)*'Cálculos'!$C$98)/(('Cálculos'!$C$197+(($B$54)-$A25)*'Cálculos'!$C$98)+1400)+'Cálculos'!$C$123)*'Cálculos'!$C$235)+('Cálculos'!$C$201*(1+'Cálculos'!$C$202+$A25*('Cálculos'!$C$290=2)*'Cálculos'!$C$101)+'Cálculos'!$C$203)*('Cálculos'!$C$226+'Cálculos'!$C$124*(1+2.78*('Cálculos'!$C$197+(($B$54)-$A25)*'Cálculos'!$C$98)/(('Cálculos'!$C$197+(($B$54)-$A25)*'Cálculos'!$C$98)+1400)+'Cálculos'!$C$122)*'Cálculos'!$C$231+'Cálculos'!$C$125*(1+2.78*('Cálculos'!$C$197+(($B$54)-$A25)*'Cálculos'!$C$98)/(('Cálculos'!$C$197+(($B$54)-$A25)*'Cálculos'!$C$98)+1400)+'Cálculos'!$C$123)*'Cálculos'!$C$236)+('Cálculos'!$C$204*(1+'Cálculos'!$C$205+$A25*('Cálculos'!$C$290=3)*'Cálculos'!$C$103)+'Cálculos'!$C$206)*('Cálculos'!$C$227+'Cálculos'!$C$124*(1+2.78*('Cálculos'!$C$197+(($B$54)-$A25)*'Cálculos'!$C$98)/(('Cálculos'!$C$197+(($B$54)-$A25)*'Cálculos'!$C$98)+1400)+'Cálculos'!$C$122)*'Cálculos'!$C$232+'Cálculos'!$C$125*(1+2.78*('Cálculos'!$C$197+(($B$54)-$A25)*'Cálculos'!$C$98)/(('Cálculos'!$C$197+(($B$54)-$A25)*'Cálculos'!$C$98)+1400)+'Cálculos'!$C$123)*'Cálculos'!$C$237)+('Cálculos'!$C$228+'Cálculos'!$C$124*(1+2.78*('Cálculos'!$C$197+(($B$54)-$A25)*'Cálculos'!$C$98)/(('Cálculos'!$C$197+(($B$54)-$A25)*'Cálculos'!$C$98)+1400)+'Cálculos'!$C$122)*'Cálculos'!$C$233+'Cálculos'!$C$125*(1+2.78*('Cálculos'!$C$197+(($B$54)-$A25)*'Cálculos'!$C$98)/(('Cálculos'!$C$197+(($B$54)-$A25)*'Cálculos'!$C$98)+1400)+'Cálculos'!$C$123)*'Cálculos'!$C$238)+('Cálculos'!$C$185*(1+'Cálculos'!$C$188+$A25*('Cálculos'!$C$290=1)*'Cálculos'!$C$97+'Cálculos'!$C$305)+'Cálculos'!$C$193)*('Cálculos'!$C$239+'Cálculos'!$C$124*(1+2.78*('Cálculos'!$C$198+(($B$54)-$A25)*'Cálculos'!$C$98)/(('Cálculos'!$C$198+(($B$54)-$A25)*'Cálculos'!$C$98)+1400)+'Cálculos'!$C$122)*'Cálculos'!$C$244+'Cálculos'!$C$125*(1+2.78*('Cálculos'!$C$198+(($B$54)-$A25)*'Cálculos'!$C$98)/(('Cálculos'!$C$198+(($B$54)-$A25)*'Cálculos'!$C$98)+1400)+'Cálculos'!$C$123)*'Cálculos'!$C$249)+('Cálculos'!$C$198+(($B$54)-$A25)*'Cálculos'!$C$98)*('Cálculos'!$C$240+'Cálculos'!$C$124*(1+2.78*('Cálculos'!$C$198+(($B$54)-$A25)*'Cálculos'!$C$98)/(('Cálculos'!$C$198+(($B$54)-$A25)*'Cálculos'!$C$98)+1400)+'Cálculos'!$C$122)*'Cálculos'!$C$245+'Cálculos'!$C$125*(1+2.78*('Cálculos'!$C$198+(($B$54)-$A25)*'Cálculos'!$C$98)/(('Cálculos'!$C$198+(($B$54)-$A25)*'Cálculos'!$C$98)+1400)+'Cálculos'!$C$123)*'Cálculos'!$C$250)+('Cálculos'!$C$201*(1+'Cálculos'!$C$202+$A25*('Cálculos'!$C$290=2)*'Cálculos'!$C$101)+'Cálculos'!$C$203)*('Cálculos'!$C$241+'Cálculos'!$C$124*(1+2.78*('Cálculos'!$C$198+(($B$54)-$A25)*'Cálculos'!$C$98)/(('Cálculos'!$C$198+(($B$54)-$A25)*'Cálculos'!$C$98)+1400)+'Cálculos'!$C$122)*'Cálculos'!$C$246+'Cálculos'!$C$125*(1+2.78*('Cálculos'!$C$198+(($B$54)-$A25)*'Cálculos'!$C$98)/(('Cálculos'!$C$198+(($B$54)-$A25)*'Cálculos'!$C$98)+1400)+'Cálculos'!$C$123)*'Cálculos'!$C$251)+('Cálculos'!$C$204*(1+'Cálculos'!$C$205+$A25*('Cálculos'!$C$290=3)*'Cálculos'!$C$103)+'Cálculos'!$C$206)*('Cálculos'!$C$242+'Cálculos'!$C$124*(1+2.78*('Cálculos'!$C$198+(($B$54)-$A25)*'Cálculos'!$C$98)/(('Cálculos'!$C$198+(($B$54)-$A25)*'Cálculos'!$C$98)+1400)+'Cálculos'!$C$122)*'Cálculos'!$C$247+'Cálculos'!$C$125*(1+2.78*('Cálculos'!$C$198+(($B$54)-$A25)*'Cálculos'!$C$98)/(('Cálculos'!$C$198+(($B$54)-$A25)*'Cálculos'!$C$98)+1400)+'Cálculos'!$C$123)*'Cálculos'!$C$252)+('Cálculos'!$C$243+'Cálculos'!$C$124*(1+2.78*('Cálculos'!$C$198+(($B$54)-$A25)*'Cálculos'!$C$98)/(('Cálculos'!$C$198+(($B$54)-$A25)*'Cálculos'!$C$98)+1400)+'Cálculos'!$C$122)*'Cálculos'!$C$248+'Cálculos'!$C$125*(1+2.78*('Cálculos'!$C$198+(($B$54)-$A25)*'Cálculos'!$C$98)/(('Cálculos'!$C$198+(($B$54)-$A25)*'Cálculos'!$C$98)+1400)+'Cálculos'!$C$123)*'Cálculos'!$C$253)+('Cálculos'!$C$185*(1+'Cálculos'!$C$189+$A25*('Cálculos'!$C$290=1)*'Cálculos'!$C$97+'Cálculos'!$C$305)+'Cálculos'!$C$194)*('Cálculos'!$C$254+'Cálculos'!$C$124*(1+2.78*('Cálculos'!$C$199+(($B$54)-$A25)*'Cálculos'!$C$98)/(('Cálculos'!$C$199+(($B$54)-$A25)*'Cálculos'!$C$98)+1400)+'Cálculos'!$C$122)*'Cálculos'!$C$259+'Cálculos'!$C$125*(1+2.78*('Cálculos'!$C$199+(($B$54)-$A25)*'Cálculos'!$C$98)/(('Cálculos'!$C$199+(($B$54)-$A25)*'Cálculos'!$C$98)+1400)+'Cálculos'!$C$123)*'Cálculos'!$C$264)+('Cálculos'!$C$199+(($B$54)-$A25)*'Cálculos'!$C$98)*('Cálculos'!$C$255+'Cálculos'!$C$124*(1+2.78*('Cálculos'!$C$199+(($B$54)-$A25)*'Cálculos'!$C$98)/(('Cálculos'!$C$199+(($B$54)-$A25)*'Cálculos'!$C$98)+1400)+'Cálculos'!$C$122)*'Cálculos'!$C$260+'Cálculos'!$C$125*(1+2.78*('Cálculos'!$C$199+(($B$54)-$A25)*'Cálculos'!$C$98)/(('Cálculos'!$C$199+(($B$54)-$A25)*'Cálculos'!$C$98)+1400)+'Cálculos'!$C$123)*'Cálculos'!$C$265)+('Cálculos'!$C$201*(1+'Cálculos'!$C$202+$A25*('Cálculos'!$C$290=2)*'Cálculos'!$C$101)+'Cálculos'!$C$203)*('Cálculos'!$C$256+'Cálculos'!$C$124*(1+2.78*('Cálculos'!$C$199+(($B$54)-$A25)*'Cálculos'!$C$98)/(('Cálculos'!$C$199+(($B$54)-$A25)*'Cálculos'!$C$98)+1400)+'Cálculos'!$C$122)*'Cálculos'!$C$261+'Cálculos'!$C$125*(1+2.78*('Cálculos'!$C$199+(($B$54)-$A25)*'Cálculos'!$C$98)/(('Cálculos'!$C$199+(($B$54)-$A25)*'Cálculos'!$C$98)+1400)+'Cálculos'!$C$123)*'Cálculos'!$C$266)+('Cálculos'!$C$204*(1+'Cálculos'!$C$205+$A25*('Cálculos'!$C$290=3)*'Cálculos'!$C$103)+'Cálculos'!$C$206)*('Cálculos'!$C$257+'Cálculos'!$C$124*(1+2.78*('Cálculos'!$C$199+(($B$54)-$A25)*'Cálculos'!$C$98)/(('Cálculos'!$C$199+(($B$54)-$A25)*'Cálculos'!$C$98)+1400)+'Cálculos'!$C$122)*'Cálculos'!$C$262+'Cálculos'!$C$125*(1+2.78*('Cálculos'!$C$199+(($B$54)-$A25)*'Cálculos'!$C$98)/(('Cálculos'!$C$199+(($B$54)-$A25)*'Cálculos'!$C$98)+1400)+'Cálculos'!$C$123)*'Cálculos'!$C$267)+('Cálculos'!$C$258+'Cálculos'!$C$124*(1+2.78*('Cálculos'!$C$199+(($B$54)-$A25)*'Cálculos'!$C$98)/(('Cálculos'!$C$199+(($B$54)-$A25)*'Cálculos'!$C$98)+1400)+'Cálculos'!$C$122)*'Cálculos'!$C$263+'Cálculos'!$C$125*(1+2.78*('Cálculos'!$C$199+(($B$54)-$A25)*'Cálculos'!$C$98)/(('Cálculos'!$C$199+(($B$54)-$A25)*'Cálculos'!$C$98)+1400)+'Cálculos'!$C$123)*'Cálculos'!$C$268)+('Cálculos'!$C$185*(1+'Cálculos'!$C$190+$A25*('Cálculos'!$C$290=1)*'Cálculos'!$C$97+'Cálculos'!$C$305)+'Cálculos'!$C$195)*('Cálculos'!$C$269+'Cálculos'!$C$124*(1+2.78*('Cálculos'!$C$200+(($B$54)-$A25)*'Cálculos'!$C$98)/(('Cálculos'!$C$200+(($B$54)-$A25)*'Cálculos'!$C$98)+1400)+'Cálculos'!$C$122)*'Cálculos'!$C$274+'Cálculos'!$C$125*(1+2.78*('Cálculos'!$C$200+(($B$54)-$A25)*'Cálculos'!$C$98)/(('Cálculos'!$C$200+(($B$54)-$A25)*'Cálculos'!$C$98)+1400)+'Cálculos'!$C$123)*'Cálculos'!$C$279)+('Cálculos'!$C$200+(($B$54)-$A25)*'Cálculos'!$C$98)*('Cálculos'!$C$270+'Cálculos'!$C$124*(1+2.78*('Cálculos'!$C$200+(($B$54)-$A25)*'Cálculos'!$C$98)/(('Cálculos'!$C$200+(($B$54)-$A25)*'Cálculos'!$C$98)+1400)+'Cálculos'!$C$122)*'Cálculos'!$C$275+'Cálculos'!$C$125*(1+2.78*('Cálculos'!$C$200+(($B$54)-$A25)*'Cálculos'!$C$98)/(('Cálculos'!$C$200+(($B$54)-$A25)*'Cálculos'!$C$98)+1400)+'Cálculos'!$C$123)*'Cálculos'!$C$280)+('Cálculos'!$C$201*(1+'Cálculos'!$C$202+$A25*('Cálculos'!$C$290=2)*'Cálculos'!$C$101)+'Cálculos'!$C$203)*('Cálculos'!$C$271+'Cálculos'!$C$124*(1+2.78*('Cálculos'!$C$200+(($B$54)-$A25)*'Cálculos'!$C$98)/(('Cálculos'!$C$200+(($B$54)-$A25)*'Cálculos'!$C$98)+1400)+'Cálculos'!$C$122)*'Cálculos'!$C$276+'Cálculos'!$C$125*(1+2.78*('Cálculos'!$C$200+(($B$54)-$A25)*'Cálculos'!$C$98)/(('Cálculos'!$C$200+(($B$54)-$A25)*'Cálculos'!$C$98)+1400)+'Cálculos'!$C$123)*'Cálculos'!$C$281)+('Cálculos'!$C$204*(1+'Cálculos'!$C$205+$A25*('Cálculos'!$C$290=3)*'Cálculos'!$C$103)+'Cálculos'!$C$206)*('Cálculos'!$C$272+'Cálculos'!$C$124*(1+2.78*('Cálculos'!$C$200+(($B$54)-$A25)*'Cálculos'!$C$98)/(('Cálculos'!$C$200+(($B$54)-$A25)*'Cálculos'!$C$98)+1400)+'Cálculos'!$C$122)*'Cálculos'!$C$277+'Cálculos'!$C$125*(1+2.78*('Cálculos'!$C$200+(($B$54)-$A25)*'Cálculos'!$C$98)/(('Cálculos'!$C$200+(($B$54)-$A25)*'Cálculos'!$C$98)+1400)+'Cálculos'!$C$123)*'Cálculos'!$C$282)+('Cálculos'!$C$273+'Cálculos'!$C$124*(1+2.78*('Cálculos'!$C$200+(($B$54)-$A25)*'Cálculos'!$C$98)/(('Cálculos'!$C$200+(($B$54)-$A25)*'Cálculos'!$C$98)+1400)+'Cálculos'!$C$122)*'Cálculos'!$C$278+'Cálculos'!$C$125*(1+2.78*('Cálculos'!$C$200+(($B$54)-$A25)*'Cálculos'!$C$98)/(('Cálculos'!$C$200+(($B$54)-$A25)*'Cálculos'!$C$98)+1400)+'Cálculos'!$C$123)*'Cálculos'!$C$283)))</f>
        <v>0</v>
      </c>
    </row>
    <row r="26" ht="15.75" customHeight="1">
      <c r="A26" s="2">
        <v>20.0</v>
      </c>
      <c r="B26" s="30">
        <f>SUMPRODUCT(MAX(($A$6:$A$51&lt;=$A26)*($A$6:$A$51&lt;='Cálculos'!$C$294)*(($A26)-$A$6:$A$51&lt;='Cálculos'!$C$295)*(1+(('Cálculos'!$C$207+$A$6:$A$51*'Cálculos'!$C$95)-(('Cálculos'!$C$207+$A$6:$A$51*'Cálculos'!$C$95)&gt;1)*(('Cálculos'!$C$207+$A$6:$A$51*'Cálculos'!$C$95)-1))*('Cálculos'!$C$208+(($A26)-$A$6:$A$51)*'Cálculos'!$C$96))))</f>
        <v>3.553598</v>
      </c>
      <c r="C26" s="2">
        <f>'Cálculos'!$C$303-$A26</f>
        <v>0</v>
      </c>
      <c r="D26" s="31">
        <f>IF($C26&lt;0,0,SUMPRODUCT(MAX(($A$6:$A$51&lt;=$C26)*($A$6:$A$51&lt;='Cálculos'!$C$301)*(($C26)-$A$6:$A$51&lt;='Cálculos'!$C$297)*(('Cálculos'!$C$185*(1+'Cálculos'!$C$186+$A$6:$A$51*('Cálculos'!$C$290=1)*'Cálculos'!$C$97+'Cálculos'!$C$305)+'Cálculos'!$C$191)*('Cálculos'!$C$209+'Cálculos'!$C$124*(1+2.78*('Cálculos'!$C$196+(($C26)-$A$6:$A$51)*'Cálculos'!$C$98)/(('Cálculos'!$C$196+(($C26)-$A$6:$A$51)*'Cálculos'!$C$98)+1400)+'Cálculos'!$C$122)*'Cálculos'!$C$214+'Cálculos'!$C$125*(1+2.78*('Cálculos'!$C$196+(($C26)-$A$6:$A$51)*'Cálculos'!$C$98)/(('Cálculos'!$C$196+(($C26)-$A$6:$A$51)*'Cálculos'!$C$98)+1400)+'Cálculos'!$C$123)*'Cálculos'!$C$219)+('Cálculos'!$C$196+(($C26)-$A$6:$A$51)*'Cálculos'!$C$98)*('Cálculos'!$C$210+'Cálculos'!$C$124*(1+2.78*('Cálculos'!$C$196+(($C26)-$A$6:$A$51)*'Cálculos'!$C$98)/(('Cálculos'!$C$196+(($C26)-$A$6:$A$51)*'Cálculos'!$C$98)+1400)+'Cálculos'!$C$122)*'Cálculos'!$C$215+'Cálculos'!$C$125*(1+2.78*('Cálculos'!$C$196+(($C26)-$A$6:$A$51)*'Cálculos'!$C$98)/(('Cálculos'!$C$196+(($C26)-$A$6:$A$51)*'Cálculos'!$C$98)+1400)+'Cálculos'!$C$123)*'Cálculos'!$C$220)+('Cálculos'!$C$201*(1+'Cálculos'!$C$202+$A$6:$A$51*('Cálculos'!$C$290=2)*'Cálculos'!$C$101)+'Cálculos'!$C$203)*('Cálculos'!$C$211+'Cálculos'!$C$124*(1+2.78*('Cálculos'!$C$196+(($C26)-$A$6:$A$51)*'Cálculos'!$C$98)/(('Cálculos'!$C$196+(($C26)-$A$6:$A$51)*'Cálculos'!$C$98)+1400)+'Cálculos'!$C$122)*'Cálculos'!$C$216+'Cálculos'!$C$125*(1+2.78*('Cálculos'!$C$196+(($C26)-$A$6:$A$51)*'Cálculos'!$C$98)/(('Cálculos'!$C$196+(($C26)-$A$6:$A$51)*'Cálculos'!$C$98)+1400)+'Cálculos'!$C$123)*'Cálculos'!$C$221)+('Cálculos'!$C$204*(1+'Cálculos'!$C$205+$A$6:$A$51*('Cálculos'!$C$290=3)*'Cálculos'!$C$103)+'Cálculos'!$C$206)*('Cálculos'!$C$212+'Cálculos'!$C$124*(1+2.78*('Cálculos'!$C$196+(($C26)-$A$6:$A$51)*'Cálculos'!$C$98)/(('Cálculos'!$C$196+(($C26)-$A$6:$A$51)*'Cálculos'!$C$98)+1400)+'Cálculos'!$C$122)*'Cálculos'!$C$217+'Cálculos'!$C$125*(1+2.78*('Cálculos'!$C$196+(($C26)-$A$6:$A$51)*'Cálculos'!$C$98)/(('Cálculos'!$C$196+(($C26)-$A$6:$A$51)*'Cálculos'!$C$98)+1400)+'Cálculos'!$C$123)*'Cálculos'!$C$222)+('Cálculos'!$C$213+'Cálculos'!$C$124*(1+2.78*('Cálculos'!$C$196+(($C26)-$A$6:$A$51)*'Cálculos'!$C$98)/(('Cálculos'!$C$196+(($C26)-$A$6:$A$51)*'Cálculos'!$C$98)+1400)+'Cálculos'!$C$122)*'Cálculos'!$C$218+'Cálculos'!$C$125*(1+2.78*('Cálculos'!$C$196+(($C26)-$A$6:$A$51)*'Cálculos'!$C$98)/(('Cálculos'!$C$196+(($C26)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26)-$A$6:$A$51)*'Cálculos'!$C$98)/(('Cálculos'!$C$197+(($C26)-$A$6:$A$51)*'Cálculos'!$C$98)+1400)+'Cálculos'!$C$122)*'Cálculos'!$C$229+'Cálculos'!$C$125*(1+2.78*('Cálculos'!$C$197+(($C26)-$A$6:$A$51)*'Cálculos'!$C$98)/(('Cálculos'!$C$197+(($C26)-$A$6:$A$51)*'Cálculos'!$C$98)+1400)+'Cálculos'!$C$123)*'Cálculos'!$C$234)+('Cálculos'!$C$197+(($C26)-$A$6:$A$51)*'Cálculos'!$C$98)*('Cálculos'!$C$225+'Cálculos'!$C$124*(1+2.78*('Cálculos'!$C$197+(($C26)-$A$6:$A$51)*'Cálculos'!$C$98)/(('Cálculos'!$C$197+(($C26)-$A$6:$A$51)*'Cálculos'!$C$98)+1400)+'Cálculos'!$C$122)*'Cálculos'!$C$230+'Cálculos'!$C$125*(1+2.78*('Cálculos'!$C$197+(($C26)-$A$6:$A$51)*'Cálculos'!$C$98)/(('Cálculos'!$C$197+(($C26)-$A$6:$A$51)*'Cálculos'!$C$98)+1400)+'Cálculos'!$C$123)*'Cálculos'!$C$235)+('Cálculos'!$C$201*(1+'Cálculos'!$C$202+$A$6:$A$51*('Cálculos'!$C$290=2)*'Cálculos'!$C$101)+'Cálculos'!$C$203)*('Cálculos'!$C$226+'Cálculos'!$C$124*(1+2.78*('Cálculos'!$C$197+(($C26)-$A$6:$A$51)*'Cálculos'!$C$98)/(('Cálculos'!$C$197+(($C26)-$A$6:$A$51)*'Cálculos'!$C$98)+1400)+'Cálculos'!$C$122)*'Cálculos'!$C$231+'Cálculos'!$C$125*(1+2.78*('Cálculos'!$C$197+(($C26)-$A$6:$A$51)*'Cálculos'!$C$98)/(('Cálculos'!$C$197+(($C26)-$A$6:$A$51)*'Cálculos'!$C$98)+1400)+'Cálculos'!$C$123)*'Cálculos'!$C$236)+('Cálculos'!$C$204*(1+'Cálculos'!$C$205+$A$6:$A$51*('Cálculos'!$C$290=3)*'Cálculos'!$C$103)+'Cálculos'!$C$206)*('Cálculos'!$C$227+'Cálculos'!$C$124*(1+2.78*('Cálculos'!$C$197+(($C26)-$A$6:$A$51)*'Cálculos'!$C$98)/(('Cálculos'!$C$197+(($C26)-$A$6:$A$51)*'Cálculos'!$C$98)+1400)+'Cálculos'!$C$122)*'Cálculos'!$C$232+'Cálculos'!$C$125*(1+2.78*('Cálculos'!$C$197+(($C26)-$A$6:$A$51)*'Cálculos'!$C$98)/(('Cálculos'!$C$197+(($C26)-$A$6:$A$51)*'Cálculos'!$C$98)+1400)+'Cálculos'!$C$123)*'Cálculos'!$C$237)+('Cálculos'!$C$228+'Cálculos'!$C$124*(1+2.78*('Cálculos'!$C$197+(($C26)-$A$6:$A$51)*'Cálculos'!$C$98)/(('Cálculos'!$C$197+(($C26)-$A$6:$A$51)*'Cálculos'!$C$98)+1400)+'Cálculos'!$C$122)*'Cálculos'!$C$233+'Cálculos'!$C$125*(1+2.78*('Cálculos'!$C$197+(($C26)-$A$6:$A$51)*'Cálculos'!$C$98)/(('Cálculos'!$C$197+(($C26)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26)-$A$6:$A$51)*'Cálculos'!$C$98)/(('Cálculos'!$C$198+(($C26)-$A$6:$A$51)*'Cálculos'!$C$98)+1400)+'Cálculos'!$C$122)*'Cálculos'!$C$244+'Cálculos'!$C$125*(1+2.78*('Cálculos'!$C$198+(($C26)-$A$6:$A$51)*'Cálculos'!$C$98)/(('Cálculos'!$C$198+(($C26)-$A$6:$A$51)*'Cálculos'!$C$98)+1400)+'Cálculos'!$C$123)*'Cálculos'!$C$249)+('Cálculos'!$C$198+(($C26)-$A$6:$A$51)*'Cálculos'!$C$98)*('Cálculos'!$C$240+'Cálculos'!$C$124*(1+2.78*('Cálculos'!$C$198+(($C26)-$A$6:$A$51)*'Cálculos'!$C$98)/(('Cálculos'!$C$198+(($C26)-$A$6:$A$51)*'Cálculos'!$C$98)+1400)+'Cálculos'!$C$122)*'Cálculos'!$C$245+'Cálculos'!$C$125*(1+2.78*('Cálculos'!$C$198+(($C26)-$A$6:$A$51)*'Cálculos'!$C$98)/(('Cálculos'!$C$198+(($C26)-$A$6:$A$51)*'Cálculos'!$C$98)+1400)+'Cálculos'!$C$123)*'Cálculos'!$C$250)+('Cálculos'!$C$201*(1+'Cálculos'!$C$202+$A$6:$A$51*('Cálculos'!$C$290=2)*'Cálculos'!$C$101)+'Cálculos'!$C$203)*('Cálculos'!$C$241+'Cálculos'!$C$124*(1+2.78*('Cálculos'!$C$198+(($C26)-$A$6:$A$51)*'Cálculos'!$C$98)/(('Cálculos'!$C$198+(($C26)-$A$6:$A$51)*'Cálculos'!$C$98)+1400)+'Cálculos'!$C$122)*'Cálculos'!$C$246+'Cálculos'!$C$125*(1+2.78*('Cálculos'!$C$198+(($C26)-$A$6:$A$51)*'Cálculos'!$C$98)/(('Cálculos'!$C$198+(($C26)-$A$6:$A$51)*'Cálculos'!$C$98)+1400)+'Cálculos'!$C$123)*'Cálculos'!$C$251)+('Cálculos'!$C$204*(1+'Cálculos'!$C$205+$A$6:$A$51*('Cálculos'!$C$290=3)*'Cálculos'!$C$103)+'Cálculos'!$C$206)*('Cálculos'!$C$242+'Cálculos'!$C$124*(1+2.78*('Cálculos'!$C$198+(($C26)-$A$6:$A$51)*'Cálculos'!$C$98)/(('Cálculos'!$C$198+(($C26)-$A$6:$A$51)*'Cálculos'!$C$98)+1400)+'Cálculos'!$C$122)*'Cálculos'!$C$247+'Cálculos'!$C$125*(1+2.78*('Cálculos'!$C$198+(($C26)-$A$6:$A$51)*'Cálculos'!$C$98)/(('Cálculos'!$C$198+(($C26)-$A$6:$A$51)*'Cálculos'!$C$98)+1400)+'Cálculos'!$C$123)*'Cálculos'!$C$252)+('Cálculos'!$C$243+'Cálculos'!$C$124*(1+2.78*('Cálculos'!$C$198+(($C26)-$A$6:$A$51)*'Cálculos'!$C$98)/(('Cálculos'!$C$198+(($C26)-$A$6:$A$51)*'Cálculos'!$C$98)+1400)+'Cálculos'!$C$122)*'Cálculos'!$C$248+'Cálculos'!$C$125*(1+2.78*('Cálculos'!$C$198+(($C26)-$A$6:$A$51)*'Cálculos'!$C$98)/(('Cálculos'!$C$198+(($C26)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26)-$A$6:$A$51)*'Cálculos'!$C$98)/(('Cálculos'!$C$199+(($C26)-$A$6:$A$51)*'Cálculos'!$C$98)+1400)+'Cálculos'!$C$122)*'Cálculos'!$C$259+'Cálculos'!$C$125*(1+2.78*('Cálculos'!$C$199+(($C26)-$A$6:$A$51)*'Cálculos'!$C$98)/(('Cálculos'!$C$199+(($C26)-$A$6:$A$51)*'Cálculos'!$C$98)+1400)+'Cálculos'!$C$123)*'Cálculos'!$C$264)+('Cálculos'!$C$199+(($C26)-$A$6:$A$51)*'Cálculos'!$C$98)*('Cálculos'!$C$255+'Cálculos'!$C$124*(1+2.78*('Cálculos'!$C$199+(($C26)-$A$6:$A$51)*'Cálculos'!$C$98)/(('Cálculos'!$C$199+(($C26)-$A$6:$A$51)*'Cálculos'!$C$98)+1400)+'Cálculos'!$C$122)*'Cálculos'!$C$260+'Cálculos'!$C$125*(1+2.78*('Cálculos'!$C$199+(($C26)-$A$6:$A$51)*'Cálculos'!$C$98)/(('Cálculos'!$C$199+(($C26)-$A$6:$A$51)*'Cálculos'!$C$98)+1400)+'Cálculos'!$C$123)*'Cálculos'!$C$265)+('Cálculos'!$C$201*(1+'Cálculos'!$C$202+$A$6:$A$51*('Cálculos'!$C$290=2)*'Cálculos'!$C$101)+'Cálculos'!$C$203)*('Cálculos'!$C$256+'Cálculos'!$C$124*(1+2.78*('Cálculos'!$C$199+(($C26)-$A$6:$A$51)*'Cálculos'!$C$98)/(('Cálculos'!$C$199+(($C26)-$A$6:$A$51)*'Cálculos'!$C$98)+1400)+'Cálculos'!$C$122)*'Cálculos'!$C$261+'Cálculos'!$C$125*(1+2.78*('Cálculos'!$C$199+(($C26)-$A$6:$A$51)*'Cálculos'!$C$98)/(('Cálculos'!$C$199+(($C26)-$A$6:$A$51)*'Cálculos'!$C$98)+1400)+'Cálculos'!$C$123)*'Cálculos'!$C$266)+('Cálculos'!$C$204*(1+'Cálculos'!$C$205+$A$6:$A$51*('Cálculos'!$C$290=3)*'Cálculos'!$C$103)+'Cálculos'!$C$206)*('Cálculos'!$C$257+'Cálculos'!$C$124*(1+2.78*('Cálculos'!$C$199+(($C26)-$A$6:$A$51)*'Cálculos'!$C$98)/(('Cálculos'!$C$199+(($C26)-$A$6:$A$51)*'Cálculos'!$C$98)+1400)+'Cálculos'!$C$122)*'Cálculos'!$C$262+'Cálculos'!$C$125*(1+2.78*('Cálculos'!$C$199+(($C26)-$A$6:$A$51)*'Cálculos'!$C$98)/(('Cálculos'!$C$199+(($C26)-$A$6:$A$51)*'Cálculos'!$C$98)+1400)+'Cálculos'!$C$123)*'Cálculos'!$C$267)+('Cálculos'!$C$258+'Cálculos'!$C$124*(1+2.78*('Cálculos'!$C$199+(($C26)-$A$6:$A$51)*'Cálculos'!$C$98)/(('Cálculos'!$C$199+(($C26)-$A$6:$A$51)*'Cálculos'!$C$98)+1400)+'Cálculos'!$C$122)*'Cálculos'!$C$263+'Cálculos'!$C$125*(1+2.78*('Cálculos'!$C$199+(($C26)-$A$6:$A$51)*'Cálculos'!$C$98)/(('Cálculos'!$C$199+(($C26)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26)-$A$6:$A$51)*'Cálculos'!$C$98)/(('Cálculos'!$C$200+(($C26)-$A$6:$A$51)*'Cálculos'!$C$98)+1400)+'Cálculos'!$C$122)*'Cálculos'!$C$274+'Cálculos'!$C$125*(1+2.78*('Cálculos'!$C$200+(($C26)-$A$6:$A$51)*'Cálculos'!$C$98)/(('Cálculos'!$C$200+(($C26)-$A$6:$A$51)*'Cálculos'!$C$98)+1400)+'Cálculos'!$C$123)*'Cálculos'!$C$279)+('Cálculos'!$C$200+(($C26)-$A$6:$A$51)*'Cálculos'!$C$98)*('Cálculos'!$C$270+'Cálculos'!$C$124*(1+2.78*('Cálculos'!$C$200+(($C26)-$A$6:$A$51)*'Cálculos'!$C$98)/(('Cálculos'!$C$200+(($C26)-$A$6:$A$51)*'Cálculos'!$C$98)+1400)+'Cálculos'!$C$122)*'Cálculos'!$C$275+'Cálculos'!$C$125*(1+2.78*('Cálculos'!$C$200+(($C26)-$A$6:$A$51)*'Cálculos'!$C$98)/(('Cálculos'!$C$200+(($C26)-$A$6:$A$51)*'Cálculos'!$C$98)+1400)+'Cálculos'!$C$123)*'Cálculos'!$C$280)+('Cálculos'!$C$201*(1+'Cálculos'!$C$202+$A$6:$A$51*('Cálculos'!$C$290=2)*'Cálculos'!$C$101)+'Cálculos'!$C$203)*('Cálculos'!$C$271+'Cálculos'!$C$124*(1+2.78*('Cálculos'!$C$200+(($C26)-$A$6:$A$51)*'Cálculos'!$C$98)/(('Cálculos'!$C$200+(($C26)-$A$6:$A$51)*'Cálculos'!$C$98)+1400)+'Cálculos'!$C$122)*'Cálculos'!$C$276+'Cálculos'!$C$125*(1+2.78*('Cálculos'!$C$200+(($C26)-$A$6:$A$51)*'Cálculos'!$C$98)/(('Cálculos'!$C$200+(($C26)-$A$6:$A$51)*'Cálculos'!$C$98)+1400)+'Cálculos'!$C$123)*'Cálculos'!$C$281)+('Cálculos'!$C$204*(1+'Cálculos'!$C$205+$A$6:$A$51*('Cálculos'!$C$290=3)*'Cálculos'!$C$103)+'Cálculos'!$C$206)*('Cálculos'!$C$272+'Cálculos'!$C$124*(1+2.78*('Cálculos'!$C$200+(($C26)-$A$6:$A$51)*'Cálculos'!$C$98)/(('Cálculos'!$C$200+(($C26)-$A$6:$A$51)*'Cálculos'!$C$98)+1400)+'Cálculos'!$C$122)*'Cálculos'!$C$277+'Cálculos'!$C$125*(1+2.78*('Cálculos'!$C$200+(($C26)-$A$6:$A$51)*'Cálculos'!$C$98)/(('Cálculos'!$C$200+(($C26)-$A$6:$A$51)*'Cálculos'!$C$98)+1400)+'Cálculos'!$C$123)*'Cálculos'!$C$282)+('Cálculos'!$C$273+'Cálculos'!$C$124*(1+2.78*('Cálculos'!$C$200+(($C26)-$A$6:$A$51)*'Cálculos'!$C$98)/(('Cálculos'!$C$200+(($C26)-$A$6:$A$51)*'Cálculos'!$C$98)+1400)+'Cálculos'!$C$122)*'Cálculos'!$C$278+'Cálculos'!$C$125*(1+2.78*('Cálculos'!$C$200+(($C26)-$A$6:$A$51)*'Cálculos'!$C$98)/(('Cálculos'!$C$200+(($C26)-$A$6:$A$51)*'Cálculos'!$C$98)+1400)+'Cálculos'!$C$123)*'Cálculos'!$C$283)))))</f>
        <v>1044983.776</v>
      </c>
      <c r="E26" s="32">
        <f>IF(OR($C26&lt;0,'Cálculos'!$C$6=""),0,$B26*$D26)</f>
        <v>3713452.255</v>
      </c>
      <c r="F26" s="2"/>
      <c r="G26" s="30">
        <f>($A26&lt;=$B$53)*($A26&lt;='Cálculos'!$C$294)*(($B$53)-$A26&lt;='Cálculos'!$C$295)*(1+MIN(('Cálculos'!$C$207+$A26*'Cálculos'!$C$95),1)*('Cálculos'!$C$208+(($B$53)-$A26)*'Cálculos'!$C$96))</f>
        <v>0</v>
      </c>
      <c r="H26" s="31">
        <f>IF($B$54&lt;0,0,($A26&lt;=$B$54)*($A26&lt;='Cálculos'!$C$301)*(($B$54)-$A26&lt;='Cálculos'!$C$297)*(('Cálculos'!$C$185*(1+'Cálculos'!$C$186+$A26*('Cálculos'!$C$290=1)*'Cálculos'!$C$97+'Cálculos'!$C$305)+'Cálculos'!$C$191)*('Cálculos'!$C$209+'Cálculos'!$C$124*(1+2.78*('Cálculos'!$C$196+(($B$54)-$A26)*'Cálculos'!$C$98)/(('Cálculos'!$C$196+(($B$54)-$A26)*'Cálculos'!$C$98)+1400)+'Cálculos'!$C$122)*'Cálculos'!$C$214+'Cálculos'!$C$125*(1+2.78*('Cálculos'!$C$196+(($B$54)-$A26)*'Cálculos'!$C$98)/(('Cálculos'!$C$196+(($B$54)-$A26)*'Cálculos'!$C$98)+1400)+'Cálculos'!$C$123)*'Cálculos'!$C$219)+('Cálculos'!$C$196+(($B$54)-$A26)*'Cálculos'!$C$98)*('Cálculos'!$C$210+'Cálculos'!$C$124*(1+2.78*('Cálculos'!$C$196+(($B$54)-$A26)*'Cálculos'!$C$98)/(('Cálculos'!$C$196+(($B$54)-$A26)*'Cálculos'!$C$98)+1400)+'Cálculos'!$C$122)*'Cálculos'!$C$215+'Cálculos'!$C$125*(1+2.78*('Cálculos'!$C$196+(($B$54)-$A26)*'Cálculos'!$C$98)/(('Cálculos'!$C$196+(($B$54)-$A26)*'Cálculos'!$C$98)+1400)+'Cálculos'!$C$123)*'Cálculos'!$C$220)+('Cálculos'!$C$201*(1+'Cálculos'!$C$202+$A26*('Cálculos'!$C$290=2)*'Cálculos'!$C$101)+'Cálculos'!$C$203)*('Cálculos'!$C$211+'Cálculos'!$C$124*(1+2.78*('Cálculos'!$C$196+(($B$54)-$A26)*'Cálculos'!$C$98)/(('Cálculos'!$C$196+(($B$54)-$A26)*'Cálculos'!$C$98)+1400)+'Cálculos'!$C$122)*'Cálculos'!$C$216+'Cálculos'!$C$125*(1+2.78*('Cálculos'!$C$196+(($B$54)-$A26)*'Cálculos'!$C$98)/(('Cálculos'!$C$196+(($B$54)-$A26)*'Cálculos'!$C$98)+1400)+'Cálculos'!$C$123)*'Cálculos'!$C$221)+('Cálculos'!$C$204*(1+'Cálculos'!$C$205+$A26*('Cálculos'!$C$290=3)*'Cálculos'!$C$103)+'Cálculos'!$C$206)*('Cálculos'!$C$212+'Cálculos'!$C$124*(1+2.78*('Cálculos'!$C$196+(($B$54)-$A26)*'Cálculos'!$C$98)/(('Cálculos'!$C$196+(($B$54)-$A26)*'Cálculos'!$C$98)+1400)+'Cálculos'!$C$122)*'Cálculos'!$C$217+'Cálculos'!$C$125*(1+2.78*('Cálculos'!$C$196+(($B$54)-$A26)*'Cálculos'!$C$98)/(('Cálculos'!$C$196+(($B$54)-$A26)*'Cálculos'!$C$98)+1400)+'Cálculos'!$C$123)*'Cálculos'!$C$222)+('Cálculos'!$C$213+'Cálculos'!$C$124*(1+2.78*('Cálculos'!$C$196+(($B$54)-$A26)*'Cálculos'!$C$98)/(('Cálculos'!$C$196+(($B$54)-$A26)*'Cálculos'!$C$98)+1400)+'Cálculos'!$C$122)*'Cálculos'!$C$218+'Cálculos'!$C$125*(1+2.78*('Cálculos'!$C$196+(($B$54)-$A26)*'Cálculos'!$C$98)/(('Cálculos'!$C$196+(($B$54)-$A26)*'Cálculos'!$C$98)+1400)+'Cálculos'!$C$123)*'Cálculos'!$C$223)+('Cálculos'!$C$185*(1+'Cálculos'!$C$187+$A26*('Cálculos'!$C$290=1)*'Cálculos'!$C$97+'Cálculos'!$C$305)+'Cálculos'!$C$192)*('Cálculos'!$C$224+'Cálculos'!$C$124*(1+2.78*('Cálculos'!$C$197+(($B$54)-$A26)*'Cálculos'!$C$98)/(('Cálculos'!$C$197+(($B$54)-$A26)*'Cálculos'!$C$98)+1400)+'Cálculos'!$C$122)*'Cálculos'!$C$229+'Cálculos'!$C$125*(1+2.78*('Cálculos'!$C$197+(($B$54)-$A26)*'Cálculos'!$C$98)/(('Cálculos'!$C$197+(($B$54)-$A26)*'Cálculos'!$C$98)+1400)+'Cálculos'!$C$123)*'Cálculos'!$C$234)+('Cálculos'!$C$197+(($B$54)-$A26)*'Cálculos'!$C$98)*('Cálculos'!$C$225+'Cálculos'!$C$124*(1+2.78*('Cálculos'!$C$197+(($B$54)-$A26)*'Cálculos'!$C$98)/(('Cálculos'!$C$197+(($B$54)-$A26)*'Cálculos'!$C$98)+1400)+'Cálculos'!$C$122)*'Cálculos'!$C$230+'Cálculos'!$C$125*(1+2.78*('Cálculos'!$C$197+(($B$54)-$A26)*'Cálculos'!$C$98)/(('Cálculos'!$C$197+(($B$54)-$A26)*'Cálculos'!$C$98)+1400)+'Cálculos'!$C$123)*'Cálculos'!$C$235)+('Cálculos'!$C$201*(1+'Cálculos'!$C$202+$A26*('Cálculos'!$C$290=2)*'Cálculos'!$C$101)+'Cálculos'!$C$203)*('Cálculos'!$C$226+'Cálculos'!$C$124*(1+2.78*('Cálculos'!$C$197+(($B$54)-$A26)*'Cálculos'!$C$98)/(('Cálculos'!$C$197+(($B$54)-$A26)*'Cálculos'!$C$98)+1400)+'Cálculos'!$C$122)*'Cálculos'!$C$231+'Cálculos'!$C$125*(1+2.78*('Cálculos'!$C$197+(($B$54)-$A26)*'Cálculos'!$C$98)/(('Cálculos'!$C$197+(($B$54)-$A26)*'Cálculos'!$C$98)+1400)+'Cálculos'!$C$123)*'Cálculos'!$C$236)+('Cálculos'!$C$204*(1+'Cálculos'!$C$205+$A26*('Cálculos'!$C$290=3)*'Cálculos'!$C$103)+'Cálculos'!$C$206)*('Cálculos'!$C$227+'Cálculos'!$C$124*(1+2.78*('Cálculos'!$C$197+(($B$54)-$A26)*'Cálculos'!$C$98)/(('Cálculos'!$C$197+(($B$54)-$A26)*'Cálculos'!$C$98)+1400)+'Cálculos'!$C$122)*'Cálculos'!$C$232+'Cálculos'!$C$125*(1+2.78*('Cálculos'!$C$197+(($B$54)-$A26)*'Cálculos'!$C$98)/(('Cálculos'!$C$197+(($B$54)-$A26)*'Cálculos'!$C$98)+1400)+'Cálculos'!$C$123)*'Cálculos'!$C$237)+('Cálculos'!$C$228+'Cálculos'!$C$124*(1+2.78*('Cálculos'!$C$197+(($B$54)-$A26)*'Cálculos'!$C$98)/(('Cálculos'!$C$197+(($B$54)-$A26)*'Cálculos'!$C$98)+1400)+'Cálculos'!$C$122)*'Cálculos'!$C$233+'Cálculos'!$C$125*(1+2.78*('Cálculos'!$C$197+(($B$54)-$A26)*'Cálculos'!$C$98)/(('Cálculos'!$C$197+(($B$54)-$A26)*'Cálculos'!$C$98)+1400)+'Cálculos'!$C$123)*'Cálculos'!$C$238)+('Cálculos'!$C$185*(1+'Cálculos'!$C$188+$A26*('Cálculos'!$C$290=1)*'Cálculos'!$C$97+'Cálculos'!$C$305)+'Cálculos'!$C$193)*('Cálculos'!$C$239+'Cálculos'!$C$124*(1+2.78*('Cálculos'!$C$198+(($B$54)-$A26)*'Cálculos'!$C$98)/(('Cálculos'!$C$198+(($B$54)-$A26)*'Cálculos'!$C$98)+1400)+'Cálculos'!$C$122)*'Cálculos'!$C$244+'Cálculos'!$C$125*(1+2.78*('Cálculos'!$C$198+(($B$54)-$A26)*'Cálculos'!$C$98)/(('Cálculos'!$C$198+(($B$54)-$A26)*'Cálculos'!$C$98)+1400)+'Cálculos'!$C$123)*'Cálculos'!$C$249)+('Cálculos'!$C$198+(($B$54)-$A26)*'Cálculos'!$C$98)*('Cálculos'!$C$240+'Cálculos'!$C$124*(1+2.78*('Cálculos'!$C$198+(($B$54)-$A26)*'Cálculos'!$C$98)/(('Cálculos'!$C$198+(($B$54)-$A26)*'Cálculos'!$C$98)+1400)+'Cálculos'!$C$122)*'Cálculos'!$C$245+'Cálculos'!$C$125*(1+2.78*('Cálculos'!$C$198+(($B$54)-$A26)*'Cálculos'!$C$98)/(('Cálculos'!$C$198+(($B$54)-$A26)*'Cálculos'!$C$98)+1400)+'Cálculos'!$C$123)*'Cálculos'!$C$250)+('Cálculos'!$C$201*(1+'Cálculos'!$C$202+$A26*('Cálculos'!$C$290=2)*'Cálculos'!$C$101)+'Cálculos'!$C$203)*('Cálculos'!$C$241+'Cálculos'!$C$124*(1+2.78*('Cálculos'!$C$198+(($B$54)-$A26)*'Cálculos'!$C$98)/(('Cálculos'!$C$198+(($B$54)-$A26)*'Cálculos'!$C$98)+1400)+'Cálculos'!$C$122)*'Cálculos'!$C$246+'Cálculos'!$C$125*(1+2.78*('Cálculos'!$C$198+(($B$54)-$A26)*'Cálculos'!$C$98)/(('Cálculos'!$C$198+(($B$54)-$A26)*'Cálculos'!$C$98)+1400)+'Cálculos'!$C$123)*'Cálculos'!$C$251)+('Cálculos'!$C$204*(1+'Cálculos'!$C$205+$A26*('Cálculos'!$C$290=3)*'Cálculos'!$C$103)+'Cálculos'!$C$206)*('Cálculos'!$C$242+'Cálculos'!$C$124*(1+2.78*('Cálculos'!$C$198+(($B$54)-$A26)*'Cálculos'!$C$98)/(('Cálculos'!$C$198+(($B$54)-$A26)*'Cálculos'!$C$98)+1400)+'Cálculos'!$C$122)*'Cálculos'!$C$247+'Cálculos'!$C$125*(1+2.78*('Cálculos'!$C$198+(($B$54)-$A26)*'Cálculos'!$C$98)/(('Cálculos'!$C$198+(($B$54)-$A26)*'Cálculos'!$C$98)+1400)+'Cálculos'!$C$123)*'Cálculos'!$C$252)+('Cálculos'!$C$243+'Cálculos'!$C$124*(1+2.78*('Cálculos'!$C$198+(($B$54)-$A26)*'Cálculos'!$C$98)/(('Cálculos'!$C$198+(($B$54)-$A26)*'Cálculos'!$C$98)+1400)+'Cálculos'!$C$122)*'Cálculos'!$C$248+'Cálculos'!$C$125*(1+2.78*('Cálculos'!$C$198+(($B$54)-$A26)*'Cálculos'!$C$98)/(('Cálculos'!$C$198+(($B$54)-$A26)*'Cálculos'!$C$98)+1400)+'Cálculos'!$C$123)*'Cálculos'!$C$253)+('Cálculos'!$C$185*(1+'Cálculos'!$C$189+$A26*('Cálculos'!$C$290=1)*'Cálculos'!$C$97+'Cálculos'!$C$305)+'Cálculos'!$C$194)*('Cálculos'!$C$254+'Cálculos'!$C$124*(1+2.78*('Cálculos'!$C$199+(($B$54)-$A26)*'Cálculos'!$C$98)/(('Cálculos'!$C$199+(($B$54)-$A26)*'Cálculos'!$C$98)+1400)+'Cálculos'!$C$122)*'Cálculos'!$C$259+'Cálculos'!$C$125*(1+2.78*('Cálculos'!$C$199+(($B$54)-$A26)*'Cálculos'!$C$98)/(('Cálculos'!$C$199+(($B$54)-$A26)*'Cálculos'!$C$98)+1400)+'Cálculos'!$C$123)*'Cálculos'!$C$264)+('Cálculos'!$C$199+(($B$54)-$A26)*'Cálculos'!$C$98)*('Cálculos'!$C$255+'Cálculos'!$C$124*(1+2.78*('Cálculos'!$C$199+(($B$54)-$A26)*'Cálculos'!$C$98)/(('Cálculos'!$C$199+(($B$54)-$A26)*'Cálculos'!$C$98)+1400)+'Cálculos'!$C$122)*'Cálculos'!$C$260+'Cálculos'!$C$125*(1+2.78*('Cálculos'!$C$199+(($B$54)-$A26)*'Cálculos'!$C$98)/(('Cálculos'!$C$199+(($B$54)-$A26)*'Cálculos'!$C$98)+1400)+'Cálculos'!$C$123)*'Cálculos'!$C$265)+('Cálculos'!$C$201*(1+'Cálculos'!$C$202+$A26*('Cálculos'!$C$290=2)*'Cálculos'!$C$101)+'Cálculos'!$C$203)*('Cálculos'!$C$256+'Cálculos'!$C$124*(1+2.78*('Cálculos'!$C$199+(($B$54)-$A26)*'Cálculos'!$C$98)/(('Cálculos'!$C$199+(($B$54)-$A26)*'Cálculos'!$C$98)+1400)+'Cálculos'!$C$122)*'Cálculos'!$C$261+'Cálculos'!$C$125*(1+2.78*('Cálculos'!$C$199+(($B$54)-$A26)*'Cálculos'!$C$98)/(('Cálculos'!$C$199+(($B$54)-$A26)*'Cálculos'!$C$98)+1400)+'Cálculos'!$C$123)*'Cálculos'!$C$266)+('Cálculos'!$C$204*(1+'Cálculos'!$C$205+$A26*('Cálculos'!$C$290=3)*'Cálculos'!$C$103)+'Cálculos'!$C$206)*('Cálculos'!$C$257+'Cálculos'!$C$124*(1+2.78*('Cálculos'!$C$199+(($B$54)-$A26)*'Cálculos'!$C$98)/(('Cálculos'!$C$199+(($B$54)-$A26)*'Cálculos'!$C$98)+1400)+'Cálculos'!$C$122)*'Cálculos'!$C$262+'Cálculos'!$C$125*(1+2.78*('Cálculos'!$C$199+(($B$54)-$A26)*'Cálculos'!$C$98)/(('Cálculos'!$C$199+(($B$54)-$A26)*'Cálculos'!$C$98)+1400)+'Cálculos'!$C$123)*'Cálculos'!$C$267)+('Cálculos'!$C$258+'Cálculos'!$C$124*(1+2.78*('Cálculos'!$C$199+(($B$54)-$A26)*'Cálculos'!$C$98)/(('Cálculos'!$C$199+(($B$54)-$A26)*'Cálculos'!$C$98)+1400)+'Cálculos'!$C$122)*'Cálculos'!$C$263+'Cálculos'!$C$125*(1+2.78*('Cálculos'!$C$199+(($B$54)-$A26)*'Cálculos'!$C$98)/(('Cálculos'!$C$199+(($B$54)-$A26)*'Cálculos'!$C$98)+1400)+'Cálculos'!$C$123)*'Cálculos'!$C$268)+('Cálculos'!$C$185*(1+'Cálculos'!$C$190+$A26*('Cálculos'!$C$290=1)*'Cálculos'!$C$97+'Cálculos'!$C$305)+'Cálculos'!$C$195)*('Cálculos'!$C$269+'Cálculos'!$C$124*(1+2.78*('Cálculos'!$C$200+(($B$54)-$A26)*'Cálculos'!$C$98)/(('Cálculos'!$C$200+(($B$54)-$A26)*'Cálculos'!$C$98)+1400)+'Cálculos'!$C$122)*'Cálculos'!$C$274+'Cálculos'!$C$125*(1+2.78*('Cálculos'!$C$200+(($B$54)-$A26)*'Cálculos'!$C$98)/(('Cálculos'!$C$200+(($B$54)-$A26)*'Cálculos'!$C$98)+1400)+'Cálculos'!$C$123)*'Cálculos'!$C$279)+('Cálculos'!$C$200+(($B$54)-$A26)*'Cálculos'!$C$98)*('Cálculos'!$C$270+'Cálculos'!$C$124*(1+2.78*('Cálculos'!$C$200+(($B$54)-$A26)*'Cálculos'!$C$98)/(('Cálculos'!$C$200+(($B$54)-$A26)*'Cálculos'!$C$98)+1400)+'Cálculos'!$C$122)*'Cálculos'!$C$275+'Cálculos'!$C$125*(1+2.78*('Cálculos'!$C$200+(($B$54)-$A26)*'Cálculos'!$C$98)/(('Cálculos'!$C$200+(($B$54)-$A26)*'Cálculos'!$C$98)+1400)+'Cálculos'!$C$123)*'Cálculos'!$C$280)+('Cálculos'!$C$201*(1+'Cálculos'!$C$202+$A26*('Cálculos'!$C$290=2)*'Cálculos'!$C$101)+'Cálculos'!$C$203)*('Cálculos'!$C$271+'Cálculos'!$C$124*(1+2.78*('Cálculos'!$C$200+(($B$54)-$A26)*'Cálculos'!$C$98)/(('Cálculos'!$C$200+(($B$54)-$A26)*'Cálculos'!$C$98)+1400)+'Cálculos'!$C$122)*'Cálculos'!$C$276+'Cálculos'!$C$125*(1+2.78*('Cálculos'!$C$200+(($B$54)-$A26)*'Cálculos'!$C$98)/(('Cálculos'!$C$200+(($B$54)-$A26)*'Cálculos'!$C$98)+1400)+'Cálculos'!$C$123)*'Cálculos'!$C$281)+('Cálculos'!$C$204*(1+'Cálculos'!$C$205+$A26*('Cálculos'!$C$290=3)*'Cálculos'!$C$103)+'Cálculos'!$C$206)*('Cálculos'!$C$272+'Cálculos'!$C$124*(1+2.78*('Cálculos'!$C$200+(($B$54)-$A26)*'Cálculos'!$C$98)/(('Cálculos'!$C$200+(($B$54)-$A26)*'Cálculos'!$C$98)+1400)+'Cálculos'!$C$122)*'Cálculos'!$C$277+'Cálculos'!$C$125*(1+2.78*('Cálculos'!$C$200+(($B$54)-$A26)*'Cálculos'!$C$98)/(('Cálculos'!$C$200+(($B$54)-$A26)*'Cálculos'!$C$98)+1400)+'Cálculos'!$C$123)*'Cálculos'!$C$282)+('Cálculos'!$C$273+'Cálculos'!$C$124*(1+2.78*('Cálculos'!$C$200+(($B$54)-$A26)*'Cálculos'!$C$98)/(('Cálculos'!$C$200+(($B$54)-$A26)*'Cálculos'!$C$98)+1400)+'Cálculos'!$C$122)*'Cálculos'!$C$278+'Cálculos'!$C$125*(1+2.78*('Cálculos'!$C$200+(($B$54)-$A26)*'Cálculos'!$C$98)/(('Cálculos'!$C$200+(($B$54)-$A26)*'Cálculos'!$C$98)+1400)+'Cálculos'!$C$123)*'Cálculos'!$C$283)))</f>
        <v>0</v>
      </c>
    </row>
    <row r="27" ht="15.75" customHeight="1">
      <c r="A27" s="2">
        <v>21.0</v>
      </c>
      <c r="B27" s="30">
        <f>SUMPRODUCT(MAX(($A$6:$A$51&lt;=$A27)*($A$6:$A$51&lt;='Cálculos'!$C$294)*(($A27)-$A$6:$A$51&lt;='Cálculos'!$C$295)*(1+(('Cálculos'!$C$207+$A$6:$A$51*'Cálculos'!$C$95)-(('Cálculos'!$C$207+$A$6:$A$51*'Cálculos'!$C$95)&gt;1)*(('Cálculos'!$C$207+$A$6:$A$51*'Cálculos'!$C$95)-1))*('Cálculos'!$C$208+(($A27)-$A$6:$A$51)*'Cálculos'!$C$96))))</f>
        <v>3.618872</v>
      </c>
      <c r="C27" s="2">
        <f>'Cálculos'!$C$303-$A27</f>
        <v>-1</v>
      </c>
      <c r="D27" s="31">
        <f>IF($C27&lt;0,0,SUMPRODUCT(MAX(($A$6:$A$51&lt;=$C27)*($A$6:$A$51&lt;='Cálculos'!$C$301)*(($C27)-$A$6:$A$51&lt;='Cálculos'!$C$297)*(('Cálculos'!$C$185*(1+'Cálculos'!$C$186+$A$6:$A$51*('Cálculos'!$C$290=1)*'Cálculos'!$C$97+'Cálculos'!$C$305)+'Cálculos'!$C$191)*('Cálculos'!$C$209+'Cálculos'!$C$124*(1+2.78*('Cálculos'!$C$196+(($C27)-$A$6:$A$51)*'Cálculos'!$C$98)/(('Cálculos'!$C$196+(($C27)-$A$6:$A$51)*'Cálculos'!$C$98)+1400)+'Cálculos'!$C$122)*'Cálculos'!$C$214+'Cálculos'!$C$125*(1+2.78*('Cálculos'!$C$196+(($C27)-$A$6:$A$51)*'Cálculos'!$C$98)/(('Cálculos'!$C$196+(($C27)-$A$6:$A$51)*'Cálculos'!$C$98)+1400)+'Cálculos'!$C$123)*'Cálculos'!$C$219)+('Cálculos'!$C$196+(($C27)-$A$6:$A$51)*'Cálculos'!$C$98)*('Cálculos'!$C$210+'Cálculos'!$C$124*(1+2.78*('Cálculos'!$C$196+(($C27)-$A$6:$A$51)*'Cálculos'!$C$98)/(('Cálculos'!$C$196+(($C27)-$A$6:$A$51)*'Cálculos'!$C$98)+1400)+'Cálculos'!$C$122)*'Cálculos'!$C$215+'Cálculos'!$C$125*(1+2.78*('Cálculos'!$C$196+(($C27)-$A$6:$A$51)*'Cálculos'!$C$98)/(('Cálculos'!$C$196+(($C27)-$A$6:$A$51)*'Cálculos'!$C$98)+1400)+'Cálculos'!$C$123)*'Cálculos'!$C$220)+('Cálculos'!$C$201*(1+'Cálculos'!$C$202+$A$6:$A$51*('Cálculos'!$C$290=2)*'Cálculos'!$C$101)+'Cálculos'!$C$203)*('Cálculos'!$C$211+'Cálculos'!$C$124*(1+2.78*('Cálculos'!$C$196+(($C27)-$A$6:$A$51)*'Cálculos'!$C$98)/(('Cálculos'!$C$196+(($C27)-$A$6:$A$51)*'Cálculos'!$C$98)+1400)+'Cálculos'!$C$122)*'Cálculos'!$C$216+'Cálculos'!$C$125*(1+2.78*('Cálculos'!$C$196+(($C27)-$A$6:$A$51)*'Cálculos'!$C$98)/(('Cálculos'!$C$196+(($C27)-$A$6:$A$51)*'Cálculos'!$C$98)+1400)+'Cálculos'!$C$123)*'Cálculos'!$C$221)+('Cálculos'!$C$204*(1+'Cálculos'!$C$205+$A$6:$A$51*('Cálculos'!$C$290=3)*'Cálculos'!$C$103)+'Cálculos'!$C$206)*('Cálculos'!$C$212+'Cálculos'!$C$124*(1+2.78*('Cálculos'!$C$196+(($C27)-$A$6:$A$51)*'Cálculos'!$C$98)/(('Cálculos'!$C$196+(($C27)-$A$6:$A$51)*'Cálculos'!$C$98)+1400)+'Cálculos'!$C$122)*'Cálculos'!$C$217+'Cálculos'!$C$125*(1+2.78*('Cálculos'!$C$196+(($C27)-$A$6:$A$51)*'Cálculos'!$C$98)/(('Cálculos'!$C$196+(($C27)-$A$6:$A$51)*'Cálculos'!$C$98)+1400)+'Cálculos'!$C$123)*'Cálculos'!$C$222)+('Cálculos'!$C$213+'Cálculos'!$C$124*(1+2.78*('Cálculos'!$C$196+(($C27)-$A$6:$A$51)*'Cálculos'!$C$98)/(('Cálculos'!$C$196+(($C27)-$A$6:$A$51)*'Cálculos'!$C$98)+1400)+'Cálculos'!$C$122)*'Cálculos'!$C$218+'Cálculos'!$C$125*(1+2.78*('Cálculos'!$C$196+(($C27)-$A$6:$A$51)*'Cálculos'!$C$98)/(('Cálculos'!$C$196+(($C27)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27)-$A$6:$A$51)*'Cálculos'!$C$98)/(('Cálculos'!$C$197+(($C27)-$A$6:$A$51)*'Cálculos'!$C$98)+1400)+'Cálculos'!$C$122)*'Cálculos'!$C$229+'Cálculos'!$C$125*(1+2.78*('Cálculos'!$C$197+(($C27)-$A$6:$A$51)*'Cálculos'!$C$98)/(('Cálculos'!$C$197+(($C27)-$A$6:$A$51)*'Cálculos'!$C$98)+1400)+'Cálculos'!$C$123)*'Cálculos'!$C$234)+('Cálculos'!$C$197+(($C27)-$A$6:$A$51)*'Cálculos'!$C$98)*('Cálculos'!$C$225+'Cálculos'!$C$124*(1+2.78*('Cálculos'!$C$197+(($C27)-$A$6:$A$51)*'Cálculos'!$C$98)/(('Cálculos'!$C$197+(($C27)-$A$6:$A$51)*'Cálculos'!$C$98)+1400)+'Cálculos'!$C$122)*'Cálculos'!$C$230+'Cálculos'!$C$125*(1+2.78*('Cálculos'!$C$197+(($C27)-$A$6:$A$51)*'Cálculos'!$C$98)/(('Cálculos'!$C$197+(($C27)-$A$6:$A$51)*'Cálculos'!$C$98)+1400)+'Cálculos'!$C$123)*'Cálculos'!$C$235)+('Cálculos'!$C$201*(1+'Cálculos'!$C$202+$A$6:$A$51*('Cálculos'!$C$290=2)*'Cálculos'!$C$101)+'Cálculos'!$C$203)*('Cálculos'!$C$226+'Cálculos'!$C$124*(1+2.78*('Cálculos'!$C$197+(($C27)-$A$6:$A$51)*'Cálculos'!$C$98)/(('Cálculos'!$C$197+(($C27)-$A$6:$A$51)*'Cálculos'!$C$98)+1400)+'Cálculos'!$C$122)*'Cálculos'!$C$231+'Cálculos'!$C$125*(1+2.78*('Cálculos'!$C$197+(($C27)-$A$6:$A$51)*'Cálculos'!$C$98)/(('Cálculos'!$C$197+(($C27)-$A$6:$A$51)*'Cálculos'!$C$98)+1400)+'Cálculos'!$C$123)*'Cálculos'!$C$236)+('Cálculos'!$C$204*(1+'Cálculos'!$C$205+$A$6:$A$51*('Cálculos'!$C$290=3)*'Cálculos'!$C$103)+'Cálculos'!$C$206)*('Cálculos'!$C$227+'Cálculos'!$C$124*(1+2.78*('Cálculos'!$C$197+(($C27)-$A$6:$A$51)*'Cálculos'!$C$98)/(('Cálculos'!$C$197+(($C27)-$A$6:$A$51)*'Cálculos'!$C$98)+1400)+'Cálculos'!$C$122)*'Cálculos'!$C$232+'Cálculos'!$C$125*(1+2.78*('Cálculos'!$C$197+(($C27)-$A$6:$A$51)*'Cálculos'!$C$98)/(('Cálculos'!$C$197+(($C27)-$A$6:$A$51)*'Cálculos'!$C$98)+1400)+'Cálculos'!$C$123)*'Cálculos'!$C$237)+('Cálculos'!$C$228+'Cálculos'!$C$124*(1+2.78*('Cálculos'!$C$197+(($C27)-$A$6:$A$51)*'Cálculos'!$C$98)/(('Cálculos'!$C$197+(($C27)-$A$6:$A$51)*'Cálculos'!$C$98)+1400)+'Cálculos'!$C$122)*'Cálculos'!$C$233+'Cálculos'!$C$125*(1+2.78*('Cálculos'!$C$197+(($C27)-$A$6:$A$51)*'Cálculos'!$C$98)/(('Cálculos'!$C$197+(($C27)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27)-$A$6:$A$51)*'Cálculos'!$C$98)/(('Cálculos'!$C$198+(($C27)-$A$6:$A$51)*'Cálculos'!$C$98)+1400)+'Cálculos'!$C$122)*'Cálculos'!$C$244+'Cálculos'!$C$125*(1+2.78*('Cálculos'!$C$198+(($C27)-$A$6:$A$51)*'Cálculos'!$C$98)/(('Cálculos'!$C$198+(($C27)-$A$6:$A$51)*'Cálculos'!$C$98)+1400)+'Cálculos'!$C$123)*'Cálculos'!$C$249)+('Cálculos'!$C$198+(($C27)-$A$6:$A$51)*'Cálculos'!$C$98)*('Cálculos'!$C$240+'Cálculos'!$C$124*(1+2.78*('Cálculos'!$C$198+(($C27)-$A$6:$A$51)*'Cálculos'!$C$98)/(('Cálculos'!$C$198+(($C27)-$A$6:$A$51)*'Cálculos'!$C$98)+1400)+'Cálculos'!$C$122)*'Cálculos'!$C$245+'Cálculos'!$C$125*(1+2.78*('Cálculos'!$C$198+(($C27)-$A$6:$A$51)*'Cálculos'!$C$98)/(('Cálculos'!$C$198+(($C27)-$A$6:$A$51)*'Cálculos'!$C$98)+1400)+'Cálculos'!$C$123)*'Cálculos'!$C$250)+('Cálculos'!$C$201*(1+'Cálculos'!$C$202+$A$6:$A$51*('Cálculos'!$C$290=2)*'Cálculos'!$C$101)+'Cálculos'!$C$203)*('Cálculos'!$C$241+'Cálculos'!$C$124*(1+2.78*('Cálculos'!$C$198+(($C27)-$A$6:$A$51)*'Cálculos'!$C$98)/(('Cálculos'!$C$198+(($C27)-$A$6:$A$51)*'Cálculos'!$C$98)+1400)+'Cálculos'!$C$122)*'Cálculos'!$C$246+'Cálculos'!$C$125*(1+2.78*('Cálculos'!$C$198+(($C27)-$A$6:$A$51)*'Cálculos'!$C$98)/(('Cálculos'!$C$198+(($C27)-$A$6:$A$51)*'Cálculos'!$C$98)+1400)+'Cálculos'!$C$123)*'Cálculos'!$C$251)+('Cálculos'!$C$204*(1+'Cálculos'!$C$205+$A$6:$A$51*('Cálculos'!$C$290=3)*'Cálculos'!$C$103)+'Cálculos'!$C$206)*('Cálculos'!$C$242+'Cálculos'!$C$124*(1+2.78*('Cálculos'!$C$198+(($C27)-$A$6:$A$51)*'Cálculos'!$C$98)/(('Cálculos'!$C$198+(($C27)-$A$6:$A$51)*'Cálculos'!$C$98)+1400)+'Cálculos'!$C$122)*'Cálculos'!$C$247+'Cálculos'!$C$125*(1+2.78*('Cálculos'!$C$198+(($C27)-$A$6:$A$51)*'Cálculos'!$C$98)/(('Cálculos'!$C$198+(($C27)-$A$6:$A$51)*'Cálculos'!$C$98)+1400)+'Cálculos'!$C$123)*'Cálculos'!$C$252)+('Cálculos'!$C$243+'Cálculos'!$C$124*(1+2.78*('Cálculos'!$C$198+(($C27)-$A$6:$A$51)*'Cálculos'!$C$98)/(('Cálculos'!$C$198+(($C27)-$A$6:$A$51)*'Cálculos'!$C$98)+1400)+'Cálculos'!$C$122)*'Cálculos'!$C$248+'Cálculos'!$C$125*(1+2.78*('Cálculos'!$C$198+(($C27)-$A$6:$A$51)*'Cálculos'!$C$98)/(('Cálculos'!$C$198+(($C27)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27)-$A$6:$A$51)*'Cálculos'!$C$98)/(('Cálculos'!$C$199+(($C27)-$A$6:$A$51)*'Cálculos'!$C$98)+1400)+'Cálculos'!$C$122)*'Cálculos'!$C$259+'Cálculos'!$C$125*(1+2.78*('Cálculos'!$C$199+(($C27)-$A$6:$A$51)*'Cálculos'!$C$98)/(('Cálculos'!$C$199+(($C27)-$A$6:$A$51)*'Cálculos'!$C$98)+1400)+'Cálculos'!$C$123)*'Cálculos'!$C$264)+('Cálculos'!$C$199+(($C27)-$A$6:$A$51)*'Cálculos'!$C$98)*('Cálculos'!$C$255+'Cálculos'!$C$124*(1+2.78*('Cálculos'!$C$199+(($C27)-$A$6:$A$51)*'Cálculos'!$C$98)/(('Cálculos'!$C$199+(($C27)-$A$6:$A$51)*'Cálculos'!$C$98)+1400)+'Cálculos'!$C$122)*'Cálculos'!$C$260+'Cálculos'!$C$125*(1+2.78*('Cálculos'!$C$199+(($C27)-$A$6:$A$51)*'Cálculos'!$C$98)/(('Cálculos'!$C$199+(($C27)-$A$6:$A$51)*'Cálculos'!$C$98)+1400)+'Cálculos'!$C$123)*'Cálculos'!$C$265)+('Cálculos'!$C$201*(1+'Cálculos'!$C$202+$A$6:$A$51*('Cálculos'!$C$290=2)*'Cálculos'!$C$101)+'Cálculos'!$C$203)*('Cálculos'!$C$256+'Cálculos'!$C$124*(1+2.78*('Cálculos'!$C$199+(($C27)-$A$6:$A$51)*'Cálculos'!$C$98)/(('Cálculos'!$C$199+(($C27)-$A$6:$A$51)*'Cálculos'!$C$98)+1400)+'Cálculos'!$C$122)*'Cálculos'!$C$261+'Cálculos'!$C$125*(1+2.78*('Cálculos'!$C$199+(($C27)-$A$6:$A$51)*'Cálculos'!$C$98)/(('Cálculos'!$C$199+(($C27)-$A$6:$A$51)*'Cálculos'!$C$98)+1400)+'Cálculos'!$C$123)*'Cálculos'!$C$266)+('Cálculos'!$C$204*(1+'Cálculos'!$C$205+$A$6:$A$51*('Cálculos'!$C$290=3)*'Cálculos'!$C$103)+'Cálculos'!$C$206)*('Cálculos'!$C$257+'Cálculos'!$C$124*(1+2.78*('Cálculos'!$C$199+(($C27)-$A$6:$A$51)*'Cálculos'!$C$98)/(('Cálculos'!$C$199+(($C27)-$A$6:$A$51)*'Cálculos'!$C$98)+1400)+'Cálculos'!$C$122)*'Cálculos'!$C$262+'Cálculos'!$C$125*(1+2.78*('Cálculos'!$C$199+(($C27)-$A$6:$A$51)*'Cálculos'!$C$98)/(('Cálculos'!$C$199+(($C27)-$A$6:$A$51)*'Cálculos'!$C$98)+1400)+'Cálculos'!$C$123)*'Cálculos'!$C$267)+('Cálculos'!$C$258+'Cálculos'!$C$124*(1+2.78*('Cálculos'!$C$199+(($C27)-$A$6:$A$51)*'Cálculos'!$C$98)/(('Cálculos'!$C$199+(($C27)-$A$6:$A$51)*'Cálculos'!$C$98)+1400)+'Cálculos'!$C$122)*'Cálculos'!$C$263+'Cálculos'!$C$125*(1+2.78*('Cálculos'!$C$199+(($C27)-$A$6:$A$51)*'Cálculos'!$C$98)/(('Cálculos'!$C$199+(($C27)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27)-$A$6:$A$51)*'Cálculos'!$C$98)/(('Cálculos'!$C$200+(($C27)-$A$6:$A$51)*'Cálculos'!$C$98)+1400)+'Cálculos'!$C$122)*'Cálculos'!$C$274+'Cálculos'!$C$125*(1+2.78*('Cálculos'!$C$200+(($C27)-$A$6:$A$51)*'Cálculos'!$C$98)/(('Cálculos'!$C$200+(($C27)-$A$6:$A$51)*'Cálculos'!$C$98)+1400)+'Cálculos'!$C$123)*'Cálculos'!$C$279)+('Cálculos'!$C$200+(($C27)-$A$6:$A$51)*'Cálculos'!$C$98)*('Cálculos'!$C$270+'Cálculos'!$C$124*(1+2.78*('Cálculos'!$C$200+(($C27)-$A$6:$A$51)*'Cálculos'!$C$98)/(('Cálculos'!$C$200+(($C27)-$A$6:$A$51)*'Cálculos'!$C$98)+1400)+'Cálculos'!$C$122)*'Cálculos'!$C$275+'Cálculos'!$C$125*(1+2.78*('Cálculos'!$C$200+(($C27)-$A$6:$A$51)*'Cálculos'!$C$98)/(('Cálculos'!$C$200+(($C27)-$A$6:$A$51)*'Cálculos'!$C$98)+1400)+'Cálculos'!$C$123)*'Cálculos'!$C$280)+('Cálculos'!$C$201*(1+'Cálculos'!$C$202+$A$6:$A$51*('Cálculos'!$C$290=2)*'Cálculos'!$C$101)+'Cálculos'!$C$203)*('Cálculos'!$C$271+'Cálculos'!$C$124*(1+2.78*('Cálculos'!$C$200+(($C27)-$A$6:$A$51)*'Cálculos'!$C$98)/(('Cálculos'!$C$200+(($C27)-$A$6:$A$51)*'Cálculos'!$C$98)+1400)+'Cálculos'!$C$122)*'Cálculos'!$C$276+'Cálculos'!$C$125*(1+2.78*('Cálculos'!$C$200+(($C27)-$A$6:$A$51)*'Cálculos'!$C$98)/(('Cálculos'!$C$200+(($C27)-$A$6:$A$51)*'Cálculos'!$C$98)+1400)+'Cálculos'!$C$123)*'Cálculos'!$C$281)+('Cálculos'!$C$204*(1+'Cálculos'!$C$205+$A$6:$A$51*('Cálculos'!$C$290=3)*'Cálculos'!$C$103)+'Cálculos'!$C$206)*('Cálculos'!$C$272+'Cálculos'!$C$124*(1+2.78*('Cálculos'!$C$200+(($C27)-$A$6:$A$51)*'Cálculos'!$C$98)/(('Cálculos'!$C$200+(($C27)-$A$6:$A$51)*'Cálculos'!$C$98)+1400)+'Cálculos'!$C$122)*'Cálculos'!$C$277+'Cálculos'!$C$125*(1+2.78*('Cálculos'!$C$200+(($C27)-$A$6:$A$51)*'Cálculos'!$C$98)/(('Cálculos'!$C$200+(($C27)-$A$6:$A$51)*'Cálculos'!$C$98)+1400)+'Cálculos'!$C$123)*'Cálculos'!$C$282)+('Cálculos'!$C$273+'Cálculos'!$C$124*(1+2.78*('Cálculos'!$C$200+(($C27)-$A$6:$A$51)*'Cálculos'!$C$98)/(('Cálculos'!$C$200+(($C27)-$A$6:$A$51)*'Cálculos'!$C$98)+1400)+'Cálculos'!$C$122)*'Cálculos'!$C$278+'Cálculos'!$C$125*(1+2.78*('Cálculos'!$C$200+(($C27)-$A$6:$A$51)*'Cálculos'!$C$98)/(('Cálculos'!$C$200+(($C27)-$A$6:$A$51)*'Cálculos'!$C$98)+1400)+'Cálculos'!$C$123)*'Cálculos'!$C$283)))))</f>
        <v>0</v>
      </c>
      <c r="E27" s="32">
        <f>IF(OR($C27&lt;0,'Cálculos'!$C$6=""),0,$B27*$D27)</f>
        <v>0</v>
      </c>
      <c r="F27" s="2"/>
      <c r="G27" s="30">
        <f>($A27&lt;=$B$53)*($A27&lt;='Cálculos'!$C$294)*(($B$53)-$A27&lt;='Cálculos'!$C$295)*(1+MIN(('Cálculos'!$C$207+$A27*'Cálculos'!$C$95),1)*('Cálculos'!$C$208+(($B$53)-$A27)*'Cálculos'!$C$96))</f>
        <v>0</v>
      </c>
      <c r="H27" s="31">
        <f>IF($B$54&lt;0,0,($A27&lt;=$B$54)*($A27&lt;='Cálculos'!$C$301)*(($B$54)-$A27&lt;='Cálculos'!$C$297)*(('Cálculos'!$C$185*(1+'Cálculos'!$C$186+$A27*('Cálculos'!$C$290=1)*'Cálculos'!$C$97+'Cálculos'!$C$305)+'Cálculos'!$C$191)*('Cálculos'!$C$209+'Cálculos'!$C$124*(1+2.78*('Cálculos'!$C$196+(($B$54)-$A27)*'Cálculos'!$C$98)/(('Cálculos'!$C$196+(($B$54)-$A27)*'Cálculos'!$C$98)+1400)+'Cálculos'!$C$122)*'Cálculos'!$C$214+'Cálculos'!$C$125*(1+2.78*('Cálculos'!$C$196+(($B$54)-$A27)*'Cálculos'!$C$98)/(('Cálculos'!$C$196+(($B$54)-$A27)*'Cálculos'!$C$98)+1400)+'Cálculos'!$C$123)*'Cálculos'!$C$219)+('Cálculos'!$C$196+(($B$54)-$A27)*'Cálculos'!$C$98)*('Cálculos'!$C$210+'Cálculos'!$C$124*(1+2.78*('Cálculos'!$C$196+(($B$54)-$A27)*'Cálculos'!$C$98)/(('Cálculos'!$C$196+(($B$54)-$A27)*'Cálculos'!$C$98)+1400)+'Cálculos'!$C$122)*'Cálculos'!$C$215+'Cálculos'!$C$125*(1+2.78*('Cálculos'!$C$196+(($B$54)-$A27)*'Cálculos'!$C$98)/(('Cálculos'!$C$196+(($B$54)-$A27)*'Cálculos'!$C$98)+1400)+'Cálculos'!$C$123)*'Cálculos'!$C$220)+('Cálculos'!$C$201*(1+'Cálculos'!$C$202+$A27*('Cálculos'!$C$290=2)*'Cálculos'!$C$101)+'Cálculos'!$C$203)*('Cálculos'!$C$211+'Cálculos'!$C$124*(1+2.78*('Cálculos'!$C$196+(($B$54)-$A27)*'Cálculos'!$C$98)/(('Cálculos'!$C$196+(($B$54)-$A27)*'Cálculos'!$C$98)+1400)+'Cálculos'!$C$122)*'Cálculos'!$C$216+'Cálculos'!$C$125*(1+2.78*('Cálculos'!$C$196+(($B$54)-$A27)*'Cálculos'!$C$98)/(('Cálculos'!$C$196+(($B$54)-$A27)*'Cálculos'!$C$98)+1400)+'Cálculos'!$C$123)*'Cálculos'!$C$221)+('Cálculos'!$C$204*(1+'Cálculos'!$C$205+$A27*('Cálculos'!$C$290=3)*'Cálculos'!$C$103)+'Cálculos'!$C$206)*('Cálculos'!$C$212+'Cálculos'!$C$124*(1+2.78*('Cálculos'!$C$196+(($B$54)-$A27)*'Cálculos'!$C$98)/(('Cálculos'!$C$196+(($B$54)-$A27)*'Cálculos'!$C$98)+1400)+'Cálculos'!$C$122)*'Cálculos'!$C$217+'Cálculos'!$C$125*(1+2.78*('Cálculos'!$C$196+(($B$54)-$A27)*'Cálculos'!$C$98)/(('Cálculos'!$C$196+(($B$54)-$A27)*'Cálculos'!$C$98)+1400)+'Cálculos'!$C$123)*'Cálculos'!$C$222)+('Cálculos'!$C$213+'Cálculos'!$C$124*(1+2.78*('Cálculos'!$C$196+(($B$54)-$A27)*'Cálculos'!$C$98)/(('Cálculos'!$C$196+(($B$54)-$A27)*'Cálculos'!$C$98)+1400)+'Cálculos'!$C$122)*'Cálculos'!$C$218+'Cálculos'!$C$125*(1+2.78*('Cálculos'!$C$196+(($B$54)-$A27)*'Cálculos'!$C$98)/(('Cálculos'!$C$196+(($B$54)-$A27)*'Cálculos'!$C$98)+1400)+'Cálculos'!$C$123)*'Cálculos'!$C$223)+('Cálculos'!$C$185*(1+'Cálculos'!$C$187+$A27*('Cálculos'!$C$290=1)*'Cálculos'!$C$97+'Cálculos'!$C$305)+'Cálculos'!$C$192)*('Cálculos'!$C$224+'Cálculos'!$C$124*(1+2.78*('Cálculos'!$C$197+(($B$54)-$A27)*'Cálculos'!$C$98)/(('Cálculos'!$C$197+(($B$54)-$A27)*'Cálculos'!$C$98)+1400)+'Cálculos'!$C$122)*'Cálculos'!$C$229+'Cálculos'!$C$125*(1+2.78*('Cálculos'!$C$197+(($B$54)-$A27)*'Cálculos'!$C$98)/(('Cálculos'!$C$197+(($B$54)-$A27)*'Cálculos'!$C$98)+1400)+'Cálculos'!$C$123)*'Cálculos'!$C$234)+('Cálculos'!$C$197+(($B$54)-$A27)*'Cálculos'!$C$98)*('Cálculos'!$C$225+'Cálculos'!$C$124*(1+2.78*('Cálculos'!$C$197+(($B$54)-$A27)*'Cálculos'!$C$98)/(('Cálculos'!$C$197+(($B$54)-$A27)*'Cálculos'!$C$98)+1400)+'Cálculos'!$C$122)*'Cálculos'!$C$230+'Cálculos'!$C$125*(1+2.78*('Cálculos'!$C$197+(($B$54)-$A27)*'Cálculos'!$C$98)/(('Cálculos'!$C$197+(($B$54)-$A27)*'Cálculos'!$C$98)+1400)+'Cálculos'!$C$123)*'Cálculos'!$C$235)+('Cálculos'!$C$201*(1+'Cálculos'!$C$202+$A27*('Cálculos'!$C$290=2)*'Cálculos'!$C$101)+'Cálculos'!$C$203)*('Cálculos'!$C$226+'Cálculos'!$C$124*(1+2.78*('Cálculos'!$C$197+(($B$54)-$A27)*'Cálculos'!$C$98)/(('Cálculos'!$C$197+(($B$54)-$A27)*'Cálculos'!$C$98)+1400)+'Cálculos'!$C$122)*'Cálculos'!$C$231+'Cálculos'!$C$125*(1+2.78*('Cálculos'!$C$197+(($B$54)-$A27)*'Cálculos'!$C$98)/(('Cálculos'!$C$197+(($B$54)-$A27)*'Cálculos'!$C$98)+1400)+'Cálculos'!$C$123)*'Cálculos'!$C$236)+('Cálculos'!$C$204*(1+'Cálculos'!$C$205+$A27*('Cálculos'!$C$290=3)*'Cálculos'!$C$103)+'Cálculos'!$C$206)*('Cálculos'!$C$227+'Cálculos'!$C$124*(1+2.78*('Cálculos'!$C$197+(($B$54)-$A27)*'Cálculos'!$C$98)/(('Cálculos'!$C$197+(($B$54)-$A27)*'Cálculos'!$C$98)+1400)+'Cálculos'!$C$122)*'Cálculos'!$C$232+'Cálculos'!$C$125*(1+2.78*('Cálculos'!$C$197+(($B$54)-$A27)*'Cálculos'!$C$98)/(('Cálculos'!$C$197+(($B$54)-$A27)*'Cálculos'!$C$98)+1400)+'Cálculos'!$C$123)*'Cálculos'!$C$237)+('Cálculos'!$C$228+'Cálculos'!$C$124*(1+2.78*('Cálculos'!$C$197+(($B$54)-$A27)*'Cálculos'!$C$98)/(('Cálculos'!$C$197+(($B$54)-$A27)*'Cálculos'!$C$98)+1400)+'Cálculos'!$C$122)*'Cálculos'!$C$233+'Cálculos'!$C$125*(1+2.78*('Cálculos'!$C$197+(($B$54)-$A27)*'Cálculos'!$C$98)/(('Cálculos'!$C$197+(($B$54)-$A27)*'Cálculos'!$C$98)+1400)+'Cálculos'!$C$123)*'Cálculos'!$C$238)+('Cálculos'!$C$185*(1+'Cálculos'!$C$188+$A27*('Cálculos'!$C$290=1)*'Cálculos'!$C$97+'Cálculos'!$C$305)+'Cálculos'!$C$193)*('Cálculos'!$C$239+'Cálculos'!$C$124*(1+2.78*('Cálculos'!$C$198+(($B$54)-$A27)*'Cálculos'!$C$98)/(('Cálculos'!$C$198+(($B$54)-$A27)*'Cálculos'!$C$98)+1400)+'Cálculos'!$C$122)*'Cálculos'!$C$244+'Cálculos'!$C$125*(1+2.78*('Cálculos'!$C$198+(($B$54)-$A27)*'Cálculos'!$C$98)/(('Cálculos'!$C$198+(($B$54)-$A27)*'Cálculos'!$C$98)+1400)+'Cálculos'!$C$123)*'Cálculos'!$C$249)+('Cálculos'!$C$198+(($B$54)-$A27)*'Cálculos'!$C$98)*('Cálculos'!$C$240+'Cálculos'!$C$124*(1+2.78*('Cálculos'!$C$198+(($B$54)-$A27)*'Cálculos'!$C$98)/(('Cálculos'!$C$198+(($B$54)-$A27)*'Cálculos'!$C$98)+1400)+'Cálculos'!$C$122)*'Cálculos'!$C$245+'Cálculos'!$C$125*(1+2.78*('Cálculos'!$C$198+(($B$54)-$A27)*'Cálculos'!$C$98)/(('Cálculos'!$C$198+(($B$54)-$A27)*'Cálculos'!$C$98)+1400)+'Cálculos'!$C$123)*'Cálculos'!$C$250)+('Cálculos'!$C$201*(1+'Cálculos'!$C$202+$A27*('Cálculos'!$C$290=2)*'Cálculos'!$C$101)+'Cálculos'!$C$203)*('Cálculos'!$C$241+'Cálculos'!$C$124*(1+2.78*('Cálculos'!$C$198+(($B$54)-$A27)*'Cálculos'!$C$98)/(('Cálculos'!$C$198+(($B$54)-$A27)*'Cálculos'!$C$98)+1400)+'Cálculos'!$C$122)*'Cálculos'!$C$246+'Cálculos'!$C$125*(1+2.78*('Cálculos'!$C$198+(($B$54)-$A27)*'Cálculos'!$C$98)/(('Cálculos'!$C$198+(($B$54)-$A27)*'Cálculos'!$C$98)+1400)+'Cálculos'!$C$123)*'Cálculos'!$C$251)+('Cálculos'!$C$204*(1+'Cálculos'!$C$205+$A27*('Cálculos'!$C$290=3)*'Cálculos'!$C$103)+'Cálculos'!$C$206)*('Cálculos'!$C$242+'Cálculos'!$C$124*(1+2.78*('Cálculos'!$C$198+(($B$54)-$A27)*'Cálculos'!$C$98)/(('Cálculos'!$C$198+(($B$54)-$A27)*'Cálculos'!$C$98)+1400)+'Cálculos'!$C$122)*'Cálculos'!$C$247+'Cálculos'!$C$125*(1+2.78*('Cálculos'!$C$198+(($B$54)-$A27)*'Cálculos'!$C$98)/(('Cálculos'!$C$198+(($B$54)-$A27)*'Cálculos'!$C$98)+1400)+'Cálculos'!$C$123)*'Cálculos'!$C$252)+('Cálculos'!$C$243+'Cálculos'!$C$124*(1+2.78*('Cálculos'!$C$198+(($B$54)-$A27)*'Cálculos'!$C$98)/(('Cálculos'!$C$198+(($B$54)-$A27)*'Cálculos'!$C$98)+1400)+'Cálculos'!$C$122)*'Cálculos'!$C$248+'Cálculos'!$C$125*(1+2.78*('Cálculos'!$C$198+(($B$54)-$A27)*'Cálculos'!$C$98)/(('Cálculos'!$C$198+(($B$54)-$A27)*'Cálculos'!$C$98)+1400)+'Cálculos'!$C$123)*'Cálculos'!$C$253)+('Cálculos'!$C$185*(1+'Cálculos'!$C$189+$A27*('Cálculos'!$C$290=1)*'Cálculos'!$C$97+'Cálculos'!$C$305)+'Cálculos'!$C$194)*('Cálculos'!$C$254+'Cálculos'!$C$124*(1+2.78*('Cálculos'!$C$199+(($B$54)-$A27)*'Cálculos'!$C$98)/(('Cálculos'!$C$199+(($B$54)-$A27)*'Cálculos'!$C$98)+1400)+'Cálculos'!$C$122)*'Cálculos'!$C$259+'Cálculos'!$C$125*(1+2.78*('Cálculos'!$C$199+(($B$54)-$A27)*'Cálculos'!$C$98)/(('Cálculos'!$C$199+(($B$54)-$A27)*'Cálculos'!$C$98)+1400)+'Cálculos'!$C$123)*'Cálculos'!$C$264)+('Cálculos'!$C$199+(($B$54)-$A27)*'Cálculos'!$C$98)*('Cálculos'!$C$255+'Cálculos'!$C$124*(1+2.78*('Cálculos'!$C$199+(($B$54)-$A27)*'Cálculos'!$C$98)/(('Cálculos'!$C$199+(($B$54)-$A27)*'Cálculos'!$C$98)+1400)+'Cálculos'!$C$122)*'Cálculos'!$C$260+'Cálculos'!$C$125*(1+2.78*('Cálculos'!$C$199+(($B$54)-$A27)*'Cálculos'!$C$98)/(('Cálculos'!$C$199+(($B$54)-$A27)*'Cálculos'!$C$98)+1400)+'Cálculos'!$C$123)*'Cálculos'!$C$265)+('Cálculos'!$C$201*(1+'Cálculos'!$C$202+$A27*('Cálculos'!$C$290=2)*'Cálculos'!$C$101)+'Cálculos'!$C$203)*('Cálculos'!$C$256+'Cálculos'!$C$124*(1+2.78*('Cálculos'!$C$199+(($B$54)-$A27)*'Cálculos'!$C$98)/(('Cálculos'!$C$199+(($B$54)-$A27)*'Cálculos'!$C$98)+1400)+'Cálculos'!$C$122)*'Cálculos'!$C$261+'Cálculos'!$C$125*(1+2.78*('Cálculos'!$C$199+(($B$54)-$A27)*'Cálculos'!$C$98)/(('Cálculos'!$C$199+(($B$54)-$A27)*'Cálculos'!$C$98)+1400)+'Cálculos'!$C$123)*'Cálculos'!$C$266)+('Cálculos'!$C$204*(1+'Cálculos'!$C$205+$A27*('Cálculos'!$C$290=3)*'Cálculos'!$C$103)+'Cálculos'!$C$206)*('Cálculos'!$C$257+'Cálculos'!$C$124*(1+2.78*('Cálculos'!$C$199+(($B$54)-$A27)*'Cálculos'!$C$98)/(('Cálculos'!$C$199+(($B$54)-$A27)*'Cálculos'!$C$98)+1400)+'Cálculos'!$C$122)*'Cálculos'!$C$262+'Cálculos'!$C$125*(1+2.78*('Cálculos'!$C$199+(($B$54)-$A27)*'Cálculos'!$C$98)/(('Cálculos'!$C$199+(($B$54)-$A27)*'Cálculos'!$C$98)+1400)+'Cálculos'!$C$123)*'Cálculos'!$C$267)+('Cálculos'!$C$258+'Cálculos'!$C$124*(1+2.78*('Cálculos'!$C$199+(($B$54)-$A27)*'Cálculos'!$C$98)/(('Cálculos'!$C$199+(($B$54)-$A27)*'Cálculos'!$C$98)+1400)+'Cálculos'!$C$122)*'Cálculos'!$C$263+'Cálculos'!$C$125*(1+2.78*('Cálculos'!$C$199+(($B$54)-$A27)*'Cálculos'!$C$98)/(('Cálculos'!$C$199+(($B$54)-$A27)*'Cálculos'!$C$98)+1400)+'Cálculos'!$C$123)*'Cálculos'!$C$268)+('Cálculos'!$C$185*(1+'Cálculos'!$C$190+$A27*('Cálculos'!$C$290=1)*'Cálculos'!$C$97+'Cálculos'!$C$305)+'Cálculos'!$C$195)*('Cálculos'!$C$269+'Cálculos'!$C$124*(1+2.78*('Cálculos'!$C$200+(($B$54)-$A27)*'Cálculos'!$C$98)/(('Cálculos'!$C$200+(($B$54)-$A27)*'Cálculos'!$C$98)+1400)+'Cálculos'!$C$122)*'Cálculos'!$C$274+'Cálculos'!$C$125*(1+2.78*('Cálculos'!$C$200+(($B$54)-$A27)*'Cálculos'!$C$98)/(('Cálculos'!$C$200+(($B$54)-$A27)*'Cálculos'!$C$98)+1400)+'Cálculos'!$C$123)*'Cálculos'!$C$279)+('Cálculos'!$C$200+(($B$54)-$A27)*'Cálculos'!$C$98)*('Cálculos'!$C$270+'Cálculos'!$C$124*(1+2.78*('Cálculos'!$C$200+(($B$54)-$A27)*'Cálculos'!$C$98)/(('Cálculos'!$C$200+(($B$54)-$A27)*'Cálculos'!$C$98)+1400)+'Cálculos'!$C$122)*'Cálculos'!$C$275+'Cálculos'!$C$125*(1+2.78*('Cálculos'!$C$200+(($B$54)-$A27)*'Cálculos'!$C$98)/(('Cálculos'!$C$200+(($B$54)-$A27)*'Cálculos'!$C$98)+1400)+'Cálculos'!$C$123)*'Cálculos'!$C$280)+('Cálculos'!$C$201*(1+'Cálculos'!$C$202+$A27*('Cálculos'!$C$290=2)*'Cálculos'!$C$101)+'Cálculos'!$C$203)*('Cálculos'!$C$271+'Cálculos'!$C$124*(1+2.78*('Cálculos'!$C$200+(($B$54)-$A27)*'Cálculos'!$C$98)/(('Cálculos'!$C$200+(($B$54)-$A27)*'Cálculos'!$C$98)+1400)+'Cálculos'!$C$122)*'Cálculos'!$C$276+'Cálculos'!$C$125*(1+2.78*('Cálculos'!$C$200+(($B$54)-$A27)*'Cálculos'!$C$98)/(('Cálculos'!$C$200+(($B$54)-$A27)*'Cálculos'!$C$98)+1400)+'Cálculos'!$C$123)*'Cálculos'!$C$281)+('Cálculos'!$C$204*(1+'Cálculos'!$C$205+$A27*('Cálculos'!$C$290=3)*'Cálculos'!$C$103)+'Cálculos'!$C$206)*('Cálculos'!$C$272+'Cálculos'!$C$124*(1+2.78*('Cálculos'!$C$200+(($B$54)-$A27)*'Cálculos'!$C$98)/(('Cálculos'!$C$200+(($B$54)-$A27)*'Cálculos'!$C$98)+1400)+'Cálculos'!$C$122)*'Cálculos'!$C$277+'Cálculos'!$C$125*(1+2.78*('Cálculos'!$C$200+(($B$54)-$A27)*'Cálculos'!$C$98)/(('Cálculos'!$C$200+(($B$54)-$A27)*'Cálculos'!$C$98)+1400)+'Cálculos'!$C$123)*'Cálculos'!$C$282)+('Cálculos'!$C$273+'Cálculos'!$C$124*(1+2.78*('Cálculos'!$C$200+(($B$54)-$A27)*'Cálculos'!$C$98)/(('Cálculos'!$C$200+(($B$54)-$A27)*'Cálculos'!$C$98)+1400)+'Cálculos'!$C$122)*'Cálculos'!$C$278+'Cálculos'!$C$125*(1+2.78*('Cálculos'!$C$200+(($B$54)-$A27)*'Cálculos'!$C$98)/(('Cálculos'!$C$200+(($B$54)-$A27)*'Cálculos'!$C$98)+1400)+'Cálculos'!$C$123)*'Cálculos'!$C$283)))</f>
        <v>0</v>
      </c>
    </row>
    <row r="28" ht="15.75" customHeight="1">
      <c r="A28" s="2">
        <v>22.0</v>
      </c>
      <c r="B28" s="30">
        <f>SUMPRODUCT(MAX(($A$6:$A$51&lt;=$A28)*($A$6:$A$51&lt;='Cálculos'!$C$294)*(($A28)-$A$6:$A$51&lt;='Cálculos'!$C$295)*(1+(('Cálculos'!$C$207+$A$6:$A$51*'Cálculos'!$C$95)-(('Cálculos'!$C$207+$A$6:$A$51*'Cálculos'!$C$95)&gt;1)*(('Cálculos'!$C$207+$A$6:$A$51*'Cálculos'!$C$95)-1))*('Cálculos'!$C$208+(($A28)-$A$6:$A$51)*'Cálculos'!$C$96))))</f>
        <v>3.684146</v>
      </c>
      <c r="C28" s="2">
        <f>'Cálculos'!$C$303-$A28</f>
        <v>-2</v>
      </c>
      <c r="D28" s="31">
        <f>IF($C28&lt;0,0,SUMPRODUCT(MAX(($A$6:$A$51&lt;=$C28)*($A$6:$A$51&lt;='Cálculos'!$C$301)*(($C28)-$A$6:$A$51&lt;='Cálculos'!$C$297)*(('Cálculos'!$C$185*(1+'Cálculos'!$C$186+$A$6:$A$51*('Cálculos'!$C$290=1)*'Cálculos'!$C$97+'Cálculos'!$C$305)+'Cálculos'!$C$191)*('Cálculos'!$C$209+'Cálculos'!$C$124*(1+2.78*('Cálculos'!$C$196+(($C28)-$A$6:$A$51)*'Cálculos'!$C$98)/(('Cálculos'!$C$196+(($C28)-$A$6:$A$51)*'Cálculos'!$C$98)+1400)+'Cálculos'!$C$122)*'Cálculos'!$C$214+'Cálculos'!$C$125*(1+2.78*('Cálculos'!$C$196+(($C28)-$A$6:$A$51)*'Cálculos'!$C$98)/(('Cálculos'!$C$196+(($C28)-$A$6:$A$51)*'Cálculos'!$C$98)+1400)+'Cálculos'!$C$123)*'Cálculos'!$C$219)+('Cálculos'!$C$196+(($C28)-$A$6:$A$51)*'Cálculos'!$C$98)*('Cálculos'!$C$210+'Cálculos'!$C$124*(1+2.78*('Cálculos'!$C$196+(($C28)-$A$6:$A$51)*'Cálculos'!$C$98)/(('Cálculos'!$C$196+(($C28)-$A$6:$A$51)*'Cálculos'!$C$98)+1400)+'Cálculos'!$C$122)*'Cálculos'!$C$215+'Cálculos'!$C$125*(1+2.78*('Cálculos'!$C$196+(($C28)-$A$6:$A$51)*'Cálculos'!$C$98)/(('Cálculos'!$C$196+(($C28)-$A$6:$A$51)*'Cálculos'!$C$98)+1400)+'Cálculos'!$C$123)*'Cálculos'!$C$220)+('Cálculos'!$C$201*(1+'Cálculos'!$C$202+$A$6:$A$51*('Cálculos'!$C$290=2)*'Cálculos'!$C$101)+'Cálculos'!$C$203)*('Cálculos'!$C$211+'Cálculos'!$C$124*(1+2.78*('Cálculos'!$C$196+(($C28)-$A$6:$A$51)*'Cálculos'!$C$98)/(('Cálculos'!$C$196+(($C28)-$A$6:$A$51)*'Cálculos'!$C$98)+1400)+'Cálculos'!$C$122)*'Cálculos'!$C$216+'Cálculos'!$C$125*(1+2.78*('Cálculos'!$C$196+(($C28)-$A$6:$A$51)*'Cálculos'!$C$98)/(('Cálculos'!$C$196+(($C28)-$A$6:$A$51)*'Cálculos'!$C$98)+1400)+'Cálculos'!$C$123)*'Cálculos'!$C$221)+('Cálculos'!$C$204*(1+'Cálculos'!$C$205+$A$6:$A$51*('Cálculos'!$C$290=3)*'Cálculos'!$C$103)+'Cálculos'!$C$206)*('Cálculos'!$C$212+'Cálculos'!$C$124*(1+2.78*('Cálculos'!$C$196+(($C28)-$A$6:$A$51)*'Cálculos'!$C$98)/(('Cálculos'!$C$196+(($C28)-$A$6:$A$51)*'Cálculos'!$C$98)+1400)+'Cálculos'!$C$122)*'Cálculos'!$C$217+'Cálculos'!$C$125*(1+2.78*('Cálculos'!$C$196+(($C28)-$A$6:$A$51)*'Cálculos'!$C$98)/(('Cálculos'!$C$196+(($C28)-$A$6:$A$51)*'Cálculos'!$C$98)+1400)+'Cálculos'!$C$123)*'Cálculos'!$C$222)+('Cálculos'!$C$213+'Cálculos'!$C$124*(1+2.78*('Cálculos'!$C$196+(($C28)-$A$6:$A$51)*'Cálculos'!$C$98)/(('Cálculos'!$C$196+(($C28)-$A$6:$A$51)*'Cálculos'!$C$98)+1400)+'Cálculos'!$C$122)*'Cálculos'!$C$218+'Cálculos'!$C$125*(1+2.78*('Cálculos'!$C$196+(($C28)-$A$6:$A$51)*'Cálculos'!$C$98)/(('Cálculos'!$C$196+(($C28)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28)-$A$6:$A$51)*'Cálculos'!$C$98)/(('Cálculos'!$C$197+(($C28)-$A$6:$A$51)*'Cálculos'!$C$98)+1400)+'Cálculos'!$C$122)*'Cálculos'!$C$229+'Cálculos'!$C$125*(1+2.78*('Cálculos'!$C$197+(($C28)-$A$6:$A$51)*'Cálculos'!$C$98)/(('Cálculos'!$C$197+(($C28)-$A$6:$A$51)*'Cálculos'!$C$98)+1400)+'Cálculos'!$C$123)*'Cálculos'!$C$234)+('Cálculos'!$C$197+(($C28)-$A$6:$A$51)*'Cálculos'!$C$98)*('Cálculos'!$C$225+'Cálculos'!$C$124*(1+2.78*('Cálculos'!$C$197+(($C28)-$A$6:$A$51)*'Cálculos'!$C$98)/(('Cálculos'!$C$197+(($C28)-$A$6:$A$51)*'Cálculos'!$C$98)+1400)+'Cálculos'!$C$122)*'Cálculos'!$C$230+'Cálculos'!$C$125*(1+2.78*('Cálculos'!$C$197+(($C28)-$A$6:$A$51)*'Cálculos'!$C$98)/(('Cálculos'!$C$197+(($C28)-$A$6:$A$51)*'Cálculos'!$C$98)+1400)+'Cálculos'!$C$123)*'Cálculos'!$C$235)+('Cálculos'!$C$201*(1+'Cálculos'!$C$202+$A$6:$A$51*('Cálculos'!$C$290=2)*'Cálculos'!$C$101)+'Cálculos'!$C$203)*('Cálculos'!$C$226+'Cálculos'!$C$124*(1+2.78*('Cálculos'!$C$197+(($C28)-$A$6:$A$51)*'Cálculos'!$C$98)/(('Cálculos'!$C$197+(($C28)-$A$6:$A$51)*'Cálculos'!$C$98)+1400)+'Cálculos'!$C$122)*'Cálculos'!$C$231+'Cálculos'!$C$125*(1+2.78*('Cálculos'!$C$197+(($C28)-$A$6:$A$51)*'Cálculos'!$C$98)/(('Cálculos'!$C$197+(($C28)-$A$6:$A$51)*'Cálculos'!$C$98)+1400)+'Cálculos'!$C$123)*'Cálculos'!$C$236)+('Cálculos'!$C$204*(1+'Cálculos'!$C$205+$A$6:$A$51*('Cálculos'!$C$290=3)*'Cálculos'!$C$103)+'Cálculos'!$C$206)*('Cálculos'!$C$227+'Cálculos'!$C$124*(1+2.78*('Cálculos'!$C$197+(($C28)-$A$6:$A$51)*'Cálculos'!$C$98)/(('Cálculos'!$C$197+(($C28)-$A$6:$A$51)*'Cálculos'!$C$98)+1400)+'Cálculos'!$C$122)*'Cálculos'!$C$232+'Cálculos'!$C$125*(1+2.78*('Cálculos'!$C$197+(($C28)-$A$6:$A$51)*'Cálculos'!$C$98)/(('Cálculos'!$C$197+(($C28)-$A$6:$A$51)*'Cálculos'!$C$98)+1400)+'Cálculos'!$C$123)*'Cálculos'!$C$237)+('Cálculos'!$C$228+'Cálculos'!$C$124*(1+2.78*('Cálculos'!$C$197+(($C28)-$A$6:$A$51)*'Cálculos'!$C$98)/(('Cálculos'!$C$197+(($C28)-$A$6:$A$51)*'Cálculos'!$C$98)+1400)+'Cálculos'!$C$122)*'Cálculos'!$C$233+'Cálculos'!$C$125*(1+2.78*('Cálculos'!$C$197+(($C28)-$A$6:$A$51)*'Cálculos'!$C$98)/(('Cálculos'!$C$197+(($C28)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28)-$A$6:$A$51)*'Cálculos'!$C$98)/(('Cálculos'!$C$198+(($C28)-$A$6:$A$51)*'Cálculos'!$C$98)+1400)+'Cálculos'!$C$122)*'Cálculos'!$C$244+'Cálculos'!$C$125*(1+2.78*('Cálculos'!$C$198+(($C28)-$A$6:$A$51)*'Cálculos'!$C$98)/(('Cálculos'!$C$198+(($C28)-$A$6:$A$51)*'Cálculos'!$C$98)+1400)+'Cálculos'!$C$123)*'Cálculos'!$C$249)+('Cálculos'!$C$198+(($C28)-$A$6:$A$51)*'Cálculos'!$C$98)*('Cálculos'!$C$240+'Cálculos'!$C$124*(1+2.78*('Cálculos'!$C$198+(($C28)-$A$6:$A$51)*'Cálculos'!$C$98)/(('Cálculos'!$C$198+(($C28)-$A$6:$A$51)*'Cálculos'!$C$98)+1400)+'Cálculos'!$C$122)*'Cálculos'!$C$245+'Cálculos'!$C$125*(1+2.78*('Cálculos'!$C$198+(($C28)-$A$6:$A$51)*'Cálculos'!$C$98)/(('Cálculos'!$C$198+(($C28)-$A$6:$A$51)*'Cálculos'!$C$98)+1400)+'Cálculos'!$C$123)*'Cálculos'!$C$250)+('Cálculos'!$C$201*(1+'Cálculos'!$C$202+$A$6:$A$51*('Cálculos'!$C$290=2)*'Cálculos'!$C$101)+'Cálculos'!$C$203)*('Cálculos'!$C$241+'Cálculos'!$C$124*(1+2.78*('Cálculos'!$C$198+(($C28)-$A$6:$A$51)*'Cálculos'!$C$98)/(('Cálculos'!$C$198+(($C28)-$A$6:$A$51)*'Cálculos'!$C$98)+1400)+'Cálculos'!$C$122)*'Cálculos'!$C$246+'Cálculos'!$C$125*(1+2.78*('Cálculos'!$C$198+(($C28)-$A$6:$A$51)*'Cálculos'!$C$98)/(('Cálculos'!$C$198+(($C28)-$A$6:$A$51)*'Cálculos'!$C$98)+1400)+'Cálculos'!$C$123)*'Cálculos'!$C$251)+('Cálculos'!$C$204*(1+'Cálculos'!$C$205+$A$6:$A$51*('Cálculos'!$C$290=3)*'Cálculos'!$C$103)+'Cálculos'!$C$206)*('Cálculos'!$C$242+'Cálculos'!$C$124*(1+2.78*('Cálculos'!$C$198+(($C28)-$A$6:$A$51)*'Cálculos'!$C$98)/(('Cálculos'!$C$198+(($C28)-$A$6:$A$51)*'Cálculos'!$C$98)+1400)+'Cálculos'!$C$122)*'Cálculos'!$C$247+'Cálculos'!$C$125*(1+2.78*('Cálculos'!$C$198+(($C28)-$A$6:$A$51)*'Cálculos'!$C$98)/(('Cálculos'!$C$198+(($C28)-$A$6:$A$51)*'Cálculos'!$C$98)+1400)+'Cálculos'!$C$123)*'Cálculos'!$C$252)+('Cálculos'!$C$243+'Cálculos'!$C$124*(1+2.78*('Cálculos'!$C$198+(($C28)-$A$6:$A$51)*'Cálculos'!$C$98)/(('Cálculos'!$C$198+(($C28)-$A$6:$A$51)*'Cálculos'!$C$98)+1400)+'Cálculos'!$C$122)*'Cálculos'!$C$248+'Cálculos'!$C$125*(1+2.78*('Cálculos'!$C$198+(($C28)-$A$6:$A$51)*'Cálculos'!$C$98)/(('Cálculos'!$C$198+(($C28)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28)-$A$6:$A$51)*'Cálculos'!$C$98)/(('Cálculos'!$C$199+(($C28)-$A$6:$A$51)*'Cálculos'!$C$98)+1400)+'Cálculos'!$C$122)*'Cálculos'!$C$259+'Cálculos'!$C$125*(1+2.78*('Cálculos'!$C$199+(($C28)-$A$6:$A$51)*'Cálculos'!$C$98)/(('Cálculos'!$C$199+(($C28)-$A$6:$A$51)*'Cálculos'!$C$98)+1400)+'Cálculos'!$C$123)*'Cálculos'!$C$264)+('Cálculos'!$C$199+(($C28)-$A$6:$A$51)*'Cálculos'!$C$98)*('Cálculos'!$C$255+'Cálculos'!$C$124*(1+2.78*('Cálculos'!$C$199+(($C28)-$A$6:$A$51)*'Cálculos'!$C$98)/(('Cálculos'!$C$199+(($C28)-$A$6:$A$51)*'Cálculos'!$C$98)+1400)+'Cálculos'!$C$122)*'Cálculos'!$C$260+'Cálculos'!$C$125*(1+2.78*('Cálculos'!$C$199+(($C28)-$A$6:$A$51)*'Cálculos'!$C$98)/(('Cálculos'!$C$199+(($C28)-$A$6:$A$51)*'Cálculos'!$C$98)+1400)+'Cálculos'!$C$123)*'Cálculos'!$C$265)+('Cálculos'!$C$201*(1+'Cálculos'!$C$202+$A$6:$A$51*('Cálculos'!$C$290=2)*'Cálculos'!$C$101)+'Cálculos'!$C$203)*('Cálculos'!$C$256+'Cálculos'!$C$124*(1+2.78*('Cálculos'!$C$199+(($C28)-$A$6:$A$51)*'Cálculos'!$C$98)/(('Cálculos'!$C$199+(($C28)-$A$6:$A$51)*'Cálculos'!$C$98)+1400)+'Cálculos'!$C$122)*'Cálculos'!$C$261+'Cálculos'!$C$125*(1+2.78*('Cálculos'!$C$199+(($C28)-$A$6:$A$51)*'Cálculos'!$C$98)/(('Cálculos'!$C$199+(($C28)-$A$6:$A$51)*'Cálculos'!$C$98)+1400)+'Cálculos'!$C$123)*'Cálculos'!$C$266)+('Cálculos'!$C$204*(1+'Cálculos'!$C$205+$A$6:$A$51*('Cálculos'!$C$290=3)*'Cálculos'!$C$103)+'Cálculos'!$C$206)*('Cálculos'!$C$257+'Cálculos'!$C$124*(1+2.78*('Cálculos'!$C$199+(($C28)-$A$6:$A$51)*'Cálculos'!$C$98)/(('Cálculos'!$C$199+(($C28)-$A$6:$A$51)*'Cálculos'!$C$98)+1400)+'Cálculos'!$C$122)*'Cálculos'!$C$262+'Cálculos'!$C$125*(1+2.78*('Cálculos'!$C$199+(($C28)-$A$6:$A$51)*'Cálculos'!$C$98)/(('Cálculos'!$C$199+(($C28)-$A$6:$A$51)*'Cálculos'!$C$98)+1400)+'Cálculos'!$C$123)*'Cálculos'!$C$267)+('Cálculos'!$C$258+'Cálculos'!$C$124*(1+2.78*('Cálculos'!$C$199+(($C28)-$A$6:$A$51)*'Cálculos'!$C$98)/(('Cálculos'!$C$199+(($C28)-$A$6:$A$51)*'Cálculos'!$C$98)+1400)+'Cálculos'!$C$122)*'Cálculos'!$C$263+'Cálculos'!$C$125*(1+2.78*('Cálculos'!$C$199+(($C28)-$A$6:$A$51)*'Cálculos'!$C$98)/(('Cálculos'!$C$199+(($C28)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28)-$A$6:$A$51)*'Cálculos'!$C$98)/(('Cálculos'!$C$200+(($C28)-$A$6:$A$51)*'Cálculos'!$C$98)+1400)+'Cálculos'!$C$122)*'Cálculos'!$C$274+'Cálculos'!$C$125*(1+2.78*('Cálculos'!$C$200+(($C28)-$A$6:$A$51)*'Cálculos'!$C$98)/(('Cálculos'!$C$200+(($C28)-$A$6:$A$51)*'Cálculos'!$C$98)+1400)+'Cálculos'!$C$123)*'Cálculos'!$C$279)+('Cálculos'!$C$200+(($C28)-$A$6:$A$51)*'Cálculos'!$C$98)*('Cálculos'!$C$270+'Cálculos'!$C$124*(1+2.78*('Cálculos'!$C$200+(($C28)-$A$6:$A$51)*'Cálculos'!$C$98)/(('Cálculos'!$C$200+(($C28)-$A$6:$A$51)*'Cálculos'!$C$98)+1400)+'Cálculos'!$C$122)*'Cálculos'!$C$275+'Cálculos'!$C$125*(1+2.78*('Cálculos'!$C$200+(($C28)-$A$6:$A$51)*'Cálculos'!$C$98)/(('Cálculos'!$C$200+(($C28)-$A$6:$A$51)*'Cálculos'!$C$98)+1400)+'Cálculos'!$C$123)*'Cálculos'!$C$280)+('Cálculos'!$C$201*(1+'Cálculos'!$C$202+$A$6:$A$51*('Cálculos'!$C$290=2)*'Cálculos'!$C$101)+'Cálculos'!$C$203)*('Cálculos'!$C$271+'Cálculos'!$C$124*(1+2.78*('Cálculos'!$C$200+(($C28)-$A$6:$A$51)*'Cálculos'!$C$98)/(('Cálculos'!$C$200+(($C28)-$A$6:$A$51)*'Cálculos'!$C$98)+1400)+'Cálculos'!$C$122)*'Cálculos'!$C$276+'Cálculos'!$C$125*(1+2.78*('Cálculos'!$C$200+(($C28)-$A$6:$A$51)*'Cálculos'!$C$98)/(('Cálculos'!$C$200+(($C28)-$A$6:$A$51)*'Cálculos'!$C$98)+1400)+'Cálculos'!$C$123)*'Cálculos'!$C$281)+('Cálculos'!$C$204*(1+'Cálculos'!$C$205+$A$6:$A$51*('Cálculos'!$C$290=3)*'Cálculos'!$C$103)+'Cálculos'!$C$206)*('Cálculos'!$C$272+'Cálculos'!$C$124*(1+2.78*('Cálculos'!$C$200+(($C28)-$A$6:$A$51)*'Cálculos'!$C$98)/(('Cálculos'!$C$200+(($C28)-$A$6:$A$51)*'Cálculos'!$C$98)+1400)+'Cálculos'!$C$122)*'Cálculos'!$C$277+'Cálculos'!$C$125*(1+2.78*('Cálculos'!$C$200+(($C28)-$A$6:$A$51)*'Cálculos'!$C$98)/(('Cálculos'!$C$200+(($C28)-$A$6:$A$51)*'Cálculos'!$C$98)+1400)+'Cálculos'!$C$123)*'Cálculos'!$C$282)+('Cálculos'!$C$273+'Cálculos'!$C$124*(1+2.78*('Cálculos'!$C$200+(($C28)-$A$6:$A$51)*'Cálculos'!$C$98)/(('Cálculos'!$C$200+(($C28)-$A$6:$A$51)*'Cálculos'!$C$98)+1400)+'Cálculos'!$C$122)*'Cálculos'!$C$278+'Cálculos'!$C$125*(1+2.78*('Cálculos'!$C$200+(($C28)-$A$6:$A$51)*'Cálculos'!$C$98)/(('Cálculos'!$C$200+(($C28)-$A$6:$A$51)*'Cálculos'!$C$98)+1400)+'Cálculos'!$C$123)*'Cálculos'!$C$283)))))</f>
        <v>0</v>
      </c>
      <c r="E28" s="32">
        <f>IF(OR($C28&lt;0,'Cálculos'!$C$6=""),0,$B28*$D28)</f>
        <v>0</v>
      </c>
      <c r="F28" s="2"/>
      <c r="G28" s="30">
        <f>($A28&lt;=$B$53)*($A28&lt;='Cálculos'!$C$294)*(($B$53)-$A28&lt;='Cálculos'!$C$295)*(1+MIN(('Cálculos'!$C$207+$A28*'Cálculos'!$C$95),1)*('Cálculos'!$C$208+(($B$53)-$A28)*'Cálculos'!$C$96))</f>
        <v>0</v>
      </c>
      <c r="H28" s="31">
        <f>IF($B$54&lt;0,0,($A28&lt;=$B$54)*($A28&lt;='Cálculos'!$C$301)*(($B$54)-$A28&lt;='Cálculos'!$C$297)*(('Cálculos'!$C$185*(1+'Cálculos'!$C$186+$A28*('Cálculos'!$C$290=1)*'Cálculos'!$C$97+'Cálculos'!$C$305)+'Cálculos'!$C$191)*('Cálculos'!$C$209+'Cálculos'!$C$124*(1+2.78*('Cálculos'!$C$196+(($B$54)-$A28)*'Cálculos'!$C$98)/(('Cálculos'!$C$196+(($B$54)-$A28)*'Cálculos'!$C$98)+1400)+'Cálculos'!$C$122)*'Cálculos'!$C$214+'Cálculos'!$C$125*(1+2.78*('Cálculos'!$C$196+(($B$54)-$A28)*'Cálculos'!$C$98)/(('Cálculos'!$C$196+(($B$54)-$A28)*'Cálculos'!$C$98)+1400)+'Cálculos'!$C$123)*'Cálculos'!$C$219)+('Cálculos'!$C$196+(($B$54)-$A28)*'Cálculos'!$C$98)*('Cálculos'!$C$210+'Cálculos'!$C$124*(1+2.78*('Cálculos'!$C$196+(($B$54)-$A28)*'Cálculos'!$C$98)/(('Cálculos'!$C$196+(($B$54)-$A28)*'Cálculos'!$C$98)+1400)+'Cálculos'!$C$122)*'Cálculos'!$C$215+'Cálculos'!$C$125*(1+2.78*('Cálculos'!$C$196+(($B$54)-$A28)*'Cálculos'!$C$98)/(('Cálculos'!$C$196+(($B$54)-$A28)*'Cálculos'!$C$98)+1400)+'Cálculos'!$C$123)*'Cálculos'!$C$220)+('Cálculos'!$C$201*(1+'Cálculos'!$C$202+$A28*('Cálculos'!$C$290=2)*'Cálculos'!$C$101)+'Cálculos'!$C$203)*('Cálculos'!$C$211+'Cálculos'!$C$124*(1+2.78*('Cálculos'!$C$196+(($B$54)-$A28)*'Cálculos'!$C$98)/(('Cálculos'!$C$196+(($B$54)-$A28)*'Cálculos'!$C$98)+1400)+'Cálculos'!$C$122)*'Cálculos'!$C$216+'Cálculos'!$C$125*(1+2.78*('Cálculos'!$C$196+(($B$54)-$A28)*'Cálculos'!$C$98)/(('Cálculos'!$C$196+(($B$54)-$A28)*'Cálculos'!$C$98)+1400)+'Cálculos'!$C$123)*'Cálculos'!$C$221)+('Cálculos'!$C$204*(1+'Cálculos'!$C$205+$A28*('Cálculos'!$C$290=3)*'Cálculos'!$C$103)+'Cálculos'!$C$206)*('Cálculos'!$C$212+'Cálculos'!$C$124*(1+2.78*('Cálculos'!$C$196+(($B$54)-$A28)*'Cálculos'!$C$98)/(('Cálculos'!$C$196+(($B$54)-$A28)*'Cálculos'!$C$98)+1400)+'Cálculos'!$C$122)*'Cálculos'!$C$217+'Cálculos'!$C$125*(1+2.78*('Cálculos'!$C$196+(($B$54)-$A28)*'Cálculos'!$C$98)/(('Cálculos'!$C$196+(($B$54)-$A28)*'Cálculos'!$C$98)+1400)+'Cálculos'!$C$123)*'Cálculos'!$C$222)+('Cálculos'!$C$213+'Cálculos'!$C$124*(1+2.78*('Cálculos'!$C$196+(($B$54)-$A28)*'Cálculos'!$C$98)/(('Cálculos'!$C$196+(($B$54)-$A28)*'Cálculos'!$C$98)+1400)+'Cálculos'!$C$122)*'Cálculos'!$C$218+'Cálculos'!$C$125*(1+2.78*('Cálculos'!$C$196+(($B$54)-$A28)*'Cálculos'!$C$98)/(('Cálculos'!$C$196+(($B$54)-$A28)*'Cálculos'!$C$98)+1400)+'Cálculos'!$C$123)*'Cálculos'!$C$223)+('Cálculos'!$C$185*(1+'Cálculos'!$C$187+$A28*('Cálculos'!$C$290=1)*'Cálculos'!$C$97+'Cálculos'!$C$305)+'Cálculos'!$C$192)*('Cálculos'!$C$224+'Cálculos'!$C$124*(1+2.78*('Cálculos'!$C$197+(($B$54)-$A28)*'Cálculos'!$C$98)/(('Cálculos'!$C$197+(($B$54)-$A28)*'Cálculos'!$C$98)+1400)+'Cálculos'!$C$122)*'Cálculos'!$C$229+'Cálculos'!$C$125*(1+2.78*('Cálculos'!$C$197+(($B$54)-$A28)*'Cálculos'!$C$98)/(('Cálculos'!$C$197+(($B$54)-$A28)*'Cálculos'!$C$98)+1400)+'Cálculos'!$C$123)*'Cálculos'!$C$234)+('Cálculos'!$C$197+(($B$54)-$A28)*'Cálculos'!$C$98)*('Cálculos'!$C$225+'Cálculos'!$C$124*(1+2.78*('Cálculos'!$C$197+(($B$54)-$A28)*'Cálculos'!$C$98)/(('Cálculos'!$C$197+(($B$54)-$A28)*'Cálculos'!$C$98)+1400)+'Cálculos'!$C$122)*'Cálculos'!$C$230+'Cálculos'!$C$125*(1+2.78*('Cálculos'!$C$197+(($B$54)-$A28)*'Cálculos'!$C$98)/(('Cálculos'!$C$197+(($B$54)-$A28)*'Cálculos'!$C$98)+1400)+'Cálculos'!$C$123)*'Cálculos'!$C$235)+('Cálculos'!$C$201*(1+'Cálculos'!$C$202+$A28*('Cálculos'!$C$290=2)*'Cálculos'!$C$101)+'Cálculos'!$C$203)*('Cálculos'!$C$226+'Cálculos'!$C$124*(1+2.78*('Cálculos'!$C$197+(($B$54)-$A28)*'Cálculos'!$C$98)/(('Cálculos'!$C$197+(($B$54)-$A28)*'Cálculos'!$C$98)+1400)+'Cálculos'!$C$122)*'Cálculos'!$C$231+'Cálculos'!$C$125*(1+2.78*('Cálculos'!$C$197+(($B$54)-$A28)*'Cálculos'!$C$98)/(('Cálculos'!$C$197+(($B$54)-$A28)*'Cálculos'!$C$98)+1400)+'Cálculos'!$C$123)*'Cálculos'!$C$236)+('Cálculos'!$C$204*(1+'Cálculos'!$C$205+$A28*('Cálculos'!$C$290=3)*'Cálculos'!$C$103)+'Cálculos'!$C$206)*('Cálculos'!$C$227+'Cálculos'!$C$124*(1+2.78*('Cálculos'!$C$197+(($B$54)-$A28)*'Cálculos'!$C$98)/(('Cálculos'!$C$197+(($B$54)-$A28)*'Cálculos'!$C$98)+1400)+'Cálculos'!$C$122)*'Cálculos'!$C$232+'Cálculos'!$C$125*(1+2.78*('Cálculos'!$C$197+(($B$54)-$A28)*'Cálculos'!$C$98)/(('Cálculos'!$C$197+(($B$54)-$A28)*'Cálculos'!$C$98)+1400)+'Cálculos'!$C$123)*'Cálculos'!$C$237)+('Cálculos'!$C$228+'Cálculos'!$C$124*(1+2.78*('Cálculos'!$C$197+(($B$54)-$A28)*'Cálculos'!$C$98)/(('Cálculos'!$C$197+(($B$54)-$A28)*'Cálculos'!$C$98)+1400)+'Cálculos'!$C$122)*'Cálculos'!$C$233+'Cálculos'!$C$125*(1+2.78*('Cálculos'!$C$197+(($B$54)-$A28)*'Cálculos'!$C$98)/(('Cálculos'!$C$197+(($B$54)-$A28)*'Cálculos'!$C$98)+1400)+'Cálculos'!$C$123)*'Cálculos'!$C$238)+('Cálculos'!$C$185*(1+'Cálculos'!$C$188+$A28*('Cálculos'!$C$290=1)*'Cálculos'!$C$97+'Cálculos'!$C$305)+'Cálculos'!$C$193)*('Cálculos'!$C$239+'Cálculos'!$C$124*(1+2.78*('Cálculos'!$C$198+(($B$54)-$A28)*'Cálculos'!$C$98)/(('Cálculos'!$C$198+(($B$54)-$A28)*'Cálculos'!$C$98)+1400)+'Cálculos'!$C$122)*'Cálculos'!$C$244+'Cálculos'!$C$125*(1+2.78*('Cálculos'!$C$198+(($B$54)-$A28)*'Cálculos'!$C$98)/(('Cálculos'!$C$198+(($B$54)-$A28)*'Cálculos'!$C$98)+1400)+'Cálculos'!$C$123)*'Cálculos'!$C$249)+('Cálculos'!$C$198+(($B$54)-$A28)*'Cálculos'!$C$98)*('Cálculos'!$C$240+'Cálculos'!$C$124*(1+2.78*('Cálculos'!$C$198+(($B$54)-$A28)*'Cálculos'!$C$98)/(('Cálculos'!$C$198+(($B$54)-$A28)*'Cálculos'!$C$98)+1400)+'Cálculos'!$C$122)*'Cálculos'!$C$245+'Cálculos'!$C$125*(1+2.78*('Cálculos'!$C$198+(($B$54)-$A28)*'Cálculos'!$C$98)/(('Cálculos'!$C$198+(($B$54)-$A28)*'Cálculos'!$C$98)+1400)+'Cálculos'!$C$123)*'Cálculos'!$C$250)+('Cálculos'!$C$201*(1+'Cálculos'!$C$202+$A28*('Cálculos'!$C$290=2)*'Cálculos'!$C$101)+'Cálculos'!$C$203)*('Cálculos'!$C$241+'Cálculos'!$C$124*(1+2.78*('Cálculos'!$C$198+(($B$54)-$A28)*'Cálculos'!$C$98)/(('Cálculos'!$C$198+(($B$54)-$A28)*'Cálculos'!$C$98)+1400)+'Cálculos'!$C$122)*'Cálculos'!$C$246+'Cálculos'!$C$125*(1+2.78*('Cálculos'!$C$198+(($B$54)-$A28)*'Cálculos'!$C$98)/(('Cálculos'!$C$198+(($B$54)-$A28)*'Cálculos'!$C$98)+1400)+'Cálculos'!$C$123)*'Cálculos'!$C$251)+('Cálculos'!$C$204*(1+'Cálculos'!$C$205+$A28*('Cálculos'!$C$290=3)*'Cálculos'!$C$103)+'Cálculos'!$C$206)*('Cálculos'!$C$242+'Cálculos'!$C$124*(1+2.78*('Cálculos'!$C$198+(($B$54)-$A28)*'Cálculos'!$C$98)/(('Cálculos'!$C$198+(($B$54)-$A28)*'Cálculos'!$C$98)+1400)+'Cálculos'!$C$122)*'Cálculos'!$C$247+'Cálculos'!$C$125*(1+2.78*('Cálculos'!$C$198+(($B$54)-$A28)*'Cálculos'!$C$98)/(('Cálculos'!$C$198+(($B$54)-$A28)*'Cálculos'!$C$98)+1400)+'Cálculos'!$C$123)*'Cálculos'!$C$252)+('Cálculos'!$C$243+'Cálculos'!$C$124*(1+2.78*('Cálculos'!$C$198+(($B$54)-$A28)*'Cálculos'!$C$98)/(('Cálculos'!$C$198+(($B$54)-$A28)*'Cálculos'!$C$98)+1400)+'Cálculos'!$C$122)*'Cálculos'!$C$248+'Cálculos'!$C$125*(1+2.78*('Cálculos'!$C$198+(($B$54)-$A28)*'Cálculos'!$C$98)/(('Cálculos'!$C$198+(($B$54)-$A28)*'Cálculos'!$C$98)+1400)+'Cálculos'!$C$123)*'Cálculos'!$C$253)+('Cálculos'!$C$185*(1+'Cálculos'!$C$189+$A28*('Cálculos'!$C$290=1)*'Cálculos'!$C$97+'Cálculos'!$C$305)+'Cálculos'!$C$194)*('Cálculos'!$C$254+'Cálculos'!$C$124*(1+2.78*('Cálculos'!$C$199+(($B$54)-$A28)*'Cálculos'!$C$98)/(('Cálculos'!$C$199+(($B$54)-$A28)*'Cálculos'!$C$98)+1400)+'Cálculos'!$C$122)*'Cálculos'!$C$259+'Cálculos'!$C$125*(1+2.78*('Cálculos'!$C$199+(($B$54)-$A28)*'Cálculos'!$C$98)/(('Cálculos'!$C$199+(($B$54)-$A28)*'Cálculos'!$C$98)+1400)+'Cálculos'!$C$123)*'Cálculos'!$C$264)+('Cálculos'!$C$199+(($B$54)-$A28)*'Cálculos'!$C$98)*('Cálculos'!$C$255+'Cálculos'!$C$124*(1+2.78*('Cálculos'!$C$199+(($B$54)-$A28)*'Cálculos'!$C$98)/(('Cálculos'!$C$199+(($B$54)-$A28)*'Cálculos'!$C$98)+1400)+'Cálculos'!$C$122)*'Cálculos'!$C$260+'Cálculos'!$C$125*(1+2.78*('Cálculos'!$C$199+(($B$54)-$A28)*'Cálculos'!$C$98)/(('Cálculos'!$C$199+(($B$54)-$A28)*'Cálculos'!$C$98)+1400)+'Cálculos'!$C$123)*'Cálculos'!$C$265)+('Cálculos'!$C$201*(1+'Cálculos'!$C$202+$A28*('Cálculos'!$C$290=2)*'Cálculos'!$C$101)+'Cálculos'!$C$203)*('Cálculos'!$C$256+'Cálculos'!$C$124*(1+2.78*('Cálculos'!$C$199+(($B$54)-$A28)*'Cálculos'!$C$98)/(('Cálculos'!$C$199+(($B$54)-$A28)*'Cálculos'!$C$98)+1400)+'Cálculos'!$C$122)*'Cálculos'!$C$261+'Cálculos'!$C$125*(1+2.78*('Cálculos'!$C$199+(($B$54)-$A28)*'Cálculos'!$C$98)/(('Cálculos'!$C$199+(($B$54)-$A28)*'Cálculos'!$C$98)+1400)+'Cálculos'!$C$123)*'Cálculos'!$C$266)+('Cálculos'!$C$204*(1+'Cálculos'!$C$205+$A28*('Cálculos'!$C$290=3)*'Cálculos'!$C$103)+'Cálculos'!$C$206)*('Cálculos'!$C$257+'Cálculos'!$C$124*(1+2.78*('Cálculos'!$C$199+(($B$54)-$A28)*'Cálculos'!$C$98)/(('Cálculos'!$C$199+(($B$54)-$A28)*'Cálculos'!$C$98)+1400)+'Cálculos'!$C$122)*'Cálculos'!$C$262+'Cálculos'!$C$125*(1+2.78*('Cálculos'!$C$199+(($B$54)-$A28)*'Cálculos'!$C$98)/(('Cálculos'!$C$199+(($B$54)-$A28)*'Cálculos'!$C$98)+1400)+'Cálculos'!$C$123)*'Cálculos'!$C$267)+('Cálculos'!$C$258+'Cálculos'!$C$124*(1+2.78*('Cálculos'!$C$199+(($B$54)-$A28)*'Cálculos'!$C$98)/(('Cálculos'!$C$199+(($B$54)-$A28)*'Cálculos'!$C$98)+1400)+'Cálculos'!$C$122)*'Cálculos'!$C$263+'Cálculos'!$C$125*(1+2.78*('Cálculos'!$C$199+(($B$54)-$A28)*'Cálculos'!$C$98)/(('Cálculos'!$C$199+(($B$54)-$A28)*'Cálculos'!$C$98)+1400)+'Cálculos'!$C$123)*'Cálculos'!$C$268)+('Cálculos'!$C$185*(1+'Cálculos'!$C$190+$A28*('Cálculos'!$C$290=1)*'Cálculos'!$C$97+'Cálculos'!$C$305)+'Cálculos'!$C$195)*('Cálculos'!$C$269+'Cálculos'!$C$124*(1+2.78*('Cálculos'!$C$200+(($B$54)-$A28)*'Cálculos'!$C$98)/(('Cálculos'!$C$200+(($B$54)-$A28)*'Cálculos'!$C$98)+1400)+'Cálculos'!$C$122)*'Cálculos'!$C$274+'Cálculos'!$C$125*(1+2.78*('Cálculos'!$C$200+(($B$54)-$A28)*'Cálculos'!$C$98)/(('Cálculos'!$C$200+(($B$54)-$A28)*'Cálculos'!$C$98)+1400)+'Cálculos'!$C$123)*'Cálculos'!$C$279)+('Cálculos'!$C$200+(($B$54)-$A28)*'Cálculos'!$C$98)*('Cálculos'!$C$270+'Cálculos'!$C$124*(1+2.78*('Cálculos'!$C$200+(($B$54)-$A28)*'Cálculos'!$C$98)/(('Cálculos'!$C$200+(($B$54)-$A28)*'Cálculos'!$C$98)+1400)+'Cálculos'!$C$122)*'Cálculos'!$C$275+'Cálculos'!$C$125*(1+2.78*('Cálculos'!$C$200+(($B$54)-$A28)*'Cálculos'!$C$98)/(('Cálculos'!$C$200+(($B$54)-$A28)*'Cálculos'!$C$98)+1400)+'Cálculos'!$C$123)*'Cálculos'!$C$280)+('Cálculos'!$C$201*(1+'Cálculos'!$C$202+$A28*('Cálculos'!$C$290=2)*'Cálculos'!$C$101)+'Cálculos'!$C$203)*('Cálculos'!$C$271+'Cálculos'!$C$124*(1+2.78*('Cálculos'!$C$200+(($B$54)-$A28)*'Cálculos'!$C$98)/(('Cálculos'!$C$200+(($B$54)-$A28)*'Cálculos'!$C$98)+1400)+'Cálculos'!$C$122)*'Cálculos'!$C$276+'Cálculos'!$C$125*(1+2.78*('Cálculos'!$C$200+(($B$54)-$A28)*'Cálculos'!$C$98)/(('Cálculos'!$C$200+(($B$54)-$A28)*'Cálculos'!$C$98)+1400)+'Cálculos'!$C$123)*'Cálculos'!$C$281)+('Cálculos'!$C$204*(1+'Cálculos'!$C$205+$A28*('Cálculos'!$C$290=3)*'Cálculos'!$C$103)+'Cálculos'!$C$206)*('Cálculos'!$C$272+'Cálculos'!$C$124*(1+2.78*('Cálculos'!$C$200+(($B$54)-$A28)*'Cálculos'!$C$98)/(('Cálculos'!$C$200+(($B$54)-$A28)*'Cálculos'!$C$98)+1400)+'Cálculos'!$C$122)*'Cálculos'!$C$277+'Cálculos'!$C$125*(1+2.78*('Cálculos'!$C$200+(($B$54)-$A28)*'Cálculos'!$C$98)/(('Cálculos'!$C$200+(($B$54)-$A28)*'Cálculos'!$C$98)+1400)+'Cálculos'!$C$123)*'Cálculos'!$C$282)+('Cálculos'!$C$273+'Cálculos'!$C$124*(1+2.78*('Cálculos'!$C$200+(($B$54)-$A28)*'Cálculos'!$C$98)/(('Cálculos'!$C$200+(($B$54)-$A28)*'Cálculos'!$C$98)+1400)+'Cálculos'!$C$122)*'Cálculos'!$C$278+'Cálculos'!$C$125*(1+2.78*('Cálculos'!$C$200+(($B$54)-$A28)*'Cálculos'!$C$98)/(('Cálculos'!$C$200+(($B$54)-$A28)*'Cálculos'!$C$98)+1400)+'Cálculos'!$C$123)*'Cálculos'!$C$283)))</f>
        <v>0</v>
      </c>
    </row>
    <row r="29" ht="15.75" customHeight="1">
      <c r="A29" s="2">
        <v>23.0</v>
      </c>
      <c r="B29" s="30">
        <f>SUMPRODUCT(MAX(($A$6:$A$51&lt;=$A29)*($A$6:$A$51&lt;='Cálculos'!$C$294)*(($A29)-$A$6:$A$51&lt;='Cálculos'!$C$295)*(1+(('Cálculos'!$C$207+$A$6:$A$51*'Cálculos'!$C$95)-(('Cálculos'!$C$207+$A$6:$A$51*'Cálculos'!$C$95)&gt;1)*(('Cálculos'!$C$207+$A$6:$A$51*'Cálculos'!$C$95)-1))*('Cálculos'!$C$208+(($A29)-$A$6:$A$51)*'Cálculos'!$C$96))))</f>
        <v>3.74942</v>
      </c>
      <c r="C29" s="2">
        <f>'Cálculos'!$C$303-$A29</f>
        <v>-3</v>
      </c>
      <c r="D29" s="31">
        <f>IF($C29&lt;0,0,SUMPRODUCT(MAX(($A$6:$A$51&lt;=$C29)*($A$6:$A$51&lt;='Cálculos'!$C$301)*(($C29)-$A$6:$A$51&lt;='Cálculos'!$C$297)*(('Cálculos'!$C$185*(1+'Cálculos'!$C$186+$A$6:$A$51*('Cálculos'!$C$290=1)*'Cálculos'!$C$97+'Cálculos'!$C$305)+'Cálculos'!$C$191)*('Cálculos'!$C$209+'Cálculos'!$C$124*(1+2.78*('Cálculos'!$C$196+(($C29)-$A$6:$A$51)*'Cálculos'!$C$98)/(('Cálculos'!$C$196+(($C29)-$A$6:$A$51)*'Cálculos'!$C$98)+1400)+'Cálculos'!$C$122)*'Cálculos'!$C$214+'Cálculos'!$C$125*(1+2.78*('Cálculos'!$C$196+(($C29)-$A$6:$A$51)*'Cálculos'!$C$98)/(('Cálculos'!$C$196+(($C29)-$A$6:$A$51)*'Cálculos'!$C$98)+1400)+'Cálculos'!$C$123)*'Cálculos'!$C$219)+('Cálculos'!$C$196+(($C29)-$A$6:$A$51)*'Cálculos'!$C$98)*('Cálculos'!$C$210+'Cálculos'!$C$124*(1+2.78*('Cálculos'!$C$196+(($C29)-$A$6:$A$51)*'Cálculos'!$C$98)/(('Cálculos'!$C$196+(($C29)-$A$6:$A$51)*'Cálculos'!$C$98)+1400)+'Cálculos'!$C$122)*'Cálculos'!$C$215+'Cálculos'!$C$125*(1+2.78*('Cálculos'!$C$196+(($C29)-$A$6:$A$51)*'Cálculos'!$C$98)/(('Cálculos'!$C$196+(($C29)-$A$6:$A$51)*'Cálculos'!$C$98)+1400)+'Cálculos'!$C$123)*'Cálculos'!$C$220)+('Cálculos'!$C$201*(1+'Cálculos'!$C$202+$A$6:$A$51*('Cálculos'!$C$290=2)*'Cálculos'!$C$101)+'Cálculos'!$C$203)*('Cálculos'!$C$211+'Cálculos'!$C$124*(1+2.78*('Cálculos'!$C$196+(($C29)-$A$6:$A$51)*'Cálculos'!$C$98)/(('Cálculos'!$C$196+(($C29)-$A$6:$A$51)*'Cálculos'!$C$98)+1400)+'Cálculos'!$C$122)*'Cálculos'!$C$216+'Cálculos'!$C$125*(1+2.78*('Cálculos'!$C$196+(($C29)-$A$6:$A$51)*'Cálculos'!$C$98)/(('Cálculos'!$C$196+(($C29)-$A$6:$A$51)*'Cálculos'!$C$98)+1400)+'Cálculos'!$C$123)*'Cálculos'!$C$221)+('Cálculos'!$C$204*(1+'Cálculos'!$C$205+$A$6:$A$51*('Cálculos'!$C$290=3)*'Cálculos'!$C$103)+'Cálculos'!$C$206)*('Cálculos'!$C$212+'Cálculos'!$C$124*(1+2.78*('Cálculos'!$C$196+(($C29)-$A$6:$A$51)*'Cálculos'!$C$98)/(('Cálculos'!$C$196+(($C29)-$A$6:$A$51)*'Cálculos'!$C$98)+1400)+'Cálculos'!$C$122)*'Cálculos'!$C$217+'Cálculos'!$C$125*(1+2.78*('Cálculos'!$C$196+(($C29)-$A$6:$A$51)*'Cálculos'!$C$98)/(('Cálculos'!$C$196+(($C29)-$A$6:$A$51)*'Cálculos'!$C$98)+1400)+'Cálculos'!$C$123)*'Cálculos'!$C$222)+('Cálculos'!$C$213+'Cálculos'!$C$124*(1+2.78*('Cálculos'!$C$196+(($C29)-$A$6:$A$51)*'Cálculos'!$C$98)/(('Cálculos'!$C$196+(($C29)-$A$6:$A$51)*'Cálculos'!$C$98)+1400)+'Cálculos'!$C$122)*'Cálculos'!$C$218+'Cálculos'!$C$125*(1+2.78*('Cálculos'!$C$196+(($C29)-$A$6:$A$51)*'Cálculos'!$C$98)/(('Cálculos'!$C$196+(($C29)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29)-$A$6:$A$51)*'Cálculos'!$C$98)/(('Cálculos'!$C$197+(($C29)-$A$6:$A$51)*'Cálculos'!$C$98)+1400)+'Cálculos'!$C$122)*'Cálculos'!$C$229+'Cálculos'!$C$125*(1+2.78*('Cálculos'!$C$197+(($C29)-$A$6:$A$51)*'Cálculos'!$C$98)/(('Cálculos'!$C$197+(($C29)-$A$6:$A$51)*'Cálculos'!$C$98)+1400)+'Cálculos'!$C$123)*'Cálculos'!$C$234)+('Cálculos'!$C$197+(($C29)-$A$6:$A$51)*'Cálculos'!$C$98)*('Cálculos'!$C$225+'Cálculos'!$C$124*(1+2.78*('Cálculos'!$C$197+(($C29)-$A$6:$A$51)*'Cálculos'!$C$98)/(('Cálculos'!$C$197+(($C29)-$A$6:$A$51)*'Cálculos'!$C$98)+1400)+'Cálculos'!$C$122)*'Cálculos'!$C$230+'Cálculos'!$C$125*(1+2.78*('Cálculos'!$C$197+(($C29)-$A$6:$A$51)*'Cálculos'!$C$98)/(('Cálculos'!$C$197+(($C29)-$A$6:$A$51)*'Cálculos'!$C$98)+1400)+'Cálculos'!$C$123)*'Cálculos'!$C$235)+('Cálculos'!$C$201*(1+'Cálculos'!$C$202+$A$6:$A$51*('Cálculos'!$C$290=2)*'Cálculos'!$C$101)+'Cálculos'!$C$203)*('Cálculos'!$C$226+'Cálculos'!$C$124*(1+2.78*('Cálculos'!$C$197+(($C29)-$A$6:$A$51)*'Cálculos'!$C$98)/(('Cálculos'!$C$197+(($C29)-$A$6:$A$51)*'Cálculos'!$C$98)+1400)+'Cálculos'!$C$122)*'Cálculos'!$C$231+'Cálculos'!$C$125*(1+2.78*('Cálculos'!$C$197+(($C29)-$A$6:$A$51)*'Cálculos'!$C$98)/(('Cálculos'!$C$197+(($C29)-$A$6:$A$51)*'Cálculos'!$C$98)+1400)+'Cálculos'!$C$123)*'Cálculos'!$C$236)+('Cálculos'!$C$204*(1+'Cálculos'!$C$205+$A$6:$A$51*('Cálculos'!$C$290=3)*'Cálculos'!$C$103)+'Cálculos'!$C$206)*('Cálculos'!$C$227+'Cálculos'!$C$124*(1+2.78*('Cálculos'!$C$197+(($C29)-$A$6:$A$51)*'Cálculos'!$C$98)/(('Cálculos'!$C$197+(($C29)-$A$6:$A$51)*'Cálculos'!$C$98)+1400)+'Cálculos'!$C$122)*'Cálculos'!$C$232+'Cálculos'!$C$125*(1+2.78*('Cálculos'!$C$197+(($C29)-$A$6:$A$51)*'Cálculos'!$C$98)/(('Cálculos'!$C$197+(($C29)-$A$6:$A$51)*'Cálculos'!$C$98)+1400)+'Cálculos'!$C$123)*'Cálculos'!$C$237)+('Cálculos'!$C$228+'Cálculos'!$C$124*(1+2.78*('Cálculos'!$C$197+(($C29)-$A$6:$A$51)*'Cálculos'!$C$98)/(('Cálculos'!$C$197+(($C29)-$A$6:$A$51)*'Cálculos'!$C$98)+1400)+'Cálculos'!$C$122)*'Cálculos'!$C$233+'Cálculos'!$C$125*(1+2.78*('Cálculos'!$C$197+(($C29)-$A$6:$A$51)*'Cálculos'!$C$98)/(('Cálculos'!$C$197+(($C29)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29)-$A$6:$A$51)*'Cálculos'!$C$98)/(('Cálculos'!$C$198+(($C29)-$A$6:$A$51)*'Cálculos'!$C$98)+1400)+'Cálculos'!$C$122)*'Cálculos'!$C$244+'Cálculos'!$C$125*(1+2.78*('Cálculos'!$C$198+(($C29)-$A$6:$A$51)*'Cálculos'!$C$98)/(('Cálculos'!$C$198+(($C29)-$A$6:$A$51)*'Cálculos'!$C$98)+1400)+'Cálculos'!$C$123)*'Cálculos'!$C$249)+('Cálculos'!$C$198+(($C29)-$A$6:$A$51)*'Cálculos'!$C$98)*('Cálculos'!$C$240+'Cálculos'!$C$124*(1+2.78*('Cálculos'!$C$198+(($C29)-$A$6:$A$51)*'Cálculos'!$C$98)/(('Cálculos'!$C$198+(($C29)-$A$6:$A$51)*'Cálculos'!$C$98)+1400)+'Cálculos'!$C$122)*'Cálculos'!$C$245+'Cálculos'!$C$125*(1+2.78*('Cálculos'!$C$198+(($C29)-$A$6:$A$51)*'Cálculos'!$C$98)/(('Cálculos'!$C$198+(($C29)-$A$6:$A$51)*'Cálculos'!$C$98)+1400)+'Cálculos'!$C$123)*'Cálculos'!$C$250)+('Cálculos'!$C$201*(1+'Cálculos'!$C$202+$A$6:$A$51*('Cálculos'!$C$290=2)*'Cálculos'!$C$101)+'Cálculos'!$C$203)*('Cálculos'!$C$241+'Cálculos'!$C$124*(1+2.78*('Cálculos'!$C$198+(($C29)-$A$6:$A$51)*'Cálculos'!$C$98)/(('Cálculos'!$C$198+(($C29)-$A$6:$A$51)*'Cálculos'!$C$98)+1400)+'Cálculos'!$C$122)*'Cálculos'!$C$246+'Cálculos'!$C$125*(1+2.78*('Cálculos'!$C$198+(($C29)-$A$6:$A$51)*'Cálculos'!$C$98)/(('Cálculos'!$C$198+(($C29)-$A$6:$A$51)*'Cálculos'!$C$98)+1400)+'Cálculos'!$C$123)*'Cálculos'!$C$251)+('Cálculos'!$C$204*(1+'Cálculos'!$C$205+$A$6:$A$51*('Cálculos'!$C$290=3)*'Cálculos'!$C$103)+'Cálculos'!$C$206)*('Cálculos'!$C$242+'Cálculos'!$C$124*(1+2.78*('Cálculos'!$C$198+(($C29)-$A$6:$A$51)*'Cálculos'!$C$98)/(('Cálculos'!$C$198+(($C29)-$A$6:$A$51)*'Cálculos'!$C$98)+1400)+'Cálculos'!$C$122)*'Cálculos'!$C$247+'Cálculos'!$C$125*(1+2.78*('Cálculos'!$C$198+(($C29)-$A$6:$A$51)*'Cálculos'!$C$98)/(('Cálculos'!$C$198+(($C29)-$A$6:$A$51)*'Cálculos'!$C$98)+1400)+'Cálculos'!$C$123)*'Cálculos'!$C$252)+('Cálculos'!$C$243+'Cálculos'!$C$124*(1+2.78*('Cálculos'!$C$198+(($C29)-$A$6:$A$51)*'Cálculos'!$C$98)/(('Cálculos'!$C$198+(($C29)-$A$6:$A$51)*'Cálculos'!$C$98)+1400)+'Cálculos'!$C$122)*'Cálculos'!$C$248+'Cálculos'!$C$125*(1+2.78*('Cálculos'!$C$198+(($C29)-$A$6:$A$51)*'Cálculos'!$C$98)/(('Cálculos'!$C$198+(($C29)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29)-$A$6:$A$51)*'Cálculos'!$C$98)/(('Cálculos'!$C$199+(($C29)-$A$6:$A$51)*'Cálculos'!$C$98)+1400)+'Cálculos'!$C$122)*'Cálculos'!$C$259+'Cálculos'!$C$125*(1+2.78*('Cálculos'!$C$199+(($C29)-$A$6:$A$51)*'Cálculos'!$C$98)/(('Cálculos'!$C$199+(($C29)-$A$6:$A$51)*'Cálculos'!$C$98)+1400)+'Cálculos'!$C$123)*'Cálculos'!$C$264)+('Cálculos'!$C$199+(($C29)-$A$6:$A$51)*'Cálculos'!$C$98)*('Cálculos'!$C$255+'Cálculos'!$C$124*(1+2.78*('Cálculos'!$C$199+(($C29)-$A$6:$A$51)*'Cálculos'!$C$98)/(('Cálculos'!$C$199+(($C29)-$A$6:$A$51)*'Cálculos'!$C$98)+1400)+'Cálculos'!$C$122)*'Cálculos'!$C$260+'Cálculos'!$C$125*(1+2.78*('Cálculos'!$C$199+(($C29)-$A$6:$A$51)*'Cálculos'!$C$98)/(('Cálculos'!$C$199+(($C29)-$A$6:$A$51)*'Cálculos'!$C$98)+1400)+'Cálculos'!$C$123)*'Cálculos'!$C$265)+('Cálculos'!$C$201*(1+'Cálculos'!$C$202+$A$6:$A$51*('Cálculos'!$C$290=2)*'Cálculos'!$C$101)+'Cálculos'!$C$203)*('Cálculos'!$C$256+'Cálculos'!$C$124*(1+2.78*('Cálculos'!$C$199+(($C29)-$A$6:$A$51)*'Cálculos'!$C$98)/(('Cálculos'!$C$199+(($C29)-$A$6:$A$51)*'Cálculos'!$C$98)+1400)+'Cálculos'!$C$122)*'Cálculos'!$C$261+'Cálculos'!$C$125*(1+2.78*('Cálculos'!$C$199+(($C29)-$A$6:$A$51)*'Cálculos'!$C$98)/(('Cálculos'!$C$199+(($C29)-$A$6:$A$51)*'Cálculos'!$C$98)+1400)+'Cálculos'!$C$123)*'Cálculos'!$C$266)+('Cálculos'!$C$204*(1+'Cálculos'!$C$205+$A$6:$A$51*('Cálculos'!$C$290=3)*'Cálculos'!$C$103)+'Cálculos'!$C$206)*('Cálculos'!$C$257+'Cálculos'!$C$124*(1+2.78*('Cálculos'!$C$199+(($C29)-$A$6:$A$51)*'Cálculos'!$C$98)/(('Cálculos'!$C$199+(($C29)-$A$6:$A$51)*'Cálculos'!$C$98)+1400)+'Cálculos'!$C$122)*'Cálculos'!$C$262+'Cálculos'!$C$125*(1+2.78*('Cálculos'!$C$199+(($C29)-$A$6:$A$51)*'Cálculos'!$C$98)/(('Cálculos'!$C$199+(($C29)-$A$6:$A$51)*'Cálculos'!$C$98)+1400)+'Cálculos'!$C$123)*'Cálculos'!$C$267)+('Cálculos'!$C$258+'Cálculos'!$C$124*(1+2.78*('Cálculos'!$C$199+(($C29)-$A$6:$A$51)*'Cálculos'!$C$98)/(('Cálculos'!$C$199+(($C29)-$A$6:$A$51)*'Cálculos'!$C$98)+1400)+'Cálculos'!$C$122)*'Cálculos'!$C$263+'Cálculos'!$C$125*(1+2.78*('Cálculos'!$C$199+(($C29)-$A$6:$A$51)*'Cálculos'!$C$98)/(('Cálculos'!$C$199+(($C29)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29)-$A$6:$A$51)*'Cálculos'!$C$98)/(('Cálculos'!$C$200+(($C29)-$A$6:$A$51)*'Cálculos'!$C$98)+1400)+'Cálculos'!$C$122)*'Cálculos'!$C$274+'Cálculos'!$C$125*(1+2.78*('Cálculos'!$C$200+(($C29)-$A$6:$A$51)*'Cálculos'!$C$98)/(('Cálculos'!$C$200+(($C29)-$A$6:$A$51)*'Cálculos'!$C$98)+1400)+'Cálculos'!$C$123)*'Cálculos'!$C$279)+('Cálculos'!$C$200+(($C29)-$A$6:$A$51)*'Cálculos'!$C$98)*('Cálculos'!$C$270+'Cálculos'!$C$124*(1+2.78*('Cálculos'!$C$200+(($C29)-$A$6:$A$51)*'Cálculos'!$C$98)/(('Cálculos'!$C$200+(($C29)-$A$6:$A$51)*'Cálculos'!$C$98)+1400)+'Cálculos'!$C$122)*'Cálculos'!$C$275+'Cálculos'!$C$125*(1+2.78*('Cálculos'!$C$200+(($C29)-$A$6:$A$51)*'Cálculos'!$C$98)/(('Cálculos'!$C$200+(($C29)-$A$6:$A$51)*'Cálculos'!$C$98)+1400)+'Cálculos'!$C$123)*'Cálculos'!$C$280)+('Cálculos'!$C$201*(1+'Cálculos'!$C$202+$A$6:$A$51*('Cálculos'!$C$290=2)*'Cálculos'!$C$101)+'Cálculos'!$C$203)*('Cálculos'!$C$271+'Cálculos'!$C$124*(1+2.78*('Cálculos'!$C$200+(($C29)-$A$6:$A$51)*'Cálculos'!$C$98)/(('Cálculos'!$C$200+(($C29)-$A$6:$A$51)*'Cálculos'!$C$98)+1400)+'Cálculos'!$C$122)*'Cálculos'!$C$276+'Cálculos'!$C$125*(1+2.78*('Cálculos'!$C$200+(($C29)-$A$6:$A$51)*'Cálculos'!$C$98)/(('Cálculos'!$C$200+(($C29)-$A$6:$A$51)*'Cálculos'!$C$98)+1400)+'Cálculos'!$C$123)*'Cálculos'!$C$281)+('Cálculos'!$C$204*(1+'Cálculos'!$C$205+$A$6:$A$51*('Cálculos'!$C$290=3)*'Cálculos'!$C$103)+'Cálculos'!$C$206)*('Cálculos'!$C$272+'Cálculos'!$C$124*(1+2.78*('Cálculos'!$C$200+(($C29)-$A$6:$A$51)*'Cálculos'!$C$98)/(('Cálculos'!$C$200+(($C29)-$A$6:$A$51)*'Cálculos'!$C$98)+1400)+'Cálculos'!$C$122)*'Cálculos'!$C$277+'Cálculos'!$C$125*(1+2.78*('Cálculos'!$C$200+(($C29)-$A$6:$A$51)*'Cálculos'!$C$98)/(('Cálculos'!$C$200+(($C29)-$A$6:$A$51)*'Cálculos'!$C$98)+1400)+'Cálculos'!$C$123)*'Cálculos'!$C$282)+('Cálculos'!$C$273+'Cálculos'!$C$124*(1+2.78*('Cálculos'!$C$200+(($C29)-$A$6:$A$51)*'Cálculos'!$C$98)/(('Cálculos'!$C$200+(($C29)-$A$6:$A$51)*'Cálculos'!$C$98)+1400)+'Cálculos'!$C$122)*'Cálculos'!$C$278+'Cálculos'!$C$125*(1+2.78*('Cálculos'!$C$200+(($C29)-$A$6:$A$51)*'Cálculos'!$C$98)/(('Cálculos'!$C$200+(($C29)-$A$6:$A$51)*'Cálculos'!$C$98)+1400)+'Cálculos'!$C$123)*'Cálculos'!$C$283)))))</f>
        <v>0</v>
      </c>
      <c r="E29" s="32">
        <f>IF(OR($C29&lt;0,'Cálculos'!$C$6=""),0,$B29*$D29)</f>
        <v>0</v>
      </c>
      <c r="F29" s="2"/>
      <c r="G29" s="30">
        <f>($A29&lt;=$B$53)*($A29&lt;='Cálculos'!$C$294)*(($B$53)-$A29&lt;='Cálculos'!$C$295)*(1+MIN(('Cálculos'!$C$207+$A29*'Cálculos'!$C$95),1)*('Cálculos'!$C$208+(($B$53)-$A29)*'Cálculos'!$C$96))</f>
        <v>0</v>
      </c>
      <c r="H29" s="31">
        <f>IF($B$54&lt;0,0,($A29&lt;=$B$54)*($A29&lt;='Cálculos'!$C$301)*(($B$54)-$A29&lt;='Cálculos'!$C$297)*(('Cálculos'!$C$185*(1+'Cálculos'!$C$186+$A29*('Cálculos'!$C$290=1)*'Cálculos'!$C$97+'Cálculos'!$C$305)+'Cálculos'!$C$191)*('Cálculos'!$C$209+'Cálculos'!$C$124*(1+2.78*('Cálculos'!$C$196+(($B$54)-$A29)*'Cálculos'!$C$98)/(('Cálculos'!$C$196+(($B$54)-$A29)*'Cálculos'!$C$98)+1400)+'Cálculos'!$C$122)*'Cálculos'!$C$214+'Cálculos'!$C$125*(1+2.78*('Cálculos'!$C$196+(($B$54)-$A29)*'Cálculos'!$C$98)/(('Cálculos'!$C$196+(($B$54)-$A29)*'Cálculos'!$C$98)+1400)+'Cálculos'!$C$123)*'Cálculos'!$C$219)+('Cálculos'!$C$196+(($B$54)-$A29)*'Cálculos'!$C$98)*('Cálculos'!$C$210+'Cálculos'!$C$124*(1+2.78*('Cálculos'!$C$196+(($B$54)-$A29)*'Cálculos'!$C$98)/(('Cálculos'!$C$196+(($B$54)-$A29)*'Cálculos'!$C$98)+1400)+'Cálculos'!$C$122)*'Cálculos'!$C$215+'Cálculos'!$C$125*(1+2.78*('Cálculos'!$C$196+(($B$54)-$A29)*'Cálculos'!$C$98)/(('Cálculos'!$C$196+(($B$54)-$A29)*'Cálculos'!$C$98)+1400)+'Cálculos'!$C$123)*'Cálculos'!$C$220)+('Cálculos'!$C$201*(1+'Cálculos'!$C$202+$A29*('Cálculos'!$C$290=2)*'Cálculos'!$C$101)+'Cálculos'!$C$203)*('Cálculos'!$C$211+'Cálculos'!$C$124*(1+2.78*('Cálculos'!$C$196+(($B$54)-$A29)*'Cálculos'!$C$98)/(('Cálculos'!$C$196+(($B$54)-$A29)*'Cálculos'!$C$98)+1400)+'Cálculos'!$C$122)*'Cálculos'!$C$216+'Cálculos'!$C$125*(1+2.78*('Cálculos'!$C$196+(($B$54)-$A29)*'Cálculos'!$C$98)/(('Cálculos'!$C$196+(($B$54)-$A29)*'Cálculos'!$C$98)+1400)+'Cálculos'!$C$123)*'Cálculos'!$C$221)+('Cálculos'!$C$204*(1+'Cálculos'!$C$205+$A29*('Cálculos'!$C$290=3)*'Cálculos'!$C$103)+'Cálculos'!$C$206)*('Cálculos'!$C$212+'Cálculos'!$C$124*(1+2.78*('Cálculos'!$C$196+(($B$54)-$A29)*'Cálculos'!$C$98)/(('Cálculos'!$C$196+(($B$54)-$A29)*'Cálculos'!$C$98)+1400)+'Cálculos'!$C$122)*'Cálculos'!$C$217+'Cálculos'!$C$125*(1+2.78*('Cálculos'!$C$196+(($B$54)-$A29)*'Cálculos'!$C$98)/(('Cálculos'!$C$196+(($B$54)-$A29)*'Cálculos'!$C$98)+1400)+'Cálculos'!$C$123)*'Cálculos'!$C$222)+('Cálculos'!$C$213+'Cálculos'!$C$124*(1+2.78*('Cálculos'!$C$196+(($B$54)-$A29)*'Cálculos'!$C$98)/(('Cálculos'!$C$196+(($B$54)-$A29)*'Cálculos'!$C$98)+1400)+'Cálculos'!$C$122)*'Cálculos'!$C$218+'Cálculos'!$C$125*(1+2.78*('Cálculos'!$C$196+(($B$54)-$A29)*'Cálculos'!$C$98)/(('Cálculos'!$C$196+(($B$54)-$A29)*'Cálculos'!$C$98)+1400)+'Cálculos'!$C$123)*'Cálculos'!$C$223)+('Cálculos'!$C$185*(1+'Cálculos'!$C$187+$A29*('Cálculos'!$C$290=1)*'Cálculos'!$C$97+'Cálculos'!$C$305)+'Cálculos'!$C$192)*('Cálculos'!$C$224+'Cálculos'!$C$124*(1+2.78*('Cálculos'!$C$197+(($B$54)-$A29)*'Cálculos'!$C$98)/(('Cálculos'!$C$197+(($B$54)-$A29)*'Cálculos'!$C$98)+1400)+'Cálculos'!$C$122)*'Cálculos'!$C$229+'Cálculos'!$C$125*(1+2.78*('Cálculos'!$C$197+(($B$54)-$A29)*'Cálculos'!$C$98)/(('Cálculos'!$C$197+(($B$54)-$A29)*'Cálculos'!$C$98)+1400)+'Cálculos'!$C$123)*'Cálculos'!$C$234)+('Cálculos'!$C$197+(($B$54)-$A29)*'Cálculos'!$C$98)*('Cálculos'!$C$225+'Cálculos'!$C$124*(1+2.78*('Cálculos'!$C$197+(($B$54)-$A29)*'Cálculos'!$C$98)/(('Cálculos'!$C$197+(($B$54)-$A29)*'Cálculos'!$C$98)+1400)+'Cálculos'!$C$122)*'Cálculos'!$C$230+'Cálculos'!$C$125*(1+2.78*('Cálculos'!$C$197+(($B$54)-$A29)*'Cálculos'!$C$98)/(('Cálculos'!$C$197+(($B$54)-$A29)*'Cálculos'!$C$98)+1400)+'Cálculos'!$C$123)*'Cálculos'!$C$235)+('Cálculos'!$C$201*(1+'Cálculos'!$C$202+$A29*('Cálculos'!$C$290=2)*'Cálculos'!$C$101)+'Cálculos'!$C$203)*('Cálculos'!$C$226+'Cálculos'!$C$124*(1+2.78*('Cálculos'!$C$197+(($B$54)-$A29)*'Cálculos'!$C$98)/(('Cálculos'!$C$197+(($B$54)-$A29)*'Cálculos'!$C$98)+1400)+'Cálculos'!$C$122)*'Cálculos'!$C$231+'Cálculos'!$C$125*(1+2.78*('Cálculos'!$C$197+(($B$54)-$A29)*'Cálculos'!$C$98)/(('Cálculos'!$C$197+(($B$54)-$A29)*'Cálculos'!$C$98)+1400)+'Cálculos'!$C$123)*'Cálculos'!$C$236)+('Cálculos'!$C$204*(1+'Cálculos'!$C$205+$A29*('Cálculos'!$C$290=3)*'Cálculos'!$C$103)+'Cálculos'!$C$206)*('Cálculos'!$C$227+'Cálculos'!$C$124*(1+2.78*('Cálculos'!$C$197+(($B$54)-$A29)*'Cálculos'!$C$98)/(('Cálculos'!$C$197+(($B$54)-$A29)*'Cálculos'!$C$98)+1400)+'Cálculos'!$C$122)*'Cálculos'!$C$232+'Cálculos'!$C$125*(1+2.78*('Cálculos'!$C$197+(($B$54)-$A29)*'Cálculos'!$C$98)/(('Cálculos'!$C$197+(($B$54)-$A29)*'Cálculos'!$C$98)+1400)+'Cálculos'!$C$123)*'Cálculos'!$C$237)+('Cálculos'!$C$228+'Cálculos'!$C$124*(1+2.78*('Cálculos'!$C$197+(($B$54)-$A29)*'Cálculos'!$C$98)/(('Cálculos'!$C$197+(($B$54)-$A29)*'Cálculos'!$C$98)+1400)+'Cálculos'!$C$122)*'Cálculos'!$C$233+'Cálculos'!$C$125*(1+2.78*('Cálculos'!$C$197+(($B$54)-$A29)*'Cálculos'!$C$98)/(('Cálculos'!$C$197+(($B$54)-$A29)*'Cálculos'!$C$98)+1400)+'Cálculos'!$C$123)*'Cálculos'!$C$238)+('Cálculos'!$C$185*(1+'Cálculos'!$C$188+$A29*('Cálculos'!$C$290=1)*'Cálculos'!$C$97+'Cálculos'!$C$305)+'Cálculos'!$C$193)*('Cálculos'!$C$239+'Cálculos'!$C$124*(1+2.78*('Cálculos'!$C$198+(($B$54)-$A29)*'Cálculos'!$C$98)/(('Cálculos'!$C$198+(($B$54)-$A29)*'Cálculos'!$C$98)+1400)+'Cálculos'!$C$122)*'Cálculos'!$C$244+'Cálculos'!$C$125*(1+2.78*('Cálculos'!$C$198+(($B$54)-$A29)*'Cálculos'!$C$98)/(('Cálculos'!$C$198+(($B$54)-$A29)*'Cálculos'!$C$98)+1400)+'Cálculos'!$C$123)*'Cálculos'!$C$249)+('Cálculos'!$C$198+(($B$54)-$A29)*'Cálculos'!$C$98)*('Cálculos'!$C$240+'Cálculos'!$C$124*(1+2.78*('Cálculos'!$C$198+(($B$54)-$A29)*'Cálculos'!$C$98)/(('Cálculos'!$C$198+(($B$54)-$A29)*'Cálculos'!$C$98)+1400)+'Cálculos'!$C$122)*'Cálculos'!$C$245+'Cálculos'!$C$125*(1+2.78*('Cálculos'!$C$198+(($B$54)-$A29)*'Cálculos'!$C$98)/(('Cálculos'!$C$198+(($B$54)-$A29)*'Cálculos'!$C$98)+1400)+'Cálculos'!$C$123)*'Cálculos'!$C$250)+('Cálculos'!$C$201*(1+'Cálculos'!$C$202+$A29*('Cálculos'!$C$290=2)*'Cálculos'!$C$101)+'Cálculos'!$C$203)*('Cálculos'!$C$241+'Cálculos'!$C$124*(1+2.78*('Cálculos'!$C$198+(($B$54)-$A29)*'Cálculos'!$C$98)/(('Cálculos'!$C$198+(($B$54)-$A29)*'Cálculos'!$C$98)+1400)+'Cálculos'!$C$122)*'Cálculos'!$C$246+'Cálculos'!$C$125*(1+2.78*('Cálculos'!$C$198+(($B$54)-$A29)*'Cálculos'!$C$98)/(('Cálculos'!$C$198+(($B$54)-$A29)*'Cálculos'!$C$98)+1400)+'Cálculos'!$C$123)*'Cálculos'!$C$251)+('Cálculos'!$C$204*(1+'Cálculos'!$C$205+$A29*('Cálculos'!$C$290=3)*'Cálculos'!$C$103)+'Cálculos'!$C$206)*('Cálculos'!$C$242+'Cálculos'!$C$124*(1+2.78*('Cálculos'!$C$198+(($B$54)-$A29)*'Cálculos'!$C$98)/(('Cálculos'!$C$198+(($B$54)-$A29)*'Cálculos'!$C$98)+1400)+'Cálculos'!$C$122)*'Cálculos'!$C$247+'Cálculos'!$C$125*(1+2.78*('Cálculos'!$C$198+(($B$54)-$A29)*'Cálculos'!$C$98)/(('Cálculos'!$C$198+(($B$54)-$A29)*'Cálculos'!$C$98)+1400)+'Cálculos'!$C$123)*'Cálculos'!$C$252)+('Cálculos'!$C$243+'Cálculos'!$C$124*(1+2.78*('Cálculos'!$C$198+(($B$54)-$A29)*'Cálculos'!$C$98)/(('Cálculos'!$C$198+(($B$54)-$A29)*'Cálculos'!$C$98)+1400)+'Cálculos'!$C$122)*'Cálculos'!$C$248+'Cálculos'!$C$125*(1+2.78*('Cálculos'!$C$198+(($B$54)-$A29)*'Cálculos'!$C$98)/(('Cálculos'!$C$198+(($B$54)-$A29)*'Cálculos'!$C$98)+1400)+'Cálculos'!$C$123)*'Cálculos'!$C$253)+('Cálculos'!$C$185*(1+'Cálculos'!$C$189+$A29*('Cálculos'!$C$290=1)*'Cálculos'!$C$97+'Cálculos'!$C$305)+'Cálculos'!$C$194)*('Cálculos'!$C$254+'Cálculos'!$C$124*(1+2.78*('Cálculos'!$C$199+(($B$54)-$A29)*'Cálculos'!$C$98)/(('Cálculos'!$C$199+(($B$54)-$A29)*'Cálculos'!$C$98)+1400)+'Cálculos'!$C$122)*'Cálculos'!$C$259+'Cálculos'!$C$125*(1+2.78*('Cálculos'!$C$199+(($B$54)-$A29)*'Cálculos'!$C$98)/(('Cálculos'!$C$199+(($B$54)-$A29)*'Cálculos'!$C$98)+1400)+'Cálculos'!$C$123)*'Cálculos'!$C$264)+('Cálculos'!$C$199+(($B$54)-$A29)*'Cálculos'!$C$98)*('Cálculos'!$C$255+'Cálculos'!$C$124*(1+2.78*('Cálculos'!$C$199+(($B$54)-$A29)*'Cálculos'!$C$98)/(('Cálculos'!$C$199+(($B$54)-$A29)*'Cálculos'!$C$98)+1400)+'Cálculos'!$C$122)*'Cálculos'!$C$260+'Cálculos'!$C$125*(1+2.78*('Cálculos'!$C$199+(($B$54)-$A29)*'Cálculos'!$C$98)/(('Cálculos'!$C$199+(($B$54)-$A29)*'Cálculos'!$C$98)+1400)+'Cálculos'!$C$123)*'Cálculos'!$C$265)+('Cálculos'!$C$201*(1+'Cálculos'!$C$202+$A29*('Cálculos'!$C$290=2)*'Cálculos'!$C$101)+'Cálculos'!$C$203)*('Cálculos'!$C$256+'Cálculos'!$C$124*(1+2.78*('Cálculos'!$C$199+(($B$54)-$A29)*'Cálculos'!$C$98)/(('Cálculos'!$C$199+(($B$54)-$A29)*'Cálculos'!$C$98)+1400)+'Cálculos'!$C$122)*'Cálculos'!$C$261+'Cálculos'!$C$125*(1+2.78*('Cálculos'!$C$199+(($B$54)-$A29)*'Cálculos'!$C$98)/(('Cálculos'!$C$199+(($B$54)-$A29)*'Cálculos'!$C$98)+1400)+'Cálculos'!$C$123)*'Cálculos'!$C$266)+('Cálculos'!$C$204*(1+'Cálculos'!$C$205+$A29*('Cálculos'!$C$290=3)*'Cálculos'!$C$103)+'Cálculos'!$C$206)*('Cálculos'!$C$257+'Cálculos'!$C$124*(1+2.78*('Cálculos'!$C$199+(($B$54)-$A29)*'Cálculos'!$C$98)/(('Cálculos'!$C$199+(($B$54)-$A29)*'Cálculos'!$C$98)+1400)+'Cálculos'!$C$122)*'Cálculos'!$C$262+'Cálculos'!$C$125*(1+2.78*('Cálculos'!$C$199+(($B$54)-$A29)*'Cálculos'!$C$98)/(('Cálculos'!$C$199+(($B$54)-$A29)*'Cálculos'!$C$98)+1400)+'Cálculos'!$C$123)*'Cálculos'!$C$267)+('Cálculos'!$C$258+'Cálculos'!$C$124*(1+2.78*('Cálculos'!$C$199+(($B$54)-$A29)*'Cálculos'!$C$98)/(('Cálculos'!$C$199+(($B$54)-$A29)*'Cálculos'!$C$98)+1400)+'Cálculos'!$C$122)*'Cálculos'!$C$263+'Cálculos'!$C$125*(1+2.78*('Cálculos'!$C$199+(($B$54)-$A29)*'Cálculos'!$C$98)/(('Cálculos'!$C$199+(($B$54)-$A29)*'Cálculos'!$C$98)+1400)+'Cálculos'!$C$123)*'Cálculos'!$C$268)+('Cálculos'!$C$185*(1+'Cálculos'!$C$190+$A29*('Cálculos'!$C$290=1)*'Cálculos'!$C$97+'Cálculos'!$C$305)+'Cálculos'!$C$195)*('Cálculos'!$C$269+'Cálculos'!$C$124*(1+2.78*('Cálculos'!$C$200+(($B$54)-$A29)*'Cálculos'!$C$98)/(('Cálculos'!$C$200+(($B$54)-$A29)*'Cálculos'!$C$98)+1400)+'Cálculos'!$C$122)*'Cálculos'!$C$274+'Cálculos'!$C$125*(1+2.78*('Cálculos'!$C$200+(($B$54)-$A29)*'Cálculos'!$C$98)/(('Cálculos'!$C$200+(($B$54)-$A29)*'Cálculos'!$C$98)+1400)+'Cálculos'!$C$123)*'Cálculos'!$C$279)+('Cálculos'!$C$200+(($B$54)-$A29)*'Cálculos'!$C$98)*('Cálculos'!$C$270+'Cálculos'!$C$124*(1+2.78*('Cálculos'!$C$200+(($B$54)-$A29)*'Cálculos'!$C$98)/(('Cálculos'!$C$200+(($B$54)-$A29)*'Cálculos'!$C$98)+1400)+'Cálculos'!$C$122)*'Cálculos'!$C$275+'Cálculos'!$C$125*(1+2.78*('Cálculos'!$C$200+(($B$54)-$A29)*'Cálculos'!$C$98)/(('Cálculos'!$C$200+(($B$54)-$A29)*'Cálculos'!$C$98)+1400)+'Cálculos'!$C$123)*'Cálculos'!$C$280)+('Cálculos'!$C$201*(1+'Cálculos'!$C$202+$A29*('Cálculos'!$C$290=2)*'Cálculos'!$C$101)+'Cálculos'!$C$203)*('Cálculos'!$C$271+'Cálculos'!$C$124*(1+2.78*('Cálculos'!$C$200+(($B$54)-$A29)*'Cálculos'!$C$98)/(('Cálculos'!$C$200+(($B$54)-$A29)*'Cálculos'!$C$98)+1400)+'Cálculos'!$C$122)*'Cálculos'!$C$276+'Cálculos'!$C$125*(1+2.78*('Cálculos'!$C$200+(($B$54)-$A29)*'Cálculos'!$C$98)/(('Cálculos'!$C$200+(($B$54)-$A29)*'Cálculos'!$C$98)+1400)+'Cálculos'!$C$123)*'Cálculos'!$C$281)+('Cálculos'!$C$204*(1+'Cálculos'!$C$205+$A29*('Cálculos'!$C$290=3)*'Cálculos'!$C$103)+'Cálculos'!$C$206)*('Cálculos'!$C$272+'Cálculos'!$C$124*(1+2.78*('Cálculos'!$C$200+(($B$54)-$A29)*'Cálculos'!$C$98)/(('Cálculos'!$C$200+(($B$54)-$A29)*'Cálculos'!$C$98)+1400)+'Cálculos'!$C$122)*'Cálculos'!$C$277+'Cálculos'!$C$125*(1+2.78*('Cálculos'!$C$200+(($B$54)-$A29)*'Cálculos'!$C$98)/(('Cálculos'!$C$200+(($B$54)-$A29)*'Cálculos'!$C$98)+1400)+'Cálculos'!$C$123)*'Cálculos'!$C$282)+('Cálculos'!$C$273+'Cálculos'!$C$124*(1+2.78*('Cálculos'!$C$200+(($B$54)-$A29)*'Cálculos'!$C$98)/(('Cálculos'!$C$200+(($B$54)-$A29)*'Cálculos'!$C$98)+1400)+'Cálculos'!$C$122)*'Cálculos'!$C$278+'Cálculos'!$C$125*(1+2.78*('Cálculos'!$C$200+(($B$54)-$A29)*'Cálculos'!$C$98)/(('Cálculos'!$C$200+(($B$54)-$A29)*'Cálculos'!$C$98)+1400)+'Cálculos'!$C$123)*'Cálculos'!$C$283)))</f>
        <v>0</v>
      </c>
    </row>
    <row r="30" ht="15.75" customHeight="1">
      <c r="A30" s="2">
        <v>24.0</v>
      </c>
      <c r="B30" s="30">
        <f>SUMPRODUCT(MAX(($A$6:$A$51&lt;=$A30)*($A$6:$A$51&lt;='Cálculos'!$C$294)*(($A30)-$A$6:$A$51&lt;='Cálculos'!$C$295)*(1+(('Cálculos'!$C$207+$A$6:$A$51*'Cálculos'!$C$95)-(('Cálculos'!$C$207+$A$6:$A$51*'Cálculos'!$C$95)&gt;1)*(('Cálculos'!$C$207+$A$6:$A$51*'Cálculos'!$C$95)-1))*('Cálculos'!$C$208+(($A30)-$A$6:$A$51)*'Cálculos'!$C$96))))</f>
        <v>3.814694</v>
      </c>
      <c r="C30" s="2">
        <f>'Cálculos'!$C$303-$A30</f>
        <v>-4</v>
      </c>
      <c r="D30" s="31">
        <f>IF($C30&lt;0,0,SUMPRODUCT(MAX(($A$6:$A$51&lt;=$C30)*($A$6:$A$51&lt;='Cálculos'!$C$301)*(($C30)-$A$6:$A$51&lt;='Cálculos'!$C$297)*(('Cálculos'!$C$185*(1+'Cálculos'!$C$186+$A$6:$A$51*('Cálculos'!$C$290=1)*'Cálculos'!$C$97+'Cálculos'!$C$305)+'Cálculos'!$C$191)*('Cálculos'!$C$209+'Cálculos'!$C$124*(1+2.78*('Cálculos'!$C$196+(($C30)-$A$6:$A$51)*'Cálculos'!$C$98)/(('Cálculos'!$C$196+(($C30)-$A$6:$A$51)*'Cálculos'!$C$98)+1400)+'Cálculos'!$C$122)*'Cálculos'!$C$214+'Cálculos'!$C$125*(1+2.78*('Cálculos'!$C$196+(($C30)-$A$6:$A$51)*'Cálculos'!$C$98)/(('Cálculos'!$C$196+(($C30)-$A$6:$A$51)*'Cálculos'!$C$98)+1400)+'Cálculos'!$C$123)*'Cálculos'!$C$219)+('Cálculos'!$C$196+(($C30)-$A$6:$A$51)*'Cálculos'!$C$98)*('Cálculos'!$C$210+'Cálculos'!$C$124*(1+2.78*('Cálculos'!$C$196+(($C30)-$A$6:$A$51)*'Cálculos'!$C$98)/(('Cálculos'!$C$196+(($C30)-$A$6:$A$51)*'Cálculos'!$C$98)+1400)+'Cálculos'!$C$122)*'Cálculos'!$C$215+'Cálculos'!$C$125*(1+2.78*('Cálculos'!$C$196+(($C30)-$A$6:$A$51)*'Cálculos'!$C$98)/(('Cálculos'!$C$196+(($C30)-$A$6:$A$51)*'Cálculos'!$C$98)+1400)+'Cálculos'!$C$123)*'Cálculos'!$C$220)+('Cálculos'!$C$201*(1+'Cálculos'!$C$202+$A$6:$A$51*('Cálculos'!$C$290=2)*'Cálculos'!$C$101)+'Cálculos'!$C$203)*('Cálculos'!$C$211+'Cálculos'!$C$124*(1+2.78*('Cálculos'!$C$196+(($C30)-$A$6:$A$51)*'Cálculos'!$C$98)/(('Cálculos'!$C$196+(($C30)-$A$6:$A$51)*'Cálculos'!$C$98)+1400)+'Cálculos'!$C$122)*'Cálculos'!$C$216+'Cálculos'!$C$125*(1+2.78*('Cálculos'!$C$196+(($C30)-$A$6:$A$51)*'Cálculos'!$C$98)/(('Cálculos'!$C$196+(($C30)-$A$6:$A$51)*'Cálculos'!$C$98)+1400)+'Cálculos'!$C$123)*'Cálculos'!$C$221)+('Cálculos'!$C$204*(1+'Cálculos'!$C$205+$A$6:$A$51*('Cálculos'!$C$290=3)*'Cálculos'!$C$103)+'Cálculos'!$C$206)*('Cálculos'!$C$212+'Cálculos'!$C$124*(1+2.78*('Cálculos'!$C$196+(($C30)-$A$6:$A$51)*'Cálculos'!$C$98)/(('Cálculos'!$C$196+(($C30)-$A$6:$A$51)*'Cálculos'!$C$98)+1400)+'Cálculos'!$C$122)*'Cálculos'!$C$217+'Cálculos'!$C$125*(1+2.78*('Cálculos'!$C$196+(($C30)-$A$6:$A$51)*'Cálculos'!$C$98)/(('Cálculos'!$C$196+(($C30)-$A$6:$A$51)*'Cálculos'!$C$98)+1400)+'Cálculos'!$C$123)*'Cálculos'!$C$222)+('Cálculos'!$C$213+'Cálculos'!$C$124*(1+2.78*('Cálculos'!$C$196+(($C30)-$A$6:$A$51)*'Cálculos'!$C$98)/(('Cálculos'!$C$196+(($C30)-$A$6:$A$51)*'Cálculos'!$C$98)+1400)+'Cálculos'!$C$122)*'Cálculos'!$C$218+'Cálculos'!$C$125*(1+2.78*('Cálculos'!$C$196+(($C30)-$A$6:$A$51)*'Cálculos'!$C$98)/(('Cálculos'!$C$196+(($C30)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30)-$A$6:$A$51)*'Cálculos'!$C$98)/(('Cálculos'!$C$197+(($C30)-$A$6:$A$51)*'Cálculos'!$C$98)+1400)+'Cálculos'!$C$122)*'Cálculos'!$C$229+'Cálculos'!$C$125*(1+2.78*('Cálculos'!$C$197+(($C30)-$A$6:$A$51)*'Cálculos'!$C$98)/(('Cálculos'!$C$197+(($C30)-$A$6:$A$51)*'Cálculos'!$C$98)+1400)+'Cálculos'!$C$123)*'Cálculos'!$C$234)+('Cálculos'!$C$197+(($C30)-$A$6:$A$51)*'Cálculos'!$C$98)*('Cálculos'!$C$225+'Cálculos'!$C$124*(1+2.78*('Cálculos'!$C$197+(($C30)-$A$6:$A$51)*'Cálculos'!$C$98)/(('Cálculos'!$C$197+(($C30)-$A$6:$A$51)*'Cálculos'!$C$98)+1400)+'Cálculos'!$C$122)*'Cálculos'!$C$230+'Cálculos'!$C$125*(1+2.78*('Cálculos'!$C$197+(($C30)-$A$6:$A$51)*'Cálculos'!$C$98)/(('Cálculos'!$C$197+(($C30)-$A$6:$A$51)*'Cálculos'!$C$98)+1400)+'Cálculos'!$C$123)*'Cálculos'!$C$235)+('Cálculos'!$C$201*(1+'Cálculos'!$C$202+$A$6:$A$51*('Cálculos'!$C$290=2)*'Cálculos'!$C$101)+'Cálculos'!$C$203)*('Cálculos'!$C$226+'Cálculos'!$C$124*(1+2.78*('Cálculos'!$C$197+(($C30)-$A$6:$A$51)*'Cálculos'!$C$98)/(('Cálculos'!$C$197+(($C30)-$A$6:$A$51)*'Cálculos'!$C$98)+1400)+'Cálculos'!$C$122)*'Cálculos'!$C$231+'Cálculos'!$C$125*(1+2.78*('Cálculos'!$C$197+(($C30)-$A$6:$A$51)*'Cálculos'!$C$98)/(('Cálculos'!$C$197+(($C30)-$A$6:$A$51)*'Cálculos'!$C$98)+1400)+'Cálculos'!$C$123)*'Cálculos'!$C$236)+('Cálculos'!$C$204*(1+'Cálculos'!$C$205+$A$6:$A$51*('Cálculos'!$C$290=3)*'Cálculos'!$C$103)+'Cálculos'!$C$206)*('Cálculos'!$C$227+'Cálculos'!$C$124*(1+2.78*('Cálculos'!$C$197+(($C30)-$A$6:$A$51)*'Cálculos'!$C$98)/(('Cálculos'!$C$197+(($C30)-$A$6:$A$51)*'Cálculos'!$C$98)+1400)+'Cálculos'!$C$122)*'Cálculos'!$C$232+'Cálculos'!$C$125*(1+2.78*('Cálculos'!$C$197+(($C30)-$A$6:$A$51)*'Cálculos'!$C$98)/(('Cálculos'!$C$197+(($C30)-$A$6:$A$51)*'Cálculos'!$C$98)+1400)+'Cálculos'!$C$123)*'Cálculos'!$C$237)+('Cálculos'!$C$228+'Cálculos'!$C$124*(1+2.78*('Cálculos'!$C$197+(($C30)-$A$6:$A$51)*'Cálculos'!$C$98)/(('Cálculos'!$C$197+(($C30)-$A$6:$A$51)*'Cálculos'!$C$98)+1400)+'Cálculos'!$C$122)*'Cálculos'!$C$233+'Cálculos'!$C$125*(1+2.78*('Cálculos'!$C$197+(($C30)-$A$6:$A$51)*'Cálculos'!$C$98)/(('Cálculos'!$C$197+(($C30)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30)-$A$6:$A$51)*'Cálculos'!$C$98)/(('Cálculos'!$C$198+(($C30)-$A$6:$A$51)*'Cálculos'!$C$98)+1400)+'Cálculos'!$C$122)*'Cálculos'!$C$244+'Cálculos'!$C$125*(1+2.78*('Cálculos'!$C$198+(($C30)-$A$6:$A$51)*'Cálculos'!$C$98)/(('Cálculos'!$C$198+(($C30)-$A$6:$A$51)*'Cálculos'!$C$98)+1400)+'Cálculos'!$C$123)*'Cálculos'!$C$249)+('Cálculos'!$C$198+(($C30)-$A$6:$A$51)*'Cálculos'!$C$98)*('Cálculos'!$C$240+'Cálculos'!$C$124*(1+2.78*('Cálculos'!$C$198+(($C30)-$A$6:$A$51)*'Cálculos'!$C$98)/(('Cálculos'!$C$198+(($C30)-$A$6:$A$51)*'Cálculos'!$C$98)+1400)+'Cálculos'!$C$122)*'Cálculos'!$C$245+'Cálculos'!$C$125*(1+2.78*('Cálculos'!$C$198+(($C30)-$A$6:$A$51)*'Cálculos'!$C$98)/(('Cálculos'!$C$198+(($C30)-$A$6:$A$51)*'Cálculos'!$C$98)+1400)+'Cálculos'!$C$123)*'Cálculos'!$C$250)+('Cálculos'!$C$201*(1+'Cálculos'!$C$202+$A$6:$A$51*('Cálculos'!$C$290=2)*'Cálculos'!$C$101)+'Cálculos'!$C$203)*('Cálculos'!$C$241+'Cálculos'!$C$124*(1+2.78*('Cálculos'!$C$198+(($C30)-$A$6:$A$51)*'Cálculos'!$C$98)/(('Cálculos'!$C$198+(($C30)-$A$6:$A$51)*'Cálculos'!$C$98)+1400)+'Cálculos'!$C$122)*'Cálculos'!$C$246+'Cálculos'!$C$125*(1+2.78*('Cálculos'!$C$198+(($C30)-$A$6:$A$51)*'Cálculos'!$C$98)/(('Cálculos'!$C$198+(($C30)-$A$6:$A$51)*'Cálculos'!$C$98)+1400)+'Cálculos'!$C$123)*'Cálculos'!$C$251)+('Cálculos'!$C$204*(1+'Cálculos'!$C$205+$A$6:$A$51*('Cálculos'!$C$290=3)*'Cálculos'!$C$103)+'Cálculos'!$C$206)*('Cálculos'!$C$242+'Cálculos'!$C$124*(1+2.78*('Cálculos'!$C$198+(($C30)-$A$6:$A$51)*'Cálculos'!$C$98)/(('Cálculos'!$C$198+(($C30)-$A$6:$A$51)*'Cálculos'!$C$98)+1400)+'Cálculos'!$C$122)*'Cálculos'!$C$247+'Cálculos'!$C$125*(1+2.78*('Cálculos'!$C$198+(($C30)-$A$6:$A$51)*'Cálculos'!$C$98)/(('Cálculos'!$C$198+(($C30)-$A$6:$A$51)*'Cálculos'!$C$98)+1400)+'Cálculos'!$C$123)*'Cálculos'!$C$252)+('Cálculos'!$C$243+'Cálculos'!$C$124*(1+2.78*('Cálculos'!$C$198+(($C30)-$A$6:$A$51)*'Cálculos'!$C$98)/(('Cálculos'!$C$198+(($C30)-$A$6:$A$51)*'Cálculos'!$C$98)+1400)+'Cálculos'!$C$122)*'Cálculos'!$C$248+'Cálculos'!$C$125*(1+2.78*('Cálculos'!$C$198+(($C30)-$A$6:$A$51)*'Cálculos'!$C$98)/(('Cálculos'!$C$198+(($C30)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30)-$A$6:$A$51)*'Cálculos'!$C$98)/(('Cálculos'!$C$199+(($C30)-$A$6:$A$51)*'Cálculos'!$C$98)+1400)+'Cálculos'!$C$122)*'Cálculos'!$C$259+'Cálculos'!$C$125*(1+2.78*('Cálculos'!$C$199+(($C30)-$A$6:$A$51)*'Cálculos'!$C$98)/(('Cálculos'!$C$199+(($C30)-$A$6:$A$51)*'Cálculos'!$C$98)+1400)+'Cálculos'!$C$123)*'Cálculos'!$C$264)+('Cálculos'!$C$199+(($C30)-$A$6:$A$51)*'Cálculos'!$C$98)*('Cálculos'!$C$255+'Cálculos'!$C$124*(1+2.78*('Cálculos'!$C$199+(($C30)-$A$6:$A$51)*'Cálculos'!$C$98)/(('Cálculos'!$C$199+(($C30)-$A$6:$A$51)*'Cálculos'!$C$98)+1400)+'Cálculos'!$C$122)*'Cálculos'!$C$260+'Cálculos'!$C$125*(1+2.78*('Cálculos'!$C$199+(($C30)-$A$6:$A$51)*'Cálculos'!$C$98)/(('Cálculos'!$C$199+(($C30)-$A$6:$A$51)*'Cálculos'!$C$98)+1400)+'Cálculos'!$C$123)*'Cálculos'!$C$265)+('Cálculos'!$C$201*(1+'Cálculos'!$C$202+$A$6:$A$51*('Cálculos'!$C$290=2)*'Cálculos'!$C$101)+'Cálculos'!$C$203)*('Cálculos'!$C$256+'Cálculos'!$C$124*(1+2.78*('Cálculos'!$C$199+(($C30)-$A$6:$A$51)*'Cálculos'!$C$98)/(('Cálculos'!$C$199+(($C30)-$A$6:$A$51)*'Cálculos'!$C$98)+1400)+'Cálculos'!$C$122)*'Cálculos'!$C$261+'Cálculos'!$C$125*(1+2.78*('Cálculos'!$C$199+(($C30)-$A$6:$A$51)*'Cálculos'!$C$98)/(('Cálculos'!$C$199+(($C30)-$A$6:$A$51)*'Cálculos'!$C$98)+1400)+'Cálculos'!$C$123)*'Cálculos'!$C$266)+('Cálculos'!$C$204*(1+'Cálculos'!$C$205+$A$6:$A$51*('Cálculos'!$C$290=3)*'Cálculos'!$C$103)+'Cálculos'!$C$206)*('Cálculos'!$C$257+'Cálculos'!$C$124*(1+2.78*('Cálculos'!$C$199+(($C30)-$A$6:$A$51)*'Cálculos'!$C$98)/(('Cálculos'!$C$199+(($C30)-$A$6:$A$51)*'Cálculos'!$C$98)+1400)+'Cálculos'!$C$122)*'Cálculos'!$C$262+'Cálculos'!$C$125*(1+2.78*('Cálculos'!$C$199+(($C30)-$A$6:$A$51)*'Cálculos'!$C$98)/(('Cálculos'!$C$199+(($C30)-$A$6:$A$51)*'Cálculos'!$C$98)+1400)+'Cálculos'!$C$123)*'Cálculos'!$C$267)+('Cálculos'!$C$258+'Cálculos'!$C$124*(1+2.78*('Cálculos'!$C$199+(($C30)-$A$6:$A$51)*'Cálculos'!$C$98)/(('Cálculos'!$C$199+(($C30)-$A$6:$A$51)*'Cálculos'!$C$98)+1400)+'Cálculos'!$C$122)*'Cálculos'!$C$263+'Cálculos'!$C$125*(1+2.78*('Cálculos'!$C$199+(($C30)-$A$6:$A$51)*'Cálculos'!$C$98)/(('Cálculos'!$C$199+(($C30)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30)-$A$6:$A$51)*'Cálculos'!$C$98)/(('Cálculos'!$C$200+(($C30)-$A$6:$A$51)*'Cálculos'!$C$98)+1400)+'Cálculos'!$C$122)*'Cálculos'!$C$274+'Cálculos'!$C$125*(1+2.78*('Cálculos'!$C$200+(($C30)-$A$6:$A$51)*'Cálculos'!$C$98)/(('Cálculos'!$C$200+(($C30)-$A$6:$A$51)*'Cálculos'!$C$98)+1400)+'Cálculos'!$C$123)*'Cálculos'!$C$279)+('Cálculos'!$C$200+(($C30)-$A$6:$A$51)*'Cálculos'!$C$98)*('Cálculos'!$C$270+'Cálculos'!$C$124*(1+2.78*('Cálculos'!$C$200+(($C30)-$A$6:$A$51)*'Cálculos'!$C$98)/(('Cálculos'!$C$200+(($C30)-$A$6:$A$51)*'Cálculos'!$C$98)+1400)+'Cálculos'!$C$122)*'Cálculos'!$C$275+'Cálculos'!$C$125*(1+2.78*('Cálculos'!$C$200+(($C30)-$A$6:$A$51)*'Cálculos'!$C$98)/(('Cálculos'!$C$200+(($C30)-$A$6:$A$51)*'Cálculos'!$C$98)+1400)+'Cálculos'!$C$123)*'Cálculos'!$C$280)+('Cálculos'!$C$201*(1+'Cálculos'!$C$202+$A$6:$A$51*('Cálculos'!$C$290=2)*'Cálculos'!$C$101)+'Cálculos'!$C$203)*('Cálculos'!$C$271+'Cálculos'!$C$124*(1+2.78*('Cálculos'!$C$200+(($C30)-$A$6:$A$51)*'Cálculos'!$C$98)/(('Cálculos'!$C$200+(($C30)-$A$6:$A$51)*'Cálculos'!$C$98)+1400)+'Cálculos'!$C$122)*'Cálculos'!$C$276+'Cálculos'!$C$125*(1+2.78*('Cálculos'!$C$200+(($C30)-$A$6:$A$51)*'Cálculos'!$C$98)/(('Cálculos'!$C$200+(($C30)-$A$6:$A$51)*'Cálculos'!$C$98)+1400)+'Cálculos'!$C$123)*'Cálculos'!$C$281)+('Cálculos'!$C$204*(1+'Cálculos'!$C$205+$A$6:$A$51*('Cálculos'!$C$290=3)*'Cálculos'!$C$103)+'Cálculos'!$C$206)*('Cálculos'!$C$272+'Cálculos'!$C$124*(1+2.78*('Cálculos'!$C$200+(($C30)-$A$6:$A$51)*'Cálculos'!$C$98)/(('Cálculos'!$C$200+(($C30)-$A$6:$A$51)*'Cálculos'!$C$98)+1400)+'Cálculos'!$C$122)*'Cálculos'!$C$277+'Cálculos'!$C$125*(1+2.78*('Cálculos'!$C$200+(($C30)-$A$6:$A$51)*'Cálculos'!$C$98)/(('Cálculos'!$C$200+(($C30)-$A$6:$A$51)*'Cálculos'!$C$98)+1400)+'Cálculos'!$C$123)*'Cálculos'!$C$282)+('Cálculos'!$C$273+'Cálculos'!$C$124*(1+2.78*('Cálculos'!$C$200+(($C30)-$A$6:$A$51)*'Cálculos'!$C$98)/(('Cálculos'!$C$200+(($C30)-$A$6:$A$51)*'Cálculos'!$C$98)+1400)+'Cálculos'!$C$122)*'Cálculos'!$C$278+'Cálculos'!$C$125*(1+2.78*('Cálculos'!$C$200+(($C30)-$A$6:$A$51)*'Cálculos'!$C$98)/(('Cálculos'!$C$200+(($C30)-$A$6:$A$51)*'Cálculos'!$C$98)+1400)+'Cálculos'!$C$123)*'Cálculos'!$C$283)))))</f>
        <v>0</v>
      </c>
      <c r="E30" s="32">
        <f>IF(OR($C30&lt;0,'Cálculos'!$C$6=""),0,$B30*$D30)</f>
        <v>0</v>
      </c>
      <c r="F30" s="2"/>
      <c r="G30" s="30">
        <f>($A30&lt;=$B$53)*($A30&lt;='Cálculos'!$C$294)*(($B$53)-$A30&lt;='Cálculos'!$C$295)*(1+MIN(('Cálculos'!$C$207+$A30*'Cálculos'!$C$95),1)*('Cálculos'!$C$208+(($B$53)-$A30)*'Cálculos'!$C$96))</f>
        <v>0</v>
      </c>
      <c r="H30" s="31">
        <f>IF($B$54&lt;0,0,($A30&lt;=$B$54)*($A30&lt;='Cálculos'!$C$301)*(($B$54)-$A30&lt;='Cálculos'!$C$297)*(('Cálculos'!$C$185*(1+'Cálculos'!$C$186+$A30*('Cálculos'!$C$290=1)*'Cálculos'!$C$97+'Cálculos'!$C$305)+'Cálculos'!$C$191)*('Cálculos'!$C$209+'Cálculos'!$C$124*(1+2.78*('Cálculos'!$C$196+(($B$54)-$A30)*'Cálculos'!$C$98)/(('Cálculos'!$C$196+(($B$54)-$A30)*'Cálculos'!$C$98)+1400)+'Cálculos'!$C$122)*'Cálculos'!$C$214+'Cálculos'!$C$125*(1+2.78*('Cálculos'!$C$196+(($B$54)-$A30)*'Cálculos'!$C$98)/(('Cálculos'!$C$196+(($B$54)-$A30)*'Cálculos'!$C$98)+1400)+'Cálculos'!$C$123)*'Cálculos'!$C$219)+('Cálculos'!$C$196+(($B$54)-$A30)*'Cálculos'!$C$98)*('Cálculos'!$C$210+'Cálculos'!$C$124*(1+2.78*('Cálculos'!$C$196+(($B$54)-$A30)*'Cálculos'!$C$98)/(('Cálculos'!$C$196+(($B$54)-$A30)*'Cálculos'!$C$98)+1400)+'Cálculos'!$C$122)*'Cálculos'!$C$215+'Cálculos'!$C$125*(1+2.78*('Cálculos'!$C$196+(($B$54)-$A30)*'Cálculos'!$C$98)/(('Cálculos'!$C$196+(($B$54)-$A30)*'Cálculos'!$C$98)+1400)+'Cálculos'!$C$123)*'Cálculos'!$C$220)+('Cálculos'!$C$201*(1+'Cálculos'!$C$202+$A30*('Cálculos'!$C$290=2)*'Cálculos'!$C$101)+'Cálculos'!$C$203)*('Cálculos'!$C$211+'Cálculos'!$C$124*(1+2.78*('Cálculos'!$C$196+(($B$54)-$A30)*'Cálculos'!$C$98)/(('Cálculos'!$C$196+(($B$54)-$A30)*'Cálculos'!$C$98)+1400)+'Cálculos'!$C$122)*'Cálculos'!$C$216+'Cálculos'!$C$125*(1+2.78*('Cálculos'!$C$196+(($B$54)-$A30)*'Cálculos'!$C$98)/(('Cálculos'!$C$196+(($B$54)-$A30)*'Cálculos'!$C$98)+1400)+'Cálculos'!$C$123)*'Cálculos'!$C$221)+('Cálculos'!$C$204*(1+'Cálculos'!$C$205+$A30*('Cálculos'!$C$290=3)*'Cálculos'!$C$103)+'Cálculos'!$C$206)*('Cálculos'!$C$212+'Cálculos'!$C$124*(1+2.78*('Cálculos'!$C$196+(($B$54)-$A30)*'Cálculos'!$C$98)/(('Cálculos'!$C$196+(($B$54)-$A30)*'Cálculos'!$C$98)+1400)+'Cálculos'!$C$122)*'Cálculos'!$C$217+'Cálculos'!$C$125*(1+2.78*('Cálculos'!$C$196+(($B$54)-$A30)*'Cálculos'!$C$98)/(('Cálculos'!$C$196+(($B$54)-$A30)*'Cálculos'!$C$98)+1400)+'Cálculos'!$C$123)*'Cálculos'!$C$222)+('Cálculos'!$C$213+'Cálculos'!$C$124*(1+2.78*('Cálculos'!$C$196+(($B$54)-$A30)*'Cálculos'!$C$98)/(('Cálculos'!$C$196+(($B$54)-$A30)*'Cálculos'!$C$98)+1400)+'Cálculos'!$C$122)*'Cálculos'!$C$218+'Cálculos'!$C$125*(1+2.78*('Cálculos'!$C$196+(($B$54)-$A30)*'Cálculos'!$C$98)/(('Cálculos'!$C$196+(($B$54)-$A30)*'Cálculos'!$C$98)+1400)+'Cálculos'!$C$123)*'Cálculos'!$C$223)+('Cálculos'!$C$185*(1+'Cálculos'!$C$187+$A30*('Cálculos'!$C$290=1)*'Cálculos'!$C$97+'Cálculos'!$C$305)+'Cálculos'!$C$192)*('Cálculos'!$C$224+'Cálculos'!$C$124*(1+2.78*('Cálculos'!$C$197+(($B$54)-$A30)*'Cálculos'!$C$98)/(('Cálculos'!$C$197+(($B$54)-$A30)*'Cálculos'!$C$98)+1400)+'Cálculos'!$C$122)*'Cálculos'!$C$229+'Cálculos'!$C$125*(1+2.78*('Cálculos'!$C$197+(($B$54)-$A30)*'Cálculos'!$C$98)/(('Cálculos'!$C$197+(($B$54)-$A30)*'Cálculos'!$C$98)+1400)+'Cálculos'!$C$123)*'Cálculos'!$C$234)+('Cálculos'!$C$197+(($B$54)-$A30)*'Cálculos'!$C$98)*('Cálculos'!$C$225+'Cálculos'!$C$124*(1+2.78*('Cálculos'!$C$197+(($B$54)-$A30)*'Cálculos'!$C$98)/(('Cálculos'!$C$197+(($B$54)-$A30)*'Cálculos'!$C$98)+1400)+'Cálculos'!$C$122)*'Cálculos'!$C$230+'Cálculos'!$C$125*(1+2.78*('Cálculos'!$C$197+(($B$54)-$A30)*'Cálculos'!$C$98)/(('Cálculos'!$C$197+(($B$54)-$A30)*'Cálculos'!$C$98)+1400)+'Cálculos'!$C$123)*'Cálculos'!$C$235)+('Cálculos'!$C$201*(1+'Cálculos'!$C$202+$A30*('Cálculos'!$C$290=2)*'Cálculos'!$C$101)+'Cálculos'!$C$203)*('Cálculos'!$C$226+'Cálculos'!$C$124*(1+2.78*('Cálculos'!$C$197+(($B$54)-$A30)*'Cálculos'!$C$98)/(('Cálculos'!$C$197+(($B$54)-$A30)*'Cálculos'!$C$98)+1400)+'Cálculos'!$C$122)*'Cálculos'!$C$231+'Cálculos'!$C$125*(1+2.78*('Cálculos'!$C$197+(($B$54)-$A30)*'Cálculos'!$C$98)/(('Cálculos'!$C$197+(($B$54)-$A30)*'Cálculos'!$C$98)+1400)+'Cálculos'!$C$123)*'Cálculos'!$C$236)+('Cálculos'!$C$204*(1+'Cálculos'!$C$205+$A30*('Cálculos'!$C$290=3)*'Cálculos'!$C$103)+'Cálculos'!$C$206)*('Cálculos'!$C$227+'Cálculos'!$C$124*(1+2.78*('Cálculos'!$C$197+(($B$54)-$A30)*'Cálculos'!$C$98)/(('Cálculos'!$C$197+(($B$54)-$A30)*'Cálculos'!$C$98)+1400)+'Cálculos'!$C$122)*'Cálculos'!$C$232+'Cálculos'!$C$125*(1+2.78*('Cálculos'!$C$197+(($B$54)-$A30)*'Cálculos'!$C$98)/(('Cálculos'!$C$197+(($B$54)-$A30)*'Cálculos'!$C$98)+1400)+'Cálculos'!$C$123)*'Cálculos'!$C$237)+('Cálculos'!$C$228+'Cálculos'!$C$124*(1+2.78*('Cálculos'!$C$197+(($B$54)-$A30)*'Cálculos'!$C$98)/(('Cálculos'!$C$197+(($B$54)-$A30)*'Cálculos'!$C$98)+1400)+'Cálculos'!$C$122)*'Cálculos'!$C$233+'Cálculos'!$C$125*(1+2.78*('Cálculos'!$C$197+(($B$54)-$A30)*'Cálculos'!$C$98)/(('Cálculos'!$C$197+(($B$54)-$A30)*'Cálculos'!$C$98)+1400)+'Cálculos'!$C$123)*'Cálculos'!$C$238)+('Cálculos'!$C$185*(1+'Cálculos'!$C$188+$A30*('Cálculos'!$C$290=1)*'Cálculos'!$C$97+'Cálculos'!$C$305)+'Cálculos'!$C$193)*('Cálculos'!$C$239+'Cálculos'!$C$124*(1+2.78*('Cálculos'!$C$198+(($B$54)-$A30)*'Cálculos'!$C$98)/(('Cálculos'!$C$198+(($B$54)-$A30)*'Cálculos'!$C$98)+1400)+'Cálculos'!$C$122)*'Cálculos'!$C$244+'Cálculos'!$C$125*(1+2.78*('Cálculos'!$C$198+(($B$54)-$A30)*'Cálculos'!$C$98)/(('Cálculos'!$C$198+(($B$54)-$A30)*'Cálculos'!$C$98)+1400)+'Cálculos'!$C$123)*'Cálculos'!$C$249)+('Cálculos'!$C$198+(($B$54)-$A30)*'Cálculos'!$C$98)*('Cálculos'!$C$240+'Cálculos'!$C$124*(1+2.78*('Cálculos'!$C$198+(($B$54)-$A30)*'Cálculos'!$C$98)/(('Cálculos'!$C$198+(($B$54)-$A30)*'Cálculos'!$C$98)+1400)+'Cálculos'!$C$122)*'Cálculos'!$C$245+'Cálculos'!$C$125*(1+2.78*('Cálculos'!$C$198+(($B$54)-$A30)*'Cálculos'!$C$98)/(('Cálculos'!$C$198+(($B$54)-$A30)*'Cálculos'!$C$98)+1400)+'Cálculos'!$C$123)*'Cálculos'!$C$250)+('Cálculos'!$C$201*(1+'Cálculos'!$C$202+$A30*('Cálculos'!$C$290=2)*'Cálculos'!$C$101)+'Cálculos'!$C$203)*('Cálculos'!$C$241+'Cálculos'!$C$124*(1+2.78*('Cálculos'!$C$198+(($B$54)-$A30)*'Cálculos'!$C$98)/(('Cálculos'!$C$198+(($B$54)-$A30)*'Cálculos'!$C$98)+1400)+'Cálculos'!$C$122)*'Cálculos'!$C$246+'Cálculos'!$C$125*(1+2.78*('Cálculos'!$C$198+(($B$54)-$A30)*'Cálculos'!$C$98)/(('Cálculos'!$C$198+(($B$54)-$A30)*'Cálculos'!$C$98)+1400)+'Cálculos'!$C$123)*'Cálculos'!$C$251)+('Cálculos'!$C$204*(1+'Cálculos'!$C$205+$A30*('Cálculos'!$C$290=3)*'Cálculos'!$C$103)+'Cálculos'!$C$206)*('Cálculos'!$C$242+'Cálculos'!$C$124*(1+2.78*('Cálculos'!$C$198+(($B$54)-$A30)*'Cálculos'!$C$98)/(('Cálculos'!$C$198+(($B$54)-$A30)*'Cálculos'!$C$98)+1400)+'Cálculos'!$C$122)*'Cálculos'!$C$247+'Cálculos'!$C$125*(1+2.78*('Cálculos'!$C$198+(($B$54)-$A30)*'Cálculos'!$C$98)/(('Cálculos'!$C$198+(($B$54)-$A30)*'Cálculos'!$C$98)+1400)+'Cálculos'!$C$123)*'Cálculos'!$C$252)+('Cálculos'!$C$243+'Cálculos'!$C$124*(1+2.78*('Cálculos'!$C$198+(($B$54)-$A30)*'Cálculos'!$C$98)/(('Cálculos'!$C$198+(($B$54)-$A30)*'Cálculos'!$C$98)+1400)+'Cálculos'!$C$122)*'Cálculos'!$C$248+'Cálculos'!$C$125*(1+2.78*('Cálculos'!$C$198+(($B$54)-$A30)*'Cálculos'!$C$98)/(('Cálculos'!$C$198+(($B$54)-$A30)*'Cálculos'!$C$98)+1400)+'Cálculos'!$C$123)*'Cálculos'!$C$253)+('Cálculos'!$C$185*(1+'Cálculos'!$C$189+$A30*('Cálculos'!$C$290=1)*'Cálculos'!$C$97+'Cálculos'!$C$305)+'Cálculos'!$C$194)*('Cálculos'!$C$254+'Cálculos'!$C$124*(1+2.78*('Cálculos'!$C$199+(($B$54)-$A30)*'Cálculos'!$C$98)/(('Cálculos'!$C$199+(($B$54)-$A30)*'Cálculos'!$C$98)+1400)+'Cálculos'!$C$122)*'Cálculos'!$C$259+'Cálculos'!$C$125*(1+2.78*('Cálculos'!$C$199+(($B$54)-$A30)*'Cálculos'!$C$98)/(('Cálculos'!$C$199+(($B$54)-$A30)*'Cálculos'!$C$98)+1400)+'Cálculos'!$C$123)*'Cálculos'!$C$264)+('Cálculos'!$C$199+(($B$54)-$A30)*'Cálculos'!$C$98)*('Cálculos'!$C$255+'Cálculos'!$C$124*(1+2.78*('Cálculos'!$C$199+(($B$54)-$A30)*'Cálculos'!$C$98)/(('Cálculos'!$C$199+(($B$54)-$A30)*'Cálculos'!$C$98)+1400)+'Cálculos'!$C$122)*'Cálculos'!$C$260+'Cálculos'!$C$125*(1+2.78*('Cálculos'!$C$199+(($B$54)-$A30)*'Cálculos'!$C$98)/(('Cálculos'!$C$199+(($B$54)-$A30)*'Cálculos'!$C$98)+1400)+'Cálculos'!$C$123)*'Cálculos'!$C$265)+('Cálculos'!$C$201*(1+'Cálculos'!$C$202+$A30*('Cálculos'!$C$290=2)*'Cálculos'!$C$101)+'Cálculos'!$C$203)*('Cálculos'!$C$256+'Cálculos'!$C$124*(1+2.78*('Cálculos'!$C$199+(($B$54)-$A30)*'Cálculos'!$C$98)/(('Cálculos'!$C$199+(($B$54)-$A30)*'Cálculos'!$C$98)+1400)+'Cálculos'!$C$122)*'Cálculos'!$C$261+'Cálculos'!$C$125*(1+2.78*('Cálculos'!$C$199+(($B$54)-$A30)*'Cálculos'!$C$98)/(('Cálculos'!$C$199+(($B$54)-$A30)*'Cálculos'!$C$98)+1400)+'Cálculos'!$C$123)*'Cálculos'!$C$266)+('Cálculos'!$C$204*(1+'Cálculos'!$C$205+$A30*('Cálculos'!$C$290=3)*'Cálculos'!$C$103)+'Cálculos'!$C$206)*('Cálculos'!$C$257+'Cálculos'!$C$124*(1+2.78*('Cálculos'!$C$199+(($B$54)-$A30)*'Cálculos'!$C$98)/(('Cálculos'!$C$199+(($B$54)-$A30)*'Cálculos'!$C$98)+1400)+'Cálculos'!$C$122)*'Cálculos'!$C$262+'Cálculos'!$C$125*(1+2.78*('Cálculos'!$C$199+(($B$54)-$A30)*'Cálculos'!$C$98)/(('Cálculos'!$C$199+(($B$54)-$A30)*'Cálculos'!$C$98)+1400)+'Cálculos'!$C$123)*'Cálculos'!$C$267)+('Cálculos'!$C$258+'Cálculos'!$C$124*(1+2.78*('Cálculos'!$C$199+(($B$54)-$A30)*'Cálculos'!$C$98)/(('Cálculos'!$C$199+(($B$54)-$A30)*'Cálculos'!$C$98)+1400)+'Cálculos'!$C$122)*'Cálculos'!$C$263+'Cálculos'!$C$125*(1+2.78*('Cálculos'!$C$199+(($B$54)-$A30)*'Cálculos'!$C$98)/(('Cálculos'!$C$199+(($B$54)-$A30)*'Cálculos'!$C$98)+1400)+'Cálculos'!$C$123)*'Cálculos'!$C$268)+('Cálculos'!$C$185*(1+'Cálculos'!$C$190+$A30*('Cálculos'!$C$290=1)*'Cálculos'!$C$97+'Cálculos'!$C$305)+'Cálculos'!$C$195)*('Cálculos'!$C$269+'Cálculos'!$C$124*(1+2.78*('Cálculos'!$C$200+(($B$54)-$A30)*'Cálculos'!$C$98)/(('Cálculos'!$C$200+(($B$54)-$A30)*'Cálculos'!$C$98)+1400)+'Cálculos'!$C$122)*'Cálculos'!$C$274+'Cálculos'!$C$125*(1+2.78*('Cálculos'!$C$200+(($B$54)-$A30)*'Cálculos'!$C$98)/(('Cálculos'!$C$200+(($B$54)-$A30)*'Cálculos'!$C$98)+1400)+'Cálculos'!$C$123)*'Cálculos'!$C$279)+('Cálculos'!$C$200+(($B$54)-$A30)*'Cálculos'!$C$98)*('Cálculos'!$C$270+'Cálculos'!$C$124*(1+2.78*('Cálculos'!$C$200+(($B$54)-$A30)*'Cálculos'!$C$98)/(('Cálculos'!$C$200+(($B$54)-$A30)*'Cálculos'!$C$98)+1400)+'Cálculos'!$C$122)*'Cálculos'!$C$275+'Cálculos'!$C$125*(1+2.78*('Cálculos'!$C$200+(($B$54)-$A30)*'Cálculos'!$C$98)/(('Cálculos'!$C$200+(($B$54)-$A30)*'Cálculos'!$C$98)+1400)+'Cálculos'!$C$123)*'Cálculos'!$C$280)+('Cálculos'!$C$201*(1+'Cálculos'!$C$202+$A30*('Cálculos'!$C$290=2)*'Cálculos'!$C$101)+'Cálculos'!$C$203)*('Cálculos'!$C$271+'Cálculos'!$C$124*(1+2.78*('Cálculos'!$C$200+(($B$54)-$A30)*'Cálculos'!$C$98)/(('Cálculos'!$C$200+(($B$54)-$A30)*'Cálculos'!$C$98)+1400)+'Cálculos'!$C$122)*'Cálculos'!$C$276+'Cálculos'!$C$125*(1+2.78*('Cálculos'!$C$200+(($B$54)-$A30)*'Cálculos'!$C$98)/(('Cálculos'!$C$200+(($B$54)-$A30)*'Cálculos'!$C$98)+1400)+'Cálculos'!$C$123)*'Cálculos'!$C$281)+('Cálculos'!$C$204*(1+'Cálculos'!$C$205+$A30*('Cálculos'!$C$290=3)*'Cálculos'!$C$103)+'Cálculos'!$C$206)*('Cálculos'!$C$272+'Cálculos'!$C$124*(1+2.78*('Cálculos'!$C$200+(($B$54)-$A30)*'Cálculos'!$C$98)/(('Cálculos'!$C$200+(($B$54)-$A30)*'Cálculos'!$C$98)+1400)+'Cálculos'!$C$122)*'Cálculos'!$C$277+'Cálculos'!$C$125*(1+2.78*('Cálculos'!$C$200+(($B$54)-$A30)*'Cálculos'!$C$98)/(('Cálculos'!$C$200+(($B$54)-$A30)*'Cálculos'!$C$98)+1400)+'Cálculos'!$C$123)*'Cálculos'!$C$282)+('Cálculos'!$C$273+'Cálculos'!$C$124*(1+2.78*('Cálculos'!$C$200+(($B$54)-$A30)*'Cálculos'!$C$98)/(('Cálculos'!$C$200+(($B$54)-$A30)*'Cálculos'!$C$98)+1400)+'Cálculos'!$C$122)*'Cálculos'!$C$278+'Cálculos'!$C$125*(1+2.78*('Cálculos'!$C$200+(($B$54)-$A30)*'Cálculos'!$C$98)/(('Cálculos'!$C$200+(($B$54)-$A30)*'Cálculos'!$C$98)+1400)+'Cálculos'!$C$123)*'Cálculos'!$C$283)))</f>
        <v>0</v>
      </c>
    </row>
    <row r="31" ht="15.75" customHeight="1">
      <c r="A31" s="2">
        <v>25.0</v>
      </c>
      <c r="B31" s="30">
        <f>SUMPRODUCT(MAX(($A$6:$A$51&lt;=$A31)*($A$6:$A$51&lt;='Cálculos'!$C$294)*(($A31)-$A$6:$A$51&lt;='Cálculos'!$C$295)*(1+(('Cálculos'!$C$207+$A$6:$A$51*'Cálculos'!$C$95)-(('Cálculos'!$C$207+$A$6:$A$51*'Cálculos'!$C$95)&gt;1)*(('Cálculos'!$C$207+$A$6:$A$51*'Cálculos'!$C$95)-1))*('Cálculos'!$C$208+(($A31)-$A$6:$A$51)*'Cálculos'!$C$96))))</f>
        <v>3.879968</v>
      </c>
      <c r="C31" s="2">
        <f>'Cálculos'!$C$303-$A31</f>
        <v>-5</v>
      </c>
      <c r="D31" s="31">
        <f>IF($C31&lt;0,0,SUMPRODUCT(MAX(($A$6:$A$51&lt;=$C31)*($A$6:$A$51&lt;='Cálculos'!$C$301)*(($C31)-$A$6:$A$51&lt;='Cálculos'!$C$297)*(('Cálculos'!$C$185*(1+'Cálculos'!$C$186+$A$6:$A$51*('Cálculos'!$C$290=1)*'Cálculos'!$C$97+'Cálculos'!$C$305)+'Cálculos'!$C$191)*('Cálculos'!$C$209+'Cálculos'!$C$124*(1+2.78*('Cálculos'!$C$196+(($C31)-$A$6:$A$51)*'Cálculos'!$C$98)/(('Cálculos'!$C$196+(($C31)-$A$6:$A$51)*'Cálculos'!$C$98)+1400)+'Cálculos'!$C$122)*'Cálculos'!$C$214+'Cálculos'!$C$125*(1+2.78*('Cálculos'!$C$196+(($C31)-$A$6:$A$51)*'Cálculos'!$C$98)/(('Cálculos'!$C$196+(($C31)-$A$6:$A$51)*'Cálculos'!$C$98)+1400)+'Cálculos'!$C$123)*'Cálculos'!$C$219)+('Cálculos'!$C$196+(($C31)-$A$6:$A$51)*'Cálculos'!$C$98)*('Cálculos'!$C$210+'Cálculos'!$C$124*(1+2.78*('Cálculos'!$C$196+(($C31)-$A$6:$A$51)*'Cálculos'!$C$98)/(('Cálculos'!$C$196+(($C31)-$A$6:$A$51)*'Cálculos'!$C$98)+1400)+'Cálculos'!$C$122)*'Cálculos'!$C$215+'Cálculos'!$C$125*(1+2.78*('Cálculos'!$C$196+(($C31)-$A$6:$A$51)*'Cálculos'!$C$98)/(('Cálculos'!$C$196+(($C31)-$A$6:$A$51)*'Cálculos'!$C$98)+1400)+'Cálculos'!$C$123)*'Cálculos'!$C$220)+('Cálculos'!$C$201*(1+'Cálculos'!$C$202+$A$6:$A$51*('Cálculos'!$C$290=2)*'Cálculos'!$C$101)+'Cálculos'!$C$203)*('Cálculos'!$C$211+'Cálculos'!$C$124*(1+2.78*('Cálculos'!$C$196+(($C31)-$A$6:$A$51)*'Cálculos'!$C$98)/(('Cálculos'!$C$196+(($C31)-$A$6:$A$51)*'Cálculos'!$C$98)+1400)+'Cálculos'!$C$122)*'Cálculos'!$C$216+'Cálculos'!$C$125*(1+2.78*('Cálculos'!$C$196+(($C31)-$A$6:$A$51)*'Cálculos'!$C$98)/(('Cálculos'!$C$196+(($C31)-$A$6:$A$51)*'Cálculos'!$C$98)+1400)+'Cálculos'!$C$123)*'Cálculos'!$C$221)+('Cálculos'!$C$204*(1+'Cálculos'!$C$205+$A$6:$A$51*('Cálculos'!$C$290=3)*'Cálculos'!$C$103)+'Cálculos'!$C$206)*('Cálculos'!$C$212+'Cálculos'!$C$124*(1+2.78*('Cálculos'!$C$196+(($C31)-$A$6:$A$51)*'Cálculos'!$C$98)/(('Cálculos'!$C$196+(($C31)-$A$6:$A$51)*'Cálculos'!$C$98)+1400)+'Cálculos'!$C$122)*'Cálculos'!$C$217+'Cálculos'!$C$125*(1+2.78*('Cálculos'!$C$196+(($C31)-$A$6:$A$51)*'Cálculos'!$C$98)/(('Cálculos'!$C$196+(($C31)-$A$6:$A$51)*'Cálculos'!$C$98)+1400)+'Cálculos'!$C$123)*'Cálculos'!$C$222)+('Cálculos'!$C$213+'Cálculos'!$C$124*(1+2.78*('Cálculos'!$C$196+(($C31)-$A$6:$A$51)*'Cálculos'!$C$98)/(('Cálculos'!$C$196+(($C31)-$A$6:$A$51)*'Cálculos'!$C$98)+1400)+'Cálculos'!$C$122)*'Cálculos'!$C$218+'Cálculos'!$C$125*(1+2.78*('Cálculos'!$C$196+(($C31)-$A$6:$A$51)*'Cálculos'!$C$98)/(('Cálculos'!$C$196+(($C31)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31)-$A$6:$A$51)*'Cálculos'!$C$98)/(('Cálculos'!$C$197+(($C31)-$A$6:$A$51)*'Cálculos'!$C$98)+1400)+'Cálculos'!$C$122)*'Cálculos'!$C$229+'Cálculos'!$C$125*(1+2.78*('Cálculos'!$C$197+(($C31)-$A$6:$A$51)*'Cálculos'!$C$98)/(('Cálculos'!$C$197+(($C31)-$A$6:$A$51)*'Cálculos'!$C$98)+1400)+'Cálculos'!$C$123)*'Cálculos'!$C$234)+('Cálculos'!$C$197+(($C31)-$A$6:$A$51)*'Cálculos'!$C$98)*('Cálculos'!$C$225+'Cálculos'!$C$124*(1+2.78*('Cálculos'!$C$197+(($C31)-$A$6:$A$51)*'Cálculos'!$C$98)/(('Cálculos'!$C$197+(($C31)-$A$6:$A$51)*'Cálculos'!$C$98)+1400)+'Cálculos'!$C$122)*'Cálculos'!$C$230+'Cálculos'!$C$125*(1+2.78*('Cálculos'!$C$197+(($C31)-$A$6:$A$51)*'Cálculos'!$C$98)/(('Cálculos'!$C$197+(($C31)-$A$6:$A$51)*'Cálculos'!$C$98)+1400)+'Cálculos'!$C$123)*'Cálculos'!$C$235)+('Cálculos'!$C$201*(1+'Cálculos'!$C$202+$A$6:$A$51*('Cálculos'!$C$290=2)*'Cálculos'!$C$101)+'Cálculos'!$C$203)*('Cálculos'!$C$226+'Cálculos'!$C$124*(1+2.78*('Cálculos'!$C$197+(($C31)-$A$6:$A$51)*'Cálculos'!$C$98)/(('Cálculos'!$C$197+(($C31)-$A$6:$A$51)*'Cálculos'!$C$98)+1400)+'Cálculos'!$C$122)*'Cálculos'!$C$231+'Cálculos'!$C$125*(1+2.78*('Cálculos'!$C$197+(($C31)-$A$6:$A$51)*'Cálculos'!$C$98)/(('Cálculos'!$C$197+(($C31)-$A$6:$A$51)*'Cálculos'!$C$98)+1400)+'Cálculos'!$C$123)*'Cálculos'!$C$236)+('Cálculos'!$C$204*(1+'Cálculos'!$C$205+$A$6:$A$51*('Cálculos'!$C$290=3)*'Cálculos'!$C$103)+'Cálculos'!$C$206)*('Cálculos'!$C$227+'Cálculos'!$C$124*(1+2.78*('Cálculos'!$C$197+(($C31)-$A$6:$A$51)*'Cálculos'!$C$98)/(('Cálculos'!$C$197+(($C31)-$A$6:$A$51)*'Cálculos'!$C$98)+1400)+'Cálculos'!$C$122)*'Cálculos'!$C$232+'Cálculos'!$C$125*(1+2.78*('Cálculos'!$C$197+(($C31)-$A$6:$A$51)*'Cálculos'!$C$98)/(('Cálculos'!$C$197+(($C31)-$A$6:$A$51)*'Cálculos'!$C$98)+1400)+'Cálculos'!$C$123)*'Cálculos'!$C$237)+('Cálculos'!$C$228+'Cálculos'!$C$124*(1+2.78*('Cálculos'!$C$197+(($C31)-$A$6:$A$51)*'Cálculos'!$C$98)/(('Cálculos'!$C$197+(($C31)-$A$6:$A$51)*'Cálculos'!$C$98)+1400)+'Cálculos'!$C$122)*'Cálculos'!$C$233+'Cálculos'!$C$125*(1+2.78*('Cálculos'!$C$197+(($C31)-$A$6:$A$51)*'Cálculos'!$C$98)/(('Cálculos'!$C$197+(($C31)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31)-$A$6:$A$51)*'Cálculos'!$C$98)/(('Cálculos'!$C$198+(($C31)-$A$6:$A$51)*'Cálculos'!$C$98)+1400)+'Cálculos'!$C$122)*'Cálculos'!$C$244+'Cálculos'!$C$125*(1+2.78*('Cálculos'!$C$198+(($C31)-$A$6:$A$51)*'Cálculos'!$C$98)/(('Cálculos'!$C$198+(($C31)-$A$6:$A$51)*'Cálculos'!$C$98)+1400)+'Cálculos'!$C$123)*'Cálculos'!$C$249)+('Cálculos'!$C$198+(($C31)-$A$6:$A$51)*'Cálculos'!$C$98)*('Cálculos'!$C$240+'Cálculos'!$C$124*(1+2.78*('Cálculos'!$C$198+(($C31)-$A$6:$A$51)*'Cálculos'!$C$98)/(('Cálculos'!$C$198+(($C31)-$A$6:$A$51)*'Cálculos'!$C$98)+1400)+'Cálculos'!$C$122)*'Cálculos'!$C$245+'Cálculos'!$C$125*(1+2.78*('Cálculos'!$C$198+(($C31)-$A$6:$A$51)*'Cálculos'!$C$98)/(('Cálculos'!$C$198+(($C31)-$A$6:$A$51)*'Cálculos'!$C$98)+1400)+'Cálculos'!$C$123)*'Cálculos'!$C$250)+('Cálculos'!$C$201*(1+'Cálculos'!$C$202+$A$6:$A$51*('Cálculos'!$C$290=2)*'Cálculos'!$C$101)+'Cálculos'!$C$203)*('Cálculos'!$C$241+'Cálculos'!$C$124*(1+2.78*('Cálculos'!$C$198+(($C31)-$A$6:$A$51)*'Cálculos'!$C$98)/(('Cálculos'!$C$198+(($C31)-$A$6:$A$51)*'Cálculos'!$C$98)+1400)+'Cálculos'!$C$122)*'Cálculos'!$C$246+'Cálculos'!$C$125*(1+2.78*('Cálculos'!$C$198+(($C31)-$A$6:$A$51)*'Cálculos'!$C$98)/(('Cálculos'!$C$198+(($C31)-$A$6:$A$51)*'Cálculos'!$C$98)+1400)+'Cálculos'!$C$123)*'Cálculos'!$C$251)+('Cálculos'!$C$204*(1+'Cálculos'!$C$205+$A$6:$A$51*('Cálculos'!$C$290=3)*'Cálculos'!$C$103)+'Cálculos'!$C$206)*('Cálculos'!$C$242+'Cálculos'!$C$124*(1+2.78*('Cálculos'!$C$198+(($C31)-$A$6:$A$51)*'Cálculos'!$C$98)/(('Cálculos'!$C$198+(($C31)-$A$6:$A$51)*'Cálculos'!$C$98)+1400)+'Cálculos'!$C$122)*'Cálculos'!$C$247+'Cálculos'!$C$125*(1+2.78*('Cálculos'!$C$198+(($C31)-$A$6:$A$51)*'Cálculos'!$C$98)/(('Cálculos'!$C$198+(($C31)-$A$6:$A$51)*'Cálculos'!$C$98)+1400)+'Cálculos'!$C$123)*'Cálculos'!$C$252)+('Cálculos'!$C$243+'Cálculos'!$C$124*(1+2.78*('Cálculos'!$C$198+(($C31)-$A$6:$A$51)*'Cálculos'!$C$98)/(('Cálculos'!$C$198+(($C31)-$A$6:$A$51)*'Cálculos'!$C$98)+1400)+'Cálculos'!$C$122)*'Cálculos'!$C$248+'Cálculos'!$C$125*(1+2.78*('Cálculos'!$C$198+(($C31)-$A$6:$A$51)*'Cálculos'!$C$98)/(('Cálculos'!$C$198+(($C31)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31)-$A$6:$A$51)*'Cálculos'!$C$98)/(('Cálculos'!$C$199+(($C31)-$A$6:$A$51)*'Cálculos'!$C$98)+1400)+'Cálculos'!$C$122)*'Cálculos'!$C$259+'Cálculos'!$C$125*(1+2.78*('Cálculos'!$C$199+(($C31)-$A$6:$A$51)*'Cálculos'!$C$98)/(('Cálculos'!$C$199+(($C31)-$A$6:$A$51)*'Cálculos'!$C$98)+1400)+'Cálculos'!$C$123)*'Cálculos'!$C$264)+('Cálculos'!$C$199+(($C31)-$A$6:$A$51)*'Cálculos'!$C$98)*('Cálculos'!$C$255+'Cálculos'!$C$124*(1+2.78*('Cálculos'!$C$199+(($C31)-$A$6:$A$51)*'Cálculos'!$C$98)/(('Cálculos'!$C$199+(($C31)-$A$6:$A$51)*'Cálculos'!$C$98)+1400)+'Cálculos'!$C$122)*'Cálculos'!$C$260+'Cálculos'!$C$125*(1+2.78*('Cálculos'!$C$199+(($C31)-$A$6:$A$51)*'Cálculos'!$C$98)/(('Cálculos'!$C$199+(($C31)-$A$6:$A$51)*'Cálculos'!$C$98)+1400)+'Cálculos'!$C$123)*'Cálculos'!$C$265)+('Cálculos'!$C$201*(1+'Cálculos'!$C$202+$A$6:$A$51*('Cálculos'!$C$290=2)*'Cálculos'!$C$101)+'Cálculos'!$C$203)*('Cálculos'!$C$256+'Cálculos'!$C$124*(1+2.78*('Cálculos'!$C$199+(($C31)-$A$6:$A$51)*'Cálculos'!$C$98)/(('Cálculos'!$C$199+(($C31)-$A$6:$A$51)*'Cálculos'!$C$98)+1400)+'Cálculos'!$C$122)*'Cálculos'!$C$261+'Cálculos'!$C$125*(1+2.78*('Cálculos'!$C$199+(($C31)-$A$6:$A$51)*'Cálculos'!$C$98)/(('Cálculos'!$C$199+(($C31)-$A$6:$A$51)*'Cálculos'!$C$98)+1400)+'Cálculos'!$C$123)*'Cálculos'!$C$266)+('Cálculos'!$C$204*(1+'Cálculos'!$C$205+$A$6:$A$51*('Cálculos'!$C$290=3)*'Cálculos'!$C$103)+'Cálculos'!$C$206)*('Cálculos'!$C$257+'Cálculos'!$C$124*(1+2.78*('Cálculos'!$C$199+(($C31)-$A$6:$A$51)*'Cálculos'!$C$98)/(('Cálculos'!$C$199+(($C31)-$A$6:$A$51)*'Cálculos'!$C$98)+1400)+'Cálculos'!$C$122)*'Cálculos'!$C$262+'Cálculos'!$C$125*(1+2.78*('Cálculos'!$C$199+(($C31)-$A$6:$A$51)*'Cálculos'!$C$98)/(('Cálculos'!$C$199+(($C31)-$A$6:$A$51)*'Cálculos'!$C$98)+1400)+'Cálculos'!$C$123)*'Cálculos'!$C$267)+('Cálculos'!$C$258+'Cálculos'!$C$124*(1+2.78*('Cálculos'!$C$199+(($C31)-$A$6:$A$51)*'Cálculos'!$C$98)/(('Cálculos'!$C$199+(($C31)-$A$6:$A$51)*'Cálculos'!$C$98)+1400)+'Cálculos'!$C$122)*'Cálculos'!$C$263+'Cálculos'!$C$125*(1+2.78*('Cálculos'!$C$199+(($C31)-$A$6:$A$51)*'Cálculos'!$C$98)/(('Cálculos'!$C$199+(($C31)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31)-$A$6:$A$51)*'Cálculos'!$C$98)/(('Cálculos'!$C$200+(($C31)-$A$6:$A$51)*'Cálculos'!$C$98)+1400)+'Cálculos'!$C$122)*'Cálculos'!$C$274+'Cálculos'!$C$125*(1+2.78*('Cálculos'!$C$200+(($C31)-$A$6:$A$51)*'Cálculos'!$C$98)/(('Cálculos'!$C$200+(($C31)-$A$6:$A$51)*'Cálculos'!$C$98)+1400)+'Cálculos'!$C$123)*'Cálculos'!$C$279)+('Cálculos'!$C$200+(($C31)-$A$6:$A$51)*'Cálculos'!$C$98)*('Cálculos'!$C$270+'Cálculos'!$C$124*(1+2.78*('Cálculos'!$C$200+(($C31)-$A$6:$A$51)*'Cálculos'!$C$98)/(('Cálculos'!$C$200+(($C31)-$A$6:$A$51)*'Cálculos'!$C$98)+1400)+'Cálculos'!$C$122)*'Cálculos'!$C$275+'Cálculos'!$C$125*(1+2.78*('Cálculos'!$C$200+(($C31)-$A$6:$A$51)*'Cálculos'!$C$98)/(('Cálculos'!$C$200+(($C31)-$A$6:$A$51)*'Cálculos'!$C$98)+1400)+'Cálculos'!$C$123)*'Cálculos'!$C$280)+('Cálculos'!$C$201*(1+'Cálculos'!$C$202+$A$6:$A$51*('Cálculos'!$C$290=2)*'Cálculos'!$C$101)+'Cálculos'!$C$203)*('Cálculos'!$C$271+'Cálculos'!$C$124*(1+2.78*('Cálculos'!$C$200+(($C31)-$A$6:$A$51)*'Cálculos'!$C$98)/(('Cálculos'!$C$200+(($C31)-$A$6:$A$51)*'Cálculos'!$C$98)+1400)+'Cálculos'!$C$122)*'Cálculos'!$C$276+'Cálculos'!$C$125*(1+2.78*('Cálculos'!$C$200+(($C31)-$A$6:$A$51)*'Cálculos'!$C$98)/(('Cálculos'!$C$200+(($C31)-$A$6:$A$51)*'Cálculos'!$C$98)+1400)+'Cálculos'!$C$123)*'Cálculos'!$C$281)+('Cálculos'!$C$204*(1+'Cálculos'!$C$205+$A$6:$A$51*('Cálculos'!$C$290=3)*'Cálculos'!$C$103)+'Cálculos'!$C$206)*('Cálculos'!$C$272+'Cálculos'!$C$124*(1+2.78*('Cálculos'!$C$200+(($C31)-$A$6:$A$51)*'Cálculos'!$C$98)/(('Cálculos'!$C$200+(($C31)-$A$6:$A$51)*'Cálculos'!$C$98)+1400)+'Cálculos'!$C$122)*'Cálculos'!$C$277+'Cálculos'!$C$125*(1+2.78*('Cálculos'!$C$200+(($C31)-$A$6:$A$51)*'Cálculos'!$C$98)/(('Cálculos'!$C$200+(($C31)-$A$6:$A$51)*'Cálculos'!$C$98)+1400)+'Cálculos'!$C$123)*'Cálculos'!$C$282)+('Cálculos'!$C$273+'Cálculos'!$C$124*(1+2.78*('Cálculos'!$C$200+(($C31)-$A$6:$A$51)*'Cálculos'!$C$98)/(('Cálculos'!$C$200+(($C31)-$A$6:$A$51)*'Cálculos'!$C$98)+1400)+'Cálculos'!$C$122)*'Cálculos'!$C$278+'Cálculos'!$C$125*(1+2.78*('Cálculos'!$C$200+(($C31)-$A$6:$A$51)*'Cálculos'!$C$98)/(('Cálculos'!$C$200+(($C31)-$A$6:$A$51)*'Cálculos'!$C$98)+1400)+'Cálculos'!$C$123)*'Cálculos'!$C$283)))))</f>
        <v>0</v>
      </c>
      <c r="E31" s="32">
        <f>IF(OR($C31&lt;0,'Cálculos'!$C$6=""),0,$B31*$D31)</f>
        <v>0</v>
      </c>
      <c r="F31" s="2"/>
      <c r="G31" s="30">
        <f>($A31&lt;=$B$53)*($A31&lt;='Cálculos'!$C$294)*(($B$53)-$A31&lt;='Cálculos'!$C$295)*(1+MIN(('Cálculos'!$C$207+$A31*'Cálculos'!$C$95),1)*('Cálculos'!$C$208+(($B$53)-$A31)*'Cálculos'!$C$96))</f>
        <v>0</v>
      </c>
      <c r="H31" s="31">
        <f>IF($B$54&lt;0,0,($A31&lt;=$B$54)*($A31&lt;='Cálculos'!$C$301)*(($B$54)-$A31&lt;='Cálculos'!$C$297)*(('Cálculos'!$C$185*(1+'Cálculos'!$C$186+$A31*('Cálculos'!$C$290=1)*'Cálculos'!$C$97+'Cálculos'!$C$305)+'Cálculos'!$C$191)*('Cálculos'!$C$209+'Cálculos'!$C$124*(1+2.78*('Cálculos'!$C$196+(($B$54)-$A31)*'Cálculos'!$C$98)/(('Cálculos'!$C$196+(($B$54)-$A31)*'Cálculos'!$C$98)+1400)+'Cálculos'!$C$122)*'Cálculos'!$C$214+'Cálculos'!$C$125*(1+2.78*('Cálculos'!$C$196+(($B$54)-$A31)*'Cálculos'!$C$98)/(('Cálculos'!$C$196+(($B$54)-$A31)*'Cálculos'!$C$98)+1400)+'Cálculos'!$C$123)*'Cálculos'!$C$219)+('Cálculos'!$C$196+(($B$54)-$A31)*'Cálculos'!$C$98)*('Cálculos'!$C$210+'Cálculos'!$C$124*(1+2.78*('Cálculos'!$C$196+(($B$54)-$A31)*'Cálculos'!$C$98)/(('Cálculos'!$C$196+(($B$54)-$A31)*'Cálculos'!$C$98)+1400)+'Cálculos'!$C$122)*'Cálculos'!$C$215+'Cálculos'!$C$125*(1+2.78*('Cálculos'!$C$196+(($B$54)-$A31)*'Cálculos'!$C$98)/(('Cálculos'!$C$196+(($B$54)-$A31)*'Cálculos'!$C$98)+1400)+'Cálculos'!$C$123)*'Cálculos'!$C$220)+('Cálculos'!$C$201*(1+'Cálculos'!$C$202+$A31*('Cálculos'!$C$290=2)*'Cálculos'!$C$101)+'Cálculos'!$C$203)*('Cálculos'!$C$211+'Cálculos'!$C$124*(1+2.78*('Cálculos'!$C$196+(($B$54)-$A31)*'Cálculos'!$C$98)/(('Cálculos'!$C$196+(($B$54)-$A31)*'Cálculos'!$C$98)+1400)+'Cálculos'!$C$122)*'Cálculos'!$C$216+'Cálculos'!$C$125*(1+2.78*('Cálculos'!$C$196+(($B$54)-$A31)*'Cálculos'!$C$98)/(('Cálculos'!$C$196+(($B$54)-$A31)*'Cálculos'!$C$98)+1400)+'Cálculos'!$C$123)*'Cálculos'!$C$221)+('Cálculos'!$C$204*(1+'Cálculos'!$C$205+$A31*('Cálculos'!$C$290=3)*'Cálculos'!$C$103)+'Cálculos'!$C$206)*('Cálculos'!$C$212+'Cálculos'!$C$124*(1+2.78*('Cálculos'!$C$196+(($B$54)-$A31)*'Cálculos'!$C$98)/(('Cálculos'!$C$196+(($B$54)-$A31)*'Cálculos'!$C$98)+1400)+'Cálculos'!$C$122)*'Cálculos'!$C$217+'Cálculos'!$C$125*(1+2.78*('Cálculos'!$C$196+(($B$54)-$A31)*'Cálculos'!$C$98)/(('Cálculos'!$C$196+(($B$54)-$A31)*'Cálculos'!$C$98)+1400)+'Cálculos'!$C$123)*'Cálculos'!$C$222)+('Cálculos'!$C$213+'Cálculos'!$C$124*(1+2.78*('Cálculos'!$C$196+(($B$54)-$A31)*'Cálculos'!$C$98)/(('Cálculos'!$C$196+(($B$54)-$A31)*'Cálculos'!$C$98)+1400)+'Cálculos'!$C$122)*'Cálculos'!$C$218+'Cálculos'!$C$125*(1+2.78*('Cálculos'!$C$196+(($B$54)-$A31)*'Cálculos'!$C$98)/(('Cálculos'!$C$196+(($B$54)-$A31)*'Cálculos'!$C$98)+1400)+'Cálculos'!$C$123)*'Cálculos'!$C$223)+('Cálculos'!$C$185*(1+'Cálculos'!$C$187+$A31*('Cálculos'!$C$290=1)*'Cálculos'!$C$97+'Cálculos'!$C$305)+'Cálculos'!$C$192)*('Cálculos'!$C$224+'Cálculos'!$C$124*(1+2.78*('Cálculos'!$C$197+(($B$54)-$A31)*'Cálculos'!$C$98)/(('Cálculos'!$C$197+(($B$54)-$A31)*'Cálculos'!$C$98)+1400)+'Cálculos'!$C$122)*'Cálculos'!$C$229+'Cálculos'!$C$125*(1+2.78*('Cálculos'!$C$197+(($B$54)-$A31)*'Cálculos'!$C$98)/(('Cálculos'!$C$197+(($B$54)-$A31)*'Cálculos'!$C$98)+1400)+'Cálculos'!$C$123)*'Cálculos'!$C$234)+('Cálculos'!$C$197+(($B$54)-$A31)*'Cálculos'!$C$98)*('Cálculos'!$C$225+'Cálculos'!$C$124*(1+2.78*('Cálculos'!$C$197+(($B$54)-$A31)*'Cálculos'!$C$98)/(('Cálculos'!$C$197+(($B$54)-$A31)*'Cálculos'!$C$98)+1400)+'Cálculos'!$C$122)*'Cálculos'!$C$230+'Cálculos'!$C$125*(1+2.78*('Cálculos'!$C$197+(($B$54)-$A31)*'Cálculos'!$C$98)/(('Cálculos'!$C$197+(($B$54)-$A31)*'Cálculos'!$C$98)+1400)+'Cálculos'!$C$123)*'Cálculos'!$C$235)+('Cálculos'!$C$201*(1+'Cálculos'!$C$202+$A31*('Cálculos'!$C$290=2)*'Cálculos'!$C$101)+'Cálculos'!$C$203)*('Cálculos'!$C$226+'Cálculos'!$C$124*(1+2.78*('Cálculos'!$C$197+(($B$54)-$A31)*'Cálculos'!$C$98)/(('Cálculos'!$C$197+(($B$54)-$A31)*'Cálculos'!$C$98)+1400)+'Cálculos'!$C$122)*'Cálculos'!$C$231+'Cálculos'!$C$125*(1+2.78*('Cálculos'!$C$197+(($B$54)-$A31)*'Cálculos'!$C$98)/(('Cálculos'!$C$197+(($B$54)-$A31)*'Cálculos'!$C$98)+1400)+'Cálculos'!$C$123)*'Cálculos'!$C$236)+('Cálculos'!$C$204*(1+'Cálculos'!$C$205+$A31*('Cálculos'!$C$290=3)*'Cálculos'!$C$103)+'Cálculos'!$C$206)*('Cálculos'!$C$227+'Cálculos'!$C$124*(1+2.78*('Cálculos'!$C$197+(($B$54)-$A31)*'Cálculos'!$C$98)/(('Cálculos'!$C$197+(($B$54)-$A31)*'Cálculos'!$C$98)+1400)+'Cálculos'!$C$122)*'Cálculos'!$C$232+'Cálculos'!$C$125*(1+2.78*('Cálculos'!$C$197+(($B$54)-$A31)*'Cálculos'!$C$98)/(('Cálculos'!$C$197+(($B$54)-$A31)*'Cálculos'!$C$98)+1400)+'Cálculos'!$C$123)*'Cálculos'!$C$237)+('Cálculos'!$C$228+'Cálculos'!$C$124*(1+2.78*('Cálculos'!$C$197+(($B$54)-$A31)*'Cálculos'!$C$98)/(('Cálculos'!$C$197+(($B$54)-$A31)*'Cálculos'!$C$98)+1400)+'Cálculos'!$C$122)*'Cálculos'!$C$233+'Cálculos'!$C$125*(1+2.78*('Cálculos'!$C$197+(($B$54)-$A31)*'Cálculos'!$C$98)/(('Cálculos'!$C$197+(($B$54)-$A31)*'Cálculos'!$C$98)+1400)+'Cálculos'!$C$123)*'Cálculos'!$C$238)+('Cálculos'!$C$185*(1+'Cálculos'!$C$188+$A31*('Cálculos'!$C$290=1)*'Cálculos'!$C$97+'Cálculos'!$C$305)+'Cálculos'!$C$193)*('Cálculos'!$C$239+'Cálculos'!$C$124*(1+2.78*('Cálculos'!$C$198+(($B$54)-$A31)*'Cálculos'!$C$98)/(('Cálculos'!$C$198+(($B$54)-$A31)*'Cálculos'!$C$98)+1400)+'Cálculos'!$C$122)*'Cálculos'!$C$244+'Cálculos'!$C$125*(1+2.78*('Cálculos'!$C$198+(($B$54)-$A31)*'Cálculos'!$C$98)/(('Cálculos'!$C$198+(($B$54)-$A31)*'Cálculos'!$C$98)+1400)+'Cálculos'!$C$123)*'Cálculos'!$C$249)+('Cálculos'!$C$198+(($B$54)-$A31)*'Cálculos'!$C$98)*('Cálculos'!$C$240+'Cálculos'!$C$124*(1+2.78*('Cálculos'!$C$198+(($B$54)-$A31)*'Cálculos'!$C$98)/(('Cálculos'!$C$198+(($B$54)-$A31)*'Cálculos'!$C$98)+1400)+'Cálculos'!$C$122)*'Cálculos'!$C$245+'Cálculos'!$C$125*(1+2.78*('Cálculos'!$C$198+(($B$54)-$A31)*'Cálculos'!$C$98)/(('Cálculos'!$C$198+(($B$54)-$A31)*'Cálculos'!$C$98)+1400)+'Cálculos'!$C$123)*'Cálculos'!$C$250)+('Cálculos'!$C$201*(1+'Cálculos'!$C$202+$A31*('Cálculos'!$C$290=2)*'Cálculos'!$C$101)+'Cálculos'!$C$203)*('Cálculos'!$C$241+'Cálculos'!$C$124*(1+2.78*('Cálculos'!$C$198+(($B$54)-$A31)*'Cálculos'!$C$98)/(('Cálculos'!$C$198+(($B$54)-$A31)*'Cálculos'!$C$98)+1400)+'Cálculos'!$C$122)*'Cálculos'!$C$246+'Cálculos'!$C$125*(1+2.78*('Cálculos'!$C$198+(($B$54)-$A31)*'Cálculos'!$C$98)/(('Cálculos'!$C$198+(($B$54)-$A31)*'Cálculos'!$C$98)+1400)+'Cálculos'!$C$123)*'Cálculos'!$C$251)+('Cálculos'!$C$204*(1+'Cálculos'!$C$205+$A31*('Cálculos'!$C$290=3)*'Cálculos'!$C$103)+'Cálculos'!$C$206)*('Cálculos'!$C$242+'Cálculos'!$C$124*(1+2.78*('Cálculos'!$C$198+(($B$54)-$A31)*'Cálculos'!$C$98)/(('Cálculos'!$C$198+(($B$54)-$A31)*'Cálculos'!$C$98)+1400)+'Cálculos'!$C$122)*'Cálculos'!$C$247+'Cálculos'!$C$125*(1+2.78*('Cálculos'!$C$198+(($B$54)-$A31)*'Cálculos'!$C$98)/(('Cálculos'!$C$198+(($B$54)-$A31)*'Cálculos'!$C$98)+1400)+'Cálculos'!$C$123)*'Cálculos'!$C$252)+('Cálculos'!$C$243+'Cálculos'!$C$124*(1+2.78*('Cálculos'!$C$198+(($B$54)-$A31)*'Cálculos'!$C$98)/(('Cálculos'!$C$198+(($B$54)-$A31)*'Cálculos'!$C$98)+1400)+'Cálculos'!$C$122)*'Cálculos'!$C$248+'Cálculos'!$C$125*(1+2.78*('Cálculos'!$C$198+(($B$54)-$A31)*'Cálculos'!$C$98)/(('Cálculos'!$C$198+(($B$54)-$A31)*'Cálculos'!$C$98)+1400)+'Cálculos'!$C$123)*'Cálculos'!$C$253)+('Cálculos'!$C$185*(1+'Cálculos'!$C$189+$A31*('Cálculos'!$C$290=1)*'Cálculos'!$C$97+'Cálculos'!$C$305)+'Cálculos'!$C$194)*('Cálculos'!$C$254+'Cálculos'!$C$124*(1+2.78*('Cálculos'!$C$199+(($B$54)-$A31)*'Cálculos'!$C$98)/(('Cálculos'!$C$199+(($B$54)-$A31)*'Cálculos'!$C$98)+1400)+'Cálculos'!$C$122)*'Cálculos'!$C$259+'Cálculos'!$C$125*(1+2.78*('Cálculos'!$C$199+(($B$54)-$A31)*'Cálculos'!$C$98)/(('Cálculos'!$C$199+(($B$54)-$A31)*'Cálculos'!$C$98)+1400)+'Cálculos'!$C$123)*'Cálculos'!$C$264)+('Cálculos'!$C$199+(($B$54)-$A31)*'Cálculos'!$C$98)*('Cálculos'!$C$255+'Cálculos'!$C$124*(1+2.78*('Cálculos'!$C$199+(($B$54)-$A31)*'Cálculos'!$C$98)/(('Cálculos'!$C$199+(($B$54)-$A31)*'Cálculos'!$C$98)+1400)+'Cálculos'!$C$122)*'Cálculos'!$C$260+'Cálculos'!$C$125*(1+2.78*('Cálculos'!$C$199+(($B$54)-$A31)*'Cálculos'!$C$98)/(('Cálculos'!$C$199+(($B$54)-$A31)*'Cálculos'!$C$98)+1400)+'Cálculos'!$C$123)*'Cálculos'!$C$265)+('Cálculos'!$C$201*(1+'Cálculos'!$C$202+$A31*('Cálculos'!$C$290=2)*'Cálculos'!$C$101)+'Cálculos'!$C$203)*('Cálculos'!$C$256+'Cálculos'!$C$124*(1+2.78*('Cálculos'!$C$199+(($B$54)-$A31)*'Cálculos'!$C$98)/(('Cálculos'!$C$199+(($B$54)-$A31)*'Cálculos'!$C$98)+1400)+'Cálculos'!$C$122)*'Cálculos'!$C$261+'Cálculos'!$C$125*(1+2.78*('Cálculos'!$C$199+(($B$54)-$A31)*'Cálculos'!$C$98)/(('Cálculos'!$C$199+(($B$54)-$A31)*'Cálculos'!$C$98)+1400)+'Cálculos'!$C$123)*'Cálculos'!$C$266)+('Cálculos'!$C$204*(1+'Cálculos'!$C$205+$A31*('Cálculos'!$C$290=3)*'Cálculos'!$C$103)+'Cálculos'!$C$206)*('Cálculos'!$C$257+'Cálculos'!$C$124*(1+2.78*('Cálculos'!$C$199+(($B$54)-$A31)*'Cálculos'!$C$98)/(('Cálculos'!$C$199+(($B$54)-$A31)*'Cálculos'!$C$98)+1400)+'Cálculos'!$C$122)*'Cálculos'!$C$262+'Cálculos'!$C$125*(1+2.78*('Cálculos'!$C$199+(($B$54)-$A31)*'Cálculos'!$C$98)/(('Cálculos'!$C$199+(($B$54)-$A31)*'Cálculos'!$C$98)+1400)+'Cálculos'!$C$123)*'Cálculos'!$C$267)+('Cálculos'!$C$258+'Cálculos'!$C$124*(1+2.78*('Cálculos'!$C$199+(($B$54)-$A31)*'Cálculos'!$C$98)/(('Cálculos'!$C$199+(($B$54)-$A31)*'Cálculos'!$C$98)+1400)+'Cálculos'!$C$122)*'Cálculos'!$C$263+'Cálculos'!$C$125*(1+2.78*('Cálculos'!$C$199+(($B$54)-$A31)*'Cálculos'!$C$98)/(('Cálculos'!$C$199+(($B$54)-$A31)*'Cálculos'!$C$98)+1400)+'Cálculos'!$C$123)*'Cálculos'!$C$268)+('Cálculos'!$C$185*(1+'Cálculos'!$C$190+$A31*('Cálculos'!$C$290=1)*'Cálculos'!$C$97+'Cálculos'!$C$305)+'Cálculos'!$C$195)*('Cálculos'!$C$269+'Cálculos'!$C$124*(1+2.78*('Cálculos'!$C$200+(($B$54)-$A31)*'Cálculos'!$C$98)/(('Cálculos'!$C$200+(($B$54)-$A31)*'Cálculos'!$C$98)+1400)+'Cálculos'!$C$122)*'Cálculos'!$C$274+'Cálculos'!$C$125*(1+2.78*('Cálculos'!$C$200+(($B$54)-$A31)*'Cálculos'!$C$98)/(('Cálculos'!$C$200+(($B$54)-$A31)*'Cálculos'!$C$98)+1400)+'Cálculos'!$C$123)*'Cálculos'!$C$279)+('Cálculos'!$C$200+(($B$54)-$A31)*'Cálculos'!$C$98)*('Cálculos'!$C$270+'Cálculos'!$C$124*(1+2.78*('Cálculos'!$C$200+(($B$54)-$A31)*'Cálculos'!$C$98)/(('Cálculos'!$C$200+(($B$54)-$A31)*'Cálculos'!$C$98)+1400)+'Cálculos'!$C$122)*'Cálculos'!$C$275+'Cálculos'!$C$125*(1+2.78*('Cálculos'!$C$200+(($B$54)-$A31)*'Cálculos'!$C$98)/(('Cálculos'!$C$200+(($B$54)-$A31)*'Cálculos'!$C$98)+1400)+'Cálculos'!$C$123)*'Cálculos'!$C$280)+('Cálculos'!$C$201*(1+'Cálculos'!$C$202+$A31*('Cálculos'!$C$290=2)*'Cálculos'!$C$101)+'Cálculos'!$C$203)*('Cálculos'!$C$271+'Cálculos'!$C$124*(1+2.78*('Cálculos'!$C$200+(($B$54)-$A31)*'Cálculos'!$C$98)/(('Cálculos'!$C$200+(($B$54)-$A31)*'Cálculos'!$C$98)+1400)+'Cálculos'!$C$122)*'Cálculos'!$C$276+'Cálculos'!$C$125*(1+2.78*('Cálculos'!$C$200+(($B$54)-$A31)*'Cálculos'!$C$98)/(('Cálculos'!$C$200+(($B$54)-$A31)*'Cálculos'!$C$98)+1400)+'Cálculos'!$C$123)*'Cálculos'!$C$281)+('Cálculos'!$C$204*(1+'Cálculos'!$C$205+$A31*('Cálculos'!$C$290=3)*'Cálculos'!$C$103)+'Cálculos'!$C$206)*('Cálculos'!$C$272+'Cálculos'!$C$124*(1+2.78*('Cálculos'!$C$200+(($B$54)-$A31)*'Cálculos'!$C$98)/(('Cálculos'!$C$200+(($B$54)-$A31)*'Cálculos'!$C$98)+1400)+'Cálculos'!$C$122)*'Cálculos'!$C$277+'Cálculos'!$C$125*(1+2.78*('Cálculos'!$C$200+(($B$54)-$A31)*'Cálculos'!$C$98)/(('Cálculos'!$C$200+(($B$54)-$A31)*'Cálculos'!$C$98)+1400)+'Cálculos'!$C$123)*'Cálculos'!$C$282)+('Cálculos'!$C$273+'Cálculos'!$C$124*(1+2.78*('Cálculos'!$C$200+(($B$54)-$A31)*'Cálculos'!$C$98)/(('Cálculos'!$C$200+(($B$54)-$A31)*'Cálculos'!$C$98)+1400)+'Cálculos'!$C$122)*'Cálculos'!$C$278+'Cálculos'!$C$125*(1+2.78*('Cálculos'!$C$200+(($B$54)-$A31)*'Cálculos'!$C$98)/(('Cálculos'!$C$200+(($B$54)-$A31)*'Cálculos'!$C$98)+1400)+'Cálculos'!$C$123)*'Cálculos'!$C$283)))</f>
        <v>0</v>
      </c>
    </row>
    <row r="32" ht="15.75" customHeight="1">
      <c r="A32" s="2">
        <v>26.0</v>
      </c>
      <c r="B32" s="30">
        <f>SUMPRODUCT(MAX(($A$6:$A$51&lt;=$A32)*($A$6:$A$51&lt;='Cálculos'!$C$294)*(($A32)-$A$6:$A$51&lt;='Cálculos'!$C$295)*(1+(('Cálculos'!$C$207+$A$6:$A$51*'Cálculos'!$C$95)-(('Cálculos'!$C$207+$A$6:$A$51*'Cálculos'!$C$95)&gt;1)*(('Cálculos'!$C$207+$A$6:$A$51*'Cálculos'!$C$95)-1))*('Cálculos'!$C$208+(($A32)-$A$6:$A$51)*'Cálculos'!$C$96))))</f>
        <v>3.945242</v>
      </c>
      <c r="C32" s="2">
        <f>'Cálculos'!$C$303-$A32</f>
        <v>-6</v>
      </c>
      <c r="D32" s="31">
        <f>IF($C32&lt;0,0,SUMPRODUCT(MAX(($A$6:$A$51&lt;=$C32)*($A$6:$A$51&lt;='Cálculos'!$C$301)*(($C32)-$A$6:$A$51&lt;='Cálculos'!$C$297)*(('Cálculos'!$C$185*(1+'Cálculos'!$C$186+$A$6:$A$51*('Cálculos'!$C$290=1)*'Cálculos'!$C$97+'Cálculos'!$C$305)+'Cálculos'!$C$191)*('Cálculos'!$C$209+'Cálculos'!$C$124*(1+2.78*('Cálculos'!$C$196+(($C32)-$A$6:$A$51)*'Cálculos'!$C$98)/(('Cálculos'!$C$196+(($C32)-$A$6:$A$51)*'Cálculos'!$C$98)+1400)+'Cálculos'!$C$122)*'Cálculos'!$C$214+'Cálculos'!$C$125*(1+2.78*('Cálculos'!$C$196+(($C32)-$A$6:$A$51)*'Cálculos'!$C$98)/(('Cálculos'!$C$196+(($C32)-$A$6:$A$51)*'Cálculos'!$C$98)+1400)+'Cálculos'!$C$123)*'Cálculos'!$C$219)+('Cálculos'!$C$196+(($C32)-$A$6:$A$51)*'Cálculos'!$C$98)*('Cálculos'!$C$210+'Cálculos'!$C$124*(1+2.78*('Cálculos'!$C$196+(($C32)-$A$6:$A$51)*'Cálculos'!$C$98)/(('Cálculos'!$C$196+(($C32)-$A$6:$A$51)*'Cálculos'!$C$98)+1400)+'Cálculos'!$C$122)*'Cálculos'!$C$215+'Cálculos'!$C$125*(1+2.78*('Cálculos'!$C$196+(($C32)-$A$6:$A$51)*'Cálculos'!$C$98)/(('Cálculos'!$C$196+(($C32)-$A$6:$A$51)*'Cálculos'!$C$98)+1400)+'Cálculos'!$C$123)*'Cálculos'!$C$220)+('Cálculos'!$C$201*(1+'Cálculos'!$C$202+$A$6:$A$51*('Cálculos'!$C$290=2)*'Cálculos'!$C$101)+'Cálculos'!$C$203)*('Cálculos'!$C$211+'Cálculos'!$C$124*(1+2.78*('Cálculos'!$C$196+(($C32)-$A$6:$A$51)*'Cálculos'!$C$98)/(('Cálculos'!$C$196+(($C32)-$A$6:$A$51)*'Cálculos'!$C$98)+1400)+'Cálculos'!$C$122)*'Cálculos'!$C$216+'Cálculos'!$C$125*(1+2.78*('Cálculos'!$C$196+(($C32)-$A$6:$A$51)*'Cálculos'!$C$98)/(('Cálculos'!$C$196+(($C32)-$A$6:$A$51)*'Cálculos'!$C$98)+1400)+'Cálculos'!$C$123)*'Cálculos'!$C$221)+('Cálculos'!$C$204*(1+'Cálculos'!$C$205+$A$6:$A$51*('Cálculos'!$C$290=3)*'Cálculos'!$C$103)+'Cálculos'!$C$206)*('Cálculos'!$C$212+'Cálculos'!$C$124*(1+2.78*('Cálculos'!$C$196+(($C32)-$A$6:$A$51)*'Cálculos'!$C$98)/(('Cálculos'!$C$196+(($C32)-$A$6:$A$51)*'Cálculos'!$C$98)+1400)+'Cálculos'!$C$122)*'Cálculos'!$C$217+'Cálculos'!$C$125*(1+2.78*('Cálculos'!$C$196+(($C32)-$A$6:$A$51)*'Cálculos'!$C$98)/(('Cálculos'!$C$196+(($C32)-$A$6:$A$51)*'Cálculos'!$C$98)+1400)+'Cálculos'!$C$123)*'Cálculos'!$C$222)+('Cálculos'!$C$213+'Cálculos'!$C$124*(1+2.78*('Cálculos'!$C$196+(($C32)-$A$6:$A$51)*'Cálculos'!$C$98)/(('Cálculos'!$C$196+(($C32)-$A$6:$A$51)*'Cálculos'!$C$98)+1400)+'Cálculos'!$C$122)*'Cálculos'!$C$218+'Cálculos'!$C$125*(1+2.78*('Cálculos'!$C$196+(($C32)-$A$6:$A$51)*'Cálculos'!$C$98)/(('Cálculos'!$C$196+(($C32)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32)-$A$6:$A$51)*'Cálculos'!$C$98)/(('Cálculos'!$C$197+(($C32)-$A$6:$A$51)*'Cálculos'!$C$98)+1400)+'Cálculos'!$C$122)*'Cálculos'!$C$229+'Cálculos'!$C$125*(1+2.78*('Cálculos'!$C$197+(($C32)-$A$6:$A$51)*'Cálculos'!$C$98)/(('Cálculos'!$C$197+(($C32)-$A$6:$A$51)*'Cálculos'!$C$98)+1400)+'Cálculos'!$C$123)*'Cálculos'!$C$234)+('Cálculos'!$C$197+(($C32)-$A$6:$A$51)*'Cálculos'!$C$98)*('Cálculos'!$C$225+'Cálculos'!$C$124*(1+2.78*('Cálculos'!$C$197+(($C32)-$A$6:$A$51)*'Cálculos'!$C$98)/(('Cálculos'!$C$197+(($C32)-$A$6:$A$51)*'Cálculos'!$C$98)+1400)+'Cálculos'!$C$122)*'Cálculos'!$C$230+'Cálculos'!$C$125*(1+2.78*('Cálculos'!$C$197+(($C32)-$A$6:$A$51)*'Cálculos'!$C$98)/(('Cálculos'!$C$197+(($C32)-$A$6:$A$51)*'Cálculos'!$C$98)+1400)+'Cálculos'!$C$123)*'Cálculos'!$C$235)+('Cálculos'!$C$201*(1+'Cálculos'!$C$202+$A$6:$A$51*('Cálculos'!$C$290=2)*'Cálculos'!$C$101)+'Cálculos'!$C$203)*('Cálculos'!$C$226+'Cálculos'!$C$124*(1+2.78*('Cálculos'!$C$197+(($C32)-$A$6:$A$51)*'Cálculos'!$C$98)/(('Cálculos'!$C$197+(($C32)-$A$6:$A$51)*'Cálculos'!$C$98)+1400)+'Cálculos'!$C$122)*'Cálculos'!$C$231+'Cálculos'!$C$125*(1+2.78*('Cálculos'!$C$197+(($C32)-$A$6:$A$51)*'Cálculos'!$C$98)/(('Cálculos'!$C$197+(($C32)-$A$6:$A$51)*'Cálculos'!$C$98)+1400)+'Cálculos'!$C$123)*'Cálculos'!$C$236)+('Cálculos'!$C$204*(1+'Cálculos'!$C$205+$A$6:$A$51*('Cálculos'!$C$290=3)*'Cálculos'!$C$103)+'Cálculos'!$C$206)*('Cálculos'!$C$227+'Cálculos'!$C$124*(1+2.78*('Cálculos'!$C$197+(($C32)-$A$6:$A$51)*'Cálculos'!$C$98)/(('Cálculos'!$C$197+(($C32)-$A$6:$A$51)*'Cálculos'!$C$98)+1400)+'Cálculos'!$C$122)*'Cálculos'!$C$232+'Cálculos'!$C$125*(1+2.78*('Cálculos'!$C$197+(($C32)-$A$6:$A$51)*'Cálculos'!$C$98)/(('Cálculos'!$C$197+(($C32)-$A$6:$A$51)*'Cálculos'!$C$98)+1400)+'Cálculos'!$C$123)*'Cálculos'!$C$237)+('Cálculos'!$C$228+'Cálculos'!$C$124*(1+2.78*('Cálculos'!$C$197+(($C32)-$A$6:$A$51)*'Cálculos'!$C$98)/(('Cálculos'!$C$197+(($C32)-$A$6:$A$51)*'Cálculos'!$C$98)+1400)+'Cálculos'!$C$122)*'Cálculos'!$C$233+'Cálculos'!$C$125*(1+2.78*('Cálculos'!$C$197+(($C32)-$A$6:$A$51)*'Cálculos'!$C$98)/(('Cálculos'!$C$197+(($C32)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32)-$A$6:$A$51)*'Cálculos'!$C$98)/(('Cálculos'!$C$198+(($C32)-$A$6:$A$51)*'Cálculos'!$C$98)+1400)+'Cálculos'!$C$122)*'Cálculos'!$C$244+'Cálculos'!$C$125*(1+2.78*('Cálculos'!$C$198+(($C32)-$A$6:$A$51)*'Cálculos'!$C$98)/(('Cálculos'!$C$198+(($C32)-$A$6:$A$51)*'Cálculos'!$C$98)+1400)+'Cálculos'!$C$123)*'Cálculos'!$C$249)+('Cálculos'!$C$198+(($C32)-$A$6:$A$51)*'Cálculos'!$C$98)*('Cálculos'!$C$240+'Cálculos'!$C$124*(1+2.78*('Cálculos'!$C$198+(($C32)-$A$6:$A$51)*'Cálculos'!$C$98)/(('Cálculos'!$C$198+(($C32)-$A$6:$A$51)*'Cálculos'!$C$98)+1400)+'Cálculos'!$C$122)*'Cálculos'!$C$245+'Cálculos'!$C$125*(1+2.78*('Cálculos'!$C$198+(($C32)-$A$6:$A$51)*'Cálculos'!$C$98)/(('Cálculos'!$C$198+(($C32)-$A$6:$A$51)*'Cálculos'!$C$98)+1400)+'Cálculos'!$C$123)*'Cálculos'!$C$250)+('Cálculos'!$C$201*(1+'Cálculos'!$C$202+$A$6:$A$51*('Cálculos'!$C$290=2)*'Cálculos'!$C$101)+'Cálculos'!$C$203)*('Cálculos'!$C$241+'Cálculos'!$C$124*(1+2.78*('Cálculos'!$C$198+(($C32)-$A$6:$A$51)*'Cálculos'!$C$98)/(('Cálculos'!$C$198+(($C32)-$A$6:$A$51)*'Cálculos'!$C$98)+1400)+'Cálculos'!$C$122)*'Cálculos'!$C$246+'Cálculos'!$C$125*(1+2.78*('Cálculos'!$C$198+(($C32)-$A$6:$A$51)*'Cálculos'!$C$98)/(('Cálculos'!$C$198+(($C32)-$A$6:$A$51)*'Cálculos'!$C$98)+1400)+'Cálculos'!$C$123)*'Cálculos'!$C$251)+('Cálculos'!$C$204*(1+'Cálculos'!$C$205+$A$6:$A$51*('Cálculos'!$C$290=3)*'Cálculos'!$C$103)+'Cálculos'!$C$206)*('Cálculos'!$C$242+'Cálculos'!$C$124*(1+2.78*('Cálculos'!$C$198+(($C32)-$A$6:$A$51)*'Cálculos'!$C$98)/(('Cálculos'!$C$198+(($C32)-$A$6:$A$51)*'Cálculos'!$C$98)+1400)+'Cálculos'!$C$122)*'Cálculos'!$C$247+'Cálculos'!$C$125*(1+2.78*('Cálculos'!$C$198+(($C32)-$A$6:$A$51)*'Cálculos'!$C$98)/(('Cálculos'!$C$198+(($C32)-$A$6:$A$51)*'Cálculos'!$C$98)+1400)+'Cálculos'!$C$123)*'Cálculos'!$C$252)+('Cálculos'!$C$243+'Cálculos'!$C$124*(1+2.78*('Cálculos'!$C$198+(($C32)-$A$6:$A$51)*'Cálculos'!$C$98)/(('Cálculos'!$C$198+(($C32)-$A$6:$A$51)*'Cálculos'!$C$98)+1400)+'Cálculos'!$C$122)*'Cálculos'!$C$248+'Cálculos'!$C$125*(1+2.78*('Cálculos'!$C$198+(($C32)-$A$6:$A$51)*'Cálculos'!$C$98)/(('Cálculos'!$C$198+(($C32)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32)-$A$6:$A$51)*'Cálculos'!$C$98)/(('Cálculos'!$C$199+(($C32)-$A$6:$A$51)*'Cálculos'!$C$98)+1400)+'Cálculos'!$C$122)*'Cálculos'!$C$259+'Cálculos'!$C$125*(1+2.78*('Cálculos'!$C$199+(($C32)-$A$6:$A$51)*'Cálculos'!$C$98)/(('Cálculos'!$C$199+(($C32)-$A$6:$A$51)*'Cálculos'!$C$98)+1400)+'Cálculos'!$C$123)*'Cálculos'!$C$264)+('Cálculos'!$C$199+(($C32)-$A$6:$A$51)*'Cálculos'!$C$98)*('Cálculos'!$C$255+'Cálculos'!$C$124*(1+2.78*('Cálculos'!$C$199+(($C32)-$A$6:$A$51)*'Cálculos'!$C$98)/(('Cálculos'!$C$199+(($C32)-$A$6:$A$51)*'Cálculos'!$C$98)+1400)+'Cálculos'!$C$122)*'Cálculos'!$C$260+'Cálculos'!$C$125*(1+2.78*('Cálculos'!$C$199+(($C32)-$A$6:$A$51)*'Cálculos'!$C$98)/(('Cálculos'!$C$199+(($C32)-$A$6:$A$51)*'Cálculos'!$C$98)+1400)+'Cálculos'!$C$123)*'Cálculos'!$C$265)+('Cálculos'!$C$201*(1+'Cálculos'!$C$202+$A$6:$A$51*('Cálculos'!$C$290=2)*'Cálculos'!$C$101)+'Cálculos'!$C$203)*('Cálculos'!$C$256+'Cálculos'!$C$124*(1+2.78*('Cálculos'!$C$199+(($C32)-$A$6:$A$51)*'Cálculos'!$C$98)/(('Cálculos'!$C$199+(($C32)-$A$6:$A$51)*'Cálculos'!$C$98)+1400)+'Cálculos'!$C$122)*'Cálculos'!$C$261+'Cálculos'!$C$125*(1+2.78*('Cálculos'!$C$199+(($C32)-$A$6:$A$51)*'Cálculos'!$C$98)/(('Cálculos'!$C$199+(($C32)-$A$6:$A$51)*'Cálculos'!$C$98)+1400)+'Cálculos'!$C$123)*'Cálculos'!$C$266)+('Cálculos'!$C$204*(1+'Cálculos'!$C$205+$A$6:$A$51*('Cálculos'!$C$290=3)*'Cálculos'!$C$103)+'Cálculos'!$C$206)*('Cálculos'!$C$257+'Cálculos'!$C$124*(1+2.78*('Cálculos'!$C$199+(($C32)-$A$6:$A$51)*'Cálculos'!$C$98)/(('Cálculos'!$C$199+(($C32)-$A$6:$A$51)*'Cálculos'!$C$98)+1400)+'Cálculos'!$C$122)*'Cálculos'!$C$262+'Cálculos'!$C$125*(1+2.78*('Cálculos'!$C$199+(($C32)-$A$6:$A$51)*'Cálculos'!$C$98)/(('Cálculos'!$C$199+(($C32)-$A$6:$A$51)*'Cálculos'!$C$98)+1400)+'Cálculos'!$C$123)*'Cálculos'!$C$267)+('Cálculos'!$C$258+'Cálculos'!$C$124*(1+2.78*('Cálculos'!$C$199+(($C32)-$A$6:$A$51)*'Cálculos'!$C$98)/(('Cálculos'!$C$199+(($C32)-$A$6:$A$51)*'Cálculos'!$C$98)+1400)+'Cálculos'!$C$122)*'Cálculos'!$C$263+'Cálculos'!$C$125*(1+2.78*('Cálculos'!$C$199+(($C32)-$A$6:$A$51)*'Cálculos'!$C$98)/(('Cálculos'!$C$199+(($C32)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32)-$A$6:$A$51)*'Cálculos'!$C$98)/(('Cálculos'!$C$200+(($C32)-$A$6:$A$51)*'Cálculos'!$C$98)+1400)+'Cálculos'!$C$122)*'Cálculos'!$C$274+'Cálculos'!$C$125*(1+2.78*('Cálculos'!$C$200+(($C32)-$A$6:$A$51)*'Cálculos'!$C$98)/(('Cálculos'!$C$200+(($C32)-$A$6:$A$51)*'Cálculos'!$C$98)+1400)+'Cálculos'!$C$123)*'Cálculos'!$C$279)+('Cálculos'!$C$200+(($C32)-$A$6:$A$51)*'Cálculos'!$C$98)*('Cálculos'!$C$270+'Cálculos'!$C$124*(1+2.78*('Cálculos'!$C$200+(($C32)-$A$6:$A$51)*'Cálculos'!$C$98)/(('Cálculos'!$C$200+(($C32)-$A$6:$A$51)*'Cálculos'!$C$98)+1400)+'Cálculos'!$C$122)*'Cálculos'!$C$275+'Cálculos'!$C$125*(1+2.78*('Cálculos'!$C$200+(($C32)-$A$6:$A$51)*'Cálculos'!$C$98)/(('Cálculos'!$C$200+(($C32)-$A$6:$A$51)*'Cálculos'!$C$98)+1400)+'Cálculos'!$C$123)*'Cálculos'!$C$280)+('Cálculos'!$C$201*(1+'Cálculos'!$C$202+$A$6:$A$51*('Cálculos'!$C$290=2)*'Cálculos'!$C$101)+'Cálculos'!$C$203)*('Cálculos'!$C$271+'Cálculos'!$C$124*(1+2.78*('Cálculos'!$C$200+(($C32)-$A$6:$A$51)*'Cálculos'!$C$98)/(('Cálculos'!$C$200+(($C32)-$A$6:$A$51)*'Cálculos'!$C$98)+1400)+'Cálculos'!$C$122)*'Cálculos'!$C$276+'Cálculos'!$C$125*(1+2.78*('Cálculos'!$C$200+(($C32)-$A$6:$A$51)*'Cálculos'!$C$98)/(('Cálculos'!$C$200+(($C32)-$A$6:$A$51)*'Cálculos'!$C$98)+1400)+'Cálculos'!$C$123)*'Cálculos'!$C$281)+('Cálculos'!$C$204*(1+'Cálculos'!$C$205+$A$6:$A$51*('Cálculos'!$C$290=3)*'Cálculos'!$C$103)+'Cálculos'!$C$206)*('Cálculos'!$C$272+'Cálculos'!$C$124*(1+2.78*('Cálculos'!$C$200+(($C32)-$A$6:$A$51)*'Cálculos'!$C$98)/(('Cálculos'!$C$200+(($C32)-$A$6:$A$51)*'Cálculos'!$C$98)+1400)+'Cálculos'!$C$122)*'Cálculos'!$C$277+'Cálculos'!$C$125*(1+2.78*('Cálculos'!$C$200+(($C32)-$A$6:$A$51)*'Cálculos'!$C$98)/(('Cálculos'!$C$200+(($C32)-$A$6:$A$51)*'Cálculos'!$C$98)+1400)+'Cálculos'!$C$123)*'Cálculos'!$C$282)+('Cálculos'!$C$273+'Cálculos'!$C$124*(1+2.78*('Cálculos'!$C$200+(($C32)-$A$6:$A$51)*'Cálculos'!$C$98)/(('Cálculos'!$C$200+(($C32)-$A$6:$A$51)*'Cálculos'!$C$98)+1400)+'Cálculos'!$C$122)*'Cálculos'!$C$278+'Cálculos'!$C$125*(1+2.78*('Cálculos'!$C$200+(($C32)-$A$6:$A$51)*'Cálculos'!$C$98)/(('Cálculos'!$C$200+(($C32)-$A$6:$A$51)*'Cálculos'!$C$98)+1400)+'Cálculos'!$C$123)*'Cálculos'!$C$283)))))</f>
        <v>0</v>
      </c>
      <c r="E32" s="32">
        <f>IF(OR($C32&lt;0,'Cálculos'!$C$6=""),0,$B32*$D32)</f>
        <v>0</v>
      </c>
      <c r="F32" s="2"/>
      <c r="G32" s="30">
        <f>($A32&lt;=$B$53)*($A32&lt;='Cálculos'!$C$294)*(($B$53)-$A32&lt;='Cálculos'!$C$295)*(1+MIN(('Cálculos'!$C$207+$A32*'Cálculos'!$C$95),1)*('Cálculos'!$C$208+(($B$53)-$A32)*'Cálculos'!$C$96))</f>
        <v>0</v>
      </c>
      <c r="H32" s="31">
        <f>IF($B$54&lt;0,0,($A32&lt;=$B$54)*($A32&lt;='Cálculos'!$C$301)*(($B$54)-$A32&lt;='Cálculos'!$C$297)*(('Cálculos'!$C$185*(1+'Cálculos'!$C$186+$A32*('Cálculos'!$C$290=1)*'Cálculos'!$C$97+'Cálculos'!$C$305)+'Cálculos'!$C$191)*('Cálculos'!$C$209+'Cálculos'!$C$124*(1+2.78*('Cálculos'!$C$196+(($B$54)-$A32)*'Cálculos'!$C$98)/(('Cálculos'!$C$196+(($B$54)-$A32)*'Cálculos'!$C$98)+1400)+'Cálculos'!$C$122)*'Cálculos'!$C$214+'Cálculos'!$C$125*(1+2.78*('Cálculos'!$C$196+(($B$54)-$A32)*'Cálculos'!$C$98)/(('Cálculos'!$C$196+(($B$54)-$A32)*'Cálculos'!$C$98)+1400)+'Cálculos'!$C$123)*'Cálculos'!$C$219)+('Cálculos'!$C$196+(($B$54)-$A32)*'Cálculos'!$C$98)*('Cálculos'!$C$210+'Cálculos'!$C$124*(1+2.78*('Cálculos'!$C$196+(($B$54)-$A32)*'Cálculos'!$C$98)/(('Cálculos'!$C$196+(($B$54)-$A32)*'Cálculos'!$C$98)+1400)+'Cálculos'!$C$122)*'Cálculos'!$C$215+'Cálculos'!$C$125*(1+2.78*('Cálculos'!$C$196+(($B$54)-$A32)*'Cálculos'!$C$98)/(('Cálculos'!$C$196+(($B$54)-$A32)*'Cálculos'!$C$98)+1400)+'Cálculos'!$C$123)*'Cálculos'!$C$220)+('Cálculos'!$C$201*(1+'Cálculos'!$C$202+$A32*('Cálculos'!$C$290=2)*'Cálculos'!$C$101)+'Cálculos'!$C$203)*('Cálculos'!$C$211+'Cálculos'!$C$124*(1+2.78*('Cálculos'!$C$196+(($B$54)-$A32)*'Cálculos'!$C$98)/(('Cálculos'!$C$196+(($B$54)-$A32)*'Cálculos'!$C$98)+1400)+'Cálculos'!$C$122)*'Cálculos'!$C$216+'Cálculos'!$C$125*(1+2.78*('Cálculos'!$C$196+(($B$54)-$A32)*'Cálculos'!$C$98)/(('Cálculos'!$C$196+(($B$54)-$A32)*'Cálculos'!$C$98)+1400)+'Cálculos'!$C$123)*'Cálculos'!$C$221)+('Cálculos'!$C$204*(1+'Cálculos'!$C$205+$A32*('Cálculos'!$C$290=3)*'Cálculos'!$C$103)+'Cálculos'!$C$206)*('Cálculos'!$C$212+'Cálculos'!$C$124*(1+2.78*('Cálculos'!$C$196+(($B$54)-$A32)*'Cálculos'!$C$98)/(('Cálculos'!$C$196+(($B$54)-$A32)*'Cálculos'!$C$98)+1400)+'Cálculos'!$C$122)*'Cálculos'!$C$217+'Cálculos'!$C$125*(1+2.78*('Cálculos'!$C$196+(($B$54)-$A32)*'Cálculos'!$C$98)/(('Cálculos'!$C$196+(($B$54)-$A32)*'Cálculos'!$C$98)+1400)+'Cálculos'!$C$123)*'Cálculos'!$C$222)+('Cálculos'!$C$213+'Cálculos'!$C$124*(1+2.78*('Cálculos'!$C$196+(($B$54)-$A32)*'Cálculos'!$C$98)/(('Cálculos'!$C$196+(($B$54)-$A32)*'Cálculos'!$C$98)+1400)+'Cálculos'!$C$122)*'Cálculos'!$C$218+'Cálculos'!$C$125*(1+2.78*('Cálculos'!$C$196+(($B$54)-$A32)*'Cálculos'!$C$98)/(('Cálculos'!$C$196+(($B$54)-$A32)*'Cálculos'!$C$98)+1400)+'Cálculos'!$C$123)*'Cálculos'!$C$223)+('Cálculos'!$C$185*(1+'Cálculos'!$C$187+$A32*('Cálculos'!$C$290=1)*'Cálculos'!$C$97+'Cálculos'!$C$305)+'Cálculos'!$C$192)*('Cálculos'!$C$224+'Cálculos'!$C$124*(1+2.78*('Cálculos'!$C$197+(($B$54)-$A32)*'Cálculos'!$C$98)/(('Cálculos'!$C$197+(($B$54)-$A32)*'Cálculos'!$C$98)+1400)+'Cálculos'!$C$122)*'Cálculos'!$C$229+'Cálculos'!$C$125*(1+2.78*('Cálculos'!$C$197+(($B$54)-$A32)*'Cálculos'!$C$98)/(('Cálculos'!$C$197+(($B$54)-$A32)*'Cálculos'!$C$98)+1400)+'Cálculos'!$C$123)*'Cálculos'!$C$234)+('Cálculos'!$C$197+(($B$54)-$A32)*'Cálculos'!$C$98)*('Cálculos'!$C$225+'Cálculos'!$C$124*(1+2.78*('Cálculos'!$C$197+(($B$54)-$A32)*'Cálculos'!$C$98)/(('Cálculos'!$C$197+(($B$54)-$A32)*'Cálculos'!$C$98)+1400)+'Cálculos'!$C$122)*'Cálculos'!$C$230+'Cálculos'!$C$125*(1+2.78*('Cálculos'!$C$197+(($B$54)-$A32)*'Cálculos'!$C$98)/(('Cálculos'!$C$197+(($B$54)-$A32)*'Cálculos'!$C$98)+1400)+'Cálculos'!$C$123)*'Cálculos'!$C$235)+('Cálculos'!$C$201*(1+'Cálculos'!$C$202+$A32*('Cálculos'!$C$290=2)*'Cálculos'!$C$101)+'Cálculos'!$C$203)*('Cálculos'!$C$226+'Cálculos'!$C$124*(1+2.78*('Cálculos'!$C$197+(($B$54)-$A32)*'Cálculos'!$C$98)/(('Cálculos'!$C$197+(($B$54)-$A32)*'Cálculos'!$C$98)+1400)+'Cálculos'!$C$122)*'Cálculos'!$C$231+'Cálculos'!$C$125*(1+2.78*('Cálculos'!$C$197+(($B$54)-$A32)*'Cálculos'!$C$98)/(('Cálculos'!$C$197+(($B$54)-$A32)*'Cálculos'!$C$98)+1400)+'Cálculos'!$C$123)*'Cálculos'!$C$236)+('Cálculos'!$C$204*(1+'Cálculos'!$C$205+$A32*('Cálculos'!$C$290=3)*'Cálculos'!$C$103)+'Cálculos'!$C$206)*('Cálculos'!$C$227+'Cálculos'!$C$124*(1+2.78*('Cálculos'!$C$197+(($B$54)-$A32)*'Cálculos'!$C$98)/(('Cálculos'!$C$197+(($B$54)-$A32)*'Cálculos'!$C$98)+1400)+'Cálculos'!$C$122)*'Cálculos'!$C$232+'Cálculos'!$C$125*(1+2.78*('Cálculos'!$C$197+(($B$54)-$A32)*'Cálculos'!$C$98)/(('Cálculos'!$C$197+(($B$54)-$A32)*'Cálculos'!$C$98)+1400)+'Cálculos'!$C$123)*'Cálculos'!$C$237)+('Cálculos'!$C$228+'Cálculos'!$C$124*(1+2.78*('Cálculos'!$C$197+(($B$54)-$A32)*'Cálculos'!$C$98)/(('Cálculos'!$C$197+(($B$54)-$A32)*'Cálculos'!$C$98)+1400)+'Cálculos'!$C$122)*'Cálculos'!$C$233+'Cálculos'!$C$125*(1+2.78*('Cálculos'!$C$197+(($B$54)-$A32)*'Cálculos'!$C$98)/(('Cálculos'!$C$197+(($B$54)-$A32)*'Cálculos'!$C$98)+1400)+'Cálculos'!$C$123)*'Cálculos'!$C$238)+('Cálculos'!$C$185*(1+'Cálculos'!$C$188+$A32*('Cálculos'!$C$290=1)*'Cálculos'!$C$97+'Cálculos'!$C$305)+'Cálculos'!$C$193)*('Cálculos'!$C$239+'Cálculos'!$C$124*(1+2.78*('Cálculos'!$C$198+(($B$54)-$A32)*'Cálculos'!$C$98)/(('Cálculos'!$C$198+(($B$54)-$A32)*'Cálculos'!$C$98)+1400)+'Cálculos'!$C$122)*'Cálculos'!$C$244+'Cálculos'!$C$125*(1+2.78*('Cálculos'!$C$198+(($B$54)-$A32)*'Cálculos'!$C$98)/(('Cálculos'!$C$198+(($B$54)-$A32)*'Cálculos'!$C$98)+1400)+'Cálculos'!$C$123)*'Cálculos'!$C$249)+('Cálculos'!$C$198+(($B$54)-$A32)*'Cálculos'!$C$98)*('Cálculos'!$C$240+'Cálculos'!$C$124*(1+2.78*('Cálculos'!$C$198+(($B$54)-$A32)*'Cálculos'!$C$98)/(('Cálculos'!$C$198+(($B$54)-$A32)*'Cálculos'!$C$98)+1400)+'Cálculos'!$C$122)*'Cálculos'!$C$245+'Cálculos'!$C$125*(1+2.78*('Cálculos'!$C$198+(($B$54)-$A32)*'Cálculos'!$C$98)/(('Cálculos'!$C$198+(($B$54)-$A32)*'Cálculos'!$C$98)+1400)+'Cálculos'!$C$123)*'Cálculos'!$C$250)+('Cálculos'!$C$201*(1+'Cálculos'!$C$202+$A32*('Cálculos'!$C$290=2)*'Cálculos'!$C$101)+'Cálculos'!$C$203)*('Cálculos'!$C$241+'Cálculos'!$C$124*(1+2.78*('Cálculos'!$C$198+(($B$54)-$A32)*'Cálculos'!$C$98)/(('Cálculos'!$C$198+(($B$54)-$A32)*'Cálculos'!$C$98)+1400)+'Cálculos'!$C$122)*'Cálculos'!$C$246+'Cálculos'!$C$125*(1+2.78*('Cálculos'!$C$198+(($B$54)-$A32)*'Cálculos'!$C$98)/(('Cálculos'!$C$198+(($B$54)-$A32)*'Cálculos'!$C$98)+1400)+'Cálculos'!$C$123)*'Cálculos'!$C$251)+('Cálculos'!$C$204*(1+'Cálculos'!$C$205+$A32*('Cálculos'!$C$290=3)*'Cálculos'!$C$103)+'Cálculos'!$C$206)*('Cálculos'!$C$242+'Cálculos'!$C$124*(1+2.78*('Cálculos'!$C$198+(($B$54)-$A32)*'Cálculos'!$C$98)/(('Cálculos'!$C$198+(($B$54)-$A32)*'Cálculos'!$C$98)+1400)+'Cálculos'!$C$122)*'Cálculos'!$C$247+'Cálculos'!$C$125*(1+2.78*('Cálculos'!$C$198+(($B$54)-$A32)*'Cálculos'!$C$98)/(('Cálculos'!$C$198+(($B$54)-$A32)*'Cálculos'!$C$98)+1400)+'Cálculos'!$C$123)*'Cálculos'!$C$252)+('Cálculos'!$C$243+'Cálculos'!$C$124*(1+2.78*('Cálculos'!$C$198+(($B$54)-$A32)*'Cálculos'!$C$98)/(('Cálculos'!$C$198+(($B$54)-$A32)*'Cálculos'!$C$98)+1400)+'Cálculos'!$C$122)*'Cálculos'!$C$248+'Cálculos'!$C$125*(1+2.78*('Cálculos'!$C$198+(($B$54)-$A32)*'Cálculos'!$C$98)/(('Cálculos'!$C$198+(($B$54)-$A32)*'Cálculos'!$C$98)+1400)+'Cálculos'!$C$123)*'Cálculos'!$C$253)+('Cálculos'!$C$185*(1+'Cálculos'!$C$189+$A32*('Cálculos'!$C$290=1)*'Cálculos'!$C$97+'Cálculos'!$C$305)+'Cálculos'!$C$194)*('Cálculos'!$C$254+'Cálculos'!$C$124*(1+2.78*('Cálculos'!$C$199+(($B$54)-$A32)*'Cálculos'!$C$98)/(('Cálculos'!$C$199+(($B$54)-$A32)*'Cálculos'!$C$98)+1400)+'Cálculos'!$C$122)*'Cálculos'!$C$259+'Cálculos'!$C$125*(1+2.78*('Cálculos'!$C$199+(($B$54)-$A32)*'Cálculos'!$C$98)/(('Cálculos'!$C$199+(($B$54)-$A32)*'Cálculos'!$C$98)+1400)+'Cálculos'!$C$123)*'Cálculos'!$C$264)+('Cálculos'!$C$199+(($B$54)-$A32)*'Cálculos'!$C$98)*('Cálculos'!$C$255+'Cálculos'!$C$124*(1+2.78*('Cálculos'!$C$199+(($B$54)-$A32)*'Cálculos'!$C$98)/(('Cálculos'!$C$199+(($B$54)-$A32)*'Cálculos'!$C$98)+1400)+'Cálculos'!$C$122)*'Cálculos'!$C$260+'Cálculos'!$C$125*(1+2.78*('Cálculos'!$C$199+(($B$54)-$A32)*'Cálculos'!$C$98)/(('Cálculos'!$C$199+(($B$54)-$A32)*'Cálculos'!$C$98)+1400)+'Cálculos'!$C$123)*'Cálculos'!$C$265)+('Cálculos'!$C$201*(1+'Cálculos'!$C$202+$A32*('Cálculos'!$C$290=2)*'Cálculos'!$C$101)+'Cálculos'!$C$203)*('Cálculos'!$C$256+'Cálculos'!$C$124*(1+2.78*('Cálculos'!$C$199+(($B$54)-$A32)*'Cálculos'!$C$98)/(('Cálculos'!$C$199+(($B$54)-$A32)*'Cálculos'!$C$98)+1400)+'Cálculos'!$C$122)*'Cálculos'!$C$261+'Cálculos'!$C$125*(1+2.78*('Cálculos'!$C$199+(($B$54)-$A32)*'Cálculos'!$C$98)/(('Cálculos'!$C$199+(($B$54)-$A32)*'Cálculos'!$C$98)+1400)+'Cálculos'!$C$123)*'Cálculos'!$C$266)+('Cálculos'!$C$204*(1+'Cálculos'!$C$205+$A32*('Cálculos'!$C$290=3)*'Cálculos'!$C$103)+'Cálculos'!$C$206)*('Cálculos'!$C$257+'Cálculos'!$C$124*(1+2.78*('Cálculos'!$C$199+(($B$54)-$A32)*'Cálculos'!$C$98)/(('Cálculos'!$C$199+(($B$54)-$A32)*'Cálculos'!$C$98)+1400)+'Cálculos'!$C$122)*'Cálculos'!$C$262+'Cálculos'!$C$125*(1+2.78*('Cálculos'!$C$199+(($B$54)-$A32)*'Cálculos'!$C$98)/(('Cálculos'!$C$199+(($B$54)-$A32)*'Cálculos'!$C$98)+1400)+'Cálculos'!$C$123)*'Cálculos'!$C$267)+('Cálculos'!$C$258+'Cálculos'!$C$124*(1+2.78*('Cálculos'!$C$199+(($B$54)-$A32)*'Cálculos'!$C$98)/(('Cálculos'!$C$199+(($B$54)-$A32)*'Cálculos'!$C$98)+1400)+'Cálculos'!$C$122)*'Cálculos'!$C$263+'Cálculos'!$C$125*(1+2.78*('Cálculos'!$C$199+(($B$54)-$A32)*'Cálculos'!$C$98)/(('Cálculos'!$C$199+(($B$54)-$A32)*'Cálculos'!$C$98)+1400)+'Cálculos'!$C$123)*'Cálculos'!$C$268)+('Cálculos'!$C$185*(1+'Cálculos'!$C$190+$A32*('Cálculos'!$C$290=1)*'Cálculos'!$C$97+'Cálculos'!$C$305)+'Cálculos'!$C$195)*('Cálculos'!$C$269+'Cálculos'!$C$124*(1+2.78*('Cálculos'!$C$200+(($B$54)-$A32)*'Cálculos'!$C$98)/(('Cálculos'!$C$200+(($B$54)-$A32)*'Cálculos'!$C$98)+1400)+'Cálculos'!$C$122)*'Cálculos'!$C$274+'Cálculos'!$C$125*(1+2.78*('Cálculos'!$C$200+(($B$54)-$A32)*'Cálculos'!$C$98)/(('Cálculos'!$C$200+(($B$54)-$A32)*'Cálculos'!$C$98)+1400)+'Cálculos'!$C$123)*'Cálculos'!$C$279)+('Cálculos'!$C$200+(($B$54)-$A32)*'Cálculos'!$C$98)*('Cálculos'!$C$270+'Cálculos'!$C$124*(1+2.78*('Cálculos'!$C$200+(($B$54)-$A32)*'Cálculos'!$C$98)/(('Cálculos'!$C$200+(($B$54)-$A32)*'Cálculos'!$C$98)+1400)+'Cálculos'!$C$122)*'Cálculos'!$C$275+'Cálculos'!$C$125*(1+2.78*('Cálculos'!$C$200+(($B$54)-$A32)*'Cálculos'!$C$98)/(('Cálculos'!$C$200+(($B$54)-$A32)*'Cálculos'!$C$98)+1400)+'Cálculos'!$C$123)*'Cálculos'!$C$280)+('Cálculos'!$C$201*(1+'Cálculos'!$C$202+$A32*('Cálculos'!$C$290=2)*'Cálculos'!$C$101)+'Cálculos'!$C$203)*('Cálculos'!$C$271+'Cálculos'!$C$124*(1+2.78*('Cálculos'!$C$200+(($B$54)-$A32)*'Cálculos'!$C$98)/(('Cálculos'!$C$200+(($B$54)-$A32)*'Cálculos'!$C$98)+1400)+'Cálculos'!$C$122)*'Cálculos'!$C$276+'Cálculos'!$C$125*(1+2.78*('Cálculos'!$C$200+(($B$54)-$A32)*'Cálculos'!$C$98)/(('Cálculos'!$C$200+(($B$54)-$A32)*'Cálculos'!$C$98)+1400)+'Cálculos'!$C$123)*'Cálculos'!$C$281)+('Cálculos'!$C$204*(1+'Cálculos'!$C$205+$A32*('Cálculos'!$C$290=3)*'Cálculos'!$C$103)+'Cálculos'!$C$206)*('Cálculos'!$C$272+'Cálculos'!$C$124*(1+2.78*('Cálculos'!$C$200+(($B$54)-$A32)*'Cálculos'!$C$98)/(('Cálculos'!$C$200+(($B$54)-$A32)*'Cálculos'!$C$98)+1400)+'Cálculos'!$C$122)*'Cálculos'!$C$277+'Cálculos'!$C$125*(1+2.78*('Cálculos'!$C$200+(($B$54)-$A32)*'Cálculos'!$C$98)/(('Cálculos'!$C$200+(($B$54)-$A32)*'Cálculos'!$C$98)+1400)+'Cálculos'!$C$123)*'Cálculos'!$C$282)+('Cálculos'!$C$273+'Cálculos'!$C$124*(1+2.78*('Cálculos'!$C$200+(($B$54)-$A32)*'Cálculos'!$C$98)/(('Cálculos'!$C$200+(($B$54)-$A32)*'Cálculos'!$C$98)+1400)+'Cálculos'!$C$122)*'Cálculos'!$C$278+'Cálculos'!$C$125*(1+2.78*('Cálculos'!$C$200+(($B$54)-$A32)*'Cálculos'!$C$98)/(('Cálculos'!$C$200+(($B$54)-$A32)*'Cálculos'!$C$98)+1400)+'Cálculos'!$C$123)*'Cálculos'!$C$283)))</f>
        <v>0</v>
      </c>
    </row>
    <row r="33" ht="15.75" customHeight="1">
      <c r="A33" s="2">
        <v>27.0</v>
      </c>
      <c r="B33" s="30">
        <f>SUMPRODUCT(MAX(($A$6:$A$51&lt;=$A33)*($A$6:$A$51&lt;='Cálculos'!$C$294)*(($A33)-$A$6:$A$51&lt;='Cálculos'!$C$295)*(1+(('Cálculos'!$C$207+$A$6:$A$51*'Cálculos'!$C$95)-(('Cálculos'!$C$207+$A$6:$A$51*'Cálculos'!$C$95)&gt;1)*(('Cálculos'!$C$207+$A$6:$A$51*'Cálculos'!$C$95)-1))*('Cálculos'!$C$208+(($A33)-$A$6:$A$51)*'Cálculos'!$C$96))))</f>
        <v>4.010516</v>
      </c>
      <c r="C33" s="2">
        <f>'Cálculos'!$C$303-$A33</f>
        <v>-7</v>
      </c>
      <c r="D33" s="31">
        <f>IF($C33&lt;0,0,SUMPRODUCT(MAX(($A$6:$A$51&lt;=$C33)*($A$6:$A$51&lt;='Cálculos'!$C$301)*(($C33)-$A$6:$A$51&lt;='Cálculos'!$C$297)*(('Cálculos'!$C$185*(1+'Cálculos'!$C$186+$A$6:$A$51*('Cálculos'!$C$290=1)*'Cálculos'!$C$97+'Cálculos'!$C$305)+'Cálculos'!$C$191)*('Cálculos'!$C$209+'Cálculos'!$C$124*(1+2.78*('Cálculos'!$C$196+(($C33)-$A$6:$A$51)*'Cálculos'!$C$98)/(('Cálculos'!$C$196+(($C33)-$A$6:$A$51)*'Cálculos'!$C$98)+1400)+'Cálculos'!$C$122)*'Cálculos'!$C$214+'Cálculos'!$C$125*(1+2.78*('Cálculos'!$C$196+(($C33)-$A$6:$A$51)*'Cálculos'!$C$98)/(('Cálculos'!$C$196+(($C33)-$A$6:$A$51)*'Cálculos'!$C$98)+1400)+'Cálculos'!$C$123)*'Cálculos'!$C$219)+('Cálculos'!$C$196+(($C33)-$A$6:$A$51)*'Cálculos'!$C$98)*('Cálculos'!$C$210+'Cálculos'!$C$124*(1+2.78*('Cálculos'!$C$196+(($C33)-$A$6:$A$51)*'Cálculos'!$C$98)/(('Cálculos'!$C$196+(($C33)-$A$6:$A$51)*'Cálculos'!$C$98)+1400)+'Cálculos'!$C$122)*'Cálculos'!$C$215+'Cálculos'!$C$125*(1+2.78*('Cálculos'!$C$196+(($C33)-$A$6:$A$51)*'Cálculos'!$C$98)/(('Cálculos'!$C$196+(($C33)-$A$6:$A$51)*'Cálculos'!$C$98)+1400)+'Cálculos'!$C$123)*'Cálculos'!$C$220)+('Cálculos'!$C$201*(1+'Cálculos'!$C$202+$A$6:$A$51*('Cálculos'!$C$290=2)*'Cálculos'!$C$101)+'Cálculos'!$C$203)*('Cálculos'!$C$211+'Cálculos'!$C$124*(1+2.78*('Cálculos'!$C$196+(($C33)-$A$6:$A$51)*'Cálculos'!$C$98)/(('Cálculos'!$C$196+(($C33)-$A$6:$A$51)*'Cálculos'!$C$98)+1400)+'Cálculos'!$C$122)*'Cálculos'!$C$216+'Cálculos'!$C$125*(1+2.78*('Cálculos'!$C$196+(($C33)-$A$6:$A$51)*'Cálculos'!$C$98)/(('Cálculos'!$C$196+(($C33)-$A$6:$A$51)*'Cálculos'!$C$98)+1400)+'Cálculos'!$C$123)*'Cálculos'!$C$221)+('Cálculos'!$C$204*(1+'Cálculos'!$C$205+$A$6:$A$51*('Cálculos'!$C$290=3)*'Cálculos'!$C$103)+'Cálculos'!$C$206)*('Cálculos'!$C$212+'Cálculos'!$C$124*(1+2.78*('Cálculos'!$C$196+(($C33)-$A$6:$A$51)*'Cálculos'!$C$98)/(('Cálculos'!$C$196+(($C33)-$A$6:$A$51)*'Cálculos'!$C$98)+1400)+'Cálculos'!$C$122)*'Cálculos'!$C$217+'Cálculos'!$C$125*(1+2.78*('Cálculos'!$C$196+(($C33)-$A$6:$A$51)*'Cálculos'!$C$98)/(('Cálculos'!$C$196+(($C33)-$A$6:$A$51)*'Cálculos'!$C$98)+1400)+'Cálculos'!$C$123)*'Cálculos'!$C$222)+('Cálculos'!$C$213+'Cálculos'!$C$124*(1+2.78*('Cálculos'!$C$196+(($C33)-$A$6:$A$51)*'Cálculos'!$C$98)/(('Cálculos'!$C$196+(($C33)-$A$6:$A$51)*'Cálculos'!$C$98)+1400)+'Cálculos'!$C$122)*'Cálculos'!$C$218+'Cálculos'!$C$125*(1+2.78*('Cálculos'!$C$196+(($C33)-$A$6:$A$51)*'Cálculos'!$C$98)/(('Cálculos'!$C$196+(($C33)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33)-$A$6:$A$51)*'Cálculos'!$C$98)/(('Cálculos'!$C$197+(($C33)-$A$6:$A$51)*'Cálculos'!$C$98)+1400)+'Cálculos'!$C$122)*'Cálculos'!$C$229+'Cálculos'!$C$125*(1+2.78*('Cálculos'!$C$197+(($C33)-$A$6:$A$51)*'Cálculos'!$C$98)/(('Cálculos'!$C$197+(($C33)-$A$6:$A$51)*'Cálculos'!$C$98)+1400)+'Cálculos'!$C$123)*'Cálculos'!$C$234)+('Cálculos'!$C$197+(($C33)-$A$6:$A$51)*'Cálculos'!$C$98)*('Cálculos'!$C$225+'Cálculos'!$C$124*(1+2.78*('Cálculos'!$C$197+(($C33)-$A$6:$A$51)*'Cálculos'!$C$98)/(('Cálculos'!$C$197+(($C33)-$A$6:$A$51)*'Cálculos'!$C$98)+1400)+'Cálculos'!$C$122)*'Cálculos'!$C$230+'Cálculos'!$C$125*(1+2.78*('Cálculos'!$C$197+(($C33)-$A$6:$A$51)*'Cálculos'!$C$98)/(('Cálculos'!$C$197+(($C33)-$A$6:$A$51)*'Cálculos'!$C$98)+1400)+'Cálculos'!$C$123)*'Cálculos'!$C$235)+('Cálculos'!$C$201*(1+'Cálculos'!$C$202+$A$6:$A$51*('Cálculos'!$C$290=2)*'Cálculos'!$C$101)+'Cálculos'!$C$203)*('Cálculos'!$C$226+'Cálculos'!$C$124*(1+2.78*('Cálculos'!$C$197+(($C33)-$A$6:$A$51)*'Cálculos'!$C$98)/(('Cálculos'!$C$197+(($C33)-$A$6:$A$51)*'Cálculos'!$C$98)+1400)+'Cálculos'!$C$122)*'Cálculos'!$C$231+'Cálculos'!$C$125*(1+2.78*('Cálculos'!$C$197+(($C33)-$A$6:$A$51)*'Cálculos'!$C$98)/(('Cálculos'!$C$197+(($C33)-$A$6:$A$51)*'Cálculos'!$C$98)+1400)+'Cálculos'!$C$123)*'Cálculos'!$C$236)+('Cálculos'!$C$204*(1+'Cálculos'!$C$205+$A$6:$A$51*('Cálculos'!$C$290=3)*'Cálculos'!$C$103)+'Cálculos'!$C$206)*('Cálculos'!$C$227+'Cálculos'!$C$124*(1+2.78*('Cálculos'!$C$197+(($C33)-$A$6:$A$51)*'Cálculos'!$C$98)/(('Cálculos'!$C$197+(($C33)-$A$6:$A$51)*'Cálculos'!$C$98)+1400)+'Cálculos'!$C$122)*'Cálculos'!$C$232+'Cálculos'!$C$125*(1+2.78*('Cálculos'!$C$197+(($C33)-$A$6:$A$51)*'Cálculos'!$C$98)/(('Cálculos'!$C$197+(($C33)-$A$6:$A$51)*'Cálculos'!$C$98)+1400)+'Cálculos'!$C$123)*'Cálculos'!$C$237)+('Cálculos'!$C$228+'Cálculos'!$C$124*(1+2.78*('Cálculos'!$C$197+(($C33)-$A$6:$A$51)*'Cálculos'!$C$98)/(('Cálculos'!$C$197+(($C33)-$A$6:$A$51)*'Cálculos'!$C$98)+1400)+'Cálculos'!$C$122)*'Cálculos'!$C$233+'Cálculos'!$C$125*(1+2.78*('Cálculos'!$C$197+(($C33)-$A$6:$A$51)*'Cálculos'!$C$98)/(('Cálculos'!$C$197+(($C33)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33)-$A$6:$A$51)*'Cálculos'!$C$98)/(('Cálculos'!$C$198+(($C33)-$A$6:$A$51)*'Cálculos'!$C$98)+1400)+'Cálculos'!$C$122)*'Cálculos'!$C$244+'Cálculos'!$C$125*(1+2.78*('Cálculos'!$C$198+(($C33)-$A$6:$A$51)*'Cálculos'!$C$98)/(('Cálculos'!$C$198+(($C33)-$A$6:$A$51)*'Cálculos'!$C$98)+1400)+'Cálculos'!$C$123)*'Cálculos'!$C$249)+('Cálculos'!$C$198+(($C33)-$A$6:$A$51)*'Cálculos'!$C$98)*('Cálculos'!$C$240+'Cálculos'!$C$124*(1+2.78*('Cálculos'!$C$198+(($C33)-$A$6:$A$51)*'Cálculos'!$C$98)/(('Cálculos'!$C$198+(($C33)-$A$6:$A$51)*'Cálculos'!$C$98)+1400)+'Cálculos'!$C$122)*'Cálculos'!$C$245+'Cálculos'!$C$125*(1+2.78*('Cálculos'!$C$198+(($C33)-$A$6:$A$51)*'Cálculos'!$C$98)/(('Cálculos'!$C$198+(($C33)-$A$6:$A$51)*'Cálculos'!$C$98)+1400)+'Cálculos'!$C$123)*'Cálculos'!$C$250)+('Cálculos'!$C$201*(1+'Cálculos'!$C$202+$A$6:$A$51*('Cálculos'!$C$290=2)*'Cálculos'!$C$101)+'Cálculos'!$C$203)*('Cálculos'!$C$241+'Cálculos'!$C$124*(1+2.78*('Cálculos'!$C$198+(($C33)-$A$6:$A$51)*'Cálculos'!$C$98)/(('Cálculos'!$C$198+(($C33)-$A$6:$A$51)*'Cálculos'!$C$98)+1400)+'Cálculos'!$C$122)*'Cálculos'!$C$246+'Cálculos'!$C$125*(1+2.78*('Cálculos'!$C$198+(($C33)-$A$6:$A$51)*'Cálculos'!$C$98)/(('Cálculos'!$C$198+(($C33)-$A$6:$A$51)*'Cálculos'!$C$98)+1400)+'Cálculos'!$C$123)*'Cálculos'!$C$251)+('Cálculos'!$C$204*(1+'Cálculos'!$C$205+$A$6:$A$51*('Cálculos'!$C$290=3)*'Cálculos'!$C$103)+'Cálculos'!$C$206)*('Cálculos'!$C$242+'Cálculos'!$C$124*(1+2.78*('Cálculos'!$C$198+(($C33)-$A$6:$A$51)*'Cálculos'!$C$98)/(('Cálculos'!$C$198+(($C33)-$A$6:$A$51)*'Cálculos'!$C$98)+1400)+'Cálculos'!$C$122)*'Cálculos'!$C$247+'Cálculos'!$C$125*(1+2.78*('Cálculos'!$C$198+(($C33)-$A$6:$A$51)*'Cálculos'!$C$98)/(('Cálculos'!$C$198+(($C33)-$A$6:$A$51)*'Cálculos'!$C$98)+1400)+'Cálculos'!$C$123)*'Cálculos'!$C$252)+('Cálculos'!$C$243+'Cálculos'!$C$124*(1+2.78*('Cálculos'!$C$198+(($C33)-$A$6:$A$51)*'Cálculos'!$C$98)/(('Cálculos'!$C$198+(($C33)-$A$6:$A$51)*'Cálculos'!$C$98)+1400)+'Cálculos'!$C$122)*'Cálculos'!$C$248+'Cálculos'!$C$125*(1+2.78*('Cálculos'!$C$198+(($C33)-$A$6:$A$51)*'Cálculos'!$C$98)/(('Cálculos'!$C$198+(($C33)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33)-$A$6:$A$51)*'Cálculos'!$C$98)/(('Cálculos'!$C$199+(($C33)-$A$6:$A$51)*'Cálculos'!$C$98)+1400)+'Cálculos'!$C$122)*'Cálculos'!$C$259+'Cálculos'!$C$125*(1+2.78*('Cálculos'!$C$199+(($C33)-$A$6:$A$51)*'Cálculos'!$C$98)/(('Cálculos'!$C$199+(($C33)-$A$6:$A$51)*'Cálculos'!$C$98)+1400)+'Cálculos'!$C$123)*'Cálculos'!$C$264)+('Cálculos'!$C$199+(($C33)-$A$6:$A$51)*'Cálculos'!$C$98)*('Cálculos'!$C$255+'Cálculos'!$C$124*(1+2.78*('Cálculos'!$C$199+(($C33)-$A$6:$A$51)*'Cálculos'!$C$98)/(('Cálculos'!$C$199+(($C33)-$A$6:$A$51)*'Cálculos'!$C$98)+1400)+'Cálculos'!$C$122)*'Cálculos'!$C$260+'Cálculos'!$C$125*(1+2.78*('Cálculos'!$C$199+(($C33)-$A$6:$A$51)*'Cálculos'!$C$98)/(('Cálculos'!$C$199+(($C33)-$A$6:$A$51)*'Cálculos'!$C$98)+1400)+'Cálculos'!$C$123)*'Cálculos'!$C$265)+('Cálculos'!$C$201*(1+'Cálculos'!$C$202+$A$6:$A$51*('Cálculos'!$C$290=2)*'Cálculos'!$C$101)+'Cálculos'!$C$203)*('Cálculos'!$C$256+'Cálculos'!$C$124*(1+2.78*('Cálculos'!$C$199+(($C33)-$A$6:$A$51)*'Cálculos'!$C$98)/(('Cálculos'!$C$199+(($C33)-$A$6:$A$51)*'Cálculos'!$C$98)+1400)+'Cálculos'!$C$122)*'Cálculos'!$C$261+'Cálculos'!$C$125*(1+2.78*('Cálculos'!$C$199+(($C33)-$A$6:$A$51)*'Cálculos'!$C$98)/(('Cálculos'!$C$199+(($C33)-$A$6:$A$51)*'Cálculos'!$C$98)+1400)+'Cálculos'!$C$123)*'Cálculos'!$C$266)+('Cálculos'!$C$204*(1+'Cálculos'!$C$205+$A$6:$A$51*('Cálculos'!$C$290=3)*'Cálculos'!$C$103)+'Cálculos'!$C$206)*('Cálculos'!$C$257+'Cálculos'!$C$124*(1+2.78*('Cálculos'!$C$199+(($C33)-$A$6:$A$51)*'Cálculos'!$C$98)/(('Cálculos'!$C$199+(($C33)-$A$6:$A$51)*'Cálculos'!$C$98)+1400)+'Cálculos'!$C$122)*'Cálculos'!$C$262+'Cálculos'!$C$125*(1+2.78*('Cálculos'!$C$199+(($C33)-$A$6:$A$51)*'Cálculos'!$C$98)/(('Cálculos'!$C$199+(($C33)-$A$6:$A$51)*'Cálculos'!$C$98)+1400)+'Cálculos'!$C$123)*'Cálculos'!$C$267)+('Cálculos'!$C$258+'Cálculos'!$C$124*(1+2.78*('Cálculos'!$C$199+(($C33)-$A$6:$A$51)*'Cálculos'!$C$98)/(('Cálculos'!$C$199+(($C33)-$A$6:$A$51)*'Cálculos'!$C$98)+1400)+'Cálculos'!$C$122)*'Cálculos'!$C$263+'Cálculos'!$C$125*(1+2.78*('Cálculos'!$C$199+(($C33)-$A$6:$A$51)*'Cálculos'!$C$98)/(('Cálculos'!$C$199+(($C33)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33)-$A$6:$A$51)*'Cálculos'!$C$98)/(('Cálculos'!$C$200+(($C33)-$A$6:$A$51)*'Cálculos'!$C$98)+1400)+'Cálculos'!$C$122)*'Cálculos'!$C$274+'Cálculos'!$C$125*(1+2.78*('Cálculos'!$C$200+(($C33)-$A$6:$A$51)*'Cálculos'!$C$98)/(('Cálculos'!$C$200+(($C33)-$A$6:$A$51)*'Cálculos'!$C$98)+1400)+'Cálculos'!$C$123)*'Cálculos'!$C$279)+('Cálculos'!$C$200+(($C33)-$A$6:$A$51)*'Cálculos'!$C$98)*('Cálculos'!$C$270+'Cálculos'!$C$124*(1+2.78*('Cálculos'!$C$200+(($C33)-$A$6:$A$51)*'Cálculos'!$C$98)/(('Cálculos'!$C$200+(($C33)-$A$6:$A$51)*'Cálculos'!$C$98)+1400)+'Cálculos'!$C$122)*'Cálculos'!$C$275+'Cálculos'!$C$125*(1+2.78*('Cálculos'!$C$200+(($C33)-$A$6:$A$51)*'Cálculos'!$C$98)/(('Cálculos'!$C$200+(($C33)-$A$6:$A$51)*'Cálculos'!$C$98)+1400)+'Cálculos'!$C$123)*'Cálculos'!$C$280)+('Cálculos'!$C$201*(1+'Cálculos'!$C$202+$A$6:$A$51*('Cálculos'!$C$290=2)*'Cálculos'!$C$101)+'Cálculos'!$C$203)*('Cálculos'!$C$271+'Cálculos'!$C$124*(1+2.78*('Cálculos'!$C$200+(($C33)-$A$6:$A$51)*'Cálculos'!$C$98)/(('Cálculos'!$C$200+(($C33)-$A$6:$A$51)*'Cálculos'!$C$98)+1400)+'Cálculos'!$C$122)*'Cálculos'!$C$276+'Cálculos'!$C$125*(1+2.78*('Cálculos'!$C$200+(($C33)-$A$6:$A$51)*'Cálculos'!$C$98)/(('Cálculos'!$C$200+(($C33)-$A$6:$A$51)*'Cálculos'!$C$98)+1400)+'Cálculos'!$C$123)*'Cálculos'!$C$281)+('Cálculos'!$C$204*(1+'Cálculos'!$C$205+$A$6:$A$51*('Cálculos'!$C$290=3)*'Cálculos'!$C$103)+'Cálculos'!$C$206)*('Cálculos'!$C$272+'Cálculos'!$C$124*(1+2.78*('Cálculos'!$C$200+(($C33)-$A$6:$A$51)*'Cálculos'!$C$98)/(('Cálculos'!$C$200+(($C33)-$A$6:$A$51)*'Cálculos'!$C$98)+1400)+'Cálculos'!$C$122)*'Cálculos'!$C$277+'Cálculos'!$C$125*(1+2.78*('Cálculos'!$C$200+(($C33)-$A$6:$A$51)*'Cálculos'!$C$98)/(('Cálculos'!$C$200+(($C33)-$A$6:$A$51)*'Cálculos'!$C$98)+1400)+'Cálculos'!$C$123)*'Cálculos'!$C$282)+('Cálculos'!$C$273+'Cálculos'!$C$124*(1+2.78*('Cálculos'!$C$200+(($C33)-$A$6:$A$51)*'Cálculos'!$C$98)/(('Cálculos'!$C$200+(($C33)-$A$6:$A$51)*'Cálculos'!$C$98)+1400)+'Cálculos'!$C$122)*'Cálculos'!$C$278+'Cálculos'!$C$125*(1+2.78*('Cálculos'!$C$200+(($C33)-$A$6:$A$51)*'Cálculos'!$C$98)/(('Cálculos'!$C$200+(($C33)-$A$6:$A$51)*'Cálculos'!$C$98)+1400)+'Cálculos'!$C$123)*'Cálculos'!$C$283)))))</f>
        <v>0</v>
      </c>
      <c r="E33" s="32">
        <f>IF(OR($C33&lt;0,'Cálculos'!$C$6=""),0,$B33*$D33)</f>
        <v>0</v>
      </c>
      <c r="F33" s="2"/>
      <c r="G33" s="30">
        <f>($A33&lt;=$B$53)*($A33&lt;='Cálculos'!$C$294)*(($B$53)-$A33&lt;='Cálculos'!$C$295)*(1+MIN(('Cálculos'!$C$207+$A33*'Cálculos'!$C$95),1)*('Cálculos'!$C$208+(($B$53)-$A33)*'Cálculos'!$C$96))</f>
        <v>0</v>
      </c>
      <c r="H33" s="31">
        <f>IF($B$54&lt;0,0,($A33&lt;=$B$54)*($A33&lt;='Cálculos'!$C$301)*(($B$54)-$A33&lt;='Cálculos'!$C$297)*(('Cálculos'!$C$185*(1+'Cálculos'!$C$186+$A33*('Cálculos'!$C$290=1)*'Cálculos'!$C$97+'Cálculos'!$C$305)+'Cálculos'!$C$191)*('Cálculos'!$C$209+'Cálculos'!$C$124*(1+2.78*('Cálculos'!$C$196+(($B$54)-$A33)*'Cálculos'!$C$98)/(('Cálculos'!$C$196+(($B$54)-$A33)*'Cálculos'!$C$98)+1400)+'Cálculos'!$C$122)*'Cálculos'!$C$214+'Cálculos'!$C$125*(1+2.78*('Cálculos'!$C$196+(($B$54)-$A33)*'Cálculos'!$C$98)/(('Cálculos'!$C$196+(($B$54)-$A33)*'Cálculos'!$C$98)+1400)+'Cálculos'!$C$123)*'Cálculos'!$C$219)+('Cálculos'!$C$196+(($B$54)-$A33)*'Cálculos'!$C$98)*('Cálculos'!$C$210+'Cálculos'!$C$124*(1+2.78*('Cálculos'!$C$196+(($B$54)-$A33)*'Cálculos'!$C$98)/(('Cálculos'!$C$196+(($B$54)-$A33)*'Cálculos'!$C$98)+1400)+'Cálculos'!$C$122)*'Cálculos'!$C$215+'Cálculos'!$C$125*(1+2.78*('Cálculos'!$C$196+(($B$54)-$A33)*'Cálculos'!$C$98)/(('Cálculos'!$C$196+(($B$54)-$A33)*'Cálculos'!$C$98)+1400)+'Cálculos'!$C$123)*'Cálculos'!$C$220)+('Cálculos'!$C$201*(1+'Cálculos'!$C$202+$A33*('Cálculos'!$C$290=2)*'Cálculos'!$C$101)+'Cálculos'!$C$203)*('Cálculos'!$C$211+'Cálculos'!$C$124*(1+2.78*('Cálculos'!$C$196+(($B$54)-$A33)*'Cálculos'!$C$98)/(('Cálculos'!$C$196+(($B$54)-$A33)*'Cálculos'!$C$98)+1400)+'Cálculos'!$C$122)*'Cálculos'!$C$216+'Cálculos'!$C$125*(1+2.78*('Cálculos'!$C$196+(($B$54)-$A33)*'Cálculos'!$C$98)/(('Cálculos'!$C$196+(($B$54)-$A33)*'Cálculos'!$C$98)+1400)+'Cálculos'!$C$123)*'Cálculos'!$C$221)+('Cálculos'!$C$204*(1+'Cálculos'!$C$205+$A33*('Cálculos'!$C$290=3)*'Cálculos'!$C$103)+'Cálculos'!$C$206)*('Cálculos'!$C$212+'Cálculos'!$C$124*(1+2.78*('Cálculos'!$C$196+(($B$54)-$A33)*'Cálculos'!$C$98)/(('Cálculos'!$C$196+(($B$54)-$A33)*'Cálculos'!$C$98)+1400)+'Cálculos'!$C$122)*'Cálculos'!$C$217+'Cálculos'!$C$125*(1+2.78*('Cálculos'!$C$196+(($B$54)-$A33)*'Cálculos'!$C$98)/(('Cálculos'!$C$196+(($B$54)-$A33)*'Cálculos'!$C$98)+1400)+'Cálculos'!$C$123)*'Cálculos'!$C$222)+('Cálculos'!$C$213+'Cálculos'!$C$124*(1+2.78*('Cálculos'!$C$196+(($B$54)-$A33)*'Cálculos'!$C$98)/(('Cálculos'!$C$196+(($B$54)-$A33)*'Cálculos'!$C$98)+1400)+'Cálculos'!$C$122)*'Cálculos'!$C$218+'Cálculos'!$C$125*(1+2.78*('Cálculos'!$C$196+(($B$54)-$A33)*'Cálculos'!$C$98)/(('Cálculos'!$C$196+(($B$54)-$A33)*'Cálculos'!$C$98)+1400)+'Cálculos'!$C$123)*'Cálculos'!$C$223)+('Cálculos'!$C$185*(1+'Cálculos'!$C$187+$A33*('Cálculos'!$C$290=1)*'Cálculos'!$C$97+'Cálculos'!$C$305)+'Cálculos'!$C$192)*('Cálculos'!$C$224+'Cálculos'!$C$124*(1+2.78*('Cálculos'!$C$197+(($B$54)-$A33)*'Cálculos'!$C$98)/(('Cálculos'!$C$197+(($B$54)-$A33)*'Cálculos'!$C$98)+1400)+'Cálculos'!$C$122)*'Cálculos'!$C$229+'Cálculos'!$C$125*(1+2.78*('Cálculos'!$C$197+(($B$54)-$A33)*'Cálculos'!$C$98)/(('Cálculos'!$C$197+(($B$54)-$A33)*'Cálculos'!$C$98)+1400)+'Cálculos'!$C$123)*'Cálculos'!$C$234)+('Cálculos'!$C$197+(($B$54)-$A33)*'Cálculos'!$C$98)*('Cálculos'!$C$225+'Cálculos'!$C$124*(1+2.78*('Cálculos'!$C$197+(($B$54)-$A33)*'Cálculos'!$C$98)/(('Cálculos'!$C$197+(($B$54)-$A33)*'Cálculos'!$C$98)+1400)+'Cálculos'!$C$122)*'Cálculos'!$C$230+'Cálculos'!$C$125*(1+2.78*('Cálculos'!$C$197+(($B$54)-$A33)*'Cálculos'!$C$98)/(('Cálculos'!$C$197+(($B$54)-$A33)*'Cálculos'!$C$98)+1400)+'Cálculos'!$C$123)*'Cálculos'!$C$235)+('Cálculos'!$C$201*(1+'Cálculos'!$C$202+$A33*('Cálculos'!$C$290=2)*'Cálculos'!$C$101)+'Cálculos'!$C$203)*('Cálculos'!$C$226+'Cálculos'!$C$124*(1+2.78*('Cálculos'!$C$197+(($B$54)-$A33)*'Cálculos'!$C$98)/(('Cálculos'!$C$197+(($B$54)-$A33)*'Cálculos'!$C$98)+1400)+'Cálculos'!$C$122)*'Cálculos'!$C$231+'Cálculos'!$C$125*(1+2.78*('Cálculos'!$C$197+(($B$54)-$A33)*'Cálculos'!$C$98)/(('Cálculos'!$C$197+(($B$54)-$A33)*'Cálculos'!$C$98)+1400)+'Cálculos'!$C$123)*'Cálculos'!$C$236)+('Cálculos'!$C$204*(1+'Cálculos'!$C$205+$A33*('Cálculos'!$C$290=3)*'Cálculos'!$C$103)+'Cálculos'!$C$206)*('Cálculos'!$C$227+'Cálculos'!$C$124*(1+2.78*('Cálculos'!$C$197+(($B$54)-$A33)*'Cálculos'!$C$98)/(('Cálculos'!$C$197+(($B$54)-$A33)*'Cálculos'!$C$98)+1400)+'Cálculos'!$C$122)*'Cálculos'!$C$232+'Cálculos'!$C$125*(1+2.78*('Cálculos'!$C$197+(($B$54)-$A33)*'Cálculos'!$C$98)/(('Cálculos'!$C$197+(($B$54)-$A33)*'Cálculos'!$C$98)+1400)+'Cálculos'!$C$123)*'Cálculos'!$C$237)+('Cálculos'!$C$228+'Cálculos'!$C$124*(1+2.78*('Cálculos'!$C$197+(($B$54)-$A33)*'Cálculos'!$C$98)/(('Cálculos'!$C$197+(($B$54)-$A33)*'Cálculos'!$C$98)+1400)+'Cálculos'!$C$122)*'Cálculos'!$C$233+'Cálculos'!$C$125*(1+2.78*('Cálculos'!$C$197+(($B$54)-$A33)*'Cálculos'!$C$98)/(('Cálculos'!$C$197+(($B$54)-$A33)*'Cálculos'!$C$98)+1400)+'Cálculos'!$C$123)*'Cálculos'!$C$238)+('Cálculos'!$C$185*(1+'Cálculos'!$C$188+$A33*('Cálculos'!$C$290=1)*'Cálculos'!$C$97+'Cálculos'!$C$305)+'Cálculos'!$C$193)*('Cálculos'!$C$239+'Cálculos'!$C$124*(1+2.78*('Cálculos'!$C$198+(($B$54)-$A33)*'Cálculos'!$C$98)/(('Cálculos'!$C$198+(($B$54)-$A33)*'Cálculos'!$C$98)+1400)+'Cálculos'!$C$122)*'Cálculos'!$C$244+'Cálculos'!$C$125*(1+2.78*('Cálculos'!$C$198+(($B$54)-$A33)*'Cálculos'!$C$98)/(('Cálculos'!$C$198+(($B$54)-$A33)*'Cálculos'!$C$98)+1400)+'Cálculos'!$C$123)*'Cálculos'!$C$249)+('Cálculos'!$C$198+(($B$54)-$A33)*'Cálculos'!$C$98)*('Cálculos'!$C$240+'Cálculos'!$C$124*(1+2.78*('Cálculos'!$C$198+(($B$54)-$A33)*'Cálculos'!$C$98)/(('Cálculos'!$C$198+(($B$54)-$A33)*'Cálculos'!$C$98)+1400)+'Cálculos'!$C$122)*'Cálculos'!$C$245+'Cálculos'!$C$125*(1+2.78*('Cálculos'!$C$198+(($B$54)-$A33)*'Cálculos'!$C$98)/(('Cálculos'!$C$198+(($B$54)-$A33)*'Cálculos'!$C$98)+1400)+'Cálculos'!$C$123)*'Cálculos'!$C$250)+('Cálculos'!$C$201*(1+'Cálculos'!$C$202+$A33*('Cálculos'!$C$290=2)*'Cálculos'!$C$101)+'Cálculos'!$C$203)*('Cálculos'!$C$241+'Cálculos'!$C$124*(1+2.78*('Cálculos'!$C$198+(($B$54)-$A33)*'Cálculos'!$C$98)/(('Cálculos'!$C$198+(($B$54)-$A33)*'Cálculos'!$C$98)+1400)+'Cálculos'!$C$122)*'Cálculos'!$C$246+'Cálculos'!$C$125*(1+2.78*('Cálculos'!$C$198+(($B$54)-$A33)*'Cálculos'!$C$98)/(('Cálculos'!$C$198+(($B$54)-$A33)*'Cálculos'!$C$98)+1400)+'Cálculos'!$C$123)*'Cálculos'!$C$251)+('Cálculos'!$C$204*(1+'Cálculos'!$C$205+$A33*('Cálculos'!$C$290=3)*'Cálculos'!$C$103)+'Cálculos'!$C$206)*('Cálculos'!$C$242+'Cálculos'!$C$124*(1+2.78*('Cálculos'!$C$198+(($B$54)-$A33)*'Cálculos'!$C$98)/(('Cálculos'!$C$198+(($B$54)-$A33)*'Cálculos'!$C$98)+1400)+'Cálculos'!$C$122)*'Cálculos'!$C$247+'Cálculos'!$C$125*(1+2.78*('Cálculos'!$C$198+(($B$54)-$A33)*'Cálculos'!$C$98)/(('Cálculos'!$C$198+(($B$54)-$A33)*'Cálculos'!$C$98)+1400)+'Cálculos'!$C$123)*'Cálculos'!$C$252)+('Cálculos'!$C$243+'Cálculos'!$C$124*(1+2.78*('Cálculos'!$C$198+(($B$54)-$A33)*'Cálculos'!$C$98)/(('Cálculos'!$C$198+(($B$54)-$A33)*'Cálculos'!$C$98)+1400)+'Cálculos'!$C$122)*'Cálculos'!$C$248+'Cálculos'!$C$125*(1+2.78*('Cálculos'!$C$198+(($B$54)-$A33)*'Cálculos'!$C$98)/(('Cálculos'!$C$198+(($B$54)-$A33)*'Cálculos'!$C$98)+1400)+'Cálculos'!$C$123)*'Cálculos'!$C$253)+('Cálculos'!$C$185*(1+'Cálculos'!$C$189+$A33*('Cálculos'!$C$290=1)*'Cálculos'!$C$97+'Cálculos'!$C$305)+'Cálculos'!$C$194)*('Cálculos'!$C$254+'Cálculos'!$C$124*(1+2.78*('Cálculos'!$C$199+(($B$54)-$A33)*'Cálculos'!$C$98)/(('Cálculos'!$C$199+(($B$54)-$A33)*'Cálculos'!$C$98)+1400)+'Cálculos'!$C$122)*'Cálculos'!$C$259+'Cálculos'!$C$125*(1+2.78*('Cálculos'!$C$199+(($B$54)-$A33)*'Cálculos'!$C$98)/(('Cálculos'!$C$199+(($B$54)-$A33)*'Cálculos'!$C$98)+1400)+'Cálculos'!$C$123)*'Cálculos'!$C$264)+('Cálculos'!$C$199+(($B$54)-$A33)*'Cálculos'!$C$98)*('Cálculos'!$C$255+'Cálculos'!$C$124*(1+2.78*('Cálculos'!$C$199+(($B$54)-$A33)*'Cálculos'!$C$98)/(('Cálculos'!$C$199+(($B$54)-$A33)*'Cálculos'!$C$98)+1400)+'Cálculos'!$C$122)*'Cálculos'!$C$260+'Cálculos'!$C$125*(1+2.78*('Cálculos'!$C$199+(($B$54)-$A33)*'Cálculos'!$C$98)/(('Cálculos'!$C$199+(($B$54)-$A33)*'Cálculos'!$C$98)+1400)+'Cálculos'!$C$123)*'Cálculos'!$C$265)+('Cálculos'!$C$201*(1+'Cálculos'!$C$202+$A33*('Cálculos'!$C$290=2)*'Cálculos'!$C$101)+'Cálculos'!$C$203)*('Cálculos'!$C$256+'Cálculos'!$C$124*(1+2.78*('Cálculos'!$C$199+(($B$54)-$A33)*'Cálculos'!$C$98)/(('Cálculos'!$C$199+(($B$54)-$A33)*'Cálculos'!$C$98)+1400)+'Cálculos'!$C$122)*'Cálculos'!$C$261+'Cálculos'!$C$125*(1+2.78*('Cálculos'!$C$199+(($B$54)-$A33)*'Cálculos'!$C$98)/(('Cálculos'!$C$199+(($B$54)-$A33)*'Cálculos'!$C$98)+1400)+'Cálculos'!$C$123)*'Cálculos'!$C$266)+('Cálculos'!$C$204*(1+'Cálculos'!$C$205+$A33*('Cálculos'!$C$290=3)*'Cálculos'!$C$103)+'Cálculos'!$C$206)*('Cálculos'!$C$257+'Cálculos'!$C$124*(1+2.78*('Cálculos'!$C$199+(($B$54)-$A33)*'Cálculos'!$C$98)/(('Cálculos'!$C$199+(($B$54)-$A33)*'Cálculos'!$C$98)+1400)+'Cálculos'!$C$122)*'Cálculos'!$C$262+'Cálculos'!$C$125*(1+2.78*('Cálculos'!$C$199+(($B$54)-$A33)*'Cálculos'!$C$98)/(('Cálculos'!$C$199+(($B$54)-$A33)*'Cálculos'!$C$98)+1400)+'Cálculos'!$C$123)*'Cálculos'!$C$267)+('Cálculos'!$C$258+'Cálculos'!$C$124*(1+2.78*('Cálculos'!$C$199+(($B$54)-$A33)*'Cálculos'!$C$98)/(('Cálculos'!$C$199+(($B$54)-$A33)*'Cálculos'!$C$98)+1400)+'Cálculos'!$C$122)*'Cálculos'!$C$263+'Cálculos'!$C$125*(1+2.78*('Cálculos'!$C$199+(($B$54)-$A33)*'Cálculos'!$C$98)/(('Cálculos'!$C$199+(($B$54)-$A33)*'Cálculos'!$C$98)+1400)+'Cálculos'!$C$123)*'Cálculos'!$C$268)+('Cálculos'!$C$185*(1+'Cálculos'!$C$190+$A33*('Cálculos'!$C$290=1)*'Cálculos'!$C$97+'Cálculos'!$C$305)+'Cálculos'!$C$195)*('Cálculos'!$C$269+'Cálculos'!$C$124*(1+2.78*('Cálculos'!$C$200+(($B$54)-$A33)*'Cálculos'!$C$98)/(('Cálculos'!$C$200+(($B$54)-$A33)*'Cálculos'!$C$98)+1400)+'Cálculos'!$C$122)*'Cálculos'!$C$274+'Cálculos'!$C$125*(1+2.78*('Cálculos'!$C$200+(($B$54)-$A33)*'Cálculos'!$C$98)/(('Cálculos'!$C$200+(($B$54)-$A33)*'Cálculos'!$C$98)+1400)+'Cálculos'!$C$123)*'Cálculos'!$C$279)+('Cálculos'!$C$200+(($B$54)-$A33)*'Cálculos'!$C$98)*('Cálculos'!$C$270+'Cálculos'!$C$124*(1+2.78*('Cálculos'!$C$200+(($B$54)-$A33)*'Cálculos'!$C$98)/(('Cálculos'!$C$200+(($B$54)-$A33)*'Cálculos'!$C$98)+1400)+'Cálculos'!$C$122)*'Cálculos'!$C$275+'Cálculos'!$C$125*(1+2.78*('Cálculos'!$C$200+(($B$54)-$A33)*'Cálculos'!$C$98)/(('Cálculos'!$C$200+(($B$54)-$A33)*'Cálculos'!$C$98)+1400)+'Cálculos'!$C$123)*'Cálculos'!$C$280)+('Cálculos'!$C$201*(1+'Cálculos'!$C$202+$A33*('Cálculos'!$C$290=2)*'Cálculos'!$C$101)+'Cálculos'!$C$203)*('Cálculos'!$C$271+'Cálculos'!$C$124*(1+2.78*('Cálculos'!$C$200+(($B$54)-$A33)*'Cálculos'!$C$98)/(('Cálculos'!$C$200+(($B$54)-$A33)*'Cálculos'!$C$98)+1400)+'Cálculos'!$C$122)*'Cálculos'!$C$276+'Cálculos'!$C$125*(1+2.78*('Cálculos'!$C$200+(($B$54)-$A33)*'Cálculos'!$C$98)/(('Cálculos'!$C$200+(($B$54)-$A33)*'Cálculos'!$C$98)+1400)+'Cálculos'!$C$123)*'Cálculos'!$C$281)+('Cálculos'!$C$204*(1+'Cálculos'!$C$205+$A33*('Cálculos'!$C$290=3)*'Cálculos'!$C$103)+'Cálculos'!$C$206)*('Cálculos'!$C$272+'Cálculos'!$C$124*(1+2.78*('Cálculos'!$C$200+(($B$54)-$A33)*'Cálculos'!$C$98)/(('Cálculos'!$C$200+(($B$54)-$A33)*'Cálculos'!$C$98)+1400)+'Cálculos'!$C$122)*'Cálculos'!$C$277+'Cálculos'!$C$125*(1+2.78*('Cálculos'!$C$200+(($B$54)-$A33)*'Cálculos'!$C$98)/(('Cálculos'!$C$200+(($B$54)-$A33)*'Cálculos'!$C$98)+1400)+'Cálculos'!$C$123)*'Cálculos'!$C$282)+('Cálculos'!$C$273+'Cálculos'!$C$124*(1+2.78*('Cálculos'!$C$200+(($B$54)-$A33)*'Cálculos'!$C$98)/(('Cálculos'!$C$200+(($B$54)-$A33)*'Cálculos'!$C$98)+1400)+'Cálculos'!$C$122)*'Cálculos'!$C$278+'Cálculos'!$C$125*(1+2.78*('Cálculos'!$C$200+(($B$54)-$A33)*'Cálculos'!$C$98)/(('Cálculos'!$C$200+(($B$54)-$A33)*'Cálculos'!$C$98)+1400)+'Cálculos'!$C$123)*'Cálculos'!$C$283)))</f>
        <v>0</v>
      </c>
    </row>
    <row r="34" ht="15.75" customHeight="1">
      <c r="A34" s="2">
        <v>28.0</v>
      </c>
      <c r="B34" s="30">
        <f>SUMPRODUCT(MAX(($A$6:$A$51&lt;=$A34)*($A$6:$A$51&lt;='Cálculos'!$C$294)*(($A34)-$A$6:$A$51&lt;='Cálculos'!$C$295)*(1+(('Cálculos'!$C$207+$A$6:$A$51*'Cálculos'!$C$95)-(('Cálculos'!$C$207+$A$6:$A$51*'Cálculos'!$C$95)&gt;1)*(('Cálculos'!$C$207+$A$6:$A$51*'Cálculos'!$C$95)-1))*('Cálculos'!$C$208+(($A34)-$A$6:$A$51)*'Cálculos'!$C$96))))</f>
        <v>4.07579</v>
      </c>
      <c r="C34" s="2">
        <f>'Cálculos'!$C$303-$A34</f>
        <v>-8</v>
      </c>
      <c r="D34" s="31">
        <f>IF($C34&lt;0,0,SUMPRODUCT(MAX(($A$6:$A$51&lt;=$C34)*($A$6:$A$51&lt;='Cálculos'!$C$301)*(($C34)-$A$6:$A$51&lt;='Cálculos'!$C$297)*(('Cálculos'!$C$185*(1+'Cálculos'!$C$186+$A$6:$A$51*('Cálculos'!$C$290=1)*'Cálculos'!$C$97+'Cálculos'!$C$305)+'Cálculos'!$C$191)*('Cálculos'!$C$209+'Cálculos'!$C$124*(1+2.78*('Cálculos'!$C$196+(($C34)-$A$6:$A$51)*'Cálculos'!$C$98)/(('Cálculos'!$C$196+(($C34)-$A$6:$A$51)*'Cálculos'!$C$98)+1400)+'Cálculos'!$C$122)*'Cálculos'!$C$214+'Cálculos'!$C$125*(1+2.78*('Cálculos'!$C$196+(($C34)-$A$6:$A$51)*'Cálculos'!$C$98)/(('Cálculos'!$C$196+(($C34)-$A$6:$A$51)*'Cálculos'!$C$98)+1400)+'Cálculos'!$C$123)*'Cálculos'!$C$219)+('Cálculos'!$C$196+(($C34)-$A$6:$A$51)*'Cálculos'!$C$98)*('Cálculos'!$C$210+'Cálculos'!$C$124*(1+2.78*('Cálculos'!$C$196+(($C34)-$A$6:$A$51)*'Cálculos'!$C$98)/(('Cálculos'!$C$196+(($C34)-$A$6:$A$51)*'Cálculos'!$C$98)+1400)+'Cálculos'!$C$122)*'Cálculos'!$C$215+'Cálculos'!$C$125*(1+2.78*('Cálculos'!$C$196+(($C34)-$A$6:$A$51)*'Cálculos'!$C$98)/(('Cálculos'!$C$196+(($C34)-$A$6:$A$51)*'Cálculos'!$C$98)+1400)+'Cálculos'!$C$123)*'Cálculos'!$C$220)+('Cálculos'!$C$201*(1+'Cálculos'!$C$202+$A$6:$A$51*('Cálculos'!$C$290=2)*'Cálculos'!$C$101)+'Cálculos'!$C$203)*('Cálculos'!$C$211+'Cálculos'!$C$124*(1+2.78*('Cálculos'!$C$196+(($C34)-$A$6:$A$51)*'Cálculos'!$C$98)/(('Cálculos'!$C$196+(($C34)-$A$6:$A$51)*'Cálculos'!$C$98)+1400)+'Cálculos'!$C$122)*'Cálculos'!$C$216+'Cálculos'!$C$125*(1+2.78*('Cálculos'!$C$196+(($C34)-$A$6:$A$51)*'Cálculos'!$C$98)/(('Cálculos'!$C$196+(($C34)-$A$6:$A$51)*'Cálculos'!$C$98)+1400)+'Cálculos'!$C$123)*'Cálculos'!$C$221)+('Cálculos'!$C$204*(1+'Cálculos'!$C$205+$A$6:$A$51*('Cálculos'!$C$290=3)*'Cálculos'!$C$103)+'Cálculos'!$C$206)*('Cálculos'!$C$212+'Cálculos'!$C$124*(1+2.78*('Cálculos'!$C$196+(($C34)-$A$6:$A$51)*'Cálculos'!$C$98)/(('Cálculos'!$C$196+(($C34)-$A$6:$A$51)*'Cálculos'!$C$98)+1400)+'Cálculos'!$C$122)*'Cálculos'!$C$217+'Cálculos'!$C$125*(1+2.78*('Cálculos'!$C$196+(($C34)-$A$6:$A$51)*'Cálculos'!$C$98)/(('Cálculos'!$C$196+(($C34)-$A$6:$A$51)*'Cálculos'!$C$98)+1400)+'Cálculos'!$C$123)*'Cálculos'!$C$222)+('Cálculos'!$C$213+'Cálculos'!$C$124*(1+2.78*('Cálculos'!$C$196+(($C34)-$A$6:$A$51)*'Cálculos'!$C$98)/(('Cálculos'!$C$196+(($C34)-$A$6:$A$51)*'Cálculos'!$C$98)+1400)+'Cálculos'!$C$122)*'Cálculos'!$C$218+'Cálculos'!$C$125*(1+2.78*('Cálculos'!$C$196+(($C34)-$A$6:$A$51)*'Cálculos'!$C$98)/(('Cálculos'!$C$196+(($C34)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34)-$A$6:$A$51)*'Cálculos'!$C$98)/(('Cálculos'!$C$197+(($C34)-$A$6:$A$51)*'Cálculos'!$C$98)+1400)+'Cálculos'!$C$122)*'Cálculos'!$C$229+'Cálculos'!$C$125*(1+2.78*('Cálculos'!$C$197+(($C34)-$A$6:$A$51)*'Cálculos'!$C$98)/(('Cálculos'!$C$197+(($C34)-$A$6:$A$51)*'Cálculos'!$C$98)+1400)+'Cálculos'!$C$123)*'Cálculos'!$C$234)+('Cálculos'!$C$197+(($C34)-$A$6:$A$51)*'Cálculos'!$C$98)*('Cálculos'!$C$225+'Cálculos'!$C$124*(1+2.78*('Cálculos'!$C$197+(($C34)-$A$6:$A$51)*'Cálculos'!$C$98)/(('Cálculos'!$C$197+(($C34)-$A$6:$A$51)*'Cálculos'!$C$98)+1400)+'Cálculos'!$C$122)*'Cálculos'!$C$230+'Cálculos'!$C$125*(1+2.78*('Cálculos'!$C$197+(($C34)-$A$6:$A$51)*'Cálculos'!$C$98)/(('Cálculos'!$C$197+(($C34)-$A$6:$A$51)*'Cálculos'!$C$98)+1400)+'Cálculos'!$C$123)*'Cálculos'!$C$235)+('Cálculos'!$C$201*(1+'Cálculos'!$C$202+$A$6:$A$51*('Cálculos'!$C$290=2)*'Cálculos'!$C$101)+'Cálculos'!$C$203)*('Cálculos'!$C$226+'Cálculos'!$C$124*(1+2.78*('Cálculos'!$C$197+(($C34)-$A$6:$A$51)*'Cálculos'!$C$98)/(('Cálculos'!$C$197+(($C34)-$A$6:$A$51)*'Cálculos'!$C$98)+1400)+'Cálculos'!$C$122)*'Cálculos'!$C$231+'Cálculos'!$C$125*(1+2.78*('Cálculos'!$C$197+(($C34)-$A$6:$A$51)*'Cálculos'!$C$98)/(('Cálculos'!$C$197+(($C34)-$A$6:$A$51)*'Cálculos'!$C$98)+1400)+'Cálculos'!$C$123)*'Cálculos'!$C$236)+('Cálculos'!$C$204*(1+'Cálculos'!$C$205+$A$6:$A$51*('Cálculos'!$C$290=3)*'Cálculos'!$C$103)+'Cálculos'!$C$206)*('Cálculos'!$C$227+'Cálculos'!$C$124*(1+2.78*('Cálculos'!$C$197+(($C34)-$A$6:$A$51)*'Cálculos'!$C$98)/(('Cálculos'!$C$197+(($C34)-$A$6:$A$51)*'Cálculos'!$C$98)+1400)+'Cálculos'!$C$122)*'Cálculos'!$C$232+'Cálculos'!$C$125*(1+2.78*('Cálculos'!$C$197+(($C34)-$A$6:$A$51)*'Cálculos'!$C$98)/(('Cálculos'!$C$197+(($C34)-$A$6:$A$51)*'Cálculos'!$C$98)+1400)+'Cálculos'!$C$123)*'Cálculos'!$C$237)+('Cálculos'!$C$228+'Cálculos'!$C$124*(1+2.78*('Cálculos'!$C$197+(($C34)-$A$6:$A$51)*'Cálculos'!$C$98)/(('Cálculos'!$C$197+(($C34)-$A$6:$A$51)*'Cálculos'!$C$98)+1400)+'Cálculos'!$C$122)*'Cálculos'!$C$233+'Cálculos'!$C$125*(1+2.78*('Cálculos'!$C$197+(($C34)-$A$6:$A$51)*'Cálculos'!$C$98)/(('Cálculos'!$C$197+(($C34)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34)-$A$6:$A$51)*'Cálculos'!$C$98)/(('Cálculos'!$C$198+(($C34)-$A$6:$A$51)*'Cálculos'!$C$98)+1400)+'Cálculos'!$C$122)*'Cálculos'!$C$244+'Cálculos'!$C$125*(1+2.78*('Cálculos'!$C$198+(($C34)-$A$6:$A$51)*'Cálculos'!$C$98)/(('Cálculos'!$C$198+(($C34)-$A$6:$A$51)*'Cálculos'!$C$98)+1400)+'Cálculos'!$C$123)*'Cálculos'!$C$249)+('Cálculos'!$C$198+(($C34)-$A$6:$A$51)*'Cálculos'!$C$98)*('Cálculos'!$C$240+'Cálculos'!$C$124*(1+2.78*('Cálculos'!$C$198+(($C34)-$A$6:$A$51)*'Cálculos'!$C$98)/(('Cálculos'!$C$198+(($C34)-$A$6:$A$51)*'Cálculos'!$C$98)+1400)+'Cálculos'!$C$122)*'Cálculos'!$C$245+'Cálculos'!$C$125*(1+2.78*('Cálculos'!$C$198+(($C34)-$A$6:$A$51)*'Cálculos'!$C$98)/(('Cálculos'!$C$198+(($C34)-$A$6:$A$51)*'Cálculos'!$C$98)+1400)+'Cálculos'!$C$123)*'Cálculos'!$C$250)+('Cálculos'!$C$201*(1+'Cálculos'!$C$202+$A$6:$A$51*('Cálculos'!$C$290=2)*'Cálculos'!$C$101)+'Cálculos'!$C$203)*('Cálculos'!$C$241+'Cálculos'!$C$124*(1+2.78*('Cálculos'!$C$198+(($C34)-$A$6:$A$51)*'Cálculos'!$C$98)/(('Cálculos'!$C$198+(($C34)-$A$6:$A$51)*'Cálculos'!$C$98)+1400)+'Cálculos'!$C$122)*'Cálculos'!$C$246+'Cálculos'!$C$125*(1+2.78*('Cálculos'!$C$198+(($C34)-$A$6:$A$51)*'Cálculos'!$C$98)/(('Cálculos'!$C$198+(($C34)-$A$6:$A$51)*'Cálculos'!$C$98)+1400)+'Cálculos'!$C$123)*'Cálculos'!$C$251)+('Cálculos'!$C$204*(1+'Cálculos'!$C$205+$A$6:$A$51*('Cálculos'!$C$290=3)*'Cálculos'!$C$103)+'Cálculos'!$C$206)*('Cálculos'!$C$242+'Cálculos'!$C$124*(1+2.78*('Cálculos'!$C$198+(($C34)-$A$6:$A$51)*'Cálculos'!$C$98)/(('Cálculos'!$C$198+(($C34)-$A$6:$A$51)*'Cálculos'!$C$98)+1400)+'Cálculos'!$C$122)*'Cálculos'!$C$247+'Cálculos'!$C$125*(1+2.78*('Cálculos'!$C$198+(($C34)-$A$6:$A$51)*'Cálculos'!$C$98)/(('Cálculos'!$C$198+(($C34)-$A$6:$A$51)*'Cálculos'!$C$98)+1400)+'Cálculos'!$C$123)*'Cálculos'!$C$252)+('Cálculos'!$C$243+'Cálculos'!$C$124*(1+2.78*('Cálculos'!$C$198+(($C34)-$A$6:$A$51)*'Cálculos'!$C$98)/(('Cálculos'!$C$198+(($C34)-$A$6:$A$51)*'Cálculos'!$C$98)+1400)+'Cálculos'!$C$122)*'Cálculos'!$C$248+'Cálculos'!$C$125*(1+2.78*('Cálculos'!$C$198+(($C34)-$A$6:$A$51)*'Cálculos'!$C$98)/(('Cálculos'!$C$198+(($C34)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34)-$A$6:$A$51)*'Cálculos'!$C$98)/(('Cálculos'!$C$199+(($C34)-$A$6:$A$51)*'Cálculos'!$C$98)+1400)+'Cálculos'!$C$122)*'Cálculos'!$C$259+'Cálculos'!$C$125*(1+2.78*('Cálculos'!$C$199+(($C34)-$A$6:$A$51)*'Cálculos'!$C$98)/(('Cálculos'!$C$199+(($C34)-$A$6:$A$51)*'Cálculos'!$C$98)+1400)+'Cálculos'!$C$123)*'Cálculos'!$C$264)+('Cálculos'!$C$199+(($C34)-$A$6:$A$51)*'Cálculos'!$C$98)*('Cálculos'!$C$255+'Cálculos'!$C$124*(1+2.78*('Cálculos'!$C$199+(($C34)-$A$6:$A$51)*'Cálculos'!$C$98)/(('Cálculos'!$C$199+(($C34)-$A$6:$A$51)*'Cálculos'!$C$98)+1400)+'Cálculos'!$C$122)*'Cálculos'!$C$260+'Cálculos'!$C$125*(1+2.78*('Cálculos'!$C$199+(($C34)-$A$6:$A$51)*'Cálculos'!$C$98)/(('Cálculos'!$C$199+(($C34)-$A$6:$A$51)*'Cálculos'!$C$98)+1400)+'Cálculos'!$C$123)*'Cálculos'!$C$265)+('Cálculos'!$C$201*(1+'Cálculos'!$C$202+$A$6:$A$51*('Cálculos'!$C$290=2)*'Cálculos'!$C$101)+'Cálculos'!$C$203)*('Cálculos'!$C$256+'Cálculos'!$C$124*(1+2.78*('Cálculos'!$C$199+(($C34)-$A$6:$A$51)*'Cálculos'!$C$98)/(('Cálculos'!$C$199+(($C34)-$A$6:$A$51)*'Cálculos'!$C$98)+1400)+'Cálculos'!$C$122)*'Cálculos'!$C$261+'Cálculos'!$C$125*(1+2.78*('Cálculos'!$C$199+(($C34)-$A$6:$A$51)*'Cálculos'!$C$98)/(('Cálculos'!$C$199+(($C34)-$A$6:$A$51)*'Cálculos'!$C$98)+1400)+'Cálculos'!$C$123)*'Cálculos'!$C$266)+('Cálculos'!$C$204*(1+'Cálculos'!$C$205+$A$6:$A$51*('Cálculos'!$C$290=3)*'Cálculos'!$C$103)+'Cálculos'!$C$206)*('Cálculos'!$C$257+'Cálculos'!$C$124*(1+2.78*('Cálculos'!$C$199+(($C34)-$A$6:$A$51)*'Cálculos'!$C$98)/(('Cálculos'!$C$199+(($C34)-$A$6:$A$51)*'Cálculos'!$C$98)+1400)+'Cálculos'!$C$122)*'Cálculos'!$C$262+'Cálculos'!$C$125*(1+2.78*('Cálculos'!$C$199+(($C34)-$A$6:$A$51)*'Cálculos'!$C$98)/(('Cálculos'!$C$199+(($C34)-$A$6:$A$51)*'Cálculos'!$C$98)+1400)+'Cálculos'!$C$123)*'Cálculos'!$C$267)+('Cálculos'!$C$258+'Cálculos'!$C$124*(1+2.78*('Cálculos'!$C$199+(($C34)-$A$6:$A$51)*'Cálculos'!$C$98)/(('Cálculos'!$C$199+(($C34)-$A$6:$A$51)*'Cálculos'!$C$98)+1400)+'Cálculos'!$C$122)*'Cálculos'!$C$263+'Cálculos'!$C$125*(1+2.78*('Cálculos'!$C$199+(($C34)-$A$6:$A$51)*'Cálculos'!$C$98)/(('Cálculos'!$C$199+(($C34)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34)-$A$6:$A$51)*'Cálculos'!$C$98)/(('Cálculos'!$C$200+(($C34)-$A$6:$A$51)*'Cálculos'!$C$98)+1400)+'Cálculos'!$C$122)*'Cálculos'!$C$274+'Cálculos'!$C$125*(1+2.78*('Cálculos'!$C$200+(($C34)-$A$6:$A$51)*'Cálculos'!$C$98)/(('Cálculos'!$C$200+(($C34)-$A$6:$A$51)*'Cálculos'!$C$98)+1400)+'Cálculos'!$C$123)*'Cálculos'!$C$279)+('Cálculos'!$C$200+(($C34)-$A$6:$A$51)*'Cálculos'!$C$98)*('Cálculos'!$C$270+'Cálculos'!$C$124*(1+2.78*('Cálculos'!$C$200+(($C34)-$A$6:$A$51)*'Cálculos'!$C$98)/(('Cálculos'!$C$200+(($C34)-$A$6:$A$51)*'Cálculos'!$C$98)+1400)+'Cálculos'!$C$122)*'Cálculos'!$C$275+'Cálculos'!$C$125*(1+2.78*('Cálculos'!$C$200+(($C34)-$A$6:$A$51)*'Cálculos'!$C$98)/(('Cálculos'!$C$200+(($C34)-$A$6:$A$51)*'Cálculos'!$C$98)+1400)+'Cálculos'!$C$123)*'Cálculos'!$C$280)+('Cálculos'!$C$201*(1+'Cálculos'!$C$202+$A$6:$A$51*('Cálculos'!$C$290=2)*'Cálculos'!$C$101)+'Cálculos'!$C$203)*('Cálculos'!$C$271+'Cálculos'!$C$124*(1+2.78*('Cálculos'!$C$200+(($C34)-$A$6:$A$51)*'Cálculos'!$C$98)/(('Cálculos'!$C$200+(($C34)-$A$6:$A$51)*'Cálculos'!$C$98)+1400)+'Cálculos'!$C$122)*'Cálculos'!$C$276+'Cálculos'!$C$125*(1+2.78*('Cálculos'!$C$200+(($C34)-$A$6:$A$51)*'Cálculos'!$C$98)/(('Cálculos'!$C$200+(($C34)-$A$6:$A$51)*'Cálculos'!$C$98)+1400)+'Cálculos'!$C$123)*'Cálculos'!$C$281)+('Cálculos'!$C$204*(1+'Cálculos'!$C$205+$A$6:$A$51*('Cálculos'!$C$290=3)*'Cálculos'!$C$103)+'Cálculos'!$C$206)*('Cálculos'!$C$272+'Cálculos'!$C$124*(1+2.78*('Cálculos'!$C$200+(($C34)-$A$6:$A$51)*'Cálculos'!$C$98)/(('Cálculos'!$C$200+(($C34)-$A$6:$A$51)*'Cálculos'!$C$98)+1400)+'Cálculos'!$C$122)*'Cálculos'!$C$277+'Cálculos'!$C$125*(1+2.78*('Cálculos'!$C$200+(($C34)-$A$6:$A$51)*'Cálculos'!$C$98)/(('Cálculos'!$C$200+(($C34)-$A$6:$A$51)*'Cálculos'!$C$98)+1400)+'Cálculos'!$C$123)*'Cálculos'!$C$282)+('Cálculos'!$C$273+'Cálculos'!$C$124*(1+2.78*('Cálculos'!$C$200+(($C34)-$A$6:$A$51)*'Cálculos'!$C$98)/(('Cálculos'!$C$200+(($C34)-$A$6:$A$51)*'Cálculos'!$C$98)+1400)+'Cálculos'!$C$122)*'Cálculos'!$C$278+'Cálculos'!$C$125*(1+2.78*('Cálculos'!$C$200+(($C34)-$A$6:$A$51)*'Cálculos'!$C$98)/(('Cálculos'!$C$200+(($C34)-$A$6:$A$51)*'Cálculos'!$C$98)+1400)+'Cálculos'!$C$123)*'Cálculos'!$C$283)))))</f>
        <v>0</v>
      </c>
      <c r="E34" s="32">
        <f>IF(OR($C34&lt;0,'Cálculos'!$C$6=""),0,$B34*$D34)</f>
        <v>0</v>
      </c>
      <c r="F34" s="2"/>
      <c r="G34" s="30">
        <f>($A34&lt;=$B$53)*($A34&lt;='Cálculos'!$C$294)*(($B$53)-$A34&lt;='Cálculos'!$C$295)*(1+MIN(('Cálculos'!$C$207+$A34*'Cálculos'!$C$95),1)*('Cálculos'!$C$208+(($B$53)-$A34)*'Cálculos'!$C$96))</f>
        <v>0</v>
      </c>
      <c r="H34" s="31">
        <f>IF($B$54&lt;0,0,($A34&lt;=$B$54)*($A34&lt;='Cálculos'!$C$301)*(($B$54)-$A34&lt;='Cálculos'!$C$297)*(('Cálculos'!$C$185*(1+'Cálculos'!$C$186+$A34*('Cálculos'!$C$290=1)*'Cálculos'!$C$97+'Cálculos'!$C$305)+'Cálculos'!$C$191)*('Cálculos'!$C$209+'Cálculos'!$C$124*(1+2.78*('Cálculos'!$C$196+(($B$54)-$A34)*'Cálculos'!$C$98)/(('Cálculos'!$C$196+(($B$54)-$A34)*'Cálculos'!$C$98)+1400)+'Cálculos'!$C$122)*'Cálculos'!$C$214+'Cálculos'!$C$125*(1+2.78*('Cálculos'!$C$196+(($B$54)-$A34)*'Cálculos'!$C$98)/(('Cálculos'!$C$196+(($B$54)-$A34)*'Cálculos'!$C$98)+1400)+'Cálculos'!$C$123)*'Cálculos'!$C$219)+('Cálculos'!$C$196+(($B$54)-$A34)*'Cálculos'!$C$98)*('Cálculos'!$C$210+'Cálculos'!$C$124*(1+2.78*('Cálculos'!$C$196+(($B$54)-$A34)*'Cálculos'!$C$98)/(('Cálculos'!$C$196+(($B$54)-$A34)*'Cálculos'!$C$98)+1400)+'Cálculos'!$C$122)*'Cálculos'!$C$215+'Cálculos'!$C$125*(1+2.78*('Cálculos'!$C$196+(($B$54)-$A34)*'Cálculos'!$C$98)/(('Cálculos'!$C$196+(($B$54)-$A34)*'Cálculos'!$C$98)+1400)+'Cálculos'!$C$123)*'Cálculos'!$C$220)+('Cálculos'!$C$201*(1+'Cálculos'!$C$202+$A34*('Cálculos'!$C$290=2)*'Cálculos'!$C$101)+'Cálculos'!$C$203)*('Cálculos'!$C$211+'Cálculos'!$C$124*(1+2.78*('Cálculos'!$C$196+(($B$54)-$A34)*'Cálculos'!$C$98)/(('Cálculos'!$C$196+(($B$54)-$A34)*'Cálculos'!$C$98)+1400)+'Cálculos'!$C$122)*'Cálculos'!$C$216+'Cálculos'!$C$125*(1+2.78*('Cálculos'!$C$196+(($B$54)-$A34)*'Cálculos'!$C$98)/(('Cálculos'!$C$196+(($B$54)-$A34)*'Cálculos'!$C$98)+1400)+'Cálculos'!$C$123)*'Cálculos'!$C$221)+('Cálculos'!$C$204*(1+'Cálculos'!$C$205+$A34*('Cálculos'!$C$290=3)*'Cálculos'!$C$103)+'Cálculos'!$C$206)*('Cálculos'!$C$212+'Cálculos'!$C$124*(1+2.78*('Cálculos'!$C$196+(($B$54)-$A34)*'Cálculos'!$C$98)/(('Cálculos'!$C$196+(($B$54)-$A34)*'Cálculos'!$C$98)+1400)+'Cálculos'!$C$122)*'Cálculos'!$C$217+'Cálculos'!$C$125*(1+2.78*('Cálculos'!$C$196+(($B$54)-$A34)*'Cálculos'!$C$98)/(('Cálculos'!$C$196+(($B$54)-$A34)*'Cálculos'!$C$98)+1400)+'Cálculos'!$C$123)*'Cálculos'!$C$222)+('Cálculos'!$C$213+'Cálculos'!$C$124*(1+2.78*('Cálculos'!$C$196+(($B$54)-$A34)*'Cálculos'!$C$98)/(('Cálculos'!$C$196+(($B$54)-$A34)*'Cálculos'!$C$98)+1400)+'Cálculos'!$C$122)*'Cálculos'!$C$218+'Cálculos'!$C$125*(1+2.78*('Cálculos'!$C$196+(($B$54)-$A34)*'Cálculos'!$C$98)/(('Cálculos'!$C$196+(($B$54)-$A34)*'Cálculos'!$C$98)+1400)+'Cálculos'!$C$123)*'Cálculos'!$C$223)+('Cálculos'!$C$185*(1+'Cálculos'!$C$187+$A34*('Cálculos'!$C$290=1)*'Cálculos'!$C$97+'Cálculos'!$C$305)+'Cálculos'!$C$192)*('Cálculos'!$C$224+'Cálculos'!$C$124*(1+2.78*('Cálculos'!$C$197+(($B$54)-$A34)*'Cálculos'!$C$98)/(('Cálculos'!$C$197+(($B$54)-$A34)*'Cálculos'!$C$98)+1400)+'Cálculos'!$C$122)*'Cálculos'!$C$229+'Cálculos'!$C$125*(1+2.78*('Cálculos'!$C$197+(($B$54)-$A34)*'Cálculos'!$C$98)/(('Cálculos'!$C$197+(($B$54)-$A34)*'Cálculos'!$C$98)+1400)+'Cálculos'!$C$123)*'Cálculos'!$C$234)+('Cálculos'!$C$197+(($B$54)-$A34)*'Cálculos'!$C$98)*('Cálculos'!$C$225+'Cálculos'!$C$124*(1+2.78*('Cálculos'!$C$197+(($B$54)-$A34)*'Cálculos'!$C$98)/(('Cálculos'!$C$197+(($B$54)-$A34)*'Cálculos'!$C$98)+1400)+'Cálculos'!$C$122)*'Cálculos'!$C$230+'Cálculos'!$C$125*(1+2.78*('Cálculos'!$C$197+(($B$54)-$A34)*'Cálculos'!$C$98)/(('Cálculos'!$C$197+(($B$54)-$A34)*'Cálculos'!$C$98)+1400)+'Cálculos'!$C$123)*'Cálculos'!$C$235)+('Cálculos'!$C$201*(1+'Cálculos'!$C$202+$A34*('Cálculos'!$C$290=2)*'Cálculos'!$C$101)+'Cálculos'!$C$203)*('Cálculos'!$C$226+'Cálculos'!$C$124*(1+2.78*('Cálculos'!$C$197+(($B$54)-$A34)*'Cálculos'!$C$98)/(('Cálculos'!$C$197+(($B$54)-$A34)*'Cálculos'!$C$98)+1400)+'Cálculos'!$C$122)*'Cálculos'!$C$231+'Cálculos'!$C$125*(1+2.78*('Cálculos'!$C$197+(($B$54)-$A34)*'Cálculos'!$C$98)/(('Cálculos'!$C$197+(($B$54)-$A34)*'Cálculos'!$C$98)+1400)+'Cálculos'!$C$123)*'Cálculos'!$C$236)+('Cálculos'!$C$204*(1+'Cálculos'!$C$205+$A34*('Cálculos'!$C$290=3)*'Cálculos'!$C$103)+'Cálculos'!$C$206)*('Cálculos'!$C$227+'Cálculos'!$C$124*(1+2.78*('Cálculos'!$C$197+(($B$54)-$A34)*'Cálculos'!$C$98)/(('Cálculos'!$C$197+(($B$54)-$A34)*'Cálculos'!$C$98)+1400)+'Cálculos'!$C$122)*'Cálculos'!$C$232+'Cálculos'!$C$125*(1+2.78*('Cálculos'!$C$197+(($B$54)-$A34)*'Cálculos'!$C$98)/(('Cálculos'!$C$197+(($B$54)-$A34)*'Cálculos'!$C$98)+1400)+'Cálculos'!$C$123)*'Cálculos'!$C$237)+('Cálculos'!$C$228+'Cálculos'!$C$124*(1+2.78*('Cálculos'!$C$197+(($B$54)-$A34)*'Cálculos'!$C$98)/(('Cálculos'!$C$197+(($B$54)-$A34)*'Cálculos'!$C$98)+1400)+'Cálculos'!$C$122)*'Cálculos'!$C$233+'Cálculos'!$C$125*(1+2.78*('Cálculos'!$C$197+(($B$54)-$A34)*'Cálculos'!$C$98)/(('Cálculos'!$C$197+(($B$54)-$A34)*'Cálculos'!$C$98)+1400)+'Cálculos'!$C$123)*'Cálculos'!$C$238)+('Cálculos'!$C$185*(1+'Cálculos'!$C$188+$A34*('Cálculos'!$C$290=1)*'Cálculos'!$C$97+'Cálculos'!$C$305)+'Cálculos'!$C$193)*('Cálculos'!$C$239+'Cálculos'!$C$124*(1+2.78*('Cálculos'!$C$198+(($B$54)-$A34)*'Cálculos'!$C$98)/(('Cálculos'!$C$198+(($B$54)-$A34)*'Cálculos'!$C$98)+1400)+'Cálculos'!$C$122)*'Cálculos'!$C$244+'Cálculos'!$C$125*(1+2.78*('Cálculos'!$C$198+(($B$54)-$A34)*'Cálculos'!$C$98)/(('Cálculos'!$C$198+(($B$54)-$A34)*'Cálculos'!$C$98)+1400)+'Cálculos'!$C$123)*'Cálculos'!$C$249)+('Cálculos'!$C$198+(($B$54)-$A34)*'Cálculos'!$C$98)*('Cálculos'!$C$240+'Cálculos'!$C$124*(1+2.78*('Cálculos'!$C$198+(($B$54)-$A34)*'Cálculos'!$C$98)/(('Cálculos'!$C$198+(($B$54)-$A34)*'Cálculos'!$C$98)+1400)+'Cálculos'!$C$122)*'Cálculos'!$C$245+'Cálculos'!$C$125*(1+2.78*('Cálculos'!$C$198+(($B$54)-$A34)*'Cálculos'!$C$98)/(('Cálculos'!$C$198+(($B$54)-$A34)*'Cálculos'!$C$98)+1400)+'Cálculos'!$C$123)*'Cálculos'!$C$250)+('Cálculos'!$C$201*(1+'Cálculos'!$C$202+$A34*('Cálculos'!$C$290=2)*'Cálculos'!$C$101)+'Cálculos'!$C$203)*('Cálculos'!$C$241+'Cálculos'!$C$124*(1+2.78*('Cálculos'!$C$198+(($B$54)-$A34)*'Cálculos'!$C$98)/(('Cálculos'!$C$198+(($B$54)-$A34)*'Cálculos'!$C$98)+1400)+'Cálculos'!$C$122)*'Cálculos'!$C$246+'Cálculos'!$C$125*(1+2.78*('Cálculos'!$C$198+(($B$54)-$A34)*'Cálculos'!$C$98)/(('Cálculos'!$C$198+(($B$54)-$A34)*'Cálculos'!$C$98)+1400)+'Cálculos'!$C$123)*'Cálculos'!$C$251)+('Cálculos'!$C$204*(1+'Cálculos'!$C$205+$A34*('Cálculos'!$C$290=3)*'Cálculos'!$C$103)+'Cálculos'!$C$206)*('Cálculos'!$C$242+'Cálculos'!$C$124*(1+2.78*('Cálculos'!$C$198+(($B$54)-$A34)*'Cálculos'!$C$98)/(('Cálculos'!$C$198+(($B$54)-$A34)*'Cálculos'!$C$98)+1400)+'Cálculos'!$C$122)*'Cálculos'!$C$247+'Cálculos'!$C$125*(1+2.78*('Cálculos'!$C$198+(($B$54)-$A34)*'Cálculos'!$C$98)/(('Cálculos'!$C$198+(($B$54)-$A34)*'Cálculos'!$C$98)+1400)+'Cálculos'!$C$123)*'Cálculos'!$C$252)+('Cálculos'!$C$243+'Cálculos'!$C$124*(1+2.78*('Cálculos'!$C$198+(($B$54)-$A34)*'Cálculos'!$C$98)/(('Cálculos'!$C$198+(($B$54)-$A34)*'Cálculos'!$C$98)+1400)+'Cálculos'!$C$122)*'Cálculos'!$C$248+'Cálculos'!$C$125*(1+2.78*('Cálculos'!$C$198+(($B$54)-$A34)*'Cálculos'!$C$98)/(('Cálculos'!$C$198+(($B$54)-$A34)*'Cálculos'!$C$98)+1400)+'Cálculos'!$C$123)*'Cálculos'!$C$253)+('Cálculos'!$C$185*(1+'Cálculos'!$C$189+$A34*('Cálculos'!$C$290=1)*'Cálculos'!$C$97+'Cálculos'!$C$305)+'Cálculos'!$C$194)*('Cálculos'!$C$254+'Cálculos'!$C$124*(1+2.78*('Cálculos'!$C$199+(($B$54)-$A34)*'Cálculos'!$C$98)/(('Cálculos'!$C$199+(($B$54)-$A34)*'Cálculos'!$C$98)+1400)+'Cálculos'!$C$122)*'Cálculos'!$C$259+'Cálculos'!$C$125*(1+2.78*('Cálculos'!$C$199+(($B$54)-$A34)*'Cálculos'!$C$98)/(('Cálculos'!$C$199+(($B$54)-$A34)*'Cálculos'!$C$98)+1400)+'Cálculos'!$C$123)*'Cálculos'!$C$264)+('Cálculos'!$C$199+(($B$54)-$A34)*'Cálculos'!$C$98)*('Cálculos'!$C$255+'Cálculos'!$C$124*(1+2.78*('Cálculos'!$C$199+(($B$54)-$A34)*'Cálculos'!$C$98)/(('Cálculos'!$C$199+(($B$54)-$A34)*'Cálculos'!$C$98)+1400)+'Cálculos'!$C$122)*'Cálculos'!$C$260+'Cálculos'!$C$125*(1+2.78*('Cálculos'!$C$199+(($B$54)-$A34)*'Cálculos'!$C$98)/(('Cálculos'!$C$199+(($B$54)-$A34)*'Cálculos'!$C$98)+1400)+'Cálculos'!$C$123)*'Cálculos'!$C$265)+('Cálculos'!$C$201*(1+'Cálculos'!$C$202+$A34*('Cálculos'!$C$290=2)*'Cálculos'!$C$101)+'Cálculos'!$C$203)*('Cálculos'!$C$256+'Cálculos'!$C$124*(1+2.78*('Cálculos'!$C$199+(($B$54)-$A34)*'Cálculos'!$C$98)/(('Cálculos'!$C$199+(($B$54)-$A34)*'Cálculos'!$C$98)+1400)+'Cálculos'!$C$122)*'Cálculos'!$C$261+'Cálculos'!$C$125*(1+2.78*('Cálculos'!$C$199+(($B$54)-$A34)*'Cálculos'!$C$98)/(('Cálculos'!$C$199+(($B$54)-$A34)*'Cálculos'!$C$98)+1400)+'Cálculos'!$C$123)*'Cálculos'!$C$266)+('Cálculos'!$C$204*(1+'Cálculos'!$C$205+$A34*('Cálculos'!$C$290=3)*'Cálculos'!$C$103)+'Cálculos'!$C$206)*('Cálculos'!$C$257+'Cálculos'!$C$124*(1+2.78*('Cálculos'!$C$199+(($B$54)-$A34)*'Cálculos'!$C$98)/(('Cálculos'!$C$199+(($B$54)-$A34)*'Cálculos'!$C$98)+1400)+'Cálculos'!$C$122)*'Cálculos'!$C$262+'Cálculos'!$C$125*(1+2.78*('Cálculos'!$C$199+(($B$54)-$A34)*'Cálculos'!$C$98)/(('Cálculos'!$C$199+(($B$54)-$A34)*'Cálculos'!$C$98)+1400)+'Cálculos'!$C$123)*'Cálculos'!$C$267)+('Cálculos'!$C$258+'Cálculos'!$C$124*(1+2.78*('Cálculos'!$C$199+(($B$54)-$A34)*'Cálculos'!$C$98)/(('Cálculos'!$C$199+(($B$54)-$A34)*'Cálculos'!$C$98)+1400)+'Cálculos'!$C$122)*'Cálculos'!$C$263+'Cálculos'!$C$125*(1+2.78*('Cálculos'!$C$199+(($B$54)-$A34)*'Cálculos'!$C$98)/(('Cálculos'!$C$199+(($B$54)-$A34)*'Cálculos'!$C$98)+1400)+'Cálculos'!$C$123)*'Cálculos'!$C$268)+('Cálculos'!$C$185*(1+'Cálculos'!$C$190+$A34*('Cálculos'!$C$290=1)*'Cálculos'!$C$97+'Cálculos'!$C$305)+'Cálculos'!$C$195)*('Cálculos'!$C$269+'Cálculos'!$C$124*(1+2.78*('Cálculos'!$C$200+(($B$54)-$A34)*'Cálculos'!$C$98)/(('Cálculos'!$C$200+(($B$54)-$A34)*'Cálculos'!$C$98)+1400)+'Cálculos'!$C$122)*'Cálculos'!$C$274+'Cálculos'!$C$125*(1+2.78*('Cálculos'!$C$200+(($B$54)-$A34)*'Cálculos'!$C$98)/(('Cálculos'!$C$200+(($B$54)-$A34)*'Cálculos'!$C$98)+1400)+'Cálculos'!$C$123)*'Cálculos'!$C$279)+('Cálculos'!$C$200+(($B$54)-$A34)*'Cálculos'!$C$98)*('Cálculos'!$C$270+'Cálculos'!$C$124*(1+2.78*('Cálculos'!$C$200+(($B$54)-$A34)*'Cálculos'!$C$98)/(('Cálculos'!$C$200+(($B$54)-$A34)*'Cálculos'!$C$98)+1400)+'Cálculos'!$C$122)*'Cálculos'!$C$275+'Cálculos'!$C$125*(1+2.78*('Cálculos'!$C$200+(($B$54)-$A34)*'Cálculos'!$C$98)/(('Cálculos'!$C$200+(($B$54)-$A34)*'Cálculos'!$C$98)+1400)+'Cálculos'!$C$123)*'Cálculos'!$C$280)+('Cálculos'!$C$201*(1+'Cálculos'!$C$202+$A34*('Cálculos'!$C$290=2)*'Cálculos'!$C$101)+'Cálculos'!$C$203)*('Cálculos'!$C$271+'Cálculos'!$C$124*(1+2.78*('Cálculos'!$C$200+(($B$54)-$A34)*'Cálculos'!$C$98)/(('Cálculos'!$C$200+(($B$54)-$A34)*'Cálculos'!$C$98)+1400)+'Cálculos'!$C$122)*'Cálculos'!$C$276+'Cálculos'!$C$125*(1+2.78*('Cálculos'!$C$200+(($B$54)-$A34)*'Cálculos'!$C$98)/(('Cálculos'!$C$200+(($B$54)-$A34)*'Cálculos'!$C$98)+1400)+'Cálculos'!$C$123)*'Cálculos'!$C$281)+('Cálculos'!$C$204*(1+'Cálculos'!$C$205+$A34*('Cálculos'!$C$290=3)*'Cálculos'!$C$103)+'Cálculos'!$C$206)*('Cálculos'!$C$272+'Cálculos'!$C$124*(1+2.78*('Cálculos'!$C$200+(($B$54)-$A34)*'Cálculos'!$C$98)/(('Cálculos'!$C$200+(($B$54)-$A34)*'Cálculos'!$C$98)+1400)+'Cálculos'!$C$122)*'Cálculos'!$C$277+'Cálculos'!$C$125*(1+2.78*('Cálculos'!$C$200+(($B$54)-$A34)*'Cálculos'!$C$98)/(('Cálculos'!$C$200+(($B$54)-$A34)*'Cálculos'!$C$98)+1400)+'Cálculos'!$C$123)*'Cálculos'!$C$282)+('Cálculos'!$C$273+'Cálculos'!$C$124*(1+2.78*('Cálculos'!$C$200+(($B$54)-$A34)*'Cálculos'!$C$98)/(('Cálculos'!$C$200+(($B$54)-$A34)*'Cálculos'!$C$98)+1400)+'Cálculos'!$C$122)*'Cálculos'!$C$278+'Cálculos'!$C$125*(1+2.78*('Cálculos'!$C$200+(($B$54)-$A34)*'Cálculos'!$C$98)/(('Cálculos'!$C$200+(($B$54)-$A34)*'Cálculos'!$C$98)+1400)+'Cálculos'!$C$123)*'Cálculos'!$C$283)))</f>
        <v>0</v>
      </c>
    </row>
    <row r="35" ht="15.75" customHeight="1">
      <c r="A35" s="2">
        <v>29.0</v>
      </c>
      <c r="B35" s="30">
        <f>SUMPRODUCT(MAX(($A$6:$A$51&lt;=$A35)*($A$6:$A$51&lt;='Cálculos'!$C$294)*(($A35)-$A$6:$A$51&lt;='Cálculos'!$C$295)*(1+(('Cálculos'!$C$207+$A$6:$A$51*'Cálculos'!$C$95)-(('Cálculos'!$C$207+$A$6:$A$51*'Cálculos'!$C$95)&gt;1)*(('Cálculos'!$C$207+$A$6:$A$51*'Cálculos'!$C$95)-1))*('Cálculos'!$C$208+(($A35)-$A$6:$A$51)*'Cálculos'!$C$96))))</f>
        <v>4.141064</v>
      </c>
      <c r="C35" s="2">
        <f>'Cálculos'!$C$303-$A35</f>
        <v>-9</v>
      </c>
      <c r="D35" s="31">
        <f>IF($C35&lt;0,0,SUMPRODUCT(MAX(($A$6:$A$51&lt;=$C35)*($A$6:$A$51&lt;='Cálculos'!$C$301)*(($C35)-$A$6:$A$51&lt;='Cálculos'!$C$297)*(('Cálculos'!$C$185*(1+'Cálculos'!$C$186+$A$6:$A$51*('Cálculos'!$C$290=1)*'Cálculos'!$C$97+'Cálculos'!$C$305)+'Cálculos'!$C$191)*('Cálculos'!$C$209+'Cálculos'!$C$124*(1+2.78*('Cálculos'!$C$196+(($C35)-$A$6:$A$51)*'Cálculos'!$C$98)/(('Cálculos'!$C$196+(($C35)-$A$6:$A$51)*'Cálculos'!$C$98)+1400)+'Cálculos'!$C$122)*'Cálculos'!$C$214+'Cálculos'!$C$125*(1+2.78*('Cálculos'!$C$196+(($C35)-$A$6:$A$51)*'Cálculos'!$C$98)/(('Cálculos'!$C$196+(($C35)-$A$6:$A$51)*'Cálculos'!$C$98)+1400)+'Cálculos'!$C$123)*'Cálculos'!$C$219)+('Cálculos'!$C$196+(($C35)-$A$6:$A$51)*'Cálculos'!$C$98)*('Cálculos'!$C$210+'Cálculos'!$C$124*(1+2.78*('Cálculos'!$C$196+(($C35)-$A$6:$A$51)*'Cálculos'!$C$98)/(('Cálculos'!$C$196+(($C35)-$A$6:$A$51)*'Cálculos'!$C$98)+1400)+'Cálculos'!$C$122)*'Cálculos'!$C$215+'Cálculos'!$C$125*(1+2.78*('Cálculos'!$C$196+(($C35)-$A$6:$A$51)*'Cálculos'!$C$98)/(('Cálculos'!$C$196+(($C35)-$A$6:$A$51)*'Cálculos'!$C$98)+1400)+'Cálculos'!$C$123)*'Cálculos'!$C$220)+('Cálculos'!$C$201*(1+'Cálculos'!$C$202+$A$6:$A$51*('Cálculos'!$C$290=2)*'Cálculos'!$C$101)+'Cálculos'!$C$203)*('Cálculos'!$C$211+'Cálculos'!$C$124*(1+2.78*('Cálculos'!$C$196+(($C35)-$A$6:$A$51)*'Cálculos'!$C$98)/(('Cálculos'!$C$196+(($C35)-$A$6:$A$51)*'Cálculos'!$C$98)+1400)+'Cálculos'!$C$122)*'Cálculos'!$C$216+'Cálculos'!$C$125*(1+2.78*('Cálculos'!$C$196+(($C35)-$A$6:$A$51)*'Cálculos'!$C$98)/(('Cálculos'!$C$196+(($C35)-$A$6:$A$51)*'Cálculos'!$C$98)+1400)+'Cálculos'!$C$123)*'Cálculos'!$C$221)+('Cálculos'!$C$204*(1+'Cálculos'!$C$205+$A$6:$A$51*('Cálculos'!$C$290=3)*'Cálculos'!$C$103)+'Cálculos'!$C$206)*('Cálculos'!$C$212+'Cálculos'!$C$124*(1+2.78*('Cálculos'!$C$196+(($C35)-$A$6:$A$51)*'Cálculos'!$C$98)/(('Cálculos'!$C$196+(($C35)-$A$6:$A$51)*'Cálculos'!$C$98)+1400)+'Cálculos'!$C$122)*'Cálculos'!$C$217+'Cálculos'!$C$125*(1+2.78*('Cálculos'!$C$196+(($C35)-$A$6:$A$51)*'Cálculos'!$C$98)/(('Cálculos'!$C$196+(($C35)-$A$6:$A$51)*'Cálculos'!$C$98)+1400)+'Cálculos'!$C$123)*'Cálculos'!$C$222)+('Cálculos'!$C$213+'Cálculos'!$C$124*(1+2.78*('Cálculos'!$C$196+(($C35)-$A$6:$A$51)*'Cálculos'!$C$98)/(('Cálculos'!$C$196+(($C35)-$A$6:$A$51)*'Cálculos'!$C$98)+1400)+'Cálculos'!$C$122)*'Cálculos'!$C$218+'Cálculos'!$C$125*(1+2.78*('Cálculos'!$C$196+(($C35)-$A$6:$A$51)*'Cálculos'!$C$98)/(('Cálculos'!$C$196+(($C35)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35)-$A$6:$A$51)*'Cálculos'!$C$98)/(('Cálculos'!$C$197+(($C35)-$A$6:$A$51)*'Cálculos'!$C$98)+1400)+'Cálculos'!$C$122)*'Cálculos'!$C$229+'Cálculos'!$C$125*(1+2.78*('Cálculos'!$C$197+(($C35)-$A$6:$A$51)*'Cálculos'!$C$98)/(('Cálculos'!$C$197+(($C35)-$A$6:$A$51)*'Cálculos'!$C$98)+1400)+'Cálculos'!$C$123)*'Cálculos'!$C$234)+('Cálculos'!$C$197+(($C35)-$A$6:$A$51)*'Cálculos'!$C$98)*('Cálculos'!$C$225+'Cálculos'!$C$124*(1+2.78*('Cálculos'!$C$197+(($C35)-$A$6:$A$51)*'Cálculos'!$C$98)/(('Cálculos'!$C$197+(($C35)-$A$6:$A$51)*'Cálculos'!$C$98)+1400)+'Cálculos'!$C$122)*'Cálculos'!$C$230+'Cálculos'!$C$125*(1+2.78*('Cálculos'!$C$197+(($C35)-$A$6:$A$51)*'Cálculos'!$C$98)/(('Cálculos'!$C$197+(($C35)-$A$6:$A$51)*'Cálculos'!$C$98)+1400)+'Cálculos'!$C$123)*'Cálculos'!$C$235)+('Cálculos'!$C$201*(1+'Cálculos'!$C$202+$A$6:$A$51*('Cálculos'!$C$290=2)*'Cálculos'!$C$101)+'Cálculos'!$C$203)*('Cálculos'!$C$226+'Cálculos'!$C$124*(1+2.78*('Cálculos'!$C$197+(($C35)-$A$6:$A$51)*'Cálculos'!$C$98)/(('Cálculos'!$C$197+(($C35)-$A$6:$A$51)*'Cálculos'!$C$98)+1400)+'Cálculos'!$C$122)*'Cálculos'!$C$231+'Cálculos'!$C$125*(1+2.78*('Cálculos'!$C$197+(($C35)-$A$6:$A$51)*'Cálculos'!$C$98)/(('Cálculos'!$C$197+(($C35)-$A$6:$A$51)*'Cálculos'!$C$98)+1400)+'Cálculos'!$C$123)*'Cálculos'!$C$236)+('Cálculos'!$C$204*(1+'Cálculos'!$C$205+$A$6:$A$51*('Cálculos'!$C$290=3)*'Cálculos'!$C$103)+'Cálculos'!$C$206)*('Cálculos'!$C$227+'Cálculos'!$C$124*(1+2.78*('Cálculos'!$C$197+(($C35)-$A$6:$A$51)*'Cálculos'!$C$98)/(('Cálculos'!$C$197+(($C35)-$A$6:$A$51)*'Cálculos'!$C$98)+1400)+'Cálculos'!$C$122)*'Cálculos'!$C$232+'Cálculos'!$C$125*(1+2.78*('Cálculos'!$C$197+(($C35)-$A$6:$A$51)*'Cálculos'!$C$98)/(('Cálculos'!$C$197+(($C35)-$A$6:$A$51)*'Cálculos'!$C$98)+1400)+'Cálculos'!$C$123)*'Cálculos'!$C$237)+('Cálculos'!$C$228+'Cálculos'!$C$124*(1+2.78*('Cálculos'!$C$197+(($C35)-$A$6:$A$51)*'Cálculos'!$C$98)/(('Cálculos'!$C$197+(($C35)-$A$6:$A$51)*'Cálculos'!$C$98)+1400)+'Cálculos'!$C$122)*'Cálculos'!$C$233+'Cálculos'!$C$125*(1+2.78*('Cálculos'!$C$197+(($C35)-$A$6:$A$51)*'Cálculos'!$C$98)/(('Cálculos'!$C$197+(($C35)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35)-$A$6:$A$51)*'Cálculos'!$C$98)/(('Cálculos'!$C$198+(($C35)-$A$6:$A$51)*'Cálculos'!$C$98)+1400)+'Cálculos'!$C$122)*'Cálculos'!$C$244+'Cálculos'!$C$125*(1+2.78*('Cálculos'!$C$198+(($C35)-$A$6:$A$51)*'Cálculos'!$C$98)/(('Cálculos'!$C$198+(($C35)-$A$6:$A$51)*'Cálculos'!$C$98)+1400)+'Cálculos'!$C$123)*'Cálculos'!$C$249)+('Cálculos'!$C$198+(($C35)-$A$6:$A$51)*'Cálculos'!$C$98)*('Cálculos'!$C$240+'Cálculos'!$C$124*(1+2.78*('Cálculos'!$C$198+(($C35)-$A$6:$A$51)*'Cálculos'!$C$98)/(('Cálculos'!$C$198+(($C35)-$A$6:$A$51)*'Cálculos'!$C$98)+1400)+'Cálculos'!$C$122)*'Cálculos'!$C$245+'Cálculos'!$C$125*(1+2.78*('Cálculos'!$C$198+(($C35)-$A$6:$A$51)*'Cálculos'!$C$98)/(('Cálculos'!$C$198+(($C35)-$A$6:$A$51)*'Cálculos'!$C$98)+1400)+'Cálculos'!$C$123)*'Cálculos'!$C$250)+('Cálculos'!$C$201*(1+'Cálculos'!$C$202+$A$6:$A$51*('Cálculos'!$C$290=2)*'Cálculos'!$C$101)+'Cálculos'!$C$203)*('Cálculos'!$C$241+'Cálculos'!$C$124*(1+2.78*('Cálculos'!$C$198+(($C35)-$A$6:$A$51)*'Cálculos'!$C$98)/(('Cálculos'!$C$198+(($C35)-$A$6:$A$51)*'Cálculos'!$C$98)+1400)+'Cálculos'!$C$122)*'Cálculos'!$C$246+'Cálculos'!$C$125*(1+2.78*('Cálculos'!$C$198+(($C35)-$A$6:$A$51)*'Cálculos'!$C$98)/(('Cálculos'!$C$198+(($C35)-$A$6:$A$51)*'Cálculos'!$C$98)+1400)+'Cálculos'!$C$123)*'Cálculos'!$C$251)+('Cálculos'!$C$204*(1+'Cálculos'!$C$205+$A$6:$A$51*('Cálculos'!$C$290=3)*'Cálculos'!$C$103)+'Cálculos'!$C$206)*('Cálculos'!$C$242+'Cálculos'!$C$124*(1+2.78*('Cálculos'!$C$198+(($C35)-$A$6:$A$51)*'Cálculos'!$C$98)/(('Cálculos'!$C$198+(($C35)-$A$6:$A$51)*'Cálculos'!$C$98)+1400)+'Cálculos'!$C$122)*'Cálculos'!$C$247+'Cálculos'!$C$125*(1+2.78*('Cálculos'!$C$198+(($C35)-$A$6:$A$51)*'Cálculos'!$C$98)/(('Cálculos'!$C$198+(($C35)-$A$6:$A$51)*'Cálculos'!$C$98)+1400)+'Cálculos'!$C$123)*'Cálculos'!$C$252)+('Cálculos'!$C$243+'Cálculos'!$C$124*(1+2.78*('Cálculos'!$C$198+(($C35)-$A$6:$A$51)*'Cálculos'!$C$98)/(('Cálculos'!$C$198+(($C35)-$A$6:$A$51)*'Cálculos'!$C$98)+1400)+'Cálculos'!$C$122)*'Cálculos'!$C$248+'Cálculos'!$C$125*(1+2.78*('Cálculos'!$C$198+(($C35)-$A$6:$A$51)*'Cálculos'!$C$98)/(('Cálculos'!$C$198+(($C35)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35)-$A$6:$A$51)*'Cálculos'!$C$98)/(('Cálculos'!$C$199+(($C35)-$A$6:$A$51)*'Cálculos'!$C$98)+1400)+'Cálculos'!$C$122)*'Cálculos'!$C$259+'Cálculos'!$C$125*(1+2.78*('Cálculos'!$C$199+(($C35)-$A$6:$A$51)*'Cálculos'!$C$98)/(('Cálculos'!$C$199+(($C35)-$A$6:$A$51)*'Cálculos'!$C$98)+1400)+'Cálculos'!$C$123)*'Cálculos'!$C$264)+('Cálculos'!$C$199+(($C35)-$A$6:$A$51)*'Cálculos'!$C$98)*('Cálculos'!$C$255+'Cálculos'!$C$124*(1+2.78*('Cálculos'!$C$199+(($C35)-$A$6:$A$51)*'Cálculos'!$C$98)/(('Cálculos'!$C$199+(($C35)-$A$6:$A$51)*'Cálculos'!$C$98)+1400)+'Cálculos'!$C$122)*'Cálculos'!$C$260+'Cálculos'!$C$125*(1+2.78*('Cálculos'!$C$199+(($C35)-$A$6:$A$51)*'Cálculos'!$C$98)/(('Cálculos'!$C$199+(($C35)-$A$6:$A$51)*'Cálculos'!$C$98)+1400)+'Cálculos'!$C$123)*'Cálculos'!$C$265)+('Cálculos'!$C$201*(1+'Cálculos'!$C$202+$A$6:$A$51*('Cálculos'!$C$290=2)*'Cálculos'!$C$101)+'Cálculos'!$C$203)*('Cálculos'!$C$256+'Cálculos'!$C$124*(1+2.78*('Cálculos'!$C$199+(($C35)-$A$6:$A$51)*'Cálculos'!$C$98)/(('Cálculos'!$C$199+(($C35)-$A$6:$A$51)*'Cálculos'!$C$98)+1400)+'Cálculos'!$C$122)*'Cálculos'!$C$261+'Cálculos'!$C$125*(1+2.78*('Cálculos'!$C$199+(($C35)-$A$6:$A$51)*'Cálculos'!$C$98)/(('Cálculos'!$C$199+(($C35)-$A$6:$A$51)*'Cálculos'!$C$98)+1400)+'Cálculos'!$C$123)*'Cálculos'!$C$266)+('Cálculos'!$C$204*(1+'Cálculos'!$C$205+$A$6:$A$51*('Cálculos'!$C$290=3)*'Cálculos'!$C$103)+'Cálculos'!$C$206)*('Cálculos'!$C$257+'Cálculos'!$C$124*(1+2.78*('Cálculos'!$C$199+(($C35)-$A$6:$A$51)*'Cálculos'!$C$98)/(('Cálculos'!$C$199+(($C35)-$A$6:$A$51)*'Cálculos'!$C$98)+1400)+'Cálculos'!$C$122)*'Cálculos'!$C$262+'Cálculos'!$C$125*(1+2.78*('Cálculos'!$C$199+(($C35)-$A$6:$A$51)*'Cálculos'!$C$98)/(('Cálculos'!$C$199+(($C35)-$A$6:$A$51)*'Cálculos'!$C$98)+1400)+'Cálculos'!$C$123)*'Cálculos'!$C$267)+('Cálculos'!$C$258+'Cálculos'!$C$124*(1+2.78*('Cálculos'!$C$199+(($C35)-$A$6:$A$51)*'Cálculos'!$C$98)/(('Cálculos'!$C$199+(($C35)-$A$6:$A$51)*'Cálculos'!$C$98)+1400)+'Cálculos'!$C$122)*'Cálculos'!$C$263+'Cálculos'!$C$125*(1+2.78*('Cálculos'!$C$199+(($C35)-$A$6:$A$51)*'Cálculos'!$C$98)/(('Cálculos'!$C$199+(($C35)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35)-$A$6:$A$51)*'Cálculos'!$C$98)/(('Cálculos'!$C$200+(($C35)-$A$6:$A$51)*'Cálculos'!$C$98)+1400)+'Cálculos'!$C$122)*'Cálculos'!$C$274+'Cálculos'!$C$125*(1+2.78*('Cálculos'!$C$200+(($C35)-$A$6:$A$51)*'Cálculos'!$C$98)/(('Cálculos'!$C$200+(($C35)-$A$6:$A$51)*'Cálculos'!$C$98)+1400)+'Cálculos'!$C$123)*'Cálculos'!$C$279)+('Cálculos'!$C$200+(($C35)-$A$6:$A$51)*'Cálculos'!$C$98)*('Cálculos'!$C$270+'Cálculos'!$C$124*(1+2.78*('Cálculos'!$C$200+(($C35)-$A$6:$A$51)*'Cálculos'!$C$98)/(('Cálculos'!$C$200+(($C35)-$A$6:$A$51)*'Cálculos'!$C$98)+1400)+'Cálculos'!$C$122)*'Cálculos'!$C$275+'Cálculos'!$C$125*(1+2.78*('Cálculos'!$C$200+(($C35)-$A$6:$A$51)*'Cálculos'!$C$98)/(('Cálculos'!$C$200+(($C35)-$A$6:$A$51)*'Cálculos'!$C$98)+1400)+'Cálculos'!$C$123)*'Cálculos'!$C$280)+('Cálculos'!$C$201*(1+'Cálculos'!$C$202+$A$6:$A$51*('Cálculos'!$C$290=2)*'Cálculos'!$C$101)+'Cálculos'!$C$203)*('Cálculos'!$C$271+'Cálculos'!$C$124*(1+2.78*('Cálculos'!$C$200+(($C35)-$A$6:$A$51)*'Cálculos'!$C$98)/(('Cálculos'!$C$200+(($C35)-$A$6:$A$51)*'Cálculos'!$C$98)+1400)+'Cálculos'!$C$122)*'Cálculos'!$C$276+'Cálculos'!$C$125*(1+2.78*('Cálculos'!$C$200+(($C35)-$A$6:$A$51)*'Cálculos'!$C$98)/(('Cálculos'!$C$200+(($C35)-$A$6:$A$51)*'Cálculos'!$C$98)+1400)+'Cálculos'!$C$123)*'Cálculos'!$C$281)+('Cálculos'!$C$204*(1+'Cálculos'!$C$205+$A$6:$A$51*('Cálculos'!$C$290=3)*'Cálculos'!$C$103)+'Cálculos'!$C$206)*('Cálculos'!$C$272+'Cálculos'!$C$124*(1+2.78*('Cálculos'!$C$200+(($C35)-$A$6:$A$51)*'Cálculos'!$C$98)/(('Cálculos'!$C$200+(($C35)-$A$6:$A$51)*'Cálculos'!$C$98)+1400)+'Cálculos'!$C$122)*'Cálculos'!$C$277+'Cálculos'!$C$125*(1+2.78*('Cálculos'!$C$200+(($C35)-$A$6:$A$51)*'Cálculos'!$C$98)/(('Cálculos'!$C$200+(($C35)-$A$6:$A$51)*'Cálculos'!$C$98)+1400)+'Cálculos'!$C$123)*'Cálculos'!$C$282)+('Cálculos'!$C$273+'Cálculos'!$C$124*(1+2.78*('Cálculos'!$C$200+(($C35)-$A$6:$A$51)*'Cálculos'!$C$98)/(('Cálculos'!$C$200+(($C35)-$A$6:$A$51)*'Cálculos'!$C$98)+1400)+'Cálculos'!$C$122)*'Cálculos'!$C$278+'Cálculos'!$C$125*(1+2.78*('Cálculos'!$C$200+(($C35)-$A$6:$A$51)*'Cálculos'!$C$98)/(('Cálculos'!$C$200+(($C35)-$A$6:$A$51)*'Cálculos'!$C$98)+1400)+'Cálculos'!$C$123)*'Cálculos'!$C$283)))))</f>
        <v>0</v>
      </c>
      <c r="E35" s="32">
        <f>IF(OR($C35&lt;0,'Cálculos'!$C$6=""),0,$B35*$D35)</f>
        <v>0</v>
      </c>
      <c r="F35" s="2"/>
      <c r="G35" s="30">
        <f>($A35&lt;=$B$53)*($A35&lt;='Cálculos'!$C$294)*(($B$53)-$A35&lt;='Cálculos'!$C$295)*(1+MIN(('Cálculos'!$C$207+$A35*'Cálculos'!$C$95),1)*('Cálculos'!$C$208+(($B$53)-$A35)*'Cálculos'!$C$96))</f>
        <v>0</v>
      </c>
      <c r="H35" s="31">
        <f>IF($B$54&lt;0,0,($A35&lt;=$B$54)*($A35&lt;='Cálculos'!$C$301)*(($B$54)-$A35&lt;='Cálculos'!$C$297)*(('Cálculos'!$C$185*(1+'Cálculos'!$C$186+$A35*('Cálculos'!$C$290=1)*'Cálculos'!$C$97+'Cálculos'!$C$305)+'Cálculos'!$C$191)*('Cálculos'!$C$209+'Cálculos'!$C$124*(1+2.78*('Cálculos'!$C$196+(($B$54)-$A35)*'Cálculos'!$C$98)/(('Cálculos'!$C$196+(($B$54)-$A35)*'Cálculos'!$C$98)+1400)+'Cálculos'!$C$122)*'Cálculos'!$C$214+'Cálculos'!$C$125*(1+2.78*('Cálculos'!$C$196+(($B$54)-$A35)*'Cálculos'!$C$98)/(('Cálculos'!$C$196+(($B$54)-$A35)*'Cálculos'!$C$98)+1400)+'Cálculos'!$C$123)*'Cálculos'!$C$219)+('Cálculos'!$C$196+(($B$54)-$A35)*'Cálculos'!$C$98)*('Cálculos'!$C$210+'Cálculos'!$C$124*(1+2.78*('Cálculos'!$C$196+(($B$54)-$A35)*'Cálculos'!$C$98)/(('Cálculos'!$C$196+(($B$54)-$A35)*'Cálculos'!$C$98)+1400)+'Cálculos'!$C$122)*'Cálculos'!$C$215+'Cálculos'!$C$125*(1+2.78*('Cálculos'!$C$196+(($B$54)-$A35)*'Cálculos'!$C$98)/(('Cálculos'!$C$196+(($B$54)-$A35)*'Cálculos'!$C$98)+1400)+'Cálculos'!$C$123)*'Cálculos'!$C$220)+('Cálculos'!$C$201*(1+'Cálculos'!$C$202+$A35*('Cálculos'!$C$290=2)*'Cálculos'!$C$101)+'Cálculos'!$C$203)*('Cálculos'!$C$211+'Cálculos'!$C$124*(1+2.78*('Cálculos'!$C$196+(($B$54)-$A35)*'Cálculos'!$C$98)/(('Cálculos'!$C$196+(($B$54)-$A35)*'Cálculos'!$C$98)+1400)+'Cálculos'!$C$122)*'Cálculos'!$C$216+'Cálculos'!$C$125*(1+2.78*('Cálculos'!$C$196+(($B$54)-$A35)*'Cálculos'!$C$98)/(('Cálculos'!$C$196+(($B$54)-$A35)*'Cálculos'!$C$98)+1400)+'Cálculos'!$C$123)*'Cálculos'!$C$221)+('Cálculos'!$C$204*(1+'Cálculos'!$C$205+$A35*('Cálculos'!$C$290=3)*'Cálculos'!$C$103)+'Cálculos'!$C$206)*('Cálculos'!$C$212+'Cálculos'!$C$124*(1+2.78*('Cálculos'!$C$196+(($B$54)-$A35)*'Cálculos'!$C$98)/(('Cálculos'!$C$196+(($B$54)-$A35)*'Cálculos'!$C$98)+1400)+'Cálculos'!$C$122)*'Cálculos'!$C$217+'Cálculos'!$C$125*(1+2.78*('Cálculos'!$C$196+(($B$54)-$A35)*'Cálculos'!$C$98)/(('Cálculos'!$C$196+(($B$54)-$A35)*'Cálculos'!$C$98)+1400)+'Cálculos'!$C$123)*'Cálculos'!$C$222)+('Cálculos'!$C$213+'Cálculos'!$C$124*(1+2.78*('Cálculos'!$C$196+(($B$54)-$A35)*'Cálculos'!$C$98)/(('Cálculos'!$C$196+(($B$54)-$A35)*'Cálculos'!$C$98)+1400)+'Cálculos'!$C$122)*'Cálculos'!$C$218+'Cálculos'!$C$125*(1+2.78*('Cálculos'!$C$196+(($B$54)-$A35)*'Cálculos'!$C$98)/(('Cálculos'!$C$196+(($B$54)-$A35)*'Cálculos'!$C$98)+1400)+'Cálculos'!$C$123)*'Cálculos'!$C$223)+('Cálculos'!$C$185*(1+'Cálculos'!$C$187+$A35*('Cálculos'!$C$290=1)*'Cálculos'!$C$97+'Cálculos'!$C$305)+'Cálculos'!$C$192)*('Cálculos'!$C$224+'Cálculos'!$C$124*(1+2.78*('Cálculos'!$C$197+(($B$54)-$A35)*'Cálculos'!$C$98)/(('Cálculos'!$C$197+(($B$54)-$A35)*'Cálculos'!$C$98)+1400)+'Cálculos'!$C$122)*'Cálculos'!$C$229+'Cálculos'!$C$125*(1+2.78*('Cálculos'!$C$197+(($B$54)-$A35)*'Cálculos'!$C$98)/(('Cálculos'!$C$197+(($B$54)-$A35)*'Cálculos'!$C$98)+1400)+'Cálculos'!$C$123)*'Cálculos'!$C$234)+('Cálculos'!$C$197+(($B$54)-$A35)*'Cálculos'!$C$98)*('Cálculos'!$C$225+'Cálculos'!$C$124*(1+2.78*('Cálculos'!$C$197+(($B$54)-$A35)*'Cálculos'!$C$98)/(('Cálculos'!$C$197+(($B$54)-$A35)*'Cálculos'!$C$98)+1400)+'Cálculos'!$C$122)*'Cálculos'!$C$230+'Cálculos'!$C$125*(1+2.78*('Cálculos'!$C$197+(($B$54)-$A35)*'Cálculos'!$C$98)/(('Cálculos'!$C$197+(($B$54)-$A35)*'Cálculos'!$C$98)+1400)+'Cálculos'!$C$123)*'Cálculos'!$C$235)+('Cálculos'!$C$201*(1+'Cálculos'!$C$202+$A35*('Cálculos'!$C$290=2)*'Cálculos'!$C$101)+'Cálculos'!$C$203)*('Cálculos'!$C$226+'Cálculos'!$C$124*(1+2.78*('Cálculos'!$C$197+(($B$54)-$A35)*'Cálculos'!$C$98)/(('Cálculos'!$C$197+(($B$54)-$A35)*'Cálculos'!$C$98)+1400)+'Cálculos'!$C$122)*'Cálculos'!$C$231+'Cálculos'!$C$125*(1+2.78*('Cálculos'!$C$197+(($B$54)-$A35)*'Cálculos'!$C$98)/(('Cálculos'!$C$197+(($B$54)-$A35)*'Cálculos'!$C$98)+1400)+'Cálculos'!$C$123)*'Cálculos'!$C$236)+('Cálculos'!$C$204*(1+'Cálculos'!$C$205+$A35*('Cálculos'!$C$290=3)*'Cálculos'!$C$103)+'Cálculos'!$C$206)*('Cálculos'!$C$227+'Cálculos'!$C$124*(1+2.78*('Cálculos'!$C$197+(($B$54)-$A35)*'Cálculos'!$C$98)/(('Cálculos'!$C$197+(($B$54)-$A35)*'Cálculos'!$C$98)+1400)+'Cálculos'!$C$122)*'Cálculos'!$C$232+'Cálculos'!$C$125*(1+2.78*('Cálculos'!$C$197+(($B$54)-$A35)*'Cálculos'!$C$98)/(('Cálculos'!$C$197+(($B$54)-$A35)*'Cálculos'!$C$98)+1400)+'Cálculos'!$C$123)*'Cálculos'!$C$237)+('Cálculos'!$C$228+'Cálculos'!$C$124*(1+2.78*('Cálculos'!$C$197+(($B$54)-$A35)*'Cálculos'!$C$98)/(('Cálculos'!$C$197+(($B$54)-$A35)*'Cálculos'!$C$98)+1400)+'Cálculos'!$C$122)*'Cálculos'!$C$233+'Cálculos'!$C$125*(1+2.78*('Cálculos'!$C$197+(($B$54)-$A35)*'Cálculos'!$C$98)/(('Cálculos'!$C$197+(($B$54)-$A35)*'Cálculos'!$C$98)+1400)+'Cálculos'!$C$123)*'Cálculos'!$C$238)+('Cálculos'!$C$185*(1+'Cálculos'!$C$188+$A35*('Cálculos'!$C$290=1)*'Cálculos'!$C$97+'Cálculos'!$C$305)+'Cálculos'!$C$193)*('Cálculos'!$C$239+'Cálculos'!$C$124*(1+2.78*('Cálculos'!$C$198+(($B$54)-$A35)*'Cálculos'!$C$98)/(('Cálculos'!$C$198+(($B$54)-$A35)*'Cálculos'!$C$98)+1400)+'Cálculos'!$C$122)*'Cálculos'!$C$244+'Cálculos'!$C$125*(1+2.78*('Cálculos'!$C$198+(($B$54)-$A35)*'Cálculos'!$C$98)/(('Cálculos'!$C$198+(($B$54)-$A35)*'Cálculos'!$C$98)+1400)+'Cálculos'!$C$123)*'Cálculos'!$C$249)+('Cálculos'!$C$198+(($B$54)-$A35)*'Cálculos'!$C$98)*('Cálculos'!$C$240+'Cálculos'!$C$124*(1+2.78*('Cálculos'!$C$198+(($B$54)-$A35)*'Cálculos'!$C$98)/(('Cálculos'!$C$198+(($B$54)-$A35)*'Cálculos'!$C$98)+1400)+'Cálculos'!$C$122)*'Cálculos'!$C$245+'Cálculos'!$C$125*(1+2.78*('Cálculos'!$C$198+(($B$54)-$A35)*'Cálculos'!$C$98)/(('Cálculos'!$C$198+(($B$54)-$A35)*'Cálculos'!$C$98)+1400)+'Cálculos'!$C$123)*'Cálculos'!$C$250)+('Cálculos'!$C$201*(1+'Cálculos'!$C$202+$A35*('Cálculos'!$C$290=2)*'Cálculos'!$C$101)+'Cálculos'!$C$203)*('Cálculos'!$C$241+'Cálculos'!$C$124*(1+2.78*('Cálculos'!$C$198+(($B$54)-$A35)*'Cálculos'!$C$98)/(('Cálculos'!$C$198+(($B$54)-$A35)*'Cálculos'!$C$98)+1400)+'Cálculos'!$C$122)*'Cálculos'!$C$246+'Cálculos'!$C$125*(1+2.78*('Cálculos'!$C$198+(($B$54)-$A35)*'Cálculos'!$C$98)/(('Cálculos'!$C$198+(($B$54)-$A35)*'Cálculos'!$C$98)+1400)+'Cálculos'!$C$123)*'Cálculos'!$C$251)+('Cálculos'!$C$204*(1+'Cálculos'!$C$205+$A35*('Cálculos'!$C$290=3)*'Cálculos'!$C$103)+'Cálculos'!$C$206)*('Cálculos'!$C$242+'Cálculos'!$C$124*(1+2.78*('Cálculos'!$C$198+(($B$54)-$A35)*'Cálculos'!$C$98)/(('Cálculos'!$C$198+(($B$54)-$A35)*'Cálculos'!$C$98)+1400)+'Cálculos'!$C$122)*'Cálculos'!$C$247+'Cálculos'!$C$125*(1+2.78*('Cálculos'!$C$198+(($B$54)-$A35)*'Cálculos'!$C$98)/(('Cálculos'!$C$198+(($B$54)-$A35)*'Cálculos'!$C$98)+1400)+'Cálculos'!$C$123)*'Cálculos'!$C$252)+('Cálculos'!$C$243+'Cálculos'!$C$124*(1+2.78*('Cálculos'!$C$198+(($B$54)-$A35)*'Cálculos'!$C$98)/(('Cálculos'!$C$198+(($B$54)-$A35)*'Cálculos'!$C$98)+1400)+'Cálculos'!$C$122)*'Cálculos'!$C$248+'Cálculos'!$C$125*(1+2.78*('Cálculos'!$C$198+(($B$54)-$A35)*'Cálculos'!$C$98)/(('Cálculos'!$C$198+(($B$54)-$A35)*'Cálculos'!$C$98)+1400)+'Cálculos'!$C$123)*'Cálculos'!$C$253)+('Cálculos'!$C$185*(1+'Cálculos'!$C$189+$A35*('Cálculos'!$C$290=1)*'Cálculos'!$C$97+'Cálculos'!$C$305)+'Cálculos'!$C$194)*('Cálculos'!$C$254+'Cálculos'!$C$124*(1+2.78*('Cálculos'!$C$199+(($B$54)-$A35)*'Cálculos'!$C$98)/(('Cálculos'!$C$199+(($B$54)-$A35)*'Cálculos'!$C$98)+1400)+'Cálculos'!$C$122)*'Cálculos'!$C$259+'Cálculos'!$C$125*(1+2.78*('Cálculos'!$C$199+(($B$54)-$A35)*'Cálculos'!$C$98)/(('Cálculos'!$C$199+(($B$54)-$A35)*'Cálculos'!$C$98)+1400)+'Cálculos'!$C$123)*'Cálculos'!$C$264)+('Cálculos'!$C$199+(($B$54)-$A35)*'Cálculos'!$C$98)*('Cálculos'!$C$255+'Cálculos'!$C$124*(1+2.78*('Cálculos'!$C$199+(($B$54)-$A35)*'Cálculos'!$C$98)/(('Cálculos'!$C$199+(($B$54)-$A35)*'Cálculos'!$C$98)+1400)+'Cálculos'!$C$122)*'Cálculos'!$C$260+'Cálculos'!$C$125*(1+2.78*('Cálculos'!$C$199+(($B$54)-$A35)*'Cálculos'!$C$98)/(('Cálculos'!$C$199+(($B$54)-$A35)*'Cálculos'!$C$98)+1400)+'Cálculos'!$C$123)*'Cálculos'!$C$265)+('Cálculos'!$C$201*(1+'Cálculos'!$C$202+$A35*('Cálculos'!$C$290=2)*'Cálculos'!$C$101)+'Cálculos'!$C$203)*('Cálculos'!$C$256+'Cálculos'!$C$124*(1+2.78*('Cálculos'!$C$199+(($B$54)-$A35)*'Cálculos'!$C$98)/(('Cálculos'!$C$199+(($B$54)-$A35)*'Cálculos'!$C$98)+1400)+'Cálculos'!$C$122)*'Cálculos'!$C$261+'Cálculos'!$C$125*(1+2.78*('Cálculos'!$C$199+(($B$54)-$A35)*'Cálculos'!$C$98)/(('Cálculos'!$C$199+(($B$54)-$A35)*'Cálculos'!$C$98)+1400)+'Cálculos'!$C$123)*'Cálculos'!$C$266)+('Cálculos'!$C$204*(1+'Cálculos'!$C$205+$A35*('Cálculos'!$C$290=3)*'Cálculos'!$C$103)+'Cálculos'!$C$206)*('Cálculos'!$C$257+'Cálculos'!$C$124*(1+2.78*('Cálculos'!$C$199+(($B$54)-$A35)*'Cálculos'!$C$98)/(('Cálculos'!$C$199+(($B$54)-$A35)*'Cálculos'!$C$98)+1400)+'Cálculos'!$C$122)*'Cálculos'!$C$262+'Cálculos'!$C$125*(1+2.78*('Cálculos'!$C$199+(($B$54)-$A35)*'Cálculos'!$C$98)/(('Cálculos'!$C$199+(($B$54)-$A35)*'Cálculos'!$C$98)+1400)+'Cálculos'!$C$123)*'Cálculos'!$C$267)+('Cálculos'!$C$258+'Cálculos'!$C$124*(1+2.78*('Cálculos'!$C$199+(($B$54)-$A35)*'Cálculos'!$C$98)/(('Cálculos'!$C$199+(($B$54)-$A35)*'Cálculos'!$C$98)+1400)+'Cálculos'!$C$122)*'Cálculos'!$C$263+'Cálculos'!$C$125*(1+2.78*('Cálculos'!$C$199+(($B$54)-$A35)*'Cálculos'!$C$98)/(('Cálculos'!$C$199+(($B$54)-$A35)*'Cálculos'!$C$98)+1400)+'Cálculos'!$C$123)*'Cálculos'!$C$268)+('Cálculos'!$C$185*(1+'Cálculos'!$C$190+$A35*('Cálculos'!$C$290=1)*'Cálculos'!$C$97+'Cálculos'!$C$305)+'Cálculos'!$C$195)*('Cálculos'!$C$269+'Cálculos'!$C$124*(1+2.78*('Cálculos'!$C$200+(($B$54)-$A35)*'Cálculos'!$C$98)/(('Cálculos'!$C$200+(($B$54)-$A35)*'Cálculos'!$C$98)+1400)+'Cálculos'!$C$122)*'Cálculos'!$C$274+'Cálculos'!$C$125*(1+2.78*('Cálculos'!$C$200+(($B$54)-$A35)*'Cálculos'!$C$98)/(('Cálculos'!$C$200+(($B$54)-$A35)*'Cálculos'!$C$98)+1400)+'Cálculos'!$C$123)*'Cálculos'!$C$279)+('Cálculos'!$C$200+(($B$54)-$A35)*'Cálculos'!$C$98)*('Cálculos'!$C$270+'Cálculos'!$C$124*(1+2.78*('Cálculos'!$C$200+(($B$54)-$A35)*'Cálculos'!$C$98)/(('Cálculos'!$C$200+(($B$54)-$A35)*'Cálculos'!$C$98)+1400)+'Cálculos'!$C$122)*'Cálculos'!$C$275+'Cálculos'!$C$125*(1+2.78*('Cálculos'!$C$200+(($B$54)-$A35)*'Cálculos'!$C$98)/(('Cálculos'!$C$200+(($B$54)-$A35)*'Cálculos'!$C$98)+1400)+'Cálculos'!$C$123)*'Cálculos'!$C$280)+('Cálculos'!$C$201*(1+'Cálculos'!$C$202+$A35*('Cálculos'!$C$290=2)*'Cálculos'!$C$101)+'Cálculos'!$C$203)*('Cálculos'!$C$271+'Cálculos'!$C$124*(1+2.78*('Cálculos'!$C$200+(($B$54)-$A35)*'Cálculos'!$C$98)/(('Cálculos'!$C$200+(($B$54)-$A35)*'Cálculos'!$C$98)+1400)+'Cálculos'!$C$122)*'Cálculos'!$C$276+'Cálculos'!$C$125*(1+2.78*('Cálculos'!$C$200+(($B$54)-$A35)*'Cálculos'!$C$98)/(('Cálculos'!$C$200+(($B$54)-$A35)*'Cálculos'!$C$98)+1400)+'Cálculos'!$C$123)*'Cálculos'!$C$281)+('Cálculos'!$C$204*(1+'Cálculos'!$C$205+$A35*('Cálculos'!$C$290=3)*'Cálculos'!$C$103)+'Cálculos'!$C$206)*('Cálculos'!$C$272+'Cálculos'!$C$124*(1+2.78*('Cálculos'!$C$200+(($B$54)-$A35)*'Cálculos'!$C$98)/(('Cálculos'!$C$200+(($B$54)-$A35)*'Cálculos'!$C$98)+1400)+'Cálculos'!$C$122)*'Cálculos'!$C$277+'Cálculos'!$C$125*(1+2.78*('Cálculos'!$C$200+(($B$54)-$A35)*'Cálculos'!$C$98)/(('Cálculos'!$C$200+(($B$54)-$A35)*'Cálculos'!$C$98)+1400)+'Cálculos'!$C$123)*'Cálculos'!$C$282)+('Cálculos'!$C$273+'Cálculos'!$C$124*(1+2.78*('Cálculos'!$C$200+(($B$54)-$A35)*'Cálculos'!$C$98)/(('Cálculos'!$C$200+(($B$54)-$A35)*'Cálculos'!$C$98)+1400)+'Cálculos'!$C$122)*'Cálculos'!$C$278+'Cálculos'!$C$125*(1+2.78*('Cálculos'!$C$200+(($B$54)-$A35)*'Cálculos'!$C$98)/(('Cálculos'!$C$200+(($B$54)-$A35)*'Cálculos'!$C$98)+1400)+'Cálculos'!$C$123)*'Cálculos'!$C$283)))</f>
        <v>0</v>
      </c>
    </row>
    <row r="36" ht="15.75" customHeight="1">
      <c r="A36" s="2">
        <v>30.0</v>
      </c>
      <c r="B36" s="30">
        <f>SUMPRODUCT(MAX(($A$6:$A$51&lt;=$A36)*($A$6:$A$51&lt;='Cálculos'!$C$294)*(($A36)-$A$6:$A$51&lt;='Cálculos'!$C$295)*(1+(('Cálculos'!$C$207+$A$6:$A$51*'Cálculos'!$C$95)-(('Cálculos'!$C$207+$A$6:$A$51*'Cálculos'!$C$95)&gt;1)*(('Cálculos'!$C$207+$A$6:$A$51*'Cálculos'!$C$95)-1))*('Cálculos'!$C$208+(($A36)-$A$6:$A$51)*'Cálculos'!$C$96))))</f>
        <v>4.206338</v>
      </c>
      <c r="C36" s="2">
        <f>'Cálculos'!$C$303-$A36</f>
        <v>-10</v>
      </c>
      <c r="D36" s="31">
        <f>IF($C36&lt;0,0,SUMPRODUCT(MAX(($A$6:$A$51&lt;=$C36)*($A$6:$A$51&lt;='Cálculos'!$C$301)*(($C36)-$A$6:$A$51&lt;='Cálculos'!$C$297)*(('Cálculos'!$C$185*(1+'Cálculos'!$C$186+$A$6:$A$51*('Cálculos'!$C$290=1)*'Cálculos'!$C$97+'Cálculos'!$C$305)+'Cálculos'!$C$191)*('Cálculos'!$C$209+'Cálculos'!$C$124*(1+2.78*('Cálculos'!$C$196+(($C36)-$A$6:$A$51)*'Cálculos'!$C$98)/(('Cálculos'!$C$196+(($C36)-$A$6:$A$51)*'Cálculos'!$C$98)+1400)+'Cálculos'!$C$122)*'Cálculos'!$C$214+'Cálculos'!$C$125*(1+2.78*('Cálculos'!$C$196+(($C36)-$A$6:$A$51)*'Cálculos'!$C$98)/(('Cálculos'!$C$196+(($C36)-$A$6:$A$51)*'Cálculos'!$C$98)+1400)+'Cálculos'!$C$123)*'Cálculos'!$C$219)+('Cálculos'!$C$196+(($C36)-$A$6:$A$51)*'Cálculos'!$C$98)*('Cálculos'!$C$210+'Cálculos'!$C$124*(1+2.78*('Cálculos'!$C$196+(($C36)-$A$6:$A$51)*'Cálculos'!$C$98)/(('Cálculos'!$C$196+(($C36)-$A$6:$A$51)*'Cálculos'!$C$98)+1400)+'Cálculos'!$C$122)*'Cálculos'!$C$215+'Cálculos'!$C$125*(1+2.78*('Cálculos'!$C$196+(($C36)-$A$6:$A$51)*'Cálculos'!$C$98)/(('Cálculos'!$C$196+(($C36)-$A$6:$A$51)*'Cálculos'!$C$98)+1400)+'Cálculos'!$C$123)*'Cálculos'!$C$220)+('Cálculos'!$C$201*(1+'Cálculos'!$C$202+$A$6:$A$51*('Cálculos'!$C$290=2)*'Cálculos'!$C$101)+'Cálculos'!$C$203)*('Cálculos'!$C$211+'Cálculos'!$C$124*(1+2.78*('Cálculos'!$C$196+(($C36)-$A$6:$A$51)*'Cálculos'!$C$98)/(('Cálculos'!$C$196+(($C36)-$A$6:$A$51)*'Cálculos'!$C$98)+1400)+'Cálculos'!$C$122)*'Cálculos'!$C$216+'Cálculos'!$C$125*(1+2.78*('Cálculos'!$C$196+(($C36)-$A$6:$A$51)*'Cálculos'!$C$98)/(('Cálculos'!$C$196+(($C36)-$A$6:$A$51)*'Cálculos'!$C$98)+1400)+'Cálculos'!$C$123)*'Cálculos'!$C$221)+('Cálculos'!$C$204*(1+'Cálculos'!$C$205+$A$6:$A$51*('Cálculos'!$C$290=3)*'Cálculos'!$C$103)+'Cálculos'!$C$206)*('Cálculos'!$C$212+'Cálculos'!$C$124*(1+2.78*('Cálculos'!$C$196+(($C36)-$A$6:$A$51)*'Cálculos'!$C$98)/(('Cálculos'!$C$196+(($C36)-$A$6:$A$51)*'Cálculos'!$C$98)+1400)+'Cálculos'!$C$122)*'Cálculos'!$C$217+'Cálculos'!$C$125*(1+2.78*('Cálculos'!$C$196+(($C36)-$A$6:$A$51)*'Cálculos'!$C$98)/(('Cálculos'!$C$196+(($C36)-$A$6:$A$51)*'Cálculos'!$C$98)+1400)+'Cálculos'!$C$123)*'Cálculos'!$C$222)+('Cálculos'!$C$213+'Cálculos'!$C$124*(1+2.78*('Cálculos'!$C$196+(($C36)-$A$6:$A$51)*'Cálculos'!$C$98)/(('Cálculos'!$C$196+(($C36)-$A$6:$A$51)*'Cálculos'!$C$98)+1400)+'Cálculos'!$C$122)*'Cálculos'!$C$218+'Cálculos'!$C$125*(1+2.78*('Cálculos'!$C$196+(($C36)-$A$6:$A$51)*'Cálculos'!$C$98)/(('Cálculos'!$C$196+(($C36)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36)-$A$6:$A$51)*'Cálculos'!$C$98)/(('Cálculos'!$C$197+(($C36)-$A$6:$A$51)*'Cálculos'!$C$98)+1400)+'Cálculos'!$C$122)*'Cálculos'!$C$229+'Cálculos'!$C$125*(1+2.78*('Cálculos'!$C$197+(($C36)-$A$6:$A$51)*'Cálculos'!$C$98)/(('Cálculos'!$C$197+(($C36)-$A$6:$A$51)*'Cálculos'!$C$98)+1400)+'Cálculos'!$C$123)*'Cálculos'!$C$234)+('Cálculos'!$C$197+(($C36)-$A$6:$A$51)*'Cálculos'!$C$98)*('Cálculos'!$C$225+'Cálculos'!$C$124*(1+2.78*('Cálculos'!$C$197+(($C36)-$A$6:$A$51)*'Cálculos'!$C$98)/(('Cálculos'!$C$197+(($C36)-$A$6:$A$51)*'Cálculos'!$C$98)+1400)+'Cálculos'!$C$122)*'Cálculos'!$C$230+'Cálculos'!$C$125*(1+2.78*('Cálculos'!$C$197+(($C36)-$A$6:$A$51)*'Cálculos'!$C$98)/(('Cálculos'!$C$197+(($C36)-$A$6:$A$51)*'Cálculos'!$C$98)+1400)+'Cálculos'!$C$123)*'Cálculos'!$C$235)+('Cálculos'!$C$201*(1+'Cálculos'!$C$202+$A$6:$A$51*('Cálculos'!$C$290=2)*'Cálculos'!$C$101)+'Cálculos'!$C$203)*('Cálculos'!$C$226+'Cálculos'!$C$124*(1+2.78*('Cálculos'!$C$197+(($C36)-$A$6:$A$51)*'Cálculos'!$C$98)/(('Cálculos'!$C$197+(($C36)-$A$6:$A$51)*'Cálculos'!$C$98)+1400)+'Cálculos'!$C$122)*'Cálculos'!$C$231+'Cálculos'!$C$125*(1+2.78*('Cálculos'!$C$197+(($C36)-$A$6:$A$51)*'Cálculos'!$C$98)/(('Cálculos'!$C$197+(($C36)-$A$6:$A$51)*'Cálculos'!$C$98)+1400)+'Cálculos'!$C$123)*'Cálculos'!$C$236)+('Cálculos'!$C$204*(1+'Cálculos'!$C$205+$A$6:$A$51*('Cálculos'!$C$290=3)*'Cálculos'!$C$103)+'Cálculos'!$C$206)*('Cálculos'!$C$227+'Cálculos'!$C$124*(1+2.78*('Cálculos'!$C$197+(($C36)-$A$6:$A$51)*'Cálculos'!$C$98)/(('Cálculos'!$C$197+(($C36)-$A$6:$A$51)*'Cálculos'!$C$98)+1400)+'Cálculos'!$C$122)*'Cálculos'!$C$232+'Cálculos'!$C$125*(1+2.78*('Cálculos'!$C$197+(($C36)-$A$6:$A$51)*'Cálculos'!$C$98)/(('Cálculos'!$C$197+(($C36)-$A$6:$A$51)*'Cálculos'!$C$98)+1400)+'Cálculos'!$C$123)*'Cálculos'!$C$237)+('Cálculos'!$C$228+'Cálculos'!$C$124*(1+2.78*('Cálculos'!$C$197+(($C36)-$A$6:$A$51)*'Cálculos'!$C$98)/(('Cálculos'!$C$197+(($C36)-$A$6:$A$51)*'Cálculos'!$C$98)+1400)+'Cálculos'!$C$122)*'Cálculos'!$C$233+'Cálculos'!$C$125*(1+2.78*('Cálculos'!$C$197+(($C36)-$A$6:$A$51)*'Cálculos'!$C$98)/(('Cálculos'!$C$197+(($C36)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36)-$A$6:$A$51)*'Cálculos'!$C$98)/(('Cálculos'!$C$198+(($C36)-$A$6:$A$51)*'Cálculos'!$C$98)+1400)+'Cálculos'!$C$122)*'Cálculos'!$C$244+'Cálculos'!$C$125*(1+2.78*('Cálculos'!$C$198+(($C36)-$A$6:$A$51)*'Cálculos'!$C$98)/(('Cálculos'!$C$198+(($C36)-$A$6:$A$51)*'Cálculos'!$C$98)+1400)+'Cálculos'!$C$123)*'Cálculos'!$C$249)+('Cálculos'!$C$198+(($C36)-$A$6:$A$51)*'Cálculos'!$C$98)*('Cálculos'!$C$240+'Cálculos'!$C$124*(1+2.78*('Cálculos'!$C$198+(($C36)-$A$6:$A$51)*'Cálculos'!$C$98)/(('Cálculos'!$C$198+(($C36)-$A$6:$A$51)*'Cálculos'!$C$98)+1400)+'Cálculos'!$C$122)*'Cálculos'!$C$245+'Cálculos'!$C$125*(1+2.78*('Cálculos'!$C$198+(($C36)-$A$6:$A$51)*'Cálculos'!$C$98)/(('Cálculos'!$C$198+(($C36)-$A$6:$A$51)*'Cálculos'!$C$98)+1400)+'Cálculos'!$C$123)*'Cálculos'!$C$250)+('Cálculos'!$C$201*(1+'Cálculos'!$C$202+$A$6:$A$51*('Cálculos'!$C$290=2)*'Cálculos'!$C$101)+'Cálculos'!$C$203)*('Cálculos'!$C$241+'Cálculos'!$C$124*(1+2.78*('Cálculos'!$C$198+(($C36)-$A$6:$A$51)*'Cálculos'!$C$98)/(('Cálculos'!$C$198+(($C36)-$A$6:$A$51)*'Cálculos'!$C$98)+1400)+'Cálculos'!$C$122)*'Cálculos'!$C$246+'Cálculos'!$C$125*(1+2.78*('Cálculos'!$C$198+(($C36)-$A$6:$A$51)*'Cálculos'!$C$98)/(('Cálculos'!$C$198+(($C36)-$A$6:$A$51)*'Cálculos'!$C$98)+1400)+'Cálculos'!$C$123)*'Cálculos'!$C$251)+('Cálculos'!$C$204*(1+'Cálculos'!$C$205+$A$6:$A$51*('Cálculos'!$C$290=3)*'Cálculos'!$C$103)+'Cálculos'!$C$206)*('Cálculos'!$C$242+'Cálculos'!$C$124*(1+2.78*('Cálculos'!$C$198+(($C36)-$A$6:$A$51)*'Cálculos'!$C$98)/(('Cálculos'!$C$198+(($C36)-$A$6:$A$51)*'Cálculos'!$C$98)+1400)+'Cálculos'!$C$122)*'Cálculos'!$C$247+'Cálculos'!$C$125*(1+2.78*('Cálculos'!$C$198+(($C36)-$A$6:$A$51)*'Cálculos'!$C$98)/(('Cálculos'!$C$198+(($C36)-$A$6:$A$51)*'Cálculos'!$C$98)+1400)+'Cálculos'!$C$123)*'Cálculos'!$C$252)+('Cálculos'!$C$243+'Cálculos'!$C$124*(1+2.78*('Cálculos'!$C$198+(($C36)-$A$6:$A$51)*'Cálculos'!$C$98)/(('Cálculos'!$C$198+(($C36)-$A$6:$A$51)*'Cálculos'!$C$98)+1400)+'Cálculos'!$C$122)*'Cálculos'!$C$248+'Cálculos'!$C$125*(1+2.78*('Cálculos'!$C$198+(($C36)-$A$6:$A$51)*'Cálculos'!$C$98)/(('Cálculos'!$C$198+(($C36)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36)-$A$6:$A$51)*'Cálculos'!$C$98)/(('Cálculos'!$C$199+(($C36)-$A$6:$A$51)*'Cálculos'!$C$98)+1400)+'Cálculos'!$C$122)*'Cálculos'!$C$259+'Cálculos'!$C$125*(1+2.78*('Cálculos'!$C$199+(($C36)-$A$6:$A$51)*'Cálculos'!$C$98)/(('Cálculos'!$C$199+(($C36)-$A$6:$A$51)*'Cálculos'!$C$98)+1400)+'Cálculos'!$C$123)*'Cálculos'!$C$264)+('Cálculos'!$C$199+(($C36)-$A$6:$A$51)*'Cálculos'!$C$98)*('Cálculos'!$C$255+'Cálculos'!$C$124*(1+2.78*('Cálculos'!$C$199+(($C36)-$A$6:$A$51)*'Cálculos'!$C$98)/(('Cálculos'!$C$199+(($C36)-$A$6:$A$51)*'Cálculos'!$C$98)+1400)+'Cálculos'!$C$122)*'Cálculos'!$C$260+'Cálculos'!$C$125*(1+2.78*('Cálculos'!$C$199+(($C36)-$A$6:$A$51)*'Cálculos'!$C$98)/(('Cálculos'!$C$199+(($C36)-$A$6:$A$51)*'Cálculos'!$C$98)+1400)+'Cálculos'!$C$123)*'Cálculos'!$C$265)+('Cálculos'!$C$201*(1+'Cálculos'!$C$202+$A$6:$A$51*('Cálculos'!$C$290=2)*'Cálculos'!$C$101)+'Cálculos'!$C$203)*('Cálculos'!$C$256+'Cálculos'!$C$124*(1+2.78*('Cálculos'!$C$199+(($C36)-$A$6:$A$51)*'Cálculos'!$C$98)/(('Cálculos'!$C$199+(($C36)-$A$6:$A$51)*'Cálculos'!$C$98)+1400)+'Cálculos'!$C$122)*'Cálculos'!$C$261+'Cálculos'!$C$125*(1+2.78*('Cálculos'!$C$199+(($C36)-$A$6:$A$51)*'Cálculos'!$C$98)/(('Cálculos'!$C$199+(($C36)-$A$6:$A$51)*'Cálculos'!$C$98)+1400)+'Cálculos'!$C$123)*'Cálculos'!$C$266)+('Cálculos'!$C$204*(1+'Cálculos'!$C$205+$A$6:$A$51*('Cálculos'!$C$290=3)*'Cálculos'!$C$103)+'Cálculos'!$C$206)*('Cálculos'!$C$257+'Cálculos'!$C$124*(1+2.78*('Cálculos'!$C$199+(($C36)-$A$6:$A$51)*'Cálculos'!$C$98)/(('Cálculos'!$C$199+(($C36)-$A$6:$A$51)*'Cálculos'!$C$98)+1400)+'Cálculos'!$C$122)*'Cálculos'!$C$262+'Cálculos'!$C$125*(1+2.78*('Cálculos'!$C$199+(($C36)-$A$6:$A$51)*'Cálculos'!$C$98)/(('Cálculos'!$C$199+(($C36)-$A$6:$A$51)*'Cálculos'!$C$98)+1400)+'Cálculos'!$C$123)*'Cálculos'!$C$267)+('Cálculos'!$C$258+'Cálculos'!$C$124*(1+2.78*('Cálculos'!$C$199+(($C36)-$A$6:$A$51)*'Cálculos'!$C$98)/(('Cálculos'!$C$199+(($C36)-$A$6:$A$51)*'Cálculos'!$C$98)+1400)+'Cálculos'!$C$122)*'Cálculos'!$C$263+'Cálculos'!$C$125*(1+2.78*('Cálculos'!$C$199+(($C36)-$A$6:$A$51)*'Cálculos'!$C$98)/(('Cálculos'!$C$199+(($C36)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36)-$A$6:$A$51)*'Cálculos'!$C$98)/(('Cálculos'!$C$200+(($C36)-$A$6:$A$51)*'Cálculos'!$C$98)+1400)+'Cálculos'!$C$122)*'Cálculos'!$C$274+'Cálculos'!$C$125*(1+2.78*('Cálculos'!$C$200+(($C36)-$A$6:$A$51)*'Cálculos'!$C$98)/(('Cálculos'!$C$200+(($C36)-$A$6:$A$51)*'Cálculos'!$C$98)+1400)+'Cálculos'!$C$123)*'Cálculos'!$C$279)+('Cálculos'!$C$200+(($C36)-$A$6:$A$51)*'Cálculos'!$C$98)*('Cálculos'!$C$270+'Cálculos'!$C$124*(1+2.78*('Cálculos'!$C$200+(($C36)-$A$6:$A$51)*'Cálculos'!$C$98)/(('Cálculos'!$C$200+(($C36)-$A$6:$A$51)*'Cálculos'!$C$98)+1400)+'Cálculos'!$C$122)*'Cálculos'!$C$275+'Cálculos'!$C$125*(1+2.78*('Cálculos'!$C$200+(($C36)-$A$6:$A$51)*'Cálculos'!$C$98)/(('Cálculos'!$C$200+(($C36)-$A$6:$A$51)*'Cálculos'!$C$98)+1400)+'Cálculos'!$C$123)*'Cálculos'!$C$280)+('Cálculos'!$C$201*(1+'Cálculos'!$C$202+$A$6:$A$51*('Cálculos'!$C$290=2)*'Cálculos'!$C$101)+'Cálculos'!$C$203)*('Cálculos'!$C$271+'Cálculos'!$C$124*(1+2.78*('Cálculos'!$C$200+(($C36)-$A$6:$A$51)*'Cálculos'!$C$98)/(('Cálculos'!$C$200+(($C36)-$A$6:$A$51)*'Cálculos'!$C$98)+1400)+'Cálculos'!$C$122)*'Cálculos'!$C$276+'Cálculos'!$C$125*(1+2.78*('Cálculos'!$C$200+(($C36)-$A$6:$A$51)*'Cálculos'!$C$98)/(('Cálculos'!$C$200+(($C36)-$A$6:$A$51)*'Cálculos'!$C$98)+1400)+'Cálculos'!$C$123)*'Cálculos'!$C$281)+('Cálculos'!$C$204*(1+'Cálculos'!$C$205+$A$6:$A$51*('Cálculos'!$C$290=3)*'Cálculos'!$C$103)+'Cálculos'!$C$206)*('Cálculos'!$C$272+'Cálculos'!$C$124*(1+2.78*('Cálculos'!$C$200+(($C36)-$A$6:$A$51)*'Cálculos'!$C$98)/(('Cálculos'!$C$200+(($C36)-$A$6:$A$51)*'Cálculos'!$C$98)+1400)+'Cálculos'!$C$122)*'Cálculos'!$C$277+'Cálculos'!$C$125*(1+2.78*('Cálculos'!$C$200+(($C36)-$A$6:$A$51)*'Cálculos'!$C$98)/(('Cálculos'!$C$200+(($C36)-$A$6:$A$51)*'Cálculos'!$C$98)+1400)+'Cálculos'!$C$123)*'Cálculos'!$C$282)+('Cálculos'!$C$273+'Cálculos'!$C$124*(1+2.78*('Cálculos'!$C$200+(($C36)-$A$6:$A$51)*'Cálculos'!$C$98)/(('Cálculos'!$C$200+(($C36)-$A$6:$A$51)*'Cálculos'!$C$98)+1400)+'Cálculos'!$C$122)*'Cálculos'!$C$278+'Cálculos'!$C$125*(1+2.78*('Cálculos'!$C$200+(($C36)-$A$6:$A$51)*'Cálculos'!$C$98)/(('Cálculos'!$C$200+(($C36)-$A$6:$A$51)*'Cálculos'!$C$98)+1400)+'Cálculos'!$C$123)*'Cálculos'!$C$283)))))</f>
        <v>0</v>
      </c>
      <c r="E36" s="32">
        <f>IF(OR($C36&lt;0,'Cálculos'!$C$6=""),0,$B36*$D36)</f>
        <v>0</v>
      </c>
      <c r="F36" s="2"/>
      <c r="G36" s="30">
        <f>($A36&lt;=$B$53)*($A36&lt;='Cálculos'!$C$294)*(($B$53)-$A36&lt;='Cálculos'!$C$295)*(1+MIN(('Cálculos'!$C$207+$A36*'Cálculos'!$C$95),1)*('Cálculos'!$C$208+(($B$53)-$A36)*'Cálculos'!$C$96))</f>
        <v>0</v>
      </c>
      <c r="H36" s="31">
        <f>IF($B$54&lt;0,0,($A36&lt;=$B$54)*($A36&lt;='Cálculos'!$C$301)*(($B$54)-$A36&lt;='Cálculos'!$C$297)*(('Cálculos'!$C$185*(1+'Cálculos'!$C$186+$A36*('Cálculos'!$C$290=1)*'Cálculos'!$C$97+'Cálculos'!$C$305)+'Cálculos'!$C$191)*('Cálculos'!$C$209+'Cálculos'!$C$124*(1+2.78*('Cálculos'!$C$196+(($B$54)-$A36)*'Cálculos'!$C$98)/(('Cálculos'!$C$196+(($B$54)-$A36)*'Cálculos'!$C$98)+1400)+'Cálculos'!$C$122)*'Cálculos'!$C$214+'Cálculos'!$C$125*(1+2.78*('Cálculos'!$C$196+(($B$54)-$A36)*'Cálculos'!$C$98)/(('Cálculos'!$C$196+(($B$54)-$A36)*'Cálculos'!$C$98)+1400)+'Cálculos'!$C$123)*'Cálculos'!$C$219)+('Cálculos'!$C$196+(($B$54)-$A36)*'Cálculos'!$C$98)*('Cálculos'!$C$210+'Cálculos'!$C$124*(1+2.78*('Cálculos'!$C$196+(($B$54)-$A36)*'Cálculos'!$C$98)/(('Cálculos'!$C$196+(($B$54)-$A36)*'Cálculos'!$C$98)+1400)+'Cálculos'!$C$122)*'Cálculos'!$C$215+'Cálculos'!$C$125*(1+2.78*('Cálculos'!$C$196+(($B$54)-$A36)*'Cálculos'!$C$98)/(('Cálculos'!$C$196+(($B$54)-$A36)*'Cálculos'!$C$98)+1400)+'Cálculos'!$C$123)*'Cálculos'!$C$220)+('Cálculos'!$C$201*(1+'Cálculos'!$C$202+$A36*('Cálculos'!$C$290=2)*'Cálculos'!$C$101)+'Cálculos'!$C$203)*('Cálculos'!$C$211+'Cálculos'!$C$124*(1+2.78*('Cálculos'!$C$196+(($B$54)-$A36)*'Cálculos'!$C$98)/(('Cálculos'!$C$196+(($B$54)-$A36)*'Cálculos'!$C$98)+1400)+'Cálculos'!$C$122)*'Cálculos'!$C$216+'Cálculos'!$C$125*(1+2.78*('Cálculos'!$C$196+(($B$54)-$A36)*'Cálculos'!$C$98)/(('Cálculos'!$C$196+(($B$54)-$A36)*'Cálculos'!$C$98)+1400)+'Cálculos'!$C$123)*'Cálculos'!$C$221)+('Cálculos'!$C$204*(1+'Cálculos'!$C$205+$A36*('Cálculos'!$C$290=3)*'Cálculos'!$C$103)+'Cálculos'!$C$206)*('Cálculos'!$C$212+'Cálculos'!$C$124*(1+2.78*('Cálculos'!$C$196+(($B$54)-$A36)*'Cálculos'!$C$98)/(('Cálculos'!$C$196+(($B$54)-$A36)*'Cálculos'!$C$98)+1400)+'Cálculos'!$C$122)*'Cálculos'!$C$217+'Cálculos'!$C$125*(1+2.78*('Cálculos'!$C$196+(($B$54)-$A36)*'Cálculos'!$C$98)/(('Cálculos'!$C$196+(($B$54)-$A36)*'Cálculos'!$C$98)+1400)+'Cálculos'!$C$123)*'Cálculos'!$C$222)+('Cálculos'!$C$213+'Cálculos'!$C$124*(1+2.78*('Cálculos'!$C$196+(($B$54)-$A36)*'Cálculos'!$C$98)/(('Cálculos'!$C$196+(($B$54)-$A36)*'Cálculos'!$C$98)+1400)+'Cálculos'!$C$122)*'Cálculos'!$C$218+'Cálculos'!$C$125*(1+2.78*('Cálculos'!$C$196+(($B$54)-$A36)*'Cálculos'!$C$98)/(('Cálculos'!$C$196+(($B$54)-$A36)*'Cálculos'!$C$98)+1400)+'Cálculos'!$C$123)*'Cálculos'!$C$223)+('Cálculos'!$C$185*(1+'Cálculos'!$C$187+$A36*('Cálculos'!$C$290=1)*'Cálculos'!$C$97+'Cálculos'!$C$305)+'Cálculos'!$C$192)*('Cálculos'!$C$224+'Cálculos'!$C$124*(1+2.78*('Cálculos'!$C$197+(($B$54)-$A36)*'Cálculos'!$C$98)/(('Cálculos'!$C$197+(($B$54)-$A36)*'Cálculos'!$C$98)+1400)+'Cálculos'!$C$122)*'Cálculos'!$C$229+'Cálculos'!$C$125*(1+2.78*('Cálculos'!$C$197+(($B$54)-$A36)*'Cálculos'!$C$98)/(('Cálculos'!$C$197+(($B$54)-$A36)*'Cálculos'!$C$98)+1400)+'Cálculos'!$C$123)*'Cálculos'!$C$234)+('Cálculos'!$C$197+(($B$54)-$A36)*'Cálculos'!$C$98)*('Cálculos'!$C$225+'Cálculos'!$C$124*(1+2.78*('Cálculos'!$C$197+(($B$54)-$A36)*'Cálculos'!$C$98)/(('Cálculos'!$C$197+(($B$54)-$A36)*'Cálculos'!$C$98)+1400)+'Cálculos'!$C$122)*'Cálculos'!$C$230+'Cálculos'!$C$125*(1+2.78*('Cálculos'!$C$197+(($B$54)-$A36)*'Cálculos'!$C$98)/(('Cálculos'!$C$197+(($B$54)-$A36)*'Cálculos'!$C$98)+1400)+'Cálculos'!$C$123)*'Cálculos'!$C$235)+('Cálculos'!$C$201*(1+'Cálculos'!$C$202+$A36*('Cálculos'!$C$290=2)*'Cálculos'!$C$101)+'Cálculos'!$C$203)*('Cálculos'!$C$226+'Cálculos'!$C$124*(1+2.78*('Cálculos'!$C$197+(($B$54)-$A36)*'Cálculos'!$C$98)/(('Cálculos'!$C$197+(($B$54)-$A36)*'Cálculos'!$C$98)+1400)+'Cálculos'!$C$122)*'Cálculos'!$C$231+'Cálculos'!$C$125*(1+2.78*('Cálculos'!$C$197+(($B$54)-$A36)*'Cálculos'!$C$98)/(('Cálculos'!$C$197+(($B$54)-$A36)*'Cálculos'!$C$98)+1400)+'Cálculos'!$C$123)*'Cálculos'!$C$236)+('Cálculos'!$C$204*(1+'Cálculos'!$C$205+$A36*('Cálculos'!$C$290=3)*'Cálculos'!$C$103)+'Cálculos'!$C$206)*('Cálculos'!$C$227+'Cálculos'!$C$124*(1+2.78*('Cálculos'!$C$197+(($B$54)-$A36)*'Cálculos'!$C$98)/(('Cálculos'!$C$197+(($B$54)-$A36)*'Cálculos'!$C$98)+1400)+'Cálculos'!$C$122)*'Cálculos'!$C$232+'Cálculos'!$C$125*(1+2.78*('Cálculos'!$C$197+(($B$54)-$A36)*'Cálculos'!$C$98)/(('Cálculos'!$C$197+(($B$54)-$A36)*'Cálculos'!$C$98)+1400)+'Cálculos'!$C$123)*'Cálculos'!$C$237)+('Cálculos'!$C$228+'Cálculos'!$C$124*(1+2.78*('Cálculos'!$C$197+(($B$54)-$A36)*'Cálculos'!$C$98)/(('Cálculos'!$C$197+(($B$54)-$A36)*'Cálculos'!$C$98)+1400)+'Cálculos'!$C$122)*'Cálculos'!$C$233+'Cálculos'!$C$125*(1+2.78*('Cálculos'!$C$197+(($B$54)-$A36)*'Cálculos'!$C$98)/(('Cálculos'!$C$197+(($B$54)-$A36)*'Cálculos'!$C$98)+1400)+'Cálculos'!$C$123)*'Cálculos'!$C$238)+('Cálculos'!$C$185*(1+'Cálculos'!$C$188+$A36*('Cálculos'!$C$290=1)*'Cálculos'!$C$97+'Cálculos'!$C$305)+'Cálculos'!$C$193)*('Cálculos'!$C$239+'Cálculos'!$C$124*(1+2.78*('Cálculos'!$C$198+(($B$54)-$A36)*'Cálculos'!$C$98)/(('Cálculos'!$C$198+(($B$54)-$A36)*'Cálculos'!$C$98)+1400)+'Cálculos'!$C$122)*'Cálculos'!$C$244+'Cálculos'!$C$125*(1+2.78*('Cálculos'!$C$198+(($B$54)-$A36)*'Cálculos'!$C$98)/(('Cálculos'!$C$198+(($B$54)-$A36)*'Cálculos'!$C$98)+1400)+'Cálculos'!$C$123)*'Cálculos'!$C$249)+('Cálculos'!$C$198+(($B$54)-$A36)*'Cálculos'!$C$98)*('Cálculos'!$C$240+'Cálculos'!$C$124*(1+2.78*('Cálculos'!$C$198+(($B$54)-$A36)*'Cálculos'!$C$98)/(('Cálculos'!$C$198+(($B$54)-$A36)*'Cálculos'!$C$98)+1400)+'Cálculos'!$C$122)*'Cálculos'!$C$245+'Cálculos'!$C$125*(1+2.78*('Cálculos'!$C$198+(($B$54)-$A36)*'Cálculos'!$C$98)/(('Cálculos'!$C$198+(($B$54)-$A36)*'Cálculos'!$C$98)+1400)+'Cálculos'!$C$123)*'Cálculos'!$C$250)+('Cálculos'!$C$201*(1+'Cálculos'!$C$202+$A36*('Cálculos'!$C$290=2)*'Cálculos'!$C$101)+'Cálculos'!$C$203)*('Cálculos'!$C$241+'Cálculos'!$C$124*(1+2.78*('Cálculos'!$C$198+(($B$54)-$A36)*'Cálculos'!$C$98)/(('Cálculos'!$C$198+(($B$54)-$A36)*'Cálculos'!$C$98)+1400)+'Cálculos'!$C$122)*'Cálculos'!$C$246+'Cálculos'!$C$125*(1+2.78*('Cálculos'!$C$198+(($B$54)-$A36)*'Cálculos'!$C$98)/(('Cálculos'!$C$198+(($B$54)-$A36)*'Cálculos'!$C$98)+1400)+'Cálculos'!$C$123)*'Cálculos'!$C$251)+('Cálculos'!$C$204*(1+'Cálculos'!$C$205+$A36*('Cálculos'!$C$290=3)*'Cálculos'!$C$103)+'Cálculos'!$C$206)*('Cálculos'!$C$242+'Cálculos'!$C$124*(1+2.78*('Cálculos'!$C$198+(($B$54)-$A36)*'Cálculos'!$C$98)/(('Cálculos'!$C$198+(($B$54)-$A36)*'Cálculos'!$C$98)+1400)+'Cálculos'!$C$122)*'Cálculos'!$C$247+'Cálculos'!$C$125*(1+2.78*('Cálculos'!$C$198+(($B$54)-$A36)*'Cálculos'!$C$98)/(('Cálculos'!$C$198+(($B$54)-$A36)*'Cálculos'!$C$98)+1400)+'Cálculos'!$C$123)*'Cálculos'!$C$252)+('Cálculos'!$C$243+'Cálculos'!$C$124*(1+2.78*('Cálculos'!$C$198+(($B$54)-$A36)*'Cálculos'!$C$98)/(('Cálculos'!$C$198+(($B$54)-$A36)*'Cálculos'!$C$98)+1400)+'Cálculos'!$C$122)*'Cálculos'!$C$248+'Cálculos'!$C$125*(1+2.78*('Cálculos'!$C$198+(($B$54)-$A36)*'Cálculos'!$C$98)/(('Cálculos'!$C$198+(($B$54)-$A36)*'Cálculos'!$C$98)+1400)+'Cálculos'!$C$123)*'Cálculos'!$C$253)+('Cálculos'!$C$185*(1+'Cálculos'!$C$189+$A36*('Cálculos'!$C$290=1)*'Cálculos'!$C$97+'Cálculos'!$C$305)+'Cálculos'!$C$194)*('Cálculos'!$C$254+'Cálculos'!$C$124*(1+2.78*('Cálculos'!$C$199+(($B$54)-$A36)*'Cálculos'!$C$98)/(('Cálculos'!$C$199+(($B$54)-$A36)*'Cálculos'!$C$98)+1400)+'Cálculos'!$C$122)*'Cálculos'!$C$259+'Cálculos'!$C$125*(1+2.78*('Cálculos'!$C$199+(($B$54)-$A36)*'Cálculos'!$C$98)/(('Cálculos'!$C$199+(($B$54)-$A36)*'Cálculos'!$C$98)+1400)+'Cálculos'!$C$123)*'Cálculos'!$C$264)+('Cálculos'!$C$199+(($B$54)-$A36)*'Cálculos'!$C$98)*('Cálculos'!$C$255+'Cálculos'!$C$124*(1+2.78*('Cálculos'!$C$199+(($B$54)-$A36)*'Cálculos'!$C$98)/(('Cálculos'!$C$199+(($B$54)-$A36)*'Cálculos'!$C$98)+1400)+'Cálculos'!$C$122)*'Cálculos'!$C$260+'Cálculos'!$C$125*(1+2.78*('Cálculos'!$C$199+(($B$54)-$A36)*'Cálculos'!$C$98)/(('Cálculos'!$C$199+(($B$54)-$A36)*'Cálculos'!$C$98)+1400)+'Cálculos'!$C$123)*'Cálculos'!$C$265)+('Cálculos'!$C$201*(1+'Cálculos'!$C$202+$A36*('Cálculos'!$C$290=2)*'Cálculos'!$C$101)+'Cálculos'!$C$203)*('Cálculos'!$C$256+'Cálculos'!$C$124*(1+2.78*('Cálculos'!$C$199+(($B$54)-$A36)*'Cálculos'!$C$98)/(('Cálculos'!$C$199+(($B$54)-$A36)*'Cálculos'!$C$98)+1400)+'Cálculos'!$C$122)*'Cálculos'!$C$261+'Cálculos'!$C$125*(1+2.78*('Cálculos'!$C$199+(($B$54)-$A36)*'Cálculos'!$C$98)/(('Cálculos'!$C$199+(($B$54)-$A36)*'Cálculos'!$C$98)+1400)+'Cálculos'!$C$123)*'Cálculos'!$C$266)+('Cálculos'!$C$204*(1+'Cálculos'!$C$205+$A36*('Cálculos'!$C$290=3)*'Cálculos'!$C$103)+'Cálculos'!$C$206)*('Cálculos'!$C$257+'Cálculos'!$C$124*(1+2.78*('Cálculos'!$C$199+(($B$54)-$A36)*'Cálculos'!$C$98)/(('Cálculos'!$C$199+(($B$54)-$A36)*'Cálculos'!$C$98)+1400)+'Cálculos'!$C$122)*'Cálculos'!$C$262+'Cálculos'!$C$125*(1+2.78*('Cálculos'!$C$199+(($B$54)-$A36)*'Cálculos'!$C$98)/(('Cálculos'!$C$199+(($B$54)-$A36)*'Cálculos'!$C$98)+1400)+'Cálculos'!$C$123)*'Cálculos'!$C$267)+('Cálculos'!$C$258+'Cálculos'!$C$124*(1+2.78*('Cálculos'!$C$199+(($B$54)-$A36)*'Cálculos'!$C$98)/(('Cálculos'!$C$199+(($B$54)-$A36)*'Cálculos'!$C$98)+1400)+'Cálculos'!$C$122)*'Cálculos'!$C$263+'Cálculos'!$C$125*(1+2.78*('Cálculos'!$C$199+(($B$54)-$A36)*'Cálculos'!$C$98)/(('Cálculos'!$C$199+(($B$54)-$A36)*'Cálculos'!$C$98)+1400)+'Cálculos'!$C$123)*'Cálculos'!$C$268)+('Cálculos'!$C$185*(1+'Cálculos'!$C$190+$A36*('Cálculos'!$C$290=1)*'Cálculos'!$C$97+'Cálculos'!$C$305)+'Cálculos'!$C$195)*('Cálculos'!$C$269+'Cálculos'!$C$124*(1+2.78*('Cálculos'!$C$200+(($B$54)-$A36)*'Cálculos'!$C$98)/(('Cálculos'!$C$200+(($B$54)-$A36)*'Cálculos'!$C$98)+1400)+'Cálculos'!$C$122)*'Cálculos'!$C$274+'Cálculos'!$C$125*(1+2.78*('Cálculos'!$C$200+(($B$54)-$A36)*'Cálculos'!$C$98)/(('Cálculos'!$C$200+(($B$54)-$A36)*'Cálculos'!$C$98)+1400)+'Cálculos'!$C$123)*'Cálculos'!$C$279)+('Cálculos'!$C$200+(($B$54)-$A36)*'Cálculos'!$C$98)*('Cálculos'!$C$270+'Cálculos'!$C$124*(1+2.78*('Cálculos'!$C$200+(($B$54)-$A36)*'Cálculos'!$C$98)/(('Cálculos'!$C$200+(($B$54)-$A36)*'Cálculos'!$C$98)+1400)+'Cálculos'!$C$122)*'Cálculos'!$C$275+'Cálculos'!$C$125*(1+2.78*('Cálculos'!$C$200+(($B$54)-$A36)*'Cálculos'!$C$98)/(('Cálculos'!$C$200+(($B$54)-$A36)*'Cálculos'!$C$98)+1400)+'Cálculos'!$C$123)*'Cálculos'!$C$280)+('Cálculos'!$C$201*(1+'Cálculos'!$C$202+$A36*('Cálculos'!$C$290=2)*'Cálculos'!$C$101)+'Cálculos'!$C$203)*('Cálculos'!$C$271+'Cálculos'!$C$124*(1+2.78*('Cálculos'!$C$200+(($B$54)-$A36)*'Cálculos'!$C$98)/(('Cálculos'!$C$200+(($B$54)-$A36)*'Cálculos'!$C$98)+1400)+'Cálculos'!$C$122)*'Cálculos'!$C$276+'Cálculos'!$C$125*(1+2.78*('Cálculos'!$C$200+(($B$54)-$A36)*'Cálculos'!$C$98)/(('Cálculos'!$C$200+(($B$54)-$A36)*'Cálculos'!$C$98)+1400)+'Cálculos'!$C$123)*'Cálculos'!$C$281)+('Cálculos'!$C$204*(1+'Cálculos'!$C$205+$A36*('Cálculos'!$C$290=3)*'Cálculos'!$C$103)+'Cálculos'!$C$206)*('Cálculos'!$C$272+'Cálculos'!$C$124*(1+2.78*('Cálculos'!$C$200+(($B$54)-$A36)*'Cálculos'!$C$98)/(('Cálculos'!$C$200+(($B$54)-$A36)*'Cálculos'!$C$98)+1400)+'Cálculos'!$C$122)*'Cálculos'!$C$277+'Cálculos'!$C$125*(1+2.78*('Cálculos'!$C$200+(($B$54)-$A36)*'Cálculos'!$C$98)/(('Cálculos'!$C$200+(($B$54)-$A36)*'Cálculos'!$C$98)+1400)+'Cálculos'!$C$123)*'Cálculos'!$C$282)+('Cálculos'!$C$273+'Cálculos'!$C$124*(1+2.78*('Cálculos'!$C$200+(($B$54)-$A36)*'Cálculos'!$C$98)/(('Cálculos'!$C$200+(($B$54)-$A36)*'Cálculos'!$C$98)+1400)+'Cálculos'!$C$122)*'Cálculos'!$C$278+'Cálculos'!$C$125*(1+2.78*('Cálculos'!$C$200+(($B$54)-$A36)*'Cálculos'!$C$98)/(('Cálculos'!$C$200+(($B$54)-$A36)*'Cálculos'!$C$98)+1400)+'Cálculos'!$C$123)*'Cálculos'!$C$283)))</f>
        <v>0</v>
      </c>
    </row>
    <row r="37" ht="15.75" customHeight="1">
      <c r="A37" s="2">
        <v>31.0</v>
      </c>
      <c r="B37" s="30">
        <f>SUMPRODUCT(MAX(($A$6:$A$51&lt;=$A37)*($A$6:$A$51&lt;='Cálculos'!$C$294)*(($A37)-$A$6:$A$51&lt;='Cálculos'!$C$295)*(1+(('Cálculos'!$C$207+$A$6:$A$51*'Cálculos'!$C$95)-(('Cálculos'!$C$207+$A$6:$A$51*'Cálculos'!$C$95)&gt;1)*(('Cálculos'!$C$207+$A$6:$A$51*'Cálculos'!$C$95)-1))*('Cálculos'!$C$208+(($A37)-$A$6:$A$51)*'Cálculos'!$C$96))))</f>
        <v>4.271612</v>
      </c>
      <c r="C37" s="2">
        <f>'Cálculos'!$C$303-$A37</f>
        <v>-11</v>
      </c>
      <c r="D37" s="31">
        <f>IF($C37&lt;0,0,SUMPRODUCT(MAX(($A$6:$A$51&lt;=$C37)*($A$6:$A$51&lt;='Cálculos'!$C$301)*(($C37)-$A$6:$A$51&lt;='Cálculos'!$C$297)*(('Cálculos'!$C$185*(1+'Cálculos'!$C$186+$A$6:$A$51*('Cálculos'!$C$290=1)*'Cálculos'!$C$97+'Cálculos'!$C$305)+'Cálculos'!$C$191)*('Cálculos'!$C$209+'Cálculos'!$C$124*(1+2.78*('Cálculos'!$C$196+(($C37)-$A$6:$A$51)*'Cálculos'!$C$98)/(('Cálculos'!$C$196+(($C37)-$A$6:$A$51)*'Cálculos'!$C$98)+1400)+'Cálculos'!$C$122)*'Cálculos'!$C$214+'Cálculos'!$C$125*(1+2.78*('Cálculos'!$C$196+(($C37)-$A$6:$A$51)*'Cálculos'!$C$98)/(('Cálculos'!$C$196+(($C37)-$A$6:$A$51)*'Cálculos'!$C$98)+1400)+'Cálculos'!$C$123)*'Cálculos'!$C$219)+('Cálculos'!$C$196+(($C37)-$A$6:$A$51)*'Cálculos'!$C$98)*('Cálculos'!$C$210+'Cálculos'!$C$124*(1+2.78*('Cálculos'!$C$196+(($C37)-$A$6:$A$51)*'Cálculos'!$C$98)/(('Cálculos'!$C$196+(($C37)-$A$6:$A$51)*'Cálculos'!$C$98)+1400)+'Cálculos'!$C$122)*'Cálculos'!$C$215+'Cálculos'!$C$125*(1+2.78*('Cálculos'!$C$196+(($C37)-$A$6:$A$51)*'Cálculos'!$C$98)/(('Cálculos'!$C$196+(($C37)-$A$6:$A$51)*'Cálculos'!$C$98)+1400)+'Cálculos'!$C$123)*'Cálculos'!$C$220)+('Cálculos'!$C$201*(1+'Cálculos'!$C$202+$A$6:$A$51*('Cálculos'!$C$290=2)*'Cálculos'!$C$101)+'Cálculos'!$C$203)*('Cálculos'!$C$211+'Cálculos'!$C$124*(1+2.78*('Cálculos'!$C$196+(($C37)-$A$6:$A$51)*'Cálculos'!$C$98)/(('Cálculos'!$C$196+(($C37)-$A$6:$A$51)*'Cálculos'!$C$98)+1400)+'Cálculos'!$C$122)*'Cálculos'!$C$216+'Cálculos'!$C$125*(1+2.78*('Cálculos'!$C$196+(($C37)-$A$6:$A$51)*'Cálculos'!$C$98)/(('Cálculos'!$C$196+(($C37)-$A$6:$A$51)*'Cálculos'!$C$98)+1400)+'Cálculos'!$C$123)*'Cálculos'!$C$221)+('Cálculos'!$C$204*(1+'Cálculos'!$C$205+$A$6:$A$51*('Cálculos'!$C$290=3)*'Cálculos'!$C$103)+'Cálculos'!$C$206)*('Cálculos'!$C$212+'Cálculos'!$C$124*(1+2.78*('Cálculos'!$C$196+(($C37)-$A$6:$A$51)*'Cálculos'!$C$98)/(('Cálculos'!$C$196+(($C37)-$A$6:$A$51)*'Cálculos'!$C$98)+1400)+'Cálculos'!$C$122)*'Cálculos'!$C$217+'Cálculos'!$C$125*(1+2.78*('Cálculos'!$C$196+(($C37)-$A$6:$A$51)*'Cálculos'!$C$98)/(('Cálculos'!$C$196+(($C37)-$A$6:$A$51)*'Cálculos'!$C$98)+1400)+'Cálculos'!$C$123)*'Cálculos'!$C$222)+('Cálculos'!$C$213+'Cálculos'!$C$124*(1+2.78*('Cálculos'!$C$196+(($C37)-$A$6:$A$51)*'Cálculos'!$C$98)/(('Cálculos'!$C$196+(($C37)-$A$6:$A$51)*'Cálculos'!$C$98)+1400)+'Cálculos'!$C$122)*'Cálculos'!$C$218+'Cálculos'!$C$125*(1+2.78*('Cálculos'!$C$196+(($C37)-$A$6:$A$51)*'Cálculos'!$C$98)/(('Cálculos'!$C$196+(($C37)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37)-$A$6:$A$51)*'Cálculos'!$C$98)/(('Cálculos'!$C$197+(($C37)-$A$6:$A$51)*'Cálculos'!$C$98)+1400)+'Cálculos'!$C$122)*'Cálculos'!$C$229+'Cálculos'!$C$125*(1+2.78*('Cálculos'!$C$197+(($C37)-$A$6:$A$51)*'Cálculos'!$C$98)/(('Cálculos'!$C$197+(($C37)-$A$6:$A$51)*'Cálculos'!$C$98)+1400)+'Cálculos'!$C$123)*'Cálculos'!$C$234)+('Cálculos'!$C$197+(($C37)-$A$6:$A$51)*'Cálculos'!$C$98)*('Cálculos'!$C$225+'Cálculos'!$C$124*(1+2.78*('Cálculos'!$C$197+(($C37)-$A$6:$A$51)*'Cálculos'!$C$98)/(('Cálculos'!$C$197+(($C37)-$A$6:$A$51)*'Cálculos'!$C$98)+1400)+'Cálculos'!$C$122)*'Cálculos'!$C$230+'Cálculos'!$C$125*(1+2.78*('Cálculos'!$C$197+(($C37)-$A$6:$A$51)*'Cálculos'!$C$98)/(('Cálculos'!$C$197+(($C37)-$A$6:$A$51)*'Cálculos'!$C$98)+1400)+'Cálculos'!$C$123)*'Cálculos'!$C$235)+('Cálculos'!$C$201*(1+'Cálculos'!$C$202+$A$6:$A$51*('Cálculos'!$C$290=2)*'Cálculos'!$C$101)+'Cálculos'!$C$203)*('Cálculos'!$C$226+'Cálculos'!$C$124*(1+2.78*('Cálculos'!$C$197+(($C37)-$A$6:$A$51)*'Cálculos'!$C$98)/(('Cálculos'!$C$197+(($C37)-$A$6:$A$51)*'Cálculos'!$C$98)+1400)+'Cálculos'!$C$122)*'Cálculos'!$C$231+'Cálculos'!$C$125*(1+2.78*('Cálculos'!$C$197+(($C37)-$A$6:$A$51)*'Cálculos'!$C$98)/(('Cálculos'!$C$197+(($C37)-$A$6:$A$51)*'Cálculos'!$C$98)+1400)+'Cálculos'!$C$123)*'Cálculos'!$C$236)+('Cálculos'!$C$204*(1+'Cálculos'!$C$205+$A$6:$A$51*('Cálculos'!$C$290=3)*'Cálculos'!$C$103)+'Cálculos'!$C$206)*('Cálculos'!$C$227+'Cálculos'!$C$124*(1+2.78*('Cálculos'!$C$197+(($C37)-$A$6:$A$51)*'Cálculos'!$C$98)/(('Cálculos'!$C$197+(($C37)-$A$6:$A$51)*'Cálculos'!$C$98)+1400)+'Cálculos'!$C$122)*'Cálculos'!$C$232+'Cálculos'!$C$125*(1+2.78*('Cálculos'!$C$197+(($C37)-$A$6:$A$51)*'Cálculos'!$C$98)/(('Cálculos'!$C$197+(($C37)-$A$6:$A$51)*'Cálculos'!$C$98)+1400)+'Cálculos'!$C$123)*'Cálculos'!$C$237)+('Cálculos'!$C$228+'Cálculos'!$C$124*(1+2.78*('Cálculos'!$C$197+(($C37)-$A$6:$A$51)*'Cálculos'!$C$98)/(('Cálculos'!$C$197+(($C37)-$A$6:$A$51)*'Cálculos'!$C$98)+1400)+'Cálculos'!$C$122)*'Cálculos'!$C$233+'Cálculos'!$C$125*(1+2.78*('Cálculos'!$C$197+(($C37)-$A$6:$A$51)*'Cálculos'!$C$98)/(('Cálculos'!$C$197+(($C37)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37)-$A$6:$A$51)*'Cálculos'!$C$98)/(('Cálculos'!$C$198+(($C37)-$A$6:$A$51)*'Cálculos'!$C$98)+1400)+'Cálculos'!$C$122)*'Cálculos'!$C$244+'Cálculos'!$C$125*(1+2.78*('Cálculos'!$C$198+(($C37)-$A$6:$A$51)*'Cálculos'!$C$98)/(('Cálculos'!$C$198+(($C37)-$A$6:$A$51)*'Cálculos'!$C$98)+1400)+'Cálculos'!$C$123)*'Cálculos'!$C$249)+('Cálculos'!$C$198+(($C37)-$A$6:$A$51)*'Cálculos'!$C$98)*('Cálculos'!$C$240+'Cálculos'!$C$124*(1+2.78*('Cálculos'!$C$198+(($C37)-$A$6:$A$51)*'Cálculos'!$C$98)/(('Cálculos'!$C$198+(($C37)-$A$6:$A$51)*'Cálculos'!$C$98)+1400)+'Cálculos'!$C$122)*'Cálculos'!$C$245+'Cálculos'!$C$125*(1+2.78*('Cálculos'!$C$198+(($C37)-$A$6:$A$51)*'Cálculos'!$C$98)/(('Cálculos'!$C$198+(($C37)-$A$6:$A$51)*'Cálculos'!$C$98)+1400)+'Cálculos'!$C$123)*'Cálculos'!$C$250)+('Cálculos'!$C$201*(1+'Cálculos'!$C$202+$A$6:$A$51*('Cálculos'!$C$290=2)*'Cálculos'!$C$101)+'Cálculos'!$C$203)*('Cálculos'!$C$241+'Cálculos'!$C$124*(1+2.78*('Cálculos'!$C$198+(($C37)-$A$6:$A$51)*'Cálculos'!$C$98)/(('Cálculos'!$C$198+(($C37)-$A$6:$A$51)*'Cálculos'!$C$98)+1400)+'Cálculos'!$C$122)*'Cálculos'!$C$246+'Cálculos'!$C$125*(1+2.78*('Cálculos'!$C$198+(($C37)-$A$6:$A$51)*'Cálculos'!$C$98)/(('Cálculos'!$C$198+(($C37)-$A$6:$A$51)*'Cálculos'!$C$98)+1400)+'Cálculos'!$C$123)*'Cálculos'!$C$251)+('Cálculos'!$C$204*(1+'Cálculos'!$C$205+$A$6:$A$51*('Cálculos'!$C$290=3)*'Cálculos'!$C$103)+'Cálculos'!$C$206)*('Cálculos'!$C$242+'Cálculos'!$C$124*(1+2.78*('Cálculos'!$C$198+(($C37)-$A$6:$A$51)*'Cálculos'!$C$98)/(('Cálculos'!$C$198+(($C37)-$A$6:$A$51)*'Cálculos'!$C$98)+1400)+'Cálculos'!$C$122)*'Cálculos'!$C$247+'Cálculos'!$C$125*(1+2.78*('Cálculos'!$C$198+(($C37)-$A$6:$A$51)*'Cálculos'!$C$98)/(('Cálculos'!$C$198+(($C37)-$A$6:$A$51)*'Cálculos'!$C$98)+1400)+'Cálculos'!$C$123)*'Cálculos'!$C$252)+('Cálculos'!$C$243+'Cálculos'!$C$124*(1+2.78*('Cálculos'!$C$198+(($C37)-$A$6:$A$51)*'Cálculos'!$C$98)/(('Cálculos'!$C$198+(($C37)-$A$6:$A$51)*'Cálculos'!$C$98)+1400)+'Cálculos'!$C$122)*'Cálculos'!$C$248+'Cálculos'!$C$125*(1+2.78*('Cálculos'!$C$198+(($C37)-$A$6:$A$51)*'Cálculos'!$C$98)/(('Cálculos'!$C$198+(($C37)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37)-$A$6:$A$51)*'Cálculos'!$C$98)/(('Cálculos'!$C$199+(($C37)-$A$6:$A$51)*'Cálculos'!$C$98)+1400)+'Cálculos'!$C$122)*'Cálculos'!$C$259+'Cálculos'!$C$125*(1+2.78*('Cálculos'!$C$199+(($C37)-$A$6:$A$51)*'Cálculos'!$C$98)/(('Cálculos'!$C$199+(($C37)-$A$6:$A$51)*'Cálculos'!$C$98)+1400)+'Cálculos'!$C$123)*'Cálculos'!$C$264)+('Cálculos'!$C$199+(($C37)-$A$6:$A$51)*'Cálculos'!$C$98)*('Cálculos'!$C$255+'Cálculos'!$C$124*(1+2.78*('Cálculos'!$C$199+(($C37)-$A$6:$A$51)*'Cálculos'!$C$98)/(('Cálculos'!$C$199+(($C37)-$A$6:$A$51)*'Cálculos'!$C$98)+1400)+'Cálculos'!$C$122)*'Cálculos'!$C$260+'Cálculos'!$C$125*(1+2.78*('Cálculos'!$C$199+(($C37)-$A$6:$A$51)*'Cálculos'!$C$98)/(('Cálculos'!$C$199+(($C37)-$A$6:$A$51)*'Cálculos'!$C$98)+1400)+'Cálculos'!$C$123)*'Cálculos'!$C$265)+('Cálculos'!$C$201*(1+'Cálculos'!$C$202+$A$6:$A$51*('Cálculos'!$C$290=2)*'Cálculos'!$C$101)+'Cálculos'!$C$203)*('Cálculos'!$C$256+'Cálculos'!$C$124*(1+2.78*('Cálculos'!$C$199+(($C37)-$A$6:$A$51)*'Cálculos'!$C$98)/(('Cálculos'!$C$199+(($C37)-$A$6:$A$51)*'Cálculos'!$C$98)+1400)+'Cálculos'!$C$122)*'Cálculos'!$C$261+'Cálculos'!$C$125*(1+2.78*('Cálculos'!$C$199+(($C37)-$A$6:$A$51)*'Cálculos'!$C$98)/(('Cálculos'!$C$199+(($C37)-$A$6:$A$51)*'Cálculos'!$C$98)+1400)+'Cálculos'!$C$123)*'Cálculos'!$C$266)+('Cálculos'!$C$204*(1+'Cálculos'!$C$205+$A$6:$A$51*('Cálculos'!$C$290=3)*'Cálculos'!$C$103)+'Cálculos'!$C$206)*('Cálculos'!$C$257+'Cálculos'!$C$124*(1+2.78*('Cálculos'!$C$199+(($C37)-$A$6:$A$51)*'Cálculos'!$C$98)/(('Cálculos'!$C$199+(($C37)-$A$6:$A$51)*'Cálculos'!$C$98)+1400)+'Cálculos'!$C$122)*'Cálculos'!$C$262+'Cálculos'!$C$125*(1+2.78*('Cálculos'!$C$199+(($C37)-$A$6:$A$51)*'Cálculos'!$C$98)/(('Cálculos'!$C$199+(($C37)-$A$6:$A$51)*'Cálculos'!$C$98)+1400)+'Cálculos'!$C$123)*'Cálculos'!$C$267)+('Cálculos'!$C$258+'Cálculos'!$C$124*(1+2.78*('Cálculos'!$C$199+(($C37)-$A$6:$A$51)*'Cálculos'!$C$98)/(('Cálculos'!$C$199+(($C37)-$A$6:$A$51)*'Cálculos'!$C$98)+1400)+'Cálculos'!$C$122)*'Cálculos'!$C$263+'Cálculos'!$C$125*(1+2.78*('Cálculos'!$C$199+(($C37)-$A$6:$A$51)*'Cálculos'!$C$98)/(('Cálculos'!$C$199+(($C37)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37)-$A$6:$A$51)*'Cálculos'!$C$98)/(('Cálculos'!$C$200+(($C37)-$A$6:$A$51)*'Cálculos'!$C$98)+1400)+'Cálculos'!$C$122)*'Cálculos'!$C$274+'Cálculos'!$C$125*(1+2.78*('Cálculos'!$C$200+(($C37)-$A$6:$A$51)*'Cálculos'!$C$98)/(('Cálculos'!$C$200+(($C37)-$A$6:$A$51)*'Cálculos'!$C$98)+1400)+'Cálculos'!$C$123)*'Cálculos'!$C$279)+('Cálculos'!$C$200+(($C37)-$A$6:$A$51)*'Cálculos'!$C$98)*('Cálculos'!$C$270+'Cálculos'!$C$124*(1+2.78*('Cálculos'!$C$200+(($C37)-$A$6:$A$51)*'Cálculos'!$C$98)/(('Cálculos'!$C$200+(($C37)-$A$6:$A$51)*'Cálculos'!$C$98)+1400)+'Cálculos'!$C$122)*'Cálculos'!$C$275+'Cálculos'!$C$125*(1+2.78*('Cálculos'!$C$200+(($C37)-$A$6:$A$51)*'Cálculos'!$C$98)/(('Cálculos'!$C$200+(($C37)-$A$6:$A$51)*'Cálculos'!$C$98)+1400)+'Cálculos'!$C$123)*'Cálculos'!$C$280)+('Cálculos'!$C$201*(1+'Cálculos'!$C$202+$A$6:$A$51*('Cálculos'!$C$290=2)*'Cálculos'!$C$101)+'Cálculos'!$C$203)*('Cálculos'!$C$271+'Cálculos'!$C$124*(1+2.78*('Cálculos'!$C$200+(($C37)-$A$6:$A$51)*'Cálculos'!$C$98)/(('Cálculos'!$C$200+(($C37)-$A$6:$A$51)*'Cálculos'!$C$98)+1400)+'Cálculos'!$C$122)*'Cálculos'!$C$276+'Cálculos'!$C$125*(1+2.78*('Cálculos'!$C$200+(($C37)-$A$6:$A$51)*'Cálculos'!$C$98)/(('Cálculos'!$C$200+(($C37)-$A$6:$A$51)*'Cálculos'!$C$98)+1400)+'Cálculos'!$C$123)*'Cálculos'!$C$281)+('Cálculos'!$C$204*(1+'Cálculos'!$C$205+$A$6:$A$51*('Cálculos'!$C$290=3)*'Cálculos'!$C$103)+'Cálculos'!$C$206)*('Cálculos'!$C$272+'Cálculos'!$C$124*(1+2.78*('Cálculos'!$C$200+(($C37)-$A$6:$A$51)*'Cálculos'!$C$98)/(('Cálculos'!$C$200+(($C37)-$A$6:$A$51)*'Cálculos'!$C$98)+1400)+'Cálculos'!$C$122)*'Cálculos'!$C$277+'Cálculos'!$C$125*(1+2.78*('Cálculos'!$C$200+(($C37)-$A$6:$A$51)*'Cálculos'!$C$98)/(('Cálculos'!$C$200+(($C37)-$A$6:$A$51)*'Cálculos'!$C$98)+1400)+'Cálculos'!$C$123)*'Cálculos'!$C$282)+('Cálculos'!$C$273+'Cálculos'!$C$124*(1+2.78*('Cálculos'!$C$200+(($C37)-$A$6:$A$51)*'Cálculos'!$C$98)/(('Cálculos'!$C$200+(($C37)-$A$6:$A$51)*'Cálculos'!$C$98)+1400)+'Cálculos'!$C$122)*'Cálculos'!$C$278+'Cálculos'!$C$125*(1+2.78*('Cálculos'!$C$200+(($C37)-$A$6:$A$51)*'Cálculos'!$C$98)/(('Cálculos'!$C$200+(($C37)-$A$6:$A$51)*'Cálculos'!$C$98)+1400)+'Cálculos'!$C$123)*'Cálculos'!$C$283)))))</f>
        <v>0</v>
      </c>
      <c r="E37" s="32">
        <f>IF(OR($C37&lt;0,'Cálculos'!$C$6=""),0,$B37*$D37)</f>
        <v>0</v>
      </c>
      <c r="F37" s="2"/>
      <c r="G37" s="30">
        <f>($A37&lt;=$B$53)*($A37&lt;='Cálculos'!$C$294)*(($B$53)-$A37&lt;='Cálculos'!$C$295)*(1+MIN(('Cálculos'!$C$207+$A37*'Cálculos'!$C$95),1)*('Cálculos'!$C$208+(($B$53)-$A37)*'Cálculos'!$C$96))</f>
        <v>0</v>
      </c>
      <c r="H37" s="31">
        <f>IF($B$54&lt;0,0,($A37&lt;=$B$54)*($A37&lt;='Cálculos'!$C$301)*(($B$54)-$A37&lt;='Cálculos'!$C$297)*(('Cálculos'!$C$185*(1+'Cálculos'!$C$186+$A37*('Cálculos'!$C$290=1)*'Cálculos'!$C$97+'Cálculos'!$C$305)+'Cálculos'!$C$191)*('Cálculos'!$C$209+'Cálculos'!$C$124*(1+2.78*('Cálculos'!$C$196+(($B$54)-$A37)*'Cálculos'!$C$98)/(('Cálculos'!$C$196+(($B$54)-$A37)*'Cálculos'!$C$98)+1400)+'Cálculos'!$C$122)*'Cálculos'!$C$214+'Cálculos'!$C$125*(1+2.78*('Cálculos'!$C$196+(($B$54)-$A37)*'Cálculos'!$C$98)/(('Cálculos'!$C$196+(($B$54)-$A37)*'Cálculos'!$C$98)+1400)+'Cálculos'!$C$123)*'Cálculos'!$C$219)+('Cálculos'!$C$196+(($B$54)-$A37)*'Cálculos'!$C$98)*('Cálculos'!$C$210+'Cálculos'!$C$124*(1+2.78*('Cálculos'!$C$196+(($B$54)-$A37)*'Cálculos'!$C$98)/(('Cálculos'!$C$196+(($B$54)-$A37)*'Cálculos'!$C$98)+1400)+'Cálculos'!$C$122)*'Cálculos'!$C$215+'Cálculos'!$C$125*(1+2.78*('Cálculos'!$C$196+(($B$54)-$A37)*'Cálculos'!$C$98)/(('Cálculos'!$C$196+(($B$54)-$A37)*'Cálculos'!$C$98)+1400)+'Cálculos'!$C$123)*'Cálculos'!$C$220)+('Cálculos'!$C$201*(1+'Cálculos'!$C$202+$A37*('Cálculos'!$C$290=2)*'Cálculos'!$C$101)+'Cálculos'!$C$203)*('Cálculos'!$C$211+'Cálculos'!$C$124*(1+2.78*('Cálculos'!$C$196+(($B$54)-$A37)*'Cálculos'!$C$98)/(('Cálculos'!$C$196+(($B$54)-$A37)*'Cálculos'!$C$98)+1400)+'Cálculos'!$C$122)*'Cálculos'!$C$216+'Cálculos'!$C$125*(1+2.78*('Cálculos'!$C$196+(($B$54)-$A37)*'Cálculos'!$C$98)/(('Cálculos'!$C$196+(($B$54)-$A37)*'Cálculos'!$C$98)+1400)+'Cálculos'!$C$123)*'Cálculos'!$C$221)+('Cálculos'!$C$204*(1+'Cálculos'!$C$205+$A37*('Cálculos'!$C$290=3)*'Cálculos'!$C$103)+'Cálculos'!$C$206)*('Cálculos'!$C$212+'Cálculos'!$C$124*(1+2.78*('Cálculos'!$C$196+(($B$54)-$A37)*'Cálculos'!$C$98)/(('Cálculos'!$C$196+(($B$54)-$A37)*'Cálculos'!$C$98)+1400)+'Cálculos'!$C$122)*'Cálculos'!$C$217+'Cálculos'!$C$125*(1+2.78*('Cálculos'!$C$196+(($B$54)-$A37)*'Cálculos'!$C$98)/(('Cálculos'!$C$196+(($B$54)-$A37)*'Cálculos'!$C$98)+1400)+'Cálculos'!$C$123)*'Cálculos'!$C$222)+('Cálculos'!$C$213+'Cálculos'!$C$124*(1+2.78*('Cálculos'!$C$196+(($B$54)-$A37)*'Cálculos'!$C$98)/(('Cálculos'!$C$196+(($B$54)-$A37)*'Cálculos'!$C$98)+1400)+'Cálculos'!$C$122)*'Cálculos'!$C$218+'Cálculos'!$C$125*(1+2.78*('Cálculos'!$C$196+(($B$54)-$A37)*'Cálculos'!$C$98)/(('Cálculos'!$C$196+(($B$54)-$A37)*'Cálculos'!$C$98)+1400)+'Cálculos'!$C$123)*'Cálculos'!$C$223)+('Cálculos'!$C$185*(1+'Cálculos'!$C$187+$A37*('Cálculos'!$C$290=1)*'Cálculos'!$C$97+'Cálculos'!$C$305)+'Cálculos'!$C$192)*('Cálculos'!$C$224+'Cálculos'!$C$124*(1+2.78*('Cálculos'!$C$197+(($B$54)-$A37)*'Cálculos'!$C$98)/(('Cálculos'!$C$197+(($B$54)-$A37)*'Cálculos'!$C$98)+1400)+'Cálculos'!$C$122)*'Cálculos'!$C$229+'Cálculos'!$C$125*(1+2.78*('Cálculos'!$C$197+(($B$54)-$A37)*'Cálculos'!$C$98)/(('Cálculos'!$C$197+(($B$54)-$A37)*'Cálculos'!$C$98)+1400)+'Cálculos'!$C$123)*'Cálculos'!$C$234)+('Cálculos'!$C$197+(($B$54)-$A37)*'Cálculos'!$C$98)*('Cálculos'!$C$225+'Cálculos'!$C$124*(1+2.78*('Cálculos'!$C$197+(($B$54)-$A37)*'Cálculos'!$C$98)/(('Cálculos'!$C$197+(($B$54)-$A37)*'Cálculos'!$C$98)+1400)+'Cálculos'!$C$122)*'Cálculos'!$C$230+'Cálculos'!$C$125*(1+2.78*('Cálculos'!$C$197+(($B$54)-$A37)*'Cálculos'!$C$98)/(('Cálculos'!$C$197+(($B$54)-$A37)*'Cálculos'!$C$98)+1400)+'Cálculos'!$C$123)*'Cálculos'!$C$235)+('Cálculos'!$C$201*(1+'Cálculos'!$C$202+$A37*('Cálculos'!$C$290=2)*'Cálculos'!$C$101)+'Cálculos'!$C$203)*('Cálculos'!$C$226+'Cálculos'!$C$124*(1+2.78*('Cálculos'!$C$197+(($B$54)-$A37)*'Cálculos'!$C$98)/(('Cálculos'!$C$197+(($B$54)-$A37)*'Cálculos'!$C$98)+1400)+'Cálculos'!$C$122)*'Cálculos'!$C$231+'Cálculos'!$C$125*(1+2.78*('Cálculos'!$C$197+(($B$54)-$A37)*'Cálculos'!$C$98)/(('Cálculos'!$C$197+(($B$54)-$A37)*'Cálculos'!$C$98)+1400)+'Cálculos'!$C$123)*'Cálculos'!$C$236)+('Cálculos'!$C$204*(1+'Cálculos'!$C$205+$A37*('Cálculos'!$C$290=3)*'Cálculos'!$C$103)+'Cálculos'!$C$206)*('Cálculos'!$C$227+'Cálculos'!$C$124*(1+2.78*('Cálculos'!$C$197+(($B$54)-$A37)*'Cálculos'!$C$98)/(('Cálculos'!$C$197+(($B$54)-$A37)*'Cálculos'!$C$98)+1400)+'Cálculos'!$C$122)*'Cálculos'!$C$232+'Cálculos'!$C$125*(1+2.78*('Cálculos'!$C$197+(($B$54)-$A37)*'Cálculos'!$C$98)/(('Cálculos'!$C$197+(($B$54)-$A37)*'Cálculos'!$C$98)+1400)+'Cálculos'!$C$123)*'Cálculos'!$C$237)+('Cálculos'!$C$228+'Cálculos'!$C$124*(1+2.78*('Cálculos'!$C$197+(($B$54)-$A37)*'Cálculos'!$C$98)/(('Cálculos'!$C$197+(($B$54)-$A37)*'Cálculos'!$C$98)+1400)+'Cálculos'!$C$122)*'Cálculos'!$C$233+'Cálculos'!$C$125*(1+2.78*('Cálculos'!$C$197+(($B$54)-$A37)*'Cálculos'!$C$98)/(('Cálculos'!$C$197+(($B$54)-$A37)*'Cálculos'!$C$98)+1400)+'Cálculos'!$C$123)*'Cálculos'!$C$238)+('Cálculos'!$C$185*(1+'Cálculos'!$C$188+$A37*('Cálculos'!$C$290=1)*'Cálculos'!$C$97+'Cálculos'!$C$305)+'Cálculos'!$C$193)*('Cálculos'!$C$239+'Cálculos'!$C$124*(1+2.78*('Cálculos'!$C$198+(($B$54)-$A37)*'Cálculos'!$C$98)/(('Cálculos'!$C$198+(($B$54)-$A37)*'Cálculos'!$C$98)+1400)+'Cálculos'!$C$122)*'Cálculos'!$C$244+'Cálculos'!$C$125*(1+2.78*('Cálculos'!$C$198+(($B$54)-$A37)*'Cálculos'!$C$98)/(('Cálculos'!$C$198+(($B$54)-$A37)*'Cálculos'!$C$98)+1400)+'Cálculos'!$C$123)*'Cálculos'!$C$249)+('Cálculos'!$C$198+(($B$54)-$A37)*'Cálculos'!$C$98)*('Cálculos'!$C$240+'Cálculos'!$C$124*(1+2.78*('Cálculos'!$C$198+(($B$54)-$A37)*'Cálculos'!$C$98)/(('Cálculos'!$C$198+(($B$54)-$A37)*'Cálculos'!$C$98)+1400)+'Cálculos'!$C$122)*'Cálculos'!$C$245+'Cálculos'!$C$125*(1+2.78*('Cálculos'!$C$198+(($B$54)-$A37)*'Cálculos'!$C$98)/(('Cálculos'!$C$198+(($B$54)-$A37)*'Cálculos'!$C$98)+1400)+'Cálculos'!$C$123)*'Cálculos'!$C$250)+('Cálculos'!$C$201*(1+'Cálculos'!$C$202+$A37*('Cálculos'!$C$290=2)*'Cálculos'!$C$101)+'Cálculos'!$C$203)*('Cálculos'!$C$241+'Cálculos'!$C$124*(1+2.78*('Cálculos'!$C$198+(($B$54)-$A37)*'Cálculos'!$C$98)/(('Cálculos'!$C$198+(($B$54)-$A37)*'Cálculos'!$C$98)+1400)+'Cálculos'!$C$122)*'Cálculos'!$C$246+'Cálculos'!$C$125*(1+2.78*('Cálculos'!$C$198+(($B$54)-$A37)*'Cálculos'!$C$98)/(('Cálculos'!$C$198+(($B$54)-$A37)*'Cálculos'!$C$98)+1400)+'Cálculos'!$C$123)*'Cálculos'!$C$251)+('Cálculos'!$C$204*(1+'Cálculos'!$C$205+$A37*('Cálculos'!$C$290=3)*'Cálculos'!$C$103)+'Cálculos'!$C$206)*('Cálculos'!$C$242+'Cálculos'!$C$124*(1+2.78*('Cálculos'!$C$198+(($B$54)-$A37)*'Cálculos'!$C$98)/(('Cálculos'!$C$198+(($B$54)-$A37)*'Cálculos'!$C$98)+1400)+'Cálculos'!$C$122)*'Cálculos'!$C$247+'Cálculos'!$C$125*(1+2.78*('Cálculos'!$C$198+(($B$54)-$A37)*'Cálculos'!$C$98)/(('Cálculos'!$C$198+(($B$54)-$A37)*'Cálculos'!$C$98)+1400)+'Cálculos'!$C$123)*'Cálculos'!$C$252)+('Cálculos'!$C$243+'Cálculos'!$C$124*(1+2.78*('Cálculos'!$C$198+(($B$54)-$A37)*'Cálculos'!$C$98)/(('Cálculos'!$C$198+(($B$54)-$A37)*'Cálculos'!$C$98)+1400)+'Cálculos'!$C$122)*'Cálculos'!$C$248+'Cálculos'!$C$125*(1+2.78*('Cálculos'!$C$198+(($B$54)-$A37)*'Cálculos'!$C$98)/(('Cálculos'!$C$198+(($B$54)-$A37)*'Cálculos'!$C$98)+1400)+'Cálculos'!$C$123)*'Cálculos'!$C$253)+('Cálculos'!$C$185*(1+'Cálculos'!$C$189+$A37*('Cálculos'!$C$290=1)*'Cálculos'!$C$97+'Cálculos'!$C$305)+'Cálculos'!$C$194)*('Cálculos'!$C$254+'Cálculos'!$C$124*(1+2.78*('Cálculos'!$C$199+(($B$54)-$A37)*'Cálculos'!$C$98)/(('Cálculos'!$C$199+(($B$54)-$A37)*'Cálculos'!$C$98)+1400)+'Cálculos'!$C$122)*'Cálculos'!$C$259+'Cálculos'!$C$125*(1+2.78*('Cálculos'!$C$199+(($B$54)-$A37)*'Cálculos'!$C$98)/(('Cálculos'!$C$199+(($B$54)-$A37)*'Cálculos'!$C$98)+1400)+'Cálculos'!$C$123)*'Cálculos'!$C$264)+('Cálculos'!$C$199+(($B$54)-$A37)*'Cálculos'!$C$98)*('Cálculos'!$C$255+'Cálculos'!$C$124*(1+2.78*('Cálculos'!$C$199+(($B$54)-$A37)*'Cálculos'!$C$98)/(('Cálculos'!$C$199+(($B$54)-$A37)*'Cálculos'!$C$98)+1400)+'Cálculos'!$C$122)*'Cálculos'!$C$260+'Cálculos'!$C$125*(1+2.78*('Cálculos'!$C$199+(($B$54)-$A37)*'Cálculos'!$C$98)/(('Cálculos'!$C$199+(($B$54)-$A37)*'Cálculos'!$C$98)+1400)+'Cálculos'!$C$123)*'Cálculos'!$C$265)+('Cálculos'!$C$201*(1+'Cálculos'!$C$202+$A37*('Cálculos'!$C$290=2)*'Cálculos'!$C$101)+'Cálculos'!$C$203)*('Cálculos'!$C$256+'Cálculos'!$C$124*(1+2.78*('Cálculos'!$C$199+(($B$54)-$A37)*'Cálculos'!$C$98)/(('Cálculos'!$C$199+(($B$54)-$A37)*'Cálculos'!$C$98)+1400)+'Cálculos'!$C$122)*'Cálculos'!$C$261+'Cálculos'!$C$125*(1+2.78*('Cálculos'!$C$199+(($B$54)-$A37)*'Cálculos'!$C$98)/(('Cálculos'!$C$199+(($B$54)-$A37)*'Cálculos'!$C$98)+1400)+'Cálculos'!$C$123)*'Cálculos'!$C$266)+('Cálculos'!$C$204*(1+'Cálculos'!$C$205+$A37*('Cálculos'!$C$290=3)*'Cálculos'!$C$103)+'Cálculos'!$C$206)*('Cálculos'!$C$257+'Cálculos'!$C$124*(1+2.78*('Cálculos'!$C$199+(($B$54)-$A37)*'Cálculos'!$C$98)/(('Cálculos'!$C$199+(($B$54)-$A37)*'Cálculos'!$C$98)+1400)+'Cálculos'!$C$122)*'Cálculos'!$C$262+'Cálculos'!$C$125*(1+2.78*('Cálculos'!$C$199+(($B$54)-$A37)*'Cálculos'!$C$98)/(('Cálculos'!$C$199+(($B$54)-$A37)*'Cálculos'!$C$98)+1400)+'Cálculos'!$C$123)*'Cálculos'!$C$267)+('Cálculos'!$C$258+'Cálculos'!$C$124*(1+2.78*('Cálculos'!$C$199+(($B$54)-$A37)*'Cálculos'!$C$98)/(('Cálculos'!$C$199+(($B$54)-$A37)*'Cálculos'!$C$98)+1400)+'Cálculos'!$C$122)*'Cálculos'!$C$263+'Cálculos'!$C$125*(1+2.78*('Cálculos'!$C$199+(($B$54)-$A37)*'Cálculos'!$C$98)/(('Cálculos'!$C$199+(($B$54)-$A37)*'Cálculos'!$C$98)+1400)+'Cálculos'!$C$123)*'Cálculos'!$C$268)+('Cálculos'!$C$185*(1+'Cálculos'!$C$190+$A37*('Cálculos'!$C$290=1)*'Cálculos'!$C$97+'Cálculos'!$C$305)+'Cálculos'!$C$195)*('Cálculos'!$C$269+'Cálculos'!$C$124*(1+2.78*('Cálculos'!$C$200+(($B$54)-$A37)*'Cálculos'!$C$98)/(('Cálculos'!$C$200+(($B$54)-$A37)*'Cálculos'!$C$98)+1400)+'Cálculos'!$C$122)*'Cálculos'!$C$274+'Cálculos'!$C$125*(1+2.78*('Cálculos'!$C$200+(($B$54)-$A37)*'Cálculos'!$C$98)/(('Cálculos'!$C$200+(($B$54)-$A37)*'Cálculos'!$C$98)+1400)+'Cálculos'!$C$123)*'Cálculos'!$C$279)+('Cálculos'!$C$200+(($B$54)-$A37)*'Cálculos'!$C$98)*('Cálculos'!$C$270+'Cálculos'!$C$124*(1+2.78*('Cálculos'!$C$200+(($B$54)-$A37)*'Cálculos'!$C$98)/(('Cálculos'!$C$200+(($B$54)-$A37)*'Cálculos'!$C$98)+1400)+'Cálculos'!$C$122)*'Cálculos'!$C$275+'Cálculos'!$C$125*(1+2.78*('Cálculos'!$C$200+(($B$54)-$A37)*'Cálculos'!$C$98)/(('Cálculos'!$C$200+(($B$54)-$A37)*'Cálculos'!$C$98)+1400)+'Cálculos'!$C$123)*'Cálculos'!$C$280)+('Cálculos'!$C$201*(1+'Cálculos'!$C$202+$A37*('Cálculos'!$C$290=2)*'Cálculos'!$C$101)+'Cálculos'!$C$203)*('Cálculos'!$C$271+'Cálculos'!$C$124*(1+2.78*('Cálculos'!$C$200+(($B$54)-$A37)*'Cálculos'!$C$98)/(('Cálculos'!$C$200+(($B$54)-$A37)*'Cálculos'!$C$98)+1400)+'Cálculos'!$C$122)*'Cálculos'!$C$276+'Cálculos'!$C$125*(1+2.78*('Cálculos'!$C$200+(($B$54)-$A37)*'Cálculos'!$C$98)/(('Cálculos'!$C$200+(($B$54)-$A37)*'Cálculos'!$C$98)+1400)+'Cálculos'!$C$123)*'Cálculos'!$C$281)+('Cálculos'!$C$204*(1+'Cálculos'!$C$205+$A37*('Cálculos'!$C$290=3)*'Cálculos'!$C$103)+'Cálculos'!$C$206)*('Cálculos'!$C$272+'Cálculos'!$C$124*(1+2.78*('Cálculos'!$C$200+(($B$54)-$A37)*'Cálculos'!$C$98)/(('Cálculos'!$C$200+(($B$54)-$A37)*'Cálculos'!$C$98)+1400)+'Cálculos'!$C$122)*'Cálculos'!$C$277+'Cálculos'!$C$125*(1+2.78*('Cálculos'!$C$200+(($B$54)-$A37)*'Cálculos'!$C$98)/(('Cálculos'!$C$200+(($B$54)-$A37)*'Cálculos'!$C$98)+1400)+'Cálculos'!$C$123)*'Cálculos'!$C$282)+('Cálculos'!$C$273+'Cálculos'!$C$124*(1+2.78*('Cálculos'!$C$200+(($B$54)-$A37)*'Cálculos'!$C$98)/(('Cálculos'!$C$200+(($B$54)-$A37)*'Cálculos'!$C$98)+1400)+'Cálculos'!$C$122)*'Cálculos'!$C$278+'Cálculos'!$C$125*(1+2.78*('Cálculos'!$C$200+(($B$54)-$A37)*'Cálculos'!$C$98)/(('Cálculos'!$C$200+(($B$54)-$A37)*'Cálculos'!$C$98)+1400)+'Cálculos'!$C$123)*'Cálculos'!$C$283)))</f>
        <v>0</v>
      </c>
    </row>
    <row r="38" ht="15.75" customHeight="1">
      <c r="A38" s="2">
        <v>32.0</v>
      </c>
      <c r="B38" s="30">
        <f>SUMPRODUCT(MAX(($A$6:$A$51&lt;=$A38)*($A$6:$A$51&lt;='Cálculos'!$C$294)*(($A38)-$A$6:$A$51&lt;='Cálculos'!$C$295)*(1+(('Cálculos'!$C$207+$A$6:$A$51*'Cálculos'!$C$95)-(('Cálculos'!$C$207+$A$6:$A$51*'Cálculos'!$C$95)&gt;1)*(('Cálculos'!$C$207+$A$6:$A$51*'Cálculos'!$C$95)-1))*('Cálculos'!$C$208+(($A38)-$A$6:$A$51)*'Cálculos'!$C$96))))</f>
        <v>4.336886</v>
      </c>
      <c r="C38" s="2">
        <f>'Cálculos'!$C$303-$A38</f>
        <v>-12</v>
      </c>
      <c r="D38" s="31">
        <f>IF($C38&lt;0,0,SUMPRODUCT(MAX(($A$6:$A$51&lt;=$C38)*($A$6:$A$51&lt;='Cálculos'!$C$301)*(($C38)-$A$6:$A$51&lt;='Cálculos'!$C$297)*(('Cálculos'!$C$185*(1+'Cálculos'!$C$186+$A$6:$A$51*('Cálculos'!$C$290=1)*'Cálculos'!$C$97+'Cálculos'!$C$305)+'Cálculos'!$C$191)*('Cálculos'!$C$209+'Cálculos'!$C$124*(1+2.78*('Cálculos'!$C$196+(($C38)-$A$6:$A$51)*'Cálculos'!$C$98)/(('Cálculos'!$C$196+(($C38)-$A$6:$A$51)*'Cálculos'!$C$98)+1400)+'Cálculos'!$C$122)*'Cálculos'!$C$214+'Cálculos'!$C$125*(1+2.78*('Cálculos'!$C$196+(($C38)-$A$6:$A$51)*'Cálculos'!$C$98)/(('Cálculos'!$C$196+(($C38)-$A$6:$A$51)*'Cálculos'!$C$98)+1400)+'Cálculos'!$C$123)*'Cálculos'!$C$219)+('Cálculos'!$C$196+(($C38)-$A$6:$A$51)*'Cálculos'!$C$98)*('Cálculos'!$C$210+'Cálculos'!$C$124*(1+2.78*('Cálculos'!$C$196+(($C38)-$A$6:$A$51)*'Cálculos'!$C$98)/(('Cálculos'!$C$196+(($C38)-$A$6:$A$51)*'Cálculos'!$C$98)+1400)+'Cálculos'!$C$122)*'Cálculos'!$C$215+'Cálculos'!$C$125*(1+2.78*('Cálculos'!$C$196+(($C38)-$A$6:$A$51)*'Cálculos'!$C$98)/(('Cálculos'!$C$196+(($C38)-$A$6:$A$51)*'Cálculos'!$C$98)+1400)+'Cálculos'!$C$123)*'Cálculos'!$C$220)+('Cálculos'!$C$201*(1+'Cálculos'!$C$202+$A$6:$A$51*('Cálculos'!$C$290=2)*'Cálculos'!$C$101)+'Cálculos'!$C$203)*('Cálculos'!$C$211+'Cálculos'!$C$124*(1+2.78*('Cálculos'!$C$196+(($C38)-$A$6:$A$51)*'Cálculos'!$C$98)/(('Cálculos'!$C$196+(($C38)-$A$6:$A$51)*'Cálculos'!$C$98)+1400)+'Cálculos'!$C$122)*'Cálculos'!$C$216+'Cálculos'!$C$125*(1+2.78*('Cálculos'!$C$196+(($C38)-$A$6:$A$51)*'Cálculos'!$C$98)/(('Cálculos'!$C$196+(($C38)-$A$6:$A$51)*'Cálculos'!$C$98)+1400)+'Cálculos'!$C$123)*'Cálculos'!$C$221)+('Cálculos'!$C$204*(1+'Cálculos'!$C$205+$A$6:$A$51*('Cálculos'!$C$290=3)*'Cálculos'!$C$103)+'Cálculos'!$C$206)*('Cálculos'!$C$212+'Cálculos'!$C$124*(1+2.78*('Cálculos'!$C$196+(($C38)-$A$6:$A$51)*'Cálculos'!$C$98)/(('Cálculos'!$C$196+(($C38)-$A$6:$A$51)*'Cálculos'!$C$98)+1400)+'Cálculos'!$C$122)*'Cálculos'!$C$217+'Cálculos'!$C$125*(1+2.78*('Cálculos'!$C$196+(($C38)-$A$6:$A$51)*'Cálculos'!$C$98)/(('Cálculos'!$C$196+(($C38)-$A$6:$A$51)*'Cálculos'!$C$98)+1400)+'Cálculos'!$C$123)*'Cálculos'!$C$222)+('Cálculos'!$C$213+'Cálculos'!$C$124*(1+2.78*('Cálculos'!$C$196+(($C38)-$A$6:$A$51)*'Cálculos'!$C$98)/(('Cálculos'!$C$196+(($C38)-$A$6:$A$51)*'Cálculos'!$C$98)+1400)+'Cálculos'!$C$122)*'Cálculos'!$C$218+'Cálculos'!$C$125*(1+2.78*('Cálculos'!$C$196+(($C38)-$A$6:$A$51)*'Cálculos'!$C$98)/(('Cálculos'!$C$196+(($C38)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38)-$A$6:$A$51)*'Cálculos'!$C$98)/(('Cálculos'!$C$197+(($C38)-$A$6:$A$51)*'Cálculos'!$C$98)+1400)+'Cálculos'!$C$122)*'Cálculos'!$C$229+'Cálculos'!$C$125*(1+2.78*('Cálculos'!$C$197+(($C38)-$A$6:$A$51)*'Cálculos'!$C$98)/(('Cálculos'!$C$197+(($C38)-$A$6:$A$51)*'Cálculos'!$C$98)+1400)+'Cálculos'!$C$123)*'Cálculos'!$C$234)+('Cálculos'!$C$197+(($C38)-$A$6:$A$51)*'Cálculos'!$C$98)*('Cálculos'!$C$225+'Cálculos'!$C$124*(1+2.78*('Cálculos'!$C$197+(($C38)-$A$6:$A$51)*'Cálculos'!$C$98)/(('Cálculos'!$C$197+(($C38)-$A$6:$A$51)*'Cálculos'!$C$98)+1400)+'Cálculos'!$C$122)*'Cálculos'!$C$230+'Cálculos'!$C$125*(1+2.78*('Cálculos'!$C$197+(($C38)-$A$6:$A$51)*'Cálculos'!$C$98)/(('Cálculos'!$C$197+(($C38)-$A$6:$A$51)*'Cálculos'!$C$98)+1400)+'Cálculos'!$C$123)*'Cálculos'!$C$235)+('Cálculos'!$C$201*(1+'Cálculos'!$C$202+$A$6:$A$51*('Cálculos'!$C$290=2)*'Cálculos'!$C$101)+'Cálculos'!$C$203)*('Cálculos'!$C$226+'Cálculos'!$C$124*(1+2.78*('Cálculos'!$C$197+(($C38)-$A$6:$A$51)*'Cálculos'!$C$98)/(('Cálculos'!$C$197+(($C38)-$A$6:$A$51)*'Cálculos'!$C$98)+1400)+'Cálculos'!$C$122)*'Cálculos'!$C$231+'Cálculos'!$C$125*(1+2.78*('Cálculos'!$C$197+(($C38)-$A$6:$A$51)*'Cálculos'!$C$98)/(('Cálculos'!$C$197+(($C38)-$A$6:$A$51)*'Cálculos'!$C$98)+1400)+'Cálculos'!$C$123)*'Cálculos'!$C$236)+('Cálculos'!$C$204*(1+'Cálculos'!$C$205+$A$6:$A$51*('Cálculos'!$C$290=3)*'Cálculos'!$C$103)+'Cálculos'!$C$206)*('Cálculos'!$C$227+'Cálculos'!$C$124*(1+2.78*('Cálculos'!$C$197+(($C38)-$A$6:$A$51)*'Cálculos'!$C$98)/(('Cálculos'!$C$197+(($C38)-$A$6:$A$51)*'Cálculos'!$C$98)+1400)+'Cálculos'!$C$122)*'Cálculos'!$C$232+'Cálculos'!$C$125*(1+2.78*('Cálculos'!$C$197+(($C38)-$A$6:$A$51)*'Cálculos'!$C$98)/(('Cálculos'!$C$197+(($C38)-$A$6:$A$51)*'Cálculos'!$C$98)+1400)+'Cálculos'!$C$123)*'Cálculos'!$C$237)+('Cálculos'!$C$228+'Cálculos'!$C$124*(1+2.78*('Cálculos'!$C$197+(($C38)-$A$6:$A$51)*'Cálculos'!$C$98)/(('Cálculos'!$C$197+(($C38)-$A$6:$A$51)*'Cálculos'!$C$98)+1400)+'Cálculos'!$C$122)*'Cálculos'!$C$233+'Cálculos'!$C$125*(1+2.78*('Cálculos'!$C$197+(($C38)-$A$6:$A$51)*'Cálculos'!$C$98)/(('Cálculos'!$C$197+(($C38)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38)-$A$6:$A$51)*'Cálculos'!$C$98)/(('Cálculos'!$C$198+(($C38)-$A$6:$A$51)*'Cálculos'!$C$98)+1400)+'Cálculos'!$C$122)*'Cálculos'!$C$244+'Cálculos'!$C$125*(1+2.78*('Cálculos'!$C$198+(($C38)-$A$6:$A$51)*'Cálculos'!$C$98)/(('Cálculos'!$C$198+(($C38)-$A$6:$A$51)*'Cálculos'!$C$98)+1400)+'Cálculos'!$C$123)*'Cálculos'!$C$249)+('Cálculos'!$C$198+(($C38)-$A$6:$A$51)*'Cálculos'!$C$98)*('Cálculos'!$C$240+'Cálculos'!$C$124*(1+2.78*('Cálculos'!$C$198+(($C38)-$A$6:$A$51)*'Cálculos'!$C$98)/(('Cálculos'!$C$198+(($C38)-$A$6:$A$51)*'Cálculos'!$C$98)+1400)+'Cálculos'!$C$122)*'Cálculos'!$C$245+'Cálculos'!$C$125*(1+2.78*('Cálculos'!$C$198+(($C38)-$A$6:$A$51)*'Cálculos'!$C$98)/(('Cálculos'!$C$198+(($C38)-$A$6:$A$51)*'Cálculos'!$C$98)+1400)+'Cálculos'!$C$123)*'Cálculos'!$C$250)+('Cálculos'!$C$201*(1+'Cálculos'!$C$202+$A$6:$A$51*('Cálculos'!$C$290=2)*'Cálculos'!$C$101)+'Cálculos'!$C$203)*('Cálculos'!$C$241+'Cálculos'!$C$124*(1+2.78*('Cálculos'!$C$198+(($C38)-$A$6:$A$51)*'Cálculos'!$C$98)/(('Cálculos'!$C$198+(($C38)-$A$6:$A$51)*'Cálculos'!$C$98)+1400)+'Cálculos'!$C$122)*'Cálculos'!$C$246+'Cálculos'!$C$125*(1+2.78*('Cálculos'!$C$198+(($C38)-$A$6:$A$51)*'Cálculos'!$C$98)/(('Cálculos'!$C$198+(($C38)-$A$6:$A$51)*'Cálculos'!$C$98)+1400)+'Cálculos'!$C$123)*'Cálculos'!$C$251)+('Cálculos'!$C$204*(1+'Cálculos'!$C$205+$A$6:$A$51*('Cálculos'!$C$290=3)*'Cálculos'!$C$103)+'Cálculos'!$C$206)*('Cálculos'!$C$242+'Cálculos'!$C$124*(1+2.78*('Cálculos'!$C$198+(($C38)-$A$6:$A$51)*'Cálculos'!$C$98)/(('Cálculos'!$C$198+(($C38)-$A$6:$A$51)*'Cálculos'!$C$98)+1400)+'Cálculos'!$C$122)*'Cálculos'!$C$247+'Cálculos'!$C$125*(1+2.78*('Cálculos'!$C$198+(($C38)-$A$6:$A$51)*'Cálculos'!$C$98)/(('Cálculos'!$C$198+(($C38)-$A$6:$A$51)*'Cálculos'!$C$98)+1400)+'Cálculos'!$C$123)*'Cálculos'!$C$252)+('Cálculos'!$C$243+'Cálculos'!$C$124*(1+2.78*('Cálculos'!$C$198+(($C38)-$A$6:$A$51)*'Cálculos'!$C$98)/(('Cálculos'!$C$198+(($C38)-$A$6:$A$51)*'Cálculos'!$C$98)+1400)+'Cálculos'!$C$122)*'Cálculos'!$C$248+'Cálculos'!$C$125*(1+2.78*('Cálculos'!$C$198+(($C38)-$A$6:$A$51)*'Cálculos'!$C$98)/(('Cálculos'!$C$198+(($C38)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38)-$A$6:$A$51)*'Cálculos'!$C$98)/(('Cálculos'!$C$199+(($C38)-$A$6:$A$51)*'Cálculos'!$C$98)+1400)+'Cálculos'!$C$122)*'Cálculos'!$C$259+'Cálculos'!$C$125*(1+2.78*('Cálculos'!$C$199+(($C38)-$A$6:$A$51)*'Cálculos'!$C$98)/(('Cálculos'!$C$199+(($C38)-$A$6:$A$51)*'Cálculos'!$C$98)+1400)+'Cálculos'!$C$123)*'Cálculos'!$C$264)+('Cálculos'!$C$199+(($C38)-$A$6:$A$51)*'Cálculos'!$C$98)*('Cálculos'!$C$255+'Cálculos'!$C$124*(1+2.78*('Cálculos'!$C$199+(($C38)-$A$6:$A$51)*'Cálculos'!$C$98)/(('Cálculos'!$C$199+(($C38)-$A$6:$A$51)*'Cálculos'!$C$98)+1400)+'Cálculos'!$C$122)*'Cálculos'!$C$260+'Cálculos'!$C$125*(1+2.78*('Cálculos'!$C$199+(($C38)-$A$6:$A$51)*'Cálculos'!$C$98)/(('Cálculos'!$C$199+(($C38)-$A$6:$A$51)*'Cálculos'!$C$98)+1400)+'Cálculos'!$C$123)*'Cálculos'!$C$265)+('Cálculos'!$C$201*(1+'Cálculos'!$C$202+$A$6:$A$51*('Cálculos'!$C$290=2)*'Cálculos'!$C$101)+'Cálculos'!$C$203)*('Cálculos'!$C$256+'Cálculos'!$C$124*(1+2.78*('Cálculos'!$C$199+(($C38)-$A$6:$A$51)*'Cálculos'!$C$98)/(('Cálculos'!$C$199+(($C38)-$A$6:$A$51)*'Cálculos'!$C$98)+1400)+'Cálculos'!$C$122)*'Cálculos'!$C$261+'Cálculos'!$C$125*(1+2.78*('Cálculos'!$C$199+(($C38)-$A$6:$A$51)*'Cálculos'!$C$98)/(('Cálculos'!$C$199+(($C38)-$A$6:$A$51)*'Cálculos'!$C$98)+1400)+'Cálculos'!$C$123)*'Cálculos'!$C$266)+('Cálculos'!$C$204*(1+'Cálculos'!$C$205+$A$6:$A$51*('Cálculos'!$C$290=3)*'Cálculos'!$C$103)+'Cálculos'!$C$206)*('Cálculos'!$C$257+'Cálculos'!$C$124*(1+2.78*('Cálculos'!$C$199+(($C38)-$A$6:$A$51)*'Cálculos'!$C$98)/(('Cálculos'!$C$199+(($C38)-$A$6:$A$51)*'Cálculos'!$C$98)+1400)+'Cálculos'!$C$122)*'Cálculos'!$C$262+'Cálculos'!$C$125*(1+2.78*('Cálculos'!$C$199+(($C38)-$A$6:$A$51)*'Cálculos'!$C$98)/(('Cálculos'!$C$199+(($C38)-$A$6:$A$51)*'Cálculos'!$C$98)+1400)+'Cálculos'!$C$123)*'Cálculos'!$C$267)+('Cálculos'!$C$258+'Cálculos'!$C$124*(1+2.78*('Cálculos'!$C$199+(($C38)-$A$6:$A$51)*'Cálculos'!$C$98)/(('Cálculos'!$C$199+(($C38)-$A$6:$A$51)*'Cálculos'!$C$98)+1400)+'Cálculos'!$C$122)*'Cálculos'!$C$263+'Cálculos'!$C$125*(1+2.78*('Cálculos'!$C$199+(($C38)-$A$6:$A$51)*'Cálculos'!$C$98)/(('Cálculos'!$C$199+(($C38)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38)-$A$6:$A$51)*'Cálculos'!$C$98)/(('Cálculos'!$C$200+(($C38)-$A$6:$A$51)*'Cálculos'!$C$98)+1400)+'Cálculos'!$C$122)*'Cálculos'!$C$274+'Cálculos'!$C$125*(1+2.78*('Cálculos'!$C$200+(($C38)-$A$6:$A$51)*'Cálculos'!$C$98)/(('Cálculos'!$C$200+(($C38)-$A$6:$A$51)*'Cálculos'!$C$98)+1400)+'Cálculos'!$C$123)*'Cálculos'!$C$279)+('Cálculos'!$C$200+(($C38)-$A$6:$A$51)*'Cálculos'!$C$98)*('Cálculos'!$C$270+'Cálculos'!$C$124*(1+2.78*('Cálculos'!$C$200+(($C38)-$A$6:$A$51)*'Cálculos'!$C$98)/(('Cálculos'!$C$200+(($C38)-$A$6:$A$51)*'Cálculos'!$C$98)+1400)+'Cálculos'!$C$122)*'Cálculos'!$C$275+'Cálculos'!$C$125*(1+2.78*('Cálculos'!$C$200+(($C38)-$A$6:$A$51)*'Cálculos'!$C$98)/(('Cálculos'!$C$200+(($C38)-$A$6:$A$51)*'Cálculos'!$C$98)+1400)+'Cálculos'!$C$123)*'Cálculos'!$C$280)+('Cálculos'!$C$201*(1+'Cálculos'!$C$202+$A$6:$A$51*('Cálculos'!$C$290=2)*'Cálculos'!$C$101)+'Cálculos'!$C$203)*('Cálculos'!$C$271+'Cálculos'!$C$124*(1+2.78*('Cálculos'!$C$200+(($C38)-$A$6:$A$51)*'Cálculos'!$C$98)/(('Cálculos'!$C$200+(($C38)-$A$6:$A$51)*'Cálculos'!$C$98)+1400)+'Cálculos'!$C$122)*'Cálculos'!$C$276+'Cálculos'!$C$125*(1+2.78*('Cálculos'!$C$200+(($C38)-$A$6:$A$51)*'Cálculos'!$C$98)/(('Cálculos'!$C$200+(($C38)-$A$6:$A$51)*'Cálculos'!$C$98)+1400)+'Cálculos'!$C$123)*'Cálculos'!$C$281)+('Cálculos'!$C$204*(1+'Cálculos'!$C$205+$A$6:$A$51*('Cálculos'!$C$290=3)*'Cálculos'!$C$103)+'Cálculos'!$C$206)*('Cálculos'!$C$272+'Cálculos'!$C$124*(1+2.78*('Cálculos'!$C$200+(($C38)-$A$6:$A$51)*'Cálculos'!$C$98)/(('Cálculos'!$C$200+(($C38)-$A$6:$A$51)*'Cálculos'!$C$98)+1400)+'Cálculos'!$C$122)*'Cálculos'!$C$277+'Cálculos'!$C$125*(1+2.78*('Cálculos'!$C$200+(($C38)-$A$6:$A$51)*'Cálculos'!$C$98)/(('Cálculos'!$C$200+(($C38)-$A$6:$A$51)*'Cálculos'!$C$98)+1400)+'Cálculos'!$C$123)*'Cálculos'!$C$282)+('Cálculos'!$C$273+'Cálculos'!$C$124*(1+2.78*('Cálculos'!$C$200+(($C38)-$A$6:$A$51)*'Cálculos'!$C$98)/(('Cálculos'!$C$200+(($C38)-$A$6:$A$51)*'Cálculos'!$C$98)+1400)+'Cálculos'!$C$122)*'Cálculos'!$C$278+'Cálculos'!$C$125*(1+2.78*('Cálculos'!$C$200+(($C38)-$A$6:$A$51)*'Cálculos'!$C$98)/(('Cálculos'!$C$200+(($C38)-$A$6:$A$51)*'Cálculos'!$C$98)+1400)+'Cálculos'!$C$123)*'Cálculos'!$C$283)))))</f>
        <v>0</v>
      </c>
      <c r="E38" s="32">
        <f>IF(OR($C38&lt;0,'Cálculos'!$C$6=""),0,$B38*$D38)</f>
        <v>0</v>
      </c>
      <c r="F38" s="2"/>
      <c r="G38" s="30">
        <f>($A38&lt;=$B$53)*($A38&lt;='Cálculos'!$C$294)*(($B$53)-$A38&lt;='Cálculos'!$C$295)*(1+MIN(('Cálculos'!$C$207+$A38*'Cálculos'!$C$95),1)*('Cálculos'!$C$208+(($B$53)-$A38)*'Cálculos'!$C$96))</f>
        <v>0</v>
      </c>
      <c r="H38" s="31">
        <f>IF($B$54&lt;0,0,($A38&lt;=$B$54)*($A38&lt;='Cálculos'!$C$301)*(($B$54)-$A38&lt;='Cálculos'!$C$297)*(('Cálculos'!$C$185*(1+'Cálculos'!$C$186+$A38*('Cálculos'!$C$290=1)*'Cálculos'!$C$97+'Cálculos'!$C$305)+'Cálculos'!$C$191)*('Cálculos'!$C$209+'Cálculos'!$C$124*(1+2.78*('Cálculos'!$C$196+(($B$54)-$A38)*'Cálculos'!$C$98)/(('Cálculos'!$C$196+(($B$54)-$A38)*'Cálculos'!$C$98)+1400)+'Cálculos'!$C$122)*'Cálculos'!$C$214+'Cálculos'!$C$125*(1+2.78*('Cálculos'!$C$196+(($B$54)-$A38)*'Cálculos'!$C$98)/(('Cálculos'!$C$196+(($B$54)-$A38)*'Cálculos'!$C$98)+1400)+'Cálculos'!$C$123)*'Cálculos'!$C$219)+('Cálculos'!$C$196+(($B$54)-$A38)*'Cálculos'!$C$98)*('Cálculos'!$C$210+'Cálculos'!$C$124*(1+2.78*('Cálculos'!$C$196+(($B$54)-$A38)*'Cálculos'!$C$98)/(('Cálculos'!$C$196+(($B$54)-$A38)*'Cálculos'!$C$98)+1400)+'Cálculos'!$C$122)*'Cálculos'!$C$215+'Cálculos'!$C$125*(1+2.78*('Cálculos'!$C$196+(($B$54)-$A38)*'Cálculos'!$C$98)/(('Cálculos'!$C$196+(($B$54)-$A38)*'Cálculos'!$C$98)+1400)+'Cálculos'!$C$123)*'Cálculos'!$C$220)+('Cálculos'!$C$201*(1+'Cálculos'!$C$202+$A38*('Cálculos'!$C$290=2)*'Cálculos'!$C$101)+'Cálculos'!$C$203)*('Cálculos'!$C$211+'Cálculos'!$C$124*(1+2.78*('Cálculos'!$C$196+(($B$54)-$A38)*'Cálculos'!$C$98)/(('Cálculos'!$C$196+(($B$54)-$A38)*'Cálculos'!$C$98)+1400)+'Cálculos'!$C$122)*'Cálculos'!$C$216+'Cálculos'!$C$125*(1+2.78*('Cálculos'!$C$196+(($B$54)-$A38)*'Cálculos'!$C$98)/(('Cálculos'!$C$196+(($B$54)-$A38)*'Cálculos'!$C$98)+1400)+'Cálculos'!$C$123)*'Cálculos'!$C$221)+('Cálculos'!$C$204*(1+'Cálculos'!$C$205+$A38*('Cálculos'!$C$290=3)*'Cálculos'!$C$103)+'Cálculos'!$C$206)*('Cálculos'!$C$212+'Cálculos'!$C$124*(1+2.78*('Cálculos'!$C$196+(($B$54)-$A38)*'Cálculos'!$C$98)/(('Cálculos'!$C$196+(($B$54)-$A38)*'Cálculos'!$C$98)+1400)+'Cálculos'!$C$122)*'Cálculos'!$C$217+'Cálculos'!$C$125*(1+2.78*('Cálculos'!$C$196+(($B$54)-$A38)*'Cálculos'!$C$98)/(('Cálculos'!$C$196+(($B$54)-$A38)*'Cálculos'!$C$98)+1400)+'Cálculos'!$C$123)*'Cálculos'!$C$222)+('Cálculos'!$C$213+'Cálculos'!$C$124*(1+2.78*('Cálculos'!$C$196+(($B$54)-$A38)*'Cálculos'!$C$98)/(('Cálculos'!$C$196+(($B$54)-$A38)*'Cálculos'!$C$98)+1400)+'Cálculos'!$C$122)*'Cálculos'!$C$218+'Cálculos'!$C$125*(1+2.78*('Cálculos'!$C$196+(($B$54)-$A38)*'Cálculos'!$C$98)/(('Cálculos'!$C$196+(($B$54)-$A38)*'Cálculos'!$C$98)+1400)+'Cálculos'!$C$123)*'Cálculos'!$C$223)+('Cálculos'!$C$185*(1+'Cálculos'!$C$187+$A38*('Cálculos'!$C$290=1)*'Cálculos'!$C$97+'Cálculos'!$C$305)+'Cálculos'!$C$192)*('Cálculos'!$C$224+'Cálculos'!$C$124*(1+2.78*('Cálculos'!$C$197+(($B$54)-$A38)*'Cálculos'!$C$98)/(('Cálculos'!$C$197+(($B$54)-$A38)*'Cálculos'!$C$98)+1400)+'Cálculos'!$C$122)*'Cálculos'!$C$229+'Cálculos'!$C$125*(1+2.78*('Cálculos'!$C$197+(($B$54)-$A38)*'Cálculos'!$C$98)/(('Cálculos'!$C$197+(($B$54)-$A38)*'Cálculos'!$C$98)+1400)+'Cálculos'!$C$123)*'Cálculos'!$C$234)+('Cálculos'!$C$197+(($B$54)-$A38)*'Cálculos'!$C$98)*('Cálculos'!$C$225+'Cálculos'!$C$124*(1+2.78*('Cálculos'!$C$197+(($B$54)-$A38)*'Cálculos'!$C$98)/(('Cálculos'!$C$197+(($B$54)-$A38)*'Cálculos'!$C$98)+1400)+'Cálculos'!$C$122)*'Cálculos'!$C$230+'Cálculos'!$C$125*(1+2.78*('Cálculos'!$C$197+(($B$54)-$A38)*'Cálculos'!$C$98)/(('Cálculos'!$C$197+(($B$54)-$A38)*'Cálculos'!$C$98)+1400)+'Cálculos'!$C$123)*'Cálculos'!$C$235)+('Cálculos'!$C$201*(1+'Cálculos'!$C$202+$A38*('Cálculos'!$C$290=2)*'Cálculos'!$C$101)+'Cálculos'!$C$203)*('Cálculos'!$C$226+'Cálculos'!$C$124*(1+2.78*('Cálculos'!$C$197+(($B$54)-$A38)*'Cálculos'!$C$98)/(('Cálculos'!$C$197+(($B$54)-$A38)*'Cálculos'!$C$98)+1400)+'Cálculos'!$C$122)*'Cálculos'!$C$231+'Cálculos'!$C$125*(1+2.78*('Cálculos'!$C$197+(($B$54)-$A38)*'Cálculos'!$C$98)/(('Cálculos'!$C$197+(($B$54)-$A38)*'Cálculos'!$C$98)+1400)+'Cálculos'!$C$123)*'Cálculos'!$C$236)+('Cálculos'!$C$204*(1+'Cálculos'!$C$205+$A38*('Cálculos'!$C$290=3)*'Cálculos'!$C$103)+'Cálculos'!$C$206)*('Cálculos'!$C$227+'Cálculos'!$C$124*(1+2.78*('Cálculos'!$C$197+(($B$54)-$A38)*'Cálculos'!$C$98)/(('Cálculos'!$C$197+(($B$54)-$A38)*'Cálculos'!$C$98)+1400)+'Cálculos'!$C$122)*'Cálculos'!$C$232+'Cálculos'!$C$125*(1+2.78*('Cálculos'!$C$197+(($B$54)-$A38)*'Cálculos'!$C$98)/(('Cálculos'!$C$197+(($B$54)-$A38)*'Cálculos'!$C$98)+1400)+'Cálculos'!$C$123)*'Cálculos'!$C$237)+('Cálculos'!$C$228+'Cálculos'!$C$124*(1+2.78*('Cálculos'!$C$197+(($B$54)-$A38)*'Cálculos'!$C$98)/(('Cálculos'!$C$197+(($B$54)-$A38)*'Cálculos'!$C$98)+1400)+'Cálculos'!$C$122)*'Cálculos'!$C$233+'Cálculos'!$C$125*(1+2.78*('Cálculos'!$C$197+(($B$54)-$A38)*'Cálculos'!$C$98)/(('Cálculos'!$C$197+(($B$54)-$A38)*'Cálculos'!$C$98)+1400)+'Cálculos'!$C$123)*'Cálculos'!$C$238)+('Cálculos'!$C$185*(1+'Cálculos'!$C$188+$A38*('Cálculos'!$C$290=1)*'Cálculos'!$C$97+'Cálculos'!$C$305)+'Cálculos'!$C$193)*('Cálculos'!$C$239+'Cálculos'!$C$124*(1+2.78*('Cálculos'!$C$198+(($B$54)-$A38)*'Cálculos'!$C$98)/(('Cálculos'!$C$198+(($B$54)-$A38)*'Cálculos'!$C$98)+1400)+'Cálculos'!$C$122)*'Cálculos'!$C$244+'Cálculos'!$C$125*(1+2.78*('Cálculos'!$C$198+(($B$54)-$A38)*'Cálculos'!$C$98)/(('Cálculos'!$C$198+(($B$54)-$A38)*'Cálculos'!$C$98)+1400)+'Cálculos'!$C$123)*'Cálculos'!$C$249)+('Cálculos'!$C$198+(($B$54)-$A38)*'Cálculos'!$C$98)*('Cálculos'!$C$240+'Cálculos'!$C$124*(1+2.78*('Cálculos'!$C$198+(($B$54)-$A38)*'Cálculos'!$C$98)/(('Cálculos'!$C$198+(($B$54)-$A38)*'Cálculos'!$C$98)+1400)+'Cálculos'!$C$122)*'Cálculos'!$C$245+'Cálculos'!$C$125*(1+2.78*('Cálculos'!$C$198+(($B$54)-$A38)*'Cálculos'!$C$98)/(('Cálculos'!$C$198+(($B$54)-$A38)*'Cálculos'!$C$98)+1400)+'Cálculos'!$C$123)*'Cálculos'!$C$250)+('Cálculos'!$C$201*(1+'Cálculos'!$C$202+$A38*('Cálculos'!$C$290=2)*'Cálculos'!$C$101)+'Cálculos'!$C$203)*('Cálculos'!$C$241+'Cálculos'!$C$124*(1+2.78*('Cálculos'!$C$198+(($B$54)-$A38)*'Cálculos'!$C$98)/(('Cálculos'!$C$198+(($B$54)-$A38)*'Cálculos'!$C$98)+1400)+'Cálculos'!$C$122)*'Cálculos'!$C$246+'Cálculos'!$C$125*(1+2.78*('Cálculos'!$C$198+(($B$54)-$A38)*'Cálculos'!$C$98)/(('Cálculos'!$C$198+(($B$54)-$A38)*'Cálculos'!$C$98)+1400)+'Cálculos'!$C$123)*'Cálculos'!$C$251)+('Cálculos'!$C$204*(1+'Cálculos'!$C$205+$A38*('Cálculos'!$C$290=3)*'Cálculos'!$C$103)+'Cálculos'!$C$206)*('Cálculos'!$C$242+'Cálculos'!$C$124*(1+2.78*('Cálculos'!$C$198+(($B$54)-$A38)*'Cálculos'!$C$98)/(('Cálculos'!$C$198+(($B$54)-$A38)*'Cálculos'!$C$98)+1400)+'Cálculos'!$C$122)*'Cálculos'!$C$247+'Cálculos'!$C$125*(1+2.78*('Cálculos'!$C$198+(($B$54)-$A38)*'Cálculos'!$C$98)/(('Cálculos'!$C$198+(($B$54)-$A38)*'Cálculos'!$C$98)+1400)+'Cálculos'!$C$123)*'Cálculos'!$C$252)+('Cálculos'!$C$243+'Cálculos'!$C$124*(1+2.78*('Cálculos'!$C$198+(($B$54)-$A38)*'Cálculos'!$C$98)/(('Cálculos'!$C$198+(($B$54)-$A38)*'Cálculos'!$C$98)+1400)+'Cálculos'!$C$122)*'Cálculos'!$C$248+'Cálculos'!$C$125*(1+2.78*('Cálculos'!$C$198+(($B$54)-$A38)*'Cálculos'!$C$98)/(('Cálculos'!$C$198+(($B$54)-$A38)*'Cálculos'!$C$98)+1400)+'Cálculos'!$C$123)*'Cálculos'!$C$253)+('Cálculos'!$C$185*(1+'Cálculos'!$C$189+$A38*('Cálculos'!$C$290=1)*'Cálculos'!$C$97+'Cálculos'!$C$305)+'Cálculos'!$C$194)*('Cálculos'!$C$254+'Cálculos'!$C$124*(1+2.78*('Cálculos'!$C$199+(($B$54)-$A38)*'Cálculos'!$C$98)/(('Cálculos'!$C$199+(($B$54)-$A38)*'Cálculos'!$C$98)+1400)+'Cálculos'!$C$122)*'Cálculos'!$C$259+'Cálculos'!$C$125*(1+2.78*('Cálculos'!$C$199+(($B$54)-$A38)*'Cálculos'!$C$98)/(('Cálculos'!$C$199+(($B$54)-$A38)*'Cálculos'!$C$98)+1400)+'Cálculos'!$C$123)*'Cálculos'!$C$264)+('Cálculos'!$C$199+(($B$54)-$A38)*'Cálculos'!$C$98)*('Cálculos'!$C$255+'Cálculos'!$C$124*(1+2.78*('Cálculos'!$C$199+(($B$54)-$A38)*'Cálculos'!$C$98)/(('Cálculos'!$C$199+(($B$54)-$A38)*'Cálculos'!$C$98)+1400)+'Cálculos'!$C$122)*'Cálculos'!$C$260+'Cálculos'!$C$125*(1+2.78*('Cálculos'!$C$199+(($B$54)-$A38)*'Cálculos'!$C$98)/(('Cálculos'!$C$199+(($B$54)-$A38)*'Cálculos'!$C$98)+1400)+'Cálculos'!$C$123)*'Cálculos'!$C$265)+('Cálculos'!$C$201*(1+'Cálculos'!$C$202+$A38*('Cálculos'!$C$290=2)*'Cálculos'!$C$101)+'Cálculos'!$C$203)*('Cálculos'!$C$256+'Cálculos'!$C$124*(1+2.78*('Cálculos'!$C$199+(($B$54)-$A38)*'Cálculos'!$C$98)/(('Cálculos'!$C$199+(($B$54)-$A38)*'Cálculos'!$C$98)+1400)+'Cálculos'!$C$122)*'Cálculos'!$C$261+'Cálculos'!$C$125*(1+2.78*('Cálculos'!$C$199+(($B$54)-$A38)*'Cálculos'!$C$98)/(('Cálculos'!$C$199+(($B$54)-$A38)*'Cálculos'!$C$98)+1400)+'Cálculos'!$C$123)*'Cálculos'!$C$266)+('Cálculos'!$C$204*(1+'Cálculos'!$C$205+$A38*('Cálculos'!$C$290=3)*'Cálculos'!$C$103)+'Cálculos'!$C$206)*('Cálculos'!$C$257+'Cálculos'!$C$124*(1+2.78*('Cálculos'!$C$199+(($B$54)-$A38)*'Cálculos'!$C$98)/(('Cálculos'!$C$199+(($B$54)-$A38)*'Cálculos'!$C$98)+1400)+'Cálculos'!$C$122)*'Cálculos'!$C$262+'Cálculos'!$C$125*(1+2.78*('Cálculos'!$C$199+(($B$54)-$A38)*'Cálculos'!$C$98)/(('Cálculos'!$C$199+(($B$54)-$A38)*'Cálculos'!$C$98)+1400)+'Cálculos'!$C$123)*'Cálculos'!$C$267)+('Cálculos'!$C$258+'Cálculos'!$C$124*(1+2.78*('Cálculos'!$C$199+(($B$54)-$A38)*'Cálculos'!$C$98)/(('Cálculos'!$C$199+(($B$54)-$A38)*'Cálculos'!$C$98)+1400)+'Cálculos'!$C$122)*'Cálculos'!$C$263+'Cálculos'!$C$125*(1+2.78*('Cálculos'!$C$199+(($B$54)-$A38)*'Cálculos'!$C$98)/(('Cálculos'!$C$199+(($B$54)-$A38)*'Cálculos'!$C$98)+1400)+'Cálculos'!$C$123)*'Cálculos'!$C$268)+('Cálculos'!$C$185*(1+'Cálculos'!$C$190+$A38*('Cálculos'!$C$290=1)*'Cálculos'!$C$97+'Cálculos'!$C$305)+'Cálculos'!$C$195)*('Cálculos'!$C$269+'Cálculos'!$C$124*(1+2.78*('Cálculos'!$C$200+(($B$54)-$A38)*'Cálculos'!$C$98)/(('Cálculos'!$C$200+(($B$54)-$A38)*'Cálculos'!$C$98)+1400)+'Cálculos'!$C$122)*'Cálculos'!$C$274+'Cálculos'!$C$125*(1+2.78*('Cálculos'!$C$200+(($B$54)-$A38)*'Cálculos'!$C$98)/(('Cálculos'!$C$200+(($B$54)-$A38)*'Cálculos'!$C$98)+1400)+'Cálculos'!$C$123)*'Cálculos'!$C$279)+('Cálculos'!$C$200+(($B$54)-$A38)*'Cálculos'!$C$98)*('Cálculos'!$C$270+'Cálculos'!$C$124*(1+2.78*('Cálculos'!$C$200+(($B$54)-$A38)*'Cálculos'!$C$98)/(('Cálculos'!$C$200+(($B$54)-$A38)*'Cálculos'!$C$98)+1400)+'Cálculos'!$C$122)*'Cálculos'!$C$275+'Cálculos'!$C$125*(1+2.78*('Cálculos'!$C$200+(($B$54)-$A38)*'Cálculos'!$C$98)/(('Cálculos'!$C$200+(($B$54)-$A38)*'Cálculos'!$C$98)+1400)+'Cálculos'!$C$123)*'Cálculos'!$C$280)+('Cálculos'!$C$201*(1+'Cálculos'!$C$202+$A38*('Cálculos'!$C$290=2)*'Cálculos'!$C$101)+'Cálculos'!$C$203)*('Cálculos'!$C$271+'Cálculos'!$C$124*(1+2.78*('Cálculos'!$C$200+(($B$54)-$A38)*'Cálculos'!$C$98)/(('Cálculos'!$C$200+(($B$54)-$A38)*'Cálculos'!$C$98)+1400)+'Cálculos'!$C$122)*'Cálculos'!$C$276+'Cálculos'!$C$125*(1+2.78*('Cálculos'!$C$200+(($B$54)-$A38)*'Cálculos'!$C$98)/(('Cálculos'!$C$200+(($B$54)-$A38)*'Cálculos'!$C$98)+1400)+'Cálculos'!$C$123)*'Cálculos'!$C$281)+('Cálculos'!$C$204*(1+'Cálculos'!$C$205+$A38*('Cálculos'!$C$290=3)*'Cálculos'!$C$103)+'Cálculos'!$C$206)*('Cálculos'!$C$272+'Cálculos'!$C$124*(1+2.78*('Cálculos'!$C$200+(($B$54)-$A38)*'Cálculos'!$C$98)/(('Cálculos'!$C$200+(($B$54)-$A38)*'Cálculos'!$C$98)+1400)+'Cálculos'!$C$122)*'Cálculos'!$C$277+'Cálculos'!$C$125*(1+2.78*('Cálculos'!$C$200+(($B$54)-$A38)*'Cálculos'!$C$98)/(('Cálculos'!$C$200+(($B$54)-$A38)*'Cálculos'!$C$98)+1400)+'Cálculos'!$C$123)*'Cálculos'!$C$282)+('Cálculos'!$C$273+'Cálculos'!$C$124*(1+2.78*('Cálculos'!$C$200+(($B$54)-$A38)*'Cálculos'!$C$98)/(('Cálculos'!$C$200+(($B$54)-$A38)*'Cálculos'!$C$98)+1400)+'Cálculos'!$C$122)*'Cálculos'!$C$278+'Cálculos'!$C$125*(1+2.78*('Cálculos'!$C$200+(($B$54)-$A38)*'Cálculos'!$C$98)/(('Cálculos'!$C$200+(($B$54)-$A38)*'Cálculos'!$C$98)+1400)+'Cálculos'!$C$123)*'Cálculos'!$C$283)))</f>
        <v>0</v>
      </c>
    </row>
    <row r="39" ht="15.75" customHeight="1">
      <c r="A39" s="2">
        <v>33.0</v>
      </c>
      <c r="B39" s="30">
        <f>SUMPRODUCT(MAX(($A$6:$A$51&lt;=$A39)*($A$6:$A$51&lt;='Cálculos'!$C$294)*(($A39)-$A$6:$A$51&lt;='Cálculos'!$C$295)*(1+(('Cálculos'!$C$207+$A$6:$A$51*'Cálculos'!$C$95)-(('Cálculos'!$C$207+$A$6:$A$51*'Cálculos'!$C$95)&gt;1)*(('Cálculos'!$C$207+$A$6:$A$51*'Cálculos'!$C$95)-1))*('Cálculos'!$C$208+(($A39)-$A$6:$A$51)*'Cálculos'!$C$96))))</f>
        <v>4.40216</v>
      </c>
      <c r="C39" s="2">
        <f>'Cálculos'!$C$303-$A39</f>
        <v>-13</v>
      </c>
      <c r="D39" s="31">
        <f>IF($C39&lt;0,0,SUMPRODUCT(MAX(($A$6:$A$51&lt;=$C39)*($A$6:$A$51&lt;='Cálculos'!$C$301)*(($C39)-$A$6:$A$51&lt;='Cálculos'!$C$297)*(('Cálculos'!$C$185*(1+'Cálculos'!$C$186+$A$6:$A$51*('Cálculos'!$C$290=1)*'Cálculos'!$C$97+'Cálculos'!$C$305)+'Cálculos'!$C$191)*('Cálculos'!$C$209+'Cálculos'!$C$124*(1+2.78*('Cálculos'!$C$196+(($C39)-$A$6:$A$51)*'Cálculos'!$C$98)/(('Cálculos'!$C$196+(($C39)-$A$6:$A$51)*'Cálculos'!$C$98)+1400)+'Cálculos'!$C$122)*'Cálculos'!$C$214+'Cálculos'!$C$125*(1+2.78*('Cálculos'!$C$196+(($C39)-$A$6:$A$51)*'Cálculos'!$C$98)/(('Cálculos'!$C$196+(($C39)-$A$6:$A$51)*'Cálculos'!$C$98)+1400)+'Cálculos'!$C$123)*'Cálculos'!$C$219)+('Cálculos'!$C$196+(($C39)-$A$6:$A$51)*'Cálculos'!$C$98)*('Cálculos'!$C$210+'Cálculos'!$C$124*(1+2.78*('Cálculos'!$C$196+(($C39)-$A$6:$A$51)*'Cálculos'!$C$98)/(('Cálculos'!$C$196+(($C39)-$A$6:$A$51)*'Cálculos'!$C$98)+1400)+'Cálculos'!$C$122)*'Cálculos'!$C$215+'Cálculos'!$C$125*(1+2.78*('Cálculos'!$C$196+(($C39)-$A$6:$A$51)*'Cálculos'!$C$98)/(('Cálculos'!$C$196+(($C39)-$A$6:$A$51)*'Cálculos'!$C$98)+1400)+'Cálculos'!$C$123)*'Cálculos'!$C$220)+('Cálculos'!$C$201*(1+'Cálculos'!$C$202+$A$6:$A$51*('Cálculos'!$C$290=2)*'Cálculos'!$C$101)+'Cálculos'!$C$203)*('Cálculos'!$C$211+'Cálculos'!$C$124*(1+2.78*('Cálculos'!$C$196+(($C39)-$A$6:$A$51)*'Cálculos'!$C$98)/(('Cálculos'!$C$196+(($C39)-$A$6:$A$51)*'Cálculos'!$C$98)+1400)+'Cálculos'!$C$122)*'Cálculos'!$C$216+'Cálculos'!$C$125*(1+2.78*('Cálculos'!$C$196+(($C39)-$A$6:$A$51)*'Cálculos'!$C$98)/(('Cálculos'!$C$196+(($C39)-$A$6:$A$51)*'Cálculos'!$C$98)+1400)+'Cálculos'!$C$123)*'Cálculos'!$C$221)+('Cálculos'!$C$204*(1+'Cálculos'!$C$205+$A$6:$A$51*('Cálculos'!$C$290=3)*'Cálculos'!$C$103)+'Cálculos'!$C$206)*('Cálculos'!$C$212+'Cálculos'!$C$124*(1+2.78*('Cálculos'!$C$196+(($C39)-$A$6:$A$51)*'Cálculos'!$C$98)/(('Cálculos'!$C$196+(($C39)-$A$6:$A$51)*'Cálculos'!$C$98)+1400)+'Cálculos'!$C$122)*'Cálculos'!$C$217+'Cálculos'!$C$125*(1+2.78*('Cálculos'!$C$196+(($C39)-$A$6:$A$51)*'Cálculos'!$C$98)/(('Cálculos'!$C$196+(($C39)-$A$6:$A$51)*'Cálculos'!$C$98)+1400)+'Cálculos'!$C$123)*'Cálculos'!$C$222)+('Cálculos'!$C$213+'Cálculos'!$C$124*(1+2.78*('Cálculos'!$C$196+(($C39)-$A$6:$A$51)*'Cálculos'!$C$98)/(('Cálculos'!$C$196+(($C39)-$A$6:$A$51)*'Cálculos'!$C$98)+1400)+'Cálculos'!$C$122)*'Cálculos'!$C$218+'Cálculos'!$C$125*(1+2.78*('Cálculos'!$C$196+(($C39)-$A$6:$A$51)*'Cálculos'!$C$98)/(('Cálculos'!$C$196+(($C39)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39)-$A$6:$A$51)*'Cálculos'!$C$98)/(('Cálculos'!$C$197+(($C39)-$A$6:$A$51)*'Cálculos'!$C$98)+1400)+'Cálculos'!$C$122)*'Cálculos'!$C$229+'Cálculos'!$C$125*(1+2.78*('Cálculos'!$C$197+(($C39)-$A$6:$A$51)*'Cálculos'!$C$98)/(('Cálculos'!$C$197+(($C39)-$A$6:$A$51)*'Cálculos'!$C$98)+1400)+'Cálculos'!$C$123)*'Cálculos'!$C$234)+('Cálculos'!$C$197+(($C39)-$A$6:$A$51)*'Cálculos'!$C$98)*('Cálculos'!$C$225+'Cálculos'!$C$124*(1+2.78*('Cálculos'!$C$197+(($C39)-$A$6:$A$51)*'Cálculos'!$C$98)/(('Cálculos'!$C$197+(($C39)-$A$6:$A$51)*'Cálculos'!$C$98)+1400)+'Cálculos'!$C$122)*'Cálculos'!$C$230+'Cálculos'!$C$125*(1+2.78*('Cálculos'!$C$197+(($C39)-$A$6:$A$51)*'Cálculos'!$C$98)/(('Cálculos'!$C$197+(($C39)-$A$6:$A$51)*'Cálculos'!$C$98)+1400)+'Cálculos'!$C$123)*'Cálculos'!$C$235)+('Cálculos'!$C$201*(1+'Cálculos'!$C$202+$A$6:$A$51*('Cálculos'!$C$290=2)*'Cálculos'!$C$101)+'Cálculos'!$C$203)*('Cálculos'!$C$226+'Cálculos'!$C$124*(1+2.78*('Cálculos'!$C$197+(($C39)-$A$6:$A$51)*'Cálculos'!$C$98)/(('Cálculos'!$C$197+(($C39)-$A$6:$A$51)*'Cálculos'!$C$98)+1400)+'Cálculos'!$C$122)*'Cálculos'!$C$231+'Cálculos'!$C$125*(1+2.78*('Cálculos'!$C$197+(($C39)-$A$6:$A$51)*'Cálculos'!$C$98)/(('Cálculos'!$C$197+(($C39)-$A$6:$A$51)*'Cálculos'!$C$98)+1400)+'Cálculos'!$C$123)*'Cálculos'!$C$236)+('Cálculos'!$C$204*(1+'Cálculos'!$C$205+$A$6:$A$51*('Cálculos'!$C$290=3)*'Cálculos'!$C$103)+'Cálculos'!$C$206)*('Cálculos'!$C$227+'Cálculos'!$C$124*(1+2.78*('Cálculos'!$C$197+(($C39)-$A$6:$A$51)*'Cálculos'!$C$98)/(('Cálculos'!$C$197+(($C39)-$A$6:$A$51)*'Cálculos'!$C$98)+1400)+'Cálculos'!$C$122)*'Cálculos'!$C$232+'Cálculos'!$C$125*(1+2.78*('Cálculos'!$C$197+(($C39)-$A$6:$A$51)*'Cálculos'!$C$98)/(('Cálculos'!$C$197+(($C39)-$A$6:$A$51)*'Cálculos'!$C$98)+1400)+'Cálculos'!$C$123)*'Cálculos'!$C$237)+('Cálculos'!$C$228+'Cálculos'!$C$124*(1+2.78*('Cálculos'!$C$197+(($C39)-$A$6:$A$51)*'Cálculos'!$C$98)/(('Cálculos'!$C$197+(($C39)-$A$6:$A$51)*'Cálculos'!$C$98)+1400)+'Cálculos'!$C$122)*'Cálculos'!$C$233+'Cálculos'!$C$125*(1+2.78*('Cálculos'!$C$197+(($C39)-$A$6:$A$51)*'Cálculos'!$C$98)/(('Cálculos'!$C$197+(($C39)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39)-$A$6:$A$51)*'Cálculos'!$C$98)/(('Cálculos'!$C$198+(($C39)-$A$6:$A$51)*'Cálculos'!$C$98)+1400)+'Cálculos'!$C$122)*'Cálculos'!$C$244+'Cálculos'!$C$125*(1+2.78*('Cálculos'!$C$198+(($C39)-$A$6:$A$51)*'Cálculos'!$C$98)/(('Cálculos'!$C$198+(($C39)-$A$6:$A$51)*'Cálculos'!$C$98)+1400)+'Cálculos'!$C$123)*'Cálculos'!$C$249)+('Cálculos'!$C$198+(($C39)-$A$6:$A$51)*'Cálculos'!$C$98)*('Cálculos'!$C$240+'Cálculos'!$C$124*(1+2.78*('Cálculos'!$C$198+(($C39)-$A$6:$A$51)*'Cálculos'!$C$98)/(('Cálculos'!$C$198+(($C39)-$A$6:$A$51)*'Cálculos'!$C$98)+1400)+'Cálculos'!$C$122)*'Cálculos'!$C$245+'Cálculos'!$C$125*(1+2.78*('Cálculos'!$C$198+(($C39)-$A$6:$A$51)*'Cálculos'!$C$98)/(('Cálculos'!$C$198+(($C39)-$A$6:$A$51)*'Cálculos'!$C$98)+1400)+'Cálculos'!$C$123)*'Cálculos'!$C$250)+('Cálculos'!$C$201*(1+'Cálculos'!$C$202+$A$6:$A$51*('Cálculos'!$C$290=2)*'Cálculos'!$C$101)+'Cálculos'!$C$203)*('Cálculos'!$C$241+'Cálculos'!$C$124*(1+2.78*('Cálculos'!$C$198+(($C39)-$A$6:$A$51)*'Cálculos'!$C$98)/(('Cálculos'!$C$198+(($C39)-$A$6:$A$51)*'Cálculos'!$C$98)+1400)+'Cálculos'!$C$122)*'Cálculos'!$C$246+'Cálculos'!$C$125*(1+2.78*('Cálculos'!$C$198+(($C39)-$A$6:$A$51)*'Cálculos'!$C$98)/(('Cálculos'!$C$198+(($C39)-$A$6:$A$51)*'Cálculos'!$C$98)+1400)+'Cálculos'!$C$123)*'Cálculos'!$C$251)+('Cálculos'!$C$204*(1+'Cálculos'!$C$205+$A$6:$A$51*('Cálculos'!$C$290=3)*'Cálculos'!$C$103)+'Cálculos'!$C$206)*('Cálculos'!$C$242+'Cálculos'!$C$124*(1+2.78*('Cálculos'!$C$198+(($C39)-$A$6:$A$51)*'Cálculos'!$C$98)/(('Cálculos'!$C$198+(($C39)-$A$6:$A$51)*'Cálculos'!$C$98)+1400)+'Cálculos'!$C$122)*'Cálculos'!$C$247+'Cálculos'!$C$125*(1+2.78*('Cálculos'!$C$198+(($C39)-$A$6:$A$51)*'Cálculos'!$C$98)/(('Cálculos'!$C$198+(($C39)-$A$6:$A$51)*'Cálculos'!$C$98)+1400)+'Cálculos'!$C$123)*'Cálculos'!$C$252)+('Cálculos'!$C$243+'Cálculos'!$C$124*(1+2.78*('Cálculos'!$C$198+(($C39)-$A$6:$A$51)*'Cálculos'!$C$98)/(('Cálculos'!$C$198+(($C39)-$A$6:$A$51)*'Cálculos'!$C$98)+1400)+'Cálculos'!$C$122)*'Cálculos'!$C$248+'Cálculos'!$C$125*(1+2.78*('Cálculos'!$C$198+(($C39)-$A$6:$A$51)*'Cálculos'!$C$98)/(('Cálculos'!$C$198+(($C39)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39)-$A$6:$A$51)*'Cálculos'!$C$98)/(('Cálculos'!$C$199+(($C39)-$A$6:$A$51)*'Cálculos'!$C$98)+1400)+'Cálculos'!$C$122)*'Cálculos'!$C$259+'Cálculos'!$C$125*(1+2.78*('Cálculos'!$C$199+(($C39)-$A$6:$A$51)*'Cálculos'!$C$98)/(('Cálculos'!$C$199+(($C39)-$A$6:$A$51)*'Cálculos'!$C$98)+1400)+'Cálculos'!$C$123)*'Cálculos'!$C$264)+('Cálculos'!$C$199+(($C39)-$A$6:$A$51)*'Cálculos'!$C$98)*('Cálculos'!$C$255+'Cálculos'!$C$124*(1+2.78*('Cálculos'!$C$199+(($C39)-$A$6:$A$51)*'Cálculos'!$C$98)/(('Cálculos'!$C$199+(($C39)-$A$6:$A$51)*'Cálculos'!$C$98)+1400)+'Cálculos'!$C$122)*'Cálculos'!$C$260+'Cálculos'!$C$125*(1+2.78*('Cálculos'!$C$199+(($C39)-$A$6:$A$51)*'Cálculos'!$C$98)/(('Cálculos'!$C$199+(($C39)-$A$6:$A$51)*'Cálculos'!$C$98)+1400)+'Cálculos'!$C$123)*'Cálculos'!$C$265)+('Cálculos'!$C$201*(1+'Cálculos'!$C$202+$A$6:$A$51*('Cálculos'!$C$290=2)*'Cálculos'!$C$101)+'Cálculos'!$C$203)*('Cálculos'!$C$256+'Cálculos'!$C$124*(1+2.78*('Cálculos'!$C$199+(($C39)-$A$6:$A$51)*'Cálculos'!$C$98)/(('Cálculos'!$C$199+(($C39)-$A$6:$A$51)*'Cálculos'!$C$98)+1400)+'Cálculos'!$C$122)*'Cálculos'!$C$261+'Cálculos'!$C$125*(1+2.78*('Cálculos'!$C$199+(($C39)-$A$6:$A$51)*'Cálculos'!$C$98)/(('Cálculos'!$C$199+(($C39)-$A$6:$A$51)*'Cálculos'!$C$98)+1400)+'Cálculos'!$C$123)*'Cálculos'!$C$266)+('Cálculos'!$C$204*(1+'Cálculos'!$C$205+$A$6:$A$51*('Cálculos'!$C$290=3)*'Cálculos'!$C$103)+'Cálculos'!$C$206)*('Cálculos'!$C$257+'Cálculos'!$C$124*(1+2.78*('Cálculos'!$C$199+(($C39)-$A$6:$A$51)*'Cálculos'!$C$98)/(('Cálculos'!$C$199+(($C39)-$A$6:$A$51)*'Cálculos'!$C$98)+1400)+'Cálculos'!$C$122)*'Cálculos'!$C$262+'Cálculos'!$C$125*(1+2.78*('Cálculos'!$C$199+(($C39)-$A$6:$A$51)*'Cálculos'!$C$98)/(('Cálculos'!$C$199+(($C39)-$A$6:$A$51)*'Cálculos'!$C$98)+1400)+'Cálculos'!$C$123)*'Cálculos'!$C$267)+('Cálculos'!$C$258+'Cálculos'!$C$124*(1+2.78*('Cálculos'!$C$199+(($C39)-$A$6:$A$51)*'Cálculos'!$C$98)/(('Cálculos'!$C$199+(($C39)-$A$6:$A$51)*'Cálculos'!$C$98)+1400)+'Cálculos'!$C$122)*'Cálculos'!$C$263+'Cálculos'!$C$125*(1+2.78*('Cálculos'!$C$199+(($C39)-$A$6:$A$51)*'Cálculos'!$C$98)/(('Cálculos'!$C$199+(($C39)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39)-$A$6:$A$51)*'Cálculos'!$C$98)/(('Cálculos'!$C$200+(($C39)-$A$6:$A$51)*'Cálculos'!$C$98)+1400)+'Cálculos'!$C$122)*'Cálculos'!$C$274+'Cálculos'!$C$125*(1+2.78*('Cálculos'!$C$200+(($C39)-$A$6:$A$51)*'Cálculos'!$C$98)/(('Cálculos'!$C$200+(($C39)-$A$6:$A$51)*'Cálculos'!$C$98)+1400)+'Cálculos'!$C$123)*'Cálculos'!$C$279)+('Cálculos'!$C$200+(($C39)-$A$6:$A$51)*'Cálculos'!$C$98)*('Cálculos'!$C$270+'Cálculos'!$C$124*(1+2.78*('Cálculos'!$C$200+(($C39)-$A$6:$A$51)*'Cálculos'!$C$98)/(('Cálculos'!$C$200+(($C39)-$A$6:$A$51)*'Cálculos'!$C$98)+1400)+'Cálculos'!$C$122)*'Cálculos'!$C$275+'Cálculos'!$C$125*(1+2.78*('Cálculos'!$C$200+(($C39)-$A$6:$A$51)*'Cálculos'!$C$98)/(('Cálculos'!$C$200+(($C39)-$A$6:$A$51)*'Cálculos'!$C$98)+1400)+'Cálculos'!$C$123)*'Cálculos'!$C$280)+('Cálculos'!$C$201*(1+'Cálculos'!$C$202+$A$6:$A$51*('Cálculos'!$C$290=2)*'Cálculos'!$C$101)+'Cálculos'!$C$203)*('Cálculos'!$C$271+'Cálculos'!$C$124*(1+2.78*('Cálculos'!$C$200+(($C39)-$A$6:$A$51)*'Cálculos'!$C$98)/(('Cálculos'!$C$200+(($C39)-$A$6:$A$51)*'Cálculos'!$C$98)+1400)+'Cálculos'!$C$122)*'Cálculos'!$C$276+'Cálculos'!$C$125*(1+2.78*('Cálculos'!$C$200+(($C39)-$A$6:$A$51)*'Cálculos'!$C$98)/(('Cálculos'!$C$200+(($C39)-$A$6:$A$51)*'Cálculos'!$C$98)+1400)+'Cálculos'!$C$123)*'Cálculos'!$C$281)+('Cálculos'!$C$204*(1+'Cálculos'!$C$205+$A$6:$A$51*('Cálculos'!$C$290=3)*'Cálculos'!$C$103)+'Cálculos'!$C$206)*('Cálculos'!$C$272+'Cálculos'!$C$124*(1+2.78*('Cálculos'!$C$200+(($C39)-$A$6:$A$51)*'Cálculos'!$C$98)/(('Cálculos'!$C$200+(($C39)-$A$6:$A$51)*'Cálculos'!$C$98)+1400)+'Cálculos'!$C$122)*'Cálculos'!$C$277+'Cálculos'!$C$125*(1+2.78*('Cálculos'!$C$200+(($C39)-$A$6:$A$51)*'Cálculos'!$C$98)/(('Cálculos'!$C$200+(($C39)-$A$6:$A$51)*'Cálculos'!$C$98)+1400)+'Cálculos'!$C$123)*'Cálculos'!$C$282)+('Cálculos'!$C$273+'Cálculos'!$C$124*(1+2.78*('Cálculos'!$C$200+(($C39)-$A$6:$A$51)*'Cálculos'!$C$98)/(('Cálculos'!$C$200+(($C39)-$A$6:$A$51)*'Cálculos'!$C$98)+1400)+'Cálculos'!$C$122)*'Cálculos'!$C$278+'Cálculos'!$C$125*(1+2.78*('Cálculos'!$C$200+(($C39)-$A$6:$A$51)*'Cálculos'!$C$98)/(('Cálculos'!$C$200+(($C39)-$A$6:$A$51)*'Cálculos'!$C$98)+1400)+'Cálculos'!$C$123)*'Cálculos'!$C$283)))))</f>
        <v>0</v>
      </c>
      <c r="E39" s="32">
        <f>IF(OR($C39&lt;0,'Cálculos'!$C$6=""),0,$B39*$D39)</f>
        <v>0</v>
      </c>
      <c r="F39" s="2"/>
      <c r="G39" s="30">
        <f>($A39&lt;=$B$53)*($A39&lt;='Cálculos'!$C$294)*(($B$53)-$A39&lt;='Cálculos'!$C$295)*(1+MIN(('Cálculos'!$C$207+$A39*'Cálculos'!$C$95),1)*('Cálculos'!$C$208+(($B$53)-$A39)*'Cálculos'!$C$96))</f>
        <v>0</v>
      </c>
      <c r="H39" s="31">
        <f>IF($B$54&lt;0,0,($A39&lt;=$B$54)*($A39&lt;='Cálculos'!$C$301)*(($B$54)-$A39&lt;='Cálculos'!$C$297)*(('Cálculos'!$C$185*(1+'Cálculos'!$C$186+$A39*('Cálculos'!$C$290=1)*'Cálculos'!$C$97+'Cálculos'!$C$305)+'Cálculos'!$C$191)*('Cálculos'!$C$209+'Cálculos'!$C$124*(1+2.78*('Cálculos'!$C$196+(($B$54)-$A39)*'Cálculos'!$C$98)/(('Cálculos'!$C$196+(($B$54)-$A39)*'Cálculos'!$C$98)+1400)+'Cálculos'!$C$122)*'Cálculos'!$C$214+'Cálculos'!$C$125*(1+2.78*('Cálculos'!$C$196+(($B$54)-$A39)*'Cálculos'!$C$98)/(('Cálculos'!$C$196+(($B$54)-$A39)*'Cálculos'!$C$98)+1400)+'Cálculos'!$C$123)*'Cálculos'!$C$219)+('Cálculos'!$C$196+(($B$54)-$A39)*'Cálculos'!$C$98)*('Cálculos'!$C$210+'Cálculos'!$C$124*(1+2.78*('Cálculos'!$C$196+(($B$54)-$A39)*'Cálculos'!$C$98)/(('Cálculos'!$C$196+(($B$54)-$A39)*'Cálculos'!$C$98)+1400)+'Cálculos'!$C$122)*'Cálculos'!$C$215+'Cálculos'!$C$125*(1+2.78*('Cálculos'!$C$196+(($B$54)-$A39)*'Cálculos'!$C$98)/(('Cálculos'!$C$196+(($B$54)-$A39)*'Cálculos'!$C$98)+1400)+'Cálculos'!$C$123)*'Cálculos'!$C$220)+('Cálculos'!$C$201*(1+'Cálculos'!$C$202+$A39*('Cálculos'!$C$290=2)*'Cálculos'!$C$101)+'Cálculos'!$C$203)*('Cálculos'!$C$211+'Cálculos'!$C$124*(1+2.78*('Cálculos'!$C$196+(($B$54)-$A39)*'Cálculos'!$C$98)/(('Cálculos'!$C$196+(($B$54)-$A39)*'Cálculos'!$C$98)+1400)+'Cálculos'!$C$122)*'Cálculos'!$C$216+'Cálculos'!$C$125*(1+2.78*('Cálculos'!$C$196+(($B$54)-$A39)*'Cálculos'!$C$98)/(('Cálculos'!$C$196+(($B$54)-$A39)*'Cálculos'!$C$98)+1400)+'Cálculos'!$C$123)*'Cálculos'!$C$221)+('Cálculos'!$C$204*(1+'Cálculos'!$C$205+$A39*('Cálculos'!$C$290=3)*'Cálculos'!$C$103)+'Cálculos'!$C$206)*('Cálculos'!$C$212+'Cálculos'!$C$124*(1+2.78*('Cálculos'!$C$196+(($B$54)-$A39)*'Cálculos'!$C$98)/(('Cálculos'!$C$196+(($B$54)-$A39)*'Cálculos'!$C$98)+1400)+'Cálculos'!$C$122)*'Cálculos'!$C$217+'Cálculos'!$C$125*(1+2.78*('Cálculos'!$C$196+(($B$54)-$A39)*'Cálculos'!$C$98)/(('Cálculos'!$C$196+(($B$54)-$A39)*'Cálculos'!$C$98)+1400)+'Cálculos'!$C$123)*'Cálculos'!$C$222)+('Cálculos'!$C$213+'Cálculos'!$C$124*(1+2.78*('Cálculos'!$C$196+(($B$54)-$A39)*'Cálculos'!$C$98)/(('Cálculos'!$C$196+(($B$54)-$A39)*'Cálculos'!$C$98)+1400)+'Cálculos'!$C$122)*'Cálculos'!$C$218+'Cálculos'!$C$125*(1+2.78*('Cálculos'!$C$196+(($B$54)-$A39)*'Cálculos'!$C$98)/(('Cálculos'!$C$196+(($B$54)-$A39)*'Cálculos'!$C$98)+1400)+'Cálculos'!$C$123)*'Cálculos'!$C$223)+('Cálculos'!$C$185*(1+'Cálculos'!$C$187+$A39*('Cálculos'!$C$290=1)*'Cálculos'!$C$97+'Cálculos'!$C$305)+'Cálculos'!$C$192)*('Cálculos'!$C$224+'Cálculos'!$C$124*(1+2.78*('Cálculos'!$C$197+(($B$54)-$A39)*'Cálculos'!$C$98)/(('Cálculos'!$C$197+(($B$54)-$A39)*'Cálculos'!$C$98)+1400)+'Cálculos'!$C$122)*'Cálculos'!$C$229+'Cálculos'!$C$125*(1+2.78*('Cálculos'!$C$197+(($B$54)-$A39)*'Cálculos'!$C$98)/(('Cálculos'!$C$197+(($B$54)-$A39)*'Cálculos'!$C$98)+1400)+'Cálculos'!$C$123)*'Cálculos'!$C$234)+('Cálculos'!$C$197+(($B$54)-$A39)*'Cálculos'!$C$98)*('Cálculos'!$C$225+'Cálculos'!$C$124*(1+2.78*('Cálculos'!$C$197+(($B$54)-$A39)*'Cálculos'!$C$98)/(('Cálculos'!$C$197+(($B$54)-$A39)*'Cálculos'!$C$98)+1400)+'Cálculos'!$C$122)*'Cálculos'!$C$230+'Cálculos'!$C$125*(1+2.78*('Cálculos'!$C$197+(($B$54)-$A39)*'Cálculos'!$C$98)/(('Cálculos'!$C$197+(($B$54)-$A39)*'Cálculos'!$C$98)+1400)+'Cálculos'!$C$123)*'Cálculos'!$C$235)+('Cálculos'!$C$201*(1+'Cálculos'!$C$202+$A39*('Cálculos'!$C$290=2)*'Cálculos'!$C$101)+'Cálculos'!$C$203)*('Cálculos'!$C$226+'Cálculos'!$C$124*(1+2.78*('Cálculos'!$C$197+(($B$54)-$A39)*'Cálculos'!$C$98)/(('Cálculos'!$C$197+(($B$54)-$A39)*'Cálculos'!$C$98)+1400)+'Cálculos'!$C$122)*'Cálculos'!$C$231+'Cálculos'!$C$125*(1+2.78*('Cálculos'!$C$197+(($B$54)-$A39)*'Cálculos'!$C$98)/(('Cálculos'!$C$197+(($B$54)-$A39)*'Cálculos'!$C$98)+1400)+'Cálculos'!$C$123)*'Cálculos'!$C$236)+('Cálculos'!$C$204*(1+'Cálculos'!$C$205+$A39*('Cálculos'!$C$290=3)*'Cálculos'!$C$103)+'Cálculos'!$C$206)*('Cálculos'!$C$227+'Cálculos'!$C$124*(1+2.78*('Cálculos'!$C$197+(($B$54)-$A39)*'Cálculos'!$C$98)/(('Cálculos'!$C$197+(($B$54)-$A39)*'Cálculos'!$C$98)+1400)+'Cálculos'!$C$122)*'Cálculos'!$C$232+'Cálculos'!$C$125*(1+2.78*('Cálculos'!$C$197+(($B$54)-$A39)*'Cálculos'!$C$98)/(('Cálculos'!$C$197+(($B$54)-$A39)*'Cálculos'!$C$98)+1400)+'Cálculos'!$C$123)*'Cálculos'!$C$237)+('Cálculos'!$C$228+'Cálculos'!$C$124*(1+2.78*('Cálculos'!$C$197+(($B$54)-$A39)*'Cálculos'!$C$98)/(('Cálculos'!$C$197+(($B$54)-$A39)*'Cálculos'!$C$98)+1400)+'Cálculos'!$C$122)*'Cálculos'!$C$233+'Cálculos'!$C$125*(1+2.78*('Cálculos'!$C$197+(($B$54)-$A39)*'Cálculos'!$C$98)/(('Cálculos'!$C$197+(($B$54)-$A39)*'Cálculos'!$C$98)+1400)+'Cálculos'!$C$123)*'Cálculos'!$C$238)+('Cálculos'!$C$185*(1+'Cálculos'!$C$188+$A39*('Cálculos'!$C$290=1)*'Cálculos'!$C$97+'Cálculos'!$C$305)+'Cálculos'!$C$193)*('Cálculos'!$C$239+'Cálculos'!$C$124*(1+2.78*('Cálculos'!$C$198+(($B$54)-$A39)*'Cálculos'!$C$98)/(('Cálculos'!$C$198+(($B$54)-$A39)*'Cálculos'!$C$98)+1400)+'Cálculos'!$C$122)*'Cálculos'!$C$244+'Cálculos'!$C$125*(1+2.78*('Cálculos'!$C$198+(($B$54)-$A39)*'Cálculos'!$C$98)/(('Cálculos'!$C$198+(($B$54)-$A39)*'Cálculos'!$C$98)+1400)+'Cálculos'!$C$123)*'Cálculos'!$C$249)+('Cálculos'!$C$198+(($B$54)-$A39)*'Cálculos'!$C$98)*('Cálculos'!$C$240+'Cálculos'!$C$124*(1+2.78*('Cálculos'!$C$198+(($B$54)-$A39)*'Cálculos'!$C$98)/(('Cálculos'!$C$198+(($B$54)-$A39)*'Cálculos'!$C$98)+1400)+'Cálculos'!$C$122)*'Cálculos'!$C$245+'Cálculos'!$C$125*(1+2.78*('Cálculos'!$C$198+(($B$54)-$A39)*'Cálculos'!$C$98)/(('Cálculos'!$C$198+(($B$54)-$A39)*'Cálculos'!$C$98)+1400)+'Cálculos'!$C$123)*'Cálculos'!$C$250)+('Cálculos'!$C$201*(1+'Cálculos'!$C$202+$A39*('Cálculos'!$C$290=2)*'Cálculos'!$C$101)+'Cálculos'!$C$203)*('Cálculos'!$C$241+'Cálculos'!$C$124*(1+2.78*('Cálculos'!$C$198+(($B$54)-$A39)*'Cálculos'!$C$98)/(('Cálculos'!$C$198+(($B$54)-$A39)*'Cálculos'!$C$98)+1400)+'Cálculos'!$C$122)*'Cálculos'!$C$246+'Cálculos'!$C$125*(1+2.78*('Cálculos'!$C$198+(($B$54)-$A39)*'Cálculos'!$C$98)/(('Cálculos'!$C$198+(($B$54)-$A39)*'Cálculos'!$C$98)+1400)+'Cálculos'!$C$123)*'Cálculos'!$C$251)+('Cálculos'!$C$204*(1+'Cálculos'!$C$205+$A39*('Cálculos'!$C$290=3)*'Cálculos'!$C$103)+'Cálculos'!$C$206)*('Cálculos'!$C$242+'Cálculos'!$C$124*(1+2.78*('Cálculos'!$C$198+(($B$54)-$A39)*'Cálculos'!$C$98)/(('Cálculos'!$C$198+(($B$54)-$A39)*'Cálculos'!$C$98)+1400)+'Cálculos'!$C$122)*'Cálculos'!$C$247+'Cálculos'!$C$125*(1+2.78*('Cálculos'!$C$198+(($B$54)-$A39)*'Cálculos'!$C$98)/(('Cálculos'!$C$198+(($B$54)-$A39)*'Cálculos'!$C$98)+1400)+'Cálculos'!$C$123)*'Cálculos'!$C$252)+('Cálculos'!$C$243+'Cálculos'!$C$124*(1+2.78*('Cálculos'!$C$198+(($B$54)-$A39)*'Cálculos'!$C$98)/(('Cálculos'!$C$198+(($B$54)-$A39)*'Cálculos'!$C$98)+1400)+'Cálculos'!$C$122)*'Cálculos'!$C$248+'Cálculos'!$C$125*(1+2.78*('Cálculos'!$C$198+(($B$54)-$A39)*'Cálculos'!$C$98)/(('Cálculos'!$C$198+(($B$54)-$A39)*'Cálculos'!$C$98)+1400)+'Cálculos'!$C$123)*'Cálculos'!$C$253)+('Cálculos'!$C$185*(1+'Cálculos'!$C$189+$A39*('Cálculos'!$C$290=1)*'Cálculos'!$C$97+'Cálculos'!$C$305)+'Cálculos'!$C$194)*('Cálculos'!$C$254+'Cálculos'!$C$124*(1+2.78*('Cálculos'!$C$199+(($B$54)-$A39)*'Cálculos'!$C$98)/(('Cálculos'!$C$199+(($B$54)-$A39)*'Cálculos'!$C$98)+1400)+'Cálculos'!$C$122)*'Cálculos'!$C$259+'Cálculos'!$C$125*(1+2.78*('Cálculos'!$C$199+(($B$54)-$A39)*'Cálculos'!$C$98)/(('Cálculos'!$C$199+(($B$54)-$A39)*'Cálculos'!$C$98)+1400)+'Cálculos'!$C$123)*'Cálculos'!$C$264)+('Cálculos'!$C$199+(($B$54)-$A39)*'Cálculos'!$C$98)*('Cálculos'!$C$255+'Cálculos'!$C$124*(1+2.78*('Cálculos'!$C$199+(($B$54)-$A39)*'Cálculos'!$C$98)/(('Cálculos'!$C$199+(($B$54)-$A39)*'Cálculos'!$C$98)+1400)+'Cálculos'!$C$122)*'Cálculos'!$C$260+'Cálculos'!$C$125*(1+2.78*('Cálculos'!$C$199+(($B$54)-$A39)*'Cálculos'!$C$98)/(('Cálculos'!$C$199+(($B$54)-$A39)*'Cálculos'!$C$98)+1400)+'Cálculos'!$C$123)*'Cálculos'!$C$265)+('Cálculos'!$C$201*(1+'Cálculos'!$C$202+$A39*('Cálculos'!$C$290=2)*'Cálculos'!$C$101)+'Cálculos'!$C$203)*('Cálculos'!$C$256+'Cálculos'!$C$124*(1+2.78*('Cálculos'!$C$199+(($B$54)-$A39)*'Cálculos'!$C$98)/(('Cálculos'!$C$199+(($B$54)-$A39)*'Cálculos'!$C$98)+1400)+'Cálculos'!$C$122)*'Cálculos'!$C$261+'Cálculos'!$C$125*(1+2.78*('Cálculos'!$C$199+(($B$54)-$A39)*'Cálculos'!$C$98)/(('Cálculos'!$C$199+(($B$54)-$A39)*'Cálculos'!$C$98)+1400)+'Cálculos'!$C$123)*'Cálculos'!$C$266)+('Cálculos'!$C$204*(1+'Cálculos'!$C$205+$A39*('Cálculos'!$C$290=3)*'Cálculos'!$C$103)+'Cálculos'!$C$206)*('Cálculos'!$C$257+'Cálculos'!$C$124*(1+2.78*('Cálculos'!$C$199+(($B$54)-$A39)*'Cálculos'!$C$98)/(('Cálculos'!$C$199+(($B$54)-$A39)*'Cálculos'!$C$98)+1400)+'Cálculos'!$C$122)*'Cálculos'!$C$262+'Cálculos'!$C$125*(1+2.78*('Cálculos'!$C$199+(($B$54)-$A39)*'Cálculos'!$C$98)/(('Cálculos'!$C$199+(($B$54)-$A39)*'Cálculos'!$C$98)+1400)+'Cálculos'!$C$123)*'Cálculos'!$C$267)+('Cálculos'!$C$258+'Cálculos'!$C$124*(1+2.78*('Cálculos'!$C$199+(($B$54)-$A39)*'Cálculos'!$C$98)/(('Cálculos'!$C$199+(($B$54)-$A39)*'Cálculos'!$C$98)+1400)+'Cálculos'!$C$122)*'Cálculos'!$C$263+'Cálculos'!$C$125*(1+2.78*('Cálculos'!$C$199+(($B$54)-$A39)*'Cálculos'!$C$98)/(('Cálculos'!$C$199+(($B$54)-$A39)*'Cálculos'!$C$98)+1400)+'Cálculos'!$C$123)*'Cálculos'!$C$268)+('Cálculos'!$C$185*(1+'Cálculos'!$C$190+$A39*('Cálculos'!$C$290=1)*'Cálculos'!$C$97+'Cálculos'!$C$305)+'Cálculos'!$C$195)*('Cálculos'!$C$269+'Cálculos'!$C$124*(1+2.78*('Cálculos'!$C$200+(($B$54)-$A39)*'Cálculos'!$C$98)/(('Cálculos'!$C$200+(($B$54)-$A39)*'Cálculos'!$C$98)+1400)+'Cálculos'!$C$122)*'Cálculos'!$C$274+'Cálculos'!$C$125*(1+2.78*('Cálculos'!$C$200+(($B$54)-$A39)*'Cálculos'!$C$98)/(('Cálculos'!$C$200+(($B$54)-$A39)*'Cálculos'!$C$98)+1400)+'Cálculos'!$C$123)*'Cálculos'!$C$279)+('Cálculos'!$C$200+(($B$54)-$A39)*'Cálculos'!$C$98)*('Cálculos'!$C$270+'Cálculos'!$C$124*(1+2.78*('Cálculos'!$C$200+(($B$54)-$A39)*'Cálculos'!$C$98)/(('Cálculos'!$C$200+(($B$54)-$A39)*'Cálculos'!$C$98)+1400)+'Cálculos'!$C$122)*'Cálculos'!$C$275+'Cálculos'!$C$125*(1+2.78*('Cálculos'!$C$200+(($B$54)-$A39)*'Cálculos'!$C$98)/(('Cálculos'!$C$200+(($B$54)-$A39)*'Cálculos'!$C$98)+1400)+'Cálculos'!$C$123)*'Cálculos'!$C$280)+('Cálculos'!$C$201*(1+'Cálculos'!$C$202+$A39*('Cálculos'!$C$290=2)*'Cálculos'!$C$101)+'Cálculos'!$C$203)*('Cálculos'!$C$271+'Cálculos'!$C$124*(1+2.78*('Cálculos'!$C$200+(($B$54)-$A39)*'Cálculos'!$C$98)/(('Cálculos'!$C$200+(($B$54)-$A39)*'Cálculos'!$C$98)+1400)+'Cálculos'!$C$122)*'Cálculos'!$C$276+'Cálculos'!$C$125*(1+2.78*('Cálculos'!$C$200+(($B$54)-$A39)*'Cálculos'!$C$98)/(('Cálculos'!$C$200+(($B$54)-$A39)*'Cálculos'!$C$98)+1400)+'Cálculos'!$C$123)*'Cálculos'!$C$281)+('Cálculos'!$C$204*(1+'Cálculos'!$C$205+$A39*('Cálculos'!$C$290=3)*'Cálculos'!$C$103)+'Cálculos'!$C$206)*('Cálculos'!$C$272+'Cálculos'!$C$124*(1+2.78*('Cálculos'!$C$200+(($B$54)-$A39)*'Cálculos'!$C$98)/(('Cálculos'!$C$200+(($B$54)-$A39)*'Cálculos'!$C$98)+1400)+'Cálculos'!$C$122)*'Cálculos'!$C$277+'Cálculos'!$C$125*(1+2.78*('Cálculos'!$C$200+(($B$54)-$A39)*'Cálculos'!$C$98)/(('Cálculos'!$C$200+(($B$54)-$A39)*'Cálculos'!$C$98)+1400)+'Cálculos'!$C$123)*'Cálculos'!$C$282)+('Cálculos'!$C$273+'Cálculos'!$C$124*(1+2.78*('Cálculos'!$C$200+(($B$54)-$A39)*'Cálculos'!$C$98)/(('Cálculos'!$C$200+(($B$54)-$A39)*'Cálculos'!$C$98)+1400)+'Cálculos'!$C$122)*'Cálculos'!$C$278+'Cálculos'!$C$125*(1+2.78*('Cálculos'!$C$200+(($B$54)-$A39)*'Cálculos'!$C$98)/(('Cálculos'!$C$200+(($B$54)-$A39)*'Cálculos'!$C$98)+1400)+'Cálculos'!$C$123)*'Cálculos'!$C$283)))</f>
        <v>0</v>
      </c>
    </row>
    <row r="40" ht="15.75" customHeight="1">
      <c r="A40" s="2">
        <v>34.0</v>
      </c>
      <c r="B40" s="30">
        <f>SUMPRODUCT(MAX(($A$6:$A$51&lt;=$A40)*($A$6:$A$51&lt;='Cálculos'!$C$294)*(($A40)-$A$6:$A$51&lt;='Cálculos'!$C$295)*(1+(('Cálculos'!$C$207+$A$6:$A$51*'Cálculos'!$C$95)-(('Cálculos'!$C$207+$A$6:$A$51*'Cálculos'!$C$95)&gt;1)*(('Cálculos'!$C$207+$A$6:$A$51*'Cálculos'!$C$95)-1))*('Cálculos'!$C$208+(($A40)-$A$6:$A$51)*'Cálculos'!$C$96))))</f>
        <v>4.44</v>
      </c>
      <c r="C40" s="2">
        <f>'Cálculos'!$C$303-$A40</f>
        <v>-14</v>
      </c>
      <c r="D40" s="31">
        <f>IF($C40&lt;0,0,SUMPRODUCT(MAX(($A$6:$A$51&lt;=$C40)*($A$6:$A$51&lt;='Cálculos'!$C$301)*(($C40)-$A$6:$A$51&lt;='Cálculos'!$C$297)*(('Cálculos'!$C$185*(1+'Cálculos'!$C$186+$A$6:$A$51*('Cálculos'!$C$290=1)*'Cálculos'!$C$97+'Cálculos'!$C$305)+'Cálculos'!$C$191)*('Cálculos'!$C$209+'Cálculos'!$C$124*(1+2.78*('Cálculos'!$C$196+(($C40)-$A$6:$A$51)*'Cálculos'!$C$98)/(('Cálculos'!$C$196+(($C40)-$A$6:$A$51)*'Cálculos'!$C$98)+1400)+'Cálculos'!$C$122)*'Cálculos'!$C$214+'Cálculos'!$C$125*(1+2.78*('Cálculos'!$C$196+(($C40)-$A$6:$A$51)*'Cálculos'!$C$98)/(('Cálculos'!$C$196+(($C40)-$A$6:$A$51)*'Cálculos'!$C$98)+1400)+'Cálculos'!$C$123)*'Cálculos'!$C$219)+('Cálculos'!$C$196+(($C40)-$A$6:$A$51)*'Cálculos'!$C$98)*('Cálculos'!$C$210+'Cálculos'!$C$124*(1+2.78*('Cálculos'!$C$196+(($C40)-$A$6:$A$51)*'Cálculos'!$C$98)/(('Cálculos'!$C$196+(($C40)-$A$6:$A$51)*'Cálculos'!$C$98)+1400)+'Cálculos'!$C$122)*'Cálculos'!$C$215+'Cálculos'!$C$125*(1+2.78*('Cálculos'!$C$196+(($C40)-$A$6:$A$51)*'Cálculos'!$C$98)/(('Cálculos'!$C$196+(($C40)-$A$6:$A$51)*'Cálculos'!$C$98)+1400)+'Cálculos'!$C$123)*'Cálculos'!$C$220)+('Cálculos'!$C$201*(1+'Cálculos'!$C$202+$A$6:$A$51*('Cálculos'!$C$290=2)*'Cálculos'!$C$101)+'Cálculos'!$C$203)*('Cálculos'!$C$211+'Cálculos'!$C$124*(1+2.78*('Cálculos'!$C$196+(($C40)-$A$6:$A$51)*'Cálculos'!$C$98)/(('Cálculos'!$C$196+(($C40)-$A$6:$A$51)*'Cálculos'!$C$98)+1400)+'Cálculos'!$C$122)*'Cálculos'!$C$216+'Cálculos'!$C$125*(1+2.78*('Cálculos'!$C$196+(($C40)-$A$6:$A$51)*'Cálculos'!$C$98)/(('Cálculos'!$C$196+(($C40)-$A$6:$A$51)*'Cálculos'!$C$98)+1400)+'Cálculos'!$C$123)*'Cálculos'!$C$221)+('Cálculos'!$C$204*(1+'Cálculos'!$C$205+$A$6:$A$51*('Cálculos'!$C$290=3)*'Cálculos'!$C$103)+'Cálculos'!$C$206)*('Cálculos'!$C$212+'Cálculos'!$C$124*(1+2.78*('Cálculos'!$C$196+(($C40)-$A$6:$A$51)*'Cálculos'!$C$98)/(('Cálculos'!$C$196+(($C40)-$A$6:$A$51)*'Cálculos'!$C$98)+1400)+'Cálculos'!$C$122)*'Cálculos'!$C$217+'Cálculos'!$C$125*(1+2.78*('Cálculos'!$C$196+(($C40)-$A$6:$A$51)*'Cálculos'!$C$98)/(('Cálculos'!$C$196+(($C40)-$A$6:$A$51)*'Cálculos'!$C$98)+1400)+'Cálculos'!$C$123)*'Cálculos'!$C$222)+('Cálculos'!$C$213+'Cálculos'!$C$124*(1+2.78*('Cálculos'!$C$196+(($C40)-$A$6:$A$51)*'Cálculos'!$C$98)/(('Cálculos'!$C$196+(($C40)-$A$6:$A$51)*'Cálculos'!$C$98)+1400)+'Cálculos'!$C$122)*'Cálculos'!$C$218+'Cálculos'!$C$125*(1+2.78*('Cálculos'!$C$196+(($C40)-$A$6:$A$51)*'Cálculos'!$C$98)/(('Cálculos'!$C$196+(($C40)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40)-$A$6:$A$51)*'Cálculos'!$C$98)/(('Cálculos'!$C$197+(($C40)-$A$6:$A$51)*'Cálculos'!$C$98)+1400)+'Cálculos'!$C$122)*'Cálculos'!$C$229+'Cálculos'!$C$125*(1+2.78*('Cálculos'!$C$197+(($C40)-$A$6:$A$51)*'Cálculos'!$C$98)/(('Cálculos'!$C$197+(($C40)-$A$6:$A$51)*'Cálculos'!$C$98)+1400)+'Cálculos'!$C$123)*'Cálculos'!$C$234)+('Cálculos'!$C$197+(($C40)-$A$6:$A$51)*'Cálculos'!$C$98)*('Cálculos'!$C$225+'Cálculos'!$C$124*(1+2.78*('Cálculos'!$C$197+(($C40)-$A$6:$A$51)*'Cálculos'!$C$98)/(('Cálculos'!$C$197+(($C40)-$A$6:$A$51)*'Cálculos'!$C$98)+1400)+'Cálculos'!$C$122)*'Cálculos'!$C$230+'Cálculos'!$C$125*(1+2.78*('Cálculos'!$C$197+(($C40)-$A$6:$A$51)*'Cálculos'!$C$98)/(('Cálculos'!$C$197+(($C40)-$A$6:$A$51)*'Cálculos'!$C$98)+1400)+'Cálculos'!$C$123)*'Cálculos'!$C$235)+('Cálculos'!$C$201*(1+'Cálculos'!$C$202+$A$6:$A$51*('Cálculos'!$C$290=2)*'Cálculos'!$C$101)+'Cálculos'!$C$203)*('Cálculos'!$C$226+'Cálculos'!$C$124*(1+2.78*('Cálculos'!$C$197+(($C40)-$A$6:$A$51)*'Cálculos'!$C$98)/(('Cálculos'!$C$197+(($C40)-$A$6:$A$51)*'Cálculos'!$C$98)+1400)+'Cálculos'!$C$122)*'Cálculos'!$C$231+'Cálculos'!$C$125*(1+2.78*('Cálculos'!$C$197+(($C40)-$A$6:$A$51)*'Cálculos'!$C$98)/(('Cálculos'!$C$197+(($C40)-$A$6:$A$51)*'Cálculos'!$C$98)+1400)+'Cálculos'!$C$123)*'Cálculos'!$C$236)+('Cálculos'!$C$204*(1+'Cálculos'!$C$205+$A$6:$A$51*('Cálculos'!$C$290=3)*'Cálculos'!$C$103)+'Cálculos'!$C$206)*('Cálculos'!$C$227+'Cálculos'!$C$124*(1+2.78*('Cálculos'!$C$197+(($C40)-$A$6:$A$51)*'Cálculos'!$C$98)/(('Cálculos'!$C$197+(($C40)-$A$6:$A$51)*'Cálculos'!$C$98)+1400)+'Cálculos'!$C$122)*'Cálculos'!$C$232+'Cálculos'!$C$125*(1+2.78*('Cálculos'!$C$197+(($C40)-$A$6:$A$51)*'Cálculos'!$C$98)/(('Cálculos'!$C$197+(($C40)-$A$6:$A$51)*'Cálculos'!$C$98)+1400)+'Cálculos'!$C$123)*'Cálculos'!$C$237)+('Cálculos'!$C$228+'Cálculos'!$C$124*(1+2.78*('Cálculos'!$C$197+(($C40)-$A$6:$A$51)*'Cálculos'!$C$98)/(('Cálculos'!$C$197+(($C40)-$A$6:$A$51)*'Cálculos'!$C$98)+1400)+'Cálculos'!$C$122)*'Cálculos'!$C$233+'Cálculos'!$C$125*(1+2.78*('Cálculos'!$C$197+(($C40)-$A$6:$A$51)*'Cálculos'!$C$98)/(('Cálculos'!$C$197+(($C40)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40)-$A$6:$A$51)*'Cálculos'!$C$98)/(('Cálculos'!$C$198+(($C40)-$A$6:$A$51)*'Cálculos'!$C$98)+1400)+'Cálculos'!$C$122)*'Cálculos'!$C$244+'Cálculos'!$C$125*(1+2.78*('Cálculos'!$C$198+(($C40)-$A$6:$A$51)*'Cálculos'!$C$98)/(('Cálculos'!$C$198+(($C40)-$A$6:$A$51)*'Cálculos'!$C$98)+1400)+'Cálculos'!$C$123)*'Cálculos'!$C$249)+('Cálculos'!$C$198+(($C40)-$A$6:$A$51)*'Cálculos'!$C$98)*('Cálculos'!$C$240+'Cálculos'!$C$124*(1+2.78*('Cálculos'!$C$198+(($C40)-$A$6:$A$51)*'Cálculos'!$C$98)/(('Cálculos'!$C$198+(($C40)-$A$6:$A$51)*'Cálculos'!$C$98)+1400)+'Cálculos'!$C$122)*'Cálculos'!$C$245+'Cálculos'!$C$125*(1+2.78*('Cálculos'!$C$198+(($C40)-$A$6:$A$51)*'Cálculos'!$C$98)/(('Cálculos'!$C$198+(($C40)-$A$6:$A$51)*'Cálculos'!$C$98)+1400)+'Cálculos'!$C$123)*'Cálculos'!$C$250)+('Cálculos'!$C$201*(1+'Cálculos'!$C$202+$A$6:$A$51*('Cálculos'!$C$290=2)*'Cálculos'!$C$101)+'Cálculos'!$C$203)*('Cálculos'!$C$241+'Cálculos'!$C$124*(1+2.78*('Cálculos'!$C$198+(($C40)-$A$6:$A$51)*'Cálculos'!$C$98)/(('Cálculos'!$C$198+(($C40)-$A$6:$A$51)*'Cálculos'!$C$98)+1400)+'Cálculos'!$C$122)*'Cálculos'!$C$246+'Cálculos'!$C$125*(1+2.78*('Cálculos'!$C$198+(($C40)-$A$6:$A$51)*'Cálculos'!$C$98)/(('Cálculos'!$C$198+(($C40)-$A$6:$A$51)*'Cálculos'!$C$98)+1400)+'Cálculos'!$C$123)*'Cálculos'!$C$251)+('Cálculos'!$C$204*(1+'Cálculos'!$C$205+$A$6:$A$51*('Cálculos'!$C$290=3)*'Cálculos'!$C$103)+'Cálculos'!$C$206)*('Cálculos'!$C$242+'Cálculos'!$C$124*(1+2.78*('Cálculos'!$C$198+(($C40)-$A$6:$A$51)*'Cálculos'!$C$98)/(('Cálculos'!$C$198+(($C40)-$A$6:$A$51)*'Cálculos'!$C$98)+1400)+'Cálculos'!$C$122)*'Cálculos'!$C$247+'Cálculos'!$C$125*(1+2.78*('Cálculos'!$C$198+(($C40)-$A$6:$A$51)*'Cálculos'!$C$98)/(('Cálculos'!$C$198+(($C40)-$A$6:$A$51)*'Cálculos'!$C$98)+1400)+'Cálculos'!$C$123)*'Cálculos'!$C$252)+('Cálculos'!$C$243+'Cálculos'!$C$124*(1+2.78*('Cálculos'!$C$198+(($C40)-$A$6:$A$51)*'Cálculos'!$C$98)/(('Cálculos'!$C$198+(($C40)-$A$6:$A$51)*'Cálculos'!$C$98)+1400)+'Cálculos'!$C$122)*'Cálculos'!$C$248+'Cálculos'!$C$125*(1+2.78*('Cálculos'!$C$198+(($C40)-$A$6:$A$51)*'Cálculos'!$C$98)/(('Cálculos'!$C$198+(($C40)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40)-$A$6:$A$51)*'Cálculos'!$C$98)/(('Cálculos'!$C$199+(($C40)-$A$6:$A$51)*'Cálculos'!$C$98)+1400)+'Cálculos'!$C$122)*'Cálculos'!$C$259+'Cálculos'!$C$125*(1+2.78*('Cálculos'!$C$199+(($C40)-$A$6:$A$51)*'Cálculos'!$C$98)/(('Cálculos'!$C$199+(($C40)-$A$6:$A$51)*'Cálculos'!$C$98)+1400)+'Cálculos'!$C$123)*'Cálculos'!$C$264)+('Cálculos'!$C$199+(($C40)-$A$6:$A$51)*'Cálculos'!$C$98)*('Cálculos'!$C$255+'Cálculos'!$C$124*(1+2.78*('Cálculos'!$C$199+(($C40)-$A$6:$A$51)*'Cálculos'!$C$98)/(('Cálculos'!$C$199+(($C40)-$A$6:$A$51)*'Cálculos'!$C$98)+1400)+'Cálculos'!$C$122)*'Cálculos'!$C$260+'Cálculos'!$C$125*(1+2.78*('Cálculos'!$C$199+(($C40)-$A$6:$A$51)*'Cálculos'!$C$98)/(('Cálculos'!$C$199+(($C40)-$A$6:$A$51)*'Cálculos'!$C$98)+1400)+'Cálculos'!$C$123)*'Cálculos'!$C$265)+('Cálculos'!$C$201*(1+'Cálculos'!$C$202+$A$6:$A$51*('Cálculos'!$C$290=2)*'Cálculos'!$C$101)+'Cálculos'!$C$203)*('Cálculos'!$C$256+'Cálculos'!$C$124*(1+2.78*('Cálculos'!$C$199+(($C40)-$A$6:$A$51)*'Cálculos'!$C$98)/(('Cálculos'!$C$199+(($C40)-$A$6:$A$51)*'Cálculos'!$C$98)+1400)+'Cálculos'!$C$122)*'Cálculos'!$C$261+'Cálculos'!$C$125*(1+2.78*('Cálculos'!$C$199+(($C40)-$A$6:$A$51)*'Cálculos'!$C$98)/(('Cálculos'!$C$199+(($C40)-$A$6:$A$51)*'Cálculos'!$C$98)+1400)+'Cálculos'!$C$123)*'Cálculos'!$C$266)+('Cálculos'!$C$204*(1+'Cálculos'!$C$205+$A$6:$A$51*('Cálculos'!$C$290=3)*'Cálculos'!$C$103)+'Cálculos'!$C$206)*('Cálculos'!$C$257+'Cálculos'!$C$124*(1+2.78*('Cálculos'!$C$199+(($C40)-$A$6:$A$51)*'Cálculos'!$C$98)/(('Cálculos'!$C$199+(($C40)-$A$6:$A$51)*'Cálculos'!$C$98)+1400)+'Cálculos'!$C$122)*'Cálculos'!$C$262+'Cálculos'!$C$125*(1+2.78*('Cálculos'!$C$199+(($C40)-$A$6:$A$51)*'Cálculos'!$C$98)/(('Cálculos'!$C$199+(($C40)-$A$6:$A$51)*'Cálculos'!$C$98)+1400)+'Cálculos'!$C$123)*'Cálculos'!$C$267)+('Cálculos'!$C$258+'Cálculos'!$C$124*(1+2.78*('Cálculos'!$C$199+(($C40)-$A$6:$A$51)*'Cálculos'!$C$98)/(('Cálculos'!$C$199+(($C40)-$A$6:$A$51)*'Cálculos'!$C$98)+1400)+'Cálculos'!$C$122)*'Cálculos'!$C$263+'Cálculos'!$C$125*(1+2.78*('Cálculos'!$C$199+(($C40)-$A$6:$A$51)*'Cálculos'!$C$98)/(('Cálculos'!$C$199+(($C40)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40)-$A$6:$A$51)*'Cálculos'!$C$98)/(('Cálculos'!$C$200+(($C40)-$A$6:$A$51)*'Cálculos'!$C$98)+1400)+'Cálculos'!$C$122)*'Cálculos'!$C$274+'Cálculos'!$C$125*(1+2.78*('Cálculos'!$C$200+(($C40)-$A$6:$A$51)*'Cálculos'!$C$98)/(('Cálculos'!$C$200+(($C40)-$A$6:$A$51)*'Cálculos'!$C$98)+1400)+'Cálculos'!$C$123)*'Cálculos'!$C$279)+('Cálculos'!$C$200+(($C40)-$A$6:$A$51)*'Cálculos'!$C$98)*('Cálculos'!$C$270+'Cálculos'!$C$124*(1+2.78*('Cálculos'!$C$200+(($C40)-$A$6:$A$51)*'Cálculos'!$C$98)/(('Cálculos'!$C$200+(($C40)-$A$6:$A$51)*'Cálculos'!$C$98)+1400)+'Cálculos'!$C$122)*'Cálculos'!$C$275+'Cálculos'!$C$125*(1+2.78*('Cálculos'!$C$200+(($C40)-$A$6:$A$51)*'Cálculos'!$C$98)/(('Cálculos'!$C$200+(($C40)-$A$6:$A$51)*'Cálculos'!$C$98)+1400)+'Cálculos'!$C$123)*'Cálculos'!$C$280)+('Cálculos'!$C$201*(1+'Cálculos'!$C$202+$A$6:$A$51*('Cálculos'!$C$290=2)*'Cálculos'!$C$101)+'Cálculos'!$C$203)*('Cálculos'!$C$271+'Cálculos'!$C$124*(1+2.78*('Cálculos'!$C$200+(($C40)-$A$6:$A$51)*'Cálculos'!$C$98)/(('Cálculos'!$C$200+(($C40)-$A$6:$A$51)*'Cálculos'!$C$98)+1400)+'Cálculos'!$C$122)*'Cálculos'!$C$276+'Cálculos'!$C$125*(1+2.78*('Cálculos'!$C$200+(($C40)-$A$6:$A$51)*'Cálculos'!$C$98)/(('Cálculos'!$C$200+(($C40)-$A$6:$A$51)*'Cálculos'!$C$98)+1400)+'Cálculos'!$C$123)*'Cálculos'!$C$281)+('Cálculos'!$C$204*(1+'Cálculos'!$C$205+$A$6:$A$51*('Cálculos'!$C$290=3)*'Cálculos'!$C$103)+'Cálculos'!$C$206)*('Cálculos'!$C$272+'Cálculos'!$C$124*(1+2.78*('Cálculos'!$C$200+(($C40)-$A$6:$A$51)*'Cálculos'!$C$98)/(('Cálculos'!$C$200+(($C40)-$A$6:$A$51)*'Cálculos'!$C$98)+1400)+'Cálculos'!$C$122)*'Cálculos'!$C$277+'Cálculos'!$C$125*(1+2.78*('Cálculos'!$C$200+(($C40)-$A$6:$A$51)*'Cálculos'!$C$98)/(('Cálculos'!$C$200+(($C40)-$A$6:$A$51)*'Cálculos'!$C$98)+1400)+'Cálculos'!$C$123)*'Cálculos'!$C$282)+('Cálculos'!$C$273+'Cálculos'!$C$124*(1+2.78*('Cálculos'!$C$200+(($C40)-$A$6:$A$51)*'Cálculos'!$C$98)/(('Cálculos'!$C$200+(($C40)-$A$6:$A$51)*'Cálculos'!$C$98)+1400)+'Cálculos'!$C$122)*'Cálculos'!$C$278+'Cálculos'!$C$125*(1+2.78*('Cálculos'!$C$200+(($C40)-$A$6:$A$51)*'Cálculos'!$C$98)/(('Cálculos'!$C$200+(($C40)-$A$6:$A$51)*'Cálculos'!$C$98)+1400)+'Cálculos'!$C$123)*'Cálculos'!$C$283)))))</f>
        <v>0</v>
      </c>
      <c r="E40" s="32">
        <f>IF(OR($C40&lt;0,'Cálculos'!$C$6=""),0,$B40*$D40)</f>
        <v>0</v>
      </c>
      <c r="F40" s="2"/>
      <c r="G40" s="30">
        <f>($A40&lt;=$B$53)*($A40&lt;='Cálculos'!$C$294)*(($B$53)-$A40&lt;='Cálculos'!$C$295)*(1+MIN(('Cálculos'!$C$207+$A40*'Cálculos'!$C$95),1)*('Cálculos'!$C$208+(($B$53)-$A40)*'Cálculos'!$C$96))</f>
        <v>0</v>
      </c>
      <c r="H40" s="31">
        <f>IF($B$54&lt;0,0,($A40&lt;=$B$54)*($A40&lt;='Cálculos'!$C$301)*(($B$54)-$A40&lt;='Cálculos'!$C$297)*(('Cálculos'!$C$185*(1+'Cálculos'!$C$186+$A40*('Cálculos'!$C$290=1)*'Cálculos'!$C$97+'Cálculos'!$C$305)+'Cálculos'!$C$191)*('Cálculos'!$C$209+'Cálculos'!$C$124*(1+2.78*('Cálculos'!$C$196+(($B$54)-$A40)*'Cálculos'!$C$98)/(('Cálculos'!$C$196+(($B$54)-$A40)*'Cálculos'!$C$98)+1400)+'Cálculos'!$C$122)*'Cálculos'!$C$214+'Cálculos'!$C$125*(1+2.78*('Cálculos'!$C$196+(($B$54)-$A40)*'Cálculos'!$C$98)/(('Cálculos'!$C$196+(($B$54)-$A40)*'Cálculos'!$C$98)+1400)+'Cálculos'!$C$123)*'Cálculos'!$C$219)+('Cálculos'!$C$196+(($B$54)-$A40)*'Cálculos'!$C$98)*('Cálculos'!$C$210+'Cálculos'!$C$124*(1+2.78*('Cálculos'!$C$196+(($B$54)-$A40)*'Cálculos'!$C$98)/(('Cálculos'!$C$196+(($B$54)-$A40)*'Cálculos'!$C$98)+1400)+'Cálculos'!$C$122)*'Cálculos'!$C$215+'Cálculos'!$C$125*(1+2.78*('Cálculos'!$C$196+(($B$54)-$A40)*'Cálculos'!$C$98)/(('Cálculos'!$C$196+(($B$54)-$A40)*'Cálculos'!$C$98)+1400)+'Cálculos'!$C$123)*'Cálculos'!$C$220)+('Cálculos'!$C$201*(1+'Cálculos'!$C$202+$A40*('Cálculos'!$C$290=2)*'Cálculos'!$C$101)+'Cálculos'!$C$203)*('Cálculos'!$C$211+'Cálculos'!$C$124*(1+2.78*('Cálculos'!$C$196+(($B$54)-$A40)*'Cálculos'!$C$98)/(('Cálculos'!$C$196+(($B$54)-$A40)*'Cálculos'!$C$98)+1400)+'Cálculos'!$C$122)*'Cálculos'!$C$216+'Cálculos'!$C$125*(1+2.78*('Cálculos'!$C$196+(($B$54)-$A40)*'Cálculos'!$C$98)/(('Cálculos'!$C$196+(($B$54)-$A40)*'Cálculos'!$C$98)+1400)+'Cálculos'!$C$123)*'Cálculos'!$C$221)+('Cálculos'!$C$204*(1+'Cálculos'!$C$205+$A40*('Cálculos'!$C$290=3)*'Cálculos'!$C$103)+'Cálculos'!$C$206)*('Cálculos'!$C$212+'Cálculos'!$C$124*(1+2.78*('Cálculos'!$C$196+(($B$54)-$A40)*'Cálculos'!$C$98)/(('Cálculos'!$C$196+(($B$54)-$A40)*'Cálculos'!$C$98)+1400)+'Cálculos'!$C$122)*'Cálculos'!$C$217+'Cálculos'!$C$125*(1+2.78*('Cálculos'!$C$196+(($B$54)-$A40)*'Cálculos'!$C$98)/(('Cálculos'!$C$196+(($B$54)-$A40)*'Cálculos'!$C$98)+1400)+'Cálculos'!$C$123)*'Cálculos'!$C$222)+('Cálculos'!$C$213+'Cálculos'!$C$124*(1+2.78*('Cálculos'!$C$196+(($B$54)-$A40)*'Cálculos'!$C$98)/(('Cálculos'!$C$196+(($B$54)-$A40)*'Cálculos'!$C$98)+1400)+'Cálculos'!$C$122)*'Cálculos'!$C$218+'Cálculos'!$C$125*(1+2.78*('Cálculos'!$C$196+(($B$54)-$A40)*'Cálculos'!$C$98)/(('Cálculos'!$C$196+(($B$54)-$A40)*'Cálculos'!$C$98)+1400)+'Cálculos'!$C$123)*'Cálculos'!$C$223)+('Cálculos'!$C$185*(1+'Cálculos'!$C$187+$A40*('Cálculos'!$C$290=1)*'Cálculos'!$C$97+'Cálculos'!$C$305)+'Cálculos'!$C$192)*('Cálculos'!$C$224+'Cálculos'!$C$124*(1+2.78*('Cálculos'!$C$197+(($B$54)-$A40)*'Cálculos'!$C$98)/(('Cálculos'!$C$197+(($B$54)-$A40)*'Cálculos'!$C$98)+1400)+'Cálculos'!$C$122)*'Cálculos'!$C$229+'Cálculos'!$C$125*(1+2.78*('Cálculos'!$C$197+(($B$54)-$A40)*'Cálculos'!$C$98)/(('Cálculos'!$C$197+(($B$54)-$A40)*'Cálculos'!$C$98)+1400)+'Cálculos'!$C$123)*'Cálculos'!$C$234)+('Cálculos'!$C$197+(($B$54)-$A40)*'Cálculos'!$C$98)*('Cálculos'!$C$225+'Cálculos'!$C$124*(1+2.78*('Cálculos'!$C$197+(($B$54)-$A40)*'Cálculos'!$C$98)/(('Cálculos'!$C$197+(($B$54)-$A40)*'Cálculos'!$C$98)+1400)+'Cálculos'!$C$122)*'Cálculos'!$C$230+'Cálculos'!$C$125*(1+2.78*('Cálculos'!$C$197+(($B$54)-$A40)*'Cálculos'!$C$98)/(('Cálculos'!$C$197+(($B$54)-$A40)*'Cálculos'!$C$98)+1400)+'Cálculos'!$C$123)*'Cálculos'!$C$235)+('Cálculos'!$C$201*(1+'Cálculos'!$C$202+$A40*('Cálculos'!$C$290=2)*'Cálculos'!$C$101)+'Cálculos'!$C$203)*('Cálculos'!$C$226+'Cálculos'!$C$124*(1+2.78*('Cálculos'!$C$197+(($B$54)-$A40)*'Cálculos'!$C$98)/(('Cálculos'!$C$197+(($B$54)-$A40)*'Cálculos'!$C$98)+1400)+'Cálculos'!$C$122)*'Cálculos'!$C$231+'Cálculos'!$C$125*(1+2.78*('Cálculos'!$C$197+(($B$54)-$A40)*'Cálculos'!$C$98)/(('Cálculos'!$C$197+(($B$54)-$A40)*'Cálculos'!$C$98)+1400)+'Cálculos'!$C$123)*'Cálculos'!$C$236)+('Cálculos'!$C$204*(1+'Cálculos'!$C$205+$A40*('Cálculos'!$C$290=3)*'Cálculos'!$C$103)+'Cálculos'!$C$206)*('Cálculos'!$C$227+'Cálculos'!$C$124*(1+2.78*('Cálculos'!$C$197+(($B$54)-$A40)*'Cálculos'!$C$98)/(('Cálculos'!$C$197+(($B$54)-$A40)*'Cálculos'!$C$98)+1400)+'Cálculos'!$C$122)*'Cálculos'!$C$232+'Cálculos'!$C$125*(1+2.78*('Cálculos'!$C$197+(($B$54)-$A40)*'Cálculos'!$C$98)/(('Cálculos'!$C$197+(($B$54)-$A40)*'Cálculos'!$C$98)+1400)+'Cálculos'!$C$123)*'Cálculos'!$C$237)+('Cálculos'!$C$228+'Cálculos'!$C$124*(1+2.78*('Cálculos'!$C$197+(($B$54)-$A40)*'Cálculos'!$C$98)/(('Cálculos'!$C$197+(($B$54)-$A40)*'Cálculos'!$C$98)+1400)+'Cálculos'!$C$122)*'Cálculos'!$C$233+'Cálculos'!$C$125*(1+2.78*('Cálculos'!$C$197+(($B$54)-$A40)*'Cálculos'!$C$98)/(('Cálculos'!$C$197+(($B$54)-$A40)*'Cálculos'!$C$98)+1400)+'Cálculos'!$C$123)*'Cálculos'!$C$238)+('Cálculos'!$C$185*(1+'Cálculos'!$C$188+$A40*('Cálculos'!$C$290=1)*'Cálculos'!$C$97+'Cálculos'!$C$305)+'Cálculos'!$C$193)*('Cálculos'!$C$239+'Cálculos'!$C$124*(1+2.78*('Cálculos'!$C$198+(($B$54)-$A40)*'Cálculos'!$C$98)/(('Cálculos'!$C$198+(($B$54)-$A40)*'Cálculos'!$C$98)+1400)+'Cálculos'!$C$122)*'Cálculos'!$C$244+'Cálculos'!$C$125*(1+2.78*('Cálculos'!$C$198+(($B$54)-$A40)*'Cálculos'!$C$98)/(('Cálculos'!$C$198+(($B$54)-$A40)*'Cálculos'!$C$98)+1400)+'Cálculos'!$C$123)*'Cálculos'!$C$249)+('Cálculos'!$C$198+(($B$54)-$A40)*'Cálculos'!$C$98)*('Cálculos'!$C$240+'Cálculos'!$C$124*(1+2.78*('Cálculos'!$C$198+(($B$54)-$A40)*'Cálculos'!$C$98)/(('Cálculos'!$C$198+(($B$54)-$A40)*'Cálculos'!$C$98)+1400)+'Cálculos'!$C$122)*'Cálculos'!$C$245+'Cálculos'!$C$125*(1+2.78*('Cálculos'!$C$198+(($B$54)-$A40)*'Cálculos'!$C$98)/(('Cálculos'!$C$198+(($B$54)-$A40)*'Cálculos'!$C$98)+1400)+'Cálculos'!$C$123)*'Cálculos'!$C$250)+('Cálculos'!$C$201*(1+'Cálculos'!$C$202+$A40*('Cálculos'!$C$290=2)*'Cálculos'!$C$101)+'Cálculos'!$C$203)*('Cálculos'!$C$241+'Cálculos'!$C$124*(1+2.78*('Cálculos'!$C$198+(($B$54)-$A40)*'Cálculos'!$C$98)/(('Cálculos'!$C$198+(($B$54)-$A40)*'Cálculos'!$C$98)+1400)+'Cálculos'!$C$122)*'Cálculos'!$C$246+'Cálculos'!$C$125*(1+2.78*('Cálculos'!$C$198+(($B$54)-$A40)*'Cálculos'!$C$98)/(('Cálculos'!$C$198+(($B$54)-$A40)*'Cálculos'!$C$98)+1400)+'Cálculos'!$C$123)*'Cálculos'!$C$251)+('Cálculos'!$C$204*(1+'Cálculos'!$C$205+$A40*('Cálculos'!$C$290=3)*'Cálculos'!$C$103)+'Cálculos'!$C$206)*('Cálculos'!$C$242+'Cálculos'!$C$124*(1+2.78*('Cálculos'!$C$198+(($B$54)-$A40)*'Cálculos'!$C$98)/(('Cálculos'!$C$198+(($B$54)-$A40)*'Cálculos'!$C$98)+1400)+'Cálculos'!$C$122)*'Cálculos'!$C$247+'Cálculos'!$C$125*(1+2.78*('Cálculos'!$C$198+(($B$54)-$A40)*'Cálculos'!$C$98)/(('Cálculos'!$C$198+(($B$54)-$A40)*'Cálculos'!$C$98)+1400)+'Cálculos'!$C$123)*'Cálculos'!$C$252)+('Cálculos'!$C$243+'Cálculos'!$C$124*(1+2.78*('Cálculos'!$C$198+(($B$54)-$A40)*'Cálculos'!$C$98)/(('Cálculos'!$C$198+(($B$54)-$A40)*'Cálculos'!$C$98)+1400)+'Cálculos'!$C$122)*'Cálculos'!$C$248+'Cálculos'!$C$125*(1+2.78*('Cálculos'!$C$198+(($B$54)-$A40)*'Cálculos'!$C$98)/(('Cálculos'!$C$198+(($B$54)-$A40)*'Cálculos'!$C$98)+1400)+'Cálculos'!$C$123)*'Cálculos'!$C$253)+('Cálculos'!$C$185*(1+'Cálculos'!$C$189+$A40*('Cálculos'!$C$290=1)*'Cálculos'!$C$97+'Cálculos'!$C$305)+'Cálculos'!$C$194)*('Cálculos'!$C$254+'Cálculos'!$C$124*(1+2.78*('Cálculos'!$C$199+(($B$54)-$A40)*'Cálculos'!$C$98)/(('Cálculos'!$C$199+(($B$54)-$A40)*'Cálculos'!$C$98)+1400)+'Cálculos'!$C$122)*'Cálculos'!$C$259+'Cálculos'!$C$125*(1+2.78*('Cálculos'!$C$199+(($B$54)-$A40)*'Cálculos'!$C$98)/(('Cálculos'!$C$199+(($B$54)-$A40)*'Cálculos'!$C$98)+1400)+'Cálculos'!$C$123)*'Cálculos'!$C$264)+('Cálculos'!$C$199+(($B$54)-$A40)*'Cálculos'!$C$98)*('Cálculos'!$C$255+'Cálculos'!$C$124*(1+2.78*('Cálculos'!$C$199+(($B$54)-$A40)*'Cálculos'!$C$98)/(('Cálculos'!$C$199+(($B$54)-$A40)*'Cálculos'!$C$98)+1400)+'Cálculos'!$C$122)*'Cálculos'!$C$260+'Cálculos'!$C$125*(1+2.78*('Cálculos'!$C$199+(($B$54)-$A40)*'Cálculos'!$C$98)/(('Cálculos'!$C$199+(($B$54)-$A40)*'Cálculos'!$C$98)+1400)+'Cálculos'!$C$123)*'Cálculos'!$C$265)+('Cálculos'!$C$201*(1+'Cálculos'!$C$202+$A40*('Cálculos'!$C$290=2)*'Cálculos'!$C$101)+'Cálculos'!$C$203)*('Cálculos'!$C$256+'Cálculos'!$C$124*(1+2.78*('Cálculos'!$C$199+(($B$54)-$A40)*'Cálculos'!$C$98)/(('Cálculos'!$C$199+(($B$54)-$A40)*'Cálculos'!$C$98)+1400)+'Cálculos'!$C$122)*'Cálculos'!$C$261+'Cálculos'!$C$125*(1+2.78*('Cálculos'!$C$199+(($B$54)-$A40)*'Cálculos'!$C$98)/(('Cálculos'!$C$199+(($B$54)-$A40)*'Cálculos'!$C$98)+1400)+'Cálculos'!$C$123)*'Cálculos'!$C$266)+('Cálculos'!$C$204*(1+'Cálculos'!$C$205+$A40*('Cálculos'!$C$290=3)*'Cálculos'!$C$103)+'Cálculos'!$C$206)*('Cálculos'!$C$257+'Cálculos'!$C$124*(1+2.78*('Cálculos'!$C$199+(($B$54)-$A40)*'Cálculos'!$C$98)/(('Cálculos'!$C$199+(($B$54)-$A40)*'Cálculos'!$C$98)+1400)+'Cálculos'!$C$122)*'Cálculos'!$C$262+'Cálculos'!$C$125*(1+2.78*('Cálculos'!$C$199+(($B$54)-$A40)*'Cálculos'!$C$98)/(('Cálculos'!$C$199+(($B$54)-$A40)*'Cálculos'!$C$98)+1400)+'Cálculos'!$C$123)*'Cálculos'!$C$267)+('Cálculos'!$C$258+'Cálculos'!$C$124*(1+2.78*('Cálculos'!$C$199+(($B$54)-$A40)*'Cálculos'!$C$98)/(('Cálculos'!$C$199+(($B$54)-$A40)*'Cálculos'!$C$98)+1400)+'Cálculos'!$C$122)*'Cálculos'!$C$263+'Cálculos'!$C$125*(1+2.78*('Cálculos'!$C$199+(($B$54)-$A40)*'Cálculos'!$C$98)/(('Cálculos'!$C$199+(($B$54)-$A40)*'Cálculos'!$C$98)+1400)+'Cálculos'!$C$123)*'Cálculos'!$C$268)+('Cálculos'!$C$185*(1+'Cálculos'!$C$190+$A40*('Cálculos'!$C$290=1)*'Cálculos'!$C$97+'Cálculos'!$C$305)+'Cálculos'!$C$195)*('Cálculos'!$C$269+'Cálculos'!$C$124*(1+2.78*('Cálculos'!$C$200+(($B$54)-$A40)*'Cálculos'!$C$98)/(('Cálculos'!$C$200+(($B$54)-$A40)*'Cálculos'!$C$98)+1400)+'Cálculos'!$C$122)*'Cálculos'!$C$274+'Cálculos'!$C$125*(1+2.78*('Cálculos'!$C$200+(($B$54)-$A40)*'Cálculos'!$C$98)/(('Cálculos'!$C$200+(($B$54)-$A40)*'Cálculos'!$C$98)+1400)+'Cálculos'!$C$123)*'Cálculos'!$C$279)+('Cálculos'!$C$200+(($B$54)-$A40)*'Cálculos'!$C$98)*('Cálculos'!$C$270+'Cálculos'!$C$124*(1+2.78*('Cálculos'!$C$200+(($B$54)-$A40)*'Cálculos'!$C$98)/(('Cálculos'!$C$200+(($B$54)-$A40)*'Cálculos'!$C$98)+1400)+'Cálculos'!$C$122)*'Cálculos'!$C$275+'Cálculos'!$C$125*(1+2.78*('Cálculos'!$C$200+(($B$54)-$A40)*'Cálculos'!$C$98)/(('Cálculos'!$C$200+(($B$54)-$A40)*'Cálculos'!$C$98)+1400)+'Cálculos'!$C$123)*'Cálculos'!$C$280)+('Cálculos'!$C$201*(1+'Cálculos'!$C$202+$A40*('Cálculos'!$C$290=2)*'Cálculos'!$C$101)+'Cálculos'!$C$203)*('Cálculos'!$C$271+'Cálculos'!$C$124*(1+2.78*('Cálculos'!$C$200+(($B$54)-$A40)*'Cálculos'!$C$98)/(('Cálculos'!$C$200+(($B$54)-$A40)*'Cálculos'!$C$98)+1400)+'Cálculos'!$C$122)*'Cálculos'!$C$276+'Cálculos'!$C$125*(1+2.78*('Cálculos'!$C$200+(($B$54)-$A40)*'Cálculos'!$C$98)/(('Cálculos'!$C$200+(($B$54)-$A40)*'Cálculos'!$C$98)+1400)+'Cálculos'!$C$123)*'Cálculos'!$C$281)+('Cálculos'!$C$204*(1+'Cálculos'!$C$205+$A40*('Cálculos'!$C$290=3)*'Cálculos'!$C$103)+'Cálculos'!$C$206)*('Cálculos'!$C$272+'Cálculos'!$C$124*(1+2.78*('Cálculos'!$C$200+(($B$54)-$A40)*'Cálculos'!$C$98)/(('Cálculos'!$C$200+(($B$54)-$A40)*'Cálculos'!$C$98)+1400)+'Cálculos'!$C$122)*'Cálculos'!$C$277+'Cálculos'!$C$125*(1+2.78*('Cálculos'!$C$200+(($B$54)-$A40)*'Cálculos'!$C$98)/(('Cálculos'!$C$200+(($B$54)-$A40)*'Cálculos'!$C$98)+1400)+'Cálculos'!$C$123)*'Cálculos'!$C$282)+('Cálculos'!$C$273+'Cálculos'!$C$124*(1+2.78*('Cálculos'!$C$200+(($B$54)-$A40)*'Cálculos'!$C$98)/(('Cálculos'!$C$200+(($B$54)-$A40)*'Cálculos'!$C$98)+1400)+'Cálculos'!$C$122)*'Cálculos'!$C$278+'Cálculos'!$C$125*(1+2.78*('Cálculos'!$C$200+(($B$54)-$A40)*'Cálculos'!$C$98)/(('Cálculos'!$C$200+(($B$54)-$A40)*'Cálculos'!$C$98)+1400)+'Cálculos'!$C$123)*'Cálculos'!$C$283)))</f>
        <v>0</v>
      </c>
    </row>
    <row r="41" ht="15.75" customHeight="1">
      <c r="A41" s="2">
        <v>35.0</v>
      </c>
      <c r="B41" s="30">
        <f>SUMPRODUCT(MAX(($A$6:$A$51&lt;=$A41)*($A$6:$A$51&lt;='Cálculos'!$C$294)*(($A41)-$A$6:$A$51&lt;='Cálculos'!$C$295)*(1+(('Cálculos'!$C$207+$A$6:$A$51*'Cálculos'!$C$95)-(('Cálculos'!$C$207+$A$6:$A$51*'Cálculos'!$C$95)&gt;1)*(('Cálculos'!$C$207+$A$6:$A$51*'Cálculos'!$C$95)-1))*('Cálculos'!$C$208+(($A41)-$A$6:$A$51)*'Cálculos'!$C$96))))</f>
        <v>4.44</v>
      </c>
      <c r="C41" s="2">
        <f>'Cálculos'!$C$303-$A41</f>
        <v>-15</v>
      </c>
      <c r="D41" s="31">
        <f>IF($C41&lt;0,0,SUMPRODUCT(MAX(($A$6:$A$51&lt;=$C41)*($A$6:$A$51&lt;='Cálculos'!$C$301)*(($C41)-$A$6:$A$51&lt;='Cálculos'!$C$297)*(('Cálculos'!$C$185*(1+'Cálculos'!$C$186+$A$6:$A$51*('Cálculos'!$C$290=1)*'Cálculos'!$C$97+'Cálculos'!$C$305)+'Cálculos'!$C$191)*('Cálculos'!$C$209+'Cálculos'!$C$124*(1+2.78*('Cálculos'!$C$196+(($C41)-$A$6:$A$51)*'Cálculos'!$C$98)/(('Cálculos'!$C$196+(($C41)-$A$6:$A$51)*'Cálculos'!$C$98)+1400)+'Cálculos'!$C$122)*'Cálculos'!$C$214+'Cálculos'!$C$125*(1+2.78*('Cálculos'!$C$196+(($C41)-$A$6:$A$51)*'Cálculos'!$C$98)/(('Cálculos'!$C$196+(($C41)-$A$6:$A$51)*'Cálculos'!$C$98)+1400)+'Cálculos'!$C$123)*'Cálculos'!$C$219)+('Cálculos'!$C$196+(($C41)-$A$6:$A$51)*'Cálculos'!$C$98)*('Cálculos'!$C$210+'Cálculos'!$C$124*(1+2.78*('Cálculos'!$C$196+(($C41)-$A$6:$A$51)*'Cálculos'!$C$98)/(('Cálculos'!$C$196+(($C41)-$A$6:$A$51)*'Cálculos'!$C$98)+1400)+'Cálculos'!$C$122)*'Cálculos'!$C$215+'Cálculos'!$C$125*(1+2.78*('Cálculos'!$C$196+(($C41)-$A$6:$A$51)*'Cálculos'!$C$98)/(('Cálculos'!$C$196+(($C41)-$A$6:$A$51)*'Cálculos'!$C$98)+1400)+'Cálculos'!$C$123)*'Cálculos'!$C$220)+('Cálculos'!$C$201*(1+'Cálculos'!$C$202+$A$6:$A$51*('Cálculos'!$C$290=2)*'Cálculos'!$C$101)+'Cálculos'!$C$203)*('Cálculos'!$C$211+'Cálculos'!$C$124*(1+2.78*('Cálculos'!$C$196+(($C41)-$A$6:$A$51)*'Cálculos'!$C$98)/(('Cálculos'!$C$196+(($C41)-$A$6:$A$51)*'Cálculos'!$C$98)+1400)+'Cálculos'!$C$122)*'Cálculos'!$C$216+'Cálculos'!$C$125*(1+2.78*('Cálculos'!$C$196+(($C41)-$A$6:$A$51)*'Cálculos'!$C$98)/(('Cálculos'!$C$196+(($C41)-$A$6:$A$51)*'Cálculos'!$C$98)+1400)+'Cálculos'!$C$123)*'Cálculos'!$C$221)+('Cálculos'!$C$204*(1+'Cálculos'!$C$205+$A$6:$A$51*('Cálculos'!$C$290=3)*'Cálculos'!$C$103)+'Cálculos'!$C$206)*('Cálculos'!$C$212+'Cálculos'!$C$124*(1+2.78*('Cálculos'!$C$196+(($C41)-$A$6:$A$51)*'Cálculos'!$C$98)/(('Cálculos'!$C$196+(($C41)-$A$6:$A$51)*'Cálculos'!$C$98)+1400)+'Cálculos'!$C$122)*'Cálculos'!$C$217+'Cálculos'!$C$125*(1+2.78*('Cálculos'!$C$196+(($C41)-$A$6:$A$51)*'Cálculos'!$C$98)/(('Cálculos'!$C$196+(($C41)-$A$6:$A$51)*'Cálculos'!$C$98)+1400)+'Cálculos'!$C$123)*'Cálculos'!$C$222)+('Cálculos'!$C$213+'Cálculos'!$C$124*(1+2.78*('Cálculos'!$C$196+(($C41)-$A$6:$A$51)*'Cálculos'!$C$98)/(('Cálculos'!$C$196+(($C41)-$A$6:$A$51)*'Cálculos'!$C$98)+1400)+'Cálculos'!$C$122)*'Cálculos'!$C$218+'Cálculos'!$C$125*(1+2.78*('Cálculos'!$C$196+(($C41)-$A$6:$A$51)*'Cálculos'!$C$98)/(('Cálculos'!$C$196+(($C41)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41)-$A$6:$A$51)*'Cálculos'!$C$98)/(('Cálculos'!$C$197+(($C41)-$A$6:$A$51)*'Cálculos'!$C$98)+1400)+'Cálculos'!$C$122)*'Cálculos'!$C$229+'Cálculos'!$C$125*(1+2.78*('Cálculos'!$C$197+(($C41)-$A$6:$A$51)*'Cálculos'!$C$98)/(('Cálculos'!$C$197+(($C41)-$A$6:$A$51)*'Cálculos'!$C$98)+1400)+'Cálculos'!$C$123)*'Cálculos'!$C$234)+('Cálculos'!$C$197+(($C41)-$A$6:$A$51)*'Cálculos'!$C$98)*('Cálculos'!$C$225+'Cálculos'!$C$124*(1+2.78*('Cálculos'!$C$197+(($C41)-$A$6:$A$51)*'Cálculos'!$C$98)/(('Cálculos'!$C$197+(($C41)-$A$6:$A$51)*'Cálculos'!$C$98)+1400)+'Cálculos'!$C$122)*'Cálculos'!$C$230+'Cálculos'!$C$125*(1+2.78*('Cálculos'!$C$197+(($C41)-$A$6:$A$51)*'Cálculos'!$C$98)/(('Cálculos'!$C$197+(($C41)-$A$6:$A$51)*'Cálculos'!$C$98)+1400)+'Cálculos'!$C$123)*'Cálculos'!$C$235)+('Cálculos'!$C$201*(1+'Cálculos'!$C$202+$A$6:$A$51*('Cálculos'!$C$290=2)*'Cálculos'!$C$101)+'Cálculos'!$C$203)*('Cálculos'!$C$226+'Cálculos'!$C$124*(1+2.78*('Cálculos'!$C$197+(($C41)-$A$6:$A$51)*'Cálculos'!$C$98)/(('Cálculos'!$C$197+(($C41)-$A$6:$A$51)*'Cálculos'!$C$98)+1400)+'Cálculos'!$C$122)*'Cálculos'!$C$231+'Cálculos'!$C$125*(1+2.78*('Cálculos'!$C$197+(($C41)-$A$6:$A$51)*'Cálculos'!$C$98)/(('Cálculos'!$C$197+(($C41)-$A$6:$A$51)*'Cálculos'!$C$98)+1400)+'Cálculos'!$C$123)*'Cálculos'!$C$236)+('Cálculos'!$C$204*(1+'Cálculos'!$C$205+$A$6:$A$51*('Cálculos'!$C$290=3)*'Cálculos'!$C$103)+'Cálculos'!$C$206)*('Cálculos'!$C$227+'Cálculos'!$C$124*(1+2.78*('Cálculos'!$C$197+(($C41)-$A$6:$A$51)*'Cálculos'!$C$98)/(('Cálculos'!$C$197+(($C41)-$A$6:$A$51)*'Cálculos'!$C$98)+1400)+'Cálculos'!$C$122)*'Cálculos'!$C$232+'Cálculos'!$C$125*(1+2.78*('Cálculos'!$C$197+(($C41)-$A$6:$A$51)*'Cálculos'!$C$98)/(('Cálculos'!$C$197+(($C41)-$A$6:$A$51)*'Cálculos'!$C$98)+1400)+'Cálculos'!$C$123)*'Cálculos'!$C$237)+('Cálculos'!$C$228+'Cálculos'!$C$124*(1+2.78*('Cálculos'!$C$197+(($C41)-$A$6:$A$51)*'Cálculos'!$C$98)/(('Cálculos'!$C$197+(($C41)-$A$6:$A$51)*'Cálculos'!$C$98)+1400)+'Cálculos'!$C$122)*'Cálculos'!$C$233+'Cálculos'!$C$125*(1+2.78*('Cálculos'!$C$197+(($C41)-$A$6:$A$51)*'Cálculos'!$C$98)/(('Cálculos'!$C$197+(($C41)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41)-$A$6:$A$51)*'Cálculos'!$C$98)/(('Cálculos'!$C$198+(($C41)-$A$6:$A$51)*'Cálculos'!$C$98)+1400)+'Cálculos'!$C$122)*'Cálculos'!$C$244+'Cálculos'!$C$125*(1+2.78*('Cálculos'!$C$198+(($C41)-$A$6:$A$51)*'Cálculos'!$C$98)/(('Cálculos'!$C$198+(($C41)-$A$6:$A$51)*'Cálculos'!$C$98)+1400)+'Cálculos'!$C$123)*'Cálculos'!$C$249)+('Cálculos'!$C$198+(($C41)-$A$6:$A$51)*'Cálculos'!$C$98)*('Cálculos'!$C$240+'Cálculos'!$C$124*(1+2.78*('Cálculos'!$C$198+(($C41)-$A$6:$A$51)*'Cálculos'!$C$98)/(('Cálculos'!$C$198+(($C41)-$A$6:$A$51)*'Cálculos'!$C$98)+1400)+'Cálculos'!$C$122)*'Cálculos'!$C$245+'Cálculos'!$C$125*(1+2.78*('Cálculos'!$C$198+(($C41)-$A$6:$A$51)*'Cálculos'!$C$98)/(('Cálculos'!$C$198+(($C41)-$A$6:$A$51)*'Cálculos'!$C$98)+1400)+'Cálculos'!$C$123)*'Cálculos'!$C$250)+('Cálculos'!$C$201*(1+'Cálculos'!$C$202+$A$6:$A$51*('Cálculos'!$C$290=2)*'Cálculos'!$C$101)+'Cálculos'!$C$203)*('Cálculos'!$C$241+'Cálculos'!$C$124*(1+2.78*('Cálculos'!$C$198+(($C41)-$A$6:$A$51)*'Cálculos'!$C$98)/(('Cálculos'!$C$198+(($C41)-$A$6:$A$51)*'Cálculos'!$C$98)+1400)+'Cálculos'!$C$122)*'Cálculos'!$C$246+'Cálculos'!$C$125*(1+2.78*('Cálculos'!$C$198+(($C41)-$A$6:$A$51)*'Cálculos'!$C$98)/(('Cálculos'!$C$198+(($C41)-$A$6:$A$51)*'Cálculos'!$C$98)+1400)+'Cálculos'!$C$123)*'Cálculos'!$C$251)+('Cálculos'!$C$204*(1+'Cálculos'!$C$205+$A$6:$A$51*('Cálculos'!$C$290=3)*'Cálculos'!$C$103)+'Cálculos'!$C$206)*('Cálculos'!$C$242+'Cálculos'!$C$124*(1+2.78*('Cálculos'!$C$198+(($C41)-$A$6:$A$51)*'Cálculos'!$C$98)/(('Cálculos'!$C$198+(($C41)-$A$6:$A$51)*'Cálculos'!$C$98)+1400)+'Cálculos'!$C$122)*'Cálculos'!$C$247+'Cálculos'!$C$125*(1+2.78*('Cálculos'!$C$198+(($C41)-$A$6:$A$51)*'Cálculos'!$C$98)/(('Cálculos'!$C$198+(($C41)-$A$6:$A$51)*'Cálculos'!$C$98)+1400)+'Cálculos'!$C$123)*'Cálculos'!$C$252)+('Cálculos'!$C$243+'Cálculos'!$C$124*(1+2.78*('Cálculos'!$C$198+(($C41)-$A$6:$A$51)*'Cálculos'!$C$98)/(('Cálculos'!$C$198+(($C41)-$A$6:$A$51)*'Cálculos'!$C$98)+1400)+'Cálculos'!$C$122)*'Cálculos'!$C$248+'Cálculos'!$C$125*(1+2.78*('Cálculos'!$C$198+(($C41)-$A$6:$A$51)*'Cálculos'!$C$98)/(('Cálculos'!$C$198+(($C41)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41)-$A$6:$A$51)*'Cálculos'!$C$98)/(('Cálculos'!$C$199+(($C41)-$A$6:$A$51)*'Cálculos'!$C$98)+1400)+'Cálculos'!$C$122)*'Cálculos'!$C$259+'Cálculos'!$C$125*(1+2.78*('Cálculos'!$C$199+(($C41)-$A$6:$A$51)*'Cálculos'!$C$98)/(('Cálculos'!$C$199+(($C41)-$A$6:$A$51)*'Cálculos'!$C$98)+1400)+'Cálculos'!$C$123)*'Cálculos'!$C$264)+('Cálculos'!$C$199+(($C41)-$A$6:$A$51)*'Cálculos'!$C$98)*('Cálculos'!$C$255+'Cálculos'!$C$124*(1+2.78*('Cálculos'!$C$199+(($C41)-$A$6:$A$51)*'Cálculos'!$C$98)/(('Cálculos'!$C$199+(($C41)-$A$6:$A$51)*'Cálculos'!$C$98)+1400)+'Cálculos'!$C$122)*'Cálculos'!$C$260+'Cálculos'!$C$125*(1+2.78*('Cálculos'!$C$199+(($C41)-$A$6:$A$51)*'Cálculos'!$C$98)/(('Cálculos'!$C$199+(($C41)-$A$6:$A$51)*'Cálculos'!$C$98)+1400)+'Cálculos'!$C$123)*'Cálculos'!$C$265)+('Cálculos'!$C$201*(1+'Cálculos'!$C$202+$A$6:$A$51*('Cálculos'!$C$290=2)*'Cálculos'!$C$101)+'Cálculos'!$C$203)*('Cálculos'!$C$256+'Cálculos'!$C$124*(1+2.78*('Cálculos'!$C$199+(($C41)-$A$6:$A$51)*'Cálculos'!$C$98)/(('Cálculos'!$C$199+(($C41)-$A$6:$A$51)*'Cálculos'!$C$98)+1400)+'Cálculos'!$C$122)*'Cálculos'!$C$261+'Cálculos'!$C$125*(1+2.78*('Cálculos'!$C$199+(($C41)-$A$6:$A$51)*'Cálculos'!$C$98)/(('Cálculos'!$C$199+(($C41)-$A$6:$A$51)*'Cálculos'!$C$98)+1400)+'Cálculos'!$C$123)*'Cálculos'!$C$266)+('Cálculos'!$C$204*(1+'Cálculos'!$C$205+$A$6:$A$51*('Cálculos'!$C$290=3)*'Cálculos'!$C$103)+'Cálculos'!$C$206)*('Cálculos'!$C$257+'Cálculos'!$C$124*(1+2.78*('Cálculos'!$C$199+(($C41)-$A$6:$A$51)*'Cálculos'!$C$98)/(('Cálculos'!$C$199+(($C41)-$A$6:$A$51)*'Cálculos'!$C$98)+1400)+'Cálculos'!$C$122)*'Cálculos'!$C$262+'Cálculos'!$C$125*(1+2.78*('Cálculos'!$C$199+(($C41)-$A$6:$A$51)*'Cálculos'!$C$98)/(('Cálculos'!$C$199+(($C41)-$A$6:$A$51)*'Cálculos'!$C$98)+1400)+'Cálculos'!$C$123)*'Cálculos'!$C$267)+('Cálculos'!$C$258+'Cálculos'!$C$124*(1+2.78*('Cálculos'!$C$199+(($C41)-$A$6:$A$51)*'Cálculos'!$C$98)/(('Cálculos'!$C$199+(($C41)-$A$6:$A$51)*'Cálculos'!$C$98)+1400)+'Cálculos'!$C$122)*'Cálculos'!$C$263+'Cálculos'!$C$125*(1+2.78*('Cálculos'!$C$199+(($C41)-$A$6:$A$51)*'Cálculos'!$C$98)/(('Cálculos'!$C$199+(($C41)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41)-$A$6:$A$51)*'Cálculos'!$C$98)/(('Cálculos'!$C$200+(($C41)-$A$6:$A$51)*'Cálculos'!$C$98)+1400)+'Cálculos'!$C$122)*'Cálculos'!$C$274+'Cálculos'!$C$125*(1+2.78*('Cálculos'!$C$200+(($C41)-$A$6:$A$51)*'Cálculos'!$C$98)/(('Cálculos'!$C$200+(($C41)-$A$6:$A$51)*'Cálculos'!$C$98)+1400)+'Cálculos'!$C$123)*'Cálculos'!$C$279)+('Cálculos'!$C$200+(($C41)-$A$6:$A$51)*'Cálculos'!$C$98)*('Cálculos'!$C$270+'Cálculos'!$C$124*(1+2.78*('Cálculos'!$C$200+(($C41)-$A$6:$A$51)*'Cálculos'!$C$98)/(('Cálculos'!$C$200+(($C41)-$A$6:$A$51)*'Cálculos'!$C$98)+1400)+'Cálculos'!$C$122)*'Cálculos'!$C$275+'Cálculos'!$C$125*(1+2.78*('Cálculos'!$C$200+(($C41)-$A$6:$A$51)*'Cálculos'!$C$98)/(('Cálculos'!$C$200+(($C41)-$A$6:$A$51)*'Cálculos'!$C$98)+1400)+'Cálculos'!$C$123)*'Cálculos'!$C$280)+('Cálculos'!$C$201*(1+'Cálculos'!$C$202+$A$6:$A$51*('Cálculos'!$C$290=2)*'Cálculos'!$C$101)+'Cálculos'!$C$203)*('Cálculos'!$C$271+'Cálculos'!$C$124*(1+2.78*('Cálculos'!$C$200+(($C41)-$A$6:$A$51)*'Cálculos'!$C$98)/(('Cálculos'!$C$200+(($C41)-$A$6:$A$51)*'Cálculos'!$C$98)+1400)+'Cálculos'!$C$122)*'Cálculos'!$C$276+'Cálculos'!$C$125*(1+2.78*('Cálculos'!$C$200+(($C41)-$A$6:$A$51)*'Cálculos'!$C$98)/(('Cálculos'!$C$200+(($C41)-$A$6:$A$51)*'Cálculos'!$C$98)+1400)+'Cálculos'!$C$123)*'Cálculos'!$C$281)+('Cálculos'!$C$204*(1+'Cálculos'!$C$205+$A$6:$A$51*('Cálculos'!$C$290=3)*'Cálculos'!$C$103)+'Cálculos'!$C$206)*('Cálculos'!$C$272+'Cálculos'!$C$124*(1+2.78*('Cálculos'!$C$200+(($C41)-$A$6:$A$51)*'Cálculos'!$C$98)/(('Cálculos'!$C$200+(($C41)-$A$6:$A$51)*'Cálculos'!$C$98)+1400)+'Cálculos'!$C$122)*'Cálculos'!$C$277+'Cálculos'!$C$125*(1+2.78*('Cálculos'!$C$200+(($C41)-$A$6:$A$51)*'Cálculos'!$C$98)/(('Cálculos'!$C$200+(($C41)-$A$6:$A$51)*'Cálculos'!$C$98)+1400)+'Cálculos'!$C$123)*'Cálculos'!$C$282)+('Cálculos'!$C$273+'Cálculos'!$C$124*(1+2.78*('Cálculos'!$C$200+(($C41)-$A$6:$A$51)*'Cálculos'!$C$98)/(('Cálculos'!$C$200+(($C41)-$A$6:$A$51)*'Cálculos'!$C$98)+1400)+'Cálculos'!$C$122)*'Cálculos'!$C$278+'Cálculos'!$C$125*(1+2.78*('Cálculos'!$C$200+(($C41)-$A$6:$A$51)*'Cálculos'!$C$98)/(('Cálculos'!$C$200+(($C41)-$A$6:$A$51)*'Cálculos'!$C$98)+1400)+'Cálculos'!$C$123)*'Cálculos'!$C$283)))))</f>
        <v>0</v>
      </c>
      <c r="E41" s="32">
        <f>IF(OR($C41&lt;0,'Cálculos'!$C$6=""),0,$B41*$D41)</f>
        <v>0</v>
      </c>
      <c r="F41" s="2"/>
      <c r="G41" s="30">
        <f>($A41&lt;=$B$53)*($A41&lt;='Cálculos'!$C$294)*(($B$53)-$A41&lt;='Cálculos'!$C$295)*(1+MIN(('Cálculos'!$C$207+$A41*'Cálculos'!$C$95),1)*('Cálculos'!$C$208+(($B$53)-$A41)*'Cálculos'!$C$96))</f>
        <v>0</v>
      </c>
      <c r="H41" s="31">
        <f>IF($B$54&lt;0,0,($A41&lt;=$B$54)*($A41&lt;='Cálculos'!$C$301)*(($B$54)-$A41&lt;='Cálculos'!$C$297)*(('Cálculos'!$C$185*(1+'Cálculos'!$C$186+$A41*('Cálculos'!$C$290=1)*'Cálculos'!$C$97+'Cálculos'!$C$305)+'Cálculos'!$C$191)*('Cálculos'!$C$209+'Cálculos'!$C$124*(1+2.78*('Cálculos'!$C$196+(($B$54)-$A41)*'Cálculos'!$C$98)/(('Cálculos'!$C$196+(($B$54)-$A41)*'Cálculos'!$C$98)+1400)+'Cálculos'!$C$122)*'Cálculos'!$C$214+'Cálculos'!$C$125*(1+2.78*('Cálculos'!$C$196+(($B$54)-$A41)*'Cálculos'!$C$98)/(('Cálculos'!$C$196+(($B$54)-$A41)*'Cálculos'!$C$98)+1400)+'Cálculos'!$C$123)*'Cálculos'!$C$219)+('Cálculos'!$C$196+(($B$54)-$A41)*'Cálculos'!$C$98)*('Cálculos'!$C$210+'Cálculos'!$C$124*(1+2.78*('Cálculos'!$C$196+(($B$54)-$A41)*'Cálculos'!$C$98)/(('Cálculos'!$C$196+(($B$54)-$A41)*'Cálculos'!$C$98)+1400)+'Cálculos'!$C$122)*'Cálculos'!$C$215+'Cálculos'!$C$125*(1+2.78*('Cálculos'!$C$196+(($B$54)-$A41)*'Cálculos'!$C$98)/(('Cálculos'!$C$196+(($B$54)-$A41)*'Cálculos'!$C$98)+1400)+'Cálculos'!$C$123)*'Cálculos'!$C$220)+('Cálculos'!$C$201*(1+'Cálculos'!$C$202+$A41*('Cálculos'!$C$290=2)*'Cálculos'!$C$101)+'Cálculos'!$C$203)*('Cálculos'!$C$211+'Cálculos'!$C$124*(1+2.78*('Cálculos'!$C$196+(($B$54)-$A41)*'Cálculos'!$C$98)/(('Cálculos'!$C$196+(($B$54)-$A41)*'Cálculos'!$C$98)+1400)+'Cálculos'!$C$122)*'Cálculos'!$C$216+'Cálculos'!$C$125*(1+2.78*('Cálculos'!$C$196+(($B$54)-$A41)*'Cálculos'!$C$98)/(('Cálculos'!$C$196+(($B$54)-$A41)*'Cálculos'!$C$98)+1400)+'Cálculos'!$C$123)*'Cálculos'!$C$221)+('Cálculos'!$C$204*(1+'Cálculos'!$C$205+$A41*('Cálculos'!$C$290=3)*'Cálculos'!$C$103)+'Cálculos'!$C$206)*('Cálculos'!$C$212+'Cálculos'!$C$124*(1+2.78*('Cálculos'!$C$196+(($B$54)-$A41)*'Cálculos'!$C$98)/(('Cálculos'!$C$196+(($B$54)-$A41)*'Cálculos'!$C$98)+1400)+'Cálculos'!$C$122)*'Cálculos'!$C$217+'Cálculos'!$C$125*(1+2.78*('Cálculos'!$C$196+(($B$54)-$A41)*'Cálculos'!$C$98)/(('Cálculos'!$C$196+(($B$54)-$A41)*'Cálculos'!$C$98)+1400)+'Cálculos'!$C$123)*'Cálculos'!$C$222)+('Cálculos'!$C$213+'Cálculos'!$C$124*(1+2.78*('Cálculos'!$C$196+(($B$54)-$A41)*'Cálculos'!$C$98)/(('Cálculos'!$C$196+(($B$54)-$A41)*'Cálculos'!$C$98)+1400)+'Cálculos'!$C$122)*'Cálculos'!$C$218+'Cálculos'!$C$125*(1+2.78*('Cálculos'!$C$196+(($B$54)-$A41)*'Cálculos'!$C$98)/(('Cálculos'!$C$196+(($B$54)-$A41)*'Cálculos'!$C$98)+1400)+'Cálculos'!$C$123)*'Cálculos'!$C$223)+('Cálculos'!$C$185*(1+'Cálculos'!$C$187+$A41*('Cálculos'!$C$290=1)*'Cálculos'!$C$97+'Cálculos'!$C$305)+'Cálculos'!$C$192)*('Cálculos'!$C$224+'Cálculos'!$C$124*(1+2.78*('Cálculos'!$C$197+(($B$54)-$A41)*'Cálculos'!$C$98)/(('Cálculos'!$C$197+(($B$54)-$A41)*'Cálculos'!$C$98)+1400)+'Cálculos'!$C$122)*'Cálculos'!$C$229+'Cálculos'!$C$125*(1+2.78*('Cálculos'!$C$197+(($B$54)-$A41)*'Cálculos'!$C$98)/(('Cálculos'!$C$197+(($B$54)-$A41)*'Cálculos'!$C$98)+1400)+'Cálculos'!$C$123)*'Cálculos'!$C$234)+('Cálculos'!$C$197+(($B$54)-$A41)*'Cálculos'!$C$98)*('Cálculos'!$C$225+'Cálculos'!$C$124*(1+2.78*('Cálculos'!$C$197+(($B$54)-$A41)*'Cálculos'!$C$98)/(('Cálculos'!$C$197+(($B$54)-$A41)*'Cálculos'!$C$98)+1400)+'Cálculos'!$C$122)*'Cálculos'!$C$230+'Cálculos'!$C$125*(1+2.78*('Cálculos'!$C$197+(($B$54)-$A41)*'Cálculos'!$C$98)/(('Cálculos'!$C$197+(($B$54)-$A41)*'Cálculos'!$C$98)+1400)+'Cálculos'!$C$123)*'Cálculos'!$C$235)+('Cálculos'!$C$201*(1+'Cálculos'!$C$202+$A41*('Cálculos'!$C$290=2)*'Cálculos'!$C$101)+'Cálculos'!$C$203)*('Cálculos'!$C$226+'Cálculos'!$C$124*(1+2.78*('Cálculos'!$C$197+(($B$54)-$A41)*'Cálculos'!$C$98)/(('Cálculos'!$C$197+(($B$54)-$A41)*'Cálculos'!$C$98)+1400)+'Cálculos'!$C$122)*'Cálculos'!$C$231+'Cálculos'!$C$125*(1+2.78*('Cálculos'!$C$197+(($B$54)-$A41)*'Cálculos'!$C$98)/(('Cálculos'!$C$197+(($B$54)-$A41)*'Cálculos'!$C$98)+1400)+'Cálculos'!$C$123)*'Cálculos'!$C$236)+('Cálculos'!$C$204*(1+'Cálculos'!$C$205+$A41*('Cálculos'!$C$290=3)*'Cálculos'!$C$103)+'Cálculos'!$C$206)*('Cálculos'!$C$227+'Cálculos'!$C$124*(1+2.78*('Cálculos'!$C$197+(($B$54)-$A41)*'Cálculos'!$C$98)/(('Cálculos'!$C$197+(($B$54)-$A41)*'Cálculos'!$C$98)+1400)+'Cálculos'!$C$122)*'Cálculos'!$C$232+'Cálculos'!$C$125*(1+2.78*('Cálculos'!$C$197+(($B$54)-$A41)*'Cálculos'!$C$98)/(('Cálculos'!$C$197+(($B$54)-$A41)*'Cálculos'!$C$98)+1400)+'Cálculos'!$C$123)*'Cálculos'!$C$237)+('Cálculos'!$C$228+'Cálculos'!$C$124*(1+2.78*('Cálculos'!$C$197+(($B$54)-$A41)*'Cálculos'!$C$98)/(('Cálculos'!$C$197+(($B$54)-$A41)*'Cálculos'!$C$98)+1400)+'Cálculos'!$C$122)*'Cálculos'!$C$233+'Cálculos'!$C$125*(1+2.78*('Cálculos'!$C$197+(($B$54)-$A41)*'Cálculos'!$C$98)/(('Cálculos'!$C$197+(($B$54)-$A41)*'Cálculos'!$C$98)+1400)+'Cálculos'!$C$123)*'Cálculos'!$C$238)+('Cálculos'!$C$185*(1+'Cálculos'!$C$188+$A41*('Cálculos'!$C$290=1)*'Cálculos'!$C$97+'Cálculos'!$C$305)+'Cálculos'!$C$193)*('Cálculos'!$C$239+'Cálculos'!$C$124*(1+2.78*('Cálculos'!$C$198+(($B$54)-$A41)*'Cálculos'!$C$98)/(('Cálculos'!$C$198+(($B$54)-$A41)*'Cálculos'!$C$98)+1400)+'Cálculos'!$C$122)*'Cálculos'!$C$244+'Cálculos'!$C$125*(1+2.78*('Cálculos'!$C$198+(($B$54)-$A41)*'Cálculos'!$C$98)/(('Cálculos'!$C$198+(($B$54)-$A41)*'Cálculos'!$C$98)+1400)+'Cálculos'!$C$123)*'Cálculos'!$C$249)+('Cálculos'!$C$198+(($B$54)-$A41)*'Cálculos'!$C$98)*('Cálculos'!$C$240+'Cálculos'!$C$124*(1+2.78*('Cálculos'!$C$198+(($B$54)-$A41)*'Cálculos'!$C$98)/(('Cálculos'!$C$198+(($B$54)-$A41)*'Cálculos'!$C$98)+1400)+'Cálculos'!$C$122)*'Cálculos'!$C$245+'Cálculos'!$C$125*(1+2.78*('Cálculos'!$C$198+(($B$54)-$A41)*'Cálculos'!$C$98)/(('Cálculos'!$C$198+(($B$54)-$A41)*'Cálculos'!$C$98)+1400)+'Cálculos'!$C$123)*'Cálculos'!$C$250)+('Cálculos'!$C$201*(1+'Cálculos'!$C$202+$A41*('Cálculos'!$C$290=2)*'Cálculos'!$C$101)+'Cálculos'!$C$203)*('Cálculos'!$C$241+'Cálculos'!$C$124*(1+2.78*('Cálculos'!$C$198+(($B$54)-$A41)*'Cálculos'!$C$98)/(('Cálculos'!$C$198+(($B$54)-$A41)*'Cálculos'!$C$98)+1400)+'Cálculos'!$C$122)*'Cálculos'!$C$246+'Cálculos'!$C$125*(1+2.78*('Cálculos'!$C$198+(($B$54)-$A41)*'Cálculos'!$C$98)/(('Cálculos'!$C$198+(($B$54)-$A41)*'Cálculos'!$C$98)+1400)+'Cálculos'!$C$123)*'Cálculos'!$C$251)+('Cálculos'!$C$204*(1+'Cálculos'!$C$205+$A41*('Cálculos'!$C$290=3)*'Cálculos'!$C$103)+'Cálculos'!$C$206)*('Cálculos'!$C$242+'Cálculos'!$C$124*(1+2.78*('Cálculos'!$C$198+(($B$54)-$A41)*'Cálculos'!$C$98)/(('Cálculos'!$C$198+(($B$54)-$A41)*'Cálculos'!$C$98)+1400)+'Cálculos'!$C$122)*'Cálculos'!$C$247+'Cálculos'!$C$125*(1+2.78*('Cálculos'!$C$198+(($B$54)-$A41)*'Cálculos'!$C$98)/(('Cálculos'!$C$198+(($B$54)-$A41)*'Cálculos'!$C$98)+1400)+'Cálculos'!$C$123)*'Cálculos'!$C$252)+('Cálculos'!$C$243+'Cálculos'!$C$124*(1+2.78*('Cálculos'!$C$198+(($B$54)-$A41)*'Cálculos'!$C$98)/(('Cálculos'!$C$198+(($B$54)-$A41)*'Cálculos'!$C$98)+1400)+'Cálculos'!$C$122)*'Cálculos'!$C$248+'Cálculos'!$C$125*(1+2.78*('Cálculos'!$C$198+(($B$54)-$A41)*'Cálculos'!$C$98)/(('Cálculos'!$C$198+(($B$54)-$A41)*'Cálculos'!$C$98)+1400)+'Cálculos'!$C$123)*'Cálculos'!$C$253)+('Cálculos'!$C$185*(1+'Cálculos'!$C$189+$A41*('Cálculos'!$C$290=1)*'Cálculos'!$C$97+'Cálculos'!$C$305)+'Cálculos'!$C$194)*('Cálculos'!$C$254+'Cálculos'!$C$124*(1+2.78*('Cálculos'!$C$199+(($B$54)-$A41)*'Cálculos'!$C$98)/(('Cálculos'!$C$199+(($B$54)-$A41)*'Cálculos'!$C$98)+1400)+'Cálculos'!$C$122)*'Cálculos'!$C$259+'Cálculos'!$C$125*(1+2.78*('Cálculos'!$C$199+(($B$54)-$A41)*'Cálculos'!$C$98)/(('Cálculos'!$C$199+(($B$54)-$A41)*'Cálculos'!$C$98)+1400)+'Cálculos'!$C$123)*'Cálculos'!$C$264)+('Cálculos'!$C$199+(($B$54)-$A41)*'Cálculos'!$C$98)*('Cálculos'!$C$255+'Cálculos'!$C$124*(1+2.78*('Cálculos'!$C$199+(($B$54)-$A41)*'Cálculos'!$C$98)/(('Cálculos'!$C$199+(($B$54)-$A41)*'Cálculos'!$C$98)+1400)+'Cálculos'!$C$122)*'Cálculos'!$C$260+'Cálculos'!$C$125*(1+2.78*('Cálculos'!$C$199+(($B$54)-$A41)*'Cálculos'!$C$98)/(('Cálculos'!$C$199+(($B$54)-$A41)*'Cálculos'!$C$98)+1400)+'Cálculos'!$C$123)*'Cálculos'!$C$265)+('Cálculos'!$C$201*(1+'Cálculos'!$C$202+$A41*('Cálculos'!$C$290=2)*'Cálculos'!$C$101)+'Cálculos'!$C$203)*('Cálculos'!$C$256+'Cálculos'!$C$124*(1+2.78*('Cálculos'!$C$199+(($B$54)-$A41)*'Cálculos'!$C$98)/(('Cálculos'!$C$199+(($B$54)-$A41)*'Cálculos'!$C$98)+1400)+'Cálculos'!$C$122)*'Cálculos'!$C$261+'Cálculos'!$C$125*(1+2.78*('Cálculos'!$C$199+(($B$54)-$A41)*'Cálculos'!$C$98)/(('Cálculos'!$C$199+(($B$54)-$A41)*'Cálculos'!$C$98)+1400)+'Cálculos'!$C$123)*'Cálculos'!$C$266)+('Cálculos'!$C$204*(1+'Cálculos'!$C$205+$A41*('Cálculos'!$C$290=3)*'Cálculos'!$C$103)+'Cálculos'!$C$206)*('Cálculos'!$C$257+'Cálculos'!$C$124*(1+2.78*('Cálculos'!$C$199+(($B$54)-$A41)*'Cálculos'!$C$98)/(('Cálculos'!$C$199+(($B$54)-$A41)*'Cálculos'!$C$98)+1400)+'Cálculos'!$C$122)*'Cálculos'!$C$262+'Cálculos'!$C$125*(1+2.78*('Cálculos'!$C$199+(($B$54)-$A41)*'Cálculos'!$C$98)/(('Cálculos'!$C$199+(($B$54)-$A41)*'Cálculos'!$C$98)+1400)+'Cálculos'!$C$123)*'Cálculos'!$C$267)+('Cálculos'!$C$258+'Cálculos'!$C$124*(1+2.78*('Cálculos'!$C$199+(($B$54)-$A41)*'Cálculos'!$C$98)/(('Cálculos'!$C$199+(($B$54)-$A41)*'Cálculos'!$C$98)+1400)+'Cálculos'!$C$122)*'Cálculos'!$C$263+'Cálculos'!$C$125*(1+2.78*('Cálculos'!$C$199+(($B$54)-$A41)*'Cálculos'!$C$98)/(('Cálculos'!$C$199+(($B$54)-$A41)*'Cálculos'!$C$98)+1400)+'Cálculos'!$C$123)*'Cálculos'!$C$268)+('Cálculos'!$C$185*(1+'Cálculos'!$C$190+$A41*('Cálculos'!$C$290=1)*'Cálculos'!$C$97+'Cálculos'!$C$305)+'Cálculos'!$C$195)*('Cálculos'!$C$269+'Cálculos'!$C$124*(1+2.78*('Cálculos'!$C$200+(($B$54)-$A41)*'Cálculos'!$C$98)/(('Cálculos'!$C$200+(($B$54)-$A41)*'Cálculos'!$C$98)+1400)+'Cálculos'!$C$122)*'Cálculos'!$C$274+'Cálculos'!$C$125*(1+2.78*('Cálculos'!$C$200+(($B$54)-$A41)*'Cálculos'!$C$98)/(('Cálculos'!$C$200+(($B$54)-$A41)*'Cálculos'!$C$98)+1400)+'Cálculos'!$C$123)*'Cálculos'!$C$279)+('Cálculos'!$C$200+(($B$54)-$A41)*'Cálculos'!$C$98)*('Cálculos'!$C$270+'Cálculos'!$C$124*(1+2.78*('Cálculos'!$C$200+(($B$54)-$A41)*'Cálculos'!$C$98)/(('Cálculos'!$C$200+(($B$54)-$A41)*'Cálculos'!$C$98)+1400)+'Cálculos'!$C$122)*'Cálculos'!$C$275+'Cálculos'!$C$125*(1+2.78*('Cálculos'!$C$200+(($B$54)-$A41)*'Cálculos'!$C$98)/(('Cálculos'!$C$200+(($B$54)-$A41)*'Cálculos'!$C$98)+1400)+'Cálculos'!$C$123)*'Cálculos'!$C$280)+('Cálculos'!$C$201*(1+'Cálculos'!$C$202+$A41*('Cálculos'!$C$290=2)*'Cálculos'!$C$101)+'Cálculos'!$C$203)*('Cálculos'!$C$271+'Cálculos'!$C$124*(1+2.78*('Cálculos'!$C$200+(($B$54)-$A41)*'Cálculos'!$C$98)/(('Cálculos'!$C$200+(($B$54)-$A41)*'Cálculos'!$C$98)+1400)+'Cálculos'!$C$122)*'Cálculos'!$C$276+'Cálculos'!$C$125*(1+2.78*('Cálculos'!$C$200+(($B$54)-$A41)*'Cálculos'!$C$98)/(('Cálculos'!$C$200+(($B$54)-$A41)*'Cálculos'!$C$98)+1400)+'Cálculos'!$C$123)*'Cálculos'!$C$281)+('Cálculos'!$C$204*(1+'Cálculos'!$C$205+$A41*('Cálculos'!$C$290=3)*'Cálculos'!$C$103)+'Cálculos'!$C$206)*('Cálculos'!$C$272+'Cálculos'!$C$124*(1+2.78*('Cálculos'!$C$200+(($B$54)-$A41)*'Cálculos'!$C$98)/(('Cálculos'!$C$200+(($B$54)-$A41)*'Cálculos'!$C$98)+1400)+'Cálculos'!$C$122)*'Cálculos'!$C$277+'Cálculos'!$C$125*(1+2.78*('Cálculos'!$C$200+(($B$54)-$A41)*'Cálculos'!$C$98)/(('Cálculos'!$C$200+(($B$54)-$A41)*'Cálculos'!$C$98)+1400)+'Cálculos'!$C$123)*'Cálculos'!$C$282)+('Cálculos'!$C$273+'Cálculos'!$C$124*(1+2.78*('Cálculos'!$C$200+(($B$54)-$A41)*'Cálculos'!$C$98)/(('Cálculos'!$C$200+(($B$54)-$A41)*'Cálculos'!$C$98)+1400)+'Cálculos'!$C$122)*'Cálculos'!$C$278+'Cálculos'!$C$125*(1+2.78*('Cálculos'!$C$200+(($B$54)-$A41)*'Cálculos'!$C$98)/(('Cálculos'!$C$200+(($B$54)-$A41)*'Cálculos'!$C$98)+1400)+'Cálculos'!$C$123)*'Cálculos'!$C$283)))</f>
        <v>0</v>
      </c>
    </row>
    <row r="42" ht="15.75" customHeight="1">
      <c r="A42" s="2">
        <v>36.0</v>
      </c>
      <c r="B42" s="30">
        <f>SUMPRODUCT(MAX(($A$6:$A$51&lt;=$A42)*($A$6:$A$51&lt;='Cálculos'!$C$294)*(($A42)-$A$6:$A$51&lt;='Cálculos'!$C$295)*(1+(('Cálculos'!$C$207+$A$6:$A$51*'Cálculos'!$C$95)-(('Cálculos'!$C$207+$A$6:$A$51*'Cálculos'!$C$95)&gt;1)*(('Cálculos'!$C$207+$A$6:$A$51*'Cálculos'!$C$95)-1))*('Cálculos'!$C$208+(($A42)-$A$6:$A$51)*'Cálculos'!$C$96))))</f>
        <v>4.44</v>
      </c>
      <c r="C42" s="2">
        <f>'Cálculos'!$C$303-$A42</f>
        <v>-16</v>
      </c>
      <c r="D42" s="31">
        <f>IF($C42&lt;0,0,SUMPRODUCT(MAX(($A$6:$A$51&lt;=$C42)*($A$6:$A$51&lt;='Cálculos'!$C$301)*(($C42)-$A$6:$A$51&lt;='Cálculos'!$C$297)*(('Cálculos'!$C$185*(1+'Cálculos'!$C$186+$A$6:$A$51*('Cálculos'!$C$290=1)*'Cálculos'!$C$97+'Cálculos'!$C$305)+'Cálculos'!$C$191)*('Cálculos'!$C$209+'Cálculos'!$C$124*(1+2.78*('Cálculos'!$C$196+(($C42)-$A$6:$A$51)*'Cálculos'!$C$98)/(('Cálculos'!$C$196+(($C42)-$A$6:$A$51)*'Cálculos'!$C$98)+1400)+'Cálculos'!$C$122)*'Cálculos'!$C$214+'Cálculos'!$C$125*(1+2.78*('Cálculos'!$C$196+(($C42)-$A$6:$A$51)*'Cálculos'!$C$98)/(('Cálculos'!$C$196+(($C42)-$A$6:$A$51)*'Cálculos'!$C$98)+1400)+'Cálculos'!$C$123)*'Cálculos'!$C$219)+('Cálculos'!$C$196+(($C42)-$A$6:$A$51)*'Cálculos'!$C$98)*('Cálculos'!$C$210+'Cálculos'!$C$124*(1+2.78*('Cálculos'!$C$196+(($C42)-$A$6:$A$51)*'Cálculos'!$C$98)/(('Cálculos'!$C$196+(($C42)-$A$6:$A$51)*'Cálculos'!$C$98)+1400)+'Cálculos'!$C$122)*'Cálculos'!$C$215+'Cálculos'!$C$125*(1+2.78*('Cálculos'!$C$196+(($C42)-$A$6:$A$51)*'Cálculos'!$C$98)/(('Cálculos'!$C$196+(($C42)-$A$6:$A$51)*'Cálculos'!$C$98)+1400)+'Cálculos'!$C$123)*'Cálculos'!$C$220)+('Cálculos'!$C$201*(1+'Cálculos'!$C$202+$A$6:$A$51*('Cálculos'!$C$290=2)*'Cálculos'!$C$101)+'Cálculos'!$C$203)*('Cálculos'!$C$211+'Cálculos'!$C$124*(1+2.78*('Cálculos'!$C$196+(($C42)-$A$6:$A$51)*'Cálculos'!$C$98)/(('Cálculos'!$C$196+(($C42)-$A$6:$A$51)*'Cálculos'!$C$98)+1400)+'Cálculos'!$C$122)*'Cálculos'!$C$216+'Cálculos'!$C$125*(1+2.78*('Cálculos'!$C$196+(($C42)-$A$6:$A$51)*'Cálculos'!$C$98)/(('Cálculos'!$C$196+(($C42)-$A$6:$A$51)*'Cálculos'!$C$98)+1400)+'Cálculos'!$C$123)*'Cálculos'!$C$221)+('Cálculos'!$C$204*(1+'Cálculos'!$C$205+$A$6:$A$51*('Cálculos'!$C$290=3)*'Cálculos'!$C$103)+'Cálculos'!$C$206)*('Cálculos'!$C$212+'Cálculos'!$C$124*(1+2.78*('Cálculos'!$C$196+(($C42)-$A$6:$A$51)*'Cálculos'!$C$98)/(('Cálculos'!$C$196+(($C42)-$A$6:$A$51)*'Cálculos'!$C$98)+1400)+'Cálculos'!$C$122)*'Cálculos'!$C$217+'Cálculos'!$C$125*(1+2.78*('Cálculos'!$C$196+(($C42)-$A$6:$A$51)*'Cálculos'!$C$98)/(('Cálculos'!$C$196+(($C42)-$A$6:$A$51)*'Cálculos'!$C$98)+1400)+'Cálculos'!$C$123)*'Cálculos'!$C$222)+('Cálculos'!$C$213+'Cálculos'!$C$124*(1+2.78*('Cálculos'!$C$196+(($C42)-$A$6:$A$51)*'Cálculos'!$C$98)/(('Cálculos'!$C$196+(($C42)-$A$6:$A$51)*'Cálculos'!$C$98)+1400)+'Cálculos'!$C$122)*'Cálculos'!$C$218+'Cálculos'!$C$125*(1+2.78*('Cálculos'!$C$196+(($C42)-$A$6:$A$51)*'Cálculos'!$C$98)/(('Cálculos'!$C$196+(($C42)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42)-$A$6:$A$51)*'Cálculos'!$C$98)/(('Cálculos'!$C$197+(($C42)-$A$6:$A$51)*'Cálculos'!$C$98)+1400)+'Cálculos'!$C$122)*'Cálculos'!$C$229+'Cálculos'!$C$125*(1+2.78*('Cálculos'!$C$197+(($C42)-$A$6:$A$51)*'Cálculos'!$C$98)/(('Cálculos'!$C$197+(($C42)-$A$6:$A$51)*'Cálculos'!$C$98)+1400)+'Cálculos'!$C$123)*'Cálculos'!$C$234)+('Cálculos'!$C$197+(($C42)-$A$6:$A$51)*'Cálculos'!$C$98)*('Cálculos'!$C$225+'Cálculos'!$C$124*(1+2.78*('Cálculos'!$C$197+(($C42)-$A$6:$A$51)*'Cálculos'!$C$98)/(('Cálculos'!$C$197+(($C42)-$A$6:$A$51)*'Cálculos'!$C$98)+1400)+'Cálculos'!$C$122)*'Cálculos'!$C$230+'Cálculos'!$C$125*(1+2.78*('Cálculos'!$C$197+(($C42)-$A$6:$A$51)*'Cálculos'!$C$98)/(('Cálculos'!$C$197+(($C42)-$A$6:$A$51)*'Cálculos'!$C$98)+1400)+'Cálculos'!$C$123)*'Cálculos'!$C$235)+('Cálculos'!$C$201*(1+'Cálculos'!$C$202+$A$6:$A$51*('Cálculos'!$C$290=2)*'Cálculos'!$C$101)+'Cálculos'!$C$203)*('Cálculos'!$C$226+'Cálculos'!$C$124*(1+2.78*('Cálculos'!$C$197+(($C42)-$A$6:$A$51)*'Cálculos'!$C$98)/(('Cálculos'!$C$197+(($C42)-$A$6:$A$51)*'Cálculos'!$C$98)+1400)+'Cálculos'!$C$122)*'Cálculos'!$C$231+'Cálculos'!$C$125*(1+2.78*('Cálculos'!$C$197+(($C42)-$A$6:$A$51)*'Cálculos'!$C$98)/(('Cálculos'!$C$197+(($C42)-$A$6:$A$51)*'Cálculos'!$C$98)+1400)+'Cálculos'!$C$123)*'Cálculos'!$C$236)+('Cálculos'!$C$204*(1+'Cálculos'!$C$205+$A$6:$A$51*('Cálculos'!$C$290=3)*'Cálculos'!$C$103)+'Cálculos'!$C$206)*('Cálculos'!$C$227+'Cálculos'!$C$124*(1+2.78*('Cálculos'!$C$197+(($C42)-$A$6:$A$51)*'Cálculos'!$C$98)/(('Cálculos'!$C$197+(($C42)-$A$6:$A$51)*'Cálculos'!$C$98)+1400)+'Cálculos'!$C$122)*'Cálculos'!$C$232+'Cálculos'!$C$125*(1+2.78*('Cálculos'!$C$197+(($C42)-$A$6:$A$51)*'Cálculos'!$C$98)/(('Cálculos'!$C$197+(($C42)-$A$6:$A$51)*'Cálculos'!$C$98)+1400)+'Cálculos'!$C$123)*'Cálculos'!$C$237)+('Cálculos'!$C$228+'Cálculos'!$C$124*(1+2.78*('Cálculos'!$C$197+(($C42)-$A$6:$A$51)*'Cálculos'!$C$98)/(('Cálculos'!$C$197+(($C42)-$A$6:$A$51)*'Cálculos'!$C$98)+1400)+'Cálculos'!$C$122)*'Cálculos'!$C$233+'Cálculos'!$C$125*(1+2.78*('Cálculos'!$C$197+(($C42)-$A$6:$A$51)*'Cálculos'!$C$98)/(('Cálculos'!$C$197+(($C42)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42)-$A$6:$A$51)*'Cálculos'!$C$98)/(('Cálculos'!$C$198+(($C42)-$A$6:$A$51)*'Cálculos'!$C$98)+1400)+'Cálculos'!$C$122)*'Cálculos'!$C$244+'Cálculos'!$C$125*(1+2.78*('Cálculos'!$C$198+(($C42)-$A$6:$A$51)*'Cálculos'!$C$98)/(('Cálculos'!$C$198+(($C42)-$A$6:$A$51)*'Cálculos'!$C$98)+1400)+'Cálculos'!$C$123)*'Cálculos'!$C$249)+('Cálculos'!$C$198+(($C42)-$A$6:$A$51)*'Cálculos'!$C$98)*('Cálculos'!$C$240+'Cálculos'!$C$124*(1+2.78*('Cálculos'!$C$198+(($C42)-$A$6:$A$51)*'Cálculos'!$C$98)/(('Cálculos'!$C$198+(($C42)-$A$6:$A$51)*'Cálculos'!$C$98)+1400)+'Cálculos'!$C$122)*'Cálculos'!$C$245+'Cálculos'!$C$125*(1+2.78*('Cálculos'!$C$198+(($C42)-$A$6:$A$51)*'Cálculos'!$C$98)/(('Cálculos'!$C$198+(($C42)-$A$6:$A$51)*'Cálculos'!$C$98)+1400)+'Cálculos'!$C$123)*'Cálculos'!$C$250)+('Cálculos'!$C$201*(1+'Cálculos'!$C$202+$A$6:$A$51*('Cálculos'!$C$290=2)*'Cálculos'!$C$101)+'Cálculos'!$C$203)*('Cálculos'!$C$241+'Cálculos'!$C$124*(1+2.78*('Cálculos'!$C$198+(($C42)-$A$6:$A$51)*'Cálculos'!$C$98)/(('Cálculos'!$C$198+(($C42)-$A$6:$A$51)*'Cálculos'!$C$98)+1400)+'Cálculos'!$C$122)*'Cálculos'!$C$246+'Cálculos'!$C$125*(1+2.78*('Cálculos'!$C$198+(($C42)-$A$6:$A$51)*'Cálculos'!$C$98)/(('Cálculos'!$C$198+(($C42)-$A$6:$A$51)*'Cálculos'!$C$98)+1400)+'Cálculos'!$C$123)*'Cálculos'!$C$251)+('Cálculos'!$C$204*(1+'Cálculos'!$C$205+$A$6:$A$51*('Cálculos'!$C$290=3)*'Cálculos'!$C$103)+'Cálculos'!$C$206)*('Cálculos'!$C$242+'Cálculos'!$C$124*(1+2.78*('Cálculos'!$C$198+(($C42)-$A$6:$A$51)*'Cálculos'!$C$98)/(('Cálculos'!$C$198+(($C42)-$A$6:$A$51)*'Cálculos'!$C$98)+1400)+'Cálculos'!$C$122)*'Cálculos'!$C$247+'Cálculos'!$C$125*(1+2.78*('Cálculos'!$C$198+(($C42)-$A$6:$A$51)*'Cálculos'!$C$98)/(('Cálculos'!$C$198+(($C42)-$A$6:$A$51)*'Cálculos'!$C$98)+1400)+'Cálculos'!$C$123)*'Cálculos'!$C$252)+('Cálculos'!$C$243+'Cálculos'!$C$124*(1+2.78*('Cálculos'!$C$198+(($C42)-$A$6:$A$51)*'Cálculos'!$C$98)/(('Cálculos'!$C$198+(($C42)-$A$6:$A$51)*'Cálculos'!$C$98)+1400)+'Cálculos'!$C$122)*'Cálculos'!$C$248+'Cálculos'!$C$125*(1+2.78*('Cálculos'!$C$198+(($C42)-$A$6:$A$51)*'Cálculos'!$C$98)/(('Cálculos'!$C$198+(($C42)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42)-$A$6:$A$51)*'Cálculos'!$C$98)/(('Cálculos'!$C$199+(($C42)-$A$6:$A$51)*'Cálculos'!$C$98)+1400)+'Cálculos'!$C$122)*'Cálculos'!$C$259+'Cálculos'!$C$125*(1+2.78*('Cálculos'!$C$199+(($C42)-$A$6:$A$51)*'Cálculos'!$C$98)/(('Cálculos'!$C$199+(($C42)-$A$6:$A$51)*'Cálculos'!$C$98)+1400)+'Cálculos'!$C$123)*'Cálculos'!$C$264)+('Cálculos'!$C$199+(($C42)-$A$6:$A$51)*'Cálculos'!$C$98)*('Cálculos'!$C$255+'Cálculos'!$C$124*(1+2.78*('Cálculos'!$C$199+(($C42)-$A$6:$A$51)*'Cálculos'!$C$98)/(('Cálculos'!$C$199+(($C42)-$A$6:$A$51)*'Cálculos'!$C$98)+1400)+'Cálculos'!$C$122)*'Cálculos'!$C$260+'Cálculos'!$C$125*(1+2.78*('Cálculos'!$C$199+(($C42)-$A$6:$A$51)*'Cálculos'!$C$98)/(('Cálculos'!$C$199+(($C42)-$A$6:$A$51)*'Cálculos'!$C$98)+1400)+'Cálculos'!$C$123)*'Cálculos'!$C$265)+('Cálculos'!$C$201*(1+'Cálculos'!$C$202+$A$6:$A$51*('Cálculos'!$C$290=2)*'Cálculos'!$C$101)+'Cálculos'!$C$203)*('Cálculos'!$C$256+'Cálculos'!$C$124*(1+2.78*('Cálculos'!$C$199+(($C42)-$A$6:$A$51)*'Cálculos'!$C$98)/(('Cálculos'!$C$199+(($C42)-$A$6:$A$51)*'Cálculos'!$C$98)+1400)+'Cálculos'!$C$122)*'Cálculos'!$C$261+'Cálculos'!$C$125*(1+2.78*('Cálculos'!$C$199+(($C42)-$A$6:$A$51)*'Cálculos'!$C$98)/(('Cálculos'!$C$199+(($C42)-$A$6:$A$51)*'Cálculos'!$C$98)+1400)+'Cálculos'!$C$123)*'Cálculos'!$C$266)+('Cálculos'!$C$204*(1+'Cálculos'!$C$205+$A$6:$A$51*('Cálculos'!$C$290=3)*'Cálculos'!$C$103)+'Cálculos'!$C$206)*('Cálculos'!$C$257+'Cálculos'!$C$124*(1+2.78*('Cálculos'!$C$199+(($C42)-$A$6:$A$51)*'Cálculos'!$C$98)/(('Cálculos'!$C$199+(($C42)-$A$6:$A$51)*'Cálculos'!$C$98)+1400)+'Cálculos'!$C$122)*'Cálculos'!$C$262+'Cálculos'!$C$125*(1+2.78*('Cálculos'!$C$199+(($C42)-$A$6:$A$51)*'Cálculos'!$C$98)/(('Cálculos'!$C$199+(($C42)-$A$6:$A$51)*'Cálculos'!$C$98)+1400)+'Cálculos'!$C$123)*'Cálculos'!$C$267)+('Cálculos'!$C$258+'Cálculos'!$C$124*(1+2.78*('Cálculos'!$C$199+(($C42)-$A$6:$A$51)*'Cálculos'!$C$98)/(('Cálculos'!$C$199+(($C42)-$A$6:$A$51)*'Cálculos'!$C$98)+1400)+'Cálculos'!$C$122)*'Cálculos'!$C$263+'Cálculos'!$C$125*(1+2.78*('Cálculos'!$C$199+(($C42)-$A$6:$A$51)*'Cálculos'!$C$98)/(('Cálculos'!$C$199+(($C42)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42)-$A$6:$A$51)*'Cálculos'!$C$98)/(('Cálculos'!$C$200+(($C42)-$A$6:$A$51)*'Cálculos'!$C$98)+1400)+'Cálculos'!$C$122)*'Cálculos'!$C$274+'Cálculos'!$C$125*(1+2.78*('Cálculos'!$C$200+(($C42)-$A$6:$A$51)*'Cálculos'!$C$98)/(('Cálculos'!$C$200+(($C42)-$A$6:$A$51)*'Cálculos'!$C$98)+1400)+'Cálculos'!$C$123)*'Cálculos'!$C$279)+('Cálculos'!$C$200+(($C42)-$A$6:$A$51)*'Cálculos'!$C$98)*('Cálculos'!$C$270+'Cálculos'!$C$124*(1+2.78*('Cálculos'!$C$200+(($C42)-$A$6:$A$51)*'Cálculos'!$C$98)/(('Cálculos'!$C$200+(($C42)-$A$6:$A$51)*'Cálculos'!$C$98)+1400)+'Cálculos'!$C$122)*'Cálculos'!$C$275+'Cálculos'!$C$125*(1+2.78*('Cálculos'!$C$200+(($C42)-$A$6:$A$51)*'Cálculos'!$C$98)/(('Cálculos'!$C$200+(($C42)-$A$6:$A$51)*'Cálculos'!$C$98)+1400)+'Cálculos'!$C$123)*'Cálculos'!$C$280)+('Cálculos'!$C$201*(1+'Cálculos'!$C$202+$A$6:$A$51*('Cálculos'!$C$290=2)*'Cálculos'!$C$101)+'Cálculos'!$C$203)*('Cálculos'!$C$271+'Cálculos'!$C$124*(1+2.78*('Cálculos'!$C$200+(($C42)-$A$6:$A$51)*'Cálculos'!$C$98)/(('Cálculos'!$C$200+(($C42)-$A$6:$A$51)*'Cálculos'!$C$98)+1400)+'Cálculos'!$C$122)*'Cálculos'!$C$276+'Cálculos'!$C$125*(1+2.78*('Cálculos'!$C$200+(($C42)-$A$6:$A$51)*'Cálculos'!$C$98)/(('Cálculos'!$C$200+(($C42)-$A$6:$A$51)*'Cálculos'!$C$98)+1400)+'Cálculos'!$C$123)*'Cálculos'!$C$281)+('Cálculos'!$C$204*(1+'Cálculos'!$C$205+$A$6:$A$51*('Cálculos'!$C$290=3)*'Cálculos'!$C$103)+'Cálculos'!$C$206)*('Cálculos'!$C$272+'Cálculos'!$C$124*(1+2.78*('Cálculos'!$C$200+(($C42)-$A$6:$A$51)*'Cálculos'!$C$98)/(('Cálculos'!$C$200+(($C42)-$A$6:$A$51)*'Cálculos'!$C$98)+1400)+'Cálculos'!$C$122)*'Cálculos'!$C$277+'Cálculos'!$C$125*(1+2.78*('Cálculos'!$C$200+(($C42)-$A$6:$A$51)*'Cálculos'!$C$98)/(('Cálculos'!$C$200+(($C42)-$A$6:$A$51)*'Cálculos'!$C$98)+1400)+'Cálculos'!$C$123)*'Cálculos'!$C$282)+('Cálculos'!$C$273+'Cálculos'!$C$124*(1+2.78*('Cálculos'!$C$200+(($C42)-$A$6:$A$51)*'Cálculos'!$C$98)/(('Cálculos'!$C$200+(($C42)-$A$6:$A$51)*'Cálculos'!$C$98)+1400)+'Cálculos'!$C$122)*'Cálculos'!$C$278+'Cálculos'!$C$125*(1+2.78*('Cálculos'!$C$200+(($C42)-$A$6:$A$51)*'Cálculos'!$C$98)/(('Cálculos'!$C$200+(($C42)-$A$6:$A$51)*'Cálculos'!$C$98)+1400)+'Cálculos'!$C$123)*'Cálculos'!$C$283)))))</f>
        <v>0</v>
      </c>
      <c r="E42" s="32">
        <f>IF(OR($C42&lt;0,'Cálculos'!$C$6=""),0,$B42*$D42)</f>
        <v>0</v>
      </c>
      <c r="F42" s="2"/>
      <c r="G42" s="30">
        <f>($A42&lt;=$B$53)*($A42&lt;='Cálculos'!$C$294)*(($B$53)-$A42&lt;='Cálculos'!$C$295)*(1+MIN(('Cálculos'!$C$207+$A42*'Cálculos'!$C$95),1)*('Cálculos'!$C$208+(($B$53)-$A42)*'Cálculos'!$C$96))</f>
        <v>0</v>
      </c>
      <c r="H42" s="31">
        <f>IF($B$54&lt;0,0,($A42&lt;=$B$54)*($A42&lt;='Cálculos'!$C$301)*(($B$54)-$A42&lt;='Cálculos'!$C$297)*(('Cálculos'!$C$185*(1+'Cálculos'!$C$186+$A42*('Cálculos'!$C$290=1)*'Cálculos'!$C$97+'Cálculos'!$C$305)+'Cálculos'!$C$191)*('Cálculos'!$C$209+'Cálculos'!$C$124*(1+2.78*('Cálculos'!$C$196+(($B$54)-$A42)*'Cálculos'!$C$98)/(('Cálculos'!$C$196+(($B$54)-$A42)*'Cálculos'!$C$98)+1400)+'Cálculos'!$C$122)*'Cálculos'!$C$214+'Cálculos'!$C$125*(1+2.78*('Cálculos'!$C$196+(($B$54)-$A42)*'Cálculos'!$C$98)/(('Cálculos'!$C$196+(($B$54)-$A42)*'Cálculos'!$C$98)+1400)+'Cálculos'!$C$123)*'Cálculos'!$C$219)+('Cálculos'!$C$196+(($B$54)-$A42)*'Cálculos'!$C$98)*('Cálculos'!$C$210+'Cálculos'!$C$124*(1+2.78*('Cálculos'!$C$196+(($B$54)-$A42)*'Cálculos'!$C$98)/(('Cálculos'!$C$196+(($B$54)-$A42)*'Cálculos'!$C$98)+1400)+'Cálculos'!$C$122)*'Cálculos'!$C$215+'Cálculos'!$C$125*(1+2.78*('Cálculos'!$C$196+(($B$54)-$A42)*'Cálculos'!$C$98)/(('Cálculos'!$C$196+(($B$54)-$A42)*'Cálculos'!$C$98)+1400)+'Cálculos'!$C$123)*'Cálculos'!$C$220)+('Cálculos'!$C$201*(1+'Cálculos'!$C$202+$A42*('Cálculos'!$C$290=2)*'Cálculos'!$C$101)+'Cálculos'!$C$203)*('Cálculos'!$C$211+'Cálculos'!$C$124*(1+2.78*('Cálculos'!$C$196+(($B$54)-$A42)*'Cálculos'!$C$98)/(('Cálculos'!$C$196+(($B$54)-$A42)*'Cálculos'!$C$98)+1400)+'Cálculos'!$C$122)*'Cálculos'!$C$216+'Cálculos'!$C$125*(1+2.78*('Cálculos'!$C$196+(($B$54)-$A42)*'Cálculos'!$C$98)/(('Cálculos'!$C$196+(($B$54)-$A42)*'Cálculos'!$C$98)+1400)+'Cálculos'!$C$123)*'Cálculos'!$C$221)+('Cálculos'!$C$204*(1+'Cálculos'!$C$205+$A42*('Cálculos'!$C$290=3)*'Cálculos'!$C$103)+'Cálculos'!$C$206)*('Cálculos'!$C$212+'Cálculos'!$C$124*(1+2.78*('Cálculos'!$C$196+(($B$54)-$A42)*'Cálculos'!$C$98)/(('Cálculos'!$C$196+(($B$54)-$A42)*'Cálculos'!$C$98)+1400)+'Cálculos'!$C$122)*'Cálculos'!$C$217+'Cálculos'!$C$125*(1+2.78*('Cálculos'!$C$196+(($B$54)-$A42)*'Cálculos'!$C$98)/(('Cálculos'!$C$196+(($B$54)-$A42)*'Cálculos'!$C$98)+1400)+'Cálculos'!$C$123)*'Cálculos'!$C$222)+('Cálculos'!$C$213+'Cálculos'!$C$124*(1+2.78*('Cálculos'!$C$196+(($B$54)-$A42)*'Cálculos'!$C$98)/(('Cálculos'!$C$196+(($B$54)-$A42)*'Cálculos'!$C$98)+1400)+'Cálculos'!$C$122)*'Cálculos'!$C$218+'Cálculos'!$C$125*(1+2.78*('Cálculos'!$C$196+(($B$54)-$A42)*'Cálculos'!$C$98)/(('Cálculos'!$C$196+(($B$54)-$A42)*'Cálculos'!$C$98)+1400)+'Cálculos'!$C$123)*'Cálculos'!$C$223)+('Cálculos'!$C$185*(1+'Cálculos'!$C$187+$A42*('Cálculos'!$C$290=1)*'Cálculos'!$C$97+'Cálculos'!$C$305)+'Cálculos'!$C$192)*('Cálculos'!$C$224+'Cálculos'!$C$124*(1+2.78*('Cálculos'!$C$197+(($B$54)-$A42)*'Cálculos'!$C$98)/(('Cálculos'!$C$197+(($B$54)-$A42)*'Cálculos'!$C$98)+1400)+'Cálculos'!$C$122)*'Cálculos'!$C$229+'Cálculos'!$C$125*(1+2.78*('Cálculos'!$C$197+(($B$54)-$A42)*'Cálculos'!$C$98)/(('Cálculos'!$C$197+(($B$54)-$A42)*'Cálculos'!$C$98)+1400)+'Cálculos'!$C$123)*'Cálculos'!$C$234)+('Cálculos'!$C$197+(($B$54)-$A42)*'Cálculos'!$C$98)*('Cálculos'!$C$225+'Cálculos'!$C$124*(1+2.78*('Cálculos'!$C$197+(($B$54)-$A42)*'Cálculos'!$C$98)/(('Cálculos'!$C$197+(($B$54)-$A42)*'Cálculos'!$C$98)+1400)+'Cálculos'!$C$122)*'Cálculos'!$C$230+'Cálculos'!$C$125*(1+2.78*('Cálculos'!$C$197+(($B$54)-$A42)*'Cálculos'!$C$98)/(('Cálculos'!$C$197+(($B$54)-$A42)*'Cálculos'!$C$98)+1400)+'Cálculos'!$C$123)*'Cálculos'!$C$235)+('Cálculos'!$C$201*(1+'Cálculos'!$C$202+$A42*('Cálculos'!$C$290=2)*'Cálculos'!$C$101)+'Cálculos'!$C$203)*('Cálculos'!$C$226+'Cálculos'!$C$124*(1+2.78*('Cálculos'!$C$197+(($B$54)-$A42)*'Cálculos'!$C$98)/(('Cálculos'!$C$197+(($B$54)-$A42)*'Cálculos'!$C$98)+1400)+'Cálculos'!$C$122)*'Cálculos'!$C$231+'Cálculos'!$C$125*(1+2.78*('Cálculos'!$C$197+(($B$54)-$A42)*'Cálculos'!$C$98)/(('Cálculos'!$C$197+(($B$54)-$A42)*'Cálculos'!$C$98)+1400)+'Cálculos'!$C$123)*'Cálculos'!$C$236)+('Cálculos'!$C$204*(1+'Cálculos'!$C$205+$A42*('Cálculos'!$C$290=3)*'Cálculos'!$C$103)+'Cálculos'!$C$206)*('Cálculos'!$C$227+'Cálculos'!$C$124*(1+2.78*('Cálculos'!$C$197+(($B$54)-$A42)*'Cálculos'!$C$98)/(('Cálculos'!$C$197+(($B$54)-$A42)*'Cálculos'!$C$98)+1400)+'Cálculos'!$C$122)*'Cálculos'!$C$232+'Cálculos'!$C$125*(1+2.78*('Cálculos'!$C$197+(($B$54)-$A42)*'Cálculos'!$C$98)/(('Cálculos'!$C$197+(($B$54)-$A42)*'Cálculos'!$C$98)+1400)+'Cálculos'!$C$123)*'Cálculos'!$C$237)+('Cálculos'!$C$228+'Cálculos'!$C$124*(1+2.78*('Cálculos'!$C$197+(($B$54)-$A42)*'Cálculos'!$C$98)/(('Cálculos'!$C$197+(($B$54)-$A42)*'Cálculos'!$C$98)+1400)+'Cálculos'!$C$122)*'Cálculos'!$C$233+'Cálculos'!$C$125*(1+2.78*('Cálculos'!$C$197+(($B$54)-$A42)*'Cálculos'!$C$98)/(('Cálculos'!$C$197+(($B$54)-$A42)*'Cálculos'!$C$98)+1400)+'Cálculos'!$C$123)*'Cálculos'!$C$238)+('Cálculos'!$C$185*(1+'Cálculos'!$C$188+$A42*('Cálculos'!$C$290=1)*'Cálculos'!$C$97+'Cálculos'!$C$305)+'Cálculos'!$C$193)*('Cálculos'!$C$239+'Cálculos'!$C$124*(1+2.78*('Cálculos'!$C$198+(($B$54)-$A42)*'Cálculos'!$C$98)/(('Cálculos'!$C$198+(($B$54)-$A42)*'Cálculos'!$C$98)+1400)+'Cálculos'!$C$122)*'Cálculos'!$C$244+'Cálculos'!$C$125*(1+2.78*('Cálculos'!$C$198+(($B$54)-$A42)*'Cálculos'!$C$98)/(('Cálculos'!$C$198+(($B$54)-$A42)*'Cálculos'!$C$98)+1400)+'Cálculos'!$C$123)*'Cálculos'!$C$249)+('Cálculos'!$C$198+(($B$54)-$A42)*'Cálculos'!$C$98)*('Cálculos'!$C$240+'Cálculos'!$C$124*(1+2.78*('Cálculos'!$C$198+(($B$54)-$A42)*'Cálculos'!$C$98)/(('Cálculos'!$C$198+(($B$54)-$A42)*'Cálculos'!$C$98)+1400)+'Cálculos'!$C$122)*'Cálculos'!$C$245+'Cálculos'!$C$125*(1+2.78*('Cálculos'!$C$198+(($B$54)-$A42)*'Cálculos'!$C$98)/(('Cálculos'!$C$198+(($B$54)-$A42)*'Cálculos'!$C$98)+1400)+'Cálculos'!$C$123)*'Cálculos'!$C$250)+('Cálculos'!$C$201*(1+'Cálculos'!$C$202+$A42*('Cálculos'!$C$290=2)*'Cálculos'!$C$101)+'Cálculos'!$C$203)*('Cálculos'!$C$241+'Cálculos'!$C$124*(1+2.78*('Cálculos'!$C$198+(($B$54)-$A42)*'Cálculos'!$C$98)/(('Cálculos'!$C$198+(($B$54)-$A42)*'Cálculos'!$C$98)+1400)+'Cálculos'!$C$122)*'Cálculos'!$C$246+'Cálculos'!$C$125*(1+2.78*('Cálculos'!$C$198+(($B$54)-$A42)*'Cálculos'!$C$98)/(('Cálculos'!$C$198+(($B$54)-$A42)*'Cálculos'!$C$98)+1400)+'Cálculos'!$C$123)*'Cálculos'!$C$251)+('Cálculos'!$C$204*(1+'Cálculos'!$C$205+$A42*('Cálculos'!$C$290=3)*'Cálculos'!$C$103)+'Cálculos'!$C$206)*('Cálculos'!$C$242+'Cálculos'!$C$124*(1+2.78*('Cálculos'!$C$198+(($B$54)-$A42)*'Cálculos'!$C$98)/(('Cálculos'!$C$198+(($B$54)-$A42)*'Cálculos'!$C$98)+1400)+'Cálculos'!$C$122)*'Cálculos'!$C$247+'Cálculos'!$C$125*(1+2.78*('Cálculos'!$C$198+(($B$54)-$A42)*'Cálculos'!$C$98)/(('Cálculos'!$C$198+(($B$54)-$A42)*'Cálculos'!$C$98)+1400)+'Cálculos'!$C$123)*'Cálculos'!$C$252)+('Cálculos'!$C$243+'Cálculos'!$C$124*(1+2.78*('Cálculos'!$C$198+(($B$54)-$A42)*'Cálculos'!$C$98)/(('Cálculos'!$C$198+(($B$54)-$A42)*'Cálculos'!$C$98)+1400)+'Cálculos'!$C$122)*'Cálculos'!$C$248+'Cálculos'!$C$125*(1+2.78*('Cálculos'!$C$198+(($B$54)-$A42)*'Cálculos'!$C$98)/(('Cálculos'!$C$198+(($B$54)-$A42)*'Cálculos'!$C$98)+1400)+'Cálculos'!$C$123)*'Cálculos'!$C$253)+('Cálculos'!$C$185*(1+'Cálculos'!$C$189+$A42*('Cálculos'!$C$290=1)*'Cálculos'!$C$97+'Cálculos'!$C$305)+'Cálculos'!$C$194)*('Cálculos'!$C$254+'Cálculos'!$C$124*(1+2.78*('Cálculos'!$C$199+(($B$54)-$A42)*'Cálculos'!$C$98)/(('Cálculos'!$C$199+(($B$54)-$A42)*'Cálculos'!$C$98)+1400)+'Cálculos'!$C$122)*'Cálculos'!$C$259+'Cálculos'!$C$125*(1+2.78*('Cálculos'!$C$199+(($B$54)-$A42)*'Cálculos'!$C$98)/(('Cálculos'!$C$199+(($B$54)-$A42)*'Cálculos'!$C$98)+1400)+'Cálculos'!$C$123)*'Cálculos'!$C$264)+('Cálculos'!$C$199+(($B$54)-$A42)*'Cálculos'!$C$98)*('Cálculos'!$C$255+'Cálculos'!$C$124*(1+2.78*('Cálculos'!$C$199+(($B$54)-$A42)*'Cálculos'!$C$98)/(('Cálculos'!$C$199+(($B$54)-$A42)*'Cálculos'!$C$98)+1400)+'Cálculos'!$C$122)*'Cálculos'!$C$260+'Cálculos'!$C$125*(1+2.78*('Cálculos'!$C$199+(($B$54)-$A42)*'Cálculos'!$C$98)/(('Cálculos'!$C$199+(($B$54)-$A42)*'Cálculos'!$C$98)+1400)+'Cálculos'!$C$123)*'Cálculos'!$C$265)+('Cálculos'!$C$201*(1+'Cálculos'!$C$202+$A42*('Cálculos'!$C$290=2)*'Cálculos'!$C$101)+'Cálculos'!$C$203)*('Cálculos'!$C$256+'Cálculos'!$C$124*(1+2.78*('Cálculos'!$C$199+(($B$54)-$A42)*'Cálculos'!$C$98)/(('Cálculos'!$C$199+(($B$54)-$A42)*'Cálculos'!$C$98)+1400)+'Cálculos'!$C$122)*'Cálculos'!$C$261+'Cálculos'!$C$125*(1+2.78*('Cálculos'!$C$199+(($B$54)-$A42)*'Cálculos'!$C$98)/(('Cálculos'!$C$199+(($B$54)-$A42)*'Cálculos'!$C$98)+1400)+'Cálculos'!$C$123)*'Cálculos'!$C$266)+('Cálculos'!$C$204*(1+'Cálculos'!$C$205+$A42*('Cálculos'!$C$290=3)*'Cálculos'!$C$103)+'Cálculos'!$C$206)*('Cálculos'!$C$257+'Cálculos'!$C$124*(1+2.78*('Cálculos'!$C$199+(($B$54)-$A42)*'Cálculos'!$C$98)/(('Cálculos'!$C$199+(($B$54)-$A42)*'Cálculos'!$C$98)+1400)+'Cálculos'!$C$122)*'Cálculos'!$C$262+'Cálculos'!$C$125*(1+2.78*('Cálculos'!$C$199+(($B$54)-$A42)*'Cálculos'!$C$98)/(('Cálculos'!$C$199+(($B$54)-$A42)*'Cálculos'!$C$98)+1400)+'Cálculos'!$C$123)*'Cálculos'!$C$267)+('Cálculos'!$C$258+'Cálculos'!$C$124*(1+2.78*('Cálculos'!$C$199+(($B$54)-$A42)*'Cálculos'!$C$98)/(('Cálculos'!$C$199+(($B$54)-$A42)*'Cálculos'!$C$98)+1400)+'Cálculos'!$C$122)*'Cálculos'!$C$263+'Cálculos'!$C$125*(1+2.78*('Cálculos'!$C$199+(($B$54)-$A42)*'Cálculos'!$C$98)/(('Cálculos'!$C$199+(($B$54)-$A42)*'Cálculos'!$C$98)+1400)+'Cálculos'!$C$123)*'Cálculos'!$C$268)+('Cálculos'!$C$185*(1+'Cálculos'!$C$190+$A42*('Cálculos'!$C$290=1)*'Cálculos'!$C$97+'Cálculos'!$C$305)+'Cálculos'!$C$195)*('Cálculos'!$C$269+'Cálculos'!$C$124*(1+2.78*('Cálculos'!$C$200+(($B$54)-$A42)*'Cálculos'!$C$98)/(('Cálculos'!$C$200+(($B$54)-$A42)*'Cálculos'!$C$98)+1400)+'Cálculos'!$C$122)*'Cálculos'!$C$274+'Cálculos'!$C$125*(1+2.78*('Cálculos'!$C$200+(($B$54)-$A42)*'Cálculos'!$C$98)/(('Cálculos'!$C$200+(($B$54)-$A42)*'Cálculos'!$C$98)+1400)+'Cálculos'!$C$123)*'Cálculos'!$C$279)+('Cálculos'!$C$200+(($B$54)-$A42)*'Cálculos'!$C$98)*('Cálculos'!$C$270+'Cálculos'!$C$124*(1+2.78*('Cálculos'!$C$200+(($B$54)-$A42)*'Cálculos'!$C$98)/(('Cálculos'!$C$200+(($B$54)-$A42)*'Cálculos'!$C$98)+1400)+'Cálculos'!$C$122)*'Cálculos'!$C$275+'Cálculos'!$C$125*(1+2.78*('Cálculos'!$C$200+(($B$54)-$A42)*'Cálculos'!$C$98)/(('Cálculos'!$C$200+(($B$54)-$A42)*'Cálculos'!$C$98)+1400)+'Cálculos'!$C$123)*'Cálculos'!$C$280)+('Cálculos'!$C$201*(1+'Cálculos'!$C$202+$A42*('Cálculos'!$C$290=2)*'Cálculos'!$C$101)+'Cálculos'!$C$203)*('Cálculos'!$C$271+'Cálculos'!$C$124*(1+2.78*('Cálculos'!$C$200+(($B$54)-$A42)*'Cálculos'!$C$98)/(('Cálculos'!$C$200+(($B$54)-$A42)*'Cálculos'!$C$98)+1400)+'Cálculos'!$C$122)*'Cálculos'!$C$276+'Cálculos'!$C$125*(1+2.78*('Cálculos'!$C$200+(($B$54)-$A42)*'Cálculos'!$C$98)/(('Cálculos'!$C$200+(($B$54)-$A42)*'Cálculos'!$C$98)+1400)+'Cálculos'!$C$123)*'Cálculos'!$C$281)+('Cálculos'!$C$204*(1+'Cálculos'!$C$205+$A42*('Cálculos'!$C$290=3)*'Cálculos'!$C$103)+'Cálculos'!$C$206)*('Cálculos'!$C$272+'Cálculos'!$C$124*(1+2.78*('Cálculos'!$C$200+(($B$54)-$A42)*'Cálculos'!$C$98)/(('Cálculos'!$C$200+(($B$54)-$A42)*'Cálculos'!$C$98)+1400)+'Cálculos'!$C$122)*'Cálculos'!$C$277+'Cálculos'!$C$125*(1+2.78*('Cálculos'!$C$200+(($B$54)-$A42)*'Cálculos'!$C$98)/(('Cálculos'!$C$200+(($B$54)-$A42)*'Cálculos'!$C$98)+1400)+'Cálculos'!$C$123)*'Cálculos'!$C$282)+('Cálculos'!$C$273+'Cálculos'!$C$124*(1+2.78*('Cálculos'!$C$200+(($B$54)-$A42)*'Cálculos'!$C$98)/(('Cálculos'!$C$200+(($B$54)-$A42)*'Cálculos'!$C$98)+1400)+'Cálculos'!$C$122)*'Cálculos'!$C$278+'Cálculos'!$C$125*(1+2.78*('Cálculos'!$C$200+(($B$54)-$A42)*'Cálculos'!$C$98)/(('Cálculos'!$C$200+(($B$54)-$A42)*'Cálculos'!$C$98)+1400)+'Cálculos'!$C$123)*'Cálculos'!$C$283)))</f>
        <v>0</v>
      </c>
    </row>
    <row r="43" ht="15.75" customHeight="1">
      <c r="A43" s="2">
        <v>37.0</v>
      </c>
      <c r="B43" s="30">
        <f>SUMPRODUCT(MAX(($A$6:$A$51&lt;=$A43)*($A$6:$A$51&lt;='Cálculos'!$C$294)*(($A43)-$A$6:$A$51&lt;='Cálculos'!$C$295)*(1+(('Cálculos'!$C$207+$A$6:$A$51*'Cálculos'!$C$95)-(('Cálculos'!$C$207+$A$6:$A$51*'Cálculos'!$C$95)&gt;1)*(('Cálculos'!$C$207+$A$6:$A$51*'Cálculos'!$C$95)-1))*('Cálculos'!$C$208+(($A43)-$A$6:$A$51)*'Cálculos'!$C$96))))</f>
        <v>4.44</v>
      </c>
      <c r="C43" s="2">
        <f>'Cálculos'!$C$303-$A43</f>
        <v>-17</v>
      </c>
      <c r="D43" s="31">
        <f>IF($C43&lt;0,0,SUMPRODUCT(MAX(($A$6:$A$51&lt;=$C43)*($A$6:$A$51&lt;='Cálculos'!$C$301)*(($C43)-$A$6:$A$51&lt;='Cálculos'!$C$297)*(('Cálculos'!$C$185*(1+'Cálculos'!$C$186+$A$6:$A$51*('Cálculos'!$C$290=1)*'Cálculos'!$C$97+'Cálculos'!$C$305)+'Cálculos'!$C$191)*('Cálculos'!$C$209+'Cálculos'!$C$124*(1+2.78*('Cálculos'!$C$196+(($C43)-$A$6:$A$51)*'Cálculos'!$C$98)/(('Cálculos'!$C$196+(($C43)-$A$6:$A$51)*'Cálculos'!$C$98)+1400)+'Cálculos'!$C$122)*'Cálculos'!$C$214+'Cálculos'!$C$125*(1+2.78*('Cálculos'!$C$196+(($C43)-$A$6:$A$51)*'Cálculos'!$C$98)/(('Cálculos'!$C$196+(($C43)-$A$6:$A$51)*'Cálculos'!$C$98)+1400)+'Cálculos'!$C$123)*'Cálculos'!$C$219)+('Cálculos'!$C$196+(($C43)-$A$6:$A$51)*'Cálculos'!$C$98)*('Cálculos'!$C$210+'Cálculos'!$C$124*(1+2.78*('Cálculos'!$C$196+(($C43)-$A$6:$A$51)*'Cálculos'!$C$98)/(('Cálculos'!$C$196+(($C43)-$A$6:$A$51)*'Cálculos'!$C$98)+1400)+'Cálculos'!$C$122)*'Cálculos'!$C$215+'Cálculos'!$C$125*(1+2.78*('Cálculos'!$C$196+(($C43)-$A$6:$A$51)*'Cálculos'!$C$98)/(('Cálculos'!$C$196+(($C43)-$A$6:$A$51)*'Cálculos'!$C$98)+1400)+'Cálculos'!$C$123)*'Cálculos'!$C$220)+('Cálculos'!$C$201*(1+'Cálculos'!$C$202+$A$6:$A$51*('Cálculos'!$C$290=2)*'Cálculos'!$C$101)+'Cálculos'!$C$203)*('Cálculos'!$C$211+'Cálculos'!$C$124*(1+2.78*('Cálculos'!$C$196+(($C43)-$A$6:$A$51)*'Cálculos'!$C$98)/(('Cálculos'!$C$196+(($C43)-$A$6:$A$51)*'Cálculos'!$C$98)+1400)+'Cálculos'!$C$122)*'Cálculos'!$C$216+'Cálculos'!$C$125*(1+2.78*('Cálculos'!$C$196+(($C43)-$A$6:$A$51)*'Cálculos'!$C$98)/(('Cálculos'!$C$196+(($C43)-$A$6:$A$51)*'Cálculos'!$C$98)+1400)+'Cálculos'!$C$123)*'Cálculos'!$C$221)+('Cálculos'!$C$204*(1+'Cálculos'!$C$205+$A$6:$A$51*('Cálculos'!$C$290=3)*'Cálculos'!$C$103)+'Cálculos'!$C$206)*('Cálculos'!$C$212+'Cálculos'!$C$124*(1+2.78*('Cálculos'!$C$196+(($C43)-$A$6:$A$51)*'Cálculos'!$C$98)/(('Cálculos'!$C$196+(($C43)-$A$6:$A$51)*'Cálculos'!$C$98)+1400)+'Cálculos'!$C$122)*'Cálculos'!$C$217+'Cálculos'!$C$125*(1+2.78*('Cálculos'!$C$196+(($C43)-$A$6:$A$51)*'Cálculos'!$C$98)/(('Cálculos'!$C$196+(($C43)-$A$6:$A$51)*'Cálculos'!$C$98)+1400)+'Cálculos'!$C$123)*'Cálculos'!$C$222)+('Cálculos'!$C$213+'Cálculos'!$C$124*(1+2.78*('Cálculos'!$C$196+(($C43)-$A$6:$A$51)*'Cálculos'!$C$98)/(('Cálculos'!$C$196+(($C43)-$A$6:$A$51)*'Cálculos'!$C$98)+1400)+'Cálculos'!$C$122)*'Cálculos'!$C$218+'Cálculos'!$C$125*(1+2.78*('Cálculos'!$C$196+(($C43)-$A$6:$A$51)*'Cálculos'!$C$98)/(('Cálculos'!$C$196+(($C43)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43)-$A$6:$A$51)*'Cálculos'!$C$98)/(('Cálculos'!$C$197+(($C43)-$A$6:$A$51)*'Cálculos'!$C$98)+1400)+'Cálculos'!$C$122)*'Cálculos'!$C$229+'Cálculos'!$C$125*(1+2.78*('Cálculos'!$C$197+(($C43)-$A$6:$A$51)*'Cálculos'!$C$98)/(('Cálculos'!$C$197+(($C43)-$A$6:$A$51)*'Cálculos'!$C$98)+1400)+'Cálculos'!$C$123)*'Cálculos'!$C$234)+('Cálculos'!$C$197+(($C43)-$A$6:$A$51)*'Cálculos'!$C$98)*('Cálculos'!$C$225+'Cálculos'!$C$124*(1+2.78*('Cálculos'!$C$197+(($C43)-$A$6:$A$51)*'Cálculos'!$C$98)/(('Cálculos'!$C$197+(($C43)-$A$6:$A$51)*'Cálculos'!$C$98)+1400)+'Cálculos'!$C$122)*'Cálculos'!$C$230+'Cálculos'!$C$125*(1+2.78*('Cálculos'!$C$197+(($C43)-$A$6:$A$51)*'Cálculos'!$C$98)/(('Cálculos'!$C$197+(($C43)-$A$6:$A$51)*'Cálculos'!$C$98)+1400)+'Cálculos'!$C$123)*'Cálculos'!$C$235)+('Cálculos'!$C$201*(1+'Cálculos'!$C$202+$A$6:$A$51*('Cálculos'!$C$290=2)*'Cálculos'!$C$101)+'Cálculos'!$C$203)*('Cálculos'!$C$226+'Cálculos'!$C$124*(1+2.78*('Cálculos'!$C$197+(($C43)-$A$6:$A$51)*'Cálculos'!$C$98)/(('Cálculos'!$C$197+(($C43)-$A$6:$A$51)*'Cálculos'!$C$98)+1400)+'Cálculos'!$C$122)*'Cálculos'!$C$231+'Cálculos'!$C$125*(1+2.78*('Cálculos'!$C$197+(($C43)-$A$6:$A$51)*'Cálculos'!$C$98)/(('Cálculos'!$C$197+(($C43)-$A$6:$A$51)*'Cálculos'!$C$98)+1400)+'Cálculos'!$C$123)*'Cálculos'!$C$236)+('Cálculos'!$C$204*(1+'Cálculos'!$C$205+$A$6:$A$51*('Cálculos'!$C$290=3)*'Cálculos'!$C$103)+'Cálculos'!$C$206)*('Cálculos'!$C$227+'Cálculos'!$C$124*(1+2.78*('Cálculos'!$C$197+(($C43)-$A$6:$A$51)*'Cálculos'!$C$98)/(('Cálculos'!$C$197+(($C43)-$A$6:$A$51)*'Cálculos'!$C$98)+1400)+'Cálculos'!$C$122)*'Cálculos'!$C$232+'Cálculos'!$C$125*(1+2.78*('Cálculos'!$C$197+(($C43)-$A$6:$A$51)*'Cálculos'!$C$98)/(('Cálculos'!$C$197+(($C43)-$A$6:$A$51)*'Cálculos'!$C$98)+1400)+'Cálculos'!$C$123)*'Cálculos'!$C$237)+('Cálculos'!$C$228+'Cálculos'!$C$124*(1+2.78*('Cálculos'!$C$197+(($C43)-$A$6:$A$51)*'Cálculos'!$C$98)/(('Cálculos'!$C$197+(($C43)-$A$6:$A$51)*'Cálculos'!$C$98)+1400)+'Cálculos'!$C$122)*'Cálculos'!$C$233+'Cálculos'!$C$125*(1+2.78*('Cálculos'!$C$197+(($C43)-$A$6:$A$51)*'Cálculos'!$C$98)/(('Cálculos'!$C$197+(($C43)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43)-$A$6:$A$51)*'Cálculos'!$C$98)/(('Cálculos'!$C$198+(($C43)-$A$6:$A$51)*'Cálculos'!$C$98)+1400)+'Cálculos'!$C$122)*'Cálculos'!$C$244+'Cálculos'!$C$125*(1+2.78*('Cálculos'!$C$198+(($C43)-$A$6:$A$51)*'Cálculos'!$C$98)/(('Cálculos'!$C$198+(($C43)-$A$6:$A$51)*'Cálculos'!$C$98)+1400)+'Cálculos'!$C$123)*'Cálculos'!$C$249)+('Cálculos'!$C$198+(($C43)-$A$6:$A$51)*'Cálculos'!$C$98)*('Cálculos'!$C$240+'Cálculos'!$C$124*(1+2.78*('Cálculos'!$C$198+(($C43)-$A$6:$A$51)*'Cálculos'!$C$98)/(('Cálculos'!$C$198+(($C43)-$A$6:$A$51)*'Cálculos'!$C$98)+1400)+'Cálculos'!$C$122)*'Cálculos'!$C$245+'Cálculos'!$C$125*(1+2.78*('Cálculos'!$C$198+(($C43)-$A$6:$A$51)*'Cálculos'!$C$98)/(('Cálculos'!$C$198+(($C43)-$A$6:$A$51)*'Cálculos'!$C$98)+1400)+'Cálculos'!$C$123)*'Cálculos'!$C$250)+('Cálculos'!$C$201*(1+'Cálculos'!$C$202+$A$6:$A$51*('Cálculos'!$C$290=2)*'Cálculos'!$C$101)+'Cálculos'!$C$203)*('Cálculos'!$C$241+'Cálculos'!$C$124*(1+2.78*('Cálculos'!$C$198+(($C43)-$A$6:$A$51)*'Cálculos'!$C$98)/(('Cálculos'!$C$198+(($C43)-$A$6:$A$51)*'Cálculos'!$C$98)+1400)+'Cálculos'!$C$122)*'Cálculos'!$C$246+'Cálculos'!$C$125*(1+2.78*('Cálculos'!$C$198+(($C43)-$A$6:$A$51)*'Cálculos'!$C$98)/(('Cálculos'!$C$198+(($C43)-$A$6:$A$51)*'Cálculos'!$C$98)+1400)+'Cálculos'!$C$123)*'Cálculos'!$C$251)+('Cálculos'!$C$204*(1+'Cálculos'!$C$205+$A$6:$A$51*('Cálculos'!$C$290=3)*'Cálculos'!$C$103)+'Cálculos'!$C$206)*('Cálculos'!$C$242+'Cálculos'!$C$124*(1+2.78*('Cálculos'!$C$198+(($C43)-$A$6:$A$51)*'Cálculos'!$C$98)/(('Cálculos'!$C$198+(($C43)-$A$6:$A$51)*'Cálculos'!$C$98)+1400)+'Cálculos'!$C$122)*'Cálculos'!$C$247+'Cálculos'!$C$125*(1+2.78*('Cálculos'!$C$198+(($C43)-$A$6:$A$51)*'Cálculos'!$C$98)/(('Cálculos'!$C$198+(($C43)-$A$6:$A$51)*'Cálculos'!$C$98)+1400)+'Cálculos'!$C$123)*'Cálculos'!$C$252)+('Cálculos'!$C$243+'Cálculos'!$C$124*(1+2.78*('Cálculos'!$C$198+(($C43)-$A$6:$A$51)*'Cálculos'!$C$98)/(('Cálculos'!$C$198+(($C43)-$A$6:$A$51)*'Cálculos'!$C$98)+1400)+'Cálculos'!$C$122)*'Cálculos'!$C$248+'Cálculos'!$C$125*(1+2.78*('Cálculos'!$C$198+(($C43)-$A$6:$A$51)*'Cálculos'!$C$98)/(('Cálculos'!$C$198+(($C43)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43)-$A$6:$A$51)*'Cálculos'!$C$98)/(('Cálculos'!$C$199+(($C43)-$A$6:$A$51)*'Cálculos'!$C$98)+1400)+'Cálculos'!$C$122)*'Cálculos'!$C$259+'Cálculos'!$C$125*(1+2.78*('Cálculos'!$C$199+(($C43)-$A$6:$A$51)*'Cálculos'!$C$98)/(('Cálculos'!$C$199+(($C43)-$A$6:$A$51)*'Cálculos'!$C$98)+1400)+'Cálculos'!$C$123)*'Cálculos'!$C$264)+('Cálculos'!$C$199+(($C43)-$A$6:$A$51)*'Cálculos'!$C$98)*('Cálculos'!$C$255+'Cálculos'!$C$124*(1+2.78*('Cálculos'!$C$199+(($C43)-$A$6:$A$51)*'Cálculos'!$C$98)/(('Cálculos'!$C$199+(($C43)-$A$6:$A$51)*'Cálculos'!$C$98)+1400)+'Cálculos'!$C$122)*'Cálculos'!$C$260+'Cálculos'!$C$125*(1+2.78*('Cálculos'!$C$199+(($C43)-$A$6:$A$51)*'Cálculos'!$C$98)/(('Cálculos'!$C$199+(($C43)-$A$6:$A$51)*'Cálculos'!$C$98)+1400)+'Cálculos'!$C$123)*'Cálculos'!$C$265)+('Cálculos'!$C$201*(1+'Cálculos'!$C$202+$A$6:$A$51*('Cálculos'!$C$290=2)*'Cálculos'!$C$101)+'Cálculos'!$C$203)*('Cálculos'!$C$256+'Cálculos'!$C$124*(1+2.78*('Cálculos'!$C$199+(($C43)-$A$6:$A$51)*'Cálculos'!$C$98)/(('Cálculos'!$C$199+(($C43)-$A$6:$A$51)*'Cálculos'!$C$98)+1400)+'Cálculos'!$C$122)*'Cálculos'!$C$261+'Cálculos'!$C$125*(1+2.78*('Cálculos'!$C$199+(($C43)-$A$6:$A$51)*'Cálculos'!$C$98)/(('Cálculos'!$C$199+(($C43)-$A$6:$A$51)*'Cálculos'!$C$98)+1400)+'Cálculos'!$C$123)*'Cálculos'!$C$266)+('Cálculos'!$C$204*(1+'Cálculos'!$C$205+$A$6:$A$51*('Cálculos'!$C$290=3)*'Cálculos'!$C$103)+'Cálculos'!$C$206)*('Cálculos'!$C$257+'Cálculos'!$C$124*(1+2.78*('Cálculos'!$C$199+(($C43)-$A$6:$A$51)*'Cálculos'!$C$98)/(('Cálculos'!$C$199+(($C43)-$A$6:$A$51)*'Cálculos'!$C$98)+1400)+'Cálculos'!$C$122)*'Cálculos'!$C$262+'Cálculos'!$C$125*(1+2.78*('Cálculos'!$C$199+(($C43)-$A$6:$A$51)*'Cálculos'!$C$98)/(('Cálculos'!$C$199+(($C43)-$A$6:$A$51)*'Cálculos'!$C$98)+1400)+'Cálculos'!$C$123)*'Cálculos'!$C$267)+('Cálculos'!$C$258+'Cálculos'!$C$124*(1+2.78*('Cálculos'!$C$199+(($C43)-$A$6:$A$51)*'Cálculos'!$C$98)/(('Cálculos'!$C$199+(($C43)-$A$6:$A$51)*'Cálculos'!$C$98)+1400)+'Cálculos'!$C$122)*'Cálculos'!$C$263+'Cálculos'!$C$125*(1+2.78*('Cálculos'!$C$199+(($C43)-$A$6:$A$51)*'Cálculos'!$C$98)/(('Cálculos'!$C$199+(($C43)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43)-$A$6:$A$51)*'Cálculos'!$C$98)/(('Cálculos'!$C$200+(($C43)-$A$6:$A$51)*'Cálculos'!$C$98)+1400)+'Cálculos'!$C$122)*'Cálculos'!$C$274+'Cálculos'!$C$125*(1+2.78*('Cálculos'!$C$200+(($C43)-$A$6:$A$51)*'Cálculos'!$C$98)/(('Cálculos'!$C$200+(($C43)-$A$6:$A$51)*'Cálculos'!$C$98)+1400)+'Cálculos'!$C$123)*'Cálculos'!$C$279)+('Cálculos'!$C$200+(($C43)-$A$6:$A$51)*'Cálculos'!$C$98)*('Cálculos'!$C$270+'Cálculos'!$C$124*(1+2.78*('Cálculos'!$C$200+(($C43)-$A$6:$A$51)*'Cálculos'!$C$98)/(('Cálculos'!$C$200+(($C43)-$A$6:$A$51)*'Cálculos'!$C$98)+1400)+'Cálculos'!$C$122)*'Cálculos'!$C$275+'Cálculos'!$C$125*(1+2.78*('Cálculos'!$C$200+(($C43)-$A$6:$A$51)*'Cálculos'!$C$98)/(('Cálculos'!$C$200+(($C43)-$A$6:$A$51)*'Cálculos'!$C$98)+1400)+'Cálculos'!$C$123)*'Cálculos'!$C$280)+('Cálculos'!$C$201*(1+'Cálculos'!$C$202+$A$6:$A$51*('Cálculos'!$C$290=2)*'Cálculos'!$C$101)+'Cálculos'!$C$203)*('Cálculos'!$C$271+'Cálculos'!$C$124*(1+2.78*('Cálculos'!$C$200+(($C43)-$A$6:$A$51)*'Cálculos'!$C$98)/(('Cálculos'!$C$200+(($C43)-$A$6:$A$51)*'Cálculos'!$C$98)+1400)+'Cálculos'!$C$122)*'Cálculos'!$C$276+'Cálculos'!$C$125*(1+2.78*('Cálculos'!$C$200+(($C43)-$A$6:$A$51)*'Cálculos'!$C$98)/(('Cálculos'!$C$200+(($C43)-$A$6:$A$51)*'Cálculos'!$C$98)+1400)+'Cálculos'!$C$123)*'Cálculos'!$C$281)+('Cálculos'!$C$204*(1+'Cálculos'!$C$205+$A$6:$A$51*('Cálculos'!$C$290=3)*'Cálculos'!$C$103)+'Cálculos'!$C$206)*('Cálculos'!$C$272+'Cálculos'!$C$124*(1+2.78*('Cálculos'!$C$200+(($C43)-$A$6:$A$51)*'Cálculos'!$C$98)/(('Cálculos'!$C$200+(($C43)-$A$6:$A$51)*'Cálculos'!$C$98)+1400)+'Cálculos'!$C$122)*'Cálculos'!$C$277+'Cálculos'!$C$125*(1+2.78*('Cálculos'!$C$200+(($C43)-$A$6:$A$51)*'Cálculos'!$C$98)/(('Cálculos'!$C$200+(($C43)-$A$6:$A$51)*'Cálculos'!$C$98)+1400)+'Cálculos'!$C$123)*'Cálculos'!$C$282)+('Cálculos'!$C$273+'Cálculos'!$C$124*(1+2.78*('Cálculos'!$C$200+(($C43)-$A$6:$A$51)*'Cálculos'!$C$98)/(('Cálculos'!$C$200+(($C43)-$A$6:$A$51)*'Cálculos'!$C$98)+1400)+'Cálculos'!$C$122)*'Cálculos'!$C$278+'Cálculos'!$C$125*(1+2.78*('Cálculos'!$C$200+(($C43)-$A$6:$A$51)*'Cálculos'!$C$98)/(('Cálculos'!$C$200+(($C43)-$A$6:$A$51)*'Cálculos'!$C$98)+1400)+'Cálculos'!$C$123)*'Cálculos'!$C$283)))))</f>
        <v>0</v>
      </c>
      <c r="E43" s="32">
        <f>IF(OR($C43&lt;0,'Cálculos'!$C$6=""),0,$B43*$D43)</f>
        <v>0</v>
      </c>
      <c r="F43" s="2"/>
      <c r="G43" s="30">
        <f>($A43&lt;=$B$53)*($A43&lt;='Cálculos'!$C$294)*(($B$53)-$A43&lt;='Cálculos'!$C$295)*(1+MIN(('Cálculos'!$C$207+$A43*'Cálculos'!$C$95),1)*('Cálculos'!$C$208+(($B$53)-$A43)*'Cálculos'!$C$96))</f>
        <v>0</v>
      </c>
      <c r="H43" s="31">
        <f>IF($B$54&lt;0,0,($A43&lt;=$B$54)*($A43&lt;='Cálculos'!$C$301)*(($B$54)-$A43&lt;='Cálculos'!$C$297)*(('Cálculos'!$C$185*(1+'Cálculos'!$C$186+$A43*('Cálculos'!$C$290=1)*'Cálculos'!$C$97+'Cálculos'!$C$305)+'Cálculos'!$C$191)*('Cálculos'!$C$209+'Cálculos'!$C$124*(1+2.78*('Cálculos'!$C$196+(($B$54)-$A43)*'Cálculos'!$C$98)/(('Cálculos'!$C$196+(($B$54)-$A43)*'Cálculos'!$C$98)+1400)+'Cálculos'!$C$122)*'Cálculos'!$C$214+'Cálculos'!$C$125*(1+2.78*('Cálculos'!$C$196+(($B$54)-$A43)*'Cálculos'!$C$98)/(('Cálculos'!$C$196+(($B$54)-$A43)*'Cálculos'!$C$98)+1400)+'Cálculos'!$C$123)*'Cálculos'!$C$219)+('Cálculos'!$C$196+(($B$54)-$A43)*'Cálculos'!$C$98)*('Cálculos'!$C$210+'Cálculos'!$C$124*(1+2.78*('Cálculos'!$C$196+(($B$54)-$A43)*'Cálculos'!$C$98)/(('Cálculos'!$C$196+(($B$54)-$A43)*'Cálculos'!$C$98)+1400)+'Cálculos'!$C$122)*'Cálculos'!$C$215+'Cálculos'!$C$125*(1+2.78*('Cálculos'!$C$196+(($B$54)-$A43)*'Cálculos'!$C$98)/(('Cálculos'!$C$196+(($B$54)-$A43)*'Cálculos'!$C$98)+1400)+'Cálculos'!$C$123)*'Cálculos'!$C$220)+('Cálculos'!$C$201*(1+'Cálculos'!$C$202+$A43*('Cálculos'!$C$290=2)*'Cálculos'!$C$101)+'Cálculos'!$C$203)*('Cálculos'!$C$211+'Cálculos'!$C$124*(1+2.78*('Cálculos'!$C$196+(($B$54)-$A43)*'Cálculos'!$C$98)/(('Cálculos'!$C$196+(($B$54)-$A43)*'Cálculos'!$C$98)+1400)+'Cálculos'!$C$122)*'Cálculos'!$C$216+'Cálculos'!$C$125*(1+2.78*('Cálculos'!$C$196+(($B$54)-$A43)*'Cálculos'!$C$98)/(('Cálculos'!$C$196+(($B$54)-$A43)*'Cálculos'!$C$98)+1400)+'Cálculos'!$C$123)*'Cálculos'!$C$221)+('Cálculos'!$C$204*(1+'Cálculos'!$C$205+$A43*('Cálculos'!$C$290=3)*'Cálculos'!$C$103)+'Cálculos'!$C$206)*('Cálculos'!$C$212+'Cálculos'!$C$124*(1+2.78*('Cálculos'!$C$196+(($B$54)-$A43)*'Cálculos'!$C$98)/(('Cálculos'!$C$196+(($B$54)-$A43)*'Cálculos'!$C$98)+1400)+'Cálculos'!$C$122)*'Cálculos'!$C$217+'Cálculos'!$C$125*(1+2.78*('Cálculos'!$C$196+(($B$54)-$A43)*'Cálculos'!$C$98)/(('Cálculos'!$C$196+(($B$54)-$A43)*'Cálculos'!$C$98)+1400)+'Cálculos'!$C$123)*'Cálculos'!$C$222)+('Cálculos'!$C$213+'Cálculos'!$C$124*(1+2.78*('Cálculos'!$C$196+(($B$54)-$A43)*'Cálculos'!$C$98)/(('Cálculos'!$C$196+(($B$54)-$A43)*'Cálculos'!$C$98)+1400)+'Cálculos'!$C$122)*'Cálculos'!$C$218+'Cálculos'!$C$125*(1+2.78*('Cálculos'!$C$196+(($B$54)-$A43)*'Cálculos'!$C$98)/(('Cálculos'!$C$196+(($B$54)-$A43)*'Cálculos'!$C$98)+1400)+'Cálculos'!$C$123)*'Cálculos'!$C$223)+('Cálculos'!$C$185*(1+'Cálculos'!$C$187+$A43*('Cálculos'!$C$290=1)*'Cálculos'!$C$97+'Cálculos'!$C$305)+'Cálculos'!$C$192)*('Cálculos'!$C$224+'Cálculos'!$C$124*(1+2.78*('Cálculos'!$C$197+(($B$54)-$A43)*'Cálculos'!$C$98)/(('Cálculos'!$C$197+(($B$54)-$A43)*'Cálculos'!$C$98)+1400)+'Cálculos'!$C$122)*'Cálculos'!$C$229+'Cálculos'!$C$125*(1+2.78*('Cálculos'!$C$197+(($B$54)-$A43)*'Cálculos'!$C$98)/(('Cálculos'!$C$197+(($B$54)-$A43)*'Cálculos'!$C$98)+1400)+'Cálculos'!$C$123)*'Cálculos'!$C$234)+('Cálculos'!$C$197+(($B$54)-$A43)*'Cálculos'!$C$98)*('Cálculos'!$C$225+'Cálculos'!$C$124*(1+2.78*('Cálculos'!$C$197+(($B$54)-$A43)*'Cálculos'!$C$98)/(('Cálculos'!$C$197+(($B$54)-$A43)*'Cálculos'!$C$98)+1400)+'Cálculos'!$C$122)*'Cálculos'!$C$230+'Cálculos'!$C$125*(1+2.78*('Cálculos'!$C$197+(($B$54)-$A43)*'Cálculos'!$C$98)/(('Cálculos'!$C$197+(($B$54)-$A43)*'Cálculos'!$C$98)+1400)+'Cálculos'!$C$123)*'Cálculos'!$C$235)+('Cálculos'!$C$201*(1+'Cálculos'!$C$202+$A43*('Cálculos'!$C$290=2)*'Cálculos'!$C$101)+'Cálculos'!$C$203)*('Cálculos'!$C$226+'Cálculos'!$C$124*(1+2.78*('Cálculos'!$C$197+(($B$54)-$A43)*'Cálculos'!$C$98)/(('Cálculos'!$C$197+(($B$54)-$A43)*'Cálculos'!$C$98)+1400)+'Cálculos'!$C$122)*'Cálculos'!$C$231+'Cálculos'!$C$125*(1+2.78*('Cálculos'!$C$197+(($B$54)-$A43)*'Cálculos'!$C$98)/(('Cálculos'!$C$197+(($B$54)-$A43)*'Cálculos'!$C$98)+1400)+'Cálculos'!$C$123)*'Cálculos'!$C$236)+('Cálculos'!$C$204*(1+'Cálculos'!$C$205+$A43*('Cálculos'!$C$290=3)*'Cálculos'!$C$103)+'Cálculos'!$C$206)*('Cálculos'!$C$227+'Cálculos'!$C$124*(1+2.78*('Cálculos'!$C$197+(($B$54)-$A43)*'Cálculos'!$C$98)/(('Cálculos'!$C$197+(($B$54)-$A43)*'Cálculos'!$C$98)+1400)+'Cálculos'!$C$122)*'Cálculos'!$C$232+'Cálculos'!$C$125*(1+2.78*('Cálculos'!$C$197+(($B$54)-$A43)*'Cálculos'!$C$98)/(('Cálculos'!$C$197+(($B$54)-$A43)*'Cálculos'!$C$98)+1400)+'Cálculos'!$C$123)*'Cálculos'!$C$237)+('Cálculos'!$C$228+'Cálculos'!$C$124*(1+2.78*('Cálculos'!$C$197+(($B$54)-$A43)*'Cálculos'!$C$98)/(('Cálculos'!$C$197+(($B$54)-$A43)*'Cálculos'!$C$98)+1400)+'Cálculos'!$C$122)*'Cálculos'!$C$233+'Cálculos'!$C$125*(1+2.78*('Cálculos'!$C$197+(($B$54)-$A43)*'Cálculos'!$C$98)/(('Cálculos'!$C$197+(($B$54)-$A43)*'Cálculos'!$C$98)+1400)+'Cálculos'!$C$123)*'Cálculos'!$C$238)+('Cálculos'!$C$185*(1+'Cálculos'!$C$188+$A43*('Cálculos'!$C$290=1)*'Cálculos'!$C$97+'Cálculos'!$C$305)+'Cálculos'!$C$193)*('Cálculos'!$C$239+'Cálculos'!$C$124*(1+2.78*('Cálculos'!$C$198+(($B$54)-$A43)*'Cálculos'!$C$98)/(('Cálculos'!$C$198+(($B$54)-$A43)*'Cálculos'!$C$98)+1400)+'Cálculos'!$C$122)*'Cálculos'!$C$244+'Cálculos'!$C$125*(1+2.78*('Cálculos'!$C$198+(($B$54)-$A43)*'Cálculos'!$C$98)/(('Cálculos'!$C$198+(($B$54)-$A43)*'Cálculos'!$C$98)+1400)+'Cálculos'!$C$123)*'Cálculos'!$C$249)+('Cálculos'!$C$198+(($B$54)-$A43)*'Cálculos'!$C$98)*('Cálculos'!$C$240+'Cálculos'!$C$124*(1+2.78*('Cálculos'!$C$198+(($B$54)-$A43)*'Cálculos'!$C$98)/(('Cálculos'!$C$198+(($B$54)-$A43)*'Cálculos'!$C$98)+1400)+'Cálculos'!$C$122)*'Cálculos'!$C$245+'Cálculos'!$C$125*(1+2.78*('Cálculos'!$C$198+(($B$54)-$A43)*'Cálculos'!$C$98)/(('Cálculos'!$C$198+(($B$54)-$A43)*'Cálculos'!$C$98)+1400)+'Cálculos'!$C$123)*'Cálculos'!$C$250)+('Cálculos'!$C$201*(1+'Cálculos'!$C$202+$A43*('Cálculos'!$C$290=2)*'Cálculos'!$C$101)+'Cálculos'!$C$203)*('Cálculos'!$C$241+'Cálculos'!$C$124*(1+2.78*('Cálculos'!$C$198+(($B$54)-$A43)*'Cálculos'!$C$98)/(('Cálculos'!$C$198+(($B$54)-$A43)*'Cálculos'!$C$98)+1400)+'Cálculos'!$C$122)*'Cálculos'!$C$246+'Cálculos'!$C$125*(1+2.78*('Cálculos'!$C$198+(($B$54)-$A43)*'Cálculos'!$C$98)/(('Cálculos'!$C$198+(($B$54)-$A43)*'Cálculos'!$C$98)+1400)+'Cálculos'!$C$123)*'Cálculos'!$C$251)+('Cálculos'!$C$204*(1+'Cálculos'!$C$205+$A43*('Cálculos'!$C$290=3)*'Cálculos'!$C$103)+'Cálculos'!$C$206)*('Cálculos'!$C$242+'Cálculos'!$C$124*(1+2.78*('Cálculos'!$C$198+(($B$54)-$A43)*'Cálculos'!$C$98)/(('Cálculos'!$C$198+(($B$54)-$A43)*'Cálculos'!$C$98)+1400)+'Cálculos'!$C$122)*'Cálculos'!$C$247+'Cálculos'!$C$125*(1+2.78*('Cálculos'!$C$198+(($B$54)-$A43)*'Cálculos'!$C$98)/(('Cálculos'!$C$198+(($B$54)-$A43)*'Cálculos'!$C$98)+1400)+'Cálculos'!$C$123)*'Cálculos'!$C$252)+('Cálculos'!$C$243+'Cálculos'!$C$124*(1+2.78*('Cálculos'!$C$198+(($B$54)-$A43)*'Cálculos'!$C$98)/(('Cálculos'!$C$198+(($B$54)-$A43)*'Cálculos'!$C$98)+1400)+'Cálculos'!$C$122)*'Cálculos'!$C$248+'Cálculos'!$C$125*(1+2.78*('Cálculos'!$C$198+(($B$54)-$A43)*'Cálculos'!$C$98)/(('Cálculos'!$C$198+(($B$54)-$A43)*'Cálculos'!$C$98)+1400)+'Cálculos'!$C$123)*'Cálculos'!$C$253)+('Cálculos'!$C$185*(1+'Cálculos'!$C$189+$A43*('Cálculos'!$C$290=1)*'Cálculos'!$C$97+'Cálculos'!$C$305)+'Cálculos'!$C$194)*('Cálculos'!$C$254+'Cálculos'!$C$124*(1+2.78*('Cálculos'!$C$199+(($B$54)-$A43)*'Cálculos'!$C$98)/(('Cálculos'!$C$199+(($B$54)-$A43)*'Cálculos'!$C$98)+1400)+'Cálculos'!$C$122)*'Cálculos'!$C$259+'Cálculos'!$C$125*(1+2.78*('Cálculos'!$C$199+(($B$54)-$A43)*'Cálculos'!$C$98)/(('Cálculos'!$C$199+(($B$54)-$A43)*'Cálculos'!$C$98)+1400)+'Cálculos'!$C$123)*'Cálculos'!$C$264)+('Cálculos'!$C$199+(($B$54)-$A43)*'Cálculos'!$C$98)*('Cálculos'!$C$255+'Cálculos'!$C$124*(1+2.78*('Cálculos'!$C$199+(($B$54)-$A43)*'Cálculos'!$C$98)/(('Cálculos'!$C$199+(($B$54)-$A43)*'Cálculos'!$C$98)+1400)+'Cálculos'!$C$122)*'Cálculos'!$C$260+'Cálculos'!$C$125*(1+2.78*('Cálculos'!$C$199+(($B$54)-$A43)*'Cálculos'!$C$98)/(('Cálculos'!$C$199+(($B$54)-$A43)*'Cálculos'!$C$98)+1400)+'Cálculos'!$C$123)*'Cálculos'!$C$265)+('Cálculos'!$C$201*(1+'Cálculos'!$C$202+$A43*('Cálculos'!$C$290=2)*'Cálculos'!$C$101)+'Cálculos'!$C$203)*('Cálculos'!$C$256+'Cálculos'!$C$124*(1+2.78*('Cálculos'!$C$199+(($B$54)-$A43)*'Cálculos'!$C$98)/(('Cálculos'!$C$199+(($B$54)-$A43)*'Cálculos'!$C$98)+1400)+'Cálculos'!$C$122)*'Cálculos'!$C$261+'Cálculos'!$C$125*(1+2.78*('Cálculos'!$C$199+(($B$54)-$A43)*'Cálculos'!$C$98)/(('Cálculos'!$C$199+(($B$54)-$A43)*'Cálculos'!$C$98)+1400)+'Cálculos'!$C$123)*'Cálculos'!$C$266)+('Cálculos'!$C$204*(1+'Cálculos'!$C$205+$A43*('Cálculos'!$C$290=3)*'Cálculos'!$C$103)+'Cálculos'!$C$206)*('Cálculos'!$C$257+'Cálculos'!$C$124*(1+2.78*('Cálculos'!$C$199+(($B$54)-$A43)*'Cálculos'!$C$98)/(('Cálculos'!$C$199+(($B$54)-$A43)*'Cálculos'!$C$98)+1400)+'Cálculos'!$C$122)*'Cálculos'!$C$262+'Cálculos'!$C$125*(1+2.78*('Cálculos'!$C$199+(($B$54)-$A43)*'Cálculos'!$C$98)/(('Cálculos'!$C$199+(($B$54)-$A43)*'Cálculos'!$C$98)+1400)+'Cálculos'!$C$123)*'Cálculos'!$C$267)+('Cálculos'!$C$258+'Cálculos'!$C$124*(1+2.78*('Cálculos'!$C$199+(($B$54)-$A43)*'Cálculos'!$C$98)/(('Cálculos'!$C$199+(($B$54)-$A43)*'Cálculos'!$C$98)+1400)+'Cálculos'!$C$122)*'Cálculos'!$C$263+'Cálculos'!$C$125*(1+2.78*('Cálculos'!$C$199+(($B$54)-$A43)*'Cálculos'!$C$98)/(('Cálculos'!$C$199+(($B$54)-$A43)*'Cálculos'!$C$98)+1400)+'Cálculos'!$C$123)*'Cálculos'!$C$268)+('Cálculos'!$C$185*(1+'Cálculos'!$C$190+$A43*('Cálculos'!$C$290=1)*'Cálculos'!$C$97+'Cálculos'!$C$305)+'Cálculos'!$C$195)*('Cálculos'!$C$269+'Cálculos'!$C$124*(1+2.78*('Cálculos'!$C$200+(($B$54)-$A43)*'Cálculos'!$C$98)/(('Cálculos'!$C$200+(($B$54)-$A43)*'Cálculos'!$C$98)+1400)+'Cálculos'!$C$122)*'Cálculos'!$C$274+'Cálculos'!$C$125*(1+2.78*('Cálculos'!$C$200+(($B$54)-$A43)*'Cálculos'!$C$98)/(('Cálculos'!$C$200+(($B$54)-$A43)*'Cálculos'!$C$98)+1400)+'Cálculos'!$C$123)*'Cálculos'!$C$279)+('Cálculos'!$C$200+(($B$54)-$A43)*'Cálculos'!$C$98)*('Cálculos'!$C$270+'Cálculos'!$C$124*(1+2.78*('Cálculos'!$C$200+(($B$54)-$A43)*'Cálculos'!$C$98)/(('Cálculos'!$C$200+(($B$54)-$A43)*'Cálculos'!$C$98)+1400)+'Cálculos'!$C$122)*'Cálculos'!$C$275+'Cálculos'!$C$125*(1+2.78*('Cálculos'!$C$200+(($B$54)-$A43)*'Cálculos'!$C$98)/(('Cálculos'!$C$200+(($B$54)-$A43)*'Cálculos'!$C$98)+1400)+'Cálculos'!$C$123)*'Cálculos'!$C$280)+('Cálculos'!$C$201*(1+'Cálculos'!$C$202+$A43*('Cálculos'!$C$290=2)*'Cálculos'!$C$101)+'Cálculos'!$C$203)*('Cálculos'!$C$271+'Cálculos'!$C$124*(1+2.78*('Cálculos'!$C$200+(($B$54)-$A43)*'Cálculos'!$C$98)/(('Cálculos'!$C$200+(($B$54)-$A43)*'Cálculos'!$C$98)+1400)+'Cálculos'!$C$122)*'Cálculos'!$C$276+'Cálculos'!$C$125*(1+2.78*('Cálculos'!$C$200+(($B$54)-$A43)*'Cálculos'!$C$98)/(('Cálculos'!$C$200+(($B$54)-$A43)*'Cálculos'!$C$98)+1400)+'Cálculos'!$C$123)*'Cálculos'!$C$281)+('Cálculos'!$C$204*(1+'Cálculos'!$C$205+$A43*('Cálculos'!$C$290=3)*'Cálculos'!$C$103)+'Cálculos'!$C$206)*('Cálculos'!$C$272+'Cálculos'!$C$124*(1+2.78*('Cálculos'!$C$200+(($B$54)-$A43)*'Cálculos'!$C$98)/(('Cálculos'!$C$200+(($B$54)-$A43)*'Cálculos'!$C$98)+1400)+'Cálculos'!$C$122)*'Cálculos'!$C$277+'Cálculos'!$C$125*(1+2.78*('Cálculos'!$C$200+(($B$54)-$A43)*'Cálculos'!$C$98)/(('Cálculos'!$C$200+(($B$54)-$A43)*'Cálculos'!$C$98)+1400)+'Cálculos'!$C$123)*'Cálculos'!$C$282)+('Cálculos'!$C$273+'Cálculos'!$C$124*(1+2.78*('Cálculos'!$C$200+(($B$54)-$A43)*'Cálculos'!$C$98)/(('Cálculos'!$C$200+(($B$54)-$A43)*'Cálculos'!$C$98)+1400)+'Cálculos'!$C$122)*'Cálculos'!$C$278+'Cálculos'!$C$125*(1+2.78*('Cálculos'!$C$200+(($B$54)-$A43)*'Cálculos'!$C$98)/(('Cálculos'!$C$200+(($B$54)-$A43)*'Cálculos'!$C$98)+1400)+'Cálculos'!$C$123)*'Cálculos'!$C$283)))</f>
        <v>0</v>
      </c>
    </row>
    <row r="44" ht="15.75" customHeight="1">
      <c r="A44" s="2">
        <v>38.0</v>
      </c>
      <c r="B44" s="30">
        <f>SUMPRODUCT(MAX(($A$6:$A$51&lt;=$A44)*($A$6:$A$51&lt;='Cálculos'!$C$294)*(($A44)-$A$6:$A$51&lt;='Cálculos'!$C$295)*(1+(('Cálculos'!$C$207+$A$6:$A$51*'Cálculos'!$C$95)-(('Cálculos'!$C$207+$A$6:$A$51*'Cálculos'!$C$95)&gt;1)*(('Cálculos'!$C$207+$A$6:$A$51*'Cálculos'!$C$95)-1))*('Cálculos'!$C$208+(($A44)-$A$6:$A$51)*'Cálculos'!$C$96))))</f>
        <v>4.44</v>
      </c>
      <c r="C44" s="2">
        <f>'Cálculos'!$C$303-$A44</f>
        <v>-18</v>
      </c>
      <c r="D44" s="31">
        <f>IF($C44&lt;0,0,SUMPRODUCT(MAX(($A$6:$A$51&lt;=$C44)*($A$6:$A$51&lt;='Cálculos'!$C$301)*(($C44)-$A$6:$A$51&lt;='Cálculos'!$C$297)*(('Cálculos'!$C$185*(1+'Cálculos'!$C$186+$A$6:$A$51*('Cálculos'!$C$290=1)*'Cálculos'!$C$97+'Cálculos'!$C$305)+'Cálculos'!$C$191)*('Cálculos'!$C$209+'Cálculos'!$C$124*(1+2.78*('Cálculos'!$C$196+(($C44)-$A$6:$A$51)*'Cálculos'!$C$98)/(('Cálculos'!$C$196+(($C44)-$A$6:$A$51)*'Cálculos'!$C$98)+1400)+'Cálculos'!$C$122)*'Cálculos'!$C$214+'Cálculos'!$C$125*(1+2.78*('Cálculos'!$C$196+(($C44)-$A$6:$A$51)*'Cálculos'!$C$98)/(('Cálculos'!$C$196+(($C44)-$A$6:$A$51)*'Cálculos'!$C$98)+1400)+'Cálculos'!$C$123)*'Cálculos'!$C$219)+('Cálculos'!$C$196+(($C44)-$A$6:$A$51)*'Cálculos'!$C$98)*('Cálculos'!$C$210+'Cálculos'!$C$124*(1+2.78*('Cálculos'!$C$196+(($C44)-$A$6:$A$51)*'Cálculos'!$C$98)/(('Cálculos'!$C$196+(($C44)-$A$6:$A$51)*'Cálculos'!$C$98)+1400)+'Cálculos'!$C$122)*'Cálculos'!$C$215+'Cálculos'!$C$125*(1+2.78*('Cálculos'!$C$196+(($C44)-$A$6:$A$51)*'Cálculos'!$C$98)/(('Cálculos'!$C$196+(($C44)-$A$6:$A$51)*'Cálculos'!$C$98)+1400)+'Cálculos'!$C$123)*'Cálculos'!$C$220)+('Cálculos'!$C$201*(1+'Cálculos'!$C$202+$A$6:$A$51*('Cálculos'!$C$290=2)*'Cálculos'!$C$101)+'Cálculos'!$C$203)*('Cálculos'!$C$211+'Cálculos'!$C$124*(1+2.78*('Cálculos'!$C$196+(($C44)-$A$6:$A$51)*'Cálculos'!$C$98)/(('Cálculos'!$C$196+(($C44)-$A$6:$A$51)*'Cálculos'!$C$98)+1400)+'Cálculos'!$C$122)*'Cálculos'!$C$216+'Cálculos'!$C$125*(1+2.78*('Cálculos'!$C$196+(($C44)-$A$6:$A$51)*'Cálculos'!$C$98)/(('Cálculos'!$C$196+(($C44)-$A$6:$A$51)*'Cálculos'!$C$98)+1400)+'Cálculos'!$C$123)*'Cálculos'!$C$221)+('Cálculos'!$C$204*(1+'Cálculos'!$C$205+$A$6:$A$51*('Cálculos'!$C$290=3)*'Cálculos'!$C$103)+'Cálculos'!$C$206)*('Cálculos'!$C$212+'Cálculos'!$C$124*(1+2.78*('Cálculos'!$C$196+(($C44)-$A$6:$A$51)*'Cálculos'!$C$98)/(('Cálculos'!$C$196+(($C44)-$A$6:$A$51)*'Cálculos'!$C$98)+1400)+'Cálculos'!$C$122)*'Cálculos'!$C$217+'Cálculos'!$C$125*(1+2.78*('Cálculos'!$C$196+(($C44)-$A$6:$A$51)*'Cálculos'!$C$98)/(('Cálculos'!$C$196+(($C44)-$A$6:$A$51)*'Cálculos'!$C$98)+1400)+'Cálculos'!$C$123)*'Cálculos'!$C$222)+('Cálculos'!$C$213+'Cálculos'!$C$124*(1+2.78*('Cálculos'!$C$196+(($C44)-$A$6:$A$51)*'Cálculos'!$C$98)/(('Cálculos'!$C$196+(($C44)-$A$6:$A$51)*'Cálculos'!$C$98)+1400)+'Cálculos'!$C$122)*'Cálculos'!$C$218+'Cálculos'!$C$125*(1+2.78*('Cálculos'!$C$196+(($C44)-$A$6:$A$51)*'Cálculos'!$C$98)/(('Cálculos'!$C$196+(($C44)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44)-$A$6:$A$51)*'Cálculos'!$C$98)/(('Cálculos'!$C$197+(($C44)-$A$6:$A$51)*'Cálculos'!$C$98)+1400)+'Cálculos'!$C$122)*'Cálculos'!$C$229+'Cálculos'!$C$125*(1+2.78*('Cálculos'!$C$197+(($C44)-$A$6:$A$51)*'Cálculos'!$C$98)/(('Cálculos'!$C$197+(($C44)-$A$6:$A$51)*'Cálculos'!$C$98)+1400)+'Cálculos'!$C$123)*'Cálculos'!$C$234)+('Cálculos'!$C$197+(($C44)-$A$6:$A$51)*'Cálculos'!$C$98)*('Cálculos'!$C$225+'Cálculos'!$C$124*(1+2.78*('Cálculos'!$C$197+(($C44)-$A$6:$A$51)*'Cálculos'!$C$98)/(('Cálculos'!$C$197+(($C44)-$A$6:$A$51)*'Cálculos'!$C$98)+1400)+'Cálculos'!$C$122)*'Cálculos'!$C$230+'Cálculos'!$C$125*(1+2.78*('Cálculos'!$C$197+(($C44)-$A$6:$A$51)*'Cálculos'!$C$98)/(('Cálculos'!$C$197+(($C44)-$A$6:$A$51)*'Cálculos'!$C$98)+1400)+'Cálculos'!$C$123)*'Cálculos'!$C$235)+('Cálculos'!$C$201*(1+'Cálculos'!$C$202+$A$6:$A$51*('Cálculos'!$C$290=2)*'Cálculos'!$C$101)+'Cálculos'!$C$203)*('Cálculos'!$C$226+'Cálculos'!$C$124*(1+2.78*('Cálculos'!$C$197+(($C44)-$A$6:$A$51)*'Cálculos'!$C$98)/(('Cálculos'!$C$197+(($C44)-$A$6:$A$51)*'Cálculos'!$C$98)+1400)+'Cálculos'!$C$122)*'Cálculos'!$C$231+'Cálculos'!$C$125*(1+2.78*('Cálculos'!$C$197+(($C44)-$A$6:$A$51)*'Cálculos'!$C$98)/(('Cálculos'!$C$197+(($C44)-$A$6:$A$51)*'Cálculos'!$C$98)+1400)+'Cálculos'!$C$123)*'Cálculos'!$C$236)+('Cálculos'!$C$204*(1+'Cálculos'!$C$205+$A$6:$A$51*('Cálculos'!$C$290=3)*'Cálculos'!$C$103)+'Cálculos'!$C$206)*('Cálculos'!$C$227+'Cálculos'!$C$124*(1+2.78*('Cálculos'!$C$197+(($C44)-$A$6:$A$51)*'Cálculos'!$C$98)/(('Cálculos'!$C$197+(($C44)-$A$6:$A$51)*'Cálculos'!$C$98)+1400)+'Cálculos'!$C$122)*'Cálculos'!$C$232+'Cálculos'!$C$125*(1+2.78*('Cálculos'!$C$197+(($C44)-$A$6:$A$51)*'Cálculos'!$C$98)/(('Cálculos'!$C$197+(($C44)-$A$6:$A$51)*'Cálculos'!$C$98)+1400)+'Cálculos'!$C$123)*'Cálculos'!$C$237)+('Cálculos'!$C$228+'Cálculos'!$C$124*(1+2.78*('Cálculos'!$C$197+(($C44)-$A$6:$A$51)*'Cálculos'!$C$98)/(('Cálculos'!$C$197+(($C44)-$A$6:$A$51)*'Cálculos'!$C$98)+1400)+'Cálculos'!$C$122)*'Cálculos'!$C$233+'Cálculos'!$C$125*(1+2.78*('Cálculos'!$C$197+(($C44)-$A$6:$A$51)*'Cálculos'!$C$98)/(('Cálculos'!$C$197+(($C44)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44)-$A$6:$A$51)*'Cálculos'!$C$98)/(('Cálculos'!$C$198+(($C44)-$A$6:$A$51)*'Cálculos'!$C$98)+1400)+'Cálculos'!$C$122)*'Cálculos'!$C$244+'Cálculos'!$C$125*(1+2.78*('Cálculos'!$C$198+(($C44)-$A$6:$A$51)*'Cálculos'!$C$98)/(('Cálculos'!$C$198+(($C44)-$A$6:$A$51)*'Cálculos'!$C$98)+1400)+'Cálculos'!$C$123)*'Cálculos'!$C$249)+('Cálculos'!$C$198+(($C44)-$A$6:$A$51)*'Cálculos'!$C$98)*('Cálculos'!$C$240+'Cálculos'!$C$124*(1+2.78*('Cálculos'!$C$198+(($C44)-$A$6:$A$51)*'Cálculos'!$C$98)/(('Cálculos'!$C$198+(($C44)-$A$6:$A$51)*'Cálculos'!$C$98)+1400)+'Cálculos'!$C$122)*'Cálculos'!$C$245+'Cálculos'!$C$125*(1+2.78*('Cálculos'!$C$198+(($C44)-$A$6:$A$51)*'Cálculos'!$C$98)/(('Cálculos'!$C$198+(($C44)-$A$6:$A$51)*'Cálculos'!$C$98)+1400)+'Cálculos'!$C$123)*'Cálculos'!$C$250)+('Cálculos'!$C$201*(1+'Cálculos'!$C$202+$A$6:$A$51*('Cálculos'!$C$290=2)*'Cálculos'!$C$101)+'Cálculos'!$C$203)*('Cálculos'!$C$241+'Cálculos'!$C$124*(1+2.78*('Cálculos'!$C$198+(($C44)-$A$6:$A$51)*'Cálculos'!$C$98)/(('Cálculos'!$C$198+(($C44)-$A$6:$A$51)*'Cálculos'!$C$98)+1400)+'Cálculos'!$C$122)*'Cálculos'!$C$246+'Cálculos'!$C$125*(1+2.78*('Cálculos'!$C$198+(($C44)-$A$6:$A$51)*'Cálculos'!$C$98)/(('Cálculos'!$C$198+(($C44)-$A$6:$A$51)*'Cálculos'!$C$98)+1400)+'Cálculos'!$C$123)*'Cálculos'!$C$251)+('Cálculos'!$C$204*(1+'Cálculos'!$C$205+$A$6:$A$51*('Cálculos'!$C$290=3)*'Cálculos'!$C$103)+'Cálculos'!$C$206)*('Cálculos'!$C$242+'Cálculos'!$C$124*(1+2.78*('Cálculos'!$C$198+(($C44)-$A$6:$A$51)*'Cálculos'!$C$98)/(('Cálculos'!$C$198+(($C44)-$A$6:$A$51)*'Cálculos'!$C$98)+1400)+'Cálculos'!$C$122)*'Cálculos'!$C$247+'Cálculos'!$C$125*(1+2.78*('Cálculos'!$C$198+(($C44)-$A$6:$A$51)*'Cálculos'!$C$98)/(('Cálculos'!$C$198+(($C44)-$A$6:$A$51)*'Cálculos'!$C$98)+1400)+'Cálculos'!$C$123)*'Cálculos'!$C$252)+('Cálculos'!$C$243+'Cálculos'!$C$124*(1+2.78*('Cálculos'!$C$198+(($C44)-$A$6:$A$51)*'Cálculos'!$C$98)/(('Cálculos'!$C$198+(($C44)-$A$6:$A$51)*'Cálculos'!$C$98)+1400)+'Cálculos'!$C$122)*'Cálculos'!$C$248+'Cálculos'!$C$125*(1+2.78*('Cálculos'!$C$198+(($C44)-$A$6:$A$51)*'Cálculos'!$C$98)/(('Cálculos'!$C$198+(($C44)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44)-$A$6:$A$51)*'Cálculos'!$C$98)/(('Cálculos'!$C$199+(($C44)-$A$6:$A$51)*'Cálculos'!$C$98)+1400)+'Cálculos'!$C$122)*'Cálculos'!$C$259+'Cálculos'!$C$125*(1+2.78*('Cálculos'!$C$199+(($C44)-$A$6:$A$51)*'Cálculos'!$C$98)/(('Cálculos'!$C$199+(($C44)-$A$6:$A$51)*'Cálculos'!$C$98)+1400)+'Cálculos'!$C$123)*'Cálculos'!$C$264)+('Cálculos'!$C$199+(($C44)-$A$6:$A$51)*'Cálculos'!$C$98)*('Cálculos'!$C$255+'Cálculos'!$C$124*(1+2.78*('Cálculos'!$C$199+(($C44)-$A$6:$A$51)*'Cálculos'!$C$98)/(('Cálculos'!$C$199+(($C44)-$A$6:$A$51)*'Cálculos'!$C$98)+1400)+'Cálculos'!$C$122)*'Cálculos'!$C$260+'Cálculos'!$C$125*(1+2.78*('Cálculos'!$C$199+(($C44)-$A$6:$A$51)*'Cálculos'!$C$98)/(('Cálculos'!$C$199+(($C44)-$A$6:$A$51)*'Cálculos'!$C$98)+1400)+'Cálculos'!$C$123)*'Cálculos'!$C$265)+('Cálculos'!$C$201*(1+'Cálculos'!$C$202+$A$6:$A$51*('Cálculos'!$C$290=2)*'Cálculos'!$C$101)+'Cálculos'!$C$203)*('Cálculos'!$C$256+'Cálculos'!$C$124*(1+2.78*('Cálculos'!$C$199+(($C44)-$A$6:$A$51)*'Cálculos'!$C$98)/(('Cálculos'!$C$199+(($C44)-$A$6:$A$51)*'Cálculos'!$C$98)+1400)+'Cálculos'!$C$122)*'Cálculos'!$C$261+'Cálculos'!$C$125*(1+2.78*('Cálculos'!$C$199+(($C44)-$A$6:$A$51)*'Cálculos'!$C$98)/(('Cálculos'!$C$199+(($C44)-$A$6:$A$51)*'Cálculos'!$C$98)+1400)+'Cálculos'!$C$123)*'Cálculos'!$C$266)+('Cálculos'!$C$204*(1+'Cálculos'!$C$205+$A$6:$A$51*('Cálculos'!$C$290=3)*'Cálculos'!$C$103)+'Cálculos'!$C$206)*('Cálculos'!$C$257+'Cálculos'!$C$124*(1+2.78*('Cálculos'!$C$199+(($C44)-$A$6:$A$51)*'Cálculos'!$C$98)/(('Cálculos'!$C$199+(($C44)-$A$6:$A$51)*'Cálculos'!$C$98)+1400)+'Cálculos'!$C$122)*'Cálculos'!$C$262+'Cálculos'!$C$125*(1+2.78*('Cálculos'!$C$199+(($C44)-$A$6:$A$51)*'Cálculos'!$C$98)/(('Cálculos'!$C$199+(($C44)-$A$6:$A$51)*'Cálculos'!$C$98)+1400)+'Cálculos'!$C$123)*'Cálculos'!$C$267)+('Cálculos'!$C$258+'Cálculos'!$C$124*(1+2.78*('Cálculos'!$C$199+(($C44)-$A$6:$A$51)*'Cálculos'!$C$98)/(('Cálculos'!$C$199+(($C44)-$A$6:$A$51)*'Cálculos'!$C$98)+1400)+'Cálculos'!$C$122)*'Cálculos'!$C$263+'Cálculos'!$C$125*(1+2.78*('Cálculos'!$C$199+(($C44)-$A$6:$A$51)*'Cálculos'!$C$98)/(('Cálculos'!$C$199+(($C44)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44)-$A$6:$A$51)*'Cálculos'!$C$98)/(('Cálculos'!$C$200+(($C44)-$A$6:$A$51)*'Cálculos'!$C$98)+1400)+'Cálculos'!$C$122)*'Cálculos'!$C$274+'Cálculos'!$C$125*(1+2.78*('Cálculos'!$C$200+(($C44)-$A$6:$A$51)*'Cálculos'!$C$98)/(('Cálculos'!$C$200+(($C44)-$A$6:$A$51)*'Cálculos'!$C$98)+1400)+'Cálculos'!$C$123)*'Cálculos'!$C$279)+('Cálculos'!$C$200+(($C44)-$A$6:$A$51)*'Cálculos'!$C$98)*('Cálculos'!$C$270+'Cálculos'!$C$124*(1+2.78*('Cálculos'!$C$200+(($C44)-$A$6:$A$51)*'Cálculos'!$C$98)/(('Cálculos'!$C$200+(($C44)-$A$6:$A$51)*'Cálculos'!$C$98)+1400)+'Cálculos'!$C$122)*'Cálculos'!$C$275+'Cálculos'!$C$125*(1+2.78*('Cálculos'!$C$200+(($C44)-$A$6:$A$51)*'Cálculos'!$C$98)/(('Cálculos'!$C$200+(($C44)-$A$6:$A$51)*'Cálculos'!$C$98)+1400)+'Cálculos'!$C$123)*'Cálculos'!$C$280)+('Cálculos'!$C$201*(1+'Cálculos'!$C$202+$A$6:$A$51*('Cálculos'!$C$290=2)*'Cálculos'!$C$101)+'Cálculos'!$C$203)*('Cálculos'!$C$271+'Cálculos'!$C$124*(1+2.78*('Cálculos'!$C$200+(($C44)-$A$6:$A$51)*'Cálculos'!$C$98)/(('Cálculos'!$C$200+(($C44)-$A$6:$A$51)*'Cálculos'!$C$98)+1400)+'Cálculos'!$C$122)*'Cálculos'!$C$276+'Cálculos'!$C$125*(1+2.78*('Cálculos'!$C$200+(($C44)-$A$6:$A$51)*'Cálculos'!$C$98)/(('Cálculos'!$C$200+(($C44)-$A$6:$A$51)*'Cálculos'!$C$98)+1400)+'Cálculos'!$C$123)*'Cálculos'!$C$281)+('Cálculos'!$C$204*(1+'Cálculos'!$C$205+$A$6:$A$51*('Cálculos'!$C$290=3)*'Cálculos'!$C$103)+'Cálculos'!$C$206)*('Cálculos'!$C$272+'Cálculos'!$C$124*(1+2.78*('Cálculos'!$C$200+(($C44)-$A$6:$A$51)*'Cálculos'!$C$98)/(('Cálculos'!$C$200+(($C44)-$A$6:$A$51)*'Cálculos'!$C$98)+1400)+'Cálculos'!$C$122)*'Cálculos'!$C$277+'Cálculos'!$C$125*(1+2.78*('Cálculos'!$C$200+(($C44)-$A$6:$A$51)*'Cálculos'!$C$98)/(('Cálculos'!$C$200+(($C44)-$A$6:$A$51)*'Cálculos'!$C$98)+1400)+'Cálculos'!$C$123)*'Cálculos'!$C$282)+('Cálculos'!$C$273+'Cálculos'!$C$124*(1+2.78*('Cálculos'!$C$200+(($C44)-$A$6:$A$51)*'Cálculos'!$C$98)/(('Cálculos'!$C$200+(($C44)-$A$6:$A$51)*'Cálculos'!$C$98)+1400)+'Cálculos'!$C$122)*'Cálculos'!$C$278+'Cálculos'!$C$125*(1+2.78*('Cálculos'!$C$200+(($C44)-$A$6:$A$51)*'Cálculos'!$C$98)/(('Cálculos'!$C$200+(($C44)-$A$6:$A$51)*'Cálculos'!$C$98)+1400)+'Cálculos'!$C$123)*'Cálculos'!$C$283)))))</f>
        <v>0</v>
      </c>
      <c r="E44" s="32">
        <f>IF(OR($C44&lt;0,'Cálculos'!$C$6=""),0,$B44*$D44)</f>
        <v>0</v>
      </c>
      <c r="F44" s="2"/>
      <c r="G44" s="30">
        <f>($A44&lt;=$B$53)*($A44&lt;='Cálculos'!$C$294)*(($B$53)-$A44&lt;='Cálculos'!$C$295)*(1+MIN(('Cálculos'!$C$207+$A44*'Cálculos'!$C$95),1)*('Cálculos'!$C$208+(($B$53)-$A44)*'Cálculos'!$C$96))</f>
        <v>0</v>
      </c>
      <c r="H44" s="31">
        <f>IF($B$54&lt;0,0,($A44&lt;=$B$54)*($A44&lt;='Cálculos'!$C$301)*(($B$54)-$A44&lt;='Cálculos'!$C$297)*(('Cálculos'!$C$185*(1+'Cálculos'!$C$186+$A44*('Cálculos'!$C$290=1)*'Cálculos'!$C$97+'Cálculos'!$C$305)+'Cálculos'!$C$191)*('Cálculos'!$C$209+'Cálculos'!$C$124*(1+2.78*('Cálculos'!$C$196+(($B$54)-$A44)*'Cálculos'!$C$98)/(('Cálculos'!$C$196+(($B$54)-$A44)*'Cálculos'!$C$98)+1400)+'Cálculos'!$C$122)*'Cálculos'!$C$214+'Cálculos'!$C$125*(1+2.78*('Cálculos'!$C$196+(($B$54)-$A44)*'Cálculos'!$C$98)/(('Cálculos'!$C$196+(($B$54)-$A44)*'Cálculos'!$C$98)+1400)+'Cálculos'!$C$123)*'Cálculos'!$C$219)+('Cálculos'!$C$196+(($B$54)-$A44)*'Cálculos'!$C$98)*('Cálculos'!$C$210+'Cálculos'!$C$124*(1+2.78*('Cálculos'!$C$196+(($B$54)-$A44)*'Cálculos'!$C$98)/(('Cálculos'!$C$196+(($B$54)-$A44)*'Cálculos'!$C$98)+1400)+'Cálculos'!$C$122)*'Cálculos'!$C$215+'Cálculos'!$C$125*(1+2.78*('Cálculos'!$C$196+(($B$54)-$A44)*'Cálculos'!$C$98)/(('Cálculos'!$C$196+(($B$54)-$A44)*'Cálculos'!$C$98)+1400)+'Cálculos'!$C$123)*'Cálculos'!$C$220)+('Cálculos'!$C$201*(1+'Cálculos'!$C$202+$A44*('Cálculos'!$C$290=2)*'Cálculos'!$C$101)+'Cálculos'!$C$203)*('Cálculos'!$C$211+'Cálculos'!$C$124*(1+2.78*('Cálculos'!$C$196+(($B$54)-$A44)*'Cálculos'!$C$98)/(('Cálculos'!$C$196+(($B$54)-$A44)*'Cálculos'!$C$98)+1400)+'Cálculos'!$C$122)*'Cálculos'!$C$216+'Cálculos'!$C$125*(1+2.78*('Cálculos'!$C$196+(($B$54)-$A44)*'Cálculos'!$C$98)/(('Cálculos'!$C$196+(($B$54)-$A44)*'Cálculos'!$C$98)+1400)+'Cálculos'!$C$123)*'Cálculos'!$C$221)+('Cálculos'!$C$204*(1+'Cálculos'!$C$205+$A44*('Cálculos'!$C$290=3)*'Cálculos'!$C$103)+'Cálculos'!$C$206)*('Cálculos'!$C$212+'Cálculos'!$C$124*(1+2.78*('Cálculos'!$C$196+(($B$54)-$A44)*'Cálculos'!$C$98)/(('Cálculos'!$C$196+(($B$54)-$A44)*'Cálculos'!$C$98)+1400)+'Cálculos'!$C$122)*'Cálculos'!$C$217+'Cálculos'!$C$125*(1+2.78*('Cálculos'!$C$196+(($B$54)-$A44)*'Cálculos'!$C$98)/(('Cálculos'!$C$196+(($B$54)-$A44)*'Cálculos'!$C$98)+1400)+'Cálculos'!$C$123)*'Cálculos'!$C$222)+('Cálculos'!$C$213+'Cálculos'!$C$124*(1+2.78*('Cálculos'!$C$196+(($B$54)-$A44)*'Cálculos'!$C$98)/(('Cálculos'!$C$196+(($B$54)-$A44)*'Cálculos'!$C$98)+1400)+'Cálculos'!$C$122)*'Cálculos'!$C$218+'Cálculos'!$C$125*(1+2.78*('Cálculos'!$C$196+(($B$54)-$A44)*'Cálculos'!$C$98)/(('Cálculos'!$C$196+(($B$54)-$A44)*'Cálculos'!$C$98)+1400)+'Cálculos'!$C$123)*'Cálculos'!$C$223)+('Cálculos'!$C$185*(1+'Cálculos'!$C$187+$A44*('Cálculos'!$C$290=1)*'Cálculos'!$C$97+'Cálculos'!$C$305)+'Cálculos'!$C$192)*('Cálculos'!$C$224+'Cálculos'!$C$124*(1+2.78*('Cálculos'!$C$197+(($B$54)-$A44)*'Cálculos'!$C$98)/(('Cálculos'!$C$197+(($B$54)-$A44)*'Cálculos'!$C$98)+1400)+'Cálculos'!$C$122)*'Cálculos'!$C$229+'Cálculos'!$C$125*(1+2.78*('Cálculos'!$C$197+(($B$54)-$A44)*'Cálculos'!$C$98)/(('Cálculos'!$C$197+(($B$54)-$A44)*'Cálculos'!$C$98)+1400)+'Cálculos'!$C$123)*'Cálculos'!$C$234)+('Cálculos'!$C$197+(($B$54)-$A44)*'Cálculos'!$C$98)*('Cálculos'!$C$225+'Cálculos'!$C$124*(1+2.78*('Cálculos'!$C$197+(($B$54)-$A44)*'Cálculos'!$C$98)/(('Cálculos'!$C$197+(($B$54)-$A44)*'Cálculos'!$C$98)+1400)+'Cálculos'!$C$122)*'Cálculos'!$C$230+'Cálculos'!$C$125*(1+2.78*('Cálculos'!$C$197+(($B$54)-$A44)*'Cálculos'!$C$98)/(('Cálculos'!$C$197+(($B$54)-$A44)*'Cálculos'!$C$98)+1400)+'Cálculos'!$C$123)*'Cálculos'!$C$235)+('Cálculos'!$C$201*(1+'Cálculos'!$C$202+$A44*('Cálculos'!$C$290=2)*'Cálculos'!$C$101)+'Cálculos'!$C$203)*('Cálculos'!$C$226+'Cálculos'!$C$124*(1+2.78*('Cálculos'!$C$197+(($B$54)-$A44)*'Cálculos'!$C$98)/(('Cálculos'!$C$197+(($B$54)-$A44)*'Cálculos'!$C$98)+1400)+'Cálculos'!$C$122)*'Cálculos'!$C$231+'Cálculos'!$C$125*(1+2.78*('Cálculos'!$C$197+(($B$54)-$A44)*'Cálculos'!$C$98)/(('Cálculos'!$C$197+(($B$54)-$A44)*'Cálculos'!$C$98)+1400)+'Cálculos'!$C$123)*'Cálculos'!$C$236)+('Cálculos'!$C$204*(1+'Cálculos'!$C$205+$A44*('Cálculos'!$C$290=3)*'Cálculos'!$C$103)+'Cálculos'!$C$206)*('Cálculos'!$C$227+'Cálculos'!$C$124*(1+2.78*('Cálculos'!$C$197+(($B$54)-$A44)*'Cálculos'!$C$98)/(('Cálculos'!$C$197+(($B$54)-$A44)*'Cálculos'!$C$98)+1400)+'Cálculos'!$C$122)*'Cálculos'!$C$232+'Cálculos'!$C$125*(1+2.78*('Cálculos'!$C$197+(($B$54)-$A44)*'Cálculos'!$C$98)/(('Cálculos'!$C$197+(($B$54)-$A44)*'Cálculos'!$C$98)+1400)+'Cálculos'!$C$123)*'Cálculos'!$C$237)+('Cálculos'!$C$228+'Cálculos'!$C$124*(1+2.78*('Cálculos'!$C$197+(($B$54)-$A44)*'Cálculos'!$C$98)/(('Cálculos'!$C$197+(($B$54)-$A44)*'Cálculos'!$C$98)+1400)+'Cálculos'!$C$122)*'Cálculos'!$C$233+'Cálculos'!$C$125*(1+2.78*('Cálculos'!$C$197+(($B$54)-$A44)*'Cálculos'!$C$98)/(('Cálculos'!$C$197+(($B$54)-$A44)*'Cálculos'!$C$98)+1400)+'Cálculos'!$C$123)*'Cálculos'!$C$238)+('Cálculos'!$C$185*(1+'Cálculos'!$C$188+$A44*('Cálculos'!$C$290=1)*'Cálculos'!$C$97+'Cálculos'!$C$305)+'Cálculos'!$C$193)*('Cálculos'!$C$239+'Cálculos'!$C$124*(1+2.78*('Cálculos'!$C$198+(($B$54)-$A44)*'Cálculos'!$C$98)/(('Cálculos'!$C$198+(($B$54)-$A44)*'Cálculos'!$C$98)+1400)+'Cálculos'!$C$122)*'Cálculos'!$C$244+'Cálculos'!$C$125*(1+2.78*('Cálculos'!$C$198+(($B$54)-$A44)*'Cálculos'!$C$98)/(('Cálculos'!$C$198+(($B$54)-$A44)*'Cálculos'!$C$98)+1400)+'Cálculos'!$C$123)*'Cálculos'!$C$249)+('Cálculos'!$C$198+(($B$54)-$A44)*'Cálculos'!$C$98)*('Cálculos'!$C$240+'Cálculos'!$C$124*(1+2.78*('Cálculos'!$C$198+(($B$54)-$A44)*'Cálculos'!$C$98)/(('Cálculos'!$C$198+(($B$54)-$A44)*'Cálculos'!$C$98)+1400)+'Cálculos'!$C$122)*'Cálculos'!$C$245+'Cálculos'!$C$125*(1+2.78*('Cálculos'!$C$198+(($B$54)-$A44)*'Cálculos'!$C$98)/(('Cálculos'!$C$198+(($B$54)-$A44)*'Cálculos'!$C$98)+1400)+'Cálculos'!$C$123)*'Cálculos'!$C$250)+('Cálculos'!$C$201*(1+'Cálculos'!$C$202+$A44*('Cálculos'!$C$290=2)*'Cálculos'!$C$101)+'Cálculos'!$C$203)*('Cálculos'!$C$241+'Cálculos'!$C$124*(1+2.78*('Cálculos'!$C$198+(($B$54)-$A44)*'Cálculos'!$C$98)/(('Cálculos'!$C$198+(($B$54)-$A44)*'Cálculos'!$C$98)+1400)+'Cálculos'!$C$122)*'Cálculos'!$C$246+'Cálculos'!$C$125*(1+2.78*('Cálculos'!$C$198+(($B$54)-$A44)*'Cálculos'!$C$98)/(('Cálculos'!$C$198+(($B$54)-$A44)*'Cálculos'!$C$98)+1400)+'Cálculos'!$C$123)*'Cálculos'!$C$251)+('Cálculos'!$C$204*(1+'Cálculos'!$C$205+$A44*('Cálculos'!$C$290=3)*'Cálculos'!$C$103)+'Cálculos'!$C$206)*('Cálculos'!$C$242+'Cálculos'!$C$124*(1+2.78*('Cálculos'!$C$198+(($B$54)-$A44)*'Cálculos'!$C$98)/(('Cálculos'!$C$198+(($B$54)-$A44)*'Cálculos'!$C$98)+1400)+'Cálculos'!$C$122)*'Cálculos'!$C$247+'Cálculos'!$C$125*(1+2.78*('Cálculos'!$C$198+(($B$54)-$A44)*'Cálculos'!$C$98)/(('Cálculos'!$C$198+(($B$54)-$A44)*'Cálculos'!$C$98)+1400)+'Cálculos'!$C$123)*'Cálculos'!$C$252)+('Cálculos'!$C$243+'Cálculos'!$C$124*(1+2.78*('Cálculos'!$C$198+(($B$54)-$A44)*'Cálculos'!$C$98)/(('Cálculos'!$C$198+(($B$54)-$A44)*'Cálculos'!$C$98)+1400)+'Cálculos'!$C$122)*'Cálculos'!$C$248+'Cálculos'!$C$125*(1+2.78*('Cálculos'!$C$198+(($B$54)-$A44)*'Cálculos'!$C$98)/(('Cálculos'!$C$198+(($B$54)-$A44)*'Cálculos'!$C$98)+1400)+'Cálculos'!$C$123)*'Cálculos'!$C$253)+('Cálculos'!$C$185*(1+'Cálculos'!$C$189+$A44*('Cálculos'!$C$290=1)*'Cálculos'!$C$97+'Cálculos'!$C$305)+'Cálculos'!$C$194)*('Cálculos'!$C$254+'Cálculos'!$C$124*(1+2.78*('Cálculos'!$C$199+(($B$54)-$A44)*'Cálculos'!$C$98)/(('Cálculos'!$C$199+(($B$54)-$A44)*'Cálculos'!$C$98)+1400)+'Cálculos'!$C$122)*'Cálculos'!$C$259+'Cálculos'!$C$125*(1+2.78*('Cálculos'!$C$199+(($B$54)-$A44)*'Cálculos'!$C$98)/(('Cálculos'!$C$199+(($B$54)-$A44)*'Cálculos'!$C$98)+1400)+'Cálculos'!$C$123)*'Cálculos'!$C$264)+('Cálculos'!$C$199+(($B$54)-$A44)*'Cálculos'!$C$98)*('Cálculos'!$C$255+'Cálculos'!$C$124*(1+2.78*('Cálculos'!$C$199+(($B$54)-$A44)*'Cálculos'!$C$98)/(('Cálculos'!$C$199+(($B$54)-$A44)*'Cálculos'!$C$98)+1400)+'Cálculos'!$C$122)*'Cálculos'!$C$260+'Cálculos'!$C$125*(1+2.78*('Cálculos'!$C$199+(($B$54)-$A44)*'Cálculos'!$C$98)/(('Cálculos'!$C$199+(($B$54)-$A44)*'Cálculos'!$C$98)+1400)+'Cálculos'!$C$123)*'Cálculos'!$C$265)+('Cálculos'!$C$201*(1+'Cálculos'!$C$202+$A44*('Cálculos'!$C$290=2)*'Cálculos'!$C$101)+'Cálculos'!$C$203)*('Cálculos'!$C$256+'Cálculos'!$C$124*(1+2.78*('Cálculos'!$C$199+(($B$54)-$A44)*'Cálculos'!$C$98)/(('Cálculos'!$C$199+(($B$54)-$A44)*'Cálculos'!$C$98)+1400)+'Cálculos'!$C$122)*'Cálculos'!$C$261+'Cálculos'!$C$125*(1+2.78*('Cálculos'!$C$199+(($B$54)-$A44)*'Cálculos'!$C$98)/(('Cálculos'!$C$199+(($B$54)-$A44)*'Cálculos'!$C$98)+1400)+'Cálculos'!$C$123)*'Cálculos'!$C$266)+('Cálculos'!$C$204*(1+'Cálculos'!$C$205+$A44*('Cálculos'!$C$290=3)*'Cálculos'!$C$103)+'Cálculos'!$C$206)*('Cálculos'!$C$257+'Cálculos'!$C$124*(1+2.78*('Cálculos'!$C$199+(($B$54)-$A44)*'Cálculos'!$C$98)/(('Cálculos'!$C$199+(($B$54)-$A44)*'Cálculos'!$C$98)+1400)+'Cálculos'!$C$122)*'Cálculos'!$C$262+'Cálculos'!$C$125*(1+2.78*('Cálculos'!$C$199+(($B$54)-$A44)*'Cálculos'!$C$98)/(('Cálculos'!$C$199+(($B$54)-$A44)*'Cálculos'!$C$98)+1400)+'Cálculos'!$C$123)*'Cálculos'!$C$267)+('Cálculos'!$C$258+'Cálculos'!$C$124*(1+2.78*('Cálculos'!$C$199+(($B$54)-$A44)*'Cálculos'!$C$98)/(('Cálculos'!$C$199+(($B$54)-$A44)*'Cálculos'!$C$98)+1400)+'Cálculos'!$C$122)*'Cálculos'!$C$263+'Cálculos'!$C$125*(1+2.78*('Cálculos'!$C$199+(($B$54)-$A44)*'Cálculos'!$C$98)/(('Cálculos'!$C$199+(($B$54)-$A44)*'Cálculos'!$C$98)+1400)+'Cálculos'!$C$123)*'Cálculos'!$C$268)+('Cálculos'!$C$185*(1+'Cálculos'!$C$190+$A44*('Cálculos'!$C$290=1)*'Cálculos'!$C$97+'Cálculos'!$C$305)+'Cálculos'!$C$195)*('Cálculos'!$C$269+'Cálculos'!$C$124*(1+2.78*('Cálculos'!$C$200+(($B$54)-$A44)*'Cálculos'!$C$98)/(('Cálculos'!$C$200+(($B$54)-$A44)*'Cálculos'!$C$98)+1400)+'Cálculos'!$C$122)*'Cálculos'!$C$274+'Cálculos'!$C$125*(1+2.78*('Cálculos'!$C$200+(($B$54)-$A44)*'Cálculos'!$C$98)/(('Cálculos'!$C$200+(($B$54)-$A44)*'Cálculos'!$C$98)+1400)+'Cálculos'!$C$123)*'Cálculos'!$C$279)+('Cálculos'!$C$200+(($B$54)-$A44)*'Cálculos'!$C$98)*('Cálculos'!$C$270+'Cálculos'!$C$124*(1+2.78*('Cálculos'!$C$200+(($B$54)-$A44)*'Cálculos'!$C$98)/(('Cálculos'!$C$200+(($B$54)-$A44)*'Cálculos'!$C$98)+1400)+'Cálculos'!$C$122)*'Cálculos'!$C$275+'Cálculos'!$C$125*(1+2.78*('Cálculos'!$C$200+(($B$54)-$A44)*'Cálculos'!$C$98)/(('Cálculos'!$C$200+(($B$54)-$A44)*'Cálculos'!$C$98)+1400)+'Cálculos'!$C$123)*'Cálculos'!$C$280)+('Cálculos'!$C$201*(1+'Cálculos'!$C$202+$A44*('Cálculos'!$C$290=2)*'Cálculos'!$C$101)+'Cálculos'!$C$203)*('Cálculos'!$C$271+'Cálculos'!$C$124*(1+2.78*('Cálculos'!$C$200+(($B$54)-$A44)*'Cálculos'!$C$98)/(('Cálculos'!$C$200+(($B$54)-$A44)*'Cálculos'!$C$98)+1400)+'Cálculos'!$C$122)*'Cálculos'!$C$276+'Cálculos'!$C$125*(1+2.78*('Cálculos'!$C$200+(($B$54)-$A44)*'Cálculos'!$C$98)/(('Cálculos'!$C$200+(($B$54)-$A44)*'Cálculos'!$C$98)+1400)+'Cálculos'!$C$123)*'Cálculos'!$C$281)+('Cálculos'!$C$204*(1+'Cálculos'!$C$205+$A44*('Cálculos'!$C$290=3)*'Cálculos'!$C$103)+'Cálculos'!$C$206)*('Cálculos'!$C$272+'Cálculos'!$C$124*(1+2.78*('Cálculos'!$C$200+(($B$54)-$A44)*'Cálculos'!$C$98)/(('Cálculos'!$C$200+(($B$54)-$A44)*'Cálculos'!$C$98)+1400)+'Cálculos'!$C$122)*'Cálculos'!$C$277+'Cálculos'!$C$125*(1+2.78*('Cálculos'!$C$200+(($B$54)-$A44)*'Cálculos'!$C$98)/(('Cálculos'!$C$200+(($B$54)-$A44)*'Cálculos'!$C$98)+1400)+'Cálculos'!$C$123)*'Cálculos'!$C$282)+('Cálculos'!$C$273+'Cálculos'!$C$124*(1+2.78*('Cálculos'!$C$200+(($B$54)-$A44)*'Cálculos'!$C$98)/(('Cálculos'!$C$200+(($B$54)-$A44)*'Cálculos'!$C$98)+1400)+'Cálculos'!$C$122)*'Cálculos'!$C$278+'Cálculos'!$C$125*(1+2.78*('Cálculos'!$C$200+(($B$54)-$A44)*'Cálculos'!$C$98)/(('Cálculos'!$C$200+(($B$54)-$A44)*'Cálculos'!$C$98)+1400)+'Cálculos'!$C$123)*'Cálculos'!$C$283)))</f>
        <v>0</v>
      </c>
    </row>
    <row r="45" ht="15.75" customHeight="1">
      <c r="A45" s="2">
        <v>39.0</v>
      </c>
      <c r="B45" s="30">
        <f>SUMPRODUCT(MAX(($A$6:$A$51&lt;=$A45)*($A$6:$A$51&lt;='Cálculos'!$C$294)*(($A45)-$A$6:$A$51&lt;='Cálculos'!$C$295)*(1+(('Cálculos'!$C$207+$A$6:$A$51*'Cálculos'!$C$95)-(('Cálculos'!$C$207+$A$6:$A$51*'Cálculos'!$C$95)&gt;1)*(('Cálculos'!$C$207+$A$6:$A$51*'Cálculos'!$C$95)-1))*('Cálculos'!$C$208+(($A45)-$A$6:$A$51)*'Cálculos'!$C$96))))</f>
        <v>4.44</v>
      </c>
      <c r="C45" s="2">
        <f>'Cálculos'!$C$303-$A45</f>
        <v>-19</v>
      </c>
      <c r="D45" s="31">
        <f>IF($C45&lt;0,0,SUMPRODUCT(MAX(($A$6:$A$51&lt;=$C45)*($A$6:$A$51&lt;='Cálculos'!$C$301)*(($C45)-$A$6:$A$51&lt;='Cálculos'!$C$297)*(('Cálculos'!$C$185*(1+'Cálculos'!$C$186+$A$6:$A$51*('Cálculos'!$C$290=1)*'Cálculos'!$C$97+'Cálculos'!$C$305)+'Cálculos'!$C$191)*('Cálculos'!$C$209+'Cálculos'!$C$124*(1+2.78*('Cálculos'!$C$196+(($C45)-$A$6:$A$51)*'Cálculos'!$C$98)/(('Cálculos'!$C$196+(($C45)-$A$6:$A$51)*'Cálculos'!$C$98)+1400)+'Cálculos'!$C$122)*'Cálculos'!$C$214+'Cálculos'!$C$125*(1+2.78*('Cálculos'!$C$196+(($C45)-$A$6:$A$51)*'Cálculos'!$C$98)/(('Cálculos'!$C$196+(($C45)-$A$6:$A$51)*'Cálculos'!$C$98)+1400)+'Cálculos'!$C$123)*'Cálculos'!$C$219)+('Cálculos'!$C$196+(($C45)-$A$6:$A$51)*'Cálculos'!$C$98)*('Cálculos'!$C$210+'Cálculos'!$C$124*(1+2.78*('Cálculos'!$C$196+(($C45)-$A$6:$A$51)*'Cálculos'!$C$98)/(('Cálculos'!$C$196+(($C45)-$A$6:$A$51)*'Cálculos'!$C$98)+1400)+'Cálculos'!$C$122)*'Cálculos'!$C$215+'Cálculos'!$C$125*(1+2.78*('Cálculos'!$C$196+(($C45)-$A$6:$A$51)*'Cálculos'!$C$98)/(('Cálculos'!$C$196+(($C45)-$A$6:$A$51)*'Cálculos'!$C$98)+1400)+'Cálculos'!$C$123)*'Cálculos'!$C$220)+('Cálculos'!$C$201*(1+'Cálculos'!$C$202+$A$6:$A$51*('Cálculos'!$C$290=2)*'Cálculos'!$C$101)+'Cálculos'!$C$203)*('Cálculos'!$C$211+'Cálculos'!$C$124*(1+2.78*('Cálculos'!$C$196+(($C45)-$A$6:$A$51)*'Cálculos'!$C$98)/(('Cálculos'!$C$196+(($C45)-$A$6:$A$51)*'Cálculos'!$C$98)+1400)+'Cálculos'!$C$122)*'Cálculos'!$C$216+'Cálculos'!$C$125*(1+2.78*('Cálculos'!$C$196+(($C45)-$A$6:$A$51)*'Cálculos'!$C$98)/(('Cálculos'!$C$196+(($C45)-$A$6:$A$51)*'Cálculos'!$C$98)+1400)+'Cálculos'!$C$123)*'Cálculos'!$C$221)+('Cálculos'!$C$204*(1+'Cálculos'!$C$205+$A$6:$A$51*('Cálculos'!$C$290=3)*'Cálculos'!$C$103)+'Cálculos'!$C$206)*('Cálculos'!$C$212+'Cálculos'!$C$124*(1+2.78*('Cálculos'!$C$196+(($C45)-$A$6:$A$51)*'Cálculos'!$C$98)/(('Cálculos'!$C$196+(($C45)-$A$6:$A$51)*'Cálculos'!$C$98)+1400)+'Cálculos'!$C$122)*'Cálculos'!$C$217+'Cálculos'!$C$125*(1+2.78*('Cálculos'!$C$196+(($C45)-$A$6:$A$51)*'Cálculos'!$C$98)/(('Cálculos'!$C$196+(($C45)-$A$6:$A$51)*'Cálculos'!$C$98)+1400)+'Cálculos'!$C$123)*'Cálculos'!$C$222)+('Cálculos'!$C$213+'Cálculos'!$C$124*(1+2.78*('Cálculos'!$C$196+(($C45)-$A$6:$A$51)*'Cálculos'!$C$98)/(('Cálculos'!$C$196+(($C45)-$A$6:$A$51)*'Cálculos'!$C$98)+1400)+'Cálculos'!$C$122)*'Cálculos'!$C$218+'Cálculos'!$C$125*(1+2.78*('Cálculos'!$C$196+(($C45)-$A$6:$A$51)*'Cálculos'!$C$98)/(('Cálculos'!$C$196+(($C45)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45)-$A$6:$A$51)*'Cálculos'!$C$98)/(('Cálculos'!$C$197+(($C45)-$A$6:$A$51)*'Cálculos'!$C$98)+1400)+'Cálculos'!$C$122)*'Cálculos'!$C$229+'Cálculos'!$C$125*(1+2.78*('Cálculos'!$C$197+(($C45)-$A$6:$A$51)*'Cálculos'!$C$98)/(('Cálculos'!$C$197+(($C45)-$A$6:$A$51)*'Cálculos'!$C$98)+1400)+'Cálculos'!$C$123)*'Cálculos'!$C$234)+('Cálculos'!$C$197+(($C45)-$A$6:$A$51)*'Cálculos'!$C$98)*('Cálculos'!$C$225+'Cálculos'!$C$124*(1+2.78*('Cálculos'!$C$197+(($C45)-$A$6:$A$51)*'Cálculos'!$C$98)/(('Cálculos'!$C$197+(($C45)-$A$6:$A$51)*'Cálculos'!$C$98)+1400)+'Cálculos'!$C$122)*'Cálculos'!$C$230+'Cálculos'!$C$125*(1+2.78*('Cálculos'!$C$197+(($C45)-$A$6:$A$51)*'Cálculos'!$C$98)/(('Cálculos'!$C$197+(($C45)-$A$6:$A$51)*'Cálculos'!$C$98)+1400)+'Cálculos'!$C$123)*'Cálculos'!$C$235)+('Cálculos'!$C$201*(1+'Cálculos'!$C$202+$A$6:$A$51*('Cálculos'!$C$290=2)*'Cálculos'!$C$101)+'Cálculos'!$C$203)*('Cálculos'!$C$226+'Cálculos'!$C$124*(1+2.78*('Cálculos'!$C$197+(($C45)-$A$6:$A$51)*'Cálculos'!$C$98)/(('Cálculos'!$C$197+(($C45)-$A$6:$A$51)*'Cálculos'!$C$98)+1400)+'Cálculos'!$C$122)*'Cálculos'!$C$231+'Cálculos'!$C$125*(1+2.78*('Cálculos'!$C$197+(($C45)-$A$6:$A$51)*'Cálculos'!$C$98)/(('Cálculos'!$C$197+(($C45)-$A$6:$A$51)*'Cálculos'!$C$98)+1400)+'Cálculos'!$C$123)*'Cálculos'!$C$236)+('Cálculos'!$C$204*(1+'Cálculos'!$C$205+$A$6:$A$51*('Cálculos'!$C$290=3)*'Cálculos'!$C$103)+'Cálculos'!$C$206)*('Cálculos'!$C$227+'Cálculos'!$C$124*(1+2.78*('Cálculos'!$C$197+(($C45)-$A$6:$A$51)*'Cálculos'!$C$98)/(('Cálculos'!$C$197+(($C45)-$A$6:$A$51)*'Cálculos'!$C$98)+1400)+'Cálculos'!$C$122)*'Cálculos'!$C$232+'Cálculos'!$C$125*(1+2.78*('Cálculos'!$C$197+(($C45)-$A$6:$A$51)*'Cálculos'!$C$98)/(('Cálculos'!$C$197+(($C45)-$A$6:$A$51)*'Cálculos'!$C$98)+1400)+'Cálculos'!$C$123)*'Cálculos'!$C$237)+('Cálculos'!$C$228+'Cálculos'!$C$124*(1+2.78*('Cálculos'!$C$197+(($C45)-$A$6:$A$51)*'Cálculos'!$C$98)/(('Cálculos'!$C$197+(($C45)-$A$6:$A$51)*'Cálculos'!$C$98)+1400)+'Cálculos'!$C$122)*'Cálculos'!$C$233+'Cálculos'!$C$125*(1+2.78*('Cálculos'!$C$197+(($C45)-$A$6:$A$51)*'Cálculos'!$C$98)/(('Cálculos'!$C$197+(($C45)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45)-$A$6:$A$51)*'Cálculos'!$C$98)/(('Cálculos'!$C$198+(($C45)-$A$6:$A$51)*'Cálculos'!$C$98)+1400)+'Cálculos'!$C$122)*'Cálculos'!$C$244+'Cálculos'!$C$125*(1+2.78*('Cálculos'!$C$198+(($C45)-$A$6:$A$51)*'Cálculos'!$C$98)/(('Cálculos'!$C$198+(($C45)-$A$6:$A$51)*'Cálculos'!$C$98)+1400)+'Cálculos'!$C$123)*'Cálculos'!$C$249)+('Cálculos'!$C$198+(($C45)-$A$6:$A$51)*'Cálculos'!$C$98)*('Cálculos'!$C$240+'Cálculos'!$C$124*(1+2.78*('Cálculos'!$C$198+(($C45)-$A$6:$A$51)*'Cálculos'!$C$98)/(('Cálculos'!$C$198+(($C45)-$A$6:$A$51)*'Cálculos'!$C$98)+1400)+'Cálculos'!$C$122)*'Cálculos'!$C$245+'Cálculos'!$C$125*(1+2.78*('Cálculos'!$C$198+(($C45)-$A$6:$A$51)*'Cálculos'!$C$98)/(('Cálculos'!$C$198+(($C45)-$A$6:$A$51)*'Cálculos'!$C$98)+1400)+'Cálculos'!$C$123)*'Cálculos'!$C$250)+('Cálculos'!$C$201*(1+'Cálculos'!$C$202+$A$6:$A$51*('Cálculos'!$C$290=2)*'Cálculos'!$C$101)+'Cálculos'!$C$203)*('Cálculos'!$C$241+'Cálculos'!$C$124*(1+2.78*('Cálculos'!$C$198+(($C45)-$A$6:$A$51)*'Cálculos'!$C$98)/(('Cálculos'!$C$198+(($C45)-$A$6:$A$51)*'Cálculos'!$C$98)+1400)+'Cálculos'!$C$122)*'Cálculos'!$C$246+'Cálculos'!$C$125*(1+2.78*('Cálculos'!$C$198+(($C45)-$A$6:$A$51)*'Cálculos'!$C$98)/(('Cálculos'!$C$198+(($C45)-$A$6:$A$51)*'Cálculos'!$C$98)+1400)+'Cálculos'!$C$123)*'Cálculos'!$C$251)+('Cálculos'!$C$204*(1+'Cálculos'!$C$205+$A$6:$A$51*('Cálculos'!$C$290=3)*'Cálculos'!$C$103)+'Cálculos'!$C$206)*('Cálculos'!$C$242+'Cálculos'!$C$124*(1+2.78*('Cálculos'!$C$198+(($C45)-$A$6:$A$51)*'Cálculos'!$C$98)/(('Cálculos'!$C$198+(($C45)-$A$6:$A$51)*'Cálculos'!$C$98)+1400)+'Cálculos'!$C$122)*'Cálculos'!$C$247+'Cálculos'!$C$125*(1+2.78*('Cálculos'!$C$198+(($C45)-$A$6:$A$51)*'Cálculos'!$C$98)/(('Cálculos'!$C$198+(($C45)-$A$6:$A$51)*'Cálculos'!$C$98)+1400)+'Cálculos'!$C$123)*'Cálculos'!$C$252)+('Cálculos'!$C$243+'Cálculos'!$C$124*(1+2.78*('Cálculos'!$C$198+(($C45)-$A$6:$A$51)*'Cálculos'!$C$98)/(('Cálculos'!$C$198+(($C45)-$A$6:$A$51)*'Cálculos'!$C$98)+1400)+'Cálculos'!$C$122)*'Cálculos'!$C$248+'Cálculos'!$C$125*(1+2.78*('Cálculos'!$C$198+(($C45)-$A$6:$A$51)*'Cálculos'!$C$98)/(('Cálculos'!$C$198+(($C45)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45)-$A$6:$A$51)*'Cálculos'!$C$98)/(('Cálculos'!$C$199+(($C45)-$A$6:$A$51)*'Cálculos'!$C$98)+1400)+'Cálculos'!$C$122)*'Cálculos'!$C$259+'Cálculos'!$C$125*(1+2.78*('Cálculos'!$C$199+(($C45)-$A$6:$A$51)*'Cálculos'!$C$98)/(('Cálculos'!$C$199+(($C45)-$A$6:$A$51)*'Cálculos'!$C$98)+1400)+'Cálculos'!$C$123)*'Cálculos'!$C$264)+('Cálculos'!$C$199+(($C45)-$A$6:$A$51)*'Cálculos'!$C$98)*('Cálculos'!$C$255+'Cálculos'!$C$124*(1+2.78*('Cálculos'!$C$199+(($C45)-$A$6:$A$51)*'Cálculos'!$C$98)/(('Cálculos'!$C$199+(($C45)-$A$6:$A$51)*'Cálculos'!$C$98)+1400)+'Cálculos'!$C$122)*'Cálculos'!$C$260+'Cálculos'!$C$125*(1+2.78*('Cálculos'!$C$199+(($C45)-$A$6:$A$51)*'Cálculos'!$C$98)/(('Cálculos'!$C$199+(($C45)-$A$6:$A$51)*'Cálculos'!$C$98)+1400)+'Cálculos'!$C$123)*'Cálculos'!$C$265)+('Cálculos'!$C$201*(1+'Cálculos'!$C$202+$A$6:$A$51*('Cálculos'!$C$290=2)*'Cálculos'!$C$101)+'Cálculos'!$C$203)*('Cálculos'!$C$256+'Cálculos'!$C$124*(1+2.78*('Cálculos'!$C$199+(($C45)-$A$6:$A$51)*'Cálculos'!$C$98)/(('Cálculos'!$C$199+(($C45)-$A$6:$A$51)*'Cálculos'!$C$98)+1400)+'Cálculos'!$C$122)*'Cálculos'!$C$261+'Cálculos'!$C$125*(1+2.78*('Cálculos'!$C$199+(($C45)-$A$6:$A$51)*'Cálculos'!$C$98)/(('Cálculos'!$C$199+(($C45)-$A$6:$A$51)*'Cálculos'!$C$98)+1400)+'Cálculos'!$C$123)*'Cálculos'!$C$266)+('Cálculos'!$C$204*(1+'Cálculos'!$C$205+$A$6:$A$51*('Cálculos'!$C$290=3)*'Cálculos'!$C$103)+'Cálculos'!$C$206)*('Cálculos'!$C$257+'Cálculos'!$C$124*(1+2.78*('Cálculos'!$C$199+(($C45)-$A$6:$A$51)*'Cálculos'!$C$98)/(('Cálculos'!$C$199+(($C45)-$A$6:$A$51)*'Cálculos'!$C$98)+1400)+'Cálculos'!$C$122)*'Cálculos'!$C$262+'Cálculos'!$C$125*(1+2.78*('Cálculos'!$C$199+(($C45)-$A$6:$A$51)*'Cálculos'!$C$98)/(('Cálculos'!$C$199+(($C45)-$A$6:$A$51)*'Cálculos'!$C$98)+1400)+'Cálculos'!$C$123)*'Cálculos'!$C$267)+('Cálculos'!$C$258+'Cálculos'!$C$124*(1+2.78*('Cálculos'!$C$199+(($C45)-$A$6:$A$51)*'Cálculos'!$C$98)/(('Cálculos'!$C$199+(($C45)-$A$6:$A$51)*'Cálculos'!$C$98)+1400)+'Cálculos'!$C$122)*'Cálculos'!$C$263+'Cálculos'!$C$125*(1+2.78*('Cálculos'!$C$199+(($C45)-$A$6:$A$51)*'Cálculos'!$C$98)/(('Cálculos'!$C$199+(($C45)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45)-$A$6:$A$51)*'Cálculos'!$C$98)/(('Cálculos'!$C$200+(($C45)-$A$6:$A$51)*'Cálculos'!$C$98)+1400)+'Cálculos'!$C$122)*'Cálculos'!$C$274+'Cálculos'!$C$125*(1+2.78*('Cálculos'!$C$200+(($C45)-$A$6:$A$51)*'Cálculos'!$C$98)/(('Cálculos'!$C$200+(($C45)-$A$6:$A$51)*'Cálculos'!$C$98)+1400)+'Cálculos'!$C$123)*'Cálculos'!$C$279)+('Cálculos'!$C$200+(($C45)-$A$6:$A$51)*'Cálculos'!$C$98)*('Cálculos'!$C$270+'Cálculos'!$C$124*(1+2.78*('Cálculos'!$C$200+(($C45)-$A$6:$A$51)*'Cálculos'!$C$98)/(('Cálculos'!$C$200+(($C45)-$A$6:$A$51)*'Cálculos'!$C$98)+1400)+'Cálculos'!$C$122)*'Cálculos'!$C$275+'Cálculos'!$C$125*(1+2.78*('Cálculos'!$C$200+(($C45)-$A$6:$A$51)*'Cálculos'!$C$98)/(('Cálculos'!$C$200+(($C45)-$A$6:$A$51)*'Cálculos'!$C$98)+1400)+'Cálculos'!$C$123)*'Cálculos'!$C$280)+('Cálculos'!$C$201*(1+'Cálculos'!$C$202+$A$6:$A$51*('Cálculos'!$C$290=2)*'Cálculos'!$C$101)+'Cálculos'!$C$203)*('Cálculos'!$C$271+'Cálculos'!$C$124*(1+2.78*('Cálculos'!$C$200+(($C45)-$A$6:$A$51)*'Cálculos'!$C$98)/(('Cálculos'!$C$200+(($C45)-$A$6:$A$51)*'Cálculos'!$C$98)+1400)+'Cálculos'!$C$122)*'Cálculos'!$C$276+'Cálculos'!$C$125*(1+2.78*('Cálculos'!$C$200+(($C45)-$A$6:$A$51)*'Cálculos'!$C$98)/(('Cálculos'!$C$200+(($C45)-$A$6:$A$51)*'Cálculos'!$C$98)+1400)+'Cálculos'!$C$123)*'Cálculos'!$C$281)+('Cálculos'!$C$204*(1+'Cálculos'!$C$205+$A$6:$A$51*('Cálculos'!$C$290=3)*'Cálculos'!$C$103)+'Cálculos'!$C$206)*('Cálculos'!$C$272+'Cálculos'!$C$124*(1+2.78*('Cálculos'!$C$200+(($C45)-$A$6:$A$51)*'Cálculos'!$C$98)/(('Cálculos'!$C$200+(($C45)-$A$6:$A$51)*'Cálculos'!$C$98)+1400)+'Cálculos'!$C$122)*'Cálculos'!$C$277+'Cálculos'!$C$125*(1+2.78*('Cálculos'!$C$200+(($C45)-$A$6:$A$51)*'Cálculos'!$C$98)/(('Cálculos'!$C$200+(($C45)-$A$6:$A$51)*'Cálculos'!$C$98)+1400)+'Cálculos'!$C$123)*'Cálculos'!$C$282)+('Cálculos'!$C$273+'Cálculos'!$C$124*(1+2.78*('Cálculos'!$C$200+(($C45)-$A$6:$A$51)*'Cálculos'!$C$98)/(('Cálculos'!$C$200+(($C45)-$A$6:$A$51)*'Cálculos'!$C$98)+1400)+'Cálculos'!$C$122)*'Cálculos'!$C$278+'Cálculos'!$C$125*(1+2.78*('Cálculos'!$C$200+(($C45)-$A$6:$A$51)*'Cálculos'!$C$98)/(('Cálculos'!$C$200+(($C45)-$A$6:$A$51)*'Cálculos'!$C$98)+1400)+'Cálculos'!$C$123)*'Cálculos'!$C$283)))))</f>
        <v>0</v>
      </c>
      <c r="E45" s="32">
        <f>IF(OR($C45&lt;0,'Cálculos'!$C$6=""),0,$B45*$D45)</f>
        <v>0</v>
      </c>
      <c r="F45" s="2"/>
      <c r="G45" s="30">
        <f>($A45&lt;=$B$53)*($A45&lt;='Cálculos'!$C$294)*(($B$53)-$A45&lt;='Cálculos'!$C$295)*(1+MIN(('Cálculos'!$C$207+$A45*'Cálculos'!$C$95),1)*('Cálculos'!$C$208+(($B$53)-$A45)*'Cálculos'!$C$96))</f>
        <v>0</v>
      </c>
      <c r="H45" s="31">
        <f>IF($B$54&lt;0,0,($A45&lt;=$B$54)*($A45&lt;='Cálculos'!$C$301)*(($B$54)-$A45&lt;='Cálculos'!$C$297)*(('Cálculos'!$C$185*(1+'Cálculos'!$C$186+$A45*('Cálculos'!$C$290=1)*'Cálculos'!$C$97+'Cálculos'!$C$305)+'Cálculos'!$C$191)*('Cálculos'!$C$209+'Cálculos'!$C$124*(1+2.78*('Cálculos'!$C$196+(($B$54)-$A45)*'Cálculos'!$C$98)/(('Cálculos'!$C$196+(($B$54)-$A45)*'Cálculos'!$C$98)+1400)+'Cálculos'!$C$122)*'Cálculos'!$C$214+'Cálculos'!$C$125*(1+2.78*('Cálculos'!$C$196+(($B$54)-$A45)*'Cálculos'!$C$98)/(('Cálculos'!$C$196+(($B$54)-$A45)*'Cálculos'!$C$98)+1400)+'Cálculos'!$C$123)*'Cálculos'!$C$219)+('Cálculos'!$C$196+(($B$54)-$A45)*'Cálculos'!$C$98)*('Cálculos'!$C$210+'Cálculos'!$C$124*(1+2.78*('Cálculos'!$C$196+(($B$54)-$A45)*'Cálculos'!$C$98)/(('Cálculos'!$C$196+(($B$54)-$A45)*'Cálculos'!$C$98)+1400)+'Cálculos'!$C$122)*'Cálculos'!$C$215+'Cálculos'!$C$125*(1+2.78*('Cálculos'!$C$196+(($B$54)-$A45)*'Cálculos'!$C$98)/(('Cálculos'!$C$196+(($B$54)-$A45)*'Cálculos'!$C$98)+1400)+'Cálculos'!$C$123)*'Cálculos'!$C$220)+('Cálculos'!$C$201*(1+'Cálculos'!$C$202+$A45*('Cálculos'!$C$290=2)*'Cálculos'!$C$101)+'Cálculos'!$C$203)*('Cálculos'!$C$211+'Cálculos'!$C$124*(1+2.78*('Cálculos'!$C$196+(($B$54)-$A45)*'Cálculos'!$C$98)/(('Cálculos'!$C$196+(($B$54)-$A45)*'Cálculos'!$C$98)+1400)+'Cálculos'!$C$122)*'Cálculos'!$C$216+'Cálculos'!$C$125*(1+2.78*('Cálculos'!$C$196+(($B$54)-$A45)*'Cálculos'!$C$98)/(('Cálculos'!$C$196+(($B$54)-$A45)*'Cálculos'!$C$98)+1400)+'Cálculos'!$C$123)*'Cálculos'!$C$221)+('Cálculos'!$C$204*(1+'Cálculos'!$C$205+$A45*('Cálculos'!$C$290=3)*'Cálculos'!$C$103)+'Cálculos'!$C$206)*('Cálculos'!$C$212+'Cálculos'!$C$124*(1+2.78*('Cálculos'!$C$196+(($B$54)-$A45)*'Cálculos'!$C$98)/(('Cálculos'!$C$196+(($B$54)-$A45)*'Cálculos'!$C$98)+1400)+'Cálculos'!$C$122)*'Cálculos'!$C$217+'Cálculos'!$C$125*(1+2.78*('Cálculos'!$C$196+(($B$54)-$A45)*'Cálculos'!$C$98)/(('Cálculos'!$C$196+(($B$54)-$A45)*'Cálculos'!$C$98)+1400)+'Cálculos'!$C$123)*'Cálculos'!$C$222)+('Cálculos'!$C$213+'Cálculos'!$C$124*(1+2.78*('Cálculos'!$C$196+(($B$54)-$A45)*'Cálculos'!$C$98)/(('Cálculos'!$C$196+(($B$54)-$A45)*'Cálculos'!$C$98)+1400)+'Cálculos'!$C$122)*'Cálculos'!$C$218+'Cálculos'!$C$125*(1+2.78*('Cálculos'!$C$196+(($B$54)-$A45)*'Cálculos'!$C$98)/(('Cálculos'!$C$196+(($B$54)-$A45)*'Cálculos'!$C$98)+1400)+'Cálculos'!$C$123)*'Cálculos'!$C$223)+('Cálculos'!$C$185*(1+'Cálculos'!$C$187+$A45*('Cálculos'!$C$290=1)*'Cálculos'!$C$97+'Cálculos'!$C$305)+'Cálculos'!$C$192)*('Cálculos'!$C$224+'Cálculos'!$C$124*(1+2.78*('Cálculos'!$C$197+(($B$54)-$A45)*'Cálculos'!$C$98)/(('Cálculos'!$C$197+(($B$54)-$A45)*'Cálculos'!$C$98)+1400)+'Cálculos'!$C$122)*'Cálculos'!$C$229+'Cálculos'!$C$125*(1+2.78*('Cálculos'!$C$197+(($B$54)-$A45)*'Cálculos'!$C$98)/(('Cálculos'!$C$197+(($B$54)-$A45)*'Cálculos'!$C$98)+1400)+'Cálculos'!$C$123)*'Cálculos'!$C$234)+('Cálculos'!$C$197+(($B$54)-$A45)*'Cálculos'!$C$98)*('Cálculos'!$C$225+'Cálculos'!$C$124*(1+2.78*('Cálculos'!$C$197+(($B$54)-$A45)*'Cálculos'!$C$98)/(('Cálculos'!$C$197+(($B$54)-$A45)*'Cálculos'!$C$98)+1400)+'Cálculos'!$C$122)*'Cálculos'!$C$230+'Cálculos'!$C$125*(1+2.78*('Cálculos'!$C$197+(($B$54)-$A45)*'Cálculos'!$C$98)/(('Cálculos'!$C$197+(($B$54)-$A45)*'Cálculos'!$C$98)+1400)+'Cálculos'!$C$123)*'Cálculos'!$C$235)+('Cálculos'!$C$201*(1+'Cálculos'!$C$202+$A45*('Cálculos'!$C$290=2)*'Cálculos'!$C$101)+'Cálculos'!$C$203)*('Cálculos'!$C$226+'Cálculos'!$C$124*(1+2.78*('Cálculos'!$C$197+(($B$54)-$A45)*'Cálculos'!$C$98)/(('Cálculos'!$C$197+(($B$54)-$A45)*'Cálculos'!$C$98)+1400)+'Cálculos'!$C$122)*'Cálculos'!$C$231+'Cálculos'!$C$125*(1+2.78*('Cálculos'!$C$197+(($B$54)-$A45)*'Cálculos'!$C$98)/(('Cálculos'!$C$197+(($B$54)-$A45)*'Cálculos'!$C$98)+1400)+'Cálculos'!$C$123)*'Cálculos'!$C$236)+('Cálculos'!$C$204*(1+'Cálculos'!$C$205+$A45*('Cálculos'!$C$290=3)*'Cálculos'!$C$103)+'Cálculos'!$C$206)*('Cálculos'!$C$227+'Cálculos'!$C$124*(1+2.78*('Cálculos'!$C$197+(($B$54)-$A45)*'Cálculos'!$C$98)/(('Cálculos'!$C$197+(($B$54)-$A45)*'Cálculos'!$C$98)+1400)+'Cálculos'!$C$122)*'Cálculos'!$C$232+'Cálculos'!$C$125*(1+2.78*('Cálculos'!$C$197+(($B$54)-$A45)*'Cálculos'!$C$98)/(('Cálculos'!$C$197+(($B$54)-$A45)*'Cálculos'!$C$98)+1400)+'Cálculos'!$C$123)*'Cálculos'!$C$237)+('Cálculos'!$C$228+'Cálculos'!$C$124*(1+2.78*('Cálculos'!$C$197+(($B$54)-$A45)*'Cálculos'!$C$98)/(('Cálculos'!$C$197+(($B$54)-$A45)*'Cálculos'!$C$98)+1400)+'Cálculos'!$C$122)*'Cálculos'!$C$233+'Cálculos'!$C$125*(1+2.78*('Cálculos'!$C$197+(($B$54)-$A45)*'Cálculos'!$C$98)/(('Cálculos'!$C$197+(($B$54)-$A45)*'Cálculos'!$C$98)+1400)+'Cálculos'!$C$123)*'Cálculos'!$C$238)+('Cálculos'!$C$185*(1+'Cálculos'!$C$188+$A45*('Cálculos'!$C$290=1)*'Cálculos'!$C$97+'Cálculos'!$C$305)+'Cálculos'!$C$193)*('Cálculos'!$C$239+'Cálculos'!$C$124*(1+2.78*('Cálculos'!$C$198+(($B$54)-$A45)*'Cálculos'!$C$98)/(('Cálculos'!$C$198+(($B$54)-$A45)*'Cálculos'!$C$98)+1400)+'Cálculos'!$C$122)*'Cálculos'!$C$244+'Cálculos'!$C$125*(1+2.78*('Cálculos'!$C$198+(($B$54)-$A45)*'Cálculos'!$C$98)/(('Cálculos'!$C$198+(($B$54)-$A45)*'Cálculos'!$C$98)+1400)+'Cálculos'!$C$123)*'Cálculos'!$C$249)+('Cálculos'!$C$198+(($B$54)-$A45)*'Cálculos'!$C$98)*('Cálculos'!$C$240+'Cálculos'!$C$124*(1+2.78*('Cálculos'!$C$198+(($B$54)-$A45)*'Cálculos'!$C$98)/(('Cálculos'!$C$198+(($B$54)-$A45)*'Cálculos'!$C$98)+1400)+'Cálculos'!$C$122)*'Cálculos'!$C$245+'Cálculos'!$C$125*(1+2.78*('Cálculos'!$C$198+(($B$54)-$A45)*'Cálculos'!$C$98)/(('Cálculos'!$C$198+(($B$54)-$A45)*'Cálculos'!$C$98)+1400)+'Cálculos'!$C$123)*'Cálculos'!$C$250)+('Cálculos'!$C$201*(1+'Cálculos'!$C$202+$A45*('Cálculos'!$C$290=2)*'Cálculos'!$C$101)+'Cálculos'!$C$203)*('Cálculos'!$C$241+'Cálculos'!$C$124*(1+2.78*('Cálculos'!$C$198+(($B$54)-$A45)*'Cálculos'!$C$98)/(('Cálculos'!$C$198+(($B$54)-$A45)*'Cálculos'!$C$98)+1400)+'Cálculos'!$C$122)*'Cálculos'!$C$246+'Cálculos'!$C$125*(1+2.78*('Cálculos'!$C$198+(($B$54)-$A45)*'Cálculos'!$C$98)/(('Cálculos'!$C$198+(($B$54)-$A45)*'Cálculos'!$C$98)+1400)+'Cálculos'!$C$123)*'Cálculos'!$C$251)+('Cálculos'!$C$204*(1+'Cálculos'!$C$205+$A45*('Cálculos'!$C$290=3)*'Cálculos'!$C$103)+'Cálculos'!$C$206)*('Cálculos'!$C$242+'Cálculos'!$C$124*(1+2.78*('Cálculos'!$C$198+(($B$54)-$A45)*'Cálculos'!$C$98)/(('Cálculos'!$C$198+(($B$54)-$A45)*'Cálculos'!$C$98)+1400)+'Cálculos'!$C$122)*'Cálculos'!$C$247+'Cálculos'!$C$125*(1+2.78*('Cálculos'!$C$198+(($B$54)-$A45)*'Cálculos'!$C$98)/(('Cálculos'!$C$198+(($B$54)-$A45)*'Cálculos'!$C$98)+1400)+'Cálculos'!$C$123)*'Cálculos'!$C$252)+('Cálculos'!$C$243+'Cálculos'!$C$124*(1+2.78*('Cálculos'!$C$198+(($B$54)-$A45)*'Cálculos'!$C$98)/(('Cálculos'!$C$198+(($B$54)-$A45)*'Cálculos'!$C$98)+1400)+'Cálculos'!$C$122)*'Cálculos'!$C$248+'Cálculos'!$C$125*(1+2.78*('Cálculos'!$C$198+(($B$54)-$A45)*'Cálculos'!$C$98)/(('Cálculos'!$C$198+(($B$54)-$A45)*'Cálculos'!$C$98)+1400)+'Cálculos'!$C$123)*'Cálculos'!$C$253)+('Cálculos'!$C$185*(1+'Cálculos'!$C$189+$A45*('Cálculos'!$C$290=1)*'Cálculos'!$C$97+'Cálculos'!$C$305)+'Cálculos'!$C$194)*('Cálculos'!$C$254+'Cálculos'!$C$124*(1+2.78*('Cálculos'!$C$199+(($B$54)-$A45)*'Cálculos'!$C$98)/(('Cálculos'!$C$199+(($B$54)-$A45)*'Cálculos'!$C$98)+1400)+'Cálculos'!$C$122)*'Cálculos'!$C$259+'Cálculos'!$C$125*(1+2.78*('Cálculos'!$C$199+(($B$54)-$A45)*'Cálculos'!$C$98)/(('Cálculos'!$C$199+(($B$54)-$A45)*'Cálculos'!$C$98)+1400)+'Cálculos'!$C$123)*'Cálculos'!$C$264)+('Cálculos'!$C$199+(($B$54)-$A45)*'Cálculos'!$C$98)*('Cálculos'!$C$255+'Cálculos'!$C$124*(1+2.78*('Cálculos'!$C$199+(($B$54)-$A45)*'Cálculos'!$C$98)/(('Cálculos'!$C$199+(($B$54)-$A45)*'Cálculos'!$C$98)+1400)+'Cálculos'!$C$122)*'Cálculos'!$C$260+'Cálculos'!$C$125*(1+2.78*('Cálculos'!$C$199+(($B$54)-$A45)*'Cálculos'!$C$98)/(('Cálculos'!$C$199+(($B$54)-$A45)*'Cálculos'!$C$98)+1400)+'Cálculos'!$C$123)*'Cálculos'!$C$265)+('Cálculos'!$C$201*(1+'Cálculos'!$C$202+$A45*('Cálculos'!$C$290=2)*'Cálculos'!$C$101)+'Cálculos'!$C$203)*('Cálculos'!$C$256+'Cálculos'!$C$124*(1+2.78*('Cálculos'!$C$199+(($B$54)-$A45)*'Cálculos'!$C$98)/(('Cálculos'!$C$199+(($B$54)-$A45)*'Cálculos'!$C$98)+1400)+'Cálculos'!$C$122)*'Cálculos'!$C$261+'Cálculos'!$C$125*(1+2.78*('Cálculos'!$C$199+(($B$54)-$A45)*'Cálculos'!$C$98)/(('Cálculos'!$C$199+(($B$54)-$A45)*'Cálculos'!$C$98)+1400)+'Cálculos'!$C$123)*'Cálculos'!$C$266)+('Cálculos'!$C$204*(1+'Cálculos'!$C$205+$A45*('Cálculos'!$C$290=3)*'Cálculos'!$C$103)+'Cálculos'!$C$206)*('Cálculos'!$C$257+'Cálculos'!$C$124*(1+2.78*('Cálculos'!$C$199+(($B$54)-$A45)*'Cálculos'!$C$98)/(('Cálculos'!$C$199+(($B$54)-$A45)*'Cálculos'!$C$98)+1400)+'Cálculos'!$C$122)*'Cálculos'!$C$262+'Cálculos'!$C$125*(1+2.78*('Cálculos'!$C$199+(($B$54)-$A45)*'Cálculos'!$C$98)/(('Cálculos'!$C$199+(($B$54)-$A45)*'Cálculos'!$C$98)+1400)+'Cálculos'!$C$123)*'Cálculos'!$C$267)+('Cálculos'!$C$258+'Cálculos'!$C$124*(1+2.78*('Cálculos'!$C$199+(($B$54)-$A45)*'Cálculos'!$C$98)/(('Cálculos'!$C$199+(($B$54)-$A45)*'Cálculos'!$C$98)+1400)+'Cálculos'!$C$122)*'Cálculos'!$C$263+'Cálculos'!$C$125*(1+2.78*('Cálculos'!$C$199+(($B$54)-$A45)*'Cálculos'!$C$98)/(('Cálculos'!$C$199+(($B$54)-$A45)*'Cálculos'!$C$98)+1400)+'Cálculos'!$C$123)*'Cálculos'!$C$268)+('Cálculos'!$C$185*(1+'Cálculos'!$C$190+$A45*('Cálculos'!$C$290=1)*'Cálculos'!$C$97+'Cálculos'!$C$305)+'Cálculos'!$C$195)*('Cálculos'!$C$269+'Cálculos'!$C$124*(1+2.78*('Cálculos'!$C$200+(($B$54)-$A45)*'Cálculos'!$C$98)/(('Cálculos'!$C$200+(($B$54)-$A45)*'Cálculos'!$C$98)+1400)+'Cálculos'!$C$122)*'Cálculos'!$C$274+'Cálculos'!$C$125*(1+2.78*('Cálculos'!$C$200+(($B$54)-$A45)*'Cálculos'!$C$98)/(('Cálculos'!$C$200+(($B$54)-$A45)*'Cálculos'!$C$98)+1400)+'Cálculos'!$C$123)*'Cálculos'!$C$279)+('Cálculos'!$C$200+(($B$54)-$A45)*'Cálculos'!$C$98)*('Cálculos'!$C$270+'Cálculos'!$C$124*(1+2.78*('Cálculos'!$C$200+(($B$54)-$A45)*'Cálculos'!$C$98)/(('Cálculos'!$C$200+(($B$54)-$A45)*'Cálculos'!$C$98)+1400)+'Cálculos'!$C$122)*'Cálculos'!$C$275+'Cálculos'!$C$125*(1+2.78*('Cálculos'!$C$200+(($B$54)-$A45)*'Cálculos'!$C$98)/(('Cálculos'!$C$200+(($B$54)-$A45)*'Cálculos'!$C$98)+1400)+'Cálculos'!$C$123)*'Cálculos'!$C$280)+('Cálculos'!$C$201*(1+'Cálculos'!$C$202+$A45*('Cálculos'!$C$290=2)*'Cálculos'!$C$101)+'Cálculos'!$C$203)*('Cálculos'!$C$271+'Cálculos'!$C$124*(1+2.78*('Cálculos'!$C$200+(($B$54)-$A45)*'Cálculos'!$C$98)/(('Cálculos'!$C$200+(($B$54)-$A45)*'Cálculos'!$C$98)+1400)+'Cálculos'!$C$122)*'Cálculos'!$C$276+'Cálculos'!$C$125*(1+2.78*('Cálculos'!$C$200+(($B$54)-$A45)*'Cálculos'!$C$98)/(('Cálculos'!$C$200+(($B$54)-$A45)*'Cálculos'!$C$98)+1400)+'Cálculos'!$C$123)*'Cálculos'!$C$281)+('Cálculos'!$C$204*(1+'Cálculos'!$C$205+$A45*('Cálculos'!$C$290=3)*'Cálculos'!$C$103)+'Cálculos'!$C$206)*('Cálculos'!$C$272+'Cálculos'!$C$124*(1+2.78*('Cálculos'!$C$200+(($B$54)-$A45)*'Cálculos'!$C$98)/(('Cálculos'!$C$200+(($B$54)-$A45)*'Cálculos'!$C$98)+1400)+'Cálculos'!$C$122)*'Cálculos'!$C$277+'Cálculos'!$C$125*(1+2.78*('Cálculos'!$C$200+(($B$54)-$A45)*'Cálculos'!$C$98)/(('Cálculos'!$C$200+(($B$54)-$A45)*'Cálculos'!$C$98)+1400)+'Cálculos'!$C$123)*'Cálculos'!$C$282)+('Cálculos'!$C$273+'Cálculos'!$C$124*(1+2.78*('Cálculos'!$C$200+(($B$54)-$A45)*'Cálculos'!$C$98)/(('Cálculos'!$C$200+(($B$54)-$A45)*'Cálculos'!$C$98)+1400)+'Cálculos'!$C$122)*'Cálculos'!$C$278+'Cálculos'!$C$125*(1+2.78*('Cálculos'!$C$200+(($B$54)-$A45)*'Cálculos'!$C$98)/(('Cálculos'!$C$200+(($B$54)-$A45)*'Cálculos'!$C$98)+1400)+'Cálculos'!$C$123)*'Cálculos'!$C$283)))</f>
        <v>0</v>
      </c>
    </row>
    <row r="46" ht="15.75" customHeight="1">
      <c r="A46" s="2">
        <v>40.0</v>
      </c>
      <c r="B46" s="30">
        <f>SUMPRODUCT(MAX(($A$6:$A$51&lt;=$A46)*($A$6:$A$51&lt;='Cálculos'!$C$294)*(($A46)-$A$6:$A$51&lt;='Cálculos'!$C$295)*(1+(('Cálculos'!$C$207+$A$6:$A$51*'Cálculos'!$C$95)-(('Cálculos'!$C$207+$A$6:$A$51*'Cálculos'!$C$95)&gt;1)*(('Cálculos'!$C$207+$A$6:$A$51*'Cálculos'!$C$95)-1))*('Cálculos'!$C$208+(($A46)-$A$6:$A$51)*'Cálculos'!$C$96))))</f>
        <v>4.44</v>
      </c>
      <c r="C46" s="2">
        <f>'Cálculos'!$C$303-$A46</f>
        <v>-20</v>
      </c>
      <c r="D46" s="31">
        <f>IF($C46&lt;0,0,SUMPRODUCT(MAX(($A$6:$A$51&lt;=$C46)*($A$6:$A$51&lt;='Cálculos'!$C$301)*(($C46)-$A$6:$A$51&lt;='Cálculos'!$C$297)*(('Cálculos'!$C$185*(1+'Cálculos'!$C$186+$A$6:$A$51*('Cálculos'!$C$290=1)*'Cálculos'!$C$97+'Cálculos'!$C$305)+'Cálculos'!$C$191)*('Cálculos'!$C$209+'Cálculos'!$C$124*(1+2.78*('Cálculos'!$C$196+(($C46)-$A$6:$A$51)*'Cálculos'!$C$98)/(('Cálculos'!$C$196+(($C46)-$A$6:$A$51)*'Cálculos'!$C$98)+1400)+'Cálculos'!$C$122)*'Cálculos'!$C$214+'Cálculos'!$C$125*(1+2.78*('Cálculos'!$C$196+(($C46)-$A$6:$A$51)*'Cálculos'!$C$98)/(('Cálculos'!$C$196+(($C46)-$A$6:$A$51)*'Cálculos'!$C$98)+1400)+'Cálculos'!$C$123)*'Cálculos'!$C$219)+('Cálculos'!$C$196+(($C46)-$A$6:$A$51)*'Cálculos'!$C$98)*('Cálculos'!$C$210+'Cálculos'!$C$124*(1+2.78*('Cálculos'!$C$196+(($C46)-$A$6:$A$51)*'Cálculos'!$C$98)/(('Cálculos'!$C$196+(($C46)-$A$6:$A$51)*'Cálculos'!$C$98)+1400)+'Cálculos'!$C$122)*'Cálculos'!$C$215+'Cálculos'!$C$125*(1+2.78*('Cálculos'!$C$196+(($C46)-$A$6:$A$51)*'Cálculos'!$C$98)/(('Cálculos'!$C$196+(($C46)-$A$6:$A$51)*'Cálculos'!$C$98)+1400)+'Cálculos'!$C$123)*'Cálculos'!$C$220)+('Cálculos'!$C$201*(1+'Cálculos'!$C$202+$A$6:$A$51*('Cálculos'!$C$290=2)*'Cálculos'!$C$101)+'Cálculos'!$C$203)*('Cálculos'!$C$211+'Cálculos'!$C$124*(1+2.78*('Cálculos'!$C$196+(($C46)-$A$6:$A$51)*'Cálculos'!$C$98)/(('Cálculos'!$C$196+(($C46)-$A$6:$A$51)*'Cálculos'!$C$98)+1400)+'Cálculos'!$C$122)*'Cálculos'!$C$216+'Cálculos'!$C$125*(1+2.78*('Cálculos'!$C$196+(($C46)-$A$6:$A$51)*'Cálculos'!$C$98)/(('Cálculos'!$C$196+(($C46)-$A$6:$A$51)*'Cálculos'!$C$98)+1400)+'Cálculos'!$C$123)*'Cálculos'!$C$221)+('Cálculos'!$C$204*(1+'Cálculos'!$C$205+$A$6:$A$51*('Cálculos'!$C$290=3)*'Cálculos'!$C$103)+'Cálculos'!$C$206)*('Cálculos'!$C$212+'Cálculos'!$C$124*(1+2.78*('Cálculos'!$C$196+(($C46)-$A$6:$A$51)*'Cálculos'!$C$98)/(('Cálculos'!$C$196+(($C46)-$A$6:$A$51)*'Cálculos'!$C$98)+1400)+'Cálculos'!$C$122)*'Cálculos'!$C$217+'Cálculos'!$C$125*(1+2.78*('Cálculos'!$C$196+(($C46)-$A$6:$A$51)*'Cálculos'!$C$98)/(('Cálculos'!$C$196+(($C46)-$A$6:$A$51)*'Cálculos'!$C$98)+1400)+'Cálculos'!$C$123)*'Cálculos'!$C$222)+('Cálculos'!$C$213+'Cálculos'!$C$124*(1+2.78*('Cálculos'!$C$196+(($C46)-$A$6:$A$51)*'Cálculos'!$C$98)/(('Cálculos'!$C$196+(($C46)-$A$6:$A$51)*'Cálculos'!$C$98)+1400)+'Cálculos'!$C$122)*'Cálculos'!$C$218+'Cálculos'!$C$125*(1+2.78*('Cálculos'!$C$196+(($C46)-$A$6:$A$51)*'Cálculos'!$C$98)/(('Cálculos'!$C$196+(($C46)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46)-$A$6:$A$51)*'Cálculos'!$C$98)/(('Cálculos'!$C$197+(($C46)-$A$6:$A$51)*'Cálculos'!$C$98)+1400)+'Cálculos'!$C$122)*'Cálculos'!$C$229+'Cálculos'!$C$125*(1+2.78*('Cálculos'!$C$197+(($C46)-$A$6:$A$51)*'Cálculos'!$C$98)/(('Cálculos'!$C$197+(($C46)-$A$6:$A$51)*'Cálculos'!$C$98)+1400)+'Cálculos'!$C$123)*'Cálculos'!$C$234)+('Cálculos'!$C$197+(($C46)-$A$6:$A$51)*'Cálculos'!$C$98)*('Cálculos'!$C$225+'Cálculos'!$C$124*(1+2.78*('Cálculos'!$C$197+(($C46)-$A$6:$A$51)*'Cálculos'!$C$98)/(('Cálculos'!$C$197+(($C46)-$A$6:$A$51)*'Cálculos'!$C$98)+1400)+'Cálculos'!$C$122)*'Cálculos'!$C$230+'Cálculos'!$C$125*(1+2.78*('Cálculos'!$C$197+(($C46)-$A$6:$A$51)*'Cálculos'!$C$98)/(('Cálculos'!$C$197+(($C46)-$A$6:$A$51)*'Cálculos'!$C$98)+1400)+'Cálculos'!$C$123)*'Cálculos'!$C$235)+('Cálculos'!$C$201*(1+'Cálculos'!$C$202+$A$6:$A$51*('Cálculos'!$C$290=2)*'Cálculos'!$C$101)+'Cálculos'!$C$203)*('Cálculos'!$C$226+'Cálculos'!$C$124*(1+2.78*('Cálculos'!$C$197+(($C46)-$A$6:$A$51)*'Cálculos'!$C$98)/(('Cálculos'!$C$197+(($C46)-$A$6:$A$51)*'Cálculos'!$C$98)+1400)+'Cálculos'!$C$122)*'Cálculos'!$C$231+'Cálculos'!$C$125*(1+2.78*('Cálculos'!$C$197+(($C46)-$A$6:$A$51)*'Cálculos'!$C$98)/(('Cálculos'!$C$197+(($C46)-$A$6:$A$51)*'Cálculos'!$C$98)+1400)+'Cálculos'!$C$123)*'Cálculos'!$C$236)+('Cálculos'!$C$204*(1+'Cálculos'!$C$205+$A$6:$A$51*('Cálculos'!$C$290=3)*'Cálculos'!$C$103)+'Cálculos'!$C$206)*('Cálculos'!$C$227+'Cálculos'!$C$124*(1+2.78*('Cálculos'!$C$197+(($C46)-$A$6:$A$51)*'Cálculos'!$C$98)/(('Cálculos'!$C$197+(($C46)-$A$6:$A$51)*'Cálculos'!$C$98)+1400)+'Cálculos'!$C$122)*'Cálculos'!$C$232+'Cálculos'!$C$125*(1+2.78*('Cálculos'!$C$197+(($C46)-$A$6:$A$51)*'Cálculos'!$C$98)/(('Cálculos'!$C$197+(($C46)-$A$6:$A$51)*'Cálculos'!$C$98)+1400)+'Cálculos'!$C$123)*'Cálculos'!$C$237)+('Cálculos'!$C$228+'Cálculos'!$C$124*(1+2.78*('Cálculos'!$C$197+(($C46)-$A$6:$A$51)*'Cálculos'!$C$98)/(('Cálculos'!$C$197+(($C46)-$A$6:$A$51)*'Cálculos'!$C$98)+1400)+'Cálculos'!$C$122)*'Cálculos'!$C$233+'Cálculos'!$C$125*(1+2.78*('Cálculos'!$C$197+(($C46)-$A$6:$A$51)*'Cálculos'!$C$98)/(('Cálculos'!$C$197+(($C46)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46)-$A$6:$A$51)*'Cálculos'!$C$98)/(('Cálculos'!$C$198+(($C46)-$A$6:$A$51)*'Cálculos'!$C$98)+1400)+'Cálculos'!$C$122)*'Cálculos'!$C$244+'Cálculos'!$C$125*(1+2.78*('Cálculos'!$C$198+(($C46)-$A$6:$A$51)*'Cálculos'!$C$98)/(('Cálculos'!$C$198+(($C46)-$A$6:$A$51)*'Cálculos'!$C$98)+1400)+'Cálculos'!$C$123)*'Cálculos'!$C$249)+('Cálculos'!$C$198+(($C46)-$A$6:$A$51)*'Cálculos'!$C$98)*('Cálculos'!$C$240+'Cálculos'!$C$124*(1+2.78*('Cálculos'!$C$198+(($C46)-$A$6:$A$51)*'Cálculos'!$C$98)/(('Cálculos'!$C$198+(($C46)-$A$6:$A$51)*'Cálculos'!$C$98)+1400)+'Cálculos'!$C$122)*'Cálculos'!$C$245+'Cálculos'!$C$125*(1+2.78*('Cálculos'!$C$198+(($C46)-$A$6:$A$51)*'Cálculos'!$C$98)/(('Cálculos'!$C$198+(($C46)-$A$6:$A$51)*'Cálculos'!$C$98)+1400)+'Cálculos'!$C$123)*'Cálculos'!$C$250)+('Cálculos'!$C$201*(1+'Cálculos'!$C$202+$A$6:$A$51*('Cálculos'!$C$290=2)*'Cálculos'!$C$101)+'Cálculos'!$C$203)*('Cálculos'!$C$241+'Cálculos'!$C$124*(1+2.78*('Cálculos'!$C$198+(($C46)-$A$6:$A$51)*'Cálculos'!$C$98)/(('Cálculos'!$C$198+(($C46)-$A$6:$A$51)*'Cálculos'!$C$98)+1400)+'Cálculos'!$C$122)*'Cálculos'!$C$246+'Cálculos'!$C$125*(1+2.78*('Cálculos'!$C$198+(($C46)-$A$6:$A$51)*'Cálculos'!$C$98)/(('Cálculos'!$C$198+(($C46)-$A$6:$A$51)*'Cálculos'!$C$98)+1400)+'Cálculos'!$C$123)*'Cálculos'!$C$251)+('Cálculos'!$C$204*(1+'Cálculos'!$C$205+$A$6:$A$51*('Cálculos'!$C$290=3)*'Cálculos'!$C$103)+'Cálculos'!$C$206)*('Cálculos'!$C$242+'Cálculos'!$C$124*(1+2.78*('Cálculos'!$C$198+(($C46)-$A$6:$A$51)*'Cálculos'!$C$98)/(('Cálculos'!$C$198+(($C46)-$A$6:$A$51)*'Cálculos'!$C$98)+1400)+'Cálculos'!$C$122)*'Cálculos'!$C$247+'Cálculos'!$C$125*(1+2.78*('Cálculos'!$C$198+(($C46)-$A$6:$A$51)*'Cálculos'!$C$98)/(('Cálculos'!$C$198+(($C46)-$A$6:$A$51)*'Cálculos'!$C$98)+1400)+'Cálculos'!$C$123)*'Cálculos'!$C$252)+('Cálculos'!$C$243+'Cálculos'!$C$124*(1+2.78*('Cálculos'!$C$198+(($C46)-$A$6:$A$51)*'Cálculos'!$C$98)/(('Cálculos'!$C$198+(($C46)-$A$6:$A$51)*'Cálculos'!$C$98)+1400)+'Cálculos'!$C$122)*'Cálculos'!$C$248+'Cálculos'!$C$125*(1+2.78*('Cálculos'!$C$198+(($C46)-$A$6:$A$51)*'Cálculos'!$C$98)/(('Cálculos'!$C$198+(($C46)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46)-$A$6:$A$51)*'Cálculos'!$C$98)/(('Cálculos'!$C$199+(($C46)-$A$6:$A$51)*'Cálculos'!$C$98)+1400)+'Cálculos'!$C$122)*'Cálculos'!$C$259+'Cálculos'!$C$125*(1+2.78*('Cálculos'!$C$199+(($C46)-$A$6:$A$51)*'Cálculos'!$C$98)/(('Cálculos'!$C$199+(($C46)-$A$6:$A$51)*'Cálculos'!$C$98)+1400)+'Cálculos'!$C$123)*'Cálculos'!$C$264)+('Cálculos'!$C$199+(($C46)-$A$6:$A$51)*'Cálculos'!$C$98)*('Cálculos'!$C$255+'Cálculos'!$C$124*(1+2.78*('Cálculos'!$C$199+(($C46)-$A$6:$A$51)*'Cálculos'!$C$98)/(('Cálculos'!$C$199+(($C46)-$A$6:$A$51)*'Cálculos'!$C$98)+1400)+'Cálculos'!$C$122)*'Cálculos'!$C$260+'Cálculos'!$C$125*(1+2.78*('Cálculos'!$C$199+(($C46)-$A$6:$A$51)*'Cálculos'!$C$98)/(('Cálculos'!$C$199+(($C46)-$A$6:$A$51)*'Cálculos'!$C$98)+1400)+'Cálculos'!$C$123)*'Cálculos'!$C$265)+('Cálculos'!$C$201*(1+'Cálculos'!$C$202+$A$6:$A$51*('Cálculos'!$C$290=2)*'Cálculos'!$C$101)+'Cálculos'!$C$203)*('Cálculos'!$C$256+'Cálculos'!$C$124*(1+2.78*('Cálculos'!$C$199+(($C46)-$A$6:$A$51)*'Cálculos'!$C$98)/(('Cálculos'!$C$199+(($C46)-$A$6:$A$51)*'Cálculos'!$C$98)+1400)+'Cálculos'!$C$122)*'Cálculos'!$C$261+'Cálculos'!$C$125*(1+2.78*('Cálculos'!$C$199+(($C46)-$A$6:$A$51)*'Cálculos'!$C$98)/(('Cálculos'!$C$199+(($C46)-$A$6:$A$51)*'Cálculos'!$C$98)+1400)+'Cálculos'!$C$123)*'Cálculos'!$C$266)+('Cálculos'!$C$204*(1+'Cálculos'!$C$205+$A$6:$A$51*('Cálculos'!$C$290=3)*'Cálculos'!$C$103)+'Cálculos'!$C$206)*('Cálculos'!$C$257+'Cálculos'!$C$124*(1+2.78*('Cálculos'!$C$199+(($C46)-$A$6:$A$51)*'Cálculos'!$C$98)/(('Cálculos'!$C$199+(($C46)-$A$6:$A$51)*'Cálculos'!$C$98)+1400)+'Cálculos'!$C$122)*'Cálculos'!$C$262+'Cálculos'!$C$125*(1+2.78*('Cálculos'!$C$199+(($C46)-$A$6:$A$51)*'Cálculos'!$C$98)/(('Cálculos'!$C$199+(($C46)-$A$6:$A$51)*'Cálculos'!$C$98)+1400)+'Cálculos'!$C$123)*'Cálculos'!$C$267)+('Cálculos'!$C$258+'Cálculos'!$C$124*(1+2.78*('Cálculos'!$C$199+(($C46)-$A$6:$A$51)*'Cálculos'!$C$98)/(('Cálculos'!$C$199+(($C46)-$A$6:$A$51)*'Cálculos'!$C$98)+1400)+'Cálculos'!$C$122)*'Cálculos'!$C$263+'Cálculos'!$C$125*(1+2.78*('Cálculos'!$C$199+(($C46)-$A$6:$A$51)*'Cálculos'!$C$98)/(('Cálculos'!$C$199+(($C46)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46)-$A$6:$A$51)*'Cálculos'!$C$98)/(('Cálculos'!$C$200+(($C46)-$A$6:$A$51)*'Cálculos'!$C$98)+1400)+'Cálculos'!$C$122)*'Cálculos'!$C$274+'Cálculos'!$C$125*(1+2.78*('Cálculos'!$C$200+(($C46)-$A$6:$A$51)*'Cálculos'!$C$98)/(('Cálculos'!$C$200+(($C46)-$A$6:$A$51)*'Cálculos'!$C$98)+1400)+'Cálculos'!$C$123)*'Cálculos'!$C$279)+('Cálculos'!$C$200+(($C46)-$A$6:$A$51)*'Cálculos'!$C$98)*('Cálculos'!$C$270+'Cálculos'!$C$124*(1+2.78*('Cálculos'!$C$200+(($C46)-$A$6:$A$51)*'Cálculos'!$C$98)/(('Cálculos'!$C$200+(($C46)-$A$6:$A$51)*'Cálculos'!$C$98)+1400)+'Cálculos'!$C$122)*'Cálculos'!$C$275+'Cálculos'!$C$125*(1+2.78*('Cálculos'!$C$200+(($C46)-$A$6:$A$51)*'Cálculos'!$C$98)/(('Cálculos'!$C$200+(($C46)-$A$6:$A$51)*'Cálculos'!$C$98)+1400)+'Cálculos'!$C$123)*'Cálculos'!$C$280)+('Cálculos'!$C$201*(1+'Cálculos'!$C$202+$A$6:$A$51*('Cálculos'!$C$290=2)*'Cálculos'!$C$101)+'Cálculos'!$C$203)*('Cálculos'!$C$271+'Cálculos'!$C$124*(1+2.78*('Cálculos'!$C$200+(($C46)-$A$6:$A$51)*'Cálculos'!$C$98)/(('Cálculos'!$C$200+(($C46)-$A$6:$A$51)*'Cálculos'!$C$98)+1400)+'Cálculos'!$C$122)*'Cálculos'!$C$276+'Cálculos'!$C$125*(1+2.78*('Cálculos'!$C$200+(($C46)-$A$6:$A$51)*'Cálculos'!$C$98)/(('Cálculos'!$C$200+(($C46)-$A$6:$A$51)*'Cálculos'!$C$98)+1400)+'Cálculos'!$C$123)*'Cálculos'!$C$281)+('Cálculos'!$C$204*(1+'Cálculos'!$C$205+$A$6:$A$51*('Cálculos'!$C$290=3)*'Cálculos'!$C$103)+'Cálculos'!$C$206)*('Cálculos'!$C$272+'Cálculos'!$C$124*(1+2.78*('Cálculos'!$C$200+(($C46)-$A$6:$A$51)*'Cálculos'!$C$98)/(('Cálculos'!$C$200+(($C46)-$A$6:$A$51)*'Cálculos'!$C$98)+1400)+'Cálculos'!$C$122)*'Cálculos'!$C$277+'Cálculos'!$C$125*(1+2.78*('Cálculos'!$C$200+(($C46)-$A$6:$A$51)*'Cálculos'!$C$98)/(('Cálculos'!$C$200+(($C46)-$A$6:$A$51)*'Cálculos'!$C$98)+1400)+'Cálculos'!$C$123)*'Cálculos'!$C$282)+('Cálculos'!$C$273+'Cálculos'!$C$124*(1+2.78*('Cálculos'!$C$200+(($C46)-$A$6:$A$51)*'Cálculos'!$C$98)/(('Cálculos'!$C$200+(($C46)-$A$6:$A$51)*'Cálculos'!$C$98)+1400)+'Cálculos'!$C$122)*'Cálculos'!$C$278+'Cálculos'!$C$125*(1+2.78*('Cálculos'!$C$200+(($C46)-$A$6:$A$51)*'Cálculos'!$C$98)/(('Cálculos'!$C$200+(($C46)-$A$6:$A$51)*'Cálculos'!$C$98)+1400)+'Cálculos'!$C$123)*'Cálculos'!$C$283)))))</f>
        <v>0</v>
      </c>
      <c r="E46" s="32">
        <f>IF(OR($C46&lt;0,'Cálculos'!$C$6=""),0,$B46*$D46)</f>
        <v>0</v>
      </c>
      <c r="F46" s="2"/>
      <c r="G46" s="30">
        <f>($A46&lt;=$B$53)*($A46&lt;='Cálculos'!$C$294)*(($B$53)-$A46&lt;='Cálculos'!$C$295)*(1+MIN(('Cálculos'!$C$207+$A46*'Cálculos'!$C$95),1)*('Cálculos'!$C$208+(($B$53)-$A46)*'Cálculos'!$C$96))</f>
        <v>0</v>
      </c>
      <c r="H46" s="31">
        <f>IF($B$54&lt;0,0,($A46&lt;=$B$54)*($A46&lt;='Cálculos'!$C$301)*(($B$54)-$A46&lt;='Cálculos'!$C$297)*(('Cálculos'!$C$185*(1+'Cálculos'!$C$186+$A46*('Cálculos'!$C$290=1)*'Cálculos'!$C$97+'Cálculos'!$C$305)+'Cálculos'!$C$191)*('Cálculos'!$C$209+'Cálculos'!$C$124*(1+2.78*('Cálculos'!$C$196+(($B$54)-$A46)*'Cálculos'!$C$98)/(('Cálculos'!$C$196+(($B$54)-$A46)*'Cálculos'!$C$98)+1400)+'Cálculos'!$C$122)*'Cálculos'!$C$214+'Cálculos'!$C$125*(1+2.78*('Cálculos'!$C$196+(($B$54)-$A46)*'Cálculos'!$C$98)/(('Cálculos'!$C$196+(($B$54)-$A46)*'Cálculos'!$C$98)+1400)+'Cálculos'!$C$123)*'Cálculos'!$C$219)+('Cálculos'!$C$196+(($B$54)-$A46)*'Cálculos'!$C$98)*('Cálculos'!$C$210+'Cálculos'!$C$124*(1+2.78*('Cálculos'!$C$196+(($B$54)-$A46)*'Cálculos'!$C$98)/(('Cálculos'!$C$196+(($B$54)-$A46)*'Cálculos'!$C$98)+1400)+'Cálculos'!$C$122)*'Cálculos'!$C$215+'Cálculos'!$C$125*(1+2.78*('Cálculos'!$C$196+(($B$54)-$A46)*'Cálculos'!$C$98)/(('Cálculos'!$C$196+(($B$54)-$A46)*'Cálculos'!$C$98)+1400)+'Cálculos'!$C$123)*'Cálculos'!$C$220)+('Cálculos'!$C$201*(1+'Cálculos'!$C$202+$A46*('Cálculos'!$C$290=2)*'Cálculos'!$C$101)+'Cálculos'!$C$203)*('Cálculos'!$C$211+'Cálculos'!$C$124*(1+2.78*('Cálculos'!$C$196+(($B$54)-$A46)*'Cálculos'!$C$98)/(('Cálculos'!$C$196+(($B$54)-$A46)*'Cálculos'!$C$98)+1400)+'Cálculos'!$C$122)*'Cálculos'!$C$216+'Cálculos'!$C$125*(1+2.78*('Cálculos'!$C$196+(($B$54)-$A46)*'Cálculos'!$C$98)/(('Cálculos'!$C$196+(($B$54)-$A46)*'Cálculos'!$C$98)+1400)+'Cálculos'!$C$123)*'Cálculos'!$C$221)+('Cálculos'!$C$204*(1+'Cálculos'!$C$205+$A46*('Cálculos'!$C$290=3)*'Cálculos'!$C$103)+'Cálculos'!$C$206)*('Cálculos'!$C$212+'Cálculos'!$C$124*(1+2.78*('Cálculos'!$C$196+(($B$54)-$A46)*'Cálculos'!$C$98)/(('Cálculos'!$C$196+(($B$54)-$A46)*'Cálculos'!$C$98)+1400)+'Cálculos'!$C$122)*'Cálculos'!$C$217+'Cálculos'!$C$125*(1+2.78*('Cálculos'!$C$196+(($B$54)-$A46)*'Cálculos'!$C$98)/(('Cálculos'!$C$196+(($B$54)-$A46)*'Cálculos'!$C$98)+1400)+'Cálculos'!$C$123)*'Cálculos'!$C$222)+('Cálculos'!$C$213+'Cálculos'!$C$124*(1+2.78*('Cálculos'!$C$196+(($B$54)-$A46)*'Cálculos'!$C$98)/(('Cálculos'!$C$196+(($B$54)-$A46)*'Cálculos'!$C$98)+1400)+'Cálculos'!$C$122)*'Cálculos'!$C$218+'Cálculos'!$C$125*(1+2.78*('Cálculos'!$C$196+(($B$54)-$A46)*'Cálculos'!$C$98)/(('Cálculos'!$C$196+(($B$54)-$A46)*'Cálculos'!$C$98)+1400)+'Cálculos'!$C$123)*'Cálculos'!$C$223)+('Cálculos'!$C$185*(1+'Cálculos'!$C$187+$A46*('Cálculos'!$C$290=1)*'Cálculos'!$C$97+'Cálculos'!$C$305)+'Cálculos'!$C$192)*('Cálculos'!$C$224+'Cálculos'!$C$124*(1+2.78*('Cálculos'!$C$197+(($B$54)-$A46)*'Cálculos'!$C$98)/(('Cálculos'!$C$197+(($B$54)-$A46)*'Cálculos'!$C$98)+1400)+'Cálculos'!$C$122)*'Cálculos'!$C$229+'Cálculos'!$C$125*(1+2.78*('Cálculos'!$C$197+(($B$54)-$A46)*'Cálculos'!$C$98)/(('Cálculos'!$C$197+(($B$54)-$A46)*'Cálculos'!$C$98)+1400)+'Cálculos'!$C$123)*'Cálculos'!$C$234)+('Cálculos'!$C$197+(($B$54)-$A46)*'Cálculos'!$C$98)*('Cálculos'!$C$225+'Cálculos'!$C$124*(1+2.78*('Cálculos'!$C$197+(($B$54)-$A46)*'Cálculos'!$C$98)/(('Cálculos'!$C$197+(($B$54)-$A46)*'Cálculos'!$C$98)+1400)+'Cálculos'!$C$122)*'Cálculos'!$C$230+'Cálculos'!$C$125*(1+2.78*('Cálculos'!$C$197+(($B$54)-$A46)*'Cálculos'!$C$98)/(('Cálculos'!$C$197+(($B$54)-$A46)*'Cálculos'!$C$98)+1400)+'Cálculos'!$C$123)*'Cálculos'!$C$235)+('Cálculos'!$C$201*(1+'Cálculos'!$C$202+$A46*('Cálculos'!$C$290=2)*'Cálculos'!$C$101)+'Cálculos'!$C$203)*('Cálculos'!$C$226+'Cálculos'!$C$124*(1+2.78*('Cálculos'!$C$197+(($B$54)-$A46)*'Cálculos'!$C$98)/(('Cálculos'!$C$197+(($B$54)-$A46)*'Cálculos'!$C$98)+1400)+'Cálculos'!$C$122)*'Cálculos'!$C$231+'Cálculos'!$C$125*(1+2.78*('Cálculos'!$C$197+(($B$54)-$A46)*'Cálculos'!$C$98)/(('Cálculos'!$C$197+(($B$54)-$A46)*'Cálculos'!$C$98)+1400)+'Cálculos'!$C$123)*'Cálculos'!$C$236)+('Cálculos'!$C$204*(1+'Cálculos'!$C$205+$A46*('Cálculos'!$C$290=3)*'Cálculos'!$C$103)+'Cálculos'!$C$206)*('Cálculos'!$C$227+'Cálculos'!$C$124*(1+2.78*('Cálculos'!$C$197+(($B$54)-$A46)*'Cálculos'!$C$98)/(('Cálculos'!$C$197+(($B$54)-$A46)*'Cálculos'!$C$98)+1400)+'Cálculos'!$C$122)*'Cálculos'!$C$232+'Cálculos'!$C$125*(1+2.78*('Cálculos'!$C$197+(($B$54)-$A46)*'Cálculos'!$C$98)/(('Cálculos'!$C$197+(($B$54)-$A46)*'Cálculos'!$C$98)+1400)+'Cálculos'!$C$123)*'Cálculos'!$C$237)+('Cálculos'!$C$228+'Cálculos'!$C$124*(1+2.78*('Cálculos'!$C$197+(($B$54)-$A46)*'Cálculos'!$C$98)/(('Cálculos'!$C$197+(($B$54)-$A46)*'Cálculos'!$C$98)+1400)+'Cálculos'!$C$122)*'Cálculos'!$C$233+'Cálculos'!$C$125*(1+2.78*('Cálculos'!$C$197+(($B$54)-$A46)*'Cálculos'!$C$98)/(('Cálculos'!$C$197+(($B$54)-$A46)*'Cálculos'!$C$98)+1400)+'Cálculos'!$C$123)*'Cálculos'!$C$238)+('Cálculos'!$C$185*(1+'Cálculos'!$C$188+$A46*('Cálculos'!$C$290=1)*'Cálculos'!$C$97+'Cálculos'!$C$305)+'Cálculos'!$C$193)*('Cálculos'!$C$239+'Cálculos'!$C$124*(1+2.78*('Cálculos'!$C$198+(($B$54)-$A46)*'Cálculos'!$C$98)/(('Cálculos'!$C$198+(($B$54)-$A46)*'Cálculos'!$C$98)+1400)+'Cálculos'!$C$122)*'Cálculos'!$C$244+'Cálculos'!$C$125*(1+2.78*('Cálculos'!$C$198+(($B$54)-$A46)*'Cálculos'!$C$98)/(('Cálculos'!$C$198+(($B$54)-$A46)*'Cálculos'!$C$98)+1400)+'Cálculos'!$C$123)*'Cálculos'!$C$249)+('Cálculos'!$C$198+(($B$54)-$A46)*'Cálculos'!$C$98)*('Cálculos'!$C$240+'Cálculos'!$C$124*(1+2.78*('Cálculos'!$C$198+(($B$54)-$A46)*'Cálculos'!$C$98)/(('Cálculos'!$C$198+(($B$54)-$A46)*'Cálculos'!$C$98)+1400)+'Cálculos'!$C$122)*'Cálculos'!$C$245+'Cálculos'!$C$125*(1+2.78*('Cálculos'!$C$198+(($B$54)-$A46)*'Cálculos'!$C$98)/(('Cálculos'!$C$198+(($B$54)-$A46)*'Cálculos'!$C$98)+1400)+'Cálculos'!$C$123)*'Cálculos'!$C$250)+('Cálculos'!$C$201*(1+'Cálculos'!$C$202+$A46*('Cálculos'!$C$290=2)*'Cálculos'!$C$101)+'Cálculos'!$C$203)*('Cálculos'!$C$241+'Cálculos'!$C$124*(1+2.78*('Cálculos'!$C$198+(($B$54)-$A46)*'Cálculos'!$C$98)/(('Cálculos'!$C$198+(($B$54)-$A46)*'Cálculos'!$C$98)+1400)+'Cálculos'!$C$122)*'Cálculos'!$C$246+'Cálculos'!$C$125*(1+2.78*('Cálculos'!$C$198+(($B$54)-$A46)*'Cálculos'!$C$98)/(('Cálculos'!$C$198+(($B$54)-$A46)*'Cálculos'!$C$98)+1400)+'Cálculos'!$C$123)*'Cálculos'!$C$251)+('Cálculos'!$C$204*(1+'Cálculos'!$C$205+$A46*('Cálculos'!$C$290=3)*'Cálculos'!$C$103)+'Cálculos'!$C$206)*('Cálculos'!$C$242+'Cálculos'!$C$124*(1+2.78*('Cálculos'!$C$198+(($B$54)-$A46)*'Cálculos'!$C$98)/(('Cálculos'!$C$198+(($B$54)-$A46)*'Cálculos'!$C$98)+1400)+'Cálculos'!$C$122)*'Cálculos'!$C$247+'Cálculos'!$C$125*(1+2.78*('Cálculos'!$C$198+(($B$54)-$A46)*'Cálculos'!$C$98)/(('Cálculos'!$C$198+(($B$54)-$A46)*'Cálculos'!$C$98)+1400)+'Cálculos'!$C$123)*'Cálculos'!$C$252)+('Cálculos'!$C$243+'Cálculos'!$C$124*(1+2.78*('Cálculos'!$C$198+(($B$54)-$A46)*'Cálculos'!$C$98)/(('Cálculos'!$C$198+(($B$54)-$A46)*'Cálculos'!$C$98)+1400)+'Cálculos'!$C$122)*'Cálculos'!$C$248+'Cálculos'!$C$125*(1+2.78*('Cálculos'!$C$198+(($B$54)-$A46)*'Cálculos'!$C$98)/(('Cálculos'!$C$198+(($B$54)-$A46)*'Cálculos'!$C$98)+1400)+'Cálculos'!$C$123)*'Cálculos'!$C$253)+('Cálculos'!$C$185*(1+'Cálculos'!$C$189+$A46*('Cálculos'!$C$290=1)*'Cálculos'!$C$97+'Cálculos'!$C$305)+'Cálculos'!$C$194)*('Cálculos'!$C$254+'Cálculos'!$C$124*(1+2.78*('Cálculos'!$C$199+(($B$54)-$A46)*'Cálculos'!$C$98)/(('Cálculos'!$C$199+(($B$54)-$A46)*'Cálculos'!$C$98)+1400)+'Cálculos'!$C$122)*'Cálculos'!$C$259+'Cálculos'!$C$125*(1+2.78*('Cálculos'!$C$199+(($B$54)-$A46)*'Cálculos'!$C$98)/(('Cálculos'!$C$199+(($B$54)-$A46)*'Cálculos'!$C$98)+1400)+'Cálculos'!$C$123)*'Cálculos'!$C$264)+('Cálculos'!$C$199+(($B$54)-$A46)*'Cálculos'!$C$98)*('Cálculos'!$C$255+'Cálculos'!$C$124*(1+2.78*('Cálculos'!$C$199+(($B$54)-$A46)*'Cálculos'!$C$98)/(('Cálculos'!$C$199+(($B$54)-$A46)*'Cálculos'!$C$98)+1400)+'Cálculos'!$C$122)*'Cálculos'!$C$260+'Cálculos'!$C$125*(1+2.78*('Cálculos'!$C$199+(($B$54)-$A46)*'Cálculos'!$C$98)/(('Cálculos'!$C$199+(($B$54)-$A46)*'Cálculos'!$C$98)+1400)+'Cálculos'!$C$123)*'Cálculos'!$C$265)+('Cálculos'!$C$201*(1+'Cálculos'!$C$202+$A46*('Cálculos'!$C$290=2)*'Cálculos'!$C$101)+'Cálculos'!$C$203)*('Cálculos'!$C$256+'Cálculos'!$C$124*(1+2.78*('Cálculos'!$C$199+(($B$54)-$A46)*'Cálculos'!$C$98)/(('Cálculos'!$C$199+(($B$54)-$A46)*'Cálculos'!$C$98)+1400)+'Cálculos'!$C$122)*'Cálculos'!$C$261+'Cálculos'!$C$125*(1+2.78*('Cálculos'!$C$199+(($B$54)-$A46)*'Cálculos'!$C$98)/(('Cálculos'!$C$199+(($B$54)-$A46)*'Cálculos'!$C$98)+1400)+'Cálculos'!$C$123)*'Cálculos'!$C$266)+('Cálculos'!$C$204*(1+'Cálculos'!$C$205+$A46*('Cálculos'!$C$290=3)*'Cálculos'!$C$103)+'Cálculos'!$C$206)*('Cálculos'!$C$257+'Cálculos'!$C$124*(1+2.78*('Cálculos'!$C$199+(($B$54)-$A46)*'Cálculos'!$C$98)/(('Cálculos'!$C$199+(($B$54)-$A46)*'Cálculos'!$C$98)+1400)+'Cálculos'!$C$122)*'Cálculos'!$C$262+'Cálculos'!$C$125*(1+2.78*('Cálculos'!$C$199+(($B$54)-$A46)*'Cálculos'!$C$98)/(('Cálculos'!$C$199+(($B$54)-$A46)*'Cálculos'!$C$98)+1400)+'Cálculos'!$C$123)*'Cálculos'!$C$267)+('Cálculos'!$C$258+'Cálculos'!$C$124*(1+2.78*('Cálculos'!$C$199+(($B$54)-$A46)*'Cálculos'!$C$98)/(('Cálculos'!$C$199+(($B$54)-$A46)*'Cálculos'!$C$98)+1400)+'Cálculos'!$C$122)*'Cálculos'!$C$263+'Cálculos'!$C$125*(1+2.78*('Cálculos'!$C$199+(($B$54)-$A46)*'Cálculos'!$C$98)/(('Cálculos'!$C$199+(($B$54)-$A46)*'Cálculos'!$C$98)+1400)+'Cálculos'!$C$123)*'Cálculos'!$C$268)+('Cálculos'!$C$185*(1+'Cálculos'!$C$190+$A46*('Cálculos'!$C$290=1)*'Cálculos'!$C$97+'Cálculos'!$C$305)+'Cálculos'!$C$195)*('Cálculos'!$C$269+'Cálculos'!$C$124*(1+2.78*('Cálculos'!$C$200+(($B$54)-$A46)*'Cálculos'!$C$98)/(('Cálculos'!$C$200+(($B$54)-$A46)*'Cálculos'!$C$98)+1400)+'Cálculos'!$C$122)*'Cálculos'!$C$274+'Cálculos'!$C$125*(1+2.78*('Cálculos'!$C$200+(($B$54)-$A46)*'Cálculos'!$C$98)/(('Cálculos'!$C$200+(($B$54)-$A46)*'Cálculos'!$C$98)+1400)+'Cálculos'!$C$123)*'Cálculos'!$C$279)+('Cálculos'!$C$200+(($B$54)-$A46)*'Cálculos'!$C$98)*('Cálculos'!$C$270+'Cálculos'!$C$124*(1+2.78*('Cálculos'!$C$200+(($B$54)-$A46)*'Cálculos'!$C$98)/(('Cálculos'!$C$200+(($B$54)-$A46)*'Cálculos'!$C$98)+1400)+'Cálculos'!$C$122)*'Cálculos'!$C$275+'Cálculos'!$C$125*(1+2.78*('Cálculos'!$C$200+(($B$54)-$A46)*'Cálculos'!$C$98)/(('Cálculos'!$C$200+(($B$54)-$A46)*'Cálculos'!$C$98)+1400)+'Cálculos'!$C$123)*'Cálculos'!$C$280)+('Cálculos'!$C$201*(1+'Cálculos'!$C$202+$A46*('Cálculos'!$C$290=2)*'Cálculos'!$C$101)+'Cálculos'!$C$203)*('Cálculos'!$C$271+'Cálculos'!$C$124*(1+2.78*('Cálculos'!$C$200+(($B$54)-$A46)*'Cálculos'!$C$98)/(('Cálculos'!$C$200+(($B$54)-$A46)*'Cálculos'!$C$98)+1400)+'Cálculos'!$C$122)*'Cálculos'!$C$276+'Cálculos'!$C$125*(1+2.78*('Cálculos'!$C$200+(($B$54)-$A46)*'Cálculos'!$C$98)/(('Cálculos'!$C$200+(($B$54)-$A46)*'Cálculos'!$C$98)+1400)+'Cálculos'!$C$123)*'Cálculos'!$C$281)+('Cálculos'!$C$204*(1+'Cálculos'!$C$205+$A46*('Cálculos'!$C$290=3)*'Cálculos'!$C$103)+'Cálculos'!$C$206)*('Cálculos'!$C$272+'Cálculos'!$C$124*(1+2.78*('Cálculos'!$C$200+(($B$54)-$A46)*'Cálculos'!$C$98)/(('Cálculos'!$C$200+(($B$54)-$A46)*'Cálculos'!$C$98)+1400)+'Cálculos'!$C$122)*'Cálculos'!$C$277+'Cálculos'!$C$125*(1+2.78*('Cálculos'!$C$200+(($B$54)-$A46)*'Cálculos'!$C$98)/(('Cálculos'!$C$200+(($B$54)-$A46)*'Cálculos'!$C$98)+1400)+'Cálculos'!$C$123)*'Cálculos'!$C$282)+('Cálculos'!$C$273+'Cálculos'!$C$124*(1+2.78*('Cálculos'!$C$200+(($B$54)-$A46)*'Cálculos'!$C$98)/(('Cálculos'!$C$200+(($B$54)-$A46)*'Cálculos'!$C$98)+1400)+'Cálculos'!$C$122)*'Cálculos'!$C$278+'Cálculos'!$C$125*(1+2.78*('Cálculos'!$C$200+(($B$54)-$A46)*'Cálculos'!$C$98)/(('Cálculos'!$C$200+(($B$54)-$A46)*'Cálculos'!$C$98)+1400)+'Cálculos'!$C$123)*'Cálculos'!$C$283)))</f>
        <v>0</v>
      </c>
    </row>
    <row r="47" ht="15.75" customHeight="1">
      <c r="A47" s="2">
        <v>41.0</v>
      </c>
      <c r="B47" s="30">
        <f>SUMPRODUCT(MAX(($A$6:$A$51&lt;=$A47)*($A$6:$A$51&lt;='Cálculos'!$C$294)*(($A47)-$A$6:$A$51&lt;='Cálculos'!$C$295)*(1+(('Cálculos'!$C$207+$A$6:$A$51*'Cálculos'!$C$95)-(('Cálculos'!$C$207+$A$6:$A$51*'Cálculos'!$C$95)&gt;1)*(('Cálculos'!$C$207+$A$6:$A$51*'Cálculos'!$C$95)-1))*('Cálculos'!$C$208+(($A47)-$A$6:$A$51)*'Cálculos'!$C$96))))</f>
        <v>4.44</v>
      </c>
      <c r="C47" s="2">
        <f>'Cálculos'!$C$303-$A47</f>
        <v>-21</v>
      </c>
      <c r="D47" s="31">
        <f>IF($C47&lt;0,0,SUMPRODUCT(MAX(($A$6:$A$51&lt;=$C47)*($A$6:$A$51&lt;='Cálculos'!$C$301)*(($C47)-$A$6:$A$51&lt;='Cálculos'!$C$297)*(('Cálculos'!$C$185*(1+'Cálculos'!$C$186+$A$6:$A$51*('Cálculos'!$C$290=1)*'Cálculos'!$C$97+'Cálculos'!$C$305)+'Cálculos'!$C$191)*('Cálculos'!$C$209+'Cálculos'!$C$124*(1+2.78*('Cálculos'!$C$196+(($C47)-$A$6:$A$51)*'Cálculos'!$C$98)/(('Cálculos'!$C$196+(($C47)-$A$6:$A$51)*'Cálculos'!$C$98)+1400)+'Cálculos'!$C$122)*'Cálculos'!$C$214+'Cálculos'!$C$125*(1+2.78*('Cálculos'!$C$196+(($C47)-$A$6:$A$51)*'Cálculos'!$C$98)/(('Cálculos'!$C$196+(($C47)-$A$6:$A$51)*'Cálculos'!$C$98)+1400)+'Cálculos'!$C$123)*'Cálculos'!$C$219)+('Cálculos'!$C$196+(($C47)-$A$6:$A$51)*'Cálculos'!$C$98)*('Cálculos'!$C$210+'Cálculos'!$C$124*(1+2.78*('Cálculos'!$C$196+(($C47)-$A$6:$A$51)*'Cálculos'!$C$98)/(('Cálculos'!$C$196+(($C47)-$A$6:$A$51)*'Cálculos'!$C$98)+1400)+'Cálculos'!$C$122)*'Cálculos'!$C$215+'Cálculos'!$C$125*(1+2.78*('Cálculos'!$C$196+(($C47)-$A$6:$A$51)*'Cálculos'!$C$98)/(('Cálculos'!$C$196+(($C47)-$A$6:$A$51)*'Cálculos'!$C$98)+1400)+'Cálculos'!$C$123)*'Cálculos'!$C$220)+('Cálculos'!$C$201*(1+'Cálculos'!$C$202+$A$6:$A$51*('Cálculos'!$C$290=2)*'Cálculos'!$C$101)+'Cálculos'!$C$203)*('Cálculos'!$C$211+'Cálculos'!$C$124*(1+2.78*('Cálculos'!$C$196+(($C47)-$A$6:$A$51)*'Cálculos'!$C$98)/(('Cálculos'!$C$196+(($C47)-$A$6:$A$51)*'Cálculos'!$C$98)+1400)+'Cálculos'!$C$122)*'Cálculos'!$C$216+'Cálculos'!$C$125*(1+2.78*('Cálculos'!$C$196+(($C47)-$A$6:$A$51)*'Cálculos'!$C$98)/(('Cálculos'!$C$196+(($C47)-$A$6:$A$51)*'Cálculos'!$C$98)+1400)+'Cálculos'!$C$123)*'Cálculos'!$C$221)+('Cálculos'!$C$204*(1+'Cálculos'!$C$205+$A$6:$A$51*('Cálculos'!$C$290=3)*'Cálculos'!$C$103)+'Cálculos'!$C$206)*('Cálculos'!$C$212+'Cálculos'!$C$124*(1+2.78*('Cálculos'!$C$196+(($C47)-$A$6:$A$51)*'Cálculos'!$C$98)/(('Cálculos'!$C$196+(($C47)-$A$6:$A$51)*'Cálculos'!$C$98)+1400)+'Cálculos'!$C$122)*'Cálculos'!$C$217+'Cálculos'!$C$125*(1+2.78*('Cálculos'!$C$196+(($C47)-$A$6:$A$51)*'Cálculos'!$C$98)/(('Cálculos'!$C$196+(($C47)-$A$6:$A$51)*'Cálculos'!$C$98)+1400)+'Cálculos'!$C$123)*'Cálculos'!$C$222)+('Cálculos'!$C$213+'Cálculos'!$C$124*(1+2.78*('Cálculos'!$C$196+(($C47)-$A$6:$A$51)*'Cálculos'!$C$98)/(('Cálculos'!$C$196+(($C47)-$A$6:$A$51)*'Cálculos'!$C$98)+1400)+'Cálculos'!$C$122)*'Cálculos'!$C$218+'Cálculos'!$C$125*(1+2.78*('Cálculos'!$C$196+(($C47)-$A$6:$A$51)*'Cálculos'!$C$98)/(('Cálculos'!$C$196+(($C47)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47)-$A$6:$A$51)*'Cálculos'!$C$98)/(('Cálculos'!$C$197+(($C47)-$A$6:$A$51)*'Cálculos'!$C$98)+1400)+'Cálculos'!$C$122)*'Cálculos'!$C$229+'Cálculos'!$C$125*(1+2.78*('Cálculos'!$C$197+(($C47)-$A$6:$A$51)*'Cálculos'!$C$98)/(('Cálculos'!$C$197+(($C47)-$A$6:$A$51)*'Cálculos'!$C$98)+1400)+'Cálculos'!$C$123)*'Cálculos'!$C$234)+('Cálculos'!$C$197+(($C47)-$A$6:$A$51)*'Cálculos'!$C$98)*('Cálculos'!$C$225+'Cálculos'!$C$124*(1+2.78*('Cálculos'!$C$197+(($C47)-$A$6:$A$51)*'Cálculos'!$C$98)/(('Cálculos'!$C$197+(($C47)-$A$6:$A$51)*'Cálculos'!$C$98)+1400)+'Cálculos'!$C$122)*'Cálculos'!$C$230+'Cálculos'!$C$125*(1+2.78*('Cálculos'!$C$197+(($C47)-$A$6:$A$51)*'Cálculos'!$C$98)/(('Cálculos'!$C$197+(($C47)-$A$6:$A$51)*'Cálculos'!$C$98)+1400)+'Cálculos'!$C$123)*'Cálculos'!$C$235)+('Cálculos'!$C$201*(1+'Cálculos'!$C$202+$A$6:$A$51*('Cálculos'!$C$290=2)*'Cálculos'!$C$101)+'Cálculos'!$C$203)*('Cálculos'!$C$226+'Cálculos'!$C$124*(1+2.78*('Cálculos'!$C$197+(($C47)-$A$6:$A$51)*'Cálculos'!$C$98)/(('Cálculos'!$C$197+(($C47)-$A$6:$A$51)*'Cálculos'!$C$98)+1400)+'Cálculos'!$C$122)*'Cálculos'!$C$231+'Cálculos'!$C$125*(1+2.78*('Cálculos'!$C$197+(($C47)-$A$6:$A$51)*'Cálculos'!$C$98)/(('Cálculos'!$C$197+(($C47)-$A$6:$A$51)*'Cálculos'!$C$98)+1400)+'Cálculos'!$C$123)*'Cálculos'!$C$236)+('Cálculos'!$C$204*(1+'Cálculos'!$C$205+$A$6:$A$51*('Cálculos'!$C$290=3)*'Cálculos'!$C$103)+'Cálculos'!$C$206)*('Cálculos'!$C$227+'Cálculos'!$C$124*(1+2.78*('Cálculos'!$C$197+(($C47)-$A$6:$A$51)*'Cálculos'!$C$98)/(('Cálculos'!$C$197+(($C47)-$A$6:$A$51)*'Cálculos'!$C$98)+1400)+'Cálculos'!$C$122)*'Cálculos'!$C$232+'Cálculos'!$C$125*(1+2.78*('Cálculos'!$C$197+(($C47)-$A$6:$A$51)*'Cálculos'!$C$98)/(('Cálculos'!$C$197+(($C47)-$A$6:$A$51)*'Cálculos'!$C$98)+1400)+'Cálculos'!$C$123)*'Cálculos'!$C$237)+('Cálculos'!$C$228+'Cálculos'!$C$124*(1+2.78*('Cálculos'!$C$197+(($C47)-$A$6:$A$51)*'Cálculos'!$C$98)/(('Cálculos'!$C$197+(($C47)-$A$6:$A$51)*'Cálculos'!$C$98)+1400)+'Cálculos'!$C$122)*'Cálculos'!$C$233+'Cálculos'!$C$125*(1+2.78*('Cálculos'!$C$197+(($C47)-$A$6:$A$51)*'Cálculos'!$C$98)/(('Cálculos'!$C$197+(($C47)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47)-$A$6:$A$51)*'Cálculos'!$C$98)/(('Cálculos'!$C$198+(($C47)-$A$6:$A$51)*'Cálculos'!$C$98)+1400)+'Cálculos'!$C$122)*'Cálculos'!$C$244+'Cálculos'!$C$125*(1+2.78*('Cálculos'!$C$198+(($C47)-$A$6:$A$51)*'Cálculos'!$C$98)/(('Cálculos'!$C$198+(($C47)-$A$6:$A$51)*'Cálculos'!$C$98)+1400)+'Cálculos'!$C$123)*'Cálculos'!$C$249)+('Cálculos'!$C$198+(($C47)-$A$6:$A$51)*'Cálculos'!$C$98)*('Cálculos'!$C$240+'Cálculos'!$C$124*(1+2.78*('Cálculos'!$C$198+(($C47)-$A$6:$A$51)*'Cálculos'!$C$98)/(('Cálculos'!$C$198+(($C47)-$A$6:$A$51)*'Cálculos'!$C$98)+1400)+'Cálculos'!$C$122)*'Cálculos'!$C$245+'Cálculos'!$C$125*(1+2.78*('Cálculos'!$C$198+(($C47)-$A$6:$A$51)*'Cálculos'!$C$98)/(('Cálculos'!$C$198+(($C47)-$A$6:$A$51)*'Cálculos'!$C$98)+1400)+'Cálculos'!$C$123)*'Cálculos'!$C$250)+('Cálculos'!$C$201*(1+'Cálculos'!$C$202+$A$6:$A$51*('Cálculos'!$C$290=2)*'Cálculos'!$C$101)+'Cálculos'!$C$203)*('Cálculos'!$C$241+'Cálculos'!$C$124*(1+2.78*('Cálculos'!$C$198+(($C47)-$A$6:$A$51)*'Cálculos'!$C$98)/(('Cálculos'!$C$198+(($C47)-$A$6:$A$51)*'Cálculos'!$C$98)+1400)+'Cálculos'!$C$122)*'Cálculos'!$C$246+'Cálculos'!$C$125*(1+2.78*('Cálculos'!$C$198+(($C47)-$A$6:$A$51)*'Cálculos'!$C$98)/(('Cálculos'!$C$198+(($C47)-$A$6:$A$51)*'Cálculos'!$C$98)+1400)+'Cálculos'!$C$123)*'Cálculos'!$C$251)+('Cálculos'!$C$204*(1+'Cálculos'!$C$205+$A$6:$A$51*('Cálculos'!$C$290=3)*'Cálculos'!$C$103)+'Cálculos'!$C$206)*('Cálculos'!$C$242+'Cálculos'!$C$124*(1+2.78*('Cálculos'!$C$198+(($C47)-$A$6:$A$51)*'Cálculos'!$C$98)/(('Cálculos'!$C$198+(($C47)-$A$6:$A$51)*'Cálculos'!$C$98)+1400)+'Cálculos'!$C$122)*'Cálculos'!$C$247+'Cálculos'!$C$125*(1+2.78*('Cálculos'!$C$198+(($C47)-$A$6:$A$51)*'Cálculos'!$C$98)/(('Cálculos'!$C$198+(($C47)-$A$6:$A$51)*'Cálculos'!$C$98)+1400)+'Cálculos'!$C$123)*'Cálculos'!$C$252)+('Cálculos'!$C$243+'Cálculos'!$C$124*(1+2.78*('Cálculos'!$C$198+(($C47)-$A$6:$A$51)*'Cálculos'!$C$98)/(('Cálculos'!$C$198+(($C47)-$A$6:$A$51)*'Cálculos'!$C$98)+1400)+'Cálculos'!$C$122)*'Cálculos'!$C$248+'Cálculos'!$C$125*(1+2.78*('Cálculos'!$C$198+(($C47)-$A$6:$A$51)*'Cálculos'!$C$98)/(('Cálculos'!$C$198+(($C47)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47)-$A$6:$A$51)*'Cálculos'!$C$98)/(('Cálculos'!$C$199+(($C47)-$A$6:$A$51)*'Cálculos'!$C$98)+1400)+'Cálculos'!$C$122)*'Cálculos'!$C$259+'Cálculos'!$C$125*(1+2.78*('Cálculos'!$C$199+(($C47)-$A$6:$A$51)*'Cálculos'!$C$98)/(('Cálculos'!$C$199+(($C47)-$A$6:$A$51)*'Cálculos'!$C$98)+1400)+'Cálculos'!$C$123)*'Cálculos'!$C$264)+('Cálculos'!$C$199+(($C47)-$A$6:$A$51)*'Cálculos'!$C$98)*('Cálculos'!$C$255+'Cálculos'!$C$124*(1+2.78*('Cálculos'!$C$199+(($C47)-$A$6:$A$51)*'Cálculos'!$C$98)/(('Cálculos'!$C$199+(($C47)-$A$6:$A$51)*'Cálculos'!$C$98)+1400)+'Cálculos'!$C$122)*'Cálculos'!$C$260+'Cálculos'!$C$125*(1+2.78*('Cálculos'!$C$199+(($C47)-$A$6:$A$51)*'Cálculos'!$C$98)/(('Cálculos'!$C$199+(($C47)-$A$6:$A$51)*'Cálculos'!$C$98)+1400)+'Cálculos'!$C$123)*'Cálculos'!$C$265)+('Cálculos'!$C$201*(1+'Cálculos'!$C$202+$A$6:$A$51*('Cálculos'!$C$290=2)*'Cálculos'!$C$101)+'Cálculos'!$C$203)*('Cálculos'!$C$256+'Cálculos'!$C$124*(1+2.78*('Cálculos'!$C$199+(($C47)-$A$6:$A$51)*'Cálculos'!$C$98)/(('Cálculos'!$C$199+(($C47)-$A$6:$A$51)*'Cálculos'!$C$98)+1400)+'Cálculos'!$C$122)*'Cálculos'!$C$261+'Cálculos'!$C$125*(1+2.78*('Cálculos'!$C$199+(($C47)-$A$6:$A$51)*'Cálculos'!$C$98)/(('Cálculos'!$C$199+(($C47)-$A$6:$A$51)*'Cálculos'!$C$98)+1400)+'Cálculos'!$C$123)*'Cálculos'!$C$266)+('Cálculos'!$C$204*(1+'Cálculos'!$C$205+$A$6:$A$51*('Cálculos'!$C$290=3)*'Cálculos'!$C$103)+'Cálculos'!$C$206)*('Cálculos'!$C$257+'Cálculos'!$C$124*(1+2.78*('Cálculos'!$C$199+(($C47)-$A$6:$A$51)*'Cálculos'!$C$98)/(('Cálculos'!$C$199+(($C47)-$A$6:$A$51)*'Cálculos'!$C$98)+1400)+'Cálculos'!$C$122)*'Cálculos'!$C$262+'Cálculos'!$C$125*(1+2.78*('Cálculos'!$C$199+(($C47)-$A$6:$A$51)*'Cálculos'!$C$98)/(('Cálculos'!$C$199+(($C47)-$A$6:$A$51)*'Cálculos'!$C$98)+1400)+'Cálculos'!$C$123)*'Cálculos'!$C$267)+('Cálculos'!$C$258+'Cálculos'!$C$124*(1+2.78*('Cálculos'!$C$199+(($C47)-$A$6:$A$51)*'Cálculos'!$C$98)/(('Cálculos'!$C$199+(($C47)-$A$6:$A$51)*'Cálculos'!$C$98)+1400)+'Cálculos'!$C$122)*'Cálculos'!$C$263+'Cálculos'!$C$125*(1+2.78*('Cálculos'!$C$199+(($C47)-$A$6:$A$51)*'Cálculos'!$C$98)/(('Cálculos'!$C$199+(($C47)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47)-$A$6:$A$51)*'Cálculos'!$C$98)/(('Cálculos'!$C$200+(($C47)-$A$6:$A$51)*'Cálculos'!$C$98)+1400)+'Cálculos'!$C$122)*'Cálculos'!$C$274+'Cálculos'!$C$125*(1+2.78*('Cálculos'!$C$200+(($C47)-$A$6:$A$51)*'Cálculos'!$C$98)/(('Cálculos'!$C$200+(($C47)-$A$6:$A$51)*'Cálculos'!$C$98)+1400)+'Cálculos'!$C$123)*'Cálculos'!$C$279)+('Cálculos'!$C$200+(($C47)-$A$6:$A$51)*'Cálculos'!$C$98)*('Cálculos'!$C$270+'Cálculos'!$C$124*(1+2.78*('Cálculos'!$C$200+(($C47)-$A$6:$A$51)*'Cálculos'!$C$98)/(('Cálculos'!$C$200+(($C47)-$A$6:$A$51)*'Cálculos'!$C$98)+1400)+'Cálculos'!$C$122)*'Cálculos'!$C$275+'Cálculos'!$C$125*(1+2.78*('Cálculos'!$C$200+(($C47)-$A$6:$A$51)*'Cálculos'!$C$98)/(('Cálculos'!$C$200+(($C47)-$A$6:$A$51)*'Cálculos'!$C$98)+1400)+'Cálculos'!$C$123)*'Cálculos'!$C$280)+('Cálculos'!$C$201*(1+'Cálculos'!$C$202+$A$6:$A$51*('Cálculos'!$C$290=2)*'Cálculos'!$C$101)+'Cálculos'!$C$203)*('Cálculos'!$C$271+'Cálculos'!$C$124*(1+2.78*('Cálculos'!$C$200+(($C47)-$A$6:$A$51)*'Cálculos'!$C$98)/(('Cálculos'!$C$200+(($C47)-$A$6:$A$51)*'Cálculos'!$C$98)+1400)+'Cálculos'!$C$122)*'Cálculos'!$C$276+'Cálculos'!$C$125*(1+2.78*('Cálculos'!$C$200+(($C47)-$A$6:$A$51)*'Cálculos'!$C$98)/(('Cálculos'!$C$200+(($C47)-$A$6:$A$51)*'Cálculos'!$C$98)+1400)+'Cálculos'!$C$123)*'Cálculos'!$C$281)+('Cálculos'!$C$204*(1+'Cálculos'!$C$205+$A$6:$A$51*('Cálculos'!$C$290=3)*'Cálculos'!$C$103)+'Cálculos'!$C$206)*('Cálculos'!$C$272+'Cálculos'!$C$124*(1+2.78*('Cálculos'!$C$200+(($C47)-$A$6:$A$51)*'Cálculos'!$C$98)/(('Cálculos'!$C$200+(($C47)-$A$6:$A$51)*'Cálculos'!$C$98)+1400)+'Cálculos'!$C$122)*'Cálculos'!$C$277+'Cálculos'!$C$125*(1+2.78*('Cálculos'!$C$200+(($C47)-$A$6:$A$51)*'Cálculos'!$C$98)/(('Cálculos'!$C$200+(($C47)-$A$6:$A$51)*'Cálculos'!$C$98)+1400)+'Cálculos'!$C$123)*'Cálculos'!$C$282)+('Cálculos'!$C$273+'Cálculos'!$C$124*(1+2.78*('Cálculos'!$C$200+(($C47)-$A$6:$A$51)*'Cálculos'!$C$98)/(('Cálculos'!$C$200+(($C47)-$A$6:$A$51)*'Cálculos'!$C$98)+1400)+'Cálculos'!$C$122)*'Cálculos'!$C$278+'Cálculos'!$C$125*(1+2.78*('Cálculos'!$C$200+(($C47)-$A$6:$A$51)*'Cálculos'!$C$98)/(('Cálculos'!$C$200+(($C47)-$A$6:$A$51)*'Cálculos'!$C$98)+1400)+'Cálculos'!$C$123)*'Cálculos'!$C$283)))))</f>
        <v>0</v>
      </c>
      <c r="E47" s="32">
        <f>IF(OR($C47&lt;0,'Cálculos'!$C$6=""),0,$B47*$D47)</f>
        <v>0</v>
      </c>
      <c r="F47" s="2"/>
      <c r="G47" s="30">
        <f>($A47&lt;=$B$53)*($A47&lt;='Cálculos'!$C$294)*(($B$53)-$A47&lt;='Cálculos'!$C$295)*(1+MIN(('Cálculos'!$C$207+$A47*'Cálculos'!$C$95),1)*('Cálculos'!$C$208+(($B$53)-$A47)*'Cálculos'!$C$96))</f>
        <v>0</v>
      </c>
      <c r="H47" s="31">
        <f>IF($B$54&lt;0,0,($A47&lt;=$B$54)*($A47&lt;='Cálculos'!$C$301)*(($B$54)-$A47&lt;='Cálculos'!$C$297)*(('Cálculos'!$C$185*(1+'Cálculos'!$C$186+$A47*('Cálculos'!$C$290=1)*'Cálculos'!$C$97+'Cálculos'!$C$305)+'Cálculos'!$C$191)*('Cálculos'!$C$209+'Cálculos'!$C$124*(1+2.78*('Cálculos'!$C$196+(($B$54)-$A47)*'Cálculos'!$C$98)/(('Cálculos'!$C$196+(($B$54)-$A47)*'Cálculos'!$C$98)+1400)+'Cálculos'!$C$122)*'Cálculos'!$C$214+'Cálculos'!$C$125*(1+2.78*('Cálculos'!$C$196+(($B$54)-$A47)*'Cálculos'!$C$98)/(('Cálculos'!$C$196+(($B$54)-$A47)*'Cálculos'!$C$98)+1400)+'Cálculos'!$C$123)*'Cálculos'!$C$219)+('Cálculos'!$C$196+(($B$54)-$A47)*'Cálculos'!$C$98)*('Cálculos'!$C$210+'Cálculos'!$C$124*(1+2.78*('Cálculos'!$C$196+(($B$54)-$A47)*'Cálculos'!$C$98)/(('Cálculos'!$C$196+(($B$54)-$A47)*'Cálculos'!$C$98)+1400)+'Cálculos'!$C$122)*'Cálculos'!$C$215+'Cálculos'!$C$125*(1+2.78*('Cálculos'!$C$196+(($B$54)-$A47)*'Cálculos'!$C$98)/(('Cálculos'!$C$196+(($B$54)-$A47)*'Cálculos'!$C$98)+1400)+'Cálculos'!$C$123)*'Cálculos'!$C$220)+('Cálculos'!$C$201*(1+'Cálculos'!$C$202+$A47*('Cálculos'!$C$290=2)*'Cálculos'!$C$101)+'Cálculos'!$C$203)*('Cálculos'!$C$211+'Cálculos'!$C$124*(1+2.78*('Cálculos'!$C$196+(($B$54)-$A47)*'Cálculos'!$C$98)/(('Cálculos'!$C$196+(($B$54)-$A47)*'Cálculos'!$C$98)+1400)+'Cálculos'!$C$122)*'Cálculos'!$C$216+'Cálculos'!$C$125*(1+2.78*('Cálculos'!$C$196+(($B$54)-$A47)*'Cálculos'!$C$98)/(('Cálculos'!$C$196+(($B$54)-$A47)*'Cálculos'!$C$98)+1400)+'Cálculos'!$C$123)*'Cálculos'!$C$221)+('Cálculos'!$C$204*(1+'Cálculos'!$C$205+$A47*('Cálculos'!$C$290=3)*'Cálculos'!$C$103)+'Cálculos'!$C$206)*('Cálculos'!$C$212+'Cálculos'!$C$124*(1+2.78*('Cálculos'!$C$196+(($B$54)-$A47)*'Cálculos'!$C$98)/(('Cálculos'!$C$196+(($B$54)-$A47)*'Cálculos'!$C$98)+1400)+'Cálculos'!$C$122)*'Cálculos'!$C$217+'Cálculos'!$C$125*(1+2.78*('Cálculos'!$C$196+(($B$54)-$A47)*'Cálculos'!$C$98)/(('Cálculos'!$C$196+(($B$54)-$A47)*'Cálculos'!$C$98)+1400)+'Cálculos'!$C$123)*'Cálculos'!$C$222)+('Cálculos'!$C$213+'Cálculos'!$C$124*(1+2.78*('Cálculos'!$C$196+(($B$54)-$A47)*'Cálculos'!$C$98)/(('Cálculos'!$C$196+(($B$54)-$A47)*'Cálculos'!$C$98)+1400)+'Cálculos'!$C$122)*'Cálculos'!$C$218+'Cálculos'!$C$125*(1+2.78*('Cálculos'!$C$196+(($B$54)-$A47)*'Cálculos'!$C$98)/(('Cálculos'!$C$196+(($B$54)-$A47)*'Cálculos'!$C$98)+1400)+'Cálculos'!$C$123)*'Cálculos'!$C$223)+('Cálculos'!$C$185*(1+'Cálculos'!$C$187+$A47*('Cálculos'!$C$290=1)*'Cálculos'!$C$97+'Cálculos'!$C$305)+'Cálculos'!$C$192)*('Cálculos'!$C$224+'Cálculos'!$C$124*(1+2.78*('Cálculos'!$C$197+(($B$54)-$A47)*'Cálculos'!$C$98)/(('Cálculos'!$C$197+(($B$54)-$A47)*'Cálculos'!$C$98)+1400)+'Cálculos'!$C$122)*'Cálculos'!$C$229+'Cálculos'!$C$125*(1+2.78*('Cálculos'!$C$197+(($B$54)-$A47)*'Cálculos'!$C$98)/(('Cálculos'!$C$197+(($B$54)-$A47)*'Cálculos'!$C$98)+1400)+'Cálculos'!$C$123)*'Cálculos'!$C$234)+('Cálculos'!$C$197+(($B$54)-$A47)*'Cálculos'!$C$98)*('Cálculos'!$C$225+'Cálculos'!$C$124*(1+2.78*('Cálculos'!$C$197+(($B$54)-$A47)*'Cálculos'!$C$98)/(('Cálculos'!$C$197+(($B$54)-$A47)*'Cálculos'!$C$98)+1400)+'Cálculos'!$C$122)*'Cálculos'!$C$230+'Cálculos'!$C$125*(1+2.78*('Cálculos'!$C$197+(($B$54)-$A47)*'Cálculos'!$C$98)/(('Cálculos'!$C$197+(($B$54)-$A47)*'Cálculos'!$C$98)+1400)+'Cálculos'!$C$123)*'Cálculos'!$C$235)+('Cálculos'!$C$201*(1+'Cálculos'!$C$202+$A47*('Cálculos'!$C$290=2)*'Cálculos'!$C$101)+'Cálculos'!$C$203)*('Cálculos'!$C$226+'Cálculos'!$C$124*(1+2.78*('Cálculos'!$C$197+(($B$54)-$A47)*'Cálculos'!$C$98)/(('Cálculos'!$C$197+(($B$54)-$A47)*'Cálculos'!$C$98)+1400)+'Cálculos'!$C$122)*'Cálculos'!$C$231+'Cálculos'!$C$125*(1+2.78*('Cálculos'!$C$197+(($B$54)-$A47)*'Cálculos'!$C$98)/(('Cálculos'!$C$197+(($B$54)-$A47)*'Cálculos'!$C$98)+1400)+'Cálculos'!$C$123)*'Cálculos'!$C$236)+('Cálculos'!$C$204*(1+'Cálculos'!$C$205+$A47*('Cálculos'!$C$290=3)*'Cálculos'!$C$103)+'Cálculos'!$C$206)*('Cálculos'!$C$227+'Cálculos'!$C$124*(1+2.78*('Cálculos'!$C$197+(($B$54)-$A47)*'Cálculos'!$C$98)/(('Cálculos'!$C$197+(($B$54)-$A47)*'Cálculos'!$C$98)+1400)+'Cálculos'!$C$122)*'Cálculos'!$C$232+'Cálculos'!$C$125*(1+2.78*('Cálculos'!$C$197+(($B$54)-$A47)*'Cálculos'!$C$98)/(('Cálculos'!$C$197+(($B$54)-$A47)*'Cálculos'!$C$98)+1400)+'Cálculos'!$C$123)*'Cálculos'!$C$237)+('Cálculos'!$C$228+'Cálculos'!$C$124*(1+2.78*('Cálculos'!$C$197+(($B$54)-$A47)*'Cálculos'!$C$98)/(('Cálculos'!$C$197+(($B$54)-$A47)*'Cálculos'!$C$98)+1400)+'Cálculos'!$C$122)*'Cálculos'!$C$233+'Cálculos'!$C$125*(1+2.78*('Cálculos'!$C$197+(($B$54)-$A47)*'Cálculos'!$C$98)/(('Cálculos'!$C$197+(($B$54)-$A47)*'Cálculos'!$C$98)+1400)+'Cálculos'!$C$123)*'Cálculos'!$C$238)+('Cálculos'!$C$185*(1+'Cálculos'!$C$188+$A47*('Cálculos'!$C$290=1)*'Cálculos'!$C$97+'Cálculos'!$C$305)+'Cálculos'!$C$193)*('Cálculos'!$C$239+'Cálculos'!$C$124*(1+2.78*('Cálculos'!$C$198+(($B$54)-$A47)*'Cálculos'!$C$98)/(('Cálculos'!$C$198+(($B$54)-$A47)*'Cálculos'!$C$98)+1400)+'Cálculos'!$C$122)*'Cálculos'!$C$244+'Cálculos'!$C$125*(1+2.78*('Cálculos'!$C$198+(($B$54)-$A47)*'Cálculos'!$C$98)/(('Cálculos'!$C$198+(($B$54)-$A47)*'Cálculos'!$C$98)+1400)+'Cálculos'!$C$123)*'Cálculos'!$C$249)+('Cálculos'!$C$198+(($B$54)-$A47)*'Cálculos'!$C$98)*('Cálculos'!$C$240+'Cálculos'!$C$124*(1+2.78*('Cálculos'!$C$198+(($B$54)-$A47)*'Cálculos'!$C$98)/(('Cálculos'!$C$198+(($B$54)-$A47)*'Cálculos'!$C$98)+1400)+'Cálculos'!$C$122)*'Cálculos'!$C$245+'Cálculos'!$C$125*(1+2.78*('Cálculos'!$C$198+(($B$54)-$A47)*'Cálculos'!$C$98)/(('Cálculos'!$C$198+(($B$54)-$A47)*'Cálculos'!$C$98)+1400)+'Cálculos'!$C$123)*'Cálculos'!$C$250)+('Cálculos'!$C$201*(1+'Cálculos'!$C$202+$A47*('Cálculos'!$C$290=2)*'Cálculos'!$C$101)+'Cálculos'!$C$203)*('Cálculos'!$C$241+'Cálculos'!$C$124*(1+2.78*('Cálculos'!$C$198+(($B$54)-$A47)*'Cálculos'!$C$98)/(('Cálculos'!$C$198+(($B$54)-$A47)*'Cálculos'!$C$98)+1400)+'Cálculos'!$C$122)*'Cálculos'!$C$246+'Cálculos'!$C$125*(1+2.78*('Cálculos'!$C$198+(($B$54)-$A47)*'Cálculos'!$C$98)/(('Cálculos'!$C$198+(($B$54)-$A47)*'Cálculos'!$C$98)+1400)+'Cálculos'!$C$123)*'Cálculos'!$C$251)+('Cálculos'!$C$204*(1+'Cálculos'!$C$205+$A47*('Cálculos'!$C$290=3)*'Cálculos'!$C$103)+'Cálculos'!$C$206)*('Cálculos'!$C$242+'Cálculos'!$C$124*(1+2.78*('Cálculos'!$C$198+(($B$54)-$A47)*'Cálculos'!$C$98)/(('Cálculos'!$C$198+(($B$54)-$A47)*'Cálculos'!$C$98)+1400)+'Cálculos'!$C$122)*'Cálculos'!$C$247+'Cálculos'!$C$125*(1+2.78*('Cálculos'!$C$198+(($B$54)-$A47)*'Cálculos'!$C$98)/(('Cálculos'!$C$198+(($B$54)-$A47)*'Cálculos'!$C$98)+1400)+'Cálculos'!$C$123)*'Cálculos'!$C$252)+('Cálculos'!$C$243+'Cálculos'!$C$124*(1+2.78*('Cálculos'!$C$198+(($B$54)-$A47)*'Cálculos'!$C$98)/(('Cálculos'!$C$198+(($B$54)-$A47)*'Cálculos'!$C$98)+1400)+'Cálculos'!$C$122)*'Cálculos'!$C$248+'Cálculos'!$C$125*(1+2.78*('Cálculos'!$C$198+(($B$54)-$A47)*'Cálculos'!$C$98)/(('Cálculos'!$C$198+(($B$54)-$A47)*'Cálculos'!$C$98)+1400)+'Cálculos'!$C$123)*'Cálculos'!$C$253)+('Cálculos'!$C$185*(1+'Cálculos'!$C$189+$A47*('Cálculos'!$C$290=1)*'Cálculos'!$C$97+'Cálculos'!$C$305)+'Cálculos'!$C$194)*('Cálculos'!$C$254+'Cálculos'!$C$124*(1+2.78*('Cálculos'!$C$199+(($B$54)-$A47)*'Cálculos'!$C$98)/(('Cálculos'!$C$199+(($B$54)-$A47)*'Cálculos'!$C$98)+1400)+'Cálculos'!$C$122)*'Cálculos'!$C$259+'Cálculos'!$C$125*(1+2.78*('Cálculos'!$C$199+(($B$54)-$A47)*'Cálculos'!$C$98)/(('Cálculos'!$C$199+(($B$54)-$A47)*'Cálculos'!$C$98)+1400)+'Cálculos'!$C$123)*'Cálculos'!$C$264)+('Cálculos'!$C$199+(($B$54)-$A47)*'Cálculos'!$C$98)*('Cálculos'!$C$255+'Cálculos'!$C$124*(1+2.78*('Cálculos'!$C$199+(($B$54)-$A47)*'Cálculos'!$C$98)/(('Cálculos'!$C$199+(($B$54)-$A47)*'Cálculos'!$C$98)+1400)+'Cálculos'!$C$122)*'Cálculos'!$C$260+'Cálculos'!$C$125*(1+2.78*('Cálculos'!$C$199+(($B$54)-$A47)*'Cálculos'!$C$98)/(('Cálculos'!$C$199+(($B$54)-$A47)*'Cálculos'!$C$98)+1400)+'Cálculos'!$C$123)*'Cálculos'!$C$265)+('Cálculos'!$C$201*(1+'Cálculos'!$C$202+$A47*('Cálculos'!$C$290=2)*'Cálculos'!$C$101)+'Cálculos'!$C$203)*('Cálculos'!$C$256+'Cálculos'!$C$124*(1+2.78*('Cálculos'!$C$199+(($B$54)-$A47)*'Cálculos'!$C$98)/(('Cálculos'!$C$199+(($B$54)-$A47)*'Cálculos'!$C$98)+1400)+'Cálculos'!$C$122)*'Cálculos'!$C$261+'Cálculos'!$C$125*(1+2.78*('Cálculos'!$C$199+(($B$54)-$A47)*'Cálculos'!$C$98)/(('Cálculos'!$C$199+(($B$54)-$A47)*'Cálculos'!$C$98)+1400)+'Cálculos'!$C$123)*'Cálculos'!$C$266)+('Cálculos'!$C$204*(1+'Cálculos'!$C$205+$A47*('Cálculos'!$C$290=3)*'Cálculos'!$C$103)+'Cálculos'!$C$206)*('Cálculos'!$C$257+'Cálculos'!$C$124*(1+2.78*('Cálculos'!$C$199+(($B$54)-$A47)*'Cálculos'!$C$98)/(('Cálculos'!$C$199+(($B$54)-$A47)*'Cálculos'!$C$98)+1400)+'Cálculos'!$C$122)*'Cálculos'!$C$262+'Cálculos'!$C$125*(1+2.78*('Cálculos'!$C$199+(($B$54)-$A47)*'Cálculos'!$C$98)/(('Cálculos'!$C$199+(($B$54)-$A47)*'Cálculos'!$C$98)+1400)+'Cálculos'!$C$123)*'Cálculos'!$C$267)+('Cálculos'!$C$258+'Cálculos'!$C$124*(1+2.78*('Cálculos'!$C$199+(($B$54)-$A47)*'Cálculos'!$C$98)/(('Cálculos'!$C$199+(($B$54)-$A47)*'Cálculos'!$C$98)+1400)+'Cálculos'!$C$122)*'Cálculos'!$C$263+'Cálculos'!$C$125*(1+2.78*('Cálculos'!$C$199+(($B$54)-$A47)*'Cálculos'!$C$98)/(('Cálculos'!$C$199+(($B$54)-$A47)*'Cálculos'!$C$98)+1400)+'Cálculos'!$C$123)*'Cálculos'!$C$268)+('Cálculos'!$C$185*(1+'Cálculos'!$C$190+$A47*('Cálculos'!$C$290=1)*'Cálculos'!$C$97+'Cálculos'!$C$305)+'Cálculos'!$C$195)*('Cálculos'!$C$269+'Cálculos'!$C$124*(1+2.78*('Cálculos'!$C$200+(($B$54)-$A47)*'Cálculos'!$C$98)/(('Cálculos'!$C$200+(($B$54)-$A47)*'Cálculos'!$C$98)+1400)+'Cálculos'!$C$122)*'Cálculos'!$C$274+'Cálculos'!$C$125*(1+2.78*('Cálculos'!$C$200+(($B$54)-$A47)*'Cálculos'!$C$98)/(('Cálculos'!$C$200+(($B$54)-$A47)*'Cálculos'!$C$98)+1400)+'Cálculos'!$C$123)*'Cálculos'!$C$279)+('Cálculos'!$C$200+(($B$54)-$A47)*'Cálculos'!$C$98)*('Cálculos'!$C$270+'Cálculos'!$C$124*(1+2.78*('Cálculos'!$C$200+(($B$54)-$A47)*'Cálculos'!$C$98)/(('Cálculos'!$C$200+(($B$54)-$A47)*'Cálculos'!$C$98)+1400)+'Cálculos'!$C$122)*'Cálculos'!$C$275+'Cálculos'!$C$125*(1+2.78*('Cálculos'!$C$200+(($B$54)-$A47)*'Cálculos'!$C$98)/(('Cálculos'!$C$200+(($B$54)-$A47)*'Cálculos'!$C$98)+1400)+'Cálculos'!$C$123)*'Cálculos'!$C$280)+('Cálculos'!$C$201*(1+'Cálculos'!$C$202+$A47*('Cálculos'!$C$290=2)*'Cálculos'!$C$101)+'Cálculos'!$C$203)*('Cálculos'!$C$271+'Cálculos'!$C$124*(1+2.78*('Cálculos'!$C$200+(($B$54)-$A47)*'Cálculos'!$C$98)/(('Cálculos'!$C$200+(($B$54)-$A47)*'Cálculos'!$C$98)+1400)+'Cálculos'!$C$122)*'Cálculos'!$C$276+'Cálculos'!$C$125*(1+2.78*('Cálculos'!$C$200+(($B$54)-$A47)*'Cálculos'!$C$98)/(('Cálculos'!$C$200+(($B$54)-$A47)*'Cálculos'!$C$98)+1400)+'Cálculos'!$C$123)*'Cálculos'!$C$281)+('Cálculos'!$C$204*(1+'Cálculos'!$C$205+$A47*('Cálculos'!$C$290=3)*'Cálculos'!$C$103)+'Cálculos'!$C$206)*('Cálculos'!$C$272+'Cálculos'!$C$124*(1+2.78*('Cálculos'!$C$200+(($B$54)-$A47)*'Cálculos'!$C$98)/(('Cálculos'!$C$200+(($B$54)-$A47)*'Cálculos'!$C$98)+1400)+'Cálculos'!$C$122)*'Cálculos'!$C$277+'Cálculos'!$C$125*(1+2.78*('Cálculos'!$C$200+(($B$54)-$A47)*'Cálculos'!$C$98)/(('Cálculos'!$C$200+(($B$54)-$A47)*'Cálculos'!$C$98)+1400)+'Cálculos'!$C$123)*'Cálculos'!$C$282)+('Cálculos'!$C$273+'Cálculos'!$C$124*(1+2.78*('Cálculos'!$C$200+(($B$54)-$A47)*'Cálculos'!$C$98)/(('Cálculos'!$C$200+(($B$54)-$A47)*'Cálculos'!$C$98)+1400)+'Cálculos'!$C$122)*'Cálculos'!$C$278+'Cálculos'!$C$125*(1+2.78*('Cálculos'!$C$200+(($B$54)-$A47)*'Cálculos'!$C$98)/(('Cálculos'!$C$200+(($B$54)-$A47)*'Cálculos'!$C$98)+1400)+'Cálculos'!$C$123)*'Cálculos'!$C$283)))</f>
        <v>0</v>
      </c>
    </row>
    <row r="48" ht="15.75" customHeight="1">
      <c r="A48" s="2">
        <v>42.0</v>
      </c>
      <c r="B48" s="30">
        <f>SUMPRODUCT(MAX(($A$6:$A$51&lt;=$A48)*($A$6:$A$51&lt;='Cálculos'!$C$294)*(($A48)-$A$6:$A$51&lt;='Cálculos'!$C$295)*(1+(('Cálculos'!$C$207+$A$6:$A$51*'Cálculos'!$C$95)-(('Cálculos'!$C$207+$A$6:$A$51*'Cálculos'!$C$95)&gt;1)*(('Cálculos'!$C$207+$A$6:$A$51*'Cálculos'!$C$95)-1))*('Cálculos'!$C$208+(($A48)-$A$6:$A$51)*'Cálculos'!$C$96))))</f>
        <v>4.44</v>
      </c>
      <c r="C48" s="2">
        <f>'Cálculos'!$C$303-$A48</f>
        <v>-22</v>
      </c>
      <c r="D48" s="31">
        <f>IF($C48&lt;0,0,SUMPRODUCT(MAX(($A$6:$A$51&lt;=$C48)*($A$6:$A$51&lt;='Cálculos'!$C$301)*(($C48)-$A$6:$A$51&lt;='Cálculos'!$C$297)*(('Cálculos'!$C$185*(1+'Cálculos'!$C$186+$A$6:$A$51*('Cálculos'!$C$290=1)*'Cálculos'!$C$97+'Cálculos'!$C$305)+'Cálculos'!$C$191)*('Cálculos'!$C$209+'Cálculos'!$C$124*(1+2.78*('Cálculos'!$C$196+(($C48)-$A$6:$A$51)*'Cálculos'!$C$98)/(('Cálculos'!$C$196+(($C48)-$A$6:$A$51)*'Cálculos'!$C$98)+1400)+'Cálculos'!$C$122)*'Cálculos'!$C$214+'Cálculos'!$C$125*(1+2.78*('Cálculos'!$C$196+(($C48)-$A$6:$A$51)*'Cálculos'!$C$98)/(('Cálculos'!$C$196+(($C48)-$A$6:$A$51)*'Cálculos'!$C$98)+1400)+'Cálculos'!$C$123)*'Cálculos'!$C$219)+('Cálculos'!$C$196+(($C48)-$A$6:$A$51)*'Cálculos'!$C$98)*('Cálculos'!$C$210+'Cálculos'!$C$124*(1+2.78*('Cálculos'!$C$196+(($C48)-$A$6:$A$51)*'Cálculos'!$C$98)/(('Cálculos'!$C$196+(($C48)-$A$6:$A$51)*'Cálculos'!$C$98)+1400)+'Cálculos'!$C$122)*'Cálculos'!$C$215+'Cálculos'!$C$125*(1+2.78*('Cálculos'!$C$196+(($C48)-$A$6:$A$51)*'Cálculos'!$C$98)/(('Cálculos'!$C$196+(($C48)-$A$6:$A$51)*'Cálculos'!$C$98)+1400)+'Cálculos'!$C$123)*'Cálculos'!$C$220)+('Cálculos'!$C$201*(1+'Cálculos'!$C$202+$A$6:$A$51*('Cálculos'!$C$290=2)*'Cálculos'!$C$101)+'Cálculos'!$C$203)*('Cálculos'!$C$211+'Cálculos'!$C$124*(1+2.78*('Cálculos'!$C$196+(($C48)-$A$6:$A$51)*'Cálculos'!$C$98)/(('Cálculos'!$C$196+(($C48)-$A$6:$A$51)*'Cálculos'!$C$98)+1400)+'Cálculos'!$C$122)*'Cálculos'!$C$216+'Cálculos'!$C$125*(1+2.78*('Cálculos'!$C$196+(($C48)-$A$6:$A$51)*'Cálculos'!$C$98)/(('Cálculos'!$C$196+(($C48)-$A$6:$A$51)*'Cálculos'!$C$98)+1400)+'Cálculos'!$C$123)*'Cálculos'!$C$221)+('Cálculos'!$C$204*(1+'Cálculos'!$C$205+$A$6:$A$51*('Cálculos'!$C$290=3)*'Cálculos'!$C$103)+'Cálculos'!$C$206)*('Cálculos'!$C$212+'Cálculos'!$C$124*(1+2.78*('Cálculos'!$C$196+(($C48)-$A$6:$A$51)*'Cálculos'!$C$98)/(('Cálculos'!$C$196+(($C48)-$A$6:$A$51)*'Cálculos'!$C$98)+1400)+'Cálculos'!$C$122)*'Cálculos'!$C$217+'Cálculos'!$C$125*(1+2.78*('Cálculos'!$C$196+(($C48)-$A$6:$A$51)*'Cálculos'!$C$98)/(('Cálculos'!$C$196+(($C48)-$A$6:$A$51)*'Cálculos'!$C$98)+1400)+'Cálculos'!$C$123)*'Cálculos'!$C$222)+('Cálculos'!$C$213+'Cálculos'!$C$124*(1+2.78*('Cálculos'!$C$196+(($C48)-$A$6:$A$51)*'Cálculos'!$C$98)/(('Cálculos'!$C$196+(($C48)-$A$6:$A$51)*'Cálculos'!$C$98)+1400)+'Cálculos'!$C$122)*'Cálculos'!$C$218+'Cálculos'!$C$125*(1+2.78*('Cálculos'!$C$196+(($C48)-$A$6:$A$51)*'Cálculos'!$C$98)/(('Cálculos'!$C$196+(($C48)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48)-$A$6:$A$51)*'Cálculos'!$C$98)/(('Cálculos'!$C$197+(($C48)-$A$6:$A$51)*'Cálculos'!$C$98)+1400)+'Cálculos'!$C$122)*'Cálculos'!$C$229+'Cálculos'!$C$125*(1+2.78*('Cálculos'!$C$197+(($C48)-$A$6:$A$51)*'Cálculos'!$C$98)/(('Cálculos'!$C$197+(($C48)-$A$6:$A$51)*'Cálculos'!$C$98)+1400)+'Cálculos'!$C$123)*'Cálculos'!$C$234)+('Cálculos'!$C$197+(($C48)-$A$6:$A$51)*'Cálculos'!$C$98)*('Cálculos'!$C$225+'Cálculos'!$C$124*(1+2.78*('Cálculos'!$C$197+(($C48)-$A$6:$A$51)*'Cálculos'!$C$98)/(('Cálculos'!$C$197+(($C48)-$A$6:$A$51)*'Cálculos'!$C$98)+1400)+'Cálculos'!$C$122)*'Cálculos'!$C$230+'Cálculos'!$C$125*(1+2.78*('Cálculos'!$C$197+(($C48)-$A$6:$A$51)*'Cálculos'!$C$98)/(('Cálculos'!$C$197+(($C48)-$A$6:$A$51)*'Cálculos'!$C$98)+1400)+'Cálculos'!$C$123)*'Cálculos'!$C$235)+('Cálculos'!$C$201*(1+'Cálculos'!$C$202+$A$6:$A$51*('Cálculos'!$C$290=2)*'Cálculos'!$C$101)+'Cálculos'!$C$203)*('Cálculos'!$C$226+'Cálculos'!$C$124*(1+2.78*('Cálculos'!$C$197+(($C48)-$A$6:$A$51)*'Cálculos'!$C$98)/(('Cálculos'!$C$197+(($C48)-$A$6:$A$51)*'Cálculos'!$C$98)+1400)+'Cálculos'!$C$122)*'Cálculos'!$C$231+'Cálculos'!$C$125*(1+2.78*('Cálculos'!$C$197+(($C48)-$A$6:$A$51)*'Cálculos'!$C$98)/(('Cálculos'!$C$197+(($C48)-$A$6:$A$51)*'Cálculos'!$C$98)+1400)+'Cálculos'!$C$123)*'Cálculos'!$C$236)+('Cálculos'!$C$204*(1+'Cálculos'!$C$205+$A$6:$A$51*('Cálculos'!$C$290=3)*'Cálculos'!$C$103)+'Cálculos'!$C$206)*('Cálculos'!$C$227+'Cálculos'!$C$124*(1+2.78*('Cálculos'!$C$197+(($C48)-$A$6:$A$51)*'Cálculos'!$C$98)/(('Cálculos'!$C$197+(($C48)-$A$6:$A$51)*'Cálculos'!$C$98)+1400)+'Cálculos'!$C$122)*'Cálculos'!$C$232+'Cálculos'!$C$125*(1+2.78*('Cálculos'!$C$197+(($C48)-$A$6:$A$51)*'Cálculos'!$C$98)/(('Cálculos'!$C$197+(($C48)-$A$6:$A$51)*'Cálculos'!$C$98)+1400)+'Cálculos'!$C$123)*'Cálculos'!$C$237)+('Cálculos'!$C$228+'Cálculos'!$C$124*(1+2.78*('Cálculos'!$C$197+(($C48)-$A$6:$A$51)*'Cálculos'!$C$98)/(('Cálculos'!$C$197+(($C48)-$A$6:$A$51)*'Cálculos'!$C$98)+1400)+'Cálculos'!$C$122)*'Cálculos'!$C$233+'Cálculos'!$C$125*(1+2.78*('Cálculos'!$C$197+(($C48)-$A$6:$A$51)*'Cálculos'!$C$98)/(('Cálculos'!$C$197+(($C48)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48)-$A$6:$A$51)*'Cálculos'!$C$98)/(('Cálculos'!$C$198+(($C48)-$A$6:$A$51)*'Cálculos'!$C$98)+1400)+'Cálculos'!$C$122)*'Cálculos'!$C$244+'Cálculos'!$C$125*(1+2.78*('Cálculos'!$C$198+(($C48)-$A$6:$A$51)*'Cálculos'!$C$98)/(('Cálculos'!$C$198+(($C48)-$A$6:$A$51)*'Cálculos'!$C$98)+1400)+'Cálculos'!$C$123)*'Cálculos'!$C$249)+('Cálculos'!$C$198+(($C48)-$A$6:$A$51)*'Cálculos'!$C$98)*('Cálculos'!$C$240+'Cálculos'!$C$124*(1+2.78*('Cálculos'!$C$198+(($C48)-$A$6:$A$51)*'Cálculos'!$C$98)/(('Cálculos'!$C$198+(($C48)-$A$6:$A$51)*'Cálculos'!$C$98)+1400)+'Cálculos'!$C$122)*'Cálculos'!$C$245+'Cálculos'!$C$125*(1+2.78*('Cálculos'!$C$198+(($C48)-$A$6:$A$51)*'Cálculos'!$C$98)/(('Cálculos'!$C$198+(($C48)-$A$6:$A$51)*'Cálculos'!$C$98)+1400)+'Cálculos'!$C$123)*'Cálculos'!$C$250)+('Cálculos'!$C$201*(1+'Cálculos'!$C$202+$A$6:$A$51*('Cálculos'!$C$290=2)*'Cálculos'!$C$101)+'Cálculos'!$C$203)*('Cálculos'!$C$241+'Cálculos'!$C$124*(1+2.78*('Cálculos'!$C$198+(($C48)-$A$6:$A$51)*'Cálculos'!$C$98)/(('Cálculos'!$C$198+(($C48)-$A$6:$A$51)*'Cálculos'!$C$98)+1400)+'Cálculos'!$C$122)*'Cálculos'!$C$246+'Cálculos'!$C$125*(1+2.78*('Cálculos'!$C$198+(($C48)-$A$6:$A$51)*'Cálculos'!$C$98)/(('Cálculos'!$C$198+(($C48)-$A$6:$A$51)*'Cálculos'!$C$98)+1400)+'Cálculos'!$C$123)*'Cálculos'!$C$251)+('Cálculos'!$C$204*(1+'Cálculos'!$C$205+$A$6:$A$51*('Cálculos'!$C$290=3)*'Cálculos'!$C$103)+'Cálculos'!$C$206)*('Cálculos'!$C$242+'Cálculos'!$C$124*(1+2.78*('Cálculos'!$C$198+(($C48)-$A$6:$A$51)*'Cálculos'!$C$98)/(('Cálculos'!$C$198+(($C48)-$A$6:$A$51)*'Cálculos'!$C$98)+1400)+'Cálculos'!$C$122)*'Cálculos'!$C$247+'Cálculos'!$C$125*(1+2.78*('Cálculos'!$C$198+(($C48)-$A$6:$A$51)*'Cálculos'!$C$98)/(('Cálculos'!$C$198+(($C48)-$A$6:$A$51)*'Cálculos'!$C$98)+1400)+'Cálculos'!$C$123)*'Cálculos'!$C$252)+('Cálculos'!$C$243+'Cálculos'!$C$124*(1+2.78*('Cálculos'!$C$198+(($C48)-$A$6:$A$51)*'Cálculos'!$C$98)/(('Cálculos'!$C$198+(($C48)-$A$6:$A$51)*'Cálculos'!$C$98)+1400)+'Cálculos'!$C$122)*'Cálculos'!$C$248+'Cálculos'!$C$125*(1+2.78*('Cálculos'!$C$198+(($C48)-$A$6:$A$51)*'Cálculos'!$C$98)/(('Cálculos'!$C$198+(($C48)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48)-$A$6:$A$51)*'Cálculos'!$C$98)/(('Cálculos'!$C$199+(($C48)-$A$6:$A$51)*'Cálculos'!$C$98)+1400)+'Cálculos'!$C$122)*'Cálculos'!$C$259+'Cálculos'!$C$125*(1+2.78*('Cálculos'!$C$199+(($C48)-$A$6:$A$51)*'Cálculos'!$C$98)/(('Cálculos'!$C$199+(($C48)-$A$6:$A$51)*'Cálculos'!$C$98)+1400)+'Cálculos'!$C$123)*'Cálculos'!$C$264)+('Cálculos'!$C$199+(($C48)-$A$6:$A$51)*'Cálculos'!$C$98)*('Cálculos'!$C$255+'Cálculos'!$C$124*(1+2.78*('Cálculos'!$C$199+(($C48)-$A$6:$A$51)*'Cálculos'!$C$98)/(('Cálculos'!$C$199+(($C48)-$A$6:$A$51)*'Cálculos'!$C$98)+1400)+'Cálculos'!$C$122)*'Cálculos'!$C$260+'Cálculos'!$C$125*(1+2.78*('Cálculos'!$C$199+(($C48)-$A$6:$A$51)*'Cálculos'!$C$98)/(('Cálculos'!$C$199+(($C48)-$A$6:$A$51)*'Cálculos'!$C$98)+1400)+'Cálculos'!$C$123)*'Cálculos'!$C$265)+('Cálculos'!$C$201*(1+'Cálculos'!$C$202+$A$6:$A$51*('Cálculos'!$C$290=2)*'Cálculos'!$C$101)+'Cálculos'!$C$203)*('Cálculos'!$C$256+'Cálculos'!$C$124*(1+2.78*('Cálculos'!$C$199+(($C48)-$A$6:$A$51)*'Cálculos'!$C$98)/(('Cálculos'!$C$199+(($C48)-$A$6:$A$51)*'Cálculos'!$C$98)+1400)+'Cálculos'!$C$122)*'Cálculos'!$C$261+'Cálculos'!$C$125*(1+2.78*('Cálculos'!$C$199+(($C48)-$A$6:$A$51)*'Cálculos'!$C$98)/(('Cálculos'!$C$199+(($C48)-$A$6:$A$51)*'Cálculos'!$C$98)+1400)+'Cálculos'!$C$123)*'Cálculos'!$C$266)+('Cálculos'!$C$204*(1+'Cálculos'!$C$205+$A$6:$A$51*('Cálculos'!$C$290=3)*'Cálculos'!$C$103)+'Cálculos'!$C$206)*('Cálculos'!$C$257+'Cálculos'!$C$124*(1+2.78*('Cálculos'!$C$199+(($C48)-$A$6:$A$51)*'Cálculos'!$C$98)/(('Cálculos'!$C$199+(($C48)-$A$6:$A$51)*'Cálculos'!$C$98)+1400)+'Cálculos'!$C$122)*'Cálculos'!$C$262+'Cálculos'!$C$125*(1+2.78*('Cálculos'!$C$199+(($C48)-$A$6:$A$51)*'Cálculos'!$C$98)/(('Cálculos'!$C$199+(($C48)-$A$6:$A$51)*'Cálculos'!$C$98)+1400)+'Cálculos'!$C$123)*'Cálculos'!$C$267)+('Cálculos'!$C$258+'Cálculos'!$C$124*(1+2.78*('Cálculos'!$C$199+(($C48)-$A$6:$A$51)*'Cálculos'!$C$98)/(('Cálculos'!$C$199+(($C48)-$A$6:$A$51)*'Cálculos'!$C$98)+1400)+'Cálculos'!$C$122)*'Cálculos'!$C$263+'Cálculos'!$C$125*(1+2.78*('Cálculos'!$C$199+(($C48)-$A$6:$A$51)*'Cálculos'!$C$98)/(('Cálculos'!$C$199+(($C48)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48)-$A$6:$A$51)*'Cálculos'!$C$98)/(('Cálculos'!$C$200+(($C48)-$A$6:$A$51)*'Cálculos'!$C$98)+1400)+'Cálculos'!$C$122)*'Cálculos'!$C$274+'Cálculos'!$C$125*(1+2.78*('Cálculos'!$C$200+(($C48)-$A$6:$A$51)*'Cálculos'!$C$98)/(('Cálculos'!$C$200+(($C48)-$A$6:$A$51)*'Cálculos'!$C$98)+1400)+'Cálculos'!$C$123)*'Cálculos'!$C$279)+('Cálculos'!$C$200+(($C48)-$A$6:$A$51)*'Cálculos'!$C$98)*('Cálculos'!$C$270+'Cálculos'!$C$124*(1+2.78*('Cálculos'!$C$200+(($C48)-$A$6:$A$51)*'Cálculos'!$C$98)/(('Cálculos'!$C$200+(($C48)-$A$6:$A$51)*'Cálculos'!$C$98)+1400)+'Cálculos'!$C$122)*'Cálculos'!$C$275+'Cálculos'!$C$125*(1+2.78*('Cálculos'!$C$200+(($C48)-$A$6:$A$51)*'Cálculos'!$C$98)/(('Cálculos'!$C$200+(($C48)-$A$6:$A$51)*'Cálculos'!$C$98)+1400)+'Cálculos'!$C$123)*'Cálculos'!$C$280)+('Cálculos'!$C$201*(1+'Cálculos'!$C$202+$A$6:$A$51*('Cálculos'!$C$290=2)*'Cálculos'!$C$101)+'Cálculos'!$C$203)*('Cálculos'!$C$271+'Cálculos'!$C$124*(1+2.78*('Cálculos'!$C$200+(($C48)-$A$6:$A$51)*'Cálculos'!$C$98)/(('Cálculos'!$C$200+(($C48)-$A$6:$A$51)*'Cálculos'!$C$98)+1400)+'Cálculos'!$C$122)*'Cálculos'!$C$276+'Cálculos'!$C$125*(1+2.78*('Cálculos'!$C$200+(($C48)-$A$6:$A$51)*'Cálculos'!$C$98)/(('Cálculos'!$C$200+(($C48)-$A$6:$A$51)*'Cálculos'!$C$98)+1400)+'Cálculos'!$C$123)*'Cálculos'!$C$281)+('Cálculos'!$C$204*(1+'Cálculos'!$C$205+$A$6:$A$51*('Cálculos'!$C$290=3)*'Cálculos'!$C$103)+'Cálculos'!$C$206)*('Cálculos'!$C$272+'Cálculos'!$C$124*(1+2.78*('Cálculos'!$C$200+(($C48)-$A$6:$A$51)*'Cálculos'!$C$98)/(('Cálculos'!$C$200+(($C48)-$A$6:$A$51)*'Cálculos'!$C$98)+1400)+'Cálculos'!$C$122)*'Cálculos'!$C$277+'Cálculos'!$C$125*(1+2.78*('Cálculos'!$C$200+(($C48)-$A$6:$A$51)*'Cálculos'!$C$98)/(('Cálculos'!$C$200+(($C48)-$A$6:$A$51)*'Cálculos'!$C$98)+1400)+'Cálculos'!$C$123)*'Cálculos'!$C$282)+('Cálculos'!$C$273+'Cálculos'!$C$124*(1+2.78*('Cálculos'!$C$200+(($C48)-$A$6:$A$51)*'Cálculos'!$C$98)/(('Cálculos'!$C$200+(($C48)-$A$6:$A$51)*'Cálculos'!$C$98)+1400)+'Cálculos'!$C$122)*'Cálculos'!$C$278+'Cálculos'!$C$125*(1+2.78*('Cálculos'!$C$200+(($C48)-$A$6:$A$51)*'Cálculos'!$C$98)/(('Cálculos'!$C$200+(($C48)-$A$6:$A$51)*'Cálculos'!$C$98)+1400)+'Cálculos'!$C$123)*'Cálculos'!$C$283)))))</f>
        <v>0</v>
      </c>
      <c r="E48" s="32">
        <f>IF(OR($C48&lt;0,'Cálculos'!$C$6=""),0,$B48*$D48)</f>
        <v>0</v>
      </c>
      <c r="F48" s="2"/>
      <c r="G48" s="30">
        <f>($A48&lt;=$B$53)*($A48&lt;='Cálculos'!$C$294)*(($B$53)-$A48&lt;='Cálculos'!$C$295)*(1+MIN(('Cálculos'!$C$207+$A48*'Cálculos'!$C$95),1)*('Cálculos'!$C$208+(($B$53)-$A48)*'Cálculos'!$C$96))</f>
        <v>0</v>
      </c>
      <c r="H48" s="31">
        <f>IF($B$54&lt;0,0,($A48&lt;=$B$54)*($A48&lt;='Cálculos'!$C$301)*(($B$54)-$A48&lt;='Cálculos'!$C$297)*(('Cálculos'!$C$185*(1+'Cálculos'!$C$186+$A48*('Cálculos'!$C$290=1)*'Cálculos'!$C$97+'Cálculos'!$C$305)+'Cálculos'!$C$191)*('Cálculos'!$C$209+'Cálculos'!$C$124*(1+2.78*('Cálculos'!$C$196+(($B$54)-$A48)*'Cálculos'!$C$98)/(('Cálculos'!$C$196+(($B$54)-$A48)*'Cálculos'!$C$98)+1400)+'Cálculos'!$C$122)*'Cálculos'!$C$214+'Cálculos'!$C$125*(1+2.78*('Cálculos'!$C$196+(($B$54)-$A48)*'Cálculos'!$C$98)/(('Cálculos'!$C$196+(($B$54)-$A48)*'Cálculos'!$C$98)+1400)+'Cálculos'!$C$123)*'Cálculos'!$C$219)+('Cálculos'!$C$196+(($B$54)-$A48)*'Cálculos'!$C$98)*('Cálculos'!$C$210+'Cálculos'!$C$124*(1+2.78*('Cálculos'!$C$196+(($B$54)-$A48)*'Cálculos'!$C$98)/(('Cálculos'!$C$196+(($B$54)-$A48)*'Cálculos'!$C$98)+1400)+'Cálculos'!$C$122)*'Cálculos'!$C$215+'Cálculos'!$C$125*(1+2.78*('Cálculos'!$C$196+(($B$54)-$A48)*'Cálculos'!$C$98)/(('Cálculos'!$C$196+(($B$54)-$A48)*'Cálculos'!$C$98)+1400)+'Cálculos'!$C$123)*'Cálculos'!$C$220)+('Cálculos'!$C$201*(1+'Cálculos'!$C$202+$A48*('Cálculos'!$C$290=2)*'Cálculos'!$C$101)+'Cálculos'!$C$203)*('Cálculos'!$C$211+'Cálculos'!$C$124*(1+2.78*('Cálculos'!$C$196+(($B$54)-$A48)*'Cálculos'!$C$98)/(('Cálculos'!$C$196+(($B$54)-$A48)*'Cálculos'!$C$98)+1400)+'Cálculos'!$C$122)*'Cálculos'!$C$216+'Cálculos'!$C$125*(1+2.78*('Cálculos'!$C$196+(($B$54)-$A48)*'Cálculos'!$C$98)/(('Cálculos'!$C$196+(($B$54)-$A48)*'Cálculos'!$C$98)+1400)+'Cálculos'!$C$123)*'Cálculos'!$C$221)+('Cálculos'!$C$204*(1+'Cálculos'!$C$205+$A48*('Cálculos'!$C$290=3)*'Cálculos'!$C$103)+'Cálculos'!$C$206)*('Cálculos'!$C$212+'Cálculos'!$C$124*(1+2.78*('Cálculos'!$C$196+(($B$54)-$A48)*'Cálculos'!$C$98)/(('Cálculos'!$C$196+(($B$54)-$A48)*'Cálculos'!$C$98)+1400)+'Cálculos'!$C$122)*'Cálculos'!$C$217+'Cálculos'!$C$125*(1+2.78*('Cálculos'!$C$196+(($B$54)-$A48)*'Cálculos'!$C$98)/(('Cálculos'!$C$196+(($B$54)-$A48)*'Cálculos'!$C$98)+1400)+'Cálculos'!$C$123)*'Cálculos'!$C$222)+('Cálculos'!$C$213+'Cálculos'!$C$124*(1+2.78*('Cálculos'!$C$196+(($B$54)-$A48)*'Cálculos'!$C$98)/(('Cálculos'!$C$196+(($B$54)-$A48)*'Cálculos'!$C$98)+1400)+'Cálculos'!$C$122)*'Cálculos'!$C$218+'Cálculos'!$C$125*(1+2.78*('Cálculos'!$C$196+(($B$54)-$A48)*'Cálculos'!$C$98)/(('Cálculos'!$C$196+(($B$54)-$A48)*'Cálculos'!$C$98)+1400)+'Cálculos'!$C$123)*'Cálculos'!$C$223)+('Cálculos'!$C$185*(1+'Cálculos'!$C$187+$A48*('Cálculos'!$C$290=1)*'Cálculos'!$C$97+'Cálculos'!$C$305)+'Cálculos'!$C$192)*('Cálculos'!$C$224+'Cálculos'!$C$124*(1+2.78*('Cálculos'!$C$197+(($B$54)-$A48)*'Cálculos'!$C$98)/(('Cálculos'!$C$197+(($B$54)-$A48)*'Cálculos'!$C$98)+1400)+'Cálculos'!$C$122)*'Cálculos'!$C$229+'Cálculos'!$C$125*(1+2.78*('Cálculos'!$C$197+(($B$54)-$A48)*'Cálculos'!$C$98)/(('Cálculos'!$C$197+(($B$54)-$A48)*'Cálculos'!$C$98)+1400)+'Cálculos'!$C$123)*'Cálculos'!$C$234)+('Cálculos'!$C$197+(($B$54)-$A48)*'Cálculos'!$C$98)*('Cálculos'!$C$225+'Cálculos'!$C$124*(1+2.78*('Cálculos'!$C$197+(($B$54)-$A48)*'Cálculos'!$C$98)/(('Cálculos'!$C$197+(($B$54)-$A48)*'Cálculos'!$C$98)+1400)+'Cálculos'!$C$122)*'Cálculos'!$C$230+'Cálculos'!$C$125*(1+2.78*('Cálculos'!$C$197+(($B$54)-$A48)*'Cálculos'!$C$98)/(('Cálculos'!$C$197+(($B$54)-$A48)*'Cálculos'!$C$98)+1400)+'Cálculos'!$C$123)*'Cálculos'!$C$235)+('Cálculos'!$C$201*(1+'Cálculos'!$C$202+$A48*('Cálculos'!$C$290=2)*'Cálculos'!$C$101)+'Cálculos'!$C$203)*('Cálculos'!$C$226+'Cálculos'!$C$124*(1+2.78*('Cálculos'!$C$197+(($B$54)-$A48)*'Cálculos'!$C$98)/(('Cálculos'!$C$197+(($B$54)-$A48)*'Cálculos'!$C$98)+1400)+'Cálculos'!$C$122)*'Cálculos'!$C$231+'Cálculos'!$C$125*(1+2.78*('Cálculos'!$C$197+(($B$54)-$A48)*'Cálculos'!$C$98)/(('Cálculos'!$C$197+(($B$54)-$A48)*'Cálculos'!$C$98)+1400)+'Cálculos'!$C$123)*'Cálculos'!$C$236)+('Cálculos'!$C$204*(1+'Cálculos'!$C$205+$A48*('Cálculos'!$C$290=3)*'Cálculos'!$C$103)+'Cálculos'!$C$206)*('Cálculos'!$C$227+'Cálculos'!$C$124*(1+2.78*('Cálculos'!$C$197+(($B$54)-$A48)*'Cálculos'!$C$98)/(('Cálculos'!$C$197+(($B$54)-$A48)*'Cálculos'!$C$98)+1400)+'Cálculos'!$C$122)*'Cálculos'!$C$232+'Cálculos'!$C$125*(1+2.78*('Cálculos'!$C$197+(($B$54)-$A48)*'Cálculos'!$C$98)/(('Cálculos'!$C$197+(($B$54)-$A48)*'Cálculos'!$C$98)+1400)+'Cálculos'!$C$123)*'Cálculos'!$C$237)+('Cálculos'!$C$228+'Cálculos'!$C$124*(1+2.78*('Cálculos'!$C$197+(($B$54)-$A48)*'Cálculos'!$C$98)/(('Cálculos'!$C$197+(($B$54)-$A48)*'Cálculos'!$C$98)+1400)+'Cálculos'!$C$122)*'Cálculos'!$C$233+'Cálculos'!$C$125*(1+2.78*('Cálculos'!$C$197+(($B$54)-$A48)*'Cálculos'!$C$98)/(('Cálculos'!$C$197+(($B$54)-$A48)*'Cálculos'!$C$98)+1400)+'Cálculos'!$C$123)*'Cálculos'!$C$238)+('Cálculos'!$C$185*(1+'Cálculos'!$C$188+$A48*('Cálculos'!$C$290=1)*'Cálculos'!$C$97+'Cálculos'!$C$305)+'Cálculos'!$C$193)*('Cálculos'!$C$239+'Cálculos'!$C$124*(1+2.78*('Cálculos'!$C$198+(($B$54)-$A48)*'Cálculos'!$C$98)/(('Cálculos'!$C$198+(($B$54)-$A48)*'Cálculos'!$C$98)+1400)+'Cálculos'!$C$122)*'Cálculos'!$C$244+'Cálculos'!$C$125*(1+2.78*('Cálculos'!$C$198+(($B$54)-$A48)*'Cálculos'!$C$98)/(('Cálculos'!$C$198+(($B$54)-$A48)*'Cálculos'!$C$98)+1400)+'Cálculos'!$C$123)*'Cálculos'!$C$249)+('Cálculos'!$C$198+(($B$54)-$A48)*'Cálculos'!$C$98)*('Cálculos'!$C$240+'Cálculos'!$C$124*(1+2.78*('Cálculos'!$C$198+(($B$54)-$A48)*'Cálculos'!$C$98)/(('Cálculos'!$C$198+(($B$54)-$A48)*'Cálculos'!$C$98)+1400)+'Cálculos'!$C$122)*'Cálculos'!$C$245+'Cálculos'!$C$125*(1+2.78*('Cálculos'!$C$198+(($B$54)-$A48)*'Cálculos'!$C$98)/(('Cálculos'!$C$198+(($B$54)-$A48)*'Cálculos'!$C$98)+1400)+'Cálculos'!$C$123)*'Cálculos'!$C$250)+('Cálculos'!$C$201*(1+'Cálculos'!$C$202+$A48*('Cálculos'!$C$290=2)*'Cálculos'!$C$101)+'Cálculos'!$C$203)*('Cálculos'!$C$241+'Cálculos'!$C$124*(1+2.78*('Cálculos'!$C$198+(($B$54)-$A48)*'Cálculos'!$C$98)/(('Cálculos'!$C$198+(($B$54)-$A48)*'Cálculos'!$C$98)+1400)+'Cálculos'!$C$122)*'Cálculos'!$C$246+'Cálculos'!$C$125*(1+2.78*('Cálculos'!$C$198+(($B$54)-$A48)*'Cálculos'!$C$98)/(('Cálculos'!$C$198+(($B$54)-$A48)*'Cálculos'!$C$98)+1400)+'Cálculos'!$C$123)*'Cálculos'!$C$251)+('Cálculos'!$C$204*(1+'Cálculos'!$C$205+$A48*('Cálculos'!$C$290=3)*'Cálculos'!$C$103)+'Cálculos'!$C$206)*('Cálculos'!$C$242+'Cálculos'!$C$124*(1+2.78*('Cálculos'!$C$198+(($B$54)-$A48)*'Cálculos'!$C$98)/(('Cálculos'!$C$198+(($B$54)-$A48)*'Cálculos'!$C$98)+1400)+'Cálculos'!$C$122)*'Cálculos'!$C$247+'Cálculos'!$C$125*(1+2.78*('Cálculos'!$C$198+(($B$54)-$A48)*'Cálculos'!$C$98)/(('Cálculos'!$C$198+(($B$54)-$A48)*'Cálculos'!$C$98)+1400)+'Cálculos'!$C$123)*'Cálculos'!$C$252)+('Cálculos'!$C$243+'Cálculos'!$C$124*(1+2.78*('Cálculos'!$C$198+(($B$54)-$A48)*'Cálculos'!$C$98)/(('Cálculos'!$C$198+(($B$54)-$A48)*'Cálculos'!$C$98)+1400)+'Cálculos'!$C$122)*'Cálculos'!$C$248+'Cálculos'!$C$125*(1+2.78*('Cálculos'!$C$198+(($B$54)-$A48)*'Cálculos'!$C$98)/(('Cálculos'!$C$198+(($B$54)-$A48)*'Cálculos'!$C$98)+1400)+'Cálculos'!$C$123)*'Cálculos'!$C$253)+('Cálculos'!$C$185*(1+'Cálculos'!$C$189+$A48*('Cálculos'!$C$290=1)*'Cálculos'!$C$97+'Cálculos'!$C$305)+'Cálculos'!$C$194)*('Cálculos'!$C$254+'Cálculos'!$C$124*(1+2.78*('Cálculos'!$C$199+(($B$54)-$A48)*'Cálculos'!$C$98)/(('Cálculos'!$C$199+(($B$54)-$A48)*'Cálculos'!$C$98)+1400)+'Cálculos'!$C$122)*'Cálculos'!$C$259+'Cálculos'!$C$125*(1+2.78*('Cálculos'!$C$199+(($B$54)-$A48)*'Cálculos'!$C$98)/(('Cálculos'!$C$199+(($B$54)-$A48)*'Cálculos'!$C$98)+1400)+'Cálculos'!$C$123)*'Cálculos'!$C$264)+('Cálculos'!$C$199+(($B$54)-$A48)*'Cálculos'!$C$98)*('Cálculos'!$C$255+'Cálculos'!$C$124*(1+2.78*('Cálculos'!$C$199+(($B$54)-$A48)*'Cálculos'!$C$98)/(('Cálculos'!$C$199+(($B$54)-$A48)*'Cálculos'!$C$98)+1400)+'Cálculos'!$C$122)*'Cálculos'!$C$260+'Cálculos'!$C$125*(1+2.78*('Cálculos'!$C$199+(($B$54)-$A48)*'Cálculos'!$C$98)/(('Cálculos'!$C$199+(($B$54)-$A48)*'Cálculos'!$C$98)+1400)+'Cálculos'!$C$123)*'Cálculos'!$C$265)+('Cálculos'!$C$201*(1+'Cálculos'!$C$202+$A48*('Cálculos'!$C$290=2)*'Cálculos'!$C$101)+'Cálculos'!$C$203)*('Cálculos'!$C$256+'Cálculos'!$C$124*(1+2.78*('Cálculos'!$C$199+(($B$54)-$A48)*'Cálculos'!$C$98)/(('Cálculos'!$C$199+(($B$54)-$A48)*'Cálculos'!$C$98)+1400)+'Cálculos'!$C$122)*'Cálculos'!$C$261+'Cálculos'!$C$125*(1+2.78*('Cálculos'!$C$199+(($B$54)-$A48)*'Cálculos'!$C$98)/(('Cálculos'!$C$199+(($B$54)-$A48)*'Cálculos'!$C$98)+1400)+'Cálculos'!$C$123)*'Cálculos'!$C$266)+('Cálculos'!$C$204*(1+'Cálculos'!$C$205+$A48*('Cálculos'!$C$290=3)*'Cálculos'!$C$103)+'Cálculos'!$C$206)*('Cálculos'!$C$257+'Cálculos'!$C$124*(1+2.78*('Cálculos'!$C$199+(($B$54)-$A48)*'Cálculos'!$C$98)/(('Cálculos'!$C$199+(($B$54)-$A48)*'Cálculos'!$C$98)+1400)+'Cálculos'!$C$122)*'Cálculos'!$C$262+'Cálculos'!$C$125*(1+2.78*('Cálculos'!$C$199+(($B$54)-$A48)*'Cálculos'!$C$98)/(('Cálculos'!$C$199+(($B$54)-$A48)*'Cálculos'!$C$98)+1400)+'Cálculos'!$C$123)*'Cálculos'!$C$267)+('Cálculos'!$C$258+'Cálculos'!$C$124*(1+2.78*('Cálculos'!$C$199+(($B$54)-$A48)*'Cálculos'!$C$98)/(('Cálculos'!$C$199+(($B$54)-$A48)*'Cálculos'!$C$98)+1400)+'Cálculos'!$C$122)*'Cálculos'!$C$263+'Cálculos'!$C$125*(1+2.78*('Cálculos'!$C$199+(($B$54)-$A48)*'Cálculos'!$C$98)/(('Cálculos'!$C$199+(($B$54)-$A48)*'Cálculos'!$C$98)+1400)+'Cálculos'!$C$123)*'Cálculos'!$C$268)+('Cálculos'!$C$185*(1+'Cálculos'!$C$190+$A48*('Cálculos'!$C$290=1)*'Cálculos'!$C$97+'Cálculos'!$C$305)+'Cálculos'!$C$195)*('Cálculos'!$C$269+'Cálculos'!$C$124*(1+2.78*('Cálculos'!$C$200+(($B$54)-$A48)*'Cálculos'!$C$98)/(('Cálculos'!$C$200+(($B$54)-$A48)*'Cálculos'!$C$98)+1400)+'Cálculos'!$C$122)*'Cálculos'!$C$274+'Cálculos'!$C$125*(1+2.78*('Cálculos'!$C$200+(($B$54)-$A48)*'Cálculos'!$C$98)/(('Cálculos'!$C$200+(($B$54)-$A48)*'Cálculos'!$C$98)+1400)+'Cálculos'!$C$123)*'Cálculos'!$C$279)+('Cálculos'!$C$200+(($B$54)-$A48)*'Cálculos'!$C$98)*('Cálculos'!$C$270+'Cálculos'!$C$124*(1+2.78*('Cálculos'!$C$200+(($B$54)-$A48)*'Cálculos'!$C$98)/(('Cálculos'!$C$200+(($B$54)-$A48)*'Cálculos'!$C$98)+1400)+'Cálculos'!$C$122)*'Cálculos'!$C$275+'Cálculos'!$C$125*(1+2.78*('Cálculos'!$C$200+(($B$54)-$A48)*'Cálculos'!$C$98)/(('Cálculos'!$C$200+(($B$54)-$A48)*'Cálculos'!$C$98)+1400)+'Cálculos'!$C$123)*'Cálculos'!$C$280)+('Cálculos'!$C$201*(1+'Cálculos'!$C$202+$A48*('Cálculos'!$C$290=2)*'Cálculos'!$C$101)+'Cálculos'!$C$203)*('Cálculos'!$C$271+'Cálculos'!$C$124*(1+2.78*('Cálculos'!$C$200+(($B$54)-$A48)*'Cálculos'!$C$98)/(('Cálculos'!$C$200+(($B$54)-$A48)*'Cálculos'!$C$98)+1400)+'Cálculos'!$C$122)*'Cálculos'!$C$276+'Cálculos'!$C$125*(1+2.78*('Cálculos'!$C$200+(($B$54)-$A48)*'Cálculos'!$C$98)/(('Cálculos'!$C$200+(($B$54)-$A48)*'Cálculos'!$C$98)+1400)+'Cálculos'!$C$123)*'Cálculos'!$C$281)+('Cálculos'!$C$204*(1+'Cálculos'!$C$205+$A48*('Cálculos'!$C$290=3)*'Cálculos'!$C$103)+'Cálculos'!$C$206)*('Cálculos'!$C$272+'Cálculos'!$C$124*(1+2.78*('Cálculos'!$C$200+(($B$54)-$A48)*'Cálculos'!$C$98)/(('Cálculos'!$C$200+(($B$54)-$A48)*'Cálculos'!$C$98)+1400)+'Cálculos'!$C$122)*'Cálculos'!$C$277+'Cálculos'!$C$125*(1+2.78*('Cálculos'!$C$200+(($B$54)-$A48)*'Cálculos'!$C$98)/(('Cálculos'!$C$200+(($B$54)-$A48)*'Cálculos'!$C$98)+1400)+'Cálculos'!$C$123)*'Cálculos'!$C$282)+('Cálculos'!$C$273+'Cálculos'!$C$124*(1+2.78*('Cálculos'!$C$200+(($B$54)-$A48)*'Cálculos'!$C$98)/(('Cálculos'!$C$200+(($B$54)-$A48)*'Cálculos'!$C$98)+1400)+'Cálculos'!$C$122)*'Cálculos'!$C$278+'Cálculos'!$C$125*(1+2.78*('Cálculos'!$C$200+(($B$54)-$A48)*'Cálculos'!$C$98)/(('Cálculos'!$C$200+(($B$54)-$A48)*'Cálculos'!$C$98)+1400)+'Cálculos'!$C$123)*'Cálculos'!$C$283)))</f>
        <v>0</v>
      </c>
    </row>
    <row r="49" ht="15.75" customHeight="1">
      <c r="A49" s="2">
        <v>43.0</v>
      </c>
      <c r="B49" s="30">
        <f>SUMPRODUCT(MAX(($A$6:$A$51&lt;=$A49)*($A$6:$A$51&lt;='Cálculos'!$C$294)*(($A49)-$A$6:$A$51&lt;='Cálculos'!$C$295)*(1+(('Cálculos'!$C$207+$A$6:$A$51*'Cálculos'!$C$95)-(('Cálculos'!$C$207+$A$6:$A$51*'Cálculos'!$C$95)&gt;1)*(('Cálculos'!$C$207+$A$6:$A$51*'Cálculos'!$C$95)-1))*('Cálculos'!$C$208+(($A49)-$A$6:$A$51)*'Cálculos'!$C$96))))</f>
        <v>4.44</v>
      </c>
      <c r="C49" s="2">
        <f>'Cálculos'!$C$303-$A49</f>
        <v>-23</v>
      </c>
      <c r="D49" s="31">
        <f>IF($C49&lt;0,0,SUMPRODUCT(MAX(($A$6:$A$51&lt;=$C49)*($A$6:$A$51&lt;='Cálculos'!$C$301)*(($C49)-$A$6:$A$51&lt;='Cálculos'!$C$297)*(('Cálculos'!$C$185*(1+'Cálculos'!$C$186+$A$6:$A$51*('Cálculos'!$C$290=1)*'Cálculos'!$C$97+'Cálculos'!$C$305)+'Cálculos'!$C$191)*('Cálculos'!$C$209+'Cálculos'!$C$124*(1+2.78*('Cálculos'!$C$196+(($C49)-$A$6:$A$51)*'Cálculos'!$C$98)/(('Cálculos'!$C$196+(($C49)-$A$6:$A$51)*'Cálculos'!$C$98)+1400)+'Cálculos'!$C$122)*'Cálculos'!$C$214+'Cálculos'!$C$125*(1+2.78*('Cálculos'!$C$196+(($C49)-$A$6:$A$51)*'Cálculos'!$C$98)/(('Cálculos'!$C$196+(($C49)-$A$6:$A$51)*'Cálculos'!$C$98)+1400)+'Cálculos'!$C$123)*'Cálculos'!$C$219)+('Cálculos'!$C$196+(($C49)-$A$6:$A$51)*'Cálculos'!$C$98)*('Cálculos'!$C$210+'Cálculos'!$C$124*(1+2.78*('Cálculos'!$C$196+(($C49)-$A$6:$A$51)*'Cálculos'!$C$98)/(('Cálculos'!$C$196+(($C49)-$A$6:$A$51)*'Cálculos'!$C$98)+1400)+'Cálculos'!$C$122)*'Cálculos'!$C$215+'Cálculos'!$C$125*(1+2.78*('Cálculos'!$C$196+(($C49)-$A$6:$A$51)*'Cálculos'!$C$98)/(('Cálculos'!$C$196+(($C49)-$A$6:$A$51)*'Cálculos'!$C$98)+1400)+'Cálculos'!$C$123)*'Cálculos'!$C$220)+('Cálculos'!$C$201*(1+'Cálculos'!$C$202+$A$6:$A$51*('Cálculos'!$C$290=2)*'Cálculos'!$C$101)+'Cálculos'!$C$203)*('Cálculos'!$C$211+'Cálculos'!$C$124*(1+2.78*('Cálculos'!$C$196+(($C49)-$A$6:$A$51)*'Cálculos'!$C$98)/(('Cálculos'!$C$196+(($C49)-$A$6:$A$51)*'Cálculos'!$C$98)+1400)+'Cálculos'!$C$122)*'Cálculos'!$C$216+'Cálculos'!$C$125*(1+2.78*('Cálculos'!$C$196+(($C49)-$A$6:$A$51)*'Cálculos'!$C$98)/(('Cálculos'!$C$196+(($C49)-$A$6:$A$51)*'Cálculos'!$C$98)+1400)+'Cálculos'!$C$123)*'Cálculos'!$C$221)+('Cálculos'!$C$204*(1+'Cálculos'!$C$205+$A$6:$A$51*('Cálculos'!$C$290=3)*'Cálculos'!$C$103)+'Cálculos'!$C$206)*('Cálculos'!$C$212+'Cálculos'!$C$124*(1+2.78*('Cálculos'!$C$196+(($C49)-$A$6:$A$51)*'Cálculos'!$C$98)/(('Cálculos'!$C$196+(($C49)-$A$6:$A$51)*'Cálculos'!$C$98)+1400)+'Cálculos'!$C$122)*'Cálculos'!$C$217+'Cálculos'!$C$125*(1+2.78*('Cálculos'!$C$196+(($C49)-$A$6:$A$51)*'Cálculos'!$C$98)/(('Cálculos'!$C$196+(($C49)-$A$6:$A$51)*'Cálculos'!$C$98)+1400)+'Cálculos'!$C$123)*'Cálculos'!$C$222)+('Cálculos'!$C$213+'Cálculos'!$C$124*(1+2.78*('Cálculos'!$C$196+(($C49)-$A$6:$A$51)*'Cálculos'!$C$98)/(('Cálculos'!$C$196+(($C49)-$A$6:$A$51)*'Cálculos'!$C$98)+1400)+'Cálculos'!$C$122)*'Cálculos'!$C$218+'Cálculos'!$C$125*(1+2.78*('Cálculos'!$C$196+(($C49)-$A$6:$A$51)*'Cálculos'!$C$98)/(('Cálculos'!$C$196+(($C49)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49)-$A$6:$A$51)*'Cálculos'!$C$98)/(('Cálculos'!$C$197+(($C49)-$A$6:$A$51)*'Cálculos'!$C$98)+1400)+'Cálculos'!$C$122)*'Cálculos'!$C$229+'Cálculos'!$C$125*(1+2.78*('Cálculos'!$C$197+(($C49)-$A$6:$A$51)*'Cálculos'!$C$98)/(('Cálculos'!$C$197+(($C49)-$A$6:$A$51)*'Cálculos'!$C$98)+1400)+'Cálculos'!$C$123)*'Cálculos'!$C$234)+('Cálculos'!$C$197+(($C49)-$A$6:$A$51)*'Cálculos'!$C$98)*('Cálculos'!$C$225+'Cálculos'!$C$124*(1+2.78*('Cálculos'!$C$197+(($C49)-$A$6:$A$51)*'Cálculos'!$C$98)/(('Cálculos'!$C$197+(($C49)-$A$6:$A$51)*'Cálculos'!$C$98)+1400)+'Cálculos'!$C$122)*'Cálculos'!$C$230+'Cálculos'!$C$125*(1+2.78*('Cálculos'!$C$197+(($C49)-$A$6:$A$51)*'Cálculos'!$C$98)/(('Cálculos'!$C$197+(($C49)-$A$6:$A$51)*'Cálculos'!$C$98)+1400)+'Cálculos'!$C$123)*'Cálculos'!$C$235)+('Cálculos'!$C$201*(1+'Cálculos'!$C$202+$A$6:$A$51*('Cálculos'!$C$290=2)*'Cálculos'!$C$101)+'Cálculos'!$C$203)*('Cálculos'!$C$226+'Cálculos'!$C$124*(1+2.78*('Cálculos'!$C$197+(($C49)-$A$6:$A$51)*'Cálculos'!$C$98)/(('Cálculos'!$C$197+(($C49)-$A$6:$A$51)*'Cálculos'!$C$98)+1400)+'Cálculos'!$C$122)*'Cálculos'!$C$231+'Cálculos'!$C$125*(1+2.78*('Cálculos'!$C$197+(($C49)-$A$6:$A$51)*'Cálculos'!$C$98)/(('Cálculos'!$C$197+(($C49)-$A$6:$A$51)*'Cálculos'!$C$98)+1400)+'Cálculos'!$C$123)*'Cálculos'!$C$236)+('Cálculos'!$C$204*(1+'Cálculos'!$C$205+$A$6:$A$51*('Cálculos'!$C$290=3)*'Cálculos'!$C$103)+'Cálculos'!$C$206)*('Cálculos'!$C$227+'Cálculos'!$C$124*(1+2.78*('Cálculos'!$C$197+(($C49)-$A$6:$A$51)*'Cálculos'!$C$98)/(('Cálculos'!$C$197+(($C49)-$A$6:$A$51)*'Cálculos'!$C$98)+1400)+'Cálculos'!$C$122)*'Cálculos'!$C$232+'Cálculos'!$C$125*(1+2.78*('Cálculos'!$C$197+(($C49)-$A$6:$A$51)*'Cálculos'!$C$98)/(('Cálculos'!$C$197+(($C49)-$A$6:$A$51)*'Cálculos'!$C$98)+1400)+'Cálculos'!$C$123)*'Cálculos'!$C$237)+('Cálculos'!$C$228+'Cálculos'!$C$124*(1+2.78*('Cálculos'!$C$197+(($C49)-$A$6:$A$51)*'Cálculos'!$C$98)/(('Cálculos'!$C$197+(($C49)-$A$6:$A$51)*'Cálculos'!$C$98)+1400)+'Cálculos'!$C$122)*'Cálculos'!$C$233+'Cálculos'!$C$125*(1+2.78*('Cálculos'!$C$197+(($C49)-$A$6:$A$51)*'Cálculos'!$C$98)/(('Cálculos'!$C$197+(($C49)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49)-$A$6:$A$51)*'Cálculos'!$C$98)/(('Cálculos'!$C$198+(($C49)-$A$6:$A$51)*'Cálculos'!$C$98)+1400)+'Cálculos'!$C$122)*'Cálculos'!$C$244+'Cálculos'!$C$125*(1+2.78*('Cálculos'!$C$198+(($C49)-$A$6:$A$51)*'Cálculos'!$C$98)/(('Cálculos'!$C$198+(($C49)-$A$6:$A$51)*'Cálculos'!$C$98)+1400)+'Cálculos'!$C$123)*'Cálculos'!$C$249)+('Cálculos'!$C$198+(($C49)-$A$6:$A$51)*'Cálculos'!$C$98)*('Cálculos'!$C$240+'Cálculos'!$C$124*(1+2.78*('Cálculos'!$C$198+(($C49)-$A$6:$A$51)*'Cálculos'!$C$98)/(('Cálculos'!$C$198+(($C49)-$A$6:$A$51)*'Cálculos'!$C$98)+1400)+'Cálculos'!$C$122)*'Cálculos'!$C$245+'Cálculos'!$C$125*(1+2.78*('Cálculos'!$C$198+(($C49)-$A$6:$A$51)*'Cálculos'!$C$98)/(('Cálculos'!$C$198+(($C49)-$A$6:$A$51)*'Cálculos'!$C$98)+1400)+'Cálculos'!$C$123)*'Cálculos'!$C$250)+('Cálculos'!$C$201*(1+'Cálculos'!$C$202+$A$6:$A$51*('Cálculos'!$C$290=2)*'Cálculos'!$C$101)+'Cálculos'!$C$203)*('Cálculos'!$C$241+'Cálculos'!$C$124*(1+2.78*('Cálculos'!$C$198+(($C49)-$A$6:$A$51)*'Cálculos'!$C$98)/(('Cálculos'!$C$198+(($C49)-$A$6:$A$51)*'Cálculos'!$C$98)+1400)+'Cálculos'!$C$122)*'Cálculos'!$C$246+'Cálculos'!$C$125*(1+2.78*('Cálculos'!$C$198+(($C49)-$A$6:$A$51)*'Cálculos'!$C$98)/(('Cálculos'!$C$198+(($C49)-$A$6:$A$51)*'Cálculos'!$C$98)+1400)+'Cálculos'!$C$123)*'Cálculos'!$C$251)+('Cálculos'!$C$204*(1+'Cálculos'!$C$205+$A$6:$A$51*('Cálculos'!$C$290=3)*'Cálculos'!$C$103)+'Cálculos'!$C$206)*('Cálculos'!$C$242+'Cálculos'!$C$124*(1+2.78*('Cálculos'!$C$198+(($C49)-$A$6:$A$51)*'Cálculos'!$C$98)/(('Cálculos'!$C$198+(($C49)-$A$6:$A$51)*'Cálculos'!$C$98)+1400)+'Cálculos'!$C$122)*'Cálculos'!$C$247+'Cálculos'!$C$125*(1+2.78*('Cálculos'!$C$198+(($C49)-$A$6:$A$51)*'Cálculos'!$C$98)/(('Cálculos'!$C$198+(($C49)-$A$6:$A$51)*'Cálculos'!$C$98)+1400)+'Cálculos'!$C$123)*'Cálculos'!$C$252)+('Cálculos'!$C$243+'Cálculos'!$C$124*(1+2.78*('Cálculos'!$C$198+(($C49)-$A$6:$A$51)*'Cálculos'!$C$98)/(('Cálculos'!$C$198+(($C49)-$A$6:$A$51)*'Cálculos'!$C$98)+1400)+'Cálculos'!$C$122)*'Cálculos'!$C$248+'Cálculos'!$C$125*(1+2.78*('Cálculos'!$C$198+(($C49)-$A$6:$A$51)*'Cálculos'!$C$98)/(('Cálculos'!$C$198+(($C49)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49)-$A$6:$A$51)*'Cálculos'!$C$98)/(('Cálculos'!$C$199+(($C49)-$A$6:$A$51)*'Cálculos'!$C$98)+1400)+'Cálculos'!$C$122)*'Cálculos'!$C$259+'Cálculos'!$C$125*(1+2.78*('Cálculos'!$C$199+(($C49)-$A$6:$A$51)*'Cálculos'!$C$98)/(('Cálculos'!$C$199+(($C49)-$A$6:$A$51)*'Cálculos'!$C$98)+1400)+'Cálculos'!$C$123)*'Cálculos'!$C$264)+('Cálculos'!$C$199+(($C49)-$A$6:$A$51)*'Cálculos'!$C$98)*('Cálculos'!$C$255+'Cálculos'!$C$124*(1+2.78*('Cálculos'!$C$199+(($C49)-$A$6:$A$51)*'Cálculos'!$C$98)/(('Cálculos'!$C$199+(($C49)-$A$6:$A$51)*'Cálculos'!$C$98)+1400)+'Cálculos'!$C$122)*'Cálculos'!$C$260+'Cálculos'!$C$125*(1+2.78*('Cálculos'!$C$199+(($C49)-$A$6:$A$51)*'Cálculos'!$C$98)/(('Cálculos'!$C$199+(($C49)-$A$6:$A$51)*'Cálculos'!$C$98)+1400)+'Cálculos'!$C$123)*'Cálculos'!$C$265)+('Cálculos'!$C$201*(1+'Cálculos'!$C$202+$A$6:$A$51*('Cálculos'!$C$290=2)*'Cálculos'!$C$101)+'Cálculos'!$C$203)*('Cálculos'!$C$256+'Cálculos'!$C$124*(1+2.78*('Cálculos'!$C$199+(($C49)-$A$6:$A$51)*'Cálculos'!$C$98)/(('Cálculos'!$C$199+(($C49)-$A$6:$A$51)*'Cálculos'!$C$98)+1400)+'Cálculos'!$C$122)*'Cálculos'!$C$261+'Cálculos'!$C$125*(1+2.78*('Cálculos'!$C$199+(($C49)-$A$6:$A$51)*'Cálculos'!$C$98)/(('Cálculos'!$C$199+(($C49)-$A$6:$A$51)*'Cálculos'!$C$98)+1400)+'Cálculos'!$C$123)*'Cálculos'!$C$266)+('Cálculos'!$C$204*(1+'Cálculos'!$C$205+$A$6:$A$51*('Cálculos'!$C$290=3)*'Cálculos'!$C$103)+'Cálculos'!$C$206)*('Cálculos'!$C$257+'Cálculos'!$C$124*(1+2.78*('Cálculos'!$C$199+(($C49)-$A$6:$A$51)*'Cálculos'!$C$98)/(('Cálculos'!$C$199+(($C49)-$A$6:$A$51)*'Cálculos'!$C$98)+1400)+'Cálculos'!$C$122)*'Cálculos'!$C$262+'Cálculos'!$C$125*(1+2.78*('Cálculos'!$C$199+(($C49)-$A$6:$A$51)*'Cálculos'!$C$98)/(('Cálculos'!$C$199+(($C49)-$A$6:$A$51)*'Cálculos'!$C$98)+1400)+'Cálculos'!$C$123)*'Cálculos'!$C$267)+('Cálculos'!$C$258+'Cálculos'!$C$124*(1+2.78*('Cálculos'!$C$199+(($C49)-$A$6:$A$51)*'Cálculos'!$C$98)/(('Cálculos'!$C$199+(($C49)-$A$6:$A$51)*'Cálculos'!$C$98)+1400)+'Cálculos'!$C$122)*'Cálculos'!$C$263+'Cálculos'!$C$125*(1+2.78*('Cálculos'!$C$199+(($C49)-$A$6:$A$51)*'Cálculos'!$C$98)/(('Cálculos'!$C$199+(($C49)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49)-$A$6:$A$51)*'Cálculos'!$C$98)/(('Cálculos'!$C$200+(($C49)-$A$6:$A$51)*'Cálculos'!$C$98)+1400)+'Cálculos'!$C$122)*'Cálculos'!$C$274+'Cálculos'!$C$125*(1+2.78*('Cálculos'!$C$200+(($C49)-$A$6:$A$51)*'Cálculos'!$C$98)/(('Cálculos'!$C$200+(($C49)-$A$6:$A$51)*'Cálculos'!$C$98)+1400)+'Cálculos'!$C$123)*'Cálculos'!$C$279)+('Cálculos'!$C$200+(($C49)-$A$6:$A$51)*'Cálculos'!$C$98)*('Cálculos'!$C$270+'Cálculos'!$C$124*(1+2.78*('Cálculos'!$C$200+(($C49)-$A$6:$A$51)*'Cálculos'!$C$98)/(('Cálculos'!$C$200+(($C49)-$A$6:$A$51)*'Cálculos'!$C$98)+1400)+'Cálculos'!$C$122)*'Cálculos'!$C$275+'Cálculos'!$C$125*(1+2.78*('Cálculos'!$C$200+(($C49)-$A$6:$A$51)*'Cálculos'!$C$98)/(('Cálculos'!$C$200+(($C49)-$A$6:$A$51)*'Cálculos'!$C$98)+1400)+'Cálculos'!$C$123)*'Cálculos'!$C$280)+('Cálculos'!$C$201*(1+'Cálculos'!$C$202+$A$6:$A$51*('Cálculos'!$C$290=2)*'Cálculos'!$C$101)+'Cálculos'!$C$203)*('Cálculos'!$C$271+'Cálculos'!$C$124*(1+2.78*('Cálculos'!$C$200+(($C49)-$A$6:$A$51)*'Cálculos'!$C$98)/(('Cálculos'!$C$200+(($C49)-$A$6:$A$51)*'Cálculos'!$C$98)+1400)+'Cálculos'!$C$122)*'Cálculos'!$C$276+'Cálculos'!$C$125*(1+2.78*('Cálculos'!$C$200+(($C49)-$A$6:$A$51)*'Cálculos'!$C$98)/(('Cálculos'!$C$200+(($C49)-$A$6:$A$51)*'Cálculos'!$C$98)+1400)+'Cálculos'!$C$123)*'Cálculos'!$C$281)+('Cálculos'!$C$204*(1+'Cálculos'!$C$205+$A$6:$A$51*('Cálculos'!$C$290=3)*'Cálculos'!$C$103)+'Cálculos'!$C$206)*('Cálculos'!$C$272+'Cálculos'!$C$124*(1+2.78*('Cálculos'!$C$200+(($C49)-$A$6:$A$51)*'Cálculos'!$C$98)/(('Cálculos'!$C$200+(($C49)-$A$6:$A$51)*'Cálculos'!$C$98)+1400)+'Cálculos'!$C$122)*'Cálculos'!$C$277+'Cálculos'!$C$125*(1+2.78*('Cálculos'!$C$200+(($C49)-$A$6:$A$51)*'Cálculos'!$C$98)/(('Cálculos'!$C$200+(($C49)-$A$6:$A$51)*'Cálculos'!$C$98)+1400)+'Cálculos'!$C$123)*'Cálculos'!$C$282)+('Cálculos'!$C$273+'Cálculos'!$C$124*(1+2.78*('Cálculos'!$C$200+(($C49)-$A$6:$A$51)*'Cálculos'!$C$98)/(('Cálculos'!$C$200+(($C49)-$A$6:$A$51)*'Cálculos'!$C$98)+1400)+'Cálculos'!$C$122)*'Cálculos'!$C$278+'Cálculos'!$C$125*(1+2.78*('Cálculos'!$C$200+(($C49)-$A$6:$A$51)*'Cálculos'!$C$98)/(('Cálculos'!$C$200+(($C49)-$A$6:$A$51)*'Cálculos'!$C$98)+1400)+'Cálculos'!$C$123)*'Cálculos'!$C$283)))))</f>
        <v>0</v>
      </c>
      <c r="E49" s="32">
        <f>IF(OR($C49&lt;0,'Cálculos'!$C$6=""),0,$B49*$D49)</f>
        <v>0</v>
      </c>
      <c r="F49" s="2"/>
      <c r="G49" s="30">
        <f>($A49&lt;=$B$53)*($A49&lt;='Cálculos'!$C$294)*(($B$53)-$A49&lt;='Cálculos'!$C$295)*(1+MIN(('Cálculos'!$C$207+$A49*'Cálculos'!$C$95),1)*('Cálculos'!$C$208+(($B$53)-$A49)*'Cálculos'!$C$96))</f>
        <v>0</v>
      </c>
      <c r="H49" s="31">
        <f>IF($B$54&lt;0,0,($A49&lt;=$B$54)*($A49&lt;='Cálculos'!$C$301)*(($B$54)-$A49&lt;='Cálculos'!$C$297)*(('Cálculos'!$C$185*(1+'Cálculos'!$C$186+$A49*('Cálculos'!$C$290=1)*'Cálculos'!$C$97+'Cálculos'!$C$305)+'Cálculos'!$C$191)*('Cálculos'!$C$209+'Cálculos'!$C$124*(1+2.78*('Cálculos'!$C$196+(($B$54)-$A49)*'Cálculos'!$C$98)/(('Cálculos'!$C$196+(($B$54)-$A49)*'Cálculos'!$C$98)+1400)+'Cálculos'!$C$122)*'Cálculos'!$C$214+'Cálculos'!$C$125*(1+2.78*('Cálculos'!$C$196+(($B$54)-$A49)*'Cálculos'!$C$98)/(('Cálculos'!$C$196+(($B$54)-$A49)*'Cálculos'!$C$98)+1400)+'Cálculos'!$C$123)*'Cálculos'!$C$219)+('Cálculos'!$C$196+(($B$54)-$A49)*'Cálculos'!$C$98)*('Cálculos'!$C$210+'Cálculos'!$C$124*(1+2.78*('Cálculos'!$C$196+(($B$54)-$A49)*'Cálculos'!$C$98)/(('Cálculos'!$C$196+(($B$54)-$A49)*'Cálculos'!$C$98)+1400)+'Cálculos'!$C$122)*'Cálculos'!$C$215+'Cálculos'!$C$125*(1+2.78*('Cálculos'!$C$196+(($B$54)-$A49)*'Cálculos'!$C$98)/(('Cálculos'!$C$196+(($B$54)-$A49)*'Cálculos'!$C$98)+1400)+'Cálculos'!$C$123)*'Cálculos'!$C$220)+('Cálculos'!$C$201*(1+'Cálculos'!$C$202+$A49*('Cálculos'!$C$290=2)*'Cálculos'!$C$101)+'Cálculos'!$C$203)*('Cálculos'!$C$211+'Cálculos'!$C$124*(1+2.78*('Cálculos'!$C$196+(($B$54)-$A49)*'Cálculos'!$C$98)/(('Cálculos'!$C$196+(($B$54)-$A49)*'Cálculos'!$C$98)+1400)+'Cálculos'!$C$122)*'Cálculos'!$C$216+'Cálculos'!$C$125*(1+2.78*('Cálculos'!$C$196+(($B$54)-$A49)*'Cálculos'!$C$98)/(('Cálculos'!$C$196+(($B$54)-$A49)*'Cálculos'!$C$98)+1400)+'Cálculos'!$C$123)*'Cálculos'!$C$221)+('Cálculos'!$C$204*(1+'Cálculos'!$C$205+$A49*('Cálculos'!$C$290=3)*'Cálculos'!$C$103)+'Cálculos'!$C$206)*('Cálculos'!$C$212+'Cálculos'!$C$124*(1+2.78*('Cálculos'!$C$196+(($B$54)-$A49)*'Cálculos'!$C$98)/(('Cálculos'!$C$196+(($B$54)-$A49)*'Cálculos'!$C$98)+1400)+'Cálculos'!$C$122)*'Cálculos'!$C$217+'Cálculos'!$C$125*(1+2.78*('Cálculos'!$C$196+(($B$54)-$A49)*'Cálculos'!$C$98)/(('Cálculos'!$C$196+(($B$54)-$A49)*'Cálculos'!$C$98)+1400)+'Cálculos'!$C$123)*'Cálculos'!$C$222)+('Cálculos'!$C$213+'Cálculos'!$C$124*(1+2.78*('Cálculos'!$C$196+(($B$54)-$A49)*'Cálculos'!$C$98)/(('Cálculos'!$C$196+(($B$54)-$A49)*'Cálculos'!$C$98)+1400)+'Cálculos'!$C$122)*'Cálculos'!$C$218+'Cálculos'!$C$125*(1+2.78*('Cálculos'!$C$196+(($B$54)-$A49)*'Cálculos'!$C$98)/(('Cálculos'!$C$196+(($B$54)-$A49)*'Cálculos'!$C$98)+1400)+'Cálculos'!$C$123)*'Cálculos'!$C$223)+('Cálculos'!$C$185*(1+'Cálculos'!$C$187+$A49*('Cálculos'!$C$290=1)*'Cálculos'!$C$97+'Cálculos'!$C$305)+'Cálculos'!$C$192)*('Cálculos'!$C$224+'Cálculos'!$C$124*(1+2.78*('Cálculos'!$C$197+(($B$54)-$A49)*'Cálculos'!$C$98)/(('Cálculos'!$C$197+(($B$54)-$A49)*'Cálculos'!$C$98)+1400)+'Cálculos'!$C$122)*'Cálculos'!$C$229+'Cálculos'!$C$125*(1+2.78*('Cálculos'!$C$197+(($B$54)-$A49)*'Cálculos'!$C$98)/(('Cálculos'!$C$197+(($B$54)-$A49)*'Cálculos'!$C$98)+1400)+'Cálculos'!$C$123)*'Cálculos'!$C$234)+('Cálculos'!$C$197+(($B$54)-$A49)*'Cálculos'!$C$98)*('Cálculos'!$C$225+'Cálculos'!$C$124*(1+2.78*('Cálculos'!$C$197+(($B$54)-$A49)*'Cálculos'!$C$98)/(('Cálculos'!$C$197+(($B$54)-$A49)*'Cálculos'!$C$98)+1400)+'Cálculos'!$C$122)*'Cálculos'!$C$230+'Cálculos'!$C$125*(1+2.78*('Cálculos'!$C$197+(($B$54)-$A49)*'Cálculos'!$C$98)/(('Cálculos'!$C$197+(($B$54)-$A49)*'Cálculos'!$C$98)+1400)+'Cálculos'!$C$123)*'Cálculos'!$C$235)+('Cálculos'!$C$201*(1+'Cálculos'!$C$202+$A49*('Cálculos'!$C$290=2)*'Cálculos'!$C$101)+'Cálculos'!$C$203)*('Cálculos'!$C$226+'Cálculos'!$C$124*(1+2.78*('Cálculos'!$C$197+(($B$54)-$A49)*'Cálculos'!$C$98)/(('Cálculos'!$C$197+(($B$54)-$A49)*'Cálculos'!$C$98)+1400)+'Cálculos'!$C$122)*'Cálculos'!$C$231+'Cálculos'!$C$125*(1+2.78*('Cálculos'!$C$197+(($B$54)-$A49)*'Cálculos'!$C$98)/(('Cálculos'!$C$197+(($B$54)-$A49)*'Cálculos'!$C$98)+1400)+'Cálculos'!$C$123)*'Cálculos'!$C$236)+('Cálculos'!$C$204*(1+'Cálculos'!$C$205+$A49*('Cálculos'!$C$290=3)*'Cálculos'!$C$103)+'Cálculos'!$C$206)*('Cálculos'!$C$227+'Cálculos'!$C$124*(1+2.78*('Cálculos'!$C$197+(($B$54)-$A49)*'Cálculos'!$C$98)/(('Cálculos'!$C$197+(($B$54)-$A49)*'Cálculos'!$C$98)+1400)+'Cálculos'!$C$122)*'Cálculos'!$C$232+'Cálculos'!$C$125*(1+2.78*('Cálculos'!$C$197+(($B$54)-$A49)*'Cálculos'!$C$98)/(('Cálculos'!$C$197+(($B$54)-$A49)*'Cálculos'!$C$98)+1400)+'Cálculos'!$C$123)*'Cálculos'!$C$237)+('Cálculos'!$C$228+'Cálculos'!$C$124*(1+2.78*('Cálculos'!$C$197+(($B$54)-$A49)*'Cálculos'!$C$98)/(('Cálculos'!$C$197+(($B$54)-$A49)*'Cálculos'!$C$98)+1400)+'Cálculos'!$C$122)*'Cálculos'!$C$233+'Cálculos'!$C$125*(1+2.78*('Cálculos'!$C$197+(($B$54)-$A49)*'Cálculos'!$C$98)/(('Cálculos'!$C$197+(($B$54)-$A49)*'Cálculos'!$C$98)+1400)+'Cálculos'!$C$123)*'Cálculos'!$C$238)+('Cálculos'!$C$185*(1+'Cálculos'!$C$188+$A49*('Cálculos'!$C$290=1)*'Cálculos'!$C$97+'Cálculos'!$C$305)+'Cálculos'!$C$193)*('Cálculos'!$C$239+'Cálculos'!$C$124*(1+2.78*('Cálculos'!$C$198+(($B$54)-$A49)*'Cálculos'!$C$98)/(('Cálculos'!$C$198+(($B$54)-$A49)*'Cálculos'!$C$98)+1400)+'Cálculos'!$C$122)*'Cálculos'!$C$244+'Cálculos'!$C$125*(1+2.78*('Cálculos'!$C$198+(($B$54)-$A49)*'Cálculos'!$C$98)/(('Cálculos'!$C$198+(($B$54)-$A49)*'Cálculos'!$C$98)+1400)+'Cálculos'!$C$123)*'Cálculos'!$C$249)+('Cálculos'!$C$198+(($B$54)-$A49)*'Cálculos'!$C$98)*('Cálculos'!$C$240+'Cálculos'!$C$124*(1+2.78*('Cálculos'!$C$198+(($B$54)-$A49)*'Cálculos'!$C$98)/(('Cálculos'!$C$198+(($B$54)-$A49)*'Cálculos'!$C$98)+1400)+'Cálculos'!$C$122)*'Cálculos'!$C$245+'Cálculos'!$C$125*(1+2.78*('Cálculos'!$C$198+(($B$54)-$A49)*'Cálculos'!$C$98)/(('Cálculos'!$C$198+(($B$54)-$A49)*'Cálculos'!$C$98)+1400)+'Cálculos'!$C$123)*'Cálculos'!$C$250)+('Cálculos'!$C$201*(1+'Cálculos'!$C$202+$A49*('Cálculos'!$C$290=2)*'Cálculos'!$C$101)+'Cálculos'!$C$203)*('Cálculos'!$C$241+'Cálculos'!$C$124*(1+2.78*('Cálculos'!$C$198+(($B$54)-$A49)*'Cálculos'!$C$98)/(('Cálculos'!$C$198+(($B$54)-$A49)*'Cálculos'!$C$98)+1400)+'Cálculos'!$C$122)*'Cálculos'!$C$246+'Cálculos'!$C$125*(1+2.78*('Cálculos'!$C$198+(($B$54)-$A49)*'Cálculos'!$C$98)/(('Cálculos'!$C$198+(($B$54)-$A49)*'Cálculos'!$C$98)+1400)+'Cálculos'!$C$123)*'Cálculos'!$C$251)+('Cálculos'!$C$204*(1+'Cálculos'!$C$205+$A49*('Cálculos'!$C$290=3)*'Cálculos'!$C$103)+'Cálculos'!$C$206)*('Cálculos'!$C$242+'Cálculos'!$C$124*(1+2.78*('Cálculos'!$C$198+(($B$54)-$A49)*'Cálculos'!$C$98)/(('Cálculos'!$C$198+(($B$54)-$A49)*'Cálculos'!$C$98)+1400)+'Cálculos'!$C$122)*'Cálculos'!$C$247+'Cálculos'!$C$125*(1+2.78*('Cálculos'!$C$198+(($B$54)-$A49)*'Cálculos'!$C$98)/(('Cálculos'!$C$198+(($B$54)-$A49)*'Cálculos'!$C$98)+1400)+'Cálculos'!$C$123)*'Cálculos'!$C$252)+('Cálculos'!$C$243+'Cálculos'!$C$124*(1+2.78*('Cálculos'!$C$198+(($B$54)-$A49)*'Cálculos'!$C$98)/(('Cálculos'!$C$198+(($B$54)-$A49)*'Cálculos'!$C$98)+1400)+'Cálculos'!$C$122)*'Cálculos'!$C$248+'Cálculos'!$C$125*(1+2.78*('Cálculos'!$C$198+(($B$54)-$A49)*'Cálculos'!$C$98)/(('Cálculos'!$C$198+(($B$54)-$A49)*'Cálculos'!$C$98)+1400)+'Cálculos'!$C$123)*'Cálculos'!$C$253)+('Cálculos'!$C$185*(1+'Cálculos'!$C$189+$A49*('Cálculos'!$C$290=1)*'Cálculos'!$C$97+'Cálculos'!$C$305)+'Cálculos'!$C$194)*('Cálculos'!$C$254+'Cálculos'!$C$124*(1+2.78*('Cálculos'!$C$199+(($B$54)-$A49)*'Cálculos'!$C$98)/(('Cálculos'!$C$199+(($B$54)-$A49)*'Cálculos'!$C$98)+1400)+'Cálculos'!$C$122)*'Cálculos'!$C$259+'Cálculos'!$C$125*(1+2.78*('Cálculos'!$C$199+(($B$54)-$A49)*'Cálculos'!$C$98)/(('Cálculos'!$C$199+(($B$54)-$A49)*'Cálculos'!$C$98)+1400)+'Cálculos'!$C$123)*'Cálculos'!$C$264)+('Cálculos'!$C$199+(($B$54)-$A49)*'Cálculos'!$C$98)*('Cálculos'!$C$255+'Cálculos'!$C$124*(1+2.78*('Cálculos'!$C$199+(($B$54)-$A49)*'Cálculos'!$C$98)/(('Cálculos'!$C$199+(($B$54)-$A49)*'Cálculos'!$C$98)+1400)+'Cálculos'!$C$122)*'Cálculos'!$C$260+'Cálculos'!$C$125*(1+2.78*('Cálculos'!$C$199+(($B$54)-$A49)*'Cálculos'!$C$98)/(('Cálculos'!$C$199+(($B$54)-$A49)*'Cálculos'!$C$98)+1400)+'Cálculos'!$C$123)*'Cálculos'!$C$265)+('Cálculos'!$C$201*(1+'Cálculos'!$C$202+$A49*('Cálculos'!$C$290=2)*'Cálculos'!$C$101)+'Cálculos'!$C$203)*('Cálculos'!$C$256+'Cálculos'!$C$124*(1+2.78*('Cálculos'!$C$199+(($B$54)-$A49)*'Cálculos'!$C$98)/(('Cálculos'!$C$199+(($B$54)-$A49)*'Cálculos'!$C$98)+1400)+'Cálculos'!$C$122)*'Cálculos'!$C$261+'Cálculos'!$C$125*(1+2.78*('Cálculos'!$C$199+(($B$54)-$A49)*'Cálculos'!$C$98)/(('Cálculos'!$C$199+(($B$54)-$A49)*'Cálculos'!$C$98)+1400)+'Cálculos'!$C$123)*'Cálculos'!$C$266)+('Cálculos'!$C$204*(1+'Cálculos'!$C$205+$A49*('Cálculos'!$C$290=3)*'Cálculos'!$C$103)+'Cálculos'!$C$206)*('Cálculos'!$C$257+'Cálculos'!$C$124*(1+2.78*('Cálculos'!$C$199+(($B$54)-$A49)*'Cálculos'!$C$98)/(('Cálculos'!$C$199+(($B$54)-$A49)*'Cálculos'!$C$98)+1400)+'Cálculos'!$C$122)*'Cálculos'!$C$262+'Cálculos'!$C$125*(1+2.78*('Cálculos'!$C$199+(($B$54)-$A49)*'Cálculos'!$C$98)/(('Cálculos'!$C$199+(($B$54)-$A49)*'Cálculos'!$C$98)+1400)+'Cálculos'!$C$123)*'Cálculos'!$C$267)+('Cálculos'!$C$258+'Cálculos'!$C$124*(1+2.78*('Cálculos'!$C$199+(($B$54)-$A49)*'Cálculos'!$C$98)/(('Cálculos'!$C$199+(($B$54)-$A49)*'Cálculos'!$C$98)+1400)+'Cálculos'!$C$122)*'Cálculos'!$C$263+'Cálculos'!$C$125*(1+2.78*('Cálculos'!$C$199+(($B$54)-$A49)*'Cálculos'!$C$98)/(('Cálculos'!$C$199+(($B$54)-$A49)*'Cálculos'!$C$98)+1400)+'Cálculos'!$C$123)*'Cálculos'!$C$268)+('Cálculos'!$C$185*(1+'Cálculos'!$C$190+$A49*('Cálculos'!$C$290=1)*'Cálculos'!$C$97+'Cálculos'!$C$305)+'Cálculos'!$C$195)*('Cálculos'!$C$269+'Cálculos'!$C$124*(1+2.78*('Cálculos'!$C$200+(($B$54)-$A49)*'Cálculos'!$C$98)/(('Cálculos'!$C$200+(($B$54)-$A49)*'Cálculos'!$C$98)+1400)+'Cálculos'!$C$122)*'Cálculos'!$C$274+'Cálculos'!$C$125*(1+2.78*('Cálculos'!$C$200+(($B$54)-$A49)*'Cálculos'!$C$98)/(('Cálculos'!$C$200+(($B$54)-$A49)*'Cálculos'!$C$98)+1400)+'Cálculos'!$C$123)*'Cálculos'!$C$279)+('Cálculos'!$C$200+(($B$54)-$A49)*'Cálculos'!$C$98)*('Cálculos'!$C$270+'Cálculos'!$C$124*(1+2.78*('Cálculos'!$C$200+(($B$54)-$A49)*'Cálculos'!$C$98)/(('Cálculos'!$C$200+(($B$54)-$A49)*'Cálculos'!$C$98)+1400)+'Cálculos'!$C$122)*'Cálculos'!$C$275+'Cálculos'!$C$125*(1+2.78*('Cálculos'!$C$200+(($B$54)-$A49)*'Cálculos'!$C$98)/(('Cálculos'!$C$200+(($B$54)-$A49)*'Cálculos'!$C$98)+1400)+'Cálculos'!$C$123)*'Cálculos'!$C$280)+('Cálculos'!$C$201*(1+'Cálculos'!$C$202+$A49*('Cálculos'!$C$290=2)*'Cálculos'!$C$101)+'Cálculos'!$C$203)*('Cálculos'!$C$271+'Cálculos'!$C$124*(1+2.78*('Cálculos'!$C$200+(($B$54)-$A49)*'Cálculos'!$C$98)/(('Cálculos'!$C$200+(($B$54)-$A49)*'Cálculos'!$C$98)+1400)+'Cálculos'!$C$122)*'Cálculos'!$C$276+'Cálculos'!$C$125*(1+2.78*('Cálculos'!$C$200+(($B$54)-$A49)*'Cálculos'!$C$98)/(('Cálculos'!$C$200+(($B$54)-$A49)*'Cálculos'!$C$98)+1400)+'Cálculos'!$C$123)*'Cálculos'!$C$281)+('Cálculos'!$C$204*(1+'Cálculos'!$C$205+$A49*('Cálculos'!$C$290=3)*'Cálculos'!$C$103)+'Cálculos'!$C$206)*('Cálculos'!$C$272+'Cálculos'!$C$124*(1+2.78*('Cálculos'!$C$200+(($B$54)-$A49)*'Cálculos'!$C$98)/(('Cálculos'!$C$200+(($B$54)-$A49)*'Cálculos'!$C$98)+1400)+'Cálculos'!$C$122)*'Cálculos'!$C$277+'Cálculos'!$C$125*(1+2.78*('Cálculos'!$C$200+(($B$54)-$A49)*'Cálculos'!$C$98)/(('Cálculos'!$C$200+(($B$54)-$A49)*'Cálculos'!$C$98)+1400)+'Cálculos'!$C$123)*'Cálculos'!$C$282)+('Cálculos'!$C$273+'Cálculos'!$C$124*(1+2.78*('Cálculos'!$C$200+(($B$54)-$A49)*'Cálculos'!$C$98)/(('Cálculos'!$C$200+(($B$54)-$A49)*'Cálculos'!$C$98)+1400)+'Cálculos'!$C$122)*'Cálculos'!$C$278+'Cálculos'!$C$125*(1+2.78*('Cálculos'!$C$200+(($B$54)-$A49)*'Cálculos'!$C$98)/(('Cálculos'!$C$200+(($B$54)-$A49)*'Cálculos'!$C$98)+1400)+'Cálculos'!$C$123)*'Cálculos'!$C$283)))</f>
        <v>0</v>
      </c>
    </row>
    <row r="50" ht="15.75" customHeight="1">
      <c r="A50" s="2">
        <v>44.0</v>
      </c>
      <c r="B50" s="30">
        <f>SUMPRODUCT(MAX(($A$6:$A$51&lt;=$A50)*($A$6:$A$51&lt;='Cálculos'!$C$294)*(($A50)-$A$6:$A$51&lt;='Cálculos'!$C$295)*(1+(('Cálculos'!$C$207+$A$6:$A$51*'Cálculos'!$C$95)-(('Cálculos'!$C$207+$A$6:$A$51*'Cálculos'!$C$95)&gt;1)*(('Cálculos'!$C$207+$A$6:$A$51*'Cálculos'!$C$95)-1))*('Cálculos'!$C$208+(($A50)-$A$6:$A$51)*'Cálculos'!$C$96))))</f>
        <v>4.44</v>
      </c>
      <c r="C50" s="2">
        <f>'Cálculos'!$C$303-$A50</f>
        <v>-24</v>
      </c>
      <c r="D50" s="31">
        <f>IF($C50&lt;0,0,SUMPRODUCT(MAX(($A$6:$A$51&lt;=$C50)*($A$6:$A$51&lt;='Cálculos'!$C$301)*(($C50)-$A$6:$A$51&lt;='Cálculos'!$C$297)*(('Cálculos'!$C$185*(1+'Cálculos'!$C$186+$A$6:$A$51*('Cálculos'!$C$290=1)*'Cálculos'!$C$97+'Cálculos'!$C$305)+'Cálculos'!$C$191)*('Cálculos'!$C$209+'Cálculos'!$C$124*(1+2.78*('Cálculos'!$C$196+(($C50)-$A$6:$A$51)*'Cálculos'!$C$98)/(('Cálculos'!$C$196+(($C50)-$A$6:$A$51)*'Cálculos'!$C$98)+1400)+'Cálculos'!$C$122)*'Cálculos'!$C$214+'Cálculos'!$C$125*(1+2.78*('Cálculos'!$C$196+(($C50)-$A$6:$A$51)*'Cálculos'!$C$98)/(('Cálculos'!$C$196+(($C50)-$A$6:$A$51)*'Cálculos'!$C$98)+1400)+'Cálculos'!$C$123)*'Cálculos'!$C$219)+('Cálculos'!$C$196+(($C50)-$A$6:$A$51)*'Cálculos'!$C$98)*('Cálculos'!$C$210+'Cálculos'!$C$124*(1+2.78*('Cálculos'!$C$196+(($C50)-$A$6:$A$51)*'Cálculos'!$C$98)/(('Cálculos'!$C$196+(($C50)-$A$6:$A$51)*'Cálculos'!$C$98)+1400)+'Cálculos'!$C$122)*'Cálculos'!$C$215+'Cálculos'!$C$125*(1+2.78*('Cálculos'!$C$196+(($C50)-$A$6:$A$51)*'Cálculos'!$C$98)/(('Cálculos'!$C$196+(($C50)-$A$6:$A$51)*'Cálculos'!$C$98)+1400)+'Cálculos'!$C$123)*'Cálculos'!$C$220)+('Cálculos'!$C$201*(1+'Cálculos'!$C$202+$A$6:$A$51*('Cálculos'!$C$290=2)*'Cálculos'!$C$101)+'Cálculos'!$C$203)*('Cálculos'!$C$211+'Cálculos'!$C$124*(1+2.78*('Cálculos'!$C$196+(($C50)-$A$6:$A$51)*'Cálculos'!$C$98)/(('Cálculos'!$C$196+(($C50)-$A$6:$A$51)*'Cálculos'!$C$98)+1400)+'Cálculos'!$C$122)*'Cálculos'!$C$216+'Cálculos'!$C$125*(1+2.78*('Cálculos'!$C$196+(($C50)-$A$6:$A$51)*'Cálculos'!$C$98)/(('Cálculos'!$C$196+(($C50)-$A$6:$A$51)*'Cálculos'!$C$98)+1400)+'Cálculos'!$C$123)*'Cálculos'!$C$221)+('Cálculos'!$C$204*(1+'Cálculos'!$C$205+$A$6:$A$51*('Cálculos'!$C$290=3)*'Cálculos'!$C$103)+'Cálculos'!$C$206)*('Cálculos'!$C$212+'Cálculos'!$C$124*(1+2.78*('Cálculos'!$C$196+(($C50)-$A$6:$A$51)*'Cálculos'!$C$98)/(('Cálculos'!$C$196+(($C50)-$A$6:$A$51)*'Cálculos'!$C$98)+1400)+'Cálculos'!$C$122)*'Cálculos'!$C$217+'Cálculos'!$C$125*(1+2.78*('Cálculos'!$C$196+(($C50)-$A$6:$A$51)*'Cálculos'!$C$98)/(('Cálculos'!$C$196+(($C50)-$A$6:$A$51)*'Cálculos'!$C$98)+1400)+'Cálculos'!$C$123)*'Cálculos'!$C$222)+('Cálculos'!$C$213+'Cálculos'!$C$124*(1+2.78*('Cálculos'!$C$196+(($C50)-$A$6:$A$51)*'Cálculos'!$C$98)/(('Cálculos'!$C$196+(($C50)-$A$6:$A$51)*'Cálculos'!$C$98)+1400)+'Cálculos'!$C$122)*'Cálculos'!$C$218+'Cálculos'!$C$125*(1+2.78*('Cálculos'!$C$196+(($C50)-$A$6:$A$51)*'Cálculos'!$C$98)/(('Cálculos'!$C$196+(($C50)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50)-$A$6:$A$51)*'Cálculos'!$C$98)/(('Cálculos'!$C$197+(($C50)-$A$6:$A$51)*'Cálculos'!$C$98)+1400)+'Cálculos'!$C$122)*'Cálculos'!$C$229+'Cálculos'!$C$125*(1+2.78*('Cálculos'!$C$197+(($C50)-$A$6:$A$51)*'Cálculos'!$C$98)/(('Cálculos'!$C$197+(($C50)-$A$6:$A$51)*'Cálculos'!$C$98)+1400)+'Cálculos'!$C$123)*'Cálculos'!$C$234)+('Cálculos'!$C$197+(($C50)-$A$6:$A$51)*'Cálculos'!$C$98)*('Cálculos'!$C$225+'Cálculos'!$C$124*(1+2.78*('Cálculos'!$C$197+(($C50)-$A$6:$A$51)*'Cálculos'!$C$98)/(('Cálculos'!$C$197+(($C50)-$A$6:$A$51)*'Cálculos'!$C$98)+1400)+'Cálculos'!$C$122)*'Cálculos'!$C$230+'Cálculos'!$C$125*(1+2.78*('Cálculos'!$C$197+(($C50)-$A$6:$A$51)*'Cálculos'!$C$98)/(('Cálculos'!$C$197+(($C50)-$A$6:$A$51)*'Cálculos'!$C$98)+1400)+'Cálculos'!$C$123)*'Cálculos'!$C$235)+('Cálculos'!$C$201*(1+'Cálculos'!$C$202+$A$6:$A$51*('Cálculos'!$C$290=2)*'Cálculos'!$C$101)+'Cálculos'!$C$203)*('Cálculos'!$C$226+'Cálculos'!$C$124*(1+2.78*('Cálculos'!$C$197+(($C50)-$A$6:$A$51)*'Cálculos'!$C$98)/(('Cálculos'!$C$197+(($C50)-$A$6:$A$51)*'Cálculos'!$C$98)+1400)+'Cálculos'!$C$122)*'Cálculos'!$C$231+'Cálculos'!$C$125*(1+2.78*('Cálculos'!$C$197+(($C50)-$A$6:$A$51)*'Cálculos'!$C$98)/(('Cálculos'!$C$197+(($C50)-$A$6:$A$51)*'Cálculos'!$C$98)+1400)+'Cálculos'!$C$123)*'Cálculos'!$C$236)+('Cálculos'!$C$204*(1+'Cálculos'!$C$205+$A$6:$A$51*('Cálculos'!$C$290=3)*'Cálculos'!$C$103)+'Cálculos'!$C$206)*('Cálculos'!$C$227+'Cálculos'!$C$124*(1+2.78*('Cálculos'!$C$197+(($C50)-$A$6:$A$51)*'Cálculos'!$C$98)/(('Cálculos'!$C$197+(($C50)-$A$6:$A$51)*'Cálculos'!$C$98)+1400)+'Cálculos'!$C$122)*'Cálculos'!$C$232+'Cálculos'!$C$125*(1+2.78*('Cálculos'!$C$197+(($C50)-$A$6:$A$51)*'Cálculos'!$C$98)/(('Cálculos'!$C$197+(($C50)-$A$6:$A$51)*'Cálculos'!$C$98)+1400)+'Cálculos'!$C$123)*'Cálculos'!$C$237)+('Cálculos'!$C$228+'Cálculos'!$C$124*(1+2.78*('Cálculos'!$C$197+(($C50)-$A$6:$A$51)*'Cálculos'!$C$98)/(('Cálculos'!$C$197+(($C50)-$A$6:$A$51)*'Cálculos'!$C$98)+1400)+'Cálculos'!$C$122)*'Cálculos'!$C$233+'Cálculos'!$C$125*(1+2.78*('Cálculos'!$C$197+(($C50)-$A$6:$A$51)*'Cálculos'!$C$98)/(('Cálculos'!$C$197+(($C50)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50)-$A$6:$A$51)*'Cálculos'!$C$98)/(('Cálculos'!$C$198+(($C50)-$A$6:$A$51)*'Cálculos'!$C$98)+1400)+'Cálculos'!$C$122)*'Cálculos'!$C$244+'Cálculos'!$C$125*(1+2.78*('Cálculos'!$C$198+(($C50)-$A$6:$A$51)*'Cálculos'!$C$98)/(('Cálculos'!$C$198+(($C50)-$A$6:$A$51)*'Cálculos'!$C$98)+1400)+'Cálculos'!$C$123)*'Cálculos'!$C$249)+('Cálculos'!$C$198+(($C50)-$A$6:$A$51)*'Cálculos'!$C$98)*('Cálculos'!$C$240+'Cálculos'!$C$124*(1+2.78*('Cálculos'!$C$198+(($C50)-$A$6:$A$51)*'Cálculos'!$C$98)/(('Cálculos'!$C$198+(($C50)-$A$6:$A$51)*'Cálculos'!$C$98)+1400)+'Cálculos'!$C$122)*'Cálculos'!$C$245+'Cálculos'!$C$125*(1+2.78*('Cálculos'!$C$198+(($C50)-$A$6:$A$51)*'Cálculos'!$C$98)/(('Cálculos'!$C$198+(($C50)-$A$6:$A$51)*'Cálculos'!$C$98)+1400)+'Cálculos'!$C$123)*'Cálculos'!$C$250)+('Cálculos'!$C$201*(1+'Cálculos'!$C$202+$A$6:$A$51*('Cálculos'!$C$290=2)*'Cálculos'!$C$101)+'Cálculos'!$C$203)*('Cálculos'!$C$241+'Cálculos'!$C$124*(1+2.78*('Cálculos'!$C$198+(($C50)-$A$6:$A$51)*'Cálculos'!$C$98)/(('Cálculos'!$C$198+(($C50)-$A$6:$A$51)*'Cálculos'!$C$98)+1400)+'Cálculos'!$C$122)*'Cálculos'!$C$246+'Cálculos'!$C$125*(1+2.78*('Cálculos'!$C$198+(($C50)-$A$6:$A$51)*'Cálculos'!$C$98)/(('Cálculos'!$C$198+(($C50)-$A$6:$A$51)*'Cálculos'!$C$98)+1400)+'Cálculos'!$C$123)*'Cálculos'!$C$251)+('Cálculos'!$C$204*(1+'Cálculos'!$C$205+$A$6:$A$51*('Cálculos'!$C$290=3)*'Cálculos'!$C$103)+'Cálculos'!$C$206)*('Cálculos'!$C$242+'Cálculos'!$C$124*(1+2.78*('Cálculos'!$C$198+(($C50)-$A$6:$A$51)*'Cálculos'!$C$98)/(('Cálculos'!$C$198+(($C50)-$A$6:$A$51)*'Cálculos'!$C$98)+1400)+'Cálculos'!$C$122)*'Cálculos'!$C$247+'Cálculos'!$C$125*(1+2.78*('Cálculos'!$C$198+(($C50)-$A$6:$A$51)*'Cálculos'!$C$98)/(('Cálculos'!$C$198+(($C50)-$A$6:$A$51)*'Cálculos'!$C$98)+1400)+'Cálculos'!$C$123)*'Cálculos'!$C$252)+('Cálculos'!$C$243+'Cálculos'!$C$124*(1+2.78*('Cálculos'!$C$198+(($C50)-$A$6:$A$51)*'Cálculos'!$C$98)/(('Cálculos'!$C$198+(($C50)-$A$6:$A$51)*'Cálculos'!$C$98)+1400)+'Cálculos'!$C$122)*'Cálculos'!$C$248+'Cálculos'!$C$125*(1+2.78*('Cálculos'!$C$198+(($C50)-$A$6:$A$51)*'Cálculos'!$C$98)/(('Cálculos'!$C$198+(($C50)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50)-$A$6:$A$51)*'Cálculos'!$C$98)/(('Cálculos'!$C$199+(($C50)-$A$6:$A$51)*'Cálculos'!$C$98)+1400)+'Cálculos'!$C$122)*'Cálculos'!$C$259+'Cálculos'!$C$125*(1+2.78*('Cálculos'!$C$199+(($C50)-$A$6:$A$51)*'Cálculos'!$C$98)/(('Cálculos'!$C$199+(($C50)-$A$6:$A$51)*'Cálculos'!$C$98)+1400)+'Cálculos'!$C$123)*'Cálculos'!$C$264)+('Cálculos'!$C$199+(($C50)-$A$6:$A$51)*'Cálculos'!$C$98)*('Cálculos'!$C$255+'Cálculos'!$C$124*(1+2.78*('Cálculos'!$C$199+(($C50)-$A$6:$A$51)*'Cálculos'!$C$98)/(('Cálculos'!$C$199+(($C50)-$A$6:$A$51)*'Cálculos'!$C$98)+1400)+'Cálculos'!$C$122)*'Cálculos'!$C$260+'Cálculos'!$C$125*(1+2.78*('Cálculos'!$C$199+(($C50)-$A$6:$A$51)*'Cálculos'!$C$98)/(('Cálculos'!$C$199+(($C50)-$A$6:$A$51)*'Cálculos'!$C$98)+1400)+'Cálculos'!$C$123)*'Cálculos'!$C$265)+('Cálculos'!$C$201*(1+'Cálculos'!$C$202+$A$6:$A$51*('Cálculos'!$C$290=2)*'Cálculos'!$C$101)+'Cálculos'!$C$203)*('Cálculos'!$C$256+'Cálculos'!$C$124*(1+2.78*('Cálculos'!$C$199+(($C50)-$A$6:$A$51)*'Cálculos'!$C$98)/(('Cálculos'!$C$199+(($C50)-$A$6:$A$51)*'Cálculos'!$C$98)+1400)+'Cálculos'!$C$122)*'Cálculos'!$C$261+'Cálculos'!$C$125*(1+2.78*('Cálculos'!$C$199+(($C50)-$A$6:$A$51)*'Cálculos'!$C$98)/(('Cálculos'!$C$199+(($C50)-$A$6:$A$51)*'Cálculos'!$C$98)+1400)+'Cálculos'!$C$123)*'Cálculos'!$C$266)+('Cálculos'!$C$204*(1+'Cálculos'!$C$205+$A$6:$A$51*('Cálculos'!$C$290=3)*'Cálculos'!$C$103)+'Cálculos'!$C$206)*('Cálculos'!$C$257+'Cálculos'!$C$124*(1+2.78*('Cálculos'!$C$199+(($C50)-$A$6:$A$51)*'Cálculos'!$C$98)/(('Cálculos'!$C$199+(($C50)-$A$6:$A$51)*'Cálculos'!$C$98)+1400)+'Cálculos'!$C$122)*'Cálculos'!$C$262+'Cálculos'!$C$125*(1+2.78*('Cálculos'!$C$199+(($C50)-$A$6:$A$51)*'Cálculos'!$C$98)/(('Cálculos'!$C$199+(($C50)-$A$6:$A$51)*'Cálculos'!$C$98)+1400)+'Cálculos'!$C$123)*'Cálculos'!$C$267)+('Cálculos'!$C$258+'Cálculos'!$C$124*(1+2.78*('Cálculos'!$C$199+(($C50)-$A$6:$A$51)*'Cálculos'!$C$98)/(('Cálculos'!$C$199+(($C50)-$A$6:$A$51)*'Cálculos'!$C$98)+1400)+'Cálculos'!$C$122)*'Cálculos'!$C$263+'Cálculos'!$C$125*(1+2.78*('Cálculos'!$C$199+(($C50)-$A$6:$A$51)*'Cálculos'!$C$98)/(('Cálculos'!$C$199+(($C50)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50)-$A$6:$A$51)*'Cálculos'!$C$98)/(('Cálculos'!$C$200+(($C50)-$A$6:$A$51)*'Cálculos'!$C$98)+1400)+'Cálculos'!$C$122)*'Cálculos'!$C$274+'Cálculos'!$C$125*(1+2.78*('Cálculos'!$C$200+(($C50)-$A$6:$A$51)*'Cálculos'!$C$98)/(('Cálculos'!$C$200+(($C50)-$A$6:$A$51)*'Cálculos'!$C$98)+1400)+'Cálculos'!$C$123)*'Cálculos'!$C$279)+('Cálculos'!$C$200+(($C50)-$A$6:$A$51)*'Cálculos'!$C$98)*('Cálculos'!$C$270+'Cálculos'!$C$124*(1+2.78*('Cálculos'!$C$200+(($C50)-$A$6:$A$51)*'Cálculos'!$C$98)/(('Cálculos'!$C$200+(($C50)-$A$6:$A$51)*'Cálculos'!$C$98)+1400)+'Cálculos'!$C$122)*'Cálculos'!$C$275+'Cálculos'!$C$125*(1+2.78*('Cálculos'!$C$200+(($C50)-$A$6:$A$51)*'Cálculos'!$C$98)/(('Cálculos'!$C$200+(($C50)-$A$6:$A$51)*'Cálculos'!$C$98)+1400)+'Cálculos'!$C$123)*'Cálculos'!$C$280)+('Cálculos'!$C$201*(1+'Cálculos'!$C$202+$A$6:$A$51*('Cálculos'!$C$290=2)*'Cálculos'!$C$101)+'Cálculos'!$C$203)*('Cálculos'!$C$271+'Cálculos'!$C$124*(1+2.78*('Cálculos'!$C$200+(($C50)-$A$6:$A$51)*'Cálculos'!$C$98)/(('Cálculos'!$C$200+(($C50)-$A$6:$A$51)*'Cálculos'!$C$98)+1400)+'Cálculos'!$C$122)*'Cálculos'!$C$276+'Cálculos'!$C$125*(1+2.78*('Cálculos'!$C$200+(($C50)-$A$6:$A$51)*'Cálculos'!$C$98)/(('Cálculos'!$C$200+(($C50)-$A$6:$A$51)*'Cálculos'!$C$98)+1400)+'Cálculos'!$C$123)*'Cálculos'!$C$281)+('Cálculos'!$C$204*(1+'Cálculos'!$C$205+$A$6:$A$51*('Cálculos'!$C$290=3)*'Cálculos'!$C$103)+'Cálculos'!$C$206)*('Cálculos'!$C$272+'Cálculos'!$C$124*(1+2.78*('Cálculos'!$C$200+(($C50)-$A$6:$A$51)*'Cálculos'!$C$98)/(('Cálculos'!$C$200+(($C50)-$A$6:$A$51)*'Cálculos'!$C$98)+1400)+'Cálculos'!$C$122)*'Cálculos'!$C$277+'Cálculos'!$C$125*(1+2.78*('Cálculos'!$C$200+(($C50)-$A$6:$A$51)*'Cálculos'!$C$98)/(('Cálculos'!$C$200+(($C50)-$A$6:$A$51)*'Cálculos'!$C$98)+1400)+'Cálculos'!$C$123)*'Cálculos'!$C$282)+('Cálculos'!$C$273+'Cálculos'!$C$124*(1+2.78*('Cálculos'!$C$200+(($C50)-$A$6:$A$51)*'Cálculos'!$C$98)/(('Cálculos'!$C$200+(($C50)-$A$6:$A$51)*'Cálculos'!$C$98)+1400)+'Cálculos'!$C$122)*'Cálculos'!$C$278+'Cálculos'!$C$125*(1+2.78*('Cálculos'!$C$200+(($C50)-$A$6:$A$51)*'Cálculos'!$C$98)/(('Cálculos'!$C$200+(($C50)-$A$6:$A$51)*'Cálculos'!$C$98)+1400)+'Cálculos'!$C$123)*'Cálculos'!$C$283)))))</f>
        <v>0</v>
      </c>
      <c r="E50" s="32">
        <f>IF(OR($C50&lt;0,'Cálculos'!$C$6=""),0,$B50*$D50)</f>
        <v>0</v>
      </c>
      <c r="F50" s="2"/>
      <c r="G50" s="30">
        <f>($A50&lt;=$B$53)*($A50&lt;='Cálculos'!$C$294)*(($B$53)-$A50&lt;='Cálculos'!$C$295)*(1+MIN(('Cálculos'!$C$207+$A50*'Cálculos'!$C$95),1)*('Cálculos'!$C$208+(($B$53)-$A50)*'Cálculos'!$C$96))</f>
        <v>0</v>
      </c>
      <c r="H50" s="31">
        <f>IF($B$54&lt;0,0,($A50&lt;=$B$54)*($A50&lt;='Cálculos'!$C$301)*(($B$54)-$A50&lt;='Cálculos'!$C$297)*(('Cálculos'!$C$185*(1+'Cálculos'!$C$186+$A50*('Cálculos'!$C$290=1)*'Cálculos'!$C$97+'Cálculos'!$C$305)+'Cálculos'!$C$191)*('Cálculos'!$C$209+'Cálculos'!$C$124*(1+2.78*('Cálculos'!$C$196+(($B$54)-$A50)*'Cálculos'!$C$98)/(('Cálculos'!$C$196+(($B$54)-$A50)*'Cálculos'!$C$98)+1400)+'Cálculos'!$C$122)*'Cálculos'!$C$214+'Cálculos'!$C$125*(1+2.78*('Cálculos'!$C$196+(($B$54)-$A50)*'Cálculos'!$C$98)/(('Cálculos'!$C$196+(($B$54)-$A50)*'Cálculos'!$C$98)+1400)+'Cálculos'!$C$123)*'Cálculos'!$C$219)+('Cálculos'!$C$196+(($B$54)-$A50)*'Cálculos'!$C$98)*('Cálculos'!$C$210+'Cálculos'!$C$124*(1+2.78*('Cálculos'!$C$196+(($B$54)-$A50)*'Cálculos'!$C$98)/(('Cálculos'!$C$196+(($B$54)-$A50)*'Cálculos'!$C$98)+1400)+'Cálculos'!$C$122)*'Cálculos'!$C$215+'Cálculos'!$C$125*(1+2.78*('Cálculos'!$C$196+(($B$54)-$A50)*'Cálculos'!$C$98)/(('Cálculos'!$C$196+(($B$54)-$A50)*'Cálculos'!$C$98)+1400)+'Cálculos'!$C$123)*'Cálculos'!$C$220)+('Cálculos'!$C$201*(1+'Cálculos'!$C$202+$A50*('Cálculos'!$C$290=2)*'Cálculos'!$C$101)+'Cálculos'!$C$203)*('Cálculos'!$C$211+'Cálculos'!$C$124*(1+2.78*('Cálculos'!$C$196+(($B$54)-$A50)*'Cálculos'!$C$98)/(('Cálculos'!$C$196+(($B$54)-$A50)*'Cálculos'!$C$98)+1400)+'Cálculos'!$C$122)*'Cálculos'!$C$216+'Cálculos'!$C$125*(1+2.78*('Cálculos'!$C$196+(($B$54)-$A50)*'Cálculos'!$C$98)/(('Cálculos'!$C$196+(($B$54)-$A50)*'Cálculos'!$C$98)+1400)+'Cálculos'!$C$123)*'Cálculos'!$C$221)+('Cálculos'!$C$204*(1+'Cálculos'!$C$205+$A50*('Cálculos'!$C$290=3)*'Cálculos'!$C$103)+'Cálculos'!$C$206)*('Cálculos'!$C$212+'Cálculos'!$C$124*(1+2.78*('Cálculos'!$C$196+(($B$54)-$A50)*'Cálculos'!$C$98)/(('Cálculos'!$C$196+(($B$54)-$A50)*'Cálculos'!$C$98)+1400)+'Cálculos'!$C$122)*'Cálculos'!$C$217+'Cálculos'!$C$125*(1+2.78*('Cálculos'!$C$196+(($B$54)-$A50)*'Cálculos'!$C$98)/(('Cálculos'!$C$196+(($B$54)-$A50)*'Cálculos'!$C$98)+1400)+'Cálculos'!$C$123)*'Cálculos'!$C$222)+('Cálculos'!$C$213+'Cálculos'!$C$124*(1+2.78*('Cálculos'!$C$196+(($B$54)-$A50)*'Cálculos'!$C$98)/(('Cálculos'!$C$196+(($B$54)-$A50)*'Cálculos'!$C$98)+1400)+'Cálculos'!$C$122)*'Cálculos'!$C$218+'Cálculos'!$C$125*(1+2.78*('Cálculos'!$C$196+(($B$54)-$A50)*'Cálculos'!$C$98)/(('Cálculos'!$C$196+(($B$54)-$A50)*'Cálculos'!$C$98)+1400)+'Cálculos'!$C$123)*'Cálculos'!$C$223)+('Cálculos'!$C$185*(1+'Cálculos'!$C$187+$A50*('Cálculos'!$C$290=1)*'Cálculos'!$C$97+'Cálculos'!$C$305)+'Cálculos'!$C$192)*('Cálculos'!$C$224+'Cálculos'!$C$124*(1+2.78*('Cálculos'!$C$197+(($B$54)-$A50)*'Cálculos'!$C$98)/(('Cálculos'!$C$197+(($B$54)-$A50)*'Cálculos'!$C$98)+1400)+'Cálculos'!$C$122)*'Cálculos'!$C$229+'Cálculos'!$C$125*(1+2.78*('Cálculos'!$C$197+(($B$54)-$A50)*'Cálculos'!$C$98)/(('Cálculos'!$C$197+(($B$54)-$A50)*'Cálculos'!$C$98)+1400)+'Cálculos'!$C$123)*'Cálculos'!$C$234)+('Cálculos'!$C$197+(($B$54)-$A50)*'Cálculos'!$C$98)*('Cálculos'!$C$225+'Cálculos'!$C$124*(1+2.78*('Cálculos'!$C$197+(($B$54)-$A50)*'Cálculos'!$C$98)/(('Cálculos'!$C$197+(($B$54)-$A50)*'Cálculos'!$C$98)+1400)+'Cálculos'!$C$122)*'Cálculos'!$C$230+'Cálculos'!$C$125*(1+2.78*('Cálculos'!$C$197+(($B$54)-$A50)*'Cálculos'!$C$98)/(('Cálculos'!$C$197+(($B$54)-$A50)*'Cálculos'!$C$98)+1400)+'Cálculos'!$C$123)*'Cálculos'!$C$235)+('Cálculos'!$C$201*(1+'Cálculos'!$C$202+$A50*('Cálculos'!$C$290=2)*'Cálculos'!$C$101)+'Cálculos'!$C$203)*('Cálculos'!$C$226+'Cálculos'!$C$124*(1+2.78*('Cálculos'!$C$197+(($B$54)-$A50)*'Cálculos'!$C$98)/(('Cálculos'!$C$197+(($B$54)-$A50)*'Cálculos'!$C$98)+1400)+'Cálculos'!$C$122)*'Cálculos'!$C$231+'Cálculos'!$C$125*(1+2.78*('Cálculos'!$C$197+(($B$54)-$A50)*'Cálculos'!$C$98)/(('Cálculos'!$C$197+(($B$54)-$A50)*'Cálculos'!$C$98)+1400)+'Cálculos'!$C$123)*'Cálculos'!$C$236)+('Cálculos'!$C$204*(1+'Cálculos'!$C$205+$A50*('Cálculos'!$C$290=3)*'Cálculos'!$C$103)+'Cálculos'!$C$206)*('Cálculos'!$C$227+'Cálculos'!$C$124*(1+2.78*('Cálculos'!$C$197+(($B$54)-$A50)*'Cálculos'!$C$98)/(('Cálculos'!$C$197+(($B$54)-$A50)*'Cálculos'!$C$98)+1400)+'Cálculos'!$C$122)*'Cálculos'!$C$232+'Cálculos'!$C$125*(1+2.78*('Cálculos'!$C$197+(($B$54)-$A50)*'Cálculos'!$C$98)/(('Cálculos'!$C$197+(($B$54)-$A50)*'Cálculos'!$C$98)+1400)+'Cálculos'!$C$123)*'Cálculos'!$C$237)+('Cálculos'!$C$228+'Cálculos'!$C$124*(1+2.78*('Cálculos'!$C$197+(($B$54)-$A50)*'Cálculos'!$C$98)/(('Cálculos'!$C$197+(($B$54)-$A50)*'Cálculos'!$C$98)+1400)+'Cálculos'!$C$122)*'Cálculos'!$C$233+'Cálculos'!$C$125*(1+2.78*('Cálculos'!$C$197+(($B$54)-$A50)*'Cálculos'!$C$98)/(('Cálculos'!$C$197+(($B$54)-$A50)*'Cálculos'!$C$98)+1400)+'Cálculos'!$C$123)*'Cálculos'!$C$238)+('Cálculos'!$C$185*(1+'Cálculos'!$C$188+$A50*('Cálculos'!$C$290=1)*'Cálculos'!$C$97+'Cálculos'!$C$305)+'Cálculos'!$C$193)*('Cálculos'!$C$239+'Cálculos'!$C$124*(1+2.78*('Cálculos'!$C$198+(($B$54)-$A50)*'Cálculos'!$C$98)/(('Cálculos'!$C$198+(($B$54)-$A50)*'Cálculos'!$C$98)+1400)+'Cálculos'!$C$122)*'Cálculos'!$C$244+'Cálculos'!$C$125*(1+2.78*('Cálculos'!$C$198+(($B$54)-$A50)*'Cálculos'!$C$98)/(('Cálculos'!$C$198+(($B$54)-$A50)*'Cálculos'!$C$98)+1400)+'Cálculos'!$C$123)*'Cálculos'!$C$249)+('Cálculos'!$C$198+(($B$54)-$A50)*'Cálculos'!$C$98)*('Cálculos'!$C$240+'Cálculos'!$C$124*(1+2.78*('Cálculos'!$C$198+(($B$54)-$A50)*'Cálculos'!$C$98)/(('Cálculos'!$C$198+(($B$54)-$A50)*'Cálculos'!$C$98)+1400)+'Cálculos'!$C$122)*'Cálculos'!$C$245+'Cálculos'!$C$125*(1+2.78*('Cálculos'!$C$198+(($B$54)-$A50)*'Cálculos'!$C$98)/(('Cálculos'!$C$198+(($B$54)-$A50)*'Cálculos'!$C$98)+1400)+'Cálculos'!$C$123)*'Cálculos'!$C$250)+('Cálculos'!$C$201*(1+'Cálculos'!$C$202+$A50*('Cálculos'!$C$290=2)*'Cálculos'!$C$101)+'Cálculos'!$C$203)*('Cálculos'!$C$241+'Cálculos'!$C$124*(1+2.78*('Cálculos'!$C$198+(($B$54)-$A50)*'Cálculos'!$C$98)/(('Cálculos'!$C$198+(($B$54)-$A50)*'Cálculos'!$C$98)+1400)+'Cálculos'!$C$122)*'Cálculos'!$C$246+'Cálculos'!$C$125*(1+2.78*('Cálculos'!$C$198+(($B$54)-$A50)*'Cálculos'!$C$98)/(('Cálculos'!$C$198+(($B$54)-$A50)*'Cálculos'!$C$98)+1400)+'Cálculos'!$C$123)*'Cálculos'!$C$251)+('Cálculos'!$C$204*(1+'Cálculos'!$C$205+$A50*('Cálculos'!$C$290=3)*'Cálculos'!$C$103)+'Cálculos'!$C$206)*('Cálculos'!$C$242+'Cálculos'!$C$124*(1+2.78*('Cálculos'!$C$198+(($B$54)-$A50)*'Cálculos'!$C$98)/(('Cálculos'!$C$198+(($B$54)-$A50)*'Cálculos'!$C$98)+1400)+'Cálculos'!$C$122)*'Cálculos'!$C$247+'Cálculos'!$C$125*(1+2.78*('Cálculos'!$C$198+(($B$54)-$A50)*'Cálculos'!$C$98)/(('Cálculos'!$C$198+(($B$54)-$A50)*'Cálculos'!$C$98)+1400)+'Cálculos'!$C$123)*'Cálculos'!$C$252)+('Cálculos'!$C$243+'Cálculos'!$C$124*(1+2.78*('Cálculos'!$C$198+(($B$54)-$A50)*'Cálculos'!$C$98)/(('Cálculos'!$C$198+(($B$54)-$A50)*'Cálculos'!$C$98)+1400)+'Cálculos'!$C$122)*'Cálculos'!$C$248+'Cálculos'!$C$125*(1+2.78*('Cálculos'!$C$198+(($B$54)-$A50)*'Cálculos'!$C$98)/(('Cálculos'!$C$198+(($B$54)-$A50)*'Cálculos'!$C$98)+1400)+'Cálculos'!$C$123)*'Cálculos'!$C$253)+('Cálculos'!$C$185*(1+'Cálculos'!$C$189+$A50*('Cálculos'!$C$290=1)*'Cálculos'!$C$97+'Cálculos'!$C$305)+'Cálculos'!$C$194)*('Cálculos'!$C$254+'Cálculos'!$C$124*(1+2.78*('Cálculos'!$C$199+(($B$54)-$A50)*'Cálculos'!$C$98)/(('Cálculos'!$C$199+(($B$54)-$A50)*'Cálculos'!$C$98)+1400)+'Cálculos'!$C$122)*'Cálculos'!$C$259+'Cálculos'!$C$125*(1+2.78*('Cálculos'!$C$199+(($B$54)-$A50)*'Cálculos'!$C$98)/(('Cálculos'!$C$199+(($B$54)-$A50)*'Cálculos'!$C$98)+1400)+'Cálculos'!$C$123)*'Cálculos'!$C$264)+('Cálculos'!$C$199+(($B$54)-$A50)*'Cálculos'!$C$98)*('Cálculos'!$C$255+'Cálculos'!$C$124*(1+2.78*('Cálculos'!$C$199+(($B$54)-$A50)*'Cálculos'!$C$98)/(('Cálculos'!$C$199+(($B$54)-$A50)*'Cálculos'!$C$98)+1400)+'Cálculos'!$C$122)*'Cálculos'!$C$260+'Cálculos'!$C$125*(1+2.78*('Cálculos'!$C$199+(($B$54)-$A50)*'Cálculos'!$C$98)/(('Cálculos'!$C$199+(($B$54)-$A50)*'Cálculos'!$C$98)+1400)+'Cálculos'!$C$123)*'Cálculos'!$C$265)+('Cálculos'!$C$201*(1+'Cálculos'!$C$202+$A50*('Cálculos'!$C$290=2)*'Cálculos'!$C$101)+'Cálculos'!$C$203)*('Cálculos'!$C$256+'Cálculos'!$C$124*(1+2.78*('Cálculos'!$C$199+(($B$54)-$A50)*'Cálculos'!$C$98)/(('Cálculos'!$C$199+(($B$54)-$A50)*'Cálculos'!$C$98)+1400)+'Cálculos'!$C$122)*'Cálculos'!$C$261+'Cálculos'!$C$125*(1+2.78*('Cálculos'!$C$199+(($B$54)-$A50)*'Cálculos'!$C$98)/(('Cálculos'!$C$199+(($B$54)-$A50)*'Cálculos'!$C$98)+1400)+'Cálculos'!$C$123)*'Cálculos'!$C$266)+('Cálculos'!$C$204*(1+'Cálculos'!$C$205+$A50*('Cálculos'!$C$290=3)*'Cálculos'!$C$103)+'Cálculos'!$C$206)*('Cálculos'!$C$257+'Cálculos'!$C$124*(1+2.78*('Cálculos'!$C$199+(($B$54)-$A50)*'Cálculos'!$C$98)/(('Cálculos'!$C$199+(($B$54)-$A50)*'Cálculos'!$C$98)+1400)+'Cálculos'!$C$122)*'Cálculos'!$C$262+'Cálculos'!$C$125*(1+2.78*('Cálculos'!$C$199+(($B$54)-$A50)*'Cálculos'!$C$98)/(('Cálculos'!$C$199+(($B$54)-$A50)*'Cálculos'!$C$98)+1400)+'Cálculos'!$C$123)*'Cálculos'!$C$267)+('Cálculos'!$C$258+'Cálculos'!$C$124*(1+2.78*('Cálculos'!$C$199+(($B$54)-$A50)*'Cálculos'!$C$98)/(('Cálculos'!$C$199+(($B$54)-$A50)*'Cálculos'!$C$98)+1400)+'Cálculos'!$C$122)*'Cálculos'!$C$263+'Cálculos'!$C$125*(1+2.78*('Cálculos'!$C$199+(($B$54)-$A50)*'Cálculos'!$C$98)/(('Cálculos'!$C$199+(($B$54)-$A50)*'Cálculos'!$C$98)+1400)+'Cálculos'!$C$123)*'Cálculos'!$C$268)+('Cálculos'!$C$185*(1+'Cálculos'!$C$190+$A50*('Cálculos'!$C$290=1)*'Cálculos'!$C$97+'Cálculos'!$C$305)+'Cálculos'!$C$195)*('Cálculos'!$C$269+'Cálculos'!$C$124*(1+2.78*('Cálculos'!$C$200+(($B$54)-$A50)*'Cálculos'!$C$98)/(('Cálculos'!$C$200+(($B$54)-$A50)*'Cálculos'!$C$98)+1400)+'Cálculos'!$C$122)*'Cálculos'!$C$274+'Cálculos'!$C$125*(1+2.78*('Cálculos'!$C$200+(($B$54)-$A50)*'Cálculos'!$C$98)/(('Cálculos'!$C$200+(($B$54)-$A50)*'Cálculos'!$C$98)+1400)+'Cálculos'!$C$123)*'Cálculos'!$C$279)+('Cálculos'!$C$200+(($B$54)-$A50)*'Cálculos'!$C$98)*('Cálculos'!$C$270+'Cálculos'!$C$124*(1+2.78*('Cálculos'!$C$200+(($B$54)-$A50)*'Cálculos'!$C$98)/(('Cálculos'!$C$200+(($B$54)-$A50)*'Cálculos'!$C$98)+1400)+'Cálculos'!$C$122)*'Cálculos'!$C$275+'Cálculos'!$C$125*(1+2.78*('Cálculos'!$C$200+(($B$54)-$A50)*'Cálculos'!$C$98)/(('Cálculos'!$C$200+(($B$54)-$A50)*'Cálculos'!$C$98)+1400)+'Cálculos'!$C$123)*'Cálculos'!$C$280)+('Cálculos'!$C$201*(1+'Cálculos'!$C$202+$A50*('Cálculos'!$C$290=2)*'Cálculos'!$C$101)+'Cálculos'!$C$203)*('Cálculos'!$C$271+'Cálculos'!$C$124*(1+2.78*('Cálculos'!$C$200+(($B$54)-$A50)*'Cálculos'!$C$98)/(('Cálculos'!$C$200+(($B$54)-$A50)*'Cálculos'!$C$98)+1400)+'Cálculos'!$C$122)*'Cálculos'!$C$276+'Cálculos'!$C$125*(1+2.78*('Cálculos'!$C$200+(($B$54)-$A50)*'Cálculos'!$C$98)/(('Cálculos'!$C$200+(($B$54)-$A50)*'Cálculos'!$C$98)+1400)+'Cálculos'!$C$123)*'Cálculos'!$C$281)+('Cálculos'!$C$204*(1+'Cálculos'!$C$205+$A50*('Cálculos'!$C$290=3)*'Cálculos'!$C$103)+'Cálculos'!$C$206)*('Cálculos'!$C$272+'Cálculos'!$C$124*(1+2.78*('Cálculos'!$C$200+(($B$54)-$A50)*'Cálculos'!$C$98)/(('Cálculos'!$C$200+(($B$54)-$A50)*'Cálculos'!$C$98)+1400)+'Cálculos'!$C$122)*'Cálculos'!$C$277+'Cálculos'!$C$125*(1+2.78*('Cálculos'!$C$200+(($B$54)-$A50)*'Cálculos'!$C$98)/(('Cálculos'!$C$200+(($B$54)-$A50)*'Cálculos'!$C$98)+1400)+'Cálculos'!$C$123)*'Cálculos'!$C$282)+('Cálculos'!$C$273+'Cálculos'!$C$124*(1+2.78*('Cálculos'!$C$200+(($B$54)-$A50)*'Cálculos'!$C$98)/(('Cálculos'!$C$200+(($B$54)-$A50)*'Cálculos'!$C$98)+1400)+'Cálculos'!$C$122)*'Cálculos'!$C$278+'Cálculos'!$C$125*(1+2.78*('Cálculos'!$C$200+(($B$54)-$A50)*'Cálculos'!$C$98)/(('Cálculos'!$C$200+(($B$54)-$A50)*'Cálculos'!$C$98)+1400)+'Cálculos'!$C$123)*'Cálculos'!$C$283)))</f>
        <v>0</v>
      </c>
    </row>
    <row r="51" ht="15.75" customHeight="1">
      <c r="A51" s="2">
        <v>45.0</v>
      </c>
      <c r="B51" s="30">
        <f>SUMPRODUCT(MAX(($A$6:$A$51&lt;=$A51)*($A$6:$A$51&lt;='Cálculos'!$C$294)*(($A51)-$A$6:$A$51&lt;='Cálculos'!$C$295)*(1+(('Cálculos'!$C$207+$A$6:$A$51*'Cálculos'!$C$95)-(('Cálculos'!$C$207+$A$6:$A$51*'Cálculos'!$C$95)&gt;1)*(('Cálculos'!$C$207+$A$6:$A$51*'Cálculos'!$C$95)-1))*('Cálculos'!$C$208+(($A51)-$A$6:$A$51)*'Cálculos'!$C$96))))</f>
        <v>4.44</v>
      </c>
      <c r="C51" s="2">
        <f>'Cálculos'!$C$303-$A51</f>
        <v>-25</v>
      </c>
      <c r="D51" s="31">
        <f>IF($C51&lt;0,0,SUMPRODUCT(MAX(($A$6:$A$51&lt;=$C51)*($A$6:$A$51&lt;='Cálculos'!$C$301)*(($C51)-$A$6:$A$51&lt;='Cálculos'!$C$297)*(('Cálculos'!$C$185*(1+'Cálculos'!$C$186+$A$6:$A$51*('Cálculos'!$C$290=1)*'Cálculos'!$C$97+'Cálculos'!$C$305)+'Cálculos'!$C$191)*('Cálculos'!$C$209+'Cálculos'!$C$124*(1+2.78*('Cálculos'!$C$196+(($C51)-$A$6:$A$51)*'Cálculos'!$C$98)/(('Cálculos'!$C$196+(($C51)-$A$6:$A$51)*'Cálculos'!$C$98)+1400)+'Cálculos'!$C$122)*'Cálculos'!$C$214+'Cálculos'!$C$125*(1+2.78*('Cálculos'!$C$196+(($C51)-$A$6:$A$51)*'Cálculos'!$C$98)/(('Cálculos'!$C$196+(($C51)-$A$6:$A$51)*'Cálculos'!$C$98)+1400)+'Cálculos'!$C$123)*'Cálculos'!$C$219)+('Cálculos'!$C$196+(($C51)-$A$6:$A$51)*'Cálculos'!$C$98)*('Cálculos'!$C$210+'Cálculos'!$C$124*(1+2.78*('Cálculos'!$C$196+(($C51)-$A$6:$A$51)*'Cálculos'!$C$98)/(('Cálculos'!$C$196+(($C51)-$A$6:$A$51)*'Cálculos'!$C$98)+1400)+'Cálculos'!$C$122)*'Cálculos'!$C$215+'Cálculos'!$C$125*(1+2.78*('Cálculos'!$C$196+(($C51)-$A$6:$A$51)*'Cálculos'!$C$98)/(('Cálculos'!$C$196+(($C51)-$A$6:$A$51)*'Cálculos'!$C$98)+1400)+'Cálculos'!$C$123)*'Cálculos'!$C$220)+('Cálculos'!$C$201*(1+'Cálculos'!$C$202+$A$6:$A$51*('Cálculos'!$C$290=2)*'Cálculos'!$C$101)+'Cálculos'!$C$203)*('Cálculos'!$C$211+'Cálculos'!$C$124*(1+2.78*('Cálculos'!$C$196+(($C51)-$A$6:$A$51)*'Cálculos'!$C$98)/(('Cálculos'!$C$196+(($C51)-$A$6:$A$51)*'Cálculos'!$C$98)+1400)+'Cálculos'!$C$122)*'Cálculos'!$C$216+'Cálculos'!$C$125*(1+2.78*('Cálculos'!$C$196+(($C51)-$A$6:$A$51)*'Cálculos'!$C$98)/(('Cálculos'!$C$196+(($C51)-$A$6:$A$51)*'Cálculos'!$C$98)+1400)+'Cálculos'!$C$123)*'Cálculos'!$C$221)+('Cálculos'!$C$204*(1+'Cálculos'!$C$205+$A$6:$A$51*('Cálculos'!$C$290=3)*'Cálculos'!$C$103)+'Cálculos'!$C$206)*('Cálculos'!$C$212+'Cálculos'!$C$124*(1+2.78*('Cálculos'!$C$196+(($C51)-$A$6:$A$51)*'Cálculos'!$C$98)/(('Cálculos'!$C$196+(($C51)-$A$6:$A$51)*'Cálculos'!$C$98)+1400)+'Cálculos'!$C$122)*'Cálculos'!$C$217+'Cálculos'!$C$125*(1+2.78*('Cálculos'!$C$196+(($C51)-$A$6:$A$51)*'Cálculos'!$C$98)/(('Cálculos'!$C$196+(($C51)-$A$6:$A$51)*'Cálculos'!$C$98)+1400)+'Cálculos'!$C$123)*'Cálculos'!$C$222)+('Cálculos'!$C$213+'Cálculos'!$C$124*(1+2.78*('Cálculos'!$C$196+(($C51)-$A$6:$A$51)*'Cálculos'!$C$98)/(('Cálculos'!$C$196+(($C51)-$A$6:$A$51)*'Cálculos'!$C$98)+1400)+'Cálculos'!$C$122)*'Cálculos'!$C$218+'Cálculos'!$C$125*(1+2.78*('Cálculos'!$C$196+(($C51)-$A$6:$A$51)*'Cálculos'!$C$98)/(('Cálculos'!$C$196+(($C51)-$A$6:$A$51)*'Cálculos'!$C$98)+1400)+'Cálculos'!$C$123)*'Cálculos'!$C$223)+('Cálculos'!$C$185*(1+'Cálculos'!$C$187+$A$6:$A$51*('Cálculos'!$C$290=1)*'Cálculos'!$C$97+'Cálculos'!$C$305)+'Cálculos'!$C$192)*('Cálculos'!$C$224+'Cálculos'!$C$124*(1+2.78*('Cálculos'!$C$197+(($C51)-$A$6:$A$51)*'Cálculos'!$C$98)/(('Cálculos'!$C$197+(($C51)-$A$6:$A$51)*'Cálculos'!$C$98)+1400)+'Cálculos'!$C$122)*'Cálculos'!$C$229+'Cálculos'!$C$125*(1+2.78*('Cálculos'!$C$197+(($C51)-$A$6:$A$51)*'Cálculos'!$C$98)/(('Cálculos'!$C$197+(($C51)-$A$6:$A$51)*'Cálculos'!$C$98)+1400)+'Cálculos'!$C$123)*'Cálculos'!$C$234)+('Cálculos'!$C$197+(($C51)-$A$6:$A$51)*'Cálculos'!$C$98)*('Cálculos'!$C$225+'Cálculos'!$C$124*(1+2.78*('Cálculos'!$C$197+(($C51)-$A$6:$A$51)*'Cálculos'!$C$98)/(('Cálculos'!$C$197+(($C51)-$A$6:$A$51)*'Cálculos'!$C$98)+1400)+'Cálculos'!$C$122)*'Cálculos'!$C$230+'Cálculos'!$C$125*(1+2.78*('Cálculos'!$C$197+(($C51)-$A$6:$A$51)*'Cálculos'!$C$98)/(('Cálculos'!$C$197+(($C51)-$A$6:$A$51)*'Cálculos'!$C$98)+1400)+'Cálculos'!$C$123)*'Cálculos'!$C$235)+('Cálculos'!$C$201*(1+'Cálculos'!$C$202+$A$6:$A$51*('Cálculos'!$C$290=2)*'Cálculos'!$C$101)+'Cálculos'!$C$203)*('Cálculos'!$C$226+'Cálculos'!$C$124*(1+2.78*('Cálculos'!$C$197+(($C51)-$A$6:$A$51)*'Cálculos'!$C$98)/(('Cálculos'!$C$197+(($C51)-$A$6:$A$51)*'Cálculos'!$C$98)+1400)+'Cálculos'!$C$122)*'Cálculos'!$C$231+'Cálculos'!$C$125*(1+2.78*('Cálculos'!$C$197+(($C51)-$A$6:$A$51)*'Cálculos'!$C$98)/(('Cálculos'!$C$197+(($C51)-$A$6:$A$51)*'Cálculos'!$C$98)+1400)+'Cálculos'!$C$123)*'Cálculos'!$C$236)+('Cálculos'!$C$204*(1+'Cálculos'!$C$205+$A$6:$A$51*('Cálculos'!$C$290=3)*'Cálculos'!$C$103)+'Cálculos'!$C$206)*('Cálculos'!$C$227+'Cálculos'!$C$124*(1+2.78*('Cálculos'!$C$197+(($C51)-$A$6:$A$51)*'Cálculos'!$C$98)/(('Cálculos'!$C$197+(($C51)-$A$6:$A$51)*'Cálculos'!$C$98)+1400)+'Cálculos'!$C$122)*'Cálculos'!$C$232+'Cálculos'!$C$125*(1+2.78*('Cálculos'!$C$197+(($C51)-$A$6:$A$51)*'Cálculos'!$C$98)/(('Cálculos'!$C$197+(($C51)-$A$6:$A$51)*'Cálculos'!$C$98)+1400)+'Cálculos'!$C$123)*'Cálculos'!$C$237)+('Cálculos'!$C$228+'Cálculos'!$C$124*(1+2.78*('Cálculos'!$C$197+(($C51)-$A$6:$A$51)*'Cálculos'!$C$98)/(('Cálculos'!$C$197+(($C51)-$A$6:$A$51)*'Cálculos'!$C$98)+1400)+'Cálculos'!$C$122)*'Cálculos'!$C$233+'Cálculos'!$C$125*(1+2.78*('Cálculos'!$C$197+(($C51)-$A$6:$A$51)*'Cálculos'!$C$98)/(('Cálculos'!$C$197+(($C51)-$A$6:$A$51)*'Cálculos'!$C$98)+1400)+'Cálculos'!$C$123)*'Cálculos'!$C$238)+('Cálculos'!$C$185*(1+'Cálculos'!$C$188+$A$6:$A$51*('Cálculos'!$C$290=1)*'Cálculos'!$C$97+'Cálculos'!$C$305)+'Cálculos'!$C$193)*('Cálculos'!$C$239+'Cálculos'!$C$124*(1+2.78*('Cálculos'!$C$198+(($C51)-$A$6:$A$51)*'Cálculos'!$C$98)/(('Cálculos'!$C$198+(($C51)-$A$6:$A$51)*'Cálculos'!$C$98)+1400)+'Cálculos'!$C$122)*'Cálculos'!$C$244+'Cálculos'!$C$125*(1+2.78*('Cálculos'!$C$198+(($C51)-$A$6:$A$51)*'Cálculos'!$C$98)/(('Cálculos'!$C$198+(($C51)-$A$6:$A$51)*'Cálculos'!$C$98)+1400)+'Cálculos'!$C$123)*'Cálculos'!$C$249)+('Cálculos'!$C$198+(($C51)-$A$6:$A$51)*'Cálculos'!$C$98)*('Cálculos'!$C$240+'Cálculos'!$C$124*(1+2.78*('Cálculos'!$C$198+(($C51)-$A$6:$A$51)*'Cálculos'!$C$98)/(('Cálculos'!$C$198+(($C51)-$A$6:$A$51)*'Cálculos'!$C$98)+1400)+'Cálculos'!$C$122)*'Cálculos'!$C$245+'Cálculos'!$C$125*(1+2.78*('Cálculos'!$C$198+(($C51)-$A$6:$A$51)*'Cálculos'!$C$98)/(('Cálculos'!$C$198+(($C51)-$A$6:$A$51)*'Cálculos'!$C$98)+1400)+'Cálculos'!$C$123)*'Cálculos'!$C$250)+('Cálculos'!$C$201*(1+'Cálculos'!$C$202+$A$6:$A$51*('Cálculos'!$C$290=2)*'Cálculos'!$C$101)+'Cálculos'!$C$203)*('Cálculos'!$C$241+'Cálculos'!$C$124*(1+2.78*('Cálculos'!$C$198+(($C51)-$A$6:$A$51)*'Cálculos'!$C$98)/(('Cálculos'!$C$198+(($C51)-$A$6:$A$51)*'Cálculos'!$C$98)+1400)+'Cálculos'!$C$122)*'Cálculos'!$C$246+'Cálculos'!$C$125*(1+2.78*('Cálculos'!$C$198+(($C51)-$A$6:$A$51)*'Cálculos'!$C$98)/(('Cálculos'!$C$198+(($C51)-$A$6:$A$51)*'Cálculos'!$C$98)+1400)+'Cálculos'!$C$123)*'Cálculos'!$C$251)+('Cálculos'!$C$204*(1+'Cálculos'!$C$205+$A$6:$A$51*('Cálculos'!$C$290=3)*'Cálculos'!$C$103)+'Cálculos'!$C$206)*('Cálculos'!$C$242+'Cálculos'!$C$124*(1+2.78*('Cálculos'!$C$198+(($C51)-$A$6:$A$51)*'Cálculos'!$C$98)/(('Cálculos'!$C$198+(($C51)-$A$6:$A$51)*'Cálculos'!$C$98)+1400)+'Cálculos'!$C$122)*'Cálculos'!$C$247+'Cálculos'!$C$125*(1+2.78*('Cálculos'!$C$198+(($C51)-$A$6:$A$51)*'Cálculos'!$C$98)/(('Cálculos'!$C$198+(($C51)-$A$6:$A$51)*'Cálculos'!$C$98)+1400)+'Cálculos'!$C$123)*'Cálculos'!$C$252)+('Cálculos'!$C$243+'Cálculos'!$C$124*(1+2.78*('Cálculos'!$C$198+(($C51)-$A$6:$A$51)*'Cálculos'!$C$98)/(('Cálculos'!$C$198+(($C51)-$A$6:$A$51)*'Cálculos'!$C$98)+1400)+'Cálculos'!$C$122)*'Cálculos'!$C$248+'Cálculos'!$C$125*(1+2.78*('Cálculos'!$C$198+(($C51)-$A$6:$A$51)*'Cálculos'!$C$98)/(('Cálculos'!$C$198+(($C51)-$A$6:$A$51)*'Cálculos'!$C$98)+1400)+'Cálculos'!$C$123)*'Cálculos'!$C$253)+('Cálculos'!$C$185*(1+'Cálculos'!$C$189+$A$6:$A$51*('Cálculos'!$C$290=1)*'Cálculos'!$C$97+'Cálculos'!$C$305)+'Cálculos'!$C$194)*('Cálculos'!$C$254+'Cálculos'!$C$124*(1+2.78*('Cálculos'!$C$199+(($C51)-$A$6:$A$51)*'Cálculos'!$C$98)/(('Cálculos'!$C$199+(($C51)-$A$6:$A$51)*'Cálculos'!$C$98)+1400)+'Cálculos'!$C$122)*'Cálculos'!$C$259+'Cálculos'!$C$125*(1+2.78*('Cálculos'!$C$199+(($C51)-$A$6:$A$51)*'Cálculos'!$C$98)/(('Cálculos'!$C$199+(($C51)-$A$6:$A$51)*'Cálculos'!$C$98)+1400)+'Cálculos'!$C$123)*'Cálculos'!$C$264)+('Cálculos'!$C$199+(($C51)-$A$6:$A$51)*'Cálculos'!$C$98)*('Cálculos'!$C$255+'Cálculos'!$C$124*(1+2.78*('Cálculos'!$C$199+(($C51)-$A$6:$A$51)*'Cálculos'!$C$98)/(('Cálculos'!$C$199+(($C51)-$A$6:$A$51)*'Cálculos'!$C$98)+1400)+'Cálculos'!$C$122)*'Cálculos'!$C$260+'Cálculos'!$C$125*(1+2.78*('Cálculos'!$C$199+(($C51)-$A$6:$A$51)*'Cálculos'!$C$98)/(('Cálculos'!$C$199+(($C51)-$A$6:$A$51)*'Cálculos'!$C$98)+1400)+'Cálculos'!$C$123)*'Cálculos'!$C$265)+('Cálculos'!$C$201*(1+'Cálculos'!$C$202+$A$6:$A$51*('Cálculos'!$C$290=2)*'Cálculos'!$C$101)+'Cálculos'!$C$203)*('Cálculos'!$C$256+'Cálculos'!$C$124*(1+2.78*('Cálculos'!$C$199+(($C51)-$A$6:$A$51)*'Cálculos'!$C$98)/(('Cálculos'!$C$199+(($C51)-$A$6:$A$51)*'Cálculos'!$C$98)+1400)+'Cálculos'!$C$122)*'Cálculos'!$C$261+'Cálculos'!$C$125*(1+2.78*('Cálculos'!$C$199+(($C51)-$A$6:$A$51)*'Cálculos'!$C$98)/(('Cálculos'!$C$199+(($C51)-$A$6:$A$51)*'Cálculos'!$C$98)+1400)+'Cálculos'!$C$123)*'Cálculos'!$C$266)+('Cálculos'!$C$204*(1+'Cálculos'!$C$205+$A$6:$A$51*('Cálculos'!$C$290=3)*'Cálculos'!$C$103)+'Cálculos'!$C$206)*('Cálculos'!$C$257+'Cálculos'!$C$124*(1+2.78*('Cálculos'!$C$199+(($C51)-$A$6:$A$51)*'Cálculos'!$C$98)/(('Cálculos'!$C$199+(($C51)-$A$6:$A$51)*'Cálculos'!$C$98)+1400)+'Cálculos'!$C$122)*'Cálculos'!$C$262+'Cálculos'!$C$125*(1+2.78*('Cálculos'!$C$199+(($C51)-$A$6:$A$51)*'Cálculos'!$C$98)/(('Cálculos'!$C$199+(($C51)-$A$6:$A$51)*'Cálculos'!$C$98)+1400)+'Cálculos'!$C$123)*'Cálculos'!$C$267)+('Cálculos'!$C$258+'Cálculos'!$C$124*(1+2.78*('Cálculos'!$C$199+(($C51)-$A$6:$A$51)*'Cálculos'!$C$98)/(('Cálculos'!$C$199+(($C51)-$A$6:$A$51)*'Cálculos'!$C$98)+1400)+'Cálculos'!$C$122)*'Cálculos'!$C$263+'Cálculos'!$C$125*(1+2.78*('Cálculos'!$C$199+(($C51)-$A$6:$A$51)*'Cálculos'!$C$98)/(('Cálculos'!$C$199+(($C51)-$A$6:$A$51)*'Cálculos'!$C$98)+1400)+'Cálculos'!$C$123)*'Cálculos'!$C$268)+('Cálculos'!$C$185*(1+'Cálculos'!$C$190+$A$6:$A$51*('Cálculos'!$C$290=1)*'Cálculos'!$C$97+'Cálculos'!$C$305)+'Cálculos'!$C$195)*('Cálculos'!$C$269+'Cálculos'!$C$124*(1+2.78*('Cálculos'!$C$200+(($C51)-$A$6:$A$51)*'Cálculos'!$C$98)/(('Cálculos'!$C$200+(($C51)-$A$6:$A$51)*'Cálculos'!$C$98)+1400)+'Cálculos'!$C$122)*'Cálculos'!$C$274+'Cálculos'!$C$125*(1+2.78*('Cálculos'!$C$200+(($C51)-$A$6:$A$51)*'Cálculos'!$C$98)/(('Cálculos'!$C$200+(($C51)-$A$6:$A$51)*'Cálculos'!$C$98)+1400)+'Cálculos'!$C$123)*'Cálculos'!$C$279)+('Cálculos'!$C$200+(($C51)-$A$6:$A$51)*'Cálculos'!$C$98)*('Cálculos'!$C$270+'Cálculos'!$C$124*(1+2.78*('Cálculos'!$C$200+(($C51)-$A$6:$A$51)*'Cálculos'!$C$98)/(('Cálculos'!$C$200+(($C51)-$A$6:$A$51)*'Cálculos'!$C$98)+1400)+'Cálculos'!$C$122)*'Cálculos'!$C$275+'Cálculos'!$C$125*(1+2.78*('Cálculos'!$C$200+(($C51)-$A$6:$A$51)*'Cálculos'!$C$98)/(('Cálculos'!$C$200+(($C51)-$A$6:$A$51)*'Cálculos'!$C$98)+1400)+'Cálculos'!$C$123)*'Cálculos'!$C$280)+('Cálculos'!$C$201*(1+'Cálculos'!$C$202+$A$6:$A$51*('Cálculos'!$C$290=2)*'Cálculos'!$C$101)+'Cálculos'!$C$203)*('Cálculos'!$C$271+'Cálculos'!$C$124*(1+2.78*('Cálculos'!$C$200+(($C51)-$A$6:$A$51)*'Cálculos'!$C$98)/(('Cálculos'!$C$200+(($C51)-$A$6:$A$51)*'Cálculos'!$C$98)+1400)+'Cálculos'!$C$122)*'Cálculos'!$C$276+'Cálculos'!$C$125*(1+2.78*('Cálculos'!$C$200+(($C51)-$A$6:$A$51)*'Cálculos'!$C$98)/(('Cálculos'!$C$200+(($C51)-$A$6:$A$51)*'Cálculos'!$C$98)+1400)+'Cálculos'!$C$123)*'Cálculos'!$C$281)+('Cálculos'!$C$204*(1+'Cálculos'!$C$205+$A$6:$A$51*('Cálculos'!$C$290=3)*'Cálculos'!$C$103)+'Cálculos'!$C$206)*('Cálculos'!$C$272+'Cálculos'!$C$124*(1+2.78*('Cálculos'!$C$200+(($C51)-$A$6:$A$51)*'Cálculos'!$C$98)/(('Cálculos'!$C$200+(($C51)-$A$6:$A$51)*'Cálculos'!$C$98)+1400)+'Cálculos'!$C$122)*'Cálculos'!$C$277+'Cálculos'!$C$125*(1+2.78*('Cálculos'!$C$200+(($C51)-$A$6:$A$51)*'Cálculos'!$C$98)/(('Cálculos'!$C$200+(($C51)-$A$6:$A$51)*'Cálculos'!$C$98)+1400)+'Cálculos'!$C$123)*'Cálculos'!$C$282)+('Cálculos'!$C$273+'Cálculos'!$C$124*(1+2.78*('Cálculos'!$C$200+(($C51)-$A$6:$A$51)*'Cálculos'!$C$98)/(('Cálculos'!$C$200+(($C51)-$A$6:$A$51)*'Cálculos'!$C$98)+1400)+'Cálculos'!$C$122)*'Cálculos'!$C$278+'Cálculos'!$C$125*(1+2.78*('Cálculos'!$C$200+(($C51)-$A$6:$A$51)*'Cálculos'!$C$98)/(('Cálculos'!$C$200+(($C51)-$A$6:$A$51)*'Cálculos'!$C$98)+1400)+'Cálculos'!$C$123)*'Cálculos'!$C$283)))))</f>
        <v>0</v>
      </c>
      <c r="E51" s="32">
        <f>IF(OR($C51&lt;0,'Cálculos'!$C$6=""),0,$B51*$D51)</f>
        <v>0</v>
      </c>
      <c r="F51" s="2"/>
      <c r="G51" s="30">
        <f>($A51&lt;=$B$53)*($A51&lt;='Cálculos'!$C$294)*(($B$53)-$A51&lt;='Cálculos'!$C$295)*(1+MIN(('Cálculos'!$C$207+$A51*'Cálculos'!$C$95),1)*('Cálculos'!$C$208+(($B$53)-$A51)*'Cálculos'!$C$96))</f>
        <v>0</v>
      </c>
      <c r="H51" s="31">
        <f>IF($B$54&lt;0,0,($A51&lt;=$B$54)*($A51&lt;='Cálculos'!$C$301)*(($B$54)-$A51&lt;='Cálculos'!$C$297)*(('Cálculos'!$C$185*(1+'Cálculos'!$C$186+$A51*('Cálculos'!$C$290=1)*'Cálculos'!$C$97+'Cálculos'!$C$305)+'Cálculos'!$C$191)*('Cálculos'!$C$209+'Cálculos'!$C$124*(1+2.78*('Cálculos'!$C$196+(($B$54)-$A51)*'Cálculos'!$C$98)/(('Cálculos'!$C$196+(($B$54)-$A51)*'Cálculos'!$C$98)+1400)+'Cálculos'!$C$122)*'Cálculos'!$C$214+'Cálculos'!$C$125*(1+2.78*('Cálculos'!$C$196+(($B$54)-$A51)*'Cálculos'!$C$98)/(('Cálculos'!$C$196+(($B$54)-$A51)*'Cálculos'!$C$98)+1400)+'Cálculos'!$C$123)*'Cálculos'!$C$219)+('Cálculos'!$C$196+(($B$54)-$A51)*'Cálculos'!$C$98)*('Cálculos'!$C$210+'Cálculos'!$C$124*(1+2.78*('Cálculos'!$C$196+(($B$54)-$A51)*'Cálculos'!$C$98)/(('Cálculos'!$C$196+(($B$54)-$A51)*'Cálculos'!$C$98)+1400)+'Cálculos'!$C$122)*'Cálculos'!$C$215+'Cálculos'!$C$125*(1+2.78*('Cálculos'!$C$196+(($B$54)-$A51)*'Cálculos'!$C$98)/(('Cálculos'!$C$196+(($B$54)-$A51)*'Cálculos'!$C$98)+1400)+'Cálculos'!$C$123)*'Cálculos'!$C$220)+('Cálculos'!$C$201*(1+'Cálculos'!$C$202+$A51*('Cálculos'!$C$290=2)*'Cálculos'!$C$101)+'Cálculos'!$C$203)*('Cálculos'!$C$211+'Cálculos'!$C$124*(1+2.78*('Cálculos'!$C$196+(($B$54)-$A51)*'Cálculos'!$C$98)/(('Cálculos'!$C$196+(($B$54)-$A51)*'Cálculos'!$C$98)+1400)+'Cálculos'!$C$122)*'Cálculos'!$C$216+'Cálculos'!$C$125*(1+2.78*('Cálculos'!$C$196+(($B$54)-$A51)*'Cálculos'!$C$98)/(('Cálculos'!$C$196+(($B$54)-$A51)*'Cálculos'!$C$98)+1400)+'Cálculos'!$C$123)*'Cálculos'!$C$221)+('Cálculos'!$C$204*(1+'Cálculos'!$C$205+$A51*('Cálculos'!$C$290=3)*'Cálculos'!$C$103)+'Cálculos'!$C$206)*('Cálculos'!$C$212+'Cálculos'!$C$124*(1+2.78*('Cálculos'!$C$196+(($B$54)-$A51)*'Cálculos'!$C$98)/(('Cálculos'!$C$196+(($B$54)-$A51)*'Cálculos'!$C$98)+1400)+'Cálculos'!$C$122)*'Cálculos'!$C$217+'Cálculos'!$C$125*(1+2.78*('Cálculos'!$C$196+(($B$54)-$A51)*'Cálculos'!$C$98)/(('Cálculos'!$C$196+(($B$54)-$A51)*'Cálculos'!$C$98)+1400)+'Cálculos'!$C$123)*'Cálculos'!$C$222)+('Cálculos'!$C$213+'Cálculos'!$C$124*(1+2.78*('Cálculos'!$C$196+(($B$54)-$A51)*'Cálculos'!$C$98)/(('Cálculos'!$C$196+(($B$54)-$A51)*'Cálculos'!$C$98)+1400)+'Cálculos'!$C$122)*'Cálculos'!$C$218+'Cálculos'!$C$125*(1+2.78*('Cálculos'!$C$196+(($B$54)-$A51)*'Cálculos'!$C$98)/(('Cálculos'!$C$196+(($B$54)-$A51)*'Cálculos'!$C$98)+1400)+'Cálculos'!$C$123)*'Cálculos'!$C$223)+('Cálculos'!$C$185*(1+'Cálculos'!$C$187+$A51*('Cálculos'!$C$290=1)*'Cálculos'!$C$97+'Cálculos'!$C$305)+'Cálculos'!$C$192)*('Cálculos'!$C$224+'Cálculos'!$C$124*(1+2.78*('Cálculos'!$C$197+(($B$54)-$A51)*'Cálculos'!$C$98)/(('Cálculos'!$C$197+(($B$54)-$A51)*'Cálculos'!$C$98)+1400)+'Cálculos'!$C$122)*'Cálculos'!$C$229+'Cálculos'!$C$125*(1+2.78*('Cálculos'!$C$197+(($B$54)-$A51)*'Cálculos'!$C$98)/(('Cálculos'!$C$197+(($B$54)-$A51)*'Cálculos'!$C$98)+1400)+'Cálculos'!$C$123)*'Cálculos'!$C$234)+('Cálculos'!$C$197+(($B$54)-$A51)*'Cálculos'!$C$98)*('Cálculos'!$C$225+'Cálculos'!$C$124*(1+2.78*('Cálculos'!$C$197+(($B$54)-$A51)*'Cálculos'!$C$98)/(('Cálculos'!$C$197+(($B$54)-$A51)*'Cálculos'!$C$98)+1400)+'Cálculos'!$C$122)*'Cálculos'!$C$230+'Cálculos'!$C$125*(1+2.78*('Cálculos'!$C$197+(($B$54)-$A51)*'Cálculos'!$C$98)/(('Cálculos'!$C$197+(($B$54)-$A51)*'Cálculos'!$C$98)+1400)+'Cálculos'!$C$123)*'Cálculos'!$C$235)+('Cálculos'!$C$201*(1+'Cálculos'!$C$202+$A51*('Cálculos'!$C$290=2)*'Cálculos'!$C$101)+'Cálculos'!$C$203)*('Cálculos'!$C$226+'Cálculos'!$C$124*(1+2.78*('Cálculos'!$C$197+(($B$54)-$A51)*'Cálculos'!$C$98)/(('Cálculos'!$C$197+(($B$54)-$A51)*'Cálculos'!$C$98)+1400)+'Cálculos'!$C$122)*'Cálculos'!$C$231+'Cálculos'!$C$125*(1+2.78*('Cálculos'!$C$197+(($B$54)-$A51)*'Cálculos'!$C$98)/(('Cálculos'!$C$197+(($B$54)-$A51)*'Cálculos'!$C$98)+1400)+'Cálculos'!$C$123)*'Cálculos'!$C$236)+('Cálculos'!$C$204*(1+'Cálculos'!$C$205+$A51*('Cálculos'!$C$290=3)*'Cálculos'!$C$103)+'Cálculos'!$C$206)*('Cálculos'!$C$227+'Cálculos'!$C$124*(1+2.78*('Cálculos'!$C$197+(($B$54)-$A51)*'Cálculos'!$C$98)/(('Cálculos'!$C$197+(($B$54)-$A51)*'Cálculos'!$C$98)+1400)+'Cálculos'!$C$122)*'Cálculos'!$C$232+'Cálculos'!$C$125*(1+2.78*('Cálculos'!$C$197+(($B$54)-$A51)*'Cálculos'!$C$98)/(('Cálculos'!$C$197+(($B$54)-$A51)*'Cálculos'!$C$98)+1400)+'Cálculos'!$C$123)*'Cálculos'!$C$237)+('Cálculos'!$C$228+'Cálculos'!$C$124*(1+2.78*('Cálculos'!$C$197+(($B$54)-$A51)*'Cálculos'!$C$98)/(('Cálculos'!$C$197+(($B$54)-$A51)*'Cálculos'!$C$98)+1400)+'Cálculos'!$C$122)*'Cálculos'!$C$233+'Cálculos'!$C$125*(1+2.78*('Cálculos'!$C$197+(($B$54)-$A51)*'Cálculos'!$C$98)/(('Cálculos'!$C$197+(($B$54)-$A51)*'Cálculos'!$C$98)+1400)+'Cálculos'!$C$123)*'Cálculos'!$C$238)+('Cálculos'!$C$185*(1+'Cálculos'!$C$188+$A51*('Cálculos'!$C$290=1)*'Cálculos'!$C$97+'Cálculos'!$C$305)+'Cálculos'!$C$193)*('Cálculos'!$C$239+'Cálculos'!$C$124*(1+2.78*('Cálculos'!$C$198+(($B$54)-$A51)*'Cálculos'!$C$98)/(('Cálculos'!$C$198+(($B$54)-$A51)*'Cálculos'!$C$98)+1400)+'Cálculos'!$C$122)*'Cálculos'!$C$244+'Cálculos'!$C$125*(1+2.78*('Cálculos'!$C$198+(($B$54)-$A51)*'Cálculos'!$C$98)/(('Cálculos'!$C$198+(($B$54)-$A51)*'Cálculos'!$C$98)+1400)+'Cálculos'!$C$123)*'Cálculos'!$C$249)+('Cálculos'!$C$198+(($B$54)-$A51)*'Cálculos'!$C$98)*('Cálculos'!$C$240+'Cálculos'!$C$124*(1+2.78*('Cálculos'!$C$198+(($B$54)-$A51)*'Cálculos'!$C$98)/(('Cálculos'!$C$198+(($B$54)-$A51)*'Cálculos'!$C$98)+1400)+'Cálculos'!$C$122)*'Cálculos'!$C$245+'Cálculos'!$C$125*(1+2.78*('Cálculos'!$C$198+(($B$54)-$A51)*'Cálculos'!$C$98)/(('Cálculos'!$C$198+(($B$54)-$A51)*'Cálculos'!$C$98)+1400)+'Cálculos'!$C$123)*'Cálculos'!$C$250)+('Cálculos'!$C$201*(1+'Cálculos'!$C$202+$A51*('Cálculos'!$C$290=2)*'Cálculos'!$C$101)+'Cálculos'!$C$203)*('Cálculos'!$C$241+'Cálculos'!$C$124*(1+2.78*('Cálculos'!$C$198+(($B$54)-$A51)*'Cálculos'!$C$98)/(('Cálculos'!$C$198+(($B$54)-$A51)*'Cálculos'!$C$98)+1400)+'Cálculos'!$C$122)*'Cálculos'!$C$246+'Cálculos'!$C$125*(1+2.78*('Cálculos'!$C$198+(($B$54)-$A51)*'Cálculos'!$C$98)/(('Cálculos'!$C$198+(($B$54)-$A51)*'Cálculos'!$C$98)+1400)+'Cálculos'!$C$123)*'Cálculos'!$C$251)+('Cálculos'!$C$204*(1+'Cálculos'!$C$205+$A51*('Cálculos'!$C$290=3)*'Cálculos'!$C$103)+'Cálculos'!$C$206)*('Cálculos'!$C$242+'Cálculos'!$C$124*(1+2.78*('Cálculos'!$C$198+(($B$54)-$A51)*'Cálculos'!$C$98)/(('Cálculos'!$C$198+(($B$54)-$A51)*'Cálculos'!$C$98)+1400)+'Cálculos'!$C$122)*'Cálculos'!$C$247+'Cálculos'!$C$125*(1+2.78*('Cálculos'!$C$198+(($B$54)-$A51)*'Cálculos'!$C$98)/(('Cálculos'!$C$198+(($B$54)-$A51)*'Cálculos'!$C$98)+1400)+'Cálculos'!$C$123)*'Cálculos'!$C$252)+('Cálculos'!$C$243+'Cálculos'!$C$124*(1+2.78*('Cálculos'!$C$198+(($B$54)-$A51)*'Cálculos'!$C$98)/(('Cálculos'!$C$198+(($B$54)-$A51)*'Cálculos'!$C$98)+1400)+'Cálculos'!$C$122)*'Cálculos'!$C$248+'Cálculos'!$C$125*(1+2.78*('Cálculos'!$C$198+(($B$54)-$A51)*'Cálculos'!$C$98)/(('Cálculos'!$C$198+(($B$54)-$A51)*'Cálculos'!$C$98)+1400)+'Cálculos'!$C$123)*'Cálculos'!$C$253)+('Cálculos'!$C$185*(1+'Cálculos'!$C$189+$A51*('Cálculos'!$C$290=1)*'Cálculos'!$C$97+'Cálculos'!$C$305)+'Cálculos'!$C$194)*('Cálculos'!$C$254+'Cálculos'!$C$124*(1+2.78*('Cálculos'!$C$199+(($B$54)-$A51)*'Cálculos'!$C$98)/(('Cálculos'!$C$199+(($B$54)-$A51)*'Cálculos'!$C$98)+1400)+'Cálculos'!$C$122)*'Cálculos'!$C$259+'Cálculos'!$C$125*(1+2.78*('Cálculos'!$C$199+(($B$54)-$A51)*'Cálculos'!$C$98)/(('Cálculos'!$C$199+(($B$54)-$A51)*'Cálculos'!$C$98)+1400)+'Cálculos'!$C$123)*'Cálculos'!$C$264)+('Cálculos'!$C$199+(($B$54)-$A51)*'Cálculos'!$C$98)*('Cálculos'!$C$255+'Cálculos'!$C$124*(1+2.78*('Cálculos'!$C$199+(($B$54)-$A51)*'Cálculos'!$C$98)/(('Cálculos'!$C$199+(($B$54)-$A51)*'Cálculos'!$C$98)+1400)+'Cálculos'!$C$122)*'Cálculos'!$C$260+'Cálculos'!$C$125*(1+2.78*('Cálculos'!$C$199+(($B$54)-$A51)*'Cálculos'!$C$98)/(('Cálculos'!$C$199+(($B$54)-$A51)*'Cálculos'!$C$98)+1400)+'Cálculos'!$C$123)*'Cálculos'!$C$265)+('Cálculos'!$C$201*(1+'Cálculos'!$C$202+$A51*('Cálculos'!$C$290=2)*'Cálculos'!$C$101)+'Cálculos'!$C$203)*('Cálculos'!$C$256+'Cálculos'!$C$124*(1+2.78*('Cálculos'!$C$199+(($B$54)-$A51)*'Cálculos'!$C$98)/(('Cálculos'!$C$199+(($B$54)-$A51)*'Cálculos'!$C$98)+1400)+'Cálculos'!$C$122)*'Cálculos'!$C$261+'Cálculos'!$C$125*(1+2.78*('Cálculos'!$C$199+(($B$54)-$A51)*'Cálculos'!$C$98)/(('Cálculos'!$C$199+(($B$54)-$A51)*'Cálculos'!$C$98)+1400)+'Cálculos'!$C$123)*'Cálculos'!$C$266)+('Cálculos'!$C$204*(1+'Cálculos'!$C$205+$A51*('Cálculos'!$C$290=3)*'Cálculos'!$C$103)+'Cálculos'!$C$206)*('Cálculos'!$C$257+'Cálculos'!$C$124*(1+2.78*('Cálculos'!$C$199+(($B$54)-$A51)*'Cálculos'!$C$98)/(('Cálculos'!$C$199+(($B$54)-$A51)*'Cálculos'!$C$98)+1400)+'Cálculos'!$C$122)*'Cálculos'!$C$262+'Cálculos'!$C$125*(1+2.78*('Cálculos'!$C$199+(($B$54)-$A51)*'Cálculos'!$C$98)/(('Cálculos'!$C$199+(($B$54)-$A51)*'Cálculos'!$C$98)+1400)+'Cálculos'!$C$123)*'Cálculos'!$C$267)+('Cálculos'!$C$258+'Cálculos'!$C$124*(1+2.78*('Cálculos'!$C$199+(($B$54)-$A51)*'Cálculos'!$C$98)/(('Cálculos'!$C$199+(($B$54)-$A51)*'Cálculos'!$C$98)+1400)+'Cálculos'!$C$122)*'Cálculos'!$C$263+'Cálculos'!$C$125*(1+2.78*('Cálculos'!$C$199+(($B$54)-$A51)*'Cálculos'!$C$98)/(('Cálculos'!$C$199+(($B$54)-$A51)*'Cálculos'!$C$98)+1400)+'Cálculos'!$C$123)*'Cálculos'!$C$268)+('Cálculos'!$C$185*(1+'Cálculos'!$C$190+$A51*('Cálculos'!$C$290=1)*'Cálculos'!$C$97+'Cálculos'!$C$305)+'Cálculos'!$C$195)*('Cálculos'!$C$269+'Cálculos'!$C$124*(1+2.78*('Cálculos'!$C$200+(($B$54)-$A51)*'Cálculos'!$C$98)/(('Cálculos'!$C$200+(($B$54)-$A51)*'Cálculos'!$C$98)+1400)+'Cálculos'!$C$122)*'Cálculos'!$C$274+'Cálculos'!$C$125*(1+2.78*('Cálculos'!$C$200+(($B$54)-$A51)*'Cálculos'!$C$98)/(('Cálculos'!$C$200+(($B$54)-$A51)*'Cálculos'!$C$98)+1400)+'Cálculos'!$C$123)*'Cálculos'!$C$279)+('Cálculos'!$C$200+(($B$54)-$A51)*'Cálculos'!$C$98)*('Cálculos'!$C$270+'Cálculos'!$C$124*(1+2.78*('Cálculos'!$C$200+(($B$54)-$A51)*'Cálculos'!$C$98)/(('Cálculos'!$C$200+(($B$54)-$A51)*'Cálculos'!$C$98)+1400)+'Cálculos'!$C$122)*'Cálculos'!$C$275+'Cálculos'!$C$125*(1+2.78*('Cálculos'!$C$200+(($B$54)-$A51)*'Cálculos'!$C$98)/(('Cálculos'!$C$200+(($B$54)-$A51)*'Cálculos'!$C$98)+1400)+'Cálculos'!$C$123)*'Cálculos'!$C$280)+('Cálculos'!$C$201*(1+'Cálculos'!$C$202+$A51*('Cálculos'!$C$290=2)*'Cálculos'!$C$101)+'Cálculos'!$C$203)*('Cálculos'!$C$271+'Cálculos'!$C$124*(1+2.78*('Cálculos'!$C$200+(($B$54)-$A51)*'Cálculos'!$C$98)/(('Cálculos'!$C$200+(($B$54)-$A51)*'Cálculos'!$C$98)+1400)+'Cálculos'!$C$122)*'Cálculos'!$C$276+'Cálculos'!$C$125*(1+2.78*('Cálculos'!$C$200+(($B$54)-$A51)*'Cálculos'!$C$98)/(('Cálculos'!$C$200+(($B$54)-$A51)*'Cálculos'!$C$98)+1400)+'Cálculos'!$C$123)*'Cálculos'!$C$281)+('Cálculos'!$C$204*(1+'Cálculos'!$C$205+$A51*('Cálculos'!$C$290=3)*'Cálculos'!$C$103)+'Cálculos'!$C$206)*('Cálculos'!$C$272+'Cálculos'!$C$124*(1+2.78*('Cálculos'!$C$200+(($B$54)-$A51)*'Cálculos'!$C$98)/(('Cálculos'!$C$200+(($B$54)-$A51)*'Cálculos'!$C$98)+1400)+'Cálculos'!$C$122)*'Cálculos'!$C$277+'Cálculos'!$C$125*(1+2.78*('Cálculos'!$C$200+(($B$54)-$A51)*'Cálculos'!$C$98)/(('Cálculos'!$C$200+(($B$54)-$A51)*'Cálculos'!$C$98)+1400)+'Cálculos'!$C$123)*'Cálculos'!$C$282)+('Cálculos'!$C$273+'Cálculos'!$C$124*(1+2.78*('Cálculos'!$C$200+(($B$54)-$A51)*'Cálculos'!$C$98)/(('Cálculos'!$C$200+(($B$54)-$A51)*'Cálculos'!$C$98)+1400)+'Cálculos'!$C$122)*'Cálculos'!$C$278+'Cálculos'!$C$125*(1+2.78*('Cálculos'!$C$200+(($B$54)-$A51)*'Cálculos'!$C$98)/(('Cálculos'!$C$200+(($B$54)-$A51)*'Cálculos'!$C$98)+1400)+'Cálculos'!$C$123)*'Cálculos'!$C$283)))</f>
        <v>0</v>
      </c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3" t="s">
        <v>888</v>
      </c>
      <c r="B53" s="2">
        <f>IF('Cálculos'!$C$304="",MATCH(MAX($E$6:$E$51),$E$6:$E$51,0)-1,'Cálculos'!$C$304)</f>
        <v>16</v>
      </c>
      <c r="C53" s="2"/>
      <c r="D53" s="2"/>
      <c r="E53" s="2"/>
      <c r="F53" s="2"/>
      <c r="G53" s="2"/>
      <c r="H53" s="2"/>
    </row>
    <row r="54" ht="15.75" customHeight="1">
      <c r="A54" s="3" t="s">
        <v>889</v>
      </c>
      <c r="B54" s="2">
        <f>'Cálculos'!$C$303-$B$53</f>
        <v>4</v>
      </c>
      <c r="C54" s="2"/>
      <c r="D54" s="2"/>
      <c r="E54" s="2"/>
      <c r="F54" s="2"/>
      <c r="G54" s="2"/>
      <c r="H54" s="2"/>
    </row>
    <row r="55" ht="15.75" customHeight="1">
      <c r="A55" s="3" t="s">
        <v>637</v>
      </c>
      <c r="B55" s="37">
        <f>MATCH(MAX($G$6:$G$51),$G$6:$G$51,0)-1</f>
        <v>11</v>
      </c>
      <c r="C55" s="2"/>
      <c r="D55" s="2"/>
      <c r="E55" s="2"/>
      <c r="F55" s="2"/>
      <c r="G55" s="2"/>
      <c r="H55" s="2"/>
    </row>
    <row r="56" ht="15.75" customHeight="1">
      <c r="A56" s="3" t="s">
        <v>638</v>
      </c>
      <c r="B56" s="37">
        <f>$B$53-$B$55</f>
        <v>5</v>
      </c>
      <c r="C56" s="2"/>
      <c r="D56" s="2"/>
      <c r="E56" s="2"/>
      <c r="F56" s="2"/>
      <c r="G56" s="2"/>
      <c r="H56" s="2"/>
    </row>
    <row r="57" ht="15.75" customHeight="1">
      <c r="A57" s="3" t="s">
        <v>890</v>
      </c>
      <c r="B57" s="37">
        <f>MATCH(MAX($H$6:$H$51),$H$6:$H$51,0)-1</f>
        <v>0</v>
      </c>
      <c r="C57" s="2"/>
      <c r="D57" s="2"/>
      <c r="E57" s="2"/>
      <c r="F57" s="2"/>
      <c r="G57" s="2"/>
      <c r="H57" s="2"/>
    </row>
    <row r="58" ht="15.75" customHeight="1">
      <c r="A58" s="3" t="s">
        <v>640</v>
      </c>
      <c r="B58" s="37">
        <f>$B$54-$B$57</f>
        <v>4</v>
      </c>
      <c r="C58" s="2"/>
      <c r="D58" s="2"/>
      <c r="E58" s="2"/>
      <c r="F58" s="2"/>
      <c r="G58" s="2"/>
      <c r="H58" s="2"/>
    </row>
    <row r="59" ht="15.75" customHeight="1">
      <c r="A59" s="3" t="s">
        <v>641</v>
      </c>
      <c r="B59" s="37">
        <f>'Cálculos'!$C$302</f>
        <v>0</v>
      </c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3" t="str">
        <f>"Slot 2: "&amp;'Cálculos'!D6</f>
        <v>Slot 2: Citlali</v>
      </c>
      <c r="B61" s="2"/>
      <c r="C61" s="2"/>
      <c r="D61" s="2"/>
      <c r="E61" s="2"/>
      <c r="F61" s="2"/>
      <c r="G61" s="2"/>
      <c r="H61" s="2"/>
    </row>
    <row r="62" ht="15.75" customHeight="1">
      <c r="A62" s="6" t="s">
        <v>329</v>
      </c>
      <c r="B62" s="6" t="s">
        <v>330</v>
      </c>
      <c r="C62" s="6" t="s">
        <v>331</v>
      </c>
      <c r="D62" s="6" t="s">
        <v>332</v>
      </c>
      <c r="E62" s="6" t="s">
        <v>333</v>
      </c>
      <c r="F62" s="6"/>
      <c r="G62" s="6" t="s">
        <v>334</v>
      </c>
      <c r="H62" s="6" t="s">
        <v>335</v>
      </c>
    </row>
    <row r="63" ht="15.75" customHeight="1">
      <c r="A63" s="2">
        <v>0.0</v>
      </c>
      <c r="B63" s="30">
        <f>SUMPRODUCT(MAX(($A$63:$A$108&lt;=$A63)*($A$63:$A$108&lt;='Cálculos'!$D$294)*(($A63)-$A$63:$A$108&lt;='Cálculos'!$D$295)*(1+(('Cálculos'!$D$207+$A$63:$A$108*'Cálculos'!$D$95)-(('Cálculos'!$D$207+$A$63:$A$108*'Cálculos'!$D$95)&gt;1)*(('Cálculos'!$D$207+$A$63:$A$108*'Cálculos'!$D$95)-1))*('Cálculos'!$D$208+(($A63)-$A$63:$A$108)*'Cálculos'!$D$96))))</f>
        <v>1.206921083</v>
      </c>
      <c r="C63" s="2">
        <f>'Cálculos'!$D$303-$A63</f>
        <v>11</v>
      </c>
      <c r="D63" s="31">
        <f>IF($C63&lt;0,0,SUMPRODUCT(MAX(($A$63:$A$108&lt;=$C63)*($A$63:$A$108&lt;='Cálculos'!$D$301)*(($C63)-$A$63:$A$108&lt;='Cálculos'!$D$297)*(('Cálculos'!$D$185*(1+'Cálculos'!$D$186+$A$63:$A$108*('Cálculos'!$D$290=1)*'Cálculos'!$D$97+'Cálculos'!$D$305)+'Cálculos'!$D$191)*('Cálculos'!$D$209+'Cálculos'!$D$124*(1+2.78*('Cálculos'!$D$196+(($C63)-$A$63:$A$108)*'Cálculos'!$D$98)/(('Cálculos'!$D$196+(($C63)-$A$63:$A$108)*'Cálculos'!$D$98)+1400)+'Cálculos'!$D$122)*'Cálculos'!$D$214+'Cálculos'!$D$125*(1+2.78*('Cálculos'!$D$196+(($C63)-$A$63:$A$108)*'Cálculos'!$D$98)/(('Cálculos'!$D$196+(($C63)-$A$63:$A$108)*'Cálculos'!$D$98)+1400)+'Cálculos'!$D$123)*'Cálculos'!$D$219)+('Cálculos'!$D$196+(($C63)-$A$63:$A$108)*'Cálculos'!$D$98)*('Cálculos'!$D$210+'Cálculos'!$D$124*(1+2.78*('Cálculos'!$D$196+(($C63)-$A$63:$A$108)*'Cálculos'!$D$98)/(('Cálculos'!$D$196+(($C63)-$A$63:$A$108)*'Cálculos'!$D$98)+1400)+'Cálculos'!$D$122)*'Cálculos'!$D$215+'Cálculos'!$D$125*(1+2.78*('Cálculos'!$D$196+(($C63)-$A$63:$A$108)*'Cálculos'!$D$98)/(('Cálculos'!$D$196+(($C63)-$A$63:$A$108)*'Cálculos'!$D$98)+1400)+'Cálculos'!$D$123)*'Cálculos'!$D$220)+('Cálculos'!$D$201*(1+'Cálculos'!$D$202+$A$63:$A$108*('Cálculos'!$D$290=2)*'Cálculos'!$D$101)+'Cálculos'!$D$203)*('Cálculos'!$D$211+'Cálculos'!$D$124*(1+2.78*('Cálculos'!$D$196+(($C63)-$A$63:$A$108)*'Cálculos'!$D$98)/(('Cálculos'!$D$196+(($C63)-$A$63:$A$108)*'Cálculos'!$D$98)+1400)+'Cálculos'!$D$122)*'Cálculos'!$D$216+'Cálculos'!$D$125*(1+2.78*('Cálculos'!$D$196+(($C63)-$A$63:$A$108)*'Cálculos'!$D$98)/(('Cálculos'!$D$196+(($C63)-$A$63:$A$108)*'Cálculos'!$D$98)+1400)+'Cálculos'!$D$123)*'Cálculos'!$D$221)+('Cálculos'!$D$204*(1+'Cálculos'!$D$205+$A$63:$A$108*('Cálculos'!$D$290=3)*'Cálculos'!$D$103)+'Cálculos'!$D$206)*('Cálculos'!$D$212+'Cálculos'!$D$124*(1+2.78*('Cálculos'!$D$196+(($C63)-$A$63:$A$108)*'Cálculos'!$D$98)/(('Cálculos'!$D$196+(($C63)-$A$63:$A$108)*'Cálculos'!$D$98)+1400)+'Cálculos'!$D$122)*'Cálculos'!$D$217+'Cálculos'!$D$125*(1+2.78*('Cálculos'!$D$196+(($C63)-$A$63:$A$108)*'Cálculos'!$D$98)/(('Cálculos'!$D$196+(($C63)-$A$63:$A$108)*'Cálculos'!$D$98)+1400)+'Cálculos'!$D$123)*'Cálculos'!$D$222)+('Cálculos'!$D$213+'Cálculos'!$D$124*(1+2.78*('Cálculos'!$D$196+(($C63)-$A$63:$A$108)*'Cálculos'!$D$98)/(('Cálculos'!$D$196+(($C63)-$A$63:$A$108)*'Cálculos'!$D$98)+1400)+'Cálculos'!$D$122)*'Cálculos'!$D$218+'Cálculos'!$D$125*(1+2.78*('Cálculos'!$D$196+(($C63)-$A$63:$A$108)*'Cálculos'!$D$98)/(('Cálculos'!$D$196+(($C63)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63)-$A$63:$A$108)*'Cálculos'!$D$98)/(('Cálculos'!$D$197+(($C63)-$A$63:$A$108)*'Cálculos'!$D$98)+1400)+'Cálculos'!$D$122)*'Cálculos'!$D$229+'Cálculos'!$D$125*(1+2.78*('Cálculos'!$D$197+(($C63)-$A$63:$A$108)*'Cálculos'!$D$98)/(('Cálculos'!$D$197+(($C63)-$A$63:$A$108)*'Cálculos'!$D$98)+1400)+'Cálculos'!$D$123)*'Cálculos'!$D$234)+('Cálculos'!$D$197+(($C63)-$A$63:$A$108)*'Cálculos'!$D$98)*('Cálculos'!$D$225+'Cálculos'!$D$124*(1+2.78*('Cálculos'!$D$197+(($C63)-$A$63:$A$108)*'Cálculos'!$D$98)/(('Cálculos'!$D$197+(($C63)-$A$63:$A$108)*'Cálculos'!$D$98)+1400)+'Cálculos'!$D$122)*'Cálculos'!$D$230+'Cálculos'!$D$125*(1+2.78*('Cálculos'!$D$197+(($C63)-$A$63:$A$108)*'Cálculos'!$D$98)/(('Cálculos'!$D$197+(($C63)-$A$63:$A$108)*'Cálculos'!$D$98)+1400)+'Cálculos'!$D$123)*'Cálculos'!$D$235)+('Cálculos'!$D$201*(1+'Cálculos'!$D$202+$A$63:$A$108*('Cálculos'!$D$290=2)*'Cálculos'!$D$101)+'Cálculos'!$D$203)*('Cálculos'!$D$226+'Cálculos'!$D$124*(1+2.78*('Cálculos'!$D$197+(($C63)-$A$63:$A$108)*'Cálculos'!$D$98)/(('Cálculos'!$D$197+(($C63)-$A$63:$A$108)*'Cálculos'!$D$98)+1400)+'Cálculos'!$D$122)*'Cálculos'!$D$231+'Cálculos'!$D$125*(1+2.78*('Cálculos'!$D$197+(($C63)-$A$63:$A$108)*'Cálculos'!$D$98)/(('Cálculos'!$D$197+(($C63)-$A$63:$A$108)*'Cálculos'!$D$98)+1400)+'Cálculos'!$D$123)*'Cálculos'!$D$236)+('Cálculos'!$D$204*(1+'Cálculos'!$D$205+$A$63:$A$108*('Cálculos'!$D$290=3)*'Cálculos'!$D$103)+'Cálculos'!$D$206)*('Cálculos'!$D$227+'Cálculos'!$D$124*(1+2.78*('Cálculos'!$D$197+(($C63)-$A$63:$A$108)*'Cálculos'!$D$98)/(('Cálculos'!$D$197+(($C63)-$A$63:$A$108)*'Cálculos'!$D$98)+1400)+'Cálculos'!$D$122)*'Cálculos'!$D$232+'Cálculos'!$D$125*(1+2.78*('Cálculos'!$D$197+(($C63)-$A$63:$A$108)*'Cálculos'!$D$98)/(('Cálculos'!$D$197+(($C63)-$A$63:$A$108)*'Cálculos'!$D$98)+1400)+'Cálculos'!$D$123)*'Cálculos'!$D$237)+('Cálculos'!$D$228+'Cálculos'!$D$124*(1+2.78*('Cálculos'!$D$197+(($C63)-$A$63:$A$108)*'Cálculos'!$D$98)/(('Cálculos'!$D$197+(($C63)-$A$63:$A$108)*'Cálculos'!$D$98)+1400)+'Cálculos'!$D$122)*'Cálculos'!$D$233+'Cálculos'!$D$125*(1+2.78*('Cálculos'!$D$197+(($C63)-$A$63:$A$108)*'Cálculos'!$D$98)/(('Cálculos'!$D$197+(($C63)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63)-$A$63:$A$108)*'Cálculos'!$D$98)/(('Cálculos'!$D$198+(($C63)-$A$63:$A$108)*'Cálculos'!$D$98)+1400)+'Cálculos'!$D$122)*'Cálculos'!$D$244+'Cálculos'!$D$125*(1+2.78*('Cálculos'!$D$198+(($C63)-$A$63:$A$108)*'Cálculos'!$D$98)/(('Cálculos'!$D$198+(($C63)-$A$63:$A$108)*'Cálculos'!$D$98)+1400)+'Cálculos'!$D$123)*'Cálculos'!$D$249)+('Cálculos'!$D$198+(($C63)-$A$63:$A$108)*'Cálculos'!$D$98)*('Cálculos'!$D$240+'Cálculos'!$D$124*(1+2.78*('Cálculos'!$D$198+(($C63)-$A$63:$A$108)*'Cálculos'!$D$98)/(('Cálculos'!$D$198+(($C63)-$A$63:$A$108)*'Cálculos'!$D$98)+1400)+'Cálculos'!$D$122)*'Cálculos'!$D$245+'Cálculos'!$D$125*(1+2.78*('Cálculos'!$D$198+(($C63)-$A$63:$A$108)*'Cálculos'!$D$98)/(('Cálculos'!$D$198+(($C63)-$A$63:$A$108)*'Cálculos'!$D$98)+1400)+'Cálculos'!$D$123)*'Cálculos'!$D$250)+('Cálculos'!$D$201*(1+'Cálculos'!$D$202+$A$63:$A$108*('Cálculos'!$D$290=2)*'Cálculos'!$D$101)+'Cálculos'!$D$203)*('Cálculos'!$D$241+'Cálculos'!$D$124*(1+2.78*('Cálculos'!$D$198+(($C63)-$A$63:$A$108)*'Cálculos'!$D$98)/(('Cálculos'!$D$198+(($C63)-$A$63:$A$108)*'Cálculos'!$D$98)+1400)+'Cálculos'!$D$122)*'Cálculos'!$D$246+'Cálculos'!$D$125*(1+2.78*('Cálculos'!$D$198+(($C63)-$A$63:$A$108)*'Cálculos'!$D$98)/(('Cálculos'!$D$198+(($C63)-$A$63:$A$108)*'Cálculos'!$D$98)+1400)+'Cálculos'!$D$123)*'Cálculos'!$D$251)+('Cálculos'!$D$204*(1+'Cálculos'!$D$205+$A$63:$A$108*('Cálculos'!$D$290=3)*'Cálculos'!$D$103)+'Cálculos'!$D$206)*('Cálculos'!$D$242+'Cálculos'!$D$124*(1+2.78*('Cálculos'!$D$198+(($C63)-$A$63:$A$108)*'Cálculos'!$D$98)/(('Cálculos'!$D$198+(($C63)-$A$63:$A$108)*'Cálculos'!$D$98)+1400)+'Cálculos'!$D$122)*'Cálculos'!$D$247+'Cálculos'!$D$125*(1+2.78*('Cálculos'!$D$198+(($C63)-$A$63:$A$108)*'Cálculos'!$D$98)/(('Cálculos'!$D$198+(($C63)-$A$63:$A$108)*'Cálculos'!$D$98)+1400)+'Cálculos'!$D$123)*'Cálculos'!$D$252)+('Cálculos'!$D$243+'Cálculos'!$D$124*(1+2.78*('Cálculos'!$D$198+(($C63)-$A$63:$A$108)*'Cálculos'!$D$98)/(('Cálculos'!$D$198+(($C63)-$A$63:$A$108)*'Cálculos'!$D$98)+1400)+'Cálculos'!$D$122)*'Cálculos'!$D$248+'Cálculos'!$D$125*(1+2.78*('Cálculos'!$D$198+(($C63)-$A$63:$A$108)*'Cálculos'!$D$98)/(('Cálculos'!$D$198+(($C63)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63)-$A$63:$A$108)*'Cálculos'!$D$98)/(('Cálculos'!$D$199+(($C63)-$A$63:$A$108)*'Cálculos'!$D$98)+1400)+'Cálculos'!$D$122)*'Cálculos'!$D$259+'Cálculos'!$D$125*(1+2.78*('Cálculos'!$D$199+(($C63)-$A$63:$A$108)*'Cálculos'!$D$98)/(('Cálculos'!$D$199+(($C63)-$A$63:$A$108)*'Cálculos'!$D$98)+1400)+'Cálculos'!$D$123)*'Cálculos'!$D$264)+('Cálculos'!$D$199+(($C63)-$A$63:$A$108)*'Cálculos'!$D$98)*('Cálculos'!$D$255+'Cálculos'!$D$124*(1+2.78*('Cálculos'!$D$199+(($C63)-$A$63:$A$108)*'Cálculos'!$D$98)/(('Cálculos'!$D$199+(($C63)-$A$63:$A$108)*'Cálculos'!$D$98)+1400)+'Cálculos'!$D$122)*'Cálculos'!$D$260+'Cálculos'!$D$125*(1+2.78*('Cálculos'!$D$199+(($C63)-$A$63:$A$108)*'Cálculos'!$D$98)/(('Cálculos'!$D$199+(($C63)-$A$63:$A$108)*'Cálculos'!$D$98)+1400)+'Cálculos'!$D$123)*'Cálculos'!$D$265)+('Cálculos'!$D$201*(1+'Cálculos'!$D$202+$A$63:$A$108*('Cálculos'!$D$290=2)*'Cálculos'!$D$101)+'Cálculos'!$D$203)*('Cálculos'!$D$256+'Cálculos'!$D$124*(1+2.78*('Cálculos'!$D$199+(($C63)-$A$63:$A$108)*'Cálculos'!$D$98)/(('Cálculos'!$D$199+(($C63)-$A$63:$A$108)*'Cálculos'!$D$98)+1400)+'Cálculos'!$D$122)*'Cálculos'!$D$261+'Cálculos'!$D$125*(1+2.78*('Cálculos'!$D$199+(($C63)-$A$63:$A$108)*'Cálculos'!$D$98)/(('Cálculos'!$D$199+(($C63)-$A$63:$A$108)*'Cálculos'!$D$98)+1400)+'Cálculos'!$D$123)*'Cálculos'!$D$266)+('Cálculos'!$D$204*(1+'Cálculos'!$D$205+$A$63:$A$108*('Cálculos'!$D$290=3)*'Cálculos'!$D$103)+'Cálculos'!$D$206)*('Cálculos'!$D$257+'Cálculos'!$D$124*(1+2.78*('Cálculos'!$D$199+(($C63)-$A$63:$A$108)*'Cálculos'!$D$98)/(('Cálculos'!$D$199+(($C63)-$A$63:$A$108)*'Cálculos'!$D$98)+1400)+'Cálculos'!$D$122)*'Cálculos'!$D$262+'Cálculos'!$D$125*(1+2.78*('Cálculos'!$D$199+(($C63)-$A$63:$A$108)*'Cálculos'!$D$98)/(('Cálculos'!$D$199+(($C63)-$A$63:$A$108)*'Cálculos'!$D$98)+1400)+'Cálculos'!$D$123)*'Cálculos'!$D$267)+('Cálculos'!$D$258+'Cálculos'!$D$124*(1+2.78*('Cálculos'!$D$199+(($C63)-$A$63:$A$108)*'Cálculos'!$D$98)/(('Cálculos'!$D$199+(($C63)-$A$63:$A$108)*'Cálculos'!$D$98)+1400)+'Cálculos'!$D$122)*'Cálculos'!$D$263+'Cálculos'!$D$125*(1+2.78*('Cálculos'!$D$199+(($C63)-$A$63:$A$108)*'Cálculos'!$D$98)/(('Cálculos'!$D$199+(($C63)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63)-$A$63:$A$108)*'Cálculos'!$D$98)/(('Cálculos'!$D$200+(($C63)-$A$63:$A$108)*'Cálculos'!$D$98)+1400)+'Cálculos'!$D$122)*'Cálculos'!$D$274+'Cálculos'!$D$125*(1+2.78*('Cálculos'!$D$200+(($C63)-$A$63:$A$108)*'Cálculos'!$D$98)/(('Cálculos'!$D$200+(($C63)-$A$63:$A$108)*'Cálculos'!$D$98)+1400)+'Cálculos'!$D$123)*'Cálculos'!$D$279)+('Cálculos'!$D$200+(($C63)-$A$63:$A$108)*'Cálculos'!$D$98)*('Cálculos'!$D$270+'Cálculos'!$D$124*(1+2.78*('Cálculos'!$D$200+(($C63)-$A$63:$A$108)*'Cálculos'!$D$98)/(('Cálculos'!$D$200+(($C63)-$A$63:$A$108)*'Cálculos'!$D$98)+1400)+'Cálculos'!$D$122)*'Cálculos'!$D$275+'Cálculos'!$D$125*(1+2.78*('Cálculos'!$D$200+(($C63)-$A$63:$A$108)*'Cálculos'!$D$98)/(('Cálculos'!$D$200+(($C63)-$A$63:$A$108)*'Cálculos'!$D$98)+1400)+'Cálculos'!$D$123)*'Cálculos'!$D$280)+('Cálculos'!$D$201*(1+'Cálculos'!$D$202+$A$63:$A$108*('Cálculos'!$D$290=2)*'Cálculos'!$D$101)+'Cálculos'!$D$203)*('Cálculos'!$D$271+'Cálculos'!$D$124*(1+2.78*('Cálculos'!$D$200+(($C63)-$A$63:$A$108)*'Cálculos'!$D$98)/(('Cálculos'!$D$200+(($C63)-$A$63:$A$108)*'Cálculos'!$D$98)+1400)+'Cálculos'!$D$122)*'Cálculos'!$D$276+'Cálculos'!$D$125*(1+2.78*('Cálculos'!$D$200+(($C63)-$A$63:$A$108)*'Cálculos'!$D$98)/(('Cálculos'!$D$200+(($C63)-$A$63:$A$108)*'Cálculos'!$D$98)+1400)+'Cálculos'!$D$123)*'Cálculos'!$D$281)+('Cálculos'!$D$204*(1+'Cálculos'!$D$205+$A$63:$A$108*('Cálculos'!$D$290=3)*'Cálculos'!$D$103)+'Cálculos'!$D$206)*('Cálculos'!$D$272+'Cálculos'!$D$124*(1+2.78*('Cálculos'!$D$200+(($C63)-$A$63:$A$108)*'Cálculos'!$D$98)/(('Cálculos'!$D$200+(($C63)-$A$63:$A$108)*'Cálculos'!$D$98)+1400)+'Cálculos'!$D$122)*'Cálculos'!$D$277+'Cálculos'!$D$125*(1+2.78*('Cálculos'!$D$200+(($C63)-$A$63:$A$108)*'Cálculos'!$D$98)/(('Cálculos'!$D$200+(($C63)-$A$63:$A$108)*'Cálculos'!$D$98)+1400)+'Cálculos'!$D$123)*'Cálculos'!$D$282)+('Cálculos'!$D$273+'Cálculos'!$D$124*(1+2.78*('Cálculos'!$D$200+(($C63)-$A$63:$A$108)*'Cálculos'!$D$98)/(('Cálculos'!$D$200+(($C63)-$A$63:$A$108)*'Cálculos'!$D$98)+1400)+'Cálculos'!$D$122)*'Cálculos'!$D$278+'Cálculos'!$D$125*(1+2.78*('Cálculos'!$D$200+(($C63)-$A$63:$A$108)*'Cálculos'!$D$98)/(('Cálculos'!$D$200+(($C63)-$A$63:$A$108)*'Cálculos'!$D$98)+1400)+'Cálculos'!$D$123)*'Cálculos'!$D$283)))))</f>
        <v>82031.08762</v>
      </c>
      <c r="E63" s="32">
        <f>IF(OR($C63&lt;0,'Cálculos'!$D$6=""),0,$B63*$D63)</f>
        <v>99005.04911</v>
      </c>
      <c r="F63" s="2"/>
      <c r="G63" s="30">
        <f>($A63&lt;=$B$110)*($A63&lt;='Cálculos'!$D$294)*(($B$110)-$A63&lt;='Cálculos'!$D$295)*(1+MIN(('Cálculos'!$D$207+$A63*'Cálculos'!$D$95),1)*('Cálculos'!$D$208+(($B$110)-$A63)*'Cálculos'!$D$96))</f>
        <v>1.415457309</v>
      </c>
      <c r="H63" s="31">
        <f>IF($B$111&lt;0,0,($A63&lt;=$B$111)*($A63&lt;='Cálculos'!$D$301)*(($B$111)-$A63&lt;='Cálculos'!$D$297)*(('Cálculos'!$D$185*(1+'Cálculos'!$D$186+$A63*('Cálculos'!$D$290=1)*'Cálculos'!$D$97+'Cálculos'!$D$305)+'Cálculos'!$D$191)*('Cálculos'!$D$209+'Cálculos'!$D$124*(1+2.78*('Cálculos'!$D$196+(($B$111)-$A63)*'Cálculos'!$D$98)/(('Cálculos'!$D$196+(($B$111)-$A63)*'Cálculos'!$D$98)+1400)+'Cálculos'!$D$122)*'Cálculos'!$D$214+'Cálculos'!$D$125*(1+2.78*('Cálculos'!$D$196+(($B$111)-$A63)*'Cálculos'!$D$98)/(('Cálculos'!$D$196+(($B$111)-$A63)*'Cálculos'!$D$98)+1400)+'Cálculos'!$D$123)*'Cálculos'!$D$219)+('Cálculos'!$D$196+(($B$111)-$A63)*'Cálculos'!$D$98)*('Cálculos'!$D$210+'Cálculos'!$D$124*(1+2.78*('Cálculos'!$D$196+(($B$111)-$A63)*'Cálculos'!$D$98)/(('Cálculos'!$D$196+(($B$111)-$A63)*'Cálculos'!$D$98)+1400)+'Cálculos'!$D$122)*'Cálculos'!$D$215+'Cálculos'!$D$125*(1+2.78*('Cálculos'!$D$196+(($B$111)-$A63)*'Cálculos'!$D$98)/(('Cálculos'!$D$196+(($B$111)-$A63)*'Cálculos'!$D$98)+1400)+'Cálculos'!$D$123)*'Cálculos'!$D$220)+('Cálculos'!$D$201*(1+'Cálculos'!$D$202+$A63*('Cálculos'!$D$290=2)*'Cálculos'!$D$101)+'Cálculos'!$D$203)*('Cálculos'!$D$211+'Cálculos'!$D$124*(1+2.78*('Cálculos'!$D$196+(($B$111)-$A63)*'Cálculos'!$D$98)/(('Cálculos'!$D$196+(($B$111)-$A63)*'Cálculos'!$D$98)+1400)+'Cálculos'!$D$122)*'Cálculos'!$D$216+'Cálculos'!$D$125*(1+2.78*('Cálculos'!$D$196+(($B$111)-$A63)*'Cálculos'!$D$98)/(('Cálculos'!$D$196+(($B$111)-$A63)*'Cálculos'!$D$98)+1400)+'Cálculos'!$D$123)*'Cálculos'!$D$221)+('Cálculos'!$D$204*(1+'Cálculos'!$D$205+$A63*('Cálculos'!$D$290=3)*'Cálculos'!$D$103)+'Cálculos'!$D$206)*('Cálculos'!$D$212+'Cálculos'!$D$124*(1+2.78*('Cálculos'!$D$196+(($B$111)-$A63)*'Cálculos'!$D$98)/(('Cálculos'!$D$196+(($B$111)-$A63)*'Cálculos'!$D$98)+1400)+'Cálculos'!$D$122)*'Cálculos'!$D$217+'Cálculos'!$D$125*(1+2.78*('Cálculos'!$D$196+(($B$111)-$A63)*'Cálculos'!$D$98)/(('Cálculos'!$D$196+(($B$111)-$A63)*'Cálculos'!$D$98)+1400)+'Cálculos'!$D$123)*'Cálculos'!$D$222)+('Cálculos'!$D$213+'Cálculos'!$D$124*(1+2.78*('Cálculos'!$D$196+(($B$111)-$A63)*'Cálculos'!$D$98)/(('Cálculos'!$D$196+(($B$111)-$A63)*'Cálculos'!$D$98)+1400)+'Cálculos'!$D$122)*'Cálculos'!$D$218+'Cálculos'!$D$125*(1+2.78*('Cálculos'!$D$196+(($B$111)-$A63)*'Cálculos'!$D$98)/(('Cálculos'!$D$196+(($B$111)-$A63)*'Cálculos'!$D$98)+1400)+'Cálculos'!$D$123)*'Cálculos'!$D$223)+('Cálculos'!$D$185*(1+'Cálculos'!$D$187+$A63*('Cálculos'!$D$290=1)*'Cálculos'!$D$97+'Cálculos'!$D$305)+'Cálculos'!$D$192)*('Cálculos'!$D$224+'Cálculos'!$D$124*(1+2.78*('Cálculos'!$D$197+(($B$111)-$A63)*'Cálculos'!$D$98)/(('Cálculos'!$D$197+(($B$111)-$A63)*'Cálculos'!$D$98)+1400)+'Cálculos'!$D$122)*'Cálculos'!$D$229+'Cálculos'!$D$125*(1+2.78*('Cálculos'!$D$197+(($B$111)-$A63)*'Cálculos'!$D$98)/(('Cálculos'!$D$197+(($B$111)-$A63)*'Cálculos'!$D$98)+1400)+'Cálculos'!$D$123)*'Cálculos'!$D$234)+('Cálculos'!$D$197+(($B$111)-$A63)*'Cálculos'!$D$98)*('Cálculos'!$D$225+'Cálculos'!$D$124*(1+2.78*('Cálculos'!$D$197+(($B$111)-$A63)*'Cálculos'!$D$98)/(('Cálculos'!$D$197+(($B$111)-$A63)*'Cálculos'!$D$98)+1400)+'Cálculos'!$D$122)*'Cálculos'!$D$230+'Cálculos'!$D$125*(1+2.78*('Cálculos'!$D$197+(($B$111)-$A63)*'Cálculos'!$D$98)/(('Cálculos'!$D$197+(($B$111)-$A63)*'Cálculos'!$D$98)+1400)+'Cálculos'!$D$123)*'Cálculos'!$D$235)+('Cálculos'!$D$201*(1+'Cálculos'!$D$202+$A63*('Cálculos'!$D$290=2)*'Cálculos'!$D$101)+'Cálculos'!$D$203)*('Cálculos'!$D$226+'Cálculos'!$D$124*(1+2.78*('Cálculos'!$D$197+(($B$111)-$A63)*'Cálculos'!$D$98)/(('Cálculos'!$D$197+(($B$111)-$A63)*'Cálculos'!$D$98)+1400)+'Cálculos'!$D$122)*'Cálculos'!$D$231+'Cálculos'!$D$125*(1+2.78*('Cálculos'!$D$197+(($B$111)-$A63)*'Cálculos'!$D$98)/(('Cálculos'!$D$197+(($B$111)-$A63)*'Cálculos'!$D$98)+1400)+'Cálculos'!$D$123)*'Cálculos'!$D$236)+('Cálculos'!$D$204*(1+'Cálculos'!$D$205+$A63*('Cálculos'!$D$290=3)*'Cálculos'!$D$103)+'Cálculos'!$D$206)*('Cálculos'!$D$227+'Cálculos'!$D$124*(1+2.78*('Cálculos'!$D$197+(($B$111)-$A63)*'Cálculos'!$D$98)/(('Cálculos'!$D$197+(($B$111)-$A63)*'Cálculos'!$D$98)+1400)+'Cálculos'!$D$122)*'Cálculos'!$D$232+'Cálculos'!$D$125*(1+2.78*('Cálculos'!$D$197+(($B$111)-$A63)*'Cálculos'!$D$98)/(('Cálculos'!$D$197+(($B$111)-$A63)*'Cálculos'!$D$98)+1400)+'Cálculos'!$D$123)*'Cálculos'!$D$237)+('Cálculos'!$D$228+'Cálculos'!$D$124*(1+2.78*('Cálculos'!$D$197+(($B$111)-$A63)*'Cálculos'!$D$98)/(('Cálculos'!$D$197+(($B$111)-$A63)*'Cálculos'!$D$98)+1400)+'Cálculos'!$D$122)*'Cálculos'!$D$233+'Cálculos'!$D$125*(1+2.78*('Cálculos'!$D$197+(($B$111)-$A63)*'Cálculos'!$D$98)/(('Cálculos'!$D$197+(($B$111)-$A63)*'Cálculos'!$D$98)+1400)+'Cálculos'!$D$123)*'Cálculos'!$D$238)+('Cálculos'!$D$185*(1+'Cálculos'!$D$188+$A63*('Cálculos'!$D$290=1)*'Cálculos'!$D$97+'Cálculos'!$D$305)+'Cálculos'!$D$193)*('Cálculos'!$D$239+'Cálculos'!$D$124*(1+2.78*('Cálculos'!$D$198+(($B$111)-$A63)*'Cálculos'!$D$98)/(('Cálculos'!$D$198+(($B$111)-$A63)*'Cálculos'!$D$98)+1400)+'Cálculos'!$D$122)*'Cálculos'!$D$244+'Cálculos'!$D$125*(1+2.78*('Cálculos'!$D$198+(($B$111)-$A63)*'Cálculos'!$D$98)/(('Cálculos'!$D$198+(($B$111)-$A63)*'Cálculos'!$D$98)+1400)+'Cálculos'!$D$123)*'Cálculos'!$D$249)+('Cálculos'!$D$198+(($B$111)-$A63)*'Cálculos'!$D$98)*('Cálculos'!$D$240+'Cálculos'!$D$124*(1+2.78*('Cálculos'!$D$198+(($B$111)-$A63)*'Cálculos'!$D$98)/(('Cálculos'!$D$198+(($B$111)-$A63)*'Cálculos'!$D$98)+1400)+'Cálculos'!$D$122)*'Cálculos'!$D$245+'Cálculos'!$D$125*(1+2.78*('Cálculos'!$D$198+(($B$111)-$A63)*'Cálculos'!$D$98)/(('Cálculos'!$D$198+(($B$111)-$A63)*'Cálculos'!$D$98)+1400)+'Cálculos'!$D$123)*'Cálculos'!$D$250)+('Cálculos'!$D$201*(1+'Cálculos'!$D$202+$A63*('Cálculos'!$D$290=2)*'Cálculos'!$D$101)+'Cálculos'!$D$203)*('Cálculos'!$D$241+'Cálculos'!$D$124*(1+2.78*('Cálculos'!$D$198+(($B$111)-$A63)*'Cálculos'!$D$98)/(('Cálculos'!$D$198+(($B$111)-$A63)*'Cálculos'!$D$98)+1400)+'Cálculos'!$D$122)*'Cálculos'!$D$246+'Cálculos'!$D$125*(1+2.78*('Cálculos'!$D$198+(($B$111)-$A63)*'Cálculos'!$D$98)/(('Cálculos'!$D$198+(($B$111)-$A63)*'Cálculos'!$D$98)+1400)+'Cálculos'!$D$123)*'Cálculos'!$D$251)+('Cálculos'!$D$204*(1+'Cálculos'!$D$205+$A63*('Cálculos'!$D$290=3)*'Cálculos'!$D$103)+'Cálculos'!$D$206)*('Cálculos'!$D$242+'Cálculos'!$D$124*(1+2.78*('Cálculos'!$D$198+(($B$111)-$A63)*'Cálculos'!$D$98)/(('Cálculos'!$D$198+(($B$111)-$A63)*'Cálculos'!$D$98)+1400)+'Cálculos'!$D$122)*'Cálculos'!$D$247+'Cálculos'!$D$125*(1+2.78*('Cálculos'!$D$198+(($B$111)-$A63)*'Cálculos'!$D$98)/(('Cálculos'!$D$198+(($B$111)-$A63)*'Cálculos'!$D$98)+1400)+'Cálculos'!$D$123)*'Cálculos'!$D$252)+('Cálculos'!$D$243+'Cálculos'!$D$124*(1+2.78*('Cálculos'!$D$198+(($B$111)-$A63)*'Cálculos'!$D$98)/(('Cálculos'!$D$198+(($B$111)-$A63)*'Cálculos'!$D$98)+1400)+'Cálculos'!$D$122)*'Cálculos'!$D$248+'Cálculos'!$D$125*(1+2.78*('Cálculos'!$D$198+(($B$111)-$A63)*'Cálculos'!$D$98)/(('Cálculos'!$D$198+(($B$111)-$A63)*'Cálculos'!$D$98)+1400)+'Cálculos'!$D$123)*'Cálculos'!$D$253)+('Cálculos'!$D$185*(1+'Cálculos'!$D$189+$A63*('Cálculos'!$D$290=1)*'Cálculos'!$D$97+'Cálculos'!$D$305)+'Cálculos'!$D$194)*('Cálculos'!$D$254+'Cálculos'!$D$124*(1+2.78*('Cálculos'!$D$199+(($B$111)-$A63)*'Cálculos'!$D$98)/(('Cálculos'!$D$199+(($B$111)-$A63)*'Cálculos'!$D$98)+1400)+'Cálculos'!$D$122)*'Cálculos'!$D$259+'Cálculos'!$D$125*(1+2.78*('Cálculos'!$D$199+(($B$111)-$A63)*'Cálculos'!$D$98)/(('Cálculos'!$D$199+(($B$111)-$A63)*'Cálculos'!$D$98)+1400)+'Cálculos'!$D$123)*'Cálculos'!$D$264)+('Cálculos'!$D$199+(($B$111)-$A63)*'Cálculos'!$D$98)*('Cálculos'!$D$255+'Cálculos'!$D$124*(1+2.78*('Cálculos'!$D$199+(($B$111)-$A63)*'Cálculos'!$D$98)/(('Cálculos'!$D$199+(($B$111)-$A63)*'Cálculos'!$D$98)+1400)+'Cálculos'!$D$122)*'Cálculos'!$D$260+'Cálculos'!$D$125*(1+2.78*('Cálculos'!$D$199+(($B$111)-$A63)*'Cálculos'!$D$98)/(('Cálculos'!$D$199+(($B$111)-$A63)*'Cálculos'!$D$98)+1400)+'Cálculos'!$D$123)*'Cálculos'!$D$265)+('Cálculos'!$D$201*(1+'Cálculos'!$D$202+$A63*('Cálculos'!$D$290=2)*'Cálculos'!$D$101)+'Cálculos'!$D$203)*('Cálculos'!$D$256+'Cálculos'!$D$124*(1+2.78*('Cálculos'!$D$199+(($B$111)-$A63)*'Cálculos'!$D$98)/(('Cálculos'!$D$199+(($B$111)-$A63)*'Cálculos'!$D$98)+1400)+'Cálculos'!$D$122)*'Cálculos'!$D$261+'Cálculos'!$D$125*(1+2.78*('Cálculos'!$D$199+(($B$111)-$A63)*'Cálculos'!$D$98)/(('Cálculos'!$D$199+(($B$111)-$A63)*'Cálculos'!$D$98)+1400)+'Cálculos'!$D$123)*'Cálculos'!$D$266)+('Cálculos'!$D$204*(1+'Cálculos'!$D$205+$A63*('Cálculos'!$D$290=3)*'Cálculos'!$D$103)+'Cálculos'!$D$206)*('Cálculos'!$D$257+'Cálculos'!$D$124*(1+2.78*('Cálculos'!$D$199+(($B$111)-$A63)*'Cálculos'!$D$98)/(('Cálculos'!$D$199+(($B$111)-$A63)*'Cálculos'!$D$98)+1400)+'Cálculos'!$D$122)*'Cálculos'!$D$262+'Cálculos'!$D$125*(1+2.78*('Cálculos'!$D$199+(($B$111)-$A63)*'Cálculos'!$D$98)/(('Cálculos'!$D$199+(($B$111)-$A63)*'Cálculos'!$D$98)+1400)+'Cálculos'!$D$123)*'Cálculos'!$D$267)+('Cálculos'!$D$258+'Cálculos'!$D$124*(1+2.78*('Cálculos'!$D$199+(($B$111)-$A63)*'Cálculos'!$D$98)/(('Cálculos'!$D$199+(($B$111)-$A63)*'Cálculos'!$D$98)+1400)+'Cálculos'!$D$122)*'Cálculos'!$D$263+'Cálculos'!$D$125*(1+2.78*('Cálculos'!$D$199+(($B$111)-$A63)*'Cálculos'!$D$98)/(('Cálculos'!$D$199+(($B$111)-$A63)*'Cálculos'!$D$98)+1400)+'Cálculos'!$D$123)*'Cálculos'!$D$268)+('Cálculos'!$D$185*(1+'Cálculos'!$D$190+$A63*('Cálculos'!$D$290=1)*'Cálculos'!$D$97+'Cálculos'!$D$305)+'Cálculos'!$D$195)*('Cálculos'!$D$269+'Cálculos'!$D$124*(1+2.78*('Cálculos'!$D$200+(($B$111)-$A63)*'Cálculos'!$D$98)/(('Cálculos'!$D$200+(($B$111)-$A63)*'Cálculos'!$D$98)+1400)+'Cálculos'!$D$122)*'Cálculos'!$D$274+'Cálculos'!$D$125*(1+2.78*('Cálculos'!$D$200+(($B$111)-$A63)*'Cálculos'!$D$98)/(('Cálculos'!$D$200+(($B$111)-$A63)*'Cálculos'!$D$98)+1400)+'Cálculos'!$D$123)*'Cálculos'!$D$279)+('Cálculos'!$D$200+(($B$111)-$A63)*'Cálculos'!$D$98)*('Cálculos'!$D$270+'Cálculos'!$D$124*(1+2.78*('Cálculos'!$D$200+(($B$111)-$A63)*'Cálculos'!$D$98)/(('Cálculos'!$D$200+(($B$111)-$A63)*'Cálculos'!$D$98)+1400)+'Cálculos'!$D$122)*'Cálculos'!$D$275+'Cálculos'!$D$125*(1+2.78*('Cálculos'!$D$200+(($B$111)-$A63)*'Cálculos'!$D$98)/(('Cálculos'!$D$200+(($B$111)-$A63)*'Cálculos'!$D$98)+1400)+'Cálculos'!$D$123)*'Cálculos'!$D$280)+('Cálculos'!$D$201*(1+'Cálculos'!$D$202+$A63*('Cálculos'!$D$290=2)*'Cálculos'!$D$101)+'Cálculos'!$D$203)*('Cálculos'!$D$271+'Cálculos'!$D$124*(1+2.78*('Cálculos'!$D$200+(($B$111)-$A63)*'Cálculos'!$D$98)/(('Cálculos'!$D$200+(($B$111)-$A63)*'Cálculos'!$D$98)+1400)+'Cálculos'!$D$122)*'Cálculos'!$D$276+'Cálculos'!$D$125*(1+2.78*('Cálculos'!$D$200+(($B$111)-$A63)*'Cálculos'!$D$98)/(('Cálculos'!$D$200+(($B$111)-$A63)*'Cálculos'!$D$98)+1400)+'Cálculos'!$D$123)*'Cálculos'!$D$281)+('Cálculos'!$D$204*(1+'Cálculos'!$D$205+$A63*('Cálculos'!$D$290=3)*'Cálculos'!$D$103)+'Cálculos'!$D$206)*('Cálculos'!$D$272+'Cálculos'!$D$124*(1+2.78*('Cálculos'!$D$200+(($B$111)-$A63)*'Cálculos'!$D$98)/(('Cálculos'!$D$200+(($B$111)-$A63)*'Cálculos'!$D$98)+1400)+'Cálculos'!$D$122)*'Cálculos'!$D$277+'Cálculos'!$D$125*(1+2.78*('Cálculos'!$D$200+(($B$111)-$A63)*'Cálculos'!$D$98)/(('Cálculos'!$D$200+(($B$111)-$A63)*'Cálculos'!$D$98)+1400)+'Cálculos'!$D$123)*'Cálculos'!$D$282)+('Cálculos'!$D$273+'Cálculos'!$D$124*(1+2.78*('Cálculos'!$D$200+(($B$111)-$A63)*'Cálculos'!$D$98)/(('Cálculos'!$D$200+(($B$111)-$A63)*'Cálculos'!$D$98)+1400)+'Cálculos'!$D$122)*'Cálculos'!$D$278+'Cálculos'!$D$125*(1+2.78*('Cálculos'!$D$200+(($B$111)-$A63)*'Cálculos'!$D$98)/(('Cálculos'!$D$200+(($B$111)-$A63)*'Cálculos'!$D$98)+1400)+'Cálculos'!$D$123)*'Cálculos'!$D$283)))</f>
        <v>70298.65509</v>
      </c>
    </row>
    <row r="64" ht="15.75" customHeight="1">
      <c r="A64" s="2">
        <v>1.0</v>
      </c>
      <c r="B64" s="30">
        <f>SUMPRODUCT(MAX(($A$63:$A$108&lt;=$A64)*($A$63:$A$108&lt;='Cálculos'!$D$294)*(($A64)-$A$63:$A$108&lt;='Cálculos'!$D$295)*(1+(('Cálculos'!$D$207+$A$63:$A$108*'Cálculos'!$D$95)-(('Cálculos'!$D$207+$A$63:$A$108*'Cálculos'!$D$95)&gt;1)*(('Cálculos'!$D$207+$A$63:$A$108*'Cálculos'!$D$95)-1))*('Cálculos'!$D$208+(($A64)-$A$63:$A$108)*'Cálculos'!$D$96))))</f>
        <v>1.225878922</v>
      </c>
      <c r="C64" s="2">
        <f>'Cálculos'!$D$303-$A64</f>
        <v>10</v>
      </c>
      <c r="D64" s="31">
        <f>IF($C64&lt;0,0,SUMPRODUCT(MAX(($A$63:$A$108&lt;=$C64)*($A$63:$A$108&lt;='Cálculos'!$D$301)*(($C64)-$A$63:$A$108&lt;='Cálculos'!$D$297)*(('Cálculos'!$D$185*(1+'Cálculos'!$D$186+$A$63:$A$108*('Cálculos'!$D$290=1)*'Cálculos'!$D$97+'Cálculos'!$D$305)+'Cálculos'!$D$191)*('Cálculos'!$D$209+'Cálculos'!$D$124*(1+2.78*('Cálculos'!$D$196+(($C64)-$A$63:$A$108)*'Cálculos'!$D$98)/(('Cálculos'!$D$196+(($C64)-$A$63:$A$108)*'Cálculos'!$D$98)+1400)+'Cálculos'!$D$122)*'Cálculos'!$D$214+'Cálculos'!$D$125*(1+2.78*('Cálculos'!$D$196+(($C64)-$A$63:$A$108)*'Cálculos'!$D$98)/(('Cálculos'!$D$196+(($C64)-$A$63:$A$108)*'Cálculos'!$D$98)+1400)+'Cálculos'!$D$123)*'Cálculos'!$D$219)+('Cálculos'!$D$196+(($C64)-$A$63:$A$108)*'Cálculos'!$D$98)*('Cálculos'!$D$210+'Cálculos'!$D$124*(1+2.78*('Cálculos'!$D$196+(($C64)-$A$63:$A$108)*'Cálculos'!$D$98)/(('Cálculos'!$D$196+(($C64)-$A$63:$A$108)*'Cálculos'!$D$98)+1400)+'Cálculos'!$D$122)*'Cálculos'!$D$215+'Cálculos'!$D$125*(1+2.78*('Cálculos'!$D$196+(($C64)-$A$63:$A$108)*'Cálculos'!$D$98)/(('Cálculos'!$D$196+(($C64)-$A$63:$A$108)*'Cálculos'!$D$98)+1400)+'Cálculos'!$D$123)*'Cálculos'!$D$220)+('Cálculos'!$D$201*(1+'Cálculos'!$D$202+$A$63:$A$108*('Cálculos'!$D$290=2)*'Cálculos'!$D$101)+'Cálculos'!$D$203)*('Cálculos'!$D$211+'Cálculos'!$D$124*(1+2.78*('Cálculos'!$D$196+(($C64)-$A$63:$A$108)*'Cálculos'!$D$98)/(('Cálculos'!$D$196+(($C64)-$A$63:$A$108)*'Cálculos'!$D$98)+1400)+'Cálculos'!$D$122)*'Cálculos'!$D$216+'Cálculos'!$D$125*(1+2.78*('Cálculos'!$D$196+(($C64)-$A$63:$A$108)*'Cálculos'!$D$98)/(('Cálculos'!$D$196+(($C64)-$A$63:$A$108)*'Cálculos'!$D$98)+1400)+'Cálculos'!$D$123)*'Cálculos'!$D$221)+('Cálculos'!$D$204*(1+'Cálculos'!$D$205+$A$63:$A$108*('Cálculos'!$D$290=3)*'Cálculos'!$D$103)+'Cálculos'!$D$206)*('Cálculos'!$D$212+'Cálculos'!$D$124*(1+2.78*('Cálculos'!$D$196+(($C64)-$A$63:$A$108)*'Cálculos'!$D$98)/(('Cálculos'!$D$196+(($C64)-$A$63:$A$108)*'Cálculos'!$D$98)+1400)+'Cálculos'!$D$122)*'Cálculos'!$D$217+'Cálculos'!$D$125*(1+2.78*('Cálculos'!$D$196+(($C64)-$A$63:$A$108)*'Cálculos'!$D$98)/(('Cálculos'!$D$196+(($C64)-$A$63:$A$108)*'Cálculos'!$D$98)+1400)+'Cálculos'!$D$123)*'Cálculos'!$D$222)+('Cálculos'!$D$213+'Cálculos'!$D$124*(1+2.78*('Cálculos'!$D$196+(($C64)-$A$63:$A$108)*'Cálculos'!$D$98)/(('Cálculos'!$D$196+(($C64)-$A$63:$A$108)*'Cálculos'!$D$98)+1400)+'Cálculos'!$D$122)*'Cálculos'!$D$218+'Cálculos'!$D$125*(1+2.78*('Cálculos'!$D$196+(($C64)-$A$63:$A$108)*'Cálculos'!$D$98)/(('Cálculos'!$D$196+(($C64)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64)-$A$63:$A$108)*'Cálculos'!$D$98)/(('Cálculos'!$D$197+(($C64)-$A$63:$A$108)*'Cálculos'!$D$98)+1400)+'Cálculos'!$D$122)*'Cálculos'!$D$229+'Cálculos'!$D$125*(1+2.78*('Cálculos'!$D$197+(($C64)-$A$63:$A$108)*'Cálculos'!$D$98)/(('Cálculos'!$D$197+(($C64)-$A$63:$A$108)*'Cálculos'!$D$98)+1400)+'Cálculos'!$D$123)*'Cálculos'!$D$234)+('Cálculos'!$D$197+(($C64)-$A$63:$A$108)*'Cálculos'!$D$98)*('Cálculos'!$D$225+'Cálculos'!$D$124*(1+2.78*('Cálculos'!$D$197+(($C64)-$A$63:$A$108)*'Cálculos'!$D$98)/(('Cálculos'!$D$197+(($C64)-$A$63:$A$108)*'Cálculos'!$D$98)+1400)+'Cálculos'!$D$122)*'Cálculos'!$D$230+'Cálculos'!$D$125*(1+2.78*('Cálculos'!$D$197+(($C64)-$A$63:$A$108)*'Cálculos'!$D$98)/(('Cálculos'!$D$197+(($C64)-$A$63:$A$108)*'Cálculos'!$D$98)+1400)+'Cálculos'!$D$123)*'Cálculos'!$D$235)+('Cálculos'!$D$201*(1+'Cálculos'!$D$202+$A$63:$A$108*('Cálculos'!$D$290=2)*'Cálculos'!$D$101)+'Cálculos'!$D$203)*('Cálculos'!$D$226+'Cálculos'!$D$124*(1+2.78*('Cálculos'!$D$197+(($C64)-$A$63:$A$108)*'Cálculos'!$D$98)/(('Cálculos'!$D$197+(($C64)-$A$63:$A$108)*'Cálculos'!$D$98)+1400)+'Cálculos'!$D$122)*'Cálculos'!$D$231+'Cálculos'!$D$125*(1+2.78*('Cálculos'!$D$197+(($C64)-$A$63:$A$108)*'Cálculos'!$D$98)/(('Cálculos'!$D$197+(($C64)-$A$63:$A$108)*'Cálculos'!$D$98)+1400)+'Cálculos'!$D$123)*'Cálculos'!$D$236)+('Cálculos'!$D$204*(1+'Cálculos'!$D$205+$A$63:$A$108*('Cálculos'!$D$290=3)*'Cálculos'!$D$103)+'Cálculos'!$D$206)*('Cálculos'!$D$227+'Cálculos'!$D$124*(1+2.78*('Cálculos'!$D$197+(($C64)-$A$63:$A$108)*'Cálculos'!$D$98)/(('Cálculos'!$D$197+(($C64)-$A$63:$A$108)*'Cálculos'!$D$98)+1400)+'Cálculos'!$D$122)*'Cálculos'!$D$232+'Cálculos'!$D$125*(1+2.78*('Cálculos'!$D$197+(($C64)-$A$63:$A$108)*'Cálculos'!$D$98)/(('Cálculos'!$D$197+(($C64)-$A$63:$A$108)*'Cálculos'!$D$98)+1400)+'Cálculos'!$D$123)*'Cálculos'!$D$237)+('Cálculos'!$D$228+'Cálculos'!$D$124*(1+2.78*('Cálculos'!$D$197+(($C64)-$A$63:$A$108)*'Cálculos'!$D$98)/(('Cálculos'!$D$197+(($C64)-$A$63:$A$108)*'Cálculos'!$D$98)+1400)+'Cálculos'!$D$122)*'Cálculos'!$D$233+'Cálculos'!$D$125*(1+2.78*('Cálculos'!$D$197+(($C64)-$A$63:$A$108)*'Cálculos'!$D$98)/(('Cálculos'!$D$197+(($C64)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64)-$A$63:$A$108)*'Cálculos'!$D$98)/(('Cálculos'!$D$198+(($C64)-$A$63:$A$108)*'Cálculos'!$D$98)+1400)+'Cálculos'!$D$122)*'Cálculos'!$D$244+'Cálculos'!$D$125*(1+2.78*('Cálculos'!$D$198+(($C64)-$A$63:$A$108)*'Cálculos'!$D$98)/(('Cálculos'!$D$198+(($C64)-$A$63:$A$108)*'Cálculos'!$D$98)+1400)+'Cálculos'!$D$123)*'Cálculos'!$D$249)+('Cálculos'!$D$198+(($C64)-$A$63:$A$108)*'Cálculos'!$D$98)*('Cálculos'!$D$240+'Cálculos'!$D$124*(1+2.78*('Cálculos'!$D$198+(($C64)-$A$63:$A$108)*'Cálculos'!$D$98)/(('Cálculos'!$D$198+(($C64)-$A$63:$A$108)*'Cálculos'!$D$98)+1400)+'Cálculos'!$D$122)*'Cálculos'!$D$245+'Cálculos'!$D$125*(1+2.78*('Cálculos'!$D$198+(($C64)-$A$63:$A$108)*'Cálculos'!$D$98)/(('Cálculos'!$D$198+(($C64)-$A$63:$A$108)*'Cálculos'!$D$98)+1400)+'Cálculos'!$D$123)*'Cálculos'!$D$250)+('Cálculos'!$D$201*(1+'Cálculos'!$D$202+$A$63:$A$108*('Cálculos'!$D$290=2)*'Cálculos'!$D$101)+'Cálculos'!$D$203)*('Cálculos'!$D$241+'Cálculos'!$D$124*(1+2.78*('Cálculos'!$D$198+(($C64)-$A$63:$A$108)*'Cálculos'!$D$98)/(('Cálculos'!$D$198+(($C64)-$A$63:$A$108)*'Cálculos'!$D$98)+1400)+'Cálculos'!$D$122)*'Cálculos'!$D$246+'Cálculos'!$D$125*(1+2.78*('Cálculos'!$D$198+(($C64)-$A$63:$A$108)*'Cálculos'!$D$98)/(('Cálculos'!$D$198+(($C64)-$A$63:$A$108)*'Cálculos'!$D$98)+1400)+'Cálculos'!$D$123)*'Cálculos'!$D$251)+('Cálculos'!$D$204*(1+'Cálculos'!$D$205+$A$63:$A$108*('Cálculos'!$D$290=3)*'Cálculos'!$D$103)+'Cálculos'!$D$206)*('Cálculos'!$D$242+'Cálculos'!$D$124*(1+2.78*('Cálculos'!$D$198+(($C64)-$A$63:$A$108)*'Cálculos'!$D$98)/(('Cálculos'!$D$198+(($C64)-$A$63:$A$108)*'Cálculos'!$D$98)+1400)+'Cálculos'!$D$122)*'Cálculos'!$D$247+'Cálculos'!$D$125*(1+2.78*('Cálculos'!$D$198+(($C64)-$A$63:$A$108)*'Cálculos'!$D$98)/(('Cálculos'!$D$198+(($C64)-$A$63:$A$108)*'Cálculos'!$D$98)+1400)+'Cálculos'!$D$123)*'Cálculos'!$D$252)+('Cálculos'!$D$243+'Cálculos'!$D$124*(1+2.78*('Cálculos'!$D$198+(($C64)-$A$63:$A$108)*'Cálculos'!$D$98)/(('Cálculos'!$D$198+(($C64)-$A$63:$A$108)*'Cálculos'!$D$98)+1400)+'Cálculos'!$D$122)*'Cálculos'!$D$248+'Cálculos'!$D$125*(1+2.78*('Cálculos'!$D$198+(($C64)-$A$63:$A$108)*'Cálculos'!$D$98)/(('Cálculos'!$D$198+(($C64)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64)-$A$63:$A$108)*'Cálculos'!$D$98)/(('Cálculos'!$D$199+(($C64)-$A$63:$A$108)*'Cálculos'!$D$98)+1400)+'Cálculos'!$D$122)*'Cálculos'!$D$259+'Cálculos'!$D$125*(1+2.78*('Cálculos'!$D$199+(($C64)-$A$63:$A$108)*'Cálculos'!$D$98)/(('Cálculos'!$D$199+(($C64)-$A$63:$A$108)*'Cálculos'!$D$98)+1400)+'Cálculos'!$D$123)*'Cálculos'!$D$264)+('Cálculos'!$D$199+(($C64)-$A$63:$A$108)*'Cálculos'!$D$98)*('Cálculos'!$D$255+'Cálculos'!$D$124*(1+2.78*('Cálculos'!$D$199+(($C64)-$A$63:$A$108)*'Cálculos'!$D$98)/(('Cálculos'!$D$199+(($C64)-$A$63:$A$108)*'Cálculos'!$D$98)+1400)+'Cálculos'!$D$122)*'Cálculos'!$D$260+'Cálculos'!$D$125*(1+2.78*('Cálculos'!$D$199+(($C64)-$A$63:$A$108)*'Cálculos'!$D$98)/(('Cálculos'!$D$199+(($C64)-$A$63:$A$108)*'Cálculos'!$D$98)+1400)+'Cálculos'!$D$123)*'Cálculos'!$D$265)+('Cálculos'!$D$201*(1+'Cálculos'!$D$202+$A$63:$A$108*('Cálculos'!$D$290=2)*'Cálculos'!$D$101)+'Cálculos'!$D$203)*('Cálculos'!$D$256+'Cálculos'!$D$124*(1+2.78*('Cálculos'!$D$199+(($C64)-$A$63:$A$108)*'Cálculos'!$D$98)/(('Cálculos'!$D$199+(($C64)-$A$63:$A$108)*'Cálculos'!$D$98)+1400)+'Cálculos'!$D$122)*'Cálculos'!$D$261+'Cálculos'!$D$125*(1+2.78*('Cálculos'!$D$199+(($C64)-$A$63:$A$108)*'Cálculos'!$D$98)/(('Cálculos'!$D$199+(($C64)-$A$63:$A$108)*'Cálculos'!$D$98)+1400)+'Cálculos'!$D$123)*'Cálculos'!$D$266)+('Cálculos'!$D$204*(1+'Cálculos'!$D$205+$A$63:$A$108*('Cálculos'!$D$290=3)*'Cálculos'!$D$103)+'Cálculos'!$D$206)*('Cálculos'!$D$257+'Cálculos'!$D$124*(1+2.78*('Cálculos'!$D$199+(($C64)-$A$63:$A$108)*'Cálculos'!$D$98)/(('Cálculos'!$D$199+(($C64)-$A$63:$A$108)*'Cálculos'!$D$98)+1400)+'Cálculos'!$D$122)*'Cálculos'!$D$262+'Cálculos'!$D$125*(1+2.78*('Cálculos'!$D$199+(($C64)-$A$63:$A$108)*'Cálculos'!$D$98)/(('Cálculos'!$D$199+(($C64)-$A$63:$A$108)*'Cálculos'!$D$98)+1400)+'Cálculos'!$D$123)*'Cálculos'!$D$267)+('Cálculos'!$D$258+'Cálculos'!$D$124*(1+2.78*('Cálculos'!$D$199+(($C64)-$A$63:$A$108)*'Cálculos'!$D$98)/(('Cálculos'!$D$199+(($C64)-$A$63:$A$108)*'Cálculos'!$D$98)+1400)+'Cálculos'!$D$122)*'Cálculos'!$D$263+'Cálculos'!$D$125*(1+2.78*('Cálculos'!$D$199+(($C64)-$A$63:$A$108)*'Cálculos'!$D$98)/(('Cálculos'!$D$199+(($C64)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64)-$A$63:$A$108)*'Cálculos'!$D$98)/(('Cálculos'!$D$200+(($C64)-$A$63:$A$108)*'Cálculos'!$D$98)+1400)+'Cálculos'!$D$122)*'Cálculos'!$D$274+'Cálculos'!$D$125*(1+2.78*('Cálculos'!$D$200+(($C64)-$A$63:$A$108)*'Cálculos'!$D$98)/(('Cálculos'!$D$200+(($C64)-$A$63:$A$108)*'Cálculos'!$D$98)+1400)+'Cálculos'!$D$123)*'Cálculos'!$D$279)+('Cálculos'!$D$200+(($C64)-$A$63:$A$108)*'Cálculos'!$D$98)*('Cálculos'!$D$270+'Cálculos'!$D$124*(1+2.78*('Cálculos'!$D$200+(($C64)-$A$63:$A$108)*'Cálculos'!$D$98)/(('Cálculos'!$D$200+(($C64)-$A$63:$A$108)*'Cálculos'!$D$98)+1400)+'Cálculos'!$D$122)*'Cálculos'!$D$275+'Cálculos'!$D$125*(1+2.78*('Cálculos'!$D$200+(($C64)-$A$63:$A$108)*'Cálculos'!$D$98)/(('Cálculos'!$D$200+(($C64)-$A$63:$A$108)*'Cálculos'!$D$98)+1400)+'Cálculos'!$D$123)*'Cálculos'!$D$280)+('Cálculos'!$D$201*(1+'Cálculos'!$D$202+$A$63:$A$108*('Cálculos'!$D$290=2)*'Cálculos'!$D$101)+'Cálculos'!$D$203)*('Cálculos'!$D$271+'Cálculos'!$D$124*(1+2.78*('Cálculos'!$D$200+(($C64)-$A$63:$A$108)*'Cálculos'!$D$98)/(('Cálculos'!$D$200+(($C64)-$A$63:$A$108)*'Cálculos'!$D$98)+1400)+'Cálculos'!$D$122)*'Cálculos'!$D$276+'Cálculos'!$D$125*(1+2.78*('Cálculos'!$D$200+(($C64)-$A$63:$A$108)*'Cálculos'!$D$98)/(('Cálculos'!$D$200+(($C64)-$A$63:$A$108)*'Cálculos'!$D$98)+1400)+'Cálculos'!$D$123)*'Cálculos'!$D$281)+('Cálculos'!$D$204*(1+'Cálculos'!$D$205+$A$63:$A$108*('Cálculos'!$D$290=3)*'Cálculos'!$D$103)+'Cálculos'!$D$206)*('Cálculos'!$D$272+'Cálculos'!$D$124*(1+2.78*('Cálculos'!$D$200+(($C64)-$A$63:$A$108)*'Cálculos'!$D$98)/(('Cálculos'!$D$200+(($C64)-$A$63:$A$108)*'Cálculos'!$D$98)+1400)+'Cálculos'!$D$122)*'Cálculos'!$D$277+'Cálculos'!$D$125*(1+2.78*('Cálculos'!$D$200+(($C64)-$A$63:$A$108)*'Cálculos'!$D$98)/(('Cálculos'!$D$200+(($C64)-$A$63:$A$108)*'Cálculos'!$D$98)+1400)+'Cálculos'!$D$123)*'Cálculos'!$D$282)+('Cálculos'!$D$273+'Cálculos'!$D$124*(1+2.78*('Cálculos'!$D$200+(($C64)-$A$63:$A$108)*'Cálculos'!$D$98)/(('Cálculos'!$D$200+(($C64)-$A$63:$A$108)*'Cálculos'!$D$98)+1400)+'Cálculos'!$D$122)*'Cálculos'!$D$278+'Cálculos'!$D$125*(1+2.78*('Cálculos'!$D$200+(($C64)-$A$63:$A$108)*'Cálculos'!$D$98)/(('Cálculos'!$D$200+(($C64)-$A$63:$A$108)*'Cálculos'!$D$98)+1400)+'Cálculos'!$D$123)*'Cálculos'!$D$283)))))</f>
        <v>80992.63798</v>
      </c>
      <c r="E64" s="32">
        <f>IF(OR($C64&lt;0,'Cálculos'!$D$6=""),0,$B64*$D64)</f>
        <v>99287.16772</v>
      </c>
      <c r="F64" s="2"/>
      <c r="G64" s="30">
        <f>($A64&lt;=$B$110)*($A64&lt;='Cálculos'!$D$294)*(($B$110)-$A64&lt;='Cálculos'!$D$295)*(1+MIN(('Cálculos'!$D$207+$A64*'Cálculos'!$D$95),1)*('Cálculos'!$D$208+(($B$110)-$A64)*'Cálculos'!$D$96))</f>
        <v>1.429350871</v>
      </c>
      <c r="H64" s="31">
        <f>IF($B$111&lt;0,0,($A64&lt;=$B$111)*($A64&lt;='Cálculos'!$D$301)*(($B$111)-$A64&lt;='Cálculos'!$D$297)*(('Cálculos'!$D$185*(1+'Cálculos'!$D$186+$A64*('Cálculos'!$D$290=1)*'Cálculos'!$D$97+'Cálculos'!$D$305)+'Cálculos'!$D$191)*('Cálculos'!$D$209+'Cálculos'!$D$124*(1+2.78*('Cálculos'!$D$196+(($B$111)-$A64)*'Cálculos'!$D$98)/(('Cálculos'!$D$196+(($B$111)-$A64)*'Cálculos'!$D$98)+1400)+'Cálculos'!$D$122)*'Cálculos'!$D$214+'Cálculos'!$D$125*(1+2.78*('Cálculos'!$D$196+(($B$111)-$A64)*'Cálculos'!$D$98)/(('Cálculos'!$D$196+(($B$111)-$A64)*'Cálculos'!$D$98)+1400)+'Cálculos'!$D$123)*'Cálculos'!$D$219)+('Cálculos'!$D$196+(($B$111)-$A64)*'Cálculos'!$D$98)*('Cálculos'!$D$210+'Cálculos'!$D$124*(1+2.78*('Cálculos'!$D$196+(($B$111)-$A64)*'Cálculos'!$D$98)/(('Cálculos'!$D$196+(($B$111)-$A64)*'Cálculos'!$D$98)+1400)+'Cálculos'!$D$122)*'Cálculos'!$D$215+'Cálculos'!$D$125*(1+2.78*('Cálculos'!$D$196+(($B$111)-$A64)*'Cálculos'!$D$98)/(('Cálculos'!$D$196+(($B$111)-$A64)*'Cálculos'!$D$98)+1400)+'Cálculos'!$D$123)*'Cálculos'!$D$220)+('Cálculos'!$D$201*(1+'Cálculos'!$D$202+$A64*('Cálculos'!$D$290=2)*'Cálculos'!$D$101)+'Cálculos'!$D$203)*('Cálculos'!$D$211+'Cálculos'!$D$124*(1+2.78*('Cálculos'!$D$196+(($B$111)-$A64)*'Cálculos'!$D$98)/(('Cálculos'!$D$196+(($B$111)-$A64)*'Cálculos'!$D$98)+1400)+'Cálculos'!$D$122)*'Cálculos'!$D$216+'Cálculos'!$D$125*(1+2.78*('Cálculos'!$D$196+(($B$111)-$A64)*'Cálculos'!$D$98)/(('Cálculos'!$D$196+(($B$111)-$A64)*'Cálculos'!$D$98)+1400)+'Cálculos'!$D$123)*'Cálculos'!$D$221)+('Cálculos'!$D$204*(1+'Cálculos'!$D$205+$A64*('Cálculos'!$D$290=3)*'Cálculos'!$D$103)+'Cálculos'!$D$206)*('Cálculos'!$D$212+'Cálculos'!$D$124*(1+2.78*('Cálculos'!$D$196+(($B$111)-$A64)*'Cálculos'!$D$98)/(('Cálculos'!$D$196+(($B$111)-$A64)*'Cálculos'!$D$98)+1400)+'Cálculos'!$D$122)*'Cálculos'!$D$217+'Cálculos'!$D$125*(1+2.78*('Cálculos'!$D$196+(($B$111)-$A64)*'Cálculos'!$D$98)/(('Cálculos'!$D$196+(($B$111)-$A64)*'Cálculos'!$D$98)+1400)+'Cálculos'!$D$123)*'Cálculos'!$D$222)+('Cálculos'!$D$213+'Cálculos'!$D$124*(1+2.78*('Cálculos'!$D$196+(($B$111)-$A64)*'Cálculos'!$D$98)/(('Cálculos'!$D$196+(($B$111)-$A64)*'Cálculos'!$D$98)+1400)+'Cálculos'!$D$122)*'Cálculos'!$D$218+'Cálculos'!$D$125*(1+2.78*('Cálculos'!$D$196+(($B$111)-$A64)*'Cálculos'!$D$98)/(('Cálculos'!$D$196+(($B$111)-$A64)*'Cálculos'!$D$98)+1400)+'Cálculos'!$D$123)*'Cálculos'!$D$223)+('Cálculos'!$D$185*(1+'Cálculos'!$D$187+$A64*('Cálculos'!$D$290=1)*'Cálculos'!$D$97+'Cálculos'!$D$305)+'Cálculos'!$D$192)*('Cálculos'!$D$224+'Cálculos'!$D$124*(1+2.78*('Cálculos'!$D$197+(($B$111)-$A64)*'Cálculos'!$D$98)/(('Cálculos'!$D$197+(($B$111)-$A64)*'Cálculos'!$D$98)+1400)+'Cálculos'!$D$122)*'Cálculos'!$D$229+'Cálculos'!$D$125*(1+2.78*('Cálculos'!$D$197+(($B$111)-$A64)*'Cálculos'!$D$98)/(('Cálculos'!$D$197+(($B$111)-$A64)*'Cálculos'!$D$98)+1400)+'Cálculos'!$D$123)*'Cálculos'!$D$234)+('Cálculos'!$D$197+(($B$111)-$A64)*'Cálculos'!$D$98)*('Cálculos'!$D$225+'Cálculos'!$D$124*(1+2.78*('Cálculos'!$D$197+(($B$111)-$A64)*'Cálculos'!$D$98)/(('Cálculos'!$D$197+(($B$111)-$A64)*'Cálculos'!$D$98)+1400)+'Cálculos'!$D$122)*'Cálculos'!$D$230+'Cálculos'!$D$125*(1+2.78*('Cálculos'!$D$197+(($B$111)-$A64)*'Cálculos'!$D$98)/(('Cálculos'!$D$197+(($B$111)-$A64)*'Cálculos'!$D$98)+1400)+'Cálculos'!$D$123)*'Cálculos'!$D$235)+('Cálculos'!$D$201*(1+'Cálculos'!$D$202+$A64*('Cálculos'!$D$290=2)*'Cálculos'!$D$101)+'Cálculos'!$D$203)*('Cálculos'!$D$226+'Cálculos'!$D$124*(1+2.78*('Cálculos'!$D$197+(($B$111)-$A64)*'Cálculos'!$D$98)/(('Cálculos'!$D$197+(($B$111)-$A64)*'Cálculos'!$D$98)+1400)+'Cálculos'!$D$122)*'Cálculos'!$D$231+'Cálculos'!$D$125*(1+2.78*('Cálculos'!$D$197+(($B$111)-$A64)*'Cálculos'!$D$98)/(('Cálculos'!$D$197+(($B$111)-$A64)*'Cálculos'!$D$98)+1400)+'Cálculos'!$D$123)*'Cálculos'!$D$236)+('Cálculos'!$D$204*(1+'Cálculos'!$D$205+$A64*('Cálculos'!$D$290=3)*'Cálculos'!$D$103)+'Cálculos'!$D$206)*('Cálculos'!$D$227+'Cálculos'!$D$124*(1+2.78*('Cálculos'!$D$197+(($B$111)-$A64)*'Cálculos'!$D$98)/(('Cálculos'!$D$197+(($B$111)-$A64)*'Cálculos'!$D$98)+1400)+'Cálculos'!$D$122)*'Cálculos'!$D$232+'Cálculos'!$D$125*(1+2.78*('Cálculos'!$D$197+(($B$111)-$A64)*'Cálculos'!$D$98)/(('Cálculos'!$D$197+(($B$111)-$A64)*'Cálculos'!$D$98)+1400)+'Cálculos'!$D$123)*'Cálculos'!$D$237)+('Cálculos'!$D$228+'Cálculos'!$D$124*(1+2.78*('Cálculos'!$D$197+(($B$111)-$A64)*'Cálculos'!$D$98)/(('Cálculos'!$D$197+(($B$111)-$A64)*'Cálculos'!$D$98)+1400)+'Cálculos'!$D$122)*'Cálculos'!$D$233+'Cálculos'!$D$125*(1+2.78*('Cálculos'!$D$197+(($B$111)-$A64)*'Cálculos'!$D$98)/(('Cálculos'!$D$197+(($B$111)-$A64)*'Cálculos'!$D$98)+1400)+'Cálculos'!$D$123)*'Cálculos'!$D$238)+('Cálculos'!$D$185*(1+'Cálculos'!$D$188+$A64*('Cálculos'!$D$290=1)*'Cálculos'!$D$97+'Cálculos'!$D$305)+'Cálculos'!$D$193)*('Cálculos'!$D$239+'Cálculos'!$D$124*(1+2.78*('Cálculos'!$D$198+(($B$111)-$A64)*'Cálculos'!$D$98)/(('Cálculos'!$D$198+(($B$111)-$A64)*'Cálculos'!$D$98)+1400)+'Cálculos'!$D$122)*'Cálculos'!$D$244+'Cálculos'!$D$125*(1+2.78*('Cálculos'!$D$198+(($B$111)-$A64)*'Cálculos'!$D$98)/(('Cálculos'!$D$198+(($B$111)-$A64)*'Cálculos'!$D$98)+1400)+'Cálculos'!$D$123)*'Cálculos'!$D$249)+('Cálculos'!$D$198+(($B$111)-$A64)*'Cálculos'!$D$98)*('Cálculos'!$D$240+'Cálculos'!$D$124*(1+2.78*('Cálculos'!$D$198+(($B$111)-$A64)*'Cálculos'!$D$98)/(('Cálculos'!$D$198+(($B$111)-$A64)*'Cálculos'!$D$98)+1400)+'Cálculos'!$D$122)*'Cálculos'!$D$245+'Cálculos'!$D$125*(1+2.78*('Cálculos'!$D$198+(($B$111)-$A64)*'Cálculos'!$D$98)/(('Cálculos'!$D$198+(($B$111)-$A64)*'Cálculos'!$D$98)+1400)+'Cálculos'!$D$123)*'Cálculos'!$D$250)+('Cálculos'!$D$201*(1+'Cálculos'!$D$202+$A64*('Cálculos'!$D$290=2)*'Cálculos'!$D$101)+'Cálculos'!$D$203)*('Cálculos'!$D$241+'Cálculos'!$D$124*(1+2.78*('Cálculos'!$D$198+(($B$111)-$A64)*'Cálculos'!$D$98)/(('Cálculos'!$D$198+(($B$111)-$A64)*'Cálculos'!$D$98)+1400)+'Cálculos'!$D$122)*'Cálculos'!$D$246+'Cálculos'!$D$125*(1+2.78*('Cálculos'!$D$198+(($B$111)-$A64)*'Cálculos'!$D$98)/(('Cálculos'!$D$198+(($B$111)-$A64)*'Cálculos'!$D$98)+1400)+'Cálculos'!$D$123)*'Cálculos'!$D$251)+('Cálculos'!$D$204*(1+'Cálculos'!$D$205+$A64*('Cálculos'!$D$290=3)*'Cálculos'!$D$103)+'Cálculos'!$D$206)*('Cálculos'!$D$242+'Cálculos'!$D$124*(1+2.78*('Cálculos'!$D$198+(($B$111)-$A64)*'Cálculos'!$D$98)/(('Cálculos'!$D$198+(($B$111)-$A64)*'Cálculos'!$D$98)+1400)+'Cálculos'!$D$122)*'Cálculos'!$D$247+'Cálculos'!$D$125*(1+2.78*('Cálculos'!$D$198+(($B$111)-$A64)*'Cálculos'!$D$98)/(('Cálculos'!$D$198+(($B$111)-$A64)*'Cálculos'!$D$98)+1400)+'Cálculos'!$D$123)*'Cálculos'!$D$252)+('Cálculos'!$D$243+'Cálculos'!$D$124*(1+2.78*('Cálculos'!$D$198+(($B$111)-$A64)*'Cálculos'!$D$98)/(('Cálculos'!$D$198+(($B$111)-$A64)*'Cálculos'!$D$98)+1400)+'Cálculos'!$D$122)*'Cálculos'!$D$248+'Cálculos'!$D$125*(1+2.78*('Cálculos'!$D$198+(($B$111)-$A64)*'Cálculos'!$D$98)/(('Cálculos'!$D$198+(($B$111)-$A64)*'Cálculos'!$D$98)+1400)+'Cálculos'!$D$123)*'Cálculos'!$D$253)+('Cálculos'!$D$185*(1+'Cálculos'!$D$189+$A64*('Cálculos'!$D$290=1)*'Cálculos'!$D$97+'Cálculos'!$D$305)+'Cálculos'!$D$194)*('Cálculos'!$D$254+'Cálculos'!$D$124*(1+2.78*('Cálculos'!$D$199+(($B$111)-$A64)*'Cálculos'!$D$98)/(('Cálculos'!$D$199+(($B$111)-$A64)*'Cálculos'!$D$98)+1400)+'Cálculos'!$D$122)*'Cálculos'!$D$259+'Cálculos'!$D$125*(1+2.78*('Cálculos'!$D$199+(($B$111)-$A64)*'Cálculos'!$D$98)/(('Cálculos'!$D$199+(($B$111)-$A64)*'Cálculos'!$D$98)+1400)+'Cálculos'!$D$123)*'Cálculos'!$D$264)+('Cálculos'!$D$199+(($B$111)-$A64)*'Cálculos'!$D$98)*('Cálculos'!$D$255+'Cálculos'!$D$124*(1+2.78*('Cálculos'!$D$199+(($B$111)-$A64)*'Cálculos'!$D$98)/(('Cálculos'!$D$199+(($B$111)-$A64)*'Cálculos'!$D$98)+1400)+'Cálculos'!$D$122)*'Cálculos'!$D$260+'Cálculos'!$D$125*(1+2.78*('Cálculos'!$D$199+(($B$111)-$A64)*'Cálculos'!$D$98)/(('Cálculos'!$D$199+(($B$111)-$A64)*'Cálculos'!$D$98)+1400)+'Cálculos'!$D$123)*'Cálculos'!$D$265)+('Cálculos'!$D$201*(1+'Cálculos'!$D$202+$A64*('Cálculos'!$D$290=2)*'Cálculos'!$D$101)+'Cálculos'!$D$203)*('Cálculos'!$D$256+'Cálculos'!$D$124*(1+2.78*('Cálculos'!$D$199+(($B$111)-$A64)*'Cálculos'!$D$98)/(('Cálculos'!$D$199+(($B$111)-$A64)*'Cálculos'!$D$98)+1400)+'Cálculos'!$D$122)*'Cálculos'!$D$261+'Cálculos'!$D$125*(1+2.78*('Cálculos'!$D$199+(($B$111)-$A64)*'Cálculos'!$D$98)/(('Cálculos'!$D$199+(($B$111)-$A64)*'Cálculos'!$D$98)+1400)+'Cálculos'!$D$123)*'Cálculos'!$D$266)+('Cálculos'!$D$204*(1+'Cálculos'!$D$205+$A64*('Cálculos'!$D$290=3)*'Cálculos'!$D$103)+'Cálculos'!$D$206)*('Cálculos'!$D$257+'Cálculos'!$D$124*(1+2.78*('Cálculos'!$D$199+(($B$111)-$A64)*'Cálculos'!$D$98)/(('Cálculos'!$D$199+(($B$111)-$A64)*'Cálculos'!$D$98)+1400)+'Cálculos'!$D$122)*'Cálculos'!$D$262+'Cálculos'!$D$125*(1+2.78*('Cálculos'!$D$199+(($B$111)-$A64)*'Cálculos'!$D$98)/(('Cálculos'!$D$199+(($B$111)-$A64)*'Cálculos'!$D$98)+1400)+'Cálculos'!$D$123)*'Cálculos'!$D$267)+('Cálculos'!$D$258+'Cálculos'!$D$124*(1+2.78*('Cálculos'!$D$199+(($B$111)-$A64)*'Cálculos'!$D$98)/(('Cálculos'!$D$199+(($B$111)-$A64)*'Cálculos'!$D$98)+1400)+'Cálculos'!$D$122)*'Cálculos'!$D$263+'Cálculos'!$D$125*(1+2.78*('Cálculos'!$D$199+(($B$111)-$A64)*'Cálculos'!$D$98)/(('Cálculos'!$D$199+(($B$111)-$A64)*'Cálculos'!$D$98)+1400)+'Cálculos'!$D$123)*'Cálculos'!$D$268)+('Cálculos'!$D$185*(1+'Cálculos'!$D$190+$A64*('Cálculos'!$D$290=1)*'Cálculos'!$D$97+'Cálculos'!$D$305)+'Cálculos'!$D$195)*('Cálculos'!$D$269+'Cálculos'!$D$124*(1+2.78*('Cálculos'!$D$200+(($B$111)-$A64)*'Cálculos'!$D$98)/(('Cálculos'!$D$200+(($B$111)-$A64)*'Cálculos'!$D$98)+1400)+'Cálculos'!$D$122)*'Cálculos'!$D$274+'Cálculos'!$D$125*(1+2.78*('Cálculos'!$D$200+(($B$111)-$A64)*'Cálculos'!$D$98)/(('Cálculos'!$D$200+(($B$111)-$A64)*'Cálculos'!$D$98)+1400)+'Cálculos'!$D$123)*'Cálculos'!$D$279)+('Cálculos'!$D$200+(($B$111)-$A64)*'Cálculos'!$D$98)*('Cálculos'!$D$270+'Cálculos'!$D$124*(1+2.78*('Cálculos'!$D$200+(($B$111)-$A64)*'Cálculos'!$D$98)/(('Cálculos'!$D$200+(($B$111)-$A64)*'Cálculos'!$D$98)+1400)+'Cálculos'!$D$122)*'Cálculos'!$D$275+'Cálculos'!$D$125*(1+2.78*('Cálculos'!$D$200+(($B$111)-$A64)*'Cálculos'!$D$98)/(('Cálculos'!$D$200+(($B$111)-$A64)*'Cálculos'!$D$98)+1400)+'Cálculos'!$D$123)*'Cálculos'!$D$280)+('Cálculos'!$D$201*(1+'Cálculos'!$D$202+$A64*('Cálculos'!$D$290=2)*'Cálculos'!$D$101)+'Cálculos'!$D$203)*('Cálculos'!$D$271+'Cálculos'!$D$124*(1+2.78*('Cálculos'!$D$200+(($B$111)-$A64)*'Cálculos'!$D$98)/(('Cálculos'!$D$200+(($B$111)-$A64)*'Cálculos'!$D$98)+1400)+'Cálculos'!$D$122)*'Cálculos'!$D$276+'Cálculos'!$D$125*(1+2.78*('Cálculos'!$D$200+(($B$111)-$A64)*'Cálculos'!$D$98)/(('Cálculos'!$D$200+(($B$111)-$A64)*'Cálculos'!$D$98)+1400)+'Cálculos'!$D$123)*'Cálculos'!$D$281)+('Cálculos'!$D$204*(1+'Cálculos'!$D$205+$A64*('Cálculos'!$D$290=3)*'Cálculos'!$D$103)+'Cálculos'!$D$206)*('Cálculos'!$D$272+'Cálculos'!$D$124*(1+2.78*('Cálculos'!$D$200+(($B$111)-$A64)*'Cálculos'!$D$98)/(('Cálculos'!$D$200+(($B$111)-$A64)*'Cálculos'!$D$98)+1400)+'Cálculos'!$D$122)*'Cálculos'!$D$277+'Cálculos'!$D$125*(1+2.78*('Cálculos'!$D$200+(($B$111)-$A64)*'Cálculos'!$D$98)/(('Cálculos'!$D$200+(($B$111)-$A64)*'Cálculos'!$D$98)+1400)+'Cálculos'!$D$123)*'Cálculos'!$D$282)+('Cálculos'!$D$273+'Cálculos'!$D$124*(1+2.78*('Cálculos'!$D$200+(($B$111)-$A64)*'Cálculos'!$D$98)/(('Cálculos'!$D$200+(($B$111)-$A64)*'Cálculos'!$D$98)+1400)+'Cálculos'!$D$122)*'Cálculos'!$D$278+'Cálculos'!$D$125*(1+2.78*('Cálculos'!$D$200+(($B$111)-$A64)*'Cálculos'!$D$98)/(('Cálculos'!$D$200+(($B$111)-$A64)*'Cálculos'!$D$98)+1400)+'Cálculos'!$D$123)*'Cálculos'!$D$283)))</f>
        <v>0</v>
      </c>
    </row>
    <row r="65" ht="15.75" customHeight="1">
      <c r="A65" s="2">
        <v>2.0</v>
      </c>
      <c r="B65" s="30">
        <f>SUMPRODUCT(MAX(($A$63:$A$108&lt;=$A65)*($A$63:$A$108&lt;='Cálculos'!$D$294)*(($A65)-$A$63:$A$108&lt;='Cálculos'!$D$295)*(1+(('Cálculos'!$D$207+$A$63:$A$108*'Cálculos'!$D$95)-(('Cálculos'!$D$207+$A$63:$A$108*'Cálculos'!$D$95)&gt;1)*(('Cálculos'!$D$207+$A$63:$A$108*'Cálculos'!$D$95)-1))*('Cálculos'!$D$208+(($A65)-$A$63:$A$108)*'Cálculos'!$D$96))))</f>
        <v>1.24483676</v>
      </c>
      <c r="C65" s="2">
        <f>'Cálculos'!$D$303-$A65</f>
        <v>9</v>
      </c>
      <c r="D65" s="31">
        <f>IF($C65&lt;0,0,SUMPRODUCT(MAX(($A$63:$A$108&lt;=$C65)*($A$63:$A$108&lt;='Cálculos'!$D$301)*(($C65)-$A$63:$A$108&lt;='Cálculos'!$D$297)*(('Cálculos'!$D$185*(1+'Cálculos'!$D$186+$A$63:$A$108*('Cálculos'!$D$290=1)*'Cálculos'!$D$97+'Cálculos'!$D$305)+'Cálculos'!$D$191)*('Cálculos'!$D$209+'Cálculos'!$D$124*(1+2.78*('Cálculos'!$D$196+(($C65)-$A$63:$A$108)*'Cálculos'!$D$98)/(('Cálculos'!$D$196+(($C65)-$A$63:$A$108)*'Cálculos'!$D$98)+1400)+'Cálculos'!$D$122)*'Cálculos'!$D$214+'Cálculos'!$D$125*(1+2.78*('Cálculos'!$D$196+(($C65)-$A$63:$A$108)*'Cálculos'!$D$98)/(('Cálculos'!$D$196+(($C65)-$A$63:$A$108)*'Cálculos'!$D$98)+1400)+'Cálculos'!$D$123)*'Cálculos'!$D$219)+('Cálculos'!$D$196+(($C65)-$A$63:$A$108)*'Cálculos'!$D$98)*('Cálculos'!$D$210+'Cálculos'!$D$124*(1+2.78*('Cálculos'!$D$196+(($C65)-$A$63:$A$108)*'Cálculos'!$D$98)/(('Cálculos'!$D$196+(($C65)-$A$63:$A$108)*'Cálculos'!$D$98)+1400)+'Cálculos'!$D$122)*'Cálculos'!$D$215+'Cálculos'!$D$125*(1+2.78*('Cálculos'!$D$196+(($C65)-$A$63:$A$108)*'Cálculos'!$D$98)/(('Cálculos'!$D$196+(($C65)-$A$63:$A$108)*'Cálculos'!$D$98)+1400)+'Cálculos'!$D$123)*'Cálculos'!$D$220)+('Cálculos'!$D$201*(1+'Cálculos'!$D$202+$A$63:$A$108*('Cálculos'!$D$290=2)*'Cálculos'!$D$101)+'Cálculos'!$D$203)*('Cálculos'!$D$211+'Cálculos'!$D$124*(1+2.78*('Cálculos'!$D$196+(($C65)-$A$63:$A$108)*'Cálculos'!$D$98)/(('Cálculos'!$D$196+(($C65)-$A$63:$A$108)*'Cálculos'!$D$98)+1400)+'Cálculos'!$D$122)*'Cálculos'!$D$216+'Cálculos'!$D$125*(1+2.78*('Cálculos'!$D$196+(($C65)-$A$63:$A$108)*'Cálculos'!$D$98)/(('Cálculos'!$D$196+(($C65)-$A$63:$A$108)*'Cálculos'!$D$98)+1400)+'Cálculos'!$D$123)*'Cálculos'!$D$221)+('Cálculos'!$D$204*(1+'Cálculos'!$D$205+$A$63:$A$108*('Cálculos'!$D$290=3)*'Cálculos'!$D$103)+'Cálculos'!$D$206)*('Cálculos'!$D$212+'Cálculos'!$D$124*(1+2.78*('Cálculos'!$D$196+(($C65)-$A$63:$A$108)*'Cálculos'!$D$98)/(('Cálculos'!$D$196+(($C65)-$A$63:$A$108)*'Cálculos'!$D$98)+1400)+'Cálculos'!$D$122)*'Cálculos'!$D$217+'Cálculos'!$D$125*(1+2.78*('Cálculos'!$D$196+(($C65)-$A$63:$A$108)*'Cálculos'!$D$98)/(('Cálculos'!$D$196+(($C65)-$A$63:$A$108)*'Cálculos'!$D$98)+1400)+'Cálculos'!$D$123)*'Cálculos'!$D$222)+('Cálculos'!$D$213+'Cálculos'!$D$124*(1+2.78*('Cálculos'!$D$196+(($C65)-$A$63:$A$108)*'Cálculos'!$D$98)/(('Cálculos'!$D$196+(($C65)-$A$63:$A$108)*'Cálculos'!$D$98)+1400)+'Cálculos'!$D$122)*'Cálculos'!$D$218+'Cálculos'!$D$125*(1+2.78*('Cálculos'!$D$196+(($C65)-$A$63:$A$108)*'Cálculos'!$D$98)/(('Cálculos'!$D$196+(($C65)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65)-$A$63:$A$108)*'Cálculos'!$D$98)/(('Cálculos'!$D$197+(($C65)-$A$63:$A$108)*'Cálculos'!$D$98)+1400)+'Cálculos'!$D$122)*'Cálculos'!$D$229+'Cálculos'!$D$125*(1+2.78*('Cálculos'!$D$197+(($C65)-$A$63:$A$108)*'Cálculos'!$D$98)/(('Cálculos'!$D$197+(($C65)-$A$63:$A$108)*'Cálculos'!$D$98)+1400)+'Cálculos'!$D$123)*'Cálculos'!$D$234)+('Cálculos'!$D$197+(($C65)-$A$63:$A$108)*'Cálculos'!$D$98)*('Cálculos'!$D$225+'Cálculos'!$D$124*(1+2.78*('Cálculos'!$D$197+(($C65)-$A$63:$A$108)*'Cálculos'!$D$98)/(('Cálculos'!$D$197+(($C65)-$A$63:$A$108)*'Cálculos'!$D$98)+1400)+'Cálculos'!$D$122)*'Cálculos'!$D$230+'Cálculos'!$D$125*(1+2.78*('Cálculos'!$D$197+(($C65)-$A$63:$A$108)*'Cálculos'!$D$98)/(('Cálculos'!$D$197+(($C65)-$A$63:$A$108)*'Cálculos'!$D$98)+1400)+'Cálculos'!$D$123)*'Cálculos'!$D$235)+('Cálculos'!$D$201*(1+'Cálculos'!$D$202+$A$63:$A$108*('Cálculos'!$D$290=2)*'Cálculos'!$D$101)+'Cálculos'!$D$203)*('Cálculos'!$D$226+'Cálculos'!$D$124*(1+2.78*('Cálculos'!$D$197+(($C65)-$A$63:$A$108)*'Cálculos'!$D$98)/(('Cálculos'!$D$197+(($C65)-$A$63:$A$108)*'Cálculos'!$D$98)+1400)+'Cálculos'!$D$122)*'Cálculos'!$D$231+'Cálculos'!$D$125*(1+2.78*('Cálculos'!$D$197+(($C65)-$A$63:$A$108)*'Cálculos'!$D$98)/(('Cálculos'!$D$197+(($C65)-$A$63:$A$108)*'Cálculos'!$D$98)+1400)+'Cálculos'!$D$123)*'Cálculos'!$D$236)+('Cálculos'!$D$204*(1+'Cálculos'!$D$205+$A$63:$A$108*('Cálculos'!$D$290=3)*'Cálculos'!$D$103)+'Cálculos'!$D$206)*('Cálculos'!$D$227+'Cálculos'!$D$124*(1+2.78*('Cálculos'!$D$197+(($C65)-$A$63:$A$108)*'Cálculos'!$D$98)/(('Cálculos'!$D$197+(($C65)-$A$63:$A$108)*'Cálculos'!$D$98)+1400)+'Cálculos'!$D$122)*'Cálculos'!$D$232+'Cálculos'!$D$125*(1+2.78*('Cálculos'!$D$197+(($C65)-$A$63:$A$108)*'Cálculos'!$D$98)/(('Cálculos'!$D$197+(($C65)-$A$63:$A$108)*'Cálculos'!$D$98)+1400)+'Cálculos'!$D$123)*'Cálculos'!$D$237)+('Cálculos'!$D$228+'Cálculos'!$D$124*(1+2.78*('Cálculos'!$D$197+(($C65)-$A$63:$A$108)*'Cálculos'!$D$98)/(('Cálculos'!$D$197+(($C65)-$A$63:$A$108)*'Cálculos'!$D$98)+1400)+'Cálculos'!$D$122)*'Cálculos'!$D$233+'Cálculos'!$D$125*(1+2.78*('Cálculos'!$D$197+(($C65)-$A$63:$A$108)*'Cálculos'!$D$98)/(('Cálculos'!$D$197+(($C65)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65)-$A$63:$A$108)*'Cálculos'!$D$98)/(('Cálculos'!$D$198+(($C65)-$A$63:$A$108)*'Cálculos'!$D$98)+1400)+'Cálculos'!$D$122)*'Cálculos'!$D$244+'Cálculos'!$D$125*(1+2.78*('Cálculos'!$D$198+(($C65)-$A$63:$A$108)*'Cálculos'!$D$98)/(('Cálculos'!$D$198+(($C65)-$A$63:$A$108)*'Cálculos'!$D$98)+1400)+'Cálculos'!$D$123)*'Cálculos'!$D$249)+('Cálculos'!$D$198+(($C65)-$A$63:$A$108)*'Cálculos'!$D$98)*('Cálculos'!$D$240+'Cálculos'!$D$124*(1+2.78*('Cálculos'!$D$198+(($C65)-$A$63:$A$108)*'Cálculos'!$D$98)/(('Cálculos'!$D$198+(($C65)-$A$63:$A$108)*'Cálculos'!$D$98)+1400)+'Cálculos'!$D$122)*'Cálculos'!$D$245+'Cálculos'!$D$125*(1+2.78*('Cálculos'!$D$198+(($C65)-$A$63:$A$108)*'Cálculos'!$D$98)/(('Cálculos'!$D$198+(($C65)-$A$63:$A$108)*'Cálculos'!$D$98)+1400)+'Cálculos'!$D$123)*'Cálculos'!$D$250)+('Cálculos'!$D$201*(1+'Cálculos'!$D$202+$A$63:$A$108*('Cálculos'!$D$290=2)*'Cálculos'!$D$101)+'Cálculos'!$D$203)*('Cálculos'!$D$241+'Cálculos'!$D$124*(1+2.78*('Cálculos'!$D$198+(($C65)-$A$63:$A$108)*'Cálculos'!$D$98)/(('Cálculos'!$D$198+(($C65)-$A$63:$A$108)*'Cálculos'!$D$98)+1400)+'Cálculos'!$D$122)*'Cálculos'!$D$246+'Cálculos'!$D$125*(1+2.78*('Cálculos'!$D$198+(($C65)-$A$63:$A$108)*'Cálculos'!$D$98)/(('Cálculos'!$D$198+(($C65)-$A$63:$A$108)*'Cálculos'!$D$98)+1400)+'Cálculos'!$D$123)*'Cálculos'!$D$251)+('Cálculos'!$D$204*(1+'Cálculos'!$D$205+$A$63:$A$108*('Cálculos'!$D$290=3)*'Cálculos'!$D$103)+'Cálculos'!$D$206)*('Cálculos'!$D$242+'Cálculos'!$D$124*(1+2.78*('Cálculos'!$D$198+(($C65)-$A$63:$A$108)*'Cálculos'!$D$98)/(('Cálculos'!$D$198+(($C65)-$A$63:$A$108)*'Cálculos'!$D$98)+1400)+'Cálculos'!$D$122)*'Cálculos'!$D$247+'Cálculos'!$D$125*(1+2.78*('Cálculos'!$D$198+(($C65)-$A$63:$A$108)*'Cálculos'!$D$98)/(('Cálculos'!$D$198+(($C65)-$A$63:$A$108)*'Cálculos'!$D$98)+1400)+'Cálculos'!$D$123)*'Cálculos'!$D$252)+('Cálculos'!$D$243+'Cálculos'!$D$124*(1+2.78*('Cálculos'!$D$198+(($C65)-$A$63:$A$108)*'Cálculos'!$D$98)/(('Cálculos'!$D$198+(($C65)-$A$63:$A$108)*'Cálculos'!$D$98)+1400)+'Cálculos'!$D$122)*'Cálculos'!$D$248+'Cálculos'!$D$125*(1+2.78*('Cálculos'!$D$198+(($C65)-$A$63:$A$108)*'Cálculos'!$D$98)/(('Cálculos'!$D$198+(($C65)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65)-$A$63:$A$108)*'Cálculos'!$D$98)/(('Cálculos'!$D$199+(($C65)-$A$63:$A$108)*'Cálculos'!$D$98)+1400)+'Cálculos'!$D$122)*'Cálculos'!$D$259+'Cálculos'!$D$125*(1+2.78*('Cálculos'!$D$199+(($C65)-$A$63:$A$108)*'Cálculos'!$D$98)/(('Cálculos'!$D$199+(($C65)-$A$63:$A$108)*'Cálculos'!$D$98)+1400)+'Cálculos'!$D$123)*'Cálculos'!$D$264)+('Cálculos'!$D$199+(($C65)-$A$63:$A$108)*'Cálculos'!$D$98)*('Cálculos'!$D$255+'Cálculos'!$D$124*(1+2.78*('Cálculos'!$D$199+(($C65)-$A$63:$A$108)*'Cálculos'!$D$98)/(('Cálculos'!$D$199+(($C65)-$A$63:$A$108)*'Cálculos'!$D$98)+1400)+'Cálculos'!$D$122)*'Cálculos'!$D$260+'Cálculos'!$D$125*(1+2.78*('Cálculos'!$D$199+(($C65)-$A$63:$A$108)*'Cálculos'!$D$98)/(('Cálculos'!$D$199+(($C65)-$A$63:$A$108)*'Cálculos'!$D$98)+1400)+'Cálculos'!$D$123)*'Cálculos'!$D$265)+('Cálculos'!$D$201*(1+'Cálculos'!$D$202+$A$63:$A$108*('Cálculos'!$D$290=2)*'Cálculos'!$D$101)+'Cálculos'!$D$203)*('Cálculos'!$D$256+'Cálculos'!$D$124*(1+2.78*('Cálculos'!$D$199+(($C65)-$A$63:$A$108)*'Cálculos'!$D$98)/(('Cálculos'!$D$199+(($C65)-$A$63:$A$108)*'Cálculos'!$D$98)+1400)+'Cálculos'!$D$122)*'Cálculos'!$D$261+'Cálculos'!$D$125*(1+2.78*('Cálculos'!$D$199+(($C65)-$A$63:$A$108)*'Cálculos'!$D$98)/(('Cálculos'!$D$199+(($C65)-$A$63:$A$108)*'Cálculos'!$D$98)+1400)+'Cálculos'!$D$123)*'Cálculos'!$D$266)+('Cálculos'!$D$204*(1+'Cálculos'!$D$205+$A$63:$A$108*('Cálculos'!$D$290=3)*'Cálculos'!$D$103)+'Cálculos'!$D$206)*('Cálculos'!$D$257+'Cálculos'!$D$124*(1+2.78*('Cálculos'!$D$199+(($C65)-$A$63:$A$108)*'Cálculos'!$D$98)/(('Cálculos'!$D$199+(($C65)-$A$63:$A$108)*'Cálculos'!$D$98)+1400)+'Cálculos'!$D$122)*'Cálculos'!$D$262+'Cálculos'!$D$125*(1+2.78*('Cálculos'!$D$199+(($C65)-$A$63:$A$108)*'Cálculos'!$D$98)/(('Cálculos'!$D$199+(($C65)-$A$63:$A$108)*'Cálculos'!$D$98)+1400)+'Cálculos'!$D$123)*'Cálculos'!$D$267)+('Cálculos'!$D$258+'Cálculos'!$D$124*(1+2.78*('Cálculos'!$D$199+(($C65)-$A$63:$A$108)*'Cálculos'!$D$98)/(('Cálculos'!$D$199+(($C65)-$A$63:$A$108)*'Cálculos'!$D$98)+1400)+'Cálculos'!$D$122)*'Cálculos'!$D$263+'Cálculos'!$D$125*(1+2.78*('Cálculos'!$D$199+(($C65)-$A$63:$A$108)*'Cálculos'!$D$98)/(('Cálculos'!$D$199+(($C65)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65)-$A$63:$A$108)*'Cálculos'!$D$98)/(('Cálculos'!$D$200+(($C65)-$A$63:$A$108)*'Cálculos'!$D$98)+1400)+'Cálculos'!$D$122)*'Cálculos'!$D$274+'Cálculos'!$D$125*(1+2.78*('Cálculos'!$D$200+(($C65)-$A$63:$A$108)*'Cálculos'!$D$98)/(('Cálculos'!$D$200+(($C65)-$A$63:$A$108)*'Cálculos'!$D$98)+1400)+'Cálculos'!$D$123)*'Cálculos'!$D$279)+('Cálculos'!$D$200+(($C65)-$A$63:$A$108)*'Cálculos'!$D$98)*('Cálculos'!$D$270+'Cálculos'!$D$124*(1+2.78*('Cálculos'!$D$200+(($C65)-$A$63:$A$108)*'Cálculos'!$D$98)/(('Cálculos'!$D$200+(($C65)-$A$63:$A$108)*'Cálculos'!$D$98)+1400)+'Cálculos'!$D$122)*'Cálculos'!$D$275+'Cálculos'!$D$125*(1+2.78*('Cálculos'!$D$200+(($C65)-$A$63:$A$108)*'Cálculos'!$D$98)/(('Cálculos'!$D$200+(($C65)-$A$63:$A$108)*'Cálculos'!$D$98)+1400)+'Cálculos'!$D$123)*'Cálculos'!$D$280)+('Cálculos'!$D$201*(1+'Cálculos'!$D$202+$A$63:$A$108*('Cálculos'!$D$290=2)*'Cálculos'!$D$101)+'Cálculos'!$D$203)*('Cálculos'!$D$271+'Cálculos'!$D$124*(1+2.78*('Cálculos'!$D$200+(($C65)-$A$63:$A$108)*'Cálculos'!$D$98)/(('Cálculos'!$D$200+(($C65)-$A$63:$A$108)*'Cálculos'!$D$98)+1400)+'Cálculos'!$D$122)*'Cálculos'!$D$276+'Cálculos'!$D$125*(1+2.78*('Cálculos'!$D$200+(($C65)-$A$63:$A$108)*'Cálculos'!$D$98)/(('Cálculos'!$D$200+(($C65)-$A$63:$A$108)*'Cálculos'!$D$98)+1400)+'Cálculos'!$D$123)*'Cálculos'!$D$281)+('Cálculos'!$D$204*(1+'Cálculos'!$D$205+$A$63:$A$108*('Cálculos'!$D$290=3)*'Cálculos'!$D$103)+'Cálculos'!$D$206)*('Cálculos'!$D$272+'Cálculos'!$D$124*(1+2.78*('Cálculos'!$D$200+(($C65)-$A$63:$A$108)*'Cálculos'!$D$98)/(('Cálculos'!$D$200+(($C65)-$A$63:$A$108)*'Cálculos'!$D$98)+1400)+'Cálculos'!$D$122)*'Cálculos'!$D$277+'Cálculos'!$D$125*(1+2.78*('Cálculos'!$D$200+(($C65)-$A$63:$A$108)*'Cálculos'!$D$98)/(('Cálculos'!$D$200+(($C65)-$A$63:$A$108)*'Cálculos'!$D$98)+1400)+'Cálculos'!$D$123)*'Cálculos'!$D$282)+('Cálculos'!$D$273+'Cálculos'!$D$124*(1+2.78*('Cálculos'!$D$200+(($C65)-$A$63:$A$108)*'Cálculos'!$D$98)/(('Cálculos'!$D$200+(($C65)-$A$63:$A$108)*'Cálculos'!$D$98)+1400)+'Cálculos'!$D$122)*'Cálculos'!$D$278+'Cálculos'!$D$125*(1+2.78*('Cálculos'!$D$200+(($C65)-$A$63:$A$108)*'Cálculos'!$D$98)/(('Cálculos'!$D$200+(($C65)-$A$63:$A$108)*'Cálculos'!$D$98)+1400)+'Cálculos'!$D$123)*'Cálculos'!$D$283)))))</f>
        <v>79949.00784</v>
      </c>
      <c r="E65" s="32">
        <f>IF(OR($C65&lt;0,'Cálculos'!$D$6=""),0,$B65*$D65)</f>
        <v>99523.46392</v>
      </c>
      <c r="F65" s="2"/>
      <c r="G65" s="30">
        <f>($A65&lt;=$B$110)*($A65&lt;='Cálculos'!$D$294)*(($B$110)-$A65&lt;='Cálculos'!$D$295)*(1+MIN(('Cálculos'!$D$207+$A65*'Cálculos'!$D$95),1)*('Cálculos'!$D$208+(($B$110)-$A65)*'Cálculos'!$D$96))</f>
        <v>1.440102983</v>
      </c>
      <c r="H65" s="31">
        <f>IF($B$111&lt;0,0,($A65&lt;=$B$111)*($A65&lt;='Cálculos'!$D$301)*(($B$111)-$A65&lt;='Cálculos'!$D$297)*(('Cálculos'!$D$185*(1+'Cálculos'!$D$186+$A65*('Cálculos'!$D$290=1)*'Cálculos'!$D$97+'Cálculos'!$D$305)+'Cálculos'!$D$191)*('Cálculos'!$D$209+'Cálculos'!$D$124*(1+2.78*('Cálculos'!$D$196+(($B$111)-$A65)*'Cálculos'!$D$98)/(('Cálculos'!$D$196+(($B$111)-$A65)*'Cálculos'!$D$98)+1400)+'Cálculos'!$D$122)*'Cálculos'!$D$214+'Cálculos'!$D$125*(1+2.78*('Cálculos'!$D$196+(($B$111)-$A65)*'Cálculos'!$D$98)/(('Cálculos'!$D$196+(($B$111)-$A65)*'Cálculos'!$D$98)+1400)+'Cálculos'!$D$123)*'Cálculos'!$D$219)+('Cálculos'!$D$196+(($B$111)-$A65)*'Cálculos'!$D$98)*('Cálculos'!$D$210+'Cálculos'!$D$124*(1+2.78*('Cálculos'!$D$196+(($B$111)-$A65)*'Cálculos'!$D$98)/(('Cálculos'!$D$196+(($B$111)-$A65)*'Cálculos'!$D$98)+1400)+'Cálculos'!$D$122)*'Cálculos'!$D$215+'Cálculos'!$D$125*(1+2.78*('Cálculos'!$D$196+(($B$111)-$A65)*'Cálculos'!$D$98)/(('Cálculos'!$D$196+(($B$111)-$A65)*'Cálculos'!$D$98)+1400)+'Cálculos'!$D$123)*'Cálculos'!$D$220)+('Cálculos'!$D$201*(1+'Cálculos'!$D$202+$A65*('Cálculos'!$D$290=2)*'Cálculos'!$D$101)+'Cálculos'!$D$203)*('Cálculos'!$D$211+'Cálculos'!$D$124*(1+2.78*('Cálculos'!$D$196+(($B$111)-$A65)*'Cálculos'!$D$98)/(('Cálculos'!$D$196+(($B$111)-$A65)*'Cálculos'!$D$98)+1400)+'Cálculos'!$D$122)*'Cálculos'!$D$216+'Cálculos'!$D$125*(1+2.78*('Cálculos'!$D$196+(($B$111)-$A65)*'Cálculos'!$D$98)/(('Cálculos'!$D$196+(($B$111)-$A65)*'Cálculos'!$D$98)+1400)+'Cálculos'!$D$123)*'Cálculos'!$D$221)+('Cálculos'!$D$204*(1+'Cálculos'!$D$205+$A65*('Cálculos'!$D$290=3)*'Cálculos'!$D$103)+'Cálculos'!$D$206)*('Cálculos'!$D$212+'Cálculos'!$D$124*(1+2.78*('Cálculos'!$D$196+(($B$111)-$A65)*'Cálculos'!$D$98)/(('Cálculos'!$D$196+(($B$111)-$A65)*'Cálculos'!$D$98)+1400)+'Cálculos'!$D$122)*'Cálculos'!$D$217+'Cálculos'!$D$125*(1+2.78*('Cálculos'!$D$196+(($B$111)-$A65)*'Cálculos'!$D$98)/(('Cálculos'!$D$196+(($B$111)-$A65)*'Cálculos'!$D$98)+1400)+'Cálculos'!$D$123)*'Cálculos'!$D$222)+('Cálculos'!$D$213+'Cálculos'!$D$124*(1+2.78*('Cálculos'!$D$196+(($B$111)-$A65)*'Cálculos'!$D$98)/(('Cálculos'!$D$196+(($B$111)-$A65)*'Cálculos'!$D$98)+1400)+'Cálculos'!$D$122)*'Cálculos'!$D$218+'Cálculos'!$D$125*(1+2.78*('Cálculos'!$D$196+(($B$111)-$A65)*'Cálculos'!$D$98)/(('Cálculos'!$D$196+(($B$111)-$A65)*'Cálculos'!$D$98)+1400)+'Cálculos'!$D$123)*'Cálculos'!$D$223)+('Cálculos'!$D$185*(1+'Cálculos'!$D$187+$A65*('Cálculos'!$D$290=1)*'Cálculos'!$D$97+'Cálculos'!$D$305)+'Cálculos'!$D$192)*('Cálculos'!$D$224+'Cálculos'!$D$124*(1+2.78*('Cálculos'!$D$197+(($B$111)-$A65)*'Cálculos'!$D$98)/(('Cálculos'!$D$197+(($B$111)-$A65)*'Cálculos'!$D$98)+1400)+'Cálculos'!$D$122)*'Cálculos'!$D$229+'Cálculos'!$D$125*(1+2.78*('Cálculos'!$D$197+(($B$111)-$A65)*'Cálculos'!$D$98)/(('Cálculos'!$D$197+(($B$111)-$A65)*'Cálculos'!$D$98)+1400)+'Cálculos'!$D$123)*'Cálculos'!$D$234)+('Cálculos'!$D$197+(($B$111)-$A65)*'Cálculos'!$D$98)*('Cálculos'!$D$225+'Cálculos'!$D$124*(1+2.78*('Cálculos'!$D$197+(($B$111)-$A65)*'Cálculos'!$D$98)/(('Cálculos'!$D$197+(($B$111)-$A65)*'Cálculos'!$D$98)+1400)+'Cálculos'!$D$122)*'Cálculos'!$D$230+'Cálculos'!$D$125*(1+2.78*('Cálculos'!$D$197+(($B$111)-$A65)*'Cálculos'!$D$98)/(('Cálculos'!$D$197+(($B$111)-$A65)*'Cálculos'!$D$98)+1400)+'Cálculos'!$D$123)*'Cálculos'!$D$235)+('Cálculos'!$D$201*(1+'Cálculos'!$D$202+$A65*('Cálculos'!$D$290=2)*'Cálculos'!$D$101)+'Cálculos'!$D$203)*('Cálculos'!$D$226+'Cálculos'!$D$124*(1+2.78*('Cálculos'!$D$197+(($B$111)-$A65)*'Cálculos'!$D$98)/(('Cálculos'!$D$197+(($B$111)-$A65)*'Cálculos'!$D$98)+1400)+'Cálculos'!$D$122)*'Cálculos'!$D$231+'Cálculos'!$D$125*(1+2.78*('Cálculos'!$D$197+(($B$111)-$A65)*'Cálculos'!$D$98)/(('Cálculos'!$D$197+(($B$111)-$A65)*'Cálculos'!$D$98)+1400)+'Cálculos'!$D$123)*'Cálculos'!$D$236)+('Cálculos'!$D$204*(1+'Cálculos'!$D$205+$A65*('Cálculos'!$D$290=3)*'Cálculos'!$D$103)+'Cálculos'!$D$206)*('Cálculos'!$D$227+'Cálculos'!$D$124*(1+2.78*('Cálculos'!$D$197+(($B$111)-$A65)*'Cálculos'!$D$98)/(('Cálculos'!$D$197+(($B$111)-$A65)*'Cálculos'!$D$98)+1400)+'Cálculos'!$D$122)*'Cálculos'!$D$232+'Cálculos'!$D$125*(1+2.78*('Cálculos'!$D$197+(($B$111)-$A65)*'Cálculos'!$D$98)/(('Cálculos'!$D$197+(($B$111)-$A65)*'Cálculos'!$D$98)+1400)+'Cálculos'!$D$123)*'Cálculos'!$D$237)+('Cálculos'!$D$228+'Cálculos'!$D$124*(1+2.78*('Cálculos'!$D$197+(($B$111)-$A65)*'Cálculos'!$D$98)/(('Cálculos'!$D$197+(($B$111)-$A65)*'Cálculos'!$D$98)+1400)+'Cálculos'!$D$122)*'Cálculos'!$D$233+'Cálculos'!$D$125*(1+2.78*('Cálculos'!$D$197+(($B$111)-$A65)*'Cálculos'!$D$98)/(('Cálculos'!$D$197+(($B$111)-$A65)*'Cálculos'!$D$98)+1400)+'Cálculos'!$D$123)*'Cálculos'!$D$238)+('Cálculos'!$D$185*(1+'Cálculos'!$D$188+$A65*('Cálculos'!$D$290=1)*'Cálculos'!$D$97+'Cálculos'!$D$305)+'Cálculos'!$D$193)*('Cálculos'!$D$239+'Cálculos'!$D$124*(1+2.78*('Cálculos'!$D$198+(($B$111)-$A65)*'Cálculos'!$D$98)/(('Cálculos'!$D$198+(($B$111)-$A65)*'Cálculos'!$D$98)+1400)+'Cálculos'!$D$122)*'Cálculos'!$D$244+'Cálculos'!$D$125*(1+2.78*('Cálculos'!$D$198+(($B$111)-$A65)*'Cálculos'!$D$98)/(('Cálculos'!$D$198+(($B$111)-$A65)*'Cálculos'!$D$98)+1400)+'Cálculos'!$D$123)*'Cálculos'!$D$249)+('Cálculos'!$D$198+(($B$111)-$A65)*'Cálculos'!$D$98)*('Cálculos'!$D$240+'Cálculos'!$D$124*(1+2.78*('Cálculos'!$D$198+(($B$111)-$A65)*'Cálculos'!$D$98)/(('Cálculos'!$D$198+(($B$111)-$A65)*'Cálculos'!$D$98)+1400)+'Cálculos'!$D$122)*'Cálculos'!$D$245+'Cálculos'!$D$125*(1+2.78*('Cálculos'!$D$198+(($B$111)-$A65)*'Cálculos'!$D$98)/(('Cálculos'!$D$198+(($B$111)-$A65)*'Cálculos'!$D$98)+1400)+'Cálculos'!$D$123)*'Cálculos'!$D$250)+('Cálculos'!$D$201*(1+'Cálculos'!$D$202+$A65*('Cálculos'!$D$290=2)*'Cálculos'!$D$101)+'Cálculos'!$D$203)*('Cálculos'!$D$241+'Cálculos'!$D$124*(1+2.78*('Cálculos'!$D$198+(($B$111)-$A65)*'Cálculos'!$D$98)/(('Cálculos'!$D$198+(($B$111)-$A65)*'Cálculos'!$D$98)+1400)+'Cálculos'!$D$122)*'Cálculos'!$D$246+'Cálculos'!$D$125*(1+2.78*('Cálculos'!$D$198+(($B$111)-$A65)*'Cálculos'!$D$98)/(('Cálculos'!$D$198+(($B$111)-$A65)*'Cálculos'!$D$98)+1400)+'Cálculos'!$D$123)*'Cálculos'!$D$251)+('Cálculos'!$D$204*(1+'Cálculos'!$D$205+$A65*('Cálculos'!$D$290=3)*'Cálculos'!$D$103)+'Cálculos'!$D$206)*('Cálculos'!$D$242+'Cálculos'!$D$124*(1+2.78*('Cálculos'!$D$198+(($B$111)-$A65)*'Cálculos'!$D$98)/(('Cálculos'!$D$198+(($B$111)-$A65)*'Cálculos'!$D$98)+1400)+'Cálculos'!$D$122)*'Cálculos'!$D$247+'Cálculos'!$D$125*(1+2.78*('Cálculos'!$D$198+(($B$111)-$A65)*'Cálculos'!$D$98)/(('Cálculos'!$D$198+(($B$111)-$A65)*'Cálculos'!$D$98)+1400)+'Cálculos'!$D$123)*'Cálculos'!$D$252)+('Cálculos'!$D$243+'Cálculos'!$D$124*(1+2.78*('Cálculos'!$D$198+(($B$111)-$A65)*'Cálculos'!$D$98)/(('Cálculos'!$D$198+(($B$111)-$A65)*'Cálculos'!$D$98)+1400)+'Cálculos'!$D$122)*'Cálculos'!$D$248+'Cálculos'!$D$125*(1+2.78*('Cálculos'!$D$198+(($B$111)-$A65)*'Cálculos'!$D$98)/(('Cálculos'!$D$198+(($B$111)-$A65)*'Cálculos'!$D$98)+1400)+'Cálculos'!$D$123)*'Cálculos'!$D$253)+('Cálculos'!$D$185*(1+'Cálculos'!$D$189+$A65*('Cálculos'!$D$290=1)*'Cálculos'!$D$97+'Cálculos'!$D$305)+'Cálculos'!$D$194)*('Cálculos'!$D$254+'Cálculos'!$D$124*(1+2.78*('Cálculos'!$D$199+(($B$111)-$A65)*'Cálculos'!$D$98)/(('Cálculos'!$D$199+(($B$111)-$A65)*'Cálculos'!$D$98)+1400)+'Cálculos'!$D$122)*'Cálculos'!$D$259+'Cálculos'!$D$125*(1+2.78*('Cálculos'!$D$199+(($B$111)-$A65)*'Cálculos'!$D$98)/(('Cálculos'!$D$199+(($B$111)-$A65)*'Cálculos'!$D$98)+1400)+'Cálculos'!$D$123)*'Cálculos'!$D$264)+('Cálculos'!$D$199+(($B$111)-$A65)*'Cálculos'!$D$98)*('Cálculos'!$D$255+'Cálculos'!$D$124*(1+2.78*('Cálculos'!$D$199+(($B$111)-$A65)*'Cálculos'!$D$98)/(('Cálculos'!$D$199+(($B$111)-$A65)*'Cálculos'!$D$98)+1400)+'Cálculos'!$D$122)*'Cálculos'!$D$260+'Cálculos'!$D$125*(1+2.78*('Cálculos'!$D$199+(($B$111)-$A65)*'Cálculos'!$D$98)/(('Cálculos'!$D$199+(($B$111)-$A65)*'Cálculos'!$D$98)+1400)+'Cálculos'!$D$123)*'Cálculos'!$D$265)+('Cálculos'!$D$201*(1+'Cálculos'!$D$202+$A65*('Cálculos'!$D$290=2)*'Cálculos'!$D$101)+'Cálculos'!$D$203)*('Cálculos'!$D$256+'Cálculos'!$D$124*(1+2.78*('Cálculos'!$D$199+(($B$111)-$A65)*'Cálculos'!$D$98)/(('Cálculos'!$D$199+(($B$111)-$A65)*'Cálculos'!$D$98)+1400)+'Cálculos'!$D$122)*'Cálculos'!$D$261+'Cálculos'!$D$125*(1+2.78*('Cálculos'!$D$199+(($B$111)-$A65)*'Cálculos'!$D$98)/(('Cálculos'!$D$199+(($B$111)-$A65)*'Cálculos'!$D$98)+1400)+'Cálculos'!$D$123)*'Cálculos'!$D$266)+('Cálculos'!$D$204*(1+'Cálculos'!$D$205+$A65*('Cálculos'!$D$290=3)*'Cálculos'!$D$103)+'Cálculos'!$D$206)*('Cálculos'!$D$257+'Cálculos'!$D$124*(1+2.78*('Cálculos'!$D$199+(($B$111)-$A65)*'Cálculos'!$D$98)/(('Cálculos'!$D$199+(($B$111)-$A65)*'Cálculos'!$D$98)+1400)+'Cálculos'!$D$122)*'Cálculos'!$D$262+'Cálculos'!$D$125*(1+2.78*('Cálculos'!$D$199+(($B$111)-$A65)*'Cálculos'!$D$98)/(('Cálculos'!$D$199+(($B$111)-$A65)*'Cálculos'!$D$98)+1400)+'Cálculos'!$D$123)*'Cálculos'!$D$267)+('Cálculos'!$D$258+'Cálculos'!$D$124*(1+2.78*('Cálculos'!$D$199+(($B$111)-$A65)*'Cálculos'!$D$98)/(('Cálculos'!$D$199+(($B$111)-$A65)*'Cálculos'!$D$98)+1400)+'Cálculos'!$D$122)*'Cálculos'!$D$263+'Cálculos'!$D$125*(1+2.78*('Cálculos'!$D$199+(($B$111)-$A65)*'Cálculos'!$D$98)/(('Cálculos'!$D$199+(($B$111)-$A65)*'Cálculos'!$D$98)+1400)+'Cálculos'!$D$123)*'Cálculos'!$D$268)+('Cálculos'!$D$185*(1+'Cálculos'!$D$190+$A65*('Cálculos'!$D$290=1)*'Cálculos'!$D$97+'Cálculos'!$D$305)+'Cálculos'!$D$195)*('Cálculos'!$D$269+'Cálculos'!$D$124*(1+2.78*('Cálculos'!$D$200+(($B$111)-$A65)*'Cálculos'!$D$98)/(('Cálculos'!$D$200+(($B$111)-$A65)*'Cálculos'!$D$98)+1400)+'Cálculos'!$D$122)*'Cálculos'!$D$274+'Cálculos'!$D$125*(1+2.78*('Cálculos'!$D$200+(($B$111)-$A65)*'Cálculos'!$D$98)/(('Cálculos'!$D$200+(($B$111)-$A65)*'Cálculos'!$D$98)+1400)+'Cálculos'!$D$123)*'Cálculos'!$D$279)+('Cálculos'!$D$200+(($B$111)-$A65)*'Cálculos'!$D$98)*('Cálculos'!$D$270+'Cálculos'!$D$124*(1+2.78*('Cálculos'!$D$200+(($B$111)-$A65)*'Cálculos'!$D$98)/(('Cálculos'!$D$200+(($B$111)-$A65)*'Cálculos'!$D$98)+1400)+'Cálculos'!$D$122)*'Cálculos'!$D$275+'Cálculos'!$D$125*(1+2.78*('Cálculos'!$D$200+(($B$111)-$A65)*'Cálculos'!$D$98)/(('Cálculos'!$D$200+(($B$111)-$A65)*'Cálculos'!$D$98)+1400)+'Cálculos'!$D$123)*'Cálculos'!$D$280)+('Cálculos'!$D$201*(1+'Cálculos'!$D$202+$A65*('Cálculos'!$D$290=2)*'Cálculos'!$D$101)+'Cálculos'!$D$203)*('Cálculos'!$D$271+'Cálculos'!$D$124*(1+2.78*('Cálculos'!$D$200+(($B$111)-$A65)*'Cálculos'!$D$98)/(('Cálculos'!$D$200+(($B$111)-$A65)*'Cálculos'!$D$98)+1400)+'Cálculos'!$D$122)*'Cálculos'!$D$276+'Cálculos'!$D$125*(1+2.78*('Cálculos'!$D$200+(($B$111)-$A65)*'Cálculos'!$D$98)/(('Cálculos'!$D$200+(($B$111)-$A65)*'Cálculos'!$D$98)+1400)+'Cálculos'!$D$123)*'Cálculos'!$D$281)+('Cálculos'!$D$204*(1+'Cálculos'!$D$205+$A65*('Cálculos'!$D$290=3)*'Cálculos'!$D$103)+'Cálculos'!$D$206)*('Cálculos'!$D$272+'Cálculos'!$D$124*(1+2.78*('Cálculos'!$D$200+(($B$111)-$A65)*'Cálculos'!$D$98)/(('Cálculos'!$D$200+(($B$111)-$A65)*'Cálculos'!$D$98)+1400)+'Cálculos'!$D$122)*'Cálculos'!$D$277+'Cálculos'!$D$125*(1+2.78*('Cálculos'!$D$200+(($B$111)-$A65)*'Cálculos'!$D$98)/(('Cálculos'!$D$200+(($B$111)-$A65)*'Cálculos'!$D$98)+1400)+'Cálculos'!$D$123)*'Cálculos'!$D$282)+('Cálculos'!$D$273+'Cálculos'!$D$124*(1+2.78*('Cálculos'!$D$200+(($B$111)-$A65)*'Cálculos'!$D$98)/(('Cálculos'!$D$200+(($B$111)-$A65)*'Cálculos'!$D$98)+1400)+'Cálculos'!$D$122)*'Cálculos'!$D$278+'Cálculos'!$D$125*(1+2.78*('Cálculos'!$D$200+(($B$111)-$A65)*'Cálculos'!$D$98)/(('Cálculos'!$D$200+(($B$111)-$A65)*'Cálculos'!$D$98)+1400)+'Cálculos'!$D$123)*'Cálculos'!$D$283)))</f>
        <v>0</v>
      </c>
    </row>
    <row r="66" ht="15.75" customHeight="1">
      <c r="A66" s="2">
        <v>3.0</v>
      </c>
      <c r="B66" s="30">
        <f>SUMPRODUCT(MAX(($A$63:$A$108&lt;=$A66)*($A$63:$A$108&lt;='Cálculos'!$D$294)*(($A66)-$A$63:$A$108&lt;='Cálculos'!$D$295)*(1+(('Cálculos'!$D$207+$A$63:$A$108*'Cálculos'!$D$95)-(('Cálculos'!$D$207+$A$63:$A$108*'Cálculos'!$D$95)&gt;1)*(('Cálculos'!$D$207+$A$63:$A$108*'Cálculos'!$D$95)-1))*('Cálculos'!$D$208+(($A66)-$A$63:$A$108)*'Cálculos'!$D$96))))</f>
        <v>1.265122362</v>
      </c>
      <c r="C66" s="2">
        <f>'Cálculos'!$D$303-$A66</f>
        <v>8</v>
      </c>
      <c r="D66" s="31">
        <f>IF($C66&lt;0,0,SUMPRODUCT(MAX(($A$63:$A$108&lt;=$C66)*($A$63:$A$108&lt;='Cálculos'!$D$301)*(($C66)-$A$63:$A$108&lt;='Cálculos'!$D$297)*(('Cálculos'!$D$185*(1+'Cálculos'!$D$186+$A$63:$A$108*('Cálculos'!$D$290=1)*'Cálculos'!$D$97+'Cálculos'!$D$305)+'Cálculos'!$D$191)*('Cálculos'!$D$209+'Cálculos'!$D$124*(1+2.78*('Cálculos'!$D$196+(($C66)-$A$63:$A$108)*'Cálculos'!$D$98)/(('Cálculos'!$D$196+(($C66)-$A$63:$A$108)*'Cálculos'!$D$98)+1400)+'Cálculos'!$D$122)*'Cálculos'!$D$214+'Cálculos'!$D$125*(1+2.78*('Cálculos'!$D$196+(($C66)-$A$63:$A$108)*'Cálculos'!$D$98)/(('Cálculos'!$D$196+(($C66)-$A$63:$A$108)*'Cálculos'!$D$98)+1400)+'Cálculos'!$D$123)*'Cálculos'!$D$219)+('Cálculos'!$D$196+(($C66)-$A$63:$A$108)*'Cálculos'!$D$98)*('Cálculos'!$D$210+'Cálculos'!$D$124*(1+2.78*('Cálculos'!$D$196+(($C66)-$A$63:$A$108)*'Cálculos'!$D$98)/(('Cálculos'!$D$196+(($C66)-$A$63:$A$108)*'Cálculos'!$D$98)+1400)+'Cálculos'!$D$122)*'Cálculos'!$D$215+'Cálculos'!$D$125*(1+2.78*('Cálculos'!$D$196+(($C66)-$A$63:$A$108)*'Cálculos'!$D$98)/(('Cálculos'!$D$196+(($C66)-$A$63:$A$108)*'Cálculos'!$D$98)+1400)+'Cálculos'!$D$123)*'Cálculos'!$D$220)+('Cálculos'!$D$201*(1+'Cálculos'!$D$202+$A$63:$A$108*('Cálculos'!$D$290=2)*'Cálculos'!$D$101)+'Cálculos'!$D$203)*('Cálculos'!$D$211+'Cálculos'!$D$124*(1+2.78*('Cálculos'!$D$196+(($C66)-$A$63:$A$108)*'Cálculos'!$D$98)/(('Cálculos'!$D$196+(($C66)-$A$63:$A$108)*'Cálculos'!$D$98)+1400)+'Cálculos'!$D$122)*'Cálculos'!$D$216+'Cálculos'!$D$125*(1+2.78*('Cálculos'!$D$196+(($C66)-$A$63:$A$108)*'Cálculos'!$D$98)/(('Cálculos'!$D$196+(($C66)-$A$63:$A$108)*'Cálculos'!$D$98)+1400)+'Cálculos'!$D$123)*'Cálculos'!$D$221)+('Cálculos'!$D$204*(1+'Cálculos'!$D$205+$A$63:$A$108*('Cálculos'!$D$290=3)*'Cálculos'!$D$103)+'Cálculos'!$D$206)*('Cálculos'!$D$212+'Cálculos'!$D$124*(1+2.78*('Cálculos'!$D$196+(($C66)-$A$63:$A$108)*'Cálculos'!$D$98)/(('Cálculos'!$D$196+(($C66)-$A$63:$A$108)*'Cálculos'!$D$98)+1400)+'Cálculos'!$D$122)*'Cálculos'!$D$217+'Cálculos'!$D$125*(1+2.78*('Cálculos'!$D$196+(($C66)-$A$63:$A$108)*'Cálculos'!$D$98)/(('Cálculos'!$D$196+(($C66)-$A$63:$A$108)*'Cálculos'!$D$98)+1400)+'Cálculos'!$D$123)*'Cálculos'!$D$222)+('Cálculos'!$D$213+'Cálculos'!$D$124*(1+2.78*('Cálculos'!$D$196+(($C66)-$A$63:$A$108)*'Cálculos'!$D$98)/(('Cálculos'!$D$196+(($C66)-$A$63:$A$108)*'Cálculos'!$D$98)+1400)+'Cálculos'!$D$122)*'Cálculos'!$D$218+'Cálculos'!$D$125*(1+2.78*('Cálculos'!$D$196+(($C66)-$A$63:$A$108)*'Cálculos'!$D$98)/(('Cálculos'!$D$196+(($C66)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66)-$A$63:$A$108)*'Cálculos'!$D$98)/(('Cálculos'!$D$197+(($C66)-$A$63:$A$108)*'Cálculos'!$D$98)+1400)+'Cálculos'!$D$122)*'Cálculos'!$D$229+'Cálculos'!$D$125*(1+2.78*('Cálculos'!$D$197+(($C66)-$A$63:$A$108)*'Cálculos'!$D$98)/(('Cálculos'!$D$197+(($C66)-$A$63:$A$108)*'Cálculos'!$D$98)+1400)+'Cálculos'!$D$123)*'Cálculos'!$D$234)+('Cálculos'!$D$197+(($C66)-$A$63:$A$108)*'Cálculos'!$D$98)*('Cálculos'!$D$225+'Cálculos'!$D$124*(1+2.78*('Cálculos'!$D$197+(($C66)-$A$63:$A$108)*'Cálculos'!$D$98)/(('Cálculos'!$D$197+(($C66)-$A$63:$A$108)*'Cálculos'!$D$98)+1400)+'Cálculos'!$D$122)*'Cálculos'!$D$230+'Cálculos'!$D$125*(1+2.78*('Cálculos'!$D$197+(($C66)-$A$63:$A$108)*'Cálculos'!$D$98)/(('Cálculos'!$D$197+(($C66)-$A$63:$A$108)*'Cálculos'!$D$98)+1400)+'Cálculos'!$D$123)*'Cálculos'!$D$235)+('Cálculos'!$D$201*(1+'Cálculos'!$D$202+$A$63:$A$108*('Cálculos'!$D$290=2)*'Cálculos'!$D$101)+'Cálculos'!$D$203)*('Cálculos'!$D$226+'Cálculos'!$D$124*(1+2.78*('Cálculos'!$D$197+(($C66)-$A$63:$A$108)*'Cálculos'!$D$98)/(('Cálculos'!$D$197+(($C66)-$A$63:$A$108)*'Cálculos'!$D$98)+1400)+'Cálculos'!$D$122)*'Cálculos'!$D$231+'Cálculos'!$D$125*(1+2.78*('Cálculos'!$D$197+(($C66)-$A$63:$A$108)*'Cálculos'!$D$98)/(('Cálculos'!$D$197+(($C66)-$A$63:$A$108)*'Cálculos'!$D$98)+1400)+'Cálculos'!$D$123)*'Cálculos'!$D$236)+('Cálculos'!$D$204*(1+'Cálculos'!$D$205+$A$63:$A$108*('Cálculos'!$D$290=3)*'Cálculos'!$D$103)+'Cálculos'!$D$206)*('Cálculos'!$D$227+'Cálculos'!$D$124*(1+2.78*('Cálculos'!$D$197+(($C66)-$A$63:$A$108)*'Cálculos'!$D$98)/(('Cálculos'!$D$197+(($C66)-$A$63:$A$108)*'Cálculos'!$D$98)+1400)+'Cálculos'!$D$122)*'Cálculos'!$D$232+'Cálculos'!$D$125*(1+2.78*('Cálculos'!$D$197+(($C66)-$A$63:$A$108)*'Cálculos'!$D$98)/(('Cálculos'!$D$197+(($C66)-$A$63:$A$108)*'Cálculos'!$D$98)+1400)+'Cálculos'!$D$123)*'Cálculos'!$D$237)+('Cálculos'!$D$228+'Cálculos'!$D$124*(1+2.78*('Cálculos'!$D$197+(($C66)-$A$63:$A$108)*'Cálculos'!$D$98)/(('Cálculos'!$D$197+(($C66)-$A$63:$A$108)*'Cálculos'!$D$98)+1400)+'Cálculos'!$D$122)*'Cálculos'!$D$233+'Cálculos'!$D$125*(1+2.78*('Cálculos'!$D$197+(($C66)-$A$63:$A$108)*'Cálculos'!$D$98)/(('Cálculos'!$D$197+(($C66)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66)-$A$63:$A$108)*'Cálculos'!$D$98)/(('Cálculos'!$D$198+(($C66)-$A$63:$A$108)*'Cálculos'!$D$98)+1400)+'Cálculos'!$D$122)*'Cálculos'!$D$244+'Cálculos'!$D$125*(1+2.78*('Cálculos'!$D$198+(($C66)-$A$63:$A$108)*'Cálculos'!$D$98)/(('Cálculos'!$D$198+(($C66)-$A$63:$A$108)*'Cálculos'!$D$98)+1400)+'Cálculos'!$D$123)*'Cálculos'!$D$249)+('Cálculos'!$D$198+(($C66)-$A$63:$A$108)*'Cálculos'!$D$98)*('Cálculos'!$D$240+'Cálculos'!$D$124*(1+2.78*('Cálculos'!$D$198+(($C66)-$A$63:$A$108)*'Cálculos'!$D$98)/(('Cálculos'!$D$198+(($C66)-$A$63:$A$108)*'Cálculos'!$D$98)+1400)+'Cálculos'!$D$122)*'Cálculos'!$D$245+'Cálculos'!$D$125*(1+2.78*('Cálculos'!$D$198+(($C66)-$A$63:$A$108)*'Cálculos'!$D$98)/(('Cálculos'!$D$198+(($C66)-$A$63:$A$108)*'Cálculos'!$D$98)+1400)+'Cálculos'!$D$123)*'Cálculos'!$D$250)+('Cálculos'!$D$201*(1+'Cálculos'!$D$202+$A$63:$A$108*('Cálculos'!$D$290=2)*'Cálculos'!$D$101)+'Cálculos'!$D$203)*('Cálculos'!$D$241+'Cálculos'!$D$124*(1+2.78*('Cálculos'!$D$198+(($C66)-$A$63:$A$108)*'Cálculos'!$D$98)/(('Cálculos'!$D$198+(($C66)-$A$63:$A$108)*'Cálculos'!$D$98)+1400)+'Cálculos'!$D$122)*'Cálculos'!$D$246+'Cálculos'!$D$125*(1+2.78*('Cálculos'!$D$198+(($C66)-$A$63:$A$108)*'Cálculos'!$D$98)/(('Cálculos'!$D$198+(($C66)-$A$63:$A$108)*'Cálculos'!$D$98)+1400)+'Cálculos'!$D$123)*'Cálculos'!$D$251)+('Cálculos'!$D$204*(1+'Cálculos'!$D$205+$A$63:$A$108*('Cálculos'!$D$290=3)*'Cálculos'!$D$103)+'Cálculos'!$D$206)*('Cálculos'!$D$242+'Cálculos'!$D$124*(1+2.78*('Cálculos'!$D$198+(($C66)-$A$63:$A$108)*'Cálculos'!$D$98)/(('Cálculos'!$D$198+(($C66)-$A$63:$A$108)*'Cálculos'!$D$98)+1400)+'Cálculos'!$D$122)*'Cálculos'!$D$247+'Cálculos'!$D$125*(1+2.78*('Cálculos'!$D$198+(($C66)-$A$63:$A$108)*'Cálculos'!$D$98)/(('Cálculos'!$D$198+(($C66)-$A$63:$A$108)*'Cálculos'!$D$98)+1400)+'Cálculos'!$D$123)*'Cálculos'!$D$252)+('Cálculos'!$D$243+'Cálculos'!$D$124*(1+2.78*('Cálculos'!$D$198+(($C66)-$A$63:$A$108)*'Cálculos'!$D$98)/(('Cálculos'!$D$198+(($C66)-$A$63:$A$108)*'Cálculos'!$D$98)+1400)+'Cálculos'!$D$122)*'Cálculos'!$D$248+'Cálculos'!$D$125*(1+2.78*('Cálculos'!$D$198+(($C66)-$A$63:$A$108)*'Cálculos'!$D$98)/(('Cálculos'!$D$198+(($C66)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66)-$A$63:$A$108)*'Cálculos'!$D$98)/(('Cálculos'!$D$199+(($C66)-$A$63:$A$108)*'Cálculos'!$D$98)+1400)+'Cálculos'!$D$122)*'Cálculos'!$D$259+'Cálculos'!$D$125*(1+2.78*('Cálculos'!$D$199+(($C66)-$A$63:$A$108)*'Cálculos'!$D$98)/(('Cálculos'!$D$199+(($C66)-$A$63:$A$108)*'Cálculos'!$D$98)+1400)+'Cálculos'!$D$123)*'Cálculos'!$D$264)+('Cálculos'!$D$199+(($C66)-$A$63:$A$108)*'Cálculos'!$D$98)*('Cálculos'!$D$255+'Cálculos'!$D$124*(1+2.78*('Cálculos'!$D$199+(($C66)-$A$63:$A$108)*'Cálculos'!$D$98)/(('Cálculos'!$D$199+(($C66)-$A$63:$A$108)*'Cálculos'!$D$98)+1400)+'Cálculos'!$D$122)*'Cálculos'!$D$260+'Cálculos'!$D$125*(1+2.78*('Cálculos'!$D$199+(($C66)-$A$63:$A$108)*'Cálculos'!$D$98)/(('Cálculos'!$D$199+(($C66)-$A$63:$A$108)*'Cálculos'!$D$98)+1400)+'Cálculos'!$D$123)*'Cálculos'!$D$265)+('Cálculos'!$D$201*(1+'Cálculos'!$D$202+$A$63:$A$108*('Cálculos'!$D$290=2)*'Cálculos'!$D$101)+'Cálculos'!$D$203)*('Cálculos'!$D$256+'Cálculos'!$D$124*(1+2.78*('Cálculos'!$D$199+(($C66)-$A$63:$A$108)*'Cálculos'!$D$98)/(('Cálculos'!$D$199+(($C66)-$A$63:$A$108)*'Cálculos'!$D$98)+1400)+'Cálculos'!$D$122)*'Cálculos'!$D$261+'Cálculos'!$D$125*(1+2.78*('Cálculos'!$D$199+(($C66)-$A$63:$A$108)*'Cálculos'!$D$98)/(('Cálculos'!$D$199+(($C66)-$A$63:$A$108)*'Cálculos'!$D$98)+1400)+'Cálculos'!$D$123)*'Cálculos'!$D$266)+('Cálculos'!$D$204*(1+'Cálculos'!$D$205+$A$63:$A$108*('Cálculos'!$D$290=3)*'Cálculos'!$D$103)+'Cálculos'!$D$206)*('Cálculos'!$D$257+'Cálculos'!$D$124*(1+2.78*('Cálculos'!$D$199+(($C66)-$A$63:$A$108)*'Cálculos'!$D$98)/(('Cálculos'!$D$199+(($C66)-$A$63:$A$108)*'Cálculos'!$D$98)+1400)+'Cálculos'!$D$122)*'Cálculos'!$D$262+'Cálculos'!$D$125*(1+2.78*('Cálculos'!$D$199+(($C66)-$A$63:$A$108)*'Cálculos'!$D$98)/(('Cálculos'!$D$199+(($C66)-$A$63:$A$108)*'Cálculos'!$D$98)+1400)+'Cálculos'!$D$123)*'Cálculos'!$D$267)+('Cálculos'!$D$258+'Cálculos'!$D$124*(1+2.78*('Cálculos'!$D$199+(($C66)-$A$63:$A$108)*'Cálculos'!$D$98)/(('Cálculos'!$D$199+(($C66)-$A$63:$A$108)*'Cálculos'!$D$98)+1400)+'Cálculos'!$D$122)*'Cálculos'!$D$263+'Cálculos'!$D$125*(1+2.78*('Cálculos'!$D$199+(($C66)-$A$63:$A$108)*'Cálculos'!$D$98)/(('Cálculos'!$D$199+(($C66)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66)-$A$63:$A$108)*'Cálculos'!$D$98)/(('Cálculos'!$D$200+(($C66)-$A$63:$A$108)*'Cálculos'!$D$98)+1400)+'Cálculos'!$D$122)*'Cálculos'!$D$274+'Cálculos'!$D$125*(1+2.78*('Cálculos'!$D$200+(($C66)-$A$63:$A$108)*'Cálculos'!$D$98)/(('Cálculos'!$D$200+(($C66)-$A$63:$A$108)*'Cálculos'!$D$98)+1400)+'Cálculos'!$D$123)*'Cálculos'!$D$279)+('Cálculos'!$D$200+(($C66)-$A$63:$A$108)*'Cálculos'!$D$98)*('Cálculos'!$D$270+'Cálculos'!$D$124*(1+2.78*('Cálculos'!$D$200+(($C66)-$A$63:$A$108)*'Cálculos'!$D$98)/(('Cálculos'!$D$200+(($C66)-$A$63:$A$108)*'Cálculos'!$D$98)+1400)+'Cálculos'!$D$122)*'Cálculos'!$D$275+'Cálculos'!$D$125*(1+2.78*('Cálculos'!$D$200+(($C66)-$A$63:$A$108)*'Cálculos'!$D$98)/(('Cálculos'!$D$200+(($C66)-$A$63:$A$108)*'Cálculos'!$D$98)+1400)+'Cálculos'!$D$123)*'Cálculos'!$D$280)+('Cálculos'!$D$201*(1+'Cálculos'!$D$202+$A$63:$A$108*('Cálculos'!$D$290=2)*'Cálculos'!$D$101)+'Cálculos'!$D$203)*('Cálculos'!$D$271+'Cálculos'!$D$124*(1+2.78*('Cálculos'!$D$200+(($C66)-$A$63:$A$108)*'Cálculos'!$D$98)/(('Cálculos'!$D$200+(($C66)-$A$63:$A$108)*'Cálculos'!$D$98)+1400)+'Cálculos'!$D$122)*'Cálculos'!$D$276+'Cálculos'!$D$125*(1+2.78*('Cálculos'!$D$200+(($C66)-$A$63:$A$108)*'Cálculos'!$D$98)/(('Cálculos'!$D$200+(($C66)-$A$63:$A$108)*'Cálculos'!$D$98)+1400)+'Cálculos'!$D$123)*'Cálculos'!$D$281)+('Cálculos'!$D$204*(1+'Cálculos'!$D$205+$A$63:$A$108*('Cálculos'!$D$290=3)*'Cálculos'!$D$103)+'Cálculos'!$D$206)*('Cálculos'!$D$272+'Cálculos'!$D$124*(1+2.78*('Cálculos'!$D$200+(($C66)-$A$63:$A$108)*'Cálculos'!$D$98)/(('Cálculos'!$D$200+(($C66)-$A$63:$A$108)*'Cálculos'!$D$98)+1400)+'Cálculos'!$D$122)*'Cálculos'!$D$277+'Cálculos'!$D$125*(1+2.78*('Cálculos'!$D$200+(($C66)-$A$63:$A$108)*'Cálculos'!$D$98)/(('Cálculos'!$D$200+(($C66)-$A$63:$A$108)*'Cálculos'!$D$98)+1400)+'Cálculos'!$D$123)*'Cálculos'!$D$282)+('Cálculos'!$D$273+'Cálculos'!$D$124*(1+2.78*('Cálculos'!$D$200+(($C66)-$A$63:$A$108)*'Cálculos'!$D$98)/(('Cálculos'!$D$200+(($C66)-$A$63:$A$108)*'Cálculos'!$D$98)+1400)+'Cálculos'!$D$122)*'Cálculos'!$D$278+'Cálculos'!$D$125*(1+2.78*('Cálculos'!$D$200+(($C66)-$A$63:$A$108)*'Cálculos'!$D$98)/(('Cálculos'!$D$200+(($C66)-$A$63:$A$108)*'Cálculos'!$D$98)+1400)+'Cálculos'!$D$123)*'Cálculos'!$D$283)))))</f>
        <v>78900.05894</v>
      </c>
      <c r="E66" s="32">
        <f>IF(OR($C66&lt;0,'Cálculos'!$D$6=""),0,$B66*$D66)</f>
        <v>99818.22896</v>
      </c>
      <c r="F66" s="2"/>
      <c r="G66" s="30">
        <f>($A66&lt;=$B$110)*($A66&lt;='Cálculos'!$D$294)*(($B$110)-$A66&lt;='Cálculos'!$D$295)*(1+MIN(('Cálculos'!$D$207+$A66*'Cálculos'!$D$95),1)*('Cálculos'!$D$208+(($B$110)-$A66)*'Cálculos'!$D$96))</f>
        <v>1.447713645</v>
      </c>
      <c r="H66" s="31">
        <f>IF($B$111&lt;0,0,($A66&lt;=$B$111)*($A66&lt;='Cálculos'!$D$301)*(($B$111)-$A66&lt;='Cálculos'!$D$297)*(('Cálculos'!$D$185*(1+'Cálculos'!$D$186+$A66*('Cálculos'!$D$290=1)*'Cálculos'!$D$97+'Cálculos'!$D$305)+'Cálculos'!$D$191)*('Cálculos'!$D$209+'Cálculos'!$D$124*(1+2.78*('Cálculos'!$D$196+(($B$111)-$A66)*'Cálculos'!$D$98)/(('Cálculos'!$D$196+(($B$111)-$A66)*'Cálculos'!$D$98)+1400)+'Cálculos'!$D$122)*'Cálculos'!$D$214+'Cálculos'!$D$125*(1+2.78*('Cálculos'!$D$196+(($B$111)-$A66)*'Cálculos'!$D$98)/(('Cálculos'!$D$196+(($B$111)-$A66)*'Cálculos'!$D$98)+1400)+'Cálculos'!$D$123)*'Cálculos'!$D$219)+('Cálculos'!$D$196+(($B$111)-$A66)*'Cálculos'!$D$98)*('Cálculos'!$D$210+'Cálculos'!$D$124*(1+2.78*('Cálculos'!$D$196+(($B$111)-$A66)*'Cálculos'!$D$98)/(('Cálculos'!$D$196+(($B$111)-$A66)*'Cálculos'!$D$98)+1400)+'Cálculos'!$D$122)*'Cálculos'!$D$215+'Cálculos'!$D$125*(1+2.78*('Cálculos'!$D$196+(($B$111)-$A66)*'Cálculos'!$D$98)/(('Cálculos'!$D$196+(($B$111)-$A66)*'Cálculos'!$D$98)+1400)+'Cálculos'!$D$123)*'Cálculos'!$D$220)+('Cálculos'!$D$201*(1+'Cálculos'!$D$202+$A66*('Cálculos'!$D$290=2)*'Cálculos'!$D$101)+'Cálculos'!$D$203)*('Cálculos'!$D$211+'Cálculos'!$D$124*(1+2.78*('Cálculos'!$D$196+(($B$111)-$A66)*'Cálculos'!$D$98)/(('Cálculos'!$D$196+(($B$111)-$A66)*'Cálculos'!$D$98)+1400)+'Cálculos'!$D$122)*'Cálculos'!$D$216+'Cálculos'!$D$125*(1+2.78*('Cálculos'!$D$196+(($B$111)-$A66)*'Cálculos'!$D$98)/(('Cálculos'!$D$196+(($B$111)-$A66)*'Cálculos'!$D$98)+1400)+'Cálculos'!$D$123)*'Cálculos'!$D$221)+('Cálculos'!$D$204*(1+'Cálculos'!$D$205+$A66*('Cálculos'!$D$290=3)*'Cálculos'!$D$103)+'Cálculos'!$D$206)*('Cálculos'!$D$212+'Cálculos'!$D$124*(1+2.78*('Cálculos'!$D$196+(($B$111)-$A66)*'Cálculos'!$D$98)/(('Cálculos'!$D$196+(($B$111)-$A66)*'Cálculos'!$D$98)+1400)+'Cálculos'!$D$122)*'Cálculos'!$D$217+'Cálculos'!$D$125*(1+2.78*('Cálculos'!$D$196+(($B$111)-$A66)*'Cálculos'!$D$98)/(('Cálculos'!$D$196+(($B$111)-$A66)*'Cálculos'!$D$98)+1400)+'Cálculos'!$D$123)*'Cálculos'!$D$222)+('Cálculos'!$D$213+'Cálculos'!$D$124*(1+2.78*('Cálculos'!$D$196+(($B$111)-$A66)*'Cálculos'!$D$98)/(('Cálculos'!$D$196+(($B$111)-$A66)*'Cálculos'!$D$98)+1400)+'Cálculos'!$D$122)*'Cálculos'!$D$218+'Cálculos'!$D$125*(1+2.78*('Cálculos'!$D$196+(($B$111)-$A66)*'Cálculos'!$D$98)/(('Cálculos'!$D$196+(($B$111)-$A66)*'Cálculos'!$D$98)+1400)+'Cálculos'!$D$123)*'Cálculos'!$D$223)+('Cálculos'!$D$185*(1+'Cálculos'!$D$187+$A66*('Cálculos'!$D$290=1)*'Cálculos'!$D$97+'Cálculos'!$D$305)+'Cálculos'!$D$192)*('Cálculos'!$D$224+'Cálculos'!$D$124*(1+2.78*('Cálculos'!$D$197+(($B$111)-$A66)*'Cálculos'!$D$98)/(('Cálculos'!$D$197+(($B$111)-$A66)*'Cálculos'!$D$98)+1400)+'Cálculos'!$D$122)*'Cálculos'!$D$229+'Cálculos'!$D$125*(1+2.78*('Cálculos'!$D$197+(($B$111)-$A66)*'Cálculos'!$D$98)/(('Cálculos'!$D$197+(($B$111)-$A66)*'Cálculos'!$D$98)+1400)+'Cálculos'!$D$123)*'Cálculos'!$D$234)+('Cálculos'!$D$197+(($B$111)-$A66)*'Cálculos'!$D$98)*('Cálculos'!$D$225+'Cálculos'!$D$124*(1+2.78*('Cálculos'!$D$197+(($B$111)-$A66)*'Cálculos'!$D$98)/(('Cálculos'!$D$197+(($B$111)-$A66)*'Cálculos'!$D$98)+1400)+'Cálculos'!$D$122)*'Cálculos'!$D$230+'Cálculos'!$D$125*(1+2.78*('Cálculos'!$D$197+(($B$111)-$A66)*'Cálculos'!$D$98)/(('Cálculos'!$D$197+(($B$111)-$A66)*'Cálculos'!$D$98)+1400)+'Cálculos'!$D$123)*'Cálculos'!$D$235)+('Cálculos'!$D$201*(1+'Cálculos'!$D$202+$A66*('Cálculos'!$D$290=2)*'Cálculos'!$D$101)+'Cálculos'!$D$203)*('Cálculos'!$D$226+'Cálculos'!$D$124*(1+2.78*('Cálculos'!$D$197+(($B$111)-$A66)*'Cálculos'!$D$98)/(('Cálculos'!$D$197+(($B$111)-$A66)*'Cálculos'!$D$98)+1400)+'Cálculos'!$D$122)*'Cálculos'!$D$231+'Cálculos'!$D$125*(1+2.78*('Cálculos'!$D$197+(($B$111)-$A66)*'Cálculos'!$D$98)/(('Cálculos'!$D$197+(($B$111)-$A66)*'Cálculos'!$D$98)+1400)+'Cálculos'!$D$123)*'Cálculos'!$D$236)+('Cálculos'!$D$204*(1+'Cálculos'!$D$205+$A66*('Cálculos'!$D$290=3)*'Cálculos'!$D$103)+'Cálculos'!$D$206)*('Cálculos'!$D$227+'Cálculos'!$D$124*(1+2.78*('Cálculos'!$D$197+(($B$111)-$A66)*'Cálculos'!$D$98)/(('Cálculos'!$D$197+(($B$111)-$A66)*'Cálculos'!$D$98)+1400)+'Cálculos'!$D$122)*'Cálculos'!$D$232+'Cálculos'!$D$125*(1+2.78*('Cálculos'!$D$197+(($B$111)-$A66)*'Cálculos'!$D$98)/(('Cálculos'!$D$197+(($B$111)-$A66)*'Cálculos'!$D$98)+1400)+'Cálculos'!$D$123)*'Cálculos'!$D$237)+('Cálculos'!$D$228+'Cálculos'!$D$124*(1+2.78*('Cálculos'!$D$197+(($B$111)-$A66)*'Cálculos'!$D$98)/(('Cálculos'!$D$197+(($B$111)-$A66)*'Cálculos'!$D$98)+1400)+'Cálculos'!$D$122)*'Cálculos'!$D$233+'Cálculos'!$D$125*(1+2.78*('Cálculos'!$D$197+(($B$111)-$A66)*'Cálculos'!$D$98)/(('Cálculos'!$D$197+(($B$111)-$A66)*'Cálculos'!$D$98)+1400)+'Cálculos'!$D$123)*'Cálculos'!$D$238)+('Cálculos'!$D$185*(1+'Cálculos'!$D$188+$A66*('Cálculos'!$D$290=1)*'Cálculos'!$D$97+'Cálculos'!$D$305)+'Cálculos'!$D$193)*('Cálculos'!$D$239+'Cálculos'!$D$124*(1+2.78*('Cálculos'!$D$198+(($B$111)-$A66)*'Cálculos'!$D$98)/(('Cálculos'!$D$198+(($B$111)-$A66)*'Cálculos'!$D$98)+1400)+'Cálculos'!$D$122)*'Cálculos'!$D$244+'Cálculos'!$D$125*(1+2.78*('Cálculos'!$D$198+(($B$111)-$A66)*'Cálculos'!$D$98)/(('Cálculos'!$D$198+(($B$111)-$A66)*'Cálculos'!$D$98)+1400)+'Cálculos'!$D$123)*'Cálculos'!$D$249)+('Cálculos'!$D$198+(($B$111)-$A66)*'Cálculos'!$D$98)*('Cálculos'!$D$240+'Cálculos'!$D$124*(1+2.78*('Cálculos'!$D$198+(($B$111)-$A66)*'Cálculos'!$D$98)/(('Cálculos'!$D$198+(($B$111)-$A66)*'Cálculos'!$D$98)+1400)+'Cálculos'!$D$122)*'Cálculos'!$D$245+'Cálculos'!$D$125*(1+2.78*('Cálculos'!$D$198+(($B$111)-$A66)*'Cálculos'!$D$98)/(('Cálculos'!$D$198+(($B$111)-$A66)*'Cálculos'!$D$98)+1400)+'Cálculos'!$D$123)*'Cálculos'!$D$250)+('Cálculos'!$D$201*(1+'Cálculos'!$D$202+$A66*('Cálculos'!$D$290=2)*'Cálculos'!$D$101)+'Cálculos'!$D$203)*('Cálculos'!$D$241+'Cálculos'!$D$124*(1+2.78*('Cálculos'!$D$198+(($B$111)-$A66)*'Cálculos'!$D$98)/(('Cálculos'!$D$198+(($B$111)-$A66)*'Cálculos'!$D$98)+1400)+'Cálculos'!$D$122)*'Cálculos'!$D$246+'Cálculos'!$D$125*(1+2.78*('Cálculos'!$D$198+(($B$111)-$A66)*'Cálculos'!$D$98)/(('Cálculos'!$D$198+(($B$111)-$A66)*'Cálculos'!$D$98)+1400)+'Cálculos'!$D$123)*'Cálculos'!$D$251)+('Cálculos'!$D$204*(1+'Cálculos'!$D$205+$A66*('Cálculos'!$D$290=3)*'Cálculos'!$D$103)+'Cálculos'!$D$206)*('Cálculos'!$D$242+'Cálculos'!$D$124*(1+2.78*('Cálculos'!$D$198+(($B$111)-$A66)*'Cálculos'!$D$98)/(('Cálculos'!$D$198+(($B$111)-$A66)*'Cálculos'!$D$98)+1400)+'Cálculos'!$D$122)*'Cálculos'!$D$247+'Cálculos'!$D$125*(1+2.78*('Cálculos'!$D$198+(($B$111)-$A66)*'Cálculos'!$D$98)/(('Cálculos'!$D$198+(($B$111)-$A66)*'Cálculos'!$D$98)+1400)+'Cálculos'!$D$123)*'Cálculos'!$D$252)+('Cálculos'!$D$243+'Cálculos'!$D$124*(1+2.78*('Cálculos'!$D$198+(($B$111)-$A66)*'Cálculos'!$D$98)/(('Cálculos'!$D$198+(($B$111)-$A66)*'Cálculos'!$D$98)+1400)+'Cálculos'!$D$122)*'Cálculos'!$D$248+'Cálculos'!$D$125*(1+2.78*('Cálculos'!$D$198+(($B$111)-$A66)*'Cálculos'!$D$98)/(('Cálculos'!$D$198+(($B$111)-$A66)*'Cálculos'!$D$98)+1400)+'Cálculos'!$D$123)*'Cálculos'!$D$253)+('Cálculos'!$D$185*(1+'Cálculos'!$D$189+$A66*('Cálculos'!$D$290=1)*'Cálculos'!$D$97+'Cálculos'!$D$305)+'Cálculos'!$D$194)*('Cálculos'!$D$254+'Cálculos'!$D$124*(1+2.78*('Cálculos'!$D$199+(($B$111)-$A66)*'Cálculos'!$D$98)/(('Cálculos'!$D$199+(($B$111)-$A66)*'Cálculos'!$D$98)+1400)+'Cálculos'!$D$122)*'Cálculos'!$D$259+'Cálculos'!$D$125*(1+2.78*('Cálculos'!$D$199+(($B$111)-$A66)*'Cálculos'!$D$98)/(('Cálculos'!$D$199+(($B$111)-$A66)*'Cálculos'!$D$98)+1400)+'Cálculos'!$D$123)*'Cálculos'!$D$264)+('Cálculos'!$D$199+(($B$111)-$A66)*'Cálculos'!$D$98)*('Cálculos'!$D$255+'Cálculos'!$D$124*(1+2.78*('Cálculos'!$D$199+(($B$111)-$A66)*'Cálculos'!$D$98)/(('Cálculos'!$D$199+(($B$111)-$A66)*'Cálculos'!$D$98)+1400)+'Cálculos'!$D$122)*'Cálculos'!$D$260+'Cálculos'!$D$125*(1+2.78*('Cálculos'!$D$199+(($B$111)-$A66)*'Cálculos'!$D$98)/(('Cálculos'!$D$199+(($B$111)-$A66)*'Cálculos'!$D$98)+1400)+'Cálculos'!$D$123)*'Cálculos'!$D$265)+('Cálculos'!$D$201*(1+'Cálculos'!$D$202+$A66*('Cálculos'!$D$290=2)*'Cálculos'!$D$101)+'Cálculos'!$D$203)*('Cálculos'!$D$256+'Cálculos'!$D$124*(1+2.78*('Cálculos'!$D$199+(($B$111)-$A66)*'Cálculos'!$D$98)/(('Cálculos'!$D$199+(($B$111)-$A66)*'Cálculos'!$D$98)+1400)+'Cálculos'!$D$122)*'Cálculos'!$D$261+'Cálculos'!$D$125*(1+2.78*('Cálculos'!$D$199+(($B$111)-$A66)*'Cálculos'!$D$98)/(('Cálculos'!$D$199+(($B$111)-$A66)*'Cálculos'!$D$98)+1400)+'Cálculos'!$D$123)*'Cálculos'!$D$266)+('Cálculos'!$D$204*(1+'Cálculos'!$D$205+$A66*('Cálculos'!$D$290=3)*'Cálculos'!$D$103)+'Cálculos'!$D$206)*('Cálculos'!$D$257+'Cálculos'!$D$124*(1+2.78*('Cálculos'!$D$199+(($B$111)-$A66)*'Cálculos'!$D$98)/(('Cálculos'!$D$199+(($B$111)-$A66)*'Cálculos'!$D$98)+1400)+'Cálculos'!$D$122)*'Cálculos'!$D$262+'Cálculos'!$D$125*(1+2.78*('Cálculos'!$D$199+(($B$111)-$A66)*'Cálculos'!$D$98)/(('Cálculos'!$D$199+(($B$111)-$A66)*'Cálculos'!$D$98)+1400)+'Cálculos'!$D$123)*'Cálculos'!$D$267)+('Cálculos'!$D$258+'Cálculos'!$D$124*(1+2.78*('Cálculos'!$D$199+(($B$111)-$A66)*'Cálculos'!$D$98)/(('Cálculos'!$D$199+(($B$111)-$A66)*'Cálculos'!$D$98)+1400)+'Cálculos'!$D$122)*'Cálculos'!$D$263+'Cálculos'!$D$125*(1+2.78*('Cálculos'!$D$199+(($B$111)-$A66)*'Cálculos'!$D$98)/(('Cálculos'!$D$199+(($B$111)-$A66)*'Cálculos'!$D$98)+1400)+'Cálculos'!$D$123)*'Cálculos'!$D$268)+('Cálculos'!$D$185*(1+'Cálculos'!$D$190+$A66*('Cálculos'!$D$290=1)*'Cálculos'!$D$97+'Cálculos'!$D$305)+'Cálculos'!$D$195)*('Cálculos'!$D$269+'Cálculos'!$D$124*(1+2.78*('Cálculos'!$D$200+(($B$111)-$A66)*'Cálculos'!$D$98)/(('Cálculos'!$D$200+(($B$111)-$A66)*'Cálculos'!$D$98)+1400)+'Cálculos'!$D$122)*'Cálculos'!$D$274+'Cálculos'!$D$125*(1+2.78*('Cálculos'!$D$200+(($B$111)-$A66)*'Cálculos'!$D$98)/(('Cálculos'!$D$200+(($B$111)-$A66)*'Cálculos'!$D$98)+1400)+'Cálculos'!$D$123)*'Cálculos'!$D$279)+('Cálculos'!$D$200+(($B$111)-$A66)*'Cálculos'!$D$98)*('Cálculos'!$D$270+'Cálculos'!$D$124*(1+2.78*('Cálculos'!$D$200+(($B$111)-$A66)*'Cálculos'!$D$98)/(('Cálculos'!$D$200+(($B$111)-$A66)*'Cálculos'!$D$98)+1400)+'Cálculos'!$D$122)*'Cálculos'!$D$275+'Cálculos'!$D$125*(1+2.78*('Cálculos'!$D$200+(($B$111)-$A66)*'Cálculos'!$D$98)/(('Cálculos'!$D$200+(($B$111)-$A66)*'Cálculos'!$D$98)+1400)+'Cálculos'!$D$123)*'Cálculos'!$D$280)+('Cálculos'!$D$201*(1+'Cálculos'!$D$202+$A66*('Cálculos'!$D$290=2)*'Cálculos'!$D$101)+'Cálculos'!$D$203)*('Cálculos'!$D$271+'Cálculos'!$D$124*(1+2.78*('Cálculos'!$D$200+(($B$111)-$A66)*'Cálculos'!$D$98)/(('Cálculos'!$D$200+(($B$111)-$A66)*'Cálculos'!$D$98)+1400)+'Cálculos'!$D$122)*'Cálculos'!$D$276+'Cálculos'!$D$125*(1+2.78*('Cálculos'!$D$200+(($B$111)-$A66)*'Cálculos'!$D$98)/(('Cálculos'!$D$200+(($B$111)-$A66)*'Cálculos'!$D$98)+1400)+'Cálculos'!$D$123)*'Cálculos'!$D$281)+('Cálculos'!$D$204*(1+'Cálculos'!$D$205+$A66*('Cálculos'!$D$290=3)*'Cálculos'!$D$103)+'Cálculos'!$D$206)*('Cálculos'!$D$272+'Cálculos'!$D$124*(1+2.78*('Cálculos'!$D$200+(($B$111)-$A66)*'Cálculos'!$D$98)/(('Cálculos'!$D$200+(($B$111)-$A66)*'Cálculos'!$D$98)+1400)+'Cálculos'!$D$122)*'Cálculos'!$D$277+'Cálculos'!$D$125*(1+2.78*('Cálculos'!$D$200+(($B$111)-$A66)*'Cálculos'!$D$98)/(('Cálculos'!$D$200+(($B$111)-$A66)*'Cálculos'!$D$98)+1400)+'Cálculos'!$D$123)*'Cálculos'!$D$282)+('Cálculos'!$D$273+'Cálculos'!$D$124*(1+2.78*('Cálculos'!$D$200+(($B$111)-$A66)*'Cálculos'!$D$98)/(('Cálculos'!$D$200+(($B$111)-$A66)*'Cálculos'!$D$98)+1400)+'Cálculos'!$D$122)*'Cálculos'!$D$278+'Cálculos'!$D$125*(1+2.78*('Cálculos'!$D$200+(($B$111)-$A66)*'Cálculos'!$D$98)/(('Cálculos'!$D$200+(($B$111)-$A66)*'Cálculos'!$D$98)+1400)+'Cálculos'!$D$123)*'Cálculos'!$D$283)))</f>
        <v>0</v>
      </c>
    </row>
    <row r="67" ht="15.75" customHeight="1">
      <c r="A67" s="2">
        <v>4.0</v>
      </c>
      <c r="B67" s="30">
        <f>SUMPRODUCT(MAX(($A$63:$A$108&lt;=$A67)*($A$63:$A$108&lt;='Cálculos'!$D$294)*(($A67)-$A$63:$A$108&lt;='Cálculos'!$D$295)*(1+(('Cálculos'!$D$207+$A$63:$A$108*'Cálculos'!$D$95)-(('Cálculos'!$D$207+$A$63:$A$108*'Cálculos'!$D$95)&gt;1)*(('Cálculos'!$D$207+$A$63:$A$108*'Cálculos'!$D$95)-1))*('Cálculos'!$D$208+(($A67)-$A$63:$A$108)*'Cálculos'!$D$96))))</f>
        <v>1.285650926</v>
      </c>
      <c r="C67" s="2">
        <f>'Cálculos'!$D$303-$A67</f>
        <v>7</v>
      </c>
      <c r="D67" s="31">
        <f>IF($C67&lt;0,0,SUMPRODUCT(MAX(($A$63:$A$108&lt;=$C67)*($A$63:$A$108&lt;='Cálculos'!$D$301)*(($C67)-$A$63:$A$108&lt;='Cálculos'!$D$297)*(('Cálculos'!$D$185*(1+'Cálculos'!$D$186+$A$63:$A$108*('Cálculos'!$D$290=1)*'Cálculos'!$D$97+'Cálculos'!$D$305)+'Cálculos'!$D$191)*('Cálculos'!$D$209+'Cálculos'!$D$124*(1+2.78*('Cálculos'!$D$196+(($C67)-$A$63:$A$108)*'Cálculos'!$D$98)/(('Cálculos'!$D$196+(($C67)-$A$63:$A$108)*'Cálculos'!$D$98)+1400)+'Cálculos'!$D$122)*'Cálculos'!$D$214+'Cálculos'!$D$125*(1+2.78*('Cálculos'!$D$196+(($C67)-$A$63:$A$108)*'Cálculos'!$D$98)/(('Cálculos'!$D$196+(($C67)-$A$63:$A$108)*'Cálculos'!$D$98)+1400)+'Cálculos'!$D$123)*'Cálculos'!$D$219)+('Cálculos'!$D$196+(($C67)-$A$63:$A$108)*'Cálculos'!$D$98)*('Cálculos'!$D$210+'Cálculos'!$D$124*(1+2.78*('Cálculos'!$D$196+(($C67)-$A$63:$A$108)*'Cálculos'!$D$98)/(('Cálculos'!$D$196+(($C67)-$A$63:$A$108)*'Cálculos'!$D$98)+1400)+'Cálculos'!$D$122)*'Cálculos'!$D$215+'Cálculos'!$D$125*(1+2.78*('Cálculos'!$D$196+(($C67)-$A$63:$A$108)*'Cálculos'!$D$98)/(('Cálculos'!$D$196+(($C67)-$A$63:$A$108)*'Cálculos'!$D$98)+1400)+'Cálculos'!$D$123)*'Cálculos'!$D$220)+('Cálculos'!$D$201*(1+'Cálculos'!$D$202+$A$63:$A$108*('Cálculos'!$D$290=2)*'Cálculos'!$D$101)+'Cálculos'!$D$203)*('Cálculos'!$D$211+'Cálculos'!$D$124*(1+2.78*('Cálculos'!$D$196+(($C67)-$A$63:$A$108)*'Cálculos'!$D$98)/(('Cálculos'!$D$196+(($C67)-$A$63:$A$108)*'Cálculos'!$D$98)+1400)+'Cálculos'!$D$122)*'Cálculos'!$D$216+'Cálculos'!$D$125*(1+2.78*('Cálculos'!$D$196+(($C67)-$A$63:$A$108)*'Cálculos'!$D$98)/(('Cálculos'!$D$196+(($C67)-$A$63:$A$108)*'Cálculos'!$D$98)+1400)+'Cálculos'!$D$123)*'Cálculos'!$D$221)+('Cálculos'!$D$204*(1+'Cálculos'!$D$205+$A$63:$A$108*('Cálculos'!$D$290=3)*'Cálculos'!$D$103)+'Cálculos'!$D$206)*('Cálculos'!$D$212+'Cálculos'!$D$124*(1+2.78*('Cálculos'!$D$196+(($C67)-$A$63:$A$108)*'Cálculos'!$D$98)/(('Cálculos'!$D$196+(($C67)-$A$63:$A$108)*'Cálculos'!$D$98)+1400)+'Cálculos'!$D$122)*'Cálculos'!$D$217+'Cálculos'!$D$125*(1+2.78*('Cálculos'!$D$196+(($C67)-$A$63:$A$108)*'Cálculos'!$D$98)/(('Cálculos'!$D$196+(($C67)-$A$63:$A$108)*'Cálculos'!$D$98)+1400)+'Cálculos'!$D$123)*'Cálculos'!$D$222)+('Cálculos'!$D$213+'Cálculos'!$D$124*(1+2.78*('Cálculos'!$D$196+(($C67)-$A$63:$A$108)*'Cálculos'!$D$98)/(('Cálculos'!$D$196+(($C67)-$A$63:$A$108)*'Cálculos'!$D$98)+1400)+'Cálculos'!$D$122)*'Cálculos'!$D$218+'Cálculos'!$D$125*(1+2.78*('Cálculos'!$D$196+(($C67)-$A$63:$A$108)*'Cálculos'!$D$98)/(('Cálculos'!$D$196+(($C67)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67)-$A$63:$A$108)*'Cálculos'!$D$98)/(('Cálculos'!$D$197+(($C67)-$A$63:$A$108)*'Cálculos'!$D$98)+1400)+'Cálculos'!$D$122)*'Cálculos'!$D$229+'Cálculos'!$D$125*(1+2.78*('Cálculos'!$D$197+(($C67)-$A$63:$A$108)*'Cálculos'!$D$98)/(('Cálculos'!$D$197+(($C67)-$A$63:$A$108)*'Cálculos'!$D$98)+1400)+'Cálculos'!$D$123)*'Cálculos'!$D$234)+('Cálculos'!$D$197+(($C67)-$A$63:$A$108)*'Cálculos'!$D$98)*('Cálculos'!$D$225+'Cálculos'!$D$124*(1+2.78*('Cálculos'!$D$197+(($C67)-$A$63:$A$108)*'Cálculos'!$D$98)/(('Cálculos'!$D$197+(($C67)-$A$63:$A$108)*'Cálculos'!$D$98)+1400)+'Cálculos'!$D$122)*'Cálculos'!$D$230+'Cálculos'!$D$125*(1+2.78*('Cálculos'!$D$197+(($C67)-$A$63:$A$108)*'Cálculos'!$D$98)/(('Cálculos'!$D$197+(($C67)-$A$63:$A$108)*'Cálculos'!$D$98)+1400)+'Cálculos'!$D$123)*'Cálculos'!$D$235)+('Cálculos'!$D$201*(1+'Cálculos'!$D$202+$A$63:$A$108*('Cálculos'!$D$290=2)*'Cálculos'!$D$101)+'Cálculos'!$D$203)*('Cálculos'!$D$226+'Cálculos'!$D$124*(1+2.78*('Cálculos'!$D$197+(($C67)-$A$63:$A$108)*'Cálculos'!$D$98)/(('Cálculos'!$D$197+(($C67)-$A$63:$A$108)*'Cálculos'!$D$98)+1400)+'Cálculos'!$D$122)*'Cálculos'!$D$231+'Cálculos'!$D$125*(1+2.78*('Cálculos'!$D$197+(($C67)-$A$63:$A$108)*'Cálculos'!$D$98)/(('Cálculos'!$D$197+(($C67)-$A$63:$A$108)*'Cálculos'!$D$98)+1400)+'Cálculos'!$D$123)*'Cálculos'!$D$236)+('Cálculos'!$D$204*(1+'Cálculos'!$D$205+$A$63:$A$108*('Cálculos'!$D$290=3)*'Cálculos'!$D$103)+'Cálculos'!$D$206)*('Cálculos'!$D$227+'Cálculos'!$D$124*(1+2.78*('Cálculos'!$D$197+(($C67)-$A$63:$A$108)*'Cálculos'!$D$98)/(('Cálculos'!$D$197+(($C67)-$A$63:$A$108)*'Cálculos'!$D$98)+1400)+'Cálculos'!$D$122)*'Cálculos'!$D$232+'Cálculos'!$D$125*(1+2.78*('Cálculos'!$D$197+(($C67)-$A$63:$A$108)*'Cálculos'!$D$98)/(('Cálculos'!$D$197+(($C67)-$A$63:$A$108)*'Cálculos'!$D$98)+1400)+'Cálculos'!$D$123)*'Cálculos'!$D$237)+('Cálculos'!$D$228+'Cálculos'!$D$124*(1+2.78*('Cálculos'!$D$197+(($C67)-$A$63:$A$108)*'Cálculos'!$D$98)/(('Cálculos'!$D$197+(($C67)-$A$63:$A$108)*'Cálculos'!$D$98)+1400)+'Cálculos'!$D$122)*'Cálculos'!$D$233+'Cálculos'!$D$125*(1+2.78*('Cálculos'!$D$197+(($C67)-$A$63:$A$108)*'Cálculos'!$D$98)/(('Cálculos'!$D$197+(($C67)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67)-$A$63:$A$108)*'Cálculos'!$D$98)/(('Cálculos'!$D$198+(($C67)-$A$63:$A$108)*'Cálculos'!$D$98)+1400)+'Cálculos'!$D$122)*'Cálculos'!$D$244+'Cálculos'!$D$125*(1+2.78*('Cálculos'!$D$198+(($C67)-$A$63:$A$108)*'Cálculos'!$D$98)/(('Cálculos'!$D$198+(($C67)-$A$63:$A$108)*'Cálculos'!$D$98)+1400)+'Cálculos'!$D$123)*'Cálculos'!$D$249)+('Cálculos'!$D$198+(($C67)-$A$63:$A$108)*'Cálculos'!$D$98)*('Cálculos'!$D$240+'Cálculos'!$D$124*(1+2.78*('Cálculos'!$D$198+(($C67)-$A$63:$A$108)*'Cálculos'!$D$98)/(('Cálculos'!$D$198+(($C67)-$A$63:$A$108)*'Cálculos'!$D$98)+1400)+'Cálculos'!$D$122)*'Cálculos'!$D$245+'Cálculos'!$D$125*(1+2.78*('Cálculos'!$D$198+(($C67)-$A$63:$A$108)*'Cálculos'!$D$98)/(('Cálculos'!$D$198+(($C67)-$A$63:$A$108)*'Cálculos'!$D$98)+1400)+'Cálculos'!$D$123)*'Cálculos'!$D$250)+('Cálculos'!$D$201*(1+'Cálculos'!$D$202+$A$63:$A$108*('Cálculos'!$D$290=2)*'Cálculos'!$D$101)+'Cálculos'!$D$203)*('Cálculos'!$D$241+'Cálculos'!$D$124*(1+2.78*('Cálculos'!$D$198+(($C67)-$A$63:$A$108)*'Cálculos'!$D$98)/(('Cálculos'!$D$198+(($C67)-$A$63:$A$108)*'Cálculos'!$D$98)+1400)+'Cálculos'!$D$122)*'Cálculos'!$D$246+'Cálculos'!$D$125*(1+2.78*('Cálculos'!$D$198+(($C67)-$A$63:$A$108)*'Cálculos'!$D$98)/(('Cálculos'!$D$198+(($C67)-$A$63:$A$108)*'Cálculos'!$D$98)+1400)+'Cálculos'!$D$123)*'Cálculos'!$D$251)+('Cálculos'!$D$204*(1+'Cálculos'!$D$205+$A$63:$A$108*('Cálculos'!$D$290=3)*'Cálculos'!$D$103)+'Cálculos'!$D$206)*('Cálculos'!$D$242+'Cálculos'!$D$124*(1+2.78*('Cálculos'!$D$198+(($C67)-$A$63:$A$108)*'Cálculos'!$D$98)/(('Cálculos'!$D$198+(($C67)-$A$63:$A$108)*'Cálculos'!$D$98)+1400)+'Cálculos'!$D$122)*'Cálculos'!$D$247+'Cálculos'!$D$125*(1+2.78*('Cálculos'!$D$198+(($C67)-$A$63:$A$108)*'Cálculos'!$D$98)/(('Cálculos'!$D$198+(($C67)-$A$63:$A$108)*'Cálculos'!$D$98)+1400)+'Cálculos'!$D$123)*'Cálculos'!$D$252)+('Cálculos'!$D$243+'Cálculos'!$D$124*(1+2.78*('Cálculos'!$D$198+(($C67)-$A$63:$A$108)*'Cálculos'!$D$98)/(('Cálculos'!$D$198+(($C67)-$A$63:$A$108)*'Cálculos'!$D$98)+1400)+'Cálculos'!$D$122)*'Cálculos'!$D$248+'Cálculos'!$D$125*(1+2.78*('Cálculos'!$D$198+(($C67)-$A$63:$A$108)*'Cálculos'!$D$98)/(('Cálculos'!$D$198+(($C67)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67)-$A$63:$A$108)*'Cálculos'!$D$98)/(('Cálculos'!$D$199+(($C67)-$A$63:$A$108)*'Cálculos'!$D$98)+1400)+'Cálculos'!$D$122)*'Cálculos'!$D$259+'Cálculos'!$D$125*(1+2.78*('Cálculos'!$D$199+(($C67)-$A$63:$A$108)*'Cálculos'!$D$98)/(('Cálculos'!$D$199+(($C67)-$A$63:$A$108)*'Cálculos'!$D$98)+1400)+'Cálculos'!$D$123)*'Cálculos'!$D$264)+('Cálculos'!$D$199+(($C67)-$A$63:$A$108)*'Cálculos'!$D$98)*('Cálculos'!$D$255+'Cálculos'!$D$124*(1+2.78*('Cálculos'!$D$199+(($C67)-$A$63:$A$108)*'Cálculos'!$D$98)/(('Cálculos'!$D$199+(($C67)-$A$63:$A$108)*'Cálculos'!$D$98)+1400)+'Cálculos'!$D$122)*'Cálculos'!$D$260+'Cálculos'!$D$125*(1+2.78*('Cálculos'!$D$199+(($C67)-$A$63:$A$108)*'Cálculos'!$D$98)/(('Cálculos'!$D$199+(($C67)-$A$63:$A$108)*'Cálculos'!$D$98)+1400)+'Cálculos'!$D$123)*'Cálculos'!$D$265)+('Cálculos'!$D$201*(1+'Cálculos'!$D$202+$A$63:$A$108*('Cálculos'!$D$290=2)*'Cálculos'!$D$101)+'Cálculos'!$D$203)*('Cálculos'!$D$256+'Cálculos'!$D$124*(1+2.78*('Cálculos'!$D$199+(($C67)-$A$63:$A$108)*'Cálculos'!$D$98)/(('Cálculos'!$D$199+(($C67)-$A$63:$A$108)*'Cálculos'!$D$98)+1400)+'Cálculos'!$D$122)*'Cálculos'!$D$261+'Cálculos'!$D$125*(1+2.78*('Cálculos'!$D$199+(($C67)-$A$63:$A$108)*'Cálculos'!$D$98)/(('Cálculos'!$D$199+(($C67)-$A$63:$A$108)*'Cálculos'!$D$98)+1400)+'Cálculos'!$D$123)*'Cálculos'!$D$266)+('Cálculos'!$D$204*(1+'Cálculos'!$D$205+$A$63:$A$108*('Cálculos'!$D$290=3)*'Cálculos'!$D$103)+'Cálculos'!$D$206)*('Cálculos'!$D$257+'Cálculos'!$D$124*(1+2.78*('Cálculos'!$D$199+(($C67)-$A$63:$A$108)*'Cálculos'!$D$98)/(('Cálculos'!$D$199+(($C67)-$A$63:$A$108)*'Cálculos'!$D$98)+1400)+'Cálculos'!$D$122)*'Cálculos'!$D$262+'Cálculos'!$D$125*(1+2.78*('Cálculos'!$D$199+(($C67)-$A$63:$A$108)*'Cálculos'!$D$98)/(('Cálculos'!$D$199+(($C67)-$A$63:$A$108)*'Cálculos'!$D$98)+1400)+'Cálculos'!$D$123)*'Cálculos'!$D$267)+('Cálculos'!$D$258+'Cálculos'!$D$124*(1+2.78*('Cálculos'!$D$199+(($C67)-$A$63:$A$108)*'Cálculos'!$D$98)/(('Cálculos'!$D$199+(($C67)-$A$63:$A$108)*'Cálculos'!$D$98)+1400)+'Cálculos'!$D$122)*'Cálculos'!$D$263+'Cálculos'!$D$125*(1+2.78*('Cálculos'!$D$199+(($C67)-$A$63:$A$108)*'Cálculos'!$D$98)/(('Cálculos'!$D$199+(($C67)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67)-$A$63:$A$108)*'Cálculos'!$D$98)/(('Cálculos'!$D$200+(($C67)-$A$63:$A$108)*'Cálculos'!$D$98)+1400)+'Cálculos'!$D$122)*'Cálculos'!$D$274+'Cálculos'!$D$125*(1+2.78*('Cálculos'!$D$200+(($C67)-$A$63:$A$108)*'Cálculos'!$D$98)/(('Cálculos'!$D$200+(($C67)-$A$63:$A$108)*'Cálculos'!$D$98)+1400)+'Cálculos'!$D$123)*'Cálculos'!$D$279)+('Cálculos'!$D$200+(($C67)-$A$63:$A$108)*'Cálculos'!$D$98)*('Cálculos'!$D$270+'Cálculos'!$D$124*(1+2.78*('Cálculos'!$D$200+(($C67)-$A$63:$A$108)*'Cálculos'!$D$98)/(('Cálculos'!$D$200+(($C67)-$A$63:$A$108)*'Cálculos'!$D$98)+1400)+'Cálculos'!$D$122)*'Cálculos'!$D$275+'Cálculos'!$D$125*(1+2.78*('Cálculos'!$D$200+(($C67)-$A$63:$A$108)*'Cálculos'!$D$98)/(('Cálculos'!$D$200+(($C67)-$A$63:$A$108)*'Cálculos'!$D$98)+1400)+'Cálculos'!$D$123)*'Cálculos'!$D$280)+('Cálculos'!$D$201*(1+'Cálculos'!$D$202+$A$63:$A$108*('Cálculos'!$D$290=2)*'Cálculos'!$D$101)+'Cálculos'!$D$203)*('Cálculos'!$D$271+'Cálculos'!$D$124*(1+2.78*('Cálculos'!$D$200+(($C67)-$A$63:$A$108)*'Cálculos'!$D$98)/(('Cálculos'!$D$200+(($C67)-$A$63:$A$108)*'Cálculos'!$D$98)+1400)+'Cálculos'!$D$122)*'Cálculos'!$D$276+'Cálculos'!$D$125*(1+2.78*('Cálculos'!$D$200+(($C67)-$A$63:$A$108)*'Cálculos'!$D$98)/(('Cálculos'!$D$200+(($C67)-$A$63:$A$108)*'Cálculos'!$D$98)+1400)+'Cálculos'!$D$123)*'Cálculos'!$D$281)+('Cálculos'!$D$204*(1+'Cálculos'!$D$205+$A$63:$A$108*('Cálculos'!$D$290=3)*'Cálculos'!$D$103)+'Cálculos'!$D$206)*('Cálculos'!$D$272+'Cálculos'!$D$124*(1+2.78*('Cálculos'!$D$200+(($C67)-$A$63:$A$108)*'Cálculos'!$D$98)/(('Cálculos'!$D$200+(($C67)-$A$63:$A$108)*'Cálculos'!$D$98)+1400)+'Cálculos'!$D$122)*'Cálculos'!$D$277+'Cálculos'!$D$125*(1+2.78*('Cálculos'!$D$200+(($C67)-$A$63:$A$108)*'Cálculos'!$D$98)/(('Cálculos'!$D$200+(($C67)-$A$63:$A$108)*'Cálculos'!$D$98)+1400)+'Cálculos'!$D$123)*'Cálculos'!$D$282)+('Cálculos'!$D$273+'Cálculos'!$D$124*(1+2.78*('Cálculos'!$D$200+(($C67)-$A$63:$A$108)*'Cálculos'!$D$98)/(('Cálculos'!$D$200+(($C67)-$A$63:$A$108)*'Cálculos'!$D$98)+1400)+'Cálculos'!$D$122)*'Cálculos'!$D$278+'Cálculos'!$D$125*(1+2.78*('Cálculos'!$D$200+(($C67)-$A$63:$A$108)*'Cálculos'!$D$98)/(('Cálculos'!$D$200+(($C67)-$A$63:$A$108)*'Cálculos'!$D$98)+1400)+'Cálculos'!$D$123)*'Cálculos'!$D$283)))))</f>
        <v>77845.64808</v>
      </c>
      <c r="E67" s="32">
        <f>IF(OR($C67&lt;0,'Cálculos'!$D$6=""),0,$B67*$D67)</f>
        <v>100082.3295</v>
      </c>
      <c r="F67" s="2"/>
      <c r="G67" s="30">
        <f>($A67&lt;=$B$110)*($A67&lt;='Cálculos'!$D$294)*(($B$110)-$A67&lt;='Cálculos'!$D$295)*(1+MIN(('Cálculos'!$D$207+$A67*'Cálculos'!$D$95),1)*('Cálculos'!$D$208+(($B$110)-$A67)*'Cálculos'!$D$96))</f>
        <v>1.452182858</v>
      </c>
      <c r="H67" s="31">
        <f>IF($B$111&lt;0,0,($A67&lt;=$B$111)*($A67&lt;='Cálculos'!$D$301)*(($B$111)-$A67&lt;='Cálculos'!$D$297)*(('Cálculos'!$D$185*(1+'Cálculos'!$D$186+$A67*('Cálculos'!$D$290=1)*'Cálculos'!$D$97+'Cálculos'!$D$305)+'Cálculos'!$D$191)*('Cálculos'!$D$209+'Cálculos'!$D$124*(1+2.78*('Cálculos'!$D$196+(($B$111)-$A67)*'Cálculos'!$D$98)/(('Cálculos'!$D$196+(($B$111)-$A67)*'Cálculos'!$D$98)+1400)+'Cálculos'!$D$122)*'Cálculos'!$D$214+'Cálculos'!$D$125*(1+2.78*('Cálculos'!$D$196+(($B$111)-$A67)*'Cálculos'!$D$98)/(('Cálculos'!$D$196+(($B$111)-$A67)*'Cálculos'!$D$98)+1400)+'Cálculos'!$D$123)*'Cálculos'!$D$219)+('Cálculos'!$D$196+(($B$111)-$A67)*'Cálculos'!$D$98)*('Cálculos'!$D$210+'Cálculos'!$D$124*(1+2.78*('Cálculos'!$D$196+(($B$111)-$A67)*'Cálculos'!$D$98)/(('Cálculos'!$D$196+(($B$111)-$A67)*'Cálculos'!$D$98)+1400)+'Cálculos'!$D$122)*'Cálculos'!$D$215+'Cálculos'!$D$125*(1+2.78*('Cálculos'!$D$196+(($B$111)-$A67)*'Cálculos'!$D$98)/(('Cálculos'!$D$196+(($B$111)-$A67)*'Cálculos'!$D$98)+1400)+'Cálculos'!$D$123)*'Cálculos'!$D$220)+('Cálculos'!$D$201*(1+'Cálculos'!$D$202+$A67*('Cálculos'!$D$290=2)*'Cálculos'!$D$101)+'Cálculos'!$D$203)*('Cálculos'!$D$211+'Cálculos'!$D$124*(1+2.78*('Cálculos'!$D$196+(($B$111)-$A67)*'Cálculos'!$D$98)/(('Cálculos'!$D$196+(($B$111)-$A67)*'Cálculos'!$D$98)+1400)+'Cálculos'!$D$122)*'Cálculos'!$D$216+'Cálculos'!$D$125*(1+2.78*('Cálculos'!$D$196+(($B$111)-$A67)*'Cálculos'!$D$98)/(('Cálculos'!$D$196+(($B$111)-$A67)*'Cálculos'!$D$98)+1400)+'Cálculos'!$D$123)*'Cálculos'!$D$221)+('Cálculos'!$D$204*(1+'Cálculos'!$D$205+$A67*('Cálculos'!$D$290=3)*'Cálculos'!$D$103)+'Cálculos'!$D$206)*('Cálculos'!$D$212+'Cálculos'!$D$124*(1+2.78*('Cálculos'!$D$196+(($B$111)-$A67)*'Cálculos'!$D$98)/(('Cálculos'!$D$196+(($B$111)-$A67)*'Cálculos'!$D$98)+1400)+'Cálculos'!$D$122)*'Cálculos'!$D$217+'Cálculos'!$D$125*(1+2.78*('Cálculos'!$D$196+(($B$111)-$A67)*'Cálculos'!$D$98)/(('Cálculos'!$D$196+(($B$111)-$A67)*'Cálculos'!$D$98)+1400)+'Cálculos'!$D$123)*'Cálculos'!$D$222)+('Cálculos'!$D$213+'Cálculos'!$D$124*(1+2.78*('Cálculos'!$D$196+(($B$111)-$A67)*'Cálculos'!$D$98)/(('Cálculos'!$D$196+(($B$111)-$A67)*'Cálculos'!$D$98)+1400)+'Cálculos'!$D$122)*'Cálculos'!$D$218+'Cálculos'!$D$125*(1+2.78*('Cálculos'!$D$196+(($B$111)-$A67)*'Cálculos'!$D$98)/(('Cálculos'!$D$196+(($B$111)-$A67)*'Cálculos'!$D$98)+1400)+'Cálculos'!$D$123)*'Cálculos'!$D$223)+('Cálculos'!$D$185*(1+'Cálculos'!$D$187+$A67*('Cálculos'!$D$290=1)*'Cálculos'!$D$97+'Cálculos'!$D$305)+'Cálculos'!$D$192)*('Cálculos'!$D$224+'Cálculos'!$D$124*(1+2.78*('Cálculos'!$D$197+(($B$111)-$A67)*'Cálculos'!$D$98)/(('Cálculos'!$D$197+(($B$111)-$A67)*'Cálculos'!$D$98)+1400)+'Cálculos'!$D$122)*'Cálculos'!$D$229+'Cálculos'!$D$125*(1+2.78*('Cálculos'!$D$197+(($B$111)-$A67)*'Cálculos'!$D$98)/(('Cálculos'!$D$197+(($B$111)-$A67)*'Cálculos'!$D$98)+1400)+'Cálculos'!$D$123)*'Cálculos'!$D$234)+('Cálculos'!$D$197+(($B$111)-$A67)*'Cálculos'!$D$98)*('Cálculos'!$D$225+'Cálculos'!$D$124*(1+2.78*('Cálculos'!$D$197+(($B$111)-$A67)*'Cálculos'!$D$98)/(('Cálculos'!$D$197+(($B$111)-$A67)*'Cálculos'!$D$98)+1400)+'Cálculos'!$D$122)*'Cálculos'!$D$230+'Cálculos'!$D$125*(1+2.78*('Cálculos'!$D$197+(($B$111)-$A67)*'Cálculos'!$D$98)/(('Cálculos'!$D$197+(($B$111)-$A67)*'Cálculos'!$D$98)+1400)+'Cálculos'!$D$123)*'Cálculos'!$D$235)+('Cálculos'!$D$201*(1+'Cálculos'!$D$202+$A67*('Cálculos'!$D$290=2)*'Cálculos'!$D$101)+'Cálculos'!$D$203)*('Cálculos'!$D$226+'Cálculos'!$D$124*(1+2.78*('Cálculos'!$D$197+(($B$111)-$A67)*'Cálculos'!$D$98)/(('Cálculos'!$D$197+(($B$111)-$A67)*'Cálculos'!$D$98)+1400)+'Cálculos'!$D$122)*'Cálculos'!$D$231+'Cálculos'!$D$125*(1+2.78*('Cálculos'!$D$197+(($B$111)-$A67)*'Cálculos'!$D$98)/(('Cálculos'!$D$197+(($B$111)-$A67)*'Cálculos'!$D$98)+1400)+'Cálculos'!$D$123)*'Cálculos'!$D$236)+('Cálculos'!$D$204*(1+'Cálculos'!$D$205+$A67*('Cálculos'!$D$290=3)*'Cálculos'!$D$103)+'Cálculos'!$D$206)*('Cálculos'!$D$227+'Cálculos'!$D$124*(1+2.78*('Cálculos'!$D$197+(($B$111)-$A67)*'Cálculos'!$D$98)/(('Cálculos'!$D$197+(($B$111)-$A67)*'Cálculos'!$D$98)+1400)+'Cálculos'!$D$122)*'Cálculos'!$D$232+'Cálculos'!$D$125*(1+2.78*('Cálculos'!$D$197+(($B$111)-$A67)*'Cálculos'!$D$98)/(('Cálculos'!$D$197+(($B$111)-$A67)*'Cálculos'!$D$98)+1400)+'Cálculos'!$D$123)*'Cálculos'!$D$237)+('Cálculos'!$D$228+'Cálculos'!$D$124*(1+2.78*('Cálculos'!$D$197+(($B$111)-$A67)*'Cálculos'!$D$98)/(('Cálculos'!$D$197+(($B$111)-$A67)*'Cálculos'!$D$98)+1400)+'Cálculos'!$D$122)*'Cálculos'!$D$233+'Cálculos'!$D$125*(1+2.78*('Cálculos'!$D$197+(($B$111)-$A67)*'Cálculos'!$D$98)/(('Cálculos'!$D$197+(($B$111)-$A67)*'Cálculos'!$D$98)+1400)+'Cálculos'!$D$123)*'Cálculos'!$D$238)+('Cálculos'!$D$185*(1+'Cálculos'!$D$188+$A67*('Cálculos'!$D$290=1)*'Cálculos'!$D$97+'Cálculos'!$D$305)+'Cálculos'!$D$193)*('Cálculos'!$D$239+'Cálculos'!$D$124*(1+2.78*('Cálculos'!$D$198+(($B$111)-$A67)*'Cálculos'!$D$98)/(('Cálculos'!$D$198+(($B$111)-$A67)*'Cálculos'!$D$98)+1400)+'Cálculos'!$D$122)*'Cálculos'!$D$244+'Cálculos'!$D$125*(1+2.78*('Cálculos'!$D$198+(($B$111)-$A67)*'Cálculos'!$D$98)/(('Cálculos'!$D$198+(($B$111)-$A67)*'Cálculos'!$D$98)+1400)+'Cálculos'!$D$123)*'Cálculos'!$D$249)+('Cálculos'!$D$198+(($B$111)-$A67)*'Cálculos'!$D$98)*('Cálculos'!$D$240+'Cálculos'!$D$124*(1+2.78*('Cálculos'!$D$198+(($B$111)-$A67)*'Cálculos'!$D$98)/(('Cálculos'!$D$198+(($B$111)-$A67)*'Cálculos'!$D$98)+1400)+'Cálculos'!$D$122)*'Cálculos'!$D$245+'Cálculos'!$D$125*(1+2.78*('Cálculos'!$D$198+(($B$111)-$A67)*'Cálculos'!$D$98)/(('Cálculos'!$D$198+(($B$111)-$A67)*'Cálculos'!$D$98)+1400)+'Cálculos'!$D$123)*'Cálculos'!$D$250)+('Cálculos'!$D$201*(1+'Cálculos'!$D$202+$A67*('Cálculos'!$D$290=2)*'Cálculos'!$D$101)+'Cálculos'!$D$203)*('Cálculos'!$D$241+'Cálculos'!$D$124*(1+2.78*('Cálculos'!$D$198+(($B$111)-$A67)*'Cálculos'!$D$98)/(('Cálculos'!$D$198+(($B$111)-$A67)*'Cálculos'!$D$98)+1400)+'Cálculos'!$D$122)*'Cálculos'!$D$246+'Cálculos'!$D$125*(1+2.78*('Cálculos'!$D$198+(($B$111)-$A67)*'Cálculos'!$D$98)/(('Cálculos'!$D$198+(($B$111)-$A67)*'Cálculos'!$D$98)+1400)+'Cálculos'!$D$123)*'Cálculos'!$D$251)+('Cálculos'!$D$204*(1+'Cálculos'!$D$205+$A67*('Cálculos'!$D$290=3)*'Cálculos'!$D$103)+'Cálculos'!$D$206)*('Cálculos'!$D$242+'Cálculos'!$D$124*(1+2.78*('Cálculos'!$D$198+(($B$111)-$A67)*'Cálculos'!$D$98)/(('Cálculos'!$D$198+(($B$111)-$A67)*'Cálculos'!$D$98)+1400)+'Cálculos'!$D$122)*'Cálculos'!$D$247+'Cálculos'!$D$125*(1+2.78*('Cálculos'!$D$198+(($B$111)-$A67)*'Cálculos'!$D$98)/(('Cálculos'!$D$198+(($B$111)-$A67)*'Cálculos'!$D$98)+1400)+'Cálculos'!$D$123)*'Cálculos'!$D$252)+('Cálculos'!$D$243+'Cálculos'!$D$124*(1+2.78*('Cálculos'!$D$198+(($B$111)-$A67)*'Cálculos'!$D$98)/(('Cálculos'!$D$198+(($B$111)-$A67)*'Cálculos'!$D$98)+1400)+'Cálculos'!$D$122)*'Cálculos'!$D$248+'Cálculos'!$D$125*(1+2.78*('Cálculos'!$D$198+(($B$111)-$A67)*'Cálculos'!$D$98)/(('Cálculos'!$D$198+(($B$111)-$A67)*'Cálculos'!$D$98)+1400)+'Cálculos'!$D$123)*'Cálculos'!$D$253)+('Cálculos'!$D$185*(1+'Cálculos'!$D$189+$A67*('Cálculos'!$D$290=1)*'Cálculos'!$D$97+'Cálculos'!$D$305)+'Cálculos'!$D$194)*('Cálculos'!$D$254+'Cálculos'!$D$124*(1+2.78*('Cálculos'!$D$199+(($B$111)-$A67)*'Cálculos'!$D$98)/(('Cálculos'!$D$199+(($B$111)-$A67)*'Cálculos'!$D$98)+1400)+'Cálculos'!$D$122)*'Cálculos'!$D$259+'Cálculos'!$D$125*(1+2.78*('Cálculos'!$D$199+(($B$111)-$A67)*'Cálculos'!$D$98)/(('Cálculos'!$D$199+(($B$111)-$A67)*'Cálculos'!$D$98)+1400)+'Cálculos'!$D$123)*'Cálculos'!$D$264)+('Cálculos'!$D$199+(($B$111)-$A67)*'Cálculos'!$D$98)*('Cálculos'!$D$255+'Cálculos'!$D$124*(1+2.78*('Cálculos'!$D$199+(($B$111)-$A67)*'Cálculos'!$D$98)/(('Cálculos'!$D$199+(($B$111)-$A67)*'Cálculos'!$D$98)+1400)+'Cálculos'!$D$122)*'Cálculos'!$D$260+'Cálculos'!$D$125*(1+2.78*('Cálculos'!$D$199+(($B$111)-$A67)*'Cálculos'!$D$98)/(('Cálculos'!$D$199+(($B$111)-$A67)*'Cálculos'!$D$98)+1400)+'Cálculos'!$D$123)*'Cálculos'!$D$265)+('Cálculos'!$D$201*(1+'Cálculos'!$D$202+$A67*('Cálculos'!$D$290=2)*'Cálculos'!$D$101)+'Cálculos'!$D$203)*('Cálculos'!$D$256+'Cálculos'!$D$124*(1+2.78*('Cálculos'!$D$199+(($B$111)-$A67)*'Cálculos'!$D$98)/(('Cálculos'!$D$199+(($B$111)-$A67)*'Cálculos'!$D$98)+1400)+'Cálculos'!$D$122)*'Cálculos'!$D$261+'Cálculos'!$D$125*(1+2.78*('Cálculos'!$D$199+(($B$111)-$A67)*'Cálculos'!$D$98)/(('Cálculos'!$D$199+(($B$111)-$A67)*'Cálculos'!$D$98)+1400)+'Cálculos'!$D$123)*'Cálculos'!$D$266)+('Cálculos'!$D$204*(1+'Cálculos'!$D$205+$A67*('Cálculos'!$D$290=3)*'Cálculos'!$D$103)+'Cálculos'!$D$206)*('Cálculos'!$D$257+'Cálculos'!$D$124*(1+2.78*('Cálculos'!$D$199+(($B$111)-$A67)*'Cálculos'!$D$98)/(('Cálculos'!$D$199+(($B$111)-$A67)*'Cálculos'!$D$98)+1400)+'Cálculos'!$D$122)*'Cálculos'!$D$262+'Cálculos'!$D$125*(1+2.78*('Cálculos'!$D$199+(($B$111)-$A67)*'Cálculos'!$D$98)/(('Cálculos'!$D$199+(($B$111)-$A67)*'Cálculos'!$D$98)+1400)+'Cálculos'!$D$123)*'Cálculos'!$D$267)+('Cálculos'!$D$258+'Cálculos'!$D$124*(1+2.78*('Cálculos'!$D$199+(($B$111)-$A67)*'Cálculos'!$D$98)/(('Cálculos'!$D$199+(($B$111)-$A67)*'Cálculos'!$D$98)+1400)+'Cálculos'!$D$122)*'Cálculos'!$D$263+'Cálculos'!$D$125*(1+2.78*('Cálculos'!$D$199+(($B$111)-$A67)*'Cálculos'!$D$98)/(('Cálculos'!$D$199+(($B$111)-$A67)*'Cálculos'!$D$98)+1400)+'Cálculos'!$D$123)*'Cálculos'!$D$268)+('Cálculos'!$D$185*(1+'Cálculos'!$D$190+$A67*('Cálculos'!$D$290=1)*'Cálculos'!$D$97+'Cálculos'!$D$305)+'Cálculos'!$D$195)*('Cálculos'!$D$269+'Cálculos'!$D$124*(1+2.78*('Cálculos'!$D$200+(($B$111)-$A67)*'Cálculos'!$D$98)/(('Cálculos'!$D$200+(($B$111)-$A67)*'Cálculos'!$D$98)+1400)+'Cálculos'!$D$122)*'Cálculos'!$D$274+'Cálculos'!$D$125*(1+2.78*('Cálculos'!$D$200+(($B$111)-$A67)*'Cálculos'!$D$98)/(('Cálculos'!$D$200+(($B$111)-$A67)*'Cálculos'!$D$98)+1400)+'Cálculos'!$D$123)*'Cálculos'!$D$279)+('Cálculos'!$D$200+(($B$111)-$A67)*'Cálculos'!$D$98)*('Cálculos'!$D$270+'Cálculos'!$D$124*(1+2.78*('Cálculos'!$D$200+(($B$111)-$A67)*'Cálculos'!$D$98)/(('Cálculos'!$D$200+(($B$111)-$A67)*'Cálculos'!$D$98)+1400)+'Cálculos'!$D$122)*'Cálculos'!$D$275+'Cálculos'!$D$125*(1+2.78*('Cálculos'!$D$200+(($B$111)-$A67)*'Cálculos'!$D$98)/(('Cálculos'!$D$200+(($B$111)-$A67)*'Cálculos'!$D$98)+1400)+'Cálculos'!$D$123)*'Cálculos'!$D$280)+('Cálculos'!$D$201*(1+'Cálculos'!$D$202+$A67*('Cálculos'!$D$290=2)*'Cálculos'!$D$101)+'Cálculos'!$D$203)*('Cálculos'!$D$271+'Cálculos'!$D$124*(1+2.78*('Cálculos'!$D$200+(($B$111)-$A67)*'Cálculos'!$D$98)/(('Cálculos'!$D$200+(($B$111)-$A67)*'Cálculos'!$D$98)+1400)+'Cálculos'!$D$122)*'Cálculos'!$D$276+'Cálculos'!$D$125*(1+2.78*('Cálculos'!$D$200+(($B$111)-$A67)*'Cálculos'!$D$98)/(('Cálculos'!$D$200+(($B$111)-$A67)*'Cálculos'!$D$98)+1400)+'Cálculos'!$D$123)*'Cálculos'!$D$281)+('Cálculos'!$D$204*(1+'Cálculos'!$D$205+$A67*('Cálculos'!$D$290=3)*'Cálculos'!$D$103)+'Cálculos'!$D$206)*('Cálculos'!$D$272+'Cálculos'!$D$124*(1+2.78*('Cálculos'!$D$200+(($B$111)-$A67)*'Cálculos'!$D$98)/(('Cálculos'!$D$200+(($B$111)-$A67)*'Cálculos'!$D$98)+1400)+'Cálculos'!$D$122)*'Cálculos'!$D$277+'Cálculos'!$D$125*(1+2.78*('Cálculos'!$D$200+(($B$111)-$A67)*'Cálculos'!$D$98)/(('Cálculos'!$D$200+(($B$111)-$A67)*'Cálculos'!$D$98)+1400)+'Cálculos'!$D$123)*'Cálculos'!$D$282)+('Cálculos'!$D$273+'Cálculos'!$D$124*(1+2.78*('Cálculos'!$D$200+(($B$111)-$A67)*'Cálculos'!$D$98)/(('Cálculos'!$D$200+(($B$111)-$A67)*'Cálculos'!$D$98)+1400)+'Cálculos'!$D$122)*'Cálculos'!$D$278+'Cálculos'!$D$125*(1+2.78*('Cálculos'!$D$200+(($B$111)-$A67)*'Cálculos'!$D$98)/(('Cálculos'!$D$200+(($B$111)-$A67)*'Cálculos'!$D$98)+1400)+'Cálculos'!$D$123)*'Cálculos'!$D$283)))</f>
        <v>0</v>
      </c>
    </row>
    <row r="68" ht="15.75" customHeight="1">
      <c r="A68" s="2">
        <v>5.0</v>
      </c>
      <c r="B68" s="30">
        <f>SUMPRODUCT(MAX(($A$63:$A$108&lt;=$A68)*($A$63:$A$108&lt;='Cálculos'!$D$294)*(($A68)-$A$63:$A$108&lt;='Cálculos'!$D$295)*(1+(('Cálculos'!$D$207+$A$63:$A$108*'Cálculos'!$D$95)-(('Cálculos'!$D$207+$A$63:$A$108*'Cálculos'!$D$95)&gt;1)*(('Cálculos'!$D$207+$A$63:$A$108*'Cálculos'!$D$95)-1))*('Cálculos'!$D$208+(($A68)-$A$63:$A$108)*'Cálculos'!$D$96))))</f>
        <v>1.307507253</v>
      </c>
      <c r="C68" s="2">
        <f>'Cálculos'!$D$303-$A68</f>
        <v>6</v>
      </c>
      <c r="D68" s="31">
        <f>IF($C68&lt;0,0,SUMPRODUCT(MAX(($A$63:$A$108&lt;=$C68)*($A$63:$A$108&lt;='Cálculos'!$D$301)*(($C68)-$A$63:$A$108&lt;='Cálculos'!$D$297)*(('Cálculos'!$D$185*(1+'Cálculos'!$D$186+$A$63:$A$108*('Cálculos'!$D$290=1)*'Cálculos'!$D$97+'Cálculos'!$D$305)+'Cálculos'!$D$191)*('Cálculos'!$D$209+'Cálculos'!$D$124*(1+2.78*('Cálculos'!$D$196+(($C68)-$A$63:$A$108)*'Cálculos'!$D$98)/(('Cálculos'!$D$196+(($C68)-$A$63:$A$108)*'Cálculos'!$D$98)+1400)+'Cálculos'!$D$122)*'Cálculos'!$D$214+'Cálculos'!$D$125*(1+2.78*('Cálculos'!$D$196+(($C68)-$A$63:$A$108)*'Cálculos'!$D$98)/(('Cálculos'!$D$196+(($C68)-$A$63:$A$108)*'Cálculos'!$D$98)+1400)+'Cálculos'!$D$123)*'Cálculos'!$D$219)+('Cálculos'!$D$196+(($C68)-$A$63:$A$108)*'Cálculos'!$D$98)*('Cálculos'!$D$210+'Cálculos'!$D$124*(1+2.78*('Cálculos'!$D$196+(($C68)-$A$63:$A$108)*'Cálculos'!$D$98)/(('Cálculos'!$D$196+(($C68)-$A$63:$A$108)*'Cálculos'!$D$98)+1400)+'Cálculos'!$D$122)*'Cálculos'!$D$215+'Cálculos'!$D$125*(1+2.78*('Cálculos'!$D$196+(($C68)-$A$63:$A$108)*'Cálculos'!$D$98)/(('Cálculos'!$D$196+(($C68)-$A$63:$A$108)*'Cálculos'!$D$98)+1400)+'Cálculos'!$D$123)*'Cálculos'!$D$220)+('Cálculos'!$D$201*(1+'Cálculos'!$D$202+$A$63:$A$108*('Cálculos'!$D$290=2)*'Cálculos'!$D$101)+'Cálculos'!$D$203)*('Cálculos'!$D$211+'Cálculos'!$D$124*(1+2.78*('Cálculos'!$D$196+(($C68)-$A$63:$A$108)*'Cálculos'!$D$98)/(('Cálculos'!$D$196+(($C68)-$A$63:$A$108)*'Cálculos'!$D$98)+1400)+'Cálculos'!$D$122)*'Cálculos'!$D$216+'Cálculos'!$D$125*(1+2.78*('Cálculos'!$D$196+(($C68)-$A$63:$A$108)*'Cálculos'!$D$98)/(('Cálculos'!$D$196+(($C68)-$A$63:$A$108)*'Cálculos'!$D$98)+1400)+'Cálculos'!$D$123)*'Cálculos'!$D$221)+('Cálculos'!$D$204*(1+'Cálculos'!$D$205+$A$63:$A$108*('Cálculos'!$D$290=3)*'Cálculos'!$D$103)+'Cálculos'!$D$206)*('Cálculos'!$D$212+'Cálculos'!$D$124*(1+2.78*('Cálculos'!$D$196+(($C68)-$A$63:$A$108)*'Cálculos'!$D$98)/(('Cálculos'!$D$196+(($C68)-$A$63:$A$108)*'Cálculos'!$D$98)+1400)+'Cálculos'!$D$122)*'Cálculos'!$D$217+'Cálculos'!$D$125*(1+2.78*('Cálculos'!$D$196+(($C68)-$A$63:$A$108)*'Cálculos'!$D$98)/(('Cálculos'!$D$196+(($C68)-$A$63:$A$108)*'Cálculos'!$D$98)+1400)+'Cálculos'!$D$123)*'Cálculos'!$D$222)+('Cálculos'!$D$213+'Cálculos'!$D$124*(1+2.78*('Cálculos'!$D$196+(($C68)-$A$63:$A$108)*'Cálculos'!$D$98)/(('Cálculos'!$D$196+(($C68)-$A$63:$A$108)*'Cálculos'!$D$98)+1400)+'Cálculos'!$D$122)*'Cálculos'!$D$218+'Cálculos'!$D$125*(1+2.78*('Cálculos'!$D$196+(($C68)-$A$63:$A$108)*'Cálculos'!$D$98)/(('Cálculos'!$D$196+(($C68)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68)-$A$63:$A$108)*'Cálculos'!$D$98)/(('Cálculos'!$D$197+(($C68)-$A$63:$A$108)*'Cálculos'!$D$98)+1400)+'Cálculos'!$D$122)*'Cálculos'!$D$229+'Cálculos'!$D$125*(1+2.78*('Cálculos'!$D$197+(($C68)-$A$63:$A$108)*'Cálculos'!$D$98)/(('Cálculos'!$D$197+(($C68)-$A$63:$A$108)*'Cálculos'!$D$98)+1400)+'Cálculos'!$D$123)*'Cálculos'!$D$234)+('Cálculos'!$D$197+(($C68)-$A$63:$A$108)*'Cálculos'!$D$98)*('Cálculos'!$D$225+'Cálculos'!$D$124*(1+2.78*('Cálculos'!$D$197+(($C68)-$A$63:$A$108)*'Cálculos'!$D$98)/(('Cálculos'!$D$197+(($C68)-$A$63:$A$108)*'Cálculos'!$D$98)+1400)+'Cálculos'!$D$122)*'Cálculos'!$D$230+'Cálculos'!$D$125*(1+2.78*('Cálculos'!$D$197+(($C68)-$A$63:$A$108)*'Cálculos'!$D$98)/(('Cálculos'!$D$197+(($C68)-$A$63:$A$108)*'Cálculos'!$D$98)+1400)+'Cálculos'!$D$123)*'Cálculos'!$D$235)+('Cálculos'!$D$201*(1+'Cálculos'!$D$202+$A$63:$A$108*('Cálculos'!$D$290=2)*'Cálculos'!$D$101)+'Cálculos'!$D$203)*('Cálculos'!$D$226+'Cálculos'!$D$124*(1+2.78*('Cálculos'!$D$197+(($C68)-$A$63:$A$108)*'Cálculos'!$D$98)/(('Cálculos'!$D$197+(($C68)-$A$63:$A$108)*'Cálculos'!$D$98)+1400)+'Cálculos'!$D$122)*'Cálculos'!$D$231+'Cálculos'!$D$125*(1+2.78*('Cálculos'!$D$197+(($C68)-$A$63:$A$108)*'Cálculos'!$D$98)/(('Cálculos'!$D$197+(($C68)-$A$63:$A$108)*'Cálculos'!$D$98)+1400)+'Cálculos'!$D$123)*'Cálculos'!$D$236)+('Cálculos'!$D$204*(1+'Cálculos'!$D$205+$A$63:$A$108*('Cálculos'!$D$290=3)*'Cálculos'!$D$103)+'Cálculos'!$D$206)*('Cálculos'!$D$227+'Cálculos'!$D$124*(1+2.78*('Cálculos'!$D$197+(($C68)-$A$63:$A$108)*'Cálculos'!$D$98)/(('Cálculos'!$D$197+(($C68)-$A$63:$A$108)*'Cálculos'!$D$98)+1400)+'Cálculos'!$D$122)*'Cálculos'!$D$232+'Cálculos'!$D$125*(1+2.78*('Cálculos'!$D$197+(($C68)-$A$63:$A$108)*'Cálculos'!$D$98)/(('Cálculos'!$D$197+(($C68)-$A$63:$A$108)*'Cálculos'!$D$98)+1400)+'Cálculos'!$D$123)*'Cálculos'!$D$237)+('Cálculos'!$D$228+'Cálculos'!$D$124*(1+2.78*('Cálculos'!$D$197+(($C68)-$A$63:$A$108)*'Cálculos'!$D$98)/(('Cálculos'!$D$197+(($C68)-$A$63:$A$108)*'Cálculos'!$D$98)+1400)+'Cálculos'!$D$122)*'Cálculos'!$D$233+'Cálculos'!$D$125*(1+2.78*('Cálculos'!$D$197+(($C68)-$A$63:$A$108)*'Cálculos'!$D$98)/(('Cálculos'!$D$197+(($C68)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68)-$A$63:$A$108)*'Cálculos'!$D$98)/(('Cálculos'!$D$198+(($C68)-$A$63:$A$108)*'Cálculos'!$D$98)+1400)+'Cálculos'!$D$122)*'Cálculos'!$D$244+'Cálculos'!$D$125*(1+2.78*('Cálculos'!$D$198+(($C68)-$A$63:$A$108)*'Cálculos'!$D$98)/(('Cálculos'!$D$198+(($C68)-$A$63:$A$108)*'Cálculos'!$D$98)+1400)+'Cálculos'!$D$123)*'Cálculos'!$D$249)+('Cálculos'!$D$198+(($C68)-$A$63:$A$108)*'Cálculos'!$D$98)*('Cálculos'!$D$240+'Cálculos'!$D$124*(1+2.78*('Cálculos'!$D$198+(($C68)-$A$63:$A$108)*'Cálculos'!$D$98)/(('Cálculos'!$D$198+(($C68)-$A$63:$A$108)*'Cálculos'!$D$98)+1400)+'Cálculos'!$D$122)*'Cálculos'!$D$245+'Cálculos'!$D$125*(1+2.78*('Cálculos'!$D$198+(($C68)-$A$63:$A$108)*'Cálculos'!$D$98)/(('Cálculos'!$D$198+(($C68)-$A$63:$A$108)*'Cálculos'!$D$98)+1400)+'Cálculos'!$D$123)*'Cálculos'!$D$250)+('Cálculos'!$D$201*(1+'Cálculos'!$D$202+$A$63:$A$108*('Cálculos'!$D$290=2)*'Cálculos'!$D$101)+'Cálculos'!$D$203)*('Cálculos'!$D$241+'Cálculos'!$D$124*(1+2.78*('Cálculos'!$D$198+(($C68)-$A$63:$A$108)*'Cálculos'!$D$98)/(('Cálculos'!$D$198+(($C68)-$A$63:$A$108)*'Cálculos'!$D$98)+1400)+'Cálculos'!$D$122)*'Cálculos'!$D$246+'Cálculos'!$D$125*(1+2.78*('Cálculos'!$D$198+(($C68)-$A$63:$A$108)*'Cálculos'!$D$98)/(('Cálculos'!$D$198+(($C68)-$A$63:$A$108)*'Cálculos'!$D$98)+1400)+'Cálculos'!$D$123)*'Cálculos'!$D$251)+('Cálculos'!$D$204*(1+'Cálculos'!$D$205+$A$63:$A$108*('Cálculos'!$D$290=3)*'Cálculos'!$D$103)+'Cálculos'!$D$206)*('Cálculos'!$D$242+'Cálculos'!$D$124*(1+2.78*('Cálculos'!$D$198+(($C68)-$A$63:$A$108)*'Cálculos'!$D$98)/(('Cálculos'!$D$198+(($C68)-$A$63:$A$108)*'Cálculos'!$D$98)+1400)+'Cálculos'!$D$122)*'Cálculos'!$D$247+'Cálculos'!$D$125*(1+2.78*('Cálculos'!$D$198+(($C68)-$A$63:$A$108)*'Cálculos'!$D$98)/(('Cálculos'!$D$198+(($C68)-$A$63:$A$108)*'Cálculos'!$D$98)+1400)+'Cálculos'!$D$123)*'Cálculos'!$D$252)+('Cálculos'!$D$243+'Cálculos'!$D$124*(1+2.78*('Cálculos'!$D$198+(($C68)-$A$63:$A$108)*'Cálculos'!$D$98)/(('Cálculos'!$D$198+(($C68)-$A$63:$A$108)*'Cálculos'!$D$98)+1400)+'Cálculos'!$D$122)*'Cálculos'!$D$248+'Cálculos'!$D$125*(1+2.78*('Cálculos'!$D$198+(($C68)-$A$63:$A$108)*'Cálculos'!$D$98)/(('Cálculos'!$D$198+(($C68)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68)-$A$63:$A$108)*'Cálculos'!$D$98)/(('Cálculos'!$D$199+(($C68)-$A$63:$A$108)*'Cálculos'!$D$98)+1400)+'Cálculos'!$D$122)*'Cálculos'!$D$259+'Cálculos'!$D$125*(1+2.78*('Cálculos'!$D$199+(($C68)-$A$63:$A$108)*'Cálculos'!$D$98)/(('Cálculos'!$D$199+(($C68)-$A$63:$A$108)*'Cálculos'!$D$98)+1400)+'Cálculos'!$D$123)*'Cálculos'!$D$264)+('Cálculos'!$D$199+(($C68)-$A$63:$A$108)*'Cálculos'!$D$98)*('Cálculos'!$D$255+'Cálculos'!$D$124*(1+2.78*('Cálculos'!$D$199+(($C68)-$A$63:$A$108)*'Cálculos'!$D$98)/(('Cálculos'!$D$199+(($C68)-$A$63:$A$108)*'Cálculos'!$D$98)+1400)+'Cálculos'!$D$122)*'Cálculos'!$D$260+'Cálculos'!$D$125*(1+2.78*('Cálculos'!$D$199+(($C68)-$A$63:$A$108)*'Cálculos'!$D$98)/(('Cálculos'!$D$199+(($C68)-$A$63:$A$108)*'Cálculos'!$D$98)+1400)+'Cálculos'!$D$123)*'Cálculos'!$D$265)+('Cálculos'!$D$201*(1+'Cálculos'!$D$202+$A$63:$A$108*('Cálculos'!$D$290=2)*'Cálculos'!$D$101)+'Cálculos'!$D$203)*('Cálculos'!$D$256+'Cálculos'!$D$124*(1+2.78*('Cálculos'!$D$199+(($C68)-$A$63:$A$108)*'Cálculos'!$D$98)/(('Cálculos'!$D$199+(($C68)-$A$63:$A$108)*'Cálculos'!$D$98)+1400)+'Cálculos'!$D$122)*'Cálculos'!$D$261+'Cálculos'!$D$125*(1+2.78*('Cálculos'!$D$199+(($C68)-$A$63:$A$108)*'Cálculos'!$D$98)/(('Cálculos'!$D$199+(($C68)-$A$63:$A$108)*'Cálculos'!$D$98)+1400)+'Cálculos'!$D$123)*'Cálculos'!$D$266)+('Cálculos'!$D$204*(1+'Cálculos'!$D$205+$A$63:$A$108*('Cálculos'!$D$290=3)*'Cálculos'!$D$103)+'Cálculos'!$D$206)*('Cálculos'!$D$257+'Cálculos'!$D$124*(1+2.78*('Cálculos'!$D$199+(($C68)-$A$63:$A$108)*'Cálculos'!$D$98)/(('Cálculos'!$D$199+(($C68)-$A$63:$A$108)*'Cálculos'!$D$98)+1400)+'Cálculos'!$D$122)*'Cálculos'!$D$262+'Cálculos'!$D$125*(1+2.78*('Cálculos'!$D$199+(($C68)-$A$63:$A$108)*'Cálculos'!$D$98)/(('Cálculos'!$D$199+(($C68)-$A$63:$A$108)*'Cálculos'!$D$98)+1400)+'Cálculos'!$D$123)*'Cálculos'!$D$267)+('Cálculos'!$D$258+'Cálculos'!$D$124*(1+2.78*('Cálculos'!$D$199+(($C68)-$A$63:$A$108)*'Cálculos'!$D$98)/(('Cálculos'!$D$199+(($C68)-$A$63:$A$108)*'Cálculos'!$D$98)+1400)+'Cálculos'!$D$122)*'Cálculos'!$D$263+'Cálculos'!$D$125*(1+2.78*('Cálculos'!$D$199+(($C68)-$A$63:$A$108)*'Cálculos'!$D$98)/(('Cálculos'!$D$199+(($C68)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68)-$A$63:$A$108)*'Cálculos'!$D$98)/(('Cálculos'!$D$200+(($C68)-$A$63:$A$108)*'Cálculos'!$D$98)+1400)+'Cálculos'!$D$122)*'Cálculos'!$D$274+'Cálculos'!$D$125*(1+2.78*('Cálculos'!$D$200+(($C68)-$A$63:$A$108)*'Cálculos'!$D$98)/(('Cálculos'!$D$200+(($C68)-$A$63:$A$108)*'Cálculos'!$D$98)+1400)+'Cálculos'!$D$123)*'Cálculos'!$D$279)+('Cálculos'!$D$200+(($C68)-$A$63:$A$108)*'Cálculos'!$D$98)*('Cálculos'!$D$270+'Cálculos'!$D$124*(1+2.78*('Cálculos'!$D$200+(($C68)-$A$63:$A$108)*'Cálculos'!$D$98)/(('Cálculos'!$D$200+(($C68)-$A$63:$A$108)*'Cálculos'!$D$98)+1400)+'Cálculos'!$D$122)*'Cálculos'!$D$275+'Cálculos'!$D$125*(1+2.78*('Cálculos'!$D$200+(($C68)-$A$63:$A$108)*'Cálculos'!$D$98)/(('Cálculos'!$D$200+(($C68)-$A$63:$A$108)*'Cálculos'!$D$98)+1400)+'Cálculos'!$D$123)*'Cálculos'!$D$280)+('Cálculos'!$D$201*(1+'Cálculos'!$D$202+$A$63:$A$108*('Cálculos'!$D$290=2)*'Cálculos'!$D$101)+'Cálculos'!$D$203)*('Cálculos'!$D$271+'Cálculos'!$D$124*(1+2.78*('Cálculos'!$D$200+(($C68)-$A$63:$A$108)*'Cálculos'!$D$98)/(('Cálculos'!$D$200+(($C68)-$A$63:$A$108)*'Cálculos'!$D$98)+1400)+'Cálculos'!$D$122)*'Cálculos'!$D$276+'Cálculos'!$D$125*(1+2.78*('Cálculos'!$D$200+(($C68)-$A$63:$A$108)*'Cálculos'!$D$98)/(('Cálculos'!$D$200+(($C68)-$A$63:$A$108)*'Cálculos'!$D$98)+1400)+'Cálculos'!$D$123)*'Cálculos'!$D$281)+('Cálculos'!$D$204*(1+'Cálculos'!$D$205+$A$63:$A$108*('Cálculos'!$D$290=3)*'Cálculos'!$D$103)+'Cálculos'!$D$206)*('Cálculos'!$D$272+'Cálculos'!$D$124*(1+2.78*('Cálculos'!$D$200+(($C68)-$A$63:$A$108)*'Cálculos'!$D$98)/(('Cálculos'!$D$200+(($C68)-$A$63:$A$108)*'Cálculos'!$D$98)+1400)+'Cálculos'!$D$122)*'Cálculos'!$D$277+'Cálculos'!$D$125*(1+2.78*('Cálculos'!$D$200+(($C68)-$A$63:$A$108)*'Cálculos'!$D$98)/(('Cálculos'!$D$200+(($C68)-$A$63:$A$108)*'Cálculos'!$D$98)+1400)+'Cálculos'!$D$123)*'Cálculos'!$D$282)+('Cálculos'!$D$273+'Cálculos'!$D$124*(1+2.78*('Cálculos'!$D$200+(($C68)-$A$63:$A$108)*'Cálculos'!$D$98)/(('Cálculos'!$D$200+(($C68)-$A$63:$A$108)*'Cálculos'!$D$98)+1400)+'Cálculos'!$D$122)*'Cálculos'!$D$278+'Cálculos'!$D$125*(1+2.78*('Cálculos'!$D$200+(($C68)-$A$63:$A$108)*'Cálculos'!$D$98)/(('Cálculos'!$D$200+(($C68)-$A$63:$A$108)*'Cálculos'!$D$98)+1400)+'Cálculos'!$D$123)*'Cálculos'!$D$283)))))</f>
        <v>76785.62686</v>
      </c>
      <c r="E68" s="32">
        <f>IF(OR($C68&lt;0,'Cálculos'!$D$6=""),0,$B68*$D68)</f>
        <v>100397.764</v>
      </c>
      <c r="F68" s="2"/>
      <c r="G68" s="30">
        <f>($A68&lt;=$B$110)*($A68&lt;='Cálculos'!$D$294)*(($B$110)-$A68&lt;='Cálculos'!$D$295)*(1+MIN(('Cálculos'!$D$207+$A68*'Cálculos'!$D$95),1)*('Cálculos'!$D$208+(($B$110)-$A68)*'Cálculos'!$D$96))</f>
        <v>1.453510621</v>
      </c>
      <c r="H68" s="31">
        <f>IF($B$111&lt;0,0,($A68&lt;=$B$111)*($A68&lt;='Cálculos'!$D$301)*(($B$111)-$A68&lt;='Cálculos'!$D$297)*(('Cálculos'!$D$185*(1+'Cálculos'!$D$186+$A68*('Cálculos'!$D$290=1)*'Cálculos'!$D$97+'Cálculos'!$D$305)+'Cálculos'!$D$191)*('Cálculos'!$D$209+'Cálculos'!$D$124*(1+2.78*('Cálculos'!$D$196+(($B$111)-$A68)*'Cálculos'!$D$98)/(('Cálculos'!$D$196+(($B$111)-$A68)*'Cálculos'!$D$98)+1400)+'Cálculos'!$D$122)*'Cálculos'!$D$214+'Cálculos'!$D$125*(1+2.78*('Cálculos'!$D$196+(($B$111)-$A68)*'Cálculos'!$D$98)/(('Cálculos'!$D$196+(($B$111)-$A68)*'Cálculos'!$D$98)+1400)+'Cálculos'!$D$123)*'Cálculos'!$D$219)+('Cálculos'!$D$196+(($B$111)-$A68)*'Cálculos'!$D$98)*('Cálculos'!$D$210+'Cálculos'!$D$124*(1+2.78*('Cálculos'!$D$196+(($B$111)-$A68)*'Cálculos'!$D$98)/(('Cálculos'!$D$196+(($B$111)-$A68)*'Cálculos'!$D$98)+1400)+'Cálculos'!$D$122)*'Cálculos'!$D$215+'Cálculos'!$D$125*(1+2.78*('Cálculos'!$D$196+(($B$111)-$A68)*'Cálculos'!$D$98)/(('Cálculos'!$D$196+(($B$111)-$A68)*'Cálculos'!$D$98)+1400)+'Cálculos'!$D$123)*'Cálculos'!$D$220)+('Cálculos'!$D$201*(1+'Cálculos'!$D$202+$A68*('Cálculos'!$D$290=2)*'Cálculos'!$D$101)+'Cálculos'!$D$203)*('Cálculos'!$D$211+'Cálculos'!$D$124*(1+2.78*('Cálculos'!$D$196+(($B$111)-$A68)*'Cálculos'!$D$98)/(('Cálculos'!$D$196+(($B$111)-$A68)*'Cálculos'!$D$98)+1400)+'Cálculos'!$D$122)*'Cálculos'!$D$216+'Cálculos'!$D$125*(1+2.78*('Cálculos'!$D$196+(($B$111)-$A68)*'Cálculos'!$D$98)/(('Cálculos'!$D$196+(($B$111)-$A68)*'Cálculos'!$D$98)+1400)+'Cálculos'!$D$123)*'Cálculos'!$D$221)+('Cálculos'!$D$204*(1+'Cálculos'!$D$205+$A68*('Cálculos'!$D$290=3)*'Cálculos'!$D$103)+'Cálculos'!$D$206)*('Cálculos'!$D$212+'Cálculos'!$D$124*(1+2.78*('Cálculos'!$D$196+(($B$111)-$A68)*'Cálculos'!$D$98)/(('Cálculos'!$D$196+(($B$111)-$A68)*'Cálculos'!$D$98)+1400)+'Cálculos'!$D$122)*'Cálculos'!$D$217+'Cálculos'!$D$125*(1+2.78*('Cálculos'!$D$196+(($B$111)-$A68)*'Cálculos'!$D$98)/(('Cálculos'!$D$196+(($B$111)-$A68)*'Cálculos'!$D$98)+1400)+'Cálculos'!$D$123)*'Cálculos'!$D$222)+('Cálculos'!$D$213+'Cálculos'!$D$124*(1+2.78*('Cálculos'!$D$196+(($B$111)-$A68)*'Cálculos'!$D$98)/(('Cálculos'!$D$196+(($B$111)-$A68)*'Cálculos'!$D$98)+1400)+'Cálculos'!$D$122)*'Cálculos'!$D$218+'Cálculos'!$D$125*(1+2.78*('Cálculos'!$D$196+(($B$111)-$A68)*'Cálculos'!$D$98)/(('Cálculos'!$D$196+(($B$111)-$A68)*'Cálculos'!$D$98)+1400)+'Cálculos'!$D$123)*'Cálculos'!$D$223)+('Cálculos'!$D$185*(1+'Cálculos'!$D$187+$A68*('Cálculos'!$D$290=1)*'Cálculos'!$D$97+'Cálculos'!$D$305)+'Cálculos'!$D$192)*('Cálculos'!$D$224+'Cálculos'!$D$124*(1+2.78*('Cálculos'!$D$197+(($B$111)-$A68)*'Cálculos'!$D$98)/(('Cálculos'!$D$197+(($B$111)-$A68)*'Cálculos'!$D$98)+1400)+'Cálculos'!$D$122)*'Cálculos'!$D$229+'Cálculos'!$D$125*(1+2.78*('Cálculos'!$D$197+(($B$111)-$A68)*'Cálculos'!$D$98)/(('Cálculos'!$D$197+(($B$111)-$A68)*'Cálculos'!$D$98)+1400)+'Cálculos'!$D$123)*'Cálculos'!$D$234)+('Cálculos'!$D$197+(($B$111)-$A68)*'Cálculos'!$D$98)*('Cálculos'!$D$225+'Cálculos'!$D$124*(1+2.78*('Cálculos'!$D$197+(($B$111)-$A68)*'Cálculos'!$D$98)/(('Cálculos'!$D$197+(($B$111)-$A68)*'Cálculos'!$D$98)+1400)+'Cálculos'!$D$122)*'Cálculos'!$D$230+'Cálculos'!$D$125*(1+2.78*('Cálculos'!$D$197+(($B$111)-$A68)*'Cálculos'!$D$98)/(('Cálculos'!$D$197+(($B$111)-$A68)*'Cálculos'!$D$98)+1400)+'Cálculos'!$D$123)*'Cálculos'!$D$235)+('Cálculos'!$D$201*(1+'Cálculos'!$D$202+$A68*('Cálculos'!$D$290=2)*'Cálculos'!$D$101)+'Cálculos'!$D$203)*('Cálculos'!$D$226+'Cálculos'!$D$124*(1+2.78*('Cálculos'!$D$197+(($B$111)-$A68)*'Cálculos'!$D$98)/(('Cálculos'!$D$197+(($B$111)-$A68)*'Cálculos'!$D$98)+1400)+'Cálculos'!$D$122)*'Cálculos'!$D$231+'Cálculos'!$D$125*(1+2.78*('Cálculos'!$D$197+(($B$111)-$A68)*'Cálculos'!$D$98)/(('Cálculos'!$D$197+(($B$111)-$A68)*'Cálculos'!$D$98)+1400)+'Cálculos'!$D$123)*'Cálculos'!$D$236)+('Cálculos'!$D$204*(1+'Cálculos'!$D$205+$A68*('Cálculos'!$D$290=3)*'Cálculos'!$D$103)+'Cálculos'!$D$206)*('Cálculos'!$D$227+'Cálculos'!$D$124*(1+2.78*('Cálculos'!$D$197+(($B$111)-$A68)*'Cálculos'!$D$98)/(('Cálculos'!$D$197+(($B$111)-$A68)*'Cálculos'!$D$98)+1400)+'Cálculos'!$D$122)*'Cálculos'!$D$232+'Cálculos'!$D$125*(1+2.78*('Cálculos'!$D$197+(($B$111)-$A68)*'Cálculos'!$D$98)/(('Cálculos'!$D$197+(($B$111)-$A68)*'Cálculos'!$D$98)+1400)+'Cálculos'!$D$123)*'Cálculos'!$D$237)+('Cálculos'!$D$228+'Cálculos'!$D$124*(1+2.78*('Cálculos'!$D$197+(($B$111)-$A68)*'Cálculos'!$D$98)/(('Cálculos'!$D$197+(($B$111)-$A68)*'Cálculos'!$D$98)+1400)+'Cálculos'!$D$122)*'Cálculos'!$D$233+'Cálculos'!$D$125*(1+2.78*('Cálculos'!$D$197+(($B$111)-$A68)*'Cálculos'!$D$98)/(('Cálculos'!$D$197+(($B$111)-$A68)*'Cálculos'!$D$98)+1400)+'Cálculos'!$D$123)*'Cálculos'!$D$238)+('Cálculos'!$D$185*(1+'Cálculos'!$D$188+$A68*('Cálculos'!$D$290=1)*'Cálculos'!$D$97+'Cálculos'!$D$305)+'Cálculos'!$D$193)*('Cálculos'!$D$239+'Cálculos'!$D$124*(1+2.78*('Cálculos'!$D$198+(($B$111)-$A68)*'Cálculos'!$D$98)/(('Cálculos'!$D$198+(($B$111)-$A68)*'Cálculos'!$D$98)+1400)+'Cálculos'!$D$122)*'Cálculos'!$D$244+'Cálculos'!$D$125*(1+2.78*('Cálculos'!$D$198+(($B$111)-$A68)*'Cálculos'!$D$98)/(('Cálculos'!$D$198+(($B$111)-$A68)*'Cálculos'!$D$98)+1400)+'Cálculos'!$D$123)*'Cálculos'!$D$249)+('Cálculos'!$D$198+(($B$111)-$A68)*'Cálculos'!$D$98)*('Cálculos'!$D$240+'Cálculos'!$D$124*(1+2.78*('Cálculos'!$D$198+(($B$111)-$A68)*'Cálculos'!$D$98)/(('Cálculos'!$D$198+(($B$111)-$A68)*'Cálculos'!$D$98)+1400)+'Cálculos'!$D$122)*'Cálculos'!$D$245+'Cálculos'!$D$125*(1+2.78*('Cálculos'!$D$198+(($B$111)-$A68)*'Cálculos'!$D$98)/(('Cálculos'!$D$198+(($B$111)-$A68)*'Cálculos'!$D$98)+1400)+'Cálculos'!$D$123)*'Cálculos'!$D$250)+('Cálculos'!$D$201*(1+'Cálculos'!$D$202+$A68*('Cálculos'!$D$290=2)*'Cálculos'!$D$101)+'Cálculos'!$D$203)*('Cálculos'!$D$241+'Cálculos'!$D$124*(1+2.78*('Cálculos'!$D$198+(($B$111)-$A68)*'Cálculos'!$D$98)/(('Cálculos'!$D$198+(($B$111)-$A68)*'Cálculos'!$D$98)+1400)+'Cálculos'!$D$122)*'Cálculos'!$D$246+'Cálculos'!$D$125*(1+2.78*('Cálculos'!$D$198+(($B$111)-$A68)*'Cálculos'!$D$98)/(('Cálculos'!$D$198+(($B$111)-$A68)*'Cálculos'!$D$98)+1400)+'Cálculos'!$D$123)*'Cálculos'!$D$251)+('Cálculos'!$D$204*(1+'Cálculos'!$D$205+$A68*('Cálculos'!$D$290=3)*'Cálculos'!$D$103)+'Cálculos'!$D$206)*('Cálculos'!$D$242+'Cálculos'!$D$124*(1+2.78*('Cálculos'!$D$198+(($B$111)-$A68)*'Cálculos'!$D$98)/(('Cálculos'!$D$198+(($B$111)-$A68)*'Cálculos'!$D$98)+1400)+'Cálculos'!$D$122)*'Cálculos'!$D$247+'Cálculos'!$D$125*(1+2.78*('Cálculos'!$D$198+(($B$111)-$A68)*'Cálculos'!$D$98)/(('Cálculos'!$D$198+(($B$111)-$A68)*'Cálculos'!$D$98)+1400)+'Cálculos'!$D$123)*'Cálculos'!$D$252)+('Cálculos'!$D$243+'Cálculos'!$D$124*(1+2.78*('Cálculos'!$D$198+(($B$111)-$A68)*'Cálculos'!$D$98)/(('Cálculos'!$D$198+(($B$111)-$A68)*'Cálculos'!$D$98)+1400)+'Cálculos'!$D$122)*'Cálculos'!$D$248+'Cálculos'!$D$125*(1+2.78*('Cálculos'!$D$198+(($B$111)-$A68)*'Cálculos'!$D$98)/(('Cálculos'!$D$198+(($B$111)-$A68)*'Cálculos'!$D$98)+1400)+'Cálculos'!$D$123)*'Cálculos'!$D$253)+('Cálculos'!$D$185*(1+'Cálculos'!$D$189+$A68*('Cálculos'!$D$290=1)*'Cálculos'!$D$97+'Cálculos'!$D$305)+'Cálculos'!$D$194)*('Cálculos'!$D$254+'Cálculos'!$D$124*(1+2.78*('Cálculos'!$D$199+(($B$111)-$A68)*'Cálculos'!$D$98)/(('Cálculos'!$D$199+(($B$111)-$A68)*'Cálculos'!$D$98)+1400)+'Cálculos'!$D$122)*'Cálculos'!$D$259+'Cálculos'!$D$125*(1+2.78*('Cálculos'!$D$199+(($B$111)-$A68)*'Cálculos'!$D$98)/(('Cálculos'!$D$199+(($B$111)-$A68)*'Cálculos'!$D$98)+1400)+'Cálculos'!$D$123)*'Cálculos'!$D$264)+('Cálculos'!$D$199+(($B$111)-$A68)*'Cálculos'!$D$98)*('Cálculos'!$D$255+'Cálculos'!$D$124*(1+2.78*('Cálculos'!$D$199+(($B$111)-$A68)*'Cálculos'!$D$98)/(('Cálculos'!$D$199+(($B$111)-$A68)*'Cálculos'!$D$98)+1400)+'Cálculos'!$D$122)*'Cálculos'!$D$260+'Cálculos'!$D$125*(1+2.78*('Cálculos'!$D$199+(($B$111)-$A68)*'Cálculos'!$D$98)/(('Cálculos'!$D$199+(($B$111)-$A68)*'Cálculos'!$D$98)+1400)+'Cálculos'!$D$123)*'Cálculos'!$D$265)+('Cálculos'!$D$201*(1+'Cálculos'!$D$202+$A68*('Cálculos'!$D$290=2)*'Cálculos'!$D$101)+'Cálculos'!$D$203)*('Cálculos'!$D$256+'Cálculos'!$D$124*(1+2.78*('Cálculos'!$D$199+(($B$111)-$A68)*'Cálculos'!$D$98)/(('Cálculos'!$D$199+(($B$111)-$A68)*'Cálculos'!$D$98)+1400)+'Cálculos'!$D$122)*'Cálculos'!$D$261+'Cálculos'!$D$125*(1+2.78*('Cálculos'!$D$199+(($B$111)-$A68)*'Cálculos'!$D$98)/(('Cálculos'!$D$199+(($B$111)-$A68)*'Cálculos'!$D$98)+1400)+'Cálculos'!$D$123)*'Cálculos'!$D$266)+('Cálculos'!$D$204*(1+'Cálculos'!$D$205+$A68*('Cálculos'!$D$290=3)*'Cálculos'!$D$103)+'Cálculos'!$D$206)*('Cálculos'!$D$257+'Cálculos'!$D$124*(1+2.78*('Cálculos'!$D$199+(($B$111)-$A68)*'Cálculos'!$D$98)/(('Cálculos'!$D$199+(($B$111)-$A68)*'Cálculos'!$D$98)+1400)+'Cálculos'!$D$122)*'Cálculos'!$D$262+'Cálculos'!$D$125*(1+2.78*('Cálculos'!$D$199+(($B$111)-$A68)*'Cálculos'!$D$98)/(('Cálculos'!$D$199+(($B$111)-$A68)*'Cálculos'!$D$98)+1400)+'Cálculos'!$D$123)*'Cálculos'!$D$267)+('Cálculos'!$D$258+'Cálculos'!$D$124*(1+2.78*('Cálculos'!$D$199+(($B$111)-$A68)*'Cálculos'!$D$98)/(('Cálculos'!$D$199+(($B$111)-$A68)*'Cálculos'!$D$98)+1400)+'Cálculos'!$D$122)*'Cálculos'!$D$263+'Cálculos'!$D$125*(1+2.78*('Cálculos'!$D$199+(($B$111)-$A68)*'Cálculos'!$D$98)/(('Cálculos'!$D$199+(($B$111)-$A68)*'Cálculos'!$D$98)+1400)+'Cálculos'!$D$123)*'Cálculos'!$D$268)+('Cálculos'!$D$185*(1+'Cálculos'!$D$190+$A68*('Cálculos'!$D$290=1)*'Cálculos'!$D$97+'Cálculos'!$D$305)+'Cálculos'!$D$195)*('Cálculos'!$D$269+'Cálculos'!$D$124*(1+2.78*('Cálculos'!$D$200+(($B$111)-$A68)*'Cálculos'!$D$98)/(('Cálculos'!$D$200+(($B$111)-$A68)*'Cálculos'!$D$98)+1400)+'Cálculos'!$D$122)*'Cálculos'!$D$274+'Cálculos'!$D$125*(1+2.78*('Cálculos'!$D$200+(($B$111)-$A68)*'Cálculos'!$D$98)/(('Cálculos'!$D$200+(($B$111)-$A68)*'Cálculos'!$D$98)+1400)+'Cálculos'!$D$123)*'Cálculos'!$D$279)+('Cálculos'!$D$200+(($B$111)-$A68)*'Cálculos'!$D$98)*('Cálculos'!$D$270+'Cálculos'!$D$124*(1+2.78*('Cálculos'!$D$200+(($B$111)-$A68)*'Cálculos'!$D$98)/(('Cálculos'!$D$200+(($B$111)-$A68)*'Cálculos'!$D$98)+1400)+'Cálculos'!$D$122)*'Cálculos'!$D$275+'Cálculos'!$D$125*(1+2.78*('Cálculos'!$D$200+(($B$111)-$A68)*'Cálculos'!$D$98)/(('Cálculos'!$D$200+(($B$111)-$A68)*'Cálculos'!$D$98)+1400)+'Cálculos'!$D$123)*'Cálculos'!$D$280)+('Cálculos'!$D$201*(1+'Cálculos'!$D$202+$A68*('Cálculos'!$D$290=2)*'Cálculos'!$D$101)+'Cálculos'!$D$203)*('Cálculos'!$D$271+'Cálculos'!$D$124*(1+2.78*('Cálculos'!$D$200+(($B$111)-$A68)*'Cálculos'!$D$98)/(('Cálculos'!$D$200+(($B$111)-$A68)*'Cálculos'!$D$98)+1400)+'Cálculos'!$D$122)*'Cálculos'!$D$276+'Cálculos'!$D$125*(1+2.78*('Cálculos'!$D$200+(($B$111)-$A68)*'Cálculos'!$D$98)/(('Cálculos'!$D$200+(($B$111)-$A68)*'Cálculos'!$D$98)+1400)+'Cálculos'!$D$123)*'Cálculos'!$D$281)+('Cálculos'!$D$204*(1+'Cálculos'!$D$205+$A68*('Cálculos'!$D$290=3)*'Cálculos'!$D$103)+'Cálculos'!$D$206)*('Cálculos'!$D$272+'Cálculos'!$D$124*(1+2.78*('Cálculos'!$D$200+(($B$111)-$A68)*'Cálculos'!$D$98)/(('Cálculos'!$D$200+(($B$111)-$A68)*'Cálculos'!$D$98)+1400)+'Cálculos'!$D$122)*'Cálculos'!$D$277+'Cálculos'!$D$125*(1+2.78*('Cálculos'!$D$200+(($B$111)-$A68)*'Cálculos'!$D$98)/(('Cálculos'!$D$200+(($B$111)-$A68)*'Cálculos'!$D$98)+1400)+'Cálculos'!$D$123)*'Cálculos'!$D$282)+('Cálculos'!$D$273+'Cálculos'!$D$124*(1+2.78*('Cálculos'!$D$200+(($B$111)-$A68)*'Cálculos'!$D$98)/(('Cálculos'!$D$200+(($B$111)-$A68)*'Cálculos'!$D$98)+1400)+'Cálculos'!$D$122)*'Cálculos'!$D$278+'Cálculos'!$D$125*(1+2.78*('Cálculos'!$D$200+(($B$111)-$A68)*'Cálculos'!$D$98)/(('Cálculos'!$D$200+(($B$111)-$A68)*'Cálculos'!$D$98)+1400)+'Cálculos'!$D$123)*'Cálculos'!$D$283)))</f>
        <v>0</v>
      </c>
    </row>
    <row r="69" ht="15.75" customHeight="1">
      <c r="A69" s="2">
        <v>6.0</v>
      </c>
      <c r="B69" s="30">
        <f>SUMPRODUCT(MAX(($A$63:$A$108&lt;=$A69)*($A$63:$A$108&lt;='Cálculos'!$D$294)*(($A69)-$A$63:$A$108&lt;='Cálculos'!$D$295)*(1+(('Cálculos'!$D$207+$A$63:$A$108*'Cálculos'!$D$95)-(('Cálculos'!$D$207+$A$63:$A$108*'Cálculos'!$D$95)&gt;1)*(('Cálculos'!$D$207+$A$63:$A$108*'Cálculos'!$D$95)-1))*('Cálculos'!$D$208+(($A69)-$A$63:$A$108)*'Cálculos'!$D$96))))</f>
        <v>1.329606541</v>
      </c>
      <c r="C69" s="2">
        <f>'Cálculos'!$D$303-$A69</f>
        <v>5</v>
      </c>
      <c r="D69" s="31">
        <f>IF($C69&lt;0,0,SUMPRODUCT(MAX(($A$63:$A$108&lt;=$C69)*($A$63:$A$108&lt;='Cálculos'!$D$301)*(($C69)-$A$63:$A$108&lt;='Cálculos'!$D$297)*(('Cálculos'!$D$185*(1+'Cálculos'!$D$186+$A$63:$A$108*('Cálculos'!$D$290=1)*'Cálculos'!$D$97+'Cálculos'!$D$305)+'Cálculos'!$D$191)*('Cálculos'!$D$209+'Cálculos'!$D$124*(1+2.78*('Cálculos'!$D$196+(($C69)-$A$63:$A$108)*'Cálculos'!$D$98)/(('Cálculos'!$D$196+(($C69)-$A$63:$A$108)*'Cálculos'!$D$98)+1400)+'Cálculos'!$D$122)*'Cálculos'!$D$214+'Cálculos'!$D$125*(1+2.78*('Cálculos'!$D$196+(($C69)-$A$63:$A$108)*'Cálculos'!$D$98)/(('Cálculos'!$D$196+(($C69)-$A$63:$A$108)*'Cálculos'!$D$98)+1400)+'Cálculos'!$D$123)*'Cálculos'!$D$219)+('Cálculos'!$D$196+(($C69)-$A$63:$A$108)*'Cálculos'!$D$98)*('Cálculos'!$D$210+'Cálculos'!$D$124*(1+2.78*('Cálculos'!$D$196+(($C69)-$A$63:$A$108)*'Cálculos'!$D$98)/(('Cálculos'!$D$196+(($C69)-$A$63:$A$108)*'Cálculos'!$D$98)+1400)+'Cálculos'!$D$122)*'Cálculos'!$D$215+'Cálculos'!$D$125*(1+2.78*('Cálculos'!$D$196+(($C69)-$A$63:$A$108)*'Cálculos'!$D$98)/(('Cálculos'!$D$196+(($C69)-$A$63:$A$108)*'Cálculos'!$D$98)+1400)+'Cálculos'!$D$123)*'Cálculos'!$D$220)+('Cálculos'!$D$201*(1+'Cálculos'!$D$202+$A$63:$A$108*('Cálculos'!$D$290=2)*'Cálculos'!$D$101)+'Cálculos'!$D$203)*('Cálculos'!$D$211+'Cálculos'!$D$124*(1+2.78*('Cálculos'!$D$196+(($C69)-$A$63:$A$108)*'Cálculos'!$D$98)/(('Cálculos'!$D$196+(($C69)-$A$63:$A$108)*'Cálculos'!$D$98)+1400)+'Cálculos'!$D$122)*'Cálculos'!$D$216+'Cálculos'!$D$125*(1+2.78*('Cálculos'!$D$196+(($C69)-$A$63:$A$108)*'Cálculos'!$D$98)/(('Cálculos'!$D$196+(($C69)-$A$63:$A$108)*'Cálculos'!$D$98)+1400)+'Cálculos'!$D$123)*'Cálculos'!$D$221)+('Cálculos'!$D$204*(1+'Cálculos'!$D$205+$A$63:$A$108*('Cálculos'!$D$290=3)*'Cálculos'!$D$103)+'Cálculos'!$D$206)*('Cálculos'!$D$212+'Cálculos'!$D$124*(1+2.78*('Cálculos'!$D$196+(($C69)-$A$63:$A$108)*'Cálculos'!$D$98)/(('Cálculos'!$D$196+(($C69)-$A$63:$A$108)*'Cálculos'!$D$98)+1400)+'Cálculos'!$D$122)*'Cálculos'!$D$217+'Cálculos'!$D$125*(1+2.78*('Cálculos'!$D$196+(($C69)-$A$63:$A$108)*'Cálculos'!$D$98)/(('Cálculos'!$D$196+(($C69)-$A$63:$A$108)*'Cálculos'!$D$98)+1400)+'Cálculos'!$D$123)*'Cálculos'!$D$222)+('Cálculos'!$D$213+'Cálculos'!$D$124*(1+2.78*('Cálculos'!$D$196+(($C69)-$A$63:$A$108)*'Cálculos'!$D$98)/(('Cálculos'!$D$196+(($C69)-$A$63:$A$108)*'Cálculos'!$D$98)+1400)+'Cálculos'!$D$122)*'Cálculos'!$D$218+'Cálculos'!$D$125*(1+2.78*('Cálculos'!$D$196+(($C69)-$A$63:$A$108)*'Cálculos'!$D$98)/(('Cálculos'!$D$196+(($C69)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69)-$A$63:$A$108)*'Cálculos'!$D$98)/(('Cálculos'!$D$197+(($C69)-$A$63:$A$108)*'Cálculos'!$D$98)+1400)+'Cálculos'!$D$122)*'Cálculos'!$D$229+'Cálculos'!$D$125*(1+2.78*('Cálculos'!$D$197+(($C69)-$A$63:$A$108)*'Cálculos'!$D$98)/(('Cálculos'!$D$197+(($C69)-$A$63:$A$108)*'Cálculos'!$D$98)+1400)+'Cálculos'!$D$123)*'Cálculos'!$D$234)+('Cálculos'!$D$197+(($C69)-$A$63:$A$108)*'Cálculos'!$D$98)*('Cálculos'!$D$225+'Cálculos'!$D$124*(1+2.78*('Cálculos'!$D$197+(($C69)-$A$63:$A$108)*'Cálculos'!$D$98)/(('Cálculos'!$D$197+(($C69)-$A$63:$A$108)*'Cálculos'!$D$98)+1400)+'Cálculos'!$D$122)*'Cálculos'!$D$230+'Cálculos'!$D$125*(1+2.78*('Cálculos'!$D$197+(($C69)-$A$63:$A$108)*'Cálculos'!$D$98)/(('Cálculos'!$D$197+(($C69)-$A$63:$A$108)*'Cálculos'!$D$98)+1400)+'Cálculos'!$D$123)*'Cálculos'!$D$235)+('Cálculos'!$D$201*(1+'Cálculos'!$D$202+$A$63:$A$108*('Cálculos'!$D$290=2)*'Cálculos'!$D$101)+'Cálculos'!$D$203)*('Cálculos'!$D$226+'Cálculos'!$D$124*(1+2.78*('Cálculos'!$D$197+(($C69)-$A$63:$A$108)*'Cálculos'!$D$98)/(('Cálculos'!$D$197+(($C69)-$A$63:$A$108)*'Cálculos'!$D$98)+1400)+'Cálculos'!$D$122)*'Cálculos'!$D$231+'Cálculos'!$D$125*(1+2.78*('Cálculos'!$D$197+(($C69)-$A$63:$A$108)*'Cálculos'!$D$98)/(('Cálculos'!$D$197+(($C69)-$A$63:$A$108)*'Cálculos'!$D$98)+1400)+'Cálculos'!$D$123)*'Cálculos'!$D$236)+('Cálculos'!$D$204*(1+'Cálculos'!$D$205+$A$63:$A$108*('Cálculos'!$D$290=3)*'Cálculos'!$D$103)+'Cálculos'!$D$206)*('Cálculos'!$D$227+'Cálculos'!$D$124*(1+2.78*('Cálculos'!$D$197+(($C69)-$A$63:$A$108)*'Cálculos'!$D$98)/(('Cálculos'!$D$197+(($C69)-$A$63:$A$108)*'Cálculos'!$D$98)+1400)+'Cálculos'!$D$122)*'Cálculos'!$D$232+'Cálculos'!$D$125*(1+2.78*('Cálculos'!$D$197+(($C69)-$A$63:$A$108)*'Cálculos'!$D$98)/(('Cálculos'!$D$197+(($C69)-$A$63:$A$108)*'Cálculos'!$D$98)+1400)+'Cálculos'!$D$123)*'Cálculos'!$D$237)+('Cálculos'!$D$228+'Cálculos'!$D$124*(1+2.78*('Cálculos'!$D$197+(($C69)-$A$63:$A$108)*'Cálculos'!$D$98)/(('Cálculos'!$D$197+(($C69)-$A$63:$A$108)*'Cálculos'!$D$98)+1400)+'Cálculos'!$D$122)*'Cálculos'!$D$233+'Cálculos'!$D$125*(1+2.78*('Cálculos'!$D$197+(($C69)-$A$63:$A$108)*'Cálculos'!$D$98)/(('Cálculos'!$D$197+(($C69)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69)-$A$63:$A$108)*'Cálculos'!$D$98)/(('Cálculos'!$D$198+(($C69)-$A$63:$A$108)*'Cálculos'!$D$98)+1400)+'Cálculos'!$D$122)*'Cálculos'!$D$244+'Cálculos'!$D$125*(1+2.78*('Cálculos'!$D$198+(($C69)-$A$63:$A$108)*'Cálculos'!$D$98)/(('Cálculos'!$D$198+(($C69)-$A$63:$A$108)*'Cálculos'!$D$98)+1400)+'Cálculos'!$D$123)*'Cálculos'!$D$249)+('Cálculos'!$D$198+(($C69)-$A$63:$A$108)*'Cálculos'!$D$98)*('Cálculos'!$D$240+'Cálculos'!$D$124*(1+2.78*('Cálculos'!$D$198+(($C69)-$A$63:$A$108)*'Cálculos'!$D$98)/(('Cálculos'!$D$198+(($C69)-$A$63:$A$108)*'Cálculos'!$D$98)+1400)+'Cálculos'!$D$122)*'Cálculos'!$D$245+'Cálculos'!$D$125*(1+2.78*('Cálculos'!$D$198+(($C69)-$A$63:$A$108)*'Cálculos'!$D$98)/(('Cálculos'!$D$198+(($C69)-$A$63:$A$108)*'Cálculos'!$D$98)+1400)+'Cálculos'!$D$123)*'Cálculos'!$D$250)+('Cálculos'!$D$201*(1+'Cálculos'!$D$202+$A$63:$A$108*('Cálculos'!$D$290=2)*'Cálculos'!$D$101)+'Cálculos'!$D$203)*('Cálculos'!$D$241+'Cálculos'!$D$124*(1+2.78*('Cálculos'!$D$198+(($C69)-$A$63:$A$108)*'Cálculos'!$D$98)/(('Cálculos'!$D$198+(($C69)-$A$63:$A$108)*'Cálculos'!$D$98)+1400)+'Cálculos'!$D$122)*'Cálculos'!$D$246+'Cálculos'!$D$125*(1+2.78*('Cálculos'!$D$198+(($C69)-$A$63:$A$108)*'Cálculos'!$D$98)/(('Cálculos'!$D$198+(($C69)-$A$63:$A$108)*'Cálculos'!$D$98)+1400)+'Cálculos'!$D$123)*'Cálculos'!$D$251)+('Cálculos'!$D$204*(1+'Cálculos'!$D$205+$A$63:$A$108*('Cálculos'!$D$290=3)*'Cálculos'!$D$103)+'Cálculos'!$D$206)*('Cálculos'!$D$242+'Cálculos'!$D$124*(1+2.78*('Cálculos'!$D$198+(($C69)-$A$63:$A$108)*'Cálculos'!$D$98)/(('Cálculos'!$D$198+(($C69)-$A$63:$A$108)*'Cálculos'!$D$98)+1400)+'Cálculos'!$D$122)*'Cálculos'!$D$247+'Cálculos'!$D$125*(1+2.78*('Cálculos'!$D$198+(($C69)-$A$63:$A$108)*'Cálculos'!$D$98)/(('Cálculos'!$D$198+(($C69)-$A$63:$A$108)*'Cálculos'!$D$98)+1400)+'Cálculos'!$D$123)*'Cálculos'!$D$252)+('Cálculos'!$D$243+'Cálculos'!$D$124*(1+2.78*('Cálculos'!$D$198+(($C69)-$A$63:$A$108)*'Cálculos'!$D$98)/(('Cálculos'!$D$198+(($C69)-$A$63:$A$108)*'Cálculos'!$D$98)+1400)+'Cálculos'!$D$122)*'Cálculos'!$D$248+'Cálculos'!$D$125*(1+2.78*('Cálculos'!$D$198+(($C69)-$A$63:$A$108)*'Cálculos'!$D$98)/(('Cálculos'!$D$198+(($C69)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69)-$A$63:$A$108)*'Cálculos'!$D$98)/(('Cálculos'!$D$199+(($C69)-$A$63:$A$108)*'Cálculos'!$D$98)+1400)+'Cálculos'!$D$122)*'Cálculos'!$D$259+'Cálculos'!$D$125*(1+2.78*('Cálculos'!$D$199+(($C69)-$A$63:$A$108)*'Cálculos'!$D$98)/(('Cálculos'!$D$199+(($C69)-$A$63:$A$108)*'Cálculos'!$D$98)+1400)+'Cálculos'!$D$123)*'Cálculos'!$D$264)+('Cálculos'!$D$199+(($C69)-$A$63:$A$108)*'Cálculos'!$D$98)*('Cálculos'!$D$255+'Cálculos'!$D$124*(1+2.78*('Cálculos'!$D$199+(($C69)-$A$63:$A$108)*'Cálculos'!$D$98)/(('Cálculos'!$D$199+(($C69)-$A$63:$A$108)*'Cálculos'!$D$98)+1400)+'Cálculos'!$D$122)*'Cálculos'!$D$260+'Cálculos'!$D$125*(1+2.78*('Cálculos'!$D$199+(($C69)-$A$63:$A$108)*'Cálculos'!$D$98)/(('Cálculos'!$D$199+(($C69)-$A$63:$A$108)*'Cálculos'!$D$98)+1400)+'Cálculos'!$D$123)*'Cálculos'!$D$265)+('Cálculos'!$D$201*(1+'Cálculos'!$D$202+$A$63:$A$108*('Cálculos'!$D$290=2)*'Cálculos'!$D$101)+'Cálculos'!$D$203)*('Cálculos'!$D$256+'Cálculos'!$D$124*(1+2.78*('Cálculos'!$D$199+(($C69)-$A$63:$A$108)*'Cálculos'!$D$98)/(('Cálculos'!$D$199+(($C69)-$A$63:$A$108)*'Cálculos'!$D$98)+1400)+'Cálculos'!$D$122)*'Cálculos'!$D$261+'Cálculos'!$D$125*(1+2.78*('Cálculos'!$D$199+(($C69)-$A$63:$A$108)*'Cálculos'!$D$98)/(('Cálculos'!$D$199+(($C69)-$A$63:$A$108)*'Cálculos'!$D$98)+1400)+'Cálculos'!$D$123)*'Cálculos'!$D$266)+('Cálculos'!$D$204*(1+'Cálculos'!$D$205+$A$63:$A$108*('Cálculos'!$D$290=3)*'Cálculos'!$D$103)+'Cálculos'!$D$206)*('Cálculos'!$D$257+'Cálculos'!$D$124*(1+2.78*('Cálculos'!$D$199+(($C69)-$A$63:$A$108)*'Cálculos'!$D$98)/(('Cálculos'!$D$199+(($C69)-$A$63:$A$108)*'Cálculos'!$D$98)+1400)+'Cálculos'!$D$122)*'Cálculos'!$D$262+'Cálculos'!$D$125*(1+2.78*('Cálculos'!$D$199+(($C69)-$A$63:$A$108)*'Cálculos'!$D$98)/(('Cálculos'!$D$199+(($C69)-$A$63:$A$108)*'Cálculos'!$D$98)+1400)+'Cálculos'!$D$123)*'Cálculos'!$D$267)+('Cálculos'!$D$258+'Cálculos'!$D$124*(1+2.78*('Cálculos'!$D$199+(($C69)-$A$63:$A$108)*'Cálculos'!$D$98)/(('Cálculos'!$D$199+(($C69)-$A$63:$A$108)*'Cálculos'!$D$98)+1400)+'Cálculos'!$D$122)*'Cálculos'!$D$263+'Cálculos'!$D$125*(1+2.78*('Cálculos'!$D$199+(($C69)-$A$63:$A$108)*'Cálculos'!$D$98)/(('Cálculos'!$D$199+(($C69)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69)-$A$63:$A$108)*'Cálculos'!$D$98)/(('Cálculos'!$D$200+(($C69)-$A$63:$A$108)*'Cálculos'!$D$98)+1400)+'Cálculos'!$D$122)*'Cálculos'!$D$274+'Cálculos'!$D$125*(1+2.78*('Cálculos'!$D$200+(($C69)-$A$63:$A$108)*'Cálculos'!$D$98)/(('Cálculos'!$D$200+(($C69)-$A$63:$A$108)*'Cálculos'!$D$98)+1400)+'Cálculos'!$D$123)*'Cálculos'!$D$279)+('Cálculos'!$D$200+(($C69)-$A$63:$A$108)*'Cálculos'!$D$98)*('Cálculos'!$D$270+'Cálculos'!$D$124*(1+2.78*('Cálculos'!$D$200+(($C69)-$A$63:$A$108)*'Cálculos'!$D$98)/(('Cálculos'!$D$200+(($C69)-$A$63:$A$108)*'Cálculos'!$D$98)+1400)+'Cálculos'!$D$122)*'Cálculos'!$D$275+'Cálculos'!$D$125*(1+2.78*('Cálculos'!$D$200+(($C69)-$A$63:$A$108)*'Cálculos'!$D$98)/(('Cálculos'!$D$200+(($C69)-$A$63:$A$108)*'Cálculos'!$D$98)+1400)+'Cálculos'!$D$123)*'Cálculos'!$D$280)+('Cálculos'!$D$201*(1+'Cálculos'!$D$202+$A$63:$A$108*('Cálculos'!$D$290=2)*'Cálculos'!$D$101)+'Cálculos'!$D$203)*('Cálculos'!$D$271+'Cálculos'!$D$124*(1+2.78*('Cálculos'!$D$200+(($C69)-$A$63:$A$108)*'Cálculos'!$D$98)/(('Cálculos'!$D$200+(($C69)-$A$63:$A$108)*'Cálculos'!$D$98)+1400)+'Cálculos'!$D$122)*'Cálculos'!$D$276+'Cálculos'!$D$125*(1+2.78*('Cálculos'!$D$200+(($C69)-$A$63:$A$108)*'Cálculos'!$D$98)/(('Cálculos'!$D$200+(($C69)-$A$63:$A$108)*'Cálculos'!$D$98)+1400)+'Cálculos'!$D$123)*'Cálculos'!$D$281)+('Cálculos'!$D$204*(1+'Cálculos'!$D$205+$A$63:$A$108*('Cálculos'!$D$290=3)*'Cálculos'!$D$103)+'Cálculos'!$D$206)*('Cálculos'!$D$272+'Cálculos'!$D$124*(1+2.78*('Cálculos'!$D$200+(($C69)-$A$63:$A$108)*'Cálculos'!$D$98)/(('Cálculos'!$D$200+(($C69)-$A$63:$A$108)*'Cálculos'!$D$98)+1400)+'Cálculos'!$D$122)*'Cálculos'!$D$277+'Cálculos'!$D$125*(1+2.78*('Cálculos'!$D$200+(($C69)-$A$63:$A$108)*'Cálculos'!$D$98)/(('Cálculos'!$D$200+(($C69)-$A$63:$A$108)*'Cálculos'!$D$98)+1400)+'Cálculos'!$D$123)*'Cálculos'!$D$282)+('Cálculos'!$D$273+'Cálculos'!$D$124*(1+2.78*('Cálculos'!$D$200+(($C69)-$A$63:$A$108)*'Cálculos'!$D$98)/(('Cálculos'!$D$200+(($C69)-$A$63:$A$108)*'Cálculos'!$D$98)+1400)+'Cálculos'!$D$122)*'Cálculos'!$D$278+'Cálculos'!$D$125*(1+2.78*('Cálculos'!$D$200+(($C69)-$A$63:$A$108)*'Cálculos'!$D$98)/(('Cálculos'!$D$200+(($C69)-$A$63:$A$108)*'Cálculos'!$D$98)+1400)+'Cálculos'!$D$123)*'Cálculos'!$D$283)))))</f>
        <v>75719.84145</v>
      </c>
      <c r="E69" s="32">
        <f>IF(OR($C69&lt;0,'Cálculos'!$D$6=""),0,$B69*$D69)</f>
        <v>100677.5965</v>
      </c>
      <c r="F69" s="2"/>
      <c r="G69" s="30">
        <f>($A69&lt;=$B$110)*($A69&lt;='Cálculos'!$D$294)*(($B$110)-$A69&lt;='Cálculos'!$D$295)*(1+MIN(('Cálculos'!$D$207+$A69*'Cálculos'!$D$95),1)*('Cálculos'!$D$208+(($B$110)-$A69)*'Cálculos'!$D$96))</f>
        <v>1.451696934</v>
      </c>
      <c r="H69" s="31">
        <f>IF($B$111&lt;0,0,($A69&lt;=$B$111)*($A69&lt;='Cálculos'!$D$301)*(($B$111)-$A69&lt;='Cálculos'!$D$297)*(('Cálculos'!$D$185*(1+'Cálculos'!$D$186+$A69*('Cálculos'!$D$290=1)*'Cálculos'!$D$97+'Cálculos'!$D$305)+'Cálculos'!$D$191)*('Cálculos'!$D$209+'Cálculos'!$D$124*(1+2.78*('Cálculos'!$D$196+(($B$111)-$A69)*'Cálculos'!$D$98)/(('Cálculos'!$D$196+(($B$111)-$A69)*'Cálculos'!$D$98)+1400)+'Cálculos'!$D$122)*'Cálculos'!$D$214+'Cálculos'!$D$125*(1+2.78*('Cálculos'!$D$196+(($B$111)-$A69)*'Cálculos'!$D$98)/(('Cálculos'!$D$196+(($B$111)-$A69)*'Cálculos'!$D$98)+1400)+'Cálculos'!$D$123)*'Cálculos'!$D$219)+('Cálculos'!$D$196+(($B$111)-$A69)*'Cálculos'!$D$98)*('Cálculos'!$D$210+'Cálculos'!$D$124*(1+2.78*('Cálculos'!$D$196+(($B$111)-$A69)*'Cálculos'!$D$98)/(('Cálculos'!$D$196+(($B$111)-$A69)*'Cálculos'!$D$98)+1400)+'Cálculos'!$D$122)*'Cálculos'!$D$215+'Cálculos'!$D$125*(1+2.78*('Cálculos'!$D$196+(($B$111)-$A69)*'Cálculos'!$D$98)/(('Cálculos'!$D$196+(($B$111)-$A69)*'Cálculos'!$D$98)+1400)+'Cálculos'!$D$123)*'Cálculos'!$D$220)+('Cálculos'!$D$201*(1+'Cálculos'!$D$202+$A69*('Cálculos'!$D$290=2)*'Cálculos'!$D$101)+'Cálculos'!$D$203)*('Cálculos'!$D$211+'Cálculos'!$D$124*(1+2.78*('Cálculos'!$D$196+(($B$111)-$A69)*'Cálculos'!$D$98)/(('Cálculos'!$D$196+(($B$111)-$A69)*'Cálculos'!$D$98)+1400)+'Cálculos'!$D$122)*'Cálculos'!$D$216+'Cálculos'!$D$125*(1+2.78*('Cálculos'!$D$196+(($B$111)-$A69)*'Cálculos'!$D$98)/(('Cálculos'!$D$196+(($B$111)-$A69)*'Cálculos'!$D$98)+1400)+'Cálculos'!$D$123)*'Cálculos'!$D$221)+('Cálculos'!$D$204*(1+'Cálculos'!$D$205+$A69*('Cálculos'!$D$290=3)*'Cálculos'!$D$103)+'Cálculos'!$D$206)*('Cálculos'!$D$212+'Cálculos'!$D$124*(1+2.78*('Cálculos'!$D$196+(($B$111)-$A69)*'Cálculos'!$D$98)/(('Cálculos'!$D$196+(($B$111)-$A69)*'Cálculos'!$D$98)+1400)+'Cálculos'!$D$122)*'Cálculos'!$D$217+'Cálculos'!$D$125*(1+2.78*('Cálculos'!$D$196+(($B$111)-$A69)*'Cálculos'!$D$98)/(('Cálculos'!$D$196+(($B$111)-$A69)*'Cálculos'!$D$98)+1400)+'Cálculos'!$D$123)*'Cálculos'!$D$222)+('Cálculos'!$D$213+'Cálculos'!$D$124*(1+2.78*('Cálculos'!$D$196+(($B$111)-$A69)*'Cálculos'!$D$98)/(('Cálculos'!$D$196+(($B$111)-$A69)*'Cálculos'!$D$98)+1400)+'Cálculos'!$D$122)*'Cálculos'!$D$218+'Cálculos'!$D$125*(1+2.78*('Cálculos'!$D$196+(($B$111)-$A69)*'Cálculos'!$D$98)/(('Cálculos'!$D$196+(($B$111)-$A69)*'Cálculos'!$D$98)+1400)+'Cálculos'!$D$123)*'Cálculos'!$D$223)+('Cálculos'!$D$185*(1+'Cálculos'!$D$187+$A69*('Cálculos'!$D$290=1)*'Cálculos'!$D$97+'Cálculos'!$D$305)+'Cálculos'!$D$192)*('Cálculos'!$D$224+'Cálculos'!$D$124*(1+2.78*('Cálculos'!$D$197+(($B$111)-$A69)*'Cálculos'!$D$98)/(('Cálculos'!$D$197+(($B$111)-$A69)*'Cálculos'!$D$98)+1400)+'Cálculos'!$D$122)*'Cálculos'!$D$229+'Cálculos'!$D$125*(1+2.78*('Cálculos'!$D$197+(($B$111)-$A69)*'Cálculos'!$D$98)/(('Cálculos'!$D$197+(($B$111)-$A69)*'Cálculos'!$D$98)+1400)+'Cálculos'!$D$123)*'Cálculos'!$D$234)+('Cálculos'!$D$197+(($B$111)-$A69)*'Cálculos'!$D$98)*('Cálculos'!$D$225+'Cálculos'!$D$124*(1+2.78*('Cálculos'!$D$197+(($B$111)-$A69)*'Cálculos'!$D$98)/(('Cálculos'!$D$197+(($B$111)-$A69)*'Cálculos'!$D$98)+1400)+'Cálculos'!$D$122)*'Cálculos'!$D$230+'Cálculos'!$D$125*(1+2.78*('Cálculos'!$D$197+(($B$111)-$A69)*'Cálculos'!$D$98)/(('Cálculos'!$D$197+(($B$111)-$A69)*'Cálculos'!$D$98)+1400)+'Cálculos'!$D$123)*'Cálculos'!$D$235)+('Cálculos'!$D$201*(1+'Cálculos'!$D$202+$A69*('Cálculos'!$D$290=2)*'Cálculos'!$D$101)+'Cálculos'!$D$203)*('Cálculos'!$D$226+'Cálculos'!$D$124*(1+2.78*('Cálculos'!$D$197+(($B$111)-$A69)*'Cálculos'!$D$98)/(('Cálculos'!$D$197+(($B$111)-$A69)*'Cálculos'!$D$98)+1400)+'Cálculos'!$D$122)*'Cálculos'!$D$231+'Cálculos'!$D$125*(1+2.78*('Cálculos'!$D$197+(($B$111)-$A69)*'Cálculos'!$D$98)/(('Cálculos'!$D$197+(($B$111)-$A69)*'Cálculos'!$D$98)+1400)+'Cálculos'!$D$123)*'Cálculos'!$D$236)+('Cálculos'!$D$204*(1+'Cálculos'!$D$205+$A69*('Cálculos'!$D$290=3)*'Cálculos'!$D$103)+'Cálculos'!$D$206)*('Cálculos'!$D$227+'Cálculos'!$D$124*(1+2.78*('Cálculos'!$D$197+(($B$111)-$A69)*'Cálculos'!$D$98)/(('Cálculos'!$D$197+(($B$111)-$A69)*'Cálculos'!$D$98)+1400)+'Cálculos'!$D$122)*'Cálculos'!$D$232+'Cálculos'!$D$125*(1+2.78*('Cálculos'!$D$197+(($B$111)-$A69)*'Cálculos'!$D$98)/(('Cálculos'!$D$197+(($B$111)-$A69)*'Cálculos'!$D$98)+1400)+'Cálculos'!$D$123)*'Cálculos'!$D$237)+('Cálculos'!$D$228+'Cálculos'!$D$124*(1+2.78*('Cálculos'!$D$197+(($B$111)-$A69)*'Cálculos'!$D$98)/(('Cálculos'!$D$197+(($B$111)-$A69)*'Cálculos'!$D$98)+1400)+'Cálculos'!$D$122)*'Cálculos'!$D$233+'Cálculos'!$D$125*(1+2.78*('Cálculos'!$D$197+(($B$111)-$A69)*'Cálculos'!$D$98)/(('Cálculos'!$D$197+(($B$111)-$A69)*'Cálculos'!$D$98)+1400)+'Cálculos'!$D$123)*'Cálculos'!$D$238)+('Cálculos'!$D$185*(1+'Cálculos'!$D$188+$A69*('Cálculos'!$D$290=1)*'Cálculos'!$D$97+'Cálculos'!$D$305)+'Cálculos'!$D$193)*('Cálculos'!$D$239+'Cálculos'!$D$124*(1+2.78*('Cálculos'!$D$198+(($B$111)-$A69)*'Cálculos'!$D$98)/(('Cálculos'!$D$198+(($B$111)-$A69)*'Cálculos'!$D$98)+1400)+'Cálculos'!$D$122)*'Cálculos'!$D$244+'Cálculos'!$D$125*(1+2.78*('Cálculos'!$D$198+(($B$111)-$A69)*'Cálculos'!$D$98)/(('Cálculos'!$D$198+(($B$111)-$A69)*'Cálculos'!$D$98)+1400)+'Cálculos'!$D$123)*'Cálculos'!$D$249)+('Cálculos'!$D$198+(($B$111)-$A69)*'Cálculos'!$D$98)*('Cálculos'!$D$240+'Cálculos'!$D$124*(1+2.78*('Cálculos'!$D$198+(($B$111)-$A69)*'Cálculos'!$D$98)/(('Cálculos'!$D$198+(($B$111)-$A69)*'Cálculos'!$D$98)+1400)+'Cálculos'!$D$122)*'Cálculos'!$D$245+'Cálculos'!$D$125*(1+2.78*('Cálculos'!$D$198+(($B$111)-$A69)*'Cálculos'!$D$98)/(('Cálculos'!$D$198+(($B$111)-$A69)*'Cálculos'!$D$98)+1400)+'Cálculos'!$D$123)*'Cálculos'!$D$250)+('Cálculos'!$D$201*(1+'Cálculos'!$D$202+$A69*('Cálculos'!$D$290=2)*'Cálculos'!$D$101)+'Cálculos'!$D$203)*('Cálculos'!$D$241+'Cálculos'!$D$124*(1+2.78*('Cálculos'!$D$198+(($B$111)-$A69)*'Cálculos'!$D$98)/(('Cálculos'!$D$198+(($B$111)-$A69)*'Cálculos'!$D$98)+1400)+'Cálculos'!$D$122)*'Cálculos'!$D$246+'Cálculos'!$D$125*(1+2.78*('Cálculos'!$D$198+(($B$111)-$A69)*'Cálculos'!$D$98)/(('Cálculos'!$D$198+(($B$111)-$A69)*'Cálculos'!$D$98)+1400)+'Cálculos'!$D$123)*'Cálculos'!$D$251)+('Cálculos'!$D$204*(1+'Cálculos'!$D$205+$A69*('Cálculos'!$D$290=3)*'Cálculos'!$D$103)+'Cálculos'!$D$206)*('Cálculos'!$D$242+'Cálculos'!$D$124*(1+2.78*('Cálculos'!$D$198+(($B$111)-$A69)*'Cálculos'!$D$98)/(('Cálculos'!$D$198+(($B$111)-$A69)*'Cálculos'!$D$98)+1400)+'Cálculos'!$D$122)*'Cálculos'!$D$247+'Cálculos'!$D$125*(1+2.78*('Cálculos'!$D$198+(($B$111)-$A69)*'Cálculos'!$D$98)/(('Cálculos'!$D$198+(($B$111)-$A69)*'Cálculos'!$D$98)+1400)+'Cálculos'!$D$123)*'Cálculos'!$D$252)+('Cálculos'!$D$243+'Cálculos'!$D$124*(1+2.78*('Cálculos'!$D$198+(($B$111)-$A69)*'Cálculos'!$D$98)/(('Cálculos'!$D$198+(($B$111)-$A69)*'Cálculos'!$D$98)+1400)+'Cálculos'!$D$122)*'Cálculos'!$D$248+'Cálculos'!$D$125*(1+2.78*('Cálculos'!$D$198+(($B$111)-$A69)*'Cálculos'!$D$98)/(('Cálculos'!$D$198+(($B$111)-$A69)*'Cálculos'!$D$98)+1400)+'Cálculos'!$D$123)*'Cálculos'!$D$253)+('Cálculos'!$D$185*(1+'Cálculos'!$D$189+$A69*('Cálculos'!$D$290=1)*'Cálculos'!$D$97+'Cálculos'!$D$305)+'Cálculos'!$D$194)*('Cálculos'!$D$254+'Cálculos'!$D$124*(1+2.78*('Cálculos'!$D$199+(($B$111)-$A69)*'Cálculos'!$D$98)/(('Cálculos'!$D$199+(($B$111)-$A69)*'Cálculos'!$D$98)+1400)+'Cálculos'!$D$122)*'Cálculos'!$D$259+'Cálculos'!$D$125*(1+2.78*('Cálculos'!$D$199+(($B$111)-$A69)*'Cálculos'!$D$98)/(('Cálculos'!$D$199+(($B$111)-$A69)*'Cálculos'!$D$98)+1400)+'Cálculos'!$D$123)*'Cálculos'!$D$264)+('Cálculos'!$D$199+(($B$111)-$A69)*'Cálculos'!$D$98)*('Cálculos'!$D$255+'Cálculos'!$D$124*(1+2.78*('Cálculos'!$D$199+(($B$111)-$A69)*'Cálculos'!$D$98)/(('Cálculos'!$D$199+(($B$111)-$A69)*'Cálculos'!$D$98)+1400)+'Cálculos'!$D$122)*'Cálculos'!$D$260+'Cálculos'!$D$125*(1+2.78*('Cálculos'!$D$199+(($B$111)-$A69)*'Cálculos'!$D$98)/(('Cálculos'!$D$199+(($B$111)-$A69)*'Cálculos'!$D$98)+1400)+'Cálculos'!$D$123)*'Cálculos'!$D$265)+('Cálculos'!$D$201*(1+'Cálculos'!$D$202+$A69*('Cálculos'!$D$290=2)*'Cálculos'!$D$101)+'Cálculos'!$D$203)*('Cálculos'!$D$256+'Cálculos'!$D$124*(1+2.78*('Cálculos'!$D$199+(($B$111)-$A69)*'Cálculos'!$D$98)/(('Cálculos'!$D$199+(($B$111)-$A69)*'Cálculos'!$D$98)+1400)+'Cálculos'!$D$122)*'Cálculos'!$D$261+'Cálculos'!$D$125*(1+2.78*('Cálculos'!$D$199+(($B$111)-$A69)*'Cálculos'!$D$98)/(('Cálculos'!$D$199+(($B$111)-$A69)*'Cálculos'!$D$98)+1400)+'Cálculos'!$D$123)*'Cálculos'!$D$266)+('Cálculos'!$D$204*(1+'Cálculos'!$D$205+$A69*('Cálculos'!$D$290=3)*'Cálculos'!$D$103)+'Cálculos'!$D$206)*('Cálculos'!$D$257+'Cálculos'!$D$124*(1+2.78*('Cálculos'!$D$199+(($B$111)-$A69)*'Cálculos'!$D$98)/(('Cálculos'!$D$199+(($B$111)-$A69)*'Cálculos'!$D$98)+1400)+'Cálculos'!$D$122)*'Cálculos'!$D$262+'Cálculos'!$D$125*(1+2.78*('Cálculos'!$D$199+(($B$111)-$A69)*'Cálculos'!$D$98)/(('Cálculos'!$D$199+(($B$111)-$A69)*'Cálculos'!$D$98)+1400)+'Cálculos'!$D$123)*'Cálculos'!$D$267)+('Cálculos'!$D$258+'Cálculos'!$D$124*(1+2.78*('Cálculos'!$D$199+(($B$111)-$A69)*'Cálculos'!$D$98)/(('Cálculos'!$D$199+(($B$111)-$A69)*'Cálculos'!$D$98)+1400)+'Cálculos'!$D$122)*'Cálculos'!$D$263+'Cálculos'!$D$125*(1+2.78*('Cálculos'!$D$199+(($B$111)-$A69)*'Cálculos'!$D$98)/(('Cálculos'!$D$199+(($B$111)-$A69)*'Cálculos'!$D$98)+1400)+'Cálculos'!$D$123)*'Cálculos'!$D$268)+('Cálculos'!$D$185*(1+'Cálculos'!$D$190+$A69*('Cálculos'!$D$290=1)*'Cálculos'!$D$97+'Cálculos'!$D$305)+'Cálculos'!$D$195)*('Cálculos'!$D$269+'Cálculos'!$D$124*(1+2.78*('Cálculos'!$D$200+(($B$111)-$A69)*'Cálculos'!$D$98)/(('Cálculos'!$D$200+(($B$111)-$A69)*'Cálculos'!$D$98)+1400)+'Cálculos'!$D$122)*'Cálculos'!$D$274+'Cálculos'!$D$125*(1+2.78*('Cálculos'!$D$200+(($B$111)-$A69)*'Cálculos'!$D$98)/(('Cálculos'!$D$200+(($B$111)-$A69)*'Cálculos'!$D$98)+1400)+'Cálculos'!$D$123)*'Cálculos'!$D$279)+('Cálculos'!$D$200+(($B$111)-$A69)*'Cálculos'!$D$98)*('Cálculos'!$D$270+'Cálculos'!$D$124*(1+2.78*('Cálculos'!$D$200+(($B$111)-$A69)*'Cálculos'!$D$98)/(('Cálculos'!$D$200+(($B$111)-$A69)*'Cálculos'!$D$98)+1400)+'Cálculos'!$D$122)*'Cálculos'!$D$275+'Cálculos'!$D$125*(1+2.78*('Cálculos'!$D$200+(($B$111)-$A69)*'Cálculos'!$D$98)/(('Cálculos'!$D$200+(($B$111)-$A69)*'Cálculos'!$D$98)+1400)+'Cálculos'!$D$123)*'Cálculos'!$D$280)+('Cálculos'!$D$201*(1+'Cálculos'!$D$202+$A69*('Cálculos'!$D$290=2)*'Cálculos'!$D$101)+'Cálculos'!$D$203)*('Cálculos'!$D$271+'Cálculos'!$D$124*(1+2.78*('Cálculos'!$D$200+(($B$111)-$A69)*'Cálculos'!$D$98)/(('Cálculos'!$D$200+(($B$111)-$A69)*'Cálculos'!$D$98)+1400)+'Cálculos'!$D$122)*'Cálculos'!$D$276+'Cálculos'!$D$125*(1+2.78*('Cálculos'!$D$200+(($B$111)-$A69)*'Cálculos'!$D$98)/(('Cálculos'!$D$200+(($B$111)-$A69)*'Cálculos'!$D$98)+1400)+'Cálculos'!$D$123)*'Cálculos'!$D$281)+('Cálculos'!$D$204*(1+'Cálculos'!$D$205+$A69*('Cálculos'!$D$290=3)*'Cálculos'!$D$103)+'Cálculos'!$D$206)*('Cálculos'!$D$272+'Cálculos'!$D$124*(1+2.78*('Cálculos'!$D$200+(($B$111)-$A69)*'Cálculos'!$D$98)/(('Cálculos'!$D$200+(($B$111)-$A69)*'Cálculos'!$D$98)+1400)+'Cálculos'!$D$122)*'Cálculos'!$D$277+'Cálculos'!$D$125*(1+2.78*('Cálculos'!$D$200+(($B$111)-$A69)*'Cálculos'!$D$98)/(('Cálculos'!$D$200+(($B$111)-$A69)*'Cálculos'!$D$98)+1400)+'Cálculos'!$D$123)*'Cálculos'!$D$282)+('Cálculos'!$D$273+'Cálculos'!$D$124*(1+2.78*('Cálculos'!$D$200+(($B$111)-$A69)*'Cálculos'!$D$98)/(('Cálculos'!$D$200+(($B$111)-$A69)*'Cálculos'!$D$98)+1400)+'Cálculos'!$D$122)*'Cálculos'!$D$278+'Cálculos'!$D$125*(1+2.78*('Cálculos'!$D$200+(($B$111)-$A69)*'Cálculos'!$D$98)/(('Cálculos'!$D$200+(($B$111)-$A69)*'Cálculos'!$D$98)+1400)+'Cálculos'!$D$123)*'Cálculos'!$D$283)))</f>
        <v>0</v>
      </c>
    </row>
    <row r="70" ht="15.75" customHeight="1">
      <c r="A70" s="2">
        <v>7.0</v>
      </c>
      <c r="B70" s="30">
        <f>SUMPRODUCT(MAX(($A$63:$A$108&lt;=$A70)*($A$63:$A$108&lt;='Cálculos'!$D$294)*(($A70)-$A$63:$A$108&lt;='Cálculos'!$D$295)*(1+(('Cálculos'!$D$207+$A$63:$A$108*'Cálculos'!$D$95)-(('Cálculos'!$D$207+$A$63:$A$108*'Cálculos'!$D$95)&gt;1)*(('Cálculos'!$D$207+$A$63:$A$108*'Cálculos'!$D$95)-1))*('Cálculos'!$D$208+(($A70)-$A$63:$A$108)*'Cálculos'!$D$96))))</f>
        <v>1.353033592</v>
      </c>
      <c r="C70" s="2">
        <f>'Cálculos'!$D$303-$A70</f>
        <v>4</v>
      </c>
      <c r="D70" s="31">
        <f>IF($C70&lt;0,0,SUMPRODUCT(MAX(($A$63:$A$108&lt;=$C70)*($A$63:$A$108&lt;='Cálculos'!$D$301)*(($C70)-$A$63:$A$108&lt;='Cálculos'!$D$297)*(('Cálculos'!$D$185*(1+'Cálculos'!$D$186+$A$63:$A$108*('Cálculos'!$D$290=1)*'Cálculos'!$D$97+'Cálculos'!$D$305)+'Cálculos'!$D$191)*('Cálculos'!$D$209+'Cálculos'!$D$124*(1+2.78*('Cálculos'!$D$196+(($C70)-$A$63:$A$108)*'Cálculos'!$D$98)/(('Cálculos'!$D$196+(($C70)-$A$63:$A$108)*'Cálculos'!$D$98)+1400)+'Cálculos'!$D$122)*'Cálculos'!$D$214+'Cálculos'!$D$125*(1+2.78*('Cálculos'!$D$196+(($C70)-$A$63:$A$108)*'Cálculos'!$D$98)/(('Cálculos'!$D$196+(($C70)-$A$63:$A$108)*'Cálculos'!$D$98)+1400)+'Cálculos'!$D$123)*'Cálculos'!$D$219)+('Cálculos'!$D$196+(($C70)-$A$63:$A$108)*'Cálculos'!$D$98)*('Cálculos'!$D$210+'Cálculos'!$D$124*(1+2.78*('Cálculos'!$D$196+(($C70)-$A$63:$A$108)*'Cálculos'!$D$98)/(('Cálculos'!$D$196+(($C70)-$A$63:$A$108)*'Cálculos'!$D$98)+1400)+'Cálculos'!$D$122)*'Cálculos'!$D$215+'Cálculos'!$D$125*(1+2.78*('Cálculos'!$D$196+(($C70)-$A$63:$A$108)*'Cálculos'!$D$98)/(('Cálculos'!$D$196+(($C70)-$A$63:$A$108)*'Cálculos'!$D$98)+1400)+'Cálculos'!$D$123)*'Cálculos'!$D$220)+('Cálculos'!$D$201*(1+'Cálculos'!$D$202+$A$63:$A$108*('Cálculos'!$D$290=2)*'Cálculos'!$D$101)+'Cálculos'!$D$203)*('Cálculos'!$D$211+'Cálculos'!$D$124*(1+2.78*('Cálculos'!$D$196+(($C70)-$A$63:$A$108)*'Cálculos'!$D$98)/(('Cálculos'!$D$196+(($C70)-$A$63:$A$108)*'Cálculos'!$D$98)+1400)+'Cálculos'!$D$122)*'Cálculos'!$D$216+'Cálculos'!$D$125*(1+2.78*('Cálculos'!$D$196+(($C70)-$A$63:$A$108)*'Cálculos'!$D$98)/(('Cálculos'!$D$196+(($C70)-$A$63:$A$108)*'Cálculos'!$D$98)+1400)+'Cálculos'!$D$123)*'Cálculos'!$D$221)+('Cálculos'!$D$204*(1+'Cálculos'!$D$205+$A$63:$A$108*('Cálculos'!$D$290=3)*'Cálculos'!$D$103)+'Cálculos'!$D$206)*('Cálculos'!$D$212+'Cálculos'!$D$124*(1+2.78*('Cálculos'!$D$196+(($C70)-$A$63:$A$108)*'Cálculos'!$D$98)/(('Cálculos'!$D$196+(($C70)-$A$63:$A$108)*'Cálculos'!$D$98)+1400)+'Cálculos'!$D$122)*'Cálculos'!$D$217+'Cálculos'!$D$125*(1+2.78*('Cálculos'!$D$196+(($C70)-$A$63:$A$108)*'Cálculos'!$D$98)/(('Cálculos'!$D$196+(($C70)-$A$63:$A$108)*'Cálculos'!$D$98)+1400)+'Cálculos'!$D$123)*'Cálculos'!$D$222)+('Cálculos'!$D$213+'Cálculos'!$D$124*(1+2.78*('Cálculos'!$D$196+(($C70)-$A$63:$A$108)*'Cálculos'!$D$98)/(('Cálculos'!$D$196+(($C70)-$A$63:$A$108)*'Cálculos'!$D$98)+1400)+'Cálculos'!$D$122)*'Cálculos'!$D$218+'Cálculos'!$D$125*(1+2.78*('Cálculos'!$D$196+(($C70)-$A$63:$A$108)*'Cálculos'!$D$98)/(('Cálculos'!$D$196+(($C70)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70)-$A$63:$A$108)*'Cálculos'!$D$98)/(('Cálculos'!$D$197+(($C70)-$A$63:$A$108)*'Cálculos'!$D$98)+1400)+'Cálculos'!$D$122)*'Cálculos'!$D$229+'Cálculos'!$D$125*(1+2.78*('Cálculos'!$D$197+(($C70)-$A$63:$A$108)*'Cálculos'!$D$98)/(('Cálculos'!$D$197+(($C70)-$A$63:$A$108)*'Cálculos'!$D$98)+1400)+'Cálculos'!$D$123)*'Cálculos'!$D$234)+('Cálculos'!$D$197+(($C70)-$A$63:$A$108)*'Cálculos'!$D$98)*('Cálculos'!$D$225+'Cálculos'!$D$124*(1+2.78*('Cálculos'!$D$197+(($C70)-$A$63:$A$108)*'Cálculos'!$D$98)/(('Cálculos'!$D$197+(($C70)-$A$63:$A$108)*'Cálculos'!$D$98)+1400)+'Cálculos'!$D$122)*'Cálculos'!$D$230+'Cálculos'!$D$125*(1+2.78*('Cálculos'!$D$197+(($C70)-$A$63:$A$108)*'Cálculos'!$D$98)/(('Cálculos'!$D$197+(($C70)-$A$63:$A$108)*'Cálculos'!$D$98)+1400)+'Cálculos'!$D$123)*'Cálculos'!$D$235)+('Cálculos'!$D$201*(1+'Cálculos'!$D$202+$A$63:$A$108*('Cálculos'!$D$290=2)*'Cálculos'!$D$101)+'Cálculos'!$D$203)*('Cálculos'!$D$226+'Cálculos'!$D$124*(1+2.78*('Cálculos'!$D$197+(($C70)-$A$63:$A$108)*'Cálculos'!$D$98)/(('Cálculos'!$D$197+(($C70)-$A$63:$A$108)*'Cálculos'!$D$98)+1400)+'Cálculos'!$D$122)*'Cálculos'!$D$231+'Cálculos'!$D$125*(1+2.78*('Cálculos'!$D$197+(($C70)-$A$63:$A$108)*'Cálculos'!$D$98)/(('Cálculos'!$D$197+(($C70)-$A$63:$A$108)*'Cálculos'!$D$98)+1400)+'Cálculos'!$D$123)*'Cálculos'!$D$236)+('Cálculos'!$D$204*(1+'Cálculos'!$D$205+$A$63:$A$108*('Cálculos'!$D$290=3)*'Cálculos'!$D$103)+'Cálculos'!$D$206)*('Cálculos'!$D$227+'Cálculos'!$D$124*(1+2.78*('Cálculos'!$D$197+(($C70)-$A$63:$A$108)*'Cálculos'!$D$98)/(('Cálculos'!$D$197+(($C70)-$A$63:$A$108)*'Cálculos'!$D$98)+1400)+'Cálculos'!$D$122)*'Cálculos'!$D$232+'Cálculos'!$D$125*(1+2.78*('Cálculos'!$D$197+(($C70)-$A$63:$A$108)*'Cálculos'!$D$98)/(('Cálculos'!$D$197+(($C70)-$A$63:$A$108)*'Cálculos'!$D$98)+1400)+'Cálculos'!$D$123)*'Cálculos'!$D$237)+('Cálculos'!$D$228+'Cálculos'!$D$124*(1+2.78*('Cálculos'!$D$197+(($C70)-$A$63:$A$108)*'Cálculos'!$D$98)/(('Cálculos'!$D$197+(($C70)-$A$63:$A$108)*'Cálculos'!$D$98)+1400)+'Cálculos'!$D$122)*'Cálculos'!$D$233+'Cálculos'!$D$125*(1+2.78*('Cálculos'!$D$197+(($C70)-$A$63:$A$108)*'Cálculos'!$D$98)/(('Cálculos'!$D$197+(($C70)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70)-$A$63:$A$108)*'Cálculos'!$D$98)/(('Cálculos'!$D$198+(($C70)-$A$63:$A$108)*'Cálculos'!$D$98)+1400)+'Cálculos'!$D$122)*'Cálculos'!$D$244+'Cálculos'!$D$125*(1+2.78*('Cálculos'!$D$198+(($C70)-$A$63:$A$108)*'Cálculos'!$D$98)/(('Cálculos'!$D$198+(($C70)-$A$63:$A$108)*'Cálculos'!$D$98)+1400)+'Cálculos'!$D$123)*'Cálculos'!$D$249)+('Cálculos'!$D$198+(($C70)-$A$63:$A$108)*'Cálculos'!$D$98)*('Cálculos'!$D$240+'Cálculos'!$D$124*(1+2.78*('Cálculos'!$D$198+(($C70)-$A$63:$A$108)*'Cálculos'!$D$98)/(('Cálculos'!$D$198+(($C70)-$A$63:$A$108)*'Cálculos'!$D$98)+1400)+'Cálculos'!$D$122)*'Cálculos'!$D$245+'Cálculos'!$D$125*(1+2.78*('Cálculos'!$D$198+(($C70)-$A$63:$A$108)*'Cálculos'!$D$98)/(('Cálculos'!$D$198+(($C70)-$A$63:$A$108)*'Cálculos'!$D$98)+1400)+'Cálculos'!$D$123)*'Cálculos'!$D$250)+('Cálculos'!$D$201*(1+'Cálculos'!$D$202+$A$63:$A$108*('Cálculos'!$D$290=2)*'Cálculos'!$D$101)+'Cálculos'!$D$203)*('Cálculos'!$D$241+'Cálculos'!$D$124*(1+2.78*('Cálculos'!$D$198+(($C70)-$A$63:$A$108)*'Cálculos'!$D$98)/(('Cálculos'!$D$198+(($C70)-$A$63:$A$108)*'Cálculos'!$D$98)+1400)+'Cálculos'!$D$122)*'Cálculos'!$D$246+'Cálculos'!$D$125*(1+2.78*('Cálculos'!$D$198+(($C70)-$A$63:$A$108)*'Cálculos'!$D$98)/(('Cálculos'!$D$198+(($C70)-$A$63:$A$108)*'Cálculos'!$D$98)+1400)+'Cálculos'!$D$123)*'Cálculos'!$D$251)+('Cálculos'!$D$204*(1+'Cálculos'!$D$205+$A$63:$A$108*('Cálculos'!$D$290=3)*'Cálculos'!$D$103)+'Cálculos'!$D$206)*('Cálculos'!$D$242+'Cálculos'!$D$124*(1+2.78*('Cálculos'!$D$198+(($C70)-$A$63:$A$108)*'Cálculos'!$D$98)/(('Cálculos'!$D$198+(($C70)-$A$63:$A$108)*'Cálculos'!$D$98)+1400)+'Cálculos'!$D$122)*'Cálculos'!$D$247+'Cálculos'!$D$125*(1+2.78*('Cálculos'!$D$198+(($C70)-$A$63:$A$108)*'Cálculos'!$D$98)/(('Cálculos'!$D$198+(($C70)-$A$63:$A$108)*'Cálculos'!$D$98)+1400)+'Cálculos'!$D$123)*'Cálculos'!$D$252)+('Cálculos'!$D$243+'Cálculos'!$D$124*(1+2.78*('Cálculos'!$D$198+(($C70)-$A$63:$A$108)*'Cálculos'!$D$98)/(('Cálculos'!$D$198+(($C70)-$A$63:$A$108)*'Cálculos'!$D$98)+1400)+'Cálculos'!$D$122)*'Cálculos'!$D$248+'Cálculos'!$D$125*(1+2.78*('Cálculos'!$D$198+(($C70)-$A$63:$A$108)*'Cálculos'!$D$98)/(('Cálculos'!$D$198+(($C70)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70)-$A$63:$A$108)*'Cálculos'!$D$98)/(('Cálculos'!$D$199+(($C70)-$A$63:$A$108)*'Cálculos'!$D$98)+1400)+'Cálculos'!$D$122)*'Cálculos'!$D$259+'Cálculos'!$D$125*(1+2.78*('Cálculos'!$D$199+(($C70)-$A$63:$A$108)*'Cálculos'!$D$98)/(('Cálculos'!$D$199+(($C70)-$A$63:$A$108)*'Cálculos'!$D$98)+1400)+'Cálculos'!$D$123)*'Cálculos'!$D$264)+('Cálculos'!$D$199+(($C70)-$A$63:$A$108)*'Cálculos'!$D$98)*('Cálculos'!$D$255+'Cálculos'!$D$124*(1+2.78*('Cálculos'!$D$199+(($C70)-$A$63:$A$108)*'Cálculos'!$D$98)/(('Cálculos'!$D$199+(($C70)-$A$63:$A$108)*'Cálculos'!$D$98)+1400)+'Cálculos'!$D$122)*'Cálculos'!$D$260+'Cálculos'!$D$125*(1+2.78*('Cálculos'!$D$199+(($C70)-$A$63:$A$108)*'Cálculos'!$D$98)/(('Cálculos'!$D$199+(($C70)-$A$63:$A$108)*'Cálculos'!$D$98)+1400)+'Cálculos'!$D$123)*'Cálculos'!$D$265)+('Cálculos'!$D$201*(1+'Cálculos'!$D$202+$A$63:$A$108*('Cálculos'!$D$290=2)*'Cálculos'!$D$101)+'Cálculos'!$D$203)*('Cálculos'!$D$256+'Cálculos'!$D$124*(1+2.78*('Cálculos'!$D$199+(($C70)-$A$63:$A$108)*'Cálculos'!$D$98)/(('Cálculos'!$D$199+(($C70)-$A$63:$A$108)*'Cálculos'!$D$98)+1400)+'Cálculos'!$D$122)*'Cálculos'!$D$261+'Cálculos'!$D$125*(1+2.78*('Cálculos'!$D$199+(($C70)-$A$63:$A$108)*'Cálculos'!$D$98)/(('Cálculos'!$D$199+(($C70)-$A$63:$A$108)*'Cálculos'!$D$98)+1400)+'Cálculos'!$D$123)*'Cálculos'!$D$266)+('Cálculos'!$D$204*(1+'Cálculos'!$D$205+$A$63:$A$108*('Cálculos'!$D$290=3)*'Cálculos'!$D$103)+'Cálculos'!$D$206)*('Cálculos'!$D$257+'Cálculos'!$D$124*(1+2.78*('Cálculos'!$D$199+(($C70)-$A$63:$A$108)*'Cálculos'!$D$98)/(('Cálculos'!$D$199+(($C70)-$A$63:$A$108)*'Cálculos'!$D$98)+1400)+'Cálculos'!$D$122)*'Cálculos'!$D$262+'Cálculos'!$D$125*(1+2.78*('Cálculos'!$D$199+(($C70)-$A$63:$A$108)*'Cálculos'!$D$98)/(('Cálculos'!$D$199+(($C70)-$A$63:$A$108)*'Cálculos'!$D$98)+1400)+'Cálculos'!$D$123)*'Cálculos'!$D$267)+('Cálculos'!$D$258+'Cálculos'!$D$124*(1+2.78*('Cálculos'!$D$199+(($C70)-$A$63:$A$108)*'Cálculos'!$D$98)/(('Cálculos'!$D$199+(($C70)-$A$63:$A$108)*'Cálculos'!$D$98)+1400)+'Cálculos'!$D$122)*'Cálculos'!$D$263+'Cálculos'!$D$125*(1+2.78*('Cálculos'!$D$199+(($C70)-$A$63:$A$108)*'Cálculos'!$D$98)/(('Cálculos'!$D$199+(($C70)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70)-$A$63:$A$108)*'Cálculos'!$D$98)/(('Cálculos'!$D$200+(($C70)-$A$63:$A$108)*'Cálculos'!$D$98)+1400)+'Cálculos'!$D$122)*'Cálculos'!$D$274+'Cálculos'!$D$125*(1+2.78*('Cálculos'!$D$200+(($C70)-$A$63:$A$108)*'Cálculos'!$D$98)/(('Cálculos'!$D$200+(($C70)-$A$63:$A$108)*'Cálculos'!$D$98)+1400)+'Cálculos'!$D$123)*'Cálculos'!$D$279)+('Cálculos'!$D$200+(($C70)-$A$63:$A$108)*'Cálculos'!$D$98)*('Cálculos'!$D$270+'Cálculos'!$D$124*(1+2.78*('Cálculos'!$D$200+(($C70)-$A$63:$A$108)*'Cálculos'!$D$98)/(('Cálculos'!$D$200+(($C70)-$A$63:$A$108)*'Cálculos'!$D$98)+1400)+'Cálculos'!$D$122)*'Cálculos'!$D$275+'Cálculos'!$D$125*(1+2.78*('Cálculos'!$D$200+(($C70)-$A$63:$A$108)*'Cálculos'!$D$98)/(('Cálculos'!$D$200+(($C70)-$A$63:$A$108)*'Cálculos'!$D$98)+1400)+'Cálculos'!$D$123)*'Cálculos'!$D$280)+('Cálculos'!$D$201*(1+'Cálculos'!$D$202+$A$63:$A$108*('Cálculos'!$D$290=2)*'Cálculos'!$D$101)+'Cálculos'!$D$203)*('Cálculos'!$D$271+'Cálculos'!$D$124*(1+2.78*('Cálculos'!$D$200+(($C70)-$A$63:$A$108)*'Cálculos'!$D$98)/(('Cálculos'!$D$200+(($C70)-$A$63:$A$108)*'Cálculos'!$D$98)+1400)+'Cálculos'!$D$122)*'Cálculos'!$D$276+'Cálculos'!$D$125*(1+2.78*('Cálculos'!$D$200+(($C70)-$A$63:$A$108)*'Cálculos'!$D$98)/(('Cálculos'!$D$200+(($C70)-$A$63:$A$108)*'Cálculos'!$D$98)+1400)+'Cálculos'!$D$123)*'Cálculos'!$D$281)+('Cálculos'!$D$204*(1+'Cálculos'!$D$205+$A$63:$A$108*('Cálculos'!$D$290=3)*'Cálculos'!$D$103)+'Cálculos'!$D$206)*('Cálculos'!$D$272+'Cálculos'!$D$124*(1+2.78*('Cálculos'!$D$200+(($C70)-$A$63:$A$108)*'Cálculos'!$D$98)/(('Cálculos'!$D$200+(($C70)-$A$63:$A$108)*'Cálculos'!$D$98)+1400)+'Cálculos'!$D$122)*'Cálculos'!$D$277+'Cálculos'!$D$125*(1+2.78*('Cálculos'!$D$200+(($C70)-$A$63:$A$108)*'Cálculos'!$D$98)/(('Cálculos'!$D$200+(($C70)-$A$63:$A$108)*'Cálculos'!$D$98)+1400)+'Cálculos'!$D$123)*'Cálculos'!$D$282)+('Cálculos'!$D$273+'Cálculos'!$D$124*(1+2.78*('Cálculos'!$D$200+(($C70)-$A$63:$A$108)*'Cálculos'!$D$98)/(('Cálculos'!$D$200+(($C70)-$A$63:$A$108)*'Cálculos'!$D$98)+1400)+'Cálculos'!$D$122)*'Cálculos'!$D$278+'Cálculos'!$D$125*(1+2.78*('Cálculos'!$D$200+(($C70)-$A$63:$A$108)*'Cálculos'!$D$98)/(('Cálculos'!$D$200+(($C70)-$A$63:$A$108)*'Cálculos'!$D$98)+1400)+'Cálculos'!$D$123)*'Cálculos'!$D$283)))))</f>
        <v>74648.13234</v>
      </c>
      <c r="E70" s="32">
        <f>IF(OR($C70&lt;0,'Cálculos'!$D$6=""),0,$B70*$D70)</f>
        <v>101001.4307</v>
      </c>
      <c r="F70" s="2"/>
      <c r="G70" s="30">
        <f>($A70&lt;=$B$110)*($A70&lt;='Cálculos'!$D$294)*(($B$110)-$A70&lt;='Cálculos'!$D$295)*(1+MIN(('Cálculos'!$D$207+$A70*'Cálculos'!$D$95),1)*('Cálculos'!$D$208+(($B$110)-$A70)*'Cálculos'!$D$96))</f>
        <v>1.446741798</v>
      </c>
      <c r="H70" s="31">
        <f>IF($B$111&lt;0,0,($A70&lt;=$B$111)*($A70&lt;='Cálculos'!$D$301)*(($B$111)-$A70&lt;='Cálculos'!$D$297)*(('Cálculos'!$D$185*(1+'Cálculos'!$D$186+$A70*('Cálculos'!$D$290=1)*'Cálculos'!$D$97+'Cálculos'!$D$305)+'Cálculos'!$D$191)*('Cálculos'!$D$209+'Cálculos'!$D$124*(1+2.78*('Cálculos'!$D$196+(($B$111)-$A70)*'Cálculos'!$D$98)/(('Cálculos'!$D$196+(($B$111)-$A70)*'Cálculos'!$D$98)+1400)+'Cálculos'!$D$122)*'Cálculos'!$D$214+'Cálculos'!$D$125*(1+2.78*('Cálculos'!$D$196+(($B$111)-$A70)*'Cálculos'!$D$98)/(('Cálculos'!$D$196+(($B$111)-$A70)*'Cálculos'!$D$98)+1400)+'Cálculos'!$D$123)*'Cálculos'!$D$219)+('Cálculos'!$D$196+(($B$111)-$A70)*'Cálculos'!$D$98)*('Cálculos'!$D$210+'Cálculos'!$D$124*(1+2.78*('Cálculos'!$D$196+(($B$111)-$A70)*'Cálculos'!$D$98)/(('Cálculos'!$D$196+(($B$111)-$A70)*'Cálculos'!$D$98)+1400)+'Cálculos'!$D$122)*'Cálculos'!$D$215+'Cálculos'!$D$125*(1+2.78*('Cálculos'!$D$196+(($B$111)-$A70)*'Cálculos'!$D$98)/(('Cálculos'!$D$196+(($B$111)-$A70)*'Cálculos'!$D$98)+1400)+'Cálculos'!$D$123)*'Cálculos'!$D$220)+('Cálculos'!$D$201*(1+'Cálculos'!$D$202+$A70*('Cálculos'!$D$290=2)*'Cálculos'!$D$101)+'Cálculos'!$D$203)*('Cálculos'!$D$211+'Cálculos'!$D$124*(1+2.78*('Cálculos'!$D$196+(($B$111)-$A70)*'Cálculos'!$D$98)/(('Cálculos'!$D$196+(($B$111)-$A70)*'Cálculos'!$D$98)+1400)+'Cálculos'!$D$122)*'Cálculos'!$D$216+'Cálculos'!$D$125*(1+2.78*('Cálculos'!$D$196+(($B$111)-$A70)*'Cálculos'!$D$98)/(('Cálculos'!$D$196+(($B$111)-$A70)*'Cálculos'!$D$98)+1400)+'Cálculos'!$D$123)*'Cálculos'!$D$221)+('Cálculos'!$D$204*(1+'Cálculos'!$D$205+$A70*('Cálculos'!$D$290=3)*'Cálculos'!$D$103)+'Cálculos'!$D$206)*('Cálculos'!$D$212+'Cálculos'!$D$124*(1+2.78*('Cálculos'!$D$196+(($B$111)-$A70)*'Cálculos'!$D$98)/(('Cálculos'!$D$196+(($B$111)-$A70)*'Cálculos'!$D$98)+1400)+'Cálculos'!$D$122)*'Cálculos'!$D$217+'Cálculos'!$D$125*(1+2.78*('Cálculos'!$D$196+(($B$111)-$A70)*'Cálculos'!$D$98)/(('Cálculos'!$D$196+(($B$111)-$A70)*'Cálculos'!$D$98)+1400)+'Cálculos'!$D$123)*'Cálculos'!$D$222)+('Cálculos'!$D$213+'Cálculos'!$D$124*(1+2.78*('Cálculos'!$D$196+(($B$111)-$A70)*'Cálculos'!$D$98)/(('Cálculos'!$D$196+(($B$111)-$A70)*'Cálculos'!$D$98)+1400)+'Cálculos'!$D$122)*'Cálculos'!$D$218+'Cálculos'!$D$125*(1+2.78*('Cálculos'!$D$196+(($B$111)-$A70)*'Cálculos'!$D$98)/(('Cálculos'!$D$196+(($B$111)-$A70)*'Cálculos'!$D$98)+1400)+'Cálculos'!$D$123)*'Cálculos'!$D$223)+('Cálculos'!$D$185*(1+'Cálculos'!$D$187+$A70*('Cálculos'!$D$290=1)*'Cálculos'!$D$97+'Cálculos'!$D$305)+'Cálculos'!$D$192)*('Cálculos'!$D$224+'Cálculos'!$D$124*(1+2.78*('Cálculos'!$D$197+(($B$111)-$A70)*'Cálculos'!$D$98)/(('Cálculos'!$D$197+(($B$111)-$A70)*'Cálculos'!$D$98)+1400)+'Cálculos'!$D$122)*'Cálculos'!$D$229+'Cálculos'!$D$125*(1+2.78*('Cálculos'!$D$197+(($B$111)-$A70)*'Cálculos'!$D$98)/(('Cálculos'!$D$197+(($B$111)-$A70)*'Cálculos'!$D$98)+1400)+'Cálculos'!$D$123)*'Cálculos'!$D$234)+('Cálculos'!$D$197+(($B$111)-$A70)*'Cálculos'!$D$98)*('Cálculos'!$D$225+'Cálculos'!$D$124*(1+2.78*('Cálculos'!$D$197+(($B$111)-$A70)*'Cálculos'!$D$98)/(('Cálculos'!$D$197+(($B$111)-$A70)*'Cálculos'!$D$98)+1400)+'Cálculos'!$D$122)*'Cálculos'!$D$230+'Cálculos'!$D$125*(1+2.78*('Cálculos'!$D$197+(($B$111)-$A70)*'Cálculos'!$D$98)/(('Cálculos'!$D$197+(($B$111)-$A70)*'Cálculos'!$D$98)+1400)+'Cálculos'!$D$123)*'Cálculos'!$D$235)+('Cálculos'!$D$201*(1+'Cálculos'!$D$202+$A70*('Cálculos'!$D$290=2)*'Cálculos'!$D$101)+'Cálculos'!$D$203)*('Cálculos'!$D$226+'Cálculos'!$D$124*(1+2.78*('Cálculos'!$D$197+(($B$111)-$A70)*'Cálculos'!$D$98)/(('Cálculos'!$D$197+(($B$111)-$A70)*'Cálculos'!$D$98)+1400)+'Cálculos'!$D$122)*'Cálculos'!$D$231+'Cálculos'!$D$125*(1+2.78*('Cálculos'!$D$197+(($B$111)-$A70)*'Cálculos'!$D$98)/(('Cálculos'!$D$197+(($B$111)-$A70)*'Cálculos'!$D$98)+1400)+'Cálculos'!$D$123)*'Cálculos'!$D$236)+('Cálculos'!$D$204*(1+'Cálculos'!$D$205+$A70*('Cálculos'!$D$290=3)*'Cálculos'!$D$103)+'Cálculos'!$D$206)*('Cálculos'!$D$227+'Cálculos'!$D$124*(1+2.78*('Cálculos'!$D$197+(($B$111)-$A70)*'Cálculos'!$D$98)/(('Cálculos'!$D$197+(($B$111)-$A70)*'Cálculos'!$D$98)+1400)+'Cálculos'!$D$122)*'Cálculos'!$D$232+'Cálculos'!$D$125*(1+2.78*('Cálculos'!$D$197+(($B$111)-$A70)*'Cálculos'!$D$98)/(('Cálculos'!$D$197+(($B$111)-$A70)*'Cálculos'!$D$98)+1400)+'Cálculos'!$D$123)*'Cálculos'!$D$237)+('Cálculos'!$D$228+'Cálculos'!$D$124*(1+2.78*('Cálculos'!$D$197+(($B$111)-$A70)*'Cálculos'!$D$98)/(('Cálculos'!$D$197+(($B$111)-$A70)*'Cálculos'!$D$98)+1400)+'Cálculos'!$D$122)*'Cálculos'!$D$233+'Cálculos'!$D$125*(1+2.78*('Cálculos'!$D$197+(($B$111)-$A70)*'Cálculos'!$D$98)/(('Cálculos'!$D$197+(($B$111)-$A70)*'Cálculos'!$D$98)+1400)+'Cálculos'!$D$123)*'Cálculos'!$D$238)+('Cálculos'!$D$185*(1+'Cálculos'!$D$188+$A70*('Cálculos'!$D$290=1)*'Cálculos'!$D$97+'Cálculos'!$D$305)+'Cálculos'!$D$193)*('Cálculos'!$D$239+'Cálculos'!$D$124*(1+2.78*('Cálculos'!$D$198+(($B$111)-$A70)*'Cálculos'!$D$98)/(('Cálculos'!$D$198+(($B$111)-$A70)*'Cálculos'!$D$98)+1400)+'Cálculos'!$D$122)*'Cálculos'!$D$244+'Cálculos'!$D$125*(1+2.78*('Cálculos'!$D$198+(($B$111)-$A70)*'Cálculos'!$D$98)/(('Cálculos'!$D$198+(($B$111)-$A70)*'Cálculos'!$D$98)+1400)+'Cálculos'!$D$123)*'Cálculos'!$D$249)+('Cálculos'!$D$198+(($B$111)-$A70)*'Cálculos'!$D$98)*('Cálculos'!$D$240+'Cálculos'!$D$124*(1+2.78*('Cálculos'!$D$198+(($B$111)-$A70)*'Cálculos'!$D$98)/(('Cálculos'!$D$198+(($B$111)-$A70)*'Cálculos'!$D$98)+1400)+'Cálculos'!$D$122)*'Cálculos'!$D$245+'Cálculos'!$D$125*(1+2.78*('Cálculos'!$D$198+(($B$111)-$A70)*'Cálculos'!$D$98)/(('Cálculos'!$D$198+(($B$111)-$A70)*'Cálculos'!$D$98)+1400)+'Cálculos'!$D$123)*'Cálculos'!$D$250)+('Cálculos'!$D$201*(1+'Cálculos'!$D$202+$A70*('Cálculos'!$D$290=2)*'Cálculos'!$D$101)+'Cálculos'!$D$203)*('Cálculos'!$D$241+'Cálculos'!$D$124*(1+2.78*('Cálculos'!$D$198+(($B$111)-$A70)*'Cálculos'!$D$98)/(('Cálculos'!$D$198+(($B$111)-$A70)*'Cálculos'!$D$98)+1400)+'Cálculos'!$D$122)*'Cálculos'!$D$246+'Cálculos'!$D$125*(1+2.78*('Cálculos'!$D$198+(($B$111)-$A70)*'Cálculos'!$D$98)/(('Cálculos'!$D$198+(($B$111)-$A70)*'Cálculos'!$D$98)+1400)+'Cálculos'!$D$123)*'Cálculos'!$D$251)+('Cálculos'!$D$204*(1+'Cálculos'!$D$205+$A70*('Cálculos'!$D$290=3)*'Cálculos'!$D$103)+'Cálculos'!$D$206)*('Cálculos'!$D$242+'Cálculos'!$D$124*(1+2.78*('Cálculos'!$D$198+(($B$111)-$A70)*'Cálculos'!$D$98)/(('Cálculos'!$D$198+(($B$111)-$A70)*'Cálculos'!$D$98)+1400)+'Cálculos'!$D$122)*'Cálculos'!$D$247+'Cálculos'!$D$125*(1+2.78*('Cálculos'!$D$198+(($B$111)-$A70)*'Cálculos'!$D$98)/(('Cálculos'!$D$198+(($B$111)-$A70)*'Cálculos'!$D$98)+1400)+'Cálculos'!$D$123)*'Cálculos'!$D$252)+('Cálculos'!$D$243+'Cálculos'!$D$124*(1+2.78*('Cálculos'!$D$198+(($B$111)-$A70)*'Cálculos'!$D$98)/(('Cálculos'!$D$198+(($B$111)-$A70)*'Cálculos'!$D$98)+1400)+'Cálculos'!$D$122)*'Cálculos'!$D$248+'Cálculos'!$D$125*(1+2.78*('Cálculos'!$D$198+(($B$111)-$A70)*'Cálculos'!$D$98)/(('Cálculos'!$D$198+(($B$111)-$A70)*'Cálculos'!$D$98)+1400)+'Cálculos'!$D$123)*'Cálculos'!$D$253)+('Cálculos'!$D$185*(1+'Cálculos'!$D$189+$A70*('Cálculos'!$D$290=1)*'Cálculos'!$D$97+'Cálculos'!$D$305)+'Cálculos'!$D$194)*('Cálculos'!$D$254+'Cálculos'!$D$124*(1+2.78*('Cálculos'!$D$199+(($B$111)-$A70)*'Cálculos'!$D$98)/(('Cálculos'!$D$199+(($B$111)-$A70)*'Cálculos'!$D$98)+1400)+'Cálculos'!$D$122)*'Cálculos'!$D$259+'Cálculos'!$D$125*(1+2.78*('Cálculos'!$D$199+(($B$111)-$A70)*'Cálculos'!$D$98)/(('Cálculos'!$D$199+(($B$111)-$A70)*'Cálculos'!$D$98)+1400)+'Cálculos'!$D$123)*'Cálculos'!$D$264)+('Cálculos'!$D$199+(($B$111)-$A70)*'Cálculos'!$D$98)*('Cálculos'!$D$255+'Cálculos'!$D$124*(1+2.78*('Cálculos'!$D$199+(($B$111)-$A70)*'Cálculos'!$D$98)/(('Cálculos'!$D$199+(($B$111)-$A70)*'Cálculos'!$D$98)+1400)+'Cálculos'!$D$122)*'Cálculos'!$D$260+'Cálculos'!$D$125*(1+2.78*('Cálculos'!$D$199+(($B$111)-$A70)*'Cálculos'!$D$98)/(('Cálculos'!$D$199+(($B$111)-$A70)*'Cálculos'!$D$98)+1400)+'Cálculos'!$D$123)*'Cálculos'!$D$265)+('Cálculos'!$D$201*(1+'Cálculos'!$D$202+$A70*('Cálculos'!$D$290=2)*'Cálculos'!$D$101)+'Cálculos'!$D$203)*('Cálculos'!$D$256+'Cálculos'!$D$124*(1+2.78*('Cálculos'!$D$199+(($B$111)-$A70)*'Cálculos'!$D$98)/(('Cálculos'!$D$199+(($B$111)-$A70)*'Cálculos'!$D$98)+1400)+'Cálculos'!$D$122)*'Cálculos'!$D$261+'Cálculos'!$D$125*(1+2.78*('Cálculos'!$D$199+(($B$111)-$A70)*'Cálculos'!$D$98)/(('Cálculos'!$D$199+(($B$111)-$A70)*'Cálculos'!$D$98)+1400)+'Cálculos'!$D$123)*'Cálculos'!$D$266)+('Cálculos'!$D$204*(1+'Cálculos'!$D$205+$A70*('Cálculos'!$D$290=3)*'Cálculos'!$D$103)+'Cálculos'!$D$206)*('Cálculos'!$D$257+'Cálculos'!$D$124*(1+2.78*('Cálculos'!$D$199+(($B$111)-$A70)*'Cálculos'!$D$98)/(('Cálculos'!$D$199+(($B$111)-$A70)*'Cálculos'!$D$98)+1400)+'Cálculos'!$D$122)*'Cálculos'!$D$262+'Cálculos'!$D$125*(1+2.78*('Cálculos'!$D$199+(($B$111)-$A70)*'Cálculos'!$D$98)/(('Cálculos'!$D$199+(($B$111)-$A70)*'Cálculos'!$D$98)+1400)+'Cálculos'!$D$123)*'Cálculos'!$D$267)+('Cálculos'!$D$258+'Cálculos'!$D$124*(1+2.78*('Cálculos'!$D$199+(($B$111)-$A70)*'Cálculos'!$D$98)/(('Cálculos'!$D$199+(($B$111)-$A70)*'Cálculos'!$D$98)+1400)+'Cálculos'!$D$122)*'Cálculos'!$D$263+'Cálculos'!$D$125*(1+2.78*('Cálculos'!$D$199+(($B$111)-$A70)*'Cálculos'!$D$98)/(('Cálculos'!$D$199+(($B$111)-$A70)*'Cálculos'!$D$98)+1400)+'Cálculos'!$D$123)*'Cálculos'!$D$268)+('Cálculos'!$D$185*(1+'Cálculos'!$D$190+$A70*('Cálculos'!$D$290=1)*'Cálculos'!$D$97+'Cálculos'!$D$305)+'Cálculos'!$D$195)*('Cálculos'!$D$269+'Cálculos'!$D$124*(1+2.78*('Cálculos'!$D$200+(($B$111)-$A70)*'Cálculos'!$D$98)/(('Cálculos'!$D$200+(($B$111)-$A70)*'Cálculos'!$D$98)+1400)+'Cálculos'!$D$122)*'Cálculos'!$D$274+'Cálculos'!$D$125*(1+2.78*('Cálculos'!$D$200+(($B$111)-$A70)*'Cálculos'!$D$98)/(('Cálculos'!$D$200+(($B$111)-$A70)*'Cálculos'!$D$98)+1400)+'Cálculos'!$D$123)*'Cálculos'!$D$279)+('Cálculos'!$D$200+(($B$111)-$A70)*'Cálculos'!$D$98)*('Cálculos'!$D$270+'Cálculos'!$D$124*(1+2.78*('Cálculos'!$D$200+(($B$111)-$A70)*'Cálculos'!$D$98)/(('Cálculos'!$D$200+(($B$111)-$A70)*'Cálculos'!$D$98)+1400)+'Cálculos'!$D$122)*'Cálculos'!$D$275+'Cálculos'!$D$125*(1+2.78*('Cálculos'!$D$200+(($B$111)-$A70)*'Cálculos'!$D$98)/(('Cálculos'!$D$200+(($B$111)-$A70)*'Cálculos'!$D$98)+1400)+'Cálculos'!$D$123)*'Cálculos'!$D$280)+('Cálculos'!$D$201*(1+'Cálculos'!$D$202+$A70*('Cálculos'!$D$290=2)*'Cálculos'!$D$101)+'Cálculos'!$D$203)*('Cálculos'!$D$271+'Cálculos'!$D$124*(1+2.78*('Cálculos'!$D$200+(($B$111)-$A70)*'Cálculos'!$D$98)/(('Cálculos'!$D$200+(($B$111)-$A70)*'Cálculos'!$D$98)+1400)+'Cálculos'!$D$122)*'Cálculos'!$D$276+'Cálculos'!$D$125*(1+2.78*('Cálculos'!$D$200+(($B$111)-$A70)*'Cálculos'!$D$98)/(('Cálculos'!$D$200+(($B$111)-$A70)*'Cálculos'!$D$98)+1400)+'Cálculos'!$D$123)*'Cálculos'!$D$281)+('Cálculos'!$D$204*(1+'Cálculos'!$D$205+$A70*('Cálculos'!$D$290=3)*'Cálculos'!$D$103)+'Cálculos'!$D$206)*('Cálculos'!$D$272+'Cálculos'!$D$124*(1+2.78*('Cálculos'!$D$200+(($B$111)-$A70)*'Cálculos'!$D$98)/(('Cálculos'!$D$200+(($B$111)-$A70)*'Cálculos'!$D$98)+1400)+'Cálculos'!$D$122)*'Cálculos'!$D$277+'Cálculos'!$D$125*(1+2.78*('Cálculos'!$D$200+(($B$111)-$A70)*'Cálculos'!$D$98)/(('Cálculos'!$D$200+(($B$111)-$A70)*'Cálculos'!$D$98)+1400)+'Cálculos'!$D$123)*'Cálculos'!$D$282)+('Cálculos'!$D$273+'Cálculos'!$D$124*(1+2.78*('Cálculos'!$D$200+(($B$111)-$A70)*'Cálculos'!$D$98)/(('Cálculos'!$D$200+(($B$111)-$A70)*'Cálculos'!$D$98)+1400)+'Cálculos'!$D$122)*'Cálculos'!$D$278+'Cálculos'!$D$125*(1+2.78*('Cálculos'!$D$200+(($B$111)-$A70)*'Cálculos'!$D$98)/(('Cálculos'!$D$200+(($B$111)-$A70)*'Cálculos'!$D$98)+1400)+'Cálculos'!$D$123)*'Cálculos'!$D$283)))</f>
        <v>0</v>
      </c>
    </row>
    <row r="71" ht="15.75" customHeight="1">
      <c r="A71" s="2">
        <v>8.0</v>
      </c>
      <c r="B71" s="30">
        <f>SUMPRODUCT(MAX(($A$63:$A$108&lt;=$A71)*($A$63:$A$108&lt;='Cálculos'!$D$294)*(($A71)-$A$63:$A$108&lt;='Cálculos'!$D$295)*(1+(('Cálculos'!$D$207+$A$63:$A$108*'Cálculos'!$D$95)-(('Cálculos'!$D$207+$A$63:$A$108*'Cálculos'!$D$95)&gt;1)*(('Cálculos'!$D$207+$A$63:$A$108*'Cálculos'!$D$95)-1))*('Cálculos'!$D$208+(($A71)-$A$63:$A$108)*'Cálculos'!$D$96))))</f>
        <v>1.376703606</v>
      </c>
      <c r="C71" s="2">
        <f>'Cálculos'!$D$303-$A71</f>
        <v>3</v>
      </c>
      <c r="D71" s="31">
        <f>IF($C71&lt;0,0,SUMPRODUCT(MAX(($A$63:$A$108&lt;=$C71)*($A$63:$A$108&lt;='Cálculos'!$D$301)*(($C71)-$A$63:$A$108&lt;='Cálculos'!$D$297)*(('Cálculos'!$D$185*(1+'Cálculos'!$D$186+$A$63:$A$108*('Cálculos'!$D$290=1)*'Cálculos'!$D$97+'Cálculos'!$D$305)+'Cálculos'!$D$191)*('Cálculos'!$D$209+'Cálculos'!$D$124*(1+2.78*('Cálculos'!$D$196+(($C71)-$A$63:$A$108)*'Cálculos'!$D$98)/(('Cálculos'!$D$196+(($C71)-$A$63:$A$108)*'Cálculos'!$D$98)+1400)+'Cálculos'!$D$122)*'Cálculos'!$D$214+'Cálculos'!$D$125*(1+2.78*('Cálculos'!$D$196+(($C71)-$A$63:$A$108)*'Cálculos'!$D$98)/(('Cálculos'!$D$196+(($C71)-$A$63:$A$108)*'Cálculos'!$D$98)+1400)+'Cálculos'!$D$123)*'Cálculos'!$D$219)+('Cálculos'!$D$196+(($C71)-$A$63:$A$108)*'Cálculos'!$D$98)*('Cálculos'!$D$210+'Cálculos'!$D$124*(1+2.78*('Cálculos'!$D$196+(($C71)-$A$63:$A$108)*'Cálculos'!$D$98)/(('Cálculos'!$D$196+(($C71)-$A$63:$A$108)*'Cálculos'!$D$98)+1400)+'Cálculos'!$D$122)*'Cálculos'!$D$215+'Cálculos'!$D$125*(1+2.78*('Cálculos'!$D$196+(($C71)-$A$63:$A$108)*'Cálculos'!$D$98)/(('Cálculos'!$D$196+(($C71)-$A$63:$A$108)*'Cálculos'!$D$98)+1400)+'Cálculos'!$D$123)*'Cálculos'!$D$220)+('Cálculos'!$D$201*(1+'Cálculos'!$D$202+$A$63:$A$108*('Cálculos'!$D$290=2)*'Cálculos'!$D$101)+'Cálculos'!$D$203)*('Cálculos'!$D$211+'Cálculos'!$D$124*(1+2.78*('Cálculos'!$D$196+(($C71)-$A$63:$A$108)*'Cálculos'!$D$98)/(('Cálculos'!$D$196+(($C71)-$A$63:$A$108)*'Cálculos'!$D$98)+1400)+'Cálculos'!$D$122)*'Cálculos'!$D$216+'Cálculos'!$D$125*(1+2.78*('Cálculos'!$D$196+(($C71)-$A$63:$A$108)*'Cálculos'!$D$98)/(('Cálculos'!$D$196+(($C71)-$A$63:$A$108)*'Cálculos'!$D$98)+1400)+'Cálculos'!$D$123)*'Cálculos'!$D$221)+('Cálculos'!$D$204*(1+'Cálculos'!$D$205+$A$63:$A$108*('Cálculos'!$D$290=3)*'Cálculos'!$D$103)+'Cálculos'!$D$206)*('Cálculos'!$D$212+'Cálculos'!$D$124*(1+2.78*('Cálculos'!$D$196+(($C71)-$A$63:$A$108)*'Cálculos'!$D$98)/(('Cálculos'!$D$196+(($C71)-$A$63:$A$108)*'Cálculos'!$D$98)+1400)+'Cálculos'!$D$122)*'Cálculos'!$D$217+'Cálculos'!$D$125*(1+2.78*('Cálculos'!$D$196+(($C71)-$A$63:$A$108)*'Cálculos'!$D$98)/(('Cálculos'!$D$196+(($C71)-$A$63:$A$108)*'Cálculos'!$D$98)+1400)+'Cálculos'!$D$123)*'Cálculos'!$D$222)+('Cálculos'!$D$213+'Cálculos'!$D$124*(1+2.78*('Cálculos'!$D$196+(($C71)-$A$63:$A$108)*'Cálculos'!$D$98)/(('Cálculos'!$D$196+(($C71)-$A$63:$A$108)*'Cálculos'!$D$98)+1400)+'Cálculos'!$D$122)*'Cálculos'!$D$218+'Cálculos'!$D$125*(1+2.78*('Cálculos'!$D$196+(($C71)-$A$63:$A$108)*'Cálculos'!$D$98)/(('Cálculos'!$D$196+(($C71)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71)-$A$63:$A$108)*'Cálculos'!$D$98)/(('Cálculos'!$D$197+(($C71)-$A$63:$A$108)*'Cálculos'!$D$98)+1400)+'Cálculos'!$D$122)*'Cálculos'!$D$229+'Cálculos'!$D$125*(1+2.78*('Cálculos'!$D$197+(($C71)-$A$63:$A$108)*'Cálculos'!$D$98)/(('Cálculos'!$D$197+(($C71)-$A$63:$A$108)*'Cálculos'!$D$98)+1400)+'Cálculos'!$D$123)*'Cálculos'!$D$234)+('Cálculos'!$D$197+(($C71)-$A$63:$A$108)*'Cálculos'!$D$98)*('Cálculos'!$D$225+'Cálculos'!$D$124*(1+2.78*('Cálculos'!$D$197+(($C71)-$A$63:$A$108)*'Cálculos'!$D$98)/(('Cálculos'!$D$197+(($C71)-$A$63:$A$108)*'Cálculos'!$D$98)+1400)+'Cálculos'!$D$122)*'Cálculos'!$D$230+'Cálculos'!$D$125*(1+2.78*('Cálculos'!$D$197+(($C71)-$A$63:$A$108)*'Cálculos'!$D$98)/(('Cálculos'!$D$197+(($C71)-$A$63:$A$108)*'Cálculos'!$D$98)+1400)+'Cálculos'!$D$123)*'Cálculos'!$D$235)+('Cálculos'!$D$201*(1+'Cálculos'!$D$202+$A$63:$A$108*('Cálculos'!$D$290=2)*'Cálculos'!$D$101)+'Cálculos'!$D$203)*('Cálculos'!$D$226+'Cálculos'!$D$124*(1+2.78*('Cálculos'!$D$197+(($C71)-$A$63:$A$108)*'Cálculos'!$D$98)/(('Cálculos'!$D$197+(($C71)-$A$63:$A$108)*'Cálculos'!$D$98)+1400)+'Cálculos'!$D$122)*'Cálculos'!$D$231+'Cálculos'!$D$125*(1+2.78*('Cálculos'!$D$197+(($C71)-$A$63:$A$108)*'Cálculos'!$D$98)/(('Cálculos'!$D$197+(($C71)-$A$63:$A$108)*'Cálculos'!$D$98)+1400)+'Cálculos'!$D$123)*'Cálculos'!$D$236)+('Cálculos'!$D$204*(1+'Cálculos'!$D$205+$A$63:$A$108*('Cálculos'!$D$290=3)*'Cálculos'!$D$103)+'Cálculos'!$D$206)*('Cálculos'!$D$227+'Cálculos'!$D$124*(1+2.78*('Cálculos'!$D$197+(($C71)-$A$63:$A$108)*'Cálculos'!$D$98)/(('Cálculos'!$D$197+(($C71)-$A$63:$A$108)*'Cálculos'!$D$98)+1400)+'Cálculos'!$D$122)*'Cálculos'!$D$232+'Cálculos'!$D$125*(1+2.78*('Cálculos'!$D$197+(($C71)-$A$63:$A$108)*'Cálculos'!$D$98)/(('Cálculos'!$D$197+(($C71)-$A$63:$A$108)*'Cálculos'!$D$98)+1400)+'Cálculos'!$D$123)*'Cálculos'!$D$237)+('Cálculos'!$D$228+'Cálculos'!$D$124*(1+2.78*('Cálculos'!$D$197+(($C71)-$A$63:$A$108)*'Cálculos'!$D$98)/(('Cálculos'!$D$197+(($C71)-$A$63:$A$108)*'Cálculos'!$D$98)+1400)+'Cálculos'!$D$122)*'Cálculos'!$D$233+'Cálculos'!$D$125*(1+2.78*('Cálculos'!$D$197+(($C71)-$A$63:$A$108)*'Cálculos'!$D$98)/(('Cálculos'!$D$197+(($C71)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71)-$A$63:$A$108)*'Cálculos'!$D$98)/(('Cálculos'!$D$198+(($C71)-$A$63:$A$108)*'Cálculos'!$D$98)+1400)+'Cálculos'!$D$122)*'Cálculos'!$D$244+'Cálculos'!$D$125*(1+2.78*('Cálculos'!$D$198+(($C71)-$A$63:$A$108)*'Cálculos'!$D$98)/(('Cálculos'!$D$198+(($C71)-$A$63:$A$108)*'Cálculos'!$D$98)+1400)+'Cálculos'!$D$123)*'Cálculos'!$D$249)+('Cálculos'!$D$198+(($C71)-$A$63:$A$108)*'Cálculos'!$D$98)*('Cálculos'!$D$240+'Cálculos'!$D$124*(1+2.78*('Cálculos'!$D$198+(($C71)-$A$63:$A$108)*'Cálculos'!$D$98)/(('Cálculos'!$D$198+(($C71)-$A$63:$A$108)*'Cálculos'!$D$98)+1400)+'Cálculos'!$D$122)*'Cálculos'!$D$245+'Cálculos'!$D$125*(1+2.78*('Cálculos'!$D$198+(($C71)-$A$63:$A$108)*'Cálculos'!$D$98)/(('Cálculos'!$D$198+(($C71)-$A$63:$A$108)*'Cálculos'!$D$98)+1400)+'Cálculos'!$D$123)*'Cálculos'!$D$250)+('Cálculos'!$D$201*(1+'Cálculos'!$D$202+$A$63:$A$108*('Cálculos'!$D$290=2)*'Cálculos'!$D$101)+'Cálculos'!$D$203)*('Cálculos'!$D$241+'Cálculos'!$D$124*(1+2.78*('Cálculos'!$D$198+(($C71)-$A$63:$A$108)*'Cálculos'!$D$98)/(('Cálculos'!$D$198+(($C71)-$A$63:$A$108)*'Cálculos'!$D$98)+1400)+'Cálculos'!$D$122)*'Cálculos'!$D$246+'Cálculos'!$D$125*(1+2.78*('Cálculos'!$D$198+(($C71)-$A$63:$A$108)*'Cálculos'!$D$98)/(('Cálculos'!$D$198+(($C71)-$A$63:$A$108)*'Cálculos'!$D$98)+1400)+'Cálculos'!$D$123)*'Cálculos'!$D$251)+('Cálculos'!$D$204*(1+'Cálculos'!$D$205+$A$63:$A$108*('Cálculos'!$D$290=3)*'Cálculos'!$D$103)+'Cálculos'!$D$206)*('Cálculos'!$D$242+'Cálculos'!$D$124*(1+2.78*('Cálculos'!$D$198+(($C71)-$A$63:$A$108)*'Cálculos'!$D$98)/(('Cálculos'!$D$198+(($C71)-$A$63:$A$108)*'Cálculos'!$D$98)+1400)+'Cálculos'!$D$122)*'Cálculos'!$D$247+'Cálculos'!$D$125*(1+2.78*('Cálculos'!$D$198+(($C71)-$A$63:$A$108)*'Cálculos'!$D$98)/(('Cálculos'!$D$198+(($C71)-$A$63:$A$108)*'Cálculos'!$D$98)+1400)+'Cálculos'!$D$123)*'Cálculos'!$D$252)+('Cálculos'!$D$243+'Cálculos'!$D$124*(1+2.78*('Cálculos'!$D$198+(($C71)-$A$63:$A$108)*'Cálculos'!$D$98)/(('Cálculos'!$D$198+(($C71)-$A$63:$A$108)*'Cálculos'!$D$98)+1400)+'Cálculos'!$D$122)*'Cálculos'!$D$248+'Cálculos'!$D$125*(1+2.78*('Cálculos'!$D$198+(($C71)-$A$63:$A$108)*'Cálculos'!$D$98)/(('Cálculos'!$D$198+(($C71)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71)-$A$63:$A$108)*'Cálculos'!$D$98)/(('Cálculos'!$D$199+(($C71)-$A$63:$A$108)*'Cálculos'!$D$98)+1400)+'Cálculos'!$D$122)*'Cálculos'!$D$259+'Cálculos'!$D$125*(1+2.78*('Cálculos'!$D$199+(($C71)-$A$63:$A$108)*'Cálculos'!$D$98)/(('Cálculos'!$D$199+(($C71)-$A$63:$A$108)*'Cálculos'!$D$98)+1400)+'Cálculos'!$D$123)*'Cálculos'!$D$264)+('Cálculos'!$D$199+(($C71)-$A$63:$A$108)*'Cálculos'!$D$98)*('Cálculos'!$D$255+'Cálculos'!$D$124*(1+2.78*('Cálculos'!$D$199+(($C71)-$A$63:$A$108)*'Cálculos'!$D$98)/(('Cálculos'!$D$199+(($C71)-$A$63:$A$108)*'Cálculos'!$D$98)+1400)+'Cálculos'!$D$122)*'Cálculos'!$D$260+'Cálculos'!$D$125*(1+2.78*('Cálculos'!$D$199+(($C71)-$A$63:$A$108)*'Cálculos'!$D$98)/(('Cálculos'!$D$199+(($C71)-$A$63:$A$108)*'Cálculos'!$D$98)+1400)+'Cálculos'!$D$123)*'Cálculos'!$D$265)+('Cálculos'!$D$201*(1+'Cálculos'!$D$202+$A$63:$A$108*('Cálculos'!$D$290=2)*'Cálculos'!$D$101)+'Cálculos'!$D$203)*('Cálculos'!$D$256+'Cálculos'!$D$124*(1+2.78*('Cálculos'!$D$199+(($C71)-$A$63:$A$108)*'Cálculos'!$D$98)/(('Cálculos'!$D$199+(($C71)-$A$63:$A$108)*'Cálculos'!$D$98)+1400)+'Cálculos'!$D$122)*'Cálculos'!$D$261+'Cálculos'!$D$125*(1+2.78*('Cálculos'!$D$199+(($C71)-$A$63:$A$108)*'Cálculos'!$D$98)/(('Cálculos'!$D$199+(($C71)-$A$63:$A$108)*'Cálculos'!$D$98)+1400)+'Cálculos'!$D$123)*'Cálculos'!$D$266)+('Cálculos'!$D$204*(1+'Cálculos'!$D$205+$A$63:$A$108*('Cálculos'!$D$290=3)*'Cálculos'!$D$103)+'Cálculos'!$D$206)*('Cálculos'!$D$257+'Cálculos'!$D$124*(1+2.78*('Cálculos'!$D$199+(($C71)-$A$63:$A$108)*'Cálculos'!$D$98)/(('Cálculos'!$D$199+(($C71)-$A$63:$A$108)*'Cálculos'!$D$98)+1400)+'Cálculos'!$D$122)*'Cálculos'!$D$262+'Cálculos'!$D$125*(1+2.78*('Cálculos'!$D$199+(($C71)-$A$63:$A$108)*'Cálculos'!$D$98)/(('Cálculos'!$D$199+(($C71)-$A$63:$A$108)*'Cálculos'!$D$98)+1400)+'Cálculos'!$D$123)*'Cálculos'!$D$267)+('Cálculos'!$D$258+'Cálculos'!$D$124*(1+2.78*('Cálculos'!$D$199+(($C71)-$A$63:$A$108)*'Cálculos'!$D$98)/(('Cálculos'!$D$199+(($C71)-$A$63:$A$108)*'Cálculos'!$D$98)+1400)+'Cálculos'!$D$122)*'Cálculos'!$D$263+'Cálculos'!$D$125*(1+2.78*('Cálculos'!$D$199+(($C71)-$A$63:$A$108)*'Cálculos'!$D$98)/(('Cálculos'!$D$199+(($C71)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71)-$A$63:$A$108)*'Cálculos'!$D$98)/(('Cálculos'!$D$200+(($C71)-$A$63:$A$108)*'Cálculos'!$D$98)+1400)+'Cálculos'!$D$122)*'Cálculos'!$D$274+'Cálculos'!$D$125*(1+2.78*('Cálculos'!$D$200+(($C71)-$A$63:$A$108)*'Cálculos'!$D$98)/(('Cálculos'!$D$200+(($C71)-$A$63:$A$108)*'Cálculos'!$D$98)+1400)+'Cálculos'!$D$123)*'Cálculos'!$D$279)+('Cálculos'!$D$200+(($C71)-$A$63:$A$108)*'Cálculos'!$D$98)*('Cálculos'!$D$270+'Cálculos'!$D$124*(1+2.78*('Cálculos'!$D$200+(($C71)-$A$63:$A$108)*'Cálculos'!$D$98)/(('Cálculos'!$D$200+(($C71)-$A$63:$A$108)*'Cálculos'!$D$98)+1400)+'Cálculos'!$D$122)*'Cálculos'!$D$275+'Cálculos'!$D$125*(1+2.78*('Cálculos'!$D$200+(($C71)-$A$63:$A$108)*'Cálculos'!$D$98)/(('Cálculos'!$D$200+(($C71)-$A$63:$A$108)*'Cálculos'!$D$98)+1400)+'Cálculos'!$D$123)*'Cálculos'!$D$280)+('Cálculos'!$D$201*(1+'Cálculos'!$D$202+$A$63:$A$108*('Cálculos'!$D$290=2)*'Cálculos'!$D$101)+'Cálculos'!$D$203)*('Cálculos'!$D$271+'Cálculos'!$D$124*(1+2.78*('Cálculos'!$D$200+(($C71)-$A$63:$A$108)*'Cálculos'!$D$98)/(('Cálculos'!$D$200+(($C71)-$A$63:$A$108)*'Cálculos'!$D$98)+1400)+'Cálculos'!$D$122)*'Cálculos'!$D$276+'Cálculos'!$D$125*(1+2.78*('Cálculos'!$D$200+(($C71)-$A$63:$A$108)*'Cálculos'!$D$98)/(('Cálculos'!$D$200+(($C71)-$A$63:$A$108)*'Cálculos'!$D$98)+1400)+'Cálculos'!$D$123)*'Cálculos'!$D$281)+('Cálculos'!$D$204*(1+'Cálculos'!$D$205+$A$63:$A$108*('Cálculos'!$D$290=3)*'Cálculos'!$D$103)+'Cálculos'!$D$206)*('Cálculos'!$D$272+'Cálculos'!$D$124*(1+2.78*('Cálculos'!$D$200+(($C71)-$A$63:$A$108)*'Cálculos'!$D$98)/(('Cálculos'!$D$200+(($C71)-$A$63:$A$108)*'Cálculos'!$D$98)+1400)+'Cálculos'!$D$122)*'Cálculos'!$D$277+'Cálculos'!$D$125*(1+2.78*('Cálculos'!$D$200+(($C71)-$A$63:$A$108)*'Cálculos'!$D$98)/(('Cálculos'!$D$200+(($C71)-$A$63:$A$108)*'Cálculos'!$D$98)+1400)+'Cálculos'!$D$123)*'Cálculos'!$D$282)+('Cálculos'!$D$273+'Cálculos'!$D$124*(1+2.78*('Cálculos'!$D$200+(($C71)-$A$63:$A$108)*'Cálculos'!$D$98)/(('Cálculos'!$D$200+(($C71)-$A$63:$A$108)*'Cálculos'!$D$98)+1400)+'Cálculos'!$D$122)*'Cálculos'!$D$278+'Cálculos'!$D$125*(1+2.78*('Cálculos'!$D$200+(($C71)-$A$63:$A$108)*'Cálculos'!$D$98)/(('Cálculos'!$D$200+(($C71)-$A$63:$A$108)*'Cálculos'!$D$98)+1400)+'Cálculos'!$D$123)*'Cálculos'!$D$283)))))</f>
        <v>73570.3341</v>
      </c>
      <c r="E71" s="32">
        <f>IF(OR($C71&lt;0,'Cálculos'!$D$6=""),0,$B71*$D71)</f>
        <v>101284.5442</v>
      </c>
      <c r="F71" s="2"/>
      <c r="G71" s="30">
        <f>($A71&lt;=$B$110)*($A71&lt;='Cálculos'!$D$294)*(($B$110)-$A71&lt;='Cálculos'!$D$295)*(1+MIN(('Cálculos'!$D$207+$A71*'Cálculos'!$D$95),1)*('Cálculos'!$D$208+(($B$110)-$A71)*'Cálculos'!$D$96))</f>
        <v>1.438645213</v>
      </c>
      <c r="H71" s="31">
        <f>IF($B$111&lt;0,0,($A71&lt;=$B$111)*($A71&lt;='Cálculos'!$D$301)*(($B$111)-$A71&lt;='Cálculos'!$D$297)*(('Cálculos'!$D$185*(1+'Cálculos'!$D$186+$A71*('Cálculos'!$D$290=1)*'Cálculos'!$D$97+'Cálculos'!$D$305)+'Cálculos'!$D$191)*('Cálculos'!$D$209+'Cálculos'!$D$124*(1+2.78*('Cálculos'!$D$196+(($B$111)-$A71)*'Cálculos'!$D$98)/(('Cálculos'!$D$196+(($B$111)-$A71)*'Cálculos'!$D$98)+1400)+'Cálculos'!$D$122)*'Cálculos'!$D$214+'Cálculos'!$D$125*(1+2.78*('Cálculos'!$D$196+(($B$111)-$A71)*'Cálculos'!$D$98)/(('Cálculos'!$D$196+(($B$111)-$A71)*'Cálculos'!$D$98)+1400)+'Cálculos'!$D$123)*'Cálculos'!$D$219)+('Cálculos'!$D$196+(($B$111)-$A71)*'Cálculos'!$D$98)*('Cálculos'!$D$210+'Cálculos'!$D$124*(1+2.78*('Cálculos'!$D$196+(($B$111)-$A71)*'Cálculos'!$D$98)/(('Cálculos'!$D$196+(($B$111)-$A71)*'Cálculos'!$D$98)+1400)+'Cálculos'!$D$122)*'Cálculos'!$D$215+'Cálculos'!$D$125*(1+2.78*('Cálculos'!$D$196+(($B$111)-$A71)*'Cálculos'!$D$98)/(('Cálculos'!$D$196+(($B$111)-$A71)*'Cálculos'!$D$98)+1400)+'Cálculos'!$D$123)*'Cálculos'!$D$220)+('Cálculos'!$D$201*(1+'Cálculos'!$D$202+$A71*('Cálculos'!$D$290=2)*'Cálculos'!$D$101)+'Cálculos'!$D$203)*('Cálculos'!$D$211+'Cálculos'!$D$124*(1+2.78*('Cálculos'!$D$196+(($B$111)-$A71)*'Cálculos'!$D$98)/(('Cálculos'!$D$196+(($B$111)-$A71)*'Cálculos'!$D$98)+1400)+'Cálculos'!$D$122)*'Cálculos'!$D$216+'Cálculos'!$D$125*(1+2.78*('Cálculos'!$D$196+(($B$111)-$A71)*'Cálculos'!$D$98)/(('Cálculos'!$D$196+(($B$111)-$A71)*'Cálculos'!$D$98)+1400)+'Cálculos'!$D$123)*'Cálculos'!$D$221)+('Cálculos'!$D$204*(1+'Cálculos'!$D$205+$A71*('Cálculos'!$D$290=3)*'Cálculos'!$D$103)+'Cálculos'!$D$206)*('Cálculos'!$D$212+'Cálculos'!$D$124*(1+2.78*('Cálculos'!$D$196+(($B$111)-$A71)*'Cálculos'!$D$98)/(('Cálculos'!$D$196+(($B$111)-$A71)*'Cálculos'!$D$98)+1400)+'Cálculos'!$D$122)*'Cálculos'!$D$217+'Cálculos'!$D$125*(1+2.78*('Cálculos'!$D$196+(($B$111)-$A71)*'Cálculos'!$D$98)/(('Cálculos'!$D$196+(($B$111)-$A71)*'Cálculos'!$D$98)+1400)+'Cálculos'!$D$123)*'Cálculos'!$D$222)+('Cálculos'!$D$213+'Cálculos'!$D$124*(1+2.78*('Cálculos'!$D$196+(($B$111)-$A71)*'Cálculos'!$D$98)/(('Cálculos'!$D$196+(($B$111)-$A71)*'Cálculos'!$D$98)+1400)+'Cálculos'!$D$122)*'Cálculos'!$D$218+'Cálculos'!$D$125*(1+2.78*('Cálculos'!$D$196+(($B$111)-$A71)*'Cálculos'!$D$98)/(('Cálculos'!$D$196+(($B$111)-$A71)*'Cálculos'!$D$98)+1400)+'Cálculos'!$D$123)*'Cálculos'!$D$223)+('Cálculos'!$D$185*(1+'Cálculos'!$D$187+$A71*('Cálculos'!$D$290=1)*'Cálculos'!$D$97+'Cálculos'!$D$305)+'Cálculos'!$D$192)*('Cálculos'!$D$224+'Cálculos'!$D$124*(1+2.78*('Cálculos'!$D$197+(($B$111)-$A71)*'Cálculos'!$D$98)/(('Cálculos'!$D$197+(($B$111)-$A71)*'Cálculos'!$D$98)+1400)+'Cálculos'!$D$122)*'Cálculos'!$D$229+'Cálculos'!$D$125*(1+2.78*('Cálculos'!$D$197+(($B$111)-$A71)*'Cálculos'!$D$98)/(('Cálculos'!$D$197+(($B$111)-$A71)*'Cálculos'!$D$98)+1400)+'Cálculos'!$D$123)*'Cálculos'!$D$234)+('Cálculos'!$D$197+(($B$111)-$A71)*'Cálculos'!$D$98)*('Cálculos'!$D$225+'Cálculos'!$D$124*(1+2.78*('Cálculos'!$D$197+(($B$111)-$A71)*'Cálculos'!$D$98)/(('Cálculos'!$D$197+(($B$111)-$A71)*'Cálculos'!$D$98)+1400)+'Cálculos'!$D$122)*'Cálculos'!$D$230+'Cálculos'!$D$125*(1+2.78*('Cálculos'!$D$197+(($B$111)-$A71)*'Cálculos'!$D$98)/(('Cálculos'!$D$197+(($B$111)-$A71)*'Cálculos'!$D$98)+1400)+'Cálculos'!$D$123)*'Cálculos'!$D$235)+('Cálculos'!$D$201*(1+'Cálculos'!$D$202+$A71*('Cálculos'!$D$290=2)*'Cálculos'!$D$101)+'Cálculos'!$D$203)*('Cálculos'!$D$226+'Cálculos'!$D$124*(1+2.78*('Cálculos'!$D$197+(($B$111)-$A71)*'Cálculos'!$D$98)/(('Cálculos'!$D$197+(($B$111)-$A71)*'Cálculos'!$D$98)+1400)+'Cálculos'!$D$122)*'Cálculos'!$D$231+'Cálculos'!$D$125*(1+2.78*('Cálculos'!$D$197+(($B$111)-$A71)*'Cálculos'!$D$98)/(('Cálculos'!$D$197+(($B$111)-$A71)*'Cálculos'!$D$98)+1400)+'Cálculos'!$D$123)*'Cálculos'!$D$236)+('Cálculos'!$D$204*(1+'Cálculos'!$D$205+$A71*('Cálculos'!$D$290=3)*'Cálculos'!$D$103)+'Cálculos'!$D$206)*('Cálculos'!$D$227+'Cálculos'!$D$124*(1+2.78*('Cálculos'!$D$197+(($B$111)-$A71)*'Cálculos'!$D$98)/(('Cálculos'!$D$197+(($B$111)-$A71)*'Cálculos'!$D$98)+1400)+'Cálculos'!$D$122)*'Cálculos'!$D$232+'Cálculos'!$D$125*(1+2.78*('Cálculos'!$D$197+(($B$111)-$A71)*'Cálculos'!$D$98)/(('Cálculos'!$D$197+(($B$111)-$A71)*'Cálculos'!$D$98)+1400)+'Cálculos'!$D$123)*'Cálculos'!$D$237)+('Cálculos'!$D$228+'Cálculos'!$D$124*(1+2.78*('Cálculos'!$D$197+(($B$111)-$A71)*'Cálculos'!$D$98)/(('Cálculos'!$D$197+(($B$111)-$A71)*'Cálculos'!$D$98)+1400)+'Cálculos'!$D$122)*'Cálculos'!$D$233+'Cálculos'!$D$125*(1+2.78*('Cálculos'!$D$197+(($B$111)-$A71)*'Cálculos'!$D$98)/(('Cálculos'!$D$197+(($B$111)-$A71)*'Cálculos'!$D$98)+1400)+'Cálculos'!$D$123)*'Cálculos'!$D$238)+('Cálculos'!$D$185*(1+'Cálculos'!$D$188+$A71*('Cálculos'!$D$290=1)*'Cálculos'!$D$97+'Cálculos'!$D$305)+'Cálculos'!$D$193)*('Cálculos'!$D$239+'Cálculos'!$D$124*(1+2.78*('Cálculos'!$D$198+(($B$111)-$A71)*'Cálculos'!$D$98)/(('Cálculos'!$D$198+(($B$111)-$A71)*'Cálculos'!$D$98)+1400)+'Cálculos'!$D$122)*'Cálculos'!$D$244+'Cálculos'!$D$125*(1+2.78*('Cálculos'!$D$198+(($B$111)-$A71)*'Cálculos'!$D$98)/(('Cálculos'!$D$198+(($B$111)-$A71)*'Cálculos'!$D$98)+1400)+'Cálculos'!$D$123)*'Cálculos'!$D$249)+('Cálculos'!$D$198+(($B$111)-$A71)*'Cálculos'!$D$98)*('Cálculos'!$D$240+'Cálculos'!$D$124*(1+2.78*('Cálculos'!$D$198+(($B$111)-$A71)*'Cálculos'!$D$98)/(('Cálculos'!$D$198+(($B$111)-$A71)*'Cálculos'!$D$98)+1400)+'Cálculos'!$D$122)*'Cálculos'!$D$245+'Cálculos'!$D$125*(1+2.78*('Cálculos'!$D$198+(($B$111)-$A71)*'Cálculos'!$D$98)/(('Cálculos'!$D$198+(($B$111)-$A71)*'Cálculos'!$D$98)+1400)+'Cálculos'!$D$123)*'Cálculos'!$D$250)+('Cálculos'!$D$201*(1+'Cálculos'!$D$202+$A71*('Cálculos'!$D$290=2)*'Cálculos'!$D$101)+'Cálculos'!$D$203)*('Cálculos'!$D$241+'Cálculos'!$D$124*(1+2.78*('Cálculos'!$D$198+(($B$111)-$A71)*'Cálculos'!$D$98)/(('Cálculos'!$D$198+(($B$111)-$A71)*'Cálculos'!$D$98)+1400)+'Cálculos'!$D$122)*'Cálculos'!$D$246+'Cálculos'!$D$125*(1+2.78*('Cálculos'!$D$198+(($B$111)-$A71)*'Cálculos'!$D$98)/(('Cálculos'!$D$198+(($B$111)-$A71)*'Cálculos'!$D$98)+1400)+'Cálculos'!$D$123)*'Cálculos'!$D$251)+('Cálculos'!$D$204*(1+'Cálculos'!$D$205+$A71*('Cálculos'!$D$290=3)*'Cálculos'!$D$103)+'Cálculos'!$D$206)*('Cálculos'!$D$242+'Cálculos'!$D$124*(1+2.78*('Cálculos'!$D$198+(($B$111)-$A71)*'Cálculos'!$D$98)/(('Cálculos'!$D$198+(($B$111)-$A71)*'Cálculos'!$D$98)+1400)+'Cálculos'!$D$122)*'Cálculos'!$D$247+'Cálculos'!$D$125*(1+2.78*('Cálculos'!$D$198+(($B$111)-$A71)*'Cálculos'!$D$98)/(('Cálculos'!$D$198+(($B$111)-$A71)*'Cálculos'!$D$98)+1400)+'Cálculos'!$D$123)*'Cálculos'!$D$252)+('Cálculos'!$D$243+'Cálculos'!$D$124*(1+2.78*('Cálculos'!$D$198+(($B$111)-$A71)*'Cálculos'!$D$98)/(('Cálculos'!$D$198+(($B$111)-$A71)*'Cálculos'!$D$98)+1400)+'Cálculos'!$D$122)*'Cálculos'!$D$248+'Cálculos'!$D$125*(1+2.78*('Cálculos'!$D$198+(($B$111)-$A71)*'Cálculos'!$D$98)/(('Cálculos'!$D$198+(($B$111)-$A71)*'Cálculos'!$D$98)+1400)+'Cálculos'!$D$123)*'Cálculos'!$D$253)+('Cálculos'!$D$185*(1+'Cálculos'!$D$189+$A71*('Cálculos'!$D$290=1)*'Cálculos'!$D$97+'Cálculos'!$D$305)+'Cálculos'!$D$194)*('Cálculos'!$D$254+'Cálculos'!$D$124*(1+2.78*('Cálculos'!$D$199+(($B$111)-$A71)*'Cálculos'!$D$98)/(('Cálculos'!$D$199+(($B$111)-$A71)*'Cálculos'!$D$98)+1400)+'Cálculos'!$D$122)*'Cálculos'!$D$259+'Cálculos'!$D$125*(1+2.78*('Cálculos'!$D$199+(($B$111)-$A71)*'Cálculos'!$D$98)/(('Cálculos'!$D$199+(($B$111)-$A71)*'Cálculos'!$D$98)+1400)+'Cálculos'!$D$123)*'Cálculos'!$D$264)+('Cálculos'!$D$199+(($B$111)-$A71)*'Cálculos'!$D$98)*('Cálculos'!$D$255+'Cálculos'!$D$124*(1+2.78*('Cálculos'!$D$199+(($B$111)-$A71)*'Cálculos'!$D$98)/(('Cálculos'!$D$199+(($B$111)-$A71)*'Cálculos'!$D$98)+1400)+'Cálculos'!$D$122)*'Cálculos'!$D$260+'Cálculos'!$D$125*(1+2.78*('Cálculos'!$D$199+(($B$111)-$A71)*'Cálculos'!$D$98)/(('Cálculos'!$D$199+(($B$111)-$A71)*'Cálculos'!$D$98)+1400)+'Cálculos'!$D$123)*'Cálculos'!$D$265)+('Cálculos'!$D$201*(1+'Cálculos'!$D$202+$A71*('Cálculos'!$D$290=2)*'Cálculos'!$D$101)+'Cálculos'!$D$203)*('Cálculos'!$D$256+'Cálculos'!$D$124*(1+2.78*('Cálculos'!$D$199+(($B$111)-$A71)*'Cálculos'!$D$98)/(('Cálculos'!$D$199+(($B$111)-$A71)*'Cálculos'!$D$98)+1400)+'Cálculos'!$D$122)*'Cálculos'!$D$261+'Cálculos'!$D$125*(1+2.78*('Cálculos'!$D$199+(($B$111)-$A71)*'Cálculos'!$D$98)/(('Cálculos'!$D$199+(($B$111)-$A71)*'Cálculos'!$D$98)+1400)+'Cálculos'!$D$123)*'Cálculos'!$D$266)+('Cálculos'!$D$204*(1+'Cálculos'!$D$205+$A71*('Cálculos'!$D$290=3)*'Cálculos'!$D$103)+'Cálculos'!$D$206)*('Cálculos'!$D$257+'Cálculos'!$D$124*(1+2.78*('Cálculos'!$D$199+(($B$111)-$A71)*'Cálculos'!$D$98)/(('Cálculos'!$D$199+(($B$111)-$A71)*'Cálculos'!$D$98)+1400)+'Cálculos'!$D$122)*'Cálculos'!$D$262+'Cálculos'!$D$125*(1+2.78*('Cálculos'!$D$199+(($B$111)-$A71)*'Cálculos'!$D$98)/(('Cálculos'!$D$199+(($B$111)-$A71)*'Cálculos'!$D$98)+1400)+'Cálculos'!$D$123)*'Cálculos'!$D$267)+('Cálculos'!$D$258+'Cálculos'!$D$124*(1+2.78*('Cálculos'!$D$199+(($B$111)-$A71)*'Cálculos'!$D$98)/(('Cálculos'!$D$199+(($B$111)-$A71)*'Cálculos'!$D$98)+1400)+'Cálculos'!$D$122)*'Cálculos'!$D$263+'Cálculos'!$D$125*(1+2.78*('Cálculos'!$D$199+(($B$111)-$A71)*'Cálculos'!$D$98)/(('Cálculos'!$D$199+(($B$111)-$A71)*'Cálculos'!$D$98)+1400)+'Cálculos'!$D$123)*'Cálculos'!$D$268)+('Cálculos'!$D$185*(1+'Cálculos'!$D$190+$A71*('Cálculos'!$D$290=1)*'Cálculos'!$D$97+'Cálculos'!$D$305)+'Cálculos'!$D$195)*('Cálculos'!$D$269+'Cálculos'!$D$124*(1+2.78*('Cálculos'!$D$200+(($B$111)-$A71)*'Cálculos'!$D$98)/(('Cálculos'!$D$200+(($B$111)-$A71)*'Cálculos'!$D$98)+1400)+'Cálculos'!$D$122)*'Cálculos'!$D$274+'Cálculos'!$D$125*(1+2.78*('Cálculos'!$D$200+(($B$111)-$A71)*'Cálculos'!$D$98)/(('Cálculos'!$D$200+(($B$111)-$A71)*'Cálculos'!$D$98)+1400)+'Cálculos'!$D$123)*'Cálculos'!$D$279)+('Cálculos'!$D$200+(($B$111)-$A71)*'Cálculos'!$D$98)*('Cálculos'!$D$270+'Cálculos'!$D$124*(1+2.78*('Cálculos'!$D$200+(($B$111)-$A71)*'Cálculos'!$D$98)/(('Cálculos'!$D$200+(($B$111)-$A71)*'Cálculos'!$D$98)+1400)+'Cálculos'!$D$122)*'Cálculos'!$D$275+'Cálculos'!$D$125*(1+2.78*('Cálculos'!$D$200+(($B$111)-$A71)*'Cálculos'!$D$98)/(('Cálculos'!$D$200+(($B$111)-$A71)*'Cálculos'!$D$98)+1400)+'Cálculos'!$D$123)*'Cálculos'!$D$280)+('Cálculos'!$D$201*(1+'Cálculos'!$D$202+$A71*('Cálculos'!$D$290=2)*'Cálculos'!$D$101)+'Cálculos'!$D$203)*('Cálculos'!$D$271+'Cálculos'!$D$124*(1+2.78*('Cálculos'!$D$200+(($B$111)-$A71)*'Cálculos'!$D$98)/(('Cálculos'!$D$200+(($B$111)-$A71)*'Cálculos'!$D$98)+1400)+'Cálculos'!$D$122)*'Cálculos'!$D$276+'Cálculos'!$D$125*(1+2.78*('Cálculos'!$D$200+(($B$111)-$A71)*'Cálculos'!$D$98)/(('Cálculos'!$D$200+(($B$111)-$A71)*'Cálculos'!$D$98)+1400)+'Cálculos'!$D$123)*'Cálculos'!$D$281)+('Cálculos'!$D$204*(1+'Cálculos'!$D$205+$A71*('Cálculos'!$D$290=3)*'Cálculos'!$D$103)+'Cálculos'!$D$206)*('Cálculos'!$D$272+'Cálculos'!$D$124*(1+2.78*('Cálculos'!$D$200+(($B$111)-$A71)*'Cálculos'!$D$98)/(('Cálculos'!$D$200+(($B$111)-$A71)*'Cálculos'!$D$98)+1400)+'Cálculos'!$D$122)*'Cálculos'!$D$277+'Cálculos'!$D$125*(1+2.78*('Cálculos'!$D$200+(($B$111)-$A71)*'Cálculos'!$D$98)/(('Cálculos'!$D$200+(($B$111)-$A71)*'Cálculos'!$D$98)+1400)+'Cálculos'!$D$123)*'Cálculos'!$D$282)+('Cálculos'!$D$273+'Cálculos'!$D$124*(1+2.78*('Cálculos'!$D$200+(($B$111)-$A71)*'Cálculos'!$D$98)/(('Cálculos'!$D$200+(($B$111)-$A71)*'Cálculos'!$D$98)+1400)+'Cálculos'!$D$122)*'Cálculos'!$D$278+'Cálculos'!$D$125*(1+2.78*('Cálculos'!$D$200+(($B$111)-$A71)*'Cálculos'!$D$98)/(('Cálculos'!$D$200+(($B$111)-$A71)*'Cálculos'!$D$98)+1400)+'Cálculos'!$D$123)*'Cálculos'!$D$283)))</f>
        <v>0</v>
      </c>
    </row>
    <row r="72" ht="15.75" customHeight="1">
      <c r="A72" s="2">
        <v>9.0</v>
      </c>
      <c r="B72" s="30">
        <f>SUMPRODUCT(MAX(($A$63:$A$108&lt;=$A72)*($A$63:$A$108&lt;='Cálculos'!$D$294)*(($A72)-$A$63:$A$108&lt;='Cálculos'!$D$295)*(1+(('Cálculos'!$D$207+$A$63:$A$108*'Cálculos'!$D$95)-(('Cálculos'!$D$207+$A$63:$A$108*'Cálculos'!$D$95)&gt;1)*(('Cálculos'!$D$207+$A$63:$A$108*'Cálculos'!$D$95)-1))*('Cálculos'!$D$208+(($A72)-$A$63:$A$108)*'Cálculos'!$D$96))))</f>
        <v>1.401701382</v>
      </c>
      <c r="C72" s="2">
        <f>'Cálculos'!$D$303-$A72</f>
        <v>2</v>
      </c>
      <c r="D72" s="31">
        <f>IF($C72&lt;0,0,SUMPRODUCT(MAX(($A$63:$A$108&lt;=$C72)*($A$63:$A$108&lt;='Cálculos'!$D$301)*(($C72)-$A$63:$A$108&lt;='Cálculos'!$D$297)*(('Cálculos'!$D$185*(1+'Cálculos'!$D$186+$A$63:$A$108*('Cálculos'!$D$290=1)*'Cálculos'!$D$97+'Cálculos'!$D$305)+'Cálculos'!$D$191)*('Cálculos'!$D$209+'Cálculos'!$D$124*(1+2.78*('Cálculos'!$D$196+(($C72)-$A$63:$A$108)*'Cálculos'!$D$98)/(('Cálculos'!$D$196+(($C72)-$A$63:$A$108)*'Cálculos'!$D$98)+1400)+'Cálculos'!$D$122)*'Cálculos'!$D$214+'Cálculos'!$D$125*(1+2.78*('Cálculos'!$D$196+(($C72)-$A$63:$A$108)*'Cálculos'!$D$98)/(('Cálculos'!$D$196+(($C72)-$A$63:$A$108)*'Cálculos'!$D$98)+1400)+'Cálculos'!$D$123)*'Cálculos'!$D$219)+('Cálculos'!$D$196+(($C72)-$A$63:$A$108)*'Cálculos'!$D$98)*('Cálculos'!$D$210+'Cálculos'!$D$124*(1+2.78*('Cálculos'!$D$196+(($C72)-$A$63:$A$108)*'Cálculos'!$D$98)/(('Cálculos'!$D$196+(($C72)-$A$63:$A$108)*'Cálculos'!$D$98)+1400)+'Cálculos'!$D$122)*'Cálculos'!$D$215+'Cálculos'!$D$125*(1+2.78*('Cálculos'!$D$196+(($C72)-$A$63:$A$108)*'Cálculos'!$D$98)/(('Cálculos'!$D$196+(($C72)-$A$63:$A$108)*'Cálculos'!$D$98)+1400)+'Cálculos'!$D$123)*'Cálculos'!$D$220)+('Cálculos'!$D$201*(1+'Cálculos'!$D$202+$A$63:$A$108*('Cálculos'!$D$290=2)*'Cálculos'!$D$101)+'Cálculos'!$D$203)*('Cálculos'!$D$211+'Cálculos'!$D$124*(1+2.78*('Cálculos'!$D$196+(($C72)-$A$63:$A$108)*'Cálculos'!$D$98)/(('Cálculos'!$D$196+(($C72)-$A$63:$A$108)*'Cálculos'!$D$98)+1400)+'Cálculos'!$D$122)*'Cálculos'!$D$216+'Cálculos'!$D$125*(1+2.78*('Cálculos'!$D$196+(($C72)-$A$63:$A$108)*'Cálculos'!$D$98)/(('Cálculos'!$D$196+(($C72)-$A$63:$A$108)*'Cálculos'!$D$98)+1400)+'Cálculos'!$D$123)*'Cálculos'!$D$221)+('Cálculos'!$D$204*(1+'Cálculos'!$D$205+$A$63:$A$108*('Cálculos'!$D$290=3)*'Cálculos'!$D$103)+'Cálculos'!$D$206)*('Cálculos'!$D$212+'Cálculos'!$D$124*(1+2.78*('Cálculos'!$D$196+(($C72)-$A$63:$A$108)*'Cálculos'!$D$98)/(('Cálculos'!$D$196+(($C72)-$A$63:$A$108)*'Cálculos'!$D$98)+1400)+'Cálculos'!$D$122)*'Cálculos'!$D$217+'Cálculos'!$D$125*(1+2.78*('Cálculos'!$D$196+(($C72)-$A$63:$A$108)*'Cálculos'!$D$98)/(('Cálculos'!$D$196+(($C72)-$A$63:$A$108)*'Cálculos'!$D$98)+1400)+'Cálculos'!$D$123)*'Cálculos'!$D$222)+('Cálculos'!$D$213+'Cálculos'!$D$124*(1+2.78*('Cálculos'!$D$196+(($C72)-$A$63:$A$108)*'Cálculos'!$D$98)/(('Cálculos'!$D$196+(($C72)-$A$63:$A$108)*'Cálculos'!$D$98)+1400)+'Cálculos'!$D$122)*'Cálculos'!$D$218+'Cálculos'!$D$125*(1+2.78*('Cálculos'!$D$196+(($C72)-$A$63:$A$108)*'Cálculos'!$D$98)/(('Cálculos'!$D$196+(($C72)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72)-$A$63:$A$108)*'Cálculos'!$D$98)/(('Cálculos'!$D$197+(($C72)-$A$63:$A$108)*'Cálculos'!$D$98)+1400)+'Cálculos'!$D$122)*'Cálculos'!$D$229+'Cálculos'!$D$125*(1+2.78*('Cálculos'!$D$197+(($C72)-$A$63:$A$108)*'Cálculos'!$D$98)/(('Cálculos'!$D$197+(($C72)-$A$63:$A$108)*'Cálculos'!$D$98)+1400)+'Cálculos'!$D$123)*'Cálculos'!$D$234)+('Cálculos'!$D$197+(($C72)-$A$63:$A$108)*'Cálculos'!$D$98)*('Cálculos'!$D$225+'Cálculos'!$D$124*(1+2.78*('Cálculos'!$D$197+(($C72)-$A$63:$A$108)*'Cálculos'!$D$98)/(('Cálculos'!$D$197+(($C72)-$A$63:$A$108)*'Cálculos'!$D$98)+1400)+'Cálculos'!$D$122)*'Cálculos'!$D$230+'Cálculos'!$D$125*(1+2.78*('Cálculos'!$D$197+(($C72)-$A$63:$A$108)*'Cálculos'!$D$98)/(('Cálculos'!$D$197+(($C72)-$A$63:$A$108)*'Cálculos'!$D$98)+1400)+'Cálculos'!$D$123)*'Cálculos'!$D$235)+('Cálculos'!$D$201*(1+'Cálculos'!$D$202+$A$63:$A$108*('Cálculos'!$D$290=2)*'Cálculos'!$D$101)+'Cálculos'!$D$203)*('Cálculos'!$D$226+'Cálculos'!$D$124*(1+2.78*('Cálculos'!$D$197+(($C72)-$A$63:$A$108)*'Cálculos'!$D$98)/(('Cálculos'!$D$197+(($C72)-$A$63:$A$108)*'Cálculos'!$D$98)+1400)+'Cálculos'!$D$122)*'Cálculos'!$D$231+'Cálculos'!$D$125*(1+2.78*('Cálculos'!$D$197+(($C72)-$A$63:$A$108)*'Cálculos'!$D$98)/(('Cálculos'!$D$197+(($C72)-$A$63:$A$108)*'Cálculos'!$D$98)+1400)+'Cálculos'!$D$123)*'Cálculos'!$D$236)+('Cálculos'!$D$204*(1+'Cálculos'!$D$205+$A$63:$A$108*('Cálculos'!$D$290=3)*'Cálculos'!$D$103)+'Cálculos'!$D$206)*('Cálculos'!$D$227+'Cálculos'!$D$124*(1+2.78*('Cálculos'!$D$197+(($C72)-$A$63:$A$108)*'Cálculos'!$D$98)/(('Cálculos'!$D$197+(($C72)-$A$63:$A$108)*'Cálculos'!$D$98)+1400)+'Cálculos'!$D$122)*'Cálculos'!$D$232+'Cálculos'!$D$125*(1+2.78*('Cálculos'!$D$197+(($C72)-$A$63:$A$108)*'Cálculos'!$D$98)/(('Cálculos'!$D$197+(($C72)-$A$63:$A$108)*'Cálculos'!$D$98)+1400)+'Cálculos'!$D$123)*'Cálculos'!$D$237)+('Cálculos'!$D$228+'Cálculos'!$D$124*(1+2.78*('Cálculos'!$D$197+(($C72)-$A$63:$A$108)*'Cálculos'!$D$98)/(('Cálculos'!$D$197+(($C72)-$A$63:$A$108)*'Cálculos'!$D$98)+1400)+'Cálculos'!$D$122)*'Cálculos'!$D$233+'Cálculos'!$D$125*(1+2.78*('Cálculos'!$D$197+(($C72)-$A$63:$A$108)*'Cálculos'!$D$98)/(('Cálculos'!$D$197+(($C72)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72)-$A$63:$A$108)*'Cálculos'!$D$98)/(('Cálculos'!$D$198+(($C72)-$A$63:$A$108)*'Cálculos'!$D$98)+1400)+'Cálculos'!$D$122)*'Cálculos'!$D$244+'Cálculos'!$D$125*(1+2.78*('Cálculos'!$D$198+(($C72)-$A$63:$A$108)*'Cálculos'!$D$98)/(('Cálculos'!$D$198+(($C72)-$A$63:$A$108)*'Cálculos'!$D$98)+1400)+'Cálculos'!$D$123)*'Cálculos'!$D$249)+('Cálculos'!$D$198+(($C72)-$A$63:$A$108)*'Cálculos'!$D$98)*('Cálculos'!$D$240+'Cálculos'!$D$124*(1+2.78*('Cálculos'!$D$198+(($C72)-$A$63:$A$108)*'Cálculos'!$D$98)/(('Cálculos'!$D$198+(($C72)-$A$63:$A$108)*'Cálculos'!$D$98)+1400)+'Cálculos'!$D$122)*'Cálculos'!$D$245+'Cálculos'!$D$125*(1+2.78*('Cálculos'!$D$198+(($C72)-$A$63:$A$108)*'Cálculos'!$D$98)/(('Cálculos'!$D$198+(($C72)-$A$63:$A$108)*'Cálculos'!$D$98)+1400)+'Cálculos'!$D$123)*'Cálculos'!$D$250)+('Cálculos'!$D$201*(1+'Cálculos'!$D$202+$A$63:$A$108*('Cálculos'!$D$290=2)*'Cálculos'!$D$101)+'Cálculos'!$D$203)*('Cálculos'!$D$241+'Cálculos'!$D$124*(1+2.78*('Cálculos'!$D$198+(($C72)-$A$63:$A$108)*'Cálculos'!$D$98)/(('Cálculos'!$D$198+(($C72)-$A$63:$A$108)*'Cálculos'!$D$98)+1400)+'Cálculos'!$D$122)*'Cálculos'!$D$246+'Cálculos'!$D$125*(1+2.78*('Cálculos'!$D$198+(($C72)-$A$63:$A$108)*'Cálculos'!$D$98)/(('Cálculos'!$D$198+(($C72)-$A$63:$A$108)*'Cálculos'!$D$98)+1400)+'Cálculos'!$D$123)*'Cálculos'!$D$251)+('Cálculos'!$D$204*(1+'Cálculos'!$D$205+$A$63:$A$108*('Cálculos'!$D$290=3)*'Cálculos'!$D$103)+'Cálculos'!$D$206)*('Cálculos'!$D$242+'Cálculos'!$D$124*(1+2.78*('Cálculos'!$D$198+(($C72)-$A$63:$A$108)*'Cálculos'!$D$98)/(('Cálculos'!$D$198+(($C72)-$A$63:$A$108)*'Cálculos'!$D$98)+1400)+'Cálculos'!$D$122)*'Cálculos'!$D$247+'Cálculos'!$D$125*(1+2.78*('Cálculos'!$D$198+(($C72)-$A$63:$A$108)*'Cálculos'!$D$98)/(('Cálculos'!$D$198+(($C72)-$A$63:$A$108)*'Cálculos'!$D$98)+1400)+'Cálculos'!$D$123)*'Cálculos'!$D$252)+('Cálculos'!$D$243+'Cálculos'!$D$124*(1+2.78*('Cálculos'!$D$198+(($C72)-$A$63:$A$108)*'Cálculos'!$D$98)/(('Cálculos'!$D$198+(($C72)-$A$63:$A$108)*'Cálculos'!$D$98)+1400)+'Cálculos'!$D$122)*'Cálculos'!$D$248+'Cálculos'!$D$125*(1+2.78*('Cálculos'!$D$198+(($C72)-$A$63:$A$108)*'Cálculos'!$D$98)/(('Cálculos'!$D$198+(($C72)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72)-$A$63:$A$108)*'Cálculos'!$D$98)/(('Cálculos'!$D$199+(($C72)-$A$63:$A$108)*'Cálculos'!$D$98)+1400)+'Cálculos'!$D$122)*'Cálculos'!$D$259+'Cálculos'!$D$125*(1+2.78*('Cálculos'!$D$199+(($C72)-$A$63:$A$108)*'Cálculos'!$D$98)/(('Cálculos'!$D$199+(($C72)-$A$63:$A$108)*'Cálculos'!$D$98)+1400)+'Cálculos'!$D$123)*'Cálculos'!$D$264)+('Cálculos'!$D$199+(($C72)-$A$63:$A$108)*'Cálculos'!$D$98)*('Cálculos'!$D$255+'Cálculos'!$D$124*(1+2.78*('Cálculos'!$D$199+(($C72)-$A$63:$A$108)*'Cálculos'!$D$98)/(('Cálculos'!$D$199+(($C72)-$A$63:$A$108)*'Cálculos'!$D$98)+1400)+'Cálculos'!$D$122)*'Cálculos'!$D$260+'Cálculos'!$D$125*(1+2.78*('Cálculos'!$D$199+(($C72)-$A$63:$A$108)*'Cálculos'!$D$98)/(('Cálculos'!$D$199+(($C72)-$A$63:$A$108)*'Cálculos'!$D$98)+1400)+'Cálculos'!$D$123)*'Cálculos'!$D$265)+('Cálculos'!$D$201*(1+'Cálculos'!$D$202+$A$63:$A$108*('Cálculos'!$D$290=2)*'Cálculos'!$D$101)+'Cálculos'!$D$203)*('Cálculos'!$D$256+'Cálculos'!$D$124*(1+2.78*('Cálculos'!$D$199+(($C72)-$A$63:$A$108)*'Cálculos'!$D$98)/(('Cálculos'!$D$199+(($C72)-$A$63:$A$108)*'Cálculos'!$D$98)+1400)+'Cálculos'!$D$122)*'Cálculos'!$D$261+'Cálculos'!$D$125*(1+2.78*('Cálculos'!$D$199+(($C72)-$A$63:$A$108)*'Cálculos'!$D$98)/(('Cálculos'!$D$199+(($C72)-$A$63:$A$108)*'Cálculos'!$D$98)+1400)+'Cálculos'!$D$123)*'Cálculos'!$D$266)+('Cálculos'!$D$204*(1+'Cálculos'!$D$205+$A$63:$A$108*('Cálculos'!$D$290=3)*'Cálculos'!$D$103)+'Cálculos'!$D$206)*('Cálculos'!$D$257+'Cálculos'!$D$124*(1+2.78*('Cálculos'!$D$199+(($C72)-$A$63:$A$108)*'Cálculos'!$D$98)/(('Cálculos'!$D$199+(($C72)-$A$63:$A$108)*'Cálculos'!$D$98)+1400)+'Cálculos'!$D$122)*'Cálculos'!$D$262+'Cálculos'!$D$125*(1+2.78*('Cálculos'!$D$199+(($C72)-$A$63:$A$108)*'Cálculos'!$D$98)/(('Cálculos'!$D$199+(($C72)-$A$63:$A$108)*'Cálculos'!$D$98)+1400)+'Cálculos'!$D$123)*'Cálculos'!$D$267)+('Cálculos'!$D$258+'Cálculos'!$D$124*(1+2.78*('Cálculos'!$D$199+(($C72)-$A$63:$A$108)*'Cálculos'!$D$98)/(('Cálculos'!$D$199+(($C72)-$A$63:$A$108)*'Cálculos'!$D$98)+1400)+'Cálculos'!$D$122)*'Cálculos'!$D$263+'Cálculos'!$D$125*(1+2.78*('Cálculos'!$D$199+(($C72)-$A$63:$A$108)*'Cálculos'!$D$98)/(('Cálculos'!$D$199+(($C72)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72)-$A$63:$A$108)*'Cálculos'!$D$98)/(('Cálculos'!$D$200+(($C72)-$A$63:$A$108)*'Cálculos'!$D$98)+1400)+'Cálculos'!$D$122)*'Cálculos'!$D$274+'Cálculos'!$D$125*(1+2.78*('Cálculos'!$D$200+(($C72)-$A$63:$A$108)*'Cálculos'!$D$98)/(('Cálculos'!$D$200+(($C72)-$A$63:$A$108)*'Cálculos'!$D$98)+1400)+'Cálculos'!$D$123)*'Cálculos'!$D$279)+('Cálculos'!$D$200+(($C72)-$A$63:$A$108)*'Cálculos'!$D$98)*('Cálculos'!$D$270+'Cálculos'!$D$124*(1+2.78*('Cálculos'!$D$200+(($C72)-$A$63:$A$108)*'Cálculos'!$D$98)/(('Cálculos'!$D$200+(($C72)-$A$63:$A$108)*'Cálculos'!$D$98)+1400)+'Cálculos'!$D$122)*'Cálculos'!$D$275+'Cálculos'!$D$125*(1+2.78*('Cálculos'!$D$200+(($C72)-$A$63:$A$108)*'Cálculos'!$D$98)/(('Cálculos'!$D$200+(($C72)-$A$63:$A$108)*'Cálculos'!$D$98)+1400)+'Cálculos'!$D$123)*'Cálculos'!$D$280)+('Cálculos'!$D$201*(1+'Cálculos'!$D$202+$A$63:$A$108*('Cálculos'!$D$290=2)*'Cálculos'!$D$101)+'Cálculos'!$D$203)*('Cálculos'!$D$271+'Cálculos'!$D$124*(1+2.78*('Cálculos'!$D$200+(($C72)-$A$63:$A$108)*'Cálculos'!$D$98)/(('Cálculos'!$D$200+(($C72)-$A$63:$A$108)*'Cálculos'!$D$98)+1400)+'Cálculos'!$D$122)*'Cálculos'!$D$276+'Cálculos'!$D$125*(1+2.78*('Cálculos'!$D$200+(($C72)-$A$63:$A$108)*'Cálculos'!$D$98)/(('Cálculos'!$D$200+(($C72)-$A$63:$A$108)*'Cálculos'!$D$98)+1400)+'Cálculos'!$D$123)*'Cálculos'!$D$281)+('Cálculos'!$D$204*(1+'Cálculos'!$D$205+$A$63:$A$108*('Cálculos'!$D$290=3)*'Cálculos'!$D$103)+'Cálculos'!$D$206)*('Cálculos'!$D$272+'Cálculos'!$D$124*(1+2.78*('Cálculos'!$D$200+(($C72)-$A$63:$A$108)*'Cálculos'!$D$98)/(('Cálculos'!$D$200+(($C72)-$A$63:$A$108)*'Cálculos'!$D$98)+1400)+'Cálculos'!$D$122)*'Cálculos'!$D$277+'Cálculos'!$D$125*(1+2.78*('Cálculos'!$D$200+(($C72)-$A$63:$A$108)*'Cálculos'!$D$98)/(('Cálculos'!$D$200+(($C72)-$A$63:$A$108)*'Cálculos'!$D$98)+1400)+'Cálculos'!$D$123)*'Cálculos'!$D$282)+('Cálculos'!$D$273+'Cálculos'!$D$124*(1+2.78*('Cálculos'!$D$200+(($C72)-$A$63:$A$108)*'Cálculos'!$D$98)/(('Cálculos'!$D$200+(($C72)-$A$63:$A$108)*'Cálculos'!$D$98)+1400)+'Cálculos'!$D$122)*'Cálculos'!$D$278+'Cálculos'!$D$125*(1+2.78*('Cálculos'!$D$200+(($C72)-$A$63:$A$108)*'Cálculos'!$D$98)/(('Cálculos'!$D$200+(($C72)-$A$63:$A$108)*'Cálculos'!$D$98)+1400)+'Cálculos'!$D$123)*'Cálculos'!$D$283)))))</f>
        <v>72486.27507</v>
      </c>
      <c r="E72" s="32">
        <f>IF(OR($C72&lt;0,'Cálculos'!$D$6=""),0,$B72*$D72)</f>
        <v>101604.1119</v>
      </c>
      <c r="F72" s="2"/>
      <c r="G72" s="30">
        <f>($A72&lt;=$B$110)*($A72&lt;='Cálculos'!$D$294)*(($B$110)-$A72&lt;='Cálculos'!$D$295)*(1+MIN(('Cálculos'!$D$207+$A72*'Cálculos'!$D$95),1)*('Cálculos'!$D$208+(($B$110)-$A72)*'Cálculos'!$D$96))</f>
        <v>1.427407177</v>
      </c>
      <c r="H72" s="31">
        <f>IF($B$111&lt;0,0,($A72&lt;=$B$111)*($A72&lt;='Cálculos'!$D$301)*(($B$111)-$A72&lt;='Cálculos'!$D$297)*(('Cálculos'!$D$185*(1+'Cálculos'!$D$186+$A72*('Cálculos'!$D$290=1)*'Cálculos'!$D$97+'Cálculos'!$D$305)+'Cálculos'!$D$191)*('Cálculos'!$D$209+'Cálculos'!$D$124*(1+2.78*('Cálculos'!$D$196+(($B$111)-$A72)*'Cálculos'!$D$98)/(('Cálculos'!$D$196+(($B$111)-$A72)*'Cálculos'!$D$98)+1400)+'Cálculos'!$D$122)*'Cálculos'!$D$214+'Cálculos'!$D$125*(1+2.78*('Cálculos'!$D$196+(($B$111)-$A72)*'Cálculos'!$D$98)/(('Cálculos'!$D$196+(($B$111)-$A72)*'Cálculos'!$D$98)+1400)+'Cálculos'!$D$123)*'Cálculos'!$D$219)+('Cálculos'!$D$196+(($B$111)-$A72)*'Cálculos'!$D$98)*('Cálculos'!$D$210+'Cálculos'!$D$124*(1+2.78*('Cálculos'!$D$196+(($B$111)-$A72)*'Cálculos'!$D$98)/(('Cálculos'!$D$196+(($B$111)-$A72)*'Cálculos'!$D$98)+1400)+'Cálculos'!$D$122)*'Cálculos'!$D$215+'Cálculos'!$D$125*(1+2.78*('Cálculos'!$D$196+(($B$111)-$A72)*'Cálculos'!$D$98)/(('Cálculos'!$D$196+(($B$111)-$A72)*'Cálculos'!$D$98)+1400)+'Cálculos'!$D$123)*'Cálculos'!$D$220)+('Cálculos'!$D$201*(1+'Cálculos'!$D$202+$A72*('Cálculos'!$D$290=2)*'Cálculos'!$D$101)+'Cálculos'!$D$203)*('Cálculos'!$D$211+'Cálculos'!$D$124*(1+2.78*('Cálculos'!$D$196+(($B$111)-$A72)*'Cálculos'!$D$98)/(('Cálculos'!$D$196+(($B$111)-$A72)*'Cálculos'!$D$98)+1400)+'Cálculos'!$D$122)*'Cálculos'!$D$216+'Cálculos'!$D$125*(1+2.78*('Cálculos'!$D$196+(($B$111)-$A72)*'Cálculos'!$D$98)/(('Cálculos'!$D$196+(($B$111)-$A72)*'Cálculos'!$D$98)+1400)+'Cálculos'!$D$123)*'Cálculos'!$D$221)+('Cálculos'!$D$204*(1+'Cálculos'!$D$205+$A72*('Cálculos'!$D$290=3)*'Cálculos'!$D$103)+'Cálculos'!$D$206)*('Cálculos'!$D$212+'Cálculos'!$D$124*(1+2.78*('Cálculos'!$D$196+(($B$111)-$A72)*'Cálculos'!$D$98)/(('Cálculos'!$D$196+(($B$111)-$A72)*'Cálculos'!$D$98)+1400)+'Cálculos'!$D$122)*'Cálculos'!$D$217+'Cálculos'!$D$125*(1+2.78*('Cálculos'!$D$196+(($B$111)-$A72)*'Cálculos'!$D$98)/(('Cálculos'!$D$196+(($B$111)-$A72)*'Cálculos'!$D$98)+1400)+'Cálculos'!$D$123)*'Cálculos'!$D$222)+('Cálculos'!$D$213+'Cálculos'!$D$124*(1+2.78*('Cálculos'!$D$196+(($B$111)-$A72)*'Cálculos'!$D$98)/(('Cálculos'!$D$196+(($B$111)-$A72)*'Cálculos'!$D$98)+1400)+'Cálculos'!$D$122)*'Cálculos'!$D$218+'Cálculos'!$D$125*(1+2.78*('Cálculos'!$D$196+(($B$111)-$A72)*'Cálculos'!$D$98)/(('Cálculos'!$D$196+(($B$111)-$A72)*'Cálculos'!$D$98)+1400)+'Cálculos'!$D$123)*'Cálculos'!$D$223)+('Cálculos'!$D$185*(1+'Cálculos'!$D$187+$A72*('Cálculos'!$D$290=1)*'Cálculos'!$D$97+'Cálculos'!$D$305)+'Cálculos'!$D$192)*('Cálculos'!$D$224+'Cálculos'!$D$124*(1+2.78*('Cálculos'!$D$197+(($B$111)-$A72)*'Cálculos'!$D$98)/(('Cálculos'!$D$197+(($B$111)-$A72)*'Cálculos'!$D$98)+1400)+'Cálculos'!$D$122)*'Cálculos'!$D$229+'Cálculos'!$D$125*(1+2.78*('Cálculos'!$D$197+(($B$111)-$A72)*'Cálculos'!$D$98)/(('Cálculos'!$D$197+(($B$111)-$A72)*'Cálculos'!$D$98)+1400)+'Cálculos'!$D$123)*'Cálculos'!$D$234)+('Cálculos'!$D$197+(($B$111)-$A72)*'Cálculos'!$D$98)*('Cálculos'!$D$225+'Cálculos'!$D$124*(1+2.78*('Cálculos'!$D$197+(($B$111)-$A72)*'Cálculos'!$D$98)/(('Cálculos'!$D$197+(($B$111)-$A72)*'Cálculos'!$D$98)+1400)+'Cálculos'!$D$122)*'Cálculos'!$D$230+'Cálculos'!$D$125*(1+2.78*('Cálculos'!$D$197+(($B$111)-$A72)*'Cálculos'!$D$98)/(('Cálculos'!$D$197+(($B$111)-$A72)*'Cálculos'!$D$98)+1400)+'Cálculos'!$D$123)*'Cálculos'!$D$235)+('Cálculos'!$D$201*(1+'Cálculos'!$D$202+$A72*('Cálculos'!$D$290=2)*'Cálculos'!$D$101)+'Cálculos'!$D$203)*('Cálculos'!$D$226+'Cálculos'!$D$124*(1+2.78*('Cálculos'!$D$197+(($B$111)-$A72)*'Cálculos'!$D$98)/(('Cálculos'!$D$197+(($B$111)-$A72)*'Cálculos'!$D$98)+1400)+'Cálculos'!$D$122)*'Cálculos'!$D$231+'Cálculos'!$D$125*(1+2.78*('Cálculos'!$D$197+(($B$111)-$A72)*'Cálculos'!$D$98)/(('Cálculos'!$D$197+(($B$111)-$A72)*'Cálculos'!$D$98)+1400)+'Cálculos'!$D$123)*'Cálculos'!$D$236)+('Cálculos'!$D$204*(1+'Cálculos'!$D$205+$A72*('Cálculos'!$D$290=3)*'Cálculos'!$D$103)+'Cálculos'!$D$206)*('Cálculos'!$D$227+'Cálculos'!$D$124*(1+2.78*('Cálculos'!$D$197+(($B$111)-$A72)*'Cálculos'!$D$98)/(('Cálculos'!$D$197+(($B$111)-$A72)*'Cálculos'!$D$98)+1400)+'Cálculos'!$D$122)*'Cálculos'!$D$232+'Cálculos'!$D$125*(1+2.78*('Cálculos'!$D$197+(($B$111)-$A72)*'Cálculos'!$D$98)/(('Cálculos'!$D$197+(($B$111)-$A72)*'Cálculos'!$D$98)+1400)+'Cálculos'!$D$123)*'Cálculos'!$D$237)+('Cálculos'!$D$228+'Cálculos'!$D$124*(1+2.78*('Cálculos'!$D$197+(($B$111)-$A72)*'Cálculos'!$D$98)/(('Cálculos'!$D$197+(($B$111)-$A72)*'Cálculos'!$D$98)+1400)+'Cálculos'!$D$122)*'Cálculos'!$D$233+'Cálculos'!$D$125*(1+2.78*('Cálculos'!$D$197+(($B$111)-$A72)*'Cálculos'!$D$98)/(('Cálculos'!$D$197+(($B$111)-$A72)*'Cálculos'!$D$98)+1400)+'Cálculos'!$D$123)*'Cálculos'!$D$238)+('Cálculos'!$D$185*(1+'Cálculos'!$D$188+$A72*('Cálculos'!$D$290=1)*'Cálculos'!$D$97+'Cálculos'!$D$305)+'Cálculos'!$D$193)*('Cálculos'!$D$239+'Cálculos'!$D$124*(1+2.78*('Cálculos'!$D$198+(($B$111)-$A72)*'Cálculos'!$D$98)/(('Cálculos'!$D$198+(($B$111)-$A72)*'Cálculos'!$D$98)+1400)+'Cálculos'!$D$122)*'Cálculos'!$D$244+'Cálculos'!$D$125*(1+2.78*('Cálculos'!$D$198+(($B$111)-$A72)*'Cálculos'!$D$98)/(('Cálculos'!$D$198+(($B$111)-$A72)*'Cálculos'!$D$98)+1400)+'Cálculos'!$D$123)*'Cálculos'!$D$249)+('Cálculos'!$D$198+(($B$111)-$A72)*'Cálculos'!$D$98)*('Cálculos'!$D$240+'Cálculos'!$D$124*(1+2.78*('Cálculos'!$D$198+(($B$111)-$A72)*'Cálculos'!$D$98)/(('Cálculos'!$D$198+(($B$111)-$A72)*'Cálculos'!$D$98)+1400)+'Cálculos'!$D$122)*'Cálculos'!$D$245+'Cálculos'!$D$125*(1+2.78*('Cálculos'!$D$198+(($B$111)-$A72)*'Cálculos'!$D$98)/(('Cálculos'!$D$198+(($B$111)-$A72)*'Cálculos'!$D$98)+1400)+'Cálculos'!$D$123)*'Cálculos'!$D$250)+('Cálculos'!$D$201*(1+'Cálculos'!$D$202+$A72*('Cálculos'!$D$290=2)*'Cálculos'!$D$101)+'Cálculos'!$D$203)*('Cálculos'!$D$241+'Cálculos'!$D$124*(1+2.78*('Cálculos'!$D$198+(($B$111)-$A72)*'Cálculos'!$D$98)/(('Cálculos'!$D$198+(($B$111)-$A72)*'Cálculos'!$D$98)+1400)+'Cálculos'!$D$122)*'Cálculos'!$D$246+'Cálculos'!$D$125*(1+2.78*('Cálculos'!$D$198+(($B$111)-$A72)*'Cálculos'!$D$98)/(('Cálculos'!$D$198+(($B$111)-$A72)*'Cálculos'!$D$98)+1400)+'Cálculos'!$D$123)*'Cálculos'!$D$251)+('Cálculos'!$D$204*(1+'Cálculos'!$D$205+$A72*('Cálculos'!$D$290=3)*'Cálculos'!$D$103)+'Cálculos'!$D$206)*('Cálculos'!$D$242+'Cálculos'!$D$124*(1+2.78*('Cálculos'!$D$198+(($B$111)-$A72)*'Cálculos'!$D$98)/(('Cálculos'!$D$198+(($B$111)-$A72)*'Cálculos'!$D$98)+1400)+'Cálculos'!$D$122)*'Cálculos'!$D$247+'Cálculos'!$D$125*(1+2.78*('Cálculos'!$D$198+(($B$111)-$A72)*'Cálculos'!$D$98)/(('Cálculos'!$D$198+(($B$111)-$A72)*'Cálculos'!$D$98)+1400)+'Cálculos'!$D$123)*'Cálculos'!$D$252)+('Cálculos'!$D$243+'Cálculos'!$D$124*(1+2.78*('Cálculos'!$D$198+(($B$111)-$A72)*'Cálculos'!$D$98)/(('Cálculos'!$D$198+(($B$111)-$A72)*'Cálculos'!$D$98)+1400)+'Cálculos'!$D$122)*'Cálculos'!$D$248+'Cálculos'!$D$125*(1+2.78*('Cálculos'!$D$198+(($B$111)-$A72)*'Cálculos'!$D$98)/(('Cálculos'!$D$198+(($B$111)-$A72)*'Cálculos'!$D$98)+1400)+'Cálculos'!$D$123)*'Cálculos'!$D$253)+('Cálculos'!$D$185*(1+'Cálculos'!$D$189+$A72*('Cálculos'!$D$290=1)*'Cálculos'!$D$97+'Cálculos'!$D$305)+'Cálculos'!$D$194)*('Cálculos'!$D$254+'Cálculos'!$D$124*(1+2.78*('Cálculos'!$D$199+(($B$111)-$A72)*'Cálculos'!$D$98)/(('Cálculos'!$D$199+(($B$111)-$A72)*'Cálculos'!$D$98)+1400)+'Cálculos'!$D$122)*'Cálculos'!$D$259+'Cálculos'!$D$125*(1+2.78*('Cálculos'!$D$199+(($B$111)-$A72)*'Cálculos'!$D$98)/(('Cálculos'!$D$199+(($B$111)-$A72)*'Cálculos'!$D$98)+1400)+'Cálculos'!$D$123)*'Cálculos'!$D$264)+('Cálculos'!$D$199+(($B$111)-$A72)*'Cálculos'!$D$98)*('Cálculos'!$D$255+'Cálculos'!$D$124*(1+2.78*('Cálculos'!$D$199+(($B$111)-$A72)*'Cálculos'!$D$98)/(('Cálculos'!$D$199+(($B$111)-$A72)*'Cálculos'!$D$98)+1400)+'Cálculos'!$D$122)*'Cálculos'!$D$260+'Cálculos'!$D$125*(1+2.78*('Cálculos'!$D$199+(($B$111)-$A72)*'Cálculos'!$D$98)/(('Cálculos'!$D$199+(($B$111)-$A72)*'Cálculos'!$D$98)+1400)+'Cálculos'!$D$123)*'Cálculos'!$D$265)+('Cálculos'!$D$201*(1+'Cálculos'!$D$202+$A72*('Cálculos'!$D$290=2)*'Cálculos'!$D$101)+'Cálculos'!$D$203)*('Cálculos'!$D$256+'Cálculos'!$D$124*(1+2.78*('Cálculos'!$D$199+(($B$111)-$A72)*'Cálculos'!$D$98)/(('Cálculos'!$D$199+(($B$111)-$A72)*'Cálculos'!$D$98)+1400)+'Cálculos'!$D$122)*'Cálculos'!$D$261+'Cálculos'!$D$125*(1+2.78*('Cálculos'!$D$199+(($B$111)-$A72)*'Cálculos'!$D$98)/(('Cálculos'!$D$199+(($B$111)-$A72)*'Cálculos'!$D$98)+1400)+'Cálculos'!$D$123)*'Cálculos'!$D$266)+('Cálculos'!$D$204*(1+'Cálculos'!$D$205+$A72*('Cálculos'!$D$290=3)*'Cálculos'!$D$103)+'Cálculos'!$D$206)*('Cálculos'!$D$257+'Cálculos'!$D$124*(1+2.78*('Cálculos'!$D$199+(($B$111)-$A72)*'Cálculos'!$D$98)/(('Cálculos'!$D$199+(($B$111)-$A72)*'Cálculos'!$D$98)+1400)+'Cálculos'!$D$122)*'Cálculos'!$D$262+'Cálculos'!$D$125*(1+2.78*('Cálculos'!$D$199+(($B$111)-$A72)*'Cálculos'!$D$98)/(('Cálculos'!$D$199+(($B$111)-$A72)*'Cálculos'!$D$98)+1400)+'Cálculos'!$D$123)*'Cálculos'!$D$267)+('Cálculos'!$D$258+'Cálculos'!$D$124*(1+2.78*('Cálculos'!$D$199+(($B$111)-$A72)*'Cálculos'!$D$98)/(('Cálculos'!$D$199+(($B$111)-$A72)*'Cálculos'!$D$98)+1400)+'Cálculos'!$D$122)*'Cálculos'!$D$263+'Cálculos'!$D$125*(1+2.78*('Cálculos'!$D$199+(($B$111)-$A72)*'Cálculos'!$D$98)/(('Cálculos'!$D$199+(($B$111)-$A72)*'Cálculos'!$D$98)+1400)+'Cálculos'!$D$123)*'Cálculos'!$D$268)+('Cálculos'!$D$185*(1+'Cálculos'!$D$190+$A72*('Cálculos'!$D$290=1)*'Cálculos'!$D$97+'Cálculos'!$D$305)+'Cálculos'!$D$195)*('Cálculos'!$D$269+'Cálculos'!$D$124*(1+2.78*('Cálculos'!$D$200+(($B$111)-$A72)*'Cálculos'!$D$98)/(('Cálculos'!$D$200+(($B$111)-$A72)*'Cálculos'!$D$98)+1400)+'Cálculos'!$D$122)*'Cálculos'!$D$274+'Cálculos'!$D$125*(1+2.78*('Cálculos'!$D$200+(($B$111)-$A72)*'Cálculos'!$D$98)/(('Cálculos'!$D$200+(($B$111)-$A72)*'Cálculos'!$D$98)+1400)+'Cálculos'!$D$123)*'Cálculos'!$D$279)+('Cálculos'!$D$200+(($B$111)-$A72)*'Cálculos'!$D$98)*('Cálculos'!$D$270+'Cálculos'!$D$124*(1+2.78*('Cálculos'!$D$200+(($B$111)-$A72)*'Cálculos'!$D$98)/(('Cálculos'!$D$200+(($B$111)-$A72)*'Cálculos'!$D$98)+1400)+'Cálculos'!$D$122)*'Cálculos'!$D$275+'Cálculos'!$D$125*(1+2.78*('Cálculos'!$D$200+(($B$111)-$A72)*'Cálculos'!$D$98)/(('Cálculos'!$D$200+(($B$111)-$A72)*'Cálculos'!$D$98)+1400)+'Cálculos'!$D$123)*'Cálculos'!$D$280)+('Cálculos'!$D$201*(1+'Cálculos'!$D$202+$A72*('Cálculos'!$D$290=2)*'Cálculos'!$D$101)+'Cálculos'!$D$203)*('Cálculos'!$D$271+'Cálculos'!$D$124*(1+2.78*('Cálculos'!$D$200+(($B$111)-$A72)*'Cálculos'!$D$98)/(('Cálculos'!$D$200+(($B$111)-$A72)*'Cálculos'!$D$98)+1400)+'Cálculos'!$D$122)*'Cálculos'!$D$276+'Cálculos'!$D$125*(1+2.78*('Cálculos'!$D$200+(($B$111)-$A72)*'Cálculos'!$D$98)/(('Cálculos'!$D$200+(($B$111)-$A72)*'Cálculos'!$D$98)+1400)+'Cálculos'!$D$123)*'Cálculos'!$D$281)+('Cálculos'!$D$204*(1+'Cálculos'!$D$205+$A72*('Cálculos'!$D$290=3)*'Cálculos'!$D$103)+'Cálculos'!$D$206)*('Cálculos'!$D$272+'Cálculos'!$D$124*(1+2.78*('Cálculos'!$D$200+(($B$111)-$A72)*'Cálculos'!$D$98)/(('Cálculos'!$D$200+(($B$111)-$A72)*'Cálculos'!$D$98)+1400)+'Cálculos'!$D$122)*'Cálculos'!$D$277+'Cálculos'!$D$125*(1+2.78*('Cálculos'!$D$200+(($B$111)-$A72)*'Cálculos'!$D$98)/(('Cálculos'!$D$200+(($B$111)-$A72)*'Cálculos'!$D$98)+1400)+'Cálculos'!$D$123)*'Cálculos'!$D$282)+('Cálculos'!$D$273+'Cálculos'!$D$124*(1+2.78*('Cálculos'!$D$200+(($B$111)-$A72)*'Cálculos'!$D$98)/(('Cálculos'!$D$200+(($B$111)-$A72)*'Cálculos'!$D$98)+1400)+'Cálculos'!$D$122)*'Cálculos'!$D$278+'Cálculos'!$D$125*(1+2.78*('Cálculos'!$D$200+(($B$111)-$A72)*'Cálculos'!$D$98)/(('Cálculos'!$D$200+(($B$111)-$A72)*'Cálculos'!$D$98)+1400)+'Cálculos'!$D$123)*'Cálculos'!$D$283)))</f>
        <v>0</v>
      </c>
    </row>
    <row r="73" ht="15.75" customHeight="1">
      <c r="A73" s="2">
        <v>10.0</v>
      </c>
      <c r="B73" s="30">
        <f>SUMPRODUCT(MAX(($A$63:$A$108&lt;=$A73)*($A$63:$A$108&lt;='Cálculos'!$D$294)*(($A73)-$A$63:$A$108&lt;='Cálculos'!$D$295)*(1+(('Cálculos'!$D$207+$A$63:$A$108*'Cálculos'!$D$95)-(('Cálculos'!$D$207+$A$63:$A$108*'Cálculos'!$D$95)&gt;1)*(('Cálculos'!$D$207+$A$63:$A$108*'Cálculos'!$D$95)-1))*('Cálculos'!$D$208+(($A73)-$A$63:$A$108)*'Cálculos'!$D$96))))</f>
        <v>1.42694212</v>
      </c>
      <c r="C73" s="2">
        <f>'Cálculos'!$D$303-$A73</f>
        <v>1</v>
      </c>
      <c r="D73" s="31">
        <f>IF($C73&lt;0,0,SUMPRODUCT(MAX(($A$63:$A$108&lt;=$C73)*($A$63:$A$108&lt;='Cálculos'!$D$301)*(($C73)-$A$63:$A$108&lt;='Cálculos'!$D$297)*(('Cálculos'!$D$185*(1+'Cálculos'!$D$186+$A$63:$A$108*('Cálculos'!$D$290=1)*'Cálculos'!$D$97+'Cálculos'!$D$305)+'Cálculos'!$D$191)*('Cálculos'!$D$209+'Cálculos'!$D$124*(1+2.78*('Cálculos'!$D$196+(($C73)-$A$63:$A$108)*'Cálculos'!$D$98)/(('Cálculos'!$D$196+(($C73)-$A$63:$A$108)*'Cálculos'!$D$98)+1400)+'Cálculos'!$D$122)*'Cálculos'!$D$214+'Cálculos'!$D$125*(1+2.78*('Cálculos'!$D$196+(($C73)-$A$63:$A$108)*'Cálculos'!$D$98)/(('Cálculos'!$D$196+(($C73)-$A$63:$A$108)*'Cálculos'!$D$98)+1400)+'Cálculos'!$D$123)*'Cálculos'!$D$219)+('Cálculos'!$D$196+(($C73)-$A$63:$A$108)*'Cálculos'!$D$98)*('Cálculos'!$D$210+'Cálculos'!$D$124*(1+2.78*('Cálculos'!$D$196+(($C73)-$A$63:$A$108)*'Cálculos'!$D$98)/(('Cálculos'!$D$196+(($C73)-$A$63:$A$108)*'Cálculos'!$D$98)+1400)+'Cálculos'!$D$122)*'Cálculos'!$D$215+'Cálculos'!$D$125*(1+2.78*('Cálculos'!$D$196+(($C73)-$A$63:$A$108)*'Cálculos'!$D$98)/(('Cálculos'!$D$196+(($C73)-$A$63:$A$108)*'Cálculos'!$D$98)+1400)+'Cálculos'!$D$123)*'Cálculos'!$D$220)+('Cálculos'!$D$201*(1+'Cálculos'!$D$202+$A$63:$A$108*('Cálculos'!$D$290=2)*'Cálculos'!$D$101)+'Cálculos'!$D$203)*('Cálculos'!$D$211+'Cálculos'!$D$124*(1+2.78*('Cálculos'!$D$196+(($C73)-$A$63:$A$108)*'Cálculos'!$D$98)/(('Cálculos'!$D$196+(($C73)-$A$63:$A$108)*'Cálculos'!$D$98)+1400)+'Cálculos'!$D$122)*'Cálculos'!$D$216+'Cálculos'!$D$125*(1+2.78*('Cálculos'!$D$196+(($C73)-$A$63:$A$108)*'Cálculos'!$D$98)/(('Cálculos'!$D$196+(($C73)-$A$63:$A$108)*'Cálculos'!$D$98)+1400)+'Cálculos'!$D$123)*'Cálculos'!$D$221)+('Cálculos'!$D$204*(1+'Cálculos'!$D$205+$A$63:$A$108*('Cálculos'!$D$290=3)*'Cálculos'!$D$103)+'Cálculos'!$D$206)*('Cálculos'!$D$212+'Cálculos'!$D$124*(1+2.78*('Cálculos'!$D$196+(($C73)-$A$63:$A$108)*'Cálculos'!$D$98)/(('Cálculos'!$D$196+(($C73)-$A$63:$A$108)*'Cálculos'!$D$98)+1400)+'Cálculos'!$D$122)*'Cálculos'!$D$217+'Cálculos'!$D$125*(1+2.78*('Cálculos'!$D$196+(($C73)-$A$63:$A$108)*'Cálculos'!$D$98)/(('Cálculos'!$D$196+(($C73)-$A$63:$A$108)*'Cálculos'!$D$98)+1400)+'Cálculos'!$D$123)*'Cálculos'!$D$222)+('Cálculos'!$D$213+'Cálculos'!$D$124*(1+2.78*('Cálculos'!$D$196+(($C73)-$A$63:$A$108)*'Cálculos'!$D$98)/(('Cálculos'!$D$196+(($C73)-$A$63:$A$108)*'Cálculos'!$D$98)+1400)+'Cálculos'!$D$122)*'Cálculos'!$D$218+'Cálculos'!$D$125*(1+2.78*('Cálculos'!$D$196+(($C73)-$A$63:$A$108)*'Cálculos'!$D$98)/(('Cálculos'!$D$196+(($C73)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73)-$A$63:$A$108)*'Cálculos'!$D$98)/(('Cálculos'!$D$197+(($C73)-$A$63:$A$108)*'Cálculos'!$D$98)+1400)+'Cálculos'!$D$122)*'Cálculos'!$D$229+'Cálculos'!$D$125*(1+2.78*('Cálculos'!$D$197+(($C73)-$A$63:$A$108)*'Cálculos'!$D$98)/(('Cálculos'!$D$197+(($C73)-$A$63:$A$108)*'Cálculos'!$D$98)+1400)+'Cálculos'!$D$123)*'Cálculos'!$D$234)+('Cálculos'!$D$197+(($C73)-$A$63:$A$108)*'Cálculos'!$D$98)*('Cálculos'!$D$225+'Cálculos'!$D$124*(1+2.78*('Cálculos'!$D$197+(($C73)-$A$63:$A$108)*'Cálculos'!$D$98)/(('Cálculos'!$D$197+(($C73)-$A$63:$A$108)*'Cálculos'!$D$98)+1400)+'Cálculos'!$D$122)*'Cálculos'!$D$230+'Cálculos'!$D$125*(1+2.78*('Cálculos'!$D$197+(($C73)-$A$63:$A$108)*'Cálculos'!$D$98)/(('Cálculos'!$D$197+(($C73)-$A$63:$A$108)*'Cálculos'!$D$98)+1400)+'Cálculos'!$D$123)*'Cálculos'!$D$235)+('Cálculos'!$D$201*(1+'Cálculos'!$D$202+$A$63:$A$108*('Cálculos'!$D$290=2)*'Cálculos'!$D$101)+'Cálculos'!$D$203)*('Cálculos'!$D$226+'Cálculos'!$D$124*(1+2.78*('Cálculos'!$D$197+(($C73)-$A$63:$A$108)*'Cálculos'!$D$98)/(('Cálculos'!$D$197+(($C73)-$A$63:$A$108)*'Cálculos'!$D$98)+1400)+'Cálculos'!$D$122)*'Cálculos'!$D$231+'Cálculos'!$D$125*(1+2.78*('Cálculos'!$D$197+(($C73)-$A$63:$A$108)*'Cálculos'!$D$98)/(('Cálculos'!$D$197+(($C73)-$A$63:$A$108)*'Cálculos'!$D$98)+1400)+'Cálculos'!$D$123)*'Cálculos'!$D$236)+('Cálculos'!$D$204*(1+'Cálculos'!$D$205+$A$63:$A$108*('Cálculos'!$D$290=3)*'Cálculos'!$D$103)+'Cálculos'!$D$206)*('Cálculos'!$D$227+'Cálculos'!$D$124*(1+2.78*('Cálculos'!$D$197+(($C73)-$A$63:$A$108)*'Cálculos'!$D$98)/(('Cálculos'!$D$197+(($C73)-$A$63:$A$108)*'Cálculos'!$D$98)+1400)+'Cálculos'!$D$122)*'Cálculos'!$D$232+'Cálculos'!$D$125*(1+2.78*('Cálculos'!$D$197+(($C73)-$A$63:$A$108)*'Cálculos'!$D$98)/(('Cálculos'!$D$197+(($C73)-$A$63:$A$108)*'Cálculos'!$D$98)+1400)+'Cálculos'!$D$123)*'Cálculos'!$D$237)+('Cálculos'!$D$228+'Cálculos'!$D$124*(1+2.78*('Cálculos'!$D$197+(($C73)-$A$63:$A$108)*'Cálculos'!$D$98)/(('Cálculos'!$D$197+(($C73)-$A$63:$A$108)*'Cálculos'!$D$98)+1400)+'Cálculos'!$D$122)*'Cálculos'!$D$233+'Cálculos'!$D$125*(1+2.78*('Cálculos'!$D$197+(($C73)-$A$63:$A$108)*'Cálculos'!$D$98)/(('Cálculos'!$D$197+(($C73)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73)-$A$63:$A$108)*'Cálculos'!$D$98)/(('Cálculos'!$D$198+(($C73)-$A$63:$A$108)*'Cálculos'!$D$98)+1400)+'Cálculos'!$D$122)*'Cálculos'!$D$244+'Cálculos'!$D$125*(1+2.78*('Cálculos'!$D$198+(($C73)-$A$63:$A$108)*'Cálculos'!$D$98)/(('Cálculos'!$D$198+(($C73)-$A$63:$A$108)*'Cálculos'!$D$98)+1400)+'Cálculos'!$D$123)*'Cálculos'!$D$249)+('Cálculos'!$D$198+(($C73)-$A$63:$A$108)*'Cálculos'!$D$98)*('Cálculos'!$D$240+'Cálculos'!$D$124*(1+2.78*('Cálculos'!$D$198+(($C73)-$A$63:$A$108)*'Cálculos'!$D$98)/(('Cálculos'!$D$198+(($C73)-$A$63:$A$108)*'Cálculos'!$D$98)+1400)+'Cálculos'!$D$122)*'Cálculos'!$D$245+'Cálculos'!$D$125*(1+2.78*('Cálculos'!$D$198+(($C73)-$A$63:$A$108)*'Cálculos'!$D$98)/(('Cálculos'!$D$198+(($C73)-$A$63:$A$108)*'Cálculos'!$D$98)+1400)+'Cálculos'!$D$123)*'Cálculos'!$D$250)+('Cálculos'!$D$201*(1+'Cálculos'!$D$202+$A$63:$A$108*('Cálculos'!$D$290=2)*'Cálculos'!$D$101)+'Cálculos'!$D$203)*('Cálculos'!$D$241+'Cálculos'!$D$124*(1+2.78*('Cálculos'!$D$198+(($C73)-$A$63:$A$108)*'Cálculos'!$D$98)/(('Cálculos'!$D$198+(($C73)-$A$63:$A$108)*'Cálculos'!$D$98)+1400)+'Cálculos'!$D$122)*'Cálculos'!$D$246+'Cálculos'!$D$125*(1+2.78*('Cálculos'!$D$198+(($C73)-$A$63:$A$108)*'Cálculos'!$D$98)/(('Cálculos'!$D$198+(($C73)-$A$63:$A$108)*'Cálculos'!$D$98)+1400)+'Cálculos'!$D$123)*'Cálculos'!$D$251)+('Cálculos'!$D$204*(1+'Cálculos'!$D$205+$A$63:$A$108*('Cálculos'!$D$290=3)*'Cálculos'!$D$103)+'Cálculos'!$D$206)*('Cálculos'!$D$242+'Cálculos'!$D$124*(1+2.78*('Cálculos'!$D$198+(($C73)-$A$63:$A$108)*'Cálculos'!$D$98)/(('Cálculos'!$D$198+(($C73)-$A$63:$A$108)*'Cálculos'!$D$98)+1400)+'Cálculos'!$D$122)*'Cálculos'!$D$247+'Cálculos'!$D$125*(1+2.78*('Cálculos'!$D$198+(($C73)-$A$63:$A$108)*'Cálculos'!$D$98)/(('Cálculos'!$D$198+(($C73)-$A$63:$A$108)*'Cálculos'!$D$98)+1400)+'Cálculos'!$D$123)*'Cálculos'!$D$252)+('Cálculos'!$D$243+'Cálculos'!$D$124*(1+2.78*('Cálculos'!$D$198+(($C73)-$A$63:$A$108)*'Cálculos'!$D$98)/(('Cálculos'!$D$198+(($C73)-$A$63:$A$108)*'Cálculos'!$D$98)+1400)+'Cálculos'!$D$122)*'Cálculos'!$D$248+'Cálculos'!$D$125*(1+2.78*('Cálculos'!$D$198+(($C73)-$A$63:$A$108)*'Cálculos'!$D$98)/(('Cálculos'!$D$198+(($C73)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73)-$A$63:$A$108)*'Cálculos'!$D$98)/(('Cálculos'!$D$199+(($C73)-$A$63:$A$108)*'Cálculos'!$D$98)+1400)+'Cálculos'!$D$122)*'Cálculos'!$D$259+'Cálculos'!$D$125*(1+2.78*('Cálculos'!$D$199+(($C73)-$A$63:$A$108)*'Cálculos'!$D$98)/(('Cálculos'!$D$199+(($C73)-$A$63:$A$108)*'Cálculos'!$D$98)+1400)+'Cálculos'!$D$123)*'Cálculos'!$D$264)+('Cálculos'!$D$199+(($C73)-$A$63:$A$108)*'Cálculos'!$D$98)*('Cálculos'!$D$255+'Cálculos'!$D$124*(1+2.78*('Cálculos'!$D$199+(($C73)-$A$63:$A$108)*'Cálculos'!$D$98)/(('Cálculos'!$D$199+(($C73)-$A$63:$A$108)*'Cálculos'!$D$98)+1400)+'Cálculos'!$D$122)*'Cálculos'!$D$260+'Cálculos'!$D$125*(1+2.78*('Cálculos'!$D$199+(($C73)-$A$63:$A$108)*'Cálculos'!$D$98)/(('Cálculos'!$D$199+(($C73)-$A$63:$A$108)*'Cálculos'!$D$98)+1400)+'Cálculos'!$D$123)*'Cálculos'!$D$265)+('Cálculos'!$D$201*(1+'Cálculos'!$D$202+$A$63:$A$108*('Cálculos'!$D$290=2)*'Cálculos'!$D$101)+'Cálculos'!$D$203)*('Cálculos'!$D$256+'Cálculos'!$D$124*(1+2.78*('Cálculos'!$D$199+(($C73)-$A$63:$A$108)*'Cálculos'!$D$98)/(('Cálculos'!$D$199+(($C73)-$A$63:$A$108)*'Cálculos'!$D$98)+1400)+'Cálculos'!$D$122)*'Cálculos'!$D$261+'Cálculos'!$D$125*(1+2.78*('Cálculos'!$D$199+(($C73)-$A$63:$A$108)*'Cálculos'!$D$98)/(('Cálculos'!$D$199+(($C73)-$A$63:$A$108)*'Cálculos'!$D$98)+1400)+'Cálculos'!$D$123)*'Cálculos'!$D$266)+('Cálculos'!$D$204*(1+'Cálculos'!$D$205+$A$63:$A$108*('Cálculos'!$D$290=3)*'Cálculos'!$D$103)+'Cálculos'!$D$206)*('Cálculos'!$D$257+'Cálculos'!$D$124*(1+2.78*('Cálculos'!$D$199+(($C73)-$A$63:$A$108)*'Cálculos'!$D$98)/(('Cálculos'!$D$199+(($C73)-$A$63:$A$108)*'Cálculos'!$D$98)+1400)+'Cálculos'!$D$122)*'Cálculos'!$D$262+'Cálculos'!$D$125*(1+2.78*('Cálculos'!$D$199+(($C73)-$A$63:$A$108)*'Cálculos'!$D$98)/(('Cálculos'!$D$199+(($C73)-$A$63:$A$108)*'Cálculos'!$D$98)+1400)+'Cálculos'!$D$123)*'Cálculos'!$D$267)+('Cálculos'!$D$258+'Cálculos'!$D$124*(1+2.78*('Cálculos'!$D$199+(($C73)-$A$63:$A$108)*'Cálculos'!$D$98)/(('Cálculos'!$D$199+(($C73)-$A$63:$A$108)*'Cálculos'!$D$98)+1400)+'Cálculos'!$D$122)*'Cálculos'!$D$263+'Cálculos'!$D$125*(1+2.78*('Cálculos'!$D$199+(($C73)-$A$63:$A$108)*'Cálculos'!$D$98)/(('Cálculos'!$D$199+(($C73)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73)-$A$63:$A$108)*'Cálculos'!$D$98)/(('Cálculos'!$D$200+(($C73)-$A$63:$A$108)*'Cálculos'!$D$98)+1400)+'Cálculos'!$D$122)*'Cálculos'!$D$274+'Cálculos'!$D$125*(1+2.78*('Cálculos'!$D$200+(($C73)-$A$63:$A$108)*'Cálculos'!$D$98)/(('Cálculos'!$D$200+(($C73)-$A$63:$A$108)*'Cálculos'!$D$98)+1400)+'Cálculos'!$D$123)*'Cálculos'!$D$279)+('Cálculos'!$D$200+(($C73)-$A$63:$A$108)*'Cálculos'!$D$98)*('Cálculos'!$D$270+'Cálculos'!$D$124*(1+2.78*('Cálculos'!$D$200+(($C73)-$A$63:$A$108)*'Cálculos'!$D$98)/(('Cálculos'!$D$200+(($C73)-$A$63:$A$108)*'Cálculos'!$D$98)+1400)+'Cálculos'!$D$122)*'Cálculos'!$D$275+'Cálculos'!$D$125*(1+2.78*('Cálculos'!$D$200+(($C73)-$A$63:$A$108)*'Cálculos'!$D$98)/(('Cálculos'!$D$200+(($C73)-$A$63:$A$108)*'Cálculos'!$D$98)+1400)+'Cálculos'!$D$123)*'Cálculos'!$D$280)+('Cálculos'!$D$201*(1+'Cálculos'!$D$202+$A$63:$A$108*('Cálculos'!$D$290=2)*'Cálculos'!$D$101)+'Cálculos'!$D$203)*('Cálculos'!$D$271+'Cálculos'!$D$124*(1+2.78*('Cálculos'!$D$200+(($C73)-$A$63:$A$108)*'Cálculos'!$D$98)/(('Cálculos'!$D$200+(($C73)-$A$63:$A$108)*'Cálculos'!$D$98)+1400)+'Cálculos'!$D$122)*'Cálculos'!$D$276+'Cálculos'!$D$125*(1+2.78*('Cálculos'!$D$200+(($C73)-$A$63:$A$108)*'Cálculos'!$D$98)/(('Cálculos'!$D$200+(($C73)-$A$63:$A$108)*'Cálculos'!$D$98)+1400)+'Cálculos'!$D$123)*'Cálculos'!$D$281)+('Cálculos'!$D$204*(1+'Cálculos'!$D$205+$A$63:$A$108*('Cálculos'!$D$290=3)*'Cálculos'!$D$103)+'Cálculos'!$D$206)*('Cálculos'!$D$272+'Cálculos'!$D$124*(1+2.78*('Cálculos'!$D$200+(($C73)-$A$63:$A$108)*'Cálculos'!$D$98)/(('Cálculos'!$D$200+(($C73)-$A$63:$A$108)*'Cálculos'!$D$98)+1400)+'Cálculos'!$D$122)*'Cálculos'!$D$277+'Cálculos'!$D$125*(1+2.78*('Cálculos'!$D$200+(($C73)-$A$63:$A$108)*'Cálculos'!$D$98)/(('Cálculos'!$D$200+(($C73)-$A$63:$A$108)*'Cálculos'!$D$98)+1400)+'Cálculos'!$D$123)*'Cálculos'!$D$282)+('Cálculos'!$D$273+'Cálculos'!$D$124*(1+2.78*('Cálculos'!$D$200+(($C73)-$A$63:$A$108)*'Cálculos'!$D$98)/(('Cálculos'!$D$200+(($C73)-$A$63:$A$108)*'Cálculos'!$D$98)+1400)+'Cálculos'!$D$122)*'Cálculos'!$D$278+'Cálculos'!$D$125*(1+2.78*('Cálculos'!$D$200+(($C73)-$A$63:$A$108)*'Cálculos'!$D$98)/(('Cálculos'!$D$200+(($C73)-$A$63:$A$108)*'Cálculos'!$D$98)+1400)+'Cálculos'!$D$123)*'Cálculos'!$D$283)))))</f>
        <v>71395.77706</v>
      </c>
      <c r="E73" s="32">
        <f>IF(OR($C73&lt;0,'Cálculos'!$D$6=""),0,$B73*$D73)</f>
        <v>101877.6415</v>
      </c>
      <c r="F73" s="2"/>
      <c r="G73" s="30">
        <f>($A73&lt;=$B$110)*($A73&lt;='Cálculos'!$D$294)*(($B$110)-$A73&lt;='Cálculos'!$D$295)*(1+MIN(('Cálculos'!$D$207+$A73*'Cálculos'!$D$95),1)*('Cálculos'!$D$208+(($B$110)-$A73)*'Cálculos'!$D$96))</f>
        <v>1.413027693</v>
      </c>
      <c r="H73" s="31">
        <f>IF($B$111&lt;0,0,($A73&lt;=$B$111)*($A73&lt;='Cálculos'!$D$301)*(($B$111)-$A73&lt;='Cálculos'!$D$297)*(('Cálculos'!$D$185*(1+'Cálculos'!$D$186+$A73*('Cálculos'!$D$290=1)*'Cálculos'!$D$97+'Cálculos'!$D$305)+'Cálculos'!$D$191)*('Cálculos'!$D$209+'Cálculos'!$D$124*(1+2.78*('Cálculos'!$D$196+(($B$111)-$A73)*'Cálculos'!$D$98)/(('Cálculos'!$D$196+(($B$111)-$A73)*'Cálculos'!$D$98)+1400)+'Cálculos'!$D$122)*'Cálculos'!$D$214+'Cálculos'!$D$125*(1+2.78*('Cálculos'!$D$196+(($B$111)-$A73)*'Cálculos'!$D$98)/(('Cálculos'!$D$196+(($B$111)-$A73)*'Cálculos'!$D$98)+1400)+'Cálculos'!$D$123)*'Cálculos'!$D$219)+('Cálculos'!$D$196+(($B$111)-$A73)*'Cálculos'!$D$98)*('Cálculos'!$D$210+'Cálculos'!$D$124*(1+2.78*('Cálculos'!$D$196+(($B$111)-$A73)*'Cálculos'!$D$98)/(('Cálculos'!$D$196+(($B$111)-$A73)*'Cálculos'!$D$98)+1400)+'Cálculos'!$D$122)*'Cálculos'!$D$215+'Cálculos'!$D$125*(1+2.78*('Cálculos'!$D$196+(($B$111)-$A73)*'Cálculos'!$D$98)/(('Cálculos'!$D$196+(($B$111)-$A73)*'Cálculos'!$D$98)+1400)+'Cálculos'!$D$123)*'Cálculos'!$D$220)+('Cálculos'!$D$201*(1+'Cálculos'!$D$202+$A73*('Cálculos'!$D$290=2)*'Cálculos'!$D$101)+'Cálculos'!$D$203)*('Cálculos'!$D$211+'Cálculos'!$D$124*(1+2.78*('Cálculos'!$D$196+(($B$111)-$A73)*'Cálculos'!$D$98)/(('Cálculos'!$D$196+(($B$111)-$A73)*'Cálculos'!$D$98)+1400)+'Cálculos'!$D$122)*'Cálculos'!$D$216+'Cálculos'!$D$125*(1+2.78*('Cálculos'!$D$196+(($B$111)-$A73)*'Cálculos'!$D$98)/(('Cálculos'!$D$196+(($B$111)-$A73)*'Cálculos'!$D$98)+1400)+'Cálculos'!$D$123)*'Cálculos'!$D$221)+('Cálculos'!$D$204*(1+'Cálculos'!$D$205+$A73*('Cálculos'!$D$290=3)*'Cálculos'!$D$103)+'Cálculos'!$D$206)*('Cálculos'!$D$212+'Cálculos'!$D$124*(1+2.78*('Cálculos'!$D$196+(($B$111)-$A73)*'Cálculos'!$D$98)/(('Cálculos'!$D$196+(($B$111)-$A73)*'Cálculos'!$D$98)+1400)+'Cálculos'!$D$122)*'Cálculos'!$D$217+'Cálculos'!$D$125*(1+2.78*('Cálculos'!$D$196+(($B$111)-$A73)*'Cálculos'!$D$98)/(('Cálculos'!$D$196+(($B$111)-$A73)*'Cálculos'!$D$98)+1400)+'Cálculos'!$D$123)*'Cálculos'!$D$222)+('Cálculos'!$D$213+'Cálculos'!$D$124*(1+2.78*('Cálculos'!$D$196+(($B$111)-$A73)*'Cálculos'!$D$98)/(('Cálculos'!$D$196+(($B$111)-$A73)*'Cálculos'!$D$98)+1400)+'Cálculos'!$D$122)*'Cálculos'!$D$218+'Cálculos'!$D$125*(1+2.78*('Cálculos'!$D$196+(($B$111)-$A73)*'Cálculos'!$D$98)/(('Cálculos'!$D$196+(($B$111)-$A73)*'Cálculos'!$D$98)+1400)+'Cálculos'!$D$123)*'Cálculos'!$D$223)+('Cálculos'!$D$185*(1+'Cálculos'!$D$187+$A73*('Cálculos'!$D$290=1)*'Cálculos'!$D$97+'Cálculos'!$D$305)+'Cálculos'!$D$192)*('Cálculos'!$D$224+'Cálculos'!$D$124*(1+2.78*('Cálculos'!$D$197+(($B$111)-$A73)*'Cálculos'!$D$98)/(('Cálculos'!$D$197+(($B$111)-$A73)*'Cálculos'!$D$98)+1400)+'Cálculos'!$D$122)*'Cálculos'!$D$229+'Cálculos'!$D$125*(1+2.78*('Cálculos'!$D$197+(($B$111)-$A73)*'Cálculos'!$D$98)/(('Cálculos'!$D$197+(($B$111)-$A73)*'Cálculos'!$D$98)+1400)+'Cálculos'!$D$123)*'Cálculos'!$D$234)+('Cálculos'!$D$197+(($B$111)-$A73)*'Cálculos'!$D$98)*('Cálculos'!$D$225+'Cálculos'!$D$124*(1+2.78*('Cálculos'!$D$197+(($B$111)-$A73)*'Cálculos'!$D$98)/(('Cálculos'!$D$197+(($B$111)-$A73)*'Cálculos'!$D$98)+1400)+'Cálculos'!$D$122)*'Cálculos'!$D$230+'Cálculos'!$D$125*(1+2.78*('Cálculos'!$D$197+(($B$111)-$A73)*'Cálculos'!$D$98)/(('Cálculos'!$D$197+(($B$111)-$A73)*'Cálculos'!$D$98)+1400)+'Cálculos'!$D$123)*'Cálculos'!$D$235)+('Cálculos'!$D$201*(1+'Cálculos'!$D$202+$A73*('Cálculos'!$D$290=2)*'Cálculos'!$D$101)+'Cálculos'!$D$203)*('Cálculos'!$D$226+'Cálculos'!$D$124*(1+2.78*('Cálculos'!$D$197+(($B$111)-$A73)*'Cálculos'!$D$98)/(('Cálculos'!$D$197+(($B$111)-$A73)*'Cálculos'!$D$98)+1400)+'Cálculos'!$D$122)*'Cálculos'!$D$231+'Cálculos'!$D$125*(1+2.78*('Cálculos'!$D$197+(($B$111)-$A73)*'Cálculos'!$D$98)/(('Cálculos'!$D$197+(($B$111)-$A73)*'Cálculos'!$D$98)+1400)+'Cálculos'!$D$123)*'Cálculos'!$D$236)+('Cálculos'!$D$204*(1+'Cálculos'!$D$205+$A73*('Cálculos'!$D$290=3)*'Cálculos'!$D$103)+'Cálculos'!$D$206)*('Cálculos'!$D$227+'Cálculos'!$D$124*(1+2.78*('Cálculos'!$D$197+(($B$111)-$A73)*'Cálculos'!$D$98)/(('Cálculos'!$D$197+(($B$111)-$A73)*'Cálculos'!$D$98)+1400)+'Cálculos'!$D$122)*'Cálculos'!$D$232+'Cálculos'!$D$125*(1+2.78*('Cálculos'!$D$197+(($B$111)-$A73)*'Cálculos'!$D$98)/(('Cálculos'!$D$197+(($B$111)-$A73)*'Cálculos'!$D$98)+1400)+'Cálculos'!$D$123)*'Cálculos'!$D$237)+('Cálculos'!$D$228+'Cálculos'!$D$124*(1+2.78*('Cálculos'!$D$197+(($B$111)-$A73)*'Cálculos'!$D$98)/(('Cálculos'!$D$197+(($B$111)-$A73)*'Cálculos'!$D$98)+1400)+'Cálculos'!$D$122)*'Cálculos'!$D$233+'Cálculos'!$D$125*(1+2.78*('Cálculos'!$D$197+(($B$111)-$A73)*'Cálculos'!$D$98)/(('Cálculos'!$D$197+(($B$111)-$A73)*'Cálculos'!$D$98)+1400)+'Cálculos'!$D$123)*'Cálculos'!$D$238)+('Cálculos'!$D$185*(1+'Cálculos'!$D$188+$A73*('Cálculos'!$D$290=1)*'Cálculos'!$D$97+'Cálculos'!$D$305)+'Cálculos'!$D$193)*('Cálculos'!$D$239+'Cálculos'!$D$124*(1+2.78*('Cálculos'!$D$198+(($B$111)-$A73)*'Cálculos'!$D$98)/(('Cálculos'!$D$198+(($B$111)-$A73)*'Cálculos'!$D$98)+1400)+'Cálculos'!$D$122)*'Cálculos'!$D$244+'Cálculos'!$D$125*(1+2.78*('Cálculos'!$D$198+(($B$111)-$A73)*'Cálculos'!$D$98)/(('Cálculos'!$D$198+(($B$111)-$A73)*'Cálculos'!$D$98)+1400)+'Cálculos'!$D$123)*'Cálculos'!$D$249)+('Cálculos'!$D$198+(($B$111)-$A73)*'Cálculos'!$D$98)*('Cálculos'!$D$240+'Cálculos'!$D$124*(1+2.78*('Cálculos'!$D$198+(($B$111)-$A73)*'Cálculos'!$D$98)/(('Cálculos'!$D$198+(($B$111)-$A73)*'Cálculos'!$D$98)+1400)+'Cálculos'!$D$122)*'Cálculos'!$D$245+'Cálculos'!$D$125*(1+2.78*('Cálculos'!$D$198+(($B$111)-$A73)*'Cálculos'!$D$98)/(('Cálculos'!$D$198+(($B$111)-$A73)*'Cálculos'!$D$98)+1400)+'Cálculos'!$D$123)*'Cálculos'!$D$250)+('Cálculos'!$D$201*(1+'Cálculos'!$D$202+$A73*('Cálculos'!$D$290=2)*'Cálculos'!$D$101)+'Cálculos'!$D$203)*('Cálculos'!$D$241+'Cálculos'!$D$124*(1+2.78*('Cálculos'!$D$198+(($B$111)-$A73)*'Cálculos'!$D$98)/(('Cálculos'!$D$198+(($B$111)-$A73)*'Cálculos'!$D$98)+1400)+'Cálculos'!$D$122)*'Cálculos'!$D$246+'Cálculos'!$D$125*(1+2.78*('Cálculos'!$D$198+(($B$111)-$A73)*'Cálculos'!$D$98)/(('Cálculos'!$D$198+(($B$111)-$A73)*'Cálculos'!$D$98)+1400)+'Cálculos'!$D$123)*'Cálculos'!$D$251)+('Cálculos'!$D$204*(1+'Cálculos'!$D$205+$A73*('Cálculos'!$D$290=3)*'Cálculos'!$D$103)+'Cálculos'!$D$206)*('Cálculos'!$D$242+'Cálculos'!$D$124*(1+2.78*('Cálculos'!$D$198+(($B$111)-$A73)*'Cálculos'!$D$98)/(('Cálculos'!$D$198+(($B$111)-$A73)*'Cálculos'!$D$98)+1400)+'Cálculos'!$D$122)*'Cálculos'!$D$247+'Cálculos'!$D$125*(1+2.78*('Cálculos'!$D$198+(($B$111)-$A73)*'Cálculos'!$D$98)/(('Cálculos'!$D$198+(($B$111)-$A73)*'Cálculos'!$D$98)+1400)+'Cálculos'!$D$123)*'Cálculos'!$D$252)+('Cálculos'!$D$243+'Cálculos'!$D$124*(1+2.78*('Cálculos'!$D$198+(($B$111)-$A73)*'Cálculos'!$D$98)/(('Cálculos'!$D$198+(($B$111)-$A73)*'Cálculos'!$D$98)+1400)+'Cálculos'!$D$122)*'Cálculos'!$D$248+'Cálculos'!$D$125*(1+2.78*('Cálculos'!$D$198+(($B$111)-$A73)*'Cálculos'!$D$98)/(('Cálculos'!$D$198+(($B$111)-$A73)*'Cálculos'!$D$98)+1400)+'Cálculos'!$D$123)*'Cálculos'!$D$253)+('Cálculos'!$D$185*(1+'Cálculos'!$D$189+$A73*('Cálculos'!$D$290=1)*'Cálculos'!$D$97+'Cálculos'!$D$305)+'Cálculos'!$D$194)*('Cálculos'!$D$254+'Cálculos'!$D$124*(1+2.78*('Cálculos'!$D$199+(($B$111)-$A73)*'Cálculos'!$D$98)/(('Cálculos'!$D$199+(($B$111)-$A73)*'Cálculos'!$D$98)+1400)+'Cálculos'!$D$122)*'Cálculos'!$D$259+'Cálculos'!$D$125*(1+2.78*('Cálculos'!$D$199+(($B$111)-$A73)*'Cálculos'!$D$98)/(('Cálculos'!$D$199+(($B$111)-$A73)*'Cálculos'!$D$98)+1400)+'Cálculos'!$D$123)*'Cálculos'!$D$264)+('Cálculos'!$D$199+(($B$111)-$A73)*'Cálculos'!$D$98)*('Cálculos'!$D$255+'Cálculos'!$D$124*(1+2.78*('Cálculos'!$D$199+(($B$111)-$A73)*'Cálculos'!$D$98)/(('Cálculos'!$D$199+(($B$111)-$A73)*'Cálculos'!$D$98)+1400)+'Cálculos'!$D$122)*'Cálculos'!$D$260+'Cálculos'!$D$125*(1+2.78*('Cálculos'!$D$199+(($B$111)-$A73)*'Cálculos'!$D$98)/(('Cálculos'!$D$199+(($B$111)-$A73)*'Cálculos'!$D$98)+1400)+'Cálculos'!$D$123)*'Cálculos'!$D$265)+('Cálculos'!$D$201*(1+'Cálculos'!$D$202+$A73*('Cálculos'!$D$290=2)*'Cálculos'!$D$101)+'Cálculos'!$D$203)*('Cálculos'!$D$256+'Cálculos'!$D$124*(1+2.78*('Cálculos'!$D$199+(($B$111)-$A73)*'Cálculos'!$D$98)/(('Cálculos'!$D$199+(($B$111)-$A73)*'Cálculos'!$D$98)+1400)+'Cálculos'!$D$122)*'Cálculos'!$D$261+'Cálculos'!$D$125*(1+2.78*('Cálculos'!$D$199+(($B$111)-$A73)*'Cálculos'!$D$98)/(('Cálculos'!$D$199+(($B$111)-$A73)*'Cálculos'!$D$98)+1400)+'Cálculos'!$D$123)*'Cálculos'!$D$266)+('Cálculos'!$D$204*(1+'Cálculos'!$D$205+$A73*('Cálculos'!$D$290=3)*'Cálculos'!$D$103)+'Cálculos'!$D$206)*('Cálculos'!$D$257+'Cálculos'!$D$124*(1+2.78*('Cálculos'!$D$199+(($B$111)-$A73)*'Cálculos'!$D$98)/(('Cálculos'!$D$199+(($B$111)-$A73)*'Cálculos'!$D$98)+1400)+'Cálculos'!$D$122)*'Cálculos'!$D$262+'Cálculos'!$D$125*(1+2.78*('Cálculos'!$D$199+(($B$111)-$A73)*'Cálculos'!$D$98)/(('Cálculos'!$D$199+(($B$111)-$A73)*'Cálculos'!$D$98)+1400)+'Cálculos'!$D$123)*'Cálculos'!$D$267)+('Cálculos'!$D$258+'Cálculos'!$D$124*(1+2.78*('Cálculos'!$D$199+(($B$111)-$A73)*'Cálculos'!$D$98)/(('Cálculos'!$D$199+(($B$111)-$A73)*'Cálculos'!$D$98)+1400)+'Cálculos'!$D$122)*'Cálculos'!$D$263+'Cálculos'!$D$125*(1+2.78*('Cálculos'!$D$199+(($B$111)-$A73)*'Cálculos'!$D$98)/(('Cálculos'!$D$199+(($B$111)-$A73)*'Cálculos'!$D$98)+1400)+'Cálculos'!$D$123)*'Cálculos'!$D$268)+('Cálculos'!$D$185*(1+'Cálculos'!$D$190+$A73*('Cálculos'!$D$290=1)*'Cálculos'!$D$97+'Cálculos'!$D$305)+'Cálculos'!$D$195)*('Cálculos'!$D$269+'Cálculos'!$D$124*(1+2.78*('Cálculos'!$D$200+(($B$111)-$A73)*'Cálculos'!$D$98)/(('Cálculos'!$D$200+(($B$111)-$A73)*'Cálculos'!$D$98)+1400)+'Cálculos'!$D$122)*'Cálculos'!$D$274+'Cálculos'!$D$125*(1+2.78*('Cálculos'!$D$200+(($B$111)-$A73)*'Cálculos'!$D$98)/(('Cálculos'!$D$200+(($B$111)-$A73)*'Cálculos'!$D$98)+1400)+'Cálculos'!$D$123)*'Cálculos'!$D$279)+('Cálculos'!$D$200+(($B$111)-$A73)*'Cálculos'!$D$98)*('Cálculos'!$D$270+'Cálculos'!$D$124*(1+2.78*('Cálculos'!$D$200+(($B$111)-$A73)*'Cálculos'!$D$98)/(('Cálculos'!$D$200+(($B$111)-$A73)*'Cálculos'!$D$98)+1400)+'Cálculos'!$D$122)*'Cálculos'!$D$275+'Cálculos'!$D$125*(1+2.78*('Cálculos'!$D$200+(($B$111)-$A73)*'Cálculos'!$D$98)/(('Cálculos'!$D$200+(($B$111)-$A73)*'Cálculos'!$D$98)+1400)+'Cálculos'!$D$123)*'Cálculos'!$D$280)+('Cálculos'!$D$201*(1+'Cálculos'!$D$202+$A73*('Cálculos'!$D$290=2)*'Cálculos'!$D$101)+'Cálculos'!$D$203)*('Cálculos'!$D$271+'Cálculos'!$D$124*(1+2.78*('Cálculos'!$D$200+(($B$111)-$A73)*'Cálculos'!$D$98)/(('Cálculos'!$D$200+(($B$111)-$A73)*'Cálculos'!$D$98)+1400)+'Cálculos'!$D$122)*'Cálculos'!$D$276+'Cálculos'!$D$125*(1+2.78*('Cálculos'!$D$200+(($B$111)-$A73)*'Cálculos'!$D$98)/(('Cálculos'!$D$200+(($B$111)-$A73)*'Cálculos'!$D$98)+1400)+'Cálculos'!$D$123)*'Cálculos'!$D$281)+('Cálculos'!$D$204*(1+'Cálculos'!$D$205+$A73*('Cálculos'!$D$290=3)*'Cálculos'!$D$103)+'Cálculos'!$D$206)*('Cálculos'!$D$272+'Cálculos'!$D$124*(1+2.78*('Cálculos'!$D$200+(($B$111)-$A73)*'Cálculos'!$D$98)/(('Cálculos'!$D$200+(($B$111)-$A73)*'Cálculos'!$D$98)+1400)+'Cálculos'!$D$122)*'Cálculos'!$D$277+'Cálculos'!$D$125*(1+2.78*('Cálculos'!$D$200+(($B$111)-$A73)*'Cálculos'!$D$98)/(('Cálculos'!$D$200+(($B$111)-$A73)*'Cálculos'!$D$98)+1400)+'Cálculos'!$D$123)*'Cálculos'!$D$282)+('Cálculos'!$D$273+'Cálculos'!$D$124*(1+2.78*('Cálculos'!$D$200+(($B$111)-$A73)*'Cálculos'!$D$98)/(('Cálculos'!$D$200+(($B$111)-$A73)*'Cálculos'!$D$98)+1400)+'Cálculos'!$D$122)*'Cálculos'!$D$278+'Cálculos'!$D$125*(1+2.78*('Cálculos'!$D$200+(($B$111)-$A73)*'Cálculos'!$D$98)/(('Cálculos'!$D$200+(($B$111)-$A73)*'Cálculos'!$D$98)+1400)+'Cálculos'!$D$123)*'Cálculos'!$D$283)))</f>
        <v>0</v>
      </c>
    </row>
    <row r="74" ht="15.75" customHeight="1">
      <c r="A74" s="2">
        <v>11.0</v>
      </c>
      <c r="B74" s="30">
        <f>SUMPRODUCT(MAX(($A$63:$A$108&lt;=$A74)*($A$63:$A$108&lt;='Cálculos'!$D$294)*(($A74)-$A$63:$A$108&lt;='Cálculos'!$D$295)*(1+(('Cálculos'!$D$207+$A$63:$A$108*'Cálculos'!$D$95)-(('Cálculos'!$D$207+$A$63:$A$108*'Cálculos'!$D$95)&gt;1)*(('Cálculos'!$D$207+$A$63:$A$108*'Cálculos'!$D$95)-1))*('Cálculos'!$D$208+(($A74)-$A$63:$A$108)*'Cálculos'!$D$96))))</f>
        <v>1.453510621</v>
      </c>
      <c r="C74" s="2">
        <f>'Cálculos'!$D$303-$A74</f>
        <v>0</v>
      </c>
      <c r="D74" s="31">
        <f>IF($C74&lt;0,0,SUMPRODUCT(MAX(($A$63:$A$108&lt;=$C74)*($A$63:$A$108&lt;='Cálculos'!$D$301)*(($C74)-$A$63:$A$108&lt;='Cálculos'!$D$297)*(('Cálculos'!$D$185*(1+'Cálculos'!$D$186+$A$63:$A$108*('Cálculos'!$D$290=1)*'Cálculos'!$D$97+'Cálculos'!$D$305)+'Cálculos'!$D$191)*('Cálculos'!$D$209+'Cálculos'!$D$124*(1+2.78*('Cálculos'!$D$196+(($C74)-$A$63:$A$108)*'Cálculos'!$D$98)/(('Cálculos'!$D$196+(($C74)-$A$63:$A$108)*'Cálculos'!$D$98)+1400)+'Cálculos'!$D$122)*'Cálculos'!$D$214+'Cálculos'!$D$125*(1+2.78*('Cálculos'!$D$196+(($C74)-$A$63:$A$108)*'Cálculos'!$D$98)/(('Cálculos'!$D$196+(($C74)-$A$63:$A$108)*'Cálculos'!$D$98)+1400)+'Cálculos'!$D$123)*'Cálculos'!$D$219)+('Cálculos'!$D$196+(($C74)-$A$63:$A$108)*'Cálculos'!$D$98)*('Cálculos'!$D$210+'Cálculos'!$D$124*(1+2.78*('Cálculos'!$D$196+(($C74)-$A$63:$A$108)*'Cálculos'!$D$98)/(('Cálculos'!$D$196+(($C74)-$A$63:$A$108)*'Cálculos'!$D$98)+1400)+'Cálculos'!$D$122)*'Cálculos'!$D$215+'Cálculos'!$D$125*(1+2.78*('Cálculos'!$D$196+(($C74)-$A$63:$A$108)*'Cálculos'!$D$98)/(('Cálculos'!$D$196+(($C74)-$A$63:$A$108)*'Cálculos'!$D$98)+1400)+'Cálculos'!$D$123)*'Cálculos'!$D$220)+('Cálculos'!$D$201*(1+'Cálculos'!$D$202+$A$63:$A$108*('Cálculos'!$D$290=2)*'Cálculos'!$D$101)+'Cálculos'!$D$203)*('Cálculos'!$D$211+'Cálculos'!$D$124*(1+2.78*('Cálculos'!$D$196+(($C74)-$A$63:$A$108)*'Cálculos'!$D$98)/(('Cálculos'!$D$196+(($C74)-$A$63:$A$108)*'Cálculos'!$D$98)+1400)+'Cálculos'!$D$122)*'Cálculos'!$D$216+'Cálculos'!$D$125*(1+2.78*('Cálculos'!$D$196+(($C74)-$A$63:$A$108)*'Cálculos'!$D$98)/(('Cálculos'!$D$196+(($C74)-$A$63:$A$108)*'Cálculos'!$D$98)+1400)+'Cálculos'!$D$123)*'Cálculos'!$D$221)+('Cálculos'!$D$204*(1+'Cálculos'!$D$205+$A$63:$A$108*('Cálculos'!$D$290=3)*'Cálculos'!$D$103)+'Cálculos'!$D$206)*('Cálculos'!$D$212+'Cálculos'!$D$124*(1+2.78*('Cálculos'!$D$196+(($C74)-$A$63:$A$108)*'Cálculos'!$D$98)/(('Cálculos'!$D$196+(($C74)-$A$63:$A$108)*'Cálculos'!$D$98)+1400)+'Cálculos'!$D$122)*'Cálculos'!$D$217+'Cálculos'!$D$125*(1+2.78*('Cálculos'!$D$196+(($C74)-$A$63:$A$108)*'Cálculos'!$D$98)/(('Cálculos'!$D$196+(($C74)-$A$63:$A$108)*'Cálculos'!$D$98)+1400)+'Cálculos'!$D$123)*'Cálculos'!$D$222)+('Cálculos'!$D$213+'Cálculos'!$D$124*(1+2.78*('Cálculos'!$D$196+(($C74)-$A$63:$A$108)*'Cálculos'!$D$98)/(('Cálculos'!$D$196+(($C74)-$A$63:$A$108)*'Cálculos'!$D$98)+1400)+'Cálculos'!$D$122)*'Cálculos'!$D$218+'Cálculos'!$D$125*(1+2.78*('Cálculos'!$D$196+(($C74)-$A$63:$A$108)*'Cálculos'!$D$98)/(('Cálculos'!$D$196+(($C74)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74)-$A$63:$A$108)*'Cálculos'!$D$98)/(('Cálculos'!$D$197+(($C74)-$A$63:$A$108)*'Cálculos'!$D$98)+1400)+'Cálculos'!$D$122)*'Cálculos'!$D$229+'Cálculos'!$D$125*(1+2.78*('Cálculos'!$D$197+(($C74)-$A$63:$A$108)*'Cálculos'!$D$98)/(('Cálculos'!$D$197+(($C74)-$A$63:$A$108)*'Cálculos'!$D$98)+1400)+'Cálculos'!$D$123)*'Cálculos'!$D$234)+('Cálculos'!$D$197+(($C74)-$A$63:$A$108)*'Cálculos'!$D$98)*('Cálculos'!$D$225+'Cálculos'!$D$124*(1+2.78*('Cálculos'!$D$197+(($C74)-$A$63:$A$108)*'Cálculos'!$D$98)/(('Cálculos'!$D$197+(($C74)-$A$63:$A$108)*'Cálculos'!$D$98)+1400)+'Cálculos'!$D$122)*'Cálculos'!$D$230+'Cálculos'!$D$125*(1+2.78*('Cálculos'!$D$197+(($C74)-$A$63:$A$108)*'Cálculos'!$D$98)/(('Cálculos'!$D$197+(($C74)-$A$63:$A$108)*'Cálculos'!$D$98)+1400)+'Cálculos'!$D$123)*'Cálculos'!$D$235)+('Cálculos'!$D$201*(1+'Cálculos'!$D$202+$A$63:$A$108*('Cálculos'!$D$290=2)*'Cálculos'!$D$101)+'Cálculos'!$D$203)*('Cálculos'!$D$226+'Cálculos'!$D$124*(1+2.78*('Cálculos'!$D$197+(($C74)-$A$63:$A$108)*'Cálculos'!$D$98)/(('Cálculos'!$D$197+(($C74)-$A$63:$A$108)*'Cálculos'!$D$98)+1400)+'Cálculos'!$D$122)*'Cálculos'!$D$231+'Cálculos'!$D$125*(1+2.78*('Cálculos'!$D$197+(($C74)-$A$63:$A$108)*'Cálculos'!$D$98)/(('Cálculos'!$D$197+(($C74)-$A$63:$A$108)*'Cálculos'!$D$98)+1400)+'Cálculos'!$D$123)*'Cálculos'!$D$236)+('Cálculos'!$D$204*(1+'Cálculos'!$D$205+$A$63:$A$108*('Cálculos'!$D$290=3)*'Cálculos'!$D$103)+'Cálculos'!$D$206)*('Cálculos'!$D$227+'Cálculos'!$D$124*(1+2.78*('Cálculos'!$D$197+(($C74)-$A$63:$A$108)*'Cálculos'!$D$98)/(('Cálculos'!$D$197+(($C74)-$A$63:$A$108)*'Cálculos'!$D$98)+1400)+'Cálculos'!$D$122)*'Cálculos'!$D$232+'Cálculos'!$D$125*(1+2.78*('Cálculos'!$D$197+(($C74)-$A$63:$A$108)*'Cálculos'!$D$98)/(('Cálculos'!$D$197+(($C74)-$A$63:$A$108)*'Cálculos'!$D$98)+1400)+'Cálculos'!$D$123)*'Cálculos'!$D$237)+('Cálculos'!$D$228+'Cálculos'!$D$124*(1+2.78*('Cálculos'!$D$197+(($C74)-$A$63:$A$108)*'Cálculos'!$D$98)/(('Cálculos'!$D$197+(($C74)-$A$63:$A$108)*'Cálculos'!$D$98)+1400)+'Cálculos'!$D$122)*'Cálculos'!$D$233+'Cálculos'!$D$125*(1+2.78*('Cálculos'!$D$197+(($C74)-$A$63:$A$108)*'Cálculos'!$D$98)/(('Cálculos'!$D$197+(($C74)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74)-$A$63:$A$108)*'Cálculos'!$D$98)/(('Cálculos'!$D$198+(($C74)-$A$63:$A$108)*'Cálculos'!$D$98)+1400)+'Cálculos'!$D$122)*'Cálculos'!$D$244+'Cálculos'!$D$125*(1+2.78*('Cálculos'!$D$198+(($C74)-$A$63:$A$108)*'Cálculos'!$D$98)/(('Cálculos'!$D$198+(($C74)-$A$63:$A$108)*'Cálculos'!$D$98)+1400)+'Cálculos'!$D$123)*'Cálculos'!$D$249)+('Cálculos'!$D$198+(($C74)-$A$63:$A$108)*'Cálculos'!$D$98)*('Cálculos'!$D$240+'Cálculos'!$D$124*(1+2.78*('Cálculos'!$D$198+(($C74)-$A$63:$A$108)*'Cálculos'!$D$98)/(('Cálculos'!$D$198+(($C74)-$A$63:$A$108)*'Cálculos'!$D$98)+1400)+'Cálculos'!$D$122)*'Cálculos'!$D$245+'Cálculos'!$D$125*(1+2.78*('Cálculos'!$D$198+(($C74)-$A$63:$A$108)*'Cálculos'!$D$98)/(('Cálculos'!$D$198+(($C74)-$A$63:$A$108)*'Cálculos'!$D$98)+1400)+'Cálculos'!$D$123)*'Cálculos'!$D$250)+('Cálculos'!$D$201*(1+'Cálculos'!$D$202+$A$63:$A$108*('Cálculos'!$D$290=2)*'Cálculos'!$D$101)+'Cálculos'!$D$203)*('Cálculos'!$D$241+'Cálculos'!$D$124*(1+2.78*('Cálculos'!$D$198+(($C74)-$A$63:$A$108)*'Cálculos'!$D$98)/(('Cálculos'!$D$198+(($C74)-$A$63:$A$108)*'Cálculos'!$D$98)+1400)+'Cálculos'!$D$122)*'Cálculos'!$D$246+'Cálculos'!$D$125*(1+2.78*('Cálculos'!$D$198+(($C74)-$A$63:$A$108)*'Cálculos'!$D$98)/(('Cálculos'!$D$198+(($C74)-$A$63:$A$108)*'Cálculos'!$D$98)+1400)+'Cálculos'!$D$123)*'Cálculos'!$D$251)+('Cálculos'!$D$204*(1+'Cálculos'!$D$205+$A$63:$A$108*('Cálculos'!$D$290=3)*'Cálculos'!$D$103)+'Cálculos'!$D$206)*('Cálculos'!$D$242+'Cálculos'!$D$124*(1+2.78*('Cálculos'!$D$198+(($C74)-$A$63:$A$108)*'Cálculos'!$D$98)/(('Cálculos'!$D$198+(($C74)-$A$63:$A$108)*'Cálculos'!$D$98)+1400)+'Cálculos'!$D$122)*'Cálculos'!$D$247+'Cálculos'!$D$125*(1+2.78*('Cálculos'!$D$198+(($C74)-$A$63:$A$108)*'Cálculos'!$D$98)/(('Cálculos'!$D$198+(($C74)-$A$63:$A$108)*'Cálculos'!$D$98)+1400)+'Cálculos'!$D$123)*'Cálculos'!$D$252)+('Cálculos'!$D$243+'Cálculos'!$D$124*(1+2.78*('Cálculos'!$D$198+(($C74)-$A$63:$A$108)*'Cálculos'!$D$98)/(('Cálculos'!$D$198+(($C74)-$A$63:$A$108)*'Cálculos'!$D$98)+1400)+'Cálculos'!$D$122)*'Cálculos'!$D$248+'Cálculos'!$D$125*(1+2.78*('Cálculos'!$D$198+(($C74)-$A$63:$A$108)*'Cálculos'!$D$98)/(('Cálculos'!$D$198+(($C74)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74)-$A$63:$A$108)*'Cálculos'!$D$98)/(('Cálculos'!$D$199+(($C74)-$A$63:$A$108)*'Cálculos'!$D$98)+1400)+'Cálculos'!$D$122)*'Cálculos'!$D$259+'Cálculos'!$D$125*(1+2.78*('Cálculos'!$D$199+(($C74)-$A$63:$A$108)*'Cálculos'!$D$98)/(('Cálculos'!$D$199+(($C74)-$A$63:$A$108)*'Cálculos'!$D$98)+1400)+'Cálculos'!$D$123)*'Cálculos'!$D$264)+('Cálculos'!$D$199+(($C74)-$A$63:$A$108)*'Cálculos'!$D$98)*('Cálculos'!$D$255+'Cálculos'!$D$124*(1+2.78*('Cálculos'!$D$199+(($C74)-$A$63:$A$108)*'Cálculos'!$D$98)/(('Cálculos'!$D$199+(($C74)-$A$63:$A$108)*'Cálculos'!$D$98)+1400)+'Cálculos'!$D$122)*'Cálculos'!$D$260+'Cálculos'!$D$125*(1+2.78*('Cálculos'!$D$199+(($C74)-$A$63:$A$108)*'Cálculos'!$D$98)/(('Cálculos'!$D$199+(($C74)-$A$63:$A$108)*'Cálculos'!$D$98)+1400)+'Cálculos'!$D$123)*'Cálculos'!$D$265)+('Cálculos'!$D$201*(1+'Cálculos'!$D$202+$A$63:$A$108*('Cálculos'!$D$290=2)*'Cálculos'!$D$101)+'Cálculos'!$D$203)*('Cálculos'!$D$256+'Cálculos'!$D$124*(1+2.78*('Cálculos'!$D$199+(($C74)-$A$63:$A$108)*'Cálculos'!$D$98)/(('Cálculos'!$D$199+(($C74)-$A$63:$A$108)*'Cálculos'!$D$98)+1400)+'Cálculos'!$D$122)*'Cálculos'!$D$261+'Cálculos'!$D$125*(1+2.78*('Cálculos'!$D$199+(($C74)-$A$63:$A$108)*'Cálculos'!$D$98)/(('Cálculos'!$D$199+(($C74)-$A$63:$A$108)*'Cálculos'!$D$98)+1400)+'Cálculos'!$D$123)*'Cálculos'!$D$266)+('Cálculos'!$D$204*(1+'Cálculos'!$D$205+$A$63:$A$108*('Cálculos'!$D$290=3)*'Cálculos'!$D$103)+'Cálculos'!$D$206)*('Cálculos'!$D$257+'Cálculos'!$D$124*(1+2.78*('Cálculos'!$D$199+(($C74)-$A$63:$A$108)*'Cálculos'!$D$98)/(('Cálculos'!$D$199+(($C74)-$A$63:$A$108)*'Cálculos'!$D$98)+1400)+'Cálculos'!$D$122)*'Cálculos'!$D$262+'Cálculos'!$D$125*(1+2.78*('Cálculos'!$D$199+(($C74)-$A$63:$A$108)*'Cálculos'!$D$98)/(('Cálculos'!$D$199+(($C74)-$A$63:$A$108)*'Cálculos'!$D$98)+1400)+'Cálculos'!$D$123)*'Cálculos'!$D$267)+('Cálculos'!$D$258+'Cálculos'!$D$124*(1+2.78*('Cálculos'!$D$199+(($C74)-$A$63:$A$108)*'Cálculos'!$D$98)/(('Cálculos'!$D$199+(($C74)-$A$63:$A$108)*'Cálculos'!$D$98)+1400)+'Cálculos'!$D$122)*'Cálculos'!$D$263+'Cálculos'!$D$125*(1+2.78*('Cálculos'!$D$199+(($C74)-$A$63:$A$108)*'Cálculos'!$D$98)/(('Cálculos'!$D$199+(($C74)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74)-$A$63:$A$108)*'Cálculos'!$D$98)/(('Cálculos'!$D$200+(($C74)-$A$63:$A$108)*'Cálculos'!$D$98)+1400)+'Cálculos'!$D$122)*'Cálculos'!$D$274+'Cálculos'!$D$125*(1+2.78*('Cálculos'!$D$200+(($C74)-$A$63:$A$108)*'Cálculos'!$D$98)/(('Cálculos'!$D$200+(($C74)-$A$63:$A$108)*'Cálculos'!$D$98)+1400)+'Cálculos'!$D$123)*'Cálculos'!$D$279)+('Cálculos'!$D$200+(($C74)-$A$63:$A$108)*'Cálculos'!$D$98)*('Cálculos'!$D$270+'Cálculos'!$D$124*(1+2.78*('Cálculos'!$D$200+(($C74)-$A$63:$A$108)*'Cálculos'!$D$98)/(('Cálculos'!$D$200+(($C74)-$A$63:$A$108)*'Cálculos'!$D$98)+1400)+'Cálculos'!$D$122)*'Cálculos'!$D$275+'Cálculos'!$D$125*(1+2.78*('Cálculos'!$D$200+(($C74)-$A$63:$A$108)*'Cálculos'!$D$98)/(('Cálculos'!$D$200+(($C74)-$A$63:$A$108)*'Cálculos'!$D$98)+1400)+'Cálculos'!$D$123)*'Cálculos'!$D$280)+('Cálculos'!$D$201*(1+'Cálculos'!$D$202+$A$63:$A$108*('Cálculos'!$D$290=2)*'Cálculos'!$D$101)+'Cálculos'!$D$203)*('Cálculos'!$D$271+'Cálculos'!$D$124*(1+2.78*('Cálculos'!$D$200+(($C74)-$A$63:$A$108)*'Cálculos'!$D$98)/(('Cálculos'!$D$200+(($C74)-$A$63:$A$108)*'Cálculos'!$D$98)+1400)+'Cálculos'!$D$122)*'Cálculos'!$D$276+'Cálculos'!$D$125*(1+2.78*('Cálculos'!$D$200+(($C74)-$A$63:$A$108)*'Cálculos'!$D$98)/(('Cálculos'!$D$200+(($C74)-$A$63:$A$108)*'Cálculos'!$D$98)+1400)+'Cálculos'!$D$123)*'Cálculos'!$D$281)+('Cálculos'!$D$204*(1+'Cálculos'!$D$205+$A$63:$A$108*('Cálculos'!$D$290=3)*'Cálculos'!$D$103)+'Cálculos'!$D$206)*('Cálculos'!$D$272+'Cálculos'!$D$124*(1+2.78*('Cálculos'!$D$200+(($C74)-$A$63:$A$108)*'Cálculos'!$D$98)/(('Cálculos'!$D$200+(($C74)-$A$63:$A$108)*'Cálculos'!$D$98)+1400)+'Cálculos'!$D$122)*'Cálculos'!$D$277+'Cálculos'!$D$125*(1+2.78*('Cálculos'!$D$200+(($C74)-$A$63:$A$108)*'Cálculos'!$D$98)/(('Cálculos'!$D$200+(($C74)-$A$63:$A$108)*'Cálculos'!$D$98)+1400)+'Cálculos'!$D$123)*'Cálculos'!$D$282)+('Cálculos'!$D$273+'Cálculos'!$D$124*(1+2.78*('Cálculos'!$D$200+(($C74)-$A$63:$A$108)*'Cálculos'!$D$98)/(('Cálculos'!$D$200+(($C74)-$A$63:$A$108)*'Cálculos'!$D$98)+1400)+'Cálculos'!$D$122)*'Cálculos'!$D$278+'Cálculos'!$D$125*(1+2.78*('Cálculos'!$D$200+(($C74)-$A$63:$A$108)*'Cálculos'!$D$98)/(('Cálculos'!$D$200+(($C74)-$A$63:$A$108)*'Cálculos'!$D$98)+1400)+'Cálculos'!$D$123)*'Cálculos'!$D$283)))))</f>
        <v>70298.65509</v>
      </c>
      <c r="E74" s="32">
        <f>IF(OR($C74&lt;0,'Cálculos'!$D$6=""),0,$B74*$D74)</f>
        <v>102179.8418</v>
      </c>
      <c r="F74" s="2"/>
      <c r="G74" s="30">
        <f>($A74&lt;=$B$110)*($A74&lt;='Cálculos'!$D$294)*(($B$110)-$A74&lt;='Cálculos'!$D$295)*(1+MIN(('Cálculos'!$D$207+$A74*'Cálculos'!$D$95),1)*('Cálculos'!$D$208+(($B$110)-$A74)*'Cálculos'!$D$96))</f>
        <v>1.395506758</v>
      </c>
      <c r="H74" s="31">
        <f>IF($B$111&lt;0,0,($A74&lt;=$B$111)*($A74&lt;='Cálculos'!$D$301)*(($B$111)-$A74&lt;='Cálculos'!$D$297)*(('Cálculos'!$D$185*(1+'Cálculos'!$D$186+$A74*('Cálculos'!$D$290=1)*'Cálculos'!$D$97+'Cálculos'!$D$305)+'Cálculos'!$D$191)*('Cálculos'!$D$209+'Cálculos'!$D$124*(1+2.78*('Cálculos'!$D$196+(($B$111)-$A74)*'Cálculos'!$D$98)/(('Cálculos'!$D$196+(($B$111)-$A74)*'Cálculos'!$D$98)+1400)+'Cálculos'!$D$122)*'Cálculos'!$D$214+'Cálculos'!$D$125*(1+2.78*('Cálculos'!$D$196+(($B$111)-$A74)*'Cálculos'!$D$98)/(('Cálculos'!$D$196+(($B$111)-$A74)*'Cálculos'!$D$98)+1400)+'Cálculos'!$D$123)*'Cálculos'!$D$219)+('Cálculos'!$D$196+(($B$111)-$A74)*'Cálculos'!$D$98)*('Cálculos'!$D$210+'Cálculos'!$D$124*(1+2.78*('Cálculos'!$D$196+(($B$111)-$A74)*'Cálculos'!$D$98)/(('Cálculos'!$D$196+(($B$111)-$A74)*'Cálculos'!$D$98)+1400)+'Cálculos'!$D$122)*'Cálculos'!$D$215+'Cálculos'!$D$125*(1+2.78*('Cálculos'!$D$196+(($B$111)-$A74)*'Cálculos'!$D$98)/(('Cálculos'!$D$196+(($B$111)-$A74)*'Cálculos'!$D$98)+1400)+'Cálculos'!$D$123)*'Cálculos'!$D$220)+('Cálculos'!$D$201*(1+'Cálculos'!$D$202+$A74*('Cálculos'!$D$290=2)*'Cálculos'!$D$101)+'Cálculos'!$D$203)*('Cálculos'!$D$211+'Cálculos'!$D$124*(1+2.78*('Cálculos'!$D$196+(($B$111)-$A74)*'Cálculos'!$D$98)/(('Cálculos'!$D$196+(($B$111)-$A74)*'Cálculos'!$D$98)+1400)+'Cálculos'!$D$122)*'Cálculos'!$D$216+'Cálculos'!$D$125*(1+2.78*('Cálculos'!$D$196+(($B$111)-$A74)*'Cálculos'!$D$98)/(('Cálculos'!$D$196+(($B$111)-$A74)*'Cálculos'!$D$98)+1400)+'Cálculos'!$D$123)*'Cálculos'!$D$221)+('Cálculos'!$D$204*(1+'Cálculos'!$D$205+$A74*('Cálculos'!$D$290=3)*'Cálculos'!$D$103)+'Cálculos'!$D$206)*('Cálculos'!$D$212+'Cálculos'!$D$124*(1+2.78*('Cálculos'!$D$196+(($B$111)-$A74)*'Cálculos'!$D$98)/(('Cálculos'!$D$196+(($B$111)-$A74)*'Cálculos'!$D$98)+1400)+'Cálculos'!$D$122)*'Cálculos'!$D$217+'Cálculos'!$D$125*(1+2.78*('Cálculos'!$D$196+(($B$111)-$A74)*'Cálculos'!$D$98)/(('Cálculos'!$D$196+(($B$111)-$A74)*'Cálculos'!$D$98)+1400)+'Cálculos'!$D$123)*'Cálculos'!$D$222)+('Cálculos'!$D$213+'Cálculos'!$D$124*(1+2.78*('Cálculos'!$D$196+(($B$111)-$A74)*'Cálculos'!$D$98)/(('Cálculos'!$D$196+(($B$111)-$A74)*'Cálculos'!$D$98)+1400)+'Cálculos'!$D$122)*'Cálculos'!$D$218+'Cálculos'!$D$125*(1+2.78*('Cálculos'!$D$196+(($B$111)-$A74)*'Cálculos'!$D$98)/(('Cálculos'!$D$196+(($B$111)-$A74)*'Cálculos'!$D$98)+1400)+'Cálculos'!$D$123)*'Cálculos'!$D$223)+('Cálculos'!$D$185*(1+'Cálculos'!$D$187+$A74*('Cálculos'!$D$290=1)*'Cálculos'!$D$97+'Cálculos'!$D$305)+'Cálculos'!$D$192)*('Cálculos'!$D$224+'Cálculos'!$D$124*(1+2.78*('Cálculos'!$D$197+(($B$111)-$A74)*'Cálculos'!$D$98)/(('Cálculos'!$D$197+(($B$111)-$A74)*'Cálculos'!$D$98)+1400)+'Cálculos'!$D$122)*'Cálculos'!$D$229+'Cálculos'!$D$125*(1+2.78*('Cálculos'!$D$197+(($B$111)-$A74)*'Cálculos'!$D$98)/(('Cálculos'!$D$197+(($B$111)-$A74)*'Cálculos'!$D$98)+1400)+'Cálculos'!$D$123)*'Cálculos'!$D$234)+('Cálculos'!$D$197+(($B$111)-$A74)*'Cálculos'!$D$98)*('Cálculos'!$D$225+'Cálculos'!$D$124*(1+2.78*('Cálculos'!$D$197+(($B$111)-$A74)*'Cálculos'!$D$98)/(('Cálculos'!$D$197+(($B$111)-$A74)*'Cálculos'!$D$98)+1400)+'Cálculos'!$D$122)*'Cálculos'!$D$230+'Cálculos'!$D$125*(1+2.78*('Cálculos'!$D$197+(($B$111)-$A74)*'Cálculos'!$D$98)/(('Cálculos'!$D$197+(($B$111)-$A74)*'Cálculos'!$D$98)+1400)+'Cálculos'!$D$123)*'Cálculos'!$D$235)+('Cálculos'!$D$201*(1+'Cálculos'!$D$202+$A74*('Cálculos'!$D$290=2)*'Cálculos'!$D$101)+'Cálculos'!$D$203)*('Cálculos'!$D$226+'Cálculos'!$D$124*(1+2.78*('Cálculos'!$D$197+(($B$111)-$A74)*'Cálculos'!$D$98)/(('Cálculos'!$D$197+(($B$111)-$A74)*'Cálculos'!$D$98)+1400)+'Cálculos'!$D$122)*'Cálculos'!$D$231+'Cálculos'!$D$125*(1+2.78*('Cálculos'!$D$197+(($B$111)-$A74)*'Cálculos'!$D$98)/(('Cálculos'!$D$197+(($B$111)-$A74)*'Cálculos'!$D$98)+1400)+'Cálculos'!$D$123)*'Cálculos'!$D$236)+('Cálculos'!$D$204*(1+'Cálculos'!$D$205+$A74*('Cálculos'!$D$290=3)*'Cálculos'!$D$103)+'Cálculos'!$D$206)*('Cálculos'!$D$227+'Cálculos'!$D$124*(1+2.78*('Cálculos'!$D$197+(($B$111)-$A74)*'Cálculos'!$D$98)/(('Cálculos'!$D$197+(($B$111)-$A74)*'Cálculos'!$D$98)+1400)+'Cálculos'!$D$122)*'Cálculos'!$D$232+'Cálculos'!$D$125*(1+2.78*('Cálculos'!$D$197+(($B$111)-$A74)*'Cálculos'!$D$98)/(('Cálculos'!$D$197+(($B$111)-$A74)*'Cálculos'!$D$98)+1400)+'Cálculos'!$D$123)*'Cálculos'!$D$237)+('Cálculos'!$D$228+'Cálculos'!$D$124*(1+2.78*('Cálculos'!$D$197+(($B$111)-$A74)*'Cálculos'!$D$98)/(('Cálculos'!$D$197+(($B$111)-$A74)*'Cálculos'!$D$98)+1400)+'Cálculos'!$D$122)*'Cálculos'!$D$233+'Cálculos'!$D$125*(1+2.78*('Cálculos'!$D$197+(($B$111)-$A74)*'Cálculos'!$D$98)/(('Cálculos'!$D$197+(($B$111)-$A74)*'Cálculos'!$D$98)+1400)+'Cálculos'!$D$123)*'Cálculos'!$D$238)+('Cálculos'!$D$185*(1+'Cálculos'!$D$188+$A74*('Cálculos'!$D$290=1)*'Cálculos'!$D$97+'Cálculos'!$D$305)+'Cálculos'!$D$193)*('Cálculos'!$D$239+'Cálculos'!$D$124*(1+2.78*('Cálculos'!$D$198+(($B$111)-$A74)*'Cálculos'!$D$98)/(('Cálculos'!$D$198+(($B$111)-$A74)*'Cálculos'!$D$98)+1400)+'Cálculos'!$D$122)*'Cálculos'!$D$244+'Cálculos'!$D$125*(1+2.78*('Cálculos'!$D$198+(($B$111)-$A74)*'Cálculos'!$D$98)/(('Cálculos'!$D$198+(($B$111)-$A74)*'Cálculos'!$D$98)+1400)+'Cálculos'!$D$123)*'Cálculos'!$D$249)+('Cálculos'!$D$198+(($B$111)-$A74)*'Cálculos'!$D$98)*('Cálculos'!$D$240+'Cálculos'!$D$124*(1+2.78*('Cálculos'!$D$198+(($B$111)-$A74)*'Cálculos'!$D$98)/(('Cálculos'!$D$198+(($B$111)-$A74)*'Cálculos'!$D$98)+1400)+'Cálculos'!$D$122)*'Cálculos'!$D$245+'Cálculos'!$D$125*(1+2.78*('Cálculos'!$D$198+(($B$111)-$A74)*'Cálculos'!$D$98)/(('Cálculos'!$D$198+(($B$111)-$A74)*'Cálculos'!$D$98)+1400)+'Cálculos'!$D$123)*'Cálculos'!$D$250)+('Cálculos'!$D$201*(1+'Cálculos'!$D$202+$A74*('Cálculos'!$D$290=2)*'Cálculos'!$D$101)+'Cálculos'!$D$203)*('Cálculos'!$D$241+'Cálculos'!$D$124*(1+2.78*('Cálculos'!$D$198+(($B$111)-$A74)*'Cálculos'!$D$98)/(('Cálculos'!$D$198+(($B$111)-$A74)*'Cálculos'!$D$98)+1400)+'Cálculos'!$D$122)*'Cálculos'!$D$246+'Cálculos'!$D$125*(1+2.78*('Cálculos'!$D$198+(($B$111)-$A74)*'Cálculos'!$D$98)/(('Cálculos'!$D$198+(($B$111)-$A74)*'Cálculos'!$D$98)+1400)+'Cálculos'!$D$123)*'Cálculos'!$D$251)+('Cálculos'!$D$204*(1+'Cálculos'!$D$205+$A74*('Cálculos'!$D$290=3)*'Cálculos'!$D$103)+'Cálculos'!$D$206)*('Cálculos'!$D$242+'Cálculos'!$D$124*(1+2.78*('Cálculos'!$D$198+(($B$111)-$A74)*'Cálculos'!$D$98)/(('Cálculos'!$D$198+(($B$111)-$A74)*'Cálculos'!$D$98)+1400)+'Cálculos'!$D$122)*'Cálculos'!$D$247+'Cálculos'!$D$125*(1+2.78*('Cálculos'!$D$198+(($B$111)-$A74)*'Cálculos'!$D$98)/(('Cálculos'!$D$198+(($B$111)-$A74)*'Cálculos'!$D$98)+1400)+'Cálculos'!$D$123)*'Cálculos'!$D$252)+('Cálculos'!$D$243+'Cálculos'!$D$124*(1+2.78*('Cálculos'!$D$198+(($B$111)-$A74)*'Cálculos'!$D$98)/(('Cálculos'!$D$198+(($B$111)-$A74)*'Cálculos'!$D$98)+1400)+'Cálculos'!$D$122)*'Cálculos'!$D$248+'Cálculos'!$D$125*(1+2.78*('Cálculos'!$D$198+(($B$111)-$A74)*'Cálculos'!$D$98)/(('Cálculos'!$D$198+(($B$111)-$A74)*'Cálculos'!$D$98)+1400)+'Cálculos'!$D$123)*'Cálculos'!$D$253)+('Cálculos'!$D$185*(1+'Cálculos'!$D$189+$A74*('Cálculos'!$D$290=1)*'Cálculos'!$D$97+'Cálculos'!$D$305)+'Cálculos'!$D$194)*('Cálculos'!$D$254+'Cálculos'!$D$124*(1+2.78*('Cálculos'!$D$199+(($B$111)-$A74)*'Cálculos'!$D$98)/(('Cálculos'!$D$199+(($B$111)-$A74)*'Cálculos'!$D$98)+1400)+'Cálculos'!$D$122)*'Cálculos'!$D$259+'Cálculos'!$D$125*(1+2.78*('Cálculos'!$D$199+(($B$111)-$A74)*'Cálculos'!$D$98)/(('Cálculos'!$D$199+(($B$111)-$A74)*'Cálculos'!$D$98)+1400)+'Cálculos'!$D$123)*'Cálculos'!$D$264)+('Cálculos'!$D$199+(($B$111)-$A74)*'Cálculos'!$D$98)*('Cálculos'!$D$255+'Cálculos'!$D$124*(1+2.78*('Cálculos'!$D$199+(($B$111)-$A74)*'Cálculos'!$D$98)/(('Cálculos'!$D$199+(($B$111)-$A74)*'Cálculos'!$D$98)+1400)+'Cálculos'!$D$122)*'Cálculos'!$D$260+'Cálculos'!$D$125*(1+2.78*('Cálculos'!$D$199+(($B$111)-$A74)*'Cálculos'!$D$98)/(('Cálculos'!$D$199+(($B$111)-$A74)*'Cálculos'!$D$98)+1400)+'Cálculos'!$D$123)*'Cálculos'!$D$265)+('Cálculos'!$D$201*(1+'Cálculos'!$D$202+$A74*('Cálculos'!$D$290=2)*'Cálculos'!$D$101)+'Cálculos'!$D$203)*('Cálculos'!$D$256+'Cálculos'!$D$124*(1+2.78*('Cálculos'!$D$199+(($B$111)-$A74)*'Cálculos'!$D$98)/(('Cálculos'!$D$199+(($B$111)-$A74)*'Cálculos'!$D$98)+1400)+'Cálculos'!$D$122)*'Cálculos'!$D$261+'Cálculos'!$D$125*(1+2.78*('Cálculos'!$D$199+(($B$111)-$A74)*'Cálculos'!$D$98)/(('Cálculos'!$D$199+(($B$111)-$A74)*'Cálculos'!$D$98)+1400)+'Cálculos'!$D$123)*'Cálculos'!$D$266)+('Cálculos'!$D$204*(1+'Cálculos'!$D$205+$A74*('Cálculos'!$D$290=3)*'Cálculos'!$D$103)+'Cálculos'!$D$206)*('Cálculos'!$D$257+'Cálculos'!$D$124*(1+2.78*('Cálculos'!$D$199+(($B$111)-$A74)*'Cálculos'!$D$98)/(('Cálculos'!$D$199+(($B$111)-$A74)*'Cálculos'!$D$98)+1400)+'Cálculos'!$D$122)*'Cálculos'!$D$262+'Cálculos'!$D$125*(1+2.78*('Cálculos'!$D$199+(($B$111)-$A74)*'Cálculos'!$D$98)/(('Cálculos'!$D$199+(($B$111)-$A74)*'Cálculos'!$D$98)+1400)+'Cálculos'!$D$123)*'Cálculos'!$D$267)+('Cálculos'!$D$258+'Cálculos'!$D$124*(1+2.78*('Cálculos'!$D$199+(($B$111)-$A74)*'Cálculos'!$D$98)/(('Cálculos'!$D$199+(($B$111)-$A74)*'Cálculos'!$D$98)+1400)+'Cálculos'!$D$122)*'Cálculos'!$D$263+'Cálculos'!$D$125*(1+2.78*('Cálculos'!$D$199+(($B$111)-$A74)*'Cálculos'!$D$98)/(('Cálculos'!$D$199+(($B$111)-$A74)*'Cálculos'!$D$98)+1400)+'Cálculos'!$D$123)*'Cálculos'!$D$268)+('Cálculos'!$D$185*(1+'Cálculos'!$D$190+$A74*('Cálculos'!$D$290=1)*'Cálculos'!$D$97+'Cálculos'!$D$305)+'Cálculos'!$D$195)*('Cálculos'!$D$269+'Cálculos'!$D$124*(1+2.78*('Cálculos'!$D$200+(($B$111)-$A74)*'Cálculos'!$D$98)/(('Cálculos'!$D$200+(($B$111)-$A74)*'Cálculos'!$D$98)+1400)+'Cálculos'!$D$122)*'Cálculos'!$D$274+'Cálculos'!$D$125*(1+2.78*('Cálculos'!$D$200+(($B$111)-$A74)*'Cálculos'!$D$98)/(('Cálculos'!$D$200+(($B$111)-$A74)*'Cálculos'!$D$98)+1400)+'Cálculos'!$D$123)*'Cálculos'!$D$279)+('Cálculos'!$D$200+(($B$111)-$A74)*'Cálculos'!$D$98)*('Cálculos'!$D$270+'Cálculos'!$D$124*(1+2.78*('Cálculos'!$D$200+(($B$111)-$A74)*'Cálculos'!$D$98)/(('Cálculos'!$D$200+(($B$111)-$A74)*'Cálculos'!$D$98)+1400)+'Cálculos'!$D$122)*'Cálculos'!$D$275+'Cálculos'!$D$125*(1+2.78*('Cálculos'!$D$200+(($B$111)-$A74)*'Cálculos'!$D$98)/(('Cálculos'!$D$200+(($B$111)-$A74)*'Cálculos'!$D$98)+1400)+'Cálculos'!$D$123)*'Cálculos'!$D$280)+('Cálculos'!$D$201*(1+'Cálculos'!$D$202+$A74*('Cálculos'!$D$290=2)*'Cálculos'!$D$101)+'Cálculos'!$D$203)*('Cálculos'!$D$271+'Cálculos'!$D$124*(1+2.78*('Cálculos'!$D$200+(($B$111)-$A74)*'Cálculos'!$D$98)/(('Cálculos'!$D$200+(($B$111)-$A74)*'Cálculos'!$D$98)+1400)+'Cálculos'!$D$122)*'Cálculos'!$D$276+'Cálculos'!$D$125*(1+2.78*('Cálculos'!$D$200+(($B$111)-$A74)*'Cálculos'!$D$98)/(('Cálculos'!$D$200+(($B$111)-$A74)*'Cálculos'!$D$98)+1400)+'Cálculos'!$D$123)*'Cálculos'!$D$281)+('Cálculos'!$D$204*(1+'Cálculos'!$D$205+$A74*('Cálculos'!$D$290=3)*'Cálculos'!$D$103)+'Cálculos'!$D$206)*('Cálculos'!$D$272+'Cálculos'!$D$124*(1+2.78*('Cálculos'!$D$200+(($B$111)-$A74)*'Cálculos'!$D$98)/(('Cálculos'!$D$200+(($B$111)-$A74)*'Cálculos'!$D$98)+1400)+'Cálculos'!$D$122)*'Cálculos'!$D$277+'Cálculos'!$D$125*(1+2.78*('Cálculos'!$D$200+(($B$111)-$A74)*'Cálculos'!$D$98)/(('Cálculos'!$D$200+(($B$111)-$A74)*'Cálculos'!$D$98)+1400)+'Cálculos'!$D$123)*'Cálculos'!$D$282)+('Cálculos'!$D$273+'Cálculos'!$D$124*(1+2.78*('Cálculos'!$D$200+(($B$111)-$A74)*'Cálculos'!$D$98)/(('Cálculos'!$D$200+(($B$111)-$A74)*'Cálculos'!$D$98)+1400)+'Cálculos'!$D$122)*'Cálculos'!$D$278+'Cálculos'!$D$125*(1+2.78*('Cálculos'!$D$200+(($B$111)-$A74)*'Cálculos'!$D$98)/(('Cálculos'!$D$200+(($B$111)-$A74)*'Cálculos'!$D$98)+1400)+'Cálculos'!$D$123)*'Cálculos'!$D$283)))</f>
        <v>0</v>
      </c>
    </row>
    <row r="75" ht="15.75" customHeight="1">
      <c r="A75" s="2">
        <v>12.0</v>
      </c>
      <c r="B75" s="30">
        <f>SUMPRODUCT(MAX(($A$63:$A$108&lt;=$A75)*($A$63:$A$108&lt;='Cálculos'!$D$294)*(($A75)-$A$63:$A$108&lt;='Cálculos'!$D$295)*(1+(('Cálculos'!$D$207+$A$63:$A$108*'Cálculos'!$D$95)-(('Cálculos'!$D$207+$A$63:$A$108*'Cálculos'!$D$95)&gt;1)*(('Cálculos'!$D$207+$A$63:$A$108*'Cálculos'!$D$95)-1))*('Cálculos'!$D$208+(($A75)-$A$63:$A$108)*'Cálculos'!$D$96))))</f>
        <v>1.480322084</v>
      </c>
      <c r="C75" s="2">
        <f>'Cálculos'!$D$303-$A75</f>
        <v>-1</v>
      </c>
      <c r="D75" s="31">
        <f>IF($C75&lt;0,0,SUMPRODUCT(MAX(($A$63:$A$108&lt;=$C75)*($A$63:$A$108&lt;='Cálculos'!$D$301)*(($C75)-$A$63:$A$108&lt;='Cálculos'!$D$297)*(('Cálculos'!$D$185*(1+'Cálculos'!$D$186+$A$63:$A$108*('Cálculos'!$D$290=1)*'Cálculos'!$D$97+'Cálculos'!$D$305)+'Cálculos'!$D$191)*('Cálculos'!$D$209+'Cálculos'!$D$124*(1+2.78*('Cálculos'!$D$196+(($C75)-$A$63:$A$108)*'Cálculos'!$D$98)/(('Cálculos'!$D$196+(($C75)-$A$63:$A$108)*'Cálculos'!$D$98)+1400)+'Cálculos'!$D$122)*'Cálculos'!$D$214+'Cálculos'!$D$125*(1+2.78*('Cálculos'!$D$196+(($C75)-$A$63:$A$108)*'Cálculos'!$D$98)/(('Cálculos'!$D$196+(($C75)-$A$63:$A$108)*'Cálculos'!$D$98)+1400)+'Cálculos'!$D$123)*'Cálculos'!$D$219)+('Cálculos'!$D$196+(($C75)-$A$63:$A$108)*'Cálculos'!$D$98)*('Cálculos'!$D$210+'Cálculos'!$D$124*(1+2.78*('Cálculos'!$D$196+(($C75)-$A$63:$A$108)*'Cálculos'!$D$98)/(('Cálculos'!$D$196+(($C75)-$A$63:$A$108)*'Cálculos'!$D$98)+1400)+'Cálculos'!$D$122)*'Cálculos'!$D$215+'Cálculos'!$D$125*(1+2.78*('Cálculos'!$D$196+(($C75)-$A$63:$A$108)*'Cálculos'!$D$98)/(('Cálculos'!$D$196+(($C75)-$A$63:$A$108)*'Cálculos'!$D$98)+1400)+'Cálculos'!$D$123)*'Cálculos'!$D$220)+('Cálculos'!$D$201*(1+'Cálculos'!$D$202+$A$63:$A$108*('Cálculos'!$D$290=2)*'Cálculos'!$D$101)+'Cálculos'!$D$203)*('Cálculos'!$D$211+'Cálculos'!$D$124*(1+2.78*('Cálculos'!$D$196+(($C75)-$A$63:$A$108)*'Cálculos'!$D$98)/(('Cálculos'!$D$196+(($C75)-$A$63:$A$108)*'Cálculos'!$D$98)+1400)+'Cálculos'!$D$122)*'Cálculos'!$D$216+'Cálculos'!$D$125*(1+2.78*('Cálculos'!$D$196+(($C75)-$A$63:$A$108)*'Cálculos'!$D$98)/(('Cálculos'!$D$196+(($C75)-$A$63:$A$108)*'Cálculos'!$D$98)+1400)+'Cálculos'!$D$123)*'Cálculos'!$D$221)+('Cálculos'!$D$204*(1+'Cálculos'!$D$205+$A$63:$A$108*('Cálculos'!$D$290=3)*'Cálculos'!$D$103)+'Cálculos'!$D$206)*('Cálculos'!$D$212+'Cálculos'!$D$124*(1+2.78*('Cálculos'!$D$196+(($C75)-$A$63:$A$108)*'Cálculos'!$D$98)/(('Cálculos'!$D$196+(($C75)-$A$63:$A$108)*'Cálculos'!$D$98)+1400)+'Cálculos'!$D$122)*'Cálculos'!$D$217+'Cálculos'!$D$125*(1+2.78*('Cálculos'!$D$196+(($C75)-$A$63:$A$108)*'Cálculos'!$D$98)/(('Cálculos'!$D$196+(($C75)-$A$63:$A$108)*'Cálculos'!$D$98)+1400)+'Cálculos'!$D$123)*'Cálculos'!$D$222)+('Cálculos'!$D$213+'Cálculos'!$D$124*(1+2.78*('Cálculos'!$D$196+(($C75)-$A$63:$A$108)*'Cálculos'!$D$98)/(('Cálculos'!$D$196+(($C75)-$A$63:$A$108)*'Cálculos'!$D$98)+1400)+'Cálculos'!$D$122)*'Cálculos'!$D$218+'Cálculos'!$D$125*(1+2.78*('Cálculos'!$D$196+(($C75)-$A$63:$A$108)*'Cálculos'!$D$98)/(('Cálculos'!$D$196+(($C75)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75)-$A$63:$A$108)*'Cálculos'!$D$98)/(('Cálculos'!$D$197+(($C75)-$A$63:$A$108)*'Cálculos'!$D$98)+1400)+'Cálculos'!$D$122)*'Cálculos'!$D$229+'Cálculos'!$D$125*(1+2.78*('Cálculos'!$D$197+(($C75)-$A$63:$A$108)*'Cálculos'!$D$98)/(('Cálculos'!$D$197+(($C75)-$A$63:$A$108)*'Cálculos'!$D$98)+1400)+'Cálculos'!$D$123)*'Cálculos'!$D$234)+('Cálculos'!$D$197+(($C75)-$A$63:$A$108)*'Cálculos'!$D$98)*('Cálculos'!$D$225+'Cálculos'!$D$124*(1+2.78*('Cálculos'!$D$197+(($C75)-$A$63:$A$108)*'Cálculos'!$D$98)/(('Cálculos'!$D$197+(($C75)-$A$63:$A$108)*'Cálculos'!$D$98)+1400)+'Cálculos'!$D$122)*'Cálculos'!$D$230+'Cálculos'!$D$125*(1+2.78*('Cálculos'!$D$197+(($C75)-$A$63:$A$108)*'Cálculos'!$D$98)/(('Cálculos'!$D$197+(($C75)-$A$63:$A$108)*'Cálculos'!$D$98)+1400)+'Cálculos'!$D$123)*'Cálculos'!$D$235)+('Cálculos'!$D$201*(1+'Cálculos'!$D$202+$A$63:$A$108*('Cálculos'!$D$290=2)*'Cálculos'!$D$101)+'Cálculos'!$D$203)*('Cálculos'!$D$226+'Cálculos'!$D$124*(1+2.78*('Cálculos'!$D$197+(($C75)-$A$63:$A$108)*'Cálculos'!$D$98)/(('Cálculos'!$D$197+(($C75)-$A$63:$A$108)*'Cálculos'!$D$98)+1400)+'Cálculos'!$D$122)*'Cálculos'!$D$231+'Cálculos'!$D$125*(1+2.78*('Cálculos'!$D$197+(($C75)-$A$63:$A$108)*'Cálculos'!$D$98)/(('Cálculos'!$D$197+(($C75)-$A$63:$A$108)*'Cálculos'!$D$98)+1400)+'Cálculos'!$D$123)*'Cálculos'!$D$236)+('Cálculos'!$D$204*(1+'Cálculos'!$D$205+$A$63:$A$108*('Cálculos'!$D$290=3)*'Cálculos'!$D$103)+'Cálculos'!$D$206)*('Cálculos'!$D$227+'Cálculos'!$D$124*(1+2.78*('Cálculos'!$D$197+(($C75)-$A$63:$A$108)*'Cálculos'!$D$98)/(('Cálculos'!$D$197+(($C75)-$A$63:$A$108)*'Cálculos'!$D$98)+1400)+'Cálculos'!$D$122)*'Cálculos'!$D$232+'Cálculos'!$D$125*(1+2.78*('Cálculos'!$D$197+(($C75)-$A$63:$A$108)*'Cálculos'!$D$98)/(('Cálculos'!$D$197+(($C75)-$A$63:$A$108)*'Cálculos'!$D$98)+1400)+'Cálculos'!$D$123)*'Cálculos'!$D$237)+('Cálculos'!$D$228+'Cálculos'!$D$124*(1+2.78*('Cálculos'!$D$197+(($C75)-$A$63:$A$108)*'Cálculos'!$D$98)/(('Cálculos'!$D$197+(($C75)-$A$63:$A$108)*'Cálculos'!$D$98)+1400)+'Cálculos'!$D$122)*'Cálculos'!$D$233+'Cálculos'!$D$125*(1+2.78*('Cálculos'!$D$197+(($C75)-$A$63:$A$108)*'Cálculos'!$D$98)/(('Cálculos'!$D$197+(($C75)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75)-$A$63:$A$108)*'Cálculos'!$D$98)/(('Cálculos'!$D$198+(($C75)-$A$63:$A$108)*'Cálculos'!$D$98)+1400)+'Cálculos'!$D$122)*'Cálculos'!$D$244+'Cálculos'!$D$125*(1+2.78*('Cálculos'!$D$198+(($C75)-$A$63:$A$108)*'Cálculos'!$D$98)/(('Cálculos'!$D$198+(($C75)-$A$63:$A$108)*'Cálculos'!$D$98)+1400)+'Cálculos'!$D$123)*'Cálculos'!$D$249)+('Cálculos'!$D$198+(($C75)-$A$63:$A$108)*'Cálculos'!$D$98)*('Cálculos'!$D$240+'Cálculos'!$D$124*(1+2.78*('Cálculos'!$D$198+(($C75)-$A$63:$A$108)*'Cálculos'!$D$98)/(('Cálculos'!$D$198+(($C75)-$A$63:$A$108)*'Cálculos'!$D$98)+1400)+'Cálculos'!$D$122)*'Cálculos'!$D$245+'Cálculos'!$D$125*(1+2.78*('Cálculos'!$D$198+(($C75)-$A$63:$A$108)*'Cálculos'!$D$98)/(('Cálculos'!$D$198+(($C75)-$A$63:$A$108)*'Cálculos'!$D$98)+1400)+'Cálculos'!$D$123)*'Cálculos'!$D$250)+('Cálculos'!$D$201*(1+'Cálculos'!$D$202+$A$63:$A$108*('Cálculos'!$D$290=2)*'Cálculos'!$D$101)+'Cálculos'!$D$203)*('Cálculos'!$D$241+'Cálculos'!$D$124*(1+2.78*('Cálculos'!$D$198+(($C75)-$A$63:$A$108)*'Cálculos'!$D$98)/(('Cálculos'!$D$198+(($C75)-$A$63:$A$108)*'Cálculos'!$D$98)+1400)+'Cálculos'!$D$122)*'Cálculos'!$D$246+'Cálculos'!$D$125*(1+2.78*('Cálculos'!$D$198+(($C75)-$A$63:$A$108)*'Cálculos'!$D$98)/(('Cálculos'!$D$198+(($C75)-$A$63:$A$108)*'Cálculos'!$D$98)+1400)+'Cálculos'!$D$123)*'Cálculos'!$D$251)+('Cálculos'!$D$204*(1+'Cálculos'!$D$205+$A$63:$A$108*('Cálculos'!$D$290=3)*'Cálculos'!$D$103)+'Cálculos'!$D$206)*('Cálculos'!$D$242+'Cálculos'!$D$124*(1+2.78*('Cálculos'!$D$198+(($C75)-$A$63:$A$108)*'Cálculos'!$D$98)/(('Cálculos'!$D$198+(($C75)-$A$63:$A$108)*'Cálculos'!$D$98)+1400)+'Cálculos'!$D$122)*'Cálculos'!$D$247+'Cálculos'!$D$125*(1+2.78*('Cálculos'!$D$198+(($C75)-$A$63:$A$108)*'Cálculos'!$D$98)/(('Cálculos'!$D$198+(($C75)-$A$63:$A$108)*'Cálculos'!$D$98)+1400)+'Cálculos'!$D$123)*'Cálculos'!$D$252)+('Cálculos'!$D$243+'Cálculos'!$D$124*(1+2.78*('Cálculos'!$D$198+(($C75)-$A$63:$A$108)*'Cálculos'!$D$98)/(('Cálculos'!$D$198+(($C75)-$A$63:$A$108)*'Cálculos'!$D$98)+1400)+'Cálculos'!$D$122)*'Cálculos'!$D$248+'Cálculos'!$D$125*(1+2.78*('Cálculos'!$D$198+(($C75)-$A$63:$A$108)*'Cálculos'!$D$98)/(('Cálculos'!$D$198+(($C75)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75)-$A$63:$A$108)*'Cálculos'!$D$98)/(('Cálculos'!$D$199+(($C75)-$A$63:$A$108)*'Cálculos'!$D$98)+1400)+'Cálculos'!$D$122)*'Cálculos'!$D$259+'Cálculos'!$D$125*(1+2.78*('Cálculos'!$D$199+(($C75)-$A$63:$A$108)*'Cálculos'!$D$98)/(('Cálculos'!$D$199+(($C75)-$A$63:$A$108)*'Cálculos'!$D$98)+1400)+'Cálculos'!$D$123)*'Cálculos'!$D$264)+('Cálculos'!$D$199+(($C75)-$A$63:$A$108)*'Cálculos'!$D$98)*('Cálculos'!$D$255+'Cálculos'!$D$124*(1+2.78*('Cálculos'!$D$199+(($C75)-$A$63:$A$108)*'Cálculos'!$D$98)/(('Cálculos'!$D$199+(($C75)-$A$63:$A$108)*'Cálculos'!$D$98)+1400)+'Cálculos'!$D$122)*'Cálculos'!$D$260+'Cálculos'!$D$125*(1+2.78*('Cálculos'!$D$199+(($C75)-$A$63:$A$108)*'Cálculos'!$D$98)/(('Cálculos'!$D$199+(($C75)-$A$63:$A$108)*'Cálculos'!$D$98)+1400)+'Cálculos'!$D$123)*'Cálculos'!$D$265)+('Cálculos'!$D$201*(1+'Cálculos'!$D$202+$A$63:$A$108*('Cálculos'!$D$290=2)*'Cálculos'!$D$101)+'Cálculos'!$D$203)*('Cálculos'!$D$256+'Cálculos'!$D$124*(1+2.78*('Cálculos'!$D$199+(($C75)-$A$63:$A$108)*'Cálculos'!$D$98)/(('Cálculos'!$D$199+(($C75)-$A$63:$A$108)*'Cálculos'!$D$98)+1400)+'Cálculos'!$D$122)*'Cálculos'!$D$261+'Cálculos'!$D$125*(1+2.78*('Cálculos'!$D$199+(($C75)-$A$63:$A$108)*'Cálculos'!$D$98)/(('Cálculos'!$D$199+(($C75)-$A$63:$A$108)*'Cálculos'!$D$98)+1400)+'Cálculos'!$D$123)*'Cálculos'!$D$266)+('Cálculos'!$D$204*(1+'Cálculos'!$D$205+$A$63:$A$108*('Cálculos'!$D$290=3)*'Cálculos'!$D$103)+'Cálculos'!$D$206)*('Cálculos'!$D$257+'Cálculos'!$D$124*(1+2.78*('Cálculos'!$D$199+(($C75)-$A$63:$A$108)*'Cálculos'!$D$98)/(('Cálculos'!$D$199+(($C75)-$A$63:$A$108)*'Cálculos'!$D$98)+1400)+'Cálculos'!$D$122)*'Cálculos'!$D$262+'Cálculos'!$D$125*(1+2.78*('Cálculos'!$D$199+(($C75)-$A$63:$A$108)*'Cálculos'!$D$98)/(('Cálculos'!$D$199+(($C75)-$A$63:$A$108)*'Cálculos'!$D$98)+1400)+'Cálculos'!$D$123)*'Cálculos'!$D$267)+('Cálculos'!$D$258+'Cálculos'!$D$124*(1+2.78*('Cálculos'!$D$199+(($C75)-$A$63:$A$108)*'Cálculos'!$D$98)/(('Cálculos'!$D$199+(($C75)-$A$63:$A$108)*'Cálculos'!$D$98)+1400)+'Cálculos'!$D$122)*'Cálculos'!$D$263+'Cálculos'!$D$125*(1+2.78*('Cálculos'!$D$199+(($C75)-$A$63:$A$108)*'Cálculos'!$D$98)/(('Cálculos'!$D$199+(($C75)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75)-$A$63:$A$108)*'Cálculos'!$D$98)/(('Cálculos'!$D$200+(($C75)-$A$63:$A$108)*'Cálculos'!$D$98)+1400)+'Cálculos'!$D$122)*'Cálculos'!$D$274+'Cálculos'!$D$125*(1+2.78*('Cálculos'!$D$200+(($C75)-$A$63:$A$108)*'Cálculos'!$D$98)/(('Cálculos'!$D$200+(($C75)-$A$63:$A$108)*'Cálculos'!$D$98)+1400)+'Cálculos'!$D$123)*'Cálculos'!$D$279)+('Cálculos'!$D$200+(($C75)-$A$63:$A$108)*'Cálculos'!$D$98)*('Cálculos'!$D$270+'Cálculos'!$D$124*(1+2.78*('Cálculos'!$D$200+(($C75)-$A$63:$A$108)*'Cálculos'!$D$98)/(('Cálculos'!$D$200+(($C75)-$A$63:$A$108)*'Cálculos'!$D$98)+1400)+'Cálculos'!$D$122)*'Cálculos'!$D$275+'Cálculos'!$D$125*(1+2.78*('Cálculos'!$D$200+(($C75)-$A$63:$A$108)*'Cálculos'!$D$98)/(('Cálculos'!$D$200+(($C75)-$A$63:$A$108)*'Cálculos'!$D$98)+1400)+'Cálculos'!$D$123)*'Cálculos'!$D$280)+('Cálculos'!$D$201*(1+'Cálculos'!$D$202+$A$63:$A$108*('Cálculos'!$D$290=2)*'Cálculos'!$D$101)+'Cálculos'!$D$203)*('Cálculos'!$D$271+'Cálculos'!$D$124*(1+2.78*('Cálculos'!$D$200+(($C75)-$A$63:$A$108)*'Cálculos'!$D$98)/(('Cálculos'!$D$200+(($C75)-$A$63:$A$108)*'Cálculos'!$D$98)+1400)+'Cálculos'!$D$122)*'Cálculos'!$D$276+'Cálculos'!$D$125*(1+2.78*('Cálculos'!$D$200+(($C75)-$A$63:$A$108)*'Cálculos'!$D$98)/(('Cálculos'!$D$200+(($C75)-$A$63:$A$108)*'Cálculos'!$D$98)+1400)+'Cálculos'!$D$123)*'Cálculos'!$D$281)+('Cálculos'!$D$204*(1+'Cálculos'!$D$205+$A$63:$A$108*('Cálculos'!$D$290=3)*'Cálculos'!$D$103)+'Cálculos'!$D$206)*('Cálculos'!$D$272+'Cálculos'!$D$124*(1+2.78*('Cálculos'!$D$200+(($C75)-$A$63:$A$108)*'Cálculos'!$D$98)/(('Cálculos'!$D$200+(($C75)-$A$63:$A$108)*'Cálculos'!$D$98)+1400)+'Cálculos'!$D$122)*'Cálculos'!$D$277+'Cálculos'!$D$125*(1+2.78*('Cálculos'!$D$200+(($C75)-$A$63:$A$108)*'Cálculos'!$D$98)/(('Cálculos'!$D$200+(($C75)-$A$63:$A$108)*'Cálculos'!$D$98)+1400)+'Cálculos'!$D$123)*'Cálculos'!$D$282)+('Cálculos'!$D$273+'Cálculos'!$D$124*(1+2.78*('Cálculos'!$D$200+(($C75)-$A$63:$A$108)*'Cálculos'!$D$98)/(('Cálculos'!$D$200+(($C75)-$A$63:$A$108)*'Cálculos'!$D$98)+1400)+'Cálculos'!$D$122)*'Cálculos'!$D$278+'Cálculos'!$D$125*(1+2.78*('Cálculos'!$D$200+(($C75)-$A$63:$A$108)*'Cálculos'!$D$98)/(('Cálculos'!$D$200+(($C75)-$A$63:$A$108)*'Cálculos'!$D$98)+1400)+'Cálculos'!$D$123)*'Cálculos'!$D$283)))))</f>
        <v>0</v>
      </c>
      <c r="E75" s="32">
        <f>IF(OR($C75&lt;0,'Cálculos'!$D$6=""),0,$B75*$D75)</f>
        <v>0</v>
      </c>
      <c r="F75" s="2"/>
      <c r="G75" s="30">
        <f>($A75&lt;=$B$110)*($A75&lt;='Cálculos'!$D$294)*(($B$110)-$A75&lt;='Cálculos'!$D$295)*(1+MIN(('Cálculos'!$D$207+$A75*'Cálculos'!$D$95),1)*('Cálculos'!$D$208+(($B$110)-$A75)*'Cálculos'!$D$96))</f>
        <v>0</v>
      </c>
      <c r="H75" s="31">
        <f>IF($B$111&lt;0,0,($A75&lt;=$B$111)*($A75&lt;='Cálculos'!$D$301)*(($B$111)-$A75&lt;='Cálculos'!$D$297)*(('Cálculos'!$D$185*(1+'Cálculos'!$D$186+$A75*('Cálculos'!$D$290=1)*'Cálculos'!$D$97+'Cálculos'!$D$305)+'Cálculos'!$D$191)*('Cálculos'!$D$209+'Cálculos'!$D$124*(1+2.78*('Cálculos'!$D$196+(($B$111)-$A75)*'Cálculos'!$D$98)/(('Cálculos'!$D$196+(($B$111)-$A75)*'Cálculos'!$D$98)+1400)+'Cálculos'!$D$122)*'Cálculos'!$D$214+'Cálculos'!$D$125*(1+2.78*('Cálculos'!$D$196+(($B$111)-$A75)*'Cálculos'!$D$98)/(('Cálculos'!$D$196+(($B$111)-$A75)*'Cálculos'!$D$98)+1400)+'Cálculos'!$D$123)*'Cálculos'!$D$219)+('Cálculos'!$D$196+(($B$111)-$A75)*'Cálculos'!$D$98)*('Cálculos'!$D$210+'Cálculos'!$D$124*(1+2.78*('Cálculos'!$D$196+(($B$111)-$A75)*'Cálculos'!$D$98)/(('Cálculos'!$D$196+(($B$111)-$A75)*'Cálculos'!$D$98)+1400)+'Cálculos'!$D$122)*'Cálculos'!$D$215+'Cálculos'!$D$125*(1+2.78*('Cálculos'!$D$196+(($B$111)-$A75)*'Cálculos'!$D$98)/(('Cálculos'!$D$196+(($B$111)-$A75)*'Cálculos'!$D$98)+1400)+'Cálculos'!$D$123)*'Cálculos'!$D$220)+('Cálculos'!$D$201*(1+'Cálculos'!$D$202+$A75*('Cálculos'!$D$290=2)*'Cálculos'!$D$101)+'Cálculos'!$D$203)*('Cálculos'!$D$211+'Cálculos'!$D$124*(1+2.78*('Cálculos'!$D$196+(($B$111)-$A75)*'Cálculos'!$D$98)/(('Cálculos'!$D$196+(($B$111)-$A75)*'Cálculos'!$D$98)+1400)+'Cálculos'!$D$122)*'Cálculos'!$D$216+'Cálculos'!$D$125*(1+2.78*('Cálculos'!$D$196+(($B$111)-$A75)*'Cálculos'!$D$98)/(('Cálculos'!$D$196+(($B$111)-$A75)*'Cálculos'!$D$98)+1400)+'Cálculos'!$D$123)*'Cálculos'!$D$221)+('Cálculos'!$D$204*(1+'Cálculos'!$D$205+$A75*('Cálculos'!$D$290=3)*'Cálculos'!$D$103)+'Cálculos'!$D$206)*('Cálculos'!$D$212+'Cálculos'!$D$124*(1+2.78*('Cálculos'!$D$196+(($B$111)-$A75)*'Cálculos'!$D$98)/(('Cálculos'!$D$196+(($B$111)-$A75)*'Cálculos'!$D$98)+1400)+'Cálculos'!$D$122)*'Cálculos'!$D$217+'Cálculos'!$D$125*(1+2.78*('Cálculos'!$D$196+(($B$111)-$A75)*'Cálculos'!$D$98)/(('Cálculos'!$D$196+(($B$111)-$A75)*'Cálculos'!$D$98)+1400)+'Cálculos'!$D$123)*'Cálculos'!$D$222)+('Cálculos'!$D$213+'Cálculos'!$D$124*(1+2.78*('Cálculos'!$D$196+(($B$111)-$A75)*'Cálculos'!$D$98)/(('Cálculos'!$D$196+(($B$111)-$A75)*'Cálculos'!$D$98)+1400)+'Cálculos'!$D$122)*'Cálculos'!$D$218+'Cálculos'!$D$125*(1+2.78*('Cálculos'!$D$196+(($B$111)-$A75)*'Cálculos'!$D$98)/(('Cálculos'!$D$196+(($B$111)-$A75)*'Cálculos'!$D$98)+1400)+'Cálculos'!$D$123)*'Cálculos'!$D$223)+('Cálculos'!$D$185*(1+'Cálculos'!$D$187+$A75*('Cálculos'!$D$290=1)*'Cálculos'!$D$97+'Cálculos'!$D$305)+'Cálculos'!$D$192)*('Cálculos'!$D$224+'Cálculos'!$D$124*(1+2.78*('Cálculos'!$D$197+(($B$111)-$A75)*'Cálculos'!$D$98)/(('Cálculos'!$D$197+(($B$111)-$A75)*'Cálculos'!$D$98)+1400)+'Cálculos'!$D$122)*'Cálculos'!$D$229+'Cálculos'!$D$125*(1+2.78*('Cálculos'!$D$197+(($B$111)-$A75)*'Cálculos'!$D$98)/(('Cálculos'!$D$197+(($B$111)-$A75)*'Cálculos'!$D$98)+1400)+'Cálculos'!$D$123)*'Cálculos'!$D$234)+('Cálculos'!$D$197+(($B$111)-$A75)*'Cálculos'!$D$98)*('Cálculos'!$D$225+'Cálculos'!$D$124*(1+2.78*('Cálculos'!$D$197+(($B$111)-$A75)*'Cálculos'!$D$98)/(('Cálculos'!$D$197+(($B$111)-$A75)*'Cálculos'!$D$98)+1400)+'Cálculos'!$D$122)*'Cálculos'!$D$230+'Cálculos'!$D$125*(1+2.78*('Cálculos'!$D$197+(($B$111)-$A75)*'Cálculos'!$D$98)/(('Cálculos'!$D$197+(($B$111)-$A75)*'Cálculos'!$D$98)+1400)+'Cálculos'!$D$123)*'Cálculos'!$D$235)+('Cálculos'!$D$201*(1+'Cálculos'!$D$202+$A75*('Cálculos'!$D$290=2)*'Cálculos'!$D$101)+'Cálculos'!$D$203)*('Cálculos'!$D$226+'Cálculos'!$D$124*(1+2.78*('Cálculos'!$D$197+(($B$111)-$A75)*'Cálculos'!$D$98)/(('Cálculos'!$D$197+(($B$111)-$A75)*'Cálculos'!$D$98)+1400)+'Cálculos'!$D$122)*'Cálculos'!$D$231+'Cálculos'!$D$125*(1+2.78*('Cálculos'!$D$197+(($B$111)-$A75)*'Cálculos'!$D$98)/(('Cálculos'!$D$197+(($B$111)-$A75)*'Cálculos'!$D$98)+1400)+'Cálculos'!$D$123)*'Cálculos'!$D$236)+('Cálculos'!$D$204*(1+'Cálculos'!$D$205+$A75*('Cálculos'!$D$290=3)*'Cálculos'!$D$103)+'Cálculos'!$D$206)*('Cálculos'!$D$227+'Cálculos'!$D$124*(1+2.78*('Cálculos'!$D$197+(($B$111)-$A75)*'Cálculos'!$D$98)/(('Cálculos'!$D$197+(($B$111)-$A75)*'Cálculos'!$D$98)+1400)+'Cálculos'!$D$122)*'Cálculos'!$D$232+'Cálculos'!$D$125*(1+2.78*('Cálculos'!$D$197+(($B$111)-$A75)*'Cálculos'!$D$98)/(('Cálculos'!$D$197+(($B$111)-$A75)*'Cálculos'!$D$98)+1400)+'Cálculos'!$D$123)*'Cálculos'!$D$237)+('Cálculos'!$D$228+'Cálculos'!$D$124*(1+2.78*('Cálculos'!$D$197+(($B$111)-$A75)*'Cálculos'!$D$98)/(('Cálculos'!$D$197+(($B$111)-$A75)*'Cálculos'!$D$98)+1400)+'Cálculos'!$D$122)*'Cálculos'!$D$233+'Cálculos'!$D$125*(1+2.78*('Cálculos'!$D$197+(($B$111)-$A75)*'Cálculos'!$D$98)/(('Cálculos'!$D$197+(($B$111)-$A75)*'Cálculos'!$D$98)+1400)+'Cálculos'!$D$123)*'Cálculos'!$D$238)+('Cálculos'!$D$185*(1+'Cálculos'!$D$188+$A75*('Cálculos'!$D$290=1)*'Cálculos'!$D$97+'Cálculos'!$D$305)+'Cálculos'!$D$193)*('Cálculos'!$D$239+'Cálculos'!$D$124*(1+2.78*('Cálculos'!$D$198+(($B$111)-$A75)*'Cálculos'!$D$98)/(('Cálculos'!$D$198+(($B$111)-$A75)*'Cálculos'!$D$98)+1400)+'Cálculos'!$D$122)*'Cálculos'!$D$244+'Cálculos'!$D$125*(1+2.78*('Cálculos'!$D$198+(($B$111)-$A75)*'Cálculos'!$D$98)/(('Cálculos'!$D$198+(($B$111)-$A75)*'Cálculos'!$D$98)+1400)+'Cálculos'!$D$123)*'Cálculos'!$D$249)+('Cálculos'!$D$198+(($B$111)-$A75)*'Cálculos'!$D$98)*('Cálculos'!$D$240+'Cálculos'!$D$124*(1+2.78*('Cálculos'!$D$198+(($B$111)-$A75)*'Cálculos'!$D$98)/(('Cálculos'!$D$198+(($B$111)-$A75)*'Cálculos'!$D$98)+1400)+'Cálculos'!$D$122)*'Cálculos'!$D$245+'Cálculos'!$D$125*(1+2.78*('Cálculos'!$D$198+(($B$111)-$A75)*'Cálculos'!$D$98)/(('Cálculos'!$D$198+(($B$111)-$A75)*'Cálculos'!$D$98)+1400)+'Cálculos'!$D$123)*'Cálculos'!$D$250)+('Cálculos'!$D$201*(1+'Cálculos'!$D$202+$A75*('Cálculos'!$D$290=2)*'Cálculos'!$D$101)+'Cálculos'!$D$203)*('Cálculos'!$D$241+'Cálculos'!$D$124*(1+2.78*('Cálculos'!$D$198+(($B$111)-$A75)*'Cálculos'!$D$98)/(('Cálculos'!$D$198+(($B$111)-$A75)*'Cálculos'!$D$98)+1400)+'Cálculos'!$D$122)*'Cálculos'!$D$246+'Cálculos'!$D$125*(1+2.78*('Cálculos'!$D$198+(($B$111)-$A75)*'Cálculos'!$D$98)/(('Cálculos'!$D$198+(($B$111)-$A75)*'Cálculos'!$D$98)+1400)+'Cálculos'!$D$123)*'Cálculos'!$D$251)+('Cálculos'!$D$204*(1+'Cálculos'!$D$205+$A75*('Cálculos'!$D$290=3)*'Cálculos'!$D$103)+'Cálculos'!$D$206)*('Cálculos'!$D$242+'Cálculos'!$D$124*(1+2.78*('Cálculos'!$D$198+(($B$111)-$A75)*'Cálculos'!$D$98)/(('Cálculos'!$D$198+(($B$111)-$A75)*'Cálculos'!$D$98)+1400)+'Cálculos'!$D$122)*'Cálculos'!$D$247+'Cálculos'!$D$125*(1+2.78*('Cálculos'!$D$198+(($B$111)-$A75)*'Cálculos'!$D$98)/(('Cálculos'!$D$198+(($B$111)-$A75)*'Cálculos'!$D$98)+1400)+'Cálculos'!$D$123)*'Cálculos'!$D$252)+('Cálculos'!$D$243+'Cálculos'!$D$124*(1+2.78*('Cálculos'!$D$198+(($B$111)-$A75)*'Cálculos'!$D$98)/(('Cálculos'!$D$198+(($B$111)-$A75)*'Cálculos'!$D$98)+1400)+'Cálculos'!$D$122)*'Cálculos'!$D$248+'Cálculos'!$D$125*(1+2.78*('Cálculos'!$D$198+(($B$111)-$A75)*'Cálculos'!$D$98)/(('Cálculos'!$D$198+(($B$111)-$A75)*'Cálculos'!$D$98)+1400)+'Cálculos'!$D$123)*'Cálculos'!$D$253)+('Cálculos'!$D$185*(1+'Cálculos'!$D$189+$A75*('Cálculos'!$D$290=1)*'Cálculos'!$D$97+'Cálculos'!$D$305)+'Cálculos'!$D$194)*('Cálculos'!$D$254+'Cálculos'!$D$124*(1+2.78*('Cálculos'!$D$199+(($B$111)-$A75)*'Cálculos'!$D$98)/(('Cálculos'!$D$199+(($B$111)-$A75)*'Cálculos'!$D$98)+1400)+'Cálculos'!$D$122)*'Cálculos'!$D$259+'Cálculos'!$D$125*(1+2.78*('Cálculos'!$D$199+(($B$111)-$A75)*'Cálculos'!$D$98)/(('Cálculos'!$D$199+(($B$111)-$A75)*'Cálculos'!$D$98)+1400)+'Cálculos'!$D$123)*'Cálculos'!$D$264)+('Cálculos'!$D$199+(($B$111)-$A75)*'Cálculos'!$D$98)*('Cálculos'!$D$255+'Cálculos'!$D$124*(1+2.78*('Cálculos'!$D$199+(($B$111)-$A75)*'Cálculos'!$D$98)/(('Cálculos'!$D$199+(($B$111)-$A75)*'Cálculos'!$D$98)+1400)+'Cálculos'!$D$122)*'Cálculos'!$D$260+'Cálculos'!$D$125*(1+2.78*('Cálculos'!$D$199+(($B$111)-$A75)*'Cálculos'!$D$98)/(('Cálculos'!$D$199+(($B$111)-$A75)*'Cálculos'!$D$98)+1400)+'Cálculos'!$D$123)*'Cálculos'!$D$265)+('Cálculos'!$D$201*(1+'Cálculos'!$D$202+$A75*('Cálculos'!$D$290=2)*'Cálculos'!$D$101)+'Cálculos'!$D$203)*('Cálculos'!$D$256+'Cálculos'!$D$124*(1+2.78*('Cálculos'!$D$199+(($B$111)-$A75)*'Cálculos'!$D$98)/(('Cálculos'!$D$199+(($B$111)-$A75)*'Cálculos'!$D$98)+1400)+'Cálculos'!$D$122)*'Cálculos'!$D$261+'Cálculos'!$D$125*(1+2.78*('Cálculos'!$D$199+(($B$111)-$A75)*'Cálculos'!$D$98)/(('Cálculos'!$D$199+(($B$111)-$A75)*'Cálculos'!$D$98)+1400)+'Cálculos'!$D$123)*'Cálculos'!$D$266)+('Cálculos'!$D$204*(1+'Cálculos'!$D$205+$A75*('Cálculos'!$D$290=3)*'Cálculos'!$D$103)+'Cálculos'!$D$206)*('Cálculos'!$D$257+'Cálculos'!$D$124*(1+2.78*('Cálculos'!$D$199+(($B$111)-$A75)*'Cálculos'!$D$98)/(('Cálculos'!$D$199+(($B$111)-$A75)*'Cálculos'!$D$98)+1400)+'Cálculos'!$D$122)*'Cálculos'!$D$262+'Cálculos'!$D$125*(1+2.78*('Cálculos'!$D$199+(($B$111)-$A75)*'Cálculos'!$D$98)/(('Cálculos'!$D$199+(($B$111)-$A75)*'Cálculos'!$D$98)+1400)+'Cálculos'!$D$123)*'Cálculos'!$D$267)+('Cálculos'!$D$258+'Cálculos'!$D$124*(1+2.78*('Cálculos'!$D$199+(($B$111)-$A75)*'Cálculos'!$D$98)/(('Cálculos'!$D$199+(($B$111)-$A75)*'Cálculos'!$D$98)+1400)+'Cálculos'!$D$122)*'Cálculos'!$D$263+'Cálculos'!$D$125*(1+2.78*('Cálculos'!$D$199+(($B$111)-$A75)*'Cálculos'!$D$98)/(('Cálculos'!$D$199+(($B$111)-$A75)*'Cálculos'!$D$98)+1400)+'Cálculos'!$D$123)*'Cálculos'!$D$268)+('Cálculos'!$D$185*(1+'Cálculos'!$D$190+$A75*('Cálculos'!$D$290=1)*'Cálculos'!$D$97+'Cálculos'!$D$305)+'Cálculos'!$D$195)*('Cálculos'!$D$269+'Cálculos'!$D$124*(1+2.78*('Cálculos'!$D$200+(($B$111)-$A75)*'Cálculos'!$D$98)/(('Cálculos'!$D$200+(($B$111)-$A75)*'Cálculos'!$D$98)+1400)+'Cálculos'!$D$122)*'Cálculos'!$D$274+'Cálculos'!$D$125*(1+2.78*('Cálculos'!$D$200+(($B$111)-$A75)*'Cálculos'!$D$98)/(('Cálculos'!$D$200+(($B$111)-$A75)*'Cálculos'!$D$98)+1400)+'Cálculos'!$D$123)*'Cálculos'!$D$279)+('Cálculos'!$D$200+(($B$111)-$A75)*'Cálculos'!$D$98)*('Cálculos'!$D$270+'Cálculos'!$D$124*(1+2.78*('Cálculos'!$D$200+(($B$111)-$A75)*'Cálculos'!$D$98)/(('Cálculos'!$D$200+(($B$111)-$A75)*'Cálculos'!$D$98)+1400)+'Cálculos'!$D$122)*'Cálculos'!$D$275+'Cálculos'!$D$125*(1+2.78*('Cálculos'!$D$200+(($B$111)-$A75)*'Cálculos'!$D$98)/(('Cálculos'!$D$200+(($B$111)-$A75)*'Cálculos'!$D$98)+1400)+'Cálculos'!$D$123)*'Cálculos'!$D$280)+('Cálculos'!$D$201*(1+'Cálculos'!$D$202+$A75*('Cálculos'!$D$290=2)*'Cálculos'!$D$101)+'Cálculos'!$D$203)*('Cálculos'!$D$271+'Cálculos'!$D$124*(1+2.78*('Cálculos'!$D$200+(($B$111)-$A75)*'Cálculos'!$D$98)/(('Cálculos'!$D$200+(($B$111)-$A75)*'Cálculos'!$D$98)+1400)+'Cálculos'!$D$122)*'Cálculos'!$D$276+'Cálculos'!$D$125*(1+2.78*('Cálculos'!$D$200+(($B$111)-$A75)*'Cálculos'!$D$98)/(('Cálculos'!$D$200+(($B$111)-$A75)*'Cálculos'!$D$98)+1400)+'Cálculos'!$D$123)*'Cálculos'!$D$281)+('Cálculos'!$D$204*(1+'Cálculos'!$D$205+$A75*('Cálculos'!$D$290=3)*'Cálculos'!$D$103)+'Cálculos'!$D$206)*('Cálculos'!$D$272+'Cálculos'!$D$124*(1+2.78*('Cálculos'!$D$200+(($B$111)-$A75)*'Cálculos'!$D$98)/(('Cálculos'!$D$200+(($B$111)-$A75)*'Cálculos'!$D$98)+1400)+'Cálculos'!$D$122)*'Cálculos'!$D$277+'Cálculos'!$D$125*(1+2.78*('Cálculos'!$D$200+(($B$111)-$A75)*'Cálculos'!$D$98)/(('Cálculos'!$D$200+(($B$111)-$A75)*'Cálculos'!$D$98)+1400)+'Cálculos'!$D$123)*'Cálculos'!$D$282)+('Cálculos'!$D$273+'Cálculos'!$D$124*(1+2.78*('Cálculos'!$D$200+(($B$111)-$A75)*'Cálculos'!$D$98)/(('Cálculos'!$D$200+(($B$111)-$A75)*'Cálculos'!$D$98)+1400)+'Cálculos'!$D$122)*'Cálculos'!$D$278+'Cálculos'!$D$125*(1+2.78*('Cálculos'!$D$200+(($B$111)-$A75)*'Cálculos'!$D$98)/(('Cálculos'!$D$200+(($B$111)-$A75)*'Cálculos'!$D$98)+1400)+'Cálculos'!$D$123)*'Cálculos'!$D$283)))</f>
        <v>0</v>
      </c>
    </row>
    <row r="76" ht="15.75" customHeight="1">
      <c r="A76" s="2">
        <v>13.0</v>
      </c>
      <c r="B76" s="30">
        <f>SUMPRODUCT(MAX(($A$63:$A$108&lt;=$A76)*($A$63:$A$108&lt;='Cálculos'!$D$294)*(($A76)-$A$63:$A$108&lt;='Cálculos'!$D$295)*(1+(('Cálculos'!$D$207+$A$63:$A$108*'Cálculos'!$D$95)-(('Cálculos'!$D$207+$A$63:$A$108*'Cálculos'!$D$95)&gt;1)*(('Cálculos'!$D$207+$A$63:$A$108*'Cálculos'!$D$95)-1))*('Cálculos'!$D$208+(($A76)-$A$63:$A$108)*'Cálculos'!$D$96))))</f>
        <v>1.508461309</v>
      </c>
      <c r="C76" s="2">
        <f>'Cálculos'!$D$303-$A76</f>
        <v>-2</v>
      </c>
      <c r="D76" s="31">
        <f>IF($C76&lt;0,0,SUMPRODUCT(MAX(($A$63:$A$108&lt;=$C76)*($A$63:$A$108&lt;='Cálculos'!$D$301)*(($C76)-$A$63:$A$108&lt;='Cálculos'!$D$297)*(('Cálculos'!$D$185*(1+'Cálculos'!$D$186+$A$63:$A$108*('Cálculos'!$D$290=1)*'Cálculos'!$D$97+'Cálculos'!$D$305)+'Cálculos'!$D$191)*('Cálculos'!$D$209+'Cálculos'!$D$124*(1+2.78*('Cálculos'!$D$196+(($C76)-$A$63:$A$108)*'Cálculos'!$D$98)/(('Cálculos'!$D$196+(($C76)-$A$63:$A$108)*'Cálculos'!$D$98)+1400)+'Cálculos'!$D$122)*'Cálculos'!$D$214+'Cálculos'!$D$125*(1+2.78*('Cálculos'!$D$196+(($C76)-$A$63:$A$108)*'Cálculos'!$D$98)/(('Cálculos'!$D$196+(($C76)-$A$63:$A$108)*'Cálculos'!$D$98)+1400)+'Cálculos'!$D$123)*'Cálculos'!$D$219)+('Cálculos'!$D$196+(($C76)-$A$63:$A$108)*'Cálculos'!$D$98)*('Cálculos'!$D$210+'Cálculos'!$D$124*(1+2.78*('Cálculos'!$D$196+(($C76)-$A$63:$A$108)*'Cálculos'!$D$98)/(('Cálculos'!$D$196+(($C76)-$A$63:$A$108)*'Cálculos'!$D$98)+1400)+'Cálculos'!$D$122)*'Cálculos'!$D$215+'Cálculos'!$D$125*(1+2.78*('Cálculos'!$D$196+(($C76)-$A$63:$A$108)*'Cálculos'!$D$98)/(('Cálculos'!$D$196+(($C76)-$A$63:$A$108)*'Cálculos'!$D$98)+1400)+'Cálculos'!$D$123)*'Cálculos'!$D$220)+('Cálculos'!$D$201*(1+'Cálculos'!$D$202+$A$63:$A$108*('Cálculos'!$D$290=2)*'Cálculos'!$D$101)+'Cálculos'!$D$203)*('Cálculos'!$D$211+'Cálculos'!$D$124*(1+2.78*('Cálculos'!$D$196+(($C76)-$A$63:$A$108)*'Cálculos'!$D$98)/(('Cálculos'!$D$196+(($C76)-$A$63:$A$108)*'Cálculos'!$D$98)+1400)+'Cálculos'!$D$122)*'Cálculos'!$D$216+'Cálculos'!$D$125*(1+2.78*('Cálculos'!$D$196+(($C76)-$A$63:$A$108)*'Cálculos'!$D$98)/(('Cálculos'!$D$196+(($C76)-$A$63:$A$108)*'Cálculos'!$D$98)+1400)+'Cálculos'!$D$123)*'Cálculos'!$D$221)+('Cálculos'!$D$204*(1+'Cálculos'!$D$205+$A$63:$A$108*('Cálculos'!$D$290=3)*'Cálculos'!$D$103)+'Cálculos'!$D$206)*('Cálculos'!$D$212+'Cálculos'!$D$124*(1+2.78*('Cálculos'!$D$196+(($C76)-$A$63:$A$108)*'Cálculos'!$D$98)/(('Cálculos'!$D$196+(($C76)-$A$63:$A$108)*'Cálculos'!$D$98)+1400)+'Cálculos'!$D$122)*'Cálculos'!$D$217+'Cálculos'!$D$125*(1+2.78*('Cálculos'!$D$196+(($C76)-$A$63:$A$108)*'Cálculos'!$D$98)/(('Cálculos'!$D$196+(($C76)-$A$63:$A$108)*'Cálculos'!$D$98)+1400)+'Cálculos'!$D$123)*'Cálculos'!$D$222)+('Cálculos'!$D$213+'Cálculos'!$D$124*(1+2.78*('Cálculos'!$D$196+(($C76)-$A$63:$A$108)*'Cálculos'!$D$98)/(('Cálculos'!$D$196+(($C76)-$A$63:$A$108)*'Cálculos'!$D$98)+1400)+'Cálculos'!$D$122)*'Cálculos'!$D$218+'Cálculos'!$D$125*(1+2.78*('Cálculos'!$D$196+(($C76)-$A$63:$A$108)*'Cálculos'!$D$98)/(('Cálculos'!$D$196+(($C76)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76)-$A$63:$A$108)*'Cálculos'!$D$98)/(('Cálculos'!$D$197+(($C76)-$A$63:$A$108)*'Cálculos'!$D$98)+1400)+'Cálculos'!$D$122)*'Cálculos'!$D$229+'Cálculos'!$D$125*(1+2.78*('Cálculos'!$D$197+(($C76)-$A$63:$A$108)*'Cálculos'!$D$98)/(('Cálculos'!$D$197+(($C76)-$A$63:$A$108)*'Cálculos'!$D$98)+1400)+'Cálculos'!$D$123)*'Cálculos'!$D$234)+('Cálculos'!$D$197+(($C76)-$A$63:$A$108)*'Cálculos'!$D$98)*('Cálculos'!$D$225+'Cálculos'!$D$124*(1+2.78*('Cálculos'!$D$197+(($C76)-$A$63:$A$108)*'Cálculos'!$D$98)/(('Cálculos'!$D$197+(($C76)-$A$63:$A$108)*'Cálculos'!$D$98)+1400)+'Cálculos'!$D$122)*'Cálculos'!$D$230+'Cálculos'!$D$125*(1+2.78*('Cálculos'!$D$197+(($C76)-$A$63:$A$108)*'Cálculos'!$D$98)/(('Cálculos'!$D$197+(($C76)-$A$63:$A$108)*'Cálculos'!$D$98)+1400)+'Cálculos'!$D$123)*'Cálculos'!$D$235)+('Cálculos'!$D$201*(1+'Cálculos'!$D$202+$A$63:$A$108*('Cálculos'!$D$290=2)*'Cálculos'!$D$101)+'Cálculos'!$D$203)*('Cálculos'!$D$226+'Cálculos'!$D$124*(1+2.78*('Cálculos'!$D$197+(($C76)-$A$63:$A$108)*'Cálculos'!$D$98)/(('Cálculos'!$D$197+(($C76)-$A$63:$A$108)*'Cálculos'!$D$98)+1400)+'Cálculos'!$D$122)*'Cálculos'!$D$231+'Cálculos'!$D$125*(1+2.78*('Cálculos'!$D$197+(($C76)-$A$63:$A$108)*'Cálculos'!$D$98)/(('Cálculos'!$D$197+(($C76)-$A$63:$A$108)*'Cálculos'!$D$98)+1400)+'Cálculos'!$D$123)*'Cálculos'!$D$236)+('Cálculos'!$D$204*(1+'Cálculos'!$D$205+$A$63:$A$108*('Cálculos'!$D$290=3)*'Cálculos'!$D$103)+'Cálculos'!$D$206)*('Cálculos'!$D$227+'Cálculos'!$D$124*(1+2.78*('Cálculos'!$D$197+(($C76)-$A$63:$A$108)*'Cálculos'!$D$98)/(('Cálculos'!$D$197+(($C76)-$A$63:$A$108)*'Cálculos'!$D$98)+1400)+'Cálculos'!$D$122)*'Cálculos'!$D$232+'Cálculos'!$D$125*(1+2.78*('Cálculos'!$D$197+(($C76)-$A$63:$A$108)*'Cálculos'!$D$98)/(('Cálculos'!$D$197+(($C76)-$A$63:$A$108)*'Cálculos'!$D$98)+1400)+'Cálculos'!$D$123)*'Cálculos'!$D$237)+('Cálculos'!$D$228+'Cálculos'!$D$124*(1+2.78*('Cálculos'!$D$197+(($C76)-$A$63:$A$108)*'Cálculos'!$D$98)/(('Cálculos'!$D$197+(($C76)-$A$63:$A$108)*'Cálculos'!$D$98)+1400)+'Cálculos'!$D$122)*'Cálculos'!$D$233+'Cálculos'!$D$125*(1+2.78*('Cálculos'!$D$197+(($C76)-$A$63:$A$108)*'Cálculos'!$D$98)/(('Cálculos'!$D$197+(($C76)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76)-$A$63:$A$108)*'Cálculos'!$D$98)/(('Cálculos'!$D$198+(($C76)-$A$63:$A$108)*'Cálculos'!$D$98)+1400)+'Cálculos'!$D$122)*'Cálculos'!$D$244+'Cálculos'!$D$125*(1+2.78*('Cálculos'!$D$198+(($C76)-$A$63:$A$108)*'Cálculos'!$D$98)/(('Cálculos'!$D$198+(($C76)-$A$63:$A$108)*'Cálculos'!$D$98)+1400)+'Cálculos'!$D$123)*'Cálculos'!$D$249)+('Cálculos'!$D$198+(($C76)-$A$63:$A$108)*'Cálculos'!$D$98)*('Cálculos'!$D$240+'Cálculos'!$D$124*(1+2.78*('Cálculos'!$D$198+(($C76)-$A$63:$A$108)*'Cálculos'!$D$98)/(('Cálculos'!$D$198+(($C76)-$A$63:$A$108)*'Cálculos'!$D$98)+1400)+'Cálculos'!$D$122)*'Cálculos'!$D$245+'Cálculos'!$D$125*(1+2.78*('Cálculos'!$D$198+(($C76)-$A$63:$A$108)*'Cálculos'!$D$98)/(('Cálculos'!$D$198+(($C76)-$A$63:$A$108)*'Cálculos'!$D$98)+1400)+'Cálculos'!$D$123)*'Cálculos'!$D$250)+('Cálculos'!$D$201*(1+'Cálculos'!$D$202+$A$63:$A$108*('Cálculos'!$D$290=2)*'Cálculos'!$D$101)+'Cálculos'!$D$203)*('Cálculos'!$D$241+'Cálculos'!$D$124*(1+2.78*('Cálculos'!$D$198+(($C76)-$A$63:$A$108)*'Cálculos'!$D$98)/(('Cálculos'!$D$198+(($C76)-$A$63:$A$108)*'Cálculos'!$D$98)+1400)+'Cálculos'!$D$122)*'Cálculos'!$D$246+'Cálculos'!$D$125*(1+2.78*('Cálculos'!$D$198+(($C76)-$A$63:$A$108)*'Cálculos'!$D$98)/(('Cálculos'!$D$198+(($C76)-$A$63:$A$108)*'Cálculos'!$D$98)+1400)+'Cálculos'!$D$123)*'Cálculos'!$D$251)+('Cálculos'!$D$204*(1+'Cálculos'!$D$205+$A$63:$A$108*('Cálculos'!$D$290=3)*'Cálculos'!$D$103)+'Cálculos'!$D$206)*('Cálculos'!$D$242+'Cálculos'!$D$124*(1+2.78*('Cálculos'!$D$198+(($C76)-$A$63:$A$108)*'Cálculos'!$D$98)/(('Cálculos'!$D$198+(($C76)-$A$63:$A$108)*'Cálculos'!$D$98)+1400)+'Cálculos'!$D$122)*'Cálculos'!$D$247+'Cálculos'!$D$125*(1+2.78*('Cálculos'!$D$198+(($C76)-$A$63:$A$108)*'Cálculos'!$D$98)/(('Cálculos'!$D$198+(($C76)-$A$63:$A$108)*'Cálculos'!$D$98)+1400)+'Cálculos'!$D$123)*'Cálculos'!$D$252)+('Cálculos'!$D$243+'Cálculos'!$D$124*(1+2.78*('Cálculos'!$D$198+(($C76)-$A$63:$A$108)*'Cálculos'!$D$98)/(('Cálculos'!$D$198+(($C76)-$A$63:$A$108)*'Cálculos'!$D$98)+1400)+'Cálculos'!$D$122)*'Cálculos'!$D$248+'Cálculos'!$D$125*(1+2.78*('Cálculos'!$D$198+(($C76)-$A$63:$A$108)*'Cálculos'!$D$98)/(('Cálculos'!$D$198+(($C76)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76)-$A$63:$A$108)*'Cálculos'!$D$98)/(('Cálculos'!$D$199+(($C76)-$A$63:$A$108)*'Cálculos'!$D$98)+1400)+'Cálculos'!$D$122)*'Cálculos'!$D$259+'Cálculos'!$D$125*(1+2.78*('Cálculos'!$D$199+(($C76)-$A$63:$A$108)*'Cálculos'!$D$98)/(('Cálculos'!$D$199+(($C76)-$A$63:$A$108)*'Cálculos'!$D$98)+1400)+'Cálculos'!$D$123)*'Cálculos'!$D$264)+('Cálculos'!$D$199+(($C76)-$A$63:$A$108)*'Cálculos'!$D$98)*('Cálculos'!$D$255+'Cálculos'!$D$124*(1+2.78*('Cálculos'!$D$199+(($C76)-$A$63:$A$108)*'Cálculos'!$D$98)/(('Cálculos'!$D$199+(($C76)-$A$63:$A$108)*'Cálculos'!$D$98)+1400)+'Cálculos'!$D$122)*'Cálculos'!$D$260+'Cálculos'!$D$125*(1+2.78*('Cálculos'!$D$199+(($C76)-$A$63:$A$108)*'Cálculos'!$D$98)/(('Cálculos'!$D$199+(($C76)-$A$63:$A$108)*'Cálculos'!$D$98)+1400)+'Cálculos'!$D$123)*'Cálculos'!$D$265)+('Cálculos'!$D$201*(1+'Cálculos'!$D$202+$A$63:$A$108*('Cálculos'!$D$290=2)*'Cálculos'!$D$101)+'Cálculos'!$D$203)*('Cálculos'!$D$256+'Cálculos'!$D$124*(1+2.78*('Cálculos'!$D$199+(($C76)-$A$63:$A$108)*'Cálculos'!$D$98)/(('Cálculos'!$D$199+(($C76)-$A$63:$A$108)*'Cálculos'!$D$98)+1400)+'Cálculos'!$D$122)*'Cálculos'!$D$261+'Cálculos'!$D$125*(1+2.78*('Cálculos'!$D$199+(($C76)-$A$63:$A$108)*'Cálculos'!$D$98)/(('Cálculos'!$D$199+(($C76)-$A$63:$A$108)*'Cálculos'!$D$98)+1400)+'Cálculos'!$D$123)*'Cálculos'!$D$266)+('Cálculos'!$D$204*(1+'Cálculos'!$D$205+$A$63:$A$108*('Cálculos'!$D$290=3)*'Cálculos'!$D$103)+'Cálculos'!$D$206)*('Cálculos'!$D$257+'Cálculos'!$D$124*(1+2.78*('Cálculos'!$D$199+(($C76)-$A$63:$A$108)*'Cálculos'!$D$98)/(('Cálculos'!$D$199+(($C76)-$A$63:$A$108)*'Cálculos'!$D$98)+1400)+'Cálculos'!$D$122)*'Cálculos'!$D$262+'Cálculos'!$D$125*(1+2.78*('Cálculos'!$D$199+(($C76)-$A$63:$A$108)*'Cálculos'!$D$98)/(('Cálculos'!$D$199+(($C76)-$A$63:$A$108)*'Cálculos'!$D$98)+1400)+'Cálculos'!$D$123)*'Cálculos'!$D$267)+('Cálculos'!$D$258+'Cálculos'!$D$124*(1+2.78*('Cálculos'!$D$199+(($C76)-$A$63:$A$108)*'Cálculos'!$D$98)/(('Cálculos'!$D$199+(($C76)-$A$63:$A$108)*'Cálculos'!$D$98)+1400)+'Cálculos'!$D$122)*'Cálculos'!$D$263+'Cálculos'!$D$125*(1+2.78*('Cálculos'!$D$199+(($C76)-$A$63:$A$108)*'Cálculos'!$D$98)/(('Cálculos'!$D$199+(($C76)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76)-$A$63:$A$108)*'Cálculos'!$D$98)/(('Cálculos'!$D$200+(($C76)-$A$63:$A$108)*'Cálculos'!$D$98)+1400)+'Cálculos'!$D$122)*'Cálculos'!$D$274+'Cálculos'!$D$125*(1+2.78*('Cálculos'!$D$200+(($C76)-$A$63:$A$108)*'Cálculos'!$D$98)/(('Cálculos'!$D$200+(($C76)-$A$63:$A$108)*'Cálculos'!$D$98)+1400)+'Cálculos'!$D$123)*'Cálculos'!$D$279)+('Cálculos'!$D$200+(($C76)-$A$63:$A$108)*'Cálculos'!$D$98)*('Cálculos'!$D$270+'Cálculos'!$D$124*(1+2.78*('Cálculos'!$D$200+(($C76)-$A$63:$A$108)*'Cálculos'!$D$98)/(('Cálculos'!$D$200+(($C76)-$A$63:$A$108)*'Cálculos'!$D$98)+1400)+'Cálculos'!$D$122)*'Cálculos'!$D$275+'Cálculos'!$D$125*(1+2.78*('Cálculos'!$D$200+(($C76)-$A$63:$A$108)*'Cálculos'!$D$98)/(('Cálculos'!$D$200+(($C76)-$A$63:$A$108)*'Cálculos'!$D$98)+1400)+'Cálculos'!$D$123)*'Cálculos'!$D$280)+('Cálculos'!$D$201*(1+'Cálculos'!$D$202+$A$63:$A$108*('Cálculos'!$D$290=2)*'Cálculos'!$D$101)+'Cálculos'!$D$203)*('Cálculos'!$D$271+'Cálculos'!$D$124*(1+2.78*('Cálculos'!$D$200+(($C76)-$A$63:$A$108)*'Cálculos'!$D$98)/(('Cálculos'!$D$200+(($C76)-$A$63:$A$108)*'Cálculos'!$D$98)+1400)+'Cálculos'!$D$122)*'Cálculos'!$D$276+'Cálculos'!$D$125*(1+2.78*('Cálculos'!$D$200+(($C76)-$A$63:$A$108)*'Cálculos'!$D$98)/(('Cálculos'!$D$200+(($C76)-$A$63:$A$108)*'Cálculos'!$D$98)+1400)+'Cálculos'!$D$123)*'Cálculos'!$D$281)+('Cálculos'!$D$204*(1+'Cálculos'!$D$205+$A$63:$A$108*('Cálculos'!$D$290=3)*'Cálculos'!$D$103)+'Cálculos'!$D$206)*('Cálculos'!$D$272+'Cálculos'!$D$124*(1+2.78*('Cálculos'!$D$200+(($C76)-$A$63:$A$108)*'Cálculos'!$D$98)/(('Cálculos'!$D$200+(($C76)-$A$63:$A$108)*'Cálculos'!$D$98)+1400)+'Cálculos'!$D$122)*'Cálculos'!$D$277+'Cálculos'!$D$125*(1+2.78*('Cálculos'!$D$200+(($C76)-$A$63:$A$108)*'Cálculos'!$D$98)/(('Cálculos'!$D$200+(($C76)-$A$63:$A$108)*'Cálculos'!$D$98)+1400)+'Cálculos'!$D$123)*'Cálculos'!$D$282)+('Cálculos'!$D$273+'Cálculos'!$D$124*(1+2.78*('Cálculos'!$D$200+(($C76)-$A$63:$A$108)*'Cálculos'!$D$98)/(('Cálculos'!$D$200+(($C76)-$A$63:$A$108)*'Cálculos'!$D$98)+1400)+'Cálculos'!$D$122)*'Cálculos'!$D$278+'Cálculos'!$D$125*(1+2.78*('Cálculos'!$D$200+(($C76)-$A$63:$A$108)*'Cálculos'!$D$98)/(('Cálculos'!$D$200+(($C76)-$A$63:$A$108)*'Cálculos'!$D$98)+1400)+'Cálculos'!$D$123)*'Cálculos'!$D$283)))))</f>
        <v>0</v>
      </c>
      <c r="E76" s="32">
        <f>IF(OR($C76&lt;0,'Cálculos'!$D$6=""),0,$B76*$D76)</f>
        <v>0</v>
      </c>
      <c r="F76" s="2"/>
      <c r="G76" s="30">
        <f>($A76&lt;=$B$110)*($A76&lt;='Cálculos'!$D$294)*(($B$110)-$A76&lt;='Cálculos'!$D$295)*(1+MIN(('Cálculos'!$D$207+$A76*'Cálculos'!$D$95),1)*('Cálculos'!$D$208+(($B$110)-$A76)*'Cálculos'!$D$96))</f>
        <v>0</v>
      </c>
      <c r="H76" s="31">
        <f>IF($B$111&lt;0,0,($A76&lt;=$B$111)*($A76&lt;='Cálculos'!$D$301)*(($B$111)-$A76&lt;='Cálculos'!$D$297)*(('Cálculos'!$D$185*(1+'Cálculos'!$D$186+$A76*('Cálculos'!$D$290=1)*'Cálculos'!$D$97+'Cálculos'!$D$305)+'Cálculos'!$D$191)*('Cálculos'!$D$209+'Cálculos'!$D$124*(1+2.78*('Cálculos'!$D$196+(($B$111)-$A76)*'Cálculos'!$D$98)/(('Cálculos'!$D$196+(($B$111)-$A76)*'Cálculos'!$D$98)+1400)+'Cálculos'!$D$122)*'Cálculos'!$D$214+'Cálculos'!$D$125*(1+2.78*('Cálculos'!$D$196+(($B$111)-$A76)*'Cálculos'!$D$98)/(('Cálculos'!$D$196+(($B$111)-$A76)*'Cálculos'!$D$98)+1400)+'Cálculos'!$D$123)*'Cálculos'!$D$219)+('Cálculos'!$D$196+(($B$111)-$A76)*'Cálculos'!$D$98)*('Cálculos'!$D$210+'Cálculos'!$D$124*(1+2.78*('Cálculos'!$D$196+(($B$111)-$A76)*'Cálculos'!$D$98)/(('Cálculos'!$D$196+(($B$111)-$A76)*'Cálculos'!$D$98)+1400)+'Cálculos'!$D$122)*'Cálculos'!$D$215+'Cálculos'!$D$125*(1+2.78*('Cálculos'!$D$196+(($B$111)-$A76)*'Cálculos'!$D$98)/(('Cálculos'!$D$196+(($B$111)-$A76)*'Cálculos'!$D$98)+1400)+'Cálculos'!$D$123)*'Cálculos'!$D$220)+('Cálculos'!$D$201*(1+'Cálculos'!$D$202+$A76*('Cálculos'!$D$290=2)*'Cálculos'!$D$101)+'Cálculos'!$D$203)*('Cálculos'!$D$211+'Cálculos'!$D$124*(1+2.78*('Cálculos'!$D$196+(($B$111)-$A76)*'Cálculos'!$D$98)/(('Cálculos'!$D$196+(($B$111)-$A76)*'Cálculos'!$D$98)+1400)+'Cálculos'!$D$122)*'Cálculos'!$D$216+'Cálculos'!$D$125*(1+2.78*('Cálculos'!$D$196+(($B$111)-$A76)*'Cálculos'!$D$98)/(('Cálculos'!$D$196+(($B$111)-$A76)*'Cálculos'!$D$98)+1400)+'Cálculos'!$D$123)*'Cálculos'!$D$221)+('Cálculos'!$D$204*(1+'Cálculos'!$D$205+$A76*('Cálculos'!$D$290=3)*'Cálculos'!$D$103)+'Cálculos'!$D$206)*('Cálculos'!$D$212+'Cálculos'!$D$124*(1+2.78*('Cálculos'!$D$196+(($B$111)-$A76)*'Cálculos'!$D$98)/(('Cálculos'!$D$196+(($B$111)-$A76)*'Cálculos'!$D$98)+1400)+'Cálculos'!$D$122)*'Cálculos'!$D$217+'Cálculos'!$D$125*(1+2.78*('Cálculos'!$D$196+(($B$111)-$A76)*'Cálculos'!$D$98)/(('Cálculos'!$D$196+(($B$111)-$A76)*'Cálculos'!$D$98)+1400)+'Cálculos'!$D$123)*'Cálculos'!$D$222)+('Cálculos'!$D$213+'Cálculos'!$D$124*(1+2.78*('Cálculos'!$D$196+(($B$111)-$A76)*'Cálculos'!$D$98)/(('Cálculos'!$D$196+(($B$111)-$A76)*'Cálculos'!$D$98)+1400)+'Cálculos'!$D$122)*'Cálculos'!$D$218+'Cálculos'!$D$125*(1+2.78*('Cálculos'!$D$196+(($B$111)-$A76)*'Cálculos'!$D$98)/(('Cálculos'!$D$196+(($B$111)-$A76)*'Cálculos'!$D$98)+1400)+'Cálculos'!$D$123)*'Cálculos'!$D$223)+('Cálculos'!$D$185*(1+'Cálculos'!$D$187+$A76*('Cálculos'!$D$290=1)*'Cálculos'!$D$97+'Cálculos'!$D$305)+'Cálculos'!$D$192)*('Cálculos'!$D$224+'Cálculos'!$D$124*(1+2.78*('Cálculos'!$D$197+(($B$111)-$A76)*'Cálculos'!$D$98)/(('Cálculos'!$D$197+(($B$111)-$A76)*'Cálculos'!$D$98)+1400)+'Cálculos'!$D$122)*'Cálculos'!$D$229+'Cálculos'!$D$125*(1+2.78*('Cálculos'!$D$197+(($B$111)-$A76)*'Cálculos'!$D$98)/(('Cálculos'!$D$197+(($B$111)-$A76)*'Cálculos'!$D$98)+1400)+'Cálculos'!$D$123)*'Cálculos'!$D$234)+('Cálculos'!$D$197+(($B$111)-$A76)*'Cálculos'!$D$98)*('Cálculos'!$D$225+'Cálculos'!$D$124*(1+2.78*('Cálculos'!$D$197+(($B$111)-$A76)*'Cálculos'!$D$98)/(('Cálculos'!$D$197+(($B$111)-$A76)*'Cálculos'!$D$98)+1400)+'Cálculos'!$D$122)*'Cálculos'!$D$230+'Cálculos'!$D$125*(1+2.78*('Cálculos'!$D$197+(($B$111)-$A76)*'Cálculos'!$D$98)/(('Cálculos'!$D$197+(($B$111)-$A76)*'Cálculos'!$D$98)+1400)+'Cálculos'!$D$123)*'Cálculos'!$D$235)+('Cálculos'!$D$201*(1+'Cálculos'!$D$202+$A76*('Cálculos'!$D$290=2)*'Cálculos'!$D$101)+'Cálculos'!$D$203)*('Cálculos'!$D$226+'Cálculos'!$D$124*(1+2.78*('Cálculos'!$D$197+(($B$111)-$A76)*'Cálculos'!$D$98)/(('Cálculos'!$D$197+(($B$111)-$A76)*'Cálculos'!$D$98)+1400)+'Cálculos'!$D$122)*'Cálculos'!$D$231+'Cálculos'!$D$125*(1+2.78*('Cálculos'!$D$197+(($B$111)-$A76)*'Cálculos'!$D$98)/(('Cálculos'!$D$197+(($B$111)-$A76)*'Cálculos'!$D$98)+1400)+'Cálculos'!$D$123)*'Cálculos'!$D$236)+('Cálculos'!$D$204*(1+'Cálculos'!$D$205+$A76*('Cálculos'!$D$290=3)*'Cálculos'!$D$103)+'Cálculos'!$D$206)*('Cálculos'!$D$227+'Cálculos'!$D$124*(1+2.78*('Cálculos'!$D$197+(($B$111)-$A76)*'Cálculos'!$D$98)/(('Cálculos'!$D$197+(($B$111)-$A76)*'Cálculos'!$D$98)+1400)+'Cálculos'!$D$122)*'Cálculos'!$D$232+'Cálculos'!$D$125*(1+2.78*('Cálculos'!$D$197+(($B$111)-$A76)*'Cálculos'!$D$98)/(('Cálculos'!$D$197+(($B$111)-$A76)*'Cálculos'!$D$98)+1400)+'Cálculos'!$D$123)*'Cálculos'!$D$237)+('Cálculos'!$D$228+'Cálculos'!$D$124*(1+2.78*('Cálculos'!$D$197+(($B$111)-$A76)*'Cálculos'!$D$98)/(('Cálculos'!$D$197+(($B$111)-$A76)*'Cálculos'!$D$98)+1400)+'Cálculos'!$D$122)*'Cálculos'!$D$233+'Cálculos'!$D$125*(1+2.78*('Cálculos'!$D$197+(($B$111)-$A76)*'Cálculos'!$D$98)/(('Cálculos'!$D$197+(($B$111)-$A76)*'Cálculos'!$D$98)+1400)+'Cálculos'!$D$123)*'Cálculos'!$D$238)+('Cálculos'!$D$185*(1+'Cálculos'!$D$188+$A76*('Cálculos'!$D$290=1)*'Cálculos'!$D$97+'Cálculos'!$D$305)+'Cálculos'!$D$193)*('Cálculos'!$D$239+'Cálculos'!$D$124*(1+2.78*('Cálculos'!$D$198+(($B$111)-$A76)*'Cálculos'!$D$98)/(('Cálculos'!$D$198+(($B$111)-$A76)*'Cálculos'!$D$98)+1400)+'Cálculos'!$D$122)*'Cálculos'!$D$244+'Cálculos'!$D$125*(1+2.78*('Cálculos'!$D$198+(($B$111)-$A76)*'Cálculos'!$D$98)/(('Cálculos'!$D$198+(($B$111)-$A76)*'Cálculos'!$D$98)+1400)+'Cálculos'!$D$123)*'Cálculos'!$D$249)+('Cálculos'!$D$198+(($B$111)-$A76)*'Cálculos'!$D$98)*('Cálculos'!$D$240+'Cálculos'!$D$124*(1+2.78*('Cálculos'!$D$198+(($B$111)-$A76)*'Cálculos'!$D$98)/(('Cálculos'!$D$198+(($B$111)-$A76)*'Cálculos'!$D$98)+1400)+'Cálculos'!$D$122)*'Cálculos'!$D$245+'Cálculos'!$D$125*(1+2.78*('Cálculos'!$D$198+(($B$111)-$A76)*'Cálculos'!$D$98)/(('Cálculos'!$D$198+(($B$111)-$A76)*'Cálculos'!$D$98)+1400)+'Cálculos'!$D$123)*'Cálculos'!$D$250)+('Cálculos'!$D$201*(1+'Cálculos'!$D$202+$A76*('Cálculos'!$D$290=2)*'Cálculos'!$D$101)+'Cálculos'!$D$203)*('Cálculos'!$D$241+'Cálculos'!$D$124*(1+2.78*('Cálculos'!$D$198+(($B$111)-$A76)*'Cálculos'!$D$98)/(('Cálculos'!$D$198+(($B$111)-$A76)*'Cálculos'!$D$98)+1400)+'Cálculos'!$D$122)*'Cálculos'!$D$246+'Cálculos'!$D$125*(1+2.78*('Cálculos'!$D$198+(($B$111)-$A76)*'Cálculos'!$D$98)/(('Cálculos'!$D$198+(($B$111)-$A76)*'Cálculos'!$D$98)+1400)+'Cálculos'!$D$123)*'Cálculos'!$D$251)+('Cálculos'!$D$204*(1+'Cálculos'!$D$205+$A76*('Cálculos'!$D$290=3)*'Cálculos'!$D$103)+'Cálculos'!$D$206)*('Cálculos'!$D$242+'Cálculos'!$D$124*(1+2.78*('Cálculos'!$D$198+(($B$111)-$A76)*'Cálculos'!$D$98)/(('Cálculos'!$D$198+(($B$111)-$A76)*'Cálculos'!$D$98)+1400)+'Cálculos'!$D$122)*'Cálculos'!$D$247+'Cálculos'!$D$125*(1+2.78*('Cálculos'!$D$198+(($B$111)-$A76)*'Cálculos'!$D$98)/(('Cálculos'!$D$198+(($B$111)-$A76)*'Cálculos'!$D$98)+1400)+'Cálculos'!$D$123)*'Cálculos'!$D$252)+('Cálculos'!$D$243+'Cálculos'!$D$124*(1+2.78*('Cálculos'!$D$198+(($B$111)-$A76)*'Cálculos'!$D$98)/(('Cálculos'!$D$198+(($B$111)-$A76)*'Cálculos'!$D$98)+1400)+'Cálculos'!$D$122)*'Cálculos'!$D$248+'Cálculos'!$D$125*(1+2.78*('Cálculos'!$D$198+(($B$111)-$A76)*'Cálculos'!$D$98)/(('Cálculos'!$D$198+(($B$111)-$A76)*'Cálculos'!$D$98)+1400)+'Cálculos'!$D$123)*'Cálculos'!$D$253)+('Cálculos'!$D$185*(1+'Cálculos'!$D$189+$A76*('Cálculos'!$D$290=1)*'Cálculos'!$D$97+'Cálculos'!$D$305)+'Cálculos'!$D$194)*('Cálculos'!$D$254+'Cálculos'!$D$124*(1+2.78*('Cálculos'!$D$199+(($B$111)-$A76)*'Cálculos'!$D$98)/(('Cálculos'!$D$199+(($B$111)-$A76)*'Cálculos'!$D$98)+1400)+'Cálculos'!$D$122)*'Cálculos'!$D$259+'Cálculos'!$D$125*(1+2.78*('Cálculos'!$D$199+(($B$111)-$A76)*'Cálculos'!$D$98)/(('Cálculos'!$D$199+(($B$111)-$A76)*'Cálculos'!$D$98)+1400)+'Cálculos'!$D$123)*'Cálculos'!$D$264)+('Cálculos'!$D$199+(($B$111)-$A76)*'Cálculos'!$D$98)*('Cálculos'!$D$255+'Cálculos'!$D$124*(1+2.78*('Cálculos'!$D$199+(($B$111)-$A76)*'Cálculos'!$D$98)/(('Cálculos'!$D$199+(($B$111)-$A76)*'Cálculos'!$D$98)+1400)+'Cálculos'!$D$122)*'Cálculos'!$D$260+'Cálculos'!$D$125*(1+2.78*('Cálculos'!$D$199+(($B$111)-$A76)*'Cálculos'!$D$98)/(('Cálculos'!$D$199+(($B$111)-$A76)*'Cálculos'!$D$98)+1400)+'Cálculos'!$D$123)*'Cálculos'!$D$265)+('Cálculos'!$D$201*(1+'Cálculos'!$D$202+$A76*('Cálculos'!$D$290=2)*'Cálculos'!$D$101)+'Cálculos'!$D$203)*('Cálculos'!$D$256+'Cálculos'!$D$124*(1+2.78*('Cálculos'!$D$199+(($B$111)-$A76)*'Cálculos'!$D$98)/(('Cálculos'!$D$199+(($B$111)-$A76)*'Cálculos'!$D$98)+1400)+'Cálculos'!$D$122)*'Cálculos'!$D$261+'Cálculos'!$D$125*(1+2.78*('Cálculos'!$D$199+(($B$111)-$A76)*'Cálculos'!$D$98)/(('Cálculos'!$D$199+(($B$111)-$A76)*'Cálculos'!$D$98)+1400)+'Cálculos'!$D$123)*'Cálculos'!$D$266)+('Cálculos'!$D$204*(1+'Cálculos'!$D$205+$A76*('Cálculos'!$D$290=3)*'Cálculos'!$D$103)+'Cálculos'!$D$206)*('Cálculos'!$D$257+'Cálculos'!$D$124*(1+2.78*('Cálculos'!$D$199+(($B$111)-$A76)*'Cálculos'!$D$98)/(('Cálculos'!$D$199+(($B$111)-$A76)*'Cálculos'!$D$98)+1400)+'Cálculos'!$D$122)*'Cálculos'!$D$262+'Cálculos'!$D$125*(1+2.78*('Cálculos'!$D$199+(($B$111)-$A76)*'Cálculos'!$D$98)/(('Cálculos'!$D$199+(($B$111)-$A76)*'Cálculos'!$D$98)+1400)+'Cálculos'!$D$123)*'Cálculos'!$D$267)+('Cálculos'!$D$258+'Cálculos'!$D$124*(1+2.78*('Cálculos'!$D$199+(($B$111)-$A76)*'Cálculos'!$D$98)/(('Cálculos'!$D$199+(($B$111)-$A76)*'Cálculos'!$D$98)+1400)+'Cálculos'!$D$122)*'Cálculos'!$D$263+'Cálculos'!$D$125*(1+2.78*('Cálculos'!$D$199+(($B$111)-$A76)*'Cálculos'!$D$98)/(('Cálculos'!$D$199+(($B$111)-$A76)*'Cálculos'!$D$98)+1400)+'Cálculos'!$D$123)*'Cálculos'!$D$268)+('Cálculos'!$D$185*(1+'Cálculos'!$D$190+$A76*('Cálculos'!$D$290=1)*'Cálculos'!$D$97+'Cálculos'!$D$305)+'Cálculos'!$D$195)*('Cálculos'!$D$269+'Cálculos'!$D$124*(1+2.78*('Cálculos'!$D$200+(($B$111)-$A76)*'Cálculos'!$D$98)/(('Cálculos'!$D$200+(($B$111)-$A76)*'Cálculos'!$D$98)+1400)+'Cálculos'!$D$122)*'Cálculos'!$D$274+'Cálculos'!$D$125*(1+2.78*('Cálculos'!$D$200+(($B$111)-$A76)*'Cálculos'!$D$98)/(('Cálculos'!$D$200+(($B$111)-$A76)*'Cálculos'!$D$98)+1400)+'Cálculos'!$D$123)*'Cálculos'!$D$279)+('Cálculos'!$D$200+(($B$111)-$A76)*'Cálculos'!$D$98)*('Cálculos'!$D$270+'Cálculos'!$D$124*(1+2.78*('Cálculos'!$D$200+(($B$111)-$A76)*'Cálculos'!$D$98)/(('Cálculos'!$D$200+(($B$111)-$A76)*'Cálculos'!$D$98)+1400)+'Cálculos'!$D$122)*'Cálculos'!$D$275+'Cálculos'!$D$125*(1+2.78*('Cálculos'!$D$200+(($B$111)-$A76)*'Cálculos'!$D$98)/(('Cálculos'!$D$200+(($B$111)-$A76)*'Cálculos'!$D$98)+1400)+'Cálculos'!$D$123)*'Cálculos'!$D$280)+('Cálculos'!$D$201*(1+'Cálculos'!$D$202+$A76*('Cálculos'!$D$290=2)*'Cálculos'!$D$101)+'Cálculos'!$D$203)*('Cálculos'!$D$271+'Cálculos'!$D$124*(1+2.78*('Cálculos'!$D$200+(($B$111)-$A76)*'Cálculos'!$D$98)/(('Cálculos'!$D$200+(($B$111)-$A76)*'Cálculos'!$D$98)+1400)+'Cálculos'!$D$122)*'Cálculos'!$D$276+'Cálculos'!$D$125*(1+2.78*('Cálculos'!$D$200+(($B$111)-$A76)*'Cálculos'!$D$98)/(('Cálculos'!$D$200+(($B$111)-$A76)*'Cálculos'!$D$98)+1400)+'Cálculos'!$D$123)*'Cálculos'!$D$281)+('Cálculos'!$D$204*(1+'Cálculos'!$D$205+$A76*('Cálculos'!$D$290=3)*'Cálculos'!$D$103)+'Cálculos'!$D$206)*('Cálculos'!$D$272+'Cálculos'!$D$124*(1+2.78*('Cálculos'!$D$200+(($B$111)-$A76)*'Cálculos'!$D$98)/(('Cálculos'!$D$200+(($B$111)-$A76)*'Cálculos'!$D$98)+1400)+'Cálculos'!$D$122)*'Cálculos'!$D$277+'Cálculos'!$D$125*(1+2.78*('Cálculos'!$D$200+(($B$111)-$A76)*'Cálculos'!$D$98)/(('Cálculos'!$D$200+(($B$111)-$A76)*'Cálculos'!$D$98)+1400)+'Cálculos'!$D$123)*'Cálculos'!$D$282)+('Cálculos'!$D$273+'Cálculos'!$D$124*(1+2.78*('Cálculos'!$D$200+(($B$111)-$A76)*'Cálculos'!$D$98)/(('Cálculos'!$D$200+(($B$111)-$A76)*'Cálculos'!$D$98)+1400)+'Cálculos'!$D$122)*'Cálculos'!$D$278+'Cálculos'!$D$125*(1+2.78*('Cálculos'!$D$200+(($B$111)-$A76)*'Cálculos'!$D$98)/(('Cálculos'!$D$200+(($B$111)-$A76)*'Cálculos'!$D$98)+1400)+'Cálculos'!$D$123)*'Cálculos'!$D$283)))</f>
        <v>0</v>
      </c>
    </row>
    <row r="77" ht="15.75" customHeight="1">
      <c r="A77" s="2">
        <v>14.0</v>
      </c>
      <c r="B77" s="30">
        <f>SUMPRODUCT(MAX(($A$63:$A$108&lt;=$A77)*($A$63:$A$108&lt;='Cálculos'!$D$294)*(($A77)-$A$63:$A$108&lt;='Cálculos'!$D$295)*(1+(('Cálculos'!$D$207+$A$63:$A$108*'Cálculos'!$D$95)-(('Cálculos'!$D$207+$A$63:$A$108*'Cálculos'!$D$95)&gt;1)*(('Cálculos'!$D$207+$A$63:$A$108*'Cálculos'!$D$95)-1))*('Cálculos'!$D$208+(($A77)-$A$63:$A$108)*'Cálculos'!$D$96))))</f>
        <v>1.536843497</v>
      </c>
      <c r="C77" s="2">
        <f>'Cálculos'!$D$303-$A77</f>
        <v>-3</v>
      </c>
      <c r="D77" s="31">
        <f>IF($C77&lt;0,0,SUMPRODUCT(MAX(($A$63:$A$108&lt;=$C77)*($A$63:$A$108&lt;='Cálculos'!$D$301)*(($C77)-$A$63:$A$108&lt;='Cálculos'!$D$297)*(('Cálculos'!$D$185*(1+'Cálculos'!$D$186+$A$63:$A$108*('Cálculos'!$D$290=1)*'Cálculos'!$D$97+'Cálculos'!$D$305)+'Cálculos'!$D$191)*('Cálculos'!$D$209+'Cálculos'!$D$124*(1+2.78*('Cálculos'!$D$196+(($C77)-$A$63:$A$108)*'Cálculos'!$D$98)/(('Cálculos'!$D$196+(($C77)-$A$63:$A$108)*'Cálculos'!$D$98)+1400)+'Cálculos'!$D$122)*'Cálculos'!$D$214+'Cálculos'!$D$125*(1+2.78*('Cálculos'!$D$196+(($C77)-$A$63:$A$108)*'Cálculos'!$D$98)/(('Cálculos'!$D$196+(($C77)-$A$63:$A$108)*'Cálculos'!$D$98)+1400)+'Cálculos'!$D$123)*'Cálculos'!$D$219)+('Cálculos'!$D$196+(($C77)-$A$63:$A$108)*'Cálculos'!$D$98)*('Cálculos'!$D$210+'Cálculos'!$D$124*(1+2.78*('Cálculos'!$D$196+(($C77)-$A$63:$A$108)*'Cálculos'!$D$98)/(('Cálculos'!$D$196+(($C77)-$A$63:$A$108)*'Cálculos'!$D$98)+1400)+'Cálculos'!$D$122)*'Cálculos'!$D$215+'Cálculos'!$D$125*(1+2.78*('Cálculos'!$D$196+(($C77)-$A$63:$A$108)*'Cálculos'!$D$98)/(('Cálculos'!$D$196+(($C77)-$A$63:$A$108)*'Cálculos'!$D$98)+1400)+'Cálculos'!$D$123)*'Cálculos'!$D$220)+('Cálculos'!$D$201*(1+'Cálculos'!$D$202+$A$63:$A$108*('Cálculos'!$D$290=2)*'Cálculos'!$D$101)+'Cálculos'!$D$203)*('Cálculos'!$D$211+'Cálculos'!$D$124*(1+2.78*('Cálculos'!$D$196+(($C77)-$A$63:$A$108)*'Cálculos'!$D$98)/(('Cálculos'!$D$196+(($C77)-$A$63:$A$108)*'Cálculos'!$D$98)+1400)+'Cálculos'!$D$122)*'Cálculos'!$D$216+'Cálculos'!$D$125*(1+2.78*('Cálculos'!$D$196+(($C77)-$A$63:$A$108)*'Cálculos'!$D$98)/(('Cálculos'!$D$196+(($C77)-$A$63:$A$108)*'Cálculos'!$D$98)+1400)+'Cálculos'!$D$123)*'Cálculos'!$D$221)+('Cálculos'!$D$204*(1+'Cálculos'!$D$205+$A$63:$A$108*('Cálculos'!$D$290=3)*'Cálculos'!$D$103)+'Cálculos'!$D$206)*('Cálculos'!$D$212+'Cálculos'!$D$124*(1+2.78*('Cálculos'!$D$196+(($C77)-$A$63:$A$108)*'Cálculos'!$D$98)/(('Cálculos'!$D$196+(($C77)-$A$63:$A$108)*'Cálculos'!$D$98)+1400)+'Cálculos'!$D$122)*'Cálculos'!$D$217+'Cálculos'!$D$125*(1+2.78*('Cálculos'!$D$196+(($C77)-$A$63:$A$108)*'Cálculos'!$D$98)/(('Cálculos'!$D$196+(($C77)-$A$63:$A$108)*'Cálculos'!$D$98)+1400)+'Cálculos'!$D$123)*'Cálculos'!$D$222)+('Cálculos'!$D$213+'Cálculos'!$D$124*(1+2.78*('Cálculos'!$D$196+(($C77)-$A$63:$A$108)*'Cálculos'!$D$98)/(('Cálculos'!$D$196+(($C77)-$A$63:$A$108)*'Cálculos'!$D$98)+1400)+'Cálculos'!$D$122)*'Cálculos'!$D$218+'Cálculos'!$D$125*(1+2.78*('Cálculos'!$D$196+(($C77)-$A$63:$A$108)*'Cálculos'!$D$98)/(('Cálculos'!$D$196+(($C77)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77)-$A$63:$A$108)*'Cálculos'!$D$98)/(('Cálculos'!$D$197+(($C77)-$A$63:$A$108)*'Cálculos'!$D$98)+1400)+'Cálculos'!$D$122)*'Cálculos'!$D$229+'Cálculos'!$D$125*(1+2.78*('Cálculos'!$D$197+(($C77)-$A$63:$A$108)*'Cálculos'!$D$98)/(('Cálculos'!$D$197+(($C77)-$A$63:$A$108)*'Cálculos'!$D$98)+1400)+'Cálculos'!$D$123)*'Cálculos'!$D$234)+('Cálculos'!$D$197+(($C77)-$A$63:$A$108)*'Cálculos'!$D$98)*('Cálculos'!$D$225+'Cálculos'!$D$124*(1+2.78*('Cálculos'!$D$197+(($C77)-$A$63:$A$108)*'Cálculos'!$D$98)/(('Cálculos'!$D$197+(($C77)-$A$63:$A$108)*'Cálculos'!$D$98)+1400)+'Cálculos'!$D$122)*'Cálculos'!$D$230+'Cálculos'!$D$125*(1+2.78*('Cálculos'!$D$197+(($C77)-$A$63:$A$108)*'Cálculos'!$D$98)/(('Cálculos'!$D$197+(($C77)-$A$63:$A$108)*'Cálculos'!$D$98)+1400)+'Cálculos'!$D$123)*'Cálculos'!$D$235)+('Cálculos'!$D$201*(1+'Cálculos'!$D$202+$A$63:$A$108*('Cálculos'!$D$290=2)*'Cálculos'!$D$101)+'Cálculos'!$D$203)*('Cálculos'!$D$226+'Cálculos'!$D$124*(1+2.78*('Cálculos'!$D$197+(($C77)-$A$63:$A$108)*'Cálculos'!$D$98)/(('Cálculos'!$D$197+(($C77)-$A$63:$A$108)*'Cálculos'!$D$98)+1400)+'Cálculos'!$D$122)*'Cálculos'!$D$231+'Cálculos'!$D$125*(1+2.78*('Cálculos'!$D$197+(($C77)-$A$63:$A$108)*'Cálculos'!$D$98)/(('Cálculos'!$D$197+(($C77)-$A$63:$A$108)*'Cálculos'!$D$98)+1400)+'Cálculos'!$D$123)*'Cálculos'!$D$236)+('Cálculos'!$D$204*(1+'Cálculos'!$D$205+$A$63:$A$108*('Cálculos'!$D$290=3)*'Cálculos'!$D$103)+'Cálculos'!$D$206)*('Cálculos'!$D$227+'Cálculos'!$D$124*(1+2.78*('Cálculos'!$D$197+(($C77)-$A$63:$A$108)*'Cálculos'!$D$98)/(('Cálculos'!$D$197+(($C77)-$A$63:$A$108)*'Cálculos'!$D$98)+1400)+'Cálculos'!$D$122)*'Cálculos'!$D$232+'Cálculos'!$D$125*(1+2.78*('Cálculos'!$D$197+(($C77)-$A$63:$A$108)*'Cálculos'!$D$98)/(('Cálculos'!$D$197+(($C77)-$A$63:$A$108)*'Cálculos'!$D$98)+1400)+'Cálculos'!$D$123)*'Cálculos'!$D$237)+('Cálculos'!$D$228+'Cálculos'!$D$124*(1+2.78*('Cálculos'!$D$197+(($C77)-$A$63:$A$108)*'Cálculos'!$D$98)/(('Cálculos'!$D$197+(($C77)-$A$63:$A$108)*'Cálculos'!$D$98)+1400)+'Cálculos'!$D$122)*'Cálculos'!$D$233+'Cálculos'!$D$125*(1+2.78*('Cálculos'!$D$197+(($C77)-$A$63:$A$108)*'Cálculos'!$D$98)/(('Cálculos'!$D$197+(($C77)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77)-$A$63:$A$108)*'Cálculos'!$D$98)/(('Cálculos'!$D$198+(($C77)-$A$63:$A$108)*'Cálculos'!$D$98)+1400)+'Cálculos'!$D$122)*'Cálculos'!$D$244+'Cálculos'!$D$125*(1+2.78*('Cálculos'!$D$198+(($C77)-$A$63:$A$108)*'Cálculos'!$D$98)/(('Cálculos'!$D$198+(($C77)-$A$63:$A$108)*'Cálculos'!$D$98)+1400)+'Cálculos'!$D$123)*'Cálculos'!$D$249)+('Cálculos'!$D$198+(($C77)-$A$63:$A$108)*'Cálculos'!$D$98)*('Cálculos'!$D$240+'Cálculos'!$D$124*(1+2.78*('Cálculos'!$D$198+(($C77)-$A$63:$A$108)*'Cálculos'!$D$98)/(('Cálculos'!$D$198+(($C77)-$A$63:$A$108)*'Cálculos'!$D$98)+1400)+'Cálculos'!$D$122)*'Cálculos'!$D$245+'Cálculos'!$D$125*(1+2.78*('Cálculos'!$D$198+(($C77)-$A$63:$A$108)*'Cálculos'!$D$98)/(('Cálculos'!$D$198+(($C77)-$A$63:$A$108)*'Cálculos'!$D$98)+1400)+'Cálculos'!$D$123)*'Cálculos'!$D$250)+('Cálculos'!$D$201*(1+'Cálculos'!$D$202+$A$63:$A$108*('Cálculos'!$D$290=2)*'Cálculos'!$D$101)+'Cálculos'!$D$203)*('Cálculos'!$D$241+'Cálculos'!$D$124*(1+2.78*('Cálculos'!$D$198+(($C77)-$A$63:$A$108)*'Cálculos'!$D$98)/(('Cálculos'!$D$198+(($C77)-$A$63:$A$108)*'Cálculos'!$D$98)+1400)+'Cálculos'!$D$122)*'Cálculos'!$D$246+'Cálculos'!$D$125*(1+2.78*('Cálculos'!$D$198+(($C77)-$A$63:$A$108)*'Cálculos'!$D$98)/(('Cálculos'!$D$198+(($C77)-$A$63:$A$108)*'Cálculos'!$D$98)+1400)+'Cálculos'!$D$123)*'Cálculos'!$D$251)+('Cálculos'!$D$204*(1+'Cálculos'!$D$205+$A$63:$A$108*('Cálculos'!$D$290=3)*'Cálculos'!$D$103)+'Cálculos'!$D$206)*('Cálculos'!$D$242+'Cálculos'!$D$124*(1+2.78*('Cálculos'!$D$198+(($C77)-$A$63:$A$108)*'Cálculos'!$D$98)/(('Cálculos'!$D$198+(($C77)-$A$63:$A$108)*'Cálculos'!$D$98)+1400)+'Cálculos'!$D$122)*'Cálculos'!$D$247+'Cálculos'!$D$125*(1+2.78*('Cálculos'!$D$198+(($C77)-$A$63:$A$108)*'Cálculos'!$D$98)/(('Cálculos'!$D$198+(($C77)-$A$63:$A$108)*'Cálculos'!$D$98)+1400)+'Cálculos'!$D$123)*'Cálculos'!$D$252)+('Cálculos'!$D$243+'Cálculos'!$D$124*(1+2.78*('Cálculos'!$D$198+(($C77)-$A$63:$A$108)*'Cálculos'!$D$98)/(('Cálculos'!$D$198+(($C77)-$A$63:$A$108)*'Cálculos'!$D$98)+1400)+'Cálculos'!$D$122)*'Cálculos'!$D$248+'Cálculos'!$D$125*(1+2.78*('Cálculos'!$D$198+(($C77)-$A$63:$A$108)*'Cálculos'!$D$98)/(('Cálculos'!$D$198+(($C77)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77)-$A$63:$A$108)*'Cálculos'!$D$98)/(('Cálculos'!$D$199+(($C77)-$A$63:$A$108)*'Cálculos'!$D$98)+1400)+'Cálculos'!$D$122)*'Cálculos'!$D$259+'Cálculos'!$D$125*(1+2.78*('Cálculos'!$D$199+(($C77)-$A$63:$A$108)*'Cálculos'!$D$98)/(('Cálculos'!$D$199+(($C77)-$A$63:$A$108)*'Cálculos'!$D$98)+1400)+'Cálculos'!$D$123)*'Cálculos'!$D$264)+('Cálculos'!$D$199+(($C77)-$A$63:$A$108)*'Cálculos'!$D$98)*('Cálculos'!$D$255+'Cálculos'!$D$124*(1+2.78*('Cálculos'!$D$199+(($C77)-$A$63:$A$108)*'Cálculos'!$D$98)/(('Cálculos'!$D$199+(($C77)-$A$63:$A$108)*'Cálculos'!$D$98)+1400)+'Cálculos'!$D$122)*'Cálculos'!$D$260+'Cálculos'!$D$125*(1+2.78*('Cálculos'!$D$199+(($C77)-$A$63:$A$108)*'Cálculos'!$D$98)/(('Cálculos'!$D$199+(($C77)-$A$63:$A$108)*'Cálculos'!$D$98)+1400)+'Cálculos'!$D$123)*'Cálculos'!$D$265)+('Cálculos'!$D$201*(1+'Cálculos'!$D$202+$A$63:$A$108*('Cálculos'!$D$290=2)*'Cálculos'!$D$101)+'Cálculos'!$D$203)*('Cálculos'!$D$256+'Cálculos'!$D$124*(1+2.78*('Cálculos'!$D$199+(($C77)-$A$63:$A$108)*'Cálculos'!$D$98)/(('Cálculos'!$D$199+(($C77)-$A$63:$A$108)*'Cálculos'!$D$98)+1400)+'Cálculos'!$D$122)*'Cálculos'!$D$261+'Cálculos'!$D$125*(1+2.78*('Cálculos'!$D$199+(($C77)-$A$63:$A$108)*'Cálculos'!$D$98)/(('Cálculos'!$D$199+(($C77)-$A$63:$A$108)*'Cálculos'!$D$98)+1400)+'Cálculos'!$D$123)*'Cálculos'!$D$266)+('Cálculos'!$D$204*(1+'Cálculos'!$D$205+$A$63:$A$108*('Cálculos'!$D$290=3)*'Cálculos'!$D$103)+'Cálculos'!$D$206)*('Cálculos'!$D$257+'Cálculos'!$D$124*(1+2.78*('Cálculos'!$D$199+(($C77)-$A$63:$A$108)*'Cálculos'!$D$98)/(('Cálculos'!$D$199+(($C77)-$A$63:$A$108)*'Cálculos'!$D$98)+1400)+'Cálculos'!$D$122)*'Cálculos'!$D$262+'Cálculos'!$D$125*(1+2.78*('Cálculos'!$D$199+(($C77)-$A$63:$A$108)*'Cálculos'!$D$98)/(('Cálculos'!$D$199+(($C77)-$A$63:$A$108)*'Cálculos'!$D$98)+1400)+'Cálculos'!$D$123)*'Cálculos'!$D$267)+('Cálculos'!$D$258+'Cálculos'!$D$124*(1+2.78*('Cálculos'!$D$199+(($C77)-$A$63:$A$108)*'Cálculos'!$D$98)/(('Cálculos'!$D$199+(($C77)-$A$63:$A$108)*'Cálculos'!$D$98)+1400)+'Cálculos'!$D$122)*'Cálculos'!$D$263+'Cálculos'!$D$125*(1+2.78*('Cálculos'!$D$199+(($C77)-$A$63:$A$108)*'Cálculos'!$D$98)/(('Cálculos'!$D$199+(($C77)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77)-$A$63:$A$108)*'Cálculos'!$D$98)/(('Cálculos'!$D$200+(($C77)-$A$63:$A$108)*'Cálculos'!$D$98)+1400)+'Cálculos'!$D$122)*'Cálculos'!$D$274+'Cálculos'!$D$125*(1+2.78*('Cálculos'!$D$200+(($C77)-$A$63:$A$108)*'Cálculos'!$D$98)/(('Cálculos'!$D$200+(($C77)-$A$63:$A$108)*'Cálculos'!$D$98)+1400)+'Cálculos'!$D$123)*'Cálculos'!$D$279)+('Cálculos'!$D$200+(($C77)-$A$63:$A$108)*'Cálculos'!$D$98)*('Cálculos'!$D$270+'Cálculos'!$D$124*(1+2.78*('Cálculos'!$D$200+(($C77)-$A$63:$A$108)*'Cálculos'!$D$98)/(('Cálculos'!$D$200+(($C77)-$A$63:$A$108)*'Cálculos'!$D$98)+1400)+'Cálculos'!$D$122)*'Cálculos'!$D$275+'Cálculos'!$D$125*(1+2.78*('Cálculos'!$D$200+(($C77)-$A$63:$A$108)*'Cálculos'!$D$98)/(('Cálculos'!$D$200+(($C77)-$A$63:$A$108)*'Cálculos'!$D$98)+1400)+'Cálculos'!$D$123)*'Cálculos'!$D$280)+('Cálculos'!$D$201*(1+'Cálculos'!$D$202+$A$63:$A$108*('Cálculos'!$D$290=2)*'Cálculos'!$D$101)+'Cálculos'!$D$203)*('Cálculos'!$D$271+'Cálculos'!$D$124*(1+2.78*('Cálculos'!$D$200+(($C77)-$A$63:$A$108)*'Cálculos'!$D$98)/(('Cálculos'!$D$200+(($C77)-$A$63:$A$108)*'Cálculos'!$D$98)+1400)+'Cálculos'!$D$122)*'Cálculos'!$D$276+'Cálculos'!$D$125*(1+2.78*('Cálculos'!$D$200+(($C77)-$A$63:$A$108)*'Cálculos'!$D$98)/(('Cálculos'!$D$200+(($C77)-$A$63:$A$108)*'Cálculos'!$D$98)+1400)+'Cálculos'!$D$123)*'Cálculos'!$D$281)+('Cálculos'!$D$204*(1+'Cálculos'!$D$205+$A$63:$A$108*('Cálculos'!$D$290=3)*'Cálculos'!$D$103)+'Cálculos'!$D$206)*('Cálculos'!$D$272+'Cálculos'!$D$124*(1+2.78*('Cálculos'!$D$200+(($C77)-$A$63:$A$108)*'Cálculos'!$D$98)/(('Cálculos'!$D$200+(($C77)-$A$63:$A$108)*'Cálculos'!$D$98)+1400)+'Cálculos'!$D$122)*'Cálculos'!$D$277+'Cálculos'!$D$125*(1+2.78*('Cálculos'!$D$200+(($C77)-$A$63:$A$108)*'Cálculos'!$D$98)/(('Cálculos'!$D$200+(($C77)-$A$63:$A$108)*'Cálculos'!$D$98)+1400)+'Cálculos'!$D$123)*'Cálculos'!$D$282)+('Cálculos'!$D$273+'Cálculos'!$D$124*(1+2.78*('Cálculos'!$D$200+(($C77)-$A$63:$A$108)*'Cálculos'!$D$98)/(('Cálculos'!$D$200+(($C77)-$A$63:$A$108)*'Cálculos'!$D$98)+1400)+'Cálculos'!$D$122)*'Cálculos'!$D$278+'Cálculos'!$D$125*(1+2.78*('Cálculos'!$D$200+(($C77)-$A$63:$A$108)*'Cálculos'!$D$98)/(('Cálculos'!$D$200+(($C77)-$A$63:$A$108)*'Cálculos'!$D$98)+1400)+'Cálculos'!$D$123)*'Cálculos'!$D$283)))))</f>
        <v>0</v>
      </c>
      <c r="E77" s="32">
        <f>IF(OR($C77&lt;0,'Cálculos'!$D$6=""),0,$B77*$D77)</f>
        <v>0</v>
      </c>
      <c r="F77" s="2"/>
      <c r="G77" s="30">
        <f>($A77&lt;=$B$110)*($A77&lt;='Cálculos'!$D$294)*(($B$110)-$A77&lt;='Cálculos'!$D$295)*(1+MIN(('Cálculos'!$D$207+$A77*'Cálculos'!$D$95),1)*('Cálculos'!$D$208+(($B$110)-$A77)*'Cálculos'!$D$96))</f>
        <v>0</v>
      </c>
      <c r="H77" s="31">
        <f>IF($B$111&lt;0,0,($A77&lt;=$B$111)*($A77&lt;='Cálculos'!$D$301)*(($B$111)-$A77&lt;='Cálculos'!$D$297)*(('Cálculos'!$D$185*(1+'Cálculos'!$D$186+$A77*('Cálculos'!$D$290=1)*'Cálculos'!$D$97+'Cálculos'!$D$305)+'Cálculos'!$D$191)*('Cálculos'!$D$209+'Cálculos'!$D$124*(1+2.78*('Cálculos'!$D$196+(($B$111)-$A77)*'Cálculos'!$D$98)/(('Cálculos'!$D$196+(($B$111)-$A77)*'Cálculos'!$D$98)+1400)+'Cálculos'!$D$122)*'Cálculos'!$D$214+'Cálculos'!$D$125*(1+2.78*('Cálculos'!$D$196+(($B$111)-$A77)*'Cálculos'!$D$98)/(('Cálculos'!$D$196+(($B$111)-$A77)*'Cálculos'!$D$98)+1400)+'Cálculos'!$D$123)*'Cálculos'!$D$219)+('Cálculos'!$D$196+(($B$111)-$A77)*'Cálculos'!$D$98)*('Cálculos'!$D$210+'Cálculos'!$D$124*(1+2.78*('Cálculos'!$D$196+(($B$111)-$A77)*'Cálculos'!$D$98)/(('Cálculos'!$D$196+(($B$111)-$A77)*'Cálculos'!$D$98)+1400)+'Cálculos'!$D$122)*'Cálculos'!$D$215+'Cálculos'!$D$125*(1+2.78*('Cálculos'!$D$196+(($B$111)-$A77)*'Cálculos'!$D$98)/(('Cálculos'!$D$196+(($B$111)-$A77)*'Cálculos'!$D$98)+1400)+'Cálculos'!$D$123)*'Cálculos'!$D$220)+('Cálculos'!$D$201*(1+'Cálculos'!$D$202+$A77*('Cálculos'!$D$290=2)*'Cálculos'!$D$101)+'Cálculos'!$D$203)*('Cálculos'!$D$211+'Cálculos'!$D$124*(1+2.78*('Cálculos'!$D$196+(($B$111)-$A77)*'Cálculos'!$D$98)/(('Cálculos'!$D$196+(($B$111)-$A77)*'Cálculos'!$D$98)+1400)+'Cálculos'!$D$122)*'Cálculos'!$D$216+'Cálculos'!$D$125*(1+2.78*('Cálculos'!$D$196+(($B$111)-$A77)*'Cálculos'!$D$98)/(('Cálculos'!$D$196+(($B$111)-$A77)*'Cálculos'!$D$98)+1400)+'Cálculos'!$D$123)*'Cálculos'!$D$221)+('Cálculos'!$D$204*(1+'Cálculos'!$D$205+$A77*('Cálculos'!$D$290=3)*'Cálculos'!$D$103)+'Cálculos'!$D$206)*('Cálculos'!$D$212+'Cálculos'!$D$124*(1+2.78*('Cálculos'!$D$196+(($B$111)-$A77)*'Cálculos'!$D$98)/(('Cálculos'!$D$196+(($B$111)-$A77)*'Cálculos'!$D$98)+1400)+'Cálculos'!$D$122)*'Cálculos'!$D$217+'Cálculos'!$D$125*(1+2.78*('Cálculos'!$D$196+(($B$111)-$A77)*'Cálculos'!$D$98)/(('Cálculos'!$D$196+(($B$111)-$A77)*'Cálculos'!$D$98)+1400)+'Cálculos'!$D$123)*'Cálculos'!$D$222)+('Cálculos'!$D$213+'Cálculos'!$D$124*(1+2.78*('Cálculos'!$D$196+(($B$111)-$A77)*'Cálculos'!$D$98)/(('Cálculos'!$D$196+(($B$111)-$A77)*'Cálculos'!$D$98)+1400)+'Cálculos'!$D$122)*'Cálculos'!$D$218+'Cálculos'!$D$125*(1+2.78*('Cálculos'!$D$196+(($B$111)-$A77)*'Cálculos'!$D$98)/(('Cálculos'!$D$196+(($B$111)-$A77)*'Cálculos'!$D$98)+1400)+'Cálculos'!$D$123)*'Cálculos'!$D$223)+('Cálculos'!$D$185*(1+'Cálculos'!$D$187+$A77*('Cálculos'!$D$290=1)*'Cálculos'!$D$97+'Cálculos'!$D$305)+'Cálculos'!$D$192)*('Cálculos'!$D$224+'Cálculos'!$D$124*(1+2.78*('Cálculos'!$D$197+(($B$111)-$A77)*'Cálculos'!$D$98)/(('Cálculos'!$D$197+(($B$111)-$A77)*'Cálculos'!$D$98)+1400)+'Cálculos'!$D$122)*'Cálculos'!$D$229+'Cálculos'!$D$125*(1+2.78*('Cálculos'!$D$197+(($B$111)-$A77)*'Cálculos'!$D$98)/(('Cálculos'!$D$197+(($B$111)-$A77)*'Cálculos'!$D$98)+1400)+'Cálculos'!$D$123)*'Cálculos'!$D$234)+('Cálculos'!$D$197+(($B$111)-$A77)*'Cálculos'!$D$98)*('Cálculos'!$D$225+'Cálculos'!$D$124*(1+2.78*('Cálculos'!$D$197+(($B$111)-$A77)*'Cálculos'!$D$98)/(('Cálculos'!$D$197+(($B$111)-$A77)*'Cálculos'!$D$98)+1400)+'Cálculos'!$D$122)*'Cálculos'!$D$230+'Cálculos'!$D$125*(1+2.78*('Cálculos'!$D$197+(($B$111)-$A77)*'Cálculos'!$D$98)/(('Cálculos'!$D$197+(($B$111)-$A77)*'Cálculos'!$D$98)+1400)+'Cálculos'!$D$123)*'Cálculos'!$D$235)+('Cálculos'!$D$201*(1+'Cálculos'!$D$202+$A77*('Cálculos'!$D$290=2)*'Cálculos'!$D$101)+'Cálculos'!$D$203)*('Cálculos'!$D$226+'Cálculos'!$D$124*(1+2.78*('Cálculos'!$D$197+(($B$111)-$A77)*'Cálculos'!$D$98)/(('Cálculos'!$D$197+(($B$111)-$A77)*'Cálculos'!$D$98)+1400)+'Cálculos'!$D$122)*'Cálculos'!$D$231+'Cálculos'!$D$125*(1+2.78*('Cálculos'!$D$197+(($B$111)-$A77)*'Cálculos'!$D$98)/(('Cálculos'!$D$197+(($B$111)-$A77)*'Cálculos'!$D$98)+1400)+'Cálculos'!$D$123)*'Cálculos'!$D$236)+('Cálculos'!$D$204*(1+'Cálculos'!$D$205+$A77*('Cálculos'!$D$290=3)*'Cálculos'!$D$103)+'Cálculos'!$D$206)*('Cálculos'!$D$227+'Cálculos'!$D$124*(1+2.78*('Cálculos'!$D$197+(($B$111)-$A77)*'Cálculos'!$D$98)/(('Cálculos'!$D$197+(($B$111)-$A77)*'Cálculos'!$D$98)+1400)+'Cálculos'!$D$122)*'Cálculos'!$D$232+'Cálculos'!$D$125*(1+2.78*('Cálculos'!$D$197+(($B$111)-$A77)*'Cálculos'!$D$98)/(('Cálculos'!$D$197+(($B$111)-$A77)*'Cálculos'!$D$98)+1400)+'Cálculos'!$D$123)*'Cálculos'!$D$237)+('Cálculos'!$D$228+'Cálculos'!$D$124*(1+2.78*('Cálculos'!$D$197+(($B$111)-$A77)*'Cálculos'!$D$98)/(('Cálculos'!$D$197+(($B$111)-$A77)*'Cálculos'!$D$98)+1400)+'Cálculos'!$D$122)*'Cálculos'!$D$233+'Cálculos'!$D$125*(1+2.78*('Cálculos'!$D$197+(($B$111)-$A77)*'Cálculos'!$D$98)/(('Cálculos'!$D$197+(($B$111)-$A77)*'Cálculos'!$D$98)+1400)+'Cálculos'!$D$123)*'Cálculos'!$D$238)+('Cálculos'!$D$185*(1+'Cálculos'!$D$188+$A77*('Cálculos'!$D$290=1)*'Cálculos'!$D$97+'Cálculos'!$D$305)+'Cálculos'!$D$193)*('Cálculos'!$D$239+'Cálculos'!$D$124*(1+2.78*('Cálculos'!$D$198+(($B$111)-$A77)*'Cálculos'!$D$98)/(('Cálculos'!$D$198+(($B$111)-$A77)*'Cálculos'!$D$98)+1400)+'Cálculos'!$D$122)*'Cálculos'!$D$244+'Cálculos'!$D$125*(1+2.78*('Cálculos'!$D$198+(($B$111)-$A77)*'Cálculos'!$D$98)/(('Cálculos'!$D$198+(($B$111)-$A77)*'Cálculos'!$D$98)+1400)+'Cálculos'!$D$123)*'Cálculos'!$D$249)+('Cálculos'!$D$198+(($B$111)-$A77)*'Cálculos'!$D$98)*('Cálculos'!$D$240+'Cálculos'!$D$124*(1+2.78*('Cálculos'!$D$198+(($B$111)-$A77)*'Cálculos'!$D$98)/(('Cálculos'!$D$198+(($B$111)-$A77)*'Cálculos'!$D$98)+1400)+'Cálculos'!$D$122)*'Cálculos'!$D$245+'Cálculos'!$D$125*(1+2.78*('Cálculos'!$D$198+(($B$111)-$A77)*'Cálculos'!$D$98)/(('Cálculos'!$D$198+(($B$111)-$A77)*'Cálculos'!$D$98)+1400)+'Cálculos'!$D$123)*'Cálculos'!$D$250)+('Cálculos'!$D$201*(1+'Cálculos'!$D$202+$A77*('Cálculos'!$D$290=2)*'Cálculos'!$D$101)+'Cálculos'!$D$203)*('Cálculos'!$D$241+'Cálculos'!$D$124*(1+2.78*('Cálculos'!$D$198+(($B$111)-$A77)*'Cálculos'!$D$98)/(('Cálculos'!$D$198+(($B$111)-$A77)*'Cálculos'!$D$98)+1400)+'Cálculos'!$D$122)*'Cálculos'!$D$246+'Cálculos'!$D$125*(1+2.78*('Cálculos'!$D$198+(($B$111)-$A77)*'Cálculos'!$D$98)/(('Cálculos'!$D$198+(($B$111)-$A77)*'Cálculos'!$D$98)+1400)+'Cálculos'!$D$123)*'Cálculos'!$D$251)+('Cálculos'!$D$204*(1+'Cálculos'!$D$205+$A77*('Cálculos'!$D$290=3)*'Cálculos'!$D$103)+'Cálculos'!$D$206)*('Cálculos'!$D$242+'Cálculos'!$D$124*(1+2.78*('Cálculos'!$D$198+(($B$111)-$A77)*'Cálculos'!$D$98)/(('Cálculos'!$D$198+(($B$111)-$A77)*'Cálculos'!$D$98)+1400)+'Cálculos'!$D$122)*'Cálculos'!$D$247+'Cálculos'!$D$125*(1+2.78*('Cálculos'!$D$198+(($B$111)-$A77)*'Cálculos'!$D$98)/(('Cálculos'!$D$198+(($B$111)-$A77)*'Cálculos'!$D$98)+1400)+'Cálculos'!$D$123)*'Cálculos'!$D$252)+('Cálculos'!$D$243+'Cálculos'!$D$124*(1+2.78*('Cálculos'!$D$198+(($B$111)-$A77)*'Cálculos'!$D$98)/(('Cálculos'!$D$198+(($B$111)-$A77)*'Cálculos'!$D$98)+1400)+'Cálculos'!$D$122)*'Cálculos'!$D$248+'Cálculos'!$D$125*(1+2.78*('Cálculos'!$D$198+(($B$111)-$A77)*'Cálculos'!$D$98)/(('Cálculos'!$D$198+(($B$111)-$A77)*'Cálculos'!$D$98)+1400)+'Cálculos'!$D$123)*'Cálculos'!$D$253)+('Cálculos'!$D$185*(1+'Cálculos'!$D$189+$A77*('Cálculos'!$D$290=1)*'Cálculos'!$D$97+'Cálculos'!$D$305)+'Cálculos'!$D$194)*('Cálculos'!$D$254+'Cálculos'!$D$124*(1+2.78*('Cálculos'!$D$199+(($B$111)-$A77)*'Cálculos'!$D$98)/(('Cálculos'!$D$199+(($B$111)-$A77)*'Cálculos'!$D$98)+1400)+'Cálculos'!$D$122)*'Cálculos'!$D$259+'Cálculos'!$D$125*(1+2.78*('Cálculos'!$D$199+(($B$111)-$A77)*'Cálculos'!$D$98)/(('Cálculos'!$D$199+(($B$111)-$A77)*'Cálculos'!$D$98)+1400)+'Cálculos'!$D$123)*'Cálculos'!$D$264)+('Cálculos'!$D$199+(($B$111)-$A77)*'Cálculos'!$D$98)*('Cálculos'!$D$255+'Cálculos'!$D$124*(1+2.78*('Cálculos'!$D$199+(($B$111)-$A77)*'Cálculos'!$D$98)/(('Cálculos'!$D$199+(($B$111)-$A77)*'Cálculos'!$D$98)+1400)+'Cálculos'!$D$122)*'Cálculos'!$D$260+'Cálculos'!$D$125*(1+2.78*('Cálculos'!$D$199+(($B$111)-$A77)*'Cálculos'!$D$98)/(('Cálculos'!$D$199+(($B$111)-$A77)*'Cálculos'!$D$98)+1400)+'Cálculos'!$D$123)*'Cálculos'!$D$265)+('Cálculos'!$D$201*(1+'Cálculos'!$D$202+$A77*('Cálculos'!$D$290=2)*'Cálculos'!$D$101)+'Cálculos'!$D$203)*('Cálculos'!$D$256+'Cálculos'!$D$124*(1+2.78*('Cálculos'!$D$199+(($B$111)-$A77)*'Cálculos'!$D$98)/(('Cálculos'!$D$199+(($B$111)-$A77)*'Cálculos'!$D$98)+1400)+'Cálculos'!$D$122)*'Cálculos'!$D$261+'Cálculos'!$D$125*(1+2.78*('Cálculos'!$D$199+(($B$111)-$A77)*'Cálculos'!$D$98)/(('Cálculos'!$D$199+(($B$111)-$A77)*'Cálculos'!$D$98)+1400)+'Cálculos'!$D$123)*'Cálculos'!$D$266)+('Cálculos'!$D$204*(1+'Cálculos'!$D$205+$A77*('Cálculos'!$D$290=3)*'Cálculos'!$D$103)+'Cálculos'!$D$206)*('Cálculos'!$D$257+'Cálculos'!$D$124*(1+2.78*('Cálculos'!$D$199+(($B$111)-$A77)*'Cálculos'!$D$98)/(('Cálculos'!$D$199+(($B$111)-$A77)*'Cálculos'!$D$98)+1400)+'Cálculos'!$D$122)*'Cálculos'!$D$262+'Cálculos'!$D$125*(1+2.78*('Cálculos'!$D$199+(($B$111)-$A77)*'Cálculos'!$D$98)/(('Cálculos'!$D$199+(($B$111)-$A77)*'Cálculos'!$D$98)+1400)+'Cálculos'!$D$123)*'Cálculos'!$D$267)+('Cálculos'!$D$258+'Cálculos'!$D$124*(1+2.78*('Cálculos'!$D$199+(($B$111)-$A77)*'Cálculos'!$D$98)/(('Cálculos'!$D$199+(($B$111)-$A77)*'Cálculos'!$D$98)+1400)+'Cálculos'!$D$122)*'Cálculos'!$D$263+'Cálculos'!$D$125*(1+2.78*('Cálculos'!$D$199+(($B$111)-$A77)*'Cálculos'!$D$98)/(('Cálculos'!$D$199+(($B$111)-$A77)*'Cálculos'!$D$98)+1400)+'Cálculos'!$D$123)*'Cálculos'!$D$268)+('Cálculos'!$D$185*(1+'Cálculos'!$D$190+$A77*('Cálculos'!$D$290=1)*'Cálculos'!$D$97+'Cálculos'!$D$305)+'Cálculos'!$D$195)*('Cálculos'!$D$269+'Cálculos'!$D$124*(1+2.78*('Cálculos'!$D$200+(($B$111)-$A77)*'Cálculos'!$D$98)/(('Cálculos'!$D$200+(($B$111)-$A77)*'Cálculos'!$D$98)+1400)+'Cálculos'!$D$122)*'Cálculos'!$D$274+'Cálculos'!$D$125*(1+2.78*('Cálculos'!$D$200+(($B$111)-$A77)*'Cálculos'!$D$98)/(('Cálculos'!$D$200+(($B$111)-$A77)*'Cálculos'!$D$98)+1400)+'Cálculos'!$D$123)*'Cálculos'!$D$279)+('Cálculos'!$D$200+(($B$111)-$A77)*'Cálculos'!$D$98)*('Cálculos'!$D$270+'Cálculos'!$D$124*(1+2.78*('Cálculos'!$D$200+(($B$111)-$A77)*'Cálculos'!$D$98)/(('Cálculos'!$D$200+(($B$111)-$A77)*'Cálculos'!$D$98)+1400)+'Cálculos'!$D$122)*'Cálculos'!$D$275+'Cálculos'!$D$125*(1+2.78*('Cálculos'!$D$200+(($B$111)-$A77)*'Cálculos'!$D$98)/(('Cálculos'!$D$200+(($B$111)-$A77)*'Cálculos'!$D$98)+1400)+'Cálculos'!$D$123)*'Cálculos'!$D$280)+('Cálculos'!$D$201*(1+'Cálculos'!$D$202+$A77*('Cálculos'!$D$290=2)*'Cálculos'!$D$101)+'Cálculos'!$D$203)*('Cálculos'!$D$271+'Cálculos'!$D$124*(1+2.78*('Cálculos'!$D$200+(($B$111)-$A77)*'Cálculos'!$D$98)/(('Cálculos'!$D$200+(($B$111)-$A77)*'Cálculos'!$D$98)+1400)+'Cálculos'!$D$122)*'Cálculos'!$D$276+'Cálculos'!$D$125*(1+2.78*('Cálculos'!$D$200+(($B$111)-$A77)*'Cálculos'!$D$98)/(('Cálculos'!$D$200+(($B$111)-$A77)*'Cálculos'!$D$98)+1400)+'Cálculos'!$D$123)*'Cálculos'!$D$281)+('Cálculos'!$D$204*(1+'Cálculos'!$D$205+$A77*('Cálculos'!$D$290=3)*'Cálculos'!$D$103)+'Cálculos'!$D$206)*('Cálculos'!$D$272+'Cálculos'!$D$124*(1+2.78*('Cálculos'!$D$200+(($B$111)-$A77)*'Cálculos'!$D$98)/(('Cálculos'!$D$200+(($B$111)-$A77)*'Cálculos'!$D$98)+1400)+'Cálculos'!$D$122)*'Cálculos'!$D$277+'Cálculos'!$D$125*(1+2.78*('Cálculos'!$D$200+(($B$111)-$A77)*'Cálculos'!$D$98)/(('Cálculos'!$D$200+(($B$111)-$A77)*'Cálculos'!$D$98)+1400)+'Cálculos'!$D$123)*'Cálculos'!$D$282)+('Cálculos'!$D$273+'Cálculos'!$D$124*(1+2.78*('Cálculos'!$D$200+(($B$111)-$A77)*'Cálculos'!$D$98)/(('Cálculos'!$D$200+(($B$111)-$A77)*'Cálculos'!$D$98)+1400)+'Cálculos'!$D$122)*'Cálculos'!$D$278+'Cálculos'!$D$125*(1+2.78*('Cálculos'!$D$200+(($B$111)-$A77)*'Cálculos'!$D$98)/(('Cálculos'!$D$200+(($B$111)-$A77)*'Cálculos'!$D$98)+1400)+'Cálculos'!$D$123)*'Cálculos'!$D$283)))</f>
        <v>0</v>
      </c>
    </row>
    <row r="78" ht="15.75" customHeight="1">
      <c r="A78" s="2">
        <v>15.0</v>
      </c>
      <c r="B78" s="30">
        <f>SUMPRODUCT(MAX(($A$63:$A$108&lt;=$A78)*($A$63:$A$108&lt;='Cálculos'!$D$294)*(($A78)-$A$63:$A$108&lt;='Cálculos'!$D$295)*(1+(('Cálculos'!$D$207+$A$63:$A$108*'Cálculos'!$D$95)-(('Cálculos'!$D$207+$A$63:$A$108*'Cálculos'!$D$95)&gt;1)*(('Cálculos'!$D$207+$A$63:$A$108*'Cálculos'!$D$95)-1))*('Cálculos'!$D$208+(($A78)-$A$63:$A$108)*'Cálculos'!$D$96))))</f>
        <v>1.566553447</v>
      </c>
      <c r="C78" s="2">
        <f>'Cálculos'!$D$303-$A78</f>
        <v>-4</v>
      </c>
      <c r="D78" s="31">
        <f>IF($C78&lt;0,0,SUMPRODUCT(MAX(($A$63:$A$108&lt;=$C78)*($A$63:$A$108&lt;='Cálculos'!$D$301)*(($C78)-$A$63:$A$108&lt;='Cálculos'!$D$297)*(('Cálculos'!$D$185*(1+'Cálculos'!$D$186+$A$63:$A$108*('Cálculos'!$D$290=1)*'Cálculos'!$D$97+'Cálculos'!$D$305)+'Cálculos'!$D$191)*('Cálculos'!$D$209+'Cálculos'!$D$124*(1+2.78*('Cálculos'!$D$196+(($C78)-$A$63:$A$108)*'Cálculos'!$D$98)/(('Cálculos'!$D$196+(($C78)-$A$63:$A$108)*'Cálculos'!$D$98)+1400)+'Cálculos'!$D$122)*'Cálculos'!$D$214+'Cálculos'!$D$125*(1+2.78*('Cálculos'!$D$196+(($C78)-$A$63:$A$108)*'Cálculos'!$D$98)/(('Cálculos'!$D$196+(($C78)-$A$63:$A$108)*'Cálculos'!$D$98)+1400)+'Cálculos'!$D$123)*'Cálculos'!$D$219)+('Cálculos'!$D$196+(($C78)-$A$63:$A$108)*'Cálculos'!$D$98)*('Cálculos'!$D$210+'Cálculos'!$D$124*(1+2.78*('Cálculos'!$D$196+(($C78)-$A$63:$A$108)*'Cálculos'!$D$98)/(('Cálculos'!$D$196+(($C78)-$A$63:$A$108)*'Cálculos'!$D$98)+1400)+'Cálculos'!$D$122)*'Cálculos'!$D$215+'Cálculos'!$D$125*(1+2.78*('Cálculos'!$D$196+(($C78)-$A$63:$A$108)*'Cálculos'!$D$98)/(('Cálculos'!$D$196+(($C78)-$A$63:$A$108)*'Cálculos'!$D$98)+1400)+'Cálculos'!$D$123)*'Cálculos'!$D$220)+('Cálculos'!$D$201*(1+'Cálculos'!$D$202+$A$63:$A$108*('Cálculos'!$D$290=2)*'Cálculos'!$D$101)+'Cálculos'!$D$203)*('Cálculos'!$D$211+'Cálculos'!$D$124*(1+2.78*('Cálculos'!$D$196+(($C78)-$A$63:$A$108)*'Cálculos'!$D$98)/(('Cálculos'!$D$196+(($C78)-$A$63:$A$108)*'Cálculos'!$D$98)+1400)+'Cálculos'!$D$122)*'Cálculos'!$D$216+'Cálculos'!$D$125*(1+2.78*('Cálculos'!$D$196+(($C78)-$A$63:$A$108)*'Cálculos'!$D$98)/(('Cálculos'!$D$196+(($C78)-$A$63:$A$108)*'Cálculos'!$D$98)+1400)+'Cálculos'!$D$123)*'Cálculos'!$D$221)+('Cálculos'!$D$204*(1+'Cálculos'!$D$205+$A$63:$A$108*('Cálculos'!$D$290=3)*'Cálculos'!$D$103)+'Cálculos'!$D$206)*('Cálculos'!$D$212+'Cálculos'!$D$124*(1+2.78*('Cálculos'!$D$196+(($C78)-$A$63:$A$108)*'Cálculos'!$D$98)/(('Cálculos'!$D$196+(($C78)-$A$63:$A$108)*'Cálculos'!$D$98)+1400)+'Cálculos'!$D$122)*'Cálculos'!$D$217+'Cálculos'!$D$125*(1+2.78*('Cálculos'!$D$196+(($C78)-$A$63:$A$108)*'Cálculos'!$D$98)/(('Cálculos'!$D$196+(($C78)-$A$63:$A$108)*'Cálculos'!$D$98)+1400)+'Cálculos'!$D$123)*'Cálculos'!$D$222)+('Cálculos'!$D$213+'Cálculos'!$D$124*(1+2.78*('Cálculos'!$D$196+(($C78)-$A$63:$A$108)*'Cálculos'!$D$98)/(('Cálculos'!$D$196+(($C78)-$A$63:$A$108)*'Cálculos'!$D$98)+1400)+'Cálculos'!$D$122)*'Cálculos'!$D$218+'Cálculos'!$D$125*(1+2.78*('Cálculos'!$D$196+(($C78)-$A$63:$A$108)*'Cálculos'!$D$98)/(('Cálculos'!$D$196+(($C78)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78)-$A$63:$A$108)*'Cálculos'!$D$98)/(('Cálculos'!$D$197+(($C78)-$A$63:$A$108)*'Cálculos'!$D$98)+1400)+'Cálculos'!$D$122)*'Cálculos'!$D$229+'Cálculos'!$D$125*(1+2.78*('Cálculos'!$D$197+(($C78)-$A$63:$A$108)*'Cálculos'!$D$98)/(('Cálculos'!$D$197+(($C78)-$A$63:$A$108)*'Cálculos'!$D$98)+1400)+'Cálculos'!$D$123)*'Cálculos'!$D$234)+('Cálculos'!$D$197+(($C78)-$A$63:$A$108)*'Cálculos'!$D$98)*('Cálculos'!$D$225+'Cálculos'!$D$124*(1+2.78*('Cálculos'!$D$197+(($C78)-$A$63:$A$108)*'Cálculos'!$D$98)/(('Cálculos'!$D$197+(($C78)-$A$63:$A$108)*'Cálculos'!$D$98)+1400)+'Cálculos'!$D$122)*'Cálculos'!$D$230+'Cálculos'!$D$125*(1+2.78*('Cálculos'!$D$197+(($C78)-$A$63:$A$108)*'Cálculos'!$D$98)/(('Cálculos'!$D$197+(($C78)-$A$63:$A$108)*'Cálculos'!$D$98)+1400)+'Cálculos'!$D$123)*'Cálculos'!$D$235)+('Cálculos'!$D$201*(1+'Cálculos'!$D$202+$A$63:$A$108*('Cálculos'!$D$290=2)*'Cálculos'!$D$101)+'Cálculos'!$D$203)*('Cálculos'!$D$226+'Cálculos'!$D$124*(1+2.78*('Cálculos'!$D$197+(($C78)-$A$63:$A$108)*'Cálculos'!$D$98)/(('Cálculos'!$D$197+(($C78)-$A$63:$A$108)*'Cálculos'!$D$98)+1400)+'Cálculos'!$D$122)*'Cálculos'!$D$231+'Cálculos'!$D$125*(1+2.78*('Cálculos'!$D$197+(($C78)-$A$63:$A$108)*'Cálculos'!$D$98)/(('Cálculos'!$D$197+(($C78)-$A$63:$A$108)*'Cálculos'!$D$98)+1400)+'Cálculos'!$D$123)*'Cálculos'!$D$236)+('Cálculos'!$D$204*(1+'Cálculos'!$D$205+$A$63:$A$108*('Cálculos'!$D$290=3)*'Cálculos'!$D$103)+'Cálculos'!$D$206)*('Cálculos'!$D$227+'Cálculos'!$D$124*(1+2.78*('Cálculos'!$D$197+(($C78)-$A$63:$A$108)*'Cálculos'!$D$98)/(('Cálculos'!$D$197+(($C78)-$A$63:$A$108)*'Cálculos'!$D$98)+1400)+'Cálculos'!$D$122)*'Cálculos'!$D$232+'Cálculos'!$D$125*(1+2.78*('Cálculos'!$D$197+(($C78)-$A$63:$A$108)*'Cálculos'!$D$98)/(('Cálculos'!$D$197+(($C78)-$A$63:$A$108)*'Cálculos'!$D$98)+1400)+'Cálculos'!$D$123)*'Cálculos'!$D$237)+('Cálculos'!$D$228+'Cálculos'!$D$124*(1+2.78*('Cálculos'!$D$197+(($C78)-$A$63:$A$108)*'Cálculos'!$D$98)/(('Cálculos'!$D$197+(($C78)-$A$63:$A$108)*'Cálculos'!$D$98)+1400)+'Cálculos'!$D$122)*'Cálculos'!$D$233+'Cálculos'!$D$125*(1+2.78*('Cálculos'!$D$197+(($C78)-$A$63:$A$108)*'Cálculos'!$D$98)/(('Cálculos'!$D$197+(($C78)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78)-$A$63:$A$108)*'Cálculos'!$D$98)/(('Cálculos'!$D$198+(($C78)-$A$63:$A$108)*'Cálculos'!$D$98)+1400)+'Cálculos'!$D$122)*'Cálculos'!$D$244+'Cálculos'!$D$125*(1+2.78*('Cálculos'!$D$198+(($C78)-$A$63:$A$108)*'Cálculos'!$D$98)/(('Cálculos'!$D$198+(($C78)-$A$63:$A$108)*'Cálculos'!$D$98)+1400)+'Cálculos'!$D$123)*'Cálculos'!$D$249)+('Cálculos'!$D$198+(($C78)-$A$63:$A$108)*'Cálculos'!$D$98)*('Cálculos'!$D$240+'Cálculos'!$D$124*(1+2.78*('Cálculos'!$D$198+(($C78)-$A$63:$A$108)*'Cálculos'!$D$98)/(('Cálculos'!$D$198+(($C78)-$A$63:$A$108)*'Cálculos'!$D$98)+1400)+'Cálculos'!$D$122)*'Cálculos'!$D$245+'Cálculos'!$D$125*(1+2.78*('Cálculos'!$D$198+(($C78)-$A$63:$A$108)*'Cálculos'!$D$98)/(('Cálculos'!$D$198+(($C78)-$A$63:$A$108)*'Cálculos'!$D$98)+1400)+'Cálculos'!$D$123)*'Cálculos'!$D$250)+('Cálculos'!$D$201*(1+'Cálculos'!$D$202+$A$63:$A$108*('Cálculos'!$D$290=2)*'Cálculos'!$D$101)+'Cálculos'!$D$203)*('Cálculos'!$D$241+'Cálculos'!$D$124*(1+2.78*('Cálculos'!$D$198+(($C78)-$A$63:$A$108)*'Cálculos'!$D$98)/(('Cálculos'!$D$198+(($C78)-$A$63:$A$108)*'Cálculos'!$D$98)+1400)+'Cálculos'!$D$122)*'Cálculos'!$D$246+'Cálculos'!$D$125*(1+2.78*('Cálculos'!$D$198+(($C78)-$A$63:$A$108)*'Cálculos'!$D$98)/(('Cálculos'!$D$198+(($C78)-$A$63:$A$108)*'Cálculos'!$D$98)+1400)+'Cálculos'!$D$123)*'Cálculos'!$D$251)+('Cálculos'!$D$204*(1+'Cálculos'!$D$205+$A$63:$A$108*('Cálculos'!$D$290=3)*'Cálculos'!$D$103)+'Cálculos'!$D$206)*('Cálculos'!$D$242+'Cálculos'!$D$124*(1+2.78*('Cálculos'!$D$198+(($C78)-$A$63:$A$108)*'Cálculos'!$D$98)/(('Cálculos'!$D$198+(($C78)-$A$63:$A$108)*'Cálculos'!$D$98)+1400)+'Cálculos'!$D$122)*'Cálculos'!$D$247+'Cálculos'!$D$125*(1+2.78*('Cálculos'!$D$198+(($C78)-$A$63:$A$108)*'Cálculos'!$D$98)/(('Cálculos'!$D$198+(($C78)-$A$63:$A$108)*'Cálculos'!$D$98)+1400)+'Cálculos'!$D$123)*'Cálculos'!$D$252)+('Cálculos'!$D$243+'Cálculos'!$D$124*(1+2.78*('Cálculos'!$D$198+(($C78)-$A$63:$A$108)*'Cálculos'!$D$98)/(('Cálculos'!$D$198+(($C78)-$A$63:$A$108)*'Cálculos'!$D$98)+1400)+'Cálculos'!$D$122)*'Cálculos'!$D$248+'Cálculos'!$D$125*(1+2.78*('Cálculos'!$D$198+(($C78)-$A$63:$A$108)*'Cálculos'!$D$98)/(('Cálculos'!$D$198+(($C78)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78)-$A$63:$A$108)*'Cálculos'!$D$98)/(('Cálculos'!$D$199+(($C78)-$A$63:$A$108)*'Cálculos'!$D$98)+1400)+'Cálculos'!$D$122)*'Cálculos'!$D$259+'Cálculos'!$D$125*(1+2.78*('Cálculos'!$D$199+(($C78)-$A$63:$A$108)*'Cálculos'!$D$98)/(('Cálculos'!$D$199+(($C78)-$A$63:$A$108)*'Cálculos'!$D$98)+1400)+'Cálculos'!$D$123)*'Cálculos'!$D$264)+('Cálculos'!$D$199+(($C78)-$A$63:$A$108)*'Cálculos'!$D$98)*('Cálculos'!$D$255+'Cálculos'!$D$124*(1+2.78*('Cálculos'!$D$199+(($C78)-$A$63:$A$108)*'Cálculos'!$D$98)/(('Cálculos'!$D$199+(($C78)-$A$63:$A$108)*'Cálculos'!$D$98)+1400)+'Cálculos'!$D$122)*'Cálculos'!$D$260+'Cálculos'!$D$125*(1+2.78*('Cálculos'!$D$199+(($C78)-$A$63:$A$108)*'Cálculos'!$D$98)/(('Cálculos'!$D$199+(($C78)-$A$63:$A$108)*'Cálculos'!$D$98)+1400)+'Cálculos'!$D$123)*'Cálculos'!$D$265)+('Cálculos'!$D$201*(1+'Cálculos'!$D$202+$A$63:$A$108*('Cálculos'!$D$290=2)*'Cálculos'!$D$101)+'Cálculos'!$D$203)*('Cálculos'!$D$256+'Cálculos'!$D$124*(1+2.78*('Cálculos'!$D$199+(($C78)-$A$63:$A$108)*'Cálculos'!$D$98)/(('Cálculos'!$D$199+(($C78)-$A$63:$A$108)*'Cálculos'!$D$98)+1400)+'Cálculos'!$D$122)*'Cálculos'!$D$261+'Cálculos'!$D$125*(1+2.78*('Cálculos'!$D$199+(($C78)-$A$63:$A$108)*'Cálculos'!$D$98)/(('Cálculos'!$D$199+(($C78)-$A$63:$A$108)*'Cálculos'!$D$98)+1400)+'Cálculos'!$D$123)*'Cálculos'!$D$266)+('Cálculos'!$D$204*(1+'Cálculos'!$D$205+$A$63:$A$108*('Cálculos'!$D$290=3)*'Cálculos'!$D$103)+'Cálculos'!$D$206)*('Cálculos'!$D$257+'Cálculos'!$D$124*(1+2.78*('Cálculos'!$D$199+(($C78)-$A$63:$A$108)*'Cálculos'!$D$98)/(('Cálculos'!$D$199+(($C78)-$A$63:$A$108)*'Cálculos'!$D$98)+1400)+'Cálculos'!$D$122)*'Cálculos'!$D$262+'Cálculos'!$D$125*(1+2.78*('Cálculos'!$D$199+(($C78)-$A$63:$A$108)*'Cálculos'!$D$98)/(('Cálculos'!$D$199+(($C78)-$A$63:$A$108)*'Cálculos'!$D$98)+1400)+'Cálculos'!$D$123)*'Cálculos'!$D$267)+('Cálculos'!$D$258+'Cálculos'!$D$124*(1+2.78*('Cálculos'!$D$199+(($C78)-$A$63:$A$108)*'Cálculos'!$D$98)/(('Cálculos'!$D$199+(($C78)-$A$63:$A$108)*'Cálculos'!$D$98)+1400)+'Cálculos'!$D$122)*'Cálculos'!$D$263+'Cálculos'!$D$125*(1+2.78*('Cálculos'!$D$199+(($C78)-$A$63:$A$108)*'Cálculos'!$D$98)/(('Cálculos'!$D$199+(($C78)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78)-$A$63:$A$108)*'Cálculos'!$D$98)/(('Cálculos'!$D$200+(($C78)-$A$63:$A$108)*'Cálculos'!$D$98)+1400)+'Cálculos'!$D$122)*'Cálculos'!$D$274+'Cálculos'!$D$125*(1+2.78*('Cálculos'!$D$200+(($C78)-$A$63:$A$108)*'Cálculos'!$D$98)/(('Cálculos'!$D$200+(($C78)-$A$63:$A$108)*'Cálculos'!$D$98)+1400)+'Cálculos'!$D$123)*'Cálculos'!$D$279)+('Cálculos'!$D$200+(($C78)-$A$63:$A$108)*'Cálculos'!$D$98)*('Cálculos'!$D$270+'Cálculos'!$D$124*(1+2.78*('Cálculos'!$D$200+(($C78)-$A$63:$A$108)*'Cálculos'!$D$98)/(('Cálculos'!$D$200+(($C78)-$A$63:$A$108)*'Cálculos'!$D$98)+1400)+'Cálculos'!$D$122)*'Cálculos'!$D$275+'Cálculos'!$D$125*(1+2.78*('Cálculos'!$D$200+(($C78)-$A$63:$A$108)*'Cálculos'!$D$98)/(('Cálculos'!$D$200+(($C78)-$A$63:$A$108)*'Cálculos'!$D$98)+1400)+'Cálculos'!$D$123)*'Cálculos'!$D$280)+('Cálculos'!$D$201*(1+'Cálculos'!$D$202+$A$63:$A$108*('Cálculos'!$D$290=2)*'Cálculos'!$D$101)+'Cálculos'!$D$203)*('Cálculos'!$D$271+'Cálculos'!$D$124*(1+2.78*('Cálculos'!$D$200+(($C78)-$A$63:$A$108)*'Cálculos'!$D$98)/(('Cálculos'!$D$200+(($C78)-$A$63:$A$108)*'Cálculos'!$D$98)+1400)+'Cálculos'!$D$122)*'Cálculos'!$D$276+'Cálculos'!$D$125*(1+2.78*('Cálculos'!$D$200+(($C78)-$A$63:$A$108)*'Cálculos'!$D$98)/(('Cálculos'!$D$200+(($C78)-$A$63:$A$108)*'Cálculos'!$D$98)+1400)+'Cálculos'!$D$123)*'Cálculos'!$D$281)+('Cálculos'!$D$204*(1+'Cálculos'!$D$205+$A$63:$A$108*('Cálculos'!$D$290=3)*'Cálculos'!$D$103)+'Cálculos'!$D$206)*('Cálculos'!$D$272+'Cálculos'!$D$124*(1+2.78*('Cálculos'!$D$200+(($C78)-$A$63:$A$108)*'Cálculos'!$D$98)/(('Cálculos'!$D$200+(($C78)-$A$63:$A$108)*'Cálculos'!$D$98)+1400)+'Cálculos'!$D$122)*'Cálculos'!$D$277+'Cálculos'!$D$125*(1+2.78*('Cálculos'!$D$200+(($C78)-$A$63:$A$108)*'Cálculos'!$D$98)/(('Cálculos'!$D$200+(($C78)-$A$63:$A$108)*'Cálculos'!$D$98)+1400)+'Cálculos'!$D$123)*'Cálculos'!$D$282)+('Cálculos'!$D$273+'Cálculos'!$D$124*(1+2.78*('Cálculos'!$D$200+(($C78)-$A$63:$A$108)*'Cálculos'!$D$98)/(('Cálculos'!$D$200+(($C78)-$A$63:$A$108)*'Cálculos'!$D$98)+1400)+'Cálculos'!$D$122)*'Cálculos'!$D$278+'Cálculos'!$D$125*(1+2.78*('Cálculos'!$D$200+(($C78)-$A$63:$A$108)*'Cálculos'!$D$98)/(('Cálculos'!$D$200+(($C78)-$A$63:$A$108)*'Cálculos'!$D$98)+1400)+'Cálculos'!$D$123)*'Cálculos'!$D$283)))))</f>
        <v>0</v>
      </c>
      <c r="E78" s="32">
        <f>IF(OR($C78&lt;0,'Cálculos'!$D$6=""),0,$B78*$D78)</f>
        <v>0</v>
      </c>
      <c r="F78" s="2"/>
      <c r="G78" s="30">
        <f>($A78&lt;=$B$110)*($A78&lt;='Cálculos'!$D$294)*(($B$110)-$A78&lt;='Cálculos'!$D$295)*(1+MIN(('Cálculos'!$D$207+$A78*'Cálculos'!$D$95),1)*('Cálculos'!$D$208+(($B$110)-$A78)*'Cálculos'!$D$96))</f>
        <v>0</v>
      </c>
      <c r="H78" s="31">
        <f>IF($B$111&lt;0,0,($A78&lt;=$B$111)*($A78&lt;='Cálculos'!$D$301)*(($B$111)-$A78&lt;='Cálculos'!$D$297)*(('Cálculos'!$D$185*(1+'Cálculos'!$D$186+$A78*('Cálculos'!$D$290=1)*'Cálculos'!$D$97+'Cálculos'!$D$305)+'Cálculos'!$D$191)*('Cálculos'!$D$209+'Cálculos'!$D$124*(1+2.78*('Cálculos'!$D$196+(($B$111)-$A78)*'Cálculos'!$D$98)/(('Cálculos'!$D$196+(($B$111)-$A78)*'Cálculos'!$D$98)+1400)+'Cálculos'!$D$122)*'Cálculos'!$D$214+'Cálculos'!$D$125*(1+2.78*('Cálculos'!$D$196+(($B$111)-$A78)*'Cálculos'!$D$98)/(('Cálculos'!$D$196+(($B$111)-$A78)*'Cálculos'!$D$98)+1400)+'Cálculos'!$D$123)*'Cálculos'!$D$219)+('Cálculos'!$D$196+(($B$111)-$A78)*'Cálculos'!$D$98)*('Cálculos'!$D$210+'Cálculos'!$D$124*(1+2.78*('Cálculos'!$D$196+(($B$111)-$A78)*'Cálculos'!$D$98)/(('Cálculos'!$D$196+(($B$111)-$A78)*'Cálculos'!$D$98)+1400)+'Cálculos'!$D$122)*'Cálculos'!$D$215+'Cálculos'!$D$125*(1+2.78*('Cálculos'!$D$196+(($B$111)-$A78)*'Cálculos'!$D$98)/(('Cálculos'!$D$196+(($B$111)-$A78)*'Cálculos'!$D$98)+1400)+'Cálculos'!$D$123)*'Cálculos'!$D$220)+('Cálculos'!$D$201*(1+'Cálculos'!$D$202+$A78*('Cálculos'!$D$290=2)*'Cálculos'!$D$101)+'Cálculos'!$D$203)*('Cálculos'!$D$211+'Cálculos'!$D$124*(1+2.78*('Cálculos'!$D$196+(($B$111)-$A78)*'Cálculos'!$D$98)/(('Cálculos'!$D$196+(($B$111)-$A78)*'Cálculos'!$D$98)+1400)+'Cálculos'!$D$122)*'Cálculos'!$D$216+'Cálculos'!$D$125*(1+2.78*('Cálculos'!$D$196+(($B$111)-$A78)*'Cálculos'!$D$98)/(('Cálculos'!$D$196+(($B$111)-$A78)*'Cálculos'!$D$98)+1400)+'Cálculos'!$D$123)*'Cálculos'!$D$221)+('Cálculos'!$D$204*(1+'Cálculos'!$D$205+$A78*('Cálculos'!$D$290=3)*'Cálculos'!$D$103)+'Cálculos'!$D$206)*('Cálculos'!$D$212+'Cálculos'!$D$124*(1+2.78*('Cálculos'!$D$196+(($B$111)-$A78)*'Cálculos'!$D$98)/(('Cálculos'!$D$196+(($B$111)-$A78)*'Cálculos'!$D$98)+1400)+'Cálculos'!$D$122)*'Cálculos'!$D$217+'Cálculos'!$D$125*(1+2.78*('Cálculos'!$D$196+(($B$111)-$A78)*'Cálculos'!$D$98)/(('Cálculos'!$D$196+(($B$111)-$A78)*'Cálculos'!$D$98)+1400)+'Cálculos'!$D$123)*'Cálculos'!$D$222)+('Cálculos'!$D$213+'Cálculos'!$D$124*(1+2.78*('Cálculos'!$D$196+(($B$111)-$A78)*'Cálculos'!$D$98)/(('Cálculos'!$D$196+(($B$111)-$A78)*'Cálculos'!$D$98)+1400)+'Cálculos'!$D$122)*'Cálculos'!$D$218+'Cálculos'!$D$125*(1+2.78*('Cálculos'!$D$196+(($B$111)-$A78)*'Cálculos'!$D$98)/(('Cálculos'!$D$196+(($B$111)-$A78)*'Cálculos'!$D$98)+1400)+'Cálculos'!$D$123)*'Cálculos'!$D$223)+('Cálculos'!$D$185*(1+'Cálculos'!$D$187+$A78*('Cálculos'!$D$290=1)*'Cálculos'!$D$97+'Cálculos'!$D$305)+'Cálculos'!$D$192)*('Cálculos'!$D$224+'Cálculos'!$D$124*(1+2.78*('Cálculos'!$D$197+(($B$111)-$A78)*'Cálculos'!$D$98)/(('Cálculos'!$D$197+(($B$111)-$A78)*'Cálculos'!$D$98)+1400)+'Cálculos'!$D$122)*'Cálculos'!$D$229+'Cálculos'!$D$125*(1+2.78*('Cálculos'!$D$197+(($B$111)-$A78)*'Cálculos'!$D$98)/(('Cálculos'!$D$197+(($B$111)-$A78)*'Cálculos'!$D$98)+1400)+'Cálculos'!$D$123)*'Cálculos'!$D$234)+('Cálculos'!$D$197+(($B$111)-$A78)*'Cálculos'!$D$98)*('Cálculos'!$D$225+'Cálculos'!$D$124*(1+2.78*('Cálculos'!$D$197+(($B$111)-$A78)*'Cálculos'!$D$98)/(('Cálculos'!$D$197+(($B$111)-$A78)*'Cálculos'!$D$98)+1400)+'Cálculos'!$D$122)*'Cálculos'!$D$230+'Cálculos'!$D$125*(1+2.78*('Cálculos'!$D$197+(($B$111)-$A78)*'Cálculos'!$D$98)/(('Cálculos'!$D$197+(($B$111)-$A78)*'Cálculos'!$D$98)+1400)+'Cálculos'!$D$123)*'Cálculos'!$D$235)+('Cálculos'!$D$201*(1+'Cálculos'!$D$202+$A78*('Cálculos'!$D$290=2)*'Cálculos'!$D$101)+'Cálculos'!$D$203)*('Cálculos'!$D$226+'Cálculos'!$D$124*(1+2.78*('Cálculos'!$D$197+(($B$111)-$A78)*'Cálculos'!$D$98)/(('Cálculos'!$D$197+(($B$111)-$A78)*'Cálculos'!$D$98)+1400)+'Cálculos'!$D$122)*'Cálculos'!$D$231+'Cálculos'!$D$125*(1+2.78*('Cálculos'!$D$197+(($B$111)-$A78)*'Cálculos'!$D$98)/(('Cálculos'!$D$197+(($B$111)-$A78)*'Cálculos'!$D$98)+1400)+'Cálculos'!$D$123)*'Cálculos'!$D$236)+('Cálculos'!$D$204*(1+'Cálculos'!$D$205+$A78*('Cálculos'!$D$290=3)*'Cálculos'!$D$103)+'Cálculos'!$D$206)*('Cálculos'!$D$227+'Cálculos'!$D$124*(1+2.78*('Cálculos'!$D$197+(($B$111)-$A78)*'Cálculos'!$D$98)/(('Cálculos'!$D$197+(($B$111)-$A78)*'Cálculos'!$D$98)+1400)+'Cálculos'!$D$122)*'Cálculos'!$D$232+'Cálculos'!$D$125*(1+2.78*('Cálculos'!$D$197+(($B$111)-$A78)*'Cálculos'!$D$98)/(('Cálculos'!$D$197+(($B$111)-$A78)*'Cálculos'!$D$98)+1400)+'Cálculos'!$D$123)*'Cálculos'!$D$237)+('Cálculos'!$D$228+'Cálculos'!$D$124*(1+2.78*('Cálculos'!$D$197+(($B$111)-$A78)*'Cálculos'!$D$98)/(('Cálculos'!$D$197+(($B$111)-$A78)*'Cálculos'!$D$98)+1400)+'Cálculos'!$D$122)*'Cálculos'!$D$233+'Cálculos'!$D$125*(1+2.78*('Cálculos'!$D$197+(($B$111)-$A78)*'Cálculos'!$D$98)/(('Cálculos'!$D$197+(($B$111)-$A78)*'Cálculos'!$D$98)+1400)+'Cálculos'!$D$123)*'Cálculos'!$D$238)+('Cálculos'!$D$185*(1+'Cálculos'!$D$188+$A78*('Cálculos'!$D$290=1)*'Cálculos'!$D$97+'Cálculos'!$D$305)+'Cálculos'!$D$193)*('Cálculos'!$D$239+'Cálculos'!$D$124*(1+2.78*('Cálculos'!$D$198+(($B$111)-$A78)*'Cálculos'!$D$98)/(('Cálculos'!$D$198+(($B$111)-$A78)*'Cálculos'!$D$98)+1400)+'Cálculos'!$D$122)*'Cálculos'!$D$244+'Cálculos'!$D$125*(1+2.78*('Cálculos'!$D$198+(($B$111)-$A78)*'Cálculos'!$D$98)/(('Cálculos'!$D$198+(($B$111)-$A78)*'Cálculos'!$D$98)+1400)+'Cálculos'!$D$123)*'Cálculos'!$D$249)+('Cálculos'!$D$198+(($B$111)-$A78)*'Cálculos'!$D$98)*('Cálculos'!$D$240+'Cálculos'!$D$124*(1+2.78*('Cálculos'!$D$198+(($B$111)-$A78)*'Cálculos'!$D$98)/(('Cálculos'!$D$198+(($B$111)-$A78)*'Cálculos'!$D$98)+1400)+'Cálculos'!$D$122)*'Cálculos'!$D$245+'Cálculos'!$D$125*(1+2.78*('Cálculos'!$D$198+(($B$111)-$A78)*'Cálculos'!$D$98)/(('Cálculos'!$D$198+(($B$111)-$A78)*'Cálculos'!$D$98)+1400)+'Cálculos'!$D$123)*'Cálculos'!$D$250)+('Cálculos'!$D$201*(1+'Cálculos'!$D$202+$A78*('Cálculos'!$D$290=2)*'Cálculos'!$D$101)+'Cálculos'!$D$203)*('Cálculos'!$D$241+'Cálculos'!$D$124*(1+2.78*('Cálculos'!$D$198+(($B$111)-$A78)*'Cálculos'!$D$98)/(('Cálculos'!$D$198+(($B$111)-$A78)*'Cálculos'!$D$98)+1400)+'Cálculos'!$D$122)*'Cálculos'!$D$246+'Cálculos'!$D$125*(1+2.78*('Cálculos'!$D$198+(($B$111)-$A78)*'Cálculos'!$D$98)/(('Cálculos'!$D$198+(($B$111)-$A78)*'Cálculos'!$D$98)+1400)+'Cálculos'!$D$123)*'Cálculos'!$D$251)+('Cálculos'!$D$204*(1+'Cálculos'!$D$205+$A78*('Cálculos'!$D$290=3)*'Cálculos'!$D$103)+'Cálculos'!$D$206)*('Cálculos'!$D$242+'Cálculos'!$D$124*(1+2.78*('Cálculos'!$D$198+(($B$111)-$A78)*'Cálculos'!$D$98)/(('Cálculos'!$D$198+(($B$111)-$A78)*'Cálculos'!$D$98)+1400)+'Cálculos'!$D$122)*'Cálculos'!$D$247+'Cálculos'!$D$125*(1+2.78*('Cálculos'!$D$198+(($B$111)-$A78)*'Cálculos'!$D$98)/(('Cálculos'!$D$198+(($B$111)-$A78)*'Cálculos'!$D$98)+1400)+'Cálculos'!$D$123)*'Cálculos'!$D$252)+('Cálculos'!$D$243+'Cálculos'!$D$124*(1+2.78*('Cálculos'!$D$198+(($B$111)-$A78)*'Cálculos'!$D$98)/(('Cálculos'!$D$198+(($B$111)-$A78)*'Cálculos'!$D$98)+1400)+'Cálculos'!$D$122)*'Cálculos'!$D$248+'Cálculos'!$D$125*(1+2.78*('Cálculos'!$D$198+(($B$111)-$A78)*'Cálculos'!$D$98)/(('Cálculos'!$D$198+(($B$111)-$A78)*'Cálculos'!$D$98)+1400)+'Cálculos'!$D$123)*'Cálculos'!$D$253)+('Cálculos'!$D$185*(1+'Cálculos'!$D$189+$A78*('Cálculos'!$D$290=1)*'Cálculos'!$D$97+'Cálculos'!$D$305)+'Cálculos'!$D$194)*('Cálculos'!$D$254+'Cálculos'!$D$124*(1+2.78*('Cálculos'!$D$199+(($B$111)-$A78)*'Cálculos'!$D$98)/(('Cálculos'!$D$199+(($B$111)-$A78)*'Cálculos'!$D$98)+1400)+'Cálculos'!$D$122)*'Cálculos'!$D$259+'Cálculos'!$D$125*(1+2.78*('Cálculos'!$D$199+(($B$111)-$A78)*'Cálculos'!$D$98)/(('Cálculos'!$D$199+(($B$111)-$A78)*'Cálculos'!$D$98)+1400)+'Cálculos'!$D$123)*'Cálculos'!$D$264)+('Cálculos'!$D$199+(($B$111)-$A78)*'Cálculos'!$D$98)*('Cálculos'!$D$255+'Cálculos'!$D$124*(1+2.78*('Cálculos'!$D$199+(($B$111)-$A78)*'Cálculos'!$D$98)/(('Cálculos'!$D$199+(($B$111)-$A78)*'Cálculos'!$D$98)+1400)+'Cálculos'!$D$122)*'Cálculos'!$D$260+'Cálculos'!$D$125*(1+2.78*('Cálculos'!$D$199+(($B$111)-$A78)*'Cálculos'!$D$98)/(('Cálculos'!$D$199+(($B$111)-$A78)*'Cálculos'!$D$98)+1400)+'Cálculos'!$D$123)*'Cálculos'!$D$265)+('Cálculos'!$D$201*(1+'Cálculos'!$D$202+$A78*('Cálculos'!$D$290=2)*'Cálculos'!$D$101)+'Cálculos'!$D$203)*('Cálculos'!$D$256+'Cálculos'!$D$124*(1+2.78*('Cálculos'!$D$199+(($B$111)-$A78)*'Cálculos'!$D$98)/(('Cálculos'!$D$199+(($B$111)-$A78)*'Cálculos'!$D$98)+1400)+'Cálculos'!$D$122)*'Cálculos'!$D$261+'Cálculos'!$D$125*(1+2.78*('Cálculos'!$D$199+(($B$111)-$A78)*'Cálculos'!$D$98)/(('Cálculos'!$D$199+(($B$111)-$A78)*'Cálculos'!$D$98)+1400)+'Cálculos'!$D$123)*'Cálculos'!$D$266)+('Cálculos'!$D$204*(1+'Cálculos'!$D$205+$A78*('Cálculos'!$D$290=3)*'Cálculos'!$D$103)+'Cálculos'!$D$206)*('Cálculos'!$D$257+'Cálculos'!$D$124*(1+2.78*('Cálculos'!$D$199+(($B$111)-$A78)*'Cálculos'!$D$98)/(('Cálculos'!$D$199+(($B$111)-$A78)*'Cálculos'!$D$98)+1400)+'Cálculos'!$D$122)*'Cálculos'!$D$262+'Cálculos'!$D$125*(1+2.78*('Cálculos'!$D$199+(($B$111)-$A78)*'Cálculos'!$D$98)/(('Cálculos'!$D$199+(($B$111)-$A78)*'Cálculos'!$D$98)+1400)+'Cálculos'!$D$123)*'Cálculos'!$D$267)+('Cálculos'!$D$258+'Cálculos'!$D$124*(1+2.78*('Cálculos'!$D$199+(($B$111)-$A78)*'Cálculos'!$D$98)/(('Cálculos'!$D$199+(($B$111)-$A78)*'Cálculos'!$D$98)+1400)+'Cálculos'!$D$122)*'Cálculos'!$D$263+'Cálculos'!$D$125*(1+2.78*('Cálculos'!$D$199+(($B$111)-$A78)*'Cálculos'!$D$98)/(('Cálculos'!$D$199+(($B$111)-$A78)*'Cálculos'!$D$98)+1400)+'Cálculos'!$D$123)*'Cálculos'!$D$268)+('Cálculos'!$D$185*(1+'Cálculos'!$D$190+$A78*('Cálculos'!$D$290=1)*'Cálculos'!$D$97+'Cálculos'!$D$305)+'Cálculos'!$D$195)*('Cálculos'!$D$269+'Cálculos'!$D$124*(1+2.78*('Cálculos'!$D$200+(($B$111)-$A78)*'Cálculos'!$D$98)/(('Cálculos'!$D$200+(($B$111)-$A78)*'Cálculos'!$D$98)+1400)+'Cálculos'!$D$122)*'Cálculos'!$D$274+'Cálculos'!$D$125*(1+2.78*('Cálculos'!$D$200+(($B$111)-$A78)*'Cálculos'!$D$98)/(('Cálculos'!$D$200+(($B$111)-$A78)*'Cálculos'!$D$98)+1400)+'Cálculos'!$D$123)*'Cálculos'!$D$279)+('Cálculos'!$D$200+(($B$111)-$A78)*'Cálculos'!$D$98)*('Cálculos'!$D$270+'Cálculos'!$D$124*(1+2.78*('Cálculos'!$D$200+(($B$111)-$A78)*'Cálculos'!$D$98)/(('Cálculos'!$D$200+(($B$111)-$A78)*'Cálculos'!$D$98)+1400)+'Cálculos'!$D$122)*'Cálculos'!$D$275+'Cálculos'!$D$125*(1+2.78*('Cálculos'!$D$200+(($B$111)-$A78)*'Cálculos'!$D$98)/(('Cálculos'!$D$200+(($B$111)-$A78)*'Cálculos'!$D$98)+1400)+'Cálculos'!$D$123)*'Cálculos'!$D$280)+('Cálculos'!$D$201*(1+'Cálculos'!$D$202+$A78*('Cálculos'!$D$290=2)*'Cálculos'!$D$101)+'Cálculos'!$D$203)*('Cálculos'!$D$271+'Cálculos'!$D$124*(1+2.78*('Cálculos'!$D$200+(($B$111)-$A78)*'Cálculos'!$D$98)/(('Cálculos'!$D$200+(($B$111)-$A78)*'Cálculos'!$D$98)+1400)+'Cálculos'!$D$122)*'Cálculos'!$D$276+'Cálculos'!$D$125*(1+2.78*('Cálculos'!$D$200+(($B$111)-$A78)*'Cálculos'!$D$98)/(('Cálculos'!$D$200+(($B$111)-$A78)*'Cálculos'!$D$98)+1400)+'Cálculos'!$D$123)*'Cálculos'!$D$281)+('Cálculos'!$D$204*(1+'Cálculos'!$D$205+$A78*('Cálculos'!$D$290=3)*'Cálculos'!$D$103)+'Cálculos'!$D$206)*('Cálculos'!$D$272+'Cálculos'!$D$124*(1+2.78*('Cálculos'!$D$200+(($B$111)-$A78)*'Cálculos'!$D$98)/(('Cálculos'!$D$200+(($B$111)-$A78)*'Cálculos'!$D$98)+1400)+'Cálculos'!$D$122)*'Cálculos'!$D$277+'Cálculos'!$D$125*(1+2.78*('Cálculos'!$D$200+(($B$111)-$A78)*'Cálculos'!$D$98)/(('Cálculos'!$D$200+(($B$111)-$A78)*'Cálculos'!$D$98)+1400)+'Cálculos'!$D$123)*'Cálculos'!$D$282)+('Cálculos'!$D$273+'Cálculos'!$D$124*(1+2.78*('Cálculos'!$D$200+(($B$111)-$A78)*'Cálculos'!$D$98)/(('Cálculos'!$D$200+(($B$111)-$A78)*'Cálculos'!$D$98)+1400)+'Cálculos'!$D$122)*'Cálculos'!$D$278+'Cálculos'!$D$125*(1+2.78*('Cálculos'!$D$200+(($B$111)-$A78)*'Cálculos'!$D$98)/(('Cálculos'!$D$200+(($B$111)-$A78)*'Cálculos'!$D$98)+1400)+'Cálculos'!$D$123)*'Cálculos'!$D$283)))</f>
        <v>0</v>
      </c>
    </row>
    <row r="79" ht="15.75" customHeight="1">
      <c r="A79" s="2">
        <v>16.0</v>
      </c>
      <c r="B79" s="30">
        <f>SUMPRODUCT(MAX(($A$63:$A$108&lt;=$A79)*($A$63:$A$108&lt;='Cálculos'!$D$294)*(($A79)-$A$63:$A$108&lt;='Cálculos'!$D$295)*(1+(('Cálculos'!$D$207+$A$63:$A$108*'Cálculos'!$D$95)-(('Cálculos'!$D$207+$A$63:$A$108*'Cálculos'!$D$95)&gt;1)*(('Cálculos'!$D$207+$A$63:$A$108*'Cálculos'!$D$95)-1))*('Cálculos'!$D$208+(($A79)-$A$63:$A$108)*'Cálculos'!$D$96))))</f>
        <v>1.59650636</v>
      </c>
      <c r="C79" s="2">
        <f>'Cálculos'!$D$303-$A79</f>
        <v>-5</v>
      </c>
      <c r="D79" s="31">
        <f>IF($C79&lt;0,0,SUMPRODUCT(MAX(($A$63:$A$108&lt;=$C79)*($A$63:$A$108&lt;='Cálculos'!$D$301)*(($C79)-$A$63:$A$108&lt;='Cálculos'!$D$297)*(('Cálculos'!$D$185*(1+'Cálculos'!$D$186+$A$63:$A$108*('Cálculos'!$D$290=1)*'Cálculos'!$D$97+'Cálculos'!$D$305)+'Cálculos'!$D$191)*('Cálculos'!$D$209+'Cálculos'!$D$124*(1+2.78*('Cálculos'!$D$196+(($C79)-$A$63:$A$108)*'Cálculos'!$D$98)/(('Cálculos'!$D$196+(($C79)-$A$63:$A$108)*'Cálculos'!$D$98)+1400)+'Cálculos'!$D$122)*'Cálculos'!$D$214+'Cálculos'!$D$125*(1+2.78*('Cálculos'!$D$196+(($C79)-$A$63:$A$108)*'Cálculos'!$D$98)/(('Cálculos'!$D$196+(($C79)-$A$63:$A$108)*'Cálculos'!$D$98)+1400)+'Cálculos'!$D$123)*'Cálculos'!$D$219)+('Cálculos'!$D$196+(($C79)-$A$63:$A$108)*'Cálculos'!$D$98)*('Cálculos'!$D$210+'Cálculos'!$D$124*(1+2.78*('Cálculos'!$D$196+(($C79)-$A$63:$A$108)*'Cálculos'!$D$98)/(('Cálculos'!$D$196+(($C79)-$A$63:$A$108)*'Cálculos'!$D$98)+1400)+'Cálculos'!$D$122)*'Cálculos'!$D$215+'Cálculos'!$D$125*(1+2.78*('Cálculos'!$D$196+(($C79)-$A$63:$A$108)*'Cálculos'!$D$98)/(('Cálculos'!$D$196+(($C79)-$A$63:$A$108)*'Cálculos'!$D$98)+1400)+'Cálculos'!$D$123)*'Cálculos'!$D$220)+('Cálculos'!$D$201*(1+'Cálculos'!$D$202+$A$63:$A$108*('Cálculos'!$D$290=2)*'Cálculos'!$D$101)+'Cálculos'!$D$203)*('Cálculos'!$D$211+'Cálculos'!$D$124*(1+2.78*('Cálculos'!$D$196+(($C79)-$A$63:$A$108)*'Cálculos'!$D$98)/(('Cálculos'!$D$196+(($C79)-$A$63:$A$108)*'Cálculos'!$D$98)+1400)+'Cálculos'!$D$122)*'Cálculos'!$D$216+'Cálculos'!$D$125*(1+2.78*('Cálculos'!$D$196+(($C79)-$A$63:$A$108)*'Cálculos'!$D$98)/(('Cálculos'!$D$196+(($C79)-$A$63:$A$108)*'Cálculos'!$D$98)+1400)+'Cálculos'!$D$123)*'Cálculos'!$D$221)+('Cálculos'!$D$204*(1+'Cálculos'!$D$205+$A$63:$A$108*('Cálculos'!$D$290=3)*'Cálculos'!$D$103)+'Cálculos'!$D$206)*('Cálculos'!$D$212+'Cálculos'!$D$124*(1+2.78*('Cálculos'!$D$196+(($C79)-$A$63:$A$108)*'Cálculos'!$D$98)/(('Cálculos'!$D$196+(($C79)-$A$63:$A$108)*'Cálculos'!$D$98)+1400)+'Cálculos'!$D$122)*'Cálculos'!$D$217+'Cálculos'!$D$125*(1+2.78*('Cálculos'!$D$196+(($C79)-$A$63:$A$108)*'Cálculos'!$D$98)/(('Cálculos'!$D$196+(($C79)-$A$63:$A$108)*'Cálculos'!$D$98)+1400)+'Cálculos'!$D$123)*'Cálculos'!$D$222)+('Cálculos'!$D$213+'Cálculos'!$D$124*(1+2.78*('Cálculos'!$D$196+(($C79)-$A$63:$A$108)*'Cálculos'!$D$98)/(('Cálculos'!$D$196+(($C79)-$A$63:$A$108)*'Cálculos'!$D$98)+1400)+'Cálculos'!$D$122)*'Cálculos'!$D$218+'Cálculos'!$D$125*(1+2.78*('Cálculos'!$D$196+(($C79)-$A$63:$A$108)*'Cálculos'!$D$98)/(('Cálculos'!$D$196+(($C79)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79)-$A$63:$A$108)*'Cálculos'!$D$98)/(('Cálculos'!$D$197+(($C79)-$A$63:$A$108)*'Cálculos'!$D$98)+1400)+'Cálculos'!$D$122)*'Cálculos'!$D$229+'Cálculos'!$D$125*(1+2.78*('Cálculos'!$D$197+(($C79)-$A$63:$A$108)*'Cálculos'!$D$98)/(('Cálculos'!$D$197+(($C79)-$A$63:$A$108)*'Cálculos'!$D$98)+1400)+'Cálculos'!$D$123)*'Cálculos'!$D$234)+('Cálculos'!$D$197+(($C79)-$A$63:$A$108)*'Cálculos'!$D$98)*('Cálculos'!$D$225+'Cálculos'!$D$124*(1+2.78*('Cálculos'!$D$197+(($C79)-$A$63:$A$108)*'Cálculos'!$D$98)/(('Cálculos'!$D$197+(($C79)-$A$63:$A$108)*'Cálculos'!$D$98)+1400)+'Cálculos'!$D$122)*'Cálculos'!$D$230+'Cálculos'!$D$125*(1+2.78*('Cálculos'!$D$197+(($C79)-$A$63:$A$108)*'Cálculos'!$D$98)/(('Cálculos'!$D$197+(($C79)-$A$63:$A$108)*'Cálculos'!$D$98)+1400)+'Cálculos'!$D$123)*'Cálculos'!$D$235)+('Cálculos'!$D$201*(1+'Cálculos'!$D$202+$A$63:$A$108*('Cálculos'!$D$290=2)*'Cálculos'!$D$101)+'Cálculos'!$D$203)*('Cálculos'!$D$226+'Cálculos'!$D$124*(1+2.78*('Cálculos'!$D$197+(($C79)-$A$63:$A$108)*'Cálculos'!$D$98)/(('Cálculos'!$D$197+(($C79)-$A$63:$A$108)*'Cálculos'!$D$98)+1400)+'Cálculos'!$D$122)*'Cálculos'!$D$231+'Cálculos'!$D$125*(1+2.78*('Cálculos'!$D$197+(($C79)-$A$63:$A$108)*'Cálculos'!$D$98)/(('Cálculos'!$D$197+(($C79)-$A$63:$A$108)*'Cálculos'!$D$98)+1400)+'Cálculos'!$D$123)*'Cálculos'!$D$236)+('Cálculos'!$D$204*(1+'Cálculos'!$D$205+$A$63:$A$108*('Cálculos'!$D$290=3)*'Cálculos'!$D$103)+'Cálculos'!$D$206)*('Cálculos'!$D$227+'Cálculos'!$D$124*(1+2.78*('Cálculos'!$D$197+(($C79)-$A$63:$A$108)*'Cálculos'!$D$98)/(('Cálculos'!$D$197+(($C79)-$A$63:$A$108)*'Cálculos'!$D$98)+1400)+'Cálculos'!$D$122)*'Cálculos'!$D$232+'Cálculos'!$D$125*(1+2.78*('Cálculos'!$D$197+(($C79)-$A$63:$A$108)*'Cálculos'!$D$98)/(('Cálculos'!$D$197+(($C79)-$A$63:$A$108)*'Cálculos'!$D$98)+1400)+'Cálculos'!$D$123)*'Cálculos'!$D$237)+('Cálculos'!$D$228+'Cálculos'!$D$124*(1+2.78*('Cálculos'!$D$197+(($C79)-$A$63:$A$108)*'Cálculos'!$D$98)/(('Cálculos'!$D$197+(($C79)-$A$63:$A$108)*'Cálculos'!$D$98)+1400)+'Cálculos'!$D$122)*'Cálculos'!$D$233+'Cálculos'!$D$125*(1+2.78*('Cálculos'!$D$197+(($C79)-$A$63:$A$108)*'Cálculos'!$D$98)/(('Cálculos'!$D$197+(($C79)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79)-$A$63:$A$108)*'Cálculos'!$D$98)/(('Cálculos'!$D$198+(($C79)-$A$63:$A$108)*'Cálculos'!$D$98)+1400)+'Cálculos'!$D$122)*'Cálculos'!$D$244+'Cálculos'!$D$125*(1+2.78*('Cálculos'!$D$198+(($C79)-$A$63:$A$108)*'Cálculos'!$D$98)/(('Cálculos'!$D$198+(($C79)-$A$63:$A$108)*'Cálculos'!$D$98)+1400)+'Cálculos'!$D$123)*'Cálculos'!$D$249)+('Cálculos'!$D$198+(($C79)-$A$63:$A$108)*'Cálculos'!$D$98)*('Cálculos'!$D$240+'Cálculos'!$D$124*(1+2.78*('Cálculos'!$D$198+(($C79)-$A$63:$A$108)*'Cálculos'!$D$98)/(('Cálculos'!$D$198+(($C79)-$A$63:$A$108)*'Cálculos'!$D$98)+1400)+'Cálculos'!$D$122)*'Cálculos'!$D$245+'Cálculos'!$D$125*(1+2.78*('Cálculos'!$D$198+(($C79)-$A$63:$A$108)*'Cálculos'!$D$98)/(('Cálculos'!$D$198+(($C79)-$A$63:$A$108)*'Cálculos'!$D$98)+1400)+'Cálculos'!$D$123)*'Cálculos'!$D$250)+('Cálculos'!$D$201*(1+'Cálculos'!$D$202+$A$63:$A$108*('Cálculos'!$D$290=2)*'Cálculos'!$D$101)+'Cálculos'!$D$203)*('Cálculos'!$D$241+'Cálculos'!$D$124*(1+2.78*('Cálculos'!$D$198+(($C79)-$A$63:$A$108)*'Cálculos'!$D$98)/(('Cálculos'!$D$198+(($C79)-$A$63:$A$108)*'Cálculos'!$D$98)+1400)+'Cálculos'!$D$122)*'Cálculos'!$D$246+'Cálculos'!$D$125*(1+2.78*('Cálculos'!$D$198+(($C79)-$A$63:$A$108)*'Cálculos'!$D$98)/(('Cálculos'!$D$198+(($C79)-$A$63:$A$108)*'Cálculos'!$D$98)+1400)+'Cálculos'!$D$123)*'Cálculos'!$D$251)+('Cálculos'!$D$204*(1+'Cálculos'!$D$205+$A$63:$A$108*('Cálculos'!$D$290=3)*'Cálculos'!$D$103)+'Cálculos'!$D$206)*('Cálculos'!$D$242+'Cálculos'!$D$124*(1+2.78*('Cálculos'!$D$198+(($C79)-$A$63:$A$108)*'Cálculos'!$D$98)/(('Cálculos'!$D$198+(($C79)-$A$63:$A$108)*'Cálculos'!$D$98)+1400)+'Cálculos'!$D$122)*'Cálculos'!$D$247+'Cálculos'!$D$125*(1+2.78*('Cálculos'!$D$198+(($C79)-$A$63:$A$108)*'Cálculos'!$D$98)/(('Cálculos'!$D$198+(($C79)-$A$63:$A$108)*'Cálculos'!$D$98)+1400)+'Cálculos'!$D$123)*'Cálculos'!$D$252)+('Cálculos'!$D$243+'Cálculos'!$D$124*(1+2.78*('Cálculos'!$D$198+(($C79)-$A$63:$A$108)*'Cálculos'!$D$98)/(('Cálculos'!$D$198+(($C79)-$A$63:$A$108)*'Cálculos'!$D$98)+1400)+'Cálculos'!$D$122)*'Cálculos'!$D$248+'Cálculos'!$D$125*(1+2.78*('Cálculos'!$D$198+(($C79)-$A$63:$A$108)*'Cálculos'!$D$98)/(('Cálculos'!$D$198+(($C79)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79)-$A$63:$A$108)*'Cálculos'!$D$98)/(('Cálculos'!$D$199+(($C79)-$A$63:$A$108)*'Cálculos'!$D$98)+1400)+'Cálculos'!$D$122)*'Cálculos'!$D$259+'Cálculos'!$D$125*(1+2.78*('Cálculos'!$D$199+(($C79)-$A$63:$A$108)*'Cálculos'!$D$98)/(('Cálculos'!$D$199+(($C79)-$A$63:$A$108)*'Cálculos'!$D$98)+1400)+'Cálculos'!$D$123)*'Cálculos'!$D$264)+('Cálculos'!$D$199+(($C79)-$A$63:$A$108)*'Cálculos'!$D$98)*('Cálculos'!$D$255+'Cálculos'!$D$124*(1+2.78*('Cálculos'!$D$199+(($C79)-$A$63:$A$108)*'Cálculos'!$D$98)/(('Cálculos'!$D$199+(($C79)-$A$63:$A$108)*'Cálculos'!$D$98)+1400)+'Cálculos'!$D$122)*'Cálculos'!$D$260+'Cálculos'!$D$125*(1+2.78*('Cálculos'!$D$199+(($C79)-$A$63:$A$108)*'Cálculos'!$D$98)/(('Cálculos'!$D$199+(($C79)-$A$63:$A$108)*'Cálculos'!$D$98)+1400)+'Cálculos'!$D$123)*'Cálculos'!$D$265)+('Cálculos'!$D$201*(1+'Cálculos'!$D$202+$A$63:$A$108*('Cálculos'!$D$290=2)*'Cálculos'!$D$101)+'Cálculos'!$D$203)*('Cálculos'!$D$256+'Cálculos'!$D$124*(1+2.78*('Cálculos'!$D$199+(($C79)-$A$63:$A$108)*'Cálculos'!$D$98)/(('Cálculos'!$D$199+(($C79)-$A$63:$A$108)*'Cálculos'!$D$98)+1400)+'Cálculos'!$D$122)*'Cálculos'!$D$261+'Cálculos'!$D$125*(1+2.78*('Cálculos'!$D$199+(($C79)-$A$63:$A$108)*'Cálculos'!$D$98)/(('Cálculos'!$D$199+(($C79)-$A$63:$A$108)*'Cálculos'!$D$98)+1400)+'Cálculos'!$D$123)*'Cálculos'!$D$266)+('Cálculos'!$D$204*(1+'Cálculos'!$D$205+$A$63:$A$108*('Cálculos'!$D$290=3)*'Cálculos'!$D$103)+'Cálculos'!$D$206)*('Cálculos'!$D$257+'Cálculos'!$D$124*(1+2.78*('Cálculos'!$D$199+(($C79)-$A$63:$A$108)*'Cálculos'!$D$98)/(('Cálculos'!$D$199+(($C79)-$A$63:$A$108)*'Cálculos'!$D$98)+1400)+'Cálculos'!$D$122)*'Cálculos'!$D$262+'Cálculos'!$D$125*(1+2.78*('Cálculos'!$D$199+(($C79)-$A$63:$A$108)*'Cálculos'!$D$98)/(('Cálculos'!$D$199+(($C79)-$A$63:$A$108)*'Cálculos'!$D$98)+1400)+'Cálculos'!$D$123)*'Cálculos'!$D$267)+('Cálculos'!$D$258+'Cálculos'!$D$124*(1+2.78*('Cálculos'!$D$199+(($C79)-$A$63:$A$108)*'Cálculos'!$D$98)/(('Cálculos'!$D$199+(($C79)-$A$63:$A$108)*'Cálculos'!$D$98)+1400)+'Cálculos'!$D$122)*'Cálculos'!$D$263+'Cálculos'!$D$125*(1+2.78*('Cálculos'!$D$199+(($C79)-$A$63:$A$108)*'Cálculos'!$D$98)/(('Cálculos'!$D$199+(($C79)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79)-$A$63:$A$108)*'Cálculos'!$D$98)/(('Cálculos'!$D$200+(($C79)-$A$63:$A$108)*'Cálculos'!$D$98)+1400)+'Cálculos'!$D$122)*'Cálculos'!$D$274+'Cálculos'!$D$125*(1+2.78*('Cálculos'!$D$200+(($C79)-$A$63:$A$108)*'Cálculos'!$D$98)/(('Cálculos'!$D$200+(($C79)-$A$63:$A$108)*'Cálculos'!$D$98)+1400)+'Cálculos'!$D$123)*'Cálculos'!$D$279)+('Cálculos'!$D$200+(($C79)-$A$63:$A$108)*'Cálculos'!$D$98)*('Cálculos'!$D$270+'Cálculos'!$D$124*(1+2.78*('Cálculos'!$D$200+(($C79)-$A$63:$A$108)*'Cálculos'!$D$98)/(('Cálculos'!$D$200+(($C79)-$A$63:$A$108)*'Cálculos'!$D$98)+1400)+'Cálculos'!$D$122)*'Cálculos'!$D$275+'Cálculos'!$D$125*(1+2.78*('Cálculos'!$D$200+(($C79)-$A$63:$A$108)*'Cálculos'!$D$98)/(('Cálculos'!$D$200+(($C79)-$A$63:$A$108)*'Cálculos'!$D$98)+1400)+'Cálculos'!$D$123)*'Cálculos'!$D$280)+('Cálculos'!$D$201*(1+'Cálculos'!$D$202+$A$63:$A$108*('Cálculos'!$D$290=2)*'Cálculos'!$D$101)+'Cálculos'!$D$203)*('Cálculos'!$D$271+'Cálculos'!$D$124*(1+2.78*('Cálculos'!$D$200+(($C79)-$A$63:$A$108)*'Cálculos'!$D$98)/(('Cálculos'!$D$200+(($C79)-$A$63:$A$108)*'Cálculos'!$D$98)+1400)+'Cálculos'!$D$122)*'Cálculos'!$D$276+'Cálculos'!$D$125*(1+2.78*('Cálculos'!$D$200+(($C79)-$A$63:$A$108)*'Cálculos'!$D$98)/(('Cálculos'!$D$200+(($C79)-$A$63:$A$108)*'Cálculos'!$D$98)+1400)+'Cálculos'!$D$123)*'Cálculos'!$D$281)+('Cálculos'!$D$204*(1+'Cálculos'!$D$205+$A$63:$A$108*('Cálculos'!$D$290=3)*'Cálculos'!$D$103)+'Cálculos'!$D$206)*('Cálculos'!$D$272+'Cálculos'!$D$124*(1+2.78*('Cálculos'!$D$200+(($C79)-$A$63:$A$108)*'Cálculos'!$D$98)/(('Cálculos'!$D$200+(($C79)-$A$63:$A$108)*'Cálculos'!$D$98)+1400)+'Cálculos'!$D$122)*'Cálculos'!$D$277+'Cálculos'!$D$125*(1+2.78*('Cálculos'!$D$200+(($C79)-$A$63:$A$108)*'Cálculos'!$D$98)/(('Cálculos'!$D$200+(($C79)-$A$63:$A$108)*'Cálculos'!$D$98)+1400)+'Cálculos'!$D$123)*'Cálculos'!$D$282)+('Cálculos'!$D$273+'Cálculos'!$D$124*(1+2.78*('Cálculos'!$D$200+(($C79)-$A$63:$A$108)*'Cálculos'!$D$98)/(('Cálculos'!$D$200+(($C79)-$A$63:$A$108)*'Cálculos'!$D$98)+1400)+'Cálculos'!$D$122)*'Cálculos'!$D$278+'Cálculos'!$D$125*(1+2.78*('Cálculos'!$D$200+(($C79)-$A$63:$A$108)*'Cálculos'!$D$98)/(('Cálculos'!$D$200+(($C79)-$A$63:$A$108)*'Cálculos'!$D$98)+1400)+'Cálculos'!$D$123)*'Cálculos'!$D$283)))))</f>
        <v>0</v>
      </c>
      <c r="E79" s="32">
        <f>IF(OR($C79&lt;0,'Cálculos'!$D$6=""),0,$B79*$D79)</f>
        <v>0</v>
      </c>
      <c r="F79" s="2"/>
      <c r="G79" s="30">
        <f>($A79&lt;=$B$110)*($A79&lt;='Cálculos'!$D$294)*(($B$110)-$A79&lt;='Cálculos'!$D$295)*(1+MIN(('Cálculos'!$D$207+$A79*'Cálculos'!$D$95),1)*('Cálculos'!$D$208+(($B$110)-$A79)*'Cálculos'!$D$96))</f>
        <v>0</v>
      </c>
      <c r="H79" s="31">
        <f>IF($B$111&lt;0,0,($A79&lt;=$B$111)*($A79&lt;='Cálculos'!$D$301)*(($B$111)-$A79&lt;='Cálculos'!$D$297)*(('Cálculos'!$D$185*(1+'Cálculos'!$D$186+$A79*('Cálculos'!$D$290=1)*'Cálculos'!$D$97+'Cálculos'!$D$305)+'Cálculos'!$D$191)*('Cálculos'!$D$209+'Cálculos'!$D$124*(1+2.78*('Cálculos'!$D$196+(($B$111)-$A79)*'Cálculos'!$D$98)/(('Cálculos'!$D$196+(($B$111)-$A79)*'Cálculos'!$D$98)+1400)+'Cálculos'!$D$122)*'Cálculos'!$D$214+'Cálculos'!$D$125*(1+2.78*('Cálculos'!$D$196+(($B$111)-$A79)*'Cálculos'!$D$98)/(('Cálculos'!$D$196+(($B$111)-$A79)*'Cálculos'!$D$98)+1400)+'Cálculos'!$D$123)*'Cálculos'!$D$219)+('Cálculos'!$D$196+(($B$111)-$A79)*'Cálculos'!$D$98)*('Cálculos'!$D$210+'Cálculos'!$D$124*(1+2.78*('Cálculos'!$D$196+(($B$111)-$A79)*'Cálculos'!$D$98)/(('Cálculos'!$D$196+(($B$111)-$A79)*'Cálculos'!$D$98)+1400)+'Cálculos'!$D$122)*'Cálculos'!$D$215+'Cálculos'!$D$125*(1+2.78*('Cálculos'!$D$196+(($B$111)-$A79)*'Cálculos'!$D$98)/(('Cálculos'!$D$196+(($B$111)-$A79)*'Cálculos'!$D$98)+1400)+'Cálculos'!$D$123)*'Cálculos'!$D$220)+('Cálculos'!$D$201*(1+'Cálculos'!$D$202+$A79*('Cálculos'!$D$290=2)*'Cálculos'!$D$101)+'Cálculos'!$D$203)*('Cálculos'!$D$211+'Cálculos'!$D$124*(1+2.78*('Cálculos'!$D$196+(($B$111)-$A79)*'Cálculos'!$D$98)/(('Cálculos'!$D$196+(($B$111)-$A79)*'Cálculos'!$D$98)+1400)+'Cálculos'!$D$122)*'Cálculos'!$D$216+'Cálculos'!$D$125*(1+2.78*('Cálculos'!$D$196+(($B$111)-$A79)*'Cálculos'!$D$98)/(('Cálculos'!$D$196+(($B$111)-$A79)*'Cálculos'!$D$98)+1400)+'Cálculos'!$D$123)*'Cálculos'!$D$221)+('Cálculos'!$D$204*(1+'Cálculos'!$D$205+$A79*('Cálculos'!$D$290=3)*'Cálculos'!$D$103)+'Cálculos'!$D$206)*('Cálculos'!$D$212+'Cálculos'!$D$124*(1+2.78*('Cálculos'!$D$196+(($B$111)-$A79)*'Cálculos'!$D$98)/(('Cálculos'!$D$196+(($B$111)-$A79)*'Cálculos'!$D$98)+1400)+'Cálculos'!$D$122)*'Cálculos'!$D$217+'Cálculos'!$D$125*(1+2.78*('Cálculos'!$D$196+(($B$111)-$A79)*'Cálculos'!$D$98)/(('Cálculos'!$D$196+(($B$111)-$A79)*'Cálculos'!$D$98)+1400)+'Cálculos'!$D$123)*'Cálculos'!$D$222)+('Cálculos'!$D$213+'Cálculos'!$D$124*(1+2.78*('Cálculos'!$D$196+(($B$111)-$A79)*'Cálculos'!$D$98)/(('Cálculos'!$D$196+(($B$111)-$A79)*'Cálculos'!$D$98)+1400)+'Cálculos'!$D$122)*'Cálculos'!$D$218+'Cálculos'!$D$125*(1+2.78*('Cálculos'!$D$196+(($B$111)-$A79)*'Cálculos'!$D$98)/(('Cálculos'!$D$196+(($B$111)-$A79)*'Cálculos'!$D$98)+1400)+'Cálculos'!$D$123)*'Cálculos'!$D$223)+('Cálculos'!$D$185*(1+'Cálculos'!$D$187+$A79*('Cálculos'!$D$290=1)*'Cálculos'!$D$97+'Cálculos'!$D$305)+'Cálculos'!$D$192)*('Cálculos'!$D$224+'Cálculos'!$D$124*(1+2.78*('Cálculos'!$D$197+(($B$111)-$A79)*'Cálculos'!$D$98)/(('Cálculos'!$D$197+(($B$111)-$A79)*'Cálculos'!$D$98)+1400)+'Cálculos'!$D$122)*'Cálculos'!$D$229+'Cálculos'!$D$125*(1+2.78*('Cálculos'!$D$197+(($B$111)-$A79)*'Cálculos'!$D$98)/(('Cálculos'!$D$197+(($B$111)-$A79)*'Cálculos'!$D$98)+1400)+'Cálculos'!$D$123)*'Cálculos'!$D$234)+('Cálculos'!$D$197+(($B$111)-$A79)*'Cálculos'!$D$98)*('Cálculos'!$D$225+'Cálculos'!$D$124*(1+2.78*('Cálculos'!$D$197+(($B$111)-$A79)*'Cálculos'!$D$98)/(('Cálculos'!$D$197+(($B$111)-$A79)*'Cálculos'!$D$98)+1400)+'Cálculos'!$D$122)*'Cálculos'!$D$230+'Cálculos'!$D$125*(1+2.78*('Cálculos'!$D$197+(($B$111)-$A79)*'Cálculos'!$D$98)/(('Cálculos'!$D$197+(($B$111)-$A79)*'Cálculos'!$D$98)+1400)+'Cálculos'!$D$123)*'Cálculos'!$D$235)+('Cálculos'!$D$201*(1+'Cálculos'!$D$202+$A79*('Cálculos'!$D$290=2)*'Cálculos'!$D$101)+'Cálculos'!$D$203)*('Cálculos'!$D$226+'Cálculos'!$D$124*(1+2.78*('Cálculos'!$D$197+(($B$111)-$A79)*'Cálculos'!$D$98)/(('Cálculos'!$D$197+(($B$111)-$A79)*'Cálculos'!$D$98)+1400)+'Cálculos'!$D$122)*'Cálculos'!$D$231+'Cálculos'!$D$125*(1+2.78*('Cálculos'!$D$197+(($B$111)-$A79)*'Cálculos'!$D$98)/(('Cálculos'!$D$197+(($B$111)-$A79)*'Cálculos'!$D$98)+1400)+'Cálculos'!$D$123)*'Cálculos'!$D$236)+('Cálculos'!$D$204*(1+'Cálculos'!$D$205+$A79*('Cálculos'!$D$290=3)*'Cálculos'!$D$103)+'Cálculos'!$D$206)*('Cálculos'!$D$227+'Cálculos'!$D$124*(1+2.78*('Cálculos'!$D$197+(($B$111)-$A79)*'Cálculos'!$D$98)/(('Cálculos'!$D$197+(($B$111)-$A79)*'Cálculos'!$D$98)+1400)+'Cálculos'!$D$122)*'Cálculos'!$D$232+'Cálculos'!$D$125*(1+2.78*('Cálculos'!$D$197+(($B$111)-$A79)*'Cálculos'!$D$98)/(('Cálculos'!$D$197+(($B$111)-$A79)*'Cálculos'!$D$98)+1400)+'Cálculos'!$D$123)*'Cálculos'!$D$237)+('Cálculos'!$D$228+'Cálculos'!$D$124*(1+2.78*('Cálculos'!$D$197+(($B$111)-$A79)*'Cálculos'!$D$98)/(('Cálculos'!$D$197+(($B$111)-$A79)*'Cálculos'!$D$98)+1400)+'Cálculos'!$D$122)*'Cálculos'!$D$233+'Cálculos'!$D$125*(1+2.78*('Cálculos'!$D$197+(($B$111)-$A79)*'Cálculos'!$D$98)/(('Cálculos'!$D$197+(($B$111)-$A79)*'Cálculos'!$D$98)+1400)+'Cálculos'!$D$123)*'Cálculos'!$D$238)+('Cálculos'!$D$185*(1+'Cálculos'!$D$188+$A79*('Cálculos'!$D$290=1)*'Cálculos'!$D$97+'Cálculos'!$D$305)+'Cálculos'!$D$193)*('Cálculos'!$D$239+'Cálculos'!$D$124*(1+2.78*('Cálculos'!$D$198+(($B$111)-$A79)*'Cálculos'!$D$98)/(('Cálculos'!$D$198+(($B$111)-$A79)*'Cálculos'!$D$98)+1400)+'Cálculos'!$D$122)*'Cálculos'!$D$244+'Cálculos'!$D$125*(1+2.78*('Cálculos'!$D$198+(($B$111)-$A79)*'Cálculos'!$D$98)/(('Cálculos'!$D$198+(($B$111)-$A79)*'Cálculos'!$D$98)+1400)+'Cálculos'!$D$123)*'Cálculos'!$D$249)+('Cálculos'!$D$198+(($B$111)-$A79)*'Cálculos'!$D$98)*('Cálculos'!$D$240+'Cálculos'!$D$124*(1+2.78*('Cálculos'!$D$198+(($B$111)-$A79)*'Cálculos'!$D$98)/(('Cálculos'!$D$198+(($B$111)-$A79)*'Cálculos'!$D$98)+1400)+'Cálculos'!$D$122)*'Cálculos'!$D$245+'Cálculos'!$D$125*(1+2.78*('Cálculos'!$D$198+(($B$111)-$A79)*'Cálculos'!$D$98)/(('Cálculos'!$D$198+(($B$111)-$A79)*'Cálculos'!$D$98)+1400)+'Cálculos'!$D$123)*'Cálculos'!$D$250)+('Cálculos'!$D$201*(1+'Cálculos'!$D$202+$A79*('Cálculos'!$D$290=2)*'Cálculos'!$D$101)+'Cálculos'!$D$203)*('Cálculos'!$D$241+'Cálculos'!$D$124*(1+2.78*('Cálculos'!$D$198+(($B$111)-$A79)*'Cálculos'!$D$98)/(('Cálculos'!$D$198+(($B$111)-$A79)*'Cálculos'!$D$98)+1400)+'Cálculos'!$D$122)*'Cálculos'!$D$246+'Cálculos'!$D$125*(1+2.78*('Cálculos'!$D$198+(($B$111)-$A79)*'Cálculos'!$D$98)/(('Cálculos'!$D$198+(($B$111)-$A79)*'Cálculos'!$D$98)+1400)+'Cálculos'!$D$123)*'Cálculos'!$D$251)+('Cálculos'!$D$204*(1+'Cálculos'!$D$205+$A79*('Cálculos'!$D$290=3)*'Cálculos'!$D$103)+'Cálculos'!$D$206)*('Cálculos'!$D$242+'Cálculos'!$D$124*(1+2.78*('Cálculos'!$D$198+(($B$111)-$A79)*'Cálculos'!$D$98)/(('Cálculos'!$D$198+(($B$111)-$A79)*'Cálculos'!$D$98)+1400)+'Cálculos'!$D$122)*'Cálculos'!$D$247+'Cálculos'!$D$125*(1+2.78*('Cálculos'!$D$198+(($B$111)-$A79)*'Cálculos'!$D$98)/(('Cálculos'!$D$198+(($B$111)-$A79)*'Cálculos'!$D$98)+1400)+'Cálculos'!$D$123)*'Cálculos'!$D$252)+('Cálculos'!$D$243+'Cálculos'!$D$124*(1+2.78*('Cálculos'!$D$198+(($B$111)-$A79)*'Cálculos'!$D$98)/(('Cálculos'!$D$198+(($B$111)-$A79)*'Cálculos'!$D$98)+1400)+'Cálculos'!$D$122)*'Cálculos'!$D$248+'Cálculos'!$D$125*(1+2.78*('Cálculos'!$D$198+(($B$111)-$A79)*'Cálculos'!$D$98)/(('Cálculos'!$D$198+(($B$111)-$A79)*'Cálculos'!$D$98)+1400)+'Cálculos'!$D$123)*'Cálculos'!$D$253)+('Cálculos'!$D$185*(1+'Cálculos'!$D$189+$A79*('Cálculos'!$D$290=1)*'Cálculos'!$D$97+'Cálculos'!$D$305)+'Cálculos'!$D$194)*('Cálculos'!$D$254+'Cálculos'!$D$124*(1+2.78*('Cálculos'!$D$199+(($B$111)-$A79)*'Cálculos'!$D$98)/(('Cálculos'!$D$199+(($B$111)-$A79)*'Cálculos'!$D$98)+1400)+'Cálculos'!$D$122)*'Cálculos'!$D$259+'Cálculos'!$D$125*(1+2.78*('Cálculos'!$D$199+(($B$111)-$A79)*'Cálculos'!$D$98)/(('Cálculos'!$D$199+(($B$111)-$A79)*'Cálculos'!$D$98)+1400)+'Cálculos'!$D$123)*'Cálculos'!$D$264)+('Cálculos'!$D$199+(($B$111)-$A79)*'Cálculos'!$D$98)*('Cálculos'!$D$255+'Cálculos'!$D$124*(1+2.78*('Cálculos'!$D$199+(($B$111)-$A79)*'Cálculos'!$D$98)/(('Cálculos'!$D$199+(($B$111)-$A79)*'Cálculos'!$D$98)+1400)+'Cálculos'!$D$122)*'Cálculos'!$D$260+'Cálculos'!$D$125*(1+2.78*('Cálculos'!$D$199+(($B$111)-$A79)*'Cálculos'!$D$98)/(('Cálculos'!$D$199+(($B$111)-$A79)*'Cálculos'!$D$98)+1400)+'Cálculos'!$D$123)*'Cálculos'!$D$265)+('Cálculos'!$D$201*(1+'Cálculos'!$D$202+$A79*('Cálculos'!$D$290=2)*'Cálculos'!$D$101)+'Cálculos'!$D$203)*('Cálculos'!$D$256+'Cálculos'!$D$124*(1+2.78*('Cálculos'!$D$199+(($B$111)-$A79)*'Cálculos'!$D$98)/(('Cálculos'!$D$199+(($B$111)-$A79)*'Cálculos'!$D$98)+1400)+'Cálculos'!$D$122)*'Cálculos'!$D$261+'Cálculos'!$D$125*(1+2.78*('Cálculos'!$D$199+(($B$111)-$A79)*'Cálculos'!$D$98)/(('Cálculos'!$D$199+(($B$111)-$A79)*'Cálculos'!$D$98)+1400)+'Cálculos'!$D$123)*'Cálculos'!$D$266)+('Cálculos'!$D$204*(1+'Cálculos'!$D$205+$A79*('Cálculos'!$D$290=3)*'Cálculos'!$D$103)+'Cálculos'!$D$206)*('Cálculos'!$D$257+'Cálculos'!$D$124*(1+2.78*('Cálculos'!$D$199+(($B$111)-$A79)*'Cálculos'!$D$98)/(('Cálculos'!$D$199+(($B$111)-$A79)*'Cálculos'!$D$98)+1400)+'Cálculos'!$D$122)*'Cálculos'!$D$262+'Cálculos'!$D$125*(1+2.78*('Cálculos'!$D$199+(($B$111)-$A79)*'Cálculos'!$D$98)/(('Cálculos'!$D$199+(($B$111)-$A79)*'Cálculos'!$D$98)+1400)+'Cálculos'!$D$123)*'Cálculos'!$D$267)+('Cálculos'!$D$258+'Cálculos'!$D$124*(1+2.78*('Cálculos'!$D$199+(($B$111)-$A79)*'Cálculos'!$D$98)/(('Cálculos'!$D$199+(($B$111)-$A79)*'Cálculos'!$D$98)+1400)+'Cálculos'!$D$122)*'Cálculos'!$D$263+'Cálculos'!$D$125*(1+2.78*('Cálculos'!$D$199+(($B$111)-$A79)*'Cálculos'!$D$98)/(('Cálculos'!$D$199+(($B$111)-$A79)*'Cálculos'!$D$98)+1400)+'Cálculos'!$D$123)*'Cálculos'!$D$268)+('Cálculos'!$D$185*(1+'Cálculos'!$D$190+$A79*('Cálculos'!$D$290=1)*'Cálculos'!$D$97+'Cálculos'!$D$305)+'Cálculos'!$D$195)*('Cálculos'!$D$269+'Cálculos'!$D$124*(1+2.78*('Cálculos'!$D$200+(($B$111)-$A79)*'Cálculos'!$D$98)/(('Cálculos'!$D$200+(($B$111)-$A79)*'Cálculos'!$D$98)+1400)+'Cálculos'!$D$122)*'Cálculos'!$D$274+'Cálculos'!$D$125*(1+2.78*('Cálculos'!$D$200+(($B$111)-$A79)*'Cálculos'!$D$98)/(('Cálculos'!$D$200+(($B$111)-$A79)*'Cálculos'!$D$98)+1400)+'Cálculos'!$D$123)*'Cálculos'!$D$279)+('Cálculos'!$D$200+(($B$111)-$A79)*'Cálculos'!$D$98)*('Cálculos'!$D$270+'Cálculos'!$D$124*(1+2.78*('Cálculos'!$D$200+(($B$111)-$A79)*'Cálculos'!$D$98)/(('Cálculos'!$D$200+(($B$111)-$A79)*'Cálculos'!$D$98)+1400)+'Cálculos'!$D$122)*'Cálculos'!$D$275+'Cálculos'!$D$125*(1+2.78*('Cálculos'!$D$200+(($B$111)-$A79)*'Cálculos'!$D$98)/(('Cálculos'!$D$200+(($B$111)-$A79)*'Cálculos'!$D$98)+1400)+'Cálculos'!$D$123)*'Cálculos'!$D$280)+('Cálculos'!$D$201*(1+'Cálculos'!$D$202+$A79*('Cálculos'!$D$290=2)*'Cálculos'!$D$101)+'Cálculos'!$D$203)*('Cálculos'!$D$271+'Cálculos'!$D$124*(1+2.78*('Cálculos'!$D$200+(($B$111)-$A79)*'Cálculos'!$D$98)/(('Cálculos'!$D$200+(($B$111)-$A79)*'Cálculos'!$D$98)+1400)+'Cálculos'!$D$122)*'Cálculos'!$D$276+'Cálculos'!$D$125*(1+2.78*('Cálculos'!$D$200+(($B$111)-$A79)*'Cálculos'!$D$98)/(('Cálculos'!$D$200+(($B$111)-$A79)*'Cálculos'!$D$98)+1400)+'Cálculos'!$D$123)*'Cálculos'!$D$281)+('Cálculos'!$D$204*(1+'Cálculos'!$D$205+$A79*('Cálculos'!$D$290=3)*'Cálculos'!$D$103)+'Cálculos'!$D$206)*('Cálculos'!$D$272+'Cálculos'!$D$124*(1+2.78*('Cálculos'!$D$200+(($B$111)-$A79)*'Cálculos'!$D$98)/(('Cálculos'!$D$200+(($B$111)-$A79)*'Cálculos'!$D$98)+1400)+'Cálculos'!$D$122)*'Cálculos'!$D$277+'Cálculos'!$D$125*(1+2.78*('Cálculos'!$D$200+(($B$111)-$A79)*'Cálculos'!$D$98)/(('Cálculos'!$D$200+(($B$111)-$A79)*'Cálculos'!$D$98)+1400)+'Cálculos'!$D$123)*'Cálculos'!$D$282)+('Cálculos'!$D$273+'Cálculos'!$D$124*(1+2.78*('Cálculos'!$D$200+(($B$111)-$A79)*'Cálculos'!$D$98)/(('Cálculos'!$D$200+(($B$111)-$A79)*'Cálculos'!$D$98)+1400)+'Cálculos'!$D$122)*'Cálculos'!$D$278+'Cálculos'!$D$125*(1+2.78*('Cálculos'!$D$200+(($B$111)-$A79)*'Cálculos'!$D$98)/(('Cálculos'!$D$200+(($B$111)-$A79)*'Cálculos'!$D$98)+1400)+'Cálculos'!$D$123)*'Cálculos'!$D$283)))</f>
        <v>0</v>
      </c>
    </row>
    <row r="80" ht="15.75" customHeight="1">
      <c r="A80" s="2">
        <v>17.0</v>
      </c>
      <c r="B80" s="30">
        <f>SUMPRODUCT(MAX(($A$63:$A$108&lt;=$A80)*($A$63:$A$108&lt;='Cálculos'!$D$294)*(($A80)-$A$63:$A$108&lt;='Cálculos'!$D$295)*(1+(('Cálculos'!$D$207+$A$63:$A$108*'Cálculos'!$D$95)-(('Cálculos'!$D$207+$A$63:$A$108*'Cálculos'!$D$95)&gt;1)*(('Cálculos'!$D$207+$A$63:$A$108*'Cálculos'!$D$95)-1))*('Cálculos'!$D$208+(($A80)-$A$63:$A$108)*'Cálculos'!$D$96))))</f>
        <v>1.627787035</v>
      </c>
      <c r="C80" s="2">
        <f>'Cálculos'!$D$303-$A80</f>
        <v>-6</v>
      </c>
      <c r="D80" s="31">
        <f>IF($C80&lt;0,0,SUMPRODUCT(MAX(($A$63:$A$108&lt;=$C80)*($A$63:$A$108&lt;='Cálculos'!$D$301)*(($C80)-$A$63:$A$108&lt;='Cálculos'!$D$297)*(('Cálculos'!$D$185*(1+'Cálculos'!$D$186+$A$63:$A$108*('Cálculos'!$D$290=1)*'Cálculos'!$D$97+'Cálculos'!$D$305)+'Cálculos'!$D$191)*('Cálculos'!$D$209+'Cálculos'!$D$124*(1+2.78*('Cálculos'!$D$196+(($C80)-$A$63:$A$108)*'Cálculos'!$D$98)/(('Cálculos'!$D$196+(($C80)-$A$63:$A$108)*'Cálculos'!$D$98)+1400)+'Cálculos'!$D$122)*'Cálculos'!$D$214+'Cálculos'!$D$125*(1+2.78*('Cálculos'!$D$196+(($C80)-$A$63:$A$108)*'Cálculos'!$D$98)/(('Cálculos'!$D$196+(($C80)-$A$63:$A$108)*'Cálculos'!$D$98)+1400)+'Cálculos'!$D$123)*'Cálculos'!$D$219)+('Cálculos'!$D$196+(($C80)-$A$63:$A$108)*'Cálculos'!$D$98)*('Cálculos'!$D$210+'Cálculos'!$D$124*(1+2.78*('Cálculos'!$D$196+(($C80)-$A$63:$A$108)*'Cálculos'!$D$98)/(('Cálculos'!$D$196+(($C80)-$A$63:$A$108)*'Cálculos'!$D$98)+1400)+'Cálculos'!$D$122)*'Cálculos'!$D$215+'Cálculos'!$D$125*(1+2.78*('Cálculos'!$D$196+(($C80)-$A$63:$A$108)*'Cálculos'!$D$98)/(('Cálculos'!$D$196+(($C80)-$A$63:$A$108)*'Cálculos'!$D$98)+1400)+'Cálculos'!$D$123)*'Cálculos'!$D$220)+('Cálculos'!$D$201*(1+'Cálculos'!$D$202+$A$63:$A$108*('Cálculos'!$D$290=2)*'Cálculos'!$D$101)+'Cálculos'!$D$203)*('Cálculos'!$D$211+'Cálculos'!$D$124*(1+2.78*('Cálculos'!$D$196+(($C80)-$A$63:$A$108)*'Cálculos'!$D$98)/(('Cálculos'!$D$196+(($C80)-$A$63:$A$108)*'Cálculos'!$D$98)+1400)+'Cálculos'!$D$122)*'Cálculos'!$D$216+'Cálculos'!$D$125*(1+2.78*('Cálculos'!$D$196+(($C80)-$A$63:$A$108)*'Cálculos'!$D$98)/(('Cálculos'!$D$196+(($C80)-$A$63:$A$108)*'Cálculos'!$D$98)+1400)+'Cálculos'!$D$123)*'Cálculos'!$D$221)+('Cálculos'!$D$204*(1+'Cálculos'!$D$205+$A$63:$A$108*('Cálculos'!$D$290=3)*'Cálculos'!$D$103)+'Cálculos'!$D$206)*('Cálculos'!$D$212+'Cálculos'!$D$124*(1+2.78*('Cálculos'!$D$196+(($C80)-$A$63:$A$108)*'Cálculos'!$D$98)/(('Cálculos'!$D$196+(($C80)-$A$63:$A$108)*'Cálculos'!$D$98)+1400)+'Cálculos'!$D$122)*'Cálculos'!$D$217+'Cálculos'!$D$125*(1+2.78*('Cálculos'!$D$196+(($C80)-$A$63:$A$108)*'Cálculos'!$D$98)/(('Cálculos'!$D$196+(($C80)-$A$63:$A$108)*'Cálculos'!$D$98)+1400)+'Cálculos'!$D$123)*'Cálculos'!$D$222)+('Cálculos'!$D$213+'Cálculos'!$D$124*(1+2.78*('Cálculos'!$D$196+(($C80)-$A$63:$A$108)*'Cálculos'!$D$98)/(('Cálculos'!$D$196+(($C80)-$A$63:$A$108)*'Cálculos'!$D$98)+1400)+'Cálculos'!$D$122)*'Cálculos'!$D$218+'Cálculos'!$D$125*(1+2.78*('Cálculos'!$D$196+(($C80)-$A$63:$A$108)*'Cálculos'!$D$98)/(('Cálculos'!$D$196+(($C80)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80)-$A$63:$A$108)*'Cálculos'!$D$98)/(('Cálculos'!$D$197+(($C80)-$A$63:$A$108)*'Cálculos'!$D$98)+1400)+'Cálculos'!$D$122)*'Cálculos'!$D$229+'Cálculos'!$D$125*(1+2.78*('Cálculos'!$D$197+(($C80)-$A$63:$A$108)*'Cálculos'!$D$98)/(('Cálculos'!$D$197+(($C80)-$A$63:$A$108)*'Cálculos'!$D$98)+1400)+'Cálculos'!$D$123)*'Cálculos'!$D$234)+('Cálculos'!$D$197+(($C80)-$A$63:$A$108)*'Cálculos'!$D$98)*('Cálculos'!$D$225+'Cálculos'!$D$124*(1+2.78*('Cálculos'!$D$197+(($C80)-$A$63:$A$108)*'Cálculos'!$D$98)/(('Cálculos'!$D$197+(($C80)-$A$63:$A$108)*'Cálculos'!$D$98)+1400)+'Cálculos'!$D$122)*'Cálculos'!$D$230+'Cálculos'!$D$125*(1+2.78*('Cálculos'!$D$197+(($C80)-$A$63:$A$108)*'Cálculos'!$D$98)/(('Cálculos'!$D$197+(($C80)-$A$63:$A$108)*'Cálculos'!$D$98)+1400)+'Cálculos'!$D$123)*'Cálculos'!$D$235)+('Cálculos'!$D$201*(1+'Cálculos'!$D$202+$A$63:$A$108*('Cálculos'!$D$290=2)*'Cálculos'!$D$101)+'Cálculos'!$D$203)*('Cálculos'!$D$226+'Cálculos'!$D$124*(1+2.78*('Cálculos'!$D$197+(($C80)-$A$63:$A$108)*'Cálculos'!$D$98)/(('Cálculos'!$D$197+(($C80)-$A$63:$A$108)*'Cálculos'!$D$98)+1400)+'Cálculos'!$D$122)*'Cálculos'!$D$231+'Cálculos'!$D$125*(1+2.78*('Cálculos'!$D$197+(($C80)-$A$63:$A$108)*'Cálculos'!$D$98)/(('Cálculos'!$D$197+(($C80)-$A$63:$A$108)*'Cálculos'!$D$98)+1400)+'Cálculos'!$D$123)*'Cálculos'!$D$236)+('Cálculos'!$D$204*(1+'Cálculos'!$D$205+$A$63:$A$108*('Cálculos'!$D$290=3)*'Cálculos'!$D$103)+'Cálculos'!$D$206)*('Cálculos'!$D$227+'Cálculos'!$D$124*(1+2.78*('Cálculos'!$D$197+(($C80)-$A$63:$A$108)*'Cálculos'!$D$98)/(('Cálculos'!$D$197+(($C80)-$A$63:$A$108)*'Cálculos'!$D$98)+1400)+'Cálculos'!$D$122)*'Cálculos'!$D$232+'Cálculos'!$D$125*(1+2.78*('Cálculos'!$D$197+(($C80)-$A$63:$A$108)*'Cálculos'!$D$98)/(('Cálculos'!$D$197+(($C80)-$A$63:$A$108)*'Cálculos'!$D$98)+1400)+'Cálculos'!$D$123)*'Cálculos'!$D$237)+('Cálculos'!$D$228+'Cálculos'!$D$124*(1+2.78*('Cálculos'!$D$197+(($C80)-$A$63:$A$108)*'Cálculos'!$D$98)/(('Cálculos'!$D$197+(($C80)-$A$63:$A$108)*'Cálculos'!$D$98)+1400)+'Cálculos'!$D$122)*'Cálculos'!$D$233+'Cálculos'!$D$125*(1+2.78*('Cálculos'!$D$197+(($C80)-$A$63:$A$108)*'Cálculos'!$D$98)/(('Cálculos'!$D$197+(($C80)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80)-$A$63:$A$108)*'Cálculos'!$D$98)/(('Cálculos'!$D$198+(($C80)-$A$63:$A$108)*'Cálculos'!$D$98)+1400)+'Cálculos'!$D$122)*'Cálculos'!$D$244+'Cálculos'!$D$125*(1+2.78*('Cálculos'!$D$198+(($C80)-$A$63:$A$108)*'Cálculos'!$D$98)/(('Cálculos'!$D$198+(($C80)-$A$63:$A$108)*'Cálculos'!$D$98)+1400)+'Cálculos'!$D$123)*'Cálculos'!$D$249)+('Cálculos'!$D$198+(($C80)-$A$63:$A$108)*'Cálculos'!$D$98)*('Cálculos'!$D$240+'Cálculos'!$D$124*(1+2.78*('Cálculos'!$D$198+(($C80)-$A$63:$A$108)*'Cálculos'!$D$98)/(('Cálculos'!$D$198+(($C80)-$A$63:$A$108)*'Cálculos'!$D$98)+1400)+'Cálculos'!$D$122)*'Cálculos'!$D$245+'Cálculos'!$D$125*(1+2.78*('Cálculos'!$D$198+(($C80)-$A$63:$A$108)*'Cálculos'!$D$98)/(('Cálculos'!$D$198+(($C80)-$A$63:$A$108)*'Cálculos'!$D$98)+1400)+'Cálculos'!$D$123)*'Cálculos'!$D$250)+('Cálculos'!$D$201*(1+'Cálculos'!$D$202+$A$63:$A$108*('Cálculos'!$D$290=2)*'Cálculos'!$D$101)+'Cálculos'!$D$203)*('Cálculos'!$D$241+'Cálculos'!$D$124*(1+2.78*('Cálculos'!$D$198+(($C80)-$A$63:$A$108)*'Cálculos'!$D$98)/(('Cálculos'!$D$198+(($C80)-$A$63:$A$108)*'Cálculos'!$D$98)+1400)+'Cálculos'!$D$122)*'Cálculos'!$D$246+'Cálculos'!$D$125*(1+2.78*('Cálculos'!$D$198+(($C80)-$A$63:$A$108)*'Cálculos'!$D$98)/(('Cálculos'!$D$198+(($C80)-$A$63:$A$108)*'Cálculos'!$D$98)+1400)+'Cálculos'!$D$123)*'Cálculos'!$D$251)+('Cálculos'!$D$204*(1+'Cálculos'!$D$205+$A$63:$A$108*('Cálculos'!$D$290=3)*'Cálculos'!$D$103)+'Cálculos'!$D$206)*('Cálculos'!$D$242+'Cálculos'!$D$124*(1+2.78*('Cálculos'!$D$198+(($C80)-$A$63:$A$108)*'Cálculos'!$D$98)/(('Cálculos'!$D$198+(($C80)-$A$63:$A$108)*'Cálculos'!$D$98)+1400)+'Cálculos'!$D$122)*'Cálculos'!$D$247+'Cálculos'!$D$125*(1+2.78*('Cálculos'!$D$198+(($C80)-$A$63:$A$108)*'Cálculos'!$D$98)/(('Cálculos'!$D$198+(($C80)-$A$63:$A$108)*'Cálculos'!$D$98)+1400)+'Cálculos'!$D$123)*'Cálculos'!$D$252)+('Cálculos'!$D$243+'Cálculos'!$D$124*(1+2.78*('Cálculos'!$D$198+(($C80)-$A$63:$A$108)*'Cálculos'!$D$98)/(('Cálculos'!$D$198+(($C80)-$A$63:$A$108)*'Cálculos'!$D$98)+1400)+'Cálculos'!$D$122)*'Cálculos'!$D$248+'Cálculos'!$D$125*(1+2.78*('Cálculos'!$D$198+(($C80)-$A$63:$A$108)*'Cálculos'!$D$98)/(('Cálculos'!$D$198+(($C80)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80)-$A$63:$A$108)*'Cálculos'!$D$98)/(('Cálculos'!$D$199+(($C80)-$A$63:$A$108)*'Cálculos'!$D$98)+1400)+'Cálculos'!$D$122)*'Cálculos'!$D$259+'Cálculos'!$D$125*(1+2.78*('Cálculos'!$D$199+(($C80)-$A$63:$A$108)*'Cálculos'!$D$98)/(('Cálculos'!$D$199+(($C80)-$A$63:$A$108)*'Cálculos'!$D$98)+1400)+'Cálculos'!$D$123)*'Cálculos'!$D$264)+('Cálculos'!$D$199+(($C80)-$A$63:$A$108)*'Cálculos'!$D$98)*('Cálculos'!$D$255+'Cálculos'!$D$124*(1+2.78*('Cálculos'!$D$199+(($C80)-$A$63:$A$108)*'Cálculos'!$D$98)/(('Cálculos'!$D$199+(($C80)-$A$63:$A$108)*'Cálculos'!$D$98)+1400)+'Cálculos'!$D$122)*'Cálculos'!$D$260+'Cálculos'!$D$125*(1+2.78*('Cálculos'!$D$199+(($C80)-$A$63:$A$108)*'Cálculos'!$D$98)/(('Cálculos'!$D$199+(($C80)-$A$63:$A$108)*'Cálculos'!$D$98)+1400)+'Cálculos'!$D$123)*'Cálculos'!$D$265)+('Cálculos'!$D$201*(1+'Cálculos'!$D$202+$A$63:$A$108*('Cálculos'!$D$290=2)*'Cálculos'!$D$101)+'Cálculos'!$D$203)*('Cálculos'!$D$256+'Cálculos'!$D$124*(1+2.78*('Cálculos'!$D$199+(($C80)-$A$63:$A$108)*'Cálculos'!$D$98)/(('Cálculos'!$D$199+(($C80)-$A$63:$A$108)*'Cálculos'!$D$98)+1400)+'Cálculos'!$D$122)*'Cálculos'!$D$261+'Cálculos'!$D$125*(1+2.78*('Cálculos'!$D$199+(($C80)-$A$63:$A$108)*'Cálculos'!$D$98)/(('Cálculos'!$D$199+(($C80)-$A$63:$A$108)*'Cálculos'!$D$98)+1400)+'Cálculos'!$D$123)*'Cálculos'!$D$266)+('Cálculos'!$D$204*(1+'Cálculos'!$D$205+$A$63:$A$108*('Cálculos'!$D$290=3)*'Cálculos'!$D$103)+'Cálculos'!$D$206)*('Cálculos'!$D$257+'Cálculos'!$D$124*(1+2.78*('Cálculos'!$D$199+(($C80)-$A$63:$A$108)*'Cálculos'!$D$98)/(('Cálculos'!$D$199+(($C80)-$A$63:$A$108)*'Cálculos'!$D$98)+1400)+'Cálculos'!$D$122)*'Cálculos'!$D$262+'Cálculos'!$D$125*(1+2.78*('Cálculos'!$D$199+(($C80)-$A$63:$A$108)*'Cálculos'!$D$98)/(('Cálculos'!$D$199+(($C80)-$A$63:$A$108)*'Cálculos'!$D$98)+1400)+'Cálculos'!$D$123)*'Cálculos'!$D$267)+('Cálculos'!$D$258+'Cálculos'!$D$124*(1+2.78*('Cálculos'!$D$199+(($C80)-$A$63:$A$108)*'Cálculos'!$D$98)/(('Cálculos'!$D$199+(($C80)-$A$63:$A$108)*'Cálculos'!$D$98)+1400)+'Cálculos'!$D$122)*'Cálculos'!$D$263+'Cálculos'!$D$125*(1+2.78*('Cálculos'!$D$199+(($C80)-$A$63:$A$108)*'Cálculos'!$D$98)/(('Cálculos'!$D$199+(($C80)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80)-$A$63:$A$108)*'Cálculos'!$D$98)/(('Cálculos'!$D$200+(($C80)-$A$63:$A$108)*'Cálculos'!$D$98)+1400)+'Cálculos'!$D$122)*'Cálculos'!$D$274+'Cálculos'!$D$125*(1+2.78*('Cálculos'!$D$200+(($C80)-$A$63:$A$108)*'Cálculos'!$D$98)/(('Cálculos'!$D$200+(($C80)-$A$63:$A$108)*'Cálculos'!$D$98)+1400)+'Cálculos'!$D$123)*'Cálculos'!$D$279)+('Cálculos'!$D$200+(($C80)-$A$63:$A$108)*'Cálculos'!$D$98)*('Cálculos'!$D$270+'Cálculos'!$D$124*(1+2.78*('Cálculos'!$D$200+(($C80)-$A$63:$A$108)*'Cálculos'!$D$98)/(('Cálculos'!$D$200+(($C80)-$A$63:$A$108)*'Cálculos'!$D$98)+1400)+'Cálculos'!$D$122)*'Cálculos'!$D$275+'Cálculos'!$D$125*(1+2.78*('Cálculos'!$D$200+(($C80)-$A$63:$A$108)*'Cálculos'!$D$98)/(('Cálculos'!$D$200+(($C80)-$A$63:$A$108)*'Cálculos'!$D$98)+1400)+'Cálculos'!$D$123)*'Cálculos'!$D$280)+('Cálculos'!$D$201*(1+'Cálculos'!$D$202+$A$63:$A$108*('Cálculos'!$D$290=2)*'Cálculos'!$D$101)+'Cálculos'!$D$203)*('Cálculos'!$D$271+'Cálculos'!$D$124*(1+2.78*('Cálculos'!$D$200+(($C80)-$A$63:$A$108)*'Cálculos'!$D$98)/(('Cálculos'!$D$200+(($C80)-$A$63:$A$108)*'Cálculos'!$D$98)+1400)+'Cálculos'!$D$122)*'Cálculos'!$D$276+'Cálculos'!$D$125*(1+2.78*('Cálculos'!$D$200+(($C80)-$A$63:$A$108)*'Cálculos'!$D$98)/(('Cálculos'!$D$200+(($C80)-$A$63:$A$108)*'Cálculos'!$D$98)+1400)+'Cálculos'!$D$123)*'Cálculos'!$D$281)+('Cálculos'!$D$204*(1+'Cálculos'!$D$205+$A$63:$A$108*('Cálculos'!$D$290=3)*'Cálculos'!$D$103)+'Cálculos'!$D$206)*('Cálculos'!$D$272+'Cálculos'!$D$124*(1+2.78*('Cálculos'!$D$200+(($C80)-$A$63:$A$108)*'Cálculos'!$D$98)/(('Cálculos'!$D$200+(($C80)-$A$63:$A$108)*'Cálculos'!$D$98)+1400)+'Cálculos'!$D$122)*'Cálculos'!$D$277+'Cálculos'!$D$125*(1+2.78*('Cálculos'!$D$200+(($C80)-$A$63:$A$108)*'Cálculos'!$D$98)/(('Cálculos'!$D$200+(($C80)-$A$63:$A$108)*'Cálculos'!$D$98)+1400)+'Cálculos'!$D$123)*'Cálculos'!$D$282)+('Cálculos'!$D$273+'Cálculos'!$D$124*(1+2.78*('Cálculos'!$D$200+(($C80)-$A$63:$A$108)*'Cálculos'!$D$98)/(('Cálculos'!$D$200+(($C80)-$A$63:$A$108)*'Cálculos'!$D$98)+1400)+'Cálculos'!$D$122)*'Cálculos'!$D$278+'Cálculos'!$D$125*(1+2.78*('Cálculos'!$D$200+(($C80)-$A$63:$A$108)*'Cálculos'!$D$98)/(('Cálculos'!$D$200+(($C80)-$A$63:$A$108)*'Cálculos'!$D$98)+1400)+'Cálculos'!$D$123)*'Cálculos'!$D$283)))))</f>
        <v>0</v>
      </c>
      <c r="E80" s="32">
        <f>IF(OR($C80&lt;0,'Cálculos'!$D$6=""),0,$B80*$D80)</f>
        <v>0</v>
      </c>
      <c r="F80" s="2"/>
      <c r="G80" s="30">
        <f>($A80&lt;=$B$110)*($A80&lt;='Cálculos'!$D$294)*(($B$110)-$A80&lt;='Cálculos'!$D$295)*(1+MIN(('Cálculos'!$D$207+$A80*'Cálculos'!$D$95),1)*('Cálculos'!$D$208+(($B$110)-$A80)*'Cálculos'!$D$96))</f>
        <v>0</v>
      </c>
      <c r="H80" s="31">
        <f>IF($B$111&lt;0,0,($A80&lt;=$B$111)*($A80&lt;='Cálculos'!$D$301)*(($B$111)-$A80&lt;='Cálculos'!$D$297)*(('Cálculos'!$D$185*(1+'Cálculos'!$D$186+$A80*('Cálculos'!$D$290=1)*'Cálculos'!$D$97+'Cálculos'!$D$305)+'Cálculos'!$D$191)*('Cálculos'!$D$209+'Cálculos'!$D$124*(1+2.78*('Cálculos'!$D$196+(($B$111)-$A80)*'Cálculos'!$D$98)/(('Cálculos'!$D$196+(($B$111)-$A80)*'Cálculos'!$D$98)+1400)+'Cálculos'!$D$122)*'Cálculos'!$D$214+'Cálculos'!$D$125*(1+2.78*('Cálculos'!$D$196+(($B$111)-$A80)*'Cálculos'!$D$98)/(('Cálculos'!$D$196+(($B$111)-$A80)*'Cálculos'!$D$98)+1400)+'Cálculos'!$D$123)*'Cálculos'!$D$219)+('Cálculos'!$D$196+(($B$111)-$A80)*'Cálculos'!$D$98)*('Cálculos'!$D$210+'Cálculos'!$D$124*(1+2.78*('Cálculos'!$D$196+(($B$111)-$A80)*'Cálculos'!$D$98)/(('Cálculos'!$D$196+(($B$111)-$A80)*'Cálculos'!$D$98)+1400)+'Cálculos'!$D$122)*'Cálculos'!$D$215+'Cálculos'!$D$125*(1+2.78*('Cálculos'!$D$196+(($B$111)-$A80)*'Cálculos'!$D$98)/(('Cálculos'!$D$196+(($B$111)-$A80)*'Cálculos'!$D$98)+1400)+'Cálculos'!$D$123)*'Cálculos'!$D$220)+('Cálculos'!$D$201*(1+'Cálculos'!$D$202+$A80*('Cálculos'!$D$290=2)*'Cálculos'!$D$101)+'Cálculos'!$D$203)*('Cálculos'!$D$211+'Cálculos'!$D$124*(1+2.78*('Cálculos'!$D$196+(($B$111)-$A80)*'Cálculos'!$D$98)/(('Cálculos'!$D$196+(($B$111)-$A80)*'Cálculos'!$D$98)+1400)+'Cálculos'!$D$122)*'Cálculos'!$D$216+'Cálculos'!$D$125*(1+2.78*('Cálculos'!$D$196+(($B$111)-$A80)*'Cálculos'!$D$98)/(('Cálculos'!$D$196+(($B$111)-$A80)*'Cálculos'!$D$98)+1400)+'Cálculos'!$D$123)*'Cálculos'!$D$221)+('Cálculos'!$D$204*(1+'Cálculos'!$D$205+$A80*('Cálculos'!$D$290=3)*'Cálculos'!$D$103)+'Cálculos'!$D$206)*('Cálculos'!$D$212+'Cálculos'!$D$124*(1+2.78*('Cálculos'!$D$196+(($B$111)-$A80)*'Cálculos'!$D$98)/(('Cálculos'!$D$196+(($B$111)-$A80)*'Cálculos'!$D$98)+1400)+'Cálculos'!$D$122)*'Cálculos'!$D$217+'Cálculos'!$D$125*(1+2.78*('Cálculos'!$D$196+(($B$111)-$A80)*'Cálculos'!$D$98)/(('Cálculos'!$D$196+(($B$111)-$A80)*'Cálculos'!$D$98)+1400)+'Cálculos'!$D$123)*'Cálculos'!$D$222)+('Cálculos'!$D$213+'Cálculos'!$D$124*(1+2.78*('Cálculos'!$D$196+(($B$111)-$A80)*'Cálculos'!$D$98)/(('Cálculos'!$D$196+(($B$111)-$A80)*'Cálculos'!$D$98)+1400)+'Cálculos'!$D$122)*'Cálculos'!$D$218+'Cálculos'!$D$125*(1+2.78*('Cálculos'!$D$196+(($B$111)-$A80)*'Cálculos'!$D$98)/(('Cálculos'!$D$196+(($B$111)-$A80)*'Cálculos'!$D$98)+1400)+'Cálculos'!$D$123)*'Cálculos'!$D$223)+('Cálculos'!$D$185*(1+'Cálculos'!$D$187+$A80*('Cálculos'!$D$290=1)*'Cálculos'!$D$97+'Cálculos'!$D$305)+'Cálculos'!$D$192)*('Cálculos'!$D$224+'Cálculos'!$D$124*(1+2.78*('Cálculos'!$D$197+(($B$111)-$A80)*'Cálculos'!$D$98)/(('Cálculos'!$D$197+(($B$111)-$A80)*'Cálculos'!$D$98)+1400)+'Cálculos'!$D$122)*'Cálculos'!$D$229+'Cálculos'!$D$125*(1+2.78*('Cálculos'!$D$197+(($B$111)-$A80)*'Cálculos'!$D$98)/(('Cálculos'!$D$197+(($B$111)-$A80)*'Cálculos'!$D$98)+1400)+'Cálculos'!$D$123)*'Cálculos'!$D$234)+('Cálculos'!$D$197+(($B$111)-$A80)*'Cálculos'!$D$98)*('Cálculos'!$D$225+'Cálculos'!$D$124*(1+2.78*('Cálculos'!$D$197+(($B$111)-$A80)*'Cálculos'!$D$98)/(('Cálculos'!$D$197+(($B$111)-$A80)*'Cálculos'!$D$98)+1400)+'Cálculos'!$D$122)*'Cálculos'!$D$230+'Cálculos'!$D$125*(1+2.78*('Cálculos'!$D$197+(($B$111)-$A80)*'Cálculos'!$D$98)/(('Cálculos'!$D$197+(($B$111)-$A80)*'Cálculos'!$D$98)+1400)+'Cálculos'!$D$123)*'Cálculos'!$D$235)+('Cálculos'!$D$201*(1+'Cálculos'!$D$202+$A80*('Cálculos'!$D$290=2)*'Cálculos'!$D$101)+'Cálculos'!$D$203)*('Cálculos'!$D$226+'Cálculos'!$D$124*(1+2.78*('Cálculos'!$D$197+(($B$111)-$A80)*'Cálculos'!$D$98)/(('Cálculos'!$D$197+(($B$111)-$A80)*'Cálculos'!$D$98)+1400)+'Cálculos'!$D$122)*'Cálculos'!$D$231+'Cálculos'!$D$125*(1+2.78*('Cálculos'!$D$197+(($B$111)-$A80)*'Cálculos'!$D$98)/(('Cálculos'!$D$197+(($B$111)-$A80)*'Cálculos'!$D$98)+1400)+'Cálculos'!$D$123)*'Cálculos'!$D$236)+('Cálculos'!$D$204*(1+'Cálculos'!$D$205+$A80*('Cálculos'!$D$290=3)*'Cálculos'!$D$103)+'Cálculos'!$D$206)*('Cálculos'!$D$227+'Cálculos'!$D$124*(1+2.78*('Cálculos'!$D$197+(($B$111)-$A80)*'Cálculos'!$D$98)/(('Cálculos'!$D$197+(($B$111)-$A80)*'Cálculos'!$D$98)+1400)+'Cálculos'!$D$122)*'Cálculos'!$D$232+'Cálculos'!$D$125*(1+2.78*('Cálculos'!$D$197+(($B$111)-$A80)*'Cálculos'!$D$98)/(('Cálculos'!$D$197+(($B$111)-$A80)*'Cálculos'!$D$98)+1400)+'Cálculos'!$D$123)*'Cálculos'!$D$237)+('Cálculos'!$D$228+'Cálculos'!$D$124*(1+2.78*('Cálculos'!$D$197+(($B$111)-$A80)*'Cálculos'!$D$98)/(('Cálculos'!$D$197+(($B$111)-$A80)*'Cálculos'!$D$98)+1400)+'Cálculos'!$D$122)*'Cálculos'!$D$233+'Cálculos'!$D$125*(1+2.78*('Cálculos'!$D$197+(($B$111)-$A80)*'Cálculos'!$D$98)/(('Cálculos'!$D$197+(($B$111)-$A80)*'Cálculos'!$D$98)+1400)+'Cálculos'!$D$123)*'Cálculos'!$D$238)+('Cálculos'!$D$185*(1+'Cálculos'!$D$188+$A80*('Cálculos'!$D$290=1)*'Cálculos'!$D$97+'Cálculos'!$D$305)+'Cálculos'!$D$193)*('Cálculos'!$D$239+'Cálculos'!$D$124*(1+2.78*('Cálculos'!$D$198+(($B$111)-$A80)*'Cálculos'!$D$98)/(('Cálculos'!$D$198+(($B$111)-$A80)*'Cálculos'!$D$98)+1400)+'Cálculos'!$D$122)*'Cálculos'!$D$244+'Cálculos'!$D$125*(1+2.78*('Cálculos'!$D$198+(($B$111)-$A80)*'Cálculos'!$D$98)/(('Cálculos'!$D$198+(($B$111)-$A80)*'Cálculos'!$D$98)+1400)+'Cálculos'!$D$123)*'Cálculos'!$D$249)+('Cálculos'!$D$198+(($B$111)-$A80)*'Cálculos'!$D$98)*('Cálculos'!$D$240+'Cálculos'!$D$124*(1+2.78*('Cálculos'!$D$198+(($B$111)-$A80)*'Cálculos'!$D$98)/(('Cálculos'!$D$198+(($B$111)-$A80)*'Cálculos'!$D$98)+1400)+'Cálculos'!$D$122)*'Cálculos'!$D$245+'Cálculos'!$D$125*(1+2.78*('Cálculos'!$D$198+(($B$111)-$A80)*'Cálculos'!$D$98)/(('Cálculos'!$D$198+(($B$111)-$A80)*'Cálculos'!$D$98)+1400)+'Cálculos'!$D$123)*'Cálculos'!$D$250)+('Cálculos'!$D$201*(1+'Cálculos'!$D$202+$A80*('Cálculos'!$D$290=2)*'Cálculos'!$D$101)+'Cálculos'!$D$203)*('Cálculos'!$D$241+'Cálculos'!$D$124*(1+2.78*('Cálculos'!$D$198+(($B$111)-$A80)*'Cálculos'!$D$98)/(('Cálculos'!$D$198+(($B$111)-$A80)*'Cálculos'!$D$98)+1400)+'Cálculos'!$D$122)*'Cálculos'!$D$246+'Cálculos'!$D$125*(1+2.78*('Cálculos'!$D$198+(($B$111)-$A80)*'Cálculos'!$D$98)/(('Cálculos'!$D$198+(($B$111)-$A80)*'Cálculos'!$D$98)+1400)+'Cálculos'!$D$123)*'Cálculos'!$D$251)+('Cálculos'!$D$204*(1+'Cálculos'!$D$205+$A80*('Cálculos'!$D$290=3)*'Cálculos'!$D$103)+'Cálculos'!$D$206)*('Cálculos'!$D$242+'Cálculos'!$D$124*(1+2.78*('Cálculos'!$D$198+(($B$111)-$A80)*'Cálculos'!$D$98)/(('Cálculos'!$D$198+(($B$111)-$A80)*'Cálculos'!$D$98)+1400)+'Cálculos'!$D$122)*'Cálculos'!$D$247+'Cálculos'!$D$125*(1+2.78*('Cálculos'!$D$198+(($B$111)-$A80)*'Cálculos'!$D$98)/(('Cálculos'!$D$198+(($B$111)-$A80)*'Cálculos'!$D$98)+1400)+'Cálculos'!$D$123)*'Cálculos'!$D$252)+('Cálculos'!$D$243+'Cálculos'!$D$124*(1+2.78*('Cálculos'!$D$198+(($B$111)-$A80)*'Cálculos'!$D$98)/(('Cálculos'!$D$198+(($B$111)-$A80)*'Cálculos'!$D$98)+1400)+'Cálculos'!$D$122)*'Cálculos'!$D$248+'Cálculos'!$D$125*(1+2.78*('Cálculos'!$D$198+(($B$111)-$A80)*'Cálculos'!$D$98)/(('Cálculos'!$D$198+(($B$111)-$A80)*'Cálculos'!$D$98)+1400)+'Cálculos'!$D$123)*'Cálculos'!$D$253)+('Cálculos'!$D$185*(1+'Cálculos'!$D$189+$A80*('Cálculos'!$D$290=1)*'Cálculos'!$D$97+'Cálculos'!$D$305)+'Cálculos'!$D$194)*('Cálculos'!$D$254+'Cálculos'!$D$124*(1+2.78*('Cálculos'!$D$199+(($B$111)-$A80)*'Cálculos'!$D$98)/(('Cálculos'!$D$199+(($B$111)-$A80)*'Cálculos'!$D$98)+1400)+'Cálculos'!$D$122)*'Cálculos'!$D$259+'Cálculos'!$D$125*(1+2.78*('Cálculos'!$D$199+(($B$111)-$A80)*'Cálculos'!$D$98)/(('Cálculos'!$D$199+(($B$111)-$A80)*'Cálculos'!$D$98)+1400)+'Cálculos'!$D$123)*'Cálculos'!$D$264)+('Cálculos'!$D$199+(($B$111)-$A80)*'Cálculos'!$D$98)*('Cálculos'!$D$255+'Cálculos'!$D$124*(1+2.78*('Cálculos'!$D$199+(($B$111)-$A80)*'Cálculos'!$D$98)/(('Cálculos'!$D$199+(($B$111)-$A80)*'Cálculos'!$D$98)+1400)+'Cálculos'!$D$122)*'Cálculos'!$D$260+'Cálculos'!$D$125*(1+2.78*('Cálculos'!$D$199+(($B$111)-$A80)*'Cálculos'!$D$98)/(('Cálculos'!$D$199+(($B$111)-$A80)*'Cálculos'!$D$98)+1400)+'Cálculos'!$D$123)*'Cálculos'!$D$265)+('Cálculos'!$D$201*(1+'Cálculos'!$D$202+$A80*('Cálculos'!$D$290=2)*'Cálculos'!$D$101)+'Cálculos'!$D$203)*('Cálculos'!$D$256+'Cálculos'!$D$124*(1+2.78*('Cálculos'!$D$199+(($B$111)-$A80)*'Cálculos'!$D$98)/(('Cálculos'!$D$199+(($B$111)-$A80)*'Cálculos'!$D$98)+1400)+'Cálculos'!$D$122)*'Cálculos'!$D$261+'Cálculos'!$D$125*(1+2.78*('Cálculos'!$D$199+(($B$111)-$A80)*'Cálculos'!$D$98)/(('Cálculos'!$D$199+(($B$111)-$A80)*'Cálculos'!$D$98)+1400)+'Cálculos'!$D$123)*'Cálculos'!$D$266)+('Cálculos'!$D$204*(1+'Cálculos'!$D$205+$A80*('Cálculos'!$D$290=3)*'Cálculos'!$D$103)+'Cálculos'!$D$206)*('Cálculos'!$D$257+'Cálculos'!$D$124*(1+2.78*('Cálculos'!$D$199+(($B$111)-$A80)*'Cálculos'!$D$98)/(('Cálculos'!$D$199+(($B$111)-$A80)*'Cálculos'!$D$98)+1400)+'Cálculos'!$D$122)*'Cálculos'!$D$262+'Cálculos'!$D$125*(1+2.78*('Cálculos'!$D$199+(($B$111)-$A80)*'Cálculos'!$D$98)/(('Cálculos'!$D$199+(($B$111)-$A80)*'Cálculos'!$D$98)+1400)+'Cálculos'!$D$123)*'Cálculos'!$D$267)+('Cálculos'!$D$258+'Cálculos'!$D$124*(1+2.78*('Cálculos'!$D$199+(($B$111)-$A80)*'Cálculos'!$D$98)/(('Cálculos'!$D$199+(($B$111)-$A80)*'Cálculos'!$D$98)+1400)+'Cálculos'!$D$122)*'Cálculos'!$D$263+'Cálculos'!$D$125*(1+2.78*('Cálculos'!$D$199+(($B$111)-$A80)*'Cálculos'!$D$98)/(('Cálculos'!$D$199+(($B$111)-$A80)*'Cálculos'!$D$98)+1400)+'Cálculos'!$D$123)*'Cálculos'!$D$268)+('Cálculos'!$D$185*(1+'Cálculos'!$D$190+$A80*('Cálculos'!$D$290=1)*'Cálculos'!$D$97+'Cálculos'!$D$305)+'Cálculos'!$D$195)*('Cálculos'!$D$269+'Cálculos'!$D$124*(1+2.78*('Cálculos'!$D$200+(($B$111)-$A80)*'Cálculos'!$D$98)/(('Cálculos'!$D$200+(($B$111)-$A80)*'Cálculos'!$D$98)+1400)+'Cálculos'!$D$122)*'Cálculos'!$D$274+'Cálculos'!$D$125*(1+2.78*('Cálculos'!$D$200+(($B$111)-$A80)*'Cálculos'!$D$98)/(('Cálculos'!$D$200+(($B$111)-$A80)*'Cálculos'!$D$98)+1400)+'Cálculos'!$D$123)*'Cálculos'!$D$279)+('Cálculos'!$D$200+(($B$111)-$A80)*'Cálculos'!$D$98)*('Cálculos'!$D$270+'Cálculos'!$D$124*(1+2.78*('Cálculos'!$D$200+(($B$111)-$A80)*'Cálculos'!$D$98)/(('Cálculos'!$D$200+(($B$111)-$A80)*'Cálculos'!$D$98)+1400)+'Cálculos'!$D$122)*'Cálculos'!$D$275+'Cálculos'!$D$125*(1+2.78*('Cálculos'!$D$200+(($B$111)-$A80)*'Cálculos'!$D$98)/(('Cálculos'!$D$200+(($B$111)-$A80)*'Cálculos'!$D$98)+1400)+'Cálculos'!$D$123)*'Cálculos'!$D$280)+('Cálculos'!$D$201*(1+'Cálculos'!$D$202+$A80*('Cálculos'!$D$290=2)*'Cálculos'!$D$101)+'Cálculos'!$D$203)*('Cálculos'!$D$271+'Cálculos'!$D$124*(1+2.78*('Cálculos'!$D$200+(($B$111)-$A80)*'Cálculos'!$D$98)/(('Cálculos'!$D$200+(($B$111)-$A80)*'Cálculos'!$D$98)+1400)+'Cálculos'!$D$122)*'Cálculos'!$D$276+'Cálculos'!$D$125*(1+2.78*('Cálculos'!$D$200+(($B$111)-$A80)*'Cálculos'!$D$98)/(('Cálculos'!$D$200+(($B$111)-$A80)*'Cálculos'!$D$98)+1400)+'Cálculos'!$D$123)*'Cálculos'!$D$281)+('Cálculos'!$D$204*(1+'Cálculos'!$D$205+$A80*('Cálculos'!$D$290=3)*'Cálculos'!$D$103)+'Cálculos'!$D$206)*('Cálculos'!$D$272+'Cálculos'!$D$124*(1+2.78*('Cálculos'!$D$200+(($B$111)-$A80)*'Cálculos'!$D$98)/(('Cálculos'!$D$200+(($B$111)-$A80)*'Cálculos'!$D$98)+1400)+'Cálculos'!$D$122)*'Cálculos'!$D$277+'Cálculos'!$D$125*(1+2.78*('Cálculos'!$D$200+(($B$111)-$A80)*'Cálculos'!$D$98)/(('Cálculos'!$D$200+(($B$111)-$A80)*'Cálculos'!$D$98)+1400)+'Cálculos'!$D$123)*'Cálculos'!$D$282)+('Cálculos'!$D$273+'Cálculos'!$D$124*(1+2.78*('Cálculos'!$D$200+(($B$111)-$A80)*'Cálculos'!$D$98)/(('Cálculos'!$D$200+(($B$111)-$A80)*'Cálculos'!$D$98)+1400)+'Cálculos'!$D$122)*'Cálculos'!$D$278+'Cálculos'!$D$125*(1+2.78*('Cálculos'!$D$200+(($B$111)-$A80)*'Cálculos'!$D$98)/(('Cálculos'!$D$200+(($B$111)-$A80)*'Cálculos'!$D$98)+1400)+'Cálculos'!$D$123)*'Cálculos'!$D$283)))</f>
        <v>0</v>
      </c>
    </row>
    <row r="81" ht="15.75" customHeight="1">
      <c r="A81" s="2">
        <v>18.0</v>
      </c>
      <c r="B81" s="30">
        <f>SUMPRODUCT(MAX(($A$63:$A$108&lt;=$A81)*($A$63:$A$108&lt;='Cálculos'!$D$294)*(($A81)-$A$63:$A$108&lt;='Cálculos'!$D$295)*(1+(('Cálculos'!$D$207+$A$63:$A$108*'Cálculos'!$D$95)-(('Cálculos'!$D$207+$A$63:$A$108*'Cálculos'!$D$95)&gt;1)*(('Cálculos'!$D$207+$A$63:$A$108*'Cálculos'!$D$95)-1))*('Cálculos'!$D$208+(($A81)-$A$63:$A$108)*'Cálculos'!$D$96))))</f>
        <v>1.659310672</v>
      </c>
      <c r="C81" s="2">
        <f>'Cálculos'!$D$303-$A81</f>
        <v>-7</v>
      </c>
      <c r="D81" s="31">
        <f>IF($C81&lt;0,0,SUMPRODUCT(MAX(($A$63:$A$108&lt;=$C81)*($A$63:$A$108&lt;='Cálculos'!$D$301)*(($C81)-$A$63:$A$108&lt;='Cálculos'!$D$297)*(('Cálculos'!$D$185*(1+'Cálculos'!$D$186+$A$63:$A$108*('Cálculos'!$D$290=1)*'Cálculos'!$D$97+'Cálculos'!$D$305)+'Cálculos'!$D$191)*('Cálculos'!$D$209+'Cálculos'!$D$124*(1+2.78*('Cálculos'!$D$196+(($C81)-$A$63:$A$108)*'Cálculos'!$D$98)/(('Cálculos'!$D$196+(($C81)-$A$63:$A$108)*'Cálculos'!$D$98)+1400)+'Cálculos'!$D$122)*'Cálculos'!$D$214+'Cálculos'!$D$125*(1+2.78*('Cálculos'!$D$196+(($C81)-$A$63:$A$108)*'Cálculos'!$D$98)/(('Cálculos'!$D$196+(($C81)-$A$63:$A$108)*'Cálculos'!$D$98)+1400)+'Cálculos'!$D$123)*'Cálculos'!$D$219)+('Cálculos'!$D$196+(($C81)-$A$63:$A$108)*'Cálculos'!$D$98)*('Cálculos'!$D$210+'Cálculos'!$D$124*(1+2.78*('Cálculos'!$D$196+(($C81)-$A$63:$A$108)*'Cálculos'!$D$98)/(('Cálculos'!$D$196+(($C81)-$A$63:$A$108)*'Cálculos'!$D$98)+1400)+'Cálculos'!$D$122)*'Cálculos'!$D$215+'Cálculos'!$D$125*(1+2.78*('Cálculos'!$D$196+(($C81)-$A$63:$A$108)*'Cálculos'!$D$98)/(('Cálculos'!$D$196+(($C81)-$A$63:$A$108)*'Cálculos'!$D$98)+1400)+'Cálculos'!$D$123)*'Cálculos'!$D$220)+('Cálculos'!$D$201*(1+'Cálculos'!$D$202+$A$63:$A$108*('Cálculos'!$D$290=2)*'Cálculos'!$D$101)+'Cálculos'!$D$203)*('Cálculos'!$D$211+'Cálculos'!$D$124*(1+2.78*('Cálculos'!$D$196+(($C81)-$A$63:$A$108)*'Cálculos'!$D$98)/(('Cálculos'!$D$196+(($C81)-$A$63:$A$108)*'Cálculos'!$D$98)+1400)+'Cálculos'!$D$122)*'Cálculos'!$D$216+'Cálculos'!$D$125*(1+2.78*('Cálculos'!$D$196+(($C81)-$A$63:$A$108)*'Cálculos'!$D$98)/(('Cálculos'!$D$196+(($C81)-$A$63:$A$108)*'Cálculos'!$D$98)+1400)+'Cálculos'!$D$123)*'Cálculos'!$D$221)+('Cálculos'!$D$204*(1+'Cálculos'!$D$205+$A$63:$A$108*('Cálculos'!$D$290=3)*'Cálculos'!$D$103)+'Cálculos'!$D$206)*('Cálculos'!$D$212+'Cálculos'!$D$124*(1+2.78*('Cálculos'!$D$196+(($C81)-$A$63:$A$108)*'Cálculos'!$D$98)/(('Cálculos'!$D$196+(($C81)-$A$63:$A$108)*'Cálculos'!$D$98)+1400)+'Cálculos'!$D$122)*'Cálculos'!$D$217+'Cálculos'!$D$125*(1+2.78*('Cálculos'!$D$196+(($C81)-$A$63:$A$108)*'Cálculos'!$D$98)/(('Cálculos'!$D$196+(($C81)-$A$63:$A$108)*'Cálculos'!$D$98)+1400)+'Cálculos'!$D$123)*'Cálculos'!$D$222)+('Cálculos'!$D$213+'Cálculos'!$D$124*(1+2.78*('Cálculos'!$D$196+(($C81)-$A$63:$A$108)*'Cálculos'!$D$98)/(('Cálculos'!$D$196+(($C81)-$A$63:$A$108)*'Cálculos'!$D$98)+1400)+'Cálculos'!$D$122)*'Cálculos'!$D$218+'Cálculos'!$D$125*(1+2.78*('Cálculos'!$D$196+(($C81)-$A$63:$A$108)*'Cálculos'!$D$98)/(('Cálculos'!$D$196+(($C81)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81)-$A$63:$A$108)*'Cálculos'!$D$98)/(('Cálculos'!$D$197+(($C81)-$A$63:$A$108)*'Cálculos'!$D$98)+1400)+'Cálculos'!$D$122)*'Cálculos'!$D$229+'Cálculos'!$D$125*(1+2.78*('Cálculos'!$D$197+(($C81)-$A$63:$A$108)*'Cálculos'!$D$98)/(('Cálculos'!$D$197+(($C81)-$A$63:$A$108)*'Cálculos'!$D$98)+1400)+'Cálculos'!$D$123)*'Cálculos'!$D$234)+('Cálculos'!$D$197+(($C81)-$A$63:$A$108)*'Cálculos'!$D$98)*('Cálculos'!$D$225+'Cálculos'!$D$124*(1+2.78*('Cálculos'!$D$197+(($C81)-$A$63:$A$108)*'Cálculos'!$D$98)/(('Cálculos'!$D$197+(($C81)-$A$63:$A$108)*'Cálculos'!$D$98)+1400)+'Cálculos'!$D$122)*'Cálculos'!$D$230+'Cálculos'!$D$125*(1+2.78*('Cálculos'!$D$197+(($C81)-$A$63:$A$108)*'Cálculos'!$D$98)/(('Cálculos'!$D$197+(($C81)-$A$63:$A$108)*'Cálculos'!$D$98)+1400)+'Cálculos'!$D$123)*'Cálculos'!$D$235)+('Cálculos'!$D$201*(1+'Cálculos'!$D$202+$A$63:$A$108*('Cálculos'!$D$290=2)*'Cálculos'!$D$101)+'Cálculos'!$D$203)*('Cálculos'!$D$226+'Cálculos'!$D$124*(1+2.78*('Cálculos'!$D$197+(($C81)-$A$63:$A$108)*'Cálculos'!$D$98)/(('Cálculos'!$D$197+(($C81)-$A$63:$A$108)*'Cálculos'!$D$98)+1400)+'Cálculos'!$D$122)*'Cálculos'!$D$231+'Cálculos'!$D$125*(1+2.78*('Cálculos'!$D$197+(($C81)-$A$63:$A$108)*'Cálculos'!$D$98)/(('Cálculos'!$D$197+(($C81)-$A$63:$A$108)*'Cálculos'!$D$98)+1400)+'Cálculos'!$D$123)*'Cálculos'!$D$236)+('Cálculos'!$D$204*(1+'Cálculos'!$D$205+$A$63:$A$108*('Cálculos'!$D$290=3)*'Cálculos'!$D$103)+'Cálculos'!$D$206)*('Cálculos'!$D$227+'Cálculos'!$D$124*(1+2.78*('Cálculos'!$D$197+(($C81)-$A$63:$A$108)*'Cálculos'!$D$98)/(('Cálculos'!$D$197+(($C81)-$A$63:$A$108)*'Cálculos'!$D$98)+1400)+'Cálculos'!$D$122)*'Cálculos'!$D$232+'Cálculos'!$D$125*(1+2.78*('Cálculos'!$D$197+(($C81)-$A$63:$A$108)*'Cálculos'!$D$98)/(('Cálculos'!$D$197+(($C81)-$A$63:$A$108)*'Cálculos'!$D$98)+1400)+'Cálculos'!$D$123)*'Cálculos'!$D$237)+('Cálculos'!$D$228+'Cálculos'!$D$124*(1+2.78*('Cálculos'!$D$197+(($C81)-$A$63:$A$108)*'Cálculos'!$D$98)/(('Cálculos'!$D$197+(($C81)-$A$63:$A$108)*'Cálculos'!$D$98)+1400)+'Cálculos'!$D$122)*'Cálculos'!$D$233+'Cálculos'!$D$125*(1+2.78*('Cálculos'!$D$197+(($C81)-$A$63:$A$108)*'Cálculos'!$D$98)/(('Cálculos'!$D$197+(($C81)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81)-$A$63:$A$108)*'Cálculos'!$D$98)/(('Cálculos'!$D$198+(($C81)-$A$63:$A$108)*'Cálculos'!$D$98)+1400)+'Cálculos'!$D$122)*'Cálculos'!$D$244+'Cálculos'!$D$125*(1+2.78*('Cálculos'!$D$198+(($C81)-$A$63:$A$108)*'Cálculos'!$D$98)/(('Cálculos'!$D$198+(($C81)-$A$63:$A$108)*'Cálculos'!$D$98)+1400)+'Cálculos'!$D$123)*'Cálculos'!$D$249)+('Cálculos'!$D$198+(($C81)-$A$63:$A$108)*'Cálculos'!$D$98)*('Cálculos'!$D$240+'Cálculos'!$D$124*(1+2.78*('Cálculos'!$D$198+(($C81)-$A$63:$A$108)*'Cálculos'!$D$98)/(('Cálculos'!$D$198+(($C81)-$A$63:$A$108)*'Cálculos'!$D$98)+1400)+'Cálculos'!$D$122)*'Cálculos'!$D$245+'Cálculos'!$D$125*(1+2.78*('Cálculos'!$D$198+(($C81)-$A$63:$A$108)*'Cálculos'!$D$98)/(('Cálculos'!$D$198+(($C81)-$A$63:$A$108)*'Cálculos'!$D$98)+1400)+'Cálculos'!$D$123)*'Cálculos'!$D$250)+('Cálculos'!$D$201*(1+'Cálculos'!$D$202+$A$63:$A$108*('Cálculos'!$D$290=2)*'Cálculos'!$D$101)+'Cálculos'!$D$203)*('Cálculos'!$D$241+'Cálculos'!$D$124*(1+2.78*('Cálculos'!$D$198+(($C81)-$A$63:$A$108)*'Cálculos'!$D$98)/(('Cálculos'!$D$198+(($C81)-$A$63:$A$108)*'Cálculos'!$D$98)+1400)+'Cálculos'!$D$122)*'Cálculos'!$D$246+'Cálculos'!$D$125*(1+2.78*('Cálculos'!$D$198+(($C81)-$A$63:$A$108)*'Cálculos'!$D$98)/(('Cálculos'!$D$198+(($C81)-$A$63:$A$108)*'Cálculos'!$D$98)+1400)+'Cálculos'!$D$123)*'Cálculos'!$D$251)+('Cálculos'!$D$204*(1+'Cálculos'!$D$205+$A$63:$A$108*('Cálculos'!$D$290=3)*'Cálculos'!$D$103)+'Cálculos'!$D$206)*('Cálculos'!$D$242+'Cálculos'!$D$124*(1+2.78*('Cálculos'!$D$198+(($C81)-$A$63:$A$108)*'Cálculos'!$D$98)/(('Cálculos'!$D$198+(($C81)-$A$63:$A$108)*'Cálculos'!$D$98)+1400)+'Cálculos'!$D$122)*'Cálculos'!$D$247+'Cálculos'!$D$125*(1+2.78*('Cálculos'!$D$198+(($C81)-$A$63:$A$108)*'Cálculos'!$D$98)/(('Cálculos'!$D$198+(($C81)-$A$63:$A$108)*'Cálculos'!$D$98)+1400)+'Cálculos'!$D$123)*'Cálculos'!$D$252)+('Cálculos'!$D$243+'Cálculos'!$D$124*(1+2.78*('Cálculos'!$D$198+(($C81)-$A$63:$A$108)*'Cálculos'!$D$98)/(('Cálculos'!$D$198+(($C81)-$A$63:$A$108)*'Cálculos'!$D$98)+1400)+'Cálculos'!$D$122)*'Cálculos'!$D$248+'Cálculos'!$D$125*(1+2.78*('Cálculos'!$D$198+(($C81)-$A$63:$A$108)*'Cálculos'!$D$98)/(('Cálculos'!$D$198+(($C81)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81)-$A$63:$A$108)*'Cálculos'!$D$98)/(('Cálculos'!$D$199+(($C81)-$A$63:$A$108)*'Cálculos'!$D$98)+1400)+'Cálculos'!$D$122)*'Cálculos'!$D$259+'Cálculos'!$D$125*(1+2.78*('Cálculos'!$D$199+(($C81)-$A$63:$A$108)*'Cálculos'!$D$98)/(('Cálculos'!$D$199+(($C81)-$A$63:$A$108)*'Cálculos'!$D$98)+1400)+'Cálculos'!$D$123)*'Cálculos'!$D$264)+('Cálculos'!$D$199+(($C81)-$A$63:$A$108)*'Cálculos'!$D$98)*('Cálculos'!$D$255+'Cálculos'!$D$124*(1+2.78*('Cálculos'!$D$199+(($C81)-$A$63:$A$108)*'Cálculos'!$D$98)/(('Cálculos'!$D$199+(($C81)-$A$63:$A$108)*'Cálculos'!$D$98)+1400)+'Cálculos'!$D$122)*'Cálculos'!$D$260+'Cálculos'!$D$125*(1+2.78*('Cálculos'!$D$199+(($C81)-$A$63:$A$108)*'Cálculos'!$D$98)/(('Cálculos'!$D$199+(($C81)-$A$63:$A$108)*'Cálculos'!$D$98)+1400)+'Cálculos'!$D$123)*'Cálculos'!$D$265)+('Cálculos'!$D$201*(1+'Cálculos'!$D$202+$A$63:$A$108*('Cálculos'!$D$290=2)*'Cálculos'!$D$101)+'Cálculos'!$D$203)*('Cálculos'!$D$256+'Cálculos'!$D$124*(1+2.78*('Cálculos'!$D$199+(($C81)-$A$63:$A$108)*'Cálculos'!$D$98)/(('Cálculos'!$D$199+(($C81)-$A$63:$A$108)*'Cálculos'!$D$98)+1400)+'Cálculos'!$D$122)*'Cálculos'!$D$261+'Cálculos'!$D$125*(1+2.78*('Cálculos'!$D$199+(($C81)-$A$63:$A$108)*'Cálculos'!$D$98)/(('Cálculos'!$D$199+(($C81)-$A$63:$A$108)*'Cálculos'!$D$98)+1400)+'Cálculos'!$D$123)*'Cálculos'!$D$266)+('Cálculos'!$D$204*(1+'Cálculos'!$D$205+$A$63:$A$108*('Cálculos'!$D$290=3)*'Cálculos'!$D$103)+'Cálculos'!$D$206)*('Cálculos'!$D$257+'Cálculos'!$D$124*(1+2.78*('Cálculos'!$D$199+(($C81)-$A$63:$A$108)*'Cálculos'!$D$98)/(('Cálculos'!$D$199+(($C81)-$A$63:$A$108)*'Cálculos'!$D$98)+1400)+'Cálculos'!$D$122)*'Cálculos'!$D$262+'Cálculos'!$D$125*(1+2.78*('Cálculos'!$D$199+(($C81)-$A$63:$A$108)*'Cálculos'!$D$98)/(('Cálculos'!$D$199+(($C81)-$A$63:$A$108)*'Cálculos'!$D$98)+1400)+'Cálculos'!$D$123)*'Cálculos'!$D$267)+('Cálculos'!$D$258+'Cálculos'!$D$124*(1+2.78*('Cálculos'!$D$199+(($C81)-$A$63:$A$108)*'Cálculos'!$D$98)/(('Cálculos'!$D$199+(($C81)-$A$63:$A$108)*'Cálculos'!$D$98)+1400)+'Cálculos'!$D$122)*'Cálculos'!$D$263+'Cálculos'!$D$125*(1+2.78*('Cálculos'!$D$199+(($C81)-$A$63:$A$108)*'Cálculos'!$D$98)/(('Cálculos'!$D$199+(($C81)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81)-$A$63:$A$108)*'Cálculos'!$D$98)/(('Cálculos'!$D$200+(($C81)-$A$63:$A$108)*'Cálculos'!$D$98)+1400)+'Cálculos'!$D$122)*'Cálculos'!$D$274+'Cálculos'!$D$125*(1+2.78*('Cálculos'!$D$200+(($C81)-$A$63:$A$108)*'Cálculos'!$D$98)/(('Cálculos'!$D$200+(($C81)-$A$63:$A$108)*'Cálculos'!$D$98)+1400)+'Cálculos'!$D$123)*'Cálculos'!$D$279)+('Cálculos'!$D$200+(($C81)-$A$63:$A$108)*'Cálculos'!$D$98)*('Cálculos'!$D$270+'Cálculos'!$D$124*(1+2.78*('Cálculos'!$D$200+(($C81)-$A$63:$A$108)*'Cálculos'!$D$98)/(('Cálculos'!$D$200+(($C81)-$A$63:$A$108)*'Cálculos'!$D$98)+1400)+'Cálculos'!$D$122)*'Cálculos'!$D$275+'Cálculos'!$D$125*(1+2.78*('Cálculos'!$D$200+(($C81)-$A$63:$A$108)*'Cálculos'!$D$98)/(('Cálculos'!$D$200+(($C81)-$A$63:$A$108)*'Cálculos'!$D$98)+1400)+'Cálculos'!$D$123)*'Cálculos'!$D$280)+('Cálculos'!$D$201*(1+'Cálculos'!$D$202+$A$63:$A$108*('Cálculos'!$D$290=2)*'Cálculos'!$D$101)+'Cálculos'!$D$203)*('Cálculos'!$D$271+'Cálculos'!$D$124*(1+2.78*('Cálculos'!$D$200+(($C81)-$A$63:$A$108)*'Cálculos'!$D$98)/(('Cálculos'!$D$200+(($C81)-$A$63:$A$108)*'Cálculos'!$D$98)+1400)+'Cálculos'!$D$122)*'Cálculos'!$D$276+'Cálculos'!$D$125*(1+2.78*('Cálculos'!$D$200+(($C81)-$A$63:$A$108)*'Cálculos'!$D$98)/(('Cálculos'!$D$200+(($C81)-$A$63:$A$108)*'Cálculos'!$D$98)+1400)+'Cálculos'!$D$123)*'Cálculos'!$D$281)+('Cálculos'!$D$204*(1+'Cálculos'!$D$205+$A$63:$A$108*('Cálculos'!$D$290=3)*'Cálculos'!$D$103)+'Cálculos'!$D$206)*('Cálculos'!$D$272+'Cálculos'!$D$124*(1+2.78*('Cálculos'!$D$200+(($C81)-$A$63:$A$108)*'Cálculos'!$D$98)/(('Cálculos'!$D$200+(($C81)-$A$63:$A$108)*'Cálculos'!$D$98)+1400)+'Cálculos'!$D$122)*'Cálculos'!$D$277+'Cálculos'!$D$125*(1+2.78*('Cálculos'!$D$200+(($C81)-$A$63:$A$108)*'Cálculos'!$D$98)/(('Cálculos'!$D$200+(($C81)-$A$63:$A$108)*'Cálculos'!$D$98)+1400)+'Cálculos'!$D$123)*'Cálculos'!$D$282)+('Cálculos'!$D$273+'Cálculos'!$D$124*(1+2.78*('Cálculos'!$D$200+(($C81)-$A$63:$A$108)*'Cálculos'!$D$98)/(('Cálculos'!$D$200+(($C81)-$A$63:$A$108)*'Cálculos'!$D$98)+1400)+'Cálculos'!$D$122)*'Cálculos'!$D$278+'Cálculos'!$D$125*(1+2.78*('Cálculos'!$D$200+(($C81)-$A$63:$A$108)*'Cálculos'!$D$98)/(('Cálculos'!$D$200+(($C81)-$A$63:$A$108)*'Cálculos'!$D$98)+1400)+'Cálculos'!$D$123)*'Cálculos'!$D$283)))))</f>
        <v>0</v>
      </c>
      <c r="E81" s="32">
        <f>IF(OR($C81&lt;0,'Cálculos'!$D$6=""),0,$B81*$D81)</f>
        <v>0</v>
      </c>
      <c r="F81" s="2"/>
      <c r="G81" s="30">
        <f>($A81&lt;=$B$110)*($A81&lt;='Cálculos'!$D$294)*(($B$110)-$A81&lt;='Cálculos'!$D$295)*(1+MIN(('Cálculos'!$D$207+$A81*'Cálculos'!$D$95),1)*('Cálculos'!$D$208+(($B$110)-$A81)*'Cálculos'!$D$96))</f>
        <v>0</v>
      </c>
      <c r="H81" s="31">
        <f>IF($B$111&lt;0,0,($A81&lt;=$B$111)*($A81&lt;='Cálculos'!$D$301)*(($B$111)-$A81&lt;='Cálculos'!$D$297)*(('Cálculos'!$D$185*(1+'Cálculos'!$D$186+$A81*('Cálculos'!$D$290=1)*'Cálculos'!$D$97+'Cálculos'!$D$305)+'Cálculos'!$D$191)*('Cálculos'!$D$209+'Cálculos'!$D$124*(1+2.78*('Cálculos'!$D$196+(($B$111)-$A81)*'Cálculos'!$D$98)/(('Cálculos'!$D$196+(($B$111)-$A81)*'Cálculos'!$D$98)+1400)+'Cálculos'!$D$122)*'Cálculos'!$D$214+'Cálculos'!$D$125*(1+2.78*('Cálculos'!$D$196+(($B$111)-$A81)*'Cálculos'!$D$98)/(('Cálculos'!$D$196+(($B$111)-$A81)*'Cálculos'!$D$98)+1400)+'Cálculos'!$D$123)*'Cálculos'!$D$219)+('Cálculos'!$D$196+(($B$111)-$A81)*'Cálculos'!$D$98)*('Cálculos'!$D$210+'Cálculos'!$D$124*(1+2.78*('Cálculos'!$D$196+(($B$111)-$A81)*'Cálculos'!$D$98)/(('Cálculos'!$D$196+(($B$111)-$A81)*'Cálculos'!$D$98)+1400)+'Cálculos'!$D$122)*'Cálculos'!$D$215+'Cálculos'!$D$125*(1+2.78*('Cálculos'!$D$196+(($B$111)-$A81)*'Cálculos'!$D$98)/(('Cálculos'!$D$196+(($B$111)-$A81)*'Cálculos'!$D$98)+1400)+'Cálculos'!$D$123)*'Cálculos'!$D$220)+('Cálculos'!$D$201*(1+'Cálculos'!$D$202+$A81*('Cálculos'!$D$290=2)*'Cálculos'!$D$101)+'Cálculos'!$D$203)*('Cálculos'!$D$211+'Cálculos'!$D$124*(1+2.78*('Cálculos'!$D$196+(($B$111)-$A81)*'Cálculos'!$D$98)/(('Cálculos'!$D$196+(($B$111)-$A81)*'Cálculos'!$D$98)+1400)+'Cálculos'!$D$122)*'Cálculos'!$D$216+'Cálculos'!$D$125*(1+2.78*('Cálculos'!$D$196+(($B$111)-$A81)*'Cálculos'!$D$98)/(('Cálculos'!$D$196+(($B$111)-$A81)*'Cálculos'!$D$98)+1400)+'Cálculos'!$D$123)*'Cálculos'!$D$221)+('Cálculos'!$D$204*(1+'Cálculos'!$D$205+$A81*('Cálculos'!$D$290=3)*'Cálculos'!$D$103)+'Cálculos'!$D$206)*('Cálculos'!$D$212+'Cálculos'!$D$124*(1+2.78*('Cálculos'!$D$196+(($B$111)-$A81)*'Cálculos'!$D$98)/(('Cálculos'!$D$196+(($B$111)-$A81)*'Cálculos'!$D$98)+1400)+'Cálculos'!$D$122)*'Cálculos'!$D$217+'Cálculos'!$D$125*(1+2.78*('Cálculos'!$D$196+(($B$111)-$A81)*'Cálculos'!$D$98)/(('Cálculos'!$D$196+(($B$111)-$A81)*'Cálculos'!$D$98)+1400)+'Cálculos'!$D$123)*'Cálculos'!$D$222)+('Cálculos'!$D$213+'Cálculos'!$D$124*(1+2.78*('Cálculos'!$D$196+(($B$111)-$A81)*'Cálculos'!$D$98)/(('Cálculos'!$D$196+(($B$111)-$A81)*'Cálculos'!$D$98)+1400)+'Cálculos'!$D$122)*'Cálculos'!$D$218+'Cálculos'!$D$125*(1+2.78*('Cálculos'!$D$196+(($B$111)-$A81)*'Cálculos'!$D$98)/(('Cálculos'!$D$196+(($B$111)-$A81)*'Cálculos'!$D$98)+1400)+'Cálculos'!$D$123)*'Cálculos'!$D$223)+('Cálculos'!$D$185*(1+'Cálculos'!$D$187+$A81*('Cálculos'!$D$290=1)*'Cálculos'!$D$97+'Cálculos'!$D$305)+'Cálculos'!$D$192)*('Cálculos'!$D$224+'Cálculos'!$D$124*(1+2.78*('Cálculos'!$D$197+(($B$111)-$A81)*'Cálculos'!$D$98)/(('Cálculos'!$D$197+(($B$111)-$A81)*'Cálculos'!$D$98)+1400)+'Cálculos'!$D$122)*'Cálculos'!$D$229+'Cálculos'!$D$125*(1+2.78*('Cálculos'!$D$197+(($B$111)-$A81)*'Cálculos'!$D$98)/(('Cálculos'!$D$197+(($B$111)-$A81)*'Cálculos'!$D$98)+1400)+'Cálculos'!$D$123)*'Cálculos'!$D$234)+('Cálculos'!$D$197+(($B$111)-$A81)*'Cálculos'!$D$98)*('Cálculos'!$D$225+'Cálculos'!$D$124*(1+2.78*('Cálculos'!$D$197+(($B$111)-$A81)*'Cálculos'!$D$98)/(('Cálculos'!$D$197+(($B$111)-$A81)*'Cálculos'!$D$98)+1400)+'Cálculos'!$D$122)*'Cálculos'!$D$230+'Cálculos'!$D$125*(1+2.78*('Cálculos'!$D$197+(($B$111)-$A81)*'Cálculos'!$D$98)/(('Cálculos'!$D$197+(($B$111)-$A81)*'Cálculos'!$D$98)+1400)+'Cálculos'!$D$123)*'Cálculos'!$D$235)+('Cálculos'!$D$201*(1+'Cálculos'!$D$202+$A81*('Cálculos'!$D$290=2)*'Cálculos'!$D$101)+'Cálculos'!$D$203)*('Cálculos'!$D$226+'Cálculos'!$D$124*(1+2.78*('Cálculos'!$D$197+(($B$111)-$A81)*'Cálculos'!$D$98)/(('Cálculos'!$D$197+(($B$111)-$A81)*'Cálculos'!$D$98)+1400)+'Cálculos'!$D$122)*'Cálculos'!$D$231+'Cálculos'!$D$125*(1+2.78*('Cálculos'!$D$197+(($B$111)-$A81)*'Cálculos'!$D$98)/(('Cálculos'!$D$197+(($B$111)-$A81)*'Cálculos'!$D$98)+1400)+'Cálculos'!$D$123)*'Cálculos'!$D$236)+('Cálculos'!$D$204*(1+'Cálculos'!$D$205+$A81*('Cálculos'!$D$290=3)*'Cálculos'!$D$103)+'Cálculos'!$D$206)*('Cálculos'!$D$227+'Cálculos'!$D$124*(1+2.78*('Cálculos'!$D$197+(($B$111)-$A81)*'Cálculos'!$D$98)/(('Cálculos'!$D$197+(($B$111)-$A81)*'Cálculos'!$D$98)+1400)+'Cálculos'!$D$122)*'Cálculos'!$D$232+'Cálculos'!$D$125*(1+2.78*('Cálculos'!$D$197+(($B$111)-$A81)*'Cálculos'!$D$98)/(('Cálculos'!$D$197+(($B$111)-$A81)*'Cálculos'!$D$98)+1400)+'Cálculos'!$D$123)*'Cálculos'!$D$237)+('Cálculos'!$D$228+'Cálculos'!$D$124*(1+2.78*('Cálculos'!$D$197+(($B$111)-$A81)*'Cálculos'!$D$98)/(('Cálculos'!$D$197+(($B$111)-$A81)*'Cálculos'!$D$98)+1400)+'Cálculos'!$D$122)*'Cálculos'!$D$233+'Cálculos'!$D$125*(1+2.78*('Cálculos'!$D$197+(($B$111)-$A81)*'Cálculos'!$D$98)/(('Cálculos'!$D$197+(($B$111)-$A81)*'Cálculos'!$D$98)+1400)+'Cálculos'!$D$123)*'Cálculos'!$D$238)+('Cálculos'!$D$185*(1+'Cálculos'!$D$188+$A81*('Cálculos'!$D$290=1)*'Cálculos'!$D$97+'Cálculos'!$D$305)+'Cálculos'!$D$193)*('Cálculos'!$D$239+'Cálculos'!$D$124*(1+2.78*('Cálculos'!$D$198+(($B$111)-$A81)*'Cálculos'!$D$98)/(('Cálculos'!$D$198+(($B$111)-$A81)*'Cálculos'!$D$98)+1400)+'Cálculos'!$D$122)*'Cálculos'!$D$244+'Cálculos'!$D$125*(1+2.78*('Cálculos'!$D$198+(($B$111)-$A81)*'Cálculos'!$D$98)/(('Cálculos'!$D$198+(($B$111)-$A81)*'Cálculos'!$D$98)+1400)+'Cálculos'!$D$123)*'Cálculos'!$D$249)+('Cálculos'!$D$198+(($B$111)-$A81)*'Cálculos'!$D$98)*('Cálculos'!$D$240+'Cálculos'!$D$124*(1+2.78*('Cálculos'!$D$198+(($B$111)-$A81)*'Cálculos'!$D$98)/(('Cálculos'!$D$198+(($B$111)-$A81)*'Cálculos'!$D$98)+1400)+'Cálculos'!$D$122)*'Cálculos'!$D$245+'Cálculos'!$D$125*(1+2.78*('Cálculos'!$D$198+(($B$111)-$A81)*'Cálculos'!$D$98)/(('Cálculos'!$D$198+(($B$111)-$A81)*'Cálculos'!$D$98)+1400)+'Cálculos'!$D$123)*'Cálculos'!$D$250)+('Cálculos'!$D$201*(1+'Cálculos'!$D$202+$A81*('Cálculos'!$D$290=2)*'Cálculos'!$D$101)+'Cálculos'!$D$203)*('Cálculos'!$D$241+'Cálculos'!$D$124*(1+2.78*('Cálculos'!$D$198+(($B$111)-$A81)*'Cálculos'!$D$98)/(('Cálculos'!$D$198+(($B$111)-$A81)*'Cálculos'!$D$98)+1400)+'Cálculos'!$D$122)*'Cálculos'!$D$246+'Cálculos'!$D$125*(1+2.78*('Cálculos'!$D$198+(($B$111)-$A81)*'Cálculos'!$D$98)/(('Cálculos'!$D$198+(($B$111)-$A81)*'Cálculos'!$D$98)+1400)+'Cálculos'!$D$123)*'Cálculos'!$D$251)+('Cálculos'!$D$204*(1+'Cálculos'!$D$205+$A81*('Cálculos'!$D$290=3)*'Cálculos'!$D$103)+'Cálculos'!$D$206)*('Cálculos'!$D$242+'Cálculos'!$D$124*(1+2.78*('Cálculos'!$D$198+(($B$111)-$A81)*'Cálculos'!$D$98)/(('Cálculos'!$D$198+(($B$111)-$A81)*'Cálculos'!$D$98)+1400)+'Cálculos'!$D$122)*'Cálculos'!$D$247+'Cálculos'!$D$125*(1+2.78*('Cálculos'!$D$198+(($B$111)-$A81)*'Cálculos'!$D$98)/(('Cálculos'!$D$198+(($B$111)-$A81)*'Cálculos'!$D$98)+1400)+'Cálculos'!$D$123)*'Cálculos'!$D$252)+('Cálculos'!$D$243+'Cálculos'!$D$124*(1+2.78*('Cálculos'!$D$198+(($B$111)-$A81)*'Cálculos'!$D$98)/(('Cálculos'!$D$198+(($B$111)-$A81)*'Cálculos'!$D$98)+1400)+'Cálculos'!$D$122)*'Cálculos'!$D$248+'Cálculos'!$D$125*(1+2.78*('Cálculos'!$D$198+(($B$111)-$A81)*'Cálculos'!$D$98)/(('Cálculos'!$D$198+(($B$111)-$A81)*'Cálculos'!$D$98)+1400)+'Cálculos'!$D$123)*'Cálculos'!$D$253)+('Cálculos'!$D$185*(1+'Cálculos'!$D$189+$A81*('Cálculos'!$D$290=1)*'Cálculos'!$D$97+'Cálculos'!$D$305)+'Cálculos'!$D$194)*('Cálculos'!$D$254+'Cálculos'!$D$124*(1+2.78*('Cálculos'!$D$199+(($B$111)-$A81)*'Cálculos'!$D$98)/(('Cálculos'!$D$199+(($B$111)-$A81)*'Cálculos'!$D$98)+1400)+'Cálculos'!$D$122)*'Cálculos'!$D$259+'Cálculos'!$D$125*(1+2.78*('Cálculos'!$D$199+(($B$111)-$A81)*'Cálculos'!$D$98)/(('Cálculos'!$D$199+(($B$111)-$A81)*'Cálculos'!$D$98)+1400)+'Cálculos'!$D$123)*'Cálculos'!$D$264)+('Cálculos'!$D$199+(($B$111)-$A81)*'Cálculos'!$D$98)*('Cálculos'!$D$255+'Cálculos'!$D$124*(1+2.78*('Cálculos'!$D$199+(($B$111)-$A81)*'Cálculos'!$D$98)/(('Cálculos'!$D$199+(($B$111)-$A81)*'Cálculos'!$D$98)+1400)+'Cálculos'!$D$122)*'Cálculos'!$D$260+'Cálculos'!$D$125*(1+2.78*('Cálculos'!$D$199+(($B$111)-$A81)*'Cálculos'!$D$98)/(('Cálculos'!$D$199+(($B$111)-$A81)*'Cálculos'!$D$98)+1400)+'Cálculos'!$D$123)*'Cálculos'!$D$265)+('Cálculos'!$D$201*(1+'Cálculos'!$D$202+$A81*('Cálculos'!$D$290=2)*'Cálculos'!$D$101)+'Cálculos'!$D$203)*('Cálculos'!$D$256+'Cálculos'!$D$124*(1+2.78*('Cálculos'!$D$199+(($B$111)-$A81)*'Cálculos'!$D$98)/(('Cálculos'!$D$199+(($B$111)-$A81)*'Cálculos'!$D$98)+1400)+'Cálculos'!$D$122)*'Cálculos'!$D$261+'Cálculos'!$D$125*(1+2.78*('Cálculos'!$D$199+(($B$111)-$A81)*'Cálculos'!$D$98)/(('Cálculos'!$D$199+(($B$111)-$A81)*'Cálculos'!$D$98)+1400)+'Cálculos'!$D$123)*'Cálculos'!$D$266)+('Cálculos'!$D$204*(1+'Cálculos'!$D$205+$A81*('Cálculos'!$D$290=3)*'Cálculos'!$D$103)+'Cálculos'!$D$206)*('Cálculos'!$D$257+'Cálculos'!$D$124*(1+2.78*('Cálculos'!$D$199+(($B$111)-$A81)*'Cálculos'!$D$98)/(('Cálculos'!$D$199+(($B$111)-$A81)*'Cálculos'!$D$98)+1400)+'Cálculos'!$D$122)*'Cálculos'!$D$262+'Cálculos'!$D$125*(1+2.78*('Cálculos'!$D$199+(($B$111)-$A81)*'Cálculos'!$D$98)/(('Cálculos'!$D$199+(($B$111)-$A81)*'Cálculos'!$D$98)+1400)+'Cálculos'!$D$123)*'Cálculos'!$D$267)+('Cálculos'!$D$258+'Cálculos'!$D$124*(1+2.78*('Cálculos'!$D$199+(($B$111)-$A81)*'Cálculos'!$D$98)/(('Cálculos'!$D$199+(($B$111)-$A81)*'Cálculos'!$D$98)+1400)+'Cálculos'!$D$122)*'Cálculos'!$D$263+'Cálculos'!$D$125*(1+2.78*('Cálculos'!$D$199+(($B$111)-$A81)*'Cálculos'!$D$98)/(('Cálculos'!$D$199+(($B$111)-$A81)*'Cálculos'!$D$98)+1400)+'Cálculos'!$D$123)*'Cálculos'!$D$268)+('Cálculos'!$D$185*(1+'Cálculos'!$D$190+$A81*('Cálculos'!$D$290=1)*'Cálculos'!$D$97+'Cálculos'!$D$305)+'Cálculos'!$D$195)*('Cálculos'!$D$269+'Cálculos'!$D$124*(1+2.78*('Cálculos'!$D$200+(($B$111)-$A81)*'Cálculos'!$D$98)/(('Cálculos'!$D$200+(($B$111)-$A81)*'Cálculos'!$D$98)+1400)+'Cálculos'!$D$122)*'Cálculos'!$D$274+'Cálculos'!$D$125*(1+2.78*('Cálculos'!$D$200+(($B$111)-$A81)*'Cálculos'!$D$98)/(('Cálculos'!$D$200+(($B$111)-$A81)*'Cálculos'!$D$98)+1400)+'Cálculos'!$D$123)*'Cálculos'!$D$279)+('Cálculos'!$D$200+(($B$111)-$A81)*'Cálculos'!$D$98)*('Cálculos'!$D$270+'Cálculos'!$D$124*(1+2.78*('Cálculos'!$D$200+(($B$111)-$A81)*'Cálculos'!$D$98)/(('Cálculos'!$D$200+(($B$111)-$A81)*'Cálculos'!$D$98)+1400)+'Cálculos'!$D$122)*'Cálculos'!$D$275+'Cálculos'!$D$125*(1+2.78*('Cálculos'!$D$200+(($B$111)-$A81)*'Cálculos'!$D$98)/(('Cálculos'!$D$200+(($B$111)-$A81)*'Cálculos'!$D$98)+1400)+'Cálculos'!$D$123)*'Cálculos'!$D$280)+('Cálculos'!$D$201*(1+'Cálculos'!$D$202+$A81*('Cálculos'!$D$290=2)*'Cálculos'!$D$101)+'Cálculos'!$D$203)*('Cálculos'!$D$271+'Cálculos'!$D$124*(1+2.78*('Cálculos'!$D$200+(($B$111)-$A81)*'Cálculos'!$D$98)/(('Cálculos'!$D$200+(($B$111)-$A81)*'Cálculos'!$D$98)+1400)+'Cálculos'!$D$122)*'Cálculos'!$D$276+'Cálculos'!$D$125*(1+2.78*('Cálculos'!$D$200+(($B$111)-$A81)*'Cálculos'!$D$98)/(('Cálculos'!$D$200+(($B$111)-$A81)*'Cálculos'!$D$98)+1400)+'Cálculos'!$D$123)*'Cálculos'!$D$281)+('Cálculos'!$D$204*(1+'Cálculos'!$D$205+$A81*('Cálculos'!$D$290=3)*'Cálculos'!$D$103)+'Cálculos'!$D$206)*('Cálculos'!$D$272+'Cálculos'!$D$124*(1+2.78*('Cálculos'!$D$200+(($B$111)-$A81)*'Cálculos'!$D$98)/(('Cálculos'!$D$200+(($B$111)-$A81)*'Cálculos'!$D$98)+1400)+'Cálculos'!$D$122)*'Cálculos'!$D$277+'Cálculos'!$D$125*(1+2.78*('Cálculos'!$D$200+(($B$111)-$A81)*'Cálculos'!$D$98)/(('Cálculos'!$D$200+(($B$111)-$A81)*'Cálculos'!$D$98)+1400)+'Cálculos'!$D$123)*'Cálculos'!$D$282)+('Cálculos'!$D$273+'Cálculos'!$D$124*(1+2.78*('Cálculos'!$D$200+(($B$111)-$A81)*'Cálculos'!$D$98)/(('Cálculos'!$D$200+(($B$111)-$A81)*'Cálculos'!$D$98)+1400)+'Cálculos'!$D$122)*'Cálculos'!$D$278+'Cálculos'!$D$125*(1+2.78*('Cálculos'!$D$200+(($B$111)-$A81)*'Cálculos'!$D$98)/(('Cálculos'!$D$200+(($B$111)-$A81)*'Cálculos'!$D$98)+1400)+'Cálculos'!$D$123)*'Cálculos'!$D$283)))</f>
        <v>0</v>
      </c>
    </row>
    <row r="82" ht="15.75" customHeight="1">
      <c r="A82" s="2">
        <v>19.0</v>
      </c>
      <c r="B82" s="30">
        <f>SUMPRODUCT(MAX(($A$63:$A$108&lt;=$A82)*($A$63:$A$108&lt;='Cálculos'!$D$294)*(($A82)-$A$63:$A$108&lt;='Cálculos'!$D$295)*(1+(('Cálculos'!$D$207+$A$63:$A$108*'Cálculos'!$D$95)-(('Cálculos'!$D$207+$A$63:$A$108*'Cálculos'!$D$95)&gt;1)*(('Cálculos'!$D$207+$A$63:$A$108*'Cálculos'!$D$95)-1))*('Cálculos'!$D$208+(($A82)-$A$63:$A$108)*'Cálculos'!$D$96))))</f>
        <v>1.692162073</v>
      </c>
      <c r="C82" s="2">
        <f>'Cálculos'!$D$303-$A82</f>
        <v>-8</v>
      </c>
      <c r="D82" s="31">
        <f>IF($C82&lt;0,0,SUMPRODUCT(MAX(($A$63:$A$108&lt;=$C82)*($A$63:$A$108&lt;='Cálculos'!$D$301)*(($C82)-$A$63:$A$108&lt;='Cálculos'!$D$297)*(('Cálculos'!$D$185*(1+'Cálculos'!$D$186+$A$63:$A$108*('Cálculos'!$D$290=1)*'Cálculos'!$D$97+'Cálculos'!$D$305)+'Cálculos'!$D$191)*('Cálculos'!$D$209+'Cálculos'!$D$124*(1+2.78*('Cálculos'!$D$196+(($C82)-$A$63:$A$108)*'Cálculos'!$D$98)/(('Cálculos'!$D$196+(($C82)-$A$63:$A$108)*'Cálculos'!$D$98)+1400)+'Cálculos'!$D$122)*'Cálculos'!$D$214+'Cálculos'!$D$125*(1+2.78*('Cálculos'!$D$196+(($C82)-$A$63:$A$108)*'Cálculos'!$D$98)/(('Cálculos'!$D$196+(($C82)-$A$63:$A$108)*'Cálculos'!$D$98)+1400)+'Cálculos'!$D$123)*'Cálculos'!$D$219)+('Cálculos'!$D$196+(($C82)-$A$63:$A$108)*'Cálculos'!$D$98)*('Cálculos'!$D$210+'Cálculos'!$D$124*(1+2.78*('Cálculos'!$D$196+(($C82)-$A$63:$A$108)*'Cálculos'!$D$98)/(('Cálculos'!$D$196+(($C82)-$A$63:$A$108)*'Cálculos'!$D$98)+1400)+'Cálculos'!$D$122)*'Cálculos'!$D$215+'Cálculos'!$D$125*(1+2.78*('Cálculos'!$D$196+(($C82)-$A$63:$A$108)*'Cálculos'!$D$98)/(('Cálculos'!$D$196+(($C82)-$A$63:$A$108)*'Cálculos'!$D$98)+1400)+'Cálculos'!$D$123)*'Cálculos'!$D$220)+('Cálculos'!$D$201*(1+'Cálculos'!$D$202+$A$63:$A$108*('Cálculos'!$D$290=2)*'Cálculos'!$D$101)+'Cálculos'!$D$203)*('Cálculos'!$D$211+'Cálculos'!$D$124*(1+2.78*('Cálculos'!$D$196+(($C82)-$A$63:$A$108)*'Cálculos'!$D$98)/(('Cálculos'!$D$196+(($C82)-$A$63:$A$108)*'Cálculos'!$D$98)+1400)+'Cálculos'!$D$122)*'Cálculos'!$D$216+'Cálculos'!$D$125*(1+2.78*('Cálculos'!$D$196+(($C82)-$A$63:$A$108)*'Cálculos'!$D$98)/(('Cálculos'!$D$196+(($C82)-$A$63:$A$108)*'Cálculos'!$D$98)+1400)+'Cálculos'!$D$123)*'Cálculos'!$D$221)+('Cálculos'!$D$204*(1+'Cálculos'!$D$205+$A$63:$A$108*('Cálculos'!$D$290=3)*'Cálculos'!$D$103)+'Cálculos'!$D$206)*('Cálculos'!$D$212+'Cálculos'!$D$124*(1+2.78*('Cálculos'!$D$196+(($C82)-$A$63:$A$108)*'Cálculos'!$D$98)/(('Cálculos'!$D$196+(($C82)-$A$63:$A$108)*'Cálculos'!$D$98)+1400)+'Cálculos'!$D$122)*'Cálculos'!$D$217+'Cálculos'!$D$125*(1+2.78*('Cálculos'!$D$196+(($C82)-$A$63:$A$108)*'Cálculos'!$D$98)/(('Cálculos'!$D$196+(($C82)-$A$63:$A$108)*'Cálculos'!$D$98)+1400)+'Cálculos'!$D$123)*'Cálculos'!$D$222)+('Cálculos'!$D$213+'Cálculos'!$D$124*(1+2.78*('Cálculos'!$D$196+(($C82)-$A$63:$A$108)*'Cálculos'!$D$98)/(('Cálculos'!$D$196+(($C82)-$A$63:$A$108)*'Cálculos'!$D$98)+1400)+'Cálculos'!$D$122)*'Cálculos'!$D$218+'Cálculos'!$D$125*(1+2.78*('Cálculos'!$D$196+(($C82)-$A$63:$A$108)*'Cálculos'!$D$98)/(('Cálculos'!$D$196+(($C82)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82)-$A$63:$A$108)*'Cálculos'!$D$98)/(('Cálculos'!$D$197+(($C82)-$A$63:$A$108)*'Cálculos'!$D$98)+1400)+'Cálculos'!$D$122)*'Cálculos'!$D$229+'Cálculos'!$D$125*(1+2.78*('Cálculos'!$D$197+(($C82)-$A$63:$A$108)*'Cálculos'!$D$98)/(('Cálculos'!$D$197+(($C82)-$A$63:$A$108)*'Cálculos'!$D$98)+1400)+'Cálculos'!$D$123)*'Cálculos'!$D$234)+('Cálculos'!$D$197+(($C82)-$A$63:$A$108)*'Cálculos'!$D$98)*('Cálculos'!$D$225+'Cálculos'!$D$124*(1+2.78*('Cálculos'!$D$197+(($C82)-$A$63:$A$108)*'Cálculos'!$D$98)/(('Cálculos'!$D$197+(($C82)-$A$63:$A$108)*'Cálculos'!$D$98)+1400)+'Cálculos'!$D$122)*'Cálculos'!$D$230+'Cálculos'!$D$125*(1+2.78*('Cálculos'!$D$197+(($C82)-$A$63:$A$108)*'Cálculos'!$D$98)/(('Cálculos'!$D$197+(($C82)-$A$63:$A$108)*'Cálculos'!$D$98)+1400)+'Cálculos'!$D$123)*'Cálculos'!$D$235)+('Cálculos'!$D$201*(1+'Cálculos'!$D$202+$A$63:$A$108*('Cálculos'!$D$290=2)*'Cálculos'!$D$101)+'Cálculos'!$D$203)*('Cálculos'!$D$226+'Cálculos'!$D$124*(1+2.78*('Cálculos'!$D$197+(($C82)-$A$63:$A$108)*'Cálculos'!$D$98)/(('Cálculos'!$D$197+(($C82)-$A$63:$A$108)*'Cálculos'!$D$98)+1400)+'Cálculos'!$D$122)*'Cálculos'!$D$231+'Cálculos'!$D$125*(1+2.78*('Cálculos'!$D$197+(($C82)-$A$63:$A$108)*'Cálculos'!$D$98)/(('Cálculos'!$D$197+(($C82)-$A$63:$A$108)*'Cálculos'!$D$98)+1400)+'Cálculos'!$D$123)*'Cálculos'!$D$236)+('Cálculos'!$D$204*(1+'Cálculos'!$D$205+$A$63:$A$108*('Cálculos'!$D$290=3)*'Cálculos'!$D$103)+'Cálculos'!$D$206)*('Cálculos'!$D$227+'Cálculos'!$D$124*(1+2.78*('Cálculos'!$D$197+(($C82)-$A$63:$A$108)*'Cálculos'!$D$98)/(('Cálculos'!$D$197+(($C82)-$A$63:$A$108)*'Cálculos'!$D$98)+1400)+'Cálculos'!$D$122)*'Cálculos'!$D$232+'Cálculos'!$D$125*(1+2.78*('Cálculos'!$D$197+(($C82)-$A$63:$A$108)*'Cálculos'!$D$98)/(('Cálculos'!$D$197+(($C82)-$A$63:$A$108)*'Cálculos'!$D$98)+1400)+'Cálculos'!$D$123)*'Cálculos'!$D$237)+('Cálculos'!$D$228+'Cálculos'!$D$124*(1+2.78*('Cálculos'!$D$197+(($C82)-$A$63:$A$108)*'Cálculos'!$D$98)/(('Cálculos'!$D$197+(($C82)-$A$63:$A$108)*'Cálculos'!$D$98)+1400)+'Cálculos'!$D$122)*'Cálculos'!$D$233+'Cálculos'!$D$125*(1+2.78*('Cálculos'!$D$197+(($C82)-$A$63:$A$108)*'Cálculos'!$D$98)/(('Cálculos'!$D$197+(($C82)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82)-$A$63:$A$108)*'Cálculos'!$D$98)/(('Cálculos'!$D$198+(($C82)-$A$63:$A$108)*'Cálculos'!$D$98)+1400)+'Cálculos'!$D$122)*'Cálculos'!$D$244+'Cálculos'!$D$125*(1+2.78*('Cálculos'!$D$198+(($C82)-$A$63:$A$108)*'Cálculos'!$D$98)/(('Cálculos'!$D$198+(($C82)-$A$63:$A$108)*'Cálculos'!$D$98)+1400)+'Cálculos'!$D$123)*'Cálculos'!$D$249)+('Cálculos'!$D$198+(($C82)-$A$63:$A$108)*'Cálculos'!$D$98)*('Cálculos'!$D$240+'Cálculos'!$D$124*(1+2.78*('Cálculos'!$D$198+(($C82)-$A$63:$A$108)*'Cálculos'!$D$98)/(('Cálculos'!$D$198+(($C82)-$A$63:$A$108)*'Cálculos'!$D$98)+1400)+'Cálculos'!$D$122)*'Cálculos'!$D$245+'Cálculos'!$D$125*(1+2.78*('Cálculos'!$D$198+(($C82)-$A$63:$A$108)*'Cálculos'!$D$98)/(('Cálculos'!$D$198+(($C82)-$A$63:$A$108)*'Cálculos'!$D$98)+1400)+'Cálculos'!$D$123)*'Cálculos'!$D$250)+('Cálculos'!$D$201*(1+'Cálculos'!$D$202+$A$63:$A$108*('Cálculos'!$D$290=2)*'Cálculos'!$D$101)+'Cálculos'!$D$203)*('Cálculos'!$D$241+'Cálculos'!$D$124*(1+2.78*('Cálculos'!$D$198+(($C82)-$A$63:$A$108)*'Cálculos'!$D$98)/(('Cálculos'!$D$198+(($C82)-$A$63:$A$108)*'Cálculos'!$D$98)+1400)+'Cálculos'!$D$122)*'Cálculos'!$D$246+'Cálculos'!$D$125*(1+2.78*('Cálculos'!$D$198+(($C82)-$A$63:$A$108)*'Cálculos'!$D$98)/(('Cálculos'!$D$198+(($C82)-$A$63:$A$108)*'Cálculos'!$D$98)+1400)+'Cálculos'!$D$123)*'Cálculos'!$D$251)+('Cálculos'!$D$204*(1+'Cálculos'!$D$205+$A$63:$A$108*('Cálculos'!$D$290=3)*'Cálculos'!$D$103)+'Cálculos'!$D$206)*('Cálculos'!$D$242+'Cálculos'!$D$124*(1+2.78*('Cálculos'!$D$198+(($C82)-$A$63:$A$108)*'Cálculos'!$D$98)/(('Cálculos'!$D$198+(($C82)-$A$63:$A$108)*'Cálculos'!$D$98)+1400)+'Cálculos'!$D$122)*'Cálculos'!$D$247+'Cálculos'!$D$125*(1+2.78*('Cálculos'!$D$198+(($C82)-$A$63:$A$108)*'Cálculos'!$D$98)/(('Cálculos'!$D$198+(($C82)-$A$63:$A$108)*'Cálculos'!$D$98)+1400)+'Cálculos'!$D$123)*'Cálculos'!$D$252)+('Cálculos'!$D$243+'Cálculos'!$D$124*(1+2.78*('Cálculos'!$D$198+(($C82)-$A$63:$A$108)*'Cálculos'!$D$98)/(('Cálculos'!$D$198+(($C82)-$A$63:$A$108)*'Cálculos'!$D$98)+1400)+'Cálculos'!$D$122)*'Cálculos'!$D$248+'Cálculos'!$D$125*(1+2.78*('Cálculos'!$D$198+(($C82)-$A$63:$A$108)*'Cálculos'!$D$98)/(('Cálculos'!$D$198+(($C82)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82)-$A$63:$A$108)*'Cálculos'!$D$98)/(('Cálculos'!$D$199+(($C82)-$A$63:$A$108)*'Cálculos'!$D$98)+1400)+'Cálculos'!$D$122)*'Cálculos'!$D$259+'Cálculos'!$D$125*(1+2.78*('Cálculos'!$D$199+(($C82)-$A$63:$A$108)*'Cálculos'!$D$98)/(('Cálculos'!$D$199+(($C82)-$A$63:$A$108)*'Cálculos'!$D$98)+1400)+'Cálculos'!$D$123)*'Cálculos'!$D$264)+('Cálculos'!$D$199+(($C82)-$A$63:$A$108)*'Cálculos'!$D$98)*('Cálculos'!$D$255+'Cálculos'!$D$124*(1+2.78*('Cálculos'!$D$199+(($C82)-$A$63:$A$108)*'Cálculos'!$D$98)/(('Cálculos'!$D$199+(($C82)-$A$63:$A$108)*'Cálculos'!$D$98)+1400)+'Cálculos'!$D$122)*'Cálculos'!$D$260+'Cálculos'!$D$125*(1+2.78*('Cálculos'!$D$199+(($C82)-$A$63:$A$108)*'Cálculos'!$D$98)/(('Cálculos'!$D$199+(($C82)-$A$63:$A$108)*'Cálculos'!$D$98)+1400)+'Cálculos'!$D$123)*'Cálculos'!$D$265)+('Cálculos'!$D$201*(1+'Cálculos'!$D$202+$A$63:$A$108*('Cálculos'!$D$290=2)*'Cálculos'!$D$101)+'Cálculos'!$D$203)*('Cálculos'!$D$256+'Cálculos'!$D$124*(1+2.78*('Cálculos'!$D$199+(($C82)-$A$63:$A$108)*'Cálculos'!$D$98)/(('Cálculos'!$D$199+(($C82)-$A$63:$A$108)*'Cálculos'!$D$98)+1400)+'Cálculos'!$D$122)*'Cálculos'!$D$261+'Cálculos'!$D$125*(1+2.78*('Cálculos'!$D$199+(($C82)-$A$63:$A$108)*'Cálculos'!$D$98)/(('Cálculos'!$D$199+(($C82)-$A$63:$A$108)*'Cálculos'!$D$98)+1400)+'Cálculos'!$D$123)*'Cálculos'!$D$266)+('Cálculos'!$D$204*(1+'Cálculos'!$D$205+$A$63:$A$108*('Cálculos'!$D$290=3)*'Cálculos'!$D$103)+'Cálculos'!$D$206)*('Cálculos'!$D$257+'Cálculos'!$D$124*(1+2.78*('Cálculos'!$D$199+(($C82)-$A$63:$A$108)*'Cálculos'!$D$98)/(('Cálculos'!$D$199+(($C82)-$A$63:$A$108)*'Cálculos'!$D$98)+1400)+'Cálculos'!$D$122)*'Cálculos'!$D$262+'Cálculos'!$D$125*(1+2.78*('Cálculos'!$D$199+(($C82)-$A$63:$A$108)*'Cálculos'!$D$98)/(('Cálculos'!$D$199+(($C82)-$A$63:$A$108)*'Cálculos'!$D$98)+1400)+'Cálculos'!$D$123)*'Cálculos'!$D$267)+('Cálculos'!$D$258+'Cálculos'!$D$124*(1+2.78*('Cálculos'!$D$199+(($C82)-$A$63:$A$108)*'Cálculos'!$D$98)/(('Cálculos'!$D$199+(($C82)-$A$63:$A$108)*'Cálculos'!$D$98)+1400)+'Cálculos'!$D$122)*'Cálculos'!$D$263+'Cálculos'!$D$125*(1+2.78*('Cálculos'!$D$199+(($C82)-$A$63:$A$108)*'Cálculos'!$D$98)/(('Cálculos'!$D$199+(($C82)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82)-$A$63:$A$108)*'Cálculos'!$D$98)/(('Cálculos'!$D$200+(($C82)-$A$63:$A$108)*'Cálculos'!$D$98)+1400)+'Cálculos'!$D$122)*'Cálculos'!$D$274+'Cálculos'!$D$125*(1+2.78*('Cálculos'!$D$200+(($C82)-$A$63:$A$108)*'Cálculos'!$D$98)/(('Cálculos'!$D$200+(($C82)-$A$63:$A$108)*'Cálculos'!$D$98)+1400)+'Cálculos'!$D$123)*'Cálculos'!$D$279)+('Cálculos'!$D$200+(($C82)-$A$63:$A$108)*'Cálculos'!$D$98)*('Cálculos'!$D$270+'Cálculos'!$D$124*(1+2.78*('Cálculos'!$D$200+(($C82)-$A$63:$A$108)*'Cálculos'!$D$98)/(('Cálculos'!$D$200+(($C82)-$A$63:$A$108)*'Cálculos'!$D$98)+1400)+'Cálculos'!$D$122)*'Cálculos'!$D$275+'Cálculos'!$D$125*(1+2.78*('Cálculos'!$D$200+(($C82)-$A$63:$A$108)*'Cálculos'!$D$98)/(('Cálculos'!$D$200+(($C82)-$A$63:$A$108)*'Cálculos'!$D$98)+1400)+'Cálculos'!$D$123)*'Cálculos'!$D$280)+('Cálculos'!$D$201*(1+'Cálculos'!$D$202+$A$63:$A$108*('Cálculos'!$D$290=2)*'Cálculos'!$D$101)+'Cálculos'!$D$203)*('Cálculos'!$D$271+'Cálculos'!$D$124*(1+2.78*('Cálculos'!$D$200+(($C82)-$A$63:$A$108)*'Cálculos'!$D$98)/(('Cálculos'!$D$200+(($C82)-$A$63:$A$108)*'Cálculos'!$D$98)+1400)+'Cálculos'!$D$122)*'Cálculos'!$D$276+'Cálculos'!$D$125*(1+2.78*('Cálculos'!$D$200+(($C82)-$A$63:$A$108)*'Cálculos'!$D$98)/(('Cálculos'!$D$200+(($C82)-$A$63:$A$108)*'Cálculos'!$D$98)+1400)+'Cálculos'!$D$123)*'Cálculos'!$D$281)+('Cálculos'!$D$204*(1+'Cálculos'!$D$205+$A$63:$A$108*('Cálculos'!$D$290=3)*'Cálculos'!$D$103)+'Cálculos'!$D$206)*('Cálculos'!$D$272+'Cálculos'!$D$124*(1+2.78*('Cálculos'!$D$200+(($C82)-$A$63:$A$108)*'Cálculos'!$D$98)/(('Cálculos'!$D$200+(($C82)-$A$63:$A$108)*'Cálculos'!$D$98)+1400)+'Cálculos'!$D$122)*'Cálculos'!$D$277+'Cálculos'!$D$125*(1+2.78*('Cálculos'!$D$200+(($C82)-$A$63:$A$108)*'Cálculos'!$D$98)/(('Cálculos'!$D$200+(($C82)-$A$63:$A$108)*'Cálculos'!$D$98)+1400)+'Cálculos'!$D$123)*'Cálculos'!$D$282)+('Cálculos'!$D$273+'Cálculos'!$D$124*(1+2.78*('Cálculos'!$D$200+(($C82)-$A$63:$A$108)*'Cálculos'!$D$98)/(('Cálculos'!$D$200+(($C82)-$A$63:$A$108)*'Cálculos'!$D$98)+1400)+'Cálculos'!$D$122)*'Cálculos'!$D$278+'Cálculos'!$D$125*(1+2.78*('Cálculos'!$D$200+(($C82)-$A$63:$A$108)*'Cálculos'!$D$98)/(('Cálculos'!$D$200+(($C82)-$A$63:$A$108)*'Cálculos'!$D$98)+1400)+'Cálculos'!$D$123)*'Cálculos'!$D$283)))))</f>
        <v>0</v>
      </c>
      <c r="E82" s="32">
        <f>IF(OR($C82&lt;0,'Cálculos'!$D$6=""),0,$B82*$D82)</f>
        <v>0</v>
      </c>
      <c r="F82" s="2"/>
      <c r="G82" s="30">
        <f>($A82&lt;=$B$110)*($A82&lt;='Cálculos'!$D$294)*(($B$110)-$A82&lt;='Cálculos'!$D$295)*(1+MIN(('Cálculos'!$D$207+$A82*'Cálculos'!$D$95),1)*('Cálculos'!$D$208+(($B$110)-$A82)*'Cálculos'!$D$96))</f>
        <v>0</v>
      </c>
      <c r="H82" s="31">
        <f>IF($B$111&lt;0,0,($A82&lt;=$B$111)*($A82&lt;='Cálculos'!$D$301)*(($B$111)-$A82&lt;='Cálculos'!$D$297)*(('Cálculos'!$D$185*(1+'Cálculos'!$D$186+$A82*('Cálculos'!$D$290=1)*'Cálculos'!$D$97+'Cálculos'!$D$305)+'Cálculos'!$D$191)*('Cálculos'!$D$209+'Cálculos'!$D$124*(1+2.78*('Cálculos'!$D$196+(($B$111)-$A82)*'Cálculos'!$D$98)/(('Cálculos'!$D$196+(($B$111)-$A82)*'Cálculos'!$D$98)+1400)+'Cálculos'!$D$122)*'Cálculos'!$D$214+'Cálculos'!$D$125*(1+2.78*('Cálculos'!$D$196+(($B$111)-$A82)*'Cálculos'!$D$98)/(('Cálculos'!$D$196+(($B$111)-$A82)*'Cálculos'!$D$98)+1400)+'Cálculos'!$D$123)*'Cálculos'!$D$219)+('Cálculos'!$D$196+(($B$111)-$A82)*'Cálculos'!$D$98)*('Cálculos'!$D$210+'Cálculos'!$D$124*(1+2.78*('Cálculos'!$D$196+(($B$111)-$A82)*'Cálculos'!$D$98)/(('Cálculos'!$D$196+(($B$111)-$A82)*'Cálculos'!$D$98)+1400)+'Cálculos'!$D$122)*'Cálculos'!$D$215+'Cálculos'!$D$125*(1+2.78*('Cálculos'!$D$196+(($B$111)-$A82)*'Cálculos'!$D$98)/(('Cálculos'!$D$196+(($B$111)-$A82)*'Cálculos'!$D$98)+1400)+'Cálculos'!$D$123)*'Cálculos'!$D$220)+('Cálculos'!$D$201*(1+'Cálculos'!$D$202+$A82*('Cálculos'!$D$290=2)*'Cálculos'!$D$101)+'Cálculos'!$D$203)*('Cálculos'!$D$211+'Cálculos'!$D$124*(1+2.78*('Cálculos'!$D$196+(($B$111)-$A82)*'Cálculos'!$D$98)/(('Cálculos'!$D$196+(($B$111)-$A82)*'Cálculos'!$D$98)+1400)+'Cálculos'!$D$122)*'Cálculos'!$D$216+'Cálculos'!$D$125*(1+2.78*('Cálculos'!$D$196+(($B$111)-$A82)*'Cálculos'!$D$98)/(('Cálculos'!$D$196+(($B$111)-$A82)*'Cálculos'!$D$98)+1400)+'Cálculos'!$D$123)*'Cálculos'!$D$221)+('Cálculos'!$D$204*(1+'Cálculos'!$D$205+$A82*('Cálculos'!$D$290=3)*'Cálculos'!$D$103)+'Cálculos'!$D$206)*('Cálculos'!$D$212+'Cálculos'!$D$124*(1+2.78*('Cálculos'!$D$196+(($B$111)-$A82)*'Cálculos'!$D$98)/(('Cálculos'!$D$196+(($B$111)-$A82)*'Cálculos'!$D$98)+1400)+'Cálculos'!$D$122)*'Cálculos'!$D$217+'Cálculos'!$D$125*(1+2.78*('Cálculos'!$D$196+(($B$111)-$A82)*'Cálculos'!$D$98)/(('Cálculos'!$D$196+(($B$111)-$A82)*'Cálculos'!$D$98)+1400)+'Cálculos'!$D$123)*'Cálculos'!$D$222)+('Cálculos'!$D$213+'Cálculos'!$D$124*(1+2.78*('Cálculos'!$D$196+(($B$111)-$A82)*'Cálculos'!$D$98)/(('Cálculos'!$D$196+(($B$111)-$A82)*'Cálculos'!$D$98)+1400)+'Cálculos'!$D$122)*'Cálculos'!$D$218+'Cálculos'!$D$125*(1+2.78*('Cálculos'!$D$196+(($B$111)-$A82)*'Cálculos'!$D$98)/(('Cálculos'!$D$196+(($B$111)-$A82)*'Cálculos'!$D$98)+1400)+'Cálculos'!$D$123)*'Cálculos'!$D$223)+('Cálculos'!$D$185*(1+'Cálculos'!$D$187+$A82*('Cálculos'!$D$290=1)*'Cálculos'!$D$97+'Cálculos'!$D$305)+'Cálculos'!$D$192)*('Cálculos'!$D$224+'Cálculos'!$D$124*(1+2.78*('Cálculos'!$D$197+(($B$111)-$A82)*'Cálculos'!$D$98)/(('Cálculos'!$D$197+(($B$111)-$A82)*'Cálculos'!$D$98)+1400)+'Cálculos'!$D$122)*'Cálculos'!$D$229+'Cálculos'!$D$125*(1+2.78*('Cálculos'!$D$197+(($B$111)-$A82)*'Cálculos'!$D$98)/(('Cálculos'!$D$197+(($B$111)-$A82)*'Cálculos'!$D$98)+1400)+'Cálculos'!$D$123)*'Cálculos'!$D$234)+('Cálculos'!$D$197+(($B$111)-$A82)*'Cálculos'!$D$98)*('Cálculos'!$D$225+'Cálculos'!$D$124*(1+2.78*('Cálculos'!$D$197+(($B$111)-$A82)*'Cálculos'!$D$98)/(('Cálculos'!$D$197+(($B$111)-$A82)*'Cálculos'!$D$98)+1400)+'Cálculos'!$D$122)*'Cálculos'!$D$230+'Cálculos'!$D$125*(1+2.78*('Cálculos'!$D$197+(($B$111)-$A82)*'Cálculos'!$D$98)/(('Cálculos'!$D$197+(($B$111)-$A82)*'Cálculos'!$D$98)+1400)+'Cálculos'!$D$123)*'Cálculos'!$D$235)+('Cálculos'!$D$201*(1+'Cálculos'!$D$202+$A82*('Cálculos'!$D$290=2)*'Cálculos'!$D$101)+'Cálculos'!$D$203)*('Cálculos'!$D$226+'Cálculos'!$D$124*(1+2.78*('Cálculos'!$D$197+(($B$111)-$A82)*'Cálculos'!$D$98)/(('Cálculos'!$D$197+(($B$111)-$A82)*'Cálculos'!$D$98)+1400)+'Cálculos'!$D$122)*'Cálculos'!$D$231+'Cálculos'!$D$125*(1+2.78*('Cálculos'!$D$197+(($B$111)-$A82)*'Cálculos'!$D$98)/(('Cálculos'!$D$197+(($B$111)-$A82)*'Cálculos'!$D$98)+1400)+'Cálculos'!$D$123)*'Cálculos'!$D$236)+('Cálculos'!$D$204*(1+'Cálculos'!$D$205+$A82*('Cálculos'!$D$290=3)*'Cálculos'!$D$103)+'Cálculos'!$D$206)*('Cálculos'!$D$227+'Cálculos'!$D$124*(1+2.78*('Cálculos'!$D$197+(($B$111)-$A82)*'Cálculos'!$D$98)/(('Cálculos'!$D$197+(($B$111)-$A82)*'Cálculos'!$D$98)+1400)+'Cálculos'!$D$122)*'Cálculos'!$D$232+'Cálculos'!$D$125*(1+2.78*('Cálculos'!$D$197+(($B$111)-$A82)*'Cálculos'!$D$98)/(('Cálculos'!$D$197+(($B$111)-$A82)*'Cálculos'!$D$98)+1400)+'Cálculos'!$D$123)*'Cálculos'!$D$237)+('Cálculos'!$D$228+'Cálculos'!$D$124*(1+2.78*('Cálculos'!$D$197+(($B$111)-$A82)*'Cálculos'!$D$98)/(('Cálculos'!$D$197+(($B$111)-$A82)*'Cálculos'!$D$98)+1400)+'Cálculos'!$D$122)*'Cálculos'!$D$233+'Cálculos'!$D$125*(1+2.78*('Cálculos'!$D$197+(($B$111)-$A82)*'Cálculos'!$D$98)/(('Cálculos'!$D$197+(($B$111)-$A82)*'Cálculos'!$D$98)+1400)+'Cálculos'!$D$123)*'Cálculos'!$D$238)+('Cálculos'!$D$185*(1+'Cálculos'!$D$188+$A82*('Cálculos'!$D$290=1)*'Cálculos'!$D$97+'Cálculos'!$D$305)+'Cálculos'!$D$193)*('Cálculos'!$D$239+'Cálculos'!$D$124*(1+2.78*('Cálculos'!$D$198+(($B$111)-$A82)*'Cálculos'!$D$98)/(('Cálculos'!$D$198+(($B$111)-$A82)*'Cálculos'!$D$98)+1400)+'Cálculos'!$D$122)*'Cálculos'!$D$244+'Cálculos'!$D$125*(1+2.78*('Cálculos'!$D$198+(($B$111)-$A82)*'Cálculos'!$D$98)/(('Cálculos'!$D$198+(($B$111)-$A82)*'Cálculos'!$D$98)+1400)+'Cálculos'!$D$123)*'Cálculos'!$D$249)+('Cálculos'!$D$198+(($B$111)-$A82)*'Cálculos'!$D$98)*('Cálculos'!$D$240+'Cálculos'!$D$124*(1+2.78*('Cálculos'!$D$198+(($B$111)-$A82)*'Cálculos'!$D$98)/(('Cálculos'!$D$198+(($B$111)-$A82)*'Cálculos'!$D$98)+1400)+'Cálculos'!$D$122)*'Cálculos'!$D$245+'Cálculos'!$D$125*(1+2.78*('Cálculos'!$D$198+(($B$111)-$A82)*'Cálculos'!$D$98)/(('Cálculos'!$D$198+(($B$111)-$A82)*'Cálculos'!$D$98)+1400)+'Cálculos'!$D$123)*'Cálculos'!$D$250)+('Cálculos'!$D$201*(1+'Cálculos'!$D$202+$A82*('Cálculos'!$D$290=2)*'Cálculos'!$D$101)+'Cálculos'!$D$203)*('Cálculos'!$D$241+'Cálculos'!$D$124*(1+2.78*('Cálculos'!$D$198+(($B$111)-$A82)*'Cálculos'!$D$98)/(('Cálculos'!$D$198+(($B$111)-$A82)*'Cálculos'!$D$98)+1400)+'Cálculos'!$D$122)*'Cálculos'!$D$246+'Cálculos'!$D$125*(1+2.78*('Cálculos'!$D$198+(($B$111)-$A82)*'Cálculos'!$D$98)/(('Cálculos'!$D$198+(($B$111)-$A82)*'Cálculos'!$D$98)+1400)+'Cálculos'!$D$123)*'Cálculos'!$D$251)+('Cálculos'!$D$204*(1+'Cálculos'!$D$205+$A82*('Cálculos'!$D$290=3)*'Cálculos'!$D$103)+'Cálculos'!$D$206)*('Cálculos'!$D$242+'Cálculos'!$D$124*(1+2.78*('Cálculos'!$D$198+(($B$111)-$A82)*'Cálculos'!$D$98)/(('Cálculos'!$D$198+(($B$111)-$A82)*'Cálculos'!$D$98)+1400)+'Cálculos'!$D$122)*'Cálculos'!$D$247+'Cálculos'!$D$125*(1+2.78*('Cálculos'!$D$198+(($B$111)-$A82)*'Cálculos'!$D$98)/(('Cálculos'!$D$198+(($B$111)-$A82)*'Cálculos'!$D$98)+1400)+'Cálculos'!$D$123)*'Cálculos'!$D$252)+('Cálculos'!$D$243+'Cálculos'!$D$124*(1+2.78*('Cálculos'!$D$198+(($B$111)-$A82)*'Cálculos'!$D$98)/(('Cálculos'!$D$198+(($B$111)-$A82)*'Cálculos'!$D$98)+1400)+'Cálculos'!$D$122)*'Cálculos'!$D$248+'Cálculos'!$D$125*(1+2.78*('Cálculos'!$D$198+(($B$111)-$A82)*'Cálculos'!$D$98)/(('Cálculos'!$D$198+(($B$111)-$A82)*'Cálculos'!$D$98)+1400)+'Cálculos'!$D$123)*'Cálculos'!$D$253)+('Cálculos'!$D$185*(1+'Cálculos'!$D$189+$A82*('Cálculos'!$D$290=1)*'Cálculos'!$D$97+'Cálculos'!$D$305)+'Cálculos'!$D$194)*('Cálculos'!$D$254+'Cálculos'!$D$124*(1+2.78*('Cálculos'!$D$199+(($B$111)-$A82)*'Cálculos'!$D$98)/(('Cálculos'!$D$199+(($B$111)-$A82)*'Cálculos'!$D$98)+1400)+'Cálculos'!$D$122)*'Cálculos'!$D$259+'Cálculos'!$D$125*(1+2.78*('Cálculos'!$D$199+(($B$111)-$A82)*'Cálculos'!$D$98)/(('Cálculos'!$D$199+(($B$111)-$A82)*'Cálculos'!$D$98)+1400)+'Cálculos'!$D$123)*'Cálculos'!$D$264)+('Cálculos'!$D$199+(($B$111)-$A82)*'Cálculos'!$D$98)*('Cálculos'!$D$255+'Cálculos'!$D$124*(1+2.78*('Cálculos'!$D$199+(($B$111)-$A82)*'Cálculos'!$D$98)/(('Cálculos'!$D$199+(($B$111)-$A82)*'Cálculos'!$D$98)+1400)+'Cálculos'!$D$122)*'Cálculos'!$D$260+'Cálculos'!$D$125*(1+2.78*('Cálculos'!$D$199+(($B$111)-$A82)*'Cálculos'!$D$98)/(('Cálculos'!$D$199+(($B$111)-$A82)*'Cálculos'!$D$98)+1400)+'Cálculos'!$D$123)*'Cálculos'!$D$265)+('Cálculos'!$D$201*(1+'Cálculos'!$D$202+$A82*('Cálculos'!$D$290=2)*'Cálculos'!$D$101)+'Cálculos'!$D$203)*('Cálculos'!$D$256+'Cálculos'!$D$124*(1+2.78*('Cálculos'!$D$199+(($B$111)-$A82)*'Cálculos'!$D$98)/(('Cálculos'!$D$199+(($B$111)-$A82)*'Cálculos'!$D$98)+1400)+'Cálculos'!$D$122)*'Cálculos'!$D$261+'Cálculos'!$D$125*(1+2.78*('Cálculos'!$D$199+(($B$111)-$A82)*'Cálculos'!$D$98)/(('Cálculos'!$D$199+(($B$111)-$A82)*'Cálculos'!$D$98)+1400)+'Cálculos'!$D$123)*'Cálculos'!$D$266)+('Cálculos'!$D$204*(1+'Cálculos'!$D$205+$A82*('Cálculos'!$D$290=3)*'Cálculos'!$D$103)+'Cálculos'!$D$206)*('Cálculos'!$D$257+'Cálculos'!$D$124*(1+2.78*('Cálculos'!$D$199+(($B$111)-$A82)*'Cálculos'!$D$98)/(('Cálculos'!$D$199+(($B$111)-$A82)*'Cálculos'!$D$98)+1400)+'Cálculos'!$D$122)*'Cálculos'!$D$262+'Cálculos'!$D$125*(1+2.78*('Cálculos'!$D$199+(($B$111)-$A82)*'Cálculos'!$D$98)/(('Cálculos'!$D$199+(($B$111)-$A82)*'Cálculos'!$D$98)+1400)+'Cálculos'!$D$123)*'Cálculos'!$D$267)+('Cálculos'!$D$258+'Cálculos'!$D$124*(1+2.78*('Cálculos'!$D$199+(($B$111)-$A82)*'Cálculos'!$D$98)/(('Cálculos'!$D$199+(($B$111)-$A82)*'Cálculos'!$D$98)+1400)+'Cálculos'!$D$122)*'Cálculos'!$D$263+'Cálculos'!$D$125*(1+2.78*('Cálculos'!$D$199+(($B$111)-$A82)*'Cálculos'!$D$98)/(('Cálculos'!$D$199+(($B$111)-$A82)*'Cálculos'!$D$98)+1400)+'Cálculos'!$D$123)*'Cálculos'!$D$268)+('Cálculos'!$D$185*(1+'Cálculos'!$D$190+$A82*('Cálculos'!$D$290=1)*'Cálculos'!$D$97+'Cálculos'!$D$305)+'Cálculos'!$D$195)*('Cálculos'!$D$269+'Cálculos'!$D$124*(1+2.78*('Cálculos'!$D$200+(($B$111)-$A82)*'Cálculos'!$D$98)/(('Cálculos'!$D$200+(($B$111)-$A82)*'Cálculos'!$D$98)+1400)+'Cálculos'!$D$122)*'Cálculos'!$D$274+'Cálculos'!$D$125*(1+2.78*('Cálculos'!$D$200+(($B$111)-$A82)*'Cálculos'!$D$98)/(('Cálculos'!$D$200+(($B$111)-$A82)*'Cálculos'!$D$98)+1400)+'Cálculos'!$D$123)*'Cálculos'!$D$279)+('Cálculos'!$D$200+(($B$111)-$A82)*'Cálculos'!$D$98)*('Cálculos'!$D$270+'Cálculos'!$D$124*(1+2.78*('Cálculos'!$D$200+(($B$111)-$A82)*'Cálculos'!$D$98)/(('Cálculos'!$D$200+(($B$111)-$A82)*'Cálculos'!$D$98)+1400)+'Cálculos'!$D$122)*'Cálculos'!$D$275+'Cálculos'!$D$125*(1+2.78*('Cálculos'!$D$200+(($B$111)-$A82)*'Cálculos'!$D$98)/(('Cálculos'!$D$200+(($B$111)-$A82)*'Cálculos'!$D$98)+1400)+'Cálculos'!$D$123)*'Cálculos'!$D$280)+('Cálculos'!$D$201*(1+'Cálculos'!$D$202+$A82*('Cálculos'!$D$290=2)*'Cálculos'!$D$101)+'Cálculos'!$D$203)*('Cálculos'!$D$271+'Cálculos'!$D$124*(1+2.78*('Cálculos'!$D$200+(($B$111)-$A82)*'Cálculos'!$D$98)/(('Cálculos'!$D$200+(($B$111)-$A82)*'Cálculos'!$D$98)+1400)+'Cálculos'!$D$122)*'Cálculos'!$D$276+'Cálculos'!$D$125*(1+2.78*('Cálculos'!$D$200+(($B$111)-$A82)*'Cálculos'!$D$98)/(('Cálculos'!$D$200+(($B$111)-$A82)*'Cálculos'!$D$98)+1400)+'Cálculos'!$D$123)*'Cálculos'!$D$281)+('Cálculos'!$D$204*(1+'Cálculos'!$D$205+$A82*('Cálculos'!$D$290=3)*'Cálculos'!$D$103)+'Cálculos'!$D$206)*('Cálculos'!$D$272+'Cálculos'!$D$124*(1+2.78*('Cálculos'!$D$200+(($B$111)-$A82)*'Cálculos'!$D$98)/(('Cálculos'!$D$200+(($B$111)-$A82)*'Cálculos'!$D$98)+1400)+'Cálculos'!$D$122)*'Cálculos'!$D$277+'Cálculos'!$D$125*(1+2.78*('Cálculos'!$D$200+(($B$111)-$A82)*'Cálculos'!$D$98)/(('Cálculos'!$D$200+(($B$111)-$A82)*'Cálculos'!$D$98)+1400)+'Cálculos'!$D$123)*'Cálculos'!$D$282)+('Cálculos'!$D$273+'Cálculos'!$D$124*(1+2.78*('Cálculos'!$D$200+(($B$111)-$A82)*'Cálculos'!$D$98)/(('Cálculos'!$D$200+(($B$111)-$A82)*'Cálculos'!$D$98)+1400)+'Cálculos'!$D$122)*'Cálculos'!$D$278+'Cálculos'!$D$125*(1+2.78*('Cálculos'!$D$200+(($B$111)-$A82)*'Cálculos'!$D$98)/(('Cálculos'!$D$200+(($B$111)-$A82)*'Cálculos'!$D$98)+1400)+'Cálculos'!$D$123)*'Cálculos'!$D$283)))</f>
        <v>0</v>
      </c>
    </row>
    <row r="83" ht="15.75" customHeight="1">
      <c r="A83" s="2">
        <v>20.0</v>
      </c>
      <c r="B83" s="30">
        <f>SUMPRODUCT(MAX(($A$63:$A$108&lt;=$A83)*($A$63:$A$108&lt;='Cálculos'!$D$294)*(($A83)-$A$63:$A$108&lt;='Cálculos'!$D$295)*(1+(('Cálculos'!$D$207+$A$63:$A$108*'Cálculos'!$D$95)-(('Cálculos'!$D$207+$A$63:$A$108*'Cálculos'!$D$95)&gt;1)*(('Cálculos'!$D$207+$A$63:$A$108*'Cálculos'!$D$95)-1))*('Cálculos'!$D$208+(($A83)-$A$63:$A$108)*'Cálculos'!$D$96))))</f>
        <v>1.725256434</v>
      </c>
      <c r="C83" s="2">
        <f>'Cálculos'!$D$303-$A83</f>
        <v>-9</v>
      </c>
      <c r="D83" s="31">
        <f>IF($C83&lt;0,0,SUMPRODUCT(MAX(($A$63:$A$108&lt;=$C83)*($A$63:$A$108&lt;='Cálculos'!$D$301)*(($C83)-$A$63:$A$108&lt;='Cálculos'!$D$297)*(('Cálculos'!$D$185*(1+'Cálculos'!$D$186+$A$63:$A$108*('Cálculos'!$D$290=1)*'Cálculos'!$D$97+'Cálculos'!$D$305)+'Cálculos'!$D$191)*('Cálculos'!$D$209+'Cálculos'!$D$124*(1+2.78*('Cálculos'!$D$196+(($C83)-$A$63:$A$108)*'Cálculos'!$D$98)/(('Cálculos'!$D$196+(($C83)-$A$63:$A$108)*'Cálculos'!$D$98)+1400)+'Cálculos'!$D$122)*'Cálculos'!$D$214+'Cálculos'!$D$125*(1+2.78*('Cálculos'!$D$196+(($C83)-$A$63:$A$108)*'Cálculos'!$D$98)/(('Cálculos'!$D$196+(($C83)-$A$63:$A$108)*'Cálculos'!$D$98)+1400)+'Cálculos'!$D$123)*'Cálculos'!$D$219)+('Cálculos'!$D$196+(($C83)-$A$63:$A$108)*'Cálculos'!$D$98)*('Cálculos'!$D$210+'Cálculos'!$D$124*(1+2.78*('Cálculos'!$D$196+(($C83)-$A$63:$A$108)*'Cálculos'!$D$98)/(('Cálculos'!$D$196+(($C83)-$A$63:$A$108)*'Cálculos'!$D$98)+1400)+'Cálculos'!$D$122)*'Cálculos'!$D$215+'Cálculos'!$D$125*(1+2.78*('Cálculos'!$D$196+(($C83)-$A$63:$A$108)*'Cálculos'!$D$98)/(('Cálculos'!$D$196+(($C83)-$A$63:$A$108)*'Cálculos'!$D$98)+1400)+'Cálculos'!$D$123)*'Cálculos'!$D$220)+('Cálculos'!$D$201*(1+'Cálculos'!$D$202+$A$63:$A$108*('Cálculos'!$D$290=2)*'Cálculos'!$D$101)+'Cálculos'!$D$203)*('Cálculos'!$D$211+'Cálculos'!$D$124*(1+2.78*('Cálculos'!$D$196+(($C83)-$A$63:$A$108)*'Cálculos'!$D$98)/(('Cálculos'!$D$196+(($C83)-$A$63:$A$108)*'Cálculos'!$D$98)+1400)+'Cálculos'!$D$122)*'Cálculos'!$D$216+'Cálculos'!$D$125*(1+2.78*('Cálculos'!$D$196+(($C83)-$A$63:$A$108)*'Cálculos'!$D$98)/(('Cálculos'!$D$196+(($C83)-$A$63:$A$108)*'Cálculos'!$D$98)+1400)+'Cálculos'!$D$123)*'Cálculos'!$D$221)+('Cálculos'!$D$204*(1+'Cálculos'!$D$205+$A$63:$A$108*('Cálculos'!$D$290=3)*'Cálculos'!$D$103)+'Cálculos'!$D$206)*('Cálculos'!$D$212+'Cálculos'!$D$124*(1+2.78*('Cálculos'!$D$196+(($C83)-$A$63:$A$108)*'Cálculos'!$D$98)/(('Cálculos'!$D$196+(($C83)-$A$63:$A$108)*'Cálculos'!$D$98)+1400)+'Cálculos'!$D$122)*'Cálculos'!$D$217+'Cálculos'!$D$125*(1+2.78*('Cálculos'!$D$196+(($C83)-$A$63:$A$108)*'Cálculos'!$D$98)/(('Cálculos'!$D$196+(($C83)-$A$63:$A$108)*'Cálculos'!$D$98)+1400)+'Cálculos'!$D$123)*'Cálculos'!$D$222)+('Cálculos'!$D$213+'Cálculos'!$D$124*(1+2.78*('Cálculos'!$D$196+(($C83)-$A$63:$A$108)*'Cálculos'!$D$98)/(('Cálculos'!$D$196+(($C83)-$A$63:$A$108)*'Cálculos'!$D$98)+1400)+'Cálculos'!$D$122)*'Cálculos'!$D$218+'Cálculos'!$D$125*(1+2.78*('Cálculos'!$D$196+(($C83)-$A$63:$A$108)*'Cálculos'!$D$98)/(('Cálculos'!$D$196+(($C83)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83)-$A$63:$A$108)*'Cálculos'!$D$98)/(('Cálculos'!$D$197+(($C83)-$A$63:$A$108)*'Cálculos'!$D$98)+1400)+'Cálculos'!$D$122)*'Cálculos'!$D$229+'Cálculos'!$D$125*(1+2.78*('Cálculos'!$D$197+(($C83)-$A$63:$A$108)*'Cálculos'!$D$98)/(('Cálculos'!$D$197+(($C83)-$A$63:$A$108)*'Cálculos'!$D$98)+1400)+'Cálculos'!$D$123)*'Cálculos'!$D$234)+('Cálculos'!$D$197+(($C83)-$A$63:$A$108)*'Cálculos'!$D$98)*('Cálculos'!$D$225+'Cálculos'!$D$124*(1+2.78*('Cálculos'!$D$197+(($C83)-$A$63:$A$108)*'Cálculos'!$D$98)/(('Cálculos'!$D$197+(($C83)-$A$63:$A$108)*'Cálculos'!$D$98)+1400)+'Cálculos'!$D$122)*'Cálculos'!$D$230+'Cálculos'!$D$125*(1+2.78*('Cálculos'!$D$197+(($C83)-$A$63:$A$108)*'Cálculos'!$D$98)/(('Cálculos'!$D$197+(($C83)-$A$63:$A$108)*'Cálculos'!$D$98)+1400)+'Cálculos'!$D$123)*'Cálculos'!$D$235)+('Cálculos'!$D$201*(1+'Cálculos'!$D$202+$A$63:$A$108*('Cálculos'!$D$290=2)*'Cálculos'!$D$101)+'Cálculos'!$D$203)*('Cálculos'!$D$226+'Cálculos'!$D$124*(1+2.78*('Cálculos'!$D$197+(($C83)-$A$63:$A$108)*'Cálculos'!$D$98)/(('Cálculos'!$D$197+(($C83)-$A$63:$A$108)*'Cálculos'!$D$98)+1400)+'Cálculos'!$D$122)*'Cálculos'!$D$231+'Cálculos'!$D$125*(1+2.78*('Cálculos'!$D$197+(($C83)-$A$63:$A$108)*'Cálculos'!$D$98)/(('Cálculos'!$D$197+(($C83)-$A$63:$A$108)*'Cálculos'!$D$98)+1400)+'Cálculos'!$D$123)*'Cálculos'!$D$236)+('Cálculos'!$D$204*(1+'Cálculos'!$D$205+$A$63:$A$108*('Cálculos'!$D$290=3)*'Cálculos'!$D$103)+'Cálculos'!$D$206)*('Cálculos'!$D$227+'Cálculos'!$D$124*(1+2.78*('Cálculos'!$D$197+(($C83)-$A$63:$A$108)*'Cálculos'!$D$98)/(('Cálculos'!$D$197+(($C83)-$A$63:$A$108)*'Cálculos'!$D$98)+1400)+'Cálculos'!$D$122)*'Cálculos'!$D$232+'Cálculos'!$D$125*(1+2.78*('Cálculos'!$D$197+(($C83)-$A$63:$A$108)*'Cálculos'!$D$98)/(('Cálculos'!$D$197+(($C83)-$A$63:$A$108)*'Cálculos'!$D$98)+1400)+'Cálculos'!$D$123)*'Cálculos'!$D$237)+('Cálculos'!$D$228+'Cálculos'!$D$124*(1+2.78*('Cálculos'!$D$197+(($C83)-$A$63:$A$108)*'Cálculos'!$D$98)/(('Cálculos'!$D$197+(($C83)-$A$63:$A$108)*'Cálculos'!$D$98)+1400)+'Cálculos'!$D$122)*'Cálculos'!$D$233+'Cálculos'!$D$125*(1+2.78*('Cálculos'!$D$197+(($C83)-$A$63:$A$108)*'Cálculos'!$D$98)/(('Cálculos'!$D$197+(($C83)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83)-$A$63:$A$108)*'Cálculos'!$D$98)/(('Cálculos'!$D$198+(($C83)-$A$63:$A$108)*'Cálculos'!$D$98)+1400)+'Cálculos'!$D$122)*'Cálculos'!$D$244+'Cálculos'!$D$125*(1+2.78*('Cálculos'!$D$198+(($C83)-$A$63:$A$108)*'Cálculos'!$D$98)/(('Cálculos'!$D$198+(($C83)-$A$63:$A$108)*'Cálculos'!$D$98)+1400)+'Cálculos'!$D$123)*'Cálculos'!$D$249)+('Cálculos'!$D$198+(($C83)-$A$63:$A$108)*'Cálculos'!$D$98)*('Cálculos'!$D$240+'Cálculos'!$D$124*(1+2.78*('Cálculos'!$D$198+(($C83)-$A$63:$A$108)*'Cálculos'!$D$98)/(('Cálculos'!$D$198+(($C83)-$A$63:$A$108)*'Cálculos'!$D$98)+1400)+'Cálculos'!$D$122)*'Cálculos'!$D$245+'Cálculos'!$D$125*(1+2.78*('Cálculos'!$D$198+(($C83)-$A$63:$A$108)*'Cálculos'!$D$98)/(('Cálculos'!$D$198+(($C83)-$A$63:$A$108)*'Cálculos'!$D$98)+1400)+'Cálculos'!$D$123)*'Cálculos'!$D$250)+('Cálculos'!$D$201*(1+'Cálculos'!$D$202+$A$63:$A$108*('Cálculos'!$D$290=2)*'Cálculos'!$D$101)+'Cálculos'!$D$203)*('Cálculos'!$D$241+'Cálculos'!$D$124*(1+2.78*('Cálculos'!$D$198+(($C83)-$A$63:$A$108)*'Cálculos'!$D$98)/(('Cálculos'!$D$198+(($C83)-$A$63:$A$108)*'Cálculos'!$D$98)+1400)+'Cálculos'!$D$122)*'Cálculos'!$D$246+'Cálculos'!$D$125*(1+2.78*('Cálculos'!$D$198+(($C83)-$A$63:$A$108)*'Cálculos'!$D$98)/(('Cálculos'!$D$198+(($C83)-$A$63:$A$108)*'Cálculos'!$D$98)+1400)+'Cálculos'!$D$123)*'Cálculos'!$D$251)+('Cálculos'!$D$204*(1+'Cálculos'!$D$205+$A$63:$A$108*('Cálculos'!$D$290=3)*'Cálculos'!$D$103)+'Cálculos'!$D$206)*('Cálculos'!$D$242+'Cálculos'!$D$124*(1+2.78*('Cálculos'!$D$198+(($C83)-$A$63:$A$108)*'Cálculos'!$D$98)/(('Cálculos'!$D$198+(($C83)-$A$63:$A$108)*'Cálculos'!$D$98)+1400)+'Cálculos'!$D$122)*'Cálculos'!$D$247+'Cálculos'!$D$125*(1+2.78*('Cálculos'!$D$198+(($C83)-$A$63:$A$108)*'Cálculos'!$D$98)/(('Cálculos'!$D$198+(($C83)-$A$63:$A$108)*'Cálculos'!$D$98)+1400)+'Cálculos'!$D$123)*'Cálculos'!$D$252)+('Cálculos'!$D$243+'Cálculos'!$D$124*(1+2.78*('Cálculos'!$D$198+(($C83)-$A$63:$A$108)*'Cálculos'!$D$98)/(('Cálculos'!$D$198+(($C83)-$A$63:$A$108)*'Cálculos'!$D$98)+1400)+'Cálculos'!$D$122)*'Cálculos'!$D$248+'Cálculos'!$D$125*(1+2.78*('Cálculos'!$D$198+(($C83)-$A$63:$A$108)*'Cálculos'!$D$98)/(('Cálculos'!$D$198+(($C83)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83)-$A$63:$A$108)*'Cálculos'!$D$98)/(('Cálculos'!$D$199+(($C83)-$A$63:$A$108)*'Cálculos'!$D$98)+1400)+'Cálculos'!$D$122)*'Cálculos'!$D$259+'Cálculos'!$D$125*(1+2.78*('Cálculos'!$D$199+(($C83)-$A$63:$A$108)*'Cálculos'!$D$98)/(('Cálculos'!$D$199+(($C83)-$A$63:$A$108)*'Cálculos'!$D$98)+1400)+'Cálculos'!$D$123)*'Cálculos'!$D$264)+('Cálculos'!$D$199+(($C83)-$A$63:$A$108)*'Cálculos'!$D$98)*('Cálculos'!$D$255+'Cálculos'!$D$124*(1+2.78*('Cálculos'!$D$199+(($C83)-$A$63:$A$108)*'Cálculos'!$D$98)/(('Cálculos'!$D$199+(($C83)-$A$63:$A$108)*'Cálculos'!$D$98)+1400)+'Cálculos'!$D$122)*'Cálculos'!$D$260+'Cálculos'!$D$125*(1+2.78*('Cálculos'!$D$199+(($C83)-$A$63:$A$108)*'Cálculos'!$D$98)/(('Cálculos'!$D$199+(($C83)-$A$63:$A$108)*'Cálculos'!$D$98)+1400)+'Cálculos'!$D$123)*'Cálculos'!$D$265)+('Cálculos'!$D$201*(1+'Cálculos'!$D$202+$A$63:$A$108*('Cálculos'!$D$290=2)*'Cálculos'!$D$101)+'Cálculos'!$D$203)*('Cálculos'!$D$256+'Cálculos'!$D$124*(1+2.78*('Cálculos'!$D$199+(($C83)-$A$63:$A$108)*'Cálculos'!$D$98)/(('Cálculos'!$D$199+(($C83)-$A$63:$A$108)*'Cálculos'!$D$98)+1400)+'Cálculos'!$D$122)*'Cálculos'!$D$261+'Cálculos'!$D$125*(1+2.78*('Cálculos'!$D$199+(($C83)-$A$63:$A$108)*'Cálculos'!$D$98)/(('Cálculos'!$D$199+(($C83)-$A$63:$A$108)*'Cálculos'!$D$98)+1400)+'Cálculos'!$D$123)*'Cálculos'!$D$266)+('Cálculos'!$D$204*(1+'Cálculos'!$D$205+$A$63:$A$108*('Cálculos'!$D$290=3)*'Cálculos'!$D$103)+'Cálculos'!$D$206)*('Cálculos'!$D$257+'Cálculos'!$D$124*(1+2.78*('Cálculos'!$D$199+(($C83)-$A$63:$A$108)*'Cálculos'!$D$98)/(('Cálculos'!$D$199+(($C83)-$A$63:$A$108)*'Cálculos'!$D$98)+1400)+'Cálculos'!$D$122)*'Cálculos'!$D$262+'Cálculos'!$D$125*(1+2.78*('Cálculos'!$D$199+(($C83)-$A$63:$A$108)*'Cálculos'!$D$98)/(('Cálculos'!$D$199+(($C83)-$A$63:$A$108)*'Cálculos'!$D$98)+1400)+'Cálculos'!$D$123)*'Cálculos'!$D$267)+('Cálculos'!$D$258+'Cálculos'!$D$124*(1+2.78*('Cálculos'!$D$199+(($C83)-$A$63:$A$108)*'Cálculos'!$D$98)/(('Cálculos'!$D$199+(($C83)-$A$63:$A$108)*'Cálculos'!$D$98)+1400)+'Cálculos'!$D$122)*'Cálculos'!$D$263+'Cálculos'!$D$125*(1+2.78*('Cálculos'!$D$199+(($C83)-$A$63:$A$108)*'Cálculos'!$D$98)/(('Cálculos'!$D$199+(($C83)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83)-$A$63:$A$108)*'Cálculos'!$D$98)/(('Cálculos'!$D$200+(($C83)-$A$63:$A$108)*'Cálculos'!$D$98)+1400)+'Cálculos'!$D$122)*'Cálculos'!$D$274+'Cálculos'!$D$125*(1+2.78*('Cálculos'!$D$200+(($C83)-$A$63:$A$108)*'Cálculos'!$D$98)/(('Cálculos'!$D$200+(($C83)-$A$63:$A$108)*'Cálculos'!$D$98)+1400)+'Cálculos'!$D$123)*'Cálculos'!$D$279)+('Cálculos'!$D$200+(($C83)-$A$63:$A$108)*'Cálculos'!$D$98)*('Cálculos'!$D$270+'Cálculos'!$D$124*(1+2.78*('Cálculos'!$D$200+(($C83)-$A$63:$A$108)*'Cálculos'!$D$98)/(('Cálculos'!$D$200+(($C83)-$A$63:$A$108)*'Cálculos'!$D$98)+1400)+'Cálculos'!$D$122)*'Cálculos'!$D$275+'Cálculos'!$D$125*(1+2.78*('Cálculos'!$D$200+(($C83)-$A$63:$A$108)*'Cálculos'!$D$98)/(('Cálculos'!$D$200+(($C83)-$A$63:$A$108)*'Cálculos'!$D$98)+1400)+'Cálculos'!$D$123)*'Cálculos'!$D$280)+('Cálculos'!$D$201*(1+'Cálculos'!$D$202+$A$63:$A$108*('Cálculos'!$D$290=2)*'Cálculos'!$D$101)+'Cálculos'!$D$203)*('Cálculos'!$D$271+'Cálculos'!$D$124*(1+2.78*('Cálculos'!$D$200+(($C83)-$A$63:$A$108)*'Cálculos'!$D$98)/(('Cálculos'!$D$200+(($C83)-$A$63:$A$108)*'Cálculos'!$D$98)+1400)+'Cálculos'!$D$122)*'Cálculos'!$D$276+'Cálculos'!$D$125*(1+2.78*('Cálculos'!$D$200+(($C83)-$A$63:$A$108)*'Cálculos'!$D$98)/(('Cálculos'!$D$200+(($C83)-$A$63:$A$108)*'Cálculos'!$D$98)+1400)+'Cálculos'!$D$123)*'Cálculos'!$D$281)+('Cálculos'!$D$204*(1+'Cálculos'!$D$205+$A$63:$A$108*('Cálculos'!$D$290=3)*'Cálculos'!$D$103)+'Cálculos'!$D$206)*('Cálculos'!$D$272+'Cálculos'!$D$124*(1+2.78*('Cálculos'!$D$200+(($C83)-$A$63:$A$108)*'Cálculos'!$D$98)/(('Cálculos'!$D$200+(($C83)-$A$63:$A$108)*'Cálculos'!$D$98)+1400)+'Cálculos'!$D$122)*'Cálculos'!$D$277+'Cálculos'!$D$125*(1+2.78*('Cálculos'!$D$200+(($C83)-$A$63:$A$108)*'Cálculos'!$D$98)/(('Cálculos'!$D$200+(($C83)-$A$63:$A$108)*'Cálculos'!$D$98)+1400)+'Cálculos'!$D$123)*'Cálculos'!$D$282)+('Cálculos'!$D$273+'Cálculos'!$D$124*(1+2.78*('Cálculos'!$D$200+(($C83)-$A$63:$A$108)*'Cálculos'!$D$98)/(('Cálculos'!$D$200+(($C83)-$A$63:$A$108)*'Cálculos'!$D$98)+1400)+'Cálculos'!$D$122)*'Cálculos'!$D$278+'Cálculos'!$D$125*(1+2.78*('Cálculos'!$D$200+(($C83)-$A$63:$A$108)*'Cálculos'!$D$98)/(('Cálculos'!$D$200+(($C83)-$A$63:$A$108)*'Cálculos'!$D$98)+1400)+'Cálculos'!$D$123)*'Cálculos'!$D$283)))))</f>
        <v>0</v>
      </c>
      <c r="E83" s="32">
        <f>IF(OR($C83&lt;0,'Cálculos'!$D$6=""),0,$B83*$D83)</f>
        <v>0</v>
      </c>
      <c r="F83" s="2"/>
      <c r="G83" s="30">
        <f>($A83&lt;=$B$110)*($A83&lt;='Cálculos'!$D$294)*(($B$110)-$A83&lt;='Cálculos'!$D$295)*(1+MIN(('Cálculos'!$D$207+$A83*'Cálculos'!$D$95),1)*('Cálculos'!$D$208+(($B$110)-$A83)*'Cálculos'!$D$96))</f>
        <v>0</v>
      </c>
      <c r="H83" s="31">
        <f>IF($B$111&lt;0,0,($A83&lt;=$B$111)*($A83&lt;='Cálculos'!$D$301)*(($B$111)-$A83&lt;='Cálculos'!$D$297)*(('Cálculos'!$D$185*(1+'Cálculos'!$D$186+$A83*('Cálculos'!$D$290=1)*'Cálculos'!$D$97+'Cálculos'!$D$305)+'Cálculos'!$D$191)*('Cálculos'!$D$209+'Cálculos'!$D$124*(1+2.78*('Cálculos'!$D$196+(($B$111)-$A83)*'Cálculos'!$D$98)/(('Cálculos'!$D$196+(($B$111)-$A83)*'Cálculos'!$D$98)+1400)+'Cálculos'!$D$122)*'Cálculos'!$D$214+'Cálculos'!$D$125*(1+2.78*('Cálculos'!$D$196+(($B$111)-$A83)*'Cálculos'!$D$98)/(('Cálculos'!$D$196+(($B$111)-$A83)*'Cálculos'!$D$98)+1400)+'Cálculos'!$D$123)*'Cálculos'!$D$219)+('Cálculos'!$D$196+(($B$111)-$A83)*'Cálculos'!$D$98)*('Cálculos'!$D$210+'Cálculos'!$D$124*(1+2.78*('Cálculos'!$D$196+(($B$111)-$A83)*'Cálculos'!$D$98)/(('Cálculos'!$D$196+(($B$111)-$A83)*'Cálculos'!$D$98)+1400)+'Cálculos'!$D$122)*'Cálculos'!$D$215+'Cálculos'!$D$125*(1+2.78*('Cálculos'!$D$196+(($B$111)-$A83)*'Cálculos'!$D$98)/(('Cálculos'!$D$196+(($B$111)-$A83)*'Cálculos'!$D$98)+1400)+'Cálculos'!$D$123)*'Cálculos'!$D$220)+('Cálculos'!$D$201*(1+'Cálculos'!$D$202+$A83*('Cálculos'!$D$290=2)*'Cálculos'!$D$101)+'Cálculos'!$D$203)*('Cálculos'!$D$211+'Cálculos'!$D$124*(1+2.78*('Cálculos'!$D$196+(($B$111)-$A83)*'Cálculos'!$D$98)/(('Cálculos'!$D$196+(($B$111)-$A83)*'Cálculos'!$D$98)+1400)+'Cálculos'!$D$122)*'Cálculos'!$D$216+'Cálculos'!$D$125*(1+2.78*('Cálculos'!$D$196+(($B$111)-$A83)*'Cálculos'!$D$98)/(('Cálculos'!$D$196+(($B$111)-$A83)*'Cálculos'!$D$98)+1400)+'Cálculos'!$D$123)*'Cálculos'!$D$221)+('Cálculos'!$D$204*(1+'Cálculos'!$D$205+$A83*('Cálculos'!$D$290=3)*'Cálculos'!$D$103)+'Cálculos'!$D$206)*('Cálculos'!$D$212+'Cálculos'!$D$124*(1+2.78*('Cálculos'!$D$196+(($B$111)-$A83)*'Cálculos'!$D$98)/(('Cálculos'!$D$196+(($B$111)-$A83)*'Cálculos'!$D$98)+1400)+'Cálculos'!$D$122)*'Cálculos'!$D$217+'Cálculos'!$D$125*(1+2.78*('Cálculos'!$D$196+(($B$111)-$A83)*'Cálculos'!$D$98)/(('Cálculos'!$D$196+(($B$111)-$A83)*'Cálculos'!$D$98)+1400)+'Cálculos'!$D$123)*'Cálculos'!$D$222)+('Cálculos'!$D$213+'Cálculos'!$D$124*(1+2.78*('Cálculos'!$D$196+(($B$111)-$A83)*'Cálculos'!$D$98)/(('Cálculos'!$D$196+(($B$111)-$A83)*'Cálculos'!$D$98)+1400)+'Cálculos'!$D$122)*'Cálculos'!$D$218+'Cálculos'!$D$125*(1+2.78*('Cálculos'!$D$196+(($B$111)-$A83)*'Cálculos'!$D$98)/(('Cálculos'!$D$196+(($B$111)-$A83)*'Cálculos'!$D$98)+1400)+'Cálculos'!$D$123)*'Cálculos'!$D$223)+('Cálculos'!$D$185*(1+'Cálculos'!$D$187+$A83*('Cálculos'!$D$290=1)*'Cálculos'!$D$97+'Cálculos'!$D$305)+'Cálculos'!$D$192)*('Cálculos'!$D$224+'Cálculos'!$D$124*(1+2.78*('Cálculos'!$D$197+(($B$111)-$A83)*'Cálculos'!$D$98)/(('Cálculos'!$D$197+(($B$111)-$A83)*'Cálculos'!$D$98)+1400)+'Cálculos'!$D$122)*'Cálculos'!$D$229+'Cálculos'!$D$125*(1+2.78*('Cálculos'!$D$197+(($B$111)-$A83)*'Cálculos'!$D$98)/(('Cálculos'!$D$197+(($B$111)-$A83)*'Cálculos'!$D$98)+1400)+'Cálculos'!$D$123)*'Cálculos'!$D$234)+('Cálculos'!$D$197+(($B$111)-$A83)*'Cálculos'!$D$98)*('Cálculos'!$D$225+'Cálculos'!$D$124*(1+2.78*('Cálculos'!$D$197+(($B$111)-$A83)*'Cálculos'!$D$98)/(('Cálculos'!$D$197+(($B$111)-$A83)*'Cálculos'!$D$98)+1400)+'Cálculos'!$D$122)*'Cálculos'!$D$230+'Cálculos'!$D$125*(1+2.78*('Cálculos'!$D$197+(($B$111)-$A83)*'Cálculos'!$D$98)/(('Cálculos'!$D$197+(($B$111)-$A83)*'Cálculos'!$D$98)+1400)+'Cálculos'!$D$123)*'Cálculos'!$D$235)+('Cálculos'!$D$201*(1+'Cálculos'!$D$202+$A83*('Cálculos'!$D$290=2)*'Cálculos'!$D$101)+'Cálculos'!$D$203)*('Cálculos'!$D$226+'Cálculos'!$D$124*(1+2.78*('Cálculos'!$D$197+(($B$111)-$A83)*'Cálculos'!$D$98)/(('Cálculos'!$D$197+(($B$111)-$A83)*'Cálculos'!$D$98)+1400)+'Cálculos'!$D$122)*'Cálculos'!$D$231+'Cálculos'!$D$125*(1+2.78*('Cálculos'!$D$197+(($B$111)-$A83)*'Cálculos'!$D$98)/(('Cálculos'!$D$197+(($B$111)-$A83)*'Cálculos'!$D$98)+1400)+'Cálculos'!$D$123)*'Cálculos'!$D$236)+('Cálculos'!$D$204*(1+'Cálculos'!$D$205+$A83*('Cálculos'!$D$290=3)*'Cálculos'!$D$103)+'Cálculos'!$D$206)*('Cálculos'!$D$227+'Cálculos'!$D$124*(1+2.78*('Cálculos'!$D$197+(($B$111)-$A83)*'Cálculos'!$D$98)/(('Cálculos'!$D$197+(($B$111)-$A83)*'Cálculos'!$D$98)+1400)+'Cálculos'!$D$122)*'Cálculos'!$D$232+'Cálculos'!$D$125*(1+2.78*('Cálculos'!$D$197+(($B$111)-$A83)*'Cálculos'!$D$98)/(('Cálculos'!$D$197+(($B$111)-$A83)*'Cálculos'!$D$98)+1400)+'Cálculos'!$D$123)*'Cálculos'!$D$237)+('Cálculos'!$D$228+'Cálculos'!$D$124*(1+2.78*('Cálculos'!$D$197+(($B$111)-$A83)*'Cálculos'!$D$98)/(('Cálculos'!$D$197+(($B$111)-$A83)*'Cálculos'!$D$98)+1400)+'Cálculos'!$D$122)*'Cálculos'!$D$233+'Cálculos'!$D$125*(1+2.78*('Cálculos'!$D$197+(($B$111)-$A83)*'Cálculos'!$D$98)/(('Cálculos'!$D$197+(($B$111)-$A83)*'Cálculos'!$D$98)+1400)+'Cálculos'!$D$123)*'Cálculos'!$D$238)+('Cálculos'!$D$185*(1+'Cálculos'!$D$188+$A83*('Cálculos'!$D$290=1)*'Cálculos'!$D$97+'Cálculos'!$D$305)+'Cálculos'!$D$193)*('Cálculos'!$D$239+'Cálculos'!$D$124*(1+2.78*('Cálculos'!$D$198+(($B$111)-$A83)*'Cálculos'!$D$98)/(('Cálculos'!$D$198+(($B$111)-$A83)*'Cálculos'!$D$98)+1400)+'Cálculos'!$D$122)*'Cálculos'!$D$244+'Cálculos'!$D$125*(1+2.78*('Cálculos'!$D$198+(($B$111)-$A83)*'Cálculos'!$D$98)/(('Cálculos'!$D$198+(($B$111)-$A83)*'Cálculos'!$D$98)+1400)+'Cálculos'!$D$123)*'Cálculos'!$D$249)+('Cálculos'!$D$198+(($B$111)-$A83)*'Cálculos'!$D$98)*('Cálculos'!$D$240+'Cálculos'!$D$124*(1+2.78*('Cálculos'!$D$198+(($B$111)-$A83)*'Cálculos'!$D$98)/(('Cálculos'!$D$198+(($B$111)-$A83)*'Cálculos'!$D$98)+1400)+'Cálculos'!$D$122)*'Cálculos'!$D$245+'Cálculos'!$D$125*(1+2.78*('Cálculos'!$D$198+(($B$111)-$A83)*'Cálculos'!$D$98)/(('Cálculos'!$D$198+(($B$111)-$A83)*'Cálculos'!$D$98)+1400)+'Cálculos'!$D$123)*'Cálculos'!$D$250)+('Cálculos'!$D$201*(1+'Cálculos'!$D$202+$A83*('Cálculos'!$D$290=2)*'Cálculos'!$D$101)+'Cálculos'!$D$203)*('Cálculos'!$D$241+'Cálculos'!$D$124*(1+2.78*('Cálculos'!$D$198+(($B$111)-$A83)*'Cálculos'!$D$98)/(('Cálculos'!$D$198+(($B$111)-$A83)*'Cálculos'!$D$98)+1400)+'Cálculos'!$D$122)*'Cálculos'!$D$246+'Cálculos'!$D$125*(1+2.78*('Cálculos'!$D$198+(($B$111)-$A83)*'Cálculos'!$D$98)/(('Cálculos'!$D$198+(($B$111)-$A83)*'Cálculos'!$D$98)+1400)+'Cálculos'!$D$123)*'Cálculos'!$D$251)+('Cálculos'!$D$204*(1+'Cálculos'!$D$205+$A83*('Cálculos'!$D$290=3)*'Cálculos'!$D$103)+'Cálculos'!$D$206)*('Cálculos'!$D$242+'Cálculos'!$D$124*(1+2.78*('Cálculos'!$D$198+(($B$111)-$A83)*'Cálculos'!$D$98)/(('Cálculos'!$D$198+(($B$111)-$A83)*'Cálculos'!$D$98)+1400)+'Cálculos'!$D$122)*'Cálculos'!$D$247+'Cálculos'!$D$125*(1+2.78*('Cálculos'!$D$198+(($B$111)-$A83)*'Cálculos'!$D$98)/(('Cálculos'!$D$198+(($B$111)-$A83)*'Cálculos'!$D$98)+1400)+'Cálculos'!$D$123)*'Cálculos'!$D$252)+('Cálculos'!$D$243+'Cálculos'!$D$124*(1+2.78*('Cálculos'!$D$198+(($B$111)-$A83)*'Cálculos'!$D$98)/(('Cálculos'!$D$198+(($B$111)-$A83)*'Cálculos'!$D$98)+1400)+'Cálculos'!$D$122)*'Cálculos'!$D$248+'Cálculos'!$D$125*(1+2.78*('Cálculos'!$D$198+(($B$111)-$A83)*'Cálculos'!$D$98)/(('Cálculos'!$D$198+(($B$111)-$A83)*'Cálculos'!$D$98)+1400)+'Cálculos'!$D$123)*'Cálculos'!$D$253)+('Cálculos'!$D$185*(1+'Cálculos'!$D$189+$A83*('Cálculos'!$D$290=1)*'Cálculos'!$D$97+'Cálculos'!$D$305)+'Cálculos'!$D$194)*('Cálculos'!$D$254+'Cálculos'!$D$124*(1+2.78*('Cálculos'!$D$199+(($B$111)-$A83)*'Cálculos'!$D$98)/(('Cálculos'!$D$199+(($B$111)-$A83)*'Cálculos'!$D$98)+1400)+'Cálculos'!$D$122)*'Cálculos'!$D$259+'Cálculos'!$D$125*(1+2.78*('Cálculos'!$D$199+(($B$111)-$A83)*'Cálculos'!$D$98)/(('Cálculos'!$D$199+(($B$111)-$A83)*'Cálculos'!$D$98)+1400)+'Cálculos'!$D$123)*'Cálculos'!$D$264)+('Cálculos'!$D$199+(($B$111)-$A83)*'Cálculos'!$D$98)*('Cálculos'!$D$255+'Cálculos'!$D$124*(1+2.78*('Cálculos'!$D$199+(($B$111)-$A83)*'Cálculos'!$D$98)/(('Cálculos'!$D$199+(($B$111)-$A83)*'Cálculos'!$D$98)+1400)+'Cálculos'!$D$122)*'Cálculos'!$D$260+'Cálculos'!$D$125*(1+2.78*('Cálculos'!$D$199+(($B$111)-$A83)*'Cálculos'!$D$98)/(('Cálculos'!$D$199+(($B$111)-$A83)*'Cálculos'!$D$98)+1400)+'Cálculos'!$D$123)*'Cálculos'!$D$265)+('Cálculos'!$D$201*(1+'Cálculos'!$D$202+$A83*('Cálculos'!$D$290=2)*'Cálculos'!$D$101)+'Cálculos'!$D$203)*('Cálculos'!$D$256+'Cálculos'!$D$124*(1+2.78*('Cálculos'!$D$199+(($B$111)-$A83)*'Cálculos'!$D$98)/(('Cálculos'!$D$199+(($B$111)-$A83)*'Cálculos'!$D$98)+1400)+'Cálculos'!$D$122)*'Cálculos'!$D$261+'Cálculos'!$D$125*(1+2.78*('Cálculos'!$D$199+(($B$111)-$A83)*'Cálculos'!$D$98)/(('Cálculos'!$D$199+(($B$111)-$A83)*'Cálculos'!$D$98)+1400)+'Cálculos'!$D$123)*'Cálculos'!$D$266)+('Cálculos'!$D$204*(1+'Cálculos'!$D$205+$A83*('Cálculos'!$D$290=3)*'Cálculos'!$D$103)+'Cálculos'!$D$206)*('Cálculos'!$D$257+'Cálculos'!$D$124*(1+2.78*('Cálculos'!$D$199+(($B$111)-$A83)*'Cálculos'!$D$98)/(('Cálculos'!$D$199+(($B$111)-$A83)*'Cálculos'!$D$98)+1400)+'Cálculos'!$D$122)*'Cálculos'!$D$262+'Cálculos'!$D$125*(1+2.78*('Cálculos'!$D$199+(($B$111)-$A83)*'Cálculos'!$D$98)/(('Cálculos'!$D$199+(($B$111)-$A83)*'Cálculos'!$D$98)+1400)+'Cálculos'!$D$123)*'Cálculos'!$D$267)+('Cálculos'!$D$258+'Cálculos'!$D$124*(1+2.78*('Cálculos'!$D$199+(($B$111)-$A83)*'Cálculos'!$D$98)/(('Cálculos'!$D$199+(($B$111)-$A83)*'Cálculos'!$D$98)+1400)+'Cálculos'!$D$122)*'Cálculos'!$D$263+'Cálculos'!$D$125*(1+2.78*('Cálculos'!$D$199+(($B$111)-$A83)*'Cálculos'!$D$98)/(('Cálculos'!$D$199+(($B$111)-$A83)*'Cálculos'!$D$98)+1400)+'Cálculos'!$D$123)*'Cálculos'!$D$268)+('Cálculos'!$D$185*(1+'Cálculos'!$D$190+$A83*('Cálculos'!$D$290=1)*'Cálculos'!$D$97+'Cálculos'!$D$305)+'Cálculos'!$D$195)*('Cálculos'!$D$269+'Cálculos'!$D$124*(1+2.78*('Cálculos'!$D$200+(($B$111)-$A83)*'Cálculos'!$D$98)/(('Cálculos'!$D$200+(($B$111)-$A83)*'Cálculos'!$D$98)+1400)+'Cálculos'!$D$122)*'Cálculos'!$D$274+'Cálculos'!$D$125*(1+2.78*('Cálculos'!$D$200+(($B$111)-$A83)*'Cálculos'!$D$98)/(('Cálculos'!$D$200+(($B$111)-$A83)*'Cálculos'!$D$98)+1400)+'Cálculos'!$D$123)*'Cálculos'!$D$279)+('Cálculos'!$D$200+(($B$111)-$A83)*'Cálculos'!$D$98)*('Cálculos'!$D$270+'Cálculos'!$D$124*(1+2.78*('Cálculos'!$D$200+(($B$111)-$A83)*'Cálculos'!$D$98)/(('Cálculos'!$D$200+(($B$111)-$A83)*'Cálculos'!$D$98)+1400)+'Cálculos'!$D$122)*'Cálculos'!$D$275+'Cálculos'!$D$125*(1+2.78*('Cálculos'!$D$200+(($B$111)-$A83)*'Cálculos'!$D$98)/(('Cálculos'!$D$200+(($B$111)-$A83)*'Cálculos'!$D$98)+1400)+'Cálculos'!$D$123)*'Cálculos'!$D$280)+('Cálculos'!$D$201*(1+'Cálculos'!$D$202+$A83*('Cálculos'!$D$290=2)*'Cálculos'!$D$101)+'Cálculos'!$D$203)*('Cálculos'!$D$271+'Cálculos'!$D$124*(1+2.78*('Cálculos'!$D$200+(($B$111)-$A83)*'Cálculos'!$D$98)/(('Cálculos'!$D$200+(($B$111)-$A83)*'Cálculos'!$D$98)+1400)+'Cálculos'!$D$122)*'Cálculos'!$D$276+'Cálculos'!$D$125*(1+2.78*('Cálculos'!$D$200+(($B$111)-$A83)*'Cálculos'!$D$98)/(('Cálculos'!$D$200+(($B$111)-$A83)*'Cálculos'!$D$98)+1400)+'Cálculos'!$D$123)*'Cálculos'!$D$281)+('Cálculos'!$D$204*(1+'Cálculos'!$D$205+$A83*('Cálculos'!$D$290=3)*'Cálculos'!$D$103)+'Cálculos'!$D$206)*('Cálculos'!$D$272+'Cálculos'!$D$124*(1+2.78*('Cálculos'!$D$200+(($B$111)-$A83)*'Cálculos'!$D$98)/(('Cálculos'!$D$200+(($B$111)-$A83)*'Cálculos'!$D$98)+1400)+'Cálculos'!$D$122)*'Cálculos'!$D$277+'Cálculos'!$D$125*(1+2.78*('Cálculos'!$D$200+(($B$111)-$A83)*'Cálculos'!$D$98)/(('Cálculos'!$D$200+(($B$111)-$A83)*'Cálculos'!$D$98)+1400)+'Cálculos'!$D$123)*'Cálculos'!$D$282)+('Cálculos'!$D$273+'Cálculos'!$D$124*(1+2.78*('Cálculos'!$D$200+(($B$111)-$A83)*'Cálculos'!$D$98)/(('Cálculos'!$D$200+(($B$111)-$A83)*'Cálculos'!$D$98)+1400)+'Cálculos'!$D$122)*'Cálculos'!$D$278+'Cálculos'!$D$125*(1+2.78*('Cálculos'!$D$200+(($B$111)-$A83)*'Cálculos'!$D$98)/(('Cálculos'!$D$200+(($B$111)-$A83)*'Cálculos'!$D$98)+1400)+'Cálculos'!$D$123)*'Cálculos'!$D$283)))</f>
        <v>0</v>
      </c>
    </row>
    <row r="84" ht="15.75" customHeight="1">
      <c r="A84" s="2">
        <v>21.0</v>
      </c>
      <c r="B84" s="30">
        <f>SUMPRODUCT(MAX(($A$63:$A$108&lt;=$A84)*($A$63:$A$108&lt;='Cálculos'!$D$294)*(($A84)-$A$63:$A$108&lt;='Cálculos'!$D$295)*(1+(('Cálculos'!$D$207+$A$63:$A$108*'Cálculos'!$D$95)-(('Cálculos'!$D$207+$A$63:$A$108*'Cálculos'!$D$95)&gt;1)*(('Cálculos'!$D$207+$A$63:$A$108*'Cálculos'!$D$95)-1))*('Cálculos'!$D$208+(($A84)-$A$63:$A$108)*'Cálculos'!$D$96))))</f>
        <v>1.759678559</v>
      </c>
      <c r="C84" s="2">
        <f>'Cálculos'!$D$303-$A84</f>
        <v>-10</v>
      </c>
      <c r="D84" s="31">
        <f>IF($C84&lt;0,0,SUMPRODUCT(MAX(($A$63:$A$108&lt;=$C84)*($A$63:$A$108&lt;='Cálculos'!$D$301)*(($C84)-$A$63:$A$108&lt;='Cálculos'!$D$297)*(('Cálculos'!$D$185*(1+'Cálculos'!$D$186+$A$63:$A$108*('Cálculos'!$D$290=1)*'Cálculos'!$D$97+'Cálculos'!$D$305)+'Cálculos'!$D$191)*('Cálculos'!$D$209+'Cálculos'!$D$124*(1+2.78*('Cálculos'!$D$196+(($C84)-$A$63:$A$108)*'Cálculos'!$D$98)/(('Cálculos'!$D$196+(($C84)-$A$63:$A$108)*'Cálculos'!$D$98)+1400)+'Cálculos'!$D$122)*'Cálculos'!$D$214+'Cálculos'!$D$125*(1+2.78*('Cálculos'!$D$196+(($C84)-$A$63:$A$108)*'Cálculos'!$D$98)/(('Cálculos'!$D$196+(($C84)-$A$63:$A$108)*'Cálculos'!$D$98)+1400)+'Cálculos'!$D$123)*'Cálculos'!$D$219)+('Cálculos'!$D$196+(($C84)-$A$63:$A$108)*'Cálculos'!$D$98)*('Cálculos'!$D$210+'Cálculos'!$D$124*(1+2.78*('Cálculos'!$D$196+(($C84)-$A$63:$A$108)*'Cálculos'!$D$98)/(('Cálculos'!$D$196+(($C84)-$A$63:$A$108)*'Cálculos'!$D$98)+1400)+'Cálculos'!$D$122)*'Cálculos'!$D$215+'Cálculos'!$D$125*(1+2.78*('Cálculos'!$D$196+(($C84)-$A$63:$A$108)*'Cálculos'!$D$98)/(('Cálculos'!$D$196+(($C84)-$A$63:$A$108)*'Cálculos'!$D$98)+1400)+'Cálculos'!$D$123)*'Cálculos'!$D$220)+('Cálculos'!$D$201*(1+'Cálculos'!$D$202+$A$63:$A$108*('Cálculos'!$D$290=2)*'Cálculos'!$D$101)+'Cálculos'!$D$203)*('Cálculos'!$D$211+'Cálculos'!$D$124*(1+2.78*('Cálculos'!$D$196+(($C84)-$A$63:$A$108)*'Cálculos'!$D$98)/(('Cálculos'!$D$196+(($C84)-$A$63:$A$108)*'Cálculos'!$D$98)+1400)+'Cálculos'!$D$122)*'Cálculos'!$D$216+'Cálculos'!$D$125*(1+2.78*('Cálculos'!$D$196+(($C84)-$A$63:$A$108)*'Cálculos'!$D$98)/(('Cálculos'!$D$196+(($C84)-$A$63:$A$108)*'Cálculos'!$D$98)+1400)+'Cálculos'!$D$123)*'Cálculos'!$D$221)+('Cálculos'!$D$204*(1+'Cálculos'!$D$205+$A$63:$A$108*('Cálculos'!$D$290=3)*'Cálculos'!$D$103)+'Cálculos'!$D$206)*('Cálculos'!$D$212+'Cálculos'!$D$124*(1+2.78*('Cálculos'!$D$196+(($C84)-$A$63:$A$108)*'Cálculos'!$D$98)/(('Cálculos'!$D$196+(($C84)-$A$63:$A$108)*'Cálculos'!$D$98)+1400)+'Cálculos'!$D$122)*'Cálculos'!$D$217+'Cálculos'!$D$125*(1+2.78*('Cálculos'!$D$196+(($C84)-$A$63:$A$108)*'Cálculos'!$D$98)/(('Cálculos'!$D$196+(($C84)-$A$63:$A$108)*'Cálculos'!$D$98)+1400)+'Cálculos'!$D$123)*'Cálculos'!$D$222)+('Cálculos'!$D$213+'Cálculos'!$D$124*(1+2.78*('Cálculos'!$D$196+(($C84)-$A$63:$A$108)*'Cálculos'!$D$98)/(('Cálculos'!$D$196+(($C84)-$A$63:$A$108)*'Cálculos'!$D$98)+1400)+'Cálculos'!$D$122)*'Cálculos'!$D$218+'Cálculos'!$D$125*(1+2.78*('Cálculos'!$D$196+(($C84)-$A$63:$A$108)*'Cálculos'!$D$98)/(('Cálculos'!$D$196+(($C84)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84)-$A$63:$A$108)*'Cálculos'!$D$98)/(('Cálculos'!$D$197+(($C84)-$A$63:$A$108)*'Cálculos'!$D$98)+1400)+'Cálculos'!$D$122)*'Cálculos'!$D$229+'Cálculos'!$D$125*(1+2.78*('Cálculos'!$D$197+(($C84)-$A$63:$A$108)*'Cálculos'!$D$98)/(('Cálculos'!$D$197+(($C84)-$A$63:$A$108)*'Cálculos'!$D$98)+1400)+'Cálculos'!$D$123)*'Cálculos'!$D$234)+('Cálculos'!$D$197+(($C84)-$A$63:$A$108)*'Cálculos'!$D$98)*('Cálculos'!$D$225+'Cálculos'!$D$124*(1+2.78*('Cálculos'!$D$197+(($C84)-$A$63:$A$108)*'Cálculos'!$D$98)/(('Cálculos'!$D$197+(($C84)-$A$63:$A$108)*'Cálculos'!$D$98)+1400)+'Cálculos'!$D$122)*'Cálculos'!$D$230+'Cálculos'!$D$125*(1+2.78*('Cálculos'!$D$197+(($C84)-$A$63:$A$108)*'Cálculos'!$D$98)/(('Cálculos'!$D$197+(($C84)-$A$63:$A$108)*'Cálculos'!$D$98)+1400)+'Cálculos'!$D$123)*'Cálculos'!$D$235)+('Cálculos'!$D$201*(1+'Cálculos'!$D$202+$A$63:$A$108*('Cálculos'!$D$290=2)*'Cálculos'!$D$101)+'Cálculos'!$D$203)*('Cálculos'!$D$226+'Cálculos'!$D$124*(1+2.78*('Cálculos'!$D$197+(($C84)-$A$63:$A$108)*'Cálculos'!$D$98)/(('Cálculos'!$D$197+(($C84)-$A$63:$A$108)*'Cálculos'!$D$98)+1400)+'Cálculos'!$D$122)*'Cálculos'!$D$231+'Cálculos'!$D$125*(1+2.78*('Cálculos'!$D$197+(($C84)-$A$63:$A$108)*'Cálculos'!$D$98)/(('Cálculos'!$D$197+(($C84)-$A$63:$A$108)*'Cálculos'!$D$98)+1400)+'Cálculos'!$D$123)*'Cálculos'!$D$236)+('Cálculos'!$D$204*(1+'Cálculos'!$D$205+$A$63:$A$108*('Cálculos'!$D$290=3)*'Cálculos'!$D$103)+'Cálculos'!$D$206)*('Cálculos'!$D$227+'Cálculos'!$D$124*(1+2.78*('Cálculos'!$D$197+(($C84)-$A$63:$A$108)*'Cálculos'!$D$98)/(('Cálculos'!$D$197+(($C84)-$A$63:$A$108)*'Cálculos'!$D$98)+1400)+'Cálculos'!$D$122)*'Cálculos'!$D$232+'Cálculos'!$D$125*(1+2.78*('Cálculos'!$D$197+(($C84)-$A$63:$A$108)*'Cálculos'!$D$98)/(('Cálculos'!$D$197+(($C84)-$A$63:$A$108)*'Cálculos'!$D$98)+1400)+'Cálculos'!$D$123)*'Cálculos'!$D$237)+('Cálculos'!$D$228+'Cálculos'!$D$124*(1+2.78*('Cálculos'!$D$197+(($C84)-$A$63:$A$108)*'Cálculos'!$D$98)/(('Cálculos'!$D$197+(($C84)-$A$63:$A$108)*'Cálculos'!$D$98)+1400)+'Cálculos'!$D$122)*'Cálculos'!$D$233+'Cálculos'!$D$125*(1+2.78*('Cálculos'!$D$197+(($C84)-$A$63:$A$108)*'Cálculos'!$D$98)/(('Cálculos'!$D$197+(($C84)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84)-$A$63:$A$108)*'Cálculos'!$D$98)/(('Cálculos'!$D$198+(($C84)-$A$63:$A$108)*'Cálculos'!$D$98)+1400)+'Cálculos'!$D$122)*'Cálculos'!$D$244+'Cálculos'!$D$125*(1+2.78*('Cálculos'!$D$198+(($C84)-$A$63:$A$108)*'Cálculos'!$D$98)/(('Cálculos'!$D$198+(($C84)-$A$63:$A$108)*'Cálculos'!$D$98)+1400)+'Cálculos'!$D$123)*'Cálculos'!$D$249)+('Cálculos'!$D$198+(($C84)-$A$63:$A$108)*'Cálculos'!$D$98)*('Cálculos'!$D$240+'Cálculos'!$D$124*(1+2.78*('Cálculos'!$D$198+(($C84)-$A$63:$A$108)*'Cálculos'!$D$98)/(('Cálculos'!$D$198+(($C84)-$A$63:$A$108)*'Cálculos'!$D$98)+1400)+'Cálculos'!$D$122)*'Cálculos'!$D$245+'Cálculos'!$D$125*(1+2.78*('Cálculos'!$D$198+(($C84)-$A$63:$A$108)*'Cálculos'!$D$98)/(('Cálculos'!$D$198+(($C84)-$A$63:$A$108)*'Cálculos'!$D$98)+1400)+'Cálculos'!$D$123)*'Cálculos'!$D$250)+('Cálculos'!$D$201*(1+'Cálculos'!$D$202+$A$63:$A$108*('Cálculos'!$D$290=2)*'Cálculos'!$D$101)+'Cálculos'!$D$203)*('Cálculos'!$D$241+'Cálculos'!$D$124*(1+2.78*('Cálculos'!$D$198+(($C84)-$A$63:$A$108)*'Cálculos'!$D$98)/(('Cálculos'!$D$198+(($C84)-$A$63:$A$108)*'Cálculos'!$D$98)+1400)+'Cálculos'!$D$122)*'Cálculos'!$D$246+'Cálculos'!$D$125*(1+2.78*('Cálculos'!$D$198+(($C84)-$A$63:$A$108)*'Cálculos'!$D$98)/(('Cálculos'!$D$198+(($C84)-$A$63:$A$108)*'Cálculos'!$D$98)+1400)+'Cálculos'!$D$123)*'Cálculos'!$D$251)+('Cálculos'!$D$204*(1+'Cálculos'!$D$205+$A$63:$A$108*('Cálculos'!$D$290=3)*'Cálculos'!$D$103)+'Cálculos'!$D$206)*('Cálculos'!$D$242+'Cálculos'!$D$124*(1+2.78*('Cálculos'!$D$198+(($C84)-$A$63:$A$108)*'Cálculos'!$D$98)/(('Cálculos'!$D$198+(($C84)-$A$63:$A$108)*'Cálculos'!$D$98)+1400)+'Cálculos'!$D$122)*'Cálculos'!$D$247+'Cálculos'!$D$125*(1+2.78*('Cálculos'!$D$198+(($C84)-$A$63:$A$108)*'Cálculos'!$D$98)/(('Cálculos'!$D$198+(($C84)-$A$63:$A$108)*'Cálculos'!$D$98)+1400)+'Cálculos'!$D$123)*'Cálculos'!$D$252)+('Cálculos'!$D$243+'Cálculos'!$D$124*(1+2.78*('Cálculos'!$D$198+(($C84)-$A$63:$A$108)*'Cálculos'!$D$98)/(('Cálculos'!$D$198+(($C84)-$A$63:$A$108)*'Cálculos'!$D$98)+1400)+'Cálculos'!$D$122)*'Cálculos'!$D$248+'Cálculos'!$D$125*(1+2.78*('Cálculos'!$D$198+(($C84)-$A$63:$A$108)*'Cálculos'!$D$98)/(('Cálculos'!$D$198+(($C84)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84)-$A$63:$A$108)*'Cálculos'!$D$98)/(('Cálculos'!$D$199+(($C84)-$A$63:$A$108)*'Cálculos'!$D$98)+1400)+'Cálculos'!$D$122)*'Cálculos'!$D$259+'Cálculos'!$D$125*(1+2.78*('Cálculos'!$D$199+(($C84)-$A$63:$A$108)*'Cálculos'!$D$98)/(('Cálculos'!$D$199+(($C84)-$A$63:$A$108)*'Cálculos'!$D$98)+1400)+'Cálculos'!$D$123)*'Cálculos'!$D$264)+('Cálculos'!$D$199+(($C84)-$A$63:$A$108)*'Cálculos'!$D$98)*('Cálculos'!$D$255+'Cálculos'!$D$124*(1+2.78*('Cálculos'!$D$199+(($C84)-$A$63:$A$108)*'Cálculos'!$D$98)/(('Cálculos'!$D$199+(($C84)-$A$63:$A$108)*'Cálculos'!$D$98)+1400)+'Cálculos'!$D$122)*'Cálculos'!$D$260+'Cálculos'!$D$125*(1+2.78*('Cálculos'!$D$199+(($C84)-$A$63:$A$108)*'Cálculos'!$D$98)/(('Cálculos'!$D$199+(($C84)-$A$63:$A$108)*'Cálculos'!$D$98)+1400)+'Cálculos'!$D$123)*'Cálculos'!$D$265)+('Cálculos'!$D$201*(1+'Cálculos'!$D$202+$A$63:$A$108*('Cálculos'!$D$290=2)*'Cálculos'!$D$101)+'Cálculos'!$D$203)*('Cálculos'!$D$256+'Cálculos'!$D$124*(1+2.78*('Cálculos'!$D$199+(($C84)-$A$63:$A$108)*'Cálculos'!$D$98)/(('Cálculos'!$D$199+(($C84)-$A$63:$A$108)*'Cálculos'!$D$98)+1400)+'Cálculos'!$D$122)*'Cálculos'!$D$261+'Cálculos'!$D$125*(1+2.78*('Cálculos'!$D$199+(($C84)-$A$63:$A$108)*'Cálculos'!$D$98)/(('Cálculos'!$D$199+(($C84)-$A$63:$A$108)*'Cálculos'!$D$98)+1400)+'Cálculos'!$D$123)*'Cálculos'!$D$266)+('Cálculos'!$D$204*(1+'Cálculos'!$D$205+$A$63:$A$108*('Cálculos'!$D$290=3)*'Cálculos'!$D$103)+'Cálculos'!$D$206)*('Cálculos'!$D$257+'Cálculos'!$D$124*(1+2.78*('Cálculos'!$D$199+(($C84)-$A$63:$A$108)*'Cálculos'!$D$98)/(('Cálculos'!$D$199+(($C84)-$A$63:$A$108)*'Cálculos'!$D$98)+1400)+'Cálculos'!$D$122)*'Cálculos'!$D$262+'Cálculos'!$D$125*(1+2.78*('Cálculos'!$D$199+(($C84)-$A$63:$A$108)*'Cálculos'!$D$98)/(('Cálculos'!$D$199+(($C84)-$A$63:$A$108)*'Cálculos'!$D$98)+1400)+'Cálculos'!$D$123)*'Cálculos'!$D$267)+('Cálculos'!$D$258+'Cálculos'!$D$124*(1+2.78*('Cálculos'!$D$199+(($C84)-$A$63:$A$108)*'Cálculos'!$D$98)/(('Cálculos'!$D$199+(($C84)-$A$63:$A$108)*'Cálculos'!$D$98)+1400)+'Cálculos'!$D$122)*'Cálculos'!$D$263+'Cálculos'!$D$125*(1+2.78*('Cálculos'!$D$199+(($C84)-$A$63:$A$108)*'Cálculos'!$D$98)/(('Cálculos'!$D$199+(($C84)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84)-$A$63:$A$108)*'Cálculos'!$D$98)/(('Cálculos'!$D$200+(($C84)-$A$63:$A$108)*'Cálculos'!$D$98)+1400)+'Cálculos'!$D$122)*'Cálculos'!$D$274+'Cálculos'!$D$125*(1+2.78*('Cálculos'!$D$200+(($C84)-$A$63:$A$108)*'Cálculos'!$D$98)/(('Cálculos'!$D$200+(($C84)-$A$63:$A$108)*'Cálculos'!$D$98)+1400)+'Cálculos'!$D$123)*'Cálculos'!$D$279)+('Cálculos'!$D$200+(($C84)-$A$63:$A$108)*'Cálculos'!$D$98)*('Cálculos'!$D$270+'Cálculos'!$D$124*(1+2.78*('Cálculos'!$D$200+(($C84)-$A$63:$A$108)*'Cálculos'!$D$98)/(('Cálculos'!$D$200+(($C84)-$A$63:$A$108)*'Cálculos'!$D$98)+1400)+'Cálculos'!$D$122)*'Cálculos'!$D$275+'Cálculos'!$D$125*(1+2.78*('Cálculos'!$D$200+(($C84)-$A$63:$A$108)*'Cálculos'!$D$98)/(('Cálculos'!$D$200+(($C84)-$A$63:$A$108)*'Cálculos'!$D$98)+1400)+'Cálculos'!$D$123)*'Cálculos'!$D$280)+('Cálculos'!$D$201*(1+'Cálculos'!$D$202+$A$63:$A$108*('Cálculos'!$D$290=2)*'Cálculos'!$D$101)+'Cálculos'!$D$203)*('Cálculos'!$D$271+'Cálculos'!$D$124*(1+2.78*('Cálculos'!$D$200+(($C84)-$A$63:$A$108)*'Cálculos'!$D$98)/(('Cálculos'!$D$200+(($C84)-$A$63:$A$108)*'Cálculos'!$D$98)+1400)+'Cálculos'!$D$122)*'Cálculos'!$D$276+'Cálculos'!$D$125*(1+2.78*('Cálculos'!$D$200+(($C84)-$A$63:$A$108)*'Cálculos'!$D$98)/(('Cálculos'!$D$200+(($C84)-$A$63:$A$108)*'Cálculos'!$D$98)+1400)+'Cálculos'!$D$123)*'Cálculos'!$D$281)+('Cálculos'!$D$204*(1+'Cálculos'!$D$205+$A$63:$A$108*('Cálculos'!$D$290=3)*'Cálculos'!$D$103)+'Cálculos'!$D$206)*('Cálculos'!$D$272+'Cálculos'!$D$124*(1+2.78*('Cálculos'!$D$200+(($C84)-$A$63:$A$108)*'Cálculos'!$D$98)/(('Cálculos'!$D$200+(($C84)-$A$63:$A$108)*'Cálculos'!$D$98)+1400)+'Cálculos'!$D$122)*'Cálculos'!$D$277+'Cálculos'!$D$125*(1+2.78*('Cálculos'!$D$200+(($C84)-$A$63:$A$108)*'Cálculos'!$D$98)/(('Cálculos'!$D$200+(($C84)-$A$63:$A$108)*'Cálculos'!$D$98)+1400)+'Cálculos'!$D$123)*'Cálculos'!$D$282)+('Cálculos'!$D$273+'Cálculos'!$D$124*(1+2.78*('Cálculos'!$D$200+(($C84)-$A$63:$A$108)*'Cálculos'!$D$98)/(('Cálculos'!$D$200+(($C84)-$A$63:$A$108)*'Cálculos'!$D$98)+1400)+'Cálculos'!$D$122)*'Cálculos'!$D$278+'Cálculos'!$D$125*(1+2.78*('Cálculos'!$D$200+(($C84)-$A$63:$A$108)*'Cálculos'!$D$98)/(('Cálculos'!$D$200+(($C84)-$A$63:$A$108)*'Cálculos'!$D$98)+1400)+'Cálculos'!$D$123)*'Cálculos'!$D$283)))))</f>
        <v>0</v>
      </c>
      <c r="E84" s="32">
        <f>IF(OR($C84&lt;0,'Cálculos'!$D$6=""),0,$B84*$D84)</f>
        <v>0</v>
      </c>
      <c r="F84" s="2"/>
      <c r="G84" s="30">
        <f>($A84&lt;=$B$110)*($A84&lt;='Cálculos'!$D$294)*(($B$110)-$A84&lt;='Cálculos'!$D$295)*(1+MIN(('Cálculos'!$D$207+$A84*'Cálculos'!$D$95),1)*('Cálculos'!$D$208+(($B$110)-$A84)*'Cálculos'!$D$96))</f>
        <v>0</v>
      </c>
      <c r="H84" s="31">
        <f>IF($B$111&lt;0,0,($A84&lt;=$B$111)*($A84&lt;='Cálculos'!$D$301)*(($B$111)-$A84&lt;='Cálculos'!$D$297)*(('Cálculos'!$D$185*(1+'Cálculos'!$D$186+$A84*('Cálculos'!$D$290=1)*'Cálculos'!$D$97+'Cálculos'!$D$305)+'Cálculos'!$D$191)*('Cálculos'!$D$209+'Cálculos'!$D$124*(1+2.78*('Cálculos'!$D$196+(($B$111)-$A84)*'Cálculos'!$D$98)/(('Cálculos'!$D$196+(($B$111)-$A84)*'Cálculos'!$D$98)+1400)+'Cálculos'!$D$122)*'Cálculos'!$D$214+'Cálculos'!$D$125*(1+2.78*('Cálculos'!$D$196+(($B$111)-$A84)*'Cálculos'!$D$98)/(('Cálculos'!$D$196+(($B$111)-$A84)*'Cálculos'!$D$98)+1400)+'Cálculos'!$D$123)*'Cálculos'!$D$219)+('Cálculos'!$D$196+(($B$111)-$A84)*'Cálculos'!$D$98)*('Cálculos'!$D$210+'Cálculos'!$D$124*(1+2.78*('Cálculos'!$D$196+(($B$111)-$A84)*'Cálculos'!$D$98)/(('Cálculos'!$D$196+(($B$111)-$A84)*'Cálculos'!$D$98)+1400)+'Cálculos'!$D$122)*'Cálculos'!$D$215+'Cálculos'!$D$125*(1+2.78*('Cálculos'!$D$196+(($B$111)-$A84)*'Cálculos'!$D$98)/(('Cálculos'!$D$196+(($B$111)-$A84)*'Cálculos'!$D$98)+1400)+'Cálculos'!$D$123)*'Cálculos'!$D$220)+('Cálculos'!$D$201*(1+'Cálculos'!$D$202+$A84*('Cálculos'!$D$290=2)*'Cálculos'!$D$101)+'Cálculos'!$D$203)*('Cálculos'!$D$211+'Cálculos'!$D$124*(1+2.78*('Cálculos'!$D$196+(($B$111)-$A84)*'Cálculos'!$D$98)/(('Cálculos'!$D$196+(($B$111)-$A84)*'Cálculos'!$D$98)+1400)+'Cálculos'!$D$122)*'Cálculos'!$D$216+'Cálculos'!$D$125*(1+2.78*('Cálculos'!$D$196+(($B$111)-$A84)*'Cálculos'!$D$98)/(('Cálculos'!$D$196+(($B$111)-$A84)*'Cálculos'!$D$98)+1400)+'Cálculos'!$D$123)*'Cálculos'!$D$221)+('Cálculos'!$D$204*(1+'Cálculos'!$D$205+$A84*('Cálculos'!$D$290=3)*'Cálculos'!$D$103)+'Cálculos'!$D$206)*('Cálculos'!$D$212+'Cálculos'!$D$124*(1+2.78*('Cálculos'!$D$196+(($B$111)-$A84)*'Cálculos'!$D$98)/(('Cálculos'!$D$196+(($B$111)-$A84)*'Cálculos'!$D$98)+1400)+'Cálculos'!$D$122)*'Cálculos'!$D$217+'Cálculos'!$D$125*(1+2.78*('Cálculos'!$D$196+(($B$111)-$A84)*'Cálculos'!$D$98)/(('Cálculos'!$D$196+(($B$111)-$A84)*'Cálculos'!$D$98)+1400)+'Cálculos'!$D$123)*'Cálculos'!$D$222)+('Cálculos'!$D$213+'Cálculos'!$D$124*(1+2.78*('Cálculos'!$D$196+(($B$111)-$A84)*'Cálculos'!$D$98)/(('Cálculos'!$D$196+(($B$111)-$A84)*'Cálculos'!$D$98)+1400)+'Cálculos'!$D$122)*'Cálculos'!$D$218+'Cálculos'!$D$125*(1+2.78*('Cálculos'!$D$196+(($B$111)-$A84)*'Cálculos'!$D$98)/(('Cálculos'!$D$196+(($B$111)-$A84)*'Cálculos'!$D$98)+1400)+'Cálculos'!$D$123)*'Cálculos'!$D$223)+('Cálculos'!$D$185*(1+'Cálculos'!$D$187+$A84*('Cálculos'!$D$290=1)*'Cálculos'!$D$97+'Cálculos'!$D$305)+'Cálculos'!$D$192)*('Cálculos'!$D$224+'Cálculos'!$D$124*(1+2.78*('Cálculos'!$D$197+(($B$111)-$A84)*'Cálculos'!$D$98)/(('Cálculos'!$D$197+(($B$111)-$A84)*'Cálculos'!$D$98)+1400)+'Cálculos'!$D$122)*'Cálculos'!$D$229+'Cálculos'!$D$125*(1+2.78*('Cálculos'!$D$197+(($B$111)-$A84)*'Cálculos'!$D$98)/(('Cálculos'!$D$197+(($B$111)-$A84)*'Cálculos'!$D$98)+1400)+'Cálculos'!$D$123)*'Cálculos'!$D$234)+('Cálculos'!$D$197+(($B$111)-$A84)*'Cálculos'!$D$98)*('Cálculos'!$D$225+'Cálculos'!$D$124*(1+2.78*('Cálculos'!$D$197+(($B$111)-$A84)*'Cálculos'!$D$98)/(('Cálculos'!$D$197+(($B$111)-$A84)*'Cálculos'!$D$98)+1400)+'Cálculos'!$D$122)*'Cálculos'!$D$230+'Cálculos'!$D$125*(1+2.78*('Cálculos'!$D$197+(($B$111)-$A84)*'Cálculos'!$D$98)/(('Cálculos'!$D$197+(($B$111)-$A84)*'Cálculos'!$D$98)+1400)+'Cálculos'!$D$123)*'Cálculos'!$D$235)+('Cálculos'!$D$201*(1+'Cálculos'!$D$202+$A84*('Cálculos'!$D$290=2)*'Cálculos'!$D$101)+'Cálculos'!$D$203)*('Cálculos'!$D$226+'Cálculos'!$D$124*(1+2.78*('Cálculos'!$D$197+(($B$111)-$A84)*'Cálculos'!$D$98)/(('Cálculos'!$D$197+(($B$111)-$A84)*'Cálculos'!$D$98)+1400)+'Cálculos'!$D$122)*'Cálculos'!$D$231+'Cálculos'!$D$125*(1+2.78*('Cálculos'!$D$197+(($B$111)-$A84)*'Cálculos'!$D$98)/(('Cálculos'!$D$197+(($B$111)-$A84)*'Cálculos'!$D$98)+1400)+'Cálculos'!$D$123)*'Cálculos'!$D$236)+('Cálculos'!$D$204*(1+'Cálculos'!$D$205+$A84*('Cálculos'!$D$290=3)*'Cálculos'!$D$103)+'Cálculos'!$D$206)*('Cálculos'!$D$227+'Cálculos'!$D$124*(1+2.78*('Cálculos'!$D$197+(($B$111)-$A84)*'Cálculos'!$D$98)/(('Cálculos'!$D$197+(($B$111)-$A84)*'Cálculos'!$D$98)+1400)+'Cálculos'!$D$122)*'Cálculos'!$D$232+'Cálculos'!$D$125*(1+2.78*('Cálculos'!$D$197+(($B$111)-$A84)*'Cálculos'!$D$98)/(('Cálculos'!$D$197+(($B$111)-$A84)*'Cálculos'!$D$98)+1400)+'Cálculos'!$D$123)*'Cálculos'!$D$237)+('Cálculos'!$D$228+'Cálculos'!$D$124*(1+2.78*('Cálculos'!$D$197+(($B$111)-$A84)*'Cálculos'!$D$98)/(('Cálculos'!$D$197+(($B$111)-$A84)*'Cálculos'!$D$98)+1400)+'Cálculos'!$D$122)*'Cálculos'!$D$233+'Cálculos'!$D$125*(1+2.78*('Cálculos'!$D$197+(($B$111)-$A84)*'Cálculos'!$D$98)/(('Cálculos'!$D$197+(($B$111)-$A84)*'Cálculos'!$D$98)+1400)+'Cálculos'!$D$123)*'Cálculos'!$D$238)+('Cálculos'!$D$185*(1+'Cálculos'!$D$188+$A84*('Cálculos'!$D$290=1)*'Cálculos'!$D$97+'Cálculos'!$D$305)+'Cálculos'!$D$193)*('Cálculos'!$D$239+'Cálculos'!$D$124*(1+2.78*('Cálculos'!$D$198+(($B$111)-$A84)*'Cálculos'!$D$98)/(('Cálculos'!$D$198+(($B$111)-$A84)*'Cálculos'!$D$98)+1400)+'Cálculos'!$D$122)*'Cálculos'!$D$244+'Cálculos'!$D$125*(1+2.78*('Cálculos'!$D$198+(($B$111)-$A84)*'Cálculos'!$D$98)/(('Cálculos'!$D$198+(($B$111)-$A84)*'Cálculos'!$D$98)+1400)+'Cálculos'!$D$123)*'Cálculos'!$D$249)+('Cálculos'!$D$198+(($B$111)-$A84)*'Cálculos'!$D$98)*('Cálculos'!$D$240+'Cálculos'!$D$124*(1+2.78*('Cálculos'!$D$198+(($B$111)-$A84)*'Cálculos'!$D$98)/(('Cálculos'!$D$198+(($B$111)-$A84)*'Cálculos'!$D$98)+1400)+'Cálculos'!$D$122)*'Cálculos'!$D$245+'Cálculos'!$D$125*(1+2.78*('Cálculos'!$D$198+(($B$111)-$A84)*'Cálculos'!$D$98)/(('Cálculos'!$D$198+(($B$111)-$A84)*'Cálculos'!$D$98)+1400)+'Cálculos'!$D$123)*'Cálculos'!$D$250)+('Cálculos'!$D$201*(1+'Cálculos'!$D$202+$A84*('Cálculos'!$D$290=2)*'Cálculos'!$D$101)+'Cálculos'!$D$203)*('Cálculos'!$D$241+'Cálculos'!$D$124*(1+2.78*('Cálculos'!$D$198+(($B$111)-$A84)*'Cálculos'!$D$98)/(('Cálculos'!$D$198+(($B$111)-$A84)*'Cálculos'!$D$98)+1400)+'Cálculos'!$D$122)*'Cálculos'!$D$246+'Cálculos'!$D$125*(1+2.78*('Cálculos'!$D$198+(($B$111)-$A84)*'Cálculos'!$D$98)/(('Cálculos'!$D$198+(($B$111)-$A84)*'Cálculos'!$D$98)+1400)+'Cálculos'!$D$123)*'Cálculos'!$D$251)+('Cálculos'!$D$204*(1+'Cálculos'!$D$205+$A84*('Cálculos'!$D$290=3)*'Cálculos'!$D$103)+'Cálculos'!$D$206)*('Cálculos'!$D$242+'Cálculos'!$D$124*(1+2.78*('Cálculos'!$D$198+(($B$111)-$A84)*'Cálculos'!$D$98)/(('Cálculos'!$D$198+(($B$111)-$A84)*'Cálculos'!$D$98)+1400)+'Cálculos'!$D$122)*'Cálculos'!$D$247+'Cálculos'!$D$125*(1+2.78*('Cálculos'!$D$198+(($B$111)-$A84)*'Cálculos'!$D$98)/(('Cálculos'!$D$198+(($B$111)-$A84)*'Cálculos'!$D$98)+1400)+'Cálculos'!$D$123)*'Cálculos'!$D$252)+('Cálculos'!$D$243+'Cálculos'!$D$124*(1+2.78*('Cálculos'!$D$198+(($B$111)-$A84)*'Cálculos'!$D$98)/(('Cálculos'!$D$198+(($B$111)-$A84)*'Cálculos'!$D$98)+1400)+'Cálculos'!$D$122)*'Cálculos'!$D$248+'Cálculos'!$D$125*(1+2.78*('Cálculos'!$D$198+(($B$111)-$A84)*'Cálculos'!$D$98)/(('Cálculos'!$D$198+(($B$111)-$A84)*'Cálculos'!$D$98)+1400)+'Cálculos'!$D$123)*'Cálculos'!$D$253)+('Cálculos'!$D$185*(1+'Cálculos'!$D$189+$A84*('Cálculos'!$D$290=1)*'Cálculos'!$D$97+'Cálculos'!$D$305)+'Cálculos'!$D$194)*('Cálculos'!$D$254+'Cálculos'!$D$124*(1+2.78*('Cálculos'!$D$199+(($B$111)-$A84)*'Cálculos'!$D$98)/(('Cálculos'!$D$199+(($B$111)-$A84)*'Cálculos'!$D$98)+1400)+'Cálculos'!$D$122)*'Cálculos'!$D$259+'Cálculos'!$D$125*(1+2.78*('Cálculos'!$D$199+(($B$111)-$A84)*'Cálculos'!$D$98)/(('Cálculos'!$D$199+(($B$111)-$A84)*'Cálculos'!$D$98)+1400)+'Cálculos'!$D$123)*'Cálculos'!$D$264)+('Cálculos'!$D$199+(($B$111)-$A84)*'Cálculos'!$D$98)*('Cálculos'!$D$255+'Cálculos'!$D$124*(1+2.78*('Cálculos'!$D$199+(($B$111)-$A84)*'Cálculos'!$D$98)/(('Cálculos'!$D$199+(($B$111)-$A84)*'Cálculos'!$D$98)+1400)+'Cálculos'!$D$122)*'Cálculos'!$D$260+'Cálculos'!$D$125*(1+2.78*('Cálculos'!$D$199+(($B$111)-$A84)*'Cálculos'!$D$98)/(('Cálculos'!$D$199+(($B$111)-$A84)*'Cálculos'!$D$98)+1400)+'Cálculos'!$D$123)*'Cálculos'!$D$265)+('Cálculos'!$D$201*(1+'Cálculos'!$D$202+$A84*('Cálculos'!$D$290=2)*'Cálculos'!$D$101)+'Cálculos'!$D$203)*('Cálculos'!$D$256+'Cálculos'!$D$124*(1+2.78*('Cálculos'!$D$199+(($B$111)-$A84)*'Cálculos'!$D$98)/(('Cálculos'!$D$199+(($B$111)-$A84)*'Cálculos'!$D$98)+1400)+'Cálculos'!$D$122)*'Cálculos'!$D$261+'Cálculos'!$D$125*(1+2.78*('Cálculos'!$D$199+(($B$111)-$A84)*'Cálculos'!$D$98)/(('Cálculos'!$D$199+(($B$111)-$A84)*'Cálculos'!$D$98)+1400)+'Cálculos'!$D$123)*'Cálculos'!$D$266)+('Cálculos'!$D$204*(1+'Cálculos'!$D$205+$A84*('Cálculos'!$D$290=3)*'Cálculos'!$D$103)+'Cálculos'!$D$206)*('Cálculos'!$D$257+'Cálculos'!$D$124*(1+2.78*('Cálculos'!$D$199+(($B$111)-$A84)*'Cálculos'!$D$98)/(('Cálculos'!$D$199+(($B$111)-$A84)*'Cálculos'!$D$98)+1400)+'Cálculos'!$D$122)*'Cálculos'!$D$262+'Cálculos'!$D$125*(1+2.78*('Cálculos'!$D$199+(($B$111)-$A84)*'Cálculos'!$D$98)/(('Cálculos'!$D$199+(($B$111)-$A84)*'Cálculos'!$D$98)+1400)+'Cálculos'!$D$123)*'Cálculos'!$D$267)+('Cálculos'!$D$258+'Cálculos'!$D$124*(1+2.78*('Cálculos'!$D$199+(($B$111)-$A84)*'Cálculos'!$D$98)/(('Cálculos'!$D$199+(($B$111)-$A84)*'Cálculos'!$D$98)+1400)+'Cálculos'!$D$122)*'Cálculos'!$D$263+'Cálculos'!$D$125*(1+2.78*('Cálculos'!$D$199+(($B$111)-$A84)*'Cálculos'!$D$98)/(('Cálculos'!$D$199+(($B$111)-$A84)*'Cálculos'!$D$98)+1400)+'Cálculos'!$D$123)*'Cálculos'!$D$268)+('Cálculos'!$D$185*(1+'Cálculos'!$D$190+$A84*('Cálculos'!$D$290=1)*'Cálculos'!$D$97+'Cálculos'!$D$305)+'Cálculos'!$D$195)*('Cálculos'!$D$269+'Cálculos'!$D$124*(1+2.78*('Cálculos'!$D$200+(($B$111)-$A84)*'Cálculos'!$D$98)/(('Cálculos'!$D$200+(($B$111)-$A84)*'Cálculos'!$D$98)+1400)+'Cálculos'!$D$122)*'Cálculos'!$D$274+'Cálculos'!$D$125*(1+2.78*('Cálculos'!$D$200+(($B$111)-$A84)*'Cálculos'!$D$98)/(('Cálculos'!$D$200+(($B$111)-$A84)*'Cálculos'!$D$98)+1400)+'Cálculos'!$D$123)*'Cálculos'!$D$279)+('Cálculos'!$D$200+(($B$111)-$A84)*'Cálculos'!$D$98)*('Cálculos'!$D$270+'Cálculos'!$D$124*(1+2.78*('Cálculos'!$D$200+(($B$111)-$A84)*'Cálculos'!$D$98)/(('Cálculos'!$D$200+(($B$111)-$A84)*'Cálculos'!$D$98)+1400)+'Cálculos'!$D$122)*'Cálculos'!$D$275+'Cálculos'!$D$125*(1+2.78*('Cálculos'!$D$200+(($B$111)-$A84)*'Cálculos'!$D$98)/(('Cálculos'!$D$200+(($B$111)-$A84)*'Cálculos'!$D$98)+1400)+'Cálculos'!$D$123)*'Cálculos'!$D$280)+('Cálculos'!$D$201*(1+'Cálculos'!$D$202+$A84*('Cálculos'!$D$290=2)*'Cálculos'!$D$101)+'Cálculos'!$D$203)*('Cálculos'!$D$271+'Cálculos'!$D$124*(1+2.78*('Cálculos'!$D$200+(($B$111)-$A84)*'Cálculos'!$D$98)/(('Cálculos'!$D$200+(($B$111)-$A84)*'Cálculos'!$D$98)+1400)+'Cálculos'!$D$122)*'Cálculos'!$D$276+'Cálculos'!$D$125*(1+2.78*('Cálculos'!$D$200+(($B$111)-$A84)*'Cálculos'!$D$98)/(('Cálculos'!$D$200+(($B$111)-$A84)*'Cálculos'!$D$98)+1400)+'Cálculos'!$D$123)*'Cálculos'!$D$281)+('Cálculos'!$D$204*(1+'Cálculos'!$D$205+$A84*('Cálculos'!$D$290=3)*'Cálculos'!$D$103)+'Cálculos'!$D$206)*('Cálculos'!$D$272+'Cálculos'!$D$124*(1+2.78*('Cálculos'!$D$200+(($B$111)-$A84)*'Cálculos'!$D$98)/(('Cálculos'!$D$200+(($B$111)-$A84)*'Cálculos'!$D$98)+1400)+'Cálculos'!$D$122)*'Cálculos'!$D$277+'Cálculos'!$D$125*(1+2.78*('Cálculos'!$D$200+(($B$111)-$A84)*'Cálculos'!$D$98)/(('Cálculos'!$D$200+(($B$111)-$A84)*'Cálculos'!$D$98)+1400)+'Cálculos'!$D$123)*'Cálculos'!$D$282)+('Cálculos'!$D$273+'Cálculos'!$D$124*(1+2.78*('Cálculos'!$D$200+(($B$111)-$A84)*'Cálculos'!$D$98)/(('Cálculos'!$D$200+(($B$111)-$A84)*'Cálculos'!$D$98)+1400)+'Cálculos'!$D$122)*'Cálculos'!$D$278+'Cálculos'!$D$125*(1+2.78*('Cálculos'!$D$200+(($B$111)-$A84)*'Cálculos'!$D$98)/(('Cálculos'!$D$200+(($B$111)-$A84)*'Cálculos'!$D$98)+1400)+'Cálculos'!$D$123)*'Cálculos'!$D$283)))</f>
        <v>0</v>
      </c>
    </row>
    <row r="85" ht="15.75" customHeight="1">
      <c r="A85" s="2">
        <v>22.0</v>
      </c>
      <c r="B85" s="30">
        <f>SUMPRODUCT(MAX(($A$63:$A$108&lt;=$A85)*($A$63:$A$108&lt;='Cálculos'!$D$294)*(($A85)-$A$63:$A$108&lt;='Cálculos'!$D$295)*(1+(('Cálculos'!$D$207+$A$63:$A$108*'Cálculos'!$D$95)-(('Cálculos'!$D$207+$A$63:$A$108*'Cálculos'!$D$95)&gt;1)*(('Cálculos'!$D$207+$A$63:$A$108*'Cálculos'!$D$95)-1))*('Cálculos'!$D$208+(($A85)-$A$63:$A$108)*'Cálculos'!$D$96))))</f>
        <v>1.794343646</v>
      </c>
      <c r="C85" s="2">
        <f>'Cálculos'!$D$303-$A85</f>
        <v>-11</v>
      </c>
      <c r="D85" s="31">
        <f>IF($C85&lt;0,0,SUMPRODUCT(MAX(($A$63:$A$108&lt;=$C85)*($A$63:$A$108&lt;='Cálculos'!$D$301)*(($C85)-$A$63:$A$108&lt;='Cálculos'!$D$297)*(('Cálculos'!$D$185*(1+'Cálculos'!$D$186+$A$63:$A$108*('Cálculos'!$D$290=1)*'Cálculos'!$D$97+'Cálculos'!$D$305)+'Cálculos'!$D$191)*('Cálculos'!$D$209+'Cálculos'!$D$124*(1+2.78*('Cálculos'!$D$196+(($C85)-$A$63:$A$108)*'Cálculos'!$D$98)/(('Cálculos'!$D$196+(($C85)-$A$63:$A$108)*'Cálculos'!$D$98)+1400)+'Cálculos'!$D$122)*'Cálculos'!$D$214+'Cálculos'!$D$125*(1+2.78*('Cálculos'!$D$196+(($C85)-$A$63:$A$108)*'Cálculos'!$D$98)/(('Cálculos'!$D$196+(($C85)-$A$63:$A$108)*'Cálculos'!$D$98)+1400)+'Cálculos'!$D$123)*'Cálculos'!$D$219)+('Cálculos'!$D$196+(($C85)-$A$63:$A$108)*'Cálculos'!$D$98)*('Cálculos'!$D$210+'Cálculos'!$D$124*(1+2.78*('Cálculos'!$D$196+(($C85)-$A$63:$A$108)*'Cálculos'!$D$98)/(('Cálculos'!$D$196+(($C85)-$A$63:$A$108)*'Cálculos'!$D$98)+1400)+'Cálculos'!$D$122)*'Cálculos'!$D$215+'Cálculos'!$D$125*(1+2.78*('Cálculos'!$D$196+(($C85)-$A$63:$A$108)*'Cálculos'!$D$98)/(('Cálculos'!$D$196+(($C85)-$A$63:$A$108)*'Cálculos'!$D$98)+1400)+'Cálculos'!$D$123)*'Cálculos'!$D$220)+('Cálculos'!$D$201*(1+'Cálculos'!$D$202+$A$63:$A$108*('Cálculos'!$D$290=2)*'Cálculos'!$D$101)+'Cálculos'!$D$203)*('Cálculos'!$D$211+'Cálculos'!$D$124*(1+2.78*('Cálculos'!$D$196+(($C85)-$A$63:$A$108)*'Cálculos'!$D$98)/(('Cálculos'!$D$196+(($C85)-$A$63:$A$108)*'Cálculos'!$D$98)+1400)+'Cálculos'!$D$122)*'Cálculos'!$D$216+'Cálculos'!$D$125*(1+2.78*('Cálculos'!$D$196+(($C85)-$A$63:$A$108)*'Cálculos'!$D$98)/(('Cálculos'!$D$196+(($C85)-$A$63:$A$108)*'Cálculos'!$D$98)+1400)+'Cálculos'!$D$123)*'Cálculos'!$D$221)+('Cálculos'!$D$204*(1+'Cálculos'!$D$205+$A$63:$A$108*('Cálculos'!$D$290=3)*'Cálculos'!$D$103)+'Cálculos'!$D$206)*('Cálculos'!$D$212+'Cálculos'!$D$124*(1+2.78*('Cálculos'!$D$196+(($C85)-$A$63:$A$108)*'Cálculos'!$D$98)/(('Cálculos'!$D$196+(($C85)-$A$63:$A$108)*'Cálculos'!$D$98)+1400)+'Cálculos'!$D$122)*'Cálculos'!$D$217+'Cálculos'!$D$125*(1+2.78*('Cálculos'!$D$196+(($C85)-$A$63:$A$108)*'Cálculos'!$D$98)/(('Cálculos'!$D$196+(($C85)-$A$63:$A$108)*'Cálculos'!$D$98)+1400)+'Cálculos'!$D$123)*'Cálculos'!$D$222)+('Cálculos'!$D$213+'Cálculos'!$D$124*(1+2.78*('Cálculos'!$D$196+(($C85)-$A$63:$A$108)*'Cálculos'!$D$98)/(('Cálculos'!$D$196+(($C85)-$A$63:$A$108)*'Cálculos'!$D$98)+1400)+'Cálculos'!$D$122)*'Cálculos'!$D$218+'Cálculos'!$D$125*(1+2.78*('Cálculos'!$D$196+(($C85)-$A$63:$A$108)*'Cálculos'!$D$98)/(('Cálculos'!$D$196+(($C85)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85)-$A$63:$A$108)*'Cálculos'!$D$98)/(('Cálculos'!$D$197+(($C85)-$A$63:$A$108)*'Cálculos'!$D$98)+1400)+'Cálculos'!$D$122)*'Cálculos'!$D$229+'Cálculos'!$D$125*(1+2.78*('Cálculos'!$D$197+(($C85)-$A$63:$A$108)*'Cálculos'!$D$98)/(('Cálculos'!$D$197+(($C85)-$A$63:$A$108)*'Cálculos'!$D$98)+1400)+'Cálculos'!$D$123)*'Cálculos'!$D$234)+('Cálculos'!$D$197+(($C85)-$A$63:$A$108)*'Cálculos'!$D$98)*('Cálculos'!$D$225+'Cálculos'!$D$124*(1+2.78*('Cálculos'!$D$197+(($C85)-$A$63:$A$108)*'Cálculos'!$D$98)/(('Cálculos'!$D$197+(($C85)-$A$63:$A$108)*'Cálculos'!$D$98)+1400)+'Cálculos'!$D$122)*'Cálculos'!$D$230+'Cálculos'!$D$125*(1+2.78*('Cálculos'!$D$197+(($C85)-$A$63:$A$108)*'Cálculos'!$D$98)/(('Cálculos'!$D$197+(($C85)-$A$63:$A$108)*'Cálculos'!$D$98)+1400)+'Cálculos'!$D$123)*'Cálculos'!$D$235)+('Cálculos'!$D$201*(1+'Cálculos'!$D$202+$A$63:$A$108*('Cálculos'!$D$290=2)*'Cálculos'!$D$101)+'Cálculos'!$D$203)*('Cálculos'!$D$226+'Cálculos'!$D$124*(1+2.78*('Cálculos'!$D$197+(($C85)-$A$63:$A$108)*'Cálculos'!$D$98)/(('Cálculos'!$D$197+(($C85)-$A$63:$A$108)*'Cálculos'!$D$98)+1400)+'Cálculos'!$D$122)*'Cálculos'!$D$231+'Cálculos'!$D$125*(1+2.78*('Cálculos'!$D$197+(($C85)-$A$63:$A$108)*'Cálculos'!$D$98)/(('Cálculos'!$D$197+(($C85)-$A$63:$A$108)*'Cálculos'!$D$98)+1400)+'Cálculos'!$D$123)*'Cálculos'!$D$236)+('Cálculos'!$D$204*(1+'Cálculos'!$D$205+$A$63:$A$108*('Cálculos'!$D$290=3)*'Cálculos'!$D$103)+'Cálculos'!$D$206)*('Cálculos'!$D$227+'Cálculos'!$D$124*(1+2.78*('Cálculos'!$D$197+(($C85)-$A$63:$A$108)*'Cálculos'!$D$98)/(('Cálculos'!$D$197+(($C85)-$A$63:$A$108)*'Cálculos'!$D$98)+1400)+'Cálculos'!$D$122)*'Cálculos'!$D$232+'Cálculos'!$D$125*(1+2.78*('Cálculos'!$D$197+(($C85)-$A$63:$A$108)*'Cálculos'!$D$98)/(('Cálculos'!$D$197+(($C85)-$A$63:$A$108)*'Cálculos'!$D$98)+1400)+'Cálculos'!$D$123)*'Cálculos'!$D$237)+('Cálculos'!$D$228+'Cálculos'!$D$124*(1+2.78*('Cálculos'!$D$197+(($C85)-$A$63:$A$108)*'Cálculos'!$D$98)/(('Cálculos'!$D$197+(($C85)-$A$63:$A$108)*'Cálculos'!$D$98)+1400)+'Cálculos'!$D$122)*'Cálculos'!$D$233+'Cálculos'!$D$125*(1+2.78*('Cálculos'!$D$197+(($C85)-$A$63:$A$108)*'Cálculos'!$D$98)/(('Cálculos'!$D$197+(($C85)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85)-$A$63:$A$108)*'Cálculos'!$D$98)/(('Cálculos'!$D$198+(($C85)-$A$63:$A$108)*'Cálculos'!$D$98)+1400)+'Cálculos'!$D$122)*'Cálculos'!$D$244+'Cálculos'!$D$125*(1+2.78*('Cálculos'!$D$198+(($C85)-$A$63:$A$108)*'Cálculos'!$D$98)/(('Cálculos'!$D$198+(($C85)-$A$63:$A$108)*'Cálculos'!$D$98)+1400)+'Cálculos'!$D$123)*'Cálculos'!$D$249)+('Cálculos'!$D$198+(($C85)-$A$63:$A$108)*'Cálculos'!$D$98)*('Cálculos'!$D$240+'Cálculos'!$D$124*(1+2.78*('Cálculos'!$D$198+(($C85)-$A$63:$A$108)*'Cálculos'!$D$98)/(('Cálculos'!$D$198+(($C85)-$A$63:$A$108)*'Cálculos'!$D$98)+1400)+'Cálculos'!$D$122)*'Cálculos'!$D$245+'Cálculos'!$D$125*(1+2.78*('Cálculos'!$D$198+(($C85)-$A$63:$A$108)*'Cálculos'!$D$98)/(('Cálculos'!$D$198+(($C85)-$A$63:$A$108)*'Cálculos'!$D$98)+1400)+'Cálculos'!$D$123)*'Cálculos'!$D$250)+('Cálculos'!$D$201*(1+'Cálculos'!$D$202+$A$63:$A$108*('Cálculos'!$D$290=2)*'Cálculos'!$D$101)+'Cálculos'!$D$203)*('Cálculos'!$D$241+'Cálculos'!$D$124*(1+2.78*('Cálculos'!$D$198+(($C85)-$A$63:$A$108)*'Cálculos'!$D$98)/(('Cálculos'!$D$198+(($C85)-$A$63:$A$108)*'Cálculos'!$D$98)+1400)+'Cálculos'!$D$122)*'Cálculos'!$D$246+'Cálculos'!$D$125*(1+2.78*('Cálculos'!$D$198+(($C85)-$A$63:$A$108)*'Cálculos'!$D$98)/(('Cálculos'!$D$198+(($C85)-$A$63:$A$108)*'Cálculos'!$D$98)+1400)+'Cálculos'!$D$123)*'Cálculos'!$D$251)+('Cálculos'!$D$204*(1+'Cálculos'!$D$205+$A$63:$A$108*('Cálculos'!$D$290=3)*'Cálculos'!$D$103)+'Cálculos'!$D$206)*('Cálculos'!$D$242+'Cálculos'!$D$124*(1+2.78*('Cálculos'!$D$198+(($C85)-$A$63:$A$108)*'Cálculos'!$D$98)/(('Cálculos'!$D$198+(($C85)-$A$63:$A$108)*'Cálculos'!$D$98)+1400)+'Cálculos'!$D$122)*'Cálculos'!$D$247+'Cálculos'!$D$125*(1+2.78*('Cálculos'!$D$198+(($C85)-$A$63:$A$108)*'Cálculos'!$D$98)/(('Cálculos'!$D$198+(($C85)-$A$63:$A$108)*'Cálculos'!$D$98)+1400)+'Cálculos'!$D$123)*'Cálculos'!$D$252)+('Cálculos'!$D$243+'Cálculos'!$D$124*(1+2.78*('Cálculos'!$D$198+(($C85)-$A$63:$A$108)*'Cálculos'!$D$98)/(('Cálculos'!$D$198+(($C85)-$A$63:$A$108)*'Cálculos'!$D$98)+1400)+'Cálculos'!$D$122)*'Cálculos'!$D$248+'Cálculos'!$D$125*(1+2.78*('Cálculos'!$D$198+(($C85)-$A$63:$A$108)*'Cálculos'!$D$98)/(('Cálculos'!$D$198+(($C85)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85)-$A$63:$A$108)*'Cálculos'!$D$98)/(('Cálculos'!$D$199+(($C85)-$A$63:$A$108)*'Cálculos'!$D$98)+1400)+'Cálculos'!$D$122)*'Cálculos'!$D$259+'Cálculos'!$D$125*(1+2.78*('Cálculos'!$D$199+(($C85)-$A$63:$A$108)*'Cálculos'!$D$98)/(('Cálculos'!$D$199+(($C85)-$A$63:$A$108)*'Cálculos'!$D$98)+1400)+'Cálculos'!$D$123)*'Cálculos'!$D$264)+('Cálculos'!$D$199+(($C85)-$A$63:$A$108)*'Cálculos'!$D$98)*('Cálculos'!$D$255+'Cálculos'!$D$124*(1+2.78*('Cálculos'!$D$199+(($C85)-$A$63:$A$108)*'Cálculos'!$D$98)/(('Cálculos'!$D$199+(($C85)-$A$63:$A$108)*'Cálculos'!$D$98)+1400)+'Cálculos'!$D$122)*'Cálculos'!$D$260+'Cálculos'!$D$125*(1+2.78*('Cálculos'!$D$199+(($C85)-$A$63:$A$108)*'Cálculos'!$D$98)/(('Cálculos'!$D$199+(($C85)-$A$63:$A$108)*'Cálculos'!$D$98)+1400)+'Cálculos'!$D$123)*'Cálculos'!$D$265)+('Cálculos'!$D$201*(1+'Cálculos'!$D$202+$A$63:$A$108*('Cálculos'!$D$290=2)*'Cálculos'!$D$101)+'Cálculos'!$D$203)*('Cálculos'!$D$256+'Cálculos'!$D$124*(1+2.78*('Cálculos'!$D$199+(($C85)-$A$63:$A$108)*'Cálculos'!$D$98)/(('Cálculos'!$D$199+(($C85)-$A$63:$A$108)*'Cálculos'!$D$98)+1400)+'Cálculos'!$D$122)*'Cálculos'!$D$261+'Cálculos'!$D$125*(1+2.78*('Cálculos'!$D$199+(($C85)-$A$63:$A$108)*'Cálculos'!$D$98)/(('Cálculos'!$D$199+(($C85)-$A$63:$A$108)*'Cálculos'!$D$98)+1400)+'Cálculos'!$D$123)*'Cálculos'!$D$266)+('Cálculos'!$D$204*(1+'Cálculos'!$D$205+$A$63:$A$108*('Cálculos'!$D$290=3)*'Cálculos'!$D$103)+'Cálculos'!$D$206)*('Cálculos'!$D$257+'Cálculos'!$D$124*(1+2.78*('Cálculos'!$D$199+(($C85)-$A$63:$A$108)*'Cálculos'!$D$98)/(('Cálculos'!$D$199+(($C85)-$A$63:$A$108)*'Cálculos'!$D$98)+1400)+'Cálculos'!$D$122)*'Cálculos'!$D$262+'Cálculos'!$D$125*(1+2.78*('Cálculos'!$D$199+(($C85)-$A$63:$A$108)*'Cálculos'!$D$98)/(('Cálculos'!$D$199+(($C85)-$A$63:$A$108)*'Cálculos'!$D$98)+1400)+'Cálculos'!$D$123)*'Cálculos'!$D$267)+('Cálculos'!$D$258+'Cálculos'!$D$124*(1+2.78*('Cálculos'!$D$199+(($C85)-$A$63:$A$108)*'Cálculos'!$D$98)/(('Cálculos'!$D$199+(($C85)-$A$63:$A$108)*'Cálculos'!$D$98)+1400)+'Cálculos'!$D$122)*'Cálculos'!$D$263+'Cálculos'!$D$125*(1+2.78*('Cálculos'!$D$199+(($C85)-$A$63:$A$108)*'Cálculos'!$D$98)/(('Cálculos'!$D$199+(($C85)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85)-$A$63:$A$108)*'Cálculos'!$D$98)/(('Cálculos'!$D$200+(($C85)-$A$63:$A$108)*'Cálculos'!$D$98)+1400)+'Cálculos'!$D$122)*'Cálculos'!$D$274+'Cálculos'!$D$125*(1+2.78*('Cálculos'!$D$200+(($C85)-$A$63:$A$108)*'Cálculos'!$D$98)/(('Cálculos'!$D$200+(($C85)-$A$63:$A$108)*'Cálculos'!$D$98)+1400)+'Cálculos'!$D$123)*'Cálculos'!$D$279)+('Cálculos'!$D$200+(($C85)-$A$63:$A$108)*'Cálculos'!$D$98)*('Cálculos'!$D$270+'Cálculos'!$D$124*(1+2.78*('Cálculos'!$D$200+(($C85)-$A$63:$A$108)*'Cálculos'!$D$98)/(('Cálculos'!$D$200+(($C85)-$A$63:$A$108)*'Cálculos'!$D$98)+1400)+'Cálculos'!$D$122)*'Cálculos'!$D$275+'Cálculos'!$D$125*(1+2.78*('Cálculos'!$D$200+(($C85)-$A$63:$A$108)*'Cálculos'!$D$98)/(('Cálculos'!$D$200+(($C85)-$A$63:$A$108)*'Cálculos'!$D$98)+1400)+'Cálculos'!$D$123)*'Cálculos'!$D$280)+('Cálculos'!$D$201*(1+'Cálculos'!$D$202+$A$63:$A$108*('Cálculos'!$D$290=2)*'Cálculos'!$D$101)+'Cálculos'!$D$203)*('Cálculos'!$D$271+'Cálculos'!$D$124*(1+2.78*('Cálculos'!$D$200+(($C85)-$A$63:$A$108)*'Cálculos'!$D$98)/(('Cálculos'!$D$200+(($C85)-$A$63:$A$108)*'Cálculos'!$D$98)+1400)+'Cálculos'!$D$122)*'Cálculos'!$D$276+'Cálculos'!$D$125*(1+2.78*('Cálculos'!$D$200+(($C85)-$A$63:$A$108)*'Cálculos'!$D$98)/(('Cálculos'!$D$200+(($C85)-$A$63:$A$108)*'Cálculos'!$D$98)+1400)+'Cálculos'!$D$123)*'Cálculos'!$D$281)+('Cálculos'!$D$204*(1+'Cálculos'!$D$205+$A$63:$A$108*('Cálculos'!$D$290=3)*'Cálculos'!$D$103)+'Cálculos'!$D$206)*('Cálculos'!$D$272+'Cálculos'!$D$124*(1+2.78*('Cálculos'!$D$200+(($C85)-$A$63:$A$108)*'Cálculos'!$D$98)/(('Cálculos'!$D$200+(($C85)-$A$63:$A$108)*'Cálculos'!$D$98)+1400)+'Cálculos'!$D$122)*'Cálculos'!$D$277+'Cálculos'!$D$125*(1+2.78*('Cálculos'!$D$200+(($C85)-$A$63:$A$108)*'Cálculos'!$D$98)/(('Cálculos'!$D$200+(($C85)-$A$63:$A$108)*'Cálculos'!$D$98)+1400)+'Cálculos'!$D$123)*'Cálculos'!$D$282)+('Cálculos'!$D$273+'Cálculos'!$D$124*(1+2.78*('Cálculos'!$D$200+(($C85)-$A$63:$A$108)*'Cálculos'!$D$98)/(('Cálculos'!$D$200+(($C85)-$A$63:$A$108)*'Cálculos'!$D$98)+1400)+'Cálculos'!$D$122)*'Cálculos'!$D$278+'Cálculos'!$D$125*(1+2.78*('Cálculos'!$D$200+(($C85)-$A$63:$A$108)*'Cálculos'!$D$98)/(('Cálculos'!$D$200+(($C85)-$A$63:$A$108)*'Cálculos'!$D$98)+1400)+'Cálculos'!$D$123)*'Cálculos'!$D$283)))))</f>
        <v>0</v>
      </c>
      <c r="E85" s="32">
        <f>IF(OR($C85&lt;0,'Cálculos'!$D$6=""),0,$B85*$D85)</f>
        <v>0</v>
      </c>
      <c r="F85" s="2"/>
      <c r="G85" s="30">
        <f>($A85&lt;=$B$110)*($A85&lt;='Cálculos'!$D$294)*(($B$110)-$A85&lt;='Cálculos'!$D$295)*(1+MIN(('Cálculos'!$D$207+$A85*'Cálculos'!$D$95),1)*('Cálculos'!$D$208+(($B$110)-$A85)*'Cálculos'!$D$96))</f>
        <v>0</v>
      </c>
      <c r="H85" s="31">
        <f>IF($B$111&lt;0,0,($A85&lt;=$B$111)*($A85&lt;='Cálculos'!$D$301)*(($B$111)-$A85&lt;='Cálculos'!$D$297)*(('Cálculos'!$D$185*(1+'Cálculos'!$D$186+$A85*('Cálculos'!$D$290=1)*'Cálculos'!$D$97+'Cálculos'!$D$305)+'Cálculos'!$D$191)*('Cálculos'!$D$209+'Cálculos'!$D$124*(1+2.78*('Cálculos'!$D$196+(($B$111)-$A85)*'Cálculos'!$D$98)/(('Cálculos'!$D$196+(($B$111)-$A85)*'Cálculos'!$D$98)+1400)+'Cálculos'!$D$122)*'Cálculos'!$D$214+'Cálculos'!$D$125*(1+2.78*('Cálculos'!$D$196+(($B$111)-$A85)*'Cálculos'!$D$98)/(('Cálculos'!$D$196+(($B$111)-$A85)*'Cálculos'!$D$98)+1400)+'Cálculos'!$D$123)*'Cálculos'!$D$219)+('Cálculos'!$D$196+(($B$111)-$A85)*'Cálculos'!$D$98)*('Cálculos'!$D$210+'Cálculos'!$D$124*(1+2.78*('Cálculos'!$D$196+(($B$111)-$A85)*'Cálculos'!$D$98)/(('Cálculos'!$D$196+(($B$111)-$A85)*'Cálculos'!$D$98)+1400)+'Cálculos'!$D$122)*'Cálculos'!$D$215+'Cálculos'!$D$125*(1+2.78*('Cálculos'!$D$196+(($B$111)-$A85)*'Cálculos'!$D$98)/(('Cálculos'!$D$196+(($B$111)-$A85)*'Cálculos'!$D$98)+1400)+'Cálculos'!$D$123)*'Cálculos'!$D$220)+('Cálculos'!$D$201*(1+'Cálculos'!$D$202+$A85*('Cálculos'!$D$290=2)*'Cálculos'!$D$101)+'Cálculos'!$D$203)*('Cálculos'!$D$211+'Cálculos'!$D$124*(1+2.78*('Cálculos'!$D$196+(($B$111)-$A85)*'Cálculos'!$D$98)/(('Cálculos'!$D$196+(($B$111)-$A85)*'Cálculos'!$D$98)+1400)+'Cálculos'!$D$122)*'Cálculos'!$D$216+'Cálculos'!$D$125*(1+2.78*('Cálculos'!$D$196+(($B$111)-$A85)*'Cálculos'!$D$98)/(('Cálculos'!$D$196+(($B$111)-$A85)*'Cálculos'!$D$98)+1400)+'Cálculos'!$D$123)*'Cálculos'!$D$221)+('Cálculos'!$D$204*(1+'Cálculos'!$D$205+$A85*('Cálculos'!$D$290=3)*'Cálculos'!$D$103)+'Cálculos'!$D$206)*('Cálculos'!$D$212+'Cálculos'!$D$124*(1+2.78*('Cálculos'!$D$196+(($B$111)-$A85)*'Cálculos'!$D$98)/(('Cálculos'!$D$196+(($B$111)-$A85)*'Cálculos'!$D$98)+1400)+'Cálculos'!$D$122)*'Cálculos'!$D$217+'Cálculos'!$D$125*(1+2.78*('Cálculos'!$D$196+(($B$111)-$A85)*'Cálculos'!$D$98)/(('Cálculos'!$D$196+(($B$111)-$A85)*'Cálculos'!$D$98)+1400)+'Cálculos'!$D$123)*'Cálculos'!$D$222)+('Cálculos'!$D$213+'Cálculos'!$D$124*(1+2.78*('Cálculos'!$D$196+(($B$111)-$A85)*'Cálculos'!$D$98)/(('Cálculos'!$D$196+(($B$111)-$A85)*'Cálculos'!$D$98)+1400)+'Cálculos'!$D$122)*'Cálculos'!$D$218+'Cálculos'!$D$125*(1+2.78*('Cálculos'!$D$196+(($B$111)-$A85)*'Cálculos'!$D$98)/(('Cálculos'!$D$196+(($B$111)-$A85)*'Cálculos'!$D$98)+1400)+'Cálculos'!$D$123)*'Cálculos'!$D$223)+('Cálculos'!$D$185*(1+'Cálculos'!$D$187+$A85*('Cálculos'!$D$290=1)*'Cálculos'!$D$97+'Cálculos'!$D$305)+'Cálculos'!$D$192)*('Cálculos'!$D$224+'Cálculos'!$D$124*(1+2.78*('Cálculos'!$D$197+(($B$111)-$A85)*'Cálculos'!$D$98)/(('Cálculos'!$D$197+(($B$111)-$A85)*'Cálculos'!$D$98)+1400)+'Cálculos'!$D$122)*'Cálculos'!$D$229+'Cálculos'!$D$125*(1+2.78*('Cálculos'!$D$197+(($B$111)-$A85)*'Cálculos'!$D$98)/(('Cálculos'!$D$197+(($B$111)-$A85)*'Cálculos'!$D$98)+1400)+'Cálculos'!$D$123)*'Cálculos'!$D$234)+('Cálculos'!$D$197+(($B$111)-$A85)*'Cálculos'!$D$98)*('Cálculos'!$D$225+'Cálculos'!$D$124*(1+2.78*('Cálculos'!$D$197+(($B$111)-$A85)*'Cálculos'!$D$98)/(('Cálculos'!$D$197+(($B$111)-$A85)*'Cálculos'!$D$98)+1400)+'Cálculos'!$D$122)*'Cálculos'!$D$230+'Cálculos'!$D$125*(1+2.78*('Cálculos'!$D$197+(($B$111)-$A85)*'Cálculos'!$D$98)/(('Cálculos'!$D$197+(($B$111)-$A85)*'Cálculos'!$D$98)+1400)+'Cálculos'!$D$123)*'Cálculos'!$D$235)+('Cálculos'!$D$201*(1+'Cálculos'!$D$202+$A85*('Cálculos'!$D$290=2)*'Cálculos'!$D$101)+'Cálculos'!$D$203)*('Cálculos'!$D$226+'Cálculos'!$D$124*(1+2.78*('Cálculos'!$D$197+(($B$111)-$A85)*'Cálculos'!$D$98)/(('Cálculos'!$D$197+(($B$111)-$A85)*'Cálculos'!$D$98)+1400)+'Cálculos'!$D$122)*'Cálculos'!$D$231+'Cálculos'!$D$125*(1+2.78*('Cálculos'!$D$197+(($B$111)-$A85)*'Cálculos'!$D$98)/(('Cálculos'!$D$197+(($B$111)-$A85)*'Cálculos'!$D$98)+1400)+'Cálculos'!$D$123)*'Cálculos'!$D$236)+('Cálculos'!$D$204*(1+'Cálculos'!$D$205+$A85*('Cálculos'!$D$290=3)*'Cálculos'!$D$103)+'Cálculos'!$D$206)*('Cálculos'!$D$227+'Cálculos'!$D$124*(1+2.78*('Cálculos'!$D$197+(($B$111)-$A85)*'Cálculos'!$D$98)/(('Cálculos'!$D$197+(($B$111)-$A85)*'Cálculos'!$D$98)+1400)+'Cálculos'!$D$122)*'Cálculos'!$D$232+'Cálculos'!$D$125*(1+2.78*('Cálculos'!$D$197+(($B$111)-$A85)*'Cálculos'!$D$98)/(('Cálculos'!$D$197+(($B$111)-$A85)*'Cálculos'!$D$98)+1400)+'Cálculos'!$D$123)*'Cálculos'!$D$237)+('Cálculos'!$D$228+'Cálculos'!$D$124*(1+2.78*('Cálculos'!$D$197+(($B$111)-$A85)*'Cálculos'!$D$98)/(('Cálculos'!$D$197+(($B$111)-$A85)*'Cálculos'!$D$98)+1400)+'Cálculos'!$D$122)*'Cálculos'!$D$233+'Cálculos'!$D$125*(1+2.78*('Cálculos'!$D$197+(($B$111)-$A85)*'Cálculos'!$D$98)/(('Cálculos'!$D$197+(($B$111)-$A85)*'Cálculos'!$D$98)+1400)+'Cálculos'!$D$123)*'Cálculos'!$D$238)+('Cálculos'!$D$185*(1+'Cálculos'!$D$188+$A85*('Cálculos'!$D$290=1)*'Cálculos'!$D$97+'Cálculos'!$D$305)+'Cálculos'!$D$193)*('Cálculos'!$D$239+'Cálculos'!$D$124*(1+2.78*('Cálculos'!$D$198+(($B$111)-$A85)*'Cálculos'!$D$98)/(('Cálculos'!$D$198+(($B$111)-$A85)*'Cálculos'!$D$98)+1400)+'Cálculos'!$D$122)*'Cálculos'!$D$244+'Cálculos'!$D$125*(1+2.78*('Cálculos'!$D$198+(($B$111)-$A85)*'Cálculos'!$D$98)/(('Cálculos'!$D$198+(($B$111)-$A85)*'Cálculos'!$D$98)+1400)+'Cálculos'!$D$123)*'Cálculos'!$D$249)+('Cálculos'!$D$198+(($B$111)-$A85)*'Cálculos'!$D$98)*('Cálculos'!$D$240+'Cálculos'!$D$124*(1+2.78*('Cálculos'!$D$198+(($B$111)-$A85)*'Cálculos'!$D$98)/(('Cálculos'!$D$198+(($B$111)-$A85)*'Cálculos'!$D$98)+1400)+'Cálculos'!$D$122)*'Cálculos'!$D$245+'Cálculos'!$D$125*(1+2.78*('Cálculos'!$D$198+(($B$111)-$A85)*'Cálculos'!$D$98)/(('Cálculos'!$D$198+(($B$111)-$A85)*'Cálculos'!$D$98)+1400)+'Cálculos'!$D$123)*'Cálculos'!$D$250)+('Cálculos'!$D$201*(1+'Cálculos'!$D$202+$A85*('Cálculos'!$D$290=2)*'Cálculos'!$D$101)+'Cálculos'!$D$203)*('Cálculos'!$D$241+'Cálculos'!$D$124*(1+2.78*('Cálculos'!$D$198+(($B$111)-$A85)*'Cálculos'!$D$98)/(('Cálculos'!$D$198+(($B$111)-$A85)*'Cálculos'!$D$98)+1400)+'Cálculos'!$D$122)*'Cálculos'!$D$246+'Cálculos'!$D$125*(1+2.78*('Cálculos'!$D$198+(($B$111)-$A85)*'Cálculos'!$D$98)/(('Cálculos'!$D$198+(($B$111)-$A85)*'Cálculos'!$D$98)+1400)+'Cálculos'!$D$123)*'Cálculos'!$D$251)+('Cálculos'!$D$204*(1+'Cálculos'!$D$205+$A85*('Cálculos'!$D$290=3)*'Cálculos'!$D$103)+'Cálculos'!$D$206)*('Cálculos'!$D$242+'Cálculos'!$D$124*(1+2.78*('Cálculos'!$D$198+(($B$111)-$A85)*'Cálculos'!$D$98)/(('Cálculos'!$D$198+(($B$111)-$A85)*'Cálculos'!$D$98)+1400)+'Cálculos'!$D$122)*'Cálculos'!$D$247+'Cálculos'!$D$125*(1+2.78*('Cálculos'!$D$198+(($B$111)-$A85)*'Cálculos'!$D$98)/(('Cálculos'!$D$198+(($B$111)-$A85)*'Cálculos'!$D$98)+1400)+'Cálculos'!$D$123)*'Cálculos'!$D$252)+('Cálculos'!$D$243+'Cálculos'!$D$124*(1+2.78*('Cálculos'!$D$198+(($B$111)-$A85)*'Cálculos'!$D$98)/(('Cálculos'!$D$198+(($B$111)-$A85)*'Cálculos'!$D$98)+1400)+'Cálculos'!$D$122)*'Cálculos'!$D$248+'Cálculos'!$D$125*(1+2.78*('Cálculos'!$D$198+(($B$111)-$A85)*'Cálculos'!$D$98)/(('Cálculos'!$D$198+(($B$111)-$A85)*'Cálculos'!$D$98)+1400)+'Cálculos'!$D$123)*'Cálculos'!$D$253)+('Cálculos'!$D$185*(1+'Cálculos'!$D$189+$A85*('Cálculos'!$D$290=1)*'Cálculos'!$D$97+'Cálculos'!$D$305)+'Cálculos'!$D$194)*('Cálculos'!$D$254+'Cálculos'!$D$124*(1+2.78*('Cálculos'!$D$199+(($B$111)-$A85)*'Cálculos'!$D$98)/(('Cálculos'!$D$199+(($B$111)-$A85)*'Cálculos'!$D$98)+1400)+'Cálculos'!$D$122)*'Cálculos'!$D$259+'Cálculos'!$D$125*(1+2.78*('Cálculos'!$D$199+(($B$111)-$A85)*'Cálculos'!$D$98)/(('Cálculos'!$D$199+(($B$111)-$A85)*'Cálculos'!$D$98)+1400)+'Cálculos'!$D$123)*'Cálculos'!$D$264)+('Cálculos'!$D$199+(($B$111)-$A85)*'Cálculos'!$D$98)*('Cálculos'!$D$255+'Cálculos'!$D$124*(1+2.78*('Cálculos'!$D$199+(($B$111)-$A85)*'Cálculos'!$D$98)/(('Cálculos'!$D$199+(($B$111)-$A85)*'Cálculos'!$D$98)+1400)+'Cálculos'!$D$122)*'Cálculos'!$D$260+'Cálculos'!$D$125*(1+2.78*('Cálculos'!$D$199+(($B$111)-$A85)*'Cálculos'!$D$98)/(('Cálculos'!$D$199+(($B$111)-$A85)*'Cálculos'!$D$98)+1400)+'Cálculos'!$D$123)*'Cálculos'!$D$265)+('Cálculos'!$D$201*(1+'Cálculos'!$D$202+$A85*('Cálculos'!$D$290=2)*'Cálculos'!$D$101)+'Cálculos'!$D$203)*('Cálculos'!$D$256+'Cálculos'!$D$124*(1+2.78*('Cálculos'!$D$199+(($B$111)-$A85)*'Cálculos'!$D$98)/(('Cálculos'!$D$199+(($B$111)-$A85)*'Cálculos'!$D$98)+1400)+'Cálculos'!$D$122)*'Cálculos'!$D$261+'Cálculos'!$D$125*(1+2.78*('Cálculos'!$D$199+(($B$111)-$A85)*'Cálculos'!$D$98)/(('Cálculos'!$D$199+(($B$111)-$A85)*'Cálculos'!$D$98)+1400)+'Cálculos'!$D$123)*'Cálculos'!$D$266)+('Cálculos'!$D$204*(1+'Cálculos'!$D$205+$A85*('Cálculos'!$D$290=3)*'Cálculos'!$D$103)+'Cálculos'!$D$206)*('Cálculos'!$D$257+'Cálculos'!$D$124*(1+2.78*('Cálculos'!$D$199+(($B$111)-$A85)*'Cálculos'!$D$98)/(('Cálculos'!$D$199+(($B$111)-$A85)*'Cálculos'!$D$98)+1400)+'Cálculos'!$D$122)*'Cálculos'!$D$262+'Cálculos'!$D$125*(1+2.78*('Cálculos'!$D$199+(($B$111)-$A85)*'Cálculos'!$D$98)/(('Cálculos'!$D$199+(($B$111)-$A85)*'Cálculos'!$D$98)+1400)+'Cálculos'!$D$123)*'Cálculos'!$D$267)+('Cálculos'!$D$258+'Cálculos'!$D$124*(1+2.78*('Cálculos'!$D$199+(($B$111)-$A85)*'Cálculos'!$D$98)/(('Cálculos'!$D$199+(($B$111)-$A85)*'Cálculos'!$D$98)+1400)+'Cálculos'!$D$122)*'Cálculos'!$D$263+'Cálculos'!$D$125*(1+2.78*('Cálculos'!$D$199+(($B$111)-$A85)*'Cálculos'!$D$98)/(('Cálculos'!$D$199+(($B$111)-$A85)*'Cálculos'!$D$98)+1400)+'Cálculos'!$D$123)*'Cálculos'!$D$268)+('Cálculos'!$D$185*(1+'Cálculos'!$D$190+$A85*('Cálculos'!$D$290=1)*'Cálculos'!$D$97+'Cálculos'!$D$305)+'Cálculos'!$D$195)*('Cálculos'!$D$269+'Cálculos'!$D$124*(1+2.78*('Cálculos'!$D$200+(($B$111)-$A85)*'Cálculos'!$D$98)/(('Cálculos'!$D$200+(($B$111)-$A85)*'Cálculos'!$D$98)+1400)+'Cálculos'!$D$122)*'Cálculos'!$D$274+'Cálculos'!$D$125*(1+2.78*('Cálculos'!$D$200+(($B$111)-$A85)*'Cálculos'!$D$98)/(('Cálculos'!$D$200+(($B$111)-$A85)*'Cálculos'!$D$98)+1400)+'Cálculos'!$D$123)*'Cálculos'!$D$279)+('Cálculos'!$D$200+(($B$111)-$A85)*'Cálculos'!$D$98)*('Cálculos'!$D$270+'Cálculos'!$D$124*(1+2.78*('Cálculos'!$D$200+(($B$111)-$A85)*'Cálculos'!$D$98)/(('Cálculos'!$D$200+(($B$111)-$A85)*'Cálculos'!$D$98)+1400)+'Cálculos'!$D$122)*'Cálculos'!$D$275+'Cálculos'!$D$125*(1+2.78*('Cálculos'!$D$200+(($B$111)-$A85)*'Cálculos'!$D$98)/(('Cálculos'!$D$200+(($B$111)-$A85)*'Cálculos'!$D$98)+1400)+'Cálculos'!$D$123)*'Cálculos'!$D$280)+('Cálculos'!$D$201*(1+'Cálculos'!$D$202+$A85*('Cálculos'!$D$290=2)*'Cálculos'!$D$101)+'Cálculos'!$D$203)*('Cálculos'!$D$271+'Cálculos'!$D$124*(1+2.78*('Cálculos'!$D$200+(($B$111)-$A85)*'Cálculos'!$D$98)/(('Cálculos'!$D$200+(($B$111)-$A85)*'Cálculos'!$D$98)+1400)+'Cálculos'!$D$122)*'Cálculos'!$D$276+'Cálculos'!$D$125*(1+2.78*('Cálculos'!$D$200+(($B$111)-$A85)*'Cálculos'!$D$98)/(('Cálculos'!$D$200+(($B$111)-$A85)*'Cálculos'!$D$98)+1400)+'Cálculos'!$D$123)*'Cálculos'!$D$281)+('Cálculos'!$D$204*(1+'Cálculos'!$D$205+$A85*('Cálculos'!$D$290=3)*'Cálculos'!$D$103)+'Cálculos'!$D$206)*('Cálculos'!$D$272+'Cálculos'!$D$124*(1+2.78*('Cálculos'!$D$200+(($B$111)-$A85)*'Cálculos'!$D$98)/(('Cálculos'!$D$200+(($B$111)-$A85)*'Cálculos'!$D$98)+1400)+'Cálculos'!$D$122)*'Cálculos'!$D$277+'Cálculos'!$D$125*(1+2.78*('Cálculos'!$D$200+(($B$111)-$A85)*'Cálculos'!$D$98)/(('Cálculos'!$D$200+(($B$111)-$A85)*'Cálculos'!$D$98)+1400)+'Cálculos'!$D$123)*'Cálculos'!$D$282)+('Cálculos'!$D$273+'Cálculos'!$D$124*(1+2.78*('Cálculos'!$D$200+(($B$111)-$A85)*'Cálculos'!$D$98)/(('Cálculos'!$D$200+(($B$111)-$A85)*'Cálculos'!$D$98)+1400)+'Cálculos'!$D$122)*'Cálculos'!$D$278+'Cálculos'!$D$125*(1+2.78*('Cálculos'!$D$200+(($B$111)-$A85)*'Cálculos'!$D$98)/(('Cálculos'!$D$200+(($B$111)-$A85)*'Cálculos'!$D$98)+1400)+'Cálculos'!$D$123)*'Cálculos'!$D$283)))</f>
        <v>0</v>
      </c>
    </row>
    <row r="86" ht="15.75" customHeight="1">
      <c r="A86" s="2">
        <v>23.0</v>
      </c>
      <c r="B86" s="30">
        <f>SUMPRODUCT(MAX(($A$63:$A$108&lt;=$A86)*($A$63:$A$108&lt;='Cálculos'!$D$294)*(($A86)-$A$63:$A$108&lt;='Cálculos'!$D$295)*(1+(('Cálculos'!$D$207+$A$63:$A$108*'Cálculos'!$D$95)-(('Cálculos'!$D$207+$A$63:$A$108*'Cálculos'!$D$95)&gt;1)*(('Cálculos'!$D$207+$A$63:$A$108*'Cálculos'!$D$95)-1))*('Cálculos'!$D$208+(($A86)-$A$63:$A$108)*'Cálculos'!$D$96))))</f>
        <v>1.830336496</v>
      </c>
      <c r="C86" s="2">
        <f>'Cálculos'!$D$303-$A86</f>
        <v>-12</v>
      </c>
      <c r="D86" s="31">
        <f>IF($C86&lt;0,0,SUMPRODUCT(MAX(($A$63:$A$108&lt;=$C86)*($A$63:$A$108&lt;='Cálculos'!$D$301)*(($C86)-$A$63:$A$108&lt;='Cálculos'!$D$297)*(('Cálculos'!$D$185*(1+'Cálculos'!$D$186+$A$63:$A$108*('Cálculos'!$D$290=1)*'Cálculos'!$D$97+'Cálculos'!$D$305)+'Cálculos'!$D$191)*('Cálculos'!$D$209+'Cálculos'!$D$124*(1+2.78*('Cálculos'!$D$196+(($C86)-$A$63:$A$108)*'Cálculos'!$D$98)/(('Cálculos'!$D$196+(($C86)-$A$63:$A$108)*'Cálculos'!$D$98)+1400)+'Cálculos'!$D$122)*'Cálculos'!$D$214+'Cálculos'!$D$125*(1+2.78*('Cálculos'!$D$196+(($C86)-$A$63:$A$108)*'Cálculos'!$D$98)/(('Cálculos'!$D$196+(($C86)-$A$63:$A$108)*'Cálculos'!$D$98)+1400)+'Cálculos'!$D$123)*'Cálculos'!$D$219)+('Cálculos'!$D$196+(($C86)-$A$63:$A$108)*'Cálculos'!$D$98)*('Cálculos'!$D$210+'Cálculos'!$D$124*(1+2.78*('Cálculos'!$D$196+(($C86)-$A$63:$A$108)*'Cálculos'!$D$98)/(('Cálculos'!$D$196+(($C86)-$A$63:$A$108)*'Cálculos'!$D$98)+1400)+'Cálculos'!$D$122)*'Cálculos'!$D$215+'Cálculos'!$D$125*(1+2.78*('Cálculos'!$D$196+(($C86)-$A$63:$A$108)*'Cálculos'!$D$98)/(('Cálculos'!$D$196+(($C86)-$A$63:$A$108)*'Cálculos'!$D$98)+1400)+'Cálculos'!$D$123)*'Cálculos'!$D$220)+('Cálculos'!$D$201*(1+'Cálculos'!$D$202+$A$63:$A$108*('Cálculos'!$D$290=2)*'Cálculos'!$D$101)+'Cálculos'!$D$203)*('Cálculos'!$D$211+'Cálculos'!$D$124*(1+2.78*('Cálculos'!$D$196+(($C86)-$A$63:$A$108)*'Cálculos'!$D$98)/(('Cálculos'!$D$196+(($C86)-$A$63:$A$108)*'Cálculos'!$D$98)+1400)+'Cálculos'!$D$122)*'Cálculos'!$D$216+'Cálculos'!$D$125*(1+2.78*('Cálculos'!$D$196+(($C86)-$A$63:$A$108)*'Cálculos'!$D$98)/(('Cálculos'!$D$196+(($C86)-$A$63:$A$108)*'Cálculos'!$D$98)+1400)+'Cálculos'!$D$123)*'Cálculos'!$D$221)+('Cálculos'!$D$204*(1+'Cálculos'!$D$205+$A$63:$A$108*('Cálculos'!$D$290=3)*'Cálculos'!$D$103)+'Cálculos'!$D$206)*('Cálculos'!$D$212+'Cálculos'!$D$124*(1+2.78*('Cálculos'!$D$196+(($C86)-$A$63:$A$108)*'Cálculos'!$D$98)/(('Cálculos'!$D$196+(($C86)-$A$63:$A$108)*'Cálculos'!$D$98)+1400)+'Cálculos'!$D$122)*'Cálculos'!$D$217+'Cálculos'!$D$125*(1+2.78*('Cálculos'!$D$196+(($C86)-$A$63:$A$108)*'Cálculos'!$D$98)/(('Cálculos'!$D$196+(($C86)-$A$63:$A$108)*'Cálculos'!$D$98)+1400)+'Cálculos'!$D$123)*'Cálculos'!$D$222)+('Cálculos'!$D$213+'Cálculos'!$D$124*(1+2.78*('Cálculos'!$D$196+(($C86)-$A$63:$A$108)*'Cálculos'!$D$98)/(('Cálculos'!$D$196+(($C86)-$A$63:$A$108)*'Cálculos'!$D$98)+1400)+'Cálculos'!$D$122)*'Cálculos'!$D$218+'Cálculos'!$D$125*(1+2.78*('Cálculos'!$D$196+(($C86)-$A$63:$A$108)*'Cálculos'!$D$98)/(('Cálculos'!$D$196+(($C86)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86)-$A$63:$A$108)*'Cálculos'!$D$98)/(('Cálculos'!$D$197+(($C86)-$A$63:$A$108)*'Cálculos'!$D$98)+1400)+'Cálculos'!$D$122)*'Cálculos'!$D$229+'Cálculos'!$D$125*(1+2.78*('Cálculos'!$D$197+(($C86)-$A$63:$A$108)*'Cálculos'!$D$98)/(('Cálculos'!$D$197+(($C86)-$A$63:$A$108)*'Cálculos'!$D$98)+1400)+'Cálculos'!$D$123)*'Cálculos'!$D$234)+('Cálculos'!$D$197+(($C86)-$A$63:$A$108)*'Cálculos'!$D$98)*('Cálculos'!$D$225+'Cálculos'!$D$124*(1+2.78*('Cálculos'!$D$197+(($C86)-$A$63:$A$108)*'Cálculos'!$D$98)/(('Cálculos'!$D$197+(($C86)-$A$63:$A$108)*'Cálculos'!$D$98)+1400)+'Cálculos'!$D$122)*'Cálculos'!$D$230+'Cálculos'!$D$125*(1+2.78*('Cálculos'!$D$197+(($C86)-$A$63:$A$108)*'Cálculos'!$D$98)/(('Cálculos'!$D$197+(($C86)-$A$63:$A$108)*'Cálculos'!$D$98)+1400)+'Cálculos'!$D$123)*'Cálculos'!$D$235)+('Cálculos'!$D$201*(1+'Cálculos'!$D$202+$A$63:$A$108*('Cálculos'!$D$290=2)*'Cálculos'!$D$101)+'Cálculos'!$D$203)*('Cálculos'!$D$226+'Cálculos'!$D$124*(1+2.78*('Cálculos'!$D$197+(($C86)-$A$63:$A$108)*'Cálculos'!$D$98)/(('Cálculos'!$D$197+(($C86)-$A$63:$A$108)*'Cálculos'!$D$98)+1400)+'Cálculos'!$D$122)*'Cálculos'!$D$231+'Cálculos'!$D$125*(1+2.78*('Cálculos'!$D$197+(($C86)-$A$63:$A$108)*'Cálculos'!$D$98)/(('Cálculos'!$D$197+(($C86)-$A$63:$A$108)*'Cálculos'!$D$98)+1400)+'Cálculos'!$D$123)*'Cálculos'!$D$236)+('Cálculos'!$D$204*(1+'Cálculos'!$D$205+$A$63:$A$108*('Cálculos'!$D$290=3)*'Cálculos'!$D$103)+'Cálculos'!$D$206)*('Cálculos'!$D$227+'Cálculos'!$D$124*(1+2.78*('Cálculos'!$D$197+(($C86)-$A$63:$A$108)*'Cálculos'!$D$98)/(('Cálculos'!$D$197+(($C86)-$A$63:$A$108)*'Cálculos'!$D$98)+1400)+'Cálculos'!$D$122)*'Cálculos'!$D$232+'Cálculos'!$D$125*(1+2.78*('Cálculos'!$D$197+(($C86)-$A$63:$A$108)*'Cálculos'!$D$98)/(('Cálculos'!$D$197+(($C86)-$A$63:$A$108)*'Cálculos'!$D$98)+1400)+'Cálculos'!$D$123)*'Cálculos'!$D$237)+('Cálculos'!$D$228+'Cálculos'!$D$124*(1+2.78*('Cálculos'!$D$197+(($C86)-$A$63:$A$108)*'Cálculos'!$D$98)/(('Cálculos'!$D$197+(($C86)-$A$63:$A$108)*'Cálculos'!$D$98)+1400)+'Cálculos'!$D$122)*'Cálculos'!$D$233+'Cálculos'!$D$125*(1+2.78*('Cálculos'!$D$197+(($C86)-$A$63:$A$108)*'Cálculos'!$D$98)/(('Cálculos'!$D$197+(($C86)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86)-$A$63:$A$108)*'Cálculos'!$D$98)/(('Cálculos'!$D$198+(($C86)-$A$63:$A$108)*'Cálculos'!$D$98)+1400)+'Cálculos'!$D$122)*'Cálculos'!$D$244+'Cálculos'!$D$125*(1+2.78*('Cálculos'!$D$198+(($C86)-$A$63:$A$108)*'Cálculos'!$D$98)/(('Cálculos'!$D$198+(($C86)-$A$63:$A$108)*'Cálculos'!$D$98)+1400)+'Cálculos'!$D$123)*'Cálculos'!$D$249)+('Cálculos'!$D$198+(($C86)-$A$63:$A$108)*'Cálculos'!$D$98)*('Cálculos'!$D$240+'Cálculos'!$D$124*(1+2.78*('Cálculos'!$D$198+(($C86)-$A$63:$A$108)*'Cálculos'!$D$98)/(('Cálculos'!$D$198+(($C86)-$A$63:$A$108)*'Cálculos'!$D$98)+1400)+'Cálculos'!$D$122)*'Cálculos'!$D$245+'Cálculos'!$D$125*(1+2.78*('Cálculos'!$D$198+(($C86)-$A$63:$A$108)*'Cálculos'!$D$98)/(('Cálculos'!$D$198+(($C86)-$A$63:$A$108)*'Cálculos'!$D$98)+1400)+'Cálculos'!$D$123)*'Cálculos'!$D$250)+('Cálculos'!$D$201*(1+'Cálculos'!$D$202+$A$63:$A$108*('Cálculos'!$D$290=2)*'Cálculos'!$D$101)+'Cálculos'!$D$203)*('Cálculos'!$D$241+'Cálculos'!$D$124*(1+2.78*('Cálculos'!$D$198+(($C86)-$A$63:$A$108)*'Cálculos'!$D$98)/(('Cálculos'!$D$198+(($C86)-$A$63:$A$108)*'Cálculos'!$D$98)+1400)+'Cálculos'!$D$122)*'Cálculos'!$D$246+'Cálculos'!$D$125*(1+2.78*('Cálculos'!$D$198+(($C86)-$A$63:$A$108)*'Cálculos'!$D$98)/(('Cálculos'!$D$198+(($C86)-$A$63:$A$108)*'Cálculos'!$D$98)+1400)+'Cálculos'!$D$123)*'Cálculos'!$D$251)+('Cálculos'!$D$204*(1+'Cálculos'!$D$205+$A$63:$A$108*('Cálculos'!$D$290=3)*'Cálculos'!$D$103)+'Cálculos'!$D$206)*('Cálculos'!$D$242+'Cálculos'!$D$124*(1+2.78*('Cálculos'!$D$198+(($C86)-$A$63:$A$108)*'Cálculos'!$D$98)/(('Cálculos'!$D$198+(($C86)-$A$63:$A$108)*'Cálculos'!$D$98)+1400)+'Cálculos'!$D$122)*'Cálculos'!$D$247+'Cálculos'!$D$125*(1+2.78*('Cálculos'!$D$198+(($C86)-$A$63:$A$108)*'Cálculos'!$D$98)/(('Cálculos'!$D$198+(($C86)-$A$63:$A$108)*'Cálculos'!$D$98)+1400)+'Cálculos'!$D$123)*'Cálculos'!$D$252)+('Cálculos'!$D$243+'Cálculos'!$D$124*(1+2.78*('Cálculos'!$D$198+(($C86)-$A$63:$A$108)*'Cálculos'!$D$98)/(('Cálculos'!$D$198+(($C86)-$A$63:$A$108)*'Cálculos'!$D$98)+1400)+'Cálculos'!$D$122)*'Cálculos'!$D$248+'Cálculos'!$D$125*(1+2.78*('Cálculos'!$D$198+(($C86)-$A$63:$A$108)*'Cálculos'!$D$98)/(('Cálculos'!$D$198+(($C86)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86)-$A$63:$A$108)*'Cálculos'!$D$98)/(('Cálculos'!$D$199+(($C86)-$A$63:$A$108)*'Cálculos'!$D$98)+1400)+'Cálculos'!$D$122)*'Cálculos'!$D$259+'Cálculos'!$D$125*(1+2.78*('Cálculos'!$D$199+(($C86)-$A$63:$A$108)*'Cálculos'!$D$98)/(('Cálculos'!$D$199+(($C86)-$A$63:$A$108)*'Cálculos'!$D$98)+1400)+'Cálculos'!$D$123)*'Cálculos'!$D$264)+('Cálculos'!$D$199+(($C86)-$A$63:$A$108)*'Cálculos'!$D$98)*('Cálculos'!$D$255+'Cálculos'!$D$124*(1+2.78*('Cálculos'!$D$199+(($C86)-$A$63:$A$108)*'Cálculos'!$D$98)/(('Cálculos'!$D$199+(($C86)-$A$63:$A$108)*'Cálculos'!$D$98)+1400)+'Cálculos'!$D$122)*'Cálculos'!$D$260+'Cálculos'!$D$125*(1+2.78*('Cálculos'!$D$199+(($C86)-$A$63:$A$108)*'Cálculos'!$D$98)/(('Cálculos'!$D$199+(($C86)-$A$63:$A$108)*'Cálculos'!$D$98)+1400)+'Cálculos'!$D$123)*'Cálculos'!$D$265)+('Cálculos'!$D$201*(1+'Cálculos'!$D$202+$A$63:$A$108*('Cálculos'!$D$290=2)*'Cálculos'!$D$101)+'Cálculos'!$D$203)*('Cálculos'!$D$256+'Cálculos'!$D$124*(1+2.78*('Cálculos'!$D$199+(($C86)-$A$63:$A$108)*'Cálculos'!$D$98)/(('Cálculos'!$D$199+(($C86)-$A$63:$A$108)*'Cálculos'!$D$98)+1400)+'Cálculos'!$D$122)*'Cálculos'!$D$261+'Cálculos'!$D$125*(1+2.78*('Cálculos'!$D$199+(($C86)-$A$63:$A$108)*'Cálculos'!$D$98)/(('Cálculos'!$D$199+(($C86)-$A$63:$A$108)*'Cálculos'!$D$98)+1400)+'Cálculos'!$D$123)*'Cálculos'!$D$266)+('Cálculos'!$D$204*(1+'Cálculos'!$D$205+$A$63:$A$108*('Cálculos'!$D$290=3)*'Cálculos'!$D$103)+'Cálculos'!$D$206)*('Cálculos'!$D$257+'Cálculos'!$D$124*(1+2.78*('Cálculos'!$D$199+(($C86)-$A$63:$A$108)*'Cálculos'!$D$98)/(('Cálculos'!$D$199+(($C86)-$A$63:$A$108)*'Cálculos'!$D$98)+1400)+'Cálculos'!$D$122)*'Cálculos'!$D$262+'Cálculos'!$D$125*(1+2.78*('Cálculos'!$D$199+(($C86)-$A$63:$A$108)*'Cálculos'!$D$98)/(('Cálculos'!$D$199+(($C86)-$A$63:$A$108)*'Cálculos'!$D$98)+1400)+'Cálculos'!$D$123)*'Cálculos'!$D$267)+('Cálculos'!$D$258+'Cálculos'!$D$124*(1+2.78*('Cálculos'!$D$199+(($C86)-$A$63:$A$108)*'Cálculos'!$D$98)/(('Cálculos'!$D$199+(($C86)-$A$63:$A$108)*'Cálculos'!$D$98)+1400)+'Cálculos'!$D$122)*'Cálculos'!$D$263+'Cálculos'!$D$125*(1+2.78*('Cálculos'!$D$199+(($C86)-$A$63:$A$108)*'Cálculos'!$D$98)/(('Cálculos'!$D$199+(($C86)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86)-$A$63:$A$108)*'Cálculos'!$D$98)/(('Cálculos'!$D$200+(($C86)-$A$63:$A$108)*'Cálculos'!$D$98)+1400)+'Cálculos'!$D$122)*'Cálculos'!$D$274+'Cálculos'!$D$125*(1+2.78*('Cálculos'!$D$200+(($C86)-$A$63:$A$108)*'Cálculos'!$D$98)/(('Cálculos'!$D$200+(($C86)-$A$63:$A$108)*'Cálculos'!$D$98)+1400)+'Cálculos'!$D$123)*'Cálculos'!$D$279)+('Cálculos'!$D$200+(($C86)-$A$63:$A$108)*'Cálculos'!$D$98)*('Cálculos'!$D$270+'Cálculos'!$D$124*(1+2.78*('Cálculos'!$D$200+(($C86)-$A$63:$A$108)*'Cálculos'!$D$98)/(('Cálculos'!$D$200+(($C86)-$A$63:$A$108)*'Cálculos'!$D$98)+1400)+'Cálculos'!$D$122)*'Cálculos'!$D$275+'Cálculos'!$D$125*(1+2.78*('Cálculos'!$D$200+(($C86)-$A$63:$A$108)*'Cálculos'!$D$98)/(('Cálculos'!$D$200+(($C86)-$A$63:$A$108)*'Cálculos'!$D$98)+1400)+'Cálculos'!$D$123)*'Cálculos'!$D$280)+('Cálculos'!$D$201*(1+'Cálculos'!$D$202+$A$63:$A$108*('Cálculos'!$D$290=2)*'Cálculos'!$D$101)+'Cálculos'!$D$203)*('Cálculos'!$D$271+'Cálculos'!$D$124*(1+2.78*('Cálculos'!$D$200+(($C86)-$A$63:$A$108)*'Cálculos'!$D$98)/(('Cálculos'!$D$200+(($C86)-$A$63:$A$108)*'Cálculos'!$D$98)+1400)+'Cálculos'!$D$122)*'Cálculos'!$D$276+'Cálculos'!$D$125*(1+2.78*('Cálculos'!$D$200+(($C86)-$A$63:$A$108)*'Cálculos'!$D$98)/(('Cálculos'!$D$200+(($C86)-$A$63:$A$108)*'Cálculos'!$D$98)+1400)+'Cálculos'!$D$123)*'Cálculos'!$D$281)+('Cálculos'!$D$204*(1+'Cálculos'!$D$205+$A$63:$A$108*('Cálculos'!$D$290=3)*'Cálculos'!$D$103)+'Cálculos'!$D$206)*('Cálculos'!$D$272+'Cálculos'!$D$124*(1+2.78*('Cálculos'!$D$200+(($C86)-$A$63:$A$108)*'Cálculos'!$D$98)/(('Cálculos'!$D$200+(($C86)-$A$63:$A$108)*'Cálculos'!$D$98)+1400)+'Cálculos'!$D$122)*'Cálculos'!$D$277+'Cálculos'!$D$125*(1+2.78*('Cálculos'!$D$200+(($C86)-$A$63:$A$108)*'Cálculos'!$D$98)/(('Cálculos'!$D$200+(($C86)-$A$63:$A$108)*'Cálculos'!$D$98)+1400)+'Cálculos'!$D$123)*'Cálculos'!$D$282)+('Cálculos'!$D$273+'Cálculos'!$D$124*(1+2.78*('Cálculos'!$D$200+(($C86)-$A$63:$A$108)*'Cálculos'!$D$98)/(('Cálculos'!$D$200+(($C86)-$A$63:$A$108)*'Cálculos'!$D$98)+1400)+'Cálculos'!$D$122)*'Cálculos'!$D$278+'Cálculos'!$D$125*(1+2.78*('Cálculos'!$D$200+(($C86)-$A$63:$A$108)*'Cálculos'!$D$98)/(('Cálculos'!$D$200+(($C86)-$A$63:$A$108)*'Cálculos'!$D$98)+1400)+'Cálculos'!$D$123)*'Cálculos'!$D$283)))))</f>
        <v>0</v>
      </c>
      <c r="E86" s="32">
        <f>IF(OR($C86&lt;0,'Cálculos'!$D$6=""),0,$B86*$D86)</f>
        <v>0</v>
      </c>
      <c r="F86" s="2"/>
      <c r="G86" s="30">
        <f>($A86&lt;=$B$110)*($A86&lt;='Cálculos'!$D$294)*(($B$110)-$A86&lt;='Cálculos'!$D$295)*(1+MIN(('Cálculos'!$D$207+$A86*'Cálculos'!$D$95),1)*('Cálculos'!$D$208+(($B$110)-$A86)*'Cálculos'!$D$96))</f>
        <v>0</v>
      </c>
      <c r="H86" s="31">
        <f>IF($B$111&lt;0,0,($A86&lt;=$B$111)*($A86&lt;='Cálculos'!$D$301)*(($B$111)-$A86&lt;='Cálculos'!$D$297)*(('Cálculos'!$D$185*(1+'Cálculos'!$D$186+$A86*('Cálculos'!$D$290=1)*'Cálculos'!$D$97+'Cálculos'!$D$305)+'Cálculos'!$D$191)*('Cálculos'!$D$209+'Cálculos'!$D$124*(1+2.78*('Cálculos'!$D$196+(($B$111)-$A86)*'Cálculos'!$D$98)/(('Cálculos'!$D$196+(($B$111)-$A86)*'Cálculos'!$D$98)+1400)+'Cálculos'!$D$122)*'Cálculos'!$D$214+'Cálculos'!$D$125*(1+2.78*('Cálculos'!$D$196+(($B$111)-$A86)*'Cálculos'!$D$98)/(('Cálculos'!$D$196+(($B$111)-$A86)*'Cálculos'!$D$98)+1400)+'Cálculos'!$D$123)*'Cálculos'!$D$219)+('Cálculos'!$D$196+(($B$111)-$A86)*'Cálculos'!$D$98)*('Cálculos'!$D$210+'Cálculos'!$D$124*(1+2.78*('Cálculos'!$D$196+(($B$111)-$A86)*'Cálculos'!$D$98)/(('Cálculos'!$D$196+(($B$111)-$A86)*'Cálculos'!$D$98)+1400)+'Cálculos'!$D$122)*'Cálculos'!$D$215+'Cálculos'!$D$125*(1+2.78*('Cálculos'!$D$196+(($B$111)-$A86)*'Cálculos'!$D$98)/(('Cálculos'!$D$196+(($B$111)-$A86)*'Cálculos'!$D$98)+1400)+'Cálculos'!$D$123)*'Cálculos'!$D$220)+('Cálculos'!$D$201*(1+'Cálculos'!$D$202+$A86*('Cálculos'!$D$290=2)*'Cálculos'!$D$101)+'Cálculos'!$D$203)*('Cálculos'!$D$211+'Cálculos'!$D$124*(1+2.78*('Cálculos'!$D$196+(($B$111)-$A86)*'Cálculos'!$D$98)/(('Cálculos'!$D$196+(($B$111)-$A86)*'Cálculos'!$D$98)+1400)+'Cálculos'!$D$122)*'Cálculos'!$D$216+'Cálculos'!$D$125*(1+2.78*('Cálculos'!$D$196+(($B$111)-$A86)*'Cálculos'!$D$98)/(('Cálculos'!$D$196+(($B$111)-$A86)*'Cálculos'!$D$98)+1400)+'Cálculos'!$D$123)*'Cálculos'!$D$221)+('Cálculos'!$D$204*(1+'Cálculos'!$D$205+$A86*('Cálculos'!$D$290=3)*'Cálculos'!$D$103)+'Cálculos'!$D$206)*('Cálculos'!$D$212+'Cálculos'!$D$124*(1+2.78*('Cálculos'!$D$196+(($B$111)-$A86)*'Cálculos'!$D$98)/(('Cálculos'!$D$196+(($B$111)-$A86)*'Cálculos'!$D$98)+1400)+'Cálculos'!$D$122)*'Cálculos'!$D$217+'Cálculos'!$D$125*(1+2.78*('Cálculos'!$D$196+(($B$111)-$A86)*'Cálculos'!$D$98)/(('Cálculos'!$D$196+(($B$111)-$A86)*'Cálculos'!$D$98)+1400)+'Cálculos'!$D$123)*'Cálculos'!$D$222)+('Cálculos'!$D$213+'Cálculos'!$D$124*(1+2.78*('Cálculos'!$D$196+(($B$111)-$A86)*'Cálculos'!$D$98)/(('Cálculos'!$D$196+(($B$111)-$A86)*'Cálculos'!$D$98)+1400)+'Cálculos'!$D$122)*'Cálculos'!$D$218+'Cálculos'!$D$125*(1+2.78*('Cálculos'!$D$196+(($B$111)-$A86)*'Cálculos'!$D$98)/(('Cálculos'!$D$196+(($B$111)-$A86)*'Cálculos'!$D$98)+1400)+'Cálculos'!$D$123)*'Cálculos'!$D$223)+('Cálculos'!$D$185*(1+'Cálculos'!$D$187+$A86*('Cálculos'!$D$290=1)*'Cálculos'!$D$97+'Cálculos'!$D$305)+'Cálculos'!$D$192)*('Cálculos'!$D$224+'Cálculos'!$D$124*(1+2.78*('Cálculos'!$D$197+(($B$111)-$A86)*'Cálculos'!$D$98)/(('Cálculos'!$D$197+(($B$111)-$A86)*'Cálculos'!$D$98)+1400)+'Cálculos'!$D$122)*'Cálculos'!$D$229+'Cálculos'!$D$125*(1+2.78*('Cálculos'!$D$197+(($B$111)-$A86)*'Cálculos'!$D$98)/(('Cálculos'!$D$197+(($B$111)-$A86)*'Cálculos'!$D$98)+1400)+'Cálculos'!$D$123)*'Cálculos'!$D$234)+('Cálculos'!$D$197+(($B$111)-$A86)*'Cálculos'!$D$98)*('Cálculos'!$D$225+'Cálculos'!$D$124*(1+2.78*('Cálculos'!$D$197+(($B$111)-$A86)*'Cálculos'!$D$98)/(('Cálculos'!$D$197+(($B$111)-$A86)*'Cálculos'!$D$98)+1400)+'Cálculos'!$D$122)*'Cálculos'!$D$230+'Cálculos'!$D$125*(1+2.78*('Cálculos'!$D$197+(($B$111)-$A86)*'Cálculos'!$D$98)/(('Cálculos'!$D$197+(($B$111)-$A86)*'Cálculos'!$D$98)+1400)+'Cálculos'!$D$123)*'Cálculos'!$D$235)+('Cálculos'!$D$201*(1+'Cálculos'!$D$202+$A86*('Cálculos'!$D$290=2)*'Cálculos'!$D$101)+'Cálculos'!$D$203)*('Cálculos'!$D$226+'Cálculos'!$D$124*(1+2.78*('Cálculos'!$D$197+(($B$111)-$A86)*'Cálculos'!$D$98)/(('Cálculos'!$D$197+(($B$111)-$A86)*'Cálculos'!$D$98)+1400)+'Cálculos'!$D$122)*'Cálculos'!$D$231+'Cálculos'!$D$125*(1+2.78*('Cálculos'!$D$197+(($B$111)-$A86)*'Cálculos'!$D$98)/(('Cálculos'!$D$197+(($B$111)-$A86)*'Cálculos'!$D$98)+1400)+'Cálculos'!$D$123)*'Cálculos'!$D$236)+('Cálculos'!$D$204*(1+'Cálculos'!$D$205+$A86*('Cálculos'!$D$290=3)*'Cálculos'!$D$103)+'Cálculos'!$D$206)*('Cálculos'!$D$227+'Cálculos'!$D$124*(1+2.78*('Cálculos'!$D$197+(($B$111)-$A86)*'Cálculos'!$D$98)/(('Cálculos'!$D$197+(($B$111)-$A86)*'Cálculos'!$D$98)+1400)+'Cálculos'!$D$122)*'Cálculos'!$D$232+'Cálculos'!$D$125*(1+2.78*('Cálculos'!$D$197+(($B$111)-$A86)*'Cálculos'!$D$98)/(('Cálculos'!$D$197+(($B$111)-$A86)*'Cálculos'!$D$98)+1400)+'Cálculos'!$D$123)*'Cálculos'!$D$237)+('Cálculos'!$D$228+'Cálculos'!$D$124*(1+2.78*('Cálculos'!$D$197+(($B$111)-$A86)*'Cálculos'!$D$98)/(('Cálculos'!$D$197+(($B$111)-$A86)*'Cálculos'!$D$98)+1400)+'Cálculos'!$D$122)*'Cálculos'!$D$233+'Cálculos'!$D$125*(1+2.78*('Cálculos'!$D$197+(($B$111)-$A86)*'Cálculos'!$D$98)/(('Cálculos'!$D$197+(($B$111)-$A86)*'Cálculos'!$D$98)+1400)+'Cálculos'!$D$123)*'Cálculos'!$D$238)+('Cálculos'!$D$185*(1+'Cálculos'!$D$188+$A86*('Cálculos'!$D$290=1)*'Cálculos'!$D$97+'Cálculos'!$D$305)+'Cálculos'!$D$193)*('Cálculos'!$D$239+'Cálculos'!$D$124*(1+2.78*('Cálculos'!$D$198+(($B$111)-$A86)*'Cálculos'!$D$98)/(('Cálculos'!$D$198+(($B$111)-$A86)*'Cálculos'!$D$98)+1400)+'Cálculos'!$D$122)*'Cálculos'!$D$244+'Cálculos'!$D$125*(1+2.78*('Cálculos'!$D$198+(($B$111)-$A86)*'Cálculos'!$D$98)/(('Cálculos'!$D$198+(($B$111)-$A86)*'Cálculos'!$D$98)+1400)+'Cálculos'!$D$123)*'Cálculos'!$D$249)+('Cálculos'!$D$198+(($B$111)-$A86)*'Cálculos'!$D$98)*('Cálculos'!$D$240+'Cálculos'!$D$124*(1+2.78*('Cálculos'!$D$198+(($B$111)-$A86)*'Cálculos'!$D$98)/(('Cálculos'!$D$198+(($B$111)-$A86)*'Cálculos'!$D$98)+1400)+'Cálculos'!$D$122)*'Cálculos'!$D$245+'Cálculos'!$D$125*(1+2.78*('Cálculos'!$D$198+(($B$111)-$A86)*'Cálculos'!$D$98)/(('Cálculos'!$D$198+(($B$111)-$A86)*'Cálculos'!$D$98)+1400)+'Cálculos'!$D$123)*'Cálculos'!$D$250)+('Cálculos'!$D$201*(1+'Cálculos'!$D$202+$A86*('Cálculos'!$D$290=2)*'Cálculos'!$D$101)+'Cálculos'!$D$203)*('Cálculos'!$D$241+'Cálculos'!$D$124*(1+2.78*('Cálculos'!$D$198+(($B$111)-$A86)*'Cálculos'!$D$98)/(('Cálculos'!$D$198+(($B$111)-$A86)*'Cálculos'!$D$98)+1400)+'Cálculos'!$D$122)*'Cálculos'!$D$246+'Cálculos'!$D$125*(1+2.78*('Cálculos'!$D$198+(($B$111)-$A86)*'Cálculos'!$D$98)/(('Cálculos'!$D$198+(($B$111)-$A86)*'Cálculos'!$D$98)+1400)+'Cálculos'!$D$123)*'Cálculos'!$D$251)+('Cálculos'!$D$204*(1+'Cálculos'!$D$205+$A86*('Cálculos'!$D$290=3)*'Cálculos'!$D$103)+'Cálculos'!$D$206)*('Cálculos'!$D$242+'Cálculos'!$D$124*(1+2.78*('Cálculos'!$D$198+(($B$111)-$A86)*'Cálculos'!$D$98)/(('Cálculos'!$D$198+(($B$111)-$A86)*'Cálculos'!$D$98)+1400)+'Cálculos'!$D$122)*'Cálculos'!$D$247+'Cálculos'!$D$125*(1+2.78*('Cálculos'!$D$198+(($B$111)-$A86)*'Cálculos'!$D$98)/(('Cálculos'!$D$198+(($B$111)-$A86)*'Cálculos'!$D$98)+1400)+'Cálculos'!$D$123)*'Cálculos'!$D$252)+('Cálculos'!$D$243+'Cálculos'!$D$124*(1+2.78*('Cálculos'!$D$198+(($B$111)-$A86)*'Cálculos'!$D$98)/(('Cálculos'!$D$198+(($B$111)-$A86)*'Cálculos'!$D$98)+1400)+'Cálculos'!$D$122)*'Cálculos'!$D$248+'Cálculos'!$D$125*(1+2.78*('Cálculos'!$D$198+(($B$111)-$A86)*'Cálculos'!$D$98)/(('Cálculos'!$D$198+(($B$111)-$A86)*'Cálculos'!$D$98)+1400)+'Cálculos'!$D$123)*'Cálculos'!$D$253)+('Cálculos'!$D$185*(1+'Cálculos'!$D$189+$A86*('Cálculos'!$D$290=1)*'Cálculos'!$D$97+'Cálculos'!$D$305)+'Cálculos'!$D$194)*('Cálculos'!$D$254+'Cálculos'!$D$124*(1+2.78*('Cálculos'!$D$199+(($B$111)-$A86)*'Cálculos'!$D$98)/(('Cálculos'!$D$199+(($B$111)-$A86)*'Cálculos'!$D$98)+1400)+'Cálculos'!$D$122)*'Cálculos'!$D$259+'Cálculos'!$D$125*(1+2.78*('Cálculos'!$D$199+(($B$111)-$A86)*'Cálculos'!$D$98)/(('Cálculos'!$D$199+(($B$111)-$A86)*'Cálculos'!$D$98)+1400)+'Cálculos'!$D$123)*'Cálculos'!$D$264)+('Cálculos'!$D$199+(($B$111)-$A86)*'Cálculos'!$D$98)*('Cálculos'!$D$255+'Cálculos'!$D$124*(1+2.78*('Cálculos'!$D$199+(($B$111)-$A86)*'Cálculos'!$D$98)/(('Cálculos'!$D$199+(($B$111)-$A86)*'Cálculos'!$D$98)+1400)+'Cálculos'!$D$122)*'Cálculos'!$D$260+'Cálculos'!$D$125*(1+2.78*('Cálculos'!$D$199+(($B$111)-$A86)*'Cálculos'!$D$98)/(('Cálculos'!$D$199+(($B$111)-$A86)*'Cálculos'!$D$98)+1400)+'Cálculos'!$D$123)*'Cálculos'!$D$265)+('Cálculos'!$D$201*(1+'Cálculos'!$D$202+$A86*('Cálculos'!$D$290=2)*'Cálculos'!$D$101)+'Cálculos'!$D$203)*('Cálculos'!$D$256+'Cálculos'!$D$124*(1+2.78*('Cálculos'!$D$199+(($B$111)-$A86)*'Cálculos'!$D$98)/(('Cálculos'!$D$199+(($B$111)-$A86)*'Cálculos'!$D$98)+1400)+'Cálculos'!$D$122)*'Cálculos'!$D$261+'Cálculos'!$D$125*(1+2.78*('Cálculos'!$D$199+(($B$111)-$A86)*'Cálculos'!$D$98)/(('Cálculos'!$D$199+(($B$111)-$A86)*'Cálculos'!$D$98)+1400)+'Cálculos'!$D$123)*'Cálculos'!$D$266)+('Cálculos'!$D$204*(1+'Cálculos'!$D$205+$A86*('Cálculos'!$D$290=3)*'Cálculos'!$D$103)+'Cálculos'!$D$206)*('Cálculos'!$D$257+'Cálculos'!$D$124*(1+2.78*('Cálculos'!$D$199+(($B$111)-$A86)*'Cálculos'!$D$98)/(('Cálculos'!$D$199+(($B$111)-$A86)*'Cálculos'!$D$98)+1400)+'Cálculos'!$D$122)*'Cálculos'!$D$262+'Cálculos'!$D$125*(1+2.78*('Cálculos'!$D$199+(($B$111)-$A86)*'Cálculos'!$D$98)/(('Cálculos'!$D$199+(($B$111)-$A86)*'Cálculos'!$D$98)+1400)+'Cálculos'!$D$123)*'Cálculos'!$D$267)+('Cálculos'!$D$258+'Cálculos'!$D$124*(1+2.78*('Cálculos'!$D$199+(($B$111)-$A86)*'Cálculos'!$D$98)/(('Cálculos'!$D$199+(($B$111)-$A86)*'Cálculos'!$D$98)+1400)+'Cálculos'!$D$122)*'Cálculos'!$D$263+'Cálculos'!$D$125*(1+2.78*('Cálculos'!$D$199+(($B$111)-$A86)*'Cálculos'!$D$98)/(('Cálculos'!$D$199+(($B$111)-$A86)*'Cálculos'!$D$98)+1400)+'Cálculos'!$D$123)*'Cálculos'!$D$268)+('Cálculos'!$D$185*(1+'Cálculos'!$D$190+$A86*('Cálculos'!$D$290=1)*'Cálculos'!$D$97+'Cálculos'!$D$305)+'Cálculos'!$D$195)*('Cálculos'!$D$269+'Cálculos'!$D$124*(1+2.78*('Cálculos'!$D$200+(($B$111)-$A86)*'Cálculos'!$D$98)/(('Cálculos'!$D$200+(($B$111)-$A86)*'Cálculos'!$D$98)+1400)+'Cálculos'!$D$122)*'Cálculos'!$D$274+'Cálculos'!$D$125*(1+2.78*('Cálculos'!$D$200+(($B$111)-$A86)*'Cálculos'!$D$98)/(('Cálculos'!$D$200+(($B$111)-$A86)*'Cálculos'!$D$98)+1400)+'Cálculos'!$D$123)*'Cálculos'!$D$279)+('Cálculos'!$D$200+(($B$111)-$A86)*'Cálculos'!$D$98)*('Cálculos'!$D$270+'Cálculos'!$D$124*(1+2.78*('Cálculos'!$D$200+(($B$111)-$A86)*'Cálculos'!$D$98)/(('Cálculos'!$D$200+(($B$111)-$A86)*'Cálculos'!$D$98)+1400)+'Cálculos'!$D$122)*'Cálculos'!$D$275+'Cálculos'!$D$125*(1+2.78*('Cálculos'!$D$200+(($B$111)-$A86)*'Cálculos'!$D$98)/(('Cálculos'!$D$200+(($B$111)-$A86)*'Cálculos'!$D$98)+1400)+'Cálculos'!$D$123)*'Cálculos'!$D$280)+('Cálculos'!$D$201*(1+'Cálculos'!$D$202+$A86*('Cálculos'!$D$290=2)*'Cálculos'!$D$101)+'Cálculos'!$D$203)*('Cálculos'!$D$271+'Cálculos'!$D$124*(1+2.78*('Cálculos'!$D$200+(($B$111)-$A86)*'Cálculos'!$D$98)/(('Cálculos'!$D$200+(($B$111)-$A86)*'Cálculos'!$D$98)+1400)+'Cálculos'!$D$122)*'Cálculos'!$D$276+'Cálculos'!$D$125*(1+2.78*('Cálculos'!$D$200+(($B$111)-$A86)*'Cálculos'!$D$98)/(('Cálculos'!$D$200+(($B$111)-$A86)*'Cálculos'!$D$98)+1400)+'Cálculos'!$D$123)*'Cálculos'!$D$281)+('Cálculos'!$D$204*(1+'Cálculos'!$D$205+$A86*('Cálculos'!$D$290=3)*'Cálculos'!$D$103)+'Cálculos'!$D$206)*('Cálculos'!$D$272+'Cálculos'!$D$124*(1+2.78*('Cálculos'!$D$200+(($B$111)-$A86)*'Cálculos'!$D$98)/(('Cálculos'!$D$200+(($B$111)-$A86)*'Cálculos'!$D$98)+1400)+'Cálculos'!$D$122)*'Cálculos'!$D$277+'Cálculos'!$D$125*(1+2.78*('Cálculos'!$D$200+(($B$111)-$A86)*'Cálculos'!$D$98)/(('Cálculos'!$D$200+(($B$111)-$A86)*'Cálculos'!$D$98)+1400)+'Cálculos'!$D$123)*'Cálculos'!$D$282)+('Cálculos'!$D$273+'Cálculos'!$D$124*(1+2.78*('Cálculos'!$D$200+(($B$111)-$A86)*'Cálculos'!$D$98)/(('Cálculos'!$D$200+(($B$111)-$A86)*'Cálculos'!$D$98)+1400)+'Cálculos'!$D$122)*'Cálculos'!$D$278+'Cálculos'!$D$125*(1+2.78*('Cálculos'!$D$200+(($B$111)-$A86)*'Cálculos'!$D$98)/(('Cálculos'!$D$200+(($B$111)-$A86)*'Cálculos'!$D$98)+1400)+'Cálculos'!$D$123)*'Cálculos'!$D$283)))</f>
        <v>0</v>
      </c>
    </row>
    <row r="87" ht="15.75" customHeight="1">
      <c r="A87" s="2">
        <v>24.0</v>
      </c>
      <c r="B87" s="30">
        <f>SUMPRODUCT(MAX(($A$63:$A$108&lt;=$A87)*($A$63:$A$108&lt;='Cálculos'!$D$294)*(($A87)-$A$63:$A$108&lt;='Cálculos'!$D$295)*(1+(('Cálculos'!$D$207+$A$63:$A$108*'Cálculos'!$D$95)-(('Cálculos'!$D$207+$A$63:$A$108*'Cálculos'!$D$95)&gt;1)*(('Cálculos'!$D$207+$A$63:$A$108*'Cálculos'!$D$95)-1))*('Cálculos'!$D$208+(($A87)-$A$63:$A$108)*'Cálculos'!$D$96))))</f>
        <v>1.866572307</v>
      </c>
      <c r="C87" s="2">
        <f>'Cálculos'!$D$303-$A87</f>
        <v>-13</v>
      </c>
      <c r="D87" s="31">
        <f>IF($C87&lt;0,0,SUMPRODUCT(MAX(($A$63:$A$108&lt;=$C87)*($A$63:$A$108&lt;='Cálculos'!$D$301)*(($C87)-$A$63:$A$108&lt;='Cálculos'!$D$297)*(('Cálculos'!$D$185*(1+'Cálculos'!$D$186+$A$63:$A$108*('Cálculos'!$D$290=1)*'Cálculos'!$D$97+'Cálculos'!$D$305)+'Cálculos'!$D$191)*('Cálculos'!$D$209+'Cálculos'!$D$124*(1+2.78*('Cálculos'!$D$196+(($C87)-$A$63:$A$108)*'Cálculos'!$D$98)/(('Cálculos'!$D$196+(($C87)-$A$63:$A$108)*'Cálculos'!$D$98)+1400)+'Cálculos'!$D$122)*'Cálculos'!$D$214+'Cálculos'!$D$125*(1+2.78*('Cálculos'!$D$196+(($C87)-$A$63:$A$108)*'Cálculos'!$D$98)/(('Cálculos'!$D$196+(($C87)-$A$63:$A$108)*'Cálculos'!$D$98)+1400)+'Cálculos'!$D$123)*'Cálculos'!$D$219)+('Cálculos'!$D$196+(($C87)-$A$63:$A$108)*'Cálculos'!$D$98)*('Cálculos'!$D$210+'Cálculos'!$D$124*(1+2.78*('Cálculos'!$D$196+(($C87)-$A$63:$A$108)*'Cálculos'!$D$98)/(('Cálculos'!$D$196+(($C87)-$A$63:$A$108)*'Cálculos'!$D$98)+1400)+'Cálculos'!$D$122)*'Cálculos'!$D$215+'Cálculos'!$D$125*(1+2.78*('Cálculos'!$D$196+(($C87)-$A$63:$A$108)*'Cálculos'!$D$98)/(('Cálculos'!$D$196+(($C87)-$A$63:$A$108)*'Cálculos'!$D$98)+1400)+'Cálculos'!$D$123)*'Cálculos'!$D$220)+('Cálculos'!$D$201*(1+'Cálculos'!$D$202+$A$63:$A$108*('Cálculos'!$D$290=2)*'Cálculos'!$D$101)+'Cálculos'!$D$203)*('Cálculos'!$D$211+'Cálculos'!$D$124*(1+2.78*('Cálculos'!$D$196+(($C87)-$A$63:$A$108)*'Cálculos'!$D$98)/(('Cálculos'!$D$196+(($C87)-$A$63:$A$108)*'Cálculos'!$D$98)+1400)+'Cálculos'!$D$122)*'Cálculos'!$D$216+'Cálculos'!$D$125*(1+2.78*('Cálculos'!$D$196+(($C87)-$A$63:$A$108)*'Cálculos'!$D$98)/(('Cálculos'!$D$196+(($C87)-$A$63:$A$108)*'Cálculos'!$D$98)+1400)+'Cálculos'!$D$123)*'Cálculos'!$D$221)+('Cálculos'!$D$204*(1+'Cálculos'!$D$205+$A$63:$A$108*('Cálculos'!$D$290=3)*'Cálculos'!$D$103)+'Cálculos'!$D$206)*('Cálculos'!$D$212+'Cálculos'!$D$124*(1+2.78*('Cálculos'!$D$196+(($C87)-$A$63:$A$108)*'Cálculos'!$D$98)/(('Cálculos'!$D$196+(($C87)-$A$63:$A$108)*'Cálculos'!$D$98)+1400)+'Cálculos'!$D$122)*'Cálculos'!$D$217+'Cálculos'!$D$125*(1+2.78*('Cálculos'!$D$196+(($C87)-$A$63:$A$108)*'Cálculos'!$D$98)/(('Cálculos'!$D$196+(($C87)-$A$63:$A$108)*'Cálculos'!$D$98)+1400)+'Cálculos'!$D$123)*'Cálculos'!$D$222)+('Cálculos'!$D$213+'Cálculos'!$D$124*(1+2.78*('Cálculos'!$D$196+(($C87)-$A$63:$A$108)*'Cálculos'!$D$98)/(('Cálculos'!$D$196+(($C87)-$A$63:$A$108)*'Cálculos'!$D$98)+1400)+'Cálculos'!$D$122)*'Cálculos'!$D$218+'Cálculos'!$D$125*(1+2.78*('Cálculos'!$D$196+(($C87)-$A$63:$A$108)*'Cálculos'!$D$98)/(('Cálculos'!$D$196+(($C87)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87)-$A$63:$A$108)*'Cálculos'!$D$98)/(('Cálculos'!$D$197+(($C87)-$A$63:$A$108)*'Cálculos'!$D$98)+1400)+'Cálculos'!$D$122)*'Cálculos'!$D$229+'Cálculos'!$D$125*(1+2.78*('Cálculos'!$D$197+(($C87)-$A$63:$A$108)*'Cálculos'!$D$98)/(('Cálculos'!$D$197+(($C87)-$A$63:$A$108)*'Cálculos'!$D$98)+1400)+'Cálculos'!$D$123)*'Cálculos'!$D$234)+('Cálculos'!$D$197+(($C87)-$A$63:$A$108)*'Cálculos'!$D$98)*('Cálculos'!$D$225+'Cálculos'!$D$124*(1+2.78*('Cálculos'!$D$197+(($C87)-$A$63:$A$108)*'Cálculos'!$D$98)/(('Cálculos'!$D$197+(($C87)-$A$63:$A$108)*'Cálculos'!$D$98)+1400)+'Cálculos'!$D$122)*'Cálculos'!$D$230+'Cálculos'!$D$125*(1+2.78*('Cálculos'!$D$197+(($C87)-$A$63:$A$108)*'Cálculos'!$D$98)/(('Cálculos'!$D$197+(($C87)-$A$63:$A$108)*'Cálculos'!$D$98)+1400)+'Cálculos'!$D$123)*'Cálculos'!$D$235)+('Cálculos'!$D$201*(1+'Cálculos'!$D$202+$A$63:$A$108*('Cálculos'!$D$290=2)*'Cálculos'!$D$101)+'Cálculos'!$D$203)*('Cálculos'!$D$226+'Cálculos'!$D$124*(1+2.78*('Cálculos'!$D$197+(($C87)-$A$63:$A$108)*'Cálculos'!$D$98)/(('Cálculos'!$D$197+(($C87)-$A$63:$A$108)*'Cálculos'!$D$98)+1400)+'Cálculos'!$D$122)*'Cálculos'!$D$231+'Cálculos'!$D$125*(1+2.78*('Cálculos'!$D$197+(($C87)-$A$63:$A$108)*'Cálculos'!$D$98)/(('Cálculos'!$D$197+(($C87)-$A$63:$A$108)*'Cálculos'!$D$98)+1400)+'Cálculos'!$D$123)*'Cálculos'!$D$236)+('Cálculos'!$D$204*(1+'Cálculos'!$D$205+$A$63:$A$108*('Cálculos'!$D$290=3)*'Cálculos'!$D$103)+'Cálculos'!$D$206)*('Cálculos'!$D$227+'Cálculos'!$D$124*(1+2.78*('Cálculos'!$D$197+(($C87)-$A$63:$A$108)*'Cálculos'!$D$98)/(('Cálculos'!$D$197+(($C87)-$A$63:$A$108)*'Cálculos'!$D$98)+1400)+'Cálculos'!$D$122)*'Cálculos'!$D$232+'Cálculos'!$D$125*(1+2.78*('Cálculos'!$D$197+(($C87)-$A$63:$A$108)*'Cálculos'!$D$98)/(('Cálculos'!$D$197+(($C87)-$A$63:$A$108)*'Cálculos'!$D$98)+1400)+'Cálculos'!$D$123)*'Cálculos'!$D$237)+('Cálculos'!$D$228+'Cálculos'!$D$124*(1+2.78*('Cálculos'!$D$197+(($C87)-$A$63:$A$108)*'Cálculos'!$D$98)/(('Cálculos'!$D$197+(($C87)-$A$63:$A$108)*'Cálculos'!$D$98)+1400)+'Cálculos'!$D$122)*'Cálculos'!$D$233+'Cálculos'!$D$125*(1+2.78*('Cálculos'!$D$197+(($C87)-$A$63:$A$108)*'Cálculos'!$D$98)/(('Cálculos'!$D$197+(($C87)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87)-$A$63:$A$108)*'Cálculos'!$D$98)/(('Cálculos'!$D$198+(($C87)-$A$63:$A$108)*'Cálculos'!$D$98)+1400)+'Cálculos'!$D$122)*'Cálculos'!$D$244+'Cálculos'!$D$125*(1+2.78*('Cálculos'!$D$198+(($C87)-$A$63:$A$108)*'Cálculos'!$D$98)/(('Cálculos'!$D$198+(($C87)-$A$63:$A$108)*'Cálculos'!$D$98)+1400)+'Cálculos'!$D$123)*'Cálculos'!$D$249)+('Cálculos'!$D$198+(($C87)-$A$63:$A$108)*'Cálculos'!$D$98)*('Cálculos'!$D$240+'Cálculos'!$D$124*(1+2.78*('Cálculos'!$D$198+(($C87)-$A$63:$A$108)*'Cálculos'!$D$98)/(('Cálculos'!$D$198+(($C87)-$A$63:$A$108)*'Cálculos'!$D$98)+1400)+'Cálculos'!$D$122)*'Cálculos'!$D$245+'Cálculos'!$D$125*(1+2.78*('Cálculos'!$D$198+(($C87)-$A$63:$A$108)*'Cálculos'!$D$98)/(('Cálculos'!$D$198+(($C87)-$A$63:$A$108)*'Cálculos'!$D$98)+1400)+'Cálculos'!$D$123)*'Cálculos'!$D$250)+('Cálculos'!$D$201*(1+'Cálculos'!$D$202+$A$63:$A$108*('Cálculos'!$D$290=2)*'Cálculos'!$D$101)+'Cálculos'!$D$203)*('Cálculos'!$D$241+'Cálculos'!$D$124*(1+2.78*('Cálculos'!$D$198+(($C87)-$A$63:$A$108)*'Cálculos'!$D$98)/(('Cálculos'!$D$198+(($C87)-$A$63:$A$108)*'Cálculos'!$D$98)+1400)+'Cálculos'!$D$122)*'Cálculos'!$D$246+'Cálculos'!$D$125*(1+2.78*('Cálculos'!$D$198+(($C87)-$A$63:$A$108)*'Cálculos'!$D$98)/(('Cálculos'!$D$198+(($C87)-$A$63:$A$108)*'Cálculos'!$D$98)+1400)+'Cálculos'!$D$123)*'Cálculos'!$D$251)+('Cálculos'!$D$204*(1+'Cálculos'!$D$205+$A$63:$A$108*('Cálculos'!$D$290=3)*'Cálculos'!$D$103)+'Cálculos'!$D$206)*('Cálculos'!$D$242+'Cálculos'!$D$124*(1+2.78*('Cálculos'!$D$198+(($C87)-$A$63:$A$108)*'Cálculos'!$D$98)/(('Cálculos'!$D$198+(($C87)-$A$63:$A$108)*'Cálculos'!$D$98)+1400)+'Cálculos'!$D$122)*'Cálculos'!$D$247+'Cálculos'!$D$125*(1+2.78*('Cálculos'!$D$198+(($C87)-$A$63:$A$108)*'Cálculos'!$D$98)/(('Cálculos'!$D$198+(($C87)-$A$63:$A$108)*'Cálculos'!$D$98)+1400)+'Cálculos'!$D$123)*'Cálculos'!$D$252)+('Cálculos'!$D$243+'Cálculos'!$D$124*(1+2.78*('Cálculos'!$D$198+(($C87)-$A$63:$A$108)*'Cálculos'!$D$98)/(('Cálculos'!$D$198+(($C87)-$A$63:$A$108)*'Cálculos'!$D$98)+1400)+'Cálculos'!$D$122)*'Cálculos'!$D$248+'Cálculos'!$D$125*(1+2.78*('Cálculos'!$D$198+(($C87)-$A$63:$A$108)*'Cálculos'!$D$98)/(('Cálculos'!$D$198+(($C87)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87)-$A$63:$A$108)*'Cálculos'!$D$98)/(('Cálculos'!$D$199+(($C87)-$A$63:$A$108)*'Cálculos'!$D$98)+1400)+'Cálculos'!$D$122)*'Cálculos'!$D$259+'Cálculos'!$D$125*(1+2.78*('Cálculos'!$D$199+(($C87)-$A$63:$A$108)*'Cálculos'!$D$98)/(('Cálculos'!$D$199+(($C87)-$A$63:$A$108)*'Cálculos'!$D$98)+1400)+'Cálculos'!$D$123)*'Cálculos'!$D$264)+('Cálculos'!$D$199+(($C87)-$A$63:$A$108)*'Cálculos'!$D$98)*('Cálculos'!$D$255+'Cálculos'!$D$124*(1+2.78*('Cálculos'!$D$199+(($C87)-$A$63:$A$108)*'Cálculos'!$D$98)/(('Cálculos'!$D$199+(($C87)-$A$63:$A$108)*'Cálculos'!$D$98)+1400)+'Cálculos'!$D$122)*'Cálculos'!$D$260+'Cálculos'!$D$125*(1+2.78*('Cálculos'!$D$199+(($C87)-$A$63:$A$108)*'Cálculos'!$D$98)/(('Cálculos'!$D$199+(($C87)-$A$63:$A$108)*'Cálculos'!$D$98)+1400)+'Cálculos'!$D$123)*'Cálculos'!$D$265)+('Cálculos'!$D$201*(1+'Cálculos'!$D$202+$A$63:$A$108*('Cálculos'!$D$290=2)*'Cálculos'!$D$101)+'Cálculos'!$D$203)*('Cálculos'!$D$256+'Cálculos'!$D$124*(1+2.78*('Cálculos'!$D$199+(($C87)-$A$63:$A$108)*'Cálculos'!$D$98)/(('Cálculos'!$D$199+(($C87)-$A$63:$A$108)*'Cálculos'!$D$98)+1400)+'Cálculos'!$D$122)*'Cálculos'!$D$261+'Cálculos'!$D$125*(1+2.78*('Cálculos'!$D$199+(($C87)-$A$63:$A$108)*'Cálculos'!$D$98)/(('Cálculos'!$D$199+(($C87)-$A$63:$A$108)*'Cálculos'!$D$98)+1400)+'Cálculos'!$D$123)*'Cálculos'!$D$266)+('Cálculos'!$D$204*(1+'Cálculos'!$D$205+$A$63:$A$108*('Cálculos'!$D$290=3)*'Cálculos'!$D$103)+'Cálculos'!$D$206)*('Cálculos'!$D$257+'Cálculos'!$D$124*(1+2.78*('Cálculos'!$D$199+(($C87)-$A$63:$A$108)*'Cálculos'!$D$98)/(('Cálculos'!$D$199+(($C87)-$A$63:$A$108)*'Cálculos'!$D$98)+1400)+'Cálculos'!$D$122)*'Cálculos'!$D$262+'Cálculos'!$D$125*(1+2.78*('Cálculos'!$D$199+(($C87)-$A$63:$A$108)*'Cálculos'!$D$98)/(('Cálculos'!$D$199+(($C87)-$A$63:$A$108)*'Cálculos'!$D$98)+1400)+'Cálculos'!$D$123)*'Cálculos'!$D$267)+('Cálculos'!$D$258+'Cálculos'!$D$124*(1+2.78*('Cálculos'!$D$199+(($C87)-$A$63:$A$108)*'Cálculos'!$D$98)/(('Cálculos'!$D$199+(($C87)-$A$63:$A$108)*'Cálculos'!$D$98)+1400)+'Cálculos'!$D$122)*'Cálculos'!$D$263+'Cálculos'!$D$125*(1+2.78*('Cálculos'!$D$199+(($C87)-$A$63:$A$108)*'Cálculos'!$D$98)/(('Cálculos'!$D$199+(($C87)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87)-$A$63:$A$108)*'Cálculos'!$D$98)/(('Cálculos'!$D$200+(($C87)-$A$63:$A$108)*'Cálculos'!$D$98)+1400)+'Cálculos'!$D$122)*'Cálculos'!$D$274+'Cálculos'!$D$125*(1+2.78*('Cálculos'!$D$200+(($C87)-$A$63:$A$108)*'Cálculos'!$D$98)/(('Cálculos'!$D$200+(($C87)-$A$63:$A$108)*'Cálculos'!$D$98)+1400)+'Cálculos'!$D$123)*'Cálculos'!$D$279)+('Cálculos'!$D$200+(($C87)-$A$63:$A$108)*'Cálculos'!$D$98)*('Cálculos'!$D$270+'Cálculos'!$D$124*(1+2.78*('Cálculos'!$D$200+(($C87)-$A$63:$A$108)*'Cálculos'!$D$98)/(('Cálculos'!$D$200+(($C87)-$A$63:$A$108)*'Cálculos'!$D$98)+1400)+'Cálculos'!$D$122)*'Cálculos'!$D$275+'Cálculos'!$D$125*(1+2.78*('Cálculos'!$D$200+(($C87)-$A$63:$A$108)*'Cálculos'!$D$98)/(('Cálculos'!$D$200+(($C87)-$A$63:$A$108)*'Cálculos'!$D$98)+1400)+'Cálculos'!$D$123)*'Cálculos'!$D$280)+('Cálculos'!$D$201*(1+'Cálculos'!$D$202+$A$63:$A$108*('Cálculos'!$D$290=2)*'Cálculos'!$D$101)+'Cálculos'!$D$203)*('Cálculos'!$D$271+'Cálculos'!$D$124*(1+2.78*('Cálculos'!$D$200+(($C87)-$A$63:$A$108)*'Cálculos'!$D$98)/(('Cálculos'!$D$200+(($C87)-$A$63:$A$108)*'Cálculos'!$D$98)+1400)+'Cálculos'!$D$122)*'Cálculos'!$D$276+'Cálculos'!$D$125*(1+2.78*('Cálculos'!$D$200+(($C87)-$A$63:$A$108)*'Cálculos'!$D$98)/(('Cálculos'!$D$200+(($C87)-$A$63:$A$108)*'Cálculos'!$D$98)+1400)+'Cálculos'!$D$123)*'Cálculos'!$D$281)+('Cálculos'!$D$204*(1+'Cálculos'!$D$205+$A$63:$A$108*('Cálculos'!$D$290=3)*'Cálculos'!$D$103)+'Cálculos'!$D$206)*('Cálculos'!$D$272+'Cálculos'!$D$124*(1+2.78*('Cálculos'!$D$200+(($C87)-$A$63:$A$108)*'Cálculos'!$D$98)/(('Cálculos'!$D$200+(($C87)-$A$63:$A$108)*'Cálculos'!$D$98)+1400)+'Cálculos'!$D$122)*'Cálculos'!$D$277+'Cálculos'!$D$125*(1+2.78*('Cálculos'!$D$200+(($C87)-$A$63:$A$108)*'Cálculos'!$D$98)/(('Cálculos'!$D$200+(($C87)-$A$63:$A$108)*'Cálculos'!$D$98)+1400)+'Cálculos'!$D$123)*'Cálculos'!$D$282)+('Cálculos'!$D$273+'Cálculos'!$D$124*(1+2.78*('Cálculos'!$D$200+(($C87)-$A$63:$A$108)*'Cálculos'!$D$98)/(('Cálculos'!$D$200+(($C87)-$A$63:$A$108)*'Cálculos'!$D$98)+1400)+'Cálculos'!$D$122)*'Cálculos'!$D$278+'Cálculos'!$D$125*(1+2.78*('Cálculos'!$D$200+(($C87)-$A$63:$A$108)*'Cálculos'!$D$98)/(('Cálculos'!$D$200+(($C87)-$A$63:$A$108)*'Cálculos'!$D$98)+1400)+'Cálculos'!$D$123)*'Cálculos'!$D$283)))))</f>
        <v>0</v>
      </c>
      <c r="E87" s="32">
        <f>IF(OR($C87&lt;0,'Cálculos'!$D$6=""),0,$B87*$D87)</f>
        <v>0</v>
      </c>
      <c r="F87" s="2"/>
      <c r="G87" s="30">
        <f>($A87&lt;=$B$110)*($A87&lt;='Cálculos'!$D$294)*(($B$110)-$A87&lt;='Cálculos'!$D$295)*(1+MIN(('Cálculos'!$D$207+$A87*'Cálculos'!$D$95),1)*('Cálculos'!$D$208+(($B$110)-$A87)*'Cálculos'!$D$96))</f>
        <v>0</v>
      </c>
      <c r="H87" s="31">
        <f>IF($B$111&lt;0,0,($A87&lt;=$B$111)*($A87&lt;='Cálculos'!$D$301)*(($B$111)-$A87&lt;='Cálculos'!$D$297)*(('Cálculos'!$D$185*(1+'Cálculos'!$D$186+$A87*('Cálculos'!$D$290=1)*'Cálculos'!$D$97+'Cálculos'!$D$305)+'Cálculos'!$D$191)*('Cálculos'!$D$209+'Cálculos'!$D$124*(1+2.78*('Cálculos'!$D$196+(($B$111)-$A87)*'Cálculos'!$D$98)/(('Cálculos'!$D$196+(($B$111)-$A87)*'Cálculos'!$D$98)+1400)+'Cálculos'!$D$122)*'Cálculos'!$D$214+'Cálculos'!$D$125*(1+2.78*('Cálculos'!$D$196+(($B$111)-$A87)*'Cálculos'!$D$98)/(('Cálculos'!$D$196+(($B$111)-$A87)*'Cálculos'!$D$98)+1400)+'Cálculos'!$D$123)*'Cálculos'!$D$219)+('Cálculos'!$D$196+(($B$111)-$A87)*'Cálculos'!$D$98)*('Cálculos'!$D$210+'Cálculos'!$D$124*(1+2.78*('Cálculos'!$D$196+(($B$111)-$A87)*'Cálculos'!$D$98)/(('Cálculos'!$D$196+(($B$111)-$A87)*'Cálculos'!$D$98)+1400)+'Cálculos'!$D$122)*'Cálculos'!$D$215+'Cálculos'!$D$125*(1+2.78*('Cálculos'!$D$196+(($B$111)-$A87)*'Cálculos'!$D$98)/(('Cálculos'!$D$196+(($B$111)-$A87)*'Cálculos'!$D$98)+1400)+'Cálculos'!$D$123)*'Cálculos'!$D$220)+('Cálculos'!$D$201*(1+'Cálculos'!$D$202+$A87*('Cálculos'!$D$290=2)*'Cálculos'!$D$101)+'Cálculos'!$D$203)*('Cálculos'!$D$211+'Cálculos'!$D$124*(1+2.78*('Cálculos'!$D$196+(($B$111)-$A87)*'Cálculos'!$D$98)/(('Cálculos'!$D$196+(($B$111)-$A87)*'Cálculos'!$D$98)+1400)+'Cálculos'!$D$122)*'Cálculos'!$D$216+'Cálculos'!$D$125*(1+2.78*('Cálculos'!$D$196+(($B$111)-$A87)*'Cálculos'!$D$98)/(('Cálculos'!$D$196+(($B$111)-$A87)*'Cálculos'!$D$98)+1400)+'Cálculos'!$D$123)*'Cálculos'!$D$221)+('Cálculos'!$D$204*(1+'Cálculos'!$D$205+$A87*('Cálculos'!$D$290=3)*'Cálculos'!$D$103)+'Cálculos'!$D$206)*('Cálculos'!$D$212+'Cálculos'!$D$124*(1+2.78*('Cálculos'!$D$196+(($B$111)-$A87)*'Cálculos'!$D$98)/(('Cálculos'!$D$196+(($B$111)-$A87)*'Cálculos'!$D$98)+1400)+'Cálculos'!$D$122)*'Cálculos'!$D$217+'Cálculos'!$D$125*(1+2.78*('Cálculos'!$D$196+(($B$111)-$A87)*'Cálculos'!$D$98)/(('Cálculos'!$D$196+(($B$111)-$A87)*'Cálculos'!$D$98)+1400)+'Cálculos'!$D$123)*'Cálculos'!$D$222)+('Cálculos'!$D$213+'Cálculos'!$D$124*(1+2.78*('Cálculos'!$D$196+(($B$111)-$A87)*'Cálculos'!$D$98)/(('Cálculos'!$D$196+(($B$111)-$A87)*'Cálculos'!$D$98)+1400)+'Cálculos'!$D$122)*'Cálculos'!$D$218+'Cálculos'!$D$125*(1+2.78*('Cálculos'!$D$196+(($B$111)-$A87)*'Cálculos'!$D$98)/(('Cálculos'!$D$196+(($B$111)-$A87)*'Cálculos'!$D$98)+1400)+'Cálculos'!$D$123)*'Cálculos'!$D$223)+('Cálculos'!$D$185*(1+'Cálculos'!$D$187+$A87*('Cálculos'!$D$290=1)*'Cálculos'!$D$97+'Cálculos'!$D$305)+'Cálculos'!$D$192)*('Cálculos'!$D$224+'Cálculos'!$D$124*(1+2.78*('Cálculos'!$D$197+(($B$111)-$A87)*'Cálculos'!$D$98)/(('Cálculos'!$D$197+(($B$111)-$A87)*'Cálculos'!$D$98)+1400)+'Cálculos'!$D$122)*'Cálculos'!$D$229+'Cálculos'!$D$125*(1+2.78*('Cálculos'!$D$197+(($B$111)-$A87)*'Cálculos'!$D$98)/(('Cálculos'!$D$197+(($B$111)-$A87)*'Cálculos'!$D$98)+1400)+'Cálculos'!$D$123)*'Cálculos'!$D$234)+('Cálculos'!$D$197+(($B$111)-$A87)*'Cálculos'!$D$98)*('Cálculos'!$D$225+'Cálculos'!$D$124*(1+2.78*('Cálculos'!$D$197+(($B$111)-$A87)*'Cálculos'!$D$98)/(('Cálculos'!$D$197+(($B$111)-$A87)*'Cálculos'!$D$98)+1400)+'Cálculos'!$D$122)*'Cálculos'!$D$230+'Cálculos'!$D$125*(1+2.78*('Cálculos'!$D$197+(($B$111)-$A87)*'Cálculos'!$D$98)/(('Cálculos'!$D$197+(($B$111)-$A87)*'Cálculos'!$D$98)+1400)+'Cálculos'!$D$123)*'Cálculos'!$D$235)+('Cálculos'!$D$201*(1+'Cálculos'!$D$202+$A87*('Cálculos'!$D$290=2)*'Cálculos'!$D$101)+'Cálculos'!$D$203)*('Cálculos'!$D$226+'Cálculos'!$D$124*(1+2.78*('Cálculos'!$D$197+(($B$111)-$A87)*'Cálculos'!$D$98)/(('Cálculos'!$D$197+(($B$111)-$A87)*'Cálculos'!$D$98)+1400)+'Cálculos'!$D$122)*'Cálculos'!$D$231+'Cálculos'!$D$125*(1+2.78*('Cálculos'!$D$197+(($B$111)-$A87)*'Cálculos'!$D$98)/(('Cálculos'!$D$197+(($B$111)-$A87)*'Cálculos'!$D$98)+1400)+'Cálculos'!$D$123)*'Cálculos'!$D$236)+('Cálculos'!$D$204*(1+'Cálculos'!$D$205+$A87*('Cálculos'!$D$290=3)*'Cálculos'!$D$103)+'Cálculos'!$D$206)*('Cálculos'!$D$227+'Cálculos'!$D$124*(1+2.78*('Cálculos'!$D$197+(($B$111)-$A87)*'Cálculos'!$D$98)/(('Cálculos'!$D$197+(($B$111)-$A87)*'Cálculos'!$D$98)+1400)+'Cálculos'!$D$122)*'Cálculos'!$D$232+'Cálculos'!$D$125*(1+2.78*('Cálculos'!$D$197+(($B$111)-$A87)*'Cálculos'!$D$98)/(('Cálculos'!$D$197+(($B$111)-$A87)*'Cálculos'!$D$98)+1400)+'Cálculos'!$D$123)*'Cálculos'!$D$237)+('Cálculos'!$D$228+'Cálculos'!$D$124*(1+2.78*('Cálculos'!$D$197+(($B$111)-$A87)*'Cálculos'!$D$98)/(('Cálculos'!$D$197+(($B$111)-$A87)*'Cálculos'!$D$98)+1400)+'Cálculos'!$D$122)*'Cálculos'!$D$233+'Cálculos'!$D$125*(1+2.78*('Cálculos'!$D$197+(($B$111)-$A87)*'Cálculos'!$D$98)/(('Cálculos'!$D$197+(($B$111)-$A87)*'Cálculos'!$D$98)+1400)+'Cálculos'!$D$123)*'Cálculos'!$D$238)+('Cálculos'!$D$185*(1+'Cálculos'!$D$188+$A87*('Cálculos'!$D$290=1)*'Cálculos'!$D$97+'Cálculos'!$D$305)+'Cálculos'!$D$193)*('Cálculos'!$D$239+'Cálculos'!$D$124*(1+2.78*('Cálculos'!$D$198+(($B$111)-$A87)*'Cálculos'!$D$98)/(('Cálculos'!$D$198+(($B$111)-$A87)*'Cálculos'!$D$98)+1400)+'Cálculos'!$D$122)*'Cálculos'!$D$244+'Cálculos'!$D$125*(1+2.78*('Cálculos'!$D$198+(($B$111)-$A87)*'Cálculos'!$D$98)/(('Cálculos'!$D$198+(($B$111)-$A87)*'Cálculos'!$D$98)+1400)+'Cálculos'!$D$123)*'Cálculos'!$D$249)+('Cálculos'!$D$198+(($B$111)-$A87)*'Cálculos'!$D$98)*('Cálculos'!$D$240+'Cálculos'!$D$124*(1+2.78*('Cálculos'!$D$198+(($B$111)-$A87)*'Cálculos'!$D$98)/(('Cálculos'!$D$198+(($B$111)-$A87)*'Cálculos'!$D$98)+1400)+'Cálculos'!$D$122)*'Cálculos'!$D$245+'Cálculos'!$D$125*(1+2.78*('Cálculos'!$D$198+(($B$111)-$A87)*'Cálculos'!$D$98)/(('Cálculos'!$D$198+(($B$111)-$A87)*'Cálculos'!$D$98)+1400)+'Cálculos'!$D$123)*'Cálculos'!$D$250)+('Cálculos'!$D$201*(1+'Cálculos'!$D$202+$A87*('Cálculos'!$D$290=2)*'Cálculos'!$D$101)+'Cálculos'!$D$203)*('Cálculos'!$D$241+'Cálculos'!$D$124*(1+2.78*('Cálculos'!$D$198+(($B$111)-$A87)*'Cálculos'!$D$98)/(('Cálculos'!$D$198+(($B$111)-$A87)*'Cálculos'!$D$98)+1400)+'Cálculos'!$D$122)*'Cálculos'!$D$246+'Cálculos'!$D$125*(1+2.78*('Cálculos'!$D$198+(($B$111)-$A87)*'Cálculos'!$D$98)/(('Cálculos'!$D$198+(($B$111)-$A87)*'Cálculos'!$D$98)+1400)+'Cálculos'!$D$123)*'Cálculos'!$D$251)+('Cálculos'!$D$204*(1+'Cálculos'!$D$205+$A87*('Cálculos'!$D$290=3)*'Cálculos'!$D$103)+'Cálculos'!$D$206)*('Cálculos'!$D$242+'Cálculos'!$D$124*(1+2.78*('Cálculos'!$D$198+(($B$111)-$A87)*'Cálculos'!$D$98)/(('Cálculos'!$D$198+(($B$111)-$A87)*'Cálculos'!$D$98)+1400)+'Cálculos'!$D$122)*'Cálculos'!$D$247+'Cálculos'!$D$125*(1+2.78*('Cálculos'!$D$198+(($B$111)-$A87)*'Cálculos'!$D$98)/(('Cálculos'!$D$198+(($B$111)-$A87)*'Cálculos'!$D$98)+1400)+'Cálculos'!$D$123)*'Cálculos'!$D$252)+('Cálculos'!$D$243+'Cálculos'!$D$124*(1+2.78*('Cálculos'!$D$198+(($B$111)-$A87)*'Cálculos'!$D$98)/(('Cálculos'!$D$198+(($B$111)-$A87)*'Cálculos'!$D$98)+1400)+'Cálculos'!$D$122)*'Cálculos'!$D$248+'Cálculos'!$D$125*(1+2.78*('Cálculos'!$D$198+(($B$111)-$A87)*'Cálculos'!$D$98)/(('Cálculos'!$D$198+(($B$111)-$A87)*'Cálculos'!$D$98)+1400)+'Cálculos'!$D$123)*'Cálculos'!$D$253)+('Cálculos'!$D$185*(1+'Cálculos'!$D$189+$A87*('Cálculos'!$D$290=1)*'Cálculos'!$D$97+'Cálculos'!$D$305)+'Cálculos'!$D$194)*('Cálculos'!$D$254+'Cálculos'!$D$124*(1+2.78*('Cálculos'!$D$199+(($B$111)-$A87)*'Cálculos'!$D$98)/(('Cálculos'!$D$199+(($B$111)-$A87)*'Cálculos'!$D$98)+1400)+'Cálculos'!$D$122)*'Cálculos'!$D$259+'Cálculos'!$D$125*(1+2.78*('Cálculos'!$D$199+(($B$111)-$A87)*'Cálculos'!$D$98)/(('Cálculos'!$D$199+(($B$111)-$A87)*'Cálculos'!$D$98)+1400)+'Cálculos'!$D$123)*'Cálculos'!$D$264)+('Cálculos'!$D$199+(($B$111)-$A87)*'Cálculos'!$D$98)*('Cálculos'!$D$255+'Cálculos'!$D$124*(1+2.78*('Cálculos'!$D$199+(($B$111)-$A87)*'Cálculos'!$D$98)/(('Cálculos'!$D$199+(($B$111)-$A87)*'Cálculos'!$D$98)+1400)+'Cálculos'!$D$122)*'Cálculos'!$D$260+'Cálculos'!$D$125*(1+2.78*('Cálculos'!$D$199+(($B$111)-$A87)*'Cálculos'!$D$98)/(('Cálculos'!$D$199+(($B$111)-$A87)*'Cálculos'!$D$98)+1400)+'Cálculos'!$D$123)*'Cálculos'!$D$265)+('Cálculos'!$D$201*(1+'Cálculos'!$D$202+$A87*('Cálculos'!$D$290=2)*'Cálculos'!$D$101)+'Cálculos'!$D$203)*('Cálculos'!$D$256+'Cálculos'!$D$124*(1+2.78*('Cálculos'!$D$199+(($B$111)-$A87)*'Cálculos'!$D$98)/(('Cálculos'!$D$199+(($B$111)-$A87)*'Cálculos'!$D$98)+1400)+'Cálculos'!$D$122)*'Cálculos'!$D$261+'Cálculos'!$D$125*(1+2.78*('Cálculos'!$D$199+(($B$111)-$A87)*'Cálculos'!$D$98)/(('Cálculos'!$D$199+(($B$111)-$A87)*'Cálculos'!$D$98)+1400)+'Cálculos'!$D$123)*'Cálculos'!$D$266)+('Cálculos'!$D$204*(1+'Cálculos'!$D$205+$A87*('Cálculos'!$D$290=3)*'Cálculos'!$D$103)+'Cálculos'!$D$206)*('Cálculos'!$D$257+'Cálculos'!$D$124*(1+2.78*('Cálculos'!$D$199+(($B$111)-$A87)*'Cálculos'!$D$98)/(('Cálculos'!$D$199+(($B$111)-$A87)*'Cálculos'!$D$98)+1400)+'Cálculos'!$D$122)*'Cálculos'!$D$262+'Cálculos'!$D$125*(1+2.78*('Cálculos'!$D$199+(($B$111)-$A87)*'Cálculos'!$D$98)/(('Cálculos'!$D$199+(($B$111)-$A87)*'Cálculos'!$D$98)+1400)+'Cálculos'!$D$123)*'Cálculos'!$D$267)+('Cálculos'!$D$258+'Cálculos'!$D$124*(1+2.78*('Cálculos'!$D$199+(($B$111)-$A87)*'Cálculos'!$D$98)/(('Cálculos'!$D$199+(($B$111)-$A87)*'Cálculos'!$D$98)+1400)+'Cálculos'!$D$122)*'Cálculos'!$D$263+'Cálculos'!$D$125*(1+2.78*('Cálculos'!$D$199+(($B$111)-$A87)*'Cálculos'!$D$98)/(('Cálculos'!$D$199+(($B$111)-$A87)*'Cálculos'!$D$98)+1400)+'Cálculos'!$D$123)*'Cálculos'!$D$268)+('Cálculos'!$D$185*(1+'Cálculos'!$D$190+$A87*('Cálculos'!$D$290=1)*'Cálculos'!$D$97+'Cálculos'!$D$305)+'Cálculos'!$D$195)*('Cálculos'!$D$269+'Cálculos'!$D$124*(1+2.78*('Cálculos'!$D$200+(($B$111)-$A87)*'Cálculos'!$D$98)/(('Cálculos'!$D$200+(($B$111)-$A87)*'Cálculos'!$D$98)+1400)+'Cálculos'!$D$122)*'Cálculos'!$D$274+'Cálculos'!$D$125*(1+2.78*('Cálculos'!$D$200+(($B$111)-$A87)*'Cálculos'!$D$98)/(('Cálculos'!$D$200+(($B$111)-$A87)*'Cálculos'!$D$98)+1400)+'Cálculos'!$D$123)*'Cálculos'!$D$279)+('Cálculos'!$D$200+(($B$111)-$A87)*'Cálculos'!$D$98)*('Cálculos'!$D$270+'Cálculos'!$D$124*(1+2.78*('Cálculos'!$D$200+(($B$111)-$A87)*'Cálculos'!$D$98)/(('Cálculos'!$D$200+(($B$111)-$A87)*'Cálculos'!$D$98)+1400)+'Cálculos'!$D$122)*'Cálculos'!$D$275+'Cálculos'!$D$125*(1+2.78*('Cálculos'!$D$200+(($B$111)-$A87)*'Cálculos'!$D$98)/(('Cálculos'!$D$200+(($B$111)-$A87)*'Cálculos'!$D$98)+1400)+'Cálculos'!$D$123)*'Cálculos'!$D$280)+('Cálculos'!$D$201*(1+'Cálculos'!$D$202+$A87*('Cálculos'!$D$290=2)*'Cálculos'!$D$101)+'Cálculos'!$D$203)*('Cálculos'!$D$271+'Cálculos'!$D$124*(1+2.78*('Cálculos'!$D$200+(($B$111)-$A87)*'Cálculos'!$D$98)/(('Cálculos'!$D$200+(($B$111)-$A87)*'Cálculos'!$D$98)+1400)+'Cálculos'!$D$122)*'Cálculos'!$D$276+'Cálculos'!$D$125*(1+2.78*('Cálculos'!$D$200+(($B$111)-$A87)*'Cálculos'!$D$98)/(('Cálculos'!$D$200+(($B$111)-$A87)*'Cálculos'!$D$98)+1400)+'Cálculos'!$D$123)*'Cálculos'!$D$281)+('Cálculos'!$D$204*(1+'Cálculos'!$D$205+$A87*('Cálculos'!$D$290=3)*'Cálculos'!$D$103)+'Cálculos'!$D$206)*('Cálculos'!$D$272+'Cálculos'!$D$124*(1+2.78*('Cálculos'!$D$200+(($B$111)-$A87)*'Cálculos'!$D$98)/(('Cálculos'!$D$200+(($B$111)-$A87)*'Cálculos'!$D$98)+1400)+'Cálculos'!$D$122)*'Cálculos'!$D$277+'Cálculos'!$D$125*(1+2.78*('Cálculos'!$D$200+(($B$111)-$A87)*'Cálculos'!$D$98)/(('Cálculos'!$D$200+(($B$111)-$A87)*'Cálculos'!$D$98)+1400)+'Cálculos'!$D$123)*'Cálculos'!$D$282)+('Cálculos'!$D$273+'Cálculos'!$D$124*(1+2.78*('Cálculos'!$D$200+(($B$111)-$A87)*'Cálculos'!$D$98)/(('Cálculos'!$D$200+(($B$111)-$A87)*'Cálculos'!$D$98)+1400)+'Cálculos'!$D$122)*'Cálculos'!$D$278+'Cálculos'!$D$125*(1+2.78*('Cálculos'!$D$200+(($B$111)-$A87)*'Cálculos'!$D$98)/(('Cálculos'!$D$200+(($B$111)-$A87)*'Cálculos'!$D$98)+1400)+'Cálculos'!$D$123)*'Cálculos'!$D$283)))</f>
        <v>0</v>
      </c>
    </row>
    <row r="88" ht="15.75" customHeight="1">
      <c r="A88" s="2">
        <v>25.0</v>
      </c>
      <c r="B88" s="30">
        <f>SUMPRODUCT(MAX(($A$63:$A$108&lt;=$A88)*($A$63:$A$108&lt;='Cálculos'!$D$294)*(($A88)-$A$63:$A$108&lt;='Cálculos'!$D$295)*(1+(('Cálculos'!$D$207+$A$63:$A$108*'Cálculos'!$D$95)-(('Cálculos'!$D$207+$A$63:$A$108*'Cálculos'!$D$95)&gt;1)*(('Cálculos'!$D$207+$A$63:$A$108*'Cálculos'!$D$95)-1))*('Cálculos'!$D$208+(($A88)-$A$63:$A$108)*'Cálculos'!$D$96))))</f>
        <v>1.904135882</v>
      </c>
      <c r="C88" s="2">
        <f>'Cálculos'!$D$303-$A88</f>
        <v>-14</v>
      </c>
      <c r="D88" s="31">
        <f>IF($C88&lt;0,0,SUMPRODUCT(MAX(($A$63:$A$108&lt;=$C88)*($A$63:$A$108&lt;='Cálculos'!$D$301)*(($C88)-$A$63:$A$108&lt;='Cálculos'!$D$297)*(('Cálculos'!$D$185*(1+'Cálculos'!$D$186+$A$63:$A$108*('Cálculos'!$D$290=1)*'Cálculos'!$D$97+'Cálculos'!$D$305)+'Cálculos'!$D$191)*('Cálculos'!$D$209+'Cálculos'!$D$124*(1+2.78*('Cálculos'!$D$196+(($C88)-$A$63:$A$108)*'Cálculos'!$D$98)/(('Cálculos'!$D$196+(($C88)-$A$63:$A$108)*'Cálculos'!$D$98)+1400)+'Cálculos'!$D$122)*'Cálculos'!$D$214+'Cálculos'!$D$125*(1+2.78*('Cálculos'!$D$196+(($C88)-$A$63:$A$108)*'Cálculos'!$D$98)/(('Cálculos'!$D$196+(($C88)-$A$63:$A$108)*'Cálculos'!$D$98)+1400)+'Cálculos'!$D$123)*'Cálculos'!$D$219)+('Cálculos'!$D$196+(($C88)-$A$63:$A$108)*'Cálculos'!$D$98)*('Cálculos'!$D$210+'Cálculos'!$D$124*(1+2.78*('Cálculos'!$D$196+(($C88)-$A$63:$A$108)*'Cálculos'!$D$98)/(('Cálculos'!$D$196+(($C88)-$A$63:$A$108)*'Cálculos'!$D$98)+1400)+'Cálculos'!$D$122)*'Cálculos'!$D$215+'Cálculos'!$D$125*(1+2.78*('Cálculos'!$D$196+(($C88)-$A$63:$A$108)*'Cálculos'!$D$98)/(('Cálculos'!$D$196+(($C88)-$A$63:$A$108)*'Cálculos'!$D$98)+1400)+'Cálculos'!$D$123)*'Cálculos'!$D$220)+('Cálculos'!$D$201*(1+'Cálculos'!$D$202+$A$63:$A$108*('Cálculos'!$D$290=2)*'Cálculos'!$D$101)+'Cálculos'!$D$203)*('Cálculos'!$D$211+'Cálculos'!$D$124*(1+2.78*('Cálculos'!$D$196+(($C88)-$A$63:$A$108)*'Cálculos'!$D$98)/(('Cálculos'!$D$196+(($C88)-$A$63:$A$108)*'Cálculos'!$D$98)+1400)+'Cálculos'!$D$122)*'Cálculos'!$D$216+'Cálculos'!$D$125*(1+2.78*('Cálculos'!$D$196+(($C88)-$A$63:$A$108)*'Cálculos'!$D$98)/(('Cálculos'!$D$196+(($C88)-$A$63:$A$108)*'Cálculos'!$D$98)+1400)+'Cálculos'!$D$123)*'Cálculos'!$D$221)+('Cálculos'!$D$204*(1+'Cálculos'!$D$205+$A$63:$A$108*('Cálculos'!$D$290=3)*'Cálculos'!$D$103)+'Cálculos'!$D$206)*('Cálculos'!$D$212+'Cálculos'!$D$124*(1+2.78*('Cálculos'!$D$196+(($C88)-$A$63:$A$108)*'Cálculos'!$D$98)/(('Cálculos'!$D$196+(($C88)-$A$63:$A$108)*'Cálculos'!$D$98)+1400)+'Cálculos'!$D$122)*'Cálculos'!$D$217+'Cálculos'!$D$125*(1+2.78*('Cálculos'!$D$196+(($C88)-$A$63:$A$108)*'Cálculos'!$D$98)/(('Cálculos'!$D$196+(($C88)-$A$63:$A$108)*'Cálculos'!$D$98)+1400)+'Cálculos'!$D$123)*'Cálculos'!$D$222)+('Cálculos'!$D$213+'Cálculos'!$D$124*(1+2.78*('Cálculos'!$D$196+(($C88)-$A$63:$A$108)*'Cálculos'!$D$98)/(('Cálculos'!$D$196+(($C88)-$A$63:$A$108)*'Cálculos'!$D$98)+1400)+'Cálculos'!$D$122)*'Cálculos'!$D$218+'Cálculos'!$D$125*(1+2.78*('Cálculos'!$D$196+(($C88)-$A$63:$A$108)*'Cálculos'!$D$98)/(('Cálculos'!$D$196+(($C88)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88)-$A$63:$A$108)*'Cálculos'!$D$98)/(('Cálculos'!$D$197+(($C88)-$A$63:$A$108)*'Cálculos'!$D$98)+1400)+'Cálculos'!$D$122)*'Cálculos'!$D$229+'Cálculos'!$D$125*(1+2.78*('Cálculos'!$D$197+(($C88)-$A$63:$A$108)*'Cálculos'!$D$98)/(('Cálculos'!$D$197+(($C88)-$A$63:$A$108)*'Cálculos'!$D$98)+1400)+'Cálculos'!$D$123)*'Cálculos'!$D$234)+('Cálculos'!$D$197+(($C88)-$A$63:$A$108)*'Cálculos'!$D$98)*('Cálculos'!$D$225+'Cálculos'!$D$124*(1+2.78*('Cálculos'!$D$197+(($C88)-$A$63:$A$108)*'Cálculos'!$D$98)/(('Cálculos'!$D$197+(($C88)-$A$63:$A$108)*'Cálculos'!$D$98)+1400)+'Cálculos'!$D$122)*'Cálculos'!$D$230+'Cálculos'!$D$125*(1+2.78*('Cálculos'!$D$197+(($C88)-$A$63:$A$108)*'Cálculos'!$D$98)/(('Cálculos'!$D$197+(($C88)-$A$63:$A$108)*'Cálculos'!$D$98)+1400)+'Cálculos'!$D$123)*'Cálculos'!$D$235)+('Cálculos'!$D$201*(1+'Cálculos'!$D$202+$A$63:$A$108*('Cálculos'!$D$290=2)*'Cálculos'!$D$101)+'Cálculos'!$D$203)*('Cálculos'!$D$226+'Cálculos'!$D$124*(1+2.78*('Cálculos'!$D$197+(($C88)-$A$63:$A$108)*'Cálculos'!$D$98)/(('Cálculos'!$D$197+(($C88)-$A$63:$A$108)*'Cálculos'!$D$98)+1400)+'Cálculos'!$D$122)*'Cálculos'!$D$231+'Cálculos'!$D$125*(1+2.78*('Cálculos'!$D$197+(($C88)-$A$63:$A$108)*'Cálculos'!$D$98)/(('Cálculos'!$D$197+(($C88)-$A$63:$A$108)*'Cálculos'!$D$98)+1400)+'Cálculos'!$D$123)*'Cálculos'!$D$236)+('Cálculos'!$D$204*(1+'Cálculos'!$D$205+$A$63:$A$108*('Cálculos'!$D$290=3)*'Cálculos'!$D$103)+'Cálculos'!$D$206)*('Cálculos'!$D$227+'Cálculos'!$D$124*(1+2.78*('Cálculos'!$D$197+(($C88)-$A$63:$A$108)*'Cálculos'!$D$98)/(('Cálculos'!$D$197+(($C88)-$A$63:$A$108)*'Cálculos'!$D$98)+1400)+'Cálculos'!$D$122)*'Cálculos'!$D$232+'Cálculos'!$D$125*(1+2.78*('Cálculos'!$D$197+(($C88)-$A$63:$A$108)*'Cálculos'!$D$98)/(('Cálculos'!$D$197+(($C88)-$A$63:$A$108)*'Cálculos'!$D$98)+1400)+'Cálculos'!$D$123)*'Cálculos'!$D$237)+('Cálculos'!$D$228+'Cálculos'!$D$124*(1+2.78*('Cálculos'!$D$197+(($C88)-$A$63:$A$108)*'Cálculos'!$D$98)/(('Cálculos'!$D$197+(($C88)-$A$63:$A$108)*'Cálculos'!$D$98)+1400)+'Cálculos'!$D$122)*'Cálculos'!$D$233+'Cálculos'!$D$125*(1+2.78*('Cálculos'!$D$197+(($C88)-$A$63:$A$108)*'Cálculos'!$D$98)/(('Cálculos'!$D$197+(($C88)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88)-$A$63:$A$108)*'Cálculos'!$D$98)/(('Cálculos'!$D$198+(($C88)-$A$63:$A$108)*'Cálculos'!$D$98)+1400)+'Cálculos'!$D$122)*'Cálculos'!$D$244+'Cálculos'!$D$125*(1+2.78*('Cálculos'!$D$198+(($C88)-$A$63:$A$108)*'Cálculos'!$D$98)/(('Cálculos'!$D$198+(($C88)-$A$63:$A$108)*'Cálculos'!$D$98)+1400)+'Cálculos'!$D$123)*'Cálculos'!$D$249)+('Cálculos'!$D$198+(($C88)-$A$63:$A$108)*'Cálculos'!$D$98)*('Cálculos'!$D$240+'Cálculos'!$D$124*(1+2.78*('Cálculos'!$D$198+(($C88)-$A$63:$A$108)*'Cálculos'!$D$98)/(('Cálculos'!$D$198+(($C88)-$A$63:$A$108)*'Cálculos'!$D$98)+1400)+'Cálculos'!$D$122)*'Cálculos'!$D$245+'Cálculos'!$D$125*(1+2.78*('Cálculos'!$D$198+(($C88)-$A$63:$A$108)*'Cálculos'!$D$98)/(('Cálculos'!$D$198+(($C88)-$A$63:$A$108)*'Cálculos'!$D$98)+1400)+'Cálculos'!$D$123)*'Cálculos'!$D$250)+('Cálculos'!$D$201*(1+'Cálculos'!$D$202+$A$63:$A$108*('Cálculos'!$D$290=2)*'Cálculos'!$D$101)+'Cálculos'!$D$203)*('Cálculos'!$D$241+'Cálculos'!$D$124*(1+2.78*('Cálculos'!$D$198+(($C88)-$A$63:$A$108)*'Cálculos'!$D$98)/(('Cálculos'!$D$198+(($C88)-$A$63:$A$108)*'Cálculos'!$D$98)+1400)+'Cálculos'!$D$122)*'Cálculos'!$D$246+'Cálculos'!$D$125*(1+2.78*('Cálculos'!$D$198+(($C88)-$A$63:$A$108)*'Cálculos'!$D$98)/(('Cálculos'!$D$198+(($C88)-$A$63:$A$108)*'Cálculos'!$D$98)+1400)+'Cálculos'!$D$123)*'Cálculos'!$D$251)+('Cálculos'!$D$204*(1+'Cálculos'!$D$205+$A$63:$A$108*('Cálculos'!$D$290=3)*'Cálculos'!$D$103)+'Cálculos'!$D$206)*('Cálculos'!$D$242+'Cálculos'!$D$124*(1+2.78*('Cálculos'!$D$198+(($C88)-$A$63:$A$108)*'Cálculos'!$D$98)/(('Cálculos'!$D$198+(($C88)-$A$63:$A$108)*'Cálculos'!$D$98)+1400)+'Cálculos'!$D$122)*'Cálculos'!$D$247+'Cálculos'!$D$125*(1+2.78*('Cálculos'!$D$198+(($C88)-$A$63:$A$108)*'Cálculos'!$D$98)/(('Cálculos'!$D$198+(($C88)-$A$63:$A$108)*'Cálculos'!$D$98)+1400)+'Cálculos'!$D$123)*'Cálculos'!$D$252)+('Cálculos'!$D$243+'Cálculos'!$D$124*(1+2.78*('Cálculos'!$D$198+(($C88)-$A$63:$A$108)*'Cálculos'!$D$98)/(('Cálculos'!$D$198+(($C88)-$A$63:$A$108)*'Cálculos'!$D$98)+1400)+'Cálculos'!$D$122)*'Cálculos'!$D$248+'Cálculos'!$D$125*(1+2.78*('Cálculos'!$D$198+(($C88)-$A$63:$A$108)*'Cálculos'!$D$98)/(('Cálculos'!$D$198+(($C88)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88)-$A$63:$A$108)*'Cálculos'!$D$98)/(('Cálculos'!$D$199+(($C88)-$A$63:$A$108)*'Cálculos'!$D$98)+1400)+'Cálculos'!$D$122)*'Cálculos'!$D$259+'Cálculos'!$D$125*(1+2.78*('Cálculos'!$D$199+(($C88)-$A$63:$A$108)*'Cálculos'!$D$98)/(('Cálculos'!$D$199+(($C88)-$A$63:$A$108)*'Cálculos'!$D$98)+1400)+'Cálculos'!$D$123)*'Cálculos'!$D$264)+('Cálculos'!$D$199+(($C88)-$A$63:$A$108)*'Cálculos'!$D$98)*('Cálculos'!$D$255+'Cálculos'!$D$124*(1+2.78*('Cálculos'!$D$199+(($C88)-$A$63:$A$108)*'Cálculos'!$D$98)/(('Cálculos'!$D$199+(($C88)-$A$63:$A$108)*'Cálculos'!$D$98)+1400)+'Cálculos'!$D$122)*'Cálculos'!$D$260+'Cálculos'!$D$125*(1+2.78*('Cálculos'!$D$199+(($C88)-$A$63:$A$108)*'Cálculos'!$D$98)/(('Cálculos'!$D$199+(($C88)-$A$63:$A$108)*'Cálculos'!$D$98)+1400)+'Cálculos'!$D$123)*'Cálculos'!$D$265)+('Cálculos'!$D$201*(1+'Cálculos'!$D$202+$A$63:$A$108*('Cálculos'!$D$290=2)*'Cálculos'!$D$101)+'Cálculos'!$D$203)*('Cálculos'!$D$256+'Cálculos'!$D$124*(1+2.78*('Cálculos'!$D$199+(($C88)-$A$63:$A$108)*'Cálculos'!$D$98)/(('Cálculos'!$D$199+(($C88)-$A$63:$A$108)*'Cálculos'!$D$98)+1400)+'Cálculos'!$D$122)*'Cálculos'!$D$261+'Cálculos'!$D$125*(1+2.78*('Cálculos'!$D$199+(($C88)-$A$63:$A$108)*'Cálculos'!$D$98)/(('Cálculos'!$D$199+(($C88)-$A$63:$A$108)*'Cálculos'!$D$98)+1400)+'Cálculos'!$D$123)*'Cálculos'!$D$266)+('Cálculos'!$D$204*(1+'Cálculos'!$D$205+$A$63:$A$108*('Cálculos'!$D$290=3)*'Cálculos'!$D$103)+'Cálculos'!$D$206)*('Cálculos'!$D$257+'Cálculos'!$D$124*(1+2.78*('Cálculos'!$D$199+(($C88)-$A$63:$A$108)*'Cálculos'!$D$98)/(('Cálculos'!$D$199+(($C88)-$A$63:$A$108)*'Cálculos'!$D$98)+1400)+'Cálculos'!$D$122)*'Cálculos'!$D$262+'Cálculos'!$D$125*(1+2.78*('Cálculos'!$D$199+(($C88)-$A$63:$A$108)*'Cálculos'!$D$98)/(('Cálculos'!$D$199+(($C88)-$A$63:$A$108)*'Cálculos'!$D$98)+1400)+'Cálculos'!$D$123)*'Cálculos'!$D$267)+('Cálculos'!$D$258+'Cálculos'!$D$124*(1+2.78*('Cálculos'!$D$199+(($C88)-$A$63:$A$108)*'Cálculos'!$D$98)/(('Cálculos'!$D$199+(($C88)-$A$63:$A$108)*'Cálculos'!$D$98)+1400)+'Cálculos'!$D$122)*'Cálculos'!$D$263+'Cálculos'!$D$125*(1+2.78*('Cálculos'!$D$199+(($C88)-$A$63:$A$108)*'Cálculos'!$D$98)/(('Cálculos'!$D$199+(($C88)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88)-$A$63:$A$108)*'Cálculos'!$D$98)/(('Cálculos'!$D$200+(($C88)-$A$63:$A$108)*'Cálculos'!$D$98)+1400)+'Cálculos'!$D$122)*'Cálculos'!$D$274+'Cálculos'!$D$125*(1+2.78*('Cálculos'!$D$200+(($C88)-$A$63:$A$108)*'Cálculos'!$D$98)/(('Cálculos'!$D$200+(($C88)-$A$63:$A$108)*'Cálculos'!$D$98)+1400)+'Cálculos'!$D$123)*'Cálculos'!$D$279)+('Cálculos'!$D$200+(($C88)-$A$63:$A$108)*'Cálculos'!$D$98)*('Cálculos'!$D$270+'Cálculos'!$D$124*(1+2.78*('Cálculos'!$D$200+(($C88)-$A$63:$A$108)*'Cálculos'!$D$98)/(('Cálculos'!$D$200+(($C88)-$A$63:$A$108)*'Cálculos'!$D$98)+1400)+'Cálculos'!$D$122)*'Cálculos'!$D$275+'Cálculos'!$D$125*(1+2.78*('Cálculos'!$D$200+(($C88)-$A$63:$A$108)*'Cálculos'!$D$98)/(('Cálculos'!$D$200+(($C88)-$A$63:$A$108)*'Cálculos'!$D$98)+1400)+'Cálculos'!$D$123)*'Cálculos'!$D$280)+('Cálculos'!$D$201*(1+'Cálculos'!$D$202+$A$63:$A$108*('Cálculos'!$D$290=2)*'Cálculos'!$D$101)+'Cálculos'!$D$203)*('Cálculos'!$D$271+'Cálculos'!$D$124*(1+2.78*('Cálculos'!$D$200+(($C88)-$A$63:$A$108)*'Cálculos'!$D$98)/(('Cálculos'!$D$200+(($C88)-$A$63:$A$108)*'Cálculos'!$D$98)+1400)+'Cálculos'!$D$122)*'Cálculos'!$D$276+'Cálculos'!$D$125*(1+2.78*('Cálculos'!$D$200+(($C88)-$A$63:$A$108)*'Cálculos'!$D$98)/(('Cálculos'!$D$200+(($C88)-$A$63:$A$108)*'Cálculos'!$D$98)+1400)+'Cálculos'!$D$123)*'Cálculos'!$D$281)+('Cálculos'!$D$204*(1+'Cálculos'!$D$205+$A$63:$A$108*('Cálculos'!$D$290=3)*'Cálculos'!$D$103)+'Cálculos'!$D$206)*('Cálculos'!$D$272+'Cálculos'!$D$124*(1+2.78*('Cálculos'!$D$200+(($C88)-$A$63:$A$108)*'Cálculos'!$D$98)/(('Cálculos'!$D$200+(($C88)-$A$63:$A$108)*'Cálculos'!$D$98)+1400)+'Cálculos'!$D$122)*'Cálculos'!$D$277+'Cálculos'!$D$125*(1+2.78*('Cálculos'!$D$200+(($C88)-$A$63:$A$108)*'Cálculos'!$D$98)/(('Cálculos'!$D$200+(($C88)-$A$63:$A$108)*'Cálculos'!$D$98)+1400)+'Cálculos'!$D$123)*'Cálculos'!$D$282)+('Cálculos'!$D$273+'Cálculos'!$D$124*(1+2.78*('Cálculos'!$D$200+(($C88)-$A$63:$A$108)*'Cálculos'!$D$98)/(('Cálculos'!$D$200+(($C88)-$A$63:$A$108)*'Cálculos'!$D$98)+1400)+'Cálculos'!$D$122)*'Cálculos'!$D$278+'Cálculos'!$D$125*(1+2.78*('Cálculos'!$D$200+(($C88)-$A$63:$A$108)*'Cálculos'!$D$98)/(('Cálculos'!$D$200+(($C88)-$A$63:$A$108)*'Cálculos'!$D$98)+1400)+'Cálculos'!$D$123)*'Cálculos'!$D$283)))))</f>
        <v>0</v>
      </c>
      <c r="E88" s="32">
        <f>IF(OR($C88&lt;0,'Cálculos'!$D$6=""),0,$B88*$D88)</f>
        <v>0</v>
      </c>
      <c r="F88" s="2"/>
      <c r="G88" s="30">
        <f>($A88&lt;=$B$110)*($A88&lt;='Cálculos'!$D$294)*(($B$110)-$A88&lt;='Cálculos'!$D$295)*(1+MIN(('Cálculos'!$D$207+$A88*'Cálculos'!$D$95),1)*('Cálculos'!$D$208+(($B$110)-$A88)*'Cálculos'!$D$96))</f>
        <v>0</v>
      </c>
      <c r="H88" s="31">
        <f>IF($B$111&lt;0,0,($A88&lt;=$B$111)*($A88&lt;='Cálculos'!$D$301)*(($B$111)-$A88&lt;='Cálculos'!$D$297)*(('Cálculos'!$D$185*(1+'Cálculos'!$D$186+$A88*('Cálculos'!$D$290=1)*'Cálculos'!$D$97+'Cálculos'!$D$305)+'Cálculos'!$D$191)*('Cálculos'!$D$209+'Cálculos'!$D$124*(1+2.78*('Cálculos'!$D$196+(($B$111)-$A88)*'Cálculos'!$D$98)/(('Cálculos'!$D$196+(($B$111)-$A88)*'Cálculos'!$D$98)+1400)+'Cálculos'!$D$122)*'Cálculos'!$D$214+'Cálculos'!$D$125*(1+2.78*('Cálculos'!$D$196+(($B$111)-$A88)*'Cálculos'!$D$98)/(('Cálculos'!$D$196+(($B$111)-$A88)*'Cálculos'!$D$98)+1400)+'Cálculos'!$D$123)*'Cálculos'!$D$219)+('Cálculos'!$D$196+(($B$111)-$A88)*'Cálculos'!$D$98)*('Cálculos'!$D$210+'Cálculos'!$D$124*(1+2.78*('Cálculos'!$D$196+(($B$111)-$A88)*'Cálculos'!$D$98)/(('Cálculos'!$D$196+(($B$111)-$A88)*'Cálculos'!$D$98)+1400)+'Cálculos'!$D$122)*'Cálculos'!$D$215+'Cálculos'!$D$125*(1+2.78*('Cálculos'!$D$196+(($B$111)-$A88)*'Cálculos'!$D$98)/(('Cálculos'!$D$196+(($B$111)-$A88)*'Cálculos'!$D$98)+1400)+'Cálculos'!$D$123)*'Cálculos'!$D$220)+('Cálculos'!$D$201*(1+'Cálculos'!$D$202+$A88*('Cálculos'!$D$290=2)*'Cálculos'!$D$101)+'Cálculos'!$D$203)*('Cálculos'!$D$211+'Cálculos'!$D$124*(1+2.78*('Cálculos'!$D$196+(($B$111)-$A88)*'Cálculos'!$D$98)/(('Cálculos'!$D$196+(($B$111)-$A88)*'Cálculos'!$D$98)+1400)+'Cálculos'!$D$122)*'Cálculos'!$D$216+'Cálculos'!$D$125*(1+2.78*('Cálculos'!$D$196+(($B$111)-$A88)*'Cálculos'!$D$98)/(('Cálculos'!$D$196+(($B$111)-$A88)*'Cálculos'!$D$98)+1400)+'Cálculos'!$D$123)*'Cálculos'!$D$221)+('Cálculos'!$D$204*(1+'Cálculos'!$D$205+$A88*('Cálculos'!$D$290=3)*'Cálculos'!$D$103)+'Cálculos'!$D$206)*('Cálculos'!$D$212+'Cálculos'!$D$124*(1+2.78*('Cálculos'!$D$196+(($B$111)-$A88)*'Cálculos'!$D$98)/(('Cálculos'!$D$196+(($B$111)-$A88)*'Cálculos'!$D$98)+1400)+'Cálculos'!$D$122)*'Cálculos'!$D$217+'Cálculos'!$D$125*(1+2.78*('Cálculos'!$D$196+(($B$111)-$A88)*'Cálculos'!$D$98)/(('Cálculos'!$D$196+(($B$111)-$A88)*'Cálculos'!$D$98)+1400)+'Cálculos'!$D$123)*'Cálculos'!$D$222)+('Cálculos'!$D$213+'Cálculos'!$D$124*(1+2.78*('Cálculos'!$D$196+(($B$111)-$A88)*'Cálculos'!$D$98)/(('Cálculos'!$D$196+(($B$111)-$A88)*'Cálculos'!$D$98)+1400)+'Cálculos'!$D$122)*'Cálculos'!$D$218+'Cálculos'!$D$125*(1+2.78*('Cálculos'!$D$196+(($B$111)-$A88)*'Cálculos'!$D$98)/(('Cálculos'!$D$196+(($B$111)-$A88)*'Cálculos'!$D$98)+1400)+'Cálculos'!$D$123)*'Cálculos'!$D$223)+('Cálculos'!$D$185*(1+'Cálculos'!$D$187+$A88*('Cálculos'!$D$290=1)*'Cálculos'!$D$97+'Cálculos'!$D$305)+'Cálculos'!$D$192)*('Cálculos'!$D$224+'Cálculos'!$D$124*(1+2.78*('Cálculos'!$D$197+(($B$111)-$A88)*'Cálculos'!$D$98)/(('Cálculos'!$D$197+(($B$111)-$A88)*'Cálculos'!$D$98)+1400)+'Cálculos'!$D$122)*'Cálculos'!$D$229+'Cálculos'!$D$125*(1+2.78*('Cálculos'!$D$197+(($B$111)-$A88)*'Cálculos'!$D$98)/(('Cálculos'!$D$197+(($B$111)-$A88)*'Cálculos'!$D$98)+1400)+'Cálculos'!$D$123)*'Cálculos'!$D$234)+('Cálculos'!$D$197+(($B$111)-$A88)*'Cálculos'!$D$98)*('Cálculos'!$D$225+'Cálculos'!$D$124*(1+2.78*('Cálculos'!$D$197+(($B$111)-$A88)*'Cálculos'!$D$98)/(('Cálculos'!$D$197+(($B$111)-$A88)*'Cálculos'!$D$98)+1400)+'Cálculos'!$D$122)*'Cálculos'!$D$230+'Cálculos'!$D$125*(1+2.78*('Cálculos'!$D$197+(($B$111)-$A88)*'Cálculos'!$D$98)/(('Cálculos'!$D$197+(($B$111)-$A88)*'Cálculos'!$D$98)+1400)+'Cálculos'!$D$123)*'Cálculos'!$D$235)+('Cálculos'!$D$201*(1+'Cálculos'!$D$202+$A88*('Cálculos'!$D$290=2)*'Cálculos'!$D$101)+'Cálculos'!$D$203)*('Cálculos'!$D$226+'Cálculos'!$D$124*(1+2.78*('Cálculos'!$D$197+(($B$111)-$A88)*'Cálculos'!$D$98)/(('Cálculos'!$D$197+(($B$111)-$A88)*'Cálculos'!$D$98)+1400)+'Cálculos'!$D$122)*'Cálculos'!$D$231+'Cálculos'!$D$125*(1+2.78*('Cálculos'!$D$197+(($B$111)-$A88)*'Cálculos'!$D$98)/(('Cálculos'!$D$197+(($B$111)-$A88)*'Cálculos'!$D$98)+1400)+'Cálculos'!$D$123)*'Cálculos'!$D$236)+('Cálculos'!$D$204*(1+'Cálculos'!$D$205+$A88*('Cálculos'!$D$290=3)*'Cálculos'!$D$103)+'Cálculos'!$D$206)*('Cálculos'!$D$227+'Cálculos'!$D$124*(1+2.78*('Cálculos'!$D$197+(($B$111)-$A88)*'Cálculos'!$D$98)/(('Cálculos'!$D$197+(($B$111)-$A88)*'Cálculos'!$D$98)+1400)+'Cálculos'!$D$122)*'Cálculos'!$D$232+'Cálculos'!$D$125*(1+2.78*('Cálculos'!$D$197+(($B$111)-$A88)*'Cálculos'!$D$98)/(('Cálculos'!$D$197+(($B$111)-$A88)*'Cálculos'!$D$98)+1400)+'Cálculos'!$D$123)*'Cálculos'!$D$237)+('Cálculos'!$D$228+'Cálculos'!$D$124*(1+2.78*('Cálculos'!$D$197+(($B$111)-$A88)*'Cálculos'!$D$98)/(('Cálculos'!$D$197+(($B$111)-$A88)*'Cálculos'!$D$98)+1400)+'Cálculos'!$D$122)*'Cálculos'!$D$233+'Cálculos'!$D$125*(1+2.78*('Cálculos'!$D$197+(($B$111)-$A88)*'Cálculos'!$D$98)/(('Cálculos'!$D$197+(($B$111)-$A88)*'Cálculos'!$D$98)+1400)+'Cálculos'!$D$123)*'Cálculos'!$D$238)+('Cálculos'!$D$185*(1+'Cálculos'!$D$188+$A88*('Cálculos'!$D$290=1)*'Cálculos'!$D$97+'Cálculos'!$D$305)+'Cálculos'!$D$193)*('Cálculos'!$D$239+'Cálculos'!$D$124*(1+2.78*('Cálculos'!$D$198+(($B$111)-$A88)*'Cálculos'!$D$98)/(('Cálculos'!$D$198+(($B$111)-$A88)*'Cálculos'!$D$98)+1400)+'Cálculos'!$D$122)*'Cálculos'!$D$244+'Cálculos'!$D$125*(1+2.78*('Cálculos'!$D$198+(($B$111)-$A88)*'Cálculos'!$D$98)/(('Cálculos'!$D$198+(($B$111)-$A88)*'Cálculos'!$D$98)+1400)+'Cálculos'!$D$123)*'Cálculos'!$D$249)+('Cálculos'!$D$198+(($B$111)-$A88)*'Cálculos'!$D$98)*('Cálculos'!$D$240+'Cálculos'!$D$124*(1+2.78*('Cálculos'!$D$198+(($B$111)-$A88)*'Cálculos'!$D$98)/(('Cálculos'!$D$198+(($B$111)-$A88)*'Cálculos'!$D$98)+1400)+'Cálculos'!$D$122)*'Cálculos'!$D$245+'Cálculos'!$D$125*(1+2.78*('Cálculos'!$D$198+(($B$111)-$A88)*'Cálculos'!$D$98)/(('Cálculos'!$D$198+(($B$111)-$A88)*'Cálculos'!$D$98)+1400)+'Cálculos'!$D$123)*'Cálculos'!$D$250)+('Cálculos'!$D$201*(1+'Cálculos'!$D$202+$A88*('Cálculos'!$D$290=2)*'Cálculos'!$D$101)+'Cálculos'!$D$203)*('Cálculos'!$D$241+'Cálculos'!$D$124*(1+2.78*('Cálculos'!$D$198+(($B$111)-$A88)*'Cálculos'!$D$98)/(('Cálculos'!$D$198+(($B$111)-$A88)*'Cálculos'!$D$98)+1400)+'Cálculos'!$D$122)*'Cálculos'!$D$246+'Cálculos'!$D$125*(1+2.78*('Cálculos'!$D$198+(($B$111)-$A88)*'Cálculos'!$D$98)/(('Cálculos'!$D$198+(($B$111)-$A88)*'Cálculos'!$D$98)+1400)+'Cálculos'!$D$123)*'Cálculos'!$D$251)+('Cálculos'!$D$204*(1+'Cálculos'!$D$205+$A88*('Cálculos'!$D$290=3)*'Cálculos'!$D$103)+'Cálculos'!$D$206)*('Cálculos'!$D$242+'Cálculos'!$D$124*(1+2.78*('Cálculos'!$D$198+(($B$111)-$A88)*'Cálculos'!$D$98)/(('Cálculos'!$D$198+(($B$111)-$A88)*'Cálculos'!$D$98)+1400)+'Cálculos'!$D$122)*'Cálculos'!$D$247+'Cálculos'!$D$125*(1+2.78*('Cálculos'!$D$198+(($B$111)-$A88)*'Cálculos'!$D$98)/(('Cálculos'!$D$198+(($B$111)-$A88)*'Cálculos'!$D$98)+1400)+'Cálculos'!$D$123)*'Cálculos'!$D$252)+('Cálculos'!$D$243+'Cálculos'!$D$124*(1+2.78*('Cálculos'!$D$198+(($B$111)-$A88)*'Cálculos'!$D$98)/(('Cálculos'!$D$198+(($B$111)-$A88)*'Cálculos'!$D$98)+1400)+'Cálculos'!$D$122)*'Cálculos'!$D$248+'Cálculos'!$D$125*(1+2.78*('Cálculos'!$D$198+(($B$111)-$A88)*'Cálculos'!$D$98)/(('Cálculos'!$D$198+(($B$111)-$A88)*'Cálculos'!$D$98)+1400)+'Cálculos'!$D$123)*'Cálculos'!$D$253)+('Cálculos'!$D$185*(1+'Cálculos'!$D$189+$A88*('Cálculos'!$D$290=1)*'Cálculos'!$D$97+'Cálculos'!$D$305)+'Cálculos'!$D$194)*('Cálculos'!$D$254+'Cálculos'!$D$124*(1+2.78*('Cálculos'!$D$199+(($B$111)-$A88)*'Cálculos'!$D$98)/(('Cálculos'!$D$199+(($B$111)-$A88)*'Cálculos'!$D$98)+1400)+'Cálculos'!$D$122)*'Cálculos'!$D$259+'Cálculos'!$D$125*(1+2.78*('Cálculos'!$D$199+(($B$111)-$A88)*'Cálculos'!$D$98)/(('Cálculos'!$D$199+(($B$111)-$A88)*'Cálculos'!$D$98)+1400)+'Cálculos'!$D$123)*'Cálculos'!$D$264)+('Cálculos'!$D$199+(($B$111)-$A88)*'Cálculos'!$D$98)*('Cálculos'!$D$255+'Cálculos'!$D$124*(1+2.78*('Cálculos'!$D$199+(($B$111)-$A88)*'Cálculos'!$D$98)/(('Cálculos'!$D$199+(($B$111)-$A88)*'Cálculos'!$D$98)+1400)+'Cálculos'!$D$122)*'Cálculos'!$D$260+'Cálculos'!$D$125*(1+2.78*('Cálculos'!$D$199+(($B$111)-$A88)*'Cálculos'!$D$98)/(('Cálculos'!$D$199+(($B$111)-$A88)*'Cálculos'!$D$98)+1400)+'Cálculos'!$D$123)*'Cálculos'!$D$265)+('Cálculos'!$D$201*(1+'Cálculos'!$D$202+$A88*('Cálculos'!$D$290=2)*'Cálculos'!$D$101)+'Cálculos'!$D$203)*('Cálculos'!$D$256+'Cálculos'!$D$124*(1+2.78*('Cálculos'!$D$199+(($B$111)-$A88)*'Cálculos'!$D$98)/(('Cálculos'!$D$199+(($B$111)-$A88)*'Cálculos'!$D$98)+1400)+'Cálculos'!$D$122)*'Cálculos'!$D$261+'Cálculos'!$D$125*(1+2.78*('Cálculos'!$D$199+(($B$111)-$A88)*'Cálculos'!$D$98)/(('Cálculos'!$D$199+(($B$111)-$A88)*'Cálculos'!$D$98)+1400)+'Cálculos'!$D$123)*'Cálculos'!$D$266)+('Cálculos'!$D$204*(1+'Cálculos'!$D$205+$A88*('Cálculos'!$D$290=3)*'Cálculos'!$D$103)+'Cálculos'!$D$206)*('Cálculos'!$D$257+'Cálculos'!$D$124*(1+2.78*('Cálculos'!$D$199+(($B$111)-$A88)*'Cálculos'!$D$98)/(('Cálculos'!$D$199+(($B$111)-$A88)*'Cálculos'!$D$98)+1400)+'Cálculos'!$D$122)*'Cálculos'!$D$262+'Cálculos'!$D$125*(1+2.78*('Cálculos'!$D$199+(($B$111)-$A88)*'Cálculos'!$D$98)/(('Cálculos'!$D$199+(($B$111)-$A88)*'Cálculos'!$D$98)+1400)+'Cálculos'!$D$123)*'Cálculos'!$D$267)+('Cálculos'!$D$258+'Cálculos'!$D$124*(1+2.78*('Cálculos'!$D$199+(($B$111)-$A88)*'Cálculos'!$D$98)/(('Cálculos'!$D$199+(($B$111)-$A88)*'Cálculos'!$D$98)+1400)+'Cálculos'!$D$122)*'Cálculos'!$D$263+'Cálculos'!$D$125*(1+2.78*('Cálculos'!$D$199+(($B$111)-$A88)*'Cálculos'!$D$98)/(('Cálculos'!$D$199+(($B$111)-$A88)*'Cálculos'!$D$98)+1400)+'Cálculos'!$D$123)*'Cálculos'!$D$268)+('Cálculos'!$D$185*(1+'Cálculos'!$D$190+$A88*('Cálculos'!$D$290=1)*'Cálculos'!$D$97+'Cálculos'!$D$305)+'Cálculos'!$D$195)*('Cálculos'!$D$269+'Cálculos'!$D$124*(1+2.78*('Cálculos'!$D$200+(($B$111)-$A88)*'Cálculos'!$D$98)/(('Cálculos'!$D$200+(($B$111)-$A88)*'Cálculos'!$D$98)+1400)+'Cálculos'!$D$122)*'Cálculos'!$D$274+'Cálculos'!$D$125*(1+2.78*('Cálculos'!$D$200+(($B$111)-$A88)*'Cálculos'!$D$98)/(('Cálculos'!$D$200+(($B$111)-$A88)*'Cálculos'!$D$98)+1400)+'Cálculos'!$D$123)*'Cálculos'!$D$279)+('Cálculos'!$D$200+(($B$111)-$A88)*'Cálculos'!$D$98)*('Cálculos'!$D$270+'Cálculos'!$D$124*(1+2.78*('Cálculos'!$D$200+(($B$111)-$A88)*'Cálculos'!$D$98)/(('Cálculos'!$D$200+(($B$111)-$A88)*'Cálculos'!$D$98)+1400)+'Cálculos'!$D$122)*'Cálculos'!$D$275+'Cálculos'!$D$125*(1+2.78*('Cálculos'!$D$200+(($B$111)-$A88)*'Cálculos'!$D$98)/(('Cálculos'!$D$200+(($B$111)-$A88)*'Cálculos'!$D$98)+1400)+'Cálculos'!$D$123)*'Cálculos'!$D$280)+('Cálculos'!$D$201*(1+'Cálculos'!$D$202+$A88*('Cálculos'!$D$290=2)*'Cálculos'!$D$101)+'Cálculos'!$D$203)*('Cálculos'!$D$271+'Cálculos'!$D$124*(1+2.78*('Cálculos'!$D$200+(($B$111)-$A88)*'Cálculos'!$D$98)/(('Cálculos'!$D$200+(($B$111)-$A88)*'Cálculos'!$D$98)+1400)+'Cálculos'!$D$122)*'Cálculos'!$D$276+'Cálculos'!$D$125*(1+2.78*('Cálculos'!$D$200+(($B$111)-$A88)*'Cálculos'!$D$98)/(('Cálculos'!$D$200+(($B$111)-$A88)*'Cálculos'!$D$98)+1400)+'Cálculos'!$D$123)*'Cálculos'!$D$281)+('Cálculos'!$D$204*(1+'Cálculos'!$D$205+$A88*('Cálculos'!$D$290=3)*'Cálculos'!$D$103)+'Cálculos'!$D$206)*('Cálculos'!$D$272+'Cálculos'!$D$124*(1+2.78*('Cálculos'!$D$200+(($B$111)-$A88)*'Cálculos'!$D$98)/(('Cálculos'!$D$200+(($B$111)-$A88)*'Cálculos'!$D$98)+1400)+'Cálculos'!$D$122)*'Cálculos'!$D$277+'Cálculos'!$D$125*(1+2.78*('Cálculos'!$D$200+(($B$111)-$A88)*'Cálculos'!$D$98)/(('Cálculos'!$D$200+(($B$111)-$A88)*'Cálculos'!$D$98)+1400)+'Cálculos'!$D$123)*'Cálculos'!$D$282)+('Cálculos'!$D$273+'Cálculos'!$D$124*(1+2.78*('Cálculos'!$D$200+(($B$111)-$A88)*'Cálculos'!$D$98)/(('Cálculos'!$D$200+(($B$111)-$A88)*'Cálculos'!$D$98)+1400)+'Cálculos'!$D$122)*'Cálculos'!$D$278+'Cálculos'!$D$125*(1+2.78*('Cálculos'!$D$200+(($B$111)-$A88)*'Cálculos'!$D$98)/(('Cálculos'!$D$200+(($B$111)-$A88)*'Cálculos'!$D$98)+1400)+'Cálculos'!$D$123)*'Cálculos'!$D$283)))</f>
        <v>0</v>
      </c>
    </row>
    <row r="89" ht="15.75" customHeight="1">
      <c r="A89" s="2">
        <v>26.0</v>
      </c>
      <c r="B89" s="30">
        <f>SUMPRODUCT(MAX(($A$63:$A$108&lt;=$A89)*($A$63:$A$108&lt;='Cálculos'!$D$294)*(($A89)-$A$63:$A$108&lt;='Cálculos'!$D$295)*(1+(('Cálculos'!$D$207+$A$63:$A$108*'Cálculos'!$D$95)-(('Cálculos'!$D$207+$A$63:$A$108*'Cálculos'!$D$95)&gt;1)*(('Cálculos'!$D$207+$A$63:$A$108*'Cálculos'!$D$95)-1))*('Cálculos'!$D$208+(($A89)-$A$63:$A$108)*'Cálculos'!$D$96))))</f>
        <v>1.941942418</v>
      </c>
      <c r="C89" s="2">
        <f>'Cálculos'!$D$303-$A89</f>
        <v>-15</v>
      </c>
      <c r="D89" s="31">
        <f>IF($C89&lt;0,0,SUMPRODUCT(MAX(($A$63:$A$108&lt;=$C89)*($A$63:$A$108&lt;='Cálculos'!$D$301)*(($C89)-$A$63:$A$108&lt;='Cálculos'!$D$297)*(('Cálculos'!$D$185*(1+'Cálculos'!$D$186+$A$63:$A$108*('Cálculos'!$D$290=1)*'Cálculos'!$D$97+'Cálculos'!$D$305)+'Cálculos'!$D$191)*('Cálculos'!$D$209+'Cálculos'!$D$124*(1+2.78*('Cálculos'!$D$196+(($C89)-$A$63:$A$108)*'Cálculos'!$D$98)/(('Cálculos'!$D$196+(($C89)-$A$63:$A$108)*'Cálculos'!$D$98)+1400)+'Cálculos'!$D$122)*'Cálculos'!$D$214+'Cálculos'!$D$125*(1+2.78*('Cálculos'!$D$196+(($C89)-$A$63:$A$108)*'Cálculos'!$D$98)/(('Cálculos'!$D$196+(($C89)-$A$63:$A$108)*'Cálculos'!$D$98)+1400)+'Cálculos'!$D$123)*'Cálculos'!$D$219)+('Cálculos'!$D$196+(($C89)-$A$63:$A$108)*'Cálculos'!$D$98)*('Cálculos'!$D$210+'Cálculos'!$D$124*(1+2.78*('Cálculos'!$D$196+(($C89)-$A$63:$A$108)*'Cálculos'!$D$98)/(('Cálculos'!$D$196+(($C89)-$A$63:$A$108)*'Cálculos'!$D$98)+1400)+'Cálculos'!$D$122)*'Cálculos'!$D$215+'Cálculos'!$D$125*(1+2.78*('Cálculos'!$D$196+(($C89)-$A$63:$A$108)*'Cálculos'!$D$98)/(('Cálculos'!$D$196+(($C89)-$A$63:$A$108)*'Cálculos'!$D$98)+1400)+'Cálculos'!$D$123)*'Cálculos'!$D$220)+('Cálculos'!$D$201*(1+'Cálculos'!$D$202+$A$63:$A$108*('Cálculos'!$D$290=2)*'Cálculos'!$D$101)+'Cálculos'!$D$203)*('Cálculos'!$D$211+'Cálculos'!$D$124*(1+2.78*('Cálculos'!$D$196+(($C89)-$A$63:$A$108)*'Cálculos'!$D$98)/(('Cálculos'!$D$196+(($C89)-$A$63:$A$108)*'Cálculos'!$D$98)+1400)+'Cálculos'!$D$122)*'Cálculos'!$D$216+'Cálculos'!$D$125*(1+2.78*('Cálculos'!$D$196+(($C89)-$A$63:$A$108)*'Cálculos'!$D$98)/(('Cálculos'!$D$196+(($C89)-$A$63:$A$108)*'Cálculos'!$D$98)+1400)+'Cálculos'!$D$123)*'Cálculos'!$D$221)+('Cálculos'!$D$204*(1+'Cálculos'!$D$205+$A$63:$A$108*('Cálculos'!$D$290=3)*'Cálculos'!$D$103)+'Cálculos'!$D$206)*('Cálculos'!$D$212+'Cálculos'!$D$124*(1+2.78*('Cálculos'!$D$196+(($C89)-$A$63:$A$108)*'Cálculos'!$D$98)/(('Cálculos'!$D$196+(($C89)-$A$63:$A$108)*'Cálculos'!$D$98)+1400)+'Cálculos'!$D$122)*'Cálculos'!$D$217+'Cálculos'!$D$125*(1+2.78*('Cálculos'!$D$196+(($C89)-$A$63:$A$108)*'Cálculos'!$D$98)/(('Cálculos'!$D$196+(($C89)-$A$63:$A$108)*'Cálculos'!$D$98)+1400)+'Cálculos'!$D$123)*'Cálculos'!$D$222)+('Cálculos'!$D$213+'Cálculos'!$D$124*(1+2.78*('Cálculos'!$D$196+(($C89)-$A$63:$A$108)*'Cálculos'!$D$98)/(('Cálculos'!$D$196+(($C89)-$A$63:$A$108)*'Cálculos'!$D$98)+1400)+'Cálculos'!$D$122)*'Cálculos'!$D$218+'Cálculos'!$D$125*(1+2.78*('Cálculos'!$D$196+(($C89)-$A$63:$A$108)*'Cálculos'!$D$98)/(('Cálculos'!$D$196+(($C89)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89)-$A$63:$A$108)*'Cálculos'!$D$98)/(('Cálculos'!$D$197+(($C89)-$A$63:$A$108)*'Cálculos'!$D$98)+1400)+'Cálculos'!$D$122)*'Cálculos'!$D$229+'Cálculos'!$D$125*(1+2.78*('Cálculos'!$D$197+(($C89)-$A$63:$A$108)*'Cálculos'!$D$98)/(('Cálculos'!$D$197+(($C89)-$A$63:$A$108)*'Cálculos'!$D$98)+1400)+'Cálculos'!$D$123)*'Cálculos'!$D$234)+('Cálculos'!$D$197+(($C89)-$A$63:$A$108)*'Cálculos'!$D$98)*('Cálculos'!$D$225+'Cálculos'!$D$124*(1+2.78*('Cálculos'!$D$197+(($C89)-$A$63:$A$108)*'Cálculos'!$D$98)/(('Cálculos'!$D$197+(($C89)-$A$63:$A$108)*'Cálculos'!$D$98)+1400)+'Cálculos'!$D$122)*'Cálculos'!$D$230+'Cálculos'!$D$125*(1+2.78*('Cálculos'!$D$197+(($C89)-$A$63:$A$108)*'Cálculos'!$D$98)/(('Cálculos'!$D$197+(($C89)-$A$63:$A$108)*'Cálculos'!$D$98)+1400)+'Cálculos'!$D$123)*'Cálculos'!$D$235)+('Cálculos'!$D$201*(1+'Cálculos'!$D$202+$A$63:$A$108*('Cálculos'!$D$290=2)*'Cálculos'!$D$101)+'Cálculos'!$D$203)*('Cálculos'!$D$226+'Cálculos'!$D$124*(1+2.78*('Cálculos'!$D$197+(($C89)-$A$63:$A$108)*'Cálculos'!$D$98)/(('Cálculos'!$D$197+(($C89)-$A$63:$A$108)*'Cálculos'!$D$98)+1400)+'Cálculos'!$D$122)*'Cálculos'!$D$231+'Cálculos'!$D$125*(1+2.78*('Cálculos'!$D$197+(($C89)-$A$63:$A$108)*'Cálculos'!$D$98)/(('Cálculos'!$D$197+(($C89)-$A$63:$A$108)*'Cálculos'!$D$98)+1400)+'Cálculos'!$D$123)*'Cálculos'!$D$236)+('Cálculos'!$D$204*(1+'Cálculos'!$D$205+$A$63:$A$108*('Cálculos'!$D$290=3)*'Cálculos'!$D$103)+'Cálculos'!$D$206)*('Cálculos'!$D$227+'Cálculos'!$D$124*(1+2.78*('Cálculos'!$D$197+(($C89)-$A$63:$A$108)*'Cálculos'!$D$98)/(('Cálculos'!$D$197+(($C89)-$A$63:$A$108)*'Cálculos'!$D$98)+1400)+'Cálculos'!$D$122)*'Cálculos'!$D$232+'Cálculos'!$D$125*(1+2.78*('Cálculos'!$D$197+(($C89)-$A$63:$A$108)*'Cálculos'!$D$98)/(('Cálculos'!$D$197+(($C89)-$A$63:$A$108)*'Cálculos'!$D$98)+1400)+'Cálculos'!$D$123)*'Cálculos'!$D$237)+('Cálculos'!$D$228+'Cálculos'!$D$124*(1+2.78*('Cálculos'!$D$197+(($C89)-$A$63:$A$108)*'Cálculos'!$D$98)/(('Cálculos'!$D$197+(($C89)-$A$63:$A$108)*'Cálculos'!$D$98)+1400)+'Cálculos'!$D$122)*'Cálculos'!$D$233+'Cálculos'!$D$125*(1+2.78*('Cálculos'!$D$197+(($C89)-$A$63:$A$108)*'Cálculos'!$D$98)/(('Cálculos'!$D$197+(($C89)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89)-$A$63:$A$108)*'Cálculos'!$D$98)/(('Cálculos'!$D$198+(($C89)-$A$63:$A$108)*'Cálculos'!$D$98)+1400)+'Cálculos'!$D$122)*'Cálculos'!$D$244+'Cálculos'!$D$125*(1+2.78*('Cálculos'!$D$198+(($C89)-$A$63:$A$108)*'Cálculos'!$D$98)/(('Cálculos'!$D$198+(($C89)-$A$63:$A$108)*'Cálculos'!$D$98)+1400)+'Cálculos'!$D$123)*'Cálculos'!$D$249)+('Cálculos'!$D$198+(($C89)-$A$63:$A$108)*'Cálculos'!$D$98)*('Cálculos'!$D$240+'Cálculos'!$D$124*(1+2.78*('Cálculos'!$D$198+(($C89)-$A$63:$A$108)*'Cálculos'!$D$98)/(('Cálculos'!$D$198+(($C89)-$A$63:$A$108)*'Cálculos'!$D$98)+1400)+'Cálculos'!$D$122)*'Cálculos'!$D$245+'Cálculos'!$D$125*(1+2.78*('Cálculos'!$D$198+(($C89)-$A$63:$A$108)*'Cálculos'!$D$98)/(('Cálculos'!$D$198+(($C89)-$A$63:$A$108)*'Cálculos'!$D$98)+1400)+'Cálculos'!$D$123)*'Cálculos'!$D$250)+('Cálculos'!$D$201*(1+'Cálculos'!$D$202+$A$63:$A$108*('Cálculos'!$D$290=2)*'Cálculos'!$D$101)+'Cálculos'!$D$203)*('Cálculos'!$D$241+'Cálculos'!$D$124*(1+2.78*('Cálculos'!$D$198+(($C89)-$A$63:$A$108)*'Cálculos'!$D$98)/(('Cálculos'!$D$198+(($C89)-$A$63:$A$108)*'Cálculos'!$D$98)+1400)+'Cálculos'!$D$122)*'Cálculos'!$D$246+'Cálculos'!$D$125*(1+2.78*('Cálculos'!$D$198+(($C89)-$A$63:$A$108)*'Cálculos'!$D$98)/(('Cálculos'!$D$198+(($C89)-$A$63:$A$108)*'Cálculos'!$D$98)+1400)+'Cálculos'!$D$123)*'Cálculos'!$D$251)+('Cálculos'!$D$204*(1+'Cálculos'!$D$205+$A$63:$A$108*('Cálculos'!$D$290=3)*'Cálculos'!$D$103)+'Cálculos'!$D$206)*('Cálculos'!$D$242+'Cálculos'!$D$124*(1+2.78*('Cálculos'!$D$198+(($C89)-$A$63:$A$108)*'Cálculos'!$D$98)/(('Cálculos'!$D$198+(($C89)-$A$63:$A$108)*'Cálculos'!$D$98)+1400)+'Cálculos'!$D$122)*'Cálculos'!$D$247+'Cálculos'!$D$125*(1+2.78*('Cálculos'!$D$198+(($C89)-$A$63:$A$108)*'Cálculos'!$D$98)/(('Cálculos'!$D$198+(($C89)-$A$63:$A$108)*'Cálculos'!$D$98)+1400)+'Cálculos'!$D$123)*'Cálculos'!$D$252)+('Cálculos'!$D$243+'Cálculos'!$D$124*(1+2.78*('Cálculos'!$D$198+(($C89)-$A$63:$A$108)*'Cálculos'!$D$98)/(('Cálculos'!$D$198+(($C89)-$A$63:$A$108)*'Cálculos'!$D$98)+1400)+'Cálculos'!$D$122)*'Cálculos'!$D$248+'Cálculos'!$D$125*(1+2.78*('Cálculos'!$D$198+(($C89)-$A$63:$A$108)*'Cálculos'!$D$98)/(('Cálculos'!$D$198+(($C89)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89)-$A$63:$A$108)*'Cálculos'!$D$98)/(('Cálculos'!$D$199+(($C89)-$A$63:$A$108)*'Cálculos'!$D$98)+1400)+'Cálculos'!$D$122)*'Cálculos'!$D$259+'Cálculos'!$D$125*(1+2.78*('Cálculos'!$D$199+(($C89)-$A$63:$A$108)*'Cálculos'!$D$98)/(('Cálculos'!$D$199+(($C89)-$A$63:$A$108)*'Cálculos'!$D$98)+1400)+'Cálculos'!$D$123)*'Cálculos'!$D$264)+('Cálculos'!$D$199+(($C89)-$A$63:$A$108)*'Cálculos'!$D$98)*('Cálculos'!$D$255+'Cálculos'!$D$124*(1+2.78*('Cálculos'!$D$199+(($C89)-$A$63:$A$108)*'Cálculos'!$D$98)/(('Cálculos'!$D$199+(($C89)-$A$63:$A$108)*'Cálculos'!$D$98)+1400)+'Cálculos'!$D$122)*'Cálculos'!$D$260+'Cálculos'!$D$125*(1+2.78*('Cálculos'!$D$199+(($C89)-$A$63:$A$108)*'Cálculos'!$D$98)/(('Cálculos'!$D$199+(($C89)-$A$63:$A$108)*'Cálculos'!$D$98)+1400)+'Cálculos'!$D$123)*'Cálculos'!$D$265)+('Cálculos'!$D$201*(1+'Cálculos'!$D$202+$A$63:$A$108*('Cálculos'!$D$290=2)*'Cálculos'!$D$101)+'Cálculos'!$D$203)*('Cálculos'!$D$256+'Cálculos'!$D$124*(1+2.78*('Cálculos'!$D$199+(($C89)-$A$63:$A$108)*'Cálculos'!$D$98)/(('Cálculos'!$D$199+(($C89)-$A$63:$A$108)*'Cálculos'!$D$98)+1400)+'Cálculos'!$D$122)*'Cálculos'!$D$261+'Cálculos'!$D$125*(1+2.78*('Cálculos'!$D$199+(($C89)-$A$63:$A$108)*'Cálculos'!$D$98)/(('Cálculos'!$D$199+(($C89)-$A$63:$A$108)*'Cálculos'!$D$98)+1400)+'Cálculos'!$D$123)*'Cálculos'!$D$266)+('Cálculos'!$D$204*(1+'Cálculos'!$D$205+$A$63:$A$108*('Cálculos'!$D$290=3)*'Cálculos'!$D$103)+'Cálculos'!$D$206)*('Cálculos'!$D$257+'Cálculos'!$D$124*(1+2.78*('Cálculos'!$D$199+(($C89)-$A$63:$A$108)*'Cálculos'!$D$98)/(('Cálculos'!$D$199+(($C89)-$A$63:$A$108)*'Cálculos'!$D$98)+1400)+'Cálculos'!$D$122)*'Cálculos'!$D$262+'Cálculos'!$D$125*(1+2.78*('Cálculos'!$D$199+(($C89)-$A$63:$A$108)*'Cálculos'!$D$98)/(('Cálculos'!$D$199+(($C89)-$A$63:$A$108)*'Cálculos'!$D$98)+1400)+'Cálculos'!$D$123)*'Cálculos'!$D$267)+('Cálculos'!$D$258+'Cálculos'!$D$124*(1+2.78*('Cálculos'!$D$199+(($C89)-$A$63:$A$108)*'Cálculos'!$D$98)/(('Cálculos'!$D$199+(($C89)-$A$63:$A$108)*'Cálculos'!$D$98)+1400)+'Cálculos'!$D$122)*'Cálculos'!$D$263+'Cálculos'!$D$125*(1+2.78*('Cálculos'!$D$199+(($C89)-$A$63:$A$108)*'Cálculos'!$D$98)/(('Cálculos'!$D$199+(($C89)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89)-$A$63:$A$108)*'Cálculos'!$D$98)/(('Cálculos'!$D$200+(($C89)-$A$63:$A$108)*'Cálculos'!$D$98)+1400)+'Cálculos'!$D$122)*'Cálculos'!$D$274+'Cálculos'!$D$125*(1+2.78*('Cálculos'!$D$200+(($C89)-$A$63:$A$108)*'Cálculos'!$D$98)/(('Cálculos'!$D$200+(($C89)-$A$63:$A$108)*'Cálculos'!$D$98)+1400)+'Cálculos'!$D$123)*'Cálculos'!$D$279)+('Cálculos'!$D$200+(($C89)-$A$63:$A$108)*'Cálculos'!$D$98)*('Cálculos'!$D$270+'Cálculos'!$D$124*(1+2.78*('Cálculos'!$D$200+(($C89)-$A$63:$A$108)*'Cálculos'!$D$98)/(('Cálculos'!$D$200+(($C89)-$A$63:$A$108)*'Cálculos'!$D$98)+1400)+'Cálculos'!$D$122)*'Cálculos'!$D$275+'Cálculos'!$D$125*(1+2.78*('Cálculos'!$D$200+(($C89)-$A$63:$A$108)*'Cálculos'!$D$98)/(('Cálculos'!$D$200+(($C89)-$A$63:$A$108)*'Cálculos'!$D$98)+1400)+'Cálculos'!$D$123)*'Cálculos'!$D$280)+('Cálculos'!$D$201*(1+'Cálculos'!$D$202+$A$63:$A$108*('Cálculos'!$D$290=2)*'Cálculos'!$D$101)+'Cálculos'!$D$203)*('Cálculos'!$D$271+'Cálculos'!$D$124*(1+2.78*('Cálculos'!$D$200+(($C89)-$A$63:$A$108)*'Cálculos'!$D$98)/(('Cálculos'!$D$200+(($C89)-$A$63:$A$108)*'Cálculos'!$D$98)+1400)+'Cálculos'!$D$122)*'Cálculos'!$D$276+'Cálculos'!$D$125*(1+2.78*('Cálculos'!$D$200+(($C89)-$A$63:$A$108)*'Cálculos'!$D$98)/(('Cálculos'!$D$200+(($C89)-$A$63:$A$108)*'Cálculos'!$D$98)+1400)+'Cálculos'!$D$123)*'Cálculos'!$D$281)+('Cálculos'!$D$204*(1+'Cálculos'!$D$205+$A$63:$A$108*('Cálculos'!$D$290=3)*'Cálculos'!$D$103)+'Cálculos'!$D$206)*('Cálculos'!$D$272+'Cálculos'!$D$124*(1+2.78*('Cálculos'!$D$200+(($C89)-$A$63:$A$108)*'Cálculos'!$D$98)/(('Cálculos'!$D$200+(($C89)-$A$63:$A$108)*'Cálculos'!$D$98)+1400)+'Cálculos'!$D$122)*'Cálculos'!$D$277+'Cálculos'!$D$125*(1+2.78*('Cálculos'!$D$200+(($C89)-$A$63:$A$108)*'Cálculos'!$D$98)/(('Cálculos'!$D$200+(($C89)-$A$63:$A$108)*'Cálculos'!$D$98)+1400)+'Cálculos'!$D$123)*'Cálculos'!$D$282)+('Cálculos'!$D$273+'Cálculos'!$D$124*(1+2.78*('Cálculos'!$D$200+(($C89)-$A$63:$A$108)*'Cálculos'!$D$98)/(('Cálculos'!$D$200+(($C89)-$A$63:$A$108)*'Cálculos'!$D$98)+1400)+'Cálculos'!$D$122)*'Cálculos'!$D$278+'Cálculos'!$D$125*(1+2.78*('Cálculos'!$D$200+(($C89)-$A$63:$A$108)*'Cálculos'!$D$98)/(('Cálculos'!$D$200+(($C89)-$A$63:$A$108)*'Cálculos'!$D$98)+1400)+'Cálculos'!$D$123)*'Cálculos'!$D$283)))))</f>
        <v>0</v>
      </c>
      <c r="E89" s="32">
        <f>IF(OR($C89&lt;0,'Cálculos'!$D$6=""),0,$B89*$D89)</f>
        <v>0</v>
      </c>
      <c r="F89" s="2"/>
      <c r="G89" s="30">
        <f>($A89&lt;=$B$110)*($A89&lt;='Cálculos'!$D$294)*(($B$110)-$A89&lt;='Cálculos'!$D$295)*(1+MIN(('Cálculos'!$D$207+$A89*'Cálculos'!$D$95),1)*('Cálculos'!$D$208+(($B$110)-$A89)*'Cálculos'!$D$96))</f>
        <v>0</v>
      </c>
      <c r="H89" s="31">
        <f>IF($B$111&lt;0,0,($A89&lt;=$B$111)*($A89&lt;='Cálculos'!$D$301)*(($B$111)-$A89&lt;='Cálculos'!$D$297)*(('Cálculos'!$D$185*(1+'Cálculos'!$D$186+$A89*('Cálculos'!$D$290=1)*'Cálculos'!$D$97+'Cálculos'!$D$305)+'Cálculos'!$D$191)*('Cálculos'!$D$209+'Cálculos'!$D$124*(1+2.78*('Cálculos'!$D$196+(($B$111)-$A89)*'Cálculos'!$D$98)/(('Cálculos'!$D$196+(($B$111)-$A89)*'Cálculos'!$D$98)+1400)+'Cálculos'!$D$122)*'Cálculos'!$D$214+'Cálculos'!$D$125*(1+2.78*('Cálculos'!$D$196+(($B$111)-$A89)*'Cálculos'!$D$98)/(('Cálculos'!$D$196+(($B$111)-$A89)*'Cálculos'!$D$98)+1400)+'Cálculos'!$D$123)*'Cálculos'!$D$219)+('Cálculos'!$D$196+(($B$111)-$A89)*'Cálculos'!$D$98)*('Cálculos'!$D$210+'Cálculos'!$D$124*(1+2.78*('Cálculos'!$D$196+(($B$111)-$A89)*'Cálculos'!$D$98)/(('Cálculos'!$D$196+(($B$111)-$A89)*'Cálculos'!$D$98)+1400)+'Cálculos'!$D$122)*'Cálculos'!$D$215+'Cálculos'!$D$125*(1+2.78*('Cálculos'!$D$196+(($B$111)-$A89)*'Cálculos'!$D$98)/(('Cálculos'!$D$196+(($B$111)-$A89)*'Cálculos'!$D$98)+1400)+'Cálculos'!$D$123)*'Cálculos'!$D$220)+('Cálculos'!$D$201*(1+'Cálculos'!$D$202+$A89*('Cálculos'!$D$290=2)*'Cálculos'!$D$101)+'Cálculos'!$D$203)*('Cálculos'!$D$211+'Cálculos'!$D$124*(1+2.78*('Cálculos'!$D$196+(($B$111)-$A89)*'Cálculos'!$D$98)/(('Cálculos'!$D$196+(($B$111)-$A89)*'Cálculos'!$D$98)+1400)+'Cálculos'!$D$122)*'Cálculos'!$D$216+'Cálculos'!$D$125*(1+2.78*('Cálculos'!$D$196+(($B$111)-$A89)*'Cálculos'!$D$98)/(('Cálculos'!$D$196+(($B$111)-$A89)*'Cálculos'!$D$98)+1400)+'Cálculos'!$D$123)*'Cálculos'!$D$221)+('Cálculos'!$D$204*(1+'Cálculos'!$D$205+$A89*('Cálculos'!$D$290=3)*'Cálculos'!$D$103)+'Cálculos'!$D$206)*('Cálculos'!$D$212+'Cálculos'!$D$124*(1+2.78*('Cálculos'!$D$196+(($B$111)-$A89)*'Cálculos'!$D$98)/(('Cálculos'!$D$196+(($B$111)-$A89)*'Cálculos'!$D$98)+1400)+'Cálculos'!$D$122)*'Cálculos'!$D$217+'Cálculos'!$D$125*(1+2.78*('Cálculos'!$D$196+(($B$111)-$A89)*'Cálculos'!$D$98)/(('Cálculos'!$D$196+(($B$111)-$A89)*'Cálculos'!$D$98)+1400)+'Cálculos'!$D$123)*'Cálculos'!$D$222)+('Cálculos'!$D$213+'Cálculos'!$D$124*(1+2.78*('Cálculos'!$D$196+(($B$111)-$A89)*'Cálculos'!$D$98)/(('Cálculos'!$D$196+(($B$111)-$A89)*'Cálculos'!$D$98)+1400)+'Cálculos'!$D$122)*'Cálculos'!$D$218+'Cálculos'!$D$125*(1+2.78*('Cálculos'!$D$196+(($B$111)-$A89)*'Cálculos'!$D$98)/(('Cálculos'!$D$196+(($B$111)-$A89)*'Cálculos'!$D$98)+1400)+'Cálculos'!$D$123)*'Cálculos'!$D$223)+('Cálculos'!$D$185*(1+'Cálculos'!$D$187+$A89*('Cálculos'!$D$290=1)*'Cálculos'!$D$97+'Cálculos'!$D$305)+'Cálculos'!$D$192)*('Cálculos'!$D$224+'Cálculos'!$D$124*(1+2.78*('Cálculos'!$D$197+(($B$111)-$A89)*'Cálculos'!$D$98)/(('Cálculos'!$D$197+(($B$111)-$A89)*'Cálculos'!$D$98)+1400)+'Cálculos'!$D$122)*'Cálculos'!$D$229+'Cálculos'!$D$125*(1+2.78*('Cálculos'!$D$197+(($B$111)-$A89)*'Cálculos'!$D$98)/(('Cálculos'!$D$197+(($B$111)-$A89)*'Cálculos'!$D$98)+1400)+'Cálculos'!$D$123)*'Cálculos'!$D$234)+('Cálculos'!$D$197+(($B$111)-$A89)*'Cálculos'!$D$98)*('Cálculos'!$D$225+'Cálculos'!$D$124*(1+2.78*('Cálculos'!$D$197+(($B$111)-$A89)*'Cálculos'!$D$98)/(('Cálculos'!$D$197+(($B$111)-$A89)*'Cálculos'!$D$98)+1400)+'Cálculos'!$D$122)*'Cálculos'!$D$230+'Cálculos'!$D$125*(1+2.78*('Cálculos'!$D$197+(($B$111)-$A89)*'Cálculos'!$D$98)/(('Cálculos'!$D$197+(($B$111)-$A89)*'Cálculos'!$D$98)+1400)+'Cálculos'!$D$123)*'Cálculos'!$D$235)+('Cálculos'!$D$201*(1+'Cálculos'!$D$202+$A89*('Cálculos'!$D$290=2)*'Cálculos'!$D$101)+'Cálculos'!$D$203)*('Cálculos'!$D$226+'Cálculos'!$D$124*(1+2.78*('Cálculos'!$D$197+(($B$111)-$A89)*'Cálculos'!$D$98)/(('Cálculos'!$D$197+(($B$111)-$A89)*'Cálculos'!$D$98)+1400)+'Cálculos'!$D$122)*'Cálculos'!$D$231+'Cálculos'!$D$125*(1+2.78*('Cálculos'!$D$197+(($B$111)-$A89)*'Cálculos'!$D$98)/(('Cálculos'!$D$197+(($B$111)-$A89)*'Cálculos'!$D$98)+1400)+'Cálculos'!$D$123)*'Cálculos'!$D$236)+('Cálculos'!$D$204*(1+'Cálculos'!$D$205+$A89*('Cálculos'!$D$290=3)*'Cálculos'!$D$103)+'Cálculos'!$D$206)*('Cálculos'!$D$227+'Cálculos'!$D$124*(1+2.78*('Cálculos'!$D$197+(($B$111)-$A89)*'Cálculos'!$D$98)/(('Cálculos'!$D$197+(($B$111)-$A89)*'Cálculos'!$D$98)+1400)+'Cálculos'!$D$122)*'Cálculos'!$D$232+'Cálculos'!$D$125*(1+2.78*('Cálculos'!$D$197+(($B$111)-$A89)*'Cálculos'!$D$98)/(('Cálculos'!$D$197+(($B$111)-$A89)*'Cálculos'!$D$98)+1400)+'Cálculos'!$D$123)*'Cálculos'!$D$237)+('Cálculos'!$D$228+'Cálculos'!$D$124*(1+2.78*('Cálculos'!$D$197+(($B$111)-$A89)*'Cálculos'!$D$98)/(('Cálculos'!$D$197+(($B$111)-$A89)*'Cálculos'!$D$98)+1400)+'Cálculos'!$D$122)*'Cálculos'!$D$233+'Cálculos'!$D$125*(1+2.78*('Cálculos'!$D$197+(($B$111)-$A89)*'Cálculos'!$D$98)/(('Cálculos'!$D$197+(($B$111)-$A89)*'Cálculos'!$D$98)+1400)+'Cálculos'!$D$123)*'Cálculos'!$D$238)+('Cálculos'!$D$185*(1+'Cálculos'!$D$188+$A89*('Cálculos'!$D$290=1)*'Cálculos'!$D$97+'Cálculos'!$D$305)+'Cálculos'!$D$193)*('Cálculos'!$D$239+'Cálculos'!$D$124*(1+2.78*('Cálculos'!$D$198+(($B$111)-$A89)*'Cálculos'!$D$98)/(('Cálculos'!$D$198+(($B$111)-$A89)*'Cálculos'!$D$98)+1400)+'Cálculos'!$D$122)*'Cálculos'!$D$244+'Cálculos'!$D$125*(1+2.78*('Cálculos'!$D$198+(($B$111)-$A89)*'Cálculos'!$D$98)/(('Cálculos'!$D$198+(($B$111)-$A89)*'Cálculos'!$D$98)+1400)+'Cálculos'!$D$123)*'Cálculos'!$D$249)+('Cálculos'!$D$198+(($B$111)-$A89)*'Cálculos'!$D$98)*('Cálculos'!$D$240+'Cálculos'!$D$124*(1+2.78*('Cálculos'!$D$198+(($B$111)-$A89)*'Cálculos'!$D$98)/(('Cálculos'!$D$198+(($B$111)-$A89)*'Cálculos'!$D$98)+1400)+'Cálculos'!$D$122)*'Cálculos'!$D$245+'Cálculos'!$D$125*(1+2.78*('Cálculos'!$D$198+(($B$111)-$A89)*'Cálculos'!$D$98)/(('Cálculos'!$D$198+(($B$111)-$A89)*'Cálculos'!$D$98)+1400)+'Cálculos'!$D$123)*'Cálculos'!$D$250)+('Cálculos'!$D$201*(1+'Cálculos'!$D$202+$A89*('Cálculos'!$D$290=2)*'Cálculos'!$D$101)+'Cálculos'!$D$203)*('Cálculos'!$D$241+'Cálculos'!$D$124*(1+2.78*('Cálculos'!$D$198+(($B$111)-$A89)*'Cálculos'!$D$98)/(('Cálculos'!$D$198+(($B$111)-$A89)*'Cálculos'!$D$98)+1400)+'Cálculos'!$D$122)*'Cálculos'!$D$246+'Cálculos'!$D$125*(1+2.78*('Cálculos'!$D$198+(($B$111)-$A89)*'Cálculos'!$D$98)/(('Cálculos'!$D$198+(($B$111)-$A89)*'Cálculos'!$D$98)+1400)+'Cálculos'!$D$123)*'Cálculos'!$D$251)+('Cálculos'!$D$204*(1+'Cálculos'!$D$205+$A89*('Cálculos'!$D$290=3)*'Cálculos'!$D$103)+'Cálculos'!$D$206)*('Cálculos'!$D$242+'Cálculos'!$D$124*(1+2.78*('Cálculos'!$D$198+(($B$111)-$A89)*'Cálculos'!$D$98)/(('Cálculos'!$D$198+(($B$111)-$A89)*'Cálculos'!$D$98)+1400)+'Cálculos'!$D$122)*'Cálculos'!$D$247+'Cálculos'!$D$125*(1+2.78*('Cálculos'!$D$198+(($B$111)-$A89)*'Cálculos'!$D$98)/(('Cálculos'!$D$198+(($B$111)-$A89)*'Cálculos'!$D$98)+1400)+'Cálculos'!$D$123)*'Cálculos'!$D$252)+('Cálculos'!$D$243+'Cálculos'!$D$124*(1+2.78*('Cálculos'!$D$198+(($B$111)-$A89)*'Cálculos'!$D$98)/(('Cálculos'!$D$198+(($B$111)-$A89)*'Cálculos'!$D$98)+1400)+'Cálculos'!$D$122)*'Cálculos'!$D$248+'Cálculos'!$D$125*(1+2.78*('Cálculos'!$D$198+(($B$111)-$A89)*'Cálculos'!$D$98)/(('Cálculos'!$D$198+(($B$111)-$A89)*'Cálculos'!$D$98)+1400)+'Cálculos'!$D$123)*'Cálculos'!$D$253)+('Cálculos'!$D$185*(1+'Cálculos'!$D$189+$A89*('Cálculos'!$D$290=1)*'Cálculos'!$D$97+'Cálculos'!$D$305)+'Cálculos'!$D$194)*('Cálculos'!$D$254+'Cálculos'!$D$124*(1+2.78*('Cálculos'!$D$199+(($B$111)-$A89)*'Cálculos'!$D$98)/(('Cálculos'!$D$199+(($B$111)-$A89)*'Cálculos'!$D$98)+1400)+'Cálculos'!$D$122)*'Cálculos'!$D$259+'Cálculos'!$D$125*(1+2.78*('Cálculos'!$D$199+(($B$111)-$A89)*'Cálculos'!$D$98)/(('Cálculos'!$D$199+(($B$111)-$A89)*'Cálculos'!$D$98)+1400)+'Cálculos'!$D$123)*'Cálculos'!$D$264)+('Cálculos'!$D$199+(($B$111)-$A89)*'Cálculos'!$D$98)*('Cálculos'!$D$255+'Cálculos'!$D$124*(1+2.78*('Cálculos'!$D$199+(($B$111)-$A89)*'Cálculos'!$D$98)/(('Cálculos'!$D$199+(($B$111)-$A89)*'Cálculos'!$D$98)+1400)+'Cálculos'!$D$122)*'Cálculos'!$D$260+'Cálculos'!$D$125*(1+2.78*('Cálculos'!$D$199+(($B$111)-$A89)*'Cálculos'!$D$98)/(('Cálculos'!$D$199+(($B$111)-$A89)*'Cálculos'!$D$98)+1400)+'Cálculos'!$D$123)*'Cálculos'!$D$265)+('Cálculos'!$D$201*(1+'Cálculos'!$D$202+$A89*('Cálculos'!$D$290=2)*'Cálculos'!$D$101)+'Cálculos'!$D$203)*('Cálculos'!$D$256+'Cálculos'!$D$124*(1+2.78*('Cálculos'!$D$199+(($B$111)-$A89)*'Cálculos'!$D$98)/(('Cálculos'!$D$199+(($B$111)-$A89)*'Cálculos'!$D$98)+1400)+'Cálculos'!$D$122)*'Cálculos'!$D$261+'Cálculos'!$D$125*(1+2.78*('Cálculos'!$D$199+(($B$111)-$A89)*'Cálculos'!$D$98)/(('Cálculos'!$D$199+(($B$111)-$A89)*'Cálculos'!$D$98)+1400)+'Cálculos'!$D$123)*'Cálculos'!$D$266)+('Cálculos'!$D$204*(1+'Cálculos'!$D$205+$A89*('Cálculos'!$D$290=3)*'Cálculos'!$D$103)+'Cálculos'!$D$206)*('Cálculos'!$D$257+'Cálculos'!$D$124*(1+2.78*('Cálculos'!$D$199+(($B$111)-$A89)*'Cálculos'!$D$98)/(('Cálculos'!$D$199+(($B$111)-$A89)*'Cálculos'!$D$98)+1400)+'Cálculos'!$D$122)*'Cálculos'!$D$262+'Cálculos'!$D$125*(1+2.78*('Cálculos'!$D$199+(($B$111)-$A89)*'Cálculos'!$D$98)/(('Cálculos'!$D$199+(($B$111)-$A89)*'Cálculos'!$D$98)+1400)+'Cálculos'!$D$123)*'Cálculos'!$D$267)+('Cálculos'!$D$258+'Cálculos'!$D$124*(1+2.78*('Cálculos'!$D$199+(($B$111)-$A89)*'Cálculos'!$D$98)/(('Cálculos'!$D$199+(($B$111)-$A89)*'Cálculos'!$D$98)+1400)+'Cálculos'!$D$122)*'Cálculos'!$D$263+'Cálculos'!$D$125*(1+2.78*('Cálculos'!$D$199+(($B$111)-$A89)*'Cálculos'!$D$98)/(('Cálculos'!$D$199+(($B$111)-$A89)*'Cálculos'!$D$98)+1400)+'Cálculos'!$D$123)*'Cálculos'!$D$268)+('Cálculos'!$D$185*(1+'Cálculos'!$D$190+$A89*('Cálculos'!$D$290=1)*'Cálculos'!$D$97+'Cálculos'!$D$305)+'Cálculos'!$D$195)*('Cálculos'!$D$269+'Cálculos'!$D$124*(1+2.78*('Cálculos'!$D$200+(($B$111)-$A89)*'Cálculos'!$D$98)/(('Cálculos'!$D$200+(($B$111)-$A89)*'Cálculos'!$D$98)+1400)+'Cálculos'!$D$122)*'Cálculos'!$D$274+'Cálculos'!$D$125*(1+2.78*('Cálculos'!$D$200+(($B$111)-$A89)*'Cálculos'!$D$98)/(('Cálculos'!$D$200+(($B$111)-$A89)*'Cálculos'!$D$98)+1400)+'Cálculos'!$D$123)*'Cálculos'!$D$279)+('Cálculos'!$D$200+(($B$111)-$A89)*'Cálculos'!$D$98)*('Cálculos'!$D$270+'Cálculos'!$D$124*(1+2.78*('Cálculos'!$D$200+(($B$111)-$A89)*'Cálculos'!$D$98)/(('Cálculos'!$D$200+(($B$111)-$A89)*'Cálculos'!$D$98)+1400)+'Cálculos'!$D$122)*'Cálculos'!$D$275+'Cálculos'!$D$125*(1+2.78*('Cálculos'!$D$200+(($B$111)-$A89)*'Cálculos'!$D$98)/(('Cálculos'!$D$200+(($B$111)-$A89)*'Cálculos'!$D$98)+1400)+'Cálculos'!$D$123)*'Cálculos'!$D$280)+('Cálculos'!$D$201*(1+'Cálculos'!$D$202+$A89*('Cálculos'!$D$290=2)*'Cálculos'!$D$101)+'Cálculos'!$D$203)*('Cálculos'!$D$271+'Cálculos'!$D$124*(1+2.78*('Cálculos'!$D$200+(($B$111)-$A89)*'Cálculos'!$D$98)/(('Cálculos'!$D$200+(($B$111)-$A89)*'Cálculos'!$D$98)+1400)+'Cálculos'!$D$122)*'Cálculos'!$D$276+'Cálculos'!$D$125*(1+2.78*('Cálculos'!$D$200+(($B$111)-$A89)*'Cálculos'!$D$98)/(('Cálculos'!$D$200+(($B$111)-$A89)*'Cálculos'!$D$98)+1400)+'Cálculos'!$D$123)*'Cálculos'!$D$281)+('Cálculos'!$D$204*(1+'Cálculos'!$D$205+$A89*('Cálculos'!$D$290=3)*'Cálculos'!$D$103)+'Cálculos'!$D$206)*('Cálculos'!$D$272+'Cálculos'!$D$124*(1+2.78*('Cálculos'!$D$200+(($B$111)-$A89)*'Cálculos'!$D$98)/(('Cálculos'!$D$200+(($B$111)-$A89)*'Cálculos'!$D$98)+1400)+'Cálculos'!$D$122)*'Cálculos'!$D$277+'Cálculos'!$D$125*(1+2.78*('Cálculos'!$D$200+(($B$111)-$A89)*'Cálculos'!$D$98)/(('Cálculos'!$D$200+(($B$111)-$A89)*'Cálculos'!$D$98)+1400)+'Cálculos'!$D$123)*'Cálculos'!$D$282)+('Cálculos'!$D$273+'Cálculos'!$D$124*(1+2.78*('Cálculos'!$D$200+(($B$111)-$A89)*'Cálculos'!$D$98)/(('Cálculos'!$D$200+(($B$111)-$A89)*'Cálculos'!$D$98)+1400)+'Cálculos'!$D$122)*'Cálculos'!$D$278+'Cálculos'!$D$125*(1+2.78*('Cálculos'!$D$200+(($B$111)-$A89)*'Cálculos'!$D$98)/(('Cálculos'!$D$200+(($B$111)-$A89)*'Cálculos'!$D$98)+1400)+'Cálculos'!$D$123)*'Cálculos'!$D$283)))</f>
        <v>0</v>
      </c>
    </row>
    <row r="90" ht="15.75" customHeight="1">
      <c r="A90" s="2">
        <v>27.0</v>
      </c>
      <c r="B90" s="30">
        <f>SUMPRODUCT(MAX(($A$63:$A$108&lt;=$A90)*($A$63:$A$108&lt;='Cálculos'!$D$294)*(($A90)-$A$63:$A$108&lt;='Cálculos'!$D$295)*(1+(('Cálculos'!$D$207+$A$63:$A$108*'Cálculos'!$D$95)-(('Cálculos'!$D$207+$A$63:$A$108*'Cálculos'!$D$95)&gt;1)*(('Cálculos'!$D$207+$A$63:$A$108*'Cálculos'!$D$95)-1))*('Cálculos'!$D$208+(($A90)-$A$63:$A$108)*'Cálculos'!$D$96))))</f>
        <v>1.981076718</v>
      </c>
      <c r="C90" s="2">
        <f>'Cálculos'!$D$303-$A90</f>
        <v>-16</v>
      </c>
      <c r="D90" s="31">
        <f>IF($C90&lt;0,0,SUMPRODUCT(MAX(($A$63:$A$108&lt;=$C90)*($A$63:$A$108&lt;='Cálculos'!$D$301)*(($C90)-$A$63:$A$108&lt;='Cálculos'!$D$297)*(('Cálculos'!$D$185*(1+'Cálculos'!$D$186+$A$63:$A$108*('Cálculos'!$D$290=1)*'Cálculos'!$D$97+'Cálculos'!$D$305)+'Cálculos'!$D$191)*('Cálculos'!$D$209+'Cálculos'!$D$124*(1+2.78*('Cálculos'!$D$196+(($C90)-$A$63:$A$108)*'Cálculos'!$D$98)/(('Cálculos'!$D$196+(($C90)-$A$63:$A$108)*'Cálculos'!$D$98)+1400)+'Cálculos'!$D$122)*'Cálculos'!$D$214+'Cálculos'!$D$125*(1+2.78*('Cálculos'!$D$196+(($C90)-$A$63:$A$108)*'Cálculos'!$D$98)/(('Cálculos'!$D$196+(($C90)-$A$63:$A$108)*'Cálculos'!$D$98)+1400)+'Cálculos'!$D$123)*'Cálculos'!$D$219)+('Cálculos'!$D$196+(($C90)-$A$63:$A$108)*'Cálculos'!$D$98)*('Cálculos'!$D$210+'Cálculos'!$D$124*(1+2.78*('Cálculos'!$D$196+(($C90)-$A$63:$A$108)*'Cálculos'!$D$98)/(('Cálculos'!$D$196+(($C90)-$A$63:$A$108)*'Cálculos'!$D$98)+1400)+'Cálculos'!$D$122)*'Cálculos'!$D$215+'Cálculos'!$D$125*(1+2.78*('Cálculos'!$D$196+(($C90)-$A$63:$A$108)*'Cálculos'!$D$98)/(('Cálculos'!$D$196+(($C90)-$A$63:$A$108)*'Cálculos'!$D$98)+1400)+'Cálculos'!$D$123)*'Cálculos'!$D$220)+('Cálculos'!$D$201*(1+'Cálculos'!$D$202+$A$63:$A$108*('Cálculos'!$D$290=2)*'Cálculos'!$D$101)+'Cálculos'!$D$203)*('Cálculos'!$D$211+'Cálculos'!$D$124*(1+2.78*('Cálculos'!$D$196+(($C90)-$A$63:$A$108)*'Cálculos'!$D$98)/(('Cálculos'!$D$196+(($C90)-$A$63:$A$108)*'Cálculos'!$D$98)+1400)+'Cálculos'!$D$122)*'Cálculos'!$D$216+'Cálculos'!$D$125*(1+2.78*('Cálculos'!$D$196+(($C90)-$A$63:$A$108)*'Cálculos'!$D$98)/(('Cálculos'!$D$196+(($C90)-$A$63:$A$108)*'Cálculos'!$D$98)+1400)+'Cálculos'!$D$123)*'Cálculos'!$D$221)+('Cálculos'!$D$204*(1+'Cálculos'!$D$205+$A$63:$A$108*('Cálculos'!$D$290=3)*'Cálculos'!$D$103)+'Cálculos'!$D$206)*('Cálculos'!$D$212+'Cálculos'!$D$124*(1+2.78*('Cálculos'!$D$196+(($C90)-$A$63:$A$108)*'Cálculos'!$D$98)/(('Cálculos'!$D$196+(($C90)-$A$63:$A$108)*'Cálculos'!$D$98)+1400)+'Cálculos'!$D$122)*'Cálculos'!$D$217+'Cálculos'!$D$125*(1+2.78*('Cálculos'!$D$196+(($C90)-$A$63:$A$108)*'Cálculos'!$D$98)/(('Cálculos'!$D$196+(($C90)-$A$63:$A$108)*'Cálculos'!$D$98)+1400)+'Cálculos'!$D$123)*'Cálculos'!$D$222)+('Cálculos'!$D$213+'Cálculos'!$D$124*(1+2.78*('Cálculos'!$D$196+(($C90)-$A$63:$A$108)*'Cálculos'!$D$98)/(('Cálculos'!$D$196+(($C90)-$A$63:$A$108)*'Cálculos'!$D$98)+1400)+'Cálculos'!$D$122)*'Cálculos'!$D$218+'Cálculos'!$D$125*(1+2.78*('Cálculos'!$D$196+(($C90)-$A$63:$A$108)*'Cálculos'!$D$98)/(('Cálculos'!$D$196+(($C90)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90)-$A$63:$A$108)*'Cálculos'!$D$98)/(('Cálculos'!$D$197+(($C90)-$A$63:$A$108)*'Cálculos'!$D$98)+1400)+'Cálculos'!$D$122)*'Cálculos'!$D$229+'Cálculos'!$D$125*(1+2.78*('Cálculos'!$D$197+(($C90)-$A$63:$A$108)*'Cálculos'!$D$98)/(('Cálculos'!$D$197+(($C90)-$A$63:$A$108)*'Cálculos'!$D$98)+1400)+'Cálculos'!$D$123)*'Cálculos'!$D$234)+('Cálculos'!$D$197+(($C90)-$A$63:$A$108)*'Cálculos'!$D$98)*('Cálculos'!$D$225+'Cálculos'!$D$124*(1+2.78*('Cálculos'!$D$197+(($C90)-$A$63:$A$108)*'Cálculos'!$D$98)/(('Cálculos'!$D$197+(($C90)-$A$63:$A$108)*'Cálculos'!$D$98)+1400)+'Cálculos'!$D$122)*'Cálculos'!$D$230+'Cálculos'!$D$125*(1+2.78*('Cálculos'!$D$197+(($C90)-$A$63:$A$108)*'Cálculos'!$D$98)/(('Cálculos'!$D$197+(($C90)-$A$63:$A$108)*'Cálculos'!$D$98)+1400)+'Cálculos'!$D$123)*'Cálculos'!$D$235)+('Cálculos'!$D$201*(1+'Cálculos'!$D$202+$A$63:$A$108*('Cálculos'!$D$290=2)*'Cálculos'!$D$101)+'Cálculos'!$D$203)*('Cálculos'!$D$226+'Cálculos'!$D$124*(1+2.78*('Cálculos'!$D$197+(($C90)-$A$63:$A$108)*'Cálculos'!$D$98)/(('Cálculos'!$D$197+(($C90)-$A$63:$A$108)*'Cálculos'!$D$98)+1400)+'Cálculos'!$D$122)*'Cálculos'!$D$231+'Cálculos'!$D$125*(1+2.78*('Cálculos'!$D$197+(($C90)-$A$63:$A$108)*'Cálculos'!$D$98)/(('Cálculos'!$D$197+(($C90)-$A$63:$A$108)*'Cálculos'!$D$98)+1400)+'Cálculos'!$D$123)*'Cálculos'!$D$236)+('Cálculos'!$D$204*(1+'Cálculos'!$D$205+$A$63:$A$108*('Cálculos'!$D$290=3)*'Cálculos'!$D$103)+'Cálculos'!$D$206)*('Cálculos'!$D$227+'Cálculos'!$D$124*(1+2.78*('Cálculos'!$D$197+(($C90)-$A$63:$A$108)*'Cálculos'!$D$98)/(('Cálculos'!$D$197+(($C90)-$A$63:$A$108)*'Cálculos'!$D$98)+1400)+'Cálculos'!$D$122)*'Cálculos'!$D$232+'Cálculos'!$D$125*(1+2.78*('Cálculos'!$D$197+(($C90)-$A$63:$A$108)*'Cálculos'!$D$98)/(('Cálculos'!$D$197+(($C90)-$A$63:$A$108)*'Cálculos'!$D$98)+1400)+'Cálculos'!$D$123)*'Cálculos'!$D$237)+('Cálculos'!$D$228+'Cálculos'!$D$124*(1+2.78*('Cálculos'!$D$197+(($C90)-$A$63:$A$108)*'Cálculos'!$D$98)/(('Cálculos'!$D$197+(($C90)-$A$63:$A$108)*'Cálculos'!$D$98)+1400)+'Cálculos'!$D$122)*'Cálculos'!$D$233+'Cálculos'!$D$125*(1+2.78*('Cálculos'!$D$197+(($C90)-$A$63:$A$108)*'Cálculos'!$D$98)/(('Cálculos'!$D$197+(($C90)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90)-$A$63:$A$108)*'Cálculos'!$D$98)/(('Cálculos'!$D$198+(($C90)-$A$63:$A$108)*'Cálculos'!$D$98)+1400)+'Cálculos'!$D$122)*'Cálculos'!$D$244+'Cálculos'!$D$125*(1+2.78*('Cálculos'!$D$198+(($C90)-$A$63:$A$108)*'Cálculos'!$D$98)/(('Cálculos'!$D$198+(($C90)-$A$63:$A$108)*'Cálculos'!$D$98)+1400)+'Cálculos'!$D$123)*'Cálculos'!$D$249)+('Cálculos'!$D$198+(($C90)-$A$63:$A$108)*'Cálculos'!$D$98)*('Cálculos'!$D$240+'Cálculos'!$D$124*(1+2.78*('Cálculos'!$D$198+(($C90)-$A$63:$A$108)*'Cálculos'!$D$98)/(('Cálculos'!$D$198+(($C90)-$A$63:$A$108)*'Cálculos'!$D$98)+1400)+'Cálculos'!$D$122)*'Cálculos'!$D$245+'Cálculos'!$D$125*(1+2.78*('Cálculos'!$D$198+(($C90)-$A$63:$A$108)*'Cálculos'!$D$98)/(('Cálculos'!$D$198+(($C90)-$A$63:$A$108)*'Cálculos'!$D$98)+1400)+'Cálculos'!$D$123)*'Cálculos'!$D$250)+('Cálculos'!$D$201*(1+'Cálculos'!$D$202+$A$63:$A$108*('Cálculos'!$D$290=2)*'Cálculos'!$D$101)+'Cálculos'!$D$203)*('Cálculos'!$D$241+'Cálculos'!$D$124*(1+2.78*('Cálculos'!$D$198+(($C90)-$A$63:$A$108)*'Cálculos'!$D$98)/(('Cálculos'!$D$198+(($C90)-$A$63:$A$108)*'Cálculos'!$D$98)+1400)+'Cálculos'!$D$122)*'Cálculos'!$D$246+'Cálculos'!$D$125*(1+2.78*('Cálculos'!$D$198+(($C90)-$A$63:$A$108)*'Cálculos'!$D$98)/(('Cálculos'!$D$198+(($C90)-$A$63:$A$108)*'Cálculos'!$D$98)+1400)+'Cálculos'!$D$123)*'Cálculos'!$D$251)+('Cálculos'!$D$204*(1+'Cálculos'!$D$205+$A$63:$A$108*('Cálculos'!$D$290=3)*'Cálculos'!$D$103)+'Cálculos'!$D$206)*('Cálculos'!$D$242+'Cálculos'!$D$124*(1+2.78*('Cálculos'!$D$198+(($C90)-$A$63:$A$108)*'Cálculos'!$D$98)/(('Cálculos'!$D$198+(($C90)-$A$63:$A$108)*'Cálculos'!$D$98)+1400)+'Cálculos'!$D$122)*'Cálculos'!$D$247+'Cálculos'!$D$125*(1+2.78*('Cálculos'!$D$198+(($C90)-$A$63:$A$108)*'Cálculos'!$D$98)/(('Cálculos'!$D$198+(($C90)-$A$63:$A$108)*'Cálculos'!$D$98)+1400)+'Cálculos'!$D$123)*'Cálculos'!$D$252)+('Cálculos'!$D$243+'Cálculos'!$D$124*(1+2.78*('Cálculos'!$D$198+(($C90)-$A$63:$A$108)*'Cálculos'!$D$98)/(('Cálculos'!$D$198+(($C90)-$A$63:$A$108)*'Cálculos'!$D$98)+1400)+'Cálculos'!$D$122)*'Cálculos'!$D$248+'Cálculos'!$D$125*(1+2.78*('Cálculos'!$D$198+(($C90)-$A$63:$A$108)*'Cálculos'!$D$98)/(('Cálculos'!$D$198+(($C90)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90)-$A$63:$A$108)*'Cálculos'!$D$98)/(('Cálculos'!$D$199+(($C90)-$A$63:$A$108)*'Cálculos'!$D$98)+1400)+'Cálculos'!$D$122)*'Cálculos'!$D$259+'Cálculos'!$D$125*(1+2.78*('Cálculos'!$D$199+(($C90)-$A$63:$A$108)*'Cálculos'!$D$98)/(('Cálculos'!$D$199+(($C90)-$A$63:$A$108)*'Cálculos'!$D$98)+1400)+'Cálculos'!$D$123)*'Cálculos'!$D$264)+('Cálculos'!$D$199+(($C90)-$A$63:$A$108)*'Cálculos'!$D$98)*('Cálculos'!$D$255+'Cálculos'!$D$124*(1+2.78*('Cálculos'!$D$199+(($C90)-$A$63:$A$108)*'Cálculos'!$D$98)/(('Cálculos'!$D$199+(($C90)-$A$63:$A$108)*'Cálculos'!$D$98)+1400)+'Cálculos'!$D$122)*'Cálculos'!$D$260+'Cálculos'!$D$125*(1+2.78*('Cálculos'!$D$199+(($C90)-$A$63:$A$108)*'Cálculos'!$D$98)/(('Cálculos'!$D$199+(($C90)-$A$63:$A$108)*'Cálculos'!$D$98)+1400)+'Cálculos'!$D$123)*'Cálculos'!$D$265)+('Cálculos'!$D$201*(1+'Cálculos'!$D$202+$A$63:$A$108*('Cálculos'!$D$290=2)*'Cálculos'!$D$101)+'Cálculos'!$D$203)*('Cálculos'!$D$256+'Cálculos'!$D$124*(1+2.78*('Cálculos'!$D$199+(($C90)-$A$63:$A$108)*'Cálculos'!$D$98)/(('Cálculos'!$D$199+(($C90)-$A$63:$A$108)*'Cálculos'!$D$98)+1400)+'Cálculos'!$D$122)*'Cálculos'!$D$261+'Cálculos'!$D$125*(1+2.78*('Cálculos'!$D$199+(($C90)-$A$63:$A$108)*'Cálculos'!$D$98)/(('Cálculos'!$D$199+(($C90)-$A$63:$A$108)*'Cálculos'!$D$98)+1400)+'Cálculos'!$D$123)*'Cálculos'!$D$266)+('Cálculos'!$D$204*(1+'Cálculos'!$D$205+$A$63:$A$108*('Cálculos'!$D$290=3)*'Cálculos'!$D$103)+'Cálculos'!$D$206)*('Cálculos'!$D$257+'Cálculos'!$D$124*(1+2.78*('Cálculos'!$D$199+(($C90)-$A$63:$A$108)*'Cálculos'!$D$98)/(('Cálculos'!$D$199+(($C90)-$A$63:$A$108)*'Cálculos'!$D$98)+1400)+'Cálculos'!$D$122)*'Cálculos'!$D$262+'Cálculos'!$D$125*(1+2.78*('Cálculos'!$D$199+(($C90)-$A$63:$A$108)*'Cálculos'!$D$98)/(('Cálculos'!$D$199+(($C90)-$A$63:$A$108)*'Cálculos'!$D$98)+1400)+'Cálculos'!$D$123)*'Cálculos'!$D$267)+('Cálculos'!$D$258+'Cálculos'!$D$124*(1+2.78*('Cálculos'!$D$199+(($C90)-$A$63:$A$108)*'Cálculos'!$D$98)/(('Cálculos'!$D$199+(($C90)-$A$63:$A$108)*'Cálculos'!$D$98)+1400)+'Cálculos'!$D$122)*'Cálculos'!$D$263+'Cálculos'!$D$125*(1+2.78*('Cálculos'!$D$199+(($C90)-$A$63:$A$108)*'Cálculos'!$D$98)/(('Cálculos'!$D$199+(($C90)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90)-$A$63:$A$108)*'Cálculos'!$D$98)/(('Cálculos'!$D$200+(($C90)-$A$63:$A$108)*'Cálculos'!$D$98)+1400)+'Cálculos'!$D$122)*'Cálculos'!$D$274+'Cálculos'!$D$125*(1+2.78*('Cálculos'!$D$200+(($C90)-$A$63:$A$108)*'Cálculos'!$D$98)/(('Cálculos'!$D$200+(($C90)-$A$63:$A$108)*'Cálculos'!$D$98)+1400)+'Cálculos'!$D$123)*'Cálculos'!$D$279)+('Cálculos'!$D$200+(($C90)-$A$63:$A$108)*'Cálculos'!$D$98)*('Cálculos'!$D$270+'Cálculos'!$D$124*(1+2.78*('Cálculos'!$D$200+(($C90)-$A$63:$A$108)*'Cálculos'!$D$98)/(('Cálculos'!$D$200+(($C90)-$A$63:$A$108)*'Cálculos'!$D$98)+1400)+'Cálculos'!$D$122)*'Cálculos'!$D$275+'Cálculos'!$D$125*(1+2.78*('Cálculos'!$D$200+(($C90)-$A$63:$A$108)*'Cálculos'!$D$98)/(('Cálculos'!$D$200+(($C90)-$A$63:$A$108)*'Cálculos'!$D$98)+1400)+'Cálculos'!$D$123)*'Cálculos'!$D$280)+('Cálculos'!$D$201*(1+'Cálculos'!$D$202+$A$63:$A$108*('Cálculos'!$D$290=2)*'Cálculos'!$D$101)+'Cálculos'!$D$203)*('Cálculos'!$D$271+'Cálculos'!$D$124*(1+2.78*('Cálculos'!$D$200+(($C90)-$A$63:$A$108)*'Cálculos'!$D$98)/(('Cálculos'!$D$200+(($C90)-$A$63:$A$108)*'Cálculos'!$D$98)+1400)+'Cálculos'!$D$122)*'Cálculos'!$D$276+'Cálculos'!$D$125*(1+2.78*('Cálculos'!$D$200+(($C90)-$A$63:$A$108)*'Cálculos'!$D$98)/(('Cálculos'!$D$200+(($C90)-$A$63:$A$108)*'Cálculos'!$D$98)+1400)+'Cálculos'!$D$123)*'Cálculos'!$D$281)+('Cálculos'!$D$204*(1+'Cálculos'!$D$205+$A$63:$A$108*('Cálculos'!$D$290=3)*'Cálculos'!$D$103)+'Cálculos'!$D$206)*('Cálculos'!$D$272+'Cálculos'!$D$124*(1+2.78*('Cálculos'!$D$200+(($C90)-$A$63:$A$108)*'Cálculos'!$D$98)/(('Cálculos'!$D$200+(($C90)-$A$63:$A$108)*'Cálculos'!$D$98)+1400)+'Cálculos'!$D$122)*'Cálculos'!$D$277+'Cálculos'!$D$125*(1+2.78*('Cálculos'!$D$200+(($C90)-$A$63:$A$108)*'Cálculos'!$D$98)/(('Cálculos'!$D$200+(($C90)-$A$63:$A$108)*'Cálculos'!$D$98)+1400)+'Cálculos'!$D$123)*'Cálculos'!$D$282)+('Cálculos'!$D$273+'Cálculos'!$D$124*(1+2.78*('Cálculos'!$D$200+(($C90)-$A$63:$A$108)*'Cálculos'!$D$98)/(('Cálculos'!$D$200+(($C90)-$A$63:$A$108)*'Cálculos'!$D$98)+1400)+'Cálculos'!$D$122)*'Cálculos'!$D$278+'Cálculos'!$D$125*(1+2.78*('Cálculos'!$D$200+(($C90)-$A$63:$A$108)*'Cálculos'!$D$98)/(('Cálculos'!$D$200+(($C90)-$A$63:$A$108)*'Cálculos'!$D$98)+1400)+'Cálculos'!$D$123)*'Cálculos'!$D$283)))))</f>
        <v>0</v>
      </c>
      <c r="E90" s="32">
        <f>IF(OR($C90&lt;0,'Cálculos'!$D$6=""),0,$B90*$D90)</f>
        <v>0</v>
      </c>
      <c r="F90" s="2"/>
      <c r="G90" s="30">
        <f>($A90&lt;=$B$110)*($A90&lt;='Cálculos'!$D$294)*(($B$110)-$A90&lt;='Cálculos'!$D$295)*(1+MIN(('Cálculos'!$D$207+$A90*'Cálculos'!$D$95),1)*('Cálculos'!$D$208+(($B$110)-$A90)*'Cálculos'!$D$96))</f>
        <v>0</v>
      </c>
      <c r="H90" s="31">
        <f>IF($B$111&lt;0,0,($A90&lt;=$B$111)*($A90&lt;='Cálculos'!$D$301)*(($B$111)-$A90&lt;='Cálculos'!$D$297)*(('Cálculos'!$D$185*(1+'Cálculos'!$D$186+$A90*('Cálculos'!$D$290=1)*'Cálculos'!$D$97+'Cálculos'!$D$305)+'Cálculos'!$D$191)*('Cálculos'!$D$209+'Cálculos'!$D$124*(1+2.78*('Cálculos'!$D$196+(($B$111)-$A90)*'Cálculos'!$D$98)/(('Cálculos'!$D$196+(($B$111)-$A90)*'Cálculos'!$D$98)+1400)+'Cálculos'!$D$122)*'Cálculos'!$D$214+'Cálculos'!$D$125*(1+2.78*('Cálculos'!$D$196+(($B$111)-$A90)*'Cálculos'!$D$98)/(('Cálculos'!$D$196+(($B$111)-$A90)*'Cálculos'!$D$98)+1400)+'Cálculos'!$D$123)*'Cálculos'!$D$219)+('Cálculos'!$D$196+(($B$111)-$A90)*'Cálculos'!$D$98)*('Cálculos'!$D$210+'Cálculos'!$D$124*(1+2.78*('Cálculos'!$D$196+(($B$111)-$A90)*'Cálculos'!$D$98)/(('Cálculos'!$D$196+(($B$111)-$A90)*'Cálculos'!$D$98)+1400)+'Cálculos'!$D$122)*'Cálculos'!$D$215+'Cálculos'!$D$125*(1+2.78*('Cálculos'!$D$196+(($B$111)-$A90)*'Cálculos'!$D$98)/(('Cálculos'!$D$196+(($B$111)-$A90)*'Cálculos'!$D$98)+1400)+'Cálculos'!$D$123)*'Cálculos'!$D$220)+('Cálculos'!$D$201*(1+'Cálculos'!$D$202+$A90*('Cálculos'!$D$290=2)*'Cálculos'!$D$101)+'Cálculos'!$D$203)*('Cálculos'!$D$211+'Cálculos'!$D$124*(1+2.78*('Cálculos'!$D$196+(($B$111)-$A90)*'Cálculos'!$D$98)/(('Cálculos'!$D$196+(($B$111)-$A90)*'Cálculos'!$D$98)+1400)+'Cálculos'!$D$122)*'Cálculos'!$D$216+'Cálculos'!$D$125*(1+2.78*('Cálculos'!$D$196+(($B$111)-$A90)*'Cálculos'!$D$98)/(('Cálculos'!$D$196+(($B$111)-$A90)*'Cálculos'!$D$98)+1400)+'Cálculos'!$D$123)*'Cálculos'!$D$221)+('Cálculos'!$D$204*(1+'Cálculos'!$D$205+$A90*('Cálculos'!$D$290=3)*'Cálculos'!$D$103)+'Cálculos'!$D$206)*('Cálculos'!$D$212+'Cálculos'!$D$124*(1+2.78*('Cálculos'!$D$196+(($B$111)-$A90)*'Cálculos'!$D$98)/(('Cálculos'!$D$196+(($B$111)-$A90)*'Cálculos'!$D$98)+1400)+'Cálculos'!$D$122)*'Cálculos'!$D$217+'Cálculos'!$D$125*(1+2.78*('Cálculos'!$D$196+(($B$111)-$A90)*'Cálculos'!$D$98)/(('Cálculos'!$D$196+(($B$111)-$A90)*'Cálculos'!$D$98)+1400)+'Cálculos'!$D$123)*'Cálculos'!$D$222)+('Cálculos'!$D$213+'Cálculos'!$D$124*(1+2.78*('Cálculos'!$D$196+(($B$111)-$A90)*'Cálculos'!$D$98)/(('Cálculos'!$D$196+(($B$111)-$A90)*'Cálculos'!$D$98)+1400)+'Cálculos'!$D$122)*'Cálculos'!$D$218+'Cálculos'!$D$125*(1+2.78*('Cálculos'!$D$196+(($B$111)-$A90)*'Cálculos'!$D$98)/(('Cálculos'!$D$196+(($B$111)-$A90)*'Cálculos'!$D$98)+1400)+'Cálculos'!$D$123)*'Cálculos'!$D$223)+('Cálculos'!$D$185*(1+'Cálculos'!$D$187+$A90*('Cálculos'!$D$290=1)*'Cálculos'!$D$97+'Cálculos'!$D$305)+'Cálculos'!$D$192)*('Cálculos'!$D$224+'Cálculos'!$D$124*(1+2.78*('Cálculos'!$D$197+(($B$111)-$A90)*'Cálculos'!$D$98)/(('Cálculos'!$D$197+(($B$111)-$A90)*'Cálculos'!$D$98)+1400)+'Cálculos'!$D$122)*'Cálculos'!$D$229+'Cálculos'!$D$125*(1+2.78*('Cálculos'!$D$197+(($B$111)-$A90)*'Cálculos'!$D$98)/(('Cálculos'!$D$197+(($B$111)-$A90)*'Cálculos'!$D$98)+1400)+'Cálculos'!$D$123)*'Cálculos'!$D$234)+('Cálculos'!$D$197+(($B$111)-$A90)*'Cálculos'!$D$98)*('Cálculos'!$D$225+'Cálculos'!$D$124*(1+2.78*('Cálculos'!$D$197+(($B$111)-$A90)*'Cálculos'!$D$98)/(('Cálculos'!$D$197+(($B$111)-$A90)*'Cálculos'!$D$98)+1400)+'Cálculos'!$D$122)*'Cálculos'!$D$230+'Cálculos'!$D$125*(1+2.78*('Cálculos'!$D$197+(($B$111)-$A90)*'Cálculos'!$D$98)/(('Cálculos'!$D$197+(($B$111)-$A90)*'Cálculos'!$D$98)+1400)+'Cálculos'!$D$123)*'Cálculos'!$D$235)+('Cálculos'!$D$201*(1+'Cálculos'!$D$202+$A90*('Cálculos'!$D$290=2)*'Cálculos'!$D$101)+'Cálculos'!$D$203)*('Cálculos'!$D$226+'Cálculos'!$D$124*(1+2.78*('Cálculos'!$D$197+(($B$111)-$A90)*'Cálculos'!$D$98)/(('Cálculos'!$D$197+(($B$111)-$A90)*'Cálculos'!$D$98)+1400)+'Cálculos'!$D$122)*'Cálculos'!$D$231+'Cálculos'!$D$125*(1+2.78*('Cálculos'!$D$197+(($B$111)-$A90)*'Cálculos'!$D$98)/(('Cálculos'!$D$197+(($B$111)-$A90)*'Cálculos'!$D$98)+1400)+'Cálculos'!$D$123)*'Cálculos'!$D$236)+('Cálculos'!$D$204*(1+'Cálculos'!$D$205+$A90*('Cálculos'!$D$290=3)*'Cálculos'!$D$103)+'Cálculos'!$D$206)*('Cálculos'!$D$227+'Cálculos'!$D$124*(1+2.78*('Cálculos'!$D$197+(($B$111)-$A90)*'Cálculos'!$D$98)/(('Cálculos'!$D$197+(($B$111)-$A90)*'Cálculos'!$D$98)+1400)+'Cálculos'!$D$122)*'Cálculos'!$D$232+'Cálculos'!$D$125*(1+2.78*('Cálculos'!$D$197+(($B$111)-$A90)*'Cálculos'!$D$98)/(('Cálculos'!$D$197+(($B$111)-$A90)*'Cálculos'!$D$98)+1400)+'Cálculos'!$D$123)*'Cálculos'!$D$237)+('Cálculos'!$D$228+'Cálculos'!$D$124*(1+2.78*('Cálculos'!$D$197+(($B$111)-$A90)*'Cálculos'!$D$98)/(('Cálculos'!$D$197+(($B$111)-$A90)*'Cálculos'!$D$98)+1400)+'Cálculos'!$D$122)*'Cálculos'!$D$233+'Cálculos'!$D$125*(1+2.78*('Cálculos'!$D$197+(($B$111)-$A90)*'Cálculos'!$D$98)/(('Cálculos'!$D$197+(($B$111)-$A90)*'Cálculos'!$D$98)+1400)+'Cálculos'!$D$123)*'Cálculos'!$D$238)+('Cálculos'!$D$185*(1+'Cálculos'!$D$188+$A90*('Cálculos'!$D$290=1)*'Cálculos'!$D$97+'Cálculos'!$D$305)+'Cálculos'!$D$193)*('Cálculos'!$D$239+'Cálculos'!$D$124*(1+2.78*('Cálculos'!$D$198+(($B$111)-$A90)*'Cálculos'!$D$98)/(('Cálculos'!$D$198+(($B$111)-$A90)*'Cálculos'!$D$98)+1400)+'Cálculos'!$D$122)*'Cálculos'!$D$244+'Cálculos'!$D$125*(1+2.78*('Cálculos'!$D$198+(($B$111)-$A90)*'Cálculos'!$D$98)/(('Cálculos'!$D$198+(($B$111)-$A90)*'Cálculos'!$D$98)+1400)+'Cálculos'!$D$123)*'Cálculos'!$D$249)+('Cálculos'!$D$198+(($B$111)-$A90)*'Cálculos'!$D$98)*('Cálculos'!$D$240+'Cálculos'!$D$124*(1+2.78*('Cálculos'!$D$198+(($B$111)-$A90)*'Cálculos'!$D$98)/(('Cálculos'!$D$198+(($B$111)-$A90)*'Cálculos'!$D$98)+1400)+'Cálculos'!$D$122)*'Cálculos'!$D$245+'Cálculos'!$D$125*(1+2.78*('Cálculos'!$D$198+(($B$111)-$A90)*'Cálculos'!$D$98)/(('Cálculos'!$D$198+(($B$111)-$A90)*'Cálculos'!$D$98)+1400)+'Cálculos'!$D$123)*'Cálculos'!$D$250)+('Cálculos'!$D$201*(1+'Cálculos'!$D$202+$A90*('Cálculos'!$D$290=2)*'Cálculos'!$D$101)+'Cálculos'!$D$203)*('Cálculos'!$D$241+'Cálculos'!$D$124*(1+2.78*('Cálculos'!$D$198+(($B$111)-$A90)*'Cálculos'!$D$98)/(('Cálculos'!$D$198+(($B$111)-$A90)*'Cálculos'!$D$98)+1400)+'Cálculos'!$D$122)*'Cálculos'!$D$246+'Cálculos'!$D$125*(1+2.78*('Cálculos'!$D$198+(($B$111)-$A90)*'Cálculos'!$D$98)/(('Cálculos'!$D$198+(($B$111)-$A90)*'Cálculos'!$D$98)+1400)+'Cálculos'!$D$123)*'Cálculos'!$D$251)+('Cálculos'!$D$204*(1+'Cálculos'!$D$205+$A90*('Cálculos'!$D$290=3)*'Cálculos'!$D$103)+'Cálculos'!$D$206)*('Cálculos'!$D$242+'Cálculos'!$D$124*(1+2.78*('Cálculos'!$D$198+(($B$111)-$A90)*'Cálculos'!$D$98)/(('Cálculos'!$D$198+(($B$111)-$A90)*'Cálculos'!$D$98)+1400)+'Cálculos'!$D$122)*'Cálculos'!$D$247+'Cálculos'!$D$125*(1+2.78*('Cálculos'!$D$198+(($B$111)-$A90)*'Cálculos'!$D$98)/(('Cálculos'!$D$198+(($B$111)-$A90)*'Cálculos'!$D$98)+1400)+'Cálculos'!$D$123)*'Cálculos'!$D$252)+('Cálculos'!$D$243+'Cálculos'!$D$124*(1+2.78*('Cálculos'!$D$198+(($B$111)-$A90)*'Cálculos'!$D$98)/(('Cálculos'!$D$198+(($B$111)-$A90)*'Cálculos'!$D$98)+1400)+'Cálculos'!$D$122)*'Cálculos'!$D$248+'Cálculos'!$D$125*(1+2.78*('Cálculos'!$D$198+(($B$111)-$A90)*'Cálculos'!$D$98)/(('Cálculos'!$D$198+(($B$111)-$A90)*'Cálculos'!$D$98)+1400)+'Cálculos'!$D$123)*'Cálculos'!$D$253)+('Cálculos'!$D$185*(1+'Cálculos'!$D$189+$A90*('Cálculos'!$D$290=1)*'Cálculos'!$D$97+'Cálculos'!$D$305)+'Cálculos'!$D$194)*('Cálculos'!$D$254+'Cálculos'!$D$124*(1+2.78*('Cálculos'!$D$199+(($B$111)-$A90)*'Cálculos'!$D$98)/(('Cálculos'!$D$199+(($B$111)-$A90)*'Cálculos'!$D$98)+1400)+'Cálculos'!$D$122)*'Cálculos'!$D$259+'Cálculos'!$D$125*(1+2.78*('Cálculos'!$D$199+(($B$111)-$A90)*'Cálculos'!$D$98)/(('Cálculos'!$D$199+(($B$111)-$A90)*'Cálculos'!$D$98)+1400)+'Cálculos'!$D$123)*'Cálculos'!$D$264)+('Cálculos'!$D$199+(($B$111)-$A90)*'Cálculos'!$D$98)*('Cálculos'!$D$255+'Cálculos'!$D$124*(1+2.78*('Cálculos'!$D$199+(($B$111)-$A90)*'Cálculos'!$D$98)/(('Cálculos'!$D$199+(($B$111)-$A90)*'Cálculos'!$D$98)+1400)+'Cálculos'!$D$122)*'Cálculos'!$D$260+'Cálculos'!$D$125*(1+2.78*('Cálculos'!$D$199+(($B$111)-$A90)*'Cálculos'!$D$98)/(('Cálculos'!$D$199+(($B$111)-$A90)*'Cálculos'!$D$98)+1400)+'Cálculos'!$D$123)*'Cálculos'!$D$265)+('Cálculos'!$D$201*(1+'Cálculos'!$D$202+$A90*('Cálculos'!$D$290=2)*'Cálculos'!$D$101)+'Cálculos'!$D$203)*('Cálculos'!$D$256+'Cálculos'!$D$124*(1+2.78*('Cálculos'!$D$199+(($B$111)-$A90)*'Cálculos'!$D$98)/(('Cálculos'!$D$199+(($B$111)-$A90)*'Cálculos'!$D$98)+1400)+'Cálculos'!$D$122)*'Cálculos'!$D$261+'Cálculos'!$D$125*(1+2.78*('Cálculos'!$D$199+(($B$111)-$A90)*'Cálculos'!$D$98)/(('Cálculos'!$D$199+(($B$111)-$A90)*'Cálculos'!$D$98)+1400)+'Cálculos'!$D$123)*'Cálculos'!$D$266)+('Cálculos'!$D$204*(1+'Cálculos'!$D$205+$A90*('Cálculos'!$D$290=3)*'Cálculos'!$D$103)+'Cálculos'!$D$206)*('Cálculos'!$D$257+'Cálculos'!$D$124*(1+2.78*('Cálculos'!$D$199+(($B$111)-$A90)*'Cálculos'!$D$98)/(('Cálculos'!$D$199+(($B$111)-$A90)*'Cálculos'!$D$98)+1400)+'Cálculos'!$D$122)*'Cálculos'!$D$262+'Cálculos'!$D$125*(1+2.78*('Cálculos'!$D$199+(($B$111)-$A90)*'Cálculos'!$D$98)/(('Cálculos'!$D$199+(($B$111)-$A90)*'Cálculos'!$D$98)+1400)+'Cálculos'!$D$123)*'Cálculos'!$D$267)+('Cálculos'!$D$258+'Cálculos'!$D$124*(1+2.78*('Cálculos'!$D$199+(($B$111)-$A90)*'Cálculos'!$D$98)/(('Cálculos'!$D$199+(($B$111)-$A90)*'Cálculos'!$D$98)+1400)+'Cálculos'!$D$122)*'Cálculos'!$D$263+'Cálculos'!$D$125*(1+2.78*('Cálculos'!$D$199+(($B$111)-$A90)*'Cálculos'!$D$98)/(('Cálculos'!$D$199+(($B$111)-$A90)*'Cálculos'!$D$98)+1400)+'Cálculos'!$D$123)*'Cálculos'!$D$268)+('Cálculos'!$D$185*(1+'Cálculos'!$D$190+$A90*('Cálculos'!$D$290=1)*'Cálculos'!$D$97+'Cálculos'!$D$305)+'Cálculos'!$D$195)*('Cálculos'!$D$269+'Cálculos'!$D$124*(1+2.78*('Cálculos'!$D$200+(($B$111)-$A90)*'Cálculos'!$D$98)/(('Cálculos'!$D$200+(($B$111)-$A90)*'Cálculos'!$D$98)+1400)+'Cálculos'!$D$122)*'Cálculos'!$D$274+'Cálculos'!$D$125*(1+2.78*('Cálculos'!$D$200+(($B$111)-$A90)*'Cálculos'!$D$98)/(('Cálculos'!$D$200+(($B$111)-$A90)*'Cálculos'!$D$98)+1400)+'Cálculos'!$D$123)*'Cálculos'!$D$279)+('Cálculos'!$D$200+(($B$111)-$A90)*'Cálculos'!$D$98)*('Cálculos'!$D$270+'Cálculos'!$D$124*(1+2.78*('Cálculos'!$D$200+(($B$111)-$A90)*'Cálculos'!$D$98)/(('Cálculos'!$D$200+(($B$111)-$A90)*'Cálculos'!$D$98)+1400)+'Cálculos'!$D$122)*'Cálculos'!$D$275+'Cálculos'!$D$125*(1+2.78*('Cálculos'!$D$200+(($B$111)-$A90)*'Cálculos'!$D$98)/(('Cálculos'!$D$200+(($B$111)-$A90)*'Cálculos'!$D$98)+1400)+'Cálculos'!$D$123)*'Cálculos'!$D$280)+('Cálculos'!$D$201*(1+'Cálculos'!$D$202+$A90*('Cálculos'!$D$290=2)*'Cálculos'!$D$101)+'Cálculos'!$D$203)*('Cálculos'!$D$271+'Cálculos'!$D$124*(1+2.78*('Cálculos'!$D$200+(($B$111)-$A90)*'Cálculos'!$D$98)/(('Cálculos'!$D$200+(($B$111)-$A90)*'Cálculos'!$D$98)+1400)+'Cálculos'!$D$122)*'Cálculos'!$D$276+'Cálculos'!$D$125*(1+2.78*('Cálculos'!$D$200+(($B$111)-$A90)*'Cálculos'!$D$98)/(('Cálculos'!$D$200+(($B$111)-$A90)*'Cálculos'!$D$98)+1400)+'Cálculos'!$D$123)*'Cálculos'!$D$281)+('Cálculos'!$D$204*(1+'Cálculos'!$D$205+$A90*('Cálculos'!$D$290=3)*'Cálculos'!$D$103)+'Cálculos'!$D$206)*('Cálculos'!$D$272+'Cálculos'!$D$124*(1+2.78*('Cálculos'!$D$200+(($B$111)-$A90)*'Cálculos'!$D$98)/(('Cálculos'!$D$200+(($B$111)-$A90)*'Cálculos'!$D$98)+1400)+'Cálculos'!$D$122)*'Cálculos'!$D$277+'Cálculos'!$D$125*(1+2.78*('Cálculos'!$D$200+(($B$111)-$A90)*'Cálculos'!$D$98)/(('Cálculos'!$D$200+(($B$111)-$A90)*'Cálculos'!$D$98)+1400)+'Cálculos'!$D$123)*'Cálculos'!$D$282)+('Cálculos'!$D$273+'Cálculos'!$D$124*(1+2.78*('Cálculos'!$D$200+(($B$111)-$A90)*'Cálculos'!$D$98)/(('Cálculos'!$D$200+(($B$111)-$A90)*'Cálculos'!$D$98)+1400)+'Cálculos'!$D$122)*'Cálculos'!$D$278+'Cálculos'!$D$125*(1+2.78*('Cálculos'!$D$200+(($B$111)-$A90)*'Cálculos'!$D$98)/(('Cálculos'!$D$200+(($B$111)-$A90)*'Cálculos'!$D$98)+1400)+'Cálculos'!$D$123)*'Cálculos'!$D$283)))</f>
        <v>0</v>
      </c>
    </row>
    <row r="91" ht="15.75" customHeight="1">
      <c r="A91" s="2">
        <v>28.0</v>
      </c>
      <c r="B91" s="30">
        <f>SUMPRODUCT(MAX(($A$63:$A$108&lt;=$A91)*($A$63:$A$108&lt;='Cálculos'!$D$294)*(($A91)-$A$63:$A$108&lt;='Cálculos'!$D$295)*(1+(('Cálculos'!$D$207+$A$63:$A$108*'Cálculos'!$D$95)-(('Cálculos'!$D$207+$A$63:$A$108*'Cálculos'!$D$95)&gt;1)*(('Cálculos'!$D$207+$A$63:$A$108*'Cálculos'!$D$95)-1))*('Cálculos'!$D$208+(($A91)-$A$63:$A$108)*'Cálculos'!$D$96))))</f>
        <v>2.020453979</v>
      </c>
      <c r="C91" s="2">
        <f>'Cálculos'!$D$303-$A91</f>
        <v>-17</v>
      </c>
      <c r="D91" s="31">
        <f>IF($C91&lt;0,0,SUMPRODUCT(MAX(($A$63:$A$108&lt;=$C91)*($A$63:$A$108&lt;='Cálculos'!$D$301)*(($C91)-$A$63:$A$108&lt;='Cálculos'!$D$297)*(('Cálculos'!$D$185*(1+'Cálculos'!$D$186+$A$63:$A$108*('Cálculos'!$D$290=1)*'Cálculos'!$D$97+'Cálculos'!$D$305)+'Cálculos'!$D$191)*('Cálculos'!$D$209+'Cálculos'!$D$124*(1+2.78*('Cálculos'!$D$196+(($C91)-$A$63:$A$108)*'Cálculos'!$D$98)/(('Cálculos'!$D$196+(($C91)-$A$63:$A$108)*'Cálculos'!$D$98)+1400)+'Cálculos'!$D$122)*'Cálculos'!$D$214+'Cálculos'!$D$125*(1+2.78*('Cálculos'!$D$196+(($C91)-$A$63:$A$108)*'Cálculos'!$D$98)/(('Cálculos'!$D$196+(($C91)-$A$63:$A$108)*'Cálculos'!$D$98)+1400)+'Cálculos'!$D$123)*'Cálculos'!$D$219)+('Cálculos'!$D$196+(($C91)-$A$63:$A$108)*'Cálculos'!$D$98)*('Cálculos'!$D$210+'Cálculos'!$D$124*(1+2.78*('Cálculos'!$D$196+(($C91)-$A$63:$A$108)*'Cálculos'!$D$98)/(('Cálculos'!$D$196+(($C91)-$A$63:$A$108)*'Cálculos'!$D$98)+1400)+'Cálculos'!$D$122)*'Cálculos'!$D$215+'Cálculos'!$D$125*(1+2.78*('Cálculos'!$D$196+(($C91)-$A$63:$A$108)*'Cálculos'!$D$98)/(('Cálculos'!$D$196+(($C91)-$A$63:$A$108)*'Cálculos'!$D$98)+1400)+'Cálculos'!$D$123)*'Cálculos'!$D$220)+('Cálculos'!$D$201*(1+'Cálculos'!$D$202+$A$63:$A$108*('Cálculos'!$D$290=2)*'Cálculos'!$D$101)+'Cálculos'!$D$203)*('Cálculos'!$D$211+'Cálculos'!$D$124*(1+2.78*('Cálculos'!$D$196+(($C91)-$A$63:$A$108)*'Cálculos'!$D$98)/(('Cálculos'!$D$196+(($C91)-$A$63:$A$108)*'Cálculos'!$D$98)+1400)+'Cálculos'!$D$122)*'Cálculos'!$D$216+'Cálculos'!$D$125*(1+2.78*('Cálculos'!$D$196+(($C91)-$A$63:$A$108)*'Cálculos'!$D$98)/(('Cálculos'!$D$196+(($C91)-$A$63:$A$108)*'Cálculos'!$D$98)+1400)+'Cálculos'!$D$123)*'Cálculos'!$D$221)+('Cálculos'!$D$204*(1+'Cálculos'!$D$205+$A$63:$A$108*('Cálculos'!$D$290=3)*'Cálculos'!$D$103)+'Cálculos'!$D$206)*('Cálculos'!$D$212+'Cálculos'!$D$124*(1+2.78*('Cálculos'!$D$196+(($C91)-$A$63:$A$108)*'Cálculos'!$D$98)/(('Cálculos'!$D$196+(($C91)-$A$63:$A$108)*'Cálculos'!$D$98)+1400)+'Cálculos'!$D$122)*'Cálculos'!$D$217+'Cálculos'!$D$125*(1+2.78*('Cálculos'!$D$196+(($C91)-$A$63:$A$108)*'Cálculos'!$D$98)/(('Cálculos'!$D$196+(($C91)-$A$63:$A$108)*'Cálculos'!$D$98)+1400)+'Cálculos'!$D$123)*'Cálculos'!$D$222)+('Cálculos'!$D$213+'Cálculos'!$D$124*(1+2.78*('Cálculos'!$D$196+(($C91)-$A$63:$A$108)*'Cálculos'!$D$98)/(('Cálculos'!$D$196+(($C91)-$A$63:$A$108)*'Cálculos'!$D$98)+1400)+'Cálculos'!$D$122)*'Cálculos'!$D$218+'Cálculos'!$D$125*(1+2.78*('Cálculos'!$D$196+(($C91)-$A$63:$A$108)*'Cálculos'!$D$98)/(('Cálculos'!$D$196+(($C91)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91)-$A$63:$A$108)*'Cálculos'!$D$98)/(('Cálculos'!$D$197+(($C91)-$A$63:$A$108)*'Cálculos'!$D$98)+1400)+'Cálculos'!$D$122)*'Cálculos'!$D$229+'Cálculos'!$D$125*(1+2.78*('Cálculos'!$D$197+(($C91)-$A$63:$A$108)*'Cálculos'!$D$98)/(('Cálculos'!$D$197+(($C91)-$A$63:$A$108)*'Cálculos'!$D$98)+1400)+'Cálculos'!$D$123)*'Cálculos'!$D$234)+('Cálculos'!$D$197+(($C91)-$A$63:$A$108)*'Cálculos'!$D$98)*('Cálculos'!$D$225+'Cálculos'!$D$124*(1+2.78*('Cálculos'!$D$197+(($C91)-$A$63:$A$108)*'Cálculos'!$D$98)/(('Cálculos'!$D$197+(($C91)-$A$63:$A$108)*'Cálculos'!$D$98)+1400)+'Cálculos'!$D$122)*'Cálculos'!$D$230+'Cálculos'!$D$125*(1+2.78*('Cálculos'!$D$197+(($C91)-$A$63:$A$108)*'Cálculos'!$D$98)/(('Cálculos'!$D$197+(($C91)-$A$63:$A$108)*'Cálculos'!$D$98)+1400)+'Cálculos'!$D$123)*'Cálculos'!$D$235)+('Cálculos'!$D$201*(1+'Cálculos'!$D$202+$A$63:$A$108*('Cálculos'!$D$290=2)*'Cálculos'!$D$101)+'Cálculos'!$D$203)*('Cálculos'!$D$226+'Cálculos'!$D$124*(1+2.78*('Cálculos'!$D$197+(($C91)-$A$63:$A$108)*'Cálculos'!$D$98)/(('Cálculos'!$D$197+(($C91)-$A$63:$A$108)*'Cálculos'!$D$98)+1400)+'Cálculos'!$D$122)*'Cálculos'!$D$231+'Cálculos'!$D$125*(1+2.78*('Cálculos'!$D$197+(($C91)-$A$63:$A$108)*'Cálculos'!$D$98)/(('Cálculos'!$D$197+(($C91)-$A$63:$A$108)*'Cálculos'!$D$98)+1400)+'Cálculos'!$D$123)*'Cálculos'!$D$236)+('Cálculos'!$D$204*(1+'Cálculos'!$D$205+$A$63:$A$108*('Cálculos'!$D$290=3)*'Cálculos'!$D$103)+'Cálculos'!$D$206)*('Cálculos'!$D$227+'Cálculos'!$D$124*(1+2.78*('Cálculos'!$D$197+(($C91)-$A$63:$A$108)*'Cálculos'!$D$98)/(('Cálculos'!$D$197+(($C91)-$A$63:$A$108)*'Cálculos'!$D$98)+1400)+'Cálculos'!$D$122)*'Cálculos'!$D$232+'Cálculos'!$D$125*(1+2.78*('Cálculos'!$D$197+(($C91)-$A$63:$A$108)*'Cálculos'!$D$98)/(('Cálculos'!$D$197+(($C91)-$A$63:$A$108)*'Cálculos'!$D$98)+1400)+'Cálculos'!$D$123)*'Cálculos'!$D$237)+('Cálculos'!$D$228+'Cálculos'!$D$124*(1+2.78*('Cálculos'!$D$197+(($C91)-$A$63:$A$108)*'Cálculos'!$D$98)/(('Cálculos'!$D$197+(($C91)-$A$63:$A$108)*'Cálculos'!$D$98)+1400)+'Cálculos'!$D$122)*'Cálculos'!$D$233+'Cálculos'!$D$125*(1+2.78*('Cálculos'!$D$197+(($C91)-$A$63:$A$108)*'Cálculos'!$D$98)/(('Cálculos'!$D$197+(($C91)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91)-$A$63:$A$108)*'Cálculos'!$D$98)/(('Cálculos'!$D$198+(($C91)-$A$63:$A$108)*'Cálculos'!$D$98)+1400)+'Cálculos'!$D$122)*'Cálculos'!$D$244+'Cálculos'!$D$125*(1+2.78*('Cálculos'!$D$198+(($C91)-$A$63:$A$108)*'Cálculos'!$D$98)/(('Cálculos'!$D$198+(($C91)-$A$63:$A$108)*'Cálculos'!$D$98)+1400)+'Cálculos'!$D$123)*'Cálculos'!$D$249)+('Cálculos'!$D$198+(($C91)-$A$63:$A$108)*'Cálculos'!$D$98)*('Cálculos'!$D$240+'Cálculos'!$D$124*(1+2.78*('Cálculos'!$D$198+(($C91)-$A$63:$A$108)*'Cálculos'!$D$98)/(('Cálculos'!$D$198+(($C91)-$A$63:$A$108)*'Cálculos'!$D$98)+1400)+'Cálculos'!$D$122)*'Cálculos'!$D$245+'Cálculos'!$D$125*(1+2.78*('Cálculos'!$D$198+(($C91)-$A$63:$A$108)*'Cálculos'!$D$98)/(('Cálculos'!$D$198+(($C91)-$A$63:$A$108)*'Cálculos'!$D$98)+1400)+'Cálculos'!$D$123)*'Cálculos'!$D$250)+('Cálculos'!$D$201*(1+'Cálculos'!$D$202+$A$63:$A$108*('Cálculos'!$D$290=2)*'Cálculos'!$D$101)+'Cálculos'!$D$203)*('Cálculos'!$D$241+'Cálculos'!$D$124*(1+2.78*('Cálculos'!$D$198+(($C91)-$A$63:$A$108)*'Cálculos'!$D$98)/(('Cálculos'!$D$198+(($C91)-$A$63:$A$108)*'Cálculos'!$D$98)+1400)+'Cálculos'!$D$122)*'Cálculos'!$D$246+'Cálculos'!$D$125*(1+2.78*('Cálculos'!$D$198+(($C91)-$A$63:$A$108)*'Cálculos'!$D$98)/(('Cálculos'!$D$198+(($C91)-$A$63:$A$108)*'Cálculos'!$D$98)+1400)+'Cálculos'!$D$123)*'Cálculos'!$D$251)+('Cálculos'!$D$204*(1+'Cálculos'!$D$205+$A$63:$A$108*('Cálculos'!$D$290=3)*'Cálculos'!$D$103)+'Cálculos'!$D$206)*('Cálculos'!$D$242+'Cálculos'!$D$124*(1+2.78*('Cálculos'!$D$198+(($C91)-$A$63:$A$108)*'Cálculos'!$D$98)/(('Cálculos'!$D$198+(($C91)-$A$63:$A$108)*'Cálculos'!$D$98)+1400)+'Cálculos'!$D$122)*'Cálculos'!$D$247+'Cálculos'!$D$125*(1+2.78*('Cálculos'!$D$198+(($C91)-$A$63:$A$108)*'Cálculos'!$D$98)/(('Cálculos'!$D$198+(($C91)-$A$63:$A$108)*'Cálculos'!$D$98)+1400)+'Cálculos'!$D$123)*'Cálculos'!$D$252)+('Cálculos'!$D$243+'Cálculos'!$D$124*(1+2.78*('Cálculos'!$D$198+(($C91)-$A$63:$A$108)*'Cálculos'!$D$98)/(('Cálculos'!$D$198+(($C91)-$A$63:$A$108)*'Cálculos'!$D$98)+1400)+'Cálculos'!$D$122)*'Cálculos'!$D$248+'Cálculos'!$D$125*(1+2.78*('Cálculos'!$D$198+(($C91)-$A$63:$A$108)*'Cálculos'!$D$98)/(('Cálculos'!$D$198+(($C91)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91)-$A$63:$A$108)*'Cálculos'!$D$98)/(('Cálculos'!$D$199+(($C91)-$A$63:$A$108)*'Cálculos'!$D$98)+1400)+'Cálculos'!$D$122)*'Cálculos'!$D$259+'Cálculos'!$D$125*(1+2.78*('Cálculos'!$D$199+(($C91)-$A$63:$A$108)*'Cálculos'!$D$98)/(('Cálculos'!$D$199+(($C91)-$A$63:$A$108)*'Cálculos'!$D$98)+1400)+'Cálculos'!$D$123)*'Cálculos'!$D$264)+('Cálculos'!$D$199+(($C91)-$A$63:$A$108)*'Cálculos'!$D$98)*('Cálculos'!$D$255+'Cálculos'!$D$124*(1+2.78*('Cálculos'!$D$199+(($C91)-$A$63:$A$108)*'Cálculos'!$D$98)/(('Cálculos'!$D$199+(($C91)-$A$63:$A$108)*'Cálculos'!$D$98)+1400)+'Cálculos'!$D$122)*'Cálculos'!$D$260+'Cálculos'!$D$125*(1+2.78*('Cálculos'!$D$199+(($C91)-$A$63:$A$108)*'Cálculos'!$D$98)/(('Cálculos'!$D$199+(($C91)-$A$63:$A$108)*'Cálculos'!$D$98)+1400)+'Cálculos'!$D$123)*'Cálculos'!$D$265)+('Cálculos'!$D$201*(1+'Cálculos'!$D$202+$A$63:$A$108*('Cálculos'!$D$290=2)*'Cálculos'!$D$101)+'Cálculos'!$D$203)*('Cálculos'!$D$256+'Cálculos'!$D$124*(1+2.78*('Cálculos'!$D$199+(($C91)-$A$63:$A$108)*'Cálculos'!$D$98)/(('Cálculos'!$D$199+(($C91)-$A$63:$A$108)*'Cálculos'!$D$98)+1400)+'Cálculos'!$D$122)*'Cálculos'!$D$261+'Cálculos'!$D$125*(1+2.78*('Cálculos'!$D$199+(($C91)-$A$63:$A$108)*'Cálculos'!$D$98)/(('Cálculos'!$D$199+(($C91)-$A$63:$A$108)*'Cálculos'!$D$98)+1400)+'Cálculos'!$D$123)*'Cálculos'!$D$266)+('Cálculos'!$D$204*(1+'Cálculos'!$D$205+$A$63:$A$108*('Cálculos'!$D$290=3)*'Cálculos'!$D$103)+'Cálculos'!$D$206)*('Cálculos'!$D$257+'Cálculos'!$D$124*(1+2.78*('Cálculos'!$D$199+(($C91)-$A$63:$A$108)*'Cálculos'!$D$98)/(('Cálculos'!$D$199+(($C91)-$A$63:$A$108)*'Cálculos'!$D$98)+1400)+'Cálculos'!$D$122)*'Cálculos'!$D$262+'Cálculos'!$D$125*(1+2.78*('Cálculos'!$D$199+(($C91)-$A$63:$A$108)*'Cálculos'!$D$98)/(('Cálculos'!$D$199+(($C91)-$A$63:$A$108)*'Cálculos'!$D$98)+1400)+'Cálculos'!$D$123)*'Cálculos'!$D$267)+('Cálculos'!$D$258+'Cálculos'!$D$124*(1+2.78*('Cálculos'!$D$199+(($C91)-$A$63:$A$108)*'Cálculos'!$D$98)/(('Cálculos'!$D$199+(($C91)-$A$63:$A$108)*'Cálculos'!$D$98)+1400)+'Cálculos'!$D$122)*'Cálculos'!$D$263+'Cálculos'!$D$125*(1+2.78*('Cálculos'!$D$199+(($C91)-$A$63:$A$108)*'Cálculos'!$D$98)/(('Cálculos'!$D$199+(($C91)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91)-$A$63:$A$108)*'Cálculos'!$D$98)/(('Cálculos'!$D$200+(($C91)-$A$63:$A$108)*'Cálculos'!$D$98)+1400)+'Cálculos'!$D$122)*'Cálculos'!$D$274+'Cálculos'!$D$125*(1+2.78*('Cálculos'!$D$200+(($C91)-$A$63:$A$108)*'Cálculos'!$D$98)/(('Cálculos'!$D$200+(($C91)-$A$63:$A$108)*'Cálculos'!$D$98)+1400)+'Cálculos'!$D$123)*'Cálculos'!$D$279)+('Cálculos'!$D$200+(($C91)-$A$63:$A$108)*'Cálculos'!$D$98)*('Cálculos'!$D$270+'Cálculos'!$D$124*(1+2.78*('Cálculos'!$D$200+(($C91)-$A$63:$A$108)*'Cálculos'!$D$98)/(('Cálculos'!$D$200+(($C91)-$A$63:$A$108)*'Cálculos'!$D$98)+1400)+'Cálculos'!$D$122)*'Cálculos'!$D$275+'Cálculos'!$D$125*(1+2.78*('Cálculos'!$D$200+(($C91)-$A$63:$A$108)*'Cálculos'!$D$98)/(('Cálculos'!$D$200+(($C91)-$A$63:$A$108)*'Cálculos'!$D$98)+1400)+'Cálculos'!$D$123)*'Cálculos'!$D$280)+('Cálculos'!$D$201*(1+'Cálculos'!$D$202+$A$63:$A$108*('Cálculos'!$D$290=2)*'Cálculos'!$D$101)+'Cálculos'!$D$203)*('Cálculos'!$D$271+'Cálculos'!$D$124*(1+2.78*('Cálculos'!$D$200+(($C91)-$A$63:$A$108)*'Cálculos'!$D$98)/(('Cálculos'!$D$200+(($C91)-$A$63:$A$108)*'Cálculos'!$D$98)+1400)+'Cálculos'!$D$122)*'Cálculos'!$D$276+'Cálculos'!$D$125*(1+2.78*('Cálculos'!$D$200+(($C91)-$A$63:$A$108)*'Cálculos'!$D$98)/(('Cálculos'!$D$200+(($C91)-$A$63:$A$108)*'Cálculos'!$D$98)+1400)+'Cálculos'!$D$123)*'Cálculos'!$D$281)+('Cálculos'!$D$204*(1+'Cálculos'!$D$205+$A$63:$A$108*('Cálculos'!$D$290=3)*'Cálculos'!$D$103)+'Cálculos'!$D$206)*('Cálculos'!$D$272+'Cálculos'!$D$124*(1+2.78*('Cálculos'!$D$200+(($C91)-$A$63:$A$108)*'Cálculos'!$D$98)/(('Cálculos'!$D$200+(($C91)-$A$63:$A$108)*'Cálculos'!$D$98)+1400)+'Cálculos'!$D$122)*'Cálculos'!$D$277+'Cálculos'!$D$125*(1+2.78*('Cálculos'!$D$200+(($C91)-$A$63:$A$108)*'Cálculos'!$D$98)/(('Cálculos'!$D$200+(($C91)-$A$63:$A$108)*'Cálculos'!$D$98)+1400)+'Cálculos'!$D$123)*'Cálculos'!$D$282)+('Cálculos'!$D$273+'Cálculos'!$D$124*(1+2.78*('Cálculos'!$D$200+(($C91)-$A$63:$A$108)*'Cálculos'!$D$98)/(('Cálculos'!$D$200+(($C91)-$A$63:$A$108)*'Cálculos'!$D$98)+1400)+'Cálculos'!$D$122)*'Cálculos'!$D$278+'Cálculos'!$D$125*(1+2.78*('Cálculos'!$D$200+(($C91)-$A$63:$A$108)*'Cálculos'!$D$98)/(('Cálculos'!$D$200+(($C91)-$A$63:$A$108)*'Cálculos'!$D$98)+1400)+'Cálculos'!$D$123)*'Cálculos'!$D$283)))))</f>
        <v>0</v>
      </c>
      <c r="E91" s="32">
        <f>IF(OR($C91&lt;0,'Cálculos'!$D$6=""),0,$B91*$D91)</f>
        <v>0</v>
      </c>
      <c r="F91" s="2"/>
      <c r="G91" s="30">
        <f>($A91&lt;=$B$110)*($A91&lt;='Cálculos'!$D$294)*(($B$110)-$A91&lt;='Cálculos'!$D$295)*(1+MIN(('Cálculos'!$D$207+$A91*'Cálculos'!$D$95),1)*('Cálculos'!$D$208+(($B$110)-$A91)*'Cálculos'!$D$96))</f>
        <v>0</v>
      </c>
      <c r="H91" s="31">
        <f>IF($B$111&lt;0,0,($A91&lt;=$B$111)*($A91&lt;='Cálculos'!$D$301)*(($B$111)-$A91&lt;='Cálculos'!$D$297)*(('Cálculos'!$D$185*(1+'Cálculos'!$D$186+$A91*('Cálculos'!$D$290=1)*'Cálculos'!$D$97+'Cálculos'!$D$305)+'Cálculos'!$D$191)*('Cálculos'!$D$209+'Cálculos'!$D$124*(1+2.78*('Cálculos'!$D$196+(($B$111)-$A91)*'Cálculos'!$D$98)/(('Cálculos'!$D$196+(($B$111)-$A91)*'Cálculos'!$D$98)+1400)+'Cálculos'!$D$122)*'Cálculos'!$D$214+'Cálculos'!$D$125*(1+2.78*('Cálculos'!$D$196+(($B$111)-$A91)*'Cálculos'!$D$98)/(('Cálculos'!$D$196+(($B$111)-$A91)*'Cálculos'!$D$98)+1400)+'Cálculos'!$D$123)*'Cálculos'!$D$219)+('Cálculos'!$D$196+(($B$111)-$A91)*'Cálculos'!$D$98)*('Cálculos'!$D$210+'Cálculos'!$D$124*(1+2.78*('Cálculos'!$D$196+(($B$111)-$A91)*'Cálculos'!$D$98)/(('Cálculos'!$D$196+(($B$111)-$A91)*'Cálculos'!$D$98)+1400)+'Cálculos'!$D$122)*'Cálculos'!$D$215+'Cálculos'!$D$125*(1+2.78*('Cálculos'!$D$196+(($B$111)-$A91)*'Cálculos'!$D$98)/(('Cálculos'!$D$196+(($B$111)-$A91)*'Cálculos'!$D$98)+1400)+'Cálculos'!$D$123)*'Cálculos'!$D$220)+('Cálculos'!$D$201*(1+'Cálculos'!$D$202+$A91*('Cálculos'!$D$290=2)*'Cálculos'!$D$101)+'Cálculos'!$D$203)*('Cálculos'!$D$211+'Cálculos'!$D$124*(1+2.78*('Cálculos'!$D$196+(($B$111)-$A91)*'Cálculos'!$D$98)/(('Cálculos'!$D$196+(($B$111)-$A91)*'Cálculos'!$D$98)+1400)+'Cálculos'!$D$122)*'Cálculos'!$D$216+'Cálculos'!$D$125*(1+2.78*('Cálculos'!$D$196+(($B$111)-$A91)*'Cálculos'!$D$98)/(('Cálculos'!$D$196+(($B$111)-$A91)*'Cálculos'!$D$98)+1400)+'Cálculos'!$D$123)*'Cálculos'!$D$221)+('Cálculos'!$D$204*(1+'Cálculos'!$D$205+$A91*('Cálculos'!$D$290=3)*'Cálculos'!$D$103)+'Cálculos'!$D$206)*('Cálculos'!$D$212+'Cálculos'!$D$124*(1+2.78*('Cálculos'!$D$196+(($B$111)-$A91)*'Cálculos'!$D$98)/(('Cálculos'!$D$196+(($B$111)-$A91)*'Cálculos'!$D$98)+1400)+'Cálculos'!$D$122)*'Cálculos'!$D$217+'Cálculos'!$D$125*(1+2.78*('Cálculos'!$D$196+(($B$111)-$A91)*'Cálculos'!$D$98)/(('Cálculos'!$D$196+(($B$111)-$A91)*'Cálculos'!$D$98)+1400)+'Cálculos'!$D$123)*'Cálculos'!$D$222)+('Cálculos'!$D$213+'Cálculos'!$D$124*(1+2.78*('Cálculos'!$D$196+(($B$111)-$A91)*'Cálculos'!$D$98)/(('Cálculos'!$D$196+(($B$111)-$A91)*'Cálculos'!$D$98)+1400)+'Cálculos'!$D$122)*'Cálculos'!$D$218+'Cálculos'!$D$125*(1+2.78*('Cálculos'!$D$196+(($B$111)-$A91)*'Cálculos'!$D$98)/(('Cálculos'!$D$196+(($B$111)-$A91)*'Cálculos'!$D$98)+1400)+'Cálculos'!$D$123)*'Cálculos'!$D$223)+('Cálculos'!$D$185*(1+'Cálculos'!$D$187+$A91*('Cálculos'!$D$290=1)*'Cálculos'!$D$97+'Cálculos'!$D$305)+'Cálculos'!$D$192)*('Cálculos'!$D$224+'Cálculos'!$D$124*(1+2.78*('Cálculos'!$D$197+(($B$111)-$A91)*'Cálculos'!$D$98)/(('Cálculos'!$D$197+(($B$111)-$A91)*'Cálculos'!$D$98)+1400)+'Cálculos'!$D$122)*'Cálculos'!$D$229+'Cálculos'!$D$125*(1+2.78*('Cálculos'!$D$197+(($B$111)-$A91)*'Cálculos'!$D$98)/(('Cálculos'!$D$197+(($B$111)-$A91)*'Cálculos'!$D$98)+1400)+'Cálculos'!$D$123)*'Cálculos'!$D$234)+('Cálculos'!$D$197+(($B$111)-$A91)*'Cálculos'!$D$98)*('Cálculos'!$D$225+'Cálculos'!$D$124*(1+2.78*('Cálculos'!$D$197+(($B$111)-$A91)*'Cálculos'!$D$98)/(('Cálculos'!$D$197+(($B$111)-$A91)*'Cálculos'!$D$98)+1400)+'Cálculos'!$D$122)*'Cálculos'!$D$230+'Cálculos'!$D$125*(1+2.78*('Cálculos'!$D$197+(($B$111)-$A91)*'Cálculos'!$D$98)/(('Cálculos'!$D$197+(($B$111)-$A91)*'Cálculos'!$D$98)+1400)+'Cálculos'!$D$123)*'Cálculos'!$D$235)+('Cálculos'!$D$201*(1+'Cálculos'!$D$202+$A91*('Cálculos'!$D$290=2)*'Cálculos'!$D$101)+'Cálculos'!$D$203)*('Cálculos'!$D$226+'Cálculos'!$D$124*(1+2.78*('Cálculos'!$D$197+(($B$111)-$A91)*'Cálculos'!$D$98)/(('Cálculos'!$D$197+(($B$111)-$A91)*'Cálculos'!$D$98)+1400)+'Cálculos'!$D$122)*'Cálculos'!$D$231+'Cálculos'!$D$125*(1+2.78*('Cálculos'!$D$197+(($B$111)-$A91)*'Cálculos'!$D$98)/(('Cálculos'!$D$197+(($B$111)-$A91)*'Cálculos'!$D$98)+1400)+'Cálculos'!$D$123)*'Cálculos'!$D$236)+('Cálculos'!$D$204*(1+'Cálculos'!$D$205+$A91*('Cálculos'!$D$290=3)*'Cálculos'!$D$103)+'Cálculos'!$D$206)*('Cálculos'!$D$227+'Cálculos'!$D$124*(1+2.78*('Cálculos'!$D$197+(($B$111)-$A91)*'Cálculos'!$D$98)/(('Cálculos'!$D$197+(($B$111)-$A91)*'Cálculos'!$D$98)+1400)+'Cálculos'!$D$122)*'Cálculos'!$D$232+'Cálculos'!$D$125*(1+2.78*('Cálculos'!$D$197+(($B$111)-$A91)*'Cálculos'!$D$98)/(('Cálculos'!$D$197+(($B$111)-$A91)*'Cálculos'!$D$98)+1400)+'Cálculos'!$D$123)*'Cálculos'!$D$237)+('Cálculos'!$D$228+'Cálculos'!$D$124*(1+2.78*('Cálculos'!$D$197+(($B$111)-$A91)*'Cálculos'!$D$98)/(('Cálculos'!$D$197+(($B$111)-$A91)*'Cálculos'!$D$98)+1400)+'Cálculos'!$D$122)*'Cálculos'!$D$233+'Cálculos'!$D$125*(1+2.78*('Cálculos'!$D$197+(($B$111)-$A91)*'Cálculos'!$D$98)/(('Cálculos'!$D$197+(($B$111)-$A91)*'Cálculos'!$D$98)+1400)+'Cálculos'!$D$123)*'Cálculos'!$D$238)+('Cálculos'!$D$185*(1+'Cálculos'!$D$188+$A91*('Cálculos'!$D$290=1)*'Cálculos'!$D$97+'Cálculos'!$D$305)+'Cálculos'!$D$193)*('Cálculos'!$D$239+'Cálculos'!$D$124*(1+2.78*('Cálculos'!$D$198+(($B$111)-$A91)*'Cálculos'!$D$98)/(('Cálculos'!$D$198+(($B$111)-$A91)*'Cálculos'!$D$98)+1400)+'Cálculos'!$D$122)*'Cálculos'!$D$244+'Cálculos'!$D$125*(1+2.78*('Cálculos'!$D$198+(($B$111)-$A91)*'Cálculos'!$D$98)/(('Cálculos'!$D$198+(($B$111)-$A91)*'Cálculos'!$D$98)+1400)+'Cálculos'!$D$123)*'Cálculos'!$D$249)+('Cálculos'!$D$198+(($B$111)-$A91)*'Cálculos'!$D$98)*('Cálculos'!$D$240+'Cálculos'!$D$124*(1+2.78*('Cálculos'!$D$198+(($B$111)-$A91)*'Cálculos'!$D$98)/(('Cálculos'!$D$198+(($B$111)-$A91)*'Cálculos'!$D$98)+1400)+'Cálculos'!$D$122)*'Cálculos'!$D$245+'Cálculos'!$D$125*(1+2.78*('Cálculos'!$D$198+(($B$111)-$A91)*'Cálculos'!$D$98)/(('Cálculos'!$D$198+(($B$111)-$A91)*'Cálculos'!$D$98)+1400)+'Cálculos'!$D$123)*'Cálculos'!$D$250)+('Cálculos'!$D$201*(1+'Cálculos'!$D$202+$A91*('Cálculos'!$D$290=2)*'Cálculos'!$D$101)+'Cálculos'!$D$203)*('Cálculos'!$D$241+'Cálculos'!$D$124*(1+2.78*('Cálculos'!$D$198+(($B$111)-$A91)*'Cálculos'!$D$98)/(('Cálculos'!$D$198+(($B$111)-$A91)*'Cálculos'!$D$98)+1400)+'Cálculos'!$D$122)*'Cálculos'!$D$246+'Cálculos'!$D$125*(1+2.78*('Cálculos'!$D$198+(($B$111)-$A91)*'Cálculos'!$D$98)/(('Cálculos'!$D$198+(($B$111)-$A91)*'Cálculos'!$D$98)+1400)+'Cálculos'!$D$123)*'Cálculos'!$D$251)+('Cálculos'!$D$204*(1+'Cálculos'!$D$205+$A91*('Cálculos'!$D$290=3)*'Cálculos'!$D$103)+'Cálculos'!$D$206)*('Cálculos'!$D$242+'Cálculos'!$D$124*(1+2.78*('Cálculos'!$D$198+(($B$111)-$A91)*'Cálculos'!$D$98)/(('Cálculos'!$D$198+(($B$111)-$A91)*'Cálculos'!$D$98)+1400)+'Cálculos'!$D$122)*'Cálculos'!$D$247+'Cálculos'!$D$125*(1+2.78*('Cálculos'!$D$198+(($B$111)-$A91)*'Cálculos'!$D$98)/(('Cálculos'!$D$198+(($B$111)-$A91)*'Cálculos'!$D$98)+1400)+'Cálculos'!$D$123)*'Cálculos'!$D$252)+('Cálculos'!$D$243+'Cálculos'!$D$124*(1+2.78*('Cálculos'!$D$198+(($B$111)-$A91)*'Cálculos'!$D$98)/(('Cálculos'!$D$198+(($B$111)-$A91)*'Cálculos'!$D$98)+1400)+'Cálculos'!$D$122)*'Cálculos'!$D$248+'Cálculos'!$D$125*(1+2.78*('Cálculos'!$D$198+(($B$111)-$A91)*'Cálculos'!$D$98)/(('Cálculos'!$D$198+(($B$111)-$A91)*'Cálculos'!$D$98)+1400)+'Cálculos'!$D$123)*'Cálculos'!$D$253)+('Cálculos'!$D$185*(1+'Cálculos'!$D$189+$A91*('Cálculos'!$D$290=1)*'Cálculos'!$D$97+'Cálculos'!$D$305)+'Cálculos'!$D$194)*('Cálculos'!$D$254+'Cálculos'!$D$124*(1+2.78*('Cálculos'!$D$199+(($B$111)-$A91)*'Cálculos'!$D$98)/(('Cálculos'!$D$199+(($B$111)-$A91)*'Cálculos'!$D$98)+1400)+'Cálculos'!$D$122)*'Cálculos'!$D$259+'Cálculos'!$D$125*(1+2.78*('Cálculos'!$D$199+(($B$111)-$A91)*'Cálculos'!$D$98)/(('Cálculos'!$D$199+(($B$111)-$A91)*'Cálculos'!$D$98)+1400)+'Cálculos'!$D$123)*'Cálculos'!$D$264)+('Cálculos'!$D$199+(($B$111)-$A91)*'Cálculos'!$D$98)*('Cálculos'!$D$255+'Cálculos'!$D$124*(1+2.78*('Cálculos'!$D$199+(($B$111)-$A91)*'Cálculos'!$D$98)/(('Cálculos'!$D$199+(($B$111)-$A91)*'Cálculos'!$D$98)+1400)+'Cálculos'!$D$122)*'Cálculos'!$D$260+'Cálculos'!$D$125*(1+2.78*('Cálculos'!$D$199+(($B$111)-$A91)*'Cálculos'!$D$98)/(('Cálculos'!$D$199+(($B$111)-$A91)*'Cálculos'!$D$98)+1400)+'Cálculos'!$D$123)*'Cálculos'!$D$265)+('Cálculos'!$D$201*(1+'Cálculos'!$D$202+$A91*('Cálculos'!$D$290=2)*'Cálculos'!$D$101)+'Cálculos'!$D$203)*('Cálculos'!$D$256+'Cálculos'!$D$124*(1+2.78*('Cálculos'!$D$199+(($B$111)-$A91)*'Cálculos'!$D$98)/(('Cálculos'!$D$199+(($B$111)-$A91)*'Cálculos'!$D$98)+1400)+'Cálculos'!$D$122)*'Cálculos'!$D$261+'Cálculos'!$D$125*(1+2.78*('Cálculos'!$D$199+(($B$111)-$A91)*'Cálculos'!$D$98)/(('Cálculos'!$D$199+(($B$111)-$A91)*'Cálculos'!$D$98)+1400)+'Cálculos'!$D$123)*'Cálculos'!$D$266)+('Cálculos'!$D$204*(1+'Cálculos'!$D$205+$A91*('Cálculos'!$D$290=3)*'Cálculos'!$D$103)+'Cálculos'!$D$206)*('Cálculos'!$D$257+'Cálculos'!$D$124*(1+2.78*('Cálculos'!$D$199+(($B$111)-$A91)*'Cálculos'!$D$98)/(('Cálculos'!$D$199+(($B$111)-$A91)*'Cálculos'!$D$98)+1400)+'Cálculos'!$D$122)*'Cálculos'!$D$262+'Cálculos'!$D$125*(1+2.78*('Cálculos'!$D$199+(($B$111)-$A91)*'Cálculos'!$D$98)/(('Cálculos'!$D$199+(($B$111)-$A91)*'Cálculos'!$D$98)+1400)+'Cálculos'!$D$123)*'Cálculos'!$D$267)+('Cálculos'!$D$258+'Cálculos'!$D$124*(1+2.78*('Cálculos'!$D$199+(($B$111)-$A91)*'Cálculos'!$D$98)/(('Cálculos'!$D$199+(($B$111)-$A91)*'Cálculos'!$D$98)+1400)+'Cálculos'!$D$122)*'Cálculos'!$D$263+'Cálculos'!$D$125*(1+2.78*('Cálculos'!$D$199+(($B$111)-$A91)*'Cálculos'!$D$98)/(('Cálculos'!$D$199+(($B$111)-$A91)*'Cálculos'!$D$98)+1400)+'Cálculos'!$D$123)*'Cálculos'!$D$268)+('Cálculos'!$D$185*(1+'Cálculos'!$D$190+$A91*('Cálculos'!$D$290=1)*'Cálculos'!$D$97+'Cálculos'!$D$305)+'Cálculos'!$D$195)*('Cálculos'!$D$269+'Cálculos'!$D$124*(1+2.78*('Cálculos'!$D$200+(($B$111)-$A91)*'Cálculos'!$D$98)/(('Cálculos'!$D$200+(($B$111)-$A91)*'Cálculos'!$D$98)+1400)+'Cálculos'!$D$122)*'Cálculos'!$D$274+'Cálculos'!$D$125*(1+2.78*('Cálculos'!$D$200+(($B$111)-$A91)*'Cálculos'!$D$98)/(('Cálculos'!$D$200+(($B$111)-$A91)*'Cálculos'!$D$98)+1400)+'Cálculos'!$D$123)*'Cálculos'!$D$279)+('Cálculos'!$D$200+(($B$111)-$A91)*'Cálculos'!$D$98)*('Cálculos'!$D$270+'Cálculos'!$D$124*(1+2.78*('Cálculos'!$D$200+(($B$111)-$A91)*'Cálculos'!$D$98)/(('Cálculos'!$D$200+(($B$111)-$A91)*'Cálculos'!$D$98)+1400)+'Cálculos'!$D$122)*'Cálculos'!$D$275+'Cálculos'!$D$125*(1+2.78*('Cálculos'!$D$200+(($B$111)-$A91)*'Cálculos'!$D$98)/(('Cálculos'!$D$200+(($B$111)-$A91)*'Cálculos'!$D$98)+1400)+'Cálculos'!$D$123)*'Cálculos'!$D$280)+('Cálculos'!$D$201*(1+'Cálculos'!$D$202+$A91*('Cálculos'!$D$290=2)*'Cálculos'!$D$101)+'Cálculos'!$D$203)*('Cálculos'!$D$271+'Cálculos'!$D$124*(1+2.78*('Cálculos'!$D$200+(($B$111)-$A91)*'Cálculos'!$D$98)/(('Cálculos'!$D$200+(($B$111)-$A91)*'Cálculos'!$D$98)+1400)+'Cálculos'!$D$122)*'Cálculos'!$D$276+'Cálculos'!$D$125*(1+2.78*('Cálculos'!$D$200+(($B$111)-$A91)*'Cálculos'!$D$98)/(('Cálculos'!$D$200+(($B$111)-$A91)*'Cálculos'!$D$98)+1400)+'Cálculos'!$D$123)*'Cálculos'!$D$281)+('Cálculos'!$D$204*(1+'Cálculos'!$D$205+$A91*('Cálculos'!$D$290=3)*'Cálculos'!$D$103)+'Cálculos'!$D$206)*('Cálculos'!$D$272+'Cálculos'!$D$124*(1+2.78*('Cálculos'!$D$200+(($B$111)-$A91)*'Cálculos'!$D$98)/(('Cálculos'!$D$200+(($B$111)-$A91)*'Cálculos'!$D$98)+1400)+'Cálculos'!$D$122)*'Cálculos'!$D$277+'Cálculos'!$D$125*(1+2.78*('Cálculos'!$D$200+(($B$111)-$A91)*'Cálculos'!$D$98)/(('Cálculos'!$D$200+(($B$111)-$A91)*'Cálculos'!$D$98)+1400)+'Cálculos'!$D$123)*'Cálculos'!$D$282)+('Cálculos'!$D$273+'Cálculos'!$D$124*(1+2.78*('Cálculos'!$D$200+(($B$111)-$A91)*'Cálculos'!$D$98)/(('Cálculos'!$D$200+(($B$111)-$A91)*'Cálculos'!$D$98)+1400)+'Cálculos'!$D$122)*'Cálculos'!$D$278+'Cálculos'!$D$125*(1+2.78*('Cálculos'!$D$200+(($B$111)-$A91)*'Cálculos'!$D$98)/(('Cálculos'!$D$200+(($B$111)-$A91)*'Cálculos'!$D$98)+1400)+'Cálculos'!$D$123)*'Cálculos'!$D$283)))</f>
        <v>0</v>
      </c>
    </row>
    <row r="92" ht="15.75" customHeight="1">
      <c r="A92" s="2">
        <v>29.0</v>
      </c>
      <c r="B92" s="30">
        <f>SUMPRODUCT(MAX(($A$63:$A$108&lt;=$A92)*($A$63:$A$108&lt;='Cálculos'!$D$294)*(($A92)-$A$63:$A$108&lt;='Cálculos'!$D$295)*(1+(('Cálculos'!$D$207+$A$63:$A$108*'Cálculos'!$D$95)-(('Cálculos'!$D$207+$A$63:$A$108*'Cálculos'!$D$95)&gt;1)*(('Cálculos'!$D$207+$A$63:$A$108*'Cálculos'!$D$95)-1))*('Cálculos'!$D$208+(($A92)-$A$63:$A$108)*'Cálculos'!$D$96))))</f>
        <v>2.061159003</v>
      </c>
      <c r="C92" s="2">
        <f>'Cálculos'!$D$303-$A92</f>
        <v>-18</v>
      </c>
      <c r="D92" s="31">
        <f>IF($C92&lt;0,0,SUMPRODUCT(MAX(($A$63:$A$108&lt;=$C92)*($A$63:$A$108&lt;='Cálculos'!$D$301)*(($C92)-$A$63:$A$108&lt;='Cálculos'!$D$297)*(('Cálculos'!$D$185*(1+'Cálculos'!$D$186+$A$63:$A$108*('Cálculos'!$D$290=1)*'Cálculos'!$D$97+'Cálculos'!$D$305)+'Cálculos'!$D$191)*('Cálculos'!$D$209+'Cálculos'!$D$124*(1+2.78*('Cálculos'!$D$196+(($C92)-$A$63:$A$108)*'Cálculos'!$D$98)/(('Cálculos'!$D$196+(($C92)-$A$63:$A$108)*'Cálculos'!$D$98)+1400)+'Cálculos'!$D$122)*'Cálculos'!$D$214+'Cálculos'!$D$125*(1+2.78*('Cálculos'!$D$196+(($C92)-$A$63:$A$108)*'Cálculos'!$D$98)/(('Cálculos'!$D$196+(($C92)-$A$63:$A$108)*'Cálculos'!$D$98)+1400)+'Cálculos'!$D$123)*'Cálculos'!$D$219)+('Cálculos'!$D$196+(($C92)-$A$63:$A$108)*'Cálculos'!$D$98)*('Cálculos'!$D$210+'Cálculos'!$D$124*(1+2.78*('Cálculos'!$D$196+(($C92)-$A$63:$A$108)*'Cálculos'!$D$98)/(('Cálculos'!$D$196+(($C92)-$A$63:$A$108)*'Cálculos'!$D$98)+1400)+'Cálculos'!$D$122)*'Cálculos'!$D$215+'Cálculos'!$D$125*(1+2.78*('Cálculos'!$D$196+(($C92)-$A$63:$A$108)*'Cálculos'!$D$98)/(('Cálculos'!$D$196+(($C92)-$A$63:$A$108)*'Cálculos'!$D$98)+1400)+'Cálculos'!$D$123)*'Cálculos'!$D$220)+('Cálculos'!$D$201*(1+'Cálculos'!$D$202+$A$63:$A$108*('Cálculos'!$D$290=2)*'Cálculos'!$D$101)+'Cálculos'!$D$203)*('Cálculos'!$D$211+'Cálculos'!$D$124*(1+2.78*('Cálculos'!$D$196+(($C92)-$A$63:$A$108)*'Cálculos'!$D$98)/(('Cálculos'!$D$196+(($C92)-$A$63:$A$108)*'Cálculos'!$D$98)+1400)+'Cálculos'!$D$122)*'Cálculos'!$D$216+'Cálculos'!$D$125*(1+2.78*('Cálculos'!$D$196+(($C92)-$A$63:$A$108)*'Cálculos'!$D$98)/(('Cálculos'!$D$196+(($C92)-$A$63:$A$108)*'Cálculos'!$D$98)+1400)+'Cálculos'!$D$123)*'Cálculos'!$D$221)+('Cálculos'!$D$204*(1+'Cálculos'!$D$205+$A$63:$A$108*('Cálculos'!$D$290=3)*'Cálculos'!$D$103)+'Cálculos'!$D$206)*('Cálculos'!$D$212+'Cálculos'!$D$124*(1+2.78*('Cálculos'!$D$196+(($C92)-$A$63:$A$108)*'Cálculos'!$D$98)/(('Cálculos'!$D$196+(($C92)-$A$63:$A$108)*'Cálculos'!$D$98)+1400)+'Cálculos'!$D$122)*'Cálculos'!$D$217+'Cálculos'!$D$125*(1+2.78*('Cálculos'!$D$196+(($C92)-$A$63:$A$108)*'Cálculos'!$D$98)/(('Cálculos'!$D$196+(($C92)-$A$63:$A$108)*'Cálculos'!$D$98)+1400)+'Cálculos'!$D$123)*'Cálculos'!$D$222)+('Cálculos'!$D$213+'Cálculos'!$D$124*(1+2.78*('Cálculos'!$D$196+(($C92)-$A$63:$A$108)*'Cálculos'!$D$98)/(('Cálculos'!$D$196+(($C92)-$A$63:$A$108)*'Cálculos'!$D$98)+1400)+'Cálculos'!$D$122)*'Cálculos'!$D$218+'Cálculos'!$D$125*(1+2.78*('Cálculos'!$D$196+(($C92)-$A$63:$A$108)*'Cálculos'!$D$98)/(('Cálculos'!$D$196+(($C92)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92)-$A$63:$A$108)*'Cálculos'!$D$98)/(('Cálculos'!$D$197+(($C92)-$A$63:$A$108)*'Cálculos'!$D$98)+1400)+'Cálculos'!$D$122)*'Cálculos'!$D$229+'Cálculos'!$D$125*(1+2.78*('Cálculos'!$D$197+(($C92)-$A$63:$A$108)*'Cálculos'!$D$98)/(('Cálculos'!$D$197+(($C92)-$A$63:$A$108)*'Cálculos'!$D$98)+1400)+'Cálculos'!$D$123)*'Cálculos'!$D$234)+('Cálculos'!$D$197+(($C92)-$A$63:$A$108)*'Cálculos'!$D$98)*('Cálculos'!$D$225+'Cálculos'!$D$124*(1+2.78*('Cálculos'!$D$197+(($C92)-$A$63:$A$108)*'Cálculos'!$D$98)/(('Cálculos'!$D$197+(($C92)-$A$63:$A$108)*'Cálculos'!$D$98)+1400)+'Cálculos'!$D$122)*'Cálculos'!$D$230+'Cálculos'!$D$125*(1+2.78*('Cálculos'!$D$197+(($C92)-$A$63:$A$108)*'Cálculos'!$D$98)/(('Cálculos'!$D$197+(($C92)-$A$63:$A$108)*'Cálculos'!$D$98)+1400)+'Cálculos'!$D$123)*'Cálculos'!$D$235)+('Cálculos'!$D$201*(1+'Cálculos'!$D$202+$A$63:$A$108*('Cálculos'!$D$290=2)*'Cálculos'!$D$101)+'Cálculos'!$D$203)*('Cálculos'!$D$226+'Cálculos'!$D$124*(1+2.78*('Cálculos'!$D$197+(($C92)-$A$63:$A$108)*'Cálculos'!$D$98)/(('Cálculos'!$D$197+(($C92)-$A$63:$A$108)*'Cálculos'!$D$98)+1400)+'Cálculos'!$D$122)*'Cálculos'!$D$231+'Cálculos'!$D$125*(1+2.78*('Cálculos'!$D$197+(($C92)-$A$63:$A$108)*'Cálculos'!$D$98)/(('Cálculos'!$D$197+(($C92)-$A$63:$A$108)*'Cálculos'!$D$98)+1400)+'Cálculos'!$D$123)*'Cálculos'!$D$236)+('Cálculos'!$D$204*(1+'Cálculos'!$D$205+$A$63:$A$108*('Cálculos'!$D$290=3)*'Cálculos'!$D$103)+'Cálculos'!$D$206)*('Cálculos'!$D$227+'Cálculos'!$D$124*(1+2.78*('Cálculos'!$D$197+(($C92)-$A$63:$A$108)*'Cálculos'!$D$98)/(('Cálculos'!$D$197+(($C92)-$A$63:$A$108)*'Cálculos'!$D$98)+1400)+'Cálculos'!$D$122)*'Cálculos'!$D$232+'Cálculos'!$D$125*(1+2.78*('Cálculos'!$D$197+(($C92)-$A$63:$A$108)*'Cálculos'!$D$98)/(('Cálculos'!$D$197+(($C92)-$A$63:$A$108)*'Cálculos'!$D$98)+1400)+'Cálculos'!$D$123)*'Cálculos'!$D$237)+('Cálculos'!$D$228+'Cálculos'!$D$124*(1+2.78*('Cálculos'!$D$197+(($C92)-$A$63:$A$108)*'Cálculos'!$D$98)/(('Cálculos'!$D$197+(($C92)-$A$63:$A$108)*'Cálculos'!$D$98)+1400)+'Cálculos'!$D$122)*'Cálculos'!$D$233+'Cálculos'!$D$125*(1+2.78*('Cálculos'!$D$197+(($C92)-$A$63:$A$108)*'Cálculos'!$D$98)/(('Cálculos'!$D$197+(($C92)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92)-$A$63:$A$108)*'Cálculos'!$D$98)/(('Cálculos'!$D$198+(($C92)-$A$63:$A$108)*'Cálculos'!$D$98)+1400)+'Cálculos'!$D$122)*'Cálculos'!$D$244+'Cálculos'!$D$125*(1+2.78*('Cálculos'!$D$198+(($C92)-$A$63:$A$108)*'Cálculos'!$D$98)/(('Cálculos'!$D$198+(($C92)-$A$63:$A$108)*'Cálculos'!$D$98)+1400)+'Cálculos'!$D$123)*'Cálculos'!$D$249)+('Cálculos'!$D$198+(($C92)-$A$63:$A$108)*'Cálculos'!$D$98)*('Cálculos'!$D$240+'Cálculos'!$D$124*(1+2.78*('Cálculos'!$D$198+(($C92)-$A$63:$A$108)*'Cálculos'!$D$98)/(('Cálculos'!$D$198+(($C92)-$A$63:$A$108)*'Cálculos'!$D$98)+1400)+'Cálculos'!$D$122)*'Cálculos'!$D$245+'Cálculos'!$D$125*(1+2.78*('Cálculos'!$D$198+(($C92)-$A$63:$A$108)*'Cálculos'!$D$98)/(('Cálculos'!$D$198+(($C92)-$A$63:$A$108)*'Cálculos'!$D$98)+1400)+'Cálculos'!$D$123)*'Cálculos'!$D$250)+('Cálculos'!$D$201*(1+'Cálculos'!$D$202+$A$63:$A$108*('Cálculos'!$D$290=2)*'Cálculos'!$D$101)+'Cálculos'!$D$203)*('Cálculos'!$D$241+'Cálculos'!$D$124*(1+2.78*('Cálculos'!$D$198+(($C92)-$A$63:$A$108)*'Cálculos'!$D$98)/(('Cálculos'!$D$198+(($C92)-$A$63:$A$108)*'Cálculos'!$D$98)+1400)+'Cálculos'!$D$122)*'Cálculos'!$D$246+'Cálculos'!$D$125*(1+2.78*('Cálculos'!$D$198+(($C92)-$A$63:$A$108)*'Cálculos'!$D$98)/(('Cálculos'!$D$198+(($C92)-$A$63:$A$108)*'Cálculos'!$D$98)+1400)+'Cálculos'!$D$123)*'Cálculos'!$D$251)+('Cálculos'!$D$204*(1+'Cálculos'!$D$205+$A$63:$A$108*('Cálculos'!$D$290=3)*'Cálculos'!$D$103)+'Cálculos'!$D$206)*('Cálculos'!$D$242+'Cálculos'!$D$124*(1+2.78*('Cálculos'!$D$198+(($C92)-$A$63:$A$108)*'Cálculos'!$D$98)/(('Cálculos'!$D$198+(($C92)-$A$63:$A$108)*'Cálculos'!$D$98)+1400)+'Cálculos'!$D$122)*'Cálculos'!$D$247+'Cálculos'!$D$125*(1+2.78*('Cálculos'!$D$198+(($C92)-$A$63:$A$108)*'Cálculos'!$D$98)/(('Cálculos'!$D$198+(($C92)-$A$63:$A$108)*'Cálculos'!$D$98)+1400)+'Cálculos'!$D$123)*'Cálculos'!$D$252)+('Cálculos'!$D$243+'Cálculos'!$D$124*(1+2.78*('Cálculos'!$D$198+(($C92)-$A$63:$A$108)*'Cálculos'!$D$98)/(('Cálculos'!$D$198+(($C92)-$A$63:$A$108)*'Cálculos'!$D$98)+1400)+'Cálculos'!$D$122)*'Cálculos'!$D$248+'Cálculos'!$D$125*(1+2.78*('Cálculos'!$D$198+(($C92)-$A$63:$A$108)*'Cálculos'!$D$98)/(('Cálculos'!$D$198+(($C92)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92)-$A$63:$A$108)*'Cálculos'!$D$98)/(('Cálculos'!$D$199+(($C92)-$A$63:$A$108)*'Cálculos'!$D$98)+1400)+'Cálculos'!$D$122)*'Cálculos'!$D$259+'Cálculos'!$D$125*(1+2.78*('Cálculos'!$D$199+(($C92)-$A$63:$A$108)*'Cálculos'!$D$98)/(('Cálculos'!$D$199+(($C92)-$A$63:$A$108)*'Cálculos'!$D$98)+1400)+'Cálculos'!$D$123)*'Cálculos'!$D$264)+('Cálculos'!$D$199+(($C92)-$A$63:$A$108)*'Cálculos'!$D$98)*('Cálculos'!$D$255+'Cálculos'!$D$124*(1+2.78*('Cálculos'!$D$199+(($C92)-$A$63:$A$108)*'Cálculos'!$D$98)/(('Cálculos'!$D$199+(($C92)-$A$63:$A$108)*'Cálculos'!$D$98)+1400)+'Cálculos'!$D$122)*'Cálculos'!$D$260+'Cálculos'!$D$125*(1+2.78*('Cálculos'!$D$199+(($C92)-$A$63:$A$108)*'Cálculos'!$D$98)/(('Cálculos'!$D$199+(($C92)-$A$63:$A$108)*'Cálculos'!$D$98)+1400)+'Cálculos'!$D$123)*'Cálculos'!$D$265)+('Cálculos'!$D$201*(1+'Cálculos'!$D$202+$A$63:$A$108*('Cálculos'!$D$290=2)*'Cálculos'!$D$101)+'Cálculos'!$D$203)*('Cálculos'!$D$256+'Cálculos'!$D$124*(1+2.78*('Cálculos'!$D$199+(($C92)-$A$63:$A$108)*'Cálculos'!$D$98)/(('Cálculos'!$D$199+(($C92)-$A$63:$A$108)*'Cálculos'!$D$98)+1400)+'Cálculos'!$D$122)*'Cálculos'!$D$261+'Cálculos'!$D$125*(1+2.78*('Cálculos'!$D$199+(($C92)-$A$63:$A$108)*'Cálculos'!$D$98)/(('Cálculos'!$D$199+(($C92)-$A$63:$A$108)*'Cálculos'!$D$98)+1400)+'Cálculos'!$D$123)*'Cálculos'!$D$266)+('Cálculos'!$D$204*(1+'Cálculos'!$D$205+$A$63:$A$108*('Cálculos'!$D$290=3)*'Cálculos'!$D$103)+'Cálculos'!$D$206)*('Cálculos'!$D$257+'Cálculos'!$D$124*(1+2.78*('Cálculos'!$D$199+(($C92)-$A$63:$A$108)*'Cálculos'!$D$98)/(('Cálculos'!$D$199+(($C92)-$A$63:$A$108)*'Cálculos'!$D$98)+1400)+'Cálculos'!$D$122)*'Cálculos'!$D$262+'Cálculos'!$D$125*(1+2.78*('Cálculos'!$D$199+(($C92)-$A$63:$A$108)*'Cálculos'!$D$98)/(('Cálculos'!$D$199+(($C92)-$A$63:$A$108)*'Cálculos'!$D$98)+1400)+'Cálculos'!$D$123)*'Cálculos'!$D$267)+('Cálculos'!$D$258+'Cálculos'!$D$124*(1+2.78*('Cálculos'!$D$199+(($C92)-$A$63:$A$108)*'Cálculos'!$D$98)/(('Cálculos'!$D$199+(($C92)-$A$63:$A$108)*'Cálculos'!$D$98)+1400)+'Cálculos'!$D$122)*'Cálculos'!$D$263+'Cálculos'!$D$125*(1+2.78*('Cálculos'!$D$199+(($C92)-$A$63:$A$108)*'Cálculos'!$D$98)/(('Cálculos'!$D$199+(($C92)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92)-$A$63:$A$108)*'Cálculos'!$D$98)/(('Cálculos'!$D$200+(($C92)-$A$63:$A$108)*'Cálculos'!$D$98)+1400)+'Cálculos'!$D$122)*'Cálculos'!$D$274+'Cálculos'!$D$125*(1+2.78*('Cálculos'!$D$200+(($C92)-$A$63:$A$108)*'Cálculos'!$D$98)/(('Cálculos'!$D$200+(($C92)-$A$63:$A$108)*'Cálculos'!$D$98)+1400)+'Cálculos'!$D$123)*'Cálculos'!$D$279)+('Cálculos'!$D$200+(($C92)-$A$63:$A$108)*'Cálculos'!$D$98)*('Cálculos'!$D$270+'Cálculos'!$D$124*(1+2.78*('Cálculos'!$D$200+(($C92)-$A$63:$A$108)*'Cálculos'!$D$98)/(('Cálculos'!$D$200+(($C92)-$A$63:$A$108)*'Cálculos'!$D$98)+1400)+'Cálculos'!$D$122)*'Cálculos'!$D$275+'Cálculos'!$D$125*(1+2.78*('Cálculos'!$D$200+(($C92)-$A$63:$A$108)*'Cálculos'!$D$98)/(('Cálculos'!$D$200+(($C92)-$A$63:$A$108)*'Cálculos'!$D$98)+1400)+'Cálculos'!$D$123)*'Cálculos'!$D$280)+('Cálculos'!$D$201*(1+'Cálculos'!$D$202+$A$63:$A$108*('Cálculos'!$D$290=2)*'Cálculos'!$D$101)+'Cálculos'!$D$203)*('Cálculos'!$D$271+'Cálculos'!$D$124*(1+2.78*('Cálculos'!$D$200+(($C92)-$A$63:$A$108)*'Cálculos'!$D$98)/(('Cálculos'!$D$200+(($C92)-$A$63:$A$108)*'Cálculos'!$D$98)+1400)+'Cálculos'!$D$122)*'Cálculos'!$D$276+'Cálculos'!$D$125*(1+2.78*('Cálculos'!$D$200+(($C92)-$A$63:$A$108)*'Cálculos'!$D$98)/(('Cálculos'!$D$200+(($C92)-$A$63:$A$108)*'Cálculos'!$D$98)+1400)+'Cálculos'!$D$123)*'Cálculos'!$D$281)+('Cálculos'!$D$204*(1+'Cálculos'!$D$205+$A$63:$A$108*('Cálculos'!$D$290=3)*'Cálculos'!$D$103)+'Cálculos'!$D$206)*('Cálculos'!$D$272+'Cálculos'!$D$124*(1+2.78*('Cálculos'!$D$200+(($C92)-$A$63:$A$108)*'Cálculos'!$D$98)/(('Cálculos'!$D$200+(($C92)-$A$63:$A$108)*'Cálculos'!$D$98)+1400)+'Cálculos'!$D$122)*'Cálculos'!$D$277+'Cálculos'!$D$125*(1+2.78*('Cálculos'!$D$200+(($C92)-$A$63:$A$108)*'Cálculos'!$D$98)/(('Cálculos'!$D$200+(($C92)-$A$63:$A$108)*'Cálculos'!$D$98)+1400)+'Cálculos'!$D$123)*'Cálculos'!$D$282)+('Cálculos'!$D$273+'Cálculos'!$D$124*(1+2.78*('Cálculos'!$D$200+(($C92)-$A$63:$A$108)*'Cálculos'!$D$98)/(('Cálculos'!$D$200+(($C92)-$A$63:$A$108)*'Cálculos'!$D$98)+1400)+'Cálculos'!$D$122)*'Cálculos'!$D$278+'Cálculos'!$D$125*(1+2.78*('Cálculos'!$D$200+(($C92)-$A$63:$A$108)*'Cálculos'!$D$98)/(('Cálculos'!$D$200+(($C92)-$A$63:$A$108)*'Cálculos'!$D$98)+1400)+'Cálculos'!$D$123)*'Cálculos'!$D$283)))))</f>
        <v>0</v>
      </c>
      <c r="E92" s="32">
        <f>IF(OR($C92&lt;0,'Cálculos'!$D$6=""),0,$B92*$D92)</f>
        <v>0</v>
      </c>
      <c r="F92" s="2"/>
      <c r="G92" s="30">
        <f>($A92&lt;=$B$110)*($A92&lt;='Cálculos'!$D$294)*(($B$110)-$A92&lt;='Cálculos'!$D$295)*(1+MIN(('Cálculos'!$D$207+$A92*'Cálculos'!$D$95),1)*('Cálculos'!$D$208+(($B$110)-$A92)*'Cálculos'!$D$96))</f>
        <v>0</v>
      </c>
      <c r="H92" s="31">
        <f>IF($B$111&lt;0,0,($A92&lt;=$B$111)*($A92&lt;='Cálculos'!$D$301)*(($B$111)-$A92&lt;='Cálculos'!$D$297)*(('Cálculos'!$D$185*(1+'Cálculos'!$D$186+$A92*('Cálculos'!$D$290=1)*'Cálculos'!$D$97+'Cálculos'!$D$305)+'Cálculos'!$D$191)*('Cálculos'!$D$209+'Cálculos'!$D$124*(1+2.78*('Cálculos'!$D$196+(($B$111)-$A92)*'Cálculos'!$D$98)/(('Cálculos'!$D$196+(($B$111)-$A92)*'Cálculos'!$D$98)+1400)+'Cálculos'!$D$122)*'Cálculos'!$D$214+'Cálculos'!$D$125*(1+2.78*('Cálculos'!$D$196+(($B$111)-$A92)*'Cálculos'!$D$98)/(('Cálculos'!$D$196+(($B$111)-$A92)*'Cálculos'!$D$98)+1400)+'Cálculos'!$D$123)*'Cálculos'!$D$219)+('Cálculos'!$D$196+(($B$111)-$A92)*'Cálculos'!$D$98)*('Cálculos'!$D$210+'Cálculos'!$D$124*(1+2.78*('Cálculos'!$D$196+(($B$111)-$A92)*'Cálculos'!$D$98)/(('Cálculos'!$D$196+(($B$111)-$A92)*'Cálculos'!$D$98)+1400)+'Cálculos'!$D$122)*'Cálculos'!$D$215+'Cálculos'!$D$125*(1+2.78*('Cálculos'!$D$196+(($B$111)-$A92)*'Cálculos'!$D$98)/(('Cálculos'!$D$196+(($B$111)-$A92)*'Cálculos'!$D$98)+1400)+'Cálculos'!$D$123)*'Cálculos'!$D$220)+('Cálculos'!$D$201*(1+'Cálculos'!$D$202+$A92*('Cálculos'!$D$290=2)*'Cálculos'!$D$101)+'Cálculos'!$D$203)*('Cálculos'!$D$211+'Cálculos'!$D$124*(1+2.78*('Cálculos'!$D$196+(($B$111)-$A92)*'Cálculos'!$D$98)/(('Cálculos'!$D$196+(($B$111)-$A92)*'Cálculos'!$D$98)+1400)+'Cálculos'!$D$122)*'Cálculos'!$D$216+'Cálculos'!$D$125*(1+2.78*('Cálculos'!$D$196+(($B$111)-$A92)*'Cálculos'!$D$98)/(('Cálculos'!$D$196+(($B$111)-$A92)*'Cálculos'!$D$98)+1400)+'Cálculos'!$D$123)*'Cálculos'!$D$221)+('Cálculos'!$D$204*(1+'Cálculos'!$D$205+$A92*('Cálculos'!$D$290=3)*'Cálculos'!$D$103)+'Cálculos'!$D$206)*('Cálculos'!$D$212+'Cálculos'!$D$124*(1+2.78*('Cálculos'!$D$196+(($B$111)-$A92)*'Cálculos'!$D$98)/(('Cálculos'!$D$196+(($B$111)-$A92)*'Cálculos'!$D$98)+1400)+'Cálculos'!$D$122)*'Cálculos'!$D$217+'Cálculos'!$D$125*(1+2.78*('Cálculos'!$D$196+(($B$111)-$A92)*'Cálculos'!$D$98)/(('Cálculos'!$D$196+(($B$111)-$A92)*'Cálculos'!$D$98)+1400)+'Cálculos'!$D$123)*'Cálculos'!$D$222)+('Cálculos'!$D$213+'Cálculos'!$D$124*(1+2.78*('Cálculos'!$D$196+(($B$111)-$A92)*'Cálculos'!$D$98)/(('Cálculos'!$D$196+(($B$111)-$A92)*'Cálculos'!$D$98)+1400)+'Cálculos'!$D$122)*'Cálculos'!$D$218+'Cálculos'!$D$125*(1+2.78*('Cálculos'!$D$196+(($B$111)-$A92)*'Cálculos'!$D$98)/(('Cálculos'!$D$196+(($B$111)-$A92)*'Cálculos'!$D$98)+1400)+'Cálculos'!$D$123)*'Cálculos'!$D$223)+('Cálculos'!$D$185*(1+'Cálculos'!$D$187+$A92*('Cálculos'!$D$290=1)*'Cálculos'!$D$97+'Cálculos'!$D$305)+'Cálculos'!$D$192)*('Cálculos'!$D$224+'Cálculos'!$D$124*(1+2.78*('Cálculos'!$D$197+(($B$111)-$A92)*'Cálculos'!$D$98)/(('Cálculos'!$D$197+(($B$111)-$A92)*'Cálculos'!$D$98)+1400)+'Cálculos'!$D$122)*'Cálculos'!$D$229+'Cálculos'!$D$125*(1+2.78*('Cálculos'!$D$197+(($B$111)-$A92)*'Cálculos'!$D$98)/(('Cálculos'!$D$197+(($B$111)-$A92)*'Cálculos'!$D$98)+1400)+'Cálculos'!$D$123)*'Cálculos'!$D$234)+('Cálculos'!$D$197+(($B$111)-$A92)*'Cálculos'!$D$98)*('Cálculos'!$D$225+'Cálculos'!$D$124*(1+2.78*('Cálculos'!$D$197+(($B$111)-$A92)*'Cálculos'!$D$98)/(('Cálculos'!$D$197+(($B$111)-$A92)*'Cálculos'!$D$98)+1400)+'Cálculos'!$D$122)*'Cálculos'!$D$230+'Cálculos'!$D$125*(1+2.78*('Cálculos'!$D$197+(($B$111)-$A92)*'Cálculos'!$D$98)/(('Cálculos'!$D$197+(($B$111)-$A92)*'Cálculos'!$D$98)+1400)+'Cálculos'!$D$123)*'Cálculos'!$D$235)+('Cálculos'!$D$201*(1+'Cálculos'!$D$202+$A92*('Cálculos'!$D$290=2)*'Cálculos'!$D$101)+'Cálculos'!$D$203)*('Cálculos'!$D$226+'Cálculos'!$D$124*(1+2.78*('Cálculos'!$D$197+(($B$111)-$A92)*'Cálculos'!$D$98)/(('Cálculos'!$D$197+(($B$111)-$A92)*'Cálculos'!$D$98)+1400)+'Cálculos'!$D$122)*'Cálculos'!$D$231+'Cálculos'!$D$125*(1+2.78*('Cálculos'!$D$197+(($B$111)-$A92)*'Cálculos'!$D$98)/(('Cálculos'!$D$197+(($B$111)-$A92)*'Cálculos'!$D$98)+1400)+'Cálculos'!$D$123)*'Cálculos'!$D$236)+('Cálculos'!$D$204*(1+'Cálculos'!$D$205+$A92*('Cálculos'!$D$290=3)*'Cálculos'!$D$103)+'Cálculos'!$D$206)*('Cálculos'!$D$227+'Cálculos'!$D$124*(1+2.78*('Cálculos'!$D$197+(($B$111)-$A92)*'Cálculos'!$D$98)/(('Cálculos'!$D$197+(($B$111)-$A92)*'Cálculos'!$D$98)+1400)+'Cálculos'!$D$122)*'Cálculos'!$D$232+'Cálculos'!$D$125*(1+2.78*('Cálculos'!$D$197+(($B$111)-$A92)*'Cálculos'!$D$98)/(('Cálculos'!$D$197+(($B$111)-$A92)*'Cálculos'!$D$98)+1400)+'Cálculos'!$D$123)*'Cálculos'!$D$237)+('Cálculos'!$D$228+'Cálculos'!$D$124*(1+2.78*('Cálculos'!$D$197+(($B$111)-$A92)*'Cálculos'!$D$98)/(('Cálculos'!$D$197+(($B$111)-$A92)*'Cálculos'!$D$98)+1400)+'Cálculos'!$D$122)*'Cálculos'!$D$233+'Cálculos'!$D$125*(1+2.78*('Cálculos'!$D$197+(($B$111)-$A92)*'Cálculos'!$D$98)/(('Cálculos'!$D$197+(($B$111)-$A92)*'Cálculos'!$D$98)+1400)+'Cálculos'!$D$123)*'Cálculos'!$D$238)+('Cálculos'!$D$185*(1+'Cálculos'!$D$188+$A92*('Cálculos'!$D$290=1)*'Cálculos'!$D$97+'Cálculos'!$D$305)+'Cálculos'!$D$193)*('Cálculos'!$D$239+'Cálculos'!$D$124*(1+2.78*('Cálculos'!$D$198+(($B$111)-$A92)*'Cálculos'!$D$98)/(('Cálculos'!$D$198+(($B$111)-$A92)*'Cálculos'!$D$98)+1400)+'Cálculos'!$D$122)*'Cálculos'!$D$244+'Cálculos'!$D$125*(1+2.78*('Cálculos'!$D$198+(($B$111)-$A92)*'Cálculos'!$D$98)/(('Cálculos'!$D$198+(($B$111)-$A92)*'Cálculos'!$D$98)+1400)+'Cálculos'!$D$123)*'Cálculos'!$D$249)+('Cálculos'!$D$198+(($B$111)-$A92)*'Cálculos'!$D$98)*('Cálculos'!$D$240+'Cálculos'!$D$124*(1+2.78*('Cálculos'!$D$198+(($B$111)-$A92)*'Cálculos'!$D$98)/(('Cálculos'!$D$198+(($B$111)-$A92)*'Cálculos'!$D$98)+1400)+'Cálculos'!$D$122)*'Cálculos'!$D$245+'Cálculos'!$D$125*(1+2.78*('Cálculos'!$D$198+(($B$111)-$A92)*'Cálculos'!$D$98)/(('Cálculos'!$D$198+(($B$111)-$A92)*'Cálculos'!$D$98)+1400)+'Cálculos'!$D$123)*'Cálculos'!$D$250)+('Cálculos'!$D$201*(1+'Cálculos'!$D$202+$A92*('Cálculos'!$D$290=2)*'Cálculos'!$D$101)+'Cálculos'!$D$203)*('Cálculos'!$D$241+'Cálculos'!$D$124*(1+2.78*('Cálculos'!$D$198+(($B$111)-$A92)*'Cálculos'!$D$98)/(('Cálculos'!$D$198+(($B$111)-$A92)*'Cálculos'!$D$98)+1400)+'Cálculos'!$D$122)*'Cálculos'!$D$246+'Cálculos'!$D$125*(1+2.78*('Cálculos'!$D$198+(($B$111)-$A92)*'Cálculos'!$D$98)/(('Cálculos'!$D$198+(($B$111)-$A92)*'Cálculos'!$D$98)+1400)+'Cálculos'!$D$123)*'Cálculos'!$D$251)+('Cálculos'!$D$204*(1+'Cálculos'!$D$205+$A92*('Cálculos'!$D$290=3)*'Cálculos'!$D$103)+'Cálculos'!$D$206)*('Cálculos'!$D$242+'Cálculos'!$D$124*(1+2.78*('Cálculos'!$D$198+(($B$111)-$A92)*'Cálculos'!$D$98)/(('Cálculos'!$D$198+(($B$111)-$A92)*'Cálculos'!$D$98)+1400)+'Cálculos'!$D$122)*'Cálculos'!$D$247+'Cálculos'!$D$125*(1+2.78*('Cálculos'!$D$198+(($B$111)-$A92)*'Cálculos'!$D$98)/(('Cálculos'!$D$198+(($B$111)-$A92)*'Cálculos'!$D$98)+1400)+'Cálculos'!$D$123)*'Cálculos'!$D$252)+('Cálculos'!$D$243+'Cálculos'!$D$124*(1+2.78*('Cálculos'!$D$198+(($B$111)-$A92)*'Cálculos'!$D$98)/(('Cálculos'!$D$198+(($B$111)-$A92)*'Cálculos'!$D$98)+1400)+'Cálculos'!$D$122)*'Cálculos'!$D$248+'Cálculos'!$D$125*(1+2.78*('Cálculos'!$D$198+(($B$111)-$A92)*'Cálculos'!$D$98)/(('Cálculos'!$D$198+(($B$111)-$A92)*'Cálculos'!$D$98)+1400)+'Cálculos'!$D$123)*'Cálculos'!$D$253)+('Cálculos'!$D$185*(1+'Cálculos'!$D$189+$A92*('Cálculos'!$D$290=1)*'Cálculos'!$D$97+'Cálculos'!$D$305)+'Cálculos'!$D$194)*('Cálculos'!$D$254+'Cálculos'!$D$124*(1+2.78*('Cálculos'!$D$199+(($B$111)-$A92)*'Cálculos'!$D$98)/(('Cálculos'!$D$199+(($B$111)-$A92)*'Cálculos'!$D$98)+1400)+'Cálculos'!$D$122)*'Cálculos'!$D$259+'Cálculos'!$D$125*(1+2.78*('Cálculos'!$D$199+(($B$111)-$A92)*'Cálculos'!$D$98)/(('Cálculos'!$D$199+(($B$111)-$A92)*'Cálculos'!$D$98)+1400)+'Cálculos'!$D$123)*'Cálculos'!$D$264)+('Cálculos'!$D$199+(($B$111)-$A92)*'Cálculos'!$D$98)*('Cálculos'!$D$255+'Cálculos'!$D$124*(1+2.78*('Cálculos'!$D$199+(($B$111)-$A92)*'Cálculos'!$D$98)/(('Cálculos'!$D$199+(($B$111)-$A92)*'Cálculos'!$D$98)+1400)+'Cálculos'!$D$122)*'Cálculos'!$D$260+'Cálculos'!$D$125*(1+2.78*('Cálculos'!$D$199+(($B$111)-$A92)*'Cálculos'!$D$98)/(('Cálculos'!$D$199+(($B$111)-$A92)*'Cálculos'!$D$98)+1400)+'Cálculos'!$D$123)*'Cálculos'!$D$265)+('Cálculos'!$D$201*(1+'Cálculos'!$D$202+$A92*('Cálculos'!$D$290=2)*'Cálculos'!$D$101)+'Cálculos'!$D$203)*('Cálculos'!$D$256+'Cálculos'!$D$124*(1+2.78*('Cálculos'!$D$199+(($B$111)-$A92)*'Cálculos'!$D$98)/(('Cálculos'!$D$199+(($B$111)-$A92)*'Cálculos'!$D$98)+1400)+'Cálculos'!$D$122)*'Cálculos'!$D$261+'Cálculos'!$D$125*(1+2.78*('Cálculos'!$D$199+(($B$111)-$A92)*'Cálculos'!$D$98)/(('Cálculos'!$D$199+(($B$111)-$A92)*'Cálculos'!$D$98)+1400)+'Cálculos'!$D$123)*'Cálculos'!$D$266)+('Cálculos'!$D$204*(1+'Cálculos'!$D$205+$A92*('Cálculos'!$D$290=3)*'Cálculos'!$D$103)+'Cálculos'!$D$206)*('Cálculos'!$D$257+'Cálculos'!$D$124*(1+2.78*('Cálculos'!$D$199+(($B$111)-$A92)*'Cálculos'!$D$98)/(('Cálculos'!$D$199+(($B$111)-$A92)*'Cálculos'!$D$98)+1400)+'Cálculos'!$D$122)*'Cálculos'!$D$262+'Cálculos'!$D$125*(1+2.78*('Cálculos'!$D$199+(($B$111)-$A92)*'Cálculos'!$D$98)/(('Cálculos'!$D$199+(($B$111)-$A92)*'Cálculos'!$D$98)+1400)+'Cálculos'!$D$123)*'Cálculos'!$D$267)+('Cálculos'!$D$258+'Cálculos'!$D$124*(1+2.78*('Cálculos'!$D$199+(($B$111)-$A92)*'Cálculos'!$D$98)/(('Cálculos'!$D$199+(($B$111)-$A92)*'Cálculos'!$D$98)+1400)+'Cálculos'!$D$122)*'Cálculos'!$D$263+'Cálculos'!$D$125*(1+2.78*('Cálculos'!$D$199+(($B$111)-$A92)*'Cálculos'!$D$98)/(('Cálculos'!$D$199+(($B$111)-$A92)*'Cálculos'!$D$98)+1400)+'Cálculos'!$D$123)*'Cálculos'!$D$268)+('Cálculos'!$D$185*(1+'Cálculos'!$D$190+$A92*('Cálculos'!$D$290=1)*'Cálculos'!$D$97+'Cálculos'!$D$305)+'Cálculos'!$D$195)*('Cálculos'!$D$269+'Cálculos'!$D$124*(1+2.78*('Cálculos'!$D$200+(($B$111)-$A92)*'Cálculos'!$D$98)/(('Cálculos'!$D$200+(($B$111)-$A92)*'Cálculos'!$D$98)+1400)+'Cálculos'!$D$122)*'Cálculos'!$D$274+'Cálculos'!$D$125*(1+2.78*('Cálculos'!$D$200+(($B$111)-$A92)*'Cálculos'!$D$98)/(('Cálculos'!$D$200+(($B$111)-$A92)*'Cálculos'!$D$98)+1400)+'Cálculos'!$D$123)*'Cálculos'!$D$279)+('Cálculos'!$D$200+(($B$111)-$A92)*'Cálculos'!$D$98)*('Cálculos'!$D$270+'Cálculos'!$D$124*(1+2.78*('Cálculos'!$D$200+(($B$111)-$A92)*'Cálculos'!$D$98)/(('Cálculos'!$D$200+(($B$111)-$A92)*'Cálculos'!$D$98)+1400)+'Cálculos'!$D$122)*'Cálculos'!$D$275+'Cálculos'!$D$125*(1+2.78*('Cálculos'!$D$200+(($B$111)-$A92)*'Cálculos'!$D$98)/(('Cálculos'!$D$200+(($B$111)-$A92)*'Cálculos'!$D$98)+1400)+'Cálculos'!$D$123)*'Cálculos'!$D$280)+('Cálculos'!$D$201*(1+'Cálculos'!$D$202+$A92*('Cálculos'!$D$290=2)*'Cálculos'!$D$101)+'Cálculos'!$D$203)*('Cálculos'!$D$271+'Cálculos'!$D$124*(1+2.78*('Cálculos'!$D$200+(($B$111)-$A92)*'Cálculos'!$D$98)/(('Cálculos'!$D$200+(($B$111)-$A92)*'Cálculos'!$D$98)+1400)+'Cálculos'!$D$122)*'Cálculos'!$D$276+'Cálculos'!$D$125*(1+2.78*('Cálculos'!$D$200+(($B$111)-$A92)*'Cálculos'!$D$98)/(('Cálculos'!$D$200+(($B$111)-$A92)*'Cálculos'!$D$98)+1400)+'Cálculos'!$D$123)*'Cálculos'!$D$281)+('Cálculos'!$D$204*(1+'Cálculos'!$D$205+$A92*('Cálculos'!$D$290=3)*'Cálculos'!$D$103)+'Cálculos'!$D$206)*('Cálculos'!$D$272+'Cálculos'!$D$124*(1+2.78*('Cálculos'!$D$200+(($B$111)-$A92)*'Cálculos'!$D$98)/(('Cálculos'!$D$200+(($B$111)-$A92)*'Cálculos'!$D$98)+1400)+'Cálculos'!$D$122)*'Cálculos'!$D$277+'Cálculos'!$D$125*(1+2.78*('Cálculos'!$D$200+(($B$111)-$A92)*'Cálculos'!$D$98)/(('Cálculos'!$D$200+(($B$111)-$A92)*'Cálculos'!$D$98)+1400)+'Cálculos'!$D$123)*'Cálculos'!$D$282)+('Cálculos'!$D$273+'Cálculos'!$D$124*(1+2.78*('Cálculos'!$D$200+(($B$111)-$A92)*'Cálculos'!$D$98)/(('Cálculos'!$D$200+(($B$111)-$A92)*'Cálculos'!$D$98)+1400)+'Cálculos'!$D$122)*'Cálculos'!$D$278+'Cálculos'!$D$125*(1+2.78*('Cálculos'!$D$200+(($B$111)-$A92)*'Cálculos'!$D$98)/(('Cálculos'!$D$200+(($B$111)-$A92)*'Cálculos'!$D$98)+1400)+'Cálculos'!$D$123)*'Cálculos'!$D$283)))</f>
        <v>0</v>
      </c>
    </row>
    <row r="93" ht="15.75" customHeight="1">
      <c r="A93" s="2">
        <v>30.0</v>
      </c>
      <c r="B93" s="30">
        <f>SUMPRODUCT(MAX(($A$63:$A$108&lt;=$A93)*($A$63:$A$108&lt;='Cálculos'!$D$294)*(($A93)-$A$63:$A$108&lt;='Cálculos'!$D$295)*(1+(('Cálculos'!$D$207+$A$63:$A$108*'Cálculos'!$D$95)-(('Cálculos'!$D$207+$A$63:$A$108*'Cálculos'!$D$95)&gt;1)*(('Cálculos'!$D$207+$A$63:$A$108*'Cálculos'!$D$95)-1))*('Cálculos'!$D$208+(($A93)-$A$63:$A$108)*'Cálculos'!$D$96))))</f>
        <v>2.102106989</v>
      </c>
      <c r="C93" s="2">
        <f>'Cálculos'!$D$303-$A93</f>
        <v>-19</v>
      </c>
      <c r="D93" s="31">
        <f>IF($C93&lt;0,0,SUMPRODUCT(MAX(($A$63:$A$108&lt;=$C93)*($A$63:$A$108&lt;='Cálculos'!$D$301)*(($C93)-$A$63:$A$108&lt;='Cálculos'!$D$297)*(('Cálculos'!$D$185*(1+'Cálculos'!$D$186+$A$63:$A$108*('Cálculos'!$D$290=1)*'Cálculos'!$D$97+'Cálculos'!$D$305)+'Cálculos'!$D$191)*('Cálculos'!$D$209+'Cálculos'!$D$124*(1+2.78*('Cálculos'!$D$196+(($C93)-$A$63:$A$108)*'Cálculos'!$D$98)/(('Cálculos'!$D$196+(($C93)-$A$63:$A$108)*'Cálculos'!$D$98)+1400)+'Cálculos'!$D$122)*'Cálculos'!$D$214+'Cálculos'!$D$125*(1+2.78*('Cálculos'!$D$196+(($C93)-$A$63:$A$108)*'Cálculos'!$D$98)/(('Cálculos'!$D$196+(($C93)-$A$63:$A$108)*'Cálculos'!$D$98)+1400)+'Cálculos'!$D$123)*'Cálculos'!$D$219)+('Cálculos'!$D$196+(($C93)-$A$63:$A$108)*'Cálculos'!$D$98)*('Cálculos'!$D$210+'Cálculos'!$D$124*(1+2.78*('Cálculos'!$D$196+(($C93)-$A$63:$A$108)*'Cálculos'!$D$98)/(('Cálculos'!$D$196+(($C93)-$A$63:$A$108)*'Cálculos'!$D$98)+1400)+'Cálculos'!$D$122)*'Cálculos'!$D$215+'Cálculos'!$D$125*(1+2.78*('Cálculos'!$D$196+(($C93)-$A$63:$A$108)*'Cálculos'!$D$98)/(('Cálculos'!$D$196+(($C93)-$A$63:$A$108)*'Cálculos'!$D$98)+1400)+'Cálculos'!$D$123)*'Cálculos'!$D$220)+('Cálculos'!$D$201*(1+'Cálculos'!$D$202+$A$63:$A$108*('Cálculos'!$D$290=2)*'Cálculos'!$D$101)+'Cálculos'!$D$203)*('Cálculos'!$D$211+'Cálculos'!$D$124*(1+2.78*('Cálculos'!$D$196+(($C93)-$A$63:$A$108)*'Cálculos'!$D$98)/(('Cálculos'!$D$196+(($C93)-$A$63:$A$108)*'Cálculos'!$D$98)+1400)+'Cálculos'!$D$122)*'Cálculos'!$D$216+'Cálculos'!$D$125*(1+2.78*('Cálculos'!$D$196+(($C93)-$A$63:$A$108)*'Cálculos'!$D$98)/(('Cálculos'!$D$196+(($C93)-$A$63:$A$108)*'Cálculos'!$D$98)+1400)+'Cálculos'!$D$123)*'Cálculos'!$D$221)+('Cálculos'!$D$204*(1+'Cálculos'!$D$205+$A$63:$A$108*('Cálculos'!$D$290=3)*'Cálculos'!$D$103)+'Cálculos'!$D$206)*('Cálculos'!$D$212+'Cálculos'!$D$124*(1+2.78*('Cálculos'!$D$196+(($C93)-$A$63:$A$108)*'Cálculos'!$D$98)/(('Cálculos'!$D$196+(($C93)-$A$63:$A$108)*'Cálculos'!$D$98)+1400)+'Cálculos'!$D$122)*'Cálculos'!$D$217+'Cálculos'!$D$125*(1+2.78*('Cálculos'!$D$196+(($C93)-$A$63:$A$108)*'Cálculos'!$D$98)/(('Cálculos'!$D$196+(($C93)-$A$63:$A$108)*'Cálculos'!$D$98)+1400)+'Cálculos'!$D$123)*'Cálculos'!$D$222)+('Cálculos'!$D$213+'Cálculos'!$D$124*(1+2.78*('Cálculos'!$D$196+(($C93)-$A$63:$A$108)*'Cálculos'!$D$98)/(('Cálculos'!$D$196+(($C93)-$A$63:$A$108)*'Cálculos'!$D$98)+1400)+'Cálculos'!$D$122)*'Cálculos'!$D$218+'Cálculos'!$D$125*(1+2.78*('Cálculos'!$D$196+(($C93)-$A$63:$A$108)*'Cálculos'!$D$98)/(('Cálculos'!$D$196+(($C93)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93)-$A$63:$A$108)*'Cálculos'!$D$98)/(('Cálculos'!$D$197+(($C93)-$A$63:$A$108)*'Cálculos'!$D$98)+1400)+'Cálculos'!$D$122)*'Cálculos'!$D$229+'Cálculos'!$D$125*(1+2.78*('Cálculos'!$D$197+(($C93)-$A$63:$A$108)*'Cálculos'!$D$98)/(('Cálculos'!$D$197+(($C93)-$A$63:$A$108)*'Cálculos'!$D$98)+1400)+'Cálculos'!$D$123)*'Cálculos'!$D$234)+('Cálculos'!$D$197+(($C93)-$A$63:$A$108)*'Cálculos'!$D$98)*('Cálculos'!$D$225+'Cálculos'!$D$124*(1+2.78*('Cálculos'!$D$197+(($C93)-$A$63:$A$108)*'Cálculos'!$D$98)/(('Cálculos'!$D$197+(($C93)-$A$63:$A$108)*'Cálculos'!$D$98)+1400)+'Cálculos'!$D$122)*'Cálculos'!$D$230+'Cálculos'!$D$125*(1+2.78*('Cálculos'!$D$197+(($C93)-$A$63:$A$108)*'Cálculos'!$D$98)/(('Cálculos'!$D$197+(($C93)-$A$63:$A$108)*'Cálculos'!$D$98)+1400)+'Cálculos'!$D$123)*'Cálculos'!$D$235)+('Cálculos'!$D$201*(1+'Cálculos'!$D$202+$A$63:$A$108*('Cálculos'!$D$290=2)*'Cálculos'!$D$101)+'Cálculos'!$D$203)*('Cálculos'!$D$226+'Cálculos'!$D$124*(1+2.78*('Cálculos'!$D$197+(($C93)-$A$63:$A$108)*'Cálculos'!$D$98)/(('Cálculos'!$D$197+(($C93)-$A$63:$A$108)*'Cálculos'!$D$98)+1400)+'Cálculos'!$D$122)*'Cálculos'!$D$231+'Cálculos'!$D$125*(1+2.78*('Cálculos'!$D$197+(($C93)-$A$63:$A$108)*'Cálculos'!$D$98)/(('Cálculos'!$D$197+(($C93)-$A$63:$A$108)*'Cálculos'!$D$98)+1400)+'Cálculos'!$D$123)*'Cálculos'!$D$236)+('Cálculos'!$D$204*(1+'Cálculos'!$D$205+$A$63:$A$108*('Cálculos'!$D$290=3)*'Cálculos'!$D$103)+'Cálculos'!$D$206)*('Cálculos'!$D$227+'Cálculos'!$D$124*(1+2.78*('Cálculos'!$D$197+(($C93)-$A$63:$A$108)*'Cálculos'!$D$98)/(('Cálculos'!$D$197+(($C93)-$A$63:$A$108)*'Cálculos'!$D$98)+1400)+'Cálculos'!$D$122)*'Cálculos'!$D$232+'Cálculos'!$D$125*(1+2.78*('Cálculos'!$D$197+(($C93)-$A$63:$A$108)*'Cálculos'!$D$98)/(('Cálculos'!$D$197+(($C93)-$A$63:$A$108)*'Cálculos'!$D$98)+1400)+'Cálculos'!$D$123)*'Cálculos'!$D$237)+('Cálculos'!$D$228+'Cálculos'!$D$124*(1+2.78*('Cálculos'!$D$197+(($C93)-$A$63:$A$108)*'Cálculos'!$D$98)/(('Cálculos'!$D$197+(($C93)-$A$63:$A$108)*'Cálculos'!$D$98)+1400)+'Cálculos'!$D$122)*'Cálculos'!$D$233+'Cálculos'!$D$125*(1+2.78*('Cálculos'!$D$197+(($C93)-$A$63:$A$108)*'Cálculos'!$D$98)/(('Cálculos'!$D$197+(($C93)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93)-$A$63:$A$108)*'Cálculos'!$D$98)/(('Cálculos'!$D$198+(($C93)-$A$63:$A$108)*'Cálculos'!$D$98)+1400)+'Cálculos'!$D$122)*'Cálculos'!$D$244+'Cálculos'!$D$125*(1+2.78*('Cálculos'!$D$198+(($C93)-$A$63:$A$108)*'Cálculos'!$D$98)/(('Cálculos'!$D$198+(($C93)-$A$63:$A$108)*'Cálculos'!$D$98)+1400)+'Cálculos'!$D$123)*'Cálculos'!$D$249)+('Cálculos'!$D$198+(($C93)-$A$63:$A$108)*'Cálculos'!$D$98)*('Cálculos'!$D$240+'Cálculos'!$D$124*(1+2.78*('Cálculos'!$D$198+(($C93)-$A$63:$A$108)*'Cálculos'!$D$98)/(('Cálculos'!$D$198+(($C93)-$A$63:$A$108)*'Cálculos'!$D$98)+1400)+'Cálculos'!$D$122)*'Cálculos'!$D$245+'Cálculos'!$D$125*(1+2.78*('Cálculos'!$D$198+(($C93)-$A$63:$A$108)*'Cálculos'!$D$98)/(('Cálculos'!$D$198+(($C93)-$A$63:$A$108)*'Cálculos'!$D$98)+1400)+'Cálculos'!$D$123)*'Cálculos'!$D$250)+('Cálculos'!$D$201*(1+'Cálculos'!$D$202+$A$63:$A$108*('Cálculos'!$D$290=2)*'Cálculos'!$D$101)+'Cálculos'!$D$203)*('Cálculos'!$D$241+'Cálculos'!$D$124*(1+2.78*('Cálculos'!$D$198+(($C93)-$A$63:$A$108)*'Cálculos'!$D$98)/(('Cálculos'!$D$198+(($C93)-$A$63:$A$108)*'Cálculos'!$D$98)+1400)+'Cálculos'!$D$122)*'Cálculos'!$D$246+'Cálculos'!$D$125*(1+2.78*('Cálculos'!$D$198+(($C93)-$A$63:$A$108)*'Cálculos'!$D$98)/(('Cálculos'!$D$198+(($C93)-$A$63:$A$108)*'Cálculos'!$D$98)+1400)+'Cálculos'!$D$123)*'Cálculos'!$D$251)+('Cálculos'!$D$204*(1+'Cálculos'!$D$205+$A$63:$A$108*('Cálculos'!$D$290=3)*'Cálculos'!$D$103)+'Cálculos'!$D$206)*('Cálculos'!$D$242+'Cálculos'!$D$124*(1+2.78*('Cálculos'!$D$198+(($C93)-$A$63:$A$108)*'Cálculos'!$D$98)/(('Cálculos'!$D$198+(($C93)-$A$63:$A$108)*'Cálculos'!$D$98)+1400)+'Cálculos'!$D$122)*'Cálculos'!$D$247+'Cálculos'!$D$125*(1+2.78*('Cálculos'!$D$198+(($C93)-$A$63:$A$108)*'Cálculos'!$D$98)/(('Cálculos'!$D$198+(($C93)-$A$63:$A$108)*'Cálculos'!$D$98)+1400)+'Cálculos'!$D$123)*'Cálculos'!$D$252)+('Cálculos'!$D$243+'Cálculos'!$D$124*(1+2.78*('Cálculos'!$D$198+(($C93)-$A$63:$A$108)*'Cálculos'!$D$98)/(('Cálculos'!$D$198+(($C93)-$A$63:$A$108)*'Cálculos'!$D$98)+1400)+'Cálculos'!$D$122)*'Cálculos'!$D$248+'Cálculos'!$D$125*(1+2.78*('Cálculos'!$D$198+(($C93)-$A$63:$A$108)*'Cálculos'!$D$98)/(('Cálculos'!$D$198+(($C93)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93)-$A$63:$A$108)*'Cálculos'!$D$98)/(('Cálculos'!$D$199+(($C93)-$A$63:$A$108)*'Cálculos'!$D$98)+1400)+'Cálculos'!$D$122)*'Cálculos'!$D$259+'Cálculos'!$D$125*(1+2.78*('Cálculos'!$D$199+(($C93)-$A$63:$A$108)*'Cálculos'!$D$98)/(('Cálculos'!$D$199+(($C93)-$A$63:$A$108)*'Cálculos'!$D$98)+1400)+'Cálculos'!$D$123)*'Cálculos'!$D$264)+('Cálculos'!$D$199+(($C93)-$A$63:$A$108)*'Cálculos'!$D$98)*('Cálculos'!$D$255+'Cálculos'!$D$124*(1+2.78*('Cálculos'!$D$199+(($C93)-$A$63:$A$108)*'Cálculos'!$D$98)/(('Cálculos'!$D$199+(($C93)-$A$63:$A$108)*'Cálculos'!$D$98)+1400)+'Cálculos'!$D$122)*'Cálculos'!$D$260+'Cálculos'!$D$125*(1+2.78*('Cálculos'!$D$199+(($C93)-$A$63:$A$108)*'Cálculos'!$D$98)/(('Cálculos'!$D$199+(($C93)-$A$63:$A$108)*'Cálculos'!$D$98)+1400)+'Cálculos'!$D$123)*'Cálculos'!$D$265)+('Cálculos'!$D$201*(1+'Cálculos'!$D$202+$A$63:$A$108*('Cálculos'!$D$290=2)*'Cálculos'!$D$101)+'Cálculos'!$D$203)*('Cálculos'!$D$256+'Cálculos'!$D$124*(1+2.78*('Cálculos'!$D$199+(($C93)-$A$63:$A$108)*'Cálculos'!$D$98)/(('Cálculos'!$D$199+(($C93)-$A$63:$A$108)*'Cálculos'!$D$98)+1400)+'Cálculos'!$D$122)*'Cálculos'!$D$261+'Cálculos'!$D$125*(1+2.78*('Cálculos'!$D$199+(($C93)-$A$63:$A$108)*'Cálculos'!$D$98)/(('Cálculos'!$D$199+(($C93)-$A$63:$A$108)*'Cálculos'!$D$98)+1400)+'Cálculos'!$D$123)*'Cálculos'!$D$266)+('Cálculos'!$D$204*(1+'Cálculos'!$D$205+$A$63:$A$108*('Cálculos'!$D$290=3)*'Cálculos'!$D$103)+'Cálculos'!$D$206)*('Cálculos'!$D$257+'Cálculos'!$D$124*(1+2.78*('Cálculos'!$D$199+(($C93)-$A$63:$A$108)*'Cálculos'!$D$98)/(('Cálculos'!$D$199+(($C93)-$A$63:$A$108)*'Cálculos'!$D$98)+1400)+'Cálculos'!$D$122)*'Cálculos'!$D$262+'Cálculos'!$D$125*(1+2.78*('Cálculos'!$D$199+(($C93)-$A$63:$A$108)*'Cálculos'!$D$98)/(('Cálculos'!$D$199+(($C93)-$A$63:$A$108)*'Cálculos'!$D$98)+1400)+'Cálculos'!$D$123)*'Cálculos'!$D$267)+('Cálculos'!$D$258+'Cálculos'!$D$124*(1+2.78*('Cálculos'!$D$199+(($C93)-$A$63:$A$108)*'Cálculos'!$D$98)/(('Cálculos'!$D$199+(($C93)-$A$63:$A$108)*'Cálculos'!$D$98)+1400)+'Cálculos'!$D$122)*'Cálculos'!$D$263+'Cálculos'!$D$125*(1+2.78*('Cálculos'!$D$199+(($C93)-$A$63:$A$108)*'Cálculos'!$D$98)/(('Cálculos'!$D$199+(($C93)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93)-$A$63:$A$108)*'Cálculos'!$D$98)/(('Cálculos'!$D$200+(($C93)-$A$63:$A$108)*'Cálculos'!$D$98)+1400)+'Cálculos'!$D$122)*'Cálculos'!$D$274+'Cálculos'!$D$125*(1+2.78*('Cálculos'!$D$200+(($C93)-$A$63:$A$108)*'Cálculos'!$D$98)/(('Cálculos'!$D$200+(($C93)-$A$63:$A$108)*'Cálculos'!$D$98)+1400)+'Cálculos'!$D$123)*'Cálculos'!$D$279)+('Cálculos'!$D$200+(($C93)-$A$63:$A$108)*'Cálculos'!$D$98)*('Cálculos'!$D$270+'Cálculos'!$D$124*(1+2.78*('Cálculos'!$D$200+(($C93)-$A$63:$A$108)*'Cálculos'!$D$98)/(('Cálculos'!$D$200+(($C93)-$A$63:$A$108)*'Cálculos'!$D$98)+1400)+'Cálculos'!$D$122)*'Cálculos'!$D$275+'Cálculos'!$D$125*(1+2.78*('Cálculos'!$D$200+(($C93)-$A$63:$A$108)*'Cálculos'!$D$98)/(('Cálculos'!$D$200+(($C93)-$A$63:$A$108)*'Cálculos'!$D$98)+1400)+'Cálculos'!$D$123)*'Cálculos'!$D$280)+('Cálculos'!$D$201*(1+'Cálculos'!$D$202+$A$63:$A$108*('Cálculos'!$D$290=2)*'Cálculos'!$D$101)+'Cálculos'!$D$203)*('Cálculos'!$D$271+'Cálculos'!$D$124*(1+2.78*('Cálculos'!$D$200+(($C93)-$A$63:$A$108)*'Cálculos'!$D$98)/(('Cálculos'!$D$200+(($C93)-$A$63:$A$108)*'Cálculos'!$D$98)+1400)+'Cálculos'!$D$122)*'Cálculos'!$D$276+'Cálculos'!$D$125*(1+2.78*('Cálculos'!$D$200+(($C93)-$A$63:$A$108)*'Cálculos'!$D$98)/(('Cálculos'!$D$200+(($C93)-$A$63:$A$108)*'Cálculos'!$D$98)+1400)+'Cálculos'!$D$123)*'Cálculos'!$D$281)+('Cálculos'!$D$204*(1+'Cálculos'!$D$205+$A$63:$A$108*('Cálculos'!$D$290=3)*'Cálculos'!$D$103)+'Cálculos'!$D$206)*('Cálculos'!$D$272+'Cálculos'!$D$124*(1+2.78*('Cálculos'!$D$200+(($C93)-$A$63:$A$108)*'Cálculos'!$D$98)/(('Cálculos'!$D$200+(($C93)-$A$63:$A$108)*'Cálculos'!$D$98)+1400)+'Cálculos'!$D$122)*'Cálculos'!$D$277+'Cálculos'!$D$125*(1+2.78*('Cálculos'!$D$200+(($C93)-$A$63:$A$108)*'Cálculos'!$D$98)/(('Cálculos'!$D$200+(($C93)-$A$63:$A$108)*'Cálculos'!$D$98)+1400)+'Cálculos'!$D$123)*'Cálculos'!$D$282)+('Cálculos'!$D$273+'Cálculos'!$D$124*(1+2.78*('Cálculos'!$D$200+(($C93)-$A$63:$A$108)*'Cálculos'!$D$98)/(('Cálculos'!$D$200+(($C93)-$A$63:$A$108)*'Cálculos'!$D$98)+1400)+'Cálculos'!$D$122)*'Cálculos'!$D$278+'Cálculos'!$D$125*(1+2.78*('Cálculos'!$D$200+(($C93)-$A$63:$A$108)*'Cálculos'!$D$98)/(('Cálculos'!$D$200+(($C93)-$A$63:$A$108)*'Cálculos'!$D$98)+1400)+'Cálculos'!$D$123)*'Cálculos'!$D$283)))))</f>
        <v>0</v>
      </c>
      <c r="E93" s="32">
        <f>IF(OR($C93&lt;0,'Cálculos'!$D$6=""),0,$B93*$D93)</f>
        <v>0</v>
      </c>
      <c r="F93" s="2"/>
      <c r="G93" s="30">
        <f>($A93&lt;=$B$110)*($A93&lt;='Cálculos'!$D$294)*(($B$110)-$A93&lt;='Cálculos'!$D$295)*(1+MIN(('Cálculos'!$D$207+$A93*'Cálculos'!$D$95),1)*('Cálculos'!$D$208+(($B$110)-$A93)*'Cálculos'!$D$96))</f>
        <v>0</v>
      </c>
      <c r="H93" s="31">
        <f>IF($B$111&lt;0,0,($A93&lt;=$B$111)*($A93&lt;='Cálculos'!$D$301)*(($B$111)-$A93&lt;='Cálculos'!$D$297)*(('Cálculos'!$D$185*(1+'Cálculos'!$D$186+$A93*('Cálculos'!$D$290=1)*'Cálculos'!$D$97+'Cálculos'!$D$305)+'Cálculos'!$D$191)*('Cálculos'!$D$209+'Cálculos'!$D$124*(1+2.78*('Cálculos'!$D$196+(($B$111)-$A93)*'Cálculos'!$D$98)/(('Cálculos'!$D$196+(($B$111)-$A93)*'Cálculos'!$D$98)+1400)+'Cálculos'!$D$122)*'Cálculos'!$D$214+'Cálculos'!$D$125*(1+2.78*('Cálculos'!$D$196+(($B$111)-$A93)*'Cálculos'!$D$98)/(('Cálculos'!$D$196+(($B$111)-$A93)*'Cálculos'!$D$98)+1400)+'Cálculos'!$D$123)*'Cálculos'!$D$219)+('Cálculos'!$D$196+(($B$111)-$A93)*'Cálculos'!$D$98)*('Cálculos'!$D$210+'Cálculos'!$D$124*(1+2.78*('Cálculos'!$D$196+(($B$111)-$A93)*'Cálculos'!$D$98)/(('Cálculos'!$D$196+(($B$111)-$A93)*'Cálculos'!$D$98)+1400)+'Cálculos'!$D$122)*'Cálculos'!$D$215+'Cálculos'!$D$125*(1+2.78*('Cálculos'!$D$196+(($B$111)-$A93)*'Cálculos'!$D$98)/(('Cálculos'!$D$196+(($B$111)-$A93)*'Cálculos'!$D$98)+1400)+'Cálculos'!$D$123)*'Cálculos'!$D$220)+('Cálculos'!$D$201*(1+'Cálculos'!$D$202+$A93*('Cálculos'!$D$290=2)*'Cálculos'!$D$101)+'Cálculos'!$D$203)*('Cálculos'!$D$211+'Cálculos'!$D$124*(1+2.78*('Cálculos'!$D$196+(($B$111)-$A93)*'Cálculos'!$D$98)/(('Cálculos'!$D$196+(($B$111)-$A93)*'Cálculos'!$D$98)+1400)+'Cálculos'!$D$122)*'Cálculos'!$D$216+'Cálculos'!$D$125*(1+2.78*('Cálculos'!$D$196+(($B$111)-$A93)*'Cálculos'!$D$98)/(('Cálculos'!$D$196+(($B$111)-$A93)*'Cálculos'!$D$98)+1400)+'Cálculos'!$D$123)*'Cálculos'!$D$221)+('Cálculos'!$D$204*(1+'Cálculos'!$D$205+$A93*('Cálculos'!$D$290=3)*'Cálculos'!$D$103)+'Cálculos'!$D$206)*('Cálculos'!$D$212+'Cálculos'!$D$124*(1+2.78*('Cálculos'!$D$196+(($B$111)-$A93)*'Cálculos'!$D$98)/(('Cálculos'!$D$196+(($B$111)-$A93)*'Cálculos'!$D$98)+1400)+'Cálculos'!$D$122)*'Cálculos'!$D$217+'Cálculos'!$D$125*(1+2.78*('Cálculos'!$D$196+(($B$111)-$A93)*'Cálculos'!$D$98)/(('Cálculos'!$D$196+(($B$111)-$A93)*'Cálculos'!$D$98)+1400)+'Cálculos'!$D$123)*'Cálculos'!$D$222)+('Cálculos'!$D$213+'Cálculos'!$D$124*(1+2.78*('Cálculos'!$D$196+(($B$111)-$A93)*'Cálculos'!$D$98)/(('Cálculos'!$D$196+(($B$111)-$A93)*'Cálculos'!$D$98)+1400)+'Cálculos'!$D$122)*'Cálculos'!$D$218+'Cálculos'!$D$125*(1+2.78*('Cálculos'!$D$196+(($B$111)-$A93)*'Cálculos'!$D$98)/(('Cálculos'!$D$196+(($B$111)-$A93)*'Cálculos'!$D$98)+1400)+'Cálculos'!$D$123)*'Cálculos'!$D$223)+('Cálculos'!$D$185*(1+'Cálculos'!$D$187+$A93*('Cálculos'!$D$290=1)*'Cálculos'!$D$97+'Cálculos'!$D$305)+'Cálculos'!$D$192)*('Cálculos'!$D$224+'Cálculos'!$D$124*(1+2.78*('Cálculos'!$D$197+(($B$111)-$A93)*'Cálculos'!$D$98)/(('Cálculos'!$D$197+(($B$111)-$A93)*'Cálculos'!$D$98)+1400)+'Cálculos'!$D$122)*'Cálculos'!$D$229+'Cálculos'!$D$125*(1+2.78*('Cálculos'!$D$197+(($B$111)-$A93)*'Cálculos'!$D$98)/(('Cálculos'!$D$197+(($B$111)-$A93)*'Cálculos'!$D$98)+1400)+'Cálculos'!$D$123)*'Cálculos'!$D$234)+('Cálculos'!$D$197+(($B$111)-$A93)*'Cálculos'!$D$98)*('Cálculos'!$D$225+'Cálculos'!$D$124*(1+2.78*('Cálculos'!$D$197+(($B$111)-$A93)*'Cálculos'!$D$98)/(('Cálculos'!$D$197+(($B$111)-$A93)*'Cálculos'!$D$98)+1400)+'Cálculos'!$D$122)*'Cálculos'!$D$230+'Cálculos'!$D$125*(1+2.78*('Cálculos'!$D$197+(($B$111)-$A93)*'Cálculos'!$D$98)/(('Cálculos'!$D$197+(($B$111)-$A93)*'Cálculos'!$D$98)+1400)+'Cálculos'!$D$123)*'Cálculos'!$D$235)+('Cálculos'!$D$201*(1+'Cálculos'!$D$202+$A93*('Cálculos'!$D$290=2)*'Cálculos'!$D$101)+'Cálculos'!$D$203)*('Cálculos'!$D$226+'Cálculos'!$D$124*(1+2.78*('Cálculos'!$D$197+(($B$111)-$A93)*'Cálculos'!$D$98)/(('Cálculos'!$D$197+(($B$111)-$A93)*'Cálculos'!$D$98)+1400)+'Cálculos'!$D$122)*'Cálculos'!$D$231+'Cálculos'!$D$125*(1+2.78*('Cálculos'!$D$197+(($B$111)-$A93)*'Cálculos'!$D$98)/(('Cálculos'!$D$197+(($B$111)-$A93)*'Cálculos'!$D$98)+1400)+'Cálculos'!$D$123)*'Cálculos'!$D$236)+('Cálculos'!$D$204*(1+'Cálculos'!$D$205+$A93*('Cálculos'!$D$290=3)*'Cálculos'!$D$103)+'Cálculos'!$D$206)*('Cálculos'!$D$227+'Cálculos'!$D$124*(1+2.78*('Cálculos'!$D$197+(($B$111)-$A93)*'Cálculos'!$D$98)/(('Cálculos'!$D$197+(($B$111)-$A93)*'Cálculos'!$D$98)+1400)+'Cálculos'!$D$122)*'Cálculos'!$D$232+'Cálculos'!$D$125*(1+2.78*('Cálculos'!$D$197+(($B$111)-$A93)*'Cálculos'!$D$98)/(('Cálculos'!$D$197+(($B$111)-$A93)*'Cálculos'!$D$98)+1400)+'Cálculos'!$D$123)*'Cálculos'!$D$237)+('Cálculos'!$D$228+'Cálculos'!$D$124*(1+2.78*('Cálculos'!$D$197+(($B$111)-$A93)*'Cálculos'!$D$98)/(('Cálculos'!$D$197+(($B$111)-$A93)*'Cálculos'!$D$98)+1400)+'Cálculos'!$D$122)*'Cálculos'!$D$233+'Cálculos'!$D$125*(1+2.78*('Cálculos'!$D$197+(($B$111)-$A93)*'Cálculos'!$D$98)/(('Cálculos'!$D$197+(($B$111)-$A93)*'Cálculos'!$D$98)+1400)+'Cálculos'!$D$123)*'Cálculos'!$D$238)+('Cálculos'!$D$185*(1+'Cálculos'!$D$188+$A93*('Cálculos'!$D$290=1)*'Cálculos'!$D$97+'Cálculos'!$D$305)+'Cálculos'!$D$193)*('Cálculos'!$D$239+'Cálculos'!$D$124*(1+2.78*('Cálculos'!$D$198+(($B$111)-$A93)*'Cálculos'!$D$98)/(('Cálculos'!$D$198+(($B$111)-$A93)*'Cálculos'!$D$98)+1400)+'Cálculos'!$D$122)*'Cálculos'!$D$244+'Cálculos'!$D$125*(1+2.78*('Cálculos'!$D$198+(($B$111)-$A93)*'Cálculos'!$D$98)/(('Cálculos'!$D$198+(($B$111)-$A93)*'Cálculos'!$D$98)+1400)+'Cálculos'!$D$123)*'Cálculos'!$D$249)+('Cálculos'!$D$198+(($B$111)-$A93)*'Cálculos'!$D$98)*('Cálculos'!$D$240+'Cálculos'!$D$124*(1+2.78*('Cálculos'!$D$198+(($B$111)-$A93)*'Cálculos'!$D$98)/(('Cálculos'!$D$198+(($B$111)-$A93)*'Cálculos'!$D$98)+1400)+'Cálculos'!$D$122)*'Cálculos'!$D$245+'Cálculos'!$D$125*(1+2.78*('Cálculos'!$D$198+(($B$111)-$A93)*'Cálculos'!$D$98)/(('Cálculos'!$D$198+(($B$111)-$A93)*'Cálculos'!$D$98)+1400)+'Cálculos'!$D$123)*'Cálculos'!$D$250)+('Cálculos'!$D$201*(1+'Cálculos'!$D$202+$A93*('Cálculos'!$D$290=2)*'Cálculos'!$D$101)+'Cálculos'!$D$203)*('Cálculos'!$D$241+'Cálculos'!$D$124*(1+2.78*('Cálculos'!$D$198+(($B$111)-$A93)*'Cálculos'!$D$98)/(('Cálculos'!$D$198+(($B$111)-$A93)*'Cálculos'!$D$98)+1400)+'Cálculos'!$D$122)*'Cálculos'!$D$246+'Cálculos'!$D$125*(1+2.78*('Cálculos'!$D$198+(($B$111)-$A93)*'Cálculos'!$D$98)/(('Cálculos'!$D$198+(($B$111)-$A93)*'Cálculos'!$D$98)+1400)+'Cálculos'!$D$123)*'Cálculos'!$D$251)+('Cálculos'!$D$204*(1+'Cálculos'!$D$205+$A93*('Cálculos'!$D$290=3)*'Cálculos'!$D$103)+'Cálculos'!$D$206)*('Cálculos'!$D$242+'Cálculos'!$D$124*(1+2.78*('Cálculos'!$D$198+(($B$111)-$A93)*'Cálculos'!$D$98)/(('Cálculos'!$D$198+(($B$111)-$A93)*'Cálculos'!$D$98)+1400)+'Cálculos'!$D$122)*'Cálculos'!$D$247+'Cálculos'!$D$125*(1+2.78*('Cálculos'!$D$198+(($B$111)-$A93)*'Cálculos'!$D$98)/(('Cálculos'!$D$198+(($B$111)-$A93)*'Cálculos'!$D$98)+1400)+'Cálculos'!$D$123)*'Cálculos'!$D$252)+('Cálculos'!$D$243+'Cálculos'!$D$124*(1+2.78*('Cálculos'!$D$198+(($B$111)-$A93)*'Cálculos'!$D$98)/(('Cálculos'!$D$198+(($B$111)-$A93)*'Cálculos'!$D$98)+1400)+'Cálculos'!$D$122)*'Cálculos'!$D$248+'Cálculos'!$D$125*(1+2.78*('Cálculos'!$D$198+(($B$111)-$A93)*'Cálculos'!$D$98)/(('Cálculos'!$D$198+(($B$111)-$A93)*'Cálculos'!$D$98)+1400)+'Cálculos'!$D$123)*'Cálculos'!$D$253)+('Cálculos'!$D$185*(1+'Cálculos'!$D$189+$A93*('Cálculos'!$D$290=1)*'Cálculos'!$D$97+'Cálculos'!$D$305)+'Cálculos'!$D$194)*('Cálculos'!$D$254+'Cálculos'!$D$124*(1+2.78*('Cálculos'!$D$199+(($B$111)-$A93)*'Cálculos'!$D$98)/(('Cálculos'!$D$199+(($B$111)-$A93)*'Cálculos'!$D$98)+1400)+'Cálculos'!$D$122)*'Cálculos'!$D$259+'Cálculos'!$D$125*(1+2.78*('Cálculos'!$D$199+(($B$111)-$A93)*'Cálculos'!$D$98)/(('Cálculos'!$D$199+(($B$111)-$A93)*'Cálculos'!$D$98)+1400)+'Cálculos'!$D$123)*'Cálculos'!$D$264)+('Cálculos'!$D$199+(($B$111)-$A93)*'Cálculos'!$D$98)*('Cálculos'!$D$255+'Cálculos'!$D$124*(1+2.78*('Cálculos'!$D$199+(($B$111)-$A93)*'Cálculos'!$D$98)/(('Cálculos'!$D$199+(($B$111)-$A93)*'Cálculos'!$D$98)+1400)+'Cálculos'!$D$122)*'Cálculos'!$D$260+'Cálculos'!$D$125*(1+2.78*('Cálculos'!$D$199+(($B$111)-$A93)*'Cálculos'!$D$98)/(('Cálculos'!$D$199+(($B$111)-$A93)*'Cálculos'!$D$98)+1400)+'Cálculos'!$D$123)*'Cálculos'!$D$265)+('Cálculos'!$D$201*(1+'Cálculos'!$D$202+$A93*('Cálculos'!$D$290=2)*'Cálculos'!$D$101)+'Cálculos'!$D$203)*('Cálculos'!$D$256+'Cálculos'!$D$124*(1+2.78*('Cálculos'!$D$199+(($B$111)-$A93)*'Cálculos'!$D$98)/(('Cálculos'!$D$199+(($B$111)-$A93)*'Cálculos'!$D$98)+1400)+'Cálculos'!$D$122)*'Cálculos'!$D$261+'Cálculos'!$D$125*(1+2.78*('Cálculos'!$D$199+(($B$111)-$A93)*'Cálculos'!$D$98)/(('Cálculos'!$D$199+(($B$111)-$A93)*'Cálculos'!$D$98)+1400)+'Cálculos'!$D$123)*'Cálculos'!$D$266)+('Cálculos'!$D$204*(1+'Cálculos'!$D$205+$A93*('Cálculos'!$D$290=3)*'Cálculos'!$D$103)+'Cálculos'!$D$206)*('Cálculos'!$D$257+'Cálculos'!$D$124*(1+2.78*('Cálculos'!$D$199+(($B$111)-$A93)*'Cálculos'!$D$98)/(('Cálculos'!$D$199+(($B$111)-$A93)*'Cálculos'!$D$98)+1400)+'Cálculos'!$D$122)*'Cálculos'!$D$262+'Cálculos'!$D$125*(1+2.78*('Cálculos'!$D$199+(($B$111)-$A93)*'Cálculos'!$D$98)/(('Cálculos'!$D$199+(($B$111)-$A93)*'Cálculos'!$D$98)+1400)+'Cálculos'!$D$123)*'Cálculos'!$D$267)+('Cálculos'!$D$258+'Cálculos'!$D$124*(1+2.78*('Cálculos'!$D$199+(($B$111)-$A93)*'Cálculos'!$D$98)/(('Cálculos'!$D$199+(($B$111)-$A93)*'Cálculos'!$D$98)+1400)+'Cálculos'!$D$122)*'Cálculos'!$D$263+'Cálculos'!$D$125*(1+2.78*('Cálculos'!$D$199+(($B$111)-$A93)*'Cálculos'!$D$98)/(('Cálculos'!$D$199+(($B$111)-$A93)*'Cálculos'!$D$98)+1400)+'Cálculos'!$D$123)*'Cálculos'!$D$268)+('Cálculos'!$D$185*(1+'Cálculos'!$D$190+$A93*('Cálculos'!$D$290=1)*'Cálculos'!$D$97+'Cálculos'!$D$305)+'Cálculos'!$D$195)*('Cálculos'!$D$269+'Cálculos'!$D$124*(1+2.78*('Cálculos'!$D$200+(($B$111)-$A93)*'Cálculos'!$D$98)/(('Cálculos'!$D$200+(($B$111)-$A93)*'Cálculos'!$D$98)+1400)+'Cálculos'!$D$122)*'Cálculos'!$D$274+'Cálculos'!$D$125*(1+2.78*('Cálculos'!$D$200+(($B$111)-$A93)*'Cálculos'!$D$98)/(('Cálculos'!$D$200+(($B$111)-$A93)*'Cálculos'!$D$98)+1400)+'Cálculos'!$D$123)*'Cálculos'!$D$279)+('Cálculos'!$D$200+(($B$111)-$A93)*'Cálculos'!$D$98)*('Cálculos'!$D$270+'Cálculos'!$D$124*(1+2.78*('Cálculos'!$D$200+(($B$111)-$A93)*'Cálculos'!$D$98)/(('Cálculos'!$D$200+(($B$111)-$A93)*'Cálculos'!$D$98)+1400)+'Cálculos'!$D$122)*'Cálculos'!$D$275+'Cálculos'!$D$125*(1+2.78*('Cálculos'!$D$200+(($B$111)-$A93)*'Cálculos'!$D$98)/(('Cálculos'!$D$200+(($B$111)-$A93)*'Cálculos'!$D$98)+1400)+'Cálculos'!$D$123)*'Cálculos'!$D$280)+('Cálculos'!$D$201*(1+'Cálculos'!$D$202+$A93*('Cálculos'!$D$290=2)*'Cálculos'!$D$101)+'Cálculos'!$D$203)*('Cálculos'!$D$271+'Cálculos'!$D$124*(1+2.78*('Cálculos'!$D$200+(($B$111)-$A93)*'Cálculos'!$D$98)/(('Cálculos'!$D$200+(($B$111)-$A93)*'Cálculos'!$D$98)+1400)+'Cálculos'!$D$122)*'Cálculos'!$D$276+'Cálculos'!$D$125*(1+2.78*('Cálculos'!$D$200+(($B$111)-$A93)*'Cálculos'!$D$98)/(('Cálculos'!$D$200+(($B$111)-$A93)*'Cálculos'!$D$98)+1400)+'Cálculos'!$D$123)*'Cálculos'!$D$281)+('Cálculos'!$D$204*(1+'Cálculos'!$D$205+$A93*('Cálculos'!$D$290=3)*'Cálculos'!$D$103)+'Cálculos'!$D$206)*('Cálculos'!$D$272+'Cálculos'!$D$124*(1+2.78*('Cálculos'!$D$200+(($B$111)-$A93)*'Cálculos'!$D$98)/(('Cálculos'!$D$200+(($B$111)-$A93)*'Cálculos'!$D$98)+1400)+'Cálculos'!$D$122)*'Cálculos'!$D$277+'Cálculos'!$D$125*(1+2.78*('Cálculos'!$D$200+(($B$111)-$A93)*'Cálculos'!$D$98)/(('Cálculos'!$D$200+(($B$111)-$A93)*'Cálculos'!$D$98)+1400)+'Cálculos'!$D$123)*'Cálculos'!$D$282)+('Cálculos'!$D$273+'Cálculos'!$D$124*(1+2.78*('Cálculos'!$D$200+(($B$111)-$A93)*'Cálculos'!$D$98)/(('Cálculos'!$D$200+(($B$111)-$A93)*'Cálculos'!$D$98)+1400)+'Cálculos'!$D$122)*'Cálculos'!$D$278+'Cálculos'!$D$125*(1+2.78*('Cálculos'!$D$200+(($B$111)-$A93)*'Cálculos'!$D$98)/(('Cálculos'!$D$200+(($B$111)-$A93)*'Cálculos'!$D$98)+1400)+'Cálculos'!$D$123)*'Cálculos'!$D$283)))</f>
        <v>0</v>
      </c>
    </row>
    <row r="94" ht="15.75" customHeight="1">
      <c r="A94" s="2">
        <v>31.0</v>
      </c>
      <c r="B94" s="30">
        <f>SUMPRODUCT(MAX(($A$63:$A$108&lt;=$A94)*($A$63:$A$108&lt;='Cálculos'!$D$294)*(($A94)-$A$63:$A$108&lt;='Cálculos'!$D$295)*(1+(('Cálculos'!$D$207+$A$63:$A$108*'Cálculos'!$D$95)-(('Cálculos'!$D$207+$A$63:$A$108*'Cálculos'!$D$95)&gt;1)*(('Cálculos'!$D$207+$A$63:$A$108*'Cálculos'!$D$95)-1))*('Cálculos'!$D$208+(($A94)-$A$63:$A$108)*'Cálculos'!$D$96))))</f>
        <v>2.144382738</v>
      </c>
      <c r="C94" s="2">
        <f>'Cálculos'!$D$303-$A94</f>
        <v>-20</v>
      </c>
      <c r="D94" s="31">
        <f>IF($C94&lt;0,0,SUMPRODUCT(MAX(($A$63:$A$108&lt;=$C94)*($A$63:$A$108&lt;='Cálculos'!$D$301)*(($C94)-$A$63:$A$108&lt;='Cálculos'!$D$297)*(('Cálculos'!$D$185*(1+'Cálculos'!$D$186+$A$63:$A$108*('Cálculos'!$D$290=1)*'Cálculos'!$D$97+'Cálculos'!$D$305)+'Cálculos'!$D$191)*('Cálculos'!$D$209+'Cálculos'!$D$124*(1+2.78*('Cálculos'!$D$196+(($C94)-$A$63:$A$108)*'Cálculos'!$D$98)/(('Cálculos'!$D$196+(($C94)-$A$63:$A$108)*'Cálculos'!$D$98)+1400)+'Cálculos'!$D$122)*'Cálculos'!$D$214+'Cálculos'!$D$125*(1+2.78*('Cálculos'!$D$196+(($C94)-$A$63:$A$108)*'Cálculos'!$D$98)/(('Cálculos'!$D$196+(($C94)-$A$63:$A$108)*'Cálculos'!$D$98)+1400)+'Cálculos'!$D$123)*'Cálculos'!$D$219)+('Cálculos'!$D$196+(($C94)-$A$63:$A$108)*'Cálculos'!$D$98)*('Cálculos'!$D$210+'Cálculos'!$D$124*(1+2.78*('Cálculos'!$D$196+(($C94)-$A$63:$A$108)*'Cálculos'!$D$98)/(('Cálculos'!$D$196+(($C94)-$A$63:$A$108)*'Cálculos'!$D$98)+1400)+'Cálculos'!$D$122)*'Cálculos'!$D$215+'Cálculos'!$D$125*(1+2.78*('Cálculos'!$D$196+(($C94)-$A$63:$A$108)*'Cálculos'!$D$98)/(('Cálculos'!$D$196+(($C94)-$A$63:$A$108)*'Cálculos'!$D$98)+1400)+'Cálculos'!$D$123)*'Cálculos'!$D$220)+('Cálculos'!$D$201*(1+'Cálculos'!$D$202+$A$63:$A$108*('Cálculos'!$D$290=2)*'Cálculos'!$D$101)+'Cálculos'!$D$203)*('Cálculos'!$D$211+'Cálculos'!$D$124*(1+2.78*('Cálculos'!$D$196+(($C94)-$A$63:$A$108)*'Cálculos'!$D$98)/(('Cálculos'!$D$196+(($C94)-$A$63:$A$108)*'Cálculos'!$D$98)+1400)+'Cálculos'!$D$122)*'Cálculos'!$D$216+'Cálculos'!$D$125*(1+2.78*('Cálculos'!$D$196+(($C94)-$A$63:$A$108)*'Cálculos'!$D$98)/(('Cálculos'!$D$196+(($C94)-$A$63:$A$108)*'Cálculos'!$D$98)+1400)+'Cálculos'!$D$123)*'Cálculos'!$D$221)+('Cálculos'!$D$204*(1+'Cálculos'!$D$205+$A$63:$A$108*('Cálculos'!$D$290=3)*'Cálculos'!$D$103)+'Cálculos'!$D$206)*('Cálculos'!$D$212+'Cálculos'!$D$124*(1+2.78*('Cálculos'!$D$196+(($C94)-$A$63:$A$108)*'Cálculos'!$D$98)/(('Cálculos'!$D$196+(($C94)-$A$63:$A$108)*'Cálculos'!$D$98)+1400)+'Cálculos'!$D$122)*'Cálculos'!$D$217+'Cálculos'!$D$125*(1+2.78*('Cálculos'!$D$196+(($C94)-$A$63:$A$108)*'Cálculos'!$D$98)/(('Cálculos'!$D$196+(($C94)-$A$63:$A$108)*'Cálculos'!$D$98)+1400)+'Cálculos'!$D$123)*'Cálculos'!$D$222)+('Cálculos'!$D$213+'Cálculos'!$D$124*(1+2.78*('Cálculos'!$D$196+(($C94)-$A$63:$A$108)*'Cálculos'!$D$98)/(('Cálculos'!$D$196+(($C94)-$A$63:$A$108)*'Cálculos'!$D$98)+1400)+'Cálculos'!$D$122)*'Cálculos'!$D$218+'Cálculos'!$D$125*(1+2.78*('Cálculos'!$D$196+(($C94)-$A$63:$A$108)*'Cálculos'!$D$98)/(('Cálculos'!$D$196+(($C94)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94)-$A$63:$A$108)*'Cálculos'!$D$98)/(('Cálculos'!$D$197+(($C94)-$A$63:$A$108)*'Cálculos'!$D$98)+1400)+'Cálculos'!$D$122)*'Cálculos'!$D$229+'Cálculos'!$D$125*(1+2.78*('Cálculos'!$D$197+(($C94)-$A$63:$A$108)*'Cálculos'!$D$98)/(('Cálculos'!$D$197+(($C94)-$A$63:$A$108)*'Cálculos'!$D$98)+1400)+'Cálculos'!$D$123)*'Cálculos'!$D$234)+('Cálculos'!$D$197+(($C94)-$A$63:$A$108)*'Cálculos'!$D$98)*('Cálculos'!$D$225+'Cálculos'!$D$124*(1+2.78*('Cálculos'!$D$197+(($C94)-$A$63:$A$108)*'Cálculos'!$D$98)/(('Cálculos'!$D$197+(($C94)-$A$63:$A$108)*'Cálculos'!$D$98)+1400)+'Cálculos'!$D$122)*'Cálculos'!$D$230+'Cálculos'!$D$125*(1+2.78*('Cálculos'!$D$197+(($C94)-$A$63:$A$108)*'Cálculos'!$D$98)/(('Cálculos'!$D$197+(($C94)-$A$63:$A$108)*'Cálculos'!$D$98)+1400)+'Cálculos'!$D$123)*'Cálculos'!$D$235)+('Cálculos'!$D$201*(1+'Cálculos'!$D$202+$A$63:$A$108*('Cálculos'!$D$290=2)*'Cálculos'!$D$101)+'Cálculos'!$D$203)*('Cálculos'!$D$226+'Cálculos'!$D$124*(1+2.78*('Cálculos'!$D$197+(($C94)-$A$63:$A$108)*'Cálculos'!$D$98)/(('Cálculos'!$D$197+(($C94)-$A$63:$A$108)*'Cálculos'!$D$98)+1400)+'Cálculos'!$D$122)*'Cálculos'!$D$231+'Cálculos'!$D$125*(1+2.78*('Cálculos'!$D$197+(($C94)-$A$63:$A$108)*'Cálculos'!$D$98)/(('Cálculos'!$D$197+(($C94)-$A$63:$A$108)*'Cálculos'!$D$98)+1400)+'Cálculos'!$D$123)*'Cálculos'!$D$236)+('Cálculos'!$D$204*(1+'Cálculos'!$D$205+$A$63:$A$108*('Cálculos'!$D$290=3)*'Cálculos'!$D$103)+'Cálculos'!$D$206)*('Cálculos'!$D$227+'Cálculos'!$D$124*(1+2.78*('Cálculos'!$D$197+(($C94)-$A$63:$A$108)*'Cálculos'!$D$98)/(('Cálculos'!$D$197+(($C94)-$A$63:$A$108)*'Cálculos'!$D$98)+1400)+'Cálculos'!$D$122)*'Cálculos'!$D$232+'Cálculos'!$D$125*(1+2.78*('Cálculos'!$D$197+(($C94)-$A$63:$A$108)*'Cálculos'!$D$98)/(('Cálculos'!$D$197+(($C94)-$A$63:$A$108)*'Cálculos'!$D$98)+1400)+'Cálculos'!$D$123)*'Cálculos'!$D$237)+('Cálculos'!$D$228+'Cálculos'!$D$124*(1+2.78*('Cálculos'!$D$197+(($C94)-$A$63:$A$108)*'Cálculos'!$D$98)/(('Cálculos'!$D$197+(($C94)-$A$63:$A$108)*'Cálculos'!$D$98)+1400)+'Cálculos'!$D$122)*'Cálculos'!$D$233+'Cálculos'!$D$125*(1+2.78*('Cálculos'!$D$197+(($C94)-$A$63:$A$108)*'Cálculos'!$D$98)/(('Cálculos'!$D$197+(($C94)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94)-$A$63:$A$108)*'Cálculos'!$D$98)/(('Cálculos'!$D$198+(($C94)-$A$63:$A$108)*'Cálculos'!$D$98)+1400)+'Cálculos'!$D$122)*'Cálculos'!$D$244+'Cálculos'!$D$125*(1+2.78*('Cálculos'!$D$198+(($C94)-$A$63:$A$108)*'Cálculos'!$D$98)/(('Cálculos'!$D$198+(($C94)-$A$63:$A$108)*'Cálculos'!$D$98)+1400)+'Cálculos'!$D$123)*'Cálculos'!$D$249)+('Cálculos'!$D$198+(($C94)-$A$63:$A$108)*'Cálculos'!$D$98)*('Cálculos'!$D$240+'Cálculos'!$D$124*(1+2.78*('Cálculos'!$D$198+(($C94)-$A$63:$A$108)*'Cálculos'!$D$98)/(('Cálculos'!$D$198+(($C94)-$A$63:$A$108)*'Cálculos'!$D$98)+1400)+'Cálculos'!$D$122)*'Cálculos'!$D$245+'Cálculos'!$D$125*(1+2.78*('Cálculos'!$D$198+(($C94)-$A$63:$A$108)*'Cálculos'!$D$98)/(('Cálculos'!$D$198+(($C94)-$A$63:$A$108)*'Cálculos'!$D$98)+1400)+'Cálculos'!$D$123)*'Cálculos'!$D$250)+('Cálculos'!$D$201*(1+'Cálculos'!$D$202+$A$63:$A$108*('Cálculos'!$D$290=2)*'Cálculos'!$D$101)+'Cálculos'!$D$203)*('Cálculos'!$D$241+'Cálculos'!$D$124*(1+2.78*('Cálculos'!$D$198+(($C94)-$A$63:$A$108)*'Cálculos'!$D$98)/(('Cálculos'!$D$198+(($C94)-$A$63:$A$108)*'Cálculos'!$D$98)+1400)+'Cálculos'!$D$122)*'Cálculos'!$D$246+'Cálculos'!$D$125*(1+2.78*('Cálculos'!$D$198+(($C94)-$A$63:$A$108)*'Cálculos'!$D$98)/(('Cálculos'!$D$198+(($C94)-$A$63:$A$108)*'Cálculos'!$D$98)+1400)+'Cálculos'!$D$123)*'Cálculos'!$D$251)+('Cálculos'!$D$204*(1+'Cálculos'!$D$205+$A$63:$A$108*('Cálculos'!$D$290=3)*'Cálculos'!$D$103)+'Cálculos'!$D$206)*('Cálculos'!$D$242+'Cálculos'!$D$124*(1+2.78*('Cálculos'!$D$198+(($C94)-$A$63:$A$108)*'Cálculos'!$D$98)/(('Cálculos'!$D$198+(($C94)-$A$63:$A$108)*'Cálculos'!$D$98)+1400)+'Cálculos'!$D$122)*'Cálculos'!$D$247+'Cálculos'!$D$125*(1+2.78*('Cálculos'!$D$198+(($C94)-$A$63:$A$108)*'Cálculos'!$D$98)/(('Cálculos'!$D$198+(($C94)-$A$63:$A$108)*'Cálculos'!$D$98)+1400)+'Cálculos'!$D$123)*'Cálculos'!$D$252)+('Cálculos'!$D$243+'Cálculos'!$D$124*(1+2.78*('Cálculos'!$D$198+(($C94)-$A$63:$A$108)*'Cálculos'!$D$98)/(('Cálculos'!$D$198+(($C94)-$A$63:$A$108)*'Cálculos'!$D$98)+1400)+'Cálculos'!$D$122)*'Cálculos'!$D$248+'Cálculos'!$D$125*(1+2.78*('Cálculos'!$D$198+(($C94)-$A$63:$A$108)*'Cálculos'!$D$98)/(('Cálculos'!$D$198+(($C94)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94)-$A$63:$A$108)*'Cálculos'!$D$98)/(('Cálculos'!$D$199+(($C94)-$A$63:$A$108)*'Cálculos'!$D$98)+1400)+'Cálculos'!$D$122)*'Cálculos'!$D$259+'Cálculos'!$D$125*(1+2.78*('Cálculos'!$D$199+(($C94)-$A$63:$A$108)*'Cálculos'!$D$98)/(('Cálculos'!$D$199+(($C94)-$A$63:$A$108)*'Cálculos'!$D$98)+1400)+'Cálculos'!$D$123)*'Cálculos'!$D$264)+('Cálculos'!$D$199+(($C94)-$A$63:$A$108)*'Cálculos'!$D$98)*('Cálculos'!$D$255+'Cálculos'!$D$124*(1+2.78*('Cálculos'!$D$199+(($C94)-$A$63:$A$108)*'Cálculos'!$D$98)/(('Cálculos'!$D$199+(($C94)-$A$63:$A$108)*'Cálculos'!$D$98)+1400)+'Cálculos'!$D$122)*'Cálculos'!$D$260+'Cálculos'!$D$125*(1+2.78*('Cálculos'!$D$199+(($C94)-$A$63:$A$108)*'Cálculos'!$D$98)/(('Cálculos'!$D$199+(($C94)-$A$63:$A$108)*'Cálculos'!$D$98)+1400)+'Cálculos'!$D$123)*'Cálculos'!$D$265)+('Cálculos'!$D$201*(1+'Cálculos'!$D$202+$A$63:$A$108*('Cálculos'!$D$290=2)*'Cálculos'!$D$101)+'Cálculos'!$D$203)*('Cálculos'!$D$256+'Cálculos'!$D$124*(1+2.78*('Cálculos'!$D$199+(($C94)-$A$63:$A$108)*'Cálculos'!$D$98)/(('Cálculos'!$D$199+(($C94)-$A$63:$A$108)*'Cálculos'!$D$98)+1400)+'Cálculos'!$D$122)*'Cálculos'!$D$261+'Cálculos'!$D$125*(1+2.78*('Cálculos'!$D$199+(($C94)-$A$63:$A$108)*'Cálculos'!$D$98)/(('Cálculos'!$D$199+(($C94)-$A$63:$A$108)*'Cálculos'!$D$98)+1400)+'Cálculos'!$D$123)*'Cálculos'!$D$266)+('Cálculos'!$D$204*(1+'Cálculos'!$D$205+$A$63:$A$108*('Cálculos'!$D$290=3)*'Cálculos'!$D$103)+'Cálculos'!$D$206)*('Cálculos'!$D$257+'Cálculos'!$D$124*(1+2.78*('Cálculos'!$D$199+(($C94)-$A$63:$A$108)*'Cálculos'!$D$98)/(('Cálculos'!$D$199+(($C94)-$A$63:$A$108)*'Cálculos'!$D$98)+1400)+'Cálculos'!$D$122)*'Cálculos'!$D$262+'Cálculos'!$D$125*(1+2.78*('Cálculos'!$D$199+(($C94)-$A$63:$A$108)*'Cálculos'!$D$98)/(('Cálculos'!$D$199+(($C94)-$A$63:$A$108)*'Cálculos'!$D$98)+1400)+'Cálculos'!$D$123)*'Cálculos'!$D$267)+('Cálculos'!$D$258+'Cálculos'!$D$124*(1+2.78*('Cálculos'!$D$199+(($C94)-$A$63:$A$108)*'Cálculos'!$D$98)/(('Cálculos'!$D$199+(($C94)-$A$63:$A$108)*'Cálculos'!$D$98)+1400)+'Cálculos'!$D$122)*'Cálculos'!$D$263+'Cálculos'!$D$125*(1+2.78*('Cálculos'!$D$199+(($C94)-$A$63:$A$108)*'Cálculos'!$D$98)/(('Cálculos'!$D$199+(($C94)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94)-$A$63:$A$108)*'Cálculos'!$D$98)/(('Cálculos'!$D$200+(($C94)-$A$63:$A$108)*'Cálculos'!$D$98)+1400)+'Cálculos'!$D$122)*'Cálculos'!$D$274+'Cálculos'!$D$125*(1+2.78*('Cálculos'!$D$200+(($C94)-$A$63:$A$108)*'Cálculos'!$D$98)/(('Cálculos'!$D$200+(($C94)-$A$63:$A$108)*'Cálculos'!$D$98)+1400)+'Cálculos'!$D$123)*'Cálculos'!$D$279)+('Cálculos'!$D$200+(($C94)-$A$63:$A$108)*'Cálculos'!$D$98)*('Cálculos'!$D$270+'Cálculos'!$D$124*(1+2.78*('Cálculos'!$D$200+(($C94)-$A$63:$A$108)*'Cálculos'!$D$98)/(('Cálculos'!$D$200+(($C94)-$A$63:$A$108)*'Cálculos'!$D$98)+1400)+'Cálculos'!$D$122)*'Cálculos'!$D$275+'Cálculos'!$D$125*(1+2.78*('Cálculos'!$D$200+(($C94)-$A$63:$A$108)*'Cálculos'!$D$98)/(('Cálculos'!$D$200+(($C94)-$A$63:$A$108)*'Cálculos'!$D$98)+1400)+'Cálculos'!$D$123)*'Cálculos'!$D$280)+('Cálculos'!$D$201*(1+'Cálculos'!$D$202+$A$63:$A$108*('Cálculos'!$D$290=2)*'Cálculos'!$D$101)+'Cálculos'!$D$203)*('Cálculos'!$D$271+'Cálculos'!$D$124*(1+2.78*('Cálculos'!$D$200+(($C94)-$A$63:$A$108)*'Cálculos'!$D$98)/(('Cálculos'!$D$200+(($C94)-$A$63:$A$108)*'Cálculos'!$D$98)+1400)+'Cálculos'!$D$122)*'Cálculos'!$D$276+'Cálculos'!$D$125*(1+2.78*('Cálculos'!$D$200+(($C94)-$A$63:$A$108)*'Cálculos'!$D$98)/(('Cálculos'!$D$200+(($C94)-$A$63:$A$108)*'Cálculos'!$D$98)+1400)+'Cálculos'!$D$123)*'Cálculos'!$D$281)+('Cálculos'!$D$204*(1+'Cálculos'!$D$205+$A$63:$A$108*('Cálculos'!$D$290=3)*'Cálculos'!$D$103)+'Cálculos'!$D$206)*('Cálculos'!$D$272+'Cálculos'!$D$124*(1+2.78*('Cálculos'!$D$200+(($C94)-$A$63:$A$108)*'Cálculos'!$D$98)/(('Cálculos'!$D$200+(($C94)-$A$63:$A$108)*'Cálculos'!$D$98)+1400)+'Cálculos'!$D$122)*'Cálculos'!$D$277+'Cálculos'!$D$125*(1+2.78*('Cálculos'!$D$200+(($C94)-$A$63:$A$108)*'Cálculos'!$D$98)/(('Cálculos'!$D$200+(($C94)-$A$63:$A$108)*'Cálculos'!$D$98)+1400)+'Cálculos'!$D$123)*'Cálculos'!$D$282)+('Cálculos'!$D$273+'Cálculos'!$D$124*(1+2.78*('Cálculos'!$D$200+(($C94)-$A$63:$A$108)*'Cálculos'!$D$98)/(('Cálculos'!$D$200+(($C94)-$A$63:$A$108)*'Cálculos'!$D$98)+1400)+'Cálculos'!$D$122)*'Cálculos'!$D$278+'Cálculos'!$D$125*(1+2.78*('Cálculos'!$D$200+(($C94)-$A$63:$A$108)*'Cálculos'!$D$98)/(('Cálculos'!$D$200+(($C94)-$A$63:$A$108)*'Cálculos'!$D$98)+1400)+'Cálculos'!$D$123)*'Cálculos'!$D$283)))))</f>
        <v>0</v>
      </c>
      <c r="E94" s="32">
        <f>IF(OR($C94&lt;0,'Cálculos'!$D$6=""),0,$B94*$D94)</f>
        <v>0</v>
      </c>
      <c r="F94" s="2"/>
      <c r="G94" s="30">
        <f>($A94&lt;=$B$110)*($A94&lt;='Cálculos'!$D$294)*(($B$110)-$A94&lt;='Cálculos'!$D$295)*(1+MIN(('Cálculos'!$D$207+$A94*'Cálculos'!$D$95),1)*('Cálculos'!$D$208+(($B$110)-$A94)*'Cálculos'!$D$96))</f>
        <v>0</v>
      </c>
      <c r="H94" s="31">
        <f>IF($B$111&lt;0,0,($A94&lt;=$B$111)*($A94&lt;='Cálculos'!$D$301)*(($B$111)-$A94&lt;='Cálculos'!$D$297)*(('Cálculos'!$D$185*(1+'Cálculos'!$D$186+$A94*('Cálculos'!$D$290=1)*'Cálculos'!$D$97+'Cálculos'!$D$305)+'Cálculos'!$D$191)*('Cálculos'!$D$209+'Cálculos'!$D$124*(1+2.78*('Cálculos'!$D$196+(($B$111)-$A94)*'Cálculos'!$D$98)/(('Cálculos'!$D$196+(($B$111)-$A94)*'Cálculos'!$D$98)+1400)+'Cálculos'!$D$122)*'Cálculos'!$D$214+'Cálculos'!$D$125*(1+2.78*('Cálculos'!$D$196+(($B$111)-$A94)*'Cálculos'!$D$98)/(('Cálculos'!$D$196+(($B$111)-$A94)*'Cálculos'!$D$98)+1400)+'Cálculos'!$D$123)*'Cálculos'!$D$219)+('Cálculos'!$D$196+(($B$111)-$A94)*'Cálculos'!$D$98)*('Cálculos'!$D$210+'Cálculos'!$D$124*(1+2.78*('Cálculos'!$D$196+(($B$111)-$A94)*'Cálculos'!$D$98)/(('Cálculos'!$D$196+(($B$111)-$A94)*'Cálculos'!$D$98)+1400)+'Cálculos'!$D$122)*'Cálculos'!$D$215+'Cálculos'!$D$125*(1+2.78*('Cálculos'!$D$196+(($B$111)-$A94)*'Cálculos'!$D$98)/(('Cálculos'!$D$196+(($B$111)-$A94)*'Cálculos'!$D$98)+1400)+'Cálculos'!$D$123)*'Cálculos'!$D$220)+('Cálculos'!$D$201*(1+'Cálculos'!$D$202+$A94*('Cálculos'!$D$290=2)*'Cálculos'!$D$101)+'Cálculos'!$D$203)*('Cálculos'!$D$211+'Cálculos'!$D$124*(1+2.78*('Cálculos'!$D$196+(($B$111)-$A94)*'Cálculos'!$D$98)/(('Cálculos'!$D$196+(($B$111)-$A94)*'Cálculos'!$D$98)+1400)+'Cálculos'!$D$122)*'Cálculos'!$D$216+'Cálculos'!$D$125*(1+2.78*('Cálculos'!$D$196+(($B$111)-$A94)*'Cálculos'!$D$98)/(('Cálculos'!$D$196+(($B$111)-$A94)*'Cálculos'!$D$98)+1400)+'Cálculos'!$D$123)*'Cálculos'!$D$221)+('Cálculos'!$D$204*(1+'Cálculos'!$D$205+$A94*('Cálculos'!$D$290=3)*'Cálculos'!$D$103)+'Cálculos'!$D$206)*('Cálculos'!$D$212+'Cálculos'!$D$124*(1+2.78*('Cálculos'!$D$196+(($B$111)-$A94)*'Cálculos'!$D$98)/(('Cálculos'!$D$196+(($B$111)-$A94)*'Cálculos'!$D$98)+1400)+'Cálculos'!$D$122)*'Cálculos'!$D$217+'Cálculos'!$D$125*(1+2.78*('Cálculos'!$D$196+(($B$111)-$A94)*'Cálculos'!$D$98)/(('Cálculos'!$D$196+(($B$111)-$A94)*'Cálculos'!$D$98)+1400)+'Cálculos'!$D$123)*'Cálculos'!$D$222)+('Cálculos'!$D$213+'Cálculos'!$D$124*(1+2.78*('Cálculos'!$D$196+(($B$111)-$A94)*'Cálculos'!$D$98)/(('Cálculos'!$D$196+(($B$111)-$A94)*'Cálculos'!$D$98)+1400)+'Cálculos'!$D$122)*'Cálculos'!$D$218+'Cálculos'!$D$125*(1+2.78*('Cálculos'!$D$196+(($B$111)-$A94)*'Cálculos'!$D$98)/(('Cálculos'!$D$196+(($B$111)-$A94)*'Cálculos'!$D$98)+1400)+'Cálculos'!$D$123)*'Cálculos'!$D$223)+('Cálculos'!$D$185*(1+'Cálculos'!$D$187+$A94*('Cálculos'!$D$290=1)*'Cálculos'!$D$97+'Cálculos'!$D$305)+'Cálculos'!$D$192)*('Cálculos'!$D$224+'Cálculos'!$D$124*(1+2.78*('Cálculos'!$D$197+(($B$111)-$A94)*'Cálculos'!$D$98)/(('Cálculos'!$D$197+(($B$111)-$A94)*'Cálculos'!$D$98)+1400)+'Cálculos'!$D$122)*'Cálculos'!$D$229+'Cálculos'!$D$125*(1+2.78*('Cálculos'!$D$197+(($B$111)-$A94)*'Cálculos'!$D$98)/(('Cálculos'!$D$197+(($B$111)-$A94)*'Cálculos'!$D$98)+1400)+'Cálculos'!$D$123)*'Cálculos'!$D$234)+('Cálculos'!$D$197+(($B$111)-$A94)*'Cálculos'!$D$98)*('Cálculos'!$D$225+'Cálculos'!$D$124*(1+2.78*('Cálculos'!$D$197+(($B$111)-$A94)*'Cálculos'!$D$98)/(('Cálculos'!$D$197+(($B$111)-$A94)*'Cálculos'!$D$98)+1400)+'Cálculos'!$D$122)*'Cálculos'!$D$230+'Cálculos'!$D$125*(1+2.78*('Cálculos'!$D$197+(($B$111)-$A94)*'Cálculos'!$D$98)/(('Cálculos'!$D$197+(($B$111)-$A94)*'Cálculos'!$D$98)+1400)+'Cálculos'!$D$123)*'Cálculos'!$D$235)+('Cálculos'!$D$201*(1+'Cálculos'!$D$202+$A94*('Cálculos'!$D$290=2)*'Cálculos'!$D$101)+'Cálculos'!$D$203)*('Cálculos'!$D$226+'Cálculos'!$D$124*(1+2.78*('Cálculos'!$D$197+(($B$111)-$A94)*'Cálculos'!$D$98)/(('Cálculos'!$D$197+(($B$111)-$A94)*'Cálculos'!$D$98)+1400)+'Cálculos'!$D$122)*'Cálculos'!$D$231+'Cálculos'!$D$125*(1+2.78*('Cálculos'!$D$197+(($B$111)-$A94)*'Cálculos'!$D$98)/(('Cálculos'!$D$197+(($B$111)-$A94)*'Cálculos'!$D$98)+1400)+'Cálculos'!$D$123)*'Cálculos'!$D$236)+('Cálculos'!$D$204*(1+'Cálculos'!$D$205+$A94*('Cálculos'!$D$290=3)*'Cálculos'!$D$103)+'Cálculos'!$D$206)*('Cálculos'!$D$227+'Cálculos'!$D$124*(1+2.78*('Cálculos'!$D$197+(($B$111)-$A94)*'Cálculos'!$D$98)/(('Cálculos'!$D$197+(($B$111)-$A94)*'Cálculos'!$D$98)+1400)+'Cálculos'!$D$122)*'Cálculos'!$D$232+'Cálculos'!$D$125*(1+2.78*('Cálculos'!$D$197+(($B$111)-$A94)*'Cálculos'!$D$98)/(('Cálculos'!$D$197+(($B$111)-$A94)*'Cálculos'!$D$98)+1400)+'Cálculos'!$D$123)*'Cálculos'!$D$237)+('Cálculos'!$D$228+'Cálculos'!$D$124*(1+2.78*('Cálculos'!$D$197+(($B$111)-$A94)*'Cálculos'!$D$98)/(('Cálculos'!$D$197+(($B$111)-$A94)*'Cálculos'!$D$98)+1400)+'Cálculos'!$D$122)*'Cálculos'!$D$233+'Cálculos'!$D$125*(1+2.78*('Cálculos'!$D$197+(($B$111)-$A94)*'Cálculos'!$D$98)/(('Cálculos'!$D$197+(($B$111)-$A94)*'Cálculos'!$D$98)+1400)+'Cálculos'!$D$123)*'Cálculos'!$D$238)+('Cálculos'!$D$185*(1+'Cálculos'!$D$188+$A94*('Cálculos'!$D$290=1)*'Cálculos'!$D$97+'Cálculos'!$D$305)+'Cálculos'!$D$193)*('Cálculos'!$D$239+'Cálculos'!$D$124*(1+2.78*('Cálculos'!$D$198+(($B$111)-$A94)*'Cálculos'!$D$98)/(('Cálculos'!$D$198+(($B$111)-$A94)*'Cálculos'!$D$98)+1400)+'Cálculos'!$D$122)*'Cálculos'!$D$244+'Cálculos'!$D$125*(1+2.78*('Cálculos'!$D$198+(($B$111)-$A94)*'Cálculos'!$D$98)/(('Cálculos'!$D$198+(($B$111)-$A94)*'Cálculos'!$D$98)+1400)+'Cálculos'!$D$123)*'Cálculos'!$D$249)+('Cálculos'!$D$198+(($B$111)-$A94)*'Cálculos'!$D$98)*('Cálculos'!$D$240+'Cálculos'!$D$124*(1+2.78*('Cálculos'!$D$198+(($B$111)-$A94)*'Cálculos'!$D$98)/(('Cálculos'!$D$198+(($B$111)-$A94)*'Cálculos'!$D$98)+1400)+'Cálculos'!$D$122)*'Cálculos'!$D$245+'Cálculos'!$D$125*(1+2.78*('Cálculos'!$D$198+(($B$111)-$A94)*'Cálculos'!$D$98)/(('Cálculos'!$D$198+(($B$111)-$A94)*'Cálculos'!$D$98)+1400)+'Cálculos'!$D$123)*'Cálculos'!$D$250)+('Cálculos'!$D$201*(1+'Cálculos'!$D$202+$A94*('Cálculos'!$D$290=2)*'Cálculos'!$D$101)+'Cálculos'!$D$203)*('Cálculos'!$D$241+'Cálculos'!$D$124*(1+2.78*('Cálculos'!$D$198+(($B$111)-$A94)*'Cálculos'!$D$98)/(('Cálculos'!$D$198+(($B$111)-$A94)*'Cálculos'!$D$98)+1400)+'Cálculos'!$D$122)*'Cálculos'!$D$246+'Cálculos'!$D$125*(1+2.78*('Cálculos'!$D$198+(($B$111)-$A94)*'Cálculos'!$D$98)/(('Cálculos'!$D$198+(($B$111)-$A94)*'Cálculos'!$D$98)+1400)+'Cálculos'!$D$123)*'Cálculos'!$D$251)+('Cálculos'!$D$204*(1+'Cálculos'!$D$205+$A94*('Cálculos'!$D$290=3)*'Cálculos'!$D$103)+'Cálculos'!$D$206)*('Cálculos'!$D$242+'Cálculos'!$D$124*(1+2.78*('Cálculos'!$D$198+(($B$111)-$A94)*'Cálculos'!$D$98)/(('Cálculos'!$D$198+(($B$111)-$A94)*'Cálculos'!$D$98)+1400)+'Cálculos'!$D$122)*'Cálculos'!$D$247+'Cálculos'!$D$125*(1+2.78*('Cálculos'!$D$198+(($B$111)-$A94)*'Cálculos'!$D$98)/(('Cálculos'!$D$198+(($B$111)-$A94)*'Cálculos'!$D$98)+1400)+'Cálculos'!$D$123)*'Cálculos'!$D$252)+('Cálculos'!$D$243+'Cálculos'!$D$124*(1+2.78*('Cálculos'!$D$198+(($B$111)-$A94)*'Cálculos'!$D$98)/(('Cálculos'!$D$198+(($B$111)-$A94)*'Cálculos'!$D$98)+1400)+'Cálculos'!$D$122)*'Cálculos'!$D$248+'Cálculos'!$D$125*(1+2.78*('Cálculos'!$D$198+(($B$111)-$A94)*'Cálculos'!$D$98)/(('Cálculos'!$D$198+(($B$111)-$A94)*'Cálculos'!$D$98)+1400)+'Cálculos'!$D$123)*'Cálculos'!$D$253)+('Cálculos'!$D$185*(1+'Cálculos'!$D$189+$A94*('Cálculos'!$D$290=1)*'Cálculos'!$D$97+'Cálculos'!$D$305)+'Cálculos'!$D$194)*('Cálculos'!$D$254+'Cálculos'!$D$124*(1+2.78*('Cálculos'!$D$199+(($B$111)-$A94)*'Cálculos'!$D$98)/(('Cálculos'!$D$199+(($B$111)-$A94)*'Cálculos'!$D$98)+1400)+'Cálculos'!$D$122)*'Cálculos'!$D$259+'Cálculos'!$D$125*(1+2.78*('Cálculos'!$D$199+(($B$111)-$A94)*'Cálculos'!$D$98)/(('Cálculos'!$D$199+(($B$111)-$A94)*'Cálculos'!$D$98)+1400)+'Cálculos'!$D$123)*'Cálculos'!$D$264)+('Cálculos'!$D$199+(($B$111)-$A94)*'Cálculos'!$D$98)*('Cálculos'!$D$255+'Cálculos'!$D$124*(1+2.78*('Cálculos'!$D$199+(($B$111)-$A94)*'Cálculos'!$D$98)/(('Cálculos'!$D$199+(($B$111)-$A94)*'Cálculos'!$D$98)+1400)+'Cálculos'!$D$122)*'Cálculos'!$D$260+'Cálculos'!$D$125*(1+2.78*('Cálculos'!$D$199+(($B$111)-$A94)*'Cálculos'!$D$98)/(('Cálculos'!$D$199+(($B$111)-$A94)*'Cálculos'!$D$98)+1400)+'Cálculos'!$D$123)*'Cálculos'!$D$265)+('Cálculos'!$D$201*(1+'Cálculos'!$D$202+$A94*('Cálculos'!$D$290=2)*'Cálculos'!$D$101)+'Cálculos'!$D$203)*('Cálculos'!$D$256+'Cálculos'!$D$124*(1+2.78*('Cálculos'!$D$199+(($B$111)-$A94)*'Cálculos'!$D$98)/(('Cálculos'!$D$199+(($B$111)-$A94)*'Cálculos'!$D$98)+1400)+'Cálculos'!$D$122)*'Cálculos'!$D$261+'Cálculos'!$D$125*(1+2.78*('Cálculos'!$D$199+(($B$111)-$A94)*'Cálculos'!$D$98)/(('Cálculos'!$D$199+(($B$111)-$A94)*'Cálculos'!$D$98)+1400)+'Cálculos'!$D$123)*'Cálculos'!$D$266)+('Cálculos'!$D$204*(1+'Cálculos'!$D$205+$A94*('Cálculos'!$D$290=3)*'Cálculos'!$D$103)+'Cálculos'!$D$206)*('Cálculos'!$D$257+'Cálculos'!$D$124*(1+2.78*('Cálculos'!$D$199+(($B$111)-$A94)*'Cálculos'!$D$98)/(('Cálculos'!$D$199+(($B$111)-$A94)*'Cálculos'!$D$98)+1400)+'Cálculos'!$D$122)*'Cálculos'!$D$262+'Cálculos'!$D$125*(1+2.78*('Cálculos'!$D$199+(($B$111)-$A94)*'Cálculos'!$D$98)/(('Cálculos'!$D$199+(($B$111)-$A94)*'Cálculos'!$D$98)+1400)+'Cálculos'!$D$123)*'Cálculos'!$D$267)+('Cálculos'!$D$258+'Cálculos'!$D$124*(1+2.78*('Cálculos'!$D$199+(($B$111)-$A94)*'Cálculos'!$D$98)/(('Cálculos'!$D$199+(($B$111)-$A94)*'Cálculos'!$D$98)+1400)+'Cálculos'!$D$122)*'Cálculos'!$D$263+'Cálculos'!$D$125*(1+2.78*('Cálculos'!$D$199+(($B$111)-$A94)*'Cálculos'!$D$98)/(('Cálculos'!$D$199+(($B$111)-$A94)*'Cálculos'!$D$98)+1400)+'Cálculos'!$D$123)*'Cálculos'!$D$268)+('Cálculos'!$D$185*(1+'Cálculos'!$D$190+$A94*('Cálculos'!$D$290=1)*'Cálculos'!$D$97+'Cálculos'!$D$305)+'Cálculos'!$D$195)*('Cálculos'!$D$269+'Cálculos'!$D$124*(1+2.78*('Cálculos'!$D$200+(($B$111)-$A94)*'Cálculos'!$D$98)/(('Cálculos'!$D$200+(($B$111)-$A94)*'Cálculos'!$D$98)+1400)+'Cálculos'!$D$122)*'Cálculos'!$D$274+'Cálculos'!$D$125*(1+2.78*('Cálculos'!$D$200+(($B$111)-$A94)*'Cálculos'!$D$98)/(('Cálculos'!$D$200+(($B$111)-$A94)*'Cálculos'!$D$98)+1400)+'Cálculos'!$D$123)*'Cálculos'!$D$279)+('Cálculos'!$D$200+(($B$111)-$A94)*'Cálculos'!$D$98)*('Cálculos'!$D$270+'Cálculos'!$D$124*(1+2.78*('Cálculos'!$D$200+(($B$111)-$A94)*'Cálculos'!$D$98)/(('Cálculos'!$D$200+(($B$111)-$A94)*'Cálculos'!$D$98)+1400)+'Cálculos'!$D$122)*'Cálculos'!$D$275+'Cálculos'!$D$125*(1+2.78*('Cálculos'!$D$200+(($B$111)-$A94)*'Cálculos'!$D$98)/(('Cálculos'!$D$200+(($B$111)-$A94)*'Cálculos'!$D$98)+1400)+'Cálculos'!$D$123)*'Cálculos'!$D$280)+('Cálculos'!$D$201*(1+'Cálculos'!$D$202+$A94*('Cálculos'!$D$290=2)*'Cálculos'!$D$101)+'Cálculos'!$D$203)*('Cálculos'!$D$271+'Cálculos'!$D$124*(1+2.78*('Cálculos'!$D$200+(($B$111)-$A94)*'Cálculos'!$D$98)/(('Cálculos'!$D$200+(($B$111)-$A94)*'Cálculos'!$D$98)+1400)+'Cálculos'!$D$122)*'Cálculos'!$D$276+'Cálculos'!$D$125*(1+2.78*('Cálculos'!$D$200+(($B$111)-$A94)*'Cálculos'!$D$98)/(('Cálculos'!$D$200+(($B$111)-$A94)*'Cálculos'!$D$98)+1400)+'Cálculos'!$D$123)*'Cálculos'!$D$281)+('Cálculos'!$D$204*(1+'Cálculos'!$D$205+$A94*('Cálculos'!$D$290=3)*'Cálculos'!$D$103)+'Cálculos'!$D$206)*('Cálculos'!$D$272+'Cálculos'!$D$124*(1+2.78*('Cálculos'!$D$200+(($B$111)-$A94)*'Cálculos'!$D$98)/(('Cálculos'!$D$200+(($B$111)-$A94)*'Cálculos'!$D$98)+1400)+'Cálculos'!$D$122)*'Cálculos'!$D$277+'Cálculos'!$D$125*(1+2.78*('Cálculos'!$D$200+(($B$111)-$A94)*'Cálculos'!$D$98)/(('Cálculos'!$D$200+(($B$111)-$A94)*'Cálculos'!$D$98)+1400)+'Cálculos'!$D$123)*'Cálculos'!$D$282)+('Cálculos'!$D$273+'Cálculos'!$D$124*(1+2.78*('Cálculos'!$D$200+(($B$111)-$A94)*'Cálculos'!$D$98)/(('Cálculos'!$D$200+(($B$111)-$A94)*'Cálculos'!$D$98)+1400)+'Cálculos'!$D$122)*'Cálculos'!$D$278+'Cálculos'!$D$125*(1+2.78*('Cálculos'!$D$200+(($B$111)-$A94)*'Cálculos'!$D$98)/(('Cálculos'!$D$200+(($B$111)-$A94)*'Cálculos'!$D$98)+1400)+'Cálculos'!$D$123)*'Cálculos'!$D$283)))</f>
        <v>0</v>
      </c>
    </row>
    <row r="95" ht="15.75" customHeight="1">
      <c r="A95" s="2">
        <v>32.0</v>
      </c>
      <c r="B95" s="30">
        <f>SUMPRODUCT(MAX(($A$63:$A$108&lt;=$A95)*($A$63:$A$108&lt;='Cálculos'!$D$294)*(($A95)-$A$63:$A$108&lt;='Cálculos'!$D$295)*(1+(('Cálculos'!$D$207+$A$63:$A$108*'Cálculos'!$D$95)-(('Cálculos'!$D$207+$A$63:$A$108*'Cálculos'!$D$95)&gt;1)*(('Cálculos'!$D$207+$A$63:$A$108*'Cálculos'!$D$95)-1))*('Cálculos'!$D$208+(($A95)-$A$63:$A$108)*'Cálculos'!$D$96))))</f>
        <v>2.186901448</v>
      </c>
      <c r="C95" s="2">
        <f>'Cálculos'!$D$303-$A95</f>
        <v>-21</v>
      </c>
      <c r="D95" s="31">
        <f>IF($C95&lt;0,0,SUMPRODUCT(MAX(($A$63:$A$108&lt;=$C95)*($A$63:$A$108&lt;='Cálculos'!$D$301)*(($C95)-$A$63:$A$108&lt;='Cálculos'!$D$297)*(('Cálculos'!$D$185*(1+'Cálculos'!$D$186+$A$63:$A$108*('Cálculos'!$D$290=1)*'Cálculos'!$D$97+'Cálculos'!$D$305)+'Cálculos'!$D$191)*('Cálculos'!$D$209+'Cálculos'!$D$124*(1+2.78*('Cálculos'!$D$196+(($C95)-$A$63:$A$108)*'Cálculos'!$D$98)/(('Cálculos'!$D$196+(($C95)-$A$63:$A$108)*'Cálculos'!$D$98)+1400)+'Cálculos'!$D$122)*'Cálculos'!$D$214+'Cálculos'!$D$125*(1+2.78*('Cálculos'!$D$196+(($C95)-$A$63:$A$108)*'Cálculos'!$D$98)/(('Cálculos'!$D$196+(($C95)-$A$63:$A$108)*'Cálculos'!$D$98)+1400)+'Cálculos'!$D$123)*'Cálculos'!$D$219)+('Cálculos'!$D$196+(($C95)-$A$63:$A$108)*'Cálculos'!$D$98)*('Cálculos'!$D$210+'Cálculos'!$D$124*(1+2.78*('Cálculos'!$D$196+(($C95)-$A$63:$A$108)*'Cálculos'!$D$98)/(('Cálculos'!$D$196+(($C95)-$A$63:$A$108)*'Cálculos'!$D$98)+1400)+'Cálculos'!$D$122)*'Cálculos'!$D$215+'Cálculos'!$D$125*(1+2.78*('Cálculos'!$D$196+(($C95)-$A$63:$A$108)*'Cálculos'!$D$98)/(('Cálculos'!$D$196+(($C95)-$A$63:$A$108)*'Cálculos'!$D$98)+1400)+'Cálculos'!$D$123)*'Cálculos'!$D$220)+('Cálculos'!$D$201*(1+'Cálculos'!$D$202+$A$63:$A$108*('Cálculos'!$D$290=2)*'Cálculos'!$D$101)+'Cálculos'!$D$203)*('Cálculos'!$D$211+'Cálculos'!$D$124*(1+2.78*('Cálculos'!$D$196+(($C95)-$A$63:$A$108)*'Cálculos'!$D$98)/(('Cálculos'!$D$196+(($C95)-$A$63:$A$108)*'Cálculos'!$D$98)+1400)+'Cálculos'!$D$122)*'Cálculos'!$D$216+'Cálculos'!$D$125*(1+2.78*('Cálculos'!$D$196+(($C95)-$A$63:$A$108)*'Cálculos'!$D$98)/(('Cálculos'!$D$196+(($C95)-$A$63:$A$108)*'Cálculos'!$D$98)+1400)+'Cálculos'!$D$123)*'Cálculos'!$D$221)+('Cálculos'!$D$204*(1+'Cálculos'!$D$205+$A$63:$A$108*('Cálculos'!$D$290=3)*'Cálculos'!$D$103)+'Cálculos'!$D$206)*('Cálculos'!$D$212+'Cálculos'!$D$124*(1+2.78*('Cálculos'!$D$196+(($C95)-$A$63:$A$108)*'Cálculos'!$D$98)/(('Cálculos'!$D$196+(($C95)-$A$63:$A$108)*'Cálculos'!$D$98)+1400)+'Cálculos'!$D$122)*'Cálculos'!$D$217+'Cálculos'!$D$125*(1+2.78*('Cálculos'!$D$196+(($C95)-$A$63:$A$108)*'Cálculos'!$D$98)/(('Cálculos'!$D$196+(($C95)-$A$63:$A$108)*'Cálculos'!$D$98)+1400)+'Cálculos'!$D$123)*'Cálculos'!$D$222)+('Cálculos'!$D$213+'Cálculos'!$D$124*(1+2.78*('Cálculos'!$D$196+(($C95)-$A$63:$A$108)*'Cálculos'!$D$98)/(('Cálculos'!$D$196+(($C95)-$A$63:$A$108)*'Cálculos'!$D$98)+1400)+'Cálculos'!$D$122)*'Cálculos'!$D$218+'Cálculos'!$D$125*(1+2.78*('Cálculos'!$D$196+(($C95)-$A$63:$A$108)*'Cálculos'!$D$98)/(('Cálculos'!$D$196+(($C95)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95)-$A$63:$A$108)*'Cálculos'!$D$98)/(('Cálculos'!$D$197+(($C95)-$A$63:$A$108)*'Cálculos'!$D$98)+1400)+'Cálculos'!$D$122)*'Cálculos'!$D$229+'Cálculos'!$D$125*(1+2.78*('Cálculos'!$D$197+(($C95)-$A$63:$A$108)*'Cálculos'!$D$98)/(('Cálculos'!$D$197+(($C95)-$A$63:$A$108)*'Cálculos'!$D$98)+1400)+'Cálculos'!$D$123)*'Cálculos'!$D$234)+('Cálculos'!$D$197+(($C95)-$A$63:$A$108)*'Cálculos'!$D$98)*('Cálculos'!$D$225+'Cálculos'!$D$124*(1+2.78*('Cálculos'!$D$197+(($C95)-$A$63:$A$108)*'Cálculos'!$D$98)/(('Cálculos'!$D$197+(($C95)-$A$63:$A$108)*'Cálculos'!$D$98)+1400)+'Cálculos'!$D$122)*'Cálculos'!$D$230+'Cálculos'!$D$125*(1+2.78*('Cálculos'!$D$197+(($C95)-$A$63:$A$108)*'Cálculos'!$D$98)/(('Cálculos'!$D$197+(($C95)-$A$63:$A$108)*'Cálculos'!$D$98)+1400)+'Cálculos'!$D$123)*'Cálculos'!$D$235)+('Cálculos'!$D$201*(1+'Cálculos'!$D$202+$A$63:$A$108*('Cálculos'!$D$290=2)*'Cálculos'!$D$101)+'Cálculos'!$D$203)*('Cálculos'!$D$226+'Cálculos'!$D$124*(1+2.78*('Cálculos'!$D$197+(($C95)-$A$63:$A$108)*'Cálculos'!$D$98)/(('Cálculos'!$D$197+(($C95)-$A$63:$A$108)*'Cálculos'!$D$98)+1400)+'Cálculos'!$D$122)*'Cálculos'!$D$231+'Cálculos'!$D$125*(1+2.78*('Cálculos'!$D$197+(($C95)-$A$63:$A$108)*'Cálculos'!$D$98)/(('Cálculos'!$D$197+(($C95)-$A$63:$A$108)*'Cálculos'!$D$98)+1400)+'Cálculos'!$D$123)*'Cálculos'!$D$236)+('Cálculos'!$D$204*(1+'Cálculos'!$D$205+$A$63:$A$108*('Cálculos'!$D$290=3)*'Cálculos'!$D$103)+'Cálculos'!$D$206)*('Cálculos'!$D$227+'Cálculos'!$D$124*(1+2.78*('Cálculos'!$D$197+(($C95)-$A$63:$A$108)*'Cálculos'!$D$98)/(('Cálculos'!$D$197+(($C95)-$A$63:$A$108)*'Cálculos'!$D$98)+1400)+'Cálculos'!$D$122)*'Cálculos'!$D$232+'Cálculos'!$D$125*(1+2.78*('Cálculos'!$D$197+(($C95)-$A$63:$A$108)*'Cálculos'!$D$98)/(('Cálculos'!$D$197+(($C95)-$A$63:$A$108)*'Cálculos'!$D$98)+1400)+'Cálculos'!$D$123)*'Cálculos'!$D$237)+('Cálculos'!$D$228+'Cálculos'!$D$124*(1+2.78*('Cálculos'!$D$197+(($C95)-$A$63:$A$108)*'Cálculos'!$D$98)/(('Cálculos'!$D$197+(($C95)-$A$63:$A$108)*'Cálculos'!$D$98)+1400)+'Cálculos'!$D$122)*'Cálculos'!$D$233+'Cálculos'!$D$125*(1+2.78*('Cálculos'!$D$197+(($C95)-$A$63:$A$108)*'Cálculos'!$D$98)/(('Cálculos'!$D$197+(($C95)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95)-$A$63:$A$108)*'Cálculos'!$D$98)/(('Cálculos'!$D$198+(($C95)-$A$63:$A$108)*'Cálculos'!$D$98)+1400)+'Cálculos'!$D$122)*'Cálculos'!$D$244+'Cálculos'!$D$125*(1+2.78*('Cálculos'!$D$198+(($C95)-$A$63:$A$108)*'Cálculos'!$D$98)/(('Cálculos'!$D$198+(($C95)-$A$63:$A$108)*'Cálculos'!$D$98)+1400)+'Cálculos'!$D$123)*'Cálculos'!$D$249)+('Cálculos'!$D$198+(($C95)-$A$63:$A$108)*'Cálculos'!$D$98)*('Cálculos'!$D$240+'Cálculos'!$D$124*(1+2.78*('Cálculos'!$D$198+(($C95)-$A$63:$A$108)*'Cálculos'!$D$98)/(('Cálculos'!$D$198+(($C95)-$A$63:$A$108)*'Cálculos'!$D$98)+1400)+'Cálculos'!$D$122)*'Cálculos'!$D$245+'Cálculos'!$D$125*(1+2.78*('Cálculos'!$D$198+(($C95)-$A$63:$A$108)*'Cálculos'!$D$98)/(('Cálculos'!$D$198+(($C95)-$A$63:$A$108)*'Cálculos'!$D$98)+1400)+'Cálculos'!$D$123)*'Cálculos'!$D$250)+('Cálculos'!$D$201*(1+'Cálculos'!$D$202+$A$63:$A$108*('Cálculos'!$D$290=2)*'Cálculos'!$D$101)+'Cálculos'!$D$203)*('Cálculos'!$D$241+'Cálculos'!$D$124*(1+2.78*('Cálculos'!$D$198+(($C95)-$A$63:$A$108)*'Cálculos'!$D$98)/(('Cálculos'!$D$198+(($C95)-$A$63:$A$108)*'Cálculos'!$D$98)+1400)+'Cálculos'!$D$122)*'Cálculos'!$D$246+'Cálculos'!$D$125*(1+2.78*('Cálculos'!$D$198+(($C95)-$A$63:$A$108)*'Cálculos'!$D$98)/(('Cálculos'!$D$198+(($C95)-$A$63:$A$108)*'Cálculos'!$D$98)+1400)+'Cálculos'!$D$123)*'Cálculos'!$D$251)+('Cálculos'!$D$204*(1+'Cálculos'!$D$205+$A$63:$A$108*('Cálculos'!$D$290=3)*'Cálculos'!$D$103)+'Cálculos'!$D$206)*('Cálculos'!$D$242+'Cálculos'!$D$124*(1+2.78*('Cálculos'!$D$198+(($C95)-$A$63:$A$108)*'Cálculos'!$D$98)/(('Cálculos'!$D$198+(($C95)-$A$63:$A$108)*'Cálculos'!$D$98)+1400)+'Cálculos'!$D$122)*'Cálculos'!$D$247+'Cálculos'!$D$125*(1+2.78*('Cálculos'!$D$198+(($C95)-$A$63:$A$108)*'Cálculos'!$D$98)/(('Cálculos'!$D$198+(($C95)-$A$63:$A$108)*'Cálculos'!$D$98)+1400)+'Cálculos'!$D$123)*'Cálculos'!$D$252)+('Cálculos'!$D$243+'Cálculos'!$D$124*(1+2.78*('Cálculos'!$D$198+(($C95)-$A$63:$A$108)*'Cálculos'!$D$98)/(('Cálculos'!$D$198+(($C95)-$A$63:$A$108)*'Cálculos'!$D$98)+1400)+'Cálculos'!$D$122)*'Cálculos'!$D$248+'Cálculos'!$D$125*(1+2.78*('Cálculos'!$D$198+(($C95)-$A$63:$A$108)*'Cálculos'!$D$98)/(('Cálculos'!$D$198+(($C95)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95)-$A$63:$A$108)*'Cálculos'!$D$98)/(('Cálculos'!$D$199+(($C95)-$A$63:$A$108)*'Cálculos'!$D$98)+1400)+'Cálculos'!$D$122)*'Cálculos'!$D$259+'Cálculos'!$D$125*(1+2.78*('Cálculos'!$D$199+(($C95)-$A$63:$A$108)*'Cálculos'!$D$98)/(('Cálculos'!$D$199+(($C95)-$A$63:$A$108)*'Cálculos'!$D$98)+1400)+'Cálculos'!$D$123)*'Cálculos'!$D$264)+('Cálculos'!$D$199+(($C95)-$A$63:$A$108)*'Cálculos'!$D$98)*('Cálculos'!$D$255+'Cálculos'!$D$124*(1+2.78*('Cálculos'!$D$199+(($C95)-$A$63:$A$108)*'Cálculos'!$D$98)/(('Cálculos'!$D$199+(($C95)-$A$63:$A$108)*'Cálculos'!$D$98)+1400)+'Cálculos'!$D$122)*'Cálculos'!$D$260+'Cálculos'!$D$125*(1+2.78*('Cálculos'!$D$199+(($C95)-$A$63:$A$108)*'Cálculos'!$D$98)/(('Cálculos'!$D$199+(($C95)-$A$63:$A$108)*'Cálculos'!$D$98)+1400)+'Cálculos'!$D$123)*'Cálculos'!$D$265)+('Cálculos'!$D$201*(1+'Cálculos'!$D$202+$A$63:$A$108*('Cálculos'!$D$290=2)*'Cálculos'!$D$101)+'Cálculos'!$D$203)*('Cálculos'!$D$256+'Cálculos'!$D$124*(1+2.78*('Cálculos'!$D$199+(($C95)-$A$63:$A$108)*'Cálculos'!$D$98)/(('Cálculos'!$D$199+(($C95)-$A$63:$A$108)*'Cálculos'!$D$98)+1400)+'Cálculos'!$D$122)*'Cálculos'!$D$261+'Cálculos'!$D$125*(1+2.78*('Cálculos'!$D$199+(($C95)-$A$63:$A$108)*'Cálculos'!$D$98)/(('Cálculos'!$D$199+(($C95)-$A$63:$A$108)*'Cálculos'!$D$98)+1400)+'Cálculos'!$D$123)*'Cálculos'!$D$266)+('Cálculos'!$D$204*(1+'Cálculos'!$D$205+$A$63:$A$108*('Cálculos'!$D$290=3)*'Cálculos'!$D$103)+'Cálculos'!$D$206)*('Cálculos'!$D$257+'Cálculos'!$D$124*(1+2.78*('Cálculos'!$D$199+(($C95)-$A$63:$A$108)*'Cálculos'!$D$98)/(('Cálculos'!$D$199+(($C95)-$A$63:$A$108)*'Cálculos'!$D$98)+1400)+'Cálculos'!$D$122)*'Cálculos'!$D$262+'Cálculos'!$D$125*(1+2.78*('Cálculos'!$D$199+(($C95)-$A$63:$A$108)*'Cálculos'!$D$98)/(('Cálculos'!$D$199+(($C95)-$A$63:$A$108)*'Cálculos'!$D$98)+1400)+'Cálculos'!$D$123)*'Cálculos'!$D$267)+('Cálculos'!$D$258+'Cálculos'!$D$124*(1+2.78*('Cálculos'!$D$199+(($C95)-$A$63:$A$108)*'Cálculos'!$D$98)/(('Cálculos'!$D$199+(($C95)-$A$63:$A$108)*'Cálculos'!$D$98)+1400)+'Cálculos'!$D$122)*'Cálculos'!$D$263+'Cálculos'!$D$125*(1+2.78*('Cálculos'!$D$199+(($C95)-$A$63:$A$108)*'Cálculos'!$D$98)/(('Cálculos'!$D$199+(($C95)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95)-$A$63:$A$108)*'Cálculos'!$D$98)/(('Cálculos'!$D$200+(($C95)-$A$63:$A$108)*'Cálculos'!$D$98)+1400)+'Cálculos'!$D$122)*'Cálculos'!$D$274+'Cálculos'!$D$125*(1+2.78*('Cálculos'!$D$200+(($C95)-$A$63:$A$108)*'Cálculos'!$D$98)/(('Cálculos'!$D$200+(($C95)-$A$63:$A$108)*'Cálculos'!$D$98)+1400)+'Cálculos'!$D$123)*'Cálculos'!$D$279)+('Cálculos'!$D$200+(($C95)-$A$63:$A$108)*'Cálculos'!$D$98)*('Cálculos'!$D$270+'Cálculos'!$D$124*(1+2.78*('Cálculos'!$D$200+(($C95)-$A$63:$A$108)*'Cálculos'!$D$98)/(('Cálculos'!$D$200+(($C95)-$A$63:$A$108)*'Cálculos'!$D$98)+1400)+'Cálculos'!$D$122)*'Cálculos'!$D$275+'Cálculos'!$D$125*(1+2.78*('Cálculos'!$D$200+(($C95)-$A$63:$A$108)*'Cálculos'!$D$98)/(('Cálculos'!$D$200+(($C95)-$A$63:$A$108)*'Cálculos'!$D$98)+1400)+'Cálculos'!$D$123)*'Cálculos'!$D$280)+('Cálculos'!$D$201*(1+'Cálculos'!$D$202+$A$63:$A$108*('Cálculos'!$D$290=2)*'Cálculos'!$D$101)+'Cálculos'!$D$203)*('Cálculos'!$D$271+'Cálculos'!$D$124*(1+2.78*('Cálculos'!$D$200+(($C95)-$A$63:$A$108)*'Cálculos'!$D$98)/(('Cálculos'!$D$200+(($C95)-$A$63:$A$108)*'Cálculos'!$D$98)+1400)+'Cálculos'!$D$122)*'Cálculos'!$D$276+'Cálculos'!$D$125*(1+2.78*('Cálculos'!$D$200+(($C95)-$A$63:$A$108)*'Cálculos'!$D$98)/(('Cálculos'!$D$200+(($C95)-$A$63:$A$108)*'Cálculos'!$D$98)+1400)+'Cálculos'!$D$123)*'Cálculos'!$D$281)+('Cálculos'!$D$204*(1+'Cálculos'!$D$205+$A$63:$A$108*('Cálculos'!$D$290=3)*'Cálculos'!$D$103)+'Cálculos'!$D$206)*('Cálculos'!$D$272+'Cálculos'!$D$124*(1+2.78*('Cálculos'!$D$200+(($C95)-$A$63:$A$108)*'Cálculos'!$D$98)/(('Cálculos'!$D$200+(($C95)-$A$63:$A$108)*'Cálculos'!$D$98)+1400)+'Cálculos'!$D$122)*'Cálculos'!$D$277+'Cálculos'!$D$125*(1+2.78*('Cálculos'!$D$200+(($C95)-$A$63:$A$108)*'Cálculos'!$D$98)/(('Cálculos'!$D$200+(($C95)-$A$63:$A$108)*'Cálculos'!$D$98)+1400)+'Cálculos'!$D$123)*'Cálculos'!$D$282)+('Cálculos'!$D$273+'Cálculos'!$D$124*(1+2.78*('Cálculos'!$D$200+(($C95)-$A$63:$A$108)*'Cálculos'!$D$98)/(('Cálculos'!$D$200+(($C95)-$A$63:$A$108)*'Cálculos'!$D$98)+1400)+'Cálculos'!$D$122)*'Cálculos'!$D$278+'Cálculos'!$D$125*(1+2.78*('Cálculos'!$D$200+(($C95)-$A$63:$A$108)*'Cálculos'!$D$98)/(('Cálculos'!$D$200+(($C95)-$A$63:$A$108)*'Cálculos'!$D$98)+1400)+'Cálculos'!$D$123)*'Cálculos'!$D$283)))))</f>
        <v>0</v>
      </c>
      <c r="E95" s="32">
        <f>IF(OR($C95&lt;0,'Cálculos'!$D$6=""),0,$B95*$D95)</f>
        <v>0</v>
      </c>
      <c r="F95" s="2"/>
      <c r="G95" s="30">
        <f>($A95&lt;=$B$110)*($A95&lt;='Cálculos'!$D$294)*(($B$110)-$A95&lt;='Cálculos'!$D$295)*(1+MIN(('Cálculos'!$D$207+$A95*'Cálculos'!$D$95),1)*('Cálculos'!$D$208+(($B$110)-$A95)*'Cálculos'!$D$96))</f>
        <v>0</v>
      </c>
      <c r="H95" s="31">
        <f>IF($B$111&lt;0,0,($A95&lt;=$B$111)*($A95&lt;='Cálculos'!$D$301)*(($B$111)-$A95&lt;='Cálculos'!$D$297)*(('Cálculos'!$D$185*(1+'Cálculos'!$D$186+$A95*('Cálculos'!$D$290=1)*'Cálculos'!$D$97+'Cálculos'!$D$305)+'Cálculos'!$D$191)*('Cálculos'!$D$209+'Cálculos'!$D$124*(1+2.78*('Cálculos'!$D$196+(($B$111)-$A95)*'Cálculos'!$D$98)/(('Cálculos'!$D$196+(($B$111)-$A95)*'Cálculos'!$D$98)+1400)+'Cálculos'!$D$122)*'Cálculos'!$D$214+'Cálculos'!$D$125*(1+2.78*('Cálculos'!$D$196+(($B$111)-$A95)*'Cálculos'!$D$98)/(('Cálculos'!$D$196+(($B$111)-$A95)*'Cálculos'!$D$98)+1400)+'Cálculos'!$D$123)*'Cálculos'!$D$219)+('Cálculos'!$D$196+(($B$111)-$A95)*'Cálculos'!$D$98)*('Cálculos'!$D$210+'Cálculos'!$D$124*(1+2.78*('Cálculos'!$D$196+(($B$111)-$A95)*'Cálculos'!$D$98)/(('Cálculos'!$D$196+(($B$111)-$A95)*'Cálculos'!$D$98)+1400)+'Cálculos'!$D$122)*'Cálculos'!$D$215+'Cálculos'!$D$125*(1+2.78*('Cálculos'!$D$196+(($B$111)-$A95)*'Cálculos'!$D$98)/(('Cálculos'!$D$196+(($B$111)-$A95)*'Cálculos'!$D$98)+1400)+'Cálculos'!$D$123)*'Cálculos'!$D$220)+('Cálculos'!$D$201*(1+'Cálculos'!$D$202+$A95*('Cálculos'!$D$290=2)*'Cálculos'!$D$101)+'Cálculos'!$D$203)*('Cálculos'!$D$211+'Cálculos'!$D$124*(1+2.78*('Cálculos'!$D$196+(($B$111)-$A95)*'Cálculos'!$D$98)/(('Cálculos'!$D$196+(($B$111)-$A95)*'Cálculos'!$D$98)+1400)+'Cálculos'!$D$122)*'Cálculos'!$D$216+'Cálculos'!$D$125*(1+2.78*('Cálculos'!$D$196+(($B$111)-$A95)*'Cálculos'!$D$98)/(('Cálculos'!$D$196+(($B$111)-$A95)*'Cálculos'!$D$98)+1400)+'Cálculos'!$D$123)*'Cálculos'!$D$221)+('Cálculos'!$D$204*(1+'Cálculos'!$D$205+$A95*('Cálculos'!$D$290=3)*'Cálculos'!$D$103)+'Cálculos'!$D$206)*('Cálculos'!$D$212+'Cálculos'!$D$124*(1+2.78*('Cálculos'!$D$196+(($B$111)-$A95)*'Cálculos'!$D$98)/(('Cálculos'!$D$196+(($B$111)-$A95)*'Cálculos'!$D$98)+1400)+'Cálculos'!$D$122)*'Cálculos'!$D$217+'Cálculos'!$D$125*(1+2.78*('Cálculos'!$D$196+(($B$111)-$A95)*'Cálculos'!$D$98)/(('Cálculos'!$D$196+(($B$111)-$A95)*'Cálculos'!$D$98)+1400)+'Cálculos'!$D$123)*'Cálculos'!$D$222)+('Cálculos'!$D$213+'Cálculos'!$D$124*(1+2.78*('Cálculos'!$D$196+(($B$111)-$A95)*'Cálculos'!$D$98)/(('Cálculos'!$D$196+(($B$111)-$A95)*'Cálculos'!$D$98)+1400)+'Cálculos'!$D$122)*'Cálculos'!$D$218+'Cálculos'!$D$125*(1+2.78*('Cálculos'!$D$196+(($B$111)-$A95)*'Cálculos'!$D$98)/(('Cálculos'!$D$196+(($B$111)-$A95)*'Cálculos'!$D$98)+1400)+'Cálculos'!$D$123)*'Cálculos'!$D$223)+('Cálculos'!$D$185*(1+'Cálculos'!$D$187+$A95*('Cálculos'!$D$290=1)*'Cálculos'!$D$97+'Cálculos'!$D$305)+'Cálculos'!$D$192)*('Cálculos'!$D$224+'Cálculos'!$D$124*(1+2.78*('Cálculos'!$D$197+(($B$111)-$A95)*'Cálculos'!$D$98)/(('Cálculos'!$D$197+(($B$111)-$A95)*'Cálculos'!$D$98)+1400)+'Cálculos'!$D$122)*'Cálculos'!$D$229+'Cálculos'!$D$125*(1+2.78*('Cálculos'!$D$197+(($B$111)-$A95)*'Cálculos'!$D$98)/(('Cálculos'!$D$197+(($B$111)-$A95)*'Cálculos'!$D$98)+1400)+'Cálculos'!$D$123)*'Cálculos'!$D$234)+('Cálculos'!$D$197+(($B$111)-$A95)*'Cálculos'!$D$98)*('Cálculos'!$D$225+'Cálculos'!$D$124*(1+2.78*('Cálculos'!$D$197+(($B$111)-$A95)*'Cálculos'!$D$98)/(('Cálculos'!$D$197+(($B$111)-$A95)*'Cálculos'!$D$98)+1400)+'Cálculos'!$D$122)*'Cálculos'!$D$230+'Cálculos'!$D$125*(1+2.78*('Cálculos'!$D$197+(($B$111)-$A95)*'Cálculos'!$D$98)/(('Cálculos'!$D$197+(($B$111)-$A95)*'Cálculos'!$D$98)+1400)+'Cálculos'!$D$123)*'Cálculos'!$D$235)+('Cálculos'!$D$201*(1+'Cálculos'!$D$202+$A95*('Cálculos'!$D$290=2)*'Cálculos'!$D$101)+'Cálculos'!$D$203)*('Cálculos'!$D$226+'Cálculos'!$D$124*(1+2.78*('Cálculos'!$D$197+(($B$111)-$A95)*'Cálculos'!$D$98)/(('Cálculos'!$D$197+(($B$111)-$A95)*'Cálculos'!$D$98)+1400)+'Cálculos'!$D$122)*'Cálculos'!$D$231+'Cálculos'!$D$125*(1+2.78*('Cálculos'!$D$197+(($B$111)-$A95)*'Cálculos'!$D$98)/(('Cálculos'!$D$197+(($B$111)-$A95)*'Cálculos'!$D$98)+1400)+'Cálculos'!$D$123)*'Cálculos'!$D$236)+('Cálculos'!$D$204*(1+'Cálculos'!$D$205+$A95*('Cálculos'!$D$290=3)*'Cálculos'!$D$103)+'Cálculos'!$D$206)*('Cálculos'!$D$227+'Cálculos'!$D$124*(1+2.78*('Cálculos'!$D$197+(($B$111)-$A95)*'Cálculos'!$D$98)/(('Cálculos'!$D$197+(($B$111)-$A95)*'Cálculos'!$D$98)+1400)+'Cálculos'!$D$122)*'Cálculos'!$D$232+'Cálculos'!$D$125*(1+2.78*('Cálculos'!$D$197+(($B$111)-$A95)*'Cálculos'!$D$98)/(('Cálculos'!$D$197+(($B$111)-$A95)*'Cálculos'!$D$98)+1400)+'Cálculos'!$D$123)*'Cálculos'!$D$237)+('Cálculos'!$D$228+'Cálculos'!$D$124*(1+2.78*('Cálculos'!$D$197+(($B$111)-$A95)*'Cálculos'!$D$98)/(('Cálculos'!$D$197+(($B$111)-$A95)*'Cálculos'!$D$98)+1400)+'Cálculos'!$D$122)*'Cálculos'!$D$233+'Cálculos'!$D$125*(1+2.78*('Cálculos'!$D$197+(($B$111)-$A95)*'Cálculos'!$D$98)/(('Cálculos'!$D$197+(($B$111)-$A95)*'Cálculos'!$D$98)+1400)+'Cálculos'!$D$123)*'Cálculos'!$D$238)+('Cálculos'!$D$185*(1+'Cálculos'!$D$188+$A95*('Cálculos'!$D$290=1)*'Cálculos'!$D$97+'Cálculos'!$D$305)+'Cálculos'!$D$193)*('Cálculos'!$D$239+'Cálculos'!$D$124*(1+2.78*('Cálculos'!$D$198+(($B$111)-$A95)*'Cálculos'!$D$98)/(('Cálculos'!$D$198+(($B$111)-$A95)*'Cálculos'!$D$98)+1400)+'Cálculos'!$D$122)*'Cálculos'!$D$244+'Cálculos'!$D$125*(1+2.78*('Cálculos'!$D$198+(($B$111)-$A95)*'Cálculos'!$D$98)/(('Cálculos'!$D$198+(($B$111)-$A95)*'Cálculos'!$D$98)+1400)+'Cálculos'!$D$123)*'Cálculos'!$D$249)+('Cálculos'!$D$198+(($B$111)-$A95)*'Cálculos'!$D$98)*('Cálculos'!$D$240+'Cálculos'!$D$124*(1+2.78*('Cálculos'!$D$198+(($B$111)-$A95)*'Cálculos'!$D$98)/(('Cálculos'!$D$198+(($B$111)-$A95)*'Cálculos'!$D$98)+1400)+'Cálculos'!$D$122)*'Cálculos'!$D$245+'Cálculos'!$D$125*(1+2.78*('Cálculos'!$D$198+(($B$111)-$A95)*'Cálculos'!$D$98)/(('Cálculos'!$D$198+(($B$111)-$A95)*'Cálculos'!$D$98)+1400)+'Cálculos'!$D$123)*'Cálculos'!$D$250)+('Cálculos'!$D$201*(1+'Cálculos'!$D$202+$A95*('Cálculos'!$D$290=2)*'Cálculos'!$D$101)+'Cálculos'!$D$203)*('Cálculos'!$D$241+'Cálculos'!$D$124*(1+2.78*('Cálculos'!$D$198+(($B$111)-$A95)*'Cálculos'!$D$98)/(('Cálculos'!$D$198+(($B$111)-$A95)*'Cálculos'!$D$98)+1400)+'Cálculos'!$D$122)*'Cálculos'!$D$246+'Cálculos'!$D$125*(1+2.78*('Cálculos'!$D$198+(($B$111)-$A95)*'Cálculos'!$D$98)/(('Cálculos'!$D$198+(($B$111)-$A95)*'Cálculos'!$D$98)+1400)+'Cálculos'!$D$123)*'Cálculos'!$D$251)+('Cálculos'!$D$204*(1+'Cálculos'!$D$205+$A95*('Cálculos'!$D$290=3)*'Cálculos'!$D$103)+'Cálculos'!$D$206)*('Cálculos'!$D$242+'Cálculos'!$D$124*(1+2.78*('Cálculos'!$D$198+(($B$111)-$A95)*'Cálculos'!$D$98)/(('Cálculos'!$D$198+(($B$111)-$A95)*'Cálculos'!$D$98)+1400)+'Cálculos'!$D$122)*'Cálculos'!$D$247+'Cálculos'!$D$125*(1+2.78*('Cálculos'!$D$198+(($B$111)-$A95)*'Cálculos'!$D$98)/(('Cálculos'!$D$198+(($B$111)-$A95)*'Cálculos'!$D$98)+1400)+'Cálculos'!$D$123)*'Cálculos'!$D$252)+('Cálculos'!$D$243+'Cálculos'!$D$124*(1+2.78*('Cálculos'!$D$198+(($B$111)-$A95)*'Cálculos'!$D$98)/(('Cálculos'!$D$198+(($B$111)-$A95)*'Cálculos'!$D$98)+1400)+'Cálculos'!$D$122)*'Cálculos'!$D$248+'Cálculos'!$D$125*(1+2.78*('Cálculos'!$D$198+(($B$111)-$A95)*'Cálculos'!$D$98)/(('Cálculos'!$D$198+(($B$111)-$A95)*'Cálculos'!$D$98)+1400)+'Cálculos'!$D$123)*'Cálculos'!$D$253)+('Cálculos'!$D$185*(1+'Cálculos'!$D$189+$A95*('Cálculos'!$D$290=1)*'Cálculos'!$D$97+'Cálculos'!$D$305)+'Cálculos'!$D$194)*('Cálculos'!$D$254+'Cálculos'!$D$124*(1+2.78*('Cálculos'!$D$199+(($B$111)-$A95)*'Cálculos'!$D$98)/(('Cálculos'!$D$199+(($B$111)-$A95)*'Cálculos'!$D$98)+1400)+'Cálculos'!$D$122)*'Cálculos'!$D$259+'Cálculos'!$D$125*(1+2.78*('Cálculos'!$D$199+(($B$111)-$A95)*'Cálculos'!$D$98)/(('Cálculos'!$D$199+(($B$111)-$A95)*'Cálculos'!$D$98)+1400)+'Cálculos'!$D$123)*'Cálculos'!$D$264)+('Cálculos'!$D$199+(($B$111)-$A95)*'Cálculos'!$D$98)*('Cálculos'!$D$255+'Cálculos'!$D$124*(1+2.78*('Cálculos'!$D$199+(($B$111)-$A95)*'Cálculos'!$D$98)/(('Cálculos'!$D$199+(($B$111)-$A95)*'Cálculos'!$D$98)+1400)+'Cálculos'!$D$122)*'Cálculos'!$D$260+'Cálculos'!$D$125*(1+2.78*('Cálculos'!$D$199+(($B$111)-$A95)*'Cálculos'!$D$98)/(('Cálculos'!$D$199+(($B$111)-$A95)*'Cálculos'!$D$98)+1400)+'Cálculos'!$D$123)*'Cálculos'!$D$265)+('Cálculos'!$D$201*(1+'Cálculos'!$D$202+$A95*('Cálculos'!$D$290=2)*'Cálculos'!$D$101)+'Cálculos'!$D$203)*('Cálculos'!$D$256+'Cálculos'!$D$124*(1+2.78*('Cálculos'!$D$199+(($B$111)-$A95)*'Cálculos'!$D$98)/(('Cálculos'!$D$199+(($B$111)-$A95)*'Cálculos'!$D$98)+1400)+'Cálculos'!$D$122)*'Cálculos'!$D$261+'Cálculos'!$D$125*(1+2.78*('Cálculos'!$D$199+(($B$111)-$A95)*'Cálculos'!$D$98)/(('Cálculos'!$D$199+(($B$111)-$A95)*'Cálculos'!$D$98)+1400)+'Cálculos'!$D$123)*'Cálculos'!$D$266)+('Cálculos'!$D$204*(1+'Cálculos'!$D$205+$A95*('Cálculos'!$D$290=3)*'Cálculos'!$D$103)+'Cálculos'!$D$206)*('Cálculos'!$D$257+'Cálculos'!$D$124*(1+2.78*('Cálculos'!$D$199+(($B$111)-$A95)*'Cálculos'!$D$98)/(('Cálculos'!$D$199+(($B$111)-$A95)*'Cálculos'!$D$98)+1400)+'Cálculos'!$D$122)*'Cálculos'!$D$262+'Cálculos'!$D$125*(1+2.78*('Cálculos'!$D$199+(($B$111)-$A95)*'Cálculos'!$D$98)/(('Cálculos'!$D$199+(($B$111)-$A95)*'Cálculos'!$D$98)+1400)+'Cálculos'!$D$123)*'Cálculos'!$D$267)+('Cálculos'!$D$258+'Cálculos'!$D$124*(1+2.78*('Cálculos'!$D$199+(($B$111)-$A95)*'Cálculos'!$D$98)/(('Cálculos'!$D$199+(($B$111)-$A95)*'Cálculos'!$D$98)+1400)+'Cálculos'!$D$122)*'Cálculos'!$D$263+'Cálculos'!$D$125*(1+2.78*('Cálculos'!$D$199+(($B$111)-$A95)*'Cálculos'!$D$98)/(('Cálculos'!$D$199+(($B$111)-$A95)*'Cálculos'!$D$98)+1400)+'Cálculos'!$D$123)*'Cálculos'!$D$268)+('Cálculos'!$D$185*(1+'Cálculos'!$D$190+$A95*('Cálculos'!$D$290=1)*'Cálculos'!$D$97+'Cálculos'!$D$305)+'Cálculos'!$D$195)*('Cálculos'!$D$269+'Cálculos'!$D$124*(1+2.78*('Cálculos'!$D$200+(($B$111)-$A95)*'Cálculos'!$D$98)/(('Cálculos'!$D$200+(($B$111)-$A95)*'Cálculos'!$D$98)+1400)+'Cálculos'!$D$122)*'Cálculos'!$D$274+'Cálculos'!$D$125*(1+2.78*('Cálculos'!$D$200+(($B$111)-$A95)*'Cálculos'!$D$98)/(('Cálculos'!$D$200+(($B$111)-$A95)*'Cálculos'!$D$98)+1400)+'Cálculos'!$D$123)*'Cálculos'!$D$279)+('Cálculos'!$D$200+(($B$111)-$A95)*'Cálculos'!$D$98)*('Cálculos'!$D$270+'Cálculos'!$D$124*(1+2.78*('Cálculos'!$D$200+(($B$111)-$A95)*'Cálculos'!$D$98)/(('Cálculos'!$D$200+(($B$111)-$A95)*'Cálculos'!$D$98)+1400)+'Cálculos'!$D$122)*'Cálculos'!$D$275+'Cálculos'!$D$125*(1+2.78*('Cálculos'!$D$200+(($B$111)-$A95)*'Cálculos'!$D$98)/(('Cálculos'!$D$200+(($B$111)-$A95)*'Cálculos'!$D$98)+1400)+'Cálculos'!$D$123)*'Cálculos'!$D$280)+('Cálculos'!$D$201*(1+'Cálculos'!$D$202+$A95*('Cálculos'!$D$290=2)*'Cálculos'!$D$101)+'Cálculos'!$D$203)*('Cálculos'!$D$271+'Cálculos'!$D$124*(1+2.78*('Cálculos'!$D$200+(($B$111)-$A95)*'Cálculos'!$D$98)/(('Cálculos'!$D$200+(($B$111)-$A95)*'Cálculos'!$D$98)+1400)+'Cálculos'!$D$122)*'Cálculos'!$D$276+'Cálculos'!$D$125*(1+2.78*('Cálculos'!$D$200+(($B$111)-$A95)*'Cálculos'!$D$98)/(('Cálculos'!$D$200+(($B$111)-$A95)*'Cálculos'!$D$98)+1400)+'Cálculos'!$D$123)*'Cálculos'!$D$281)+('Cálculos'!$D$204*(1+'Cálculos'!$D$205+$A95*('Cálculos'!$D$290=3)*'Cálculos'!$D$103)+'Cálculos'!$D$206)*('Cálculos'!$D$272+'Cálculos'!$D$124*(1+2.78*('Cálculos'!$D$200+(($B$111)-$A95)*'Cálculos'!$D$98)/(('Cálculos'!$D$200+(($B$111)-$A95)*'Cálculos'!$D$98)+1400)+'Cálculos'!$D$122)*'Cálculos'!$D$277+'Cálculos'!$D$125*(1+2.78*('Cálculos'!$D$200+(($B$111)-$A95)*'Cálculos'!$D$98)/(('Cálculos'!$D$200+(($B$111)-$A95)*'Cálculos'!$D$98)+1400)+'Cálculos'!$D$123)*'Cálculos'!$D$282)+('Cálculos'!$D$273+'Cálculos'!$D$124*(1+2.78*('Cálculos'!$D$200+(($B$111)-$A95)*'Cálculos'!$D$98)/(('Cálculos'!$D$200+(($B$111)-$A95)*'Cálculos'!$D$98)+1400)+'Cálculos'!$D$122)*'Cálculos'!$D$278+'Cálculos'!$D$125*(1+2.78*('Cálculos'!$D$200+(($B$111)-$A95)*'Cálculos'!$D$98)/(('Cálculos'!$D$200+(($B$111)-$A95)*'Cálculos'!$D$98)+1400)+'Cálculos'!$D$123)*'Cálculos'!$D$283)))</f>
        <v>0</v>
      </c>
    </row>
    <row r="96" ht="15.75" customHeight="1">
      <c r="A96" s="2">
        <v>33.0</v>
      </c>
      <c r="B96" s="30">
        <f>SUMPRODUCT(MAX(($A$63:$A$108&lt;=$A96)*($A$63:$A$108&lt;='Cálculos'!$D$294)*(($A96)-$A$63:$A$108&lt;='Cálculos'!$D$295)*(1+(('Cálculos'!$D$207+$A$63:$A$108*'Cálculos'!$D$95)-(('Cálculos'!$D$207+$A$63:$A$108*'Cálculos'!$D$95)&gt;1)*(('Cálculos'!$D$207+$A$63:$A$108*'Cálculos'!$D$95)-1))*('Cálculos'!$D$208+(($A96)-$A$63:$A$108)*'Cálculos'!$D$96))))</f>
        <v>2.230747922</v>
      </c>
      <c r="C96" s="2">
        <f>'Cálculos'!$D$303-$A96</f>
        <v>-22</v>
      </c>
      <c r="D96" s="31">
        <f>IF($C96&lt;0,0,SUMPRODUCT(MAX(($A$63:$A$108&lt;=$C96)*($A$63:$A$108&lt;='Cálculos'!$D$301)*(($C96)-$A$63:$A$108&lt;='Cálculos'!$D$297)*(('Cálculos'!$D$185*(1+'Cálculos'!$D$186+$A$63:$A$108*('Cálculos'!$D$290=1)*'Cálculos'!$D$97+'Cálculos'!$D$305)+'Cálculos'!$D$191)*('Cálculos'!$D$209+'Cálculos'!$D$124*(1+2.78*('Cálculos'!$D$196+(($C96)-$A$63:$A$108)*'Cálculos'!$D$98)/(('Cálculos'!$D$196+(($C96)-$A$63:$A$108)*'Cálculos'!$D$98)+1400)+'Cálculos'!$D$122)*'Cálculos'!$D$214+'Cálculos'!$D$125*(1+2.78*('Cálculos'!$D$196+(($C96)-$A$63:$A$108)*'Cálculos'!$D$98)/(('Cálculos'!$D$196+(($C96)-$A$63:$A$108)*'Cálculos'!$D$98)+1400)+'Cálculos'!$D$123)*'Cálculos'!$D$219)+('Cálculos'!$D$196+(($C96)-$A$63:$A$108)*'Cálculos'!$D$98)*('Cálculos'!$D$210+'Cálculos'!$D$124*(1+2.78*('Cálculos'!$D$196+(($C96)-$A$63:$A$108)*'Cálculos'!$D$98)/(('Cálculos'!$D$196+(($C96)-$A$63:$A$108)*'Cálculos'!$D$98)+1400)+'Cálculos'!$D$122)*'Cálculos'!$D$215+'Cálculos'!$D$125*(1+2.78*('Cálculos'!$D$196+(($C96)-$A$63:$A$108)*'Cálculos'!$D$98)/(('Cálculos'!$D$196+(($C96)-$A$63:$A$108)*'Cálculos'!$D$98)+1400)+'Cálculos'!$D$123)*'Cálculos'!$D$220)+('Cálculos'!$D$201*(1+'Cálculos'!$D$202+$A$63:$A$108*('Cálculos'!$D$290=2)*'Cálculos'!$D$101)+'Cálculos'!$D$203)*('Cálculos'!$D$211+'Cálculos'!$D$124*(1+2.78*('Cálculos'!$D$196+(($C96)-$A$63:$A$108)*'Cálculos'!$D$98)/(('Cálculos'!$D$196+(($C96)-$A$63:$A$108)*'Cálculos'!$D$98)+1400)+'Cálculos'!$D$122)*'Cálculos'!$D$216+'Cálculos'!$D$125*(1+2.78*('Cálculos'!$D$196+(($C96)-$A$63:$A$108)*'Cálculos'!$D$98)/(('Cálculos'!$D$196+(($C96)-$A$63:$A$108)*'Cálculos'!$D$98)+1400)+'Cálculos'!$D$123)*'Cálculos'!$D$221)+('Cálculos'!$D$204*(1+'Cálculos'!$D$205+$A$63:$A$108*('Cálculos'!$D$290=3)*'Cálculos'!$D$103)+'Cálculos'!$D$206)*('Cálculos'!$D$212+'Cálculos'!$D$124*(1+2.78*('Cálculos'!$D$196+(($C96)-$A$63:$A$108)*'Cálculos'!$D$98)/(('Cálculos'!$D$196+(($C96)-$A$63:$A$108)*'Cálculos'!$D$98)+1400)+'Cálculos'!$D$122)*'Cálculos'!$D$217+'Cálculos'!$D$125*(1+2.78*('Cálculos'!$D$196+(($C96)-$A$63:$A$108)*'Cálculos'!$D$98)/(('Cálculos'!$D$196+(($C96)-$A$63:$A$108)*'Cálculos'!$D$98)+1400)+'Cálculos'!$D$123)*'Cálculos'!$D$222)+('Cálculos'!$D$213+'Cálculos'!$D$124*(1+2.78*('Cálculos'!$D$196+(($C96)-$A$63:$A$108)*'Cálculos'!$D$98)/(('Cálculos'!$D$196+(($C96)-$A$63:$A$108)*'Cálculos'!$D$98)+1400)+'Cálculos'!$D$122)*'Cálculos'!$D$218+'Cálculos'!$D$125*(1+2.78*('Cálculos'!$D$196+(($C96)-$A$63:$A$108)*'Cálculos'!$D$98)/(('Cálculos'!$D$196+(($C96)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96)-$A$63:$A$108)*'Cálculos'!$D$98)/(('Cálculos'!$D$197+(($C96)-$A$63:$A$108)*'Cálculos'!$D$98)+1400)+'Cálculos'!$D$122)*'Cálculos'!$D$229+'Cálculos'!$D$125*(1+2.78*('Cálculos'!$D$197+(($C96)-$A$63:$A$108)*'Cálculos'!$D$98)/(('Cálculos'!$D$197+(($C96)-$A$63:$A$108)*'Cálculos'!$D$98)+1400)+'Cálculos'!$D$123)*'Cálculos'!$D$234)+('Cálculos'!$D$197+(($C96)-$A$63:$A$108)*'Cálculos'!$D$98)*('Cálculos'!$D$225+'Cálculos'!$D$124*(1+2.78*('Cálculos'!$D$197+(($C96)-$A$63:$A$108)*'Cálculos'!$D$98)/(('Cálculos'!$D$197+(($C96)-$A$63:$A$108)*'Cálculos'!$D$98)+1400)+'Cálculos'!$D$122)*'Cálculos'!$D$230+'Cálculos'!$D$125*(1+2.78*('Cálculos'!$D$197+(($C96)-$A$63:$A$108)*'Cálculos'!$D$98)/(('Cálculos'!$D$197+(($C96)-$A$63:$A$108)*'Cálculos'!$D$98)+1400)+'Cálculos'!$D$123)*'Cálculos'!$D$235)+('Cálculos'!$D$201*(1+'Cálculos'!$D$202+$A$63:$A$108*('Cálculos'!$D$290=2)*'Cálculos'!$D$101)+'Cálculos'!$D$203)*('Cálculos'!$D$226+'Cálculos'!$D$124*(1+2.78*('Cálculos'!$D$197+(($C96)-$A$63:$A$108)*'Cálculos'!$D$98)/(('Cálculos'!$D$197+(($C96)-$A$63:$A$108)*'Cálculos'!$D$98)+1400)+'Cálculos'!$D$122)*'Cálculos'!$D$231+'Cálculos'!$D$125*(1+2.78*('Cálculos'!$D$197+(($C96)-$A$63:$A$108)*'Cálculos'!$D$98)/(('Cálculos'!$D$197+(($C96)-$A$63:$A$108)*'Cálculos'!$D$98)+1400)+'Cálculos'!$D$123)*'Cálculos'!$D$236)+('Cálculos'!$D$204*(1+'Cálculos'!$D$205+$A$63:$A$108*('Cálculos'!$D$290=3)*'Cálculos'!$D$103)+'Cálculos'!$D$206)*('Cálculos'!$D$227+'Cálculos'!$D$124*(1+2.78*('Cálculos'!$D$197+(($C96)-$A$63:$A$108)*'Cálculos'!$D$98)/(('Cálculos'!$D$197+(($C96)-$A$63:$A$108)*'Cálculos'!$D$98)+1400)+'Cálculos'!$D$122)*'Cálculos'!$D$232+'Cálculos'!$D$125*(1+2.78*('Cálculos'!$D$197+(($C96)-$A$63:$A$108)*'Cálculos'!$D$98)/(('Cálculos'!$D$197+(($C96)-$A$63:$A$108)*'Cálculos'!$D$98)+1400)+'Cálculos'!$D$123)*'Cálculos'!$D$237)+('Cálculos'!$D$228+'Cálculos'!$D$124*(1+2.78*('Cálculos'!$D$197+(($C96)-$A$63:$A$108)*'Cálculos'!$D$98)/(('Cálculos'!$D$197+(($C96)-$A$63:$A$108)*'Cálculos'!$D$98)+1400)+'Cálculos'!$D$122)*'Cálculos'!$D$233+'Cálculos'!$D$125*(1+2.78*('Cálculos'!$D$197+(($C96)-$A$63:$A$108)*'Cálculos'!$D$98)/(('Cálculos'!$D$197+(($C96)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96)-$A$63:$A$108)*'Cálculos'!$D$98)/(('Cálculos'!$D$198+(($C96)-$A$63:$A$108)*'Cálculos'!$D$98)+1400)+'Cálculos'!$D$122)*'Cálculos'!$D$244+'Cálculos'!$D$125*(1+2.78*('Cálculos'!$D$198+(($C96)-$A$63:$A$108)*'Cálculos'!$D$98)/(('Cálculos'!$D$198+(($C96)-$A$63:$A$108)*'Cálculos'!$D$98)+1400)+'Cálculos'!$D$123)*'Cálculos'!$D$249)+('Cálculos'!$D$198+(($C96)-$A$63:$A$108)*'Cálculos'!$D$98)*('Cálculos'!$D$240+'Cálculos'!$D$124*(1+2.78*('Cálculos'!$D$198+(($C96)-$A$63:$A$108)*'Cálculos'!$D$98)/(('Cálculos'!$D$198+(($C96)-$A$63:$A$108)*'Cálculos'!$D$98)+1400)+'Cálculos'!$D$122)*'Cálculos'!$D$245+'Cálculos'!$D$125*(1+2.78*('Cálculos'!$D$198+(($C96)-$A$63:$A$108)*'Cálculos'!$D$98)/(('Cálculos'!$D$198+(($C96)-$A$63:$A$108)*'Cálculos'!$D$98)+1400)+'Cálculos'!$D$123)*'Cálculos'!$D$250)+('Cálculos'!$D$201*(1+'Cálculos'!$D$202+$A$63:$A$108*('Cálculos'!$D$290=2)*'Cálculos'!$D$101)+'Cálculos'!$D$203)*('Cálculos'!$D$241+'Cálculos'!$D$124*(1+2.78*('Cálculos'!$D$198+(($C96)-$A$63:$A$108)*'Cálculos'!$D$98)/(('Cálculos'!$D$198+(($C96)-$A$63:$A$108)*'Cálculos'!$D$98)+1400)+'Cálculos'!$D$122)*'Cálculos'!$D$246+'Cálculos'!$D$125*(1+2.78*('Cálculos'!$D$198+(($C96)-$A$63:$A$108)*'Cálculos'!$D$98)/(('Cálculos'!$D$198+(($C96)-$A$63:$A$108)*'Cálculos'!$D$98)+1400)+'Cálculos'!$D$123)*'Cálculos'!$D$251)+('Cálculos'!$D$204*(1+'Cálculos'!$D$205+$A$63:$A$108*('Cálculos'!$D$290=3)*'Cálculos'!$D$103)+'Cálculos'!$D$206)*('Cálculos'!$D$242+'Cálculos'!$D$124*(1+2.78*('Cálculos'!$D$198+(($C96)-$A$63:$A$108)*'Cálculos'!$D$98)/(('Cálculos'!$D$198+(($C96)-$A$63:$A$108)*'Cálculos'!$D$98)+1400)+'Cálculos'!$D$122)*'Cálculos'!$D$247+'Cálculos'!$D$125*(1+2.78*('Cálculos'!$D$198+(($C96)-$A$63:$A$108)*'Cálculos'!$D$98)/(('Cálculos'!$D$198+(($C96)-$A$63:$A$108)*'Cálculos'!$D$98)+1400)+'Cálculos'!$D$123)*'Cálculos'!$D$252)+('Cálculos'!$D$243+'Cálculos'!$D$124*(1+2.78*('Cálculos'!$D$198+(($C96)-$A$63:$A$108)*'Cálculos'!$D$98)/(('Cálculos'!$D$198+(($C96)-$A$63:$A$108)*'Cálculos'!$D$98)+1400)+'Cálculos'!$D$122)*'Cálculos'!$D$248+'Cálculos'!$D$125*(1+2.78*('Cálculos'!$D$198+(($C96)-$A$63:$A$108)*'Cálculos'!$D$98)/(('Cálculos'!$D$198+(($C96)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96)-$A$63:$A$108)*'Cálculos'!$D$98)/(('Cálculos'!$D$199+(($C96)-$A$63:$A$108)*'Cálculos'!$D$98)+1400)+'Cálculos'!$D$122)*'Cálculos'!$D$259+'Cálculos'!$D$125*(1+2.78*('Cálculos'!$D$199+(($C96)-$A$63:$A$108)*'Cálculos'!$D$98)/(('Cálculos'!$D$199+(($C96)-$A$63:$A$108)*'Cálculos'!$D$98)+1400)+'Cálculos'!$D$123)*'Cálculos'!$D$264)+('Cálculos'!$D$199+(($C96)-$A$63:$A$108)*'Cálculos'!$D$98)*('Cálculos'!$D$255+'Cálculos'!$D$124*(1+2.78*('Cálculos'!$D$199+(($C96)-$A$63:$A$108)*'Cálculos'!$D$98)/(('Cálculos'!$D$199+(($C96)-$A$63:$A$108)*'Cálculos'!$D$98)+1400)+'Cálculos'!$D$122)*'Cálculos'!$D$260+'Cálculos'!$D$125*(1+2.78*('Cálculos'!$D$199+(($C96)-$A$63:$A$108)*'Cálculos'!$D$98)/(('Cálculos'!$D$199+(($C96)-$A$63:$A$108)*'Cálculos'!$D$98)+1400)+'Cálculos'!$D$123)*'Cálculos'!$D$265)+('Cálculos'!$D$201*(1+'Cálculos'!$D$202+$A$63:$A$108*('Cálculos'!$D$290=2)*'Cálculos'!$D$101)+'Cálculos'!$D$203)*('Cálculos'!$D$256+'Cálculos'!$D$124*(1+2.78*('Cálculos'!$D$199+(($C96)-$A$63:$A$108)*'Cálculos'!$D$98)/(('Cálculos'!$D$199+(($C96)-$A$63:$A$108)*'Cálculos'!$D$98)+1400)+'Cálculos'!$D$122)*'Cálculos'!$D$261+'Cálculos'!$D$125*(1+2.78*('Cálculos'!$D$199+(($C96)-$A$63:$A$108)*'Cálculos'!$D$98)/(('Cálculos'!$D$199+(($C96)-$A$63:$A$108)*'Cálculos'!$D$98)+1400)+'Cálculos'!$D$123)*'Cálculos'!$D$266)+('Cálculos'!$D$204*(1+'Cálculos'!$D$205+$A$63:$A$108*('Cálculos'!$D$290=3)*'Cálculos'!$D$103)+'Cálculos'!$D$206)*('Cálculos'!$D$257+'Cálculos'!$D$124*(1+2.78*('Cálculos'!$D$199+(($C96)-$A$63:$A$108)*'Cálculos'!$D$98)/(('Cálculos'!$D$199+(($C96)-$A$63:$A$108)*'Cálculos'!$D$98)+1400)+'Cálculos'!$D$122)*'Cálculos'!$D$262+'Cálculos'!$D$125*(1+2.78*('Cálculos'!$D$199+(($C96)-$A$63:$A$108)*'Cálculos'!$D$98)/(('Cálculos'!$D$199+(($C96)-$A$63:$A$108)*'Cálculos'!$D$98)+1400)+'Cálculos'!$D$123)*'Cálculos'!$D$267)+('Cálculos'!$D$258+'Cálculos'!$D$124*(1+2.78*('Cálculos'!$D$199+(($C96)-$A$63:$A$108)*'Cálculos'!$D$98)/(('Cálculos'!$D$199+(($C96)-$A$63:$A$108)*'Cálculos'!$D$98)+1400)+'Cálculos'!$D$122)*'Cálculos'!$D$263+'Cálculos'!$D$125*(1+2.78*('Cálculos'!$D$199+(($C96)-$A$63:$A$108)*'Cálculos'!$D$98)/(('Cálculos'!$D$199+(($C96)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96)-$A$63:$A$108)*'Cálculos'!$D$98)/(('Cálculos'!$D$200+(($C96)-$A$63:$A$108)*'Cálculos'!$D$98)+1400)+'Cálculos'!$D$122)*'Cálculos'!$D$274+'Cálculos'!$D$125*(1+2.78*('Cálculos'!$D$200+(($C96)-$A$63:$A$108)*'Cálculos'!$D$98)/(('Cálculos'!$D$200+(($C96)-$A$63:$A$108)*'Cálculos'!$D$98)+1400)+'Cálculos'!$D$123)*'Cálculos'!$D$279)+('Cálculos'!$D$200+(($C96)-$A$63:$A$108)*'Cálculos'!$D$98)*('Cálculos'!$D$270+'Cálculos'!$D$124*(1+2.78*('Cálculos'!$D$200+(($C96)-$A$63:$A$108)*'Cálculos'!$D$98)/(('Cálculos'!$D$200+(($C96)-$A$63:$A$108)*'Cálculos'!$D$98)+1400)+'Cálculos'!$D$122)*'Cálculos'!$D$275+'Cálculos'!$D$125*(1+2.78*('Cálculos'!$D$200+(($C96)-$A$63:$A$108)*'Cálculos'!$D$98)/(('Cálculos'!$D$200+(($C96)-$A$63:$A$108)*'Cálculos'!$D$98)+1400)+'Cálculos'!$D$123)*'Cálculos'!$D$280)+('Cálculos'!$D$201*(1+'Cálculos'!$D$202+$A$63:$A$108*('Cálculos'!$D$290=2)*'Cálculos'!$D$101)+'Cálculos'!$D$203)*('Cálculos'!$D$271+'Cálculos'!$D$124*(1+2.78*('Cálculos'!$D$200+(($C96)-$A$63:$A$108)*'Cálculos'!$D$98)/(('Cálculos'!$D$200+(($C96)-$A$63:$A$108)*'Cálculos'!$D$98)+1400)+'Cálculos'!$D$122)*'Cálculos'!$D$276+'Cálculos'!$D$125*(1+2.78*('Cálculos'!$D$200+(($C96)-$A$63:$A$108)*'Cálculos'!$D$98)/(('Cálculos'!$D$200+(($C96)-$A$63:$A$108)*'Cálculos'!$D$98)+1400)+'Cálculos'!$D$123)*'Cálculos'!$D$281)+('Cálculos'!$D$204*(1+'Cálculos'!$D$205+$A$63:$A$108*('Cálculos'!$D$290=3)*'Cálculos'!$D$103)+'Cálculos'!$D$206)*('Cálculos'!$D$272+'Cálculos'!$D$124*(1+2.78*('Cálculos'!$D$200+(($C96)-$A$63:$A$108)*'Cálculos'!$D$98)/(('Cálculos'!$D$200+(($C96)-$A$63:$A$108)*'Cálculos'!$D$98)+1400)+'Cálculos'!$D$122)*'Cálculos'!$D$277+'Cálculos'!$D$125*(1+2.78*('Cálculos'!$D$200+(($C96)-$A$63:$A$108)*'Cálculos'!$D$98)/(('Cálculos'!$D$200+(($C96)-$A$63:$A$108)*'Cálculos'!$D$98)+1400)+'Cálculos'!$D$123)*'Cálculos'!$D$282)+('Cálculos'!$D$273+'Cálculos'!$D$124*(1+2.78*('Cálculos'!$D$200+(($C96)-$A$63:$A$108)*'Cálculos'!$D$98)/(('Cálculos'!$D$200+(($C96)-$A$63:$A$108)*'Cálculos'!$D$98)+1400)+'Cálculos'!$D$122)*'Cálculos'!$D$278+'Cálculos'!$D$125*(1+2.78*('Cálculos'!$D$200+(($C96)-$A$63:$A$108)*'Cálculos'!$D$98)/(('Cálculos'!$D$200+(($C96)-$A$63:$A$108)*'Cálculos'!$D$98)+1400)+'Cálculos'!$D$123)*'Cálculos'!$D$283)))))</f>
        <v>0</v>
      </c>
      <c r="E96" s="32">
        <f>IF(OR($C96&lt;0,'Cálculos'!$D$6=""),0,$B96*$D96)</f>
        <v>0</v>
      </c>
      <c r="F96" s="2"/>
      <c r="G96" s="30">
        <f>($A96&lt;=$B$110)*($A96&lt;='Cálculos'!$D$294)*(($B$110)-$A96&lt;='Cálculos'!$D$295)*(1+MIN(('Cálculos'!$D$207+$A96*'Cálculos'!$D$95),1)*('Cálculos'!$D$208+(($B$110)-$A96)*'Cálculos'!$D$96))</f>
        <v>0</v>
      </c>
      <c r="H96" s="31">
        <f>IF($B$111&lt;0,0,($A96&lt;=$B$111)*($A96&lt;='Cálculos'!$D$301)*(($B$111)-$A96&lt;='Cálculos'!$D$297)*(('Cálculos'!$D$185*(1+'Cálculos'!$D$186+$A96*('Cálculos'!$D$290=1)*'Cálculos'!$D$97+'Cálculos'!$D$305)+'Cálculos'!$D$191)*('Cálculos'!$D$209+'Cálculos'!$D$124*(1+2.78*('Cálculos'!$D$196+(($B$111)-$A96)*'Cálculos'!$D$98)/(('Cálculos'!$D$196+(($B$111)-$A96)*'Cálculos'!$D$98)+1400)+'Cálculos'!$D$122)*'Cálculos'!$D$214+'Cálculos'!$D$125*(1+2.78*('Cálculos'!$D$196+(($B$111)-$A96)*'Cálculos'!$D$98)/(('Cálculos'!$D$196+(($B$111)-$A96)*'Cálculos'!$D$98)+1400)+'Cálculos'!$D$123)*'Cálculos'!$D$219)+('Cálculos'!$D$196+(($B$111)-$A96)*'Cálculos'!$D$98)*('Cálculos'!$D$210+'Cálculos'!$D$124*(1+2.78*('Cálculos'!$D$196+(($B$111)-$A96)*'Cálculos'!$D$98)/(('Cálculos'!$D$196+(($B$111)-$A96)*'Cálculos'!$D$98)+1400)+'Cálculos'!$D$122)*'Cálculos'!$D$215+'Cálculos'!$D$125*(1+2.78*('Cálculos'!$D$196+(($B$111)-$A96)*'Cálculos'!$D$98)/(('Cálculos'!$D$196+(($B$111)-$A96)*'Cálculos'!$D$98)+1400)+'Cálculos'!$D$123)*'Cálculos'!$D$220)+('Cálculos'!$D$201*(1+'Cálculos'!$D$202+$A96*('Cálculos'!$D$290=2)*'Cálculos'!$D$101)+'Cálculos'!$D$203)*('Cálculos'!$D$211+'Cálculos'!$D$124*(1+2.78*('Cálculos'!$D$196+(($B$111)-$A96)*'Cálculos'!$D$98)/(('Cálculos'!$D$196+(($B$111)-$A96)*'Cálculos'!$D$98)+1400)+'Cálculos'!$D$122)*'Cálculos'!$D$216+'Cálculos'!$D$125*(1+2.78*('Cálculos'!$D$196+(($B$111)-$A96)*'Cálculos'!$D$98)/(('Cálculos'!$D$196+(($B$111)-$A96)*'Cálculos'!$D$98)+1400)+'Cálculos'!$D$123)*'Cálculos'!$D$221)+('Cálculos'!$D$204*(1+'Cálculos'!$D$205+$A96*('Cálculos'!$D$290=3)*'Cálculos'!$D$103)+'Cálculos'!$D$206)*('Cálculos'!$D$212+'Cálculos'!$D$124*(1+2.78*('Cálculos'!$D$196+(($B$111)-$A96)*'Cálculos'!$D$98)/(('Cálculos'!$D$196+(($B$111)-$A96)*'Cálculos'!$D$98)+1400)+'Cálculos'!$D$122)*'Cálculos'!$D$217+'Cálculos'!$D$125*(1+2.78*('Cálculos'!$D$196+(($B$111)-$A96)*'Cálculos'!$D$98)/(('Cálculos'!$D$196+(($B$111)-$A96)*'Cálculos'!$D$98)+1400)+'Cálculos'!$D$123)*'Cálculos'!$D$222)+('Cálculos'!$D$213+'Cálculos'!$D$124*(1+2.78*('Cálculos'!$D$196+(($B$111)-$A96)*'Cálculos'!$D$98)/(('Cálculos'!$D$196+(($B$111)-$A96)*'Cálculos'!$D$98)+1400)+'Cálculos'!$D$122)*'Cálculos'!$D$218+'Cálculos'!$D$125*(1+2.78*('Cálculos'!$D$196+(($B$111)-$A96)*'Cálculos'!$D$98)/(('Cálculos'!$D$196+(($B$111)-$A96)*'Cálculos'!$D$98)+1400)+'Cálculos'!$D$123)*'Cálculos'!$D$223)+('Cálculos'!$D$185*(1+'Cálculos'!$D$187+$A96*('Cálculos'!$D$290=1)*'Cálculos'!$D$97+'Cálculos'!$D$305)+'Cálculos'!$D$192)*('Cálculos'!$D$224+'Cálculos'!$D$124*(1+2.78*('Cálculos'!$D$197+(($B$111)-$A96)*'Cálculos'!$D$98)/(('Cálculos'!$D$197+(($B$111)-$A96)*'Cálculos'!$D$98)+1400)+'Cálculos'!$D$122)*'Cálculos'!$D$229+'Cálculos'!$D$125*(1+2.78*('Cálculos'!$D$197+(($B$111)-$A96)*'Cálculos'!$D$98)/(('Cálculos'!$D$197+(($B$111)-$A96)*'Cálculos'!$D$98)+1400)+'Cálculos'!$D$123)*'Cálculos'!$D$234)+('Cálculos'!$D$197+(($B$111)-$A96)*'Cálculos'!$D$98)*('Cálculos'!$D$225+'Cálculos'!$D$124*(1+2.78*('Cálculos'!$D$197+(($B$111)-$A96)*'Cálculos'!$D$98)/(('Cálculos'!$D$197+(($B$111)-$A96)*'Cálculos'!$D$98)+1400)+'Cálculos'!$D$122)*'Cálculos'!$D$230+'Cálculos'!$D$125*(1+2.78*('Cálculos'!$D$197+(($B$111)-$A96)*'Cálculos'!$D$98)/(('Cálculos'!$D$197+(($B$111)-$A96)*'Cálculos'!$D$98)+1400)+'Cálculos'!$D$123)*'Cálculos'!$D$235)+('Cálculos'!$D$201*(1+'Cálculos'!$D$202+$A96*('Cálculos'!$D$290=2)*'Cálculos'!$D$101)+'Cálculos'!$D$203)*('Cálculos'!$D$226+'Cálculos'!$D$124*(1+2.78*('Cálculos'!$D$197+(($B$111)-$A96)*'Cálculos'!$D$98)/(('Cálculos'!$D$197+(($B$111)-$A96)*'Cálculos'!$D$98)+1400)+'Cálculos'!$D$122)*'Cálculos'!$D$231+'Cálculos'!$D$125*(1+2.78*('Cálculos'!$D$197+(($B$111)-$A96)*'Cálculos'!$D$98)/(('Cálculos'!$D$197+(($B$111)-$A96)*'Cálculos'!$D$98)+1400)+'Cálculos'!$D$123)*'Cálculos'!$D$236)+('Cálculos'!$D$204*(1+'Cálculos'!$D$205+$A96*('Cálculos'!$D$290=3)*'Cálculos'!$D$103)+'Cálculos'!$D$206)*('Cálculos'!$D$227+'Cálculos'!$D$124*(1+2.78*('Cálculos'!$D$197+(($B$111)-$A96)*'Cálculos'!$D$98)/(('Cálculos'!$D$197+(($B$111)-$A96)*'Cálculos'!$D$98)+1400)+'Cálculos'!$D$122)*'Cálculos'!$D$232+'Cálculos'!$D$125*(1+2.78*('Cálculos'!$D$197+(($B$111)-$A96)*'Cálculos'!$D$98)/(('Cálculos'!$D$197+(($B$111)-$A96)*'Cálculos'!$D$98)+1400)+'Cálculos'!$D$123)*'Cálculos'!$D$237)+('Cálculos'!$D$228+'Cálculos'!$D$124*(1+2.78*('Cálculos'!$D$197+(($B$111)-$A96)*'Cálculos'!$D$98)/(('Cálculos'!$D$197+(($B$111)-$A96)*'Cálculos'!$D$98)+1400)+'Cálculos'!$D$122)*'Cálculos'!$D$233+'Cálculos'!$D$125*(1+2.78*('Cálculos'!$D$197+(($B$111)-$A96)*'Cálculos'!$D$98)/(('Cálculos'!$D$197+(($B$111)-$A96)*'Cálculos'!$D$98)+1400)+'Cálculos'!$D$123)*'Cálculos'!$D$238)+('Cálculos'!$D$185*(1+'Cálculos'!$D$188+$A96*('Cálculos'!$D$290=1)*'Cálculos'!$D$97+'Cálculos'!$D$305)+'Cálculos'!$D$193)*('Cálculos'!$D$239+'Cálculos'!$D$124*(1+2.78*('Cálculos'!$D$198+(($B$111)-$A96)*'Cálculos'!$D$98)/(('Cálculos'!$D$198+(($B$111)-$A96)*'Cálculos'!$D$98)+1400)+'Cálculos'!$D$122)*'Cálculos'!$D$244+'Cálculos'!$D$125*(1+2.78*('Cálculos'!$D$198+(($B$111)-$A96)*'Cálculos'!$D$98)/(('Cálculos'!$D$198+(($B$111)-$A96)*'Cálculos'!$D$98)+1400)+'Cálculos'!$D$123)*'Cálculos'!$D$249)+('Cálculos'!$D$198+(($B$111)-$A96)*'Cálculos'!$D$98)*('Cálculos'!$D$240+'Cálculos'!$D$124*(1+2.78*('Cálculos'!$D$198+(($B$111)-$A96)*'Cálculos'!$D$98)/(('Cálculos'!$D$198+(($B$111)-$A96)*'Cálculos'!$D$98)+1400)+'Cálculos'!$D$122)*'Cálculos'!$D$245+'Cálculos'!$D$125*(1+2.78*('Cálculos'!$D$198+(($B$111)-$A96)*'Cálculos'!$D$98)/(('Cálculos'!$D$198+(($B$111)-$A96)*'Cálculos'!$D$98)+1400)+'Cálculos'!$D$123)*'Cálculos'!$D$250)+('Cálculos'!$D$201*(1+'Cálculos'!$D$202+$A96*('Cálculos'!$D$290=2)*'Cálculos'!$D$101)+'Cálculos'!$D$203)*('Cálculos'!$D$241+'Cálculos'!$D$124*(1+2.78*('Cálculos'!$D$198+(($B$111)-$A96)*'Cálculos'!$D$98)/(('Cálculos'!$D$198+(($B$111)-$A96)*'Cálculos'!$D$98)+1400)+'Cálculos'!$D$122)*'Cálculos'!$D$246+'Cálculos'!$D$125*(1+2.78*('Cálculos'!$D$198+(($B$111)-$A96)*'Cálculos'!$D$98)/(('Cálculos'!$D$198+(($B$111)-$A96)*'Cálculos'!$D$98)+1400)+'Cálculos'!$D$123)*'Cálculos'!$D$251)+('Cálculos'!$D$204*(1+'Cálculos'!$D$205+$A96*('Cálculos'!$D$290=3)*'Cálculos'!$D$103)+'Cálculos'!$D$206)*('Cálculos'!$D$242+'Cálculos'!$D$124*(1+2.78*('Cálculos'!$D$198+(($B$111)-$A96)*'Cálculos'!$D$98)/(('Cálculos'!$D$198+(($B$111)-$A96)*'Cálculos'!$D$98)+1400)+'Cálculos'!$D$122)*'Cálculos'!$D$247+'Cálculos'!$D$125*(1+2.78*('Cálculos'!$D$198+(($B$111)-$A96)*'Cálculos'!$D$98)/(('Cálculos'!$D$198+(($B$111)-$A96)*'Cálculos'!$D$98)+1400)+'Cálculos'!$D$123)*'Cálculos'!$D$252)+('Cálculos'!$D$243+'Cálculos'!$D$124*(1+2.78*('Cálculos'!$D$198+(($B$111)-$A96)*'Cálculos'!$D$98)/(('Cálculos'!$D$198+(($B$111)-$A96)*'Cálculos'!$D$98)+1400)+'Cálculos'!$D$122)*'Cálculos'!$D$248+'Cálculos'!$D$125*(1+2.78*('Cálculos'!$D$198+(($B$111)-$A96)*'Cálculos'!$D$98)/(('Cálculos'!$D$198+(($B$111)-$A96)*'Cálculos'!$D$98)+1400)+'Cálculos'!$D$123)*'Cálculos'!$D$253)+('Cálculos'!$D$185*(1+'Cálculos'!$D$189+$A96*('Cálculos'!$D$290=1)*'Cálculos'!$D$97+'Cálculos'!$D$305)+'Cálculos'!$D$194)*('Cálculos'!$D$254+'Cálculos'!$D$124*(1+2.78*('Cálculos'!$D$199+(($B$111)-$A96)*'Cálculos'!$D$98)/(('Cálculos'!$D$199+(($B$111)-$A96)*'Cálculos'!$D$98)+1400)+'Cálculos'!$D$122)*'Cálculos'!$D$259+'Cálculos'!$D$125*(1+2.78*('Cálculos'!$D$199+(($B$111)-$A96)*'Cálculos'!$D$98)/(('Cálculos'!$D$199+(($B$111)-$A96)*'Cálculos'!$D$98)+1400)+'Cálculos'!$D$123)*'Cálculos'!$D$264)+('Cálculos'!$D$199+(($B$111)-$A96)*'Cálculos'!$D$98)*('Cálculos'!$D$255+'Cálculos'!$D$124*(1+2.78*('Cálculos'!$D$199+(($B$111)-$A96)*'Cálculos'!$D$98)/(('Cálculos'!$D$199+(($B$111)-$A96)*'Cálculos'!$D$98)+1400)+'Cálculos'!$D$122)*'Cálculos'!$D$260+'Cálculos'!$D$125*(1+2.78*('Cálculos'!$D$199+(($B$111)-$A96)*'Cálculos'!$D$98)/(('Cálculos'!$D$199+(($B$111)-$A96)*'Cálculos'!$D$98)+1400)+'Cálculos'!$D$123)*'Cálculos'!$D$265)+('Cálculos'!$D$201*(1+'Cálculos'!$D$202+$A96*('Cálculos'!$D$290=2)*'Cálculos'!$D$101)+'Cálculos'!$D$203)*('Cálculos'!$D$256+'Cálculos'!$D$124*(1+2.78*('Cálculos'!$D$199+(($B$111)-$A96)*'Cálculos'!$D$98)/(('Cálculos'!$D$199+(($B$111)-$A96)*'Cálculos'!$D$98)+1400)+'Cálculos'!$D$122)*'Cálculos'!$D$261+'Cálculos'!$D$125*(1+2.78*('Cálculos'!$D$199+(($B$111)-$A96)*'Cálculos'!$D$98)/(('Cálculos'!$D$199+(($B$111)-$A96)*'Cálculos'!$D$98)+1400)+'Cálculos'!$D$123)*'Cálculos'!$D$266)+('Cálculos'!$D$204*(1+'Cálculos'!$D$205+$A96*('Cálculos'!$D$290=3)*'Cálculos'!$D$103)+'Cálculos'!$D$206)*('Cálculos'!$D$257+'Cálculos'!$D$124*(1+2.78*('Cálculos'!$D$199+(($B$111)-$A96)*'Cálculos'!$D$98)/(('Cálculos'!$D$199+(($B$111)-$A96)*'Cálculos'!$D$98)+1400)+'Cálculos'!$D$122)*'Cálculos'!$D$262+'Cálculos'!$D$125*(1+2.78*('Cálculos'!$D$199+(($B$111)-$A96)*'Cálculos'!$D$98)/(('Cálculos'!$D$199+(($B$111)-$A96)*'Cálculos'!$D$98)+1400)+'Cálculos'!$D$123)*'Cálculos'!$D$267)+('Cálculos'!$D$258+'Cálculos'!$D$124*(1+2.78*('Cálculos'!$D$199+(($B$111)-$A96)*'Cálculos'!$D$98)/(('Cálculos'!$D$199+(($B$111)-$A96)*'Cálculos'!$D$98)+1400)+'Cálculos'!$D$122)*'Cálculos'!$D$263+'Cálculos'!$D$125*(1+2.78*('Cálculos'!$D$199+(($B$111)-$A96)*'Cálculos'!$D$98)/(('Cálculos'!$D$199+(($B$111)-$A96)*'Cálculos'!$D$98)+1400)+'Cálculos'!$D$123)*'Cálculos'!$D$268)+('Cálculos'!$D$185*(1+'Cálculos'!$D$190+$A96*('Cálculos'!$D$290=1)*'Cálculos'!$D$97+'Cálculos'!$D$305)+'Cálculos'!$D$195)*('Cálculos'!$D$269+'Cálculos'!$D$124*(1+2.78*('Cálculos'!$D$200+(($B$111)-$A96)*'Cálculos'!$D$98)/(('Cálculos'!$D$200+(($B$111)-$A96)*'Cálculos'!$D$98)+1400)+'Cálculos'!$D$122)*'Cálculos'!$D$274+'Cálculos'!$D$125*(1+2.78*('Cálculos'!$D$200+(($B$111)-$A96)*'Cálculos'!$D$98)/(('Cálculos'!$D$200+(($B$111)-$A96)*'Cálculos'!$D$98)+1400)+'Cálculos'!$D$123)*'Cálculos'!$D$279)+('Cálculos'!$D$200+(($B$111)-$A96)*'Cálculos'!$D$98)*('Cálculos'!$D$270+'Cálculos'!$D$124*(1+2.78*('Cálculos'!$D$200+(($B$111)-$A96)*'Cálculos'!$D$98)/(('Cálculos'!$D$200+(($B$111)-$A96)*'Cálculos'!$D$98)+1400)+'Cálculos'!$D$122)*'Cálculos'!$D$275+'Cálculos'!$D$125*(1+2.78*('Cálculos'!$D$200+(($B$111)-$A96)*'Cálculos'!$D$98)/(('Cálculos'!$D$200+(($B$111)-$A96)*'Cálculos'!$D$98)+1400)+'Cálculos'!$D$123)*'Cálculos'!$D$280)+('Cálculos'!$D$201*(1+'Cálculos'!$D$202+$A96*('Cálculos'!$D$290=2)*'Cálculos'!$D$101)+'Cálculos'!$D$203)*('Cálculos'!$D$271+'Cálculos'!$D$124*(1+2.78*('Cálculos'!$D$200+(($B$111)-$A96)*'Cálculos'!$D$98)/(('Cálculos'!$D$200+(($B$111)-$A96)*'Cálculos'!$D$98)+1400)+'Cálculos'!$D$122)*'Cálculos'!$D$276+'Cálculos'!$D$125*(1+2.78*('Cálculos'!$D$200+(($B$111)-$A96)*'Cálculos'!$D$98)/(('Cálculos'!$D$200+(($B$111)-$A96)*'Cálculos'!$D$98)+1400)+'Cálculos'!$D$123)*'Cálculos'!$D$281)+('Cálculos'!$D$204*(1+'Cálculos'!$D$205+$A96*('Cálculos'!$D$290=3)*'Cálculos'!$D$103)+'Cálculos'!$D$206)*('Cálculos'!$D$272+'Cálculos'!$D$124*(1+2.78*('Cálculos'!$D$200+(($B$111)-$A96)*'Cálculos'!$D$98)/(('Cálculos'!$D$200+(($B$111)-$A96)*'Cálculos'!$D$98)+1400)+'Cálculos'!$D$122)*'Cálculos'!$D$277+'Cálculos'!$D$125*(1+2.78*('Cálculos'!$D$200+(($B$111)-$A96)*'Cálculos'!$D$98)/(('Cálculos'!$D$200+(($B$111)-$A96)*'Cálculos'!$D$98)+1400)+'Cálculos'!$D$123)*'Cálculos'!$D$282)+('Cálculos'!$D$273+'Cálculos'!$D$124*(1+2.78*('Cálculos'!$D$200+(($B$111)-$A96)*'Cálculos'!$D$98)/(('Cálculos'!$D$200+(($B$111)-$A96)*'Cálculos'!$D$98)+1400)+'Cálculos'!$D$122)*'Cálculos'!$D$278+'Cálculos'!$D$125*(1+2.78*('Cálculos'!$D$200+(($B$111)-$A96)*'Cálculos'!$D$98)/(('Cálculos'!$D$200+(($B$111)-$A96)*'Cálculos'!$D$98)+1400)+'Cálculos'!$D$123)*'Cálculos'!$D$283)))</f>
        <v>0</v>
      </c>
    </row>
    <row r="97" ht="15.75" customHeight="1">
      <c r="A97" s="2">
        <v>34.0</v>
      </c>
      <c r="B97" s="30">
        <f>SUMPRODUCT(MAX(($A$63:$A$108&lt;=$A97)*($A$63:$A$108&lt;='Cálculos'!$D$294)*(($A97)-$A$63:$A$108&lt;='Cálculos'!$D$295)*(1+(('Cálculos'!$D$207+$A$63:$A$108*'Cálculos'!$D$95)-(('Cálculos'!$D$207+$A$63:$A$108*'Cálculos'!$D$95)&gt;1)*(('Cálculos'!$D$207+$A$63:$A$108*'Cálculos'!$D$95)-1))*('Cálculos'!$D$208+(($A97)-$A$63:$A$108)*'Cálculos'!$D$96))))</f>
        <v>2.274837357</v>
      </c>
      <c r="C97" s="2">
        <f>'Cálculos'!$D$303-$A97</f>
        <v>-23</v>
      </c>
      <c r="D97" s="31">
        <f>IF($C97&lt;0,0,SUMPRODUCT(MAX(($A$63:$A$108&lt;=$C97)*($A$63:$A$108&lt;='Cálculos'!$D$301)*(($C97)-$A$63:$A$108&lt;='Cálculos'!$D$297)*(('Cálculos'!$D$185*(1+'Cálculos'!$D$186+$A$63:$A$108*('Cálculos'!$D$290=1)*'Cálculos'!$D$97+'Cálculos'!$D$305)+'Cálculos'!$D$191)*('Cálculos'!$D$209+'Cálculos'!$D$124*(1+2.78*('Cálculos'!$D$196+(($C97)-$A$63:$A$108)*'Cálculos'!$D$98)/(('Cálculos'!$D$196+(($C97)-$A$63:$A$108)*'Cálculos'!$D$98)+1400)+'Cálculos'!$D$122)*'Cálculos'!$D$214+'Cálculos'!$D$125*(1+2.78*('Cálculos'!$D$196+(($C97)-$A$63:$A$108)*'Cálculos'!$D$98)/(('Cálculos'!$D$196+(($C97)-$A$63:$A$108)*'Cálculos'!$D$98)+1400)+'Cálculos'!$D$123)*'Cálculos'!$D$219)+('Cálculos'!$D$196+(($C97)-$A$63:$A$108)*'Cálculos'!$D$98)*('Cálculos'!$D$210+'Cálculos'!$D$124*(1+2.78*('Cálculos'!$D$196+(($C97)-$A$63:$A$108)*'Cálculos'!$D$98)/(('Cálculos'!$D$196+(($C97)-$A$63:$A$108)*'Cálculos'!$D$98)+1400)+'Cálculos'!$D$122)*'Cálculos'!$D$215+'Cálculos'!$D$125*(1+2.78*('Cálculos'!$D$196+(($C97)-$A$63:$A$108)*'Cálculos'!$D$98)/(('Cálculos'!$D$196+(($C97)-$A$63:$A$108)*'Cálculos'!$D$98)+1400)+'Cálculos'!$D$123)*'Cálculos'!$D$220)+('Cálculos'!$D$201*(1+'Cálculos'!$D$202+$A$63:$A$108*('Cálculos'!$D$290=2)*'Cálculos'!$D$101)+'Cálculos'!$D$203)*('Cálculos'!$D$211+'Cálculos'!$D$124*(1+2.78*('Cálculos'!$D$196+(($C97)-$A$63:$A$108)*'Cálculos'!$D$98)/(('Cálculos'!$D$196+(($C97)-$A$63:$A$108)*'Cálculos'!$D$98)+1400)+'Cálculos'!$D$122)*'Cálculos'!$D$216+'Cálculos'!$D$125*(1+2.78*('Cálculos'!$D$196+(($C97)-$A$63:$A$108)*'Cálculos'!$D$98)/(('Cálculos'!$D$196+(($C97)-$A$63:$A$108)*'Cálculos'!$D$98)+1400)+'Cálculos'!$D$123)*'Cálculos'!$D$221)+('Cálculos'!$D$204*(1+'Cálculos'!$D$205+$A$63:$A$108*('Cálculos'!$D$290=3)*'Cálculos'!$D$103)+'Cálculos'!$D$206)*('Cálculos'!$D$212+'Cálculos'!$D$124*(1+2.78*('Cálculos'!$D$196+(($C97)-$A$63:$A$108)*'Cálculos'!$D$98)/(('Cálculos'!$D$196+(($C97)-$A$63:$A$108)*'Cálculos'!$D$98)+1400)+'Cálculos'!$D$122)*'Cálculos'!$D$217+'Cálculos'!$D$125*(1+2.78*('Cálculos'!$D$196+(($C97)-$A$63:$A$108)*'Cálculos'!$D$98)/(('Cálculos'!$D$196+(($C97)-$A$63:$A$108)*'Cálculos'!$D$98)+1400)+'Cálculos'!$D$123)*'Cálculos'!$D$222)+('Cálculos'!$D$213+'Cálculos'!$D$124*(1+2.78*('Cálculos'!$D$196+(($C97)-$A$63:$A$108)*'Cálculos'!$D$98)/(('Cálculos'!$D$196+(($C97)-$A$63:$A$108)*'Cálculos'!$D$98)+1400)+'Cálculos'!$D$122)*'Cálculos'!$D$218+'Cálculos'!$D$125*(1+2.78*('Cálculos'!$D$196+(($C97)-$A$63:$A$108)*'Cálculos'!$D$98)/(('Cálculos'!$D$196+(($C97)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97)-$A$63:$A$108)*'Cálculos'!$D$98)/(('Cálculos'!$D$197+(($C97)-$A$63:$A$108)*'Cálculos'!$D$98)+1400)+'Cálculos'!$D$122)*'Cálculos'!$D$229+'Cálculos'!$D$125*(1+2.78*('Cálculos'!$D$197+(($C97)-$A$63:$A$108)*'Cálculos'!$D$98)/(('Cálculos'!$D$197+(($C97)-$A$63:$A$108)*'Cálculos'!$D$98)+1400)+'Cálculos'!$D$123)*'Cálculos'!$D$234)+('Cálculos'!$D$197+(($C97)-$A$63:$A$108)*'Cálculos'!$D$98)*('Cálculos'!$D$225+'Cálculos'!$D$124*(1+2.78*('Cálculos'!$D$197+(($C97)-$A$63:$A$108)*'Cálculos'!$D$98)/(('Cálculos'!$D$197+(($C97)-$A$63:$A$108)*'Cálculos'!$D$98)+1400)+'Cálculos'!$D$122)*'Cálculos'!$D$230+'Cálculos'!$D$125*(1+2.78*('Cálculos'!$D$197+(($C97)-$A$63:$A$108)*'Cálculos'!$D$98)/(('Cálculos'!$D$197+(($C97)-$A$63:$A$108)*'Cálculos'!$D$98)+1400)+'Cálculos'!$D$123)*'Cálculos'!$D$235)+('Cálculos'!$D$201*(1+'Cálculos'!$D$202+$A$63:$A$108*('Cálculos'!$D$290=2)*'Cálculos'!$D$101)+'Cálculos'!$D$203)*('Cálculos'!$D$226+'Cálculos'!$D$124*(1+2.78*('Cálculos'!$D$197+(($C97)-$A$63:$A$108)*'Cálculos'!$D$98)/(('Cálculos'!$D$197+(($C97)-$A$63:$A$108)*'Cálculos'!$D$98)+1400)+'Cálculos'!$D$122)*'Cálculos'!$D$231+'Cálculos'!$D$125*(1+2.78*('Cálculos'!$D$197+(($C97)-$A$63:$A$108)*'Cálculos'!$D$98)/(('Cálculos'!$D$197+(($C97)-$A$63:$A$108)*'Cálculos'!$D$98)+1400)+'Cálculos'!$D$123)*'Cálculos'!$D$236)+('Cálculos'!$D$204*(1+'Cálculos'!$D$205+$A$63:$A$108*('Cálculos'!$D$290=3)*'Cálculos'!$D$103)+'Cálculos'!$D$206)*('Cálculos'!$D$227+'Cálculos'!$D$124*(1+2.78*('Cálculos'!$D$197+(($C97)-$A$63:$A$108)*'Cálculos'!$D$98)/(('Cálculos'!$D$197+(($C97)-$A$63:$A$108)*'Cálculos'!$D$98)+1400)+'Cálculos'!$D$122)*'Cálculos'!$D$232+'Cálculos'!$D$125*(1+2.78*('Cálculos'!$D$197+(($C97)-$A$63:$A$108)*'Cálculos'!$D$98)/(('Cálculos'!$D$197+(($C97)-$A$63:$A$108)*'Cálculos'!$D$98)+1400)+'Cálculos'!$D$123)*'Cálculos'!$D$237)+('Cálculos'!$D$228+'Cálculos'!$D$124*(1+2.78*('Cálculos'!$D$197+(($C97)-$A$63:$A$108)*'Cálculos'!$D$98)/(('Cálculos'!$D$197+(($C97)-$A$63:$A$108)*'Cálculos'!$D$98)+1400)+'Cálculos'!$D$122)*'Cálculos'!$D$233+'Cálculos'!$D$125*(1+2.78*('Cálculos'!$D$197+(($C97)-$A$63:$A$108)*'Cálculos'!$D$98)/(('Cálculos'!$D$197+(($C97)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97)-$A$63:$A$108)*'Cálculos'!$D$98)/(('Cálculos'!$D$198+(($C97)-$A$63:$A$108)*'Cálculos'!$D$98)+1400)+'Cálculos'!$D$122)*'Cálculos'!$D$244+'Cálculos'!$D$125*(1+2.78*('Cálculos'!$D$198+(($C97)-$A$63:$A$108)*'Cálculos'!$D$98)/(('Cálculos'!$D$198+(($C97)-$A$63:$A$108)*'Cálculos'!$D$98)+1400)+'Cálculos'!$D$123)*'Cálculos'!$D$249)+('Cálculos'!$D$198+(($C97)-$A$63:$A$108)*'Cálculos'!$D$98)*('Cálculos'!$D$240+'Cálculos'!$D$124*(1+2.78*('Cálculos'!$D$198+(($C97)-$A$63:$A$108)*'Cálculos'!$D$98)/(('Cálculos'!$D$198+(($C97)-$A$63:$A$108)*'Cálculos'!$D$98)+1400)+'Cálculos'!$D$122)*'Cálculos'!$D$245+'Cálculos'!$D$125*(1+2.78*('Cálculos'!$D$198+(($C97)-$A$63:$A$108)*'Cálculos'!$D$98)/(('Cálculos'!$D$198+(($C97)-$A$63:$A$108)*'Cálculos'!$D$98)+1400)+'Cálculos'!$D$123)*'Cálculos'!$D$250)+('Cálculos'!$D$201*(1+'Cálculos'!$D$202+$A$63:$A$108*('Cálculos'!$D$290=2)*'Cálculos'!$D$101)+'Cálculos'!$D$203)*('Cálculos'!$D$241+'Cálculos'!$D$124*(1+2.78*('Cálculos'!$D$198+(($C97)-$A$63:$A$108)*'Cálculos'!$D$98)/(('Cálculos'!$D$198+(($C97)-$A$63:$A$108)*'Cálculos'!$D$98)+1400)+'Cálculos'!$D$122)*'Cálculos'!$D$246+'Cálculos'!$D$125*(1+2.78*('Cálculos'!$D$198+(($C97)-$A$63:$A$108)*'Cálculos'!$D$98)/(('Cálculos'!$D$198+(($C97)-$A$63:$A$108)*'Cálculos'!$D$98)+1400)+'Cálculos'!$D$123)*'Cálculos'!$D$251)+('Cálculos'!$D$204*(1+'Cálculos'!$D$205+$A$63:$A$108*('Cálculos'!$D$290=3)*'Cálculos'!$D$103)+'Cálculos'!$D$206)*('Cálculos'!$D$242+'Cálculos'!$D$124*(1+2.78*('Cálculos'!$D$198+(($C97)-$A$63:$A$108)*'Cálculos'!$D$98)/(('Cálculos'!$D$198+(($C97)-$A$63:$A$108)*'Cálculos'!$D$98)+1400)+'Cálculos'!$D$122)*'Cálculos'!$D$247+'Cálculos'!$D$125*(1+2.78*('Cálculos'!$D$198+(($C97)-$A$63:$A$108)*'Cálculos'!$D$98)/(('Cálculos'!$D$198+(($C97)-$A$63:$A$108)*'Cálculos'!$D$98)+1400)+'Cálculos'!$D$123)*'Cálculos'!$D$252)+('Cálculos'!$D$243+'Cálculos'!$D$124*(1+2.78*('Cálculos'!$D$198+(($C97)-$A$63:$A$108)*'Cálculos'!$D$98)/(('Cálculos'!$D$198+(($C97)-$A$63:$A$108)*'Cálculos'!$D$98)+1400)+'Cálculos'!$D$122)*'Cálculos'!$D$248+'Cálculos'!$D$125*(1+2.78*('Cálculos'!$D$198+(($C97)-$A$63:$A$108)*'Cálculos'!$D$98)/(('Cálculos'!$D$198+(($C97)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97)-$A$63:$A$108)*'Cálculos'!$D$98)/(('Cálculos'!$D$199+(($C97)-$A$63:$A$108)*'Cálculos'!$D$98)+1400)+'Cálculos'!$D$122)*'Cálculos'!$D$259+'Cálculos'!$D$125*(1+2.78*('Cálculos'!$D$199+(($C97)-$A$63:$A$108)*'Cálculos'!$D$98)/(('Cálculos'!$D$199+(($C97)-$A$63:$A$108)*'Cálculos'!$D$98)+1400)+'Cálculos'!$D$123)*'Cálculos'!$D$264)+('Cálculos'!$D$199+(($C97)-$A$63:$A$108)*'Cálculos'!$D$98)*('Cálculos'!$D$255+'Cálculos'!$D$124*(1+2.78*('Cálculos'!$D$199+(($C97)-$A$63:$A$108)*'Cálculos'!$D$98)/(('Cálculos'!$D$199+(($C97)-$A$63:$A$108)*'Cálculos'!$D$98)+1400)+'Cálculos'!$D$122)*'Cálculos'!$D$260+'Cálculos'!$D$125*(1+2.78*('Cálculos'!$D$199+(($C97)-$A$63:$A$108)*'Cálculos'!$D$98)/(('Cálculos'!$D$199+(($C97)-$A$63:$A$108)*'Cálculos'!$D$98)+1400)+'Cálculos'!$D$123)*'Cálculos'!$D$265)+('Cálculos'!$D$201*(1+'Cálculos'!$D$202+$A$63:$A$108*('Cálculos'!$D$290=2)*'Cálculos'!$D$101)+'Cálculos'!$D$203)*('Cálculos'!$D$256+'Cálculos'!$D$124*(1+2.78*('Cálculos'!$D$199+(($C97)-$A$63:$A$108)*'Cálculos'!$D$98)/(('Cálculos'!$D$199+(($C97)-$A$63:$A$108)*'Cálculos'!$D$98)+1400)+'Cálculos'!$D$122)*'Cálculos'!$D$261+'Cálculos'!$D$125*(1+2.78*('Cálculos'!$D$199+(($C97)-$A$63:$A$108)*'Cálculos'!$D$98)/(('Cálculos'!$D$199+(($C97)-$A$63:$A$108)*'Cálculos'!$D$98)+1400)+'Cálculos'!$D$123)*'Cálculos'!$D$266)+('Cálculos'!$D$204*(1+'Cálculos'!$D$205+$A$63:$A$108*('Cálculos'!$D$290=3)*'Cálculos'!$D$103)+'Cálculos'!$D$206)*('Cálculos'!$D$257+'Cálculos'!$D$124*(1+2.78*('Cálculos'!$D$199+(($C97)-$A$63:$A$108)*'Cálculos'!$D$98)/(('Cálculos'!$D$199+(($C97)-$A$63:$A$108)*'Cálculos'!$D$98)+1400)+'Cálculos'!$D$122)*'Cálculos'!$D$262+'Cálculos'!$D$125*(1+2.78*('Cálculos'!$D$199+(($C97)-$A$63:$A$108)*'Cálculos'!$D$98)/(('Cálculos'!$D$199+(($C97)-$A$63:$A$108)*'Cálculos'!$D$98)+1400)+'Cálculos'!$D$123)*'Cálculos'!$D$267)+('Cálculos'!$D$258+'Cálculos'!$D$124*(1+2.78*('Cálculos'!$D$199+(($C97)-$A$63:$A$108)*'Cálculos'!$D$98)/(('Cálculos'!$D$199+(($C97)-$A$63:$A$108)*'Cálculos'!$D$98)+1400)+'Cálculos'!$D$122)*'Cálculos'!$D$263+'Cálculos'!$D$125*(1+2.78*('Cálculos'!$D$199+(($C97)-$A$63:$A$108)*'Cálculos'!$D$98)/(('Cálculos'!$D$199+(($C97)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97)-$A$63:$A$108)*'Cálculos'!$D$98)/(('Cálculos'!$D$200+(($C97)-$A$63:$A$108)*'Cálculos'!$D$98)+1400)+'Cálculos'!$D$122)*'Cálculos'!$D$274+'Cálculos'!$D$125*(1+2.78*('Cálculos'!$D$200+(($C97)-$A$63:$A$108)*'Cálculos'!$D$98)/(('Cálculos'!$D$200+(($C97)-$A$63:$A$108)*'Cálculos'!$D$98)+1400)+'Cálculos'!$D$123)*'Cálculos'!$D$279)+('Cálculos'!$D$200+(($C97)-$A$63:$A$108)*'Cálculos'!$D$98)*('Cálculos'!$D$270+'Cálculos'!$D$124*(1+2.78*('Cálculos'!$D$200+(($C97)-$A$63:$A$108)*'Cálculos'!$D$98)/(('Cálculos'!$D$200+(($C97)-$A$63:$A$108)*'Cálculos'!$D$98)+1400)+'Cálculos'!$D$122)*'Cálculos'!$D$275+'Cálculos'!$D$125*(1+2.78*('Cálculos'!$D$200+(($C97)-$A$63:$A$108)*'Cálculos'!$D$98)/(('Cálculos'!$D$200+(($C97)-$A$63:$A$108)*'Cálculos'!$D$98)+1400)+'Cálculos'!$D$123)*'Cálculos'!$D$280)+('Cálculos'!$D$201*(1+'Cálculos'!$D$202+$A$63:$A$108*('Cálculos'!$D$290=2)*'Cálculos'!$D$101)+'Cálculos'!$D$203)*('Cálculos'!$D$271+'Cálculos'!$D$124*(1+2.78*('Cálculos'!$D$200+(($C97)-$A$63:$A$108)*'Cálculos'!$D$98)/(('Cálculos'!$D$200+(($C97)-$A$63:$A$108)*'Cálculos'!$D$98)+1400)+'Cálculos'!$D$122)*'Cálculos'!$D$276+'Cálculos'!$D$125*(1+2.78*('Cálculos'!$D$200+(($C97)-$A$63:$A$108)*'Cálculos'!$D$98)/(('Cálculos'!$D$200+(($C97)-$A$63:$A$108)*'Cálculos'!$D$98)+1400)+'Cálculos'!$D$123)*'Cálculos'!$D$281)+('Cálculos'!$D$204*(1+'Cálculos'!$D$205+$A$63:$A$108*('Cálculos'!$D$290=3)*'Cálculos'!$D$103)+'Cálculos'!$D$206)*('Cálculos'!$D$272+'Cálculos'!$D$124*(1+2.78*('Cálculos'!$D$200+(($C97)-$A$63:$A$108)*'Cálculos'!$D$98)/(('Cálculos'!$D$200+(($C97)-$A$63:$A$108)*'Cálculos'!$D$98)+1400)+'Cálculos'!$D$122)*'Cálculos'!$D$277+'Cálculos'!$D$125*(1+2.78*('Cálculos'!$D$200+(($C97)-$A$63:$A$108)*'Cálculos'!$D$98)/(('Cálculos'!$D$200+(($C97)-$A$63:$A$108)*'Cálculos'!$D$98)+1400)+'Cálculos'!$D$123)*'Cálculos'!$D$282)+('Cálculos'!$D$273+'Cálculos'!$D$124*(1+2.78*('Cálculos'!$D$200+(($C97)-$A$63:$A$108)*'Cálculos'!$D$98)/(('Cálculos'!$D$200+(($C97)-$A$63:$A$108)*'Cálculos'!$D$98)+1400)+'Cálculos'!$D$122)*'Cálculos'!$D$278+'Cálculos'!$D$125*(1+2.78*('Cálculos'!$D$200+(($C97)-$A$63:$A$108)*'Cálculos'!$D$98)/(('Cálculos'!$D$200+(($C97)-$A$63:$A$108)*'Cálculos'!$D$98)+1400)+'Cálculos'!$D$123)*'Cálculos'!$D$283)))))</f>
        <v>0</v>
      </c>
      <c r="E97" s="32">
        <f>IF(OR($C97&lt;0,'Cálculos'!$D$6=""),0,$B97*$D97)</f>
        <v>0</v>
      </c>
      <c r="F97" s="2"/>
      <c r="G97" s="30">
        <f>($A97&lt;=$B$110)*($A97&lt;='Cálculos'!$D$294)*(($B$110)-$A97&lt;='Cálculos'!$D$295)*(1+MIN(('Cálculos'!$D$207+$A97*'Cálculos'!$D$95),1)*('Cálculos'!$D$208+(($B$110)-$A97)*'Cálculos'!$D$96))</f>
        <v>0</v>
      </c>
      <c r="H97" s="31">
        <f>IF($B$111&lt;0,0,($A97&lt;=$B$111)*($A97&lt;='Cálculos'!$D$301)*(($B$111)-$A97&lt;='Cálculos'!$D$297)*(('Cálculos'!$D$185*(1+'Cálculos'!$D$186+$A97*('Cálculos'!$D$290=1)*'Cálculos'!$D$97+'Cálculos'!$D$305)+'Cálculos'!$D$191)*('Cálculos'!$D$209+'Cálculos'!$D$124*(1+2.78*('Cálculos'!$D$196+(($B$111)-$A97)*'Cálculos'!$D$98)/(('Cálculos'!$D$196+(($B$111)-$A97)*'Cálculos'!$D$98)+1400)+'Cálculos'!$D$122)*'Cálculos'!$D$214+'Cálculos'!$D$125*(1+2.78*('Cálculos'!$D$196+(($B$111)-$A97)*'Cálculos'!$D$98)/(('Cálculos'!$D$196+(($B$111)-$A97)*'Cálculos'!$D$98)+1400)+'Cálculos'!$D$123)*'Cálculos'!$D$219)+('Cálculos'!$D$196+(($B$111)-$A97)*'Cálculos'!$D$98)*('Cálculos'!$D$210+'Cálculos'!$D$124*(1+2.78*('Cálculos'!$D$196+(($B$111)-$A97)*'Cálculos'!$D$98)/(('Cálculos'!$D$196+(($B$111)-$A97)*'Cálculos'!$D$98)+1400)+'Cálculos'!$D$122)*'Cálculos'!$D$215+'Cálculos'!$D$125*(1+2.78*('Cálculos'!$D$196+(($B$111)-$A97)*'Cálculos'!$D$98)/(('Cálculos'!$D$196+(($B$111)-$A97)*'Cálculos'!$D$98)+1400)+'Cálculos'!$D$123)*'Cálculos'!$D$220)+('Cálculos'!$D$201*(1+'Cálculos'!$D$202+$A97*('Cálculos'!$D$290=2)*'Cálculos'!$D$101)+'Cálculos'!$D$203)*('Cálculos'!$D$211+'Cálculos'!$D$124*(1+2.78*('Cálculos'!$D$196+(($B$111)-$A97)*'Cálculos'!$D$98)/(('Cálculos'!$D$196+(($B$111)-$A97)*'Cálculos'!$D$98)+1400)+'Cálculos'!$D$122)*'Cálculos'!$D$216+'Cálculos'!$D$125*(1+2.78*('Cálculos'!$D$196+(($B$111)-$A97)*'Cálculos'!$D$98)/(('Cálculos'!$D$196+(($B$111)-$A97)*'Cálculos'!$D$98)+1400)+'Cálculos'!$D$123)*'Cálculos'!$D$221)+('Cálculos'!$D$204*(1+'Cálculos'!$D$205+$A97*('Cálculos'!$D$290=3)*'Cálculos'!$D$103)+'Cálculos'!$D$206)*('Cálculos'!$D$212+'Cálculos'!$D$124*(1+2.78*('Cálculos'!$D$196+(($B$111)-$A97)*'Cálculos'!$D$98)/(('Cálculos'!$D$196+(($B$111)-$A97)*'Cálculos'!$D$98)+1400)+'Cálculos'!$D$122)*'Cálculos'!$D$217+'Cálculos'!$D$125*(1+2.78*('Cálculos'!$D$196+(($B$111)-$A97)*'Cálculos'!$D$98)/(('Cálculos'!$D$196+(($B$111)-$A97)*'Cálculos'!$D$98)+1400)+'Cálculos'!$D$123)*'Cálculos'!$D$222)+('Cálculos'!$D$213+'Cálculos'!$D$124*(1+2.78*('Cálculos'!$D$196+(($B$111)-$A97)*'Cálculos'!$D$98)/(('Cálculos'!$D$196+(($B$111)-$A97)*'Cálculos'!$D$98)+1400)+'Cálculos'!$D$122)*'Cálculos'!$D$218+'Cálculos'!$D$125*(1+2.78*('Cálculos'!$D$196+(($B$111)-$A97)*'Cálculos'!$D$98)/(('Cálculos'!$D$196+(($B$111)-$A97)*'Cálculos'!$D$98)+1400)+'Cálculos'!$D$123)*'Cálculos'!$D$223)+('Cálculos'!$D$185*(1+'Cálculos'!$D$187+$A97*('Cálculos'!$D$290=1)*'Cálculos'!$D$97+'Cálculos'!$D$305)+'Cálculos'!$D$192)*('Cálculos'!$D$224+'Cálculos'!$D$124*(1+2.78*('Cálculos'!$D$197+(($B$111)-$A97)*'Cálculos'!$D$98)/(('Cálculos'!$D$197+(($B$111)-$A97)*'Cálculos'!$D$98)+1400)+'Cálculos'!$D$122)*'Cálculos'!$D$229+'Cálculos'!$D$125*(1+2.78*('Cálculos'!$D$197+(($B$111)-$A97)*'Cálculos'!$D$98)/(('Cálculos'!$D$197+(($B$111)-$A97)*'Cálculos'!$D$98)+1400)+'Cálculos'!$D$123)*'Cálculos'!$D$234)+('Cálculos'!$D$197+(($B$111)-$A97)*'Cálculos'!$D$98)*('Cálculos'!$D$225+'Cálculos'!$D$124*(1+2.78*('Cálculos'!$D$197+(($B$111)-$A97)*'Cálculos'!$D$98)/(('Cálculos'!$D$197+(($B$111)-$A97)*'Cálculos'!$D$98)+1400)+'Cálculos'!$D$122)*'Cálculos'!$D$230+'Cálculos'!$D$125*(1+2.78*('Cálculos'!$D$197+(($B$111)-$A97)*'Cálculos'!$D$98)/(('Cálculos'!$D$197+(($B$111)-$A97)*'Cálculos'!$D$98)+1400)+'Cálculos'!$D$123)*'Cálculos'!$D$235)+('Cálculos'!$D$201*(1+'Cálculos'!$D$202+$A97*('Cálculos'!$D$290=2)*'Cálculos'!$D$101)+'Cálculos'!$D$203)*('Cálculos'!$D$226+'Cálculos'!$D$124*(1+2.78*('Cálculos'!$D$197+(($B$111)-$A97)*'Cálculos'!$D$98)/(('Cálculos'!$D$197+(($B$111)-$A97)*'Cálculos'!$D$98)+1400)+'Cálculos'!$D$122)*'Cálculos'!$D$231+'Cálculos'!$D$125*(1+2.78*('Cálculos'!$D$197+(($B$111)-$A97)*'Cálculos'!$D$98)/(('Cálculos'!$D$197+(($B$111)-$A97)*'Cálculos'!$D$98)+1400)+'Cálculos'!$D$123)*'Cálculos'!$D$236)+('Cálculos'!$D$204*(1+'Cálculos'!$D$205+$A97*('Cálculos'!$D$290=3)*'Cálculos'!$D$103)+'Cálculos'!$D$206)*('Cálculos'!$D$227+'Cálculos'!$D$124*(1+2.78*('Cálculos'!$D$197+(($B$111)-$A97)*'Cálculos'!$D$98)/(('Cálculos'!$D$197+(($B$111)-$A97)*'Cálculos'!$D$98)+1400)+'Cálculos'!$D$122)*'Cálculos'!$D$232+'Cálculos'!$D$125*(1+2.78*('Cálculos'!$D$197+(($B$111)-$A97)*'Cálculos'!$D$98)/(('Cálculos'!$D$197+(($B$111)-$A97)*'Cálculos'!$D$98)+1400)+'Cálculos'!$D$123)*'Cálculos'!$D$237)+('Cálculos'!$D$228+'Cálculos'!$D$124*(1+2.78*('Cálculos'!$D$197+(($B$111)-$A97)*'Cálculos'!$D$98)/(('Cálculos'!$D$197+(($B$111)-$A97)*'Cálculos'!$D$98)+1400)+'Cálculos'!$D$122)*'Cálculos'!$D$233+'Cálculos'!$D$125*(1+2.78*('Cálculos'!$D$197+(($B$111)-$A97)*'Cálculos'!$D$98)/(('Cálculos'!$D$197+(($B$111)-$A97)*'Cálculos'!$D$98)+1400)+'Cálculos'!$D$123)*'Cálculos'!$D$238)+('Cálculos'!$D$185*(1+'Cálculos'!$D$188+$A97*('Cálculos'!$D$290=1)*'Cálculos'!$D$97+'Cálculos'!$D$305)+'Cálculos'!$D$193)*('Cálculos'!$D$239+'Cálculos'!$D$124*(1+2.78*('Cálculos'!$D$198+(($B$111)-$A97)*'Cálculos'!$D$98)/(('Cálculos'!$D$198+(($B$111)-$A97)*'Cálculos'!$D$98)+1400)+'Cálculos'!$D$122)*'Cálculos'!$D$244+'Cálculos'!$D$125*(1+2.78*('Cálculos'!$D$198+(($B$111)-$A97)*'Cálculos'!$D$98)/(('Cálculos'!$D$198+(($B$111)-$A97)*'Cálculos'!$D$98)+1400)+'Cálculos'!$D$123)*'Cálculos'!$D$249)+('Cálculos'!$D$198+(($B$111)-$A97)*'Cálculos'!$D$98)*('Cálculos'!$D$240+'Cálculos'!$D$124*(1+2.78*('Cálculos'!$D$198+(($B$111)-$A97)*'Cálculos'!$D$98)/(('Cálculos'!$D$198+(($B$111)-$A97)*'Cálculos'!$D$98)+1400)+'Cálculos'!$D$122)*'Cálculos'!$D$245+'Cálculos'!$D$125*(1+2.78*('Cálculos'!$D$198+(($B$111)-$A97)*'Cálculos'!$D$98)/(('Cálculos'!$D$198+(($B$111)-$A97)*'Cálculos'!$D$98)+1400)+'Cálculos'!$D$123)*'Cálculos'!$D$250)+('Cálculos'!$D$201*(1+'Cálculos'!$D$202+$A97*('Cálculos'!$D$290=2)*'Cálculos'!$D$101)+'Cálculos'!$D$203)*('Cálculos'!$D$241+'Cálculos'!$D$124*(1+2.78*('Cálculos'!$D$198+(($B$111)-$A97)*'Cálculos'!$D$98)/(('Cálculos'!$D$198+(($B$111)-$A97)*'Cálculos'!$D$98)+1400)+'Cálculos'!$D$122)*'Cálculos'!$D$246+'Cálculos'!$D$125*(1+2.78*('Cálculos'!$D$198+(($B$111)-$A97)*'Cálculos'!$D$98)/(('Cálculos'!$D$198+(($B$111)-$A97)*'Cálculos'!$D$98)+1400)+'Cálculos'!$D$123)*'Cálculos'!$D$251)+('Cálculos'!$D$204*(1+'Cálculos'!$D$205+$A97*('Cálculos'!$D$290=3)*'Cálculos'!$D$103)+'Cálculos'!$D$206)*('Cálculos'!$D$242+'Cálculos'!$D$124*(1+2.78*('Cálculos'!$D$198+(($B$111)-$A97)*'Cálculos'!$D$98)/(('Cálculos'!$D$198+(($B$111)-$A97)*'Cálculos'!$D$98)+1400)+'Cálculos'!$D$122)*'Cálculos'!$D$247+'Cálculos'!$D$125*(1+2.78*('Cálculos'!$D$198+(($B$111)-$A97)*'Cálculos'!$D$98)/(('Cálculos'!$D$198+(($B$111)-$A97)*'Cálculos'!$D$98)+1400)+'Cálculos'!$D$123)*'Cálculos'!$D$252)+('Cálculos'!$D$243+'Cálculos'!$D$124*(1+2.78*('Cálculos'!$D$198+(($B$111)-$A97)*'Cálculos'!$D$98)/(('Cálculos'!$D$198+(($B$111)-$A97)*'Cálculos'!$D$98)+1400)+'Cálculos'!$D$122)*'Cálculos'!$D$248+'Cálculos'!$D$125*(1+2.78*('Cálculos'!$D$198+(($B$111)-$A97)*'Cálculos'!$D$98)/(('Cálculos'!$D$198+(($B$111)-$A97)*'Cálculos'!$D$98)+1400)+'Cálculos'!$D$123)*'Cálculos'!$D$253)+('Cálculos'!$D$185*(1+'Cálculos'!$D$189+$A97*('Cálculos'!$D$290=1)*'Cálculos'!$D$97+'Cálculos'!$D$305)+'Cálculos'!$D$194)*('Cálculos'!$D$254+'Cálculos'!$D$124*(1+2.78*('Cálculos'!$D$199+(($B$111)-$A97)*'Cálculos'!$D$98)/(('Cálculos'!$D$199+(($B$111)-$A97)*'Cálculos'!$D$98)+1400)+'Cálculos'!$D$122)*'Cálculos'!$D$259+'Cálculos'!$D$125*(1+2.78*('Cálculos'!$D$199+(($B$111)-$A97)*'Cálculos'!$D$98)/(('Cálculos'!$D$199+(($B$111)-$A97)*'Cálculos'!$D$98)+1400)+'Cálculos'!$D$123)*'Cálculos'!$D$264)+('Cálculos'!$D$199+(($B$111)-$A97)*'Cálculos'!$D$98)*('Cálculos'!$D$255+'Cálculos'!$D$124*(1+2.78*('Cálculos'!$D$199+(($B$111)-$A97)*'Cálculos'!$D$98)/(('Cálculos'!$D$199+(($B$111)-$A97)*'Cálculos'!$D$98)+1400)+'Cálculos'!$D$122)*'Cálculos'!$D$260+'Cálculos'!$D$125*(1+2.78*('Cálculos'!$D$199+(($B$111)-$A97)*'Cálculos'!$D$98)/(('Cálculos'!$D$199+(($B$111)-$A97)*'Cálculos'!$D$98)+1400)+'Cálculos'!$D$123)*'Cálculos'!$D$265)+('Cálculos'!$D$201*(1+'Cálculos'!$D$202+$A97*('Cálculos'!$D$290=2)*'Cálculos'!$D$101)+'Cálculos'!$D$203)*('Cálculos'!$D$256+'Cálculos'!$D$124*(1+2.78*('Cálculos'!$D$199+(($B$111)-$A97)*'Cálculos'!$D$98)/(('Cálculos'!$D$199+(($B$111)-$A97)*'Cálculos'!$D$98)+1400)+'Cálculos'!$D$122)*'Cálculos'!$D$261+'Cálculos'!$D$125*(1+2.78*('Cálculos'!$D$199+(($B$111)-$A97)*'Cálculos'!$D$98)/(('Cálculos'!$D$199+(($B$111)-$A97)*'Cálculos'!$D$98)+1400)+'Cálculos'!$D$123)*'Cálculos'!$D$266)+('Cálculos'!$D$204*(1+'Cálculos'!$D$205+$A97*('Cálculos'!$D$290=3)*'Cálculos'!$D$103)+'Cálculos'!$D$206)*('Cálculos'!$D$257+'Cálculos'!$D$124*(1+2.78*('Cálculos'!$D$199+(($B$111)-$A97)*'Cálculos'!$D$98)/(('Cálculos'!$D$199+(($B$111)-$A97)*'Cálculos'!$D$98)+1400)+'Cálculos'!$D$122)*'Cálculos'!$D$262+'Cálculos'!$D$125*(1+2.78*('Cálculos'!$D$199+(($B$111)-$A97)*'Cálculos'!$D$98)/(('Cálculos'!$D$199+(($B$111)-$A97)*'Cálculos'!$D$98)+1400)+'Cálculos'!$D$123)*'Cálculos'!$D$267)+('Cálculos'!$D$258+'Cálculos'!$D$124*(1+2.78*('Cálculos'!$D$199+(($B$111)-$A97)*'Cálculos'!$D$98)/(('Cálculos'!$D$199+(($B$111)-$A97)*'Cálculos'!$D$98)+1400)+'Cálculos'!$D$122)*'Cálculos'!$D$263+'Cálculos'!$D$125*(1+2.78*('Cálculos'!$D$199+(($B$111)-$A97)*'Cálculos'!$D$98)/(('Cálculos'!$D$199+(($B$111)-$A97)*'Cálculos'!$D$98)+1400)+'Cálculos'!$D$123)*'Cálculos'!$D$268)+('Cálculos'!$D$185*(1+'Cálculos'!$D$190+$A97*('Cálculos'!$D$290=1)*'Cálculos'!$D$97+'Cálculos'!$D$305)+'Cálculos'!$D$195)*('Cálculos'!$D$269+'Cálculos'!$D$124*(1+2.78*('Cálculos'!$D$200+(($B$111)-$A97)*'Cálculos'!$D$98)/(('Cálculos'!$D$200+(($B$111)-$A97)*'Cálculos'!$D$98)+1400)+'Cálculos'!$D$122)*'Cálculos'!$D$274+'Cálculos'!$D$125*(1+2.78*('Cálculos'!$D$200+(($B$111)-$A97)*'Cálculos'!$D$98)/(('Cálculos'!$D$200+(($B$111)-$A97)*'Cálculos'!$D$98)+1400)+'Cálculos'!$D$123)*'Cálculos'!$D$279)+('Cálculos'!$D$200+(($B$111)-$A97)*'Cálculos'!$D$98)*('Cálculos'!$D$270+'Cálculos'!$D$124*(1+2.78*('Cálculos'!$D$200+(($B$111)-$A97)*'Cálculos'!$D$98)/(('Cálculos'!$D$200+(($B$111)-$A97)*'Cálculos'!$D$98)+1400)+'Cálculos'!$D$122)*'Cálculos'!$D$275+'Cálculos'!$D$125*(1+2.78*('Cálculos'!$D$200+(($B$111)-$A97)*'Cálculos'!$D$98)/(('Cálculos'!$D$200+(($B$111)-$A97)*'Cálculos'!$D$98)+1400)+'Cálculos'!$D$123)*'Cálculos'!$D$280)+('Cálculos'!$D$201*(1+'Cálculos'!$D$202+$A97*('Cálculos'!$D$290=2)*'Cálculos'!$D$101)+'Cálculos'!$D$203)*('Cálculos'!$D$271+'Cálculos'!$D$124*(1+2.78*('Cálculos'!$D$200+(($B$111)-$A97)*'Cálculos'!$D$98)/(('Cálculos'!$D$200+(($B$111)-$A97)*'Cálculos'!$D$98)+1400)+'Cálculos'!$D$122)*'Cálculos'!$D$276+'Cálculos'!$D$125*(1+2.78*('Cálculos'!$D$200+(($B$111)-$A97)*'Cálculos'!$D$98)/(('Cálculos'!$D$200+(($B$111)-$A97)*'Cálculos'!$D$98)+1400)+'Cálculos'!$D$123)*'Cálculos'!$D$281)+('Cálculos'!$D$204*(1+'Cálculos'!$D$205+$A97*('Cálculos'!$D$290=3)*'Cálculos'!$D$103)+'Cálculos'!$D$206)*('Cálculos'!$D$272+'Cálculos'!$D$124*(1+2.78*('Cálculos'!$D$200+(($B$111)-$A97)*'Cálculos'!$D$98)/(('Cálculos'!$D$200+(($B$111)-$A97)*'Cálculos'!$D$98)+1400)+'Cálculos'!$D$122)*'Cálculos'!$D$277+'Cálculos'!$D$125*(1+2.78*('Cálculos'!$D$200+(($B$111)-$A97)*'Cálculos'!$D$98)/(('Cálculos'!$D$200+(($B$111)-$A97)*'Cálculos'!$D$98)+1400)+'Cálculos'!$D$123)*'Cálculos'!$D$282)+('Cálculos'!$D$273+'Cálculos'!$D$124*(1+2.78*('Cálculos'!$D$200+(($B$111)-$A97)*'Cálculos'!$D$98)/(('Cálculos'!$D$200+(($B$111)-$A97)*'Cálculos'!$D$98)+1400)+'Cálculos'!$D$122)*'Cálculos'!$D$278+'Cálculos'!$D$125*(1+2.78*('Cálculos'!$D$200+(($B$111)-$A97)*'Cálculos'!$D$98)/(('Cálculos'!$D$200+(($B$111)-$A97)*'Cálculos'!$D$98)+1400)+'Cálculos'!$D$123)*'Cálculos'!$D$283)))</f>
        <v>0</v>
      </c>
    </row>
    <row r="98" ht="15.75" customHeight="1">
      <c r="A98" s="2">
        <v>35.0</v>
      </c>
      <c r="B98" s="30">
        <f>SUMPRODUCT(MAX(($A$63:$A$108&lt;=$A98)*($A$63:$A$108&lt;='Cálculos'!$D$294)*(($A98)-$A$63:$A$108&lt;='Cálculos'!$D$295)*(1+(('Cálculos'!$D$207+$A$63:$A$108*'Cálculos'!$D$95)-(('Cálculos'!$D$207+$A$63:$A$108*'Cálculos'!$D$95)&gt;1)*(('Cálculos'!$D$207+$A$63:$A$108*'Cálculos'!$D$95)-1))*('Cálculos'!$D$208+(($A98)-$A$63:$A$108)*'Cálculos'!$D$96))))</f>
        <v>2.320254556</v>
      </c>
      <c r="C98" s="2">
        <f>'Cálculos'!$D$303-$A98</f>
        <v>-24</v>
      </c>
      <c r="D98" s="31">
        <f>IF($C98&lt;0,0,SUMPRODUCT(MAX(($A$63:$A$108&lt;=$C98)*($A$63:$A$108&lt;='Cálculos'!$D$301)*(($C98)-$A$63:$A$108&lt;='Cálculos'!$D$297)*(('Cálculos'!$D$185*(1+'Cálculos'!$D$186+$A$63:$A$108*('Cálculos'!$D$290=1)*'Cálculos'!$D$97+'Cálculos'!$D$305)+'Cálculos'!$D$191)*('Cálculos'!$D$209+'Cálculos'!$D$124*(1+2.78*('Cálculos'!$D$196+(($C98)-$A$63:$A$108)*'Cálculos'!$D$98)/(('Cálculos'!$D$196+(($C98)-$A$63:$A$108)*'Cálculos'!$D$98)+1400)+'Cálculos'!$D$122)*'Cálculos'!$D$214+'Cálculos'!$D$125*(1+2.78*('Cálculos'!$D$196+(($C98)-$A$63:$A$108)*'Cálculos'!$D$98)/(('Cálculos'!$D$196+(($C98)-$A$63:$A$108)*'Cálculos'!$D$98)+1400)+'Cálculos'!$D$123)*'Cálculos'!$D$219)+('Cálculos'!$D$196+(($C98)-$A$63:$A$108)*'Cálculos'!$D$98)*('Cálculos'!$D$210+'Cálculos'!$D$124*(1+2.78*('Cálculos'!$D$196+(($C98)-$A$63:$A$108)*'Cálculos'!$D$98)/(('Cálculos'!$D$196+(($C98)-$A$63:$A$108)*'Cálculos'!$D$98)+1400)+'Cálculos'!$D$122)*'Cálculos'!$D$215+'Cálculos'!$D$125*(1+2.78*('Cálculos'!$D$196+(($C98)-$A$63:$A$108)*'Cálculos'!$D$98)/(('Cálculos'!$D$196+(($C98)-$A$63:$A$108)*'Cálculos'!$D$98)+1400)+'Cálculos'!$D$123)*'Cálculos'!$D$220)+('Cálculos'!$D$201*(1+'Cálculos'!$D$202+$A$63:$A$108*('Cálculos'!$D$290=2)*'Cálculos'!$D$101)+'Cálculos'!$D$203)*('Cálculos'!$D$211+'Cálculos'!$D$124*(1+2.78*('Cálculos'!$D$196+(($C98)-$A$63:$A$108)*'Cálculos'!$D$98)/(('Cálculos'!$D$196+(($C98)-$A$63:$A$108)*'Cálculos'!$D$98)+1400)+'Cálculos'!$D$122)*'Cálculos'!$D$216+'Cálculos'!$D$125*(1+2.78*('Cálculos'!$D$196+(($C98)-$A$63:$A$108)*'Cálculos'!$D$98)/(('Cálculos'!$D$196+(($C98)-$A$63:$A$108)*'Cálculos'!$D$98)+1400)+'Cálculos'!$D$123)*'Cálculos'!$D$221)+('Cálculos'!$D$204*(1+'Cálculos'!$D$205+$A$63:$A$108*('Cálculos'!$D$290=3)*'Cálculos'!$D$103)+'Cálculos'!$D$206)*('Cálculos'!$D$212+'Cálculos'!$D$124*(1+2.78*('Cálculos'!$D$196+(($C98)-$A$63:$A$108)*'Cálculos'!$D$98)/(('Cálculos'!$D$196+(($C98)-$A$63:$A$108)*'Cálculos'!$D$98)+1400)+'Cálculos'!$D$122)*'Cálculos'!$D$217+'Cálculos'!$D$125*(1+2.78*('Cálculos'!$D$196+(($C98)-$A$63:$A$108)*'Cálculos'!$D$98)/(('Cálculos'!$D$196+(($C98)-$A$63:$A$108)*'Cálculos'!$D$98)+1400)+'Cálculos'!$D$123)*'Cálculos'!$D$222)+('Cálculos'!$D$213+'Cálculos'!$D$124*(1+2.78*('Cálculos'!$D$196+(($C98)-$A$63:$A$108)*'Cálculos'!$D$98)/(('Cálculos'!$D$196+(($C98)-$A$63:$A$108)*'Cálculos'!$D$98)+1400)+'Cálculos'!$D$122)*'Cálculos'!$D$218+'Cálculos'!$D$125*(1+2.78*('Cálculos'!$D$196+(($C98)-$A$63:$A$108)*'Cálculos'!$D$98)/(('Cálculos'!$D$196+(($C98)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98)-$A$63:$A$108)*'Cálculos'!$D$98)/(('Cálculos'!$D$197+(($C98)-$A$63:$A$108)*'Cálculos'!$D$98)+1400)+'Cálculos'!$D$122)*'Cálculos'!$D$229+'Cálculos'!$D$125*(1+2.78*('Cálculos'!$D$197+(($C98)-$A$63:$A$108)*'Cálculos'!$D$98)/(('Cálculos'!$D$197+(($C98)-$A$63:$A$108)*'Cálculos'!$D$98)+1400)+'Cálculos'!$D$123)*'Cálculos'!$D$234)+('Cálculos'!$D$197+(($C98)-$A$63:$A$108)*'Cálculos'!$D$98)*('Cálculos'!$D$225+'Cálculos'!$D$124*(1+2.78*('Cálculos'!$D$197+(($C98)-$A$63:$A$108)*'Cálculos'!$D$98)/(('Cálculos'!$D$197+(($C98)-$A$63:$A$108)*'Cálculos'!$D$98)+1400)+'Cálculos'!$D$122)*'Cálculos'!$D$230+'Cálculos'!$D$125*(1+2.78*('Cálculos'!$D$197+(($C98)-$A$63:$A$108)*'Cálculos'!$D$98)/(('Cálculos'!$D$197+(($C98)-$A$63:$A$108)*'Cálculos'!$D$98)+1400)+'Cálculos'!$D$123)*'Cálculos'!$D$235)+('Cálculos'!$D$201*(1+'Cálculos'!$D$202+$A$63:$A$108*('Cálculos'!$D$290=2)*'Cálculos'!$D$101)+'Cálculos'!$D$203)*('Cálculos'!$D$226+'Cálculos'!$D$124*(1+2.78*('Cálculos'!$D$197+(($C98)-$A$63:$A$108)*'Cálculos'!$D$98)/(('Cálculos'!$D$197+(($C98)-$A$63:$A$108)*'Cálculos'!$D$98)+1400)+'Cálculos'!$D$122)*'Cálculos'!$D$231+'Cálculos'!$D$125*(1+2.78*('Cálculos'!$D$197+(($C98)-$A$63:$A$108)*'Cálculos'!$D$98)/(('Cálculos'!$D$197+(($C98)-$A$63:$A$108)*'Cálculos'!$D$98)+1400)+'Cálculos'!$D$123)*'Cálculos'!$D$236)+('Cálculos'!$D$204*(1+'Cálculos'!$D$205+$A$63:$A$108*('Cálculos'!$D$290=3)*'Cálculos'!$D$103)+'Cálculos'!$D$206)*('Cálculos'!$D$227+'Cálculos'!$D$124*(1+2.78*('Cálculos'!$D$197+(($C98)-$A$63:$A$108)*'Cálculos'!$D$98)/(('Cálculos'!$D$197+(($C98)-$A$63:$A$108)*'Cálculos'!$D$98)+1400)+'Cálculos'!$D$122)*'Cálculos'!$D$232+'Cálculos'!$D$125*(1+2.78*('Cálculos'!$D$197+(($C98)-$A$63:$A$108)*'Cálculos'!$D$98)/(('Cálculos'!$D$197+(($C98)-$A$63:$A$108)*'Cálculos'!$D$98)+1400)+'Cálculos'!$D$123)*'Cálculos'!$D$237)+('Cálculos'!$D$228+'Cálculos'!$D$124*(1+2.78*('Cálculos'!$D$197+(($C98)-$A$63:$A$108)*'Cálculos'!$D$98)/(('Cálculos'!$D$197+(($C98)-$A$63:$A$108)*'Cálculos'!$D$98)+1400)+'Cálculos'!$D$122)*'Cálculos'!$D$233+'Cálculos'!$D$125*(1+2.78*('Cálculos'!$D$197+(($C98)-$A$63:$A$108)*'Cálculos'!$D$98)/(('Cálculos'!$D$197+(($C98)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98)-$A$63:$A$108)*'Cálculos'!$D$98)/(('Cálculos'!$D$198+(($C98)-$A$63:$A$108)*'Cálculos'!$D$98)+1400)+'Cálculos'!$D$122)*'Cálculos'!$D$244+'Cálculos'!$D$125*(1+2.78*('Cálculos'!$D$198+(($C98)-$A$63:$A$108)*'Cálculos'!$D$98)/(('Cálculos'!$D$198+(($C98)-$A$63:$A$108)*'Cálculos'!$D$98)+1400)+'Cálculos'!$D$123)*'Cálculos'!$D$249)+('Cálculos'!$D$198+(($C98)-$A$63:$A$108)*'Cálculos'!$D$98)*('Cálculos'!$D$240+'Cálculos'!$D$124*(1+2.78*('Cálculos'!$D$198+(($C98)-$A$63:$A$108)*'Cálculos'!$D$98)/(('Cálculos'!$D$198+(($C98)-$A$63:$A$108)*'Cálculos'!$D$98)+1400)+'Cálculos'!$D$122)*'Cálculos'!$D$245+'Cálculos'!$D$125*(1+2.78*('Cálculos'!$D$198+(($C98)-$A$63:$A$108)*'Cálculos'!$D$98)/(('Cálculos'!$D$198+(($C98)-$A$63:$A$108)*'Cálculos'!$D$98)+1400)+'Cálculos'!$D$123)*'Cálculos'!$D$250)+('Cálculos'!$D$201*(1+'Cálculos'!$D$202+$A$63:$A$108*('Cálculos'!$D$290=2)*'Cálculos'!$D$101)+'Cálculos'!$D$203)*('Cálculos'!$D$241+'Cálculos'!$D$124*(1+2.78*('Cálculos'!$D$198+(($C98)-$A$63:$A$108)*'Cálculos'!$D$98)/(('Cálculos'!$D$198+(($C98)-$A$63:$A$108)*'Cálculos'!$D$98)+1400)+'Cálculos'!$D$122)*'Cálculos'!$D$246+'Cálculos'!$D$125*(1+2.78*('Cálculos'!$D$198+(($C98)-$A$63:$A$108)*'Cálculos'!$D$98)/(('Cálculos'!$D$198+(($C98)-$A$63:$A$108)*'Cálculos'!$D$98)+1400)+'Cálculos'!$D$123)*'Cálculos'!$D$251)+('Cálculos'!$D$204*(1+'Cálculos'!$D$205+$A$63:$A$108*('Cálculos'!$D$290=3)*'Cálculos'!$D$103)+'Cálculos'!$D$206)*('Cálculos'!$D$242+'Cálculos'!$D$124*(1+2.78*('Cálculos'!$D$198+(($C98)-$A$63:$A$108)*'Cálculos'!$D$98)/(('Cálculos'!$D$198+(($C98)-$A$63:$A$108)*'Cálculos'!$D$98)+1400)+'Cálculos'!$D$122)*'Cálculos'!$D$247+'Cálculos'!$D$125*(1+2.78*('Cálculos'!$D$198+(($C98)-$A$63:$A$108)*'Cálculos'!$D$98)/(('Cálculos'!$D$198+(($C98)-$A$63:$A$108)*'Cálculos'!$D$98)+1400)+'Cálculos'!$D$123)*'Cálculos'!$D$252)+('Cálculos'!$D$243+'Cálculos'!$D$124*(1+2.78*('Cálculos'!$D$198+(($C98)-$A$63:$A$108)*'Cálculos'!$D$98)/(('Cálculos'!$D$198+(($C98)-$A$63:$A$108)*'Cálculos'!$D$98)+1400)+'Cálculos'!$D$122)*'Cálculos'!$D$248+'Cálculos'!$D$125*(1+2.78*('Cálculos'!$D$198+(($C98)-$A$63:$A$108)*'Cálculos'!$D$98)/(('Cálculos'!$D$198+(($C98)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98)-$A$63:$A$108)*'Cálculos'!$D$98)/(('Cálculos'!$D$199+(($C98)-$A$63:$A$108)*'Cálculos'!$D$98)+1400)+'Cálculos'!$D$122)*'Cálculos'!$D$259+'Cálculos'!$D$125*(1+2.78*('Cálculos'!$D$199+(($C98)-$A$63:$A$108)*'Cálculos'!$D$98)/(('Cálculos'!$D$199+(($C98)-$A$63:$A$108)*'Cálculos'!$D$98)+1400)+'Cálculos'!$D$123)*'Cálculos'!$D$264)+('Cálculos'!$D$199+(($C98)-$A$63:$A$108)*'Cálculos'!$D$98)*('Cálculos'!$D$255+'Cálculos'!$D$124*(1+2.78*('Cálculos'!$D$199+(($C98)-$A$63:$A$108)*'Cálculos'!$D$98)/(('Cálculos'!$D$199+(($C98)-$A$63:$A$108)*'Cálculos'!$D$98)+1400)+'Cálculos'!$D$122)*'Cálculos'!$D$260+'Cálculos'!$D$125*(1+2.78*('Cálculos'!$D$199+(($C98)-$A$63:$A$108)*'Cálculos'!$D$98)/(('Cálculos'!$D$199+(($C98)-$A$63:$A$108)*'Cálculos'!$D$98)+1400)+'Cálculos'!$D$123)*'Cálculos'!$D$265)+('Cálculos'!$D$201*(1+'Cálculos'!$D$202+$A$63:$A$108*('Cálculos'!$D$290=2)*'Cálculos'!$D$101)+'Cálculos'!$D$203)*('Cálculos'!$D$256+'Cálculos'!$D$124*(1+2.78*('Cálculos'!$D$199+(($C98)-$A$63:$A$108)*'Cálculos'!$D$98)/(('Cálculos'!$D$199+(($C98)-$A$63:$A$108)*'Cálculos'!$D$98)+1400)+'Cálculos'!$D$122)*'Cálculos'!$D$261+'Cálculos'!$D$125*(1+2.78*('Cálculos'!$D$199+(($C98)-$A$63:$A$108)*'Cálculos'!$D$98)/(('Cálculos'!$D$199+(($C98)-$A$63:$A$108)*'Cálculos'!$D$98)+1400)+'Cálculos'!$D$123)*'Cálculos'!$D$266)+('Cálculos'!$D$204*(1+'Cálculos'!$D$205+$A$63:$A$108*('Cálculos'!$D$290=3)*'Cálculos'!$D$103)+'Cálculos'!$D$206)*('Cálculos'!$D$257+'Cálculos'!$D$124*(1+2.78*('Cálculos'!$D$199+(($C98)-$A$63:$A$108)*'Cálculos'!$D$98)/(('Cálculos'!$D$199+(($C98)-$A$63:$A$108)*'Cálculos'!$D$98)+1400)+'Cálculos'!$D$122)*'Cálculos'!$D$262+'Cálculos'!$D$125*(1+2.78*('Cálculos'!$D$199+(($C98)-$A$63:$A$108)*'Cálculos'!$D$98)/(('Cálculos'!$D$199+(($C98)-$A$63:$A$108)*'Cálculos'!$D$98)+1400)+'Cálculos'!$D$123)*'Cálculos'!$D$267)+('Cálculos'!$D$258+'Cálculos'!$D$124*(1+2.78*('Cálculos'!$D$199+(($C98)-$A$63:$A$108)*'Cálculos'!$D$98)/(('Cálculos'!$D$199+(($C98)-$A$63:$A$108)*'Cálculos'!$D$98)+1400)+'Cálculos'!$D$122)*'Cálculos'!$D$263+'Cálculos'!$D$125*(1+2.78*('Cálculos'!$D$199+(($C98)-$A$63:$A$108)*'Cálculos'!$D$98)/(('Cálculos'!$D$199+(($C98)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98)-$A$63:$A$108)*'Cálculos'!$D$98)/(('Cálculos'!$D$200+(($C98)-$A$63:$A$108)*'Cálculos'!$D$98)+1400)+'Cálculos'!$D$122)*'Cálculos'!$D$274+'Cálculos'!$D$125*(1+2.78*('Cálculos'!$D$200+(($C98)-$A$63:$A$108)*'Cálculos'!$D$98)/(('Cálculos'!$D$200+(($C98)-$A$63:$A$108)*'Cálculos'!$D$98)+1400)+'Cálculos'!$D$123)*'Cálculos'!$D$279)+('Cálculos'!$D$200+(($C98)-$A$63:$A$108)*'Cálculos'!$D$98)*('Cálculos'!$D$270+'Cálculos'!$D$124*(1+2.78*('Cálculos'!$D$200+(($C98)-$A$63:$A$108)*'Cálculos'!$D$98)/(('Cálculos'!$D$200+(($C98)-$A$63:$A$108)*'Cálculos'!$D$98)+1400)+'Cálculos'!$D$122)*'Cálculos'!$D$275+'Cálculos'!$D$125*(1+2.78*('Cálculos'!$D$200+(($C98)-$A$63:$A$108)*'Cálculos'!$D$98)/(('Cálculos'!$D$200+(($C98)-$A$63:$A$108)*'Cálculos'!$D$98)+1400)+'Cálculos'!$D$123)*'Cálculos'!$D$280)+('Cálculos'!$D$201*(1+'Cálculos'!$D$202+$A$63:$A$108*('Cálculos'!$D$290=2)*'Cálculos'!$D$101)+'Cálculos'!$D$203)*('Cálculos'!$D$271+'Cálculos'!$D$124*(1+2.78*('Cálculos'!$D$200+(($C98)-$A$63:$A$108)*'Cálculos'!$D$98)/(('Cálculos'!$D$200+(($C98)-$A$63:$A$108)*'Cálculos'!$D$98)+1400)+'Cálculos'!$D$122)*'Cálculos'!$D$276+'Cálculos'!$D$125*(1+2.78*('Cálculos'!$D$200+(($C98)-$A$63:$A$108)*'Cálculos'!$D$98)/(('Cálculos'!$D$200+(($C98)-$A$63:$A$108)*'Cálculos'!$D$98)+1400)+'Cálculos'!$D$123)*'Cálculos'!$D$281)+('Cálculos'!$D$204*(1+'Cálculos'!$D$205+$A$63:$A$108*('Cálculos'!$D$290=3)*'Cálculos'!$D$103)+'Cálculos'!$D$206)*('Cálculos'!$D$272+'Cálculos'!$D$124*(1+2.78*('Cálculos'!$D$200+(($C98)-$A$63:$A$108)*'Cálculos'!$D$98)/(('Cálculos'!$D$200+(($C98)-$A$63:$A$108)*'Cálculos'!$D$98)+1400)+'Cálculos'!$D$122)*'Cálculos'!$D$277+'Cálculos'!$D$125*(1+2.78*('Cálculos'!$D$200+(($C98)-$A$63:$A$108)*'Cálculos'!$D$98)/(('Cálculos'!$D$200+(($C98)-$A$63:$A$108)*'Cálculos'!$D$98)+1400)+'Cálculos'!$D$123)*'Cálculos'!$D$282)+('Cálculos'!$D$273+'Cálculos'!$D$124*(1+2.78*('Cálculos'!$D$200+(($C98)-$A$63:$A$108)*'Cálculos'!$D$98)/(('Cálculos'!$D$200+(($C98)-$A$63:$A$108)*'Cálculos'!$D$98)+1400)+'Cálculos'!$D$122)*'Cálculos'!$D$278+'Cálculos'!$D$125*(1+2.78*('Cálculos'!$D$200+(($C98)-$A$63:$A$108)*'Cálculos'!$D$98)/(('Cálculos'!$D$200+(($C98)-$A$63:$A$108)*'Cálculos'!$D$98)+1400)+'Cálculos'!$D$123)*'Cálculos'!$D$283)))))</f>
        <v>0</v>
      </c>
      <c r="E98" s="32">
        <f>IF(OR($C98&lt;0,'Cálculos'!$D$6=""),0,$B98*$D98)</f>
        <v>0</v>
      </c>
      <c r="F98" s="2"/>
      <c r="G98" s="30">
        <f>($A98&lt;=$B$110)*($A98&lt;='Cálculos'!$D$294)*(($B$110)-$A98&lt;='Cálculos'!$D$295)*(1+MIN(('Cálculos'!$D$207+$A98*'Cálculos'!$D$95),1)*('Cálculos'!$D$208+(($B$110)-$A98)*'Cálculos'!$D$96))</f>
        <v>0</v>
      </c>
      <c r="H98" s="31">
        <f>IF($B$111&lt;0,0,($A98&lt;=$B$111)*($A98&lt;='Cálculos'!$D$301)*(($B$111)-$A98&lt;='Cálculos'!$D$297)*(('Cálculos'!$D$185*(1+'Cálculos'!$D$186+$A98*('Cálculos'!$D$290=1)*'Cálculos'!$D$97+'Cálculos'!$D$305)+'Cálculos'!$D$191)*('Cálculos'!$D$209+'Cálculos'!$D$124*(1+2.78*('Cálculos'!$D$196+(($B$111)-$A98)*'Cálculos'!$D$98)/(('Cálculos'!$D$196+(($B$111)-$A98)*'Cálculos'!$D$98)+1400)+'Cálculos'!$D$122)*'Cálculos'!$D$214+'Cálculos'!$D$125*(1+2.78*('Cálculos'!$D$196+(($B$111)-$A98)*'Cálculos'!$D$98)/(('Cálculos'!$D$196+(($B$111)-$A98)*'Cálculos'!$D$98)+1400)+'Cálculos'!$D$123)*'Cálculos'!$D$219)+('Cálculos'!$D$196+(($B$111)-$A98)*'Cálculos'!$D$98)*('Cálculos'!$D$210+'Cálculos'!$D$124*(1+2.78*('Cálculos'!$D$196+(($B$111)-$A98)*'Cálculos'!$D$98)/(('Cálculos'!$D$196+(($B$111)-$A98)*'Cálculos'!$D$98)+1400)+'Cálculos'!$D$122)*'Cálculos'!$D$215+'Cálculos'!$D$125*(1+2.78*('Cálculos'!$D$196+(($B$111)-$A98)*'Cálculos'!$D$98)/(('Cálculos'!$D$196+(($B$111)-$A98)*'Cálculos'!$D$98)+1400)+'Cálculos'!$D$123)*'Cálculos'!$D$220)+('Cálculos'!$D$201*(1+'Cálculos'!$D$202+$A98*('Cálculos'!$D$290=2)*'Cálculos'!$D$101)+'Cálculos'!$D$203)*('Cálculos'!$D$211+'Cálculos'!$D$124*(1+2.78*('Cálculos'!$D$196+(($B$111)-$A98)*'Cálculos'!$D$98)/(('Cálculos'!$D$196+(($B$111)-$A98)*'Cálculos'!$D$98)+1400)+'Cálculos'!$D$122)*'Cálculos'!$D$216+'Cálculos'!$D$125*(1+2.78*('Cálculos'!$D$196+(($B$111)-$A98)*'Cálculos'!$D$98)/(('Cálculos'!$D$196+(($B$111)-$A98)*'Cálculos'!$D$98)+1400)+'Cálculos'!$D$123)*'Cálculos'!$D$221)+('Cálculos'!$D$204*(1+'Cálculos'!$D$205+$A98*('Cálculos'!$D$290=3)*'Cálculos'!$D$103)+'Cálculos'!$D$206)*('Cálculos'!$D$212+'Cálculos'!$D$124*(1+2.78*('Cálculos'!$D$196+(($B$111)-$A98)*'Cálculos'!$D$98)/(('Cálculos'!$D$196+(($B$111)-$A98)*'Cálculos'!$D$98)+1400)+'Cálculos'!$D$122)*'Cálculos'!$D$217+'Cálculos'!$D$125*(1+2.78*('Cálculos'!$D$196+(($B$111)-$A98)*'Cálculos'!$D$98)/(('Cálculos'!$D$196+(($B$111)-$A98)*'Cálculos'!$D$98)+1400)+'Cálculos'!$D$123)*'Cálculos'!$D$222)+('Cálculos'!$D$213+'Cálculos'!$D$124*(1+2.78*('Cálculos'!$D$196+(($B$111)-$A98)*'Cálculos'!$D$98)/(('Cálculos'!$D$196+(($B$111)-$A98)*'Cálculos'!$D$98)+1400)+'Cálculos'!$D$122)*'Cálculos'!$D$218+'Cálculos'!$D$125*(1+2.78*('Cálculos'!$D$196+(($B$111)-$A98)*'Cálculos'!$D$98)/(('Cálculos'!$D$196+(($B$111)-$A98)*'Cálculos'!$D$98)+1400)+'Cálculos'!$D$123)*'Cálculos'!$D$223)+('Cálculos'!$D$185*(1+'Cálculos'!$D$187+$A98*('Cálculos'!$D$290=1)*'Cálculos'!$D$97+'Cálculos'!$D$305)+'Cálculos'!$D$192)*('Cálculos'!$D$224+'Cálculos'!$D$124*(1+2.78*('Cálculos'!$D$197+(($B$111)-$A98)*'Cálculos'!$D$98)/(('Cálculos'!$D$197+(($B$111)-$A98)*'Cálculos'!$D$98)+1400)+'Cálculos'!$D$122)*'Cálculos'!$D$229+'Cálculos'!$D$125*(1+2.78*('Cálculos'!$D$197+(($B$111)-$A98)*'Cálculos'!$D$98)/(('Cálculos'!$D$197+(($B$111)-$A98)*'Cálculos'!$D$98)+1400)+'Cálculos'!$D$123)*'Cálculos'!$D$234)+('Cálculos'!$D$197+(($B$111)-$A98)*'Cálculos'!$D$98)*('Cálculos'!$D$225+'Cálculos'!$D$124*(1+2.78*('Cálculos'!$D$197+(($B$111)-$A98)*'Cálculos'!$D$98)/(('Cálculos'!$D$197+(($B$111)-$A98)*'Cálculos'!$D$98)+1400)+'Cálculos'!$D$122)*'Cálculos'!$D$230+'Cálculos'!$D$125*(1+2.78*('Cálculos'!$D$197+(($B$111)-$A98)*'Cálculos'!$D$98)/(('Cálculos'!$D$197+(($B$111)-$A98)*'Cálculos'!$D$98)+1400)+'Cálculos'!$D$123)*'Cálculos'!$D$235)+('Cálculos'!$D$201*(1+'Cálculos'!$D$202+$A98*('Cálculos'!$D$290=2)*'Cálculos'!$D$101)+'Cálculos'!$D$203)*('Cálculos'!$D$226+'Cálculos'!$D$124*(1+2.78*('Cálculos'!$D$197+(($B$111)-$A98)*'Cálculos'!$D$98)/(('Cálculos'!$D$197+(($B$111)-$A98)*'Cálculos'!$D$98)+1400)+'Cálculos'!$D$122)*'Cálculos'!$D$231+'Cálculos'!$D$125*(1+2.78*('Cálculos'!$D$197+(($B$111)-$A98)*'Cálculos'!$D$98)/(('Cálculos'!$D$197+(($B$111)-$A98)*'Cálculos'!$D$98)+1400)+'Cálculos'!$D$123)*'Cálculos'!$D$236)+('Cálculos'!$D$204*(1+'Cálculos'!$D$205+$A98*('Cálculos'!$D$290=3)*'Cálculos'!$D$103)+'Cálculos'!$D$206)*('Cálculos'!$D$227+'Cálculos'!$D$124*(1+2.78*('Cálculos'!$D$197+(($B$111)-$A98)*'Cálculos'!$D$98)/(('Cálculos'!$D$197+(($B$111)-$A98)*'Cálculos'!$D$98)+1400)+'Cálculos'!$D$122)*'Cálculos'!$D$232+'Cálculos'!$D$125*(1+2.78*('Cálculos'!$D$197+(($B$111)-$A98)*'Cálculos'!$D$98)/(('Cálculos'!$D$197+(($B$111)-$A98)*'Cálculos'!$D$98)+1400)+'Cálculos'!$D$123)*'Cálculos'!$D$237)+('Cálculos'!$D$228+'Cálculos'!$D$124*(1+2.78*('Cálculos'!$D$197+(($B$111)-$A98)*'Cálculos'!$D$98)/(('Cálculos'!$D$197+(($B$111)-$A98)*'Cálculos'!$D$98)+1400)+'Cálculos'!$D$122)*'Cálculos'!$D$233+'Cálculos'!$D$125*(1+2.78*('Cálculos'!$D$197+(($B$111)-$A98)*'Cálculos'!$D$98)/(('Cálculos'!$D$197+(($B$111)-$A98)*'Cálculos'!$D$98)+1400)+'Cálculos'!$D$123)*'Cálculos'!$D$238)+('Cálculos'!$D$185*(1+'Cálculos'!$D$188+$A98*('Cálculos'!$D$290=1)*'Cálculos'!$D$97+'Cálculos'!$D$305)+'Cálculos'!$D$193)*('Cálculos'!$D$239+'Cálculos'!$D$124*(1+2.78*('Cálculos'!$D$198+(($B$111)-$A98)*'Cálculos'!$D$98)/(('Cálculos'!$D$198+(($B$111)-$A98)*'Cálculos'!$D$98)+1400)+'Cálculos'!$D$122)*'Cálculos'!$D$244+'Cálculos'!$D$125*(1+2.78*('Cálculos'!$D$198+(($B$111)-$A98)*'Cálculos'!$D$98)/(('Cálculos'!$D$198+(($B$111)-$A98)*'Cálculos'!$D$98)+1400)+'Cálculos'!$D$123)*'Cálculos'!$D$249)+('Cálculos'!$D$198+(($B$111)-$A98)*'Cálculos'!$D$98)*('Cálculos'!$D$240+'Cálculos'!$D$124*(1+2.78*('Cálculos'!$D$198+(($B$111)-$A98)*'Cálculos'!$D$98)/(('Cálculos'!$D$198+(($B$111)-$A98)*'Cálculos'!$D$98)+1400)+'Cálculos'!$D$122)*'Cálculos'!$D$245+'Cálculos'!$D$125*(1+2.78*('Cálculos'!$D$198+(($B$111)-$A98)*'Cálculos'!$D$98)/(('Cálculos'!$D$198+(($B$111)-$A98)*'Cálculos'!$D$98)+1400)+'Cálculos'!$D$123)*'Cálculos'!$D$250)+('Cálculos'!$D$201*(1+'Cálculos'!$D$202+$A98*('Cálculos'!$D$290=2)*'Cálculos'!$D$101)+'Cálculos'!$D$203)*('Cálculos'!$D$241+'Cálculos'!$D$124*(1+2.78*('Cálculos'!$D$198+(($B$111)-$A98)*'Cálculos'!$D$98)/(('Cálculos'!$D$198+(($B$111)-$A98)*'Cálculos'!$D$98)+1400)+'Cálculos'!$D$122)*'Cálculos'!$D$246+'Cálculos'!$D$125*(1+2.78*('Cálculos'!$D$198+(($B$111)-$A98)*'Cálculos'!$D$98)/(('Cálculos'!$D$198+(($B$111)-$A98)*'Cálculos'!$D$98)+1400)+'Cálculos'!$D$123)*'Cálculos'!$D$251)+('Cálculos'!$D$204*(1+'Cálculos'!$D$205+$A98*('Cálculos'!$D$290=3)*'Cálculos'!$D$103)+'Cálculos'!$D$206)*('Cálculos'!$D$242+'Cálculos'!$D$124*(1+2.78*('Cálculos'!$D$198+(($B$111)-$A98)*'Cálculos'!$D$98)/(('Cálculos'!$D$198+(($B$111)-$A98)*'Cálculos'!$D$98)+1400)+'Cálculos'!$D$122)*'Cálculos'!$D$247+'Cálculos'!$D$125*(1+2.78*('Cálculos'!$D$198+(($B$111)-$A98)*'Cálculos'!$D$98)/(('Cálculos'!$D$198+(($B$111)-$A98)*'Cálculos'!$D$98)+1400)+'Cálculos'!$D$123)*'Cálculos'!$D$252)+('Cálculos'!$D$243+'Cálculos'!$D$124*(1+2.78*('Cálculos'!$D$198+(($B$111)-$A98)*'Cálculos'!$D$98)/(('Cálculos'!$D$198+(($B$111)-$A98)*'Cálculos'!$D$98)+1400)+'Cálculos'!$D$122)*'Cálculos'!$D$248+'Cálculos'!$D$125*(1+2.78*('Cálculos'!$D$198+(($B$111)-$A98)*'Cálculos'!$D$98)/(('Cálculos'!$D$198+(($B$111)-$A98)*'Cálculos'!$D$98)+1400)+'Cálculos'!$D$123)*'Cálculos'!$D$253)+('Cálculos'!$D$185*(1+'Cálculos'!$D$189+$A98*('Cálculos'!$D$290=1)*'Cálculos'!$D$97+'Cálculos'!$D$305)+'Cálculos'!$D$194)*('Cálculos'!$D$254+'Cálculos'!$D$124*(1+2.78*('Cálculos'!$D$199+(($B$111)-$A98)*'Cálculos'!$D$98)/(('Cálculos'!$D$199+(($B$111)-$A98)*'Cálculos'!$D$98)+1400)+'Cálculos'!$D$122)*'Cálculos'!$D$259+'Cálculos'!$D$125*(1+2.78*('Cálculos'!$D$199+(($B$111)-$A98)*'Cálculos'!$D$98)/(('Cálculos'!$D$199+(($B$111)-$A98)*'Cálculos'!$D$98)+1400)+'Cálculos'!$D$123)*'Cálculos'!$D$264)+('Cálculos'!$D$199+(($B$111)-$A98)*'Cálculos'!$D$98)*('Cálculos'!$D$255+'Cálculos'!$D$124*(1+2.78*('Cálculos'!$D$199+(($B$111)-$A98)*'Cálculos'!$D$98)/(('Cálculos'!$D$199+(($B$111)-$A98)*'Cálculos'!$D$98)+1400)+'Cálculos'!$D$122)*'Cálculos'!$D$260+'Cálculos'!$D$125*(1+2.78*('Cálculos'!$D$199+(($B$111)-$A98)*'Cálculos'!$D$98)/(('Cálculos'!$D$199+(($B$111)-$A98)*'Cálculos'!$D$98)+1400)+'Cálculos'!$D$123)*'Cálculos'!$D$265)+('Cálculos'!$D$201*(1+'Cálculos'!$D$202+$A98*('Cálculos'!$D$290=2)*'Cálculos'!$D$101)+'Cálculos'!$D$203)*('Cálculos'!$D$256+'Cálculos'!$D$124*(1+2.78*('Cálculos'!$D$199+(($B$111)-$A98)*'Cálculos'!$D$98)/(('Cálculos'!$D$199+(($B$111)-$A98)*'Cálculos'!$D$98)+1400)+'Cálculos'!$D$122)*'Cálculos'!$D$261+'Cálculos'!$D$125*(1+2.78*('Cálculos'!$D$199+(($B$111)-$A98)*'Cálculos'!$D$98)/(('Cálculos'!$D$199+(($B$111)-$A98)*'Cálculos'!$D$98)+1400)+'Cálculos'!$D$123)*'Cálculos'!$D$266)+('Cálculos'!$D$204*(1+'Cálculos'!$D$205+$A98*('Cálculos'!$D$290=3)*'Cálculos'!$D$103)+'Cálculos'!$D$206)*('Cálculos'!$D$257+'Cálculos'!$D$124*(1+2.78*('Cálculos'!$D$199+(($B$111)-$A98)*'Cálculos'!$D$98)/(('Cálculos'!$D$199+(($B$111)-$A98)*'Cálculos'!$D$98)+1400)+'Cálculos'!$D$122)*'Cálculos'!$D$262+'Cálculos'!$D$125*(1+2.78*('Cálculos'!$D$199+(($B$111)-$A98)*'Cálculos'!$D$98)/(('Cálculos'!$D$199+(($B$111)-$A98)*'Cálculos'!$D$98)+1400)+'Cálculos'!$D$123)*'Cálculos'!$D$267)+('Cálculos'!$D$258+'Cálculos'!$D$124*(1+2.78*('Cálculos'!$D$199+(($B$111)-$A98)*'Cálculos'!$D$98)/(('Cálculos'!$D$199+(($B$111)-$A98)*'Cálculos'!$D$98)+1400)+'Cálculos'!$D$122)*'Cálculos'!$D$263+'Cálculos'!$D$125*(1+2.78*('Cálculos'!$D$199+(($B$111)-$A98)*'Cálculos'!$D$98)/(('Cálculos'!$D$199+(($B$111)-$A98)*'Cálculos'!$D$98)+1400)+'Cálculos'!$D$123)*'Cálculos'!$D$268)+('Cálculos'!$D$185*(1+'Cálculos'!$D$190+$A98*('Cálculos'!$D$290=1)*'Cálculos'!$D$97+'Cálculos'!$D$305)+'Cálculos'!$D$195)*('Cálculos'!$D$269+'Cálculos'!$D$124*(1+2.78*('Cálculos'!$D$200+(($B$111)-$A98)*'Cálculos'!$D$98)/(('Cálculos'!$D$200+(($B$111)-$A98)*'Cálculos'!$D$98)+1400)+'Cálculos'!$D$122)*'Cálculos'!$D$274+'Cálculos'!$D$125*(1+2.78*('Cálculos'!$D$200+(($B$111)-$A98)*'Cálculos'!$D$98)/(('Cálculos'!$D$200+(($B$111)-$A98)*'Cálculos'!$D$98)+1400)+'Cálculos'!$D$123)*'Cálculos'!$D$279)+('Cálculos'!$D$200+(($B$111)-$A98)*'Cálculos'!$D$98)*('Cálculos'!$D$270+'Cálculos'!$D$124*(1+2.78*('Cálculos'!$D$200+(($B$111)-$A98)*'Cálculos'!$D$98)/(('Cálculos'!$D$200+(($B$111)-$A98)*'Cálculos'!$D$98)+1400)+'Cálculos'!$D$122)*'Cálculos'!$D$275+'Cálculos'!$D$125*(1+2.78*('Cálculos'!$D$200+(($B$111)-$A98)*'Cálculos'!$D$98)/(('Cálculos'!$D$200+(($B$111)-$A98)*'Cálculos'!$D$98)+1400)+'Cálculos'!$D$123)*'Cálculos'!$D$280)+('Cálculos'!$D$201*(1+'Cálculos'!$D$202+$A98*('Cálculos'!$D$290=2)*'Cálculos'!$D$101)+'Cálculos'!$D$203)*('Cálculos'!$D$271+'Cálculos'!$D$124*(1+2.78*('Cálculos'!$D$200+(($B$111)-$A98)*'Cálculos'!$D$98)/(('Cálculos'!$D$200+(($B$111)-$A98)*'Cálculos'!$D$98)+1400)+'Cálculos'!$D$122)*'Cálculos'!$D$276+'Cálculos'!$D$125*(1+2.78*('Cálculos'!$D$200+(($B$111)-$A98)*'Cálculos'!$D$98)/(('Cálculos'!$D$200+(($B$111)-$A98)*'Cálculos'!$D$98)+1400)+'Cálculos'!$D$123)*'Cálculos'!$D$281)+('Cálculos'!$D$204*(1+'Cálculos'!$D$205+$A98*('Cálculos'!$D$290=3)*'Cálculos'!$D$103)+'Cálculos'!$D$206)*('Cálculos'!$D$272+'Cálculos'!$D$124*(1+2.78*('Cálculos'!$D$200+(($B$111)-$A98)*'Cálculos'!$D$98)/(('Cálculos'!$D$200+(($B$111)-$A98)*'Cálculos'!$D$98)+1400)+'Cálculos'!$D$122)*'Cálculos'!$D$277+'Cálculos'!$D$125*(1+2.78*('Cálculos'!$D$200+(($B$111)-$A98)*'Cálculos'!$D$98)/(('Cálculos'!$D$200+(($B$111)-$A98)*'Cálculos'!$D$98)+1400)+'Cálculos'!$D$123)*'Cálculos'!$D$282)+('Cálculos'!$D$273+'Cálculos'!$D$124*(1+2.78*('Cálculos'!$D$200+(($B$111)-$A98)*'Cálculos'!$D$98)/(('Cálculos'!$D$200+(($B$111)-$A98)*'Cálculos'!$D$98)+1400)+'Cálculos'!$D$122)*'Cálculos'!$D$278+'Cálculos'!$D$125*(1+2.78*('Cálculos'!$D$200+(($B$111)-$A98)*'Cálculos'!$D$98)/(('Cálculos'!$D$200+(($B$111)-$A98)*'Cálculos'!$D$98)+1400)+'Cálculos'!$D$123)*'Cálculos'!$D$283)))</f>
        <v>0</v>
      </c>
    </row>
    <row r="99" ht="15.75" customHeight="1">
      <c r="A99" s="2">
        <v>36.0</v>
      </c>
      <c r="B99" s="30">
        <f>SUMPRODUCT(MAX(($A$63:$A$108&lt;=$A99)*($A$63:$A$108&lt;='Cálculos'!$D$294)*(($A99)-$A$63:$A$108&lt;='Cálculos'!$D$295)*(1+(('Cálculos'!$D$207+$A$63:$A$108*'Cálculos'!$D$95)-(('Cálculos'!$D$207+$A$63:$A$108*'Cálculos'!$D$95)&gt;1)*(('Cálculos'!$D$207+$A$63:$A$108*'Cálculos'!$D$95)-1))*('Cálculos'!$D$208+(($A99)-$A$63:$A$108)*'Cálculos'!$D$96))))</f>
        <v>2.365914716</v>
      </c>
      <c r="C99" s="2">
        <f>'Cálculos'!$D$303-$A99</f>
        <v>-25</v>
      </c>
      <c r="D99" s="31">
        <f>IF($C99&lt;0,0,SUMPRODUCT(MAX(($A$63:$A$108&lt;=$C99)*($A$63:$A$108&lt;='Cálculos'!$D$301)*(($C99)-$A$63:$A$108&lt;='Cálculos'!$D$297)*(('Cálculos'!$D$185*(1+'Cálculos'!$D$186+$A$63:$A$108*('Cálculos'!$D$290=1)*'Cálculos'!$D$97+'Cálculos'!$D$305)+'Cálculos'!$D$191)*('Cálculos'!$D$209+'Cálculos'!$D$124*(1+2.78*('Cálculos'!$D$196+(($C99)-$A$63:$A$108)*'Cálculos'!$D$98)/(('Cálculos'!$D$196+(($C99)-$A$63:$A$108)*'Cálculos'!$D$98)+1400)+'Cálculos'!$D$122)*'Cálculos'!$D$214+'Cálculos'!$D$125*(1+2.78*('Cálculos'!$D$196+(($C99)-$A$63:$A$108)*'Cálculos'!$D$98)/(('Cálculos'!$D$196+(($C99)-$A$63:$A$108)*'Cálculos'!$D$98)+1400)+'Cálculos'!$D$123)*'Cálculos'!$D$219)+('Cálculos'!$D$196+(($C99)-$A$63:$A$108)*'Cálculos'!$D$98)*('Cálculos'!$D$210+'Cálculos'!$D$124*(1+2.78*('Cálculos'!$D$196+(($C99)-$A$63:$A$108)*'Cálculos'!$D$98)/(('Cálculos'!$D$196+(($C99)-$A$63:$A$108)*'Cálculos'!$D$98)+1400)+'Cálculos'!$D$122)*'Cálculos'!$D$215+'Cálculos'!$D$125*(1+2.78*('Cálculos'!$D$196+(($C99)-$A$63:$A$108)*'Cálculos'!$D$98)/(('Cálculos'!$D$196+(($C99)-$A$63:$A$108)*'Cálculos'!$D$98)+1400)+'Cálculos'!$D$123)*'Cálculos'!$D$220)+('Cálculos'!$D$201*(1+'Cálculos'!$D$202+$A$63:$A$108*('Cálculos'!$D$290=2)*'Cálculos'!$D$101)+'Cálculos'!$D$203)*('Cálculos'!$D$211+'Cálculos'!$D$124*(1+2.78*('Cálculos'!$D$196+(($C99)-$A$63:$A$108)*'Cálculos'!$D$98)/(('Cálculos'!$D$196+(($C99)-$A$63:$A$108)*'Cálculos'!$D$98)+1400)+'Cálculos'!$D$122)*'Cálculos'!$D$216+'Cálculos'!$D$125*(1+2.78*('Cálculos'!$D$196+(($C99)-$A$63:$A$108)*'Cálculos'!$D$98)/(('Cálculos'!$D$196+(($C99)-$A$63:$A$108)*'Cálculos'!$D$98)+1400)+'Cálculos'!$D$123)*'Cálculos'!$D$221)+('Cálculos'!$D$204*(1+'Cálculos'!$D$205+$A$63:$A$108*('Cálculos'!$D$290=3)*'Cálculos'!$D$103)+'Cálculos'!$D$206)*('Cálculos'!$D$212+'Cálculos'!$D$124*(1+2.78*('Cálculos'!$D$196+(($C99)-$A$63:$A$108)*'Cálculos'!$D$98)/(('Cálculos'!$D$196+(($C99)-$A$63:$A$108)*'Cálculos'!$D$98)+1400)+'Cálculos'!$D$122)*'Cálculos'!$D$217+'Cálculos'!$D$125*(1+2.78*('Cálculos'!$D$196+(($C99)-$A$63:$A$108)*'Cálculos'!$D$98)/(('Cálculos'!$D$196+(($C99)-$A$63:$A$108)*'Cálculos'!$D$98)+1400)+'Cálculos'!$D$123)*'Cálculos'!$D$222)+('Cálculos'!$D$213+'Cálculos'!$D$124*(1+2.78*('Cálculos'!$D$196+(($C99)-$A$63:$A$108)*'Cálculos'!$D$98)/(('Cálculos'!$D$196+(($C99)-$A$63:$A$108)*'Cálculos'!$D$98)+1400)+'Cálculos'!$D$122)*'Cálculos'!$D$218+'Cálculos'!$D$125*(1+2.78*('Cálculos'!$D$196+(($C99)-$A$63:$A$108)*'Cálculos'!$D$98)/(('Cálculos'!$D$196+(($C99)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99)-$A$63:$A$108)*'Cálculos'!$D$98)/(('Cálculos'!$D$197+(($C99)-$A$63:$A$108)*'Cálculos'!$D$98)+1400)+'Cálculos'!$D$122)*'Cálculos'!$D$229+'Cálculos'!$D$125*(1+2.78*('Cálculos'!$D$197+(($C99)-$A$63:$A$108)*'Cálculos'!$D$98)/(('Cálculos'!$D$197+(($C99)-$A$63:$A$108)*'Cálculos'!$D$98)+1400)+'Cálculos'!$D$123)*'Cálculos'!$D$234)+('Cálculos'!$D$197+(($C99)-$A$63:$A$108)*'Cálculos'!$D$98)*('Cálculos'!$D$225+'Cálculos'!$D$124*(1+2.78*('Cálculos'!$D$197+(($C99)-$A$63:$A$108)*'Cálculos'!$D$98)/(('Cálculos'!$D$197+(($C99)-$A$63:$A$108)*'Cálculos'!$D$98)+1400)+'Cálculos'!$D$122)*'Cálculos'!$D$230+'Cálculos'!$D$125*(1+2.78*('Cálculos'!$D$197+(($C99)-$A$63:$A$108)*'Cálculos'!$D$98)/(('Cálculos'!$D$197+(($C99)-$A$63:$A$108)*'Cálculos'!$D$98)+1400)+'Cálculos'!$D$123)*'Cálculos'!$D$235)+('Cálculos'!$D$201*(1+'Cálculos'!$D$202+$A$63:$A$108*('Cálculos'!$D$290=2)*'Cálculos'!$D$101)+'Cálculos'!$D$203)*('Cálculos'!$D$226+'Cálculos'!$D$124*(1+2.78*('Cálculos'!$D$197+(($C99)-$A$63:$A$108)*'Cálculos'!$D$98)/(('Cálculos'!$D$197+(($C99)-$A$63:$A$108)*'Cálculos'!$D$98)+1400)+'Cálculos'!$D$122)*'Cálculos'!$D$231+'Cálculos'!$D$125*(1+2.78*('Cálculos'!$D$197+(($C99)-$A$63:$A$108)*'Cálculos'!$D$98)/(('Cálculos'!$D$197+(($C99)-$A$63:$A$108)*'Cálculos'!$D$98)+1400)+'Cálculos'!$D$123)*'Cálculos'!$D$236)+('Cálculos'!$D$204*(1+'Cálculos'!$D$205+$A$63:$A$108*('Cálculos'!$D$290=3)*'Cálculos'!$D$103)+'Cálculos'!$D$206)*('Cálculos'!$D$227+'Cálculos'!$D$124*(1+2.78*('Cálculos'!$D$197+(($C99)-$A$63:$A$108)*'Cálculos'!$D$98)/(('Cálculos'!$D$197+(($C99)-$A$63:$A$108)*'Cálculos'!$D$98)+1400)+'Cálculos'!$D$122)*'Cálculos'!$D$232+'Cálculos'!$D$125*(1+2.78*('Cálculos'!$D$197+(($C99)-$A$63:$A$108)*'Cálculos'!$D$98)/(('Cálculos'!$D$197+(($C99)-$A$63:$A$108)*'Cálculos'!$D$98)+1400)+'Cálculos'!$D$123)*'Cálculos'!$D$237)+('Cálculos'!$D$228+'Cálculos'!$D$124*(1+2.78*('Cálculos'!$D$197+(($C99)-$A$63:$A$108)*'Cálculos'!$D$98)/(('Cálculos'!$D$197+(($C99)-$A$63:$A$108)*'Cálculos'!$D$98)+1400)+'Cálculos'!$D$122)*'Cálculos'!$D$233+'Cálculos'!$D$125*(1+2.78*('Cálculos'!$D$197+(($C99)-$A$63:$A$108)*'Cálculos'!$D$98)/(('Cálculos'!$D$197+(($C99)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99)-$A$63:$A$108)*'Cálculos'!$D$98)/(('Cálculos'!$D$198+(($C99)-$A$63:$A$108)*'Cálculos'!$D$98)+1400)+'Cálculos'!$D$122)*'Cálculos'!$D$244+'Cálculos'!$D$125*(1+2.78*('Cálculos'!$D$198+(($C99)-$A$63:$A$108)*'Cálculos'!$D$98)/(('Cálculos'!$D$198+(($C99)-$A$63:$A$108)*'Cálculos'!$D$98)+1400)+'Cálculos'!$D$123)*'Cálculos'!$D$249)+('Cálculos'!$D$198+(($C99)-$A$63:$A$108)*'Cálculos'!$D$98)*('Cálculos'!$D$240+'Cálculos'!$D$124*(1+2.78*('Cálculos'!$D$198+(($C99)-$A$63:$A$108)*'Cálculos'!$D$98)/(('Cálculos'!$D$198+(($C99)-$A$63:$A$108)*'Cálculos'!$D$98)+1400)+'Cálculos'!$D$122)*'Cálculos'!$D$245+'Cálculos'!$D$125*(1+2.78*('Cálculos'!$D$198+(($C99)-$A$63:$A$108)*'Cálculos'!$D$98)/(('Cálculos'!$D$198+(($C99)-$A$63:$A$108)*'Cálculos'!$D$98)+1400)+'Cálculos'!$D$123)*'Cálculos'!$D$250)+('Cálculos'!$D$201*(1+'Cálculos'!$D$202+$A$63:$A$108*('Cálculos'!$D$290=2)*'Cálculos'!$D$101)+'Cálculos'!$D$203)*('Cálculos'!$D$241+'Cálculos'!$D$124*(1+2.78*('Cálculos'!$D$198+(($C99)-$A$63:$A$108)*'Cálculos'!$D$98)/(('Cálculos'!$D$198+(($C99)-$A$63:$A$108)*'Cálculos'!$D$98)+1400)+'Cálculos'!$D$122)*'Cálculos'!$D$246+'Cálculos'!$D$125*(1+2.78*('Cálculos'!$D$198+(($C99)-$A$63:$A$108)*'Cálculos'!$D$98)/(('Cálculos'!$D$198+(($C99)-$A$63:$A$108)*'Cálculos'!$D$98)+1400)+'Cálculos'!$D$123)*'Cálculos'!$D$251)+('Cálculos'!$D$204*(1+'Cálculos'!$D$205+$A$63:$A$108*('Cálculos'!$D$290=3)*'Cálculos'!$D$103)+'Cálculos'!$D$206)*('Cálculos'!$D$242+'Cálculos'!$D$124*(1+2.78*('Cálculos'!$D$198+(($C99)-$A$63:$A$108)*'Cálculos'!$D$98)/(('Cálculos'!$D$198+(($C99)-$A$63:$A$108)*'Cálculos'!$D$98)+1400)+'Cálculos'!$D$122)*'Cálculos'!$D$247+'Cálculos'!$D$125*(1+2.78*('Cálculos'!$D$198+(($C99)-$A$63:$A$108)*'Cálculos'!$D$98)/(('Cálculos'!$D$198+(($C99)-$A$63:$A$108)*'Cálculos'!$D$98)+1400)+'Cálculos'!$D$123)*'Cálculos'!$D$252)+('Cálculos'!$D$243+'Cálculos'!$D$124*(1+2.78*('Cálculos'!$D$198+(($C99)-$A$63:$A$108)*'Cálculos'!$D$98)/(('Cálculos'!$D$198+(($C99)-$A$63:$A$108)*'Cálculos'!$D$98)+1400)+'Cálculos'!$D$122)*'Cálculos'!$D$248+'Cálculos'!$D$125*(1+2.78*('Cálculos'!$D$198+(($C99)-$A$63:$A$108)*'Cálculos'!$D$98)/(('Cálculos'!$D$198+(($C99)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99)-$A$63:$A$108)*'Cálculos'!$D$98)/(('Cálculos'!$D$199+(($C99)-$A$63:$A$108)*'Cálculos'!$D$98)+1400)+'Cálculos'!$D$122)*'Cálculos'!$D$259+'Cálculos'!$D$125*(1+2.78*('Cálculos'!$D$199+(($C99)-$A$63:$A$108)*'Cálculos'!$D$98)/(('Cálculos'!$D$199+(($C99)-$A$63:$A$108)*'Cálculos'!$D$98)+1400)+'Cálculos'!$D$123)*'Cálculos'!$D$264)+('Cálculos'!$D$199+(($C99)-$A$63:$A$108)*'Cálculos'!$D$98)*('Cálculos'!$D$255+'Cálculos'!$D$124*(1+2.78*('Cálculos'!$D$199+(($C99)-$A$63:$A$108)*'Cálculos'!$D$98)/(('Cálculos'!$D$199+(($C99)-$A$63:$A$108)*'Cálculos'!$D$98)+1400)+'Cálculos'!$D$122)*'Cálculos'!$D$260+'Cálculos'!$D$125*(1+2.78*('Cálculos'!$D$199+(($C99)-$A$63:$A$108)*'Cálculos'!$D$98)/(('Cálculos'!$D$199+(($C99)-$A$63:$A$108)*'Cálculos'!$D$98)+1400)+'Cálculos'!$D$123)*'Cálculos'!$D$265)+('Cálculos'!$D$201*(1+'Cálculos'!$D$202+$A$63:$A$108*('Cálculos'!$D$290=2)*'Cálculos'!$D$101)+'Cálculos'!$D$203)*('Cálculos'!$D$256+'Cálculos'!$D$124*(1+2.78*('Cálculos'!$D$199+(($C99)-$A$63:$A$108)*'Cálculos'!$D$98)/(('Cálculos'!$D$199+(($C99)-$A$63:$A$108)*'Cálculos'!$D$98)+1400)+'Cálculos'!$D$122)*'Cálculos'!$D$261+'Cálculos'!$D$125*(1+2.78*('Cálculos'!$D$199+(($C99)-$A$63:$A$108)*'Cálculos'!$D$98)/(('Cálculos'!$D$199+(($C99)-$A$63:$A$108)*'Cálculos'!$D$98)+1400)+'Cálculos'!$D$123)*'Cálculos'!$D$266)+('Cálculos'!$D$204*(1+'Cálculos'!$D$205+$A$63:$A$108*('Cálculos'!$D$290=3)*'Cálculos'!$D$103)+'Cálculos'!$D$206)*('Cálculos'!$D$257+'Cálculos'!$D$124*(1+2.78*('Cálculos'!$D$199+(($C99)-$A$63:$A$108)*'Cálculos'!$D$98)/(('Cálculos'!$D$199+(($C99)-$A$63:$A$108)*'Cálculos'!$D$98)+1400)+'Cálculos'!$D$122)*'Cálculos'!$D$262+'Cálculos'!$D$125*(1+2.78*('Cálculos'!$D$199+(($C99)-$A$63:$A$108)*'Cálculos'!$D$98)/(('Cálculos'!$D$199+(($C99)-$A$63:$A$108)*'Cálculos'!$D$98)+1400)+'Cálculos'!$D$123)*'Cálculos'!$D$267)+('Cálculos'!$D$258+'Cálculos'!$D$124*(1+2.78*('Cálculos'!$D$199+(($C99)-$A$63:$A$108)*'Cálculos'!$D$98)/(('Cálculos'!$D$199+(($C99)-$A$63:$A$108)*'Cálculos'!$D$98)+1400)+'Cálculos'!$D$122)*'Cálculos'!$D$263+'Cálculos'!$D$125*(1+2.78*('Cálculos'!$D$199+(($C99)-$A$63:$A$108)*'Cálculos'!$D$98)/(('Cálculos'!$D$199+(($C99)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99)-$A$63:$A$108)*'Cálculos'!$D$98)/(('Cálculos'!$D$200+(($C99)-$A$63:$A$108)*'Cálculos'!$D$98)+1400)+'Cálculos'!$D$122)*'Cálculos'!$D$274+'Cálculos'!$D$125*(1+2.78*('Cálculos'!$D$200+(($C99)-$A$63:$A$108)*'Cálculos'!$D$98)/(('Cálculos'!$D$200+(($C99)-$A$63:$A$108)*'Cálculos'!$D$98)+1400)+'Cálculos'!$D$123)*'Cálculos'!$D$279)+('Cálculos'!$D$200+(($C99)-$A$63:$A$108)*'Cálculos'!$D$98)*('Cálculos'!$D$270+'Cálculos'!$D$124*(1+2.78*('Cálculos'!$D$200+(($C99)-$A$63:$A$108)*'Cálculos'!$D$98)/(('Cálculos'!$D$200+(($C99)-$A$63:$A$108)*'Cálculos'!$D$98)+1400)+'Cálculos'!$D$122)*'Cálculos'!$D$275+'Cálculos'!$D$125*(1+2.78*('Cálculos'!$D$200+(($C99)-$A$63:$A$108)*'Cálculos'!$D$98)/(('Cálculos'!$D$200+(($C99)-$A$63:$A$108)*'Cálculos'!$D$98)+1400)+'Cálculos'!$D$123)*'Cálculos'!$D$280)+('Cálculos'!$D$201*(1+'Cálculos'!$D$202+$A$63:$A$108*('Cálculos'!$D$290=2)*'Cálculos'!$D$101)+'Cálculos'!$D$203)*('Cálculos'!$D$271+'Cálculos'!$D$124*(1+2.78*('Cálculos'!$D$200+(($C99)-$A$63:$A$108)*'Cálculos'!$D$98)/(('Cálculos'!$D$200+(($C99)-$A$63:$A$108)*'Cálculos'!$D$98)+1400)+'Cálculos'!$D$122)*'Cálculos'!$D$276+'Cálculos'!$D$125*(1+2.78*('Cálculos'!$D$200+(($C99)-$A$63:$A$108)*'Cálculos'!$D$98)/(('Cálculos'!$D$200+(($C99)-$A$63:$A$108)*'Cálculos'!$D$98)+1400)+'Cálculos'!$D$123)*'Cálculos'!$D$281)+('Cálculos'!$D$204*(1+'Cálculos'!$D$205+$A$63:$A$108*('Cálculos'!$D$290=3)*'Cálculos'!$D$103)+'Cálculos'!$D$206)*('Cálculos'!$D$272+'Cálculos'!$D$124*(1+2.78*('Cálculos'!$D$200+(($C99)-$A$63:$A$108)*'Cálculos'!$D$98)/(('Cálculos'!$D$200+(($C99)-$A$63:$A$108)*'Cálculos'!$D$98)+1400)+'Cálculos'!$D$122)*'Cálculos'!$D$277+'Cálculos'!$D$125*(1+2.78*('Cálculos'!$D$200+(($C99)-$A$63:$A$108)*'Cálculos'!$D$98)/(('Cálculos'!$D$200+(($C99)-$A$63:$A$108)*'Cálculos'!$D$98)+1400)+'Cálculos'!$D$123)*'Cálculos'!$D$282)+('Cálculos'!$D$273+'Cálculos'!$D$124*(1+2.78*('Cálculos'!$D$200+(($C99)-$A$63:$A$108)*'Cálculos'!$D$98)/(('Cálculos'!$D$200+(($C99)-$A$63:$A$108)*'Cálculos'!$D$98)+1400)+'Cálculos'!$D$122)*'Cálculos'!$D$278+'Cálculos'!$D$125*(1+2.78*('Cálculos'!$D$200+(($C99)-$A$63:$A$108)*'Cálculos'!$D$98)/(('Cálculos'!$D$200+(($C99)-$A$63:$A$108)*'Cálculos'!$D$98)+1400)+'Cálculos'!$D$123)*'Cálculos'!$D$283)))))</f>
        <v>0</v>
      </c>
      <c r="E99" s="32">
        <f>IF(OR($C99&lt;0,'Cálculos'!$D$6=""),0,$B99*$D99)</f>
        <v>0</v>
      </c>
      <c r="F99" s="2"/>
      <c r="G99" s="30">
        <f>($A99&lt;=$B$110)*($A99&lt;='Cálculos'!$D$294)*(($B$110)-$A99&lt;='Cálculos'!$D$295)*(1+MIN(('Cálculos'!$D$207+$A99*'Cálculos'!$D$95),1)*('Cálculos'!$D$208+(($B$110)-$A99)*'Cálculos'!$D$96))</f>
        <v>0</v>
      </c>
      <c r="H99" s="31">
        <f>IF($B$111&lt;0,0,($A99&lt;=$B$111)*($A99&lt;='Cálculos'!$D$301)*(($B$111)-$A99&lt;='Cálculos'!$D$297)*(('Cálculos'!$D$185*(1+'Cálculos'!$D$186+$A99*('Cálculos'!$D$290=1)*'Cálculos'!$D$97+'Cálculos'!$D$305)+'Cálculos'!$D$191)*('Cálculos'!$D$209+'Cálculos'!$D$124*(1+2.78*('Cálculos'!$D$196+(($B$111)-$A99)*'Cálculos'!$D$98)/(('Cálculos'!$D$196+(($B$111)-$A99)*'Cálculos'!$D$98)+1400)+'Cálculos'!$D$122)*'Cálculos'!$D$214+'Cálculos'!$D$125*(1+2.78*('Cálculos'!$D$196+(($B$111)-$A99)*'Cálculos'!$D$98)/(('Cálculos'!$D$196+(($B$111)-$A99)*'Cálculos'!$D$98)+1400)+'Cálculos'!$D$123)*'Cálculos'!$D$219)+('Cálculos'!$D$196+(($B$111)-$A99)*'Cálculos'!$D$98)*('Cálculos'!$D$210+'Cálculos'!$D$124*(1+2.78*('Cálculos'!$D$196+(($B$111)-$A99)*'Cálculos'!$D$98)/(('Cálculos'!$D$196+(($B$111)-$A99)*'Cálculos'!$D$98)+1400)+'Cálculos'!$D$122)*'Cálculos'!$D$215+'Cálculos'!$D$125*(1+2.78*('Cálculos'!$D$196+(($B$111)-$A99)*'Cálculos'!$D$98)/(('Cálculos'!$D$196+(($B$111)-$A99)*'Cálculos'!$D$98)+1400)+'Cálculos'!$D$123)*'Cálculos'!$D$220)+('Cálculos'!$D$201*(1+'Cálculos'!$D$202+$A99*('Cálculos'!$D$290=2)*'Cálculos'!$D$101)+'Cálculos'!$D$203)*('Cálculos'!$D$211+'Cálculos'!$D$124*(1+2.78*('Cálculos'!$D$196+(($B$111)-$A99)*'Cálculos'!$D$98)/(('Cálculos'!$D$196+(($B$111)-$A99)*'Cálculos'!$D$98)+1400)+'Cálculos'!$D$122)*'Cálculos'!$D$216+'Cálculos'!$D$125*(1+2.78*('Cálculos'!$D$196+(($B$111)-$A99)*'Cálculos'!$D$98)/(('Cálculos'!$D$196+(($B$111)-$A99)*'Cálculos'!$D$98)+1400)+'Cálculos'!$D$123)*'Cálculos'!$D$221)+('Cálculos'!$D$204*(1+'Cálculos'!$D$205+$A99*('Cálculos'!$D$290=3)*'Cálculos'!$D$103)+'Cálculos'!$D$206)*('Cálculos'!$D$212+'Cálculos'!$D$124*(1+2.78*('Cálculos'!$D$196+(($B$111)-$A99)*'Cálculos'!$D$98)/(('Cálculos'!$D$196+(($B$111)-$A99)*'Cálculos'!$D$98)+1400)+'Cálculos'!$D$122)*'Cálculos'!$D$217+'Cálculos'!$D$125*(1+2.78*('Cálculos'!$D$196+(($B$111)-$A99)*'Cálculos'!$D$98)/(('Cálculos'!$D$196+(($B$111)-$A99)*'Cálculos'!$D$98)+1400)+'Cálculos'!$D$123)*'Cálculos'!$D$222)+('Cálculos'!$D$213+'Cálculos'!$D$124*(1+2.78*('Cálculos'!$D$196+(($B$111)-$A99)*'Cálculos'!$D$98)/(('Cálculos'!$D$196+(($B$111)-$A99)*'Cálculos'!$D$98)+1400)+'Cálculos'!$D$122)*'Cálculos'!$D$218+'Cálculos'!$D$125*(1+2.78*('Cálculos'!$D$196+(($B$111)-$A99)*'Cálculos'!$D$98)/(('Cálculos'!$D$196+(($B$111)-$A99)*'Cálculos'!$D$98)+1400)+'Cálculos'!$D$123)*'Cálculos'!$D$223)+('Cálculos'!$D$185*(1+'Cálculos'!$D$187+$A99*('Cálculos'!$D$290=1)*'Cálculos'!$D$97+'Cálculos'!$D$305)+'Cálculos'!$D$192)*('Cálculos'!$D$224+'Cálculos'!$D$124*(1+2.78*('Cálculos'!$D$197+(($B$111)-$A99)*'Cálculos'!$D$98)/(('Cálculos'!$D$197+(($B$111)-$A99)*'Cálculos'!$D$98)+1400)+'Cálculos'!$D$122)*'Cálculos'!$D$229+'Cálculos'!$D$125*(1+2.78*('Cálculos'!$D$197+(($B$111)-$A99)*'Cálculos'!$D$98)/(('Cálculos'!$D$197+(($B$111)-$A99)*'Cálculos'!$D$98)+1400)+'Cálculos'!$D$123)*'Cálculos'!$D$234)+('Cálculos'!$D$197+(($B$111)-$A99)*'Cálculos'!$D$98)*('Cálculos'!$D$225+'Cálculos'!$D$124*(1+2.78*('Cálculos'!$D$197+(($B$111)-$A99)*'Cálculos'!$D$98)/(('Cálculos'!$D$197+(($B$111)-$A99)*'Cálculos'!$D$98)+1400)+'Cálculos'!$D$122)*'Cálculos'!$D$230+'Cálculos'!$D$125*(1+2.78*('Cálculos'!$D$197+(($B$111)-$A99)*'Cálculos'!$D$98)/(('Cálculos'!$D$197+(($B$111)-$A99)*'Cálculos'!$D$98)+1400)+'Cálculos'!$D$123)*'Cálculos'!$D$235)+('Cálculos'!$D$201*(1+'Cálculos'!$D$202+$A99*('Cálculos'!$D$290=2)*'Cálculos'!$D$101)+'Cálculos'!$D$203)*('Cálculos'!$D$226+'Cálculos'!$D$124*(1+2.78*('Cálculos'!$D$197+(($B$111)-$A99)*'Cálculos'!$D$98)/(('Cálculos'!$D$197+(($B$111)-$A99)*'Cálculos'!$D$98)+1400)+'Cálculos'!$D$122)*'Cálculos'!$D$231+'Cálculos'!$D$125*(1+2.78*('Cálculos'!$D$197+(($B$111)-$A99)*'Cálculos'!$D$98)/(('Cálculos'!$D$197+(($B$111)-$A99)*'Cálculos'!$D$98)+1400)+'Cálculos'!$D$123)*'Cálculos'!$D$236)+('Cálculos'!$D$204*(1+'Cálculos'!$D$205+$A99*('Cálculos'!$D$290=3)*'Cálculos'!$D$103)+'Cálculos'!$D$206)*('Cálculos'!$D$227+'Cálculos'!$D$124*(1+2.78*('Cálculos'!$D$197+(($B$111)-$A99)*'Cálculos'!$D$98)/(('Cálculos'!$D$197+(($B$111)-$A99)*'Cálculos'!$D$98)+1400)+'Cálculos'!$D$122)*'Cálculos'!$D$232+'Cálculos'!$D$125*(1+2.78*('Cálculos'!$D$197+(($B$111)-$A99)*'Cálculos'!$D$98)/(('Cálculos'!$D$197+(($B$111)-$A99)*'Cálculos'!$D$98)+1400)+'Cálculos'!$D$123)*'Cálculos'!$D$237)+('Cálculos'!$D$228+'Cálculos'!$D$124*(1+2.78*('Cálculos'!$D$197+(($B$111)-$A99)*'Cálculos'!$D$98)/(('Cálculos'!$D$197+(($B$111)-$A99)*'Cálculos'!$D$98)+1400)+'Cálculos'!$D$122)*'Cálculos'!$D$233+'Cálculos'!$D$125*(1+2.78*('Cálculos'!$D$197+(($B$111)-$A99)*'Cálculos'!$D$98)/(('Cálculos'!$D$197+(($B$111)-$A99)*'Cálculos'!$D$98)+1400)+'Cálculos'!$D$123)*'Cálculos'!$D$238)+('Cálculos'!$D$185*(1+'Cálculos'!$D$188+$A99*('Cálculos'!$D$290=1)*'Cálculos'!$D$97+'Cálculos'!$D$305)+'Cálculos'!$D$193)*('Cálculos'!$D$239+'Cálculos'!$D$124*(1+2.78*('Cálculos'!$D$198+(($B$111)-$A99)*'Cálculos'!$D$98)/(('Cálculos'!$D$198+(($B$111)-$A99)*'Cálculos'!$D$98)+1400)+'Cálculos'!$D$122)*'Cálculos'!$D$244+'Cálculos'!$D$125*(1+2.78*('Cálculos'!$D$198+(($B$111)-$A99)*'Cálculos'!$D$98)/(('Cálculos'!$D$198+(($B$111)-$A99)*'Cálculos'!$D$98)+1400)+'Cálculos'!$D$123)*'Cálculos'!$D$249)+('Cálculos'!$D$198+(($B$111)-$A99)*'Cálculos'!$D$98)*('Cálculos'!$D$240+'Cálculos'!$D$124*(1+2.78*('Cálculos'!$D$198+(($B$111)-$A99)*'Cálculos'!$D$98)/(('Cálculos'!$D$198+(($B$111)-$A99)*'Cálculos'!$D$98)+1400)+'Cálculos'!$D$122)*'Cálculos'!$D$245+'Cálculos'!$D$125*(1+2.78*('Cálculos'!$D$198+(($B$111)-$A99)*'Cálculos'!$D$98)/(('Cálculos'!$D$198+(($B$111)-$A99)*'Cálculos'!$D$98)+1400)+'Cálculos'!$D$123)*'Cálculos'!$D$250)+('Cálculos'!$D$201*(1+'Cálculos'!$D$202+$A99*('Cálculos'!$D$290=2)*'Cálculos'!$D$101)+'Cálculos'!$D$203)*('Cálculos'!$D$241+'Cálculos'!$D$124*(1+2.78*('Cálculos'!$D$198+(($B$111)-$A99)*'Cálculos'!$D$98)/(('Cálculos'!$D$198+(($B$111)-$A99)*'Cálculos'!$D$98)+1400)+'Cálculos'!$D$122)*'Cálculos'!$D$246+'Cálculos'!$D$125*(1+2.78*('Cálculos'!$D$198+(($B$111)-$A99)*'Cálculos'!$D$98)/(('Cálculos'!$D$198+(($B$111)-$A99)*'Cálculos'!$D$98)+1400)+'Cálculos'!$D$123)*'Cálculos'!$D$251)+('Cálculos'!$D$204*(1+'Cálculos'!$D$205+$A99*('Cálculos'!$D$290=3)*'Cálculos'!$D$103)+'Cálculos'!$D$206)*('Cálculos'!$D$242+'Cálculos'!$D$124*(1+2.78*('Cálculos'!$D$198+(($B$111)-$A99)*'Cálculos'!$D$98)/(('Cálculos'!$D$198+(($B$111)-$A99)*'Cálculos'!$D$98)+1400)+'Cálculos'!$D$122)*'Cálculos'!$D$247+'Cálculos'!$D$125*(1+2.78*('Cálculos'!$D$198+(($B$111)-$A99)*'Cálculos'!$D$98)/(('Cálculos'!$D$198+(($B$111)-$A99)*'Cálculos'!$D$98)+1400)+'Cálculos'!$D$123)*'Cálculos'!$D$252)+('Cálculos'!$D$243+'Cálculos'!$D$124*(1+2.78*('Cálculos'!$D$198+(($B$111)-$A99)*'Cálculos'!$D$98)/(('Cálculos'!$D$198+(($B$111)-$A99)*'Cálculos'!$D$98)+1400)+'Cálculos'!$D$122)*'Cálculos'!$D$248+'Cálculos'!$D$125*(1+2.78*('Cálculos'!$D$198+(($B$111)-$A99)*'Cálculos'!$D$98)/(('Cálculos'!$D$198+(($B$111)-$A99)*'Cálculos'!$D$98)+1400)+'Cálculos'!$D$123)*'Cálculos'!$D$253)+('Cálculos'!$D$185*(1+'Cálculos'!$D$189+$A99*('Cálculos'!$D$290=1)*'Cálculos'!$D$97+'Cálculos'!$D$305)+'Cálculos'!$D$194)*('Cálculos'!$D$254+'Cálculos'!$D$124*(1+2.78*('Cálculos'!$D$199+(($B$111)-$A99)*'Cálculos'!$D$98)/(('Cálculos'!$D$199+(($B$111)-$A99)*'Cálculos'!$D$98)+1400)+'Cálculos'!$D$122)*'Cálculos'!$D$259+'Cálculos'!$D$125*(1+2.78*('Cálculos'!$D$199+(($B$111)-$A99)*'Cálculos'!$D$98)/(('Cálculos'!$D$199+(($B$111)-$A99)*'Cálculos'!$D$98)+1400)+'Cálculos'!$D$123)*'Cálculos'!$D$264)+('Cálculos'!$D$199+(($B$111)-$A99)*'Cálculos'!$D$98)*('Cálculos'!$D$255+'Cálculos'!$D$124*(1+2.78*('Cálculos'!$D$199+(($B$111)-$A99)*'Cálculos'!$D$98)/(('Cálculos'!$D$199+(($B$111)-$A99)*'Cálculos'!$D$98)+1400)+'Cálculos'!$D$122)*'Cálculos'!$D$260+'Cálculos'!$D$125*(1+2.78*('Cálculos'!$D$199+(($B$111)-$A99)*'Cálculos'!$D$98)/(('Cálculos'!$D$199+(($B$111)-$A99)*'Cálculos'!$D$98)+1400)+'Cálculos'!$D$123)*'Cálculos'!$D$265)+('Cálculos'!$D$201*(1+'Cálculos'!$D$202+$A99*('Cálculos'!$D$290=2)*'Cálculos'!$D$101)+'Cálculos'!$D$203)*('Cálculos'!$D$256+'Cálculos'!$D$124*(1+2.78*('Cálculos'!$D$199+(($B$111)-$A99)*'Cálculos'!$D$98)/(('Cálculos'!$D$199+(($B$111)-$A99)*'Cálculos'!$D$98)+1400)+'Cálculos'!$D$122)*'Cálculos'!$D$261+'Cálculos'!$D$125*(1+2.78*('Cálculos'!$D$199+(($B$111)-$A99)*'Cálculos'!$D$98)/(('Cálculos'!$D$199+(($B$111)-$A99)*'Cálculos'!$D$98)+1400)+'Cálculos'!$D$123)*'Cálculos'!$D$266)+('Cálculos'!$D$204*(1+'Cálculos'!$D$205+$A99*('Cálculos'!$D$290=3)*'Cálculos'!$D$103)+'Cálculos'!$D$206)*('Cálculos'!$D$257+'Cálculos'!$D$124*(1+2.78*('Cálculos'!$D$199+(($B$111)-$A99)*'Cálculos'!$D$98)/(('Cálculos'!$D$199+(($B$111)-$A99)*'Cálculos'!$D$98)+1400)+'Cálculos'!$D$122)*'Cálculos'!$D$262+'Cálculos'!$D$125*(1+2.78*('Cálculos'!$D$199+(($B$111)-$A99)*'Cálculos'!$D$98)/(('Cálculos'!$D$199+(($B$111)-$A99)*'Cálculos'!$D$98)+1400)+'Cálculos'!$D$123)*'Cálculos'!$D$267)+('Cálculos'!$D$258+'Cálculos'!$D$124*(1+2.78*('Cálculos'!$D$199+(($B$111)-$A99)*'Cálculos'!$D$98)/(('Cálculos'!$D$199+(($B$111)-$A99)*'Cálculos'!$D$98)+1400)+'Cálculos'!$D$122)*'Cálculos'!$D$263+'Cálculos'!$D$125*(1+2.78*('Cálculos'!$D$199+(($B$111)-$A99)*'Cálculos'!$D$98)/(('Cálculos'!$D$199+(($B$111)-$A99)*'Cálculos'!$D$98)+1400)+'Cálculos'!$D$123)*'Cálculos'!$D$268)+('Cálculos'!$D$185*(1+'Cálculos'!$D$190+$A99*('Cálculos'!$D$290=1)*'Cálculos'!$D$97+'Cálculos'!$D$305)+'Cálculos'!$D$195)*('Cálculos'!$D$269+'Cálculos'!$D$124*(1+2.78*('Cálculos'!$D$200+(($B$111)-$A99)*'Cálculos'!$D$98)/(('Cálculos'!$D$200+(($B$111)-$A99)*'Cálculos'!$D$98)+1400)+'Cálculos'!$D$122)*'Cálculos'!$D$274+'Cálculos'!$D$125*(1+2.78*('Cálculos'!$D$200+(($B$111)-$A99)*'Cálculos'!$D$98)/(('Cálculos'!$D$200+(($B$111)-$A99)*'Cálculos'!$D$98)+1400)+'Cálculos'!$D$123)*'Cálculos'!$D$279)+('Cálculos'!$D$200+(($B$111)-$A99)*'Cálculos'!$D$98)*('Cálculos'!$D$270+'Cálculos'!$D$124*(1+2.78*('Cálculos'!$D$200+(($B$111)-$A99)*'Cálculos'!$D$98)/(('Cálculos'!$D$200+(($B$111)-$A99)*'Cálculos'!$D$98)+1400)+'Cálculos'!$D$122)*'Cálculos'!$D$275+'Cálculos'!$D$125*(1+2.78*('Cálculos'!$D$200+(($B$111)-$A99)*'Cálculos'!$D$98)/(('Cálculos'!$D$200+(($B$111)-$A99)*'Cálculos'!$D$98)+1400)+'Cálculos'!$D$123)*'Cálculos'!$D$280)+('Cálculos'!$D$201*(1+'Cálculos'!$D$202+$A99*('Cálculos'!$D$290=2)*'Cálculos'!$D$101)+'Cálculos'!$D$203)*('Cálculos'!$D$271+'Cálculos'!$D$124*(1+2.78*('Cálculos'!$D$200+(($B$111)-$A99)*'Cálculos'!$D$98)/(('Cálculos'!$D$200+(($B$111)-$A99)*'Cálculos'!$D$98)+1400)+'Cálculos'!$D$122)*'Cálculos'!$D$276+'Cálculos'!$D$125*(1+2.78*('Cálculos'!$D$200+(($B$111)-$A99)*'Cálculos'!$D$98)/(('Cálculos'!$D$200+(($B$111)-$A99)*'Cálculos'!$D$98)+1400)+'Cálculos'!$D$123)*'Cálculos'!$D$281)+('Cálculos'!$D$204*(1+'Cálculos'!$D$205+$A99*('Cálculos'!$D$290=3)*'Cálculos'!$D$103)+'Cálculos'!$D$206)*('Cálculos'!$D$272+'Cálculos'!$D$124*(1+2.78*('Cálculos'!$D$200+(($B$111)-$A99)*'Cálculos'!$D$98)/(('Cálculos'!$D$200+(($B$111)-$A99)*'Cálculos'!$D$98)+1400)+'Cálculos'!$D$122)*'Cálculos'!$D$277+'Cálculos'!$D$125*(1+2.78*('Cálculos'!$D$200+(($B$111)-$A99)*'Cálculos'!$D$98)/(('Cálculos'!$D$200+(($B$111)-$A99)*'Cálculos'!$D$98)+1400)+'Cálculos'!$D$123)*'Cálculos'!$D$282)+('Cálculos'!$D$273+'Cálculos'!$D$124*(1+2.78*('Cálculos'!$D$200+(($B$111)-$A99)*'Cálculos'!$D$98)/(('Cálculos'!$D$200+(($B$111)-$A99)*'Cálculos'!$D$98)+1400)+'Cálculos'!$D$122)*'Cálculos'!$D$278+'Cálculos'!$D$125*(1+2.78*('Cálculos'!$D$200+(($B$111)-$A99)*'Cálculos'!$D$98)/(('Cálculos'!$D$200+(($B$111)-$A99)*'Cálculos'!$D$98)+1400)+'Cálculos'!$D$123)*'Cálculos'!$D$283)))</f>
        <v>0</v>
      </c>
    </row>
    <row r="100" ht="15.75" customHeight="1">
      <c r="A100" s="2">
        <v>37.0</v>
      </c>
      <c r="B100" s="30">
        <f>SUMPRODUCT(MAX(($A$63:$A$108&lt;=$A100)*($A$63:$A$108&lt;='Cálculos'!$D$294)*(($A100)-$A$63:$A$108&lt;='Cálculos'!$D$295)*(1+(('Cálculos'!$D$207+$A$63:$A$108*'Cálculos'!$D$95)-(('Cálculos'!$D$207+$A$63:$A$108*'Cálculos'!$D$95)&gt;1)*(('Cálculos'!$D$207+$A$63:$A$108*'Cálculos'!$D$95)-1))*('Cálculos'!$D$208+(($A100)-$A$63:$A$108)*'Cálculos'!$D$96))))</f>
        <v>2.41290264</v>
      </c>
      <c r="C100" s="2">
        <f>'Cálculos'!$D$303-$A100</f>
        <v>-26</v>
      </c>
      <c r="D100" s="31">
        <f>IF($C100&lt;0,0,SUMPRODUCT(MAX(($A$63:$A$108&lt;=$C100)*($A$63:$A$108&lt;='Cálculos'!$D$301)*(($C100)-$A$63:$A$108&lt;='Cálculos'!$D$297)*(('Cálculos'!$D$185*(1+'Cálculos'!$D$186+$A$63:$A$108*('Cálculos'!$D$290=1)*'Cálculos'!$D$97+'Cálculos'!$D$305)+'Cálculos'!$D$191)*('Cálculos'!$D$209+'Cálculos'!$D$124*(1+2.78*('Cálculos'!$D$196+(($C100)-$A$63:$A$108)*'Cálculos'!$D$98)/(('Cálculos'!$D$196+(($C100)-$A$63:$A$108)*'Cálculos'!$D$98)+1400)+'Cálculos'!$D$122)*'Cálculos'!$D$214+'Cálculos'!$D$125*(1+2.78*('Cálculos'!$D$196+(($C100)-$A$63:$A$108)*'Cálculos'!$D$98)/(('Cálculos'!$D$196+(($C100)-$A$63:$A$108)*'Cálculos'!$D$98)+1400)+'Cálculos'!$D$123)*'Cálculos'!$D$219)+('Cálculos'!$D$196+(($C100)-$A$63:$A$108)*'Cálculos'!$D$98)*('Cálculos'!$D$210+'Cálculos'!$D$124*(1+2.78*('Cálculos'!$D$196+(($C100)-$A$63:$A$108)*'Cálculos'!$D$98)/(('Cálculos'!$D$196+(($C100)-$A$63:$A$108)*'Cálculos'!$D$98)+1400)+'Cálculos'!$D$122)*'Cálculos'!$D$215+'Cálculos'!$D$125*(1+2.78*('Cálculos'!$D$196+(($C100)-$A$63:$A$108)*'Cálculos'!$D$98)/(('Cálculos'!$D$196+(($C100)-$A$63:$A$108)*'Cálculos'!$D$98)+1400)+'Cálculos'!$D$123)*'Cálculos'!$D$220)+('Cálculos'!$D$201*(1+'Cálculos'!$D$202+$A$63:$A$108*('Cálculos'!$D$290=2)*'Cálculos'!$D$101)+'Cálculos'!$D$203)*('Cálculos'!$D$211+'Cálculos'!$D$124*(1+2.78*('Cálculos'!$D$196+(($C100)-$A$63:$A$108)*'Cálculos'!$D$98)/(('Cálculos'!$D$196+(($C100)-$A$63:$A$108)*'Cálculos'!$D$98)+1400)+'Cálculos'!$D$122)*'Cálculos'!$D$216+'Cálculos'!$D$125*(1+2.78*('Cálculos'!$D$196+(($C100)-$A$63:$A$108)*'Cálculos'!$D$98)/(('Cálculos'!$D$196+(($C100)-$A$63:$A$108)*'Cálculos'!$D$98)+1400)+'Cálculos'!$D$123)*'Cálculos'!$D$221)+('Cálculos'!$D$204*(1+'Cálculos'!$D$205+$A$63:$A$108*('Cálculos'!$D$290=3)*'Cálculos'!$D$103)+'Cálculos'!$D$206)*('Cálculos'!$D$212+'Cálculos'!$D$124*(1+2.78*('Cálculos'!$D$196+(($C100)-$A$63:$A$108)*'Cálculos'!$D$98)/(('Cálculos'!$D$196+(($C100)-$A$63:$A$108)*'Cálculos'!$D$98)+1400)+'Cálculos'!$D$122)*'Cálculos'!$D$217+'Cálculos'!$D$125*(1+2.78*('Cálculos'!$D$196+(($C100)-$A$63:$A$108)*'Cálculos'!$D$98)/(('Cálculos'!$D$196+(($C100)-$A$63:$A$108)*'Cálculos'!$D$98)+1400)+'Cálculos'!$D$123)*'Cálculos'!$D$222)+('Cálculos'!$D$213+'Cálculos'!$D$124*(1+2.78*('Cálculos'!$D$196+(($C100)-$A$63:$A$108)*'Cálculos'!$D$98)/(('Cálculos'!$D$196+(($C100)-$A$63:$A$108)*'Cálculos'!$D$98)+1400)+'Cálculos'!$D$122)*'Cálculos'!$D$218+'Cálculos'!$D$125*(1+2.78*('Cálculos'!$D$196+(($C100)-$A$63:$A$108)*'Cálculos'!$D$98)/(('Cálculos'!$D$196+(($C100)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100)-$A$63:$A$108)*'Cálculos'!$D$98)/(('Cálculos'!$D$197+(($C100)-$A$63:$A$108)*'Cálculos'!$D$98)+1400)+'Cálculos'!$D$122)*'Cálculos'!$D$229+'Cálculos'!$D$125*(1+2.78*('Cálculos'!$D$197+(($C100)-$A$63:$A$108)*'Cálculos'!$D$98)/(('Cálculos'!$D$197+(($C100)-$A$63:$A$108)*'Cálculos'!$D$98)+1400)+'Cálculos'!$D$123)*'Cálculos'!$D$234)+('Cálculos'!$D$197+(($C100)-$A$63:$A$108)*'Cálculos'!$D$98)*('Cálculos'!$D$225+'Cálculos'!$D$124*(1+2.78*('Cálculos'!$D$197+(($C100)-$A$63:$A$108)*'Cálculos'!$D$98)/(('Cálculos'!$D$197+(($C100)-$A$63:$A$108)*'Cálculos'!$D$98)+1400)+'Cálculos'!$D$122)*'Cálculos'!$D$230+'Cálculos'!$D$125*(1+2.78*('Cálculos'!$D$197+(($C100)-$A$63:$A$108)*'Cálculos'!$D$98)/(('Cálculos'!$D$197+(($C100)-$A$63:$A$108)*'Cálculos'!$D$98)+1400)+'Cálculos'!$D$123)*'Cálculos'!$D$235)+('Cálculos'!$D$201*(1+'Cálculos'!$D$202+$A$63:$A$108*('Cálculos'!$D$290=2)*'Cálculos'!$D$101)+'Cálculos'!$D$203)*('Cálculos'!$D$226+'Cálculos'!$D$124*(1+2.78*('Cálculos'!$D$197+(($C100)-$A$63:$A$108)*'Cálculos'!$D$98)/(('Cálculos'!$D$197+(($C100)-$A$63:$A$108)*'Cálculos'!$D$98)+1400)+'Cálculos'!$D$122)*'Cálculos'!$D$231+'Cálculos'!$D$125*(1+2.78*('Cálculos'!$D$197+(($C100)-$A$63:$A$108)*'Cálculos'!$D$98)/(('Cálculos'!$D$197+(($C100)-$A$63:$A$108)*'Cálculos'!$D$98)+1400)+'Cálculos'!$D$123)*'Cálculos'!$D$236)+('Cálculos'!$D$204*(1+'Cálculos'!$D$205+$A$63:$A$108*('Cálculos'!$D$290=3)*'Cálculos'!$D$103)+'Cálculos'!$D$206)*('Cálculos'!$D$227+'Cálculos'!$D$124*(1+2.78*('Cálculos'!$D$197+(($C100)-$A$63:$A$108)*'Cálculos'!$D$98)/(('Cálculos'!$D$197+(($C100)-$A$63:$A$108)*'Cálculos'!$D$98)+1400)+'Cálculos'!$D$122)*'Cálculos'!$D$232+'Cálculos'!$D$125*(1+2.78*('Cálculos'!$D$197+(($C100)-$A$63:$A$108)*'Cálculos'!$D$98)/(('Cálculos'!$D$197+(($C100)-$A$63:$A$108)*'Cálculos'!$D$98)+1400)+'Cálculos'!$D$123)*'Cálculos'!$D$237)+('Cálculos'!$D$228+'Cálculos'!$D$124*(1+2.78*('Cálculos'!$D$197+(($C100)-$A$63:$A$108)*'Cálculos'!$D$98)/(('Cálculos'!$D$197+(($C100)-$A$63:$A$108)*'Cálculos'!$D$98)+1400)+'Cálculos'!$D$122)*'Cálculos'!$D$233+'Cálculos'!$D$125*(1+2.78*('Cálculos'!$D$197+(($C100)-$A$63:$A$108)*'Cálculos'!$D$98)/(('Cálculos'!$D$197+(($C100)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100)-$A$63:$A$108)*'Cálculos'!$D$98)/(('Cálculos'!$D$198+(($C100)-$A$63:$A$108)*'Cálculos'!$D$98)+1400)+'Cálculos'!$D$122)*'Cálculos'!$D$244+'Cálculos'!$D$125*(1+2.78*('Cálculos'!$D$198+(($C100)-$A$63:$A$108)*'Cálculos'!$D$98)/(('Cálculos'!$D$198+(($C100)-$A$63:$A$108)*'Cálculos'!$D$98)+1400)+'Cálculos'!$D$123)*'Cálculos'!$D$249)+('Cálculos'!$D$198+(($C100)-$A$63:$A$108)*'Cálculos'!$D$98)*('Cálculos'!$D$240+'Cálculos'!$D$124*(1+2.78*('Cálculos'!$D$198+(($C100)-$A$63:$A$108)*'Cálculos'!$D$98)/(('Cálculos'!$D$198+(($C100)-$A$63:$A$108)*'Cálculos'!$D$98)+1400)+'Cálculos'!$D$122)*'Cálculos'!$D$245+'Cálculos'!$D$125*(1+2.78*('Cálculos'!$D$198+(($C100)-$A$63:$A$108)*'Cálculos'!$D$98)/(('Cálculos'!$D$198+(($C100)-$A$63:$A$108)*'Cálculos'!$D$98)+1400)+'Cálculos'!$D$123)*'Cálculos'!$D$250)+('Cálculos'!$D$201*(1+'Cálculos'!$D$202+$A$63:$A$108*('Cálculos'!$D$290=2)*'Cálculos'!$D$101)+'Cálculos'!$D$203)*('Cálculos'!$D$241+'Cálculos'!$D$124*(1+2.78*('Cálculos'!$D$198+(($C100)-$A$63:$A$108)*'Cálculos'!$D$98)/(('Cálculos'!$D$198+(($C100)-$A$63:$A$108)*'Cálculos'!$D$98)+1400)+'Cálculos'!$D$122)*'Cálculos'!$D$246+'Cálculos'!$D$125*(1+2.78*('Cálculos'!$D$198+(($C100)-$A$63:$A$108)*'Cálculos'!$D$98)/(('Cálculos'!$D$198+(($C100)-$A$63:$A$108)*'Cálculos'!$D$98)+1400)+'Cálculos'!$D$123)*'Cálculos'!$D$251)+('Cálculos'!$D$204*(1+'Cálculos'!$D$205+$A$63:$A$108*('Cálculos'!$D$290=3)*'Cálculos'!$D$103)+'Cálculos'!$D$206)*('Cálculos'!$D$242+'Cálculos'!$D$124*(1+2.78*('Cálculos'!$D$198+(($C100)-$A$63:$A$108)*'Cálculos'!$D$98)/(('Cálculos'!$D$198+(($C100)-$A$63:$A$108)*'Cálculos'!$D$98)+1400)+'Cálculos'!$D$122)*'Cálculos'!$D$247+'Cálculos'!$D$125*(1+2.78*('Cálculos'!$D$198+(($C100)-$A$63:$A$108)*'Cálculos'!$D$98)/(('Cálculos'!$D$198+(($C100)-$A$63:$A$108)*'Cálculos'!$D$98)+1400)+'Cálculos'!$D$123)*'Cálculos'!$D$252)+('Cálculos'!$D$243+'Cálculos'!$D$124*(1+2.78*('Cálculos'!$D$198+(($C100)-$A$63:$A$108)*'Cálculos'!$D$98)/(('Cálculos'!$D$198+(($C100)-$A$63:$A$108)*'Cálculos'!$D$98)+1400)+'Cálculos'!$D$122)*'Cálculos'!$D$248+'Cálculos'!$D$125*(1+2.78*('Cálculos'!$D$198+(($C100)-$A$63:$A$108)*'Cálculos'!$D$98)/(('Cálculos'!$D$198+(($C100)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100)-$A$63:$A$108)*'Cálculos'!$D$98)/(('Cálculos'!$D$199+(($C100)-$A$63:$A$108)*'Cálculos'!$D$98)+1400)+'Cálculos'!$D$122)*'Cálculos'!$D$259+'Cálculos'!$D$125*(1+2.78*('Cálculos'!$D$199+(($C100)-$A$63:$A$108)*'Cálculos'!$D$98)/(('Cálculos'!$D$199+(($C100)-$A$63:$A$108)*'Cálculos'!$D$98)+1400)+'Cálculos'!$D$123)*'Cálculos'!$D$264)+('Cálculos'!$D$199+(($C100)-$A$63:$A$108)*'Cálculos'!$D$98)*('Cálculos'!$D$255+'Cálculos'!$D$124*(1+2.78*('Cálculos'!$D$199+(($C100)-$A$63:$A$108)*'Cálculos'!$D$98)/(('Cálculos'!$D$199+(($C100)-$A$63:$A$108)*'Cálculos'!$D$98)+1400)+'Cálculos'!$D$122)*'Cálculos'!$D$260+'Cálculos'!$D$125*(1+2.78*('Cálculos'!$D$199+(($C100)-$A$63:$A$108)*'Cálculos'!$D$98)/(('Cálculos'!$D$199+(($C100)-$A$63:$A$108)*'Cálculos'!$D$98)+1400)+'Cálculos'!$D$123)*'Cálculos'!$D$265)+('Cálculos'!$D$201*(1+'Cálculos'!$D$202+$A$63:$A$108*('Cálculos'!$D$290=2)*'Cálculos'!$D$101)+'Cálculos'!$D$203)*('Cálculos'!$D$256+'Cálculos'!$D$124*(1+2.78*('Cálculos'!$D$199+(($C100)-$A$63:$A$108)*'Cálculos'!$D$98)/(('Cálculos'!$D$199+(($C100)-$A$63:$A$108)*'Cálculos'!$D$98)+1400)+'Cálculos'!$D$122)*'Cálculos'!$D$261+'Cálculos'!$D$125*(1+2.78*('Cálculos'!$D$199+(($C100)-$A$63:$A$108)*'Cálculos'!$D$98)/(('Cálculos'!$D$199+(($C100)-$A$63:$A$108)*'Cálculos'!$D$98)+1400)+'Cálculos'!$D$123)*'Cálculos'!$D$266)+('Cálculos'!$D$204*(1+'Cálculos'!$D$205+$A$63:$A$108*('Cálculos'!$D$290=3)*'Cálculos'!$D$103)+'Cálculos'!$D$206)*('Cálculos'!$D$257+'Cálculos'!$D$124*(1+2.78*('Cálculos'!$D$199+(($C100)-$A$63:$A$108)*'Cálculos'!$D$98)/(('Cálculos'!$D$199+(($C100)-$A$63:$A$108)*'Cálculos'!$D$98)+1400)+'Cálculos'!$D$122)*'Cálculos'!$D$262+'Cálculos'!$D$125*(1+2.78*('Cálculos'!$D$199+(($C100)-$A$63:$A$108)*'Cálculos'!$D$98)/(('Cálculos'!$D$199+(($C100)-$A$63:$A$108)*'Cálculos'!$D$98)+1400)+'Cálculos'!$D$123)*'Cálculos'!$D$267)+('Cálculos'!$D$258+'Cálculos'!$D$124*(1+2.78*('Cálculos'!$D$199+(($C100)-$A$63:$A$108)*'Cálculos'!$D$98)/(('Cálculos'!$D$199+(($C100)-$A$63:$A$108)*'Cálculos'!$D$98)+1400)+'Cálculos'!$D$122)*'Cálculos'!$D$263+'Cálculos'!$D$125*(1+2.78*('Cálculos'!$D$199+(($C100)-$A$63:$A$108)*'Cálculos'!$D$98)/(('Cálculos'!$D$199+(($C100)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100)-$A$63:$A$108)*'Cálculos'!$D$98)/(('Cálculos'!$D$200+(($C100)-$A$63:$A$108)*'Cálculos'!$D$98)+1400)+'Cálculos'!$D$122)*'Cálculos'!$D$274+'Cálculos'!$D$125*(1+2.78*('Cálculos'!$D$200+(($C100)-$A$63:$A$108)*'Cálculos'!$D$98)/(('Cálculos'!$D$200+(($C100)-$A$63:$A$108)*'Cálculos'!$D$98)+1400)+'Cálculos'!$D$123)*'Cálculos'!$D$279)+('Cálculos'!$D$200+(($C100)-$A$63:$A$108)*'Cálculos'!$D$98)*('Cálculos'!$D$270+'Cálculos'!$D$124*(1+2.78*('Cálculos'!$D$200+(($C100)-$A$63:$A$108)*'Cálculos'!$D$98)/(('Cálculos'!$D$200+(($C100)-$A$63:$A$108)*'Cálculos'!$D$98)+1400)+'Cálculos'!$D$122)*'Cálculos'!$D$275+'Cálculos'!$D$125*(1+2.78*('Cálculos'!$D$200+(($C100)-$A$63:$A$108)*'Cálculos'!$D$98)/(('Cálculos'!$D$200+(($C100)-$A$63:$A$108)*'Cálculos'!$D$98)+1400)+'Cálculos'!$D$123)*'Cálculos'!$D$280)+('Cálculos'!$D$201*(1+'Cálculos'!$D$202+$A$63:$A$108*('Cálculos'!$D$290=2)*'Cálculos'!$D$101)+'Cálculos'!$D$203)*('Cálculos'!$D$271+'Cálculos'!$D$124*(1+2.78*('Cálculos'!$D$200+(($C100)-$A$63:$A$108)*'Cálculos'!$D$98)/(('Cálculos'!$D$200+(($C100)-$A$63:$A$108)*'Cálculos'!$D$98)+1400)+'Cálculos'!$D$122)*'Cálculos'!$D$276+'Cálculos'!$D$125*(1+2.78*('Cálculos'!$D$200+(($C100)-$A$63:$A$108)*'Cálculos'!$D$98)/(('Cálculos'!$D$200+(($C100)-$A$63:$A$108)*'Cálculos'!$D$98)+1400)+'Cálculos'!$D$123)*'Cálculos'!$D$281)+('Cálculos'!$D$204*(1+'Cálculos'!$D$205+$A$63:$A$108*('Cálculos'!$D$290=3)*'Cálculos'!$D$103)+'Cálculos'!$D$206)*('Cálculos'!$D$272+'Cálculos'!$D$124*(1+2.78*('Cálculos'!$D$200+(($C100)-$A$63:$A$108)*'Cálculos'!$D$98)/(('Cálculos'!$D$200+(($C100)-$A$63:$A$108)*'Cálculos'!$D$98)+1400)+'Cálculos'!$D$122)*'Cálculos'!$D$277+'Cálculos'!$D$125*(1+2.78*('Cálculos'!$D$200+(($C100)-$A$63:$A$108)*'Cálculos'!$D$98)/(('Cálculos'!$D$200+(($C100)-$A$63:$A$108)*'Cálculos'!$D$98)+1400)+'Cálculos'!$D$123)*'Cálculos'!$D$282)+('Cálculos'!$D$273+'Cálculos'!$D$124*(1+2.78*('Cálculos'!$D$200+(($C100)-$A$63:$A$108)*'Cálculos'!$D$98)/(('Cálculos'!$D$200+(($C100)-$A$63:$A$108)*'Cálculos'!$D$98)+1400)+'Cálculos'!$D$122)*'Cálculos'!$D$278+'Cálculos'!$D$125*(1+2.78*('Cálculos'!$D$200+(($C100)-$A$63:$A$108)*'Cálculos'!$D$98)/(('Cálculos'!$D$200+(($C100)-$A$63:$A$108)*'Cálculos'!$D$98)+1400)+'Cálculos'!$D$123)*'Cálculos'!$D$283)))))</f>
        <v>0</v>
      </c>
      <c r="E100" s="32">
        <f>IF(OR($C100&lt;0,'Cálculos'!$D$6=""),0,$B100*$D100)</f>
        <v>0</v>
      </c>
      <c r="F100" s="2"/>
      <c r="G100" s="30">
        <f>($A100&lt;=$B$110)*($A100&lt;='Cálculos'!$D$294)*(($B$110)-$A100&lt;='Cálculos'!$D$295)*(1+MIN(('Cálculos'!$D$207+$A100*'Cálculos'!$D$95),1)*('Cálculos'!$D$208+(($B$110)-$A100)*'Cálculos'!$D$96))</f>
        <v>0</v>
      </c>
      <c r="H100" s="31">
        <f>IF($B$111&lt;0,0,($A100&lt;=$B$111)*($A100&lt;='Cálculos'!$D$301)*(($B$111)-$A100&lt;='Cálculos'!$D$297)*(('Cálculos'!$D$185*(1+'Cálculos'!$D$186+$A100*('Cálculos'!$D$290=1)*'Cálculos'!$D$97+'Cálculos'!$D$305)+'Cálculos'!$D$191)*('Cálculos'!$D$209+'Cálculos'!$D$124*(1+2.78*('Cálculos'!$D$196+(($B$111)-$A100)*'Cálculos'!$D$98)/(('Cálculos'!$D$196+(($B$111)-$A100)*'Cálculos'!$D$98)+1400)+'Cálculos'!$D$122)*'Cálculos'!$D$214+'Cálculos'!$D$125*(1+2.78*('Cálculos'!$D$196+(($B$111)-$A100)*'Cálculos'!$D$98)/(('Cálculos'!$D$196+(($B$111)-$A100)*'Cálculos'!$D$98)+1400)+'Cálculos'!$D$123)*'Cálculos'!$D$219)+('Cálculos'!$D$196+(($B$111)-$A100)*'Cálculos'!$D$98)*('Cálculos'!$D$210+'Cálculos'!$D$124*(1+2.78*('Cálculos'!$D$196+(($B$111)-$A100)*'Cálculos'!$D$98)/(('Cálculos'!$D$196+(($B$111)-$A100)*'Cálculos'!$D$98)+1400)+'Cálculos'!$D$122)*'Cálculos'!$D$215+'Cálculos'!$D$125*(1+2.78*('Cálculos'!$D$196+(($B$111)-$A100)*'Cálculos'!$D$98)/(('Cálculos'!$D$196+(($B$111)-$A100)*'Cálculos'!$D$98)+1400)+'Cálculos'!$D$123)*'Cálculos'!$D$220)+('Cálculos'!$D$201*(1+'Cálculos'!$D$202+$A100*('Cálculos'!$D$290=2)*'Cálculos'!$D$101)+'Cálculos'!$D$203)*('Cálculos'!$D$211+'Cálculos'!$D$124*(1+2.78*('Cálculos'!$D$196+(($B$111)-$A100)*'Cálculos'!$D$98)/(('Cálculos'!$D$196+(($B$111)-$A100)*'Cálculos'!$D$98)+1400)+'Cálculos'!$D$122)*'Cálculos'!$D$216+'Cálculos'!$D$125*(1+2.78*('Cálculos'!$D$196+(($B$111)-$A100)*'Cálculos'!$D$98)/(('Cálculos'!$D$196+(($B$111)-$A100)*'Cálculos'!$D$98)+1400)+'Cálculos'!$D$123)*'Cálculos'!$D$221)+('Cálculos'!$D$204*(1+'Cálculos'!$D$205+$A100*('Cálculos'!$D$290=3)*'Cálculos'!$D$103)+'Cálculos'!$D$206)*('Cálculos'!$D$212+'Cálculos'!$D$124*(1+2.78*('Cálculos'!$D$196+(($B$111)-$A100)*'Cálculos'!$D$98)/(('Cálculos'!$D$196+(($B$111)-$A100)*'Cálculos'!$D$98)+1400)+'Cálculos'!$D$122)*'Cálculos'!$D$217+'Cálculos'!$D$125*(1+2.78*('Cálculos'!$D$196+(($B$111)-$A100)*'Cálculos'!$D$98)/(('Cálculos'!$D$196+(($B$111)-$A100)*'Cálculos'!$D$98)+1400)+'Cálculos'!$D$123)*'Cálculos'!$D$222)+('Cálculos'!$D$213+'Cálculos'!$D$124*(1+2.78*('Cálculos'!$D$196+(($B$111)-$A100)*'Cálculos'!$D$98)/(('Cálculos'!$D$196+(($B$111)-$A100)*'Cálculos'!$D$98)+1400)+'Cálculos'!$D$122)*'Cálculos'!$D$218+'Cálculos'!$D$125*(1+2.78*('Cálculos'!$D$196+(($B$111)-$A100)*'Cálculos'!$D$98)/(('Cálculos'!$D$196+(($B$111)-$A100)*'Cálculos'!$D$98)+1400)+'Cálculos'!$D$123)*'Cálculos'!$D$223)+('Cálculos'!$D$185*(1+'Cálculos'!$D$187+$A100*('Cálculos'!$D$290=1)*'Cálculos'!$D$97+'Cálculos'!$D$305)+'Cálculos'!$D$192)*('Cálculos'!$D$224+'Cálculos'!$D$124*(1+2.78*('Cálculos'!$D$197+(($B$111)-$A100)*'Cálculos'!$D$98)/(('Cálculos'!$D$197+(($B$111)-$A100)*'Cálculos'!$D$98)+1400)+'Cálculos'!$D$122)*'Cálculos'!$D$229+'Cálculos'!$D$125*(1+2.78*('Cálculos'!$D$197+(($B$111)-$A100)*'Cálculos'!$D$98)/(('Cálculos'!$D$197+(($B$111)-$A100)*'Cálculos'!$D$98)+1400)+'Cálculos'!$D$123)*'Cálculos'!$D$234)+('Cálculos'!$D$197+(($B$111)-$A100)*'Cálculos'!$D$98)*('Cálculos'!$D$225+'Cálculos'!$D$124*(1+2.78*('Cálculos'!$D$197+(($B$111)-$A100)*'Cálculos'!$D$98)/(('Cálculos'!$D$197+(($B$111)-$A100)*'Cálculos'!$D$98)+1400)+'Cálculos'!$D$122)*'Cálculos'!$D$230+'Cálculos'!$D$125*(1+2.78*('Cálculos'!$D$197+(($B$111)-$A100)*'Cálculos'!$D$98)/(('Cálculos'!$D$197+(($B$111)-$A100)*'Cálculos'!$D$98)+1400)+'Cálculos'!$D$123)*'Cálculos'!$D$235)+('Cálculos'!$D$201*(1+'Cálculos'!$D$202+$A100*('Cálculos'!$D$290=2)*'Cálculos'!$D$101)+'Cálculos'!$D$203)*('Cálculos'!$D$226+'Cálculos'!$D$124*(1+2.78*('Cálculos'!$D$197+(($B$111)-$A100)*'Cálculos'!$D$98)/(('Cálculos'!$D$197+(($B$111)-$A100)*'Cálculos'!$D$98)+1400)+'Cálculos'!$D$122)*'Cálculos'!$D$231+'Cálculos'!$D$125*(1+2.78*('Cálculos'!$D$197+(($B$111)-$A100)*'Cálculos'!$D$98)/(('Cálculos'!$D$197+(($B$111)-$A100)*'Cálculos'!$D$98)+1400)+'Cálculos'!$D$123)*'Cálculos'!$D$236)+('Cálculos'!$D$204*(1+'Cálculos'!$D$205+$A100*('Cálculos'!$D$290=3)*'Cálculos'!$D$103)+'Cálculos'!$D$206)*('Cálculos'!$D$227+'Cálculos'!$D$124*(1+2.78*('Cálculos'!$D$197+(($B$111)-$A100)*'Cálculos'!$D$98)/(('Cálculos'!$D$197+(($B$111)-$A100)*'Cálculos'!$D$98)+1400)+'Cálculos'!$D$122)*'Cálculos'!$D$232+'Cálculos'!$D$125*(1+2.78*('Cálculos'!$D$197+(($B$111)-$A100)*'Cálculos'!$D$98)/(('Cálculos'!$D$197+(($B$111)-$A100)*'Cálculos'!$D$98)+1400)+'Cálculos'!$D$123)*'Cálculos'!$D$237)+('Cálculos'!$D$228+'Cálculos'!$D$124*(1+2.78*('Cálculos'!$D$197+(($B$111)-$A100)*'Cálculos'!$D$98)/(('Cálculos'!$D$197+(($B$111)-$A100)*'Cálculos'!$D$98)+1400)+'Cálculos'!$D$122)*'Cálculos'!$D$233+'Cálculos'!$D$125*(1+2.78*('Cálculos'!$D$197+(($B$111)-$A100)*'Cálculos'!$D$98)/(('Cálculos'!$D$197+(($B$111)-$A100)*'Cálculos'!$D$98)+1400)+'Cálculos'!$D$123)*'Cálculos'!$D$238)+('Cálculos'!$D$185*(1+'Cálculos'!$D$188+$A100*('Cálculos'!$D$290=1)*'Cálculos'!$D$97+'Cálculos'!$D$305)+'Cálculos'!$D$193)*('Cálculos'!$D$239+'Cálculos'!$D$124*(1+2.78*('Cálculos'!$D$198+(($B$111)-$A100)*'Cálculos'!$D$98)/(('Cálculos'!$D$198+(($B$111)-$A100)*'Cálculos'!$D$98)+1400)+'Cálculos'!$D$122)*'Cálculos'!$D$244+'Cálculos'!$D$125*(1+2.78*('Cálculos'!$D$198+(($B$111)-$A100)*'Cálculos'!$D$98)/(('Cálculos'!$D$198+(($B$111)-$A100)*'Cálculos'!$D$98)+1400)+'Cálculos'!$D$123)*'Cálculos'!$D$249)+('Cálculos'!$D$198+(($B$111)-$A100)*'Cálculos'!$D$98)*('Cálculos'!$D$240+'Cálculos'!$D$124*(1+2.78*('Cálculos'!$D$198+(($B$111)-$A100)*'Cálculos'!$D$98)/(('Cálculos'!$D$198+(($B$111)-$A100)*'Cálculos'!$D$98)+1400)+'Cálculos'!$D$122)*'Cálculos'!$D$245+'Cálculos'!$D$125*(1+2.78*('Cálculos'!$D$198+(($B$111)-$A100)*'Cálculos'!$D$98)/(('Cálculos'!$D$198+(($B$111)-$A100)*'Cálculos'!$D$98)+1400)+'Cálculos'!$D$123)*'Cálculos'!$D$250)+('Cálculos'!$D$201*(1+'Cálculos'!$D$202+$A100*('Cálculos'!$D$290=2)*'Cálculos'!$D$101)+'Cálculos'!$D$203)*('Cálculos'!$D$241+'Cálculos'!$D$124*(1+2.78*('Cálculos'!$D$198+(($B$111)-$A100)*'Cálculos'!$D$98)/(('Cálculos'!$D$198+(($B$111)-$A100)*'Cálculos'!$D$98)+1400)+'Cálculos'!$D$122)*'Cálculos'!$D$246+'Cálculos'!$D$125*(1+2.78*('Cálculos'!$D$198+(($B$111)-$A100)*'Cálculos'!$D$98)/(('Cálculos'!$D$198+(($B$111)-$A100)*'Cálculos'!$D$98)+1400)+'Cálculos'!$D$123)*'Cálculos'!$D$251)+('Cálculos'!$D$204*(1+'Cálculos'!$D$205+$A100*('Cálculos'!$D$290=3)*'Cálculos'!$D$103)+'Cálculos'!$D$206)*('Cálculos'!$D$242+'Cálculos'!$D$124*(1+2.78*('Cálculos'!$D$198+(($B$111)-$A100)*'Cálculos'!$D$98)/(('Cálculos'!$D$198+(($B$111)-$A100)*'Cálculos'!$D$98)+1400)+'Cálculos'!$D$122)*'Cálculos'!$D$247+'Cálculos'!$D$125*(1+2.78*('Cálculos'!$D$198+(($B$111)-$A100)*'Cálculos'!$D$98)/(('Cálculos'!$D$198+(($B$111)-$A100)*'Cálculos'!$D$98)+1400)+'Cálculos'!$D$123)*'Cálculos'!$D$252)+('Cálculos'!$D$243+'Cálculos'!$D$124*(1+2.78*('Cálculos'!$D$198+(($B$111)-$A100)*'Cálculos'!$D$98)/(('Cálculos'!$D$198+(($B$111)-$A100)*'Cálculos'!$D$98)+1400)+'Cálculos'!$D$122)*'Cálculos'!$D$248+'Cálculos'!$D$125*(1+2.78*('Cálculos'!$D$198+(($B$111)-$A100)*'Cálculos'!$D$98)/(('Cálculos'!$D$198+(($B$111)-$A100)*'Cálculos'!$D$98)+1400)+'Cálculos'!$D$123)*'Cálculos'!$D$253)+('Cálculos'!$D$185*(1+'Cálculos'!$D$189+$A100*('Cálculos'!$D$290=1)*'Cálculos'!$D$97+'Cálculos'!$D$305)+'Cálculos'!$D$194)*('Cálculos'!$D$254+'Cálculos'!$D$124*(1+2.78*('Cálculos'!$D$199+(($B$111)-$A100)*'Cálculos'!$D$98)/(('Cálculos'!$D$199+(($B$111)-$A100)*'Cálculos'!$D$98)+1400)+'Cálculos'!$D$122)*'Cálculos'!$D$259+'Cálculos'!$D$125*(1+2.78*('Cálculos'!$D$199+(($B$111)-$A100)*'Cálculos'!$D$98)/(('Cálculos'!$D$199+(($B$111)-$A100)*'Cálculos'!$D$98)+1400)+'Cálculos'!$D$123)*'Cálculos'!$D$264)+('Cálculos'!$D$199+(($B$111)-$A100)*'Cálculos'!$D$98)*('Cálculos'!$D$255+'Cálculos'!$D$124*(1+2.78*('Cálculos'!$D$199+(($B$111)-$A100)*'Cálculos'!$D$98)/(('Cálculos'!$D$199+(($B$111)-$A100)*'Cálculos'!$D$98)+1400)+'Cálculos'!$D$122)*'Cálculos'!$D$260+'Cálculos'!$D$125*(1+2.78*('Cálculos'!$D$199+(($B$111)-$A100)*'Cálculos'!$D$98)/(('Cálculos'!$D$199+(($B$111)-$A100)*'Cálculos'!$D$98)+1400)+'Cálculos'!$D$123)*'Cálculos'!$D$265)+('Cálculos'!$D$201*(1+'Cálculos'!$D$202+$A100*('Cálculos'!$D$290=2)*'Cálculos'!$D$101)+'Cálculos'!$D$203)*('Cálculos'!$D$256+'Cálculos'!$D$124*(1+2.78*('Cálculos'!$D$199+(($B$111)-$A100)*'Cálculos'!$D$98)/(('Cálculos'!$D$199+(($B$111)-$A100)*'Cálculos'!$D$98)+1400)+'Cálculos'!$D$122)*'Cálculos'!$D$261+'Cálculos'!$D$125*(1+2.78*('Cálculos'!$D$199+(($B$111)-$A100)*'Cálculos'!$D$98)/(('Cálculos'!$D$199+(($B$111)-$A100)*'Cálculos'!$D$98)+1400)+'Cálculos'!$D$123)*'Cálculos'!$D$266)+('Cálculos'!$D$204*(1+'Cálculos'!$D$205+$A100*('Cálculos'!$D$290=3)*'Cálculos'!$D$103)+'Cálculos'!$D$206)*('Cálculos'!$D$257+'Cálculos'!$D$124*(1+2.78*('Cálculos'!$D$199+(($B$111)-$A100)*'Cálculos'!$D$98)/(('Cálculos'!$D$199+(($B$111)-$A100)*'Cálculos'!$D$98)+1400)+'Cálculos'!$D$122)*'Cálculos'!$D$262+'Cálculos'!$D$125*(1+2.78*('Cálculos'!$D$199+(($B$111)-$A100)*'Cálculos'!$D$98)/(('Cálculos'!$D$199+(($B$111)-$A100)*'Cálculos'!$D$98)+1400)+'Cálculos'!$D$123)*'Cálculos'!$D$267)+('Cálculos'!$D$258+'Cálculos'!$D$124*(1+2.78*('Cálculos'!$D$199+(($B$111)-$A100)*'Cálculos'!$D$98)/(('Cálculos'!$D$199+(($B$111)-$A100)*'Cálculos'!$D$98)+1400)+'Cálculos'!$D$122)*'Cálculos'!$D$263+'Cálculos'!$D$125*(1+2.78*('Cálculos'!$D$199+(($B$111)-$A100)*'Cálculos'!$D$98)/(('Cálculos'!$D$199+(($B$111)-$A100)*'Cálculos'!$D$98)+1400)+'Cálculos'!$D$123)*'Cálculos'!$D$268)+('Cálculos'!$D$185*(1+'Cálculos'!$D$190+$A100*('Cálculos'!$D$290=1)*'Cálculos'!$D$97+'Cálculos'!$D$305)+'Cálculos'!$D$195)*('Cálculos'!$D$269+'Cálculos'!$D$124*(1+2.78*('Cálculos'!$D$200+(($B$111)-$A100)*'Cálculos'!$D$98)/(('Cálculos'!$D$200+(($B$111)-$A100)*'Cálculos'!$D$98)+1400)+'Cálculos'!$D$122)*'Cálculos'!$D$274+'Cálculos'!$D$125*(1+2.78*('Cálculos'!$D$200+(($B$111)-$A100)*'Cálculos'!$D$98)/(('Cálculos'!$D$200+(($B$111)-$A100)*'Cálculos'!$D$98)+1400)+'Cálculos'!$D$123)*'Cálculos'!$D$279)+('Cálculos'!$D$200+(($B$111)-$A100)*'Cálculos'!$D$98)*('Cálculos'!$D$270+'Cálculos'!$D$124*(1+2.78*('Cálculos'!$D$200+(($B$111)-$A100)*'Cálculos'!$D$98)/(('Cálculos'!$D$200+(($B$111)-$A100)*'Cálculos'!$D$98)+1400)+'Cálculos'!$D$122)*'Cálculos'!$D$275+'Cálculos'!$D$125*(1+2.78*('Cálculos'!$D$200+(($B$111)-$A100)*'Cálculos'!$D$98)/(('Cálculos'!$D$200+(($B$111)-$A100)*'Cálculos'!$D$98)+1400)+'Cálculos'!$D$123)*'Cálculos'!$D$280)+('Cálculos'!$D$201*(1+'Cálculos'!$D$202+$A100*('Cálculos'!$D$290=2)*'Cálculos'!$D$101)+'Cálculos'!$D$203)*('Cálculos'!$D$271+'Cálculos'!$D$124*(1+2.78*('Cálculos'!$D$200+(($B$111)-$A100)*'Cálculos'!$D$98)/(('Cálculos'!$D$200+(($B$111)-$A100)*'Cálculos'!$D$98)+1400)+'Cálculos'!$D$122)*'Cálculos'!$D$276+'Cálculos'!$D$125*(1+2.78*('Cálculos'!$D$200+(($B$111)-$A100)*'Cálculos'!$D$98)/(('Cálculos'!$D$200+(($B$111)-$A100)*'Cálculos'!$D$98)+1400)+'Cálculos'!$D$123)*'Cálculos'!$D$281)+('Cálculos'!$D$204*(1+'Cálculos'!$D$205+$A100*('Cálculos'!$D$290=3)*'Cálculos'!$D$103)+'Cálculos'!$D$206)*('Cálculos'!$D$272+'Cálculos'!$D$124*(1+2.78*('Cálculos'!$D$200+(($B$111)-$A100)*'Cálculos'!$D$98)/(('Cálculos'!$D$200+(($B$111)-$A100)*'Cálculos'!$D$98)+1400)+'Cálculos'!$D$122)*'Cálculos'!$D$277+'Cálculos'!$D$125*(1+2.78*('Cálculos'!$D$200+(($B$111)-$A100)*'Cálculos'!$D$98)/(('Cálculos'!$D$200+(($B$111)-$A100)*'Cálculos'!$D$98)+1400)+'Cálculos'!$D$123)*'Cálculos'!$D$282)+('Cálculos'!$D$273+'Cálculos'!$D$124*(1+2.78*('Cálculos'!$D$200+(($B$111)-$A100)*'Cálculos'!$D$98)/(('Cálculos'!$D$200+(($B$111)-$A100)*'Cálculos'!$D$98)+1400)+'Cálculos'!$D$122)*'Cálculos'!$D$278+'Cálculos'!$D$125*(1+2.78*('Cálculos'!$D$200+(($B$111)-$A100)*'Cálculos'!$D$98)/(('Cálculos'!$D$200+(($B$111)-$A100)*'Cálculos'!$D$98)+1400)+'Cálculos'!$D$123)*'Cálculos'!$D$283)))</f>
        <v>0</v>
      </c>
    </row>
    <row r="101" ht="15.75" customHeight="1">
      <c r="A101" s="2">
        <v>38.0</v>
      </c>
      <c r="B101" s="30">
        <f>SUMPRODUCT(MAX(($A$63:$A$108&lt;=$A101)*($A$63:$A$108&lt;='Cálculos'!$D$294)*(($A101)-$A$63:$A$108&lt;='Cálculos'!$D$295)*(1+(('Cálculos'!$D$207+$A$63:$A$108*'Cálculos'!$D$95)-(('Cálculos'!$D$207+$A$63:$A$108*'Cálculos'!$D$95)&gt;1)*(('Cálculos'!$D$207+$A$63:$A$108*'Cálculos'!$D$95)-1))*('Cálculos'!$D$208+(($A101)-$A$63:$A$108)*'Cálculos'!$D$96))))</f>
        <v>2.460133525</v>
      </c>
      <c r="C101" s="2">
        <f>'Cálculos'!$D$303-$A101</f>
        <v>-27</v>
      </c>
      <c r="D101" s="31">
        <f>IF($C101&lt;0,0,SUMPRODUCT(MAX(($A$63:$A$108&lt;=$C101)*($A$63:$A$108&lt;='Cálculos'!$D$301)*(($C101)-$A$63:$A$108&lt;='Cálculos'!$D$297)*(('Cálculos'!$D$185*(1+'Cálculos'!$D$186+$A$63:$A$108*('Cálculos'!$D$290=1)*'Cálculos'!$D$97+'Cálculos'!$D$305)+'Cálculos'!$D$191)*('Cálculos'!$D$209+'Cálculos'!$D$124*(1+2.78*('Cálculos'!$D$196+(($C101)-$A$63:$A$108)*'Cálculos'!$D$98)/(('Cálculos'!$D$196+(($C101)-$A$63:$A$108)*'Cálculos'!$D$98)+1400)+'Cálculos'!$D$122)*'Cálculos'!$D$214+'Cálculos'!$D$125*(1+2.78*('Cálculos'!$D$196+(($C101)-$A$63:$A$108)*'Cálculos'!$D$98)/(('Cálculos'!$D$196+(($C101)-$A$63:$A$108)*'Cálculos'!$D$98)+1400)+'Cálculos'!$D$123)*'Cálculos'!$D$219)+('Cálculos'!$D$196+(($C101)-$A$63:$A$108)*'Cálculos'!$D$98)*('Cálculos'!$D$210+'Cálculos'!$D$124*(1+2.78*('Cálculos'!$D$196+(($C101)-$A$63:$A$108)*'Cálculos'!$D$98)/(('Cálculos'!$D$196+(($C101)-$A$63:$A$108)*'Cálculos'!$D$98)+1400)+'Cálculos'!$D$122)*'Cálculos'!$D$215+'Cálculos'!$D$125*(1+2.78*('Cálculos'!$D$196+(($C101)-$A$63:$A$108)*'Cálculos'!$D$98)/(('Cálculos'!$D$196+(($C101)-$A$63:$A$108)*'Cálculos'!$D$98)+1400)+'Cálculos'!$D$123)*'Cálculos'!$D$220)+('Cálculos'!$D$201*(1+'Cálculos'!$D$202+$A$63:$A$108*('Cálculos'!$D$290=2)*'Cálculos'!$D$101)+'Cálculos'!$D$203)*('Cálculos'!$D$211+'Cálculos'!$D$124*(1+2.78*('Cálculos'!$D$196+(($C101)-$A$63:$A$108)*'Cálculos'!$D$98)/(('Cálculos'!$D$196+(($C101)-$A$63:$A$108)*'Cálculos'!$D$98)+1400)+'Cálculos'!$D$122)*'Cálculos'!$D$216+'Cálculos'!$D$125*(1+2.78*('Cálculos'!$D$196+(($C101)-$A$63:$A$108)*'Cálculos'!$D$98)/(('Cálculos'!$D$196+(($C101)-$A$63:$A$108)*'Cálculos'!$D$98)+1400)+'Cálculos'!$D$123)*'Cálculos'!$D$221)+('Cálculos'!$D$204*(1+'Cálculos'!$D$205+$A$63:$A$108*('Cálculos'!$D$290=3)*'Cálculos'!$D$103)+'Cálculos'!$D$206)*('Cálculos'!$D$212+'Cálculos'!$D$124*(1+2.78*('Cálculos'!$D$196+(($C101)-$A$63:$A$108)*'Cálculos'!$D$98)/(('Cálculos'!$D$196+(($C101)-$A$63:$A$108)*'Cálculos'!$D$98)+1400)+'Cálculos'!$D$122)*'Cálculos'!$D$217+'Cálculos'!$D$125*(1+2.78*('Cálculos'!$D$196+(($C101)-$A$63:$A$108)*'Cálculos'!$D$98)/(('Cálculos'!$D$196+(($C101)-$A$63:$A$108)*'Cálculos'!$D$98)+1400)+'Cálculos'!$D$123)*'Cálculos'!$D$222)+('Cálculos'!$D$213+'Cálculos'!$D$124*(1+2.78*('Cálculos'!$D$196+(($C101)-$A$63:$A$108)*'Cálculos'!$D$98)/(('Cálculos'!$D$196+(($C101)-$A$63:$A$108)*'Cálculos'!$D$98)+1400)+'Cálculos'!$D$122)*'Cálculos'!$D$218+'Cálculos'!$D$125*(1+2.78*('Cálculos'!$D$196+(($C101)-$A$63:$A$108)*'Cálculos'!$D$98)/(('Cálculos'!$D$196+(($C101)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101)-$A$63:$A$108)*'Cálculos'!$D$98)/(('Cálculos'!$D$197+(($C101)-$A$63:$A$108)*'Cálculos'!$D$98)+1400)+'Cálculos'!$D$122)*'Cálculos'!$D$229+'Cálculos'!$D$125*(1+2.78*('Cálculos'!$D$197+(($C101)-$A$63:$A$108)*'Cálculos'!$D$98)/(('Cálculos'!$D$197+(($C101)-$A$63:$A$108)*'Cálculos'!$D$98)+1400)+'Cálculos'!$D$123)*'Cálculos'!$D$234)+('Cálculos'!$D$197+(($C101)-$A$63:$A$108)*'Cálculos'!$D$98)*('Cálculos'!$D$225+'Cálculos'!$D$124*(1+2.78*('Cálculos'!$D$197+(($C101)-$A$63:$A$108)*'Cálculos'!$D$98)/(('Cálculos'!$D$197+(($C101)-$A$63:$A$108)*'Cálculos'!$D$98)+1400)+'Cálculos'!$D$122)*'Cálculos'!$D$230+'Cálculos'!$D$125*(1+2.78*('Cálculos'!$D$197+(($C101)-$A$63:$A$108)*'Cálculos'!$D$98)/(('Cálculos'!$D$197+(($C101)-$A$63:$A$108)*'Cálculos'!$D$98)+1400)+'Cálculos'!$D$123)*'Cálculos'!$D$235)+('Cálculos'!$D$201*(1+'Cálculos'!$D$202+$A$63:$A$108*('Cálculos'!$D$290=2)*'Cálculos'!$D$101)+'Cálculos'!$D$203)*('Cálculos'!$D$226+'Cálculos'!$D$124*(1+2.78*('Cálculos'!$D$197+(($C101)-$A$63:$A$108)*'Cálculos'!$D$98)/(('Cálculos'!$D$197+(($C101)-$A$63:$A$108)*'Cálculos'!$D$98)+1400)+'Cálculos'!$D$122)*'Cálculos'!$D$231+'Cálculos'!$D$125*(1+2.78*('Cálculos'!$D$197+(($C101)-$A$63:$A$108)*'Cálculos'!$D$98)/(('Cálculos'!$D$197+(($C101)-$A$63:$A$108)*'Cálculos'!$D$98)+1400)+'Cálculos'!$D$123)*'Cálculos'!$D$236)+('Cálculos'!$D$204*(1+'Cálculos'!$D$205+$A$63:$A$108*('Cálculos'!$D$290=3)*'Cálculos'!$D$103)+'Cálculos'!$D$206)*('Cálculos'!$D$227+'Cálculos'!$D$124*(1+2.78*('Cálculos'!$D$197+(($C101)-$A$63:$A$108)*'Cálculos'!$D$98)/(('Cálculos'!$D$197+(($C101)-$A$63:$A$108)*'Cálculos'!$D$98)+1400)+'Cálculos'!$D$122)*'Cálculos'!$D$232+'Cálculos'!$D$125*(1+2.78*('Cálculos'!$D$197+(($C101)-$A$63:$A$108)*'Cálculos'!$D$98)/(('Cálculos'!$D$197+(($C101)-$A$63:$A$108)*'Cálculos'!$D$98)+1400)+'Cálculos'!$D$123)*'Cálculos'!$D$237)+('Cálculos'!$D$228+'Cálculos'!$D$124*(1+2.78*('Cálculos'!$D$197+(($C101)-$A$63:$A$108)*'Cálculos'!$D$98)/(('Cálculos'!$D$197+(($C101)-$A$63:$A$108)*'Cálculos'!$D$98)+1400)+'Cálculos'!$D$122)*'Cálculos'!$D$233+'Cálculos'!$D$125*(1+2.78*('Cálculos'!$D$197+(($C101)-$A$63:$A$108)*'Cálculos'!$D$98)/(('Cálculos'!$D$197+(($C101)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101)-$A$63:$A$108)*'Cálculos'!$D$98)/(('Cálculos'!$D$198+(($C101)-$A$63:$A$108)*'Cálculos'!$D$98)+1400)+'Cálculos'!$D$122)*'Cálculos'!$D$244+'Cálculos'!$D$125*(1+2.78*('Cálculos'!$D$198+(($C101)-$A$63:$A$108)*'Cálculos'!$D$98)/(('Cálculos'!$D$198+(($C101)-$A$63:$A$108)*'Cálculos'!$D$98)+1400)+'Cálculos'!$D$123)*'Cálculos'!$D$249)+('Cálculos'!$D$198+(($C101)-$A$63:$A$108)*'Cálculos'!$D$98)*('Cálculos'!$D$240+'Cálculos'!$D$124*(1+2.78*('Cálculos'!$D$198+(($C101)-$A$63:$A$108)*'Cálculos'!$D$98)/(('Cálculos'!$D$198+(($C101)-$A$63:$A$108)*'Cálculos'!$D$98)+1400)+'Cálculos'!$D$122)*'Cálculos'!$D$245+'Cálculos'!$D$125*(1+2.78*('Cálculos'!$D$198+(($C101)-$A$63:$A$108)*'Cálculos'!$D$98)/(('Cálculos'!$D$198+(($C101)-$A$63:$A$108)*'Cálculos'!$D$98)+1400)+'Cálculos'!$D$123)*'Cálculos'!$D$250)+('Cálculos'!$D$201*(1+'Cálculos'!$D$202+$A$63:$A$108*('Cálculos'!$D$290=2)*'Cálculos'!$D$101)+'Cálculos'!$D$203)*('Cálculos'!$D$241+'Cálculos'!$D$124*(1+2.78*('Cálculos'!$D$198+(($C101)-$A$63:$A$108)*'Cálculos'!$D$98)/(('Cálculos'!$D$198+(($C101)-$A$63:$A$108)*'Cálculos'!$D$98)+1400)+'Cálculos'!$D$122)*'Cálculos'!$D$246+'Cálculos'!$D$125*(1+2.78*('Cálculos'!$D$198+(($C101)-$A$63:$A$108)*'Cálculos'!$D$98)/(('Cálculos'!$D$198+(($C101)-$A$63:$A$108)*'Cálculos'!$D$98)+1400)+'Cálculos'!$D$123)*'Cálculos'!$D$251)+('Cálculos'!$D$204*(1+'Cálculos'!$D$205+$A$63:$A$108*('Cálculos'!$D$290=3)*'Cálculos'!$D$103)+'Cálculos'!$D$206)*('Cálculos'!$D$242+'Cálculos'!$D$124*(1+2.78*('Cálculos'!$D$198+(($C101)-$A$63:$A$108)*'Cálculos'!$D$98)/(('Cálculos'!$D$198+(($C101)-$A$63:$A$108)*'Cálculos'!$D$98)+1400)+'Cálculos'!$D$122)*'Cálculos'!$D$247+'Cálculos'!$D$125*(1+2.78*('Cálculos'!$D$198+(($C101)-$A$63:$A$108)*'Cálculos'!$D$98)/(('Cálculos'!$D$198+(($C101)-$A$63:$A$108)*'Cálculos'!$D$98)+1400)+'Cálculos'!$D$123)*'Cálculos'!$D$252)+('Cálculos'!$D$243+'Cálculos'!$D$124*(1+2.78*('Cálculos'!$D$198+(($C101)-$A$63:$A$108)*'Cálculos'!$D$98)/(('Cálculos'!$D$198+(($C101)-$A$63:$A$108)*'Cálculos'!$D$98)+1400)+'Cálculos'!$D$122)*'Cálculos'!$D$248+'Cálculos'!$D$125*(1+2.78*('Cálculos'!$D$198+(($C101)-$A$63:$A$108)*'Cálculos'!$D$98)/(('Cálculos'!$D$198+(($C101)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101)-$A$63:$A$108)*'Cálculos'!$D$98)/(('Cálculos'!$D$199+(($C101)-$A$63:$A$108)*'Cálculos'!$D$98)+1400)+'Cálculos'!$D$122)*'Cálculos'!$D$259+'Cálculos'!$D$125*(1+2.78*('Cálculos'!$D$199+(($C101)-$A$63:$A$108)*'Cálculos'!$D$98)/(('Cálculos'!$D$199+(($C101)-$A$63:$A$108)*'Cálculos'!$D$98)+1400)+'Cálculos'!$D$123)*'Cálculos'!$D$264)+('Cálculos'!$D$199+(($C101)-$A$63:$A$108)*'Cálculos'!$D$98)*('Cálculos'!$D$255+'Cálculos'!$D$124*(1+2.78*('Cálculos'!$D$199+(($C101)-$A$63:$A$108)*'Cálculos'!$D$98)/(('Cálculos'!$D$199+(($C101)-$A$63:$A$108)*'Cálculos'!$D$98)+1400)+'Cálculos'!$D$122)*'Cálculos'!$D$260+'Cálculos'!$D$125*(1+2.78*('Cálculos'!$D$199+(($C101)-$A$63:$A$108)*'Cálculos'!$D$98)/(('Cálculos'!$D$199+(($C101)-$A$63:$A$108)*'Cálculos'!$D$98)+1400)+'Cálculos'!$D$123)*'Cálculos'!$D$265)+('Cálculos'!$D$201*(1+'Cálculos'!$D$202+$A$63:$A$108*('Cálculos'!$D$290=2)*'Cálculos'!$D$101)+'Cálculos'!$D$203)*('Cálculos'!$D$256+'Cálculos'!$D$124*(1+2.78*('Cálculos'!$D$199+(($C101)-$A$63:$A$108)*'Cálculos'!$D$98)/(('Cálculos'!$D$199+(($C101)-$A$63:$A$108)*'Cálculos'!$D$98)+1400)+'Cálculos'!$D$122)*'Cálculos'!$D$261+'Cálculos'!$D$125*(1+2.78*('Cálculos'!$D$199+(($C101)-$A$63:$A$108)*'Cálculos'!$D$98)/(('Cálculos'!$D$199+(($C101)-$A$63:$A$108)*'Cálculos'!$D$98)+1400)+'Cálculos'!$D$123)*'Cálculos'!$D$266)+('Cálculos'!$D$204*(1+'Cálculos'!$D$205+$A$63:$A$108*('Cálculos'!$D$290=3)*'Cálculos'!$D$103)+'Cálculos'!$D$206)*('Cálculos'!$D$257+'Cálculos'!$D$124*(1+2.78*('Cálculos'!$D$199+(($C101)-$A$63:$A$108)*'Cálculos'!$D$98)/(('Cálculos'!$D$199+(($C101)-$A$63:$A$108)*'Cálculos'!$D$98)+1400)+'Cálculos'!$D$122)*'Cálculos'!$D$262+'Cálculos'!$D$125*(1+2.78*('Cálculos'!$D$199+(($C101)-$A$63:$A$108)*'Cálculos'!$D$98)/(('Cálculos'!$D$199+(($C101)-$A$63:$A$108)*'Cálculos'!$D$98)+1400)+'Cálculos'!$D$123)*'Cálculos'!$D$267)+('Cálculos'!$D$258+'Cálculos'!$D$124*(1+2.78*('Cálculos'!$D$199+(($C101)-$A$63:$A$108)*'Cálculos'!$D$98)/(('Cálculos'!$D$199+(($C101)-$A$63:$A$108)*'Cálculos'!$D$98)+1400)+'Cálculos'!$D$122)*'Cálculos'!$D$263+'Cálculos'!$D$125*(1+2.78*('Cálculos'!$D$199+(($C101)-$A$63:$A$108)*'Cálculos'!$D$98)/(('Cálculos'!$D$199+(($C101)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101)-$A$63:$A$108)*'Cálculos'!$D$98)/(('Cálculos'!$D$200+(($C101)-$A$63:$A$108)*'Cálculos'!$D$98)+1400)+'Cálculos'!$D$122)*'Cálculos'!$D$274+'Cálculos'!$D$125*(1+2.78*('Cálculos'!$D$200+(($C101)-$A$63:$A$108)*'Cálculos'!$D$98)/(('Cálculos'!$D$200+(($C101)-$A$63:$A$108)*'Cálculos'!$D$98)+1400)+'Cálculos'!$D$123)*'Cálculos'!$D$279)+('Cálculos'!$D$200+(($C101)-$A$63:$A$108)*'Cálculos'!$D$98)*('Cálculos'!$D$270+'Cálculos'!$D$124*(1+2.78*('Cálculos'!$D$200+(($C101)-$A$63:$A$108)*'Cálculos'!$D$98)/(('Cálculos'!$D$200+(($C101)-$A$63:$A$108)*'Cálculos'!$D$98)+1400)+'Cálculos'!$D$122)*'Cálculos'!$D$275+'Cálculos'!$D$125*(1+2.78*('Cálculos'!$D$200+(($C101)-$A$63:$A$108)*'Cálculos'!$D$98)/(('Cálculos'!$D$200+(($C101)-$A$63:$A$108)*'Cálculos'!$D$98)+1400)+'Cálculos'!$D$123)*'Cálculos'!$D$280)+('Cálculos'!$D$201*(1+'Cálculos'!$D$202+$A$63:$A$108*('Cálculos'!$D$290=2)*'Cálculos'!$D$101)+'Cálculos'!$D$203)*('Cálculos'!$D$271+'Cálculos'!$D$124*(1+2.78*('Cálculos'!$D$200+(($C101)-$A$63:$A$108)*'Cálculos'!$D$98)/(('Cálculos'!$D$200+(($C101)-$A$63:$A$108)*'Cálculos'!$D$98)+1400)+'Cálculos'!$D$122)*'Cálculos'!$D$276+'Cálculos'!$D$125*(1+2.78*('Cálculos'!$D$200+(($C101)-$A$63:$A$108)*'Cálculos'!$D$98)/(('Cálculos'!$D$200+(($C101)-$A$63:$A$108)*'Cálculos'!$D$98)+1400)+'Cálculos'!$D$123)*'Cálculos'!$D$281)+('Cálculos'!$D$204*(1+'Cálculos'!$D$205+$A$63:$A$108*('Cálculos'!$D$290=3)*'Cálculos'!$D$103)+'Cálculos'!$D$206)*('Cálculos'!$D$272+'Cálculos'!$D$124*(1+2.78*('Cálculos'!$D$200+(($C101)-$A$63:$A$108)*'Cálculos'!$D$98)/(('Cálculos'!$D$200+(($C101)-$A$63:$A$108)*'Cálculos'!$D$98)+1400)+'Cálculos'!$D$122)*'Cálculos'!$D$277+'Cálculos'!$D$125*(1+2.78*('Cálculos'!$D$200+(($C101)-$A$63:$A$108)*'Cálculos'!$D$98)/(('Cálculos'!$D$200+(($C101)-$A$63:$A$108)*'Cálculos'!$D$98)+1400)+'Cálculos'!$D$123)*'Cálculos'!$D$282)+('Cálculos'!$D$273+'Cálculos'!$D$124*(1+2.78*('Cálculos'!$D$200+(($C101)-$A$63:$A$108)*'Cálculos'!$D$98)/(('Cálculos'!$D$200+(($C101)-$A$63:$A$108)*'Cálculos'!$D$98)+1400)+'Cálculos'!$D$122)*'Cálculos'!$D$278+'Cálculos'!$D$125*(1+2.78*('Cálculos'!$D$200+(($C101)-$A$63:$A$108)*'Cálculos'!$D$98)/(('Cálculos'!$D$200+(($C101)-$A$63:$A$108)*'Cálculos'!$D$98)+1400)+'Cálculos'!$D$123)*'Cálculos'!$D$283)))))</f>
        <v>0</v>
      </c>
      <c r="E101" s="32">
        <f>IF(OR($C101&lt;0,'Cálculos'!$D$6=""),0,$B101*$D101)</f>
        <v>0</v>
      </c>
      <c r="F101" s="2"/>
      <c r="G101" s="30">
        <f>($A101&lt;=$B$110)*($A101&lt;='Cálculos'!$D$294)*(($B$110)-$A101&lt;='Cálculos'!$D$295)*(1+MIN(('Cálculos'!$D$207+$A101*'Cálculos'!$D$95),1)*('Cálculos'!$D$208+(($B$110)-$A101)*'Cálculos'!$D$96))</f>
        <v>0</v>
      </c>
      <c r="H101" s="31">
        <f>IF($B$111&lt;0,0,($A101&lt;=$B$111)*($A101&lt;='Cálculos'!$D$301)*(($B$111)-$A101&lt;='Cálculos'!$D$297)*(('Cálculos'!$D$185*(1+'Cálculos'!$D$186+$A101*('Cálculos'!$D$290=1)*'Cálculos'!$D$97+'Cálculos'!$D$305)+'Cálculos'!$D$191)*('Cálculos'!$D$209+'Cálculos'!$D$124*(1+2.78*('Cálculos'!$D$196+(($B$111)-$A101)*'Cálculos'!$D$98)/(('Cálculos'!$D$196+(($B$111)-$A101)*'Cálculos'!$D$98)+1400)+'Cálculos'!$D$122)*'Cálculos'!$D$214+'Cálculos'!$D$125*(1+2.78*('Cálculos'!$D$196+(($B$111)-$A101)*'Cálculos'!$D$98)/(('Cálculos'!$D$196+(($B$111)-$A101)*'Cálculos'!$D$98)+1400)+'Cálculos'!$D$123)*'Cálculos'!$D$219)+('Cálculos'!$D$196+(($B$111)-$A101)*'Cálculos'!$D$98)*('Cálculos'!$D$210+'Cálculos'!$D$124*(1+2.78*('Cálculos'!$D$196+(($B$111)-$A101)*'Cálculos'!$D$98)/(('Cálculos'!$D$196+(($B$111)-$A101)*'Cálculos'!$D$98)+1400)+'Cálculos'!$D$122)*'Cálculos'!$D$215+'Cálculos'!$D$125*(1+2.78*('Cálculos'!$D$196+(($B$111)-$A101)*'Cálculos'!$D$98)/(('Cálculos'!$D$196+(($B$111)-$A101)*'Cálculos'!$D$98)+1400)+'Cálculos'!$D$123)*'Cálculos'!$D$220)+('Cálculos'!$D$201*(1+'Cálculos'!$D$202+$A101*('Cálculos'!$D$290=2)*'Cálculos'!$D$101)+'Cálculos'!$D$203)*('Cálculos'!$D$211+'Cálculos'!$D$124*(1+2.78*('Cálculos'!$D$196+(($B$111)-$A101)*'Cálculos'!$D$98)/(('Cálculos'!$D$196+(($B$111)-$A101)*'Cálculos'!$D$98)+1400)+'Cálculos'!$D$122)*'Cálculos'!$D$216+'Cálculos'!$D$125*(1+2.78*('Cálculos'!$D$196+(($B$111)-$A101)*'Cálculos'!$D$98)/(('Cálculos'!$D$196+(($B$111)-$A101)*'Cálculos'!$D$98)+1400)+'Cálculos'!$D$123)*'Cálculos'!$D$221)+('Cálculos'!$D$204*(1+'Cálculos'!$D$205+$A101*('Cálculos'!$D$290=3)*'Cálculos'!$D$103)+'Cálculos'!$D$206)*('Cálculos'!$D$212+'Cálculos'!$D$124*(1+2.78*('Cálculos'!$D$196+(($B$111)-$A101)*'Cálculos'!$D$98)/(('Cálculos'!$D$196+(($B$111)-$A101)*'Cálculos'!$D$98)+1400)+'Cálculos'!$D$122)*'Cálculos'!$D$217+'Cálculos'!$D$125*(1+2.78*('Cálculos'!$D$196+(($B$111)-$A101)*'Cálculos'!$D$98)/(('Cálculos'!$D$196+(($B$111)-$A101)*'Cálculos'!$D$98)+1400)+'Cálculos'!$D$123)*'Cálculos'!$D$222)+('Cálculos'!$D$213+'Cálculos'!$D$124*(1+2.78*('Cálculos'!$D$196+(($B$111)-$A101)*'Cálculos'!$D$98)/(('Cálculos'!$D$196+(($B$111)-$A101)*'Cálculos'!$D$98)+1400)+'Cálculos'!$D$122)*'Cálculos'!$D$218+'Cálculos'!$D$125*(1+2.78*('Cálculos'!$D$196+(($B$111)-$A101)*'Cálculos'!$D$98)/(('Cálculos'!$D$196+(($B$111)-$A101)*'Cálculos'!$D$98)+1400)+'Cálculos'!$D$123)*'Cálculos'!$D$223)+('Cálculos'!$D$185*(1+'Cálculos'!$D$187+$A101*('Cálculos'!$D$290=1)*'Cálculos'!$D$97+'Cálculos'!$D$305)+'Cálculos'!$D$192)*('Cálculos'!$D$224+'Cálculos'!$D$124*(1+2.78*('Cálculos'!$D$197+(($B$111)-$A101)*'Cálculos'!$D$98)/(('Cálculos'!$D$197+(($B$111)-$A101)*'Cálculos'!$D$98)+1400)+'Cálculos'!$D$122)*'Cálculos'!$D$229+'Cálculos'!$D$125*(1+2.78*('Cálculos'!$D$197+(($B$111)-$A101)*'Cálculos'!$D$98)/(('Cálculos'!$D$197+(($B$111)-$A101)*'Cálculos'!$D$98)+1400)+'Cálculos'!$D$123)*'Cálculos'!$D$234)+('Cálculos'!$D$197+(($B$111)-$A101)*'Cálculos'!$D$98)*('Cálculos'!$D$225+'Cálculos'!$D$124*(1+2.78*('Cálculos'!$D$197+(($B$111)-$A101)*'Cálculos'!$D$98)/(('Cálculos'!$D$197+(($B$111)-$A101)*'Cálculos'!$D$98)+1400)+'Cálculos'!$D$122)*'Cálculos'!$D$230+'Cálculos'!$D$125*(1+2.78*('Cálculos'!$D$197+(($B$111)-$A101)*'Cálculos'!$D$98)/(('Cálculos'!$D$197+(($B$111)-$A101)*'Cálculos'!$D$98)+1400)+'Cálculos'!$D$123)*'Cálculos'!$D$235)+('Cálculos'!$D$201*(1+'Cálculos'!$D$202+$A101*('Cálculos'!$D$290=2)*'Cálculos'!$D$101)+'Cálculos'!$D$203)*('Cálculos'!$D$226+'Cálculos'!$D$124*(1+2.78*('Cálculos'!$D$197+(($B$111)-$A101)*'Cálculos'!$D$98)/(('Cálculos'!$D$197+(($B$111)-$A101)*'Cálculos'!$D$98)+1400)+'Cálculos'!$D$122)*'Cálculos'!$D$231+'Cálculos'!$D$125*(1+2.78*('Cálculos'!$D$197+(($B$111)-$A101)*'Cálculos'!$D$98)/(('Cálculos'!$D$197+(($B$111)-$A101)*'Cálculos'!$D$98)+1400)+'Cálculos'!$D$123)*'Cálculos'!$D$236)+('Cálculos'!$D$204*(1+'Cálculos'!$D$205+$A101*('Cálculos'!$D$290=3)*'Cálculos'!$D$103)+'Cálculos'!$D$206)*('Cálculos'!$D$227+'Cálculos'!$D$124*(1+2.78*('Cálculos'!$D$197+(($B$111)-$A101)*'Cálculos'!$D$98)/(('Cálculos'!$D$197+(($B$111)-$A101)*'Cálculos'!$D$98)+1400)+'Cálculos'!$D$122)*'Cálculos'!$D$232+'Cálculos'!$D$125*(1+2.78*('Cálculos'!$D$197+(($B$111)-$A101)*'Cálculos'!$D$98)/(('Cálculos'!$D$197+(($B$111)-$A101)*'Cálculos'!$D$98)+1400)+'Cálculos'!$D$123)*'Cálculos'!$D$237)+('Cálculos'!$D$228+'Cálculos'!$D$124*(1+2.78*('Cálculos'!$D$197+(($B$111)-$A101)*'Cálculos'!$D$98)/(('Cálculos'!$D$197+(($B$111)-$A101)*'Cálculos'!$D$98)+1400)+'Cálculos'!$D$122)*'Cálculos'!$D$233+'Cálculos'!$D$125*(1+2.78*('Cálculos'!$D$197+(($B$111)-$A101)*'Cálculos'!$D$98)/(('Cálculos'!$D$197+(($B$111)-$A101)*'Cálculos'!$D$98)+1400)+'Cálculos'!$D$123)*'Cálculos'!$D$238)+('Cálculos'!$D$185*(1+'Cálculos'!$D$188+$A101*('Cálculos'!$D$290=1)*'Cálculos'!$D$97+'Cálculos'!$D$305)+'Cálculos'!$D$193)*('Cálculos'!$D$239+'Cálculos'!$D$124*(1+2.78*('Cálculos'!$D$198+(($B$111)-$A101)*'Cálculos'!$D$98)/(('Cálculos'!$D$198+(($B$111)-$A101)*'Cálculos'!$D$98)+1400)+'Cálculos'!$D$122)*'Cálculos'!$D$244+'Cálculos'!$D$125*(1+2.78*('Cálculos'!$D$198+(($B$111)-$A101)*'Cálculos'!$D$98)/(('Cálculos'!$D$198+(($B$111)-$A101)*'Cálculos'!$D$98)+1400)+'Cálculos'!$D$123)*'Cálculos'!$D$249)+('Cálculos'!$D$198+(($B$111)-$A101)*'Cálculos'!$D$98)*('Cálculos'!$D$240+'Cálculos'!$D$124*(1+2.78*('Cálculos'!$D$198+(($B$111)-$A101)*'Cálculos'!$D$98)/(('Cálculos'!$D$198+(($B$111)-$A101)*'Cálculos'!$D$98)+1400)+'Cálculos'!$D$122)*'Cálculos'!$D$245+'Cálculos'!$D$125*(1+2.78*('Cálculos'!$D$198+(($B$111)-$A101)*'Cálculos'!$D$98)/(('Cálculos'!$D$198+(($B$111)-$A101)*'Cálculos'!$D$98)+1400)+'Cálculos'!$D$123)*'Cálculos'!$D$250)+('Cálculos'!$D$201*(1+'Cálculos'!$D$202+$A101*('Cálculos'!$D$290=2)*'Cálculos'!$D$101)+'Cálculos'!$D$203)*('Cálculos'!$D$241+'Cálculos'!$D$124*(1+2.78*('Cálculos'!$D$198+(($B$111)-$A101)*'Cálculos'!$D$98)/(('Cálculos'!$D$198+(($B$111)-$A101)*'Cálculos'!$D$98)+1400)+'Cálculos'!$D$122)*'Cálculos'!$D$246+'Cálculos'!$D$125*(1+2.78*('Cálculos'!$D$198+(($B$111)-$A101)*'Cálculos'!$D$98)/(('Cálculos'!$D$198+(($B$111)-$A101)*'Cálculos'!$D$98)+1400)+'Cálculos'!$D$123)*'Cálculos'!$D$251)+('Cálculos'!$D$204*(1+'Cálculos'!$D$205+$A101*('Cálculos'!$D$290=3)*'Cálculos'!$D$103)+'Cálculos'!$D$206)*('Cálculos'!$D$242+'Cálculos'!$D$124*(1+2.78*('Cálculos'!$D$198+(($B$111)-$A101)*'Cálculos'!$D$98)/(('Cálculos'!$D$198+(($B$111)-$A101)*'Cálculos'!$D$98)+1400)+'Cálculos'!$D$122)*'Cálculos'!$D$247+'Cálculos'!$D$125*(1+2.78*('Cálculos'!$D$198+(($B$111)-$A101)*'Cálculos'!$D$98)/(('Cálculos'!$D$198+(($B$111)-$A101)*'Cálculos'!$D$98)+1400)+'Cálculos'!$D$123)*'Cálculos'!$D$252)+('Cálculos'!$D$243+'Cálculos'!$D$124*(1+2.78*('Cálculos'!$D$198+(($B$111)-$A101)*'Cálculos'!$D$98)/(('Cálculos'!$D$198+(($B$111)-$A101)*'Cálculos'!$D$98)+1400)+'Cálculos'!$D$122)*'Cálculos'!$D$248+'Cálculos'!$D$125*(1+2.78*('Cálculos'!$D$198+(($B$111)-$A101)*'Cálculos'!$D$98)/(('Cálculos'!$D$198+(($B$111)-$A101)*'Cálculos'!$D$98)+1400)+'Cálculos'!$D$123)*'Cálculos'!$D$253)+('Cálculos'!$D$185*(1+'Cálculos'!$D$189+$A101*('Cálculos'!$D$290=1)*'Cálculos'!$D$97+'Cálculos'!$D$305)+'Cálculos'!$D$194)*('Cálculos'!$D$254+'Cálculos'!$D$124*(1+2.78*('Cálculos'!$D$199+(($B$111)-$A101)*'Cálculos'!$D$98)/(('Cálculos'!$D$199+(($B$111)-$A101)*'Cálculos'!$D$98)+1400)+'Cálculos'!$D$122)*'Cálculos'!$D$259+'Cálculos'!$D$125*(1+2.78*('Cálculos'!$D$199+(($B$111)-$A101)*'Cálculos'!$D$98)/(('Cálculos'!$D$199+(($B$111)-$A101)*'Cálculos'!$D$98)+1400)+'Cálculos'!$D$123)*'Cálculos'!$D$264)+('Cálculos'!$D$199+(($B$111)-$A101)*'Cálculos'!$D$98)*('Cálculos'!$D$255+'Cálculos'!$D$124*(1+2.78*('Cálculos'!$D$199+(($B$111)-$A101)*'Cálculos'!$D$98)/(('Cálculos'!$D$199+(($B$111)-$A101)*'Cálculos'!$D$98)+1400)+'Cálculos'!$D$122)*'Cálculos'!$D$260+'Cálculos'!$D$125*(1+2.78*('Cálculos'!$D$199+(($B$111)-$A101)*'Cálculos'!$D$98)/(('Cálculos'!$D$199+(($B$111)-$A101)*'Cálculos'!$D$98)+1400)+'Cálculos'!$D$123)*'Cálculos'!$D$265)+('Cálculos'!$D$201*(1+'Cálculos'!$D$202+$A101*('Cálculos'!$D$290=2)*'Cálculos'!$D$101)+'Cálculos'!$D$203)*('Cálculos'!$D$256+'Cálculos'!$D$124*(1+2.78*('Cálculos'!$D$199+(($B$111)-$A101)*'Cálculos'!$D$98)/(('Cálculos'!$D$199+(($B$111)-$A101)*'Cálculos'!$D$98)+1400)+'Cálculos'!$D$122)*'Cálculos'!$D$261+'Cálculos'!$D$125*(1+2.78*('Cálculos'!$D$199+(($B$111)-$A101)*'Cálculos'!$D$98)/(('Cálculos'!$D$199+(($B$111)-$A101)*'Cálculos'!$D$98)+1400)+'Cálculos'!$D$123)*'Cálculos'!$D$266)+('Cálculos'!$D$204*(1+'Cálculos'!$D$205+$A101*('Cálculos'!$D$290=3)*'Cálculos'!$D$103)+'Cálculos'!$D$206)*('Cálculos'!$D$257+'Cálculos'!$D$124*(1+2.78*('Cálculos'!$D$199+(($B$111)-$A101)*'Cálculos'!$D$98)/(('Cálculos'!$D$199+(($B$111)-$A101)*'Cálculos'!$D$98)+1400)+'Cálculos'!$D$122)*'Cálculos'!$D$262+'Cálculos'!$D$125*(1+2.78*('Cálculos'!$D$199+(($B$111)-$A101)*'Cálculos'!$D$98)/(('Cálculos'!$D$199+(($B$111)-$A101)*'Cálculos'!$D$98)+1400)+'Cálculos'!$D$123)*'Cálculos'!$D$267)+('Cálculos'!$D$258+'Cálculos'!$D$124*(1+2.78*('Cálculos'!$D$199+(($B$111)-$A101)*'Cálculos'!$D$98)/(('Cálculos'!$D$199+(($B$111)-$A101)*'Cálculos'!$D$98)+1400)+'Cálculos'!$D$122)*'Cálculos'!$D$263+'Cálculos'!$D$125*(1+2.78*('Cálculos'!$D$199+(($B$111)-$A101)*'Cálculos'!$D$98)/(('Cálculos'!$D$199+(($B$111)-$A101)*'Cálculos'!$D$98)+1400)+'Cálculos'!$D$123)*'Cálculos'!$D$268)+('Cálculos'!$D$185*(1+'Cálculos'!$D$190+$A101*('Cálculos'!$D$290=1)*'Cálculos'!$D$97+'Cálculos'!$D$305)+'Cálculos'!$D$195)*('Cálculos'!$D$269+'Cálculos'!$D$124*(1+2.78*('Cálculos'!$D$200+(($B$111)-$A101)*'Cálculos'!$D$98)/(('Cálculos'!$D$200+(($B$111)-$A101)*'Cálculos'!$D$98)+1400)+'Cálculos'!$D$122)*'Cálculos'!$D$274+'Cálculos'!$D$125*(1+2.78*('Cálculos'!$D$200+(($B$111)-$A101)*'Cálculos'!$D$98)/(('Cálculos'!$D$200+(($B$111)-$A101)*'Cálculos'!$D$98)+1400)+'Cálculos'!$D$123)*'Cálculos'!$D$279)+('Cálculos'!$D$200+(($B$111)-$A101)*'Cálculos'!$D$98)*('Cálculos'!$D$270+'Cálculos'!$D$124*(1+2.78*('Cálculos'!$D$200+(($B$111)-$A101)*'Cálculos'!$D$98)/(('Cálculos'!$D$200+(($B$111)-$A101)*'Cálculos'!$D$98)+1400)+'Cálculos'!$D$122)*'Cálculos'!$D$275+'Cálculos'!$D$125*(1+2.78*('Cálculos'!$D$200+(($B$111)-$A101)*'Cálculos'!$D$98)/(('Cálculos'!$D$200+(($B$111)-$A101)*'Cálculos'!$D$98)+1400)+'Cálculos'!$D$123)*'Cálculos'!$D$280)+('Cálculos'!$D$201*(1+'Cálculos'!$D$202+$A101*('Cálculos'!$D$290=2)*'Cálculos'!$D$101)+'Cálculos'!$D$203)*('Cálculos'!$D$271+'Cálculos'!$D$124*(1+2.78*('Cálculos'!$D$200+(($B$111)-$A101)*'Cálculos'!$D$98)/(('Cálculos'!$D$200+(($B$111)-$A101)*'Cálculos'!$D$98)+1400)+'Cálculos'!$D$122)*'Cálculos'!$D$276+'Cálculos'!$D$125*(1+2.78*('Cálculos'!$D$200+(($B$111)-$A101)*'Cálculos'!$D$98)/(('Cálculos'!$D$200+(($B$111)-$A101)*'Cálculos'!$D$98)+1400)+'Cálculos'!$D$123)*'Cálculos'!$D$281)+('Cálculos'!$D$204*(1+'Cálculos'!$D$205+$A101*('Cálculos'!$D$290=3)*'Cálculos'!$D$103)+'Cálculos'!$D$206)*('Cálculos'!$D$272+'Cálculos'!$D$124*(1+2.78*('Cálculos'!$D$200+(($B$111)-$A101)*'Cálculos'!$D$98)/(('Cálculos'!$D$200+(($B$111)-$A101)*'Cálculos'!$D$98)+1400)+'Cálculos'!$D$122)*'Cálculos'!$D$277+'Cálculos'!$D$125*(1+2.78*('Cálculos'!$D$200+(($B$111)-$A101)*'Cálculos'!$D$98)/(('Cálculos'!$D$200+(($B$111)-$A101)*'Cálculos'!$D$98)+1400)+'Cálculos'!$D$123)*'Cálculos'!$D$282)+('Cálculos'!$D$273+'Cálculos'!$D$124*(1+2.78*('Cálculos'!$D$200+(($B$111)-$A101)*'Cálculos'!$D$98)/(('Cálculos'!$D$200+(($B$111)-$A101)*'Cálculos'!$D$98)+1400)+'Cálculos'!$D$122)*'Cálculos'!$D$278+'Cálculos'!$D$125*(1+2.78*('Cálculos'!$D$200+(($B$111)-$A101)*'Cálculos'!$D$98)/(('Cálculos'!$D$200+(($B$111)-$A101)*'Cálculos'!$D$98)+1400)+'Cálculos'!$D$123)*'Cálculos'!$D$283)))</f>
        <v>0</v>
      </c>
    </row>
    <row r="102" ht="15.75" customHeight="1">
      <c r="A102" s="2">
        <v>39.0</v>
      </c>
      <c r="B102" s="30">
        <f>SUMPRODUCT(MAX(($A$63:$A$108&lt;=$A102)*($A$63:$A$108&lt;='Cálculos'!$D$294)*(($A102)-$A$63:$A$108&lt;='Cálculos'!$D$295)*(1+(('Cálculos'!$D$207+$A$63:$A$108*'Cálculos'!$D$95)-(('Cálculos'!$D$207+$A$63:$A$108*'Cálculos'!$D$95)&gt;1)*(('Cálculos'!$D$207+$A$63:$A$108*'Cálculos'!$D$95)-1))*('Cálculos'!$D$208+(($A102)-$A$63:$A$108)*'Cálculos'!$D$96))))</f>
        <v>2.508692173</v>
      </c>
      <c r="C102" s="2">
        <f>'Cálculos'!$D$303-$A102</f>
        <v>-28</v>
      </c>
      <c r="D102" s="31">
        <f>IF($C102&lt;0,0,SUMPRODUCT(MAX(($A$63:$A$108&lt;=$C102)*($A$63:$A$108&lt;='Cálculos'!$D$301)*(($C102)-$A$63:$A$108&lt;='Cálculos'!$D$297)*(('Cálculos'!$D$185*(1+'Cálculos'!$D$186+$A$63:$A$108*('Cálculos'!$D$290=1)*'Cálculos'!$D$97+'Cálculos'!$D$305)+'Cálculos'!$D$191)*('Cálculos'!$D$209+'Cálculos'!$D$124*(1+2.78*('Cálculos'!$D$196+(($C102)-$A$63:$A$108)*'Cálculos'!$D$98)/(('Cálculos'!$D$196+(($C102)-$A$63:$A$108)*'Cálculos'!$D$98)+1400)+'Cálculos'!$D$122)*'Cálculos'!$D$214+'Cálculos'!$D$125*(1+2.78*('Cálculos'!$D$196+(($C102)-$A$63:$A$108)*'Cálculos'!$D$98)/(('Cálculos'!$D$196+(($C102)-$A$63:$A$108)*'Cálculos'!$D$98)+1400)+'Cálculos'!$D$123)*'Cálculos'!$D$219)+('Cálculos'!$D$196+(($C102)-$A$63:$A$108)*'Cálculos'!$D$98)*('Cálculos'!$D$210+'Cálculos'!$D$124*(1+2.78*('Cálculos'!$D$196+(($C102)-$A$63:$A$108)*'Cálculos'!$D$98)/(('Cálculos'!$D$196+(($C102)-$A$63:$A$108)*'Cálculos'!$D$98)+1400)+'Cálculos'!$D$122)*'Cálculos'!$D$215+'Cálculos'!$D$125*(1+2.78*('Cálculos'!$D$196+(($C102)-$A$63:$A$108)*'Cálculos'!$D$98)/(('Cálculos'!$D$196+(($C102)-$A$63:$A$108)*'Cálculos'!$D$98)+1400)+'Cálculos'!$D$123)*'Cálculos'!$D$220)+('Cálculos'!$D$201*(1+'Cálculos'!$D$202+$A$63:$A$108*('Cálculos'!$D$290=2)*'Cálculos'!$D$101)+'Cálculos'!$D$203)*('Cálculos'!$D$211+'Cálculos'!$D$124*(1+2.78*('Cálculos'!$D$196+(($C102)-$A$63:$A$108)*'Cálculos'!$D$98)/(('Cálculos'!$D$196+(($C102)-$A$63:$A$108)*'Cálculos'!$D$98)+1400)+'Cálculos'!$D$122)*'Cálculos'!$D$216+'Cálculos'!$D$125*(1+2.78*('Cálculos'!$D$196+(($C102)-$A$63:$A$108)*'Cálculos'!$D$98)/(('Cálculos'!$D$196+(($C102)-$A$63:$A$108)*'Cálculos'!$D$98)+1400)+'Cálculos'!$D$123)*'Cálculos'!$D$221)+('Cálculos'!$D$204*(1+'Cálculos'!$D$205+$A$63:$A$108*('Cálculos'!$D$290=3)*'Cálculos'!$D$103)+'Cálculos'!$D$206)*('Cálculos'!$D$212+'Cálculos'!$D$124*(1+2.78*('Cálculos'!$D$196+(($C102)-$A$63:$A$108)*'Cálculos'!$D$98)/(('Cálculos'!$D$196+(($C102)-$A$63:$A$108)*'Cálculos'!$D$98)+1400)+'Cálculos'!$D$122)*'Cálculos'!$D$217+'Cálculos'!$D$125*(1+2.78*('Cálculos'!$D$196+(($C102)-$A$63:$A$108)*'Cálculos'!$D$98)/(('Cálculos'!$D$196+(($C102)-$A$63:$A$108)*'Cálculos'!$D$98)+1400)+'Cálculos'!$D$123)*'Cálculos'!$D$222)+('Cálculos'!$D$213+'Cálculos'!$D$124*(1+2.78*('Cálculos'!$D$196+(($C102)-$A$63:$A$108)*'Cálculos'!$D$98)/(('Cálculos'!$D$196+(($C102)-$A$63:$A$108)*'Cálculos'!$D$98)+1400)+'Cálculos'!$D$122)*'Cálculos'!$D$218+'Cálculos'!$D$125*(1+2.78*('Cálculos'!$D$196+(($C102)-$A$63:$A$108)*'Cálculos'!$D$98)/(('Cálculos'!$D$196+(($C102)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102)-$A$63:$A$108)*'Cálculos'!$D$98)/(('Cálculos'!$D$197+(($C102)-$A$63:$A$108)*'Cálculos'!$D$98)+1400)+'Cálculos'!$D$122)*'Cálculos'!$D$229+'Cálculos'!$D$125*(1+2.78*('Cálculos'!$D$197+(($C102)-$A$63:$A$108)*'Cálculos'!$D$98)/(('Cálculos'!$D$197+(($C102)-$A$63:$A$108)*'Cálculos'!$D$98)+1400)+'Cálculos'!$D$123)*'Cálculos'!$D$234)+('Cálculos'!$D$197+(($C102)-$A$63:$A$108)*'Cálculos'!$D$98)*('Cálculos'!$D$225+'Cálculos'!$D$124*(1+2.78*('Cálculos'!$D$197+(($C102)-$A$63:$A$108)*'Cálculos'!$D$98)/(('Cálculos'!$D$197+(($C102)-$A$63:$A$108)*'Cálculos'!$D$98)+1400)+'Cálculos'!$D$122)*'Cálculos'!$D$230+'Cálculos'!$D$125*(1+2.78*('Cálculos'!$D$197+(($C102)-$A$63:$A$108)*'Cálculos'!$D$98)/(('Cálculos'!$D$197+(($C102)-$A$63:$A$108)*'Cálculos'!$D$98)+1400)+'Cálculos'!$D$123)*'Cálculos'!$D$235)+('Cálculos'!$D$201*(1+'Cálculos'!$D$202+$A$63:$A$108*('Cálculos'!$D$290=2)*'Cálculos'!$D$101)+'Cálculos'!$D$203)*('Cálculos'!$D$226+'Cálculos'!$D$124*(1+2.78*('Cálculos'!$D$197+(($C102)-$A$63:$A$108)*'Cálculos'!$D$98)/(('Cálculos'!$D$197+(($C102)-$A$63:$A$108)*'Cálculos'!$D$98)+1400)+'Cálculos'!$D$122)*'Cálculos'!$D$231+'Cálculos'!$D$125*(1+2.78*('Cálculos'!$D$197+(($C102)-$A$63:$A$108)*'Cálculos'!$D$98)/(('Cálculos'!$D$197+(($C102)-$A$63:$A$108)*'Cálculos'!$D$98)+1400)+'Cálculos'!$D$123)*'Cálculos'!$D$236)+('Cálculos'!$D$204*(1+'Cálculos'!$D$205+$A$63:$A$108*('Cálculos'!$D$290=3)*'Cálculos'!$D$103)+'Cálculos'!$D$206)*('Cálculos'!$D$227+'Cálculos'!$D$124*(1+2.78*('Cálculos'!$D$197+(($C102)-$A$63:$A$108)*'Cálculos'!$D$98)/(('Cálculos'!$D$197+(($C102)-$A$63:$A$108)*'Cálculos'!$D$98)+1400)+'Cálculos'!$D$122)*'Cálculos'!$D$232+'Cálculos'!$D$125*(1+2.78*('Cálculos'!$D$197+(($C102)-$A$63:$A$108)*'Cálculos'!$D$98)/(('Cálculos'!$D$197+(($C102)-$A$63:$A$108)*'Cálculos'!$D$98)+1400)+'Cálculos'!$D$123)*'Cálculos'!$D$237)+('Cálculos'!$D$228+'Cálculos'!$D$124*(1+2.78*('Cálculos'!$D$197+(($C102)-$A$63:$A$108)*'Cálculos'!$D$98)/(('Cálculos'!$D$197+(($C102)-$A$63:$A$108)*'Cálculos'!$D$98)+1400)+'Cálculos'!$D$122)*'Cálculos'!$D$233+'Cálculos'!$D$125*(1+2.78*('Cálculos'!$D$197+(($C102)-$A$63:$A$108)*'Cálculos'!$D$98)/(('Cálculos'!$D$197+(($C102)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102)-$A$63:$A$108)*'Cálculos'!$D$98)/(('Cálculos'!$D$198+(($C102)-$A$63:$A$108)*'Cálculos'!$D$98)+1400)+'Cálculos'!$D$122)*'Cálculos'!$D$244+'Cálculos'!$D$125*(1+2.78*('Cálculos'!$D$198+(($C102)-$A$63:$A$108)*'Cálculos'!$D$98)/(('Cálculos'!$D$198+(($C102)-$A$63:$A$108)*'Cálculos'!$D$98)+1400)+'Cálculos'!$D$123)*'Cálculos'!$D$249)+('Cálculos'!$D$198+(($C102)-$A$63:$A$108)*'Cálculos'!$D$98)*('Cálculos'!$D$240+'Cálculos'!$D$124*(1+2.78*('Cálculos'!$D$198+(($C102)-$A$63:$A$108)*'Cálculos'!$D$98)/(('Cálculos'!$D$198+(($C102)-$A$63:$A$108)*'Cálculos'!$D$98)+1400)+'Cálculos'!$D$122)*'Cálculos'!$D$245+'Cálculos'!$D$125*(1+2.78*('Cálculos'!$D$198+(($C102)-$A$63:$A$108)*'Cálculos'!$D$98)/(('Cálculos'!$D$198+(($C102)-$A$63:$A$108)*'Cálculos'!$D$98)+1400)+'Cálculos'!$D$123)*'Cálculos'!$D$250)+('Cálculos'!$D$201*(1+'Cálculos'!$D$202+$A$63:$A$108*('Cálculos'!$D$290=2)*'Cálculos'!$D$101)+'Cálculos'!$D$203)*('Cálculos'!$D$241+'Cálculos'!$D$124*(1+2.78*('Cálculos'!$D$198+(($C102)-$A$63:$A$108)*'Cálculos'!$D$98)/(('Cálculos'!$D$198+(($C102)-$A$63:$A$108)*'Cálculos'!$D$98)+1400)+'Cálculos'!$D$122)*'Cálculos'!$D$246+'Cálculos'!$D$125*(1+2.78*('Cálculos'!$D$198+(($C102)-$A$63:$A$108)*'Cálculos'!$D$98)/(('Cálculos'!$D$198+(($C102)-$A$63:$A$108)*'Cálculos'!$D$98)+1400)+'Cálculos'!$D$123)*'Cálculos'!$D$251)+('Cálculos'!$D$204*(1+'Cálculos'!$D$205+$A$63:$A$108*('Cálculos'!$D$290=3)*'Cálculos'!$D$103)+'Cálculos'!$D$206)*('Cálculos'!$D$242+'Cálculos'!$D$124*(1+2.78*('Cálculos'!$D$198+(($C102)-$A$63:$A$108)*'Cálculos'!$D$98)/(('Cálculos'!$D$198+(($C102)-$A$63:$A$108)*'Cálculos'!$D$98)+1400)+'Cálculos'!$D$122)*'Cálculos'!$D$247+'Cálculos'!$D$125*(1+2.78*('Cálculos'!$D$198+(($C102)-$A$63:$A$108)*'Cálculos'!$D$98)/(('Cálculos'!$D$198+(($C102)-$A$63:$A$108)*'Cálculos'!$D$98)+1400)+'Cálculos'!$D$123)*'Cálculos'!$D$252)+('Cálculos'!$D$243+'Cálculos'!$D$124*(1+2.78*('Cálculos'!$D$198+(($C102)-$A$63:$A$108)*'Cálculos'!$D$98)/(('Cálculos'!$D$198+(($C102)-$A$63:$A$108)*'Cálculos'!$D$98)+1400)+'Cálculos'!$D$122)*'Cálculos'!$D$248+'Cálculos'!$D$125*(1+2.78*('Cálculos'!$D$198+(($C102)-$A$63:$A$108)*'Cálculos'!$D$98)/(('Cálculos'!$D$198+(($C102)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102)-$A$63:$A$108)*'Cálculos'!$D$98)/(('Cálculos'!$D$199+(($C102)-$A$63:$A$108)*'Cálculos'!$D$98)+1400)+'Cálculos'!$D$122)*'Cálculos'!$D$259+'Cálculos'!$D$125*(1+2.78*('Cálculos'!$D$199+(($C102)-$A$63:$A$108)*'Cálculos'!$D$98)/(('Cálculos'!$D$199+(($C102)-$A$63:$A$108)*'Cálculos'!$D$98)+1400)+'Cálculos'!$D$123)*'Cálculos'!$D$264)+('Cálculos'!$D$199+(($C102)-$A$63:$A$108)*'Cálculos'!$D$98)*('Cálculos'!$D$255+'Cálculos'!$D$124*(1+2.78*('Cálculos'!$D$199+(($C102)-$A$63:$A$108)*'Cálculos'!$D$98)/(('Cálculos'!$D$199+(($C102)-$A$63:$A$108)*'Cálculos'!$D$98)+1400)+'Cálculos'!$D$122)*'Cálculos'!$D$260+'Cálculos'!$D$125*(1+2.78*('Cálculos'!$D$199+(($C102)-$A$63:$A$108)*'Cálculos'!$D$98)/(('Cálculos'!$D$199+(($C102)-$A$63:$A$108)*'Cálculos'!$D$98)+1400)+'Cálculos'!$D$123)*'Cálculos'!$D$265)+('Cálculos'!$D$201*(1+'Cálculos'!$D$202+$A$63:$A$108*('Cálculos'!$D$290=2)*'Cálculos'!$D$101)+'Cálculos'!$D$203)*('Cálculos'!$D$256+'Cálculos'!$D$124*(1+2.78*('Cálculos'!$D$199+(($C102)-$A$63:$A$108)*'Cálculos'!$D$98)/(('Cálculos'!$D$199+(($C102)-$A$63:$A$108)*'Cálculos'!$D$98)+1400)+'Cálculos'!$D$122)*'Cálculos'!$D$261+'Cálculos'!$D$125*(1+2.78*('Cálculos'!$D$199+(($C102)-$A$63:$A$108)*'Cálculos'!$D$98)/(('Cálculos'!$D$199+(($C102)-$A$63:$A$108)*'Cálculos'!$D$98)+1400)+'Cálculos'!$D$123)*'Cálculos'!$D$266)+('Cálculos'!$D$204*(1+'Cálculos'!$D$205+$A$63:$A$108*('Cálculos'!$D$290=3)*'Cálculos'!$D$103)+'Cálculos'!$D$206)*('Cálculos'!$D$257+'Cálculos'!$D$124*(1+2.78*('Cálculos'!$D$199+(($C102)-$A$63:$A$108)*'Cálculos'!$D$98)/(('Cálculos'!$D$199+(($C102)-$A$63:$A$108)*'Cálculos'!$D$98)+1400)+'Cálculos'!$D$122)*'Cálculos'!$D$262+'Cálculos'!$D$125*(1+2.78*('Cálculos'!$D$199+(($C102)-$A$63:$A$108)*'Cálculos'!$D$98)/(('Cálculos'!$D$199+(($C102)-$A$63:$A$108)*'Cálculos'!$D$98)+1400)+'Cálculos'!$D$123)*'Cálculos'!$D$267)+('Cálculos'!$D$258+'Cálculos'!$D$124*(1+2.78*('Cálculos'!$D$199+(($C102)-$A$63:$A$108)*'Cálculos'!$D$98)/(('Cálculos'!$D$199+(($C102)-$A$63:$A$108)*'Cálculos'!$D$98)+1400)+'Cálculos'!$D$122)*'Cálculos'!$D$263+'Cálculos'!$D$125*(1+2.78*('Cálculos'!$D$199+(($C102)-$A$63:$A$108)*'Cálculos'!$D$98)/(('Cálculos'!$D$199+(($C102)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102)-$A$63:$A$108)*'Cálculos'!$D$98)/(('Cálculos'!$D$200+(($C102)-$A$63:$A$108)*'Cálculos'!$D$98)+1400)+'Cálculos'!$D$122)*'Cálculos'!$D$274+'Cálculos'!$D$125*(1+2.78*('Cálculos'!$D$200+(($C102)-$A$63:$A$108)*'Cálculos'!$D$98)/(('Cálculos'!$D$200+(($C102)-$A$63:$A$108)*'Cálculos'!$D$98)+1400)+'Cálculos'!$D$123)*'Cálculos'!$D$279)+('Cálculos'!$D$200+(($C102)-$A$63:$A$108)*'Cálculos'!$D$98)*('Cálculos'!$D$270+'Cálculos'!$D$124*(1+2.78*('Cálculos'!$D$200+(($C102)-$A$63:$A$108)*'Cálculos'!$D$98)/(('Cálculos'!$D$200+(($C102)-$A$63:$A$108)*'Cálculos'!$D$98)+1400)+'Cálculos'!$D$122)*'Cálculos'!$D$275+'Cálculos'!$D$125*(1+2.78*('Cálculos'!$D$200+(($C102)-$A$63:$A$108)*'Cálculos'!$D$98)/(('Cálculos'!$D$200+(($C102)-$A$63:$A$108)*'Cálculos'!$D$98)+1400)+'Cálculos'!$D$123)*'Cálculos'!$D$280)+('Cálculos'!$D$201*(1+'Cálculos'!$D$202+$A$63:$A$108*('Cálculos'!$D$290=2)*'Cálculos'!$D$101)+'Cálculos'!$D$203)*('Cálculos'!$D$271+'Cálculos'!$D$124*(1+2.78*('Cálculos'!$D$200+(($C102)-$A$63:$A$108)*'Cálculos'!$D$98)/(('Cálculos'!$D$200+(($C102)-$A$63:$A$108)*'Cálculos'!$D$98)+1400)+'Cálculos'!$D$122)*'Cálculos'!$D$276+'Cálculos'!$D$125*(1+2.78*('Cálculos'!$D$200+(($C102)-$A$63:$A$108)*'Cálculos'!$D$98)/(('Cálculos'!$D$200+(($C102)-$A$63:$A$108)*'Cálculos'!$D$98)+1400)+'Cálculos'!$D$123)*'Cálculos'!$D$281)+('Cálculos'!$D$204*(1+'Cálculos'!$D$205+$A$63:$A$108*('Cálculos'!$D$290=3)*'Cálculos'!$D$103)+'Cálculos'!$D$206)*('Cálculos'!$D$272+'Cálculos'!$D$124*(1+2.78*('Cálculos'!$D$200+(($C102)-$A$63:$A$108)*'Cálculos'!$D$98)/(('Cálculos'!$D$200+(($C102)-$A$63:$A$108)*'Cálculos'!$D$98)+1400)+'Cálculos'!$D$122)*'Cálculos'!$D$277+'Cálculos'!$D$125*(1+2.78*('Cálculos'!$D$200+(($C102)-$A$63:$A$108)*'Cálculos'!$D$98)/(('Cálculos'!$D$200+(($C102)-$A$63:$A$108)*'Cálculos'!$D$98)+1400)+'Cálculos'!$D$123)*'Cálculos'!$D$282)+('Cálculos'!$D$273+'Cálculos'!$D$124*(1+2.78*('Cálculos'!$D$200+(($C102)-$A$63:$A$108)*'Cálculos'!$D$98)/(('Cálculos'!$D$200+(($C102)-$A$63:$A$108)*'Cálculos'!$D$98)+1400)+'Cálculos'!$D$122)*'Cálculos'!$D$278+'Cálculos'!$D$125*(1+2.78*('Cálculos'!$D$200+(($C102)-$A$63:$A$108)*'Cálculos'!$D$98)/(('Cálculos'!$D$200+(($C102)-$A$63:$A$108)*'Cálculos'!$D$98)+1400)+'Cálculos'!$D$123)*'Cálculos'!$D$283)))))</f>
        <v>0</v>
      </c>
      <c r="E102" s="32">
        <f>IF(OR($C102&lt;0,'Cálculos'!$D$6=""),0,$B102*$D102)</f>
        <v>0</v>
      </c>
      <c r="F102" s="2"/>
      <c r="G102" s="30">
        <f>($A102&lt;=$B$110)*($A102&lt;='Cálculos'!$D$294)*(($B$110)-$A102&lt;='Cálculos'!$D$295)*(1+MIN(('Cálculos'!$D$207+$A102*'Cálculos'!$D$95),1)*('Cálculos'!$D$208+(($B$110)-$A102)*'Cálculos'!$D$96))</f>
        <v>0</v>
      </c>
      <c r="H102" s="31">
        <f>IF($B$111&lt;0,0,($A102&lt;=$B$111)*($A102&lt;='Cálculos'!$D$301)*(($B$111)-$A102&lt;='Cálculos'!$D$297)*(('Cálculos'!$D$185*(1+'Cálculos'!$D$186+$A102*('Cálculos'!$D$290=1)*'Cálculos'!$D$97+'Cálculos'!$D$305)+'Cálculos'!$D$191)*('Cálculos'!$D$209+'Cálculos'!$D$124*(1+2.78*('Cálculos'!$D$196+(($B$111)-$A102)*'Cálculos'!$D$98)/(('Cálculos'!$D$196+(($B$111)-$A102)*'Cálculos'!$D$98)+1400)+'Cálculos'!$D$122)*'Cálculos'!$D$214+'Cálculos'!$D$125*(1+2.78*('Cálculos'!$D$196+(($B$111)-$A102)*'Cálculos'!$D$98)/(('Cálculos'!$D$196+(($B$111)-$A102)*'Cálculos'!$D$98)+1400)+'Cálculos'!$D$123)*'Cálculos'!$D$219)+('Cálculos'!$D$196+(($B$111)-$A102)*'Cálculos'!$D$98)*('Cálculos'!$D$210+'Cálculos'!$D$124*(1+2.78*('Cálculos'!$D$196+(($B$111)-$A102)*'Cálculos'!$D$98)/(('Cálculos'!$D$196+(($B$111)-$A102)*'Cálculos'!$D$98)+1400)+'Cálculos'!$D$122)*'Cálculos'!$D$215+'Cálculos'!$D$125*(1+2.78*('Cálculos'!$D$196+(($B$111)-$A102)*'Cálculos'!$D$98)/(('Cálculos'!$D$196+(($B$111)-$A102)*'Cálculos'!$D$98)+1400)+'Cálculos'!$D$123)*'Cálculos'!$D$220)+('Cálculos'!$D$201*(1+'Cálculos'!$D$202+$A102*('Cálculos'!$D$290=2)*'Cálculos'!$D$101)+'Cálculos'!$D$203)*('Cálculos'!$D$211+'Cálculos'!$D$124*(1+2.78*('Cálculos'!$D$196+(($B$111)-$A102)*'Cálculos'!$D$98)/(('Cálculos'!$D$196+(($B$111)-$A102)*'Cálculos'!$D$98)+1400)+'Cálculos'!$D$122)*'Cálculos'!$D$216+'Cálculos'!$D$125*(1+2.78*('Cálculos'!$D$196+(($B$111)-$A102)*'Cálculos'!$D$98)/(('Cálculos'!$D$196+(($B$111)-$A102)*'Cálculos'!$D$98)+1400)+'Cálculos'!$D$123)*'Cálculos'!$D$221)+('Cálculos'!$D$204*(1+'Cálculos'!$D$205+$A102*('Cálculos'!$D$290=3)*'Cálculos'!$D$103)+'Cálculos'!$D$206)*('Cálculos'!$D$212+'Cálculos'!$D$124*(1+2.78*('Cálculos'!$D$196+(($B$111)-$A102)*'Cálculos'!$D$98)/(('Cálculos'!$D$196+(($B$111)-$A102)*'Cálculos'!$D$98)+1400)+'Cálculos'!$D$122)*'Cálculos'!$D$217+'Cálculos'!$D$125*(1+2.78*('Cálculos'!$D$196+(($B$111)-$A102)*'Cálculos'!$D$98)/(('Cálculos'!$D$196+(($B$111)-$A102)*'Cálculos'!$D$98)+1400)+'Cálculos'!$D$123)*'Cálculos'!$D$222)+('Cálculos'!$D$213+'Cálculos'!$D$124*(1+2.78*('Cálculos'!$D$196+(($B$111)-$A102)*'Cálculos'!$D$98)/(('Cálculos'!$D$196+(($B$111)-$A102)*'Cálculos'!$D$98)+1400)+'Cálculos'!$D$122)*'Cálculos'!$D$218+'Cálculos'!$D$125*(1+2.78*('Cálculos'!$D$196+(($B$111)-$A102)*'Cálculos'!$D$98)/(('Cálculos'!$D$196+(($B$111)-$A102)*'Cálculos'!$D$98)+1400)+'Cálculos'!$D$123)*'Cálculos'!$D$223)+('Cálculos'!$D$185*(1+'Cálculos'!$D$187+$A102*('Cálculos'!$D$290=1)*'Cálculos'!$D$97+'Cálculos'!$D$305)+'Cálculos'!$D$192)*('Cálculos'!$D$224+'Cálculos'!$D$124*(1+2.78*('Cálculos'!$D$197+(($B$111)-$A102)*'Cálculos'!$D$98)/(('Cálculos'!$D$197+(($B$111)-$A102)*'Cálculos'!$D$98)+1400)+'Cálculos'!$D$122)*'Cálculos'!$D$229+'Cálculos'!$D$125*(1+2.78*('Cálculos'!$D$197+(($B$111)-$A102)*'Cálculos'!$D$98)/(('Cálculos'!$D$197+(($B$111)-$A102)*'Cálculos'!$D$98)+1400)+'Cálculos'!$D$123)*'Cálculos'!$D$234)+('Cálculos'!$D$197+(($B$111)-$A102)*'Cálculos'!$D$98)*('Cálculos'!$D$225+'Cálculos'!$D$124*(1+2.78*('Cálculos'!$D$197+(($B$111)-$A102)*'Cálculos'!$D$98)/(('Cálculos'!$D$197+(($B$111)-$A102)*'Cálculos'!$D$98)+1400)+'Cálculos'!$D$122)*'Cálculos'!$D$230+'Cálculos'!$D$125*(1+2.78*('Cálculos'!$D$197+(($B$111)-$A102)*'Cálculos'!$D$98)/(('Cálculos'!$D$197+(($B$111)-$A102)*'Cálculos'!$D$98)+1400)+'Cálculos'!$D$123)*'Cálculos'!$D$235)+('Cálculos'!$D$201*(1+'Cálculos'!$D$202+$A102*('Cálculos'!$D$290=2)*'Cálculos'!$D$101)+'Cálculos'!$D$203)*('Cálculos'!$D$226+'Cálculos'!$D$124*(1+2.78*('Cálculos'!$D$197+(($B$111)-$A102)*'Cálculos'!$D$98)/(('Cálculos'!$D$197+(($B$111)-$A102)*'Cálculos'!$D$98)+1400)+'Cálculos'!$D$122)*'Cálculos'!$D$231+'Cálculos'!$D$125*(1+2.78*('Cálculos'!$D$197+(($B$111)-$A102)*'Cálculos'!$D$98)/(('Cálculos'!$D$197+(($B$111)-$A102)*'Cálculos'!$D$98)+1400)+'Cálculos'!$D$123)*'Cálculos'!$D$236)+('Cálculos'!$D$204*(1+'Cálculos'!$D$205+$A102*('Cálculos'!$D$290=3)*'Cálculos'!$D$103)+'Cálculos'!$D$206)*('Cálculos'!$D$227+'Cálculos'!$D$124*(1+2.78*('Cálculos'!$D$197+(($B$111)-$A102)*'Cálculos'!$D$98)/(('Cálculos'!$D$197+(($B$111)-$A102)*'Cálculos'!$D$98)+1400)+'Cálculos'!$D$122)*'Cálculos'!$D$232+'Cálculos'!$D$125*(1+2.78*('Cálculos'!$D$197+(($B$111)-$A102)*'Cálculos'!$D$98)/(('Cálculos'!$D$197+(($B$111)-$A102)*'Cálculos'!$D$98)+1400)+'Cálculos'!$D$123)*'Cálculos'!$D$237)+('Cálculos'!$D$228+'Cálculos'!$D$124*(1+2.78*('Cálculos'!$D$197+(($B$111)-$A102)*'Cálculos'!$D$98)/(('Cálculos'!$D$197+(($B$111)-$A102)*'Cálculos'!$D$98)+1400)+'Cálculos'!$D$122)*'Cálculos'!$D$233+'Cálculos'!$D$125*(1+2.78*('Cálculos'!$D$197+(($B$111)-$A102)*'Cálculos'!$D$98)/(('Cálculos'!$D$197+(($B$111)-$A102)*'Cálculos'!$D$98)+1400)+'Cálculos'!$D$123)*'Cálculos'!$D$238)+('Cálculos'!$D$185*(1+'Cálculos'!$D$188+$A102*('Cálculos'!$D$290=1)*'Cálculos'!$D$97+'Cálculos'!$D$305)+'Cálculos'!$D$193)*('Cálculos'!$D$239+'Cálculos'!$D$124*(1+2.78*('Cálculos'!$D$198+(($B$111)-$A102)*'Cálculos'!$D$98)/(('Cálculos'!$D$198+(($B$111)-$A102)*'Cálculos'!$D$98)+1400)+'Cálculos'!$D$122)*'Cálculos'!$D$244+'Cálculos'!$D$125*(1+2.78*('Cálculos'!$D$198+(($B$111)-$A102)*'Cálculos'!$D$98)/(('Cálculos'!$D$198+(($B$111)-$A102)*'Cálculos'!$D$98)+1400)+'Cálculos'!$D$123)*'Cálculos'!$D$249)+('Cálculos'!$D$198+(($B$111)-$A102)*'Cálculos'!$D$98)*('Cálculos'!$D$240+'Cálculos'!$D$124*(1+2.78*('Cálculos'!$D$198+(($B$111)-$A102)*'Cálculos'!$D$98)/(('Cálculos'!$D$198+(($B$111)-$A102)*'Cálculos'!$D$98)+1400)+'Cálculos'!$D$122)*'Cálculos'!$D$245+'Cálculos'!$D$125*(1+2.78*('Cálculos'!$D$198+(($B$111)-$A102)*'Cálculos'!$D$98)/(('Cálculos'!$D$198+(($B$111)-$A102)*'Cálculos'!$D$98)+1400)+'Cálculos'!$D$123)*'Cálculos'!$D$250)+('Cálculos'!$D$201*(1+'Cálculos'!$D$202+$A102*('Cálculos'!$D$290=2)*'Cálculos'!$D$101)+'Cálculos'!$D$203)*('Cálculos'!$D$241+'Cálculos'!$D$124*(1+2.78*('Cálculos'!$D$198+(($B$111)-$A102)*'Cálculos'!$D$98)/(('Cálculos'!$D$198+(($B$111)-$A102)*'Cálculos'!$D$98)+1400)+'Cálculos'!$D$122)*'Cálculos'!$D$246+'Cálculos'!$D$125*(1+2.78*('Cálculos'!$D$198+(($B$111)-$A102)*'Cálculos'!$D$98)/(('Cálculos'!$D$198+(($B$111)-$A102)*'Cálculos'!$D$98)+1400)+'Cálculos'!$D$123)*'Cálculos'!$D$251)+('Cálculos'!$D$204*(1+'Cálculos'!$D$205+$A102*('Cálculos'!$D$290=3)*'Cálculos'!$D$103)+'Cálculos'!$D$206)*('Cálculos'!$D$242+'Cálculos'!$D$124*(1+2.78*('Cálculos'!$D$198+(($B$111)-$A102)*'Cálculos'!$D$98)/(('Cálculos'!$D$198+(($B$111)-$A102)*'Cálculos'!$D$98)+1400)+'Cálculos'!$D$122)*'Cálculos'!$D$247+'Cálculos'!$D$125*(1+2.78*('Cálculos'!$D$198+(($B$111)-$A102)*'Cálculos'!$D$98)/(('Cálculos'!$D$198+(($B$111)-$A102)*'Cálculos'!$D$98)+1400)+'Cálculos'!$D$123)*'Cálculos'!$D$252)+('Cálculos'!$D$243+'Cálculos'!$D$124*(1+2.78*('Cálculos'!$D$198+(($B$111)-$A102)*'Cálculos'!$D$98)/(('Cálculos'!$D$198+(($B$111)-$A102)*'Cálculos'!$D$98)+1400)+'Cálculos'!$D$122)*'Cálculos'!$D$248+'Cálculos'!$D$125*(1+2.78*('Cálculos'!$D$198+(($B$111)-$A102)*'Cálculos'!$D$98)/(('Cálculos'!$D$198+(($B$111)-$A102)*'Cálculos'!$D$98)+1400)+'Cálculos'!$D$123)*'Cálculos'!$D$253)+('Cálculos'!$D$185*(1+'Cálculos'!$D$189+$A102*('Cálculos'!$D$290=1)*'Cálculos'!$D$97+'Cálculos'!$D$305)+'Cálculos'!$D$194)*('Cálculos'!$D$254+'Cálculos'!$D$124*(1+2.78*('Cálculos'!$D$199+(($B$111)-$A102)*'Cálculos'!$D$98)/(('Cálculos'!$D$199+(($B$111)-$A102)*'Cálculos'!$D$98)+1400)+'Cálculos'!$D$122)*'Cálculos'!$D$259+'Cálculos'!$D$125*(1+2.78*('Cálculos'!$D$199+(($B$111)-$A102)*'Cálculos'!$D$98)/(('Cálculos'!$D$199+(($B$111)-$A102)*'Cálculos'!$D$98)+1400)+'Cálculos'!$D$123)*'Cálculos'!$D$264)+('Cálculos'!$D$199+(($B$111)-$A102)*'Cálculos'!$D$98)*('Cálculos'!$D$255+'Cálculos'!$D$124*(1+2.78*('Cálculos'!$D$199+(($B$111)-$A102)*'Cálculos'!$D$98)/(('Cálculos'!$D$199+(($B$111)-$A102)*'Cálculos'!$D$98)+1400)+'Cálculos'!$D$122)*'Cálculos'!$D$260+'Cálculos'!$D$125*(1+2.78*('Cálculos'!$D$199+(($B$111)-$A102)*'Cálculos'!$D$98)/(('Cálculos'!$D$199+(($B$111)-$A102)*'Cálculos'!$D$98)+1400)+'Cálculos'!$D$123)*'Cálculos'!$D$265)+('Cálculos'!$D$201*(1+'Cálculos'!$D$202+$A102*('Cálculos'!$D$290=2)*'Cálculos'!$D$101)+'Cálculos'!$D$203)*('Cálculos'!$D$256+'Cálculos'!$D$124*(1+2.78*('Cálculos'!$D$199+(($B$111)-$A102)*'Cálculos'!$D$98)/(('Cálculos'!$D$199+(($B$111)-$A102)*'Cálculos'!$D$98)+1400)+'Cálculos'!$D$122)*'Cálculos'!$D$261+'Cálculos'!$D$125*(1+2.78*('Cálculos'!$D$199+(($B$111)-$A102)*'Cálculos'!$D$98)/(('Cálculos'!$D$199+(($B$111)-$A102)*'Cálculos'!$D$98)+1400)+'Cálculos'!$D$123)*'Cálculos'!$D$266)+('Cálculos'!$D$204*(1+'Cálculos'!$D$205+$A102*('Cálculos'!$D$290=3)*'Cálculos'!$D$103)+'Cálculos'!$D$206)*('Cálculos'!$D$257+'Cálculos'!$D$124*(1+2.78*('Cálculos'!$D$199+(($B$111)-$A102)*'Cálculos'!$D$98)/(('Cálculos'!$D$199+(($B$111)-$A102)*'Cálculos'!$D$98)+1400)+'Cálculos'!$D$122)*'Cálculos'!$D$262+'Cálculos'!$D$125*(1+2.78*('Cálculos'!$D$199+(($B$111)-$A102)*'Cálculos'!$D$98)/(('Cálculos'!$D$199+(($B$111)-$A102)*'Cálculos'!$D$98)+1400)+'Cálculos'!$D$123)*'Cálculos'!$D$267)+('Cálculos'!$D$258+'Cálculos'!$D$124*(1+2.78*('Cálculos'!$D$199+(($B$111)-$A102)*'Cálculos'!$D$98)/(('Cálculos'!$D$199+(($B$111)-$A102)*'Cálculos'!$D$98)+1400)+'Cálculos'!$D$122)*'Cálculos'!$D$263+'Cálculos'!$D$125*(1+2.78*('Cálculos'!$D$199+(($B$111)-$A102)*'Cálculos'!$D$98)/(('Cálculos'!$D$199+(($B$111)-$A102)*'Cálculos'!$D$98)+1400)+'Cálculos'!$D$123)*'Cálculos'!$D$268)+('Cálculos'!$D$185*(1+'Cálculos'!$D$190+$A102*('Cálculos'!$D$290=1)*'Cálculos'!$D$97+'Cálculos'!$D$305)+'Cálculos'!$D$195)*('Cálculos'!$D$269+'Cálculos'!$D$124*(1+2.78*('Cálculos'!$D$200+(($B$111)-$A102)*'Cálculos'!$D$98)/(('Cálculos'!$D$200+(($B$111)-$A102)*'Cálculos'!$D$98)+1400)+'Cálculos'!$D$122)*'Cálculos'!$D$274+'Cálculos'!$D$125*(1+2.78*('Cálculos'!$D$200+(($B$111)-$A102)*'Cálculos'!$D$98)/(('Cálculos'!$D$200+(($B$111)-$A102)*'Cálculos'!$D$98)+1400)+'Cálculos'!$D$123)*'Cálculos'!$D$279)+('Cálculos'!$D$200+(($B$111)-$A102)*'Cálculos'!$D$98)*('Cálculos'!$D$270+'Cálculos'!$D$124*(1+2.78*('Cálculos'!$D$200+(($B$111)-$A102)*'Cálculos'!$D$98)/(('Cálculos'!$D$200+(($B$111)-$A102)*'Cálculos'!$D$98)+1400)+'Cálculos'!$D$122)*'Cálculos'!$D$275+'Cálculos'!$D$125*(1+2.78*('Cálculos'!$D$200+(($B$111)-$A102)*'Cálculos'!$D$98)/(('Cálculos'!$D$200+(($B$111)-$A102)*'Cálculos'!$D$98)+1400)+'Cálculos'!$D$123)*'Cálculos'!$D$280)+('Cálculos'!$D$201*(1+'Cálculos'!$D$202+$A102*('Cálculos'!$D$290=2)*'Cálculos'!$D$101)+'Cálculos'!$D$203)*('Cálculos'!$D$271+'Cálculos'!$D$124*(1+2.78*('Cálculos'!$D$200+(($B$111)-$A102)*'Cálculos'!$D$98)/(('Cálculos'!$D$200+(($B$111)-$A102)*'Cálculos'!$D$98)+1400)+'Cálculos'!$D$122)*'Cálculos'!$D$276+'Cálculos'!$D$125*(1+2.78*('Cálculos'!$D$200+(($B$111)-$A102)*'Cálculos'!$D$98)/(('Cálculos'!$D$200+(($B$111)-$A102)*'Cálculos'!$D$98)+1400)+'Cálculos'!$D$123)*'Cálculos'!$D$281)+('Cálculos'!$D$204*(1+'Cálculos'!$D$205+$A102*('Cálculos'!$D$290=3)*'Cálculos'!$D$103)+'Cálculos'!$D$206)*('Cálculos'!$D$272+'Cálculos'!$D$124*(1+2.78*('Cálculos'!$D$200+(($B$111)-$A102)*'Cálculos'!$D$98)/(('Cálculos'!$D$200+(($B$111)-$A102)*'Cálculos'!$D$98)+1400)+'Cálculos'!$D$122)*'Cálculos'!$D$277+'Cálculos'!$D$125*(1+2.78*('Cálculos'!$D$200+(($B$111)-$A102)*'Cálculos'!$D$98)/(('Cálculos'!$D$200+(($B$111)-$A102)*'Cálculos'!$D$98)+1400)+'Cálculos'!$D$123)*'Cálculos'!$D$282)+('Cálculos'!$D$273+'Cálculos'!$D$124*(1+2.78*('Cálculos'!$D$200+(($B$111)-$A102)*'Cálculos'!$D$98)/(('Cálculos'!$D$200+(($B$111)-$A102)*'Cálculos'!$D$98)+1400)+'Cálculos'!$D$122)*'Cálculos'!$D$278+'Cálculos'!$D$125*(1+2.78*('Cálculos'!$D$200+(($B$111)-$A102)*'Cálculos'!$D$98)/(('Cálculos'!$D$200+(($B$111)-$A102)*'Cálculos'!$D$98)+1400)+'Cálculos'!$D$123)*'Cálculos'!$D$283)))</f>
        <v>0</v>
      </c>
    </row>
    <row r="103" ht="15.75" customHeight="1">
      <c r="A103" s="2">
        <v>40.0</v>
      </c>
      <c r="B103" s="30">
        <f>SUMPRODUCT(MAX(($A$63:$A$108&lt;=$A103)*($A$63:$A$108&lt;='Cálculos'!$D$294)*(($A103)-$A$63:$A$108&lt;='Cálculos'!$D$295)*(1+(('Cálculos'!$D$207+$A$63:$A$108*'Cálculos'!$D$95)-(('Cálculos'!$D$207+$A$63:$A$108*'Cálculos'!$D$95)&gt;1)*(('Cálculos'!$D$207+$A$63:$A$108*'Cálculos'!$D$95)-1))*('Cálculos'!$D$208+(($A103)-$A$63:$A$108)*'Cálculos'!$D$96))))</f>
        <v>2.557493783</v>
      </c>
      <c r="C103" s="2">
        <f>'Cálculos'!$D$303-$A103</f>
        <v>-29</v>
      </c>
      <c r="D103" s="31">
        <f>IF($C103&lt;0,0,SUMPRODUCT(MAX(($A$63:$A$108&lt;=$C103)*($A$63:$A$108&lt;='Cálculos'!$D$301)*(($C103)-$A$63:$A$108&lt;='Cálculos'!$D$297)*(('Cálculos'!$D$185*(1+'Cálculos'!$D$186+$A$63:$A$108*('Cálculos'!$D$290=1)*'Cálculos'!$D$97+'Cálculos'!$D$305)+'Cálculos'!$D$191)*('Cálculos'!$D$209+'Cálculos'!$D$124*(1+2.78*('Cálculos'!$D$196+(($C103)-$A$63:$A$108)*'Cálculos'!$D$98)/(('Cálculos'!$D$196+(($C103)-$A$63:$A$108)*'Cálculos'!$D$98)+1400)+'Cálculos'!$D$122)*'Cálculos'!$D$214+'Cálculos'!$D$125*(1+2.78*('Cálculos'!$D$196+(($C103)-$A$63:$A$108)*'Cálculos'!$D$98)/(('Cálculos'!$D$196+(($C103)-$A$63:$A$108)*'Cálculos'!$D$98)+1400)+'Cálculos'!$D$123)*'Cálculos'!$D$219)+('Cálculos'!$D$196+(($C103)-$A$63:$A$108)*'Cálculos'!$D$98)*('Cálculos'!$D$210+'Cálculos'!$D$124*(1+2.78*('Cálculos'!$D$196+(($C103)-$A$63:$A$108)*'Cálculos'!$D$98)/(('Cálculos'!$D$196+(($C103)-$A$63:$A$108)*'Cálculos'!$D$98)+1400)+'Cálculos'!$D$122)*'Cálculos'!$D$215+'Cálculos'!$D$125*(1+2.78*('Cálculos'!$D$196+(($C103)-$A$63:$A$108)*'Cálculos'!$D$98)/(('Cálculos'!$D$196+(($C103)-$A$63:$A$108)*'Cálculos'!$D$98)+1400)+'Cálculos'!$D$123)*'Cálculos'!$D$220)+('Cálculos'!$D$201*(1+'Cálculos'!$D$202+$A$63:$A$108*('Cálculos'!$D$290=2)*'Cálculos'!$D$101)+'Cálculos'!$D$203)*('Cálculos'!$D$211+'Cálculos'!$D$124*(1+2.78*('Cálculos'!$D$196+(($C103)-$A$63:$A$108)*'Cálculos'!$D$98)/(('Cálculos'!$D$196+(($C103)-$A$63:$A$108)*'Cálculos'!$D$98)+1400)+'Cálculos'!$D$122)*'Cálculos'!$D$216+'Cálculos'!$D$125*(1+2.78*('Cálculos'!$D$196+(($C103)-$A$63:$A$108)*'Cálculos'!$D$98)/(('Cálculos'!$D$196+(($C103)-$A$63:$A$108)*'Cálculos'!$D$98)+1400)+'Cálculos'!$D$123)*'Cálculos'!$D$221)+('Cálculos'!$D$204*(1+'Cálculos'!$D$205+$A$63:$A$108*('Cálculos'!$D$290=3)*'Cálculos'!$D$103)+'Cálculos'!$D$206)*('Cálculos'!$D$212+'Cálculos'!$D$124*(1+2.78*('Cálculos'!$D$196+(($C103)-$A$63:$A$108)*'Cálculos'!$D$98)/(('Cálculos'!$D$196+(($C103)-$A$63:$A$108)*'Cálculos'!$D$98)+1400)+'Cálculos'!$D$122)*'Cálculos'!$D$217+'Cálculos'!$D$125*(1+2.78*('Cálculos'!$D$196+(($C103)-$A$63:$A$108)*'Cálculos'!$D$98)/(('Cálculos'!$D$196+(($C103)-$A$63:$A$108)*'Cálculos'!$D$98)+1400)+'Cálculos'!$D$123)*'Cálculos'!$D$222)+('Cálculos'!$D$213+'Cálculos'!$D$124*(1+2.78*('Cálculos'!$D$196+(($C103)-$A$63:$A$108)*'Cálculos'!$D$98)/(('Cálculos'!$D$196+(($C103)-$A$63:$A$108)*'Cálculos'!$D$98)+1400)+'Cálculos'!$D$122)*'Cálculos'!$D$218+'Cálculos'!$D$125*(1+2.78*('Cálculos'!$D$196+(($C103)-$A$63:$A$108)*'Cálculos'!$D$98)/(('Cálculos'!$D$196+(($C103)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103)-$A$63:$A$108)*'Cálculos'!$D$98)/(('Cálculos'!$D$197+(($C103)-$A$63:$A$108)*'Cálculos'!$D$98)+1400)+'Cálculos'!$D$122)*'Cálculos'!$D$229+'Cálculos'!$D$125*(1+2.78*('Cálculos'!$D$197+(($C103)-$A$63:$A$108)*'Cálculos'!$D$98)/(('Cálculos'!$D$197+(($C103)-$A$63:$A$108)*'Cálculos'!$D$98)+1400)+'Cálculos'!$D$123)*'Cálculos'!$D$234)+('Cálculos'!$D$197+(($C103)-$A$63:$A$108)*'Cálculos'!$D$98)*('Cálculos'!$D$225+'Cálculos'!$D$124*(1+2.78*('Cálculos'!$D$197+(($C103)-$A$63:$A$108)*'Cálculos'!$D$98)/(('Cálculos'!$D$197+(($C103)-$A$63:$A$108)*'Cálculos'!$D$98)+1400)+'Cálculos'!$D$122)*'Cálculos'!$D$230+'Cálculos'!$D$125*(1+2.78*('Cálculos'!$D$197+(($C103)-$A$63:$A$108)*'Cálculos'!$D$98)/(('Cálculos'!$D$197+(($C103)-$A$63:$A$108)*'Cálculos'!$D$98)+1400)+'Cálculos'!$D$123)*'Cálculos'!$D$235)+('Cálculos'!$D$201*(1+'Cálculos'!$D$202+$A$63:$A$108*('Cálculos'!$D$290=2)*'Cálculos'!$D$101)+'Cálculos'!$D$203)*('Cálculos'!$D$226+'Cálculos'!$D$124*(1+2.78*('Cálculos'!$D$197+(($C103)-$A$63:$A$108)*'Cálculos'!$D$98)/(('Cálculos'!$D$197+(($C103)-$A$63:$A$108)*'Cálculos'!$D$98)+1400)+'Cálculos'!$D$122)*'Cálculos'!$D$231+'Cálculos'!$D$125*(1+2.78*('Cálculos'!$D$197+(($C103)-$A$63:$A$108)*'Cálculos'!$D$98)/(('Cálculos'!$D$197+(($C103)-$A$63:$A$108)*'Cálculos'!$D$98)+1400)+'Cálculos'!$D$123)*'Cálculos'!$D$236)+('Cálculos'!$D$204*(1+'Cálculos'!$D$205+$A$63:$A$108*('Cálculos'!$D$290=3)*'Cálculos'!$D$103)+'Cálculos'!$D$206)*('Cálculos'!$D$227+'Cálculos'!$D$124*(1+2.78*('Cálculos'!$D$197+(($C103)-$A$63:$A$108)*'Cálculos'!$D$98)/(('Cálculos'!$D$197+(($C103)-$A$63:$A$108)*'Cálculos'!$D$98)+1400)+'Cálculos'!$D$122)*'Cálculos'!$D$232+'Cálculos'!$D$125*(1+2.78*('Cálculos'!$D$197+(($C103)-$A$63:$A$108)*'Cálculos'!$D$98)/(('Cálculos'!$D$197+(($C103)-$A$63:$A$108)*'Cálculos'!$D$98)+1400)+'Cálculos'!$D$123)*'Cálculos'!$D$237)+('Cálculos'!$D$228+'Cálculos'!$D$124*(1+2.78*('Cálculos'!$D$197+(($C103)-$A$63:$A$108)*'Cálculos'!$D$98)/(('Cálculos'!$D$197+(($C103)-$A$63:$A$108)*'Cálculos'!$D$98)+1400)+'Cálculos'!$D$122)*'Cálculos'!$D$233+'Cálculos'!$D$125*(1+2.78*('Cálculos'!$D$197+(($C103)-$A$63:$A$108)*'Cálculos'!$D$98)/(('Cálculos'!$D$197+(($C103)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103)-$A$63:$A$108)*'Cálculos'!$D$98)/(('Cálculos'!$D$198+(($C103)-$A$63:$A$108)*'Cálculos'!$D$98)+1400)+'Cálculos'!$D$122)*'Cálculos'!$D$244+'Cálculos'!$D$125*(1+2.78*('Cálculos'!$D$198+(($C103)-$A$63:$A$108)*'Cálculos'!$D$98)/(('Cálculos'!$D$198+(($C103)-$A$63:$A$108)*'Cálculos'!$D$98)+1400)+'Cálculos'!$D$123)*'Cálculos'!$D$249)+('Cálculos'!$D$198+(($C103)-$A$63:$A$108)*'Cálculos'!$D$98)*('Cálculos'!$D$240+'Cálculos'!$D$124*(1+2.78*('Cálculos'!$D$198+(($C103)-$A$63:$A$108)*'Cálculos'!$D$98)/(('Cálculos'!$D$198+(($C103)-$A$63:$A$108)*'Cálculos'!$D$98)+1400)+'Cálculos'!$D$122)*'Cálculos'!$D$245+'Cálculos'!$D$125*(1+2.78*('Cálculos'!$D$198+(($C103)-$A$63:$A$108)*'Cálculos'!$D$98)/(('Cálculos'!$D$198+(($C103)-$A$63:$A$108)*'Cálculos'!$D$98)+1400)+'Cálculos'!$D$123)*'Cálculos'!$D$250)+('Cálculos'!$D$201*(1+'Cálculos'!$D$202+$A$63:$A$108*('Cálculos'!$D$290=2)*'Cálculos'!$D$101)+'Cálculos'!$D$203)*('Cálculos'!$D$241+'Cálculos'!$D$124*(1+2.78*('Cálculos'!$D$198+(($C103)-$A$63:$A$108)*'Cálculos'!$D$98)/(('Cálculos'!$D$198+(($C103)-$A$63:$A$108)*'Cálculos'!$D$98)+1400)+'Cálculos'!$D$122)*'Cálculos'!$D$246+'Cálculos'!$D$125*(1+2.78*('Cálculos'!$D$198+(($C103)-$A$63:$A$108)*'Cálculos'!$D$98)/(('Cálculos'!$D$198+(($C103)-$A$63:$A$108)*'Cálculos'!$D$98)+1400)+'Cálculos'!$D$123)*'Cálculos'!$D$251)+('Cálculos'!$D$204*(1+'Cálculos'!$D$205+$A$63:$A$108*('Cálculos'!$D$290=3)*'Cálculos'!$D$103)+'Cálculos'!$D$206)*('Cálculos'!$D$242+'Cálculos'!$D$124*(1+2.78*('Cálculos'!$D$198+(($C103)-$A$63:$A$108)*'Cálculos'!$D$98)/(('Cálculos'!$D$198+(($C103)-$A$63:$A$108)*'Cálculos'!$D$98)+1400)+'Cálculos'!$D$122)*'Cálculos'!$D$247+'Cálculos'!$D$125*(1+2.78*('Cálculos'!$D$198+(($C103)-$A$63:$A$108)*'Cálculos'!$D$98)/(('Cálculos'!$D$198+(($C103)-$A$63:$A$108)*'Cálculos'!$D$98)+1400)+'Cálculos'!$D$123)*'Cálculos'!$D$252)+('Cálculos'!$D$243+'Cálculos'!$D$124*(1+2.78*('Cálculos'!$D$198+(($C103)-$A$63:$A$108)*'Cálculos'!$D$98)/(('Cálculos'!$D$198+(($C103)-$A$63:$A$108)*'Cálculos'!$D$98)+1400)+'Cálculos'!$D$122)*'Cálculos'!$D$248+'Cálculos'!$D$125*(1+2.78*('Cálculos'!$D$198+(($C103)-$A$63:$A$108)*'Cálculos'!$D$98)/(('Cálculos'!$D$198+(($C103)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103)-$A$63:$A$108)*'Cálculos'!$D$98)/(('Cálculos'!$D$199+(($C103)-$A$63:$A$108)*'Cálculos'!$D$98)+1400)+'Cálculos'!$D$122)*'Cálculos'!$D$259+'Cálculos'!$D$125*(1+2.78*('Cálculos'!$D$199+(($C103)-$A$63:$A$108)*'Cálculos'!$D$98)/(('Cálculos'!$D$199+(($C103)-$A$63:$A$108)*'Cálculos'!$D$98)+1400)+'Cálculos'!$D$123)*'Cálculos'!$D$264)+('Cálculos'!$D$199+(($C103)-$A$63:$A$108)*'Cálculos'!$D$98)*('Cálculos'!$D$255+'Cálculos'!$D$124*(1+2.78*('Cálculos'!$D$199+(($C103)-$A$63:$A$108)*'Cálculos'!$D$98)/(('Cálculos'!$D$199+(($C103)-$A$63:$A$108)*'Cálculos'!$D$98)+1400)+'Cálculos'!$D$122)*'Cálculos'!$D$260+'Cálculos'!$D$125*(1+2.78*('Cálculos'!$D$199+(($C103)-$A$63:$A$108)*'Cálculos'!$D$98)/(('Cálculos'!$D$199+(($C103)-$A$63:$A$108)*'Cálculos'!$D$98)+1400)+'Cálculos'!$D$123)*'Cálculos'!$D$265)+('Cálculos'!$D$201*(1+'Cálculos'!$D$202+$A$63:$A$108*('Cálculos'!$D$290=2)*'Cálculos'!$D$101)+'Cálculos'!$D$203)*('Cálculos'!$D$256+'Cálculos'!$D$124*(1+2.78*('Cálculos'!$D$199+(($C103)-$A$63:$A$108)*'Cálculos'!$D$98)/(('Cálculos'!$D$199+(($C103)-$A$63:$A$108)*'Cálculos'!$D$98)+1400)+'Cálculos'!$D$122)*'Cálculos'!$D$261+'Cálculos'!$D$125*(1+2.78*('Cálculos'!$D$199+(($C103)-$A$63:$A$108)*'Cálculos'!$D$98)/(('Cálculos'!$D$199+(($C103)-$A$63:$A$108)*'Cálculos'!$D$98)+1400)+'Cálculos'!$D$123)*'Cálculos'!$D$266)+('Cálculos'!$D$204*(1+'Cálculos'!$D$205+$A$63:$A$108*('Cálculos'!$D$290=3)*'Cálculos'!$D$103)+'Cálculos'!$D$206)*('Cálculos'!$D$257+'Cálculos'!$D$124*(1+2.78*('Cálculos'!$D$199+(($C103)-$A$63:$A$108)*'Cálculos'!$D$98)/(('Cálculos'!$D$199+(($C103)-$A$63:$A$108)*'Cálculos'!$D$98)+1400)+'Cálculos'!$D$122)*'Cálculos'!$D$262+'Cálculos'!$D$125*(1+2.78*('Cálculos'!$D$199+(($C103)-$A$63:$A$108)*'Cálculos'!$D$98)/(('Cálculos'!$D$199+(($C103)-$A$63:$A$108)*'Cálculos'!$D$98)+1400)+'Cálculos'!$D$123)*'Cálculos'!$D$267)+('Cálculos'!$D$258+'Cálculos'!$D$124*(1+2.78*('Cálculos'!$D$199+(($C103)-$A$63:$A$108)*'Cálculos'!$D$98)/(('Cálculos'!$D$199+(($C103)-$A$63:$A$108)*'Cálculos'!$D$98)+1400)+'Cálculos'!$D$122)*'Cálculos'!$D$263+'Cálculos'!$D$125*(1+2.78*('Cálculos'!$D$199+(($C103)-$A$63:$A$108)*'Cálculos'!$D$98)/(('Cálculos'!$D$199+(($C103)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103)-$A$63:$A$108)*'Cálculos'!$D$98)/(('Cálculos'!$D$200+(($C103)-$A$63:$A$108)*'Cálculos'!$D$98)+1400)+'Cálculos'!$D$122)*'Cálculos'!$D$274+'Cálculos'!$D$125*(1+2.78*('Cálculos'!$D$200+(($C103)-$A$63:$A$108)*'Cálculos'!$D$98)/(('Cálculos'!$D$200+(($C103)-$A$63:$A$108)*'Cálculos'!$D$98)+1400)+'Cálculos'!$D$123)*'Cálculos'!$D$279)+('Cálculos'!$D$200+(($C103)-$A$63:$A$108)*'Cálculos'!$D$98)*('Cálculos'!$D$270+'Cálculos'!$D$124*(1+2.78*('Cálculos'!$D$200+(($C103)-$A$63:$A$108)*'Cálculos'!$D$98)/(('Cálculos'!$D$200+(($C103)-$A$63:$A$108)*'Cálculos'!$D$98)+1400)+'Cálculos'!$D$122)*'Cálculos'!$D$275+'Cálculos'!$D$125*(1+2.78*('Cálculos'!$D$200+(($C103)-$A$63:$A$108)*'Cálculos'!$D$98)/(('Cálculos'!$D$200+(($C103)-$A$63:$A$108)*'Cálculos'!$D$98)+1400)+'Cálculos'!$D$123)*'Cálculos'!$D$280)+('Cálculos'!$D$201*(1+'Cálculos'!$D$202+$A$63:$A$108*('Cálculos'!$D$290=2)*'Cálculos'!$D$101)+'Cálculos'!$D$203)*('Cálculos'!$D$271+'Cálculos'!$D$124*(1+2.78*('Cálculos'!$D$200+(($C103)-$A$63:$A$108)*'Cálculos'!$D$98)/(('Cálculos'!$D$200+(($C103)-$A$63:$A$108)*'Cálculos'!$D$98)+1400)+'Cálculos'!$D$122)*'Cálculos'!$D$276+'Cálculos'!$D$125*(1+2.78*('Cálculos'!$D$200+(($C103)-$A$63:$A$108)*'Cálculos'!$D$98)/(('Cálculos'!$D$200+(($C103)-$A$63:$A$108)*'Cálculos'!$D$98)+1400)+'Cálculos'!$D$123)*'Cálculos'!$D$281)+('Cálculos'!$D$204*(1+'Cálculos'!$D$205+$A$63:$A$108*('Cálculos'!$D$290=3)*'Cálculos'!$D$103)+'Cálculos'!$D$206)*('Cálculos'!$D$272+'Cálculos'!$D$124*(1+2.78*('Cálculos'!$D$200+(($C103)-$A$63:$A$108)*'Cálculos'!$D$98)/(('Cálculos'!$D$200+(($C103)-$A$63:$A$108)*'Cálculos'!$D$98)+1400)+'Cálculos'!$D$122)*'Cálculos'!$D$277+'Cálculos'!$D$125*(1+2.78*('Cálculos'!$D$200+(($C103)-$A$63:$A$108)*'Cálculos'!$D$98)/(('Cálculos'!$D$200+(($C103)-$A$63:$A$108)*'Cálculos'!$D$98)+1400)+'Cálculos'!$D$123)*'Cálculos'!$D$282)+('Cálculos'!$D$273+'Cálculos'!$D$124*(1+2.78*('Cálculos'!$D$200+(($C103)-$A$63:$A$108)*'Cálculos'!$D$98)/(('Cálculos'!$D$200+(($C103)-$A$63:$A$108)*'Cálculos'!$D$98)+1400)+'Cálculos'!$D$122)*'Cálculos'!$D$278+'Cálculos'!$D$125*(1+2.78*('Cálculos'!$D$200+(($C103)-$A$63:$A$108)*'Cálculos'!$D$98)/(('Cálculos'!$D$200+(($C103)-$A$63:$A$108)*'Cálculos'!$D$98)+1400)+'Cálculos'!$D$123)*'Cálculos'!$D$283)))))</f>
        <v>0</v>
      </c>
      <c r="E103" s="32">
        <f>IF(OR($C103&lt;0,'Cálculos'!$D$6=""),0,$B103*$D103)</f>
        <v>0</v>
      </c>
      <c r="F103" s="2"/>
      <c r="G103" s="30">
        <f>($A103&lt;=$B$110)*($A103&lt;='Cálculos'!$D$294)*(($B$110)-$A103&lt;='Cálculos'!$D$295)*(1+MIN(('Cálculos'!$D$207+$A103*'Cálculos'!$D$95),1)*('Cálculos'!$D$208+(($B$110)-$A103)*'Cálculos'!$D$96))</f>
        <v>0</v>
      </c>
      <c r="H103" s="31">
        <f>IF($B$111&lt;0,0,($A103&lt;=$B$111)*($A103&lt;='Cálculos'!$D$301)*(($B$111)-$A103&lt;='Cálculos'!$D$297)*(('Cálculos'!$D$185*(1+'Cálculos'!$D$186+$A103*('Cálculos'!$D$290=1)*'Cálculos'!$D$97+'Cálculos'!$D$305)+'Cálculos'!$D$191)*('Cálculos'!$D$209+'Cálculos'!$D$124*(1+2.78*('Cálculos'!$D$196+(($B$111)-$A103)*'Cálculos'!$D$98)/(('Cálculos'!$D$196+(($B$111)-$A103)*'Cálculos'!$D$98)+1400)+'Cálculos'!$D$122)*'Cálculos'!$D$214+'Cálculos'!$D$125*(1+2.78*('Cálculos'!$D$196+(($B$111)-$A103)*'Cálculos'!$D$98)/(('Cálculos'!$D$196+(($B$111)-$A103)*'Cálculos'!$D$98)+1400)+'Cálculos'!$D$123)*'Cálculos'!$D$219)+('Cálculos'!$D$196+(($B$111)-$A103)*'Cálculos'!$D$98)*('Cálculos'!$D$210+'Cálculos'!$D$124*(1+2.78*('Cálculos'!$D$196+(($B$111)-$A103)*'Cálculos'!$D$98)/(('Cálculos'!$D$196+(($B$111)-$A103)*'Cálculos'!$D$98)+1400)+'Cálculos'!$D$122)*'Cálculos'!$D$215+'Cálculos'!$D$125*(1+2.78*('Cálculos'!$D$196+(($B$111)-$A103)*'Cálculos'!$D$98)/(('Cálculos'!$D$196+(($B$111)-$A103)*'Cálculos'!$D$98)+1400)+'Cálculos'!$D$123)*'Cálculos'!$D$220)+('Cálculos'!$D$201*(1+'Cálculos'!$D$202+$A103*('Cálculos'!$D$290=2)*'Cálculos'!$D$101)+'Cálculos'!$D$203)*('Cálculos'!$D$211+'Cálculos'!$D$124*(1+2.78*('Cálculos'!$D$196+(($B$111)-$A103)*'Cálculos'!$D$98)/(('Cálculos'!$D$196+(($B$111)-$A103)*'Cálculos'!$D$98)+1400)+'Cálculos'!$D$122)*'Cálculos'!$D$216+'Cálculos'!$D$125*(1+2.78*('Cálculos'!$D$196+(($B$111)-$A103)*'Cálculos'!$D$98)/(('Cálculos'!$D$196+(($B$111)-$A103)*'Cálculos'!$D$98)+1400)+'Cálculos'!$D$123)*'Cálculos'!$D$221)+('Cálculos'!$D$204*(1+'Cálculos'!$D$205+$A103*('Cálculos'!$D$290=3)*'Cálculos'!$D$103)+'Cálculos'!$D$206)*('Cálculos'!$D$212+'Cálculos'!$D$124*(1+2.78*('Cálculos'!$D$196+(($B$111)-$A103)*'Cálculos'!$D$98)/(('Cálculos'!$D$196+(($B$111)-$A103)*'Cálculos'!$D$98)+1400)+'Cálculos'!$D$122)*'Cálculos'!$D$217+'Cálculos'!$D$125*(1+2.78*('Cálculos'!$D$196+(($B$111)-$A103)*'Cálculos'!$D$98)/(('Cálculos'!$D$196+(($B$111)-$A103)*'Cálculos'!$D$98)+1400)+'Cálculos'!$D$123)*'Cálculos'!$D$222)+('Cálculos'!$D$213+'Cálculos'!$D$124*(1+2.78*('Cálculos'!$D$196+(($B$111)-$A103)*'Cálculos'!$D$98)/(('Cálculos'!$D$196+(($B$111)-$A103)*'Cálculos'!$D$98)+1400)+'Cálculos'!$D$122)*'Cálculos'!$D$218+'Cálculos'!$D$125*(1+2.78*('Cálculos'!$D$196+(($B$111)-$A103)*'Cálculos'!$D$98)/(('Cálculos'!$D$196+(($B$111)-$A103)*'Cálculos'!$D$98)+1400)+'Cálculos'!$D$123)*'Cálculos'!$D$223)+('Cálculos'!$D$185*(1+'Cálculos'!$D$187+$A103*('Cálculos'!$D$290=1)*'Cálculos'!$D$97+'Cálculos'!$D$305)+'Cálculos'!$D$192)*('Cálculos'!$D$224+'Cálculos'!$D$124*(1+2.78*('Cálculos'!$D$197+(($B$111)-$A103)*'Cálculos'!$D$98)/(('Cálculos'!$D$197+(($B$111)-$A103)*'Cálculos'!$D$98)+1400)+'Cálculos'!$D$122)*'Cálculos'!$D$229+'Cálculos'!$D$125*(1+2.78*('Cálculos'!$D$197+(($B$111)-$A103)*'Cálculos'!$D$98)/(('Cálculos'!$D$197+(($B$111)-$A103)*'Cálculos'!$D$98)+1400)+'Cálculos'!$D$123)*'Cálculos'!$D$234)+('Cálculos'!$D$197+(($B$111)-$A103)*'Cálculos'!$D$98)*('Cálculos'!$D$225+'Cálculos'!$D$124*(1+2.78*('Cálculos'!$D$197+(($B$111)-$A103)*'Cálculos'!$D$98)/(('Cálculos'!$D$197+(($B$111)-$A103)*'Cálculos'!$D$98)+1400)+'Cálculos'!$D$122)*'Cálculos'!$D$230+'Cálculos'!$D$125*(1+2.78*('Cálculos'!$D$197+(($B$111)-$A103)*'Cálculos'!$D$98)/(('Cálculos'!$D$197+(($B$111)-$A103)*'Cálculos'!$D$98)+1400)+'Cálculos'!$D$123)*'Cálculos'!$D$235)+('Cálculos'!$D$201*(1+'Cálculos'!$D$202+$A103*('Cálculos'!$D$290=2)*'Cálculos'!$D$101)+'Cálculos'!$D$203)*('Cálculos'!$D$226+'Cálculos'!$D$124*(1+2.78*('Cálculos'!$D$197+(($B$111)-$A103)*'Cálculos'!$D$98)/(('Cálculos'!$D$197+(($B$111)-$A103)*'Cálculos'!$D$98)+1400)+'Cálculos'!$D$122)*'Cálculos'!$D$231+'Cálculos'!$D$125*(1+2.78*('Cálculos'!$D$197+(($B$111)-$A103)*'Cálculos'!$D$98)/(('Cálculos'!$D$197+(($B$111)-$A103)*'Cálculos'!$D$98)+1400)+'Cálculos'!$D$123)*'Cálculos'!$D$236)+('Cálculos'!$D$204*(1+'Cálculos'!$D$205+$A103*('Cálculos'!$D$290=3)*'Cálculos'!$D$103)+'Cálculos'!$D$206)*('Cálculos'!$D$227+'Cálculos'!$D$124*(1+2.78*('Cálculos'!$D$197+(($B$111)-$A103)*'Cálculos'!$D$98)/(('Cálculos'!$D$197+(($B$111)-$A103)*'Cálculos'!$D$98)+1400)+'Cálculos'!$D$122)*'Cálculos'!$D$232+'Cálculos'!$D$125*(1+2.78*('Cálculos'!$D$197+(($B$111)-$A103)*'Cálculos'!$D$98)/(('Cálculos'!$D$197+(($B$111)-$A103)*'Cálculos'!$D$98)+1400)+'Cálculos'!$D$123)*'Cálculos'!$D$237)+('Cálculos'!$D$228+'Cálculos'!$D$124*(1+2.78*('Cálculos'!$D$197+(($B$111)-$A103)*'Cálculos'!$D$98)/(('Cálculos'!$D$197+(($B$111)-$A103)*'Cálculos'!$D$98)+1400)+'Cálculos'!$D$122)*'Cálculos'!$D$233+'Cálculos'!$D$125*(1+2.78*('Cálculos'!$D$197+(($B$111)-$A103)*'Cálculos'!$D$98)/(('Cálculos'!$D$197+(($B$111)-$A103)*'Cálculos'!$D$98)+1400)+'Cálculos'!$D$123)*'Cálculos'!$D$238)+('Cálculos'!$D$185*(1+'Cálculos'!$D$188+$A103*('Cálculos'!$D$290=1)*'Cálculos'!$D$97+'Cálculos'!$D$305)+'Cálculos'!$D$193)*('Cálculos'!$D$239+'Cálculos'!$D$124*(1+2.78*('Cálculos'!$D$198+(($B$111)-$A103)*'Cálculos'!$D$98)/(('Cálculos'!$D$198+(($B$111)-$A103)*'Cálculos'!$D$98)+1400)+'Cálculos'!$D$122)*'Cálculos'!$D$244+'Cálculos'!$D$125*(1+2.78*('Cálculos'!$D$198+(($B$111)-$A103)*'Cálculos'!$D$98)/(('Cálculos'!$D$198+(($B$111)-$A103)*'Cálculos'!$D$98)+1400)+'Cálculos'!$D$123)*'Cálculos'!$D$249)+('Cálculos'!$D$198+(($B$111)-$A103)*'Cálculos'!$D$98)*('Cálculos'!$D$240+'Cálculos'!$D$124*(1+2.78*('Cálculos'!$D$198+(($B$111)-$A103)*'Cálculos'!$D$98)/(('Cálculos'!$D$198+(($B$111)-$A103)*'Cálculos'!$D$98)+1400)+'Cálculos'!$D$122)*'Cálculos'!$D$245+'Cálculos'!$D$125*(1+2.78*('Cálculos'!$D$198+(($B$111)-$A103)*'Cálculos'!$D$98)/(('Cálculos'!$D$198+(($B$111)-$A103)*'Cálculos'!$D$98)+1400)+'Cálculos'!$D$123)*'Cálculos'!$D$250)+('Cálculos'!$D$201*(1+'Cálculos'!$D$202+$A103*('Cálculos'!$D$290=2)*'Cálculos'!$D$101)+'Cálculos'!$D$203)*('Cálculos'!$D$241+'Cálculos'!$D$124*(1+2.78*('Cálculos'!$D$198+(($B$111)-$A103)*'Cálculos'!$D$98)/(('Cálculos'!$D$198+(($B$111)-$A103)*'Cálculos'!$D$98)+1400)+'Cálculos'!$D$122)*'Cálculos'!$D$246+'Cálculos'!$D$125*(1+2.78*('Cálculos'!$D$198+(($B$111)-$A103)*'Cálculos'!$D$98)/(('Cálculos'!$D$198+(($B$111)-$A103)*'Cálculos'!$D$98)+1400)+'Cálculos'!$D$123)*'Cálculos'!$D$251)+('Cálculos'!$D$204*(1+'Cálculos'!$D$205+$A103*('Cálculos'!$D$290=3)*'Cálculos'!$D$103)+'Cálculos'!$D$206)*('Cálculos'!$D$242+'Cálculos'!$D$124*(1+2.78*('Cálculos'!$D$198+(($B$111)-$A103)*'Cálculos'!$D$98)/(('Cálculos'!$D$198+(($B$111)-$A103)*'Cálculos'!$D$98)+1400)+'Cálculos'!$D$122)*'Cálculos'!$D$247+'Cálculos'!$D$125*(1+2.78*('Cálculos'!$D$198+(($B$111)-$A103)*'Cálculos'!$D$98)/(('Cálculos'!$D$198+(($B$111)-$A103)*'Cálculos'!$D$98)+1400)+'Cálculos'!$D$123)*'Cálculos'!$D$252)+('Cálculos'!$D$243+'Cálculos'!$D$124*(1+2.78*('Cálculos'!$D$198+(($B$111)-$A103)*'Cálculos'!$D$98)/(('Cálculos'!$D$198+(($B$111)-$A103)*'Cálculos'!$D$98)+1400)+'Cálculos'!$D$122)*'Cálculos'!$D$248+'Cálculos'!$D$125*(1+2.78*('Cálculos'!$D$198+(($B$111)-$A103)*'Cálculos'!$D$98)/(('Cálculos'!$D$198+(($B$111)-$A103)*'Cálculos'!$D$98)+1400)+'Cálculos'!$D$123)*'Cálculos'!$D$253)+('Cálculos'!$D$185*(1+'Cálculos'!$D$189+$A103*('Cálculos'!$D$290=1)*'Cálculos'!$D$97+'Cálculos'!$D$305)+'Cálculos'!$D$194)*('Cálculos'!$D$254+'Cálculos'!$D$124*(1+2.78*('Cálculos'!$D$199+(($B$111)-$A103)*'Cálculos'!$D$98)/(('Cálculos'!$D$199+(($B$111)-$A103)*'Cálculos'!$D$98)+1400)+'Cálculos'!$D$122)*'Cálculos'!$D$259+'Cálculos'!$D$125*(1+2.78*('Cálculos'!$D$199+(($B$111)-$A103)*'Cálculos'!$D$98)/(('Cálculos'!$D$199+(($B$111)-$A103)*'Cálculos'!$D$98)+1400)+'Cálculos'!$D$123)*'Cálculos'!$D$264)+('Cálculos'!$D$199+(($B$111)-$A103)*'Cálculos'!$D$98)*('Cálculos'!$D$255+'Cálculos'!$D$124*(1+2.78*('Cálculos'!$D$199+(($B$111)-$A103)*'Cálculos'!$D$98)/(('Cálculos'!$D$199+(($B$111)-$A103)*'Cálculos'!$D$98)+1400)+'Cálculos'!$D$122)*'Cálculos'!$D$260+'Cálculos'!$D$125*(1+2.78*('Cálculos'!$D$199+(($B$111)-$A103)*'Cálculos'!$D$98)/(('Cálculos'!$D$199+(($B$111)-$A103)*'Cálculos'!$D$98)+1400)+'Cálculos'!$D$123)*'Cálculos'!$D$265)+('Cálculos'!$D$201*(1+'Cálculos'!$D$202+$A103*('Cálculos'!$D$290=2)*'Cálculos'!$D$101)+'Cálculos'!$D$203)*('Cálculos'!$D$256+'Cálculos'!$D$124*(1+2.78*('Cálculos'!$D$199+(($B$111)-$A103)*'Cálculos'!$D$98)/(('Cálculos'!$D$199+(($B$111)-$A103)*'Cálculos'!$D$98)+1400)+'Cálculos'!$D$122)*'Cálculos'!$D$261+'Cálculos'!$D$125*(1+2.78*('Cálculos'!$D$199+(($B$111)-$A103)*'Cálculos'!$D$98)/(('Cálculos'!$D$199+(($B$111)-$A103)*'Cálculos'!$D$98)+1400)+'Cálculos'!$D$123)*'Cálculos'!$D$266)+('Cálculos'!$D$204*(1+'Cálculos'!$D$205+$A103*('Cálculos'!$D$290=3)*'Cálculos'!$D$103)+'Cálculos'!$D$206)*('Cálculos'!$D$257+'Cálculos'!$D$124*(1+2.78*('Cálculos'!$D$199+(($B$111)-$A103)*'Cálculos'!$D$98)/(('Cálculos'!$D$199+(($B$111)-$A103)*'Cálculos'!$D$98)+1400)+'Cálculos'!$D$122)*'Cálculos'!$D$262+'Cálculos'!$D$125*(1+2.78*('Cálculos'!$D$199+(($B$111)-$A103)*'Cálculos'!$D$98)/(('Cálculos'!$D$199+(($B$111)-$A103)*'Cálculos'!$D$98)+1400)+'Cálculos'!$D$123)*'Cálculos'!$D$267)+('Cálculos'!$D$258+'Cálculos'!$D$124*(1+2.78*('Cálculos'!$D$199+(($B$111)-$A103)*'Cálculos'!$D$98)/(('Cálculos'!$D$199+(($B$111)-$A103)*'Cálculos'!$D$98)+1400)+'Cálculos'!$D$122)*'Cálculos'!$D$263+'Cálculos'!$D$125*(1+2.78*('Cálculos'!$D$199+(($B$111)-$A103)*'Cálculos'!$D$98)/(('Cálculos'!$D$199+(($B$111)-$A103)*'Cálculos'!$D$98)+1400)+'Cálculos'!$D$123)*'Cálculos'!$D$268)+('Cálculos'!$D$185*(1+'Cálculos'!$D$190+$A103*('Cálculos'!$D$290=1)*'Cálculos'!$D$97+'Cálculos'!$D$305)+'Cálculos'!$D$195)*('Cálculos'!$D$269+'Cálculos'!$D$124*(1+2.78*('Cálculos'!$D$200+(($B$111)-$A103)*'Cálculos'!$D$98)/(('Cálculos'!$D$200+(($B$111)-$A103)*'Cálculos'!$D$98)+1400)+'Cálculos'!$D$122)*'Cálculos'!$D$274+'Cálculos'!$D$125*(1+2.78*('Cálculos'!$D$200+(($B$111)-$A103)*'Cálculos'!$D$98)/(('Cálculos'!$D$200+(($B$111)-$A103)*'Cálculos'!$D$98)+1400)+'Cálculos'!$D$123)*'Cálculos'!$D$279)+('Cálculos'!$D$200+(($B$111)-$A103)*'Cálculos'!$D$98)*('Cálculos'!$D$270+'Cálculos'!$D$124*(1+2.78*('Cálculos'!$D$200+(($B$111)-$A103)*'Cálculos'!$D$98)/(('Cálculos'!$D$200+(($B$111)-$A103)*'Cálculos'!$D$98)+1400)+'Cálculos'!$D$122)*'Cálculos'!$D$275+'Cálculos'!$D$125*(1+2.78*('Cálculos'!$D$200+(($B$111)-$A103)*'Cálculos'!$D$98)/(('Cálculos'!$D$200+(($B$111)-$A103)*'Cálculos'!$D$98)+1400)+'Cálculos'!$D$123)*'Cálculos'!$D$280)+('Cálculos'!$D$201*(1+'Cálculos'!$D$202+$A103*('Cálculos'!$D$290=2)*'Cálculos'!$D$101)+'Cálculos'!$D$203)*('Cálculos'!$D$271+'Cálculos'!$D$124*(1+2.78*('Cálculos'!$D$200+(($B$111)-$A103)*'Cálculos'!$D$98)/(('Cálculos'!$D$200+(($B$111)-$A103)*'Cálculos'!$D$98)+1400)+'Cálculos'!$D$122)*'Cálculos'!$D$276+'Cálculos'!$D$125*(1+2.78*('Cálculos'!$D$200+(($B$111)-$A103)*'Cálculos'!$D$98)/(('Cálculos'!$D$200+(($B$111)-$A103)*'Cálculos'!$D$98)+1400)+'Cálculos'!$D$123)*'Cálculos'!$D$281)+('Cálculos'!$D$204*(1+'Cálculos'!$D$205+$A103*('Cálculos'!$D$290=3)*'Cálculos'!$D$103)+'Cálculos'!$D$206)*('Cálculos'!$D$272+'Cálculos'!$D$124*(1+2.78*('Cálculos'!$D$200+(($B$111)-$A103)*'Cálculos'!$D$98)/(('Cálculos'!$D$200+(($B$111)-$A103)*'Cálculos'!$D$98)+1400)+'Cálculos'!$D$122)*'Cálculos'!$D$277+'Cálculos'!$D$125*(1+2.78*('Cálculos'!$D$200+(($B$111)-$A103)*'Cálculos'!$D$98)/(('Cálculos'!$D$200+(($B$111)-$A103)*'Cálculos'!$D$98)+1400)+'Cálculos'!$D$123)*'Cálculos'!$D$282)+('Cálculos'!$D$273+'Cálculos'!$D$124*(1+2.78*('Cálculos'!$D$200+(($B$111)-$A103)*'Cálculos'!$D$98)/(('Cálculos'!$D$200+(($B$111)-$A103)*'Cálculos'!$D$98)+1400)+'Cálculos'!$D$122)*'Cálculos'!$D$278+'Cálculos'!$D$125*(1+2.78*('Cálculos'!$D$200+(($B$111)-$A103)*'Cálculos'!$D$98)/(('Cálculos'!$D$200+(($B$111)-$A103)*'Cálculos'!$D$98)+1400)+'Cálculos'!$D$123)*'Cálculos'!$D$283)))</f>
        <v>0</v>
      </c>
    </row>
    <row r="104" ht="15.75" customHeight="1">
      <c r="A104" s="2">
        <v>41.0</v>
      </c>
      <c r="B104" s="30">
        <f>SUMPRODUCT(MAX(($A$63:$A$108&lt;=$A104)*($A$63:$A$108&lt;='Cálculos'!$D$294)*(($A104)-$A$63:$A$108&lt;='Cálculos'!$D$295)*(1+(('Cálculos'!$D$207+$A$63:$A$108*'Cálculos'!$D$95)-(('Cálculos'!$D$207+$A$63:$A$108*'Cálculos'!$D$95)&gt;1)*(('Cálculos'!$D$207+$A$63:$A$108*'Cálculos'!$D$95)-1))*('Cálculos'!$D$208+(($A104)-$A$63:$A$108)*'Cálculos'!$D$96))))</f>
        <v>2.606295392</v>
      </c>
      <c r="C104" s="2">
        <f>'Cálculos'!$D$303-$A104</f>
        <v>-30</v>
      </c>
      <c r="D104" s="31">
        <f>IF($C104&lt;0,0,SUMPRODUCT(MAX(($A$63:$A$108&lt;=$C104)*($A$63:$A$108&lt;='Cálculos'!$D$301)*(($C104)-$A$63:$A$108&lt;='Cálculos'!$D$297)*(('Cálculos'!$D$185*(1+'Cálculos'!$D$186+$A$63:$A$108*('Cálculos'!$D$290=1)*'Cálculos'!$D$97+'Cálculos'!$D$305)+'Cálculos'!$D$191)*('Cálculos'!$D$209+'Cálculos'!$D$124*(1+2.78*('Cálculos'!$D$196+(($C104)-$A$63:$A$108)*'Cálculos'!$D$98)/(('Cálculos'!$D$196+(($C104)-$A$63:$A$108)*'Cálculos'!$D$98)+1400)+'Cálculos'!$D$122)*'Cálculos'!$D$214+'Cálculos'!$D$125*(1+2.78*('Cálculos'!$D$196+(($C104)-$A$63:$A$108)*'Cálculos'!$D$98)/(('Cálculos'!$D$196+(($C104)-$A$63:$A$108)*'Cálculos'!$D$98)+1400)+'Cálculos'!$D$123)*'Cálculos'!$D$219)+('Cálculos'!$D$196+(($C104)-$A$63:$A$108)*'Cálculos'!$D$98)*('Cálculos'!$D$210+'Cálculos'!$D$124*(1+2.78*('Cálculos'!$D$196+(($C104)-$A$63:$A$108)*'Cálculos'!$D$98)/(('Cálculos'!$D$196+(($C104)-$A$63:$A$108)*'Cálculos'!$D$98)+1400)+'Cálculos'!$D$122)*'Cálculos'!$D$215+'Cálculos'!$D$125*(1+2.78*('Cálculos'!$D$196+(($C104)-$A$63:$A$108)*'Cálculos'!$D$98)/(('Cálculos'!$D$196+(($C104)-$A$63:$A$108)*'Cálculos'!$D$98)+1400)+'Cálculos'!$D$123)*'Cálculos'!$D$220)+('Cálculos'!$D$201*(1+'Cálculos'!$D$202+$A$63:$A$108*('Cálculos'!$D$290=2)*'Cálculos'!$D$101)+'Cálculos'!$D$203)*('Cálculos'!$D$211+'Cálculos'!$D$124*(1+2.78*('Cálculos'!$D$196+(($C104)-$A$63:$A$108)*'Cálculos'!$D$98)/(('Cálculos'!$D$196+(($C104)-$A$63:$A$108)*'Cálculos'!$D$98)+1400)+'Cálculos'!$D$122)*'Cálculos'!$D$216+'Cálculos'!$D$125*(1+2.78*('Cálculos'!$D$196+(($C104)-$A$63:$A$108)*'Cálculos'!$D$98)/(('Cálculos'!$D$196+(($C104)-$A$63:$A$108)*'Cálculos'!$D$98)+1400)+'Cálculos'!$D$123)*'Cálculos'!$D$221)+('Cálculos'!$D$204*(1+'Cálculos'!$D$205+$A$63:$A$108*('Cálculos'!$D$290=3)*'Cálculos'!$D$103)+'Cálculos'!$D$206)*('Cálculos'!$D$212+'Cálculos'!$D$124*(1+2.78*('Cálculos'!$D$196+(($C104)-$A$63:$A$108)*'Cálculos'!$D$98)/(('Cálculos'!$D$196+(($C104)-$A$63:$A$108)*'Cálculos'!$D$98)+1400)+'Cálculos'!$D$122)*'Cálculos'!$D$217+'Cálculos'!$D$125*(1+2.78*('Cálculos'!$D$196+(($C104)-$A$63:$A$108)*'Cálculos'!$D$98)/(('Cálculos'!$D$196+(($C104)-$A$63:$A$108)*'Cálculos'!$D$98)+1400)+'Cálculos'!$D$123)*'Cálculos'!$D$222)+('Cálculos'!$D$213+'Cálculos'!$D$124*(1+2.78*('Cálculos'!$D$196+(($C104)-$A$63:$A$108)*'Cálculos'!$D$98)/(('Cálculos'!$D$196+(($C104)-$A$63:$A$108)*'Cálculos'!$D$98)+1400)+'Cálculos'!$D$122)*'Cálculos'!$D$218+'Cálculos'!$D$125*(1+2.78*('Cálculos'!$D$196+(($C104)-$A$63:$A$108)*'Cálculos'!$D$98)/(('Cálculos'!$D$196+(($C104)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104)-$A$63:$A$108)*'Cálculos'!$D$98)/(('Cálculos'!$D$197+(($C104)-$A$63:$A$108)*'Cálculos'!$D$98)+1400)+'Cálculos'!$D$122)*'Cálculos'!$D$229+'Cálculos'!$D$125*(1+2.78*('Cálculos'!$D$197+(($C104)-$A$63:$A$108)*'Cálculos'!$D$98)/(('Cálculos'!$D$197+(($C104)-$A$63:$A$108)*'Cálculos'!$D$98)+1400)+'Cálculos'!$D$123)*'Cálculos'!$D$234)+('Cálculos'!$D$197+(($C104)-$A$63:$A$108)*'Cálculos'!$D$98)*('Cálculos'!$D$225+'Cálculos'!$D$124*(1+2.78*('Cálculos'!$D$197+(($C104)-$A$63:$A$108)*'Cálculos'!$D$98)/(('Cálculos'!$D$197+(($C104)-$A$63:$A$108)*'Cálculos'!$D$98)+1400)+'Cálculos'!$D$122)*'Cálculos'!$D$230+'Cálculos'!$D$125*(1+2.78*('Cálculos'!$D$197+(($C104)-$A$63:$A$108)*'Cálculos'!$D$98)/(('Cálculos'!$D$197+(($C104)-$A$63:$A$108)*'Cálculos'!$D$98)+1400)+'Cálculos'!$D$123)*'Cálculos'!$D$235)+('Cálculos'!$D$201*(1+'Cálculos'!$D$202+$A$63:$A$108*('Cálculos'!$D$290=2)*'Cálculos'!$D$101)+'Cálculos'!$D$203)*('Cálculos'!$D$226+'Cálculos'!$D$124*(1+2.78*('Cálculos'!$D$197+(($C104)-$A$63:$A$108)*'Cálculos'!$D$98)/(('Cálculos'!$D$197+(($C104)-$A$63:$A$108)*'Cálculos'!$D$98)+1400)+'Cálculos'!$D$122)*'Cálculos'!$D$231+'Cálculos'!$D$125*(1+2.78*('Cálculos'!$D$197+(($C104)-$A$63:$A$108)*'Cálculos'!$D$98)/(('Cálculos'!$D$197+(($C104)-$A$63:$A$108)*'Cálculos'!$D$98)+1400)+'Cálculos'!$D$123)*'Cálculos'!$D$236)+('Cálculos'!$D$204*(1+'Cálculos'!$D$205+$A$63:$A$108*('Cálculos'!$D$290=3)*'Cálculos'!$D$103)+'Cálculos'!$D$206)*('Cálculos'!$D$227+'Cálculos'!$D$124*(1+2.78*('Cálculos'!$D$197+(($C104)-$A$63:$A$108)*'Cálculos'!$D$98)/(('Cálculos'!$D$197+(($C104)-$A$63:$A$108)*'Cálculos'!$D$98)+1400)+'Cálculos'!$D$122)*'Cálculos'!$D$232+'Cálculos'!$D$125*(1+2.78*('Cálculos'!$D$197+(($C104)-$A$63:$A$108)*'Cálculos'!$D$98)/(('Cálculos'!$D$197+(($C104)-$A$63:$A$108)*'Cálculos'!$D$98)+1400)+'Cálculos'!$D$123)*'Cálculos'!$D$237)+('Cálculos'!$D$228+'Cálculos'!$D$124*(1+2.78*('Cálculos'!$D$197+(($C104)-$A$63:$A$108)*'Cálculos'!$D$98)/(('Cálculos'!$D$197+(($C104)-$A$63:$A$108)*'Cálculos'!$D$98)+1400)+'Cálculos'!$D$122)*'Cálculos'!$D$233+'Cálculos'!$D$125*(1+2.78*('Cálculos'!$D$197+(($C104)-$A$63:$A$108)*'Cálculos'!$D$98)/(('Cálculos'!$D$197+(($C104)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104)-$A$63:$A$108)*'Cálculos'!$D$98)/(('Cálculos'!$D$198+(($C104)-$A$63:$A$108)*'Cálculos'!$D$98)+1400)+'Cálculos'!$D$122)*'Cálculos'!$D$244+'Cálculos'!$D$125*(1+2.78*('Cálculos'!$D$198+(($C104)-$A$63:$A$108)*'Cálculos'!$D$98)/(('Cálculos'!$D$198+(($C104)-$A$63:$A$108)*'Cálculos'!$D$98)+1400)+'Cálculos'!$D$123)*'Cálculos'!$D$249)+('Cálculos'!$D$198+(($C104)-$A$63:$A$108)*'Cálculos'!$D$98)*('Cálculos'!$D$240+'Cálculos'!$D$124*(1+2.78*('Cálculos'!$D$198+(($C104)-$A$63:$A$108)*'Cálculos'!$D$98)/(('Cálculos'!$D$198+(($C104)-$A$63:$A$108)*'Cálculos'!$D$98)+1400)+'Cálculos'!$D$122)*'Cálculos'!$D$245+'Cálculos'!$D$125*(1+2.78*('Cálculos'!$D$198+(($C104)-$A$63:$A$108)*'Cálculos'!$D$98)/(('Cálculos'!$D$198+(($C104)-$A$63:$A$108)*'Cálculos'!$D$98)+1400)+'Cálculos'!$D$123)*'Cálculos'!$D$250)+('Cálculos'!$D$201*(1+'Cálculos'!$D$202+$A$63:$A$108*('Cálculos'!$D$290=2)*'Cálculos'!$D$101)+'Cálculos'!$D$203)*('Cálculos'!$D$241+'Cálculos'!$D$124*(1+2.78*('Cálculos'!$D$198+(($C104)-$A$63:$A$108)*'Cálculos'!$D$98)/(('Cálculos'!$D$198+(($C104)-$A$63:$A$108)*'Cálculos'!$D$98)+1400)+'Cálculos'!$D$122)*'Cálculos'!$D$246+'Cálculos'!$D$125*(1+2.78*('Cálculos'!$D$198+(($C104)-$A$63:$A$108)*'Cálculos'!$D$98)/(('Cálculos'!$D$198+(($C104)-$A$63:$A$108)*'Cálculos'!$D$98)+1400)+'Cálculos'!$D$123)*'Cálculos'!$D$251)+('Cálculos'!$D$204*(1+'Cálculos'!$D$205+$A$63:$A$108*('Cálculos'!$D$290=3)*'Cálculos'!$D$103)+'Cálculos'!$D$206)*('Cálculos'!$D$242+'Cálculos'!$D$124*(1+2.78*('Cálculos'!$D$198+(($C104)-$A$63:$A$108)*'Cálculos'!$D$98)/(('Cálculos'!$D$198+(($C104)-$A$63:$A$108)*'Cálculos'!$D$98)+1400)+'Cálculos'!$D$122)*'Cálculos'!$D$247+'Cálculos'!$D$125*(1+2.78*('Cálculos'!$D$198+(($C104)-$A$63:$A$108)*'Cálculos'!$D$98)/(('Cálculos'!$D$198+(($C104)-$A$63:$A$108)*'Cálculos'!$D$98)+1400)+'Cálculos'!$D$123)*'Cálculos'!$D$252)+('Cálculos'!$D$243+'Cálculos'!$D$124*(1+2.78*('Cálculos'!$D$198+(($C104)-$A$63:$A$108)*'Cálculos'!$D$98)/(('Cálculos'!$D$198+(($C104)-$A$63:$A$108)*'Cálculos'!$D$98)+1400)+'Cálculos'!$D$122)*'Cálculos'!$D$248+'Cálculos'!$D$125*(1+2.78*('Cálculos'!$D$198+(($C104)-$A$63:$A$108)*'Cálculos'!$D$98)/(('Cálculos'!$D$198+(($C104)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104)-$A$63:$A$108)*'Cálculos'!$D$98)/(('Cálculos'!$D$199+(($C104)-$A$63:$A$108)*'Cálculos'!$D$98)+1400)+'Cálculos'!$D$122)*'Cálculos'!$D$259+'Cálculos'!$D$125*(1+2.78*('Cálculos'!$D$199+(($C104)-$A$63:$A$108)*'Cálculos'!$D$98)/(('Cálculos'!$D$199+(($C104)-$A$63:$A$108)*'Cálculos'!$D$98)+1400)+'Cálculos'!$D$123)*'Cálculos'!$D$264)+('Cálculos'!$D$199+(($C104)-$A$63:$A$108)*'Cálculos'!$D$98)*('Cálculos'!$D$255+'Cálculos'!$D$124*(1+2.78*('Cálculos'!$D$199+(($C104)-$A$63:$A$108)*'Cálculos'!$D$98)/(('Cálculos'!$D$199+(($C104)-$A$63:$A$108)*'Cálculos'!$D$98)+1400)+'Cálculos'!$D$122)*'Cálculos'!$D$260+'Cálculos'!$D$125*(1+2.78*('Cálculos'!$D$199+(($C104)-$A$63:$A$108)*'Cálculos'!$D$98)/(('Cálculos'!$D$199+(($C104)-$A$63:$A$108)*'Cálculos'!$D$98)+1400)+'Cálculos'!$D$123)*'Cálculos'!$D$265)+('Cálculos'!$D$201*(1+'Cálculos'!$D$202+$A$63:$A$108*('Cálculos'!$D$290=2)*'Cálculos'!$D$101)+'Cálculos'!$D$203)*('Cálculos'!$D$256+'Cálculos'!$D$124*(1+2.78*('Cálculos'!$D$199+(($C104)-$A$63:$A$108)*'Cálculos'!$D$98)/(('Cálculos'!$D$199+(($C104)-$A$63:$A$108)*'Cálculos'!$D$98)+1400)+'Cálculos'!$D$122)*'Cálculos'!$D$261+'Cálculos'!$D$125*(1+2.78*('Cálculos'!$D$199+(($C104)-$A$63:$A$108)*'Cálculos'!$D$98)/(('Cálculos'!$D$199+(($C104)-$A$63:$A$108)*'Cálculos'!$D$98)+1400)+'Cálculos'!$D$123)*'Cálculos'!$D$266)+('Cálculos'!$D$204*(1+'Cálculos'!$D$205+$A$63:$A$108*('Cálculos'!$D$290=3)*'Cálculos'!$D$103)+'Cálculos'!$D$206)*('Cálculos'!$D$257+'Cálculos'!$D$124*(1+2.78*('Cálculos'!$D$199+(($C104)-$A$63:$A$108)*'Cálculos'!$D$98)/(('Cálculos'!$D$199+(($C104)-$A$63:$A$108)*'Cálculos'!$D$98)+1400)+'Cálculos'!$D$122)*'Cálculos'!$D$262+'Cálculos'!$D$125*(1+2.78*('Cálculos'!$D$199+(($C104)-$A$63:$A$108)*'Cálculos'!$D$98)/(('Cálculos'!$D$199+(($C104)-$A$63:$A$108)*'Cálculos'!$D$98)+1400)+'Cálculos'!$D$123)*'Cálculos'!$D$267)+('Cálculos'!$D$258+'Cálculos'!$D$124*(1+2.78*('Cálculos'!$D$199+(($C104)-$A$63:$A$108)*'Cálculos'!$D$98)/(('Cálculos'!$D$199+(($C104)-$A$63:$A$108)*'Cálculos'!$D$98)+1400)+'Cálculos'!$D$122)*'Cálculos'!$D$263+'Cálculos'!$D$125*(1+2.78*('Cálculos'!$D$199+(($C104)-$A$63:$A$108)*'Cálculos'!$D$98)/(('Cálculos'!$D$199+(($C104)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104)-$A$63:$A$108)*'Cálculos'!$D$98)/(('Cálculos'!$D$200+(($C104)-$A$63:$A$108)*'Cálculos'!$D$98)+1400)+'Cálculos'!$D$122)*'Cálculos'!$D$274+'Cálculos'!$D$125*(1+2.78*('Cálculos'!$D$200+(($C104)-$A$63:$A$108)*'Cálculos'!$D$98)/(('Cálculos'!$D$200+(($C104)-$A$63:$A$108)*'Cálculos'!$D$98)+1400)+'Cálculos'!$D$123)*'Cálculos'!$D$279)+('Cálculos'!$D$200+(($C104)-$A$63:$A$108)*'Cálculos'!$D$98)*('Cálculos'!$D$270+'Cálculos'!$D$124*(1+2.78*('Cálculos'!$D$200+(($C104)-$A$63:$A$108)*'Cálculos'!$D$98)/(('Cálculos'!$D$200+(($C104)-$A$63:$A$108)*'Cálculos'!$D$98)+1400)+'Cálculos'!$D$122)*'Cálculos'!$D$275+'Cálculos'!$D$125*(1+2.78*('Cálculos'!$D$200+(($C104)-$A$63:$A$108)*'Cálculos'!$D$98)/(('Cálculos'!$D$200+(($C104)-$A$63:$A$108)*'Cálculos'!$D$98)+1400)+'Cálculos'!$D$123)*'Cálculos'!$D$280)+('Cálculos'!$D$201*(1+'Cálculos'!$D$202+$A$63:$A$108*('Cálculos'!$D$290=2)*'Cálculos'!$D$101)+'Cálculos'!$D$203)*('Cálculos'!$D$271+'Cálculos'!$D$124*(1+2.78*('Cálculos'!$D$200+(($C104)-$A$63:$A$108)*'Cálculos'!$D$98)/(('Cálculos'!$D$200+(($C104)-$A$63:$A$108)*'Cálculos'!$D$98)+1400)+'Cálculos'!$D$122)*'Cálculos'!$D$276+'Cálculos'!$D$125*(1+2.78*('Cálculos'!$D$200+(($C104)-$A$63:$A$108)*'Cálculos'!$D$98)/(('Cálculos'!$D$200+(($C104)-$A$63:$A$108)*'Cálculos'!$D$98)+1400)+'Cálculos'!$D$123)*'Cálculos'!$D$281)+('Cálculos'!$D$204*(1+'Cálculos'!$D$205+$A$63:$A$108*('Cálculos'!$D$290=3)*'Cálculos'!$D$103)+'Cálculos'!$D$206)*('Cálculos'!$D$272+'Cálculos'!$D$124*(1+2.78*('Cálculos'!$D$200+(($C104)-$A$63:$A$108)*'Cálculos'!$D$98)/(('Cálculos'!$D$200+(($C104)-$A$63:$A$108)*'Cálculos'!$D$98)+1400)+'Cálculos'!$D$122)*'Cálculos'!$D$277+'Cálculos'!$D$125*(1+2.78*('Cálculos'!$D$200+(($C104)-$A$63:$A$108)*'Cálculos'!$D$98)/(('Cálculos'!$D$200+(($C104)-$A$63:$A$108)*'Cálculos'!$D$98)+1400)+'Cálculos'!$D$123)*'Cálculos'!$D$282)+('Cálculos'!$D$273+'Cálculos'!$D$124*(1+2.78*('Cálculos'!$D$200+(($C104)-$A$63:$A$108)*'Cálculos'!$D$98)/(('Cálculos'!$D$200+(($C104)-$A$63:$A$108)*'Cálculos'!$D$98)+1400)+'Cálculos'!$D$122)*'Cálculos'!$D$278+'Cálculos'!$D$125*(1+2.78*('Cálculos'!$D$200+(($C104)-$A$63:$A$108)*'Cálculos'!$D$98)/(('Cálculos'!$D$200+(($C104)-$A$63:$A$108)*'Cálculos'!$D$98)+1400)+'Cálculos'!$D$123)*'Cálculos'!$D$283)))))</f>
        <v>0</v>
      </c>
      <c r="E104" s="32">
        <f>IF(OR($C104&lt;0,'Cálculos'!$D$6=""),0,$B104*$D104)</f>
        <v>0</v>
      </c>
      <c r="F104" s="2"/>
      <c r="G104" s="30">
        <f>($A104&lt;=$B$110)*($A104&lt;='Cálculos'!$D$294)*(($B$110)-$A104&lt;='Cálculos'!$D$295)*(1+MIN(('Cálculos'!$D$207+$A104*'Cálculos'!$D$95),1)*('Cálculos'!$D$208+(($B$110)-$A104)*'Cálculos'!$D$96))</f>
        <v>0</v>
      </c>
      <c r="H104" s="31">
        <f>IF($B$111&lt;0,0,($A104&lt;=$B$111)*($A104&lt;='Cálculos'!$D$301)*(($B$111)-$A104&lt;='Cálculos'!$D$297)*(('Cálculos'!$D$185*(1+'Cálculos'!$D$186+$A104*('Cálculos'!$D$290=1)*'Cálculos'!$D$97+'Cálculos'!$D$305)+'Cálculos'!$D$191)*('Cálculos'!$D$209+'Cálculos'!$D$124*(1+2.78*('Cálculos'!$D$196+(($B$111)-$A104)*'Cálculos'!$D$98)/(('Cálculos'!$D$196+(($B$111)-$A104)*'Cálculos'!$D$98)+1400)+'Cálculos'!$D$122)*'Cálculos'!$D$214+'Cálculos'!$D$125*(1+2.78*('Cálculos'!$D$196+(($B$111)-$A104)*'Cálculos'!$D$98)/(('Cálculos'!$D$196+(($B$111)-$A104)*'Cálculos'!$D$98)+1400)+'Cálculos'!$D$123)*'Cálculos'!$D$219)+('Cálculos'!$D$196+(($B$111)-$A104)*'Cálculos'!$D$98)*('Cálculos'!$D$210+'Cálculos'!$D$124*(1+2.78*('Cálculos'!$D$196+(($B$111)-$A104)*'Cálculos'!$D$98)/(('Cálculos'!$D$196+(($B$111)-$A104)*'Cálculos'!$D$98)+1400)+'Cálculos'!$D$122)*'Cálculos'!$D$215+'Cálculos'!$D$125*(1+2.78*('Cálculos'!$D$196+(($B$111)-$A104)*'Cálculos'!$D$98)/(('Cálculos'!$D$196+(($B$111)-$A104)*'Cálculos'!$D$98)+1400)+'Cálculos'!$D$123)*'Cálculos'!$D$220)+('Cálculos'!$D$201*(1+'Cálculos'!$D$202+$A104*('Cálculos'!$D$290=2)*'Cálculos'!$D$101)+'Cálculos'!$D$203)*('Cálculos'!$D$211+'Cálculos'!$D$124*(1+2.78*('Cálculos'!$D$196+(($B$111)-$A104)*'Cálculos'!$D$98)/(('Cálculos'!$D$196+(($B$111)-$A104)*'Cálculos'!$D$98)+1400)+'Cálculos'!$D$122)*'Cálculos'!$D$216+'Cálculos'!$D$125*(1+2.78*('Cálculos'!$D$196+(($B$111)-$A104)*'Cálculos'!$D$98)/(('Cálculos'!$D$196+(($B$111)-$A104)*'Cálculos'!$D$98)+1400)+'Cálculos'!$D$123)*'Cálculos'!$D$221)+('Cálculos'!$D$204*(1+'Cálculos'!$D$205+$A104*('Cálculos'!$D$290=3)*'Cálculos'!$D$103)+'Cálculos'!$D$206)*('Cálculos'!$D$212+'Cálculos'!$D$124*(1+2.78*('Cálculos'!$D$196+(($B$111)-$A104)*'Cálculos'!$D$98)/(('Cálculos'!$D$196+(($B$111)-$A104)*'Cálculos'!$D$98)+1400)+'Cálculos'!$D$122)*'Cálculos'!$D$217+'Cálculos'!$D$125*(1+2.78*('Cálculos'!$D$196+(($B$111)-$A104)*'Cálculos'!$D$98)/(('Cálculos'!$D$196+(($B$111)-$A104)*'Cálculos'!$D$98)+1400)+'Cálculos'!$D$123)*'Cálculos'!$D$222)+('Cálculos'!$D$213+'Cálculos'!$D$124*(1+2.78*('Cálculos'!$D$196+(($B$111)-$A104)*'Cálculos'!$D$98)/(('Cálculos'!$D$196+(($B$111)-$A104)*'Cálculos'!$D$98)+1400)+'Cálculos'!$D$122)*'Cálculos'!$D$218+'Cálculos'!$D$125*(1+2.78*('Cálculos'!$D$196+(($B$111)-$A104)*'Cálculos'!$D$98)/(('Cálculos'!$D$196+(($B$111)-$A104)*'Cálculos'!$D$98)+1400)+'Cálculos'!$D$123)*'Cálculos'!$D$223)+('Cálculos'!$D$185*(1+'Cálculos'!$D$187+$A104*('Cálculos'!$D$290=1)*'Cálculos'!$D$97+'Cálculos'!$D$305)+'Cálculos'!$D$192)*('Cálculos'!$D$224+'Cálculos'!$D$124*(1+2.78*('Cálculos'!$D$197+(($B$111)-$A104)*'Cálculos'!$D$98)/(('Cálculos'!$D$197+(($B$111)-$A104)*'Cálculos'!$D$98)+1400)+'Cálculos'!$D$122)*'Cálculos'!$D$229+'Cálculos'!$D$125*(1+2.78*('Cálculos'!$D$197+(($B$111)-$A104)*'Cálculos'!$D$98)/(('Cálculos'!$D$197+(($B$111)-$A104)*'Cálculos'!$D$98)+1400)+'Cálculos'!$D$123)*'Cálculos'!$D$234)+('Cálculos'!$D$197+(($B$111)-$A104)*'Cálculos'!$D$98)*('Cálculos'!$D$225+'Cálculos'!$D$124*(1+2.78*('Cálculos'!$D$197+(($B$111)-$A104)*'Cálculos'!$D$98)/(('Cálculos'!$D$197+(($B$111)-$A104)*'Cálculos'!$D$98)+1400)+'Cálculos'!$D$122)*'Cálculos'!$D$230+'Cálculos'!$D$125*(1+2.78*('Cálculos'!$D$197+(($B$111)-$A104)*'Cálculos'!$D$98)/(('Cálculos'!$D$197+(($B$111)-$A104)*'Cálculos'!$D$98)+1400)+'Cálculos'!$D$123)*'Cálculos'!$D$235)+('Cálculos'!$D$201*(1+'Cálculos'!$D$202+$A104*('Cálculos'!$D$290=2)*'Cálculos'!$D$101)+'Cálculos'!$D$203)*('Cálculos'!$D$226+'Cálculos'!$D$124*(1+2.78*('Cálculos'!$D$197+(($B$111)-$A104)*'Cálculos'!$D$98)/(('Cálculos'!$D$197+(($B$111)-$A104)*'Cálculos'!$D$98)+1400)+'Cálculos'!$D$122)*'Cálculos'!$D$231+'Cálculos'!$D$125*(1+2.78*('Cálculos'!$D$197+(($B$111)-$A104)*'Cálculos'!$D$98)/(('Cálculos'!$D$197+(($B$111)-$A104)*'Cálculos'!$D$98)+1400)+'Cálculos'!$D$123)*'Cálculos'!$D$236)+('Cálculos'!$D$204*(1+'Cálculos'!$D$205+$A104*('Cálculos'!$D$290=3)*'Cálculos'!$D$103)+'Cálculos'!$D$206)*('Cálculos'!$D$227+'Cálculos'!$D$124*(1+2.78*('Cálculos'!$D$197+(($B$111)-$A104)*'Cálculos'!$D$98)/(('Cálculos'!$D$197+(($B$111)-$A104)*'Cálculos'!$D$98)+1400)+'Cálculos'!$D$122)*'Cálculos'!$D$232+'Cálculos'!$D$125*(1+2.78*('Cálculos'!$D$197+(($B$111)-$A104)*'Cálculos'!$D$98)/(('Cálculos'!$D$197+(($B$111)-$A104)*'Cálculos'!$D$98)+1400)+'Cálculos'!$D$123)*'Cálculos'!$D$237)+('Cálculos'!$D$228+'Cálculos'!$D$124*(1+2.78*('Cálculos'!$D$197+(($B$111)-$A104)*'Cálculos'!$D$98)/(('Cálculos'!$D$197+(($B$111)-$A104)*'Cálculos'!$D$98)+1400)+'Cálculos'!$D$122)*'Cálculos'!$D$233+'Cálculos'!$D$125*(1+2.78*('Cálculos'!$D$197+(($B$111)-$A104)*'Cálculos'!$D$98)/(('Cálculos'!$D$197+(($B$111)-$A104)*'Cálculos'!$D$98)+1400)+'Cálculos'!$D$123)*'Cálculos'!$D$238)+('Cálculos'!$D$185*(1+'Cálculos'!$D$188+$A104*('Cálculos'!$D$290=1)*'Cálculos'!$D$97+'Cálculos'!$D$305)+'Cálculos'!$D$193)*('Cálculos'!$D$239+'Cálculos'!$D$124*(1+2.78*('Cálculos'!$D$198+(($B$111)-$A104)*'Cálculos'!$D$98)/(('Cálculos'!$D$198+(($B$111)-$A104)*'Cálculos'!$D$98)+1400)+'Cálculos'!$D$122)*'Cálculos'!$D$244+'Cálculos'!$D$125*(1+2.78*('Cálculos'!$D$198+(($B$111)-$A104)*'Cálculos'!$D$98)/(('Cálculos'!$D$198+(($B$111)-$A104)*'Cálculos'!$D$98)+1400)+'Cálculos'!$D$123)*'Cálculos'!$D$249)+('Cálculos'!$D$198+(($B$111)-$A104)*'Cálculos'!$D$98)*('Cálculos'!$D$240+'Cálculos'!$D$124*(1+2.78*('Cálculos'!$D$198+(($B$111)-$A104)*'Cálculos'!$D$98)/(('Cálculos'!$D$198+(($B$111)-$A104)*'Cálculos'!$D$98)+1400)+'Cálculos'!$D$122)*'Cálculos'!$D$245+'Cálculos'!$D$125*(1+2.78*('Cálculos'!$D$198+(($B$111)-$A104)*'Cálculos'!$D$98)/(('Cálculos'!$D$198+(($B$111)-$A104)*'Cálculos'!$D$98)+1400)+'Cálculos'!$D$123)*'Cálculos'!$D$250)+('Cálculos'!$D$201*(1+'Cálculos'!$D$202+$A104*('Cálculos'!$D$290=2)*'Cálculos'!$D$101)+'Cálculos'!$D$203)*('Cálculos'!$D$241+'Cálculos'!$D$124*(1+2.78*('Cálculos'!$D$198+(($B$111)-$A104)*'Cálculos'!$D$98)/(('Cálculos'!$D$198+(($B$111)-$A104)*'Cálculos'!$D$98)+1400)+'Cálculos'!$D$122)*'Cálculos'!$D$246+'Cálculos'!$D$125*(1+2.78*('Cálculos'!$D$198+(($B$111)-$A104)*'Cálculos'!$D$98)/(('Cálculos'!$D$198+(($B$111)-$A104)*'Cálculos'!$D$98)+1400)+'Cálculos'!$D$123)*'Cálculos'!$D$251)+('Cálculos'!$D$204*(1+'Cálculos'!$D$205+$A104*('Cálculos'!$D$290=3)*'Cálculos'!$D$103)+'Cálculos'!$D$206)*('Cálculos'!$D$242+'Cálculos'!$D$124*(1+2.78*('Cálculos'!$D$198+(($B$111)-$A104)*'Cálculos'!$D$98)/(('Cálculos'!$D$198+(($B$111)-$A104)*'Cálculos'!$D$98)+1400)+'Cálculos'!$D$122)*'Cálculos'!$D$247+'Cálculos'!$D$125*(1+2.78*('Cálculos'!$D$198+(($B$111)-$A104)*'Cálculos'!$D$98)/(('Cálculos'!$D$198+(($B$111)-$A104)*'Cálculos'!$D$98)+1400)+'Cálculos'!$D$123)*'Cálculos'!$D$252)+('Cálculos'!$D$243+'Cálculos'!$D$124*(1+2.78*('Cálculos'!$D$198+(($B$111)-$A104)*'Cálculos'!$D$98)/(('Cálculos'!$D$198+(($B$111)-$A104)*'Cálculos'!$D$98)+1400)+'Cálculos'!$D$122)*'Cálculos'!$D$248+'Cálculos'!$D$125*(1+2.78*('Cálculos'!$D$198+(($B$111)-$A104)*'Cálculos'!$D$98)/(('Cálculos'!$D$198+(($B$111)-$A104)*'Cálculos'!$D$98)+1400)+'Cálculos'!$D$123)*'Cálculos'!$D$253)+('Cálculos'!$D$185*(1+'Cálculos'!$D$189+$A104*('Cálculos'!$D$290=1)*'Cálculos'!$D$97+'Cálculos'!$D$305)+'Cálculos'!$D$194)*('Cálculos'!$D$254+'Cálculos'!$D$124*(1+2.78*('Cálculos'!$D$199+(($B$111)-$A104)*'Cálculos'!$D$98)/(('Cálculos'!$D$199+(($B$111)-$A104)*'Cálculos'!$D$98)+1400)+'Cálculos'!$D$122)*'Cálculos'!$D$259+'Cálculos'!$D$125*(1+2.78*('Cálculos'!$D$199+(($B$111)-$A104)*'Cálculos'!$D$98)/(('Cálculos'!$D$199+(($B$111)-$A104)*'Cálculos'!$D$98)+1400)+'Cálculos'!$D$123)*'Cálculos'!$D$264)+('Cálculos'!$D$199+(($B$111)-$A104)*'Cálculos'!$D$98)*('Cálculos'!$D$255+'Cálculos'!$D$124*(1+2.78*('Cálculos'!$D$199+(($B$111)-$A104)*'Cálculos'!$D$98)/(('Cálculos'!$D$199+(($B$111)-$A104)*'Cálculos'!$D$98)+1400)+'Cálculos'!$D$122)*'Cálculos'!$D$260+'Cálculos'!$D$125*(1+2.78*('Cálculos'!$D$199+(($B$111)-$A104)*'Cálculos'!$D$98)/(('Cálculos'!$D$199+(($B$111)-$A104)*'Cálculos'!$D$98)+1400)+'Cálculos'!$D$123)*'Cálculos'!$D$265)+('Cálculos'!$D$201*(1+'Cálculos'!$D$202+$A104*('Cálculos'!$D$290=2)*'Cálculos'!$D$101)+'Cálculos'!$D$203)*('Cálculos'!$D$256+'Cálculos'!$D$124*(1+2.78*('Cálculos'!$D$199+(($B$111)-$A104)*'Cálculos'!$D$98)/(('Cálculos'!$D$199+(($B$111)-$A104)*'Cálculos'!$D$98)+1400)+'Cálculos'!$D$122)*'Cálculos'!$D$261+'Cálculos'!$D$125*(1+2.78*('Cálculos'!$D$199+(($B$111)-$A104)*'Cálculos'!$D$98)/(('Cálculos'!$D$199+(($B$111)-$A104)*'Cálculos'!$D$98)+1400)+'Cálculos'!$D$123)*'Cálculos'!$D$266)+('Cálculos'!$D$204*(1+'Cálculos'!$D$205+$A104*('Cálculos'!$D$290=3)*'Cálculos'!$D$103)+'Cálculos'!$D$206)*('Cálculos'!$D$257+'Cálculos'!$D$124*(1+2.78*('Cálculos'!$D$199+(($B$111)-$A104)*'Cálculos'!$D$98)/(('Cálculos'!$D$199+(($B$111)-$A104)*'Cálculos'!$D$98)+1400)+'Cálculos'!$D$122)*'Cálculos'!$D$262+'Cálculos'!$D$125*(1+2.78*('Cálculos'!$D$199+(($B$111)-$A104)*'Cálculos'!$D$98)/(('Cálculos'!$D$199+(($B$111)-$A104)*'Cálculos'!$D$98)+1400)+'Cálculos'!$D$123)*'Cálculos'!$D$267)+('Cálculos'!$D$258+'Cálculos'!$D$124*(1+2.78*('Cálculos'!$D$199+(($B$111)-$A104)*'Cálculos'!$D$98)/(('Cálculos'!$D$199+(($B$111)-$A104)*'Cálculos'!$D$98)+1400)+'Cálculos'!$D$122)*'Cálculos'!$D$263+'Cálculos'!$D$125*(1+2.78*('Cálculos'!$D$199+(($B$111)-$A104)*'Cálculos'!$D$98)/(('Cálculos'!$D$199+(($B$111)-$A104)*'Cálculos'!$D$98)+1400)+'Cálculos'!$D$123)*'Cálculos'!$D$268)+('Cálculos'!$D$185*(1+'Cálculos'!$D$190+$A104*('Cálculos'!$D$290=1)*'Cálculos'!$D$97+'Cálculos'!$D$305)+'Cálculos'!$D$195)*('Cálculos'!$D$269+'Cálculos'!$D$124*(1+2.78*('Cálculos'!$D$200+(($B$111)-$A104)*'Cálculos'!$D$98)/(('Cálculos'!$D$200+(($B$111)-$A104)*'Cálculos'!$D$98)+1400)+'Cálculos'!$D$122)*'Cálculos'!$D$274+'Cálculos'!$D$125*(1+2.78*('Cálculos'!$D$200+(($B$111)-$A104)*'Cálculos'!$D$98)/(('Cálculos'!$D$200+(($B$111)-$A104)*'Cálculos'!$D$98)+1400)+'Cálculos'!$D$123)*'Cálculos'!$D$279)+('Cálculos'!$D$200+(($B$111)-$A104)*'Cálculos'!$D$98)*('Cálculos'!$D$270+'Cálculos'!$D$124*(1+2.78*('Cálculos'!$D$200+(($B$111)-$A104)*'Cálculos'!$D$98)/(('Cálculos'!$D$200+(($B$111)-$A104)*'Cálculos'!$D$98)+1400)+'Cálculos'!$D$122)*'Cálculos'!$D$275+'Cálculos'!$D$125*(1+2.78*('Cálculos'!$D$200+(($B$111)-$A104)*'Cálculos'!$D$98)/(('Cálculos'!$D$200+(($B$111)-$A104)*'Cálculos'!$D$98)+1400)+'Cálculos'!$D$123)*'Cálculos'!$D$280)+('Cálculos'!$D$201*(1+'Cálculos'!$D$202+$A104*('Cálculos'!$D$290=2)*'Cálculos'!$D$101)+'Cálculos'!$D$203)*('Cálculos'!$D$271+'Cálculos'!$D$124*(1+2.78*('Cálculos'!$D$200+(($B$111)-$A104)*'Cálculos'!$D$98)/(('Cálculos'!$D$200+(($B$111)-$A104)*'Cálculos'!$D$98)+1400)+'Cálculos'!$D$122)*'Cálculos'!$D$276+'Cálculos'!$D$125*(1+2.78*('Cálculos'!$D$200+(($B$111)-$A104)*'Cálculos'!$D$98)/(('Cálculos'!$D$200+(($B$111)-$A104)*'Cálculos'!$D$98)+1400)+'Cálculos'!$D$123)*'Cálculos'!$D$281)+('Cálculos'!$D$204*(1+'Cálculos'!$D$205+$A104*('Cálculos'!$D$290=3)*'Cálculos'!$D$103)+'Cálculos'!$D$206)*('Cálculos'!$D$272+'Cálculos'!$D$124*(1+2.78*('Cálculos'!$D$200+(($B$111)-$A104)*'Cálculos'!$D$98)/(('Cálculos'!$D$200+(($B$111)-$A104)*'Cálculos'!$D$98)+1400)+'Cálculos'!$D$122)*'Cálculos'!$D$277+'Cálculos'!$D$125*(1+2.78*('Cálculos'!$D$200+(($B$111)-$A104)*'Cálculos'!$D$98)/(('Cálculos'!$D$200+(($B$111)-$A104)*'Cálculos'!$D$98)+1400)+'Cálculos'!$D$123)*'Cálculos'!$D$282)+('Cálculos'!$D$273+'Cálculos'!$D$124*(1+2.78*('Cálculos'!$D$200+(($B$111)-$A104)*'Cálculos'!$D$98)/(('Cálculos'!$D$200+(($B$111)-$A104)*'Cálculos'!$D$98)+1400)+'Cálculos'!$D$122)*'Cálculos'!$D$278+'Cálculos'!$D$125*(1+2.78*('Cálculos'!$D$200+(($B$111)-$A104)*'Cálculos'!$D$98)/(('Cálculos'!$D$200+(($B$111)-$A104)*'Cálculos'!$D$98)+1400)+'Cálculos'!$D$123)*'Cálculos'!$D$283)))</f>
        <v>0</v>
      </c>
    </row>
    <row r="105" ht="15.75" customHeight="1">
      <c r="A105" s="2">
        <v>42.0</v>
      </c>
      <c r="B105" s="30">
        <f>SUMPRODUCT(MAX(($A$63:$A$108&lt;=$A105)*($A$63:$A$108&lt;='Cálculos'!$D$294)*(($A105)-$A$63:$A$108&lt;='Cálculos'!$D$295)*(1+(('Cálculos'!$D$207+$A$63:$A$108*'Cálculos'!$D$95)-(('Cálculos'!$D$207+$A$63:$A$108*'Cálculos'!$D$95)&gt;1)*(('Cálculos'!$D$207+$A$63:$A$108*'Cálculos'!$D$95)-1))*('Cálculos'!$D$208+(($A105)-$A$63:$A$108)*'Cálculos'!$D$96))))</f>
        <v>2.655097002</v>
      </c>
      <c r="C105" s="2">
        <f>'Cálculos'!$D$303-$A105</f>
        <v>-31</v>
      </c>
      <c r="D105" s="31">
        <f>IF($C105&lt;0,0,SUMPRODUCT(MAX(($A$63:$A$108&lt;=$C105)*($A$63:$A$108&lt;='Cálculos'!$D$301)*(($C105)-$A$63:$A$108&lt;='Cálculos'!$D$297)*(('Cálculos'!$D$185*(1+'Cálculos'!$D$186+$A$63:$A$108*('Cálculos'!$D$290=1)*'Cálculos'!$D$97+'Cálculos'!$D$305)+'Cálculos'!$D$191)*('Cálculos'!$D$209+'Cálculos'!$D$124*(1+2.78*('Cálculos'!$D$196+(($C105)-$A$63:$A$108)*'Cálculos'!$D$98)/(('Cálculos'!$D$196+(($C105)-$A$63:$A$108)*'Cálculos'!$D$98)+1400)+'Cálculos'!$D$122)*'Cálculos'!$D$214+'Cálculos'!$D$125*(1+2.78*('Cálculos'!$D$196+(($C105)-$A$63:$A$108)*'Cálculos'!$D$98)/(('Cálculos'!$D$196+(($C105)-$A$63:$A$108)*'Cálculos'!$D$98)+1400)+'Cálculos'!$D$123)*'Cálculos'!$D$219)+('Cálculos'!$D$196+(($C105)-$A$63:$A$108)*'Cálculos'!$D$98)*('Cálculos'!$D$210+'Cálculos'!$D$124*(1+2.78*('Cálculos'!$D$196+(($C105)-$A$63:$A$108)*'Cálculos'!$D$98)/(('Cálculos'!$D$196+(($C105)-$A$63:$A$108)*'Cálculos'!$D$98)+1400)+'Cálculos'!$D$122)*'Cálculos'!$D$215+'Cálculos'!$D$125*(1+2.78*('Cálculos'!$D$196+(($C105)-$A$63:$A$108)*'Cálculos'!$D$98)/(('Cálculos'!$D$196+(($C105)-$A$63:$A$108)*'Cálculos'!$D$98)+1400)+'Cálculos'!$D$123)*'Cálculos'!$D$220)+('Cálculos'!$D$201*(1+'Cálculos'!$D$202+$A$63:$A$108*('Cálculos'!$D$290=2)*'Cálculos'!$D$101)+'Cálculos'!$D$203)*('Cálculos'!$D$211+'Cálculos'!$D$124*(1+2.78*('Cálculos'!$D$196+(($C105)-$A$63:$A$108)*'Cálculos'!$D$98)/(('Cálculos'!$D$196+(($C105)-$A$63:$A$108)*'Cálculos'!$D$98)+1400)+'Cálculos'!$D$122)*'Cálculos'!$D$216+'Cálculos'!$D$125*(1+2.78*('Cálculos'!$D$196+(($C105)-$A$63:$A$108)*'Cálculos'!$D$98)/(('Cálculos'!$D$196+(($C105)-$A$63:$A$108)*'Cálculos'!$D$98)+1400)+'Cálculos'!$D$123)*'Cálculos'!$D$221)+('Cálculos'!$D$204*(1+'Cálculos'!$D$205+$A$63:$A$108*('Cálculos'!$D$290=3)*'Cálculos'!$D$103)+'Cálculos'!$D$206)*('Cálculos'!$D$212+'Cálculos'!$D$124*(1+2.78*('Cálculos'!$D$196+(($C105)-$A$63:$A$108)*'Cálculos'!$D$98)/(('Cálculos'!$D$196+(($C105)-$A$63:$A$108)*'Cálculos'!$D$98)+1400)+'Cálculos'!$D$122)*'Cálculos'!$D$217+'Cálculos'!$D$125*(1+2.78*('Cálculos'!$D$196+(($C105)-$A$63:$A$108)*'Cálculos'!$D$98)/(('Cálculos'!$D$196+(($C105)-$A$63:$A$108)*'Cálculos'!$D$98)+1400)+'Cálculos'!$D$123)*'Cálculos'!$D$222)+('Cálculos'!$D$213+'Cálculos'!$D$124*(1+2.78*('Cálculos'!$D$196+(($C105)-$A$63:$A$108)*'Cálculos'!$D$98)/(('Cálculos'!$D$196+(($C105)-$A$63:$A$108)*'Cálculos'!$D$98)+1400)+'Cálculos'!$D$122)*'Cálculos'!$D$218+'Cálculos'!$D$125*(1+2.78*('Cálculos'!$D$196+(($C105)-$A$63:$A$108)*'Cálculos'!$D$98)/(('Cálculos'!$D$196+(($C105)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105)-$A$63:$A$108)*'Cálculos'!$D$98)/(('Cálculos'!$D$197+(($C105)-$A$63:$A$108)*'Cálculos'!$D$98)+1400)+'Cálculos'!$D$122)*'Cálculos'!$D$229+'Cálculos'!$D$125*(1+2.78*('Cálculos'!$D$197+(($C105)-$A$63:$A$108)*'Cálculos'!$D$98)/(('Cálculos'!$D$197+(($C105)-$A$63:$A$108)*'Cálculos'!$D$98)+1400)+'Cálculos'!$D$123)*'Cálculos'!$D$234)+('Cálculos'!$D$197+(($C105)-$A$63:$A$108)*'Cálculos'!$D$98)*('Cálculos'!$D$225+'Cálculos'!$D$124*(1+2.78*('Cálculos'!$D$197+(($C105)-$A$63:$A$108)*'Cálculos'!$D$98)/(('Cálculos'!$D$197+(($C105)-$A$63:$A$108)*'Cálculos'!$D$98)+1400)+'Cálculos'!$D$122)*'Cálculos'!$D$230+'Cálculos'!$D$125*(1+2.78*('Cálculos'!$D$197+(($C105)-$A$63:$A$108)*'Cálculos'!$D$98)/(('Cálculos'!$D$197+(($C105)-$A$63:$A$108)*'Cálculos'!$D$98)+1400)+'Cálculos'!$D$123)*'Cálculos'!$D$235)+('Cálculos'!$D$201*(1+'Cálculos'!$D$202+$A$63:$A$108*('Cálculos'!$D$290=2)*'Cálculos'!$D$101)+'Cálculos'!$D$203)*('Cálculos'!$D$226+'Cálculos'!$D$124*(1+2.78*('Cálculos'!$D$197+(($C105)-$A$63:$A$108)*'Cálculos'!$D$98)/(('Cálculos'!$D$197+(($C105)-$A$63:$A$108)*'Cálculos'!$D$98)+1400)+'Cálculos'!$D$122)*'Cálculos'!$D$231+'Cálculos'!$D$125*(1+2.78*('Cálculos'!$D$197+(($C105)-$A$63:$A$108)*'Cálculos'!$D$98)/(('Cálculos'!$D$197+(($C105)-$A$63:$A$108)*'Cálculos'!$D$98)+1400)+'Cálculos'!$D$123)*'Cálculos'!$D$236)+('Cálculos'!$D$204*(1+'Cálculos'!$D$205+$A$63:$A$108*('Cálculos'!$D$290=3)*'Cálculos'!$D$103)+'Cálculos'!$D$206)*('Cálculos'!$D$227+'Cálculos'!$D$124*(1+2.78*('Cálculos'!$D$197+(($C105)-$A$63:$A$108)*'Cálculos'!$D$98)/(('Cálculos'!$D$197+(($C105)-$A$63:$A$108)*'Cálculos'!$D$98)+1400)+'Cálculos'!$D$122)*'Cálculos'!$D$232+'Cálculos'!$D$125*(1+2.78*('Cálculos'!$D$197+(($C105)-$A$63:$A$108)*'Cálculos'!$D$98)/(('Cálculos'!$D$197+(($C105)-$A$63:$A$108)*'Cálculos'!$D$98)+1400)+'Cálculos'!$D$123)*'Cálculos'!$D$237)+('Cálculos'!$D$228+'Cálculos'!$D$124*(1+2.78*('Cálculos'!$D$197+(($C105)-$A$63:$A$108)*'Cálculos'!$D$98)/(('Cálculos'!$D$197+(($C105)-$A$63:$A$108)*'Cálculos'!$D$98)+1400)+'Cálculos'!$D$122)*'Cálculos'!$D$233+'Cálculos'!$D$125*(1+2.78*('Cálculos'!$D$197+(($C105)-$A$63:$A$108)*'Cálculos'!$D$98)/(('Cálculos'!$D$197+(($C105)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105)-$A$63:$A$108)*'Cálculos'!$D$98)/(('Cálculos'!$D$198+(($C105)-$A$63:$A$108)*'Cálculos'!$D$98)+1400)+'Cálculos'!$D$122)*'Cálculos'!$D$244+'Cálculos'!$D$125*(1+2.78*('Cálculos'!$D$198+(($C105)-$A$63:$A$108)*'Cálculos'!$D$98)/(('Cálculos'!$D$198+(($C105)-$A$63:$A$108)*'Cálculos'!$D$98)+1400)+'Cálculos'!$D$123)*'Cálculos'!$D$249)+('Cálculos'!$D$198+(($C105)-$A$63:$A$108)*'Cálculos'!$D$98)*('Cálculos'!$D$240+'Cálculos'!$D$124*(1+2.78*('Cálculos'!$D$198+(($C105)-$A$63:$A$108)*'Cálculos'!$D$98)/(('Cálculos'!$D$198+(($C105)-$A$63:$A$108)*'Cálculos'!$D$98)+1400)+'Cálculos'!$D$122)*'Cálculos'!$D$245+'Cálculos'!$D$125*(1+2.78*('Cálculos'!$D$198+(($C105)-$A$63:$A$108)*'Cálculos'!$D$98)/(('Cálculos'!$D$198+(($C105)-$A$63:$A$108)*'Cálculos'!$D$98)+1400)+'Cálculos'!$D$123)*'Cálculos'!$D$250)+('Cálculos'!$D$201*(1+'Cálculos'!$D$202+$A$63:$A$108*('Cálculos'!$D$290=2)*'Cálculos'!$D$101)+'Cálculos'!$D$203)*('Cálculos'!$D$241+'Cálculos'!$D$124*(1+2.78*('Cálculos'!$D$198+(($C105)-$A$63:$A$108)*'Cálculos'!$D$98)/(('Cálculos'!$D$198+(($C105)-$A$63:$A$108)*'Cálculos'!$D$98)+1400)+'Cálculos'!$D$122)*'Cálculos'!$D$246+'Cálculos'!$D$125*(1+2.78*('Cálculos'!$D$198+(($C105)-$A$63:$A$108)*'Cálculos'!$D$98)/(('Cálculos'!$D$198+(($C105)-$A$63:$A$108)*'Cálculos'!$D$98)+1400)+'Cálculos'!$D$123)*'Cálculos'!$D$251)+('Cálculos'!$D$204*(1+'Cálculos'!$D$205+$A$63:$A$108*('Cálculos'!$D$290=3)*'Cálculos'!$D$103)+'Cálculos'!$D$206)*('Cálculos'!$D$242+'Cálculos'!$D$124*(1+2.78*('Cálculos'!$D$198+(($C105)-$A$63:$A$108)*'Cálculos'!$D$98)/(('Cálculos'!$D$198+(($C105)-$A$63:$A$108)*'Cálculos'!$D$98)+1400)+'Cálculos'!$D$122)*'Cálculos'!$D$247+'Cálculos'!$D$125*(1+2.78*('Cálculos'!$D$198+(($C105)-$A$63:$A$108)*'Cálculos'!$D$98)/(('Cálculos'!$D$198+(($C105)-$A$63:$A$108)*'Cálculos'!$D$98)+1400)+'Cálculos'!$D$123)*'Cálculos'!$D$252)+('Cálculos'!$D$243+'Cálculos'!$D$124*(1+2.78*('Cálculos'!$D$198+(($C105)-$A$63:$A$108)*'Cálculos'!$D$98)/(('Cálculos'!$D$198+(($C105)-$A$63:$A$108)*'Cálculos'!$D$98)+1400)+'Cálculos'!$D$122)*'Cálculos'!$D$248+'Cálculos'!$D$125*(1+2.78*('Cálculos'!$D$198+(($C105)-$A$63:$A$108)*'Cálculos'!$D$98)/(('Cálculos'!$D$198+(($C105)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105)-$A$63:$A$108)*'Cálculos'!$D$98)/(('Cálculos'!$D$199+(($C105)-$A$63:$A$108)*'Cálculos'!$D$98)+1400)+'Cálculos'!$D$122)*'Cálculos'!$D$259+'Cálculos'!$D$125*(1+2.78*('Cálculos'!$D$199+(($C105)-$A$63:$A$108)*'Cálculos'!$D$98)/(('Cálculos'!$D$199+(($C105)-$A$63:$A$108)*'Cálculos'!$D$98)+1400)+'Cálculos'!$D$123)*'Cálculos'!$D$264)+('Cálculos'!$D$199+(($C105)-$A$63:$A$108)*'Cálculos'!$D$98)*('Cálculos'!$D$255+'Cálculos'!$D$124*(1+2.78*('Cálculos'!$D$199+(($C105)-$A$63:$A$108)*'Cálculos'!$D$98)/(('Cálculos'!$D$199+(($C105)-$A$63:$A$108)*'Cálculos'!$D$98)+1400)+'Cálculos'!$D$122)*'Cálculos'!$D$260+'Cálculos'!$D$125*(1+2.78*('Cálculos'!$D$199+(($C105)-$A$63:$A$108)*'Cálculos'!$D$98)/(('Cálculos'!$D$199+(($C105)-$A$63:$A$108)*'Cálculos'!$D$98)+1400)+'Cálculos'!$D$123)*'Cálculos'!$D$265)+('Cálculos'!$D$201*(1+'Cálculos'!$D$202+$A$63:$A$108*('Cálculos'!$D$290=2)*'Cálculos'!$D$101)+'Cálculos'!$D$203)*('Cálculos'!$D$256+'Cálculos'!$D$124*(1+2.78*('Cálculos'!$D$199+(($C105)-$A$63:$A$108)*'Cálculos'!$D$98)/(('Cálculos'!$D$199+(($C105)-$A$63:$A$108)*'Cálculos'!$D$98)+1400)+'Cálculos'!$D$122)*'Cálculos'!$D$261+'Cálculos'!$D$125*(1+2.78*('Cálculos'!$D$199+(($C105)-$A$63:$A$108)*'Cálculos'!$D$98)/(('Cálculos'!$D$199+(($C105)-$A$63:$A$108)*'Cálculos'!$D$98)+1400)+'Cálculos'!$D$123)*'Cálculos'!$D$266)+('Cálculos'!$D$204*(1+'Cálculos'!$D$205+$A$63:$A$108*('Cálculos'!$D$290=3)*'Cálculos'!$D$103)+'Cálculos'!$D$206)*('Cálculos'!$D$257+'Cálculos'!$D$124*(1+2.78*('Cálculos'!$D$199+(($C105)-$A$63:$A$108)*'Cálculos'!$D$98)/(('Cálculos'!$D$199+(($C105)-$A$63:$A$108)*'Cálculos'!$D$98)+1400)+'Cálculos'!$D$122)*'Cálculos'!$D$262+'Cálculos'!$D$125*(1+2.78*('Cálculos'!$D$199+(($C105)-$A$63:$A$108)*'Cálculos'!$D$98)/(('Cálculos'!$D$199+(($C105)-$A$63:$A$108)*'Cálculos'!$D$98)+1400)+'Cálculos'!$D$123)*'Cálculos'!$D$267)+('Cálculos'!$D$258+'Cálculos'!$D$124*(1+2.78*('Cálculos'!$D$199+(($C105)-$A$63:$A$108)*'Cálculos'!$D$98)/(('Cálculos'!$D$199+(($C105)-$A$63:$A$108)*'Cálculos'!$D$98)+1400)+'Cálculos'!$D$122)*'Cálculos'!$D$263+'Cálculos'!$D$125*(1+2.78*('Cálculos'!$D$199+(($C105)-$A$63:$A$108)*'Cálculos'!$D$98)/(('Cálculos'!$D$199+(($C105)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105)-$A$63:$A$108)*'Cálculos'!$D$98)/(('Cálculos'!$D$200+(($C105)-$A$63:$A$108)*'Cálculos'!$D$98)+1400)+'Cálculos'!$D$122)*'Cálculos'!$D$274+'Cálculos'!$D$125*(1+2.78*('Cálculos'!$D$200+(($C105)-$A$63:$A$108)*'Cálculos'!$D$98)/(('Cálculos'!$D$200+(($C105)-$A$63:$A$108)*'Cálculos'!$D$98)+1400)+'Cálculos'!$D$123)*'Cálculos'!$D$279)+('Cálculos'!$D$200+(($C105)-$A$63:$A$108)*'Cálculos'!$D$98)*('Cálculos'!$D$270+'Cálculos'!$D$124*(1+2.78*('Cálculos'!$D$200+(($C105)-$A$63:$A$108)*'Cálculos'!$D$98)/(('Cálculos'!$D$200+(($C105)-$A$63:$A$108)*'Cálculos'!$D$98)+1400)+'Cálculos'!$D$122)*'Cálculos'!$D$275+'Cálculos'!$D$125*(1+2.78*('Cálculos'!$D$200+(($C105)-$A$63:$A$108)*'Cálculos'!$D$98)/(('Cálculos'!$D$200+(($C105)-$A$63:$A$108)*'Cálculos'!$D$98)+1400)+'Cálculos'!$D$123)*'Cálculos'!$D$280)+('Cálculos'!$D$201*(1+'Cálculos'!$D$202+$A$63:$A$108*('Cálculos'!$D$290=2)*'Cálculos'!$D$101)+'Cálculos'!$D$203)*('Cálculos'!$D$271+'Cálculos'!$D$124*(1+2.78*('Cálculos'!$D$200+(($C105)-$A$63:$A$108)*'Cálculos'!$D$98)/(('Cálculos'!$D$200+(($C105)-$A$63:$A$108)*'Cálculos'!$D$98)+1400)+'Cálculos'!$D$122)*'Cálculos'!$D$276+'Cálculos'!$D$125*(1+2.78*('Cálculos'!$D$200+(($C105)-$A$63:$A$108)*'Cálculos'!$D$98)/(('Cálculos'!$D$200+(($C105)-$A$63:$A$108)*'Cálculos'!$D$98)+1400)+'Cálculos'!$D$123)*'Cálculos'!$D$281)+('Cálculos'!$D$204*(1+'Cálculos'!$D$205+$A$63:$A$108*('Cálculos'!$D$290=3)*'Cálculos'!$D$103)+'Cálculos'!$D$206)*('Cálculos'!$D$272+'Cálculos'!$D$124*(1+2.78*('Cálculos'!$D$200+(($C105)-$A$63:$A$108)*'Cálculos'!$D$98)/(('Cálculos'!$D$200+(($C105)-$A$63:$A$108)*'Cálculos'!$D$98)+1400)+'Cálculos'!$D$122)*'Cálculos'!$D$277+'Cálculos'!$D$125*(1+2.78*('Cálculos'!$D$200+(($C105)-$A$63:$A$108)*'Cálculos'!$D$98)/(('Cálculos'!$D$200+(($C105)-$A$63:$A$108)*'Cálculos'!$D$98)+1400)+'Cálculos'!$D$123)*'Cálculos'!$D$282)+('Cálculos'!$D$273+'Cálculos'!$D$124*(1+2.78*('Cálculos'!$D$200+(($C105)-$A$63:$A$108)*'Cálculos'!$D$98)/(('Cálculos'!$D$200+(($C105)-$A$63:$A$108)*'Cálculos'!$D$98)+1400)+'Cálculos'!$D$122)*'Cálculos'!$D$278+'Cálculos'!$D$125*(1+2.78*('Cálculos'!$D$200+(($C105)-$A$63:$A$108)*'Cálculos'!$D$98)/(('Cálculos'!$D$200+(($C105)-$A$63:$A$108)*'Cálculos'!$D$98)+1400)+'Cálculos'!$D$123)*'Cálculos'!$D$283)))))</f>
        <v>0</v>
      </c>
      <c r="E105" s="32">
        <f>IF(OR($C105&lt;0,'Cálculos'!$D$6=""),0,$B105*$D105)</f>
        <v>0</v>
      </c>
      <c r="F105" s="2"/>
      <c r="G105" s="30">
        <f>($A105&lt;=$B$110)*($A105&lt;='Cálculos'!$D$294)*(($B$110)-$A105&lt;='Cálculos'!$D$295)*(1+MIN(('Cálculos'!$D$207+$A105*'Cálculos'!$D$95),1)*('Cálculos'!$D$208+(($B$110)-$A105)*'Cálculos'!$D$96))</f>
        <v>0</v>
      </c>
      <c r="H105" s="31">
        <f>IF($B$111&lt;0,0,($A105&lt;=$B$111)*($A105&lt;='Cálculos'!$D$301)*(($B$111)-$A105&lt;='Cálculos'!$D$297)*(('Cálculos'!$D$185*(1+'Cálculos'!$D$186+$A105*('Cálculos'!$D$290=1)*'Cálculos'!$D$97+'Cálculos'!$D$305)+'Cálculos'!$D$191)*('Cálculos'!$D$209+'Cálculos'!$D$124*(1+2.78*('Cálculos'!$D$196+(($B$111)-$A105)*'Cálculos'!$D$98)/(('Cálculos'!$D$196+(($B$111)-$A105)*'Cálculos'!$D$98)+1400)+'Cálculos'!$D$122)*'Cálculos'!$D$214+'Cálculos'!$D$125*(1+2.78*('Cálculos'!$D$196+(($B$111)-$A105)*'Cálculos'!$D$98)/(('Cálculos'!$D$196+(($B$111)-$A105)*'Cálculos'!$D$98)+1400)+'Cálculos'!$D$123)*'Cálculos'!$D$219)+('Cálculos'!$D$196+(($B$111)-$A105)*'Cálculos'!$D$98)*('Cálculos'!$D$210+'Cálculos'!$D$124*(1+2.78*('Cálculos'!$D$196+(($B$111)-$A105)*'Cálculos'!$D$98)/(('Cálculos'!$D$196+(($B$111)-$A105)*'Cálculos'!$D$98)+1400)+'Cálculos'!$D$122)*'Cálculos'!$D$215+'Cálculos'!$D$125*(1+2.78*('Cálculos'!$D$196+(($B$111)-$A105)*'Cálculos'!$D$98)/(('Cálculos'!$D$196+(($B$111)-$A105)*'Cálculos'!$D$98)+1400)+'Cálculos'!$D$123)*'Cálculos'!$D$220)+('Cálculos'!$D$201*(1+'Cálculos'!$D$202+$A105*('Cálculos'!$D$290=2)*'Cálculos'!$D$101)+'Cálculos'!$D$203)*('Cálculos'!$D$211+'Cálculos'!$D$124*(1+2.78*('Cálculos'!$D$196+(($B$111)-$A105)*'Cálculos'!$D$98)/(('Cálculos'!$D$196+(($B$111)-$A105)*'Cálculos'!$D$98)+1400)+'Cálculos'!$D$122)*'Cálculos'!$D$216+'Cálculos'!$D$125*(1+2.78*('Cálculos'!$D$196+(($B$111)-$A105)*'Cálculos'!$D$98)/(('Cálculos'!$D$196+(($B$111)-$A105)*'Cálculos'!$D$98)+1400)+'Cálculos'!$D$123)*'Cálculos'!$D$221)+('Cálculos'!$D$204*(1+'Cálculos'!$D$205+$A105*('Cálculos'!$D$290=3)*'Cálculos'!$D$103)+'Cálculos'!$D$206)*('Cálculos'!$D$212+'Cálculos'!$D$124*(1+2.78*('Cálculos'!$D$196+(($B$111)-$A105)*'Cálculos'!$D$98)/(('Cálculos'!$D$196+(($B$111)-$A105)*'Cálculos'!$D$98)+1400)+'Cálculos'!$D$122)*'Cálculos'!$D$217+'Cálculos'!$D$125*(1+2.78*('Cálculos'!$D$196+(($B$111)-$A105)*'Cálculos'!$D$98)/(('Cálculos'!$D$196+(($B$111)-$A105)*'Cálculos'!$D$98)+1400)+'Cálculos'!$D$123)*'Cálculos'!$D$222)+('Cálculos'!$D$213+'Cálculos'!$D$124*(1+2.78*('Cálculos'!$D$196+(($B$111)-$A105)*'Cálculos'!$D$98)/(('Cálculos'!$D$196+(($B$111)-$A105)*'Cálculos'!$D$98)+1400)+'Cálculos'!$D$122)*'Cálculos'!$D$218+'Cálculos'!$D$125*(1+2.78*('Cálculos'!$D$196+(($B$111)-$A105)*'Cálculos'!$D$98)/(('Cálculos'!$D$196+(($B$111)-$A105)*'Cálculos'!$D$98)+1400)+'Cálculos'!$D$123)*'Cálculos'!$D$223)+('Cálculos'!$D$185*(1+'Cálculos'!$D$187+$A105*('Cálculos'!$D$290=1)*'Cálculos'!$D$97+'Cálculos'!$D$305)+'Cálculos'!$D$192)*('Cálculos'!$D$224+'Cálculos'!$D$124*(1+2.78*('Cálculos'!$D$197+(($B$111)-$A105)*'Cálculos'!$D$98)/(('Cálculos'!$D$197+(($B$111)-$A105)*'Cálculos'!$D$98)+1400)+'Cálculos'!$D$122)*'Cálculos'!$D$229+'Cálculos'!$D$125*(1+2.78*('Cálculos'!$D$197+(($B$111)-$A105)*'Cálculos'!$D$98)/(('Cálculos'!$D$197+(($B$111)-$A105)*'Cálculos'!$D$98)+1400)+'Cálculos'!$D$123)*'Cálculos'!$D$234)+('Cálculos'!$D$197+(($B$111)-$A105)*'Cálculos'!$D$98)*('Cálculos'!$D$225+'Cálculos'!$D$124*(1+2.78*('Cálculos'!$D$197+(($B$111)-$A105)*'Cálculos'!$D$98)/(('Cálculos'!$D$197+(($B$111)-$A105)*'Cálculos'!$D$98)+1400)+'Cálculos'!$D$122)*'Cálculos'!$D$230+'Cálculos'!$D$125*(1+2.78*('Cálculos'!$D$197+(($B$111)-$A105)*'Cálculos'!$D$98)/(('Cálculos'!$D$197+(($B$111)-$A105)*'Cálculos'!$D$98)+1400)+'Cálculos'!$D$123)*'Cálculos'!$D$235)+('Cálculos'!$D$201*(1+'Cálculos'!$D$202+$A105*('Cálculos'!$D$290=2)*'Cálculos'!$D$101)+'Cálculos'!$D$203)*('Cálculos'!$D$226+'Cálculos'!$D$124*(1+2.78*('Cálculos'!$D$197+(($B$111)-$A105)*'Cálculos'!$D$98)/(('Cálculos'!$D$197+(($B$111)-$A105)*'Cálculos'!$D$98)+1400)+'Cálculos'!$D$122)*'Cálculos'!$D$231+'Cálculos'!$D$125*(1+2.78*('Cálculos'!$D$197+(($B$111)-$A105)*'Cálculos'!$D$98)/(('Cálculos'!$D$197+(($B$111)-$A105)*'Cálculos'!$D$98)+1400)+'Cálculos'!$D$123)*'Cálculos'!$D$236)+('Cálculos'!$D$204*(1+'Cálculos'!$D$205+$A105*('Cálculos'!$D$290=3)*'Cálculos'!$D$103)+'Cálculos'!$D$206)*('Cálculos'!$D$227+'Cálculos'!$D$124*(1+2.78*('Cálculos'!$D$197+(($B$111)-$A105)*'Cálculos'!$D$98)/(('Cálculos'!$D$197+(($B$111)-$A105)*'Cálculos'!$D$98)+1400)+'Cálculos'!$D$122)*'Cálculos'!$D$232+'Cálculos'!$D$125*(1+2.78*('Cálculos'!$D$197+(($B$111)-$A105)*'Cálculos'!$D$98)/(('Cálculos'!$D$197+(($B$111)-$A105)*'Cálculos'!$D$98)+1400)+'Cálculos'!$D$123)*'Cálculos'!$D$237)+('Cálculos'!$D$228+'Cálculos'!$D$124*(1+2.78*('Cálculos'!$D$197+(($B$111)-$A105)*'Cálculos'!$D$98)/(('Cálculos'!$D$197+(($B$111)-$A105)*'Cálculos'!$D$98)+1400)+'Cálculos'!$D$122)*'Cálculos'!$D$233+'Cálculos'!$D$125*(1+2.78*('Cálculos'!$D$197+(($B$111)-$A105)*'Cálculos'!$D$98)/(('Cálculos'!$D$197+(($B$111)-$A105)*'Cálculos'!$D$98)+1400)+'Cálculos'!$D$123)*'Cálculos'!$D$238)+('Cálculos'!$D$185*(1+'Cálculos'!$D$188+$A105*('Cálculos'!$D$290=1)*'Cálculos'!$D$97+'Cálculos'!$D$305)+'Cálculos'!$D$193)*('Cálculos'!$D$239+'Cálculos'!$D$124*(1+2.78*('Cálculos'!$D$198+(($B$111)-$A105)*'Cálculos'!$D$98)/(('Cálculos'!$D$198+(($B$111)-$A105)*'Cálculos'!$D$98)+1400)+'Cálculos'!$D$122)*'Cálculos'!$D$244+'Cálculos'!$D$125*(1+2.78*('Cálculos'!$D$198+(($B$111)-$A105)*'Cálculos'!$D$98)/(('Cálculos'!$D$198+(($B$111)-$A105)*'Cálculos'!$D$98)+1400)+'Cálculos'!$D$123)*'Cálculos'!$D$249)+('Cálculos'!$D$198+(($B$111)-$A105)*'Cálculos'!$D$98)*('Cálculos'!$D$240+'Cálculos'!$D$124*(1+2.78*('Cálculos'!$D$198+(($B$111)-$A105)*'Cálculos'!$D$98)/(('Cálculos'!$D$198+(($B$111)-$A105)*'Cálculos'!$D$98)+1400)+'Cálculos'!$D$122)*'Cálculos'!$D$245+'Cálculos'!$D$125*(1+2.78*('Cálculos'!$D$198+(($B$111)-$A105)*'Cálculos'!$D$98)/(('Cálculos'!$D$198+(($B$111)-$A105)*'Cálculos'!$D$98)+1400)+'Cálculos'!$D$123)*'Cálculos'!$D$250)+('Cálculos'!$D$201*(1+'Cálculos'!$D$202+$A105*('Cálculos'!$D$290=2)*'Cálculos'!$D$101)+'Cálculos'!$D$203)*('Cálculos'!$D$241+'Cálculos'!$D$124*(1+2.78*('Cálculos'!$D$198+(($B$111)-$A105)*'Cálculos'!$D$98)/(('Cálculos'!$D$198+(($B$111)-$A105)*'Cálculos'!$D$98)+1400)+'Cálculos'!$D$122)*'Cálculos'!$D$246+'Cálculos'!$D$125*(1+2.78*('Cálculos'!$D$198+(($B$111)-$A105)*'Cálculos'!$D$98)/(('Cálculos'!$D$198+(($B$111)-$A105)*'Cálculos'!$D$98)+1400)+'Cálculos'!$D$123)*'Cálculos'!$D$251)+('Cálculos'!$D$204*(1+'Cálculos'!$D$205+$A105*('Cálculos'!$D$290=3)*'Cálculos'!$D$103)+'Cálculos'!$D$206)*('Cálculos'!$D$242+'Cálculos'!$D$124*(1+2.78*('Cálculos'!$D$198+(($B$111)-$A105)*'Cálculos'!$D$98)/(('Cálculos'!$D$198+(($B$111)-$A105)*'Cálculos'!$D$98)+1400)+'Cálculos'!$D$122)*'Cálculos'!$D$247+'Cálculos'!$D$125*(1+2.78*('Cálculos'!$D$198+(($B$111)-$A105)*'Cálculos'!$D$98)/(('Cálculos'!$D$198+(($B$111)-$A105)*'Cálculos'!$D$98)+1400)+'Cálculos'!$D$123)*'Cálculos'!$D$252)+('Cálculos'!$D$243+'Cálculos'!$D$124*(1+2.78*('Cálculos'!$D$198+(($B$111)-$A105)*'Cálculos'!$D$98)/(('Cálculos'!$D$198+(($B$111)-$A105)*'Cálculos'!$D$98)+1400)+'Cálculos'!$D$122)*'Cálculos'!$D$248+'Cálculos'!$D$125*(1+2.78*('Cálculos'!$D$198+(($B$111)-$A105)*'Cálculos'!$D$98)/(('Cálculos'!$D$198+(($B$111)-$A105)*'Cálculos'!$D$98)+1400)+'Cálculos'!$D$123)*'Cálculos'!$D$253)+('Cálculos'!$D$185*(1+'Cálculos'!$D$189+$A105*('Cálculos'!$D$290=1)*'Cálculos'!$D$97+'Cálculos'!$D$305)+'Cálculos'!$D$194)*('Cálculos'!$D$254+'Cálculos'!$D$124*(1+2.78*('Cálculos'!$D$199+(($B$111)-$A105)*'Cálculos'!$D$98)/(('Cálculos'!$D$199+(($B$111)-$A105)*'Cálculos'!$D$98)+1400)+'Cálculos'!$D$122)*'Cálculos'!$D$259+'Cálculos'!$D$125*(1+2.78*('Cálculos'!$D$199+(($B$111)-$A105)*'Cálculos'!$D$98)/(('Cálculos'!$D$199+(($B$111)-$A105)*'Cálculos'!$D$98)+1400)+'Cálculos'!$D$123)*'Cálculos'!$D$264)+('Cálculos'!$D$199+(($B$111)-$A105)*'Cálculos'!$D$98)*('Cálculos'!$D$255+'Cálculos'!$D$124*(1+2.78*('Cálculos'!$D$199+(($B$111)-$A105)*'Cálculos'!$D$98)/(('Cálculos'!$D$199+(($B$111)-$A105)*'Cálculos'!$D$98)+1400)+'Cálculos'!$D$122)*'Cálculos'!$D$260+'Cálculos'!$D$125*(1+2.78*('Cálculos'!$D$199+(($B$111)-$A105)*'Cálculos'!$D$98)/(('Cálculos'!$D$199+(($B$111)-$A105)*'Cálculos'!$D$98)+1400)+'Cálculos'!$D$123)*'Cálculos'!$D$265)+('Cálculos'!$D$201*(1+'Cálculos'!$D$202+$A105*('Cálculos'!$D$290=2)*'Cálculos'!$D$101)+'Cálculos'!$D$203)*('Cálculos'!$D$256+'Cálculos'!$D$124*(1+2.78*('Cálculos'!$D$199+(($B$111)-$A105)*'Cálculos'!$D$98)/(('Cálculos'!$D$199+(($B$111)-$A105)*'Cálculos'!$D$98)+1400)+'Cálculos'!$D$122)*'Cálculos'!$D$261+'Cálculos'!$D$125*(1+2.78*('Cálculos'!$D$199+(($B$111)-$A105)*'Cálculos'!$D$98)/(('Cálculos'!$D$199+(($B$111)-$A105)*'Cálculos'!$D$98)+1400)+'Cálculos'!$D$123)*'Cálculos'!$D$266)+('Cálculos'!$D$204*(1+'Cálculos'!$D$205+$A105*('Cálculos'!$D$290=3)*'Cálculos'!$D$103)+'Cálculos'!$D$206)*('Cálculos'!$D$257+'Cálculos'!$D$124*(1+2.78*('Cálculos'!$D$199+(($B$111)-$A105)*'Cálculos'!$D$98)/(('Cálculos'!$D$199+(($B$111)-$A105)*'Cálculos'!$D$98)+1400)+'Cálculos'!$D$122)*'Cálculos'!$D$262+'Cálculos'!$D$125*(1+2.78*('Cálculos'!$D$199+(($B$111)-$A105)*'Cálculos'!$D$98)/(('Cálculos'!$D$199+(($B$111)-$A105)*'Cálculos'!$D$98)+1400)+'Cálculos'!$D$123)*'Cálculos'!$D$267)+('Cálculos'!$D$258+'Cálculos'!$D$124*(1+2.78*('Cálculos'!$D$199+(($B$111)-$A105)*'Cálculos'!$D$98)/(('Cálculos'!$D$199+(($B$111)-$A105)*'Cálculos'!$D$98)+1400)+'Cálculos'!$D$122)*'Cálculos'!$D$263+'Cálculos'!$D$125*(1+2.78*('Cálculos'!$D$199+(($B$111)-$A105)*'Cálculos'!$D$98)/(('Cálculos'!$D$199+(($B$111)-$A105)*'Cálculos'!$D$98)+1400)+'Cálculos'!$D$123)*'Cálculos'!$D$268)+('Cálculos'!$D$185*(1+'Cálculos'!$D$190+$A105*('Cálculos'!$D$290=1)*'Cálculos'!$D$97+'Cálculos'!$D$305)+'Cálculos'!$D$195)*('Cálculos'!$D$269+'Cálculos'!$D$124*(1+2.78*('Cálculos'!$D$200+(($B$111)-$A105)*'Cálculos'!$D$98)/(('Cálculos'!$D$200+(($B$111)-$A105)*'Cálculos'!$D$98)+1400)+'Cálculos'!$D$122)*'Cálculos'!$D$274+'Cálculos'!$D$125*(1+2.78*('Cálculos'!$D$200+(($B$111)-$A105)*'Cálculos'!$D$98)/(('Cálculos'!$D$200+(($B$111)-$A105)*'Cálculos'!$D$98)+1400)+'Cálculos'!$D$123)*'Cálculos'!$D$279)+('Cálculos'!$D$200+(($B$111)-$A105)*'Cálculos'!$D$98)*('Cálculos'!$D$270+'Cálculos'!$D$124*(1+2.78*('Cálculos'!$D$200+(($B$111)-$A105)*'Cálculos'!$D$98)/(('Cálculos'!$D$200+(($B$111)-$A105)*'Cálculos'!$D$98)+1400)+'Cálculos'!$D$122)*'Cálculos'!$D$275+'Cálculos'!$D$125*(1+2.78*('Cálculos'!$D$200+(($B$111)-$A105)*'Cálculos'!$D$98)/(('Cálculos'!$D$200+(($B$111)-$A105)*'Cálculos'!$D$98)+1400)+'Cálculos'!$D$123)*'Cálculos'!$D$280)+('Cálculos'!$D$201*(1+'Cálculos'!$D$202+$A105*('Cálculos'!$D$290=2)*'Cálculos'!$D$101)+'Cálculos'!$D$203)*('Cálculos'!$D$271+'Cálculos'!$D$124*(1+2.78*('Cálculos'!$D$200+(($B$111)-$A105)*'Cálculos'!$D$98)/(('Cálculos'!$D$200+(($B$111)-$A105)*'Cálculos'!$D$98)+1400)+'Cálculos'!$D$122)*'Cálculos'!$D$276+'Cálculos'!$D$125*(1+2.78*('Cálculos'!$D$200+(($B$111)-$A105)*'Cálculos'!$D$98)/(('Cálculos'!$D$200+(($B$111)-$A105)*'Cálculos'!$D$98)+1400)+'Cálculos'!$D$123)*'Cálculos'!$D$281)+('Cálculos'!$D$204*(1+'Cálculos'!$D$205+$A105*('Cálculos'!$D$290=3)*'Cálculos'!$D$103)+'Cálculos'!$D$206)*('Cálculos'!$D$272+'Cálculos'!$D$124*(1+2.78*('Cálculos'!$D$200+(($B$111)-$A105)*'Cálculos'!$D$98)/(('Cálculos'!$D$200+(($B$111)-$A105)*'Cálculos'!$D$98)+1400)+'Cálculos'!$D$122)*'Cálculos'!$D$277+'Cálculos'!$D$125*(1+2.78*('Cálculos'!$D$200+(($B$111)-$A105)*'Cálculos'!$D$98)/(('Cálculos'!$D$200+(($B$111)-$A105)*'Cálculos'!$D$98)+1400)+'Cálculos'!$D$123)*'Cálculos'!$D$282)+('Cálculos'!$D$273+'Cálculos'!$D$124*(1+2.78*('Cálculos'!$D$200+(($B$111)-$A105)*'Cálculos'!$D$98)/(('Cálculos'!$D$200+(($B$111)-$A105)*'Cálculos'!$D$98)+1400)+'Cálculos'!$D$122)*'Cálculos'!$D$278+'Cálculos'!$D$125*(1+2.78*('Cálculos'!$D$200+(($B$111)-$A105)*'Cálculos'!$D$98)/(('Cálculos'!$D$200+(($B$111)-$A105)*'Cálculos'!$D$98)+1400)+'Cálculos'!$D$123)*'Cálculos'!$D$283)))</f>
        <v>0</v>
      </c>
    </row>
    <row r="106" ht="15.75" customHeight="1">
      <c r="A106" s="2">
        <v>43.0</v>
      </c>
      <c r="B106" s="30">
        <f>SUMPRODUCT(MAX(($A$63:$A$108&lt;=$A106)*($A$63:$A$108&lt;='Cálculos'!$D$294)*(($A106)-$A$63:$A$108&lt;='Cálculos'!$D$295)*(1+(('Cálculos'!$D$207+$A$63:$A$108*'Cálculos'!$D$95)-(('Cálculos'!$D$207+$A$63:$A$108*'Cálculos'!$D$95)&gt;1)*(('Cálculos'!$D$207+$A$63:$A$108*'Cálculos'!$D$95)-1))*('Cálculos'!$D$208+(($A106)-$A$63:$A$108)*'Cálculos'!$D$96))))</f>
        <v>2.703898612</v>
      </c>
      <c r="C106" s="2">
        <f>'Cálculos'!$D$303-$A106</f>
        <v>-32</v>
      </c>
      <c r="D106" s="31">
        <f>IF($C106&lt;0,0,SUMPRODUCT(MAX(($A$63:$A$108&lt;=$C106)*($A$63:$A$108&lt;='Cálculos'!$D$301)*(($C106)-$A$63:$A$108&lt;='Cálculos'!$D$297)*(('Cálculos'!$D$185*(1+'Cálculos'!$D$186+$A$63:$A$108*('Cálculos'!$D$290=1)*'Cálculos'!$D$97+'Cálculos'!$D$305)+'Cálculos'!$D$191)*('Cálculos'!$D$209+'Cálculos'!$D$124*(1+2.78*('Cálculos'!$D$196+(($C106)-$A$63:$A$108)*'Cálculos'!$D$98)/(('Cálculos'!$D$196+(($C106)-$A$63:$A$108)*'Cálculos'!$D$98)+1400)+'Cálculos'!$D$122)*'Cálculos'!$D$214+'Cálculos'!$D$125*(1+2.78*('Cálculos'!$D$196+(($C106)-$A$63:$A$108)*'Cálculos'!$D$98)/(('Cálculos'!$D$196+(($C106)-$A$63:$A$108)*'Cálculos'!$D$98)+1400)+'Cálculos'!$D$123)*'Cálculos'!$D$219)+('Cálculos'!$D$196+(($C106)-$A$63:$A$108)*'Cálculos'!$D$98)*('Cálculos'!$D$210+'Cálculos'!$D$124*(1+2.78*('Cálculos'!$D$196+(($C106)-$A$63:$A$108)*'Cálculos'!$D$98)/(('Cálculos'!$D$196+(($C106)-$A$63:$A$108)*'Cálculos'!$D$98)+1400)+'Cálculos'!$D$122)*'Cálculos'!$D$215+'Cálculos'!$D$125*(1+2.78*('Cálculos'!$D$196+(($C106)-$A$63:$A$108)*'Cálculos'!$D$98)/(('Cálculos'!$D$196+(($C106)-$A$63:$A$108)*'Cálculos'!$D$98)+1400)+'Cálculos'!$D$123)*'Cálculos'!$D$220)+('Cálculos'!$D$201*(1+'Cálculos'!$D$202+$A$63:$A$108*('Cálculos'!$D$290=2)*'Cálculos'!$D$101)+'Cálculos'!$D$203)*('Cálculos'!$D$211+'Cálculos'!$D$124*(1+2.78*('Cálculos'!$D$196+(($C106)-$A$63:$A$108)*'Cálculos'!$D$98)/(('Cálculos'!$D$196+(($C106)-$A$63:$A$108)*'Cálculos'!$D$98)+1400)+'Cálculos'!$D$122)*'Cálculos'!$D$216+'Cálculos'!$D$125*(1+2.78*('Cálculos'!$D$196+(($C106)-$A$63:$A$108)*'Cálculos'!$D$98)/(('Cálculos'!$D$196+(($C106)-$A$63:$A$108)*'Cálculos'!$D$98)+1400)+'Cálculos'!$D$123)*'Cálculos'!$D$221)+('Cálculos'!$D$204*(1+'Cálculos'!$D$205+$A$63:$A$108*('Cálculos'!$D$290=3)*'Cálculos'!$D$103)+'Cálculos'!$D$206)*('Cálculos'!$D$212+'Cálculos'!$D$124*(1+2.78*('Cálculos'!$D$196+(($C106)-$A$63:$A$108)*'Cálculos'!$D$98)/(('Cálculos'!$D$196+(($C106)-$A$63:$A$108)*'Cálculos'!$D$98)+1400)+'Cálculos'!$D$122)*'Cálculos'!$D$217+'Cálculos'!$D$125*(1+2.78*('Cálculos'!$D$196+(($C106)-$A$63:$A$108)*'Cálculos'!$D$98)/(('Cálculos'!$D$196+(($C106)-$A$63:$A$108)*'Cálculos'!$D$98)+1400)+'Cálculos'!$D$123)*'Cálculos'!$D$222)+('Cálculos'!$D$213+'Cálculos'!$D$124*(1+2.78*('Cálculos'!$D$196+(($C106)-$A$63:$A$108)*'Cálculos'!$D$98)/(('Cálculos'!$D$196+(($C106)-$A$63:$A$108)*'Cálculos'!$D$98)+1400)+'Cálculos'!$D$122)*'Cálculos'!$D$218+'Cálculos'!$D$125*(1+2.78*('Cálculos'!$D$196+(($C106)-$A$63:$A$108)*'Cálculos'!$D$98)/(('Cálculos'!$D$196+(($C106)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106)-$A$63:$A$108)*'Cálculos'!$D$98)/(('Cálculos'!$D$197+(($C106)-$A$63:$A$108)*'Cálculos'!$D$98)+1400)+'Cálculos'!$D$122)*'Cálculos'!$D$229+'Cálculos'!$D$125*(1+2.78*('Cálculos'!$D$197+(($C106)-$A$63:$A$108)*'Cálculos'!$D$98)/(('Cálculos'!$D$197+(($C106)-$A$63:$A$108)*'Cálculos'!$D$98)+1400)+'Cálculos'!$D$123)*'Cálculos'!$D$234)+('Cálculos'!$D$197+(($C106)-$A$63:$A$108)*'Cálculos'!$D$98)*('Cálculos'!$D$225+'Cálculos'!$D$124*(1+2.78*('Cálculos'!$D$197+(($C106)-$A$63:$A$108)*'Cálculos'!$D$98)/(('Cálculos'!$D$197+(($C106)-$A$63:$A$108)*'Cálculos'!$D$98)+1400)+'Cálculos'!$D$122)*'Cálculos'!$D$230+'Cálculos'!$D$125*(1+2.78*('Cálculos'!$D$197+(($C106)-$A$63:$A$108)*'Cálculos'!$D$98)/(('Cálculos'!$D$197+(($C106)-$A$63:$A$108)*'Cálculos'!$D$98)+1400)+'Cálculos'!$D$123)*'Cálculos'!$D$235)+('Cálculos'!$D$201*(1+'Cálculos'!$D$202+$A$63:$A$108*('Cálculos'!$D$290=2)*'Cálculos'!$D$101)+'Cálculos'!$D$203)*('Cálculos'!$D$226+'Cálculos'!$D$124*(1+2.78*('Cálculos'!$D$197+(($C106)-$A$63:$A$108)*'Cálculos'!$D$98)/(('Cálculos'!$D$197+(($C106)-$A$63:$A$108)*'Cálculos'!$D$98)+1400)+'Cálculos'!$D$122)*'Cálculos'!$D$231+'Cálculos'!$D$125*(1+2.78*('Cálculos'!$D$197+(($C106)-$A$63:$A$108)*'Cálculos'!$D$98)/(('Cálculos'!$D$197+(($C106)-$A$63:$A$108)*'Cálculos'!$D$98)+1400)+'Cálculos'!$D$123)*'Cálculos'!$D$236)+('Cálculos'!$D$204*(1+'Cálculos'!$D$205+$A$63:$A$108*('Cálculos'!$D$290=3)*'Cálculos'!$D$103)+'Cálculos'!$D$206)*('Cálculos'!$D$227+'Cálculos'!$D$124*(1+2.78*('Cálculos'!$D$197+(($C106)-$A$63:$A$108)*'Cálculos'!$D$98)/(('Cálculos'!$D$197+(($C106)-$A$63:$A$108)*'Cálculos'!$D$98)+1400)+'Cálculos'!$D$122)*'Cálculos'!$D$232+'Cálculos'!$D$125*(1+2.78*('Cálculos'!$D$197+(($C106)-$A$63:$A$108)*'Cálculos'!$D$98)/(('Cálculos'!$D$197+(($C106)-$A$63:$A$108)*'Cálculos'!$D$98)+1400)+'Cálculos'!$D$123)*'Cálculos'!$D$237)+('Cálculos'!$D$228+'Cálculos'!$D$124*(1+2.78*('Cálculos'!$D$197+(($C106)-$A$63:$A$108)*'Cálculos'!$D$98)/(('Cálculos'!$D$197+(($C106)-$A$63:$A$108)*'Cálculos'!$D$98)+1400)+'Cálculos'!$D$122)*'Cálculos'!$D$233+'Cálculos'!$D$125*(1+2.78*('Cálculos'!$D$197+(($C106)-$A$63:$A$108)*'Cálculos'!$D$98)/(('Cálculos'!$D$197+(($C106)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106)-$A$63:$A$108)*'Cálculos'!$D$98)/(('Cálculos'!$D$198+(($C106)-$A$63:$A$108)*'Cálculos'!$D$98)+1400)+'Cálculos'!$D$122)*'Cálculos'!$D$244+'Cálculos'!$D$125*(1+2.78*('Cálculos'!$D$198+(($C106)-$A$63:$A$108)*'Cálculos'!$D$98)/(('Cálculos'!$D$198+(($C106)-$A$63:$A$108)*'Cálculos'!$D$98)+1400)+'Cálculos'!$D$123)*'Cálculos'!$D$249)+('Cálculos'!$D$198+(($C106)-$A$63:$A$108)*'Cálculos'!$D$98)*('Cálculos'!$D$240+'Cálculos'!$D$124*(1+2.78*('Cálculos'!$D$198+(($C106)-$A$63:$A$108)*'Cálculos'!$D$98)/(('Cálculos'!$D$198+(($C106)-$A$63:$A$108)*'Cálculos'!$D$98)+1400)+'Cálculos'!$D$122)*'Cálculos'!$D$245+'Cálculos'!$D$125*(1+2.78*('Cálculos'!$D$198+(($C106)-$A$63:$A$108)*'Cálculos'!$D$98)/(('Cálculos'!$D$198+(($C106)-$A$63:$A$108)*'Cálculos'!$D$98)+1400)+'Cálculos'!$D$123)*'Cálculos'!$D$250)+('Cálculos'!$D$201*(1+'Cálculos'!$D$202+$A$63:$A$108*('Cálculos'!$D$290=2)*'Cálculos'!$D$101)+'Cálculos'!$D$203)*('Cálculos'!$D$241+'Cálculos'!$D$124*(1+2.78*('Cálculos'!$D$198+(($C106)-$A$63:$A$108)*'Cálculos'!$D$98)/(('Cálculos'!$D$198+(($C106)-$A$63:$A$108)*'Cálculos'!$D$98)+1400)+'Cálculos'!$D$122)*'Cálculos'!$D$246+'Cálculos'!$D$125*(1+2.78*('Cálculos'!$D$198+(($C106)-$A$63:$A$108)*'Cálculos'!$D$98)/(('Cálculos'!$D$198+(($C106)-$A$63:$A$108)*'Cálculos'!$D$98)+1400)+'Cálculos'!$D$123)*'Cálculos'!$D$251)+('Cálculos'!$D$204*(1+'Cálculos'!$D$205+$A$63:$A$108*('Cálculos'!$D$290=3)*'Cálculos'!$D$103)+'Cálculos'!$D$206)*('Cálculos'!$D$242+'Cálculos'!$D$124*(1+2.78*('Cálculos'!$D$198+(($C106)-$A$63:$A$108)*'Cálculos'!$D$98)/(('Cálculos'!$D$198+(($C106)-$A$63:$A$108)*'Cálculos'!$D$98)+1400)+'Cálculos'!$D$122)*'Cálculos'!$D$247+'Cálculos'!$D$125*(1+2.78*('Cálculos'!$D$198+(($C106)-$A$63:$A$108)*'Cálculos'!$D$98)/(('Cálculos'!$D$198+(($C106)-$A$63:$A$108)*'Cálculos'!$D$98)+1400)+'Cálculos'!$D$123)*'Cálculos'!$D$252)+('Cálculos'!$D$243+'Cálculos'!$D$124*(1+2.78*('Cálculos'!$D$198+(($C106)-$A$63:$A$108)*'Cálculos'!$D$98)/(('Cálculos'!$D$198+(($C106)-$A$63:$A$108)*'Cálculos'!$D$98)+1400)+'Cálculos'!$D$122)*'Cálculos'!$D$248+'Cálculos'!$D$125*(1+2.78*('Cálculos'!$D$198+(($C106)-$A$63:$A$108)*'Cálculos'!$D$98)/(('Cálculos'!$D$198+(($C106)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106)-$A$63:$A$108)*'Cálculos'!$D$98)/(('Cálculos'!$D$199+(($C106)-$A$63:$A$108)*'Cálculos'!$D$98)+1400)+'Cálculos'!$D$122)*'Cálculos'!$D$259+'Cálculos'!$D$125*(1+2.78*('Cálculos'!$D$199+(($C106)-$A$63:$A$108)*'Cálculos'!$D$98)/(('Cálculos'!$D$199+(($C106)-$A$63:$A$108)*'Cálculos'!$D$98)+1400)+'Cálculos'!$D$123)*'Cálculos'!$D$264)+('Cálculos'!$D$199+(($C106)-$A$63:$A$108)*'Cálculos'!$D$98)*('Cálculos'!$D$255+'Cálculos'!$D$124*(1+2.78*('Cálculos'!$D$199+(($C106)-$A$63:$A$108)*'Cálculos'!$D$98)/(('Cálculos'!$D$199+(($C106)-$A$63:$A$108)*'Cálculos'!$D$98)+1400)+'Cálculos'!$D$122)*'Cálculos'!$D$260+'Cálculos'!$D$125*(1+2.78*('Cálculos'!$D$199+(($C106)-$A$63:$A$108)*'Cálculos'!$D$98)/(('Cálculos'!$D$199+(($C106)-$A$63:$A$108)*'Cálculos'!$D$98)+1400)+'Cálculos'!$D$123)*'Cálculos'!$D$265)+('Cálculos'!$D$201*(1+'Cálculos'!$D$202+$A$63:$A$108*('Cálculos'!$D$290=2)*'Cálculos'!$D$101)+'Cálculos'!$D$203)*('Cálculos'!$D$256+'Cálculos'!$D$124*(1+2.78*('Cálculos'!$D$199+(($C106)-$A$63:$A$108)*'Cálculos'!$D$98)/(('Cálculos'!$D$199+(($C106)-$A$63:$A$108)*'Cálculos'!$D$98)+1400)+'Cálculos'!$D$122)*'Cálculos'!$D$261+'Cálculos'!$D$125*(1+2.78*('Cálculos'!$D$199+(($C106)-$A$63:$A$108)*'Cálculos'!$D$98)/(('Cálculos'!$D$199+(($C106)-$A$63:$A$108)*'Cálculos'!$D$98)+1400)+'Cálculos'!$D$123)*'Cálculos'!$D$266)+('Cálculos'!$D$204*(1+'Cálculos'!$D$205+$A$63:$A$108*('Cálculos'!$D$290=3)*'Cálculos'!$D$103)+'Cálculos'!$D$206)*('Cálculos'!$D$257+'Cálculos'!$D$124*(1+2.78*('Cálculos'!$D$199+(($C106)-$A$63:$A$108)*'Cálculos'!$D$98)/(('Cálculos'!$D$199+(($C106)-$A$63:$A$108)*'Cálculos'!$D$98)+1400)+'Cálculos'!$D$122)*'Cálculos'!$D$262+'Cálculos'!$D$125*(1+2.78*('Cálculos'!$D$199+(($C106)-$A$63:$A$108)*'Cálculos'!$D$98)/(('Cálculos'!$D$199+(($C106)-$A$63:$A$108)*'Cálculos'!$D$98)+1400)+'Cálculos'!$D$123)*'Cálculos'!$D$267)+('Cálculos'!$D$258+'Cálculos'!$D$124*(1+2.78*('Cálculos'!$D$199+(($C106)-$A$63:$A$108)*'Cálculos'!$D$98)/(('Cálculos'!$D$199+(($C106)-$A$63:$A$108)*'Cálculos'!$D$98)+1400)+'Cálculos'!$D$122)*'Cálculos'!$D$263+'Cálculos'!$D$125*(1+2.78*('Cálculos'!$D$199+(($C106)-$A$63:$A$108)*'Cálculos'!$D$98)/(('Cálculos'!$D$199+(($C106)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106)-$A$63:$A$108)*'Cálculos'!$D$98)/(('Cálculos'!$D$200+(($C106)-$A$63:$A$108)*'Cálculos'!$D$98)+1400)+'Cálculos'!$D$122)*'Cálculos'!$D$274+'Cálculos'!$D$125*(1+2.78*('Cálculos'!$D$200+(($C106)-$A$63:$A$108)*'Cálculos'!$D$98)/(('Cálculos'!$D$200+(($C106)-$A$63:$A$108)*'Cálculos'!$D$98)+1400)+'Cálculos'!$D$123)*'Cálculos'!$D$279)+('Cálculos'!$D$200+(($C106)-$A$63:$A$108)*'Cálculos'!$D$98)*('Cálculos'!$D$270+'Cálculos'!$D$124*(1+2.78*('Cálculos'!$D$200+(($C106)-$A$63:$A$108)*'Cálculos'!$D$98)/(('Cálculos'!$D$200+(($C106)-$A$63:$A$108)*'Cálculos'!$D$98)+1400)+'Cálculos'!$D$122)*'Cálculos'!$D$275+'Cálculos'!$D$125*(1+2.78*('Cálculos'!$D$200+(($C106)-$A$63:$A$108)*'Cálculos'!$D$98)/(('Cálculos'!$D$200+(($C106)-$A$63:$A$108)*'Cálculos'!$D$98)+1400)+'Cálculos'!$D$123)*'Cálculos'!$D$280)+('Cálculos'!$D$201*(1+'Cálculos'!$D$202+$A$63:$A$108*('Cálculos'!$D$290=2)*'Cálculos'!$D$101)+'Cálculos'!$D$203)*('Cálculos'!$D$271+'Cálculos'!$D$124*(1+2.78*('Cálculos'!$D$200+(($C106)-$A$63:$A$108)*'Cálculos'!$D$98)/(('Cálculos'!$D$200+(($C106)-$A$63:$A$108)*'Cálculos'!$D$98)+1400)+'Cálculos'!$D$122)*'Cálculos'!$D$276+'Cálculos'!$D$125*(1+2.78*('Cálculos'!$D$200+(($C106)-$A$63:$A$108)*'Cálculos'!$D$98)/(('Cálculos'!$D$200+(($C106)-$A$63:$A$108)*'Cálculos'!$D$98)+1400)+'Cálculos'!$D$123)*'Cálculos'!$D$281)+('Cálculos'!$D$204*(1+'Cálculos'!$D$205+$A$63:$A$108*('Cálculos'!$D$290=3)*'Cálculos'!$D$103)+'Cálculos'!$D$206)*('Cálculos'!$D$272+'Cálculos'!$D$124*(1+2.78*('Cálculos'!$D$200+(($C106)-$A$63:$A$108)*'Cálculos'!$D$98)/(('Cálculos'!$D$200+(($C106)-$A$63:$A$108)*'Cálculos'!$D$98)+1400)+'Cálculos'!$D$122)*'Cálculos'!$D$277+'Cálculos'!$D$125*(1+2.78*('Cálculos'!$D$200+(($C106)-$A$63:$A$108)*'Cálculos'!$D$98)/(('Cálculos'!$D$200+(($C106)-$A$63:$A$108)*'Cálculos'!$D$98)+1400)+'Cálculos'!$D$123)*'Cálculos'!$D$282)+('Cálculos'!$D$273+'Cálculos'!$D$124*(1+2.78*('Cálculos'!$D$200+(($C106)-$A$63:$A$108)*'Cálculos'!$D$98)/(('Cálculos'!$D$200+(($C106)-$A$63:$A$108)*'Cálculos'!$D$98)+1400)+'Cálculos'!$D$122)*'Cálculos'!$D$278+'Cálculos'!$D$125*(1+2.78*('Cálculos'!$D$200+(($C106)-$A$63:$A$108)*'Cálculos'!$D$98)/(('Cálculos'!$D$200+(($C106)-$A$63:$A$108)*'Cálculos'!$D$98)+1400)+'Cálculos'!$D$123)*'Cálculos'!$D$283)))))</f>
        <v>0</v>
      </c>
      <c r="E106" s="32">
        <f>IF(OR($C106&lt;0,'Cálculos'!$D$6=""),0,$B106*$D106)</f>
        <v>0</v>
      </c>
      <c r="F106" s="2"/>
      <c r="G106" s="30">
        <f>($A106&lt;=$B$110)*($A106&lt;='Cálculos'!$D$294)*(($B$110)-$A106&lt;='Cálculos'!$D$295)*(1+MIN(('Cálculos'!$D$207+$A106*'Cálculos'!$D$95),1)*('Cálculos'!$D$208+(($B$110)-$A106)*'Cálculos'!$D$96))</f>
        <v>0</v>
      </c>
      <c r="H106" s="31">
        <f>IF($B$111&lt;0,0,($A106&lt;=$B$111)*($A106&lt;='Cálculos'!$D$301)*(($B$111)-$A106&lt;='Cálculos'!$D$297)*(('Cálculos'!$D$185*(1+'Cálculos'!$D$186+$A106*('Cálculos'!$D$290=1)*'Cálculos'!$D$97+'Cálculos'!$D$305)+'Cálculos'!$D$191)*('Cálculos'!$D$209+'Cálculos'!$D$124*(1+2.78*('Cálculos'!$D$196+(($B$111)-$A106)*'Cálculos'!$D$98)/(('Cálculos'!$D$196+(($B$111)-$A106)*'Cálculos'!$D$98)+1400)+'Cálculos'!$D$122)*'Cálculos'!$D$214+'Cálculos'!$D$125*(1+2.78*('Cálculos'!$D$196+(($B$111)-$A106)*'Cálculos'!$D$98)/(('Cálculos'!$D$196+(($B$111)-$A106)*'Cálculos'!$D$98)+1400)+'Cálculos'!$D$123)*'Cálculos'!$D$219)+('Cálculos'!$D$196+(($B$111)-$A106)*'Cálculos'!$D$98)*('Cálculos'!$D$210+'Cálculos'!$D$124*(1+2.78*('Cálculos'!$D$196+(($B$111)-$A106)*'Cálculos'!$D$98)/(('Cálculos'!$D$196+(($B$111)-$A106)*'Cálculos'!$D$98)+1400)+'Cálculos'!$D$122)*'Cálculos'!$D$215+'Cálculos'!$D$125*(1+2.78*('Cálculos'!$D$196+(($B$111)-$A106)*'Cálculos'!$D$98)/(('Cálculos'!$D$196+(($B$111)-$A106)*'Cálculos'!$D$98)+1400)+'Cálculos'!$D$123)*'Cálculos'!$D$220)+('Cálculos'!$D$201*(1+'Cálculos'!$D$202+$A106*('Cálculos'!$D$290=2)*'Cálculos'!$D$101)+'Cálculos'!$D$203)*('Cálculos'!$D$211+'Cálculos'!$D$124*(1+2.78*('Cálculos'!$D$196+(($B$111)-$A106)*'Cálculos'!$D$98)/(('Cálculos'!$D$196+(($B$111)-$A106)*'Cálculos'!$D$98)+1400)+'Cálculos'!$D$122)*'Cálculos'!$D$216+'Cálculos'!$D$125*(1+2.78*('Cálculos'!$D$196+(($B$111)-$A106)*'Cálculos'!$D$98)/(('Cálculos'!$D$196+(($B$111)-$A106)*'Cálculos'!$D$98)+1400)+'Cálculos'!$D$123)*'Cálculos'!$D$221)+('Cálculos'!$D$204*(1+'Cálculos'!$D$205+$A106*('Cálculos'!$D$290=3)*'Cálculos'!$D$103)+'Cálculos'!$D$206)*('Cálculos'!$D$212+'Cálculos'!$D$124*(1+2.78*('Cálculos'!$D$196+(($B$111)-$A106)*'Cálculos'!$D$98)/(('Cálculos'!$D$196+(($B$111)-$A106)*'Cálculos'!$D$98)+1400)+'Cálculos'!$D$122)*'Cálculos'!$D$217+'Cálculos'!$D$125*(1+2.78*('Cálculos'!$D$196+(($B$111)-$A106)*'Cálculos'!$D$98)/(('Cálculos'!$D$196+(($B$111)-$A106)*'Cálculos'!$D$98)+1400)+'Cálculos'!$D$123)*'Cálculos'!$D$222)+('Cálculos'!$D$213+'Cálculos'!$D$124*(1+2.78*('Cálculos'!$D$196+(($B$111)-$A106)*'Cálculos'!$D$98)/(('Cálculos'!$D$196+(($B$111)-$A106)*'Cálculos'!$D$98)+1400)+'Cálculos'!$D$122)*'Cálculos'!$D$218+'Cálculos'!$D$125*(1+2.78*('Cálculos'!$D$196+(($B$111)-$A106)*'Cálculos'!$D$98)/(('Cálculos'!$D$196+(($B$111)-$A106)*'Cálculos'!$D$98)+1400)+'Cálculos'!$D$123)*'Cálculos'!$D$223)+('Cálculos'!$D$185*(1+'Cálculos'!$D$187+$A106*('Cálculos'!$D$290=1)*'Cálculos'!$D$97+'Cálculos'!$D$305)+'Cálculos'!$D$192)*('Cálculos'!$D$224+'Cálculos'!$D$124*(1+2.78*('Cálculos'!$D$197+(($B$111)-$A106)*'Cálculos'!$D$98)/(('Cálculos'!$D$197+(($B$111)-$A106)*'Cálculos'!$D$98)+1400)+'Cálculos'!$D$122)*'Cálculos'!$D$229+'Cálculos'!$D$125*(1+2.78*('Cálculos'!$D$197+(($B$111)-$A106)*'Cálculos'!$D$98)/(('Cálculos'!$D$197+(($B$111)-$A106)*'Cálculos'!$D$98)+1400)+'Cálculos'!$D$123)*'Cálculos'!$D$234)+('Cálculos'!$D$197+(($B$111)-$A106)*'Cálculos'!$D$98)*('Cálculos'!$D$225+'Cálculos'!$D$124*(1+2.78*('Cálculos'!$D$197+(($B$111)-$A106)*'Cálculos'!$D$98)/(('Cálculos'!$D$197+(($B$111)-$A106)*'Cálculos'!$D$98)+1400)+'Cálculos'!$D$122)*'Cálculos'!$D$230+'Cálculos'!$D$125*(1+2.78*('Cálculos'!$D$197+(($B$111)-$A106)*'Cálculos'!$D$98)/(('Cálculos'!$D$197+(($B$111)-$A106)*'Cálculos'!$D$98)+1400)+'Cálculos'!$D$123)*'Cálculos'!$D$235)+('Cálculos'!$D$201*(1+'Cálculos'!$D$202+$A106*('Cálculos'!$D$290=2)*'Cálculos'!$D$101)+'Cálculos'!$D$203)*('Cálculos'!$D$226+'Cálculos'!$D$124*(1+2.78*('Cálculos'!$D$197+(($B$111)-$A106)*'Cálculos'!$D$98)/(('Cálculos'!$D$197+(($B$111)-$A106)*'Cálculos'!$D$98)+1400)+'Cálculos'!$D$122)*'Cálculos'!$D$231+'Cálculos'!$D$125*(1+2.78*('Cálculos'!$D$197+(($B$111)-$A106)*'Cálculos'!$D$98)/(('Cálculos'!$D$197+(($B$111)-$A106)*'Cálculos'!$D$98)+1400)+'Cálculos'!$D$123)*'Cálculos'!$D$236)+('Cálculos'!$D$204*(1+'Cálculos'!$D$205+$A106*('Cálculos'!$D$290=3)*'Cálculos'!$D$103)+'Cálculos'!$D$206)*('Cálculos'!$D$227+'Cálculos'!$D$124*(1+2.78*('Cálculos'!$D$197+(($B$111)-$A106)*'Cálculos'!$D$98)/(('Cálculos'!$D$197+(($B$111)-$A106)*'Cálculos'!$D$98)+1400)+'Cálculos'!$D$122)*'Cálculos'!$D$232+'Cálculos'!$D$125*(1+2.78*('Cálculos'!$D$197+(($B$111)-$A106)*'Cálculos'!$D$98)/(('Cálculos'!$D$197+(($B$111)-$A106)*'Cálculos'!$D$98)+1400)+'Cálculos'!$D$123)*'Cálculos'!$D$237)+('Cálculos'!$D$228+'Cálculos'!$D$124*(1+2.78*('Cálculos'!$D$197+(($B$111)-$A106)*'Cálculos'!$D$98)/(('Cálculos'!$D$197+(($B$111)-$A106)*'Cálculos'!$D$98)+1400)+'Cálculos'!$D$122)*'Cálculos'!$D$233+'Cálculos'!$D$125*(1+2.78*('Cálculos'!$D$197+(($B$111)-$A106)*'Cálculos'!$D$98)/(('Cálculos'!$D$197+(($B$111)-$A106)*'Cálculos'!$D$98)+1400)+'Cálculos'!$D$123)*'Cálculos'!$D$238)+('Cálculos'!$D$185*(1+'Cálculos'!$D$188+$A106*('Cálculos'!$D$290=1)*'Cálculos'!$D$97+'Cálculos'!$D$305)+'Cálculos'!$D$193)*('Cálculos'!$D$239+'Cálculos'!$D$124*(1+2.78*('Cálculos'!$D$198+(($B$111)-$A106)*'Cálculos'!$D$98)/(('Cálculos'!$D$198+(($B$111)-$A106)*'Cálculos'!$D$98)+1400)+'Cálculos'!$D$122)*'Cálculos'!$D$244+'Cálculos'!$D$125*(1+2.78*('Cálculos'!$D$198+(($B$111)-$A106)*'Cálculos'!$D$98)/(('Cálculos'!$D$198+(($B$111)-$A106)*'Cálculos'!$D$98)+1400)+'Cálculos'!$D$123)*'Cálculos'!$D$249)+('Cálculos'!$D$198+(($B$111)-$A106)*'Cálculos'!$D$98)*('Cálculos'!$D$240+'Cálculos'!$D$124*(1+2.78*('Cálculos'!$D$198+(($B$111)-$A106)*'Cálculos'!$D$98)/(('Cálculos'!$D$198+(($B$111)-$A106)*'Cálculos'!$D$98)+1400)+'Cálculos'!$D$122)*'Cálculos'!$D$245+'Cálculos'!$D$125*(1+2.78*('Cálculos'!$D$198+(($B$111)-$A106)*'Cálculos'!$D$98)/(('Cálculos'!$D$198+(($B$111)-$A106)*'Cálculos'!$D$98)+1400)+'Cálculos'!$D$123)*'Cálculos'!$D$250)+('Cálculos'!$D$201*(1+'Cálculos'!$D$202+$A106*('Cálculos'!$D$290=2)*'Cálculos'!$D$101)+'Cálculos'!$D$203)*('Cálculos'!$D$241+'Cálculos'!$D$124*(1+2.78*('Cálculos'!$D$198+(($B$111)-$A106)*'Cálculos'!$D$98)/(('Cálculos'!$D$198+(($B$111)-$A106)*'Cálculos'!$D$98)+1400)+'Cálculos'!$D$122)*'Cálculos'!$D$246+'Cálculos'!$D$125*(1+2.78*('Cálculos'!$D$198+(($B$111)-$A106)*'Cálculos'!$D$98)/(('Cálculos'!$D$198+(($B$111)-$A106)*'Cálculos'!$D$98)+1400)+'Cálculos'!$D$123)*'Cálculos'!$D$251)+('Cálculos'!$D$204*(1+'Cálculos'!$D$205+$A106*('Cálculos'!$D$290=3)*'Cálculos'!$D$103)+'Cálculos'!$D$206)*('Cálculos'!$D$242+'Cálculos'!$D$124*(1+2.78*('Cálculos'!$D$198+(($B$111)-$A106)*'Cálculos'!$D$98)/(('Cálculos'!$D$198+(($B$111)-$A106)*'Cálculos'!$D$98)+1400)+'Cálculos'!$D$122)*'Cálculos'!$D$247+'Cálculos'!$D$125*(1+2.78*('Cálculos'!$D$198+(($B$111)-$A106)*'Cálculos'!$D$98)/(('Cálculos'!$D$198+(($B$111)-$A106)*'Cálculos'!$D$98)+1400)+'Cálculos'!$D$123)*'Cálculos'!$D$252)+('Cálculos'!$D$243+'Cálculos'!$D$124*(1+2.78*('Cálculos'!$D$198+(($B$111)-$A106)*'Cálculos'!$D$98)/(('Cálculos'!$D$198+(($B$111)-$A106)*'Cálculos'!$D$98)+1400)+'Cálculos'!$D$122)*'Cálculos'!$D$248+'Cálculos'!$D$125*(1+2.78*('Cálculos'!$D$198+(($B$111)-$A106)*'Cálculos'!$D$98)/(('Cálculos'!$D$198+(($B$111)-$A106)*'Cálculos'!$D$98)+1400)+'Cálculos'!$D$123)*'Cálculos'!$D$253)+('Cálculos'!$D$185*(1+'Cálculos'!$D$189+$A106*('Cálculos'!$D$290=1)*'Cálculos'!$D$97+'Cálculos'!$D$305)+'Cálculos'!$D$194)*('Cálculos'!$D$254+'Cálculos'!$D$124*(1+2.78*('Cálculos'!$D$199+(($B$111)-$A106)*'Cálculos'!$D$98)/(('Cálculos'!$D$199+(($B$111)-$A106)*'Cálculos'!$D$98)+1400)+'Cálculos'!$D$122)*'Cálculos'!$D$259+'Cálculos'!$D$125*(1+2.78*('Cálculos'!$D$199+(($B$111)-$A106)*'Cálculos'!$D$98)/(('Cálculos'!$D$199+(($B$111)-$A106)*'Cálculos'!$D$98)+1400)+'Cálculos'!$D$123)*'Cálculos'!$D$264)+('Cálculos'!$D$199+(($B$111)-$A106)*'Cálculos'!$D$98)*('Cálculos'!$D$255+'Cálculos'!$D$124*(1+2.78*('Cálculos'!$D$199+(($B$111)-$A106)*'Cálculos'!$D$98)/(('Cálculos'!$D$199+(($B$111)-$A106)*'Cálculos'!$D$98)+1400)+'Cálculos'!$D$122)*'Cálculos'!$D$260+'Cálculos'!$D$125*(1+2.78*('Cálculos'!$D$199+(($B$111)-$A106)*'Cálculos'!$D$98)/(('Cálculos'!$D$199+(($B$111)-$A106)*'Cálculos'!$D$98)+1400)+'Cálculos'!$D$123)*'Cálculos'!$D$265)+('Cálculos'!$D$201*(1+'Cálculos'!$D$202+$A106*('Cálculos'!$D$290=2)*'Cálculos'!$D$101)+'Cálculos'!$D$203)*('Cálculos'!$D$256+'Cálculos'!$D$124*(1+2.78*('Cálculos'!$D$199+(($B$111)-$A106)*'Cálculos'!$D$98)/(('Cálculos'!$D$199+(($B$111)-$A106)*'Cálculos'!$D$98)+1400)+'Cálculos'!$D$122)*'Cálculos'!$D$261+'Cálculos'!$D$125*(1+2.78*('Cálculos'!$D$199+(($B$111)-$A106)*'Cálculos'!$D$98)/(('Cálculos'!$D$199+(($B$111)-$A106)*'Cálculos'!$D$98)+1400)+'Cálculos'!$D$123)*'Cálculos'!$D$266)+('Cálculos'!$D$204*(1+'Cálculos'!$D$205+$A106*('Cálculos'!$D$290=3)*'Cálculos'!$D$103)+'Cálculos'!$D$206)*('Cálculos'!$D$257+'Cálculos'!$D$124*(1+2.78*('Cálculos'!$D$199+(($B$111)-$A106)*'Cálculos'!$D$98)/(('Cálculos'!$D$199+(($B$111)-$A106)*'Cálculos'!$D$98)+1400)+'Cálculos'!$D$122)*'Cálculos'!$D$262+'Cálculos'!$D$125*(1+2.78*('Cálculos'!$D$199+(($B$111)-$A106)*'Cálculos'!$D$98)/(('Cálculos'!$D$199+(($B$111)-$A106)*'Cálculos'!$D$98)+1400)+'Cálculos'!$D$123)*'Cálculos'!$D$267)+('Cálculos'!$D$258+'Cálculos'!$D$124*(1+2.78*('Cálculos'!$D$199+(($B$111)-$A106)*'Cálculos'!$D$98)/(('Cálculos'!$D$199+(($B$111)-$A106)*'Cálculos'!$D$98)+1400)+'Cálculos'!$D$122)*'Cálculos'!$D$263+'Cálculos'!$D$125*(1+2.78*('Cálculos'!$D$199+(($B$111)-$A106)*'Cálculos'!$D$98)/(('Cálculos'!$D$199+(($B$111)-$A106)*'Cálculos'!$D$98)+1400)+'Cálculos'!$D$123)*'Cálculos'!$D$268)+('Cálculos'!$D$185*(1+'Cálculos'!$D$190+$A106*('Cálculos'!$D$290=1)*'Cálculos'!$D$97+'Cálculos'!$D$305)+'Cálculos'!$D$195)*('Cálculos'!$D$269+'Cálculos'!$D$124*(1+2.78*('Cálculos'!$D$200+(($B$111)-$A106)*'Cálculos'!$D$98)/(('Cálculos'!$D$200+(($B$111)-$A106)*'Cálculos'!$D$98)+1400)+'Cálculos'!$D$122)*'Cálculos'!$D$274+'Cálculos'!$D$125*(1+2.78*('Cálculos'!$D$200+(($B$111)-$A106)*'Cálculos'!$D$98)/(('Cálculos'!$D$200+(($B$111)-$A106)*'Cálculos'!$D$98)+1400)+'Cálculos'!$D$123)*'Cálculos'!$D$279)+('Cálculos'!$D$200+(($B$111)-$A106)*'Cálculos'!$D$98)*('Cálculos'!$D$270+'Cálculos'!$D$124*(1+2.78*('Cálculos'!$D$200+(($B$111)-$A106)*'Cálculos'!$D$98)/(('Cálculos'!$D$200+(($B$111)-$A106)*'Cálculos'!$D$98)+1400)+'Cálculos'!$D$122)*'Cálculos'!$D$275+'Cálculos'!$D$125*(1+2.78*('Cálculos'!$D$200+(($B$111)-$A106)*'Cálculos'!$D$98)/(('Cálculos'!$D$200+(($B$111)-$A106)*'Cálculos'!$D$98)+1400)+'Cálculos'!$D$123)*'Cálculos'!$D$280)+('Cálculos'!$D$201*(1+'Cálculos'!$D$202+$A106*('Cálculos'!$D$290=2)*'Cálculos'!$D$101)+'Cálculos'!$D$203)*('Cálculos'!$D$271+'Cálculos'!$D$124*(1+2.78*('Cálculos'!$D$200+(($B$111)-$A106)*'Cálculos'!$D$98)/(('Cálculos'!$D$200+(($B$111)-$A106)*'Cálculos'!$D$98)+1400)+'Cálculos'!$D$122)*'Cálculos'!$D$276+'Cálculos'!$D$125*(1+2.78*('Cálculos'!$D$200+(($B$111)-$A106)*'Cálculos'!$D$98)/(('Cálculos'!$D$200+(($B$111)-$A106)*'Cálculos'!$D$98)+1400)+'Cálculos'!$D$123)*'Cálculos'!$D$281)+('Cálculos'!$D$204*(1+'Cálculos'!$D$205+$A106*('Cálculos'!$D$290=3)*'Cálculos'!$D$103)+'Cálculos'!$D$206)*('Cálculos'!$D$272+'Cálculos'!$D$124*(1+2.78*('Cálculos'!$D$200+(($B$111)-$A106)*'Cálculos'!$D$98)/(('Cálculos'!$D$200+(($B$111)-$A106)*'Cálculos'!$D$98)+1400)+'Cálculos'!$D$122)*'Cálculos'!$D$277+'Cálculos'!$D$125*(1+2.78*('Cálculos'!$D$200+(($B$111)-$A106)*'Cálculos'!$D$98)/(('Cálculos'!$D$200+(($B$111)-$A106)*'Cálculos'!$D$98)+1400)+'Cálculos'!$D$123)*'Cálculos'!$D$282)+('Cálculos'!$D$273+'Cálculos'!$D$124*(1+2.78*('Cálculos'!$D$200+(($B$111)-$A106)*'Cálculos'!$D$98)/(('Cálculos'!$D$200+(($B$111)-$A106)*'Cálculos'!$D$98)+1400)+'Cálculos'!$D$122)*'Cálculos'!$D$278+'Cálculos'!$D$125*(1+2.78*('Cálculos'!$D$200+(($B$111)-$A106)*'Cálculos'!$D$98)/(('Cálculos'!$D$200+(($B$111)-$A106)*'Cálculos'!$D$98)+1400)+'Cálculos'!$D$123)*'Cálculos'!$D$283)))</f>
        <v>0</v>
      </c>
    </row>
    <row r="107" ht="15.75" customHeight="1">
      <c r="A107" s="2">
        <v>44.0</v>
      </c>
      <c r="B107" s="30">
        <f>SUMPRODUCT(MAX(($A$63:$A$108&lt;=$A107)*($A$63:$A$108&lt;='Cálculos'!$D$294)*(($A107)-$A$63:$A$108&lt;='Cálculos'!$D$295)*(1+(('Cálculos'!$D$207+$A$63:$A$108*'Cálculos'!$D$95)-(('Cálculos'!$D$207+$A$63:$A$108*'Cálculos'!$D$95)&gt;1)*(('Cálculos'!$D$207+$A$63:$A$108*'Cálculos'!$D$95)-1))*('Cálculos'!$D$208+(($A107)-$A$63:$A$108)*'Cálculos'!$D$96))))</f>
        <v>0</v>
      </c>
      <c r="C107" s="2">
        <f>'Cálculos'!$D$303-$A107</f>
        <v>-33</v>
      </c>
      <c r="D107" s="31">
        <f>IF($C107&lt;0,0,SUMPRODUCT(MAX(($A$63:$A$108&lt;=$C107)*($A$63:$A$108&lt;='Cálculos'!$D$301)*(($C107)-$A$63:$A$108&lt;='Cálculos'!$D$297)*(('Cálculos'!$D$185*(1+'Cálculos'!$D$186+$A$63:$A$108*('Cálculos'!$D$290=1)*'Cálculos'!$D$97+'Cálculos'!$D$305)+'Cálculos'!$D$191)*('Cálculos'!$D$209+'Cálculos'!$D$124*(1+2.78*('Cálculos'!$D$196+(($C107)-$A$63:$A$108)*'Cálculos'!$D$98)/(('Cálculos'!$D$196+(($C107)-$A$63:$A$108)*'Cálculos'!$D$98)+1400)+'Cálculos'!$D$122)*'Cálculos'!$D$214+'Cálculos'!$D$125*(1+2.78*('Cálculos'!$D$196+(($C107)-$A$63:$A$108)*'Cálculos'!$D$98)/(('Cálculos'!$D$196+(($C107)-$A$63:$A$108)*'Cálculos'!$D$98)+1400)+'Cálculos'!$D$123)*'Cálculos'!$D$219)+('Cálculos'!$D$196+(($C107)-$A$63:$A$108)*'Cálculos'!$D$98)*('Cálculos'!$D$210+'Cálculos'!$D$124*(1+2.78*('Cálculos'!$D$196+(($C107)-$A$63:$A$108)*'Cálculos'!$D$98)/(('Cálculos'!$D$196+(($C107)-$A$63:$A$108)*'Cálculos'!$D$98)+1400)+'Cálculos'!$D$122)*'Cálculos'!$D$215+'Cálculos'!$D$125*(1+2.78*('Cálculos'!$D$196+(($C107)-$A$63:$A$108)*'Cálculos'!$D$98)/(('Cálculos'!$D$196+(($C107)-$A$63:$A$108)*'Cálculos'!$D$98)+1400)+'Cálculos'!$D$123)*'Cálculos'!$D$220)+('Cálculos'!$D$201*(1+'Cálculos'!$D$202+$A$63:$A$108*('Cálculos'!$D$290=2)*'Cálculos'!$D$101)+'Cálculos'!$D$203)*('Cálculos'!$D$211+'Cálculos'!$D$124*(1+2.78*('Cálculos'!$D$196+(($C107)-$A$63:$A$108)*'Cálculos'!$D$98)/(('Cálculos'!$D$196+(($C107)-$A$63:$A$108)*'Cálculos'!$D$98)+1400)+'Cálculos'!$D$122)*'Cálculos'!$D$216+'Cálculos'!$D$125*(1+2.78*('Cálculos'!$D$196+(($C107)-$A$63:$A$108)*'Cálculos'!$D$98)/(('Cálculos'!$D$196+(($C107)-$A$63:$A$108)*'Cálculos'!$D$98)+1400)+'Cálculos'!$D$123)*'Cálculos'!$D$221)+('Cálculos'!$D$204*(1+'Cálculos'!$D$205+$A$63:$A$108*('Cálculos'!$D$290=3)*'Cálculos'!$D$103)+'Cálculos'!$D$206)*('Cálculos'!$D$212+'Cálculos'!$D$124*(1+2.78*('Cálculos'!$D$196+(($C107)-$A$63:$A$108)*'Cálculos'!$D$98)/(('Cálculos'!$D$196+(($C107)-$A$63:$A$108)*'Cálculos'!$D$98)+1400)+'Cálculos'!$D$122)*'Cálculos'!$D$217+'Cálculos'!$D$125*(1+2.78*('Cálculos'!$D$196+(($C107)-$A$63:$A$108)*'Cálculos'!$D$98)/(('Cálculos'!$D$196+(($C107)-$A$63:$A$108)*'Cálculos'!$D$98)+1400)+'Cálculos'!$D$123)*'Cálculos'!$D$222)+('Cálculos'!$D$213+'Cálculos'!$D$124*(1+2.78*('Cálculos'!$D$196+(($C107)-$A$63:$A$108)*'Cálculos'!$D$98)/(('Cálculos'!$D$196+(($C107)-$A$63:$A$108)*'Cálculos'!$D$98)+1400)+'Cálculos'!$D$122)*'Cálculos'!$D$218+'Cálculos'!$D$125*(1+2.78*('Cálculos'!$D$196+(($C107)-$A$63:$A$108)*'Cálculos'!$D$98)/(('Cálculos'!$D$196+(($C107)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107)-$A$63:$A$108)*'Cálculos'!$D$98)/(('Cálculos'!$D$197+(($C107)-$A$63:$A$108)*'Cálculos'!$D$98)+1400)+'Cálculos'!$D$122)*'Cálculos'!$D$229+'Cálculos'!$D$125*(1+2.78*('Cálculos'!$D$197+(($C107)-$A$63:$A$108)*'Cálculos'!$D$98)/(('Cálculos'!$D$197+(($C107)-$A$63:$A$108)*'Cálculos'!$D$98)+1400)+'Cálculos'!$D$123)*'Cálculos'!$D$234)+('Cálculos'!$D$197+(($C107)-$A$63:$A$108)*'Cálculos'!$D$98)*('Cálculos'!$D$225+'Cálculos'!$D$124*(1+2.78*('Cálculos'!$D$197+(($C107)-$A$63:$A$108)*'Cálculos'!$D$98)/(('Cálculos'!$D$197+(($C107)-$A$63:$A$108)*'Cálculos'!$D$98)+1400)+'Cálculos'!$D$122)*'Cálculos'!$D$230+'Cálculos'!$D$125*(1+2.78*('Cálculos'!$D$197+(($C107)-$A$63:$A$108)*'Cálculos'!$D$98)/(('Cálculos'!$D$197+(($C107)-$A$63:$A$108)*'Cálculos'!$D$98)+1400)+'Cálculos'!$D$123)*'Cálculos'!$D$235)+('Cálculos'!$D$201*(1+'Cálculos'!$D$202+$A$63:$A$108*('Cálculos'!$D$290=2)*'Cálculos'!$D$101)+'Cálculos'!$D$203)*('Cálculos'!$D$226+'Cálculos'!$D$124*(1+2.78*('Cálculos'!$D$197+(($C107)-$A$63:$A$108)*'Cálculos'!$D$98)/(('Cálculos'!$D$197+(($C107)-$A$63:$A$108)*'Cálculos'!$D$98)+1400)+'Cálculos'!$D$122)*'Cálculos'!$D$231+'Cálculos'!$D$125*(1+2.78*('Cálculos'!$D$197+(($C107)-$A$63:$A$108)*'Cálculos'!$D$98)/(('Cálculos'!$D$197+(($C107)-$A$63:$A$108)*'Cálculos'!$D$98)+1400)+'Cálculos'!$D$123)*'Cálculos'!$D$236)+('Cálculos'!$D$204*(1+'Cálculos'!$D$205+$A$63:$A$108*('Cálculos'!$D$290=3)*'Cálculos'!$D$103)+'Cálculos'!$D$206)*('Cálculos'!$D$227+'Cálculos'!$D$124*(1+2.78*('Cálculos'!$D$197+(($C107)-$A$63:$A$108)*'Cálculos'!$D$98)/(('Cálculos'!$D$197+(($C107)-$A$63:$A$108)*'Cálculos'!$D$98)+1400)+'Cálculos'!$D$122)*'Cálculos'!$D$232+'Cálculos'!$D$125*(1+2.78*('Cálculos'!$D$197+(($C107)-$A$63:$A$108)*'Cálculos'!$D$98)/(('Cálculos'!$D$197+(($C107)-$A$63:$A$108)*'Cálculos'!$D$98)+1400)+'Cálculos'!$D$123)*'Cálculos'!$D$237)+('Cálculos'!$D$228+'Cálculos'!$D$124*(1+2.78*('Cálculos'!$D$197+(($C107)-$A$63:$A$108)*'Cálculos'!$D$98)/(('Cálculos'!$D$197+(($C107)-$A$63:$A$108)*'Cálculos'!$D$98)+1400)+'Cálculos'!$D$122)*'Cálculos'!$D$233+'Cálculos'!$D$125*(1+2.78*('Cálculos'!$D$197+(($C107)-$A$63:$A$108)*'Cálculos'!$D$98)/(('Cálculos'!$D$197+(($C107)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107)-$A$63:$A$108)*'Cálculos'!$D$98)/(('Cálculos'!$D$198+(($C107)-$A$63:$A$108)*'Cálculos'!$D$98)+1400)+'Cálculos'!$D$122)*'Cálculos'!$D$244+'Cálculos'!$D$125*(1+2.78*('Cálculos'!$D$198+(($C107)-$A$63:$A$108)*'Cálculos'!$D$98)/(('Cálculos'!$D$198+(($C107)-$A$63:$A$108)*'Cálculos'!$D$98)+1400)+'Cálculos'!$D$123)*'Cálculos'!$D$249)+('Cálculos'!$D$198+(($C107)-$A$63:$A$108)*'Cálculos'!$D$98)*('Cálculos'!$D$240+'Cálculos'!$D$124*(1+2.78*('Cálculos'!$D$198+(($C107)-$A$63:$A$108)*'Cálculos'!$D$98)/(('Cálculos'!$D$198+(($C107)-$A$63:$A$108)*'Cálculos'!$D$98)+1400)+'Cálculos'!$D$122)*'Cálculos'!$D$245+'Cálculos'!$D$125*(1+2.78*('Cálculos'!$D$198+(($C107)-$A$63:$A$108)*'Cálculos'!$D$98)/(('Cálculos'!$D$198+(($C107)-$A$63:$A$108)*'Cálculos'!$D$98)+1400)+'Cálculos'!$D$123)*'Cálculos'!$D$250)+('Cálculos'!$D$201*(1+'Cálculos'!$D$202+$A$63:$A$108*('Cálculos'!$D$290=2)*'Cálculos'!$D$101)+'Cálculos'!$D$203)*('Cálculos'!$D$241+'Cálculos'!$D$124*(1+2.78*('Cálculos'!$D$198+(($C107)-$A$63:$A$108)*'Cálculos'!$D$98)/(('Cálculos'!$D$198+(($C107)-$A$63:$A$108)*'Cálculos'!$D$98)+1400)+'Cálculos'!$D$122)*'Cálculos'!$D$246+'Cálculos'!$D$125*(1+2.78*('Cálculos'!$D$198+(($C107)-$A$63:$A$108)*'Cálculos'!$D$98)/(('Cálculos'!$D$198+(($C107)-$A$63:$A$108)*'Cálculos'!$D$98)+1400)+'Cálculos'!$D$123)*'Cálculos'!$D$251)+('Cálculos'!$D$204*(1+'Cálculos'!$D$205+$A$63:$A$108*('Cálculos'!$D$290=3)*'Cálculos'!$D$103)+'Cálculos'!$D$206)*('Cálculos'!$D$242+'Cálculos'!$D$124*(1+2.78*('Cálculos'!$D$198+(($C107)-$A$63:$A$108)*'Cálculos'!$D$98)/(('Cálculos'!$D$198+(($C107)-$A$63:$A$108)*'Cálculos'!$D$98)+1400)+'Cálculos'!$D$122)*'Cálculos'!$D$247+'Cálculos'!$D$125*(1+2.78*('Cálculos'!$D$198+(($C107)-$A$63:$A$108)*'Cálculos'!$D$98)/(('Cálculos'!$D$198+(($C107)-$A$63:$A$108)*'Cálculos'!$D$98)+1400)+'Cálculos'!$D$123)*'Cálculos'!$D$252)+('Cálculos'!$D$243+'Cálculos'!$D$124*(1+2.78*('Cálculos'!$D$198+(($C107)-$A$63:$A$108)*'Cálculos'!$D$98)/(('Cálculos'!$D$198+(($C107)-$A$63:$A$108)*'Cálculos'!$D$98)+1400)+'Cálculos'!$D$122)*'Cálculos'!$D$248+'Cálculos'!$D$125*(1+2.78*('Cálculos'!$D$198+(($C107)-$A$63:$A$108)*'Cálculos'!$D$98)/(('Cálculos'!$D$198+(($C107)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107)-$A$63:$A$108)*'Cálculos'!$D$98)/(('Cálculos'!$D$199+(($C107)-$A$63:$A$108)*'Cálculos'!$D$98)+1400)+'Cálculos'!$D$122)*'Cálculos'!$D$259+'Cálculos'!$D$125*(1+2.78*('Cálculos'!$D$199+(($C107)-$A$63:$A$108)*'Cálculos'!$D$98)/(('Cálculos'!$D$199+(($C107)-$A$63:$A$108)*'Cálculos'!$D$98)+1400)+'Cálculos'!$D$123)*'Cálculos'!$D$264)+('Cálculos'!$D$199+(($C107)-$A$63:$A$108)*'Cálculos'!$D$98)*('Cálculos'!$D$255+'Cálculos'!$D$124*(1+2.78*('Cálculos'!$D$199+(($C107)-$A$63:$A$108)*'Cálculos'!$D$98)/(('Cálculos'!$D$199+(($C107)-$A$63:$A$108)*'Cálculos'!$D$98)+1400)+'Cálculos'!$D$122)*'Cálculos'!$D$260+'Cálculos'!$D$125*(1+2.78*('Cálculos'!$D$199+(($C107)-$A$63:$A$108)*'Cálculos'!$D$98)/(('Cálculos'!$D$199+(($C107)-$A$63:$A$108)*'Cálculos'!$D$98)+1400)+'Cálculos'!$D$123)*'Cálculos'!$D$265)+('Cálculos'!$D$201*(1+'Cálculos'!$D$202+$A$63:$A$108*('Cálculos'!$D$290=2)*'Cálculos'!$D$101)+'Cálculos'!$D$203)*('Cálculos'!$D$256+'Cálculos'!$D$124*(1+2.78*('Cálculos'!$D$199+(($C107)-$A$63:$A$108)*'Cálculos'!$D$98)/(('Cálculos'!$D$199+(($C107)-$A$63:$A$108)*'Cálculos'!$D$98)+1400)+'Cálculos'!$D$122)*'Cálculos'!$D$261+'Cálculos'!$D$125*(1+2.78*('Cálculos'!$D$199+(($C107)-$A$63:$A$108)*'Cálculos'!$D$98)/(('Cálculos'!$D$199+(($C107)-$A$63:$A$108)*'Cálculos'!$D$98)+1400)+'Cálculos'!$D$123)*'Cálculos'!$D$266)+('Cálculos'!$D$204*(1+'Cálculos'!$D$205+$A$63:$A$108*('Cálculos'!$D$290=3)*'Cálculos'!$D$103)+'Cálculos'!$D$206)*('Cálculos'!$D$257+'Cálculos'!$D$124*(1+2.78*('Cálculos'!$D$199+(($C107)-$A$63:$A$108)*'Cálculos'!$D$98)/(('Cálculos'!$D$199+(($C107)-$A$63:$A$108)*'Cálculos'!$D$98)+1400)+'Cálculos'!$D$122)*'Cálculos'!$D$262+'Cálculos'!$D$125*(1+2.78*('Cálculos'!$D$199+(($C107)-$A$63:$A$108)*'Cálculos'!$D$98)/(('Cálculos'!$D$199+(($C107)-$A$63:$A$108)*'Cálculos'!$D$98)+1400)+'Cálculos'!$D$123)*'Cálculos'!$D$267)+('Cálculos'!$D$258+'Cálculos'!$D$124*(1+2.78*('Cálculos'!$D$199+(($C107)-$A$63:$A$108)*'Cálculos'!$D$98)/(('Cálculos'!$D$199+(($C107)-$A$63:$A$108)*'Cálculos'!$D$98)+1400)+'Cálculos'!$D$122)*'Cálculos'!$D$263+'Cálculos'!$D$125*(1+2.78*('Cálculos'!$D$199+(($C107)-$A$63:$A$108)*'Cálculos'!$D$98)/(('Cálculos'!$D$199+(($C107)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107)-$A$63:$A$108)*'Cálculos'!$D$98)/(('Cálculos'!$D$200+(($C107)-$A$63:$A$108)*'Cálculos'!$D$98)+1400)+'Cálculos'!$D$122)*'Cálculos'!$D$274+'Cálculos'!$D$125*(1+2.78*('Cálculos'!$D$200+(($C107)-$A$63:$A$108)*'Cálculos'!$D$98)/(('Cálculos'!$D$200+(($C107)-$A$63:$A$108)*'Cálculos'!$D$98)+1400)+'Cálculos'!$D$123)*'Cálculos'!$D$279)+('Cálculos'!$D$200+(($C107)-$A$63:$A$108)*'Cálculos'!$D$98)*('Cálculos'!$D$270+'Cálculos'!$D$124*(1+2.78*('Cálculos'!$D$200+(($C107)-$A$63:$A$108)*'Cálculos'!$D$98)/(('Cálculos'!$D$200+(($C107)-$A$63:$A$108)*'Cálculos'!$D$98)+1400)+'Cálculos'!$D$122)*'Cálculos'!$D$275+'Cálculos'!$D$125*(1+2.78*('Cálculos'!$D$200+(($C107)-$A$63:$A$108)*'Cálculos'!$D$98)/(('Cálculos'!$D$200+(($C107)-$A$63:$A$108)*'Cálculos'!$D$98)+1400)+'Cálculos'!$D$123)*'Cálculos'!$D$280)+('Cálculos'!$D$201*(1+'Cálculos'!$D$202+$A$63:$A$108*('Cálculos'!$D$290=2)*'Cálculos'!$D$101)+'Cálculos'!$D$203)*('Cálculos'!$D$271+'Cálculos'!$D$124*(1+2.78*('Cálculos'!$D$200+(($C107)-$A$63:$A$108)*'Cálculos'!$D$98)/(('Cálculos'!$D$200+(($C107)-$A$63:$A$108)*'Cálculos'!$D$98)+1400)+'Cálculos'!$D$122)*'Cálculos'!$D$276+'Cálculos'!$D$125*(1+2.78*('Cálculos'!$D$200+(($C107)-$A$63:$A$108)*'Cálculos'!$D$98)/(('Cálculos'!$D$200+(($C107)-$A$63:$A$108)*'Cálculos'!$D$98)+1400)+'Cálculos'!$D$123)*'Cálculos'!$D$281)+('Cálculos'!$D$204*(1+'Cálculos'!$D$205+$A$63:$A$108*('Cálculos'!$D$290=3)*'Cálculos'!$D$103)+'Cálculos'!$D$206)*('Cálculos'!$D$272+'Cálculos'!$D$124*(1+2.78*('Cálculos'!$D$200+(($C107)-$A$63:$A$108)*'Cálculos'!$D$98)/(('Cálculos'!$D$200+(($C107)-$A$63:$A$108)*'Cálculos'!$D$98)+1400)+'Cálculos'!$D$122)*'Cálculos'!$D$277+'Cálculos'!$D$125*(1+2.78*('Cálculos'!$D$200+(($C107)-$A$63:$A$108)*'Cálculos'!$D$98)/(('Cálculos'!$D$200+(($C107)-$A$63:$A$108)*'Cálculos'!$D$98)+1400)+'Cálculos'!$D$123)*'Cálculos'!$D$282)+('Cálculos'!$D$273+'Cálculos'!$D$124*(1+2.78*('Cálculos'!$D$200+(($C107)-$A$63:$A$108)*'Cálculos'!$D$98)/(('Cálculos'!$D$200+(($C107)-$A$63:$A$108)*'Cálculos'!$D$98)+1400)+'Cálculos'!$D$122)*'Cálculos'!$D$278+'Cálculos'!$D$125*(1+2.78*('Cálculos'!$D$200+(($C107)-$A$63:$A$108)*'Cálculos'!$D$98)/(('Cálculos'!$D$200+(($C107)-$A$63:$A$108)*'Cálculos'!$D$98)+1400)+'Cálculos'!$D$123)*'Cálculos'!$D$283)))))</f>
        <v>0</v>
      </c>
      <c r="E107" s="32">
        <f>IF(OR($C107&lt;0,'Cálculos'!$D$6=""),0,$B107*$D107)</f>
        <v>0</v>
      </c>
      <c r="F107" s="2"/>
      <c r="G107" s="30">
        <f>($A107&lt;=$B$110)*($A107&lt;='Cálculos'!$D$294)*(($B$110)-$A107&lt;='Cálculos'!$D$295)*(1+MIN(('Cálculos'!$D$207+$A107*'Cálculos'!$D$95),1)*('Cálculos'!$D$208+(($B$110)-$A107)*'Cálculos'!$D$96))</f>
        <v>0</v>
      </c>
      <c r="H107" s="31">
        <f>IF($B$111&lt;0,0,($A107&lt;=$B$111)*($A107&lt;='Cálculos'!$D$301)*(($B$111)-$A107&lt;='Cálculos'!$D$297)*(('Cálculos'!$D$185*(1+'Cálculos'!$D$186+$A107*('Cálculos'!$D$290=1)*'Cálculos'!$D$97+'Cálculos'!$D$305)+'Cálculos'!$D$191)*('Cálculos'!$D$209+'Cálculos'!$D$124*(1+2.78*('Cálculos'!$D$196+(($B$111)-$A107)*'Cálculos'!$D$98)/(('Cálculos'!$D$196+(($B$111)-$A107)*'Cálculos'!$D$98)+1400)+'Cálculos'!$D$122)*'Cálculos'!$D$214+'Cálculos'!$D$125*(1+2.78*('Cálculos'!$D$196+(($B$111)-$A107)*'Cálculos'!$D$98)/(('Cálculos'!$D$196+(($B$111)-$A107)*'Cálculos'!$D$98)+1400)+'Cálculos'!$D$123)*'Cálculos'!$D$219)+('Cálculos'!$D$196+(($B$111)-$A107)*'Cálculos'!$D$98)*('Cálculos'!$D$210+'Cálculos'!$D$124*(1+2.78*('Cálculos'!$D$196+(($B$111)-$A107)*'Cálculos'!$D$98)/(('Cálculos'!$D$196+(($B$111)-$A107)*'Cálculos'!$D$98)+1400)+'Cálculos'!$D$122)*'Cálculos'!$D$215+'Cálculos'!$D$125*(1+2.78*('Cálculos'!$D$196+(($B$111)-$A107)*'Cálculos'!$D$98)/(('Cálculos'!$D$196+(($B$111)-$A107)*'Cálculos'!$D$98)+1400)+'Cálculos'!$D$123)*'Cálculos'!$D$220)+('Cálculos'!$D$201*(1+'Cálculos'!$D$202+$A107*('Cálculos'!$D$290=2)*'Cálculos'!$D$101)+'Cálculos'!$D$203)*('Cálculos'!$D$211+'Cálculos'!$D$124*(1+2.78*('Cálculos'!$D$196+(($B$111)-$A107)*'Cálculos'!$D$98)/(('Cálculos'!$D$196+(($B$111)-$A107)*'Cálculos'!$D$98)+1400)+'Cálculos'!$D$122)*'Cálculos'!$D$216+'Cálculos'!$D$125*(1+2.78*('Cálculos'!$D$196+(($B$111)-$A107)*'Cálculos'!$D$98)/(('Cálculos'!$D$196+(($B$111)-$A107)*'Cálculos'!$D$98)+1400)+'Cálculos'!$D$123)*'Cálculos'!$D$221)+('Cálculos'!$D$204*(1+'Cálculos'!$D$205+$A107*('Cálculos'!$D$290=3)*'Cálculos'!$D$103)+'Cálculos'!$D$206)*('Cálculos'!$D$212+'Cálculos'!$D$124*(1+2.78*('Cálculos'!$D$196+(($B$111)-$A107)*'Cálculos'!$D$98)/(('Cálculos'!$D$196+(($B$111)-$A107)*'Cálculos'!$D$98)+1400)+'Cálculos'!$D$122)*'Cálculos'!$D$217+'Cálculos'!$D$125*(1+2.78*('Cálculos'!$D$196+(($B$111)-$A107)*'Cálculos'!$D$98)/(('Cálculos'!$D$196+(($B$111)-$A107)*'Cálculos'!$D$98)+1400)+'Cálculos'!$D$123)*'Cálculos'!$D$222)+('Cálculos'!$D$213+'Cálculos'!$D$124*(1+2.78*('Cálculos'!$D$196+(($B$111)-$A107)*'Cálculos'!$D$98)/(('Cálculos'!$D$196+(($B$111)-$A107)*'Cálculos'!$D$98)+1400)+'Cálculos'!$D$122)*'Cálculos'!$D$218+'Cálculos'!$D$125*(1+2.78*('Cálculos'!$D$196+(($B$111)-$A107)*'Cálculos'!$D$98)/(('Cálculos'!$D$196+(($B$111)-$A107)*'Cálculos'!$D$98)+1400)+'Cálculos'!$D$123)*'Cálculos'!$D$223)+('Cálculos'!$D$185*(1+'Cálculos'!$D$187+$A107*('Cálculos'!$D$290=1)*'Cálculos'!$D$97+'Cálculos'!$D$305)+'Cálculos'!$D$192)*('Cálculos'!$D$224+'Cálculos'!$D$124*(1+2.78*('Cálculos'!$D$197+(($B$111)-$A107)*'Cálculos'!$D$98)/(('Cálculos'!$D$197+(($B$111)-$A107)*'Cálculos'!$D$98)+1400)+'Cálculos'!$D$122)*'Cálculos'!$D$229+'Cálculos'!$D$125*(1+2.78*('Cálculos'!$D$197+(($B$111)-$A107)*'Cálculos'!$D$98)/(('Cálculos'!$D$197+(($B$111)-$A107)*'Cálculos'!$D$98)+1400)+'Cálculos'!$D$123)*'Cálculos'!$D$234)+('Cálculos'!$D$197+(($B$111)-$A107)*'Cálculos'!$D$98)*('Cálculos'!$D$225+'Cálculos'!$D$124*(1+2.78*('Cálculos'!$D$197+(($B$111)-$A107)*'Cálculos'!$D$98)/(('Cálculos'!$D$197+(($B$111)-$A107)*'Cálculos'!$D$98)+1400)+'Cálculos'!$D$122)*'Cálculos'!$D$230+'Cálculos'!$D$125*(1+2.78*('Cálculos'!$D$197+(($B$111)-$A107)*'Cálculos'!$D$98)/(('Cálculos'!$D$197+(($B$111)-$A107)*'Cálculos'!$D$98)+1400)+'Cálculos'!$D$123)*'Cálculos'!$D$235)+('Cálculos'!$D$201*(1+'Cálculos'!$D$202+$A107*('Cálculos'!$D$290=2)*'Cálculos'!$D$101)+'Cálculos'!$D$203)*('Cálculos'!$D$226+'Cálculos'!$D$124*(1+2.78*('Cálculos'!$D$197+(($B$111)-$A107)*'Cálculos'!$D$98)/(('Cálculos'!$D$197+(($B$111)-$A107)*'Cálculos'!$D$98)+1400)+'Cálculos'!$D$122)*'Cálculos'!$D$231+'Cálculos'!$D$125*(1+2.78*('Cálculos'!$D$197+(($B$111)-$A107)*'Cálculos'!$D$98)/(('Cálculos'!$D$197+(($B$111)-$A107)*'Cálculos'!$D$98)+1400)+'Cálculos'!$D$123)*'Cálculos'!$D$236)+('Cálculos'!$D$204*(1+'Cálculos'!$D$205+$A107*('Cálculos'!$D$290=3)*'Cálculos'!$D$103)+'Cálculos'!$D$206)*('Cálculos'!$D$227+'Cálculos'!$D$124*(1+2.78*('Cálculos'!$D$197+(($B$111)-$A107)*'Cálculos'!$D$98)/(('Cálculos'!$D$197+(($B$111)-$A107)*'Cálculos'!$D$98)+1400)+'Cálculos'!$D$122)*'Cálculos'!$D$232+'Cálculos'!$D$125*(1+2.78*('Cálculos'!$D$197+(($B$111)-$A107)*'Cálculos'!$D$98)/(('Cálculos'!$D$197+(($B$111)-$A107)*'Cálculos'!$D$98)+1400)+'Cálculos'!$D$123)*'Cálculos'!$D$237)+('Cálculos'!$D$228+'Cálculos'!$D$124*(1+2.78*('Cálculos'!$D$197+(($B$111)-$A107)*'Cálculos'!$D$98)/(('Cálculos'!$D$197+(($B$111)-$A107)*'Cálculos'!$D$98)+1400)+'Cálculos'!$D$122)*'Cálculos'!$D$233+'Cálculos'!$D$125*(1+2.78*('Cálculos'!$D$197+(($B$111)-$A107)*'Cálculos'!$D$98)/(('Cálculos'!$D$197+(($B$111)-$A107)*'Cálculos'!$D$98)+1400)+'Cálculos'!$D$123)*'Cálculos'!$D$238)+('Cálculos'!$D$185*(1+'Cálculos'!$D$188+$A107*('Cálculos'!$D$290=1)*'Cálculos'!$D$97+'Cálculos'!$D$305)+'Cálculos'!$D$193)*('Cálculos'!$D$239+'Cálculos'!$D$124*(1+2.78*('Cálculos'!$D$198+(($B$111)-$A107)*'Cálculos'!$D$98)/(('Cálculos'!$D$198+(($B$111)-$A107)*'Cálculos'!$D$98)+1400)+'Cálculos'!$D$122)*'Cálculos'!$D$244+'Cálculos'!$D$125*(1+2.78*('Cálculos'!$D$198+(($B$111)-$A107)*'Cálculos'!$D$98)/(('Cálculos'!$D$198+(($B$111)-$A107)*'Cálculos'!$D$98)+1400)+'Cálculos'!$D$123)*'Cálculos'!$D$249)+('Cálculos'!$D$198+(($B$111)-$A107)*'Cálculos'!$D$98)*('Cálculos'!$D$240+'Cálculos'!$D$124*(1+2.78*('Cálculos'!$D$198+(($B$111)-$A107)*'Cálculos'!$D$98)/(('Cálculos'!$D$198+(($B$111)-$A107)*'Cálculos'!$D$98)+1400)+'Cálculos'!$D$122)*'Cálculos'!$D$245+'Cálculos'!$D$125*(1+2.78*('Cálculos'!$D$198+(($B$111)-$A107)*'Cálculos'!$D$98)/(('Cálculos'!$D$198+(($B$111)-$A107)*'Cálculos'!$D$98)+1400)+'Cálculos'!$D$123)*'Cálculos'!$D$250)+('Cálculos'!$D$201*(1+'Cálculos'!$D$202+$A107*('Cálculos'!$D$290=2)*'Cálculos'!$D$101)+'Cálculos'!$D$203)*('Cálculos'!$D$241+'Cálculos'!$D$124*(1+2.78*('Cálculos'!$D$198+(($B$111)-$A107)*'Cálculos'!$D$98)/(('Cálculos'!$D$198+(($B$111)-$A107)*'Cálculos'!$D$98)+1400)+'Cálculos'!$D$122)*'Cálculos'!$D$246+'Cálculos'!$D$125*(1+2.78*('Cálculos'!$D$198+(($B$111)-$A107)*'Cálculos'!$D$98)/(('Cálculos'!$D$198+(($B$111)-$A107)*'Cálculos'!$D$98)+1400)+'Cálculos'!$D$123)*'Cálculos'!$D$251)+('Cálculos'!$D$204*(1+'Cálculos'!$D$205+$A107*('Cálculos'!$D$290=3)*'Cálculos'!$D$103)+'Cálculos'!$D$206)*('Cálculos'!$D$242+'Cálculos'!$D$124*(1+2.78*('Cálculos'!$D$198+(($B$111)-$A107)*'Cálculos'!$D$98)/(('Cálculos'!$D$198+(($B$111)-$A107)*'Cálculos'!$D$98)+1400)+'Cálculos'!$D$122)*'Cálculos'!$D$247+'Cálculos'!$D$125*(1+2.78*('Cálculos'!$D$198+(($B$111)-$A107)*'Cálculos'!$D$98)/(('Cálculos'!$D$198+(($B$111)-$A107)*'Cálculos'!$D$98)+1400)+'Cálculos'!$D$123)*'Cálculos'!$D$252)+('Cálculos'!$D$243+'Cálculos'!$D$124*(1+2.78*('Cálculos'!$D$198+(($B$111)-$A107)*'Cálculos'!$D$98)/(('Cálculos'!$D$198+(($B$111)-$A107)*'Cálculos'!$D$98)+1400)+'Cálculos'!$D$122)*'Cálculos'!$D$248+'Cálculos'!$D$125*(1+2.78*('Cálculos'!$D$198+(($B$111)-$A107)*'Cálculos'!$D$98)/(('Cálculos'!$D$198+(($B$111)-$A107)*'Cálculos'!$D$98)+1400)+'Cálculos'!$D$123)*'Cálculos'!$D$253)+('Cálculos'!$D$185*(1+'Cálculos'!$D$189+$A107*('Cálculos'!$D$290=1)*'Cálculos'!$D$97+'Cálculos'!$D$305)+'Cálculos'!$D$194)*('Cálculos'!$D$254+'Cálculos'!$D$124*(1+2.78*('Cálculos'!$D$199+(($B$111)-$A107)*'Cálculos'!$D$98)/(('Cálculos'!$D$199+(($B$111)-$A107)*'Cálculos'!$D$98)+1400)+'Cálculos'!$D$122)*'Cálculos'!$D$259+'Cálculos'!$D$125*(1+2.78*('Cálculos'!$D$199+(($B$111)-$A107)*'Cálculos'!$D$98)/(('Cálculos'!$D$199+(($B$111)-$A107)*'Cálculos'!$D$98)+1400)+'Cálculos'!$D$123)*'Cálculos'!$D$264)+('Cálculos'!$D$199+(($B$111)-$A107)*'Cálculos'!$D$98)*('Cálculos'!$D$255+'Cálculos'!$D$124*(1+2.78*('Cálculos'!$D$199+(($B$111)-$A107)*'Cálculos'!$D$98)/(('Cálculos'!$D$199+(($B$111)-$A107)*'Cálculos'!$D$98)+1400)+'Cálculos'!$D$122)*'Cálculos'!$D$260+'Cálculos'!$D$125*(1+2.78*('Cálculos'!$D$199+(($B$111)-$A107)*'Cálculos'!$D$98)/(('Cálculos'!$D$199+(($B$111)-$A107)*'Cálculos'!$D$98)+1400)+'Cálculos'!$D$123)*'Cálculos'!$D$265)+('Cálculos'!$D$201*(1+'Cálculos'!$D$202+$A107*('Cálculos'!$D$290=2)*'Cálculos'!$D$101)+'Cálculos'!$D$203)*('Cálculos'!$D$256+'Cálculos'!$D$124*(1+2.78*('Cálculos'!$D$199+(($B$111)-$A107)*'Cálculos'!$D$98)/(('Cálculos'!$D$199+(($B$111)-$A107)*'Cálculos'!$D$98)+1400)+'Cálculos'!$D$122)*'Cálculos'!$D$261+'Cálculos'!$D$125*(1+2.78*('Cálculos'!$D$199+(($B$111)-$A107)*'Cálculos'!$D$98)/(('Cálculos'!$D$199+(($B$111)-$A107)*'Cálculos'!$D$98)+1400)+'Cálculos'!$D$123)*'Cálculos'!$D$266)+('Cálculos'!$D$204*(1+'Cálculos'!$D$205+$A107*('Cálculos'!$D$290=3)*'Cálculos'!$D$103)+'Cálculos'!$D$206)*('Cálculos'!$D$257+'Cálculos'!$D$124*(1+2.78*('Cálculos'!$D$199+(($B$111)-$A107)*'Cálculos'!$D$98)/(('Cálculos'!$D$199+(($B$111)-$A107)*'Cálculos'!$D$98)+1400)+'Cálculos'!$D$122)*'Cálculos'!$D$262+'Cálculos'!$D$125*(1+2.78*('Cálculos'!$D$199+(($B$111)-$A107)*'Cálculos'!$D$98)/(('Cálculos'!$D$199+(($B$111)-$A107)*'Cálculos'!$D$98)+1400)+'Cálculos'!$D$123)*'Cálculos'!$D$267)+('Cálculos'!$D$258+'Cálculos'!$D$124*(1+2.78*('Cálculos'!$D$199+(($B$111)-$A107)*'Cálculos'!$D$98)/(('Cálculos'!$D$199+(($B$111)-$A107)*'Cálculos'!$D$98)+1400)+'Cálculos'!$D$122)*'Cálculos'!$D$263+'Cálculos'!$D$125*(1+2.78*('Cálculos'!$D$199+(($B$111)-$A107)*'Cálculos'!$D$98)/(('Cálculos'!$D$199+(($B$111)-$A107)*'Cálculos'!$D$98)+1400)+'Cálculos'!$D$123)*'Cálculos'!$D$268)+('Cálculos'!$D$185*(1+'Cálculos'!$D$190+$A107*('Cálculos'!$D$290=1)*'Cálculos'!$D$97+'Cálculos'!$D$305)+'Cálculos'!$D$195)*('Cálculos'!$D$269+'Cálculos'!$D$124*(1+2.78*('Cálculos'!$D$200+(($B$111)-$A107)*'Cálculos'!$D$98)/(('Cálculos'!$D$200+(($B$111)-$A107)*'Cálculos'!$D$98)+1400)+'Cálculos'!$D$122)*'Cálculos'!$D$274+'Cálculos'!$D$125*(1+2.78*('Cálculos'!$D$200+(($B$111)-$A107)*'Cálculos'!$D$98)/(('Cálculos'!$D$200+(($B$111)-$A107)*'Cálculos'!$D$98)+1400)+'Cálculos'!$D$123)*'Cálculos'!$D$279)+('Cálculos'!$D$200+(($B$111)-$A107)*'Cálculos'!$D$98)*('Cálculos'!$D$270+'Cálculos'!$D$124*(1+2.78*('Cálculos'!$D$200+(($B$111)-$A107)*'Cálculos'!$D$98)/(('Cálculos'!$D$200+(($B$111)-$A107)*'Cálculos'!$D$98)+1400)+'Cálculos'!$D$122)*'Cálculos'!$D$275+'Cálculos'!$D$125*(1+2.78*('Cálculos'!$D$200+(($B$111)-$A107)*'Cálculos'!$D$98)/(('Cálculos'!$D$200+(($B$111)-$A107)*'Cálculos'!$D$98)+1400)+'Cálculos'!$D$123)*'Cálculos'!$D$280)+('Cálculos'!$D$201*(1+'Cálculos'!$D$202+$A107*('Cálculos'!$D$290=2)*'Cálculos'!$D$101)+'Cálculos'!$D$203)*('Cálculos'!$D$271+'Cálculos'!$D$124*(1+2.78*('Cálculos'!$D$200+(($B$111)-$A107)*'Cálculos'!$D$98)/(('Cálculos'!$D$200+(($B$111)-$A107)*'Cálculos'!$D$98)+1400)+'Cálculos'!$D$122)*'Cálculos'!$D$276+'Cálculos'!$D$125*(1+2.78*('Cálculos'!$D$200+(($B$111)-$A107)*'Cálculos'!$D$98)/(('Cálculos'!$D$200+(($B$111)-$A107)*'Cálculos'!$D$98)+1400)+'Cálculos'!$D$123)*'Cálculos'!$D$281)+('Cálculos'!$D$204*(1+'Cálculos'!$D$205+$A107*('Cálculos'!$D$290=3)*'Cálculos'!$D$103)+'Cálculos'!$D$206)*('Cálculos'!$D$272+'Cálculos'!$D$124*(1+2.78*('Cálculos'!$D$200+(($B$111)-$A107)*'Cálculos'!$D$98)/(('Cálculos'!$D$200+(($B$111)-$A107)*'Cálculos'!$D$98)+1400)+'Cálculos'!$D$122)*'Cálculos'!$D$277+'Cálculos'!$D$125*(1+2.78*('Cálculos'!$D$200+(($B$111)-$A107)*'Cálculos'!$D$98)/(('Cálculos'!$D$200+(($B$111)-$A107)*'Cálculos'!$D$98)+1400)+'Cálculos'!$D$123)*'Cálculos'!$D$282)+('Cálculos'!$D$273+'Cálculos'!$D$124*(1+2.78*('Cálculos'!$D$200+(($B$111)-$A107)*'Cálculos'!$D$98)/(('Cálculos'!$D$200+(($B$111)-$A107)*'Cálculos'!$D$98)+1400)+'Cálculos'!$D$122)*'Cálculos'!$D$278+'Cálculos'!$D$125*(1+2.78*('Cálculos'!$D$200+(($B$111)-$A107)*'Cálculos'!$D$98)/(('Cálculos'!$D$200+(($B$111)-$A107)*'Cálculos'!$D$98)+1400)+'Cálculos'!$D$123)*'Cálculos'!$D$283)))</f>
        <v>0</v>
      </c>
    </row>
    <row r="108" ht="15.75" customHeight="1">
      <c r="A108" s="2">
        <v>45.0</v>
      </c>
      <c r="B108" s="30">
        <f>SUMPRODUCT(MAX(($A$63:$A$108&lt;=$A108)*($A$63:$A$108&lt;='Cálculos'!$D$294)*(($A108)-$A$63:$A$108&lt;='Cálculos'!$D$295)*(1+(('Cálculos'!$D$207+$A$63:$A$108*'Cálculos'!$D$95)-(('Cálculos'!$D$207+$A$63:$A$108*'Cálculos'!$D$95)&gt;1)*(('Cálculos'!$D$207+$A$63:$A$108*'Cálculos'!$D$95)-1))*('Cálculos'!$D$208+(($A108)-$A$63:$A$108)*'Cálculos'!$D$96))))</f>
        <v>0</v>
      </c>
      <c r="C108" s="2">
        <f>'Cálculos'!$D$303-$A108</f>
        <v>-34</v>
      </c>
      <c r="D108" s="31">
        <f>IF($C108&lt;0,0,SUMPRODUCT(MAX(($A$63:$A$108&lt;=$C108)*($A$63:$A$108&lt;='Cálculos'!$D$301)*(($C108)-$A$63:$A$108&lt;='Cálculos'!$D$297)*(('Cálculos'!$D$185*(1+'Cálculos'!$D$186+$A$63:$A$108*('Cálculos'!$D$290=1)*'Cálculos'!$D$97+'Cálculos'!$D$305)+'Cálculos'!$D$191)*('Cálculos'!$D$209+'Cálculos'!$D$124*(1+2.78*('Cálculos'!$D$196+(($C108)-$A$63:$A$108)*'Cálculos'!$D$98)/(('Cálculos'!$D$196+(($C108)-$A$63:$A$108)*'Cálculos'!$D$98)+1400)+'Cálculos'!$D$122)*'Cálculos'!$D$214+'Cálculos'!$D$125*(1+2.78*('Cálculos'!$D$196+(($C108)-$A$63:$A$108)*'Cálculos'!$D$98)/(('Cálculos'!$D$196+(($C108)-$A$63:$A$108)*'Cálculos'!$D$98)+1400)+'Cálculos'!$D$123)*'Cálculos'!$D$219)+('Cálculos'!$D$196+(($C108)-$A$63:$A$108)*'Cálculos'!$D$98)*('Cálculos'!$D$210+'Cálculos'!$D$124*(1+2.78*('Cálculos'!$D$196+(($C108)-$A$63:$A$108)*'Cálculos'!$D$98)/(('Cálculos'!$D$196+(($C108)-$A$63:$A$108)*'Cálculos'!$D$98)+1400)+'Cálculos'!$D$122)*'Cálculos'!$D$215+'Cálculos'!$D$125*(1+2.78*('Cálculos'!$D$196+(($C108)-$A$63:$A$108)*'Cálculos'!$D$98)/(('Cálculos'!$D$196+(($C108)-$A$63:$A$108)*'Cálculos'!$D$98)+1400)+'Cálculos'!$D$123)*'Cálculos'!$D$220)+('Cálculos'!$D$201*(1+'Cálculos'!$D$202+$A$63:$A$108*('Cálculos'!$D$290=2)*'Cálculos'!$D$101)+'Cálculos'!$D$203)*('Cálculos'!$D$211+'Cálculos'!$D$124*(1+2.78*('Cálculos'!$D$196+(($C108)-$A$63:$A$108)*'Cálculos'!$D$98)/(('Cálculos'!$D$196+(($C108)-$A$63:$A$108)*'Cálculos'!$D$98)+1400)+'Cálculos'!$D$122)*'Cálculos'!$D$216+'Cálculos'!$D$125*(1+2.78*('Cálculos'!$D$196+(($C108)-$A$63:$A$108)*'Cálculos'!$D$98)/(('Cálculos'!$D$196+(($C108)-$A$63:$A$108)*'Cálculos'!$D$98)+1400)+'Cálculos'!$D$123)*'Cálculos'!$D$221)+('Cálculos'!$D$204*(1+'Cálculos'!$D$205+$A$63:$A$108*('Cálculos'!$D$290=3)*'Cálculos'!$D$103)+'Cálculos'!$D$206)*('Cálculos'!$D$212+'Cálculos'!$D$124*(1+2.78*('Cálculos'!$D$196+(($C108)-$A$63:$A$108)*'Cálculos'!$D$98)/(('Cálculos'!$D$196+(($C108)-$A$63:$A$108)*'Cálculos'!$D$98)+1400)+'Cálculos'!$D$122)*'Cálculos'!$D$217+'Cálculos'!$D$125*(1+2.78*('Cálculos'!$D$196+(($C108)-$A$63:$A$108)*'Cálculos'!$D$98)/(('Cálculos'!$D$196+(($C108)-$A$63:$A$108)*'Cálculos'!$D$98)+1400)+'Cálculos'!$D$123)*'Cálculos'!$D$222)+('Cálculos'!$D$213+'Cálculos'!$D$124*(1+2.78*('Cálculos'!$D$196+(($C108)-$A$63:$A$108)*'Cálculos'!$D$98)/(('Cálculos'!$D$196+(($C108)-$A$63:$A$108)*'Cálculos'!$D$98)+1400)+'Cálculos'!$D$122)*'Cálculos'!$D$218+'Cálculos'!$D$125*(1+2.78*('Cálculos'!$D$196+(($C108)-$A$63:$A$108)*'Cálculos'!$D$98)/(('Cálculos'!$D$196+(($C108)-$A$63:$A$108)*'Cálculos'!$D$98)+1400)+'Cálculos'!$D$123)*'Cálculos'!$D$223)+('Cálculos'!$D$185*(1+'Cálculos'!$D$187+$A$63:$A$108*('Cálculos'!$D$290=1)*'Cálculos'!$D$97+'Cálculos'!$D$305)+'Cálculos'!$D$192)*('Cálculos'!$D$224+'Cálculos'!$D$124*(1+2.78*('Cálculos'!$D$197+(($C108)-$A$63:$A$108)*'Cálculos'!$D$98)/(('Cálculos'!$D$197+(($C108)-$A$63:$A$108)*'Cálculos'!$D$98)+1400)+'Cálculos'!$D$122)*'Cálculos'!$D$229+'Cálculos'!$D$125*(1+2.78*('Cálculos'!$D$197+(($C108)-$A$63:$A$108)*'Cálculos'!$D$98)/(('Cálculos'!$D$197+(($C108)-$A$63:$A$108)*'Cálculos'!$D$98)+1400)+'Cálculos'!$D$123)*'Cálculos'!$D$234)+('Cálculos'!$D$197+(($C108)-$A$63:$A$108)*'Cálculos'!$D$98)*('Cálculos'!$D$225+'Cálculos'!$D$124*(1+2.78*('Cálculos'!$D$197+(($C108)-$A$63:$A$108)*'Cálculos'!$D$98)/(('Cálculos'!$D$197+(($C108)-$A$63:$A$108)*'Cálculos'!$D$98)+1400)+'Cálculos'!$D$122)*'Cálculos'!$D$230+'Cálculos'!$D$125*(1+2.78*('Cálculos'!$D$197+(($C108)-$A$63:$A$108)*'Cálculos'!$D$98)/(('Cálculos'!$D$197+(($C108)-$A$63:$A$108)*'Cálculos'!$D$98)+1400)+'Cálculos'!$D$123)*'Cálculos'!$D$235)+('Cálculos'!$D$201*(1+'Cálculos'!$D$202+$A$63:$A$108*('Cálculos'!$D$290=2)*'Cálculos'!$D$101)+'Cálculos'!$D$203)*('Cálculos'!$D$226+'Cálculos'!$D$124*(1+2.78*('Cálculos'!$D$197+(($C108)-$A$63:$A$108)*'Cálculos'!$D$98)/(('Cálculos'!$D$197+(($C108)-$A$63:$A$108)*'Cálculos'!$D$98)+1400)+'Cálculos'!$D$122)*'Cálculos'!$D$231+'Cálculos'!$D$125*(1+2.78*('Cálculos'!$D$197+(($C108)-$A$63:$A$108)*'Cálculos'!$D$98)/(('Cálculos'!$D$197+(($C108)-$A$63:$A$108)*'Cálculos'!$D$98)+1400)+'Cálculos'!$D$123)*'Cálculos'!$D$236)+('Cálculos'!$D$204*(1+'Cálculos'!$D$205+$A$63:$A$108*('Cálculos'!$D$290=3)*'Cálculos'!$D$103)+'Cálculos'!$D$206)*('Cálculos'!$D$227+'Cálculos'!$D$124*(1+2.78*('Cálculos'!$D$197+(($C108)-$A$63:$A$108)*'Cálculos'!$D$98)/(('Cálculos'!$D$197+(($C108)-$A$63:$A$108)*'Cálculos'!$D$98)+1400)+'Cálculos'!$D$122)*'Cálculos'!$D$232+'Cálculos'!$D$125*(1+2.78*('Cálculos'!$D$197+(($C108)-$A$63:$A$108)*'Cálculos'!$D$98)/(('Cálculos'!$D$197+(($C108)-$A$63:$A$108)*'Cálculos'!$D$98)+1400)+'Cálculos'!$D$123)*'Cálculos'!$D$237)+('Cálculos'!$D$228+'Cálculos'!$D$124*(1+2.78*('Cálculos'!$D$197+(($C108)-$A$63:$A$108)*'Cálculos'!$D$98)/(('Cálculos'!$D$197+(($C108)-$A$63:$A$108)*'Cálculos'!$D$98)+1400)+'Cálculos'!$D$122)*'Cálculos'!$D$233+'Cálculos'!$D$125*(1+2.78*('Cálculos'!$D$197+(($C108)-$A$63:$A$108)*'Cálculos'!$D$98)/(('Cálculos'!$D$197+(($C108)-$A$63:$A$108)*'Cálculos'!$D$98)+1400)+'Cálculos'!$D$123)*'Cálculos'!$D$238)+('Cálculos'!$D$185*(1+'Cálculos'!$D$188+$A$63:$A$108*('Cálculos'!$D$290=1)*'Cálculos'!$D$97+'Cálculos'!$D$305)+'Cálculos'!$D$193)*('Cálculos'!$D$239+'Cálculos'!$D$124*(1+2.78*('Cálculos'!$D$198+(($C108)-$A$63:$A$108)*'Cálculos'!$D$98)/(('Cálculos'!$D$198+(($C108)-$A$63:$A$108)*'Cálculos'!$D$98)+1400)+'Cálculos'!$D$122)*'Cálculos'!$D$244+'Cálculos'!$D$125*(1+2.78*('Cálculos'!$D$198+(($C108)-$A$63:$A$108)*'Cálculos'!$D$98)/(('Cálculos'!$D$198+(($C108)-$A$63:$A$108)*'Cálculos'!$D$98)+1400)+'Cálculos'!$D$123)*'Cálculos'!$D$249)+('Cálculos'!$D$198+(($C108)-$A$63:$A$108)*'Cálculos'!$D$98)*('Cálculos'!$D$240+'Cálculos'!$D$124*(1+2.78*('Cálculos'!$D$198+(($C108)-$A$63:$A$108)*'Cálculos'!$D$98)/(('Cálculos'!$D$198+(($C108)-$A$63:$A$108)*'Cálculos'!$D$98)+1400)+'Cálculos'!$D$122)*'Cálculos'!$D$245+'Cálculos'!$D$125*(1+2.78*('Cálculos'!$D$198+(($C108)-$A$63:$A$108)*'Cálculos'!$D$98)/(('Cálculos'!$D$198+(($C108)-$A$63:$A$108)*'Cálculos'!$D$98)+1400)+'Cálculos'!$D$123)*'Cálculos'!$D$250)+('Cálculos'!$D$201*(1+'Cálculos'!$D$202+$A$63:$A$108*('Cálculos'!$D$290=2)*'Cálculos'!$D$101)+'Cálculos'!$D$203)*('Cálculos'!$D$241+'Cálculos'!$D$124*(1+2.78*('Cálculos'!$D$198+(($C108)-$A$63:$A$108)*'Cálculos'!$D$98)/(('Cálculos'!$D$198+(($C108)-$A$63:$A$108)*'Cálculos'!$D$98)+1400)+'Cálculos'!$D$122)*'Cálculos'!$D$246+'Cálculos'!$D$125*(1+2.78*('Cálculos'!$D$198+(($C108)-$A$63:$A$108)*'Cálculos'!$D$98)/(('Cálculos'!$D$198+(($C108)-$A$63:$A$108)*'Cálculos'!$D$98)+1400)+'Cálculos'!$D$123)*'Cálculos'!$D$251)+('Cálculos'!$D$204*(1+'Cálculos'!$D$205+$A$63:$A$108*('Cálculos'!$D$290=3)*'Cálculos'!$D$103)+'Cálculos'!$D$206)*('Cálculos'!$D$242+'Cálculos'!$D$124*(1+2.78*('Cálculos'!$D$198+(($C108)-$A$63:$A$108)*'Cálculos'!$D$98)/(('Cálculos'!$D$198+(($C108)-$A$63:$A$108)*'Cálculos'!$D$98)+1400)+'Cálculos'!$D$122)*'Cálculos'!$D$247+'Cálculos'!$D$125*(1+2.78*('Cálculos'!$D$198+(($C108)-$A$63:$A$108)*'Cálculos'!$D$98)/(('Cálculos'!$D$198+(($C108)-$A$63:$A$108)*'Cálculos'!$D$98)+1400)+'Cálculos'!$D$123)*'Cálculos'!$D$252)+('Cálculos'!$D$243+'Cálculos'!$D$124*(1+2.78*('Cálculos'!$D$198+(($C108)-$A$63:$A$108)*'Cálculos'!$D$98)/(('Cálculos'!$D$198+(($C108)-$A$63:$A$108)*'Cálculos'!$D$98)+1400)+'Cálculos'!$D$122)*'Cálculos'!$D$248+'Cálculos'!$D$125*(1+2.78*('Cálculos'!$D$198+(($C108)-$A$63:$A$108)*'Cálculos'!$D$98)/(('Cálculos'!$D$198+(($C108)-$A$63:$A$108)*'Cálculos'!$D$98)+1400)+'Cálculos'!$D$123)*'Cálculos'!$D$253)+('Cálculos'!$D$185*(1+'Cálculos'!$D$189+$A$63:$A$108*('Cálculos'!$D$290=1)*'Cálculos'!$D$97+'Cálculos'!$D$305)+'Cálculos'!$D$194)*('Cálculos'!$D$254+'Cálculos'!$D$124*(1+2.78*('Cálculos'!$D$199+(($C108)-$A$63:$A$108)*'Cálculos'!$D$98)/(('Cálculos'!$D$199+(($C108)-$A$63:$A$108)*'Cálculos'!$D$98)+1400)+'Cálculos'!$D$122)*'Cálculos'!$D$259+'Cálculos'!$D$125*(1+2.78*('Cálculos'!$D$199+(($C108)-$A$63:$A$108)*'Cálculos'!$D$98)/(('Cálculos'!$D$199+(($C108)-$A$63:$A$108)*'Cálculos'!$D$98)+1400)+'Cálculos'!$D$123)*'Cálculos'!$D$264)+('Cálculos'!$D$199+(($C108)-$A$63:$A$108)*'Cálculos'!$D$98)*('Cálculos'!$D$255+'Cálculos'!$D$124*(1+2.78*('Cálculos'!$D$199+(($C108)-$A$63:$A$108)*'Cálculos'!$D$98)/(('Cálculos'!$D$199+(($C108)-$A$63:$A$108)*'Cálculos'!$D$98)+1400)+'Cálculos'!$D$122)*'Cálculos'!$D$260+'Cálculos'!$D$125*(1+2.78*('Cálculos'!$D$199+(($C108)-$A$63:$A$108)*'Cálculos'!$D$98)/(('Cálculos'!$D$199+(($C108)-$A$63:$A$108)*'Cálculos'!$D$98)+1400)+'Cálculos'!$D$123)*'Cálculos'!$D$265)+('Cálculos'!$D$201*(1+'Cálculos'!$D$202+$A$63:$A$108*('Cálculos'!$D$290=2)*'Cálculos'!$D$101)+'Cálculos'!$D$203)*('Cálculos'!$D$256+'Cálculos'!$D$124*(1+2.78*('Cálculos'!$D$199+(($C108)-$A$63:$A$108)*'Cálculos'!$D$98)/(('Cálculos'!$D$199+(($C108)-$A$63:$A$108)*'Cálculos'!$D$98)+1400)+'Cálculos'!$D$122)*'Cálculos'!$D$261+'Cálculos'!$D$125*(1+2.78*('Cálculos'!$D$199+(($C108)-$A$63:$A$108)*'Cálculos'!$D$98)/(('Cálculos'!$D$199+(($C108)-$A$63:$A$108)*'Cálculos'!$D$98)+1400)+'Cálculos'!$D$123)*'Cálculos'!$D$266)+('Cálculos'!$D$204*(1+'Cálculos'!$D$205+$A$63:$A$108*('Cálculos'!$D$290=3)*'Cálculos'!$D$103)+'Cálculos'!$D$206)*('Cálculos'!$D$257+'Cálculos'!$D$124*(1+2.78*('Cálculos'!$D$199+(($C108)-$A$63:$A$108)*'Cálculos'!$D$98)/(('Cálculos'!$D$199+(($C108)-$A$63:$A$108)*'Cálculos'!$D$98)+1400)+'Cálculos'!$D$122)*'Cálculos'!$D$262+'Cálculos'!$D$125*(1+2.78*('Cálculos'!$D$199+(($C108)-$A$63:$A$108)*'Cálculos'!$D$98)/(('Cálculos'!$D$199+(($C108)-$A$63:$A$108)*'Cálculos'!$D$98)+1400)+'Cálculos'!$D$123)*'Cálculos'!$D$267)+('Cálculos'!$D$258+'Cálculos'!$D$124*(1+2.78*('Cálculos'!$D$199+(($C108)-$A$63:$A$108)*'Cálculos'!$D$98)/(('Cálculos'!$D$199+(($C108)-$A$63:$A$108)*'Cálculos'!$D$98)+1400)+'Cálculos'!$D$122)*'Cálculos'!$D$263+'Cálculos'!$D$125*(1+2.78*('Cálculos'!$D$199+(($C108)-$A$63:$A$108)*'Cálculos'!$D$98)/(('Cálculos'!$D$199+(($C108)-$A$63:$A$108)*'Cálculos'!$D$98)+1400)+'Cálculos'!$D$123)*'Cálculos'!$D$268)+('Cálculos'!$D$185*(1+'Cálculos'!$D$190+$A$63:$A$108*('Cálculos'!$D$290=1)*'Cálculos'!$D$97+'Cálculos'!$D$305)+'Cálculos'!$D$195)*('Cálculos'!$D$269+'Cálculos'!$D$124*(1+2.78*('Cálculos'!$D$200+(($C108)-$A$63:$A$108)*'Cálculos'!$D$98)/(('Cálculos'!$D$200+(($C108)-$A$63:$A$108)*'Cálculos'!$D$98)+1400)+'Cálculos'!$D$122)*'Cálculos'!$D$274+'Cálculos'!$D$125*(1+2.78*('Cálculos'!$D$200+(($C108)-$A$63:$A$108)*'Cálculos'!$D$98)/(('Cálculos'!$D$200+(($C108)-$A$63:$A$108)*'Cálculos'!$D$98)+1400)+'Cálculos'!$D$123)*'Cálculos'!$D$279)+('Cálculos'!$D$200+(($C108)-$A$63:$A$108)*'Cálculos'!$D$98)*('Cálculos'!$D$270+'Cálculos'!$D$124*(1+2.78*('Cálculos'!$D$200+(($C108)-$A$63:$A$108)*'Cálculos'!$D$98)/(('Cálculos'!$D$200+(($C108)-$A$63:$A$108)*'Cálculos'!$D$98)+1400)+'Cálculos'!$D$122)*'Cálculos'!$D$275+'Cálculos'!$D$125*(1+2.78*('Cálculos'!$D$200+(($C108)-$A$63:$A$108)*'Cálculos'!$D$98)/(('Cálculos'!$D$200+(($C108)-$A$63:$A$108)*'Cálculos'!$D$98)+1400)+'Cálculos'!$D$123)*'Cálculos'!$D$280)+('Cálculos'!$D$201*(1+'Cálculos'!$D$202+$A$63:$A$108*('Cálculos'!$D$290=2)*'Cálculos'!$D$101)+'Cálculos'!$D$203)*('Cálculos'!$D$271+'Cálculos'!$D$124*(1+2.78*('Cálculos'!$D$200+(($C108)-$A$63:$A$108)*'Cálculos'!$D$98)/(('Cálculos'!$D$200+(($C108)-$A$63:$A$108)*'Cálculos'!$D$98)+1400)+'Cálculos'!$D$122)*'Cálculos'!$D$276+'Cálculos'!$D$125*(1+2.78*('Cálculos'!$D$200+(($C108)-$A$63:$A$108)*'Cálculos'!$D$98)/(('Cálculos'!$D$200+(($C108)-$A$63:$A$108)*'Cálculos'!$D$98)+1400)+'Cálculos'!$D$123)*'Cálculos'!$D$281)+('Cálculos'!$D$204*(1+'Cálculos'!$D$205+$A$63:$A$108*('Cálculos'!$D$290=3)*'Cálculos'!$D$103)+'Cálculos'!$D$206)*('Cálculos'!$D$272+'Cálculos'!$D$124*(1+2.78*('Cálculos'!$D$200+(($C108)-$A$63:$A$108)*'Cálculos'!$D$98)/(('Cálculos'!$D$200+(($C108)-$A$63:$A$108)*'Cálculos'!$D$98)+1400)+'Cálculos'!$D$122)*'Cálculos'!$D$277+'Cálculos'!$D$125*(1+2.78*('Cálculos'!$D$200+(($C108)-$A$63:$A$108)*'Cálculos'!$D$98)/(('Cálculos'!$D$200+(($C108)-$A$63:$A$108)*'Cálculos'!$D$98)+1400)+'Cálculos'!$D$123)*'Cálculos'!$D$282)+('Cálculos'!$D$273+'Cálculos'!$D$124*(1+2.78*('Cálculos'!$D$200+(($C108)-$A$63:$A$108)*'Cálculos'!$D$98)/(('Cálculos'!$D$200+(($C108)-$A$63:$A$108)*'Cálculos'!$D$98)+1400)+'Cálculos'!$D$122)*'Cálculos'!$D$278+'Cálculos'!$D$125*(1+2.78*('Cálculos'!$D$200+(($C108)-$A$63:$A$108)*'Cálculos'!$D$98)/(('Cálculos'!$D$200+(($C108)-$A$63:$A$108)*'Cálculos'!$D$98)+1400)+'Cálculos'!$D$123)*'Cálculos'!$D$283)))))</f>
        <v>0</v>
      </c>
      <c r="E108" s="32">
        <f>IF(OR($C108&lt;0,'Cálculos'!$D$6=""),0,$B108*$D108)</f>
        <v>0</v>
      </c>
      <c r="F108" s="2"/>
      <c r="G108" s="30">
        <f>($A108&lt;=$B$110)*($A108&lt;='Cálculos'!$D$294)*(($B$110)-$A108&lt;='Cálculos'!$D$295)*(1+MIN(('Cálculos'!$D$207+$A108*'Cálculos'!$D$95),1)*('Cálculos'!$D$208+(($B$110)-$A108)*'Cálculos'!$D$96))</f>
        <v>0</v>
      </c>
      <c r="H108" s="31">
        <f>IF($B$111&lt;0,0,($A108&lt;=$B$111)*($A108&lt;='Cálculos'!$D$301)*(($B$111)-$A108&lt;='Cálculos'!$D$297)*(('Cálculos'!$D$185*(1+'Cálculos'!$D$186+$A108*('Cálculos'!$D$290=1)*'Cálculos'!$D$97+'Cálculos'!$D$305)+'Cálculos'!$D$191)*('Cálculos'!$D$209+'Cálculos'!$D$124*(1+2.78*('Cálculos'!$D$196+(($B$111)-$A108)*'Cálculos'!$D$98)/(('Cálculos'!$D$196+(($B$111)-$A108)*'Cálculos'!$D$98)+1400)+'Cálculos'!$D$122)*'Cálculos'!$D$214+'Cálculos'!$D$125*(1+2.78*('Cálculos'!$D$196+(($B$111)-$A108)*'Cálculos'!$D$98)/(('Cálculos'!$D$196+(($B$111)-$A108)*'Cálculos'!$D$98)+1400)+'Cálculos'!$D$123)*'Cálculos'!$D$219)+('Cálculos'!$D$196+(($B$111)-$A108)*'Cálculos'!$D$98)*('Cálculos'!$D$210+'Cálculos'!$D$124*(1+2.78*('Cálculos'!$D$196+(($B$111)-$A108)*'Cálculos'!$D$98)/(('Cálculos'!$D$196+(($B$111)-$A108)*'Cálculos'!$D$98)+1400)+'Cálculos'!$D$122)*'Cálculos'!$D$215+'Cálculos'!$D$125*(1+2.78*('Cálculos'!$D$196+(($B$111)-$A108)*'Cálculos'!$D$98)/(('Cálculos'!$D$196+(($B$111)-$A108)*'Cálculos'!$D$98)+1400)+'Cálculos'!$D$123)*'Cálculos'!$D$220)+('Cálculos'!$D$201*(1+'Cálculos'!$D$202+$A108*('Cálculos'!$D$290=2)*'Cálculos'!$D$101)+'Cálculos'!$D$203)*('Cálculos'!$D$211+'Cálculos'!$D$124*(1+2.78*('Cálculos'!$D$196+(($B$111)-$A108)*'Cálculos'!$D$98)/(('Cálculos'!$D$196+(($B$111)-$A108)*'Cálculos'!$D$98)+1400)+'Cálculos'!$D$122)*'Cálculos'!$D$216+'Cálculos'!$D$125*(1+2.78*('Cálculos'!$D$196+(($B$111)-$A108)*'Cálculos'!$D$98)/(('Cálculos'!$D$196+(($B$111)-$A108)*'Cálculos'!$D$98)+1400)+'Cálculos'!$D$123)*'Cálculos'!$D$221)+('Cálculos'!$D$204*(1+'Cálculos'!$D$205+$A108*('Cálculos'!$D$290=3)*'Cálculos'!$D$103)+'Cálculos'!$D$206)*('Cálculos'!$D$212+'Cálculos'!$D$124*(1+2.78*('Cálculos'!$D$196+(($B$111)-$A108)*'Cálculos'!$D$98)/(('Cálculos'!$D$196+(($B$111)-$A108)*'Cálculos'!$D$98)+1400)+'Cálculos'!$D$122)*'Cálculos'!$D$217+'Cálculos'!$D$125*(1+2.78*('Cálculos'!$D$196+(($B$111)-$A108)*'Cálculos'!$D$98)/(('Cálculos'!$D$196+(($B$111)-$A108)*'Cálculos'!$D$98)+1400)+'Cálculos'!$D$123)*'Cálculos'!$D$222)+('Cálculos'!$D$213+'Cálculos'!$D$124*(1+2.78*('Cálculos'!$D$196+(($B$111)-$A108)*'Cálculos'!$D$98)/(('Cálculos'!$D$196+(($B$111)-$A108)*'Cálculos'!$D$98)+1400)+'Cálculos'!$D$122)*'Cálculos'!$D$218+'Cálculos'!$D$125*(1+2.78*('Cálculos'!$D$196+(($B$111)-$A108)*'Cálculos'!$D$98)/(('Cálculos'!$D$196+(($B$111)-$A108)*'Cálculos'!$D$98)+1400)+'Cálculos'!$D$123)*'Cálculos'!$D$223)+('Cálculos'!$D$185*(1+'Cálculos'!$D$187+$A108*('Cálculos'!$D$290=1)*'Cálculos'!$D$97+'Cálculos'!$D$305)+'Cálculos'!$D$192)*('Cálculos'!$D$224+'Cálculos'!$D$124*(1+2.78*('Cálculos'!$D$197+(($B$111)-$A108)*'Cálculos'!$D$98)/(('Cálculos'!$D$197+(($B$111)-$A108)*'Cálculos'!$D$98)+1400)+'Cálculos'!$D$122)*'Cálculos'!$D$229+'Cálculos'!$D$125*(1+2.78*('Cálculos'!$D$197+(($B$111)-$A108)*'Cálculos'!$D$98)/(('Cálculos'!$D$197+(($B$111)-$A108)*'Cálculos'!$D$98)+1400)+'Cálculos'!$D$123)*'Cálculos'!$D$234)+('Cálculos'!$D$197+(($B$111)-$A108)*'Cálculos'!$D$98)*('Cálculos'!$D$225+'Cálculos'!$D$124*(1+2.78*('Cálculos'!$D$197+(($B$111)-$A108)*'Cálculos'!$D$98)/(('Cálculos'!$D$197+(($B$111)-$A108)*'Cálculos'!$D$98)+1400)+'Cálculos'!$D$122)*'Cálculos'!$D$230+'Cálculos'!$D$125*(1+2.78*('Cálculos'!$D$197+(($B$111)-$A108)*'Cálculos'!$D$98)/(('Cálculos'!$D$197+(($B$111)-$A108)*'Cálculos'!$D$98)+1400)+'Cálculos'!$D$123)*'Cálculos'!$D$235)+('Cálculos'!$D$201*(1+'Cálculos'!$D$202+$A108*('Cálculos'!$D$290=2)*'Cálculos'!$D$101)+'Cálculos'!$D$203)*('Cálculos'!$D$226+'Cálculos'!$D$124*(1+2.78*('Cálculos'!$D$197+(($B$111)-$A108)*'Cálculos'!$D$98)/(('Cálculos'!$D$197+(($B$111)-$A108)*'Cálculos'!$D$98)+1400)+'Cálculos'!$D$122)*'Cálculos'!$D$231+'Cálculos'!$D$125*(1+2.78*('Cálculos'!$D$197+(($B$111)-$A108)*'Cálculos'!$D$98)/(('Cálculos'!$D$197+(($B$111)-$A108)*'Cálculos'!$D$98)+1400)+'Cálculos'!$D$123)*'Cálculos'!$D$236)+('Cálculos'!$D$204*(1+'Cálculos'!$D$205+$A108*('Cálculos'!$D$290=3)*'Cálculos'!$D$103)+'Cálculos'!$D$206)*('Cálculos'!$D$227+'Cálculos'!$D$124*(1+2.78*('Cálculos'!$D$197+(($B$111)-$A108)*'Cálculos'!$D$98)/(('Cálculos'!$D$197+(($B$111)-$A108)*'Cálculos'!$D$98)+1400)+'Cálculos'!$D$122)*'Cálculos'!$D$232+'Cálculos'!$D$125*(1+2.78*('Cálculos'!$D$197+(($B$111)-$A108)*'Cálculos'!$D$98)/(('Cálculos'!$D$197+(($B$111)-$A108)*'Cálculos'!$D$98)+1400)+'Cálculos'!$D$123)*'Cálculos'!$D$237)+('Cálculos'!$D$228+'Cálculos'!$D$124*(1+2.78*('Cálculos'!$D$197+(($B$111)-$A108)*'Cálculos'!$D$98)/(('Cálculos'!$D$197+(($B$111)-$A108)*'Cálculos'!$D$98)+1400)+'Cálculos'!$D$122)*'Cálculos'!$D$233+'Cálculos'!$D$125*(1+2.78*('Cálculos'!$D$197+(($B$111)-$A108)*'Cálculos'!$D$98)/(('Cálculos'!$D$197+(($B$111)-$A108)*'Cálculos'!$D$98)+1400)+'Cálculos'!$D$123)*'Cálculos'!$D$238)+('Cálculos'!$D$185*(1+'Cálculos'!$D$188+$A108*('Cálculos'!$D$290=1)*'Cálculos'!$D$97+'Cálculos'!$D$305)+'Cálculos'!$D$193)*('Cálculos'!$D$239+'Cálculos'!$D$124*(1+2.78*('Cálculos'!$D$198+(($B$111)-$A108)*'Cálculos'!$D$98)/(('Cálculos'!$D$198+(($B$111)-$A108)*'Cálculos'!$D$98)+1400)+'Cálculos'!$D$122)*'Cálculos'!$D$244+'Cálculos'!$D$125*(1+2.78*('Cálculos'!$D$198+(($B$111)-$A108)*'Cálculos'!$D$98)/(('Cálculos'!$D$198+(($B$111)-$A108)*'Cálculos'!$D$98)+1400)+'Cálculos'!$D$123)*'Cálculos'!$D$249)+('Cálculos'!$D$198+(($B$111)-$A108)*'Cálculos'!$D$98)*('Cálculos'!$D$240+'Cálculos'!$D$124*(1+2.78*('Cálculos'!$D$198+(($B$111)-$A108)*'Cálculos'!$D$98)/(('Cálculos'!$D$198+(($B$111)-$A108)*'Cálculos'!$D$98)+1400)+'Cálculos'!$D$122)*'Cálculos'!$D$245+'Cálculos'!$D$125*(1+2.78*('Cálculos'!$D$198+(($B$111)-$A108)*'Cálculos'!$D$98)/(('Cálculos'!$D$198+(($B$111)-$A108)*'Cálculos'!$D$98)+1400)+'Cálculos'!$D$123)*'Cálculos'!$D$250)+('Cálculos'!$D$201*(1+'Cálculos'!$D$202+$A108*('Cálculos'!$D$290=2)*'Cálculos'!$D$101)+'Cálculos'!$D$203)*('Cálculos'!$D$241+'Cálculos'!$D$124*(1+2.78*('Cálculos'!$D$198+(($B$111)-$A108)*'Cálculos'!$D$98)/(('Cálculos'!$D$198+(($B$111)-$A108)*'Cálculos'!$D$98)+1400)+'Cálculos'!$D$122)*'Cálculos'!$D$246+'Cálculos'!$D$125*(1+2.78*('Cálculos'!$D$198+(($B$111)-$A108)*'Cálculos'!$D$98)/(('Cálculos'!$D$198+(($B$111)-$A108)*'Cálculos'!$D$98)+1400)+'Cálculos'!$D$123)*'Cálculos'!$D$251)+('Cálculos'!$D$204*(1+'Cálculos'!$D$205+$A108*('Cálculos'!$D$290=3)*'Cálculos'!$D$103)+'Cálculos'!$D$206)*('Cálculos'!$D$242+'Cálculos'!$D$124*(1+2.78*('Cálculos'!$D$198+(($B$111)-$A108)*'Cálculos'!$D$98)/(('Cálculos'!$D$198+(($B$111)-$A108)*'Cálculos'!$D$98)+1400)+'Cálculos'!$D$122)*'Cálculos'!$D$247+'Cálculos'!$D$125*(1+2.78*('Cálculos'!$D$198+(($B$111)-$A108)*'Cálculos'!$D$98)/(('Cálculos'!$D$198+(($B$111)-$A108)*'Cálculos'!$D$98)+1400)+'Cálculos'!$D$123)*'Cálculos'!$D$252)+('Cálculos'!$D$243+'Cálculos'!$D$124*(1+2.78*('Cálculos'!$D$198+(($B$111)-$A108)*'Cálculos'!$D$98)/(('Cálculos'!$D$198+(($B$111)-$A108)*'Cálculos'!$D$98)+1400)+'Cálculos'!$D$122)*'Cálculos'!$D$248+'Cálculos'!$D$125*(1+2.78*('Cálculos'!$D$198+(($B$111)-$A108)*'Cálculos'!$D$98)/(('Cálculos'!$D$198+(($B$111)-$A108)*'Cálculos'!$D$98)+1400)+'Cálculos'!$D$123)*'Cálculos'!$D$253)+('Cálculos'!$D$185*(1+'Cálculos'!$D$189+$A108*('Cálculos'!$D$290=1)*'Cálculos'!$D$97+'Cálculos'!$D$305)+'Cálculos'!$D$194)*('Cálculos'!$D$254+'Cálculos'!$D$124*(1+2.78*('Cálculos'!$D$199+(($B$111)-$A108)*'Cálculos'!$D$98)/(('Cálculos'!$D$199+(($B$111)-$A108)*'Cálculos'!$D$98)+1400)+'Cálculos'!$D$122)*'Cálculos'!$D$259+'Cálculos'!$D$125*(1+2.78*('Cálculos'!$D$199+(($B$111)-$A108)*'Cálculos'!$D$98)/(('Cálculos'!$D$199+(($B$111)-$A108)*'Cálculos'!$D$98)+1400)+'Cálculos'!$D$123)*'Cálculos'!$D$264)+('Cálculos'!$D$199+(($B$111)-$A108)*'Cálculos'!$D$98)*('Cálculos'!$D$255+'Cálculos'!$D$124*(1+2.78*('Cálculos'!$D$199+(($B$111)-$A108)*'Cálculos'!$D$98)/(('Cálculos'!$D$199+(($B$111)-$A108)*'Cálculos'!$D$98)+1400)+'Cálculos'!$D$122)*'Cálculos'!$D$260+'Cálculos'!$D$125*(1+2.78*('Cálculos'!$D$199+(($B$111)-$A108)*'Cálculos'!$D$98)/(('Cálculos'!$D$199+(($B$111)-$A108)*'Cálculos'!$D$98)+1400)+'Cálculos'!$D$123)*'Cálculos'!$D$265)+('Cálculos'!$D$201*(1+'Cálculos'!$D$202+$A108*('Cálculos'!$D$290=2)*'Cálculos'!$D$101)+'Cálculos'!$D$203)*('Cálculos'!$D$256+'Cálculos'!$D$124*(1+2.78*('Cálculos'!$D$199+(($B$111)-$A108)*'Cálculos'!$D$98)/(('Cálculos'!$D$199+(($B$111)-$A108)*'Cálculos'!$D$98)+1400)+'Cálculos'!$D$122)*'Cálculos'!$D$261+'Cálculos'!$D$125*(1+2.78*('Cálculos'!$D$199+(($B$111)-$A108)*'Cálculos'!$D$98)/(('Cálculos'!$D$199+(($B$111)-$A108)*'Cálculos'!$D$98)+1400)+'Cálculos'!$D$123)*'Cálculos'!$D$266)+('Cálculos'!$D$204*(1+'Cálculos'!$D$205+$A108*('Cálculos'!$D$290=3)*'Cálculos'!$D$103)+'Cálculos'!$D$206)*('Cálculos'!$D$257+'Cálculos'!$D$124*(1+2.78*('Cálculos'!$D$199+(($B$111)-$A108)*'Cálculos'!$D$98)/(('Cálculos'!$D$199+(($B$111)-$A108)*'Cálculos'!$D$98)+1400)+'Cálculos'!$D$122)*'Cálculos'!$D$262+'Cálculos'!$D$125*(1+2.78*('Cálculos'!$D$199+(($B$111)-$A108)*'Cálculos'!$D$98)/(('Cálculos'!$D$199+(($B$111)-$A108)*'Cálculos'!$D$98)+1400)+'Cálculos'!$D$123)*'Cálculos'!$D$267)+('Cálculos'!$D$258+'Cálculos'!$D$124*(1+2.78*('Cálculos'!$D$199+(($B$111)-$A108)*'Cálculos'!$D$98)/(('Cálculos'!$D$199+(($B$111)-$A108)*'Cálculos'!$D$98)+1400)+'Cálculos'!$D$122)*'Cálculos'!$D$263+'Cálculos'!$D$125*(1+2.78*('Cálculos'!$D$199+(($B$111)-$A108)*'Cálculos'!$D$98)/(('Cálculos'!$D$199+(($B$111)-$A108)*'Cálculos'!$D$98)+1400)+'Cálculos'!$D$123)*'Cálculos'!$D$268)+('Cálculos'!$D$185*(1+'Cálculos'!$D$190+$A108*('Cálculos'!$D$290=1)*'Cálculos'!$D$97+'Cálculos'!$D$305)+'Cálculos'!$D$195)*('Cálculos'!$D$269+'Cálculos'!$D$124*(1+2.78*('Cálculos'!$D$200+(($B$111)-$A108)*'Cálculos'!$D$98)/(('Cálculos'!$D$200+(($B$111)-$A108)*'Cálculos'!$D$98)+1400)+'Cálculos'!$D$122)*'Cálculos'!$D$274+'Cálculos'!$D$125*(1+2.78*('Cálculos'!$D$200+(($B$111)-$A108)*'Cálculos'!$D$98)/(('Cálculos'!$D$200+(($B$111)-$A108)*'Cálculos'!$D$98)+1400)+'Cálculos'!$D$123)*'Cálculos'!$D$279)+('Cálculos'!$D$200+(($B$111)-$A108)*'Cálculos'!$D$98)*('Cálculos'!$D$270+'Cálculos'!$D$124*(1+2.78*('Cálculos'!$D$200+(($B$111)-$A108)*'Cálculos'!$D$98)/(('Cálculos'!$D$200+(($B$111)-$A108)*'Cálculos'!$D$98)+1400)+'Cálculos'!$D$122)*'Cálculos'!$D$275+'Cálculos'!$D$125*(1+2.78*('Cálculos'!$D$200+(($B$111)-$A108)*'Cálculos'!$D$98)/(('Cálculos'!$D$200+(($B$111)-$A108)*'Cálculos'!$D$98)+1400)+'Cálculos'!$D$123)*'Cálculos'!$D$280)+('Cálculos'!$D$201*(1+'Cálculos'!$D$202+$A108*('Cálculos'!$D$290=2)*'Cálculos'!$D$101)+'Cálculos'!$D$203)*('Cálculos'!$D$271+'Cálculos'!$D$124*(1+2.78*('Cálculos'!$D$200+(($B$111)-$A108)*'Cálculos'!$D$98)/(('Cálculos'!$D$200+(($B$111)-$A108)*'Cálculos'!$D$98)+1400)+'Cálculos'!$D$122)*'Cálculos'!$D$276+'Cálculos'!$D$125*(1+2.78*('Cálculos'!$D$200+(($B$111)-$A108)*'Cálculos'!$D$98)/(('Cálculos'!$D$200+(($B$111)-$A108)*'Cálculos'!$D$98)+1400)+'Cálculos'!$D$123)*'Cálculos'!$D$281)+('Cálculos'!$D$204*(1+'Cálculos'!$D$205+$A108*('Cálculos'!$D$290=3)*'Cálculos'!$D$103)+'Cálculos'!$D$206)*('Cálculos'!$D$272+'Cálculos'!$D$124*(1+2.78*('Cálculos'!$D$200+(($B$111)-$A108)*'Cálculos'!$D$98)/(('Cálculos'!$D$200+(($B$111)-$A108)*'Cálculos'!$D$98)+1400)+'Cálculos'!$D$122)*'Cálculos'!$D$277+'Cálculos'!$D$125*(1+2.78*('Cálculos'!$D$200+(($B$111)-$A108)*'Cálculos'!$D$98)/(('Cálculos'!$D$200+(($B$111)-$A108)*'Cálculos'!$D$98)+1400)+'Cálculos'!$D$123)*'Cálculos'!$D$282)+('Cálculos'!$D$273+'Cálculos'!$D$124*(1+2.78*('Cálculos'!$D$200+(($B$111)-$A108)*'Cálculos'!$D$98)/(('Cálculos'!$D$200+(($B$111)-$A108)*'Cálculos'!$D$98)+1400)+'Cálculos'!$D$122)*'Cálculos'!$D$278+'Cálculos'!$D$125*(1+2.78*('Cálculos'!$D$200+(($B$111)-$A108)*'Cálculos'!$D$98)/(('Cálculos'!$D$200+(($B$111)-$A108)*'Cálculos'!$D$98)+1400)+'Cálculos'!$D$123)*'Cálculos'!$D$283)))</f>
        <v>0</v>
      </c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3" t="s">
        <v>888</v>
      </c>
      <c r="B110" s="2">
        <f>IF('Cálculos'!$D$304="",MATCH(MAX($E$63:$E$108),$E$63:$E$108,0)-1,'Cálculos'!$D$304)</f>
        <v>11</v>
      </c>
      <c r="C110" s="2"/>
      <c r="D110" s="2"/>
      <c r="E110" s="2"/>
      <c r="F110" s="2"/>
      <c r="G110" s="2"/>
      <c r="H110" s="2"/>
    </row>
    <row r="111" ht="15.75" customHeight="1">
      <c r="A111" s="3" t="s">
        <v>889</v>
      </c>
      <c r="B111" s="2">
        <f>'Cálculos'!$D$303-$B$110</f>
        <v>0</v>
      </c>
      <c r="C111" s="2"/>
      <c r="D111" s="2"/>
      <c r="E111" s="2"/>
      <c r="F111" s="2"/>
      <c r="G111" s="2"/>
      <c r="H111" s="2"/>
    </row>
    <row r="112" ht="15.75" customHeight="1">
      <c r="A112" s="3" t="s">
        <v>637</v>
      </c>
      <c r="B112" s="37">
        <f>MATCH(MAX($G$63:$G$108),$G$63:$G$108,0)-1</f>
        <v>5</v>
      </c>
      <c r="C112" s="2"/>
      <c r="D112" s="2"/>
      <c r="E112" s="2"/>
      <c r="F112" s="2"/>
      <c r="G112" s="2"/>
      <c r="H112" s="2"/>
    </row>
    <row r="113" ht="15.75" customHeight="1">
      <c r="A113" s="3" t="s">
        <v>638</v>
      </c>
      <c r="B113" s="37">
        <f>$B$110-$B$112</f>
        <v>6</v>
      </c>
      <c r="C113" s="2"/>
      <c r="D113" s="2"/>
      <c r="E113" s="2"/>
      <c r="F113" s="2"/>
      <c r="G113" s="2"/>
      <c r="H113" s="2"/>
    </row>
    <row r="114" ht="15.75" customHeight="1">
      <c r="A114" s="3" t="s">
        <v>890</v>
      </c>
      <c r="B114" s="37">
        <f>MATCH(MAX($H$63:$H$108),$H$63:$H$108,0)-1</f>
        <v>0</v>
      </c>
      <c r="C114" s="2"/>
      <c r="D114" s="2"/>
      <c r="E114" s="2"/>
      <c r="F114" s="2"/>
      <c r="G114" s="2"/>
      <c r="H114" s="2"/>
    </row>
    <row r="115" ht="15.75" customHeight="1">
      <c r="A115" s="3" t="s">
        <v>640</v>
      </c>
      <c r="B115" s="37">
        <f>$B$111-$B$114</f>
        <v>0</v>
      </c>
      <c r="C115" s="2"/>
      <c r="D115" s="2"/>
      <c r="E115" s="2"/>
      <c r="F115" s="2"/>
      <c r="G115" s="2"/>
      <c r="H115" s="2"/>
    </row>
    <row r="116" ht="15.75" customHeight="1">
      <c r="A116" s="3" t="s">
        <v>641</v>
      </c>
      <c r="B116" s="37">
        <f>'Cálculos'!$D$302</f>
        <v>9</v>
      </c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3" t="str">
        <f>"Slot 3: "&amp;'Cálculos'!E6</f>
        <v>Slot 3: Iansan</v>
      </c>
      <c r="B118" s="2"/>
      <c r="C118" s="2"/>
      <c r="D118" s="2"/>
      <c r="E118" s="2"/>
      <c r="F118" s="2"/>
      <c r="G118" s="2"/>
      <c r="H118" s="2"/>
    </row>
    <row r="119" ht="15.75" customHeight="1">
      <c r="A119" s="6" t="s">
        <v>329</v>
      </c>
      <c r="B119" s="6" t="s">
        <v>330</v>
      </c>
      <c r="C119" s="6" t="s">
        <v>331</v>
      </c>
      <c r="D119" s="6" t="s">
        <v>332</v>
      </c>
      <c r="E119" s="6" t="s">
        <v>333</v>
      </c>
      <c r="F119" s="6"/>
      <c r="G119" s="6" t="s">
        <v>334</v>
      </c>
      <c r="H119" s="6" t="s">
        <v>335</v>
      </c>
    </row>
    <row r="120" ht="15.75" customHeight="1">
      <c r="A120" s="2">
        <v>0.0</v>
      </c>
      <c r="B120" s="30">
        <f>SUMPRODUCT(MAX(($A$120:$A$165&lt;=$A120)*($A$120:$A$165&lt;='Cálculos'!$E$294)*(($A120)-$A$120:$A$165&lt;='Cálculos'!$E$295)*(1+(('Cálculos'!$E$207+$A$120:$A$165*'Cálculos'!$E$95)-(('Cálculos'!$E$207+$A$120:$A$165*'Cálculos'!$E$95)&gt;1)*(('Cálculos'!$E$207+$A$120:$A$165*'Cálculos'!$E$95)-1))*('Cálculos'!$E$208+(($A120)-$A$120:$A$165)*'Cálculos'!$E$96))))</f>
        <v>1.269864</v>
      </c>
      <c r="C120" s="2">
        <f>'Cálculos'!$E$303-$A120</f>
        <v>13</v>
      </c>
      <c r="D120" s="31">
        <f>IF($C120&lt;0,0,SUMPRODUCT(MAX(($A$120:$A$165&lt;=$C120)*($A$120:$A$165&lt;='Cálculos'!$E$301)*(($C120)-$A$120:$A$165&lt;='Cálculos'!$E$297)*(('Cálculos'!$E$185*(1+'Cálculos'!$E$186+$A$120:$A$165*('Cálculos'!$E$290=1)*'Cálculos'!$E$97+'Cálculos'!$E$305)+'Cálculos'!$E$191)*('Cálculos'!$E$209+'Cálculos'!$E$124*(1+2.78*('Cálculos'!$E$196+(($C120)-$A$120:$A$165)*'Cálculos'!$E$98)/(('Cálculos'!$E$196+(($C120)-$A$120:$A$165)*'Cálculos'!$E$98)+1400)+'Cálculos'!$E$122)*'Cálculos'!$E$214+'Cálculos'!$E$125*(1+2.78*('Cálculos'!$E$196+(($C120)-$A$120:$A$165)*'Cálculos'!$E$98)/(('Cálculos'!$E$196+(($C120)-$A$120:$A$165)*'Cálculos'!$E$98)+1400)+'Cálculos'!$E$123)*'Cálculos'!$E$219)+('Cálculos'!$E$196+(($C120)-$A$120:$A$165)*'Cálculos'!$E$98)*('Cálculos'!$E$210+'Cálculos'!$E$124*(1+2.78*('Cálculos'!$E$196+(($C120)-$A$120:$A$165)*'Cálculos'!$E$98)/(('Cálculos'!$E$196+(($C120)-$A$120:$A$165)*'Cálculos'!$E$98)+1400)+'Cálculos'!$E$122)*'Cálculos'!$E$215+'Cálculos'!$E$125*(1+2.78*('Cálculos'!$E$196+(($C120)-$A$120:$A$165)*'Cálculos'!$E$98)/(('Cálculos'!$E$196+(($C120)-$A$120:$A$165)*'Cálculos'!$E$98)+1400)+'Cálculos'!$E$123)*'Cálculos'!$E$220)+('Cálculos'!$E$201*(1+'Cálculos'!$E$202+$A$120:$A$165*('Cálculos'!$E$290=2)*'Cálculos'!$E$101)+'Cálculos'!$E$203)*('Cálculos'!$E$211+'Cálculos'!$E$124*(1+2.78*('Cálculos'!$E$196+(($C120)-$A$120:$A$165)*'Cálculos'!$E$98)/(('Cálculos'!$E$196+(($C120)-$A$120:$A$165)*'Cálculos'!$E$98)+1400)+'Cálculos'!$E$122)*'Cálculos'!$E$216+'Cálculos'!$E$125*(1+2.78*('Cálculos'!$E$196+(($C120)-$A$120:$A$165)*'Cálculos'!$E$98)/(('Cálculos'!$E$196+(($C120)-$A$120:$A$165)*'Cálculos'!$E$98)+1400)+'Cálculos'!$E$123)*'Cálculos'!$E$221)+('Cálculos'!$E$204*(1+'Cálculos'!$E$205+$A$120:$A$165*('Cálculos'!$E$290=3)*'Cálculos'!$E$103)+'Cálculos'!$E$206)*('Cálculos'!$E$212+'Cálculos'!$E$124*(1+2.78*('Cálculos'!$E$196+(($C120)-$A$120:$A$165)*'Cálculos'!$E$98)/(('Cálculos'!$E$196+(($C120)-$A$120:$A$165)*'Cálculos'!$E$98)+1400)+'Cálculos'!$E$122)*'Cálculos'!$E$217+'Cálculos'!$E$125*(1+2.78*('Cálculos'!$E$196+(($C120)-$A$120:$A$165)*'Cálculos'!$E$98)/(('Cálculos'!$E$196+(($C120)-$A$120:$A$165)*'Cálculos'!$E$98)+1400)+'Cálculos'!$E$123)*'Cálculos'!$E$222)+('Cálculos'!$E$213+'Cálculos'!$E$124*(1+2.78*('Cálculos'!$E$196+(($C120)-$A$120:$A$165)*'Cálculos'!$E$98)/(('Cálculos'!$E$196+(($C120)-$A$120:$A$165)*'Cálculos'!$E$98)+1400)+'Cálculos'!$E$122)*'Cálculos'!$E$218+'Cálculos'!$E$125*(1+2.78*('Cálculos'!$E$196+(($C120)-$A$120:$A$165)*'Cálculos'!$E$98)/(('Cálculos'!$E$196+(($C120)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120)-$A$120:$A$165)*'Cálculos'!$E$98)/(('Cálculos'!$E$197+(($C120)-$A$120:$A$165)*'Cálculos'!$E$98)+1400)+'Cálculos'!$E$122)*'Cálculos'!$E$229+'Cálculos'!$E$125*(1+2.78*('Cálculos'!$E$197+(($C120)-$A$120:$A$165)*'Cálculos'!$E$98)/(('Cálculos'!$E$197+(($C120)-$A$120:$A$165)*'Cálculos'!$E$98)+1400)+'Cálculos'!$E$123)*'Cálculos'!$E$234)+('Cálculos'!$E$197+(($C120)-$A$120:$A$165)*'Cálculos'!$E$98)*('Cálculos'!$E$225+'Cálculos'!$E$124*(1+2.78*('Cálculos'!$E$197+(($C120)-$A$120:$A$165)*'Cálculos'!$E$98)/(('Cálculos'!$E$197+(($C120)-$A$120:$A$165)*'Cálculos'!$E$98)+1400)+'Cálculos'!$E$122)*'Cálculos'!$E$230+'Cálculos'!$E$125*(1+2.78*('Cálculos'!$E$197+(($C120)-$A$120:$A$165)*'Cálculos'!$E$98)/(('Cálculos'!$E$197+(($C120)-$A$120:$A$165)*'Cálculos'!$E$98)+1400)+'Cálculos'!$E$123)*'Cálculos'!$E$235)+('Cálculos'!$E$201*(1+'Cálculos'!$E$202+$A$120:$A$165*('Cálculos'!$E$290=2)*'Cálculos'!$E$101)+'Cálculos'!$E$203)*('Cálculos'!$E$226+'Cálculos'!$E$124*(1+2.78*('Cálculos'!$E$197+(($C120)-$A$120:$A$165)*'Cálculos'!$E$98)/(('Cálculos'!$E$197+(($C120)-$A$120:$A$165)*'Cálculos'!$E$98)+1400)+'Cálculos'!$E$122)*'Cálculos'!$E$231+'Cálculos'!$E$125*(1+2.78*('Cálculos'!$E$197+(($C120)-$A$120:$A$165)*'Cálculos'!$E$98)/(('Cálculos'!$E$197+(($C120)-$A$120:$A$165)*'Cálculos'!$E$98)+1400)+'Cálculos'!$E$123)*'Cálculos'!$E$236)+('Cálculos'!$E$204*(1+'Cálculos'!$E$205+$A$120:$A$165*('Cálculos'!$E$290=3)*'Cálculos'!$E$103)+'Cálculos'!$E$206)*('Cálculos'!$E$227+'Cálculos'!$E$124*(1+2.78*('Cálculos'!$E$197+(($C120)-$A$120:$A$165)*'Cálculos'!$E$98)/(('Cálculos'!$E$197+(($C120)-$A$120:$A$165)*'Cálculos'!$E$98)+1400)+'Cálculos'!$E$122)*'Cálculos'!$E$232+'Cálculos'!$E$125*(1+2.78*('Cálculos'!$E$197+(($C120)-$A$120:$A$165)*'Cálculos'!$E$98)/(('Cálculos'!$E$197+(($C120)-$A$120:$A$165)*'Cálculos'!$E$98)+1400)+'Cálculos'!$E$123)*'Cálculos'!$E$237)+('Cálculos'!$E$228+'Cálculos'!$E$124*(1+2.78*('Cálculos'!$E$197+(($C120)-$A$120:$A$165)*'Cálculos'!$E$98)/(('Cálculos'!$E$197+(($C120)-$A$120:$A$165)*'Cálculos'!$E$98)+1400)+'Cálculos'!$E$122)*'Cálculos'!$E$233+'Cálculos'!$E$125*(1+2.78*('Cálculos'!$E$197+(($C120)-$A$120:$A$165)*'Cálculos'!$E$98)/(('Cálculos'!$E$197+(($C120)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120)-$A$120:$A$165)*'Cálculos'!$E$98)/(('Cálculos'!$E$198+(($C120)-$A$120:$A$165)*'Cálculos'!$E$98)+1400)+'Cálculos'!$E$122)*'Cálculos'!$E$244+'Cálculos'!$E$125*(1+2.78*('Cálculos'!$E$198+(($C120)-$A$120:$A$165)*'Cálculos'!$E$98)/(('Cálculos'!$E$198+(($C120)-$A$120:$A$165)*'Cálculos'!$E$98)+1400)+'Cálculos'!$E$123)*'Cálculos'!$E$249)+('Cálculos'!$E$198+(($C120)-$A$120:$A$165)*'Cálculos'!$E$98)*('Cálculos'!$E$240+'Cálculos'!$E$124*(1+2.78*('Cálculos'!$E$198+(($C120)-$A$120:$A$165)*'Cálculos'!$E$98)/(('Cálculos'!$E$198+(($C120)-$A$120:$A$165)*'Cálculos'!$E$98)+1400)+'Cálculos'!$E$122)*'Cálculos'!$E$245+'Cálculos'!$E$125*(1+2.78*('Cálculos'!$E$198+(($C120)-$A$120:$A$165)*'Cálculos'!$E$98)/(('Cálculos'!$E$198+(($C120)-$A$120:$A$165)*'Cálculos'!$E$98)+1400)+'Cálculos'!$E$123)*'Cálculos'!$E$250)+('Cálculos'!$E$201*(1+'Cálculos'!$E$202+$A$120:$A$165*('Cálculos'!$E$290=2)*'Cálculos'!$E$101)+'Cálculos'!$E$203)*('Cálculos'!$E$241+'Cálculos'!$E$124*(1+2.78*('Cálculos'!$E$198+(($C120)-$A$120:$A$165)*'Cálculos'!$E$98)/(('Cálculos'!$E$198+(($C120)-$A$120:$A$165)*'Cálculos'!$E$98)+1400)+'Cálculos'!$E$122)*'Cálculos'!$E$246+'Cálculos'!$E$125*(1+2.78*('Cálculos'!$E$198+(($C120)-$A$120:$A$165)*'Cálculos'!$E$98)/(('Cálculos'!$E$198+(($C120)-$A$120:$A$165)*'Cálculos'!$E$98)+1400)+'Cálculos'!$E$123)*'Cálculos'!$E$251)+('Cálculos'!$E$204*(1+'Cálculos'!$E$205+$A$120:$A$165*('Cálculos'!$E$290=3)*'Cálculos'!$E$103)+'Cálculos'!$E$206)*('Cálculos'!$E$242+'Cálculos'!$E$124*(1+2.78*('Cálculos'!$E$198+(($C120)-$A$120:$A$165)*'Cálculos'!$E$98)/(('Cálculos'!$E$198+(($C120)-$A$120:$A$165)*'Cálculos'!$E$98)+1400)+'Cálculos'!$E$122)*'Cálculos'!$E$247+'Cálculos'!$E$125*(1+2.78*('Cálculos'!$E$198+(($C120)-$A$120:$A$165)*'Cálculos'!$E$98)/(('Cálculos'!$E$198+(($C120)-$A$120:$A$165)*'Cálculos'!$E$98)+1400)+'Cálculos'!$E$123)*'Cálculos'!$E$252)+('Cálculos'!$E$243+'Cálculos'!$E$124*(1+2.78*('Cálculos'!$E$198+(($C120)-$A$120:$A$165)*'Cálculos'!$E$98)/(('Cálculos'!$E$198+(($C120)-$A$120:$A$165)*'Cálculos'!$E$98)+1400)+'Cálculos'!$E$122)*'Cálculos'!$E$248+'Cálculos'!$E$125*(1+2.78*('Cálculos'!$E$198+(($C120)-$A$120:$A$165)*'Cálculos'!$E$98)/(('Cálculos'!$E$198+(($C120)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120)-$A$120:$A$165)*'Cálculos'!$E$98)/(('Cálculos'!$E$199+(($C120)-$A$120:$A$165)*'Cálculos'!$E$98)+1400)+'Cálculos'!$E$122)*'Cálculos'!$E$259+'Cálculos'!$E$125*(1+2.78*('Cálculos'!$E$199+(($C120)-$A$120:$A$165)*'Cálculos'!$E$98)/(('Cálculos'!$E$199+(($C120)-$A$120:$A$165)*'Cálculos'!$E$98)+1400)+'Cálculos'!$E$123)*'Cálculos'!$E$264)+('Cálculos'!$E$199+(($C120)-$A$120:$A$165)*'Cálculos'!$E$98)*('Cálculos'!$E$255+'Cálculos'!$E$124*(1+2.78*('Cálculos'!$E$199+(($C120)-$A$120:$A$165)*'Cálculos'!$E$98)/(('Cálculos'!$E$199+(($C120)-$A$120:$A$165)*'Cálculos'!$E$98)+1400)+'Cálculos'!$E$122)*'Cálculos'!$E$260+'Cálculos'!$E$125*(1+2.78*('Cálculos'!$E$199+(($C120)-$A$120:$A$165)*'Cálculos'!$E$98)/(('Cálculos'!$E$199+(($C120)-$A$120:$A$165)*'Cálculos'!$E$98)+1400)+'Cálculos'!$E$123)*'Cálculos'!$E$265)+('Cálculos'!$E$201*(1+'Cálculos'!$E$202+$A$120:$A$165*('Cálculos'!$E$290=2)*'Cálculos'!$E$101)+'Cálculos'!$E$203)*('Cálculos'!$E$256+'Cálculos'!$E$124*(1+2.78*('Cálculos'!$E$199+(($C120)-$A$120:$A$165)*'Cálculos'!$E$98)/(('Cálculos'!$E$199+(($C120)-$A$120:$A$165)*'Cálculos'!$E$98)+1400)+'Cálculos'!$E$122)*'Cálculos'!$E$261+'Cálculos'!$E$125*(1+2.78*('Cálculos'!$E$199+(($C120)-$A$120:$A$165)*'Cálculos'!$E$98)/(('Cálculos'!$E$199+(($C120)-$A$120:$A$165)*'Cálculos'!$E$98)+1400)+'Cálculos'!$E$123)*'Cálculos'!$E$266)+('Cálculos'!$E$204*(1+'Cálculos'!$E$205+$A$120:$A$165*('Cálculos'!$E$290=3)*'Cálculos'!$E$103)+'Cálculos'!$E$206)*('Cálculos'!$E$257+'Cálculos'!$E$124*(1+2.78*('Cálculos'!$E$199+(($C120)-$A$120:$A$165)*'Cálculos'!$E$98)/(('Cálculos'!$E$199+(($C120)-$A$120:$A$165)*'Cálculos'!$E$98)+1400)+'Cálculos'!$E$122)*'Cálculos'!$E$262+'Cálculos'!$E$125*(1+2.78*('Cálculos'!$E$199+(($C120)-$A$120:$A$165)*'Cálculos'!$E$98)/(('Cálculos'!$E$199+(($C120)-$A$120:$A$165)*'Cálculos'!$E$98)+1400)+'Cálculos'!$E$123)*'Cálculos'!$E$267)+('Cálculos'!$E$258+'Cálculos'!$E$124*(1+2.78*('Cálculos'!$E$199+(($C120)-$A$120:$A$165)*'Cálculos'!$E$98)/(('Cálculos'!$E$199+(($C120)-$A$120:$A$165)*'Cálculos'!$E$98)+1400)+'Cálculos'!$E$122)*'Cálculos'!$E$263+'Cálculos'!$E$125*(1+2.78*('Cálculos'!$E$199+(($C120)-$A$120:$A$165)*'Cálculos'!$E$98)/(('Cálculos'!$E$199+(($C120)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120)-$A$120:$A$165)*'Cálculos'!$E$98)/(('Cálculos'!$E$200+(($C120)-$A$120:$A$165)*'Cálculos'!$E$98)+1400)+'Cálculos'!$E$122)*'Cálculos'!$E$274+'Cálculos'!$E$125*(1+2.78*('Cálculos'!$E$200+(($C120)-$A$120:$A$165)*'Cálculos'!$E$98)/(('Cálculos'!$E$200+(($C120)-$A$120:$A$165)*'Cálculos'!$E$98)+1400)+'Cálculos'!$E$123)*'Cálculos'!$E$279)+('Cálculos'!$E$200+(($C120)-$A$120:$A$165)*'Cálculos'!$E$98)*('Cálculos'!$E$270+'Cálculos'!$E$124*(1+2.78*('Cálculos'!$E$200+(($C120)-$A$120:$A$165)*'Cálculos'!$E$98)/(('Cálculos'!$E$200+(($C120)-$A$120:$A$165)*'Cálculos'!$E$98)+1400)+'Cálculos'!$E$122)*'Cálculos'!$E$275+'Cálculos'!$E$125*(1+2.78*('Cálculos'!$E$200+(($C120)-$A$120:$A$165)*'Cálculos'!$E$98)/(('Cálculos'!$E$200+(($C120)-$A$120:$A$165)*'Cálculos'!$E$98)+1400)+'Cálculos'!$E$123)*'Cálculos'!$E$280)+('Cálculos'!$E$201*(1+'Cálculos'!$E$202+$A$120:$A$165*('Cálculos'!$E$290=2)*'Cálculos'!$E$101)+'Cálculos'!$E$203)*('Cálculos'!$E$271+'Cálculos'!$E$124*(1+2.78*('Cálculos'!$E$200+(($C120)-$A$120:$A$165)*'Cálculos'!$E$98)/(('Cálculos'!$E$200+(($C120)-$A$120:$A$165)*'Cálculos'!$E$98)+1400)+'Cálculos'!$E$122)*'Cálculos'!$E$276+'Cálculos'!$E$125*(1+2.78*('Cálculos'!$E$200+(($C120)-$A$120:$A$165)*'Cálculos'!$E$98)/(('Cálculos'!$E$200+(($C120)-$A$120:$A$165)*'Cálculos'!$E$98)+1400)+'Cálculos'!$E$123)*'Cálculos'!$E$281)+('Cálculos'!$E$204*(1+'Cálculos'!$E$205+$A$120:$A$165*('Cálculos'!$E$290=3)*'Cálculos'!$E$103)+'Cálculos'!$E$206)*('Cálculos'!$E$272+'Cálculos'!$E$124*(1+2.78*('Cálculos'!$E$200+(($C120)-$A$120:$A$165)*'Cálculos'!$E$98)/(('Cálculos'!$E$200+(($C120)-$A$120:$A$165)*'Cálculos'!$E$98)+1400)+'Cálculos'!$E$122)*'Cálculos'!$E$277+'Cálculos'!$E$125*(1+2.78*('Cálculos'!$E$200+(($C120)-$A$120:$A$165)*'Cálculos'!$E$98)/(('Cálculos'!$E$200+(($C120)-$A$120:$A$165)*'Cálculos'!$E$98)+1400)+'Cálculos'!$E$123)*'Cálculos'!$E$282)+('Cálculos'!$E$273+'Cálculos'!$E$124*(1+2.78*('Cálculos'!$E$200+(($C120)-$A$120:$A$165)*'Cálculos'!$E$98)/(('Cálculos'!$E$200+(($C120)-$A$120:$A$165)*'Cálculos'!$E$98)+1400)+'Cálculos'!$E$122)*'Cálculos'!$E$278+'Cálculos'!$E$125*(1+2.78*('Cálculos'!$E$200+(($C120)-$A$120:$A$165)*'Cálculos'!$E$98)/(('Cálculos'!$E$200+(($C120)-$A$120:$A$165)*'Cálculos'!$E$98)+1400)+'Cálculos'!$E$123)*'Cálculos'!$E$283)))))</f>
        <v>22297.55312</v>
      </c>
      <c r="E120" s="32">
        <f>IF(OR($C120&lt;0,'Cálculos'!$E$6=""),0,$B120*$D120)</f>
        <v>28314.85999</v>
      </c>
      <c r="F120" s="2"/>
      <c r="G120" s="30">
        <f>($A120&lt;=$B$167)*($A120&lt;='Cálculos'!$E$294)*(($B$167)-$A120&lt;='Cálculos'!$E$295)*(1+MIN(('Cálculos'!$E$207+$A120*'Cálculos'!$E$95),1)*('Cálculos'!$E$208+(($B$167)-$A120)*'Cálculos'!$E$96))</f>
        <v>1.63623</v>
      </c>
      <c r="H120" s="31">
        <f>IF($B$168&lt;0,0,($A120&lt;=$B$168)*($A120&lt;='Cálculos'!$E$301)*(($B$168)-$A120&lt;='Cálculos'!$E$297)*(('Cálculos'!$E$185*(1+'Cálculos'!$E$186+$A120*('Cálculos'!$E$290=1)*'Cálculos'!$E$97+'Cálculos'!$E$305)+'Cálculos'!$E$191)*('Cálculos'!$E$209+'Cálculos'!$E$124*(1+2.78*('Cálculos'!$E$196+(($B$168)-$A120)*'Cálculos'!$E$98)/(('Cálculos'!$E$196+(($B$168)-$A120)*'Cálculos'!$E$98)+1400)+'Cálculos'!$E$122)*'Cálculos'!$E$214+'Cálculos'!$E$125*(1+2.78*('Cálculos'!$E$196+(($B$168)-$A120)*'Cálculos'!$E$98)/(('Cálculos'!$E$196+(($B$168)-$A120)*'Cálculos'!$E$98)+1400)+'Cálculos'!$E$123)*'Cálculos'!$E$219)+('Cálculos'!$E$196+(($B$168)-$A120)*'Cálculos'!$E$98)*('Cálculos'!$E$210+'Cálculos'!$E$124*(1+2.78*('Cálculos'!$E$196+(($B$168)-$A120)*'Cálculos'!$E$98)/(('Cálculos'!$E$196+(($B$168)-$A120)*'Cálculos'!$E$98)+1400)+'Cálculos'!$E$122)*'Cálculos'!$E$215+'Cálculos'!$E$125*(1+2.78*('Cálculos'!$E$196+(($B$168)-$A120)*'Cálculos'!$E$98)/(('Cálculos'!$E$196+(($B$168)-$A120)*'Cálculos'!$E$98)+1400)+'Cálculos'!$E$123)*'Cálculos'!$E$220)+('Cálculos'!$E$201*(1+'Cálculos'!$E$202+$A120*('Cálculos'!$E$290=2)*'Cálculos'!$E$101)+'Cálculos'!$E$203)*('Cálculos'!$E$211+'Cálculos'!$E$124*(1+2.78*('Cálculos'!$E$196+(($B$168)-$A120)*'Cálculos'!$E$98)/(('Cálculos'!$E$196+(($B$168)-$A120)*'Cálculos'!$E$98)+1400)+'Cálculos'!$E$122)*'Cálculos'!$E$216+'Cálculos'!$E$125*(1+2.78*('Cálculos'!$E$196+(($B$168)-$A120)*'Cálculos'!$E$98)/(('Cálculos'!$E$196+(($B$168)-$A120)*'Cálculos'!$E$98)+1400)+'Cálculos'!$E$123)*'Cálculos'!$E$221)+('Cálculos'!$E$204*(1+'Cálculos'!$E$205+$A120*('Cálculos'!$E$290=3)*'Cálculos'!$E$103)+'Cálculos'!$E$206)*('Cálculos'!$E$212+'Cálculos'!$E$124*(1+2.78*('Cálculos'!$E$196+(($B$168)-$A120)*'Cálculos'!$E$98)/(('Cálculos'!$E$196+(($B$168)-$A120)*'Cálculos'!$E$98)+1400)+'Cálculos'!$E$122)*'Cálculos'!$E$217+'Cálculos'!$E$125*(1+2.78*('Cálculos'!$E$196+(($B$168)-$A120)*'Cálculos'!$E$98)/(('Cálculos'!$E$196+(($B$168)-$A120)*'Cálculos'!$E$98)+1400)+'Cálculos'!$E$123)*'Cálculos'!$E$222)+('Cálculos'!$E$213+'Cálculos'!$E$124*(1+2.78*('Cálculos'!$E$196+(($B$168)-$A120)*'Cálculos'!$E$98)/(('Cálculos'!$E$196+(($B$168)-$A120)*'Cálculos'!$E$98)+1400)+'Cálculos'!$E$122)*'Cálculos'!$E$218+'Cálculos'!$E$125*(1+2.78*('Cálculos'!$E$196+(($B$168)-$A120)*'Cálculos'!$E$98)/(('Cálculos'!$E$196+(($B$168)-$A120)*'Cálculos'!$E$98)+1400)+'Cálculos'!$E$123)*'Cálculos'!$E$223)+('Cálculos'!$E$185*(1+'Cálculos'!$E$187+$A120*('Cálculos'!$E$290=1)*'Cálculos'!$E$97+'Cálculos'!$E$305)+'Cálculos'!$E$192)*('Cálculos'!$E$224+'Cálculos'!$E$124*(1+2.78*('Cálculos'!$E$197+(($B$168)-$A120)*'Cálculos'!$E$98)/(('Cálculos'!$E$197+(($B$168)-$A120)*'Cálculos'!$E$98)+1400)+'Cálculos'!$E$122)*'Cálculos'!$E$229+'Cálculos'!$E$125*(1+2.78*('Cálculos'!$E$197+(($B$168)-$A120)*'Cálculos'!$E$98)/(('Cálculos'!$E$197+(($B$168)-$A120)*'Cálculos'!$E$98)+1400)+'Cálculos'!$E$123)*'Cálculos'!$E$234)+('Cálculos'!$E$197+(($B$168)-$A120)*'Cálculos'!$E$98)*('Cálculos'!$E$225+'Cálculos'!$E$124*(1+2.78*('Cálculos'!$E$197+(($B$168)-$A120)*'Cálculos'!$E$98)/(('Cálculos'!$E$197+(($B$168)-$A120)*'Cálculos'!$E$98)+1400)+'Cálculos'!$E$122)*'Cálculos'!$E$230+'Cálculos'!$E$125*(1+2.78*('Cálculos'!$E$197+(($B$168)-$A120)*'Cálculos'!$E$98)/(('Cálculos'!$E$197+(($B$168)-$A120)*'Cálculos'!$E$98)+1400)+'Cálculos'!$E$123)*'Cálculos'!$E$235)+('Cálculos'!$E$201*(1+'Cálculos'!$E$202+$A120*('Cálculos'!$E$290=2)*'Cálculos'!$E$101)+'Cálculos'!$E$203)*('Cálculos'!$E$226+'Cálculos'!$E$124*(1+2.78*('Cálculos'!$E$197+(($B$168)-$A120)*'Cálculos'!$E$98)/(('Cálculos'!$E$197+(($B$168)-$A120)*'Cálculos'!$E$98)+1400)+'Cálculos'!$E$122)*'Cálculos'!$E$231+'Cálculos'!$E$125*(1+2.78*('Cálculos'!$E$197+(($B$168)-$A120)*'Cálculos'!$E$98)/(('Cálculos'!$E$197+(($B$168)-$A120)*'Cálculos'!$E$98)+1400)+'Cálculos'!$E$123)*'Cálculos'!$E$236)+('Cálculos'!$E$204*(1+'Cálculos'!$E$205+$A120*('Cálculos'!$E$290=3)*'Cálculos'!$E$103)+'Cálculos'!$E$206)*('Cálculos'!$E$227+'Cálculos'!$E$124*(1+2.78*('Cálculos'!$E$197+(($B$168)-$A120)*'Cálculos'!$E$98)/(('Cálculos'!$E$197+(($B$168)-$A120)*'Cálculos'!$E$98)+1400)+'Cálculos'!$E$122)*'Cálculos'!$E$232+'Cálculos'!$E$125*(1+2.78*('Cálculos'!$E$197+(($B$168)-$A120)*'Cálculos'!$E$98)/(('Cálculos'!$E$197+(($B$168)-$A120)*'Cálculos'!$E$98)+1400)+'Cálculos'!$E$123)*'Cálculos'!$E$237)+('Cálculos'!$E$228+'Cálculos'!$E$124*(1+2.78*('Cálculos'!$E$197+(($B$168)-$A120)*'Cálculos'!$E$98)/(('Cálculos'!$E$197+(($B$168)-$A120)*'Cálculos'!$E$98)+1400)+'Cálculos'!$E$122)*'Cálculos'!$E$233+'Cálculos'!$E$125*(1+2.78*('Cálculos'!$E$197+(($B$168)-$A120)*'Cálculos'!$E$98)/(('Cálculos'!$E$197+(($B$168)-$A120)*'Cálculos'!$E$98)+1400)+'Cálculos'!$E$123)*'Cálculos'!$E$238)+('Cálculos'!$E$185*(1+'Cálculos'!$E$188+$A120*('Cálculos'!$E$290=1)*'Cálculos'!$E$97+'Cálculos'!$E$305)+'Cálculos'!$E$193)*('Cálculos'!$E$239+'Cálculos'!$E$124*(1+2.78*('Cálculos'!$E$198+(($B$168)-$A120)*'Cálculos'!$E$98)/(('Cálculos'!$E$198+(($B$168)-$A120)*'Cálculos'!$E$98)+1400)+'Cálculos'!$E$122)*'Cálculos'!$E$244+'Cálculos'!$E$125*(1+2.78*('Cálculos'!$E$198+(($B$168)-$A120)*'Cálculos'!$E$98)/(('Cálculos'!$E$198+(($B$168)-$A120)*'Cálculos'!$E$98)+1400)+'Cálculos'!$E$123)*'Cálculos'!$E$249)+('Cálculos'!$E$198+(($B$168)-$A120)*'Cálculos'!$E$98)*('Cálculos'!$E$240+'Cálculos'!$E$124*(1+2.78*('Cálculos'!$E$198+(($B$168)-$A120)*'Cálculos'!$E$98)/(('Cálculos'!$E$198+(($B$168)-$A120)*'Cálculos'!$E$98)+1400)+'Cálculos'!$E$122)*'Cálculos'!$E$245+'Cálculos'!$E$125*(1+2.78*('Cálculos'!$E$198+(($B$168)-$A120)*'Cálculos'!$E$98)/(('Cálculos'!$E$198+(($B$168)-$A120)*'Cálculos'!$E$98)+1400)+'Cálculos'!$E$123)*'Cálculos'!$E$250)+('Cálculos'!$E$201*(1+'Cálculos'!$E$202+$A120*('Cálculos'!$E$290=2)*'Cálculos'!$E$101)+'Cálculos'!$E$203)*('Cálculos'!$E$241+'Cálculos'!$E$124*(1+2.78*('Cálculos'!$E$198+(($B$168)-$A120)*'Cálculos'!$E$98)/(('Cálculos'!$E$198+(($B$168)-$A120)*'Cálculos'!$E$98)+1400)+'Cálculos'!$E$122)*'Cálculos'!$E$246+'Cálculos'!$E$125*(1+2.78*('Cálculos'!$E$198+(($B$168)-$A120)*'Cálculos'!$E$98)/(('Cálculos'!$E$198+(($B$168)-$A120)*'Cálculos'!$E$98)+1400)+'Cálculos'!$E$123)*'Cálculos'!$E$251)+('Cálculos'!$E$204*(1+'Cálculos'!$E$205+$A120*('Cálculos'!$E$290=3)*'Cálculos'!$E$103)+'Cálculos'!$E$206)*('Cálculos'!$E$242+'Cálculos'!$E$124*(1+2.78*('Cálculos'!$E$198+(($B$168)-$A120)*'Cálculos'!$E$98)/(('Cálculos'!$E$198+(($B$168)-$A120)*'Cálculos'!$E$98)+1400)+'Cálculos'!$E$122)*'Cálculos'!$E$247+'Cálculos'!$E$125*(1+2.78*('Cálculos'!$E$198+(($B$168)-$A120)*'Cálculos'!$E$98)/(('Cálculos'!$E$198+(($B$168)-$A120)*'Cálculos'!$E$98)+1400)+'Cálculos'!$E$123)*'Cálculos'!$E$252)+('Cálculos'!$E$243+'Cálculos'!$E$124*(1+2.78*('Cálculos'!$E$198+(($B$168)-$A120)*'Cálculos'!$E$98)/(('Cálculos'!$E$198+(($B$168)-$A120)*'Cálculos'!$E$98)+1400)+'Cálculos'!$E$122)*'Cálculos'!$E$248+'Cálculos'!$E$125*(1+2.78*('Cálculos'!$E$198+(($B$168)-$A120)*'Cálculos'!$E$98)/(('Cálculos'!$E$198+(($B$168)-$A120)*'Cálculos'!$E$98)+1400)+'Cálculos'!$E$123)*'Cálculos'!$E$253)+('Cálculos'!$E$185*(1+'Cálculos'!$E$189+$A120*('Cálculos'!$E$290=1)*'Cálculos'!$E$97+'Cálculos'!$E$305)+'Cálculos'!$E$194)*('Cálculos'!$E$254+'Cálculos'!$E$124*(1+2.78*('Cálculos'!$E$199+(($B$168)-$A120)*'Cálculos'!$E$98)/(('Cálculos'!$E$199+(($B$168)-$A120)*'Cálculos'!$E$98)+1400)+'Cálculos'!$E$122)*'Cálculos'!$E$259+'Cálculos'!$E$125*(1+2.78*('Cálculos'!$E$199+(($B$168)-$A120)*'Cálculos'!$E$98)/(('Cálculos'!$E$199+(($B$168)-$A120)*'Cálculos'!$E$98)+1400)+'Cálculos'!$E$123)*'Cálculos'!$E$264)+('Cálculos'!$E$199+(($B$168)-$A120)*'Cálculos'!$E$98)*('Cálculos'!$E$255+'Cálculos'!$E$124*(1+2.78*('Cálculos'!$E$199+(($B$168)-$A120)*'Cálculos'!$E$98)/(('Cálculos'!$E$199+(($B$168)-$A120)*'Cálculos'!$E$98)+1400)+'Cálculos'!$E$122)*'Cálculos'!$E$260+'Cálculos'!$E$125*(1+2.78*('Cálculos'!$E$199+(($B$168)-$A120)*'Cálculos'!$E$98)/(('Cálculos'!$E$199+(($B$168)-$A120)*'Cálculos'!$E$98)+1400)+'Cálculos'!$E$123)*'Cálculos'!$E$265)+('Cálculos'!$E$201*(1+'Cálculos'!$E$202+$A120*('Cálculos'!$E$290=2)*'Cálculos'!$E$101)+'Cálculos'!$E$203)*('Cálculos'!$E$256+'Cálculos'!$E$124*(1+2.78*('Cálculos'!$E$199+(($B$168)-$A120)*'Cálculos'!$E$98)/(('Cálculos'!$E$199+(($B$168)-$A120)*'Cálculos'!$E$98)+1400)+'Cálculos'!$E$122)*'Cálculos'!$E$261+'Cálculos'!$E$125*(1+2.78*('Cálculos'!$E$199+(($B$168)-$A120)*'Cálculos'!$E$98)/(('Cálculos'!$E$199+(($B$168)-$A120)*'Cálculos'!$E$98)+1400)+'Cálculos'!$E$123)*'Cálculos'!$E$266)+('Cálculos'!$E$204*(1+'Cálculos'!$E$205+$A120*('Cálculos'!$E$290=3)*'Cálculos'!$E$103)+'Cálculos'!$E$206)*('Cálculos'!$E$257+'Cálculos'!$E$124*(1+2.78*('Cálculos'!$E$199+(($B$168)-$A120)*'Cálculos'!$E$98)/(('Cálculos'!$E$199+(($B$168)-$A120)*'Cálculos'!$E$98)+1400)+'Cálculos'!$E$122)*'Cálculos'!$E$262+'Cálculos'!$E$125*(1+2.78*('Cálculos'!$E$199+(($B$168)-$A120)*'Cálculos'!$E$98)/(('Cálculos'!$E$199+(($B$168)-$A120)*'Cálculos'!$E$98)+1400)+'Cálculos'!$E$123)*'Cálculos'!$E$267)+('Cálculos'!$E$258+'Cálculos'!$E$124*(1+2.78*('Cálculos'!$E$199+(($B$168)-$A120)*'Cálculos'!$E$98)/(('Cálculos'!$E$199+(($B$168)-$A120)*'Cálculos'!$E$98)+1400)+'Cálculos'!$E$122)*'Cálculos'!$E$263+'Cálculos'!$E$125*(1+2.78*('Cálculos'!$E$199+(($B$168)-$A120)*'Cálculos'!$E$98)/(('Cálculos'!$E$199+(($B$168)-$A120)*'Cálculos'!$E$98)+1400)+'Cálculos'!$E$123)*'Cálculos'!$E$268)+('Cálculos'!$E$185*(1+'Cálculos'!$E$190+$A120*('Cálculos'!$E$290=1)*'Cálculos'!$E$97+'Cálculos'!$E$305)+'Cálculos'!$E$195)*('Cálculos'!$E$269+'Cálculos'!$E$124*(1+2.78*('Cálculos'!$E$200+(($B$168)-$A120)*'Cálculos'!$E$98)/(('Cálculos'!$E$200+(($B$168)-$A120)*'Cálculos'!$E$98)+1400)+'Cálculos'!$E$122)*'Cálculos'!$E$274+'Cálculos'!$E$125*(1+2.78*('Cálculos'!$E$200+(($B$168)-$A120)*'Cálculos'!$E$98)/(('Cálculos'!$E$200+(($B$168)-$A120)*'Cálculos'!$E$98)+1400)+'Cálculos'!$E$123)*'Cálculos'!$E$279)+('Cálculos'!$E$200+(($B$168)-$A120)*'Cálculos'!$E$98)*('Cálculos'!$E$270+'Cálculos'!$E$124*(1+2.78*('Cálculos'!$E$200+(($B$168)-$A120)*'Cálculos'!$E$98)/(('Cálculos'!$E$200+(($B$168)-$A120)*'Cálculos'!$E$98)+1400)+'Cálculos'!$E$122)*'Cálculos'!$E$275+'Cálculos'!$E$125*(1+2.78*('Cálculos'!$E$200+(($B$168)-$A120)*'Cálculos'!$E$98)/(('Cálculos'!$E$200+(($B$168)-$A120)*'Cálculos'!$E$98)+1400)+'Cálculos'!$E$123)*'Cálculos'!$E$280)+('Cálculos'!$E$201*(1+'Cálculos'!$E$202+$A120*('Cálculos'!$E$290=2)*'Cálculos'!$E$101)+'Cálculos'!$E$203)*('Cálculos'!$E$271+'Cálculos'!$E$124*(1+2.78*('Cálculos'!$E$200+(($B$168)-$A120)*'Cálculos'!$E$98)/(('Cálculos'!$E$200+(($B$168)-$A120)*'Cálculos'!$E$98)+1400)+'Cálculos'!$E$122)*'Cálculos'!$E$276+'Cálculos'!$E$125*(1+2.78*('Cálculos'!$E$200+(($B$168)-$A120)*'Cálculos'!$E$98)/(('Cálculos'!$E$200+(($B$168)-$A120)*'Cálculos'!$E$98)+1400)+'Cálculos'!$E$123)*'Cálculos'!$E$281)+('Cálculos'!$E$204*(1+'Cálculos'!$E$205+$A120*('Cálculos'!$E$290=3)*'Cálculos'!$E$103)+'Cálculos'!$E$206)*('Cálculos'!$E$272+'Cálculos'!$E$124*(1+2.78*('Cálculos'!$E$200+(($B$168)-$A120)*'Cálculos'!$E$98)/(('Cálculos'!$E$200+(($B$168)-$A120)*'Cálculos'!$E$98)+1400)+'Cálculos'!$E$122)*'Cálculos'!$E$277+'Cálculos'!$E$125*(1+2.78*('Cálculos'!$E$200+(($B$168)-$A120)*'Cálculos'!$E$98)/(('Cálculos'!$E$200+(($B$168)-$A120)*'Cálculos'!$E$98)+1400)+'Cálculos'!$E$123)*'Cálculos'!$E$282)+('Cálculos'!$E$273+'Cálculos'!$E$124*(1+2.78*('Cálculos'!$E$200+(($B$168)-$A120)*'Cálculos'!$E$98)/(('Cálculos'!$E$200+(($B$168)-$A120)*'Cálculos'!$E$98)+1400)+'Cálculos'!$E$122)*'Cálculos'!$E$278+'Cálculos'!$E$125*(1+2.78*('Cálculos'!$E$200+(($B$168)-$A120)*'Cálculos'!$E$98)/(('Cálculos'!$E$200+(($B$168)-$A120)*'Cálculos'!$E$98)+1400)+'Cálculos'!$E$123)*'Cálculos'!$E$283)))</f>
        <v>18580.03501</v>
      </c>
    </row>
    <row r="121" ht="15.75" customHeight="1">
      <c r="A121" s="2">
        <v>1.0</v>
      </c>
      <c r="B121" s="30">
        <f>SUMPRODUCT(MAX(($A$120:$A$165&lt;=$A121)*($A$120:$A$165&lt;='Cálculos'!$E$294)*(($A121)-$A$120:$A$165&lt;='Cálculos'!$E$295)*(1+(('Cálculos'!$E$207+$A$120:$A$165*'Cálculos'!$E$95)-(('Cálculos'!$E$207+$A$120:$A$165*'Cálculos'!$E$95)&gt;1)*(('Cálculos'!$E$207+$A$120:$A$165*'Cálculos'!$E$95)-1))*('Cálculos'!$E$208+(($A121)-$A$120:$A$165)*'Cálculos'!$E$96))))</f>
        <v>1.298046</v>
      </c>
      <c r="C121" s="2">
        <f>'Cálculos'!$E$303-$A121</f>
        <v>12</v>
      </c>
      <c r="D121" s="31">
        <f>IF($C121&lt;0,0,SUMPRODUCT(MAX(($A$120:$A$165&lt;=$C121)*($A$120:$A$165&lt;='Cálculos'!$E$301)*(($C121)-$A$120:$A$165&lt;='Cálculos'!$E$297)*(('Cálculos'!$E$185*(1+'Cálculos'!$E$186+$A$120:$A$165*('Cálculos'!$E$290=1)*'Cálculos'!$E$97+'Cálculos'!$E$305)+'Cálculos'!$E$191)*('Cálculos'!$E$209+'Cálculos'!$E$124*(1+2.78*('Cálculos'!$E$196+(($C121)-$A$120:$A$165)*'Cálculos'!$E$98)/(('Cálculos'!$E$196+(($C121)-$A$120:$A$165)*'Cálculos'!$E$98)+1400)+'Cálculos'!$E$122)*'Cálculos'!$E$214+'Cálculos'!$E$125*(1+2.78*('Cálculos'!$E$196+(($C121)-$A$120:$A$165)*'Cálculos'!$E$98)/(('Cálculos'!$E$196+(($C121)-$A$120:$A$165)*'Cálculos'!$E$98)+1400)+'Cálculos'!$E$123)*'Cálculos'!$E$219)+('Cálculos'!$E$196+(($C121)-$A$120:$A$165)*'Cálculos'!$E$98)*('Cálculos'!$E$210+'Cálculos'!$E$124*(1+2.78*('Cálculos'!$E$196+(($C121)-$A$120:$A$165)*'Cálculos'!$E$98)/(('Cálculos'!$E$196+(($C121)-$A$120:$A$165)*'Cálculos'!$E$98)+1400)+'Cálculos'!$E$122)*'Cálculos'!$E$215+'Cálculos'!$E$125*(1+2.78*('Cálculos'!$E$196+(($C121)-$A$120:$A$165)*'Cálculos'!$E$98)/(('Cálculos'!$E$196+(($C121)-$A$120:$A$165)*'Cálculos'!$E$98)+1400)+'Cálculos'!$E$123)*'Cálculos'!$E$220)+('Cálculos'!$E$201*(1+'Cálculos'!$E$202+$A$120:$A$165*('Cálculos'!$E$290=2)*'Cálculos'!$E$101)+'Cálculos'!$E$203)*('Cálculos'!$E$211+'Cálculos'!$E$124*(1+2.78*('Cálculos'!$E$196+(($C121)-$A$120:$A$165)*'Cálculos'!$E$98)/(('Cálculos'!$E$196+(($C121)-$A$120:$A$165)*'Cálculos'!$E$98)+1400)+'Cálculos'!$E$122)*'Cálculos'!$E$216+'Cálculos'!$E$125*(1+2.78*('Cálculos'!$E$196+(($C121)-$A$120:$A$165)*'Cálculos'!$E$98)/(('Cálculos'!$E$196+(($C121)-$A$120:$A$165)*'Cálculos'!$E$98)+1400)+'Cálculos'!$E$123)*'Cálculos'!$E$221)+('Cálculos'!$E$204*(1+'Cálculos'!$E$205+$A$120:$A$165*('Cálculos'!$E$290=3)*'Cálculos'!$E$103)+'Cálculos'!$E$206)*('Cálculos'!$E$212+'Cálculos'!$E$124*(1+2.78*('Cálculos'!$E$196+(($C121)-$A$120:$A$165)*'Cálculos'!$E$98)/(('Cálculos'!$E$196+(($C121)-$A$120:$A$165)*'Cálculos'!$E$98)+1400)+'Cálculos'!$E$122)*'Cálculos'!$E$217+'Cálculos'!$E$125*(1+2.78*('Cálculos'!$E$196+(($C121)-$A$120:$A$165)*'Cálculos'!$E$98)/(('Cálculos'!$E$196+(($C121)-$A$120:$A$165)*'Cálculos'!$E$98)+1400)+'Cálculos'!$E$123)*'Cálculos'!$E$222)+('Cálculos'!$E$213+'Cálculos'!$E$124*(1+2.78*('Cálculos'!$E$196+(($C121)-$A$120:$A$165)*'Cálculos'!$E$98)/(('Cálculos'!$E$196+(($C121)-$A$120:$A$165)*'Cálculos'!$E$98)+1400)+'Cálculos'!$E$122)*'Cálculos'!$E$218+'Cálculos'!$E$125*(1+2.78*('Cálculos'!$E$196+(($C121)-$A$120:$A$165)*'Cálculos'!$E$98)/(('Cálculos'!$E$196+(($C121)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121)-$A$120:$A$165)*'Cálculos'!$E$98)/(('Cálculos'!$E$197+(($C121)-$A$120:$A$165)*'Cálculos'!$E$98)+1400)+'Cálculos'!$E$122)*'Cálculos'!$E$229+'Cálculos'!$E$125*(1+2.78*('Cálculos'!$E$197+(($C121)-$A$120:$A$165)*'Cálculos'!$E$98)/(('Cálculos'!$E$197+(($C121)-$A$120:$A$165)*'Cálculos'!$E$98)+1400)+'Cálculos'!$E$123)*'Cálculos'!$E$234)+('Cálculos'!$E$197+(($C121)-$A$120:$A$165)*'Cálculos'!$E$98)*('Cálculos'!$E$225+'Cálculos'!$E$124*(1+2.78*('Cálculos'!$E$197+(($C121)-$A$120:$A$165)*'Cálculos'!$E$98)/(('Cálculos'!$E$197+(($C121)-$A$120:$A$165)*'Cálculos'!$E$98)+1400)+'Cálculos'!$E$122)*'Cálculos'!$E$230+'Cálculos'!$E$125*(1+2.78*('Cálculos'!$E$197+(($C121)-$A$120:$A$165)*'Cálculos'!$E$98)/(('Cálculos'!$E$197+(($C121)-$A$120:$A$165)*'Cálculos'!$E$98)+1400)+'Cálculos'!$E$123)*'Cálculos'!$E$235)+('Cálculos'!$E$201*(1+'Cálculos'!$E$202+$A$120:$A$165*('Cálculos'!$E$290=2)*'Cálculos'!$E$101)+'Cálculos'!$E$203)*('Cálculos'!$E$226+'Cálculos'!$E$124*(1+2.78*('Cálculos'!$E$197+(($C121)-$A$120:$A$165)*'Cálculos'!$E$98)/(('Cálculos'!$E$197+(($C121)-$A$120:$A$165)*'Cálculos'!$E$98)+1400)+'Cálculos'!$E$122)*'Cálculos'!$E$231+'Cálculos'!$E$125*(1+2.78*('Cálculos'!$E$197+(($C121)-$A$120:$A$165)*'Cálculos'!$E$98)/(('Cálculos'!$E$197+(($C121)-$A$120:$A$165)*'Cálculos'!$E$98)+1400)+'Cálculos'!$E$123)*'Cálculos'!$E$236)+('Cálculos'!$E$204*(1+'Cálculos'!$E$205+$A$120:$A$165*('Cálculos'!$E$290=3)*'Cálculos'!$E$103)+'Cálculos'!$E$206)*('Cálculos'!$E$227+'Cálculos'!$E$124*(1+2.78*('Cálculos'!$E$197+(($C121)-$A$120:$A$165)*'Cálculos'!$E$98)/(('Cálculos'!$E$197+(($C121)-$A$120:$A$165)*'Cálculos'!$E$98)+1400)+'Cálculos'!$E$122)*'Cálculos'!$E$232+'Cálculos'!$E$125*(1+2.78*('Cálculos'!$E$197+(($C121)-$A$120:$A$165)*'Cálculos'!$E$98)/(('Cálculos'!$E$197+(($C121)-$A$120:$A$165)*'Cálculos'!$E$98)+1400)+'Cálculos'!$E$123)*'Cálculos'!$E$237)+('Cálculos'!$E$228+'Cálculos'!$E$124*(1+2.78*('Cálculos'!$E$197+(($C121)-$A$120:$A$165)*'Cálculos'!$E$98)/(('Cálculos'!$E$197+(($C121)-$A$120:$A$165)*'Cálculos'!$E$98)+1400)+'Cálculos'!$E$122)*'Cálculos'!$E$233+'Cálculos'!$E$125*(1+2.78*('Cálculos'!$E$197+(($C121)-$A$120:$A$165)*'Cálculos'!$E$98)/(('Cálculos'!$E$197+(($C121)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121)-$A$120:$A$165)*'Cálculos'!$E$98)/(('Cálculos'!$E$198+(($C121)-$A$120:$A$165)*'Cálculos'!$E$98)+1400)+'Cálculos'!$E$122)*'Cálculos'!$E$244+'Cálculos'!$E$125*(1+2.78*('Cálculos'!$E$198+(($C121)-$A$120:$A$165)*'Cálculos'!$E$98)/(('Cálculos'!$E$198+(($C121)-$A$120:$A$165)*'Cálculos'!$E$98)+1400)+'Cálculos'!$E$123)*'Cálculos'!$E$249)+('Cálculos'!$E$198+(($C121)-$A$120:$A$165)*'Cálculos'!$E$98)*('Cálculos'!$E$240+'Cálculos'!$E$124*(1+2.78*('Cálculos'!$E$198+(($C121)-$A$120:$A$165)*'Cálculos'!$E$98)/(('Cálculos'!$E$198+(($C121)-$A$120:$A$165)*'Cálculos'!$E$98)+1400)+'Cálculos'!$E$122)*'Cálculos'!$E$245+'Cálculos'!$E$125*(1+2.78*('Cálculos'!$E$198+(($C121)-$A$120:$A$165)*'Cálculos'!$E$98)/(('Cálculos'!$E$198+(($C121)-$A$120:$A$165)*'Cálculos'!$E$98)+1400)+'Cálculos'!$E$123)*'Cálculos'!$E$250)+('Cálculos'!$E$201*(1+'Cálculos'!$E$202+$A$120:$A$165*('Cálculos'!$E$290=2)*'Cálculos'!$E$101)+'Cálculos'!$E$203)*('Cálculos'!$E$241+'Cálculos'!$E$124*(1+2.78*('Cálculos'!$E$198+(($C121)-$A$120:$A$165)*'Cálculos'!$E$98)/(('Cálculos'!$E$198+(($C121)-$A$120:$A$165)*'Cálculos'!$E$98)+1400)+'Cálculos'!$E$122)*'Cálculos'!$E$246+'Cálculos'!$E$125*(1+2.78*('Cálculos'!$E$198+(($C121)-$A$120:$A$165)*'Cálculos'!$E$98)/(('Cálculos'!$E$198+(($C121)-$A$120:$A$165)*'Cálculos'!$E$98)+1400)+'Cálculos'!$E$123)*'Cálculos'!$E$251)+('Cálculos'!$E$204*(1+'Cálculos'!$E$205+$A$120:$A$165*('Cálculos'!$E$290=3)*'Cálculos'!$E$103)+'Cálculos'!$E$206)*('Cálculos'!$E$242+'Cálculos'!$E$124*(1+2.78*('Cálculos'!$E$198+(($C121)-$A$120:$A$165)*'Cálculos'!$E$98)/(('Cálculos'!$E$198+(($C121)-$A$120:$A$165)*'Cálculos'!$E$98)+1400)+'Cálculos'!$E$122)*'Cálculos'!$E$247+'Cálculos'!$E$125*(1+2.78*('Cálculos'!$E$198+(($C121)-$A$120:$A$165)*'Cálculos'!$E$98)/(('Cálculos'!$E$198+(($C121)-$A$120:$A$165)*'Cálculos'!$E$98)+1400)+'Cálculos'!$E$123)*'Cálculos'!$E$252)+('Cálculos'!$E$243+'Cálculos'!$E$124*(1+2.78*('Cálculos'!$E$198+(($C121)-$A$120:$A$165)*'Cálculos'!$E$98)/(('Cálculos'!$E$198+(($C121)-$A$120:$A$165)*'Cálculos'!$E$98)+1400)+'Cálculos'!$E$122)*'Cálculos'!$E$248+'Cálculos'!$E$125*(1+2.78*('Cálculos'!$E$198+(($C121)-$A$120:$A$165)*'Cálculos'!$E$98)/(('Cálculos'!$E$198+(($C121)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121)-$A$120:$A$165)*'Cálculos'!$E$98)/(('Cálculos'!$E$199+(($C121)-$A$120:$A$165)*'Cálculos'!$E$98)+1400)+'Cálculos'!$E$122)*'Cálculos'!$E$259+'Cálculos'!$E$125*(1+2.78*('Cálculos'!$E$199+(($C121)-$A$120:$A$165)*'Cálculos'!$E$98)/(('Cálculos'!$E$199+(($C121)-$A$120:$A$165)*'Cálculos'!$E$98)+1400)+'Cálculos'!$E$123)*'Cálculos'!$E$264)+('Cálculos'!$E$199+(($C121)-$A$120:$A$165)*'Cálculos'!$E$98)*('Cálculos'!$E$255+'Cálculos'!$E$124*(1+2.78*('Cálculos'!$E$199+(($C121)-$A$120:$A$165)*'Cálculos'!$E$98)/(('Cálculos'!$E$199+(($C121)-$A$120:$A$165)*'Cálculos'!$E$98)+1400)+'Cálculos'!$E$122)*'Cálculos'!$E$260+'Cálculos'!$E$125*(1+2.78*('Cálculos'!$E$199+(($C121)-$A$120:$A$165)*'Cálculos'!$E$98)/(('Cálculos'!$E$199+(($C121)-$A$120:$A$165)*'Cálculos'!$E$98)+1400)+'Cálculos'!$E$123)*'Cálculos'!$E$265)+('Cálculos'!$E$201*(1+'Cálculos'!$E$202+$A$120:$A$165*('Cálculos'!$E$290=2)*'Cálculos'!$E$101)+'Cálculos'!$E$203)*('Cálculos'!$E$256+'Cálculos'!$E$124*(1+2.78*('Cálculos'!$E$199+(($C121)-$A$120:$A$165)*'Cálculos'!$E$98)/(('Cálculos'!$E$199+(($C121)-$A$120:$A$165)*'Cálculos'!$E$98)+1400)+'Cálculos'!$E$122)*'Cálculos'!$E$261+'Cálculos'!$E$125*(1+2.78*('Cálculos'!$E$199+(($C121)-$A$120:$A$165)*'Cálculos'!$E$98)/(('Cálculos'!$E$199+(($C121)-$A$120:$A$165)*'Cálculos'!$E$98)+1400)+'Cálculos'!$E$123)*'Cálculos'!$E$266)+('Cálculos'!$E$204*(1+'Cálculos'!$E$205+$A$120:$A$165*('Cálculos'!$E$290=3)*'Cálculos'!$E$103)+'Cálculos'!$E$206)*('Cálculos'!$E$257+'Cálculos'!$E$124*(1+2.78*('Cálculos'!$E$199+(($C121)-$A$120:$A$165)*'Cálculos'!$E$98)/(('Cálculos'!$E$199+(($C121)-$A$120:$A$165)*'Cálculos'!$E$98)+1400)+'Cálculos'!$E$122)*'Cálculos'!$E$262+'Cálculos'!$E$125*(1+2.78*('Cálculos'!$E$199+(($C121)-$A$120:$A$165)*'Cálculos'!$E$98)/(('Cálculos'!$E$199+(($C121)-$A$120:$A$165)*'Cálculos'!$E$98)+1400)+'Cálculos'!$E$123)*'Cálculos'!$E$267)+('Cálculos'!$E$258+'Cálculos'!$E$124*(1+2.78*('Cálculos'!$E$199+(($C121)-$A$120:$A$165)*'Cálculos'!$E$98)/(('Cálculos'!$E$199+(($C121)-$A$120:$A$165)*'Cálculos'!$E$98)+1400)+'Cálculos'!$E$122)*'Cálculos'!$E$263+'Cálculos'!$E$125*(1+2.78*('Cálculos'!$E$199+(($C121)-$A$120:$A$165)*'Cálculos'!$E$98)/(('Cálculos'!$E$199+(($C121)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121)-$A$120:$A$165)*'Cálculos'!$E$98)/(('Cálculos'!$E$200+(($C121)-$A$120:$A$165)*'Cálculos'!$E$98)+1400)+'Cálculos'!$E$122)*'Cálculos'!$E$274+'Cálculos'!$E$125*(1+2.78*('Cálculos'!$E$200+(($C121)-$A$120:$A$165)*'Cálculos'!$E$98)/(('Cálculos'!$E$200+(($C121)-$A$120:$A$165)*'Cálculos'!$E$98)+1400)+'Cálculos'!$E$123)*'Cálculos'!$E$279)+('Cálculos'!$E$200+(($C121)-$A$120:$A$165)*'Cálculos'!$E$98)*('Cálculos'!$E$270+'Cálculos'!$E$124*(1+2.78*('Cálculos'!$E$200+(($C121)-$A$120:$A$165)*'Cálculos'!$E$98)/(('Cálculos'!$E$200+(($C121)-$A$120:$A$165)*'Cálculos'!$E$98)+1400)+'Cálculos'!$E$122)*'Cálculos'!$E$275+'Cálculos'!$E$125*(1+2.78*('Cálculos'!$E$200+(($C121)-$A$120:$A$165)*'Cálculos'!$E$98)/(('Cálculos'!$E$200+(($C121)-$A$120:$A$165)*'Cálculos'!$E$98)+1400)+'Cálculos'!$E$123)*'Cálculos'!$E$280)+('Cálculos'!$E$201*(1+'Cálculos'!$E$202+$A$120:$A$165*('Cálculos'!$E$290=2)*'Cálculos'!$E$101)+'Cálculos'!$E$203)*('Cálculos'!$E$271+'Cálculos'!$E$124*(1+2.78*('Cálculos'!$E$200+(($C121)-$A$120:$A$165)*'Cálculos'!$E$98)/(('Cálculos'!$E$200+(($C121)-$A$120:$A$165)*'Cálculos'!$E$98)+1400)+'Cálculos'!$E$122)*'Cálculos'!$E$276+'Cálculos'!$E$125*(1+2.78*('Cálculos'!$E$200+(($C121)-$A$120:$A$165)*'Cálculos'!$E$98)/(('Cálculos'!$E$200+(($C121)-$A$120:$A$165)*'Cálculos'!$E$98)+1400)+'Cálculos'!$E$123)*'Cálculos'!$E$281)+('Cálculos'!$E$204*(1+'Cálculos'!$E$205+$A$120:$A$165*('Cálculos'!$E$290=3)*'Cálculos'!$E$103)+'Cálculos'!$E$206)*('Cálculos'!$E$272+'Cálculos'!$E$124*(1+2.78*('Cálculos'!$E$200+(($C121)-$A$120:$A$165)*'Cálculos'!$E$98)/(('Cálculos'!$E$200+(($C121)-$A$120:$A$165)*'Cálculos'!$E$98)+1400)+'Cálculos'!$E$122)*'Cálculos'!$E$277+'Cálculos'!$E$125*(1+2.78*('Cálculos'!$E$200+(($C121)-$A$120:$A$165)*'Cálculos'!$E$98)/(('Cálculos'!$E$200+(($C121)-$A$120:$A$165)*'Cálculos'!$E$98)+1400)+'Cálculos'!$E$123)*'Cálculos'!$E$282)+('Cálculos'!$E$273+'Cálculos'!$E$124*(1+2.78*('Cálculos'!$E$200+(($C121)-$A$120:$A$165)*'Cálculos'!$E$98)/(('Cálculos'!$E$200+(($C121)-$A$120:$A$165)*'Cálculos'!$E$98)+1400)+'Cálculos'!$E$122)*'Cálculos'!$E$278+'Cálculos'!$E$125*(1+2.78*('Cálculos'!$E$200+(($C121)-$A$120:$A$165)*'Cálculos'!$E$98)/(('Cálculos'!$E$200+(($C121)-$A$120:$A$165)*'Cálculos'!$E$98)+1400)+'Cálculos'!$E$123)*'Cálculos'!$E$283)))))</f>
        <v>22011.59019</v>
      </c>
      <c r="E121" s="32">
        <f>IF(OR($C121&lt;0,'Cálculos'!$E$6=""),0,$B121*$D121)</f>
        <v>28572.0566</v>
      </c>
      <c r="F121" s="2"/>
      <c r="G121" s="30">
        <f>($A121&lt;=$B$167)*($A121&lt;='Cálculos'!$E$294)*(($B$167)-$A121&lt;='Cálculos'!$E$295)*(1+MIN(('Cálculos'!$E$207+$A121*'Cálculos'!$E$95),1)*('Cálculos'!$E$208+(($B$167)-$A121)*'Cálculos'!$E$96))</f>
        <v>1.65504</v>
      </c>
      <c r="H121" s="31">
        <f>IF($B$168&lt;0,0,($A121&lt;=$B$168)*($A121&lt;='Cálculos'!$E$301)*(($B$168)-$A121&lt;='Cálculos'!$E$297)*(('Cálculos'!$E$185*(1+'Cálculos'!$E$186+$A121*('Cálculos'!$E$290=1)*'Cálculos'!$E$97+'Cálculos'!$E$305)+'Cálculos'!$E$191)*('Cálculos'!$E$209+'Cálculos'!$E$124*(1+2.78*('Cálculos'!$E$196+(($B$168)-$A121)*'Cálculos'!$E$98)/(('Cálculos'!$E$196+(($B$168)-$A121)*'Cálculos'!$E$98)+1400)+'Cálculos'!$E$122)*'Cálculos'!$E$214+'Cálculos'!$E$125*(1+2.78*('Cálculos'!$E$196+(($B$168)-$A121)*'Cálculos'!$E$98)/(('Cálculos'!$E$196+(($B$168)-$A121)*'Cálculos'!$E$98)+1400)+'Cálculos'!$E$123)*'Cálculos'!$E$219)+('Cálculos'!$E$196+(($B$168)-$A121)*'Cálculos'!$E$98)*('Cálculos'!$E$210+'Cálculos'!$E$124*(1+2.78*('Cálculos'!$E$196+(($B$168)-$A121)*'Cálculos'!$E$98)/(('Cálculos'!$E$196+(($B$168)-$A121)*'Cálculos'!$E$98)+1400)+'Cálculos'!$E$122)*'Cálculos'!$E$215+'Cálculos'!$E$125*(1+2.78*('Cálculos'!$E$196+(($B$168)-$A121)*'Cálculos'!$E$98)/(('Cálculos'!$E$196+(($B$168)-$A121)*'Cálculos'!$E$98)+1400)+'Cálculos'!$E$123)*'Cálculos'!$E$220)+('Cálculos'!$E$201*(1+'Cálculos'!$E$202+$A121*('Cálculos'!$E$290=2)*'Cálculos'!$E$101)+'Cálculos'!$E$203)*('Cálculos'!$E$211+'Cálculos'!$E$124*(1+2.78*('Cálculos'!$E$196+(($B$168)-$A121)*'Cálculos'!$E$98)/(('Cálculos'!$E$196+(($B$168)-$A121)*'Cálculos'!$E$98)+1400)+'Cálculos'!$E$122)*'Cálculos'!$E$216+'Cálculos'!$E$125*(1+2.78*('Cálculos'!$E$196+(($B$168)-$A121)*'Cálculos'!$E$98)/(('Cálculos'!$E$196+(($B$168)-$A121)*'Cálculos'!$E$98)+1400)+'Cálculos'!$E$123)*'Cálculos'!$E$221)+('Cálculos'!$E$204*(1+'Cálculos'!$E$205+$A121*('Cálculos'!$E$290=3)*'Cálculos'!$E$103)+'Cálculos'!$E$206)*('Cálculos'!$E$212+'Cálculos'!$E$124*(1+2.78*('Cálculos'!$E$196+(($B$168)-$A121)*'Cálculos'!$E$98)/(('Cálculos'!$E$196+(($B$168)-$A121)*'Cálculos'!$E$98)+1400)+'Cálculos'!$E$122)*'Cálculos'!$E$217+'Cálculos'!$E$125*(1+2.78*('Cálculos'!$E$196+(($B$168)-$A121)*'Cálculos'!$E$98)/(('Cálculos'!$E$196+(($B$168)-$A121)*'Cálculos'!$E$98)+1400)+'Cálculos'!$E$123)*'Cálculos'!$E$222)+('Cálculos'!$E$213+'Cálculos'!$E$124*(1+2.78*('Cálculos'!$E$196+(($B$168)-$A121)*'Cálculos'!$E$98)/(('Cálculos'!$E$196+(($B$168)-$A121)*'Cálculos'!$E$98)+1400)+'Cálculos'!$E$122)*'Cálculos'!$E$218+'Cálculos'!$E$125*(1+2.78*('Cálculos'!$E$196+(($B$168)-$A121)*'Cálculos'!$E$98)/(('Cálculos'!$E$196+(($B$168)-$A121)*'Cálculos'!$E$98)+1400)+'Cálculos'!$E$123)*'Cálculos'!$E$223)+('Cálculos'!$E$185*(1+'Cálculos'!$E$187+$A121*('Cálculos'!$E$290=1)*'Cálculos'!$E$97+'Cálculos'!$E$305)+'Cálculos'!$E$192)*('Cálculos'!$E$224+'Cálculos'!$E$124*(1+2.78*('Cálculos'!$E$197+(($B$168)-$A121)*'Cálculos'!$E$98)/(('Cálculos'!$E$197+(($B$168)-$A121)*'Cálculos'!$E$98)+1400)+'Cálculos'!$E$122)*'Cálculos'!$E$229+'Cálculos'!$E$125*(1+2.78*('Cálculos'!$E$197+(($B$168)-$A121)*'Cálculos'!$E$98)/(('Cálculos'!$E$197+(($B$168)-$A121)*'Cálculos'!$E$98)+1400)+'Cálculos'!$E$123)*'Cálculos'!$E$234)+('Cálculos'!$E$197+(($B$168)-$A121)*'Cálculos'!$E$98)*('Cálculos'!$E$225+'Cálculos'!$E$124*(1+2.78*('Cálculos'!$E$197+(($B$168)-$A121)*'Cálculos'!$E$98)/(('Cálculos'!$E$197+(($B$168)-$A121)*'Cálculos'!$E$98)+1400)+'Cálculos'!$E$122)*'Cálculos'!$E$230+'Cálculos'!$E$125*(1+2.78*('Cálculos'!$E$197+(($B$168)-$A121)*'Cálculos'!$E$98)/(('Cálculos'!$E$197+(($B$168)-$A121)*'Cálculos'!$E$98)+1400)+'Cálculos'!$E$123)*'Cálculos'!$E$235)+('Cálculos'!$E$201*(1+'Cálculos'!$E$202+$A121*('Cálculos'!$E$290=2)*'Cálculos'!$E$101)+'Cálculos'!$E$203)*('Cálculos'!$E$226+'Cálculos'!$E$124*(1+2.78*('Cálculos'!$E$197+(($B$168)-$A121)*'Cálculos'!$E$98)/(('Cálculos'!$E$197+(($B$168)-$A121)*'Cálculos'!$E$98)+1400)+'Cálculos'!$E$122)*'Cálculos'!$E$231+'Cálculos'!$E$125*(1+2.78*('Cálculos'!$E$197+(($B$168)-$A121)*'Cálculos'!$E$98)/(('Cálculos'!$E$197+(($B$168)-$A121)*'Cálculos'!$E$98)+1400)+'Cálculos'!$E$123)*'Cálculos'!$E$236)+('Cálculos'!$E$204*(1+'Cálculos'!$E$205+$A121*('Cálculos'!$E$290=3)*'Cálculos'!$E$103)+'Cálculos'!$E$206)*('Cálculos'!$E$227+'Cálculos'!$E$124*(1+2.78*('Cálculos'!$E$197+(($B$168)-$A121)*'Cálculos'!$E$98)/(('Cálculos'!$E$197+(($B$168)-$A121)*'Cálculos'!$E$98)+1400)+'Cálculos'!$E$122)*'Cálculos'!$E$232+'Cálculos'!$E$125*(1+2.78*('Cálculos'!$E$197+(($B$168)-$A121)*'Cálculos'!$E$98)/(('Cálculos'!$E$197+(($B$168)-$A121)*'Cálculos'!$E$98)+1400)+'Cálculos'!$E$123)*'Cálculos'!$E$237)+('Cálculos'!$E$228+'Cálculos'!$E$124*(1+2.78*('Cálculos'!$E$197+(($B$168)-$A121)*'Cálculos'!$E$98)/(('Cálculos'!$E$197+(($B$168)-$A121)*'Cálculos'!$E$98)+1400)+'Cálculos'!$E$122)*'Cálculos'!$E$233+'Cálculos'!$E$125*(1+2.78*('Cálculos'!$E$197+(($B$168)-$A121)*'Cálculos'!$E$98)/(('Cálculos'!$E$197+(($B$168)-$A121)*'Cálculos'!$E$98)+1400)+'Cálculos'!$E$123)*'Cálculos'!$E$238)+('Cálculos'!$E$185*(1+'Cálculos'!$E$188+$A121*('Cálculos'!$E$290=1)*'Cálculos'!$E$97+'Cálculos'!$E$305)+'Cálculos'!$E$193)*('Cálculos'!$E$239+'Cálculos'!$E$124*(1+2.78*('Cálculos'!$E$198+(($B$168)-$A121)*'Cálculos'!$E$98)/(('Cálculos'!$E$198+(($B$168)-$A121)*'Cálculos'!$E$98)+1400)+'Cálculos'!$E$122)*'Cálculos'!$E$244+'Cálculos'!$E$125*(1+2.78*('Cálculos'!$E$198+(($B$168)-$A121)*'Cálculos'!$E$98)/(('Cálculos'!$E$198+(($B$168)-$A121)*'Cálculos'!$E$98)+1400)+'Cálculos'!$E$123)*'Cálculos'!$E$249)+('Cálculos'!$E$198+(($B$168)-$A121)*'Cálculos'!$E$98)*('Cálculos'!$E$240+'Cálculos'!$E$124*(1+2.78*('Cálculos'!$E$198+(($B$168)-$A121)*'Cálculos'!$E$98)/(('Cálculos'!$E$198+(($B$168)-$A121)*'Cálculos'!$E$98)+1400)+'Cálculos'!$E$122)*'Cálculos'!$E$245+'Cálculos'!$E$125*(1+2.78*('Cálculos'!$E$198+(($B$168)-$A121)*'Cálculos'!$E$98)/(('Cálculos'!$E$198+(($B$168)-$A121)*'Cálculos'!$E$98)+1400)+'Cálculos'!$E$123)*'Cálculos'!$E$250)+('Cálculos'!$E$201*(1+'Cálculos'!$E$202+$A121*('Cálculos'!$E$290=2)*'Cálculos'!$E$101)+'Cálculos'!$E$203)*('Cálculos'!$E$241+'Cálculos'!$E$124*(1+2.78*('Cálculos'!$E$198+(($B$168)-$A121)*'Cálculos'!$E$98)/(('Cálculos'!$E$198+(($B$168)-$A121)*'Cálculos'!$E$98)+1400)+'Cálculos'!$E$122)*'Cálculos'!$E$246+'Cálculos'!$E$125*(1+2.78*('Cálculos'!$E$198+(($B$168)-$A121)*'Cálculos'!$E$98)/(('Cálculos'!$E$198+(($B$168)-$A121)*'Cálculos'!$E$98)+1400)+'Cálculos'!$E$123)*'Cálculos'!$E$251)+('Cálculos'!$E$204*(1+'Cálculos'!$E$205+$A121*('Cálculos'!$E$290=3)*'Cálculos'!$E$103)+'Cálculos'!$E$206)*('Cálculos'!$E$242+'Cálculos'!$E$124*(1+2.78*('Cálculos'!$E$198+(($B$168)-$A121)*'Cálculos'!$E$98)/(('Cálculos'!$E$198+(($B$168)-$A121)*'Cálculos'!$E$98)+1400)+'Cálculos'!$E$122)*'Cálculos'!$E$247+'Cálculos'!$E$125*(1+2.78*('Cálculos'!$E$198+(($B$168)-$A121)*'Cálculos'!$E$98)/(('Cálculos'!$E$198+(($B$168)-$A121)*'Cálculos'!$E$98)+1400)+'Cálculos'!$E$123)*'Cálculos'!$E$252)+('Cálculos'!$E$243+'Cálculos'!$E$124*(1+2.78*('Cálculos'!$E$198+(($B$168)-$A121)*'Cálculos'!$E$98)/(('Cálculos'!$E$198+(($B$168)-$A121)*'Cálculos'!$E$98)+1400)+'Cálculos'!$E$122)*'Cálculos'!$E$248+'Cálculos'!$E$125*(1+2.78*('Cálculos'!$E$198+(($B$168)-$A121)*'Cálculos'!$E$98)/(('Cálculos'!$E$198+(($B$168)-$A121)*'Cálculos'!$E$98)+1400)+'Cálculos'!$E$123)*'Cálculos'!$E$253)+('Cálculos'!$E$185*(1+'Cálculos'!$E$189+$A121*('Cálculos'!$E$290=1)*'Cálculos'!$E$97+'Cálculos'!$E$305)+'Cálculos'!$E$194)*('Cálculos'!$E$254+'Cálculos'!$E$124*(1+2.78*('Cálculos'!$E$199+(($B$168)-$A121)*'Cálculos'!$E$98)/(('Cálculos'!$E$199+(($B$168)-$A121)*'Cálculos'!$E$98)+1400)+'Cálculos'!$E$122)*'Cálculos'!$E$259+'Cálculos'!$E$125*(1+2.78*('Cálculos'!$E$199+(($B$168)-$A121)*'Cálculos'!$E$98)/(('Cálculos'!$E$199+(($B$168)-$A121)*'Cálculos'!$E$98)+1400)+'Cálculos'!$E$123)*'Cálculos'!$E$264)+('Cálculos'!$E$199+(($B$168)-$A121)*'Cálculos'!$E$98)*('Cálculos'!$E$255+'Cálculos'!$E$124*(1+2.78*('Cálculos'!$E$199+(($B$168)-$A121)*'Cálculos'!$E$98)/(('Cálculos'!$E$199+(($B$168)-$A121)*'Cálculos'!$E$98)+1400)+'Cálculos'!$E$122)*'Cálculos'!$E$260+'Cálculos'!$E$125*(1+2.78*('Cálculos'!$E$199+(($B$168)-$A121)*'Cálculos'!$E$98)/(('Cálculos'!$E$199+(($B$168)-$A121)*'Cálculos'!$E$98)+1400)+'Cálculos'!$E$123)*'Cálculos'!$E$265)+('Cálculos'!$E$201*(1+'Cálculos'!$E$202+$A121*('Cálculos'!$E$290=2)*'Cálculos'!$E$101)+'Cálculos'!$E$203)*('Cálculos'!$E$256+'Cálculos'!$E$124*(1+2.78*('Cálculos'!$E$199+(($B$168)-$A121)*'Cálculos'!$E$98)/(('Cálculos'!$E$199+(($B$168)-$A121)*'Cálculos'!$E$98)+1400)+'Cálculos'!$E$122)*'Cálculos'!$E$261+'Cálculos'!$E$125*(1+2.78*('Cálculos'!$E$199+(($B$168)-$A121)*'Cálculos'!$E$98)/(('Cálculos'!$E$199+(($B$168)-$A121)*'Cálculos'!$E$98)+1400)+'Cálculos'!$E$123)*'Cálculos'!$E$266)+('Cálculos'!$E$204*(1+'Cálculos'!$E$205+$A121*('Cálculos'!$E$290=3)*'Cálculos'!$E$103)+'Cálculos'!$E$206)*('Cálculos'!$E$257+'Cálculos'!$E$124*(1+2.78*('Cálculos'!$E$199+(($B$168)-$A121)*'Cálculos'!$E$98)/(('Cálculos'!$E$199+(($B$168)-$A121)*'Cálculos'!$E$98)+1400)+'Cálculos'!$E$122)*'Cálculos'!$E$262+'Cálculos'!$E$125*(1+2.78*('Cálculos'!$E$199+(($B$168)-$A121)*'Cálculos'!$E$98)/(('Cálculos'!$E$199+(($B$168)-$A121)*'Cálculos'!$E$98)+1400)+'Cálculos'!$E$123)*'Cálculos'!$E$267)+('Cálculos'!$E$258+'Cálculos'!$E$124*(1+2.78*('Cálculos'!$E$199+(($B$168)-$A121)*'Cálculos'!$E$98)/(('Cálculos'!$E$199+(($B$168)-$A121)*'Cálculos'!$E$98)+1400)+'Cálculos'!$E$122)*'Cálculos'!$E$263+'Cálculos'!$E$125*(1+2.78*('Cálculos'!$E$199+(($B$168)-$A121)*'Cálculos'!$E$98)/(('Cálculos'!$E$199+(($B$168)-$A121)*'Cálculos'!$E$98)+1400)+'Cálculos'!$E$123)*'Cálculos'!$E$268)+('Cálculos'!$E$185*(1+'Cálculos'!$E$190+$A121*('Cálculos'!$E$290=1)*'Cálculos'!$E$97+'Cálculos'!$E$305)+'Cálculos'!$E$195)*('Cálculos'!$E$269+'Cálculos'!$E$124*(1+2.78*('Cálculos'!$E$200+(($B$168)-$A121)*'Cálculos'!$E$98)/(('Cálculos'!$E$200+(($B$168)-$A121)*'Cálculos'!$E$98)+1400)+'Cálculos'!$E$122)*'Cálculos'!$E$274+'Cálculos'!$E$125*(1+2.78*('Cálculos'!$E$200+(($B$168)-$A121)*'Cálculos'!$E$98)/(('Cálculos'!$E$200+(($B$168)-$A121)*'Cálculos'!$E$98)+1400)+'Cálculos'!$E$123)*'Cálculos'!$E$279)+('Cálculos'!$E$200+(($B$168)-$A121)*'Cálculos'!$E$98)*('Cálculos'!$E$270+'Cálculos'!$E$124*(1+2.78*('Cálculos'!$E$200+(($B$168)-$A121)*'Cálculos'!$E$98)/(('Cálculos'!$E$200+(($B$168)-$A121)*'Cálculos'!$E$98)+1400)+'Cálculos'!$E$122)*'Cálculos'!$E$275+'Cálculos'!$E$125*(1+2.78*('Cálculos'!$E$200+(($B$168)-$A121)*'Cálculos'!$E$98)/(('Cálculos'!$E$200+(($B$168)-$A121)*'Cálculos'!$E$98)+1400)+'Cálculos'!$E$123)*'Cálculos'!$E$280)+('Cálculos'!$E$201*(1+'Cálculos'!$E$202+$A121*('Cálculos'!$E$290=2)*'Cálculos'!$E$101)+'Cálculos'!$E$203)*('Cálculos'!$E$271+'Cálculos'!$E$124*(1+2.78*('Cálculos'!$E$200+(($B$168)-$A121)*'Cálculos'!$E$98)/(('Cálculos'!$E$200+(($B$168)-$A121)*'Cálculos'!$E$98)+1400)+'Cálculos'!$E$122)*'Cálculos'!$E$276+'Cálculos'!$E$125*(1+2.78*('Cálculos'!$E$200+(($B$168)-$A121)*'Cálculos'!$E$98)/(('Cálculos'!$E$200+(($B$168)-$A121)*'Cálculos'!$E$98)+1400)+'Cálculos'!$E$123)*'Cálculos'!$E$281)+('Cálculos'!$E$204*(1+'Cálculos'!$E$205+$A121*('Cálculos'!$E$290=3)*'Cálculos'!$E$103)+'Cálculos'!$E$206)*('Cálculos'!$E$272+'Cálculos'!$E$124*(1+2.78*('Cálculos'!$E$200+(($B$168)-$A121)*'Cálculos'!$E$98)/(('Cálculos'!$E$200+(($B$168)-$A121)*'Cálculos'!$E$98)+1400)+'Cálculos'!$E$122)*'Cálculos'!$E$277+'Cálculos'!$E$125*(1+2.78*('Cálculos'!$E$200+(($B$168)-$A121)*'Cálculos'!$E$98)/(('Cálculos'!$E$200+(($B$168)-$A121)*'Cálculos'!$E$98)+1400)+'Cálculos'!$E$123)*'Cálculos'!$E$282)+('Cálculos'!$E$273+'Cálculos'!$E$124*(1+2.78*('Cálculos'!$E$200+(($B$168)-$A121)*'Cálculos'!$E$98)/(('Cálculos'!$E$200+(($B$168)-$A121)*'Cálculos'!$E$98)+1400)+'Cálculos'!$E$122)*'Cálculos'!$E$278+'Cálculos'!$E$125*(1+2.78*('Cálculos'!$E$200+(($B$168)-$A121)*'Cálculos'!$E$98)/(('Cálculos'!$E$200+(($B$168)-$A121)*'Cálculos'!$E$98)+1400)+'Cálculos'!$E$123)*'Cálculos'!$E$283)))</f>
        <v>0</v>
      </c>
    </row>
    <row r="122" ht="15.75" customHeight="1">
      <c r="A122" s="2">
        <v>2.0</v>
      </c>
      <c r="B122" s="30">
        <f>SUMPRODUCT(MAX(($A$120:$A$165&lt;=$A122)*($A$120:$A$165&lt;='Cálculos'!$E$294)*(($A122)-$A$120:$A$165&lt;='Cálculos'!$E$295)*(1+(('Cálculos'!$E$207+$A$120:$A$165*'Cálculos'!$E$95)-(('Cálculos'!$E$207+$A$120:$A$165*'Cálculos'!$E$95)&gt;1)*(('Cálculos'!$E$207+$A$120:$A$165*'Cálculos'!$E$95)-1))*('Cálculos'!$E$208+(($A122)-$A$120:$A$165)*'Cálculos'!$E$96))))</f>
        <v>1.326228</v>
      </c>
      <c r="C122" s="2">
        <f>'Cálculos'!$E$303-$A122</f>
        <v>11</v>
      </c>
      <c r="D122" s="31">
        <f>IF($C122&lt;0,0,SUMPRODUCT(MAX(($A$120:$A$165&lt;=$C122)*($A$120:$A$165&lt;='Cálculos'!$E$301)*(($C122)-$A$120:$A$165&lt;='Cálculos'!$E$297)*(('Cálculos'!$E$185*(1+'Cálculos'!$E$186+$A$120:$A$165*('Cálculos'!$E$290=1)*'Cálculos'!$E$97+'Cálculos'!$E$305)+'Cálculos'!$E$191)*('Cálculos'!$E$209+'Cálculos'!$E$124*(1+2.78*('Cálculos'!$E$196+(($C122)-$A$120:$A$165)*'Cálculos'!$E$98)/(('Cálculos'!$E$196+(($C122)-$A$120:$A$165)*'Cálculos'!$E$98)+1400)+'Cálculos'!$E$122)*'Cálculos'!$E$214+'Cálculos'!$E$125*(1+2.78*('Cálculos'!$E$196+(($C122)-$A$120:$A$165)*'Cálculos'!$E$98)/(('Cálculos'!$E$196+(($C122)-$A$120:$A$165)*'Cálculos'!$E$98)+1400)+'Cálculos'!$E$123)*'Cálculos'!$E$219)+('Cálculos'!$E$196+(($C122)-$A$120:$A$165)*'Cálculos'!$E$98)*('Cálculos'!$E$210+'Cálculos'!$E$124*(1+2.78*('Cálculos'!$E$196+(($C122)-$A$120:$A$165)*'Cálculos'!$E$98)/(('Cálculos'!$E$196+(($C122)-$A$120:$A$165)*'Cálculos'!$E$98)+1400)+'Cálculos'!$E$122)*'Cálculos'!$E$215+'Cálculos'!$E$125*(1+2.78*('Cálculos'!$E$196+(($C122)-$A$120:$A$165)*'Cálculos'!$E$98)/(('Cálculos'!$E$196+(($C122)-$A$120:$A$165)*'Cálculos'!$E$98)+1400)+'Cálculos'!$E$123)*'Cálculos'!$E$220)+('Cálculos'!$E$201*(1+'Cálculos'!$E$202+$A$120:$A$165*('Cálculos'!$E$290=2)*'Cálculos'!$E$101)+'Cálculos'!$E$203)*('Cálculos'!$E$211+'Cálculos'!$E$124*(1+2.78*('Cálculos'!$E$196+(($C122)-$A$120:$A$165)*'Cálculos'!$E$98)/(('Cálculos'!$E$196+(($C122)-$A$120:$A$165)*'Cálculos'!$E$98)+1400)+'Cálculos'!$E$122)*'Cálculos'!$E$216+'Cálculos'!$E$125*(1+2.78*('Cálculos'!$E$196+(($C122)-$A$120:$A$165)*'Cálculos'!$E$98)/(('Cálculos'!$E$196+(($C122)-$A$120:$A$165)*'Cálculos'!$E$98)+1400)+'Cálculos'!$E$123)*'Cálculos'!$E$221)+('Cálculos'!$E$204*(1+'Cálculos'!$E$205+$A$120:$A$165*('Cálculos'!$E$290=3)*'Cálculos'!$E$103)+'Cálculos'!$E$206)*('Cálculos'!$E$212+'Cálculos'!$E$124*(1+2.78*('Cálculos'!$E$196+(($C122)-$A$120:$A$165)*'Cálculos'!$E$98)/(('Cálculos'!$E$196+(($C122)-$A$120:$A$165)*'Cálculos'!$E$98)+1400)+'Cálculos'!$E$122)*'Cálculos'!$E$217+'Cálculos'!$E$125*(1+2.78*('Cálculos'!$E$196+(($C122)-$A$120:$A$165)*'Cálculos'!$E$98)/(('Cálculos'!$E$196+(($C122)-$A$120:$A$165)*'Cálculos'!$E$98)+1400)+'Cálculos'!$E$123)*'Cálculos'!$E$222)+('Cálculos'!$E$213+'Cálculos'!$E$124*(1+2.78*('Cálculos'!$E$196+(($C122)-$A$120:$A$165)*'Cálculos'!$E$98)/(('Cálculos'!$E$196+(($C122)-$A$120:$A$165)*'Cálculos'!$E$98)+1400)+'Cálculos'!$E$122)*'Cálculos'!$E$218+'Cálculos'!$E$125*(1+2.78*('Cálculos'!$E$196+(($C122)-$A$120:$A$165)*'Cálculos'!$E$98)/(('Cálculos'!$E$196+(($C122)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122)-$A$120:$A$165)*'Cálculos'!$E$98)/(('Cálculos'!$E$197+(($C122)-$A$120:$A$165)*'Cálculos'!$E$98)+1400)+'Cálculos'!$E$122)*'Cálculos'!$E$229+'Cálculos'!$E$125*(1+2.78*('Cálculos'!$E$197+(($C122)-$A$120:$A$165)*'Cálculos'!$E$98)/(('Cálculos'!$E$197+(($C122)-$A$120:$A$165)*'Cálculos'!$E$98)+1400)+'Cálculos'!$E$123)*'Cálculos'!$E$234)+('Cálculos'!$E$197+(($C122)-$A$120:$A$165)*'Cálculos'!$E$98)*('Cálculos'!$E$225+'Cálculos'!$E$124*(1+2.78*('Cálculos'!$E$197+(($C122)-$A$120:$A$165)*'Cálculos'!$E$98)/(('Cálculos'!$E$197+(($C122)-$A$120:$A$165)*'Cálculos'!$E$98)+1400)+'Cálculos'!$E$122)*'Cálculos'!$E$230+'Cálculos'!$E$125*(1+2.78*('Cálculos'!$E$197+(($C122)-$A$120:$A$165)*'Cálculos'!$E$98)/(('Cálculos'!$E$197+(($C122)-$A$120:$A$165)*'Cálculos'!$E$98)+1400)+'Cálculos'!$E$123)*'Cálculos'!$E$235)+('Cálculos'!$E$201*(1+'Cálculos'!$E$202+$A$120:$A$165*('Cálculos'!$E$290=2)*'Cálculos'!$E$101)+'Cálculos'!$E$203)*('Cálculos'!$E$226+'Cálculos'!$E$124*(1+2.78*('Cálculos'!$E$197+(($C122)-$A$120:$A$165)*'Cálculos'!$E$98)/(('Cálculos'!$E$197+(($C122)-$A$120:$A$165)*'Cálculos'!$E$98)+1400)+'Cálculos'!$E$122)*'Cálculos'!$E$231+'Cálculos'!$E$125*(1+2.78*('Cálculos'!$E$197+(($C122)-$A$120:$A$165)*'Cálculos'!$E$98)/(('Cálculos'!$E$197+(($C122)-$A$120:$A$165)*'Cálculos'!$E$98)+1400)+'Cálculos'!$E$123)*'Cálculos'!$E$236)+('Cálculos'!$E$204*(1+'Cálculos'!$E$205+$A$120:$A$165*('Cálculos'!$E$290=3)*'Cálculos'!$E$103)+'Cálculos'!$E$206)*('Cálculos'!$E$227+'Cálculos'!$E$124*(1+2.78*('Cálculos'!$E$197+(($C122)-$A$120:$A$165)*'Cálculos'!$E$98)/(('Cálculos'!$E$197+(($C122)-$A$120:$A$165)*'Cálculos'!$E$98)+1400)+'Cálculos'!$E$122)*'Cálculos'!$E$232+'Cálculos'!$E$125*(1+2.78*('Cálculos'!$E$197+(($C122)-$A$120:$A$165)*'Cálculos'!$E$98)/(('Cálculos'!$E$197+(($C122)-$A$120:$A$165)*'Cálculos'!$E$98)+1400)+'Cálculos'!$E$123)*'Cálculos'!$E$237)+('Cálculos'!$E$228+'Cálculos'!$E$124*(1+2.78*('Cálculos'!$E$197+(($C122)-$A$120:$A$165)*'Cálculos'!$E$98)/(('Cálculos'!$E$197+(($C122)-$A$120:$A$165)*'Cálculos'!$E$98)+1400)+'Cálculos'!$E$122)*'Cálculos'!$E$233+'Cálculos'!$E$125*(1+2.78*('Cálculos'!$E$197+(($C122)-$A$120:$A$165)*'Cálculos'!$E$98)/(('Cálculos'!$E$197+(($C122)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122)-$A$120:$A$165)*'Cálculos'!$E$98)/(('Cálculos'!$E$198+(($C122)-$A$120:$A$165)*'Cálculos'!$E$98)+1400)+'Cálculos'!$E$122)*'Cálculos'!$E$244+'Cálculos'!$E$125*(1+2.78*('Cálculos'!$E$198+(($C122)-$A$120:$A$165)*'Cálculos'!$E$98)/(('Cálculos'!$E$198+(($C122)-$A$120:$A$165)*'Cálculos'!$E$98)+1400)+'Cálculos'!$E$123)*'Cálculos'!$E$249)+('Cálculos'!$E$198+(($C122)-$A$120:$A$165)*'Cálculos'!$E$98)*('Cálculos'!$E$240+'Cálculos'!$E$124*(1+2.78*('Cálculos'!$E$198+(($C122)-$A$120:$A$165)*'Cálculos'!$E$98)/(('Cálculos'!$E$198+(($C122)-$A$120:$A$165)*'Cálculos'!$E$98)+1400)+'Cálculos'!$E$122)*'Cálculos'!$E$245+'Cálculos'!$E$125*(1+2.78*('Cálculos'!$E$198+(($C122)-$A$120:$A$165)*'Cálculos'!$E$98)/(('Cálculos'!$E$198+(($C122)-$A$120:$A$165)*'Cálculos'!$E$98)+1400)+'Cálculos'!$E$123)*'Cálculos'!$E$250)+('Cálculos'!$E$201*(1+'Cálculos'!$E$202+$A$120:$A$165*('Cálculos'!$E$290=2)*'Cálculos'!$E$101)+'Cálculos'!$E$203)*('Cálculos'!$E$241+'Cálculos'!$E$124*(1+2.78*('Cálculos'!$E$198+(($C122)-$A$120:$A$165)*'Cálculos'!$E$98)/(('Cálculos'!$E$198+(($C122)-$A$120:$A$165)*'Cálculos'!$E$98)+1400)+'Cálculos'!$E$122)*'Cálculos'!$E$246+'Cálculos'!$E$125*(1+2.78*('Cálculos'!$E$198+(($C122)-$A$120:$A$165)*'Cálculos'!$E$98)/(('Cálculos'!$E$198+(($C122)-$A$120:$A$165)*'Cálculos'!$E$98)+1400)+'Cálculos'!$E$123)*'Cálculos'!$E$251)+('Cálculos'!$E$204*(1+'Cálculos'!$E$205+$A$120:$A$165*('Cálculos'!$E$290=3)*'Cálculos'!$E$103)+'Cálculos'!$E$206)*('Cálculos'!$E$242+'Cálculos'!$E$124*(1+2.78*('Cálculos'!$E$198+(($C122)-$A$120:$A$165)*'Cálculos'!$E$98)/(('Cálculos'!$E$198+(($C122)-$A$120:$A$165)*'Cálculos'!$E$98)+1400)+'Cálculos'!$E$122)*'Cálculos'!$E$247+'Cálculos'!$E$125*(1+2.78*('Cálculos'!$E$198+(($C122)-$A$120:$A$165)*'Cálculos'!$E$98)/(('Cálculos'!$E$198+(($C122)-$A$120:$A$165)*'Cálculos'!$E$98)+1400)+'Cálculos'!$E$123)*'Cálculos'!$E$252)+('Cálculos'!$E$243+'Cálculos'!$E$124*(1+2.78*('Cálculos'!$E$198+(($C122)-$A$120:$A$165)*'Cálculos'!$E$98)/(('Cálculos'!$E$198+(($C122)-$A$120:$A$165)*'Cálculos'!$E$98)+1400)+'Cálculos'!$E$122)*'Cálculos'!$E$248+'Cálculos'!$E$125*(1+2.78*('Cálculos'!$E$198+(($C122)-$A$120:$A$165)*'Cálculos'!$E$98)/(('Cálculos'!$E$198+(($C122)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122)-$A$120:$A$165)*'Cálculos'!$E$98)/(('Cálculos'!$E$199+(($C122)-$A$120:$A$165)*'Cálculos'!$E$98)+1400)+'Cálculos'!$E$122)*'Cálculos'!$E$259+'Cálculos'!$E$125*(1+2.78*('Cálculos'!$E$199+(($C122)-$A$120:$A$165)*'Cálculos'!$E$98)/(('Cálculos'!$E$199+(($C122)-$A$120:$A$165)*'Cálculos'!$E$98)+1400)+'Cálculos'!$E$123)*'Cálculos'!$E$264)+('Cálculos'!$E$199+(($C122)-$A$120:$A$165)*'Cálculos'!$E$98)*('Cálculos'!$E$255+'Cálculos'!$E$124*(1+2.78*('Cálculos'!$E$199+(($C122)-$A$120:$A$165)*'Cálculos'!$E$98)/(('Cálculos'!$E$199+(($C122)-$A$120:$A$165)*'Cálculos'!$E$98)+1400)+'Cálculos'!$E$122)*'Cálculos'!$E$260+'Cálculos'!$E$125*(1+2.78*('Cálculos'!$E$199+(($C122)-$A$120:$A$165)*'Cálculos'!$E$98)/(('Cálculos'!$E$199+(($C122)-$A$120:$A$165)*'Cálculos'!$E$98)+1400)+'Cálculos'!$E$123)*'Cálculos'!$E$265)+('Cálculos'!$E$201*(1+'Cálculos'!$E$202+$A$120:$A$165*('Cálculos'!$E$290=2)*'Cálculos'!$E$101)+'Cálculos'!$E$203)*('Cálculos'!$E$256+'Cálculos'!$E$124*(1+2.78*('Cálculos'!$E$199+(($C122)-$A$120:$A$165)*'Cálculos'!$E$98)/(('Cálculos'!$E$199+(($C122)-$A$120:$A$165)*'Cálculos'!$E$98)+1400)+'Cálculos'!$E$122)*'Cálculos'!$E$261+'Cálculos'!$E$125*(1+2.78*('Cálculos'!$E$199+(($C122)-$A$120:$A$165)*'Cálculos'!$E$98)/(('Cálculos'!$E$199+(($C122)-$A$120:$A$165)*'Cálculos'!$E$98)+1400)+'Cálculos'!$E$123)*'Cálculos'!$E$266)+('Cálculos'!$E$204*(1+'Cálculos'!$E$205+$A$120:$A$165*('Cálculos'!$E$290=3)*'Cálculos'!$E$103)+'Cálculos'!$E$206)*('Cálculos'!$E$257+'Cálculos'!$E$124*(1+2.78*('Cálculos'!$E$199+(($C122)-$A$120:$A$165)*'Cálculos'!$E$98)/(('Cálculos'!$E$199+(($C122)-$A$120:$A$165)*'Cálculos'!$E$98)+1400)+'Cálculos'!$E$122)*'Cálculos'!$E$262+'Cálculos'!$E$125*(1+2.78*('Cálculos'!$E$199+(($C122)-$A$120:$A$165)*'Cálculos'!$E$98)/(('Cálculos'!$E$199+(($C122)-$A$120:$A$165)*'Cálculos'!$E$98)+1400)+'Cálculos'!$E$123)*'Cálculos'!$E$267)+('Cálculos'!$E$258+'Cálculos'!$E$124*(1+2.78*('Cálculos'!$E$199+(($C122)-$A$120:$A$165)*'Cálculos'!$E$98)/(('Cálculos'!$E$199+(($C122)-$A$120:$A$165)*'Cálculos'!$E$98)+1400)+'Cálculos'!$E$122)*'Cálculos'!$E$263+'Cálculos'!$E$125*(1+2.78*('Cálculos'!$E$199+(($C122)-$A$120:$A$165)*'Cálculos'!$E$98)/(('Cálculos'!$E$199+(($C122)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122)-$A$120:$A$165)*'Cálculos'!$E$98)/(('Cálculos'!$E$200+(($C122)-$A$120:$A$165)*'Cálculos'!$E$98)+1400)+'Cálculos'!$E$122)*'Cálculos'!$E$274+'Cálculos'!$E$125*(1+2.78*('Cálculos'!$E$200+(($C122)-$A$120:$A$165)*'Cálculos'!$E$98)/(('Cálculos'!$E$200+(($C122)-$A$120:$A$165)*'Cálculos'!$E$98)+1400)+'Cálculos'!$E$123)*'Cálculos'!$E$279)+('Cálculos'!$E$200+(($C122)-$A$120:$A$165)*'Cálculos'!$E$98)*('Cálculos'!$E$270+'Cálculos'!$E$124*(1+2.78*('Cálculos'!$E$200+(($C122)-$A$120:$A$165)*'Cálculos'!$E$98)/(('Cálculos'!$E$200+(($C122)-$A$120:$A$165)*'Cálculos'!$E$98)+1400)+'Cálculos'!$E$122)*'Cálculos'!$E$275+'Cálculos'!$E$125*(1+2.78*('Cálculos'!$E$200+(($C122)-$A$120:$A$165)*'Cálculos'!$E$98)/(('Cálculos'!$E$200+(($C122)-$A$120:$A$165)*'Cálculos'!$E$98)+1400)+'Cálculos'!$E$123)*'Cálculos'!$E$280)+('Cálculos'!$E$201*(1+'Cálculos'!$E$202+$A$120:$A$165*('Cálculos'!$E$290=2)*'Cálculos'!$E$101)+'Cálculos'!$E$203)*('Cálculos'!$E$271+'Cálculos'!$E$124*(1+2.78*('Cálculos'!$E$200+(($C122)-$A$120:$A$165)*'Cálculos'!$E$98)/(('Cálculos'!$E$200+(($C122)-$A$120:$A$165)*'Cálculos'!$E$98)+1400)+'Cálculos'!$E$122)*'Cálculos'!$E$276+'Cálculos'!$E$125*(1+2.78*('Cálculos'!$E$200+(($C122)-$A$120:$A$165)*'Cálculos'!$E$98)/(('Cálculos'!$E$200+(($C122)-$A$120:$A$165)*'Cálculos'!$E$98)+1400)+'Cálculos'!$E$123)*'Cálculos'!$E$281)+('Cálculos'!$E$204*(1+'Cálculos'!$E$205+$A$120:$A$165*('Cálculos'!$E$290=3)*'Cálculos'!$E$103)+'Cálculos'!$E$206)*('Cálculos'!$E$272+'Cálculos'!$E$124*(1+2.78*('Cálculos'!$E$200+(($C122)-$A$120:$A$165)*'Cálculos'!$E$98)/(('Cálculos'!$E$200+(($C122)-$A$120:$A$165)*'Cálculos'!$E$98)+1400)+'Cálculos'!$E$122)*'Cálculos'!$E$277+'Cálculos'!$E$125*(1+2.78*('Cálculos'!$E$200+(($C122)-$A$120:$A$165)*'Cálculos'!$E$98)/(('Cálculos'!$E$200+(($C122)-$A$120:$A$165)*'Cálculos'!$E$98)+1400)+'Cálculos'!$E$123)*'Cálculos'!$E$282)+('Cálculos'!$E$273+'Cálculos'!$E$124*(1+2.78*('Cálculos'!$E$200+(($C122)-$A$120:$A$165)*'Cálculos'!$E$98)/(('Cálculos'!$E$200+(($C122)-$A$120:$A$165)*'Cálculos'!$E$98)+1400)+'Cálculos'!$E$122)*'Cálculos'!$E$278+'Cálculos'!$E$125*(1+2.78*('Cálculos'!$E$200+(($C122)-$A$120:$A$165)*'Cálculos'!$E$98)/(('Cálculos'!$E$200+(($C122)-$A$120:$A$165)*'Cálculos'!$E$98)+1400)+'Cálculos'!$E$123)*'Cálculos'!$E$283)))))</f>
        <v>21725.62726</v>
      </c>
      <c r="E122" s="32">
        <f>IF(OR($C122&lt;0,'Cálculos'!$E$6=""),0,$B122*$D122)</f>
        <v>28813.13518</v>
      </c>
      <c r="F122" s="2"/>
      <c r="G122" s="30">
        <f>($A122&lt;=$B$167)*($A122&lt;='Cálculos'!$E$294)*(($B$167)-$A122&lt;='Cálculos'!$E$295)*(1+MIN(('Cálculos'!$E$207+$A122*'Cálculos'!$E$95),1)*('Cálculos'!$E$208+(($B$167)-$A122)*'Cálculos'!$E$96))</f>
        <v>1.669494</v>
      </c>
      <c r="H122" s="31">
        <f>IF($B$168&lt;0,0,($A122&lt;=$B$168)*($A122&lt;='Cálculos'!$E$301)*(($B$168)-$A122&lt;='Cálculos'!$E$297)*(('Cálculos'!$E$185*(1+'Cálculos'!$E$186+$A122*('Cálculos'!$E$290=1)*'Cálculos'!$E$97+'Cálculos'!$E$305)+'Cálculos'!$E$191)*('Cálculos'!$E$209+'Cálculos'!$E$124*(1+2.78*('Cálculos'!$E$196+(($B$168)-$A122)*'Cálculos'!$E$98)/(('Cálculos'!$E$196+(($B$168)-$A122)*'Cálculos'!$E$98)+1400)+'Cálculos'!$E$122)*'Cálculos'!$E$214+'Cálculos'!$E$125*(1+2.78*('Cálculos'!$E$196+(($B$168)-$A122)*'Cálculos'!$E$98)/(('Cálculos'!$E$196+(($B$168)-$A122)*'Cálculos'!$E$98)+1400)+'Cálculos'!$E$123)*'Cálculos'!$E$219)+('Cálculos'!$E$196+(($B$168)-$A122)*'Cálculos'!$E$98)*('Cálculos'!$E$210+'Cálculos'!$E$124*(1+2.78*('Cálculos'!$E$196+(($B$168)-$A122)*'Cálculos'!$E$98)/(('Cálculos'!$E$196+(($B$168)-$A122)*'Cálculos'!$E$98)+1400)+'Cálculos'!$E$122)*'Cálculos'!$E$215+'Cálculos'!$E$125*(1+2.78*('Cálculos'!$E$196+(($B$168)-$A122)*'Cálculos'!$E$98)/(('Cálculos'!$E$196+(($B$168)-$A122)*'Cálculos'!$E$98)+1400)+'Cálculos'!$E$123)*'Cálculos'!$E$220)+('Cálculos'!$E$201*(1+'Cálculos'!$E$202+$A122*('Cálculos'!$E$290=2)*'Cálculos'!$E$101)+'Cálculos'!$E$203)*('Cálculos'!$E$211+'Cálculos'!$E$124*(1+2.78*('Cálculos'!$E$196+(($B$168)-$A122)*'Cálculos'!$E$98)/(('Cálculos'!$E$196+(($B$168)-$A122)*'Cálculos'!$E$98)+1400)+'Cálculos'!$E$122)*'Cálculos'!$E$216+'Cálculos'!$E$125*(1+2.78*('Cálculos'!$E$196+(($B$168)-$A122)*'Cálculos'!$E$98)/(('Cálculos'!$E$196+(($B$168)-$A122)*'Cálculos'!$E$98)+1400)+'Cálculos'!$E$123)*'Cálculos'!$E$221)+('Cálculos'!$E$204*(1+'Cálculos'!$E$205+$A122*('Cálculos'!$E$290=3)*'Cálculos'!$E$103)+'Cálculos'!$E$206)*('Cálculos'!$E$212+'Cálculos'!$E$124*(1+2.78*('Cálculos'!$E$196+(($B$168)-$A122)*'Cálculos'!$E$98)/(('Cálculos'!$E$196+(($B$168)-$A122)*'Cálculos'!$E$98)+1400)+'Cálculos'!$E$122)*'Cálculos'!$E$217+'Cálculos'!$E$125*(1+2.78*('Cálculos'!$E$196+(($B$168)-$A122)*'Cálculos'!$E$98)/(('Cálculos'!$E$196+(($B$168)-$A122)*'Cálculos'!$E$98)+1400)+'Cálculos'!$E$123)*'Cálculos'!$E$222)+('Cálculos'!$E$213+'Cálculos'!$E$124*(1+2.78*('Cálculos'!$E$196+(($B$168)-$A122)*'Cálculos'!$E$98)/(('Cálculos'!$E$196+(($B$168)-$A122)*'Cálculos'!$E$98)+1400)+'Cálculos'!$E$122)*'Cálculos'!$E$218+'Cálculos'!$E$125*(1+2.78*('Cálculos'!$E$196+(($B$168)-$A122)*'Cálculos'!$E$98)/(('Cálculos'!$E$196+(($B$168)-$A122)*'Cálculos'!$E$98)+1400)+'Cálculos'!$E$123)*'Cálculos'!$E$223)+('Cálculos'!$E$185*(1+'Cálculos'!$E$187+$A122*('Cálculos'!$E$290=1)*'Cálculos'!$E$97+'Cálculos'!$E$305)+'Cálculos'!$E$192)*('Cálculos'!$E$224+'Cálculos'!$E$124*(1+2.78*('Cálculos'!$E$197+(($B$168)-$A122)*'Cálculos'!$E$98)/(('Cálculos'!$E$197+(($B$168)-$A122)*'Cálculos'!$E$98)+1400)+'Cálculos'!$E$122)*'Cálculos'!$E$229+'Cálculos'!$E$125*(1+2.78*('Cálculos'!$E$197+(($B$168)-$A122)*'Cálculos'!$E$98)/(('Cálculos'!$E$197+(($B$168)-$A122)*'Cálculos'!$E$98)+1400)+'Cálculos'!$E$123)*'Cálculos'!$E$234)+('Cálculos'!$E$197+(($B$168)-$A122)*'Cálculos'!$E$98)*('Cálculos'!$E$225+'Cálculos'!$E$124*(1+2.78*('Cálculos'!$E$197+(($B$168)-$A122)*'Cálculos'!$E$98)/(('Cálculos'!$E$197+(($B$168)-$A122)*'Cálculos'!$E$98)+1400)+'Cálculos'!$E$122)*'Cálculos'!$E$230+'Cálculos'!$E$125*(1+2.78*('Cálculos'!$E$197+(($B$168)-$A122)*'Cálculos'!$E$98)/(('Cálculos'!$E$197+(($B$168)-$A122)*'Cálculos'!$E$98)+1400)+'Cálculos'!$E$123)*'Cálculos'!$E$235)+('Cálculos'!$E$201*(1+'Cálculos'!$E$202+$A122*('Cálculos'!$E$290=2)*'Cálculos'!$E$101)+'Cálculos'!$E$203)*('Cálculos'!$E$226+'Cálculos'!$E$124*(1+2.78*('Cálculos'!$E$197+(($B$168)-$A122)*'Cálculos'!$E$98)/(('Cálculos'!$E$197+(($B$168)-$A122)*'Cálculos'!$E$98)+1400)+'Cálculos'!$E$122)*'Cálculos'!$E$231+'Cálculos'!$E$125*(1+2.78*('Cálculos'!$E$197+(($B$168)-$A122)*'Cálculos'!$E$98)/(('Cálculos'!$E$197+(($B$168)-$A122)*'Cálculos'!$E$98)+1400)+'Cálculos'!$E$123)*'Cálculos'!$E$236)+('Cálculos'!$E$204*(1+'Cálculos'!$E$205+$A122*('Cálculos'!$E$290=3)*'Cálculos'!$E$103)+'Cálculos'!$E$206)*('Cálculos'!$E$227+'Cálculos'!$E$124*(1+2.78*('Cálculos'!$E$197+(($B$168)-$A122)*'Cálculos'!$E$98)/(('Cálculos'!$E$197+(($B$168)-$A122)*'Cálculos'!$E$98)+1400)+'Cálculos'!$E$122)*'Cálculos'!$E$232+'Cálculos'!$E$125*(1+2.78*('Cálculos'!$E$197+(($B$168)-$A122)*'Cálculos'!$E$98)/(('Cálculos'!$E$197+(($B$168)-$A122)*'Cálculos'!$E$98)+1400)+'Cálculos'!$E$123)*'Cálculos'!$E$237)+('Cálculos'!$E$228+'Cálculos'!$E$124*(1+2.78*('Cálculos'!$E$197+(($B$168)-$A122)*'Cálculos'!$E$98)/(('Cálculos'!$E$197+(($B$168)-$A122)*'Cálculos'!$E$98)+1400)+'Cálculos'!$E$122)*'Cálculos'!$E$233+'Cálculos'!$E$125*(1+2.78*('Cálculos'!$E$197+(($B$168)-$A122)*'Cálculos'!$E$98)/(('Cálculos'!$E$197+(($B$168)-$A122)*'Cálculos'!$E$98)+1400)+'Cálculos'!$E$123)*'Cálculos'!$E$238)+('Cálculos'!$E$185*(1+'Cálculos'!$E$188+$A122*('Cálculos'!$E$290=1)*'Cálculos'!$E$97+'Cálculos'!$E$305)+'Cálculos'!$E$193)*('Cálculos'!$E$239+'Cálculos'!$E$124*(1+2.78*('Cálculos'!$E$198+(($B$168)-$A122)*'Cálculos'!$E$98)/(('Cálculos'!$E$198+(($B$168)-$A122)*'Cálculos'!$E$98)+1400)+'Cálculos'!$E$122)*'Cálculos'!$E$244+'Cálculos'!$E$125*(1+2.78*('Cálculos'!$E$198+(($B$168)-$A122)*'Cálculos'!$E$98)/(('Cálculos'!$E$198+(($B$168)-$A122)*'Cálculos'!$E$98)+1400)+'Cálculos'!$E$123)*'Cálculos'!$E$249)+('Cálculos'!$E$198+(($B$168)-$A122)*'Cálculos'!$E$98)*('Cálculos'!$E$240+'Cálculos'!$E$124*(1+2.78*('Cálculos'!$E$198+(($B$168)-$A122)*'Cálculos'!$E$98)/(('Cálculos'!$E$198+(($B$168)-$A122)*'Cálculos'!$E$98)+1400)+'Cálculos'!$E$122)*'Cálculos'!$E$245+'Cálculos'!$E$125*(1+2.78*('Cálculos'!$E$198+(($B$168)-$A122)*'Cálculos'!$E$98)/(('Cálculos'!$E$198+(($B$168)-$A122)*'Cálculos'!$E$98)+1400)+'Cálculos'!$E$123)*'Cálculos'!$E$250)+('Cálculos'!$E$201*(1+'Cálculos'!$E$202+$A122*('Cálculos'!$E$290=2)*'Cálculos'!$E$101)+'Cálculos'!$E$203)*('Cálculos'!$E$241+'Cálculos'!$E$124*(1+2.78*('Cálculos'!$E$198+(($B$168)-$A122)*'Cálculos'!$E$98)/(('Cálculos'!$E$198+(($B$168)-$A122)*'Cálculos'!$E$98)+1400)+'Cálculos'!$E$122)*'Cálculos'!$E$246+'Cálculos'!$E$125*(1+2.78*('Cálculos'!$E$198+(($B$168)-$A122)*'Cálculos'!$E$98)/(('Cálculos'!$E$198+(($B$168)-$A122)*'Cálculos'!$E$98)+1400)+'Cálculos'!$E$123)*'Cálculos'!$E$251)+('Cálculos'!$E$204*(1+'Cálculos'!$E$205+$A122*('Cálculos'!$E$290=3)*'Cálculos'!$E$103)+'Cálculos'!$E$206)*('Cálculos'!$E$242+'Cálculos'!$E$124*(1+2.78*('Cálculos'!$E$198+(($B$168)-$A122)*'Cálculos'!$E$98)/(('Cálculos'!$E$198+(($B$168)-$A122)*'Cálculos'!$E$98)+1400)+'Cálculos'!$E$122)*'Cálculos'!$E$247+'Cálculos'!$E$125*(1+2.78*('Cálculos'!$E$198+(($B$168)-$A122)*'Cálculos'!$E$98)/(('Cálculos'!$E$198+(($B$168)-$A122)*'Cálculos'!$E$98)+1400)+'Cálculos'!$E$123)*'Cálculos'!$E$252)+('Cálculos'!$E$243+'Cálculos'!$E$124*(1+2.78*('Cálculos'!$E$198+(($B$168)-$A122)*'Cálculos'!$E$98)/(('Cálculos'!$E$198+(($B$168)-$A122)*'Cálculos'!$E$98)+1400)+'Cálculos'!$E$122)*'Cálculos'!$E$248+'Cálculos'!$E$125*(1+2.78*('Cálculos'!$E$198+(($B$168)-$A122)*'Cálculos'!$E$98)/(('Cálculos'!$E$198+(($B$168)-$A122)*'Cálculos'!$E$98)+1400)+'Cálculos'!$E$123)*'Cálculos'!$E$253)+('Cálculos'!$E$185*(1+'Cálculos'!$E$189+$A122*('Cálculos'!$E$290=1)*'Cálculos'!$E$97+'Cálculos'!$E$305)+'Cálculos'!$E$194)*('Cálculos'!$E$254+'Cálculos'!$E$124*(1+2.78*('Cálculos'!$E$199+(($B$168)-$A122)*'Cálculos'!$E$98)/(('Cálculos'!$E$199+(($B$168)-$A122)*'Cálculos'!$E$98)+1400)+'Cálculos'!$E$122)*'Cálculos'!$E$259+'Cálculos'!$E$125*(1+2.78*('Cálculos'!$E$199+(($B$168)-$A122)*'Cálculos'!$E$98)/(('Cálculos'!$E$199+(($B$168)-$A122)*'Cálculos'!$E$98)+1400)+'Cálculos'!$E$123)*'Cálculos'!$E$264)+('Cálculos'!$E$199+(($B$168)-$A122)*'Cálculos'!$E$98)*('Cálculos'!$E$255+'Cálculos'!$E$124*(1+2.78*('Cálculos'!$E$199+(($B$168)-$A122)*'Cálculos'!$E$98)/(('Cálculos'!$E$199+(($B$168)-$A122)*'Cálculos'!$E$98)+1400)+'Cálculos'!$E$122)*'Cálculos'!$E$260+'Cálculos'!$E$125*(1+2.78*('Cálculos'!$E$199+(($B$168)-$A122)*'Cálculos'!$E$98)/(('Cálculos'!$E$199+(($B$168)-$A122)*'Cálculos'!$E$98)+1400)+'Cálculos'!$E$123)*'Cálculos'!$E$265)+('Cálculos'!$E$201*(1+'Cálculos'!$E$202+$A122*('Cálculos'!$E$290=2)*'Cálculos'!$E$101)+'Cálculos'!$E$203)*('Cálculos'!$E$256+'Cálculos'!$E$124*(1+2.78*('Cálculos'!$E$199+(($B$168)-$A122)*'Cálculos'!$E$98)/(('Cálculos'!$E$199+(($B$168)-$A122)*'Cálculos'!$E$98)+1400)+'Cálculos'!$E$122)*'Cálculos'!$E$261+'Cálculos'!$E$125*(1+2.78*('Cálculos'!$E$199+(($B$168)-$A122)*'Cálculos'!$E$98)/(('Cálculos'!$E$199+(($B$168)-$A122)*'Cálculos'!$E$98)+1400)+'Cálculos'!$E$123)*'Cálculos'!$E$266)+('Cálculos'!$E$204*(1+'Cálculos'!$E$205+$A122*('Cálculos'!$E$290=3)*'Cálculos'!$E$103)+'Cálculos'!$E$206)*('Cálculos'!$E$257+'Cálculos'!$E$124*(1+2.78*('Cálculos'!$E$199+(($B$168)-$A122)*'Cálculos'!$E$98)/(('Cálculos'!$E$199+(($B$168)-$A122)*'Cálculos'!$E$98)+1400)+'Cálculos'!$E$122)*'Cálculos'!$E$262+'Cálculos'!$E$125*(1+2.78*('Cálculos'!$E$199+(($B$168)-$A122)*'Cálculos'!$E$98)/(('Cálculos'!$E$199+(($B$168)-$A122)*'Cálculos'!$E$98)+1400)+'Cálculos'!$E$123)*'Cálculos'!$E$267)+('Cálculos'!$E$258+'Cálculos'!$E$124*(1+2.78*('Cálculos'!$E$199+(($B$168)-$A122)*'Cálculos'!$E$98)/(('Cálculos'!$E$199+(($B$168)-$A122)*'Cálculos'!$E$98)+1400)+'Cálculos'!$E$122)*'Cálculos'!$E$263+'Cálculos'!$E$125*(1+2.78*('Cálculos'!$E$199+(($B$168)-$A122)*'Cálculos'!$E$98)/(('Cálculos'!$E$199+(($B$168)-$A122)*'Cálculos'!$E$98)+1400)+'Cálculos'!$E$123)*'Cálculos'!$E$268)+('Cálculos'!$E$185*(1+'Cálculos'!$E$190+$A122*('Cálculos'!$E$290=1)*'Cálculos'!$E$97+'Cálculos'!$E$305)+'Cálculos'!$E$195)*('Cálculos'!$E$269+'Cálculos'!$E$124*(1+2.78*('Cálculos'!$E$200+(($B$168)-$A122)*'Cálculos'!$E$98)/(('Cálculos'!$E$200+(($B$168)-$A122)*'Cálculos'!$E$98)+1400)+'Cálculos'!$E$122)*'Cálculos'!$E$274+'Cálculos'!$E$125*(1+2.78*('Cálculos'!$E$200+(($B$168)-$A122)*'Cálculos'!$E$98)/(('Cálculos'!$E$200+(($B$168)-$A122)*'Cálculos'!$E$98)+1400)+'Cálculos'!$E$123)*'Cálculos'!$E$279)+('Cálculos'!$E$200+(($B$168)-$A122)*'Cálculos'!$E$98)*('Cálculos'!$E$270+'Cálculos'!$E$124*(1+2.78*('Cálculos'!$E$200+(($B$168)-$A122)*'Cálculos'!$E$98)/(('Cálculos'!$E$200+(($B$168)-$A122)*'Cálculos'!$E$98)+1400)+'Cálculos'!$E$122)*'Cálculos'!$E$275+'Cálculos'!$E$125*(1+2.78*('Cálculos'!$E$200+(($B$168)-$A122)*'Cálculos'!$E$98)/(('Cálculos'!$E$200+(($B$168)-$A122)*'Cálculos'!$E$98)+1400)+'Cálculos'!$E$123)*'Cálculos'!$E$280)+('Cálculos'!$E$201*(1+'Cálculos'!$E$202+$A122*('Cálculos'!$E$290=2)*'Cálculos'!$E$101)+'Cálculos'!$E$203)*('Cálculos'!$E$271+'Cálculos'!$E$124*(1+2.78*('Cálculos'!$E$200+(($B$168)-$A122)*'Cálculos'!$E$98)/(('Cálculos'!$E$200+(($B$168)-$A122)*'Cálculos'!$E$98)+1400)+'Cálculos'!$E$122)*'Cálculos'!$E$276+'Cálculos'!$E$125*(1+2.78*('Cálculos'!$E$200+(($B$168)-$A122)*'Cálculos'!$E$98)/(('Cálculos'!$E$200+(($B$168)-$A122)*'Cálculos'!$E$98)+1400)+'Cálculos'!$E$123)*'Cálculos'!$E$281)+('Cálculos'!$E$204*(1+'Cálculos'!$E$205+$A122*('Cálculos'!$E$290=3)*'Cálculos'!$E$103)+'Cálculos'!$E$206)*('Cálculos'!$E$272+'Cálculos'!$E$124*(1+2.78*('Cálculos'!$E$200+(($B$168)-$A122)*'Cálculos'!$E$98)/(('Cálculos'!$E$200+(($B$168)-$A122)*'Cálculos'!$E$98)+1400)+'Cálculos'!$E$122)*'Cálculos'!$E$277+'Cálculos'!$E$125*(1+2.78*('Cálculos'!$E$200+(($B$168)-$A122)*'Cálculos'!$E$98)/(('Cálculos'!$E$200+(($B$168)-$A122)*'Cálculos'!$E$98)+1400)+'Cálculos'!$E$123)*'Cálculos'!$E$282)+('Cálculos'!$E$273+'Cálculos'!$E$124*(1+2.78*('Cálculos'!$E$200+(($B$168)-$A122)*'Cálculos'!$E$98)/(('Cálculos'!$E$200+(($B$168)-$A122)*'Cálculos'!$E$98)+1400)+'Cálculos'!$E$122)*'Cálculos'!$E$278+'Cálculos'!$E$125*(1+2.78*('Cálculos'!$E$200+(($B$168)-$A122)*'Cálculos'!$E$98)/(('Cálculos'!$E$200+(($B$168)-$A122)*'Cálculos'!$E$98)+1400)+'Cálculos'!$E$123)*'Cálculos'!$E$283)))</f>
        <v>0</v>
      </c>
    </row>
    <row r="123" ht="15.75" customHeight="1">
      <c r="A123" s="2">
        <v>3.0</v>
      </c>
      <c r="B123" s="30">
        <f>SUMPRODUCT(MAX(($A$120:$A$165&lt;=$A123)*($A$120:$A$165&lt;='Cálculos'!$E$294)*(($A123)-$A$120:$A$165&lt;='Cálculos'!$E$295)*(1+(('Cálculos'!$E$207+$A$120:$A$165*'Cálculos'!$E$95)-(('Cálculos'!$E$207+$A$120:$A$165*'Cálculos'!$E$95)&gt;1)*(('Cálculos'!$E$207+$A$120:$A$165*'Cálculos'!$E$95)-1))*('Cálculos'!$E$208+(($A123)-$A$120:$A$165)*'Cálculos'!$E$96))))</f>
        <v>1.35441</v>
      </c>
      <c r="C123" s="2">
        <f>'Cálculos'!$E$303-$A123</f>
        <v>10</v>
      </c>
      <c r="D123" s="31">
        <f>IF($C123&lt;0,0,SUMPRODUCT(MAX(($A$120:$A$165&lt;=$C123)*($A$120:$A$165&lt;='Cálculos'!$E$301)*(($C123)-$A$120:$A$165&lt;='Cálculos'!$E$297)*(('Cálculos'!$E$185*(1+'Cálculos'!$E$186+$A$120:$A$165*('Cálculos'!$E$290=1)*'Cálculos'!$E$97+'Cálculos'!$E$305)+'Cálculos'!$E$191)*('Cálculos'!$E$209+'Cálculos'!$E$124*(1+2.78*('Cálculos'!$E$196+(($C123)-$A$120:$A$165)*'Cálculos'!$E$98)/(('Cálculos'!$E$196+(($C123)-$A$120:$A$165)*'Cálculos'!$E$98)+1400)+'Cálculos'!$E$122)*'Cálculos'!$E$214+'Cálculos'!$E$125*(1+2.78*('Cálculos'!$E$196+(($C123)-$A$120:$A$165)*'Cálculos'!$E$98)/(('Cálculos'!$E$196+(($C123)-$A$120:$A$165)*'Cálculos'!$E$98)+1400)+'Cálculos'!$E$123)*'Cálculos'!$E$219)+('Cálculos'!$E$196+(($C123)-$A$120:$A$165)*'Cálculos'!$E$98)*('Cálculos'!$E$210+'Cálculos'!$E$124*(1+2.78*('Cálculos'!$E$196+(($C123)-$A$120:$A$165)*'Cálculos'!$E$98)/(('Cálculos'!$E$196+(($C123)-$A$120:$A$165)*'Cálculos'!$E$98)+1400)+'Cálculos'!$E$122)*'Cálculos'!$E$215+'Cálculos'!$E$125*(1+2.78*('Cálculos'!$E$196+(($C123)-$A$120:$A$165)*'Cálculos'!$E$98)/(('Cálculos'!$E$196+(($C123)-$A$120:$A$165)*'Cálculos'!$E$98)+1400)+'Cálculos'!$E$123)*'Cálculos'!$E$220)+('Cálculos'!$E$201*(1+'Cálculos'!$E$202+$A$120:$A$165*('Cálculos'!$E$290=2)*'Cálculos'!$E$101)+'Cálculos'!$E$203)*('Cálculos'!$E$211+'Cálculos'!$E$124*(1+2.78*('Cálculos'!$E$196+(($C123)-$A$120:$A$165)*'Cálculos'!$E$98)/(('Cálculos'!$E$196+(($C123)-$A$120:$A$165)*'Cálculos'!$E$98)+1400)+'Cálculos'!$E$122)*'Cálculos'!$E$216+'Cálculos'!$E$125*(1+2.78*('Cálculos'!$E$196+(($C123)-$A$120:$A$165)*'Cálculos'!$E$98)/(('Cálculos'!$E$196+(($C123)-$A$120:$A$165)*'Cálculos'!$E$98)+1400)+'Cálculos'!$E$123)*'Cálculos'!$E$221)+('Cálculos'!$E$204*(1+'Cálculos'!$E$205+$A$120:$A$165*('Cálculos'!$E$290=3)*'Cálculos'!$E$103)+'Cálculos'!$E$206)*('Cálculos'!$E$212+'Cálculos'!$E$124*(1+2.78*('Cálculos'!$E$196+(($C123)-$A$120:$A$165)*'Cálculos'!$E$98)/(('Cálculos'!$E$196+(($C123)-$A$120:$A$165)*'Cálculos'!$E$98)+1400)+'Cálculos'!$E$122)*'Cálculos'!$E$217+'Cálculos'!$E$125*(1+2.78*('Cálculos'!$E$196+(($C123)-$A$120:$A$165)*'Cálculos'!$E$98)/(('Cálculos'!$E$196+(($C123)-$A$120:$A$165)*'Cálculos'!$E$98)+1400)+'Cálculos'!$E$123)*'Cálculos'!$E$222)+('Cálculos'!$E$213+'Cálculos'!$E$124*(1+2.78*('Cálculos'!$E$196+(($C123)-$A$120:$A$165)*'Cálculos'!$E$98)/(('Cálculos'!$E$196+(($C123)-$A$120:$A$165)*'Cálculos'!$E$98)+1400)+'Cálculos'!$E$122)*'Cálculos'!$E$218+'Cálculos'!$E$125*(1+2.78*('Cálculos'!$E$196+(($C123)-$A$120:$A$165)*'Cálculos'!$E$98)/(('Cálculos'!$E$196+(($C123)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123)-$A$120:$A$165)*'Cálculos'!$E$98)/(('Cálculos'!$E$197+(($C123)-$A$120:$A$165)*'Cálculos'!$E$98)+1400)+'Cálculos'!$E$122)*'Cálculos'!$E$229+'Cálculos'!$E$125*(1+2.78*('Cálculos'!$E$197+(($C123)-$A$120:$A$165)*'Cálculos'!$E$98)/(('Cálculos'!$E$197+(($C123)-$A$120:$A$165)*'Cálculos'!$E$98)+1400)+'Cálculos'!$E$123)*'Cálculos'!$E$234)+('Cálculos'!$E$197+(($C123)-$A$120:$A$165)*'Cálculos'!$E$98)*('Cálculos'!$E$225+'Cálculos'!$E$124*(1+2.78*('Cálculos'!$E$197+(($C123)-$A$120:$A$165)*'Cálculos'!$E$98)/(('Cálculos'!$E$197+(($C123)-$A$120:$A$165)*'Cálculos'!$E$98)+1400)+'Cálculos'!$E$122)*'Cálculos'!$E$230+'Cálculos'!$E$125*(1+2.78*('Cálculos'!$E$197+(($C123)-$A$120:$A$165)*'Cálculos'!$E$98)/(('Cálculos'!$E$197+(($C123)-$A$120:$A$165)*'Cálculos'!$E$98)+1400)+'Cálculos'!$E$123)*'Cálculos'!$E$235)+('Cálculos'!$E$201*(1+'Cálculos'!$E$202+$A$120:$A$165*('Cálculos'!$E$290=2)*'Cálculos'!$E$101)+'Cálculos'!$E$203)*('Cálculos'!$E$226+'Cálculos'!$E$124*(1+2.78*('Cálculos'!$E$197+(($C123)-$A$120:$A$165)*'Cálculos'!$E$98)/(('Cálculos'!$E$197+(($C123)-$A$120:$A$165)*'Cálculos'!$E$98)+1400)+'Cálculos'!$E$122)*'Cálculos'!$E$231+'Cálculos'!$E$125*(1+2.78*('Cálculos'!$E$197+(($C123)-$A$120:$A$165)*'Cálculos'!$E$98)/(('Cálculos'!$E$197+(($C123)-$A$120:$A$165)*'Cálculos'!$E$98)+1400)+'Cálculos'!$E$123)*'Cálculos'!$E$236)+('Cálculos'!$E$204*(1+'Cálculos'!$E$205+$A$120:$A$165*('Cálculos'!$E$290=3)*'Cálculos'!$E$103)+'Cálculos'!$E$206)*('Cálculos'!$E$227+'Cálculos'!$E$124*(1+2.78*('Cálculos'!$E$197+(($C123)-$A$120:$A$165)*'Cálculos'!$E$98)/(('Cálculos'!$E$197+(($C123)-$A$120:$A$165)*'Cálculos'!$E$98)+1400)+'Cálculos'!$E$122)*'Cálculos'!$E$232+'Cálculos'!$E$125*(1+2.78*('Cálculos'!$E$197+(($C123)-$A$120:$A$165)*'Cálculos'!$E$98)/(('Cálculos'!$E$197+(($C123)-$A$120:$A$165)*'Cálculos'!$E$98)+1400)+'Cálculos'!$E$123)*'Cálculos'!$E$237)+('Cálculos'!$E$228+'Cálculos'!$E$124*(1+2.78*('Cálculos'!$E$197+(($C123)-$A$120:$A$165)*'Cálculos'!$E$98)/(('Cálculos'!$E$197+(($C123)-$A$120:$A$165)*'Cálculos'!$E$98)+1400)+'Cálculos'!$E$122)*'Cálculos'!$E$233+'Cálculos'!$E$125*(1+2.78*('Cálculos'!$E$197+(($C123)-$A$120:$A$165)*'Cálculos'!$E$98)/(('Cálculos'!$E$197+(($C123)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123)-$A$120:$A$165)*'Cálculos'!$E$98)/(('Cálculos'!$E$198+(($C123)-$A$120:$A$165)*'Cálculos'!$E$98)+1400)+'Cálculos'!$E$122)*'Cálculos'!$E$244+'Cálculos'!$E$125*(1+2.78*('Cálculos'!$E$198+(($C123)-$A$120:$A$165)*'Cálculos'!$E$98)/(('Cálculos'!$E$198+(($C123)-$A$120:$A$165)*'Cálculos'!$E$98)+1400)+'Cálculos'!$E$123)*'Cálculos'!$E$249)+('Cálculos'!$E$198+(($C123)-$A$120:$A$165)*'Cálculos'!$E$98)*('Cálculos'!$E$240+'Cálculos'!$E$124*(1+2.78*('Cálculos'!$E$198+(($C123)-$A$120:$A$165)*'Cálculos'!$E$98)/(('Cálculos'!$E$198+(($C123)-$A$120:$A$165)*'Cálculos'!$E$98)+1400)+'Cálculos'!$E$122)*'Cálculos'!$E$245+'Cálculos'!$E$125*(1+2.78*('Cálculos'!$E$198+(($C123)-$A$120:$A$165)*'Cálculos'!$E$98)/(('Cálculos'!$E$198+(($C123)-$A$120:$A$165)*'Cálculos'!$E$98)+1400)+'Cálculos'!$E$123)*'Cálculos'!$E$250)+('Cálculos'!$E$201*(1+'Cálculos'!$E$202+$A$120:$A$165*('Cálculos'!$E$290=2)*'Cálculos'!$E$101)+'Cálculos'!$E$203)*('Cálculos'!$E$241+'Cálculos'!$E$124*(1+2.78*('Cálculos'!$E$198+(($C123)-$A$120:$A$165)*'Cálculos'!$E$98)/(('Cálculos'!$E$198+(($C123)-$A$120:$A$165)*'Cálculos'!$E$98)+1400)+'Cálculos'!$E$122)*'Cálculos'!$E$246+'Cálculos'!$E$125*(1+2.78*('Cálculos'!$E$198+(($C123)-$A$120:$A$165)*'Cálculos'!$E$98)/(('Cálculos'!$E$198+(($C123)-$A$120:$A$165)*'Cálculos'!$E$98)+1400)+'Cálculos'!$E$123)*'Cálculos'!$E$251)+('Cálculos'!$E$204*(1+'Cálculos'!$E$205+$A$120:$A$165*('Cálculos'!$E$290=3)*'Cálculos'!$E$103)+'Cálculos'!$E$206)*('Cálculos'!$E$242+'Cálculos'!$E$124*(1+2.78*('Cálculos'!$E$198+(($C123)-$A$120:$A$165)*'Cálculos'!$E$98)/(('Cálculos'!$E$198+(($C123)-$A$120:$A$165)*'Cálculos'!$E$98)+1400)+'Cálculos'!$E$122)*'Cálculos'!$E$247+'Cálculos'!$E$125*(1+2.78*('Cálculos'!$E$198+(($C123)-$A$120:$A$165)*'Cálculos'!$E$98)/(('Cálculos'!$E$198+(($C123)-$A$120:$A$165)*'Cálculos'!$E$98)+1400)+'Cálculos'!$E$123)*'Cálculos'!$E$252)+('Cálculos'!$E$243+'Cálculos'!$E$124*(1+2.78*('Cálculos'!$E$198+(($C123)-$A$120:$A$165)*'Cálculos'!$E$98)/(('Cálculos'!$E$198+(($C123)-$A$120:$A$165)*'Cálculos'!$E$98)+1400)+'Cálculos'!$E$122)*'Cálculos'!$E$248+'Cálculos'!$E$125*(1+2.78*('Cálculos'!$E$198+(($C123)-$A$120:$A$165)*'Cálculos'!$E$98)/(('Cálculos'!$E$198+(($C123)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123)-$A$120:$A$165)*'Cálculos'!$E$98)/(('Cálculos'!$E$199+(($C123)-$A$120:$A$165)*'Cálculos'!$E$98)+1400)+'Cálculos'!$E$122)*'Cálculos'!$E$259+'Cálculos'!$E$125*(1+2.78*('Cálculos'!$E$199+(($C123)-$A$120:$A$165)*'Cálculos'!$E$98)/(('Cálculos'!$E$199+(($C123)-$A$120:$A$165)*'Cálculos'!$E$98)+1400)+'Cálculos'!$E$123)*'Cálculos'!$E$264)+('Cálculos'!$E$199+(($C123)-$A$120:$A$165)*'Cálculos'!$E$98)*('Cálculos'!$E$255+'Cálculos'!$E$124*(1+2.78*('Cálculos'!$E$199+(($C123)-$A$120:$A$165)*'Cálculos'!$E$98)/(('Cálculos'!$E$199+(($C123)-$A$120:$A$165)*'Cálculos'!$E$98)+1400)+'Cálculos'!$E$122)*'Cálculos'!$E$260+'Cálculos'!$E$125*(1+2.78*('Cálculos'!$E$199+(($C123)-$A$120:$A$165)*'Cálculos'!$E$98)/(('Cálculos'!$E$199+(($C123)-$A$120:$A$165)*'Cálculos'!$E$98)+1400)+'Cálculos'!$E$123)*'Cálculos'!$E$265)+('Cálculos'!$E$201*(1+'Cálculos'!$E$202+$A$120:$A$165*('Cálculos'!$E$290=2)*'Cálculos'!$E$101)+'Cálculos'!$E$203)*('Cálculos'!$E$256+'Cálculos'!$E$124*(1+2.78*('Cálculos'!$E$199+(($C123)-$A$120:$A$165)*'Cálculos'!$E$98)/(('Cálculos'!$E$199+(($C123)-$A$120:$A$165)*'Cálculos'!$E$98)+1400)+'Cálculos'!$E$122)*'Cálculos'!$E$261+'Cálculos'!$E$125*(1+2.78*('Cálculos'!$E$199+(($C123)-$A$120:$A$165)*'Cálculos'!$E$98)/(('Cálculos'!$E$199+(($C123)-$A$120:$A$165)*'Cálculos'!$E$98)+1400)+'Cálculos'!$E$123)*'Cálculos'!$E$266)+('Cálculos'!$E$204*(1+'Cálculos'!$E$205+$A$120:$A$165*('Cálculos'!$E$290=3)*'Cálculos'!$E$103)+'Cálculos'!$E$206)*('Cálculos'!$E$257+'Cálculos'!$E$124*(1+2.78*('Cálculos'!$E$199+(($C123)-$A$120:$A$165)*'Cálculos'!$E$98)/(('Cálculos'!$E$199+(($C123)-$A$120:$A$165)*'Cálculos'!$E$98)+1400)+'Cálculos'!$E$122)*'Cálculos'!$E$262+'Cálculos'!$E$125*(1+2.78*('Cálculos'!$E$199+(($C123)-$A$120:$A$165)*'Cálculos'!$E$98)/(('Cálculos'!$E$199+(($C123)-$A$120:$A$165)*'Cálculos'!$E$98)+1400)+'Cálculos'!$E$123)*'Cálculos'!$E$267)+('Cálculos'!$E$258+'Cálculos'!$E$124*(1+2.78*('Cálculos'!$E$199+(($C123)-$A$120:$A$165)*'Cálculos'!$E$98)/(('Cálculos'!$E$199+(($C123)-$A$120:$A$165)*'Cálculos'!$E$98)+1400)+'Cálculos'!$E$122)*'Cálculos'!$E$263+'Cálculos'!$E$125*(1+2.78*('Cálculos'!$E$199+(($C123)-$A$120:$A$165)*'Cálculos'!$E$98)/(('Cálculos'!$E$199+(($C123)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123)-$A$120:$A$165)*'Cálculos'!$E$98)/(('Cálculos'!$E$200+(($C123)-$A$120:$A$165)*'Cálculos'!$E$98)+1400)+'Cálculos'!$E$122)*'Cálculos'!$E$274+'Cálculos'!$E$125*(1+2.78*('Cálculos'!$E$200+(($C123)-$A$120:$A$165)*'Cálculos'!$E$98)/(('Cálculos'!$E$200+(($C123)-$A$120:$A$165)*'Cálculos'!$E$98)+1400)+'Cálculos'!$E$123)*'Cálculos'!$E$279)+('Cálculos'!$E$200+(($C123)-$A$120:$A$165)*'Cálculos'!$E$98)*('Cálculos'!$E$270+'Cálculos'!$E$124*(1+2.78*('Cálculos'!$E$200+(($C123)-$A$120:$A$165)*'Cálculos'!$E$98)/(('Cálculos'!$E$200+(($C123)-$A$120:$A$165)*'Cálculos'!$E$98)+1400)+'Cálculos'!$E$122)*'Cálculos'!$E$275+'Cálculos'!$E$125*(1+2.78*('Cálculos'!$E$200+(($C123)-$A$120:$A$165)*'Cálculos'!$E$98)/(('Cálculos'!$E$200+(($C123)-$A$120:$A$165)*'Cálculos'!$E$98)+1400)+'Cálculos'!$E$123)*'Cálculos'!$E$280)+('Cálculos'!$E$201*(1+'Cálculos'!$E$202+$A$120:$A$165*('Cálculos'!$E$290=2)*'Cálculos'!$E$101)+'Cálculos'!$E$203)*('Cálculos'!$E$271+'Cálculos'!$E$124*(1+2.78*('Cálculos'!$E$200+(($C123)-$A$120:$A$165)*'Cálculos'!$E$98)/(('Cálculos'!$E$200+(($C123)-$A$120:$A$165)*'Cálculos'!$E$98)+1400)+'Cálculos'!$E$122)*'Cálculos'!$E$276+'Cálculos'!$E$125*(1+2.78*('Cálculos'!$E$200+(($C123)-$A$120:$A$165)*'Cálculos'!$E$98)/(('Cálculos'!$E$200+(($C123)-$A$120:$A$165)*'Cálculos'!$E$98)+1400)+'Cálculos'!$E$123)*'Cálculos'!$E$281)+('Cálculos'!$E$204*(1+'Cálculos'!$E$205+$A$120:$A$165*('Cálculos'!$E$290=3)*'Cálculos'!$E$103)+'Cálculos'!$E$206)*('Cálculos'!$E$272+'Cálculos'!$E$124*(1+2.78*('Cálculos'!$E$200+(($C123)-$A$120:$A$165)*'Cálculos'!$E$98)/(('Cálculos'!$E$200+(($C123)-$A$120:$A$165)*'Cálculos'!$E$98)+1400)+'Cálculos'!$E$122)*'Cálculos'!$E$277+'Cálculos'!$E$125*(1+2.78*('Cálculos'!$E$200+(($C123)-$A$120:$A$165)*'Cálculos'!$E$98)/(('Cálculos'!$E$200+(($C123)-$A$120:$A$165)*'Cálculos'!$E$98)+1400)+'Cálculos'!$E$123)*'Cálculos'!$E$282)+('Cálculos'!$E$273+'Cálculos'!$E$124*(1+2.78*('Cálculos'!$E$200+(($C123)-$A$120:$A$165)*'Cálculos'!$E$98)/(('Cálculos'!$E$200+(($C123)-$A$120:$A$165)*'Cálculos'!$E$98)+1400)+'Cálculos'!$E$122)*'Cálculos'!$E$278+'Cálculos'!$E$125*(1+2.78*('Cálculos'!$E$200+(($C123)-$A$120:$A$165)*'Cálculos'!$E$98)/(('Cálculos'!$E$200+(($C123)-$A$120:$A$165)*'Cálculos'!$E$98)+1400)+'Cálculos'!$E$123)*'Cálculos'!$E$283)))))</f>
        <v>21439.66432</v>
      </c>
      <c r="E123" s="32">
        <f>IF(OR($C123&lt;0,'Cálculos'!$E$6=""),0,$B123*$D123)</f>
        <v>29038.09576</v>
      </c>
      <c r="F123" s="2"/>
      <c r="G123" s="30">
        <f>($A123&lt;=$B$167)*($A123&lt;='Cálculos'!$E$294)*(($B$167)-$A123&lt;='Cálculos'!$E$295)*(1+MIN(('Cálculos'!$E$207+$A123*'Cálculos'!$E$95),1)*('Cálculos'!$E$208+(($B$167)-$A123)*'Cálculos'!$E$96))</f>
        <v>1.679592</v>
      </c>
      <c r="H123" s="31">
        <f>IF($B$168&lt;0,0,($A123&lt;=$B$168)*($A123&lt;='Cálculos'!$E$301)*(($B$168)-$A123&lt;='Cálculos'!$E$297)*(('Cálculos'!$E$185*(1+'Cálculos'!$E$186+$A123*('Cálculos'!$E$290=1)*'Cálculos'!$E$97+'Cálculos'!$E$305)+'Cálculos'!$E$191)*('Cálculos'!$E$209+'Cálculos'!$E$124*(1+2.78*('Cálculos'!$E$196+(($B$168)-$A123)*'Cálculos'!$E$98)/(('Cálculos'!$E$196+(($B$168)-$A123)*'Cálculos'!$E$98)+1400)+'Cálculos'!$E$122)*'Cálculos'!$E$214+'Cálculos'!$E$125*(1+2.78*('Cálculos'!$E$196+(($B$168)-$A123)*'Cálculos'!$E$98)/(('Cálculos'!$E$196+(($B$168)-$A123)*'Cálculos'!$E$98)+1400)+'Cálculos'!$E$123)*'Cálculos'!$E$219)+('Cálculos'!$E$196+(($B$168)-$A123)*'Cálculos'!$E$98)*('Cálculos'!$E$210+'Cálculos'!$E$124*(1+2.78*('Cálculos'!$E$196+(($B$168)-$A123)*'Cálculos'!$E$98)/(('Cálculos'!$E$196+(($B$168)-$A123)*'Cálculos'!$E$98)+1400)+'Cálculos'!$E$122)*'Cálculos'!$E$215+'Cálculos'!$E$125*(1+2.78*('Cálculos'!$E$196+(($B$168)-$A123)*'Cálculos'!$E$98)/(('Cálculos'!$E$196+(($B$168)-$A123)*'Cálculos'!$E$98)+1400)+'Cálculos'!$E$123)*'Cálculos'!$E$220)+('Cálculos'!$E$201*(1+'Cálculos'!$E$202+$A123*('Cálculos'!$E$290=2)*'Cálculos'!$E$101)+'Cálculos'!$E$203)*('Cálculos'!$E$211+'Cálculos'!$E$124*(1+2.78*('Cálculos'!$E$196+(($B$168)-$A123)*'Cálculos'!$E$98)/(('Cálculos'!$E$196+(($B$168)-$A123)*'Cálculos'!$E$98)+1400)+'Cálculos'!$E$122)*'Cálculos'!$E$216+'Cálculos'!$E$125*(1+2.78*('Cálculos'!$E$196+(($B$168)-$A123)*'Cálculos'!$E$98)/(('Cálculos'!$E$196+(($B$168)-$A123)*'Cálculos'!$E$98)+1400)+'Cálculos'!$E$123)*'Cálculos'!$E$221)+('Cálculos'!$E$204*(1+'Cálculos'!$E$205+$A123*('Cálculos'!$E$290=3)*'Cálculos'!$E$103)+'Cálculos'!$E$206)*('Cálculos'!$E$212+'Cálculos'!$E$124*(1+2.78*('Cálculos'!$E$196+(($B$168)-$A123)*'Cálculos'!$E$98)/(('Cálculos'!$E$196+(($B$168)-$A123)*'Cálculos'!$E$98)+1400)+'Cálculos'!$E$122)*'Cálculos'!$E$217+'Cálculos'!$E$125*(1+2.78*('Cálculos'!$E$196+(($B$168)-$A123)*'Cálculos'!$E$98)/(('Cálculos'!$E$196+(($B$168)-$A123)*'Cálculos'!$E$98)+1400)+'Cálculos'!$E$123)*'Cálculos'!$E$222)+('Cálculos'!$E$213+'Cálculos'!$E$124*(1+2.78*('Cálculos'!$E$196+(($B$168)-$A123)*'Cálculos'!$E$98)/(('Cálculos'!$E$196+(($B$168)-$A123)*'Cálculos'!$E$98)+1400)+'Cálculos'!$E$122)*'Cálculos'!$E$218+'Cálculos'!$E$125*(1+2.78*('Cálculos'!$E$196+(($B$168)-$A123)*'Cálculos'!$E$98)/(('Cálculos'!$E$196+(($B$168)-$A123)*'Cálculos'!$E$98)+1400)+'Cálculos'!$E$123)*'Cálculos'!$E$223)+('Cálculos'!$E$185*(1+'Cálculos'!$E$187+$A123*('Cálculos'!$E$290=1)*'Cálculos'!$E$97+'Cálculos'!$E$305)+'Cálculos'!$E$192)*('Cálculos'!$E$224+'Cálculos'!$E$124*(1+2.78*('Cálculos'!$E$197+(($B$168)-$A123)*'Cálculos'!$E$98)/(('Cálculos'!$E$197+(($B$168)-$A123)*'Cálculos'!$E$98)+1400)+'Cálculos'!$E$122)*'Cálculos'!$E$229+'Cálculos'!$E$125*(1+2.78*('Cálculos'!$E$197+(($B$168)-$A123)*'Cálculos'!$E$98)/(('Cálculos'!$E$197+(($B$168)-$A123)*'Cálculos'!$E$98)+1400)+'Cálculos'!$E$123)*'Cálculos'!$E$234)+('Cálculos'!$E$197+(($B$168)-$A123)*'Cálculos'!$E$98)*('Cálculos'!$E$225+'Cálculos'!$E$124*(1+2.78*('Cálculos'!$E$197+(($B$168)-$A123)*'Cálculos'!$E$98)/(('Cálculos'!$E$197+(($B$168)-$A123)*'Cálculos'!$E$98)+1400)+'Cálculos'!$E$122)*'Cálculos'!$E$230+'Cálculos'!$E$125*(1+2.78*('Cálculos'!$E$197+(($B$168)-$A123)*'Cálculos'!$E$98)/(('Cálculos'!$E$197+(($B$168)-$A123)*'Cálculos'!$E$98)+1400)+'Cálculos'!$E$123)*'Cálculos'!$E$235)+('Cálculos'!$E$201*(1+'Cálculos'!$E$202+$A123*('Cálculos'!$E$290=2)*'Cálculos'!$E$101)+'Cálculos'!$E$203)*('Cálculos'!$E$226+'Cálculos'!$E$124*(1+2.78*('Cálculos'!$E$197+(($B$168)-$A123)*'Cálculos'!$E$98)/(('Cálculos'!$E$197+(($B$168)-$A123)*'Cálculos'!$E$98)+1400)+'Cálculos'!$E$122)*'Cálculos'!$E$231+'Cálculos'!$E$125*(1+2.78*('Cálculos'!$E$197+(($B$168)-$A123)*'Cálculos'!$E$98)/(('Cálculos'!$E$197+(($B$168)-$A123)*'Cálculos'!$E$98)+1400)+'Cálculos'!$E$123)*'Cálculos'!$E$236)+('Cálculos'!$E$204*(1+'Cálculos'!$E$205+$A123*('Cálculos'!$E$290=3)*'Cálculos'!$E$103)+'Cálculos'!$E$206)*('Cálculos'!$E$227+'Cálculos'!$E$124*(1+2.78*('Cálculos'!$E$197+(($B$168)-$A123)*'Cálculos'!$E$98)/(('Cálculos'!$E$197+(($B$168)-$A123)*'Cálculos'!$E$98)+1400)+'Cálculos'!$E$122)*'Cálculos'!$E$232+'Cálculos'!$E$125*(1+2.78*('Cálculos'!$E$197+(($B$168)-$A123)*'Cálculos'!$E$98)/(('Cálculos'!$E$197+(($B$168)-$A123)*'Cálculos'!$E$98)+1400)+'Cálculos'!$E$123)*'Cálculos'!$E$237)+('Cálculos'!$E$228+'Cálculos'!$E$124*(1+2.78*('Cálculos'!$E$197+(($B$168)-$A123)*'Cálculos'!$E$98)/(('Cálculos'!$E$197+(($B$168)-$A123)*'Cálculos'!$E$98)+1400)+'Cálculos'!$E$122)*'Cálculos'!$E$233+'Cálculos'!$E$125*(1+2.78*('Cálculos'!$E$197+(($B$168)-$A123)*'Cálculos'!$E$98)/(('Cálculos'!$E$197+(($B$168)-$A123)*'Cálculos'!$E$98)+1400)+'Cálculos'!$E$123)*'Cálculos'!$E$238)+('Cálculos'!$E$185*(1+'Cálculos'!$E$188+$A123*('Cálculos'!$E$290=1)*'Cálculos'!$E$97+'Cálculos'!$E$305)+'Cálculos'!$E$193)*('Cálculos'!$E$239+'Cálculos'!$E$124*(1+2.78*('Cálculos'!$E$198+(($B$168)-$A123)*'Cálculos'!$E$98)/(('Cálculos'!$E$198+(($B$168)-$A123)*'Cálculos'!$E$98)+1400)+'Cálculos'!$E$122)*'Cálculos'!$E$244+'Cálculos'!$E$125*(1+2.78*('Cálculos'!$E$198+(($B$168)-$A123)*'Cálculos'!$E$98)/(('Cálculos'!$E$198+(($B$168)-$A123)*'Cálculos'!$E$98)+1400)+'Cálculos'!$E$123)*'Cálculos'!$E$249)+('Cálculos'!$E$198+(($B$168)-$A123)*'Cálculos'!$E$98)*('Cálculos'!$E$240+'Cálculos'!$E$124*(1+2.78*('Cálculos'!$E$198+(($B$168)-$A123)*'Cálculos'!$E$98)/(('Cálculos'!$E$198+(($B$168)-$A123)*'Cálculos'!$E$98)+1400)+'Cálculos'!$E$122)*'Cálculos'!$E$245+'Cálculos'!$E$125*(1+2.78*('Cálculos'!$E$198+(($B$168)-$A123)*'Cálculos'!$E$98)/(('Cálculos'!$E$198+(($B$168)-$A123)*'Cálculos'!$E$98)+1400)+'Cálculos'!$E$123)*'Cálculos'!$E$250)+('Cálculos'!$E$201*(1+'Cálculos'!$E$202+$A123*('Cálculos'!$E$290=2)*'Cálculos'!$E$101)+'Cálculos'!$E$203)*('Cálculos'!$E$241+'Cálculos'!$E$124*(1+2.78*('Cálculos'!$E$198+(($B$168)-$A123)*'Cálculos'!$E$98)/(('Cálculos'!$E$198+(($B$168)-$A123)*'Cálculos'!$E$98)+1400)+'Cálculos'!$E$122)*'Cálculos'!$E$246+'Cálculos'!$E$125*(1+2.78*('Cálculos'!$E$198+(($B$168)-$A123)*'Cálculos'!$E$98)/(('Cálculos'!$E$198+(($B$168)-$A123)*'Cálculos'!$E$98)+1400)+'Cálculos'!$E$123)*'Cálculos'!$E$251)+('Cálculos'!$E$204*(1+'Cálculos'!$E$205+$A123*('Cálculos'!$E$290=3)*'Cálculos'!$E$103)+'Cálculos'!$E$206)*('Cálculos'!$E$242+'Cálculos'!$E$124*(1+2.78*('Cálculos'!$E$198+(($B$168)-$A123)*'Cálculos'!$E$98)/(('Cálculos'!$E$198+(($B$168)-$A123)*'Cálculos'!$E$98)+1400)+'Cálculos'!$E$122)*'Cálculos'!$E$247+'Cálculos'!$E$125*(1+2.78*('Cálculos'!$E$198+(($B$168)-$A123)*'Cálculos'!$E$98)/(('Cálculos'!$E$198+(($B$168)-$A123)*'Cálculos'!$E$98)+1400)+'Cálculos'!$E$123)*'Cálculos'!$E$252)+('Cálculos'!$E$243+'Cálculos'!$E$124*(1+2.78*('Cálculos'!$E$198+(($B$168)-$A123)*'Cálculos'!$E$98)/(('Cálculos'!$E$198+(($B$168)-$A123)*'Cálculos'!$E$98)+1400)+'Cálculos'!$E$122)*'Cálculos'!$E$248+'Cálculos'!$E$125*(1+2.78*('Cálculos'!$E$198+(($B$168)-$A123)*'Cálculos'!$E$98)/(('Cálculos'!$E$198+(($B$168)-$A123)*'Cálculos'!$E$98)+1400)+'Cálculos'!$E$123)*'Cálculos'!$E$253)+('Cálculos'!$E$185*(1+'Cálculos'!$E$189+$A123*('Cálculos'!$E$290=1)*'Cálculos'!$E$97+'Cálculos'!$E$305)+'Cálculos'!$E$194)*('Cálculos'!$E$254+'Cálculos'!$E$124*(1+2.78*('Cálculos'!$E$199+(($B$168)-$A123)*'Cálculos'!$E$98)/(('Cálculos'!$E$199+(($B$168)-$A123)*'Cálculos'!$E$98)+1400)+'Cálculos'!$E$122)*'Cálculos'!$E$259+'Cálculos'!$E$125*(1+2.78*('Cálculos'!$E$199+(($B$168)-$A123)*'Cálculos'!$E$98)/(('Cálculos'!$E$199+(($B$168)-$A123)*'Cálculos'!$E$98)+1400)+'Cálculos'!$E$123)*'Cálculos'!$E$264)+('Cálculos'!$E$199+(($B$168)-$A123)*'Cálculos'!$E$98)*('Cálculos'!$E$255+'Cálculos'!$E$124*(1+2.78*('Cálculos'!$E$199+(($B$168)-$A123)*'Cálculos'!$E$98)/(('Cálculos'!$E$199+(($B$168)-$A123)*'Cálculos'!$E$98)+1400)+'Cálculos'!$E$122)*'Cálculos'!$E$260+'Cálculos'!$E$125*(1+2.78*('Cálculos'!$E$199+(($B$168)-$A123)*'Cálculos'!$E$98)/(('Cálculos'!$E$199+(($B$168)-$A123)*'Cálculos'!$E$98)+1400)+'Cálculos'!$E$123)*'Cálculos'!$E$265)+('Cálculos'!$E$201*(1+'Cálculos'!$E$202+$A123*('Cálculos'!$E$290=2)*'Cálculos'!$E$101)+'Cálculos'!$E$203)*('Cálculos'!$E$256+'Cálculos'!$E$124*(1+2.78*('Cálculos'!$E$199+(($B$168)-$A123)*'Cálculos'!$E$98)/(('Cálculos'!$E$199+(($B$168)-$A123)*'Cálculos'!$E$98)+1400)+'Cálculos'!$E$122)*'Cálculos'!$E$261+'Cálculos'!$E$125*(1+2.78*('Cálculos'!$E$199+(($B$168)-$A123)*'Cálculos'!$E$98)/(('Cálculos'!$E$199+(($B$168)-$A123)*'Cálculos'!$E$98)+1400)+'Cálculos'!$E$123)*'Cálculos'!$E$266)+('Cálculos'!$E$204*(1+'Cálculos'!$E$205+$A123*('Cálculos'!$E$290=3)*'Cálculos'!$E$103)+'Cálculos'!$E$206)*('Cálculos'!$E$257+'Cálculos'!$E$124*(1+2.78*('Cálculos'!$E$199+(($B$168)-$A123)*'Cálculos'!$E$98)/(('Cálculos'!$E$199+(($B$168)-$A123)*'Cálculos'!$E$98)+1400)+'Cálculos'!$E$122)*'Cálculos'!$E$262+'Cálculos'!$E$125*(1+2.78*('Cálculos'!$E$199+(($B$168)-$A123)*'Cálculos'!$E$98)/(('Cálculos'!$E$199+(($B$168)-$A123)*'Cálculos'!$E$98)+1400)+'Cálculos'!$E$123)*'Cálculos'!$E$267)+('Cálculos'!$E$258+'Cálculos'!$E$124*(1+2.78*('Cálculos'!$E$199+(($B$168)-$A123)*'Cálculos'!$E$98)/(('Cálculos'!$E$199+(($B$168)-$A123)*'Cálculos'!$E$98)+1400)+'Cálculos'!$E$122)*'Cálculos'!$E$263+'Cálculos'!$E$125*(1+2.78*('Cálculos'!$E$199+(($B$168)-$A123)*'Cálculos'!$E$98)/(('Cálculos'!$E$199+(($B$168)-$A123)*'Cálculos'!$E$98)+1400)+'Cálculos'!$E$123)*'Cálculos'!$E$268)+('Cálculos'!$E$185*(1+'Cálculos'!$E$190+$A123*('Cálculos'!$E$290=1)*'Cálculos'!$E$97+'Cálculos'!$E$305)+'Cálculos'!$E$195)*('Cálculos'!$E$269+'Cálculos'!$E$124*(1+2.78*('Cálculos'!$E$200+(($B$168)-$A123)*'Cálculos'!$E$98)/(('Cálculos'!$E$200+(($B$168)-$A123)*'Cálculos'!$E$98)+1400)+'Cálculos'!$E$122)*'Cálculos'!$E$274+'Cálculos'!$E$125*(1+2.78*('Cálculos'!$E$200+(($B$168)-$A123)*'Cálculos'!$E$98)/(('Cálculos'!$E$200+(($B$168)-$A123)*'Cálculos'!$E$98)+1400)+'Cálculos'!$E$123)*'Cálculos'!$E$279)+('Cálculos'!$E$200+(($B$168)-$A123)*'Cálculos'!$E$98)*('Cálculos'!$E$270+'Cálculos'!$E$124*(1+2.78*('Cálculos'!$E$200+(($B$168)-$A123)*'Cálculos'!$E$98)/(('Cálculos'!$E$200+(($B$168)-$A123)*'Cálculos'!$E$98)+1400)+'Cálculos'!$E$122)*'Cálculos'!$E$275+'Cálculos'!$E$125*(1+2.78*('Cálculos'!$E$200+(($B$168)-$A123)*'Cálculos'!$E$98)/(('Cálculos'!$E$200+(($B$168)-$A123)*'Cálculos'!$E$98)+1400)+'Cálculos'!$E$123)*'Cálculos'!$E$280)+('Cálculos'!$E$201*(1+'Cálculos'!$E$202+$A123*('Cálculos'!$E$290=2)*'Cálculos'!$E$101)+'Cálculos'!$E$203)*('Cálculos'!$E$271+'Cálculos'!$E$124*(1+2.78*('Cálculos'!$E$200+(($B$168)-$A123)*'Cálculos'!$E$98)/(('Cálculos'!$E$200+(($B$168)-$A123)*'Cálculos'!$E$98)+1400)+'Cálculos'!$E$122)*'Cálculos'!$E$276+'Cálculos'!$E$125*(1+2.78*('Cálculos'!$E$200+(($B$168)-$A123)*'Cálculos'!$E$98)/(('Cálculos'!$E$200+(($B$168)-$A123)*'Cálculos'!$E$98)+1400)+'Cálculos'!$E$123)*'Cálculos'!$E$281)+('Cálculos'!$E$204*(1+'Cálculos'!$E$205+$A123*('Cálculos'!$E$290=3)*'Cálculos'!$E$103)+'Cálculos'!$E$206)*('Cálculos'!$E$272+'Cálculos'!$E$124*(1+2.78*('Cálculos'!$E$200+(($B$168)-$A123)*'Cálculos'!$E$98)/(('Cálculos'!$E$200+(($B$168)-$A123)*'Cálculos'!$E$98)+1400)+'Cálculos'!$E$122)*'Cálculos'!$E$277+'Cálculos'!$E$125*(1+2.78*('Cálculos'!$E$200+(($B$168)-$A123)*'Cálculos'!$E$98)/(('Cálculos'!$E$200+(($B$168)-$A123)*'Cálculos'!$E$98)+1400)+'Cálculos'!$E$123)*'Cálculos'!$E$282)+('Cálculos'!$E$273+'Cálculos'!$E$124*(1+2.78*('Cálculos'!$E$200+(($B$168)-$A123)*'Cálculos'!$E$98)/(('Cálculos'!$E$200+(($B$168)-$A123)*'Cálculos'!$E$98)+1400)+'Cálculos'!$E$122)*'Cálculos'!$E$278+'Cálculos'!$E$125*(1+2.78*('Cálculos'!$E$200+(($B$168)-$A123)*'Cálculos'!$E$98)/(('Cálculos'!$E$200+(($B$168)-$A123)*'Cálculos'!$E$98)+1400)+'Cálculos'!$E$123)*'Cálculos'!$E$283)))</f>
        <v>0</v>
      </c>
    </row>
    <row r="124" ht="15.75" customHeight="1">
      <c r="A124" s="2">
        <v>4.0</v>
      </c>
      <c r="B124" s="30">
        <f>SUMPRODUCT(MAX(($A$120:$A$165&lt;=$A124)*($A$120:$A$165&lt;='Cálculos'!$E$294)*(($A124)-$A$120:$A$165&lt;='Cálculos'!$E$295)*(1+(('Cálculos'!$E$207+$A$120:$A$165*'Cálculos'!$E$95)-(('Cálculos'!$E$207+$A$120:$A$165*'Cálculos'!$E$95)&gt;1)*(('Cálculos'!$E$207+$A$120:$A$165*'Cálculos'!$E$95)-1))*('Cálculos'!$E$208+(($A124)-$A$120:$A$165)*'Cálculos'!$E$96))))</f>
        <v>1.382592</v>
      </c>
      <c r="C124" s="2">
        <f>'Cálculos'!$E$303-$A124</f>
        <v>9</v>
      </c>
      <c r="D124" s="31">
        <f>IF($C124&lt;0,0,SUMPRODUCT(MAX(($A$120:$A$165&lt;=$C124)*($A$120:$A$165&lt;='Cálculos'!$E$301)*(($C124)-$A$120:$A$165&lt;='Cálculos'!$E$297)*(('Cálculos'!$E$185*(1+'Cálculos'!$E$186+$A$120:$A$165*('Cálculos'!$E$290=1)*'Cálculos'!$E$97+'Cálculos'!$E$305)+'Cálculos'!$E$191)*('Cálculos'!$E$209+'Cálculos'!$E$124*(1+2.78*('Cálculos'!$E$196+(($C124)-$A$120:$A$165)*'Cálculos'!$E$98)/(('Cálculos'!$E$196+(($C124)-$A$120:$A$165)*'Cálculos'!$E$98)+1400)+'Cálculos'!$E$122)*'Cálculos'!$E$214+'Cálculos'!$E$125*(1+2.78*('Cálculos'!$E$196+(($C124)-$A$120:$A$165)*'Cálculos'!$E$98)/(('Cálculos'!$E$196+(($C124)-$A$120:$A$165)*'Cálculos'!$E$98)+1400)+'Cálculos'!$E$123)*'Cálculos'!$E$219)+('Cálculos'!$E$196+(($C124)-$A$120:$A$165)*'Cálculos'!$E$98)*('Cálculos'!$E$210+'Cálculos'!$E$124*(1+2.78*('Cálculos'!$E$196+(($C124)-$A$120:$A$165)*'Cálculos'!$E$98)/(('Cálculos'!$E$196+(($C124)-$A$120:$A$165)*'Cálculos'!$E$98)+1400)+'Cálculos'!$E$122)*'Cálculos'!$E$215+'Cálculos'!$E$125*(1+2.78*('Cálculos'!$E$196+(($C124)-$A$120:$A$165)*'Cálculos'!$E$98)/(('Cálculos'!$E$196+(($C124)-$A$120:$A$165)*'Cálculos'!$E$98)+1400)+'Cálculos'!$E$123)*'Cálculos'!$E$220)+('Cálculos'!$E$201*(1+'Cálculos'!$E$202+$A$120:$A$165*('Cálculos'!$E$290=2)*'Cálculos'!$E$101)+'Cálculos'!$E$203)*('Cálculos'!$E$211+'Cálculos'!$E$124*(1+2.78*('Cálculos'!$E$196+(($C124)-$A$120:$A$165)*'Cálculos'!$E$98)/(('Cálculos'!$E$196+(($C124)-$A$120:$A$165)*'Cálculos'!$E$98)+1400)+'Cálculos'!$E$122)*'Cálculos'!$E$216+'Cálculos'!$E$125*(1+2.78*('Cálculos'!$E$196+(($C124)-$A$120:$A$165)*'Cálculos'!$E$98)/(('Cálculos'!$E$196+(($C124)-$A$120:$A$165)*'Cálculos'!$E$98)+1400)+'Cálculos'!$E$123)*'Cálculos'!$E$221)+('Cálculos'!$E$204*(1+'Cálculos'!$E$205+$A$120:$A$165*('Cálculos'!$E$290=3)*'Cálculos'!$E$103)+'Cálculos'!$E$206)*('Cálculos'!$E$212+'Cálculos'!$E$124*(1+2.78*('Cálculos'!$E$196+(($C124)-$A$120:$A$165)*'Cálculos'!$E$98)/(('Cálculos'!$E$196+(($C124)-$A$120:$A$165)*'Cálculos'!$E$98)+1400)+'Cálculos'!$E$122)*'Cálculos'!$E$217+'Cálculos'!$E$125*(1+2.78*('Cálculos'!$E$196+(($C124)-$A$120:$A$165)*'Cálculos'!$E$98)/(('Cálculos'!$E$196+(($C124)-$A$120:$A$165)*'Cálculos'!$E$98)+1400)+'Cálculos'!$E$123)*'Cálculos'!$E$222)+('Cálculos'!$E$213+'Cálculos'!$E$124*(1+2.78*('Cálculos'!$E$196+(($C124)-$A$120:$A$165)*'Cálculos'!$E$98)/(('Cálculos'!$E$196+(($C124)-$A$120:$A$165)*'Cálculos'!$E$98)+1400)+'Cálculos'!$E$122)*'Cálculos'!$E$218+'Cálculos'!$E$125*(1+2.78*('Cálculos'!$E$196+(($C124)-$A$120:$A$165)*'Cálculos'!$E$98)/(('Cálculos'!$E$196+(($C124)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124)-$A$120:$A$165)*'Cálculos'!$E$98)/(('Cálculos'!$E$197+(($C124)-$A$120:$A$165)*'Cálculos'!$E$98)+1400)+'Cálculos'!$E$122)*'Cálculos'!$E$229+'Cálculos'!$E$125*(1+2.78*('Cálculos'!$E$197+(($C124)-$A$120:$A$165)*'Cálculos'!$E$98)/(('Cálculos'!$E$197+(($C124)-$A$120:$A$165)*'Cálculos'!$E$98)+1400)+'Cálculos'!$E$123)*'Cálculos'!$E$234)+('Cálculos'!$E$197+(($C124)-$A$120:$A$165)*'Cálculos'!$E$98)*('Cálculos'!$E$225+'Cálculos'!$E$124*(1+2.78*('Cálculos'!$E$197+(($C124)-$A$120:$A$165)*'Cálculos'!$E$98)/(('Cálculos'!$E$197+(($C124)-$A$120:$A$165)*'Cálculos'!$E$98)+1400)+'Cálculos'!$E$122)*'Cálculos'!$E$230+'Cálculos'!$E$125*(1+2.78*('Cálculos'!$E$197+(($C124)-$A$120:$A$165)*'Cálculos'!$E$98)/(('Cálculos'!$E$197+(($C124)-$A$120:$A$165)*'Cálculos'!$E$98)+1400)+'Cálculos'!$E$123)*'Cálculos'!$E$235)+('Cálculos'!$E$201*(1+'Cálculos'!$E$202+$A$120:$A$165*('Cálculos'!$E$290=2)*'Cálculos'!$E$101)+'Cálculos'!$E$203)*('Cálculos'!$E$226+'Cálculos'!$E$124*(1+2.78*('Cálculos'!$E$197+(($C124)-$A$120:$A$165)*'Cálculos'!$E$98)/(('Cálculos'!$E$197+(($C124)-$A$120:$A$165)*'Cálculos'!$E$98)+1400)+'Cálculos'!$E$122)*'Cálculos'!$E$231+'Cálculos'!$E$125*(1+2.78*('Cálculos'!$E$197+(($C124)-$A$120:$A$165)*'Cálculos'!$E$98)/(('Cálculos'!$E$197+(($C124)-$A$120:$A$165)*'Cálculos'!$E$98)+1400)+'Cálculos'!$E$123)*'Cálculos'!$E$236)+('Cálculos'!$E$204*(1+'Cálculos'!$E$205+$A$120:$A$165*('Cálculos'!$E$290=3)*'Cálculos'!$E$103)+'Cálculos'!$E$206)*('Cálculos'!$E$227+'Cálculos'!$E$124*(1+2.78*('Cálculos'!$E$197+(($C124)-$A$120:$A$165)*'Cálculos'!$E$98)/(('Cálculos'!$E$197+(($C124)-$A$120:$A$165)*'Cálculos'!$E$98)+1400)+'Cálculos'!$E$122)*'Cálculos'!$E$232+'Cálculos'!$E$125*(1+2.78*('Cálculos'!$E$197+(($C124)-$A$120:$A$165)*'Cálculos'!$E$98)/(('Cálculos'!$E$197+(($C124)-$A$120:$A$165)*'Cálculos'!$E$98)+1400)+'Cálculos'!$E$123)*'Cálculos'!$E$237)+('Cálculos'!$E$228+'Cálculos'!$E$124*(1+2.78*('Cálculos'!$E$197+(($C124)-$A$120:$A$165)*'Cálculos'!$E$98)/(('Cálculos'!$E$197+(($C124)-$A$120:$A$165)*'Cálculos'!$E$98)+1400)+'Cálculos'!$E$122)*'Cálculos'!$E$233+'Cálculos'!$E$125*(1+2.78*('Cálculos'!$E$197+(($C124)-$A$120:$A$165)*'Cálculos'!$E$98)/(('Cálculos'!$E$197+(($C124)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124)-$A$120:$A$165)*'Cálculos'!$E$98)/(('Cálculos'!$E$198+(($C124)-$A$120:$A$165)*'Cálculos'!$E$98)+1400)+'Cálculos'!$E$122)*'Cálculos'!$E$244+'Cálculos'!$E$125*(1+2.78*('Cálculos'!$E$198+(($C124)-$A$120:$A$165)*'Cálculos'!$E$98)/(('Cálculos'!$E$198+(($C124)-$A$120:$A$165)*'Cálculos'!$E$98)+1400)+'Cálculos'!$E$123)*'Cálculos'!$E$249)+('Cálculos'!$E$198+(($C124)-$A$120:$A$165)*'Cálculos'!$E$98)*('Cálculos'!$E$240+'Cálculos'!$E$124*(1+2.78*('Cálculos'!$E$198+(($C124)-$A$120:$A$165)*'Cálculos'!$E$98)/(('Cálculos'!$E$198+(($C124)-$A$120:$A$165)*'Cálculos'!$E$98)+1400)+'Cálculos'!$E$122)*'Cálculos'!$E$245+'Cálculos'!$E$125*(1+2.78*('Cálculos'!$E$198+(($C124)-$A$120:$A$165)*'Cálculos'!$E$98)/(('Cálculos'!$E$198+(($C124)-$A$120:$A$165)*'Cálculos'!$E$98)+1400)+'Cálculos'!$E$123)*'Cálculos'!$E$250)+('Cálculos'!$E$201*(1+'Cálculos'!$E$202+$A$120:$A$165*('Cálculos'!$E$290=2)*'Cálculos'!$E$101)+'Cálculos'!$E$203)*('Cálculos'!$E$241+'Cálculos'!$E$124*(1+2.78*('Cálculos'!$E$198+(($C124)-$A$120:$A$165)*'Cálculos'!$E$98)/(('Cálculos'!$E$198+(($C124)-$A$120:$A$165)*'Cálculos'!$E$98)+1400)+'Cálculos'!$E$122)*'Cálculos'!$E$246+'Cálculos'!$E$125*(1+2.78*('Cálculos'!$E$198+(($C124)-$A$120:$A$165)*'Cálculos'!$E$98)/(('Cálculos'!$E$198+(($C124)-$A$120:$A$165)*'Cálculos'!$E$98)+1400)+'Cálculos'!$E$123)*'Cálculos'!$E$251)+('Cálculos'!$E$204*(1+'Cálculos'!$E$205+$A$120:$A$165*('Cálculos'!$E$290=3)*'Cálculos'!$E$103)+'Cálculos'!$E$206)*('Cálculos'!$E$242+'Cálculos'!$E$124*(1+2.78*('Cálculos'!$E$198+(($C124)-$A$120:$A$165)*'Cálculos'!$E$98)/(('Cálculos'!$E$198+(($C124)-$A$120:$A$165)*'Cálculos'!$E$98)+1400)+'Cálculos'!$E$122)*'Cálculos'!$E$247+'Cálculos'!$E$125*(1+2.78*('Cálculos'!$E$198+(($C124)-$A$120:$A$165)*'Cálculos'!$E$98)/(('Cálculos'!$E$198+(($C124)-$A$120:$A$165)*'Cálculos'!$E$98)+1400)+'Cálculos'!$E$123)*'Cálculos'!$E$252)+('Cálculos'!$E$243+'Cálculos'!$E$124*(1+2.78*('Cálculos'!$E$198+(($C124)-$A$120:$A$165)*'Cálculos'!$E$98)/(('Cálculos'!$E$198+(($C124)-$A$120:$A$165)*'Cálculos'!$E$98)+1400)+'Cálculos'!$E$122)*'Cálculos'!$E$248+'Cálculos'!$E$125*(1+2.78*('Cálculos'!$E$198+(($C124)-$A$120:$A$165)*'Cálculos'!$E$98)/(('Cálculos'!$E$198+(($C124)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124)-$A$120:$A$165)*'Cálculos'!$E$98)/(('Cálculos'!$E$199+(($C124)-$A$120:$A$165)*'Cálculos'!$E$98)+1400)+'Cálculos'!$E$122)*'Cálculos'!$E$259+'Cálculos'!$E$125*(1+2.78*('Cálculos'!$E$199+(($C124)-$A$120:$A$165)*'Cálculos'!$E$98)/(('Cálculos'!$E$199+(($C124)-$A$120:$A$165)*'Cálculos'!$E$98)+1400)+'Cálculos'!$E$123)*'Cálculos'!$E$264)+('Cálculos'!$E$199+(($C124)-$A$120:$A$165)*'Cálculos'!$E$98)*('Cálculos'!$E$255+'Cálculos'!$E$124*(1+2.78*('Cálculos'!$E$199+(($C124)-$A$120:$A$165)*'Cálculos'!$E$98)/(('Cálculos'!$E$199+(($C124)-$A$120:$A$165)*'Cálculos'!$E$98)+1400)+'Cálculos'!$E$122)*'Cálculos'!$E$260+'Cálculos'!$E$125*(1+2.78*('Cálculos'!$E$199+(($C124)-$A$120:$A$165)*'Cálculos'!$E$98)/(('Cálculos'!$E$199+(($C124)-$A$120:$A$165)*'Cálculos'!$E$98)+1400)+'Cálculos'!$E$123)*'Cálculos'!$E$265)+('Cálculos'!$E$201*(1+'Cálculos'!$E$202+$A$120:$A$165*('Cálculos'!$E$290=2)*'Cálculos'!$E$101)+'Cálculos'!$E$203)*('Cálculos'!$E$256+'Cálculos'!$E$124*(1+2.78*('Cálculos'!$E$199+(($C124)-$A$120:$A$165)*'Cálculos'!$E$98)/(('Cálculos'!$E$199+(($C124)-$A$120:$A$165)*'Cálculos'!$E$98)+1400)+'Cálculos'!$E$122)*'Cálculos'!$E$261+'Cálculos'!$E$125*(1+2.78*('Cálculos'!$E$199+(($C124)-$A$120:$A$165)*'Cálculos'!$E$98)/(('Cálculos'!$E$199+(($C124)-$A$120:$A$165)*'Cálculos'!$E$98)+1400)+'Cálculos'!$E$123)*'Cálculos'!$E$266)+('Cálculos'!$E$204*(1+'Cálculos'!$E$205+$A$120:$A$165*('Cálculos'!$E$290=3)*'Cálculos'!$E$103)+'Cálculos'!$E$206)*('Cálculos'!$E$257+'Cálculos'!$E$124*(1+2.78*('Cálculos'!$E$199+(($C124)-$A$120:$A$165)*'Cálculos'!$E$98)/(('Cálculos'!$E$199+(($C124)-$A$120:$A$165)*'Cálculos'!$E$98)+1400)+'Cálculos'!$E$122)*'Cálculos'!$E$262+'Cálculos'!$E$125*(1+2.78*('Cálculos'!$E$199+(($C124)-$A$120:$A$165)*'Cálculos'!$E$98)/(('Cálculos'!$E$199+(($C124)-$A$120:$A$165)*'Cálculos'!$E$98)+1400)+'Cálculos'!$E$123)*'Cálculos'!$E$267)+('Cálculos'!$E$258+'Cálculos'!$E$124*(1+2.78*('Cálculos'!$E$199+(($C124)-$A$120:$A$165)*'Cálculos'!$E$98)/(('Cálculos'!$E$199+(($C124)-$A$120:$A$165)*'Cálculos'!$E$98)+1400)+'Cálculos'!$E$122)*'Cálculos'!$E$263+'Cálculos'!$E$125*(1+2.78*('Cálculos'!$E$199+(($C124)-$A$120:$A$165)*'Cálculos'!$E$98)/(('Cálculos'!$E$199+(($C124)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124)-$A$120:$A$165)*'Cálculos'!$E$98)/(('Cálculos'!$E$200+(($C124)-$A$120:$A$165)*'Cálculos'!$E$98)+1400)+'Cálculos'!$E$122)*'Cálculos'!$E$274+'Cálculos'!$E$125*(1+2.78*('Cálculos'!$E$200+(($C124)-$A$120:$A$165)*'Cálculos'!$E$98)/(('Cálculos'!$E$200+(($C124)-$A$120:$A$165)*'Cálculos'!$E$98)+1400)+'Cálculos'!$E$123)*'Cálculos'!$E$279)+('Cálculos'!$E$200+(($C124)-$A$120:$A$165)*'Cálculos'!$E$98)*('Cálculos'!$E$270+'Cálculos'!$E$124*(1+2.78*('Cálculos'!$E$200+(($C124)-$A$120:$A$165)*'Cálculos'!$E$98)/(('Cálculos'!$E$200+(($C124)-$A$120:$A$165)*'Cálculos'!$E$98)+1400)+'Cálculos'!$E$122)*'Cálculos'!$E$275+'Cálculos'!$E$125*(1+2.78*('Cálculos'!$E$200+(($C124)-$A$120:$A$165)*'Cálculos'!$E$98)/(('Cálculos'!$E$200+(($C124)-$A$120:$A$165)*'Cálculos'!$E$98)+1400)+'Cálculos'!$E$123)*'Cálculos'!$E$280)+('Cálculos'!$E$201*(1+'Cálculos'!$E$202+$A$120:$A$165*('Cálculos'!$E$290=2)*'Cálculos'!$E$101)+'Cálculos'!$E$203)*('Cálculos'!$E$271+'Cálculos'!$E$124*(1+2.78*('Cálculos'!$E$200+(($C124)-$A$120:$A$165)*'Cálculos'!$E$98)/(('Cálculos'!$E$200+(($C124)-$A$120:$A$165)*'Cálculos'!$E$98)+1400)+'Cálculos'!$E$122)*'Cálculos'!$E$276+'Cálculos'!$E$125*(1+2.78*('Cálculos'!$E$200+(($C124)-$A$120:$A$165)*'Cálculos'!$E$98)/(('Cálculos'!$E$200+(($C124)-$A$120:$A$165)*'Cálculos'!$E$98)+1400)+'Cálculos'!$E$123)*'Cálculos'!$E$281)+('Cálculos'!$E$204*(1+'Cálculos'!$E$205+$A$120:$A$165*('Cálculos'!$E$290=3)*'Cálculos'!$E$103)+'Cálculos'!$E$206)*('Cálculos'!$E$272+'Cálculos'!$E$124*(1+2.78*('Cálculos'!$E$200+(($C124)-$A$120:$A$165)*'Cálculos'!$E$98)/(('Cálculos'!$E$200+(($C124)-$A$120:$A$165)*'Cálculos'!$E$98)+1400)+'Cálculos'!$E$122)*'Cálculos'!$E$277+'Cálculos'!$E$125*(1+2.78*('Cálculos'!$E$200+(($C124)-$A$120:$A$165)*'Cálculos'!$E$98)/(('Cálculos'!$E$200+(($C124)-$A$120:$A$165)*'Cálculos'!$E$98)+1400)+'Cálculos'!$E$123)*'Cálculos'!$E$282)+('Cálculos'!$E$273+'Cálculos'!$E$124*(1+2.78*('Cálculos'!$E$200+(($C124)-$A$120:$A$165)*'Cálculos'!$E$98)/(('Cálculos'!$E$200+(($C124)-$A$120:$A$165)*'Cálculos'!$E$98)+1400)+'Cálculos'!$E$122)*'Cálculos'!$E$278+'Cálculos'!$E$125*(1+2.78*('Cálculos'!$E$200+(($C124)-$A$120:$A$165)*'Cálculos'!$E$98)/(('Cálculos'!$E$200+(($C124)-$A$120:$A$165)*'Cálculos'!$E$98)+1400)+'Cálculos'!$E$123)*'Cálculos'!$E$283)))))</f>
        <v>21153.70139</v>
      </c>
      <c r="E124" s="32">
        <f>IF(OR($C124&lt;0,'Cálculos'!$E$6=""),0,$B124*$D124)</f>
        <v>29246.93832</v>
      </c>
      <c r="F124" s="2"/>
      <c r="G124" s="30">
        <f>($A124&lt;=$B$167)*($A124&lt;='Cálculos'!$E$294)*(($B$167)-$A124&lt;='Cálculos'!$E$295)*(1+MIN(('Cálculos'!$E$207+$A124*'Cálculos'!$E$95),1)*('Cálculos'!$E$208+(($B$167)-$A124)*'Cálculos'!$E$96))</f>
        <v>1.685334</v>
      </c>
      <c r="H124" s="31">
        <f>IF($B$168&lt;0,0,($A124&lt;=$B$168)*($A124&lt;='Cálculos'!$E$301)*(($B$168)-$A124&lt;='Cálculos'!$E$297)*(('Cálculos'!$E$185*(1+'Cálculos'!$E$186+$A124*('Cálculos'!$E$290=1)*'Cálculos'!$E$97+'Cálculos'!$E$305)+'Cálculos'!$E$191)*('Cálculos'!$E$209+'Cálculos'!$E$124*(1+2.78*('Cálculos'!$E$196+(($B$168)-$A124)*'Cálculos'!$E$98)/(('Cálculos'!$E$196+(($B$168)-$A124)*'Cálculos'!$E$98)+1400)+'Cálculos'!$E$122)*'Cálculos'!$E$214+'Cálculos'!$E$125*(1+2.78*('Cálculos'!$E$196+(($B$168)-$A124)*'Cálculos'!$E$98)/(('Cálculos'!$E$196+(($B$168)-$A124)*'Cálculos'!$E$98)+1400)+'Cálculos'!$E$123)*'Cálculos'!$E$219)+('Cálculos'!$E$196+(($B$168)-$A124)*'Cálculos'!$E$98)*('Cálculos'!$E$210+'Cálculos'!$E$124*(1+2.78*('Cálculos'!$E$196+(($B$168)-$A124)*'Cálculos'!$E$98)/(('Cálculos'!$E$196+(($B$168)-$A124)*'Cálculos'!$E$98)+1400)+'Cálculos'!$E$122)*'Cálculos'!$E$215+'Cálculos'!$E$125*(1+2.78*('Cálculos'!$E$196+(($B$168)-$A124)*'Cálculos'!$E$98)/(('Cálculos'!$E$196+(($B$168)-$A124)*'Cálculos'!$E$98)+1400)+'Cálculos'!$E$123)*'Cálculos'!$E$220)+('Cálculos'!$E$201*(1+'Cálculos'!$E$202+$A124*('Cálculos'!$E$290=2)*'Cálculos'!$E$101)+'Cálculos'!$E$203)*('Cálculos'!$E$211+'Cálculos'!$E$124*(1+2.78*('Cálculos'!$E$196+(($B$168)-$A124)*'Cálculos'!$E$98)/(('Cálculos'!$E$196+(($B$168)-$A124)*'Cálculos'!$E$98)+1400)+'Cálculos'!$E$122)*'Cálculos'!$E$216+'Cálculos'!$E$125*(1+2.78*('Cálculos'!$E$196+(($B$168)-$A124)*'Cálculos'!$E$98)/(('Cálculos'!$E$196+(($B$168)-$A124)*'Cálculos'!$E$98)+1400)+'Cálculos'!$E$123)*'Cálculos'!$E$221)+('Cálculos'!$E$204*(1+'Cálculos'!$E$205+$A124*('Cálculos'!$E$290=3)*'Cálculos'!$E$103)+'Cálculos'!$E$206)*('Cálculos'!$E$212+'Cálculos'!$E$124*(1+2.78*('Cálculos'!$E$196+(($B$168)-$A124)*'Cálculos'!$E$98)/(('Cálculos'!$E$196+(($B$168)-$A124)*'Cálculos'!$E$98)+1400)+'Cálculos'!$E$122)*'Cálculos'!$E$217+'Cálculos'!$E$125*(1+2.78*('Cálculos'!$E$196+(($B$168)-$A124)*'Cálculos'!$E$98)/(('Cálculos'!$E$196+(($B$168)-$A124)*'Cálculos'!$E$98)+1400)+'Cálculos'!$E$123)*'Cálculos'!$E$222)+('Cálculos'!$E$213+'Cálculos'!$E$124*(1+2.78*('Cálculos'!$E$196+(($B$168)-$A124)*'Cálculos'!$E$98)/(('Cálculos'!$E$196+(($B$168)-$A124)*'Cálculos'!$E$98)+1400)+'Cálculos'!$E$122)*'Cálculos'!$E$218+'Cálculos'!$E$125*(1+2.78*('Cálculos'!$E$196+(($B$168)-$A124)*'Cálculos'!$E$98)/(('Cálculos'!$E$196+(($B$168)-$A124)*'Cálculos'!$E$98)+1400)+'Cálculos'!$E$123)*'Cálculos'!$E$223)+('Cálculos'!$E$185*(1+'Cálculos'!$E$187+$A124*('Cálculos'!$E$290=1)*'Cálculos'!$E$97+'Cálculos'!$E$305)+'Cálculos'!$E$192)*('Cálculos'!$E$224+'Cálculos'!$E$124*(1+2.78*('Cálculos'!$E$197+(($B$168)-$A124)*'Cálculos'!$E$98)/(('Cálculos'!$E$197+(($B$168)-$A124)*'Cálculos'!$E$98)+1400)+'Cálculos'!$E$122)*'Cálculos'!$E$229+'Cálculos'!$E$125*(1+2.78*('Cálculos'!$E$197+(($B$168)-$A124)*'Cálculos'!$E$98)/(('Cálculos'!$E$197+(($B$168)-$A124)*'Cálculos'!$E$98)+1400)+'Cálculos'!$E$123)*'Cálculos'!$E$234)+('Cálculos'!$E$197+(($B$168)-$A124)*'Cálculos'!$E$98)*('Cálculos'!$E$225+'Cálculos'!$E$124*(1+2.78*('Cálculos'!$E$197+(($B$168)-$A124)*'Cálculos'!$E$98)/(('Cálculos'!$E$197+(($B$168)-$A124)*'Cálculos'!$E$98)+1400)+'Cálculos'!$E$122)*'Cálculos'!$E$230+'Cálculos'!$E$125*(1+2.78*('Cálculos'!$E$197+(($B$168)-$A124)*'Cálculos'!$E$98)/(('Cálculos'!$E$197+(($B$168)-$A124)*'Cálculos'!$E$98)+1400)+'Cálculos'!$E$123)*'Cálculos'!$E$235)+('Cálculos'!$E$201*(1+'Cálculos'!$E$202+$A124*('Cálculos'!$E$290=2)*'Cálculos'!$E$101)+'Cálculos'!$E$203)*('Cálculos'!$E$226+'Cálculos'!$E$124*(1+2.78*('Cálculos'!$E$197+(($B$168)-$A124)*'Cálculos'!$E$98)/(('Cálculos'!$E$197+(($B$168)-$A124)*'Cálculos'!$E$98)+1400)+'Cálculos'!$E$122)*'Cálculos'!$E$231+'Cálculos'!$E$125*(1+2.78*('Cálculos'!$E$197+(($B$168)-$A124)*'Cálculos'!$E$98)/(('Cálculos'!$E$197+(($B$168)-$A124)*'Cálculos'!$E$98)+1400)+'Cálculos'!$E$123)*'Cálculos'!$E$236)+('Cálculos'!$E$204*(1+'Cálculos'!$E$205+$A124*('Cálculos'!$E$290=3)*'Cálculos'!$E$103)+'Cálculos'!$E$206)*('Cálculos'!$E$227+'Cálculos'!$E$124*(1+2.78*('Cálculos'!$E$197+(($B$168)-$A124)*'Cálculos'!$E$98)/(('Cálculos'!$E$197+(($B$168)-$A124)*'Cálculos'!$E$98)+1400)+'Cálculos'!$E$122)*'Cálculos'!$E$232+'Cálculos'!$E$125*(1+2.78*('Cálculos'!$E$197+(($B$168)-$A124)*'Cálculos'!$E$98)/(('Cálculos'!$E$197+(($B$168)-$A124)*'Cálculos'!$E$98)+1400)+'Cálculos'!$E$123)*'Cálculos'!$E$237)+('Cálculos'!$E$228+'Cálculos'!$E$124*(1+2.78*('Cálculos'!$E$197+(($B$168)-$A124)*'Cálculos'!$E$98)/(('Cálculos'!$E$197+(($B$168)-$A124)*'Cálculos'!$E$98)+1400)+'Cálculos'!$E$122)*'Cálculos'!$E$233+'Cálculos'!$E$125*(1+2.78*('Cálculos'!$E$197+(($B$168)-$A124)*'Cálculos'!$E$98)/(('Cálculos'!$E$197+(($B$168)-$A124)*'Cálculos'!$E$98)+1400)+'Cálculos'!$E$123)*'Cálculos'!$E$238)+('Cálculos'!$E$185*(1+'Cálculos'!$E$188+$A124*('Cálculos'!$E$290=1)*'Cálculos'!$E$97+'Cálculos'!$E$305)+'Cálculos'!$E$193)*('Cálculos'!$E$239+'Cálculos'!$E$124*(1+2.78*('Cálculos'!$E$198+(($B$168)-$A124)*'Cálculos'!$E$98)/(('Cálculos'!$E$198+(($B$168)-$A124)*'Cálculos'!$E$98)+1400)+'Cálculos'!$E$122)*'Cálculos'!$E$244+'Cálculos'!$E$125*(1+2.78*('Cálculos'!$E$198+(($B$168)-$A124)*'Cálculos'!$E$98)/(('Cálculos'!$E$198+(($B$168)-$A124)*'Cálculos'!$E$98)+1400)+'Cálculos'!$E$123)*'Cálculos'!$E$249)+('Cálculos'!$E$198+(($B$168)-$A124)*'Cálculos'!$E$98)*('Cálculos'!$E$240+'Cálculos'!$E$124*(1+2.78*('Cálculos'!$E$198+(($B$168)-$A124)*'Cálculos'!$E$98)/(('Cálculos'!$E$198+(($B$168)-$A124)*'Cálculos'!$E$98)+1400)+'Cálculos'!$E$122)*'Cálculos'!$E$245+'Cálculos'!$E$125*(1+2.78*('Cálculos'!$E$198+(($B$168)-$A124)*'Cálculos'!$E$98)/(('Cálculos'!$E$198+(($B$168)-$A124)*'Cálculos'!$E$98)+1400)+'Cálculos'!$E$123)*'Cálculos'!$E$250)+('Cálculos'!$E$201*(1+'Cálculos'!$E$202+$A124*('Cálculos'!$E$290=2)*'Cálculos'!$E$101)+'Cálculos'!$E$203)*('Cálculos'!$E$241+'Cálculos'!$E$124*(1+2.78*('Cálculos'!$E$198+(($B$168)-$A124)*'Cálculos'!$E$98)/(('Cálculos'!$E$198+(($B$168)-$A124)*'Cálculos'!$E$98)+1400)+'Cálculos'!$E$122)*'Cálculos'!$E$246+'Cálculos'!$E$125*(1+2.78*('Cálculos'!$E$198+(($B$168)-$A124)*'Cálculos'!$E$98)/(('Cálculos'!$E$198+(($B$168)-$A124)*'Cálculos'!$E$98)+1400)+'Cálculos'!$E$123)*'Cálculos'!$E$251)+('Cálculos'!$E$204*(1+'Cálculos'!$E$205+$A124*('Cálculos'!$E$290=3)*'Cálculos'!$E$103)+'Cálculos'!$E$206)*('Cálculos'!$E$242+'Cálculos'!$E$124*(1+2.78*('Cálculos'!$E$198+(($B$168)-$A124)*'Cálculos'!$E$98)/(('Cálculos'!$E$198+(($B$168)-$A124)*'Cálculos'!$E$98)+1400)+'Cálculos'!$E$122)*'Cálculos'!$E$247+'Cálculos'!$E$125*(1+2.78*('Cálculos'!$E$198+(($B$168)-$A124)*'Cálculos'!$E$98)/(('Cálculos'!$E$198+(($B$168)-$A124)*'Cálculos'!$E$98)+1400)+'Cálculos'!$E$123)*'Cálculos'!$E$252)+('Cálculos'!$E$243+'Cálculos'!$E$124*(1+2.78*('Cálculos'!$E$198+(($B$168)-$A124)*'Cálculos'!$E$98)/(('Cálculos'!$E$198+(($B$168)-$A124)*'Cálculos'!$E$98)+1400)+'Cálculos'!$E$122)*'Cálculos'!$E$248+'Cálculos'!$E$125*(1+2.78*('Cálculos'!$E$198+(($B$168)-$A124)*'Cálculos'!$E$98)/(('Cálculos'!$E$198+(($B$168)-$A124)*'Cálculos'!$E$98)+1400)+'Cálculos'!$E$123)*'Cálculos'!$E$253)+('Cálculos'!$E$185*(1+'Cálculos'!$E$189+$A124*('Cálculos'!$E$290=1)*'Cálculos'!$E$97+'Cálculos'!$E$305)+'Cálculos'!$E$194)*('Cálculos'!$E$254+'Cálculos'!$E$124*(1+2.78*('Cálculos'!$E$199+(($B$168)-$A124)*'Cálculos'!$E$98)/(('Cálculos'!$E$199+(($B$168)-$A124)*'Cálculos'!$E$98)+1400)+'Cálculos'!$E$122)*'Cálculos'!$E$259+'Cálculos'!$E$125*(1+2.78*('Cálculos'!$E$199+(($B$168)-$A124)*'Cálculos'!$E$98)/(('Cálculos'!$E$199+(($B$168)-$A124)*'Cálculos'!$E$98)+1400)+'Cálculos'!$E$123)*'Cálculos'!$E$264)+('Cálculos'!$E$199+(($B$168)-$A124)*'Cálculos'!$E$98)*('Cálculos'!$E$255+'Cálculos'!$E$124*(1+2.78*('Cálculos'!$E$199+(($B$168)-$A124)*'Cálculos'!$E$98)/(('Cálculos'!$E$199+(($B$168)-$A124)*'Cálculos'!$E$98)+1400)+'Cálculos'!$E$122)*'Cálculos'!$E$260+'Cálculos'!$E$125*(1+2.78*('Cálculos'!$E$199+(($B$168)-$A124)*'Cálculos'!$E$98)/(('Cálculos'!$E$199+(($B$168)-$A124)*'Cálculos'!$E$98)+1400)+'Cálculos'!$E$123)*'Cálculos'!$E$265)+('Cálculos'!$E$201*(1+'Cálculos'!$E$202+$A124*('Cálculos'!$E$290=2)*'Cálculos'!$E$101)+'Cálculos'!$E$203)*('Cálculos'!$E$256+'Cálculos'!$E$124*(1+2.78*('Cálculos'!$E$199+(($B$168)-$A124)*'Cálculos'!$E$98)/(('Cálculos'!$E$199+(($B$168)-$A124)*'Cálculos'!$E$98)+1400)+'Cálculos'!$E$122)*'Cálculos'!$E$261+'Cálculos'!$E$125*(1+2.78*('Cálculos'!$E$199+(($B$168)-$A124)*'Cálculos'!$E$98)/(('Cálculos'!$E$199+(($B$168)-$A124)*'Cálculos'!$E$98)+1400)+'Cálculos'!$E$123)*'Cálculos'!$E$266)+('Cálculos'!$E$204*(1+'Cálculos'!$E$205+$A124*('Cálculos'!$E$290=3)*'Cálculos'!$E$103)+'Cálculos'!$E$206)*('Cálculos'!$E$257+'Cálculos'!$E$124*(1+2.78*('Cálculos'!$E$199+(($B$168)-$A124)*'Cálculos'!$E$98)/(('Cálculos'!$E$199+(($B$168)-$A124)*'Cálculos'!$E$98)+1400)+'Cálculos'!$E$122)*'Cálculos'!$E$262+'Cálculos'!$E$125*(1+2.78*('Cálculos'!$E$199+(($B$168)-$A124)*'Cálculos'!$E$98)/(('Cálculos'!$E$199+(($B$168)-$A124)*'Cálculos'!$E$98)+1400)+'Cálculos'!$E$123)*'Cálculos'!$E$267)+('Cálculos'!$E$258+'Cálculos'!$E$124*(1+2.78*('Cálculos'!$E$199+(($B$168)-$A124)*'Cálculos'!$E$98)/(('Cálculos'!$E$199+(($B$168)-$A124)*'Cálculos'!$E$98)+1400)+'Cálculos'!$E$122)*'Cálculos'!$E$263+'Cálculos'!$E$125*(1+2.78*('Cálculos'!$E$199+(($B$168)-$A124)*'Cálculos'!$E$98)/(('Cálculos'!$E$199+(($B$168)-$A124)*'Cálculos'!$E$98)+1400)+'Cálculos'!$E$123)*'Cálculos'!$E$268)+('Cálculos'!$E$185*(1+'Cálculos'!$E$190+$A124*('Cálculos'!$E$290=1)*'Cálculos'!$E$97+'Cálculos'!$E$305)+'Cálculos'!$E$195)*('Cálculos'!$E$269+'Cálculos'!$E$124*(1+2.78*('Cálculos'!$E$200+(($B$168)-$A124)*'Cálculos'!$E$98)/(('Cálculos'!$E$200+(($B$168)-$A124)*'Cálculos'!$E$98)+1400)+'Cálculos'!$E$122)*'Cálculos'!$E$274+'Cálculos'!$E$125*(1+2.78*('Cálculos'!$E$200+(($B$168)-$A124)*'Cálculos'!$E$98)/(('Cálculos'!$E$200+(($B$168)-$A124)*'Cálculos'!$E$98)+1400)+'Cálculos'!$E$123)*'Cálculos'!$E$279)+('Cálculos'!$E$200+(($B$168)-$A124)*'Cálculos'!$E$98)*('Cálculos'!$E$270+'Cálculos'!$E$124*(1+2.78*('Cálculos'!$E$200+(($B$168)-$A124)*'Cálculos'!$E$98)/(('Cálculos'!$E$200+(($B$168)-$A124)*'Cálculos'!$E$98)+1400)+'Cálculos'!$E$122)*'Cálculos'!$E$275+'Cálculos'!$E$125*(1+2.78*('Cálculos'!$E$200+(($B$168)-$A124)*'Cálculos'!$E$98)/(('Cálculos'!$E$200+(($B$168)-$A124)*'Cálculos'!$E$98)+1400)+'Cálculos'!$E$123)*'Cálculos'!$E$280)+('Cálculos'!$E$201*(1+'Cálculos'!$E$202+$A124*('Cálculos'!$E$290=2)*'Cálculos'!$E$101)+'Cálculos'!$E$203)*('Cálculos'!$E$271+'Cálculos'!$E$124*(1+2.78*('Cálculos'!$E$200+(($B$168)-$A124)*'Cálculos'!$E$98)/(('Cálculos'!$E$200+(($B$168)-$A124)*'Cálculos'!$E$98)+1400)+'Cálculos'!$E$122)*'Cálculos'!$E$276+'Cálculos'!$E$125*(1+2.78*('Cálculos'!$E$200+(($B$168)-$A124)*'Cálculos'!$E$98)/(('Cálculos'!$E$200+(($B$168)-$A124)*'Cálculos'!$E$98)+1400)+'Cálculos'!$E$123)*'Cálculos'!$E$281)+('Cálculos'!$E$204*(1+'Cálculos'!$E$205+$A124*('Cálculos'!$E$290=3)*'Cálculos'!$E$103)+'Cálculos'!$E$206)*('Cálculos'!$E$272+'Cálculos'!$E$124*(1+2.78*('Cálculos'!$E$200+(($B$168)-$A124)*'Cálculos'!$E$98)/(('Cálculos'!$E$200+(($B$168)-$A124)*'Cálculos'!$E$98)+1400)+'Cálculos'!$E$122)*'Cálculos'!$E$277+'Cálculos'!$E$125*(1+2.78*('Cálculos'!$E$200+(($B$168)-$A124)*'Cálculos'!$E$98)/(('Cálculos'!$E$200+(($B$168)-$A124)*'Cálculos'!$E$98)+1400)+'Cálculos'!$E$123)*'Cálculos'!$E$282)+('Cálculos'!$E$273+'Cálculos'!$E$124*(1+2.78*('Cálculos'!$E$200+(($B$168)-$A124)*'Cálculos'!$E$98)/(('Cálculos'!$E$200+(($B$168)-$A124)*'Cálculos'!$E$98)+1400)+'Cálculos'!$E$122)*'Cálculos'!$E$278+'Cálculos'!$E$125*(1+2.78*('Cálculos'!$E$200+(($B$168)-$A124)*'Cálculos'!$E$98)/(('Cálculos'!$E$200+(($B$168)-$A124)*'Cálculos'!$E$98)+1400)+'Cálculos'!$E$123)*'Cálculos'!$E$283)))</f>
        <v>0</v>
      </c>
    </row>
    <row r="125" ht="15.75" customHeight="1">
      <c r="A125" s="2">
        <v>5.0</v>
      </c>
      <c r="B125" s="30">
        <f>SUMPRODUCT(MAX(($A$120:$A$165&lt;=$A125)*($A$120:$A$165&lt;='Cálculos'!$E$294)*(($A125)-$A$120:$A$165&lt;='Cálculos'!$E$295)*(1+(('Cálculos'!$E$207+$A$120:$A$165*'Cálculos'!$E$95)-(('Cálculos'!$E$207+$A$120:$A$165*'Cálculos'!$E$95)&gt;1)*(('Cálculos'!$E$207+$A$120:$A$165*'Cálculos'!$E$95)-1))*('Cálculos'!$E$208+(($A125)-$A$120:$A$165)*'Cálculos'!$E$96))))</f>
        <v>1.41216</v>
      </c>
      <c r="C125" s="2">
        <f>'Cálculos'!$E$303-$A125</f>
        <v>8</v>
      </c>
      <c r="D125" s="31">
        <f>IF($C125&lt;0,0,SUMPRODUCT(MAX(($A$120:$A$165&lt;=$C125)*($A$120:$A$165&lt;='Cálculos'!$E$301)*(($C125)-$A$120:$A$165&lt;='Cálculos'!$E$297)*(('Cálculos'!$E$185*(1+'Cálculos'!$E$186+$A$120:$A$165*('Cálculos'!$E$290=1)*'Cálculos'!$E$97+'Cálculos'!$E$305)+'Cálculos'!$E$191)*('Cálculos'!$E$209+'Cálculos'!$E$124*(1+2.78*('Cálculos'!$E$196+(($C125)-$A$120:$A$165)*'Cálculos'!$E$98)/(('Cálculos'!$E$196+(($C125)-$A$120:$A$165)*'Cálculos'!$E$98)+1400)+'Cálculos'!$E$122)*'Cálculos'!$E$214+'Cálculos'!$E$125*(1+2.78*('Cálculos'!$E$196+(($C125)-$A$120:$A$165)*'Cálculos'!$E$98)/(('Cálculos'!$E$196+(($C125)-$A$120:$A$165)*'Cálculos'!$E$98)+1400)+'Cálculos'!$E$123)*'Cálculos'!$E$219)+('Cálculos'!$E$196+(($C125)-$A$120:$A$165)*'Cálculos'!$E$98)*('Cálculos'!$E$210+'Cálculos'!$E$124*(1+2.78*('Cálculos'!$E$196+(($C125)-$A$120:$A$165)*'Cálculos'!$E$98)/(('Cálculos'!$E$196+(($C125)-$A$120:$A$165)*'Cálculos'!$E$98)+1400)+'Cálculos'!$E$122)*'Cálculos'!$E$215+'Cálculos'!$E$125*(1+2.78*('Cálculos'!$E$196+(($C125)-$A$120:$A$165)*'Cálculos'!$E$98)/(('Cálculos'!$E$196+(($C125)-$A$120:$A$165)*'Cálculos'!$E$98)+1400)+'Cálculos'!$E$123)*'Cálculos'!$E$220)+('Cálculos'!$E$201*(1+'Cálculos'!$E$202+$A$120:$A$165*('Cálculos'!$E$290=2)*'Cálculos'!$E$101)+'Cálculos'!$E$203)*('Cálculos'!$E$211+'Cálculos'!$E$124*(1+2.78*('Cálculos'!$E$196+(($C125)-$A$120:$A$165)*'Cálculos'!$E$98)/(('Cálculos'!$E$196+(($C125)-$A$120:$A$165)*'Cálculos'!$E$98)+1400)+'Cálculos'!$E$122)*'Cálculos'!$E$216+'Cálculos'!$E$125*(1+2.78*('Cálculos'!$E$196+(($C125)-$A$120:$A$165)*'Cálculos'!$E$98)/(('Cálculos'!$E$196+(($C125)-$A$120:$A$165)*'Cálculos'!$E$98)+1400)+'Cálculos'!$E$123)*'Cálculos'!$E$221)+('Cálculos'!$E$204*(1+'Cálculos'!$E$205+$A$120:$A$165*('Cálculos'!$E$290=3)*'Cálculos'!$E$103)+'Cálculos'!$E$206)*('Cálculos'!$E$212+'Cálculos'!$E$124*(1+2.78*('Cálculos'!$E$196+(($C125)-$A$120:$A$165)*'Cálculos'!$E$98)/(('Cálculos'!$E$196+(($C125)-$A$120:$A$165)*'Cálculos'!$E$98)+1400)+'Cálculos'!$E$122)*'Cálculos'!$E$217+'Cálculos'!$E$125*(1+2.78*('Cálculos'!$E$196+(($C125)-$A$120:$A$165)*'Cálculos'!$E$98)/(('Cálculos'!$E$196+(($C125)-$A$120:$A$165)*'Cálculos'!$E$98)+1400)+'Cálculos'!$E$123)*'Cálculos'!$E$222)+('Cálculos'!$E$213+'Cálculos'!$E$124*(1+2.78*('Cálculos'!$E$196+(($C125)-$A$120:$A$165)*'Cálculos'!$E$98)/(('Cálculos'!$E$196+(($C125)-$A$120:$A$165)*'Cálculos'!$E$98)+1400)+'Cálculos'!$E$122)*'Cálculos'!$E$218+'Cálculos'!$E$125*(1+2.78*('Cálculos'!$E$196+(($C125)-$A$120:$A$165)*'Cálculos'!$E$98)/(('Cálculos'!$E$196+(($C125)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125)-$A$120:$A$165)*'Cálculos'!$E$98)/(('Cálculos'!$E$197+(($C125)-$A$120:$A$165)*'Cálculos'!$E$98)+1400)+'Cálculos'!$E$122)*'Cálculos'!$E$229+'Cálculos'!$E$125*(1+2.78*('Cálculos'!$E$197+(($C125)-$A$120:$A$165)*'Cálculos'!$E$98)/(('Cálculos'!$E$197+(($C125)-$A$120:$A$165)*'Cálculos'!$E$98)+1400)+'Cálculos'!$E$123)*'Cálculos'!$E$234)+('Cálculos'!$E$197+(($C125)-$A$120:$A$165)*'Cálculos'!$E$98)*('Cálculos'!$E$225+'Cálculos'!$E$124*(1+2.78*('Cálculos'!$E$197+(($C125)-$A$120:$A$165)*'Cálculos'!$E$98)/(('Cálculos'!$E$197+(($C125)-$A$120:$A$165)*'Cálculos'!$E$98)+1400)+'Cálculos'!$E$122)*'Cálculos'!$E$230+'Cálculos'!$E$125*(1+2.78*('Cálculos'!$E$197+(($C125)-$A$120:$A$165)*'Cálculos'!$E$98)/(('Cálculos'!$E$197+(($C125)-$A$120:$A$165)*'Cálculos'!$E$98)+1400)+'Cálculos'!$E$123)*'Cálculos'!$E$235)+('Cálculos'!$E$201*(1+'Cálculos'!$E$202+$A$120:$A$165*('Cálculos'!$E$290=2)*'Cálculos'!$E$101)+'Cálculos'!$E$203)*('Cálculos'!$E$226+'Cálculos'!$E$124*(1+2.78*('Cálculos'!$E$197+(($C125)-$A$120:$A$165)*'Cálculos'!$E$98)/(('Cálculos'!$E$197+(($C125)-$A$120:$A$165)*'Cálculos'!$E$98)+1400)+'Cálculos'!$E$122)*'Cálculos'!$E$231+'Cálculos'!$E$125*(1+2.78*('Cálculos'!$E$197+(($C125)-$A$120:$A$165)*'Cálculos'!$E$98)/(('Cálculos'!$E$197+(($C125)-$A$120:$A$165)*'Cálculos'!$E$98)+1400)+'Cálculos'!$E$123)*'Cálculos'!$E$236)+('Cálculos'!$E$204*(1+'Cálculos'!$E$205+$A$120:$A$165*('Cálculos'!$E$290=3)*'Cálculos'!$E$103)+'Cálculos'!$E$206)*('Cálculos'!$E$227+'Cálculos'!$E$124*(1+2.78*('Cálculos'!$E$197+(($C125)-$A$120:$A$165)*'Cálculos'!$E$98)/(('Cálculos'!$E$197+(($C125)-$A$120:$A$165)*'Cálculos'!$E$98)+1400)+'Cálculos'!$E$122)*'Cálculos'!$E$232+'Cálculos'!$E$125*(1+2.78*('Cálculos'!$E$197+(($C125)-$A$120:$A$165)*'Cálculos'!$E$98)/(('Cálculos'!$E$197+(($C125)-$A$120:$A$165)*'Cálculos'!$E$98)+1400)+'Cálculos'!$E$123)*'Cálculos'!$E$237)+('Cálculos'!$E$228+'Cálculos'!$E$124*(1+2.78*('Cálculos'!$E$197+(($C125)-$A$120:$A$165)*'Cálculos'!$E$98)/(('Cálculos'!$E$197+(($C125)-$A$120:$A$165)*'Cálculos'!$E$98)+1400)+'Cálculos'!$E$122)*'Cálculos'!$E$233+'Cálculos'!$E$125*(1+2.78*('Cálculos'!$E$197+(($C125)-$A$120:$A$165)*'Cálculos'!$E$98)/(('Cálculos'!$E$197+(($C125)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125)-$A$120:$A$165)*'Cálculos'!$E$98)/(('Cálculos'!$E$198+(($C125)-$A$120:$A$165)*'Cálculos'!$E$98)+1400)+'Cálculos'!$E$122)*'Cálculos'!$E$244+'Cálculos'!$E$125*(1+2.78*('Cálculos'!$E$198+(($C125)-$A$120:$A$165)*'Cálculos'!$E$98)/(('Cálculos'!$E$198+(($C125)-$A$120:$A$165)*'Cálculos'!$E$98)+1400)+'Cálculos'!$E$123)*'Cálculos'!$E$249)+('Cálculos'!$E$198+(($C125)-$A$120:$A$165)*'Cálculos'!$E$98)*('Cálculos'!$E$240+'Cálculos'!$E$124*(1+2.78*('Cálculos'!$E$198+(($C125)-$A$120:$A$165)*'Cálculos'!$E$98)/(('Cálculos'!$E$198+(($C125)-$A$120:$A$165)*'Cálculos'!$E$98)+1400)+'Cálculos'!$E$122)*'Cálculos'!$E$245+'Cálculos'!$E$125*(1+2.78*('Cálculos'!$E$198+(($C125)-$A$120:$A$165)*'Cálculos'!$E$98)/(('Cálculos'!$E$198+(($C125)-$A$120:$A$165)*'Cálculos'!$E$98)+1400)+'Cálculos'!$E$123)*'Cálculos'!$E$250)+('Cálculos'!$E$201*(1+'Cálculos'!$E$202+$A$120:$A$165*('Cálculos'!$E$290=2)*'Cálculos'!$E$101)+'Cálculos'!$E$203)*('Cálculos'!$E$241+'Cálculos'!$E$124*(1+2.78*('Cálculos'!$E$198+(($C125)-$A$120:$A$165)*'Cálculos'!$E$98)/(('Cálculos'!$E$198+(($C125)-$A$120:$A$165)*'Cálculos'!$E$98)+1400)+'Cálculos'!$E$122)*'Cálculos'!$E$246+'Cálculos'!$E$125*(1+2.78*('Cálculos'!$E$198+(($C125)-$A$120:$A$165)*'Cálculos'!$E$98)/(('Cálculos'!$E$198+(($C125)-$A$120:$A$165)*'Cálculos'!$E$98)+1400)+'Cálculos'!$E$123)*'Cálculos'!$E$251)+('Cálculos'!$E$204*(1+'Cálculos'!$E$205+$A$120:$A$165*('Cálculos'!$E$290=3)*'Cálculos'!$E$103)+'Cálculos'!$E$206)*('Cálculos'!$E$242+'Cálculos'!$E$124*(1+2.78*('Cálculos'!$E$198+(($C125)-$A$120:$A$165)*'Cálculos'!$E$98)/(('Cálculos'!$E$198+(($C125)-$A$120:$A$165)*'Cálculos'!$E$98)+1400)+'Cálculos'!$E$122)*'Cálculos'!$E$247+'Cálculos'!$E$125*(1+2.78*('Cálculos'!$E$198+(($C125)-$A$120:$A$165)*'Cálculos'!$E$98)/(('Cálculos'!$E$198+(($C125)-$A$120:$A$165)*'Cálculos'!$E$98)+1400)+'Cálculos'!$E$123)*'Cálculos'!$E$252)+('Cálculos'!$E$243+'Cálculos'!$E$124*(1+2.78*('Cálculos'!$E$198+(($C125)-$A$120:$A$165)*'Cálculos'!$E$98)/(('Cálculos'!$E$198+(($C125)-$A$120:$A$165)*'Cálculos'!$E$98)+1400)+'Cálculos'!$E$122)*'Cálculos'!$E$248+'Cálculos'!$E$125*(1+2.78*('Cálculos'!$E$198+(($C125)-$A$120:$A$165)*'Cálculos'!$E$98)/(('Cálculos'!$E$198+(($C125)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125)-$A$120:$A$165)*'Cálculos'!$E$98)/(('Cálculos'!$E$199+(($C125)-$A$120:$A$165)*'Cálculos'!$E$98)+1400)+'Cálculos'!$E$122)*'Cálculos'!$E$259+'Cálculos'!$E$125*(1+2.78*('Cálculos'!$E$199+(($C125)-$A$120:$A$165)*'Cálculos'!$E$98)/(('Cálculos'!$E$199+(($C125)-$A$120:$A$165)*'Cálculos'!$E$98)+1400)+'Cálculos'!$E$123)*'Cálculos'!$E$264)+('Cálculos'!$E$199+(($C125)-$A$120:$A$165)*'Cálculos'!$E$98)*('Cálculos'!$E$255+'Cálculos'!$E$124*(1+2.78*('Cálculos'!$E$199+(($C125)-$A$120:$A$165)*'Cálculos'!$E$98)/(('Cálculos'!$E$199+(($C125)-$A$120:$A$165)*'Cálculos'!$E$98)+1400)+'Cálculos'!$E$122)*'Cálculos'!$E$260+'Cálculos'!$E$125*(1+2.78*('Cálculos'!$E$199+(($C125)-$A$120:$A$165)*'Cálculos'!$E$98)/(('Cálculos'!$E$199+(($C125)-$A$120:$A$165)*'Cálculos'!$E$98)+1400)+'Cálculos'!$E$123)*'Cálculos'!$E$265)+('Cálculos'!$E$201*(1+'Cálculos'!$E$202+$A$120:$A$165*('Cálculos'!$E$290=2)*'Cálculos'!$E$101)+'Cálculos'!$E$203)*('Cálculos'!$E$256+'Cálculos'!$E$124*(1+2.78*('Cálculos'!$E$199+(($C125)-$A$120:$A$165)*'Cálculos'!$E$98)/(('Cálculos'!$E$199+(($C125)-$A$120:$A$165)*'Cálculos'!$E$98)+1400)+'Cálculos'!$E$122)*'Cálculos'!$E$261+'Cálculos'!$E$125*(1+2.78*('Cálculos'!$E$199+(($C125)-$A$120:$A$165)*'Cálculos'!$E$98)/(('Cálculos'!$E$199+(($C125)-$A$120:$A$165)*'Cálculos'!$E$98)+1400)+'Cálculos'!$E$123)*'Cálculos'!$E$266)+('Cálculos'!$E$204*(1+'Cálculos'!$E$205+$A$120:$A$165*('Cálculos'!$E$290=3)*'Cálculos'!$E$103)+'Cálculos'!$E$206)*('Cálculos'!$E$257+'Cálculos'!$E$124*(1+2.78*('Cálculos'!$E$199+(($C125)-$A$120:$A$165)*'Cálculos'!$E$98)/(('Cálculos'!$E$199+(($C125)-$A$120:$A$165)*'Cálculos'!$E$98)+1400)+'Cálculos'!$E$122)*'Cálculos'!$E$262+'Cálculos'!$E$125*(1+2.78*('Cálculos'!$E$199+(($C125)-$A$120:$A$165)*'Cálculos'!$E$98)/(('Cálculos'!$E$199+(($C125)-$A$120:$A$165)*'Cálculos'!$E$98)+1400)+'Cálculos'!$E$123)*'Cálculos'!$E$267)+('Cálculos'!$E$258+'Cálculos'!$E$124*(1+2.78*('Cálculos'!$E$199+(($C125)-$A$120:$A$165)*'Cálculos'!$E$98)/(('Cálculos'!$E$199+(($C125)-$A$120:$A$165)*'Cálculos'!$E$98)+1400)+'Cálculos'!$E$122)*'Cálculos'!$E$263+'Cálculos'!$E$125*(1+2.78*('Cálculos'!$E$199+(($C125)-$A$120:$A$165)*'Cálculos'!$E$98)/(('Cálculos'!$E$199+(($C125)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125)-$A$120:$A$165)*'Cálculos'!$E$98)/(('Cálculos'!$E$200+(($C125)-$A$120:$A$165)*'Cálculos'!$E$98)+1400)+'Cálculos'!$E$122)*'Cálculos'!$E$274+'Cálculos'!$E$125*(1+2.78*('Cálculos'!$E$200+(($C125)-$A$120:$A$165)*'Cálculos'!$E$98)/(('Cálculos'!$E$200+(($C125)-$A$120:$A$165)*'Cálculos'!$E$98)+1400)+'Cálculos'!$E$123)*'Cálculos'!$E$279)+('Cálculos'!$E$200+(($C125)-$A$120:$A$165)*'Cálculos'!$E$98)*('Cálculos'!$E$270+'Cálculos'!$E$124*(1+2.78*('Cálculos'!$E$200+(($C125)-$A$120:$A$165)*'Cálculos'!$E$98)/(('Cálculos'!$E$200+(($C125)-$A$120:$A$165)*'Cálculos'!$E$98)+1400)+'Cálculos'!$E$122)*'Cálculos'!$E$275+'Cálculos'!$E$125*(1+2.78*('Cálculos'!$E$200+(($C125)-$A$120:$A$165)*'Cálculos'!$E$98)/(('Cálculos'!$E$200+(($C125)-$A$120:$A$165)*'Cálculos'!$E$98)+1400)+'Cálculos'!$E$123)*'Cálculos'!$E$280)+('Cálculos'!$E$201*(1+'Cálculos'!$E$202+$A$120:$A$165*('Cálculos'!$E$290=2)*'Cálculos'!$E$101)+'Cálculos'!$E$203)*('Cálculos'!$E$271+'Cálculos'!$E$124*(1+2.78*('Cálculos'!$E$200+(($C125)-$A$120:$A$165)*'Cálculos'!$E$98)/(('Cálculos'!$E$200+(($C125)-$A$120:$A$165)*'Cálculos'!$E$98)+1400)+'Cálculos'!$E$122)*'Cálculos'!$E$276+'Cálculos'!$E$125*(1+2.78*('Cálculos'!$E$200+(($C125)-$A$120:$A$165)*'Cálculos'!$E$98)/(('Cálculos'!$E$200+(($C125)-$A$120:$A$165)*'Cálculos'!$E$98)+1400)+'Cálculos'!$E$123)*'Cálculos'!$E$281)+('Cálculos'!$E$204*(1+'Cálculos'!$E$205+$A$120:$A$165*('Cálculos'!$E$290=3)*'Cálculos'!$E$103)+'Cálculos'!$E$206)*('Cálculos'!$E$272+'Cálculos'!$E$124*(1+2.78*('Cálculos'!$E$200+(($C125)-$A$120:$A$165)*'Cálculos'!$E$98)/(('Cálculos'!$E$200+(($C125)-$A$120:$A$165)*'Cálculos'!$E$98)+1400)+'Cálculos'!$E$122)*'Cálculos'!$E$277+'Cálculos'!$E$125*(1+2.78*('Cálculos'!$E$200+(($C125)-$A$120:$A$165)*'Cálculos'!$E$98)/(('Cálculos'!$E$200+(($C125)-$A$120:$A$165)*'Cálculos'!$E$98)+1400)+'Cálculos'!$E$123)*'Cálculos'!$E$282)+('Cálculos'!$E$273+'Cálculos'!$E$124*(1+2.78*('Cálculos'!$E$200+(($C125)-$A$120:$A$165)*'Cálculos'!$E$98)/(('Cálculos'!$E$200+(($C125)-$A$120:$A$165)*'Cálculos'!$E$98)+1400)+'Cálculos'!$E$122)*'Cálculos'!$E$278+'Cálculos'!$E$125*(1+2.78*('Cálculos'!$E$200+(($C125)-$A$120:$A$165)*'Cálculos'!$E$98)/(('Cálculos'!$E$200+(($C125)-$A$120:$A$165)*'Cálculos'!$E$98)+1400)+'Cálculos'!$E$123)*'Cálculos'!$E$283)))))</f>
        <v>20867.73846</v>
      </c>
      <c r="E125" s="32">
        <f>IF(OR($C125&lt;0,'Cálculos'!$E$6=""),0,$B125*$D125)</f>
        <v>29468.58555</v>
      </c>
      <c r="F125" s="2"/>
      <c r="G125" s="30">
        <f>($A125&lt;=$B$167)*($A125&lt;='Cálculos'!$E$294)*(($B$167)-$A125&lt;='Cálculos'!$E$295)*(1+MIN(('Cálculos'!$E$207+$A125*'Cálculos'!$E$95),1)*('Cálculos'!$E$208+(($B$167)-$A125)*'Cálculos'!$E$96))</f>
        <v>1.68672</v>
      </c>
      <c r="H125" s="31">
        <f>IF($B$168&lt;0,0,($A125&lt;=$B$168)*($A125&lt;='Cálculos'!$E$301)*(($B$168)-$A125&lt;='Cálculos'!$E$297)*(('Cálculos'!$E$185*(1+'Cálculos'!$E$186+$A125*('Cálculos'!$E$290=1)*'Cálculos'!$E$97+'Cálculos'!$E$305)+'Cálculos'!$E$191)*('Cálculos'!$E$209+'Cálculos'!$E$124*(1+2.78*('Cálculos'!$E$196+(($B$168)-$A125)*'Cálculos'!$E$98)/(('Cálculos'!$E$196+(($B$168)-$A125)*'Cálculos'!$E$98)+1400)+'Cálculos'!$E$122)*'Cálculos'!$E$214+'Cálculos'!$E$125*(1+2.78*('Cálculos'!$E$196+(($B$168)-$A125)*'Cálculos'!$E$98)/(('Cálculos'!$E$196+(($B$168)-$A125)*'Cálculos'!$E$98)+1400)+'Cálculos'!$E$123)*'Cálculos'!$E$219)+('Cálculos'!$E$196+(($B$168)-$A125)*'Cálculos'!$E$98)*('Cálculos'!$E$210+'Cálculos'!$E$124*(1+2.78*('Cálculos'!$E$196+(($B$168)-$A125)*'Cálculos'!$E$98)/(('Cálculos'!$E$196+(($B$168)-$A125)*'Cálculos'!$E$98)+1400)+'Cálculos'!$E$122)*'Cálculos'!$E$215+'Cálculos'!$E$125*(1+2.78*('Cálculos'!$E$196+(($B$168)-$A125)*'Cálculos'!$E$98)/(('Cálculos'!$E$196+(($B$168)-$A125)*'Cálculos'!$E$98)+1400)+'Cálculos'!$E$123)*'Cálculos'!$E$220)+('Cálculos'!$E$201*(1+'Cálculos'!$E$202+$A125*('Cálculos'!$E$290=2)*'Cálculos'!$E$101)+'Cálculos'!$E$203)*('Cálculos'!$E$211+'Cálculos'!$E$124*(1+2.78*('Cálculos'!$E$196+(($B$168)-$A125)*'Cálculos'!$E$98)/(('Cálculos'!$E$196+(($B$168)-$A125)*'Cálculos'!$E$98)+1400)+'Cálculos'!$E$122)*'Cálculos'!$E$216+'Cálculos'!$E$125*(1+2.78*('Cálculos'!$E$196+(($B$168)-$A125)*'Cálculos'!$E$98)/(('Cálculos'!$E$196+(($B$168)-$A125)*'Cálculos'!$E$98)+1400)+'Cálculos'!$E$123)*'Cálculos'!$E$221)+('Cálculos'!$E$204*(1+'Cálculos'!$E$205+$A125*('Cálculos'!$E$290=3)*'Cálculos'!$E$103)+'Cálculos'!$E$206)*('Cálculos'!$E$212+'Cálculos'!$E$124*(1+2.78*('Cálculos'!$E$196+(($B$168)-$A125)*'Cálculos'!$E$98)/(('Cálculos'!$E$196+(($B$168)-$A125)*'Cálculos'!$E$98)+1400)+'Cálculos'!$E$122)*'Cálculos'!$E$217+'Cálculos'!$E$125*(1+2.78*('Cálculos'!$E$196+(($B$168)-$A125)*'Cálculos'!$E$98)/(('Cálculos'!$E$196+(($B$168)-$A125)*'Cálculos'!$E$98)+1400)+'Cálculos'!$E$123)*'Cálculos'!$E$222)+('Cálculos'!$E$213+'Cálculos'!$E$124*(1+2.78*('Cálculos'!$E$196+(($B$168)-$A125)*'Cálculos'!$E$98)/(('Cálculos'!$E$196+(($B$168)-$A125)*'Cálculos'!$E$98)+1400)+'Cálculos'!$E$122)*'Cálculos'!$E$218+'Cálculos'!$E$125*(1+2.78*('Cálculos'!$E$196+(($B$168)-$A125)*'Cálculos'!$E$98)/(('Cálculos'!$E$196+(($B$168)-$A125)*'Cálculos'!$E$98)+1400)+'Cálculos'!$E$123)*'Cálculos'!$E$223)+('Cálculos'!$E$185*(1+'Cálculos'!$E$187+$A125*('Cálculos'!$E$290=1)*'Cálculos'!$E$97+'Cálculos'!$E$305)+'Cálculos'!$E$192)*('Cálculos'!$E$224+'Cálculos'!$E$124*(1+2.78*('Cálculos'!$E$197+(($B$168)-$A125)*'Cálculos'!$E$98)/(('Cálculos'!$E$197+(($B$168)-$A125)*'Cálculos'!$E$98)+1400)+'Cálculos'!$E$122)*'Cálculos'!$E$229+'Cálculos'!$E$125*(1+2.78*('Cálculos'!$E$197+(($B$168)-$A125)*'Cálculos'!$E$98)/(('Cálculos'!$E$197+(($B$168)-$A125)*'Cálculos'!$E$98)+1400)+'Cálculos'!$E$123)*'Cálculos'!$E$234)+('Cálculos'!$E$197+(($B$168)-$A125)*'Cálculos'!$E$98)*('Cálculos'!$E$225+'Cálculos'!$E$124*(1+2.78*('Cálculos'!$E$197+(($B$168)-$A125)*'Cálculos'!$E$98)/(('Cálculos'!$E$197+(($B$168)-$A125)*'Cálculos'!$E$98)+1400)+'Cálculos'!$E$122)*'Cálculos'!$E$230+'Cálculos'!$E$125*(1+2.78*('Cálculos'!$E$197+(($B$168)-$A125)*'Cálculos'!$E$98)/(('Cálculos'!$E$197+(($B$168)-$A125)*'Cálculos'!$E$98)+1400)+'Cálculos'!$E$123)*'Cálculos'!$E$235)+('Cálculos'!$E$201*(1+'Cálculos'!$E$202+$A125*('Cálculos'!$E$290=2)*'Cálculos'!$E$101)+'Cálculos'!$E$203)*('Cálculos'!$E$226+'Cálculos'!$E$124*(1+2.78*('Cálculos'!$E$197+(($B$168)-$A125)*'Cálculos'!$E$98)/(('Cálculos'!$E$197+(($B$168)-$A125)*'Cálculos'!$E$98)+1400)+'Cálculos'!$E$122)*'Cálculos'!$E$231+'Cálculos'!$E$125*(1+2.78*('Cálculos'!$E$197+(($B$168)-$A125)*'Cálculos'!$E$98)/(('Cálculos'!$E$197+(($B$168)-$A125)*'Cálculos'!$E$98)+1400)+'Cálculos'!$E$123)*'Cálculos'!$E$236)+('Cálculos'!$E$204*(1+'Cálculos'!$E$205+$A125*('Cálculos'!$E$290=3)*'Cálculos'!$E$103)+'Cálculos'!$E$206)*('Cálculos'!$E$227+'Cálculos'!$E$124*(1+2.78*('Cálculos'!$E$197+(($B$168)-$A125)*'Cálculos'!$E$98)/(('Cálculos'!$E$197+(($B$168)-$A125)*'Cálculos'!$E$98)+1400)+'Cálculos'!$E$122)*'Cálculos'!$E$232+'Cálculos'!$E$125*(1+2.78*('Cálculos'!$E$197+(($B$168)-$A125)*'Cálculos'!$E$98)/(('Cálculos'!$E$197+(($B$168)-$A125)*'Cálculos'!$E$98)+1400)+'Cálculos'!$E$123)*'Cálculos'!$E$237)+('Cálculos'!$E$228+'Cálculos'!$E$124*(1+2.78*('Cálculos'!$E$197+(($B$168)-$A125)*'Cálculos'!$E$98)/(('Cálculos'!$E$197+(($B$168)-$A125)*'Cálculos'!$E$98)+1400)+'Cálculos'!$E$122)*'Cálculos'!$E$233+'Cálculos'!$E$125*(1+2.78*('Cálculos'!$E$197+(($B$168)-$A125)*'Cálculos'!$E$98)/(('Cálculos'!$E$197+(($B$168)-$A125)*'Cálculos'!$E$98)+1400)+'Cálculos'!$E$123)*'Cálculos'!$E$238)+('Cálculos'!$E$185*(1+'Cálculos'!$E$188+$A125*('Cálculos'!$E$290=1)*'Cálculos'!$E$97+'Cálculos'!$E$305)+'Cálculos'!$E$193)*('Cálculos'!$E$239+'Cálculos'!$E$124*(1+2.78*('Cálculos'!$E$198+(($B$168)-$A125)*'Cálculos'!$E$98)/(('Cálculos'!$E$198+(($B$168)-$A125)*'Cálculos'!$E$98)+1400)+'Cálculos'!$E$122)*'Cálculos'!$E$244+'Cálculos'!$E$125*(1+2.78*('Cálculos'!$E$198+(($B$168)-$A125)*'Cálculos'!$E$98)/(('Cálculos'!$E$198+(($B$168)-$A125)*'Cálculos'!$E$98)+1400)+'Cálculos'!$E$123)*'Cálculos'!$E$249)+('Cálculos'!$E$198+(($B$168)-$A125)*'Cálculos'!$E$98)*('Cálculos'!$E$240+'Cálculos'!$E$124*(1+2.78*('Cálculos'!$E$198+(($B$168)-$A125)*'Cálculos'!$E$98)/(('Cálculos'!$E$198+(($B$168)-$A125)*'Cálculos'!$E$98)+1400)+'Cálculos'!$E$122)*'Cálculos'!$E$245+'Cálculos'!$E$125*(1+2.78*('Cálculos'!$E$198+(($B$168)-$A125)*'Cálculos'!$E$98)/(('Cálculos'!$E$198+(($B$168)-$A125)*'Cálculos'!$E$98)+1400)+'Cálculos'!$E$123)*'Cálculos'!$E$250)+('Cálculos'!$E$201*(1+'Cálculos'!$E$202+$A125*('Cálculos'!$E$290=2)*'Cálculos'!$E$101)+'Cálculos'!$E$203)*('Cálculos'!$E$241+'Cálculos'!$E$124*(1+2.78*('Cálculos'!$E$198+(($B$168)-$A125)*'Cálculos'!$E$98)/(('Cálculos'!$E$198+(($B$168)-$A125)*'Cálculos'!$E$98)+1400)+'Cálculos'!$E$122)*'Cálculos'!$E$246+'Cálculos'!$E$125*(1+2.78*('Cálculos'!$E$198+(($B$168)-$A125)*'Cálculos'!$E$98)/(('Cálculos'!$E$198+(($B$168)-$A125)*'Cálculos'!$E$98)+1400)+'Cálculos'!$E$123)*'Cálculos'!$E$251)+('Cálculos'!$E$204*(1+'Cálculos'!$E$205+$A125*('Cálculos'!$E$290=3)*'Cálculos'!$E$103)+'Cálculos'!$E$206)*('Cálculos'!$E$242+'Cálculos'!$E$124*(1+2.78*('Cálculos'!$E$198+(($B$168)-$A125)*'Cálculos'!$E$98)/(('Cálculos'!$E$198+(($B$168)-$A125)*'Cálculos'!$E$98)+1400)+'Cálculos'!$E$122)*'Cálculos'!$E$247+'Cálculos'!$E$125*(1+2.78*('Cálculos'!$E$198+(($B$168)-$A125)*'Cálculos'!$E$98)/(('Cálculos'!$E$198+(($B$168)-$A125)*'Cálculos'!$E$98)+1400)+'Cálculos'!$E$123)*'Cálculos'!$E$252)+('Cálculos'!$E$243+'Cálculos'!$E$124*(1+2.78*('Cálculos'!$E$198+(($B$168)-$A125)*'Cálculos'!$E$98)/(('Cálculos'!$E$198+(($B$168)-$A125)*'Cálculos'!$E$98)+1400)+'Cálculos'!$E$122)*'Cálculos'!$E$248+'Cálculos'!$E$125*(1+2.78*('Cálculos'!$E$198+(($B$168)-$A125)*'Cálculos'!$E$98)/(('Cálculos'!$E$198+(($B$168)-$A125)*'Cálculos'!$E$98)+1400)+'Cálculos'!$E$123)*'Cálculos'!$E$253)+('Cálculos'!$E$185*(1+'Cálculos'!$E$189+$A125*('Cálculos'!$E$290=1)*'Cálculos'!$E$97+'Cálculos'!$E$305)+'Cálculos'!$E$194)*('Cálculos'!$E$254+'Cálculos'!$E$124*(1+2.78*('Cálculos'!$E$199+(($B$168)-$A125)*'Cálculos'!$E$98)/(('Cálculos'!$E$199+(($B$168)-$A125)*'Cálculos'!$E$98)+1400)+'Cálculos'!$E$122)*'Cálculos'!$E$259+'Cálculos'!$E$125*(1+2.78*('Cálculos'!$E$199+(($B$168)-$A125)*'Cálculos'!$E$98)/(('Cálculos'!$E$199+(($B$168)-$A125)*'Cálculos'!$E$98)+1400)+'Cálculos'!$E$123)*'Cálculos'!$E$264)+('Cálculos'!$E$199+(($B$168)-$A125)*'Cálculos'!$E$98)*('Cálculos'!$E$255+'Cálculos'!$E$124*(1+2.78*('Cálculos'!$E$199+(($B$168)-$A125)*'Cálculos'!$E$98)/(('Cálculos'!$E$199+(($B$168)-$A125)*'Cálculos'!$E$98)+1400)+'Cálculos'!$E$122)*'Cálculos'!$E$260+'Cálculos'!$E$125*(1+2.78*('Cálculos'!$E$199+(($B$168)-$A125)*'Cálculos'!$E$98)/(('Cálculos'!$E$199+(($B$168)-$A125)*'Cálculos'!$E$98)+1400)+'Cálculos'!$E$123)*'Cálculos'!$E$265)+('Cálculos'!$E$201*(1+'Cálculos'!$E$202+$A125*('Cálculos'!$E$290=2)*'Cálculos'!$E$101)+'Cálculos'!$E$203)*('Cálculos'!$E$256+'Cálculos'!$E$124*(1+2.78*('Cálculos'!$E$199+(($B$168)-$A125)*'Cálculos'!$E$98)/(('Cálculos'!$E$199+(($B$168)-$A125)*'Cálculos'!$E$98)+1400)+'Cálculos'!$E$122)*'Cálculos'!$E$261+'Cálculos'!$E$125*(1+2.78*('Cálculos'!$E$199+(($B$168)-$A125)*'Cálculos'!$E$98)/(('Cálculos'!$E$199+(($B$168)-$A125)*'Cálculos'!$E$98)+1400)+'Cálculos'!$E$123)*'Cálculos'!$E$266)+('Cálculos'!$E$204*(1+'Cálculos'!$E$205+$A125*('Cálculos'!$E$290=3)*'Cálculos'!$E$103)+'Cálculos'!$E$206)*('Cálculos'!$E$257+'Cálculos'!$E$124*(1+2.78*('Cálculos'!$E$199+(($B$168)-$A125)*'Cálculos'!$E$98)/(('Cálculos'!$E$199+(($B$168)-$A125)*'Cálculos'!$E$98)+1400)+'Cálculos'!$E$122)*'Cálculos'!$E$262+'Cálculos'!$E$125*(1+2.78*('Cálculos'!$E$199+(($B$168)-$A125)*'Cálculos'!$E$98)/(('Cálculos'!$E$199+(($B$168)-$A125)*'Cálculos'!$E$98)+1400)+'Cálculos'!$E$123)*'Cálculos'!$E$267)+('Cálculos'!$E$258+'Cálculos'!$E$124*(1+2.78*('Cálculos'!$E$199+(($B$168)-$A125)*'Cálculos'!$E$98)/(('Cálculos'!$E$199+(($B$168)-$A125)*'Cálculos'!$E$98)+1400)+'Cálculos'!$E$122)*'Cálculos'!$E$263+'Cálculos'!$E$125*(1+2.78*('Cálculos'!$E$199+(($B$168)-$A125)*'Cálculos'!$E$98)/(('Cálculos'!$E$199+(($B$168)-$A125)*'Cálculos'!$E$98)+1400)+'Cálculos'!$E$123)*'Cálculos'!$E$268)+('Cálculos'!$E$185*(1+'Cálculos'!$E$190+$A125*('Cálculos'!$E$290=1)*'Cálculos'!$E$97+'Cálculos'!$E$305)+'Cálculos'!$E$195)*('Cálculos'!$E$269+'Cálculos'!$E$124*(1+2.78*('Cálculos'!$E$200+(($B$168)-$A125)*'Cálculos'!$E$98)/(('Cálculos'!$E$200+(($B$168)-$A125)*'Cálculos'!$E$98)+1400)+'Cálculos'!$E$122)*'Cálculos'!$E$274+'Cálculos'!$E$125*(1+2.78*('Cálculos'!$E$200+(($B$168)-$A125)*'Cálculos'!$E$98)/(('Cálculos'!$E$200+(($B$168)-$A125)*'Cálculos'!$E$98)+1400)+'Cálculos'!$E$123)*'Cálculos'!$E$279)+('Cálculos'!$E$200+(($B$168)-$A125)*'Cálculos'!$E$98)*('Cálculos'!$E$270+'Cálculos'!$E$124*(1+2.78*('Cálculos'!$E$200+(($B$168)-$A125)*'Cálculos'!$E$98)/(('Cálculos'!$E$200+(($B$168)-$A125)*'Cálculos'!$E$98)+1400)+'Cálculos'!$E$122)*'Cálculos'!$E$275+'Cálculos'!$E$125*(1+2.78*('Cálculos'!$E$200+(($B$168)-$A125)*'Cálculos'!$E$98)/(('Cálculos'!$E$200+(($B$168)-$A125)*'Cálculos'!$E$98)+1400)+'Cálculos'!$E$123)*'Cálculos'!$E$280)+('Cálculos'!$E$201*(1+'Cálculos'!$E$202+$A125*('Cálculos'!$E$290=2)*'Cálculos'!$E$101)+'Cálculos'!$E$203)*('Cálculos'!$E$271+'Cálculos'!$E$124*(1+2.78*('Cálculos'!$E$200+(($B$168)-$A125)*'Cálculos'!$E$98)/(('Cálculos'!$E$200+(($B$168)-$A125)*'Cálculos'!$E$98)+1400)+'Cálculos'!$E$122)*'Cálculos'!$E$276+'Cálculos'!$E$125*(1+2.78*('Cálculos'!$E$200+(($B$168)-$A125)*'Cálculos'!$E$98)/(('Cálculos'!$E$200+(($B$168)-$A125)*'Cálculos'!$E$98)+1400)+'Cálculos'!$E$123)*'Cálculos'!$E$281)+('Cálculos'!$E$204*(1+'Cálculos'!$E$205+$A125*('Cálculos'!$E$290=3)*'Cálculos'!$E$103)+'Cálculos'!$E$206)*('Cálculos'!$E$272+'Cálculos'!$E$124*(1+2.78*('Cálculos'!$E$200+(($B$168)-$A125)*'Cálculos'!$E$98)/(('Cálculos'!$E$200+(($B$168)-$A125)*'Cálculos'!$E$98)+1400)+'Cálculos'!$E$122)*'Cálculos'!$E$277+'Cálculos'!$E$125*(1+2.78*('Cálculos'!$E$200+(($B$168)-$A125)*'Cálculos'!$E$98)/(('Cálculos'!$E$200+(($B$168)-$A125)*'Cálculos'!$E$98)+1400)+'Cálculos'!$E$123)*'Cálculos'!$E$282)+('Cálculos'!$E$273+'Cálculos'!$E$124*(1+2.78*('Cálculos'!$E$200+(($B$168)-$A125)*'Cálculos'!$E$98)/(('Cálculos'!$E$200+(($B$168)-$A125)*'Cálculos'!$E$98)+1400)+'Cálculos'!$E$122)*'Cálculos'!$E$278+'Cálculos'!$E$125*(1+2.78*('Cálculos'!$E$200+(($B$168)-$A125)*'Cálculos'!$E$98)/(('Cálculos'!$E$200+(($B$168)-$A125)*'Cálculos'!$E$98)+1400)+'Cálculos'!$E$123)*'Cálculos'!$E$283)))</f>
        <v>0</v>
      </c>
    </row>
    <row r="126" ht="15.75" customHeight="1">
      <c r="A126" s="2">
        <v>6.0</v>
      </c>
      <c r="B126" s="30">
        <f>SUMPRODUCT(MAX(($A$120:$A$165&lt;=$A126)*($A$120:$A$165&lt;='Cálculos'!$E$294)*(($A126)-$A$120:$A$165&lt;='Cálculos'!$E$295)*(1+(('Cálculos'!$E$207+$A$120:$A$165*'Cálculos'!$E$95)-(('Cálculos'!$E$207+$A$120:$A$165*'Cálculos'!$E$95)&gt;1)*(('Cálculos'!$E$207+$A$120:$A$165*'Cálculos'!$E$95)-1))*('Cálculos'!$E$208+(($A126)-$A$120:$A$165)*'Cálculos'!$E$96))))</f>
        <v>1.44252</v>
      </c>
      <c r="C126" s="2">
        <f>'Cálculos'!$E$303-$A126</f>
        <v>7</v>
      </c>
      <c r="D126" s="31">
        <f>IF($C126&lt;0,0,SUMPRODUCT(MAX(($A$120:$A$165&lt;=$C126)*($A$120:$A$165&lt;='Cálculos'!$E$301)*(($C126)-$A$120:$A$165&lt;='Cálculos'!$E$297)*(('Cálculos'!$E$185*(1+'Cálculos'!$E$186+$A$120:$A$165*('Cálculos'!$E$290=1)*'Cálculos'!$E$97+'Cálculos'!$E$305)+'Cálculos'!$E$191)*('Cálculos'!$E$209+'Cálculos'!$E$124*(1+2.78*('Cálculos'!$E$196+(($C126)-$A$120:$A$165)*'Cálculos'!$E$98)/(('Cálculos'!$E$196+(($C126)-$A$120:$A$165)*'Cálculos'!$E$98)+1400)+'Cálculos'!$E$122)*'Cálculos'!$E$214+'Cálculos'!$E$125*(1+2.78*('Cálculos'!$E$196+(($C126)-$A$120:$A$165)*'Cálculos'!$E$98)/(('Cálculos'!$E$196+(($C126)-$A$120:$A$165)*'Cálculos'!$E$98)+1400)+'Cálculos'!$E$123)*'Cálculos'!$E$219)+('Cálculos'!$E$196+(($C126)-$A$120:$A$165)*'Cálculos'!$E$98)*('Cálculos'!$E$210+'Cálculos'!$E$124*(1+2.78*('Cálculos'!$E$196+(($C126)-$A$120:$A$165)*'Cálculos'!$E$98)/(('Cálculos'!$E$196+(($C126)-$A$120:$A$165)*'Cálculos'!$E$98)+1400)+'Cálculos'!$E$122)*'Cálculos'!$E$215+'Cálculos'!$E$125*(1+2.78*('Cálculos'!$E$196+(($C126)-$A$120:$A$165)*'Cálculos'!$E$98)/(('Cálculos'!$E$196+(($C126)-$A$120:$A$165)*'Cálculos'!$E$98)+1400)+'Cálculos'!$E$123)*'Cálculos'!$E$220)+('Cálculos'!$E$201*(1+'Cálculos'!$E$202+$A$120:$A$165*('Cálculos'!$E$290=2)*'Cálculos'!$E$101)+'Cálculos'!$E$203)*('Cálculos'!$E$211+'Cálculos'!$E$124*(1+2.78*('Cálculos'!$E$196+(($C126)-$A$120:$A$165)*'Cálculos'!$E$98)/(('Cálculos'!$E$196+(($C126)-$A$120:$A$165)*'Cálculos'!$E$98)+1400)+'Cálculos'!$E$122)*'Cálculos'!$E$216+'Cálculos'!$E$125*(1+2.78*('Cálculos'!$E$196+(($C126)-$A$120:$A$165)*'Cálculos'!$E$98)/(('Cálculos'!$E$196+(($C126)-$A$120:$A$165)*'Cálculos'!$E$98)+1400)+'Cálculos'!$E$123)*'Cálculos'!$E$221)+('Cálculos'!$E$204*(1+'Cálculos'!$E$205+$A$120:$A$165*('Cálculos'!$E$290=3)*'Cálculos'!$E$103)+'Cálculos'!$E$206)*('Cálculos'!$E$212+'Cálculos'!$E$124*(1+2.78*('Cálculos'!$E$196+(($C126)-$A$120:$A$165)*'Cálculos'!$E$98)/(('Cálculos'!$E$196+(($C126)-$A$120:$A$165)*'Cálculos'!$E$98)+1400)+'Cálculos'!$E$122)*'Cálculos'!$E$217+'Cálculos'!$E$125*(1+2.78*('Cálculos'!$E$196+(($C126)-$A$120:$A$165)*'Cálculos'!$E$98)/(('Cálculos'!$E$196+(($C126)-$A$120:$A$165)*'Cálculos'!$E$98)+1400)+'Cálculos'!$E$123)*'Cálculos'!$E$222)+('Cálculos'!$E$213+'Cálculos'!$E$124*(1+2.78*('Cálculos'!$E$196+(($C126)-$A$120:$A$165)*'Cálculos'!$E$98)/(('Cálculos'!$E$196+(($C126)-$A$120:$A$165)*'Cálculos'!$E$98)+1400)+'Cálculos'!$E$122)*'Cálculos'!$E$218+'Cálculos'!$E$125*(1+2.78*('Cálculos'!$E$196+(($C126)-$A$120:$A$165)*'Cálculos'!$E$98)/(('Cálculos'!$E$196+(($C126)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126)-$A$120:$A$165)*'Cálculos'!$E$98)/(('Cálculos'!$E$197+(($C126)-$A$120:$A$165)*'Cálculos'!$E$98)+1400)+'Cálculos'!$E$122)*'Cálculos'!$E$229+'Cálculos'!$E$125*(1+2.78*('Cálculos'!$E$197+(($C126)-$A$120:$A$165)*'Cálculos'!$E$98)/(('Cálculos'!$E$197+(($C126)-$A$120:$A$165)*'Cálculos'!$E$98)+1400)+'Cálculos'!$E$123)*'Cálculos'!$E$234)+('Cálculos'!$E$197+(($C126)-$A$120:$A$165)*'Cálculos'!$E$98)*('Cálculos'!$E$225+'Cálculos'!$E$124*(1+2.78*('Cálculos'!$E$197+(($C126)-$A$120:$A$165)*'Cálculos'!$E$98)/(('Cálculos'!$E$197+(($C126)-$A$120:$A$165)*'Cálculos'!$E$98)+1400)+'Cálculos'!$E$122)*'Cálculos'!$E$230+'Cálculos'!$E$125*(1+2.78*('Cálculos'!$E$197+(($C126)-$A$120:$A$165)*'Cálculos'!$E$98)/(('Cálculos'!$E$197+(($C126)-$A$120:$A$165)*'Cálculos'!$E$98)+1400)+'Cálculos'!$E$123)*'Cálculos'!$E$235)+('Cálculos'!$E$201*(1+'Cálculos'!$E$202+$A$120:$A$165*('Cálculos'!$E$290=2)*'Cálculos'!$E$101)+'Cálculos'!$E$203)*('Cálculos'!$E$226+'Cálculos'!$E$124*(1+2.78*('Cálculos'!$E$197+(($C126)-$A$120:$A$165)*'Cálculos'!$E$98)/(('Cálculos'!$E$197+(($C126)-$A$120:$A$165)*'Cálculos'!$E$98)+1400)+'Cálculos'!$E$122)*'Cálculos'!$E$231+'Cálculos'!$E$125*(1+2.78*('Cálculos'!$E$197+(($C126)-$A$120:$A$165)*'Cálculos'!$E$98)/(('Cálculos'!$E$197+(($C126)-$A$120:$A$165)*'Cálculos'!$E$98)+1400)+'Cálculos'!$E$123)*'Cálculos'!$E$236)+('Cálculos'!$E$204*(1+'Cálculos'!$E$205+$A$120:$A$165*('Cálculos'!$E$290=3)*'Cálculos'!$E$103)+'Cálculos'!$E$206)*('Cálculos'!$E$227+'Cálculos'!$E$124*(1+2.78*('Cálculos'!$E$197+(($C126)-$A$120:$A$165)*'Cálculos'!$E$98)/(('Cálculos'!$E$197+(($C126)-$A$120:$A$165)*'Cálculos'!$E$98)+1400)+'Cálculos'!$E$122)*'Cálculos'!$E$232+'Cálculos'!$E$125*(1+2.78*('Cálculos'!$E$197+(($C126)-$A$120:$A$165)*'Cálculos'!$E$98)/(('Cálculos'!$E$197+(($C126)-$A$120:$A$165)*'Cálculos'!$E$98)+1400)+'Cálculos'!$E$123)*'Cálculos'!$E$237)+('Cálculos'!$E$228+'Cálculos'!$E$124*(1+2.78*('Cálculos'!$E$197+(($C126)-$A$120:$A$165)*'Cálculos'!$E$98)/(('Cálculos'!$E$197+(($C126)-$A$120:$A$165)*'Cálculos'!$E$98)+1400)+'Cálculos'!$E$122)*'Cálculos'!$E$233+'Cálculos'!$E$125*(1+2.78*('Cálculos'!$E$197+(($C126)-$A$120:$A$165)*'Cálculos'!$E$98)/(('Cálculos'!$E$197+(($C126)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126)-$A$120:$A$165)*'Cálculos'!$E$98)/(('Cálculos'!$E$198+(($C126)-$A$120:$A$165)*'Cálculos'!$E$98)+1400)+'Cálculos'!$E$122)*'Cálculos'!$E$244+'Cálculos'!$E$125*(1+2.78*('Cálculos'!$E$198+(($C126)-$A$120:$A$165)*'Cálculos'!$E$98)/(('Cálculos'!$E$198+(($C126)-$A$120:$A$165)*'Cálculos'!$E$98)+1400)+'Cálculos'!$E$123)*'Cálculos'!$E$249)+('Cálculos'!$E$198+(($C126)-$A$120:$A$165)*'Cálculos'!$E$98)*('Cálculos'!$E$240+'Cálculos'!$E$124*(1+2.78*('Cálculos'!$E$198+(($C126)-$A$120:$A$165)*'Cálculos'!$E$98)/(('Cálculos'!$E$198+(($C126)-$A$120:$A$165)*'Cálculos'!$E$98)+1400)+'Cálculos'!$E$122)*'Cálculos'!$E$245+'Cálculos'!$E$125*(1+2.78*('Cálculos'!$E$198+(($C126)-$A$120:$A$165)*'Cálculos'!$E$98)/(('Cálculos'!$E$198+(($C126)-$A$120:$A$165)*'Cálculos'!$E$98)+1400)+'Cálculos'!$E$123)*'Cálculos'!$E$250)+('Cálculos'!$E$201*(1+'Cálculos'!$E$202+$A$120:$A$165*('Cálculos'!$E$290=2)*'Cálculos'!$E$101)+'Cálculos'!$E$203)*('Cálculos'!$E$241+'Cálculos'!$E$124*(1+2.78*('Cálculos'!$E$198+(($C126)-$A$120:$A$165)*'Cálculos'!$E$98)/(('Cálculos'!$E$198+(($C126)-$A$120:$A$165)*'Cálculos'!$E$98)+1400)+'Cálculos'!$E$122)*'Cálculos'!$E$246+'Cálculos'!$E$125*(1+2.78*('Cálculos'!$E$198+(($C126)-$A$120:$A$165)*'Cálculos'!$E$98)/(('Cálculos'!$E$198+(($C126)-$A$120:$A$165)*'Cálculos'!$E$98)+1400)+'Cálculos'!$E$123)*'Cálculos'!$E$251)+('Cálculos'!$E$204*(1+'Cálculos'!$E$205+$A$120:$A$165*('Cálculos'!$E$290=3)*'Cálculos'!$E$103)+'Cálculos'!$E$206)*('Cálculos'!$E$242+'Cálculos'!$E$124*(1+2.78*('Cálculos'!$E$198+(($C126)-$A$120:$A$165)*'Cálculos'!$E$98)/(('Cálculos'!$E$198+(($C126)-$A$120:$A$165)*'Cálculos'!$E$98)+1400)+'Cálculos'!$E$122)*'Cálculos'!$E$247+'Cálculos'!$E$125*(1+2.78*('Cálculos'!$E$198+(($C126)-$A$120:$A$165)*'Cálculos'!$E$98)/(('Cálculos'!$E$198+(($C126)-$A$120:$A$165)*'Cálculos'!$E$98)+1400)+'Cálculos'!$E$123)*'Cálculos'!$E$252)+('Cálculos'!$E$243+'Cálculos'!$E$124*(1+2.78*('Cálculos'!$E$198+(($C126)-$A$120:$A$165)*'Cálculos'!$E$98)/(('Cálculos'!$E$198+(($C126)-$A$120:$A$165)*'Cálculos'!$E$98)+1400)+'Cálculos'!$E$122)*'Cálculos'!$E$248+'Cálculos'!$E$125*(1+2.78*('Cálculos'!$E$198+(($C126)-$A$120:$A$165)*'Cálculos'!$E$98)/(('Cálculos'!$E$198+(($C126)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126)-$A$120:$A$165)*'Cálculos'!$E$98)/(('Cálculos'!$E$199+(($C126)-$A$120:$A$165)*'Cálculos'!$E$98)+1400)+'Cálculos'!$E$122)*'Cálculos'!$E$259+'Cálculos'!$E$125*(1+2.78*('Cálculos'!$E$199+(($C126)-$A$120:$A$165)*'Cálculos'!$E$98)/(('Cálculos'!$E$199+(($C126)-$A$120:$A$165)*'Cálculos'!$E$98)+1400)+'Cálculos'!$E$123)*'Cálculos'!$E$264)+('Cálculos'!$E$199+(($C126)-$A$120:$A$165)*'Cálculos'!$E$98)*('Cálculos'!$E$255+'Cálculos'!$E$124*(1+2.78*('Cálculos'!$E$199+(($C126)-$A$120:$A$165)*'Cálculos'!$E$98)/(('Cálculos'!$E$199+(($C126)-$A$120:$A$165)*'Cálculos'!$E$98)+1400)+'Cálculos'!$E$122)*'Cálculos'!$E$260+'Cálculos'!$E$125*(1+2.78*('Cálculos'!$E$199+(($C126)-$A$120:$A$165)*'Cálculos'!$E$98)/(('Cálculos'!$E$199+(($C126)-$A$120:$A$165)*'Cálculos'!$E$98)+1400)+'Cálculos'!$E$123)*'Cálculos'!$E$265)+('Cálculos'!$E$201*(1+'Cálculos'!$E$202+$A$120:$A$165*('Cálculos'!$E$290=2)*'Cálculos'!$E$101)+'Cálculos'!$E$203)*('Cálculos'!$E$256+'Cálculos'!$E$124*(1+2.78*('Cálculos'!$E$199+(($C126)-$A$120:$A$165)*'Cálculos'!$E$98)/(('Cálculos'!$E$199+(($C126)-$A$120:$A$165)*'Cálculos'!$E$98)+1400)+'Cálculos'!$E$122)*'Cálculos'!$E$261+'Cálculos'!$E$125*(1+2.78*('Cálculos'!$E$199+(($C126)-$A$120:$A$165)*'Cálculos'!$E$98)/(('Cálculos'!$E$199+(($C126)-$A$120:$A$165)*'Cálculos'!$E$98)+1400)+'Cálculos'!$E$123)*'Cálculos'!$E$266)+('Cálculos'!$E$204*(1+'Cálculos'!$E$205+$A$120:$A$165*('Cálculos'!$E$290=3)*'Cálculos'!$E$103)+'Cálculos'!$E$206)*('Cálculos'!$E$257+'Cálculos'!$E$124*(1+2.78*('Cálculos'!$E$199+(($C126)-$A$120:$A$165)*'Cálculos'!$E$98)/(('Cálculos'!$E$199+(($C126)-$A$120:$A$165)*'Cálculos'!$E$98)+1400)+'Cálculos'!$E$122)*'Cálculos'!$E$262+'Cálculos'!$E$125*(1+2.78*('Cálculos'!$E$199+(($C126)-$A$120:$A$165)*'Cálculos'!$E$98)/(('Cálculos'!$E$199+(($C126)-$A$120:$A$165)*'Cálculos'!$E$98)+1400)+'Cálculos'!$E$123)*'Cálculos'!$E$267)+('Cálculos'!$E$258+'Cálculos'!$E$124*(1+2.78*('Cálculos'!$E$199+(($C126)-$A$120:$A$165)*'Cálculos'!$E$98)/(('Cálculos'!$E$199+(($C126)-$A$120:$A$165)*'Cálculos'!$E$98)+1400)+'Cálculos'!$E$122)*'Cálculos'!$E$263+'Cálculos'!$E$125*(1+2.78*('Cálculos'!$E$199+(($C126)-$A$120:$A$165)*'Cálculos'!$E$98)/(('Cálculos'!$E$199+(($C126)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126)-$A$120:$A$165)*'Cálculos'!$E$98)/(('Cálculos'!$E$200+(($C126)-$A$120:$A$165)*'Cálculos'!$E$98)+1400)+'Cálculos'!$E$122)*'Cálculos'!$E$274+'Cálculos'!$E$125*(1+2.78*('Cálculos'!$E$200+(($C126)-$A$120:$A$165)*'Cálculos'!$E$98)/(('Cálculos'!$E$200+(($C126)-$A$120:$A$165)*'Cálculos'!$E$98)+1400)+'Cálculos'!$E$123)*'Cálculos'!$E$279)+('Cálculos'!$E$200+(($C126)-$A$120:$A$165)*'Cálculos'!$E$98)*('Cálculos'!$E$270+'Cálculos'!$E$124*(1+2.78*('Cálculos'!$E$200+(($C126)-$A$120:$A$165)*'Cálculos'!$E$98)/(('Cálculos'!$E$200+(($C126)-$A$120:$A$165)*'Cálculos'!$E$98)+1400)+'Cálculos'!$E$122)*'Cálculos'!$E$275+'Cálculos'!$E$125*(1+2.78*('Cálculos'!$E$200+(($C126)-$A$120:$A$165)*'Cálculos'!$E$98)/(('Cálculos'!$E$200+(($C126)-$A$120:$A$165)*'Cálculos'!$E$98)+1400)+'Cálculos'!$E$123)*'Cálculos'!$E$280)+('Cálculos'!$E$201*(1+'Cálculos'!$E$202+$A$120:$A$165*('Cálculos'!$E$290=2)*'Cálculos'!$E$101)+'Cálculos'!$E$203)*('Cálculos'!$E$271+'Cálculos'!$E$124*(1+2.78*('Cálculos'!$E$200+(($C126)-$A$120:$A$165)*'Cálculos'!$E$98)/(('Cálculos'!$E$200+(($C126)-$A$120:$A$165)*'Cálculos'!$E$98)+1400)+'Cálculos'!$E$122)*'Cálculos'!$E$276+'Cálculos'!$E$125*(1+2.78*('Cálculos'!$E$200+(($C126)-$A$120:$A$165)*'Cálculos'!$E$98)/(('Cálculos'!$E$200+(($C126)-$A$120:$A$165)*'Cálculos'!$E$98)+1400)+'Cálculos'!$E$123)*'Cálculos'!$E$281)+('Cálculos'!$E$204*(1+'Cálculos'!$E$205+$A$120:$A$165*('Cálculos'!$E$290=3)*'Cálculos'!$E$103)+'Cálculos'!$E$206)*('Cálculos'!$E$272+'Cálculos'!$E$124*(1+2.78*('Cálculos'!$E$200+(($C126)-$A$120:$A$165)*'Cálculos'!$E$98)/(('Cálculos'!$E$200+(($C126)-$A$120:$A$165)*'Cálculos'!$E$98)+1400)+'Cálculos'!$E$122)*'Cálculos'!$E$277+'Cálculos'!$E$125*(1+2.78*('Cálculos'!$E$200+(($C126)-$A$120:$A$165)*'Cálculos'!$E$98)/(('Cálculos'!$E$200+(($C126)-$A$120:$A$165)*'Cálculos'!$E$98)+1400)+'Cálculos'!$E$123)*'Cálculos'!$E$282)+('Cálculos'!$E$273+'Cálculos'!$E$124*(1+2.78*('Cálculos'!$E$200+(($C126)-$A$120:$A$165)*'Cálculos'!$E$98)/(('Cálculos'!$E$200+(($C126)-$A$120:$A$165)*'Cálculos'!$E$98)+1400)+'Cálculos'!$E$122)*'Cálculos'!$E$278+'Cálculos'!$E$125*(1+2.78*('Cálculos'!$E$200+(($C126)-$A$120:$A$165)*'Cálculos'!$E$98)/(('Cálculos'!$E$200+(($C126)-$A$120:$A$165)*'Cálculos'!$E$98)+1400)+'Cálculos'!$E$123)*'Cálculos'!$E$283)))))</f>
        <v>20581.77553</v>
      </c>
      <c r="E126" s="32">
        <f>IF(OR($C126&lt;0,'Cálculos'!$E$6=""),0,$B126*$D126)</f>
        <v>29689.62284</v>
      </c>
      <c r="F126" s="2"/>
      <c r="G126" s="30">
        <f>($A126&lt;=$B$167)*($A126&lt;='Cálculos'!$E$294)*(($B$167)-$A126&lt;='Cálculos'!$E$295)*(1+MIN(('Cálculos'!$E$207+$A126*'Cálculos'!$E$95),1)*('Cálculos'!$E$208+(($B$167)-$A126)*'Cálculos'!$E$96))</f>
        <v>1.68375</v>
      </c>
      <c r="H126" s="31">
        <f>IF($B$168&lt;0,0,($A126&lt;=$B$168)*($A126&lt;='Cálculos'!$E$301)*(($B$168)-$A126&lt;='Cálculos'!$E$297)*(('Cálculos'!$E$185*(1+'Cálculos'!$E$186+$A126*('Cálculos'!$E$290=1)*'Cálculos'!$E$97+'Cálculos'!$E$305)+'Cálculos'!$E$191)*('Cálculos'!$E$209+'Cálculos'!$E$124*(1+2.78*('Cálculos'!$E$196+(($B$168)-$A126)*'Cálculos'!$E$98)/(('Cálculos'!$E$196+(($B$168)-$A126)*'Cálculos'!$E$98)+1400)+'Cálculos'!$E$122)*'Cálculos'!$E$214+'Cálculos'!$E$125*(1+2.78*('Cálculos'!$E$196+(($B$168)-$A126)*'Cálculos'!$E$98)/(('Cálculos'!$E$196+(($B$168)-$A126)*'Cálculos'!$E$98)+1400)+'Cálculos'!$E$123)*'Cálculos'!$E$219)+('Cálculos'!$E$196+(($B$168)-$A126)*'Cálculos'!$E$98)*('Cálculos'!$E$210+'Cálculos'!$E$124*(1+2.78*('Cálculos'!$E$196+(($B$168)-$A126)*'Cálculos'!$E$98)/(('Cálculos'!$E$196+(($B$168)-$A126)*'Cálculos'!$E$98)+1400)+'Cálculos'!$E$122)*'Cálculos'!$E$215+'Cálculos'!$E$125*(1+2.78*('Cálculos'!$E$196+(($B$168)-$A126)*'Cálculos'!$E$98)/(('Cálculos'!$E$196+(($B$168)-$A126)*'Cálculos'!$E$98)+1400)+'Cálculos'!$E$123)*'Cálculos'!$E$220)+('Cálculos'!$E$201*(1+'Cálculos'!$E$202+$A126*('Cálculos'!$E$290=2)*'Cálculos'!$E$101)+'Cálculos'!$E$203)*('Cálculos'!$E$211+'Cálculos'!$E$124*(1+2.78*('Cálculos'!$E$196+(($B$168)-$A126)*'Cálculos'!$E$98)/(('Cálculos'!$E$196+(($B$168)-$A126)*'Cálculos'!$E$98)+1400)+'Cálculos'!$E$122)*'Cálculos'!$E$216+'Cálculos'!$E$125*(1+2.78*('Cálculos'!$E$196+(($B$168)-$A126)*'Cálculos'!$E$98)/(('Cálculos'!$E$196+(($B$168)-$A126)*'Cálculos'!$E$98)+1400)+'Cálculos'!$E$123)*'Cálculos'!$E$221)+('Cálculos'!$E$204*(1+'Cálculos'!$E$205+$A126*('Cálculos'!$E$290=3)*'Cálculos'!$E$103)+'Cálculos'!$E$206)*('Cálculos'!$E$212+'Cálculos'!$E$124*(1+2.78*('Cálculos'!$E$196+(($B$168)-$A126)*'Cálculos'!$E$98)/(('Cálculos'!$E$196+(($B$168)-$A126)*'Cálculos'!$E$98)+1400)+'Cálculos'!$E$122)*'Cálculos'!$E$217+'Cálculos'!$E$125*(1+2.78*('Cálculos'!$E$196+(($B$168)-$A126)*'Cálculos'!$E$98)/(('Cálculos'!$E$196+(($B$168)-$A126)*'Cálculos'!$E$98)+1400)+'Cálculos'!$E$123)*'Cálculos'!$E$222)+('Cálculos'!$E$213+'Cálculos'!$E$124*(1+2.78*('Cálculos'!$E$196+(($B$168)-$A126)*'Cálculos'!$E$98)/(('Cálculos'!$E$196+(($B$168)-$A126)*'Cálculos'!$E$98)+1400)+'Cálculos'!$E$122)*'Cálculos'!$E$218+'Cálculos'!$E$125*(1+2.78*('Cálculos'!$E$196+(($B$168)-$A126)*'Cálculos'!$E$98)/(('Cálculos'!$E$196+(($B$168)-$A126)*'Cálculos'!$E$98)+1400)+'Cálculos'!$E$123)*'Cálculos'!$E$223)+('Cálculos'!$E$185*(1+'Cálculos'!$E$187+$A126*('Cálculos'!$E$290=1)*'Cálculos'!$E$97+'Cálculos'!$E$305)+'Cálculos'!$E$192)*('Cálculos'!$E$224+'Cálculos'!$E$124*(1+2.78*('Cálculos'!$E$197+(($B$168)-$A126)*'Cálculos'!$E$98)/(('Cálculos'!$E$197+(($B$168)-$A126)*'Cálculos'!$E$98)+1400)+'Cálculos'!$E$122)*'Cálculos'!$E$229+'Cálculos'!$E$125*(1+2.78*('Cálculos'!$E$197+(($B$168)-$A126)*'Cálculos'!$E$98)/(('Cálculos'!$E$197+(($B$168)-$A126)*'Cálculos'!$E$98)+1400)+'Cálculos'!$E$123)*'Cálculos'!$E$234)+('Cálculos'!$E$197+(($B$168)-$A126)*'Cálculos'!$E$98)*('Cálculos'!$E$225+'Cálculos'!$E$124*(1+2.78*('Cálculos'!$E$197+(($B$168)-$A126)*'Cálculos'!$E$98)/(('Cálculos'!$E$197+(($B$168)-$A126)*'Cálculos'!$E$98)+1400)+'Cálculos'!$E$122)*'Cálculos'!$E$230+'Cálculos'!$E$125*(1+2.78*('Cálculos'!$E$197+(($B$168)-$A126)*'Cálculos'!$E$98)/(('Cálculos'!$E$197+(($B$168)-$A126)*'Cálculos'!$E$98)+1400)+'Cálculos'!$E$123)*'Cálculos'!$E$235)+('Cálculos'!$E$201*(1+'Cálculos'!$E$202+$A126*('Cálculos'!$E$290=2)*'Cálculos'!$E$101)+'Cálculos'!$E$203)*('Cálculos'!$E$226+'Cálculos'!$E$124*(1+2.78*('Cálculos'!$E$197+(($B$168)-$A126)*'Cálculos'!$E$98)/(('Cálculos'!$E$197+(($B$168)-$A126)*'Cálculos'!$E$98)+1400)+'Cálculos'!$E$122)*'Cálculos'!$E$231+'Cálculos'!$E$125*(1+2.78*('Cálculos'!$E$197+(($B$168)-$A126)*'Cálculos'!$E$98)/(('Cálculos'!$E$197+(($B$168)-$A126)*'Cálculos'!$E$98)+1400)+'Cálculos'!$E$123)*'Cálculos'!$E$236)+('Cálculos'!$E$204*(1+'Cálculos'!$E$205+$A126*('Cálculos'!$E$290=3)*'Cálculos'!$E$103)+'Cálculos'!$E$206)*('Cálculos'!$E$227+'Cálculos'!$E$124*(1+2.78*('Cálculos'!$E$197+(($B$168)-$A126)*'Cálculos'!$E$98)/(('Cálculos'!$E$197+(($B$168)-$A126)*'Cálculos'!$E$98)+1400)+'Cálculos'!$E$122)*'Cálculos'!$E$232+'Cálculos'!$E$125*(1+2.78*('Cálculos'!$E$197+(($B$168)-$A126)*'Cálculos'!$E$98)/(('Cálculos'!$E$197+(($B$168)-$A126)*'Cálculos'!$E$98)+1400)+'Cálculos'!$E$123)*'Cálculos'!$E$237)+('Cálculos'!$E$228+'Cálculos'!$E$124*(1+2.78*('Cálculos'!$E$197+(($B$168)-$A126)*'Cálculos'!$E$98)/(('Cálculos'!$E$197+(($B$168)-$A126)*'Cálculos'!$E$98)+1400)+'Cálculos'!$E$122)*'Cálculos'!$E$233+'Cálculos'!$E$125*(1+2.78*('Cálculos'!$E$197+(($B$168)-$A126)*'Cálculos'!$E$98)/(('Cálculos'!$E$197+(($B$168)-$A126)*'Cálculos'!$E$98)+1400)+'Cálculos'!$E$123)*'Cálculos'!$E$238)+('Cálculos'!$E$185*(1+'Cálculos'!$E$188+$A126*('Cálculos'!$E$290=1)*'Cálculos'!$E$97+'Cálculos'!$E$305)+'Cálculos'!$E$193)*('Cálculos'!$E$239+'Cálculos'!$E$124*(1+2.78*('Cálculos'!$E$198+(($B$168)-$A126)*'Cálculos'!$E$98)/(('Cálculos'!$E$198+(($B$168)-$A126)*'Cálculos'!$E$98)+1400)+'Cálculos'!$E$122)*'Cálculos'!$E$244+'Cálculos'!$E$125*(1+2.78*('Cálculos'!$E$198+(($B$168)-$A126)*'Cálculos'!$E$98)/(('Cálculos'!$E$198+(($B$168)-$A126)*'Cálculos'!$E$98)+1400)+'Cálculos'!$E$123)*'Cálculos'!$E$249)+('Cálculos'!$E$198+(($B$168)-$A126)*'Cálculos'!$E$98)*('Cálculos'!$E$240+'Cálculos'!$E$124*(1+2.78*('Cálculos'!$E$198+(($B$168)-$A126)*'Cálculos'!$E$98)/(('Cálculos'!$E$198+(($B$168)-$A126)*'Cálculos'!$E$98)+1400)+'Cálculos'!$E$122)*'Cálculos'!$E$245+'Cálculos'!$E$125*(1+2.78*('Cálculos'!$E$198+(($B$168)-$A126)*'Cálculos'!$E$98)/(('Cálculos'!$E$198+(($B$168)-$A126)*'Cálculos'!$E$98)+1400)+'Cálculos'!$E$123)*'Cálculos'!$E$250)+('Cálculos'!$E$201*(1+'Cálculos'!$E$202+$A126*('Cálculos'!$E$290=2)*'Cálculos'!$E$101)+'Cálculos'!$E$203)*('Cálculos'!$E$241+'Cálculos'!$E$124*(1+2.78*('Cálculos'!$E$198+(($B$168)-$A126)*'Cálculos'!$E$98)/(('Cálculos'!$E$198+(($B$168)-$A126)*'Cálculos'!$E$98)+1400)+'Cálculos'!$E$122)*'Cálculos'!$E$246+'Cálculos'!$E$125*(1+2.78*('Cálculos'!$E$198+(($B$168)-$A126)*'Cálculos'!$E$98)/(('Cálculos'!$E$198+(($B$168)-$A126)*'Cálculos'!$E$98)+1400)+'Cálculos'!$E$123)*'Cálculos'!$E$251)+('Cálculos'!$E$204*(1+'Cálculos'!$E$205+$A126*('Cálculos'!$E$290=3)*'Cálculos'!$E$103)+'Cálculos'!$E$206)*('Cálculos'!$E$242+'Cálculos'!$E$124*(1+2.78*('Cálculos'!$E$198+(($B$168)-$A126)*'Cálculos'!$E$98)/(('Cálculos'!$E$198+(($B$168)-$A126)*'Cálculos'!$E$98)+1400)+'Cálculos'!$E$122)*'Cálculos'!$E$247+'Cálculos'!$E$125*(1+2.78*('Cálculos'!$E$198+(($B$168)-$A126)*'Cálculos'!$E$98)/(('Cálculos'!$E$198+(($B$168)-$A126)*'Cálculos'!$E$98)+1400)+'Cálculos'!$E$123)*'Cálculos'!$E$252)+('Cálculos'!$E$243+'Cálculos'!$E$124*(1+2.78*('Cálculos'!$E$198+(($B$168)-$A126)*'Cálculos'!$E$98)/(('Cálculos'!$E$198+(($B$168)-$A126)*'Cálculos'!$E$98)+1400)+'Cálculos'!$E$122)*'Cálculos'!$E$248+'Cálculos'!$E$125*(1+2.78*('Cálculos'!$E$198+(($B$168)-$A126)*'Cálculos'!$E$98)/(('Cálculos'!$E$198+(($B$168)-$A126)*'Cálculos'!$E$98)+1400)+'Cálculos'!$E$123)*'Cálculos'!$E$253)+('Cálculos'!$E$185*(1+'Cálculos'!$E$189+$A126*('Cálculos'!$E$290=1)*'Cálculos'!$E$97+'Cálculos'!$E$305)+'Cálculos'!$E$194)*('Cálculos'!$E$254+'Cálculos'!$E$124*(1+2.78*('Cálculos'!$E$199+(($B$168)-$A126)*'Cálculos'!$E$98)/(('Cálculos'!$E$199+(($B$168)-$A126)*'Cálculos'!$E$98)+1400)+'Cálculos'!$E$122)*'Cálculos'!$E$259+'Cálculos'!$E$125*(1+2.78*('Cálculos'!$E$199+(($B$168)-$A126)*'Cálculos'!$E$98)/(('Cálculos'!$E$199+(($B$168)-$A126)*'Cálculos'!$E$98)+1400)+'Cálculos'!$E$123)*'Cálculos'!$E$264)+('Cálculos'!$E$199+(($B$168)-$A126)*'Cálculos'!$E$98)*('Cálculos'!$E$255+'Cálculos'!$E$124*(1+2.78*('Cálculos'!$E$199+(($B$168)-$A126)*'Cálculos'!$E$98)/(('Cálculos'!$E$199+(($B$168)-$A126)*'Cálculos'!$E$98)+1400)+'Cálculos'!$E$122)*'Cálculos'!$E$260+'Cálculos'!$E$125*(1+2.78*('Cálculos'!$E$199+(($B$168)-$A126)*'Cálculos'!$E$98)/(('Cálculos'!$E$199+(($B$168)-$A126)*'Cálculos'!$E$98)+1400)+'Cálculos'!$E$123)*'Cálculos'!$E$265)+('Cálculos'!$E$201*(1+'Cálculos'!$E$202+$A126*('Cálculos'!$E$290=2)*'Cálculos'!$E$101)+'Cálculos'!$E$203)*('Cálculos'!$E$256+'Cálculos'!$E$124*(1+2.78*('Cálculos'!$E$199+(($B$168)-$A126)*'Cálculos'!$E$98)/(('Cálculos'!$E$199+(($B$168)-$A126)*'Cálculos'!$E$98)+1400)+'Cálculos'!$E$122)*'Cálculos'!$E$261+'Cálculos'!$E$125*(1+2.78*('Cálculos'!$E$199+(($B$168)-$A126)*'Cálculos'!$E$98)/(('Cálculos'!$E$199+(($B$168)-$A126)*'Cálculos'!$E$98)+1400)+'Cálculos'!$E$123)*'Cálculos'!$E$266)+('Cálculos'!$E$204*(1+'Cálculos'!$E$205+$A126*('Cálculos'!$E$290=3)*'Cálculos'!$E$103)+'Cálculos'!$E$206)*('Cálculos'!$E$257+'Cálculos'!$E$124*(1+2.78*('Cálculos'!$E$199+(($B$168)-$A126)*'Cálculos'!$E$98)/(('Cálculos'!$E$199+(($B$168)-$A126)*'Cálculos'!$E$98)+1400)+'Cálculos'!$E$122)*'Cálculos'!$E$262+'Cálculos'!$E$125*(1+2.78*('Cálculos'!$E$199+(($B$168)-$A126)*'Cálculos'!$E$98)/(('Cálculos'!$E$199+(($B$168)-$A126)*'Cálculos'!$E$98)+1400)+'Cálculos'!$E$123)*'Cálculos'!$E$267)+('Cálculos'!$E$258+'Cálculos'!$E$124*(1+2.78*('Cálculos'!$E$199+(($B$168)-$A126)*'Cálculos'!$E$98)/(('Cálculos'!$E$199+(($B$168)-$A126)*'Cálculos'!$E$98)+1400)+'Cálculos'!$E$122)*'Cálculos'!$E$263+'Cálculos'!$E$125*(1+2.78*('Cálculos'!$E$199+(($B$168)-$A126)*'Cálculos'!$E$98)/(('Cálculos'!$E$199+(($B$168)-$A126)*'Cálculos'!$E$98)+1400)+'Cálculos'!$E$123)*'Cálculos'!$E$268)+('Cálculos'!$E$185*(1+'Cálculos'!$E$190+$A126*('Cálculos'!$E$290=1)*'Cálculos'!$E$97+'Cálculos'!$E$305)+'Cálculos'!$E$195)*('Cálculos'!$E$269+'Cálculos'!$E$124*(1+2.78*('Cálculos'!$E$200+(($B$168)-$A126)*'Cálculos'!$E$98)/(('Cálculos'!$E$200+(($B$168)-$A126)*'Cálculos'!$E$98)+1400)+'Cálculos'!$E$122)*'Cálculos'!$E$274+'Cálculos'!$E$125*(1+2.78*('Cálculos'!$E$200+(($B$168)-$A126)*'Cálculos'!$E$98)/(('Cálculos'!$E$200+(($B$168)-$A126)*'Cálculos'!$E$98)+1400)+'Cálculos'!$E$123)*'Cálculos'!$E$279)+('Cálculos'!$E$200+(($B$168)-$A126)*'Cálculos'!$E$98)*('Cálculos'!$E$270+'Cálculos'!$E$124*(1+2.78*('Cálculos'!$E$200+(($B$168)-$A126)*'Cálculos'!$E$98)/(('Cálculos'!$E$200+(($B$168)-$A126)*'Cálculos'!$E$98)+1400)+'Cálculos'!$E$122)*'Cálculos'!$E$275+'Cálculos'!$E$125*(1+2.78*('Cálculos'!$E$200+(($B$168)-$A126)*'Cálculos'!$E$98)/(('Cálculos'!$E$200+(($B$168)-$A126)*'Cálculos'!$E$98)+1400)+'Cálculos'!$E$123)*'Cálculos'!$E$280)+('Cálculos'!$E$201*(1+'Cálculos'!$E$202+$A126*('Cálculos'!$E$290=2)*'Cálculos'!$E$101)+'Cálculos'!$E$203)*('Cálculos'!$E$271+'Cálculos'!$E$124*(1+2.78*('Cálculos'!$E$200+(($B$168)-$A126)*'Cálculos'!$E$98)/(('Cálculos'!$E$200+(($B$168)-$A126)*'Cálculos'!$E$98)+1400)+'Cálculos'!$E$122)*'Cálculos'!$E$276+'Cálculos'!$E$125*(1+2.78*('Cálculos'!$E$200+(($B$168)-$A126)*'Cálculos'!$E$98)/(('Cálculos'!$E$200+(($B$168)-$A126)*'Cálculos'!$E$98)+1400)+'Cálculos'!$E$123)*'Cálculos'!$E$281)+('Cálculos'!$E$204*(1+'Cálculos'!$E$205+$A126*('Cálculos'!$E$290=3)*'Cálculos'!$E$103)+'Cálculos'!$E$206)*('Cálculos'!$E$272+'Cálculos'!$E$124*(1+2.78*('Cálculos'!$E$200+(($B$168)-$A126)*'Cálculos'!$E$98)/(('Cálculos'!$E$200+(($B$168)-$A126)*'Cálculos'!$E$98)+1400)+'Cálculos'!$E$122)*'Cálculos'!$E$277+'Cálculos'!$E$125*(1+2.78*('Cálculos'!$E$200+(($B$168)-$A126)*'Cálculos'!$E$98)/(('Cálculos'!$E$200+(($B$168)-$A126)*'Cálculos'!$E$98)+1400)+'Cálculos'!$E$123)*'Cálculos'!$E$282)+('Cálculos'!$E$273+'Cálculos'!$E$124*(1+2.78*('Cálculos'!$E$200+(($B$168)-$A126)*'Cálculos'!$E$98)/(('Cálculos'!$E$200+(($B$168)-$A126)*'Cálculos'!$E$98)+1400)+'Cálculos'!$E$122)*'Cálculos'!$E$278+'Cálculos'!$E$125*(1+2.78*('Cálculos'!$E$200+(($B$168)-$A126)*'Cálculos'!$E$98)/(('Cálculos'!$E$200+(($B$168)-$A126)*'Cálculos'!$E$98)+1400)+'Cálculos'!$E$123)*'Cálculos'!$E$283)))</f>
        <v>0</v>
      </c>
    </row>
    <row r="127" ht="15.75" customHeight="1">
      <c r="A127" s="2">
        <v>7.0</v>
      </c>
      <c r="B127" s="30">
        <f>SUMPRODUCT(MAX(($A$120:$A$165&lt;=$A127)*($A$120:$A$165&lt;='Cálculos'!$E$294)*(($A127)-$A$120:$A$165&lt;='Cálculos'!$E$295)*(1+(('Cálculos'!$E$207+$A$120:$A$165*'Cálculos'!$E$95)-(('Cálculos'!$E$207+$A$120:$A$165*'Cálculos'!$E$95)&gt;1)*(('Cálculos'!$E$207+$A$120:$A$165*'Cálculos'!$E$95)-1))*('Cálculos'!$E$208+(($A127)-$A$120:$A$165)*'Cálculos'!$E$96))))</f>
        <v>1.474266</v>
      </c>
      <c r="C127" s="2">
        <f>'Cálculos'!$E$303-$A127</f>
        <v>6</v>
      </c>
      <c r="D127" s="31">
        <f>IF($C127&lt;0,0,SUMPRODUCT(MAX(($A$120:$A$165&lt;=$C127)*($A$120:$A$165&lt;='Cálculos'!$E$301)*(($C127)-$A$120:$A$165&lt;='Cálculos'!$E$297)*(('Cálculos'!$E$185*(1+'Cálculos'!$E$186+$A$120:$A$165*('Cálculos'!$E$290=1)*'Cálculos'!$E$97+'Cálculos'!$E$305)+'Cálculos'!$E$191)*('Cálculos'!$E$209+'Cálculos'!$E$124*(1+2.78*('Cálculos'!$E$196+(($C127)-$A$120:$A$165)*'Cálculos'!$E$98)/(('Cálculos'!$E$196+(($C127)-$A$120:$A$165)*'Cálculos'!$E$98)+1400)+'Cálculos'!$E$122)*'Cálculos'!$E$214+'Cálculos'!$E$125*(1+2.78*('Cálculos'!$E$196+(($C127)-$A$120:$A$165)*'Cálculos'!$E$98)/(('Cálculos'!$E$196+(($C127)-$A$120:$A$165)*'Cálculos'!$E$98)+1400)+'Cálculos'!$E$123)*'Cálculos'!$E$219)+('Cálculos'!$E$196+(($C127)-$A$120:$A$165)*'Cálculos'!$E$98)*('Cálculos'!$E$210+'Cálculos'!$E$124*(1+2.78*('Cálculos'!$E$196+(($C127)-$A$120:$A$165)*'Cálculos'!$E$98)/(('Cálculos'!$E$196+(($C127)-$A$120:$A$165)*'Cálculos'!$E$98)+1400)+'Cálculos'!$E$122)*'Cálculos'!$E$215+'Cálculos'!$E$125*(1+2.78*('Cálculos'!$E$196+(($C127)-$A$120:$A$165)*'Cálculos'!$E$98)/(('Cálculos'!$E$196+(($C127)-$A$120:$A$165)*'Cálculos'!$E$98)+1400)+'Cálculos'!$E$123)*'Cálculos'!$E$220)+('Cálculos'!$E$201*(1+'Cálculos'!$E$202+$A$120:$A$165*('Cálculos'!$E$290=2)*'Cálculos'!$E$101)+'Cálculos'!$E$203)*('Cálculos'!$E$211+'Cálculos'!$E$124*(1+2.78*('Cálculos'!$E$196+(($C127)-$A$120:$A$165)*'Cálculos'!$E$98)/(('Cálculos'!$E$196+(($C127)-$A$120:$A$165)*'Cálculos'!$E$98)+1400)+'Cálculos'!$E$122)*'Cálculos'!$E$216+'Cálculos'!$E$125*(1+2.78*('Cálculos'!$E$196+(($C127)-$A$120:$A$165)*'Cálculos'!$E$98)/(('Cálculos'!$E$196+(($C127)-$A$120:$A$165)*'Cálculos'!$E$98)+1400)+'Cálculos'!$E$123)*'Cálculos'!$E$221)+('Cálculos'!$E$204*(1+'Cálculos'!$E$205+$A$120:$A$165*('Cálculos'!$E$290=3)*'Cálculos'!$E$103)+'Cálculos'!$E$206)*('Cálculos'!$E$212+'Cálculos'!$E$124*(1+2.78*('Cálculos'!$E$196+(($C127)-$A$120:$A$165)*'Cálculos'!$E$98)/(('Cálculos'!$E$196+(($C127)-$A$120:$A$165)*'Cálculos'!$E$98)+1400)+'Cálculos'!$E$122)*'Cálculos'!$E$217+'Cálculos'!$E$125*(1+2.78*('Cálculos'!$E$196+(($C127)-$A$120:$A$165)*'Cálculos'!$E$98)/(('Cálculos'!$E$196+(($C127)-$A$120:$A$165)*'Cálculos'!$E$98)+1400)+'Cálculos'!$E$123)*'Cálculos'!$E$222)+('Cálculos'!$E$213+'Cálculos'!$E$124*(1+2.78*('Cálculos'!$E$196+(($C127)-$A$120:$A$165)*'Cálculos'!$E$98)/(('Cálculos'!$E$196+(($C127)-$A$120:$A$165)*'Cálculos'!$E$98)+1400)+'Cálculos'!$E$122)*'Cálculos'!$E$218+'Cálculos'!$E$125*(1+2.78*('Cálculos'!$E$196+(($C127)-$A$120:$A$165)*'Cálculos'!$E$98)/(('Cálculos'!$E$196+(($C127)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127)-$A$120:$A$165)*'Cálculos'!$E$98)/(('Cálculos'!$E$197+(($C127)-$A$120:$A$165)*'Cálculos'!$E$98)+1400)+'Cálculos'!$E$122)*'Cálculos'!$E$229+'Cálculos'!$E$125*(1+2.78*('Cálculos'!$E$197+(($C127)-$A$120:$A$165)*'Cálculos'!$E$98)/(('Cálculos'!$E$197+(($C127)-$A$120:$A$165)*'Cálculos'!$E$98)+1400)+'Cálculos'!$E$123)*'Cálculos'!$E$234)+('Cálculos'!$E$197+(($C127)-$A$120:$A$165)*'Cálculos'!$E$98)*('Cálculos'!$E$225+'Cálculos'!$E$124*(1+2.78*('Cálculos'!$E$197+(($C127)-$A$120:$A$165)*'Cálculos'!$E$98)/(('Cálculos'!$E$197+(($C127)-$A$120:$A$165)*'Cálculos'!$E$98)+1400)+'Cálculos'!$E$122)*'Cálculos'!$E$230+'Cálculos'!$E$125*(1+2.78*('Cálculos'!$E$197+(($C127)-$A$120:$A$165)*'Cálculos'!$E$98)/(('Cálculos'!$E$197+(($C127)-$A$120:$A$165)*'Cálculos'!$E$98)+1400)+'Cálculos'!$E$123)*'Cálculos'!$E$235)+('Cálculos'!$E$201*(1+'Cálculos'!$E$202+$A$120:$A$165*('Cálculos'!$E$290=2)*'Cálculos'!$E$101)+'Cálculos'!$E$203)*('Cálculos'!$E$226+'Cálculos'!$E$124*(1+2.78*('Cálculos'!$E$197+(($C127)-$A$120:$A$165)*'Cálculos'!$E$98)/(('Cálculos'!$E$197+(($C127)-$A$120:$A$165)*'Cálculos'!$E$98)+1400)+'Cálculos'!$E$122)*'Cálculos'!$E$231+'Cálculos'!$E$125*(1+2.78*('Cálculos'!$E$197+(($C127)-$A$120:$A$165)*'Cálculos'!$E$98)/(('Cálculos'!$E$197+(($C127)-$A$120:$A$165)*'Cálculos'!$E$98)+1400)+'Cálculos'!$E$123)*'Cálculos'!$E$236)+('Cálculos'!$E$204*(1+'Cálculos'!$E$205+$A$120:$A$165*('Cálculos'!$E$290=3)*'Cálculos'!$E$103)+'Cálculos'!$E$206)*('Cálculos'!$E$227+'Cálculos'!$E$124*(1+2.78*('Cálculos'!$E$197+(($C127)-$A$120:$A$165)*'Cálculos'!$E$98)/(('Cálculos'!$E$197+(($C127)-$A$120:$A$165)*'Cálculos'!$E$98)+1400)+'Cálculos'!$E$122)*'Cálculos'!$E$232+'Cálculos'!$E$125*(1+2.78*('Cálculos'!$E$197+(($C127)-$A$120:$A$165)*'Cálculos'!$E$98)/(('Cálculos'!$E$197+(($C127)-$A$120:$A$165)*'Cálculos'!$E$98)+1400)+'Cálculos'!$E$123)*'Cálculos'!$E$237)+('Cálculos'!$E$228+'Cálculos'!$E$124*(1+2.78*('Cálculos'!$E$197+(($C127)-$A$120:$A$165)*'Cálculos'!$E$98)/(('Cálculos'!$E$197+(($C127)-$A$120:$A$165)*'Cálculos'!$E$98)+1400)+'Cálculos'!$E$122)*'Cálculos'!$E$233+'Cálculos'!$E$125*(1+2.78*('Cálculos'!$E$197+(($C127)-$A$120:$A$165)*'Cálculos'!$E$98)/(('Cálculos'!$E$197+(($C127)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127)-$A$120:$A$165)*'Cálculos'!$E$98)/(('Cálculos'!$E$198+(($C127)-$A$120:$A$165)*'Cálculos'!$E$98)+1400)+'Cálculos'!$E$122)*'Cálculos'!$E$244+'Cálculos'!$E$125*(1+2.78*('Cálculos'!$E$198+(($C127)-$A$120:$A$165)*'Cálculos'!$E$98)/(('Cálculos'!$E$198+(($C127)-$A$120:$A$165)*'Cálculos'!$E$98)+1400)+'Cálculos'!$E$123)*'Cálculos'!$E$249)+('Cálculos'!$E$198+(($C127)-$A$120:$A$165)*'Cálculos'!$E$98)*('Cálculos'!$E$240+'Cálculos'!$E$124*(1+2.78*('Cálculos'!$E$198+(($C127)-$A$120:$A$165)*'Cálculos'!$E$98)/(('Cálculos'!$E$198+(($C127)-$A$120:$A$165)*'Cálculos'!$E$98)+1400)+'Cálculos'!$E$122)*'Cálculos'!$E$245+'Cálculos'!$E$125*(1+2.78*('Cálculos'!$E$198+(($C127)-$A$120:$A$165)*'Cálculos'!$E$98)/(('Cálculos'!$E$198+(($C127)-$A$120:$A$165)*'Cálculos'!$E$98)+1400)+'Cálculos'!$E$123)*'Cálculos'!$E$250)+('Cálculos'!$E$201*(1+'Cálculos'!$E$202+$A$120:$A$165*('Cálculos'!$E$290=2)*'Cálculos'!$E$101)+'Cálculos'!$E$203)*('Cálculos'!$E$241+'Cálculos'!$E$124*(1+2.78*('Cálculos'!$E$198+(($C127)-$A$120:$A$165)*'Cálculos'!$E$98)/(('Cálculos'!$E$198+(($C127)-$A$120:$A$165)*'Cálculos'!$E$98)+1400)+'Cálculos'!$E$122)*'Cálculos'!$E$246+'Cálculos'!$E$125*(1+2.78*('Cálculos'!$E$198+(($C127)-$A$120:$A$165)*'Cálculos'!$E$98)/(('Cálculos'!$E$198+(($C127)-$A$120:$A$165)*'Cálculos'!$E$98)+1400)+'Cálculos'!$E$123)*'Cálculos'!$E$251)+('Cálculos'!$E$204*(1+'Cálculos'!$E$205+$A$120:$A$165*('Cálculos'!$E$290=3)*'Cálculos'!$E$103)+'Cálculos'!$E$206)*('Cálculos'!$E$242+'Cálculos'!$E$124*(1+2.78*('Cálculos'!$E$198+(($C127)-$A$120:$A$165)*'Cálculos'!$E$98)/(('Cálculos'!$E$198+(($C127)-$A$120:$A$165)*'Cálculos'!$E$98)+1400)+'Cálculos'!$E$122)*'Cálculos'!$E$247+'Cálculos'!$E$125*(1+2.78*('Cálculos'!$E$198+(($C127)-$A$120:$A$165)*'Cálculos'!$E$98)/(('Cálculos'!$E$198+(($C127)-$A$120:$A$165)*'Cálculos'!$E$98)+1400)+'Cálculos'!$E$123)*'Cálculos'!$E$252)+('Cálculos'!$E$243+'Cálculos'!$E$124*(1+2.78*('Cálculos'!$E$198+(($C127)-$A$120:$A$165)*'Cálculos'!$E$98)/(('Cálculos'!$E$198+(($C127)-$A$120:$A$165)*'Cálculos'!$E$98)+1400)+'Cálculos'!$E$122)*'Cálculos'!$E$248+'Cálculos'!$E$125*(1+2.78*('Cálculos'!$E$198+(($C127)-$A$120:$A$165)*'Cálculos'!$E$98)/(('Cálculos'!$E$198+(($C127)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127)-$A$120:$A$165)*'Cálculos'!$E$98)/(('Cálculos'!$E$199+(($C127)-$A$120:$A$165)*'Cálculos'!$E$98)+1400)+'Cálculos'!$E$122)*'Cálculos'!$E$259+'Cálculos'!$E$125*(1+2.78*('Cálculos'!$E$199+(($C127)-$A$120:$A$165)*'Cálculos'!$E$98)/(('Cálculos'!$E$199+(($C127)-$A$120:$A$165)*'Cálculos'!$E$98)+1400)+'Cálculos'!$E$123)*'Cálculos'!$E$264)+('Cálculos'!$E$199+(($C127)-$A$120:$A$165)*'Cálculos'!$E$98)*('Cálculos'!$E$255+'Cálculos'!$E$124*(1+2.78*('Cálculos'!$E$199+(($C127)-$A$120:$A$165)*'Cálculos'!$E$98)/(('Cálculos'!$E$199+(($C127)-$A$120:$A$165)*'Cálculos'!$E$98)+1400)+'Cálculos'!$E$122)*'Cálculos'!$E$260+'Cálculos'!$E$125*(1+2.78*('Cálculos'!$E$199+(($C127)-$A$120:$A$165)*'Cálculos'!$E$98)/(('Cálculos'!$E$199+(($C127)-$A$120:$A$165)*'Cálculos'!$E$98)+1400)+'Cálculos'!$E$123)*'Cálculos'!$E$265)+('Cálculos'!$E$201*(1+'Cálculos'!$E$202+$A$120:$A$165*('Cálculos'!$E$290=2)*'Cálculos'!$E$101)+'Cálculos'!$E$203)*('Cálculos'!$E$256+'Cálculos'!$E$124*(1+2.78*('Cálculos'!$E$199+(($C127)-$A$120:$A$165)*'Cálculos'!$E$98)/(('Cálculos'!$E$199+(($C127)-$A$120:$A$165)*'Cálculos'!$E$98)+1400)+'Cálculos'!$E$122)*'Cálculos'!$E$261+'Cálculos'!$E$125*(1+2.78*('Cálculos'!$E$199+(($C127)-$A$120:$A$165)*'Cálculos'!$E$98)/(('Cálculos'!$E$199+(($C127)-$A$120:$A$165)*'Cálculos'!$E$98)+1400)+'Cálculos'!$E$123)*'Cálculos'!$E$266)+('Cálculos'!$E$204*(1+'Cálculos'!$E$205+$A$120:$A$165*('Cálculos'!$E$290=3)*'Cálculos'!$E$103)+'Cálculos'!$E$206)*('Cálculos'!$E$257+'Cálculos'!$E$124*(1+2.78*('Cálculos'!$E$199+(($C127)-$A$120:$A$165)*'Cálculos'!$E$98)/(('Cálculos'!$E$199+(($C127)-$A$120:$A$165)*'Cálculos'!$E$98)+1400)+'Cálculos'!$E$122)*'Cálculos'!$E$262+'Cálculos'!$E$125*(1+2.78*('Cálculos'!$E$199+(($C127)-$A$120:$A$165)*'Cálculos'!$E$98)/(('Cálculos'!$E$199+(($C127)-$A$120:$A$165)*'Cálculos'!$E$98)+1400)+'Cálculos'!$E$123)*'Cálculos'!$E$267)+('Cálculos'!$E$258+'Cálculos'!$E$124*(1+2.78*('Cálculos'!$E$199+(($C127)-$A$120:$A$165)*'Cálculos'!$E$98)/(('Cálculos'!$E$199+(($C127)-$A$120:$A$165)*'Cálculos'!$E$98)+1400)+'Cálculos'!$E$122)*'Cálculos'!$E$263+'Cálculos'!$E$125*(1+2.78*('Cálculos'!$E$199+(($C127)-$A$120:$A$165)*'Cálculos'!$E$98)/(('Cálculos'!$E$199+(($C127)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127)-$A$120:$A$165)*'Cálculos'!$E$98)/(('Cálculos'!$E$200+(($C127)-$A$120:$A$165)*'Cálculos'!$E$98)+1400)+'Cálculos'!$E$122)*'Cálculos'!$E$274+'Cálculos'!$E$125*(1+2.78*('Cálculos'!$E$200+(($C127)-$A$120:$A$165)*'Cálculos'!$E$98)/(('Cálculos'!$E$200+(($C127)-$A$120:$A$165)*'Cálculos'!$E$98)+1400)+'Cálculos'!$E$123)*'Cálculos'!$E$279)+('Cálculos'!$E$200+(($C127)-$A$120:$A$165)*'Cálculos'!$E$98)*('Cálculos'!$E$270+'Cálculos'!$E$124*(1+2.78*('Cálculos'!$E$200+(($C127)-$A$120:$A$165)*'Cálculos'!$E$98)/(('Cálculos'!$E$200+(($C127)-$A$120:$A$165)*'Cálculos'!$E$98)+1400)+'Cálculos'!$E$122)*'Cálculos'!$E$275+'Cálculos'!$E$125*(1+2.78*('Cálculos'!$E$200+(($C127)-$A$120:$A$165)*'Cálculos'!$E$98)/(('Cálculos'!$E$200+(($C127)-$A$120:$A$165)*'Cálculos'!$E$98)+1400)+'Cálculos'!$E$123)*'Cálculos'!$E$280)+('Cálculos'!$E$201*(1+'Cálculos'!$E$202+$A$120:$A$165*('Cálculos'!$E$290=2)*'Cálculos'!$E$101)+'Cálculos'!$E$203)*('Cálculos'!$E$271+'Cálculos'!$E$124*(1+2.78*('Cálculos'!$E$200+(($C127)-$A$120:$A$165)*'Cálculos'!$E$98)/(('Cálculos'!$E$200+(($C127)-$A$120:$A$165)*'Cálculos'!$E$98)+1400)+'Cálculos'!$E$122)*'Cálculos'!$E$276+'Cálculos'!$E$125*(1+2.78*('Cálculos'!$E$200+(($C127)-$A$120:$A$165)*'Cálculos'!$E$98)/(('Cálculos'!$E$200+(($C127)-$A$120:$A$165)*'Cálculos'!$E$98)+1400)+'Cálculos'!$E$123)*'Cálculos'!$E$281)+('Cálculos'!$E$204*(1+'Cálculos'!$E$205+$A$120:$A$165*('Cálculos'!$E$290=3)*'Cálculos'!$E$103)+'Cálculos'!$E$206)*('Cálculos'!$E$272+'Cálculos'!$E$124*(1+2.78*('Cálculos'!$E$200+(($C127)-$A$120:$A$165)*'Cálculos'!$E$98)/(('Cálculos'!$E$200+(($C127)-$A$120:$A$165)*'Cálculos'!$E$98)+1400)+'Cálculos'!$E$122)*'Cálculos'!$E$277+'Cálculos'!$E$125*(1+2.78*('Cálculos'!$E$200+(($C127)-$A$120:$A$165)*'Cálculos'!$E$98)/(('Cálculos'!$E$200+(($C127)-$A$120:$A$165)*'Cálculos'!$E$98)+1400)+'Cálculos'!$E$123)*'Cálculos'!$E$282)+('Cálculos'!$E$273+'Cálculos'!$E$124*(1+2.78*('Cálculos'!$E$200+(($C127)-$A$120:$A$165)*'Cálculos'!$E$98)/(('Cálculos'!$E$200+(($C127)-$A$120:$A$165)*'Cálculos'!$E$98)+1400)+'Cálculos'!$E$122)*'Cálculos'!$E$278+'Cálculos'!$E$125*(1+2.78*('Cálculos'!$E$200+(($C127)-$A$120:$A$165)*'Cálculos'!$E$98)/(('Cálculos'!$E$200+(($C127)-$A$120:$A$165)*'Cálculos'!$E$98)+1400)+'Cálculos'!$E$123)*'Cálculos'!$E$283)))))</f>
        <v>20295.8126</v>
      </c>
      <c r="E127" s="32">
        <f>IF(OR($C127&lt;0,'Cálculos'!$E$6=""),0,$B127*$D127)</f>
        <v>29921.42646</v>
      </c>
      <c r="F127" s="2"/>
      <c r="G127" s="30">
        <f>($A127&lt;=$B$167)*($A127&lt;='Cálculos'!$E$294)*(($B$167)-$A127&lt;='Cálculos'!$E$295)*(1+MIN(('Cálculos'!$E$207+$A127*'Cálculos'!$E$95),1)*('Cálculos'!$E$208+(($B$167)-$A127)*'Cálculos'!$E$96))</f>
        <v>1.676424</v>
      </c>
      <c r="H127" s="31">
        <f>IF($B$168&lt;0,0,($A127&lt;=$B$168)*($A127&lt;='Cálculos'!$E$301)*(($B$168)-$A127&lt;='Cálculos'!$E$297)*(('Cálculos'!$E$185*(1+'Cálculos'!$E$186+$A127*('Cálculos'!$E$290=1)*'Cálculos'!$E$97+'Cálculos'!$E$305)+'Cálculos'!$E$191)*('Cálculos'!$E$209+'Cálculos'!$E$124*(1+2.78*('Cálculos'!$E$196+(($B$168)-$A127)*'Cálculos'!$E$98)/(('Cálculos'!$E$196+(($B$168)-$A127)*'Cálculos'!$E$98)+1400)+'Cálculos'!$E$122)*'Cálculos'!$E$214+'Cálculos'!$E$125*(1+2.78*('Cálculos'!$E$196+(($B$168)-$A127)*'Cálculos'!$E$98)/(('Cálculos'!$E$196+(($B$168)-$A127)*'Cálculos'!$E$98)+1400)+'Cálculos'!$E$123)*'Cálculos'!$E$219)+('Cálculos'!$E$196+(($B$168)-$A127)*'Cálculos'!$E$98)*('Cálculos'!$E$210+'Cálculos'!$E$124*(1+2.78*('Cálculos'!$E$196+(($B$168)-$A127)*'Cálculos'!$E$98)/(('Cálculos'!$E$196+(($B$168)-$A127)*'Cálculos'!$E$98)+1400)+'Cálculos'!$E$122)*'Cálculos'!$E$215+'Cálculos'!$E$125*(1+2.78*('Cálculos'!$E$196+(($B$168)-$A127)*'Cálculos'!$E$98)/(('Cálculos'!$E$196+(($B$168)-$A127)*'Cálculos'!$E$98)+1400)+'Cálculos'!$E$123)*'Cálculos'!$E$220)+('Cálculos'!$E$201*(1+'Cálculos'!$E$202+$A127*('Cálculos'!$E$290=2)*'Cálculos'!$E$101)+'Cálculos'!$E$203)*('Cálculos'!$E$211+'Cálculos'!$E$124*(1+2.78*('Cálculos'!$E$196+(($B$168)-$A127)*'Cálculos'!$E$98)/(('Cálculos'!$E$196+(($B$168)-$A127)*'Cálculos'!$E$98)+1400)+'Cálculos'!$E$122)*'Cálculos'!$E$216+'Cálculos'!$E$125*(1+2.78*('Cálculos'!$E$196+(($B$168)-$A127)*'Cálculos'!$E$98)/(('Cálculos'!$E$196+(($B$168)-$A127)*'Cálculos'!$E$98)+1400)+'Cálculos'!$E$123)*'Cálculos'!$E$221)+('Cálculos'!$E$204*(1+'Cálculos'!$E$205+$A127*('Cálculos'!$E$290=3)*'Cálculos'!$E$103)+'Cálculos'!$E$206)*('Cálculos'!$E$212+'Cálculos'!$E$124*(1+2.78*('Cálculos'!$E$196+(($B$168)-$A127)*'Cálculos'!$E$98)/(('Cálculos'!$E$196+(($B$168)-$A127)*'Cálculos'!$E$98)+1400)+'Cálculos'!$E$122)*'Cálculos'!$E$217+'Cálculos'!$E$125*(1+2.78*('Cálculos'!$E$196+(($B$168)-$A127)*'Cálculos'!$E$98)/(('Cálculos'!$E$196+(($B$168)-$A127)*'Cálculos'!$E$98)+1400)+'Cálculos'!$E$123)*'Cálculos'!$E$222)+('Cálculos'!$E$213+'Cálculos'!$E$124*(1+2.78*('Cálculos'!$E$196+(($B$168)-$A127)*'Cálculos'!$E$98)/(('Cálculos'!$E$196+(($B$168)-$A127)*'Cálculos'!$E$98)+1400)+'Cálculos'!$E$122)*'Cálculos'!$E$218+'Cálculos'!$E$125*(1+2.78*('Cálculos'!$E$196+(($B$168)-$A127)*'Cálculos'!$E$98)/(('Cálculos'!$E$196+(($B$168)-$A127)*'Cálculos'!$E$98)+1400)+'Cálculos'!$E$123)*'Cálculos'!$E$223)+('Cálculos'!$E$185*(1+'Cálculos'!$E$187+$A127*('Cálculos'!$E$290=1)*'Cálculos'!$E$97+'Cálculos'!$E$305)+'Cálculos'!$E$192)*('Cálculos'!$E$224+'Cálculos'!$E$124*(1+2.78*('Cálculos'!$E$197+(($B$168)-$A127)*'Cálculos'!$E$98)/(('Cálculos'!$E$197+(($B$168)-$A127)*'Cálculos'!$E$98)+1400)+'Cálculos'!$E$122)*'Cálculos'!$E$229+'Cálculos'!$E$125*(1+2.78*('Cálculos'!$E$197+(($B$168)-$A127)*'Cálculos'!$E$98)/(('Cálculos'!$E$197+(($B$168)-$A127)*'Cálculos'!$E$98)+1400)+'Cálculos'!$E$123)*'Cálculos'!$E$234)+('Cálculos'!$E$197+(($B$168)-$A127)*'Cálculos'!$E$98)*('Cálculos'!$E$225+'Cálculos'!$E$124*(1+2.78*('Cálculos'!$E$197+(($B$168)-$A127)*'Cálculos'!$E$98)/(('Cálculos'!$E$197+(($B$168)-$A127)*'Cálculos'!$E$98)+1400)+'Cálculos'!$E$122)*'Cálculos'!$E$230+'Cálculos'!$E$125*(1+2.78*('Cálculos'!$E$197+(($B$168)-$A127)*'Cálculos'!$E$98)/(('Cálculos'!$E$197+(($B$168)-$A127)*'Cálculos'!$E$98)+1400)+'Cálculos'!$E$123)*'Cálculos'!$E$235)+('Cálculos'!$E$201*(1+'Cálculos'!$E$202+$A127*('Cálculos'!$E$290=2)*'Cálculos'!$E$101)+'Cálculos'!$E$203)*('Cálculos'!$E$226+'Cálculos'!$E$124*(1+2.78*('Cálculos'!$E$197+(($B$168)-$A127)*'Cálculos'!$E$98)/(('Cálculos'!$E$197+(($B$168)-$A127)*'Cálculos'!$E$98)+1400)+'Cálculos'!$E$122)*'Cálculos'!$E$231+'Cálculos'!$E$125*(1+2.78*('Cálculos'!$E$197+(($B$168)-$A127)*'Cálculos'!$E$98)/(('Cálculos'!$E$197+(($B$168)-$A127)*'Cálculos'!$E$98)+1400)+'Cálculos'!$E$123)*'Cálculos'!$E$236)+('Cálculos'!$E$204*(1+'Cálculos'!$E$205+$A127*('Cálculos'!$E$290=3)*'Cálculos'!$E$103)+'Cálculos'!$E$206)*('Cálculos'!$E$227+'Cálculos'!$E$124*(1+2.78*('Cálculos'!$E$197+(($B$168)-$A127)*'Cálculos'!$E$98)/(('Cálculos'!$E$197+(($B$168)-$A127)*'Cálculos'!$E$98)+1400)+'Cálculos'!$E$122)*'Cálculos'!$E$232+'Cálculos'!$E$125*(1+2.78*('Cálculos'!$E$197+(($B$168)-$A127)*'Cálculos'!$E$98)/(('Cálculos'!$E$197+(($B$168)-$A127)*'Cálculos'!$E$98)+1400)+'Cálculos'!$E$123)*'Cálculos'!$E$237)+('Cálculos'!$E$228+'Cálculos'!$E$124*(1+2.78*('Cálculos'!$E$197+(($B$168)-$A127)*'Cálculos'!$E$98)/(('Cálculos'!$E$197+(($B$168)-$A127)*'Cálculos'!$E$98)+1400)+'Cálculos'!$E$122)*'Cálculos'!$E$233+'Cálculos'!$E$125*(1+2.78*('Cálculos'!$E$197+(($B$168)-$A127)*'Cálculos'!$E$98)/(('Cálculos'!$E$197+(($B$168)-$A127)*'Cálculos'!$E$98)+1400)+'Cálculos'!$E$123)*'Cálculos'!$E$238)+('Cálculos'!$E$185*(1+'Cálculos'!$E$188+$A127*('Cálculos'!$E$290=1)*'Cálculos'!$E$97+'Cálculos'!$E$305)+'Cálculos'!$E$193)*('Cálculos'!$E$239+'Cálculos'!$E$124*(1+2.78*('Cálculos'!$E$198+(($B$168)-$A127)*'Cálculos'!$E$98)/(('Cálculos'!$E$198+(($B$168)-$A127)*'Cálculos'!$E$98)+1400)+'Cálculos'!$E$122)*'Cálculos'!$E$244+'Cálculos'!$E$125*(1+2.78*('Cálculos'!$E$198+(($B$168)-$A127)*'Cálculos'!$E$98)/(('Cálculos'!$E$198+(($B$168)-$A127)*'Cálculos'!$E$98)+1400)+'Cálculos'!$E$123)*'Cálculos'!$E$249)+('Cálculos'!$E$198+(($B$168)-$A127)*'Cálculos'!$E$98)*('Cálculos'!$E$240+'Cálculos'!$E$124*(1+2.78*('Cálculos'!$E$198+(($B$168)-$A127)*'Cálculos'!$E$98)/(('Cálculos'!$E$198+(($B$168)-$A127)*'Cálculos'!$E$98)+1400)+'Cálculos'!$E$122)*'Cálculos'!$E$245+'Cálculos'!$E$125*(1+2.78*('Cálculos'!$E$198+(($B$168)-$A127)*'Cálculos'!$E$98)/(('Cálculos'!$E$198+(($B$168)-$A127)*'Cálculos'!$E$98)+1400)+'Cálculos'!$E$123)*'Cálculos'!$E$250)+('Cálculos'!$E$201*(1+'Cálculos'!$E$202+$A127*('Cálculos'!$E$290=2)*'Cálculos'!$E$101)+'Cálculos'!$E$203)*('Cálculos'!$E$241+'Cálculos'!$E$124*(1+2.78*('Cálculos'!$E$198+(($B$168)-$A127)*'Cálculos'!$E$98)/(('Cálculos'!$E$198+(($B$168)-$A127)*'Cálculos'!$E$98)+1400)+'Cálculos'!$E$122)*'Cálculos'!$E$246+'Cálculos'!$E$125*(1+2.78*('Cálculos'!$E$198+(($B$168)-$A127)*'Cálculos'!$E$98)/(('Cálculos'!$E$198+(($B$168)-$A127)*'Cálculos'!$E$98)+1400)+'Cálculos'!$E$123)*'Cálculos'!$E$251)+('Cálculos'!$E$204*(1+'Cálculos'!$E$205+$A127*('Cálculos'!$E$290=3)*'Cálculos'!$E$103)+'Cálculos'!$E$206)*('Cálculos'!$E$242+'Cálculos'!$E$124*(1+2.78*('Cálculos'!$E$198+(($B$168)-$A127)*'Cálculos'!$E$98)/(('Cálculos'!$E$198+(($B$168)-$A127)*'Cálculos'!$E$98)+1400)+'Cálculos'!$E$122)*'Cálculos'!$E$247+'Cálculos'!$E$125*(1+2.78*('Cálculos'!$E$198+(($B$168)-$A127)*'Cálculos'!$E$98)/(('Cálculos'!$E$198+(($B$168)-$A127)*'Cálculos'!$E$98)+1400)+'Cálculos'!$E$123)*'Cálculos'!$E$252)+('Cálculos'!$E$243+'Cálculos'!$E$124*(1+2.78*('Cálculos'!$E$198+(($B$168)-$A127)*'Cálculos'!$E$98)/(('Cálculos'!$E$198+(($B$168)-$A127)*'Cálculos'!$E$98)+1400)+'Cálculos'!$E$122)*'Cálculos'!$E$248+'Cálculos'!$E$125*(1+2.78*('Cálculos'!$E$198+(($B$168)-$A127)*'Cálculos'!$E$98)/(('Cálculos'!$E$198+(($B$168)-$A127)*'Cálculos'!$E$98)+1400)+'Cálculos'!$E$123)*'Cálculos'!$E$253)+('Cálculos'!$E$185*(1+'Cálculos'!$E$189+$A127*('Cálculos'!$E$290=1)*'Cálculos'!$E$97+'Cálculos'!$E$305)+'Cálculos'!$E$194)*('Cálculos'!$E$254+'Cálculos'!$E$124*(1+2.78*('Cálculos'!$E$199+(($B$168)-$A127)*'Cálculos'!$E$98)/(('Cálculos'!$E$199+(($B$168)-$A127)*'Cálculos'!$E$98)+1400)+'Cálculos'!$E$122)*'Cálculos'!$E$259+'Cálculos'!$E$125*(1+2.78*('Cálculos'!$E$199+(($B$168)-$A127)*'Cálculos'!$E$98)/(('Cálculos'!$E$199+(($B$168)-$A127)*'Cálculos'!$E$98)+1400)+'Cálculos'!$E$123)*'Cálculos'!$E$264)+('Cálculos'!$E$199+(($B$168)-$A127)*'Cálculos'!$E$98)*('Cálculos'!$E$255+'Cálculos'!$E$124*(1+2.78*('Cálculos'!$E$199+(($B$168)-$A127)*'Cálculos'!$E$98)/(('Cálculos'!$E$199+(($B$168)-$A127)*'Cálculos'!$E$98)+1400)+'Cálculos'!$E$122)*'Cálculos'!$E$260+'Cálculos'!$E$125*(1+2.78*('Cálculos'!$E$199+(($B$168)-$A127)*'Cálculos'!$E$98)/(('Cálculos'!$E$199+(($B$168)-$A127)*'Cálculos'!$E$98)+1400)+'Cálculos'!$E$123)*'Cálculos'!$E$265)+('Cálculos'!$E$201*(1+'Cálculos'!$E$202+$A127*('Cálculos'!$E$290=2)*'Cálculos'!$E$101)+'Cálculos'!$E$203)*('Cálculos'!$E$256+'Cálculos'!$E$124*(1+2.78*('Cálculos'!$E$199+(($B$168)-$A127)*'Cálculos'!$E$98)/(('Cálculos'!$E$199+(($B$168)-$A127)*'Cálculos'!$E$98)+1400)+'Cálculos'!$E$122)*'Cálculos'!$E$261+'Cálculos'!$E$125*(1+2.78*('Cálculos'!$E$199+(($B$168)-$A127)*'Cálculos'!$E$98)/(('Cálculos'!$E$199+(($B$168)-$A127)*'Cálculos'!$E$98)+1400)+'Cálculos'!$E$123)*'Cálculos'!$E$266)+('Cálculos'!$E$204*(1+'Cálculos'!$E$205+$A127*('Cálculos'!$E$290=3)*'Cálculos'!$E$103)+'Cálculos'!$E$206)*('Cálculos'!$E$257+'Cálculos'!$E$124*(1+2.78*('Cálculos'!$E$199+(($B$168)-$A127)*'Cálculos'!$E$98)/(('Cálculos'!$E$199+(($B$168)-$A127)*'Cálculos'!$E$98)+1400)+'Cálculos'!$E$122)*'Cálculos'!$E$262+'Cálculos'!$E$125*(1+2.78*('Cálculos'!$E$199+(($B$168)-$A127)*'Cálculos'!$E$98)/(('Cálculos'!$E$199+(($B$168)-$A127)*'Cálculos'!$E$98)+1400)+'Cálculos'!$E$123)*'Cálculos'!$E$267)+('Cálculos'!$E$258+'Cálculos'!$E$124*(1+2.78*('Cálculos'!$E$199+(($B$168)-$A127)*'Cálculos'!$E$98)/(('Cálculos'!$E$199+(($B$168)-$A127)*'Cálculos'!$E$98)+1400)+'Cálculos'!$E$122)*'Cálculos'!$E$263+'Cálculos'!$E$125*(1+2.78*('Cálculos'!$E$199+(($B$168)-$A127)*'Cálculos'!$E$98)/(('Cálculos'!$E$199+(($B$168)-$A127)*'Cálculos'!$E$98)+1400)+'Cálculos'!$E$123)*'Cálculos'!$E$268)+('Cálculos'!$E$185*(1+'Cálculos'!$E$190+$A127*('Cálculos'!$E$290=1)*'Cálculos'!$E$97+'Cálculos'!$E$305)+'Cálculos'!$E$195)*('Cálculos'!$E$269+'Cálculos'!$E$124*(1+2.78*('Cálculos'!$E$200+(($B$168)-$A127)*'Cálculos'!$E$98)/(('Cálculos'!$E$200+(($B$168)-$A127)*'Cálculos'!$E$98)+1400)+'Cálculos'!$E$122)*'Cálculos'!$E$274+'Cálculos'!$E$125*(1+2.78*('Cálculos'!$E$200+(($B$168)-$A127)*'Cálculos'!$E$98)/(('Cálculos'!$E$200+(($B$168)-$A127)*'Cálculos'!$E$98)+1400)+'Cálculos'!$E$123)*'Cálculos'!$E$279)+('Cálculos'!$E$200+(($B$168)-$A127)*'Cálculos'!$E$98)*('Cálculos'!$E$270+'Cálculos'!$E$124*(1+2.78*('Cálculos'!$E$200+(($B$168)-$A127)*'Cálculos'!$E$98)/(('Cálculos'!$E$200+(($B$168)-$A127)*'Cálculos'!$E$98)+1400)+'Cálculos'!$E$122)*'Cálculos'!$E$275+'Cálculos'!$E$125*(1+2.78*('Cálculos'!$E$200+(($B$168)-$A127)*'Cálculos'!$E$98)/(('Cálculos'!$E$200+(($B$168)-$A127)*'Cálculos'!$E$98)+1400)+'Cálculos'!$E$123)*'Cálculos'!$E$280)+('Cálculos'!$E$201*(1+'Cálculos'!$E$202+$A127*('Cálculos'!$E$290=2)*'Cálculos'!$E$101)+'Cálculos'!$E$203)*('Cálculos'!$E$271+'Cálculos'!$E$124*(1+2.78*('Cálculos'!$E$200+(($B$168)-$A127)*'Cálculos'!$E$98)/(('Cálculos'!$E$200+(($B$168)-$A127)*'Cálculos'!$E$98)+1400)+'Cálculos'!$E$122)*'Cálculos'!$E$276+'Cálculos'!$E$125*(1+2.78*('Cálculos'!$E$200+(($B$168)-$A127)*'Cálculos'!$E$98)/(('Cálculos'!$E$200+(($B$168)-$A127)*'Cálculos'!$E$98)+1400)+'Cálculos'!$E$123)*'Cálculos'!$E$281)+('Cálculos'!$E$204*(1+'Cálculos'!$E$205+$A127*('Cálculos'!$E$290=3)*'Cálculos'!$E$103)+'Cálculos'!$E$206)*('Cálculos'!$E$272+'Cálculos'!$E$124*(1+2.78*('Cálculos'!$E$200+(($B$168)-$A127)*'Cálculos'!$E$98)/(('Cálculos'!$E$200+(($B$168)-$A127)*'Cálculos'!$E$98)+1400)+'Cálculos'!$E$122)*'Cálculos'!$E$277+'Cálculos'!$E$125*(1+2.78*('Cálculos'!$E$200+(($B$168)-$A127)*'Cálculos'!$E$98)/(('Cálculos'!$E$200+(($B$168)-$A127)*'Cálculos'!$E$98)+1400)+'Cálculos'!$E$123)*'Cálculos'!$E$282)+('Cálculos'!$E$273+'Cálculos'!$E$124*(1+2.78*('Cálculos'!$E$200+(($B$168)-$A127)*'Cálculos'!$E$98)/(('Cálculos'!$E$200+(($B$168)-$A127)*'Cálculos'!$E$98)+1400)+'Cálculos'!$E$122)*'Cálculos'!$E$278+'Cálculos'!$E$125*(1+2.78*('Cálculos'!$E$200+(($B$168)-$A127)*'Cálculos'!$E$98)/(('Cálculos'!$E$200+(($B$168)-$A127)*'Cálculos'!$E$98)+1400)+'Cálculos'!$E$123)*'Cálculos'!$E$283)))</f>
        <v>0</v>
      </c>
    </row>
    <row r="128" ht="15.75" customHeight="1">
      <c r="A128" s="2">
        <v>8.0</v>
      </c>
      <c r="B128" s="30">
        <f>SUMPRODUCT(MAX(($A$120:$A$165&lt;=$A128)*($A$120:$A$165&lt;='Cálculos'!$E$294)*(($A128)-$A$120:$A$165&lt;='Cálculos'!$E$295)*(1+(('Cálculos'!$E$207+$A$120:$A$165*'Cálculos'!$E$95)-(('Cálculos'!$E$207+$A$120:$A$165*'Cálculos'!$E$95)&gt;1)*(('Cálculos'!$E$207+$A$120:$A$165*'Cálculos'!$E$95)-1))*('Cálculos'!$E$208+(($A128)-$A$120:$A$165)*'Cálculos'!$E$96))))</f>
        <v>1.506804</v>
      </c>
      <c r="C128" s="2">
        <f>'Cálculos'!$E$303-$A128</f>
        <v>5</v>
      </c>
      <c r="D128" s="31">
        <f>IF($C128&lt;0,0,SUMPRODUCT(MAX(($A$120:$A$165&lt;=$C128)*($A$120:$A$165&lt;='Cálculos'!$E$301)*(($C128)-$A$120:$A$165&lt;='Cálculos'!$E$297)*(('Cálculos'!$E$185*(1+'Cálculos'!$E$186+$A$120:$A$165*('Cálculos'!$E$290=1)*'Cálculos'!$E$97+'Cálculos'!$E$305)+'Cálculos'!$E$191)*('Cálculos'!$E$209+'Cálculos'!$E$124*(1+2.78*('Cálculos'!$E$196+(($C128)-$A$120:$A$165)*'Cálculos'!$E$98)/(('Cálculos'!$E$196+(($C128)-$A$120:$A$165)*'Cálculos'!$E$98)+1400)+'Cálculos'!$E$122)*'Cálculos'!$E$214+'Cálculos'!$E$125*(1+2.78*('Cálculos'!$E$196+(($C128)-$A$120:$A$165)*'Cálculos'!$E$98)/(('Cálculos'!$E$196+(($C128)-$A$120:$A$165)*'Cálculos'!$E$98)+1400)+'Cálculos'!$E$123)*'Cálculos'!$E$219)+('Cálculos'!$E$196+(($C128)-$A$120:$A$165)*'Cálculos'!$E$98)*('Cálculos'!$E$210+'Cálculos'!$E$124*(1+2.78*('Cálculos'!$E$196+(($C128)-$A$120:$A$165)*'Cálculos'!$E$98)/(('Cálculos'!$E$196+(($C128)-$A$120:$A$165)*'Cálculos'!$E$98)+1400)+'Cálculos'!$E$122)*'Cálculos'!$E$215+'Cálculos'!$E$125*(1+2.78*('Cálculos'!$E$196+(($C128)-$A$120:$A$165)*'Cálculos'!$E$98)/(('Cálculos'!$E$196+(($C128)-$A$120:$A$165)*'Cálculos'!$E$98)+1400)+'Cálculos'!$E$123)*'Cálculos'!$E$220)+('Cálculos'!$E$201*(1+'Cálculos'!$E$202+$A$120:$A$165*('Cálculos'!$E$290=2)*'Cálculos'!$E$101)+'Cálculos'!$E$203)*('Cálculos'!$E$211+'Cálculos'!$E$124*(1+2.78*('Cálculos'!$E$196+(($C128)-$A$120:$A$165)*'Cálculos'!$E$98)/(('Cálculos'!$E$196+(($C128)-$A$120:$A$165)*'Cálculos'!$E$98)+1400)+'Cálculos'!$E$122)*'Cálculos'!$E$216+'Cálculos'!$E$125*(1+2.78*('Cálculos'!$E$196+(($C128)-$A$120:$A$165)*'Cálculos'!$E$98)/(('Cálculos'!$E$196+(($C128)-$A$120:$A$165)*'Cálculos'!$E$98)+1400)+'Cálculos'!$E$123)*'Cálculos'!$E$221)+('Cálculos'!$E$204*(1+'Cálculos'!$E$205+$A$120:$A$165*('Cálculos'!$E$290=3)*'Cálculos'!$E$103)+'Cálculos'!$E$206)*('Cálculos'!$E$212+'Cálculos'!$E$124*(1+2.78*('Cálculos'!$E$196+(($C128)-$A$120:$A$165)*'Cálculos'!$E$98)/(('Cálculos'!$E$196+(($C128)-$A$120:$A$165)*'Cálculos'!$E$98)+1400)+'Cálculos'!$E$122)*'Cálculos'!$E$217+'Cálculos'!$E$125*(1+2.78*('Cálculos'!$E$196+(($C128)-$A$120:$A$165)*'Cálculos'!$E$98)/(('Cálculos'!$E$196+(($C128)-$A$120:$A$165)*'Cálculos'!$E$98)+1400)+'Cálculos'!$E$123)*'Cálculos'!$E$222)+('Cálculos'!$E$213+'Cálculos'!$E$124*(1+2.78*('Cálculos'!$E$196+(($C128)-$A$120:$A$165)*'Cálculos'!$E$98)/(('Cálculos'!$E$196+(($C128)-$A$120:$A$165)*'Cálculos'!$E$98)+1400)+'Cálculos'!$E$122)*'Cálculos'!$E$218+'Cálculos'!$E$125*(1+2.78*('Cálculos'!$E$196+(($C128)-$A$120:$A$165)*'Cálculos'!$E$98)/(('Cálculos'!$E$196+(($C128)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128)-$A$120:$A$165)*'Cálculos'!$E$98)/(('Cálculos'!$E$197+(($C128)-$A$120:$A$165)*'Cálculos'!$E$98)+1400)+'Cálculos'!$E$122)*'Cálculos'!$E$229+'Cálculos'!$E$125*(1+2.78*('Cálculos'!$E$197+(($C128)-$A$120:$A$165)*'Cálculos'!$E$98)/(('Cálculos'!$E$197+(($C128)-$A$120:$A$165)*'Cálculos'!$E$98)+1400)+'Cálculos'!$E$123)*'Cálculos'!$E$234)+('Cálculos'!$E$197+(($C128)-$A$120:$A$165)*'Cálculos'!$E$98)*('Cálculos'!$E$225+'Cálculos'!$E$124*(1+2.78*('Cálculos'!$E$197+(($C128)-$A$120:$A$165)*'Cálculos'!$E$98)/(('Cálculos'!$E$197+(($C128)-$A$120:$A$165)*'Cálculos'!$E$98)+1400)+'Cálculos'!$E$122)*'Cálculos'!$E$230+'Cálculos'!$E$125*(1+2.78*('Cálculos'!$E$197+(($C128)-$A$120:$A$165)*'Cálculos'!$E$98)/(('Cálculos'!$E$197+(($C128)-$A$120:$A$165)*'Cálculos'!$E$98)+1400)+'Cálculos'!$E$123)*'Cálculos'!$E$235)+('Cálculos'!$E$201*(1+'Cálculos'!$E$202+$A$120:$A$165*('Cálculos'!$E$290=2)*'Cálculos'!$E$101)+'Cálculos'!$E$203)*('Cálculos'!$E$226+'Cálculos'!$E$124*(1+2.78*('Cálculos'!$E$197+(($C128)-$A$120:$A$165)*'Cálculos'!$E$98)/(('Cálculos'!$E$197+(($C128)-$A$120:$A$165)*'Cálculos'!$E$98)+1400)+'Cálculos'!$E$122)*'Cálculos'!$E$231+'Cálculos'!$E$125*(1+2.78*('Cálculos'!$E$197+(($C128)-$A$120:$A$165)*'Cálculos'!$E$98)/(('Cálculos'!$E$197+(($C128)-$A$120:$A$165)*'Cálculos'!$E$98)+1400)+'Cálculos'!$E$123)*'Cálculos'!$E$236)+('Cálculos'!$E$204*(1+'Cálculos'!$E$205+$A$120:$A$165*('Cálculos'!$E$290=3)*'Cálculos'!$E$103)+'Cálculos'!$E$206)*('Cálculos'!$E$227+'Cálculos'!$E$124*(1+2.78*('Cálculos'!$E$197+(($C128)-$A$120:$A$165)*'Cálculos'!$E$98)/(('Cálculos'!$E$197+(($C128)-$A$120:$A$165)*'Cálculos'!$E$98)+1400)+'Cálculos'!$E$122)*'Cálculos'!$E$232+'Cálculos'!$E$125*(1+2.78*('Cálculos'!$E$197+(($C128)-$A$120:$A$165)*'Cálculos'!$E$98)/(('Cálculos'!$E$197+(($C128)-$A$120:$A$165)*'Cálculos'!$E$98)+1400)+'Cálculos'!$E$123)*'Cálculos'!$E$237)+('Cálculos'!$E$228+'Cálculos'!$E$124*(1+2.78*('Cálculos'!$E$197+(($C128)-$A$120:$A$165)*'Cálculos'!$E$98)/(('Cálculos'!$E$197+(($C128)-$A$120:$A$165)*'Cálculos'!$E$98)+1400)+'Cálculos'!$E$122)*'Cálculos'!$E$233+'Cálculos'!$E$125*(1+2.78*('Cálculos'!$E$197+(($C128)-$A$120:$A$165)*'Cálculos'!$E$98)/(('Cálculos'!$E$197+(($C128)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128)-$A$120:$A$165)*'Cálculos'!$E$98)/(('Cálculos'!$E$198+(($C128)-$A$120:$A$165)*'Cálculos'!$E$98)+1400)+'Cálculos'!$E$122)*'Cálculos'!$E$244+'Cálculos'!$E$125*(1+2.78*('Cálculos'!$E$198+(($C128)-$A$120:$A$165)*'Cálculos'!$E$98)/(('Cálculos'!$E$198+(($C128)-$A$120:$A$165)*'Cálculos'!$E$98)+1400)+'Cálculos'!$E$123)*'Cálculos'!$E$249)+('Cálculos'!$E$198+(($C128)-$A$120:$A$165)*'Cálculos'!$E$98)*('Cálculos'!$E$240+'Cálculos'!$E$124*(1+2.78*('Cálculos'!$E$198+(($C128)-$A$120:$A$165)*'Cálculos'!$E$98)/(('Cálculos'!$E$198+(($C128)-$A$120:$A$165)*'Cálculos'!$E$98)+1400)+'Cálculos'!$E$122)*'Cálculos'!$E$245+'Cálculos'!$E$125*(1+2.78*('Cálculos'!$E$198+(($C128)-$A$120:$A$165)*'Cálculos'!$E$98)/(('Cálculos'!$E$198+(($C128)-$A$120:$A$165)*'Cálculos'!$E$98)+1400)+'Cálculos'!$E$123)*'Cálculos'!$E$250)+('Cálculos'!$E$201*(1+'Cálculos'!$E$202+$A$120:$A$165*('Cálculos'!$E$290=2)*'Cálculos'!$E$101)+'Cálculos'!$E$203)*('Cálculos'!$E$241+'Cálculos'!$E$124*(1+2.78*('Cálculos'!$E$198+(($C128)-$A$120:$A$165)*'Cálculos'!$E$98)/(('Cálculos'!$E$198+(($C128)-$A$120:$A$165)*'Cálculos'!$E$98)+1400)+'Cálculos'!$E$122)*'Cálculos'!$E$246+'Cálculos'!$E$125*(1+2.78*('Cálculos'!$E$198+(($C128)-$A$120:$A$165)*'Cálculos'!$E$98)/(('Cálculos'!$E$198+(($C128)-$A$120:$A$165)*'Cálculos'!$E$98)+1400)+'Cálculos'!$E$123)*'Cálculos'!$E$251)+('Cálculos'!$E$204*(1+'Cálculos'!$E$205+$A$120:$A$165*('Cálculos'!$E$290=3)*'Cálculos'!$E$103)+'Cálculos'!$E$206)*('Cálculos'!$E$242+'Cálculos'!$E$124*(1+2.78*('Cálculos'!$E$198+(($C128)-$A$120:$A$165)*'Cálculos'!$E$98)/(('Cálculos'!$E$198+(($C128)-$A$120:$A$165)*'Cálculos'!$E$98)+1400)+'Cálculos'!$E$122)*'Cálculos'!$E$247+'Cálculos'!$E$125*(1+2.78*('Cálculos'!$E$198+(($C128)-$A$120:$A$165)*'Cálculos'!$E$98)/(('Cálculos'!$E$198+(($C128)-$A$120:$A$165)*'Cálculos'!$E$98)+1400)+'Cálculos'!$E$123)*'Cálculos'!$E$252)+('Cálculos'!$E$243+'Cálculos'!$E$124*(1+2.78*('Cálculos'!$E$198+(($C128)-$A$120:$A$165)*'Cálculos'!$E$98)/(('Cálculos'!$E$198+(($C128)-$A$120:$A$165)*'Cálculos'!$E$98)+1400)+'Cálculos'!$E$122)*'Cálculos'!$E$248+'Cálculos'!$E$125*(1+2.78*('Cálculos'!$E$198+(($C128)-$A$120:$A$165)*'Cálculos'!$E$98)/(('Cálculos'!$E$198+(($C128)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128)-$A$120:$A$165)*'Cálculos'!$E$98)/(('Cálculos'!$E$199+(($C128)-$A$120:$A$165)*'Cálculos'!$E$98)+1400)+'Cálculos'!$E$122)*'Cálculos'!$E$259+'Cálculos'!$E$125*(1+2.78*('Cálculos'!$E$199+(($C128)-$A$120:$A$165)*'Cálculos'!$E$98)/(('Cálculos'!$E$199+(($C128)-$A$120:$A$165)*'Cálculos'!$E$98)+1400)+'Cálculos'!$E$123)*'Cálculos'!$E$264)+('Cálculos'!$E$199+(($C128)-$A$120:$A$165)*'Cálculos'!$E$98)*('Cálculos'!$E$255+'Cálculos'!$E$124*(1+2.78*('Cálculos'!$E$199+(($C128)-$A$120:$A$165)*'Cálculos'!$E$98)/(('Cálculos'!$E$199+(($C128)-$A$120:$A$165)*'Cálculos'!$E$98)+1400)+'Cálculos'!$E$122)*'Cálculos'!$E$260+'Cálculos'!$E$125*(1+2.78*('Cálculos'!$E$199+(($C128)-$A$120:$A$165)*'Cálculos'!$E$98)/(('Cálculos'!$E$199+(($C128)-$A$120:$A$165)*'Cálculos'!$E$98)+1400)+'Cálculos'!$E$123)*'Cálculos'!$E$265)+('Cálculos'!$E$201*(1+'Cálculos'!$E$202+$A$120:$A$165*('Cálculos'!$E$290=2)*'Cálculos'!$E$101)+'Cálculos'!$E$203)*('Cálculos'!$E$256+'Cálculos'!$E$124*(1+2.78*('Cálculos'!$E$199+(($C128)-$A$120:$A$165)*'Cálculos'!$E$98)/(('Cálculos'!$E$199+(($C128)-$A$120:$A$165)*'Cálculos'!$E$98)+1400)+'Cálculos'!$E$122)*'Cálculos'!$E$261+'Cálculos'!$E$125*(1+2.78*('Cálculos'!$E$199+(($C128)-$A$120:$A$165)*'Cálculos'!$E$98)/(('Cálculos'!$E$199+(($C128)-$A$120:$A$165)*'Cálculos'!$E$98)+1400)+'Cálculos'!$E$123)*'Cálculos'!$E$266)+('Cálculos'!$E$204*(1+'Cálculos'!$E$205+$A$120:$A$165*('Cálculos'!$E$290=3)*'Cálculos'!$E$103)+'Cálculos'!$E$206)*('Cálculos'!$E$257+'Cálculos'!$E$124*(1+2.78*('Cálculos'!$E$199+(($C128)-$A$120:$A$165)*'Cálculos'!$E$98)/(('Cálculos'!$E$199+(($C128)-$A$120:$A$165)*'Cálculos'!$E$98)+1400)+'Cálculos'!$E$122)*'Cálculos'!$E$262+'Cálculos'!$E$125*(1+2.78*('Cálculos'!$E$199+(($C128)-$A$120:$A$165)*'Cálculos'!$E$98)/(('Cálculos'!$E$199+(($C128)-$A$120:$A$165)*'Cálculos'!$E$98)+1400)+'Cálculos'!$E$123)*'Cálculos'!$E$267)+('Cálculos'!$E$258+'Cálculos'!$E$124*(1+2.78*('Cálculos'!$E$199+(($C128)-$A$120:$A$165)*'Cálculos'!$E$98)/(('Cálculos'!$E$199+(($C128)-$A$120:$A$165)*'Cálculos'!$E$98)+1400)+'Cálculos'!$E$122)*'Cálculos'!$E$263+'Cálculos'!$E$125*(1+2.78*('Cálculos'!$E$199+(($C128)-$A$120:$A$165)*'Cálculos'!$E$98)/(('Cálculos'!$E$199+(($C128)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128)-$A$120:$A$165)*'Cálculos'!$E$98)/(('Cálculos'!$E$200+(($C128)-$A$120:$A$165)*'Cálculos'!$E$98)+1400)+'Cálculos'!$E$122)*'Cálculos'!$E$274+'Cálculos'!$E$125*(1+2.78*('Cálculos'!$E$200+(($C128)-$A$120:$A$165)*'Cálculos'!$E$98)/(('Cálculos'!$E$200+(($C128)-$A$120:$A$165)*'Cálculos'!$E$98)+1400)+'Cálculos'!$E$123)*'Cálculos'!$E$279)+('Cálculos'!$E$200+(($C128)-$A$120:$A$165)*'Cálculos'!$E$98)*('Cálculos'!$E$270+'Cálculos'!$E$124*(1+2.78*('Cálculos'!$E$200+(($C128)-$A$120:$A$165)*'Cálculos'!$E$98)/(('Cálculos'!$E$200+(($C128)-$A$120:$A$165)*'Cálculos'!$E$98)+1400)+'Cálculos'!$E$122)*'Cálculos'!$E$275+'Cálculos'!$E$125*(1+2.78*('Cálculos'!$E$200+(($C128)-$A$120:$A$165)*'Cálculos'!$E$98)/(('Cálculos'!$E$200+(($C128)-$A$120:$A$165)*'Cálculos'!$E$98)+1400)+'Cálculos'!$E$123)*'Cálculos'!$E$280)+('Cálculos'!$E$201*(1+'Cálculos'!$E$202+$A$120:$A$165*('Cálculos'!$E$290=2)*'Cálculos'!$E$101)+'Cálculos'!$E$203)*('Cálculos'!$E$271+'Cálculos'!$E$124*(1+2.78*('Cálculos'!$E$200+(($C128)-$A$120:$A$165)*'Cálculos'!$E$98)/(('Cálculos'!$E$200+(($C128)-$A$120:$A$165)*'Cálculos'!$E$98)+1400)+'Cálculos'!$E$122)*'Cálculos'!$E$276+'Cálculos'!$E$125*(1+2.78*('Cálculos'!$E$200+(($C128)-$A$120:$A$165)*'Cálculos'!$E$98)/(('Cálculos'!$E$200+(($C128)-$A$120:$A$165)*'Cálculos'!$E$98)+1400)+'Cálculos'!$E$123)*'Cálculos'!$E$281)+('Cálculos'!$E$204*(1+'Cálculos'!$E$205+$A$120:$A$165*('Cálculos'!$E$290=3)*'Cálculos'!$E$103)+'Cálculos'!$E$206)*('Cálculos'!$E$272+'Cálculos'!$E$124*(1+2.78*('Cálculos'!$E$200+(($C128)-$A$120:$A$165)*'Cálculos'!$E$98)/(('Cálculos'!$E$200+(($C128)-$A$120:$A$165)*'Cálculos'!$E$98)+1400)+'Cálculos'!$E$122)*'Cálculos'!$E$277+'Cálculos'!$E$125*(1+2.78*('Cálculos'!$E$200+(($C128)-$A$120:$A$165)*'Cálculos'!$E$98)/(('Cálculos'!$E$200+(($C128)-$A$120:$A$165)*'Cálculos'!$E$98)+1400)+'Cálculos'!$E$123)*'Cálculos'!$E$282)+('Cálculos'!$E$273+'Cálculos'!$E$124*(1+2.78*('Cálculos'!$E$200+(($C128)-$A$120:$A$165)*'Cálculos'!$E$98)/(('Cálculos'!$E$200+(($C128)-$A$120:$A$165)*'Cálculos'!$E$98)+1400)+'Cálculos'!$E$122)*'Cálculos'!$E$278+'Cálculos'!$E$125*(1+2.78*('Cálculos'!$E$200+(($C128)-$A$120:$A$165)*'Cálculos'!$E$98)/(('Cálculos'!$E$200+(($C128)-$A$120:$A$165)*'Cálculos'!$E$98)+1400)+'Cálculos'!$E$123)*'Cálculos'!$E$283)))))</f>
        <v>20009.84967</v>
      </c>
      <c r="E128" s="32">
        <f>IF(OR($C128&lt;0,'Cálculos'!$E$6=""),0,$B128*$D128)</f>
        <v>30150.92152</v>
      </c>
      <c r="F128" s="2"/>
      <c r="G128" s="30">
        <f>($A128&lt;=$B$167)*($A128&lt;='Cálculos'!$E$294)*(($B$167)-$A128&lt;='Cálculos'!$E$295)*(1+MIN(('Cálculos'!$E$207+$A128*'Cálculos'!$E$95),1)*('Cálculos'!$E$208+(($B$167)-$A128)*'Cálculos'!$E$96))</f>
        <v>1.664742</v>
      </c>
      <c r="H128" s="31">
        <f>IF($B$168&lt;0,0,($A128&lt;=$B$168)*($A128&lt;='Cálculos'!$E$301)*(($B$168)-$A128&lt;='Cálculos'!$E$297)*(('Cálculos'!$E$185*(1+'Cálculos'!$E$186+$A128*('Cálculos'!$E$290=1)*'Cálculos'!$E$97+'Cálculos'!$E$305)+'Cálculos'!$E$191)*('Cálculos'!$E$209+'Cálculos'!$E$124*(1+2.78*('Cálculos'!$E$196+(($B$168)-$A128)*'Cálculos'!$E$98)/(('Cálculos'!$E$196+(($B$168)-$A128)*'Cálculos'!$E$98)+1400)+'Cálculos'!$E$122)*'Cálculos'!$E$214+'Cálculos'!$E$125*(1+2.78*('Cálculos'!$E$196+(($B$168)-$A128)*'Cálculos'!$E$98)/(('Cálculos'!$E$196+(($B$168)-$A128)*'Cálculos'!$E$98)+1400)+'Cálculos'!$E$123)*'Cálculos'!$E$219)+('Cálculos'!$E$196+(($B$168)-$A128)*'Cálculos'!$E$98)*('Cálculos'!$E$210+'Cálculos'!$E$124*(1+2.78*('Cálculos'!$E$196+(($B$168)-$A128)*'Cálculos'!$E$98)/(('Cálculos'!$E$196+(($B$168)-$A128)*'Cálculos'!$E$98)+1400)+'Cálculos'!$E$122)*'Cálculos'!$E$215+'Cálculos'!$E$125*(1+2.78*('Cálculos'!$E$196+(($B$168)-$A128)*'Cálculos'!$E$98)/(('Cálculos'!$E$196+(($B$168)-$A128)*'Cálculos'!$E$98)+1400)+'Cálculos'!$E$123)*'Cálculos'!$E$220)+('Cálculos'!$E$201*(1+'Cálculos'!$E$202+$A128*('Cálculos'!$E$290=2)*'Cálculos'!$E$101)+'Cálculos'!$E$203)*('Cálculos'!$E$211+'Cálculos'!$E$124*(1+2.78*('Cálculos'!$E$196+(($B$168)-$A128)*'Cálculos'!$E$98)/(('Cálculos'!$E$196+(($B$168)-$A128)*'Cálculos'!$E$98)+1400)+'Cálculos'!$E$122)*'Cálculos'!$E$216+'Cálculos'!$E$125*(1+2.78*('Cálculos'!$E$196+(($B$168)-$A128)*'Cálculos'!$E$98)/(('Cálculos'!$E$196+(($B$168)-$A128)*'Cálculos'!$E$98)+1400)+'Cálculos'!$E$123)*'Cálculos'!$E$221)+('Cálculos'!$E$204*(1+'Cálculos'!$E$205+$A128*('Cálculos'!$E$290=3)*'Cálculos'!$E$103)+'Cálculos'!$E$206)*('Cálculos'!$E$212+'Cálculos'!$E$124*(1+2.78*('Cálculos'!$E$196+(($B$168)-$A128)*'Cálculos'!$E$98)/(('Cálculos'!$E$196+(($B$168)-$A128)*'Cálculos'!$E$98)+1400)+'Cálculos'!$E$122)*'Cálculos'!$E$217+'Cálculos'!$E$125*(1+2.78*('Cálculos'!$E$196+(($B$168)-$A128)*'Cálculos'!$E$98)/(('Cálculos'!$E$196+(($B$168)-$A128)*'Cálculos'!$E$98)+1400)+'Cálculos'!$E$123)*'Cálculos'!$E$222)+('Cálculos'!$E$213+'Cálculos'!$E$124*(1+2.78*('Cálculos'!$E$196+(($B$168)-$A128)*'Cálculos'!$E$98)/(('Cálculos'!$E$196+(($B$168)-$A128)*'Cálculos'!$E$98)+1400)+'Cálculos'!$E$122)*'Cálculos'!$E$218+'Cálculos'!$E$125*(1+2.78*('Cálculos'!$E$196+(($B$168)-$A128)*'Cálculos'!$E$98)/(('Cálculos'!$E$196+(($B$168)-$A128)*'Cálculos'!$E$98)+1400)+'Cálculos'!$E$123)*'Cálculos'!$E$223)+('Cálculos'!$E$185*(1+'Cálculos'!$E$187+$A128*('Cálculos'!$E$290=1)*'Cálculos'!$E$97+'Cálculos'!$E$305)+'Cálculos'!$E$192)*('Cálculos'!$E$224+'Cálculos'!$E$124*(1+2.78*('Cálculos'!$E$197+(($B$168)-$A128)*'Cálculos'!$E$98)/(('Cálculos'!$E$197+(($B$168)-$A128)*'Cálculos'!$E$98)+1400)+'Cálculos'!$E$122)*'Cálculos'!$E$229+'Cálculos'!$E$125*(1+2.78*('Cálculos'!$E$197+(($B$168)-$A128)*'Cálculos'!$E$98)/(('Cálculos'!$E$197+(($B$168)-$A128)*'Cálculos'!$E$98)+1400)+'Cálculos'!$E$123)*'Cálculos'!$E$234)+('Cálculos'!$E$197+(($B$168)-$A128)*'Cálculos'!$E$98)*('Cálculos'!$E$225+'Cálculos'!$E$124*(1+2.78*('Cálculos'!$E$197+(($B$168)-$A128)*'Cálculos'!$E$98)/(('Cálculos'!$E$197+(($B$168)-$A128)*'Cálculos'!$E$98)+1400)+'Cálculos'!$E$122)*'Cálculos'!$E$230+'Cálculos'!$E$125*(1+2.78*('Cálculos'!$E$197+(($B$168)-$A128)*'Cálculos'!$E$98)/(('Cálculos'!$E$197+(($B$168)-$A128)*'Cálculos'!$E$98)+1400)+'Cálculos'!$E$123)*'Cálculos'!$E$235)+('Cálculos'!$E$201*(1+'Cálculos'!$E$202+$A128*('Cálculos'!$E$290=2)*'Cálculos'!$E$101)+'Cálculos'!$E$203)*('Cálculos'!$E$226+'Cálculos'!$E$124*(1+2.78*('Cálculos'!$E$197+(($B$168)-$A128)*'Cálculos'!$E$98)/(('Cálculos'!$E$197+(($B$168)-$A128)*'Cálculos'!$E$98)+1400)+'Cálculos'!$E$122)*'Cálculos'!$E$231+'Cálculos'!$E$125*(1+2.78*('Cálculos'!$E$197+(($B$168)-$A128)*'Cálculos'!$E$98)/(('Cálculos'!$E$197+(($B$168)-$A128)*'Cálculos'!$E$98)+1400)+'Cálculos'!$E$123)*'Cálculos'!$E$236)+('Cálculos'!$E$204*(1+'Cálculos'!$E$205+$A128*('Cálculos'!$E$290=3)*'Cálculos'!$E$103)+'Cálculos'!$E$206)*('Cálculos'!$E$227+'Cálculos'!$E$124*(1+2.78*('Cálculos'!$E$197+(($B$168)-$A128)*'Cálculos'!$E$98)/(('Cálculos'!$E$197+(($B$168)-$A128)*'Cálculos'!$E$98)+1400)+'Cálculos'!$E$122)*'Cálculos'!$E$232+'Cálculos'!$E$125*(1+2.78*('Cálculos'!$E$197+(($B$168)-$A128)*'Cálculos'!$E$98)/(('Cálculos'!$E$197+(($B$168)-$A128)*'Cálculos'!$E$98)+1400)+'Cálculos'!$E$123)*'Cálculos'!$E$237)+('Cálculos'!$E$228+'Cálculos'!$E$124*(1+2.78*('Cálculos'!$E$197+(($B$168)-$A128)*'Cálculos'!$E$98)/(('Cálculos'!$E$197+(($B$168)-$A128)*'Cálculos'!$E$98)+1400)+'Cálculos'!$E$122)*'Cálculos'!$E$233+'Cálculos'!$E$125*(1+2.78*('Cálculos'!$E$197+(($B$168)-$A128)*'Cálculos'!$E$98)/(('Cálculos'!$E$197+(($B$168)-$A128)*'Cálculos'!$E$98)+1400)+'Cálculos'!$E$123)*'Cálculos'!$E$238)+('Cálculos'!$E$185*(1+'Cálculos'!$E$188+$A128*('Cálculos'!$E$290=1)*'Cálculos'!$E$97+'Cálculos'!$E$305)+'Cálculos'!$E$193)*('Cálculos'!$E$239+'Cálculos'!$E$124*(1+2.78*('Cálculos'!$E$198+(($B$168)-$A128)*'Cálculos'!$E$98)/(('Cálculos'!$E$198+(($B$168)-$A128)*'Cálculos'!$E$98)+1400)+'Cálculos'!$E$122)*'Cálculos'!$E$244+'Cálculos'!$E$125*(1+2.78*('Cálculos'!$E$198+(($B$168)-$A128)*'Cálculos'!$E$98)/(('Cálculos'!$E$198+(($B$168)-$A128)*'Cálculos'!$E$98)+1400)+'Cálculos'!$E$123)*'Cálculos'!$E$249)+('Cálculos'!$E$198+(($B$168)-$A128)*'Cálculos'!$E$98)*('Cálculos'!$E$240+'Cálculos'!$E$124*(1+2.78*('Cálculos'!$E$198+(($B$168)-$A128)*'Cálculos'!$E$98)/(('Cálculos'!$E$198+(($B$168)-$A128)*'Cálculos'!$E$98)+1400)+'Cálculos'!$E$122)*'Cálculos'!$E$245+'Cálculos'!$E$125*(1+2.78*('Cálculos'!$E$198+(($B$168)-$A128)*'Cálculos'!$E$98)/(('Cálculos'!$E$198+(($B$168)-$A128)*'Cálculos'!$E$98)+1400)+'Cálculos'!$E$123)*'Cálculos'!$E$250)+('Cálculos'!$E$201*(1+'Cálculos'!$E$202+$A128*('Cálculos'!$E$290=2)*'Cálculos'!$E$101)+'Cálculos'!$E$203)*('Cálculos'!$E$241+'Cálculos'!$E$124*(1+2.78*('Cálculos'!$E$198+(($B$168)-$A128)*'Cálculos'!$E$98)/(('Cálculos'!$E$198+(($B$168)-$A128)*'Cálculos'!$E$98)+1400)+'Cálculos'!$E$122)*'Cálculos'!$E$246+'Cálculos'!$E$125*(1+2.78*('Cálculos'!$E$198+(($B$168)-$A128)*'Cálculos'!$E$98)/(('Cálculos'!$E$198+(($B$168)-$A128)*'Cálculos'!$E$98)+1400)+'Cálculos'!$E$123)*'Cálculos'!$E$251)+('Cálculos'!$E$204*(1+'Cálculos'!$E$205+$A128*('Cálculos'!$E$290=3)*'Cálculos'!$E$103)+'Cálculos'!$E$206)*('Cálculos'!$E$242+'Cálculos'!$E$124*(1+2.78*('Cálculos'!$E$198+(($B$168)-$A128)*'Cálculos'!$E$98)/(('Cálculos'!$E$198+(($B$168)-$A128)*'Cálculos'!$E$98)+1400)+'Cálculos'!$E$122)*'Cálculos'!$E$247+'Cálculos'!$E$125*(1+2.78*('Cálculos'!$E$198+(($B$168)-$A128)*'Cálculos'!$E$98)/(('Cálculos'!$E$198+(($B$168)-$A128)*'Cálculos'!$E$98)+1400)+'Cálculos'!$E$123)*'Cálculos'!$E$252)+('Cálculos'!$E$243+'Cálculos'!$E$124*(1+2.78*('Cálculos'!$E$198+(($B$168)-$A128)*'Cálculos'!$E$98)/(('Cálculos'!$E$198+(($B$168)-$A128)*'Cálculos'!$E$98)+1400)+'Cálculos'!$E$122)*'Cálculos'!$E$248+'Cálculos'!$E$125*(1+2.78*('Cálculos'!$E$198+(($B$168)-$A128)*'Cálculos'!$E$98)/(('Cálculos'!$E$198+(($B$168)-$A128)*'Cálculos'!$E$98)+1400)+'Cálculos'!$E$123)*'Cálculos'!$E$253)+('Cálculos'!$E$185*(1+'Cálculos'!$E$189+$A128*('Cálculos'!$E$290=1)*'Cálculos'!$E$97+'Cálculos'!$E$305)+'Cálculos'!$E$194)*('Cálculos'!$E$254+'Cálculos'!$E$124*(1+2.78*('Cálculos'!$E$199+(($B$168)-$A128)*'Cálculos'!$E$98)/(('Cálculos'!$E$199+(($B$168)-$A128)*'Cálculos'!$E$98)+1400)+'Cálculos'!$E$122)*'Cálculos'!$E$259+'Cálculos'!$E$125*(1+2.78*('Cálculos'!$E$199+(($B$168)-$A128)*'Cálculos'!$E$98)/(('Cálculos'!$E$199+(($B$168)-$A128)*'Cálculos'!$E$98)+1400)+'Cálculos'!$E$123)*'Cálculos'!$E$264)+('Cálculos'!$E$199+(($B$168)-$A128)*'Cálculos'!$E$98)*('Cálculos'!$E$255+'Cálculos'!$E$124*(1+2.78*('Cálculos'!$E$199+(($B$168)-$A128)*'Cálculos'!$E$98)/(('Cálculos'!$E$199+(($B$168)-$A128)*'Cálculos'!$E$98)+1400)+'Cálculos'!$E$122)*'Cálculos'!$E$260+'Cálculos'!$E$125*(1+2.78*('Cálculos'!$E$199+(($B$168)-$A128)*'Cálculos'!$E$98)/(('Cálculos'!$E$199+(($B$168)-$A128)*'Cálculos'!$E$98)+1400)+'Cálculos'!$E$123)*'Cálculos'!$E$265)+('Cálculos'!$E$201*(1+'Cálculos'!$E$202+$A128*('Cálculos'!$E$290=2)*'Cálculos'!$E$101)+'Cálculos'!$E$203)*('Cálculos'!$E$256+'Cálculos'!$E$124*(1+2.78*('Cálculos'!$E$199+(($B$168)-$A128)*'Cálculos'!$E$98)/(('Cálculos'!$E$199+(($B$168)-$A128)*'Cálculos'!$E$98)+1400)+'Cálculos'!$E$122)*'Cálculos'!$E$261+'Cálculos'!$E$125*(1+2.78*('Cálculos'!$E$199+(($B$168)-$A128)*'Cálculos'!$E$98)/(('Cálculos'!$E$199+(($B$168)-$A128)*'Cálculos'!$E$98)+1400)+'Cálculos'!$E$123)*'Cálculos'!$E$266)+('Cálculos'!$E$204*(1+'Cálculos'!$E$205+$A128*('Cálculos'!$E$290=3)*'Cálculos'!$E$103)+'Cálculos'!$E$206)*('Cálculos'!$E$257+'Cálculos'!$E$124*(1+2.78*('Cálculos'!$E$199+(($B$168)-$A128)*'Cálculos'!$E$98)/(('Cálculos'!$E$199+(($B$168)-$A128)*'Cálculos'!$E$98)+1400)+'Cálculos'!$E$122)*'Cálculos'!$E$262+'Cálculos'!$E$125*(1+2.78*('Cálculos'!$E$199+(($B$168)-$A128)*'Cálculos'!$E$98)/(('Cálculos'!$E$199+(($B$168)-$A128)*'Cálculos'!$E$98)+1400)+'Cálculos'!$E$123)*'Cálculos'!$E$267)+('Cálculos'!$E$258+'Cálculos'!$E$124*(1+2.78*('Cálculos'!$E$199+(($B$168)-$A128)*'Cálculos'!$E$98)/(('Cálculos'!$E$199+(($B$168)-$A128)*'Cálculos'!$E$98)+1400)+'Cálculos'!$E$122)*'Cálculos'!$E$263+'Cálculos'!$E$125*(1+2.78*('Cálculos'!$E$199+(($B$168)-$A128)*'Cálculos'!$E$98)/(('Cálculos'!$E$199+(($B$168)-$A128)*'Cálculos'!$E$98)+1400)+'Cálculos'!$E$123)*'Cálculos'!$E$268)+('Cálculos'!$E$185*(1+'Cálculos'!$E$190+$A128*('Cálculos'!$E$290=1)*'Cálculos'!$E$97+'Cálculos'!$E$305)+'Cálculos'!$E$195)*('Cálculos'!$E$269+'Cálculos'!$E$124*(1+2.78*('Cálculos'!$E$200+(($B$168)-$A128)*'Cálculos'!$E$98)/(('Cálculos'!$E$200+(($B$168)-$A128)*'Cálculos'!$E$98)+1400)+'Cálculos'!$E$122)*'Cálculos'!$E$274+'Cálculos'!$E$125*(1+2.78*('Cálculos'!$E$200+(($B$168)-$A128)*'Cálculos'!$E$98)/(('Cálculos'!$E$200+(($B$168)-$A128)*'Cálculos'!$E$98)+1400)+'Cálculos'!$E$123)*'Cálculos'!$E$279)+('Cálculos'!$E$200+(($B$168)-$A128)*'Cálculos'!$E$98)*('Cálculos'!$E$270+'Cálculos'!$E$124*(1+2.78*('Cálculos'!$E$200+(($B$168)-$A128)*'Cálculos'!$E$98)/(('Cálculos'!$E$200+(($B$168)-$A128)*'Cálculos'!$E$98)+1400)+'Cálculos'!$E$122)*'Cálculos'!$E$275+'Cálculos'!$E$125*(1+2.78*('Cálculos'!$E$200+(($B$168)-$A128)*'Cálculos'!$E$98)/(('Cálculos'!$E$200+(($B$168)-$A128)*'Cálculos'!$E$98)+1400)+'Cálculos'!$E$123)*'Cálculos'!$E$280)+('Cálculos'!$E$201*(1+'Cálculos'!$E$202+$A128*('Cálculos'!$E$290=2)*'Cálculos'!$E$101)+'Cálculos'!$E$203)*('Cálculos'!$E$271+'Cálculos'!$E$124*(1+2.78*('Cálculos'!$E$200+(($B$168)-$A128)*'Cálculos'!$E$98)/(('Cálculos'!$E$200+(($B$168)-$A128)*'Cálculos'!$E$98)+1400)+'Cálculos'!$E$122)*'Cálculos'!$E$276+'Cálculos'!$E$125*(1+2.78*('Cálculos'!$E$200+(($B$168)-$A128)*'Cálculos'!$E$98)/(('Cálculos'!$E$200+(($B$168)-$A128)*'Cálculos'!$E$98)+1400)+'Cálculos'!$E$123)*'Cálculos'!$E$281)+('Cálculos'!$E$204*(1+'Cálculos'!$E$205+$A128*('Cálculos'!$E$290=3)*'Cálculos'!$E$103)+'Cálculos'!$E$206)*('Cálculos'!$E$272+'Cálculos'!$E$124*(1+2.78*('Cálculos'!$E$200+(($B$168)-$A128)*'Cálculos'!$E$98)/(('Cálculos'!$E$200+(($B$168)-$A128)*'Cálculos'!$E$98)+1400)+'Cálculos'!$E$122)*'Cálculos'!$E$277+'Cálculos'!$E$125*(1+2.78*('Cálculos'!$E$200+(($B$168)-$A128)*'Cálculos'!$E$98)/(('Cálculos'!$E$200+(($B$168)-$A128)*'Cálculos'!$E$98)+1400)+'Cálculos'!$E$123)*'Cálculos'!$E$282)+('Cálculos'!$E$273+'Cálculos'!$E$124*(1+2.78*('Cálculos'!$E$200+(($B$168)-$A128)*'Cálculos'!$E$98)/(('Cálculos'!$E$200+(($B$168)-$A128)*'Cálculos'!$E$98)+1400)+'Cálculos'!$E$122)*'Cálculos'!$E$278+'Cálculos'!$E$125*(1+2.78*('Cálculos'!$E$200+(($B$168)-$A128)*'Cálculos'!$E$98)/(('Cálculos'!$E$200+(($B$168)-$A128)*'Cálculos'!$E$98)+1400)+'Cálculos'!$E$123)*'Cálculos'!$E$283)))</f>
        <v>0</v>
      </c>
    </row>
    <row r="129" ht="15.75" customHeight="1">
      <c r="A129" s="2">
        <v>9.0</v>
      </c>
      <c r="B129" s="30">
        <f>SUMPRODUCT(MAX(($A$120:$A$165&lt;=$A129)*($A$120:$A$165&lt;='Cálculos'!$E$294)*(($A129)-$A$120:$A$165&lt;='Cálculos'!$E$295)*(1+(('Cálculos'!$E$207+$A$120:$A$165*'Cálculos'!$E$95)-(('Cálculos'!$E$207+$A$120:$A$165*'Cálculos'!$E$95)&gt;1)*(('Cálculos'!$E$207+$A$120:$A$165*'Cálculos'!$E$95)-1))*('Cálculos'!$E$208+(($A129)-$A$120:$A$165)*'Cálculos'!$E$96))))</f>
        <v>1.540728</v>
      </c>
      <c r="C129" s="2">
        <f>'Cálculos'!$E$303-$A129</f>
        <v>4</v>
      </c>
      <c r="D129" s="31">
        <f>IF($C129&lt;0,0,SUMPRODUCT(MAX(($A$120:$A$165&lt;=$C129)*($A$120:$A$165&lt;='Cálculos'!$E$301)*(($C129)-$A$120:$A$165&lt;='Cálculos'!$E$297)*(('Cálculos'!$E$185*(1+'Cálculos'!$E$186+$A$120:$A$165*('Cálculos'!$E$290=1)*'Cálculos'!$E$97+'Cálculos'!$E$305)+'Cálculos'!$E$191)*('Cálculos'!$E$209+'Cálculos'!$E$124*(1+2.78*('Cálculos'!$E$196+(($C129)-$A$120:$A$165)*'Cálculos'!$E$98)/(('Cálculos'!$E$196+(($C129)-$A$120:$A$165)*'Cálculos'!$E$98)+1400)+'Cálculos'!$E$122)*'Cálculos'!$E$214+'Cálculos'!$E$125*(1+2.78*('Cálculos'!$E$196+(($C129)-$A$120:$A$165)*'Cálculos'!$E$98)/(('Cálculos'!$E$196+(($C129)-$A$120:$A$165)*'Cálculos'!$E$98)+1400)+'Cálculos'!$E$123)*'Cálculos'!$E$219)+('Cálculos'!$E$196+(($C129)-$A$120:$A$165)*'Cálculos'!$E$98)*('Cálculos'!$E$210+'Cálculos'!$E$124*(1+2.78*('Cálculos'!$E$196+(($C129)-$A$120:$A$165)*'Cálculos'!$E$98)/(('Cálculos'!$E$196+(($C129)-$A$120:$A$165)*'Cálculos'!$E$98)+1400)+'Cálculos'!$E$122)*'Cálculos'!$E$215+'Cálculos'!$E$125*(1+2.78*('Cálculos'!$E$196+(($C129)-$A$120:$A$165)*'Cálculos'!$E$98)/(('Cálculos'!$E$196+(($C129)-$A$120:$A$165)*'Cálculos'!$E$98)+1400)+'Cálculos'!$E$123)*'Cálculos'!$E$220)+('Cálculos'!$E$201*(1+'Cálculos'!$E$202+$A$120:$A$165*('Cálculos'!$E$290=2)*'Cálculos'!$E$101)+'Cálculos'!$E$203)*('Cálculos'!$E$211+'Cálculos'!$E$124*(1+2.78*('Cálculos'!$E$196+(($C129)-$A$120:$A$165)*'Cálculos'!$E$98)/(('Cálculos'!$E$196+(($C129)-$A$120:$A$165)*'Cálculos'!$E$98)+1400)+'Cálculos'!$E$122)*'Cálculos'!$E$216+'Cálculos'!$E$125*(1+2.78*('Cálculos'!$E$196+(($C129)-$A$120:$A$165)*'Cálculos'!$E$98)/(('Cálculos'!$E$196+(($C129)-$A$120:$A$165)*'Cálculos'!$E$98)+1400)+'Cálculos'!$E$123)*'Cálculos'!$E$221)+('Cálculos'!$E$204*(1+'Cálculos'!$E$205+$A$120:$A$165*('Cálculos'!$E$290=3)*'Cálculos'!$E$103)+'Cálculos'!$E$206)*('Cálculos'!$E$212+'Cálculos'!$E$124*(1+2.78*('Cálculos'!$E$196+(($C129)-$A$120:$A$165)*'Cálculos'!$E$98)/(('Cálculos'!$E$196+(($C129)-$A$120:$A$165)*'Cálculos'!$E$98)+1400)+'Cálculos'!$E$122)*'Cálculos'!$E$217+'Cálculos'!$E$125*(1+2.78*('Cálculos'!$E$196+(($C129)-$A$120:$A$165)*'Cálculos'!$E$98)/(('Cálculos'!$E$196+(($C129)-$A$120:$A$165)*'Cálculos'!$E$98)+1400)+'Cálculos'!$E$123)*'Cálculos'!$E$222)+('Cálculos'!$E$213+'Cálculos'!$E$124*(1+2.78*('Cálculos'!$E$196+(($C129)-$A$120:$A$165)*'Cálculos'!$E$98)/(('Cálculos'!$E$196+(($C129)-$A$120:$A$165)*'Cálculos'!$E$98)+1400)+'Cálculos'!$E$122)*'Cálculos'!$E$218+'Cálculos'!$E$125*(1+2.78*('Cálculos'!$E$196+(($C129)-$A$120:$A$165)*'Cálculos'!$E$98)/(('Cálculos'!$E$196+(($C129)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129)-$A$120:$A$165)*'Cálculos'!$E$98)/(('Cálculos'!$E$197+(($C129)-$A$120:$A$165)*'Cálculos'!$E$98)+1400)+'Cálculos'!$E$122)*'Cálculos'!$E$229+'Cálculos'!$E$125*(1+2.78*('Cálculos'!$E$197+(($C129)-$A$120:$A$165)*'Cálculos'!$E$98)/(('Cálculos'!$E$197+(($C129)-$A$120:$A$165)*'Cálculos'!$E$98)+1400)+'Cálculos'!$E$123)*'Cálculos'!$E$234)+('Cálculos'!$E$197+(($C129)-$A$120:$A$165)*'Cálculos'!$E$98)*('Cálculos'!$E$225+'Cálculos'!$E$124*(1+2.78*('Cálculos'!$E$197+(($C129)-$A$120:$A$165)*'Cálculos'!$E$98)/(('Cálculos'!$E$197+(($C129)-$A$120:$A$165)*'Cálculos'!$E$98)+1400)+'Cálculos'!$E$122)*'Cálculos'!$E$230+'Cálculos'!$E$125*(1+2.78*('Cálculos'!$E$197+(($C129)-$A$120:$A$165)*'Cálculos'!$E$98)/(('Cálculos'!$E$197+(($C129)-$A$120:$A$165)*'Cálculos'!$E$98)+1400)+'Cálculos'!$E$123)*'Cálculos'!$E$235)+('Cálculos'!$E$201*(1+'Cálculos'!$E$202+$A$120:$A$165*('Cálculos'!$E$290=2)*'Cálculos'!$E$101)+'Cálculos'!$E$203)*('Cálculos'!$E$226+'Cálculos'!$E$124*(1+2.78*('Cálculos'!$E$197+(($C129)-$A$120:$A$165)*'Cálculos'!$E$98)/(('Cálculos'!$E$197+(($C129)-$A$120:$A$165)*'Cálculos'!$E$98)+1400)+'Cálculos'!$E$122)*'Cálculos'!$E$231+'Cálculos'!$E$125*(1+2.78*('Cálculos'!$E$197+(($C129)-$A$120:$A$165)*'Cálculos'!$E$98)/(('Cálculos'!$E$197+(($C129)-$A$120:$A$165)*'Cálculos'!$E$98)+1400)+'Cálculos'!$E$123)*'Cálculos'!$E$236)+('Cálculos'!$E$204*(1+'Cálculos'!$E$205+$A$120:$A$165*('Cálculos'!$E$290=3)*'Cálculos'!$E$103)+'Cálculos'!$E$206)*('Cálculos'!$E$227+'Cálculos'!$E$124*(1+2.78*('Cálculos'!$E$197+(($C129)-$A$120:$A$165)*'Cálculos'!$E$98)/(('Cálculos'!$E$197+(($C129)-$A$120:$A$165)*'Cálculos'!$E$98)+1400)+'Cálculos'!$E$122)*'Cálculos'!$E$232+'Cálculos'!$E$125*(1+2.78*('Cálculos'!$E$197+(($C129)-$A$120:$A$165)*'Cálculos'!$E$98)/(('Cálculos'!$E$197+(($C129)-$A$120:$A$165)*'Cálculos'!$E$98)+1400)+'Cálculos'!$E$123)*'Cálculos'!$E$237)+('Cálculos'!$E$228+'Cálculos'!$E$124*(1+2.78*('Cálculos'!$E$197+(($C129)-$A$120:$A$165)*'Cálculos'!$E$98)/(('Cálculos'!$E$197+(($C129)-$A$120:$A$165)*'Cálculos'!$E$98)+1400)+'Cálculos'!$E$122)*'Cálculos'!$E$233+'Cálculos'!$E$125*(1+2.78*('Cálculos'!$E$197+(($C129)-$A$120:$A$165)*'Cálculos'!$E$98)/(('Cálculos'!$E$197+(($C129)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129)-$A$120:$A$165)*'Cálculos'!$E$98)/(('Cálculos'!$E$198+(($C129)-$A$120:$A$165)*'Cálculos'!$E$98)+1400)+'Cálculos'!$E$122)*'Cálculos'!$E$244+'Cálculos'!$E$125*(1+2.78*('Cálculos'!$E$198+(($C129)-$A$120:$A$165)*'Cálculos'!$E$98)/(('Cálculos'!$E$198+(($C129)-$A$120:$A$165)*'Cálculos'!$E$98)+1400)+'Cálculos'!$E$123)*'Cálculos'!$E$249)+('Cálculos'!$E$198+(($C129)-$A$120:$A$165)*'Cálculos'!$E$98)*('Cálculos'!$E$240+'Cálculos'!$E$124*(1+2.78*('Cálculos'!$E$198+(($C129)-$A$120:$A$165)*'Cálculos'!$E$98)/(('Cálculos'!$E$198+(($C129)-$A$120:$A$165)*'Cálculos'!$E$98)+1400)+'Cálculos'!$E$122)*'Cálculos'!$E$245+'Cálculos'!$E$125*(1+2.78*('Cálculos'!$E$198+(($C129)-$A$120:$A$165)*'Cálculos'!$E$98)/(('Cálculos'!$E$198+(($C129)-$A$120:$A$165)*'Cálculos'!$E$98)+1400)+'Cálculos'!$E$123)*'Cálculos'!$E$250)+('Cálculos'!$E$201*(1+'Cálculos'!$E$202+$A$120:$A$165*('Cálculos'!$E$290=2)*'Cálculos'!$E$101)+'Cálculos'!$E$203)*('Cálculos'!$E$241+'Cálculos'!$E$124*(1+2.78*('Cálculos'!$E$198+(($C129)-$A$120:$A$165)*'Cálculos'!$E$98)/(('Cálculos'!$E$198+(($C129)-$A$120:$A$165)*'Cálculos'!$E$98)+1400)+'Cálculos'!$E$122)*'Cálculos'!$E$246+'Cálculos'!$E$125*(1+2.78*('Cálculos'!$E$198+(($C129)-$A$120:$A$165)*'Cálculos'!$E$98)/(('Cálculos'!$E$198+(($C129)-$A$120:$A$165)*'Cálculos'!$E$98)+1400)+'Cálculos'!$E$123)*'Cálculos'!$E$251)+('Cálculos'!$E$204*(1+'Cálculos'!$E$205+$A$120:$A$165*('Cálculos'!$E$290=3)*'Cálculos'!$E$103)+'Cálculos'!$E$206)*('Cálculos'!$E$242+'Cálculos'!$E$124*(1+2.78*('Cálculos'!$E$198+(($C129)-$A$120:$A$165)*'Cálculos'!$E$98)/(('Cálculos'!$E$198+(($C129)-$A$120:$A$165)*'Cálculos'!$E$98)+1400)+'Cálculos'!$E$122)*'Cálculos'!$E$247+'Cálculos'!$E$125*(1+2.78*('Cálculos'!$E$198+(($C129)-$A$120:$A$165)*'Cálculos'!$E$98)/(('Cálculos'!$E$198+(($C129)-$A$120:$A$165)*'Cálculos'!$E$98)+1400)+'Cálculos'!$E$123)*'Cálculos'!$E$252)+('Cálculos'!$E$243+'Cálculos'!$E$124*(1+2.78*('Cálculos'!$E$198+(($C129)-$A$120:$A$165)*'Cálculos'!$E$98)/(('Cálculos'!$E$198+(($C129)-$A$120:$A$165)*'Cálculos'!$E$98)+1400)+'Cálculos'!$E$122)*'Cálculos'!$E$248+'Cálculos'!$E$125*(1+2.78*('Cálculos'!$E$198+(($C129)-$A$120:$A$165)*'Cálculos'!$E$98)/(('Cálculos'!$E$198+(($C129)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129)-$A$120:$A$165)*'Cálculos'!$E$98)/(('Cálculos'!$E$199+(($C129)-$A$120:$A$165)*'Cálculos'!$E$98)+1400)+'Cálculos'!$E$122)*'Cálculos'!$E$259+'Cálculos'!$E$125*(1+2.78*('Cálculos'!$E$199+(($C129)-$A$120:$A$165)*'Cálculos'!$E$98)/(('Cálculos'!$E$199+(($C129)-$A$120:$A$165)*'Cálculos'!$E$98)+1400)+'Cálculos'!$E$123)*'Cálculos'!$E$264)+('Cálculos'!$E$199+(($C129)-$A$120:$A$165)*'Cálculos'!$E$98)*('Cálculos'!$E$255+'Cálculos'!$E$124*(1+2.78*('Cálculos'!$E$199+(($C129)-$A$120:$A$165)*'Cálculos'!$E$98)/(('Cálculos'!$E$199+(($C129)-$A$120:$A$165)*'Cálculos'!$E$98)+1400)+'Cálculos'!$E$122)*'Cálculos'!$E$260+'Cálculos'!$E$125*(1+2.78*('Cálculos'!$E$199+(($C129)-$A$120:$A$165)*'Cálculos'!$E$98)/(('Cálculos'!$E$199+(($C129)-$A$120:$A$165)*'Cálculos'!$E$98)+1400)+'Cálculos'!$E$123)*'Cálculos'!$E$265)+('Cálculos'!$E$201*(1+'Cálculos'!$E$202+$A$120:$A$165*('Cálculos'!$E$290=2)*'Cálculos'!$E$101)+'Cálculos'!$E$203)*('Cálculos'!$E$256+'Cálculos'!$E$124*(1+2.78*('Cálculos'!$E$199+(($C129)-$A$120:$A$165)*'Cálculos'!$E$98)/(('Cálculos'!$E$199+(($C129)-$A$120:$A$165)*'Cálculos'!$E$98)+1400)+'Cálculos'!$E$122)*'Cálculos'!$E$261+'Cálculos'!$E$125*(1+2.78*('Cálculos'!$E$199+(($C129)-$A$120:$A$165)*'Cálculos'!$E$98)/(('Cálculos'!$E$199+(($C129)-$A$120:$A$165)*'Cálculos'!$E$98)+1400)+'Cálculos'!$E$123)*'Cálculos'!$E$266)+('Cálculos'!$E$204*(1+'Cálculos'!$E$205+$A$120:$A$165*('Cálculos'!$E$290=3)*'Cálculos'!$E$103)+'Cálculos'!$E$206)*('Cálculos'!$E$257+'Cálculos'!$E$124*(1+2.78*('Cálculos'!$E$199+(($C129)-$A$120:$A$165)*'Cálculos'!$E$98)/(('Cálculos'!$E$199+(($C129)-$A$120:$A$165)*'Cálculos'!$E$98)+1400)+'Cálculos'!$E$122)*'Cálculos'!$E$262+'Cálculos'!$E$125*(1+2.78*('Cálculos'!$E$199+(($C129)-$A$120:$A$165)*'Cálculos'!$E$98)/(('Cálculos'!$E$199+(($C129)-$A$120:$A$165)*'Cálculos'!$E$98)+1400)+'Cálculos'!$E$123)*'Cálculos'!$E$267)+('Cálculos'!$E$258+'Cálculos'!$E$124*(1+2.78*('Cálculos'!$E$199+(($C129)-$A$120:$A$165)*'Cálculos'!$E$98)/(('Cálculos'!$E$199+(($C129)-$A$120:$A$165)*'Cálculos'!$E$98)+1400)+'Cálculos'!$E$122)*'Cálculos'!$E$263+'Cálculos'!$E$125*(1+2.78*('Cálculos'!$E$199+(($C129)-$A$120:$A$165)*'Cálculos'!$E$98)/(('Cálculos'!$E$199+(($C129)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129)-$A$120:$A$165)*'Cálculos'!$E$98)/(('Cálculos'!$E$200+(($C129)-$A$120:$A$165)*'Cálculos'!$E$98)+1400)+'Cálculos'!$E$122)*'Cálculos'!$E$274+'Cálculos'!$E$125*(1+2.78*('Cálculos'!$E$200+(($C129)-$A$120:$A$165)*'Cálculos'!$E$98)/(('Cálculos'!$E$200+(($C129)-$A$120:$A$165)*'Cálculos'!$E$98)+1400)+'Cálculos'!$E$123)*'Cálculos'!$E$279)+('Cálculos'!$E$200+(($C129)-$A$120:$A$165)*'Cálculos'!$E$98)*('Cálculos'!$E$270+'Cálculos'!$E$124*(1+2.78*('Cálculos'!$E$200+(($C129)-$A$120:$A$165)*'Cálculos'!$E$98)/(('Cálculos'!$E$200+(($C129)-$A$120:$A$165)*'Cálculos'!$E$98)+1400)+'Cálculos'!$E$122)*'Cálculos'!$E$275+'Cálculos'!$E$125*(1+2.78*('Cálculos'!$E$200+(($C129)-$A$120:$A$165)*'Cálculos'!$E$98)/(('Cálculos'!$E$200+(($C129)-$A$120:$A$165)*'Cálculos'!$E$98)+1400)+'Cálculos'!$E$123)*'Cálculos'!$E$280)+('Cálculos'!$E$201*(1+'Cálculos'!$E$202+$A$120:$A$165*('Cálculos'!$E$290=2)*'Cálculos'!$E$101)+'Cálculos'!$E$203)*('Cálculos'!$E$271+'Cálculos'!$E$124*(1+2.78*('Cálculos'!$E$200+(($C129)-$A$120:$A$165)*'Cálculos'!$E$98)/(('Cálculos'!$E$200+(($C129)-$A$120:$A$165)*'Cálculos'!$E$98)+1400)+'Cálculos'!$E$122)*'Cálculos'!$E$276+'Cálculos'!$E$125*(1+2.78*('Cálculos'!$E$200+(($C129)-$A$120:$A$165)*'Cálculos'!$E$98)/(('Cálculos'!$E$200+(($C129)-$A$120:$A$165)*'Cálculos'!$E$98)+1400)+'Cálculos'!$E$123)*'Cálculos'!$E$281)+('Cálculos'!$E$204*(1+'Cálculos'!$E$205+$A$120:$A$165*('Cálculos'!$E$290=3)*'Cálculos'!$E$103)+'Cálculos'!$E$206)*('Cálculos'!$E$272+'Cálculos'!$E$124*(1+2.78*('Cálculos'!$E$200+(($C129)-$A$120:$A$165)*'Cálculos'!$E$98)/(('Cálculos'!$E$200+(($C129)-$A$120:$A$165)*'Cálculos'!$E$98)+1400)+'Cálculos'!$E$122)*'Cálculos'!$E$277+'Cálculos'!$E$125*(1+2.78*('Cálculos'!$E$200+(($C129)-$A$120:$A$165)*'Cálculos'!$E$98)/(('Cálculos'!$E$200+(($C129)-$A$120:$A$165)*'Cálculos'!$E$98)+1400)+'Cálculos'!$E$123)*'Cálculos'!$E$282)+('Cálculos'!$E$273+'Cálculos'!$E$124*(1+2.78*('Cálculos'!$E$200+(($C129)-$A$120:$A$165)*'Cálculos'!$E$98)/(('Cálculos'!$E$200+(($C129)-$A$120:$A$165)*'Cálculos'!$E$98)+1400)+'Cálculos'!$E$122)*'Cálculos'!$E$278+'Cálculos'!$E$125*(1+2.78*('Cálculos'!$E$200+(($C129)-$A$120:$A$165)*'Cálculos'!$E$98)/(('Cálculos'!$E$200+(($C129)-$A$120:$A$165)*'Cálculos'!$E$98)+1400)+'Cálculos'!$E$123)*'Cálculos'!$E$283)))))</f>
        <v>19723.88673</v>
      </c>
      <c r="E129" s="32">
        <f>IF(OR($C129&lt;0,'Cálculos'!$E$6=""),0,$B129*$D129)</f>
        <v>30389.14456</v>
      </c>
      <c r="F129" s="2"/>
      <c r="G129" s="30">
        <f>($A129&lt;=$B$167)*($A129&lt;='Cálculos'!$E$294)*(($B$167)-$A129&lt;='Cálculos'!$E$295)*(1+MIN(('Cálculos'!$E$207+$A129*'Cálculos'!$E$95),1)*('Cálculos'!$E$208+(($B$167)-$A129)*'Cálculos'!$E$96))</f>
        <v>1.648704</v>
      </c>
      <c r="H129" s="31">
        <f>IF($B$168&lt;0,0,($A129&lt;=$B$168)*($A129&lt;='Cálculos'!$E$301)*(($B$168)-$A129&lt;='Cálculos'!$E$297)*(('Cálculos'!$E$185*(1+'Cálculos'!$E$186+$A129*('Cálculos'!$E$290=1)*'Cálculos'!$E$97+'Cálculos'!$E$305)+'Cálculos'!$E$191)*('Cálculos'!$E$209+'Cálculos'!$E$124*(1+2.78*('Cálculos'!$E$196+(($B$168)-$A129)*'Cálculos'!$E$98)/(('Cálculos'!$E$196+(($B$168)-$A129)*'Cálculos'!$E$98)+1400)+'Cálculos'!$E$122)*'Cálculos'!$E$214+'Cálculos'!$E$125*(1+2.78*('Cálculos'!$E$196+(($B$168)-$A129)*'Cálculos'!$E$98)/(('Cálculos'!$E$196+(($B$168)-$A129)*'Cálculos'!$E$98)+1400)+'Cálculos'!$E$123)*'Cálculos'!$E$219)+('Cálculos'!$E$196+(($B$168)-$A129)*'Cálculos'!$E$98)*('Cálculos'!$E$210+'Cálculos'!$E$124*(1+2.78*('Cálculos'!$E$196+(($B$168)-$A129)*'Cálculos'!$E$98)/(('Cálculos'!$E$196+(($B$168)-$A129)*'Cálculos'!$E$98)+1400)+'Cálculos'!$E$122)*'Cálculos'!$E$215+'Cálculos'!$E$125*(1+2.78*('Cálculos'!$E$196+(($B$168)-$A129)*'Cálculos'!$E$98)/(('Cálculos'!$E$196+(($B$168)-$A129)*'Cálculos'!$E$98)+1400)+'Cálculos'!$E$123)*'Cálculos'!$E$220)+('Cálculos'!$E$201*(1+'Cálculos'!$E$202+$A129*('Cálculos'!$E$290=2)*'Cálculos'!$E$101)+'Cálculos'!$E$203)*('Cálculos'!$E$211+'Cálculos'!$E$124*(1+2.78*('Cálculos'!$E$196+(($B$168)-$A129)*'Cálculos'!$E$98)/(('Cálculos'!$E$196+(($B$168)-$A129)*'Cálculos'!$E$98)+1400)+'Cálculos'!$E$122)*'Cálculos'!$E$216+'Cálculos'!$E$125*(1+2.78*('Cálculos'!$E$196+(($B$168)-$A129)*'Cálculos'!$E$98)/(('Cálculos'!$E$196+(($B$168)-$A129)*'Cálculos'!$E$98)+1400)+'Cálculos'!$E$123)*'Cálculos'!$E$221)+('Cálculos'!$E$204*(1+'Cálculos'!$E$205+$A129*('Cálculos'!$E$290=3)*'Cálculos'!$E$103)+'Cálculos'!$E$206)*('Cálculos'!$E$212+'Cálculos'!$E$124*(1+2.78*('Cálculos'!$E$196+(($B$168)-$A129)*'Cálculos'!$E$98)/(('Cálculos'!$E$196+(($B$168)-$A129)*'Cálculos'!$E$98)+1400)+'Cálculos'!$E$122)*'Cálculos'!$E$217+'Cálculos'!$E$125*(1+2.78*('Cálculos'!$E$196+(($B$168)-$A129)*'Cálculos'!$E$98)/(('Cálculos'!$E$196+(($B$168)-$A129)*'Cálculos'!$E$98)+1400)+'Cálculos'!$E$123)*'Cálculos'!$E$222)+('Cálculos'!$E$213+'Cálculos'!$E$124*(1+2.78*('Cálculos'!$E$196+(($B$168)-$A129)*'Cálculos'!$E$98)/(('Cálculos'!$E$196+(($B$168)-$A129)*'Cálculos'!$E$98)+1400)+'Cálculos'!$E$122)*'Cálculos'!$E$218+'Cálculos'!$E$125*(1+2.78*('Cálculos'!$E$196+(($B$168)-$A129)*'Cálculos'!$E$98)/(('Cálculos'!$E$196+(($B$168)-$A129)*'Cálculos'!$E$98)+1400)+'Cálculos'!$E$123)*'Cálculos'!$E$223)+('Cálculos'!$E$185*(1+'Cálculos'!$E$187+$A129*('Cálculos'!$E$290=1)*'Cálculos'!$E$97+'Cálculos'!$E$305)+'Cálculos'!$E$192)*('Cálculos'!$E$224+'Cálculos'!$E$124*(1+2.78*('Cálculos'!$E$197+(($B$168)-$A129)*'Cálculos'!$E$98)/(('Cálculos'!$E$197+(($B$168)-$A129)*'Cálculos'!$E$98)+1400)+'Cálculos'!$E$122)*'Cálculos'!$E$229+'Cálculos'!$E$125*(1+2.78*('Cálculos'!$E$197+(($B$168)-$A129)*'Cálculos'!$E$98)/(('Cálculos'!$E$197+(($B$168)-$A129)*'Cálculos'!$E$98)+1400)+'Cálculos'!$E$123)*'Cálculos'!$E$234)+('Cálculos'!$E$197+(($B$168)-$A129)*'Cálculos'!$E$98)*('Cálculos'!$E$225+'Cálculos'!$E$124*(1+2.78*('Cálculos'!$E$197+(($B$168)-$A129)*'Cálculos'!$E$98)/(('Cálculos'!$E$197+(($B$168)-$A129)*'Cálculos'!$E$98)+1400)+'Cálculos'!$E$122)*'Cálculos'!$E$230+'Cálculos'!$E$125*(1+2.78*('Cálculos'!$E$197+(($B$168)-$A129)*'Cálculos'!$E$98)/(('Cálculos'!$E$197+(($B$168)-$A129)*'Cálculos'!$E$98)+1400)+'Cálculos'!$E$123)*'Cálculos'!$E$235)+('Cálculos'!$E$201*(1+'Cálculos'!$E$202+$A129*('Cálculos'!$E$290=2)*'Cálculos'!$E$101)+'Cálculos'!$E$203)*('Cálculos'!$E$226+'Cálculos'!$E$124*(1+2.78*('Cálculos'!$E$197+(($B$168)-$A129)*'Cálculos'!$E$98)/(('Cálculos'!$E$197+(($B$168)-$A129)*'Cálculos'!$E$98)+1400)+'Cálculos'!$E$122)*'Cálculos'!$E$231+'Cálculos'!$E$125*(1+2.78*('Cálculos'!$E$197+(($B$168)-$A129)*'Cálculos'!$E$98)/(('Cálculos'!$E$197+(($B$168)-$A129)*'Cálculos'!$E$98)+1400)+'Cálculos'!$E$123)*'Cálculos'!$E$236)+('Cálculos'!$E$204*(1+'Cálculos'!$E$205+$A129*('Cálculos'!$E$290=3)*'Cálculos'!$E$103)+'Cálculos'!$E$206)*('Cálculos'!$E$227+'Cálculos'!$E$124*(1+2.78*('Cálculos'!$E$197+(($B$168)-$A129)*'Cálculos'!$E$98)/(('Cálculos'!$E$197+(($B$168)-$A129)*'Cálculos'!$E$98)+1400)+'Cálculos'!$E$122)*'Cálculos'!$E$232+'Cálculos'!$E$125*(1+2.78*('Cálculos'!$E$197+(($B$168)-$A129)*'Cálculos'!$E$98)/(('Cálculos'!$E$197+(($B$168)-$A129)*'Cálculos'!$E$98)+1400)+'Cálculos'!$E$123)*'Cálculos'!$E$237)+('Cálculos'!$E$228+'Cálculos'!$E$124*(1+2.78*('Cálculos'!$E$197+(($B$168)-$A129)*'Cálculos'!$E$98)/(('Cálculos'!$E$197+(($B$168)-$A129)*'Cálculos'!$E$98)+1400)+'Cálculos'!$E$122)*'Cálculos'!$E$233+'Cálculos'!$E$125*(1+2.78*('Cálculos'!$E$197+(($B$168)-$A129)*'Cálculos'!$E$98)/(('Cálculos'!$E$197+(($B$168)-$A129)*'Cálculos'!$E$98)+1400)+'Cálculos'!$E$123)*'Cálculos'!$E$238)+('Cálculos'!$E$185*(1+'Cálculos'!$E$188+$A129*('Cálculos'!$E$290=1)*'Cálculos'!$E$97+'Cálculos'!$E$305)+'Cálculos'!$E$193)*('Cálculos'!$E$239+'Cálculos'!$E$124*(1+2.78*('Cálculos'!$E$198+(($B$168)-$A129)*'Cálculos'!$E$98)/(('Cálculos'!$E$198+(($B$168)-$A129)*'Cálculos'!$E$98)+1400)+'Cálculos'!$E$122)*'Cálculos'!$E$244+'Cálculos'!$E$125*(1+2.78*('Cálculos'!$E$198+(($B$168)-$A129)*'Cálculos'!$E$98)/(('Cálculos'!$E$198+(($B$168)-$A129)*'Cálculos'!$E$98)+1400)+'Cálculos'!$E$123)*'Cálculos'!$E$249)+('Cálculos'!$E$198+(($B$168)-$A129)*'Cálculos'!$E$98)*('Cálculos'!$E$240+'Cálculos'!$E$124*(1+2.78*('Cálculos'!$E$198+(($B$168)-$A129)*'Cálculos'!$E$98)/(('Cálculos'!$E$198+(($B$168)-$A129)*'Cálculos'!$E$98)+1400)+'Cálculos'!$E$122)*'Cálculos'!$E$245+'Cálculos'!$E$125*(1+2.78*('Cálculos'!$E$198+(($B$168)-$A129)*'Cálculos'!$E$98)/(('Cálculos'!$E$198+(($B$168)-$A129)*'Cálculos'!$E$98)+1400)+'Cálculos'!$E$123)*'Cálculos'!$E$250)+('Cálculos'!$E$201*(1+'Cálculos'!$E$202+$A129*('Cálculos'!$E$290=2)*'Cálculos'!$E$101)+'Cálculos'!$E$203)*('Cálculos'!$E$241+'Cálculos'!$E$124*(1+2.78*('Cálculos'!$E$198+(($B$168)-$A129)*'Cálculos'!$E$98)/(('Cálculos'!$E$198+(($B$168)-$A129)*'Cálculos'!$E$98)+1400)+'Cálculos'!$E$122)*'Cálculos'!$E$246+'Cálculos'!$E$125*(1+2.78*('Cálculos'!$E$198+(($B$168)-$A129)*'Cálculos'!$E$98)/(('Cálculos'!$E$198+(($B$168)-$A129)*'Cálculos'!$E$98)+1400)+'Cálculos'!$E$123)*'Cálculos'!$E$251)+('Cálculos'!$E$204*(1+'Cálculos'!$E$205+$A129*('Cálculos'!$E$290=3)*'Cálculos'!$E$103)+'Cálculos'!$E$206)*('Cálculos'!$E$242+'Cálculos'!$E$124*(1+2.78*('Cálculos'!$E$198+(($B$168)-$A129)*'Cálculos'!$E$98)/(('Cálculos'!$E$198+(($B$168)-$A129)*'Cálculos'!$E$98)+1400)+'Cálculos'!$E$122)*'Cálculos'!$E$247+'Cálculos'!$E$125*(1+2.78*('Cálculos'!$E$198+(($B$168)-$A129)*'Cálculos'!$E$98)/(('Cálculos'!$E$198+(($B$168)-$A129)*'Cálculos'!$E$98)+1400)+'Cálculos'!$E$123)*'Cálculos'!$E$252)+('Cálculos'!$E$243+'Cálculos'!$E$124*(1+2.78*('Cálculos'!$E$198+(($B$168)-$A129)*'Cálculos'!$E$98)/(('Cálculos'!$E$198+(($B$168)-$A129)*'Cálculos'!$E$98)+1400)+'Cálculos'!$E$122)*'Cálculos'!$E$248+'Cálculos'!$E$125*(1+2.78*('Cálculos'!$E$198+(($B$168)-$A129)*'Cálculos'!$E$98)/(('Cálculos'!$E$198+(($B$168)-$A129)*'Cálculos'!$E$98)+1400)+'Cálculos'!$E$123)*'Cálculos'!$E$253)+('Cálculos'!$E$185*(1+'Cálculos'!$E$189+$A129*('Cálculos'!$E$290=1)*'Cálculos'!$E$97+'Cálculos'!$E$305)+'Cálculos'!$E$194)*('Cálculos'!$E$254+'Cálculos'!$E$124*(1+2.78*('Cálculos'!$E$199+(($B$168)-$A129)*'Cálculos'!$E$98)/(('Cálculos'!$E$199+(($B$168)-$A129)*'Cálculos'!$E$98)+1400)+'Cálculos'!$E$122)*'Cálculos'!$E$259+'Cálculos'!$E$125*(1+2.78*('Cálculos'!$E$199+(($B$168)-$A129)*'Cálculos'!$E$98)/(('Cálculos'!$E$199+(($B$168)-$A129)*'Cálculos'!$E$98)+1400)+'Cálculos'!$E$123)*'Cálculos'!$E$264)+('Cálculos'!$E$199+(($B$168)-$A129)*'Cálculos'!$E$98)*('Cálculos'!$E$255+'Cálculos'!$E$124*(1+2.78*('Cálculos'!$E$199+(($B$168)-$A129)*'Cálculos'!$E$98)/(('Cálculos'!$E$199+(($B$168)-$A129)*'Cálculos'!$E$98)+1400)+'Cálculos'!$E$122)*'Cálculos'!$E$260+'Cálculos'!$E$125*(1+2.78*('Cálculos'!$E$199+(($B$168)-$A129)*'Cálculos'!$E$98)/(('Cálculos'!$E$199+(($B$168)-$A129)*'Cálculos'!$E$98)+1400)+'Cálculos'!$E$123)*'Cálculos'!$E$265)+('Cálculos'!$E$201*(1+'Cálculos'!$E$202+$A129*('Cálculos'!$E$290=2)*'Cálculos'!$E$101)+'Cálculos'!$E$203)*('Cálculos'!$E$256+'Cálculos'!$E$124*(1+2.78*('Cálculos'!$E$199+(($B$168)-$A129)*'Cálculos'!$E$98)/(('Cálculos'!$E$199+(($B$168)-$A129)*'Cálculos'!$E$98)+1400)+'Cálculos'!$E$122)*'Cálculos'!$E$261+'Cálculos'!$E$125*(1+2.78*('Cálculos'!$E$199+(($B$168)-$A129)*'Cálculos'!$E$98)/(('Cálculos'!$E$199+(($B$168)-$A129)*'Cálculos'!$E$98)+1400)+'Cálculos'!$E$123)*'Cálculos'!$E$266)+('Cálculos'!$E$204*(1+'Cálculos'!$E$205+$A129*('Cálculos'!$E$290=3)*'Cálculos'!$E$103)+'Cálculos'!$E$206)*('Cálculos'!$E$257+'Cálculos'!$E$124*(1+2.78*('Cálculos'!$E$199+(($B$168)-$A129)*'Cálculos'!$E$98)/(('Cálculos'!$E$199+(($B$168)-$A129)*'Cálculos'!$E$98)+1400)+'Cálculos'!$E$122)*'Cálculos'!$E$262+'Cálculos'!$E$125*(1+2.78*('Cálculos'!$E$199+(($B$168)-$A129)*'Cálculos'!$E$98)/(('Cálculos'!$E$199+(($B$168)-$A129)*'Cálculos'!$E$98)+1400)+'Cálculos'!$E$123)*'Cálculos'!$E$267)+('Cálculos'!$E$258+'Cálculos'!$E$124*(1+2.78*('Cálculos'!$E$199+(($B$168)-$A129)*'Cálculos'!$E$98)/(('Cálculos'!$E$199+(($B$168)-$A129)*'Cálculos'!$E$98)+1400)+'Cálculos'!$E$122)*'Cálculos'!$E$263+'Cálculos'!$E$125*(1+2.78*('Cálculos'!$E$199+(($B$168)-$A129)*'Cálculos'!$E$98)/(('Cálculos'!$E$199+(($B$168)-$A129)*'Cálculos'!$E$98)+1400)+'Cálculos'!$E$123)*'Cálculos'!$E$268)+('Cálculos'!$E$185*(1+'Cálculos'!$E$190+$A129*('Cálculos'!$E$290=1)*'Cálculos'!$E$97+'Cálculos'!$E$305)+'Cálculos'!$E$195)*('Cálculos'!$E$269+'Cálculos'!$E$124*(1+2.78*('Cálculos'!$E$200+(($B$168)-$A129)*'Cálculos'!$E$98)/(('Cálculos'!$E$200+(($B$168)-$A129)*'Cálculos'!$E$98)+1400)+'Cálculos'!$E$122)*'Cálculos'!$E$274+'Cálculos'!$E$125*(1+2.78*('Cálculos'!$E$200+(($B$168)-$A129)*'Cálculos'!$E$98)/(('Cálculos'!$E$200+(($B$168)-$A129)*'Cálculos'!$E$98)+1400)+'Cálculos'!$E$123)*'Cálculos'!$E$279)+('Cálculos'!$E$200+(($B$168)-$A129)*'Cálculos'!$E$98)*('Cálculos'!$E$270+'Cálculos'!$E$124*(1+2.78*('Cálculos'!$E$200+(($B$168)-$A129)*'Cálculos'!$E$98)/(('Cálculos'!$E$200+(($B$168)-$A129)*'Cálculos'!$E$98)+1400)+'Cálculos'!$E$122)*'Cálculos'!$E$275+'Cálculos'!$E$125*(1+2.78*('Cálculos'!$E$200+(($B$168)-$A129)*'Cálculos'!$E$98)/(('Cálculos'!$E$200+(($B$168)-$A129)*'Cálculos'!$E$98)+1400)+'Cálculos'!$E$123)*'Cálculos'!$E$280)+('Cálculos'!$E$201*(1+'Cálculos'!$E$202+$A129*('Cálculos'!$E$290=2)*'Cálculos'!$E$101)+'Cálculos'!$E$203)*('Cálculos'!$E$271+'Cálculos'!$E$124*(1+2.78*('Cálculos'!$E$200+(($B$168)-$A129)*'Cálculos'!$E$98)/(('Cálculos'!$E$200+(($B$168)-$A129)*'Cálculos'!$E$98)+1400)+'Cálculos'!$E$122)*'Cálculos'!$E$276+'Cálculos'!$E$125*(1+2.78*('Cálculos'!$E$200+(($B$168)-$A129)*'Cálculos'!$E$98)/(('Cálculos'!$E$200+(($B$168)-$A129)*'Cálculos'!$E$98)+1400)+'Cálculos'!$E$123)*'Cálculos'!$E$281)+('Cálculos'!$E$204*(1+'Cálculos'!$E$205+$A129*('Cálculos'!$E$290=3)*'Cálculos'!$E$103)+'Cálculos'!$E$206)*('Cálculos'!$E$272+'Cálculos'!$E$124*(1+2.78*('Cálculos'!$E$200+(($B$168)-$A129)*'Cálculos'!$E$98)/(('Cálculos'!$E$200+(($B$168)-$A129)*'Cálculos'!$E$98)+1400)+'Cálculos'!$E$122)*'Cálculos'!$E$277+'Cálculos'!$E$125*(1+2.78*('Cálculos'!$E$200+(($B$168)-$A129)*'Cálculos'!$E$98)/(('Cálculos'!$E$200+(($B$168)-$A129)*'Cálculos'!$E$98)+1400)+'Cálculos'!$E$123)*'Cálculos'!$E$282)+('Cálculos'!$E$273+'Cálculos'!$E$124*(1+2.78*('Cálculos'!$E$200+(($B$168)-$A129)*'Cálculos'!$E$98)/(('Cálculos'!$E$200+(($B$168)-$A129)*'Cálculos'!$E$98)+1400)+'Cálculos'!$E$122)*'Cálculos'!$E$278+'Cálculos'!$E$125*(1+2.78*('Cálculos'!$E$200+(($B$168)-$A129)*'Cálculos'!$E$98)/(('Cálculos'!$E$200+(($B$168)-$A129)*'Cálculos'!$E$98)+1400)+'Cálculos'!$E$123)*'Cálculos'!$E$283)))</f>
        <v>0</v>
      </c>
    </row>
    <row r="130" ht="15.75" customHeight="1">
      <c r="A130" s="2">
        <v>10.0</v>
      </c>
      <c r="B130" s="30">
        <f>SUMPRODUCT(MAX(($A$120:$A$165&lt;=$A130)*($A$120:$A$165&lt;='Cálculos'!$E$294)*(($A130)-$A$120:$A$165&lt;='Cálculos'!$E$295)*(1+(('Cálculos'!$E$207+$A$120:$A$165*'Cálculos'!$E$95)-(('Cálculos'!$E$207+$A$120:$A$165*'Cálculos'!$E$95)&gt;1)*(('Cálculos'!$E$207+$A$120:$A$165*'Cálculos'!$E$95)-1))*('Cálculos'!$E$208+(($A130)-$A$120:$A$165)*'Cálculos'!$E$96))))</f>
        <v>1.575444</v>
      </c>
      <c r="C130" s="2">
        <f>'Cálculos'!$E$303-$A130</f>
        <v>3</v>
      </c>
      <c r="D130" s="31">
        <f>IF($C130&lt;0,0,SUMPRODUCT(MAX(($A$120:$A$165&lt;=$C130)*($A$120:$A$165&lt;='Cálculos'!$E$301)*(($C130)-$A$120:$A$165&lt;='Cálculos'!$E$297)*(('Cálculos'!$E$185*(1+'Cálculos'!$E$186+$A$120:$A$165*('Cálculos'!$E$290=1)*'Cálculos'!$E$97+'Cálculos'!$E$305)+'Cálculos'!$E$191)*('Cálculos'!$E$209+'Cálculos'!$E$124*(1+2.78*('Cálculos'!$E$196+(($C130)-$A$120:$A$165)*'Cálculos'!$E$98)/(('Cálculos'!$E$196+(($C130)-$A$120:$A$165)*'Cálculos'!$E$98)+1400)+'Cálculos'!$E$122)*'Cálculos'!$E$214+'Cálculos'!$E$125*(1+2.78*('Cálculos'!$E$196+(($C130)-$A$120:$A$165)*'Cálculos'!$E$98)/(('Cálculos'!$E$196+(($C130)-$A$120:$A$165)*'Cálculos'!$E$98)+1400)+'Cálculos'!$E$123)*'Cálculos'!$E$219)+('Cálculos'!$E$196+(($C130)-$A$120:$A$165)*'Cálculos'!$E$98)*('Cálculos'!$E$210+'Cálculos'!$E$124*(1+2.78*('Cálculos'!$E$196+(($C130)-$A$120:$A$165)*'Cálculos'!$E$98)/(('Cálculos'!$E$196+(($C130)-$A$120:$A$165)*'Cálculos'!$E$98)+1400)+'Cálculos'!$E$122)*'Cálculos'!$E$215+'Cálculos'!$E$125*(1+2.78*('Cálculos'!$E$196+(($C130)-$A$120:$A$165)*'Cálculos'!$E$98)/(('Cálculos'!$E$196+(($C130)-$A$120:$A$165)*'Cálculos'!$E$98)+1400)+'Cálculos'!$E$123)*'Cálculos'!$E$220)+('Cálculos'!$E$201*(1+'Cálculos'!$E$202+$A$120:$A$165*('Cálculos'!$E$290=2)*'Cálculos'!$E$101)+'Cálculos'!$E$203)*('Cálculos'!$E$211+'Cálculos'!$E$124*(1+2.78*('Cálculos'!$E$196+(($C130)-$A$120:$A$165)*'Cálculos'!$E$98)/(('Cálculos'!$E$196+(($C130)-$A$120:$A$165)*'Cálculos'!$E$98)+1400)+'Cálculos'!$E$122)*'Cálculos'!$E$216+'Cálculos'!$E$125*(1+2.78*('Cálculos'!$E$196+(($C130)-$A$120:$A$165)*'Cálculos'!$E$98)/(('Cálculos'!$E$196+(($C130)-$A$120:$A$165)*'Cálculos'!$E$98)+1400)+'Cálculos'!$E$123)*'Cálculos'!$E$221)+('Cálculos'!$E$204*(1+'Cálculos'!$E$205+$A$120:$A$165*('Cálculos'!$E$290=3)*'Cálculos'!$E$103)+'Cálculos'!$E$206)*('Cálculos'!$E$212+'Cálculos'!$E$124*(1+2.78*('Cálculos'!$E$196+(($C130)-$A$120:$A$165)*'Cálculos'!$E$98)/(('Cálculos'!$E$196+(($C130)-$A$120:$A$165)*'Cálculos'!$E$98)+1400)+'Cálculos'!$E$122)*'Cálculos'!$E$217+'Cálculos'!$E$125*(1+2.78*('Cálculos'!$E$196+(($C130)-$A$120:$A$165)*'Cálculos'!$E$98)/(('Cálculos'!$E$196+(($C130)-$A$120:$A$165)*'Cálculos'!$E$98)+1400)+'Cálculos'!$E$123)*'Cálculos'!$E$222)+('Cálculos'!$E$213+'Cálculos'!$E$124*(1+2.78*('Cálculos'!$E$196+(($C130)-$A$120:$A$165)*'Cálculos'!$E$98)/(('Cálculos'!$E$196+(($C130)-$A$120:$A$165)*'Cálculos'!$E$98)+1400)+'Cálculos'!$E$122)*'Cálculos'!$E$218+'Cálculos'!$E$125*(1+2.78*('Cálculos'!$E$196+(($C130)-$A$120:$A$165)*'Cálculos'!$E$98)/(('Cálculos'!$E$196+(($C130)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130)-$A$120:$A$165)*'Cálculos'!$E$98)/(('Cálculos'!$E$197+(($C130)-$A$120:$A$165)*'Cálculos'!$E$98)+1400)+'Cálculos'!$E$122)*'Cálculos'!$E$229+'Cálculos'!$E$125*(1+2.78*('Cálculos'!$E$197+(($C130)-$A$120:$A$165)*'Cálculos'!$E$98)/(('Cálculos'!$E$197+(($C130)-$A$120:$A$165)*'Cálculos'!$E$98)+1400)+'Cálculos'!$E$123)*'Cálculos'!$E$234)+('Cálculos'!$E$197+(($C130)-$A$120:$A$165)*'Cálculos'!$E$98)*('Cálculos'!$E$225+'Cálculos'!$E$124*(1+2.78*('Cálculos'!$E$197+(($C130)-$A$120:$A$165)*'Cálculos'!$E$98)/(('Cálculos'!$E$197+(($C130)-$A$120:$A$165)*'Cálculos'!$E$98)+1400)+'Cálculos'!$E$122)*'Cálculos'!$E$230+'Cálculos'!$E$125*(1+2.78*('Cálculos'!$E$197+(($C130)-$A$120:$A$165)*'Cálculos'!$E$98)/(('Cálculos'!$E$197+(($C130)-$A$120:$A$165)*'Cálculos'!$E$98)+1400)+'Cálculos'!$E$123)*'Cálculos'!$E$235)+('Cálculos'!$E$201*(1+'Cálculos'!$E$202+$A$120:$A$165*('Cálculos'!$E$290=2)*'Cálculos'!$E$101)+'Cálculos'!$E$203)*('Cálculos'!$E$226+'Cálculos'!$E$124*(1+2.78*('Cálculos'!$E$197+(($C130)-$A$120:$A$165)*'Cálculos'!$E$98)/(('Cálculos'!$E$197+(($C130)-$A$120:$A$165)*'Cálculos'!$E$98)+1400)+'Cálculos'!$E$122)*'Cálculos'!$E$231+'Cálculos'!$E$125*(1+2.78*('Cálculos'!$E$197+(($C130)-$A$120:$A$165)*'Cálculos'!$E$98)/(('Cálculos'!$E$197+(($C130)-$A$120:$A$165)*'Cálculos'!$E$98)+1400)+'Cálculos'!$E$123)*'Cálculos'!$E$236)+('Cálculos'!$E$204*(1+'Cálculos'!$E$205+$A$120:$A$165*('Cálculos'!$E$290=3)*'Cálculos'!$E$103)+'Cálculos'!$E$206)*('Cálculos'!$E$227+'Cálculos'!$E$124*(1+2.78*('Cálculos'!$E$197+(($C130)-$A$120:$A$165)*'Cálculos'!$E$98)/(('Cálculos'!$E$197+(($C130)-$A$120:$A$165)*'Cálculos'!$E$98)+1400)+'Cálculos'!$E$122)*'Cálculos'!$E$232+'Cálculos'!$E$125*(1+2.78*('Cálculos'!$E$197+(($C130)-$A$120:$A$165)*'Cálculos'!$E$98)/(('Cálculos'!$E$197+(($C130)-$A$120:$A$165)*'Cálculos'!$E$98)+1400)+'Cálculos'!$E$123)*'Cálculos'!$E$237)+('Cálculos'!$E$228+'Cálculos'!$E$124*(1+2.78*('Cálculos'!$E$197+(($C130)-$A$120:$A$165)*'Cálculos'!$E$98)/(('Cálculos'!$E$197+(($C130)-$A$120:$A$165)*'Cálculos'!$E$98)+1400)+'Cálculos'!$E$122)*'Cálculos'!$E$233+'Cálculos'!$E$125*(1+2.78*('Cálculos'!$E$197+(($C130)-$A$120:$A$165)*'Cálculos'!$E$98)/(('Cálculos'!$E$197+(($C130)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130)-$A$120:$A$165)*'Cálculos'!$E$98)/(('Cálculos'!$E$198+(($C130)-$A$120:$A$165)*'Cálculos'!$E$98)+1400)+'Cálculos'!$E$122)*'Cálculos'!$E$244+'Cálculos'!$E$125*(1+2.78*('Cálculos'!$E$198+(($C130)-$A$120:$A$165)*'Cálculos'!$E$98)/(('Cálculos'!$E$198+(($C130)-$A$120:$A$165)*'Cálculos'!$E$98)+1400)+'Cálculos'!$E$123)*'Cálculos'!$E$249)+('Cálculos'!$E$198+(($C130)-$A$120:$A$165)*'Cálculos'!$E$98)*('Cálculos'!$E$240+'Cálculos'!$E$124*(1+2.78*('Cálculos'!$E$198+(($C130)-$A$120:$A$165)*'Cálculos'!$E$98)/(('Cálculos'!$E$198+(($C130)-$A$120:$A$165)*'Cálculos'!$E$98)+1400)+'Cálculos'!$E$122)*'Cálculos'!$E$245+'Cálculos'!$E$125*(1+2.78*('Cálculos'!$E$198+(($C130)-$A$120:$A$165)*'Cálculos'!$E$98)/(('Cálculos'!$E$198+(($C130)-$A$120:$A$165)*'Cálculos'!$E$98)+1400)+'Cálculos'!$E$123)*'Cálculos'!$E$250)+('Cálculos'!$E$201*(1+'Cálculos'!$E$202+$A$120:$A$165*('Cálculos'!$E$290=2)*'Cálculos'!$E$101)+'Cálculos'!$E$203)*('Cálculos'!$E$241+'Cálculos'!$E$124*(1+2.78*('Cálculos'!$E$198+(($C130)-$A$120:$A$165)*'Cálculos'!$E$98)/(('Cálculos'!$E$198+(($C130)-$A$120:$A$165)*'Cálculos'!$E$98)+1400)+'Cálculos'!$E$122)*'Cálculos'!$E$246+'Cálculos'!$E$125*(1+2.78*('Cálculos'!$E$198+(($C130)-$A$120:$A$165)*'Cálculos'!$E$98)/(('Cálculos'!$E$198+(($C130)-$A$120:$A$165)*'Cálculos'!$E$98)+1400)+'Cálculos'!$E$123)*'Cálculos'!$E$251)+('Cálculos'!$E$204*(1+'Cálculos'!$E$205+$A$120:$A$165*('Cálculos'!$E$290=3)*'Cálculos'!$E$103)+'Cálculos'!$E$206)*('Cálculos'!$E$242+'Cálculos'!$E$124*(1+2.78*('Cálculos'!$E$198+(($C130)-$A$120:$A$165)*'Cálculos'!$E$98)/(('Cálculos'!$E$198+(($C130)-$A$120:$A$165)*'Cálculos'!$E$98)+1400)+'Cálculos'!$E$122)*'Cálculos'!$E$247+'Cálculos'!$E$125*(1+2.78*('Cálculos'!$E$198+(($C130)-$A$120:$A$165)*'Cálculos'!$E$98)/(('Cálculos'!$E$198+(($C130)-$A$120:$A$165)*'Cálculos'!$E$98)+1400)+'Cálculos'!$E$123)*'Cálculos'!$E$252)+('Cálculos'!$E$243+'Cálculos'!$E$124*(1+2.78*('Cálculos'!$E$198+(($C130)-$A$120:$A$165)*'Cálculos'!$E$98)/(('Cálculos'!$E$198+(($C130)-$A$120:$A$165)*'Cálculos'!$E$98)+1400)+'Cálculos'!$E$122)*'Cálculos'!$E$248+'Cálculos'!$E$125*(1+2.78*('Cálculos'!$E$198+(($C130)-$A$120:$A$165)*'Cálculos'!$E$98)/(('Cálculos'!$E$198+(($C130)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130)-$A$120:$A$165)*'Cálculos'!$E$98)/(('Cálculos'!$E$199+(($C130)-$A$120:$A$165)*'Cálculos'!$E$98)+1400)+'Cálculos'!$E$122)*'Cálculos'!$E$259+'Cálculos'!$E$125*(1+2.78*('Cálculos'!$E$199+(($C130)-$A$120:$A$165)*'Cálculos'!$E$98)/(('Cálculos'!$E$199+(($C130)-$A$120:$A$165)*'Cálculos'!$E$98)+1400)+'Cálculos'!$E$123)*'Cálculos'!$E$264)+('Cálculos'!$E$199+(($C130)-$A$120:$A$165)*'Cálculos'!$E$98)*('Cálculos'!$E$255+'Cálculos'!$E$124*(1+2.78*('Cálculos'!$E$199+(($C130)-$A$120:$A$165)*'Cálculos'!$E$98)/(('Cálculos'!$E$199+(($C130)-$A$120:$A$165)*'Cálculos'!$E$98)+1400)+'Cálculos'!$E$122)*'Cálculos'!$E$260+'Cálculos'!$E$125*(1+2.78*('Cálculos'!$E$199+(($C130)-$A$120:$A$165)*'Cálculos'!$E$98)/(('Cálculos'!$E$199+(($C130)-$A$120:$A$165)*'Cálculos'!$E$98)+1400)+'Cálculos'!$E$123)*'Cálculos'!$E$265)+('Cálculos'!$E$201*(1+'Cálculos'!$E$202+$A$120:$A$165*('Cálculos'!$E$290=2)*'Cálculos'!$E$101)+'Cálculos'!$E$203)*('Cálculos'!$E$256+'Cálculos'!$E$124*(1+2.78*('Cálculos'!$E$199+(($C130)-$A$120:$A$165)*'Cálculos'!$E$98)/(('Cálculos'!$E$199+(($C130)-$A$120:$A$165)*'Cálculos'!$E$98)+1400)+'Cálculos'!$E$122)*'Cálculos'!$E$261+'Cálculos'!$E$125*(1+2.78*('Cálculos'!$E$199+(($C130)-$A$120:$A$165)*'Cálculos'!$E$98)/(('Cálculos'!$E$199+(($C130)-$A$120:$A$165)*'Cálculos'!$E$98)+1400)+'Cálculos'!$E$123)*'Cálculos'!$E$266)+('Cálculos'!$E$204*(1+'Cálculos'!$E$205+$A$120:$A$165*('Cálculos'!$E$290=3)*'Cálculos'!$E$103)+'Cálculos'!$E$206)*('Cálculos'!$E$257+'Cálculos'!$E$124*(1+2.78*('Cálculos'!$E$199+(($C130)-$A$120:$A$165)*'Cálculos'!$E$98)/(('Cálculos'!$E$199+(($C130)-$A$120:$A$165)*'Cálculos'!$E$98)+1400)+'Cálculos'!$E$122)*'Cálculos'!$E$262+'Cálculos'!$E$125*(1+2.78*('Cálculos'!$E$199+(($C130)-$A$120:$A$165)*'Cálculos'!$E$98)/(('Cálculos'!$E$199+(($C130)-$A$120:$A$165)*'Cálculos'!$E$98)+1400)+'Cálculos'!$E$123)*'Cálculos'!$E$267)+('Cálculos'!$E$258+'Cálculos'!$E$124*(1+2.78*('Cálculos'!$E$199+(($C130)-$A$120:$A$165)*'Cálculos'!$E$98)/(('Cálculos'!$E$199+(($C130)-$A$120:$A$165)*'Cálculos'!$E$98)+1400)+'Cálculos'!$E$122)*'Cálculos'!$E$263+'Cálculos'!$E$125*(1+2.78*('Cálculos'!$E$199+(($C130)-$A$120:$A$165)*'Cálculos'!$E$98)/(('Cálculos'!$E$199+(($C130)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130)-$A$120:$A$165)*'Cálculos'!$E$98)/(('Cálculos'!$E$200+(($C130)-$A$120:$A$165)*'Cálculos'!$E$98)+1400)+'Cálculos'!$E$122)*'Cálculos'!$E$274+'Cálculos'!$E$125*(1+2.78*('Cálculos'!$E$200+(($C130)-$A$120:$A$165)*'Cálculos'!$E$98)/(('Cálculos'!$E$200+(($C130)-$A$120:$A$165)*'Cálculos'!$E$98)+1400)+'Cálculos'!$E$123)*'Cálculos'!$E$279)+('Cálculos'!$E$200+(($C130)-$A$120:$A$165)*'Cálculos'!$E$98)*('Cálculos'!$E$270+'Cálculos'!$E$124*(1+2.78*('Cálculos'!$E$200+(($C130)-$A$120:$A$165)*'Cálculos'!$E$98)/(('Cálculos'!$E$200+(($C130)-$A$120:$A$165)*'Cálculos'!$E$98)+1400)+'Cálculos'!$E$122)*'Cálculos'!$E$275+'Cálculos'!$E$125*(1+2.78*('Cálculos'!$E$200+(($C130)-$A$120:$A$165)*'Cálculos'!$E$98)/(('Cálculos'!$E$200+(($C130)-$A$120:$A$165)*'Cálculos'!$E$98)+1400)+'Cálculos'!$E$123)*'Cálculos'!$E$280)+('Cálculos'!$E$201*(1+'Cálculos'!$E$202+$A$120:$A$165*('Cálculos'!$E$290=2)*'Cálculos'!$E$101)+'Cálculos'!$E$203)*('Cálculos'!$E$271+'Cálculos'!$E$124*(1+2.78*('Cálculos'!$E$200+(($C130)-$A$120:$A$165)*'Cálculos'!$E$98)/(('Cálculos'!$E$200+(($C130)-$A$120:$A$165)*'Cálculos'!$E$98)+1400)+'Cálculos'!$E$122)*'Cálculos'!$E$276+'Cálculos'!$E$125*(1+2.78*('Cálculos'!$E$200+(($C130)-$A$120:$A$165)*'Cálculos'!$E$98)/(('Cálculos'!$E$200+(($C130)-$A$120:$A$165)*'Cálculos'!$E$98)+1400)+'Cálculos'!$E$123)*'Cálculos'!$E$281)+('Cálculos'!$E$204*(1+'Cálculos'!$E$205+$A$120:$A$165*('Cálculos'!$E$290=3)*'Cálculos'!$E$103)+'Cálculos'!$E$206)*('Cálculos'!$E$272+'Cálculos'!$E$124*(1+2.78*('Cálculos'!$E$200+(($C130)-$A$120:$A$165)*'Cálculos'!$E$98)/(('Cálculos'!$E$200+(($C130)-$A$120:$A$165)*'Cálculos'!$E$98)+1400)+'Cálculos'!$E$122)*'Cálculos'!$E$277+'Cálculos'!$E$125*(1+2.78*('Cálculos'!$E$200+(($C130)-$A$120:$A$165)*'Cálculos'!$E$98)/(('Cálculos'!$E$200+(($C130)-$A$120:$A$165)*'Cálculos'!$E$98)+1400)+'Cálculos'!$E$123)*'Cálculos'!$E$282)+('Cálculos'!$E$273+'Cálculos'!$E$124*(1+2.78*('Cálculos'!$E$200+(($C130)-$A$120:$A$165)*'Cálculos'!$E$98)/(('Cálculos'!$E$200+(($C130)-$A$120:$A$165)*'Cálculos'!$E$98)+1400)+'Cálculos'!$E$122)*'Cálculos'!$E$278+'Cálculos'!$E$125*(1+2.78*('Cálculos'!$E$200+(($C130)-$A$120:$A$165)*'Cálculos'!$E$98)/(('Cálculos'!$E$200+(($C130)-$A$120:$A$165)*'Cálculos'!$E$98)+1400)+'Cálculos'!$E$123)*'Cálculos'!$E$283)))))</f>
        <v>19437.9238</v>
      </c>
      <c r="E130" s="32">
        <f>IF(OR($C130&lt;0,'Cálculos'!$E$6=""),0,$B130*$D130)</f>
        <v>30623.36043</v>
      </c>
      <c r="F130" s="2"/>
      <c r="G130" s="30">
        <f>($A130&lt;=$B$167)*($A130&lt;='Cálculos'!$E$294)*(($B$167)-$A130&lt;='Cálculos'!$E$295)*(1+MIN(('Cálculos'!$E$207+$A130*'Cálculos'!$E$95),1)*('Cálculos'!$E$208+(($B$167)-$A130)*'Cálculos'!$E$96))</f>
        <v>1.62831</v>
      </c>
      <c r="H130" s="31">
        <f>IF($B$168&lt;0,0,($A130&lt;=$B$168)*($A130&lt;='Cálculos'!$E$301)*(($B$168)-$A130&lt;='Cálculos'!$E$297)*(('Cálculos'!$E$185*(1+'Cálculos'!$E$186+$A130*('Cálculos'!$E$290=1)*'Cálculos'!$E$97+'Cálculos'!$E$305)+'Cálculos'!$E$191)*('Cálculos'!$E$209+'Cálculos'!$E$124*(1+2.78*('Cálculos'!$E$196+(($B$168)-$A130)*'Cálculos'!$E$98)/(('Cálculos'!$E$196+(($B$168)-$A130)*'Cálculos'!$E$98)+1400)+'Cálculos'!$E$122)*'Cálculos'!$E$214+'Cálculos'!$E$125*(1+2.78*('Cálculos'!$E$196+(($B$168)-$A130)*'Cálculos'!$E$98)/(('Cálculos'!$E$196+(($B$168)-$A130)*'Cálculos'!$E$98)+1400)+'Cálculos'!$E$123)*'Cálculos'!$E$219)+('Cálculos'!$E$196+(($B$168)-$A130)*'Cálculos'!$E$98)*('Cálculos'!$E$210+'Cálculos'!$E$124*(1+2.78*('Cálculos'!$E$196+(($B$168)-$A130)*'Cálculos'!$E$98)/(('Cálculos'!$E$196+(($B$168)-$A130)*'Cálculos'!$E$98)+1400)+'Cálculos'!$E$122)*'Cálculos'!$E$215+'Cálculos'!$E$125*(1+2.78*('Cálculos'!$E$196+(($B$168)-$A130)*'Cálculos'!$E$98)/(('Cálculos'!$E$196+(($B$168)-$A130)*'Cálculos'!$E$98)+1400)+'Cálculos'!$E$123)*'Cálculos'!$E$220)+('Cálculos'!$E$201*(1+'Cálculos'!$E$202+$A130*('Cálculos'!$E$290=2)*'Cálculos'!$E$101)+'Cálculos'!$E$203)*('Cálculos'!$E$211+'Cálculos'!$E$124*(1+2.78*('Cálculos'!$E$196+(($B$168)-$A130)*'Cálculos'!$E$98)/(('Cálculos'!$E$196+(($B$168)-$A130)*'Cálculos'!$E$98)+1400)+'Cálculos'!$E$122)*'Cálculos'!$E$216+'Cálculos'!$E$125*(1+2.78*('Cálculos'!$E$196+(($B$168)-$A130)*'Cálculos'!$E$98)/(('Cálculos'!$E$196+(($B$168)-$A130)*'Cálculos'!$E$98)+1400)+'Cálculos'!$E$123)*'Cálculos'!$E$221)+('Cálculos'!$E$204*(1+'Cálculos'!$E$205+$A130*('Cálculos'!$E$290=3)*'Cálculos'!$E$103)+'Cálculos'!$E$206)*('Cálculos'!$E$212+'Cálculos'!$E$124*(1+2.78*('Cálculos'!$E$196+(($B$168)-$A130)*'Cálculos'!$E$98)/(('Cálculos'!$E$196+(($B$168)-$A130)*'Cálculos'!$E$98)+1400)+'Cálculos'!$E$122)*'Cálculos'!$E$217+'Cálculos'!$E$125*(1+2.78*('Cálculos'!$E$196+(($B$168)-$A130)*'Cálculos'!$E$98)/(('Cálculos'!$E$196+(($B$168)-$A130)*'Cálculos'!$E$98)+1400)+'Cálculos'!$E$123)*'Cálculos'!$E$222)+('Cálculos'!$E$213+'Cálculos'!$E$124*(1+2.78*('Cálculos'!$E$196+(($B$168)-$A130)*'Cálculos'!$E$98)/(('Cálculos'!$E$196+(($B$168)-$A130)*'Cálculos'!$E$98)+1400)+'Cálculos'!$E$122)*'Cálculos'!$E$218+'Cálculos'!$E$125*(1+2.78*('Cálculos'!$E$196+(($B$168)-$A130)*'Cálculos'!$E$98)/(('Cálculos'!$E$196+(($B$168)-$A130)*'Cálculos'!$E$98)+1400)+'Cálculos'!$E$123)*'Cálculos'!$E$223)+('Cálculos'!$E$185*(1+'Cálculos'!$E$187+$A130*('Cálculos'!$E$290=1)*'Cálculos'!$E$97+'Cálculos'!$E$305)+'Cálculos'!$E$192)*('Cálculos'!$E$224+'Cálculos'!$E$124*(1+2.78*('Cálculos'!$E$197+(($B$168)-$A130)*'Cálculos'!$E$98)/(('Cálculos'!$E$197+(($B$168)-$A130)*'Cálculos'!$E$98)+1400)+'Cálculos'!$E$122)*'Cálculos'!$E$229+'Cálculos'!$E$125*(1+2.78*('Cálculos'!$E$197+(($B$168)-$A130)*'Cálculos'!$E$98)/(('Cálculos'!$E$197+(($B$168)-$A130)*'Cálculos'!$E$98)+1400)+'Cálculos'!$E$123)*'Cálculos'!$E$234)+('Cálculos'!$E$197+(($B$168)-$A130)*'Cálculos'!$E$98)*('Cálculos'!$E$225+'Cálculos'!$E$124*(1+2.78*('Cálculos'!$E$197+(($B$168)-$A130)*'Cálculos'!$E$98)/(('Cálculos'!$E$197+(($B$168)-$A130)*'Cálculos'!$E$98)+1400)+'Cálculos'!$E$122)*'Cálculos'!$E$230+'Cálculos'!$E$125*(1+2.78*('Cálculos'!$E$197+(($B$168)-$A130)*'Cálculos'!$E$98)/(('Cálculos'!$E$197+(($B$168)-$A130)*'Cálculos'!$E$98)+1400)+'Cálculos'!$E$123)*'Cálculos'!$E$235)+('Cálculos'!$E$201*(1+'Cálculos'!$E$202+$A130*('Cálculos'!$E$290=2)*'Cálculos'!$E$101)+'Cálculos'!$E$203)*('Cálculos'!$E$226+'Cálculos'!$E$124*(1+2.78*('Cálculos'!$E$197+(($B$168)-$A130)*'Cálculos'!$E$98)/(('Cálculos'!$E$197+(($B$168)-$A130)*'Cálculos'!$E$98)+1400)+'Cálculos'!$E$122)*'Cálculos'!$E$231+'Cálculos'!$E$125*(1+2.78*('Cálculos'!$E$197+(($B$168)-$A130)*'Cálculos'!$E$98)/(('Cálculos'!$E$197+(($B$168)-$A130)*'Cálculos'!$E$98)+1400)+'Cálculos'!$E$123)*'Cálculos'!$E$236)+('Cálculos'!$E$204*(1+'Cálculos'!$E$205+$A130*('Cálculos'!$E$290=3)*'Cálculos'!$E$103)+'Cálculos'!$E$206)*('Cálculos'!$E$227+'Cálculos'!$E$124*(1+2.78*('Cálculos'!$E$197+(($B$168)-$A130)*'Cálculos'!$E$98)/(('Cálculos'!$E$197+(($B$168)-$A130)*'Cálculos'!$E$98)+1400)+'Cálculos'!$E$122)*'Cálculos'!$E$232+'Cálculos'!$E$125*(1+2.78*('Cálculos'!$E$197+(($B$168)-$A130)*'Cálculos'!$E$98)/(('Cálculos'!$E$197+(($B$168)-$A130)*'Cálculos'!$E$98)+1400)+'Cálculos'!$E$123)*'Cálculos'!$E$237)+('Cálculos'!$E$228+'Cálculos'!$E$124*(1+2.78*('Cálculos'!$E$197+(($B$168)-$A130)*'Cálculos'!$E$98)/(('Cálculos'!$E$197+(($B$168)-$A130)*'Cálculos'!$E$98)+1400)+'Cálculos'!$E$122)*'Cálculos'!$E$233+'Cálculos'!$E$125*(1+2.78*('Cálculos'!$E$197+(($B$168)-$A130)*'Cálculos'!$E$98)/(('Cálculos'!$E$197+(($B$168)-$A130)*'Cálculos'!$E$98)+1400)+'Cálculos'!$E$123)*'Cálculos'!$E$238)+('Cálculos'!$E$185*(1+'Cálculos'!$E$188+$A130*('Cálculos'!$E$290=1)*'Cálculos'!$E$97+'Cálculos'!$E$305)+'Cálculos'!$E$193)*('Cálculos'!$E$239+'Cálculos'!$E$124*(1+2.78*('Cálculos'!$E$198+(($B$168)-$A130)*'Cálculos'!$E$98)/(('Cálculos'!$E$198+(($B$168)-$A130)*'Cálculos'!$E$98)+1400)+'Cálculos'!$E$122)*'Cálculos'!$E$244+'Cálculos'!$E$125*(1+2.78*('Cálculos'!$E$198+(($B$168)-$A130)*'Cálculos'!$E$98)/(('Cálculos'!$E$198+(($B$168)-$A130)*'Cálculos'!$E$98)+1400)+'Cálculos'!$E$123)*'Cálculos'!$E$249)+('Cálculos'!$E$198+(($B$168)-$A130)*'Cálculos'!$E$98)*('Cálculos'!$E$240+'Cálculos'!$E$124*(1+2.78*('Cálculos'!$E$198+(($B$168)-$A130)*'Cálculos'!$E$98)/(('Cálculos'!$E$198+(($B$168)-$A130)*'Cálculos'!$E$98)+1400)+'Cálculos'!$E$122)*'Cálculos'!$E$245+'Cálculos'!$E$125*(1+2.78*('Cálculos'!$E$198+(($B$168)-$A130)*'Cálculos'!$E$98)/(('Cálculos'!$E$198+(($B$168)-$A130)*'Cálculos'!$E$98)+1400)+'Cálculos'!$E$123)*'Cálculos'!$E$250)+('Cálculos'!$E$201*(1+'Cálculos'!$E$202+$A130*('Cálculos'!$E$290=2)*'Cálculos'!$E$101)+'Cálculos'!$E$203)*('Cálculos'!$E$241+'Cálculos'!$E$124*(1+2.78*('Cálculos'!$E$198+(($B$168)-$A130)*'Cálculos'!$E$98)/(('Cálculos'!$E$198+(($B$168)-$A130)*'Cálculos'!$E$98)+1400)+'Cálculos'!$E$122)*'Cálculos'!$E$246+'Cálculos'!$E$125*(1+2.78*('Cálculos'!$E$198+(($B$168)-$A130)*'Cálculos'!$E$98)/(('Cálculos'!$E$198+(($B$168)-$A130)*'Cálculos'!$E$98)+1400)+'Cálculos'!$E$123)*'Cálculos'!$E$251)+('Cálculos'!$E$204*(1+'Cálculos'!$E$205+$A130*('Cálculos'!$E$290=3)*'Cálculos'!$E$103)+'Cálculos'!$E$206)*('Cálculos'!$E$242+'Cálculos'!$E$124*(1+2.78*('Cálculos'!$E$198+(($B$168)-$A130)*'Cálculos'!$E$98)/(('Cálculos'!$E$198+(($B$168)-$A130)*'Cálculos'!$E$98)+1400)+'Cálculos'!$E$122)*'Cálculos'!$E$247+'Cálculos'!$E$125*(1+2.78*('Cálculos'!$E$198+(($B$168)-$A130)*'Cálculos'!$E$98)/(('Cálculos'!$E$198+(($B$168)-$A130)*'Cálculos'!$E$98)+1400)+'Cálculos'!$E$123)*'Cálculos'!$E$252)+('Cálculos'!$E$243+'Cálculos'!$E$124*(1+2.78*('Cálculos'!$E$198+(($B$168)-$A130)*'Cálculos'!$E$98)/(('Cálculos'!$E$198+(($B$168)-$A130)*'Cálculos'!$E$98)+1400)+'Cálculos'!$E$122)*'Cálculos'!$E$248+'Cálculos'!$E$125*(1+2.78*('Cálculos'!$E$198+(($B$168)-$A130)*'Cálculos'!$E$98)/(('Cálculos'!$E$198+(($B$168)-$A130)*'Cálculos'!$E$98)+1400)+'Cálculos'!$E$123)*'Cálculos'!$E$253)+('Cálculos'!$E$185*(1+'Cálculos'!$E$189+$A130*('Cálculos'!$E$290=1)*'Cálculos'!$E$97+'Cálculos'!$E$305)+'Cálculos'!$E$194)*('Cálculos'!$E$254+'Cálculos'!$E$124*(1+2.78*('Cálculos'!$E$199+(($B$168)-$A130)*'Cálculos'!$E$98)/(('Cálculos'!$E$199+(($B$168)-$A130)*'Cálculos'!$E$98)+1400)+'Cálculos'!$E$122)*'Cálculos'!$E$259+'Cálculos'!$E$125*(1+2.78*('Cálculos'!$E$199+(($B$168)-$A130)*'Cálculos'!$E$98)/(('Cálculos'!$E$199+(($B$168)-$A130)*'Cálculos'!$E$98)+1400)+'Cálculos'!$E$123)*'Cálculos'!$E$264)+('Cálculos'!$E$199+(($B$168)-$A130)*'Cálculos'!$E$98)*('Cálculos'!$E$255+'Cálculos'!$E$124*(1+2.78*('Cálculos'!$E$199+(($B$168)-$A130)*'Cálculos'!$E$98)/(('Cálculos'!$E$199+(($B$168)-$A130)*'Cálculos'!$E$98)+1400)+'Cálculos'!$E$122)*'Cálculos'!$E$260+'Cálculos'!$E$125*(1+2.78*('Cálculos'!$E$199+(($B$168)-$A130)*'Cálculos'!$E$98)/(('Cálculos'!$E$199+(($B$168)-$A130)*'Cálculos'!$E$98)+1400)+'Cálculos'!$E$123)*'Cálculos'!$E$265)+('Cálculos'!$E$201*(1+'Cálculos'!$E$202+$A130*('Cálculos'!$E$290=2)*'Cálculos'!$E$101)+'Cálculos'!$E$203)*('Cálculos'!$E$256+'Cálculos'!$E$124*(1+2.78*('Cálculos'!$E$199+(($B$168)-$A130)*'Cálculos'!$E$98)/(('Cálculos'!$E$199+(($B$168)-$A130)*'Cálculos'!$E$98)+1400)+'Cálculos'!$E$122)*'Cálculos'!$E$261+'Cálculos'!$E$125*(1+2.78*('Cálculos'!$E$199+(($B$168)-$A130)*'Cálculos'!$E$98)/(('Cálculos'!$E$199+(($B$168)-$A130)*'Cálculos'!$E$98)+1400)+'Cálculos'!$E$123)*'Cálculos'!$E$266)+('Cálculos'!$E$204*(1+'Cálculos'!$E$205+$A130*('Cálculos'!$E$290=3)*'Cálculos'!$E$103)+'Cálculos'!$E$206)*('Cálculos'!$E$257+'Cálculos'!$E$124*(1+2.78*('Cálculos'!$E$199+(($B$168)-$A130)*'Cálculos'!$E$98)/(('Cálculos'!$E$199+(($B$168)-$A130)*'Cálculos'!$E$98)+1400)+'Cálculos'!$E$122)*'Cálculos'!$E$262+'Cálculos'!$E$125*(1+2.78*('Cálculos'!$E$199+(($B$168)-$A130)*'Cálculos'!$E$98)/(('Cálculos'!$E$199+(($B$168)-$A130)*'Cálculos'!$E$98)+1400)+'Cálculos'!$E$123)*'Cálculos'!$E$267)+('Cálculos'!$E$258+'Cálculos'!$E$124*(1+2.78*('Cálculos'!$E$199+(($B$168)-$A130)*'Cálculos'!$E$98)/(('Cálculos'!$E$199+(($B$168)-$A130)*'Cálculos'!$E$98)+1400)+'Cálculos'!$E$122)*'Cálculos'!$E$263+'Cálculos'!$E$125*(1+2.78*('Cálculos'!$E$199+(($B$168)-$A130)*'Cálculos'!$E$98)/(('Cálculos'!$E$199+(($B$168)-$A130)*'Cálculos'!$E$98)+1400)+'Cálculos'!$E$123)*'Cálculos'!$E$268)+('Cálculos'!$E$185*(1+'Cálculos'!$E$190+$A130*('Cálculos'!$E$290=1)*'Cálculos'!$E$97+'Cálculos'!$E$305)+'Cálculos'!$E$195)*('Cálculos'!$E$269+'Cálculos'!$E$124*(1+2.78*('Cálculos'!$E$200+(($B$168)-$A130)*'Cálculos'!$E$98)/(('Cálculos'!$E$200+(($B$168)-$A130)*'Cálculos'!$E$98)+1400)+'Cálculos'!$E$122)*'Cálculos'!$E$274+'Cálculos'!$E$125*(1+2.78*('Cálculos'!$E$200+(($B$168)-$A130)*'Cálculos'!$E$98)/(('Cálculos'!$E$200+(($B$168)-$A130)*'Cálculos'!$E$98)+1400)+'Cálculos'!$E$123)*'Cálculos'!$E$279)+('Cálculos'!$E$200+(($B$168)-$A130)*'Cálculos'!$E$98)*('Cálculos'!$E$270+'Cálculos'!$E$124*(1+2.78*('Cálculos'!$E$200+(($B$168)-$A130)*'Cálculos'!$E$98)/(('Cálculos'!$E$200+(($B$168)-$A130)*'Cálculos'!$E$98)+1400)+'Cálculos'!$E$122)*'Cálculos'!$E$275+'Cálculos'!$E$125*(1+2.78*('Cálculos'!$E$200+(($B$168)-$A130)*'Cálculos'!$E$98)/(('Cálculos'!$E$200+(($B$168)-$A130)*'Cálculos'!$E$98)+1400)+'Cálculos'!$E$123)*'Cálculos'!$E$280)+('Cálculos'!$E$201*(1+'Cálculos'!$E$202+$A130*('Cálculos'!$E$290=2)*'Cálculos'!$E$101)+'Cálculos'!$E$203)*('Cálculos'!$E$271+'Cálculos'!$E$124*(1+2.78*('Cálculos'!$E$200+(($B$168)-$A130)*'Cálculos'!$E$98)/(('Cálculos'!$E$200+(($B$168)-$A130)*'Cálculos'!$E$98)+1400)+'Cálculos'!$E$122)*'Cálculos'!$E$276+'Cálculos'!$E$125*(1+2.78*('Cálculos'!$E$200+(($B$168)-$A130)*'Cálculos'!$E$98)/(('Cálculos'!$E$200+(($B$168)-$A130)*'Cálculos'!$E$98)+1400)+'Cálculos'!$E$123)*'Cálculos'!$E$281)+('Cálculos'!$E$204*(1+'Cálculos'!$E$205+$A130*('Cálculos'!$E$290=3)*'Cálculos'!$E$103)+'Cálculos'!$E$206)*('Cálculos'!$E$272+'Cálculos'!$E$124*(1+2.78*('Cálculos'!$E$200+(($B$168)-$A130)*'Cálculos'!$E$98)/(('Cálculos'!$E$200+(($B$168)-$A130)*'Cálculos'!$E$98)+1400)+'Cálculos'!$E$122)*'Cálculos'!$E$277+'Cálculos'!$E$125*(1+2.78*('Cálculos'!$E$200+(($B$168)-$A130)*'Cálculos'!$E$98)/(('Cálculos'!$E$200+(($B$168)-$A130)*'Cálculos'!$E$98)+1400)+'Cálculos'!$E$123)*'Cálculos'!$E$282)+('Cálculos'!$E$273+'Cálculos'!$E$124*(1+2.78*('Cálculos'!$E$200+(($B$168)-$A130)*'Cálculos'!$E$98)/(('Cálculos'!$E$200+(($B$168)-$A130)*'Cálculos'!$E$98)+1400)+'Cálculos'!$E$122)*'Cálculos'!$E$278+'Cálculos'!$E$125*(1+2.78*('Cálculos'!$E$200+(($B$168)-$A130)*'Cálculos'!$E$98)/(('Cálculos'!$E$200+(($B$168)-$A130)*'Cálculos'!$E$98)+1400)+'Cálculos'!$E$123)*'Cálculos'!$E$283)))</f>
        <v>0</v>
      </c>
    </row>
    <row r="131" ht="15.75" customHeight="1">
      <c r="A131" s="2">
        <v>11.0</v>
      </c>
      <c r="B131" s="30">
        <f>SUMPRODUCT(MAX(($A$120:$A$165&lt;=$A131)*($A$120:$A$165&lt;='Cálculos'!$E$294)*(($A131)-$A$120:$A$165&lt;='Cálculos'!$E$295)*(1+(('Cálculos'!$E$207+$A$120:$A$165*'Cálculos'!$E$95)-(('Cálculos'!$E$207+$A$120:$A$165*'Cálculos'!$E$95)&gt;1)*(('Cálculos'!$E$207+$A$120:$A$165*'Cálculos'!$E$95)-1))*('Cálculos'!$E$208+(($A131)-$A$120:$A$165)*'Cálculos'!$E$96))))</f>
        <v>1.611546</v>
      </c>
      <c r="C131" s="2">
        <f>'Cálculos'!$E$303-$A131</f>
        <v>2</v>
      </c>
      <c r="D131" s="31">
        <f>IF($C131&lt;0,0,SUMPRODUCT(MAX(($A$120:$A$165&lt;=$C131)*($A$120:$A$165&lt;='Cálculos'!$E$301)*(($C131)-$A$120:$A$165&lt;='Cálculos'!$E$297)*(('Cálculos'!$E$185*(1+'Cálculos'!$E$186+$A$120:$A$165*('Cálculos'!$E$290=1)*'Cálculos'!$E$97+'Cálculos'!$E$305)+'Cálculos'!$E$191)*('Cálculos'!$E$209+'Cálculos'!$E$124*(1+2.78*('Cálculos'!$E$196+(($C131)-$A$120:$A$165)*'Cálculos'!$E$98)/(('Cálculos'!$E$196+(($C131)-$A$120:$A$165)*'Cálculos'!$E$98)+1400)+'Cálculos'!$E$122)*'Cálculos'!$E$214+'Cálculos'!$E$125*(1+2.78*('Cálculos'!$E$196+(($C131)-$A$120:$A$165)*'Cálculos'!$E$98)/(('Cálculos'!$E$196+(($C131)-$A$120:$A$165)*'Cálculos'!$E$98)+1400)+'Cálculos'!$E$123)*'Cálculos'!$E$219)+('Cálculos'!$E$196+(($C131)-$A$120:$A$165)*'Cálculos'!$E$98)*('Cálculos'!$E$210+'Cálculos'!$E$124*(1+2.78*('Cálculos'!$E$196+(($C131)-$A$120:$A$165)*'Cálculos'!$E$98)/(('Cálculos'!$E$196+(($C131)-$A$120:$A$165)*'Cálculos'!$E$98)+1400)+'Cálculos'!$E$122)*'Cálculos'!$E$215+'Cálculos'!$E$125*(1+2.78*('Cálculos'!$E$196+(($C131)-$A$120:$A$165)*'Cálculos'!$E$98)/(('Cálculos'!$E$196+(($C131)-$A$120:$A$165)*'Cálculos'!$E$98)+1400)+'Cálculos'!$E$123)*'Cálculos'!$E$220)+('Cálculos'!$E$201*(1+'Cálculos'!$E$202+$A$120:$A$165*('Cálculos'!$E$290=2)*'Cálculos'!$E$101)+'Cálculos'!$E$203)*('Cálculos'!$E$211+'Cálculos'!$E$124*(1+2.78*('Cálculos'!$E$196+(($C131)-$A$120:$A$165)*'Cálculos'!$E$98)/(('Cálculos'!$E$196+(($C131)-$A$120:$A$165)*'Cálculos'!$E$98)+1400)+'Cálculos'!$E$122)*'Cálculos'!$E$216+'Cálculos'!$E$125*(1+2.78*('Cálculos'!$E$196+(($C131)-$A$120:$A$165)*'Cálculos'!$E$98)/(('Cálculos'!$E$196+(($C131)-$A$120:$A$165)*'Cálculos'!$E$98)+1400)+'Cálculos'!$E$123)*'Cálculos'!$E$221)+('Cálculos'!$E$204*(1+'Cálculos'!$E$205+$A$120:$A$165*('Cálculos'!$E$290=3)*'Cálculos'!$E$103)+'Cálculos'!$E$206)*('Cálculos'!$E$212+'Cálculos'!$E$124*(1+2.78*('Cálculos'!$E$196+(($C131)-$A$120:$A$165)*'Cálculos'!$E$98)/(('Cálculos'!$E$196+(($C131)-$A$120:$A$165)*'Cálculos'!$E$98)+1400)+'Cálculos'!$E$122)*'Cálculos'!$E$217+'Cálculos'!$E$125*(1+2.78*('Cálculos'!$E$196+(($C131)-$A$120:$A$165)*'Cálculos'!$E$98)/(('Cálculos'!$E$196+(($C131)-$A$120:$A$165)*'Cálculos'!$E$98)+1400)+'Cálculos'!$E$123)*'Cálculos'!$E$222)+('Cálculos'!$E$213+'Cálculos'!$E$124*(1+2.78*('Cálculos'!$E$196+(($C131)-$A$120:$A$165)*'Cálculos'!$E$98)/(('Cálculos'!$E$196+(($C131)-$A$120:$A$165)*'Cálculos'!$E$98)+1400)+'Cálculos'!$E$122)*'Cálculos'!$E$218+'Cálculos'!$E$125*(1+2.78*('Cálculos'!$E$196+(($C131)-$A$120:$A$165)*'Cálculos'!$E$98)/(('Cálculos'!$E$196+(($C131)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131)-$A$120:$A$165)*'Cálculos'!$E$98)/(('Cálculos'!$E$197+(($C131)-$A$120:$A$165)*'Cálculos'!$E$98)+1400)+'Cálculos'!$E$122)*'Cálculos'!$E$229+'Cálculos'!$E$125*(1+2.78*('Cálculos'!$E$197+(($C131)-$A$120:$A$165)*'Cálculos'!$E$98)/(('Cálculos'!$E$197+(($C131)-$A$120:$A$165)*'Cálculos'!$E$98)+1400)+'Cálculos'!$E$123)*'Cálculos'!$E$234)+('Cálculos'!$E$197+(($C131)-$A$120:$A$165)*'Cálculos'!$E$98)*('Cálculos'!$E$225+'Cálculos'!$E$124*(1+2.78*('Cálculos'!$E$197+(($C131)-$A$120:$A$165)*'Cálculos'!$E$98)/(('Cálculos'!$E$197+(($C131)-$A$120:$A$165)*'Cálculos'!$E$98)+1400)+'Cálculos'!$E$122)*'Cálculos'!$E$230+'Cálculos'!$E$125*(1+2.78*('Cálculos'!$E$197+(($C131)-$A$120:$A$165)*'Cálculos'!$E$98)/(('Cálculos'!$E$197+(($C131)-$A$120:$A$165)*'Cálculos'!$E$98)+1400)+'Cálculos'!$E$123)*'Cálculos'!$E$235)+('Cálculos'!$E$201*(1+'Cálculos'!$E$202+$A$120:$A$165*('Cálculos'!$E$290=2)*'Cálculos'!$E$101)+'Cálculos'!$E$203)*('Cálculos'!$E$226+'Cálculos'!$E$124*(1+2.78*('Cálculos'!$E$197+(($C131)-$A$120:$A$165)*'Cálculos'!$E$98)/(('Cálculos'!$E$197+(($C131)-$A$120:$A$165)*'Cálculos'!$E$98)+1400)+'Cálculos'!$E$122)*'Cálculos'!$E$231+'Cálculos'!$E$125*(1+2.78*('Cálculos'!$E$197+(($C131)-$A$120:$A$165)*'Cálculos'!$E$98)/(('Cálculos'!$E$197+(($C131)-$A$120:$A$165)*'Cálculos'!$E$98)+1400)+'Cálculos'!$E$123)*'Cálculos'!$E$236)+('Cálculos'!$E$204*(1+'Cálculos'!$E$205+$A$120:$A$165*('Cálculos'!$E$290=3)*'Cálculos'!$E$103)+'Cálculos'!$E$206)*('Cálculos'!$E$227+'Cálculos'!$E$124*(1+2.78*('Cálculos'!$E$197+(($C131)-$A$120:$A$165)*'Cálculos'!$E$98)/(('Cálculos'!$E$197+(($C131)-$A$120:$A$165)*'Cálculos'!$E$98)+1400)+'Cálculos'!$E$122)*'Cálculos'!$E$232+'Cálculos'!$E$125*(1+2.78*('Cálculos'!$E$197+(($C131)-$A$120:$A$165)*'Cálculos'!$E$98)/(('Cálculos'!$E$197+(($C131)-$A$120:$A$165)*'Cálculos'!$E$98)+1400)+'Cálculos'!$E$123)*'Cálculos'!$E$237)+('Cálculos'!$E$228+'Cálculos'!$E$124*(1+2.78*('Cálculos'!$E$197+(($C131)-$A$120:$A$165)*'Cálculos'!$E$98)/(('Cálculos'!$E$197+(($C131)-$A$120:$A$165)*'Cálculos'!$E$98)+1400)+'Cálculos'!$E$122)*'Cálculos'!$E$233+'Cálculos'!$E$125*(1+2.78*('Cálculos'!$E$197+(($C131)-$A$120:$A$165)*'Cálculos'!$E$98)/(('Cálculos'!$E$197+(($C131)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131)-$A$120:$A$165)*'Cálculos'!$E$98)/(('Cálculos'!$E$198+(($C131)-$A$120:$A$165)*'Cálculos'!$E$98)+1400)+'Cálculos'!$E$122)*'Cálculos'!$E$244+'Cálculos'!$E$125*(1+2.78*('Cálculos'!$E$198+(($C131)-$A$120:$A$165)*'Cálculos'!$E$98)/(('Cálculos'!$E$198+(($C131)-$A$120:$A$165)*'Cálculos'!$E$98)+1400)+'Cálculos'!$E$123)*'Cálculos'!$E$249)+('Cálculos'!$E$198+(($C131)-$A$120:$A$165)*'Cálculos'!$E$98)*('Cálculos'!$E$240+'Cálculos'!$E$124*(1+2.78*('Cálculos'!$E$198+(($C131)-$A$120:$A$165)*'Cálculos'!$E$98)/(('Cálculos'!$E$198+(($C131)-$A$120:$A$165)*'Cálculos'!$E$98)+1400)+'Cálculos'!$E$122)*'Cálculos'!$E$245+'Cálculos'!$E$125*(1+2.78*('Cálculos'!$E$198+(($C131)-$A$120:$A$165)*'Cálculos'!$E$98)/(('Cálculos'!$E$198+(($C131)-$A$120:$A$165)*'Cálculos'!$E$98)+1400)+'Cálculos'!$E$123)*'Cálculos'!$E$250)+('Cálculos'!$E$201*(1+'Cálculos'!$E$202+$A$120:$A$165*('Cálculos'!$E$290=2)*'Cálculos'!$E$101)+'Cálculos'!$E$203)*('Cálculos'!$E$241+'Cálculos'!$E$124*(1+2.78*('Cálculos'!$E$198+(($C131)-$A$120:$A$165)*'Cálculos'!$E$98)/(('Cálculos'!$E$198+(($C131)-$A$120:$A$165)*'Cálculos'!$E$98)+1400)+'Cálculos'!$E$122)*'Cálculos'!$E$246+'Cálculos'!$E$125*(1+2.78*('Cálculos'!$E$198+(($C131)-$A$120:$A$165)*'Cálculos'!$E$98)/(('Cálculos'!$E$198+(($C131)-$A$120:$A$165)*'Cálculos'!$E$98)+1400)+'Cálculos'!$E$123)*'Cálculos'!$E$251)+('Cálculos'!$E$204*(1+'Cálculos'!$E$205+$A$120:$A$165*('Cálculos'!$E$290=3)*'Cálculos'!$E$103)+'Cálculos'!$E$206)*('Cálculos'!$E$242+'Cálculos'!$E$124*(1+2.78*('Cálculos'!$E$198+(($C131)-$A$120:$A$165)*'Cálculos'!$E$98)/(('Cálculos'!$E$198+(($C131)-$A$120:$A$165)*'Cálculos'!$E$98)+1400)+'Cálculos'!$E$122)*'Cálculos'!$E$247+'Cálculos'!$E$125*(1+2.78*('Cálculos'!$E$198+(($C131)-$A$120:$A$165)*'Cálculos'!$E$98)/(('Cálculos'!$E$198+(($C131)-$A$120:$A$165)*'Cálculos'!$E$98)+1400)+'Cálculos'!$E$123)*'Cálculos'!$E$252)+('Cálculos'!$E$243+'Cálculos'!$E$124*(1+2.78*('Cálculos'!$E$198+(($C131)-$A$120:$A$165)*'Cálculos'!$E$98)/(('Cálculos'!$E$198+(($C131)-$A$120:$A$165)*'Cálculos'!$E$98)+1400)+'Cálculos'!$E$122)*'Cálculos'!$E$248+'Cálculos'!$E$125*(1+2.78*('Cálculos'!$E$198+(($C131)-$A$120:$A$165)*'Cálculos'!$E$98)/(('Cálculos'!$E$198+(($C131)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131)-$A$120:$A$165)*'Cálculos'!$E$98)/(('Cálculos'!$E$199+(($C131)-$A$120:$A$165)*'Cálculos'!$E$98)+1400)+'Cálculos'!$E$122)*'Cálculos'!$E$259+'Cálculos'!$E$125*(1+2.78*('Cálculos'!$E$199+(($C131)-$A$120:$A$165)*'Cálculos'!$E$98)/(('Cálculos'!$E$199+(($C131)-$A$120:$A$165)*'Cálculos'!$E$98)+1400)+'Cálculos'!$E$123)*'Cálculos'!$E$264)+('Cálculos'!$E$199+(($C131)-$A$120:$A$165)*'Cálculos'!$E$98)*('Cálculos'!$E$255+'Cálculos'!$E$124*(1+2.78*('Cálculos'!$E$199+(($C131)-$A$120:$A$165)*'Cálculos'!$E$98)/(('Cálculos'!$E$199+(($C131)-$A$120:$A$165)*'Cálculos'!$E$98)+1400)+'Cálculos'!$E$122)*'Cálculos'!$E$260+'Cálculos'!$E$125*(1+2.78*('Cálculos'!$E$199+(($C131)-$A$120:$A$165)*'Cálculos'!$E$98)/(('Cálculos'!$E$199+(($C131)-$A$120:$A$165)*'Cálculos'!$E$98)+1400)+'Cálculos'!$E$123)*'Cálculos'!$E$265)+('Cálculos'!$E$201*(1+'Cálculos'!$E$202+$A$120:$A$165*('Cálculos'!$E$290=2)*'Cálculos'!$E$101)+'Cálculos'!$E$203)*('Cálculos'!$E$256+'Cálculos'!$E$124*(1+2.78*('Cálculos'!$E$199+(($C131)-$A$120:$A$165)*'Cálculos'!$E$98)/(('Cálculos'!$E$199+(($C131)-$A$120:$A$165)*'Cálculos'!$E$98)+1400)+'Cálculos'!$E$122)*'Cálculos'!$E$261+'Cálculos'!$E$125*(1+2.78*('Cálculos'!$E$199+(($C131)-$A$120:$A$165)*'Cálculos'!$E$98)/(('Cálculos'!$E$199+(($C131)-$A$120:$A$165)*'Cálculos'!$E$98)+1400)+'Cálculos'!$E$123)*'Cálculos'!$E$266)+('Cálculos'!$E$204*(1+'Cálculos'!$E$205+$A$120:$A$165*('Cálculos'!$E$290=3)*'Cálculos'!$E$103)+'Cálculos'!$E$206)*('Cálculos'!$E$257+'Cálculos'!$E$124*(1+2.78*('Cálculos'!$E$199+(($C131)-$A$120:$A$165)*'Cálculos'!$E$98)/(('Cálculos'!$E$199+(($C131)-$A$120:$A$165)*'Cálculos'!$E$98)+1400)+'Cálculos'!$E$122)*'Cálculos'!$E$262+'Cálculos'!$E$125*(1+2.78*('Cálculos'!$E$199+(($C131)-$A$120:$A$165)*'Cálculos'!$E$98)/(('Cálculos'!$E$199+(($C131)-$A$120:$A$165)*'Cálculos'!$E$98)+1400)+'Cálculos'!$E$123)*'Cálculos'!$E$267)+('Cálculos'!$E$258+'Cálculos'!$E$124*(1+2.78*('Cálculos'!$E$199+(($C131)-$A$120:$A$165)*'Cálculos'!$E$98)/(('Cálculos'!$E$199+(($C131)-$A$120:$A$165)*'Cálculos'!$E$98)+1400)+'Cálculos'!$E$122)*'Cálculos'!$E$263+'Cálculos'!$E$125*(1+2.78*('Cálculos'!$E$199+(($C131)-$A$120:$A$165)*'Cálculos'!$E$98)/(('Cálculos'!$E$199+(($C131)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131)-$A$120:$A$165)*'Cálculos'!$E$98)/(('Cálculos'!$E$200+(($C131)-$A$120:$A$165)*'Cálculos'!$E$98)+1400)+'Cálculos'!$E$122)*'Cálculos'!$E$274+'Cálculos'!$E$125*(1+2.78*('Cálculos'!$E$200+(($C131)-$A$120:$A$165)*'Cálculos'!$E$98)/(('Cálculos'!$E$200+(($C131)-$A$120:$A$165)*'Cálculos'!$E$98)+1400)+'Cálculos'!$E$123)*'Cálculos'!$E$279)+('Cálculos'!$E$200+(($C131)-$A$120:$A$165)*'Cálculos'!$E$98)*('Cálculos'!$E$270+'Cálculos'!$E$124*(1+2.78*('Cálculos'!$E$200+(($C131)-$A$120:$A$165)*'Cálculos'!$E$98)/(('Cálculos'!$E$200+(($C131)-$A$120:$A$165)*'Cálculos'!$E$98)+1400)+'Cálculos'!$E$122)*'Cálculos'!$E$275+'Cálculos'!$E$125*(1+2.78*('Cálculos'!$E$200+(($C131)-$A$120:$A$165)*'Cálculos'!$E$98)/(('Cálculos'!$E$200+(($C131)-$A$120:$A$165)*'Cálculos'!$E$98)+1400)+'Cálculos'!$E$123)*'Cálculos'!$E$280)+('Cálculos'!$E$201*(1+'Cálculos'!$E$202+$A$120:$A$165*('Cálculos'!$E$290=2)*'Cálculos'!$E$101)+'Cálculos'!$E$203)*('Cálculos'!$E$271+'Cálculos'!$E$124*(1+2.78*('Cálculos'!$E$200+(($C131)-$A$120:$A$165)*'Cálculos'!$E$98)/(('Cálculos'!$E$200+(($C131)-$A$120:$A$165)*'Cálculos'!$E$98)+1400)+'Cálculos'!$E$122)*'Cálculos'!$E$276+'Cálculos'!$E$125*(1+2.78*('Cálculos'!$E$200+(($C131)-$A$120:$A$165)*'Cálculos'!$E$98)/(('Cálculos'!$E$200+(($C131)-$A$120:$A$165)*'Cálculos'!$E$98)+1400)+'Cálculos'!$E$123)*'Cálculos'!$E$281)+('Cálculos'!$E$204*(1+'Cálculos'!$E$205+$A$120:$A$165*('Cálculos'!$E$290=3)*'Cálculos'!$E$103)+'Cálculos'!$E$206)*('Cálculos'!$E$272+'Cálculos'!$E$124*(1+2.78*('Cálculos'!$E$200+(($C131)-$A$120:$A$165)*'Cálculos'!$E$98)/(('Cálculos'!$E$200+(($C131)-$A$120:$A$165)*'Cálculos'!$E$98)+1400)+'Cálculos'!$E$122)*'Cálculos'!$E$277+'Cálculos'!$E$125*(1+2.78*('Cálculos'!$E$200+(($C131)-$A$120:$A$165)*'Cálculos'!$E$98)/(('Cálculos'!$E$200+(($C131)-$A$120:$A$165)*'Cálculos'!$E$98)+1400)+'Cálculos'!$E$123)*'Cálculos'!$E$282)+('Cálculos'!$E$273+'Cálculos'!$E$124*(1+2.78*('Cálculos'!$E$200+(($C131)-$A$120:$A$165)*'Cálculos'!$E$98)/(('Cálculos'!$E$200+(($C131)-$A$120:$A$165)*'Cálculos'!$E$98)+1400)+'Cálculos'!$E$122)*'Cálculos'!$E$278+'Cálculos'!$E$125*(1+2.78*('Cálculos'!$E$200+(($C131)-$A$120:$A$165)*'Cálculos'!$E$98)/(('Cálculos'!$E$200+(($C131)-$A$120:$A$165)*'Cálculos'!$E$98)+1400)+'Cálculos'!$E$123)*'Cálculos'!$E$283)))))</f>
        <v>19151.96087</v>
      </c>
      <c r="E131" s="32">
        <f>IF(OR($C131&lt;0,'Cálculos'!$E$6=""),0,$B131*$D131)</f>
        <v>30864.26593</v>
      </c>
      <c r="F131" s="2"/>
      <c r="G131" s="30">
        <f>($A131&lt;=$B$167)*($A131&lt;='Cálculos'!$E$294)*(($B$167)-$A131&lt;='Cálculos'!$E$295)*(1+MIN(('Cálculos'!$E$207+$A131*'Cálculos'!$E$95),1)*('Cálculos'!$E$208+(($B$167)-$A131)*'Cálculos'!$E$96))</f>
        <v>1.60356</v>
      </c>
      <c r="H131" s="31">
        <f>IF($B$168&lt;0,0,($A131&lt;=$B$168)*($A131&lt;='Cálculos'!$E$301)*(($B$168)-$A131&lt;='Cálculos'!$E$297)*(('Cálculos'!$E$185*(1+'Cálculos'!$E$186+$A131*('Cálculos'!$E$290=1)*'Cálculos'!$E$97+'Cálculos'!$E$305)+'Cálculos'!$E$191)*('Cálculos'!$E$209+'Cálculos'!$E$124*(1+2.78*('Cálculos'!$E$196+(($B$168)-$A131)*'Cálculos'!$E$98)/(('Cálculos'!$E$196+(($B$168)-$A131)*'Cálculos'!$E$98)+1400)+'Cálculos'!$E$122)*'Cálculos'!$E$214+'Cálculos'!$E$125*(1+2.78*('Cálculos'!$E$196+(($B$168)-$A131)*'Cálculos'!$E$98)/(('Cálculos'!$E$196+(($B$168)-$A131)*'Cálculos'!$E$98)+1400)+'Cálculos'!$E$123)*'Cálculos'!$E$219)+('Cálculos'!$E$196+(($B$168)-$A131)*'Cálculos'!$E$98)*('Cálculos'!$E$210+'Cálculos'!$E$124*(1+2.78*('Cálculos'!$E$196+(($B$168)-$A131)*'Cálculos'!$E$98)/(('Cálculos'!$E$196+(($B$168)-$A131)*'Cálculos'!$E$98)+1400)+'Cálculos'!$E$122)*'Cálculos'!$E$215+'Cálculos'!$E$125*(1+2.78*('Cálculos'!$E$196+(($B$168)-$A131)*'Cálculos'!$E$98)/(('Cálculos'!$E$196+(($B$168)-$A131)*'Cálculos'!$E$98)+1400)+'Cálculos'!$E$123)*'Cálculos'!$E$220)+('Cálculos'!$E$201*(1+'Cálculos'!$E$202+$A131*('Cálculos'!$E$290=2)*'Cálculos'!$E$101)+'Cálculos'!$E$203)*('Cálculos'!$E$211+'Cálculos'!$E$124*(1+2.78*('Cálculos'!$E$196+(($B$168)-$A131)*'Cálculos'!$E$98)/(('Cálculos'!$E$196+(($B$168)-$A131)*'Cálculos'!$E$98)+1400)+'Cálculos'!$E$122)*'Cálculos'!$E$216+'Cálculos'!$E$125*(1+2.78*('Cálculos'!$E$196+(($B$168)-$A131)*'Cálculos'!$E$98)/(('Cálculos'!$E$196+(($B$168)-$A131)*'Cálculos'!$E$98)+1400)+'Cálculos'!$E$123)*'Cálculos'!$E$221)+('Cálculos'!$E$204*(1+'Cálculos'!$E$205+$A131*('Cálculos'!$E$290=3)*'Cálculos'!$E$103)+'Cálculos'!$E$206)*('Cálculos'!$E$212+'Cálculos'!$E$124*(1+2.78*('Cálculos'!$E$196+(($B$168)-$A131)*'Cálculos'!$E$98)/(('Cálculos'!$E$196+(($B$168)-$A131)*'Cálculos'!$E$98)+1400)+'Cálculos'!$E$122)*'Cálculos'!$E$217+'Cálculos'!$E$125*(1+2.78*('Cálculos'!$E$196+(($B$168)-$A131)*'Cálculos'!$E$98)/(('Cálculos'!$E$196+(($B$168)-$A131)*'Cálculos'!$E$98)+1400)+'Cálculos'!$E$123)*'Cálculos'!$E$222)+('Cálculos'!$E$213+'Cálculos'!$E$124*(1+2.78*('Cálculos'!$E$196+(($B$168)-$A131)*'Cálculos'!$E$98)/(('Cálculos'!$E$196+(($B$168)-$A131)*'Cálculos'!$E$98)+1400)+'Cálculos'!$E$122)*'Cálculos'!$E$218+'Cálculos'!$E$125*(1+2.78*('Cálculos'!$E$196+(($B$168)-$A131)*'Cálculos'!$E$98)/(('Cálculos'!$E$196+(($B$168)-$A131)*'Cálculos'!$E$98)+1400)+'Cálculos'!$E$123)*'Cálculos'!$E$223)+('Cálculos'!$E$185*(1+'Cálculos'!$E$187+$A131*('Cálculos'!$E$290=1)*'Cálculos'!$E$97+'Cálculos'!$E$305)+'Cálculos'!$E$192)*('Cálculos'!$E$224+'Cálculos'!$E$124*(1+2.78*('Cálculos'!$E$197+(($B$168)-$A131)*'Cálculos'!$E$98)/(('Cálculos'!$E$197+(($B$168)-$A131)*'Cálculos'!$E$98)+1400)+'Cálculos'!$E$122)*'Cálculos'!$E$229+'Cálculos'!$E$125*(1+2.78*('Cálculos'!$E$197+(($B$168)-$A131)*'Cálculos'!$E$98)/(('Cálculos'!$E$197+(($B$168)-$A131)*'Cálculos'!$E$98)+1400)+'Cálculos'!$E$123)*'Cálculos'!$E$234)+('Cálculos'!$E$197+(($B$168)-$A131)*'Cálculos'!$E$98)*('Cálculos'!$E$225+'Cálculos'!$E$124*(1+2.78*('Cálculos'!$E$197+(($B$168)-$A131)*'Cálculos'!$E$98)/(('Cálculos'!$E$197+(($B$168)-$A131)*'Cálculos'!$E$98)+1400)+'Cálculos'!$E$122)*'Cálculos'!$E$230+'Cálculos'!$E$125*(1+2.78*('Cálculos'!$E$197+(($B$168)-$A131)*'Cálculos'!$E$98)/(('Cálculos'!$E$197+(($B$168)-$A131)*'Cálculos'!$E$98)+1400)+'Cálculos'!$E$123)*'Cálculos'!$E$235)+('Cálculos'!$E$201*(1+'Cálculos'!$E$202+$A131*('Cálculos'!$E$290=2)*'Cálculos'!$E$101)+'Cálculos'!$E$203)*('Cálculos'!$E$226+'Cálculos'!$E$124*(1+2.78*('Cálculos'!$E$197+(($B$168)-$A131)*'Cálculos'!$E$98)/(('Cálculos'!$E$197+(($B$168)-$A131)*'Cálculos'!$E$98)+1400)+'Cálculos'!$E$122)*'Cálculos'!$E$231+'Cálculos'!$E$125*(1+2.78*('Cálculos'!$E$197+(($B$168)-$A131)*'Cálculos'!$E$98)/(('Cálculos'!$E$197+(($B$168)-$A131)*'Cálculos'!$E$98)+1400)+'Cálculos'!$E$123)*'Cálculos'!$E$236)+('Cálculos'!$E$204*(1+'Cálculos'!$E$205+$A131*('Cálculos'!$E$290=3)*'Cálculos'!$E$103)+'Cálculos'!$E$206)*('Cálculos'!$E$227+'Cálculos'!$E$124*(1+2.78*('Cálculos'!$E$197+(($B$168)-$A131)*'Cálculos'!$E$98)/(('Cálculos'!$E$197+(($B$168)-$A131)*'Cálculos'!$E$98)+1400)+'Cálculos'!$E$122)*'Cálculos'!$E$232+'Cálculos'!$E$125*(1+2.78*('Cálculos'!$E$197+(($B$168)-$A131)*'Cálculos'!$E$98)/(('Cálculos'!$E$197+(($B$168)-$A131)*'Cálculos'!$E$98)+1400)+'Cálculos'!$E$123)*'Cálculos'!$E$237)+('Cálculos'!$E$228+'Cálculos'!$E$124*(1+2.78*('Cálculos'!$E$197+(($B$168)-$A131)*'Cálculos'!$E$98)/(('Cálculos'!$E$197+(($B$168)-$A131)*'Cálculos'!$E$98)+1400)+'Cálculos'!$E$122)*'Cálculos'!$E$233+'Cálculos'!$E$125*(1+2.78*('Cálculos'!$E$197+(($B$168)-$A131)*'Cálculos'!$E$98)/(('Cálculos'!$E$197+(($B$168)-$A131)*'Cálculos'!$E$98)+1400)+'Cálculos'!$E$123)*'Cálculos'!$E$238)+('Cálculos'!$E$185*(1+'Cálculos'!$E$188+$A131*('Cálculos'!$E$290=1)*'Cálculos'!$E$97+'Cálculos'!$E$305)+'Cálculos'!$E$193)*('Cálculos'!$E$239+'Cálculos'!$E$124*(1+2.78*('Cálculos'!$E$198+(($B$168)-$A131)*'Cálculos'!$E$98)/(('Cálculos'!$E$198+(($B$168)-$A131)*'Cálculos'!$E$98)+1400)+'Cálculos'!$E$122)*'Cálculos'!$E$244+'Cálculos'!$E$125*(1+2.78*('Cálculos'!$E$198+(($B$168)-$A131)*'Cálculos'!$E$98)/(('Cálculos'!$E$198+(($B$168)-$A131)*'Cálculos'!$E$98)+1400)+'Cálculos'!$E$123)*'Cálculos'!$E$249)+('Cálculos'!$E$198+(($B$168)-$A131)*'Cálculos'!$E$98)*('Cálculos'!$E$240+'Cálculos'!$E$124*(1+2.78*('Cálculos'!$E$198+(($B$168)-$A131)*'Cálculos'!$E$98)/(('Cálculos'!$E$198+(($B$168)-$A131)*'Cálculos'!$E$98)+1400)+'Cálculos'!$E$122)*'Cálculos'!$E$245+'Cálculos'!$E$125*(1+2.78*('Cálculos'!$E$198+(($B$168)-$A131)*'Cálculos'!$E$98)/(('Cálculos'!$E$198+(($B$168)-$A131)*'Cálculos'!$E$98)+1400)+'Cálculos'!$E$123)*'Cálculos'!$E$250)+('Cálculos'!$E$201*(1+'Cálculos'!$E$202+$A131*('Cálculos'!$E$290=2)*'Cálculos'!$E$101)+'Cálculos'!$E$203)*('Cálculos'!$E$241+'Cálculos'!$E$124*(1+2.78*('Cálculos'!$E$198+(($B$168)-$A131)*'Cálculos'!$E$98)/(('Cálculos'!$E$198+(($B$168)-$A131)*'Cálculos'!$E$98)+1400)+'Cálculos'!$E$122)*'Cálculos'!$E$246+'Cálculos'!$E$125*(1+2.78*('Cálculos'!$E$198+(($B$168)-$A131)*'Cálculos'!$E$98)/(('Cálculos'!$E$198+(($B$168)-$A131)*'Cálculos'!$E$98)+1400)+'Cálculos'!$E$123)*'Cálculos'!$E$251)+('Cálculos'!$E$204*(1+'Cálculos'!$E$205+$A131*('Cálculos'!$E$290=3)*'Cálculos'!$E$103)+'Cálculos'!$E$206)*('Cálculos'!$E$242+'Cálculos'!$E$124*(1+2.78*('Cálculos'!$E$198+(($B$168)-$A131)*'Cálculos'!$E$98)/(('Cálculos'!$E$198+(($B$168)-$A131)*'Cálculos'!$E$98)+1400)+'Cálculos'!$E$122)*'Cálculos'!$E$247+'Cálculos'!$E$125*(1+2.78*('Cálculos'!$E$198+(($B$168)-$A131)*'Cálculos'!$E$98)/(('Cálculos'!$E$198+(($B$168)-$A131)*'Cálculos'!$E$98)+1400)+'Cálculos'!$E$123)*'Cálculos'!$E$252)+('Cálculos'!$E$243+'Cálculos'!$E$124*(1+2.78*('Cálculos'!$E$198+(($B$168)-$A131)*'Cálculos'!$E$98)/(('Cálculos'!$E$198+(($B$168)-$A131)*'Cálculos'!$E$98)+1400)+'Cálculos'!$E$122)*'Cálculos'!$E$248+'Cálculos'!$E$125*(1+2.78*('Cálculos'!$E$198+(($B$168)-$A131)*'Cálculos'!$E$98)/(('Cálculos'!$E$198+(($B$168)-$A131)*'Cálculos'!$E$98)+1400)+'Cálculos'!$E$123)*'Cálculos'!$E$253)+('Cálculos'!$E$185*(1+'Cálculos'!$E$189+$A131*('Cálculos'!$E$290=1)*'Cálculos'!$E$97+'Cálculos'!$E$305)+'Cálculos'!$E$194)*('Cálculos'!$E$254+'Cálculos'!$E$124*(1+2.78*('Cálculos'!$E$199+(($B$168)-$A131)*'Cálculos'!$E$98)/(('Cálculos'!$E$199+(($B$168)-$A131)*'Cálculos'!$E$98)+1400)+'Cálculos'!$E$122)*'Cálculos'!$E$259+'Cálculos'!$E$125*(1+2.78*('Cálculos'!$E$199+(($B$168)-$A131)*'Cálculos'!$E$98)/(('Cálculos'!$E$199+(($B$168)-$A131)*'Cálculos'!$E$98)+1400)+'Cálculos'!$E$123)*'Cálculos'!$E$264)+('Cálculos'!$E$199+(($B$168)-$A131)*'Cálculos'!$E$98)*('Cálculos'!$E$255+'Cálculos'!$E$124*(1+2.78*('Cálculos'!$E$199+(($B$168)-$A131)*'Cálculos'!$E$98)/(('Cálculos'!$E$199+(($B$168)-$A131)*'Cálculos'!$E$98)+1400)+'Cálculos'!$E$122)*'Cálculos'!$E$260+'Cálculos'!$E$125*(1+2.78*('Cálculos'!$E$199+(($B$168)-$A131)*'Cálculos'!$E$98)/(('Cálculos'!$E$199+(($B$168)-$A131)*'Cálculos'!$E$98)+1400)+'Cálculos'!$E$123)*'Cálculos'!$E$265)+('Cálculos'!$E$201*(1+'Cálculos'!$E$202+$A131*('Cálculos'!$E$290=2)*'Cálculos'!$E$101)+'Cálculos'!$E$203)*('Cálculos'!$E$256+'Cálculos'!$E$124*(1+2.78*('Cálculos'!$E$199+(($B$168)-$A131)*'Cálculos'!$E$98)/(('Cálculos'!$E$199+(($B$168)-$A131)*'Cálculos'!$E$98)+1400)+'Cálculos'!$E$122)*'Cálculos'!$E$261+'Cálculos'!$E$125*(1+2.78*('Cálculos'!$E$199+(($B$168)-$A131)*'Cálculos'!$E$98)/(('Cálculos'!$E$199+(($B$168)-$A131)*'Cálculos'!$E$98)+1400)+'Cálculos'!$E$123)*'Cálculos'!$E$266)+('Cálculos'!$E$204*(1+'Cálculos'!$E$205+$A131*('Cálculos'!$E$290=3)*'Cálculos'!$E$103)+'Cálculos'!$E$206)*('Cálculos'!$E$257+'Cálculos'!$E$124*(1+2.78*('Cálculos'!$E$199+(($B$168)-$A131)*'Cálculos'!$E$98)/(('Cálculos'!$E$199+(($B$168)-$A131)*'Cálculos'!$E$98)+1400)+'Cálculos'!$E$122)*'Cálculos'!$E$262+'Cálculos'!$E$125*(1+2.78*('Cálculos'!$E$199+(($B$168)-$A131)*'Cálculos'!$E$98)/(('Cálculos'!$E$199+(($B$168)-$A131)*'Cálculos'!$E$98)+1400)+'Cálculos'!$E$123)*'Cálculos'!$E$267)+('Cálculos'!$E$258+'Cálculos'!$E$124*(1+2.78*('Cálculos'!$E$199+(($B$168)-$A131)*'Cálculos'!$E$98)/(('Cálculos'!$E$199+(($B$168)-$A131)*'Cálculos'!$E$98)+1400)+'Cálculos'!$E$122)*'Cálculos'!$E$263+'Cálculos'!$E$125*(1+2.78*('Cálculos'!$E$199+(($B$168)-$A131)*'Cálculos'!$E$98)/(('Cálculos'!$E$199+(($B$168)-$A131)*'Cálculos'!$E$98)+1400)+'Cálculos'!$E$123)*'Cálculos'!$E$268)+('Cálculos'!$E$185*(1+'Cálculos'!$E$190+$A131*('Cálculos'!$E$290=1)*'Cálculos'!$E$97+'Cálculos'!$E$305)+'Cálculos'!$E$195)*('Cálculos'!$E$269+'Cálculos'!$E$124*(1+2.78*('Cálculos'!$E$200+(($B$168)-$A131)*'Cálculos'!$E$98)/(('Cálculos'!$E$200+(($B$168)-$A131)*'Cálculos'!$E$98)+1400)+'Cálculos'!$E$122)*'Cálculos'!$E$274+'Cálculos'!$E$125*(1+2.78*('Cálculos'!$E$200+(($B$168)-$A131)*'Cálculos'!$E$98)/(('Cálculos'!$E$200+(($B$168)-$A131)*'Cálculos'!$E$98)+1400)+'Cálculos'!$E$123)*'Cálculos'!$E$279)+('Cálculos'!$E$200+(($B$168)-$A131)*'Cálculos'!$E$98)*('Cálculos'!$E$270+'Cálculos'!$E$124*(1+2.78*('Cálculos'!$E$200+(($B$168)-$A131)*'Cálculos'!$E$98)/(('Cálculos'!$E$200+(($B$168)-$A131)*'Cálculos'!$E$98)+1400)+'Cálculos'!$E$122)*'Cálculos'!$E$275+'Cálculos'!$E$125*(1+2.78*('Cálculos'!$E$200+(($B$168)-$A131)*'Cálculos'!$E$98)/(('Cálculos'!$E$200+(($B$168)-$A131)*'Cálculos'!$E$98)+1400)+'Cálculos'!$E$123)*'Cálculos'!$E$280)+('Cálculos'!$E$201*(1+'Cálculos'!$E$202+$A131*('Cálculos'!$E$290=2)*'Cálculos'!$E$101)+'Cálculos'!$E$203)*('Cálculos'!$E$271+'Cálculos'!$E$124*(1+2.78*('Cálculos'!$E$200+(($B$168)-$A131)*'Cálculos'!$E$98)/(('Cálculos'!$E$200+(($B$168)-$A131)*'Cálculos'!$E$98)+1400)+'Cálculos'!$E$122)*'Cálculos'!$E$276+'Cálculos'!$E$125*(1+2.78*('Cálculos'!$E$200+(($B$168)-$A131)*'Cálculos'!$E$98)/(('Cálculos'!$E$200+(($B$168)-$A131)*'Cálculos'!$E$98)+1400)+'Cálculos'!$E$123)*'Cálculos'!$E$281)+('Cálculos'!$E$204*(1+'Cálculos'!$E$205+$A131*('Cálculos'!$E$290=3)*'Cálculos'!$E$103)+'Cálculos'!$E$206)*('Cálculos'!$E$272+'Cálculos'!$E$124*(1+2.78*('Cálculos'!$E$200+(($B$168)-$A131)*'Cálculos'!$E$98)/(('Cálculos'!$E$200+(($B$168)-$A131)*'Cálculos'!$E$98)+1400)+'Cálculos'!$E$122)*'Cálculos'!$E$277+'Cálculos'!$E$125*(1+2.78*('Cálculos'!$E$200+(($B$168)-$A131)*'Cálculos'!$E$98)/(('Cálculos'!$E$200+(($B$168)-$A131)*'Cálculos'!$E$98)+1400)+'Cálculos'!$E$123)*'Cálculos'!$E$282)+('Cálculos'!$E$273+'Cálculos'!$E$124*(1+2.78*('Cálculos'!$E$200+(($B$168)-$A131)*'Cálculos'!$E$98)/(('Cálculos'!$E$200+(($B$168)-$A131)*'Cálculos'!$E$98)+1400)+'Cálculos'!$E$122)*'Cálculos'!$E$278+'Cálculos'!$E$125*(1+2.78*('Cálculos'!$E$200+(($B$168)-$A131)*'Cálculos'!$E$98)/(('Cálculos'!$E$200+(($B$168)-$A131)*'Cálculos'!$E$98)+1400)+'Cálculos'!$E$123)*'Cálculos'!$E$283)))</f>
        <v>0</v>
      </c>
    </row>
    <row r="132" ht="15.75" customHeight="1">
      <c r="A132" s="2">
        <v>12.0</v>
      </c>
      <c r="B132" s="30">
        <f>SUMPRODUCT(MAX(($A$120:$A$165&lt;=$A132)*($A$120:$A$165&lt;='Cálculos'!$E$294)*(($A132)-$A$120:$A$165&lt;='Cálculos'!$E$295)*(1+(('Cálculos'!$E$207+$A$120:$A$165*'Cálculos'!$E$95)-(('Cálculos'!$E$207+$A$120:$A$165*'Cálculos'!$E$95)&gt;1)*(('Cálculos'!$E$207+$A$120:$A$165*'Cálculos'!$E$95)-1))*('Cálculos'!$E$208+(($A132)-$A$120:$A$165)*'Cálculos'!$E$96))))</f>
        <v>1.64844</v>
      </c>
      <c r="C132" s="2">
        <f>'Cálculos'!$E$303-$A132</f>
        <v>1</v>
      </c>
      <c r="D132" s="31">
        <f>IF($C132&lt;0,0,SUMPRODUCT(MAX(($A$120:$A$165&lt;=$C132)*($A$120:$A$165&lt;='Cálculos'!$E$301)*(($C132)-$A$120:$A$165&lt;='Cálculos'!$E$297)*(('Cálculos'!$E$185*(1+'Cálculos'!$E$186+$A$120:$A$165*('Cálculos'!$E$290=1)*'Cálculos'!$E$97+'Cálculos'!$E$305)+'Cálculos'!$E$191)*('Cálculos'!$E$209+'Cálculos'!$E$124*(1+2.78*('Cálculos'!$E$196+(($C132)-$A$120:$A$165)*'Cálculos'!$E$98)/(('Cálculos'!$E$196+(($C132)-$A$120:$A$165)*'Cálculos'!$E$98)+1400)+'Cálculos'!$E$122)*'Cálculos'!$E$214+'Cálculos'!$E$125*(1+2.78*('Cálculos'!$E$196+(($C132)-$A$120:$A$165)*'Cálculos'!$E$98)/(('Cálculos'!$E$196+(($C132)-$A$120:$A$165)*'Cálculos'!$E$98)+1400)+'Cálculos'!$E$123)*'Cálculos'!$E$219)+('Cálculos'!$E$196+(($C132)-$A$120:$A$165)*'Cálculos'!$E$98)*('Cálculos'!$E$210+'Cálculos'!$E$124*(1+2.78*('Cálculos'!$E$196+(($C132)-$A$120:$A$165)*'Cálculos'!$E$98)/(('Cálculos'!$E$196+(($C132)-$A$120:$A$165)*'Cálculos'!$E$98)+1400)+'Cálculos'!$E$122)*'Cálculos'!$E$215+'Cálculos'!$E$125*(1+2.78*('Cálculos'!$E$196+(($C132)-$A$120:$A$165)*'Cálculos'!$E$98)/(('Cálculos'!$E$196+(($C132)-$A$120:$A$165)*'Cálculos'!$E$98)+1400)+'Cálculos'!$E$123)*'Cálculos'!$E$220)+('Cálculos'!$E$201*(1+'Cálculos'!$E$202+$A$120:$A$165*('Cálculos'!$E$290=2)*'Cálculos'!$E$101)+'Cálculos'!$E$203)*('Cálculos'!$E$211+'Cálculos'!$E$124*(1+2.78*('Cálculos'!$E$196+(($C132)-$A$120:$A$165)*'Cálculos'!$E$98)/(('Cálculos'!$E$196+(($C132)-$A$120:$A$165)*'Cálculos'!$E$98)+1400)+'Cálculos'!$E$122)*'Cálculos'!$E$216+'Cálculos'!$E$125*(1+2.78*('Cálculos'!$E$196+(($C132)-$A$120:$A$165)*'Cálculos'!$E$98)/(('Cálculos'!$E$196+(($C132)-$A$120:$A$165)*'Cálculos'!$E$98)+1400)+'Cálculos'!$E$123)*'Cálculos'!$E$221)+('Cálculos'!$E$204*(1+'Cálculos'!$E$205+$A$120:$A$165*('Cálculos'!$E$290=3)*'Cálculos'!$E$103)+'Cálculos'!$E$206)*('Cálculos'!$E$212+'Cálculos'!$E$124*(1+2.78*('Cálculos'!$E$196+(($C132)-$A$120:$A$165)*'Cálculos'!$E$98)/(('Cálculos'!$E$196+(($C132)-$A$120:$A$165)*'Cálculos'!$E$98)+1400)+'Cálculos'!$E$122)*'Cálculos'!$E$217+'Cálculos'!$E$125*(1+2.78*('Cálculos'!$E$196+(($C132)-$A$120:$A$165)*'Cálculos'!$E$98)/(('Cálculos'!$E$196+(($C132)-$A$120:$A$165)*'Cálculos'!$E$98)+1400)+'Cálculos'!$E$123)*'Cálculos'!$E$222)+('Cálculos'!$E$213+'Cálculos'!$E$124*(1+2.78*('Cálculos'!$E$196+(($C132)-$A$120:$A$165)*'Cálculos'!$E$98)/(('Cálculos'!$E$196+(($C132)-$A$120:$A$165)*'Cálculos'!$E$98)+1400)+'Cálculos'!$E$122)*'Cálculos'!$E$218+'Cálculos'!$E$125*(1+2.78*('Cálculos'!$E$196+(($C132)-$A$120:$A$165)*'Cálculos'!$E$98)/(('Cálculos'!$E$196+(($C132)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132)-$A$120:$A$165)*'Cálculos'!$E$98)/(('Cálculos'!$E$197+(($C132)-$A$120:$A$165)*'Cálculos'!$E$98)+1400)+'Cálculos'!$E$122)*'Cálculos'!$E$229+'Cálculos'!$E$125*(1+2.78*('Cálculos'!$E$197+(($C132)-$A$120:$A$165)*'Cálculos'!$E$98)/(('Cálculos'!$E$197+(($C132)-$A$120:$A$165)*'Cálculos'!$E$98)+1400)+'Cálculos'!$E$123)*'Cálculos'!$E$234)+('Cálculos'!$E$197+(($C132)-$A$120:$A$165)*'Cálculos'!$E$98)*('Cálculos'!$E$225+'Cálculos'!$E$124*(1+2.78*('Cálculos'!$E$197+(($C132)-$A$120:$A$165)*'Cálculos'!$E$98)/(('Cálculos'!$E$197+(($C132)-$A$120:$A$165)*'Cálculos'!$E$98)+1400)+'Cálculos'!$E$122)*'Cálculos'!$E$230+'Cálculos'!$E$125*(1+2.78*('Cálculos'!$E$197+(($C132)-$A$120:$A$165)*'Cálculos'!$E$98)/(('Cálculos'!$E$197+(($C132)-$A$120:$A$165)*'Cálculos'!$E$98)+1400)+'Cálculos'!$E$123)*'Cálculos'!$E$235)+('Cálculos'!$E$201*(1+'Cálculos'!$E$202+$A$120:$A$165*('Cálculos'!$E$290=2)*'Cálculos'!$E$101)+'Cálculos'!$E$203)*('Cálculos'!$E$226+'Cálculos'!$E$124*(1+2.78*('Cálculos'!$E$197+(($C132)-$A$120:$A$165)*'Cálculos'!$E$98)/(('Cálculos'!$E$197+(($C132)-$A$120:$A$165)*'Cálculos'!$E$98)+1400)+'Cálculos'!$E$122)*'Cálculos'!$E$231+'Cálculos'!$E$125*(1+2.78*('Cálculos'!$E$197+(($C132)-$A$120:$A$165)*'Cálculos'!$E$98)/(('Cálculos'!$E$197+(($C132)-$A$120:$A$165)*'Cálculos'!$E$98)+1400)+'Cálculos'!$E$123)*'Cálculos'!$E$236)+('Cálculos'!$E$204*(1+'Cálculos'!$E$205+$A$120:$A$165*('Cálculos'!$E$290=3)*'Cálculos'!$E$103)+'Cálculos'!$E$206)*('Cálculos'!$E$227+'Cálculos'!$E$124*(1+2.78*('Cálculos'!$E$197+(($C132)-$A$120:$A$165)*'Cálculos'!$E$98)/(('Cálculos'!$E$197+(($C132)-$A$120:$A$165)*'Cálculos'!$E$98)+1400)+'Cálculos'!$E$122)*'Cálculos'!$E$232+'Cálculos'!$E$125*(1+2.78*('Cálculos'!$E$197+(($C132)-$A$120:$A$165)*'Cálculos'!$E$98)/(('Cálculos'!$E$197+(($C132)-$A$120:$A$165)*'Cálculos'!$E$98)+1400)+'Cálculos'!$E$123)*'Cálculos'!$E$237)+('Cálculos'!$E$228+'Cálculos'!$E$124*(1+2.78*('Cálculos'!$E$197+(($C132)-$A$120:$A$165)*'Cálculos'!$E$98)/(('Cálculos'!$E$197+(($C132)-$A$120:$A$165)*'Cálculos'!$E$98)+1400)+'Cálculos'!$E$122)*'Cálculos'!$E$233+'Cálculos'!$E$125*(1+2.78*('Cálculos'!$E$197+(($C132)-$A$120:$A$165)*'Cálculos'!$E$98)/(('Cálculos'!$E$197+(($C132)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132)-$A$120:$A$165)*'Cálculos'!$E$98)/(('Cálculos'!$E$198+(($C132)-$A$120:$A$165)*'Cálculos'!$E$98)+1400)+'Cálculos'!$E$122)*'Cálculos'!$E$244+'Cálculos'!$E$125*(1+2.78*('Cálculos'!$E$198+(($C132)-$A$120:$A$165)*'Cálculos'!$E$98)/(('Cálculos'!$E$198+(($C132)-$A$120:$A$165)*'Cálculos'!$E$98)+1400)+'Cálculos'!$E$123)*'Cálculos'!$E$249)+('Cálculos'!$E$198+(($C132)-$A$120:$A$165)*'Cálculos'!$E$98)*('Cálculos'!$E$240+'Cálculos'!$E$124*(1+2.78*('Cálculos'!$E$198+(($C132)-$A$120:$A$165)*'Cálculos'!$E$98)/(('Cálculos'!$E$198+(($C132)-$A$120:$A$165)*'Cálculos'!$E$98)+1400)+'Cálculos'!$E$122)*'Cálculos'!$E$245+'Cálculos'!$E$125*(1+2.78*('Cálculos'!$E$198+(($C132)-$A$120:$A$165)*'Cálculos'!$E$98)/(('Cálculos'!$E$198+(($C132)-$A$120:$A$165)*'Cálculos'!$E$98)+1400)+'Cálculos'!$E$123)*'Cálculos'!$E$250)+('Cálculos'!$E$201*(1+'Cálculos'!$E$202+$A$120:$A$165*('Cálculos'!$E$290=2)*'Cálculos'!$E$101)+'Cálculos'!$E$203)*('Cálculos'!$E$241+'Cálculos'!$E$124*(1+2.78*('Cálculos'!$E$198+(($C132)-$A$120:$A$165)*'Cálculos'!$E$98)/(('Cálculos'!$E$198+(($C132)-$A$120:$A$165)*'Cálculos'!$E$98)+1400)+'Cálculos'!$E$122)*'Cálculos'!$E$246+'Cálculos'!$E$125*(1+2.78*('Cálculos'!$E$198+(($C132)-$A$120:$A$165)*'Cálculos'!$E$98)/(('Cálculos'!$E$198+(($C132)-$A$120:$A$165)*'Cálculos'!$E$98)+1400)+'Cálculos'!$E$123)*'Cálculos'!$E$251)+('Cálculos'!$E$204*(1+'Cálculos'!$E$205+$A$120:$A$165*('Cálculos'!$E$290=3)*'Cálculos'!$E$103)+'Cálculos'!$E$206)*('Cálculos'!$E$242+'Cálculos'!$E$124*(1+2.78*('Cálculos'!$E$198+(($C132)-$A$120:$A$165)*'Cálculos'!$E$98)/(('Cálculos'!$E$198+(($C132)-$A$120:$A$165)*'Cálculos'!$E$98)+1400)+'Cálculos'!$E$122)*'Cálculos'!$E$247+'Cálculos'!$E$125*(1+2.78*('Cálculos'!$E$198+(($C132)-$A$120:$A$165)*'Cálculos'!$E$98)/(('Cálculos'!$E$198+(($C132)-$A$120:$A$165)*'Cálculos'!$E$98)+1400)+'Cálculos'!$E$123)*'Cálculos'!$E$252)+('Cálculos'!$E$243+'Cálculos'!$E$124*(1+2.78*('Cálculos'!$E$198+(($C132)-$A$120:$A$165)*'Cálculos'!$E$98)/(('Cálculos'!$E$198+(($C132)-$A$120:$A$165)*'Cálculos'!$E$98)+1400)+'Cálculos'!$E$122)*'Cálculos'!$E$248+'Cálculos'!$E$125*(1+2.78*('Cálculos'!$E$198+(($C132)-$A$120:$A$165)*'Cálculos'!$E$98)/(('Cálculos'!$E$198+(($C132)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132)-$A$120:$A$165)*'Cálculos'!$E$98)/(('Cálculos'!$E$199+(($C132)-$A$120:$A$165)*'Cálculos'!$E$98)+1400)+'Cálculos'!$E$122)*'Cálculos'!$E$259+'Cálculos'!$E$125*(1+2.78*('Cálculos'!$E$199+(($C132)-$A$120:$A$165)*'Cálculos'!$E$98)/(('Cálculos'!$E$199+(($C132)-$A$120:$A$165)*'Cálculos'!$E$98)+1400)+'Cálculos'!$E$123)*'Cálculos'!$E$264)+('Cálculos'!$E$199+(($C132)-$A$120:$A$165)*'Cálculos'!$E$98)*('Cálculos'!$E$255+'Cálculos'!$E$124*(1+2.78*('Cálculos'!$E$199+(($C132)-$A$120:$A$165)*'Cálculos'!$E$98)/(('Cálculos'!$E$199+(($C132)-$A$120:$A$165)*'Cálculos'!$E$98)+1400)+'Cálculos'!$E$122)*'Cálculos'!$E$260+'Cálculos'!$E$125*(1+2.78*('Cálculos'!$E$199+(($C132)-$A$120:$A$165)*'Cálculos'!$E$98)/(('Cálculos'!$E$199+(($C132)-$A$120:$A$165)*'Cálculos'!$E$98)+1400)+'Cálculos'!$E$123)*'Cálculos'!$E$265)+('Cálculos'!$E$201*(1+'Cálculos'!$E$202+$A$120:$A$165*('Cálculos'!$E$290=2)*'Cálculos'!$E$101)+'Cálculos'!$E$203)*('Cálculos'!$E$256+'Cálculos'!$E$124*(1+2.78*('Cálculos'!$E$199+(($C132)-$A$120:$A$165)*'Cálculos'!$E$98)/(('Cálculos'!$E$199+(($C132)-$A$120:$A$165)*'Cálculos'!$E$98)+1400)+'Cálculos'!$E$122)*'Cálculos'!$E$261+'Cálculos'!$E$125*(1+2.78*('Cálculos'!$E$199+(($C132)-$A$120:$A$165)*'Cálculos'!$E$98)/(('Cálculos'!$E$199+(($C132)-$A$120:$A$165)*'Cálculos'!$E$98)+1400)+'Cálculos'!$E$123)*'Cálculos'!$E$266)+('Cálculos'!$E$204*(1+'Cálculos'!$E$205+$A$120:$A$165*('Cálculos'!$E$290=3)*'Cálculos'!$E$103)+'Cálculos'!$E$206)*('Cálculos'!$E$257+'Cálculos'!$E$124*(1+2.78*('Cálculos'!$E$199+(($C132)-$A$120:$A$165)*'Cálculos'!$E$98)/(('Cálculos'!$E$199+(($C132)-$A$120:$A$165)*'Cálculos'!$E$98)+1400)+'Cálculos'!$E$122)*'Cálculos'!$E$262+'Cálculos'!$E$125*(1+2.78*('Cálculos'!$E$199+(($C132)-$A$120:$A$165)*'Cálculos'!$E$98)/(('Cálculos'!$E$199+(($C132)-$A$120:$A$165)*'Cálculos'!$E$98)+1400)+'Cálculos'!$E$123)*'Cálculos'!$E$267)+('Cálculos'!$E$258+'Cálculos'!$E$124*(1+2.78*('Cálculos'!$E$199+(($C132)-$A$120:$A$165)*'Cálculos'!$E$98)/(('Cálculos'!$E$199+(($C132)-$A$120:$A$165)*'Cálculos'!$E$98)+1400)+'Cálculos'!$E$122)*'Cálculos'!$E$263+'Cálculos'!$E$125*(1+2.78*('Cálculos'!$E$199+(($C132)-$A$120:$A$165)*'Cálculos'!$E$98)/(('Cálculos'!$E$199+(($C132)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132)-$A$120:$A$165)*'Cálculos'!$E$98)/(('Cálculos'!$E$200+(($C132)-$A$120:$A$165)*'Cálculos'!$E$98)+1400)+'Cálculos'!$E$122)*'Cálculos'!$E$274+'Cálculos'!$E$125*(1+2.78*('Cálculos'!$E$200+(($C132)-$A$120:$A$165)*'Cálculos'!$E$98)/(('Cálculos'!$E$200+(($C132)-$A$120:$A$165)*'Cálculos'!$E$98)+1400)+'Cálculos'!$E$123)*'Cálculos'!$E$279)+('Cálculos'!$E$200+(($C132)-$A$120:$A$165)*'Cálculos'!$E$98)*('Cálculos'!$E$270+'Cálculos'!$E$124*(1+2.78*('Cálculos'!$E$200+(($C132)-$A$120:$A$165)*'Cálculos'!$E$98)/(('Cálculos'!$E$200+(($C132)-$A$120:$A$165)*'Cálculos'!$E$98)+1400)+'Cálculos'!$E$122)*'Cálculos'!$E$275+'Cálculos'!$E$125*(1+2.78*('Cálculos'!$E$200+(($C132)-$A$120:$A$165)*'Cálculos'!$E$98)/(('Cálculos'!$E$200+(($C132)-$A$120:$A$165)*'Cálculos'!$E$98)+1400)+'Cálculos'!$E$123)*'Cálculos'!$E$280)+('Cálculos'!$E$201*(1+'Cálculos'!$E$202+$A$120:$A$165*('Cálculos'!$E$290=2)*'Cálculos'!$E$101)+'Cálculos'!$E$203)*('Cálculos'!$E$271+'Cálculos'!$E$124*(1+2.78*('Cálculos'!$E$200+(($C132)-$A$120:$A$165)*'Cálculos'!$E$98)/(('Cálculos'!$E$200+(($C132)-$A$120:$A$165)*'Cálculos'!$E$98)+1400)+'Cálculos'!$E$122)*'Cálculos'!$E$276+'Cálculos'!$E$125*(1+2.78*('Cálculos'!$E$200+(($C132)-$A$120:$A$165)*'Cálculos'!$E$98)/(('Cálculos'!$E$200+(($C132)-$A$120:$A$165)*'Cálculos'!$E$98)+1400)+'Cálculos'!$E$123)*'Cálculos'!$E$281)+('Cálculos'!$E$204*(1+'Cálculos'!$E$205+$A$120:$A$165*('Cálculos'!$E$290=3)*'Cálculos'!$E$103)+'Cálculos'!$E$206)*('Cálculos'!$E$272+'Cálculos'!$E$124*(1+2.78*('Cálculos'!$E$200+(($C132)-$A$120:$A$165)*'Cálculos'!$E$98)/(('Cálculos'!$E$200+(($C132)-$A$120:$A$165)*'Cálculos'!$E$98)+1400)+'Cálculos'!$E$122)*'Cálculos'!$E$277+'Cálculos'!$E$125*(1+2.78*('Cálculos'!$E$200+(($C132)-$A$120:$A$165)*'Cálculos'!$E$98)/(('Cálculos'!$E$200+(($C132)-$A$120:$A$165)*'Cálculos'!$E$98)+1400)+'Cálculos'!$E$123)*'Cálculos'!$E$282)+('Cálculos'!$E$273+'Cálculos'!$E$124*(1+2.78*('Cálculos'!$E$200+(($C132)-$A$120:$A$165)*'Cálculos'!$E$98)/(('Cálculos'!$E$200+(($C132)-$A$120:$A$165)*'Cálculos'!$E$98)+1400)+'Cálculos'!$E$122)*'Cálculos'!$E$278+'Cálculos'!$E$125*(1+2.78*('Cálculos'!$E$200+(($C132)-$A$120:$A$165)*'Cálculos'!$E$98)/(('Cálculos'!$E$200+(($C132)-$A$120:$A$165)*'Cálculos'!$E$98)+1400)+'Cálculos'!$E$123)*'Cálculos'!$E$283)))))</f>
        <v>18865.99794</v>
      </c>
      <c r="E132" s="32">
        <f>IF(OR($C132&lt;0,'Cálculos'!$E$6=""),0,$B132*$D132)</f>
        <v>31099.46564</v>
      </c>
      <c r="F132" s="2"/>
      <c r="G132" s="30">
        <f>($A132&lt;=$B$167)*($A132&lt;='Cálculos'!$E$294)*(($B$167)-$A132&lt;='Cálculos'!$E$295)*(1+MIN(('Cálculos'!$E$207+$A132*'Cálculos'!$E$95),1)*('Cálculos'!$E$208+(($B$167)-$A132)*'Cálculos'!$E$96))</f>
        <v>1.574454</v>
      </c>
      <c r="H132" s="31">
        <f>IF($B$168&lt;0,0,($A132&lt;=$B$168)*($A132&lt;='Cálculos'!$E$301)*(($B$168)-$A132&lt;='Cálculos'!$E$297)*(('Cálculos'!$E$185*(1+'Cálculos'!$E$186+$A132*('Cálculos'!$E$290=1)*'Cálculos'!$E$97+'Cálculos'!$E$305)+'Cálculos'!$E$191)*('Cálculos'!$E$209+'Cálculos'!$E$124*(1+2.78*('Cálculos'!$E$196+(($B$168)-$A132)*'Cálculos'!$E$98)/(('Cálculos'!$E$196+(($B$168)-$A132)*'Cálculos'!$E$98)+1400)+'Cálculos'!$E$122)*'Cálculos'!$E$214+'Cálculos'!$E$125*(1+2.78*('Cálculos'!$E$196+(($B$168)-$A132)*'Cálculos'!$E$98)/(('Cálculos'!$E$196+(($B$168)-$A132)*'Cálculos'!$E$98)+1400)+'Cálculos'!$E$123)*'Cálculos'!$E$219)+('Cálculos'!$E$196+(($B$168)-$A132)*'Cálculos'!$E$98)*('Cálculos'!$E$210+'Cálculos'!$E$124*(1+2.78*('Cálculos'!$E$196+(($B$168)-$A132)*'Cálculos'!$E$98)/(('Cálculos'!$E$196+(($B$168)-$A132)*'Cálculos'!$E$98)+1400)+'Cálculos'!$E$122)*'Cálculos'!$E$215+'Cálculos'!$E$125*(1+2.78*('Cálculos'!$E$196+(($B$168)-$A132)*'Cálculos'!$E$98)/(('Cálculos'!$E$196+(($B$168)-$A132)*'Cálculos'!$E$98)+1400)+'Cálculos'!$E$123)*'Cálculos'!$E$220)+('Cálculos'!$E$201*(1+'Cálculos'!$E$202+$A132*('Cálculos'!$E$290=2)*'Cálculos'!$E$101)+'Cálculos'!$E$203)*('Cálculos'!$E$211+'Cálculos'!$E$124*(1+2.78*('Cálculos'!$E$196+(($B$168)-$A132)*'Cálculos'!$E$98)/(('Cálculos'!$E$196+(($B$168)-$A132)*'Cálculos'!$E$98)+1400)+'Cálculos'!$E$122)*'Cálculos'!$E$216+'Cálculos'!$E$125*(1+2.78*('Cálculos'!$E$196+(($B$168)-$A132)*'Cálculos'!$E$98)/(('Cálculos'!$E$196+(($B$168)-$A132)*'Cálculos'!$E$98)+1400)+'Cálculos'!$E$123)*'Cálculos'!$E$221)+('Cálculos'!$E$204*(1+'Cálculos'!$E$205+$A132*('Cálculos'!$E$290=3)*'Cálculos'!$E$103)+'Cálculos'!$E$206)*('Cálculos'!$E$212+'Cálculos'!$E$124*(1+2.78*('Cálculos'!$E$196+(($B$168)-$A132)*'Cálculos'!$E$98)/(('Cálculos'!$E$196+(($B$168)-$A132)*'Cálculos'!$E$98)+1400)+'Cálculos'!$E$122)*'Cálculos'!$E$217+'Cálculos'!$E$125*(1+2.78*('Cálculos'!$E$196+(($B$168)-$A132)*'Cálculos'!$E$98)/(('Cálculos'!$E$196+(($B$168)-$A132)*'Cálculos'!$E$98)+1400)+'Cálculos'!$E$123)*'Cálculos'!$E$222)+('Cálculos'!$E$213+'Cálculos'!$E$124*(1+2.78*('Cálculos'!$E$196+(($B$168)-$A132)*'Cálculos'!$E$98)/(('Cálculos'!$E$196+(($B$168)-$A132)*'Cálculos'!$E$98)+1400)+'Cálculos'!$E$122)*'Cálculos'!$E$218+'Cálculos'!$E$125*(1+2.78*('Cálculos'!$E$196+(($B$168)-$A132)*'Cálculos'!$E$98)/(('Cálculos'!$E$196+(($B$168)-$A132)*'Cálculos'!$E$98)+1400)+'Cálculos'!$E$123)*'Cálculos'!$E$223)+('Cálculos'!$E$185*(1+'Cálculos'!$E$187+$A132*('Cálculos'!$E$290=1)*'Cálculos'!$E$97+'Cálculos'!$E$305)+'Cálculos'!$E$192)*('Cálculos'!$E$224+'Cálculos'!$E$124*(1+2.78*('Cálculos'!$E$197+(($B$168)-$A132)*'Cálculos'!$E$98)/(('Cálculos'!$E$197+(($B$168)-$A132)*'Cálculos'!$E$98)+1400)+'Cálculos'!$E$122)*'Cálculos'!$E$229+'Cálculos'!$E$125*(1+2.78*('Cálculos'!$E$197+(($B$168)-$A132)*'Cálculos'!$E$98)/(('Cálculos'!$E$197+(($B$168)-$A132)*'Cálculos'!$E$98)+1400)+'Cálculos'!$E$123)*'Cálculos'!$E$234)+('Cálculos'!$E$197+(($B$168)-$A132)*'Cálculos'!$E$98)*('Cálculos'!$E$225+'Cálculos'!$E$124*(1+2.78*('Cálculos'!$E$197+(($B$168)-$A132)*'Cálculos'!$E$98)/(('Cálculos'!$E$197+(($B$168)-$A132)*'Cálculos'!$E$98)+1400)+'Cálculos'!$E$122)*'Cálculos'!$E$230+'Cálculos'!$E$125*(1+2.78*('Cálculos'!$E$197+(($B$168)-$A132)*'Cálculos'!$E$98)/(('Cálculos'!$E$197+(($B$168)-$A132)*'Cálculos'!$E$98)+1400)+'Cálculos'!$E$123)*'Cálculos'!$E$235)+('Cálculos'!$E$201*(1+'Cálculos'!$E$202+$A132*('Cálculos'!$E$290=2)*'Cálculos'!$E$101)+'Cálculos'!$E$203)*('Cálculos'!$E$226+'Cálculos'!$E$124*(1+2.78*('Cálculos'!$E$197+(($B$168)-$A132)*'Cálculos'!$E$98)/(('Cálculos'!$E$197+(($B$168)-$A132)*'Cálculos'!$E$98)+1400)+'Cálculos'!$E$122)*'Cálculos'!$E$231+'Cálculos'!$E$125*(1+2.78*('Cálculos'!$E$197+(($B$168)-$A132)*'Cálculos'!$E$98)/(('Cálculos'!$E$197+(($B$168)-$A132)*'Cálculos'!$E$98)+1400)+'Cálculos'!$E$123)*'Cálculos'!$E$236)+('Cálculos'!$E$204*(1+'Cálculos'!$E$205+$A132*('Cálculos'!$E$290=3)*'Cálculos'!$E$103)+'Cálculos'!$E$206)*('Cálculos'!$E$227+'Cálculos'!$E$124*(1+2.78*('Cálculos'!$E$197+(($B$168)-$A132)*'Cálculos'!$E$98)/(('Cálculos'!$E$197+(($B$168)-$A132)*'Cálculos'!$E$98)+1400)+'Cálculos'!$E$122)*'Cálculos'!$E$232+'Cálculos'!$E$125*(1+2.78*('Cálculos'!$E$197+(($B$168)-$A132)*'Cálculos'!$E$98)/(('Cálculos'!$E$197+(($B$168)-$A132)*'Cálculos'!$E$98)+1400)+'Cálculos'!$E$123)*'Cálculos'!$E$237)+('Cálculos'!$E$228+'Cálculos'!$E$124*(1+2.78*('Cálculos'!$E$197+(($B$168)-$A132)*'Cálculos'!$E$98)/(('Cálculos'!$E$197+(($B$168)-$A132)*'Cálculos'!$E$98)+1400)+'Cálculos'!$E$122)*'Cálculos'!$E$233+'Cálculos'!$E$125*(1+2.78*('Cálculos'!$E$197+(($B$168)-$A132)*'Cálculos'!$E$98)/(('Cálculos'!$E$197+(($B$168)-$A132)*'Cálculos'!$E$98)+1400)+'Cálculos'!$E$123)*'Cálculos'!$E$238)+('Cálculos'!$E$185*(1+'Cálculos'!$E$188+$A132*('Cálculos'!$E$290=1)*'Cálculos'!$E$97+'Cálculos'!$E$305)+'Cálculos'!$E$193)*('Cálculos'!$E$239+'Cálculos'!$E$124*(1+2.78*('Cálculos'!$E$198+(($B$168)-$A132)*'Cálculos'!$E$98)/(('Cálculos'!$E$198+(($B$168)-$A132)*'Cálculos'!$E$98)+1400)+'Cálculos'!$E$122)*'Cálculos'!$E$244+'Cálculos'!$E$125*(1+2.78*('Cálculos'!$E$198+(($B$168)-$A132)*'Cálculos'!$E$98)/(('Cálculos'!$E$198+(($B$168)-$A132)*'Cálculos'!$E$98)+1400)+'Cálculos'!$E$123)*'Cálculos'!$E$249)+('Cálculos'!$E$198+(($B$168)-$A132)*'Cálculos'!$E$98)*('Cálculos'!$E$240+'Cálculos'!$E$124*(1+2.78*('Cálculos'!$E$198+(($B$168)-$A132)*'Cálculos'!$E$98)/(('Cálculos'!$E$198+(($B$168)-$A132)*'Cálculos'!$E$98)+1400)+'Cálculos'!$E$122)*'Cálculos'!$E$245+'Cálculos'!$E$125*(1+2.78*('Cálculos'!$E$198+(($B$168)-$A132)*'Cálculos'!$E$98)/(('Cálculos'!$E$198+(($B$168)-$A132)*'Cálculos'!$E$98)+1400)+'Cálculos'!$E$123)*'Cálculos'!$E$250)+('Cálculos'!$E$201*(1+'Cálculos'!$E$202+$A132*('Cálculos'!$E$290=2)*'Cálculos'!$E$101)+'Cálculos'!$E$203)*('Cálculos'!$E$241+'Cálculos'!$E$124*(1+2.78*('Cálculos'!$E$198+(($B$168)-$A132)*'Cálculos'!$E$98)/(('Cálculos'!$E$198+(($B$168)-$A132)*'Cálculos'!$E$98)+1400)+'Cálculos'!$E$122)*'Cálculos'!$E$246+'Cálculos'!$E$125*(1+2.78*('Cálculos'!$E$198+(($B$168)-$A132)*'Cálculos'!$E$98)/(('Cálculos'!$E$198+(($B$168)-$A132)*'Cálculos'!$E$98)+1400)+'Cálculos'!$E$123)*'Cálculos'!$E$251)+('Cálculos'!$E$204*(1+'Cálculos'!$E$205+$A132*('Cálculos'!$E$290=3)*'Cálculos'!$E$103)+'Cálculos'!$E$206)*('Cálculos'!$E$242+'Cálculos'!$E$124*(1+2.78*('Cálculos'!$E$198+(($B$168)-$A132)*'Cálculos'!$E$98)/(('Cálculos'!$E$198+(($B$168)-$A132)*'Cálculos'!$E$98)+1400)+'Cálculos'!$E$122)*'Cálculos'!$E$247+'Cálculos'!$E$125*(1+2.78*('Cálculos'!$E$198+(($B$168)-$A132)*'Cálculos'!$E$98)/(('Cálculos'!$E$198+(($B$168)-$A132)*'Cálculos'!$E$98)+1400)+'Cálculos'!$E$123)*'Cálculos'!$E$252)+('Cálculos'!$E$243+'Cálculos'!$E$124*(1+2.78*('Cálculos'!$E$198+(($B$168)-$A132)*'Cálculos'!$E$98)/(('Cálculos'!$E$198+(($B$168)-$A132)*'Cálculos'!$E$98)+1400)+'Cálculos'!$E$122)*'Cálculos'!$E$248+'Cálculos'!$E$125*(1+2.78*('Cálculos'!$E$198+(($B$168)-$A132)*'Cálculos'!$E$98)/(('Cálculos'!$E$198+(($B$168)-$A132)*'Cálculos'!$E$98)+1400)+'Cálculos'!$E$123)*'Cálculos'!$E$253)+('Cálculos'!$E$185*(1+'Cálculos'!$E$189+$A132*('Cálculos'!$E$290=1)*'Cálculos'!$E$97+'Cálculos'!$E$305)+'Cálculos'!$E$194)*('Cálculos'!$E$254+'Cálculos'!$E$124*(1+2.78*('Cálculos'!$E$199+(($B$168)-$A132)*'Cálculos'!$E$98)/(('Cálculos'!$E$199+(($B$168)-$A132)*'Cálculos'!$E$98)+1400)+'Cálculos'!$E$122)*'Cálculos'!$E$259+'Cálculos'!$E$125*(1+2.78*('Cálculos'!$E$199+(($B$168)-$A132)*'Cálculos'!$E$98)/(('Cálculos'!$E$199+(($B$168)-$A132)*'Cálculos'!$E$98)+1400)+'Cálculos'!$E$123)*'Cálculos'!$E$264)+('Cálculos'!$E$199+(($B$168)-$A132)*'Cálculos'!$E$98)*('Cálculos'!$E$255+'Cálculos'!$E$124*(1+2.78*('Cálculos'!$E$199+(($B$168)-$A132)*'Cálculos'!$E$98)/(('Cálculos'!$E$199+(($B$168)-$A132)*'Cálculos'!$E$98)+1400)+'Cálculos'!$E$122)*'Cálculos'!$E$260+'Cálculos'!$E$125*(1+2.78*('Cálculos'!$E$199+(($B$168)-$A132)*'Cálculos'!$E$98)/(('Cálculos'!$E$199+(($B$168)-$A132)*'Cálculos'!$E$98)+1400)+'Cálculos'!$E$123)*'Cálculos'!$E$265)+('Cálculos'!$E$201*(1+'Cálculos'!$E$202+$A132*('Cálculos'!$E$290=2)*'Cálculos'!$E$101)+'Cálculos'!$E$203)*('Cálculos'!$E$256+'Cálculos'!$E$124*(1+2.78*('Cálculos'!$E$199+(($B$168)-$A132)*'Cálculos'!$E$98)/(('Cálculos'!$E$199+(($B$168)-$A132)*'Cálculos'!$E$98)+1400)+'Cálculos'!$E$122)*'Cálculos'!$E$261+'Cálculos'!$E$125*(1+2.78*('Cálculos'!$E$199+(($B$168)-$A132)*'Cálculos'!$E$98)/(('Cálculos'!$E$199+(($B$168)-$A132)*'Cálculos'!$E$98)+1400)+'Cálculos'!$E$123)*'Cálculos'!$E$266)+('Cálculos'!$E$204*(1+'Cálculos'!$E$205+$A132*('Cálculos'!$E$290=3)*'Cálculos'!$E$103)+'Cálculos'!$E$206)*('Cálculos'!$E$257+'Cálculos'!$E$124*(1+2.78*('Cálculos'!$E$199+(($B$168)-$A132)*'Cálculos'!$E$98)/(('Cálculos'!$E$199+(($B$168)-$A132)*'Cálculos'!$E$98)+1400)+'Cálculos'!$E$122)*'Cálculos'!$E$262+'Cálculos'!$E$125*(1+2.78*('Cálculos'!$E$199+(($B$168)-$A132)*'Cálculos'!$E$98)/(('Cálculos'!$E$199+(($B$168)-$A132)*'Cálculos'!$E$98)+1400)+'Cálculos'!$E$123)*'Cálculos'!$E$267)+('Cálculos'!$E$258+'Cálculos'!$E$124*(1+2.78*('Cálculos'!$E$199+(($B$168)-$A132)*'Cálculos'!$E$98)/(('Cálculos'!$E$199+(($B$168)-$A132)*'Cálculos'!$E$98)+1400)+'Cálculos'!$E$122)*'Cálculos'!$E$263+'Cálculos'!$E$125*(1+2.78*('Cálculos'!$E$199+(($B$168)-$A132)*'Cálculos'!$E$98)/(('Cálculos'!$E$199+(($B$168)-$A132)*'Cálculos'!$E$98)+1400)+'Cálculos'!$E$123)*'Cálculos'!$E$268)+('Cálculos'!$E$185*(1+'Cálculos'!$E$190+$A132*('Cálculos'!$E$290=1)*'Cálculos'!$E$97+'Cálculos'!$E$305)+'Cálculos'!$E$195)*('Cálculos'!$E$269+'Cálculos'!$E$124*(1+2.78*('Cálculos'!$E$200+(($B$168)-$A132)*'Cálculos'!$E$98)/(('Cálculos'!$E$200+(($B$168)-$A132)*'Cálculos'!$E$98)+1400)+'Cálculos'!$E$122)*'Cálculos'!$E$274+'Cálculos'!$E$125*(1+2.78*('Cálculos'!$E$200+(($B$168)-$A132)*'Cálculos'!$E$98)/(('Cálculos'!$E$200+(($B$168)-$A132)*'Cálculos'!$E$98)+1400)+'Cálculos'!$E$123)*'Cálculos'!$E$279)+('Cálculos'!$E$200+(($B$168)-$A132)*'Cálculos'!$E$98)*('Cálculos'!$E$270+'Cálculos'!$E$124*(1+2.78*('Cálculos'!$E$200+(($B$168)-$A132)*'Cálculos'!$E$98)/(('Cálculos'!$E$200+(($B$168)-$A132)*'Cálculos'!$E$98)+1400)+'Cálculos'!$E$122)*'Cálculos'!$E$275+'Cálculos'!$E$125*(1+2.78*('Cálculos'!$E$200+(($B$168)-$A132)*'Cálculos'!$E$98)/(('Cálculos'!$E$200+(($B$168)-$A132)*'Cálculos'!$E$98)+1400)+'Cálculos'!$E$123)*'Cálculos'!$E$280)+('Cálculos'!$E$201*(1+'Cálculos'!$E$202+$A132*('Cálculos'!$E$290=2)*'Cálculos'!$E$101)+'Cálculos'!$E$203)*('Cálculos'!$E$271+'Cálculos'!$E$124*(1+2.78*('Cálculos'!$E$200+(($B$168)-$A132)*'Cálculos'!$E$98)/(('Cálculos'!$E$200+(($B$168)-$A132)*'Cálculos'!$E$98)+1400)+'Cálculos'!$E$122)*'Cálculos'!$E$276+'Cálculos'!$E$125*(1+2.78*('Cálculos'!$E$200+(($B$168)-$A132)*'Cálculos'!$E$98)/(('Cálculos'!$E$200+(($B$168)-$A132)*'Cálculos'!$E$98)+1400)+'Cálculos'!$E$123)*'Cálculos'!$E$281)+('Cálculos'!$E$204*(1+'Cálculos'!$E$205+$A132*('Cálculos'!$E$290=3)*'Cálculos'!$E$103)+'Cálculos'!$E$206)*('Cálculos'!$E$272+'Cálculos'!$E$124*(1+2.78*('Cálculos'!$E$200+(($B$168)-$A132)*'Cálculos'!$E$98)/(('Cálculos'!$E$200+(($B$168)-$A132)*'Cálculos'!$E$98)+1400)+'Cálculos'!$E$122)*'Cálculos'!$E$277+'Cálculos'!$E$125*(1+2.78*('Cálculos'!$E$200+(($B$168)-$A132)*'Cálculos'!$E$98)/(('Cálculos'!$E$200+(($B$168)-$A132)*'Cálculos'!$E$98)+1400)+'Cálculos'!$E$123)*'Cálculos'!$E$282)+('Cálculos'!$E$273+'Cálculos'!$E$124*(1+2.78*('Cálculos'!$E$200+(($B$168)-$A132)*'Cálculos'!$E$98)/(('Cálculos'!$E$200+(($B$168)-$A132)*'Cálculos'!$E$98)+1400)+'Cálculos'!$E$122)*'Cálculos'!$E$278+'Cálculos'!$E$125*(1+2.78*('Cálculos'!$E$200+(($B$168)-$A132)*'Cálculos'!$E$98)/(('Cálculos'!$E$200+(($B$168)-$A132)*'Cálculos'!$E$98)+1400)+'Cálculos'!$E$123)*'Cálculos'!$E$283)))</f>
        <v>0</v>
      </c>
    </row>
    <row r="133" ht="15.75" customHeight="1">
      <c r="A133" s="2">
        <v>13.0</v>
      </c>
      <c r="B133" s="30">
        <f>SUMPRODUCT(MAX(($A$120:$A$165&lt;=$A133)*($A$120:$A$165&lt;='Cálculos'!$E$294)*(($A133)-$A$120:$A$165&lt;='Cálculos'!$E$295)*(1+(('Cálculos'!$E$207+$A$120:$A$165*'Cálculos'!$E$95)-(('Cálculos'!$E$207+$A$120:$A$165*'Cálculos'!$E$95)&gt;1)*(('Cálculos'!$E$207+$A$120:$A$165*'Cálculos'!$E$95)-1))*('Cálculos'!$E$208+(($A133)-$A$120:$A$165)*'Cálculos'!$E$96))))</f>
        <v>1.68672</v>
      </c>
      <c r="C133" s="2">
        <f>'Cálculos'!$E$303-$A133</f>
        <v>0</v>
      </c>
      <c r="D133" s="31">
        <f>IF($C133&lt;0,0,SUMPRODUCT(MAX(($A$120:$A$165&lt;=$C133)*($A$120:$A$165&lt;='Cálculos'!$E$301)*(($C133)-$A$120:$A$165&lt;='Cálculos'!$E$297)*(('Cálculos'!$E$185*(1+'Cálculos'!$E$186+$A$120:$A$165*('Cálculos'!$E$290=1)*'Cálculos'!$E$97+'Cálculos'!$E$305)+'Cálculos'!$E$191)*('Cálculos'!$E$209+'Cálculos'!$E$124*(1+2.78*('Cálculos'!$E$196+(($C133)-$A$120:$A$165)*'Cálculos'!$E$98)/(('Cálculos'!$E$196+(($C133)-$A$120:$A$165)*'Cálculos'!$E$98)+1400)+'Cálculos'!$E$122)*'Cálculos'!$E$214+'Cálculos'!$E$125*(1+2.78*('Cálculos'!$E$196+(($C133)-$A$120:$A$165)*'Cálculos'!$E$98)/(('Cálculos'!$E$196+(($C133)-$A$120:$A$165)*'Cálculos'!$E$98)+1400)+'Cálculos'!$E$123)*'Cálculos'!$E$219)+('Cálculos'!$E$196+(($C133)-$A$120:$A$165)*'Cálculos'!$E$98)*('Cálculos'!$E$210+'Cálculos'!$E$124*(1+2.78*('Cálculos'!$E$196+(($C133)-$A$120:$A$165)*'Cálculos'!$E$98)/(('Cálculos'!$E$196+(($C133)-$A$120:$A$165)*'Cálculos'!$E$98)+1400)+'Cálculos'!$E$122)*'Cálculos'!$E$215+'Cálculos'!$E$125*(1+2.78*('Cálculos'!$E$196+(($C133)-$A$120:$A$165)*'Cálculos'!$E$98)/(('Cálculos'!$E$196+(($C133)-$A$120:$A$165)*'Cálculos'!$E$98)+1400)+'Cálculos'!$E$123)*'Cálculos'!$E$220)+('Cálculos'!$E$201*(1+'Cálculos'!$E$202+$A$120:$A$165*('Cálculos'!$E$290=2)*'Cálculos'!$E$101)+'Cálculos'!$E$203)*('Cálculos'!$E$211+'Cálculos'!$E$124*(1+2.78*('Cálculos'!$E$196+(($C133)-$A$120:$A$165)*'Cálculos'!$E$98)/(('Cálculos'!$E$196+(($C133)-$A$120:$A$165)*'Cálculos'!$E$98)+1400)+'Cálculos'!$E$122)*'Cálculos'!$E$216+'Cálculos'!$E$125*(1+2.78*('Cálculos'!$E$196+(($C133)-$A$120:$A$165)*'Cálculos'!$E$98)/(('Cálculos'!$E$196+(($C133)-$A$120:$A$165)*'Cálculos'!$E$98)+1400)+'Cálculos'!$E$123)*'Cálculos'!$E$221)+('Cálculos'!$E$204*(1+'Cálculos'!$E$205+$A$120:$A$165*('Cálculos'!$E$290=3)*'Cálculos'!$E$103)+'Cálculos'!$E$206)*('Cálculos'!$E$212+'Cálculos'!$E$124*(1+2.78*('Cálculos'!$E$196+(($C133)-$A$120:$A$165)*'Cálculos'!$E$98)/(('Cálculos'!$E$196+(($C133)-$A$120:$A$165)*'Cálculos'!$E$98)+1400)+'Cálculos'!$E$122)*'Cálculos'!$E$217+'Cálculos'!$E$125*(1+2.78*('Cálculos'!$E$196+(($C133)-$A$120:$A$165)*'Cálculos'!$E$98)/(('Cálculos'!$E$196+(($C133)-$A$120:$A$165)*'Cálculos'!$E$98)+1400)+'Cálculos'!$E$123)*'Cálculos'!$E$222)+('Cálculos'!$E$213+'Cálculos'!$E$124*(1+2.78*('Cálculos'!$E$196+(($C133)-$A$120:$A$165)*'Cálculos'!$E$98)/(('Cálculos'!$E$196+(($C133)-$A$120:$A$165)*'Cálculos'!$E$98)+1400)+'Cálculos'!$E$122)*'Cálculos'!$E$218+'Cálculos'!$E$125*(1+2.78*('Cálculos'!$E$196+(($C133)-$A$120:$A$165)*'Cálculos'!$E$98)/(('Cálculos'!$E$196+(($C133)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133)-$A$120:$A$165)*'Cálculos'!$E$98)/(('Cálculos'!$E$197+(($C133)-$A$120:$A$165)*'Cálculos'!$E$98)+1400)+'Cálculos'!$E$122)*'Cálculos'!$E$229+'Cálculos'!$E$125*(1+2.78*('Cálculos'!$E$197+(($C133)-$A$120:$A$165)*'Cálculos'!$E$98)/(('Cálculos'!$E$197+(($C133)-$A$120:$A$165)*'Cálculos'!$E$98)+1400)+'Cálculos'!$E$123)*'Cálculos'!$E$234)+('Cálculos'!$E$197+(($C133)-$A$120:$A$165)*'Cálculos'!$E$98)*('Cálculos'!$E$225+'Cálculos'!$E$124*(1+2.78*('Cálculos'!$E$197+(($C133)-$A$120:$A$165)*'Cálculos'!$E$98)/(('Cálculos'!$E$197+(($C133)-$A$120:$A$165)*'Cálculos'!$E$98)+1400)+'Cálculos'!$E$122)*'Cálculos'!$E$230+'Cálculos'!$E$125*(1+2.78*('Cálculos'!$E$197+(($C133)-$A$120:$A$165)*'Cálculos'!$E$98)/(('Cálculos'!$E$197+(($C133)-$A$120:$A$165)*'Cálculos'!$E$98)+1400)+'Cálculos'!$E$123)*'Cálculos'!$E$235)+('Cálculos'!$E$201*(1+'Cálculos'!$E$202+$A$120:$A$165*('Cálculos'!$E$290=2)*'Cálculos'!$E$101)+'Cálculos'!$E$203)*('Cálculos'!$E$226+'Cálculos'!$E$124*(1+2.78*('Cálculos'!$E$197+(($C133)-$A$120:$A$165)*'Cálculos'!$E$98)/(('Cálculos'!$E$197+(($C133)-$A$120:$A$165)*'Cálculos'!$E$98)+1400)+'Cálculos'!$E$122)*'Cálculos'!$E$231+'Cálculos'!$E$125*(1+2.78*('Cálculos'!$E$197+(($C133)-$A$120:$A$165)*'Cálculos'!$E$98)/(('Cálculos'!$E$197+(($C133)-$A$120:$A$165)*'Cálculos'!$E$98)+1400)+'Cálculos'!$E$123)*'Cálculos'!$E$236)+('Cálculos'!$E$204*(1+'Cálculos'!$E$205+$A$120:$A$165*('Cálculos'!$E$290=3)*'Cálculos'!$E$103)+'Cálculos'!$E$206)*('Cálculos'!$E$227+'Cálculos'!$E$124*(1+2.78*('Cálculos'!$E$197+(($C133)-$A$120:$A$165)*'Cálculos'!$E$98)/(('Cálculos'!$E$197+(($C133)-$A$120:$A$165)*'Cálculos'!$E$98)+1400)+'Cálculos'!$E$122)*'Cálculos'!$E$232+'Cálculos'!$E$125*(1+2.78*('Cálculos'!$E$197+(($C133)-$A$120:$A$165)*'Cálculos'!$E$98)/(('Cálculos'!$E$197+(($C133)-$A$120:$A$165)*'Cálculos'!$E$98)+1400)+'Cálculos'!$E$123)*'Cálculos'!$E$237)+('Cálculos'!$E$228+'Cálculos'!$E$124*(1+2.78*('Cálculos'!$E$197+(($C133)-$A$120:$A$165)*'Cálculos'!$E$98)/(('Cálculos'!$E$197+(($C133)-$A$120:$A$165)*'Cálculos'!$E$98)+1400)+'Cálculos'!$E$122)*'Cálculos'!$E$233+'Cálculos'!$E$125*(1+2.78*('Cálculos'!$E$197+(($C133)-$A$120:$A$165)*'Cálculos'!$E$98)/(('Cálculos'!$E$197+(($C133)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133)-$A$120:$A$165)*'Cálculos'!$E$98)/(('Cálculos'!$E$198+(($C133)-$A$120:$A$165)*'Cálculos'!$E$98)+1400)+'Cálculos'!$E$122)*'Cálculos'!$E$244+'Cálculos'!$E$125*(1+2.78*('Cálculos'!$E$198+(($C133)-$A$120:$A$165)*'Cálculos'!$E$98)/(('Cálculos'!$E$198+(($C133)-$A$120:$A$165)*'Cálculos'!$E$98)+1400)+'Cálculos'!$E$123)*'Cálculos'!$E$249)+('Cálculos'!$E$198+(($C133)-$A$120:$A$165)*'Cálculos'!$E$98)*('Cálculos'!$E$240+'Cálculos'!$E$124*(1+2.78*('Cálculos'!$E$198+(($C133)-$A$120:$A$165)*'Cálculos'!$E$98)/(('Cálculos'!$E$198+(($C133)-$A$120:$A$165)*'Cálculos'!$E$98)+1400)+'Cálculos'!$E$122)*'Cálculos'!$E$245+'Cálculos'!$E$125*(1+2.78*('Cálculos'!$E$198+(($C133)-$A$120:$A$165)*'Cálculos'!$E$98)/(('Cálculos'!$E$198+(($C133)-$A$120:$A$165)*'Cálculos'!$E$98)+1400)+'Cálculos'!$E$123)*'Cálculos'!$E$250)+('Cálculos'!$E$201*(1+'Cálculos'!$E$202+$A$120:$A$165*('Cálculos'!$E$290=2)*'Cálculos'!$E$101)+'Cálculos'!$E$203)*('Cálculos'!$E$241+'Cálculos'!$E$124*(1+2.78*('Cálculos'!$E$198+(($C133)-$A$120:$A$165)*'Cálculos'!$E$98)/(('Cálculos'!$E$198+(($C133)-$A$120:$A$165)*'Cálculos'!$E$98)+1400)+'Cálculos'!$E$122)*'Cálculos'!$E$246+'Cálculos'!$E$125*(1+2.78*('Cálculos'!$E$198+(($C133)-$A$120:$A$165)*'Cálculos'!$E$98)/(('Cálculos'!$E$198+(($C133)-$A$120:$A$165)*'Cálculos'!$E$98)+1400)+'Cálculos'!$E$123)*'Cálculos'!$E$251)+('Cálculos'!$E$204*(1+'Cálculos'!$E$205+$A$120:$A$165*('Cálculos'!$E$290=3)*'Cálculos'!$E$103)+'Cálculos'!$E$206)*('Cálculos'!$E$242+'Cálculos'!$E$124*(1+2.78*('Cálculos'!$E$198+(($C133)-$A$120:$A$165)*'Cálculos'!$E$98)/(('Cálculos'!$E$198+(($C133)-$A$120:$A$165)*'Cálculos'!$E$98)+1400)+'Cálculos'!$E$122)*'Cálculos'!$E$247+'Cálculos'!$E$125*(1+2.78*('Cálculos'!$E$198+(($C133)-$A$120:$A$165)*'Cálculos'!$E$98)/(('Cálculos'!$E$198+(($C133)-$A$120:$A$165)*'Cálculos'!$E$98)+1400)+'Cálculos'!$E$123)*'Cálculos'!$E$252)+('Cálculos'!$E$243+'Cálculos'!$E$124*(1+2.78*('Cálculos'!$E$198+(($C133)-$A$120:$A$165)*'Cálculos'!$E$98)/(('Cálculos'!$E$198+(($C133)-$A$120:$A$165)*'Cálculos'!$E$98)+1400)+'Cálculos'!$E$122)*'Cálculos'!$E$248+'Cálculos'!$E$125*(1+2.78*('Cálculos'!$E$198+(($C133)-$A$120:$A$165)*'Cálculos'!$E$98)/(('Cálculos'!$E$198+(($C133)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133)-$A$120:$A$165)*'Cálculos'!$E$98)/(('Cálculos'!$E$199+(($C133)-$A$120:$A$165)*'Cálculos'!$E$98)+1400)+'Cálculos'!$E$122)*'Cálculos'!$E$259+'Cálculos'!$E$125*(1+2.78*('Cálculos'!$E$199+(($C133)-$A$120:$A$165)*'Cálculos'!$E$98)/(('Cálculos'!$E$199+(($C133)-$A$120:$A$165)*'Cálculos'!$E$98)+1400)+'Cálculos'!$E$123)*'Cálculos'!$E$264)+('Cálculos'!$E$199+(($C133)-$A$120:$A$165)*'Cálculos'!$E$98)*('Cálculos'!$E$255+'Cálculos'!$E$124*(1+2.78*('Cálculos'!$E$199+(($C133)-$A$120:$A$165)*'Cálculos'!$E$98)/(('Cálculos'!$E$199+(($C133)-$A$120:$A$165)*'Cálculos'!$E$98)+1400)+'Cálculos'!$E$122)*'Cálculos'!$E$260+'Cálculos'!$E$125*(1+2.78*('Cálculos'!$E$199+(($C133)-$A$120:$A$165)*'Cálculos'!$E$98)/(('Cálculos'!$E$199+(($C133)-$A$120:$A$165)*'Cálculos'!$E$98)+1400)+'Cálculos'!$E$123)*'Cálculos'!$E$265)+('Cálculos'!$E$201*(1+'Cálculos'!$E$202+$A$120:$A$165*('Cálculos'!$E$290=2)*'Cálculos'!$E$101)+'Cálculos'!$E$203)*('Cálculos'!$E$256+'Cálculos'!$E$124*(1+2.78*('Cálculos'!$E$199+(($C133)-$A$120:$A$165)*'Cálculos'!$E$98)/(('Cálculos'!$E$199+(($C133)-$A$120:$A$165)*'Cálculos'!$E$98)+1400)+'Cálculos'!$E$122)*'Cálculos'!$E$261+'Cálculos'!$E$125*(1+2.78*('Cálculos'!$E$199+(($C133)-$A$120:$A$165)*'Cálculos'!$E$98)/(('Cálculos'!$E$199+(($C133)-$A$120:$A$165)*'Cálculos'!$E$98)+1400)+'Cálculos'!$E$123)*'Cálculos'!$E$266)+('Cálculos'!$E$204*(1+'Cálculos'!$E$205+$A$120:$A$165*('Cálculos'!$E$290=3)*'Cálculos'!$E$103)+'Cálculos'!$E$206)*('Cálculos'!$E$257+'Cálculos'!$E$124*(1+2.78*('Cálculos'!$E$199+(($C133)-$A$120:$A$165)*'Cálculos'!$E$98)/(('Cálculos'!$E$199+(($C133)-$A$120:$A$165)*'Cálculos'!$E$98)+1400)+'Cálculos'!$E$122)*'Cálculos'!$E$262+'Cálculos'!$E$125*(1+2.78*('Cálculos'!$E$199+(($C133)-$A$120:$A$165)*'Cálculos'!$E$98)/(('Cálculos'!$E$199+(($C133)-$A$120:$A$165)*'Cálculos'!$E$98)+1400)+'Cálculos'!$E$123)*'Cálculos'!$E$267)+('Cálculos'!$E$258+'Cálculos'!$E$124*(1+2.78*('Cálculos'!$E$199+(($C133)-$A$120:$A$165)*'Cálculos'!$E$98)/(('Cálculos'!$E$199+(($C133)-$A$120:$A$165)*'Cálculos'!$E$98)+1400)+'Cálculos'!$E$122)*'Cálculos'!$E$263+'Cálculos'!$E$125*(1+2.78*('Cálculos'!$E$199+(($C133)-$A$120:$A$165)*'Cálculos'!$E$98)/(('Cálculos'!$E$199+(($C133)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133)-$A$120:$A$165)*'Cálculos'!$E$98)/(('Cálculos'!$E$200+(($C133)-$A$120:$A$165)*'Cálculos'!$E$98)+1400)+'Cálculos'!$E$122)*'Cálculos'!$E$274+'Cálculos'!$E$125*(1+2.78*('Cálculos'!$E$200+(($C133)-$A$120:$A$165)*'Cálculos'!$E$98)/(('Cálculos'!$E$200+(($C133)-$A$120:$A$165)*'Cálculos'!$E$98)+1400)+'Cálculos'!$E$123)*'Cálculos'!$E$279)+('Cálculos'!$E$200+(($C133)-$A$120:$A$165)*'Cálculos'!$E$98)*('Cálculos'!$E$270+'Cálculos'!$E$124*(1+2.78*('Cálculos'!$E$200+(($C133)-$A$120:$A$165)*'Cálculos'!$E$98)/(('Cálculos'!$E$200+(($C133)-$A$120:$A$165)*'Cálculos'!$E$98)+1400)+'Cálculos'!$E$122)*'Cálculos'!$E$275+'Cálculos'!$E$125*(1+2.78*('Cálculos'!$E$200+(($C133)-$A$120:$A$165)*'Cálculos'!$E$98)/(('Cálculos'!$E$200+(($C133)-$A$120:$A$165)*'Cálculos'!$E$98)+1400)+'Cálculos'!$E$123)*'Cálculos'!$E$280)+('Cálculos'!$E$201*(1+'Cálculos'!$E$202+$A$120:$A$165*('Cálculos'!$E$290=2)*'Cálculos'!$E$101)+'Cálculos'!$E$203)*('Cálculos'!$E$271+'Cálculos'!$E$124*(1+2.78*('Cálculos'!$E$200+(($C133)-$A$120:$A$165)*'Cálculos'!$E$98)/(('Cálculos'!$E$200+(($C133)-$A$120:$A$165)*'Cálculos'!$E$98)+1400)+'Cálculos'!$E$122)*'Cálculos'!$E$276+'Cálculos'!$E$125*(1+2.78*('Cálculos'!$E$200+(($C133)-$A$120:$A$165)*'Cálculos'!$E$98)/(('Cálculos'!$E$200+(($C133)-$A$120:$A$165)*'Cálculos'!$E$98)+1400)+'Cálculos'!$E$123)*'Cálculos'!$E$281)+('Cálculos'!$E$204*(1+'Cálculos'!$E$205+$A$120:$A$165*('Cálculos'!$E$290=3)*'Cálculos'!$E$103)+'Cálculos'!$E$206)*('Cálculos'!$E$272+'Cálculos'!$E$124*(1+2.78*('Cálculos'!$E$200+(($C133)-$A$120:$A$165)*'Cálculos'!$E$98)/(('Cálculos'!$E$200+(($C133)-$A$120:$A$165)*'Cálculos'!$E$98)+1400)+'Cálculos'!$E$122)*'Cálculos'!$E$277+'Cálculos'!$E$125*(1+2.78*('Cálculos'!$E$200+(($C133)-$A$120:$A$165)*'Cálculos'!$E$98)/(('Cálculos'!$E$200+(($C133)-$A$120:$A$165)*'Cálculos'!$E$98)+1400)+'Cálculos'!$E$123)*'Cálculos'!$E$282)+('Cálculos'!$E$273+'Cálculos'!$E$124*(1+2.78*('Cálculos'!$E$200+(($C133)-$A$120:$A$165)*'Cálculos'!$E$98)/(('Cálculos'!$E$200+(($C133)-$A$120:$A$165)*'Cálculos'!$E$98)+1400)+'Cálculos'!$E$122)*'Cálculos'!$E$278+'Cálculos'!$E$125*(1+2.78*('Cálculos'!$E$200+(($C133)-$A$120:$A$165)*'Cálculos'!$E$98)/(('Cálculos'!$E$200+(($C133)-$A$120:$A$165)*'Cálculos'!$E$98)+1400)+'Cálculos'!$E$123)*'Cálculos'!$E$283)))))</f>
        <v>18580.03501</v>
      </c>
      <c r="E133" s="32">
        <f>IF(OR($C133&lt;0,'Cálculos'!$E$6=""),0,$B133*$D133)</f>
        <v>31339.31665</v>
      </c>
      <c r="F133" s="2"/>
      <c r="G133" s="30">
        <f>($A133&lt;=$B$167)*($A133&lt;='Cálculos'!$E$294)*(($B$167)-$A133&lt;='Cálculos'!$E$295)*(1+MIN(('Cálculos'!$E$207+$A133*'Cálculos'!$E$95),1)*('Cálculos'!$E$208+(($B$167)-$A133)*'Cálculos'!$E$96))</f>
        <v>1.540992</v>
      </c>
      <c r="H133" s="31">
        <f>IF($B$168&lt;0,0,($A133&lt;=$B$168)*($A133&lt;='Cálculos'!$E$301)*(($B$168)-$A133&lt;='Cálculos'!$E$297)*(('Cálculos'!$E$185*(1+'Cálculos'!$E$186+$A133*('Cálculos'!$E$290=1)*'Cálculos'!$E$97+'Cálculos'!$E$305)+'Cálculos'!$E$191)*('Cálculos'!$E$209+'Cálculos'!$E$124*(1+2.78*('Cálculos'!$E$196+(($B$168)-$A133)*'Cálculos'!$E$98)/(('Cálculos'!$E$196+(($B$168)-$A133)*'Cálculos'!$E$98)+1400)+'Cálculos'!$E$122)*'Cálculos'!$E$214+'Cálculos'!$E$125*(1+2.78*('Cálculos'!$E$196+(($B$168)-$A133)*'Cálculos'!$E$98)/(('Cálculos'!$E$196+(($B$168)-$A133)*'Cálculos'!$E$98)+1400)+'Cálculos'!$E$123)*'Cálculos'!$E$219)+('Cálculos'!$E$196+(($B$168)-$A133)*'Cálculos'!$E$98)*('Cálculos'!$E$210+'Cálculos'!$E$124*(1+2.78*('Cálculos'!$E$196+(($B$168)-$A133)*'Cálculos'!$E$98)/(('Cálculos'!$E$196+(($B$168)-$A133)*'Cálculos'!$E$98)+1400)+'Cálculos'!$E$122)*'Cálculos'!$E$215+'Cálculos'!$E$125*(1+2.78*('Cálculos'!$E$196+(($B$168)-$A133)*'Cálculos'!$E$98)/(('Cálculos'!$E$196+(($B$168)-$A133)*'Cálculos'!$E$98)+1400)+'Cálculos'!$E$123)*'Cálculos'!$E$220)+('Cálculos'!$E$201*(1+'Cálculos'!$E$202+$A133*('Cálculos'!$E$290=2)*'Cálculos'!$E$101)+'Cálculos'!$E$203)*('Cálculos'!$E$211+'Cálculos'!$E$124*(1+2.78*('Cálculos'!$E$196+(($B$168)-$A133)*'Cálculos'!$E$98)/(('Cálculos'!$E$196+(($B$168)-$A133)*'Cálculos'!$E$98)+1400)+'Cálculos'!$E$122)*'Cálculos'!$E$216+'Cálculos'!$E$125*(1+2.78*('Cálculos'!$E$196+(($B$168)-$A133)*'Cálculos'!$E$98)/(('Cálculos'!$E$196+(($B$168)-$A133)*'Cálculos'!$E$98)+1400)+'Cálculos'!$E$123)*'Cálculos'!$E$221)+('Cálculos'!$E$204*(1+'Cálculos'!$E$205+$A133*('Cálculos'!$E$290=3)*'Cálculos'!$E$103)+'Cálculos'!$E$206)*('Cálculos'!$E$212+'Cálculos'!$E$124*(1+2.78*('Cálculos'!$E$196+(($B$168)-$A133)*'Cálculos'!$E$98)/(('Cálculos'!$E$196+(($B$168)-$A133)*'Cálculos'!$E$98)+1400)+'Cálculos'!$E$122)*'Cálculos'!$E$217+'Cálculos'!$E$125*(1+2.78*('Cálculos'!$E$196+(($B$168)-$A133)*'Cálculos'!$E$98)/(('Cálculos'!$E$196+(($B$168)-$A133)*'Cálculos'!$E$98)+1400)+'Cálculos'!$E$123)*'Cálculos'!$E$222)+('Cálculos'!$E$213+'Cálculos'!$E$124*(1+2.78*('Cálculos'!$E$196+(($B$168)-$A133)*'Cálculos'!$E$98)/(('Cálculos'!$E$196+(($B$168)-$A133)*'Cálculos'!$E$98)+1400)+'Cálculos'!$E$122)*'Cálculos'!$E$218+'Cálculos'!$E$125*(1+2.78*('Cálculos'!$E$196+(($B$168)-$A133)*'Cálculos'!$E$98)/(('Cálculos'!$E$196+(($B$168)-$A133)*'Cálculos'!$E$98)+1400)+'Cálculos'!$E$123)*'Cálculos'!$E$223)+('Cálculos'!$E$185*(1+'Cálculos'!$E$187+$A133*('Cálculos'!$E$290=1)*'Cálculos'!$E$97+'Cálculos'!$E$305)+'Cálculos'!$E$192)*('Cálculos'!$E$224+'Cálculos'!$E$124*(1+2.78*('Cálculos'!$E$197+(($B$168)-$A133)*'Cálculos'!$E$98)/(('Cálculos'!$E$197+(($B$168)-$A133)*'Cálculos'!$E$98)+1400)+'Cálculos'!$E$122)*'Cálculos'!$E$229+'Cálculos'!$E$125*(1+2.78*('Cálculos'!$E$197+(($B$168)-$A133)*'Cálculos'!$E$98)/(('Cálculos'!$E$197+(($B$168)-$A133)*'Cálculos'!$E$98)+1400)+'Cálculos'!$E$123)*'Cálculos'!$E$234)+('Cálculos'!$E$197+(($B$168)-$A133)*'Cálculos'!$E$98)*('Cálculos'!$E$225+'Cálculos'!$E$124*(1+2.78*('Cálculos'!$E$197+(($B$168)-$A133)*'Cálculos'!$E$98)/(('Cálculos'!$E$197+(($B$168)-$A133)*'Cálculos'!$E$98)+1400)+'Cálculos'!$E$122)*'Cálculos'!$E$230+'Cálculos'!$E$125*(1+2.78*('Cálculos'!$E$197+(($B$168)-$A133)*'Cálculos'!$E$98)/(('Cálculos'!$E$197+(($B$168)-$A133)*'Cálculos'!$E$98)+1400)+'Cálculos'!$E$123)*'Cálculos'!$E$235)+('Cálculos'!$E$201*(1+'Cálculos'!$E$202+$A133*('Cálculos'!$E$290=2)*'Cálculos'!$E$101)+'Cálculos'!$E$203)*('Cálculos'!$E$226+'Cálculos'!$E$124*(1+2.78*('Cálculos'!$E$197+(($B$168)-$A133)*'Cálculos'!$E$98)/(('Cálculos'!$E$197+(($B$168)-$A133)*'Cálculos'!$E$98)+1400)+'Cálculos'!$E$122)*'Cálculos'!$E$231+'Cálculos'!$E$125*(1+2.78*('Cálculos'!$E$197+(($B$168)-$A133)*'Cálculos'!$E$98)/(('Cálculos'!$E$197+(($B$168)-$A133)*'Cálculos'!$E$98)+1400)+'Cálculos'!$E$123)*'Cálculos'!$E$236)+('Cálculos'!$E$204*(1+'Cálculos'!$E$205+$A133*('Cálculos'!$E$290=3)*'Cálculos'!$E$103)+'Cálculos'!$E$206)*('Cálculos'!$E$227+'Cálculos'!$E$124*(1+2.78*('Cálculos'!$E$197+(($B$168)-$A133)*'Cálculos'!$E$98)/(('Cálculos'!$E$197+(($B$168)-$A133)*'Cálculos'!$E$98)+1400)+'Cálculos'!$E$122)*'Cálculos'!$E$232+'Cálculos'!$E$125*(1+2.78*('Cálculos'!$E$197+(($B$168)-$A133)*'Cálculos'!$E$98)/(('Cálculos'!$E$197+(($B$168)-$A133)*'Cálculos'!$E$98)+1400)+'Cálculos'!$E$123)*'Cálculos'!$E$237)+('Cálculos'!$E$228+'Cálculos'!$E$124*(1+2.78*('Cálculos'!$E$197+(($B$168)-$A133)*'Cálculos'!$E$98)/(('Cálculos'!$E$197+(($B$168)-$A133)*'Cálculos'!$E$98)+1400)+'Cálculos'!$E$122)*'Cálculos'!$E$233+'Cálculos'!$E$125*(1+2.78*('Cálculos'!$E$197+(($B$168)-$A133)*'Cálculos'!$E$98)/(('Cálculos'!$E$197+(($B$168)-$A133)*'Cálculos'!$E$98)+1400)+'Cálculos'!$E$123)*'Cálculos'!$E$238)+('Cálculos'!$E$185*(1+'Cálculos'!$E$188+$A133*('Cálculos'!$E$290=1)*'Cálculos'!$E$97+'Cálculos'!$E$305)+'Cálculos'!$E$193)*('Cálculos'!$E$239+'Cálculos'!$E$124*(1+2.78*('Cálculos'!$E$198+(($B$168)-$A133)*'Cálculos'!$E$98)/(('Cálculos'!$E$198+(($B$168)-$A133)*'Cálculos'!$E$98)+1400)+'Cálculos'!$E$122)*'Cálculos'!$E$244+'Cálculos'!$E$125*(1+2.78*('Cálculos'!$E$198+(($B$168)-$A133)*'Cálculos'!$E$98)/(('Cálculos'!$E$198+(($B$168)-$A133)*'Cálculos'!$E$98)+1400)+'Cálculos'!$E$123)*'Cálculos'!$E$249)+('Cálculos'!$E$198+(($B$168)-$A133)*'Cálculos'!$E$98)*('Cálculos'!$E$240+'Cálculos'!$E$124*(1+2.78*('Cálculos'!$E$198+(($B$168)-$A133)*'Cálculos'!$E$98)/(('Cálculos'!$E$198+(($B$168)-$A133)*'Cálculos'!$E$98)+1400)+'Cálculos'!$E$122)*'Cálculos'!$E$245+'Cálculos'!$E$125*(1+2.78*('Cálculos'!$E$198+(($B$168)-$A133)*'Cálculos'!$E$98)/(('Cálculos'!$E$198+(($B$168)-$A133)*'Cálculos'!$E$98)+1400)+'Cálculos'!$E$123)*'Cálculos'!$E$250)+('Cálculos'!$E$201*(1+'Cálculos'!$E$202+$A133*('Cálculos'!$E$290=2)*'Cálculos'!$E$101)+'Cálculos'!$E$203)*('Cálculos'!$E$241+'Cálculos'!$E$124*(1+2.78*('Cálculos'!$E$198+(($B$168)-$A133)*'Cálculos'!$E$98)/(('Cálculos'!$E$198+(($B$168)-$A133)*'Cálculos'!$E$98)+1400)+'Cálculos'!$E$122)*'Cálculos'!$E$246+'Cálculos'!$E$125*(1+2.78*('Cálculos'!$E$198+(($B$168)-$A133)*'Cálculos'!$E$98)/(('Cálculos'!$E$198+(($B$168)-$A133)*'Cálculos'!$E$98)+1400)+'Cálculos'!$E$123)*'Cálculos'!$E$251)+('Cálculos'!$E$204*(1+'Cálculos'!$E$205+$A133*('Cálculos'!$E$290=3)*'Cálculos'!$E$103)+'Cálculos'!$E$206)*('Cálculos'!$E$242+'Cálculos'!$E$124*(1+2.78*('Cálculos'!$E$198+(($B$168)-$A133)*'Cálculos'!$E$98)/(('Cálculos'!$E$198+(($B$168)-$A133)*'Cálculos'!$E$98)+1400)+'Cálculos'!$E$122)*'Cálculos'!$E$247+'Cálculos'!$E$125*(1+2.78*('Cálculos'!$E$198+(($B$168)-$A133)*'Cálculos'!$E$98)/(('Cálculos'!$E$198+(($B$168)-$A133)*'Cálculos'!$E$98)+1400)+'Cálculos'!$E$123)*'Cálculos'!$E$252)+('Cálculos'!$E$243+'Cálculos'!$E$124*(1+2.78*('Cálculos'!$E$198+(($B$168)-$A133)*'Cálculos'!$E$98)/(('Cálculos'!$E$198+(($B$168)-$A133)*'Cálculos'!$E$98)+1400)+'Cálculos'!$E$122)*'Cálculos'!$E$248+'Cálculos'!$E$125*(1+2.78*('Cálculos'!$E$198+(($B$168)-$A133)*'Cálculos'!$E$98)/(('Cálculos'!$E$198+(($B$168)-$A133)*'Cálculos'!$E$98)+1400)+'Cálculos'!$E$123)*'Cálculos'!$E$253)+('Cálculos'!$E$185*(1+'Cálculos'!$E$189+$A133*('Cálculos'!$E$290=1)*'Cálculos'!$E$97+'Cálculos'!$E$305)+'Cálculos'!$E$194)*('Cálculos'!$E$254+'Cálculos'!$E$124*(1+2.78*('Cálculos'!$E$199+(($B$168)-$A133)*'Cálculos'!$E$98)/(('Cálculos'!$E$199+(($B$168)-$A133)*'Cálculos'!$E$98)+1400)+'Cálculos'!$E$122)*'Cálculos'!$E$259+'Cálculos'!$E$125*(1+2.78*('Cálculos'!$E$199+(($B$168)-$A133)*'Cálculos'!$E$98)/(('Cálculos'!$E$199+(($B$168)-$A133)*'Cálculos'!$E$98)+1400)+'Cálculos'!$E$123)*'Cálculos'!$E$264)+('Cálculos'!$E$199+(($B$168)-$A133)*'Cálculos'!$E$98)*('Cálculos'!$E$255+'Cálculos'!$E$124*(1+2.78*('Cálculos'!$E$199+(($B$168)-$A133)*'Cálculos'!$E$98)/(('Cálculos'!$E$199+(($B$168)-$A133)*'Cálculos'!$E$98)+1400)+'Cálculos'!$E$122)*'Cálculos'!$E$260+'Cálculos'!$E$125*(1+2.78*('Cálculos'!$E$199+(($B$168)-$A133)*'Cálculos'!$E$98)/(('Cálculos'!$E$199+(($B$168)-$A133)*'Cálculos'!$E$98)+1400)+'Cálculos'!$E$123)*'Cálculos'!$E$265)+('Cálculos'!$E$201*(1+'Cálculos'!$E$202+$A133*('Cálculos'!$E$290=2)*'Cálculos'!$E$101)+'Cálculos'!$E$203)*('Cálculos'!$E$256+'Cálculos'!$E$124*(1+2.78*('Cálculos'!$E$199+(($B$168)-$A133)*'Cálculos'!$E$98)/(('Cálculos'!$E$199+(($B$168)-$A133)*'Cálculos'!$E$98)+1400)+'Cálculos'!$E$122)*'Cálculos'!$E$261+'Cálculos'!$E$125*(1+2.78*('Cálculos'!$E$199+(($B$168)-$A133)*'Cálculos'!$E$98)/(('Cálculos'!$E$199+(($B$168)-$A133)*'Cálculos'!$E$98)+1400)+'Cálculos'!$E$123)*'Cálculos'!$E$266)+('Cálculos'!$E$204*(1+'Cálculos'!$E$205+$A133*('Cálculos'!$E$290=3)*'Cálculos'!$E$103)+'Cálculos'!$E$206)*('Cálculos'!$E$257+'Cálculos'!$E$124*(1+2.78*('Cálculos'!$E$199+(($B$168)-$A133)*'Cálculos'!$E$98)/(('Cálculos'!$E$199+(($B$168)-$A133)*'Cálculos'!$E$98)+1400)+'Cálculos'!$E$122)*'Cálculos'!$E$262+'Cálculos'!$E$125*(1+2.78*('Cálculos'!$E$199+(($B$168)-$A133)*'Cálculos'!$E$98)/(('Cálculos'!$E$199+(($B$168)-$A133)*'Cálculos'!$E$98)+1400)+'Cálculos'!$E$123)*'Cálculos'!$E$267)+('Cálculos'!$E$258+'Cálculos'!$E$124*(1+2.78*('Cálculos'!$E$199+(($B$168)-$A133)*'Cálculos'!$E$98)/(('Cálculos'!$E$199+(($B$168)-$A133)*'Cálculos'!$E$98)+1400)+'Cálculos'!$E$122)*'Cálculos'!$E$263+'Cálculos'!$E$125*(1+2.78*('Cálculos'!$E$199+(($B$168)-$A133)*'Cálculos'!$E$98)/(('Cálculos'!$E$199+(($B$168)-$A133)*'Cálculos'!$E$98)+1400)+'Cálculos'!$E$123)*'Cálculos'!$E$268)+('Cálculos'!$E$185*(1+'Cálculos'!$E$190+$A133*('Cálculos'!$E$290=1)*'Cálculos'!$E$97+'Cálculos'!$E$305)+'Cálculos'!$E$195)*('Cálculos'!$E$269+'Cálculos'!$E$124*(1+2.78*('Cálculos'!$E$200+(($B$168)-$A133)*'Cálculos'!$E$98)/(('Cálculos'!$E$200+(($B$168)-$A133)*'Cálculos'!$E$98)+1400)+'Cálculos'!$E$122)*'Cálculos'!$E$274+'Cálculos'!$E$125*(1+2.78*('Cálculos'!$E$200+(($B$168)-$A133)*'Cálculos'!$E$98)/(('Cálculos'!$E$200+(($B$168)-$A133)*'Cálculos'!$E$98)+1400)+'Cálculos'!$E$123)*'Cálculos'!$E$279)+('Cálculos'!$E$200+(($B$168)-$A133)*'Cálculos'!$E$98)*('Cálculos'!$E$270+'Cálculos'!$E$124*(1+2.78*('Cálculos'!$E$200+(($B$168)-$A133)*'Cálculos'!$E$98)/(('Cálculos'!$E$200+(($B$168)-$A133)*'Cálculos'!$E$98)+1400)+'Cálculos'!$E$122)*'Cálculos'!$E$275+'Cálculos'!$E$125*(1+2.78*('Cálculos'!$E$200+(($B$168)-$A133)*'Cálculos'!$E$98)/(('Cálculos'!$E$200+(($B$168)-$A133)*'Cálculos'!$E$98)+1400)+'Cálculos'!$E$123)*'Cálculos'!$E$280)+('Cálculos'!$E$201*(1+'Cálculos'!$E$202+$A133*('Cálculos'!$E$290=2)*'Cálculos'!$E$101)+'Cálculos'!$E$203)*('Cálculos'!$E$271+'Cálculos'!$E$124*(1+2.78*('Cálculos'!$E$200+(($B$168)-$A133)*'Cálculos'!$E$98)/(('Cálculos'!$E$200+(($B$168)-$A133)*'Cálculos'!$E$98)+1400)+'Cálculos'!$E$122)*'Cálculos'!$E$276+'Cálculos'!$E$125*(1+2.78*('Cálculos'!$E$200+(($B$168)-$A133)*'Cálculos'!$E$98)/(('Cálculos'!$E$200+(($B$168)-$A133)*'Cálculos'!$E$98)+1400)+'Cálculos'!$E$123)*'Cálculos'!$E$281)+('Cálculos'!$E$204*(1+'Cálculos'!$E$205+$A133*('Cálculos'!$E$290=3)*'Cálculos'!$E$103)+'Cálculos'!$E$206)*('Cálculos'!$E$272+'Cálculos'!$E$124*(1+2.78*('Cálculos'!$E$200+(($B$168)-$A133)*'Cálculos'!$E$98)/(('Cálculos'!$E$200+(($B$168)-$A133)*'Cálculos'!$E$98)+1400)+'Cálculos'!$E$122)*'Cálculos'!$E$277+'Cálculos'!$E$125*(1+2.78*('Cálculos'!$E$200+(($B$168)-$A133)*'Cálculos'!$E$98)/(('Cálculos'!$E$200+(($B$168)-$A133)*'Cálculos'!$E$98)+1400)+'Cálculos'!$E$123)*'Cálculos'!$E$282)+('Cálculos'!$E$273+'Cálculos'!$E$124*(1+2.78*('Cálculos'!$E$200+(($B$168)-$A133)*'Cálculos'!$E$98)/(('Cálculos'!$E$200+(($B$168)-$A133)*'Cálculos'!$E$98)+1400)+'Cálculos'!$E$122)*'Cálculos'!$E$278+'Cálculos'!$E$125*(1+2.78*('Cálculos'!$E$200+(($B$168)-$A133)*'Cálculos'!$E$98)/(('Cálculos'!$E$200+(($B$168)-$A133)*'Cálculos'!$E$98)+1400)+'Cálculos'!$E$123)*'Cálculos'!$E$283)))</f>
        <v>0</v>
      </c>
    </row>
    <row r="134" ht="15.75" customHeight="1">
      <c r="A134" s="2">
        <v>14.0</v>
      </c>
      <c r="B134" s="30">
        <f>SUMPRODUCT(MAX(($A$120:$A$165&lt;=$A134)*($A$120:$A$165&lt;='Cálculos'!$E$294)*(($A134)-$A$120:$A$165&lt;='Cálculos'!$E$295)*(1+(('Cálculos'!$E$207+$A$120:$A$165*'Cálculos'!$E$95)-(('Cálculos'!$E$207+$A$120:$A$165*'Cálculos'!$E$95)&gt;1)*(('Cálculos'!$E$207+$A$120:$A$165*'Cálculos'!$E$95)-1))*('Cálculos'!$E$208+(($A134)-$A$120:$A$165)*'Cálculos'!$E$96))))</f>
        <v>1.725792</v>
      </c>
      <c r="C134" s="2">
        <f>'Cálculos'!$E$303-$A134</f>
        <v>-1</v>
      </c>
      <c r="D134" s="31">
        <f>IF($C134&lt;0,0,SUMPRODUCT(MAX(($A$120:$A$165&lt;=$C134)*($A$120:$A$165&lt;='Cálculos'!$E$301)*(($C134)-$A$120:$A$165&lt;='Cálculos'!$E$297)*(('Cálculos'!$E$185*(1+'Cálculos'!$E$186+$A$120:$A$165*('Cálculos'!$E$290=1)*'Cálculos'!$E$97+'Cálculos'!$E$305)+'Cálculos'!$E$191)*('Cálculos'!$E$209+'Cálculos'!$E$124*(1+2.78*('Cálculos'!$E$196+(($C134)-$A$120:$A$165)*'Cálculos'!$E$98)/(('Cálculos'!$E$196+(($C134)-$A$120:$A$165)*'Cálculos'!$E$98)+1400)+'Cálculos'!$E$122)*'Cálculos'!$E$214+'Cálculos'!$E$125*(1+2.78*('Cálculos'!$E$196+(($C134)-$A$120:$A$165)*'Cálculos'!$E$98)/(('Cálculos'!$E$196+(($C134)-$A$120:$A$165)*'Cálculos'!$E$98)+1400)+'Cálculos'!$E$123)*'Cálculos'!$E$219)+('Cálculos'!$E$196+(($C134)-$A$120:$A$165)*'Cálculos'!$E$98)*('Cálculos'!$E$210+'Cálculos'!$E$124*(1+2.78*('Cálculos'!$E$196+(($C134)-$A$120:$A$165)*'Cálculos'!$E$98)/(('Cálculos'!$E$196+(($C134)-$A$120:$A$165)*'Cálculos'!$E$98)+1400)+'Cálculos'!$E$122)*'Cálculos'!$E$215+'Cálculos'!$E$125*(1+2.78*('Cálculos'!$E$196+(($C134)-$A$120:$A$165)*'Cálculos'!$E$98)/(('Cálculos'!$E$196+(($C134)-$A$120:$A$165)*'Cálculos'!$E$98)+1400)+'Cálculos'!$E$123)*'Cálculos'!$E$220)+('Cálculos'!$E$201*(1+'Cálculos'!$E$202+$A$120:$A$165*('Cálculos'!$E$290=2)*'Cálculos'!$E$101)+'Cálculos'!$E$203)*('Cálculos'!$E$211+'Cálculos'!$E$124*(1+2.78*('Cálculos'!$E$196+(($C134)-$A$120:$A$165)*'Cálculos'!$E$98)/(('Cálculos'!$E$196+(($C134)-$A$120:$A$165)*'Cálculos'!$E$98)+1400)+'Cálculos'!$E$122)*'Cálculos'!$E$216+'Cálculos'!$E$125*(1+2.78*('Cálculos'!$E$196+(($C134)-$A$120:$A$165)*'Cálculos'!$E$98)/(('Cálculos'!$E$196+(($C134)-$A$120:$A$165)*'Cálculos'!$E$98)+1400)+'Cálculos'!$E$123)*'Cálculos'!$E$221)+('Cálculos'!$E$204*(1+'Cálculos'!$E$205+$A$120:$A$165*('Cálculos'!$E$290=3)*'Cálculos'!$E$103)+'Cálculos'!$E$206)*('Cálculos'!$E$212+'Cálculos'!$E$124*(1+2.78*('Cálculos'!$E$196+(($C134)-$A$120:$A$165)*'Cálculos'!$E$98)/(('Cálculos'!$E$196+(($C134)-$A$120:$A$165)*'Cálculos'!$E$98)+1400)+'Cálculos'!$E$122)*'Cálculos'!$E$217+'Cálculos'!$E$125*(1+2.78*('Cálculos'!$E$196+(($C134)-$A$120:$A$165)*'Cálculos'!$E$98)/(('Cálculos'!$E$196+(($C134)-$A$120:$A$165)*'Cálculos'!$E$98)+1400)+'Cálculos'!$E$123)*'Cálculos'!$E$222)+('Cálculos'!$E$213+'Cálculos'!$E$124*(1+2.78*('Cálculos'!$E$196+(($C134)-$A$120:$A$165)*'Cálculos'!$E$98)/(('Cálculos'!$E$196+(($C134)-$A$120:$A$165)*'Cálculos'!$E$98)+1400)+'Cálculos'!$E$122)*'Cálculos'!$E$218+'Cálculos'!$E$125*(1+2.78*('Cálculos'!$E$196+(($C134)-$A$120:$A$165)*'Cálculos'!$E$98)/(('Cálculos'!$E$196+(($C134)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134)-$A$120:$A$165)*'Cálculos'!$E$98)/(('Cálculos'!$E$197+(($C134)-$A$120:$A$165)*'Cálculos'!$E$98)+1400)+'Cálculos'!$E$122)*'Cálculos'!$E$229+'Cálculos'!$E$125*(1+2.78*('Cálculos'!$E$197+(($C134)-$A$120:$A$165)*'Cálculos'!$E$98)/(('Cálculos'!$E$197+(($C134)-$A$120:$A$165)*'Cálculos'!$E$98)+1400)+'Cálculos'!$E$123)*'Cálculos'!$E$234)+('Cálculos'!$E$197+(($C134)-$A$120:$A$165)*'Cálculos'!$E$98)*('Cálculos'!$E$225+'Cálculos'!$E$124*(1+2.78*('Cálculos'!$E$197+(($C134)-$A$120:$A$165)*'Cálculos'!$E$98)/(('Cálculos'!$E$197+(($C134)-$A$120:$A$165)*'Cálculos'!$E$98)+1400)+'Cálculos'!$E$122)*'Cálculos'!$E$230+'Cálculos'!$E$125*(1+2.78*('Cálculos'!$E$197+(($C134)-$A$120:$A$165)*'Cálculos'!$E$98)/(('Cálculos'!$E$197+(($C134)-$A$120:$A$165)*'Cálculos'!$E$98)+1400)+'Cálculos'!$E$123)*'Cálculos'!$E$235)+('Cálculos'!$E$201*(1+'Cálculos'!$E$202+$A$120:$A$165*('Cálculos'!$E$290=2)*'Cálculos'!$E$101)+'Cálculos'!$E$203)*('Cálculos'!$E$226+'Cálculos'!$E$124*(1+2.78*('Cálculos'!$E$197+(($C134)-$A$120:$A$165)*'Cálculos'!$E$98)/(('Cálculos'!$E$197+(($C134)-$A$120:$A$165)*'Cálculos'!$E$98)+1400)+'Cálculos'!$E$122)*'Cálculos'!$E$231+'Cálculos'!$E$125*(1+2.78*('Cálculos'!$E$197+(($C134)-$A$120:$A$165)*'Cálculos'!$E$98)/(('Cálculos'!$E$197+(($C134)-$A$120:$A$165)*'Cálculos'!$E$98)+1400)+'Cálculos'!$E$123)*'Cálculos'!$E$236)+('Cálculos'!$E$204*(1+'Cálculos'!$E$205+$A$120:$A$165*('Cálculos'!$E$290=3)*'Cálculos'!$E$103)+'Cálculos'!$E$206)*('Cálculos'!$E$227+'Cálculos'!$E$124*(1+2.78*('Cálculos'!$E$197+(($C134)-$A$120:$A$165)*'Cálculos'!$E$98)/(('Cálculos'!$E$197+(($C134)-$A$120:$A$165)*'Cálculos'!$E$98)+1400)+'Cálculos'!$E$122)*'Cálculos'!$E$232+'Cálculos'!$E$125*(1+2.78*('Cálculos'!$E$197+(($C134)-$A$120:$A$165)*'Cálculos'!$E$98)/(('Cálculos'!$E$197+(($C134)-$A$120:$A$165)*'Cálculos'!$E$98)+1400)+'Cálculos'!$E$123)*'Cálculos'!$E$237)+('Cálculos'!$E$228+'Cálculos'!$E$124*(1+2.78*('Cálculos'!$E$197+(($C134)-$A$120:$A$165)*'Cálculos'!$E$98)/(('Cálculos'!$E$197+(($C134)-$A$120:$A$165)*'Cálculos'!$E$98)+1400)+'Cálculos'!$E$122)*'Cálculos'!$E$233+'Cálculos'!$E$125*(1+2.78*('Cálculos'!$E$197+(($C134)-$A$120:$A$165)*'Cálculos'!$E$98)/(('Cálculos'!$E$197+(($C134)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134)-$A$120:$A$165)*'Cálculos'!$E$98)/(('Cálculos'!$E$198+(($C134)-$A$120:$A$165)*'Cálculos'!$E$98)+1400)+'Cálculos'!$E$122)*'Cálculos'!$E$244+'Cálculos'!$E$125*(1+2.78*('Cálculos'!$E$198+(($C134)-$A$120:$A$165)*'Cálculos'!$E$98)/(('Cálculos'!$E$198+(($C134)-$A$120:$A$165)*'Cálculos'!$E$98)+1400)+'Cálculos'!$E$123)*'Cálculos'!$E$249)+('Cálculos'!$E$198+(($C134)-$A$120:$A$165)*'Cálculos'!$E$98)*('Cálculos'!$E$240+'Cálculos'!$E$124*(1+2.78*('Cálculos'!$E$198+(($C134)-$A$120:$A$165)*'Cálculos'!$E$98)/(('Cálculos'!$E$198+(($C134)-$A$120:$A$165)*'Cálculos'!$E$98)+1400)+'Cálculos'!$E$122)*'Cálculos'!$E$245+'Cálculos'!$E$125*(1+2.78*('Cálculos'!$E$198+(($C134)-$A$120:$A$165)*'Cálculos'!$E$98)/(('Cálculos'!$E$198+(($C134)-$A$120:$A$165)*'Cálculos'!$E$98)+1400)+'Cálculos'!$E$123)*'Cálculos'!$E$250)+('Cálculos'!$E$201*(1+'Cálculos'!$E$202+$A$120:$A$165*('Cálculos'!$E$290=2)*'Cálculos'!$E$101)+'Cálculos'!$E$203)*('Cálculos'!$E$241+'Cálculos'!$E$124*(1+2.78*('Cálculos'!$E$198+(($C134)-$A$120:$A$165)*'Cálculos'!$E$98)/(('Cálculos'!$E$198+(($C134)-$A$120:$A$165)*'Cálculos'!$E$98)+1400)+'Cálculos'!$E$122)*'Cálculos'!$E$246+'Cálculos'!$E$125*(1+2.78*('Cálculos'!$E$198+(($C134)-$A$120:$A$165)*'Cálculos'!$E$98)/(('Cálculos'!$E$198+(($C134)-$A$120:$A$165)*'Cálculos'!$E$98)+1400)+'Cálculos'!$E$123)*'Cálculos'!$E$251)+('Cálculos'!$E$204*(1+'Cálculos'!$E$205+$A$120:$A$165*('Cálculos'!$E$290=3)*'Cálculos'!$E$103)+'Cálculos'!$E$206)*('Cálculos'!$E$242+'Cálculos'!$E$124*(1+2.78*('Cálculos'!$E$198+(($C134)-$A$120:$A$165)*'Cálculos'!$E$98)/(('Cálculos'!$E$198+(($C134)-$A$120:$A$165)*'Cálculos'!$E$98)+1400)+'Cálculos'!$E$122)*'Cálculos'!$E$247+'Cálculos'!$E$125*(1+2.78*('Cálculos'!$E$198+(($C134)-$A$120:$A$165)*'Cálculos'!$E$98)/(('Cálculos'!$E$198+(($C134)-$A$120:$A$165)*'Cálculos'!$E$98)+1400)+'Cálculos'!$E$123)*'Cálculos'!$E$252)+('Cálculos'!$E$243+'Cálculos'!$E$124*(1+2.78*('Cálculos'!$E$198+(($C134)-$A$120:$A$165)*'Cálculos'!$E$98)/(('Cálculos'!$E$198+(($C134)-$A$120:$A$165)*'Cálculos'!$E$98)+1400)+'Cálculos'!$E$122)*'Cálculos'!$E$248+'Cálculos'!$E$125*(1+2.78*('Cálculos'!$E$198+(($C134)-$A$120:$A$165)*'Cálculos'!$E$98)/(('Cálculos'!$E$198+(($C134)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134)-$A$120:$A$165)*'Cálculos'!$E$98)/(('Cálculos'!$E$199+(($C134)-$A$120:$A$165)*'Cálculos'!$E$98)+1400)+'Cálculos'!$E$122)*'Cálculos'!$E$259+'Cálculos'!$E$125*(1+2.78*('Cálculos'!$E$199+(($C134)-$A$120:$A$165)*'Cálculos'!$E$98)/(('Cálculos'!$E$199+(($C134)-$A$120:$A$165)*'Cálculos'!$E$98)+1400)+'Cálculos'!$E$123)*'Cálculos'!$E$264)+('Cálculos'!$E$199+(($C134)-$A$120:$A$165)*'Cálculos'!$E$98)*('Cálculos'!$E$255+'Cálculos'!$E$124*(1+2.78*('Cálculos'!$E$199+(($C134)-$A$120:$A$165)*'Cálculos'!$E$98)/(('Cálculos'!$E$199+(($C134)-$A$120:$A$165)*'Cálculos'!$E$98)+1400)+'Cálculos'!$E$122)*'Cálculos'!$E$260+'Cálculos'!$E$125*(1+2.78*('Cálculos'!$E$199+(($C134)-$A$120:$A$165)*'Cálculos'!$E$98)/(('Cálculos'!$E$199+(($C134)-$A$120:$A$165)*'Cálculos'!$E$98)+1400)+'Cálculos'!$E$123)*'Cálculos'!$E$265)+('Cálculos'!$E$201*(1+'Cálculos'!$E$202+$A$120:$A$165*('Cálculos'!$E$290=2)*'Cálculos'!$E$101)+'Cálculos'!$E$203)*('Cálculos'!$E$256+'Cálculos'!$E$124*(1+2.78*('Cálculos'!$E$199+(($C134)-$A$120:$A$165)*'Cálculos'!$E$98)/(('Cálculos'!$E$199+(($C134)-$A$120:$A$165)*'Cálculos'!$E$98)+1400)+'Cálculos'!$E$122)*'Cálculos'!$E$261+'Cálculos'!$E$125*(1+2.78*('Cálculos'!$E$199+(($C134)-$A$120:$A$165)*'Cálculos'!$E$98)/(('Cálculos'!$E$199+(($C134)-$A$120:$A$165)*'Cálculos'!$E$98)+1400)+'Cálculos'!$E$123)*'Cálculos'!$E$266)+('Cálculos'!$E$204*(1+'Cálculos'!$E$205+$A$120:$A$165*('Cálculos'!$E$290=3)*'Cálculos'!$E$103)+'Cálculos'!$E$206)*('Cálculos'!$E$257+'Cálculos'!$E$124*(1+2.78*('Cálculos'!$E$199+(($C134)-$A$120:$A$165)*'Cálculos'!$E$98)/(('Cálculos'!$E$199+(($C134)-$A$120:$A$165)*'Cálculos'!$E$98)+1400)+'Cálculos'!$E$122)*'Cálculos'!$E$262+'Cálculos'!$E$125*(1+2.78*('Cálculos'!$E$199+(($C134)-$A$120:$A$165)*'Cálculos'!$E$98)/(('Cálculos'!$E$199+(($C134)-$A$120:$A$165)*'Cálculos'!$E$98)+1400)+'Cálculos'!$E$123)*'Cálculos'!$E$267)+('Cálculos'!$E$258+'Cálculos'!$E$124*(1+2.78*('Cálculos'!$E$199+(($C134)-$A$120:$A$165)*'Cálculos'!$E$98)/(('Cálculos'!$E$199+(($C134)-$A$120:$A$165)*'Cálculos'!$E$98)+1400)+'Cálculos'!$E$122)*'Cálculos'!$E$263+'Cálculos'!$E$125*(1+2.78*('Cálculos'!$E$199+(($C134)-$A$120:$A$165)*'Cálculos'!$E$98)/(('Cálculos'!$E$199+(($C134)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134)-$A$120:$A$165)*'Cálculos'!$E$98)/(('Cálculos'!$E$200+(($C134)-$A$120:$A$165)*'Cálculos'!$E$98)+1400)+'Cálculos'!$E$122)*'Cálculos'!$E$274+'Cálculos'!$E$125*(1+2.78*('Cálculos'!$E$200+(($C134)-$A$120:$A$165)*'Cálculos'!$E$98)/(('Cálculos'!$E$200+(($C134)-$A$120:$A$165)*'Cálculos'!$E$98)+1400)+'Cálculos'!$E$123)*'Cálculos'!$E$279)+('Cálculos'!$E$200+(($C134)-$A$120:$A$165)*'Cálculos'!$E$98)*('Cálculos'!$E$270+'Cálculos'!$E$124*(1+2.78*('Cálculos'!$E$200+(($C134)-$A$120:$A$165)*'Cálculos'!$E$98)/(('Cálculos'!$E$200+(($C134)-$A$120:$A$165)*'Cálculos'!$E$98)+1400)+'Cálculos'!$E$122)*'Cálculos'!$E$275+'Cálculos'!$E$125*(1+2.78*('Cálculos'!$E$200+(($C134)-$A$120:$A$165)*'Cálculos'!$E$98)/(('Cálculos'!$E$200+(($C134)-$A$120:$A$165)*'Cálculos'!$E$98)+1400)+'Cálculos'!$E$123)*'Cálculos'!$E$280)+('Cálculos'!$E$201*(1+'Cálculos'!$E$202+$A$120:$A$165*('Cálculos'!$E$290=2)*'Cálculos'!$E$101)+'Cálculos'!$E$203)*('Cálculos'!$E$271+'Cálculos'!$E$124*(1+2.78*('Cálculos'!$E$200+(($C134)-$A$120:$A$165)*'Cálculos'!$E$98)/(('Cálculos'!$E$200+(($C134)-$A$120:$A$165)*'Cálculos'!$E$98)+1400)+'Cálculos'!$E$122)*'Cálculos'!$E$276+'Cálculos'!$E$125*(1+2.78*('Cálculos'!$E$200+(($C134)-$A$120:$A$165)*'Cálculos'!$E$98)/(('Cálculos'!$E$200+(($C134)-$A$120:$A$165)*'Cálculos'!$E$98)+1400)+'Cálculos'!$E$123)*'Cálculos'!$E$281)+('Cálculos'!$E$204*(1+'Cálculos'!$E$205+$A$120:$A$165*('Cálculos'!$E$290=3)*'Cálculos'!$E$103)+'Cálculos'!$E$206)*('Cálculos'!$E$272+'Cálculos'!$E$124*(1+2.78*('Cálculos'!$E$200+(($C134)-$A$120:$A$165)*'Cálculos'!$E$98)/(('Cálculos'!$E$200+(($C134)-$A$120:$A$165)*'Cálculos'!$E$98)+1400)+'Cálculos'!$E$122)*'Cálculos'!$E$277+'Cálculos'!$E$125*(1+2.78*('Cálculos'!$E$200+(($C134)-$A$120:$A$165)*'Cálculos'!$E$98)/(('Cálculos'!$E$200+(($C134)-$A$120:$A$165)*'Cálculos'!$E$98)+1400)+'Cálculos'!$E$123)*'Cálculos'!$E$282)+('Cálculos'!$E$273+'Cálculos'!$E$124*(1+2.78*('Cálculos'!$E$200+(($C134)-$A$120:$A$165)*'Cálculos'!$E$98)/(('Cálculos'!$E$200+(($C134)-$A$120:$A$165)*'Cálculos'!$E$98)+1400)+'Cálculos'!$E$122)*'Cálculos'!$E$278+'Cálculos'!$E$125*(1+2.78*('Cálculos'!$E$200+(($C134)-$A$120:$A$165)*'Cálculos'!$E$98)/(('Cálculos'!$E$200+(($C134)-$A$120:$A$165)*'Cálculos'!$E$98)+1400)+'Cálculos'!$E$123)*'Cálculos'!$E$283)))))</f>
        <v>0</v>
      </c>
      <c r="E134" s="32">
        <f>IF(OR($C134&lt;0,'Cálculos'!$E$6=""),0,$B134*$D134)</f>
        <v>0</v>
      </c>
      <c r="F134" s="2"/>
      <c r="G134" s="30">
        <f>($A134&lt;=$B$167)*($A134&lt;='Cálculos'!$E$294)*(($B$167)-$A134&lt;='Cálculos'!$E$295)*(1+MIN(('Cálculos'!$E$207+$A134*'Cálculos'!$E$95),1)*('Cálculos'!$E$208+(($B$167)-$A134)*'Cálculos'!$E$96))</f>
        <v>0</v>
      </c>
      <c r="H134" s="31">
        <f>IF($B$168&lt;0,0,($A134&lt;=$B$168)*($A134&lt;='Cálculos'!$E$301)*(($B$168)-$A134&lt;='Cálculos'!$E$297)*(('Cálculos'!$E$185*(1+'Cálculos'!$E$186+$A134*('Cálculos'!$E$290=1)*'Cálculos'!$E$97+'Cálculos'!$E$305)+'Cálculos'!$E$191)*('Cálculos'!$E$209+'Cálculos'!$E$124*(1+2.78*('Cálculos'!$E$196+(($B$168)-$A134)*'Cálculos'!$E$98)/(('Cálculos'!$E$196+(($B$168)-$A134)*'Cálculos'!$E$98)+1400)+'Cálculos'!$E$122)*'Cálculos'!$E$214+'Cálculos'!$E$125*(1+2.78*('Cálculos'!$E$196+(($B$168)-$A134)*'Cálculos'!$E$98)/(('Cálculos'!$E$196+(($B$168)-$A134)*'Cálculos'!$E$98)+1400)+'Cálculos'!$E$123)*'Cálculos'!$E$219)+('Cálculos'!$E$196+(($B$168)-$A134)*'Cálculos'!$E$98)*('Cálculos'!$E$210+'Cálculos'!$E$124*(1+2.78*('Cálculos'!$E$196+(($B$168)-$A134)*'Cálculos'!$E$98)/(('Cálculos'!$E$196+(($B$168)-$A134)*'Cálculos'!$E$98)+1400)+'Cálculos'!$E$122)*'Cálculos'!$E$215+'Cálculos'!$E$125*(1+2.78*('Cálculos'!$E$196+(($B$168)-$A134)*'Cálculos'!$E$98)/(('Cálculos'!$E$196+(($B$168)-$A134)*'Cálculos'!$E$98)+1400)+'Cálculos'!$E$123)*'Cálculos'!$E$220)+('Cálculos'!$E$201*(1+'Cálculos'!$E$202+$A134*('Cálculos'!$E$290=2)*'Cálculos'!$E$101)+'Cálculos'!$E$203)*('Cálculos'!$E$211+'Cálculos'!$E$124*(1+2.78*('Cálculos'!$E$196+(($B$168)-$A134)*'Cálculos'!$E$98)/(('Cálculos'!$E$196+(($B$168)-$A134)*'Cálculos'!$E$98)+1400)+'Cálculos'!$E$122)*'Cálculos'!$E$216+'Cálculos'!$E$125*(1+2.78*('Cálculos'!$E$196+(($B$168)-$A134)*'Cálculos'!$E$98)/(('Cálculos'!$E$196+(($B$168)-$A134)*'Cálculos'!$E$98)+1400)+'Cálculos'!$E$123)*'Cálculos'!$E$221)+('Cálculos'!$E$204*(1+'Cálculos'!$E$205+$A134*('Cálculos'!$E$290=3)*'Cálculos'!$E$103)+'Cálculos'!$E$206)*('Cálculos'!$E$212+'Cálculos'!$E$124*(1+2.78*('Cálculos'!$E$196+(($B$168)-$A134)*'Cálculos'!$E$98)/(('Cálculos'!$E$196+(($B$168)-$A134)*'Cálculos'!$E$98)+1400)+'Cálculos'!$E$122)*'Cálculos'!$E$217+'Cálculos'!$E$125*(1+2.78*('Cálculos'!$E$196+(($B$168)-$A134)*'Cálculos'!$E$98)/(('Cálculos'!$E$196+(($B$168)-$A134)*'Cálculos'!$E$98)+1400)+'Cálculos'!$E$123)*'Cálculos'!$E$222)+('Cálculos'!$E$213+'Cálculos'!$E$124*(1+2.78*('Cálculos'!$E$196+(($B$168)-$A134)*'Cálculos'!$E$98)/(('Cálculos'!$E$196+(($B$168)-$A134)*'Cálculos'!$E$98)+1400)+'Cálculos'!$E$122)*'Cálculos'!$E$218+'Cálculos'!$E$125*(1+2.78*('Cálculos'!$E$196+(($B$168)-$A134)*'Cálculos'!$E$98)/(('Cálculos'!$E$196+(($B$168)-$A134)*'Cálculos'!$E$98)+1400)+'Cálculos'!$E$123)*'Cálculos'!$E$223)+('Cálculos'!$E$185*(1+'Cálculos'!$E$187+$A134*('Cálculos'!$E$290=1)*'Cálculos'!$E$97+'Cálculos'!$E$305)+'Cálculos'!$E$192)*('Cálculos'!$E$224+'Cálculos'!$E$124*(1+2.78*('Cálculos'!$E$197+(($B$168)-$A134)*'Cálculos'!$E$98)/(('Cálculos'!$E$197+(($B$168)-$A134)*'Cálculos'!$E$98)+1400)+'Cálculos'!$E$122)*'Cálculos'!$E$229+'Cálculos'!$E$125*(1+2.78*('Cálculos'!$E$197+(($B$168)-$A134)*'Cálculos'!$E$98)/(('Cálculos'!$E$197+(($B$168)-$A134)*'Cálculos'!$E$98)+1400)+'Cálculos'!$E$123)*'Cálculos'!$E$234)+('Cálculos'!$E$197+(($B$168)-$A134)*'Cálculos'!$E$98)*('Cálculos'!$E$225+'Cálculos'!$E$124*(1+2.78*('Cálculos'!$E$197+(($B$168)-$A134)*'Cálculos'!$E$98)/(('Cálculos'!$E$197+(($B$168)-$A134)*'Cálculos'!$E$98)+1400)+'Cálculos'!$E$122)*'Cálculos'!$E$230+'Cálculos'!$E$125*(1+2.78*('Cálculos'!$E$197+(($B$168)-$A134)*'Cálculos'!$E$98)/(('Cálculos'!$E$197+(($B$168)-$A134)*'Cálculos'!$E$98)+1400)+'Cálculos'!$E$123)*'Cálculos'!$E$235)+('Cálculos'!$E$201*(1+'Cálculos'!$E$202+$A134*('Cálculos'!$E$290=2)*'Cálculos'!$E$101)+'Cálculos'!$E$203)*('Cálculos'!$E$226+'Cálculos'!$E$124*(1+2.78*('Cálculos'!$E$197+(($B$168)-$A134)*'Cálculos'!$E$98)/(('Cálculos'!$E$197+(($B$168)-$A134)*'Cálculos'!$E$98)+1400)+'Cálculos'!$E$122)*'Cálculos'!$E$231+'Cálculos'!$E$125*(1+2.78*('Cálculos'!$E$197+(($B$168)-$A134)*'Cálculos'!$E$98)/(('Cálculos'!$E$197+(($B$168)-$A134)*'Cálculos'!$E$98)+1400)+'Cálculos'!$E$123)*'Cálculos'!$E$236)+('Cálculos'!$E$204*(1+'Cálculos'!$E$205+$A134*('Cálculos'!$E$290=3)*'Cálculos'!$E$103)+'Cálculos'!$E$206)*('Cálculos'!$E$227+'Cálculos'!$E$124*(1+2.78*('Cálculos'!$E$197+(($B$168)-$A134)*'Cálculos'!$E$98)/(('Cálculos'!$E$197+(($B$168)-$A134)*'Cálculos'!$E$98)+1400)+'Cálculos'!$E$122)*'Cálculos'!$E$232+'Cálculos'!$E$125*(1+2.78*('Cálculos'!$E$197+(($B$168)-$A134)*'Cálculos'!$E$98)/(('Cálculos'!$E$197+(($B$168)-$A134)*'Cálculos'!$E$98)+1400)+'Cálculos'!$E$123)*'Cálculos'!$E$237)+('Cálculos'!$E$228+'Cálculos'!$E$124*(1+2.78*('Cálculos'!$E$197+(($B$168)-$A134)*'Cálculos'!$E$98)/(('Cálculos'!$E$197+(($B$168)-$A134)*'Cálculos'!$E$98)+1400)+'Cálculos'!$E$122)*'Cálculos'!$E$233+'Cálculos'!$E$125*(1+2.78*('Cálculos'!$E$197+(($B$168)-$A134)*'Cálculos'!$E$98)/(('Cálculos'!$E$197+(($B$168)-$A134)*'Cálculos'!$E$98)+1400)+'Cálculos'!$E$123)*'Cálculos'!$E$238)+('Cálculos'!$E$185*(1+'Cálculos'!$E$188+$A134*('Cálculos'!$E$290=1)*'Cálculos'!$E$97+'Cálculos'!$E$305)+'Cálculos'!$E$193)*('Cálculos'!$E$239+'Cálculos'!$E$124*(1+2.78*('Cálculos'!$E$198+(($B$168)-$A134)*'Cálculos'!$E$98)/(('Cálculos'!$E$198+(($B$168)-$A134)*'Cálculos'!$E$98)+1400)+'Cálculos'!$E$122)*'Cálculos'!$E$244+'Cálculos'!$E$125*(1+2.78*('Cálculos'!$E$198+(($B$168)-$A134)*'Cálculos'!$E$98)/(('Cálculos'!$E$198+(($B$168)-$A134)*'Cálculos'!$E$98)+1400)+'Cálculos'!$E$123)*'Cálculos'!$E$249)+('Cálculos'!$E$198+(($B$168)-$A134)*'Cálculos'!$E$98)*('Cálculos'!$E$240+'Cálculos'!$E$124*(1+2.78*('Cálculos'!$E$198+(($B$168)-$A134)*'Cálculos'!$E$98)/(('Cálculos'!$E$198+(($B$168)-$A134)*'Cálculos'!$E$98)+1400)+'Cálculos'!$E$122)*'Cálculos'!$E$245+'Cálculos'!$E$125*(1+2.78*('Cálculos'!$E$198+(($B$168)-$A134)*'Cálculos'!$E$98)/(('Cálculos'!$E$198+(($B$168)-$A134)*'Cálculos'!$E$98)+1400)+'Cálculos'!$E$123)*'Cálculos'!$E$250)+('Cálculos'!$E$201*(1+'Cálculos'!$E$202+$A134*('Cálculos'!$E$290=2)*'Cálculos'!$E$101)+'Cálculos'!$E$203)*('Cálculos'!$E$241+'Cálculos'!$E$124*(1+2.78*('Cálculos'!$E$198+(($B$168)-$A134)*'Cálculos'!$E$98)/(('Cálculos'!$E$198+(($B$168)-$A134)*'Cálculos'!$E$98)+1400)+'Cálculos'!$E$122)*'Cálculos'!$E$246+'Cálculos'!$E$125*(1+2.78*('Cálculos'!$E$198+(($B$168)-$A134)*'Cálculos'!$E$98)/(('Cálculos'!$E$198+(($B$168)-$A134)*'Cálculos'!$E$98)+1400)+'Cálculos'!$E$123)*'Cálculos'!$E$251)+('Cálculos'!$E$204*(1+'Cálculos'!$E$205+$A134*('Cálculos'!$E$290=3)*'Cálculos'!$E$103)+'Cálculos'!$E$206)*('Cálculos'!$E$242+'Cálculos'!$E$124*(1+2.78*('Cálculos'!$E$198+(($B$168)-$A134)*'Cálculos'!$E$98)/(('Cálculos'!$E$198+(($B$168)-$A134)*'Cálculos'!$E$98)+1400)+'Cálculos'!$E$122)*'Cálculos'!$E$247+'Cálculos'!$E$125*(1+2.78*('Cálculos'!$E$198+(($B$168)-$A134)*'Cálculos'!$E$98)/(('Cálculos'!$E$198+(($B$168)-$A134)*'Cálculos'!$E$98)+1400)+'Cálculos'!$E$123)*'Cálculos'!$E$252)+('Cálculos'!$E$243+'Cálculos'!$E$124*(1+2.78*('Cálculos'!$E$198+(($B$168)-$A134)*'Cálculos'!$E$98)/(('Cálculos'!$E$198+(($B$168)-$A134)*'Cálculos'!$E$98)+1400)+'Cálculos'!$E$122)*'Cálculos'!$E$248+'Cálculos'!$E$125*(1+2.78*('Cálculos'!$E$198+(($B$168)-$A134)*'Cálculos'!$E$98)/(('Cálculos'!$E$198+(($B$168)-$A134)*'Cálculos'!$E$98)+1400)+'Cálculos'!$E$123)*'Cálculos'!$E$253)+('Cálculos'!$E$185*(1+'Cálculos'!$E$189+$A134*('Cálculos'!$E$290=1)*'Cálculos'!$E$97+'Cálculos'!$E$305)+'Cálculos'!$E$194)*('Cálculos'!$E$254+'Cálculos'!$E$124*(1+2.78*('Cálculos'!$E$199+(($B$168)-$A134)*'Cálculos'!$E$98)/(('Cálculos'!$E$199+(($B$168)-$A134)*'Cálculos'!$E$98)+1400)+'Cálculos'!$E$122)*'Cálculos'!$E$259+'Cálculos'!$E$125*(1+2.78*('Cálculos'!$E$199+(($B$168)-$A134)*'Cálculos'!$E$98)/(('Cálculos'!$E$199+(($B$168)-$A134)*'Cálculos'!$E$98)+1400)+'Cálculos'!$E$123)*'Cálculos'!$E$264)+('Cálculos'!$E$199+(($B$168)-$A134)*'Cálculos'!$E$98)*('Cálculos'!$E$255+'Cálculos'!$E$124*(1+2.78*('Cálculos'!$E$199+(($B$168)-$A134)*'Cálculos'!$E$98)/(('Cálculos'!$E$199+(($B$168)-$A134)*'Cálculos'!$E$98)+1400)+'Cálculos'!$E$122)*'Cálculos'!$E$260+'Cálculos'!$E$125*(1+2.78*('Cálculos'!$E$199+(($B$168)-$A134)*'Cálculos'!$E$98)/(('Cálculos'!$E$199+(($B$168)-$A134)*'Cálculos'!$E$98)+1400)+'Cálculos'!$E$123)*'Cálculos'!$E$265)+('Cálculos'!$E$201*(1+'Cálculos'!$E$202+$A134*('Cálculos'!$E$290=2)*'Cálculos'!$E$101)+'Cálculos'!$E$203)*('Cálculos'!$E$256+'Cálculos'!$E$124*(1+2.78*('Cálculos'!$E$199+(($B$168)-$A134)*'Cálculos'!$E$98)/(('Cálculos'!$E$199+(($B$168)-$A134)*'Cálculos'!$E$98)+1400)+'Cálculos'!$E$122)*'Cálculos'!$E$261+'Cálculos'!$E$125*(1+2.78*('Cálculos'!$E$199+(($B$168)-$A134)*'Cálculos'!$E$98)/(('Cálculos'!$E$199+(($B$168)-$A134)*'Cálculos'!$E$98)+1400)+'Cálculos'!$E$123)*'Cálculos'!$E$266)+('Cálculos'!$E$204*(1+'Cálculos'!$E$205+$A134*('Cálculos'!$E$290=3)*'Cálculos'!$E$103)+'Cálculos'!$E$206)*('Cálculos'!$E$257+'Cálculos'!$E$124*(1+2.78*('Cálculos'!$E$199+(($B$168)-$A134)*'Cálculos'!$E$98)/(('Cálculos'!$E$199+(($B$168)-$A134)*'Cálculos'!$E$98)+1400)+'Cálculos'!$E$122)*'Cálculos'!$E$262+'Cálculos'!$E$125*(1+2.78*('Cálculos'!$E$199+(($B$168)-$A134)*'Cálculos'!$E$98)/(('Cálculos'!$E$199+(($B$168)-$A134)*'Cálculos'!$E$98)+1400)+'Cálculos'!$E$123)*'Cálculos'!$E$267)+('Cálculos'!$E$258+'Cálculos'!$E$124*(1+2.78*('Cálculos'!$E$199+(($B$168)-$A134)*'Cálculos'!$E$98)/(('Cálculos'!$E$199+(($B$168)-$A134)*'Cálculos'!$E$98)+1400)+'Cálculos'!$E$122)*'Cálculos'!$E$263+'Cálculos'!$E$125*(1+2.78*('Cálculos'!$E$199+(($B$168)-$A134)*'Cálculos'!$E$98)/(('Cálculos'!$E$199+(($B$168)-$A134)*'Cálculos'!$E$98)+1400)+'Cálculos'!$E$123)*'Cálculos'!$E$268)+('Cálculos'!$E$185*(1+'Cálculos'!$E$190+$A134*('Cálculos'!$E$290=1)*'Cálculos'!$E$97+'Cálculos'!$E$305)+'Cálculos'!$E$195)*('Cálculos'!$E$269+'Cálculos'!$E$124*(1+2.78*('Cálculos'!$E$200+(($B$168)-$A134)*'Cálculos'!$E$98)/(('Cálculos'!$E$200+(($B$168)-$A134)*'Cálculos'!$E$98)+1400)+'Cálculos'!$E$122)*'Cálculos'!$E$274+'Cálculos'!$E$125*(1+2.78*('Cálculos'!$E$200+(($B$168)-$A134)*'Cálculos'!$E$98)/(('Cálculos'!$E$200+(($B$168)-$A134)*'Cálculos'!$E$98)+1400)+'Cálculos'!$E$123)*'Cálculos'!$E$279)+('Cálculos'!$E$200+(($B$168)-$A134)*'Cálculos'!$E$98)*('Cálculos'!$E$270+'Cálculos'!$E$124*(1+2.78*('Cálculos'!$E$200+(($B$168)-$A134)*'Cálculos'!$E$98)/(('Cálculos'!$E$200+(($B$168)-$A134)*'Cálculos'!$E$98)+1400)+'Cálculos'!$E$122)*'Cálculos'!$E$275+'Cálculos'!$E$125*(1+2.78*('Cálculos'!$E$200+(($B$168)-$A134)*'Cálculos'!$E$98)/(('Cálculos'!$E$200+(($B$168)-$A134)*'Cálculos'!$E$98)+1400)+'Cálculos'!$E$123)*'Cálculos'!$E$280)+('Cálculos'!$E$201*(1+'Cálculos'!$E$202+$A134*('Cálculos'!$E$290=2)*'Cálculos'!$E$101)+'Cálculos'!$E$203)*('Cálculos'!$E$271+'Cálculos'!$E$124*(1+2.78*('Cálculos'!$E$200+(($B$168)-$A134)*'Cálculos'!$E$98)/(('Cálculos'!$E$200+(($B$168)-$A134)*'Cálculos'!$E$98)+1400)+'Cálculos'!$E$122)*'Cálculos'!$E$276+'Cálculos'!$E$125*(1+2.78*('Cálculos'!$E$200+(($B$168)-$A134)*'Cálculos'!$E$98)/(('Cálculos'!$E$200+(($B$168)-$A134)*'Cálculos'!$E$98)+1400)+'Cálculos'!$E$123)*'Cálculos'!$E$281)+('Cálculos'!$E$204*(1+'Cálculos'!$E$205+$A134*('Cálculos'!$E$290=3)*'Cálculos'!$E$103)+'Cálculos'!$E$206)*('Cálculos'!$E$272+'Cálculos'!$E$124*(1+2.78*('Cálculos'!$E$200+(($B$168)-$A134)*'Cálculos'!$E$98)/(('Cálculos'!$E$200+(($B$168)-$A134)*'Cálculos'!$E$98)+1400)+'Cálculos'!$E$122)*'Cálculos'!$E$277+'Cálculos'!$E$125*(1+2.78*('Cálculos'!$E$200+(($B$168)-$A134)*'Cálculos'!$E$98)/(('Cálculos'!$E$200+(($B$168)-$A134)*'Cálculos'!$E$98)+1400)+'Cálculos'!$E$123)*'Cálculos'!$E$282)+('Cálculos'!$E$273+'Cálculos'!$E$124*(1+2.78*('Cálculos'!$E$200+(($B$168)-$A134)*'Cálculos'!$E$98)/(('Cálculos'!$E$200+(($B$168)-$A134)*'Cálculos'!$E$98)+1400)+'Cálculos'!$E$122)*'Cálculos'!$E$278+'Cálculos'!$E$125*(1+2.78*('Cálculos'!$E$200+(($B$168)-$A134)*'Cálculos'!$E$98)/(('Cálculos'!$E$200+(($B$168)-$A134)*'Cálculos'!$E$98)+1400)+'Cálculos'!$E$123)*'Cálculos'!$E$283)))</f>
        <v>0</v>
      </c>
    </row>
    <row r="135" ht="15.75" customHeight="1">
      <c r="A135" s="2">
        <v>15.0</v>
      </c>
      <c r="B135" s="30">
        <f>SUMPRODUCT(MAX(($A$120:$A$165&lt;=$A135)*($A$120:$A$165&lt;='Cálculos'!$E$294)*(($A135)-$A$120:$A$165&lt;='Cálculos'!$E$295)*(1+(('Cálculos'!$E$207+$A$120:$A$165*'Cálculos'!$E$95)-(('Cálculos'!$E$207+$A$120:$A$165*'Cálculos'!$E$95)&gt;1)*(('Cálculos'!$E$207+$A$120:$A$165*'Cálculos'!$E$95)-1))*('Cálculos'!$E$208+(($A135)-$A$120:$A$165)*'Cálculos'!$E$96))))</f>
        <v>1.76625</v>
      </c>
      <c r="C135" s="2">
        <f>'Cálculos'!$E$303-$A135</f>
        <v>-2</v>
      </c>
      <c r="D135" s="31">
        <f>IF($C135&lt;0,0,SUMPRODUCT(MAX(($A$120:$A$165&lt;=$C135)*($A$120:$A$165&lt;='Cálculos'!$E$301)*(($C135)-$A$120:$A$165&lt;='Cálculos'!$E$297)*(('Cálculos'!$E$185*(1+'Cálculos'!$E$186+$A$120:$A$165*('Cálculos'!$E$290=1)*'Cálculos'!$E$97+'Cálculos'!$E$305)+'Cálculos'!$E$191)*('Cálculos'!$E$209+'Cálculos'!$E$124*(1+2.78*('Cálculos'!$E$196+(($C135)-$A$120:$A$165)*'Cálculos'!$E$98)/(('Cálculos'!$E$196+(($C135)-$A$120:$A$165)*'Cálculos'!$E$98)+1400)+'Cálculos'!$E$122)*'Cálculos'!$E$214+'Cálculos'!$E$125*(1+2.78*('Cálculos'!$E$196+(($C135)-$A$120:$A$165)*'Cálculos'!$E$98)/(('Cálculos'!$E$196+(($C135)-$A$120:$A$165)*'Cálculos'!$E$98)+1400)+'Cálculos'!$E$123)*'Cálculos'!$E$219)+('Cálculos'!$E$196+(($C135)-$A$120:$A$165)*'Cálculos'!$E$98)*('Cálculos'!$E$210+'Cálculos'!$E$124*(1+2.78*('Cálculos'!$E$196+(($C135)-$A$120:$A$165)*'Cálculos'!$E$98)/(('Cálculos'!$E$196+(($C135)-$A$120:$A$165)*'Cálculos'!$E$98)+1400)+'Cálculos'!$E$122)*'Cálculos'!$E$215+'Cálculos'!$E$125*(1+2.78*('Cálculos'!$E$196+(($C135)-$A$120:$A$165)*'Cálculos'!$E$98)/(('Cálculos'!$E$196+(($C135)-$A$120:$A$165)*'Cálculos'!$E$98)+1400)+'Cálculos'!$E$123)*'Cálculos'!$E$220)+('Cálculos'!$E$201*(1+'Cálculos'!$E$202+$A$120:$A$165*('Cálculos'!$E$290=2)*'Cálculos'!$E$101)+'Cálculos'!$E$203)*('Cálculos'!$E$211+'Cálculos'!$E$124*(1+2.78*('Cálculos'!$E$196+(($C135)-$A$120:$A$165)*'Cálculos'!$E$98)/(('Cálculos'!$E$196+(($C135)-$A$120:$A$165)*'Cálculos'!$E$98)+1400)+'Cálculos'!$E$122)*'Cálculos'!$E$216+'Cálculos'!$E$125*(1+2.78*('Cálculos'!$E$196+(($C135)-$A$120:$A$165)*'Cálculos'!$E$98)/(('Cálculos'!$E$196+(($C135)-$A$120:$A$165)*'Cálculos'!$E$98)+1400)+'Cálculos'!$E$123)*'Cálculos'!$E$221)+('Cálculos'!$E$204*(1+'Cálculos'!$E$205+$A$120:$A$165*('Cálculos'!$E$290=3)*'Cálculos'!$E$103)+'Cálculos'!$E$206)*('Cálculos'!$E$212+'Cálculos'!$E$124*(1+2.78*('Cálculos'!$E$196+(($C135)-$A$120:$A$165)*'Cálculos'!$E$98)/(('Cálculos'!$E$196+(($C135)-$A$120:$A$165)*'Cálculos'!$E$98)+1400)+'Cálculos'!$E$122)*'Cálculos'!$E$217+'Cálculos'!$E$125*(1+2.78*('Cálculos'!$E$196+(($C135)-$A$120:$A$165)*'Cálculos'!$E$98)/(('Cálculos'!$E$196+(($C135)-$A$120:$A$165)*'Cálculos'!$E$98)+1400)+'Cálculos'!$E$123)*'Cálculos'!$E$222)+('Cálculos'!$E$213+'Cálculos'!$E$124*(1+2.78*('Cálculos'!$E$196+(($C135)-$A$120:$A$165)*'Cálculos'!$E$98)/(('Cálculos'!$E$196+(($C135)-$A$120:$A$165)*'Cálculos'!$E$98)+1400)+'Cálculos'!$E$122)*'Cálculos'!$E$218+'Cálculos'!$E$125*(1+2.78*('Cálculos'!$E$196+(($C135)-$A$120:$A$165)*'Cálculos'!$E$98)/(('Cálculos'!$E$196+(($C135)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135)-$A$120:$A$165)*'Cálculos'!$E$98)/(('Cálculos'!$E$197+(($C135)-$A$120:$A$165)*'Cálculos'!$E$98)+1400)+'Cálculos'!$E$122)*'Cálculos'!$E$229+'Cálculos'!$E$125*(1+2.78*('Cálculos'!$E$197+(($C135)-$A$120:$A$165)*'Cálculos'!$E$98)/(('Cálculos'!$E$197+(($C135)-$A$120:$A$165)*'Cálculos'!$E$98)+1400)+'Cálculos'!$E$123)*'Cálculos'!$E$234)+('Cálculos'!$E$197+(($C135)-$A$120:$A$165)*'Cálculos'!$E$98)*('Cálculos'!$E$225+'Cálculos'!$E$124*(1+2.78*('Cálculos'!$E$197+(($C135)-$A$120:$A$165)*'Cálculos'!$E$98)/(('Cálculos'!$E$197+(($C135)-$A$120:$A$165)*'Cálculos'!$E$98)+1400)+'Cálculos'!$E$122)*'Cálculos'!$E$230+'Cálculos'!$E$125*(1+2.78*('Cálculos'!$E$197+(($C135)-$A$120:$A$165)*'Cálculos'!$E$98)/(('Cálculos'!$E$197+(($C135)-$A$120:$A$165)*'Cálculos'!$E$98)+1400)+'Cálculos'!$E$123)*'Cálculos'!$E$235)+('Cálculos'!$E$201*(1+'Cálculos'!$E$202+$A$120:$A$165*('Cálculos'!$E$290=2)*'Cálculos'!$E$101)+'Cálculos'!$E$203)*('Cálculos'!$E$226+'Cálculos'!$E$124*(1+2.78*('Cálculos'!$E$197+(($C135)-$A$120:$A$165)*'Cálculos'!$E$98)/(('Cálculos'!$E$197+(($C135)-$A$120:$A$165)*'Cálculos'!$E$98)+1400)+'Cálculos'!$E$122)*'Cálculos'!$E$231+'Cálculos'!$E$125*(1+2.78*('Cálculos'!$E$197+(($C135)-$A$120:$A$165)*'Cálculos'!$E$98)/(('Cálculos'!$E$197+(($C135)-$A$120:$A$165)*'Cálculos'!$E$98)+1400)+'Cálculos'!$E$123)*'Cálculos'!$E$236)+('Cálculos'!$E$204*(1+'Cálculos'!$E$205+$A$120:$A$165*('Cálculos'!$E$290=3)*'Cálculos'!$E$103)+'Cálculos'!$E$206)*('Cálculos'!$E$227+'Cálculos'!$E$124*(1+2.78*('Cálculos'!$E$197+(($C135)-$A$120:$A$165)*'Cálculos'!$E$98)/(('Cálculos'!$E$197+(($C135)-$A$120:$A$165)*'Cálculos'!$E$98)+1400)+'Cálculos'!$E$122)*'Cálculos'!$E$232+'Cálculos'!$E$125*(1+2.78*('Cálculos'!$E$197+(($C135)-$A$120:$A$165)*'Cálculos'!$E$98)/(('Cálculos'!$E$197+(($C135)-$A$120:$A$165)*'Cálculos'!$E$98)+1400)+'Cálculos'!$E$123)*'Cálculos'!$E$237)+('Cálculos'!$E$228+'Cálculos'!$E$124*(1+2.78*('Cálculos'!$E$197+(($C135)-$A$120:$A$165)*'Cálculos'!$E$98)/(('Cálculos'!$E$197+(($C135)-$A$120:$A$165)*'Cálculos'!$E$98)+1400)+'Cálculos'!$E$122)*'Cálculos'!$E$233+'Cálculos'!$E$125*(1+2.78*('Cálculos'!$E$197+(($C135)-$A$120:$A$165)*'Cálculos'!$E$98)/(('Cálculos'!$E$197+(($C135)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135)-$A$120:$A$165)*'Cálculos'!$E$98)/(('Cálculos'!$E$198+(($C135)-$A$120:$A$165)*'Cálculos'!$E$98)+1400)+'Cálculos'!$E$122)*'Cálculos'!$E$244+'Cálculos'!$E$125*(1+2.78*('Cálculos'!$E$198+(($C135)-$A$120:$A$165)*'Cálculos'!$E$98)/(('Cálculos'!$E$198+(($C135)-$A$120:$A$165)*'Cálculos'!$E$98)+1400)+'Cálculos'!$E$123)*'Cálculos'!$E$249)+('Cálculos'!$E$198+(($C135)-$A$120:$A$165)*'Cálculos'!$E$98)*('Cálculos'!$E$240+'Cálculos'!$E$124*(1+2.78*('Cálculos'!$E$198+(($C135)-$A$120:$A$165)*'Cálculos'!$E$98)/(('Cálculos'!$E$198+(($C135)-$A$120:$A$165)*'Cálculos'!$E$98)+1400)+'Cálculos'!$E$122)*'Cálculos'!$E$245+'Cálculos'!$E$125*(1+2.78*('Cálculos'!$E$198+(($C135)-$A$120:$A$165)*'Cálculos'!$E$98)/(('Cálculos'!$E$198+(($C135)-$A$120:$A$165)*'Cálculos'!$E$98)+1400)+'Cálculos'!$E$123)*'Cálculos'!$E$250)+('Cálculos'!$E$201*(1+'Cálculos'!$E$202+$A$120:$A$165*('Cálculos'!$E$290=2)*'Cálculos'!$E$101)+'Cálculos'!$E$203)*('Cálculos'!$E$241+'Cálculos'!$E$124*(1+2.78*('Cálculos'!$E$198+(($C135)-$A$120:$A$165)*'Cálculos'!$E$98)/(('Cálculos'!$E$198+(($C135)-$A$120:$A$165)*'Cálculos'!$E$98)+1400)+'Cálculos'!$E$122)*'Cálculos'!$E$246+'Cálculos'!$E$125*(1+2.78*('Cálculos'!$E$198+(($C135)-$A$120:$A$165)*'Cálculos'!$E$98)/(('Cálculos'!$E$198+(($C135)-$A$120:$A$165)*'Cálculos'!$E$98)+1400)+'Cálculos'!$E$123)*'Cálculos'!$E$251)+('Cálculos'!$E$204*(1+'Cálculos'!$E$205+$A$120:$A$165*('Cálculos'!$E$290=3)*'Cálculos'!$E$103)+'Cálculos'!$E$206)*('Cálculos'!$E$242+'Cálculos'!$E$124*(1+2.78*('Cálculos'!$E$198+(($C135)-$A$120:$A$165)*'Cálculos'!$E$98)/(('Cálculos'!$E$198+(($C135)-$A$120:$A$165)*'Cálculos'!$E$98)+1400)+'Cálculos'!$E$122)*'Cálculos'!$E$247+'Cálculos'!$E$125*(1+2.78*('Cálculos'!$E$198+(($C135)-$A$120:$A$165)*'Cálculos'!$E$98)/(('Cálculos'!$E$198+(($C135)-$A$120:$A$165)*'Cálculos'!$E$98)+1400)+'Cálculos'!$E$123)*'Cálculos'!$E$252)+('Cálculos'!$E$243+'Cálculos'!$E$124*(1+2.78*('Cálculos'!$E$198+(($C135)-$A$120:$A$165)*'Cálculos'!$E$98)/(('Cálculos'!$E$198+(($C135)-$A$120:$A$165)*'Cálculos'!$E$98)+1400)+'Cálculos'!$E$122)*'Cálculos'!$E$248+'Cálculos'!$E$125*(1+2.78*('Cálculos'!$E$198+(($C135)-$A$120:$A$165)*'Cálculos'!$E$98)/(('Cálculos'!$E$198+(($C135)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135)-$A$120:$A$165)*'Cálculos'!$E$98)/(('Cálculos'!$E$199+(($C135)-$A$120:$A$165)*'Cálculos'!$E$98)+1400)+'Cálculos'!$E$122)*'Cálculos'!$E$259+'Cálculos'!$E$125*(1+2.78*('Cálculos'!$E$199+(($C135)-$A$120:$A$165)*'Cálculos'!$E$98)/(('Cálculos'!$E$199+(($C135)-$A$120:$A$165)*'Cálculos'!$E$98)+1400)+'Cálculos'!$E$123)*'Cálculos'!$E$264)+('Cálculos'!$E$199+(($C135)-$A$120:$A$165)*'Cálculos'!$E$98)*('Cálculos'!$E$255+'Cálculos'!$E$124*(1+2.78*('Cálculos'!$E$199+(($C135)-$A$120:$A$165)*'Cálculos'!$E$98)/(('Cálculos'!$E$199+(($C135)-$A$120:$A$165)*'Cálculos'!$E$98)+1400)+'Cálculos'!$E$122)*'Cálculos'!$E$260+'Cálculos'!$E$125*(1+2.78*('Cálculos'!$E$199+(($C135)-$A$120:$A$165)*'Cálculos'!$E$98)/(('Cálculos'!$E$199+(($C135)-$A$120:$A$165)*'Cálculos'!$E$98)+1400)+'Cálculos'!$E$123)*'Cálculos'!$E$265)+('Cálculos'!$E$201*(1+'Cálculos'!$E$202+$A$120:$A$165*('Cálculos'!$E$290=2)*'Cálculos'!$E$101)+'Cálculos'!$E$203)*('Cálculos'!$E$256+'Cálculos'!$E$124*(1+2.78*('Cálculos'!$E$199+(($C135)-$A$120:$A$165)*'Cálculos'!$E$98)/(('Cálculos'!$E$199+(($C135)-$A$120:$A$165)*'Cálculos'!$E$98)+1400)+'Cálculos'!$E$122)*'Cálculos'!$E$261+'Cálculos'!$E$125*(1+2.78*('Cálculos'!$E$199+(($C135)-$A$120:$A$165)*'Cálculos'!$E$98)/(('Cálculos'!$E$199+(($C135)-$A$120:$A$165)*'Cálculos'!$E$98)+1400)+'Cálculos'!$E$123)*'Cálculos'!$E$266)+('Cálculos'!$E$204*(1+'Cálculos'!$E$205+$A$120:$A$165*('Cálculos'!$E$290=3)*'Cálculos'!$E$103)+'Cálculos'!$E$206)*('Cálculos'!$E$257+'Cálculos'!$E$124*(1+2.78*('Cálculos'!$E$199+(($C135)-$A$120:$A$165)*'Cálculos'!$E$98)/(('Cálculos'!$E$199+(($C135)-$A$120:$A$165)*'Cálculos'!$E$98)+1400)+'Cálculos'!$E$122)*'Cálculos'!$E$262+'Cálculos'!$E$125*(1+2.78*('Cálculos'!$E$199+(($C135)-$A$120:$A$165)*'Cálculos'!$E$98)/(('Cálculos'!$E$199+(($C135)-$A$120:$A$165)*'Cálculos'!$E$98)+1400)+'Cálculos'!$E$123)*'Cálculos'!$E$267)+('Cálculos'!$E$258+'Cálculos'!$E$124*(1+2.78*('Cálculos'!$E$199+(($C135)-$A$120:$A$165)*'Cálculos'!$E$98)/(('Cálculos'!$E$199+(($C135)-$A$120:$A$165)*'Cálculos'!$E$98)+1400)+'Cálculos'!$E$122)*'Cálculos'!$E$263+'Cálculos'!$E$125*(1+2.78*('Cálculos'!$E$199+(($C135)-$A$120:$A$165)*'Cálculos'!$E$98)/(('Cálculos'!$E$199+(($C135)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135)-$A$120:$A$165)*'Cálculos'!$E$98)/(('Cálculos'!$E$200+(($C135)-$A$120:$A$165)*'Cálculos'!$E$98)+1400)+'Cálculos'!$E$122)*'Cálculos'!$E$274+'Cálculos'!$E$125*(1+2.78*('Cálculos'!$E$200+(($C135)-$A$120:$A$165)*'Cálculos'!$E$98)/(('Cálculos'!$E$200+(($C135)-$A$120:$A$165)*'Cálculos'!$E$98)+1400)+'Cálculos'!$E$123)*'Cálculos'!$E$279)+('Cálculos'!$E$200+(($C135)-$A$120:$A$165)*'Cálculos'!$E$98)*('Cálculos'!$E$270+'Cálculos'!$E$124*(1+2.78*('Cálculos'!$E$200+(($C135)-$A$120:$A$165)*'Cálculos'!$E$98)/(('Cálculos'!$E$200+(($C135)-$A$120:$A$165)*'Cálculos'!$E$98)+1400)+'Cálculos'!$E$122)*'Cálculos'!$E$275+'Cálculos'!$E$125*(1+2.78*('Cálculos'!$E$200+(($C135)-$A$120:$A$165)*'Cálculos'!$E$98)/(('Cálculos'!$E$200+(($C135)-$A$120:$A$165)*'Cálculos'!$E$98)+1400)+'Cálculos'!$E$123)*'Cálculos'!$E$280)+('Cálculos'!$E$201*(1+'Cálculos'!$E$202+$A$120:$A$165*('Cálculos'!$E$290=2)*'Cálculos'!$E$101)+'Cálculos'!$E$203)*('Cálculos'!$E$271+'Cálculos'!$E$124*(1+2.78*('Cálculos'!$E$200+(($C135)-$A$120:$A$165)*'Cálculos'!$E$98)/(('Cálculos'!$E$200+(($C135)-$A$120:$A$165)*'Cálculos'!$E$98)+1400)+'Cálculos'!$E$122)*'Cálculos'!$E$276+'Cálculos'!$E$125*(1+2.78*('Cálculos'!$E$200+(($C135)-$A$120:$A$165)*'Cálculos'!$E$98)/(('Cálculos'!$E$200+(($C135)-$A$120:$A$165)*'Cálculos'!$E$98)+1400)+'Cálculos'!$E$123)*'Cálculos'!$E$281)+('Cálculos'!$E$204*(1+'Cálculos'!$E$205+$A$120:$A$165*('Cálculos'!$E$290=3)*'Cálculos'!$E$103)+'Cálculos'!$E$206)*('Cálculos'!$E$272+'Cálculos'!$E$124*(1+2.78*('Cálculos'!$E$200+(($C135)-$A$120:$A$165)*'Cálculos'!$E$98)/(('Cálculos'!$E$200+(($C135)-$A$120:$A$165)*'Cálculos'!$E$98)+1400)+'Cálculos'!$E$122)*'Cálculos'!$E$277+'Cálculos'!$E$125*(1+2.78*('Cálculos'!$E$200+(($C135)-$A$120:$A$165)*'Cálculos'!$E$98)/(('Cálculos'!$E$200+(($C135)-$A$120:$A$165)*'Cálculos'!$E$98)+1400)+'Cálculos'!$E$123)*'Cálculos'!$E$282)+('Cálculos'!$E$273+'Cálculos'!$E$124*(1+2.78*('Cálculos'!$E$200+(($C135)-$A$120:$A$165)*'Cálculos'!$E$98)/(('Cálculos'!$E$200+(($C135)-$A$120:$A$165)*'Cálculos'!$E$98)+1400)+'Cálculos'!$E$122)*'Cálculos'!$E$278+'Cálculos'!$E$125*(1+2.78*('Cálculos'!$E$200+(($C135)-$A$120:$A$165)*'Cálculos'!$E$98)/(('Cálculos'!$E$200+(($C135)-$A$120:$A$165)*'Cálculos'!$E$98)+1400)+'Cálculos'!$E$123)*'Cálculos'!$E$283)))))</f>
        <v>0</v>
      </c>
      <c r="E135" s="32">
        <f>IF(OR($C135&lt;0,'Cálculos'!$E$6=""),0,$B135*$D135)</f>
        <v>0</v>
      </c>
      <c r="F135" s="2"/>
      <c r="G135" s="30">
        <f>($A135&lt;=$B$167)*($A135&lt;='Cálculos'!$E$294)*(($B$167)-$A135&lt;='Cálculos'!$E$295)*(1+MIN(('Cálculos'!$E$207+$A135*'Cálculos'!$E$95),1)*('Cálculos'!$E$208+(($B$167)-$A135)*'Cálculos'!$E$96))</f>
        <v>0</v>
      </c>
      <c r="H135" s="31">
        <f>IF($B$168&lt;0,0,($A135&lt;=$B$168)*($A135&lt;='Cálculos'!$E$301)*(($B$168)-$A135&lt;='Cálculos'!$E$297)*(('Cálculos'!$E$185*(1+'Cálculos'!$E$186+$A135*('Cálculos'!$E$290=1)*'Cálculos'!$E$97+'Cálculos'!$E$305)+'Cálculos'!$E$191)*('Cálculos'!$E$209+'Cálculos'!$E$124*(1+2.78*('Cálculos'!$E$196+(($B$168)-$A135)*'Cálculos'!$E$98)/(('Cálculos'!$E$196+(($B$168)-$A135)*'Cálculos'!$E$98)+1400)+'Cálculos'!$E$122)*'Cálculos'!$E$214+'Cálculos'!$E$125*(1+2.78*('Cálculos'!$E$196+(($B$168)-$A135)*'Cálculos'!$E$98)/(('Cálculos'!$E$196+(($B$168)-$A135)*'Cálculos'!$E$98)+1400)+'Cálculos'!$E$123)*'Cálculos'!$E$219)+('Cálculos'!$E$196+(($B$168)-$A135)*'Cálculos'!$E$98)*('Cálculos'!$E$210+'Cálculos'!$E$124*(1+2.78*('Cálculos'!$E$196+(($B$168)-$A135)*'Cálculos'!$E$98)/(('Cálculos'!$E$196+(($B$168)-$A135)*'Cálculos'!$E$98)+1400)+'Cálculos'!$E$122)*'Cálculos'!$E$215+'Cálculos'!$E$125*(1+2.78*('Cálculos'!$E$196+(($B$168)-$A135)*'Cálculos'!$E$98)/(('Cálculos'!$E$196+(($B$168)-$A135)*'Cálculos'!$E$98)+1400)+'Cálculos'!$E$123)*'Cálculos'!$E$220)+('Cálculos'!$E$201*(1+'Cálculos'!$E$202+$A135*('Cálculos'!$E$290=2)*'Cálculos'!$E$101)+'Cálculos'!$E$203)*('Cálculos'!$E$211+'Cálculos'!$E$124*(1+2.78*('Cálculos'!$E$196+(($B$168)-$A135)*'Cálculos'!$E$98)/(('Cálculos'!$E$196+(($B$168)-$A135)*'Cálculos'!$E$98)+1400)+'Cálculos'!$E$122)*'Cálculos'!$E$216+'Cálculos'!$E$125*(1+2.78*('Cálculos'!$E$196+(($B$168)-$A135)*'Cálculos'!$E$98)/(('Cálculos'!$E$196+(($B$168)-$A135)*'Cálculos'!$E$98)+1400)+'Cálculos'!$E$123)*'Cálculos'!$E$221)+('Cálculos'!$E$204*(1+'Cálculos'!$E$205+$A135*('Cálculos'!$E$290=3)*'Cálculos'!$E$103)+'Cálculos'!$E$206)*('Cálculos'!$E$212+'Cálculos'!$E$124*(1+2.78*('Cálculos'!$E$196+(($B$168)-$A135)*'Cálculos'!$E$98)/(('Cálculos'!$E$196+(($B$168)-$A135)*'Cálculos'!$E$98)+1400)+'Cálculos'!$E$122)*'Cálculos'!$E$217+'Cálculos'!$E$125*(1+2.78*('Cálculos'!$E$196+(($B$168)-$A135)*'Cálculos'!$E$98)/(('Cálculos'!$E$196+(($B$168)-$A135)*'Cálculos'!$E$98)+1400)+'Cálculos'!$E$123)*'Cálculos'!$E$222)+('Cálculos'!$E$213+'Cálculos'!$E$124*(1+2.78*('Cálculos'!$E$196+(($B$168)-$A135)*'Cálculos'!$E$98)/(('Cálculos'!$E$196+(($B$168)-$A135)*'Cálculos'!$E$98)+1400)+'Cálculos'!$E$122)*'Cálculos'!$E$218+'Cálculos'!$E$125*(1+2.78*('Cálculos'!$E$196+(($B$168)-$A135)*'Cálculos'!$E$98)/(('Cálculos'!$E$196+(($B$168)-$A135)*'Cálculos'!$E$98)+1400)+'Cálculos'!$E$123)*'Cálculos'!$E$223)+('Cálculos'!$E$185*(1+'Cálculos'!$E$187+$A135*('Cálculos'!$E$290=1)*'Cálculos'!$E$97+'Cálculos'!$E$305)+'Cálculos'!$E$192)*('Cálculos'!$E$224+'Cálculos'!$E$124*(1+2.78*('Cálculos'!$E$197+(($B$168)-$A135)*'Cálculos'!$E$98)/(('Cálculos'!$E$197+(($B$168)-$A135)*'Cálculos'!$E$98)+1400)+'Cálculos'!$E$122)*'Cálculos'!$E$229+'Cálculos'!$E$125*(1+2.78*('Cálculos'!$E$197+(($B$168)-$A135)*'Cálculos'!$E$98)/(('Cálculos'!$E$197+(($B$168)-$A135)*'Cálculos'!$E$98)+1400)+'Cálculos'!$E$123)*'Cálculos'!$E$234)+('Cálculos'!$E$197+(($B$168)-$A135)*'Cálculos'!$E$98)*('Cálculos'!$E$225+'Cálculos'!$E$124*(1+2.78*('Cálculos'!$E$197+(($B$168)-$A135)*'Cálculos'!$E$98)/(('Cálculos'!$E$197+(($B$168)-$A135)*'Cálculos'!$E$98)+1400)+'Cálculos'!$E$122)*'Cálculos'!$E$230+'Cálculos'!$E$125*(1+2.78*('Cálculos'!$E$197+(($B$168)-$A135)*'Cálculos'!$E$98)/(('Cálculos'!$E$197+(($B$168)-$A135)*'Cálculos'!$E$98)+1400)+'Cálculos'!$E$123)*'Cálculos'!$E$235)+('Cálculos'!$E$201*(1+'Cálculos'!$E$202+$A135*('Cálculos'!$E$290=2)*'Cálculos'!$E$101)+'Cálculos'!$E$203)*('Cálculos'!$E$226+'Cálculos'!$E$124*(1+2.78*('Cálculos'!$E$197+(($B$168)-$A135)*'Cálculos'!$E$98)/(('Cálculos'!$E$197+(($B$168)-$A135)*'Cálculos'!$E$98)+1400)+'Cálculos'!$E$122)*'Cálculos'!$E$231+'Cálculos'!$E$125*(1+2.78*('Cálculos'!$E$197+(($B$168)-$A135)*'Cálculos'!$E$98)/(('Cálculos'!$E$197+(($B$168)-$A135)*'Cálculos'!$E$98)+1400)+'Cálculos'!$E$123)*'Cálculos'!$E$236)+('Cálculos'!$E$204*(1+'Cálculos'!$E$205+$A135*('Cálculos'!$E$290=3)*'Cálculos'!$E$103)+'Cálculos'!$E$206)*('Cálculos'!$E$227+'Cálculos'!$E$124*(1+2.78*('Cálculos'!$E$197+(($B$168)-$A135)*'Cálculos'!$E$98)/(('Cálculos'!$E$197+(($B$168)-$A135)*'Cálculos'!$E$98)+1400)+'Cálculos'!$E$122)*'Cálculos'!$E$232+'Cálculos'!$E$125*(1+2.78*('Cálculos'!$E$197+(($B$168)-$A135)*'Cálculos'!$E$98)/(('Cálculos'!$E$197+(($B$168)-$A135)*'Cálculos'!$E$98)+1400)+'Cálculos'!$E$123)*'Cálculos'!$E$237)+('Cálculos'!$E$228+'Cálculos'!$E$124*(1+2.78*('Cálculos'!$E$197+(($B$168)-$A135)*'Cálculos'!$E$98)/(('Cálculos'!$E$197+(($B$168)-$A135)*'Cálculos'!$E$98)+1400)+'Cálculos'!$E$122)*'Cálculos'!$E$233+'Cálculos'!$E$125*(1+2.78*('Cálculos'!$E$197+(($B$168)-$A135)*'Cálculos'!$E$98)/(('Cálculos'!$E$197+(($B$168)-$A135)*'Cálculos'!$E$98)+1400)+'Cálculos'!$E$123)*'Cálculos'!$E$238)+('Cálculos'!$E$185*(1+'Cálculos'!$E$188+$A135*('Cálculos'!$E$290=1)*'Cálculos'!$E$97+'Cálculos'!$E$305)+'Cálculos'!$E$193)*('Cálculos'!$E$239+'Cálculos'!$E$124*(1+2.78*('Cálculos'!$E$198+(($B$168)-$A135)*'Cálculos'!$E$98)/(('Cálculos'!$E$198+(($B$168)-$A135)*'Cálculos'!$E$98)+1400)+'Cálculos'!$E$122)*'Cálculos'!$E$244+'Cálculos'!$E$125*(1+2.78*('Cálculos'!$E$198+(($B$168)-$A135)*'Cálculos'!$E$98)/(('Cálculos'!$E$198+(($B$168)-$A135)*'Cálculos'!$E$98)+1400)+'Cálculos'!$E$123)*'Cálculos'!$E$249)+('Cálculos'!$E$198+(($B$168)-$A135)*'Cálculos'!$E$98)*('Cálculos'!$E$240+'Cálculos'!$E$124*(1+2.78*('Cálculos'!$E$198+(($B$168)-$A135)*'Cálculos'!$E$98)/(('Cálculos'!$E$198+(($B$168)-$A135)*'Cálculos'!$E$98)+1400)+'Cálculos'!$E$122)*'Cálculos'!$E$245+'Cálculos'!$E$125*(1+2.78*('Cálculos'!$E$198+(($B$168)-$A135)*'Cálculos'!$E$98)/(('Cálculos'!$E$198+(($B$168)-$A135)*'Cálculos'!$E$98)+1400)+'Cálculos'!$E$123)*'Cálculos'!$E$250)+('Cálculos'!$E$201*(1+'Cálculos'!$E$202+$A135*('Cálculos'!$E$290=2)*'Cálculos'!$E$101)+'Cálculos'!$E$203)*('Cálculos'!$E$241+'Cálculos'!$E$124*(1+2.78*('Cálculos'!$E$198+(($B$168)-$A135)*'Cálculos'!$E$98)/(('Cálculos'!$E$198+(($B$168)-$A135)*'Cálculos'!$E$98)+1400)+'Cálculos'!$E$122)*'Cálculos'!$E$246+'Cálculos'!$E$125*(1+2.78*('Cálculos'!$E$198+(($B$168)-$A135)*'Cálculos'!$E$98)/(('Cálculos'!$E$198+(($B$168)-$A135)*'Cálculos'!$E$98)+1400)+'Cálculos'!$E$123)*'Cálculos'!$E$251)+('Cálculos'!$E$204*(1+'Cálculos'!$E$205+$A135*('Cálculos'!$E$290=3)*'Cálculos'!$E$103)+'Cálculos'!$E$206)*('Cálculos'!$E$242+'Cálculos'!$E$124*(1+2.78*('Cálculos'!$E$198+(($B$168)-$A135)*'Cálculos'!$E$98)/(('Cálculos'!$E$198+(($B$168)-$A135)*'Cálculos'!$E$98)+1400)+'Cálculos'!$E$122)*'Cálculos'!$E$247+'Cálculos'!$E$125*(1+2.78*('Cálculos'!$E$198+(($B$168)-$A135)*'Cálculos'!$E$98)/(('Cálculos'!$E$198+(($B$168)-$A135)*'Cálculos'!$E$98)+1400)+'Cálculos'!$E$123)*'Cálculos'!$E$252)+('Cálculos'!$E$243+'Cálculos'!$E$124*(1+2.78*('Cálculos'!$E$198+(($B$168)-$A135)*'Cálculos'!$E$98)/(('Cálculos'!$E$198+(($B$168)-$A135)*'Cálculos'!$E$98)+1400)+'Cálculos'!$E$122)*'Cálculos'!$E$248+'Cálculos'!$E$125*(1+2.78*('Cálculos'!$E$198+(($B$168)-$A135)*'Cálculos'!$E$98)/(('Cálculos'!$E$198+(($B$168)-$A135)*'Cálculos'!$E$98)+1400)+'Cálculos'!$E$123)*'Cálculos'!$E$253)+('Cálculos'!$E$185*(1+'Cálculos'!$E$189+$A135*('Cálculos'!$E$290=1)*'Cálculos'!$E$97+'Cálculos'!$E$305)+'Cálculos'!$E$194)*('Cálculos'!$E$254+'Cálculos'!$E$124*(1+2.78*('Cálculos'!$E$199+(($B$168)-$A135)*'Cálculos'!$E$98)/(('Cálculos'!$E$199+(($B$168)-$A135)*'Cálculos'!$E$98)+1400)+'Cálculos'!$E$122)*'Cálculos'!$E$259+'Cálculos'!$E$125*(1+2.78*('Cálculos'!$E$199+(($B$168)-$A135)*'Cálculos'!$E$98)/(('Cálculos'!$E$199+(($B$168)-$A135)*'Cálculos'!$E$98)+1400)+'Cálculos'!$E$123)*'Cálculos'!$E$264)+('Cálculos'!$E$199+(($B$168)-$A135)*'Cálculos'!$E$98)*('Cálculos'!$E$255+'Cálculos'!$E$124*(1+2.78*('Cálculos'!$E$199+(($B$168)-$A135)*'Cálculos'!$E$98)/(('Cálculos'!$E$199+(($B$168)-$A135)*'Cálculos'!$E$98)+1400)+'Cálculos'!$E$122)*'Cálculos'!$E$260+'Cálculos'!$E$125*(1+2.78*('Cálculos'!$E$199+(($B$168)-$A135)*'Cálculos'!$E$98)/(('Cálculos'!$E$199+(($B$168)-$A135)*'Cálculos'!$E$98)+1400)+'Cálculos'!$E$123)*'Cálculos'!$E$265)+('Cálculos'!$E$201*(1+'Cálculos'!$E$202+$A135*('Cálculos'!$E$290=2)*'Cálculos'!$E$101)+'Cálculos'!$E$203)*('Cálculos'!$E$256+'Cálculos'!$E$124*(1+2.78*('Cálculos'!$E$199+(($B$168)-$A135)*'Cálculos'!$E$98)/(('Cálculos'!$E$199+(($B$168)-$A135)*'Cálculos'!$E$98)+1400)+'Cálculos'!$E$122)*'Cálculos'!$E$261+'Cálculos'!$E$125*(1+2.78*('Cálculos'!$E$199+(($B$168)-$A135)*'Cálculos'!$E$98)/(('Cálculos'!$E$199+(($B$168)-$A135)*'Cálculos'!$E$98)+1400)+'Cálculos'!$E$123)*'Cálculos'!$E$266)+('Cálculos'!$E$204*(1+'Cálculos'!$E$205+$A135*('Cálculos'!$E$290=3)*'Cálculos'!$E$103)+'Cálculos'!$E$206)*('Cálculos'!$E$257+'Cálculos'!$E$124*(1+2.78*('Cálculos'!$E$199+(($B$168)-$A135)*'Cálculos'!$E$98)/(('Cálculos'!$E$199+(($B$168)-$A135)*'Cálculos'!$E$98)+1400)+'Cálculos'!$E$122)*'Cálculos'!$E$262+'Cálculos'!$E$125*(1+2.78*('Cálculos'!$E$199+(($B$168)-$A135)*'Cálculos'!$E$98)/(('Cálculos'!$E$199+(($B$168)-$A135)*'Cálculos'!$E$98)+1400)+'Cálculos'!$E$123)*'Cálculos'!$E$267)+('Cálculos'!$E$258+'Cálculos'!$E$124*(1+2.78*('Cálculos'!$E$199+(($B$168)-$A135)*'Cálculos'!$E$98)/(('Cálculos'!$E$199+(($B$168)-$A135)*'Cálculos'!$E$98)+1400)+'Cálculos'!$E$122)*'Cálculos'!$E$263+'Cálculos'!$E$125*(1+2.78*('Cálculos'!$E$199+(($B$168)-$A135)*'Cálculos'!$E$98)/(('Cálculos'!$E$199+(($B$168)-$A135)*'Cálculos'!$E$98)+1400)+'Cálculos'!$E$123)*'Cálculos'!$E$268)+('Cálculos'!$E$185*(1+'Cálculos'!$E$190+$A135*('Cálculos'!$E$290=1)*'Cálculos'!$E$97+'Cálculos'!$E$305)+'Cálculos'!$E$195)*('Cálculos'!$E$269+'Cálculos'!$E$124*(1+2.78*('Cálculos'!$E$200+(($B$168)-$A135)*'Cálculos'!$E$98)/(('Cálculos'!$E$200+(($B$168)-$A135)*'Cálculos'!$E$98)+1400)+'Cálculos'!$E$122)*'Cálculos'!$E$274+'Cálculos'!$E$125*(1+2.78*('Cálculos'!$E$200+(($B$168)-$A135)*'Cálculos'!$E$98)/(('Cálculos'!$E$200+(($B$168)-$A135)*'Cálculos'!$E$98)+1400)+'Cálculos'!$E$123)*'Cálculos'!$E$279)+('Cálculos'!$E$200+(($B$168)-$A135)*'Cálculos'!$E$98)*('Cálculos'!$E$270+'Cálculos'!$E$124*(1+2.78*('Cálculos'!$E$200+(($B$168)-$A135)*'Cálculos'!$E$98)/(('Cálculos'!$E$200+(($B$168)-$A135)*'Cálculos'!$E$98)+1400)+'Cálculos'!$E$122)*'Cálculos'!$E$275+'Cálculos'!$E$125*(1+2.78*('Cálculos'!$E$200+(($B$168)-$A135)*'Cálculos'!$E$98)/(('Cálculos'!$E$200+(($B$168)-$A135)*'Cálculos'!$E$98)+1400)+'Cálculos'!$E$123)*'Cálculos'!$E$280)+('Cálculos'!$E$201*(1+'Cálculos'!$E$202+$A135*('Cálculos'!$E$290=2)*'Cálculos'!$E$101)+'Cálculos'!$E$203)*('Cálculos'!$E$271+'Cálculos'!$E$124*(1+2.78*('Cálculos'!$E$200+(($B$168)-$A135)*'Cálculos'!$E$98)/(('Cálculos'!$E$200+(($B$168)-$A135)*'Cálculos'!$E$98)+1400)+'Cálculos'!$E$122)*'Cálculos'!$E$276+'Cálculos'!$E$125*(1+2.78*('Cálculos'!$E$200+(($B$168)-$A135)*'Cálculos'!$E$98)/(('Cálculos'!$E$200+(($B$168)-$A135)*'Cálculos'!$E$98)+1400)+'Cálculos'!$E$123)*'Cálculos'!$E$281)+('Cálculos'!$E$204*(1+'Cálculos'!$E$205+$A135*('Cálculos'!$E$290=3)*'Cálculos'!$E$103)+'Cálculos'!$E$206)*('Cálculos'!$E$272+'Cálculos'!$E$124*(1+2.78*('Cálculos'!$E$200+(($B$168)-$A135)*'Cálculos'!$E$98)/(('Cálculos'!$E$200+(($B$168)-$A135)*'Cálculos'!$E$98)+1400)+'Cálculos'!$E$122)*'Cálculos'!$E$277+'Cálculos'!$E$125*(1+2.78*('Cálculos'!$E$200+(($B$168)-$A135)*'Cálculos'!$E$98)/(('Cálculos'!$E$200+(($B$168)-$A135)*'Cálculos'!$E$98)+1400)+'Cálculos'!$E$123)*'Cálculos'!$E$282)+('Cálculos'!$E$273+'Cálculos'!$E$124*(1+2.78*('Cálculos'!$E$200+(($B$168)-$A135)*'Cálculos'!$E$98)/(('Cálculos'!$E$200+(($B$168)-$A135)*'Cálculos'!$E$98)+1400)+'Cálculos'!$E$122)*'Cálculos'!$E$278+'Cálculos'!$E$125*(1+2.78*('Cálculos'!$E$200+(($B$168)-$A135)*'Cálculos'!$E$98)/(('Cálculos'!$E$200+(($B$168)-$A135)*'Cálculos'!$E$98)+1400)+'Cálculos'!$E$123)*'Cálculos'!$E$283)))</f>
        <v>0</v>
      </c>
    </row>
    <row r="136" ht="15.75" customHeight="1">
      <c r="A136" s="2">
        <v>16.0</v>
      </c>
      <c r="B136" s="30">
        <f>SUMPRODUCT(MAX(($A$120:$A$165&lt;=$A136)*($A$120:$A$165&lt;='Cálculos'!$E$294)*(($A136)-$A$120:$A$165&lt;='Cálculos'!$E$295)*(1+(('Cálculos'!$E$207+$A$120:$A$165*'Cálculos'!$E$95)-(('Cálculos'!$E$207+$A$120:$A$165*'Cálculos'!$E$95)&gt;1)*(('Cálculos'!$E$207+$A$120:$A$165*'Cálculos'!$E$95)-1))*('Cálculos'!$E$208+(($A136)-$A$120:$A$165)*'Cálculos'!$E$96))))</f>
        <v>1.8075</v>
      </c>
      <c r="C136" s="2">
        <f>'Cálculos'!$E$303-$A136</f>
        <v>-3</v>
      </c>
      <c r="D136" s="31">
        <f>IF($C136&lt;0,0,SUMPRODUCT(MAX(($A$120:$A$165&lt;=$C136)*($A$120:$A$165&lt;='Cálculos'!$E$301)*(($C136)-$A$120:$A$165&lt;='Cálculos'!$E$297)*(('Cálculos'!$E$185*(1+'Cálculos'!$E$186+$A$120:$A$165*('Cálculos'!$E$290=1)*'Cálculos'!$E$97+'Cálculos'!$E$305)+'Cálculos'!$E$191)*('Cálculos'!$E$209+'Cálculos'!$E$124*(1+2.78*('Cálculos'!$E$196+(($C136)-$A$120:$A$165)*'Cálculos'!$E$98)/(('Cálculos'!$E$196+(($C136)-$A$120:$A$165)*'Cálculos'!$E$98)+1400)+'Cálculos'!$E$122)*'Cálculos'!$E$214+'Cálculos'!$E$125*(1+2.78*('Cálculos'!$E$196+(($C136)-$A$120:$A$165)*'Cálculos'!$E$98)/(('Cálculos'!$E$196+(($C136)-$A$120:$A$165)*'Cálculos'!$E$98)+1400)+'Cálculos'!$E$123)*'Cálculos'!$E$219)+('Cálculos'!$E$196+(($C136)-$A$120:$A$165)*'Cálculos'!$E$98)*('Cálculos'!$E$210+'Cálculos'!$E$124*(1+2.78*('Cálculos'!$E$196+(($C136)-$A$120:$A$165)*'Cálculos'!$E$98)/(('Cálculos'!$E$196+(($C136)-$A$120:$A$165)*'Cálculos'!$E$98)+1400)+'Cálculos'!$E$122)*'Cálculos'!$E$215+'Cálculos'!$E$125*(1+2.78*('Cálculos'!$E$196+(($C136)-$A$120:$A$165)*'Cálculos'!$E$98)/(('Cálculos'!$E$196+(($C136)-$A$120:$A$165)*'Cálculos'!$E$98)+1400)+'Cálculos'!$E$123)*'Cálculos'!$E$220)+('Cálculos'!$E$201*(1+'Cálculos'!$E$202+$A$120:$A$165*('Cálculos'!$E$290=2)*'Cálculos'!$E$101)+'Cálculos'!$E$203)*('Cálculos'!$E$211+'Cálculos'!$E$124*(1+2.78*('Cálculos'!$E$196+(($C136)-$A$120:$A$165)*'Cálculos'!$E$98)/(('Cálculos'!$E$196+(($C136)-$A$120:$A$165)*'Cálculos'!$E$98)+1400)+'Cálculos'!$E$122)*'Cálculos'!$E$216+'Cálculos'!$E$125*(1+2.78*('Cálculos'!$E$196+(($C136)-$A$120:$A$165)*'Cálculos'!$E$98)/(('Cálculos'!$E$196+(($C136)-$A$120:$A$165)*'Cálculos'!$E$98)+1400)+'Cálculos'!$E$123)*'Cálculos'!$E$221)+('Cálculos'!$E$204*(1+'Cálculos'!$E$205+$A$120:$A$165*('Cálculos'!$E$290=3)*'Cálculos'!$E$103)+'Cálculos'!$E$206)*('Cálculos'!$E$212+'Cálculos'!$E$124*(1+2.78*('Cálculos'!$E$196+(($C136)-$A$120:$A$165)*'Cálculos'!$E$98)/(('Cálculos'!$E$196+(($C136)-$A$120:$A$165)*'Cálculos'!$E$98)+1400)+'Cálculos'!$E$122)*'Cálculos'!$E$217+'Cálculos'!$E$125*(1+2.78*('Cálculos'!$E$196+(($C136)-$A$120:$A$165)*'Cálculos'!$E$98)/(('Cálculos'!$E$196+(($C136)-$A$120:$A$165)*'Cálculos'!$E$98)+1400)+'Cálculos'!$E$123)*'Cálculos'!$E$222)+('Cálculos'!$E$213+'Cálculos'!$E$124*(1+2.78*('Cálculos'!$E$196+(($C136)-$A$120:$A$165)*'Cálculos'!$E$98)/(('Cálculos'!$E$196+(($C136)-$A$120:$A$165)*'Cálculos'!$E$98)+1400)+'Cálculos'!$E$122)*'Cálculos'!$E$218+'Cálculos'!$E$125*(1+2.78*('Cálculos'!$E$196+(($C136)-$A$120:$A$165)*'Cálculos'!$E$98)/(('Cálculos'!$E$196+(($C136)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136)-$A$120:$A$165)*'Cálculos'!$E$98)/(('Cálculos'!$E$197+(($C136)-$A$120:$A$165)*'Cálculos'!$E$98)+1400)+'Cálculos'!$E$122)*'Cálculos'!$E$229+'Cálculos'!$E$125*(1+2.78*('Cálculos'!$E$197+(($C136)-$A$120:$A$165)*'Cálculos'!$E$98)/(('Cálculos'!$E$197+(($C136)-$A$120:$A$165)*'Cálculos'!$E$98)+1400)+'Cálculos'!$E$123)*'Cálculos'!$E$234)+('Cálculos'!$E$197+(($C136)-$A$120:$A$165)*'Cálculos'!$E$98)*('Cálculos'!$E$225+'Cálculos'!$E$124*(1+2.78*('Cálculos'!$E$197+(($C136)-$A$120:$A$165)*'Cálculos'!$E$98)/(('Cálculos'!$E$197+(($C136)-$A$120:$A$165)*'Cálculos'!$E$98)+1400)+'Cálculos'!$E$122)*'Cálculos'!$E$230+'Cálculos'!$E$125*(1+2.78*('Cálculos'!$E$197+(($C136)-$A$120:$A$165)*'Cálculos'!$E$98)/(('Cálculos'!$E$197+(($C136)-$A$120:$A$165)*'Cálculos'!$E$98)+1400)+'Cálculos'!$E$123)*'Cálculos'!$E$235)+('Cálculos'!$E$201*(1+'Cálculos'!$E$202+$A$120:$A$165*('Cálculos'!$E$290=2)*'Cálculos'!$E$101)+'Cálculos'!$E$203)*('Cálculos'!$E$226+'Cálculos'!$E$124*(1+2.78*('Cálculos'!$E$197+(($C136)-$A$120:$A$165)*'Cálculos'!$E$98)/(('Cálculos'!$E$197+(($C136)-$A$120:$A$165)*'Cálculos'!$E$98)+1400)+'Cálculos'!$E$122)*'Cálculos'!$E$231+'Cálculos'!$E$125*(1+2.78*('Cálculos'!$E$197+(($C136)-$A$120:$A$165)*'Cálculos'!$E$98)/(('Cálculos'!$E$197+(($C136)-$A$120:$A$165)*'Cálculos'!$E$98)+1400)+'Cálculos'!$E$123)*'Cálculos'!$E$236)+('Cálculos'!$E$204*(1+'Cálculos'!$E$205+$A$120:$A$165*('Cálculos'!$E$290=3)*'Cálculos'!$E$103)+'Cálculos'!$E$206)*('Cálculos'!$E$227+'Cálculos'!$E$124*(1+2.78*('Cálculos'!$E$197+(($C136)-$A$120:$A$165)*'Cálculos'!$E$98)/(('Cálculos'!$E$197+(($C136)-$A$120:$A$165)*'Cálculos'!$E$98)+1400)+'Cálculos'!$E$122)*'Cálculos'!$E$232+'Cálculos'!$E$125*(1+2.78*('Cálculos'!$E$197+(($C136)-$A$120:$A$165)*'Cálculos'!$E$98)/(('Cálculos'!$E$197+(($C136)-$A$120:$A$165)*'Cálculos'!$E$98)+1400)+'Cálculos'!$E$123)*'Cálculos'!$E$237)+('Cálculos'!$E$228+'Cálculos'!$E$124*(1+2.78*('Cálculos'!$E$197+(($C136)-$A$120:$A$165)*'Cálculos'!$E$98)/(('Cálculos'!$E$197+(($C136)-$A$120:$A$165)*'Cálculos'!$E$98)+1400)+'Cálculos'!$E$122)*'Cálculos'!$E$233+'Cálculos'!$E$125*(1+2.78*('Cálculos'!$E$197+(($C136)-$A$120:$A$165)*'Cálculos'!$E$98)/(('Cálculos'!$E$197+(($C136)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136)-$A$120:$A$165)*'Cálculos'!$E$98)/(('Cálculos'!$E$198+(($C136)-$A$120:$A$165)*'Cálculos'!$E$98)+1400)+'Cálculos'!$E$122)*'Cálculos'!$E$244+'Cálculos'!$E$125*(1+2.78*('Cálculos'!$E$198+(($C136)-$A$120:$A$165)*'Cálculos'!$E$98)/(('Cálculos'!$E$198+(($C136)-$A$120:$A$165)*'Cálculos'!$E$98)+1400)+'Cálculos'!$E$123)*'Cálculos'!$E$249)+('Cálculos'!$E$198+(($C136)-$A$120:$A$165)*'Cálculos'!$E$98)*('Cálculos'!$E$240+'Cálculos'!$E$124*(1+2.78*('Cálculos'!$E$198+(($C136)-$A$120:$A$165)*'Cálculos'!$E$98)/(('Cálculos'!$E$198+(($C136)-$A$120:$A$165)*'Cálculos'!$E$98)+1400)+'Cálculos'!$E$122)*'Cálculos'!$E$245+'Cálculos'!$E$125*(1+2.78*('Cálculos'!$E$198+(($C136)-$A$120:$A$165)*'Cálculos'!$E$98)/(('Cálculos'!$E$198+(($C136)-$A$120:$A$165)*'Cálculos'!$E$98)+1400)+'Cálculos'!$E$123)*'Cálculos'!$E$250)+('Cálculos'!$E$201*(1+'Cálculos'!$E$202+$A$120:$A$165*('Cálculos'!$E$290=2)*'Cálculos'!$E$101)+'Cálculos'!$E$203)*('Cálculos'!$E$241+'Cálculos'!$E$124*(1+2.78*('Cálculos'!$E$198+(($C136)-$A$120:$A$165)*'Cálculos'!$E$98)/(('Cálculos'!$E$198+(($C136)-$A$120:$A$165)*'Cálculos'!$E$98)+1400)+'Cálculos'!$E$122)*'Cálculos'!$E$246+'Cálculos'!$E$125*(1+2.78*('Cálculos'!$E$198+(($C136)-$A$120:$A$165)*'Cálculos'!$E$98)/(('Cálculos'!$E$198+(($C136)-$A$120:$A$165)*'Cálculos'!$E$98)+1400)+'Cálculos'!$E$123)*'Cálculos'!$E$251)+('Cálculos'!$E$204*(1+'Cálculos'!$E$205+$A$120:$A$165*('Cálculos'!$E$290=3)*'Cálculos'!$E$103)+'Cálculos'!$E$206)*('Cálculos'!$E$242+'Cálculos'!$E$124*(1+2.78*('Cálculos'!$E$198+(($C136)-$A$120:$A$165)*'Cálculos'!$E$98)/(('Cálculos'!$E$198+(($C136)-$A$120:$A$165)*'Cálculos'!$E$98)+1400)+'Cálculos'!$E$122)*'Cálculos'!$E$247+'Cálculos'!$E$125*(1+2.78*('Cálculos'!$E$198+(($C136)-$A$120:$A$165)*'Cálculos'!$E$98)/(('Cálculos'!$E$198+(($C136)-$A$120:$A$165)*'Cálculos'!$E$98)+1400)+'Cálculos'!$E$123)*'Cálculos'!$E$252)+('Cálculos'!$E$243+'Cálculos'!$E$124*(1+2.78*('Cálculos'!$E$198+(($C136)-$A$120:$A$165)*'Cálculos'!$E$98)/(('Cálculos'!$E$198+(($C136)-$A$120:$A$165)*'Cálculos'!$E$98)+1400)+'Cálculos'!$E$122)*'Cálculos'!$E$248+'Cálculos'!$E$125*(1+2.78*('Cálculos'!$E$198+(($C136)-$A$120:$A$165)*'Cálculos'!$E$98)/(('Cálculos'!$E$198+(($C136)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136)-$A$120:$A$165)*'Cálculos'!$E$98)/(('Cálculos'!$E$199+(($C136)-$A$120:$A$165)*'Cálculos'!$E$98)+1400)+'Cálculos'!$E$122)*'Cálculos'!$E$259+'Cálculos'!$E$125*(1+2.78*('Cálculos'!$E$199+(($C136)-$A$120:$A$165)*'Cálculos'!$E$98)/(('Cálculos'!$E$199+(($C136)-$A$120:$A$165)*'Cálculos'!$E$98)+1400)+'Cálculos'!$E$123)*'Cálculos'!$E$264)+('Cálculos'!$E$199+(($C136)-$A$120:$A$165)*'Cálculos'!$E$98)*('Cálculos'!$E$255+'Cálculos'!$E$124*(1+2.78*('Cálculos'!$E$199+(($C136)-$A$120:$A$165)*'Cálculos'!$E$98)/(('Cálculos'!$E$199+(($C136)-$A$120:$A$165)*'Cálculos'!$E$98)+1400)+'Cálculos'!$E$122)*'Cálculos'!$E$260+'Cálculos'!$E$125*(1+2.78*('Cálculos'!$E$199+(($C136)-$A$120:$A$165)*'Cálculos'!$E$98)/(('Cálculos'!$E$199+(($C136)-$A$120:$A$165)*'Cálculos'!$E$98)+1400)+'Cálculos'!$E$123)*'Cálculos'!$E$265)+('Cálculos'!$E$201*(1+'Cálculos'!$E$202+$A$120:$A$165*('Cálculos'!$E$290=2)*'Cálculos'!$E$101)+'Cálculos'!$E$203)*('Cálculos'!$E$256+'Cálculos'!$E$124*(1+2.78*('Cálculos'!$E$199+(($C136)-$A$120:$A$165)*'Cálculos'!$E$98)/(('Cálculos'!$E$199+(($C136)-$A$120:$A$165)*'Cálculos'!$E$98)+1400)+'Cálculos'!$E$122)*'Cálculos'!$E$261+'Cálculos'!$E$125*(1+2.78*('Cálculos'!$E$199+(($C136)-$A$120:$A$165)*'Cálculos'!$E$98)/(('Cálculos'!$E$199+(($C136)-$A$120:$A$165)*'Cálculos'!$E$98)+1400)+'Cálculos'!$E$123)*'Cálculos'!$E$266)+('Cálculos'!$E$204*(1+'Cálculos'!$E$205+$A$120:$A$165*('Cálculos'!$E$290=3)*'Cálculos'!$E$103)+'Cálculos'!$E$206)*('Cálculos'!$E$257+'Cálculos'!$E$124*(1+2.78*('Cálculos'!$E$199+(($C136)-$A$120:$A$165)*'Cálculos'!$E$98)/(('Cálculos'!$E$199+(($C136)-$A$120:$A$165)*'Cálculos'!$E$98)+1400)+'Cálculos'!$E$122)*'Cálculos'!$E$262+'Cálculos'!$E$125*(1+2.78*('Cálculos'!$E$199+(($C136)-$A$120:$A$165)*'Cálculos'!$E$98)/(('Cálculos'!$E$199+(($C136)-$A$120:$A$165)*'Cálculos'!$E$98)+1400)+'Cálculos'!$E$123)*'Cálculos'!$E$267)+('Cálculos'!$E$258+'Cálculos'!$E$124*(1+2.78*('Cálculos'!$E$199+(($C136)-$A$120:$A$165)*'Cálculos'!$E$98)/(('Cálculos'!$E$199+(($C136)-$A$120:$A$165)*'Cálculos'!$E$98)+1400)+'Cálculos'!$E$122)*'Cálculos'!$E$263+'Cálculos'!$E$125*(1+2.78*('Cálculos'!$E$199+(($C136)-$A$120:$A$165)*'Cálculos'!$E$98)/(('Cálculos'!$E$199+(($C136)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136)-$A$120:$A$165)*'Cálculos'!$E$98)/(('Cálculos'!$E$200+(($C136)-$A$120:$A$165)*'Cálculos'!$E$98)+1400)+'Cálculos'!$E$122)*'Cálculos'!$E$274+'Cálculos'!$E$125*(1+2.78*('Cálculos'!$E$200+(($C136)-$A$120:$A$165)*'Cálculos'!$E$98)/(('Cálculos'!$E$200+(($C136)-$A$120:$A$165)*'Cálculos'!$E$98)+1400)+'Cálculos'!$E$123)*'Cálculos'!$E$279)+('Cálculos'!$E$200+(($C136)-$A$120:$A$165)*'Cálculos'!$E$98)*('Cálculos'!$E$270+'Cálculos'!$E$124*(1+2.78*('Cálculos'!$E$200+(($C136)-$A$120:$A$165)*'Cálculos'!$E$98)/(('Cálculos'!$E$200+(($C136)-$A$120:$A$165)*'Cálculos'!$E$98)+1400)+'Cálculos'!$E$122)*'Cálculos'!$E$275+'Cálculos'!$E$125*(1+2.78*('Cálculos'!$E$200+(($C136)-$A$120:$A$165)*'Cálculos'!$E$98)/(('Cálculos'!$E$200+(($C136)-$A$120:$A$165)*'Cálculos'!$E$98)+1400)+'Cálculos'!$E$123)*'Cálculos'!$E$280)+('Cálculos'!$E$201*(1+'Cálculos'!$E$202+$A$120:$A$165*('Cálculos'!$E$290=2)*'Cálculos'!$E$101)+'Cálculos'!$E$203)*('Cálculos'!$E$271+'Cálculos'!$E$124*(1+2.78*('Cálculos'!$E$200+(($C136)-$A$120:$A$165)*'Cálculos'!$E$98)/(('Cálculos'!$E$200+(($C136)-$A$120:$A$165)*'Cálculos'!$E$98)+1400)+'Cálculos'!$E$122)*'Cálculos'!$E$276+'Cálculos'!$E$125*(1+2.78*('Cálculos'!$E$200+(($C136)-$A$120:$A$165)*'Cálculos'!$E$98)/(('Cálculos'!$E$200+(($C136)-$A$120:$A$165)*'Cálculos'!$E$98)+1400)+'Cálculos'!$E$123)*'Cálculos'!$E$281)+('Cálculos'!$E$204*(1+'Cálculos'!$E$205+$A$120:$A$165*('Cálculos'!$E$290=3)*'Cálculos'!$E$103)+'Cálculos'!$E$206)*('Cálculos'!$E$272+'Cálculos'!$E$124*(1+2.78*('Cálculos'!$E$200+(($C136)-$A$120:$A$165)*'Cálculos'!$E$98)/(('Cálculos'!$E$200+(($C136)-$A$120:$A$165)*'Cálculos'!$E$98)+1400)+'Cálculos'!$E$122)*'Cálculos'!$E$277+'Cálculos'!$E$125*(1+2.78*('Cálculos'!$E$200+(($C136)-$A$120:$A$165)*'Cálculos'!$E$98)/(('Cálculos'!$E$200+(($C136)-$A$120:$A$165)*'Cálculos'!$E$98)+1400)+'Cálculos'!$E$123)*'Cálculos'!$E$282)+('Cálculos'!$E$273+'Cálculos'!$E$124*(1+2.78*('Cálculos'!$E$200+(($C136)-$A$120:$A$165)*'Cálculos'!$E$98)/(('Cálculos'!$E$200+(($C136)-$A$120:$A$165)*'Cálculos'!$E$98)+1400)+'Cálculos'!$E$122)*'Cálculos'!$E$278+'Cálculos'!$E$125*(1+2.78*('Cálculos'!$E$200+(($C136)-$A$120:$A$165)*'Cálculos'!$E$98)/(('Cálculos'!$E$200+(($C136)-$A$120:$A$165)*'Cálculos'!$E$98)+1400)+'Cálculos'!$E$123)*'Cálculos'!$E$283)))))</f>
        <v>0</v>
      </c>
      <c r="E136" s="32">
        <f>IF(OR($C136&lt;0,'Cálculos'!$E$6=""),0,$B136*$D136)</f>
        <v>0</v>
      </c>
      <c r="F136" s="2"/>
      <c r="G136" s="30">
        <f>($A136&lt;=$B$167)*($A136&lt;='Cálculos'!$E$294)*(($B$167)-$A136&lt;='Cálculos'!$E$295)*(1+MIN(('Cálculos'!$E$207+$A136*'Cálculos'!$E$95),1)*('Cálculos'!$E$208+(($B$167)-$A136)*'Cálculos'!$E$96))</f>
        <v>0</v>
      </c>
      <c r="H136" s="31">
        <f>IF($B$168&lt;0,0,($A136&lt;=$B$168)*($A136&lt;='Cálculos'!$E$301)*(($B$168)-$A136&lt;='Cálculos'!$E$297)*(('Cálculos'!$E$185*(1+'Cálculos'!$E$186+$A136*('Cálculos'!$E$290=1)*'Cálculos'!$E$97+'Cálculos'!$E$305)+'Cálculos'!$E$191)*('Cálculos'!$E$209+'Cálculos'!$E$124*(1+2.78*('Cálculos'!$E$196+(($B$168)-$A136)*'Cálculos'!$E$98)/(('Cálculos'!$E$196+(($B$168)-$A136)*'Cálculos'!$E$98)+1400)+'Cálculos'!$E$122)*'Cálculos'!$E$214+'Cálculos'!$E$125*(1+2.78*('Cálculos'!$E$196+(($B$168)-$A136)*'Cálculos'!$E$98)/(('Cálculos'!$E$196+(($B$168)-$A136)*'Cálculos'!$E$98)+1400)+'Cálculos'!$E$123)*'Cálculos'!$E$219)+('Cálculos'!$E$196+(($B$168)-$A136)*'Cálculos'!$E$98)*('Cálculos'!$E$210+'Cálculos'!$E$124*(1+2.78*('Cálculos'!$E$196+(($B$168)-$A136)*'Cálculos'!$E$98)/(('Cálculos'!$E$196+(($B$168)-$A136)*'Cálculos'!$E$98)+1400)+'Cálculos'!$E$122)*'Cálculos'!$E$215+'Cálculos'!$E$125*(1+2.78*('Cálculos'!$E$196+(($B$168)-$A136)*'Cálculos'!$E$98)/(('Cálculos'!$E$196+(($B$168)-$A136)*'Cálculos'!$E$98)+1400)+'Cálculos'!$E$123)*'Cálculos'!$E$220)+('Cálculos'!$E$201*(1+'Cálculos'!$E$202+$A136*('Cálculos'!$E$290=2)*'Cálculos'!$E$101)+'Cálculos'!$E$203)*('Cálculos'!$E$211+'Cálculos'!$E$124*(1+2.78*('Cálculos'!$E$196+(($B$168)-$A136)*'Cálculos'!$E$98)/(('Cálculos'!$E$196+(($B$168)-$A136)*'Cálculos'!$E$98)+1400)+'Cálculos'!$E$122)*'Cálculos'!$E$216+'Cálculos'!$E$125*(1+2.78*('Cálculos'!$E$196+(($B$168)-$A136)*'Cálculos'!$E$98)/(('Cálculos'!$E$196+(($B$168)-$A136)*'Cálculos'!$E$98)+1400)+'Cálculos'!$E$123)*'Cálculos'!$E$221)+('Cálculos'!$E$204*(1+'Cálculos'!$E$205+$A136*('Cálculos'!$E$290=3)*'Cálculos'!$E$103)+'Cálculos'!$E$206)*('Cálculos'!$E$212+'Cálculos'!$E$124*(1+2.78*('Cálculos'!$E$196+(($B$168)-$A136)*'Cálculos'!$E$98)/(('Cálculos'!$E$196+(($B$168)-$A136)*'Cálculos'!$E$98)+1400)+'Cálculos'!$E$122)*'Cálculos'!$E$217+'Cálculos'!$E$125*(1+2.78*('Cálculos'!$E$196+(($B$168)-$A136)*'Cálculos'!$E$98)/(('Cálculos'!$E$196+(($B$168)-$A136)*'Cálculos'!$E$98)+1400)+'Cálculos'!$E$123)*'Cálculos'!$E$222)+('Cálculos'!$E$213+'Cálculos'!$E$124*(1+2.78*('Cálculos'!$E$196+(($B$168)-$A136)*'Cálculos'!$E$98)/(('Cálculos'!$E$196+(($B$168)-$A136)*'Cálculos'!$E$98)+1400)+'Cálculos'!$E$122)*'Cálculos'!$E$218+'Cálculos'!$E$125*(1+2.78*('Cálculos'!$E$196+(($B$168)-$A136)*'Cálculos'!$E$98)/(('Cálculos'!$E$196+(($B$168)-$A136)*'Cálculos'!$E$98)+1400)+'Cálculos'!$E$123)*'Cálculos'!$E$223)+('Cálculos'!$E$185*(1+'Cálculos'!$E$187+$A136*('Cálculos'!$E$290=1)*'Cálculos'!$E$97+'Cálculos'!$E$305)+'Cálculos'!$E$192)*('Cálculos'!$E$224+'Cálculos'!$E$124*(1+2.78*('Cálculos'!$E$197+(($B$168)-$A136)*'Cálculos'!$E$98)/(('Cálculos'!$E$197+(($B$168)-$A136)*'Cálculos'!$E$98)+1400)+'Cálculos'!$E$122)*'Cálculos'!$E$229+'Cálculos'!$E$125*(1+2.78*('Cálculos'!$E$197+(($B$168)-$A136)*'Cálculos'!$E$98)/(('Cálculos'!$E$197+(($B$168)-$A136)*'Cálculos'!$E$98)+1400)+'Cálculos'!$E$123)*'Cálculos'!$E$234)+('Cálculos'!$E$197+(($B$168)-$A136)*'Cálculos'!$E$98)*('Cálculos'!$E$225+'Cálculos'!$E$124*(1+2.78*('Cálculos'!$E$197+(($B$168)-$A136)*'Cálculos'!$E$98)/(('Cálculos'!$E$197+(($B$168)-$A136)*'Cálculos'!$E$98)+1400)+'Cálculos'!$E$122)*'Cálculos'!$E$230+'Cálculos'!$E$125*(1+2.78*('Cálculos'!$E$197+(($B$168)-$A136)*'Cálculos'!$E$98)/(('Cálculos'!$E$197+(($B$168)-$A136)*'Cálculos'!$E$98)+1400)+'Cálculos'!$E$123)*'Cálculos'!$E$235)+('Cálculos'!$E$201*(1+'Cálculos'!$E$202+$A136*('Cálculos'!$E$290=2)*'Cálculos'!$E$101)+'Cálculos'!$E$203)*('Cálculos'!$E$226+'Cálculos'!$E$124*(1+2.78*('Cálculos'!$E$197+(($B$168)-$A136)*'Cálculos'!$E$98)/(('Cálculos'!$E$197+(($B$168)-$A136)*'Cálculos'!$E$98)+1400)+'Cálculos'!$E$122)*'Cálculos'!$E$231+'Cálculos'!$E$125*(1+2.78*('Cálculos'!$E$197+(($B$168)-$A136)*'Cálculos'!$E$98)/(('Cálculos'!$E$197+(($B$168)-$A136)*'Cálculos'!$E$98)+1400)+'Cálculos'!$E$123)*'Cálculos'!$E$236)+('Cálculos'!$E$204*(1+'Cálculos'!$E$205+$A136*('Cálculos'!$E$290=3)*'Cálculos'!$E$103)+'Cálculos'!$E$206)*('Cálculos'!$E$227+'Cálculos'!$E$124*(1+2.78*('Cálculos'!$E$197+(($B$168)-$A136)*'Cálculos'!$E$98)/(('Cálculos'!$E$197+(($B$168)-$A136)*'Cálculos'!$E$98)+1400)+'Cálculos'!$E$122)*'Cálculos'!$E$232+'Cálculos'!$E$125*(1+2.78*('Cálculos'!$E$197+(($B$168)-$A136)*'Cálculos'!$E$98)/(('Cálculos'!$E$197+(($B$168)-$A136)*'Cálculos'!$E$98)+1400)+'Cálculos'!$E$123)*'Cálculos'!$E$237)+('Cálculos'!$E$228+'Cálculos'!$E$124*(1+2.78*('Cálculos'!$E$197+(($B$168)-$A136)*'Cálculos'!$E$98)/(('Cálculos'!$E$197+(($B$168)-$A136)*'Cálculos'!$E$98)+1400)+'Cálculos'!$E$122)*'Cálculos'!$E$233+'Cálculos'!$E$125*(1+2.78*('Cálculos'!$E$197+(($B$168)-$A136)*'Cálculos'!$E$98)/(('Cálculos'!$E$197+(($B$168)-$A136)*'Cálculos'!$E$98)+1400)+'Cálculos'!$E$123)*'Cálculos'!$E$238)+('Cálculos'!$E$185*(1+'Cálculos'!$E$188+$A136*('Cálculos'!$E$290=1)*'Cálculos'!$E$97+'Cálculos'!$E$305)+'Cálculos'!$E$193)*('Cálculos'!$E$239+'Cálculos'!$E$124*(1+2.78*('Cálculos'!$E$198+(($B$168)-$A136)*'Cálculos'!$E$98)/(('Cálculos'!$E$198+(($B$168)-$A136)*'Cálculos'!$E$98)+1400)+'Cálculos'!$E$122)*'Cálculos'!$E$244+'Cálculos'!$E$125*(1+2.78*('Cálculos'!$E$198+(($B$168)-$A136)*'Cálculos'!$E$98)/(('Cálculos'!$E$198+(($B$168)-$A136)*'Cálculos'!$E$98)+1400)+'Cálculos'!$E$123)*'Cálculos'!$E$249)+('Cálculos'!$E$198+(($B$168)-$A136)*'Cálculos'!$E$98)*('Cálculos'!$E$240+'Cálculos'!$E$124*(1+2.78*('Cálculos'!$E$198+(($B$168)-$A136)*'Cálculos'!$E$98)/(('Cálculos'!$E$198+(($B$168)-$A136)*'Cálculos'!$E$98)+1400)+'Cálculos'!$E$122)*'Cálculos'!$E$245+'Cálculos'!$E$125*(1+2.78*('Cálculos'!$E$198+(($B$168)-$A136)*'Cálculos'!$E$98)/(('Cálculos'!$E$198+(($B$168)-$A136)*'Cálculos'!$E$98)+1400)+'Cálculos'!$E$123)*'Cálculos'!$E$250)+('Cálculos'!$E$201*(1+'Cálculos'!$E$202+$A136*('Cálculos'!$E$290=2)*'Cálculos'!$E$101)+'Cálculos'!$E$203)*('Cálculos'!$E$241+'Cálculos'!$E$124*(1+2.78*('Cálculos'!$E$198+(($B$168)-$A136)*'Cálculos'!$E$98)/(('Cálculos'!$E$198+(($B$168)-$A136)*'Cálculos'!$E$98)+1400)+'Cálculos'!$E$122)*'Cálculos'!$E$246+'Cálculos'!$E$125*(1+2.78*('Cálculos'!$E$198+(($B$168)-$A136)*'Cálculos'!$E$98)/(('Cálculos'!$E$198+(($B$168)-$A136)*'Cálculos'!$E$98)+1400)+'Cálculos'!$E$123)*'Cálculos'!$E$251)+('Cálculos'!$E$204*(1+'Cálculos'!$E$205+$A136*('Cálculos'!$E$290=3)*'Cálculos'!$E$103)+'Cálculos'!$E$206)*('Cálculos'!$E$242+'Cálculos'!$E$124*(1+2.78*('Cálculos'!$E$198+(($B$168)-$A136)*'Cálculos'!$E$98)/(('Cálculos'!$E$198+(($B$168)-$A136)*'Cálculos'!$E$98)+1400)+'Cálculos'!$E$122)*'Cálculos'!$E$247+'Cálculos'!$E$125*(1+2.78*('Cálculos'!$E$198+(($B$168)-$A136)*'Cálculos'!$E$98)/(('Cálculos'!$E$198+(($B$168)-$A136)*'Cálculos'!$E$98)+1400)+'Cálculos'!$E$123)*'Cálculos'!$E$252)+('Cálculos'!$E$243+'Cálculos'!$E$124*(1+2.78*('Cálculos'!$E$198+(($B$168)-$A136)*'Cálculos'!$E$98)/(('Cálculos'!$E$198+(($B$168)-$A136)*'Cálculos'!$E$98)+1400)+'Cálculos'!$E$122)*'Cálculos'!$E$248+'Cálculos'!$E$125*(1+2.78*('Cálculos'!$E$198+(($B$168)-$A136)*'Cálculos'!$E$98)/(('Cálculos'!$E$198+(($B$168)-$A136)*'Cálculos'!$E$98)+1400)+'Cálculos'!$E$123)*'Cálculos'!$E$253)+('Cálculos'!$E$185*(1+'Cálculos'!$E$189+$A136*('Cálculos'!$E$290=1)*'Cálculos'!$E$97+'Cálculos'!$E$305)+'Cálculos'!$E$194)*('Cálculos'!$E$254+'Cálculos'!$E$124*(1+2.78*('Cálculos'!$E$199+(($B$168)-$A136)*'Cálculos'!$E$98)/(('Cálculos'!$E$199+(($B$168)-$A136)*'Cálculos'!$E$98)+1400)+'Cálculos'!$E$122)*'Cálculos'!$E$259+'Cálculos'!$E$125*(1+2.78*('Cálculos'!$E$199+(($B$168)-$A136)*'Cálculos'!$E$98)/(('Cálculos'!$E$199+(($B$168)-$A136)*'Cálculos'!$E$98)+1400)+'Cálculos'!$E$123)*'Cálculos'!$E$264)+('Cálculos'!$E$199+(($B$168)-$A136)*'Cálculos'!$E$98)*('Cálculos'!$E$255+'Cálculos'!$E$124*(1+2.78*('Cálculos'!$E$199+(($B$168)-$A136)*'Cálculos'!$E$98)/(('Cálculos'!$E$199+(($B$168)-$A136)*'Cálculos'!$E$98)+1400)+'Cálculos'!$E$122)*'Cálculos'!$E$260+'Cálculos'!$E$125*(1+2.78*('Cálculos'!$E$199+(($B$168)-$A136)*'Cálculos'!$E$98)/(('Cálculos'!$E$199+(($B$168)-$A136)*'Cálculos'!$E$98)+1400)+'Cálculos'!$E$123)*'Cálculos'!$E$265)+('Cálculos'!$E$201*(1+'Cálculos'!$E$202+$A136*('Cálculos'!$E$290=2)*'Cálculos'!$E$101)+'Cálculos'!$E$203)*('Cálculos'!$E$256+'Cálculos'!$E$124*(1+2.78*('Cálculos'!$E$199+(($B$168)-$A136)*'Cálculos'!$E$98)/(('Cálculos'!$E$199+(($B$168)-$A136)*'Cálculos'!$E$98)+1400)+'Cálculos'!$E$122)*'Cálculos'!$E$261+'Cálculos'!$E$125*(1+2.78*('Cálculos'!$E$199+(($B$168)-$A136)*'Cálculos'!$E$98)/(('Cálculos'!$E$199+(($B$168)-$A136)*'Cálculos'!$E$98)+1400)+'Cálculos'!$E$123)*'Cálculos'!$E$266)+('Cálculos'!$E$204*(1+'Cálculos'!$E$205+$A136*('Cálculos'!$E$290=3)*'Cálculos'!$E$103)+'Cálculos'!$E$206)*('Cálculos'!$E$257+'Cálculos'!$E$124*(1+2.78*('Cálculos'!$E$199+(($B$168)-$A136)*'Cálculos'!$E$98)/(('Cálculos'!$E$199+(($B$168)-$A136)*'Cálculos'!$E$98)+1400)+'Cálculos'!$E$122)*'Cálculos'!$E$262+'Cálculos'!$E$125*(1+2.78*('Cálculos'!$E$199+(($B$168)-$A136)*'Cálculos'!$E$98)/(('Cálculos'!$E$199+(($B$168)-$A136)*'Cálculos'!$E$98)+1400)+'Cálculos'!$E$123)*'Cálculos'!$E$267)+('Cálculos'!$E$258+'Cálculos'!$E$124*(1+2.78*('Cálculos'!$E$199+(($B$168)-$A136)*'Cálculos'!$E$98)/(('Cálculos'!$E$199+(($B$168)-$A136)*'Cálculos'!$E$98)+1400)+'Cálculos'!$E$122)*'Cálculos'!$E$263+'Cálculos'!$E$125*(1+2.78*('Cálculos'!$E$199+(($B$168)-$A136)*'Cálculos'!$E$98)/(('Cálculos'!$E$199+(($B$168)-$A136)*'Cálculos'!$E$98)+1400)+'Cálculos'!$E$123)*'Cálculos'!$E$268)+('Cálculos'!$E$185*(1+'Cálculos'!$E$190+$A136*('Cálculos'!$E$290=1)*'Cálculos'!$E$97+'Cálculos'!$E$305)+'Cálculos'!$E$195)*('Cálculos'!$E$269+'Cálculos'!$E$124*(1+2.78*('Cálculos'!$E$200+(($B$168)-$A136)*'Cálculos'!$E$98)/(('Cálculos'!$E$200+(($B$168)-$A136)*'Cálculos'!$E$98)+1400)+'Cálculos'!$E$122)*'Cálculos'!$E$274+'Cálculos'!$E$125*(1+2.78*('Cálculos'!$E$200+(($B$168)-$A136)*'Cálculos'!$E$98)/(('Cálculos'!$E$200+(($B$168)-$A136)*'Cálculos'!$E$98)+1400)+'Cálculos'!$E$123)*'Cálculos'!$E$279)+('Cálculos'!$E$200+(($B$168)-$A136)*'Cálculos'!$E$98)*('Cálculos'!$E$270+'Cálculos'!$E$124*(1+2.78*('Cálculos'!$E$200+(($B$168)-$A136)*'Cálculos'!$E$98)/(('Cálculos'!$E$200+(($B$168)-$A136)*'Cálculos'!$E$98)+1400)+'Cálculos'!$E$122)*'Cálculos'!$E$275+'Cálculos'!$E$125*(1+2.78*('Cálculos'!$E$200+(($B$168)-$A136)*'Cálculos'!$E$98)/(('Cálculos'!$E$200+(($B$168)-$A136)*'Cálculos'!$E$98)+1400)+'Cálculos'!$E$123)*'Cálculos'!$E$280)+('Cálculos'!$E$201*(1+'Cálculos'!$E$202+$A136*('Cálculos'!$E$290=2)*'Cálculos'!$E$101)+'Cálculos'!$E$203)*('Cálculos'!$E$271+'Cálculos'!$E$124*(1+2.78*('Cálculos'!$E$200+(($B$168)-$A136)*'Cálculos'!$E$98)/(('Cálculos'!$E$200+(($B$168)-$A136)*'Cálculos'!$E$98)+1400)+'Cálculos'!$E$122)*'Cálculos'!$E$276+'Cálculos'!$E$125*(1+2.78*('Cálculos'!$E$200+(($B$168)-$A136)*'Cálculos'!$E$98)/(('Cálculos'!$E$200+(($B$168)-$A136)*'Cálculos'!$E$98)+1400)+'Cálculos'!$E$123)*'Cálculos'!$E$281)+('Cálculos'!$E$204*(1+'Cálculos'!$E$205+$A136*('Cálculos'!$E$290=3)*'Cálculos'!$E$103)+'Cálculos'!$E$206)*('Cálculos'!$E$272+'Cálculos'!$E$124*(1+2.78*('Cálculos'!$E$200+(($B$168)-$A136)*'Cálculos'!$E$98)/(('Cálculos'!$E$200+(($B$168)-$A136)*'Cálculos'!$E$98)+1400)+'Cálculos'!$E$122)*'Cálculos'!$E$277+'Cálculos'!$E$125*(1+2.78*('Cálculos'!$E$200+(($B$168)-$A136)*'Cálculos'!$E$98)/(('Cálculos'!$E$200+(($B$168)-$A136)*'Cálculos'!$E$98)+1400)+'Cálculos'!$E$123)*'Cálculos'!$E$282)+('Cálculos'!$E$273+'Cálculos'!$E$124*(1+2.78*('Cálculos'!$E$200+(($B$168)-$A136)*'Cálculos'!$E$98)/(('Cálculos'!$E$200+(($B$168)-$A136)*'Cálculos'!$E$98)+1400)+'Cálculos'!$E$122)*'Cálculos'!$E$278+'Cálculos'!$E$125*(1+2.78*('Cálculos'!$E$200+(($B$168)-$A136)*'Cálculos'!$E$98)/(('Cálculos'!$E$200+(($B$168)-$A136)*'Cálculos'!$E$98)+1400)+'Cálculos'!$E$123)*'Cálculos'!$E$283)))</f>
        <v>0</v>
      </c>
    </row>
    <row r="137" ht="15.75" customHeight="1">
      <c r="A137" s="2">
        <v>17.0</v>
      </c>
      <c r="B137" s="30">
        <f>SUMPRODUCT(MAX(($A$120:$A$165&lt;=$A137)*($A$120:$A$165&lt;='Cálculos'!$E$294)*(($A137)-$A$120:$A$165&lt;='Cálculos'!$E$295)*(1+(('Cálculos'!$E$207+$A$120:$A$165*'Cálculos'!$E$95)-(('Cálculos'!$E$207+$A$120:$A$165*'Cálculos'!$E$95)&gt;1)*(('Cálculos'!$E$207+$A$120:$A$165*'Cálculos'!$E$95)-1))*('Cálculos'!$E$208+(($A137)-$A$120:$A$165)*'Cálculos'!$E$96))))</f>
        <v>1.850136</v>
      </c>
      <c r="C137" s="2">
        <f>'Cálculos'!$E$303-$A137</f>
        <v>-4</v>
      </c>
      <c r="D137" s="31">
        <f>IF($C137&lt;0,0,SUMPRODUCT(MAX(($A$120:$A$165&lt;=$C137)*($A$120:$A$165&lt;='Cálculos'!$E$301)*(($C137)-$A$120:$A$165&lt;='Cálculos'!$E$297)*(('Cálculos'!$E$185*(1+'Cálculos'!$E$186+$A$120:$A$165*('Cálculos'!$E$290=1)*'Cálculos'!$E$97+'Cálculos'!$E$305)+'Cálculos'!$E$191)*('Cálculos'!$E$209+'Cálculos'!$E$124*(1+2.78*('Cálculos'!$E$196+(($C137)-$A$120:$A$165)*'Cálculos'!$E$98)/(('Cálculos'!$E$196+(($C137)-$A$120:$A$165)*'Cálculos'!$E$98)+1400)+'Cálculos'!$E$122)*'Cálculos'!$E$214+'Cálculos'!$E$125*(1+2.78*('Cálculos'!$E$196+(($C137)-$A$120:$A$165)*'Cálculos'!$E$98)/(('Cálculos'!$E$196+(($C137)-$A$120:$A$165)*'Cálculos'!$E$98)+1400)+'Cálculos'!$E$123)*'Cálculos'!$E$219)+('Cálculos'!$E$196+(($C137)-$A$120:$A$165)*'Cálculos'!$E$98)*('Cálculos'!$E$210+'Cálculos'!$E$124*(1+2.78*('Cálculos'!$E$196+(($C137)-$A$120:$A$165)*'Cálculos'!$E$98)/(('Cálculos'!$E$196+(($C137)-$A$120:$A$165)*'Cálculos'!$E$98)+1400)+'Cálculos'!$E$122)*'Cálculos'!$E$215+'Cálculos'!$E$125*(1+2.78*('Cálculos'!$E$196+(($C137)-$A$120:$A$165)*'Cálculos'!$E$98)/(('Cálculos'!$E$196+(($C137)-$A$120:$A$165)*'Cálculos'!$E$98)+1400)+'Cálculos'!$E$123)*'Cálculos'!$E$220)+('Cálculos'!$E$201*(1+'Cálculos'!$E$202+$A$120:$A$165*('Cálculos'!$E$290=2)*'Cálculos'!$E$101)+'Cálculos'!$E$203)*('Cálculos'!$E$211+'Cálculos'!$E$124*(1+2.78*('Cálculos'!$E$196+(($C137)-$A$120:$A$165)*'Cálculos'!$E$98)/(('Cálculos'!$E$196+(($C137)-$A$120:$A$165)*'Cálculos'!$E$98)+1400)+'Cálculos'!$E$122)*'Cálculos'!$E$216+'Cálculos'!$E$125*(1+2.78*('Cálculos'!$E$196+(($C137)-$A$120:$A$165)*'Cálculos'!$E$98)/(('Cálculos'!$E$196+(($C137)-$A$120:$A$165)*'Cálculos'!$E$98)+1400)+'Cálculos'!$E$123)*'Cálculos'!$E$221)+('Cálculos'!$E$204*(1+'Cálculos'!$E$205+$A$120:$A$165*('Cálculos'!$E$290=3)*'Cálculos'!$E$103)+'Cálculos'!$E$206)*('Cálculos'!$E$212+'Cálculos'!$E$124*(1+2.78*('Cálculos'!$E$196+(($C137)-$A$120:$A$165)*'Cálculos'!$E$98)/(('Cálculos'!$E$196+(($C137)-$A$120:$A$165)*'Cálculos'!$E$98)+1400)+'Cálculos'!$E$122)*'Cálculos'!$E$217+'Cálculos'!$E$125*(1+2.78*('Cálculos'!$E$196+(($C137)-$A$120:$A$165)*'Cálculos'!$E$98)/(('Cálculos'!$E$196+(($C137)-$A$120:$A$165)*'Cálculos'!$E$98)+1400)+'Cálculos'!$E$123)*'Cálculos'!$E$222)+('Cálculos'!$E$213+'Cálculos'!$E$124*(1+2.78*('Cálculos'!$E$196+(($C137)-$A$120:$A$165)*'Cálculos'!$E$98)/(('Cálculos'!$E$196+(($C137)-$A$120:$A$165)*'Cálculos'!$E$98)+1400)+'Cálculos'!$E$122)*'Cálculos'!$E$218+'Cálculos'!$E$125*(1+2.78*('Cálculos'!$E$196+(($C137)-$A$120:$A$165)*'Cálculos'!$E$98)/(('Cálculos'!$E$196+(($C137)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137)-$A$120:$A$165)*'Cálculos'!$E$98)/(('Cálculos'!$E$197+(($C137)-$A$120:$A$165)*'Cálculos'!$E$98)+1400)+'Cálculos'!$E$122)*'Cálculos'!$E$229+'Cálculos'!$E$125*(1+2.78*('Cálculos'!$E$197+(($C137)-$A$120:$A$165)*'Cálculos'!$E$98)/(('Cálculos'!$E$197+(($C137)-$A$120:$A$165)*'Cálculos'!$E$98)+1400)+'Cálculos'!$E$123)*'Cálculos'!$E$234)+('Cálculos'!$E$197+(($C137)-$A$120:$A$165)*'Cálculos'!$E$98)*('Cálculos'!$E$225+'Cálculos'!$E$124*(1+2.78*('Cálculos'!$E$197+(($C137)-$A$120:$A$165)*'Cálculos'!$E$98)/(('Cálculos'!$E$197+(($C137)-$A$120:$A$165)*'Cálculos'!$E$98)+1400)+'Cálculos'!$E$122)*'Cálculos'!$E$230+'Cálculos'!$E$125*(1+2.78*('Cálculos'!$E$197+(($C137)-$A$120:$A$165)*'Cálculos'!$E$98)/(('Cálculos'!$E$197+(($C137)-$A$120:$A$165)*'Cálculos'!$E$98)+1400)+'Cálculos'!$E$123)*'Cálculos'!$E$235)+('Cálculos'!$E$201*(1+'Cálculos'!$E$202+$A$120:$A$165*('Cálculos'!$E$290=2)*'Cálculos'!$E$101)+'Cálculos'!$E$203)*('Cálculos'!$E$226+'Cálculos'!$E$124*(1+2.78*('Cálculos'!$E$197+(($C137)-$A$120:$A$165)*'Cálculos'!$E$98)/(('Cálculos'!$E$197+(($C137)-$A$120:$A$165)*'Cálculos'!$E$98)+1400)+'Cálculos'!$E$122)*'Cálculos'!$E$231+'Cálculos'!$E$125*(1+2.78*('Cálculos'!$E$197+(($C137)-$A$120:$A$165)*'Cálculos'!$E$98)/(('Cálculos'!$E$197+(($C137)-$A$120:$A$165)*'Cálculos'!$E$98)+1400)+'Cálculos'!$E$123)*'Cálculos'!$E$236)+('Cálculos'!$E$204*(1+'Cálculos'!$E$205+$A$120:$A$165*('Cálculos'!$E$290=3)*'Cálculos'!$E$103)+'Cálculos'!$E$206)*('Cálculos'!$E$227+'Cálculos'!$E$124*(1+2.78*('Cálculos'!$E$197+(($C137)-$A$120:$A$165)*'Cálculos'!$E$98)/(('Cálculos'!$E$197+(($C137)-$A$120:$A$165)*'Cálculos'!$E$98)+1400)+'Cálculos'!$E$122)*'Cálculos'!$E$232+'Cálculos'!$E$125*(1+2.78*('Cálculos'!$E$197+(($C137)-$A$120:$A$165)*'Cálculos'!$E$98)/(('Cálculos'!$E$197+(($C137)-$A$120:$A$165)*'Cálculos'!$E$98)+1400)+'Cálculos'!$E$123)*'Cálculos'!$E$237)+('Cálculos'!$E$228+'Cálculos'!$E$124*(1+2.78*('Cálculos'!$E$197+(($C137)-$A$120:$A$165)*'Cálculos'!$E$98)/(('Cálculos'!$E$197+(($C137)-$A$120:$A$165)*'Cálculos'!$E$98)+1400)+'Cálculos'!$E$122)*'Cálculos'!$E$233+'Cálculos'!$E$125*(1+2.78*('Cálculos'!$E$197+(($C137)-$A$120:$A$165)*'Cálculos'!$E$98)/(('Cálculos'!$E$197+(($C137)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137)-$A$120:$A$165)*'Cálculos'!$E$98)/(('Cálculos'!$E$198+(($C137)-$A$120:$A$165)*'Cálculos'!$E$98)+1400)+'Cálculos'!$E$122)*'Cálculos'!$E$244+'Cálculos'!$E$125*(1+2.78*('Cálculos'!$E$198+(($C137)-$A$120:$A$165)*'Cálculos'!$E$98)/(('Cálculos'!$E$198+(($C137)-$A$120:$A$165)*'Cálculos'!$E$98)+1400)+'Cálculos'!$E$123)*'Cálculos'!$E$249)+('Cálculos'!$E$198+(($C137)-$A$120:$A$165)*'Cálculos'!$E$98)*('Cálculos'!$E$240+'Cálculos'!$E$124*(1+2.78*('Cálculos'!$E$198+(($C137)-$A$120:$A$165)*'Cálculos'!$E$98)/(('Cálculos'!$E$198+(($C137)-$A$120:$A$165)*'Cálculos'!$E$98)+1400)+'Cálculos'!$E$122)*'Cálculos'!$E$245+'Cálculos'!$E$125*(1+2.78*('Cálculos'!$E$198+(($C137)-$A$120:$A$165)*'Cálculos'!$E$98)/(('Cálculos'!$E$198+(($C137)-$A$120:$A$165)*'Cálculos'!$E$98)+1400)+'Cálculos'!$E$123)*'Cálculos'!$E$250)+('Cálculos'!$E$201*(1+'Cálculos'!$E$202+$A$120:$A$165*('Cálculos'!$E$290=2)*'Cálculos'!$E$101)+'Cálculos'!$E$203)*('Cálculos'!$E$241+'Cálculos'!$E$124*(1+2.78*('Cálculos'!$E$198+(($C137)-$A$120:$A$165)*'Cálculos'!$E$98)/(('Cálculos'!$E$198+(($C137)-$A$120:$A$165)*'Cálculos'!$E$98)+1400)+'Cálculos'!$E$122)*'Cálculos'!$E$246+'Cálculos'!$E$125*(1+2.78*('Cálculos'!$E$198+(($C137)-$A$120:$A$165)*'Cálculos'!$E$98)/(('Cálculos'!$E$198+(($C137)-$A$120:$A$165)*'Cálculos'!$E$98)+1400)+'Cálculos'!$E$123)*'Cálculos'!$E$251)+('Cálculos'!$E$204*(1+'Cálculos'!$E$205+$A$120:$A$165*('Cálculos'!$E$290=3)*'Cálculos'!$E$103)+'Cálculos'!$E$206)*('Cálculos'!$E$242+'Cálculos'!$E$124*(1+2.78*('Cálculos'!$E$198+(($C137)-$A$120:$A$165)*'Cálculos'!$E$98)/(('Cálculos'!$E$198+(($C137)-$A$120:$A$165)*'Cálculos'!$E$98)+1400)+'Cálculos'!$E$122)*'Cálculos'!$E$247+'Cálculos'!$E$125*(1+2.78*('Cálculos'!$E$198+(($C137)-$A$120:$A$165)*'Cálculos'!$E$98)/(('Cálculos'!$E$198+(($C137)-$A$120:$A$165)*'Cálculos'!$E$98)+1400)+'Cálculos'!$E$123)*'Cálculos'!$E$252)+('Cálculos'!$E$243+'Cálculos'!$E$124*(1+2.78*('Cálculos'!$E$198+(($C137)-$A$120:$A$165)*'Cálculos'!$E$98)/(('Cálculos'!$E$198+(($C137)-$A$120:$A$165)*'Cálculos'!$E$98)+1400)+'Cálculos'!$E$122)*'Cálculos'!$E$248+'Cálculos'!$E$125*(1+2.78*('Cálculos'!$E$198+(($C137)-$A$120:$A$165)*'Cálculos'!$E$98)/(('Cálculos'!$E$198+(($C137)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137)-$A$120:$A$165)*'Cálculos'!$E$98)/(('Cálculos'!$E$199+(($C137)-$A$120:$A$165)*'Cálculos'!$E$98)+1400)+'Cálculos'!$E$122)*'Cálculos'!$E$259+'Cálculos'!$E$125*(1+2.78*('Cálculos'!$E$199+(($C137)-$A$120:$A$165)*'Cálculos'!$E$98)/(('Cálculos'!$E$199+(($C137)-$A$120:$A$165)*'Cálculos'!$E$98)+1400)+'Cálculos'!$E$123)*'Cálculos'!$E$264)+('Cálculos'!$E$199+(($C137)-$A$120:$A$165)*'Cálculos'!$E$98)*('Cálculos'!$E$255+'Cálculos'!$E$124*(1+2.78*('Cálculos'!$E$199+(($C137)-$A$120:$A$165)*'Cálculos'!$E$98)/(('Cálculos'!$E$199+(($C137)-$A$120:$A$165)*'Cálculos'!$E$98)+1400)+'Cálculos'!$E$122)*'Cálculos'!$E$260+'Cálculos'!$E$125*(1+2.78*('Cálculos'!$E$199+(($C137)-$A$120:$A$165)*'Cálculos'!$E$98)/(('Cálculos'!$E$199+(($C137)-$A$120:$A$165)*'Cálculos'!$E$98)+1400)+'Cálculos'!$E$123)*'Cálculos'!$E$265)+('Cálculos'!$E$201*(1+'Cálculos'!$E$202+$A$120:$A$165*('Cálculos'!$E$290=2)*'Cálculos'!$E$101)+'Cálculos'!$E$203)*('Cálculos'!$E$256+'Cálculos'!$E$124*(1+2.78*('Cálculos'!$E$199+(($C137)-$A$120:$A$165)*'Cálculos'!$E$98)/(('Cálculos'!$E$199+(($C137)-$A$120:$A$165)*'Cálculos'!$E$98)+1400)+'Cálculos'!$E$122)*'Cálculos'!$E$261+'Cálculos'!$E$125*(1+2.78*('Cálculos'!$E$199+(($C137)-$A$120:$A$165)*'Cálculos'!$E$98)/(('Cálculos'!$E$199+(($C137)-$A$120:$A$165)*'Cálculos'!$E$98)+1400)+'Cálculos'!$E$123)*'Cálculos'!$E$266)+('Cálculos'!$E$204*(1+'Cálculos'!$E$205+$A$120:$A$165*('Cálculos'!$E$290=3)*'Cálculos'!$E$103)+'Cálculos'!$E$206)*('Cálculos'!$E$257+'Cálculos'!$E$124*(1+2.78*('Cálculos'!$E$199+(($C137)-$A$120:$A$165)*'Cálculos'!$E$98)/(('Cálculos'!$E$199+(($C137)-$A$120:$A$165)*'Cálculos'!$E$98)+1400)+'Cálculos'!$E$122)*'Cálculos'!$E$262+'Cálculos'!$E$125*(1+2.78*('Cálculos'!$E$199+(($C137)-$A$120:$A$165)*'Cálculos'!$E$98)/(('Cálculos'!$E$199+(($C137)-$A$120:$A$165)*'Cálculos'!$E$98)+1400)+'Cálculos'!$E$123)*'Cálculos'!$E$267)+('Cálculos'!$E$258+'Cálculos'!$E$124*(1+2.78*('Cálculos'!$E$199+(($C137)-$A$120:$A$165)*'Cálculos'!$E$98)/(('Cálculos'!$E$199+(($C137)-$A$120:$A$165)*'Cálculos'!$E$98)+1400)+'Cálculos'!$E$122)*'Cálculos'!$E$263+'Cálculos'!$E$125*(1+2.78*('Cálculos'!$E$199+(($C137)-$A$120:$A$165)*'Cálculos'!$E$98)/(('Cálculos'!$E$199+(($C137)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137)-$A$120:$A$165)*'Cálculos'!$E$98)/(('Cálculos'!$E$200+(($C137)-$A$120:$A$165)*'Cálculos'!$E$98)+1400)+'Cálculos'!$E$122)*'Cálculos'!$E$274+'Cálculos'!$E$125*(1+2.78*('Cálculos'!$E$200+(($C137)-$A$120:$A$165)*'Cálculos'!$E$98)/(('Cálculos'!$E$200+(($C137)-$A$120:$A$165)*'Cálculos'!$E$98)+1400)+'Cálculos'!$E$123)*'Cálculos'!$E$279)+('Cálculos'!$E$200+(($C137)-$A$120:$A$165)*'Cálculos'!$E$98)*('Cálculos'!$E$270+'Cálculos'!$E$124*(1+2.78*('Cálculos'!$E$200+(($C137)-$A$120:$A$165)*'Cálculos'!$E$98)/(('Cálculos'!$E$200+(($C137)-$A$120:$A$165)*'Cálculos'!$E$98)+1400)+'Cálculos'!$E$122)*'Cálculos'!$E$275+'Cálculos'!$E$125*(1+2.78*('Cálculos'!$E$200+(($C137)-$A$120:$A$165)*'Cálculos'!$E$98)/(('Cálculos'!$E$200+(($C137)-$A$120:$A$165)*'Cálculos'!$E$98)+1400)+'Cálculos'!$E$123)*'Cálculos'!$E$280)+('Cálculos'!$E$201*(1+'Cálculos'!$E$202+$A$120:$A$165*('Cálculos'!$E$290=2)*'Cálculos'!$E$101)+'Cálculos'!$E$203)*('Cálculos'!$E$271+'Cálculos'!$E$124*(1+2.78*('Cálculos'!$E$200+(($C137)-$A$120:$A$165)*'Cálculos'!$E$98)/(('Cálculos'!$E$200+(($C137)-$A$120:$A$165)*'Cálculos'!$E$98)+1400)+'Cálculos'!$E$122)*'Cálculos'!$E$276+'Cálculos'!$E$125*(1+2.78*('Cálculos'!$E$200+(($C137)-$A$120:$A$165)*'Cálculos'!$E$98)/(('Cálculos'!$E$200+(($C137)-$A$120:$A$165)*'Cálculos'!$E$98)+1400)+'Cálculos'!$E$123)*'Cálculos'!$E$281)+('Cálculos'!$E$204*(1+'Cálculos'!$E$205+$A$120:$A$165*('Cálculos'!$E$290=3)*'Cálculos'!$E$103)+'Cálculos'!$E$206)*('Cálculos'!$E$272+'Cálculos'!$E$124*(1+2.78*('Cálculos'!$E$200+(($C137)-$A$120:$A$165)*'Cálculos'!$E$98)/(('Cálculos'!$E$200+(($C137)-$A$120:$A$165)*'Cálculos'!$E$98)+1400)+'Cálculos'!$E$122)*'Cálculos'!$E$277+'Cálculos'!$E$125*(1+2.78*('Cálculos'!$E$200+(($C137)-$A$120:$A$165)*'Cálculos'!$E$98)/(('Cálculos'!$E$200+(($C137)-$A$120:$A$165)*'Cálculos'!$E$98)+1400)+'Cálculos'!$E$123)*'Cálculos'!$E$282)+('Cálculos'!$E$273+'Cálculos'!$E$124*(1+2.78*('Cálculos'!$E$200+(($C137)-$A$120:$A$165)*'Cálculos'!$E$98)/(('Cálculos'!$E$200+(($C137)-$A$120:$A$165)*'Cálculos'!$E$98)+1400)+'Cálculos'!$E$122)*'Cálculos'!$E$278+'Cálculos'!$E$125*(1+2.78*('Cálculos'!$E$200+(($C137)-$A$120:$A$165)*'Cálculos'!$E$98)/(('Cálculos'!$E$200+(($C137)-$A$120:$A$165)*'Cálculos'!$E$98)+1400)+'Cálculos'!$E$123)*'Cálculos'!$E$283)))))</f>
        <v>0</v>
      </c>
      <c r="E137" s="32">
        <f>IF(OR($C137&lt;0,'Cálculos'!$E$6=""),0,$B137*$D137)</f>
        <v>0</v>
      </c>
      <c r="F137" s="2"/>
      <c r="G137" s="30">
        <f>($A137&lt;=$B$167)*($A137&lt;='Cálculos'!$E$294)*(($B$167)-$A137&lt;='Cálculos'!$E$295)*(1+MIN(('Cálculos'!$E$207+$A137*'Cálculos'!$E$95),1)*('Cálculos'!$E$208+(($B$167)-$A137)*'Cálculos'!$E$96))</f>
        <v>0</v>
      </c>
      <c r="H137" s="31">
        <f>IF($B$168&lt;0,0,($A137&lt;=$B$168)*($A137&lt;='Cálculos'!$E$301)*(($B$168)-$A137&lt;='Cálculos'!$E$297)*(('Cálculos'!$E$185*(1+'Cálculos'!$E$186+$A137*('Cálculos'!$E$290=1)*'Cálculos'!$E$97+'Cálculos'!$E$305)+'Cálculos'!$E$191)*('Cálculos'!$E$209+'Cálculos'!$E$124*(1+2.78*('Cálculos'!$E$196+(($B$168)-$A137)*'Cálculos'!$E$98)/(('Cálculos'!$E$196+(($B$168)-$A137)*'Cálculos'!$E$98)+1400)+'Cálculos'!$E$122)*'Cálculos'!$E$214+'Cálculos'!$E$125*(1+2.78*('Cálculos'!$E$196+(($B$168)-$A137)*'Cálculos'!$E$98)/(('Cálculos'!$E$196+(($B$168)-$A137)*'Cálculos'!$E$98)+1400)+'Cálculos'!$E$123)*'Cálculos'!$E$219)+('Cálculos'!$E$196+(($B$168)-$A137)*'Cálculos'!$E$98)*('Cálculos'!$E$210+'Cálculos'!$E$124*(1+2.78*('Cálculos'!$E$196+(($B$168)-$A137)*'Cálculos'!$E$98)/(('Cálculos'!$E$196+(($B$168)-$A137)*'Cálculos'!$E$98)+1400)+'Cálculos'!$E$122)*'Cálculos'!$E$215+'Cálculos'!$E$125*(1+2.78*('Cálculos'!$E$196+(($B$168)-$A137)*'Cálculos'!$E$98)/(('Cálculos'!$E$196+(($B$168)-$A137)*'Cálculos'!$E$98)+1400)+'Cálculos'!$E$123)*'Cálculos'!$E$220)+('Cálculos'!$E$201*(1+'Cálculos'!$E$202+$A137*('Cálculos'!$E$290=2)*'Cálculos'!$E$101)+'Cálculos'!$E$203)*('Cálculos'!$E$211+'Cálculos'!$E$124*(1+2.78*('Cálculos'!$E$196+(($B$168)-$A137)*'Cálculos'!$E$98)/(('Cálculos'!$E$196+(($B$168)-$A137)*'Cálculos'!$E$98)+1400)+'Cálculos'!$E$122)*'Cálculos'!$E$216+'Cálculos'!$E$125*(1+2.78*('Cálculos'!$E$196+(($B$168)-$A137)*'Cálculos'!$E$98)/(('Cálculos'!$E$196+(($B$168)-$A137)*'Cálculos'!$E$98)+1400)+'Cálculos'!$E$123)*'Cálculos'!$E$221)+('Cálculos'!$E$204*(1+'Cálculos'!$E$205+$A137*('Cálculos'!$E$290=3)*'Cálculos'!$E$103)+'Cálculos'!$E$206)*('Cálculos'!$E$212+'Cálculos'!$E$124*(1+2.78*('Cálculos'!$E$196+(($B$168)-$A137)*'Cálculos'!$E$98)/(('Cálculos'!$E$196+(($B$168)-$A137)*'Cálculos'!$E$98)+1400)+'Cálculos'!$E$122)*'Cálculos'!$E$217+'Cálculos'!$E$125*(1+2.78*('Cálculos'!$E$196+(($B$168)-$A137)*'Cálculos'!$E$98)/(('Cálculos'!$E$196+(($B$168)-$A137)*'Cálculos'!$E$98)+1400)+'Cálculos'!$E$123)*'Cálculos'!$E$222)+('Cálculos'!$E$213+'Cálculos'!$E$124*(1+2.78*('Cálculos'!$E$196+(($B$168)-$A137)*'Cálculos'!$E$98)/(('Cálculos'!$E$196+(($B$168)-$A137)*'Cálculos'!$E$98)+1400)+'Cálculos'!$E$122)*'Cálculos'!$E$218+'Cálculos'!$E$125*(1+2.78*('Cálculos'!$E$196+(($B$168)-$A137)*'Cálculos'!$E$98)/(('Cálculos'!$E$196+(($B$168)-$A137)*'Cálculos'!$E$98)+1400)+'Cálculos'!$E$123)*'Cálculos'!$E$223)+('Cálculos'!$E$185*(1+'Cálculos'!$E$187+$A137*('Cálculos'!$E$290=1)*'Cálculos'!$E$97+'Cálculos'!$E$305)+'Cálculos'!$E$192)*('Cálculos'!$E$224+'Cálculos'!$E$124*(1+2.78*('Cálculos'!$E$197+(($B$168)-$A137)*'Cálculos'!$E$98)/(('Cálculos'!$E$197+(($B$168)-$A137)*'Cálculos'!$E$98)+1400)+'Cálculos'!$E$122)*'Cálculos'!$E$229+'Cálculos'!$E$125*(1+2.78*('Cálculos'!$E$197+(($B$168)-$A137)*'Cálculos'!$E$98)/(('Cálculos'!$E$197+(($B$168)-$A137)*'Cálculos'!$E$98)+1400)+'Cálculos'!$E$123)*'Cálculos'!$E$234)+('Cálculos'!$E$197+(($B$168)-$A137)*'Cálculos'!$E$98)*('Cálculos'!$E$225+'Cálculos'!$E$124*(1+2.78*('Cálculos'!$E$197+(($B$168)-$A137)*'Cálculos'!$E$98)/(('Cálculos'!$E$197+(($B$168)-$A137)*'Cálculos'!$E$98)+1400)+'Cálculos'!$E$122)*'Cálculos'!$E$230+'Cálculos'!$E$125*(1+2.78*('Cálculos'!$E$197+(($B$168)-$A137)*'Cálculos'!$E$98)/(('Cálculos'!$E$197+(($B$168)-$A137)*'Cálculos'!$E$98)+1400)+'Cálculos'!$E$123)*'Cálculos'!$E$235)+('Cálculos'!$E$201*(1+'Cálculos'!$E$202+$A137*('Cálculos'!$E$290=2)*'Cálculos'!$E$101)+'Cálculos'!$E$203)*('Cálculos'!$E$226+'Cálculos'!$E$124*(1+2.78*('Cálculos'!$E$197+(($B$168)-$A137)*'Cálculos'!$E$98)/(('Cálculos'!$E$197+(($B$168)-$A137)*'Cálculos'!$E$98)+1400)+'Cálculos'!$E$122)*'Cálculos'!$E$231+'Cálculos'!$E$125*(1+2.78*('Cálculos'!$E$197+(($B$168)-$A137)*'Cálculos'!$E$98)/(('Cálculos'!$E$197+(($B$168)-$A137)*'Cálculos'!$E$98)+1400)+'Cálculos'!$E$123)*'Cálculos'!$E$236)+('Cálculos'!$E$204*(1+'Cálculos'!$E$205+$A137*('Cálculos'!$E$290=3)*'Cálculos'!$E$103)+'Cálculos'!$E$206)*('Cálculos'!$E$227+'Cálculos'!$E$124*(1+2.78*('Cálculos'!$E$197+(($B$168)-$A137)*'Cálculos'!$E$98)/(('Cálculos'!$E$197+(($B$168)-$A137)*'Cálculos'!$E$98)+1400)+'Cálculos'!$E$122)*'Cálculos'!$E$232+'Cálculos'!$E$125*(1+2.78*('Cálculos'!$E$197+(($B$168)-$A137)*'Cálculos'!$E$98)/(('Cálculos'!$E$197+(($B$168)-$A137)*'Cálculos'!$E$98)+1400)+'Cálculos'!$E$123)*'Cálculos'!$E$237)+('Cálculos'!$E$228+'Cálculos'!$E$124*(1+2.78*('Cálculos'!$E$197+(($B$168)-$A137)*'Cálculos'!$E$98)/(('Cálculos'!$E$197+(($B$168)-$A137)*'Cálculos'!$E$98)+1400)+'Cálculos'!$E$122)*'Cálculos'!$E$233+'Cálculos'!$E$125*(1+2.78*('Cálculos'!$E$197+(($B$168)-$A137)*'Cálculos'!$E$98)/(('Cálculos'!$E$197+(($B$168)-$A137)*'Cálculos'!$E$98)+1400)+'Cálculos'!$E$123)*'Cálculos'!$E$238)+('Cálculos'!$E$185*(1+'Cálculos'!$E$188+$A137*('Cálculos'!$E$290=1)*'Cálculos'!$E$97+'Cálculos'!$E$305)+'Cálculos'!$E$193)*('Cálculos'!$E$239+'Cálculos'!$E$124*(1+2.78*('Cálculos'!$E$198+(($B$168)-$A137)*'Cálculos'!$E$98)/(('Cálculos'!$E$198+(($B$168)-$A137)*'Cálculos'!$E$98)+1400)+'Cálculos'!$E$122)*'Cálculos'!$E$244+'Cálculos'!$E$125*(1+2.78*('Cálculos'!$E$198+(($B$168)-$A137)*'Cálculos'!$E$98)/(('Cálculos'!$E$198+(($B$168)-$A137)*'Cálculos'!$E$98)+1400)+'Cálculos'!$E$123)*'Cálculos'!$E$249)+('Cálculos'!$E$198+(($B$168)-$A137)*'Cálculos'!$E$98)*('Cálculos'!$E$240+'Cálculos'!$E$124*(1+2.78*('Cálculos'!$E$198+(($B$168)-$A137)*'Cálculos'!$E$98)/(('Cálculos'!$E$198+(($B$168)-$A137)*'Cálculos'!$E$98)+1400)+'Cálculos'!$E$122)*'Cálculos'!$E$245+'Cálculos'!$E$125*(1+2.78*('Cálculos'!$E$198+(($B$168)-$A137)*'Cálculos'!$E$98)/(('Cálculos'!$E$198+(($B$168)-$A137)*'Cálculos'!$E$98)+1400)+'Cálculos'!$E$123)*'Cálculos'!$E$250)+('Cálculos'!$E$201*(1+'Cálculos'!$E$202+$A137*('Cálculos'!$E$290=2)*'Cálculos'!$E$101)+'Cálculos'!$E$203)*('Cálculos'!$E$241+'Cálculos'!$E$124*(1+2.78*('Cálculos'!$E$198+(($B$168)-$A137)*'Cálculos'!$E$98)/(('Cálculos'!$E$198+(($B$168)-$A137)*'Cálculos'!$E$98)+1400)+'Cálculos'!$E$122)*'Cálculos'!$E$246+'Cálculos'!$E$125*(1+2.78*('Cálculos'!$E$198+(($B$168)-$A137)*'Cálculos'!$E$98)/(('Cálculos'!$E$198+(($B$168)-$A137)*'Cálculos'!$E$98)+1400)+'Cálculos'!$E$123)*'Cálculos'!$E$251)+('Cálculos'!$E$204*(1+'Cálculos'!$E$205+$A137*('Cálculos'!$E$290=3)*'Cálculos'!$E$103)+'Cálculos'!$E$206)*('Cálculos'!$E$242+'Cálculos'!$E$124*(1+2.78*('Cálculos'!$E$198+(($B$168)-$A137)*'Cálculos'!$E$98)/(('Cálculos'!$E$198+(($B$168)-$A137)*'Cálculos'!$E$98)+1400)+'Cálculos'!$E$122)*'Cálculos'!$E$247+'Cálculos'!$E$125*(1+2.78*('Cálculos'!$E$198+(($B$168)-$A137)*'Cálculos'!$E$98)/(('Cálculos'!$E$198+(($B$168)-$A137)*'Cálculos'!$E$98)+1400)+'Cálculos'!$E$123)*'Cálculos'!$E$252)+('Cálculos'!$E$243+'Cálculos'!$E$124*(1+2.78*('Cálculos'!$E$198+(($B$168)-$A137)*'Cálculos'!$E$98)/(('Cálculos'!$E$198+(($B$168)-$A137)*'Cálculos'!$E$98)+1400)+'Cálculos'!$E$122)*'Cálculos'!$E$248+'Cálculos'!$E$125*(1+2.78*('Cálculos'!$E$198+(($B$168)-$A137)*'Cálculos'!$E$98)/(('Cálculos'!$E$198+(($B$168)-$A137)*'Cálculos'!$E$98)+1400)+'Cálculos'!$E$123)*'Cálculos'!$E$253)+('Cálculos'!$E$185*(1+'Cálculos'!$E$189+$A137*('Cálculos'!$E$290=1)*'Cálculos'!$E$97+'Cálculos'!$E$305)+'Cálculos'!$E$194)*('Cálculos'!$E$254+'Cálculos'!$E$124*(1+2.78*('Cálculos'!$E$199+(($B$168)-$A137)*'Cálculos'!$E$98)/(('Cálculos'!$E$199+(($B$168)-$A137)*'Cálculos'!$E$98)+1400)+'Cálculos'!$E$122)*'Cálculos'!$E$259+'Cálculos'!$E$125*(1+2.78*('Cálculos'!$E$199+(($B$168)-$A137)*'Cálculos'!$E$98)/(('Cálculos'!$E$199+(($B$168)-$A137)*'Cálculos'!$E$98)+1400)+'Cálculos'!$E$123)*'Cálculos'!$E$264)+('Cálculos'!$E$199+(($B$168)-$A137)*'Cálculos'!$E$98)*('Cálculos'!$E$255+'Cálculos'!$E$124*(1+2.78*('Cálculos'!$E$199+(($B$168)-$A137)*'Cálculos'!$E$98)/(('Cálculos'!$E$199+(($B$168)-$A137)*'Cálculos'!$E$98)+1400)+'Cálculos'!$E$122)*'Cálculos'!$E$260+'Cálculos'!$E$125*(1+2.78*('Cálculos'!$E$199+(($B$168)-$A137)*'Cálculos'!$E$98)/(('Cálculos'!$E$199+(($B$168)-$A137)*'Cálculos'!$E$98)+1400)+'Cálculos'!$E$123)*'Cálculos'!$E$265)+('Cálculos'!$E$201*(1+'Cálculos'!$E$202+$A137*('Cálculos'!$E$290=2)*'Cálculos'!$E$101)+'Cálculos'!$E$203)*('Cálculos'!$E$256+'Cálculos'!$E$124*(1+2.78*('Cálculos'!$E$199+(($B$168)-$A137)*'Cálculos'!$E$98)/(('Cálculos'!$E$199+(($B$168)-$A137)*'Cálculos'!$E$98)+1400)+'Cálculos'!$E$122)*'Cálculos'!$E$261+'Cálculos'!$E$125*(1+2.78*('Cálculos'!$E$199+(($B$168)-$A137)*'Cálculos'!$E$98)/(('Cálculos'!$E$199+(($B$168)-$A137)*'Cálculos'!$E$98)+1400)+'Cálculos'!$E$123)*'Cálculos'!$E$266)+('Cálculos'!$E$204*(1+'Cálculos'!$E$205+$A137*('Cálculos'!$E$290=3)*'Cálculos'!$E$103)+'Cálculos'!$E$206)*('Cálculos'!$E$257+'Cálculos'!$E$124*(1+2.78*('Cálculos'!$E$199+(($B$168)-$A137)*'Cálculos'!$E$98)/(('Cálculos'!$E$199+(($B$168)-$A137)*'Cálculos'!$E$98)+1400)+'Cálculos'!$E$122)*'Cálculos'!$E$262+'Cálculos'!$E$125*(1+2.78*('Cálculos'!$E$199+(($B$168)-$A137)*'Cálculos'!$E$98)/(('Cálculos'!$E$199+(($B$168)-$A137)*'Cálculos'!$E$98)+1400)+'Cálculos'!$E$123)*'Cálculos'!$E$267)+('Cálculos'!$E$258+'Cálculos'!$E$124*(1+2.78*('Cálculos'!$E$199+(($B$168)-$A137)*'Cálculos'!$E$98)/(('Cálculos'!$E$199+(($B$168)-$A137)*'Cálculos'!$E$98)+1400)+'Cálculos'!$E$122)*'Cálculos'!$E$263+'Cálculos'!$E$125*(1+2.78*('Cálculos'!$E$199+(($B$168)-$A137)*'Cálculos'!$E$98)/(('Cálculos'!$E$199+(($B$168)-$A137)*'Cálculos'!$E$98)+1400)+'Cálculos'!$E$123)*'Cálculos'!$E$268)+('Cálculos'!$E$185*(1+'Cálculos'!$E$190+$A137*('Cálculos'!$E$290=1)*'Cálculos'!$E$97+'Cálculos'!$E$305)+'Cálculos'!$E$195)*('Cálculos'!$E$269+'Cálculos'!$E$124*(1+2.78*('Cálculos'!$E$200+(($B$168)-$A137)*'Cálculos'!$E$98)/(('Cálculos'!$E$200+(($B$168)-$A137)*'Cálculos'!$E$98)+1400)+'Cálculos'!$E$122)*'Cálculos'!$E$274+'Cálculos'!$E$125*(1+2.78*('Cálculos'!$E$200+(($B$168)-$A137)*'Cálculos'!$E$98)/(('Cálculos'!$E$200+(($B$168)-$A137)*'Cálculos'!$E$98)+1400)+'Cálculos'!$E$123)*'Cálculos'!$E$279)+('Cálculos'!$E$200+(($B$168)-$A137)*'Cálculos'!$E$98)*('Cálculos'!$E$270+'Cálculos'!$E$124*(1+2.78*('Cálculos'!$E$200+(($B$168)-$A137)*'Cálculos'!$E$98)/(('Cálculos'!$E$200+(($B$168)-$A137)*'Cálculos'!$E$98)+1400)+'Cálculos'!$E$122)*'Cálculos'!$E$275+'Cálculos'!$E$125*(1+2.78*('Cálculos'!$E$200+(($B$168)-$A137)*'Cálculos'!$E$98)/(('Cálculos'!$E$200+(($B$168)-$A137)*'Cálculos'!$E$98)+1400)+'Cálculos'!$E$123)*'Cálculos'!$E$280)+('Cálculos'!$E$201*(1+'Cálculos'!$E$202+$A137*('Cálculos'!$E$290=2)*'Cálculos'!$E$101)+'Cálculos'!$E$203)*('Cálculos'!$E$271+'Cálculos'!$E$124*(1+2.78*('Cálculos'!$E$200+(($B$168)-$A137)*'Cálculos'!$E$98)/(('Cálculos'!$E$200+(($B$168)-$A137)*'Cálculos'!$E$98)+1400)+'Cálculos'!$E$122)*'Cálculos'!$E$276+'Cálculos'!$E$125*(1+2.78*('Cálculos'!$E$200+(($B$168)-$A137)*'Cálculos'!$E$98)/(('Cálculos'!$E$200+(($B$168)-$A137)*'Cálculos'!$E$98)+1400)+'Cálculos'!$E$123)*'Cálculos'!$E$281)+('Cálculos'!$E$204*(1+'Cálculos'!$E$205+$A137*('Cálculos'!$E$290=3)*'Cálculos'!$E$103)+'Cálculos'!$E$206)*('Cálculos'!$E$272+'Cálculos'!$E$124*(1+2.78*('Cálculos'!$E$200+(($B$168)-$A137)*'Cálculos'!$E$98)/(('Cálculos'!$E$200+(($B$168)-$A137)*'Cálculos'!$E$98)+1400)+'Cálculos'!$E$122)*'Cálculos'!$E$277+'Cálculos'!$E$125*(1+2.78*('Cálculos'!$E$200+(($B$168)-$A137)*'Cálculos'!$E$98)/(('Cálculos'!$E$200+(($B$168)-$A137)*'Cálculos'!$E$98)+1400)+'Cálculos'!$E$123)*'Cálculos'!$E$282)+('Cálculos'!$E$273+'Cálculos'!$E$124*(1+2.78*('Cálculos'!$E$200+(($B$168)-$A137)*'Cálculos'!$E$98)/(('Cálculos'!$E$200+(($B$168)-$A137)*'Cálculos'!$E$98)+1400)+'Cálculos'!$E$122)*'Cálculos'!$E$278+'Cálculos'!$E$125*(1+2.78*('Cálculos'!$E$200+(($B$168)-$A137)*'Cálculos'!$E$98)/(('Cálculos'!$E$200+(($B$168)-$A137)*'Cálculos'!$E$98)+1400)+'Cálculos'!$E$123)*'Cálculos'!$E$283)))</f>
        <v>0</v>
      </c>
    </row>
    <row r="138" ht="15.75" customHeight="1">
      <c r="A138" s="2">
        <v>18.0</v>
      </c>
      <c r="B138" s="30">
        <f>SUMPRODUCT(MAX(($A$120:$A$165&lt;=$A138)*($A$120:$A$165&lt;='Cálculos'!$E$294)*(($A138)-$A$120:$A$165&lt;='Cálculos'!$E$295)*(1+(('Cálculos'!$E$207+$A$120:$A$165*'Cálculos'!$E$95)-(('Cálculos'!$E$207+$A$120:$A$165*'Cálculos'!$E$95)&gt;1)*(('Cálculos'!$E$207+$A$120:$A$165*'Cálculos'!$E$95)-1))*('Cálculos'!$E$208+(($A138)-$A$120:$A$165)*'Cálculos'!$E$96))))</f>
        <v>1.893564</v>
      </c>
      <c r="C138" s="2">
        <f>'Cálculos'!$E$303-$A138</f>
        <v>-5</v>
      </c>
      <c r="D138" s="31">
        <f>IF($C138&lt;0,0,SUMPRODUCT(MAX(($A$120:$A$165&lt;=$C138)*($A$120:$A$165&lt;='Cálculos'!$E$301)*(($C138)-$A$120:$A$165&lt;='Cálculos'!$E$297)*(('Cálculos'!$E$185*(1+'Cálculos'!$E$186+$A$120:$A$165*('Cálculos'!$E$290=1)*'Cálculos'!$E$97+'Cálculos'!$E$305)+'Cálculos'!$E$191)*('Cálculos'!$E$209+'Cálculos'!$E$124*(1+2.78*('Cálculos'!$E$196+(($C138)-$A$120:$A$165)*'Cálculos'!$E$98)/(('Cálculos'!$E$196+(($C138)-$A$120:$A$165)*'Cálculos'!$E$98)+1400)+'Cálculos'!$E$122)*'Cálculos'!$E$214+'Cálculos'!$E$125*(1+2.78*('Cálculos'!$E$196+(($C138)-$A$120:$A$165)*'Cálculos'!$E$98)/(('Cálculos'!$E$196+(($C138)-$A$120:$A$165)*'Cálculos'!$E$98)+1400)+'Cálculos'!$E$123)*'Cálculos'!$E$219)+('Cálculos'!$E$196+(($C138)-$A$120:$A$165)*'Cálculos'!$E$98)*('Cálculos'!$E$210+'Cálculos'!$E$124*(1+2.78*('Cálculos'!$E$196+(($C138)-$A$120:$A$165)*'Cálculos'!$E$98)/(('Cálculos'!$E$196+(($C138)-$A$120:$A$165)*'Cálculos'!$E$98)+1400)+'Cálculos'!$E$122)*'Cálculos'!$E$215+'Cálculos'!$E$125*(1+2.78*('Cálculos'!$E$196+(($C138)-$A$120:$A$165)*'Cálculos'!$E$98)/(('Cálculos'!$E$196+(($C138)-$A$120:$A$165)*'Cálculos'!$E$98)+1400)+'Cálculos'!$E$123)*'Cálculos'!$E$220)+('Cálculos'!$E$201*(1+'Cálculos'!$E$202+$A$120:$A$165*('Cálculos'!$E$290=2)*'Cálculos'!$E$101)+'Cálculos'!$E$203)*('Cálculos'!$E$211+'Cálculos'!$E$124*(1+2.78*('Cálculos'!$E$196+(($C138)-$A$120:$A$165)*'Cálculos'!$E$98)/(('Cálculos'!$E$196+(($C138)-$A$120:$A$165)*'Cálculos'!$E$98)+1400)+'Cálculos'!$E$122)*'Cálculos'!$E$216+'Cálculos'!$E$125*(1+2.78*('Cálculos'!$E$196+(($C138)-$A$120:$A$165)*'Cálculos'!$E$98)/(('Cálculos'!$E$196+(($C138)-$A$120:$A$165)*'Cálculos'!$E$98)+1400)+'Cálculos'!$E$123)*'Cálculos'!$E$221)+('Cálculos'!$E$204*(1+'Cálculos'!$E$205+$A$120:$A$165*('Cálculos'!$E$290=3)*'Cálculos'!$E$103)+'Cálculos'!$E$206)*('Cálculos'!$E$212+'Cálculos'!$E$124*(1+2.78*('Cálculos'!$E$196+(($C138)-$A$120:$A$165)*'Cálculos'!$E$98)/(('Cálculos'!$E$196+(($C138)-$A$120:$A$165)*'Cálculos'!$E$98)+1400)+'Cálculos'!$E$122)*'Cálculos'!$E$217+'Cálculos'!$E$125*(1+2.78*('Cálculos'!$E$196+(($C138)-$A$120:$A$165)*'Cálculos'!$E$98)/(('Cálculos'!$E$196+(($C138)-$A$120:$A$165)*'Cálculos'!$E$98)+1400)+'Cálculos'!$E$123)*'Cálculos'!$E$222)+('Cálculos'!$E$213+'Cálculos'!$E$124*(1+2.78*('Cálculos'!$E$196+(($C138)-$A$120:$A$165)*'Cálculos'!$E$98)/(('Cálculos'!$E$196+(($C138)-$A$120:$A$165)*'Cálculos'!$E$98)+1400)+'Cálculos'!$E$122)*'Cálculos'!$E$218+'Cálculos'!$E$125*(1+2.78*('Cálculos'!$E$196+(($C138)-$A$120:$A$165)*'Cálculos'!$E$98)/(('Cálculos'!$E$196+(($C138)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138)-$A$120:$A$165)*'Cálculos'!$E$98)/(('Cálculos'!$E$197+(($C138)-$A$120:$A$165)*'Cálculos'!$E$98)+1400)+'Cálculos'!$E$122)*'Cálculos'!$E$229+'Cálculos'!$E$125*(1+2.78*('Cálculos'!$E$197+(($C138)-$A$120:$A$165)*'Cálculos'!$E$98)/(('Cálculos'!$E$197+(($C138)-$A$120:$A$165)*'Cálculos'!$E$98)+1400)+'Cálculos'!$E$123)*'Cálculos'!$E$234)+('Cálculos'!$E$197+(($C138)-$A$120:$A$165)*'Cálculos'!$E$98)*('Cálculos'!$E$225+'Cálculos'!$E$124*(1+2.78*('Cálculos'!$E$197+(($C138)-$A$120:$A$165)*'Cálculos'!$E$98)/(('Cálculos'!$E$197+(($C138)-$A$120:$A$165)*'Cálculos'!$E$98)+1400)+'Cálculos'!$E$122)*'Cálculos'!$E$230+'Cálculos'!$E$125*(1+2.78*('Cálculos'!$E$197+(($C138)-$A$120:$A$165)*'Cálculos'!$E$98)/(('Cálculos'!$E$197+(($C138)-$A$120:$A$165)*'Cálculos'!$E$98)+1400)+'Cálculos'!$E$123)*'Cálculos'!$E$235)+('Cálculos'!$E$201*(1+'Cálculos'!$E$202+$A$120:$A$165*('Cálculos'!$E$290=2)*'Cálculos'!$E$101)+'Cálculos'!$E$203)*('Cálculos'!$E$226+'Cálculos'!$E$124*(1+2.78*('Cálculos'!$E$197+(($C138)-$A$120:$A$165)*'Cálculos'!$E$98)/(('Cálculos'!$E$197+(($C138)-$A$120:$A$165)*'Cálculos'!$E$98)+1400)+'Cálculos'!$E$122)*'Cálculos'!$E$231+'Cálculos'!$E$125*(1+2.78*('Cálculos'!$E$197+(($C138)-$A$120:$A$165)*'Cálculos'!$E$98)/(('Cálculos'!$E$197+(($C138)-$A$120:$A$165)*'Cálculos'!$E$98)+1400)+'Cálculos'!$E$123)*'Cálculos'!$E$236)+('Cálculos'!$E$204*(1+'Cálculos'!$E$205+$A$120:$A$165*('Cálculos'!$E$290=3)*'Cálculos'!$E$103)+'Cálculos'!$E$206)*('Cálculos'!$E$227+'Cálculos'!$E$124*(1+2.78*('Cálculos'!$E$197+(($C138)-$A$120:$A$165)*'Cálculos'!$E$98)/(('Cálculos'!$E$197+(($C138)-$A$120:$A$165)*'Cálculos'!$E$98)+1400)+'Cálculos'!$E$122)*'Cálculos'!$E$232+'Cálculos'!$E$125*(1+2.78*('Cálculos'!$E$197+(($C138)-$A$120:$A$165)*'Cálculos'!$E$98)/(('Cálculos'!$E$197+(($C138)-$A$120:$A$165)*'Cálculos'!$E$98)+1400)+'Cálculos'!$E$123)*'Cálculos'!$E$237)+('Cálculos'!$E$228+'Cálculos'!$E$124*(1+2.78*('Cálculos'!$E$197+(($C138)-$A$120:$A$165)*'Cálculos'!$E$98)/(('Cálculos'!$E$197+(($C138)-$A$120:$A$165)*'Cálculos'!$E$98)+1400)+'Cálculos'!$E$122)*'Cálculos'!$E$233+'Cálculos'!$E$125*(1+2.78*('Cálculos'!$E$197+(($C138)-$A$120:$A$165)*'Cálculos'!$E$98)/(('Cálculos'!$E$197+(($C138)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138)-$A$120:$A$165)*'Cálculos'!$E$98)/(('Cálculos'!$E$198+(($C138)-$A$120:$A$165)*'Cálculos'!$E$98)+1400)+'Cálculos'!$E$122)*'Cálculos'!$E$244+'Cálculos'!$E$125*(1+2.78*('Cálculos'!$E$198+(($C138)-$A$120:$A$165)*'Cálculos'!$E$98)/(('Cálculos'!$E$198+(($C138)-$A$120:$A$165)*'Cálculos'!$E$98)+1400)+'Cálculos'!$E$123)*'Cálculos'!$E$249)+('Cálculos'!$E$198+(($C138)-$A$120:$A$165)*'Cálculos'!$E$98)*('Cálculos'!$E$240+'Cálculos'!$E$124*(1+2.78*('Cálculos'!$E$198+(($C138)-$A$120:$A$165)*'Cálculos'!$E$98)/(('Cálculos'!$E$198+(($C138)-$A$120:$A$165)*'Cálculos'!$E$98)+1400)+'Cálculos'!$E$122)*'Cálculos'!$E$245+'Cálculos'!$E$125*(1+2.78*('Cálculos'!$E$198+(($C138)-$A$120:$A$165)*'Cálculos'!$E$98)/(('Cálculos'!$E$198+(($C138)-$A$120:$A$165)*'Cálculos'!$E$98)+1400)+'Cálculos'!$E$123)*'Cálculos'!$E$250)+('Cálculos'!$E$201*(1+'Cálculos'!$E$202+$A$120:$A$165*('Cálculos'!$E$290=2)*'Cálculos'!$E$101)+'Cálculos'!$E$203)*('Cálculos'!$E$241+'Cálculos'!$E$124*(1+2.78*('Cálculos'!$E$198+(($C138)-$A$120:$A$165)*'Cálculos'!$E$98)/(('Cálculos'!$E$198+(($C138)-$A$120:$A$165)*'Cálculos'!$E$98)+1400)+'Cálculos'!$E$122)*'Cálculos'!$E$246+'Cálculos'!$E$125*(1+2.78*('Cálculos'!$E$198+(($C138)-$A$120:$A$165)*'Cálculos'!$E$98)/(('Cálculos'!$E$198+(($C138)-$A$120:$A$165)*'Cálculos'!$E$98)+1400)+'Cálculos'!$E$123)*'Cálculos'!$E$251)+('Cálculos'!$E$204*(1+'Cálculos'!$E$205+$A$120:$A$165*('Cálculos'!$E$290=3)*'Cálculos'!$E$103)+'Cálculos'!$E$206)*('Cálculos'!$E$242+'Cálculos'!$E$124*(1+2.78*('Cálculos'!$E$198+(($C138)-$A$120:$A$165)*'Cálculos'!$E$98)/(('Cálculos'!$E$198+(($C138)-$A$120:$A$165)*'Cálculos'!$E$98)+1400)+'Cálculos'!$E$122)*'Cálculos'!$E$247+'Cálculos'!$E$125*(1+2.78*('Cálculos'!$E$198+(($C138)-$A$120:$A$165)*'Cálculos'!$E$98)/(('Cálculos'!$E$198+(($C138)-$A$120:$A$165)*'Cálculos'!$E$98)+1400)+'Cálculos'!$E$123)*'Cálculos'!$E$252)+('Cálculos'!$E$243+'Cálculos'!$E$124*(1+2.78*('Cálculos'!$E$198+(($C138)-$A$120:$A$165)*'Cálculos'!$E$98)/(('Cálculos'!$E$198+(($C138)-$A$120:$A$165)*'Cálculos'!$E$98)+1400)+'Cálculos'!$E$122)*'Cálculos'!$E$248+'Cálculos'!$E$125*(1+2.78*('Cálculos'!$E$198+(($C138)-$A$120:$A$165)*'Cálculos'!$E$98)/(('Cálculos'!$E$198+(($C138)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138)-$A$120:$A$165)*'Cálculos'!$E$98)/(('Cálculos'!$E$199+(($C138)-$A$120:$A$165)*'Cálculos'!$E$98)+1400)+'Cálculos'!$E$122)*'Cálculos'!$E$259+'Cálculos'!$E$125*(1+2.78*('Cálculos'!$E$199+(($C138)-$A$120:$A$165)*'Cálculos'!$E$98)/(('Cálculos'!$E$199+(($C138)-$A$120:$A$165)*'Cálculos'!$E$98)+1400)+'Cálculos'!$E$123)*'Cálculos'!$E$264)+('Cálculos'!$E$199+(($C138)-$A$120:$A$165)*'Cálculos'!$E$98)*('Cálculos'!$E$255+'Cálculos'!$E$124*(1+2.78*('Cálculos'!$E$199+(($C138)-$A$120:$A$165)*'Cálculos'!$E$98)/(('Cálculos'!$E$199+(($C138)-$A$120:$A$165)*'Cálculos'!$E$98)+1400)+'Cálculos'!$E$122)*'Cálculos'!$E$260+'Cálculos'!$E$125*(1+2.78*('Cálculos'!$E$199+(($C138)-$A$120:$A$165)*'Cálculos'!$E$98)/(('Cálculos'!$E$199+(($C138)-$A$120:$A$165)*'Cálculos'!$E$98)+1400)+'Cálculos'!$E$123)*'Cálculos'!$E$265)+('Cálculos'!$E$201*(1+'Cálculos'!$E$202+$A$120:$A$165*('Cálculos'!$E$290=2)*'Cálculos'!$E$101)+'Cálculos'!$E$203)*('Cálculos'!$E$256+'Cálculos'!$E$124*(1+2.78*('Cálculos'!$E$199+(($C138)-$A$120:$A$165)*'Cálculos'!$E$98)/(('Cálculos'!$E$199+(($C138)-$A$120:$A$165)*'Cálculos'!$E$98)+1400)+'Cálculos'!$E$122)*'Cálculos'!$E$261+'Cálculos'!$E$125*(1+2.78*('Cálculos'!$E$199+(($C138)-$A$120:$A$165)*'Cálculos'!$E$98)/(('Cálculos'!$E$199+(($C138)-$A$120:$A$165)*'Cálculos'!$E$98)+1400)+'Cálculos'!$E$123)*'Cálculos'!$E$266)+('Cálculos'!$E$204*(1+'Cálculos'!$E$205+$A$120:$A$165*('Cálculos'!$E$290=3)*'Cálculos'!$E$103)+'Cálculos'!$E$206)*('Cálculos'!$E$257+'Cálculos'!$E$124*(1+2.78*('Cálculos'!$E$199+(($C138)-$A$120:$A$165)*'Cálculos'!$E$98)/(('Cálculos'!$E$199+(($C138)-$A$120:$A$165)*'Cálculos'!$E$98)+1400)+'Cálculos'!$E$122)*'Cálculos'!$E$262+'Cálculos'!$E$125*(1+2.78*('Cálculos'!$E$199+(($C138)-$A$120:$A$165)*'Cálculos'!$E$98)/(('Cálculos'!$E$199+(($C138)-$A$120:$A$165)*'Cálculos'!$E$98)+1400)+'Cálculos'!$E$123)*'Cálculos'!$E$267)+('Cálculos'!$E$258+'Cálculos'!$E$124*(1+2.78*('Cálculos'!$E$199+(($C138)-$A$120:$A$165)*'Cálculos'!$E$98)/(('Cálculos'!$E$199+(($C138)-$A$120:$A$165)*'Cálculos'!$E$98)+1400)+'Cálculos'!$E$122)*'Cálculos'!$E$263+'Cálculos'!$E$125*(1+2.78*('Cálculos'!$E$199+(($C138)-$A$120:$A$165)*'Cálculos'!$E$98)/(('Cálculos'!$E$199+(($C138)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138)-$A$120:$A$165)*'Cálculos'!$E$98)/(('Cálculos'!$E$200+(($C138)-$A$120:$A$165)*'Cálculos'!$E$98)+1400)+'Cálculos'!$E$122)*'Cálculos'!$E$274+'Cálculos'!$E$125*(1+2.78*('Cálculos'!$E$200+(($C138)-$A$120:$A$165)*'Cálculos'!$E$98)/(('Cálculos'!$E$200+(($C138)-$A$120:$A$165)*'Cálculos'!$E$98)+1400)+'Cálculos'!$E$123)*'Cálculos'!$E$279)+('Cálculos'!$E$200+(($C138)-$A$120:$A$165)*'Cálculos'!$E$98)*('Cálculos'!$E$270+'Cálculos'!$E$124*(1+2.78*('Cálculos'!$E$200+(($C138)-$A$120:$A$165)*'Cálculos'!$E$98)/(('Cálculos'!$E$200+(($C138)-$A$120:$A$165)*'Cálculos'!$E$98)+1400)+'Cálculos'!$E$122)*'Cálculos'!$E$275+'Cálculos'!$E$125*(1+2.78*('Cálculos'!$E$200+(($C138)-$A$120:$A$165)*'Cálculos'!$E$98)/(('Cálculos'!$E$200+(($C138)-$A$120:$A$165)*'Cálculos'!$E$98)+1400)+'Cálculos'!$E$123)*'Cálculos'!$E$280)+('Cálculos'!$E$201*(1+'Cálculos'!$E$202+$A$120:$A$165*('Cálculos'!$E$290=2)*'Cálculos'!$E$101)+'Cálculos'!$E$203)*('Cálculos'!$E$271+'Cálculos'!$E$124*(1+2.78*('Cálculos'!$E$200+(($C138)-$A$120:$A$165)*'Cálculos'!$E$98)/(('Cálculos'!$E$200+(($C138)-$A$120:$A$165)*'Cálculos'!$E$98)+1400)+'Cálculos'!$E$122)*'Cálculos'!$E$276+'Cálculos'!$E$125*(1+2.78*('Cálculos'!$E$200+(($C138)-$A$120:$A$165)*'Cálculos'!$E$98)/(('Cálculos'!$E$200+(($C138)-$A$120:$A$165)*'Cálculos'!$E$98)+1400)+'Cálculos'!$E$123)*'Cálculos'!$E$281)+('Cálculos'!$E$204*(1+'Cálculos'!$E$205+$A$120:$A$165*('Cálculos'!$E$290=3)*'Cálculos'!$E$103)+'Cálculos'!$E$206)*('Cálculos'!$E$272+'Cálculos'!$E$124*(1+2.78*('Cálculos'!$E$200+(($C138)-$A$120:$A$165)*'Cálculos'!$E$98)/(('Cálculos'!$E$200+(($C138)-$A$120:$A$165)*'Cálculos'!$E$98)+1400)+'Cálculos'!$E$122)*'Cálculos'!$E$277+'Cálculos'!$E$125*(1+2.78*('Cálculos'!$E$200+(($C138)-$A$120:$A$165)*'Cálculos'!$E$98)/(('Cálculos'!$E$200+(($C138)-$A$120:$A$165)*'Cálculos'!$E$98)+1400)+'Cálculos'!$E$123)*'Cálculos'!$E$282)+('Cálculos'!$E$273+'Cálculos'!$E$124*(1+2.78*('Cálculos'!$E$200+(($C138)-$A$120:$A$165)*'Cálculos'!$E$98)/(('Cálculos'!$E$200+(($C138)-$A$120:$A$165)*'Cálculos'!$E$98)+1400)+'Cálculos'!$E$122)*'Cálculos'!$E$278+'Cálculos'!$E$125*(1+2.78*('Cálculos'!$E$200+(($C138)-$A$120:$A$165)*'Cálculos'!$E$98)/(('Cálculos'!$E$200+(($C138)-$A$120:$A$165)*'Cálculos'!$E$98)+1400)+'Cálculos'!$E$123)*'Cálculos'!$E$283)))))</f>
        <v>0</v>
      </c>
      <c r="E138" s="32">
        <f>IF(OR($C138&lt;0,'Cálculos'!$E$6=""),0,$B138*$D138)</f>
        <v>0</v>
      </c>
      <c r="F138" s="2"/>
      <c r="G138" s="30">
        <f>($A138&lt;=$B$167)*($A138&lt;='Cálculos'!$E$294)*(($B$167)-$A138&lt;='Cálculos'!$E$295)*(1+MIN(('Cálculos'!$E$207+$A138*'Cálculos'!$E$95),1)*('Cálculos'!$E$208+(($B$167)-$A138)*'Cálculos'!$E$96))</f>
        <v>0</v>
      </c>
      <c r="H138" s="31">
        <f>IF($B$168&lt;0,0,($A138&lt;=$B$168)*($A138&lt;='Cálculos'!$E$301)*(($B$168)-$A138&lt;='Cálculos'!$E$297)*(('Cálculos'!$E$185*(1+'Cálculos'!$E$186+$A138*('Cálculos'!$E$290=1)*'Cálculos'!$E$97+'Cálculos'!$E$305)+'Cálculos'!$E$191)*('Cálculos'!$E$209+'Cálculos'!$E$124*(1+2.78*('Cálculos'!$E$196+(($B$168)-$A138)*'Cálculos'!$E$98)/(('Cálculos'!$E$196+(($B$168)-$A138)*'Cálculos'!$E$98)+1400)+'Cálculos'!$E$122)*'Cálculos'!$E$214+'Cálculos'!$E$125*(1+2.78*('Cálculos'!$E$196+(($B$168)-$A138)*'Cálculos'!$E$98)/(('Cálculos'!$E$196+(($B$168)-$A138)*'Cálculos'!$E$98)+1400)+'Cálculos'!$E$123)*'Cálculos'!$E$219)+('Cálculos'!$E$196+(($B$168)-$A138)*'Cálculos'!$E$98)*('Cálculos'!$E$210+'Cálculos'!$E$124*(1+2.78*('Cálculos'!$E$196+(($B$168)-$A138)*'Cálculos'!$E$98)/(('Cálculos'!$E$196+(($B$168)-$A138)*'Cálculos'!$E$98)+1400)+'Cálculos'!$E$122)*'Cálculos'!$E$215+'Cálculos'!$E$125*(1+2.78*('Cálculos'!$E$196+(($B$168)-$A138)*'Cálculos'!$E$98)/(('Cálculos'!$E$196+(($B$168)-$A138)*'Cálculos'!$E$98)+1400)+'Cálculos'!$E$123)*'Cálculos'!$E$220)+('Cálculos'!$E$201*(1+'Cálculos'!$E$202+$A138*('Cálculos'!$E$290=2)*'Cálculos'!$E$101)+'Cálculos'!$E$203)*('Cálculos'!$E$211+'Cálculos'!$E$124*(1+2.78*('Cálculos'!$E$196+(($B$168)-$A138)*'Cálculos'!$E$98)/(('Cálculos'!$E$196+(($B$168)-$A138)*'Cálculos'!$E$98)+1400)+'Cálculos'!$E$122)*'Cálculos'!$E$216+'Cálculos'!$E$125*(1+2.78*('Cálculos'!$E$196+(($B$168)-$A138)*'Cálculos'!$E$98)/(('Cálculos'!$E$196+(($B$168)-$A138)*'Cálculos'!$E$98)+1400)+'Cálculos'!$E$123)*'Cálculos'!$E$221)+('Cálculos'!$E$204*(1+'Cálculos'!$E$205+$A138*('Cálculos'!$E$290=3)*'Cálculos'!$E$103)+'Cálculos'!$E$206)*('Cálculos'!$E$212+'Cálculos'!$E$124*(1+2.78*('Cálculos'!$E$196+(($B$168)-$A138)*'Cálculos'!$E$98)/(('Cálculos'!$E$196+(($B$168)-$A138)*'Cálculos'!$E$98)+1400)+'Cálculos'!$E$122)*'Cálculos'!$E$217+'Cálculos'!$E$125*(1+2.78*('Cálculos'!$E$196+(($B$168)-$A138)*'Cálculos'!$E$98)/(('Cálculos'!$E$196+(($B$168)-$A138)*'Cálculos'!$E$98)+1400)+'Cálculos'!$E$123)*'Cálculos'!$E$222)+('Cálculos'!$E$213+'Cálculos'!$E$124*(1+2.78*('Cálculos'!$E$196+(($B$168)-$A138)*'Cálculos'!$E$98)/(('Cálculos'!$E$196+(($B$168)-$A138)*'Cálculos'!$E$98)+1400)+'Cálculos'!$E$122)*'Cálculos'!$E$218+'Cálculos'!$E$125*(1+2.78*('Cálculos'!$E$196+(($B$168)-$A138)*'Cálculos'!$E$98)/(('Cálculos'!$E$196+(($B$168)-$A138)*'Cálculos'!$E$98)+1400)+'Cálculos'!$E$123)*'Cálculos'!$E$223)+('Cálculos'!$E$185*(1+'Cálculos'!$E$187+$A138*('Cálculos'!$E$290=1)*'Cálculos'!$E$97+'Cálculos'!$E$305)+'Cálculos'!$E$192)*('Cálculos'!$E$224+'Cálculos'!$E$124*(1+2.78*('Cálculos'!$E$197+(($B$168)-$A138)*'Cálculos'!$E$98)/(('Cálculos'!$E$197+(($B$168)-$A138)*'Cálculos'!$E$98)+1400)+'Cálculos'!$E$122)*'Cálculos'!$E$229+'Cálculos'!$E$125*(1+2.78*('Cálculos'!$E$197+(($B$168)-$A138)*'Cálculos'!$E$98)/(('Cálculos'!$E$197+(($B$168)-$A138)*'Cálculos'!$E$98)+1400)+'Cálculos'!$E$123)*'Cálculos'!$E$234)+('Cálculos'!$E$197+(($B$168)-$A138)*'Cálculos'!$E$98)*('Cálculos'!$E$225+'Cálculos'!$E$124*(1+2.78*('Cálculos'!$E$197+(($B$168)-$A138)*'Cálculos'!$E$98)/(('Cálculos'!$E$197+(($B$168)-$A138)*'Cálculos'!$E$98)+1400)+'Cálculos'!$E$122)*'Cálculos'!$E$230+'Cálculos'!$E$125*(1+2.78*('Cálculos'!$E$197+(($B$168)-$A138)*'Cálculos'!$E$98)/(('Cálculos'!$E$197+(($B$168)-$A138)*'Cálculos'!$E$98)+1400)+'Cálculos'!$E$123)*'Cálculos'!$E$235)+('Cálculos'!$E$201*(1+'Cálculos'!$E$202+$A138*('Cálculos'!$E$290=2)*'Cálculos'!$E$101)+'Cálculos'!$E$203)*('Cálculos'!$E$226+'Cálculos'!$E$124*(1+2.78*('Cálculos'!$E$197+(($B$168)-$A138)*'Cálculos'!$E$98)/(('Cálculos'!$E$197+(($B$168)-$A138)*'Cálculos'!$E$98)+1400)+'Cálculos'!$E$122)*'Cálculos'!$E$231+'Cálculos'!$E$125*(1+2.78*('Cálculos'!$E$197+(($B$168)-$A138)*'Cálculos'!$E$98)/(('Cálculos'!$E$197+(($B$168)-$A138)*'Cálculos'!$E$98)+1400)+'Cálculos'!$E$123)*'Cálculos'!$E$236)+('Cálculos'!$E$204*(1+'Cálculos'!$E$205+$A138*('Cálculos'!$E$290=3)*'Cálculos'!$E$103)+'Cálculos'!$E$206)*('Cálculos'!$E$227+'Cálculos'!$E$124*(1+2.78*('Cálculos'!$E$197+(($B$168)-$A138)*'Cálculos'!$E$98)/(('Cálculos'!$E$197+(($B$168)-$A138)*'Cálculos'!$E$98)+1400)+'Cálculos'!$E$122)*'Cálculos'!$E$232+'Cálculos'!$E$125*(1+2.78*('Cálculos'!$E$197+(($B$168)-$A138)*'Cálculos'!$E$98)/(('Cálculos'!$E$197+(($B$168)-$A138)*'Cálculos'!$E$98)+1400)+'Cálculos'!$E$123)*'Cálculos'!$E$237)+('Cálculos'!$E$228+'Cálculos'!$E$124*(1+2.78*('Cálculos'!$E$197+(($B$168)-$A138)*'Cálculos'!$E$98)/(('Cálculos'!$E$197+(($B$168)-$A138)*'Cálculos'!$E$98)+1400)+'Cálculos'!$E$122)*'Cálculos'!$E$233+'Cálculos'!$E$125*(1+2.78*('Cálculos'!$E$197+(($B$168)-$A138)*'Cálculos'!$E$98)/(('Cálculos'!$E$197+(($B$168)-$A138)*'Cálculos'!$E$98)+1400)+'Cálculos'!$E$123)*'Cálculos'!$E$238)+('Cálculos'!$E$185*(1+'Cálculos'!$E$188+$A138*('Cálculos'!$E$290=1)*'Cálculos'!$E$97+'Cálculos'!$E$305)+'Cálculos'!$E$193)*('Cálculos'!$E$239+'Cálculos'!$E$124*(1+2.78*('Cálculos'!$E$198+(($B$168)-$A138)*'Cálculos'!$E$98)/(('Cálculos'!$E$198+(($B$168)-$A138)*'Cálculos'!$E$98)+1400)+'Cálculos'!$E$122)*'Cálculos'!$E$244+'Cálculos'!$E$125*(1+2.78*('Cálculos'!$E$198+(($B$168)-$A138)*'Cálculos'!$E$98)/(('Cálculos'!$E$198+(($B$168)-$A138)*'Cálculos'!$E$98)+1400)+'Cálculos'!$E$123)*'Cálculos'!$E$249)+('Cálculos'!$E$198+(($B$168)-$A138)*'Cálculos'!$E$98)*('Cálculos'!$E$240+'Cálculos'!$E$124*(1+2.78*('Cálculos'!$E$198+(($B$168)-$A138)*'Cálculos'!$E$98)/(('Cálculos'!$E$198+(($B$168)-$A138)*'Cálculos'!$E$98)+1400)+'Cálculos'!$E$122)*'Cálculos'!$E$245+'Cálculos'!$E$125*(1+2.78*('Cálculos'!$E$198+(($B$168)-$A138)*'Cálculos'!$E$98)/(('Cálculos'!$E$198+(($B$168)-$A138)*'Cálculos'!$E$98)+1400)+'Cálculos'!$E$123)*'Cálculos'!$E$250)+('Cálculos'!$E$201*(1+'Cálculos'!$E$202+$A138*('Cálculos'!$E$290=2)*'Cálculos'!$E$101)+'Cálculos'!$E$203)*('Cálculos'!$E$241+'Cálculos'!$E$124*(1+2.78*('Cálculos'!$E$198+(($B$168)-$A138)*'Cálculos'!$E$98)/(('Cálculos'!$E$198+(($B$168)-$A138)*'Cálculos'!$E$98)+1400)+'Cálculos'!$E$122)*'Cálculos'!$E$246+'Cálculos'!$E$125*(1+2.78*('Cálculos'!$E$198+(($B$168)-$A138)*'Cálculos'!$E$98)/(('Cálculos'!$E$198+(($B$168)-$A138)*'Cálculos'!$E$98)+1400)+'Cálculos'!$E$123)*'Cálculos'!$E$251)+('Cálculos'!$E$204*(1+'Cálculos'!$E$205+$A138*('Cálculos'!$E$290=3)*'Cálculos'!$E$103)+'Cálculos'!$E$206)*('Cálculos'!$E$242+'Cálculos'!$E$124*(1+2.78*('Cálculos'!$E$198+(($B$168)-$A138)*'Cálculos'!$E$98)/(('Cálculos'!$E$198+(($B$168)-$A138)*'Cálculos'!$E$98)+1400)+'Cálculos'!$E$122)*'Cálculos'!$E$247+'Cálculos'!$E$125*(1+2.78*('Cálculos'!$E$198+(($B$168)-$A138)*'Cálculos'!$E$98)/(('Cálculos'!$E$198+(($B$168)-$A138)*'Cálculos'!$E$98)+1400)+'Cálculos'!$E$123)*'Cálculos'!$E$252)+('Cálculos'!$E$243+'Cálculos'!$E$124*(1+2.78*('Cálculos'!$E$198+(($B$168)-$A138)*'Cálculos'!$E$98)/(('Cálculos'!$E$198+(($B$168)-$A138)*'Cálculos'!$E$98)+1400)+'Cálculos'!$E$122)*'Cálculos'!$E$248+'Cálculos'!$E$125*(1+2.78*('Cálculos'!$E$198+(($B$168)-$A138)*'Cálculos'!$E$98)/(('Cálculos'!$E$198+(($B$168)-$A138)*'Cálculos'!$E$98)+1400)+'Cálculos'!$E$123)*'Cálculos'!$E$253)+('Cálculos'!$E$185*(1+'Cálculos'!$E$189+$A138*('Cálculos'!$E$290=1)*'Cálculos'!$E$97+'Cálculos'!$E$305)+'Cálculos'!$E$194)*('Cálculos'!$E$254+'Cálculos'!$E$124*(1+2.78*('Cálculos'!$E$199+(($B$168)-$A138)*'Cálculos'!$E$98)/(('Cálculos'!$E$199+(($B$168)-$A138)*'Cálculos'!$E$98)+1400)+'Cálculos'!$E$122)*'Cálculos'!$E$259+'Cálculos'!$E$125*(1+2.78*('Cálculos'!$E$199+(($B$168)-$A138)*'Cálculos'!$E$98)/(('Cálculos'!$E$199+(($B$168)-$A138)*'Cálculos'!$E$98)+1400)+'Cálculos'!$E$123)*'Cálculos'!$E$264)+('Cálculos'!$E$199+(($B$168)-$A138)*'Cálculos'!$E$98)*('Cálculos'!$E$255+'Cálculos'!$E$124*(1+2.78*('Cálculos'!$E$199+(($B$168)-$A138)*'Cálculos'!$E$98)/(('Cálculos'!$E$199+(($B$168)-$A138)*'Cálculos'!$E$98)+1400)+'Cálculos'!$E$122)*'Cálculos'!$E$260+'Cálculos'!$E$125*(1+2.78*('Cálculos'!$E$199+(($B$168)-$A138)*'Cálculos'!$E$98)/(('Cálculos'!$E$199+(($B$168)-$A138)*'Cálculos'!$E$98)+1400)+'Cálculos'!$E$123)*'Cálculos'!$E$265)+('Cálculos'!$E$201*(1+'Cálculos'!$E$202+$A138*('Cálculos'!$E$290=2)*'Cálculos'!$E$101)+'Cálculos'!$E$203)*('Cálculos'!$E$256+'Cálculos'!$E$124*(1+2.78*('Cálculos'!$E$199+(($B$168)-$A138)*'Cálculos'!$E$98)/(('Cálculos'!$E$199+(($B$168)-$A138)*'Cálculos'!$E$98)+1400)+'Cálculos'!$E$122)*'Cálculos'!$E$261+'Cálculos'!$E$125*(1+2.78*('Cálculos'!$E$199+(($B$168)-$A138)*'Cálculos'!$E$98)/(('Cálculos'!$E$199+(($B$168)-$A138)*'Cálculos'!$E$98)+1400)+'Cálculos'!$E$123)*'Cálculos'!$E$266)+('Cálculos'!$E$204*(1+'Cálculos'!$E$205+$A138*('Cálculos'!$E$290=3)*'Cálculos'!$E$103)+'Cálculos'!$E$206)*('Cálculos'!$E$257+'Cálculos'!$E$124*(1+2.78*('Cálculos'!$E$199+(($B$168)-$A138)*'Cálculos'!$E$98)/(('Cálculos'!$E$199+(($B$168)-$A138)*'Cálculos'!$E$98)+1400)+'Cálculos'!$E$122)*'Cálculos'!$E$262+'Cálculos'!$E$125*(1+2.78*('Cálculos'!$E$199+(($B$168)-$A138)*'Cálculos'!$E$98)/(('Cálculos'!$E$199+(($B$168)-$A138)*'Cálculos'!$E$98)+1400)+'Cálculos'!$E$123)*'Cálculos'!$E$267)+('Cálculos'!$E$258+'Cálculos'!$E$124*(1+2.78*('Cálculos'!$E$199+(($B$168)-$A138)*'Cálculos'!$E$98)/(('Cálculos'!$E$199+(($B$168)-$A138)*'Cálculos'!$E$98)+1400)+'Cálculos'!$E$122)*'Cálculos'!$E$263+'Cálculos'!$E$125*(1+2.78*('Cálculos'!$E$199+(($B$168)-$A138)*'Cálculos'!$E$98)/(('Cálculos'!$E$199+(($B$168)-$A138)*'Cálculos'!$E$98)+1400)+'Cálculos'!$E$123)*'Cálculos'!$E$268)+('Cálculos'!$E$185*(1+'Cálculos'!$E$190+$A138*('Cálculos'!$E$290=1)*'Cálculos'!$E$97+'Cálculos'!$E$305)+'Cálculos'!$E$195)*('Cálculos'!$E$269+'Cálculos'!$E$124*(1+2.78*('Cálculos'!$E$200+(($B$168)-$A138)*'Cálculos'!$E$98)/(('Cálculos'!$E$200+(($B$168)-$A138)*'Cálculos'!$E$98)+1400)+'Cálculos'!$E$122)*'Cálculos'!$E$274+'Cálculos'!$E$125*(1+2.78*('Cálculos'!$E$200+(($B$168)-$A138)*'Cálculos'!$E$98)/(('Cálculos'!$E$200+(($B$168)-$A138)*'Cálculos'!$E$98)+1400)+'Cálculos'!$E$123)*'Cálculos'!$E$279)+('Cálculos'!$E$200+(($B$168)-$A138)*'Cálculos'!$E$98)*('Cálculos'!$E$270+'Cálculos'!$E$124*(1+2.78*('Cálculos'!$E$200+(($B$168)-$A138)*'Cálculos'!$E$98)/(('Cálculos'!$E$200+(($B$168)-$A138)*'Cálculos'!$E$98)+1400)+'Cálculos'!$E$122)*'Cálculos'!$E$275+'Cálculos'!$E$125*(1+2.78*('Cálculos'!$E$200+(($B$168)-$A138)*'Cálculos'!$E$98)/(('Cálculos'!$E$200+(($B$168)-$A138)*'Cálculos'!$E$98)+1400)+'Cálculos'!$E$123)*'Cálculos'!$E$280)+('Cálculos'!$E$201*(1+'Cálculos'!$E$202+$A138*('Cálculos'!$E$290=2)*'Cálculos'!$E$101)+'Cálculos'!$E$203)*('Cálculos'!$E$271+'Cálculos'!$E$124*(1+2.78*('Cálculos'!$E$200+(($B$168)-$A138)*'Cálculos'!$E$98)/(('Cálculos'!$E$200+(($B$168)-$A138)*'Cálculos'!$E$98)+1400)+'Cálculos'!$E$122)*'Cálculos'!$E$276+'Cálculos'!$E$125*(1+2.78*('Cálculos'!$E$200+(($B$168)-$A138)*'Cálculos'!$E$98)/(('Cálculos'!$E$200+(($B$168)-$A138)*'Cálculos'!$E$98)+1400)+'Cálculos'!$E$123)*'Cálculos'!$E$281)+('Cálculos'!$E$204*(1+'Cálculos'!$E$205+$A138*('Cálculos'!$E$290=3)*'Cálculos'!$E$103)+'Cálculos'!$E$206)*('Cálculos'!$E$272+'Cálculos'!$E$124*(1+2.78*('Cálculos'!$E$200+(($B$168)-$A138)*'Cálculos'!$E$98)/(('Cálculos'!$E$200+(($B$168)-$A138)*'Cálculos'!$E$98)+1400)+'Cálculos'!$E$122)*'Cálculos'!$E$277+'Cálculos'!$E$125*(1+2.78*('Cálculos'!$E$200+(($B$168)-$A138)*'Cálculos'!$E$98)/(('Cálculos'!$E$200+(($B$168)-$A138)*'Cálculos'!$E$98)+1400)+'Cálculos'!$E$123)*'Cálculos'!$E$282)+('Cálculos'!$E$273+'Cálculos'!$E$124*(1+2.78*('Cálculos'!$E$200+(($B$168)-$A138)*'Cálculos'!$E$98)/(('Cálculos'!$E$200+(($B$168)-$A138)*'Cálculos'!$E$98)+1400)+'Cálculos'!$E$122)*'Cálculos'!$E$278+'Cálculos'!$E$125*(1+2.78*('Cálculos'!$E$200+(($B$168)-$A138)*'Cálculos'!$E$98)/(('Cálculos'!$E$200+(($B$168)-$A138)*'Cálculos'!$E$98)+1400)+'Cálculos'!$E$123)*'Cálculos'!$E$283)))</f>
        <v>0</v>
      </c>
    </row>
    <row r="139" ht="15.75" customHeight="1">
      <c r="A139" s="2">
        <v>19.0</v>
      </c>
      <c r="B139" s="30">
        <f>SUMPRODUCT(MAX(($A$120:$A$165&lt;=$A139)*($A$120:$A$165&lt;='Cálculos'!$E$294)*(($A139)-$A$120:$A$165&lt;='Cálculos'!$E$295)*(1+(('Cálculos'!$E$207+$A$120:$A$165*'Cálculos'!$E$95)-(('Cálculos'!$E$207+$A$120:$A$165*'Cálculos'!$E$95)&gt;1)*(('Cálculos'!$E$207+$A$120:$A$165*'Cálculos'!$E$95)-1))*('Cálculos'!$E$208+(($A139)-$A$120:$A$165)*'Cálculos'!$E$96))))</f>
        <v>1.938378</v>
      </c>
      <c r="C139" s="2">
        <f>'Cálculos'!$E$303-$A139</f>
        <v>-6</v>
      </c>
      <c r="D139" s="31">
        <f>IF($C139&lt;0,0,SUMPRODUCT(MAX(($A$120:$A$165&lt;=$C139)*($A$120:$A$165&lt;='Cálculos'!$E$301)*(($C139)-$A$120:$A$165&lt;='Cálculos'!$E$297)*(('Cálculos'!$E$185*(1+'Cálculos'!$E$186+$A$120:$A$165*('Cálculos'!$E$290=1)*'Cálculos'!$E$97+'Cálculos'!$E$305)+'Cálculos'!$E$191)*('Cálculos'!$E$209+'Cálculos'!$E$124*(1+2.78*('Cálculos'!$E$196+(($C139)-$A$120:$A$165)*'Cálculos'!$E$98)/(('Cálculos'!$E$196+(($C139)-$A$120:$A$165)*'Cálculos'!$E$98)+1400)+'Cálculos'!$E$122)*'Cálculos'!$E$214+'Cálculos'!$E$125*(1+2.78*('Cálculos'!$E$196+(($C139)-$A$120:$A$165)*'Cálculos'!$E$98)/(('Cálculos'!$E$196+(($C139)-$A$120:$A$165)*'Cálculos'!$E$98)+1400)+'Cálculos'!$E$123)*'Cálculos'!$E$219)+('Cálculos'!$E$196+(($C139)-$A$120:$A$165)*'Cálculos'!$E$98)*('Cálculos'!$E$210+'Cálculos'!$E$124*(1+2.78*('Cálculos'!$E$196+(($C139)-$A$120:$A$165)*'Cálculos'!$E$98)/(('Cálculos'!$E$196+(($C139)-$A$120:$A$165)*'Cálculos'!$E$98)+1400)+'Cálculos'!$E$122)*'Cálculos'!$E$215+'Cálculos'!$E$125*(1+2.78*('Cálculos'!$E$196+(($C139)-$A$120:$A$165)*'Cálculos'!$E$98)/(('Cálculos'!$E$196+(($C139)-$A$120:$A$165)*'Cálculos'!$E$98)+1400)+'Cálculos'!$E$123)*'Cálculos'!$E$220)+('Cálculos'!$E$201*(1+'Cálculos'!$E$202+$A$120:$A$165*('Cálculos'!$E$290=2)*'Cálculos'!$E$101)+'Cálculos'!$E$203)*('Cálculos'!$E$211+'Cálculos'!$E$124*(1+2.78*('Cálculos'!$E$196+(($C139)-$A$120:$A$165)*'Cálculos'!$E$98)/(('Cálculos'!$E$196+(($C139)-$A$120:$A$165)*'Cálculos'!$E$98)+1400)+'Cálculos'!$E$122)*'Cálculos'!$E$216+'Cálculos'!$E$125*(1+2.78*('Cálculos'!$E$196+(($C139)-$A$120:$A$165)*'Cálculos'!$E$98)/(('Cálculos'!$E$196+(($C139)-$A$120:$A$165)*'Cálculos'!$E$98)+1400)+'Cálculos'!$E$123)*'Cálculos'!$E$221)+('Cálculos'!$E$204*(1+'Cálculos'!$E$205+$A$120:$A$165*('Cálculos'!$E$290=3)*'Cálculos'!$E$103)+'Cálculos'!$E$206)*('Cálculos'!$E$212+'Cálculos'!$E$124*(1+2.78*('Cálculos'!$E$196+(($C139)-$A$120:$A$165)*'Cálculos'!$E$98)/(('Cálculos'!$E$196+(($C139)-$A$120:$A$165)*'Cálculos'!$E$98)+1400)+'Cálculos'!$E$122)*'Cálculos'!$E$217+'Cálculos'!$E$125*(1+2.78*('Cálculos'!$E$196+(($C139)-$A$120:$A$165)*'Cálculos'!$E$98)/(('Cálculos'!$E$196+(($C139)-$A$120:$A$165)*'Cálculos'!$E$98)+1400)+'Cálculos'!$E$123)*'Cálculos'!$E$222)+('Cálculos'!$E$213+'Cálculos'!$E$124*(1+2.78*('Cálculos'!$E$196+(($C139)-$A$120:$A$165)*'Cálculos'!$E$98)/(('Cálculos'!$E$196+(($C139)-$A$120:$A$165)*'Cálculos'!$E$98)+1400)+'Cálculos'!$E$122)*'Cálculos'!$E$218+'Cálculos'!$E$125*(1+2.78*('Cálculos'!$E$196+(($C139)-$A$120:$A$165)*'Cálculos'!$E$98)/(('Cálculos'!$E$196+(($C139)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139)-$A$120:$A$165)*'Cálculos'!$E$98)/(('Cálculos'!$E$197+(($C139)-$A$120:$A$165)*'Cálculos'!$E$98)+1400)+'Cálculos'!$E$122)*'Cálculos'!$E$229+'Cálculos'!$E$125*(1+2.78*('Cálculos'!$E$197+(($C139)-$A$120:$A$165)*'Cálculos'!$E$98)/(('Cálculos'!$E$197+(($C139)-$A$120:$A$165)*'Cálculos'!$E$98)+1400)+'Cálculos'!$E$123)*'Cálculos'!$E$234)+('Cálculos'!$E$197+(($C139)-$A$120:$A$165)*'Cálculos'!$E$98)*('Cálculos'!$E$225+'Cálculos'!$E$124*(1+2.78*('Cálculos'!$E$197+(($C139)-$A$120:$A$165)*'Cálculos'!$E$98)/(('Cálculos'!$E$197+(($C139)-$A$120:$A$165)*'Cálculos'!$E$98)+1400)+'Cálculos'!$E$122)*'Cálculos'!$E$230+'Cálculos'!$E$125*(1+2.78*('Cálculos'!$E$197+(($C139)-$A$120:$A$165)*'Cálculos'!$E$98)/(('Cálculos'!$E$197+(($C139)-$A$120:$A$165)*'Cálculos'!$E$98)+1400)+'Cálculos'!$E$123)*'Cálculos'!$E$235)+('Cálculos'!$E$201*(1+'Cálculos'!$E$202+$A$120:$A$165*('Cálculos'!$E$290=2)*'Cálculos'!$E$101)+'Cálculos'!$E$203)*('Cálculos'!$E$226+'Cálculos'!$E$124*(1+2.78*('Cálculos'!$E$197+(($C139)-$A$120:$A$165)*'Cálculos'!$E$98)/(('Cálculos'!$E$197+(($C139)-$A$120:$A$165)*'Cálculos'!$E$98)+1400)+'Cálculos'!$E$122)*'Cálculos'!$E$231+'Cálculos'!$E$125*(1+2.78*('Cálculos'!$E$197+(($C139)-$A$120:$A$165)*'Cálculos'!$E$98)/(('Cálculos'!$E$197+(($C139)-$A$120:$A$165)*'Cálculos'!$E$98)+1400)+'Cálculos'!$E$123)*'Cálculos'!$E$236)+('Cálculos'!$E$204*(1+'Cálculos'!$E$205+$A$120:$A$165*('Cálculos'!$E$290=3)*'Cálculos'!$E$103)+'Cálculos'!$E$206)*('Cálculos'!$E$227+'Cálculos'!$E$124*(1+2.78*('Cálculos'!$E$197+(($C139)-$A$120:$A$165)*'Cálculos'!$E$98)/(('Cálculos'!$E$197+(($C139)-$A$120:$A$165)*'Cálculos'!$E$98)+1400)+'Cálculos'!$E$122)*'Cálculos'!$E$232+'Cálculos'!$E$125*(1+2.78*('Cálculos'!$E$197+(($C139)-$A$120:$A$165)*'Cálculos'!$E$98)/(('Cálculos'!$E$197+(($C139)-$A$120:$A$165)*'Cálculos'!$E$98)+1400)+'Cálculos'!$E$123)*'Cálculos'!$E$237)+('Cálculos'!$E$228+'Cálculos'!$E$124*(1+2.78*('Cálculos'!$E$197+(($C139)-$A$120:$A$165)*'Cálculos'!$E$98)/(('Cálculos'!$E$197+(($C139)-$A$120:$A$165)*'Cálculos'!$E$98)+1400)+'Cálculos'!$E$122)*'Cálculos'!$E$233+'Cálculos'!$E$125*(1+2.78*('Cálculos'!$E$197+(($C139)-$A$120:$A$165)*'Cálculos'!$E$98)/(('Cálculos'!$E$197+(($C139)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139)-$A$120:$A$165)*'Cálculos'!$E$98)/(('Cálculos'!$E$198+(($C139)-$A$120:$A$165)*'Cálculos'!$E$98)+1400)+'Cálculos'!$E$122)*'Cálculos'!$E$244+'Cálculos'!$E$125*(1+2.78*('Cálculos'!$E$198+(($C139)-$A$120:$A$165)*'Cálculos'!$E$98)/(('Cálculos'!$E$198+(($C139)-$A$120:$A$165)*'Cálculos'!$E$98)+1400)+'Cálculos'!$E$123)*'Cálculos'!$E$249)+('Cálculos'!$E$198+(($C139)-$A$120:$A$165)*'Cálculos'!$E$98)*('Cálculos'!$E$240+'Cálculos'!$E$124*(1+2.78*('Cálculos'!$E$198+(($C139)-$A$120:$A$165)*'Cálculos'!$E$98)/(('Cálculos'!$E$198+(($C139)-$A$120:$A$165)*'Cálculos'!$E$98)+1400)+'Cálculos'!$E$122)*'Cálculos'!$E$245+'Cálculos'!$E$125*(1+2.78*('Cálculos'!$E$198+(($C139)-$A$120:$A$165)*'Cálculos'!$E$98)/(('Cálculos'!$E$198+(($C139)-$A$120:$A$165)*'Cálculos'!$E$98)+1400)+'Cálculos'!$E$123)*'Cálculos'!$E$250)+('Cálculos'!$E$201*(1+'Cálculos'!$E$202+$A$120:$A$165*('Cálculos'!$E$290=2)*'Cálculos'!$E$101)+'Cálculos'!$E$203)*('Cálculos'!$E$241+'Cálculos'!$E$124*(1+2.78*('Cálculos'!$E$198+(($C139)-$A$120:$A$165)*'Cálculos'!$E$98)/(('Cálculos'!$E$198+(($C139)-$A$120:$A$165)*'Cálculos'!$E$98)+1400)+'Cálculos'!$E$122)*'Cálculos'!$E$246+'Cálculos'!$E$125*(1+2.78*('Cálculos'!$E$198+(($C139)-$A$120:$A$165)*'Cálculos'!$E$98)/(('Cálculos'!$E$198+(($C139)-$A$120:$A$165)*'Cálculos'!$E$98)+1400)+'Cálculos'!$E$123)*'Cálculos'!$E$251)+('Cálculos'!$E$204*(1+'Cálculos'!$E$205+$A$120:$A$165*('Cálculos'!$E$290=3)*'Cálculos'!$E$103)+'Cálculos'!$E$206)*('Cálculos'!$E$242+'Cálculos'!$E$124*(1+2.78*('Cálculos'!$E$198+(($C139)-$A$120:$A$165)*'Cálculos'!$E$98)/(('Cálculos'!$E$198+(($C139)-$A$120:$A$165)*'Cálculos'!$E$98)+1400)+'Cálculos'!$E$122)*'Cálculos'!$E$247+'Cálculos'!$E$125*(1+2.78*('Cálculos'!$E$198+(($C139)-$A$120:$A$165)*'Cálculos'!$E$98)/(('Cálculos'!$E$198+(($C139)-$A$120:$A$165)*'Cálculos'!$E$98)+1400)+'Cálculos'!$E$123)*'Cálculos'!$E$252)+('Cálculos'!$E$243+'Cálculos'!$E$124*(1+2.78*('Cálculos'!$E$198+(($C139)-$A$120:$A$165)*'Cálculos'!$E$98)/(('Cálculos'!$E$198+(($C139)-$A$120:$A$165)*'Cálculos'!$E$98)+1400)+'Cálculos'!$E$122)*'Cálculos'!$E$248+'Cálculos'!$E$125*(1+2.78*('Cálculos'!$E$198+(($C139)-$A$120:$A$165)*'Cálculos'!$E$98)/(('Cálculos'!$E$198+(($C139)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139)-$A$120:$A$165)*'Cálculos'!$E$98)/(('Cálculos'!$E$199+(($C139)-$A$120:$A$165)*'Cálculos'!$E$98)+1400)+'Cálculos'!$E$122)*'Cálculos'!$E$259+'Cálculos'!$E$125*(1+2.78*('Cálculos'!$E$199+(($C139)-$A$120:$A$165)*'Cálculos'!$E$98)/(('Cálculos'!$E$199+(($C139)-$A$120:$A$165)*'Cálculos'!$E$98)+1400)+'Cálculos'!$E$123)*'Cálculos'!$E$264)+('Cálculos'!$E$199+(($C139)-$A$120:$A$165)*'Cálculos'!$E$98)*('Cálculos'!$E$255+'Cálculos'!$E$124*(1+2.78*('Cálculos'!$E$199+(($C139)-$A$120:$A$165)*'Cálculos'!$E$98)/(('Cálculos'!$E$199+(($C139)-$A$120:$A$165)*'Cálculos'!$E$98)+1400)+'Cálculos'!$E$122)*'Cálculos'!$E$260+'Cálculos'!$E$125*(1+2.78*('Cálculos'!$E$199+(($C139)-$A$120:$A$165)*'Cálculos'!$E$98)/(('Cálculos'!$E$199+(($C139)-$A$120:$A$165)*'Cálculos'!$E$98)+1400)+'Cálculos'!$E$123)*'Cálculos'!$E$265)+('Cálculos'!$E$201*(1+'Cálculos'!$E$202+$A$120:$A$165*('Cálculos'!$E$290=2)*'Cálculos'!$E$101)+'Cálculos'!$E$203)*('Cálculos'!$E$256+'Cálculos'!$E$124*(1+2.78*('Cálculos'!$E$199+(($C139)-$A$120:$A$165)*'Cálculos'!$E$98)/(('Cálculos'!$E$199+(($C139)-$A$120:$A$165)*'Cálculos'!$E$98)+1400)+'Cálculos'!$E$122)*'Cálculos'!$E$261+'Cálculos'!$E$125*(1+2.78*('Cálculos'!$E$199+(($C139)-$A$120:$A$165)*'Cálculos'!$E$98)/(('Cálculos'!$E$199+(($C139)-$A$120:$A$165)*'Cálculos'!$E$98)+1400)+'Cálculos'!$E$123)*'Cálculos'!$E$266)+('Cálculos'!$E$204*(1+'Cálculos'!$E$205+$A$120:$A$165*('Cálculos'!$E$290=3)*'Cálculos'!$E$103)+'Cálculos'!$E$206)*('Cálculos'!$E$257+'Cálculos'!$E$124*(1+2.78*('Cálculos'!$E$199+(($C139)-$A$120:$A$165)*'Cálculos'!$E$98)/(('Cálculos'!$E$199+(($C139)-$A$120:$A$165)*'Cálculos'!$E$98)+1400)+'Cálculos'!$E$122)*'Cálculos'!$E$262+'Cálculos'!$E$125*(1+2.78*('Cálculos'!$E$199+(($C139)-$A$120:$A$165)*'Cálculos'!$E$98)/(('Cálculos'!$E$199+(($C139)-$A$120:$A$165)*'Cálculos'!$E$98)+1400)+'Cálculos'!$E$123)*'Cálculos'!$E$267)+('Cálculos'!$E$258+'Cálculos'!$E$124*(1+2.78*('Cálculos'!$E$199+(($C139)-$A$120:$A$165)*'Cálculos'!$E$98)/(('Cálculos'!$E$199+(($C139)-$A$120:$A$165)*'Cálculos'!$E$98)+1400)+'Cálculos'!$E$122)*'Cálculos'!$E$263+'Cálculos'!$E$125*(1+2.78*('Cálculos'!$E$199+(($C139)-$A$120:$A$165)*'Cálculos'!$E$98)/(('Cálculos'!$E$199+(($C139)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139)-$A$120:$A$165)*'Cálculos'!$E$98)/(('Cálculos'!$E$200+(($C139)-$A$120:$A$165)*'Cálculos'!$E$98)+1400)+'Cálculos'!$E$122)*'Cálculos'!$E$274+'Cálculos'!$E$125*(1+2.78*('Cálculos'!$E$200+(($C139)-$A$120:$A$165)*'Cálculos'!$E$98)/(('Cálculos'!$E$200+(($C139)-$A$120:$A$165)*'Cálculos'!$E$98)+1400)+'Cálculos'!$E$123)*'Cálculos'!$E$279)+('Cálculos'!$E$200+(($C139)-$A$120:$A$165)*'Cálculos'!$E$98)*('Cálculos'!$E$270+'Cálculos'!$E$124*(1+2.78*('Cálculos'!$E$200+(($C139)-$A$120:$A$165)*'Cálculos'!$E$98)/(('Cálculos'!$E$200+(($C139)-$A$120:$A$165)*'Cálculos'!$E$98)+1400)+'Cálculos'!$E$122)*'Cálculos'!$E$275+'Cálculos'!$E$125*(1+2.78*('Cálculos'!$E$200+(($C139)-$A$120:$A$165)*'Cálculos'!$E$98)/(('Cálculos'!$E$200+(($C139)-$A$120:$A$165)*'Cálculos'!$E$98)+1400)+'Cálculos'!$E$123)*'Cálculos'!$E$280)+('Cálculos'!$E$201*(1+'Cálculos'!$E$202+$A$120:$A$165*('Cálculos'!$E$290=2)*'Cálculos'!$E$101)+'Cálculos'!$E$203)*('Cálculos'!$E$271+'Cálculos'!$E$124*(1+2.78*('Cálculos'!$E$200+(($C139)-$A$120:$A$165)*'Cálculos'!$E$98)/(('Cálculos'!$E$200+(($C139)-$A$120:$A$165)*'Cálculos'!$E$98)+1400)+'Cálculos'!$E$122)*'Cálculos'!$E$276+'Cálculos'!$E$125*(1+2.78*('Cálculos'!$E$200+(($C139)-$A$120:$A$165)*'Cálculos'!$E$98)/(('Cálculos'!$E$200+(($C139)-$A$120:$A$165)*'Cálculos'!$E$98)+1400)+'Cálculos'!$E$123)*'Cálculos'!$E$281)+('Cálculos'!$E$204*(1+'Cálculos'!$E$205+$A$120:$A$165*('Cálculos'!$E$290=3)*'Cálculos'!$E$103)+'Cálculos'!$E$206)*('Cálculos'!$E$272+'Cálculos'!$E$124*(1+2.78*('Cálculos'!$E$200+(($C139)-$A$120:$A$165)*'Cálculos'!$E$98)/(('Cálculos'!$E$200+(($C139)-$A$120:$A$165)*'Cálculos'!$E$98)+1400)+'Cálculos'!$E$122)*'Cálculos'!$E$277+'Cálculos'!$E$125*(1+2.78*('Cálculos'!$E$200+(($C139)-$A$120:$A$165)*'Cálculos'!$E$98)/(('Cálculos'!$E$200+(($C139)-$A$120:$A$165)*'Cálculos'!$E$98)+1400)+'Cálculos'!$E$123)*'Cálculos'!$E$282)+('Cálculos'!$E$273+'Cálculos'!$E$124*(1+2.78*('Cálculos'!$E$200+(($C139)-$A$120:$A$165)*'Cálculos'!$E$98)/(('Cálculos'!$E$200+(($C139)-$A$120:$A$165)*'Cálculos'!$E$98)+1400)+'Cálculos'!$E$122)*'Cálculos'!$E$278+'Cálculos'!$E$125*(1+2.78*('Cálculos'!$E$200+(($C139)-$A$120:$A$165)*'Cálculos'!$E$98)/(('Cálculos'!$E$200+(($C139)-$A$120:$A$165)*'Cálculos'!$E$98)+1400)+'Cálculos'!$E$123)*'Cálculos'!$E$283)))))</f>
        <v>0</v>
      </c>
      <c r="E139" s="32">
        <f>IF(OR($C139&lt;0,'Cálculos'!$E$6=""),0,$B139*$D139)</f>
        <v>0</v>
      </c>
      <c r="F139" s="2"/>
      <c r="G139" s="30">
        <f>($A139&lt;=$B$167)*($A139&lt;='Cálculos'!$E$294)*(($B$167)-$A139&lt;='Cálculos'!$E$295)*(1+MIN(('Cálculos'!$E$207+$A139*'Cálculos'!$E$95),1)*('Cálculos'!$E$208+(($B$167)-$A139)*'Cálculos'!$E$96))</f>
        <v>0</v>
      </c>
      <c r="H139" s="31">
        <f>IF($B$168&lt;0,0,($A139&lt;=$B$168)*($A139&lt;='Cálculos'!$E$301)*(($B$168)-$A139&lt;='Cálculos'!$E$297)*(('Cálculos'!$E$185*(1+'Cálculos'!$E$186+$A139*('Cálculos'!$E$290=1)*'Cálculos'!$E$97+'Cálculos'!$E$305)+'Cálculos'!$E$191)*('Cálculos'!$E$209+'Cálculos'!$E$124*(1+2.78*('Cálculos'!$E$196+(($B$168)-$A139)*'Cálculos'!$E$98)/(('Cálculos'!$E$196+(($B$168)-$A139)*'Cálculos'!$E$98)+1400)+'Cálculos'!$E$122)*'Cálculos'!$E$214+'Cálculos'!$E$125*(1+2.78*('Cálculos'!$E$196+(($B$168)-$A139)*'Cálculos'!$E$98)/(('Cálculos'!$E$196+(($B$168)-$A139)*'Cálculos'!$E$98)+1400)+'Cálculos'!$E$123)*'Cálculos'!$E$219)+('Cálculos'!$E$196+(($B$168)-$A139)*'Cálculos'!$E$98)*('Cálculos'!$E$210+'Cálculos'!$E$124*(1+2.78*('Cálculos'!$E$196+(($B$168)-$A139)*'Cálculos'!$E$98)/(('Cálculos'!$E$196+(($B$168)-$A139)*'Cálculos'!$E$98)+1400)+'Cálculos'!$E$122)*'Cálculos'!$E$215+'Cálculos'!$E$125*(1+2.78*('Cálculos'!$E$196+(($B$168)-$A139)*'Cálculos'!$E$98)/(('Cálculos'!$E$196+(($B$168)-$A139)*'Cálculos'!$E$98)+1400)+'Cálculos'!$E$123)*'Cálculos'!$E$220)+('Cálculos'!$E$201*(1+'Cálculos'!$E$202+$A139*('Cálculos'!$E$290=2)*'Cálculos'!$E$101)+'Cálculos'!$E$203)*('Cálculos'!$E$211+'Cálculos'!$E$124*(1+2.78*('Cálculos'!$E$196+(($B$168)-$A139)*'Cálculos'!$E$98)/(('Cálculos'!$E$196+(($B$168)-$A139)*'Cálculos'!$E$98)+1400)+'Cálculos'!$E$122)*'Cálculos'!$E$216+'Cálculos'!$E$125*(1+2.78*('Cálculos'!$E$196+(($B$168)-$A139)*'Cálculos'!$E$98)/(('Cálculos'!$E$196+(($B$168)-$A139)*'Cálculos'!$E$98)+1400)+'Cálculos'!$E$123)*'Cálculos'!$E$221)+('Cálculos'!$E$204*(1+'Cálculos'!$E$205+$A139*('Cálculos'!$E$290=3)*'Cálculos'!$E$103)+'Cálculos'!$E$206)*('Cálculos'!$E$212+'Cálculos'!$E$124*(1+2.78*('Cálculos'!$E$196+(($B$168)-$A139)*'Cálculos'!$E$98)/(('Cálculos'!$E$196+(($B$168)-$A139)*'Cálculos'!$E$98)+1400)+'Cálculos'!$E$122)*'Cálculos'!$E$217+'Cálculos'!$E$125*(1+2.78*('Cálculos'!$E$196+(($B$168)-$A139)*'Cálculos'!$E$98)/(('Cálculos'!$E$196+(($B$168)-$A139)*'Cálculos'!$E$98)+1400)+'Cálculos'!$E$123)*'Cálculos'!$E$222)+('Cálculos'!$E$213+'Cálculos'!$E$124*(1+2.78*('Cálculos'!$E$196+(($B$168)-$A139)*'Cálculos'!$E$98)/(('Cálculos'!$E$196+(($B$168)-$A139)*'Cálculos'!$E$98)+1400)+'Cálculos'!$E$122)*'Cálculos'!$E$218+'Cálculos'!$E$125*(1+2.78*('Cálculos'!$E$196+(($B$168)-$A139)*'Cálculos'!$E$98)/(('Cálculos'!$E$196+(($B$168)-$A139)*'Cálculos'!$E$98)+1400)+'Cálculos'!$E$123)*'Cálculos'!$E$223)+('Cálculos'!$E$185*(1+'Cálculos'!$E$187+$A139*('Cálculos'!$E$290=1)*'Cálculos'!$E$97+'Cálculos'!$E$305)+'Cálculos'!$E$192)*('Cálculos'!$E$224+'Cálculos'!$E$124*(1+2.78*('Cálculos'!$E$197+(($B$168)-$A139)*'Cálculos'!$E$98)/(('Cálculos'!$E$197+(($B$168)-$A139)*'Cálculos'!$E$98)+1400)+'Cálculos'!$E$122)*'Cálculos'!$E$229+'Cálculos'!$E$125*(1+2.78*('Cálculos'!$E$197+(($B$168)-$A139)*'Cálculos'!$E$98)/(('Cálculos'!$E$197+(($B$168)-$A139)*'Cálculos'!$E$98)+1400)+'Cálculos'!$E$123)*'Cálculos'!$E$234)+('Cálculos'!$E$197+(($B$168)-$A139)*'Cálculos'!$E$98)*('Cálculos'!$E$225+'Cálculos'!$E$124*(1+2.78*('Cálculos'!$E$197+(($B$168)-$A139)*'Cálculos'!$E$98)/(('Cálculos'!$E$197+(($B$168)-$A139)*'Cálculos'!$E$98)+1400)+'Cálculos'!$E$122)*'Cálculos'!$E$230+'Cálculos'!$E$125*(1+2.78*('Cálculos'!$E$197+(($B$168)-$A139)*'Cálculos'!$E$98)/(('Cálculos'!$E$197+(($B$168)-$A139)*'Cálculos'!$E$98)+1400)+'Cálculos'!$E$123)*'Cálculos'!$E$235)+('Cálculos'!$E$201*(1+'Cálculos'!$E$202+$A139*('Cálculos'!$E$290=2)*'Cálculos'!$E$101)+'Cálculos'!$E$203)*('Cálculos'!$E$226+'Cálculos'!$E$124*(1+2.78*('Cálculos'!$E$197+(($B$168)-$A139)*'Cálculos'!$E$98)/(('Cálculos'!$E$197+(($B$168)-$A139)*'Cálculos'!$E$98)+1400)+'Cálculos'!$E$122)*'Cálculos'!$E$231+'Cálculos'!$E$125*(1+2.78*('Cálculos'!$E$197+(($B$168)-$A139)*'Cálculos'!$E$98)/(('Cálculos'!$E$197+(($B$168)-$A139)*'Cálculos'!$E$98)+1400)+'Cálculos'!$E$123)*'Cálculos'!$E$236)+('Cálculos'!$E$204*(1+'Cálculos'!$E$205+$A139*('Cálculos'!$E$290=3)*'Cálculos'!$E$103)+'Cálculos'!$E$206)*('Cálculos'!$E$227+'Cálculos'!$E$124*(1+2.78*('Cálculos'!$E$197+(($B$168)-$A139)*'Cálculos'!$E$98)/(('Cálculos'!$E$197+(($B$168)-$A139)*'Cálculos'!$E$98)+1400)+'Cálculos'!$E$122)*'Cálculos'!$E$232+'Cálculos'!$E$125*(1+2.78*('Cálculos'!$E$197+(($B$168)-$A139)*'Cálculos'!$E$98)/(('Cálculos'!$E$197+(($B$168)-$A139)*'Cálculos'!$E$98)+1400)+'Cálculos'!$E$123)*'Cálculos'!$E$237)+('Cálculos'!$E$228+'Cálculos'!$E$124*(1+2.78*('Cálculos'!$E$197+(($B$168)-$A139)*'Cálculos'!$E$98)/(('Cálculos'!$E$197+(($B$168)-$A139)*'Cálculos'!$E$98)+1400)+'Cálculos'!$E$122)*'Cálculos'!$E$233+'Cálculos'!$E$125*(1+2.78*('Cálculos'!$E$197+(($B$168)-$A139)*'Cálculos'!$E$98)/(('Cálculos'!$E$197+(($B$168)-$A139)*'Cálculos'!$E$98)+1400)+'Cálculos'!$E$123)*'Cálculos'!$E$238)+('Cálculos'!$E$185*(1+'Cálculos'!$E$188+$A139*('Cálculos'!$E$290=1)*'Cálculos'!$E$97+'Cálculos'!$E$305)+'Cálculos'!$E$193)*('Cálculos'!$E$239+'Cálculos'!$E$124*(1+2.78*('Cálculos'!$E$198+(($B$168)-$A139)*'Cálculos'!$E$98)/(('Cálculos'!$E$198+(($B$168)-$A139)*'Cálculos'!$E$98)+1400)+'Cálculos'!$E$122)*'Cálculos'!$E$244+'Cálculos'!$E$125*(1+2.78*('Cálculos'!$E$198+(($B$168)-$A139)*'Cálculos'!$E$98)/(('Cálculos'!$E$198+(($B$168)-$A139)*'Cálculos'!$E$98)+1400)+'Cálculos'!$E$123)*'Cálculos'!$E$249)+('Cálculos'!$E$198+(($B$168)-$A139)*'Cálculos'!$E$98)*('Cálculos'!$E$240+'Cálculos'!$E$124*(1+2.78*('Cálculos'!$E$198+(($B$168)-$A139)*'Cálculos'!$E$98)/(('Cálculos'!$E$198+(($B$168)-$A139)*'Cálculos'!$E$98)+1400)+'Cálculos'!$E$122)*'Cálculos'!$E$245+'Cálculos'!$E$125*(1+2.78*('Cálculos'!$E$198+(($B$168)-$A139)*'Cálculos'!$E$98)/(('Cálculos'!$E$198+(($B$168)-$A139)*'Cálculos'!$E$98)+1400)+'Cálculos'!$E$123)*'Cálculos'!$E$250)+('Cálculos'!$E$201*(1+'Cálculos'!$E$202+$A139*('Cálculos'!$E$290=2)*'Cálculos'!$E$101)+'Cálculos'!$E$203)*('Cálculos'!$E$241+'Cálculos'!$E$124*(1+2.78*('Cálculos'!$E$198+(($B$168)-$A139)*'Cálculos'!$E$98)/(('Cálculos'!$E$198+(($B$168)-$A139)*'Cálculos'!$E$98)+1400)+'Cálculos'!$E$122)*'Cálculos'!$E$246+'Cálculos'!$E$125*(1+2.78*('Cálculos'!$E$198+(($B$168)-$A139)*'Cálculos'!$E$98)/(('Cálculos'!$E$198+(($B$168)-$A139)*'Cálculos'!$E$98)+1400)+'Cálculos'!$E$123)*'Cálculos'!$E$251)+('Cálculos'!$E$204*(1+'Cálculos'!$E$205+$A139*('Cálculos'!$E$290=3)*'Cálculos'!$E$103)+'Cálculos'!$E$206)*('Cálculos'!$E$242+'Cálculos'!$E$124*(1+2.78*('Cálculos'!$E$198+(($B$168)-$A139)*'Cálculos'!$E$98)/(('Cálculos'!$E$198+(($B$168)-$A139)*'Cálculos'!$E$98)+1400)+'Cálculos'!$E$122)*'Cálculos'!$E$247+'Cálculos'!$E$125*(1+2.78*('Cálculos'!$E$198+(($B$168)-$A139)*'Cálculos'!$E$98)/(('Cálculos'!$E$198+(($B$168)-$A139)*'Cálculos'!$E$98)+1400)+'Cálculos'!$E$123)*'Cálculos'!$E$252)+('Cálculos'!$E$243+'Cálculos'!$E$124*(1+2.78*('Cálculos'!$E$198+(($B$168)-$A139)*'Cálculos'!$E$98)/(('Cálculos'!$E$198+(($B$168)-$A139)*'Cálculos'!$E$98)+1400)+'Cálculos'!$E$122)*'Cálculos'!$E$248+'Cálculos'!$E$125*(1+2.78*('Cálculos'!$E$198+(($B$168)-$A139)*'Cálculos'!$E$98)/(('Cálculos'!$E$198+(($B$168)-$A139)*'Cálculos'!$E$98)+1400)+'Cálculos'!$E$123)*'Cálculos'!$E$253)+('Cálculos'!$E$185*(1+'Cálculos'!$E$189+$A139*('Cálculos'!$E$290=1)*'Cálculos'!$E$97+'Cálculos'!$E$305)+'Cálculos'!$E$194)*('Cálculos'!$E$254+'Cálculos'!$E$124*(1+2.78*('Cálculos'!$E$199+(($B$168)-$A139)*'Cálculos'!$E$98)/(('Cálculos'!$E$199+(($B$168)-$A139)*'Cálculos'!$E$98)+1400)+'Cálculos'!$E$122)*'Cálculos'!$E$259+'Cálculos'!$E$125*(1+2.78*('Cálculos'!$E$199+(($B$168)-$A139)*'Cálculos'!$E$98)/(('Cálculos'!$E$199+(($B$168)-$A139)*'Cálculos'!$E$98)+1400)+'Cálculos'!$E$123)*'Cálculos'!$E$264)+('Cálculos'!$E$199+(($B$168)-$A139)*'Cálculos'!$E$98)*('Cálculos'!$E$255+'Cálculos'!$E$124*(1+2.78*('Cálculos'!$E$199+(($B$168)-$A139)*'Cálculos'!$E$98)/(('Cálculos'!$E$199+(($B$168)-$A139)*'Cálculos'!$E$98)+1400)+'Cálculos'!$E$122)*'Cálculos'!$E$260+'Cálculos'!$E$125*(1+2.78*('Cálculos'!$E$199+(($B$168)-$A139)*'Cálculos'!$E$98)/(('Cálculos'!$E$199+(($B$168)-$A139)*'Cálculos'!$E$98)+1400)+'Cálculos'!$E$123)*'Cálculos'!$E$265)+('Cálculos'!$E$201*(1+'Cálculos'!$E$202+$A139*('Cálculos'!$E$290=2)*'Cálculos'!$E$101)+'Cálculos'!$E$203)*('Cálculos'!$E$256+'Cálculos'!$E$124*(1+2.78*('Cálculos'!$E$199+(($B$168)-$A139)*'Cálculos'!$E$98)/(('Cálculos'!$E$199+(($B$168)-$A139)*'Cálculos'!$E$98)+1400)+'Cálculos'!$E$122)*'Cálculos'!$E$261+'Cálculos'!$E$125*(1+2.78*('Cálculos'!$E$199+(($B$168)-$A139)*'Cálculos'!$E$98)/(('Cálculos'!$E$199+(($B$168)-$A139)*'Cálculos'!$E$98)+1400)+'Cálculos'!$E$123)*'Cálculos'!$E$266)+('Cálculos'!$E$204*(1+'Cálculos'!$E$205+$A139*('Cálculos'!$E$290=3)*'Cálculos'!$E$103)+'Cálculos'!$E$206)*('Cálculos'!$E$257+'Cálculos'!$E$124*(1+2.78*('Cálculos'!$E$199+(($B$168)-$A139)*'Cálculos'!$E$98)/(('Cálculos'!$E$199+(($B$168)-$A139)*'Cálculos'!$E$98)+1400)+'Cálculos'!$E$122)*'Cálculos'!$E$262+'Cálculos'!$E$125*(1+2.78*('Cálculos'!$E$199+(($B$168)-$A139)*'Cálculos'!$E$98)/(('Cálculos'!$E$199+(($B$168)-$A139)*'Cálculos'!$E$98)+1400)+'Cálculos'!$E$123)*'Cálculos'!$E$267)+('Cálculos'!$E$258+'Cálculos'!$E$124*(1+2.78*('Cálculos'!$E$199+(($B$168)-$A139)*'Cálculos'!$E$98)/(('Cálculos'!$E$199+(($B$168)-$A139)*'Cálculos'!$E$98)+1400)+'Cálculos'!$E$122)*'Cálculos'!$E$263+'Cálculos'!$E$125*(1+2.78*('Cálculos'!$E$199+(($B$168)-$A139)*'Cálculos'!$E$98)/(('Cálculos'!$E$199+(($B$168)-$A139)*'Cálculos'!$E$98)+1400)+'Cálculos'!$E$123)*'Cálculos'!$E$268)+('Cálculos'!$E$185*(1+'Cálculos'!$E$190+$A139*('Cálculos'!$E$290=1)*'Cálculos'!$E$97+'Cálculos'!$E$305)+'Cálculos'!$E$195)*('Cálculos'!$E$269+'Cálculos'!$E$124*(1+2.78*('Cálculos'!$E$200+(($B$168)-$A139)*'Cálculos'!$E$98)/(('Cálculos'!$E$200+(($B$168)-$A139)*'Cálculos'!$E$98)+1400)+'Cálculos'!$E$122)*'Cálculos'!$E$274+'Cálculos'!$E$125*(1+2.78*('Cálculos'!$E$200+(($B$168)-$A139)*'Cálculos'!$E$98)/(('Cálculos'!$E$200+(($B$168)-$A139)*'Cálculos'!$E$98)+1400)+'Cálculos'!$E$123)*'Cálculos'!$E$279)+('Cálculos'!$E$200+(($B$168)-$A139)*'Cálculos'!$E$98)*('Cálculos'!$E$270+'Cálculos'!$E$124*(1+2.78*('Cálculos'!$E$200+(($B$168)-$A139)*'Cálculos'!$E$98)/(('Cálculos'!$E$200+(($B$168)-$A139)*'Cálculos'!$E$98)+1400)+'Cálculos'!$E$122)*'Cálculos'!$E$275+'Cálculos'!$E$125*(1+2.78*('Cálculos'!$E$200+(($B$168)-$A139)*'Cálculos'!$E$98)/(('Cálculos'!$E$200+(($B$168)-$A139)*'Cálculos'!$E$98)+1400)+'Cálculos'!$E$123)*'Cálculos'!$E$280)+('Cálculos'!$E$201*(1+'Cálculos'!$E$202+$A139*('Cálculos'!$E$290=2)*'Cálculos'!$E$101)+'Cálculos'!$E$203)*('Cálculos'!$E$271+'Cálculos'!$E$124*(1+2.78*('Cálculos'!$E$200+(($B$168)-$A139)*'Cálculos'!$E$98)/(('Cálculos'!$E$200+(($B$168)-$A139)*'Cálculos'!$E$98)+1400)+'Cálculos'!$E$122)*'Cálculos'!$E$276+'Cálculos'!$E$125*(1+2.78*('Cálculos'!$E$200+(($B$168)-$A139)*'Cálculos'!$E$98)/(('Cálculos'!$E$200+(($B$168)-$A139)*'Cálculos'!$E$98)+1400)+'Cálculos'!$E$123)*'Cálculos'!$E$281)+('Cálculos'!$E$204*(1+'Cálculos'!$E$205+$A139*('Cálculos'!$E$290=3)*'Cálculos'!$E$103)+'Cálculos'!$E$206)*('Cálculos'!$E$272+'Cálculos'!$E$124*(1+2.78*('Cálculos'!$E$200+(($B$168)-$A139)*'Cálculos'!$E$98)/(('Cálculos'!$E$200+(($B$168)-$A139)*'Cálculos'!$E$98)+1400)+'Cálculos'!$E$122)*'Cálculos'!$E$277+'Cálculos'!$E$125*(1+2.78*('Cálculos'!$E$200+(($B$168)-$A139)*'Cálculos'!$E$98)/(('Cálculos'!$E$200+(($B$168)-$A139)*'Cálculos'!$E$98)+1400)+'Cálculos'!$E$123)*'Cálculos'!$E$282)+('Cálculos'!$E$273+'Cálculos'!$E$124*(1+2.78*('Cálculos'!$E$200+(($B$168)-$A139)*'Cálculos'!$E$98)/(('Cálculos'!$E$200+(($B$168)-$A139)*'Cálculos'!$E$98)+1400)+'Cálculos'!$E$122)*'Cálculos'!$E$278+'Cálculos'!$E$125*(1+2.78*('Cálculos'!$E$200+(($B$168)-$A139)*'Cálculos'!$E$98)/(('Cálculos'!$E$200+(($B$168)-$A139)*'Cálculos'!$E$98)+1400)+'Cálculos'!$E$123)*'Cálculos'!$E$283)))</f>
        <v>0</v>
      </c>
    </row>
    <row r="140" ht="15.75" customHeight="1">
      <c r="A140" s="2">
        <v>20.0</v>
      </c>
      <c r="B140" s="30">
        <f>SUMPRODUCT(MAX(($A$120:$A$165&lt;=$A140)*($A$120:$A$165&lt;='Cálculos'!$E$294)*(($A140)-$A$120:$A$165&lt;='Cálculos'!$E$295)*(1+(('Cálculos'!$E$207+$A$120:$A$165*'Cálculos'!$E$95)-(('Cálculos'!$E$207+$A$120:$A$165*'Cálculos'!$E$95)&gt;1)*(('Cálculos'!$E$207+$A$120:$A$165*'Cálculos'!$E$95)-1))*('Cálculos'!$E$208+(($A140)-$A$120:$A$165)*'Cálculos'!$E$96))))</f>
        <v>1.983984</v>
      </c>
      <c r="C140" s="2">
        <f>'Cálculos'!$E$303-$A140</f>
        <v>-7</v>
      </c>
      <c r="D140" s="31">
        <f>IF($C140&lt;0,0,SUMPRODUCT(MAX(($A$120:$A$165&lt;=$C140)*($A$120:$A$165&lt;='Cálculos'!$E$301)*(($C140)-$A$120:$A$165&lt;='Cálculos'!$E$297)*(('Cálculos'!$E$185*(1+'Cálculos'!$E$186+$A$120:$A$165*('Cálculos'!$E$290=1)*'Cálculos'!$E$97+'Cálculos'!$E$305)+'Cálculos'!$E$191)*('Cálculos'!$E$209+'Cálculos'!$E$124*(1+2.78*('Cálculos'!$E$196+(($C140)-$A$120:$A$165)*'Cálculos'!$E$98)/(('Cálculos'!$E$196+(($C140)-$A$120:$A$165)*'Cálculos'!$E$98)+1400)+'Cálculos'!$E$122)*'Cálculos'!$E$214+'Cálculos'!$E$125*(1+2.78*('Cálculos'!$E$196+(($C140)-$A$120:$A$165)*'Cálculos'!$E$98)/(('Cálculos'!$E$196+(($C140)-$A$120:$A$165)*'Cálculos'!$E$98)+1400)+'Cálculos'!$E$123)*'Cálculos'!$E$219)+('Cálculos'!$E$196+(($C140)-$A$120:$A$165)*'Cálculos'!$E$98)*('Cálculos'!$E$210+'Cálculos'!$E$124*(1+2.78*('Cálculos'!$E$196+(($C140)-$A$120:$A$165)*'Cálculos'!$E$98)/(('Cálculos'!$E$196+(($C140)-$A$120:$A$165)*'Cálculos'!$E$98)+1400)+'Cálculos'!$E$122)*'Cálculos'!$E$215+'Cálculos'!$E$125*(1+2.78*('Cálculos'!$E$196+(($C140)-$A$120:$A$165)*'Cálculos'!$E$98)/(('Cálculos'!$E$196+(($C140)-$A$120:$A$165)*'Cálculos'!$E$98)+1400)+'Cálculos'!$E$123)*'Cálculos'!$E$220)+('Cálculos'!$E$201*(1+'Cálculos'!$E$202+$A$120:$A$165*('Cálculos'!$E$290=2)*'Cálculos'!$E$101)+'Cálculos'!$E$203)*('Cálculos'!$E$211+'Cálculos'!$E$124*(1+2.78*('Cálculos'!$E$196+(($C140)-$A$120:$A$165)*'Cálculos'!$E$98)/(('Cálculos'!$E$196+(($C140)-$A$120:$A$165)*'Cálculos'!$E$98)+1400)+'Cálculos'!$E$122)*'Cálculos'!$E$216+'Cálculos'!$E$125*(1+2.78*('Cálculos'!$E$196+(($C140)-$A$120:$A$165)*'Cálculos'!$E$98)/(('Cálculos'!$E$196+(($C140)-$A$120:$A$165)*'Cálculos'!$E$98)+1400)+'Cálculos'!$E$123)*'Cálculos'!$E$221)+('Cálculos'!$E$204*(1+'Cálculos'!$E$205+$A$120:$A$165*('Cálculos'!$E$290=3)*'Cálculos'!$E$103)+'Cálculos'!$E$206)*('Cálculos'!$E$212+'Cálculos'!$E$124*(1+2.78*('Cálculos'!$E$196+(($C140)-$A$120:$A$165)*'Cálculos'!$E$98)/(('Cálculos'!$E$196+(($C140)-$A$120:$A$165)*'Cálculos'!$E$98)+1400)+'Cálculos'!$E$122)*'Cálculos'!$E$217+'Cálculos'!$E$125*(1+2.78*('Cálculos'!$E$196+(($C140)-$A$120:$A$165)*'Cálculos'!$E$98)/(('Cálculos'!$E$196+(($C140)-$A$120:$A$165)*'Cálculos'!$E$98)+1400)+'Cálculos'!$E$123)*'Cálculos'!$E$222)+('Cálculos'!$E$213+'Cálculos'!$E$124*(1+2.78*('Cálculos'!$E$196+(($C140)-$A$120:$A$165)*'Cálculos'!$E$98)/(('Cálculos'!$E$196+(($C140)-$A$120:$A$165)*'Cálculos'!$E$98)+1400)+'Cálculos'!$E$122)*'Cálculos'!$E$218+'Cálculos'!$E$125*(1+2.78*('Cálculos'!$E$196+(($C140)-$A$120:$A$165)*'Cálculos'!$E$98)/(('Cálculos'!$E$196+(($C140)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140)-$A$120:$A$165)*'Cálculos'!$E$98)/(('Cálculos'!$E$197+(($C140)-$A$120:$A$165)*'Cálculos'!$E$98)+1400)+'Cálculos'!$E$122)*'Cálculos'!$E$229+'Cálculos'!$E$125*(1+2.78*('Cálculos'!$E$197+(($C140)-$A$120:$A$165)*'Cálculos'!$E$98)/(('Cálculos'!$E$197+(($C140)-$A$120:$A$165)*'Cálculos'!$E$98)+1400)+'Cálculos'!$E$123)*'Cálculos'!$E$234)+('Cálculos'!$E$197+(($C140)-$A$120:$A$165)*'Cálculos'!$E$98)*('Cálculos'!$E$225+'Cálculos'!$E$124*(1+2.78*('Cálculos'!$E$197+(($C140)-$A$120:$A$165)*'Cálculos'!$E$98)/(('Cálculos'!$E$197+(($C140)-$A$120:$A$165)*'Cálculos'!$E$98)+1400)+'Cálculos'!$E$122)*'Cálculos'!$E$230+'Cálculos'!$E$125*(1+2.78*('Cálculos'!$E$197+(($C140)-$A$120:$A$165)*'Cálculos'!$E$98)/(('Cálculos'!$E$197+(($C140)-$A$120:$A$165)*'Cálculos'!$E$98)+1400)+'Cálculos'!$E$123)*'Cálculos'!$E$235)+('Cálculos'!$E$201*(1+'Cálculos'!$E$202+$A$120:$A$165*('Cálculos'!$E$290=2)*'Cálculos'!$E$101)+'Cálculos'!$E$203)*('Cálculos'!$E$226+'Cálculos'!$E$124*(1+2.78*('Cálculos'!$E$197+(($C140)-$A$120:$A$165)*'Cálculos'!$E$98)/(('Cálculos'!$E$197+(($C140)-$A$120:$A$165)*'Cálculos'!$E$98)+1400)+'Cálculos'!$E$122)*'Cálculos'!$E$231+'Cálculos'!$E$125*(1+2.78*('Cálculos'!$E$197+(($C140)-$A$120:$A$165)*'Cálculos'!$E$98)/(('Cálculos'!$E$197+(($C140)-$A$120:$A$165)*'Cálculos'!$E$98)+1400)+'Cálculos'!$E$123)*'Cálculos'!$E$236)+('Cálculos'!$E$204*(1+'Cálculos'!$E$205+$A$120:$A$165*('Cálculos'!$E$290=3)*'Cálculos'!$E$103)+'Cálculos'!$E$206)*('Cálculos'!$E$227+'Cálculos'!$E$124*(1+2.78*('Cálculos'!$E$197+(($C140)-$A$120:$A$165)*'Cálculos'!$E$98)/(('Cálculos'!$E$197+(($C140)-$A$120:$A$165)*'Cálculos'!$E$98)+1400)+'Cálculos'!$E$122)*'Cálculos'!$E$232+'Cálculos'!$E$125*(1+2.78*('Cálculos'!$E$197+(($C140)-$A$120:$A$165)*'Cálculos'!$E$98)/(('Cálculos'!$E$197+(($C140)-$A$120:$A$165)*'Cálculos'!$E$98)+1400)+'Cálculos'!$E$123)*'Cálculos'!$E$237)+('Cálculos'!$E$228+'Cálculos'!$E$124*(1+2.78*('Cálculos'!$E$197+(($C140)-$A$120:$A$165)*'Cálculos'!$E$98)/(('Cálculos'!$E$197+(($C140)-$A$120:$A$165)*'Cálculos'!$E$98)+1400)+'Cálculos'!$E$122)*'Cálculos'!$E$233+'Cálculos'!$E$125*(1+2.78*('Cálculos'!$E$197+(($C140)-$A$120:$A$165)*'Cálculos'!$E$98)/(('Cálculos'!$E$197+(($C140)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140)-$A$120:$A$165)*'Cálculos'!$E$98)/(('Cálculos'!$E$198+(($C140)-$A$120:$A$165)*'Cálculos'!$E$98)+1400)+'Cálculos'!$E$122)*'Cálculos'!$E$244+'Cálculos'!$E$125*(1+2.78*('Cálculos'!$E$198+(($C140)-$A$120:$A$165)*'Cálculos'!$E$98)/(('Cálculos'!$E$198+(($C140)-$A$120:$A$165)*'Cálculos'!$E$98)+1400)+'Cálculos'!$E$123)*'Cálculos'!$E$249)+('Cálculos'!$E$198+(($C140)-$A$120:$A$165)*'Cálculos'!$E$98)*('Cálculos'!$E$240+'Cálculos'!$E$124*(1+2.78*('Cálculos'!$E$198+(($C140)-$A$120:$A$165)*'Cálculos'!$E$98)/(('Cálculos'!$E$198+(($C140)-$A$120:$A$165)*'Cálculos'!$E$98)+1400)+'Cálculos'!$E$122)*'Cálculos'!$E$245+'Cálculos'!$E$125*(1+2.78*('Cálculos'!$E$198+(($C140)-$A$120:$A$165)*'Cálculos'!$E$98)/(('Cálculos'!$E$198+(($C140)-$A$120:$A$165)*'Cálculos'!$E$98)+1400)+'Cálculos'!$E$123)*'Cálculos'!$E$250)+('Cálculos'!$E$201*(1+'Cálculos'!$E$202+$A$120:$A$165*('Cálculos'!$E$290=2)*'Cálculos'!$E$101)+'Cálculos'!$E$203)*('Cálculos'!$E$241+'Cálculos'!$E$124*(1+2.78*('Cálculos'!$E$198+(($C140)-$A$120:$A$165)*'Cálculos'!$E$98)/(('Cálculos'!$E$198+(($C140)-$A$120:$A$165)*'Cálculos'!$E$98)+1400)+'Cálculos'!$E$122)*'Cálculos'!$E$246+'Cálculos'!$E$125*(1+2.78*('Cálculos'!$E$198+(($C140)-$A$120:$A$165)*'Cálculos'!$E$98)/(('Cálculos'!$E$198+(($C140)-$A$120:$A$165)*'Cálculos'!$E$98)+1400)+'Cálculos'!$E$123)*'Cálculos'!$E$251)+('Cálculos'!$E$204*(1+'Cálculos'!$E$205+$A$120:$A$165*('Cálculos'!$E$290=3)*'Cálculos'!$E$103)+'Cálculos'!$E$206)*('Cálculos'!$E$242+'Cálculos'!$E$124*(1+2.78*('Cálculos'!$E$198+(($C140)-$A$120:$A$165)*'Cálculos'!$E$98)/(('Cálculos'!$E$198+(($C140)-$A$120:$A$165)*'Cálculos'!$E$98)+1400)+'Cálculos'!$E$122)*'Cálculos'!$E$247+'Cálculos'!$E$125*(1+2.78*('Cálculos'!$E$198+(($C140)-$A$120:$A$165)*'Cálculos'!$E$98)/(('Cálculos'!$E$198+(($C140)-$A$120:$A$165)*'Cálculos'!$E$98)+1400)+'Cálculos'!$E$123)*'Cálculos'!$E$252)+('Cálculos'!$E$243+'Cálculos'!$E$124*(1+2.78*('Cálculos'!$E$198+(($C140)-$A$120:$A$165)*'Cálculos'!$E$98)/(('Cálculos'!$E$198+(($C140)-$A$120:$A$165)*'Cálculos'!$E$98)+1400)+'Cálculos'!$E$122)*'Cálculos'!$E$248+'Cálculos'!$E$125*(1+2.78*('Cálculos'!$E$198+(($C140)-$A$120:$A$165)*'Cálculos'!$E$98)/(('Cálculos'!$E$198+(($C140)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140)-$A$120:$A$165)*'Cálculos'!$E$98)/(('Cálculos'!$E$199+(($C140)-$A$120:$A$165)*'Cálculos'!$E$98)+1400)+'Cálculos'!$E$122)*'Cálculos'!$E$259+'Cálculos'!$E$125*(1+2.78*('Cálculos'!$E$199+(($C140)-$A$120:$A$165)*'Cálculos'!$E$98)/(('Cálculos'!$E$199+(($C140)-$A$120:$A$165)*'Cálculos'!$E$98)+1400)+'Cálculos'!$E$123)*'Cálculos'!$E$264)+('Cálculos'!$E$199+(($C140)-$A$120:$A$165)*'Cálculos'!$E$98)*('Cálculos'!$E$255+'Cálculos'!$E$124*(1+2.78*('Cálculos'!$E$199+(($C140)-$A$120:$A$165)*'Cálculos'!$E$98)/(('Cálculos'!$E$199+(($C140)-$A$120:$A$165)*'Cálculos'!$E$98)+1400)+'Cálculos'!$E$122)*'Cálculos'!$E$260+'Cálculos'!$E$125*(1+2.78*('Cálculos'!$E$199+(($C140)-$A$120:$A$165)*'Cálculos'!$E$98)/(('Cálculos'!$E$199+(($C140)-$A$120:$A$165)*'Cálculos'!$E$98)+1400)+'Cálculos'!$E$123)*'Cálculos'!$E$265)+('Cálculos'!$E$201*(1+'Cálculos'!$E$202+$A$120:$A$165*('Cálculos'!$E$290=2)*'Cálculos'!$E$101)+'Cálculos'!$E$203)*('Cálculos'!$E$256+'Cálculos'!$E$124*(1+2.78*('Cálculos'!$E$199+(($C140)-$A$120:$A$165)*'Cálculos'!$E$98)/(('Cálculos'!$E$199+(($C140)-$A$120:$A$165)*'Cálculos'!$E$98)+1400)+'Cálculos'!$E$122)*'Cálculos'!$E$261+'Cálculos'!$E$125*(1+2.78*('Cálculos'!$E$199+(($C140)-$A$120:$A$165)*'Cálculos'!$E$98)/(('Cálculos'!$E$199+(($C140)-$A$120:$A$165)*'Cálculos'!$E$98)+1400)+'Cálculos'!$E$123)*'Cálculos'!$E$266)+('Cálculos'!$E$204*(1+'Cálculos'!$E$205+$A$120:$A$165*('Cálculos'!$E$290=3)*'Cálculos'!$E$103)+'Cálculos'!$E$206)*('Cálculos'!$E$257+'Cálculos'!$E$124*(1+2.78*('Cálculos'!$E$199+(($C140)-$A$120:$A$165)*'Cálculos'!$E$98)/(('Cálculos'!$E$199+(($C140)-$A$120:$A$165)*'Cálculos'!$E$98)+1400)+'Cálculos'!$E$122)*'Cálculos'!$E$262+'Cálculos'!$E$125*(1+2.78*('Cálculos'!$E$199+(($C140)-$A$120:$A$165)*'Cálculos'!$E$98)/(('Cálculos'!$E$199+(($C140)-$A$120:$A$165)*'Cálculos'!$E$98)+1400)+'Cálculos'!$E$123)*'Cálculos'!$E$267)+('Cálculos'!$E$258+'Cálculos'!$E$124*(1+2.78*('Cálculos'!$E$199+(($C140)-$A$120:$A$165)*'Cálculos'!$E$98)/(('Cálculos'!$E$199+(($C140)-$A$120:$A$165)*'Cálculos'!$E$98)+1400)+'Cálculos'!$E$122)*'Cálculos'!$E$263+'Cálculos'!$E$125*(1+2.78*('Cálculos'!$E$199+(($C140)-$A$120:$A$165)*'Cálculos'!$E$98)/(('Cálculos'!$E$199+(($C140)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140)-$A$120:$A$165)*'Cálculos'!$E$98)/(('Cálculos'!$E$200+(($C140)-$A$120:$A$165)*'Cálculos'!$E$98)+1400)+'Cálculos'!$E$122)*'Cálculos'!$E$274+'Cálculos'!$E$125*(1+2.78*('Cálculos'!$E$200+(($C140)-$A$120:$A$165)*'Cálculos'!$E$98)/(('Cálculos'!$E$200+(($C140)-$A$120:$A$165)*'Cálculos'!$E$98)+1400)+'Cálculos'!$E$123)*'Cálculos'!$E$279)+('Cálculos'!$E$200+(($C140)-$A$120:$A$165)*'Cálculos'!$E$98)*('Cálculos'!$E$270+'Cálculos'!$E$124*(1+2.78*('Cálculos'!$E$200+(($C140)-$A$120:$A$165)*'Cálculos'!$E$98)/(('Cálculos'!$E$200+(($C140)-$A$120:$A$165)*'Cálculos'!$E$98)+1400)+'Cálculos'!$E$122)*'Cálculos'!$E$275+'Cálculos'!$E$125*(1+2.78*('Cálculos'!$E$200+(($C140)-$A$120:$A$165)*'Cálculos'!$E$98)/(('Cálculos'!$E$200+(($C140)-$A$120:$A$165)*'Cálculos'!$E$98)+1400)+'Cálculos'!$E$123)*'Cálculos'!$E$280)+('Cálculos'!$E$201*(1+'Cálculos'!$E$202+$A$120:$A$165*('Cálculos'!$E$290=2)*'Cálculos'!$E$101)+'Cálculos'!$E$203)*('Cálculos'!$E$271+'Cálculos'!$E$124*(1+2.78*('Cálculos'!$E$200+(($C140)-$A$120:$A$165)*'Cálculos'!$E$98)/(('Cálculos'!$E$200+(($C140)-$A$120:$A$165)*'Cálculos'!$E$98)+1400)+'Cálculos'!$E$122)*'Cálculos'!$E$276+'Cálculos'!$E$125*(1+2.78*('Cálculos'!$E$200+(($C140)-$A$120:$A$165)*'Cálculos'!$E$98)/(('Cálculos'!$E$200+(($C140)-$A$120:$A$165)*'Cálculos'!$E$98)+1400)+'Cálculos'!$E$123)*'Cálculos'!$E$281)+('Cálculos'!$E$204*(1+'Cálculos'!$E$205+$A$120:$A$165*('Cálculos'!$E$290=3)*'Cálculos'!$E$103)+'Cálculos'!$E$206)*('Cálculos'!$E$272+'Cálculos'!$E$124*(1+2.78*('Cálculos'!$E$200+(($C140)-$A$120:$A$165)*'Cálculos'!$E$98)/(('Cálculos'!$E$200+(($C140)-$A$120:$A$165)*'Cálculos'!$E$98)+1400)+'Cálculos'!$E$122)*'Cálculos'!$E$277+'Cálculos'!$E$125*(1+2.78*('Cálculos'!$E$200+(($C140)-$A$120:$A$165)*'Cálculos'!$E$98)/(('Cálculos'!$E$200+(($C140)-$A$120:$A$165)*'Cálculos'!$E$98)+1400)+'Cálculos'!$E$123)*'Cálculos'!$E$282)+('Cálculos'!$E$273+'Cálculos'!$E$124*(1+2.78*('Cálculos'!$E$200+(($C140)-$A$120:$A$165)*'Cálculos'!$E$98)/(('Cálculos'!$E$200+(($C140)-$A$120:$A$165)*'Cálculos'!$E$98)+1400)+'Cálculos'!$E$122)*'Cálculos'!$E$278+'Cálculos'!$E$125*(1+2.78*('Cálculos'!$E$200+(($C140)-$A$120:$A$165)*'Cálculos'!$E$98)/(('Cálculos'!$E$200+(($C140)-$A$120:$A$165)*'Cálculos'!$E$98)+1400)+'Cálculos'!$E$123)*'Cálculos'!$E$283)))))</f>
        <v>0</v>
      </c>
      <c r="E140" s="32">
        <f>IF(OR($C140&lt;0,'Cálculos'!$E$6=""),0,$B140*$D140)</f>
        <v>0</v>
      </c>
      <c r="F140" s="2"/>
      <c r="G140" s="30">
        <f>($A140&lt;=$B$167)*($A140&lt;='Cálculos'!$E$294)*(($B$167)-$A140&lt;='Cálculos'!$E$295)*(1+MIN(('Cálculos'!$E$207+$A140*'Cálculos'!$E$95),1)*('Cálculos'!$E$208+(($B$167)-$A140)*'Cálculos'!$E$96))</f>
        <v>0</v>
      </c>
      <c r="H140" s="31">
        <f>IF($B$168&lt;0,0,($A140&lt;=$B$168)*($A140&lt;='Cálculos'!$E$301)*(($B$168)-$A140&lt;='Cálculos'!$E$297)*(('Cálculos'!$E$185*(1+'Cálculos'!$E$186+$A140*('Cálculos'!$E$290=1)*'Cálculos'!$E$97+'Cálculos'!$E$305)+'Cálculos'!$E$191)*('Cálculos'!$E$209+'Cálculos'!$E$124*(1+2.78*('Cálculos'!$E$196+(($B$168)-$A140)*'Cálculos'!$E$98)/(('Cálculos'!$E$196+(($B$168)-$A140)*'Cálculos'!$E$98)+1400)+'Cálculos'!$E$122)*'Cálculos'!$E$214+'Cálculos'!$E$125*(1+2.78*('Cálculos'!$E$196+(($B$168)-$A140)*'Cálculos'!$E$98)/(('Cálculos'!$E$196+(($B$168)-$A140)*'Cálculos'!$E$98)+1400)+'Cálculos'!$E$123)*'Cálculos'!$E$219)+('Cálculos'!$E$196+(($B$168)-$A140)*'Cálculos'!$E$98)*('Cálculos'!$E$210+'Cálculos'!$E$124*(1+2.78*('Cálculos'!$E$196+(($B$168)-$A140)*'Cálculos'!$E$98)/(('Cálculos'!$E$196+(($B$168)-$A140)*'Cálculos'!$E$98)+1400)+'Cálculos'!$E$122)*'Cálculos'!$E$215+'Cálculos'!$E$125*(1+2.78*('Cálculos'!$E$196+(($B$168)-$A140)*'Cálculos'!$E$98)/(('Cálculos'!$E$196+(($B$168)-$A140)*'Cálculos'!$E$98)+1400)+'Cálculos'!$E$123)*'Cálculos'!$E$220)+('Cálculos'!$E$201*(1+'Cálculos'!$E$202+$A140*('Cálculos'!$E$290=2)*'Cálculos'!$E$101)+'Cálculos'!$E$203)*('Cálculos'!$E$211+'Cálculos'!$E$124*(1+2.78*('Cálculos'!$E$196+(($B$168)-$A140)*'Cálculos'!$E$98)/(('Cálculos'!$E$196+(($B$168)-$A140)*'Cálculos'!$E$98)+1400)+'Cálculos'!$E$122)*'Cálculos'!$E$216+'Cálculos'!$E$125*(1+2.78*('Cálculos'!$E$196+(($B$168)-$A140)*'Cálculos'!$E$98)/(('Cálculos'!$E$196+(($B$168)-$A140)*'Cálculos'!$E$98)+1400)+'Cálculos'!$E$123)*'Cálculos'!$E$221)+('Cálculos'!$E$204*(1+'Cálculos'!$E$205+$A140*('Cálculos'!$E$290=3)*'Cálculos'!$E$103)+'Cálculos'!$E$206)*('Cálculos'!$E$212+'Cálculos'!$E$124*(1+2.78*('Cálculos'!$E$196+(($B$168)-$A140)*'Cálculos'!$E$98)/(('Cálculos'!$E$196+(($B$168)-$A140)*'Cálculos'!$E$98)+1400)+'Cálculos'!$E$122)*'Cálculos'!$E$217+'Cálculos'!$E$125*(1+2.78*('Cálculos'!$E$196+(($B$168)-$A140)*'Cálculos'!$E$98)/(('Cálculos'!$E$196+(($B$168)-$A140)*'Cálculos'!$E$98)+1400)+'Cálculos'!$E$123)*'Cálculos'!$E$222)+('Cálculos'!$E$213+'Cálculos'!$E$124*(1+2.78*('Cálculos'!$E$196+(($B$168)-$A140)*'Cálculos'!$E$98)/(('Cálculos'!$E$196+(($B$168)-$A140)*'Cálculos'!$E$98)+1400)+'Cálculos'!$E$122)*'Cálculos'!$E$218+'Cálculos'!$E$125*(1+2.78*('Cálculos'!$E$196+(($B$168)-$A140)*'Cálculos'!$E$98)/(('Cálculos'!$E$196+(($B$168)-$A140)*'Cálculos'!$E$98)+1400)+'Cálculos'!$E$123)*'Cálculos'!$E$223)+('Cálculos'!$E$185*(1+'Cálculos'!$E$187+$A140*('Cálculos'!$E$290=1)*'Cálculos'!$E$97+'Cálculos'!$E$305)+'Cálculos'!$E$192)*('Cálculos'!$E$224+'Cálculos'!$E$124*(1+2.78*('Cálculos'!$E$197+(($B$168)-$A140)*'Cálculos'!$E$98)/(('Cálculos'!$E$197+(($B$168)-$A140)*'Cálculos'!$E$98)+1400)+'Cálculos'!$E$122)*'Cálculos'!$E$229+'Cálculos'!$E$125*(1+2.78*('Cálculos'!$E$197+(($B$168)-$A140)*'Cálculos'!$E$98)/(('Cálculos'!$E$197+(($B$168)-$A140)*'Cálculos'!$E$98)+1400)+'Cálculos'!$E$123)*'Cálculos'!$E$234)+('Cálculos'!$E$197+(($B$168)-$A140)*'Cálculos'!$E$98)*('Cálculos'!$E$225+'Cálculos'!$E$124*(1+2.78*('Cálculos'!$E$197+(($B$168)-$A140)*'Cálculos'!$E$98)/(('Cálculos'!$E$197+(($B$168)-$A140)*'Cálculos'!$E$98)+1400)+'Cálculos'!$E$122)*'Cálculos'!$E$230+'Cálculos'!$E$125*(1+2.78*('Cálculos'!$E$197+(($B$168)-$A140)*'Cálculos'!$E$98)/(('Cálculos'!$E$197+(($B$168)-$A140)*'Cálculos'!$E$98)+1400)+'Cálculos'!$E$123)*'Cálculos'!$E$235)+('Cálculos'!$E$201*(1+'Cálculos'!$E$202+$A140*('Cálculos'!$E$290=2)*'Cálculos'!$E$101)+'Cálculos'!$E$203)*('Cálculos'!$E$226+'Cálculos'!$E$124*(1+2.78*('Cálculos'!$E$197+(($B$168)-$A140)*'Cálculos'!$E$98)/(('Cálculos'!$E$197+(($B$168)-$A140)*'Cálculos'!$E$98)+1400)+'Cálculos'!$E$122)*'Cálculos'!$E$231+'Cálculos'!$E$125*(1+2.78*('Cálculos'!$E$197+(($B$168)-$A140)*'Cálculos'!$E$98)/(('Cálculos'!$E$197+(($B$168)-$A140)*'Cálculos'!$E$98)+1400)+'Cálculos'!$E$123)*'Cálculos'!$E$236)+('Cálculos'!$E$204*(1+'Cálculos'!$E$205+$A140*('Cálculos'!$E$290=3)*'Cálculos'!$E$103)+'Cálculos'!$E$206)*('Cálculos'!$E$227+'Cálculos'!$E$124*(1+2.78*('Cálculos'!$E$197+(($B$168)-$A140)*'Cálculos'!$E$98)/(('Cálculos'!$E$197+(($B$168)-$A140)*'Cálculos'!$E$98)+1400)+'Cálculos'!$E$122)*'Cálculos'!$E$232+'Cálculos'!$E$125*(1+2.78*('Cálculos'!$E$197+(($B$168)-$A140)*'Cálculos'!$E$98)/(('Cálculos'!$E$197+(($B$168)-$A140)*'Cálculos'!$E$98)+1400)+'Cálculos'!$E$123)*'Cálculos'!$E$237)+('Cálculos'!$E$228+'Cálculos'!$E$124*(1+2.78*('Cálculos'!$E$197+(($B$168)-$A140)*'Cálculos'!$E$98)/(('Cálculos'!$E$197+(($B$168)-$A140)*'Cálculos'!$E$98)+1400)+'Cálculos'!$E$122)*'Cálculos'!$E$233+'Cálculos'!$E$125*(1+2.78*('Cálculos'!$E$197+(($B$168)-$A140)*'Cálculos'!$E$98)/(('Cálculos'!$E$197+(($B$168)-$A140)*'Cálculos'!$E$98)+1400)+'Cálculos'!$E$123)*'Cálculos'!$E$238)+('Cálculos'!$E$185*(1+'Cálculos'!$E$188+$A140*('Cálculos'!$E$290=1)*'Cálculos'!$E$97+'Cálculos'!$E$305)+'Cálculos'!$E$193)*('Cálculos'!$E$239+'Cálculos'!$E$124*(1+2.78*('Cálculos'!$E$198+(($B$168)-$A140)*'Cálculos'!$E$98)/(('Cálculos'!$E$198+(($B$168)-$A140)*'Cálculos'!$E$98)+1400)+'Cálculos'!$E$122)*'Cálculos'!$E$244+'Cálculos'!$E$125*(1+2.78*('Cálculos'!$E$198+(($B$168)-$A140)*'Cálculos'!$E$98)/(('Cálculos'!$E$198+(($B$168)-$A140)*'Cálculos'!$E$98)+1400)+'Cálculos'!$E$123)*'Cálculos'!$E$249)+('Cálculos'!$E$198+(($B$168)-$A140)*'Cálculos'!$E$98)*('Cálculos'!$E$240+'Cálculos'!$E$124*(1+2.78*('Cálculos'!$E$198+(($B$168)-$A140)*'Cálculos'!$E$98)/(('Cálculos'!$E$198+(($B$168)-$A140)*'Cálculos'!$E$98)+1400)+'Cálculos'!$E$122)*'Cálculos'!$E$245+'Cálculos'!$E$125*(1+2.78*('Cálculos'!$E$198+(($B$168)-$A140)*'Cálculos'!$E$98)/(('Cálculos'!$E$198+(($B$168)-$A140)*'Cálculos'!$E$98)+1400)+'Cálculos'!$E$123)*'Cálculos'!$E$250)+('Cálculos'!$E$201*(1+'Cálculos'!$E$202+$A140*('Cálculos'!$E$290=2)*'Cálculos'!$E$101)+'Cálculos'!$E$203)*('Cálculos'!$E$241+'Cálculos'!$E$124*(1+2.78*('Cálculos'!$E$198+(($B$168)-$A140)*'Cálculos'!$E$98)/(('Cálculos'!$E$198+(($B$168)-$A140)*'Cálculos'!$E$98)+1400)+'Cálculos'!$E$122)*'Cálculos'!$E$246+'Cálculos'!$E$125*(1+2.78*('Cálculos'!$E$198+(($B$168)-$A140)*'Cálculos'!$E$98)/(('Cálculos'!$E$198+(($B$168)-$A140)*'Cálculos'!$E$98)+1400)+'Cálculos'!$E$123)*'Cálculos'!$E$251)+('Cálculos'!$E$204*(1+'Cálculos'!$E$205+$A140*('Cálculos'!$E$290=3)*'Cálculos'!$E$103)+'Cálculos'!$E$206)*('Cálculos'!$E$242+'Cálculos'!$E$124*(1+2.78*('Cálculos'!$E$198+(($B$168)-$A140)*'Cálculos'!$E$98)/(('Cálculos'!$E$198+(($B$168)-$A140)*'Cálculos'!$E$98)+1400)+'Cálculos'!$E$122)*'Cálculos'!$E$247+'Cálculos'!$E$125*(1+2.78*('Cálculos'!$E$198+(($B$168)-$A140)*'Cálculos'!$E$98)/(('Cálculos'!$E$198+(($B$168)-$A140)*'Cálculos'!$E$98)+1400)+'Cálculos'!$E$123)*'Cálculos'!$E$252)+('Cálculos'!$E$243+'Cálculos'!$E$124*(1+2.78*('Cálculos'!$E$198+(($B$168)-$A140)*'Cálculos'!$E$98)/(('Cálculos'!$E$198+(($B$168)-$A140)*'Cálculos'!$E$98)+1400)+'Cálculos'!$E$122)*'Cálculos'!$E$248+'Cálculos'!$E$125*(1+2.78*('Cálculos'!$E$198+(($B$168)-$A140)*'Cálculos'!$E$98)/(('Cálculos'!$E$198+(($B$168)-$A140)*'Cálculos'!$E$98)+1400)+'Cálculos'!$E$123)*'Cálculos'!$E$253)+('Cálculos'!$E$185*(1+'Cálculos'!$E$189+$A140*('Cálculos'!$E$290=1)*'Cálculos'!$E$97+'Cálculos'!$E$305)+'Cálculos'!$E$194)*('Cálculos'!$E$254+'Cálculos'!$E$124*(1+2.78*('Cálculos'!$E$199+(($B$168)-$A140)*'Cálculos'!$E$98)/(('Cálculos'!$E$199+(($B$168)-$A140)*'Cálculos'!$E$98)+1400)+'Cálculos'!$E$122)*'Cálculos'!$E$259+'Cálculos'!$E$125*(1+2.78*('Cálculos'!$E$199+(($B$168)-$A140)*'Cálculos'!$E$98)/(('Cálculos'!$E$199+(($B$168)-$A140)*'Cálculos'!$E$98)+1400)+'Cálculos'!$E$123)*'Cálculos'!$E$264)+('Cálculos'!$E$199+(($B$168)-$A140)*'Cálculos'!$E$98)*('Cálculos'!$E$255+'Cálculos'!$E$124*(1+2.78*('Cálculos'!$E$199+(($B$168)-$A140)*'Cálculos'!$E$98)/(('Cálculos'!$E$199+(($B$168)-$A140)*'Cálculos'!$E$98)+1400)+'Cálculos'!$E$122)*'Cálculos'!$E$260+'Cálculos'!$E$125*(1+2.78*('Cálculos'!$E$199+(($B$168)-$A140)*'Cálculos'!$E$98)/(('Cálculos'!$E$199+(($B$168)-$A140)*'Cálculos'!$E$98)+1400)+'Cálculos'!$E$123)*'Cálculos'!$E$265)+('Cálculos'!$E$201*(1+'Cálculos'!$E$202+$A140*('Cálculos'!$E$290=2)*'Cálculos'!$E$101)+'Cálculos'!$E$203)*('Cálculos'!$E$256+'Cálculos'!$E$124*(1+2.78*('Cálculos'!$E$199+(($B$168)-$A140)*'Cálculos'!$E$98)/(('Cálculos'!$E$199+(($B$168)-$A140)*'Cálculos'!$E$98)+1400)+'Cálculos'!$E$122)*'Cálculos'!$E$261+'Cálculos'!$E$125*(1+2.78*('Cálculos'!$E$199+(($B$168)-$A140)*'Cálculos'!$E$98)/(('Cálculos'!$E$199+(($B$168)-$A140)*'Cálculos'!$E$98)+1400)+'Cálculos'!$E$123)*'Cálculos'!$E$266)+('Cálculos'!$E$204*(1+'Cálculos'!$E$205+$A140*('Cálculos'!$E$290=3)*'Cálculos'!$E$103)+'Cálculos'!$E$206)*('Cálculos'!$E$257+'Cálculos'!$E$124*(1+2.78*('Cálculos'!$E$199+(($B$168)-$A140)*'Cálculos'!$E$98)/(('Cálculos'!$E$199+(($B$168)-$A140)*'Cálculos'!$E$98)+1400)+'Cálculos'!$E$122)*'Cálculos'!$E$262+'Cálculos'!$E$125*(1+2.78*('Cálculos'!$E$199+(($B$168)-$A140)*'Cálculos'!$E$98)/(('Cálculos'!$E$199+(($B$168)-$A140)*'Cálculos'!$E$98)+1400)+'Cálculos'!$E$123)*'Cálculos'!$E$267)+('Cálculos'!$E$258+'Cálculos'!$E$124*(1+2.78*('Cálculos'!$E$199+(($B$168)-$A140)*'Cálculos'!$E$98)/(('Cálculos'!$E$199+(($B$168)-$A140)*'Cálculos'!$E$98)+1400)+'Cálculos'!$E$122)*'Cálculos'!$E$263+'Cálculos'!$E$125*(1+2.78*('Cálculos'!$E$199+(($B$168)-$A140)*'Cálculos'!$E$98)/(('Cálculos'!$E$199+(($B$168)-$A140)*'Cálculos'!$E$98)+1400)+'Cálculos'!$E$123)*'Cálculos'!$E$268)+('Cálculos'!$E$185*(1+'Cálculos'!$E$190+$A140*('Cálculos'!$E$290=1)*'Cálculos'!$E$97+'Cálculos'!$E$305)+'Cálculos'!$E$195)*('Cálculos'!$E$269+'Cálculos'!$E$124*(1+2.78*('Cálculos'!$E$200+(($B$168)-$A140)*'Cálculos'!$E$98)/(('Cálculos'!$E$200+(($B$168)-$A140)*'Cálculos'!$E$98)+1400)+'Cálculos'!$E$122)*'Cálculos'!$E$274+'Cálculos'!$E$125*(1+2.78*('Cálculos'!$E$200+(($B$168)-$A140)*'Cálculos'!$E$98)/(('Cálculos'!$E$200+(($B$168)-$A140)*'Cálculos'!$E$98)+1400)+'Cálculos'!$E$123)*'Cálculos'!$E$279)+('Cálculos'!$E$200+(($B$168)-$A140)*'Cálculos'!$E$98)*('Cálculos'!$E$270+'Cálculos'!$E$124*(1+2.78*('Cálculos'!$E$200+(($B$168)-$A140)*'Cálculos'!$E$98)/(('Cálculos'!$E$200+(($B$168)-$A140)*'Cálculos'!$E$98)+1400)+'Cálculos'!$E$122)*'Cálculos'!$E$275+'Cálculos'!$E$125*(1+2.78*('Cálculos'!$E$200+(($B$168)-$A140)*'Cálculos'!$E$98)/(('Cálculos'!$E$200+(($B$168)-$A140)*'Cálculos'!$E$98)+1400)+'Cálculos'!$E$123)*'Cálculos'!$E$280)+('Cálculos'!$E$201*(1+'Cálculos'!$E$202+$A140*('Cálculos'!$E$290=2)*'Cálculos'!$E$101)+'Cálculos'!$E$203)*('Cálculos'!$E$271+'Cálculos'!$E$124*(1+2.78*('Cálculos'!$E$200+(($B$168)-$A140)*'Cálculos'!$E$98)/(('Cálculos'!$E$200+(($B$168)-$A140)*'Cálculos'!$E$98)+1400)+'Cálculos'!$E$122)*'Cálculos'!$E$276+'Cálculos'!$E$125*(1+2.78*('Cálculos'!$E$200+(($B$168)-$A140)*'Cálculos'!$E$98)/(('Cálculos'!$E$200+(($B$168)-$A140)*'Cálculos'!$E$98)+1400)+'Cálculos'!$E$123)*'Cálculos'!$E$281)+('Cálculos'!$E$204*(1+'Cálculos'!$E$205+$A140*('Cálculos'!$E$290=3)*'Cálculos'!$E$103)+'Cálculos'!$E$206)*('Cálculos'!$E$272+'Cálculos'!$E$124*(1+2.78*('Cálculos'!$E$200+(($B$168)-$A140)*'Cálculos'!$E$98)/(('Cálculos'!$E$200+(($B$168)-$A140)*'Cálculos'!$E$98)+1400)+'Cálculos'!$E$122)*'Cálculos'!$E$277+'Cálculos'!$E$125*(1+2.78*('Cálculos'!$E$200+(($B$168)-$A140)*'Cálculos'!$E$98)/(('Cálculos'!$E$200+(($B$168)-$A140)*'Cálculos'!$E$98)+1400)+'Cálculos'!$E$123)*'Cálculos'!$E$282)+('Cálculos'!$E$273+'Cálculos'!$E$124*(1+2.78*('Cálculos'!$E$200+(($B$168)-$A140)*'Cálculos'!$E$98)/(('Cálculos'!$E$200+(($B$168)-$A140)*'Cálculos'!$E$98)+1400)+'Cálculos'!$E$122)*'Cálculos'!$E$278+'Cálculos'!$E$125*(1+2.78*('Cálculos'!$E$200+(($B$168)-$A140)*'Cálculos'!$E$98)/(('Cálculos'!$E$200+(($B$168)-$A140)*'Cálculos'!$E$98)+1400)+'Cálculos'!$E$123)*'Cálculos'!$E$283)))</f>
        <v>0</v>
      </c>
    </row>
    <row r="141" ht="15.75" customHeight="1">
      <c r="A141" s="2">
        <v>21.0</v>
      </c>
      <c r="B141" s="30">
        <f>SUMPRODUCT(MAX(($A$120:$A$165&lt;=$A141)*($A$120:$A$165&lt;='Cálculos'!$E$294)*(($A141)-$A$120:$A$165&lt;='Cálculos'!$E$295)*(1+(('Cálculos'!$E$207+$A$120:$A$165*'Cálculos'!$E$95)-(('Cálculos'!$E$207+$A$120:$A$165*'Cálculos'!$E$95)&gt;1)*(('Cálculos'!$E$207+$A$120:$A$165*'Cálculos'!$E$95)-1))*('Cálculos'!$E$208+(($A141)-$A$120:$A$165)*'Cálculos'!$E$96))))</f>
        <v>2.030976</v>
      </c>
      <c r="C141" s="2">
        <f>'Cálculos'!$E$303-$A141</f>
        <v>-8</v>
      </c>
      <c r="D141" s="31">
        <f>IF($C141&lt;0,0,SUMPRODUCT(MAX(($A$120:$A$165&lt;=$C141)*($A$120:$A$165&lt;='Cálculos'!$E$301)*(($C141)-$A$120:$A$165&lt;='Cálculos'!$E$297)*(('Cálculos'!$E$185*(1+'Cálculos'!$E$186+$A$120:$A$165*('Cálculos'!$E$290=1)*'Cálculos'!$E$97+'Cálculos'!$E$305)+'Cálculos'!$E$191)*('Cálculos'!$E$209+'Cálculos'!$E$124*(1+2.78*('Cálculos'!$E$196+(($C141)-$A$120:$A$165)*'Cálculos'!$E$98)/(('Cálculos'!$E$196+(($C141)-$A$120:$A$165)*'Cálculos'!$E$98)+1400)+'Cálculos'!$E$122)*'Cálculos'!$E$214+'Cálculos'!$E$125*(1+2.78*('Cálculos'!$E$196+(($C141)-$A$120:$A$165)*'Cálculos'!$E$98)/(('Cálculos'!$E$196+(($C141)-$A$120:$A$165)*'Cálculos'!$E$98)+1400)+'Cálculos'!$E$123)*'Cálculos'!$E$219)+('Cálculos'!$E$196+(($C141)-$A$120:$A$165)*'Cálculos'!$E$98)*('Cálculos'!$E$210+'Cálculos'!$E$124*(1+2.78*('Cálculos'!$E$196+(($C141)-$A$120:$A$165)*'Cálculos'!$E$98)/(('Cálculos'!$E$196+(($C141)-$A$120:$A$165)*'Cálculos'!$E$98)+1400)+'Cálculos'!$E$122)*'Cálculos'!$E$215+'Cálculos'!$E$125*(1+2.78*('Cálculos'!$E$196+(($C141)-$A$120:$A$165)*'Cálculos'!$E$98)/(('Cálculos'!$E$196+(($C141)-$A$120:$A$165)*'Cálculos'!$E$98)+1400)+'Cálculos'!$E$123)*'Cálculos'!$E$220)+('Cálculos'!$E$201*(1+'Cálculos'!$E$202+$A$120:$A$165*('Cálculos'!$E$290=2)*'Cálculos'!$E$101)+'Cálculos'!$E$203)*('Cálculos'!$E$211+'Cálculos'!$E$124*(1+2.78*('Cálculos'!$E$196+(($C141)-$A$120:$A$165)*'Cálculos'!$E$98)/(('Cálculos'!$E$196+(($C141)-$A$120:$A$165)*'Cálculos'!$E$98)+1400)+'Cálculos'!$E$122)*'Cálculos'!$E$216+'Cálculos'!$E$125*(1+2.78*('Cálculos'!$E$196+(($C141)-$A$120:$A$165)*'Cálculos'!$E$98)/(('Cálculos'!$E$196+(($C141)-$A$120:$A$165)*'Cálculos'!$E$98)+1400)+'Cálculos'!$E$123)*'Cálculos'!$E$221)+('Cálculos'!$E$204*(1+'Cálculos'!$E$205+$A$120:$A$165*('Cálculos'!$E$290=3)*'Cálculos'!$E$103)+'Cálculos'!$E$206)*('Cálculos'!$E$212+'Cálculos'!$E$124*(1+2.78*('Cálculos'!$E$196+(($C141)-$A$120:$A$165)*'Cálculos'!$E$98)/(('Cálculos'!$E$196+(($C141)-$A$120:$A$165)*'Cálculos'!$E$98)+1400)+'Cálculos'!$E$122)*'Cálculos'!$E$217+'Cálculos'!$E$125*(1+2.78*('Cálculos'!$E$196+(($C141)-$A$120:$A$165)*'Cálculos'!$E$98)/(('Cálculos'!$E$196+(($C141)-$A$120:$A$165)*'Cálculos'!$E$98)+1400)+'Cálculos'!$E$123)*'Cálculos'!$E$222)+('Cálculos'!$E$213+'Cálculos'!$E$124*(1+2.78*('Cálculos'!$E$196+(($C141)-$A$120:$A$165)*'Cálculos'!$E$98)/(('Cálculos'!$E$196+(($C141)-$A$120:$A$165)*'Cálculos'!$E$98)+1400)+'Cálculos'!$E$122)*'Cálculos'!$E$218+'Cálculos'!$E$125*(1+2.78*('Cálculos'!$E$196+(($C141)-$A$120:$A$165)*'Cálculos'!$E$98)/(('Cálculos'!$E$196+(($C141)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141)-$A$120:$A$165)*'Cálculos'!$E$98)/(('Cálculos'!$E$197+(($C141)-$A$120:$A$165)*'Cálculos'!$E$98)+1400)+'Cálculos'!$E$122)*'Cálculos'!$E$229+'Cálculos'!$E$125*(1+2.78*('Cálculos'!$E$197+(($C141)-$A$120:$A$165)*'Cálculos'!$E$98)/(('Cálculos'!$E$197+(($C141)-$A$120:$A$165)*'Cálculos'!$E$98)+1400)+'Cálculos'!$E$123)*'Cálculos'!$E$234)+('Cálculos'!$E$197+(($C141)-$A$120:$A$165)*'Cálculos'!$E$98)*('Cálculos'!$E$225+'Cálculos'!$E$124*(1+2.78*('Cálculos'!$E$197+(($C141)-$A$120:$A$165)*'Cálculos'!$E$98)/(('Cálculos'!$E$197+(($C141)-$A$120:$A$165)*'Cálculos'!$E$98)+1400)+'Cálculos'!$E$122)*'Cálculos'!$E$230+'Cálculos'!$E$125*(1+2.78*('Cálculos'!$E$197+(($C141)-$A$120:$A$165)*'Cálculos'!$E$98)/(('Cálculos'!$E$197+(($C141)-$A$120:$A$165)*'Cálculos'!$E$98)+1400)+'Cálculos'!$E$123)*'Cálculos'!$E$235)+('Cálculos'!$E$201*(1+'Cálculos'!$E$202+$A$120:$A$165*('Cálculos'!$E$290=2)*'Cálculos'!$E$101)+'Cálculos'!$E$203)*('Cálculos'!$E$226+'Cálculos'!$E$124*(1+2.78*('Cálculos'!$E$197+(($C141)-$A$120:$A$165)*'Cálculos'!$E$98)/(('Cálculos'!$E$197+(($C141)-$A$120:$A$165)*'Cálculos'!$E$98)+1400)+'Cálculos'!$E$122)*'Cálculos'!$E$231+'Cálculos'!$E$125*(1+2.78*('Cálculos'!$E$197+(($C141)-$A$120:$A$165)*'Cálculos'!$E$98)/(('Cálculos'!$E$197+(($C141)-$A$120:$A$165)*'Cálculos'!$E$98)+1400)+'Cálculos'!$E$123)*'Cálculos'!$E$236)+('Cálculos'!$E$204*(1+'Cálculos'!$E$205+$A$120:$A$165*('Cálculos'!$E$290=3)*'Cálculos'!$E$103)+'Cálculos'!$E$206)*('Cálculos'!$E$227+'Cálculos'!$E$124*(1+2.78*('Cálculos'!$E$197+(($C141)-$A$120:$A$165)*'Cálculos'!$E$98)/(('Cálculos'!$E$197+(($C141)-$A$120:$A$165)*'Cálculos'!$E$98)+1400)+'Cálculos'!$E$122)*'Cálculos'!$E$232+'Cálculos'!$E$125*(1+2.78*('Cálculos'!$E$197+(($C141)-$A$120:$A$165)*'Cálculos'!$E$98)/(('Cálculos'!$E$197+(($C141)-$A$120:$A$165)*'Cálculos'!$E$98)+1400)+'Cálculos'!$E$123)*'Cálculos'!$E$237)+('Cálculos'!$E$228+'Cálculos'!$E$124*(1+2.78*('Cálculos'!$E$197+(($C141)-$A$120:$A$165)*'Cálculos'!$E$98)/(('Cálculos'!$E$197+(($C141)-$A$120:$A$165)*'Cálculos'!$E$98)+1400)+'Cálculos'!$E$122)*'Cálculos'!$E$233+'Cálculos'!$E$125*(1+2.78*('Cálculos'!$E$197+(($C141)-$A$120:$A$165)*'Cálculos'!$E$98)/(('Cálculos'!$E$197+(($C141)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141)-$A$120:$A$165)*'Cálculos'!$E$98)/(('Cálculos'!$E$198+(($C141)-$A$120:$A$165)*'Cálculos'!$E$98)+1400)+'Cálculos'!$E$122)*'Cálculos'!$E$244+'Cálculos'!$E$125*(1+2.78*('Cálculos'!$E$198+(($C141)-$A$120:$A$165)*'Cálculos'!$E$98)/(('Cálculos'!$E$198+(($C141)-$A$120:$A$165)*'Cálculos'!$E$98)+1400)+'Cálculos'!$E$123)*'Cálculos'!$E$249)+('Cálculos'!$E$198+(($C141)-$A$120:$A$165)*'Cálculos'!$E$98)*('Cálculos'!$E$240+'Cálculos'!$E$124*(1+2.78*('Cálculos'!$E$198+(($C141)-$A$120:$A$165)*'Cálculos'!$E$98)/(('Cálculos'!$E$198+(($C141)-$A$120:$A$165)*'Cálculos'!$E$98)+1400)+'Cálculos'!$E$122)*'Cálculos'!$E$245+'Cálculos'!$E$125*(1+2.78*('Cálculos'!$E$198+(($C141)-$A$120:$A$165)*'Cálculos'!$E$98)/(('Cálculos'!$E$198+(($C141)-$A$120:$A$165)*'Cálculos'!$E$98)+1400)+'Cálculos'!$E$123)*'Cálculos'!$E$250)+('Cálculos'!$E$201*(1+'Cálculos'!$E$202+$A$120:$A$165*('Cálculos'!$E$290=2)*'Cálculos'!$E$101)+'Cálculos'!$E$203)*('Cálculos'!$E$241+'Cálculos'!$E$124*(1+2.78*('Cálculos'!$E$198+(($C141)-$A$120:$A$165)*'Cálculos'!$E$98)/(('Cálculos'!$E$198+(($C141)-$A$120:$A$165)*'Cálculos'!$E$98)+1400)+'Cálculos'!$E$122)*'Cálculos'!$E$246+'Cálculos'!$E$125*(1+2.78*('Cálculos'!$E$198+(($C141)-$A$120:$A$165)*'Cálculos'!$E$98)/(('Cálculos'!$E$198+(($C141)-$A$120:$A$165)*'Cálculos'!$E$98)+1400)+'Cálculos'!$E$123)*'Cálculos'!$E$251)+('Cálculos'!$E$204*(1+'Cálculos'!$E$205+$A$120:$A$165*('Cálculos'!$E$290=3)*'Cálculos'!$E$103)+'Cálculos'!$E$206)*('Cálculos'!$E$242+'Cálculos'!$E$124*(1+2.78*('Cálculos'!$E$198+(($C141)-$A$120:$A$165)*'Cálculos'!$E$98)/(('Cálculos'!$E$198+(($C141)-$A$120:$A$165)*'Cálculos'!$E$98)+1400)+'Cálculos'!$E$122)*'Cálculos'!$E$247+'Cálculos'!$E$125*(1+2.78*('Cálculos'!$E$198+(($C141)-$A$120:$A$165)*'Cálculos'!$E$98)/(('Cálculos'!$E$198+(($C141)-$A$120:$A$165)*'Cálculos'!$E$98)+1400)+'Cálculos'!$E$123)*'Cálculos'!$E$252)+('Cálculos'!$E$243+'Cálculos'!$E$124*(1+2.78*('Cálculos'!$E$198+(($C141)-$A$120:$A$165)*'Cálculos'!$E$98)/(('Cálculos'!$E$198+(($C141)-$A$120:$A$165)*'Cálculos'!$E$98)+1400)+'Cálculos'!$E$122)*'Cálculos'!$E$248+'Cálculos'!$E$125*(1+2.78*('Cálculos'!$E$198+(($C141)-$A$120:$A$165)*'Cálculos'!$E$98)/(('Cálculos'!$E$198+(($C141)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141)-$A$120:$A$165)*'Cálculos'!$E$98)/(('Cálculos'!$E$199+(($C141)-$A$120:$A$165)*'Cálculos'!$E$98)+1400)+'Cálculos'!$E$122)*'Cálculos'!$E$259+'Cálculos'!$E$125*(1+2.78*('Cálculos'!$E$199+(($C141)-$A$120:$A$165)*'Cálculos'!$E$98)/(('Cálculos'!$E$199+(($C141)-$A$120:$A$165)*'Cálculos'!$E$98)+1400)+'Cálculos'!$E$123)*'Cálculos'!$E$264)+('Cálculos'!$E$199+(($C141)-$A$120:$A$165)*'Cálculos'!$E$98)*('Cálculos'!$E$255+'Cálculos'!$E$124*(1+2.78*('Cálculos'!$E$199+(($C141)-$A$120:$A$165)*'Cálculos'!$E$98)/(('Cálculos'!$E$199+(($C141)-$A$120:$A$165)*'Cálculos'!$E$98)+1400)+'Cálculos'!$E$122)*'Cálculos'!$E$260+'Cálculos'!$E$125*(1+2.78*('Cálculos'!$E$199+(($C141)-$A$120:$A$165)*'Cálculos'!$E$98)/(('Cálculos'!$E$199+(($C141)-$A$120:$A$165)*'Cálculos'!$E$98)+1400)+'Cálculos'!$E$123)*'Cálculos'!$E$265)+('Cálculos'!$E$201*(1+'Cálculos'!$E$202+$A$120:$A$165*('Cálculos'!$E$290=2)*'Cálculos'!$E$101)+'Cálculos'!$E$203)*('Cálculos'!$E$256+'Cálculos'!$E$124*(1+2.78*('Cálculos'!$E$199+(($C141)-$A$120:$A$165)*'Cálculos'!$E$98)/(('Cálculos'!$E$199+(($C141)-$A$120:$A$165)*'Cálculos'!$E$98)+1400)+'Cálculos'!$E$122)*'Cálculos'!$E$261+'Cálculos'!$E$125*(1+2.78*('Cálculos'!$E$199+(($C141)-$A$120:$A$165)*'Cálculos'!$E$98)/(('Cálculos'!$E$199+(($C141)-$A$120:$A$165)*'Cálculos'!$E$98)+1400)+'Cálculos'!$E$123)*'Cálculos'!$E$266)+('Cálculos'!$E$204*(1+'Cálculos'!$E$205+$A$120:$A$165*('Cálculos'!$E$290=3)*'Cálculos'!$E$103)+'Cálculos'!$E$206)*('Cálculos'!$E$257+'Cálculos'!$E$124*(1+2.78*('Cálculos'!$E$199+(($C141)-$A$120:$A$165)*'Cálculos'!$E$98)/(('Cálculos'!$E$199+(($C141)-$A$120:$A$165)*'Cálculos'!$E$98)+1400)+'Cálculos'!$E$122)*'Cálculos'!$E$262+'Cálculos'!$E$125*(1+2.78*('Cálculos'!$E$199+(($C141)-$A$120:$A$165)*'Cálculos'!$E$98)/(('Cálculos'!$E$199+(($C141)-$A$120:$A$165)*'Cálculos'!$E$98)+1400)+'Cálculos'!$E$123)*'Cálculos'!$E$267)+('Cálculos'!$E$258+'Cálculos'!$E$124*(1+2.78*('Cálculos'!$E$199+(($C141)-$A$120:$A$165)*'Cálculos'!$E$98)/(('Cálculos'!$E$199+(($C141)-$A$120:$A$165)*'Cálculos'!$E$98)+1400)+'Cálculos'!$E$122)*'Cálculos'!$E$263+'Cálculos'!$E$125*(1+2.78*('Cálculos'!$E$199+(($C141)-$A$120:$A$165)*'Cálculos'!$E$98)/(('Cálculos'!$E$199+(($C141)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141)-$A$120:$A$165)*'Cálculos'!$E$98)/(('Cálculos'!$E$200+(($C141)-$A$120:$A$165)*'Cálculos'!$E$98)+1400)+'Cálculos'!$E$122)*'Cálculos'!$E$274+'Cálculos'!$E$125*(1+2.78*('Cálculos'!$E$200+(($C141)-$A$120:$A$165)*'Cálculos'!$E$98)/(('Cálculos'!$E$200+(($C141)-$A$120:$A$165)*'Cálculos'!$E$98)+1400)+'Cálculos'!$E$123)*'Cálculos'!$E$279)+('Cálculos'!$E$200+(($C141)-$A$120:$A$165)*'Cálculos'!$E$98)*('Cálculos'!$E$270+'Cálculos'!$E$124*(1+2.78*('Cálculos'!$E$200+(($C141)-$A$120:$A$165)*'Cálculos'!$E$98)/(('Cálculos'!$E$200+(($C141)-$A$120:$A$165)*'Cálculos'!$E$98)+1400)+'Cálculos'!$E$122)*'Cálculos'!$E$275+'Cálculos'!$E$125*(1+2.78*('Cálculos'!$E$200+(($C141)-$A$120:$A$165)*'Cálculos'!$E$98)/(('Cálculos'!$E$200+(($C141)-$A$120:$A$165)*'Cálculos'!$E$98)+1400)+'Cálculos'!$E$123)*'Cálculos'!$E$280)+('Cálculos'!$E$201*(1+'Cálculos'!$E$202+$A$120:$A$165*('Cálculos'!$E$290=2)*'Cálculos'!$E$101)+'Cálculos'!$E$203)*('Cálculos'!$E$271+'Cálculos'!$E$124*(1+2.78*('Cálculos'!$E$200+(($C141)-$A$120:$A$165)*'Cálculos'!$E$98)/(('Cálculos'!$E$200+(($C141)-$A$120:$A$165)*'Cálculos'!$E$98)+1400)+'Cálculos'!$E$122)*'Cálculos'!$E$276+'Cálculos'!$E$125*(1+2.78*('Cálculos'!$E$200+(($C141)-$A$120:$A$165)*'Cálculos'!$E$98)/(('Cálculos'!$E$200+(($C141)-$A$120:$A$165)*'Cálculos'!$E$98)+1400)+'Cálculos'!$E$123)*'Cálculos'!$E$281)+('Cálculos'!$E$204*(1+'Cálculos'!$E$205+$A$120:$A$165*('Cálculos'!$E$290=3)*'Cálculos'!$E$103)+'Cálculos'!$E$206)*('Cálculos'!$E$272+'Cálculos'!$E$124*(1+2.78*('Cálculos'!$E$200+(($C141)-$A$120:$A$165)*'Cálculos'!$E$98)/(('Cálculos'!$E$200+(($C141)-$A$120:$A$165)*'Cálculos'!$E$98)+1400)+'Cálculos'!$E$122)*'Cálculos'!$E$277+'Cálculos'!$E$125*(1+2.78*('Cálculos'!$E$200+(($C141)-$A$120:$A$165)*'Cálculos'!$E$98)/(('Cálculos'!$E$200+(($C141)-$A$120:$A$165)*'Cálculos'!$E$98)+1400)+'Cálculos'!$E$123)*'Cálculos'!$E$282)+('Cálculos'!$E$273+'Cálculos'!$E$124*(1+2.78*('Cálculos'!$E$200+(($C141)-$A$120:$A$165)*'Cálculos'!$E$98)/(('Cálculos'!$E$200+(($C141)-$A$120:$A$165)*'Cálculos'!$E$98)+1400)+'Cálculos'!$E$122)*'Cálculos'!$E$278+'Cálculos'!$E$125*(1+2.78*('Cálculos'!$E$200+(($C141)-$A$120:$A$165)*'Cálculos'!$E$98)/(('Cálculos'!$E$200+(($C141)-$A$120:$A$165)*'Cálculos'!$E$98)+1400)+'Cálculos'!$E$123)*'Cálculos'!$E$283)))))</f>
        <v>0</v>
      </c>
      <c r="E141" s="32">
        <f>IF(OR($C141&lt;0,'Cálculos'!$E$6=""),0,$B141*$D141)</f>
        <v>0</v>
      </c>
      <c r="F141" s="2"/>
      <c r="G141" s="30">
        <f>($A141&lt;=$B$167)*($A141&lt;='Cálculos'!$E$294)*(($B$167)-$A141&lt;='Cálculos'!$E$295)*(1+MIN(('Cálculos'!$E$207+$A141*'Cálculos'!$E$95),1)*('Cálculos'!$E$208+(($B$167)-$A141)*'Cálculos'!$E$96))</f>
        <v>0</v>
      </c>
      <c r="H141" s="31">
        <f>IF($B$168&lt;0,0,($A141&lt;=$B$168)*($A141&lt;='Cálculos'!$E$301)*(($B$168)-$A141&lt;='Cálculos'!$E$297)*(('Cálculos'!$E$185*(1+'Cálculos'!$E$186+$A141*('Cálculos'!$E$290=1)*'Cálculos'!$E$97+'Cálculos'!$E$305)+'Cálculos'!$E$191)*('Cálculos'!$E$209+'Cálculos'!$E$124*(1+2.78*('Cálculos'!$E$196+(($B$168)-$A141)*'Cálculos'!$E$98)/(('Cálculos'!$E$196+(($B$168)-$A141)*'Cálculos'!$E$98)+1400)+'Cálculos'!$E$122)*'Cálculos'!$E$214+'Cálculos'!$E$125*(1+2.78*('Cálculos'!$E$196+(($B$168)-$A141)*'Cálculos'!$E$98)/(('Cálculos'!$E$196+(($B$168)-$A141)*'Cálculos'!$E$98)+1400)+'Cálculos'!$E$123)*'Cálculos'!$E$219)+('Cálculos'!$E$196+(($B$168)-$A141)*'Cálculos'!$E$98)*('Cálculos'!$E$210+'Cálculos'!$E$124*(1+2.78*('Cálculos'!$E$196+(($B$168)-$A141)*'Cálculos'!$E$98)/(('Cálculos'!$E$196+(($B$168)-$A141)*'Cálculos'!$E$98)+1400)+'Cálculos'!$E$122)*'Cálculos'!$E$215+'Cálculos'!$E$125*(1+2.78*('Cálculos'!$E$196+(($B$168)-$A141)*'Cálculos'!$E$98)/(('Cálculos'!$E$196+(($B$168)-$A141)*'Cálculos'!$E$98)+1400)+'Cálculos'!$E$123)*'Cálculos'!$E$220)+('Cálculos'!$E$201*(1+'Cálculos'!$E$202+$A141*('Cálculos'!$E$290=2)*'Cálculos'!$E$101)+'Cálculos'!$E$203)*('Cálculos'!$E$211+'Cálculos'!$E$124*(1+2.78*('Cálculos'!$E$196+(($B$168)-$A141)*'Cálculos'!$E$98)/(('Cálculos'!$E$196+(($B$168)-$A141)*'Cálculos'!$E$98)+1400)+'Cálculos'!$E$122)*'Cálculos'!$E$216+'Cálculos'!$E$125*(1+2.78*('Cálculos'!$E$196+(($B$168)-$A141)*'Cálculos'!$E$98)/(('Cálculos'!$E$196+(($B$168)-$A141)*'Cálculos'!$E$98)+1400)+'Cálculos'!$E$123)*'Cálculos'!$E$221)+('Cálculos'!$E$204*(1+'Cálculos'!$E$205+$A141*('Cálculos'!$E$290=3)*'Cálculos'!$E$103)+'Cálculos'!$E$206)*('Cálculos'!$E$212+'Cálculos'!$E$124*(1+2.78*('Cálculos'!$E$196+(($B$168)-$A141)*'Cálculos'!$E$98)/(('Cálculos'!$E$196+(($B$168)-$A141)*'Cálculos'!$E$98)+1400)+'Cálculos'!$E$122)*'Cálculos'!$E$217+'Cálculos'!$E$125*(1+2.78*('Cálculos'!$E$196+(($B$168)-$A141)*'Cálculos'!$E$98)/(('Cálculos'!$E$196+(($B$168)-$A141)*'Cálculos'!$E$98)+1400)+'Cálculos'!$E$123)*'Cálculos'!$E$222)+('Cálculos'!$E$213+'Cálculos'!$E$124*(1+2.78*('Cálculos'!$E$196+(($B$168)-$A141)*'Cálculos'!$E$98)/(('Cálculos'!$E$196+(($B$168)-$A141)*'Cálculos'!$E$98)+1400)+'Cálculos'!$E$122)*'Cálculos'!$E$218+'Cálculos'!$E$125*(1+2.78*('Cálculos'!$E$196+(($B$168)-$A141)*'Cálculos'!$E$98)/(('Cálculos'!$E$196+(($B$168)-$A141)*'Cálculos'!$E$98)+1400)+'Cálculos'!$E$123)*'Cálculos'!$E$223)+('Cálculos'!$E$185*(1+'Cálculos'!$E$187+$A141*('Cálculos'!$E$290=1)*'Cálculos'!$E$97+'Cálculos'!$E$305)+'Cálculos'!$E$192)*('Cálculos'!$E$224+'Cálculos'!$E$124*(1+2.78*('Cálculos'!$E$197+(($B$168)-$A141)*'Cálculos'!$E$98)/(('Cálculos'!$E$197+(($B$168)-$A141)*'Cálculos'!$E$98)+1400)+'Cálculos'!$E$122)*'Cálculos'!$E$229+'Cálculos'!$E$125*(1+2.78*('Cálculos'!$E$197+(($B$168)-$A141)*'Cálculos'!$E$98)/(('Cálculos'!$E$197+(($B$168)-$A141)*'Cálculos'!$E$98)+1400)+'Cálculos'!$E$123)*'Cálculos'!$E$234)+('Cálculos'!$E$197+(($B$168)-$A141)*'Cálculos'!$E$98)*('Cálculos'!$E$225+'Cálculos'!$E$124*(1+2.78*('Cálculos'!$E$197+(($B$168)-$A141)*'Cálculos'!$E$98)/(('Cálculos'!$E$197+(($B$168)-$A141)*'Cálculos'!$E$98)+1400)+'Cálculos'!$E$122)*'Cálculos'!$E$230+'Cálculos'!$E$125*(1+2.78*('Cálculos'!$E$197+(($B$168)-$A141)*'Cálculos'!$E$98)/(('Cálculos'!$E$197+(($B$168)-$A141)*'Cálculos'!$E$98)+1400)+'Cálculos'!$E$123)*'Cálculos'!$E$235)+('Cálculos'!$E$201*(1+'Cálculos'!$E$202+$A141*('Cálculos'!$E$290=2)*'Cálculos'!$E$101)+'Cálculos'!$E$203)*('Cálculos'!$E$226+'Cálculos'!$E$124*(1+2.78*('Cálculos'!$E$197+(($B$168)-$A141)*'Cálculos'!$E$98)/(('Cálculos'!$E$197+(($B$168)-$A141)*'Cálculos'!$E$98)+1400)+'Cálculos'!$E$122)*'Cálculos'!$E$231+'Cálculos'!$E$125*(1+2.78*('Cálculos'!$E$197+(($B$168)-$A141)*'Cálculos'!$E$98)/(('Cálculos'!$E$197+(($B$168)-$A141)*'Cálculos'!$E$98)+1400)+'Cálculos'!$E$123)*'Cálculos'!$E$236)+('Cálculos'!$E$204*(1+'Cálculos'!$E$205+$A141*('Cálculos'!$E$290=3)*'Cálculos'!$E$103)+'Cálculos'!$E$206)*('Cálculos'!$E$227+'Cálculos'!$E$124*(1+2.78*('Cálculos'!$E$197+(($B$168)-$A141)*'Cálculos'!$E$98)/(('Cálculos'!$E$197+(($B$168)-$A141)*'Cálculos'!$E$98)+1400)+'Cálculos'!$E$122)*'Cálculos'!$E$232+'Cálculos'!$E$125*(1+2.78*('Cálculos'!$E$197+(($B$168)-$A141)*'Cálculos'!$E$98)/(('Cálculos'!$E$197+(($B$168)-$A141)*'Cálculos'!$E$98)+1400)+'Cálculos'!$E$123)*'Cálculos'!$E$237)+('Cálculos'!$E$228+'Cálculos'!$E$124*(1+2.78*('Cálculos'!$E$197+(($B$168)-$A141)*'Cálculos'!$E$98)/(('Cálculos'!$E$197+(($B$168)-$A141)*'Cálculos'!$E$98)+1400)+'Cálculos'!$E$122)*'Cálculos'!$E$233+'Cálculos'!$E$125*(1+2.78*('Cálculos'!$E$197+(($B$168)-$A141)*'Cálculos'!$E$98)/(('Cálculos'!$E$197+(($B$168)-$A141)*'Cálculos'!$E$98)+1400)+'Cálculos'!$E$123)*'Cálculos'!$E$238)+('Cálculos'!$E$185*(1+'Cálculos'!$E$188+$A141*('Cálculos'!$E$290=1)*'Cálculos'!$E$97+'Cálculos'!$E$305)+'Cálculos'!$E$193)*('Cálculos'!$E$239+'Cálculos'!$E$124*(1+2.78*('Cálculos'!$E$198+(($B$168)-$A141)*'Cálculos'!$E$98)/(('Cálculos'!$E$198+(($B$168)-$A141)*'Cálculos'!$E$98)+1400)+'Cálculos'!$E$122)*'Cálculos'!$E$244+'Cálculos'!$E$125*(1+2.78*('Cálculos'!$E$198+(($B$168)-$A141)*'Cálculos'!$E$98)/(('Cálculos'!$E$198+(($B$168)-$A141)*'Cálculos'!$E$98)+1400)+'Cálculos'!$E$123)*'Cálculos'!$E$249)+('Cálculos'!$E$198+(($B$168)-$A141)*'Cálculos'!$E$98)*('Cálculos'!$E$240+'Cálculos'!$E$124*(1+2.78*('Cálculos'!$E$198+(($B$168)-$A141)*'Cálculos'!$E$98)/(('Cálculos'!$E$198+(($B$168)-$A141)*'Cálculos'!$E$98)+1400)+'Cálculos'!$E$122)*'Cálculos'!$E$245+'Cálculos'!$E$125*(1+2.78*('Cálculos'!$E$198+(($B$168)-$A141)*'Cálculos'!$E$98)/(('Cálculos'!$E$198+(($B$168)-$A141)*'Cálculos'!$E$98)+1400)+'Cálculos'!$E$123)*'Cálculos'!$E$250)+('Cálculos'!$E$201*(1+'Cálculos'!$E$202+$A141*('Cálculos'!$E$290=2)*'Cálculos'!$E$101)+'Cálculos'!$E$203)*('Cálculos'!$E$241+'Cálculos'!$E$124*(1+2.78*('Cálculos'!$E$198+(($B$168)-$A141)*'Cálculos'!$E$98)/(('Cálculos'!$E$198+(($B$168)-$A141)*'Cálculos'!$E$98)+1400)+'Cálculos'!$E$122)*'Cálculos'!$E$246+'Cálculos'!$E$125*(1+2.78*('Cálculos'!$E$198+(($B$168)-$A141)*'Cálculos'!$E$98)/(('Cálculos'!$E$198+(($B$168)-$A141)*'Cálculos'!$E$98)+1400)+'Cálculos'!$E$123)*'Cálculos'!$E$251)+('Cálculos'!$E$204*(1+'Cálculos'!$E$205+$A141*('Cálculos'!$E$290=3)*'Cálculos'!$E$103)+'Cálculos'!$E$206)*('Cálculos'!$E$242+'Cálculos'!$E$124*(1+2.78*('Cálculos'!$E$198+(($B$168)-$A141)*'Cálculos'!$E$98)/(('Cálculos'!$E$198+(($B$168)-$A141)*'Cálculos'!$E$98)+1400)+'Cálculos'!$E$122)*'Cálculos'!$E$247+'Cálculos'!$E$125*(1+2.78*('Cálculos'!$E$198+(($B$168)-$A141)*'Cálculos'!$E$98)/(('Cálculos'!$E$198+(($B$168)-$A141)*'Cálculos'!$E$98)+1400)+'Cálculos'!$E$123)*'Cálculos'!$E$252)+('Cálculos'!$E$243+'Cálculos'!$E$124*(1+2.78*('Cálculos'!$E$198+(($B$168)-$A141)*'Cálculos'!$E$98)/(('Cálculos'!$E$198+(($B$168)-$A141)*'Cálculos'!$E$98)+1400)+'Cálculos'!$E$122)*'Cálculos'!$E$248+'Cálculos'!$E$125*(1+2.78*('Cálculos'!$E$198+(($B$168)-$A141)*'Cálculos'!$E$98)/(('Cálculos'!$E$198+(($B$168)-$A141)*'Cálculos'!$E$98)+1400)+'Cálculos'!$E$123)*'Cálculos'!$E$253)+('Cálculos'!$E$185*(1+'Cálculos'!$E$189+$A141*('Cálculos'!$E$290=1)*'Cálculos'!$E$97+'Cálculos'!$E$305)+'Cálculos'!$E$194)*('Cálculos'!$E$254+'Cálculos'!$E$124*(1+2.78*('Cálculos'!$E$199+(($B$168)-$A141)*'Cálculos'!$E$98)/(('Cálculos'!$E$199+(($B$168)-$A141)*'Cálculos'!$E$98)+1400)+'Cálculos'!$E$122)*'Cálculos'!$E$259+'Cálculos'!$E$125*(1+2.78*('Cálculos'!$E$199+(($B$168)-$A141)*'Cálculos'!$E$98)/(('Cálculos'!$E$199+(($B$168)-$A141)*'Cálculos'!$E$98)+1400)+'Cálculos'!$E$123)*'Cálculos'!$E$264)+('Cálculos'!$E$199+(($B$168)-$A141)*'Cálculos'!$E$98)*('Cálculos'!$E$255+'Cálculos'!$E$124*(1+2.78*('Cálculos'!$E$199+(($B$168)-$A141)*'Cálculos'!$E$98)/(('Cálculos'!$E$199+(($B$168)-$A141)*'Cálculos'!$E$98)+1400)+'Cálculos'!$E$122)*'Cálculos'!$E$260+'Cálculos'!$E$125*(1+2.78*('Cálculos'!$E$199+(($B$168)-$A141)*'Cálculos'!$E$98)/(('Cálculos'!$E$199+(($B$168)-$A141)*'Cálculos'!$E$98)+1400)+'Cálculos'!$E$123)*'Cálculos'!$E$265)+('Cálculos'!$E$201*(1+'Cálculos'!$E$202+$A141*('Cálculos'!$E$290=2)*'Cálculos'!$E$101)+'Cálculos'!$E$203)*('Cálculos'!$E$256+'Cálculos'!$E$124*(1+2.78*('Cálculos'!$E$199+(($B$168)-$A141)*'Cálculos'!$E$98)/(('Cálculos'!$E$199+(($B$168)-$A141)*'Cálculos'!$E$98)+1400)+'Cálculos'!$E$122)*'Cálculos'!$E$261+'Cálculos'!$E$125*(1+2.78*('Cálculos'!$E$199+(($B$168)-$A141)*'Cálculos'!$E$98)/(('Cálculos'!$E$199+(($B$168)-$A141)*'Cálculos'!$E$98)+1400)+'Cálculos'!$E$123)*'Cálculos'!$E$266)+('Cálculos'!$E$204*(1+'Cálculos'!$E$205+$A141*('Cálculos'!$E$290=3)*'Cálculos'!$E$103)+'Cálculos'!$E$206)*('Cálculos'!$E$257+'Cálculos'!$E$124*(1+2.78*('Cálculos'!$E$199+(($B$168)-$A141)*'Cálculos'!$E$98)/(('Cálculos'!$E$199+(($B$168)-$A141)*'Cálculos'!$E$98)+1400)+'Cálculos'!$E$122)*'Cálculos'!$E$262+'Cálculos'!$E$125*(1+2.78*('Cálculos'!$E$199+(($B$168)-$A141)*'Cálculos'!$E$98)/(('Cálculos'!$E$199+(($B$168)-$A141)*'Cálculos'!$E$98)+1400)+'Cálculos'!$E$123)*'Cálculos'!$E$267)+('Cálculos'!$E$258+'Cálculos'!$E$124*(1+2.78*('Cálculos'!$E$199+(($B$168)-$A141)*'Cálculos'!$E$98)/(('Cálculos'!$E$199+(($B$168)-$A141)*'Cálculos'!$E$98)+1400)+'Cálculos'!$E$122)*'Cálculos'!$E$263+'Cálculos'!$E$125*(1+2.78*('Cálculos'!$E$199+(($B$168)-$A141)*'Cálculos'!$E$98)/(('Cálculos'!$E$199+(($B$168)-$A141)*'Cálculos'!$E$98)+1400)+'Cálculos'!$E$123)*'Cálculos'!$E$268)+('Cálculos'!$E$185*(1+'Cálculos'!$E$190+$A141*('Cálculos'!$E$290=1)*'Cálculos'!$E$97+'Cálculos'!$E$305)+'Cálculos'!$E$195)*('Cálculos'!$E$269+'Cálculos'!$E$124*(1+2.78*('Cálculos'!$E$200+(($B$168)-$A141)*'Cálculos'!$E$98)/(('Cálculos'!$E$200+(($B$168)-$A141)*'Cálculos'!$E$98)+1400)+'Cálculos'!$E$122)*'Cálculos'!$E$274+'Cálculos'!$E$125*(1+2.78*('Cálculos'!$E$200+(($B$168)-$A141)*'Cálculos'!$E$98)/(('Cálculos'!$E$200+(($B$168)-$A141)*'Cálculos'!$E$98)+1400)+'Cálculos'!$E$123)*'Cálculos'!$E$279)+('Cálculos'!$E$200+(($B$168)-$A141)*'Cálculos'!$E$98)*('Cálculos'!$E$270+'Cálculos'!$E$124*(1+2.78*('Cálculos'!$E$200+(($B$168)-$A141)*'Cálculos'!$E$98)/(('Cálculos'!$E$200+(($B$168)-$A141)*'Cálculos'!$E$98)+1400)+'Cálculos'!$E$122)*'Cálculos'!$E$275+'Cálculos'!$E$125*(1+2.78*('Cálculos'!$E$200+(($B$168)-$A141)*'Cálculos'!$E$98)/(('Cálculos'!$E$200+(($B$168)-$A141)*'Cálculos'!$E$98)+1400)+'Cálculos'!$E$123)*'Cálculos'!$E$280)+('Cálculos'!$E$201*(1+'Cálculos'!$E$202+$A141*('Cálculos'!$E$290=2)*'Cálculos'!$E$101)+'Cálculos'!$E$203)*('Cálculos'!$E$271+'Cálculos'!$E$124*(1+2.78*('Cálculos'!$E$200+(($B$168)-$A141)*'Cálculos'!$E$98)/(('Cálculos'!$E$200+(($B$168)-$A141)*'Cálculos'!$E$98)+1400)+'Cálculos'!$E$122)*'Cálculos'!$E$276+'Cálculos'!$E$125*(1+2.78*('Cálculos'!$E$200+(($B$168)-$A141)*'Cálculos'!$E$98)/(('Cálculos'!$E$200+(($B$168)-$A141)*'Cálculos'!$E$98)+1400)+'Cálculos'!$E$123)*'Cálculos'!$E$281)+('Cálculos'!$E$204*(1+'Cálculos'!$E$205+$A141*('Cálculos'!$E$290=3)*'Cálculos'!$E$103)+'Cálculos'!$E$206)*('Cálculos'!$E$272+'Cálculos'!$E$124*(1+2.78*('Cálculos'!$E$200+(($B$168)-$A141)*'Cálculos'!$E$98)/(('Cálculos'!$E$200+(($B$168)-$A141)*'Cálculos'!$E$98)+1400)+'Cálculos'!$E$122)*'Cálculos'!$E$277+'Cálculos'!$E$125*(1+2.78*('Cálculos'!$E$200+(($B$168)-$A141)*'Cálculos'!$E$98)/(('Cálculos'!$E$200+(($B$168)-$A141)*'Cálculos'!$E$98)+1400)+'Cálculos'!$E$123)*'Cálculos'!$E$282)+('Cálculos'!$E$273+'Cálculos'!$E$124*(1+2.78*('Cálculos'!$E$200+(($B$168)-$A141)*'Cálculos'!$E$98)/(('Cálculos'!$E$200+(($B$168)-$A141)*'Cálculos'!$E$98)+1400)+'Cálculos'!$E$122)*'Cálculos'!$E$278+'Cálculos'!$E$125*(1+2.78*('Cálculos'!$E$200+(($B$168)-$A141)*'Cálculos'!$E$98)/(('Cálculos'!$E$200+(($B$168)-$A141)*'Cálculos'!$E$98)+1400)+'Cálculos'!$E$123)*'Cálculos'!$E$283)))</f>
        <v>0</v>
      </c>
    </row>
    <row r="142" ht="15.75" customHeight="1">
      <c r="A142" s="2">
        <v>22.0</v>
      </c>
      <c r="B142" s="30">
        <f>SUMPRODUCT(MAX(($A$120:$A$165&lt;=$A142)*($A$120:$A$165&lt;='Cálculos'!$E$294)*(($A142)-$A$120:$A$165&lt;='Cálculos'!$E$295)*(1+(('Cálculos'!$E$207+$A$120:$A$165*'Cálculos'!$E$95)-(('Cálculos'!$E$207+$A$120:$A$165*'Cálculos'!$E$95)&gt;1)*(('Cálculos'!$E$207+$A$120:$A$165*'Cálculos'!$E$95)-1))*('Cálculos'!$E$208+(($A142)-$A$120:$A$165)*'Cálculos'!$E$96))))</f>
        <v>2.07876</v>
      </c>
      <c r="C142" s="2">
        <f>'Cálculos'!$E$303-$A142</f>
        <v>-9</v>
      </c>
      <c r="D142" s="31">
        <f>IF($C142&lt;0,0,SUMPRODUCT(MAX(($A$120:$A$165&lt;=$C142)*($A$120:$A$165&lt;='Cálculos'!$E$301)*(($C142)-$A$120:$A$165&lt;='Cálculos'!$E$297)*(('Cálculos'!$E$185*(1+'Cálculos'!$E$186+$A$120:$A$165*('Cálculos'!$E$290=1)*'Cálculos'!$E$97+'Cálculos'!$E$305)+'Cálculos'!$E$191)*('Cálculos'!$E$209+'Cálculos'!$E$124*(1+2.78*('Cálculos'!$E$196+(($C142)-$A$120:$A$165)*'Cálculos'!$E$98)/(('Cálculos'!$E$196+(($C142)-$A$120:$A$165)*'Cálculos'!$E$98)+1400)+'Cálculos'!$E$122)*'Cálculos'!$E$214+'Cálculos'!$E$125*(1+2.78*('Cálculos'!$E$196+(($C142)-$A$120:$A$165)*'Cálculos'!$E$98)/(('Cálculos'!$E$196+(($C142)-$A$120:$A$165)*'Cálculos'!$E$98)+1400)+'Cálculos'!$E$123)*'Cálculos'!$E$219)+('Cálculos'!$E$196+(($C142)-$A$120:$A$165)*'Cálculos'!$E$98)*('Cálculos'!$E$210+'Cálculos'!$E$124*(1+2.78*('Cálculos'!$E$196+(($C142)-$A$120:$A$165)*'Cálculos'!$E$98)/(('Cálculos'!$E$196+(($C142)-$A$120:$A$165)*'Cálculos'!$E$98)+1400)+'Cálculos'!$E$122)*'Cálculos'!$E$215+'Cálculos'!$E$125*(1+2.78*('Cálculos'!$E$196+(($C142)-$A$120:$A$165)*'Cálculos'!$E$98)/(('Cálculos'!$E$196+(($C142)-$A$120:$A$165)*'Cálculos'!$E$98)+1400)+'Cálculos'!$E$123)*'Cálculos'!$E$220)+('Cálculos'!$E$201*(1+'Cálculos'!$E$202+$A$120:$A$165*('Cálculos'!$E$290=2)*'Cálculos'!$E$101)+'Cálculos'!$E$203)*('Cálculos'!$E$211+'Cálculos'!$E$124*(1+2.78*('Cálculos'!$E$196+(($C142)-$A$120:$A$165)*'Cálculos'!$E$98)/(('Cálculos'!$E$196+(($C142)-$A$120:$A$165)*'Cálculos'!$E$98)+1400)+'Cálculos'!$E$122)*'Cálculos'!$E$216+'Cálculos'!$E$125*(1+2.78*('Cálculos'!$E$196+(($C142)-$A$120:$A$165)*'Cálculos'!$E$98)/(('Cálculos'!$E$196+(($C142)-$A$120:$A$165)*'Cálculos'!$E$98)+1400)+'Cálculos'!$E$123)*'Cálculos'!$E$221)+('Cálculos'!$E$204*(1+'Cálculos'!$E$205+$A$120:$A$165*('Cálculos'!$E$290=3)*'Cálculos'!$E$103)+'Cálculos'!$E$206)*('Cálculos'!$E$212+'Cálculos'!$E$124*(1+2.78*('Cálculos'!$E$196+(($C142)-$A$120:$A$165)*'Cálculos'!$E$98)/(('Cálculos'!$E$196+(($C142)-$A$120:$A$165)*'Cálculos'!$E$98)+1400)+'Cálculos'!$E$122)*'Cálculos'!$E$217+'Cálculos'!$E$125*(1+2.78*('Cálculos'!$E$196+(($C142)-$A$120:$A$165)*'Cálculos'!$E$98)/(('Cálculos'!$E$196+(($C142)-$A$120:$A$165)*'Cálculos'!$E$98)+1400)+'Cálculos'!$E$123)*'Cálculos'!$E$222)+('Cálculos'!$E$213+'Cálculos'!$E$124*(1+2.78*('Cálculos'!$E$196+(($C142)-$A$120:$A$165)*'Cálculos'!$E$98)/(('Cálculos'!$E$196+(($C142)-$A$120:$A$165)*'Cálculos'!$E$98)+1400)+'Cálculos'!$E$122)*'Cálculos'!$E$218+'Cálculos'!$E$125*(1+2.78*('Cálculos'!$E$196+(($C142)-$A$120:$A$165)*'Cálculos'!$E$98)/(('Cálculos'!$E$196+(($C142)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142)-$A$120:$A$165)*'Cálculos'!$E$98)/(('Cálculos'!$E$197+(($C142)-$A$120:$A$165)*'Cálculos'!$E$98)+1400)+'Cálculos'!$E$122)*'Cálculos'!$E$229+'Cálculos'!$E$125*(1+2.78*('Cálculos'!$E$197+(($C142)-$A$120:$A$165)*'Cálculos'!$E$98)/(('Cálculos'!$E$197+(($C142)-$A$120:$A$165)*'Cálculos'!$E$98)+1400)+'Cálculos'!$E$123)*'Cálculos'!$E$234)+('Cálculos'!$E$197+(($C142)-$A$120:$A$165)*'Cálculos'!$E$98)*('Cálculos'!$E$225+'Cálculos'!$E$124*(1+2.78*('Cálculos'!$E$197+(($C142)-$A$120:$A$165)*'Cálculos'!$E$98)/(('Cálculos'!$E$197+(($C142)-$A$120:$A$165)*'Cálculos'!$E$98)+1400)+'Cálculos'!$E$122)*'Cálculos'!$E$230+'Cálculos'!$E$125*(1+2.78*('Cálculos'!$E$197+(($C142)-$A$120:$A$165)*'Cálculos'!$E$98)/(('Cálculos'!$E$197+(($C142)-$A$120:$A$165)*'Cálculos'!$E$98)+1400)+'Cálculos'!$E$123)*'Cálculos'!$E$235)+('Cálculos'!$E$201*(1+'Cálculos'!$E$202+$A$120:$A$165*('Cálculos'!$E$290=2)*'Cálculos'!$E$101)+'Cálculos'!$E$203)*('Cálculos'!$E$226+'Cálculos'!$E$124*(1+2.78*('Cálculos'!$E$197+(($C142)-$A$120:$A$165)*'Cálculos'!$E$98)/(('Cálculos'!$E$197+(($C142)-$A$120:$A$165)*'Cálculos'!$E$98)+1400)+'Cálculos'!$E$122)*'Cálculos'!$E$231+'Cálculos'!$E$125*(1+2.78*('Cálculos'!$E$197+(($C142)-$A$120:$A$165)*'Cálculos'!$E$98)/(('Cálculos'!$E$197+(($C142)-$A$120:$A$165)*'Cálculos'!$E$98)+1400)+'Cálculos'!$E$123)*'Cálculos'!$E$236)+('Cálculos'!$E$204*(1+'Cálculos'!$E$205+$A$120:$A$165*('Cálculos'!$E$290=3)*'Cálculos'!$E$103)+'Cálculos'!$E$206)*('Cálculos'!$E$227+'Cálculos'!$E$124*(1+2.78*('Cálculos'!$E$197+(($C142)-$A$120:$A$165)*'Cálculos'!$E$98)/(('Cálculos'!$E$197+(($C142)-$A$120:$A$165)*'Cálculos'!$E$98)+1400)+'Cálculos'!$E$122)*'Cálculos'!$E$232+'Cálculos'!$E$125*(1+2.78*('Cálculos'!$E$197+(($C142)-$A$120:$A$165)*'Cálculos'!$E$98)/(('Cálculos'!$E$197+(($C142)-$A$120:$A$165)*'Cálculos'!$E$98)+1400)+'Cálculos'!$E$123)*'Cálculos'!$E$237)+('Cálculos'!$E$228+'Cálculos'!$E$124*(1+2.78*('Cálculos'!$E$197+(($C142)-$A$120:$A$165)*'Cálculos'!$E$98)/(('Cálculos'!$E$197+(($C142)-$A$120:$A$165)*'Cálculos'!$E$98)+1400)+'Cálculos'!$E$122)*'Cálculos'!$E$233+'Cálculos'!$E$125*(1+2.78*('Cálculos'!$E$197+(($C142)-$A$120:$A$165)*'Cálculos'!$E$98)/(('Cálculos'!$E$197+(($C142)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142)-$A$120:$A$165)*'Cálculos'!$E$98)/(('Cálculos'!$E$198+(($C142)-$A$120:$A$165)*'Cálculos'!$E$98)+1400)+'Cálculos'!$E$122)*'Cálculos'!$E$244+'Cálculos'!$E$125*(1+2.78*('Cálculos'!$E$198+(($C142)-$A$120:$A$165)*'Cálculos'!$E$98)/(('Cálculos'!$E$198+(($C142)-$A$120:$A$165)*'Cálculos'!$E$98)+1400)+'Cálculos'!$E$123)*'Cálculos'!$E$249)+('Cálculos'!$E$198+(($C142)-$A$120:$A$165)*'Cálculos'!$E$98)*('Cálculos'!$E$240+'Cálculos'!$E$124*(1+2.78*('Cálculos'!$E$198+(($C142)-$A$120:$A$165)*'Cálculos'!$E$98)/(('Cálculos'!$E$198+(($C142)-$A$120:$A$165)*'Cálculos'!$E$98)+1400)+'Cálculos'!$E$122)*'Cálculos'!$E$245+'Cálculos'!$E$125*(1+2.78*('Cálculos'!$E$198+(($C142)-$A$120:$A$165)*'Cálculos'!$E$98)/(('Cálculos'!$E$198+(($C142)-$A$120:$A$165)*'Cálculos'!$E$98)+1400)+'Cálculos'!$E$123)*'Cálculos'!$E$250)+('Cálculos'!$E$201*(1+'Cálculos'!$E$202+$A$120:$A$165*('Cálculos'!$E$290=2)*'Cálculos'!$E$101)+'Cálculos'!$E$203)*('Cálculos'!$E$241+'Cálculos'!$E$124*(1+2.78*('Cálculos'!$E$198+(($C142)-$A$120:$A$165)*'Cálculos'!$E$98)/(('Cálculos'!$E$198+(($C142)-$A$120:$A$165)*'Cálculos'!$E$98)+1400)+'Cálculos'!$E$122)*'Cálculos'!$E$246+'Cálculos'!$E$125*(1+2.78*('Cálculos'!$E$198+(($C142)-$A$120:$A$165)*'Cálculos'!$E$98)/(('Cálculos'!$E$198+(($C142)-$A$120:$A$165)*'Cálculos'!$E$98)+1400)+'Cálculos'!$E$123)*'Cálculos'!$E$251)+('Cálculos'!$E$204*(1+'Cálculos'!$E$205+$A$120:$A$165*('Cálculos'!$E$290=3)*'Cálculos'!$E$103)+'Cálculos'!$E$206)*('Cálculos'!$E$242+'Cálculos'!$E$124*(1+2.78*('Cálculos'!$E$198+(($C142)-$A$120:$A$165)*'Cálculos'!$E$98)/(('Cálculos'!$E$198+(($C142)-$A$120:$A$165)*'Cálculos'!$E$98)+1400)+'Cálculos'!$E$122)*'Cálculos'!$E$247+'Cálculos'!$E$125*(1+2.78*('Cálculos'!$E$198+(($C142)-$A$120:$A$165)*'Cálculos'!$E$98)/(('Cálculos'!$E$198+(($C142)-$A$120:$A$165)*'Cálculos'!$E$98)+1400)+'Cálculos'!$E$123)*'Cálculos'!$E$252)+('Cálculos'!$E$243+'Cálculos'!$E$124*(1+2.78*('Cálculos'!$E$198+(($C142)-$A$120:$A$165)*'Cálculos'!$E$98)/(('Cálculos'!$E$198+(($C142)-$A$120:$A$165)*'Cálculos'!$E$98)+1400)+'Cálculos'!$E$122)*'Cálculos'!$E$248+'Cálculos'!$E$125*(1+2.78*('Cálculos'!$E$198+(($C142)-$A$120:$A$165)*'Cálculos'!$E$98)/(('Cálculos'!$E$198+(($C142)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142)-$A$120:$A$165)*'Cálculos'!$E$98)/(('Cálculos'!$E$199+(($C142)-$A$120:$A$165)*'Cálculos'!$E$98)+1400)+'Cálculos'!$E$122)*'Cálculos'!$E$259+'Cálculos'!$E$125*(1+2.78*('Cálculos'!$E$199+(($C142)-$A$120:$A$165)*'Cálculos'!$E$98)/(('Cálculos'!$E$199+(($C142)-$A$120:$A$165)*'Cálculos'!$E$98)+1400)+'Cálculos'!$E$123)*'Cálculos'!$E$264)+('Cálculos'!$E$199+(($C142)-$A$120:$A$165)*'Cálculos'!$E$98)*('Cálculos'!$E$255+'Cálculos'!$E$124*(1+2.78*('Cálculos'!$E$199+(($C142)-$A$120:$A$165)*'Cálculos'!$E$98)/(('Cálculos'!$E$199+(($C142)-$A$120:$A$165)*'Cálculos'!$E$98)+1400)+'Cálculos'!$E$122)*'Cálculos'!$E$260+'Cálculos'!$E$125*(1+2.78*('Cálculos'!$E$199+(($C142)-$A$120:$A$165)*'Cálculos'!$E$98)/(('Cálculos'!$E$199+(($C142)-$A$120:$A$165)*'Cálculos'!$E$98)+1400)+'Cálculos'!$E$123)*'Cálculos'!$E$265)+('Cálculos'!$E$201*(1+'Cálculos'!$E$202+$A$120:$A$165*('Cálculos'!$E$290=2)*'Cálculos'!$E$101)+'Cálculos'!$E$203)*('Cálculos'!$E$256+'Cálculos'!$E$124*(1+2.78*('Cálculos'!$E$199+(($C142)-$A$120:$A$165)*'Cálculos'!$E$98)/(('Cálculos'!$E$199+(($C142)-$A$120:$A$165)*'Cálculos'!$E$98)+1400)+'Cálculos'!$E$122)*'Cálculos'!$E$261+'Cálculos'!$E$125*(1+2.78*('Cálculos'!$E$199+(($C142)-$A$120:$A$165)*'Cálculos'!$E$98)/(('Cálculos'!$E$199+(($C142)-$A$120:$A$165)*'Cálculos'!$E$98)+1400)+'Cálculos'!$E$123)*'Cálculos'!$E$266)+('Cálculos'!$E$204*(1+'Cálculos'!$E$205+$A$120:$A$165*('Cálculos'!$E$290=3)*'Cálculos'!$E$103)+'Cálculos'!$E$206)*('Cálculos'!$E$257+'Cálculos'!$E$124*(1+2.78*('Cálculos'!$E$199+(($C142)-$A$120:$A$165)*'Cálculos'!$E$98)/(('Cálculos'!$E$199+(($C142)-$A$120:$A$165)*'Cálculos'!$E$98)+1400)+'Cálculos'!$E$122)*'Cálculos'!$E$262+'Cálculos'!$E$125*(1+2.78*('Cálculos'!$E$199+(($C142)-$A$120:$A$165)*'Cálculos'!$E$98)/(('Cálculos'!$E$199+(($C142)-$A$120:$A$165)*'Cálculos'!$E$98)+1400)+'Cálculos'!$E$123)*'Cálculos'!$E$267)+('Cálculos'!$E$258+'Cálculos'!$E$124*(1+2.78*('Cálculos'!$E$199+(($C142)-$A$120:$A$165)*'Cálculos'!$E$98)/(('Cálculos'!$E$199+(($C142)-$A$120:$A$165)*'Cálculos'!$E$98)+1400)+'Cálculos'!$E$122)*'Cálculos'!$E$263+'Cálculos'!$E$125*(1+2.78*('Cálculos'!$E$199+(($C142)-$A$120:$A$165)*'Cálculos'!$E$98)/(('Cálculos'!$E$199+(($C142)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142)-$A$120:$A$165)*'Cálculos'!$E$98)/(('Cálculos'!$E$200+(($C142)-$A$120:$A$165)*'Cálculos'!$E$98)+1400)+'Cálculos'!$E$122)*'Cálculos'!$E$274+'Cálculos'!$E$125*(1+2.78*('Cálculos'!$E$200+(($C142)-$A$120:$A$165)*'Cálculos'!$E$98)/(('Cálculos'!$E$200+(($C142)-$A$120:$A$165)*'Cálculos'!$E$98)+1400)+'Cálculos'!$E$123)*'Cálculos'!$E$279)+('Cálculos'!$E$200+(($C142)-$A$120:$A$165)*'Cálculos'!$E$98)*('Cálculos'!$E$270+'Cálculos'!$E$124*(1+2.78*('Cálculos'!$E$200+(($C142)-$A$120:$A$165)*'Cálculos'!$E$98)/(('Cálculos'!$E$200+(($C142)-$A$120:$A$165)*'Cálculos'!$E$98)+1400)+'Cálculos'!$E$122)*'Cálculos'!$E$275+'Cálculos'!$E$125*(1+2.78*('Cálculos'!$E$200+(($C142)-$A$120:$A$165)*'Cálculos'!$E$98)/(('Cálculos'!$E$200+(($C142)-$A$120:$A$165)*'Cálculos'!$E$98)+1400)+'Cálculos'!$E$123)*'Cálculos'!$E$280)+('Cálculos'!$E$201*(1+'Cálculos'!$E$202+$A$120:$A$165*('Cálculos'!$E$290=2)*'Cálculos'!$E$101)+'Cálculos'!$E$203)*('Cálculos'!$E$271+'Cálculos'!$E$124*(1+2.78*('Cálculos'!$E$200+(($C142)-$A$120:$A$165)*'Cálculos'!$E$98)/(('Cálculos'!$E$200+(($C142)-$A$120:$A$165)*'Cálculos'!$E$98)+1400)+'Cálculos'!$E$122)*'Cálculos'!$E$276+'Cálculos'!$E$125*(1+2.78*('Cálculos'!$E$200+(($C142)-$A$120:$A$165)*'Cálculos'!$E$98)/(('Cálculos'!$E$200+(($C142)-$A$120:$A$165)*'Cálculos'!$E$98)+1400)+'Cálculos'!$E$123)*'Cálculos'!$E$281)+('Cálculos'!$E$204*(1+'Cálculos'!$E$205+$A$120:$A$165*('Cálculos'!$E$290=3)*'Cálculos'!$E$103)+'Cálculos'!$E$206)*('Cálculos'!$E$272+'Cálculos'!$E$124*(1+2.78*('Cálculos'!$E$200+(($C142)-$A$120:$A$165)*'Cálculos'!$E$98)/(('Cálculos'!$E$200+(($C142)-$A$120:$A$165)*'Cálculos'!$E$98)+1400)+'Cálculos'!$E$122)*'Cálculos'!$E$277+'Cálculos'!$E$125*(1+2.78*('Cálculos'!$E$200+(($C142)-$A$120:$A$165)*'Cálculos'!$E$98)/(('Cálculos'!$E$200+(($C142)-$A$120:$A$165)*'Cálculos'!$E$98)+1400)+'Cálculos'!$E$123)*'Cálculos'!$E$282)+('Cálculos'!$E$273+'Cálculos'!$E$124*(1+2.78*('Cálculos'!$E$200+(($C142)-$A$120:$A$165)*'Cálculos'!$E$98)/(('Cálculos'!$E$200+(($C142)-$A$120:$A$165)*'Cálculos'!$E$98)+1400)+'Cálculos'!$E$122)*'Cálculos'!$E$278+'Cálculos'!$E$125*(1+2.78*('Cálculos'!$E$200+(($C142)-$A$120:$A$165)*'Cálculos'!$E$98)/(('Cálculos'!$E$200+(($C142)-$A$120:$A$165)*'Cálculos'!$E$98)+1400)+'Cálculos'!$E$123)*'Cálculos'!$E$283)))))</f>
        <v>0</v>
      </c>
      <c r="E142" s="32">
        <f>IF(OR($C142&lt;0,'Cálculos'!$E$6=""),0,$B142*$D142)</f>
        <v>0</v>
      </c>
      <c r="F142" s="2"/>
      <c r="G142" s="30">
        <f>($A142&lt;=$B$167)*($A142&lt;='Cálculos'!$E$294)*(($B$167)-$A142&lt;='Cálculos'!$E$295)*(1+MIN(('Cálculos'!$E$207+$A142*'Cálculos'!$E$95),1)*('Cálculos'!$E$208+(($B$167)-$A142)*'Cálculos'!$E$96))</f>
        <v>0</v>
      </c>
      <c r="H142" s="31">
        <f>IF($B$168&lt;0,0,($A142&lt;=$B$168)*($A142&lt;='Cálculos'!$E$301)*(($B$168)-$A142&lt;='Cálculos'!$E$297)*(('Cálculos'!$E$185*(1+'Cálculos'!$E$186+$A142*('Cálculos'!$E$290=1)*'Cálculos'!$E$97+'Cálculos'!$E$305)+'Cálculos'!$E$191)*('Cálculos'!$E$209+'Cálculos'!$E$124*(1+2.78*('Cálculos'!$E$196+(($B$168)-$A142)*'Cálculos'!$E$98)/(('Cálculos'!$E$196+(($B$168)-$A142)*'Cálculos'!$E$98)+1400)+'Cálculos'!$E$122)*'Cálculos'!$E$214+'Cálculos'!$E$125*(1+2.78*('Cálculos'!$E$196+(($B$168)-$A142)*'Cálculos'!$E$98)/(('Cálculos'!$E$196+(($B$168)-$A142)*'Cálculos'!$E$98)+1400)+'Cálculos'!$E$123)*'Cálculos'!$E$219)+('Cálculos'!$E$196+(($B$168)-$A142)*'Cálculos'!$E$98)*('Cálculos'!$E$210+'Cálculos'!$E$124*(1+2.78*('Cálculos'!$E$196+(($B$168)-$A142)*'Cálculos'!$E$98)/(('Cálculos'!$E$196+(($B$168)-$A142)*'Cálculos'!$E$98)+1400)+'Cálculos'!$E$122)*'Cálculos'!$E$215+'Cálculos'!$E$125*(1+2.78*('Cálculos'!$E$196+(($B$168)-$A142)*'Cálculos'!$E$98)/(('Cálculos'!$E$196+(($B$168)-$A142)*'Cálculos'!$E$98)+1400)+'Cálculos'!$E$123)*'Cálculos'!$E$220)+('Cálculos'!$E$201*(1+'Cálculos'!$E$202+$A142*('Cálculos'!$E$290=2)*'Cálculos'!$E$101)+'Cálculos'!$E$203)*('Cálculos'!$E$211+'Cálculos'!$E$124*(1+2.78*('Cálculos'!$E$196+(($B$168)-$A142)*'Cálculos'!$E$98)/(('Cálculos'!$E$196+(($B$168)-$A142)*'Cálculos'!$E$98)+1400)+'Cálculos'!$E$122)*'Cálculos'!$E$216+'Cálculos'!$E$125*(1+2.78*('Cálculos'!$E$196+(($B$168)-$A142)*'Cálculos'!$E$98)/(('Cálculos'!$E$196+(($B$168)-$A142)*'Cálculos'!$E$98)+1400)+'Cálculos'!$E$123)*'Cálculos'!$E$221)+('Cálculos'!$E$204*(1+'Cálculos'!$E$205+$A142*('Cálculos'!$E$290=3)*'Cálculos'!$E$103)+'Cálculos'!$E$206)*('Cálculos'!$E$212+'Cálculos'!$E$124*(1+2.78*('Cálculos'!$E$196+(($B$168)-$A142)*'Cálculos'!$E$98)/(('Cálculos'!$E$196+(($B$168)-$A142)*'Cálculos'!$E$98)+1400)+'Cálculos'!$E$122)*'Cálculos'!$E$217+'Cálculos'!$E$125*(1+2.78*('Cálculos'!$E$196+(($B$168)-$A142)*'Cálculos'!$E$98)/(('Cálculos'!$E$196+(($B$168)-$A142)*'Cálculos'!$E$98)+1400)+'Cálculos'!$E$123)*'Cálculos'!$E$222)+('Cálculos'!$E$213+'Cálculos'!$E$124*(1+2.78*('Cálculos'!$E$196+(($B$168)-$A142)*'Cálculos'!$E$98)/(('Cálculos'!$E$196+(($B$168)-$A142)*'Cálculos'!$E$98)+1400)+'Cálculos'!$E$122)*'Cálculos'!$E$218+'Cálculos'!$E$125*(1+2.78*('Cálculos'!$E$196+(($B$168)-$A142)*'Cálculos'!$E$98)/(('Cálculos'!$E$196+(($B$168)-$A142)*'Cálculos'!$E$98)+1400)+'Cálculos'!$E$123)*'Cálculos'!$E$223)+('Cálculos'!$E$185*(1+'Cálculos'!$E$187+$A142*('Cálculos'!$E$290=1)*'Cálculos'!$E$97+'Cálculos'!$E$305)+'Cálculos'!$E$192)*('Cálculos'!$E$224+'Cálculos'!$E$124*(1+2.78*('Cálculos'!$E$197+(($B$168)-$A142)*'Cálculos'!$E$98)/(('Cálculos'!$E$197+(($B$168)-$A142)*'Cálculos'!$E$98)+1400)+'Cálculos'!$E$122)*'Cálculos'!$E$229+'Cálculos'!$E$125*(1+2.78*('Cálculos'!$E$197+(($B$168)-$A142)*'Cálculos'!$E$98)/(('Cálculos'!$E$197+(($B$168)-$A142)*'Cálculos'!$E$98)+1400)+'Cálculos'!$E$123)*'Cálculos'!$E$234)+('Cálculos'!$E$197+(($B$168)-$A142)*'Cálculos'!$E$98)*('Cálculos'!$E$225+'Cálculos'!$E$124*(1+2.78*('Cálculos'!$E$197+(($B$168)-$A142)*'Cálculos'!$E$98)/(('Cálculos'!$E$197+(($B$168)-$A142)*'Cálculos'!$E$98)+1400)+'Cálculos'!$E$122)*'Cálculos'!$E$230+'Cálculos'!$E$125*(1+2.78*('Cálculos'!$E$197+(($B$168)-$A142)*'Cálculos'!$E$98)/(('Cálculos'!$E$197+(($B$168)-$A142)*'Cálculos'!$E$98)+1400)+'Cálculos'!$E$123)*'Cálculos'!$E$235)+('Cálculos'!$E$201*(1+'Cálculos'!$E$202+$A142*('Cálculos'!$E$290=2)*'Cálculos'!$E$101)+'Cálculos'!$E$203)*('Cálculos'!$E$226+'Cálculos'!$E$124*(1+2.78*('Cálculos'!$E$197+(($B$168)-$A142)*'Cálculos'!$E$98)/(('Cálculos'!$E$197+(($B$168)-$A142)*'Cálculos'!$E$98)+1400)+'Cálculos'!$E$122)*'Cálculos'!$E$231+'Cálculos'!$E$125*(1+2.78*('Cálculos'!$E$197+(($B$168)-$A142)*'Cálculos'!$E$98)/(('Cálculos'!$E$197+(($B$168)-$A142)*'Cálculos'!$E$98)+1400)+'Cálculos'!$E$123)*'Cálculos'!$E$236)+('Cálculos'!$E$204*(1+'Cálculos'!$E$205+$A142*('Cálculos'!$E$290=3)*'Cálculos'!$E$103)+'Cálculos'!$E$206)*('Cálculos'!$E$227+'Cálculos'!$E$124*(1+2.78*('Cálculos'!$E$197+(($B$168)-$A142)*'Cálculos'!$E$98)/(('Cálculos'!$E$197+(($B$168)-$A142)*'Cálculos'!$E$98)+1400)+'Cálculos'!$E$122)*'Cálculos'!$E$232+'Cálculos'!$E$125*(1+2.78*('Cálculos'!$E$197+(($B$168)-$A142)*'Cálculos'!$E$98)/(('Cálculos'!$E$197+(($B$168)-$A142)*'Cálculos'!$E$98)+1400)+'Cálculos'!$E$123)*'Cálculos'!$E$237)+('Cálculos'!$E$228+'Cálculos'!$E$124*(1+2.78*('Cálculos'!$E$197+(($B$168)-$A142)*'Cálculos'!$E$98)/(('Cálculos'!$E$197+(($B$168)-$A142)*'Cálculos'!$E$98)+1400)+'Cálculos'!$E$122)*'Cálculos'!$E$233+'Cálculos'!$E$125*(1+2.78*('Cálculos'!$E$197+(($B$168)-$A142)*'Cálculos'!$E$98)/(('Cálculos'!$E$197+(($B$168)-$A142)*'Cálculos'!$E$98)+1400)+'Cálculos'!$E$123)*'Cálculos'!$E$238)+('Cálculos'!$E$185*(1+'Cálculos'!$E$188+$A142*('Cálculos'!$E$290=1)*'Cálculos'!$E$97+'Cálculos'!$E$305)+'Cálculos'!$E$193)*('Cálculos'!$E$239+'Cálculos'!$E$124*(1+2.78*('Cálculos'!$E$198+(($B$168)-$A142)*'Cálculos'!$E$98)/(('Cálculos'!$E$198+(($B$168)-$A142)*'Cálculos'!$E$98)+1400)+'Cálculos'!$E$122)*'Cálculos'!$E$244+'Cálculos'!$E$125*(1+2.78*('Cálculos'!$E$198+(($B$168)-$A142)*'Cálculos'!$E$98)/(('Cálculos'!$E$198+(($B$168)-$A142)*'Cálculos'!$E$98)+1400)+'Cálculos'!$E$123)*'Cálculos'!$E$249)+('Cálculos'!$E$198+(($B$168)-$A142)*'Cálculos'!$E$98)*('Cálculos'!$E$240+'Cálculos'!$E$124*(1+2.78*('Cálculos'!$E$198+(($B$168)-$A142)*'Cálculos'!$E$98)/(('Cálculos'!$E$198+(($B$168)-$A142)*'Cálculos'!$E$98)+1400)+'Cálculos'!$E$122)*'Cálculos'!$E$245+'Cálculos'!$E$125*(1+2.78*('Cálculos'!$E$198+(($B$168)-$A142)*'Cálculos'!$E$98)/(('Cálculos'!$E$198+(($B$168)-$A142)*'Cálculos'!$E$98)+1400)+'Cálculos'!$E$123)*'Cálculos'!$E$250)+('Cálculos'!$E$201*(1+'Cálculos'!$E$202+$A142*('Cálculos'!$E$290=2)*'Cálculos'!$E$101)+'Cálculos'!$E$203)*('Cálculos'!$E$241+'Cálculos'!$E$124*(1+2.78*('Cálculos'!$E$198+(($B$168)-$A142)*'Cálculos'!$E$98)/(('Cálculos'!$E$198+(($B$168)-$A142)*'Cálculos'!$E$98)+1400)+'Cálculos'!$E$122)*'Cálculos'!$E$246+'Cálculos'!$E$125*(1+2.78*('Cálculos'!$E$198+(($B$168)-$A142)*'Cálculos'!$E$98)/(('Cálculos'!$E$198+(($B$168)-$A142)*'Cálculos'!$E$98)+1400)+'Cálculos'!$E$123)*'Cálculos'!$E$251)+('Cálculos'!$E$204*(1+'Cálculos'!$E$205+$A142*('Cálculos'!$E$290=3)*'Cálculos'!$E$103)+'Cálculos'!$E$206)*('Cálculos'!$E$242+'Cálculos'!$E$124*(1+2.78*('Cálculos'!$E$198+(($B$168)-$A142)*'Cálculos'!$E$98)/(('Cálculos'!$E$198+(($B$168)-$A142)*'Cálculos'!$E$98)+1400)+'Cálculos'!$E$122)*'Cálculos'!$E$247+'Cálculos'!$E$125*(1+2.78*('Cálculos'!$E$198+(($B$168)-$A142)*'Cálculos'!$E$98)/(('Cálculos'!$E$198+(($B$168)-$A142)*'Cálculos'!$E$98)+1400)+'Cálculos'!$E$123)*'Cálculos'!$E$252)+('Cálculos'!$E$243+'Cálculos'!$E$124*(1+2.78*('Cálculos'!$E$198+(($B$168)-$A142)*'Cálculos'!$E$98)/(('Cálculos'!$E$198+(($B$168)-$A142)*'Cálculos'!$E$98)+1400)+'Cálculos'!$E$122)*'Cálculos'!$E$248+'Cálculos'!$E$125*(1+2.78*('Cálculos'!$E$198+(($B$168)-$A142)*'Cálculos'!$E$98)/(('Cálculos'!$E$198+(($B$168)-$A142)*'Cálculos'!$E$98)+1400)+'Cálculos'!$E$123)*'Cálculos'!$E$253)+('Cálculos'!$E$185*(1+'Cálculos'!$E$189+$A142*('Cálculos'!$E$290=1)*'Cálculos'!$E$97+'Cálculos'!$E$305)+'Cálculos'!$E$194)*('Cálculos'!$E$254+'Cálculos'!$E$124*(1+2.78*('Cálculos'!$E$199+(($B$168)-$A142)*'Cálculos'!$E$98)/(('Cálculos'!$E$199+(($B$168)-$A142)*'Cálculos'!$E$98)+1400)+'Cálculos'!$E$122)*'Cálculos'!$E$259+'Cálculos'!$E$125*(1+2.78*('Cálculos'!$E$199+(($B$168)-$A142)*'Cálculos'!$E$98)/(('Cálculos'!$E$199+(($B$168)-$A142)*'Cálculos'!$E$98)+1400)+'Cálculos'!$E$123)*'Cálculos'!$E$264)+('Cálculos'!$E$199+(($B$168)-$A142)*'Cálculos'!$E$98)*('Cálculos'!$E$255+'Cálculos'!$E$124*(1+2.78*('Cálculos'!$E$199+(($B$168)-$A142)*'Cálculos'!$E$98)/(('Cálculos'!$E$199+(($B$168)-$A142)*'Cálculos'!$E$98)+1400)+'Cálculos'!$E$122)*'Cálculos'!$E$260+'Cálculos'!$E$125*(1+2.78*('Cálculos'!$E$199+(($B$168)-$A142)*'Cálculos'!$E$98)/(('Cálculos'!$E$199+(($B$168)-$A142)*'Cálculos'!$E$98)+1400)+'Cálculos'!$E$123)*'Cálculos'!$E$265)+('Cálculos'!$E$201*(1+'Cálculos'!$E$202+$A142*('Cálculos'!$E$290=2)*'Cálculos'!$E$101)+'Cálculos'!$E$203)*('Cálculos'!$E$256+'Cálculos'!$E$124*(1+2.78*('Cálculos'!$E$199+(($B$168)-$A142)*'Cálculos'!$E$98)/(('Cálculos'!$E$199+(($B$168)-$A142)*'Cálculos'!$E$98)+1400)+'Cálculos'!$E$122)*'Cálculos'!$E$261+'Cálculos'!$E$125*(1+2.78*('Cálculos'!$E$199+(($B$168)-$A142)*'Cálculos'!$E$98)/(('Cálculos'!$E$199+(($B$168)-$A142)*'Cálculos'!$E$98)+1400)+'Cálculos'!$E$123)*'Cálculos'!$E$266)+('Cálculos'!$E$204*(1+'Cálculos'!$E$205+$A142*('Cálculos'!$E$290=3)*'Cálculos'!$E$103)+'Cálculos'!$E$206)*('Cálculos'!$E$257+'Cálculos'!$E$124*(1+2.78*('Cálculos'!$E$199+(($B$168)-$A142)*'Cálculos'!$E$98)/(('Cálculos'!$E$199+(($B$168)-$A142)*'Cálculos'!$E$98)+1400)+'Cálculos'!$E$122)*'Cálculos'!$E$262+'Cálculos'!$E$125*(1+2.78*('Cálculos'!$E$199+(($B$168)-$A142)*'Cálculos'!$E$98)/(('Cálculos'!$E$199+(($B$168)-$A142)*'Cálculos'!$E$98)+1400)+'Cálculos'!$E$123)*'Cálculos'!$E$267)+('Cálculos'!$E$258+'Cálculos'!$E$124*(1+2.78*('Cálculos'!$E$199+(($B$168)-$A142)*'Cálculos'!$E$98)/(('Cálculos'!$E$199+(($B$168)-$A142)*'Cálculos'!$E$98)+1400)+'Cálculos'!$E$122)*'Cálculos'!$E$263+'Cálculos'!$E$125*(1+2.78*('Cálculos'!$E$199+(($B$168)-$A142)*'Cálculos'!$E$98)/(('Cálculos'!$E$199+(($B$168)-$A142)*'Cálculos'!$E$98)+1400)+'Cálculos'!$E$123)*'Cálculos'!$E$268)+('Cálculos'!$E$185*(1+'Cálculos'!$E$190+$A142*('Cálculos'!$E$290=1)*'Cálculos'!$E$97+'Cálculos'!$E$305)+'Cálculos'!$E$195)*('Cálculos'!$E$269+'Cálculos'!$E$124*(1+2.78*('Cálculos'!$E$200+(($B$168)-$A142)*'Cálculos'!$E$98)/(('Cálculos'!$E$200+(($B$168)-$A142)*'Cálculos'!$E$98)+1400)+'Cálculos'!$E$122)*'Cálculos'!$E$274+'Cálculos'!$E$125*(1+2.78*('Cálculos'!$E$200+(($B$168)-$A142)*'Cálculos'!$E$98)/(('Cálculos'!$E$200+(($B$168)-$A142)*'Cálculos'!$E$98)+1400)+'Cálculos'!$E$123)*'Cálculos'!$E$279)+('Cálculos'!$E$200+(($B$168)-$A142)*'Cálculos'!$E$98)*('Cálculos'!$E$270+'Cálculos'!$E$124*(1+2.78*('Cálculos'!$E$200+(($B$168)-$A142)*'Cálculos'!$E$98)/(('Cálculos'!$E$200+(($B$168)-$A142)*'Cálculos'!$E$98)+1400)+'Cálculos'!$E$122)*'Cálculos'!$E$275+'Cálculos'!$E$125*(1+2.78*('Cálculos'!$E$200+(($B$168)-$A142)*'Cálculos'!$E$98)/(('Cálculos'!$E$200+(($B$168)-$A142)*'Cálculos'!$E$98)+1400)+'Cálculos'!$E$123)*'Cálculos'!$E$280)+('Cálculos'!$E$201*(1+'Cálculos'!$E$202+$A142*('Cálculos'!$E$290=2)*'Cálculos'!$E$101)+'Cálculos'!$E$203)*('Cálculos'!$E$271+'Cálculos'!$E$124*(1+2.78*('Cálculos'!$E$200+(($B$168)-$A142)*'Cálculos'!$E$98)/(('Cálculos'!$E$200+(($B$168)-$A142)*'Cálculos'!$E$98)+1400)+'Cálculos'!$E$122)*'Cálculos'!$E$276+'Cálculos'!$E$125*(1+2.78*('Cálculos'!$E$200+(($B$168)-$A142)*'Cálculos'!$E$98)/(('Cálculos'!$E$200+(($B$168)-$A142)*'Cálculos'!$E$98)+1400)+'Cálculos'!$E$123)*'Cálculos'!$E$281)+('Cálculos'!$E$204*(1+'Cálculos'!$E$205+$A142*('Cálculos'!$E$290=3)*'Cálculos'!$E$103)+'Cálculos'!$E$206)*('Cálculos'!$E$272+'Cálculos'!$E$124*(1+2.78*('Cálculos'!$E$200+(($B$168)-$A142)*'Cálculos'!$E$98)/(('Cálculos'!$E$200+(($B$168)-$A142)*'Cálculos'!$E$98)+1400)+'Cálculos'!$E$122)*'Cálculos'!$E$277+'Cálculos'!$E$125*(1+2.78*('Cálculos'!$E$200+(($B$168)-$A142)*'Cálculos'!$E$98)/(('Cálculos'!$E$200+(($B$168)-$A142)*'Cálculos'!$E$98)+1400)+'Cálculos'!$E$123)*'Cálculos'!$E$282)+('Cálculos'!$E$273+'Cálculos'!$E$124*(1+2.78*('Cálculos'!$E$200+(($B$168)-$A142)*'Cálculos'!$E$98)/(('Cálculos'!$E$200+(($B$168)-$A142)*'Cálculos'!$E$98)+1400)+'Cálculos'!$E$122)*'Cálculos'!$E$278+'Cálculos'!$E$125*(1+2.78*('Cálculos'!$E$200+(($B$168)-$A142)*'Cálculos'!$E$98)/(('Cálculos'!$E$200+(($B$168)-$A142)*'Cálculos'!$E$98)+1400)+'Cálculos'!$E$123)*'Cálculos'!$E$283)))</f>
        <v>0</v>
      </c>
    </row>
    <row r="143" ht="15.75" customHeight="1">
      <c r="A143" s="2">
        <v>23.0</v>
      </c>
      <c r="B143" s="30">
        <f>SUMPRODUCT(MAX(($A$120:$A$165&lt;=$A143)*($A$120:$A$165&lt;='Cálculos'!$E$294)*(($A143)-$A$120:$A$165&lt;='Cálculos'!$E$295)*(1+(('Cálculos'!$E$207+$A$120:$A$165*'Cálculos'!$E$95)-(('Cálculos'!$E$207+$A$120:$A$165*'Cálculos'!$E$95)&gt;1)*(('Cálculos'!$E$207+$A$120:$A$165*'Cálculos'!$E$95)-1))*('Cálculos'!$E$208+(($A143)-$A$120:$A$165)*'Cálculos'!$E$96))))</f>
        <v>2.12793</v>
      </c>
      <c r="C143" s="2">
        <f>'Cálculos'!$E$303-$A143</f>
        <v>-10</v>
      </c>
      <c r="D143" s="31">
        <f>IF($C143&lt;0,0,SUMPRODUCT(MAX(($A$120:$A$165&lt;=$C143)*($A$120:$A$165&lt;='Cálculos'!$E$301)*(($C143)-$A$120:$A$165&lt;='Cálculos'!$E$297)*(('Cálculos'!$E$185*(1+'Cálculos'!$E$186+$A$120:$A$165*('Cálculos'!$E$290=1)*'Cálculos'!$E$97+'Cálculos'!$E$305)+'Cálculos'!$E$191)*('Cálculos'!$E$209+'Cálculos'!$E$124*(1+2.78*('Cálculos'!$E$196+(($C143)-$A$120:$A$165)*'Cálculos'!$E$98)/(('Cálculos'!$E$196+(($C143)-$A$120:$A$165)*'Cálculos'!$E$98)+1400)+'Cálculos'!$E$122)*'Cálculos'!$E$214+'Cálculos'!$E$125*(1+2.78*('Cálculos'!$E$196+(($C143)-$A$120:$A$165)*'Cálculos'!$E$98)/(('Cálculos'!$E$196+(($C143)-$A$120:$A$165)*'Cálculos'!$E$98)+1400)+'Cálculos'!$E$123)*'Cálculos'!$E$219)+('Cálculos'!$E$196+(($C143)-$A$120:$A$165)*'Cálculos'!$E$98)*('Cálculos'!$E$210+'Cálculos'!$E$124*(1+2.78*('Cálculos'!$E$196+(($C143)-$A$120:$A$165)*'Cálculos'!$E$98)/(('Cálculos'!$E$196+(($C143)-$A$120:$A$165)*'Cálculos'!$E$98)+1400)+'Cálculos'!$E$122)*'Cálculos'!$E$215+'Cálculos'!$E$125*(1+2.78*('Cálculos'!$E$196+(($C143)-$A$120:$A$165)*'Cálculos'!$E$98)/(('Cálculos'!$E$196+(($C143)-$A$120:$A$165)*'Cálculos'!$E$98)+1400)+'Cálculos'!$E$123)*'Cálculos'!$E$220)+('Cálculos'!$E$201*(1+'Cálculos'!$E$202+$A$120:$A$165*('Cálculos'!$E$290=2)*'Cálculos'!$E$101)+'Cálculos'!$E$203)*('Cálculos'!$E$211+'Cálculos'!$E$124*(1+2.78*('Cálculos'!$E$196+(($C143)-$A$120:$A$165)*'Cálculos'!$E$98)/(('Cálculos'!$E$196+(($C143)-$A$120:$A$165)*'Cálculos'!$E$98)+1400)+'Cálculos'!$E$122)*'Cálculos'!$E$216+'Cálculos'!$E$125*(1+2.78*('Cálculos'!$E$196+(($C143)-$A$120:$A$165)*'Cálculos'!$E$98)/(('Cálculos'!$E$196+(($C143)-$A$120:$A$165)*'Cálculos'!$E$98)+1400)+'Cálculos'!$E$123)*'Cálculos'!$E$221)+('Cálculos'!$E$204*(1+'Cálculos'!$E$205+$A$120:$A$165*('Cálculos'!$E$290=3)*'Cálculos'!$E$103)+'Cálculos'!$E$206)*('Cálculos'!$E$212+'Cálculos'!$E$124*(1+2.78*('Cálculos'!$E$196+(($C143)-$A$120:$A$165)*'Cálculos'!$E$98)/(('Cálculos'!$E$196+(($C143)-$A$120:$A$165)*'Cálculos'!$E$98)+1400)+'Cálculos'!$E$122)*'Cálculos'!$E$217+'Cálculos'!$E$125*(1+2.78*('Cálculos'!$E$196+(($C143)-$A$120:$A$165)*'Cálculos'!$E$98)/(('Cálculos'!$E$196+(($C143)-$A$120:$A$165)*'Cálculos'!$E$98)+1400)+'Cálculos'!$E$123)*'Cálculos'!$E$222)+('Cálculos'!$E$213+'Cálculos'!$E$124*(1+2.78*('Cálculos'!$E$196+(($C143)-$A$120:$A$165)*'Cálculos'!$E$98)/(('Cálculos'!$E$196+(($C143)-$A$120:$A$165)*'Cálculos'!$E$98)+1400)+'Cálculos'!$E$122)*'Cálculos'!$E$218+'Cálculos'!$E$125*(1+2.78*('Cálculos'!$E$196+(($C143)-$A$120:$A$165)*'Cálculos'!$E$98)/(('Cálculos'!$E$196+(($C143)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143)-$A$120:$A$165)*'Cálculos'!$E$98)/(('Cálculos'!$E$197+(($C143)-$A$120:$A$165)*'Cálculos'!$E$98)+1400)+'Cálculos'!$E$122)*'Cálculos'!$E$229+'Cálculos'!$E$125*(1+2.78*('Cálculos'!$E$197+(($C143)-$A$120:$A$165)*'Cálculos'!$E$98)/(('Cálculos'!$E$197+(($C143)-$A$120:$A$165)*'Cálculos'!$E$98)+1400)+'Cálculos'!$E$123)*'Cálculos'!$E$234)+('Cálculos'!$E$197+(($C143)-$A$120:$A$165)*'Cálculos'!$E$98)*('Cálculos'!$E$225+'Cálculos'!$E$124*(1+2.78*('Cálculos'!$E$197+(($C143)-$A$120:$A$165)*'Cálculos'!$E$98)/(('Cálculos'!$E$197+(($C143)-$A$120:$A$165)*'Cálculos'!$E$98)+1400)+'Cálculos'!$E$122)*'Cálculos'!$E$230+'Cálculos'!$E$125*(1+2.78*('Cálculos'!$E$197+(($C143)-$A$120:$A$165)*'Cálculos'!$E$98)/(('Cálculos'!$E$197+(($C143)-$A$120:$A$165)*'Cálculos'!$E$98)+1400)+'Cálculos'!$E$123)*'Cálculos'!$E$235)+('Cálculos'!$E$201*(1+'Cálculos'!$E$202+$A$120:$A$165*('Cálculos'!$E$290=2)*'Cálculos'!$E$101)+'Cálculos'!$E$203)*('Cálculos'!$E$226+'Cálculos'!$E$124*(1+2.78*('Cálculos'!$E$197+(($C143)-$A$120:$A$165)*'Cálculos'!$E$98)/(('Cálculos'!$E$197+(($C143)-$A$120:$A$165)*'Cálculos'!$E$98)+1400)+'Cálculos'!$E$122)*'Cálculos'!$E$231+'Cálculos'!$E$125*(1+2.78*('Cálculos'!$E$197+(($C143)-$A$120:$A$165)*'Cálculos'!$E$98)/(('Cálculos'!$E$197+(($C143)-$A$120:$A$165)*'Cálculos'!$E$98)+1400)+'Cálculos'!$E$123)*'Cálculos'!$E$236)+('Cálculos'!$E$204*(1+'Cálculos'!$E$205+$A$120:$A$165*('Cálculos'!$E$290=3)*'Cálculos'!$E$103)+'Cálculos'!$E$206)*('Cálculos'!$E$227+'Cálculos'!$E$124*(1+2.78*('Cálculos'!$E$197+(($C143)-$A$120:$A$165)*'Cálculos'!$E$98)/(('Cálculos'!$E$197+(($C143)-$A$120:$A$165)*'Cálculos'!$E$98)+1400)+'Cálculos'!$E$122)*'Cálculos'!$E$232+'Cálculos'!$E$125*(1+2.78*('Cálculos'!$E$197+(($C143)-$A$120:$A$165)*'Cálculos'!$E$98)/(('Cálculos'!$E$197+(($C143)-$A$120:$A$165)*'Cálculos'!$E$98)+1400)+'Cálculos'!$E$123)*'Cálculos'!$E$237)+('Cálculos'!$E$228+'Cálculos'!$E$124*(1+2.78*('Cálculos'!$E$197+(($C143)-$A$120:$A$165)*'Cálculos'!$E$98)/(('Cálculos'!$E$197+(($C143)-$A$120:$A$165)*'Cálculos'!$E$98)+1400)+'Cálculos'!$E$122)*'Cálculos'!$E$233+'Cálculos'!$E$125*(1+2.78*('Cálculos'!$E$197+(($C143)-$A$120:$A$165)*'Cálculos'!$E$98)/(('Cálculos'!$E$197+(($C143)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143)-$A$120:$A$165)*'Cálculos'!$E$98)/(('Cálculos'!$E$198+(($C143)-$A$120:$A$165)*'Cálculos'!$E$98)+1400)+'Cálculos'!$E$122)*'Cálculos'!$E$244+'Cálculos'!$E$125*(1+2.78*('Cálculos'!$E$198+(($C143)-$A$120:$A$165)*'Cálculos'!$E$98)/(('Cálculos'!$E$198+(($C143)-$A$120:$A$165)*'Cálculos'!$E$98)+1400)+'Cálculos'!$E$123)*'Cálculos'!$E$249)+('Cálculos'!$E$198+(($C143)-$A$120:$A$165)*'Cálculos'!$E$98)*('Cálculos'!$E$240+'Cálculos'!$E$124*(1+2.78*('Cálculos'!$E$198+(($C143)-$A$120:$A$165)*'Cálculos'!$E$98)/(('Cálculos'!$E$198+(($C143)-$A$120:$A$165)*'Cálculos'!$E$98)+1400)+'Cálculos'!$E$122)*'Cálculos'!$E$245+'Cálculos'!$E$125*(1+2.78*('Cálculos'!$E$198+(($C143)-$A$120:$A$165)*'Cálculos'!$E$98)/(('Cálculos'!$E$198+(($C143)-$A$120:$A$165)*'Cálculos'!$E$98)+1400)+'Cálculos'!$E$123)*'Cálculos'!$E$250)+('Cálculos'!$E$201*(1+'Cálculos'!$E$202+$A$120:$A$165*('Cálculos'!$E$290=2)*'Cálculos'!$E$101)+'Cálculos'!$E$203)*('Cálculos'!$E$241+'Cálculos'!$E$124*(1+2.78*('Cálculos'!$E$198+(($C143)-$A$120:$A$165)*'Cálculos'!$E$98)/(('Cálculos'!$E$198+(($C143)-$A$120:$A$165)*'Cálculos'!$E$98)+1400)+'Cálculos'!$E$122)*'Cálculos'!$E$246+'Cálculos'!$E$125*(1+2.78*('Cálculos'!$E$198+(($C143)-$A$120:$A$165)*'Cálculos'!$E$98)/(('Cálculos'!$E$198+(($C143)-$A$120:$A$165)*'Cálculos'!$E$98)+1400)+'Cálculos'!$E$123)*'Cálculos'!$E$251)+('Cálculos'!$E$204*(1+'Cálculos'!$E$205+$A$120:$A$165*('Cálculos'!$E$290=3)*'Cálculos'!$E$103)+'Cálculos'!$E$206)*('Cálculos'!$E$242+'Cálculos'!$E$124*(1+2.78*('Cálculos'!$E$198+(($C143)-$A$120:$A$165)*'Cálculos'!$E$98)/(('Cálculos'!$E$198+(($C143)-$A$120:$A$165)*'Cálculos'!$E$98)+1400)+'Cálculos'!$E$122)*'Cálculos'!$E$247+'Cálculos'!$E$125*(1+2.78*('Cálculos'!$E$198+(($C143)-$A$120:$A$165)*'Cálculos'!$E$98)/(('Cálculos'!$E$198+(($C143)-$A$120:$A$165)*'Cálculos'!$E$98)+1400)+'Cálculos'!$E$123)*'Cálculos'!$E$252)+('Cálculos'!$E$243+'Cálculos'!$E$124*(1+2.78*('Cálculos'!$E$198+(($C143)-$A$120:$A$165)*'Cálculos'!$E$98)/(('Cálculos'!$E$198+(($C143)-$A$120:$A$165)*'Cálculos'!$E$98)+1400)+'Cálculos'!$E$122)*'Cálculos'!$E$248+'Cálculos'!$E$125*(1+2.78*('Cálculos'!$E$198+(($C143)-$A$120:$A$165)*'Cálculos'!$E$98)/(('Cálculos'!$E$198+(($C143)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143)-$A$120:$A$165)*'Cálculos'!$E$98)/(('Cálculos'!$E$199+(($C143)-$A$120:$A$165)*'Cálculos'!$E$98)+1400)+'Cálculos'!$E$122)*'Cálculos'!$E$259+'Cálculos'!$E$125*(1+2.78*('Cálculos'!$E$199+(($C143)-$A$120:$A$165)*'Cálculos'!$E$98)/(('Cálculos'!$E$199+(($C143)-$A$120:$A$165)*'Cálculos'!$E$98)+1400)+'Cálculos'!$E$123)*'Cálculos'!$E$264)+('Cálculos'!$E$199+(($C143)-$A$120:$A$165)*'Cálculos'!$E$98)*('Cálculos'!$E$255+'Cálculos'!$E$124*(1+2.78*('Cálculos'!$E$199+(($C143)-$A$120:$A$165)*'Cálculos'!$E$98)/(('Cálculos'!$E$199+(($C143)-$A$120:$A$165)*'Cálculos'!$E$98)+1400)+'Cálculos'!$E$122)*'Cálculos'!$E$260+'Cálculos'!$E$125*(1+2.78*('Cálculos'!$E$199+(($C143)-$A$120:$A$165)*'Cálculos'!$E$98)/(('Cálculos'!$E$199+(($C143)-$A$120:$A$165)*'Cálculos'!$E$98)+1400)+'Cálculos'!$E$123)*'Cálculos'!$E$265)+('Cálculos'!$E$201*(1+'Cálculos'!$E$202+$A$120:$A$165*('Cálculos'!$E$290=2)*'Cálculos'!$E$101)+'Cálculos'!$E$203)*('Cálculos'!$E$256+'Cálculos'!$E$124*(1+2.78*('Cálculos'!$E$199+(($C143)-$A$120:$A$165)*'Cálculos'!$E$98)/(('Cálculos'!$E$199+(($C143)-$A$120:$A$165)*'Cálculos'!$E$98)+1400)+'Cálculos'!$E$122)*'Cálculos'!$E$261+'Cálculos'!$E$125*(1+2.78*('Cálculos'!$E$199+(($C143)-$A$120:$A$165)*'Cálculos'!$E$98)/(('Cálculos'!$E$199+(($C143)-$A$120:$A$165)*'Cálculos'!$E$98)+1400)+'Cálculos'!$E$123)*'Cálculos'!$E$266)+('Cálculos'!$E$204*(1+'Cálculos'!$E$205+$A$120:$A$165*('Cálculos'!$E$290=3)*'Cálculos'!$E$103)+'Cálculos'!$E$206)*('Cálculos'!$E$257+'Cálculos'!$E$124*(1+2.78*('Cálculos'!$E$199+(($C143)-$A$120:$A$165)*'Cálculos'!$E$98)/(('Cálculos'!$E$199+(($C143)-$A$120:$A$165)*'Cálculos'!$E$98)+1400)+'Cálculos'!$E$122)*'Cálculos'!$E$262+'Cálculos'!$E$125*(1+2.78*('Cálculos'!$E$199+(($C143)-$A$120:$A$165)*'Cálculos'!$E$98)/(('Cálculos'!$E$199+(($C143)-$A$120:$A$165)*'Cálculos'!$E$98)+1400)+'Cálculos'!$E$123)*'Cálculos'!$E$267)+('Cálculos'!$E$258+'Cálculos'!$E$124*(1+2.78*('Cálculos'!$E$199+(($C143)-$A$120:$A$165)*'Cálculos'!$E$98)/(('Cálculos'!$E$199+(($C143)-$A$120:$A$165)*'Cálculos'!$E$98)+1400)+'Cálculos'!$E$122)*'Cálculos'!$E$263+'Cálculos'!$E$125*(1+2.78*('Cálculos'!$E$199+(($C143)-$A$120:$A$165)*'Cálculos'!$E$98)/(('Cálculos'!$E$199+(($C143)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143)-$A$120:$A$165)*'Cálculos'!$E$98)/(('Cálculos'!$E$200+(($C143)-$A$120:$A$165)*'Cálculos'!$E$98)+1400)+'Cálculos'!$E$122)*'Cálculos'!$E$274+'Cálculos'!$E$125*(1+2.78*('Cálculos'!$E$200+(($C143)-$A$120:$A$165)*'Cálculos'!$E$98)/(('Cálculos'!$E$200+(($C143)-$A$120:$A$165)*'Cálculos'!$E$98)+1400)+'Cálculos'!$E$123)*'Cálculos'!$E$279)+('Cálculos'!$E$200+(($C143)-$A$120:$A$165)*'Cálculos'!$E$98)*('Cálculos'!$E$270+'Cálculos'!$E$124*(1+2.78*('Cálculos'!$E$200+(($C143)-$A$120:$A$165)*'Cálculos'!$E$98)/(('Cálculos'!$E$200+(($C143)-$A$120:$A$165)*'Cálculos'!$E$98)+1400)+'Cálculos'!$E$122)*'Cálculos'!$E$275+'Cálculos'!$E$125*(1+2.78*('Cálculos'!$E$200+(($C143)-$A$120:$A$165)*'Cálculos'!$E$98)/(('Cálculos'!$E$200+(($C143)-$A$120:$A$165)*'Cálculos'!$E$98)+1400)+'Cálculos'!$E$123)*'Cálculos'!$E$280)+('Cálculos'!$E$201*(1+'Cálculos'!$E$202+$A$120:$A$165*('Cálculos'!$E$290=2)*'Cálculos'!$E$101)+'Cálculos'!$E$203)*('Cálculos'!$E$271+'Cálculos'!$E$124*(1+2.78*('Cálculos'!$E$200+(($C143)-$A$120:$A$165)*'Cálculos'!$E$98)/(('Cálculos'!$E$200+(($C143)-$A$120:$A$165)*'Cálculos'!$E$98)+1400)+'Cálculos'!$E$122)*'Cálculos'!$E$276+'Cálculos'!$E$125*(1+2.78*('Cálculos'!$E$200+(($C143)-$A$120:$A$165)*'Cálculos'!$E$98)/(('Cálculos'!$E$200+(($C143)-$A$120:$A$165)*'Cálculos'!$E$98)+1400)+'Cálculos'!$E$123)*'Cálculos'!$E$281)+('Cálculos'!$E$204*(1+'Cálculos'!$E$205+$A$120:$A$165*('Cálculos'!$E$290=3)*'Cálculos'!$E$103)+'Cálculos'!$E$206)*('Cálculos'!$E$272+'Cálculos'!$E$124*(1+2.78*('Cálculos'!$E$200+(($C143)-$A$120:$A$165)*'Cálculos'!$E$98)/(('Cálculos'!$E$200+(($C143)-$A$120:$A$165)*'Cálculos'!$E$98)+1400)+'Cálculos'!$E$122)*'Cálculos'!$E$277+'Cálculos'!$E$125*(1+2.78*('Cálculos'!$E$200+(($C143)-$A$120:$A$165)*'Cálculos'!$E$98)/(('Cálculos'!$E$200+(($C143)-$A$120:$A$165)*'Cálculos'!$E$98)+1400)+'Cálculos'!$E$123)*'Cálculos'!$E$282)+('Cálculos'!$E$273+'Cálculos'!$E$124*(1+2.78*('Cálculos'!$E$200+(($C143)-$A$120:$A$165)*'Cálculos'!$E$98)/(('Cálculos'!$E$200+(($C143)-$A$120:$A$165)*'Cálculos'!$E$98)+1400)+'Cálculos'!$E$122)*'Cálculos'!$E$278+'Cálculos'!$E$125*(1+2.78*('Cálculos'!$E$200+(($C143)-$A$120:$A$165)*'Cálculos'!$E$98)/(('Cálculos'!$E$200+(($C143)-$A$120:$A$165)*'Cálculos'!$E$98)+1400)+'Cálculos'!$E$123)*'Cálculos'!$E$283)))))</f>
        <v>0</v>
      </c>
      <c r="E143" s="32">
        <f>IF(OR($C143&lt;0,'Cálculos'!$E$6=""),0,$B143*$D143)</f>
        <v>0</v>
      </c>
      <c r="F143" s="2"/>
      <c r="G143" s="30">
        <f>($A143&lt;=$B$167)*($A143&lt;='Cálculos'!$E$294)*(($B$167)-$A143&lt;='Cálculos'!$E$295)*(1+MIN(('Cálculos'!$E$207+$A143*'Cálculos'!$E$95),1)*('Cálculos'!$E$208+(($B$167)-$A143)*'Cálculos'!$E$96))</f>
        <v>0</v>
      </c>
      <c r="H143" s="31">
        <f>IF($B$168&lt;0,0,($A143&lt;=$B$168)*($A143&lt;='Cálculos'!$E$301)*(($B$168)-$A143&lt;='Cálculos'!$E$297)*(('Cálculos'!$E$185*(1+'Cálculos'!$E$186+$A143*('Cálculos'!$E$290=1)*'Cálculos'!$E$97+'Cálculos'!$E$305)+'Cálculos'!$E$191)*('Cálculos'!$E$209+'Cálculos'!$E$124*(1+2.78*('Cálculos'!$E$196+(($B$168)-$A143)*'Cálculos'!$E$98)/(('Cálculos'!$E$196+(($B$168)-$A143)*'Cálculos'!$E$98)+1400)+'Cálculos'!$E$122)*'Cálculos'!$E$214+'Cálculos'!$E$125*(1+2.78*('Cálculos'!$E$196+(($B$168)-$A143)*'Cálculos'!$E$98)/(('Cálculos'!$E$196+(($B$168)-$A143)*'Cálculos'!$E$98)+1400)+'Cálculos'!$E$123)*'Cálculos'!$E$219)+('Cálculos'!$E$196+(($B$168)-$A143)*'Cálculos'!$E$98)*('Cálculos'!$E$210+'Cálculos'!$E$124*(1+2.78*('Cálculos'!$E$196+(($B$168)-$A143)*'Cálculos'!$E$98)/(('Cálculos'!$E$196+(($B$168)-$A143)*'Cálculos'!$E$98)+1400)+'Cálculos'!$E$122)*'Cálculos'!$E$215+'Cálculos'!$E$125*(1+2.78*('Cálculos'!$E$196+(($B$168)-$A143)*'Cálculos'!$E$98)/(('Cálculos'!$E$196+(($B$168)-$A143)*'Cálculos'!$E$98)+1400)+'Cálculos'!$E$123)*'Cálculos'!$E$220)+('Cálculos'!$E$201*(1+'Cálculos'!$E$202+$A143*('Cálculos'!$E$290=2)*'Cálculos'!$E$101)+'Cálculos'!$E$203)*('Cálculos'!$E$211+'Cálculos'!$E$124*(1+2.78*('Cálculos'!$E$196+(($B$168)-$A143)*'Cálculos'!$E$98)/(('Cálculos'!$E$196+(($B$168)-$A143)*'Cálculos'!$E$98)+1400)+'Cálculos'!$E$122)*'Cálculos'!$E$216+'Cálculos'!$E$125*(1+2.78*('Cálculos'!$E$196+(($B$168)-$A143)*'Cálculos'!$E$98)/(('Cálculos'!$E$196+(($B$168)-$A143)*'Cálculos'!$E$98)+1400)+'Cálculos'!$E$123)*'Cálculos'!$E$221)+('Cálculos'!$E$204*(1+'Cálculos'!$E$205+$A143*('Cálculos'!$E$290=3)*'Cálculos'!$E$103)+'Cálculos'!$E$206)*('Cálculos'!$E$212+'Cálculos'!$E$124*(1+2.78*('Cálculos'!$E$196+(($B$168)-$A143)*'Cálculos'!$E$98)/(('Cálculos'!$E$196+(($B$168)-$A143)*'Cálculos'!$E$98)+1400)+'Cálculos'!$E$122)*'Cálculos'!$E$217+'Cálculos'!$E$125*(1+2.78*('Cálculos'!$E$196+(($B$168)-$A143)*'Cálculos'!$E$98)/(('Cálculos'!$E$196+(($B$168)-$A143)*'Cálculos'!$E$98)+1400)+'Cálculos'!$E$123)*'Cálculos'!$E$222)+('Cálculos'!$E$213+'Cálculos'!$E$124*(1+2.78*('Cálculos'!$E$196+(($B$168)-$A143)*'Cálculos'!$E$98)/(('Cálculos'!$E$196+(($B$168)-$A143)*'Cálculos'!$E$98)+1400)+'Cálculos'!$E$122)*'Cálculos'!$E$218+'Cálculos'!$E$125*(1+2.78*('Cálculos'!$E$196+(($B$168)-$A143)*'Cálculos'!$E$98)/(('Cálculos'!$E$196+(($B$168)-$A143)*'Cálculos'!$E$98)+1400)+'Cálculos'!$E$123)*'Cálculos'!$E$223)+('Cálculos'!$E$185*(1+'Cálculos'!$E$187+$A143*('Cálculos'!$E$290=1)*'Cálculos'!$E$97+'Cálculos'!$E$305)+'Cálculos'!$E$192)*('Cálculos'!$E$224+'Cálculos'!$E$124*(1+2.78*('Cálculos'!$E$197+(($B$168)-$A143)*'Cálculos'!$E$98)/(('Cálculos'!$E$197+(($B$168)-$A143)*'Cálculos'!$E$98)+1400)+'Cálculos'!$E$122)*'Cálculos'!$E$229+'Cálculos'!$E$125*(1+2.78*('Cálculos'!$E$197+(($B$168)-$A143)*'Cálculos'!$E$98)/(('Cálculos'!$E$197+(($B$168)-$A143)*'Cálculos'!$E$98)+1400)+'Cálculos'!$E$123)*'Cálculos'!$E$234)+('Cálculos'!$E$197+(($B$168)-$A143)*'Cálculos'!$E$98)*('Cálculos'!$E$225+'Cálculos'!$E$124*(1+2.78*('Cálculos'!$E$197+(($B$168)-$A143)*'Cálculos'!$E$98)/(('Cálculos'!$E$197+(($B$168)-$A143)*'Cálculos'!$E$98)+1400)+'Cálculos'!$E$122)*'Cálculos'!$E$230+'Cálculos'!$E$125*(1+2.78*('Cálculos'!$E$197+(($B$168)-$A143)*'Cálculos'!$E$98)/(('Cálculos'!$E$197+(($B$168)-$A143)*'Cálculos'!$E$98)+1400)+'Cálculos'!$E$123)*'Cálculos'!$E$235)+('Cálculos'!$E$201*(1+'Cálculos'!$E$202+$A143*('Cálculos'!$E$290=2)*'Cálculos'!$E$101)+'Cálculos'!$E$203)*('Cálculos'!$E$226+'Cálculos'!$E$124*(1+2.78*('Cálculos'!$E$197+(($B$168)-$A143)*'Cálculos'!$E$98)/(('Cálculos'!$E$197+(($B$168)-$A143)*'Cálculos'!$E$98)+1400)+'Cálculos'!$E$122)*'Cálculos'!$E$231+'Cálculos'!$E$125*(1+2.78*('Cálculos'!$E$197+(($B$168)-$A143)*'Cálculos'!$E$98)/(('Cálculos'!$E$197+(($B$168)-$A143)*'Cálculos'!$E$98)+1400)+'Cálculos'!$E$123)*'Cálculos'!$E$236)+('Cálculos'!$E$204*(1+'Cálculos'!$E$205+$A143*('Cálculos'!$E$290=3)*'Cálculos'!$E$103)+'Cálculos'!$E$206)*('Cálculos'!$E$227+'Cálculos'!$E$124*(1+2.78*('Cálculos'!$E$197+(($B$168)-$A143)*'Cálculos'!$E$98)/(('Cálculos'!$E$197+(($B$168)-$A143)*'Cálculos'!$E$98)+1400)+'Cálculos'!$E$122)*'Cálculos'!$E$232+'Cálculos'!$E$125*(1+2.78*('Cálculos'!$E$197+(($B$168)-$A143)*'Cálculos'!$E$98)/(('Cálculos'!$E$197+(($B$168)-$A143)*'Cálculos'!$E$98)+1400)+'Cálculos'!$E$123)*'Cálculos'!$E$237)+('Cálculos'!$E$228+'Cálculos'!$E$124*(1+2.78*('Cálculos'!$E$197+(($B$168)-$A143)*'Cálculos'!$E$98)/(('Cálculos'!$E$197+(($B$168)-$A143)*'Cálculos'!$E$98)+1400)+'Cálculos'!$E$122)*'Cálculos'!$E$233+'Cálculos'!$E$125*(1+2.78*('Cálculos'!$E$197+(($B$168)-$A143)*'Cálculos'!$E$98)/(('Cálculos'!$E$197+(($B$168)-$A143)*'Cálculos'!$E$98)+1400)+'Cálculos'!$E$123)*'Cálculos'!$E$238)+('Cálculos'!$E$185*(1+'Cálculos'!$E$188+$A143*('Cálculos'!$E$290=1)*'Cálculos'!$E$97+'Cálculos'!$E$305)+'Cálculos'!$E$193)*('Cálculos'!$E$239+'Cálculos'!$E$124*(1+2.78*('Cálculos'!$E$198+(($B$168)-$A143)*'Cálculos'!$E$98)/(('Cálculos'!$E$198+(($B$168)-$A143)*'Cálculos'!$E$98)+1400)+'Cálculos'!$E$122)*'Cálculos'!$E$244+'Cálculos'!$E$125*(1+2.78*('Cálculos'!$E$198+(($B$168)-$A143)*'Cálculos'!$E$98)/(('Cálculos'!$E$198+(($B$168)-$A143)*'Cálculos'!$E$98)+1400)+'Cálculos'!$E$123)*'Cálculos'!$E$249)+('Cálculos'!$E$198+(($B$168)-$A143)*'Cálculos'!$E$98)*('Cálculos'!$E$240+'Cálculos'!$E$124*(1+2.78*('Cálculos'!$E$198+(($B$168)-$A143)*'Cálculos'!$E$98)/(('Cálculos'!$E$198+(($B$168)-$A143)*'Cálculos'!$E$98)+1400)+'Cálculos'!$E$122)*'Cálculos'!$E$245+'Cálculos'!$E$125*(1+2.78*('Cálculos'!$E$198+(($B$168)-$A143)*'Cálculos'!$E$98)/(('Cálculos'!$E$198+(($B$168)-$A143)*'Cálculos'!$E$98)+1400)+'Cálculos'!$E$123)*'Cálculos'!$E$250)+('Cálculos'!$E$201*(1+'Cálculos'!$E$202+$A143*('Cálculos'!$E$290=2)*'Cálculos'!$E$101)+'Cálculos'!$E$203)*('Cálculos'!$E$241+'Cálculos'!$E$124*(1+2.78*('Cálculos'!$E$198+(($B$168)-$A143)*'Cálculos'!$E$98)/(('Cálculos'!$E$198+(($B$168)-$A143)*'Cálculos'!$E$98)+1400)+'Cálculos'!$E$122)*'Cálculos'!$E$246+'Cálculos'!$E$125*(1+2.78*('Cálculos'!$E$198+(($B$168)-$A143)*'Cálculos'!$E$98)/(('Cálculos'!$E$198+(($B$168)-$A143)*'Cálculos'!$E$98)+1400)+'Cálculos'!$E$123)*'Cálculos'!$E$251)+('Cálculos'!$E$204*(1+'Cálculos'!$E$205+$A143*('Cálculos'!$E$290=3)*'Cálculos'!$E$103)+'Cálculos'!$E$206)*('Cálculos'!$E$242+'Cálculos'!$E$124*(1+2.78*('Cálculos'!$E$198+(($B$168)-$A143)*'Cálculos'!$E$98)/(('Cálculos'!$E$198+(($B$168)-$A143)*'Cálculos'!$E$98)+1400)+'Cálculos'!$E$122)*'Cálculos'!$E$247+'Cálculos'!$E$125*(1+2.78*('Cálculos'!$E$198+(($B$168)-$A143)*'Cálculos'!$E$98)/(('Cálculos'!$E$198+(($B$168)-$A143)*'Cálculos'!$E$98)+1400)+'Cálculos'!$E$123)*'Cálculos'!$E$252)+('Cálculos'!$E$243+'Cálculos'!$E$124*(1+2.78*('Cálculos'!$E$198+(($B$168)-$A143)*'Cálculos'!$E$98)/(('Cálculos'!$E$198+(($B$168)-$A143)*'Cálculos'!$E$98)+1400)+'Cálculos'!$E$122)*'Cálculos'!$E$248+'Cálculos'!$E$125*(1+2.78*('Cálculos'!$E$198+(($B$168)-$A143)*'Cálculos'!$E$98)/(('Cálculos'!$E$198+(($B$168)-$A143)*'Cálculos'!$E$98)+1400)+'Cálculos'!$E$123)*'Cálculos'!$E$253)+('Cálculos'!$E$185*(1+'Cálculos'!$E$189+$A143*('Cálculos'!$E$290=1)*'Cálculos'!$E$97+'Cálculos'!$E$305)+'Cálculos'!$E$194)*('Cálculos'!$E$254+'Cálculos'!$E$124*(1+2.78*('Cálculos'!$E$199+(($B$168)-$A143)*'Cálculos'!$E$98)/(('Cálculos'!$E$199+(($B$168)-$A143)*'Cálculos'!$E$98)+1400)+'Cálculos'!$E$122)*'Cálculos'!$E$259+'Cálculos'!$E$125*(1+2.78*('Cálculos'!$E$199+(($B$168)-$A143)*'Cálculos'!$E$98)/(('Cálculos'!$E$199+(($B$168)-$A143)*'Cálculos'!$E$98)+1400)+'Cálculos'!$E$123)*'Cálculos'!$E$264)+('Cálculos'!$E$199+(($B$168)-$A143)*'Cálculos'!$E$98)*('Cálculos'!$E$255+'Cálculos'!$E$124*(1+2.78*('Cálculos'!$E$199+(($B$168)-$A143)*'Cálculos'!$E$98)/(('Cálculos'!$E$199+(($B$168)-$A143)*'Cálculos'!$E$98)+1400)+'Cálculos'!$E$122)*'Cálculos'!$E$260+'Cálculos'!$E$125*(1+2.78*('Cálculos'!$E$199+(($B$168)-$A143)*'Cálculos'!$E$98)/(('Cálculos'!$E$199+(($B$168)-$A143)*'Cálculos'!$E$98)+1400)+'Cálculos'!$E$123)*'Cálculos'!$E$265)+('Cálculos'!$E$201*(1+'Cálculos'!$E$202+$A143*('Cálculos'!$E$290=2)*'Cálculos'!$E$101)+'Cálculos'!$E$203)*('Cálculos'!$E$256+'Cálculos'!$E$124*(1+2.78*('Cálculos'!$E$199+(($B$168)-$A143)*'Cálculos'!$E$98)/(('Cálculos'!$E$199+(($B$168)-$A143)*'Cálculos'!$E$98)+1400)+'Cálculos'!$E$122)*'Cálculos'!$E$261+'Cálculos'!$E$125*(1+2.78*('Cálculos'!$E$199+(($B$168)-$A143)*'Cálculos'!$E$98)/(('Cálculos'!$E$199+(($B$168)-$A143)*'Cálculos'!$E$98)+1400)+'Cálculos'!$E$123)*'Cálculos'!$E$266)+('Cálculos'!$E$204*(1+'Cálculos'!$E$205+$A143*('Cálculos'!$E$290=3)*'Cálculos'!$E$103)+'Cálculos'!$E$206)*('Cálculos'!$E$257+'Cálculos'!$E$124*(1+2.78*('Cálculos'!$E$199+(($B$168)-$A143)*'Cálculos'!$E$98)/(('Cálculos'!$E$199+(($B$168)-$A143)*'Cálculos'!$E$98)+1400)+'Cálculos'!$E$122)*'Cálculos'!$E$262+'Cálculos'!$E$125*(1+2.78*('Cálculos'!$E$199+(($B$168)-$A143)*'Cálculos'!$E$98)/(('Cálculos'!$E$199+(($B$168)-$A143)*'Cálculos'!$E$98)+1400)+'Cálculos'!$E$123)*'Cálculos'!$E$267)+('Cálculos'!$E$258+'Cálculos'!$E$124*(1+2.78*('Cálculos'!$E$199+(($B$168)-$A143)*'Cálculos'!$E$98)/(('Cálculos'!$E$199+(($B$168)-$A143)*'Cálculos'!$E$98)+1400)+'Cálculos'!$E$122)*'Cálculos'!$E$263+'Cálculos'!$E$125*(1+2.78*('Cálculos'!$E$199+(($B$168)-$A143)*'Cálculos'!$E$98)/(('Cálculos'!$E$199+(($B$168)-$A143)*'Cálculos'!$E$98)+1400)+'Cálculos'!$E$123)*'Cálculos'!$E$268)+('Cálculos'!$E$185*(1+'Cálculos'!$E$190+$A143*('Cálculos'!$E$290=1)*'Cálculos'!$E$97+'Cálculos'!$E$305)+'Cálculos'!$E$195)*('Cálculos'!$E$269+'Cálculos'!$E$124*(1+2.78*('Cálculos'!$E$200+(($B$168)-$A143)*'Cálculos'!$E$98)/(('Cálculos'!$E$200+(($B$168)-$A143)*'Cálculos'!$E$98)+1400)+'Cálculos'!$E$122)*'Cálculos'!$E$274+'Cálculos'!$E$125*(1+2.78*('Cálculos'!$E$200+(($B$168)-$A143)*'Cálculos'!$E$98)/(('Cálculos'!$E$200+(($B$168)-$A143)*'Cálculos'!$E$98)+1400)+'Cálculos'!$E$123)*'Cálculos'!$E$279)+('Cálculos'!$E$200+(($B$168)-$A143)*'Cálculos'!$E$98)*('Cálculos'!$E$270+'Cálculos'!$E$124*(1+2.78*('Cálculos'!$E$200+(($B$168)-$A143)*'Cálculos'!$E$98)/(('Cálculos'!$E$200+(($B$168)-$A143)*'Cálculos'!$E$98)+1400)+'Cálculos'!$E$122)*'Cálculos'!$E$275+'Cálculos'!$E$125*(1+2.78*('Cálculos'!$E$200+(($B$168)-$A143)*'Cálculos'!$E$98)/(('Cálculos'!$E$200+(($B$168)-$A143)*'Cálculos'!$E$98)+1400)+'Cálculos'!$E$123)*'Cálculos'!$E$280)+('Cálculos'!$E$201*(1+'Cálculos'!$E$202+$A143*('Cálculos'!$E$290=2)*'Cálculos'!$E$101)+'Cálculos'!$E$203)*('Cálculos'!$E$271+'Cálculos'!$E$124*(1+2.78*('Cálculos'!$E$200+(($B$168)-$A143)*'Cálculos'!$E$98)/(('Cálculos'!$E$200+(($B$168)-$A143)*'Cálculos'!$E$98)+1400)+'Cálculos'!$E$122)*'Cálculos'!$E$276+'Cálculos'!$E$125*(1+2.78*('Cálculos'!$E$200+(($B$168)-$A143)*'Cálculos'!$E$98)/(('Cálculos'!$E$200+(($B$168)-$A143)*'Cálculos'!$E$98)+1400)+'Cálculos'!$E$123)*'Cálculos'!$E$281)+('Cálculos'!$E$204*(1+'Cálculos'!$E$205+$A143*('Cálculos'!$E$290=3)*'Cálculos'!$E$103)+'Cálculos'!$E$206)*('Cálculos'!$E$272+'Cálculos'!$E$124*(1+2.78*('Cálculos'!$E$200+(($B$168)-$A143)*'Cálculos'!$E$98)/(('Cálculos'!$E$200+(($B$168)-$A143)*'Cálculos'!$E$98)+1400)+'Cálculos'!$E$122)*'Cálculos'!$E$277+'Cálculos'!$E$125*(1+2.78*('Cálculos'!$E$200+(($B$168)-$A143)*'Cálculos'!$E$98)/(('Cálculos'!$E$200+(($B$168)-$A143)*'Cálculos'!$E$98)+1400)+'Cálculos'!$E$123)*'Cálculos'!$E$282)+('Cálculos'!$E$273+'Cálculos'!$E$124*(1+2.78*('Cálculos'!$E$200+(($B$168)-$A143)*'Cálculos'!$E$98)/(('Cálculos'!$E$200+(($B$168)-$A143)*'Cálculos'!$E$98)+1400)+'Cálculos'!$E$122)*'Cálculos'!$E$278+'Cálculos'!$E$125*(1+2.78*('Cálculos'!$E$200+(($B$168)-$A143)*'Cálculos'!$E$98)/(('Cálculos'!$E$200+(($B$168)-$A143)*'Cálculos'!$E$98)+1400)+'Cálculos'!$E$123)*'Cálculos'!$E$283)))</f>
        <v>0</v>
      </c>
    </row>
    <row r="144" ht="15.75" customHeight="1">
      <c r="A144" s="2">
        <v>24.0</v>
      </c>
      <c r="B144" s="30">
        <f>SUMPRODUCT(MAX(($A$120:$A$165&lt;=$A144)*($A$120:$A$165&lt;='Cálculos'!$E$294)*(($A144)-$A$120:$A$165&lt;='Cálculos'!$E$295)*(1+(('Cálculos'!$E$207+$A$120:$A$165*'Cálculos'!$E$95)-(('Cálculos'!$E$207+$A$120:$A$165*'Cálculos'!$E$95)&gt;1)*(('Cálculos'!$E$207+$A$120:$A$165*'Cálculos'!$E$95)-1))*('Cálculos'!$E$208+(($A144)-$A$120:$A$165)*'Cálculos'!$E$96))))</f>
        <v>2.177892</v>
      </c>
      <c r="C144" s="2">
        <f>'Cálculos'!$E$303-$A144</f>
        <v>-11</v>
      </c>
      <c r="D144" s="31">
        <f>IF($C144&lt;0,0,SUMPRODUCT(MAX(($A$120:$A$165&lt;=$C144)*($A$120:$A$165&lt;='Cálculos'!$E$301)*(($C144)-$A$120:$A$165&lt;='Cálculos'!$E$297)*(('Cálculos'!$E$185*(1+'Cálculos'!$E$186+$A$120:$A$165*('Cálculos'!$E$290=1)*'Cálculos'!$E$97+'Cálculos'!$E$305)+'Cálculos'!$E$191)*('Cálculos'!$E$209+'Cálculos'!$E$124*(1+2.78*('Cálculos'!$E$196+(($C144)-$A$120:$A$165)*'Cálculos'!$E$98)/(('Cálculos'!$E$196+(($C144)-$A$120:$A$165)*'Cálculos'!$E$98)+1400)+'Cálculos'!$E$122)*'Cálculos'!$E$214+'Cálculos'!$E$125*(1+2.78*('Cálculos'!$E$196+(($C144)-$A$120:$A$165)*'Cálculos'!$E$98)/(('Cálculos'!$E$196+(($C144)-$A$120:$A$165)*'Cálculos'!$E$98)+1400)+'Cálculos'!$E$123)*'Cálculos'!$E$219)+('Cálculos'!$E$196+(($C144)-$A$120:$A$165)*'Cálculos'!$E$98)*('Cálculos'!$E$210+'Cálculos'!$E$124*(1+2.78*('Cálculos'!$E$196+(($C144)-$A$120:$A$165)*'Cálculos'!$E$98)/(('Cálculos'!$E$196+(($C144)-$A$120:$A$165)*'Cálculos'!$E$98)+1400)+'Cálculos'!$E$122)*'Cálculos'!$E$215+'Cálculos'!$E$125*(1+2.78*('Cálculos'!$E$196+(($C144)-$A$120:$A$165)*'Cálculos'!$E$98)/(('Cálculos'!$E$196+(($C144)-$A$120:$A$165)*'Cálculos'!$E$98)+1400)+'Cálculos'!$E$123)*'Cálculos'!$E$220)+('Cálculos'!$E$201*(1+'Cálculos'!$E$202+$A$120:$A$165*('Cálculos'!$E$290=2)*'Cálculos'!$E$101)+'Cálculos'!$E$203)*('Cálculos'!$E$211+'Cálculos'!$E$124*(1+2.78*('Cálculos'!$E$196+(($C144)-$A$120:$A$165)*'Cálculos'!$E$98)/(('Cálculos'!$E$196+(($C144)-$A$120:$A$165)*'Cálculos'!$E$98)+1400)+'Cálculos'!$E$122)*'Cálculos'!$E$216+'Cálculos'!$E$125*(1+2.78*('Cálculos'!$E$196+(($C144)-$A$120:$A$165)*'Cálculos'!$E$98)/(('Cálculos'!$E$196+(($C144)-$A$120:$A$165)*'Cálculos'!$E$98)+1400)+'Cálculos'!$E$123)*'Cálculos'!$E$221)+('Cálculos'!$E$204*(1+'Cálculos'!$E$205+$A$120:$A$165*('Cálculos'!$E$290=3)*'Cálculos'!$E$103)+'Cálculos'!$E$206)*('Cálculos'!$E$212+'Cálculos'!$E$124*(1+2.78*('Cálculos'!$E$196+(($C144)-$A$120:$A$165)*'Cálculos'!$E$98)/(('Cálculos'!$E$196+(($C144)-$A$120:$A$165)*'Cálculos'!$E$98)+1400)+'Cálculos'!$E$122)*'Cálculos'!$E$217+'Cálculos'!$E$125*(1+2.78*('Cálculos'!$E$196+(($C144)-$A$120:$A$165)*'Cálculos'!$E$98)/(('Cálculos'!$E$196+(($C144)-$A$120:$A$165)*'Cálculos'!$E$98)+1400)+'Cálculos'!$E$123)*'Cálculos'!$E$222)+('Cálculos'!$E$213+'Cálculos'!$E$124*(1+2.78*('Cálculos'!$E$196+(($C144)-$A$120:$A$165)*'Cálculos'!$E$98)/(('Cálculos'!$E$196+(($C144)-$A$120:$A$165)*'Cálculos'!$E$98)+1400)+'Cálculos'!$E$122)*'Cálculos'!$E$218+'Cálculos'!$E$125*(1+2.78*('Cálculos'!$E$196+(($C144)-$A$120:$A$165)*'Cálculos'!$E$98)/(('Cálculos'!$E$196+(($C144)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144)-$A$120:$A$165)*'Cálculos'!$E$98)/(('Cálculos'!$E$197+(($C144)-$A$120:$A$165)*'Cálculos'!$E$98)+1400)+'Cálculos'!$E$122)*'Cálculos'!$E$229+'Cálculos'!$E$125*(1+2.78*('Cálculos'!$E$197+(($C144)-$A$120:$A$165)*'Cálculos'!$E$98)/(('Cálculos'!$E$197+(($C144)-$A$120:$A$165)*'Cálculos'!$E$98)+1400)+'Cálculos'!$E$123)*'Cálculos'!$E$234)+('Cálculos'!$E$197+(($C144)-$A$120:$A$165)*'Cálculos'!$E$98)*('Cálculos'!$E$225+'Cálculos'!$E$124*(1+2.78*('Cálculos'!$E$197+(($C144)-$A$120:$A$165)*'Cálculos'!$E$98)/(('Cálculos'!$E$197+(($C144)-$A$120:$A$165)*'Cálculos'!$E$98)+1400)+'Cálculos'!$E$122)*'Cálculos'!$E$230+'Cálculos'!$E$125*(1+2.78*('Cálculos'!$E$197+(($C144)-$A$120:$A$165)*'Cálculos'!$E$98)/(('Cálculos'!$E$197+(($C144)-$A$120:$A$165)*'Cálculos'!$E$98)+1400)+'Cálculos'!$E$123)*'Cálculos'!$E$235)+('Cálculos'!$E$201*(1+'Cálculos'!$E$202+$A$120:$A$165*('Cálculos'!$E$290=2)*'Cálculos'!$E$101)+'Cálculos'!$E$203)*('Cálculos'!$E$226+'Cálculos'!$E$124*(1+2.78*('Cálculos'!$E$197+(($C144)-$A$120:$A$165)*'Cálculos'!$E$98)/(('Cálculos'!$E$197+(($C144)-$A$120:$A$165)*'Cálculos'!$E$98)+1400)+'Cálculos'!$E$122)*'Cálculos'!$E$231+'Cálculos'!$E$125*(1+2.78*('Cálculos'!$E$197+(($C144)-$A$120:$A$165)*'Cálculos'!$E$98)/(('Cálculos'!$E$197+(($C144)-$A$120:$A$165)*'Cálculos'!$E$98)+1400)+'Cálculos'!$E$123)*'Cálculos'!$E$236)+('Cálculos'!$E$204*(1+'Cálculos'!$E$205+$A$120:$A$165*('Cálculos'!$E$290=3)*'Cálculos'!$E$103)+'Cálculos'!$E$206)*('Cálculos'!$E$227+'Cálculos'!$E$124*(1+2.78*('Cálculos'!$E$197+(($C144)-$A$120:$A$165)*'Cálculos'!$E$98)/(('Cálculos'!$E$197+(($C144)-$A$120:$A$165)*'Cálculos'!$E$98)+1400)+'Cálculos'!$E$122)*'Cálculos'!$E$232+'Cálculos'!$E$125*(1+2.78*('Cálculos'!$E$197+(($C144)-$A$120:$A$165)*'Cálculos'!$E$98)/(('Cálculos'!$E$197+(($C144)-$A$120:$A$165)*'Cálculos'!$E$98)+1400)+'Cálculos'!$E$123)*'Cálculos'!$E$237)+('Cálculos'!$E$228+'Cálculos'!$E$124*(1+2.78*('Cálculos'!$E$197+(($C144)-$A$120:$A$165)*'Cálculos'!$E$98)/(('Cálculos'!$E$197+(($C144)-$A$120:$A$165)*'Cálculos'!$E$98)+1400)+'Cálculos'!$E$122)*'Cálculos'!$E$233+'Cálculos'!$E$125*(1+2.78*('Cálculos'!$E$197+(($C144)-$A$120:$A$165)*'Cálculos'!$E$98)/(('Cálculos'!$E$197+(($C144)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144)-$A$120:$A$165)*'Cálculos'!$E$98)/(('Cálculos'!$E$198+(($C144)-$A$120:$A$165)*'Cálculos'!$E$98)+1400)+'Cálculos'!$E$122)*'Cálculos'!$E$244+'Cálculos'!$E$125*(1+2.78*('Cálculos'!$E$198+(($C144)-$A$120:$A$165)*'Cálculos'!$E$98)/(('Cálculos'!$E$198+(($C144)-$A$120:$A$165)*'Cálculos'!$E$98)+1400)+'Cálculos'!$E$123)*'Cálculos'!$E$249)+('Cálculos'!$E$198+(($C144)-$A$120:$A$165)*'Cálculos'!$E$98)*('Cálculos'!$E$240+'Cálculos'!$E$124*(1+2.78*('Cálculos'!$E$198+(($C144)-$A$120:$A$165)*'Cálculos'!$E$98)/(('Cálculos'!$E$198+(($C144)-$A$120:$A$165)*'Cálculos'!$E$98)+1400)+'Cálculos'!$E$122)*'Cálculos'!$E$245+'Cálculos'!$E$125*(1+2.78*('Cálculos'!$E$198+(($C144)-$A$120:$A$165)*'Cálculos'!$E$98)/(('Cálculos'!$E$198+(($C144)-$A$120:$A$165)*'Cálculos'!$E$98)+1400)+'Cálculos'!$E$123)*'Cálculos'!$E$250)+('Cálculos'!$E$201*(1+'Cálculos'!$E$202+$A$120:$A$165*('Cálculos'!$E$290=2)*'Cálculos'!$E$101)+'Cálculos'!$E$203)*('Cálculos'!$E$241+'Cálculos'!$E$124*(1+2.78*('Cálculos'!$E$198+(($C144)-$A$120:$A$165)*'Cálculos'!$E$98)/(('Cálculos'!$E$198+(($C144)-$A$120:$A$165)*'Cálculos'!$E$98)+1400)+'Cálculos'!$E$122)*'Cálculos'!$E$246+'Cálculos'!$E$125*(1+2.78*('Cálculos'!$E$198+(($C144)-$A$120:$A$165)*'Cálculos'!$E$98)/(('Cálculos'!$E$198+(($C144)-$A$120:$A$165)*'Cálculos'!$E$98)+1400)+'Cálculos'!$E$123)*'Cálculos'!$E$251)+('Cálculos'!$E$204*(1+'Cálculos'!$E$205+$A$120:$A$165*('Cálculos'!$E$290=3)*'Cálculos'!$E$103)+'Cálculos'!$E$206)*('Cálculos'!$E$242+'Cálculos'!$E$124*(1+2.78*('Cálculos'!$E$198+(($C144)-$A$120:$A$165)*'Cálculos'!$E$98)/(('Cálculos'!$E$198+(($C144)-$A$120:$A$165)*'Cálculos'!$E$98)+1400)+'Cálculos'!$E$122)*'Cálculos'!$E$247+'Cálculos'!$E$125*(1+2.78*('Cálculos'!$E$198+(($C144)-$A$120:$A$165)*'Cálculos'!$E$98)/(('Cálculos'!$E$198+(($C144)-$A$120:$A$165)*'Cálculos'!$E$98)+1400)+'Cálculos'!$E$123)*'Cálculos'!$E$252)+('Cálculos'!$E$243+'Cálculos'!$E$124*(1+2.78*('Cálculos'!$E$198+(($C144)-$A$120:$A$165)*'Cálculos'!$E$98)/(('Cálculos'!$E$198+(($C144)-$A$120:$A$165)*'Cálculos'!$E$98)+1400)+'Cálculos'!$E$122)*'Cálculos'!$E$248+'Cálculos'!$E$125*(1+2.78*('Cálculos'!$E$198+(($C144)-$A$120:$A$165)*'Cálculos'!$E$98)/(('Cálculos'!$E$198+(($C144)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144)-$A$120:$A$165)*'Cálculos'!$E$98)/(('Cálculos'!$E$199+(($C144)-$A$120:$A$165)*'Cálculos'!$E$98)+1400)+'Cálculos'!$E$122)*'Cálculos'!$E$259+'Cálculos'!$E$125*(1+2.78*('Cálculos'!$E$199+(($C144)-$A$120:$A$165)*'Cálculos'!$E$98)/(('Cálculos'!$E$199+(($C144)-$A$120:$A$165)*'Cálculos'!$E$98)+1400)+'Cálculos'!$E$123)*'Cálculos'!$E$264)+('Cálculos'!$E$199+(($C144)-$A$120:$A$165)*'Cálculos'!$E$98)*('Cálculos'!$E$255+'Cálculos'!$E$124*(1+2.78*('Cálculos'!$E$199+(($C144)-$A$120:$A$165)*'Cálculos'!$E$98)/(('Cálculos'!$E$199+(($C144)-$A$120:$A$165)*'Cálculos'!$E$98)+1400)+'Cálculos'!$E$122)*'Cálculos'!$E$260+'Cálculos'!$E$125*(1+2.78*('Cálculos'!$E$199+(($C144)-$A$120:$A$165)*'Cálculos'!$E$98)/(('Cálculos'!$E$199+(($C144)-$A$120:$A$165)*'Cálculos'!$E$98)+1400)+'Cálculos'!$E$123)*'Cálculos'!$E$265)+('Cálculos'!$E$201*(1+'Cálculos'!$E$202+$A$120:$A$165*('Cálculos'!$E$290=2)*'Cálculos'!$E$101)+'Cálculos'!$E$203)*('Cálculos'!$E$256+'Cálculos'!$E$124*(1+2.78*('Cálculos'!$E$199+(($C144)-$A$120:$A$165)*'Cálculos'!$E$98)/(('Cálculos'!$E$199+(($C144)-$A$120:$A$165)*'Cálculos'!$E$98)+1400)+'Cálculos'!$E$122)*'Cálculos'!$E$261+'Cálculos'!$E$125*(1+2.78*('Cálculos'!$E$199+(($C144)-$A$120:$A$165)*'Cálculos'!$E$98)/(('Cálculos'!$E$199+(($C144)-$A$120:$A$165)*'Cálculos'!$E$98)+1400)+'Cálculos'!$E$123)*'Cálculos'!$E$266)+('Cálculos'!$E$204*(1+'Cálculos'!$E$205+$A$120:$A$165*('Cálculos'!$E$290=3)*'Cálculos'!$E$103)+'Cálculos'!$E$206)*('Cálculos'!$E$257+'Cálculos'!$E$124*(1+2.78*('Cálculos'!$E$199+(($C144)-$A$120:$A$165)*'Cálculos'!$E$98)/(('Cálculos'!$E$199+(($C144)-$A$120:$A$165)*'Cálculos'!$E$98)+1400)+'Cálculos'!$E$122)*'Cálculos'!$E$262+'Cálculos'!$E$125*(1+2.78*('Cálculos'!$E$199+(($C144)-$A$120:$A$165)*'Cálculos'!$E$98)/(('Cálculos'!$E$199+(($C144)-$A$120:$A$165)*'Cálculos'!$E$98)+1400)+'Cálculos'!$E$123)*'Cálculos'!$E$267)+('Cálculos'!$E$258+'Cálculos'!$E$124*(1+2.78*('Cálculos'!$E$199+(($C144)-$A$120:$A$165)*'Cálculos'!$E$98)/(('Cálculos'!$E$199+(($C144)-$A$120:$A$165)*'Cálculos'!$E$98)+1400)+'Cálculos'!$E$122)*'Cálculos'!$E$263+'Cálculos'!$E$125*(1+2.78*('Cálculos'!$E$199+(($C144)-$A$120:$A$165)*'Cálculos'!$E$98)/(('Cálculos'!$E$199+(($C144)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144)-$A$120:$A$165)*'Cálculos'!$E$98)/(('Cálculos'!$E$200+(($C144)-$A$120:$A$165)*'Cálculos'!$E$98)+1400)+'Cálculos'!$E$122)*'Cálculos'!$E$274+'Cálculos'!$E$125*(1+2.78*('Cálculos'!$E$200+(($C144)-$A$120:$A$165)*'Cálculos'!$E$98)/(('Cálculos'!$E$200+(($C144)-$A$120:$A$165)*'Cálculos'!$E$98)+1400)+'Cálculos'!$E$123)*'Cálculos'!$E$279)+('Cálculos'!$E$200+(($C144)-$A$120:$A$165)*'Cálculos'!$E$98)*('Cálculos'!$E$270+'Cálculos'!$E$124*(1+2.78*('Cálculos'!$E$200+(($C144)-$A$120:$A$165)*'Cálculos'!$E$98)/(('Cálculos'!$E$200+(($C144)-$A$120:$A$165)*'Cálculos'!$E$98)+1400)+'Cálculos'!$E$122)*'Cálculos'!$E$275+'Cálculos'!$E$125*(1+2.78*('Cálculos'!$E$200+(($C144)-$A$120:$A$165)*'Cálculos'!$E$98)/(('Cálculos'!$E$200+(($C144)-$A$120:$A$165)*'Cálculos'!$E$98)+1400)+'Cálculos'!$E$123)*'Cálculos'!$E$280)+('Cálculos'!$E$201*(1+'Cálculos'!$E$202+$A$120:$A$165*('Cálculos'!$E$290=2)*'Cálculos'!$E$101)+'Cálculos'!$E$203)*('Cálculos'!$E$271+'Cálculos'!$E$124*(1+2.78*('Cálculos'!$E$200+(($C144)-$A$120:$A$165)*'Cálculos'!$E$98)/(('Cálculos'!$E$200+(($C144)-$A$120:$A$165)*'Cálculos'!$E$98)+1400)+'Cálculos'!$E$122)*'Cálculos'!$E$276+'Cálculos'!$E$125*(1+2.78*('Cálculos'!$E$200+(($C144)-$A$120:$A$165)*'Cálculos'!$E$98)/(('Cálculos'!$E$200+(($C144)-$A$120:$A$165)*'Cálculos'!$E$98)+1400)+'Cálculos'!$E$123)*'Cálculos'!$E$281)+('Cálculos'!$E$204*(1+'Cálculos'!$E$205+$A$120:$A$165*('Cálculos'!$E$290=3)*'Cálculos'!$E$103)+'Cálculos'!$E$206)*('Cálculos'!$E$272+'Cálculos'!$E$124*(1+2.78*('Cálculos'!$E$200+(($C144)-$A$120:$A$165)*'Cálculos'!$E$98)/(('Cálculos'!$E$200+(($C144)-$A$120:$A$165)*'Cálculos'!$E$98)+1400)+'Cálculos'!$E$122)*'Cálculos'!$E$277+'Cálculos'!$E$125*(1+2.78*('Cálculos'!$E$200+(($C144)-$A$120:$A$165)*'Cálculos'!$E$98)/(('Cálculos'!$E$200+(($C144)-$A$120:$A$165)*'Cálculos'!$E$98)+1400)+'Cálculos'!$E$123)*'Cálculos'!$E$282)+('Cálculos'!$E$273+'Cálculos'!$E$124*(1+2.78*('Cálculos'!$E$200+(($C144)-$A$120:$A$165)*'Cálculos'!$E$98)/(('Cálculos'!$E$200+(($C144)-$A$120:$A$165)*'Cálculos'!$E$98)+1400)+'Cálculos'!$E$122)*'Cálculos'!$E$278+'Cálculos'!$E$125*(1+2.78*('Cálculos'!$E$200+(($C144)-$A$120:$A$165)*'Cálculos'!$E$98)/(('Cálculos'!$E$200+(($C144)-$A$120:$A$165)*'Cálculos'!$E$98)+1400)+'Cálculos'!$E$123)*'Cálculos'!$E$283)))))</f>
        <v>0</v>
      </c>
      <c r="E144" s="32">
        <f>IF(OR($C144&lt;0,'Cálculos'!$E$6=""),0,$B144*$D144)</f>
        <v>0</v>
      </c>
      <c r="F144" s="2"/>
      <c r="G144" s="30">
        <f>($A144&lt;=$B$167)*($A144&lt;='Cálculos'!$E$294)*(($B$167)-$A144&lt;='Cálculos'!$E$295)*(1+MIN(('Cálculos'!$E$207+$A144*'Cálculos'!$E$95),1)*('Cálculos'!$E$208+(($B$167)-$A144)*'Cálculos'!$E$96))</f>
        <v>0</v>
      </c>
      <c r="H144" s="31">
        <f>IF($B$168&lt;0,0,($A144&lt;=$B$168)*($A144&lt;='Cálculos'!$E$301)*(($B$168)-$A144&lt;='Cálculos'!$E$297)*(('Cálculos'!$E$185*(1+'Cálculos'!$E$186+$A144*('Cálculos'!$E$290=1)*'Cálculos'!$E$97+'Cálculos'!$E$305)+'Cálculos'!$E$191)*('Cálculos'!$E$209+'Cálculos'!$E$124*(1+2.78*('Cálculos'!$E$196+(($B$168)-$A144)*'Cálculos'!$E$98)/(('Cálculos'!$E$196+(($B$168)-$A144)*'Cálculos'!$E$98)+1400)+'Cálculos'!$E$122)*'Cálculos'!$E$214+'Cálculos'!$E$125*(1+2.78*('Cálculos'!$E$196+(($B$168)-$A144)*'Cálculos'!$E$98)/(('Cálculos'!$E$196+(($B$168)-$A144)*'Cálculos'!$E$98)+1400)+'Cálculos'!$E$123)*'Cálculos'!$E$219)+('Cálculos'!$E$196+(($B$168)-$A144)*'Cálculos'!$E$98)*('Cálculos'!$E$210+'Cálculos'!$E$124*(1+2.78*('Cálculos'!$E$196+(($B$168)-$A144)*'Cálculos'!$E$98)/(('Cálculos'!$E$196+(($B$168)-$A144)*'Cálculos'!$E$98)+1400)+'Cálculos'!$E$122)*'Cálculos'!$E$215+'Cálculos'!$E$125*(1+2.78*('Cálculos'!$E$196+(($B$168)-$A144)*'Cálculos'!$E$98)/(('Cálculos'!$E$196+(($B$168)-$A144)*'Cálculos'!$E$98)+1400)+'Cálculos'!$E$123)*'Cálculos'!$E$220)+('Cálculos'!$E$201*(1+'Cálculos'!$E$202+$A144*('Cálculos'!$E$290=2)*'Cálculos'!$E$101)+'Cálculos'!$E$203)*('Cálculos'!$E$211+'Cálculos'!$E$124*(1+2.78*('Cálculos'!$E$196+(($B$168)-$A144)*'Cálculos'!$E$98)/(('Cálculos'!$E$196+(($B$168)-$A144)*'Cálculos'!$E$98)+1400)+'Cálculos'!$E$122)*'Cálculos'!$E$216+'Cálculos'!$E$125*(1+2.78*('Cálculos'!$E$196+(($B$168)-$A144)*'Cálculos'!$E$98)/(('Cálculos'!$E$196+(($B$168)-$A144)*'Cálculos'!$E$98)+1400)+'Cálculos'!$E$123)*'Cálculos'!$E$221)+('Cálculos'!$E$204*(1+'Cálculos'!$E$205+$A144*('Cálculos'!$E$290=3)*'Cálculos'!$E$103)+'Cálculos'!$E$206)*('Cálculos'!$E$212+'Cálculos'!$E$124*(1+2.78*('Cálculos'!$E$196+(($B$168)-$A144)*'Cálculos'!$E$98)/(('Cálculos'!$E$196+(($B$168)-$A144)*'Cálculos'!$E$98)+1400)+'Cálculos'!$E$122)*'Cálculos'!$E$217+'Cálculos'!$E$125*(1+2.78*('Cálculos'!$E$196+(($B$168)-$A144)*'Cálculos'!$E$98)/(('Cálculos'!$E$196+(($B$168)-$A144)*'Cálculos'!$E$98)+1400)+'Cálculos'!$E$123)*'Cálculos'!$E$222)+('Cálculos'!$E$213+'Cálculos'!$E$124*(1+2.78*('Cálculos'!$E$196+(($B$168)-$A144)*'Cálculos'!$E$98)/(('Cálculos'!$E$196+(($B$168)-$A144)*'Cálculos'!$E$98)+1400)+'Cálculos'!$E$122)*'Cálculos'!$E$218+'Cálculos'!$E$125*(1+2.78*('Cálculos'!$E$196+(($B$168)-$A144)*'Cálculos'!$E$98)/(('Cálculos'!$E$196+(($B$168)-$A144)*'Cálculos'!$E$98)+1400)+'Cálculos'!$E$123)*'Cálculos'!$E$223)+('Cálculos'!$E$185*(1+'Cálculos'!$E$187+$A144*('Cálculos'!$E$290=1)*'Cálculos'!$E$97+'Cálculos'!$E$305)+'Cálculos'!$E$192)*('Cálculos'!$E$224+'Cálculos'!$E$124*(1+2.78*('Cálculos'!$E$197+(($B$168)-$A144)*'Cálculos'!$E$98)/(('Cálculos'!$E$197+(($B$168)-$A144)*'Cálculos'!$E$98)+1400)+'Cálculos'!$E$122)*'Cálculos'!$E$229+'Cálculos'!$E$125*(1+2.78*('Cálculos'!$E$197+(($B$168)-$A144)*'Cálculos'!$E$98)/(('Cálculos'!$E$197+(($B$168)-$A144)*'Cálculos'!$E$98)+1400)+'Cálculos'!$E$123)*'Cálculos'!$E$234)+('Cálculos'!$E$197+(($B$168)-$A144)*'Cálculos'!$E$98)*('Cálculos'!$E$225+'Cálculos'!$E$124*(1+2.78*('Cálculos'!$E$197+(($B$168)-$A144)*'Cálculos'!$E$98)/(('Cálculos'!$E$197+(($B$168)-$A144)*'Cálculos'!$E$98)+1400)+'Cálculos'!$E$122)*'Cálculos'!$E$230+'Cálculos'!$E$125*(1+2.78*('Cálculos'!$E$197+(($B$168)-$A144)*'Cálculos'!$E$98)/(('Cálculos'!$E$197+(($B$168)-$A144)*'Cálculos'!$E$98)+1400)+'Cálculos'!$E$123)*'Cálculos'!$E$235)+('Cálculos'!$E$201*(1+'Cálculos'!$E$202+$A144*('Cálculos'!$E$290=2)*'Cálculos'!$E$101)+'Cálculos'!$E$203)*('Cálculos'!$E$226+'Cálculos'!$E$124*(1+2.78*('Cálculos'!$E$197+(($B$168)-$A144)*'Cálculos'!$E$98)/(('Cálculos'!$E$197+(($B$168)-$A144)*'Cálculos'!$E$98)+1400)+'Cálculos'!$E$122)*'Cálculos'!$E$231+'Cálculos'!$E$125*(1+2.78*('Cálculos'!$E$197+(($B$168)-$A144)*'Cálculos'!$E$98)/(('Cálculos'!$E$197+(($B$168)-$A144)*'Cálculos'!$E$98)+1400)+'Cálculos'!$E$123)*'Cálculos'!$E$236)+('Cálculos'!$E$204*(1+'Cálculos'!$E$205+$A144*('Cálculos'!$E$290=3)*'Cálculos'!$E$103)+'Cálculos'!$E$206)*('Cálculos'!$E$227+'Cálculos'!$E$124*(1+2.78*('Cálculos'!$E$197+(($B$168)-$A144)*'Cálculos'!$E$98)/(('Cálculos'!$E$197+(($B$168)-$A144)*'Cálculos'!$E$98)+1400)+'Cálculos'!$E$122)*'Cálculos'!$E$232+'Cálculos'!$E$125*(1+2.78*('Cálculos'!$E$197+(($B$168)-$A144)*'Cálculos'!$E$98)/(('Cálculos'!$E$197+(($B$168)-$A144)*'Cálculos'!$E$98)+1400)+'Cálculos'!$E$123)*'Cálculos'!$E$237)+('Cálculos'!$E$228+'Cálculos'!$E$124*(1+2.78*('Cálculos'!$E$197+(($B$168)-$A144)*'Cálculos'!$E$98)/(('Cálculos'!$E$197+(($B$168)-$A144)*'Cálculos'!$E$98)+1400)+'Cálculos'!$E$122)*'Cálculos'!$E$233+'Cálculos'!$E$125*(1+2.78*('Cálculos'!$E$197+(($B$168)-$A144)*'Cálculos'!$E$98)/(('Cálculos'!$E$197+(($B$168)-$A144)*'Cálculos'!$E$98)+1400)+'Cálculos'!$E$123)*'Cálculos'!$E$238)+('Cálculos'!$E$185*(1+'Cálculos'!$E$188+$A144*('Cálculos'!$E$290=1)*'Cálculos'!$E$97+'Cálculos'!$E$305)+'Cálculos'!$E$193)*('Cálculos'!$E$239+'Cálculos'!$E$124*(1+2.78*('Cálculos'!$E$198+(($B$168)-$A144)*'Cálculos'!$E$98)/(('Cálculos'!$E$198+(($B$168)-$A144)*'Cálculos'!$E$98)+1400)+'Cálculos'!$E$122)*'Cálculos'!$E$244+'Cálculos'!$E$125*(1+2.78*('Cálculos'!$E$198+(($B$168)-$A144)*'Cálculos'!$E$98)/(('Cálculos'!$E$198+(($B$168)-$A144)*'Cálculos'!$E$98)+1400)+'Cálculos'!$E$123)*'Cálculos'!$E$249)+('Cálculos'!$E$198+(($B$168)-$A144)*'Cálculos'!$E$98)*('Cálculos'!$E$240+'Cálculos'!$E$124*(1+2.78*('Cálculos'!$E$198+(($B$168)-$A144)*'Cálculos'!$E$98)/(('Cálculos'!$E$198+(($B$168)-$A144)*'Cálculos'!$E$98)+1400)+'Cálculos'!$E$122)*'Cálculos'!$E$245+'Cálculos'!$E$125*(1+2.78*('Cálculos'!$E$198+(($B$168)-$A144)*'Cálculos'!$E$98)/(('Cálculos'!$E$198+(($B$168)-$A144)*'Cálculos'!$E$98)+1400)+'Cálculos'!$E$123)*'Cálculos'!$E$250)+('Cálculos'!$E$201*(1+'Cálculos'!$E$202+$A144*('Cálculos'!$E$290=2)*'Cálculos'!$E$101)+'Cálculos'!$E$203)*('Cálculos'!$E$241+'Cálculos'!$E$124*(1+2.78*('Cálculos'!$E$198+(($B$168)-$A144)*'Cálculos'!$E$98)/(('Cálculos'!$E$198+(($B$168)-$A144)*'Cálculos'!$E$98)+1400)+'Cálculos'!$E$122)*'Cálculos'!$E$246+'Cálculos'!$E$125*(1+2.78*('Cálculos'!$E$198+(($B$168)-$A144)*'Cálculos'!$E$98)/(('Cálculos'!$E$198+(($B$168)-$A144)*'Cálculos'!$E$98)+1400)+'Cálculos'!$E$123)*'Cálculos'!$E$251)+('Cálculos'!$E$204*(1+'Cálculos'!$E$205+$A144*('Cálculos'!$E$290=3)*'Cálculos'!$E$103)+'Cálculos'!$E$206)*('Cálculos'!$E$242+'Cálculos'!$E$124*(1+2.78*('Cálculos'!$E$198+(($B$168)-$A144)*'Cálculos'!$E$98)/(('Cálculos'!$E$198+(($B$168)-$A144)*'Cálculos'!$E$98)+1400)+'Cálculos'!$E$122)*'Cálculos'!$E$247+'Cálculos'!$E$125*(1+2.78*('Cálculos'!$E$198+(($B$168)-$A144)*'Cálculos'!$E$98)/(('Cálculos'!$E$198+(($B$168)-$A144)*'Cálculos'!$E$98)+1400)+'Cálculos'!$E$123)*'Cálculos'!$E$252)+('Cálculos'!$E$243+'Cálculos'!$E$124*(1+2.78*('Cálculos'!$E$198+(($B$168)-$A144)*'Cálculos'!$E$98)/(('Cálculos'!$E$198+(($B$168)-$A144)*'Cálculos'!$E$98)+1400)+'Cálculos'!$E$122)*'Cálculos'!$E$248+'Cálculos'!$E$125*(1+2.78*('Cálculos'!$E$198+(($B$168)-$A144)*'Cálculos'!$E$98)/(('Cálculos'!$E$198+(($B$168)-$A144)*'Cálculos'!$E$98)+1400)+'Cálculos'!$E$123)*'Cálculos'!$E$253)+('Cálculos'!$E$185*(1+'Cálculos'!$E$189+$A144*('Cálculos'!$E$290=1)*'Cálculos'!$E$97+'Cálculos'!$E$305)+'Cálculos'!$E$194)*('Cálculos'!$E$254+'Cálculos'!$E$124*(1+2.78*('Cálculos'!$E$199+(($B$168)-$A144)*'Cálculos'!$E$98)/(('Cálculos'!$E$199+(($B$168)-$A144)*'Cálculos'!$E$98)+1400)+'Cálculos'!$E$122)*'Cálculos'!$E$259+'Cálculos'!$E$125*(1+2.78*('Cálculos'!$E$199+(($B$168)-$A144)*'Cálculos'!$E$98)/(('Cálculos'!$E$199+(($B$168)-$A144)*'Cálculos'!$E$98)+1400)+'Cálculos'!$E$123)*'Cálculos'!$E$264)+('Cálculos'!$E$199+(($B$168)-$A144)*'Cálculos'!$E$98)*('Cálculos'!$E$255+'Cálculos'!$E$124*(1+2.78*('Cálculos'!$E$199+(($B$168)-$A144)*'Cálculos'!$E$98)/(('Cálculos'!$E$199+(($B$168)-$A144)*'Cálculos'!$E$98)+1400)+'Cálculos'!$E$122)*'Cálculos'!$E$260+'Cálculos'!$E$125*(1+2.78*('Cálculos'!$E$199+(($B$168)-$A144)*'Cálculos'!$E$98)/(('Cálculos'!$E$199+(($B$168)-$A144)*'Cálculos'!$E$98)+1400)+'Cálculos'!$E$123)*'Cálculos'!$E$265)+('Cálculos'!$E$201*(1+'Cálculos'!$E$202+$A144*('Cálculos'!$E$290=2)*'Cálculos'!$E$101)+'Cálculos'!$E$203)*('Cálculos'!$E$256+'Cálculos'!$E$124*(1+2.78*('Cálculos'!$E$199+(($B$168)-$A144)*'Cálculos'!$E$98)/(('Cálculos'!$E$199+(($B$168)-$A144)*'Cálculos'!$E$98)+1400)+'Cálculos'!$E$122)*'Cálculos'!$E$261+'Cálculos'!$E$125*(1+2.78*('Cálculos'!$E$199+(($B$168)-$A144)*'Cálculos'!$E$98)/(('Cálculos'!$E$199+(($B$168)-$A144)*'Cálculos'!$E$98)+1400)+'Cálculos'!$E$123)*'Cálculos'!$E$266)+('Cálculos'!$E$204*(1+'Cálculos'!$E$205+$A144*('Cálculos'!$E$290=3)*'Cálculos'!$E$103)+'Cálculos'!$E$206)*('Cálculos'!$E$257+'Cálculos'!$E$124*(1+2.78*('Cálculos'!$E$199+(($B$168)-$A144)*'Cálculos'!$E$98)/(('Cálculos'!$E$199+(($B$168)-$A144)*'Cálculos'!$E$98)+1400)+'Cálculos'!$E$122)*'Cálculos'!$E$262+'Cálculos'!$E$125*(1+2.78*('Cálculos'!$E$199+(($B$168)-$A144)*'Cálculos'!$E$98)/(('Cálculos'!$E$199+(($B$168)-$A144)*'Cálculos'!$E$98)+1400)+'Cálculos'!$E$123)*'Cálculos'!$E$267)+('Cálculos'!$E$258+'Cálculos'!$E$124*(1+2.78*('Cálculos'!$E$199+(($B$168)-$A144)*'Cálculos'!$E$98)/(('Cálculos'!$E$199+(($B$168)-$A144)*'Cálculos'!$E$98)+1400)+'Cálculos'!$E$122)*'Cálculos'!$E$263+'Cálculos'!$E$125*(1+2.78*('Cálculos'!$E$199+(($B$168)-$A144)*'Cálculos'!$E$98)/(('Cálculos'!$E$199+(($B$168)-$A144)*'Cálculos'!$E$98)+1400)+'Cálculos'!$E$123)*'Cálculos'!$E$268)+('Cálculos'!$E$185*(1+'Cálculos'!$E$190+$A144*('Cálculos'!$E$290=1)*'Cálculos'!$E$97+'Cálculos'!$E$305)+'Cálculos'!$E$195)*('Cálculos'!$E$269+'Cálculos'!$E$124*(1+2.78*('Cálculos'!$E$200+(($B$168)-$A144)*'Cálculos'!$E$98)/(('Cálculos'!$E$200+(($B$168)-$A144)*'Cálculos'!$E$98)+1400)+'Cálculos'!$E$122)*'Cálculos'!$E$274+'Cálculos'!$E$125*(1+2.78*('Cálculos'!$E$200+(($B$168)-$A144)*'Cálculos'!$E$98)/(('Cálculos'!$E$200+(($B$168)-$A144)*'Cálculos'!$E$98)+1400)+'Cálculos'!$E$123)*'Cálculos'!$E$279)+('Cálculos'!$E$200+(($B$168)-$A144)*'Cálculos'!$E$98)*('Cálculos'!$E$270+'Cálculos'!$E$124*(1+2.78*('Cálculos'!$E$200+(($B$168)-$A144)*'Cálculos'!$E$98)/(('Cálculos'!$E$200+(($B$168)-$A144)*'Cálculos'!$E$98)+1400)+'Cálculos'!$E$122)*'Cálculos'!$E$275+'Cálculos'!$E$125*(1+2.78*('Cálculos'!$E$200+(($B$168)-$A144)*'Cálculos'!$E$98)/(('Cálculos'!$E$200+(($B$168)-$A144)*'Cálculos'!$E$98)+1400)+'Cálculos'!$E$123)*'Cálculos'!$E$280)+('Cálculos'!$E$201*(1+'Cálculos'!$E$202+$A144*('Cálculos'!$E$290=2)*'Cálculos'!$E$101)+'Cálculos'!$E$203)*('Cálculos'!$E$271+'Cálculos'!$E$124*(1+2.78*('Cálculos'!$E$200+(($B$168)-$A144)*'Cálculos'!$E$98)/(('Cálculos'!$E$200+(($B$168)-$A144)*'Cálculos'!$E$98)+1400)+'Cálculos'!$E$122)*'Cálculos'!$E$276+'Cálculos'!$E$125*(1+2.78*('Cálculos'!$E$200+(($B$168)-$A144)*'Cálculos'!$E$98)/(('Cálculos'!$E$200+(($B$168)-$A144)*'Cálculos'!$E$98)+1400)+'Cálculos'!$E$123)*'Cálculos'!$E$281)+('Cálculos'!$E$204*(1+'Cálculos'!$E$205+$A144*('Cálculos'!$E$290=3)*'Cálculos'!$E$103)+'Cálculos'!$E$206)*('Cálculos'!$E$272+'Cálculos'!$E$124*(1+2.78*('Cálculos'!$E$200+(($B$168)-$A144)*'Cálculos'!$E$98)/(('Cálculos'!$E$200+(($B$168)-$A144)*'Cálculos'!$E$98)+1400)+'Cálculos'!$E$122)*'Cálculos'!$E$277+'Cálculos'!$E$125*(1+2.78*('Cálculos'!$E$200+(($B$168)-$A144)*'Cálculos'!$E$98)/(('Cálculos'!$E$200+(($B$168)-$A144)*'Cálculos'!$E$98)+1400)+'Cálculos'!$E$123)*'Cálculos'!$E$282)+('Cálculos'!$E$273+'Cálculos'!$E$124*(1+2.78*('Cálculos'!$E$200+(($B$168)-$A144)*'Cálculos'!$E$98)/(('Cálculos'!$E$200+(($B$168)-$A144)*'Cálculos'!$E$98)+1400)+'Cálculos'!$E$122)*'Cálculos'!$E$278+'Cálculos'!$E$125*(1+2.78*('Cálculos'!$E$200+(($B$168)-$A144)*'Cálculos'!$E$98)/(('Cálculos'!$E$200+(($B$168)-$A144)*'Cálculos'!$E$98)+1400)+'Cálculos'!$E$123)*'Cálculos'!$E$283)))</f>
        <v>0</v>
      </c>
    </row>
    <row r="145" ht="15.75" customHeight="1">
      <c r="A145" s="2">
        <v>25.0</v>
      </c>
      <c r="B145" s="30">
        <f>SUMPRODUCT(MAX(($A$120:$A$165&lt;=$A145)*($A$120:$A$165&lt;='Cálculos'!$E$294)*(($A145)-$A$120:$A$165&lt;='Cálculos'!$E$295)*(1+(('Cálculos'!$E$207+$A$120:$A$165*'Cálculos'!$E$95)-(('Cálculos'!$E$207+$A$120:$A$165*'Cálculos'!$E$95)&gt;1)*(('Cálculos'!$E$207+$A$120:$A$165*'Cálculos'!$E$95)-1))*('Cálculos'!$E$208+(($A145)-$A$120:$A$165)*'Cálculos'!$E$96))))</f>
        <v>2.22924</v>
      </c>
      <c r="C145" s="2">
        <f>'Cálculos'!$E$303-$A145</f>
        <v>-12</v>
      </c>
      <c r="D145" s="31">
        <f>IF($C145&lt;0,0,SUMPRODUCT(MAX(($A$120:$A$165&lt;=$C145)*($A$120:$A$165&lt;='Cálculos'!$E$301)*(($C145)-$A$120:$A$165&lt;='Cálculos'!$E$297)*(('Cálculos'!$E$185*(1+'Cálculos'!$E$186+$A$120:$A$165*('Cálculos'!$E$290=1)*'Cálculos'!$E$97+'Cálculos'!$E$305)+'Cálculos'!$E$191)*('Cálculos'!$E$209+'Cálculos'!$E$124*(1+2.78*('Cálculos'!$E$196+(($C145)-$A$120:$A$165)*'Cálculos'!$E$98)/(('Cálculos'!$E$196+(($C145)-$A$120:$A$165)*'Cálculos'!$E$98)+1400)+'Cálculos'!$E$122)*'Cálculos'!$E$214+'Cálculos'!$E$125*(1+2.78*('Cálculos'!$E$196+(($C145)-$A$120:$A$165)*'Cálculos'!$E$98)/(('Cálculos'!$E$196+(($C145)-$A$120:$A$165)*'Cálculos'!$E$98)+1400)+'Cálculos'!$E$123)*'Cálculos'!$E$219)+('Cálculos'!$E$196+(($C145)-$A$120:$A$165)*'Cálculos'!$E$98)*('Cálculos'!$E$210+'Cálculos'!$E$124*(1+2.78*('Cálculos'!$E$196+(($C145)-$A$120:$A$165)*'Cálculos'!$E$98)/(('Cálculos'!$E$196+(($C145)-$A$120:$A$165)*'Cálculos'!$E$98)+1400)+'Cálculos'!$E$122)*'Cálculos'!$E$215+'Cálculos'!$E$125*(1+2.78*('Cálculos'!$E$196+(($C145)-$A$120:$A$165)*'Cálculos'!$E$98)/(('Cálculos'!$E$196+(($C145)-$A$120:$A$165)*'Cálculos'!$E$98)+1400)+'Cálculos'!$E$123)*'Cálculos'!$E$220)+('Cálculos'!$E$201*(1+'Cálculos'!$E$202+$A$120:$A$165*('Cálculos'!$E$290=2)*'Cálculos'!$E$101)+'Cálculos'!$E$203)*('Cálculos'!$E$211+'Cálculos'!$E$124*(1+2.78*('Cálculos'!$E$196+(($C145)-$A$120:$A$165)*'Cálculos'!$E$98)/(('Cálculos'!$E$196+(($C145)-$A$120:$A$165)*'Cálculos'!$E$98)+1400)+'Cálculos'!$E$122)*'Cálculos'!$E$216+'Cálculos'!$E$125*(1+2.78*('Cálculos'!$E$196+(($C145)-$A$120:$A$165)*'Cálculos'!$E$98)/(('Cálculos'!$E$196+(($C145)-$A$120:$A$165)*'Cálculos'!$E$98)+1400)+'Cálculos'!$E$123)*'Cálculos'!$E$221)+('Cálculos'!$E$204*(1+'Cálculos'!$E$205+$A$120:$A$165*('Cálculos'!$E$290=3)*'Cálculos'!$E$103)+'Cálculos'!$E$206)*('Cálculos'!$E$212+'Cálculos'!$E$124*(1+2.78*('Cálculos'!$E$196+(($C145)-$A$120:$A$165)*'Cálculos'!$E$98)/(('Cálculos'!$E$196+(($C145)-$A$120:$A$165)*'Cálculos'!$E$98)+1400)+'Cálculos'!$E$122)*'Cálculos'!$E$217+'Cálculos'!$E$125*(1+2.78*('Cálculos'!$E$196+(($C145)-$A$120:$A$165)*'Cálculos'!$E$98)/(('Cálculos'!$E$196+(($C145)-$A$120:$A$165)*'Cálculos'!$E$98)+1400)+'Cálculos'!$E$123)*'Cálculos'!$E$222)+('Cálculos'!$E$213+'Cálculos'!$E$124*(1+2.78*('Cálculos'!$E$196+(($C145)-$A$120:$A$165)*'Cálculos'!$E$98)/(('Cálculos'!$E$196+(($C145)-$A$120:$A$165)*'Cálculos'!$E$98)+1400)+'Cálculos'!$E$122)*'Cálculos'!$E$218+'Cálculos'!$E$125*(1+2.78*('Cálculos'!$E$196+(($C145)-$A$120:$A$165)*'Cálculos'!$E$98)/(('Cálculos'!$E$196+(($C145)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145)-$A$120:$A$165)*'Cálculos'!$E$98)/(('Cálculos'!$E$197+(($C145)-$A$120:$A$165)*'Cálculos'!$E$98)+1400)+'Cálculos'!$E$122)*'Cálculos'!$E$229+'Cálculos'!$E$125*(1+2.78*('Cálculos'!$E$197+(($C145)-$A$120:$A$165)*'Cálculos'!$E$98)/(('Cálculos'!$E$197+(($C145)-$A$120:$A$165)*'Cálculos'!$E$98)+1400)+'Cálculos'!$E$123)*'Cálculos'!$E$234)+('Cálculos'!$E$197+(($C145)-$A$120:$A$165)*'Cálculos'!$E$98)*('Cálculos'!$E$225+'Cálculos'!$E$124*(1+2.78*('Cálculos'!$E$197+(($C145)-$A$120:$A$165)*'Cálculos'!$E$98)/(('Cálculos'!$E$197+(($C145)-$A$120:$A$165)*'Cálculos'!$E$98)+1400)+'Cálculos'!$E$122)*'Cálculos'!$E$230+'Cálculos'!$E$125*(1+2.78*('Cálculos'!$E$197+(($C145)-$A$120:$A$165)*'Cálculos'!$E$98)/(('Cálculos'!$E$197+(($C145)-$A$120:$A$165)*'Cálculos'!$E$98)+1400)+'Cálculos'!$E$123)*'Cálculos'!$E$235)+('Cálculos'!$E$201*(1+'Cálculos'!$E$202+$A$120:$A$165*('Cálculos'!$E$290=2)*'Cálculos'!$E$101)+'Cálculos'!$E$203)*('Cálculos'!$E$226+'Cálculos'!$E$124*(1+2.78*('Cálculos'!$E$197+(($C145)-$A$120:$A$165)*'Cálculos'!$E$98)/(('Cálculos'!$E$197+(($C145)-$A$120:$A$165)*'Cálculos'!$E$98)+1400)+'Cálculos'!$E$122)*'Cálculos'!$E$231+'Cálculos'!$E$125*(1+2.78*('Cálculos'!$E$197+(($C145)-$A$120:$A$165)*'Cálculos'!$E$98)/(('Cálculos'!$E$197+(($C145)-$A$120:$A$165)*'Cálculos'!$E$98)+1400)+'Cálculos'!$E$123)*'Cálculos'!$E$236)+('Cálculos'!$E$204*(1+'Cálculos'!$E$205+$A$120:$A$165*('Cálculos'!$E$290=3)*'Cálculos'!$E$103)+'Cálculos'!$E$206)*('Cálculos'!$E$227+'Cálculos'!$E$124*(1+2.78*('Cálculos'!$E$197+(($C145)-$A$120:$A$165)*'Cálculos'!$E$98)/(('Cálculos'!$E$197+(($C145)-$A$120:$A$165)*'Cálculos'!$E$98)+1400)+'Cálculos'!$E$122)*'Cálculos'!$E$232+'Cálculos'!$E$125*(1+2.78*('Cálculos'!$E$197+(($C145)-$A$120:$A$165)*'Cálculos'!$E$98)/(('Cálculos'!$E$197+(($C145)-$A$120:$A$165)*'Cálculos'!$E$98)+1400)+'Cálculos'!$E$123)*'Cálculos'!$E$237)+('Cálculos'!$E$228+'Cálculos'!$E$124*(1+2.78*('Cálculos'!$E$197+(($C145)-$A$120:$A$165)*'Cálculos'!$E$98)/(('Cálculos'!$E$197+(($C145)-$A$120:$A$165)*'Cálculos'!$E$98)+1400)+'Cálculos'!$E$122)*'Cálculos'!$E$233+'Cálculos'!$E$125*(1+2.78*('Cálculos'!$E$197+(($C145)-$A$120:$A$165)*'Cálculos'!$E$98)/(('Cálculos'!$E$197+(($C145)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145)-$A$120:$A$165)*'Cálculos'!$E$98)/(('Cálculos'!$E$198+(($C145)-$A$120:$A$165)*'Cálculos'!$E$98)+1400)+'Cálculos'!$E$122)*'Cálculos'!$E$244+'Cálculos'!$E$125*(1+2.78*('Cálculos'!$E$198+(($C145)-$A$120:$A$165)*'Cálculos'!$E$98)/(('Cálculos'!$E$198+(($C145)-$A$120:$A$165)*'Cálculos'!$E$98)+1400)+'Cálculos'!$E$123)*'Cálculos'!$E$249)+('Cálculos'!$E$198+(($C145)-$A$120:$A$165)*'Cálculos'!$E$98)*('Cálculos'!$E$240+'Cálculos'!$E$124*(1+2.78*('Cálculos'!$E$198+(($C145)-$A$120:$A$165)*'Cálculos'!$E$98)/(('Cálculos'!$E$198+(($C145)-$A$120:$A$165)*'Cálculos'!$E$98)+1400)+'Cálculos'!$E$122)*'Cálculos'!$E$245+'Cálculos'!$E$125*(1+2.78*('Cálculos'!$E$198+(($C145)-$A$120:$A$165)*'Cálculos'!$E$98)/(('Cálculos'!$E$198+(($C145)-$A$120:$A$165)*'Cálculos'!$E$98)+1400)+'Cálculos'!$E$123)*'Cálculos'!$E$250)+('Cálculos'!$E$201*(1+'Cálculos'!$E$202+$A$120:$A$165*('Cálculos'!$E$290=2)*'Cálculos'!$E$101)+'Cálculos'!$E$203)*('Cálculos'!$E$241+'Cálculos'!$E$124*(1+2.78*('Cálculos'!$E$198+(($C145)-$A$120:$A$165)*'Cálculos'!$E$98)/(('Cálculos'!$E$198+(($C145)-$A$120:$A$165)*'Cálculos'!$E$98)+1400)+'Cálculos'!$E$122)*'Cálculos'!$E$246+'Cálculos'!$E$125*(1+2.78*('Cálculos'!$E$198+(($C145)-$A$120:$A$165)*'Cálculos'!$E$98)/(('Cálculos'!$E$198+(($C145)-$A$120:$A$165)*'Cálculos'!$E$98)+1400)+'Cálculos'!$E$123)*'Cálculos'!$E$251)+('Cálculos'!$E$204*(1+'Cálculos'!$E$205+$A$120:$A$165*('Cálculos'!$E$290=3)*'Cálculos'!$E$103)+'Cálculos'!$E$206)*('Cálculos'!$E$242+'Cálculos'!$E$124*(1+2.78*('Cálculos'!$E$198+(($C145)-$A$120:$A$165)*'Cálculos'!$E$98)/(('Cálculos'!$E$198+(($C145)-$A$120:$A$165)*'Cálculos'!$E$98)+1400)+'Cálculos'!$E$122)*'Cálculos'!$E$247+'Cálculos'!$E$125*(1+2.78*('Cálculos'!$E$198+(($C145)-$A$120:$A$165)*'Cálculos'!$E$98)/(('Cálculos'!$E$198+(($C145)-$A$120:$A$165)*'Cálculos'!$E$98)+1400)+'Cálculos'!$E$123)*'Cálculos'!$E$252)+('Cálculos'!$E$243+'Cálculos'!$E$124*(1+2.78*('Cálculos'!$E$198+(($C145)-$A$120:$A$165)*'Cálculos'!$E$98)/(('Cálculos'!$E$198+(($C145)-$A$120:$A$165)*'Cálculos'!$E$98)+1400)+'Cálculos'!$E$122)*'Cálculos'!$E$248+'Cálculos'!$E$125*(1+2.78*('Cálculos'!$E$198+(($C145)-$A$120:$A$165)*'Cálculos'!$E$98)/(('Cálculos'!$E$198+(($C145)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145)-$A$120:$A$165)*'Cálculos'!$E$98)/(('Cálculos'!$E$199+(($C145)-$A$120:$A$165)*'Cálculos'!$E$98)+1400)+'Cálculos'!$E$122)*'Cálculos'!$E$259+'Cálculos'!$E$125*(1+2.78*('Cálculos'!$E$199+(($C145)-$A$120:$A$165)*'Cálculos'!$E$98)/(('Cálculos'!$E$199+(($C145)-$A$120:$A$165)*'Cálculos'!$E$98)+1400)+'Cálculos'!$E$123)*'Cálculos'!$E$264)+('Cálculos'!$E$199+(($C145)-$A$120:$A$165)*'Cálculos'!$E$98)*('Cálculos'!$E$255+'Cálculos'!$E$124*(1+2.78*('Cálculos'!$E$199+(($C145)-$A$120:$A$165)*'Cálculos'!$E$98)/(('Cálculos'!$E$199+(($C145)-$A$120:$A$165)*'Cálculos'!$E$98)+1400)+'Cálculos'!$E$122)*'Cálculos'!$E$260+'Cálculos'!$E$125*(1+2.78*('Cálculos'!$E$199+(($C145)-$A$120:$A$165)*'Cálculos'!$E$98)/(('Cálculos'!$E$199+(($C145)-$A$120:$A$165)*'Cálculos'!$E$98)+1400)+'Cálculos'!$E$123)*'Cálculos'!$E$265)+('Cálculos'!$E$201*(1+'Cálculos'!$E$202+$A$120:$A$165*('Cálculos'!$E$290=2)*'Cálculos'!$E$101)+'Cálculos'!$E$203)*('Cálculos'!$E$256+'Cálculos'!$E$124*(1+2.78*('Cálculos'!$E$199+(($C145)-$A$120:$A$165)*'Cálculos'!$E$98)/(('Cálculos'!$E$199+(($C145)-$A$120:$A$165)*'Cálculos'!$E$98)+1400)+'Cálculos'!$E$122)*'Cálculos'!$E$261+'Cálculos'!$E$125*(1+2.78*('Cálculos'!$E$199+(($C145)-$A$120:$A$165)*'Cálculos'!$E$98)/(('Cálculos'!$E$199+(($C145)-$A$120:$A$165)*'Cálculos'!$E$98)+1400)+'Cálculos'!$E$123)*'Cálculos'!$E$266)+('Cálculos'!$E$204*(1+'Cálculos'!$E$205+$A$120:$A$165*('Cálculos'!$E$290=3)*'Cálculos'!$E$103)+'Cálculos'!$E$206)*('Cálculos'!$E$257+'Cálculos'!$E$124*(1+2.78*('Cálculos'!$E$199+(($C145)-$A$120:$A$165)*'Cálculos'!$E$98)/(('Cálculos'!$E$199+(($C145)-$A$120:$A$165)*'Cálculos'!$E$98)+1400)+'Cálculos'!$E$122)*'Cálculos'!$E$262+'Cálculos'!$E$125*(1+2.78*('Cálculos'!$E$199+(($C145)-$A$120:$A$165)*'Cálculos'!$E$98)/(('Cálculos'!$E$199+(($C145)-$A$120:$A$165)*'Cálculos'!$E$98)+1400)+'Cálculos'!$E$123)*'Cálculos'!$E$267)+('Cálculos'!$E$258+'Cálculos'!$E$124*(1+2.78*('Cálculos'!$E$199+(($C145)-$A$120:$A$165)*'Cálculos'!$E$98)/(('Cálculos'!$E$199+(($C145)-$A$120:$A$165)*'Cálculos'!$E$98)+1400)+'Cálculos'!$E$122)*'Cálculos'!$E$263+'Cálculos'!$E$125*(1+2.78*('Cálculos'!$E$199+(($C145)-$A$120:$A$165)*'Cálculos'!$E$98)/(('Cálculos'!$E$199+(($C145)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145)-$A$120:$A$165)*'Cálculos'!$E$98)/(('Cálculos'!$E$200+(($C145)-$A$120:$A$165)*'Cálculos'!$E$98)+1400)+'Cálculos'!$E$122)*'Cálculos'!$E$274+'Cálculos'!$E$125*(1+2.78*('Cálculos'!$E$200+(($C145)-$A$120:$A$165)*'Cálculos'!$E$98)/(('Cálculos'!$E$200+(($C145)-$A$120:$A$165)*'Cálculos'!$E$98)+1400)+'Cálculos'!$E$123)*'Cálculos'!$E$279)+('Cálculos'!$E$200+(($C145)-$A$120:$A$165)*'Cálculos'!$E$98)*('Cálculos'!$E$270+'Cálculos'!$E$124*(1+2.78*('Cálculos'!$E$200+(($C145)-$A$120:$A$165)*'Cálculos'!$E$98)/(('Cálculos'!$E$200+(($C145)-$A$120:$A$165)*'Cálculos'!$E$98)+1400)+'Cálculos'!$E$122)*'Cálculos'!$E$275+'Cálculos'!$E$125*(1+2.78*('Cálculos'!$E$200+(($C145)-$A$120:$A$165)*'Cálculos'!$E$98)/(('Cálculos'!$E$200+(($C145)-$A$120:$A$165)*'Cálculos'!$E$98)+1400)+'Cálculos'!$E$123)*'Cálculos'!$E$280)+('Cálculos'!$E$201*(1+'Cálculos'!$E$202+$A$120:$A$165*('Cálculos'!$E$290=2)*'Cálculos'!$E$101)+'Cálculos'!$E$203)*('Cálculos'!$E$271+'Cálculos'!$E$124*(1+2.78*('Cálculos'!$E$200+(($C145)-$A$120:$A$165)*'Cálculos'!$E$98)/(('Cálculos'!$E$200+(($C145)-$A$120:$A$165)*'Cálculos'!$E$98)+1400)+'Cálculos'!$E$122)*'Cálculos'!$E$276+'Cálculos'!$E$125*(1+2.78*('Cálculos'!$E$200+(($C145)-$A$120:$A$165)*'Cálculos'!$E$98)/(('Cálculos'!$E$200+(($C145)-$A$120:$A$165)*'Cálculos'!$E$98)+1400)+'Cálculos'!$E$123)*'Cálculos'!$E$281)+('Cálculos'!$E$204*(1+'Cálculos'!$E$205+$A$120:$A$165*('Cálculos'!$E$290=3)*'Cálculos'!$E$103)+'Cálculos'!$E$206)*('Cálculos'!$E$272+'Cálculos'!$E$124*(1+2.78*('Cálculos'!$E$200+(($C145)-$A$120:$A$165)*'Cálculos'!$E$98)/(('Cálculos'!$E$200+(($C145)-$A$120:$A$165)*'Cálculos'!$E$98)+1400)+'Cálculos'!$E$122)*'Cálculos'!$E$277+'Cálculos'!$E$125*(1+2.78*('Cálculos'!$E$200+(($C145)-$A$120:$A$165)*'Cálculos'!$E$98)/(('Cálculos'!$E$200+(($C145)-$A$120:$A$165)*'Cálculos'!$E$98)+1400)+'Cálculos'!$E$123)*'Cálculos'!$E$282)+('Cálculos'!$E$273+'Cálculos'!$E$124*(1+2.78*('Cálculos'!$E$200+(($C145)-$A$120:$A$165)*'Cálculos'!$E$98)/(('Cálculos'!$E$200+(($C145)-$A$120:$A$165)*'Cálculos'!$E$98)+1400)+'Cálculos'!$E$122)*'Cálculos'!$E$278+'Cálculos'!$E$125*(1+2.78*('Cálculos'!$E$200+(($C145)-$A$120:$A$165)*'Cálculos'!$E$98)/(('Cálculos'!$E$200+(($C145)-$A$120:$A$165)*'Cálculos'!$E$98)+1400)+'Cálculos'!$E$123)*'Cálculos'!$E$283)))))</f>
        <v>0</v>
      </c>
      <c r="E145" s="32">
        <f>IF(OR($C145&lt;0,'Cálculos'!$E$6=""),0,$B145*$D145)</f>
        <v>0</v>
      </c>
      <c r="F145" s="2"/>
      <c r="G145" s="30">
        <f>($A145&lt;=$B$167)*($A145&lt;='Cálculos'!$E$294)*(($B$167)-$A145&lt;='Cálculos'!$E$295)*(1+MIN(('Cálculos'!$E$207+$A145*'Cálculos'!$E$95),1)*('Cálculos'!$E$208+(($B$167)-$A145)*'Cálculos'!$E$96))</f>
        <v>0</v>
      </c>
      <c r="H145" s="31">
        <f>IF($B$168&lt;0,0,($A145&lt;=$B$168)*($A145&lt;='Cálculos'!$E$301)*(($B$168)-$A145&lt;='Cálculos'!$E$297)*(('Cálculos'!$E$185*(1+'Cálculos'!$E$186+$A145*('Cálculos'!$E$290=1)*'Cálculos'!$E$97+'Cálculos'!$E$305)+'Cálculos'!$E$191)*('Cálculos'!$E$209+'Cálculos'!$E$124*(1+2.78*('Cálculos'!$E$196+(($B$168)-$A145)*'Cálculos'!$E$98)/(('Cálculos'!$E$196+(($B$168)-$A145)*'Cálculos'!$E$98)+1400)+'Cálculos'!$E$122)*'Cálculos'!$E$214+'Cálculos'!$E$125*(1+2.78*('Cálculos'!$E$196+(($B$168)-$A145)*'Cálculos'!$E$98)/(('Cálculos'!$E$196+(($B$168)-$A145)*'Cálculos'!$E$98)+1400)+'Cálculos'!$E$123)*'Cálculos'!$E$219)+('Cálculos'!$E$196+(($B$168)-$A145)*'Cálculos'!$E$98)*('Cálculos'!$E$210+'Cálculos'!$E$124*(1+2.78*('Cálculos'!$E$196+(($B$168)-$A145)*'Cálculos'!$E$98)/(('Cálculos'!$E$196+(($B$168)-$A145)*'Cálculos'!$E$98)+1400)+'Cálculos'!$E$122)*'Cálculos'!$E$215+'Cálculos'!$E$125*(1+2.78*('Cálculos'!$E$196+(($B$168)-$A145)*'Cálculos'!$E$98)/(('Cálculos'!$E$196+(($B$168)-$A145)*'Cálculos'!$E$98)+1400)+'Cálculos'!$E$123)*'Cálculos'!$E$220)+('Cálculos'!$E$201*(1+'Cálculos'!$E$202+$A145*('Cálculos'!$E$290=2)*'Cálculos'!$E$101)+'Cálculos'!$E$203)*('Cálculos'!$E$211+'Cálculos'!$E$124*(1+2.78*('Cálculos'!$E$196+(($B$168)-$A145)*'Cálculos'!$E$98)/(('Cálculos'!$E$196+(($B$168)-$A145)*'Cálculos'!$E$98)+1400)+'Cálculos'!$E$122)*'Cálculos'!$E$216+'Cálculos'!$E$125*(1+2.78*('Cálculos'!$E$196+(($B$168)-$A145)*'Cálculos'!$E$98)/(('Cálculos'!$E$196+(($B$168)-$A145)*'Cálculos'!$E$98)+1400)+'Cálculos'!$E$123)*'Cálculos'!$E$221)+('Cálculos'!$E$204*(1+'Cálculos'!$E$205+$A145*('Cálculos'!$E$290=3)*'Cálculos'!$E$103)+'Cálculos'!$E$206)*('Cálculos'!$E$212+'Cálculos'!$E$124*(1+2.78*('Cálculos'!$E$196+(($B$168)-$A145)*'Cálculos'!$E$98)/(('Cálculos'!$E$196+(($B$168)-$A145)*'Cálculos'!$E$98)+1400)+'Cálculos'!$E$122)*'Cálculos'!$E$217+'Cálculos'!$E$125*(1+2.78*('Cálculos'!$E$196+(($B$168)-$A145)*'Cálculos'!$E$98)/(('Cálculos'!$E$196+(($B$168)-$A145)*'Cálculos'!$E$98)+1400)+'Cálculos'!$E$123)*'Cálculos'!$E$222)+('Cálculos'!$E$213+'Cálculos'!$E$124*(1+2.78*('Cálculos'!$E$196+(($B$168)-$A145)*'Cálculos'!$E$98)/(('Cálculos'!$E$196+(($B$168)-$A145)*'Cálculos'!$E$98)+1400)+'Cálculos'!$E$122)*'Cálculos'!$E$218+'Cálculos'!$E$125*(1+2.78*('Cálculos'!$E$196+(($B$168)-$A145)*'Cálculos'!$E$98)/(('Cálculos'!$E$196+(($B$168)-$A145)*'Cálculos'!$E$98)+1400)+'Cálculos'!$E$123)*'Cálculos'!$E$223)+('Cálculos'!$E$185*(1+'Cálculos'!$E$187+$A145*('Cálculos'!$E$290=1)*'Cálculos'!$E$97+'Cálculos'!$E$305)+'Cálculos'!$E$192)*('Cálculos'!$E$224+'Cálculos'!$E$124*(1+2.78*('Cálculos'!$E$197+(($B$168)-$A145)*'Cálculos'!$E$98)/(('Cálculos'!$E$197+(($B$168)-$A145)*'Cálculos'!$E$98)+1400)+'Cálculos'!$E$122)*'Cálculos'!$E$229+'Cálculos'!$E$125*(1+2.78*('Cálculos'!$E$197+(($B$168)-$A145)*'Cálculos'!$E$98)/(('Cálculos'!$E$197+(($B$168)-$A145)*'Cálculos'!$E$98)+1400)+'Cálculos'!$E$123)*'Cálculos'!$E$234)+('Cálculos'!$E$197+(($B$168)-$A145)*'Cálculos'!$E$98)*('Cálculos'!$E$225+'Cálculos'!$E$124*(1+2.78*('Cálculos'!$E$197+(($B$168)-$A145)*'Cálculos'!$E$98)/(('Cálculos'!$E$197+(($B$168)-$A145)*'Cálculos'!$E$98)+1400)+'Cálculos'!$E$122)*'Cálculos'!$E$230+'Cálculos'!$E$125*(1+2.78*('Cálculos'!$E$197+(($B$168)-$A145)*'Cálculos'!$E$98)/(('Cálculos'!$E$197+(($B$168)-$A145)*'Cálculos'!$E$98)+1400)+'Cálculos'!$E$123)*'Cálculos'!$E$235)+('Cálculos'!$E$201*(1+'Cálculos'!$E$202+$A145*('Cálculos'!$E$290=2)*'Cálculos'!$E$101)+'Cálculos'!$E$203)*('Cálculos'!$E$226+'Cálculos'!$E$124*(1+2.78*('Cálculos'!$E$197+(($B$168)-$A145)*'Cálculos'!$E$98)/(('Cálculos'!$E$197+(($B$168)-$A145)*'Cálculos'!$E$98)+1400)+'Cálculos'!$E$122)*'Cálculos'!$E$231+'Cálculos'!$E$125*(1+2.78*('Cálculos'!$E$197+(($B$168)-$A145)*'Cálculos'!$E$98)/(('Cálculos'!$E$197+(($B$168)-$A145)*'Cálculos'!$E$98)+1400)+'Cálculos'!$E$123)*'Cálculos'!$E$236)+('Cálculos'!$E$204*(1+'Cálculos'!$E$205+$A145*('Cálculos'!$E$290=3)*'Cálculos'!$E$103)+'Cálculos'!$E$206)*('Cálculos'!$E$227+'Cálculos'!$E$124*(1+2.78*('Cálculos'!$E$197+(($B$168)-$A145)*'Cálculos'!$E$98)/(('Cálculos'!$E$197+(($B$168)-$A145)*'Cálculos'!$E$98)+1400)+'Cálculos'!$E$122)*'Cálculos'!$E$232+'Cálculos'!$E$125*(1+2.78*('Cálculos'!$E$197+(($B$168)-$A145)*'Cálculos'!$E$98)/(('Cálculos'!$E$197+(($B$168)-$A145)*'Cálculos'!$E$98)+1400)+'Cálculos'!$E$123)*'Cálculos'!$E$237)+('Cálculos'!$E$228+'Cálculos'!$E$124*(1+2.78*('Cálculos'!$E$197+(($B$168)-$A145)*'Cálculos'!$E$98)/(('Cálculos'!$E$197+(($B$168)-$A145)*'Cálculos'!$E$98)+1400)+'Cálculos'!$E$122)*'Cálculos'!$E$233+'Cálculos'!$E$125*(1+2.78*('Cálculos'!$E$197+(($B$168)-$A145)*'Cálculos'!$E$98)/(('Cálculos'!$E$197+(($B$168)-$A145)*'Cálculos'!$E$98)+1400)+'Cálculos'!$E$123)*'Cálculos'!$E$238)+('Cálculos'!$E$185*(1+'Cálculos'!$E$188+$A145*('Cálculos'!$E$290=1)*'Cálculos'!$E$97+'Cálculos'!$E$305)+'Cálculos'!$E$193)*('Cálculos'!$E$239+'Cálculos'!$E$124*(1+2.78*('Cálculos'!$E$198+(($B$168)-$A145)*'Cálculos'!$E$98)/(('Cálculos'!$E$198+(($B$168)-$A145)*'Cálculos'!$E$98)+1400)+'Cálculos'!$E$122)*'Cálculos'!$E$244+'Cálculos'!$E$125*(1+2.78*('Cálculos'!$E$198+(($B$168)-$A145)*'Cálculos'!$E$98)/(('Cálculos'!$E$198+(($B$168)-$A145)*'Cálculos'!$E$98)+1400)+'Cálculos'!$E$123)*'Cálculos'!$E$249)+('Cálculos'!$E$198+(($B$168)-$A145)*'Cálculos'!$E$98)*('Cálculos'!$E$240+'Cálculos'!$E$124*(1+2.78*('Cálculos'!$E$198+(($B$168)-$A145)*'Cálculos'!$E$98)/(('Cálculos'!$E$198+(($B$168)-$A145)*'Cálculos'!$E$98)+1400)+'Cálculos'!$E$122)*'Cálculos'!$E$245+'Cálculos'!$E$125*(1+2.78*('Cálculos'!$E$198+(($B$168)-$A145)*'Cálculos'!$E$98)/(('Cálculos'!$E$198+(($B$168)-$A145)*'Cálculos'!$E$98)+1400)+'Cálculos'!$E$123)*'Cálculos'!$E$250)+('Cálculos'!$E$201*(1+'Cálculos'!$E$202+$A145*('Cálculos'!$E$290=2)*'Cálculos'!$E$101)+'Cálculos'!$E$203)*('Cálculos'!$E$241+'Cálculos'!$E$124*(1+2.78*('Cálculos'!$E$198+(($B$168)-$A145)*'Cálculos'!$E$98)/(('Cálculos'!$E$198+(($B$168)-$A145)*'Cálculos'!$E$98)+1400)+'Cálculos'!$E$122)*'Cálculos'!$E$246+'Cálculos'!$E$125*(1+2.78*('Cálculos'!$E$198+(($B$168)-$A145)*'Cálculos'!$E$98)/(('Cálculos'!$E$198+(($B$168)-$A145)*'Cálculos'!$E$98)+1400)+'Cálculos'!$E$123)*'Cálculos'!$E$251)+('Cálculos'!$E$204*(1+'Cálculos'!$E$205+$A145*('Cálculos'!$E$290=3)*'Cálculos'!$E$103)+'Cálculos'!$E$206)*('Cálculos'!$E$242+'Cálculos'!$E$124*(1+2.78*('Cálculos'!$E$198+(($B$168)-$A145)*'Cálculos'!$E$98)/(('Cálculos'!$E$198+(($B$168)-$A145)*'Cálculos'!$E$98)+1400)+'Cálculos'!$E$122)*'Cálculos'!$E$247+'Cálculos'!$E$125*(1+2.78*('Cálculos'!$E$198+(($B$168)-$A145)*'Cálculos'!$E$98)/(('Cálculos'!$E$198+(($B$168)-$A145)*'Cálculos'!$E$98)+1400)+'Cálculos'!$E$123)*'Cálculos'!$E$252)+('Cálculos'!$E$243+'Cálculos'!$E$124*(1+2.78*('Cálculos'!$E$198+(($B$168)-$A145)*'Cálculos'!$E$98)/(('Cálculos'!$E$198+(($B$168)-$A145)*'Cálculos'!$E$98)+1400)+'Cálculos'!$E$122)*'Cálculos'!$E$248+'Cálculos'!$E$125*(1+2.78*('Cálculos'!$E$198+(($B$168)-$A145)*'Cálculos'!$E$98)/(('Cálculos'!$E$198+(($B$168)-$A145)*'Cálculos'!$E$98)+1400)+'Cálculos'!$E$123)*'Cálculos'!$E$253)+('Cálculos'!$E$185*(1+'Cálculos'!$E$189+$A145*('Cálculos'!$E$290=1)*'Cálculos'!$E$97+'Cálculos'!$E$305)+'Cálculos'!$E$194)*('Cálculos'!$E$254+'Cálculos'!$E$124*(1+2.78*('Cálculos'!$E$199+(($B$168)-$A145)*'Cálculos'!$E$98)/(('Cálculos'!$E$199+(($B$168)-$A145)*'Cálculos'!$E$98)+1400)+'Cálculos'!$E$122)*'Cálculos'!$E$259+'Cálculos'!$E$125*(1+2.78*('Cálculos'!$E$199+(($B$168)-$A145)*'Cálculos'!$E$98)/(('Cálculos'!$E$199+(($B$168)-$A145)*'Cálculos'!$E$98)+1400)+'Cálculos'!$E$123)*'Cálculos'!$E$264)+('Cálculos'!$E$199+(($B$168)-$A145)*'Cálculos'!$E$98)*('Cálculos'!$E$255+'Cálculos'!$E$124*(1+2.78*('Cálculos'!$E$199+(($B$168)-$A145)*'Cálculos'!$E$98)/(('Cálculos'!$E$199+(($B$168)-$A145)*'Cálculos'!$E$98)+1400)+'Cálculos'!$E$122)*'Cálculos'!$E$260+'Cálculos'!$E$125*(1+2.78*('Cálculos'!$E$199+(($B$168)-$A145)*'Cálculos'!$E$98)/(('Cálculos'!$E$199+(($B$168)-$A145)*'Cálculos'!$E$98)+1400)+'Cálculos'!$E$123)*'Cálculos'!$E$265)+('Cálculos'!$E$201*(1+'Cálculos'!$E$202+$A145*('Cálculos'!$E$290=2)*'Cálculos'!$E$101)+'Cálculos'!$E$203)*('Cálculos'!$E$256+'Cálculos'!$E$124*(1+2.78*('Cálculos'!$E$199+(($B$168)-$A145)*'Cálculos'!$E$98)/(('Cálculos'!$E$199+(($B$168)-$A145)*'Cálculos'!$E$98)+1400)+'Cálculos'!$E$122)*'Cálculos'!$E$261+'Cálculos'!$E$125*(1+2.78*('Cálculos'!$E$199+(($B$168)-$A145)*'Cálculos'!$E$98)/(('Cálculos'!$E$199+(($B$168)-$A145)*'Cálculos'!$E$98)+1400)+'Cálculos'!$E$123)*'Cálculos'!$E$266)+('Cálculos'!$E$204*(1+'Cálculos'!$E$205+$A145*('Cálculos'!$E$290=3)*'Cálculos'!$E$103)+'Cálculos'!$E$206)*('Cálculos'!$E$257+'Cálculos'!$E$124*(1+2.78*('Cálculos'!$E$199+(($B$168)-$A145)*'Cálculos'!$E$98)/(('Cálculos'!$E$199+(($B$168)-$A145)*'Cálculos'!$E$98)+1400)+'Cálculos'!$E$122)*'Cálculos'!$E$262+'Cálculos'!$E$125*(1+2.78*('Cálculos'!$E$199+(($B$168)-$A145)*'Cálculos'!$E$98)/(('Cálculos'!$E$199+(($B$168)-$A145)*'Cálculos'!$E$98)+1400)+'Cálculos'!$E$123)*'Cálculos'!$E$267)+('Cálculos'!$E$258+'Cálculos'!$E$124*(1+2.78*('Cálculos'!$E$199+(($B$168)-$A145)*'Cálculos'!$E$98)/(('Cálculos'!$E$199+(($B$168)-$A145)*'Cálculos'!$E$98)+1400)+'Cálculos'!$E$122)*'Cálculos'!$E$263+'Cálculos'!$E$125*(1+2.78*('Cálculos'!$E$199+(($B$168)-$A145)*'Cálculos'!$E$98)/(('Cálculos'!$E$199+(($B$168)-$A145)*'Cálculos'!$E$98)+1400)+'Cálculos'!$E$123)*'Cálculos'!$E$268)+('Cálculos'!$E$185*(1+'Cálculos'!$E$190+$A145*('Cálculos'!$E$290=1)*'Cálculos'!$E$97+'Cálculos'!$E$305)+'Cálculos'!$E$195)*('Cálculos'!$E$269+'Cálculos'!$E$124*(1+2.78*('Cálculos'!$E$200+(($B$168)-$A145)*'Cálculos'!$E$98)/(('Cálculos'!$E$200+(($B$168)-$A145)*'Cálculos'!$E$98)+1400)+'Cálculos'!$E$122)*'Cálculos'!$E$274+'Cálculos'!$E$125*(1+2.78*('Cálculos'!$E$200+(($B$168)-$A145)*'Cálculos'!$E$98)/(('Cálculos'!$E$200+(($B$168)-$A145)*'Cálculos'!$E$98)+1400)+'Cálculos'!$E$123)*'Cálculos'!$E$279)+('Cálculos'!$E$200+(($B$168)-$A145)*'Cálculos'!$E$98)*('Cálculos'!$E$270+'Cálculos'!$E$124*(1+2.78*('Cálculos'!$E$200+(($B$168)-$A145)*'Cálculos'!$E$98)/(('Cálculos'!$E$200+(($B$168)-$A145)*'Cálculos'!$E$98)+1400)+'Cálculos'!$E$122)*'Cálculos'!$E$275+'Cálculos'!$E$125*(1+2.78*('Cálculos'!$E$200+(($B$168)-$A145)*'Cálculos'!$E$98)/(('Cálculos'!$E$200+(($B$168)-$A145)*'Cálculos'!$E$98)+1400)+'Cálculos'!$E$123)*'Cálculos'!$E$280)+('Cálculos'!$E$201*(1+'Cálculos'!$E$202+$A145*('Cálculos'!$E$290=2)*'Cálculos'!$E$101)+'Cálculos'!$E$203)*('Cálculos'!$E$271+'Cálculos'!$E$124*(1+2.78*('Cálculos'!$E$200+(($B$168)-$A145)*'Cálculos'!$E$98)/(('Cálculos'!$E$200+(($B$168)-$A145)*'Cálculos'!$E$98)+1400)+'Cálculos'!$E$122)*'Cálculos'!$E$276+'Cálculos'!$E$125*(1+2.78*('Cálculos'!$E$200+(($B$168)-$A145)*'Cálculos'!$E$98)/(('Cálculos'!$E$200+(($B$168)-$A145)*'Cálculos'!$E$98)+1400)+'Cálculos'!$E$123)*'Cálculos'!$E$281)+('Cálculos'!$E$204*(1+'Cálculos'!$E$205+$A145*('Cálculos'!$E$290=3)*'Cálculos'!$E$103)+'Cálculos'!$E$206)*('Cálculos'!$E$272+'Cálculos'!$E$124*(1+2.78*('Cálculos'!$E$200+(($B$168)-$A145)*'Cálculos'!$E$98)/(('Cálculos'!$E$200+(($B$168)-$A145)*'Cálculos'!$E$98)+1400)+'Cálculos'!$E$122)*'Cálculos'!$E$277+'Cálculos'!$E$125*(1+2.78*('Cálculos'!$E$200+(($B$168)-$A145)*'Cálculos'!$E$98)/(('Cálculos'!$E$200+(($B$168)-$A145)*'Cálculos'!$E$98)+1400)+'Cálculos'!$E$123)*'Cálculos'!$E$282)+('Cálculos'!$E$273+'Cálculos'!$E$124*(1+2.78*('Cálculos'!$E$200+(($B$168)-$A145)*'Cálculos'!$E$98)/(('Cálculos'!$E$200+(($B$168)-$A145)*'Cálculos'!$E$98)+1400)+'Cálculos'!$E$122)*'Cálculos'!$E$278+'Cálculos'!$E$125*(1+2.78*('Cálculos'!$E$200+(($B$168)-$A145)*'Cálculos'!$E$98)/(('Cálculos'!$E$200+(($B$168)-$A145)*'Cálculos'!$E$98)+1400)+'Cálculos'!$E$123)*'Cálculos'!$E$283)))</f>
        <v>0</v>
      </c>
    </row>
    <row r="146" ht="15.75" customHeight="1">
      <c r="A146" s="2">
        <v>26.0</v>
      </c>
      <c r="B146" s="30">
        <f>SUMPRODUCT(MAX(($A$120:$A$165&lt;=$A146)*($A$120:$A$165&lt;='Cálculos'!$E$294)*(($A146)-$A$120:$A$165&lt;='Cálculos'!$E$295)*(1+(('Cálculos'!$E$207+$A$120:$A$165*'Cálculos'!$E$95)-(('Cálculos'!$E$207+$A$120:$A$165*'Cálculos'!$E$95)&gt;1)*(('Cálculos'!$E$207+$A$120:$A$165*'Cálculos'!$E$95)-1))*('Cálculos'!$E$208+(($A146)-$A$120:$A$165)*'Cálculos'!$E$96))))</f>
        <v>2.28138</v>
      </c>
      <c r="C146" s="2">
        <f>'Cálculos'!$E$303-$A146</f>
        <v>-13</v>
      </c>
      <c r="D146" s="31">
        <f>IF($C146&lt;0,0,SUMPRODUCT(MAX(($A$120:$A$165&lt;=$C146)*($A$120:$A$165&lt;='Cálculos'!$E$301)*(($C146)-$A$120:$A$165&lt;='Cálculos'!$E$297)*(('Cálculos'!$E$185*(1+'Cálculos'!$E$186+$A$120:$A$165*('Cálculos'!$E$290=1)*'Cálculos'!$E$97+'Cálculos'!$E$305)+'Cálculos'!$E$191)*('Cálculos'!$E$209+'Cálculos'!$E$124*(1+2.78*('Cálculos'!$E$196+(($C146)-$A$120:$A$165)*'Cálculos'!$E$98)/(('Cálculos'!$E$196+(($C146)-$A$120:$A$165)*'Cálculos'!$E$98)+1400)+'Cálculos'!$E$122)*'Cálculos'!$E$214+'Cálculos'!$E$125*(1+2.78*('Cálculos'!$E$196+(($C146)-$A$120:$A$165)*'Cálculos'!$E$98)/(('Cálculos'!$E$196+(($C146)-$A$120:$A$165)*'Cálculos'!$E$98)+1400)+'Cálculos'!$E$123)*'Cálculos'!$E$219)+('Cálculos'!$E$196+(($C146)-$A$120:$A$165)*'Cálculos'!$E$98)*('Cálculos'!$E$210+'Cálculos'!$E$124*(1+2.78*('Cálculos'!$E$196+(($C146)-$A$120:$A$165)*'Cálculos'!$E$98)/(('Cálculos'!$E$196+(($C146)-$A$120:$A$165)*'Cálculos'!$E$98)+1400)+'Cálculos'!$E$122)*'Cálculos'!$E$215+'Cálculos'!$E$125*(1+2.78*('Cálculos'!$E$196+(($C146)-$A$120:$A$165)*'Cálculos'!$E$98)/(('Cálculos'!$E$196+(($C146)-$A$120:$A$165)*'Cálculos'!$E$98)+1400)+'Cálculos'!$E$123)*'Cálculos'!$E$220)+('Cálculos'!$E$201*(1+'Cálculos'!$E$202+$A$120:$A$165*('Cálculos'!$E$290=2)*'Cálculos'!$E$101)+'Cálculos'!$E$203)*('Cálculos'!$E$211+'Cálculos'!$E$124*(1+2.78*('Cálculos'!$E$196+(($C146)-$A$120:$A$165)*'Cálculos'!$E$98)/(('Cálculos'!$E$196+(($C146)-$A$120:$A$165)*'Cálculos'!$E$98)+1400)+'Cálculos'!$E$122)*'Cálculos'!$E$216+'Cálculos'!$E$125*(1+2.78*('Cálculos'!$E$196+(($C146)-$A$120:$A$165)*'Cálculos'!$E$98)/(('Cálculos'!$E$196+(($C146)-$A$120:$A$165)*'Cálculos'!$E$98)+1400)+'Cálculos'!$E$123)*'Cálculos'!$E$221)+('Cálculos'!$E$204*(1+'Cálculos'!$E$205+$A$120:$A$165*('Cálculos'!$E$290=3)*'Cálculos'!$E$103)+'Cálculos'!$E$206)*('Cálculos'!$E$212+'Cálculos'!$E$124*(1+2.78*('Cálculos'!$E$196+(($C146)-$A$120:$A$165)*'Cálculos'!$E$98)/(('Cálculos'!$E$196+(($C146)-$A$120:$A$165)*'Cálculos'!$E$98)+1400)+'Cálculos'!$E$122)*'Cálculos'!$E$217+'Cálculos'!$E$125*(1+2.78*('Cálculos'!$E$196+(($C146)-$A$120:$A$165)*'Cálculos'!$E$98)/(('Cálculos'!$E$196+(($C146)-$A$120:$A$165)*'Cálculos'!$E$98)+1400)+'Cálculos'!$E$123)*'Cálculos'!$E$222)+('Cálculos'!$E$213+'Cálculos'!$E$124*(1+2.78*('Cálculos'!$E$196+(($C146)-$A$120:$A$165)*'Cálculos'!$E$98)/(('Cálculos'!$E$196+(($C146)-$A$120:$A$165)*'Cálculos'!$E$98)+1400)+'Cálculos'!$E$122)*'Cálculos'!$E$218+'Cálculos'!$E$125*(1+2.78*('Cálculos'!$E$196+(($C146)-$A$120:$A$165)*'Cálculos'!$E$98)/(('Cálculos'!$E$196+(($C146)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146)-$A$120:$A$165)*'Cálculos'!$E$98)/(('Cálculos'!$E$197+(($C146)-$A$120:$A$165)*'Cálculos'!$E$98)+1400)+'Cálculos'!$E$122)*'Cálculos'!$E$229+'Cálculos'!$E$125*(1+2.78*('Cálculos'!$E$197+(($C146)-$A$120:$A$165)*'Cálculos'!$E$98)/(('Cálculos'!$E$197+(($C146)-$A$120:$A$165)*'Cálculos'!$E$98)+1400)+'Cálculos'!$E$123)*'Cálculos'!$E$234)+('Cálculos'!$E$197+(($C146)-$A$120:$A$165)*'Cálculos'!$E$98)*('Cálculos'!$E$225+'Cálculos'!$E$124*(1+2.78*('Cálculos'!$E$197+(($C146)-$A$120:$A$165)*'Cálculos'!$E$98)/(('Cálculos'!$E$197+(($C146)-$A$120:$A$165)*'Cálculos'!$E$98)+1400)+'Cálculos'!$E$122)*'Cálculos'!$E$230+'Cálculos'!$E$125*(1+2.78*('Cálculos'!$E$197+(($C146)-$A$120:$A$165)*'Cálculos'!$E$98)/(('Cálculos'!$E$197+(($C146)-$A$120:$A$165)*'Cálculos'!$E$98)+1400)+'Cálculos'!$E$123)*'Cálculos'!$E$235)+('Cálculos'!$E$201*(1+'Cálculos'!$E$202+$A$120:$A$165*('Cálculos'!$E$290=2)*'Cálculos'!$E$101)+'Cálculos'!$E$203)*('Cálculos'!$E$226+'Cálculos'!$E$124*(1+2.78*('Cálculos'!$E$197+(($C146)-$A$120:$A$165)*'Cálculos'!$E$98)/(('Cálculos'!$E$197+(($C146)-$A$120:$A$165)*'Cálculos'!$E$98)+1400)+'Cálculos'!$E$122)*'Cálculos'!$E$231+'Cálculos'!$E$125*(1+2.78*('Cálculos'!$E$197+(($C146)-$A$120:$A$165)*'Cálculos'!$E$98)/(('Cálculos'!$E$197+(($C146)-$A$120:$A$165)*'Cálculos'!$E$98)+1400)+'Cálculos'!$E$123)*'Cálculos'!$E$236)+('Cálculos'!$E$204*(1+'Cálculos'!$E$205+$A$120:$A$165*('Cálculos'!$E$290=3)*'Cálculos'!$E$103)+'Cálculos'!$E$206)*('Cálculos'!$E$227+'Cálculos'!$E$124*(1+2.78*('Cálculos'!$E$197+(($C146)-$A$120:$A$165)*'Cálculos'!$E$98)/(('Cálculos'!$E$197+(($C146)-$A$120:$A$165)*'Cálculos'!$E$98)+1400)+'Cálculos'!$E$122)*'Cálculos'!$E$232+'Cálculos'!$E$125*(1+2.78*('Cálculos'!$E$197+(($C146)-$A$120:$A$165)*'Cálculos'!$E$98)/(('Cálculos'!$E$197+(($C146)-$A$120:$A$165)*'Cálculos'!$E$98)+1400)+'Cálculos'!$E$123)*'Cálculos'!$E$237)+('Cálculos'!$E$228+'Cálculos'!$E$124*(1+2.78*('Cálculos'!$E$197+(($C146)-$A$120:$A$165)*'Cálculos'!$E$98)/(('Cálculos'!$E$197+(($C146)-$A$120:$A$165)*'Cálculos'!$E$98)+1400)+'Cálculos'!$E$122)*'Cálculos'!$E$233+'Cálculos'!$E$125*(1+2.78*('Cálculos'!$E$197+(($C146)-$A$120:$A$165)*'Cálculos'!$E$98)/(('Cálculos'!$E$197+(($C146)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146)-$A$120:$A$165)*'Cálculos'!$E$98)/(('Cálculos'!$E$198+(($C146)-$A$120:$A$165)*'Cálculos'!$E$98)+1400)+'Cálculos'!$E$122)*'Cálculos'!$E$244+'Cálculos'!$E$125*(1+2.78*('Cálculos'!$E$198+(($C146)-$A$120:$A$165)*'Cálculos'!$E$98)/(('Cálculos'!$E$198+(($C146)-$A$120:$A$165)*'Cálculos'!$E$98)+1400)+'Cálculos'!$E$123)*'Cálculos'!$E$249)+('Cálculos'!$E$198+(($C146)-$A$120:$A$165)*'Cálculos'!$E$98)*('Cálculos'!$E$240+'Cálculos'!$E$124*(1+2.78*('Cálculos'!$E$198+(($C146)-$A$120:$A$165)*'Cálculos'!$E$98)/(('Cálculos'!$E$198+(($C146)-$A$120:$A$165)*'Cálculos'!$E$98)+1400)+'Cálculos'!$E$122)*'Cálculos'!$E$245+'Cálculos'!$E$125*(1+2.78*('Cálculos'!$E$198+(($C146)-$A$120:$A$165)*'Cálculos'!$E$98)/(('Cálculos'!$E$198+(($C146)-$A$120:$A$165)*'Cálculos'!$E$98)+1400)+'Cálculos'!$E$123)*'Cálculos'!$E$250)+('Cálculos'!$E$201*(1+'Cálculos'!$E$202+$A$120:$A$165*('Cálculos'!$E$290=2)*'Cálculos'!$E$101)+'Cálculos'!$E$203)*('Cálculos'!$E$241+'Cálculos'!$E$124*(1+2.78*('Cálculos'!$E$198+(($C146)-$A$120:$A$165)*'Cálculos'!$E$98)/(('Cálculos'!$E$198+(($C146)-$A$120:$A$165)*'Cálculos'!$E$98)+1400)+'Cálculos'!$E$122)*'Cálculos'!$E$246+'Cálculos'!$E$125*(1+2.78*('Cálculos'!$E$198+(($C146)-$A$120:$A$165)*'Cálculos'!$E$98)/(('Cálculos'!$E$198+(($C146)-$A$120:$A$165)*'Cálculos'!$E$98)+1400)+'Cálculos'!$E$123)*'Cálculos'!$E$251)+('Cálculos'!$E$204*(1+'Cálculos'!$E$205+$A$120:$A$165*('Cálculos'!$E$290=3)*'Cálculos'!$E$103)+'Cálculos'!$E$206)*('Cálculos'!$E$242+'Cálculos'!$E$124*(1+2.78*('Cálculos'!$E$198+(($C146)-$A$120:$A$165)*'Cálculos'!$E$98)/(('Cálculos'!$E$198+(($C146)-$A$120:$A$165)*'Cálculos'!$E$98)+1400)+'Cálculos'!$E$122)*'Cálculos'!$E$247+'Cálculos'!$E$125*(1+2.78*('Cálculos'!$E$198+(($C146)-$A$120:$A$165)*'Cálculos'!$E$98)/(('Cálculos'!$E$198+(($C146)-$A$120:$A$165)*'Cálculos'!$E$98)+1400)+'Cálculos'!$E$123)*'Cálculos'!$E$252)+('Cálculos'!$E$243+'Cálculos'!$E$124*(1+2.78*('Cálculos'!$E$198+(($C146)-$A$120:$A$165)*'Cálculos'!$E$98)/(('Cálculos'!$E$198+(($C146)-$A$120:$A$165)*'Cálculos'!$E$98)+1400)+'Cálculos'!$E$122)*'Cálculos'!$E$248+'Cálculos'!$E$125*(1+2.78*('Cálculos'!$E$198+(($C146)-$A$120:$A$165)*'Cálculos'!$E$98)/(('Cálculos'!$E$198+(($C146)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146)-$A$120:$A$165)*'Cálculos'!$E$98)/(('Cálculos'!$E$199+(($C146)-$A$120:$A$165)*'Cálculos'!$E$98)+1400)+'Cálculos'!$E$122)*'Cálculos'!$E$259+'Cálculos'!$E$125*(1+2.78*('Cálculos'!$E$199+(($C146)-$A$120:$A$165)*'Cálculos'!$E$98)/(('Cálculos'!$E$199+(($C146)-$A$120:$A$165)*'Cálculos'!$E$98)+1400)+'Cálculos'!$E$123)*'Cálculos'!$E$264)+('Cálculos'!$E$199+(($C146)-$A$120:$A$165)*'Cálculos'!$E$98)*('Cálculos'!$E$255+'Cálculos'!$E$124*(1+2.78*('Cálculos'!$E$199+(($C146)-$A$120:$A$165)*'Cálculos'!$E$98)/(('Cálculos'!$E$199+(($C146)-$A$120:$A$165)*'Cálculos'!$E$98)+1400)+'Cálculos'!$E$122)*'Cálculos'!$E$260+'Cálculos'!$E$125*(1+2.78*('Cálculos'!$E$199+(($C146)-$A$120:$A$165)*'Cálculos'!$E$98)/(('Cálculos'!$E$199+(($C146)-$A$120:$A$165)*'Cálculos'!$E$98)+1400)+'Cálculos'!$E$123)*'Cálculos'!$E$265)+('Cálculos'!$E$201*(1+'Cálculos'!$E$202+$A$120:$A$165*('Cálculos'!$E$290=2)*'Cálculos'!$E$101)+'Cálculos'!$E$203)*('Cálculos'!$E$256+'Cálculos'!$E$124*(1+2.78*('Cálculos'!$E$199+(($C146)-$A$120:$A$165)*'Cálculos'!$E$98)/(('Cálculos'!$E$199+(($C146)-$A$120:$A$165)*'Cálculos'!$E$98)+1400)+'Cálculos'!$E$122)*'Cálculos'!$E$261+'Cálculos'!$E$125*(1+2.78*('Cálculos'!$E$199+(($C146)-$A$120:$A$165)*'Cálculos'!$E$98)/(('Cálculos'!$E$199+(($C146)-$A$120:$A$165)*'Cálculos'!$E$98)+1400)+'Cálculos'!$E$123)*'Cálculos'!$E$266)+('Cálculos'!$E$204*(1+'Cálculos'!$E$205+$A$120:$A$165*('Cálculos'!$E$290=3)*'Cálculos'!$E$103)+'Cálculos'!$E$206)*('Cálculos'!$E$257+'Cálculos'!$E$124*(1+2.78*('Cálculos'!$E$199+(($C146)-$A$120:$A$165)*'Cálculos'!$E$98)/(('Cálculos'!$E$199+(($C146)-$A$120:$A$165)*'Cálculos'!$E$98)+1400)+'Cálculos'!$E$122)*'Cálculos'!$E$262+'Cálculos'!$E$125*(1+2.78*('Cálculos'!$E$199+(($C146)-$A$120:$A$165)*'Cálculos'!$E$98)/(('Cálculos'!$E$199+(($C146)-$A$120:$A$165)*'Cálculos'!$E$98)+1400)+'Cálculos'!$E$123)*'Cálculos'!$E$267)+('Cálculos'!$E$258+'Cálculos'!$E$124*(1+2.78*('Cálculos'!$E$199+(($C146)-$A$120:$A$165)*'Cálculos'!$E$98)/(('Cálculos'!$E$199+(($C146)-$A$120:$A$165)*'Cálculos'!$E$98)+1400)+'Cálculos'!$E$122)*'Cálculos'!$E$263+'Cálculos'!$E$125*(1+2.78*('Cálculos'!$E$199+(($C146)-$A$120:$A$165)*'Cálculos'!$E$98)/(('Cálculos'!$E$199+(($C146)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146)-$A$120:$A$165)*'Cálculos'!$E$98)/(('Cálculos'!$E$200+(($C146)-$A$120:$A$165)*'Cálculos'!$E$98)+1400)+'Cálculos'!$E$122)*'Cálculos'!$E$274+'Cálculos'!$E$125*(1+2.78*('Cálculos'!$E$200+(($C146)-$A$120:$A$165)*'Cálculos'!$E$98)/(('Cálculos'!$E$200+(($C146)-$A$120:$A$165)*'Cálculos'!$E$98)+1400)+'Cálculos'!$E$123)*'Cálculos'!$E$279)+('Cálculos'!$E$200+(($C146)-$A$120:$A$165)*'Cálculos'!$E$98)*('Cálculos'!$E$270+'Cálculos'!$E$124*(1+2.78*('Cálculos'!$E$200+(($C146)-$A$120:$A$165)*'Cálculos'!$E$98)/(('Cálculos'!$E$200+(($C146)-$A$120:$A$165)*'Cálculos'!$E$98)+1400)+'Cálculos'!$E$122)*'Cálculos'!$E$275+'Cálculos'!$E$125*(1+2.78*('Cálculos'!$E$200+(($C146)-$A$120:$A$165)*'Cálculos'!$E$98)/(('Cálculos'!$E$200+(($C146)-$A$120:$A$165)*'Cálculos'!$E$98)+1400)+'Cálculos'!$E$123)*'Cálculos'!$E$280)+('Cálculos'!$E$201*(1+'Cálculos'!$E$202+$A$120:$A$165*('Cálculos'!$E$290=2)*'Cálculos'!$E$101)+'Cálculos'!$E$203)*('Cálculos'!$E$271+'Cálculos'!$E$124*(1+2.78*('Cálculos'!$E$200+(($C146)-$A$120:$A$165)*'Cálculos'!$E$98)/(('Cálculos'!$E$200+(($C146)-$A$120:$A$165)*'Cálculos'!$E$98)+1400)+'Cálculos'!$E$122)*'Cálculos'!$E$276+'Cálculos'!$E$125*(1+2.78*('Cálculos'!$E$200+(($C146)-$A$120:$A$165)*'Cálculos'!$E$98)/(('Cálculos'!$E$200+(($C146)-$A$120:$A$165)*'Cálculos'!$E$98)+1400)+'Cálculos'!$E$123)*'Cálculos'!$E$281)+('Cálculos'!$E$204*(1+'Cálculos'!$E$205+$A$120:$A$165*('Cálculos'!$E$290=3)*'Cálculos'!$E$103)+'Cálculos'!$E$206)*('Cálculos'!$E$272+'Cálculos'!$E$124*(1+2.78*('Cálculos'!$E$200+(($C146)-$A$120:$A$165)*'Cálculos'!$E$98)/(('Cálculos'!$E$200+(($C146)-$A$120:$A$165)*'Cálculos'!$E$98)+1400)+'Cálculos'!$E$122)*'Cálculos'!$E$277+'Cálculos'!$E$125*(1+2.78*('Cálculos'!$E$200+(($C146)-$A$120:$A$165)*'Cálculos'!$E$98)/(('Cálculos'!$E$200+(($C146)-$A$120:$A$165)*'Cálculos'!$E$98)+1400)+'Cálculos'!$E$123)*'Cálculos'!$E$282)+('Cálculos'!$E$273+'Cálculos'!$E$124*(1+2.78*('Cálculos'!$E$200+(($C146)-$A$120:$A$165)*'Cálculos'!$E$98)/(('Cálculos'!$E$200+(($C146)-$A$120:$A$165)*'Cálculos'!$E$98)+1400)+'Cálculos'!$E$122)*'Cálculos'!$E$278+'Cálculos'!$E$125*(1+2.78*('Cálculos'!$E$200+(($C146)-$A$120:$A$165)*'Cálculos'!$E$98)/(('Cálculos'!$E$200+(($C146)-$A$120:$A$165)*'Cálculos'!$E$98)+1400)+'Cálculos'!$E$123)*'Cálculos'!$E$283)))))</f>
        <v>0</v>
      </c>
      <c r="E146" s="32">
        <f>IF(OR($C146&lt;0,'Cálculos'!$E$6=""),0,$B146*$D146)</f>
        <v>0</v>
      </c>
      <c r="F146" s="2"/>
      <c r="G146" s="30">
        <f>($A146&lt;=$B$167)*($A146&lt;='Cálculos'!$E$294)*(($B$167)-$A146&lt;='Cálculos'!$E$295)*(1+MIN(('Cálculos'!$E$207+$A146*'Cálculos'!$E$95),1)*('Cálculos'!$E$208+(($B$167)-$A146)*'Cálculos'!$E$96))</f>
        <v>0</v>
      </c>
      <c r="H146" s="31">
        <f>IF($B$168&lt;0,0,($A146&lt;=$B$168)*($A146&lt;='Cálculos'!$E$301)*(($B$168)-$A146&lt;='Cálculos'!$E$297)*(('Cálculos'!$E$185*(1+'Cálculos'!$E$186+$A146*('Cálculos'!$E$290=1)*'Cálculos'!$E$97+'Cálculos'!$E$305)+'Cálculos'!$E$191)*('Cálculos'!$E$209+'Cálculos'!$E$124*(1+2.78*('Cálculos'!$E$196+(($B$168)-$A146)*'Cálculos'!$E$98)/(('Cálculos'!$E$196+(($B$168)-$A146)*'Cálculos'!$E$98)+1400)+'Cálculos'!$E$122)*'Cálculos'!$E$214+'Cálculos'!$E$125*(1+2.78*('Cálculos'!$E$196+(($B$168)-$A146)*'Cálculos'!$E$98)/(('Cálculos'!$E$196+(($B$168)-$A146)*'Cálculos'!$E$98)+1400)+'Cálculos'!$E$123)*'Cálculos'!$E$219)+('Cálculos'!$E$196+(($B$168)-$A146)*'Cálculos'!$E$98)*('Cálculos'!$E$210+'Cálculos'!$E$124*(1+2.78*('Cálculos'!$E$196+(($B$168)-$A146)*'Cálculos'!$E$98)/(('Cálculos'!$E$196+(($B$168)-$A146)*'Cálculos'!$E$98)+1400)+'Cálculos'!$E$122)*'Cálculos'!$E$215+'Cálculos'!$E$125*(1+2.78*('Cálculos'!$E$196+(($B$168)-$A146)*'Cálculos'!$E$98)/(('Cálculos'!$E$196+(($B$168)-$A146)*'Cálculos'!$E$98)+1400)+'Cálculos'!$E$123)*'Cálculos'!$E$220)+('Cálculos'!$E$201*(1+'Cálculos'!$E$202+$A146*('Cálculos'!$E$290=2)*'Cálculos'!$E$101)+'Cálculos'!$E$203)*('Cálculos'!$E$211+'Cálculos'!$E$124*(1+2.78*('Cálculos'!$E$196+(($B$168)-$A146)*'Cálculos'!$E$98)/(('Cálculos'!$E$196+(($B$168)-$A146)*'Cálculos'!$E$98)+1400)+'Cálculos'!$E$122)*'Cálculos'!$E$216+'Cálculos'!$E$125*(1+2.78*('Cálculos'!$E$196+(($B$168)-$A146)*'Cálculos'!$E$98)/(('Cálculos'!$E$196+(($B$168)-$A146)*'Cálculos'!$E$98)+1400)+'Cálculos'!$E$123)*'Cálculos'!$E$221)+('Cálculos'!$E$204*(1+'Cálculos'!$E$205+$A146*('Cálculos'!$E$290=3)*'Cálculos'!$E$103)+'Cálculos'!$E$206)*('Cálculos'!$E$212+'Cálculos'!$E$124*(1+2.78*('Cálculos'!$E$196+(($B$168)-$A146)*'Cálculos'!$E$98)/(('Cálculos'!$E$196+(($B$168)-$A146)*'Cálculos'!$E$98)+1400)+'Cálculos'!$E$122)*'Cálculos'!$E$217+'Cálculos'!$E$125*(1+2.78*('Cálculos'!$E$196+(($B$168)-$A146)*'Cálculos'!$E$98)/(('Cálculos'!$E$196+(($B$168)-$A146)*'Cálculos'!$E$98)+1400)+'Cálculos'!$E$123)*'Cálculos'!$E$222)+('Cálculos'!$E$213+'Cálculos'!$E$124*(1+2.78*('Cálculos'!$E$196+(($B$168)-$A146)*'Cálculos'!$E$98)/(('Cálculos'!$E$196+(($B$168)-$A146)*'Cálculos'!$E$98)+1400)+'Cálculos'!$E$122)*'Cálculos'!$E$218+'Cálculos'!$E$125*(1+2.78*('Cálculos'!$E$196+(($B$168)-$A146)*'Cálculos'!$E$98)/(('Cálculos'!$E$196+(($B$168)-$A146)*'Cálculos'!$E$98)+1400)+'Cálculos'!$E$123)*'Cálculos'!$E$223)+('Cálculos'!$E$185*(1+'Cálculos'!$E$187+$A146*('Cálculos'!$E$290=1)*'Cálculos'!$E$97+'Cálculos'!$E$305)+'Cálculos'!$E$192)*('Cálculos'!$E$224+'Cálculos'!$E$124*(1+2.78*('Cálculos'!$E$197+(($B$168)-$A146)*'Cálculos'!$E$98)/(('Cálculos'!$E$197+(($B$168)-$A146)*'Cálculos'!$E$98)+1400)+'Cálculos'!$E$122)*'Cálculos'!$E$229+'Cálculos'!$E$125*(1+2.78*('Cálculos'!$E$197+(($B$168)-$A146)*'Cálculos'!$E$98)/(('Cálculos'!$E$197+(($B$168)-$A146)*'Cálculos'!$E$98)+1400)+'Cálculos'!$E$123)*'Cálculos'!$E$234)+('Cálculos'!$E$197+(($B$168)-$A146)*'Cálculos'!$E$98)*('Cálculos'!$E$225+'Cálculos'!$E$124*(1+2.78*('Cálculos'!$E$197+(($B$168)-$A146)*'Cálculos'!$E$98)/(('Cálculos'!$E$197+(($B$168)-$A146)*'Cálculos'!$E$98)+1400)+'Cálculos'!$E$122)*'Cálculos'!$E$230+'Cálculos'!$E$125*(1+2.78*('Cálculos'!$E$197+(($B$168)-$A146)*'Cálculos'!$E$98)/(('Cálculos'!$E$197+(($B$168)-$A146)*'Cálculos'!$E$98)+1400)+'Cálculos'!$E$123)*'Cálculos'!$E$235)+('Cálculos'!$E$201*(1+'Cálculos'!$E$202+$A146*('Cálculos'!$E$290=2)*'Cálculos'!$E$101)+'Cálculos'!$E$203)*('Cálculos'!$E$226+'Cálculos'!$E$124*(1+2.78*('Cálculos'!$E$197+(($B$168)-$A146)*'Cálculos'!$E$98)/(('Cálculos'!$E$197+(($B$168)-$A146)*'Cálculos'!$E$98)+1400)+'Cálculos'!$E$122)*'Cálculos'!$E$231+'Cálculos'!$E$125*(1+2.78*('Cálculos'!$E$197+(($B$168)-$A146)*'Cálculos'!$E$98)/(('Cálculos'!$E$197+(($B$168)-$A146)*'Cálculos'!$E$98)+1400)+'Cálculos'!$E$123)*'Cálculos'!$E$236)+('Cálculos'!$E$204*(1+'Cálculos'!$E$205+$A146*('Cálculos'!$E$290=3)*'Cálculos'!$E$103)+'Cálculos'!$E$206)*('Cálculos'!$E$227+'Cálculos'!$E$124*(1+2.78*('Cálculos'!$E$197+(($B$168)-$A146)*'Cálculos'!$E$98)/(('Cálculos'!$E$197+(($B$168)-$A146)*'Cálculos'!$E$98)+1400)+'Cálculos'!$E$122)*'Cálculos'!$E$232+'Cálculos'!$E$125*(1+2.78*('Cálculos'!$E$197+(($B$168)-$A146)*'Cálculos'!$E$98)/(('Cálculos'!$E$197+(($B$168)-$A146)*'Cálculos'!$E$98)+1400)+'Cálculos'!$E$123)*'Cálculos'!$E$237)+('Cálculos'!$E$228+'Cálculos'!$E$124*(1+2.78*('Cálculos'!$E$197+(($B$168)-$A146)*'Cálculos'!$E$98)/(('Cálculos'!$E$197+(($B$168)-$A146)*'Cálculos'!$E$98)+1400)+'Cálculos'!$E$122)*'Cálculos'!$E$233+'Cálculos'!$E$125*(1+2.78*('Cálculos'!$E$197+(($B$168)-$A146)*'Cálculos'!$E$98)/(('Cálculos'!$E$197+(($B$168)-$A146)*'Cálculos'!$E$98)+1400)+'Cálculos'!$E$123)*'Cálculos'!$E$238)+('Cálculos'!$E$185*(1+'Cálculos'!$E$188+$A146*('Cálculos'!$E$290=1)*'Cálculos'!$E$97+'Cálculos'!$E$305)+'Cálculos'!$E$193)*('Cálculos'!$E$239+'Cálculos'!$E$124*(1+2.78*('Cálculos'!$E$198+(($B$168)-$A146)*'Cálculos'!$E$98)/(('Cálculos'!$E$198+(($B$168)-$A146)*'Cálculos'!$E$98)+1400)+'Cálculos'!$E$122)*'Cálculos'!$E$244+'Cálculos'!$E$125*(1+2.78*('Cálculos'!$E$198+(($B$168)-$A146)*'Cálculos'!$E$98)/(('Cálculos'!$E$198+(($B$168)-$A146)*'Cálculos'!$E$98)+1400)+'Cálculos'!$E$123)*'Cálculos'!$E$249)+('Cálculos'!$E$198+(($B$168)-$A146)*'Cálculos'!$E$98)*('Cálculos'!$E$240+'Cálculos'!$E$124*(1+2.78*('Cálculos'!$E$198+(($B$168)-$A146)*'Cálculos'!$E$98)/(('Cálculos'!$E$198+(($B$168)-$A146)*'Cálculos'!$E$98)+1400)+'Cálculos'!$E$122)*'Cálculos'!$E$245+'Cálculos'!$E$125*(1+2.78*('Cálculos'!$E$198+(($B$168)-$A146)*'Cálculos'!$E$98)/(('Cálculos'!$E$198+(($B$168)-$A146)*'Cálculos'!$E$98)+1400)+'Cálculos'!$E$123)*'Cálculos'!$E$250)+('Cálculos'!$E$201*(1+'Cálculos'!$E$202+$A146*('Cálculos'!$E$290=2)*'Cálculos'!$E$101)+'Cálculos'!$E$203)*('Cálculos'!$E$241+'Cálculos'!$E$124*(1+2.78*('Cálculos'!$E$198+(($B$168)-$A146)*'Cálculos'!$E$98)/(('Cálculos'!$E$198+(($B$168)-$A146)*'Cálculos'!$E$98)+1400)+'Cálculos'!$E$122)*'Cálculos'!$E$246+'Cálculos'!$E$125*(1+2.78*('Cálculos'!$E$198+(($B$168)-$A146)*'Cálculos'!$E$98)/(('Cálculos'!$E$198+(($B$168)-$A146)*'Cálculos'!$E$98)+1400)+'Cálculos'!$E$123)*'Cálculos'!$E$251)+('Cálculos'!$E$204*(1+'Cálculos'!$E$205+$A146*('Cálculos'!$E$290=3)*'Cálculos'!$E$103)+'Cálculos'!$E$206)*('Cálculos'!$E$242+'Cálculos'!$E$124*(1+2.78*('Cálculos'!$E$198+(($B$168)-$A146)*'Cálculos'!$E$98)/(('Cálculos'!$E$198+(($B$168)-$A146)*'Cálculos'!$E$98)+1400)+'Cálculos'!$E$122)*'Cálculos'!$E$247+'Cálculos'!$E$125*(1+2.78*('Cálculos'!$E$198+(($B$168)-$A146)*'Cálculos'!$E$98)/(('Cálculos'!$E$198+(($B$168)-$A146)*'Cálculos'!$E$98)+1400)+'Cálculos'!$E$123)*'Cálculos'!$E$252)+('Cálculos'!$E$243+'Cálculos'!$E$124*(1+2.78*('Cálculos'!$E$198+(($B$168)-$A146)*'Cálculos'!$E$98)/(('Cálculos'!$E$198+(($B$168)-$A146)*'Cálculos'!$E$98)+1400)+'Cálculos'!$E$122)*'Cálculos'!$E$248+'Cálculos'!$E$125*(1+2.78*('Cálculos'!$E$198+(($B$168)-$A146)*'Cálculos'!$E$98)/(('Cálculos'!$E$198+(($B$168)-$A146)*'Cálculos'!$E$98)+1400)+'Cálculos'!$E$123)*'Cálculos'!$E$253)+('Cálculos'!$E$185*(1+'Cálculos'!$E$189+$A146*('Cálculos'!$E$290=1)*'Cálculos'!$E$97+'Cálculos'!$E$305)+'Cálculos'!$E$194)*('Cálculos'!$E$254+'Cálculos'!$E$124*(1+2.78*('Cálculos'!$E$199+(($B$168)-$A146)*'Cálculos'!$E$98)/(('Cálculos'!$E$199+(($B$168)-$A146)*'Cálculos'!$E$98)+1400)+'Cálculos'!$E$122)*'Cálculos'!$E$259+'Cálculos'!$E$125*(1+2.78*('Cálculos'!$E$199+(($B$168)-$A146)*'Cálculos'!$E$98)/(('Cálculos'!$E$199+(($B$168)-$A146)*'Cálculos'!$E$98)+1400)+'Cálculos'!$E$123)*'Cálculos'!$E$264)+('Cálculos'!$E$199+(($B$168)-$A146)*'Cálculos'!$E$98)*('Cálculos'!$E$255+'Cálculos'!$E$124*(1+2.78*('Cálculos'!$E$199+(($B$168)-$A146)*'Cálculos'!$E$98)/(('Cálculos'!$E$199+(($B$168)-$A146)*'Cálculos'!$E$98)+1400)+'Cálculos'!$E$122)*'Cálculos'!$E$260+'Cálculos'!$E$125*(1+2.78*('Cálculos'!$E$199+(($B$168)-$A146)*'Cálculos'!$E$98)/(('Cálculos'!$E$199+(($B$168)-$A146)*'Cálculos'!$E$98)+1400)+'Cálculos'!$E$123)*'Cálculos'!$E$265)+('Cálculos'!$E$201*(1+'Cálculos'!$E$202+$A146*('Cálculos'!$E$290=2)*'Cálculos'!$E$101)+'Cálculos'!$E$203)*('Cálculos'!$E$256+'Cálculos'!$E$124*(1+2.78*('Cálculos'!$E$199+(($B$168)-$A146)*'Cálculos'!$E$98)/(('Cálculos'!$E$199+(($B$168)-$A146)*'Cálculos'!$E$98)+1400)+'Cálculos'!$E$122)*'Cálculos'!$E$261+'Cálculos'!$E$125*(1+2.78*('Cálculos'!$E$199+(($B$168)-$A146)*'Cálculos'!$E$98)/(('Cálculos'!$E$199+(($B$168)-$A146)*'Cálculos'!$E$98)+1400)+'Cálculos'!$E$123)*'Cálculos'!$E$266)+('Cálculos'!$E$204*(1+'Cálculos'!$E$205+$A146*('Cálculos'!$E$290=3)*'Cálculos'!$E$103)+'Cálculos'!$E$206)*('Cálculos'!$E$257+'Cálculos'!$E$124*(1+2.78*('Cálculos'!$E$199+(($B$168)-$A146)*'Cálculos'!$E$98)/(('Cálculos'!$E$199+(($B$168)-$A146)*'Cálculos'!$E$98)+1400)+'Cálculos'!$E$122)*'Cálculos'!$E$262+'Cálculos'!$E$125*(1+2.78*('Cálculos'!$E$199+(($B$168)-$A146)*'Cálculos'!$E$98)/(('Cálculos'!$E$199+(($B$168)-$A146)*'Cálculos'!$E$98)+1400)+'Cálculos'!$E$123)*'Cálculos'!$E$267)+('Cálculos'!$E$258+'Cálculos'!$E$124*(1+2.78*('Cálculos'!$E$199+(($B$168)-$A146)*'Cálculos'!$E$98)/(('Cálculos'!$E$199+(($B$168)-$A146)*'Cálculos'!$E$98)+1400)+'Cálculos'!$E$122)*'Cálculos'!$E$263+'Cálculos'!$E$125*(1+2.78*('Cálculos'!$E$199+(($B$168)-$A146)*'Cálculos'!$E$98)/(('Cálculos'!$E$199+(($B$168)-$A146)*'Cálculos'!$E$98)+1400)+'Cálculos'!$E$123)*'Cálculos'!$E$268)+('Cálculos'!$E$185*(1+'Cálculos'!$E$190+$A146*('Cálculos'!$E$290=1)*'Cálculos'!$E$97+'Cálculos'!$E$305)+'Cálculos'!$E$195)*('Cálculos'!$E$269+'Cálculos'!$E$124*(1+2.78*('Cálculos'!$E$200+(($B$168)-$A146)*'Cálculos'!$E$98)/(('Cálculos'!$E$200+(($B$168)-$A146)*'Cálculos'!$E$98)+1400)+'Cálculos'!$E$122)*'Cálculos'!$E$274+'Cálculos'!$E$125*(1+2.78*('Cálculos'!$E$200+(($B$168)-$A146)*'Cálculos'!$E$98)/(('Cálculos'!$E$200+(($B$168)-$A146)*'Cálculos'!$E$98)+1400)+'Cálculos'!$E$123)*'Cálculos'!$E$279)+('Cálculos'!$E$200+(($B$168)-$A146)*'Cálculos'!$E$98)*('Cálculos'!$E$270+'Cálculos'!$E$124*(1+2.78*('Cálculos'!$E$200+(($B$168)-$A146)*'Cálculos'!$E$98)/(('Cálculos'!$E$200+(($B$168)-$A146)*'Cálculos'!$E$98)+1400)+'Cálculos'!$E$122)*'Cálculos'!$E$275+'Cálculos'!$E$125*(1+2.78*('Cálculos'!$E$200+(($B$168)-$A146)*'Cálculos'!$E$98)/(('Cálculos'!$E$200+(($B$168)-$A146)*'Cálculos'!$E$98)+1400)+'Cálculos'!$E$123)*'Cálculos'!$E$280)+('Cálculos'!$E$201*(1+'Cálculos'!$E$202+$A146*('Cálculos'!$E$290=2)*'Cálculos'!$E$101)+'Cálculos'!$E$203)*('Cálculos'!$E$271+'Cálculos'!$E$124*(1+2.78*('Cálculos'!$E$200+(($B$168)-$A146)*'Cálculos'!$E$98)/(('Cálculos'!$E$200+(($B$168)-$A146)*'Cálculos'!$E$98)+1400)+'Cálculos'!$E$122)*'Cálculos'!$E$276+'Cálculos'!$E$125*(1+2.78*('Cálculos'!$E$200+(($B$168)-$A146)*'Cálculos'!$E$98)/(('Cálculos'!$E$200+(($B$168)-$A146)*'Cálculos'!$E$98)+1400)+'Cálculos'!$E$123)*'Cálculos'!$E$281)+('Cálculos'!$E$204*(1+'Cálculos'!$E$205+$A146*('Cálculos'!$E$290=3)*'Cálculos'!$E$103)+'Cálculos'!$E$206)*('Cálculos'!$E$272+'Cálculos'!$E$124*(1+2.78*('Cálculos'!$E$200+(($B$168)-$A146)*'Cálculos'!$E$98)/(('Cálculos'!$E$200+(($B$168)-$A146)*'Cálculos'!$E$98)+1400)+'Cálculos'!$E$122)*'Cálculos'!$E$277+'Cálculos'!$E$125*(1+2.78*('Cálculos'!$E$200+(($B$168)-$A146)*'Cálculos'!$E$98)/(('Cálculos'!$E$200+(($B$168)-$A146)*'Cálculos'!$E$98)+1400)+'Cálculos'!$E$123)*'Cálculos'!$E$282)+('Cálculos'!$E$273+'Cálculos'!$E$124*(1+2.78*('Cálculos'!$E$200+(($B$168)-$A146)*'Cálculos'!$E$98)/(('Cálculos'!$E$200+(($B$168)-$A146)*'Cálculos'!$E$98)+1400)+'Cálculos'!$E$122)*'Cálculos'!$E$278+'Cálculos'!$E$125*(1+2.78*('Cálculos'!$E$200+(($B$168)-$A146)*'Cálculos'!$E$98)/(('Cálculos'!$E$200+(($B$168)-$A146)*'Cálculos'!$E$98)+1400)+'Cálculos'!$E$123)*'Cálculos'!$E$283)))</f>
        <v>0</v>
      </c>
    </row>
    <row r="147" ht="15.75" customHeight="1">
      <c r="A147" s="2">
        <v>27.0</v>
      </c>
      <c r="B147" s="30">
        <f>SUMPRODUCT(MAX(($A$120:$A$165&lt;=$A147)*($A$120:$A$165&lt;='Cálculos'!$E$294)*(($A147)-$A$120:$A$165&lt;='Cálculos'!$E$295)*(1+(('Cálculos'!$E$207+$A$120:$A$165*'Cálculos'!$E$95)-(('Cálculos'!$E$207+$A$120:$A$165*'Cálculos'!$E$95)&gt;1)*(('Cálculos'!$E$207+$A$120:$A$165*'Cálculos'!$E$95)-1))*('Cálculos'!$E$208+(($A147)-$A$120:$A$165)*'Cálculos'!$E$96))))</f>
        <v>2.334906</v>
      </c>
      <c r="C147" s="2">
        <f>'Cálculos'!$E$303-$A147</f>
        <v>-14</v>
      </c>
      <c r="D147" s="31">
        <f>IF($C147&lt;0,0,SUMPRODUCT(MAX(($A$120:$A$165&lt;=$C147)*($A$120:$A$165&lt;='Cálculos'!$E$301)*(($C147)-$A$120:$A$165&lt;='Cálculos'!$E$297)*(('Cálculos'!$E$185*(1+'Cálculos'!$E$186+$A$120:$A$165*('Cálculos'!$E$290=1)*'Cálculos'!$E$97+'Cálculos'!$E$305)+'Cálculos'!$E$191)*('Cálculos'!$E$209+'Cálculos'!$E$124*(1+2.78*('Cálculos'!$E$196+(($C147)-$A$120:$A$165)*'Cálculos'!$E$98)/(('Cálculos'!$E$196+(($C147)-$A$120:$A$165)*'Cálculos'!$E$98)+1400)+'Cálculos'!$E$122)*'Cálculos'!$E$214+'Cálculos'!$E$125*(1+2.78*('Cálculos'!$E$196+(($C147)-$A$120:$A$165)*'Cálculos'!$E$98)/(('Cálculos'!$E$196+(($C147)-$A$120:$A$165)*'Cálculos'!$E$98)+1400)+'Cálculos'!$E$123)*'Cálculos'!$E$219)+('Cálculos'!$E$196+(($C147)-$A$120:$A$165)*'Cálculos'!$E$98)*('Cálculos'!$E$210+'Cálculos'!$E$124*(1+2.78*('Cálculos'!$E$196+(($C147)-$A$120:$A$165)*'Cálculos'!$E$98)/(('Cálculos'!$E$196+(($C147)-$A$120:$A$165)*'Cálculos'!$E$98)+1400)+'Cálculos'!$E$122)*'Cálculos'!$E$215+'Cálculos'!$E$125*(1+2.78*('Cálculos'!$E$196+(($C147)-$A$120:$A$165)*'Cálculos'!$E$98)/(('Cálculos'!$E$196+(($C147)-$A$120:$A$165)*'Cálculos'!$E$98)+1400)+'Cálculos'!$E$123)*'Cálculos'!$E$220)+('Cálculos'!$E$201*(1+'Cálculos'!$E$202+$A$120:$A$165*('Cálculos'!$E$290=2)*'Cálculos'!$E$101)+'Cálculos'!$E$203)*('Cálculos'!$E$211+'Cálculos'!$E$124*(1+2.78*('Cálculos'!$E$196+(($C147)-$A$120:$A$165)*'Cálculos'!$E$98)/(('Cálculos'!$E$196+(($C147)-$A$120:$A$165)*'Cálculos'!$E$98)+1400)+'Cálculos'!$E$122)*'Cálculos'!$E$216+'Cálculos'!$E$125*(1+2.78*('Cálculos'!$E$196+(($C147)-$A$120:$A$165)*'Cálculos'!$E$98)/(('Cálculos'!$E$196+(($C147)-$A$120:$A$165)*'Cálculos'!$E$98)+1400)+'Cálculos'!$E$123)*'Cálculos'!$E$221)+('Cálculos'!$E$204*(1+'Cálculos'!$E$205+$A$120:$A$165*('Cálculos'!$E$290=3)*'Cálculos'!$E$103)+'Cálculos'!$E$206)*('Cálculos'!$E$212+'Cálculos'!$E$124*(1+2.78*('Cálculos'!$E$196+(($C147)-$A$120:$A$165)*'Cálculos'!$E$98)/(('Cálculos'!$E$196+(($C147)-$A$120:$A$165)*'Cálculos'!$E$98)+1400)+'Cálculos'!$E$122)*'Cálculos'!$E$217+'Cálculos'!$E$125*(1+2.78*('Cálculos'!$E$196+(($C147)-$A$120:$A$165)*'Cálculos'!$E$98)/(('Cálculos'!$E$196+(($C147)-$A$120:$A$165)*'Cálculos'!$E$98)+1400)+'Cálculos'!$E$123)*'Cálculos'!$E$222)+('Cálculos'!$E$213+'Cálculos'!$E$124*(1+2.78*('Cálculos'!$E$196+(($C147)-$A$120:$A$165)*'Cálculos'!$E$98)/(('Cálculos'!$E$196+(($C147)-$A$120:$A$165)*'Cálculos'!$E$98)+1400)+'Cálculos'!$E$122)*'Cálculos'!$E$218+'Cálculos'!$E$125*(1+2.78*('Cálculos'!$E$196+(($C147)-$A$120:$A$165)*'Cálculos'!$E$98)/(('Cálculos'!$E$196+(($C147)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147)-$A$120:$A$165)*'Cálculos'!$E$98)/(('Cálculos'!$E$197+(($C147)-$A$120:$A$165)*'Cálculos'!$E$98)+1400)+'Cálculos'!$E$122)*'Cálculos'!$E$229+'Cálculos'!$E$125*(1+2.78*('Cálculos'!$E$197+(($C147)-$A$120:$A$165)*'Cálculos'!$E$98)/(('Cálculos'!$E$197+(($C147)-$A$120:$A$165)*'Cálculos'!$E$98)+1400)+'Cálculos'!$E$123)*'Cálculos'!$E$234)+('Cálculos'!$E$197+(($C147)-$A$120:$A$165)*'Cálculos'!$E$98)*('Cálculos'!$E$225+'Cálculos'!$E$124*(1+2.78*('Cálculos'!$E$197+(($C147)-$A$120:$A$165)*'Cálculos'!$E$98)/(('Cálculos'!$E$197+(($C147)-$A$120:$A$165)*'Cálculos'!$E$98)+1400)+'Cálculos'!$E$122)*'Cálculos'!$E$230+'Cálculos'!$E$125*(1+2.78*('Cálculos'!$E$197+(($C147)-$A$120:$A$165)*'Cálculos'!$E$98)/(('Cálculos'!$E$197+(($C147)-$A$120:$A$165)*'Cálculos'!$E$98)+1400)+'Cálculos'!$E$123)*'Cálculos'!$E$235)+('Cálculos'!$E$201*(1+'Cálculos'!$E$202+$A$120:$A$165*('Cálculos'!$E$290=2)*'Cálculos'!$E$101)+'Cálculos'!$E$203)*('Cálculos'!$E$226+'Cálculos'!$E$124*(1+2.78*('Cálculos'!$E$197+(($C147)-$A$120:$A$165)*'Cálculos'!$E$98)/(('Cálculos'!$E$197+(($C147)-$A$120:$A$165)*'Cálculos'!$E$98)+1400)+'Cálculos'!$E$122)*'Cálculos'!$E$231+'Cálculos'!$E$125*(1+2.78*('Cálculos'!$E$197+(($C147)-$A$120:$A$165)*'Cálculos'!$E$98)/(('Cálculos'!$E$197+(($C147)-$A$120:$A$165)*'Cálculos'!$E$98)+1400)+'Cálculos'!$E$123)*'Cálculos'!$E$236)+('Cálculos'!$E$204*(1+'Cálculos'!$E$205+$A$120:$A$165*('Cálculos'!$E$290=3)*'Cálculos'!$E$103)+'Cálculos'!$E$206)*('Cálculos'!$E$227+'Cálculos'!$E$124*(1+2.78*('Cálculos'!$E$197+(($C147)-$A$120:$A$165)*'Cálculos'!$E$98)/(('Cálculos'!$E$197+(($C147)-$A$120:$A$165)*'Cálculos'!$E$98)+1400)+'Cálculos'!$E$122)*'Cálculos'!$E$232+'Cálculos'!$E$125*(1+2.78*('Cálculos'!$E$197+(($C147)-$A$120:$A$165)*'Cálculos'!$E$98)/(('Cálculos'!$E$197+(($C147)-$A$120:$A$165)*'Cálculos'!$E$98)+1400)+'Cálculos'!$E$123)*'Cálculos'!$E$237)+('Cálculos'!$E$228+'Cálculos'!$E$124*(1+2.78*('Cálculos'!$E$197+(($C147)-$A$120:$A$165)*'Cálculos'!$E$98)/(('Cálculos'!$E$197+(($C147)-$A$120:$A$165)*'Cálculos'!$E$98)+1400)+'Cálculos'!$E$122)*'Cálculos'!$E$233+'Cálculos'!$E$125*(1+2.78*('Cálculos'!$E$197+(($C147)-$A$120:$A$165)*'Cálculos'!$E$98)/(('Cálculos'!$E$197+(($C147)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147)-$A$120:$A$165)*'Cálculos'!$E$98)/(('Cálculos'!$E$198+(($C147)-$A$120:$A$165)*'Cálculos'!$E$98)+1400)+'Cálculos'!$E$122)*'Cálculos'!$E$244+'Cálculos'!$E$125*(1+2.78*('Cálculos'!$E$198+(($C147)-$A$120:$A$165)*'Cálculos'!$E$98)/(('Cálculos'!$E$198+(($C147)-$A$120:$A$165)*'Cálculos'!$E$98)+1400)+'Cálculos'!$E$123)*'Cálculos'!$E$249)+('Cálculos'!$E$198+(($C147)-$A$120:$A$165)*'Cálculos'!$E$98)*('Cálculos'!$E$240+'Cálculos'!$E$124*(1+2.78*('Cálculos'!$E$198+(($C147)-$A$120:$A$165)*'Cálculos'!$E$98)/(('Cálculos'!$E$198+(($C147)-$A$120:$A$165)*'Cálculos'!$E$98)+1400)+'Cálculos'!$E$122)*'Cálculos'!$E$245+'Cálculos'!$E$125*(1+2.78*('Cálculos'!$E$198+(($C147)-$A$120:$A$165)*'Cálculos'!$E$98)/(('Cálculos'!$E$198+(($C147)-$A$120:$A$165)*'Cálculos'!$E$98)+1400)+'Cálculos'!$E$123)*'Cálculos'!$E$250)+('Cálculos'!$E$201*(1+'Cálculos'!$E$202+$A$120:$A$165*('Cálculos'!$E$290=2)*'Cálculos'!$E$101)+'Cálculos'!$E$203)*('Cálculos'!$E$241+'Cálculos'!$E$124*(1+2.78*('Cálculos'!$E$198+(($C147)-$A$120:$A$165)*'Cálculos'!$E$98)/(('Cálculos'!$E$198+(($C147)-$A$120:$A$165)*'Cálculos'!$E$98)+1400)+'Cálculos'!$E$122)*'Cálculos'!$E$246+'Cálculos'!$E$125*(1+2.78*('Cálculos'!$E$198+(($C147)-$A$120:$A$165)*'Cálculos'!$E$98)/(('Cálculos'!$E$198+(($C147)-$A$120:$A$165)*'Cálculos'!$E$98)+1400)+'Cálculos'!$E$123)*'Cálculos'!$E$251)+('Cálculos'!$E$204*(1+'Cálculos'!$E$205+$A$120:$A$165*('Cálculos'!$E$290=3)*'Cálculos'!$E$103)+'Cálculos'!$E$206)*('Cálculos'!$E$242+'Cálculos'!$E$124*(1+2.78*('Cálculos'!$E$198+(($C147)-$A$120:$A$165)*'Cálculos'!$E$98)/(('Cálculos'!$E$198+(($C147)-$A$120:$A$165)*'Cálculos'!$E$98)+1400)+'Cálculos'!$E$122)*'Cálculos'!$E$247+'Cálculos'!$E$125*(1+2.78*('Cálculos'!$E$198+(($C147)-$A$120:$A$165)*'Cálculos'!$E$98)/(('Cálculos'!$E$198+(($C147)-$A$120:$A$165)*'Cálculos'!$E$98)+1400)+'Cálculos'!$E$123)*'Cálculos'!$E$252)+('Cálculos'!$E$243+'Cálculos'!$E$124*(1+2.78*('Cálculos'!$E$198+(($C147)-$A$120:$A$165)*'Cálculos'!$E$98)/(('Cálculos'!$E$198+(($C147)-$A$120:$A$165)*'Cálculos'!$E$98)+1400)+'Cálculos'!$E$122)*'Cálculos'!$E$248+'Cálculos'!$E$125*(1+2.78*('Cálculos'!$E$198+(($C147)-$A$120:$A$165)*'Cálculos'!$E$98)/(('Cálculos'!$E$198+(($C147)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147)-$A$120:$A$165)*'Cálculos'!$E$98)/(('Cálculos'!$E$199+(($C147)-$A$120:$A$165)*'Cálculos'!$E$98)+1400)+'Cálculos'!$E$122)*'Cálculos'!$E$259+'Cálculos'!$E$125*(1+2.78*('Cálculos'!$E$199+(($C147)-$A$120:$A$165)*'Cálculos'!$E$98)/(('Cálculos'!$E$199+(($C147)-$A$120:$A$165)*'Cálculos'!$E$98)+1400)+'Cálculos'!$E$123)*'Cálculos'!$E$264)+('Cálculos'!$E$199+(($C147)-$A$120:$A$165)*'Cálculos'!$E$98)*('Cálculos'!$E$255+'Cálculos'!$E$124*(1+2.78*('Cálculos'!$E$199+(($C147)-$A$120:$A$165)*'Cálculos'!$E$98)/(('Cálculos'!$E$199+(($C147)-$A$120:$A$165)*'Cálculos'!$E$98)+1400)+'Cálculos'!$E$122)*'Cálculos'!$E$260+'Cálculos'!$E$125*(1+2.78*('Cálculos'!$E$199+(($C147)-$A$120:$A$165)*'Cálculos'!$E$98)/(('Cálculos'!$E$199+(($C147)-$A$120:$A$165)*'Cálculos'!$E$98)+1400)+'Cálculos'!$E$123)*'Cálculos'!$E$265)+('Cálculos'!$E$201*(1+'Cálculos'!$E$202+$A$120:$A$165*('Cálculos'!$E$290=2)*'Cálculos'!$E$101)+'Cálculos'!$E$203)*('Cálculos'!$E$256+'Cálculos'!$E$124*(1+2.78*('Cálculos'!$E$199+(($C147)-$A$120:$A$165)*'Cálculos'!$E$98)/(('Cálculos'!$E$199+(($C147)-$A$120:$A$165)*'Cálculos'!$E$98)+1400)+'Cálculos'!$E$122)*'Cálculos'!$E$261+'Cálculos'!$E$125*(1+2.78*('Cálculos'!$E$199+(($C147)-$A$120:$A$165)*'Cálculos'!$E$98)/(('Cálculos'!$E$199+(($C147)-$A$120:$A$165)*'Cálculos'!$E$98)+1400)+'Cálculos'!$E$123)*'Cálculos'!$E$266)+('Cálculos'!$E$204*(1+'Cálculos'!$E$205+$A$120:$A$165*('Cálculos'!$E$290=3)*'Cálculos'!$E$103)+'Cálculos'!$E$206)*('Cálculos'!$E$257+'Cálculos'!$E$124*(1+2.78*('Cálculos'!$E$199+(($C147)-$A$120:$A$165)*'Cálculos'!$E$98)/(('Cálculos'!$E$199+(($C147)-$A$120:$A$165)*'Cálculos'!$E$98)+1400)+'Cálculos'!$E$122)*'Cálculos'!$E$262+'Cálculos'!$E$125*(1+2.78*('Cálculos'!$E$199+(($C147)-$A$120:$A$165)*'Cálculos'!$E$98)/(('Cálculos'!$E$199+(($C147)-$A$120:$A$165)*'Cálculos'!$E$98)+1400)+'Cálculos'!$E$123)*'Cálculos'!$E$267)+('Cálculos'!$E$258+'Cálculos'!$E$124*(1+2.78*('Cálculos'!$E$199+(($C147)-$A$120:$A$165)*'Cálculos'!$E$98)/(('Cálculos'!$E$199+(($C147)-$A$120:$A$165)*'Cálculos'!$E$98)+1400)+'Cálculos'!$E$122)*'Cálculos'!$E$263+'Cálculos'!$E$125*(1+2.78*('Cálculos'!$E$199+(($C147)-$A$120:$A$165)*'Cálculos'!$E$98)/(('Cálculos'!$E$199+(($C147)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147)-$A$120:$A$165)*'Cálculos'!$E$98)/(('Cálculos'!$E$200+(($C147)-$A$120:$A$165)*'Cálculos'!$E$98)+1400)+'Cálculos'!$E$122)*'Cálculos'!$E$274+'Cálculos'!$E$125*(1+2.78*('Cálculos'!$E$200+(($C147)-$A$120:$A$165)*'Cálculos'!$E$98)/(('Cálculos'!$E$200+(($C147)-$A$120:$A$165)*'Cálculos'!$E$98)+1400)+'Cálculos'!$E$123)*'Cálculos'!$E$279)+('Cálculos'!$E$200+(($C147)-$A$120:$A$165)*'Cálculos'!$E$98)*('Cálculos'!$E$270+'Cálculos'!$E$124*(1+2.78*('Cálculos'!$E$200+(($C147)-$A$120:$A$165)*'Cálculos'!$E$98)/(('Cálculos'!$E$200+(($C147)-$A$120:$A$165)*'Cálculos'!$E$98)+1400)+'Cálculos'!$E$122)*'Cálculos'!$E$275+'Cálculos'!$E$125*(1+2.78*('Cálculos'!$E$200+(($C147)-$A$120:$A$165)*'Cálculos'!$E$98)/(('Cálculos'!$E$200+(($C147)-$A$120:$A$165)*'Cálculos'!$E$98)+1400)+'Cálculos'!$E$123)*'Cálculos'!$E$280)+('Cálculos'!$E$201*(1+'Cálculos'!$E$202+$A$120:$A$165*('Cálculos'!$E$290=2)*'Cálculos'!$E$101)+'Cálculos'!$E$203)*('Cálculos'!$E$271+'Cálculos'!$E$124*(1+2.78*('Cálculos'!$E$200+(($C147)-$A$120:$A$165)*'Cálculos'!$E$98)/(('Cálculos'!$E$200+(($C147)-$A$120:$A$165)*'Cálculos'!$E$98)+1400)+'Cálculos'!$E$122)*'Cálculos'!$E$276+'Cálculos'!$E$125*(1+2.78*('Cálculos'!$E$200+(($C147)-$A$120:$A$165)*'Cálculos'!$E$98)/(('Cálculos'!$E$200+(($C147)-$A$120:$A$165)*'Cálculos'!$E$98)+1400)+'Cálculos'!$E$123)*'Cálculos'!$E$281)+('Cálculos'!$E$204*(1+'Cálculos'!$E$205+$A$120:$A$165*('Cálculos'!$E$290=3)*'Cálculos'!$E$103)+'Cálculos'!$E$206)*('Cálculos'!$E$272+'Cálculos'!$E$124*(1+2.78*('Cálculos'!$E$200+(($C147)-$A$120:$A$165)*'Cálculos'!$E$98)/(('Cálculos'!$E$200+(($C147)-$A$120:$A$165)*'Cálculos'!$E$98)+1400)+'Cálculos'!$E$122)*'Cálculos'!$E$277+'Cálculos'!$E$125*(1+2.78*('Cálculos'!$E$200+(($C147)-$A$120:$A$165)*'Cálculos'!$E$98)/(('Cálculos'!$E$200+(($C147)-$A$120:$A$165)*'Cálculos'!$E$98)+1400)+'Cálculos'!$E$123)*'Cálculos'!$E$282)+('Cálculos'!$E$273+'Cálculos'!$E$124*(1+2.78*('Cálculos'!$E$200+(($C147)-$A$120:$A$165)*'Cálculos'!$E$98)/(('Cálculos'!$E$200+(($C147)-$A$120:$A$165)*'Cálculos'!$E$98)+1400)+'Cálculos'!$E$122)*'Cálculos'!$E$278+'Cálculos'!$E$125*(1+2.78*('Cálculos'!$E$200+(($C147)-$A$120:$A$165)*'Cálculos'!$E$98)/(('Cálculos'!$E$200+(($C147)-$A$120:$A$165)*'Cálculos'!$E$98)+1400)+'Cálculos'!$E$123)*'Cálculos'!$E$283)))))</f>
        <v>0</v>
      </c>
      <c r="E147" s="32">
        <f>IF(OR($C147&lt;0,'Cálculos'!$E$6=""),0,$B147*$D147)</f>
        <v>0</v>
      </c>
      <c r="F147" s="2"/>
      <c r="G147" s="30">
        <f>($A147&lt;=$B$167)*($A147&lt;='Cálculos'!$E$294)*(($B$167)-$A147&lt;='Cálculos'!$E$295)*(1+MIN(('Cálculos'!$E$207+$A147*'Cálculos'!$E$95),1)*('Cálculos'!$E$208+(($B$167)-$A147)*'Cálculos'!$E$96))</f>
        <v>0</v>
      </c>
      <c r="H147" s="31">
        <f>IF($B$168&lt;0,0,($A147&lt;=$B$168)*($A147&lt;='Cálculos'!$E$301)*(($B$168)-$A147&lt;='Cálculos'!$E$297)*(('Cálculos'!$E$185*(1+'Cálculos'!$E$186+$A147*('Cálculos'!$E$290=1)*'Cálculos'!$E$97+'Cálculos'!$E$305)+'Cálculos'!$E$191)*('Cálculos'!$E$209+'Cálculos'!$E$124*(1+2.78*('Cálculos'!$E$196+(($B$168)-$A147)*'Cálculos'!$E$98)/(('Cálculos'!$E$196+(($B$168)-$A147)*'Cálculos'!$E$98)+1400)+'Cálculos'!$E$122)*'Cálculos'!$E$214+'Cálculos'!$E$125*(1+2.78*('Cálculos'!$E$196+(($B$168)-$A147)*'Cálculos'!$E$98)/(('Cálculos'!$E$196+(($B$168)-$A147)*'Cálculos'!$E$98)+1400)+'Cálculos'!$E$123)*'Cálculos'!$E$219)+('Cálculos'!$E$196+(($B$168)-$A147)*'Cálculos'!$E$98)*('Cálculos'!$E$210+'Cálculos'!$E$124*(1+2.78*('Cálculos'!$E$196+(($B$168)-$A147)*'Cálculos'!$E$98)/(('Cálculos'!$E$196+(($B$168)-$A147)*'Cálculos'!$E$98)+1400)+'Cálculos'!$E$122)*'Cálculos'!$E$215+'Cálculos'!$E$125*(1+2.78*('Cálculos'!$E$196+(($B$168)-$A147)*'Cálculos'!$E$98)/(('Cálculos'!$E$196+(($B$168)-$A147)*'Cálculos'!$E$98)+1400)+'Cálculos'!$E$123)*'Cálculos'!$E$220)+('Cálculos'!$E$201*(1+'Cálculos'!$E$202+$A147*('Cálculos'!$E$290=2)*'Cálculos'!$E$101)+'Cálculos'!$E$203)*('Cálculos'!$E$211+'Cálculos'!$E$124*(1+2.78*('Cálculos'!$E$196+(($B$168)-$A147)*'Cálculos'!$E$98)/(('Cálculos'!$E$196+(($B$168)-$A147)*'Cálculos'!$E$98)+1400)+'Cálculos'!$E$122)*'Cálculos'!$E$216+'Cálculos'!$E$125*(1+2.78*('Cálculos'!$E$196+(($B$168)-$A147)*'Cálculos'!$E$98)/(('Cálculos'!$E$196+(($B$168)-$A147)*'Cálculos'!$E$98)+1400)+'Cálculos'!$E$123)*'Cálculos'!$E$221)+('Cálculos'!$E$204*(1+'Cálculos'!$E$205+$A147*('Cálculos'!$E$290=3)*'Cálculos'!$E$103)+'Cálculos'!$E$206)*('Cálculos'!$E$212+'Cálculos'!$E$124*(1+2.78*('Cálculos'!$E$196+(($B$168)-$A147)*'Cálculos'!$E$98)/(('Cálculos'!$E$196+(($B$168)-$A147)*'Cálculos'!$E$98)+1400)+'Cálculos'!$E$122)*'Cálculos'!$E$217+'Cálculos'!$E$125*(1+2.78*('Cálculos'!$E$196+(($B$168)-$A147)*'Cálculos'!$E$98)/(('Cálculos'!$E$196+(($B$168)-$A147)*'Cálculos'!$E$98)+1400)+'Cálculos'!$E$123)*'Cálculos'!$E$222)+('Cálculos'!$E$213+'Cálculos'!$E$124*(1+2.78*('Cálculos'!$E$196+(($B$168)-$A147)*'Cálculos'!$E$98)/(('Cálculos'!$E$196+(($B$168)-$A147)*'Cálculos'!$E$98)+1400)+'Cálculos'!$E$122)*'Cálculos'!$E$218+'Cálculos'!$E$125*(1+2.78*('Cálculos'!$E$196+(($B$168)-$A147)*'Cálculos'!$E$98)/(('Cálculos'!$E$196+(($B$168)-$A147)*'Cálculos'!$E$98)+1400)+'Cálculos'!$E$123)*'Cálculos'!$E$223)+('Cálculos'!$E$185*(1+'Cálculos'!$E$187+$A147*('Cálculos'!$E$290=1)*'Cálculos'!$E$97+'Cálculos'!$E$305)+'Cálculos'!$E$192)*('Cálculos'!$E$224+'Cálculos'!$E$124*(1+2.78*('Cálculos'!$E$197+(($B$168)-$A147)*'Cálculos'!$E$98)/(('Cálculos'!$E$197+(($B$168)-$A147)*'Cálculos'!$E$98)+1400)+'Cálculos'!$E$122)*'Cálculos'!$E$229+'Cálculos'!$E$125*(1+2.78*('Cálculos'!$E$197+(($B$168)-$A147)*'Cálculos'!$E$98)/(('Cálculos'!$E$197+(($B$168)-$A147)*'Cálculos'!$E$98)+1400)+'Cálculos'!$E$123)*'Cálculos'!$E$234)+('Cálculos'!$E$197+(($B$168)-$A147)*'Cálculos'!$E$98)*('Cálculos'!$E$225+'Cálculos'!$E$124*(1+2.78*('Cálculos'!$E$197+(($B$168)-$A147)*'Cálculos'!$E$98)/(('Cálculos'!$E$197+(($B$168)-$A147)*'Cálculos'!$E$98)+1400)+'Cálculos'!$E$122)*'Cálculos'!$E$230+'Cálculos'!$E$125*(1+2.78*('Cálculos'!$E$197+(($B$168)-$A147)*'Cálculos'!$E$98)/(('Cálculos'!$E$197+(($B$168)-$A147)*'Cálculos'!$E$98)+1400)+'Cálculos'!$E$123)*'Cálculos'!$E$235)+('Cálculos'!$E$201*(1+'Cálculos'!$E$202+$A147*('Cálculos'!$E$290=2)*'Cálculos'!$E$101)+'Cálculos'!$E$203)*('Cálculos'!$E$226+'Cálculos'!$E$124*(1+2.78*('Cálculos'!$E$197+(($B$168)-$A147)*'Cálculos'!$E$98)/(('Cálculos'!$E$197+(($B$168)-$A147)*'Cálculos'!$E$98)+1400)+'Cálculos'!$E$122)*'Cálculos'!$E$231+'Cálculos'!$E$125*(1+2.78*('Cálculos'!$E$197+(($B$168)-$A147)*'Cálculos'!$E$98)/(('Cálculos'!$E$197+(($B$168)-$A147)*'Cálculos'!$E$98)+1400)+'Cálculos'!$E$123)*'Cálculos'!$E$236)+('Cálculos'!$E$204*(1+'Cálculos'!$E$205+$A147*('Cálculos'!$E$290=3)*'Cálculos'!$E$103)+'Cálculos'!$E$206)*('Cálculos'!$E$227+'Cálculos'!$E$124*(1+2.78*('Cálculos'!$E$197+(($B$168)-$A147)*'Cálculos'!$E$98)/(('Cálculos'!$E$197+(($B$168)-$A147)*'Cálculos'!$E$98)+1400)+'Cálculos'!$E$122)*'Cálculos'!$E$232+'Cálculos'!$E$125*(1+2.78*('Cálculos'!$E$197+(($B$168)-$A147)*'Cálculos'!$E$98)/(('Cálculos'!$E$197+(($B$168)-$A147)*'Cálculos'!$E$98)+1400)+'Cálculos'!$E$123)*'Cálculos'!$E$237)+('Cálculos'!$E$228+'Cálculos'!$E$124*(1+2.78*('Cálculos'!$E$197+(($B$168)-$A147)*'Cálculos'!$E$98)/(('Cálculos'!$E$197+(($B$168)-$A147)*'Cálculos'!$E$98)+1400)+'Cálculos'!$E$122)*'Cálculos'!$E$233+'Cálculos'!$E$125*(1+2.78*('Cálculos'!$E$197+(($B$168)-$A147)*'Cálculos'!$E$98)/(('Cálculos'!$E$197+(($B$168)-$A147)*'Cálculos'!$E$98)+1400)+'Cálculos'!$E$123)*'Cálculos'!$E$238)+('Cálculos'!$E$185*(1+'Cálculos'!$E$188+$A147*('Cálculos'!$E$290=1)*'Cálculos'!$E$97+'Cálculos'!$E$305)+'Cálculos'!$E$193)*('Cálculos'!$E$239+'Cálculos'!$E$124*(1+2.78*('Cálculos'!$E$198+(($B$168)-$A147)*'Cálculos'!$E$98)/(('Cálculos'!$E$198+(($B$168)-$A147)*'Cálculos'!$E$98)+1400)+'Cálculos'!$E$122)*'Cálculos'!$E$244+'Cálculos'!$E$125*(1+2.78*('Cálculos'!$E$198+(($B$168)-$A147)*'Cálculos'!$E$98)/(('Cálculos'!$E$198+(($B$168)-$A147)*'Cálculos'!$E$98)+1400)+'Cálculos'!$E$123)*'Cálculos'!$E$249)+('Cálculos'!$E$198+(($B$168)-$A147)*'Cálculos'!$E$98)*('Cálculos'!$E$240+'Cálculos'!$E$124*(1+2.78*('Cálculos'!$E$198+(($B$168)-$A147)*'Cálculos'!$E$98)/(('Cálculos'!$E$198+(($B$168)-$A147)*'Cálculos'!$E$98)+1400)+'Cálculos'!$E$122)*'Cálculos'!$E$245+'Cálculos'!$E$125*(1+2.78*('Cálculos'!$E$198+(($B$168)-$A147)*'Cálculos'!$E$98)/(('Cálculos'!$E$198+(($B$168)-$A147)*'Cálculos'!$E$98)+1400)+'Cálculos'!$E$123)*'Cálculos'!$E$250)+('Cálculos'!$E$201*(1+'Cálculos'!$E$202+$A147*('Cálculos'!$E$290=2)*'Cálculos'!$E$101)+'Cálculos'!$E$203)*('Cálculos'!$E$241+'Cálculos'!$E$124*(1+2.78*('Cálculos'!$E$198+(($B$168)-$A147)*'Cálculos'!$E$98)/(('Cálculos'!$E$198+(($B$168)-$A147)*'Cálculos'!$E$98)+1400)+'Cálculos'!$E$122)*'Cálculos'!$E$246+'Cálculos'!$E$125*(1+2.78*('Cálculos'!$E$198+(($B$168)-$A147)*'Cálculos'!$E$98)/(('Cálculos'!$E$198+(($B$168)-$A147)*'Cálculos'!$E$98)+1400)+'Cálculos'!$E$123)*'Cálculos'!$E$251)+('Cálculos'!$E$204*(1+'Cálculos'!$E$205+$A147*('Cálculos'!$E$290=3)*'Cálculos'!$E$103)+'Cálculos'!$E$206)*('Cálculos'!$E$242+'Cálculos'!$E$124*(1+2.78*('Cálculos'!$E$198+(($B$168)-$A147)*'Cálculos'!$E$98)/(('Cálculos'!$E$198+(($B$168)-$A147)*'Cálculos'!$E$98)+1400)+'Cálculos'!$E$122)*'Cálculos'!$E$247+'Cálculos'!$E$125*(1+2.78*('Cálculos'!$E$198+(($B$168)-$A147)*'Cálculos'!$E$98)/(('Cálculos'!$E$198+(($B$168)-$A147)*'Cálculos'!$E$98)+1400)+'Cálculos'!$E$123)*'Cálculos'!$E$252)+('Cálculos'!$E$243+'Cálculos'!$E$124*(1+2.78*('Cálculos'!$E$198+(($B$168)-$A147)*'Cálculos'!$E$98)/(('Cálculos'!$E$198+(($B$168)-$A147)*'Cálculos'!$E$98)+1400)+'Cálculos'!$E$122)*'Cálculos'!$E$248+'Cálculos'!$E$125*(1+2.78*('Cálculos'!$E$198+(($B$168)-$A147)*'Cálculos'!$E$98)/(('Cálculos'!$E$198+(($B$168)-$A147)*'Cálculos'!$E$98)+1400)+'Cálculos'!$E$123)*'Cálculos'!$E$253)+('Cálculos'!$E$185*(1+'Cálculos'!$E$189+$A147*('Cálculos'!$E$290=1)*'Cálculos'!$E$97+'Cálculos'!$E$305)+'Cálculos'!$E$194)*('Cálculos'!$E$254+'Cálculos'!$E$124*(1+2.78*('Cálculos'!$E$199+(($B$168)-$A147)*'Cálculos'!$E$98)/(('Cálculos'!$E$199+(($B$168)-$A147)*'Cálculos'!$E$98)+1400)+'Cálculos'!$E$122)*'Cálculos'!$E$259+'Cálculos'!$E$125*(1+2.78*('Cálculos'!$E$199+(($B$168)-$A147)*'Cálculos'!$E$98)/(('Cálculos'!$E$199+(($B$168)-$A147)*'Cálculos'!$E$98)+1400)+'Cálculos'!$E$123)*'Cálculos'!$E$264)+('Cálculos'!$E$199+(($B$168)-$A147)*'Cálculos'!$E$98)*('Cálculos'!$E$255+'Cálculos'!$E$124*(1+2.78*('Cálculos'!$E$199+(($B$168)-$A147)*'Cálculos'!$E$98)/(('Cálculos'!$E$199+(($B$168)-$A147)*'Cálculos'!$E$98)+1400)+'Cálculos'!$E$122)*'Cálculos'!$E$260+'Cálculos'!$E$125*(1+2.78*('Cálculos'!$E$199+(($B$168)-$A147)*'Cálculos'!$E$98)/(('Cálculos'!$E$199+(($B$168)-$A147)*'Cálculos'!$E$98)+1400)+'Cálculos'!$E$123)*'Cálculos'!$E$265)+('Cálculos'!$E$201*(1+'Cálculos'!$E$202+$A147*('Cálculos'!$E$290=2)*'Cálculos'!$E$101)+'Cálculos'!$E$203)*('Cálculos'!$E$256+'Cálculos'!$E$124*(1+2.78*('Cálculos'!$E$199+(($B$168)-$A147)*'Cálculos'!$E$98)/(('Cálculos'!$E$199+(($B$168)-$A147)*'Cálculos'!$E$98)+1400)+'Cálculos'!$E$122)*'Cálculos'!$E$261+'Cálculos'!$E$125*(1+2.78*('Cálculos'!$E$199+(($B$168)-$A147)*'Cálculos'!$E$98)/(('Cálculos'!$E$199+(($B$168)-$A147)*'Cálculos'!$E$98)+1400)+'Cálculos'!$E$123)*'Cálculos'!$E$266)+('Cálculos'!$E$204*(1+'Cálculos'!$E$205+$A147*('Cálculos'!$E$290=3)*'Cálculos'!$E$103)+'Cálculos'!$E$206)*('Cálculos'!$E$257+'Cálculos'!$E$124*(1+2.78*('Cálculos'!$E$199+(($B$168)-$A147)*'Cálculos'!$E$98)/(('Cálculos'!$E$199+(($B$168)-$A147)*'Cálculos'!$E$98)+1400)+'Cálculos'!$E$122)*'Cálculos'!$E$262+'Cálculos'!$E$125*(1+2.78*('Cálculos'!$E$199+(($B$168)-$A147)*'Cálculos'!$E$98)/(('Cálculos'!$E$199+(($B$168)-$A147)*'Cálculos'!$E$98)+1400)+'Cálculos'!$E$123)*'Cálculos'!$E$267)+('Cálculos'!$E$258+'Cálculos'!$E$124*(1+2.78*('Cálculos'!$E$199+(($B$168)-$A147)*'Cálculos'!$E$98)/(('Cálculos'!$E$199+(($B$168)-$A147)*'Cálculos'!$E$98)+1400)+'Cálculos'!$E$122)*'Cálculos'!$E$263+'Cálculos'!$E$125*(1+2.78*('Cálculos'!$E$199+(($B$168)-$A147)*'Cálculos'!$E$98)/(('Cálculos'!$E$199+(($B$168)-$A147)*'Cálculos'!$E$98)+1400)+'Cálculos'!$E$123)*'Cálculos'!$E$268)+('Cálculos'!$E$185*(1+'Cálculos'!$E$190+$A147*('Cálculos'!$E$290=1)*'Cálculos'!$E$97+'Cálculos'!$E$305)+'Cálculos'!$E$195)*('Cálculos'!$E$269+'Cálculos'!$E$124*(1+2.78*('Cálculos'!$E$200+(($B$168)-$A147)*'Cálculos'!$E$98)/(('Cálculos'!$E$200+(($B$168)-$A147)*'Cálculos'!$E$98)+1400)+'Cálculos'!$E$122)*'Cálculos'!$E$274+'Cálculos'!$E$125*(1+2.78*('Cálculos'!$E$200+(($B$168)-$A147)*'Cálculos'!$E$98)/(('Cálculos'!$E$200+(($B$168)-$A147)*'Cálculos'!$E$98)+1400)+'Cálculos'!$E$123)*'Cálculos'!$E$279)+('Cálculos'!$E$200+(($B$168)-$A147)*'Cálculos'!$E$98)*('Cálculos'!$E$270+'Cálculos'!$E$124*(1+2.78*('Cálculos'!$E$200+(($B$168)-$A147)*'Cálculos'!$E$98)/(('Cálculos'!$E$200+(($B$168)-$A147)*'Cálculos'!$E$98)+1400)+'Cálculos'!$E$122)*'Cálculos'!$E$275+'Cálculos'!$E$125*(1+2.78*('Cálculos'!$E$200+(($B$168)-$A147)*'Cálculos'!$E$98)/(('Cálculos'!$E$200+(($B$168)-$A147)*'Cálculos'!$E$98)+1400)+'Cálculos'!$E$123)*'Cálculos'!$E$280)+('Cálculos'!$E$201*(1+'Cálculos'!$E$202+$A147*('Cálculos'!$E$290=2)*'Cálculos'!$E$101)+'Cálculos'!$E$203)*('Cálculos'!$E$271+'Cálculos'!$E$124*(1+2.78*('Cálculos'!$E$200+(($B$168)-$A147)*'Cálculos'!$E$98)/(('Cálculos'!$E$200+(($B$168)-$A147)*'Cálculos'!$E$98)+1400)+'Cálculos'!$E$122)*'Cálculos'!$E$276+'Cálculos'!$E$125*(1+2.78*('Cálculos'!$E$200+(($B$168)-$A147)*'Cálculos'!$E$98)/(('Cálculos'!$E$200+(($B$168)-$A147)*'Cálculos'!$E$98)+1400)+'Cálculos'!$E$123)*'Cálculos'!$E$281)+('Cálculos'!$E$204*(1+'Cálculos'!$E$205+$A147*('Cálculos'!$E$290=3)*'Cálculos'!$E$103)+'Cálculos'!$E$206)*('Cálculos'!$E$272+'Cálculos'!$E$124*(1+2.78*('Cálculos'!$E$200+(($B$168)-$A147)*'Cálculos'!$E$98)/(('Cálculos'!$E$200+(($B$168)-$A147)*'Cálculos'!$E$98)+1400)+'Cálculos'!$E$122)*'Cálculos'!$E$277+'Cálculos'!$E$125*(1+2.78*('Cálculos'!$E$200+(($B$168)-$A147)*'Cálculos'!$E$98)/(('Cálculos'!$E$200+(($B$168)-$A147)*'Cálculos'!$E$98)+1400)+'Cálculos'!$E$123)*'Cálculos'!$E$282)+('Cálculos'!$E$273+'Cálculos'!$E$124*(1+2.78*('Cálculos'!$E$200+(($B$168)-$A147)*'Cálculos'!$E$98)/(('Cálculos'!$E$200+(($B$168)-$A147)*'Cálculos'!$E$98)+1400)+'Cálculos'!$E$122)*'Cálculos'!$E$278+'Cálculos'!$E$125*(1+2.78*('Cálculos'!$E$200+(($B$168)-$A147)*'Cálculos'!$E$98)/(('Cálculos'!$E$200+(($B$168)-$A147)*'Cálculos'!$E$98)+1400)+'Cálculos'!$E$123)*'Cálculos'!$E$283)))</f>
        <v>0</v>
      </c>
    </row>
    <row r="148" ht="15.75" customHeight="1">
      <c r="A148" s="2">
        <v>28.0</v>
      </c>
      <c r="B148" s="30">
        <f>SUMPRODUCT(MAX(($A$120:$A$165&lt;=$A148)*($A$120:$A$165&lt;='Cálculos'!$E$294)*(($A148)-$A$120:$A$165&lt;='Cálculos'!$E$295)*(1+(('Cálculos'!$E$207+$A$120:$A$165*'Cálculos'!$E$95)-(('Cálculos'!$E$207+$A$120:$A$165*'Cálculos'!$E$95)&gt;1)*(('Cálculos'!$E$207+$A$120:$A$165*'Cálculos'!$E$95)-1))*('Cálculos'!$E$208+(($A148)-$A$120:$A$165)*'Cálculos'!$E$96))))</f>
        <v>2.389224</v>
      </c>
      <c r="C148" s="2">
        <f>'Cálculos'!$E$303-$A148</f>
        <v>-15</v>
      </c>
      <c r="D148" s="31">
        <f>IF($C148&lt;0,0,SUMPRODUCT(MAX(($A$120:$A$165&lt;=$C148)*($A$120:$A$165&lt;='Cálculos'!$E$301)*(($C148)-$A$120:$A$165&lt;='Cálculos'!$E$297)*(('Cálculos'!$E$185*(1+'Cálculos'!$E$186+$A$120:$A$165*('Cálculos'!$E$290=1)*'Cálculos'!$E$97+'Cálculos'!$E$305)+'Cálculos'!$E$191)*('Cálculos'!$E$209+'Cálculos'!$E$124*(1+2.78*('Cálculos'!$E$196+(($C148)-$A$120:$A$165)*'Cálculos'!$E$98)/(('Cálculos'!$E$196+(($C148)-$A$120:$A$165)*'Cálculos'!$E$98)+1400)+'Cálculos'!$E$122)*'Cálculos'!$E$214+'Cálculos'!$E$125*(1+2.78*('Cálculos'!$E$196+(($C148)-$A$120:$A$165)*'Cálculos'!$E$98)/(('Cálculos'!$E$196+(($C148)-$A$120:$A$165)*'Cálculos'!$E$98)+1400)+'Cálculos'!$E$123)*'Cálculos'!$E$219)+('Cálculos'!$E$196+(($C148)-$A$120:$A$165)*'Cálculos'!$E$98)*('Cálculos'!$E$210+'Cálculos'!$E$124*(1+2.78*('Cálculos'!$E$196+(($C148)-$A$120:$A$165)*'Cálculos'!$E$98)/(('Cálculos'!$E$196+(($C148)-$A$120:$A$165)*'Cálculos'!$E$98)+1400)+'Cálculos'!$E$122)*'Cálculos'!$E$215+'Cálculos'!$E$125*(1+2.78*('Cálculos'!$E$196+(($C148)-$A$120:$A$165)*'Cálculos'!$E$98)/(('Cálculos'!$E$196+(($C148)-$A$120:$A$165)*'Cálculos'!$E$98)+1400)+'Cálculos'!$E$123)*'Cálculos'!$E$220)+('Cálculos'!$E$201*(1+'Cálculos'!$E$202+$A$120:$A$165*('Cálculos'!$E$290=2)*'Cálculos'!$E$101)+'Cálculos'!$E$203)*('Cálculos'!$E$211+'Cálculos'!$E$124*(1+2.78*('Cálculos'!$E$196+(($C148)-$A$120:$A$165)*'Cálculos'!$E$98)/(('Cálculos'!$E$196+(($C148)-$A$120:$A$165)*'Cálculos'!$E$98)+1400)+'Cálculos'!$E$122)*'Cálculos'!$E$216+'Cálculos'!$E$125*(1+2.78*('Cálculos'!$E$196+(($C148)-$A$120:$A$165)*'Cálculos'!$E$98)/(('Cálculos'!$E$196+(($C148)-$A$120:$A$165)*'Cálculos'!$E$98)+1400)+'Cálculos'!$E$123)*'Cálculos'!$E$221)+('Cálculos'!$E$204*(1+'Cálculos'!$E$205+$A$120:$A$165*('Cálculos'!$E$290=3)*'Cálculos'!$E$103)+'Cálculos'!$E$206)*('Cálculos'!$E$212+'Cálculos'!$E$124*(1+2.78*('Cálculos'!$E$196+(($C148)-$A$120:$A$165)*'Cálculos'!$E$98)/(('Cálculos'!$E$196+(($C148)-$A$120:$A$165)*'Cálculos'!$E$98)+1400)+'Cálculos'!$E$122)*'Cálculos'!$E$217+'Cálculos'!$E$125*(1+2.78*('Cálculos'!$E$196+(($C148)-$A$120:$A$165)*'Cálculos'!$E$98)/(('Cálculos'!$E$196+(($C148)-$A$120:$A$165)*'Cálculos'!$E$98)+1400)+'Cálculos'!$E$123)*'Cálculos'!$E$222)+('Cálculos'!$E$213+'Cálculos'!$E$124*(1+2.78*('Cálculos'!$E$196+(($C148)-$A$120:$A$165)*'Cálculos'!$E$98)/(('Cálculos'!$E$196+(($C148)-$A$120:$A$165)*'Cálculos'!$E$98)+1400)+'Cálculos'!$E$122)*'Cálculos'!$E$218+'Cálculos'!$E$125*(1+2.78*('Cálculos'!$E$196+(($C148)-$A$120:$A$165)*'Cálculos'!$E$98)/(('Cálculos'!$E$196+(($C148)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148)-$A$120:$A$165)*'Cálculos'!$E$98)/(('Cálculos'!$E$197+(($C148)-$A$120:$A$165)*'Cálculos'!$E$98)+1400)+'Cálculos'!$E$122)*'Cálculos'!$E$229+'Cálculos'!$E$125*(1+2.78*('Cálculos'!$E$197+(($C148)-$A$120:$A$165)*'Cálculos'!$E$98)/(('Cálculos'!$E$197+(($C148)-$A$120:$A$165)*'Cálculos'!$E$98)+1400)+'Cálculos'!$E$123)*'Cálculos'!$E$234)+('Cálculos'!$E$197+(($C148)-$A$120:$A$165)*'Cálculos'!$E$98)*('Cálculos'!$E$225+'Cálculos'!$E$124*(1+2.78*('Cálculos'!$E$197+(($C148)-$A$120:$A$165)*'Cálculos'!$E$98)/(('Cálculos'!$E$197+(($C148)-$A$120:$A$165)*'Cálculos'!$E$98)+1400)+'Cálculos'!$E$122)*'Cálculos'!$E$230+'Cálculos'!$E$125*(1+2.78*('Cálculos'!$E$197+(($C148)-$A$120:$A$165)*'Cálculos'!$E$98)/(('Cálculos'!$E$197+(($C148)-$A$120:$A$165)*'Cálculos'!$E$98)+1400)+'Cálculos'!$E$123)*'Cálculos'!$E$235)+('Cálculos'!$E$201*(1+'Cálculos'!$E$202+$A$120:$A$165*('Cálculos'!$E$290=2)*'Cálculos'!$E$101)+'Cálculos'!$E$203)*('Cálculos'!$E$226+'Cálculos'!$E$124*(1+2.78*('Cálculos'!$E$197+(($C148)-$A$120:$A$165)*'Cálculos'!$E$98)/(('Cálculos'!$E$197+(($C148)-$A$120:$A$165)*'Cálculos'!$E$98)+1400)+'Cálculos'!$E$122)*'Cálculos'!$E$231+'Cálculos'!$E$125*(1+2.78*('Cálculos'!$E$197+(($C148)-$A$120:$A$165)*'Cálculos'!$E$98)/(('Cálculos'!$E$197+(($C148)-$A$120:$A$165)*'Cálculos'!$E$98)+1400)+'Cálculos'!$E$123)*'Cálculos'!$E$236)+('Cálculos'!$E$204*(1+'Cálculos'!$E$205+$A$120:$A$165*('Cálculos'!$E$290=3)*'Cálculos'!$E$103)+'Cálculos'!$E$206)*('Cálculos'!$E$227+'Cálculos'!$E$124*(1+2.78*('Cálculos'!$E$197+(($C148)-$A$120:$A$165)*'Cálculos'!$E$98)/(('Cálculos'!$E$197+(($C148)-$A$120:$A$165)*'Cálculos'!$E$98)+1400)+'Cálculos'!$E$122)*'Cálculos'!$E$232+'Cálculos'!$E$125*(1+2.78*('Cálculos'!$E$197+(($C148)-$A$120:$A$165)*'Cálculos'!$E$98)/(('Cálculos'!$E$197+(($C148)-$A$120:$A$165)*'Cálculos'!$E$98)+1400)+'Cálculos'!$E$123)*'Cálculos'!$E$237)+('Cálculos'!$E$228+'Cálculos'!$E$124*(1+2.78*('Cálculos'!$E$197+(($C148)-$A$120:$A$165)*'Cálculos'!$E$98)/(('Cálculos'!$E$197+(($C148)-$A$120:$A$165)*'Cálculos'!$E$98)+1400)+'Cálculos'!$E$122)*'Cálculos'!$E$233+'Cálculos'!$E$125*(1+2.78*('Cálculos'!$E$197+(($C148)-$A$120:$A$165)*'Cálculos'!$E$98)/(('Cálculos'!$E$197+(($C148)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148)-$A$120:$A$165)*'Cálculos'!$E$98)/(('Cálculos'!$E$198+(($C148)-$A$120:$A$165)*'Cálculos'!$E$98)+1400)+'Cálculos'!$E$122)*'Cálculos'!$E$244+'Cálculos'!$E$125*(1+2.78*('Cálculos'!$E$198+(($C148)-$A$120:$A$165)*'Cálculos'!$E$98)/(('Cálculos'!$E$198+(($C148)-$A$120:$A$165)*'Cálculos'!$E$98)+1400)+'Cálculos'!$E$123)*'Cálculos'!$E$249)+('Cálculos'!$E$198+(($C148)-$A$120:$A$165)*'Cálculos'!$E$98)*('Cálculos'!$E$240+'Cálculos'!$E$124*(1+2.78*('Cálculos'!$E$198+(($C148)-$A$120:$A$165)*'Cálculos'!$E$98)/(('Cálculos'!$E$198+(($C148)-$A$120:$A$165)*'Cálculos'!$E$98)+1400)+'Cálculos'!$E$122)*'Cálculos'!$E$245+'Cálculos'!$E$125*(1+2.78*('Cálculos'!$E$198+(($C148)-$A$120:$A$165)*'Cálculos'!$E$98)/(('Cálculos'!$E$198+(($C148)-$A$120:$A$165)*'Cálculos'!$E$98)+1400)+'Cálculos'!$E$123)*'Cálculos'!$E$250)+('Cálculos'!$E$201*(1+'Cálculos'!$E$202+$A$120:$A$165*('Cálculos'!$E$290=2)*'Cálculos'!$E$101)+'Cálculos'!$E$203)*('Cálculos'!$E$241+'Cálculos'!$E$124*(1+2.78*('Cálculos'!$E$198+(($C148)-$A$120:$A$165)*'Cálculos'!$E$98)/(('Cálculos'!$E$198+(($C148)-$A$120:$A$165)*'Cálculos'!$E$98)+1400)+'Cálculos'!$E$122)*'Cálculos'!$E$246+'Cálculos'!$E$125*(1+2.78*('Cálculos'!$E$198+(($C148)-$A$120:$A$165)*'Cálculos'!$E$98)/(('Cálculos'!$E$198+(($C148)-$A$120:$A$165)*'Cálculos'!$E$98)+1400)+'Cálculos'!$E$123)*'Cálculos'!$E$251)+('Cálculos'!$E$204*(1+'Cálculos'!$E$205+$A$120:$A$165*('Cálculos'!$E$290=3)*'Cálculos'!$E$103)+'Cálculos'!$E$206)*('Cálculos'!$E$242+'Cálculos'!$E$124*(1+2.78*('Cálculos'!$E$198+(($C148)-$A$120:$A$165)*'Cálculos'!$E$98)/(('Cálculos'!$E$198+(($C148)-$A$120:$A$165)*'Cálculos'!$E$98)+1400)+'Cálculos'!$E$122)*'Cálculos'!$E$247+'Cálculos'!$E$125*(1+2.78*('Cálculos'!$E$198+(($C148)-$A$120:$A$165)*'Cálculos'!$E$98)/(('Cálculos'!$E$198+(($C148)-$A$120:$A$165)*'Cálculos'!$E$98)+1400)+'Cálculos'!$E$123)*'Cálculos'!$E$252)+('Cálculos'!$E$243+'Cálculos'!$E$124*(1+2.78*('Cálculos'!$E$198+(($C148)-$A$120:$A$165)*'Cálculos'!$E$98)/(('Cálculos'!$E$198+(($C148)-$A$120:$A$165)*'Cálculos'!$E$98)+1400)+'Cálculos'!$E$122)*'Cálculos'!$E$248+'Cálculos'!$E$125*(1+2.78*('Cálculos'!$E$198+(($C148)-$A$120:$A$165)*'Cálculos'!$E$98)/(('Cálculos'!$E$198+(($C148)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148)-$A$120:$A$165)*'Cálculos'!$E$98)/(('Cálculos'!$E$199+(($C148)-$A$120:$A$165)*'Cálculos'!$E$98)+1400)+'Cálculos'!$E$122)*'Cálculos'!$E$259+'Cálculos'!$E$125*(1+2.78*('Cálculos'!$E$199+(($C148)-$A$120:$A$165)*'Cálculos'!$E$98)/(('Cálculos'!$E$199+(($C148)-$A$120:$A$165)*'Cálculos'!$E$98)+1400)+'Cálculos'!$E$123)*'Cálculos'!$E$264)+('Cálculos'!$E$199+(($C148)-$A$120:$A$165)*'Cálculos'!$E$98)*('Cálculos'!$E$255+'Cálculos'!$E$124*(1+2.78*('Cálculos'!$E$199+(($C148)-$A$120:$A$165)*'Cálculos'!$E$98)/(('Cálculos'!$E$199+(($C148)-$A$120:$A$165)*'Cálculos'!$E$98)+1400)+'Cálculos'!$E$122)*'Cálculos'!$E$260+'Cálculos'!$E$125*(1+2.78*('Cálculos'!$E$199+(($C148)-$A$120:$A$165)*'Cálculos'!$E$98)/(('Cálculos'!$E$199+(($C148)-$A$120:$A$165)*'Cálculos'!$E$98)+1400)+'Cálculos'!$E$123)*'Cálculos'!$E$265)+('Cálculos'!$E$201*(1+'Cálculos'!$E$202+$A$120:$A$165*('Cálculos'!$E$290=2)*'Cálculos'!$E$101)+'Cálculos'!$E$203)*('Cálculos'!$E$256+'Cálculos'!$E$124*(1+2.78*('Cálculos'!$E$199+(($C148)-$A$120:$A$165)*'Cálculos'!$E$98)/(('Cálculos'!$E$199+(($C148)-$A$120:$A$165)*'Cálculos'!$E$98)+1400)+'Cálculos'!$E$122)*'Cálculos'!$E$261+'Cálculos'!$E$125*(1+2.78*('Cálculos'!$E$199+(($C148)-$A$120:$A$165)*'Cálculos'!$E$98)/(('Cálculos'!$E$199+(($C148)-$A$120:$A$165)*'Cálculos'!$E$98)+1400)+'Cálculos'!$E$123)*'Cálculos'!$E$266)+('Cálculos'!$E$204*(1+'Cálculos'!$E$205+$A$120:$A$165*('Cálculos'!$E$290=3)*'Cálculos'!$E$103)+'Cálculos'!$E$206)*('Cálculos'!$E$257+'Cálculos'!$E$124*(1+2.78*('Cálculos'!$E$199+(($C148)-$A$120:$A$165)*'Cálculos'!$E$98)/(('Cálculos'!$E$199+(($C148)-$A$120:$A$165)*'Cálculos'!$E$98)+1400)+'Cálculos'!$E$122)*'Cálculos'!$E$262+'Cálculos'!$E$125*(1+2.78*('Cálculos'!$E$199+(($C148)-$A$120:$A$165)*'Cálculos'!$E$98)/(('Cálculos'!$E$199+(($C148)-$A$120:$A$165)*'Cálculos'!$E$98)+1400)+'Cálculos'!$E$123)*'Cálculos'!$E$267)+('Cálculos'!$E$258+'Cálculos'!$E$124*(1+2.78*('Cálculos'!$E$199+(($C148)-$A$120:$A$165)*'Cálculos'!$E$98)/(('Cálculos'!$E$199+(($C148)-$A$120:$A$165)*'Cálculos'!$E$98)+1400)+'Cálculos'!$E$122)*'Cálculos'!$E$263+'Cálculos'!$E$125*(1+2.78*('Cálculos'!$E$199+(($C148)-$A$120:$A$165)*'Cálculos'!$E$98)/(('Cálculos'!$E$199+(($C148)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148)-$A$120:$A$165)*'Cálculos'!$E$98)/(('Cálculos'!$E$200+(($C148)-$A$120:$A$165)*'Cálculos'!$E$98)+1400)+'Cálculos'!$E$122)*'Cálculos'!$E$274+'Cálculos'!$E$125*(1+2.78*('Cálculos'!$E$200+(($C148)-$A$120:$A$165)*'Cálculos'!$E$98)/(('Cálculos'!$E$200+(($C148)-$A$120:$A$165)*'Cálculos'!$E$98)+1400)+'Cálculos'!$E$123)*'Cálculos'!$E$279)+('Cálculos'!$E$200+(($C148)-$A$120:$A$165)*'Cálculos'!$E$98)*('Cálculos'!$E$270+'Cálculos'!$E$124*(1+2.78*('Cálculos'!$E$200+(($C148)-$A$120:$A$165)*'Cálculos'!$E$98)/(('Cálculos'!$E$200+(($C148)-$A$120:$A$165)*'Cálculos'!$E$98)+1400)+'Cálculos'!$E$122)*'Cálculos'!$E$275+'Cálculos'!$E$125*(1+2.78*('Cálculos'!$E$200+(($C148)-$A$120:$A$165)*'Cálculos'!$E$98)/(('Cálculos'!$E$200+(($C148)-$A$120:$A$165)*'Cálculos'!$E$98)+1400)+'Cálculos'!$E$123)*'Cálculos'!$E$280)+('Cálculos'!$E$201*(1+'Cálculos'!$E$202+$A$120:$A$165*('Cálculos'!$E$290=2)*'Cálculos'!$E$101)+'Cálculos'!$E$203)*('Cálculos'!$E$271+'Cálculos'!$E$124*(1+2.78*('Cálculos'!$E$200+(($C148)-$A$120:$A$165)*'Cálculos'!$E$98)/(('Cálculos'!$E$200+(($C148)-$A$120:$A$165)*'Cálculos'!$E$98)+1400)+'Cálculos'!$E$122)*'Cálculos'!$E$276+'Cálculos'!$E$125*(1+2.78*('Cálculos'!$E$200+(($C148)-$A$120:$A$165)*'Cálculos'!$E$98)/(('Cálculos'!$E$200+(($C148)-$A$120:$A$165)*'Cálculos'!$E$98)+1400)+'Cálculos'!$E$123)*'Cálculos'!$E$281)+('Cálculos'!$E$204*(1+'Cálculos'!$E$205+$A$120:$A$165*('Cálculos'!$E$290=3)*'Cálculos'!$E$103)+'Cálculos'!$E$206)*('Cálculos'!$E$272+'Cálculos'!$E$124*(1+2.78*('Cálculos'!$E$200+(($C148)-$A$120:$A$165)*'Cálculos'!$E$98)/(('Cálculos'!$E$200+(($C148)-$A$120:$A$165)*'Cálculos'!$E$98)+1400)+'Cálculos'!$E$122)*'Cálculos'!$E$277+'Cálculos'!$E$125*(1+2.78*('Cálculos'!$E$200+(($C148)-$A$120:$A$165)*'Cálculos'!$E$98)/(('Cálculos'!$E$200+(($C148)-$A$120:$A$165)*'Cálculos'!$E$98)+1400)+'Cálculos'!$E$123)*'Cálculos'!$E$282)+('Cálculos'!$E$273+'Cálculos'!$E$124*(1+2.78*('Cálculos'!$E$200+(($C148)-$A$120:$A$165)*'Cálculos'!$E$98)/(('Cálculos'!$E$200+(($C148)-$A$120:$A$165)*'Cálculos'!$E$98)+1400)+'Cálculos'!$E$122)*'Cálculos'!$E$278+'Cálculos'!$E$125*(1+2.78*('Cálculos'!$E$200+(($C148)-$A$120:$A$165)*'Cálculos'!$E$98)/(('Cálculos'!$E$200+(($C148)-$A$120:$A$165)*'Cálculos'!$E$98)+1400)+'Cálculos'!$E$123)*'Cálculos'!$E$283)))))</f>
        <v>0</v>
      </c>
      <c r="E148" s="32">
        <f>IF(OR($C148&lt;0,'Cálculos'!$E$6=""),0,$B148*$D148)</f>
        <v>0</v>
      </c>
      <c r="F148" s="2"/>
      <c r="G148" s="30">
        <f>($A148&lt;=$B$167)*($A148&lt;='Cálculos'!$E$294)*(($B$167)-$A148&lt;='Cálculos'!$E$295)*(1+MIN(('Cálculos'!$E$207+$A148*'Cálculos'!$E$95),1)*('Cálculos'!$E$208+(($B$167)-$A148)*'Cálculos'!$E$96))</f>
        <v>0</v>
      </c>
      <c r="H148" s="31">
        <f>IF($B$168&lt;0,0,($A148&lt;=$B$168)*($A148&lt;='Cálculos'!$E$301)*(($B$168)-$A148&lt;='Cálculos'!$E$297)*(('Cálculos'!$E$185*(1+'Cálculos'!$E$186+$A148*('Cálculos'!$E$290=1)*'Cálculos'!$E$97+'Cálculos'!$E$305)+'Cálculos'!$E$191)*('Cálculos'!$E$209+'Cálculos'!$E$124*(1+2.78*('Cálculos'!$E$196+(($B$168)-$A148)*'Cálculos'!$E$98)/(('Cálculos'!$E$196+(($B$168)-$A148)*'Cálculos'!$E$98)+1400)+'Cálculos'!$E$122)*'Cálculos'!$E$214+'Cálculos'!$E$125*(1+2.78*('Cálculos'!$E$196+(($B$168)-$A148)*'Cálculos'!$E$98)/(('Cálculos'!$E$196+(($B$168)-$A148)*'Cálculos'!$E$98)+1400)+'Cálculos'!$E$123)*'Cálculos'!$E$219)+('Cálculos'!$E$196+(($B$168)-$A148)*'Cálculos'!$E$98)*('Cálculos'!$E$210+'Cálculos'!$E$124*(1+2.78*('Cálculos'!$E$196+(($B$168)-$A148)*'Cálculos'!$E$98)/(('Cálculos'!$E$196+(($B$168)-$A148)*'Cálculos'!$E$98)+1400)+'Cálculos'!$E$122)*'Cálculos'!$E$215+'Cálculos'!$E$125*(1+2.78*('Cálculos'!$E$196+(($B$168)-$A148)*'Cálculos'!$E$98)/(('Cálculos'!$E$196+(($B$168)-$A148)*'Cálculos'!$E$98)+1400)+'Cálculos'!$E$123)*'Cálculos'!$E$220)+('Cálculos'!$E$201*(1+'Cálculos'!$E$202+$A148*('Cálculos'!$E$290=2)*'Cálculos'!$E$101)+'Cálculos'!$E$203)*('Cálculos'!$E$211+'Cálculos'!$E$124*(1+2.78*('Cálculos'!$E$196+(($B$168)-$A148)*'Cálculos'!$E$98)/(('Cálculos'!$E$196+(($B$168)-$A148)*'Cálculos'!$E$98)+1400)+'Cálculos'!$E$122)*'Cálculos'!$E$216+'Cálculos'!$E$125*(1+2.78*('Cálculos'!$E$196+(($B$168)-$A148)*'Cálculos'!$E$98)/(('Cálculos'!$E$196+(($B$168)-$A148)*'Cálculos'!$E$98)+1400)+'Cálculos'!$E$123)*'Cálculos'!$E$221)+('Cálculos'!$E$204*(1+'Cálculos'!$E$205+$A148*('Cálculos'!$E$290=3)*'Cálculos'!$E$103)+'Cálculos'!$E$206)*('Cálculos'!$E$212+'Cálculos'!$E$124*(1+2.78*('Cálculos'!$E$196+(($B$168)-$A148)*'Cálculos'!$E$98)/(('Cálculos'!$E$196+(($B$168)-$A148)*'Cálculos'!$E$98)+1400)+'Cálculos'!$E$122)*'Cálculos'!$E$217+'Cálculos'!$E$125*(1+2.78*('Cálculos'!$E$196+(($B$168)-$A148)*'Cálculos'!$E$98)/(('Cálculos'!$E$196+(($B$168)-$A148)*'Cálculos'!$E$98)+1400)+'Cálculos'!$E$123)*'Cálculos'!$E$222)+('Cálculos'!$E$213+'Cálculos'!$E$124*(1+2.78*('Cálculos'!$E$196+(($B$168)-$A148)*'Cálculos'!$E$98)/(('Cálculos'!$E$196+(($B$168)-$A148)*'Cálculos'!$E$98)+1400)+'Cálculos'!$E$122)*'Cálculos'!$E$218+'Cálculos'!$E$125*(1+2.78*('Cálculos'!$E$196+(($B$168)-$A148)*'Cálculos'!$E$98)/(('Cálculos'!$E$196+(($B$168)-$A148)*'Cálculos'!$E$98)+1400)+'Cálculos'!$E$123)*'Cálculos'!$E$223)+('Cálculos'!$E$185*(1+'Cálculos'!$E$187+$A148*('Cálculos'!$E$290=1)*'Cálculos'!$E$97+'Cálculos'!$E$305)+'Cálculos'!$E$192)*('Cálculos'!$E$224+'Cálculos'!$E$124*(1+2.78*('Cálculos'!$E$197+(($B$168)-$A148)*'Cálculos'!$E$98)/(('Cálculos'!$E$197+(($B$168)-$A148)*'Cálculos'!$E$98)+1400)+'Cálculos'!$E$122)*'Cálculos'!$E$229+'Cálculos'!$E$125*(1+2.78*('Cálculos'!$E$197+(($B$168)-$A148)*'Cálculos'!$E$98)/(('Cálculos'!$E$197+(($B$168)-$A148)*'Cálculos'!$E$98)+1400)+'Cálculos'!$E$123)*'Cálculos'!$E$234)+('Cálculos'!$E$197+(($B$168)-$A148)*'Cálculos'!$E$98)*('Cálculos'!$E$225+'Cálculos'!$E$124*(1+2.78*('Cálculos'!$E$197+(($B$168)-$A148)*'Cálculos'!$E$98)/(('Cálculos'!$E$197+(($B$168)-$A148)*'Cálculos'!$E$98)+1400)+'Cálculos'!$E$122)*'Cálculos'!$E$230+'Cálculos'!$E$125*(1+2.78*('Cálculos'!$E$197+(($B$168)-$A148)*'Cálculos'!$E$98)/(('Cálculos'!$E$197+(($B$168)-$A148)*'Cálculos'!$E$98)+1400)+'Cálculos'!$E$123)*'Cálculos'!$E$235)+('Cálculos'!$E$201*(1+'Cálculos'!$E$202+$A148*('Cálculos'!$E$290=2)*'Cálculos'!$E$101)+'Cálculos'!$E$203)*('Cálculos'!$E$226+'Cálculos'!$E$124*(1+2.78*('Cálculos'!$E$197+(($B$168)-$A148)*'Cálculos'!$E$98)/(('Cálculos'!$E$197+(($B$168)-$A148)*'Cálculos'!$E$98)+1400)+'Cálculos'!$E$122)*'Cálculos'!$E$231+'Cálculos'!$E$125*(1+2.78*('Cálculos'!$E$197+(($B$168)-$A148)*'Cálculos'!$E$98)/(('Cálculos'!$E$197+(($B$168)-$A148)*'Cálculos'!$E$98)+1400)+'Cálculos'!$E$123)*'Cálculos'!$E$236)+('Cálculos'!$E$204*(1+'Cálculos'!$E$205+$A148*('Cálculos'!$E$290=3)*'Cálculos'!$E$103)+'Cálculos'!$E$206)*('Cálculos'!$E$227+'Cálculos'!$E$124*(1+2.78*('Cálculos'!$E$197+(($B$168)-$A148)*'Cálculos'!$E$98)/(('Cálculos'!$E$197+(($B$168)-$A148)*'Cálculos'!$E$98)+1400)+'Cálculos'!$E$122)*'Cálculos'!$E$232+'Cálculos'!$E$125*(1+2.78*('Cálculos'!$E$197+(($B$168)-$A148)*'Cálculos'!$E$98)/(('Cálculos'!$E$197+(($B$168)-$A148)*'Cálculos'!$E$98)+1400)+'Cálculos'!$E$123)*'Cálculos'!$E$237)+('Cálculos'!$E$228+'Cálculos'!$E$124*(1+2.78*('Cálculos'!$E$197+(($B$168)-$A148)*'Cálculos'!$E$98)/(('Cálculos'!$E$197+(($B$168)-$A148)*'Cálculos'!$E$98)+1400)+'Cálculos'!$E$122)*'Cálculos'!$E$233+'Cálculos'!$E$125*(1+2.78*('Cálculos'!$E$197+(($B$168)-$A148)*'Cálculos'!$E$98)/(('Cálculos'!$E$197+(($B$168)-$A148)*'Cálculos'!$E$98)+1400)+'Cálculos'!$E$123)*'Cálculos'!$E$238)+('Cálculos'!$E$185*(1+'Cálculos'!$E$188+$A148*('Cálculos'!$E$290=1)*'Cálculos'!$E$97+'Cálculos'!$E$305)+'Cálculos'!$E$193)*('Cálculos'!$E$239+'Cálculos'!$E$124*(1+2.78*('Cálculos'!$E$198+(($B$168)-$A148)*'Cálculos'!$E$98)/(('Cálculos'!$E$198+(($B$168)-$A148)*'Cálculos'!$E$98)+1400)+'Cálculos'!$E$122)*'Cálculos'!$E$244+'Cálculos'!$E$125*(1+2.78*('Cálculos'!$E$198+(($B$168)-$A148)*'Cálculos'!$E$98)/(('Cálculos'!$E$198+(($B$168)-$A148)*'Cálculos'!$E$98)+1400)+'Cálculos'!$E$123)*'Cálculos'!$E$249)+('Cálculos'!$E$198+(($B$168)-$A148)*'Cálculos'!$E$98)*('Cálculos'!$E$240+'Cálculos'!$E$124*(1+2.78*('Cálculos'!$E$198+(($B$168)-$A148)*'Cálculos'!$E$98)/(('Cálculos'!$E$198+(($B$168)-$A148)*'Cálculos'!$E$98)+1400)+'Cálculos'!$E$122)*'Cálculos'!$E$245+'Cálculos'!$E$125*(1+2.78*('Cálculos'!$E$198+(($B$168)-$A148)*'Cálculos'!$E$98)/(('Cálculos'!$E$198+(($B$168)-$A148)*'Cálculos'!$E$98)+1400)+'Cálculos'!$E$123)*'Cálculos'!$E$250)+('Cálculos'!$E$201*(1+'Cálculos'!$E$202+$A148*('Cálculos'!$E$290=2)*'Cálculos'!$E$101)+'Cálculos'!$E$203)*('Cálculos'!$E$241+'Cálculos'!$E$124*(1+2.78*('Cálculos'!$E$198+(($B$168)-$A148)*'Cálculos'!$E$98)/(('Cálculos'!$E$198+(($B$168)-$A148)*'Cálculos'!$E$98)+1400)+'Cálculos'!$E$122)*'Cálculos'!$E$246+'Cálculos'!$E$125*(1+2.78*('Cálculos'!$E$198+(($B$168)-$A148)*'Cálculos'!$E$98)/(('Cálculos'!$E$198+(($B$168)-$A148)*'Cálculos'!$E$98)+1400)+'Cálculos'!$E$123)*'Cálculos'!$E$251)+('Cálculos'!$E$204*(1+'Cálculos'!$E$205+$A148*('Cálculos'!$E$290=3)*'Cálculos'!$E$103)+'Cálculos'!$E$206)*('Cálculos'!$E$242+'Cálculos'!$E$124*(1+2.78*('Cálculos'!$E$198+(($B$168)-$A148)*'Cálculos'!$E$98)/(('Cálculos'!$E$198+(($B$168)-$A148)*'Cálculos'!$E$98)+1400)+'Cálculos'!$E$122)*'Cálculos'!$E$247+'Cálculos'!$E$125*(1+2.78*('Cálculos'!$E$198+(($B$168)-$A148)*'Cálculos'!$E$98)/(('Cálculos'!$E$198+(($B$168)-$A148)*'Cálculos'!$E$98)+1400)+'Cálculos'!$E$123)*'Cálculos'!$E$252)+('Cálculos'!$E$243+'Cálculos'!$E$124*(1+2.78*('Cálculos'!$E$198+(($B$168)-$A148)*'Cálculos'!$E$98)/(('Cálculos'!$E$198+(($B$168)-$A148)*'Cálculos'!$E$98)+1400)+'Cálculos'!$E$122)*'Cálculos'!$E$248+'Cálculos'!$E$125*(1+2.78*('Cálculos'!$E$198+(($B$168)-$A148)*'Cálculos'!$E$98)/(('Cálculos'!$E$198+(($B$168)-$A148)*'Cálculos'!$E$98)+1400)+'Cálculos'!$E$123)*'Cálculos'!$E$253)+('Cálculos'!$E$185*(1+'Cálculos'!$E$189+$A148*('Cálculos'!$E$290=1)*'Cálculos'!$E$97+'Cálculos'!$E$305)+'Cálculos'!$E$194)*('Cálculos'!$E$254+'Cálculos'!$E$124*(1+2.78*('Cálculos'!$E$199+(($B$168)-$A148)*'Cálculos'!$E$98)/(('Cálculos'!$E$199+(($B$168)-$A148)*'Cálculos'!$E$98)+1400)+'Cálculos'!$E$122)*'Cálculos'!$E$259+'Cálculos'!$E$125*(1+2.78*('Cálculos'!$E$199+(($B$168)-$A148)*'Cálculos'!$E$98)/(('Cálculos'!$E$199+(($B$168)-$A148)*'Cálculos'!$E$98)+1400)+'Cálculos'!$E$123)*'Cálculos'!$E$264)+('Cálculos'!$E$199+(($B$168)-$A148)*'Cálculos'!$E$98)*('Cálculos'!$E$255+'Cálculos'!$E$124*(1+2.78*('Cálculos'!$E$199+(($B$168)-$A148)*'Cálculos'!$E$98)/(('Cálculos'!$E$199+(($B$168)-$A148)*'Cálculos'!$E$98)+1400)+'Cálculos'!$E$122)*'Cálculos'!$E$260+'Cálculos'!$E$125*(1+2.78*('Cálculos'!$E$199+(($B$168)-$A148)*'Cálculos'!$E$98)/(('Cálculos'!$E$199+(($B$168)-$A148)*'Cálculos'!$E$98)+1400)+'Cálculos'!$E$123)*'Cálculos'!$E$265)+('Cálculos'!$E$201*(1+'Cálculos'!$E$202+$A148*('Cálculos'!$E$290=2)*'Cálculos'!$E$101)+'Cálculos'!$E$203)*('Cálculos'!$E$256+'Cálculos'!$E$124*(1+2.78*('Cálculos'!$E$199+(($B$168)-$A148)*'Cálculos'!$E$98)/(('Cálculos'!$E$199+(($B$168)-$A148)*'Cálculos'!$E$98)+1400)+'Cálculos'!$E$122)*'Cálculos'!$E$261+'Cálculos'!$E$125*(1+2.78*('Cálculos'!$E$199+(($B$168)-$A148)*'Cálculos'!$E$98)/(('Cálculos'!$E$199+(($B$168)-$A148)*'Cálculos'!$E$98)+1400)+'Cálculos'!$E$123)*'Cálculos'!$E$266)+('Cálculos'!$E$204*(1+'Cálculos'!$E$205+$A148*('Cálculos'!$E$290=3)*'Cálculos'!$E$103)+'Cálculos'!$E$206)*('Cálculos'!$E$257+'Cálculos'!$E$124*(1+2.78*('Cálculos'!$E$199+(($B$168)-$A148)*'Cálculos'!$E$98)/(('Cálculos'!$E$199+(($B$168)-$A148)*'Cálculos'!$E$98)+1400)+'Cálculos'!$E$122)*'Cálculos'!$E$262+'Cálculos'!$E$125*(1+2.78*('Cálculos'!$E$199+(($B$168)-$A148)*'Cálculos'!$E$98)/(('Cálculos'!$E$199+(($B$168)-$A148)*'Cálculos'!$E$98)+1400)+'Cálculos'!$E$123)*'Cálculos'!$E$267)+('Cálculos'!$E$258+'Cálculos'!$E$124*(1+2.78*('Cálculos'!$E$199+(($B$168)-$A148)*'Cálculos'!$E$98)/(('Cálculos'!$E$199+(($B$168)-$A148)*'Cálculos'!$E$98)+1400)+'Cálculos'!$E$122)*'Cálculos'!$E$263+'Cálculos'!$E$125*(1+2.78*('Cálculos'!$E$199+(($B$168)-$A148)*'Cálculos'!$E$98)/(('Cálculos'!$E$199+(($B$168)-$A148)*'Cálculos'!$E$98)+1400)+'Cálculos'!$E$123)*'Cálculos'!$E$268)+('Cálculos'!$E$185*(1+'Cálculos'!$E$190+$A148*('Cálculos'!$E$290=1)*'Cálculos'!$E$97+'Cálculos'!$E$305)+'Cálculos'!$E$195)*('Cálculos'!$E$269+'Cálculos'!$E$124*(1+2.78*('Cálculos'!$E$200+(($B$168)-$A148)*'Cálculos'!$E$98)/(('Cálculos'!$E$200+(($B$168)-$A148)*'Cálculos'!$E$98)+1400)+'Cálculos'!$E$122)*'Cálculos'!$E$274+'Cálculos'!$E$125*(1+2.78*('Cálculos'!$E$200+(($B$168)-$A148)*'Cálculos'!$E$98)/(('Cálculos'!$E$200+(($B$168)-$A148)*'Cálculos'!$E$98)+1400)+'Cálculos'!$E$123)*'Cálculos'!$E$279)+('Cálculos'!$E$200+(($B$168)-$A148)*'Cálculos'!$E$98)*('Cálculos'!$E$270+'Cálculos'!$E$124*(1+2.78*('Cálculos'!$E$200+(($B$168)-$A148)*'Cálculos'!$E$98)/(('Cálculos'!$E$200+(($B$168)-$A148)*'Cálculos'!$E$98)+1400)+'Cálculos'!$E$122)*'Cálculos'!$E$275+'Cálculos'!$E$125*(1+2.78*('Cálculos'!$E$200+(($B$168)-$A148)*'Cálculos'!$E$98)/(('Cálculos'!$E$200+(($B$168)-$A148)*'Cálculos'!$E$98)+1400)+'Cálculos'!$E$123)*'Cálculos'!$E$280)+('Cálculos'!$E$201*(1+'Cálculos'!$E$202+$A148*('Cálculos'!$E$290=2)*'Cálculos'!$E$101)+'Cálculos'!$E$203)*('Cálculos'!$E$271+'Cálculos'!$E$124*(1+2.78*('Cálculos'!$E$200+(($B$168)-$A148)*'Cálculos'!$E$98)/(('Cálculos'!$E$200+(($B$168)-$A148)*'Cálculos'!$E$98)+1400)+'Cálculos'!$E$122)*'Cálculos'!$E$276+'Cálculos'!$E$125*(1+2.78*('Cálculos'!$E$200+(($B$168)-$A148)*'Cálculos'!$E$98)/(('Cálculos'!$E$200+(($B$168)-$A148)*'Cálculos'!$E$98)+1400)+'Cálculos'!$E$123)*'Cálculos'!$E$281)+('Cálculos'!$E$204*(1+'Cálculos'!$E$205+$A148*('Cálculos'!$E$290=3)*'Cálculos'!$E$103)+'Cálculos'!$E$206)*('Cálculos'!$E$272+'Cálculos'!$E$124*(1+2.78*('Cálculos'!$E$200+(($B$168)-$A148)*'Cálculos'!$E$98)/(('Cálculos'!$E$200+(($B$168)-$A148)*'Cálculos'!$E$98)+1400)+'Cálculos'!$E$122)*'Cálculos'!$E$277+'Cálculos'!$E$125*(1+2.78*('Cálculos'!$E$200+(($B$168)-$A148)*'Cálculos'!$E$98)/(('Cálculos'!$E$200+(($B$168)-$A148)*'Cálculos'!$E$98)+1400)+'Cálculos'!$E$123)*'Cálculos'!$E$282)+('Cálculos'!$E$273+'Cálculos'!$E$124*(1+2.78*('Cálculos'!$E$200+(($B$168)-$A148)*'Cálculos'!$E$98)/(('Cálculos'!$E$200+(($B$168)-$A148)*'Cálculos'!$E$98)+1400)+'Cálculos'!$E$122)*'Cálculos'!$E$278+'Cálculos'!$E$125*(1+2.78*('Cálculos'!$E$200+(($B$168)-$A148)*'Cálculos'!$E$98)/(('Cálculos'!$E$200+(($B$168)-$A148)*'Cálculos'!$E$98)+1400)+'Cálculos'!$E$123)*'Cálculos'!$E$283)))</f>
        <v>0</v>
      </c>
    </row>
    <row r="149" ht="15.75" customHeight="1">
      <c r="A149" s="2">
        <v>29.0</v>
      </c>
      <c r="B149" s="30">
        <f>SUMPRODUCT(MAX(($A$120:$A$165&lt;=$A149)*($A$120:$A$165&lt;='Cálculos'!$E$294)*(($A149)-$A$120:$A$165&lt;='Cálculos'!$E$295)*(1+(('Cálculos'!$E$207+$A$120:$A$165*'Cálculos'!$E$95)-(('Cálculos'!$E$207+$A$120:$A$165*'Cálculos'!$E$95)&gt;1)*(('Cálculos'!$E$207+$A$120:$A$165*'Cálculos'!$E$95)-1))*('Cálculos'!$E$208+(($A149)-$A$120:$A$165)*'Cálculos'!$E$96))))</f>
        <v>2.444928</v>
      </c>
      <c r="C149" s="2">
        <f>'Cálculos'!$E$303-$A149</f>
        <v>-16</v>
      </c>
      <c r="D149" s="31">
        <f>IF($C149&lt;0,0,SUMPRODUCT(MAX(($A$120:$A$165&lt;=$C149)*($A$120:$A$165&lt;='Cálculos'!$E$301)*(($C149)-$A$120:$A$165&lt;='Cálculos'!$E$297)*(('Cálculos'!$E$185*(1+'Cálculos'!$E$186+$A$120:$A$165*('Cálculos'!$E$290=1)*'Cálculos'!$E$97+'Cálculos'!$E$305)+'Cálculos'!$E$191)*('Cálculos'!$E$209+'Cálculos'!$E$124*(1+2.78*('Cálculos'!$E$196+(($C149)-$A$120:$A$165)*'Cálculos'!$E$98)/(('Cálculos'!$E$196+(($C149)-$A$120:$A$165)*'Cálculos'!$E$98)+1400)+'Cálculos'!$E$122)*'Cálculos'!$E$214+'Cálculos'!$E$125*(1+2.78*('Cálculos'!$E$196+(($C149)-$A$120:$A$165)*'Cálculos'!$E$98)/(('Cálculos'!$E$196+(($C149)-$A$120:$A$165)*'Cálculos'!$E$98)+1400)+'Cálculos'!$E$123)*'Cálculos'!$E$219)+('Cálculos'!$E$196+(($C149)-$A$120:$A$165)*'Cálculos'!$E$98)*('Cálculos'!$E$210+'Cálculos'!$E$124*(1+2.78*('Cálculos'!$E$196+(($C149)-$A$120:$A$165)*'Cálculos'!$E$98)/(('Cálculos'!$E$196+(($C149)-$A$120:$A$165)*'Cálculos'!$E$98)+1400)+'Cálculos'!$E$122)*'Cálculos'!$E$215+'Cálculos'!$E$125*(1+2.78*('Cálculos'!$E$196+(($C149)-$A$120:$A$165)*'Cálculos'!$E$98)/(('Cálculos'!$E$196+(($C149)-$A$120:$A$165)*'Cálculos'!$E$98)+1400)+'Cálculos'!$E$123)*'Cálculos'!$E$220)+('Cálculos'!$E$201*(1+'Cálculos'!$E$202+$A$120:$A$165*('Cálculos'!$E$290=2)*'Cálculos'!$E$101)+'Cálculos'!$E$203)*('Cálculos'!$E$211+'Cálculos'!$E$124*(1+2.78*('Cálculos'!$E$196+(($C149)-$A$120:$A$165)*'Cálculos'!$E$98)/(('Cálculos'!$E$196+(($C149)-$A$120:$A$165)*'Cálculos'!$E$98)+1400)+'Cálculos'!$E$122)*'Cálculos'!$E$216+'Cálculos'!$E$125*(1+2.78*('Cálculos'!$E$196+(($C149)-$A$120:$A$165)*'Cálculos'!$E$98)/(('Cálculos'!$E$196+(($C149)-$A$120:$A$165)*'Cálculos'!$E$98)+1400)+'Cálculos'!$E$123)*'Cálculos'!$E$221)+('Cálculos'!$E$204*(1+'Cálculos'!$E$205+$A$120:$A$165*('Cálculos'!$E$290=3)*'Cálculos'!$E$103)+'Cálculos'!$E$206)*('Cálculos'!$E$212+'Cálculos'!$E$124*(1+2.78*('Cálculos'!$E$196+(($C149)-$A$120:$A$165)*'Cálculos'!$E$98)/(('Cálculos'!$E$196+(($C149)-$A$120:$A$165)*'Cálculos'!$E$98)+1400)+'Cálculos'!$E$122)*'Cálculos'!$E$217+'Cálculos'!$E$125*(1+2.78*('Cálculos'!$E$196+(($C149)-$A$120:$A$165)*'Cálculos'!$E$98)/(('Cálculos'!$E$196+(($C149)-$A$120:$A$165)*'Cálculos'!$E$98)+1400)+'Cálculos'!$E$123)*'Cálculos'!$E$222)+('Cálculos'!$E$213+'Cálculos'!$E$124*(1+2.78*('Cálculos'!$E$196+(($C149)-$A$120:$A$165)*'Cálculos'!$E$98)/(('Cálculos'!$E$196+(($C149)-$A$120:$A$165)*'Cálculos'!$E$98)+1400)+'Cálculos'!$E$122)*'Cálculos'!$E$218+'Cálculos'!$E$125*(1+2.78*('Cálculos'!$E$196+(($C149)-$A$120:$A$165)*'Cálculos'!$E$98)/(('Cálculos'!$E$196+(($C149)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149)-$A$120:$A$165)*'Cálculos'!$E$98)/(('Cálculos'!$E$197+(($C149)-$A$120:$A$165)*'Cálculos'!$E$98)+1400)+'Cálculos'!$E$122)*'Cálculos'!$E$229+'Cálculos'!$E$125*(1+2.78*('Cálculos'!$E$197+(($C149)-$A$120:$A$165)*'Cálculos'!$E$98)/(('Cálculos'!$E$197+(($C149)-$A$120:$A$165)*'Cálculos'!$E$98)+1400)+'Cálculos'!$E$123)*'Cálculos'!$E$234)+('Cálculos'!$E$197+(($C149)-$A$120:$A$165)*'Cálculos'!$E$98)*('Cálculos'!$E$225+'Cálculos'!$E$124*(1+2.78*('Cálculos'!$E$197+(($C149)-$A$120:$A$165)*'Cálculos'!$E$98)/(('Cálculos'!$E$197+(($C149)-$A$120:$A$165)*'Cálculos'!$E$98)+1400)+'Cálculos'!$E$122)*'Cálculos'!$E$230+'Cálculos'!$E$125*(1+2.78*('Cálculos'!$E$197+(($C149)-$A$120:$A$165)*'Cálculos'!$E$98)/(('Cálculos'!$E$197+(($C149)-$A$120:$A$165)*'Cálculos'!$E$98)+1400)+'Cálculos'!$E$123)*'Cálculos'!$E$235)+('Cálculos'!$E$201*(1+'Cálculos'!$E$202+$A$120:$A$165*('Cálculos'!$E$290=2)*'Cálculos'!$E$101)+'Cálculos'!$E$203)*('Cálculos'!$E$226+'Cálculos'!$E$124*(1+2.78*('Cálculos'!$E$197+(($C149)-$A$120:$A$165)*'Cálculos'!$E$98)/(('Cálculos'!$E$197+(($C149)-$A$120:$A$165)*'Cálculos'!$E$98)+1400)+'Cálculos'!$E$122)*'Cálculos'!$E$231+'Cálculos'!$E$125*(1+2.78*('Cálculos'!$E$197+(($C149)-$A$120:$A$165)*'Cálculos'!$E$98)/(('Cálculos'!$E$197+(($C149)-$A$120:$A$165)*'Cálculos'!$E$98)+1400)+'Cálculos'!$E$123)*'Cálculos'!$E$236)+('Cálculos'!$E$204*(1+'Cálculos'!$E$205+$A$120:$A$165*('Cálculos'!$E$290=3)*'Cálculos'!$E$103)+'Cálculos'!$E$206)*('Cálculos'!$E$227+'Cálculos'!$E$124*(1+2.78*('Cálculos'!$E$197+(($C149)-$A$120:$A$165)*'Cálculos'!$E$98)/(('Cálculos'!$E$197+(($C149)-$A$120:$A$165)*'Cálculos'!$E$98)+1400)+'Cálculos'!$E$122)*'Cálculos'!$E$232+'Cálculos'!$E$125*(1+2.78*('Cálculos'!$E$197+(($C149)-$A$120:$A$165)*'Cálculos'!$E$98)/(('Cálculos'!$E$197+(($C149)-$A$120:$A$165)*'Cálculos'!$E$98)+1400)+'Cálculos'!$E$123)*'Cálculos'!$E$237)+('Cálculos'!$E$228+'Cálculos'!$E$124*(1+2.78*('Cálculos'!$E$197+(($C149)-$A$120:$A$165)*'Cálculos'!$E$98)/(('Cálculos'!$E$197+(($C149)-$A$120:$A$165)*'Cálculos'!$E$98)+1400)+'Cálculos'!$E$122)*'Cálculos'!$E$233+'Cálculos'!$E$125*(1+2.78*('Cálculos'!$E$197+(($C149)-$A$120:$A$165)*'Cálculos'!$E$98)/(('Cálculos'!$E$197+(($C149)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149)-$A$120:$A$165)*'Cálculos'!$E$98)/(('Cálculos'!$E$198+(($C149)-$A$120:$A$165)*'Cálculos'!$E$98)+1400)+'Cálculos'!$E$122)*'Cálculos'!$E$244+'Cálculos'!$E$125*(1+2.78*('Cálculos'!$E$198+(($C149)-$A$120:$A$165)*'Cálculos'!$E$98)/(('Cálculos'!$E$198+(($C149)-$A$120:$A$165)*'Cálculos'!$E$98)+1400)+'Cálculos'!$E$123)*'Cálculos'!$E$249)+('Cálculos'!$E$198+(($C149)-$A$120:$A$165)*'Cálculos'!$E$98)*('Cálculos'!$E$240+'Cálculos'!$E$124*(1+2.78*('Cálculos'!$E$198+(($C149)-$A$120:$A$165)*'Cálculos'!$E$98)/(('Cálculos'!$E$198+(($C149)-$A$120:$A$165)*'Cálculos'!$E$98)+1400)+'Cálculos'!$E$122)*'Cálculos'!$E$245+'Cálculos'!$E$125*(1+2.78*('Cálculos'!$E$198+(($C149)-$A$120:$A$165)*'Cálculos'!$E$98)/(('Cálculos'!$E$198+(($C149)-$A$120:$A$165)*'Cálculos'!$E$98)+1400)+'Cálculos'!$E$123)*'Cálculos'!$E$250)+('Cálculos'!$E$201*(1+'Cálculos'!$E$202+$A$120:$A$165*('Cálculos'!$E$290=2)*'Cálculos'!$E$101)+'Cálculos'!$E$203)*('Cálculos'!$E$241+'Cálculos'!$E$124*(1+2.78*('Cálculos'!$E$198+(($C149)-$A$120:$A$165)*'Cálculos'!$E$98)/(('Cálculos'!$E$198+(($C149)-$A$120:$A$165)*'Cálculos'!$E$98)+1400)+'Cálculos'!$E$122)*'Cálculos'!$E$246+'Cálculos'!$E$125*(1+2.78*('Cálculos'!$E$198+(($C149)-$A$120:$A$165)*'Cálculos'!$E$98)/(('Cálculos'!$E$198+(($C149)-$A$120:$A$165)*'Cálculos'!$E$98)+1400)+'Cálculos'!$E$123)*'Cálculos'!$E$251)+('Cálculos'!$E$204*(1+'Cálculos'!$E$205+$A$120:$A$165*('Cálculos'!$E$290=3)*'Cálculos'!$E$103)+'Cálculos'!$E$206)*('Cálculos'!$E$242+'Cálculos'!$E$124*(1+2.78*('Cálculos'!$E$198+(($C149)-$A$120:$A$165)*'Cálculos'!$E$98)/(('Cálculos'!$E$198+(($C149)-$A$120:$A$165)*'Cálculos'!$E$98)+1400)+'Cálculos'!$E$122)*'Cálculos'!$E$247+'Cálculos'!$E$125*(1+2.78*('Cálculos'!$E$198+(($C149)-$A$120:$A$165)*'Cálculos'!$E$98)/(('Cálculos'!$E$198+(($C149)-$A$120:$A$165)*'Cálculos'!$E$98)+1400)+'Cálculos'!$E$123)*'Cálculos'!$E$252)+('Cálculos'!$E$243+'Cálculos'!$E$124*(1+2.78*('Cálculos'!$E$198+(($C149)-$A$120:$A$165)*'Cálculos'!$E$98)/(('Cálculos'!$E$198+(($C149)-$A$120:$A$165)*'Cálculos'!$E$98)+1400)+'Cálculos'!$E$122)*'Cálculos'!$E$248+'Cálculos'!$E$125*(1+2.78*('Cálculos'!$E$198+(($C149)-$A$120:$A$165)*'Cálculos'!$E$98)/(('Cálculos'!$E$198+(($C149)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149)-$A$120:$A$165)*'Cálculos'!$E$98)/(('Cálculos'!$E$199+(($C149)-$A$120:$A$165)*'Cálculos'!$E$98)+1400)+'Cálculos'!$E$122)*'Cálculos'!$E$259+'Cálculos'!$E$125*(1+2.78*('Cálculos'!$E$199+(($C149)-$A$120:$A$165)*'Cálculos'!$E$98)/(('Cálculos'!$E$199+(($C149)-$A$120:$A$165)*'Cálculos'!$E$98)+1400)+'Cálculos'!$E$123)*'Cálculos'!$E$264)+('Cálculos'!$E$199+(($C149)-$A$120:$A$165)*'Cálculos'!$E$98)*('Cálculos'!$E$255+'Cálculos'!$E$124*(1+2.78*('Cálculos'!$E$199+(($C149)-$A$120:$A$165)*'Cálculos'!$E$98)/(('Cálculos'!$E$199+(($C149)-$A$120:$A$165)*'Cálculos'!$E$98)+1400)+'Cálculos'!$E$122)*'Cálculos'!$E$260+'Cálculos'!$E$125*(1+2.78*('Cálculos'!$E$199+(($C149)-$A$120:$A$165)*'Cálculos'!$E$98)/(('Cálculos'!$E$199+(($C149)-$A$120:$A$165)*'Cálculos'!$E$98)+1400)+'Cálculos'!$E$123)*'Cálculos'!$E$265)+('Cálculos'!$E$201*(1+'Cálculos'!$E$202+$A$120:$A$165*('Cálculos'!$E$290=2)*'Cálculos'!$E$101)+'Cálculos'!$E$203)*('Cálculos'!$E$256+'Cálculos'!$E$124*(1+2.78*('Cálculos'!$E$199+(($C149)-$A$120:$A$165)*'Cálculos'!$E$98)/(('Cálculos'!$E$199+(($C149)-$A$120:$A$165)*'Cálculos'!$E$98)+1400)+'Cálculos'!$E$122)*'Cálculos'!$E$261+'Cálculos'!$E$125*(1+2.78*('Cálculos'!$E$199+(($C149)-$A$120:$A$165)*'Cálculos'!$E$98)/(('Cálculos'!$E$199+(($C149)-$A$120:$A$165)*'Cálculos'!$E$98)+1400)+'Cálculos'!$E$123)*'Cálculos'!$E$266)+('Cálculos'!$E$204*(1+'Cálculos'!$E$205+$A$120:$A$165*('Cálculos'!$E$290=3)*'Cálculos'!$E$103)+'Cálculos'!$E$206)*('Cálculos'!$E$257+'Cálculos'!$E$124*(1+2.78*('Cálculos'!$E$199+(($C149)-$A$120:$A$165)*'Cálculos'!$E$98)/(('Cálculos'!$E$199+(($C149)-$A$120:$A$165)*'Cálculos'!$E$98)+1400)+'Cálculos'!$E$122)*'Cálculos'!$E$262+'Cálculos'!$E$125*(1+2.78*('Cálculos'!$E$199+(($C149)-$A$120:$A$165)*'Cálculos'!$E$98)/(('Cálculos'!$E$199+(($C149)-$A$120:$A$165)*'Cálculos'!$E$98)+1400)+'Cálculos'!$E$123)*'Cálculos'!$E$267)+('Cálculos'!$E$258+'Cálculos'!$E$124*(1+2.78*('Cálculos'!$E$199+(($C149)-$A$120:$A$165)*'Cálculos'!$E$98)/(('Cálculos'!$E$199+(($C149)-$A$120:$A$165)*'Cálculos'!$E$98)+1400)+'Cálculos'!$E$122)*'Cálculos'!$E$263+'Cálculos'!$E$125*(1+2.78*('Cálculos'!$E$199+(($C149)-$A$120:$A$165)*'Cálculos'!$E$98)/(('Cálculos'!$E$199+(($C149)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149)-$A$120:$A$165)*'Cálculos'!$E$98)/(('Cálculos'!$E$200+(($C149)-$A$120:$A$165)*'Cálculos'!$E$98)+1400)+'Cálculos'!$E$122)*'Cálculos'!$E$274+'Cálculos'!$E$125*(1+2.78*('Cálculos'!$E$200+(($C149)-$A$120:$A$165)*'Cálculos'!$E$98)/(('Cálculos'!$E$200+(($C149)-$A$120:$A$165)*'Cálculos'!$E$98)+1400)+'Cálculos'!$E$123)*'Cálculos'!$E$279)+('Cálculos'!$E$200+(($C149)-$A$120:$A$165)*'Cálculos'!$E$98)*('Cálculos'!$E$270+'Cálculos'!$E$124*(1+2.78*('Cálculos'!$E$200+(($C149)-$A$120:$A$165)*'Cálculos'!$E$98)/(('Cálculos'!$E$200+(($C149)-$A$120:$A$165)*'Cálculos'!$E$98)+1400)+'Cálculos'!$E$122)*'Cálculos'!$E$275+'Cálculos'!$E$125*(1+2.78*('Cálculos'!$E$200+(($C149)-$A$120:$A$165)*'Cálculos'!$E$98)/(('Cálculos'!$E$200+(($C149)-$A$120:$A$165)*'Cálculos'!$E$98)+1400)+'Cálculos'!$E$123)*'Cálculos'!$E$280)+('Cálculos'!$E$201*(1+'Cálculos'!$E$202+$A$120:$A$165*('Cálculos'!$E$290=2)*'Cálculos'!$E$101)+'Cálculos'!$E$203)*('Cálculos'!$E$271+'Cálculos'!$E$124*(1+2.78*('Cálculos'!$E$200+(($C149)-$A$120:$A$165)*'Cálculos'!$E$98)/(('Cálculos'!$E$200+(($C149)-$A$120:$A$165)*'Cálculos'!$E$98)+1400)+'Cálculos'!$E$122)*'Cálculos'!$E$276+'Cálculos'!$E$125*(1+2.78*('Cálculos'!$E$200+(($C149)-$A$120:$A$165)*'Cálculos'!$E$98)/(('Cálculos'!$E$200+(($C149)-$A$120:$A$165)*'Cálculos'!$E$98)+1400)+'Cálculos'!$E$123)*'Cálculos'!$E$281)+('Cálculos'!$E$204*(1+'Cálculos'!$E$205+$A$120:$A$165*('Cálculos'!$E$290=3)*'Cálculos'!$E$103)+'Cálculos'!$E$206)*('Cálculos'!$E$272+'Cálculos'!$E$124*(1+2.78*('Cálculos'!$E$200+(($C149)-$A$120:$A$165)*'Cálculos'!$E$98)/(('Cálculos'!$E$200+(($C149)-$A$120:$A$165)*'Cálculos'!$E$98)+1400)+'Cálculos'!$E$122)*'Cálculos'!$E$277+'Cálculos'!$E$125*(1+2.78*('Cálculos'!$E$200+(($C149)-$A$120:$A$165)*'Cálculos'!$E$98)/(('Cálculos'!$E$200+(($C149)-$A$120:$A$165)*'Cálculos'!$E$98)+1400)+'Cálculos'!$E$123)*'Cálculos'!$E$282)+('Cálculos'!$E$273+'Cálculos'!$E$124*(1+2.78*('Cálculos'!$E$200+(($C149)-$A$120:$A$165)*'Cálculos'!$E$98)/(('Cálculos'!$E$200+(($C149)-$A$120:$A$165)*'Cálculos'!$E$98)+1400)+'Cálculos'!$E$122)*'Cálculos'!$E$278+'Cálculos'!$E$125*(1+2.78*('Cálculos'!$E$200+(($C149)-$A$120:$A$165)*'Cálculos'!$E$98)/(('Cálculos'!$E$200+(($C149)-$A$120:$A$165)*'Cálculos'!$E$98)+1400)+'Cálculos'!$E$123)*'Cálculos'!$E$283)))))</f>
        <v>0</v>
      </c>
      <c r="E149" s="32">
        <f>IF(OR($C149&lt;0,'Cálculos'!$E$6=""),0,$B149*$D149)</f>
        <v>0</v>
      </c>
      <c r="F149" s="2"/>
      <c r="G149" s="30">
        <f>($A149&lt;=$B$167)*($A149&lt;='Cálculos'!$E$294)*(($B$167)-$A149&lt;='Cálculos'!$E$295)*(1+MIN(('Cálculos'!$E$207+$A149*'Cálculos'!$E$95),1)*('Cálculos'!$E$208+(($B$167)-$A149)*'Cálculos'!$E$96))</f>
        <v>0</v>
      </c>
      <c r="H149" s="31">
        <f>IF($B$168&lt;0,0,($A149&lt;=$B$168)*($A149&lt;='Cálculos'!$E$301)*(($B$168)-$A149&lt;='Cálculos'!$E$297)*(('Cálculos'!$E$185*(1+'Cálculos'!$E$186+$A149*('Cálculos'!$E$290=1)*'Cálculos'!$E$97+'Cálculos'!$E$305)+'Cálculos'!$E$191)*('Cálculos'!$E$209+'Cálculos'!$E$124*(1+2.78*('Cálculos'!$E$196+(($B$168)-$A149)*'Cálculos'!$E$98)/(('Cálculos'!$E$196+(($B$168)-$A149)*'Cálculos'!$E$98)+1400)+'Cálculos'!$E$122)*'Cálculos'!$E$214+'Cálculos'!$E$125*(1+2.78*('Cálculos'!$E$196+(($B$168)-$A149)*'Cálculos'!$E$98)/(('Cálculos'!$E$196+(($B$168)-$A149)*'Cálculos'!$E$98)+1400)+'Cálculos'!$E$123)*'Cálculos'!$E$219)+('Cálculos'!$E$196+(($B$168)-$A149)*'Cálculos'!$E$98)*('Cálculos'!$E$210+'Cálculos'!$E$124*(1+2.78*('Cálculos'!$E$196+(($B$168)-$A149)*'Cálculos'!$E$98)/(('Cálculos'!$E$196+(($B$168)-$A149)*'Cálculos'!$E$98)+1400)+'Cálculos'!$E$122)*'Cálculos'!$E$215+'Cálculos'!$E$125*(1+2.78*('Cálculos'!$E$196+(($B$168)-$A149)*'Cálculos'!$E$98)/(('Cálculos'!$E$196+(($B$168)-$A149)*'Cálculos'!$E$98)+1400)+'Cálculos'!$E$123)*'Cálculos'!$E$220)+('Cálculos'!$E$201*(1+'Cálculos'!$E$202+$A149*('Cálculos'!$E$290=2)*'Cálculos'!$E$101)+'Cálculos'!$E$203)*('Cálculos'!$E$211+'Cálculos'!$E$124*(1+2.78*('Cálculos'!$E$196+(($B$168)-$A149)*'Cálculos'!$E$98)/(('Cálculos'!$E$196+(($B$168)-$A149)*'Cálculos'!$E$98)+1400)+'Cálculos'!$E$122)*'Cálculos'!$E$216+'Cálculos'!$E$125*(1+2.78*('Cálculos'!$E$196+(($B$168)-$A149)*'Cálculos'!$E$98)/(('Cálculos'!$E$196+(($B$168)-$A149)*'Cálculos'!$E$98)+1400)+'Cálculos'!$E$123)*'Cálculos'!$E$221)+('Cálculos'!$E$204*(1+'Cálculos'!$E$205+$A149*('Cálculos'!$E$290=3)*'Cálculos'!$E$103)+'Cálculos'!$E$206)*('Cálculos'!$E$212+'Cálculos'!$E$124*(1+2.78*('Cálculos'!$E$196+(($B$168)-$A149)*'Cálculos'!$E$98)/(('Cálculos'!$E$196+(($B$168)-$A149)*'Cálculos'!$E$98)+1400)+'Cálculos'!$E$122)*'Cálculos'!$E$217+'Cálculos'!$E$125*(1+2.78*('Cálculos'!$E$196+(($B$168)-$A149)*'Cálculos'!$E$98)/(('Cálculos'!$E$196+(($B$168)-$A149)*'Cálculos'!$E$98)+1400)+'Cálculos'!$E$123)*'Cálculos'!$E$222)+('Cálculos'!$E$213+'Cálculos'!$E$124*(1+2.78*('Cálculos'!$E$196+(($B$168)-$A149)*'Cálculos'!$E$98)/(('Cálculos'!$E$196+(($B$168)-$A149)*'Cálculos'!$E$98)+1400)+'Cálculos'!$E$122)*'Cálculos'!$E$218+'Cálculos'!$E$125*(1+2.78*('Cálculos'!$E$196+(($B$168)-$A149)*'Cálculos'!$E$98)/(('Cálculos'!$E$196+(($B$168)-$A149)*'Cálculos'!$E$98)+1400)+'Cálculos'!$E$123)*'Cálculos'!$E$223)+('Cálculos'!$E$185*(1+'Cálculos'!$E$187+$A149*('Cálculos'!$E$290=1)*'Cálculos'!$E$97+'Cálculos'!$E$305)+'Cálculos'!$E$192)*('Cálculos'!$E$224+'Cálculos'!$E$124*(1+2.78*('Cálculos'!$E$197+(($B$168)-$A149)*'Cálculos'!$E$98)/(('Cálculos'!$E$197+(($B$168)-$A149)*'Cálculos'!$E$98)+1400)+'Cálculos'!$E$122)*'Cálculos'!$E$229+'Cálculos'!$E$125*(1+2.78*('Cálculos'!$E$197+(($B$168)-$A149)*'Cálculos'!$E$98)/(('Cálculos'!$E$197+(($B$168)-$A149)*'Cálculos'!$E$98)+1400)+'Cálculos'!$E$123)*'Cálculos'!$E$234)+('Cálculos'!$E$197+(($B$168)-$A149)*'Cálculos'!$E$98)*('Cálculos'!$E$225+'Cálculos'!$E$124*(1+2.78*('Cálculos'!$E$197+(($B$168)-$A149)*'Cálculos'!$E$98)/(('Cálculos'!$E$197+(($B$168)-$A149)*'Cálculos'!$E$98)+1400)+'Cálculos'!$E$122)*'Cálculos'!$E$230+'Cálculos'!$E$125*(1+2.78*('Cálculos'!$E$197+(($B$168)-$A149)*'Cálculos'!$E$98)/(('Cálculos'!$E$197+(($B$168)-$A149)*'Cálculos'!$E$98)+1400)+'Cálculos'!$E$123)*'Cálculos'!$E$235)+('Cálculos'!$E$201*(1+'Cálculos'!$E$202+$A149*('Cálculos'!$E$290=2)*'Cálculos'!$E$101)+'Cálculos'!$E$203)*('Cálculos'!$E$226+'Cálculos'!$E$124*(1+2.78*('Cálculos'!$E$197+(($B$168)-$A149)*'Cálculos'!$E$98)/(('Cálculos'!$E$197+(($B$168)-$A149)*'Cálculos'!$E$98)+1400)+'Cálculos'!$E$122)*'Cálculos'!$E$231+'Cálculos'!$E$125*(1+2.78*('Cálculos'!$E$197+(($B$168)-$A149)*'Cálculos'!$E$98)/(('Cálculos'!$E$197+(($B$168)-$A149)*'Cálculos'!$E$98)+1400)+'Cálculos'!$E$123)*'Cálculos'!$E$236)+('Cálculos'!$E$204*(1+'Cálculos'!$E$205+$A149*('Cálculos'!$E$290=3)*'Cálculos'!$E$103)+'Cálculos'!$E$206)*('Cálculos'!$E$227+'Cálculos'!$E$124*(1+2.78*('Cálculos'!$E$197+(($B$168)-$A149)*'Cálculos'!$E$98)/(('Cálculos'!$E$197+(($B$168)-$A149)*'Cálculos'!$E$98)+1400)+'Cálculos'!$E$122)*'Cálculos'!$E$232+'Cálculos'!$E$125*(1+2.78*('Cálculos'!$E$197+(($B$168)-$A149)*'Cálculos'!$E$98)/(('Cálculos'!$E$197+(($B$168)-$A149)*'Cálculos'!$E$98)+1400)+'Cálculos'!$E$123)*'Cálculos'!$E$237)+('Cálculos'!$E$228+'Cálculos'!$E$124*(1+2.78*('Cálculos'!$E$197+(($B$168)-$A149)*'Cálculos'!$E$98)/(('Cálculos'!$E$197+(($B$168)-$A149)*'Cálculos'!$E$98)+1400)+'Cálculos'!$E$122)*'Cálculos'!$E$233+'Cálculos'!$E$125*(1+2.78*('Cálculos'!$E$197+(($B$168)-$A149)*'Cálculos'!$E$98)/(('Cálculos'!$E$197+(($B$168)-$A149)*'Cálculos'!$E$98)+1400)+'Cálculos'!$E$123)*'Cálculos'!$E$238)+('Cálculos'!$E$185*(1+'Cálculos'!$E$188+$A149*('Cálculos'!$E$290=1)*'Cálculos'!$E$97+'Cálculos'!$E$305)+'Cálculos'!$E$193)*('Cálculos'!$E$239+'Cálculos'!$E$124*(1+2.78*('Cálculos'!$E$198+(($B$168)-$A149)*'Cálculos'!$E$98)/(('Cálculos'!$E$198+(($B$168)-$A149)*'Cálculos'!$E$98)+1400)+'Cálculos'!$E$122)*'Cálculos'!$E$244+'Cálculos'!$E$125*(1+2.78*('Cálculos'!$E$198+(($B$168)-$A149)*'Cálculos'!$E$98)/(('Cálculos'!$E$198+(($B$168)-$A149)*'Cálculos'!$E$98)+1400)+'Cálculos'!$E$123)*'Cálculos'!$E$249)+('Cálculos'!$E$198+(($B$168)-$A149)*'Cálculos'!$E$98)*('Cálculos'!$E$240+'Cálculos'!$E$124*(1+2.78*('Cálculos'!$E$198+(($B$168)-$A149)*'Cálculos'!$E$98)/(('Cálculos'!$E$198+(($B$168)-$A149)*'Cálculos'!$E$98)+1400)+'Cálculos'!$E$122)*'Cálculos'!$E$245+'Cálculos'!$E$125*(1+2.78*('Cálculos'!$E$198+(($B$168)-$A149)*'Cálculos'!$E$98)/(('Cálculos'!$E$198+(($B$168)-$A149)*'Cálculos'!$E$98)+1400)+'Cálculos'!$E$123)*'Cálculos'!$E$250)+('Cálculos'!$E$201*(1+'Cálculos'!$E$202+$A149*('Cálculos'!$E$290=2)*'Cálculos'!$E$101)+'Cálculos'!$E$203)*('Cálculos'!$E$241+'Cálculos'!$E$124*(1+2.78*('Cálculos'!$E$198+(($B$168)-$A149)*'Cálculos'!$E$98)/(('Cálculos'!$E$198+(($B$168)-$A149)*'Cálculos'!$E$98)+1400)+'Cálculos'!$E$122)*'Cálculos'!$E$246+'Cálculos'!$E$125*(1+2.78*('Cálculos'!$E$198+(($B$168)-$A149)*'Cálculos'!$E$98)/(('Cálculos'!$E$198+(($B$168)-$A149)*'Cálculos'!$E$98)+1400)+'Cálculos'!$E$123)*'Cálculos'!$E$251)+('Cálculos'!$E$204*(1+'Cálculos'!$E$205+$A149*('Cálculos'!$E$290=3)*'Cálculos'!$E$103)+'Cálculos'!$E$206)*('Cálculos'!$E$242+'Cálculos'!$E$124*(1+2.78*('Cálculos'!$E$198+(($B$168)-$A149)*'Cálculos'!$E$98)/(('Cálculos'!$E$198+(($B$168)-$A149)*'Cálculos'!$E$98)+1400)+'Cálculos'!$E$122)*'Cálculos'!$E$247+'Cálculos'!$E$125*(1+2.78*('Cálculos'!$E$198+(($B$168)-$A149)*'Cálculos'!$E$98)/(('Cálculos'!$E$198+(($B$168)-$A149)*'Cálculos'!$E$98)+1400)+'Cálculos'!$E$123)*'Cálculos'!$E$252)+('Cálculos'!$E$243+'Cálculos'!$E$124*(1+2.78*('Cálculos'!$E$198+(($B$168)-$A149)*'Cálculos'!$E$98)/(('Cálculos'!$E$198+(($B$168)-$A149)*'Cálculos'!$E$98)+1400)+'Cálculos'!$E$122)*'Cálculos'!$E$248+'Cálculos'!$E$125*(1+2.78*('Cálculos'!$E$198+(($B$168)-$A149)*'Cálculos'!$E$98)/(('Cálculos'!$E$198+(($B$168)-$A149)*'Cálculos'!$E$98)+1400)+'Cálculos'!$E$123)*'Cálculos'!$E$253)+('Cálculos'!$E$185*(1+'Cálculos'!$E$189+$A149*('Cálculos'!$E$290=1)*'Cálculos'!$E$97+'Cálculos'!$E$305)+'Cálculos'!$E$194)*('Cálculos'!$E$254+'Cálculos'!$E$124*(1+2.78*('Cálculos'!$E$199+(($B$168)-$A149)*'Cálculos'!$E$98)/(('Cálculos'!$E$199+(($B$168)-$A149)*'Cálculos'!$E$98)+1400)+'Cálculos'!$E$122)*'Cálculos'!$E$259+'Cálculos'!$E$125*(1+2.78*('Cálculos'!$E$199+(($B$168)-$A149)*'Cálculos'!$E$98)/(('Cálculos'!$E$199+(($B$168)-$A149)*'Cálculos'!$E$98)+1400)+'Cálculos'!$E$123)*'Cálculos'!$E$264)+('Cálculos'!$E$199+(($B$168)-$A149)*'Cálculos'!$E$98)*('Cálculos'!$E$255+'Cálculos'!$E$124*(1+2.78*('Cálculos'!$E$199+(($B$168)-$A149)*'Cálculos'!$E$98)/(('Cálculos'!$E$199+(($B$168)-$A149)*'Cálculos'!$E$98)+1400)+'Cálculos'!$E$122)*'Cálculos'!$E$260+'Cálculos'!$E$125*(1+2.78*('Cálculos'!$E$199+(($B$168)-$A149)*'Cálculos'!$E$98)/(('Cálculos'!$E$199+(($B$168)-$A149)*'Cálculos'!$E$98)+1400)+'Cálculos'!$E$123)*'Cálculos'!$E$265)+('Cálculos'!$E$201*(1+'Cálculos'!$E$202+$A149*('Cálculos'!$E$290=2)*'Cálculos'!$E$101)+'Cálculos'!$E$203)*('Cálculos'!$E$256+'Cálculos'!$E$124*(1+2.78*('Cálculos'!$E$199+(($B$168)-$A149)*'Cálculos'!$E$98)/(('Cálculos'!$E$199+(($B$168)-$A149)*'Cálculos'!$E$98)+1400)+'Cálculos'!$E$122)*'Cálculos'!$E$261+'Cálculos'!$E$125*(1+2.78*('Cálculos'!$E$199+(($B$168)-$A149)*'Cálculos'!$E$98)/(('Cálculos'!$E$199+(($B$168)-$A149)*'Cálculos'!$E$98)+1400)+'Cálculos'!$E$123)*'Cálculos'!$E$266)+('Cálculos'!$E$204*(1+'Cálculos'!$E$205+$A149*('Cálculos'!$E$290=3)*'Cálculos'!$E$103)+'Cálculos'!$E$206)*('Cálculos'!$E$257+'Cálculos'!$E$124*(1+2.78*('Cálculos'!$E$199+(($B$168)-$A149)*'Cálculos'!$E$98)/(('Cálculos'!$E$199+(($B$168)-$A149)*'Cálculos'!$E$98)+1400)+'Cálculos'!$E$122)*'Cálculos'!$E$262+'Cálculos'!$E$125*(1+2.78*('Cálculos'!$E$199+(($B$168)-$A149)*'Cálculos'!$E$98)/(('Cálculos'!$E$199+(($B$168)-$A149)*'Cálculos'!$E$98)+1400)+'Cálculos'!$E$123)*'Cálculos'!$E$267)+('Cálculos'!$E$258+'Cálculos'!$E$124*(1+2.78*('Cálculos'!$E$199+(($B$168)-$A149)*'Cálculos'!$E$98)/(('Cálculos'!$E$199+(($B$168)-$A149)*'Cálculos'!$E$98)+1400)+'Cálculos'!$E$122)*'Cálculos'!$E$263+'Cálculos'!$E$125*(1+2.78*('Cálculos'!$E$199+(($B$168)-$A149)*'Cálculos'!$E$98)/(('Cálculos'!$E$199+(($B$168)-$A149)*'Cálculos'!$E$98)+1400)+'Cálculos'!$E$123)*'Cálculos'!$E$268)+('Cálculos'!$E$185*(1+'Cálculos'!$E$190+$A149*('Cálculos'!$E$290=1)*'Cálculos'!$E$97+'Cálculos'!$E$305)+'Cálculos'!$E$195)*('Cálculos'!$E$269+'Cálculos'!$E$124*(1+2.78*('Cálculos'!$E$200+(($B$168)-$A149)*'Cálculos'!$E$98)/(('Cálculos'!$E$200+(($B$168)-$A149)*'Cálculos'!$E$98)+1400)+'Cálculos'!$E$122)*'Cálculos'!$E$274+'Cálculos'!$E$125*(1+2.78*('Cálculos'!$E$200+(($B$168)-$A149)*'Cálculos'!$E$98)/(('Cálculos'!$E$200+(($B$168)-$A149)*'Cálculos'!$E$98)+1400)+'Cálculos'!$E$123)*'Cálculos'!$E$279)+('Cálculos'!$E$200+(($B$168)-$A149)*'Cálculos'!$E$98)*('Cálculos'!$E$270+'Cálculos'!$E$124*(1+2.78*('Cálculos'!$E$200+(($B$168)-$A149)*'Cálculos'!$E$98)/(('Cálculos'!$E$200+(($B$168)-$A149)*'Cálculos'!$E$98)+1400)+'Cálculos'!$E$122)*'Cálculos'!$E$275+'Cálculos'!$E$125*(1+2.78*('Cálculos'!$E$200+(($B$168)-$A149)*'Cálculos'!$E$98)/(('Cálculos'!$E$200+(($B$168)-$A149)*'Cálculos'!$E$98)+1400)+'Cálculos'!$E$123)*'Cálculos'!$E$280)+('Cálculos'!$E$201*(1+'Cálculos'!$E$202+$A149*('Cálculos'!$E$290=2)*'Cálculos'!$E$101)+'Cálculos'!$E$203)*('Cálculos'!$E$271+'Cálculos'!$E$124*(1+2.78*('Cálculos'!$E$200+(($B$168)-$A149)*'Cálculos'!$E$98)/(('Cálculos'!$E$200+(($B$168)-$A149)*'Cálculos'!$E$98)+1400)+'Cálculos'!$E$122)*'Cálculos'!$E$276+'Cálculos'!$E$125*(1+2.78*('Cálculos'!$E$200+(($B$168)-$A149)*'Cálculos'!$E$98)/(('Cálculos'!$E$200+(($B$168)-$A149)*'Cálculos'!$E$98)+1400)+'Cálculos'!$E$123)*'Cálculos'!$E$281)+('Cálculos'!$E$204*(1+'Cálculos'!$E$205+$A149*('Cálculos'!$E$290=3)*'Cálculos'!$E$103)+'Cálculos'!$E$206)*('Cálculos'!$E$272+'Cálculos'!$E$124*(1+2.78*('Cálculos'!$E$200+(($B$168)-$A149)*'Cálculos'!$E$98)/(('Cálculos'!$E$200+(($B$168)-$A149)*'Cálculos'!$E$98)+1400)+'Cálculos'!$E$122)*'Cálculos'!$E$277+'Cálculos'!$E$125*(1+2.78*('Cálculos'!$E$200+(($B$168)-$A149)*'Cálculos'!$E$98)/(('Cálculos'!$E$200+(($B$168)-$A149)*'Cálculos'!$E$98)+1400)+'Cálculos'!$E$123)*'Cálculos'!$E$282)+('Cálculos'!$E$273+'Cálculos'!$E$124*(1+2.78*('Cálculos'!$E$200+(($B$168)-$A149)*'Cálculos'!$E$98)/(('Cálculos'!$E$200+(($B$168)-$A149)*'Cálculos'!$E$98)+1400)+'Cálculos'!$E$122)*'Cálculos'!$E$278+'Cálculos'!$E$125*(1+2.78*('Cálculos'!$E$200+(($B$168)-$A149)*'Cálculos'!$E$98)/(('Cálculos'!$E$200+(($B$168)-$A149)*'Cálculos'!$E$98)+1400)+'Cálculos'!$E$123)*'Cálculos'!$E$283)))</f>
        <v>0</v>
      </c>
    </row>
    <row r="150" ht="15.75" customHeight="1">
      <c r="A150" s="2">
        <v>30.0</v>
      </c>
      <c r="B150" s="30">
        <f>SUMPRODUCT(MAX(($A$120:$A$165&lt;=$A150)*($A$120:$A$165&lt;='Cálculos'!$E$294)*(($A150)-$A$120:$A$165&lt;='Cálculos'!$E$295)*(1+(('Cálculos'!$E$207+$A$120:$A$165*'Cálculos'!$E$95)-(('Cálculos'!$E$207+$A$120:$A$165*'Cálculos'!$E$95)&gt;1)*(('Cálculos'!$E$207+$A$120:$A$165*'Cálculos'!$E$95)-1))*('Cálculos'!$E$208+(($A150)-$A$120:$A$165)*'Cálculos'!$E$96))))</f>
        <v>2.501424</v>
      </c>
      <c r="C150" s="2">
        <f>'Cálculos'!$E$303-$A150</f>
        <v>-17</v>
      </c>
      <c r="D150" s="31">
        <f>IF($C150&lt;0,0,SUMPRODUCT(MAX(($A$120:$A$165&lt;=$C150)*($A$120:$A$165&lt;='Cálculos'!$E$301)*(($C150)-$A$120:$A$165&lt;='Cálculos'!$E$297)*(('Cálculos'!$E$185*(1+'Cálculos'!$E$186+$A$120:$A$165*('Cálculos'!$E$290=1)*'Cálculos'!$E$97+'Cálculos'!$E$305)+'Cálculos'!$E$191)*('Cálculos'!$E$209+'Cálculos'!$E$124*(1+2.78*('Cálculos'!$E$196+(($C150)-$A$120:$A$165)*'Cálculos'!$E$98)/(('Cálculos'!$E$196+(($C150)-$A$120:$A$165)*'Cálculos'!$E$98)+1400)+'Cálculos'!$E$122)*'Cálculos'!$E$214+'Cálculos'!$E$125*(1+2.78*('Cálculos'!$E$196+(($C150)-$A$120:$A$165)*'Cálculos'!$E$98)/(('Cálculos'!$E$196+(($C150)-$A$120:$A$165)*'Cálculos'!$E$98)+1400)+'Cálculos'!$E$123)*'Cálculos'!$E$219)+('Cálculos'!$E$196+(($C150)-$A$120:$A$165)*'Cálculos'!$E$98)*('Cálculos'!$E$210+'Cálculos'!$E$124*(1+2.78*('Cálculos'!$E$196+(($C150)-$A$120:$A$165)*'Cálculos'!$E$98)/(('Cálculos'!$E$196+(($C150)-$A$120:$A$165)*'Cálculos'!$E$98)+1400)+'Cálculos'!$E$122)*'Cálculos'!$E$215+'Cálculos'!$E$125*(1+2.78*('Cálculos'!$E$196+(($C150)-$A$120:$A$165)*'Cálculos'!$E$98)/(('Cálculos'!$E$196+(($C150)-$A$120:$A$165)*'Cálculos'!$E$98)+1400)+'Cálculos'!$E$123)*'Cálculos'!$E$220)+('Cálculos'!$E$201*(1+'Cálculos'!$E$202+$A$120:$A$165*('Cálculos'!$E$290=2)*'Cálculos'!$E$101)+'Cálculos'!$E$203)*('Cálculos'!$E$211+'Cálculos'!$E$124*(1+2.78*('Cálculos'!$E$196+(($C150)-$A$120:$A$165)*'Cálculos'!$E$98)/(('Cálculos'!$E$196+(($C150)-$A$120:$A$165)*'Cálculos'!$E$98)+1400)+'Cálculos'!$E$122)*'Cálculos'!$E$216+'Cálculos'!$E$125*(1+2.78*('Cálculos'!$E$196+(($C150)-$A$120:$A$165)*'Cálculos'!$E$98)/(('Cálculos'!$E$196+(($C150)-$A$120:$A$165)*'Cálculos'!$E$98)+1400)+'Cálculos'!$E$123)*'Cálculos'!$E$221)+('Cálculos'!$E$204*(1+'Cálculos'!$E$205+$A$120:$A$165*('Cálculos'!$E$290=3)*'Cálculos'!$E$103)+'Cálculos'!$E$206)*('Cálculos'!$E$212+'Cálculos'!$E$124*(1+2.78*('Cálculos'!$E$196+(($C150)-$A$120:$A$165)*'Cálculos'!$E$98)/(('Cálculos'!$E$196+(($C150)-$A$120:$A$165)*'Cálculos'!$E$98)+1400)+'Cálculos'!$E$122)*'Cálculos'!$E$217+'Cálculos'!$E$125*(1+2.78*('Cálculos'!$E$196+(($C150)-$A$120:$A$165)*'Cálculos'!$E$98)/(('Cálculos'!$E$196+(($C150)-$A$120:$A$165)*'Cálculos'!$E$98)+1400)+'Cálculos'!$E$123)*'Cálculos'!$E$222)+('Cálculos'!$E$213+'Cálculos'!$E$124*(1+2.78*('Cálculos'!$E$196+(($C150)-$A$120:$A$165)*'Cálculos'!$E$98)/(('Cálculos'!$E$196+(($C150)-$A$120:$A$165)*'Cálculos'!$E$98)+1400)+'Cálculos'!$E$122)*'Cálculos'!$E$218+'Cálculos'!$E$125*(1+2.78*('Cálculos'!$E$196+(($C150)-$A$120:$A$165)*'Cálculos'!$E$98)/(('Cálculos'!$E$196+(($C150)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150)-$A$120:$A$165)*'Cálculos'!$E$98)/(('Cálculos'!$E$197+(($C150)-$A$120:$A$165)*'Cálculos'!$E$98)+1400)+'Cálculos'!$E$122)*'Cálculos'!$E$229+'Cálculos'!$E$125*(1+2.78*('Cálculos'!$E$197+(($C150)-$A$120:$A$165)*'Cálculos'!$E$98)/(('Cálculos'!$E$197+(($C150)-$A$120:$A$165)*'Cálculos'!$E$98)+1400)+'Cálculos'!$E$123)*'Cálculos'!$E$234)+('Cálculos'!$E$197+(($C150)-$A$120:$A$165)*'Cálculos'!$E$98)*('Cálculos'!$E$225+'Cálculos'!$E$124*(1+2.78*('Cálculos'!$E$197+(($C150)-$A$120:$A$165)*'Cálculos'!$E$98)/(('Cálculos'!$E$197+(($C150)-$A$120:$A$165)*'Cálculos'!$E$98)+1400)+'Cálculos'!$E$122)*'Cálculos'!$E$230+'Cálculos'!$E$125*(1+2.78*('Cálculos'!$E$197+(($C150)-$A$120:$A$165)*'Cálculos'!$E$98)/(('Cálculos'!$E$197+(($C150)-$A$120:$A$165)*'Cálculos'!$E$98)+1400)+'Cálculos'!$E$123)*'Cálculos'!$E$235)+('Cálculos'!$E$201*(1+'Cálculos'!$E$202+$A$120:$A$165*('Cálculos'!$E$290=2)*'Cálculos'!$E$101)+'Cálculos'!$E$203)*('Cálculos'!$E$226+'Cálculos'!$E$124*(1+2.78*('Cálculos'!$E$197+(($C150)-$A$120:$A$165)*'Cálculos'!$E$98)/(('Cálculos'!$E$197+(($C150)-$A$120:$A$165)*'Cálculos'!$E$98)+1400)+'Cálculos'!$E$122)*'Cálculos'!$E$231+'Cálculos'!$E$125*(1+2.78*('Cálculos'!$E$197+(($C150)-$A$120:$A$165)*'Cálculos'!$E$98)/(('Cálculos'!$E$197+(($C150)-$A$120:$A$165)*'Cálculos'!$E$98)+1400)+'Cálculos'!$E$123)*'Cálculos'!$E$236)+('Cálculos'!$E$204*(1+'Cálculos'!$E$205+$A$120:$A$165*('Cálculos'!$E$290=3)*'Cálculos'!$E$103)+'Cálculos'!$E$206)*('Cálculos'!$E$227+'Cálculos'!$E$124*(1+2.78*('Cálculos'!$E$197+(($C150)-$A$120:$A$165)*'Cálculos'!$E$98)/(('Cálculos'!$E$197+(($C150)-$A$120:$A$165)*'Cálculos'!$E$98)+1400)+'Cálculos'!$E$122)*'Cálculos'!$E$232+'Cálculos'!$E$125*(1+2.78*('Cálculos'!$E$197+(($C150)-$A$120:$A$165)*'Cálculos'!$E$98)/(('Cálculos'!$E$197+(($C150)-$A$120:$A$165)*'Cálculos'!$E$98)+1400)+'Cálculos'!$E$123)*'Cálculos'!$E$237)+('Cálculos'!$E$228+'Cálculos'!$E$124*(1+2.78*('Cálculos'!$E$197+(($C150)-$A$120:$A$165)*'Cálculos'!$E$98)/(('Cálculos'!$E$197+(($C150)-$A$120:$A$165)*'Cálculos'!$E$98)+1400)+'Cálculos'!$E$122)*'Cálculos'!$E$233+'Cálculos'!$E$125*(1+2.78*('Cálculos'!$E$197+(($C150)-$A$120:$A$165)*'Cálculos'!$E$98)/(('Cálculos'!$E$197+(($C150)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150)-$A$120:$A$165)*'Cálculos'!$E$98)/(('Cálculos'!$E$198+(($C150)-$A$120:$A$165)*'Cálculos'!$E$98)+1400)+'Cálculos'!$E$122)*'Cálculos'!$E$244+'Cálculos'!$E$125*(1+2.78*('Cálculos'!$E$198+(($C150)-$A$120:$A$165)*'Cálculos'!$E$98)/(('Cálculos'!$E$198+(($C150)-$A$120:$A$165)*'Cálculos'!$E$98)+1400)+'Cálculos'!$E$123)*'Cálculos'!$E$249)+('Cálculos'!$E$198+(($C150)-$A$120:$A$165)*'Cálculos'!$E$98)*('Cálculos'!$E$240+'Cálculos'!$E$124*(1+2.78*('Cálculos'!$E$198+(($C150)-$A$120:$A$165)*'Cálculos'!$E$98)/(('Cálculos'!$E$198+(($C150)-$A$120:$A$165)*'Cálculos'!$E$98)+1400)+'Cálculos'!$E$122)*'Cálculos'!$E$245+'Cálculos'!$E$125*(1+2.78*('Cálculos'!$E$198+(($C150)-$A$120:$A$165)*'Cálculos'!$E$98)/(('Cálculos'!$E$198+(($C150)-$A$120:$A$165)*'Cálculos'!$E$98)+1400)+'Cálculos'!$E$123)*'Cálculos'!$E$250)+('Cálculos'!$E$201*(1+'Cálculos'!$E$202+$A$120:$A$165*('Cálculos'!$E$290=2)*'Cálculos'!$E$101)+'Cálculos'!$E$203)*('Cálculos'!$E$241+'Cálculos'!$E$124*(1+2.78*('Cálculos'!$E$198+(($C150)-$A$120:$A$165)*'Cálculos'!$E$98)/(('Cálculos'!$E$198+(($C150)-$A$120:$A$165)*'Cálculos'!$E$98)+1400)+'Cálculos'!$E$122)*'Cálculos'!$E$246+'Cálculos'!$E$125*(1+2.78*('Cálculos'!$E$198+(($C150)-$A$120:$A$165)*'Cálculos'!$E$98)/(('Cálculos'!$E$198+(($C150)-$A$120:$A$165)*'Cálculos'!$E$98)+1400)+'Cálculos'!$E$123)*'Cálculos'!$E$251)+('Cálculos'!$E$204*(1+'Cálculos'!$E$205+$A$120:$A$165*('Cálculos'!$E$290=3)*'Cálculos'!$E$103)+'Cálculos'!$E$206)*('Cálculos'!$E$242+'Cálculos'!$E$124*(1+2.78*('Cálculos'!$E$198+(($C150)-$A$120:$A$165)*'Cálculos'!$E$98)/(('Cálculos'!$E$198+(($C150)-$A$120:$A$165)*'Cálculos'!$E$98)+1400)+'Cálculos'!$E$122)*'Cálculos'!$E$247+'Cálculos'!$E$125*(1+2.78*('Cálculos'!$E$198+(($C150)-$A$120:$A$165)*'Cálculos'!$E$98)/(('Cálculos'!$E$198+(($C150)-$A$120:$A$165)*'Cálculos'!$E$98)+1400)+'Cálculos'!$E$123)*'Cálculos'!$E$252)+('Cálculos'!$E$243+'Cálculos'!$E$124*(1+2.78*('Cálculos'!$E$198+(($C150)-$A$120:$A$165)*'Cálculos'!$E$98)/(('Cálculos'!$E$198+(($C150)-$A$120:$A$165)*'Cálculos'!$E$98)+1400)+'Cálculos'!$E$122)*'Cálculos'!$E$248+'Cálculos'!$E$125*(1+2.78*('Cálculos'!$E$198+(($C150)-$A$120:$A$165)*'Cálculos'!$E$98)/(('Cálculos'!$E$198+(($C150)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150)-$A$120:$A$165)*'Cálculos'!$E$98)/(('Cálculos'!$E$199+(($C150)-$A$120:$A$165)*'Cálculos'!$E$98)+1400)+'Cálculos'!$E$122)*'Cálculos'!$E$259+'Cálculos'!$E$125*(1+2.78*('Cálculos'!$E$199+(($C150)-$A$120:$A$165)*'Cálculos'!$E$98)/(('Cálculos'!$E$199+(($C150)-$A$120:$A$165)*'Cálculos'!$E$98)+1400)+'Cálculos'!$E$123)*'Cálculos'!$E$264)+('Cálculos'!$E$199+(($C150)-$A$120:$A$165)*'Cálculos'!$E$98)*('Cálculos'!$E$255+'Cálculos'!$E$124*(1+2.78*('Cálculos'!$E$199+(($C150)-$A$120:$A$165)*'Cálculos'!$E$98)/(('Cálculos'!$E$199+(($C150)-$A$120:$A$165)*'Cálculos'!$E$98)+1400)+'Cálculos'!$E$122)*'Cálculos'!$E$260+'Cálculos'!$E$125*(1+2.78*('Cálculos'!$E$199+(($C150)-$A$120:$A$165)*'Cálculos'!$E$98)/(('Cálculos'!$E$199+(($C150)-$A$120:$A$165)*'Cálculos'!$E$98)+1400)+'Cálculos'!$E$123)*'Cálculos'!$E$265)+('Cálculos'!$E$201*(1+'Cálculos'!$E$202+$A$120:$A$165*('Cálculos'!$E$290=2)*'Cálculos'!$E$101)+'Cálculos'!$E$203)*('Cálculos'!$E$256+'Cálculos'!$E$124*(1+2.78*('Cálculos'!$E$199+(($C150)-$A$120:$A$165)*'Cálculos'!$E$98)/(('Cálculos'!$E$199+(($C150)-$A$120:$A$165)*'Cálculos'!$E$98)+1400)+'Cálculos'!$E$122)*'Cálculos'!$E$261+'Cálculos'!$E$125*(1+2.78*('Cálculos'!$E$199+(($C150)-$A$120:$A$165)*'Cálculos'!$E$98)/(('Cálculos'!$E$199+(($C150)-$A$120:$A$165)*'Cálculos'!$E$98)+1400)+'Cálculos'!$E$123)*'Cálculos'!$E$266)+('Cálculos'!$E$204*(1+'Cálculos'!$E$205+$A$120:$A$165*('Cálculos'!$E$290=3)*'Cálculos'!$E$103)+'Cálculos'!$E$206)*('Cálculos'!$E$257+'Cálculos'!$E$124*(1+2.78*('Cálculos'!$E$199+(($C150)-$A$120:$A$165)*'Cálculos'!$E$98)/(('Cálculos'!$E$199+(($C150)-$A$120:$A$165)*'Cálculos'!$E$98)+1400)+'Cálculos'!$E$122)*'Cálculos'!$E$262+'Cálculos'!$E$125*(1+2.78*('Cálculos'!$E$199+(($C150)-$A$120:$A$165)*'Cálculos'!$E$98)/(('Cálculos'!$E$199+(($C150)-$A$120:$A$165)*'Cálculos'!$E$98)+1400)+'Cálculos'!$E$123)*'Cálculos'!$E$267)+('Cálculos'!$E$258+'Cálculos'!$E$124*(1+2.78*('Cálculos'!$E$199+(($C150)-$A$120:$A$165)*'Cálculos'!$E$98)/(('Cálculos'!$E$199+(($C150)-$A$120:$A$165)*'Cálculos'!$E$98)+1400)+'Cálculos'!$E$122)*'Cálculos'!$E$263+'Cálculos'!$E$125*(1+2.78*('Cálculos'!$E$199+(($C150)-$A$120:$A$165)*'Cálculos'!$E$98)/(('Cálculos'!$E$199+(($C150)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150)-$A$120:$A$165)*'Cálculos'!$E$98)/(('Cálculos'!$E$200+(($C150)-$A$120:$A$165)*'Cálculos'!$E$98)+1400)+'Cálculos'!$E$122)*'Cálculos'!$E$274+'Cálculos'!$E$125*(1+2.78*('Cálculos'!$E$200+(($C150)-$A$120:$A$165)*'Cálculos'!$E$98)/(('Cálculos'!$E$200+(($C150)-$A$120:$A$165)*'Cálculos'!$E$98)+1400)+'Cálculos'!$E$123)*'Cálculos'!$E$279)+('Cálculos'!$E$200+(($C150)-$A$120:$A$165)*'Cálculos'!$E$98)*('Cálculos'!$E$270+'Cálculos'!$E$124*(1+2.78*('Cálculos'!$E$200+(($C150)-$A$120:$A$165)*'Cálculos'!$E$98)/(('Cálculos'!$E$200+(($C150)-$A$120:$A$165)*'Cálculos'!$E$98)+1400)+'Cálculos'!$E$122)*'Cálculos'!$E$275+'Cálculos'!$E$125*(1+2.78*('Cálculos'!$E$200+(($C150)-$A$120:$A$165)*'Cálculos'!$E$98)/(('Cálculos'!$E$200+(($C150)-$A$120:$A$165)*'Cálculos'!$E$98)+1400)+'Cálculos'!$E$123)*'Cálculos'!$E$280)+('Cálculos'!$E$201*(1+'Cálculos'!$E$202+$A$120:$A$165*('Cálculos'!$E$290=2)*'Cálculos'!$E$101)+'Cálculos'!$E$203)*('Cálculos'!$E$271+'Cálculos'!$E$124*(1+2.78*('Cálculos'!$E$200+(($C150)-$A$120:$A$165)*'Cálculos'!$E$98)/(('Cálculos'!$E$200+(($C150)-$A$120:$A$165)*'Cálculos'!$E$98)+1400)+'Cálculos'!$E$122)*'Cálculos'!$E$276+'Cálculos'!$E$125*(1+2.78*('Cálculos'!$E$200+(($C150)-$A$120:$A$165)*'Cálculos'!$E$98)/(('Cálculos'!$E$200+(($C150)-$A$120:$A$165)*'Cálculos'!$E$98)+1400)+'Cálculos'!$E$123)*'Cálculos'!$E$281)+('Cálculos'!$E$204*(1+'Cálculos'!$E$205+$A$120:$A$165*('Cálculos'!$E$290=3)*'Cálculos'!$E$103)+'Cálculos'!$E$206)*('Cálculos'!$E$272+'Cálculos'!$E$124*(1+2.78*('Cálculos'!$E$200+(($C150)-$A$120:$A$165)*'Cálculos'!$E$98)/(('Cálculos'!$E$200+(($C150)-$A$120:$A$165)*'Cálculos'!$E$98)+1400)+'Cálculos'!$E$122)*'Cálculos'!$E$277+'Cálculos'!$E$125*(1+2.78*('Cálculos'!$E$200+(($C150)-$A$120:$A$165)*'Cálculos'!$E$98)/(('Cálculos'!$E$200+(($C150)-$A$120:$A$165)*'Cálculos'!$E$98)+1400)+'Cálculos'!$E$123)*'Cálculos'!$E$282)+('Cálculos'!$E$273+'Cálculos'!$E$124*(1+2.78*('Cálculos'!$E$200+(($C150)-$A$120:$A$165)*'Cálculos'!$E$98)/(('Cálculos'!$E$200+(($C150)-$A$120:$A$165)*'Cálculos'!$E$98)+1400)+'Cálculos'!$E$122)*'Cálculos'!$E$278+'Cálculos'!$E$125*(1+2.78*('Cálculos'!$E$200+(($C150)-$A$120:$A$165)*'Cálculos'!$E$98)/(('Cálculos'!$E$200+(($C150)-$A$120:$A$165)*'Cálculos'!$E$98)+1400)+'Cálculos'!$E$123)*'Cálculos'!$E$283)))))</f>
        <v>0</v>
      </c>
      <c r="E150" s="32">
        <f>IF(OR($C150&lt;0,'Cálculos'!$E$6=""),0,$B150*$D150)</f>
        <v>0</v>
      </c>
      <c r="F150" s="2"/>
      <c r="G150" s="30">
        <f>($A150&lt;=$B$167)*($A150&lt;='Cálculos'!$E$294)*(($B$167)-$A150&lt;='Cálculos'!$E$295)*(1+MIN(('Cálculos'!$E$207+$A150*'Cálculos'!$E$95),1)*('Cálculos'!$E$208+(($B$167)-$A150)*'Cálculos'!$E$96))</f>
        <v>0</v>
      </c>
      <c r="H150" s="31">
        <f>IF($B$168&lt;0,0,($A150&lt;=$B$168)*($A150&lt;='Cálculos'!$E$301)*(($B$168)-$A150&lt;='Cálculos'!$E$297)*(('Cálculos'!$E$185*(1+'Cálculos'!$E$186+$A150*('Cálculos'!$E$290=1)*'Cálculos'!$E$97+'Cálculos'!$E$305)+'Cálculos'!$E$191)*('Cálculos'!$E$209+'Cálculos'!$E$124*(1+2.78*('Cálculos'!$E$196+(($B$168)-$A150)*'Cálculos'!$E$98)/(('Cálculos'!$E$196+(($B$168)-$A150)*'Cálculos'!$E$98)+1400)+'Cálculos'!$E$122)*'Cálculos'!$E$214+'Cálculos'!$E$125*(1+2.78*('Cálculos'!$E$196+(($B$168)-$A150)*'Cálculos'!$E$98)/(('Cálculos'!$E$196+(($B$168)-$A150)*'Cálculos'!$E$98)+1400)+'Cálculos'!$E$123)*'Cálculos'!$E$219)+('Cálculos'!$E$196+(($B$168)-$A150)*'Cálculos'!$E$98)*('Cálculos'!$E$210+'Cálculos'!$E$124*(1+2.78*('Cálculos'!$E$196+(($B$168)-$A150)*'Cálculos'!$E$98)/(('Cálculos'!$E$196+(($B$168)-$A150)*'Cálculos'!$E$98)+1400)+'Cálculos'!$E$122)*'Cálculos'!$E$215+'Cálculos'!$E$125*(1+2.78*('Cálculos'!$E$196+(($B$168)-$A150)*'Cálculos'!$E$98)/(('Cálculos'!$E$196+(($B$168)-$A150)*'Cálculos'!$E$98)+1400)+'Cálculos'!$E$123)*'Cálculos'!$E$220)+('Cálculos'!$E$201*(1+'Cálculos'!$E$202+$A150*('Cálculos'!$E$290=2)*'Cálculos'!$E$101)+'Cálculos'!$E$203)*('Cálculos'!$E$211+'Cálculos'!$E$124*(1+2.78*('Cálculos'!$E$196+(($B$168)-$A150)*'Cálculos'!$E$98)/(('Cálculos'!$E$196+(($B$168)-$A150)*'Cálculos'!$E$98)+1400)+'Cálculos'!$E$122)*'Cálculos'!$E$216+'Cálculos'!$E$125*(1+2.78*('Cálculos'!$E$196+(($B$168)-$A150)*'Cálculos'!$E$98)/(('Cálculos'!$E$196+(($B$168)-$A150)*'Cálculos'!$E$98)+1400)+'Cálculos'!$E$123)*'Cálculos'!$E$221)+('Cálculos'!$E$204*(1+'Cálculos'!$E$205+$A150*('Cálculos'!$E$290=3)*'Cálculos'!$E$103)+'Cálculos'!$E$206)*('Cálculos'!$E$212+'Cálculos'!$E$124*(1+2.78*('Cálculos'!$E$196+(($B$168)-$A150)*'Cálculos'!$E$98)/(('Cálculos'!$E$196+(($B$168)-$A150)*'Cálculos'!$E$98)+1400)+'Cálculos'!$E$122)*'Cálculos'!$E$217+'Cálculos'!$E$125*(1+2.78*('Cálculos'!$E$196+(($B$168)-$A150)*'Cálculos'!$E$98)/(('Cálculos'!$E$196+(($B$168)-$A150)*'Cálculos'!$E$98)+1400)+'Cálculos'!$E$123)*'Cálculos'!$E$222)+('Cálculos'!$E$213+'Cálculos'!$E$124*(1+2.78*('Cálculos'!$E$196+(($B$168)-$A150)*'Cálculos'!$E$98)/(('Cálculos'!$E$196+(($B$168)-$A150)*'Cálculos'!$E$98)+1400)+'Cálculos'!$E$122)*'Cálculos'!$E$218+'Cálculos'!$E$125*(1+2.78*('Cálculos'!$E$196+(($B$168)-$A150)*'Cálculos'!$E$98)/(('Cálculos'!$E$196+(($B$168)-$A150)*'Cálculos'!$E$98)+1400)+'Cálculos'!$E$123)*'Cálculos'!$E$223)+('Cálculos'!$E$185*(1+'Cálculos'!$E$187+$A150*('Cálculos'!$E$290=1)*'Cálculos'!$E$97+'Cálculos'!$E$305)+'Cálculos'!$E$192)*('Cálculos'!$E$224+'Cálculos'!$E$124*(1+2.78*('Cálculos'!$E$197+(($B$168)-$A150)*'Cálculos'!$E$98)/(('Cálculos'!$E$197+(($B$168)-$A150)*'Cálculos'!$E$98)+1400)+'Cálculos'!$E$122)*'Cálculos'!$E$229+'Cálculos'!$E$125*(1+2.78*('Cálculos'!$E$197+(($B$168)-$A150)*'Cálculos'!$E$98)/(('Cálculos'!$E$197+(($B$168)-$A150)*'Cálculos'!$E$98)+1400)+'Cálculos'!$E$123)*'Cálculos'!$E$234)+('Cálculos'!$E$197+(($B$168)-$A150)*'Cálculos'!$E$98)*('Cálculos'!$E$225+'Cálculos'!$E$124*(1+2.78*('Cálculos'!$E$197+(($B$168)-$A150)*'Cálculos'!$E$98)/(('Cálculos'!$E$197+(($B$168)-$A150)*'Cálculos'!$E$98)+1400)+'Cálculos'!$E$122)*'Cálculos'!$E$230+'Cálculos'!$E$125*(1+2.78*('Cálculos'!$E$197+(($B$168)-$A150)*'Cálculos'!$E$98)/(('Cálculos'!$E$197+(($B$168)-$A150)*'Cálculos'!$E$98)+1400)+'Cálculos'!$E$123)*'Cálculos'!$E$235)+('Cálculos'!$E$201*(1+'Cálculos'!$E$202+$A150*('Cálculos'!$E$290=2)*'Cálculos'!$E$101)+'Cálculos'!$E$203)*('Cálculos'!$E$226+'Cálculos'!$E$124*(1+2.78*('Cálculos'!$E$197+(($B$168)-$A150)*'Cálculos'!$E$98)/(('Cálculos'!$E$197+(($B$168)-$A150)*'Cálculos'!$E$98)+1400)+'Cálculos'!$E$122)*'Cálculos'!$E$231+'Cálculos'!$E$125*(1+2.78*('Cálculos'!$E$197+(($B$168)-$A150)*'Cálculos'!$E$98)/(('Cálculos'!$E$197+(($B$168)-$A150)*'Cálculos'!$E$98)+1400)+'Cálculos'!$E$123)*'Cálculos'!$E$236)+('Cálculos'!$E$204*(1+'Cálculos'!$E$205+$A150*('Cálculos'!$E$290=3)*'Cálculos'!$E$103)+'Cálculos'!$E$206)*('Cálculos'!$E$227+'Cálculos'!$E$124*(1+2.78*('Cálculos'!$E$197+(($B$168)-$A150)*'Cálculos'!$E$98)/(('Cálculos'!$E$197+(($B$168)-$A150)*'Cálculos'!$E$98)+1400)+'Cálculos'!$E$122)*'Cálculos'!$E$232+'Cálculos'!$E$125*(1+2.78*('Cálculos'!$E$197+(($B$168)-$A150)*'Cálculos'!$E$98)/(('Cálculos'!$E$197+(($B$168)-$A150)*'Cálculos'!$E$98)+1400)+'Cálculos'!$E$123)*'Cálculos'!$E$237)+('Cálculos'!$E$228+'Cálculos'!$E$124*(1+2.78*('Cálculos'!$E$197+(($B$168)-$A150)*'Cálculos'!$E$98)/(('Cálculos'!$E$197+(($B$168)-$A150)*'Cálculos'!$E$98)+1400)+'Cálculos'!$E$122)*'Cálculos'!$E$233+'Cálculos'!$E$125*(1+2.78*('Cálculos'!$E$197+(($B$168)-$A150)*'Cálculos'!$E$98)/(('Cálculos'!$E$197+(($B$168)-$A150)*'Cálculos'!$E$98)+1400)+'Cálculos'!$E$123)*'Cálculos'!$E$238)+('Cálculos'!$E$185*(1+'Cálculos'!$E$188+$A150*('Cálculos'!$E$290=1)*'Cálculos'!$E$97+'Cálculos'!$E$305)+'Cálculos'!$E$193)*('Cálculos'!$E$239+'Cálculos'!$E$124*(1+2.78*('Cálculos'!$E$198+(($B$168)-$A150)*'Cálculos'!$E$98)/(('Cálculos'!$E$198+(($B$168)-$A150)*'Cálculos'!$E$98)+1400)+'Cálculos'!$E$122)*'Cálculos'!$E$244+'Cálculos'!$E$125*(1+2.78*('Cálculos'!$E$198+(($B$168)-$A150)*'Cálculos'!$E$98)/(('Cálculos'!$E$198+(($B$168)-$A150)*'Cálculos'!$E$98)+1400)+'Cálculos'!$E$123)*'Cálculos'!$E$249)+('Cálculos'!$E$198+(($B$168)-$A150)*'Cálculos'!$E$98)*('Cálculos'!$E$240+'Cálculos'!$E$124*(1+2.78*('Cálculos'!$E$198+(($B$168)-$A150)*'Cálculos'!$E$98)/(('Cálculos'!$E$198+(($B$168)-$A150)*'Cálculos'!$E$98)+1400)+'Cálculos'!$E$122)*'Cálculos'!$E$245+'Cálculos'!$E$125*(1+2.78*('Cálculos'!$E$198+(($B$168)-$A150)*'Cálculos'!$E$98)/(('Cálculos'!$E$198+(($B$168)-$A150)*'Cálculos'!$E$98)+1400)+'Cálculos'!$E$123)*'Cálculos'!$E$250)+('Cálculos'!$E$201*(1+'Cálculos'!$E$202+$A150*('Cálculos'!$E$290=2)*'Cálculos'!$E$101)+'Cálculos'!$E$203)*('Cálculos'!$E$241+'Cálculos'!$E$124*(1+2.78*('Cálculos'!$E$198+(($B$168)-$A150)*'Cálculos'!$E$98)/(('Cálculos'!$E$198+(($B$168)-$A150)*'Cálculos'!$E$98)+1400)+'Cálculos'!$E$122)*'Cálculos'!$E$246+'Cálculos'!$E$125*(1+2.78*('Cálculos'!$E$198+(($B$168)-$A150)*'Cálculos'!$E$98)/(('Cálculos'!$E$198+(($B$168)-$A150)*'Cálculos'!$E$98)+1400)+'Cálculos'!$E$123)*'Cálculos'!$E$251)+('Cálculos'!$E$204*(1+'Cálculos'!$E$205+$A150*('Cálculos'!$E$290=3)*'Cálculos'!$E$103)+'Cálculos'!$E$206)*('Cálculos'!$E$242+'Cálculos'!$E$124*(1+2.78*('Cálculos'!$E$198+(($B$168)-$A150)*'Cálculos'!$E$98)/(('Cálculos'!$E$198+(($B$168)-$A150)*'Cálculos'!$E$98)+1400)+'Cálculos'!$E$122)*'Cálculos'!$E$247+'Cálculos'!$E$125*(1+2.78*('Cálculos'!$E$198+(($B$168)-$A150)*'Cálculos'!$E$98)/(('Cálculos'!$E$198+(($B$168)-$A150)*'Cálculos'!$E$98)+1400)+'Cálculos'!$E$123)*'Cálculos'!$E$252)+('Cálculos'!$E$243+'Cálculos'!$E$124*(1+2.78*('Cálculos'!$E$198+(($B$168)-$A150)*'Cálculos'!$E$98)/(('Cálculos'!$E$198+(($B$168)-$A150)*'Cálculos'!$E$98)+1400)+'Cálculos'!$E$122)*'Cálculos'!$E$248+'Cálculos'!$E$125*(1+2.78*('Cálculos'!$E$198+(($B$168)-$A150)*'Cálculos'!$E$98)/(('Cálculos'!$E$198+(($B$168)-$A150)*'Cálculos'!$E$98)+1400)+'Cálculos'!$E$123)*'Cálculos'!$E$253)+('Cálculos'!$E$185*(1+'Cálculos'!$E$189+$A150*('Cálculos'!$E$290=1)*'Cálculos'!$E$97+'Cálculos'!$E$305)+'Cálculos'!$E$194)*('Cálculos'!$E$254+'Cálculos'!$E$124*(1+2.78*('Cálculos'!$E$199+(($B$168)-$A150)*'Cálculos'!$E$98)/(('Cálculos'!$E$199+(($B$168)-$A150)*'Cálculos'!$E$98)+1400)+'Cálculos'!$E$122)*'Cálculos'!$E$259+'Cálculos'!$E$125*(1+2.78*('Cálculos'!$E$199+(($B$168)-$A150)*'Cálculos'!$E$98)/(('Cálculos'!$E$199+(($B$168)-$A150)*'Cálculos'!$E$98)+1400)+'Cálculos'!$E$123)*'Cálculos'!$E$264)+('Cálculos'!$E$199+(($B$168)-$A150)*'Cálculos'!$E$98)*('Cálculos'!$E$255+'Cálculos'!$E$124*(1+2.78*('Cálculos'!$E$199+(($B$168)-$A150)*'Cálculos'!$E$98)/(('Cálculos'!$E$199+(($B$168)-$A150)*'Cálculos'!$E$98)+1400)+'Cálculos'!$E$122)*'Cálculos'!$E$260+'Cálculos'!$E$125*(1+2.78*('Cálculos'!$E$199+(($B$168)-$A150)*'Cálculos'!$E$98)/(('Cálculos'!$E$199+(($B$168)-$A150)*'Cálculos'!$E$98)+1400)+'Cálculos'!$E$123)*'Cálculos'!$E$265)+('Cálculos'!$E$201*(1+'Cálculos'!$E$202+$A150*('Cálculos'!$E$290=2)*'Cálculos'!$E$101)+'Cálculos'!$E$203)*('Cálculos'!$E$256+'Cálculos'!$E$124*(1+2.78*('Cálculos'!$E$199+(($B$168)-$A150)*'Cálculos'!$E$98)/(('Cálculos'!$E$199+(($B$168)-$A150)*'Cálculos'!$E$98)+1400)+'Cálculos'!$E$122)*'Cálculos'!$E$261+'Cálculos'!$E$125*(1+2.78*('Cálculos'!$E$199+(($B$168)-$A150)*'Cálculos'!$E$98)/(('Cálculos'!$E$199+(($B$168)-$A150)*'Cálculos'!$E$98)+1400)+'Cálculos'!$E$123)*'Cálculos'!$E$266)+('Cálculos'!$E$204*(1+'Cálculos'!$E$205+$A150*('Cálculos'!$E$290=3)*'Cálculos'!$E$103)+'Cálculos'!$E$206)*('Cálculos'!$E$257+'Cálculos'!$E$124*(1+2.78*('Cálculos'!$E$199+(($B$168)-$A150)*'Cálculos'!$E$98)/(('Cálculos'!$E$199+(($B$168)-$A150)*'Cálculos'!$E$98)+1400)+'Cálculos'!$E$122)*'Cálculos'!$E$262+'Cálculos'!$E$125*(1+2.78*('Cálculos'!$E$199+(($B$168)-$A150)*'Cálculos'!$E$98)/(('Cálculos'!$E$199+(($B$168)-$A150)*'Cálculos'!$E$98)+1400)+'Cálculos'!$E$123)*'Cálculos'!$E$267)+('Cálculos'!$E$258+'Cálculos'!$E$124*(1+2.78*('Cálculos'!$E$199+(($B$168)-$A150)*'Cálculos'!$E$98)/(('Cálculos'!$E$199+(($B$168)-$A150)*'Cálculos'!$E$98)+1400)+'Cálculos'!$E$122)*'Cálculos'!$E$263+'Cálculos'!$E$125*(1+2.78*('Cálculos'!$E$199+(($B$168)-$A150)*'Cálculos'!$E$98)/(('Cálculos'!$E$199+(($B$168)-$A150)*'Cálculos'!$E$98)+1400)+'Cálculos'!$E$123)*'Cálculos'!$E$268)+('Cálculos'!$E$185*(1+'Cálculos'!$E$190+$A150*('Cálculos'!$E$290=1)*'Cálculos'!$E$97+'Cálculos'!$E$305)+'Cálculos'!$E$195)*('Cálculos'!$E$269+'Cálculos'!$E$124*(1+2.78*('Cálculos'!$E$200+(($B$168)-$A150)*'Cálculos'!$E$98)/(('Cálculos'!$E$200+(($B$168)-$A150)*'Cálculos'!$E$98)+1400)+'Cálculos'!$E$122)*'Cálculos'!$E$274+'Cálculos'!$E$125*(1+2.78*('Cálculos'!$E$200+(($B$168)-$A150)*'Cálculos'!$E$98)/(('Cálculos'!$E$200+(($B$168)-$A150)*'Cálculos'!$E$98)+1400)+'Cálculos'!$E$123)*'Cálculos'!$E$279)+('Cálculos'!$E$200+(($B$168)-$A150)*'Cálculos'!$E$98)*('Cálculos'!$E$270+'Cálculos'!$E$124*(1+2.78*('Cálculos'!$E$200+(($B$168)-$A150)*'Cálculos'!$E$98)/(('Cálculos'!$E$200+(($B$168)-$A150)*'Cálculos'!$E$98)+1400)+'Cálculos'!$E$122)*'Cálculos'!$E$275+'Cálculos'!$E$125*(1+2.78*('Cálculos'!$E$200+(($B$168)-$A150)*'Cálculos'!$E$98)/(('Cálculos'!$E$200+(($B$168)-$A150)*'Cálculos'!$E$98)+1400)+'Cálculos'!$E$123)*'Cálculos'!$E$280)+('Cálculos'!$E$201*(1+'Cálculos'!$E$202+$A150*('Cálculos'!$E$290=2)*'Cálculos'!$E$101)+'Cálculos'!$E$203)*('Cálculos'!$E$271+'Cálculos'!$E$124*(1+2.78*('Cálculos'!$E$200+(($B$168)-$A150)*'Cálculos'!$E$98)/(('Cálculos'!$E$200+(($B$168)-$A150)*'Cálculos'!$E$98)+1400)+'Cálculos'!$E$122)*'Cálculos'!$E$276+'Cálculos'!$E$125*(1+2.78*('Cálculos'!$E$200+(($B$168)-$A150)*'Cálculos'!$E$98)/(('Cálculos'!$E$200+(($B$168)-$A150)*'Cálculos'!$E$98)+1400)+'Cálculos'!$E$123)*'Cálculos'!$E$281)+('Cálculos'!$E$204*(1+'Cálculos'!$E$205+$A150*('Cálculos'!$E$290=3)*'Cálculos'!$E$103)+'Cálculos'!$E$206)*('Cálculos'!$E$272+'Cálculos'!$E$124*(1+2.78*('Cálculos'!$E$200+(($B$168)-$A150)*'Cálculos'!$E$98)/(('Cálculos'!$E$200+(($B$168)-$A150)*'Cálculos'!$E$98)+1400)+'Cálculos'!$E$122)*'Cálculos'!$E$277+'Cálculos'!$E$125*(1+2.78*('Cálculos'!$E$200+(($B$168)-$A150)*'Cálculos'!$E$98)/(('Cálculos'!$E$200+(($B$168)-$A150)*'Cálculos'!$E$98)+1400)+'Cálculos'!$E$123)*'Cálculos'!$E$282)+('Cálculos'!$E$273+'Cálculos'!$E$124*(1+2.78*('Cálculos'!$E$200+(($B$168)-$A150)*'Cálculos'!$E$98)/(('Cálculos'!$E$200+(($B$168)-$A150)*'Cálculos'!$E$98)+1400)+'Cálculos'!$E$122)*'Cálculos'!$E$278+'Cálculos'!$E$125*(1+2.78*('Cálculos'!$E$200+(($B$168)-$A150)*'Cálculos'!$E$98)/(('Cálculos'!$E$200+(($B$168)-$A150)*'Cálculos'!$E$98)+1400)+'Cálculos'!$E$123)*'Cálculos'!$E$283)))</f>
        <v>0</v>
      </c>
    </row>
    <row r="151" ht="15.75" customHeight="1">
      <c r="A151" s="2">
        <v>31.0</v>
      </c>
      <c r="B151" s="30">
        <f>SUMPRODUCT(MAX(($A$120:$A$165&lt;=$A151)*($A$120:$A$165&lt;='Cálculos'!$E$294)*(($A151)-$A$120:$A$165&lt;='Cálculos'!$E$295)*(1+(('Cálculos'!$E$207+$A$120:$A$165*'Cálculos'!$E$95)-(('Cálculos'!$E$207+$A$120:$A$165*'Cálculos'!$E$95)&gt;1)*(('Cálculos'!$E$207+$A$120:$A$165*'Cálculos'!$E$95)-1))*('Cálculos'!$E$208+(($A151)-$A$120:$A$165)*'Cálculos'!$E$96))))</f>
        <v>2.559306</v>
      </c>
      <c r="C151" s="2">
        <f>'Cálculos'!$E$303-$A151</f>
        <v>-18</v>
      </c>
      <c r="D151" s="31">
        <f>IF($C151&lt;0,0,SUMPRODUCT(MAX(($A$120:$A$165&lt;=$C151)*($A$120:$A$165&lt;='Cálculos'!$E$301)*(($C151)-$A$120:$A$165&lt;='Cálculos'!$E$297)*(('Cálculos'!$E$185*(1+'Cálculos'!$E$186+$A$120:$A$165*('Cálculos'!$E$290=1)*'Cálculos'!$E$97+'Cálculos'!$E$305)+'Cálculos'!$E$191)*('Cálculos'!$E$209+'Cálculos'!$E$124*(1+2.78*('Cálculos'!$E$196+(($C151)-$A$120:$A$165)*'Cálculos'!$E$98)/(('Cálculos'!$E$196+(($C151)-$A$120:$A$165)*'Cálculos'!$E$98)+1400)+'Cálculos'!$E$122)*'Cálculos'!$E$214+'Cálculos'!$E$125*(1+2.78*('Cálculos'!$E$196+(($C151)-$A$120:$A$165)*'Cálculos'!$E$98)/(('Cálculos'!$E$196+(($C151)-$A$120:$A$165)*'Cálculos'!$E$98)+1400)+'Cálculos'!$E$123)*'Cálculos'!$E$219)+('Cálculos'!$E$196+(($C151)-$A$120:$A$165)*'Cálculos'!$E$98)*('Cálculos'!$E$210+'Cálculos'!$E$124*(1+2.78*('Cálculos'!$E$196+(($C151)-$A$120:$A$165)*'Cálculos'!$E$98)/(('Cálculos'!$E$196+(($C151)-$A$120:$A$165)*'Cálculos'!$E$98)+1400)+'Cálculos'!$E$122)*'Cálculos'!$E$215+'Cálculos'!$E$125*(1+2.78*('Cálculos'!$E$196+(($C151)-$A$120:$A$165)*'Cálculos'!$E$98)/(('Cálculos'!$E$196+(($C151)-$A$120:$A$165)*'Cálculos'!$E$98)+1400)+'Cálculos'!$E$123)*'Cálculos'!$E$220)+('Cálculos'!$E$201*(1+'Cálculos'!$E$202+$A$120:$A$165*('Cálculos'!$E$290=2)*'Cálculos'!$E$101)+'Cálculos'!$E$203)*('Cálculos'!$E$211+'Cálculos'!$E$124*(1+2.78*('Cálculos'!$E$196+(($C151)-$A$120:$A$165)*'Cálculos'!$E$98)/(('Cálculos'!$E$196+(($C151)-$A$120:$A$165)*'Cálculos'!$E$98)+1400)+'Cálculos'!$E$122)*'Cálculos'!$E$216+'Cálculos'!$E$125*(1+2.78*('Cálculos'!$E$196+(($C151)-$A$120:$A$165)*'Cálculos'!$E$98)/(('Cálculos'!$E$196+(($C151)-$A$120:$A$165)*'Cálculos'!$E$98)+1400)+'Cálculos'!$E$123)*'Cálculos'!$E$221)+('Cálculos'!$E$204*(1+'Cálculos'!$E$205+$A$120:$A$165*('Cálculos'!$E$290=3)*'Cálculos'!$E$103)+'Cálculos'!$E$206)*('Cálculos'!$E$212+'Cálculos'!$E$124*(1+2.78*('Cálculos'!$E$196+(($C151)-$A$120:$A$165)*'Cálculos'!$E$98)/(('Cálculos'!$E$196+(($C151)-$A$120:$A$165)*'Cálculos'!$E$98)+1400)+'Cálculos'!$E$122)*'Cálculos'!$E$217+'Cálculos'!$E$125*(1+2.78*('Cálculos'!$E$196+(($C151)-$A$120:$A$165)*'Cálculos'!$E$98)/(('Cálculos'!$E$196+(($C151)-$A$120:$A$165)*'Cálculos'!$E$98)+1400)+'Cálculos'!$E$123)*'Cálculos'!$E$222)+('Cálculos'!$E$213+'Cálculos'!$E$124*(1+2.78*('Cálculos'!$E$196+(($C151)-$A$120:$A$165)*'Cálculos'!$E$98)/(('Cálculos'!$E$196+(($C151)-$A$120:$A$165)*'Cálculos'!$E$98)+1400)+'Cálculos'!$E$122)*'Cálculos'!$E$218+'Cálculos'!$E$125*(1+2.78*('Cálculos'!$E$196+(($C151)-$A$120:$A$165)*'Cálculos'!$E$98)/(('Cálculos'!$E$196+(($C151)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151)-$A$120:$A$165)*'Cálculos'!$E$98)/(('Cálculos'!$E$197+(($C151)-$A$120:$A$165)*'Cálculos'!$E$98)+1400)+'Cálculos'!$E$122)*'Cálculos'!$E$229+'Cálculos'!$E$125*(1+2.78*('Cálculos'!$E$197+(($C151)-$A$120:$A$165)*'Cálculos'!$E$98)/(('Cálculos'!$E$197+(($C151)-$A$120:$A$165)*'Cálculos'!$E$98)+1400)+'Cálculos'!$E$123)*'Cálculos'!$E$234)+('Cálculos'!$E$197+(($C151)-$A$120:$A$165)*'Cálculos'!$E$98)*('Cálculos'!$E$225+'Cálculos'!$E$124*(1+2.78*('Cálculos'!$E$197+(($C151)-$A$120:$A$165)*'Cálculos'!$E$98)/(('Cálculos'!$E$197+(($C151)-$A$120:$A$165)*'Cálculos'!$E$98)+1400)+'Cálculos'!$E$122)*'Cálculos'!$E$230+'Cálculos'!$E$125*(1+2.78*('Cálculos'!$E$197+(($C151)-$A$120:$A$165)*'Cálculos'!$E$98)/(('Cálculos'!$E$197+(($C151)-$A$120:$A$165)*'Cálculos'!$E$98)+1400)+'Cálculos'!$E$123)*'Cálculos'!$E$235)+('Cálculos'!$E$201*(1+'Cálculos'!$E$202+$A$120:$A$165*('Cálculos'!$E$290=2)*'Cálculos'!$E$101)+'Cálculos'!$E$203)*('Cálculos'!$E$226+'Cálculos'!$E$124*(1+2.78*('Cálculos'!$E$197+(($C151)-$A$120:$A$165)*'Cálculos'!$E$98)/(('Cálculos'!$E$197+(($C151)-$A$120:$A$165)*'Cálculos'!$E$98)+1400)+'Cálculos'!$E$122)*'Cálculos'!$E$231+'Cálculos'!$E$125*(1+2.78*('Cálculos'!$E$197+(($C151)-$A$120:$A$165)*'Cálculos'!$E$98)/(('Cálculos'!$E$197+(($C151)-$A$120:$A$165)*'Cálculos'!$E$98)+1400)+'Cálculos'!$E$123)*'Cálculos'!$E$236)+('Cálculos'!$E$204*(1+'Cálculos'!$E$205+$A$120:$A$165*('Cálculos'!$E$290=3)*'Cálculos'!$E$103)+'Cálculos'!$E$206)*('Cálculos'!$E$227+'Cálculos'!$E$124*(1+2.78*('Cálculos'!$E$197+(($C151)-$A$120:$A$165)*'Cálculos'!$E$98)/(('Cálculos'!$E$197+(($C151)-$A$120:$A$165)*'Cálculos'!$E$98)+1400)+'Cálculos'!$E$122)*'Cálculos'!$E$232+'Cálculos'!$E$125*(1+2.78*('Cálculos'!$E$197+(($C151)-$A$120:$A$165)*'Cálculos'!$E$98)/(('Cálculos'!$E$197+(($C151)-$A$120:$A$165)*'Cálculos'!$E$98)+1400)+'Cálculos'!$E$123)*'Cálculos'!$E$237)+('Cálculos'!$E$228+'Cálculos'!$E$124*(1+2.78*('Cálculos'!$E$197+(($C151)-$A$120:$A$165)*'Cálculos'!$E$98)/(('Cálculos'!$E$197+(($C151)-$A$120:$A$165)*'Cálculos'!$E$98)+1400)+'Cálculos'!$E$122)*'Cálculos'!$E$233+'Cálculos'!$E$125*(1+2.78*('Cálculos'!$E$197+(($C151)-$A$120:$A$165)*'Cálculos'!$E$98)/(('Cálculos'!$E$197+(($C151)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151)-$A$120:$A$165)*'Cálculos'!$E$98)/(('Cálculos'!$E$198+(($C151)-$A$120:$A$165)*'Cálculos'!$E$98)+1400)+'Cálculos'!$E$122)*'Cálculos'!$E$244+'Cálculos'!$E$125*(1+2.78*('Cálculos'!$E$198+(($C151)-$A$120:$A$165)*'Cálculos'!$E$98)/(('Cálculos'!$E$198+(($C151)-$A$120:$A$165)*'Cálculos'!$E$98)+1400)+'Cálculos'!$E$123)*'Cálculos'!$E$249)+('Cálculos'!$E$198+(($C151)-$A$120:$A$165)*'Cálculos'!$E$98)*('Cálculos'!$E$240+'Cálculos'!$E$124*(1+2.78*('Cálculos'!$E$198+(($C151)-$A$120:$A$165)*'Cálculos'!$E$98)/(('Cálculos'!$E$198+(($C151)-$A$120:$A$165)*'Cálculos'!$E$98)+1400)+'Cálculos'!$E$122)*'Cálculos'!$E$245+'Cálculos'!$E$125*(1+2.78*('Cálculos'!$E$198+(($C151)-$A$120:$A$165)*'Cálculos'!$E$98)/(('Cálculos'!$E$198+(($C151)-$A$120:$A$165)*'Cálculos'!$E$98)+1400)+'Cálculos'!$E$123)*'Cálculos'!$E$250)+('Cálculos'!$E$201*(1+'Cálculos'!$E$202+$A$120:$A$165*('Cálculos'!$E$290=2)*'Cálculos'!$E$101)+'Cálculos'!$E$203)*('Cálculos'!$E$241+'Cálculos'!$E$124*(1+2.78*('Cálculos'!$E$198+(($C151)-$A$120:$A$165)*'Cálculos'!$E$98)/(('Cálculos'!$E$198+(($C151)-$A$120:$A$165)*'Cálculos'!$E$98)+1400)+'Cálculos'!$E$122)*'Cálculos'!$E$246+'Cálculos'!$E$125*(1+2.78*('Cálculos'!$E$198+(($C151)-$A$120:$A$165)*'Cálculos'!$E$98)/(('Cálculos'!$E$198+(($C151)-$A$120:$A$165)*'Cálculos'!$E$98)+1400)+'Cálculos'!$E$123)*'Cálculos'!$E$251)+('Cálculos'!$E$204*(1+'Cálculos'!$E$205+$A$120:$A$165*('Cálculos'!$E$290=3)*'Cálculos'!$E$103)+'Cálculos'!$E$206)*('Cálculos'!$E$242+'Cálculos'!$E$124*(1+2.78*('Cálculos'!$E$198+(($C151)-$A$120:$A$165)*'Cálculos'!$E$98)/(('Cálculos'!$E$198+(($C151)-$A$120:$A$165)*'Cálculos'!$E$98)+1400)+'Cálculos'!$E$122)*'Cálculos'!$E$247+'Cálculos'!$E$125*(1+2.78*('Cálculos'!$E$198+(($C151)-$A$120:$A$165)*'Cálculos'!$E$98)/(('Cálculos'!$E$198+(($C151)-$A$120:$A$165)*'Cálculos'!$E$98)+1400)+'Cálculos'!$E$123)*'Cálculos'!$E$252)+('Cálculos'!$E$243+'Cálculos'!$E$124*(1+2.78*('Cálculos'!$E$198+(($C151)-$A$120:$A$165)*'Cálculos'!$E$98)/(('Cálculos'!$E$198+(($C151)-$A$120:$A$165)*'Cálculos'!$E$98)+1400)+'Cálculos'!$E$122)*'Cálculos'!$E$248+'Cálculos'!$E$125*(1+2.78*('Cálculos'!$E$198+(($C151)-$A$120:$A$165)*'Cálculos'!$E$98)/(('Cálculos'!$E$198+(($C151)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151)-$A$120:$A$165)*'Cálculos'!$E$98)/(('Cálculos'!$E$199+(($C151)-$A$120:$A$165)*'Cálculos'!$E$98)+1400)+'Cálculos'!$E$122)*'Cálculos'!$E$259+'Cálculos'!$E$125*(1+2.78*('Cálculos'!$E$199+(($C151)-$A$120:$A$165)*'Cálculos'!$E$98)/(('Cálculos'!$E$199+(($C151)-$A$120:$A$165)*'Cálculos'!$E$98)+1400)+'Cálculos'!$E$123)*'Cálculos'!$E$264)+('Cálculos'!$E$199+(($C151)-$A$120:$A$165)*'Cálculos'!$E$98)*('Cálculos'!$E$255+'Cálculos'!$E$124*(1+2.78*('Cálculos'!$E$199+(($C151)-$A$120:$A$165)*'Cálculos'!$E$98)/(('Cálculos'!$E$199+(($C151)-$A$120:$A$165)*'Cálculos'!$E$98)+1400)+'Cálculos'!$E$122)*'Cálculos'!$E$260+'Cálculos'!$E$125*(1+2.78*('Cálculos'!$E$199+(($C151)-$A$120:$A$165)*'Cálculos'!$E$98)/(('Cálculos'!$E$199+(($C151)-$A$120:$A$165)*'Cálculos'!$E$98)+1400)+'Cálculos'!$E$123)*'Cálculos'!$E$265)+('Cálculos'!$E$201*(1+'Cálculos'!$E$202+$A$120:$A$165*('Cálculos'!$E$290=2)*'Cálculos'!$E$101)+'Cálculos'!$E$203)*('Cálculos'!$E$256+'Cálculos'!$E$124*(1+2.78*('Cálculos'!$E$199+(($C151)-$A$120:$A$165)*'Cálculos'!$E$98)/(('Cálculos'!$E$199+(($C151)-$A$120:$A$165)*'Cálculos'!$E$98)+1400)+'Cálculos'!$E$122)*'Cálculos'!$E$261+'Cálculos'!$E$125*(1+2.78*('Cálculos'!$E$199+(($C151)-$A$120:$A$165)*'Cálculos'!$E$98)/(('Cálculos'!$E$199+(($C151)-$A$120:$A$165)*'Cálculos'!$E$98)+1400)+'Cálculos'!$E$123)*'Cálculos'!$E$266)+('Cálculos'!$E$204*(1+'Cálculos'!$E$205+$A$120:$A$165*('Cálculos'!$E$290=3)*'Cálculos'!$E$103)+'Cálculos'!$E$206)*('Cálculos'!$E$257+'Cálculos'!$E$124*(1+2.78*('Cálculos'!$E$199+(($C151)-$A$120:$A$165)*'Cálculos'!$E$98)/(('Cálculos'!$E$199+(($C151)-$A$120:$A$165)*'Cálculos'!$E$98)+1400)+'Cálculos'!$E$122)*'Cálculos'!$E$262+'Cálculos'!$E$125*(1+2.78*('Cálculos'!$E$199+(($C151)-$A$120:$A$165)*'Cálculos'!$E$98)/(('Cálculos'!$E$199+(($C151)-$A$120:$A$165)*'Cálculos'!$E$98)+1400)+'Cálculos'!$E$123)*'Cálculos'!$E$267)+('Cálculos'!$E$258+'Cálculos'!$E$124*(1+2.78*('Cálculos'!$E$199+(($C151)-$A$120:$A$165)*'Cálculos'!$E$98)/(('Cálculos'!$E$199+(($C151)-$A$120:$A$165)*'Cálculos'!$E$98)+1400)+'Cálculos'!$E$122)*'Cálculos'!$E$263+'Cálculos'!$E$125*(1+2.78*('Cálculos'!$E$199+(($C151)-$A$120:$A$165)*'Cálculos'!$E$98)/(('Cálculos'!$E$199+(($C151)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151)-$A$120:$A$165)*'Cálculos'!$E$98)/(('Cálculos'!$E$200+(($C151)-$A$120:$A$165)*'Cálculos'!$E$98)+1400)+'Cálculos'!$E$122)*'Cálculos'!$E$274+'Cálculos'!$E$125*(1+2.78*('Cálculos'!$E$200+(($C151)-$A$120:$A$165)*'Cálculos'!$E$98)/(('Cálculos'!$E$200+(($C151)-$A$120:$A$165)*'Cálculos'!$E$98)+1400)+'Cálculos'!$E$123)*'Cálculos'!$E$279)+('Cálculos'!$E$200+(($C151)-$A$120:$A$165)*'Cálculos'!$E$98)*('Cálculos'!$E$270+'Cálculos'!$E$124*(1+2.78*('Cálculos'!$E$200+(($C151)-$A$120:$A$165)*'Cálculos'!$E$98)/(('Cálculos'!$E$200+(($C151)-$A$120:$A$165)*'Cálculos'!$E$98)+1400)+'Cálculos'!$E$122)*'Cálculos'!$E$275+'Cálculos'!$E$125*(1+2.78*('Cálculos'!$E$200+(($C151)-$A$120:$A$165)*'Cálculos'!$E$98)/(('Cálculos'!$E$200+(($C151)-$A$120:$A$165)*'Cálculos'!$E$98)+1400)+'Cálculos'!$E$123)*'Cálculos'!$E$280)+('Cálculos'!$E$201*(1+'Cálculos'!$E$202+$A$120:$A$165*('Cálculos'!$E$290=2)*'Cálculos'!$E$101)+'Cálculos'!$E$203)*('Cálculos'!$E$271+'Cálculos'!$E$124*(1+2.78*('Cálculos'!$E$200+(($C151)-$A$120:$A$165)*'Cálculos'!$E$98)/(('Cálculos'!$E$200+(($C151)-$A$120:$A$165)*'Cálculos'!$E$98)+1400)+'Cálculos'!$E$122)*'Cálculos'!$E$276+'Cálculos'!$E$125*(1+2.78*('Cálculos'!$E$200+(($C151)-$A$120:$A$165)*'Cálculos'!$E$98)/(('Cálculos'!$E$200+(($C151)-$A$120:$A$165)*'Cálculos'!$E$98)+1400)+'Cálculos'!$E$123)*'Cálculos'!$E$281)+('Cálculos'!$E$204*(1+'Cálculos'!$E$205+$A$120:$A$165*('Cálculos'!$E$290=3)*'Cálculos'!$E$103)+'Cálculos'!$E$206)*('Cálculos'!$E$272+'Cálculos'!$E$124*(1+2.78*('Cálculos'!$E$200+(($C151)-$A$120:$A$165)*'Cálculos'!$E$98)/(('Cálculos'!$E$200+(($C151)-$A$120:$A$165)*'Cálculos'!$E$98)+1400)+'Cálculos'!$E$122)*'Cálculos'!$E$277+'Cálculos'!$E$125*(1+2.78*('Cálculos'!$E$200+(($C151)-$A$120:$A$165)*'Cálculos'!$E$98)/(('Cálculos'!$E$200+(($C151)-$A$120:$A$165)*'Cálculos'!$E$98)+1400)+'Cálculos'!$E$123)*'Cálculos'!$E$282)+('Cálculos'!$E$273+'Cálculos'!$E$124*(1+2.78*('Cálculos'!$E$200+(($C151)-$A$120:$A$165)*'Cálculos'!$E$98)/(('Cálculos'!$E$200+(($C151)-$A$120:$A$165)*'Cálculos'!$E$98)+1400)+'Cálculos'!$E$122)*'Cálculos'!$E$278+'Cálculos'!$E$125*(1+2.78*('Cálculos'!$E$200+(($C151)-$A$120:$A$165)*'Cálculos'!$E$98)/(('Cálculos'!$E$200+(($C151)-$A$120:$A$165)*'Cálculos'!$E$98)+1400)+'Cálculos'!$E$123)*'Cálculos'!$E$283)))))</f>
        <v>0</v>
      </c>
      <c r="E151" s="32">
        <f>IF(OR($C151&lt;0,'Cálculos'!$E$6=""),0,$B151*$D151)</f>
        <v>0</v>
      </c>
      <c r="F151" s="2"/>
      <c r="G151" s="30">
        <f>($A151&lt;=$B$167)*($A151&lt;='Cálculos'!$E$294)*(($B$167)-$A151&lt;='Cálculos'!$E$295)*(1+MIN(('Cálculos'!$E$207+$A151*'Cálculos'!$E$95),1)*('Cálculos'!$E$208+(($B$167)-$A151)*'Cálculos'!$E$96))</f>
        <v>0</v>
      </c>
      <c r="H151" s="31">
        <f>IF($B$168&lt;0,0,($A151&lt;=$B$168)*($A151&lt;='Cálculos'!$E$301)*(($B$168)-$A151&lt;='Cálculos'!$E$297)*(('Cálculos'!$E$185*(1+'Cálculos'!$E$186+$A151*('Cálculos'!$E$290=1)*'Cálculos'!$E$97+'Cálculos'!$E$305)+'Cálculos'!$E$191)*('Cálculos'!$E$209+'Cálculos'!$E$124*(1+2.78*('Cálculos'!$E$196+(($B$168)-$A151)*'Cálculos'!$E$98)/(('Cálculos'!$E$196+(($B$168)-$A151)*'Cálculos'!$E$98)+1400)+'Cálculos'!$E$122)*'Cálculos'!$E$214+'Cálculos'!$E$125*(1+2.78*('Cálculos'!$E$196+(($B$168)-$A151)*'Cálculos'!$E$98)/(('Cálculos'!$E$196+(($B$168)-$A151)*'Cálculos'!$E$98)+1400)+'Cálculos'!$E$123)*'Cálculos'!$E$219)+('Cálculos'!$E$196+(($B$168)-$A151)*'Cálculos'!$E$98)*('Cálculos'!$E$210+'Cálculos'!$E$124*(1+2.78*('Cálculos'!$E$196+(($B$168)-$A151)*'Cálculos'!$E$98)/(('Cálculos'!$E$196+(($B$168)-$A151)*'Cálculos'!$E$98)+1400)+'Cálculos'!$E$122)*'Cálculos'!$E$215+'Cálculos'!$E$125*(1+2.78*('Cálculos'!$E$196+(($B$168)-$A151)*'Cálculos'!$E$98)/(('Cálculos'!$E$196+(($B$168)-$A151)*'Cálculos'!$E$98)+1400)+'Cálculos'!$E$123)*'Cálculos'!$E$220)+('Cálculos'!$E$201*(1+'Cálculos'!$E$202+$A151*('Cálculos'!$E$290=2)*'Cálculos'!$E$101)+'Cálculos'!$E$203)*('Cálculos'!$E$211+'Cálculos'!$E$124*(1+2.78*('Cálculos'!$E$196+(($B$168)-$A151)*'Cálculos'!$E$98)/(('Cálculos'!$E$196+(($B$168)-$A151)*'Cálculos'!$E$98)+1400)+'Cálculos'!$E$122)*'Cálculos'!$E$216+'Cálculos'!$E$125*(1+2.78*('Cálculos'!$E$196+(($B$168)-$A151)*'Cálculos'!$E$98)/(('Cálculos'!$E$196+(($B$168)-$A151)*'Cálculos'!$E$98)+1400)+'Cálculos'!$E$123)*'Cálculos'!$E$221)+('Cálculos'!$E$204*(1+'Cálculos'!$E$205+$A151*('Cálculos'!$E$290=3)*'Cálculos'!$E$103)+'Cálculos'!$E$206)*('Cálculos'!$E$212+'Cálculos'!$E$124*(1+2.78*('Cálculos'!$E$196+(($B$168)-$A151)*'Cálculos'!$E$98)/(('Cálculos'!$E$196+(($B$168)-$A151)*'Cálculos'!$E$98)+1400)+'Cálculos'!$E$122)*'Cálculos'!$E$217+'Cálculos'!$E$125*(1+2.78*('Cálculos'!$E$196+(($B$168)-$A151)*'Cálculos'!$E$98)/(('Cálculos'!$E$196+(($B$168)-$A151)*'Cálculos'!$E$98)+1400)+'Cálculos'!$E$123)*'Cálculos'!$E$222)+('Cálculos'!$E$213+'Cálculos'!$E$124*(1+2.78*('Cálculos'!$E$196+(($B$168)-$A151)*'Cálculos'!$E$98)/(('Cálculos'!$E$196+(($B$168)-$A151)*'Cálculos'!$E$98)+1400)+'Cálculos'!$E$122)*'Cálculos'!$E$218+'Cálculos'!$E$125*(1+2.78*('Cálculos'!$E$196+(($B$168)-$A151)*'Cálculos'!$E$98)/(('Cálculos'!$E$196+(($B$168)-$A151)*'Cálculos'!$E$98)+1400)+'Cálculos'!$E$123)*'Cálculos'!$E$223)+('Cálculos'!$E$185*(1+'Cálculos'!$E$187+$A151*('Cálculos'!$E$290=1)*'Cálculos'!$E$97+'Cálculos'!$E$305)+'Cálculos'!$E$192)*('Cálculos'!$E$224+'Cálculos'!$E$124*(1+2.78*('Cálculos'!$E$197+(($B$168)-$A151)*'Cálculos'!$E$98)/(('Cálculos'!$E$197+(($B$168)-$A151)*'Cálculos'!$E$98)+1400)+'Cálculos'!$E$122)*'Cálculos'!$E$229+'Cálculos'!$E$125*(1+2.78*('Cálculos'!$E$197+(($B$168)-$A151)*'Cálculos'!$E$98)/(('Cálculos'!$E$197+(($B$168)-$A151)*'Cálculos'!$E$98)+1400)+'Cálculos'!$E$123)*'Cálculos'!$E$234)+('Cálculos'!$E$197+(($B$168)-$A151)*'Cálculos'!$E$98)*('Cálculos'!$E$225+'Cálculos'!$E$124*(1+2.78*('Cálculos'!$E$197+(($B$168)-$A151)*'Cálculos'!$E$98)/(('Cálculos'!$E$197+(($B$168)-$A151)*'Cálculos'!$E$98)+1400)+'Cálculos'!$E$122)*'Cálculos'!$E$230+'Cálculos'!$E$125*(1+2.78*('Cálculos'!$E$197+(($B$168)-$A151)*'Cálculos'!$E$98)/(('Cálculos'!$E$197+(($B$168)-$A151)*'Cálculos'!$E$98)+1400)+'Cálculos'!$E$123)*'Cálculos'!$E$235)+('Cálculos'!$E$201*(1+'Cálculos'!$E$202+$A151*('Cálculos'!$E$290=2)*'Cálculos'!$E$101)+'Cálculos'!$E$203)*('Cálculos'!$E$226+'Cálculos'!$E$124*(1+2.78*('Cálculos'!$E$197+(($B$168)-$A151)*'Cálculos'!$E$98)/(('Cálculos'!$E$197+(($B$168)-$A151)*'Cálculos'!$E$98)+1400)+'Cálculos'!$E$122)*'Cálculos'!$E$231+'Cálculos'!$E$125*(1+2.78*('Cálculos'!$E$197+(($B$168)-$A151)*'Cálculos'!$E$98)/(('Cálculos'!$E$197+(($B$168)-$A151)*'Cálculos'!$E$98)+1400)+'Cálculos'!$E$123)*'Cálculos'!$E$236)+('Cálculos'!$E$204*(1+'Cálculos'!$E$205+$A151*('Cálculos'!$E$290=3)*'Cálculos'!$E$103)+'Cálculos'!$E$206)*('Cálculos'!$E$227+'Cálculos'!$E$124*(1+2.78*('Cálculos'!$E$197+(($B$168)-$A151)*'Cálculos'!$E$98)/(('Cálculos'!$E$197+(($B$168)-$A151)*'Cálculos'!$E$98)+1400)+'Cálculos'!$E$122)*'Cálculos'!$E$232+'Cálculos'!$E$125*(1+2.78*('Cálculos'!$E$197+(($B$168)-$A151)*'Cálculos'!$E$98)/(('Cálculos'!$E$197+(($B$168)-$A151)*'Cálculos'!$E$98)+1400)+'Cálculos'!$E$123)*'Cálculos'!$E$237)+('Cálculos'!$E$228+'Cálculos'!$E$124*(1+2.78*('Cálculos'!$E$197+(($B$168)-$A151)*'Cálculos'!$E$98)/(('Cálculos'!$E$197+(($B$168)-$A151)*'Cálculos'!$E$98)+1400)+'Cálculos'!$E$122)*'Cálculos'!$E$233+'Cálculos'!$E$125*(1+2.78*('Cálculos'!$E$197+(($B$168)-$A151)*'Cálculos'!$E$98)/(('Cálculos'!$E$197+(($B$168)-$A151)*'Cálculos'!$E$98)+1400)+'Cálculos'!$E$123)*'Cálculos'!$E$238)+('Cálculos'!$E$185*(1+'Cálculos'!$E$188+$A151*('Cálculos'!$E$290=1)*'Cálculos'!$E$97+'Cálculos'!$E$305)+'Cálculos'!$E$193)*('Cálculos'!$E$239+'Cálculos'!$E$124*(1+2.78*('Cálculos'!$E$198+(($B$168)-$A151)*'Cálculos'!$E$98)/(('Cálculos'!$E$198+(($B$168)-$A151)*'Cálculos'!$E$98)+1400)+'Cálculos'!$E$122)*'Cálculos'!$E$244+'Cálculos'!$E$125*(1+2.78*('Cálculos'!$E$198+(($B$168)-$A151)*'Cálculos'!$E$98)/(('Cálculos'!$E$198+(($B$168)-$A151)*'Cálculos'!$E$98)+1400)+'Cálculos'!$E$123)*'Cálculos'!$E$249)+('Cálculos'!$E$198+(($B$168)-$A151)*'Cálculos'!$E$98)*('Cálculos'!$E$240+'Cálculos'!$E$124*(1+2.78*('Cálculos'!$E$198+(($B$168)-$A151)*'Cálculos'!$E$98)/(('Cálculos'!$E$198+(($B$168)-$A151)*'Cálculos'!$E$98)+1400)+'Cálculos'!$E$122)*'Cálculos'!$E$245+'Cálculos'!$E$125*(1+2.78*('Cálculos'!$E$198+(($B$168)-$A151)*'Cálculos'!$E$98)/(('Cálculos'!$E$198+(($B$168)-$A151)*'Cálculos'!$E$98)+1400)+'Cálculos'!$E$123)*'Cálculos'!$E$250)+('Cálculos'!$E$201*(1+'Cálculos'!$E$202+$A151*('Cálculos'!$E$290=2)*'Cálculos'!$E$101)+'Cálculos'!$E$203)*('Cálculos'!$E$241+'Cálculos'!$E$124*(1+2.78*('Cálculos'!$E$198+(($B$168)-$A151)*'Cálculos'!$E$98)/(('Cálculos'!$E$198+(($B$168)-$A151)*'Cálculos'!$E$98)+1400)+'Cálculos'!$E$122)*'Cálculos'!$E$246+'Cálculos'!$E$125*(1+2.78*('Cálculos'!$E$198+(($B$168)-$A151)*'Cálculos'!$E$98)/(('Cálculos'!$E$198+(($B$168)-$A151)*'Cálculos'!$E$98)+1400)+'Cálculos'!$E$123)*'Cálculos'!$E$251)+('Cálculos'!$E$204*(1+'Cálculos'!$E$205+$A151*('Cálculos'!$E$290=3)*'Cálculos'!$E$103)+'Cálculos'!$E$206)*('Cálculos'!$E$242+'Cálculos'!$E$124*(1+2.78*('Cálculos'!$E$198+(($B$168)-$A151)*'Cálculos'!$E$98)/(('Cálculos'!$E$198+(($B$168)-$A151)*'Cálculos'!$E$98)+1400)+'Cálculos'!$E$122)*'Cálculos'!$E$247+'Cálculos'!$E$125*(1+2.78*('Cálculos'!$E$198+(($B$168)-$A151)*'Cálculos'!$E$98)/(('Cálculos'!$E$198+(($B$168)-$A151)*'Cálculos'!$E$98)+1400)+'Cálculos'!$E$123)*'Cálculos'!$E$252)+('Cálculos'!$E$243+'Cálculos'!$E$124*(1+2.78*('Cálculos'!$E$198+(($B$168)-$A151)*'Cálculos'!$E$98)/(('Cálculos'!$E$198+(($B$168)-$A151)*'Cálculos'!$E$98)+1400)+'Cálculos'!$E$122)*'Cálculos'!$E$248+'Cálculos'!$E$125*(1+2.78*('Cálculos'!$E$198+(($B$168)-$A151)*'Cálculos'!$E$98)/(('Cálculos'!$E$198+(($B$168)-$A151)*'Cálculos'!$E$98)+1400)+'Cálculos'!$E$123)*'Cálculos'!$E$253)+('Cálculos'!$E$185*(1+'Cálculos'!$E$189+$A151*('Cálculos'!$E$290=1)*'Cálculos'!$E$97+'Cálculos'!$E$305)+'Cálculos'!$E$194)*('Cálculos'!$E$254+'Cálculos'!$E$124*(1+2.78*('Cálculos'!$E$199+(($B$168)-$A151)*'Cálculos'!$E$98)/(('Cálculos'!$E$199+(($B$168)-$A151)*'Cálculos'!$E$98)+1400)+'Cálculos'!$E$122)*'Cálculos'!$E$259+'Cálculos'!$E$125*(1+2.78*('Cálculos'!$E$199+(($B$168)-$A151)*'Cálculos'!$E$98)/(('Cálculos'!$E$199+(($B$168)-$A151)*'Cálculos'!$E$98)+1400)+'Cálculos'!$E$123)*'Cálculos'!$E$264)+('Cálculos'!$E$199+(($B$168)-$A151)*'Cálculos'!$E$98)*('Cálculos'!$E$255+'Cálculos'!$E$124*(1+2.78*('Cálculos'!$E$199+(($B$168)-$A151)*'Cálculos'!$E$98)/(('Cálculos'!$E$199+(($B$168)-$A151)*'Cálculos'!$E$98)+1400)+'Cálculos'!$E$122)*'Cálculos'!$E$260+'Cálculos'!$E$125*(1+2.78*('Cálculos'!$E$199+(($B$168)-$A151)*'Cálculos'!$E$98)/(('Cálculos'!$E$199+(($B$168)-$A151)*'Cálculos'!$E$98)+1400)+'Cálculos'!$E$123)*'Cálculos'!$E$265)+('Cálculos'!$E$201*(1+'Cálculos'!$E$202+$A151*('Cálculos'!$E$290=2)*'Cálculos'!$E$101)+'Cálculos'!$E$203)*('Cálculos'!$E$256+'Cálculos'!$E$124*(1+2.78*('Cálculos'!$E$199+(($B$168)-$A151)*'Cálculos'!$E$98)/(('Cálculos'!$E$199+(($B$168)-$A151)*'Cálculos'!$E$98)+1400)+'Cálculos'!$E$122)*'Cálculos'!$E$261+'Cálculos'!$E$125*(1+2.78*('Cálculos'!$E$199+(($B$168)-$A151)*'Cálculos'!$E$98)/(('Cálculos'!$E$199+(($B$168)-$A151)*'Cálculos'!$E$98)+1400)+'Cálculos'!$E$123)*'Cálculos'!$E$266)+('Cálculos'!$E$204*(1+'Cálculos'!$E$205+$A151*('Cálculos'!$E$290=3)*'Cálculos'!$E$103)+'Cálculos'!$E$206)*('Cálculos'!$E$257+'Cálculos'!$E$124*(1+2.78*('Cálculos'!$E$199+(($B$168)-$A151)*'Cálculos'!$E$98)/(('Cálculos'!$E$199+(($B$168)-$A151)*'Cálculos'!$E$98)+1400)+'Cálculos'!$E$122)*'Cálculos'!$E$262+'Cálculos'!$E$125*(1+2.78*('Cálculos'!$E$199+(($B$168)-$A151)*'Cálculos'!$E$98)/(('Cálculos'!$E$199+(($B$168)-$A151)*'Cálculos'!$E$98)+1400)+'Cálculos'!$E$123)*'Cálculos'!$E$267)+('Cálculos'!$E$258+'Cálculos'!$E$124*(1+2.78*('Cálculos'!$E$199+(($B$168)-$A151)*'Cálculos'!$E$98)/(('Cálculos'!$E$199+(($B$168)-$A151)*'Cálculos'!$E$98)+1400)+'Cálculos'!$E$122)*'Cálculos'!$E$263+'Cálculos'!$E$125*(1+2.78*('Cálculos'!$E$199+(($B$168)-$A151)*'Cálculos'!$E$98)/(('Cálculos'!$E$199+(($B$168)-$A151)*'Cálculos'!$E$98)+1400)+'Cálculos'!$E$123)*'Cálculos'!$E$268)+('Cálculos'!$E$185*(1+'Cálculos'!$E$190+$A151*('Cálculos'!$E$290=1)*'Cálculos'!$E$97+'Cálculos'!$E$305)+'Cálculos'!$E$195)*('Cálculos'!$E$269+'Cálculos'!$E$124*(1+2.78*('Cálculos'!$E$200+(($B$168)-$A151)*'Cálculos'!$E$98)/(('Cálculos'!$E$200+(($B$168)-$A151)*'Cálculos'!$E$98)+1400)+'Cálculos'!$E$122)*'Cálculos'!$E$274+'Cálculos'!$E$125*(1+2.78*('Cálculos'!$E$200+(($B$168)-$A151)*'Cálculos'!$E$98)/(('Cálculos'!$E$200+(($B$168)-$A151)*'Cálculos'!$E$98)+1400)+'Cálculos'!$E$123)*'Cálculos'!$E$279)+('Cálculos'!$E$200+(($B$168)-$A151)*'Cálculos'!$E$98)*('Cálculos'!$E$270+'Cálculos'!$E$124*(1+2.78*('Cálculos'!$E$200+(($B$168)-$A151)*'Cálculos'!$E$98)/(('Cálculos'!$E$200+(($B$168)-$A151)*'Cálculos'!$E$98)+1400)+'Cálculos'!$E$122)*'Cálculos'!$E$275+'Cálculos'!$E$125*(1+2.78*('Cálculos'!$E$200+(($B$168)-$A151)*'Cálculos'!$E$98)/(('Cálculos'!$E$200+(($B$168)-$A151)*'Cálculos'!$E$98)+1400)+'Cálculos'!$E$123)*'Cálculos'!$E$280)+('Cálculos'!$E$201*(1+'Cálculos'!$E$202+$A151*('Cálculos'!$E$290=2)*'Cálculos'!$E$101)+'Cálculos'!$E$203)*('Cálculos'!$E$271+'Cálculos'!$E$124*(1+2.78*('Cálculos'!$E$200+(($B$168)-$A151)*'Cálculos'!$E$98)/(('Cálculos'!$E$200+(($B$168)-$A151)*'Cálculos'!$E$98)+1400)+'Cálculos'!$E$122)*'Cálculos'!$E$276+'Cálculos'!$E$125*(1+2.78*('Cálculos'!$E$200+(($B$168)-$A151)*'Cálculos'!$E$98)/(('Cálculos'!$E$200+(($B$168)-$A151)*'Cálculos'!$E$98)+1400)+'Cálculos'!$E$123)*'Cálculos'!$E$281)+('Cálculos'!$E$204*(1+'Cálculos'!$E$205+$A151*('Cálculos'!$E$290=3)*'Cálculos'!$E$103)+'Cálculos'!$E$206)*('Cálculos'!$E$272+'Cálculos'!$E$124*(1+2.78*('Cálculos'!$E$200+(($B$168)-$A151)*'Cálculos'!$E$98)/(('Cálculos'!$E$200+(($B$168)-$A151)*'Cálculos'!$E$98)+1400)+'Cálculos'!$E$122)*'Cálculos'!$E$277+'Cálculos'!$E$125*(1+2.78*('Cálculos'!$E$200+(($B$168)-$A151)*'Cálculos'!$E$98)/(('Cálculos'!$E$200+(($B$168)-$A151)*'Cálculos'!$E$98)+1400)+'Cálculos'!$E$123)*'Cálculos'!$E$282)+('Cálculos'!$E$273+'Cálculos'!$E$124*(1+2.78*('Cálculos'!$E$200+(($B$168)-$A151)*'Cálculos'!$E$98)/(('Cálculos'!$E$200+(($B$168)-$A151)*'Cálculos'!$E$98)+1400)+'Cálculos'!$E$122)*'Cálculos'!$E$278+'Cálculos'!$E$125*(1+2.78*('Cálculos'!$E$200+(($B$168)-$A151)*'Cálculos'!$E$98)/(('Cálculos'!$E$200+(($B$168)-$A151)*'Cálculos'!$E$98)+1400)+'Cálculos'!$E$123)*'Cálculos'!$E$283)))</f>
        <v>0</v>
      </c>
    </row>
    <row r="152" ht="15.75" customHeight="1">
      <c r="A152" s="2">
        <v>32.0</v>
      </c>
      <c r="B152" s="30">
        <f>SUMPRODUCT(MAX(($A$120:$A$165&lt;=$A152)*($A$120:$A$165&lt;='Cálculos'!$E$294)*(($A152)-$A$120:$A$165&lt;='Cálculos'!$E$295)*(1+(('Cálculos'!$E$207+$A$120:$A$165*'Cálculos'!$E$95)-(('Cálculos'!$E$207+$A$120:$A$165*'Cálculos'!$E$95)&gt;1)*(('Cálculos'!$E$207+$A$120:$A$165*'Cálculos'!$E$95)-1))*('Cálculos'!$E$208+(($A152)-$A$120:$A$165)*'Cálculos'!$E$96))))</f>
        <v>2.61798</v>
      </c>
      <c r="C152" s="2">
        <f>'Cálculos'!$E$303-$A152</f>
        <v>-19</v>
      </c>
      <c r="D152" s="31">
        <f>IF($C152&lt;0,0,SUMPRODUCT(MAX(($A$120:$A$165&lt;=$C152)*($A$120:$A$165&lt;='Cálculos'!$E$301)*(($C152)-$A$120:$A$165&lt;='Cálculos'!$E$297)*(('Cálculos'!$E$185*(1+'Cálculos'!$E$186+$A$120:$A$165*('Cálculos'!$E$290=1)*'Cálculos'!$E$97+'Cálculos'!$E$305)+'Cálculos'!$E$191)*('Cálculos'!$E$209+'Cálculos'!$E$124*(1+2.78*('Cálculos'!$E$196+(($C152)-$A$120:$A$165)*'Cálculos'!$E$98)/(('Cálculos'!$E$196+(($C152)-$A$120:$A$165)*'Cálculos'!$E$98)+1400)+'Cálculos'!$E$122)*'Cálculos'!$E$214+'Cálculos'!$E$125*(1+2.78*('Cálculos'!$E$196+(($C152)-$A$120:$A$165)*'Cálculos'!$E$98)/(('Cálculos'!$E$196+(($C152)-$A$120:$A$165)*'Cálculos'!$E$98)+1400)+'Cálculos'!$E$123)*'Cálculos'!$E$219)+('Cálculos'!$E$196+(($C152)-$A$120:$A$165)*'Cálculos'!$E$98)*('Cálculos'!$E$210+'Cálculos'!$E$124*(1+2.78*('Cálculos'!$E$196+(($C152)-$A$120:$A$165)*'Cálculos'!$E$98)/(('Cálculos'!$E$196+(($C152)-$A$120:$A$165)*'Cálculos'!$E$98)+1400)+'Cálculos'!$E$122)*'Cálculos'!$E$215+'Cálculos'!$E$125*(1+2.78*('Cálculos'!$E$196+(($C152)-$A$120:$A$165)*'Cálculos'!$E$98)/(('Cálculos'!$E$196+(($C152)-$A$120:$A$165)*'Cálculos'!$E$98)+1400)+'Cálculos'!$E$123)*'Cálculos'!$E$220)+('Cálculos'!$E$201*(1+'Cálculos'!$E$202+$A$120:$A$165*('Cálculos'!$E$290=2)*'Cálculos'!$E$101)+'Cálculos'!$E$203)*('Cálculos'!$E$211+'Cálculos'!$E$124*(1+2.78*('Cálculos'!$E$196+(($C152)-$A$120:$A$165)*'Cálculos'!$E$98)/(('Cálculos'!$E$196+(($C152)-$A$120:$A$165)*'Cálculos'!$E$98)+1400)+'Cálculos'!$E$122)*'Cálculos'!$E$216+'Cálculos'!$E$125*(1+2.78*('Cálculos'!$E$196+(($C152)-$A$120:$A$165)*'Cálculos'!$E$98)/(('Cálculos'!$E$196+(($C152)-$A$120:$A$165)*'Cálculos'!$E$98)+1400)+'Cálculos'!$E$123)*'Cálculos'!$E$221)+('Cálculos'!$E$204*(1+'Cálculos'!$E$205+$A$120:$A$165*('Cálculos'!$E$290=3)*'Cálculos'!$E$103)+'Cálculos'!$E$206)*('Cálculos'!$E$212+'Cálculos'!$E$124*(1+2.78*('Cálculos'!$E$196+(($C152)-$A$120:$A$165)*'Cálculos'!$E$98)/(('Cálculos'!$E$196+(($C152)-$A$120:$A$165)*'Cálculos'!$E$98)+1400)+'Cálculos'!$E$122)*'Cálculos'!$E$217+'Cálculos'!$E$125*(1+2.78*('Cálculos'!$E$196+(($C152)-$A$120:$A$165)*'Cálculos'!$E$98)/(('Cálculos'!$E$196+(($C152)-$A$120:$A$165)*'Cálculos'!$E$98)+1400)+'Cálculos'!$E$123)*'Cálculos'!$E$222)+('Cálculos'!$E$213+'Cálculos'!$E$124*(1+2.78*('Cálculos'!$E$196+(($C152)-$A$120:$A$165)*'Cálculos'!$E$98)/(('Cálculos'!$E$196+(($C152)-$A$120:$A$165)*'Cálculos'!$E$98)+1400)+'Cálculos'!$E$122)*'Cálculos'!$E$218+'Cálculos'!$E$125*(1+2.78*('Cálculos'!$E$196+(($C152)-$A$120:$A$165)*'Cálculos'!$E$98)/(('Cálculos'!$E$196+(($C152)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152)-$A$120:$A$165)*'Cálculos'!$E$98)/(('Cálculos'!$E$197+(($C152)-$A$120:$A$165)*'Cálculos'!$E$98)+1400)+'Cálculos'!$E$122)*'Cálculos'!$E$229+'Cálculos'!$E$125*(1+2.78*('Cálculos'!$E$197+(($C152)-$A$120:$A$165)*'Cálculos'!$E$98)/(('Cálculos'!$E$197+(($C152)-$A$120:$A$165)*'Cálculos'!$E$98)+1400)+'Cálculos'!$E$123)*'Cálculos'!$E$234)+('Cálculos'!$E$197+(($C152)-$A$120:$A$165)*'Cálculos'!$E$98)*('Cálculos'!$E$225+'Cálculos'!$E$124*(1+2.78*('Cálculos'!$E$197+(($C152)-$A$120:$A$165)*'Cálculos'!$E$98)/(('Cálculos'!$E$197+(($C152)-$A$120:$A$165)*'Cálculos'!$E$98)+1400)+'Cálculos'!$E$122)*'Cálculos'!$E$230+'Cálculos'!$E$125*(1+2.78*('Cálculos'!$E$197+(($C152)-$A$120:$A$165)*'Cálculos'!$E$98)/(('Cálculos'!$E$197+(($C152)-$A$120:$A$165)*'Cálculos'!$E$98)+1400)+'Cálculos'!$E$123)*'Cálculos'!$E$235)+('Cálculos'!$E$201*(1+'Cálculos'!$E$202+$A$120:$A$165*('Cálculos'!$E$290=2)*'Cálculos'!$E$101)+'Cálculos'!$E$203)*('Cálculos'!$E$226+'Cálculos'!$E$124*(1+2.78*('Cálculos'!$E$197+(($C152)-$A$120:$A$165)*'Cálculos'!$E$98)/(('Cálculos'!$E$197+(($C152)-$A$120:$A$165)*'Cálculos'!$E$98)+1400)+'Cálculos'!$E$122)*'Cálculos'!$E$231+'Cálculos'!$E$125*(1+2.78*('Cálculos'!$E$197+(($C152)-$A$120:$A$165)*'Cálculos'!$E$98)/(('Cálculos'!$E$197+(($C152)-$A$120:$A$165)*'Cálculos'!$E$98)+1400)+'Cálculos'!$E$123)*'Cálculos'!$E$236)+('Cálculos'!$E$204*(1+'Cálculos'!$E$205+$A$120:$A$165*('Cálculos'!$E$290=3)*'Cálculos'!$E$103)+'Cálculos'!$E$206)*('Cálculos'!$E$227+'Cálculos'!$E$124*(1+2.78*('Cálculos'!$E$197+(($C152)-$A$120:$A$165)*'Cálculos'!$E$98)/(('Cálculos'!$E$197+(($C152)-$A$120:$A$165)*'Cálculos'!$E$98)+1400)+'Cálculos'!$E$122)*'Cálculos'!$E$232+'Cálculos'!$E$125*(1+2.78*('Cálculos'!$E$197+(($C152)-$A$120:$A$165)*'Cálculos'!$E$98)/(('Cálculos'!$E$197+(($C152)-$A$120:$A$165)*'Cálculos'!$E$98)+1400)+'Cálculos'!$E$123)*'Cálculos'!$E$237)+('Cálculos'!$E$228+'Cálculos'!$E$124*(1+2.78*('Cálculos'!$E$197+(($C152)-$A$120:$A$165)*'Cálculos'!$E$98)/(('Cálculos'!$E$197+(($C152)-$A$120:$A$165)*'Cálculos'!$E$98)+1400)+'Cálculos'!$E$122)*'Cálculos'!$E$233+'Cálculos'!$E$125*(1+2.78*('Cálculos'!$E$197+(($C152)-$A$120:$A$165)*'Cálculos'!$E$98)/(('Cálculos'!$E$197+(($C152)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152)-$A$120:$A$165)*'Cálculos'!$E$98)/(('Cálculos'!$E$198+(($C152)-$A$120:$A$165)*'Cálculos'!$E$98)+1400)+'Cálculos'!$E$122)*'Cálculos'!$E$244+'Cálculos'!$E$125*(1+2.78*('Cálculos'!$E$198+(($C152)-$A$120:$A$165)*'Cálculos'!$E$98)/(('Cálculos'!$E$198+(($C152)-$A$120:$A$165)*'Cálculos'!$E$98)+1400)+'Cálculos'!$E$123)*'Cálculos'!$E$249)+('Cálculos'!$E$198+(($C152)-$A$120:$A$165)*'Cálculos'!$E$98)*('Cálculos'!$E$240+'Cálculos'!$E$124*(1+2.78*('Cálculos'!$E$198+(($C152)-$A$120:$A$165)*'Cálculos'!$E$98)/(('Cálculos'!$E$198+(($C152)-$A$120:$A$165)*'Cálculos'!$E$98)+1400)+'Cálculos'!$E$122)*'Cálculos'!$E$245+'Cálculos'!$E$125*(1+2.78*('Cálculos'!$E$198+(($C152)-$A$120:$A$165)*'Cálculos'!$E$98)/(('Cálculos'!$E$198+(($C152)-$A$120:$A$165)*'Cálculos'!$E$98)+1400)+'Cálculos'!$E$123)*'Cálculos'!$E$250)+('Cálculos'!$E$201*(1+'Cálculos'!$E$202+$A$120:$A$165*('Cálculos'!$E$290=2)*'Cálculos'!$E$101)+'Cálculos'!$E$203)*('Cálculos'!$E$241+'Cálculos'!$E$124*(1+2.78*('Cálculos'!$E$198+(($C152)-$A$120:$A$165)*'Cálculos'!$E$98)/(('Cálculos'!$E$198+(($C152)-$A$120:$A$165)*'Cálculos'!$E$98)+1400)+'Cálculos'!$E$122)*'Cálculos'!$E$246+'Cálculos'!$E$125*(1+2.78*('Cálculos'!$E$198+(($C152)-$A$120:$A$165)*'Cálculos'!$E$98)/(('Cálculos'!$E$198+(($C152)-$A$120:$A$165)*'Cálculos'!$E$98)+1400)+'Cálculos'!$E$123)*'Cálculos'!$E$251)+('Cálculos'!$E$204*(1+'Cálculos'!$E$205+$A$120:$A$165*('Cálculos'!$E$290=3)*'Cálculos'!$E$103)+'Cálculos'!$E$206)*('Cálculos'!$E$242+'Cálculos'!$E$124*(1+2.78*('Cálculos'!$E$198+(($C152)-$A$120:$A$165)*'Cálculos'!$E$98)/(('Cálculos'!$E$198+(($C152)-$A$120:$A$165)*'Cálculos'!$E$98)+1400)+'Cálculos'!$E$122)*'Cálculos'!$E$247+'Cálculos'!$E$125*(1+2.78*('Cálculos'!$E$198+(($C152)-$A$120:$A$165)*'Cálculos'!$E$98)/(('Cálculos'!$E$198+(($C152)-$A$120:$A$165)*'Cálculos'!$E$98)+1400)+'Cálculos'!$E$123)*'Cálculos'!$E$252)+('Cálculos'!$E$243+'Cálculos'!$E$124*(1+2.78*('Cálculos'!$E$198+(($C152)-$A$120:$A$165)*'Cálculos'!$E$98)/(('Cálculos'!$E$198+(($C152)-$A$120:$A$165)*'Cálculos'!$E$98)+1400)+'Cálculos'!$E$122)*'Cálculos'!$E$248+'Cálculos'!$E$125*(1+2.78*('Cálculos'!$E$198+(($C152)-$A$120:$A$165)*'Cálculos'!$E$98)/(('Cálculos'!$E$198+(($C152)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152)-$A$120:$A$165)*'Cálculos'!$E$98)/(('Cálculos'!$E$199+(($C152)-$A$120:$A$165)*'Cálculos'!$E$98)+1400)+'Cálculos'!$E$122)*'Cálculos'!$E$259+'Cálculos'!$E$125*(1+2.78*('Cálculos'!$E$199+(($C152)-$A$120:$A$165)*'Cálculos'!$E$98)/(('Cálculos'!$E$199+(($C152)-$A$120:$A$165)*'Cálculos'!$E$98)+1400)+'Cálculos'!$E$123)*'Cálculos'!$E$264)+('Cálculos'!$E$199+(($C152)-$A$120:$A$165)*'Cálculos'!$E$98)*('Cálculos'!$E$255+'Cálculos'!$E$124*(1+2.78*('Cálculos'!$E$199+(($C152)-$A$120:$A$165)*'Cálculos'!$E$98)/(('Cálculos'!$E$199+(($C152)-$A$120:$A$165)*'Cálculos'!$E$98)+1400)+'Cálculos'!$E$122)*'Cálculos'!$E$260+'Cálculos'!$E$125*(1+2.78*('Cálculos'!$E$199+(($C152)-$A$120:$A$165)*'Cálculos'!$E$98)/(('Cálculos'!$E$199+(($C152)-$A$120:$A$165)*'Cálculos'!$E$98)+1400)+'Cálculos'!$E$123)*'Cálculos'!$E$265)+('Cálculos'!$E$201*(1+'Cálculos'!$E$202+$A$120:$A$165*('Cálculos'!$E$290=2)*'Cálculos'!$E$101)+'Cálculos'!$E$203)*('Cálculos'!$E$256+'Cálculos'!$E$124*(1+2.78*('Cálculos'!$E$199+(($C152)-$A$120:$A$165)*'Cálculos'!$E$98)/(('Cálculos'!$E$199+(($C152)-$A$120:$A$165)*'Cálculos'!$E$98)+1400)+'Cálculos'!$E$122)*'Cálculos'!$E$261+'Cálculos'!$E$125*(1+2.78*('Cálculos'!$E$199+(($C152)-$A$120:$A$165)*'Cálculos'!$E$98)/(('Cálculos'!$E$199+(($C152)-$A$120:$A$165)*'Cálculos'!$E$98)+1400)+'Cálculos'!$E$123)*'Cálculos'!$E$266)+('Cálculos'!$E$204*(1+'Cálculos'!$E$205+$A$120:$A$165*('Cálculos'!$E$290=3)*'Cálculos'!$E$103)+'Cálculos'!$E$206)*('Cálculos'!$E$257+'Cálculos'!$E$124*(1+2.78*('Cálculos'!$E$199+(($C152)-$A$120:$A$165)*'Cálculos'!$E$98)/(('Cálculos'!$E$199+(($C152)-$A$120:$A$165)*'Cálculos'!$E$98)+1400)+'Cálculos'!$E$122)*'Cálculos'!$E$262+'Cálculos'!$E$125*(1+2.78*('Cálculos'!$E$199+(($C152)-$A$120:$A$165)*'Cálculos'!$E$98)/(('Cálculos'!$E$199+(($C152)-$A$120:$A$165)*'Cálculos'!$E$98)+1400)+'Cálculos'!$E$123)*'Cálculos'!$E$267)+('Cálculos'!$E$258+'Cálculos'!$E$124*(1+2.78*('Cálculos'!$E$199+(($C152)-$A$120:$A$165)*'Cálculos'!$E$98)/(('Cálculos'!$E$199+(($C152)-$A$120:$A$165)*'Cálculos'!$E$98)+1400)+'Cálculos'!$E$122)*'Cálculos'!$E$263+'Cálculos'!$E$125*(1+2.78*('Cálculos'!$E$199+(($C152)-$A$120:$A$165)*'Cálculos'!$E$98)/(('Cálculos'!$E$199+(($C152)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152)-$A$120:$A$165)*'Cálculos'!$E$98)/(('Cálculos'!$E$200+(($C152)-$A$120:$A$165)*'Cálculos'!$E$98)+1400)+'Cálculos'!$E$122)*'Cálculos'!$E$274+'Cálculos'!$E$125*(1+2.78*('Cálculos'!$E$200+(($C152)-$A$120:$A$165)*'Cálculos'!$E$98)/(('Cálculos'!$E$200+(($C152)-$A$120:$A$165)*'Cálculos'!$E$98)+1400)+'Cálculos'!$E$123)*'Cálculos'!$E$279)+('Cálculos'!$E$200+(($C152)-$A$120:$A$165)*'Cálculos'!$E$98)*('Cálculos'!$E$270+'Cálculos'!$E$124*(1+2.78*('Cálculos'!$E$200+(($C152)-$A$120:$A$165)*'Cálculos'!$E$98)/(('Cálculos'!$E$200+(($C152)-$A$120:$A$165)*'Cálculos'!$E$98)+1400)+'Cálculos'!$E$122)*'Cálculos'!$E$275+'Cálculos'!$E$125*(1+2.78*('Cálculos'!$E$200+(($C152)-$A$120:$A$165)*'Cálculos'!$E$98)/(('Cálculos'!$E$200+(($C152)-$A$120:$A$165)*'Cálculos'!$E$98)+1400)+'Cálculos'!$E$123)*'Cálculos'!$E$280)+('Cálculos'!$E$201*(1+'Cálculos'!$E$202+$A$120:$A$165*('Cálculos'!$E$290=2)*'Cálculos'!$E$101)+'Cálculos'!$E$203)*('Cálculos'!$E$271+'Cálculos'!$E$124*(1+2.78*('Cálculos'!$E$200+(($C152)-$A$120:$A$165)*'Cálculos'!$E$98)/(('Cálculos'!$E$200+(($C152)-$A$120:$A$165)*'Cálculos'!$E$98)+1400)+'Cálculos'!$E$122)*'Cálculos'!$E$276+'Cálculos'!$E$125*(1+2.78*('Cálculos'!$E$200+(($C152)-$A$120:$A$165)*'Cálculos'!$E$98)/(('Cálculos'!$E$200+(($C152)-$A$120:$A$165)*'Cálculos'!$E$98)+1400)+'Cálculos'!$E$123)*'Cálculos'!$E$281)+('Cálculos'!$E$204*(1+'Cálculos'!$E$205+$A$120:$A$165*('Cálculos'!$E$290=3)*'Cálculos'!$E$103)+'Cálculos'!$E$206)*('Cálculos'!$E$272+'Cálculos'!$E$124*(1+2.78*('Cálculos'!$E$200+(($C152)-$A$120:$A$165)*'Cálculos'!$E$98)/(('Cálculos'!$E$200+(($C152)-$A$120:$A$165)*'Cálculos'!$E$98)+1400)+'Cálculos'!$E$122)*'Cálculos'!$E$277+'Cálculos'!$E$125*(1+2.78*('Cálculos'!$E$200+(($C152)-$A$120:$A$165)*'Cálculos'!$E$98)/(('Cálculos'!$E$200+(($C152)-$A$120:$A$165)*'Cálculos'!$E$98)+1400)+'Cálculos'!$E$123)*'Cálculos'!$E$282)+('Cálculos'!$E$273+'Cálculos'!$E$124*(1+2.78*('Cálculos'!$E$200+(($C152)-$A$120:$A$165)*'Cálculos'!$E$98)/(('Cálculos'!$E$200+(($C152)-$A$120:$A$165)*'Cálculos'!$E$98)+1400)+'Cálculos'!$E$122)*'Cálculos'!$E$278+'Cálculos'!$E$125*(1+2.78*('Cálculos'!$E$200+(($C152)-$A$120:$A$165)*'Cálculos'!$E$98)/(('Cálculos'!$E$200+(($C152)-$A$120:$A$165)*'Cálculos'!$E$98)+1400)+'Cálculos'!$E$123)*'Cálculos'!$E$283)))))</f>
        <v>0</v>
      </c>
      <c r="E152" s="32">
        <f>IF(OR($C152&lt;0,'Cálculos'!$E$6=""),0,$B152*$D152)</f>
        <v>0</v>
      </c>
      <c r="F152" s="2"/>
      <c r="G152" s="30">
        <f>($A152&lt;=$B$167)*($A152&lt;='Cálculos'!$E$294)*(($B$167)-$A152&lt;='Cálculos'!$E$295)*(1+MIN(('Cálculos'!$E$207+$A152*'Cálculos'!$E$95),1)*('Cálculos'!$E$208+(($B$167)-$A152)*'Cálculos'!$E$96))</f>
        <v>0</v>
      </c>
      <c r="H152" s="31">
        <f>IF($B$168&lt;0,0,($A152&lt;=$B$168)*($A152&lt;='Cálculos'!$E$301)*(($B$168)-$A152&lt;='Cálculos'!$E$297)*(('Cálculos'!$E$185*(1+'Cálculos'!$E$186+$A152*('Cálculos'!$E$290=1)*'Cálculos'!$E$97+'Cálculos'!$E$305)+'Cálculos'!$E$191)*('Cálculos'!$E$209+'Cálculos'!$E$124*(1+2.78*('Cálculos'!$E$196+(($B$168)-$A152)*'Cálculos'!$E$98)/(('Cálculos'!$E$196+(($B$168)-$A152)*'Cálculos'!$E$98)+1400)+'Cálculos'!$E$122)*'Cálculos'!$E$214+'Cálculos'!$E$125*(1+2.78*('Cálculos'!$E$196+(($B$168)-$A152)*'Cálculos'!$E$98)/(('Cálculos'!$E$196+(($B$168)-$A152)*'Cálculos'!$E$98)+1400)+'Cálculos'!$E$123)*'Cálculos'!$E$219)+('Cálculos'!$E$196+(($B$168)-$A152)*'Cálculos'!$E$98)*('Cálculos'!$E$210+'Cálculos'!$E$124*(1+2.78*('Cálculos'!$E$196+(($B$168)-$A152)*'Cálculos'!$E$98)/(('Cálculos'!$E$196+(($B$168)-$A152)*'Cálculos'!$E$98)+1400)+'Cálculos'!$E$122)*'Cálculos'!$E$215+'Cálculos'!$E$125*(1+2.78*('Cálculos'!$E$196+(($B$168)-$A152)*'Cálculos'!$E$98)/(('Cálculos'!$E$196+(($B$168)-$A152)*'Cálculos'!$E$98)+1400)+'Cálculos'!$E$123)*'Cálculos'!$E$220)+('Cálculos'!$E$201*(1+'Cálculos'!$E$202+$A152*('Cálculos'!$E$290=2)*'Cálculos'!$E$101)+'Cálculos'!$E$203)*('Cálculos'!$E$211+'Cálculos'!$E$124*(1+2.78*('Cálculos'!$E$196+(($B$168)-$A152)*'Cálculos'!$E$98)/(('Cálculos'!$E$196+(($B$168)-$A152)*'Cálculos'!$E$98)+1400)+'Cálculos'!$E$122)*'Cálculos'!$E$216+'Cálculos'!$E$125*(1+2.78*('Cálculos'!$E$196+(($B$168)-$A152)*'Cálculos'!$E$98)/(('Cálculos'!$E$196+(($B$168)-$A152)*'Cálculos'!$E$98)+1400)+'Cálculos'!$E$123)*'Cálculos'!$E$221)+('Cálculos'!$E$204*(1+'Cálculos'!$E$205+$A152*('Cálculos'!$E$290=3)*'Cálculos'!$E$103)+'Cálculos'!$E$206)*('Cálculos'!$E$212+'Cálculos'!$E$124*(1+2.78*('Cálculos'!$E$196+(($B$168)-$A152)*'Cálculos'!$E$98)/(('Cálculos'!$E$196+(($B$168)-$A152)*'Cálculos'!$E$98)+1400)+'Cálculos'!$E$122)*'Cálculos'!$E$217+'Cálculos'!$E$125*(1+2.78*('Cálculos'!$E$196+(($B$168)-$A152)*'Cálculos'!$E$98)/(('Cálculos'!$E$196+(($B$168)-$A152)*'Cálculos'!$E$98)+1400)+'Cálculos'!$E$123)*'Cálculos'!$E$222)+('Cálculos'!$E$213+'Cálculos'!$E$124*(1+2.78*('Cálculos'!$E$196+(($B$168)-$A152)*'Cálculos'!$E$98)/(('Cálculos'!$E$196+(($B$168)-$A152)*'Cálculos'!$E$98)+1400)+'Cálculos'!$E$122)*'Cálculos'!$E$218+'Cálculos'!$E$125*(1+2.78*('Cálculos'!$E$196+(($B$168)-$A152)*'Cálculos'!$E$98)/(('Cálculos'!$E$196+(($B$168)-$A152)*'Cálculos'!$E$98)+1400)+'Cálculos'!$E$123)*'Cálculos'!$E$223)+('Cálculos'!$E$185*(1+'Cálculos'!$E$187+$A152*('Cálculos'!$E$290=1)*'Cálculos'!$E$97+'Cálculos'!$E$305)+'Cálculos'!$E$192)*('Cálculos'!$E$224+'Cálculos'!$E$124*(1+2.78*('Cálculos'!$E$197+(($B$168)-$A152)*'Cálculos'!$E$98)/(('Cálculos'!$E$197+(($B$168)-$A152)*'Cálculos'!$E$98)+1400)+'Cálculos'!$E$122)*'Cálculos'!$E$229+'Cálculos'!$E$125*(1+2.78*('Cálculos'!$E$197+(($B$168)-$A152)*'Cálculos'!$E$98)/(('Cálculos'!$E$197+(($B$168)-$A152)*'Cálculos'!$E$98)+1400)+'Cálculos'!$E$123)*'Cálculos'!$E$234)+('Cálculos'!$E$197+(($B$168)-$A152)*'Cálculos'!$E$98)*('Cálculos'!$E$225+'Cálculos'!$E$124*(1+2.78*('Cálculos'!$E$197+(($B$168)-$A152)*'Cálculos'!$E$98)/(('Cálculos'!$E$197+(($B$168)-$A152)*'Cálculos'!$E$98)+1400)+'Cálculos'!$E$122)*'Cálculos'!$E$230+'Cálculos'!$E$125*(1+2.78*('Cálculos'!$E$197+(($B$168)-$A152)*'Cálculos'!$E$98)/(('Cálculos'!$E$197+(($B$168)-$A152)*'Cálculos'!$E$98)+1400)+'Cálculos'!$E$123)*'Cálculos'!$E$235)+('Cálculos'!$E$201*(1+'Cálculos'!$E$202+$A152*('Cálculos'!$E$290=2)*'Cálculos'!$E$101)+'Cálculos'!$E$203)*('Cálculos'!$E$226+'Cálculos'!$E$124*(1+2.78*('Cálculos'!$E$197+(($B$168)-$A152)*'Cálculos'!$E$98)/(('Cálculos'!$E$197+(($B$168)-$A152)*'Cálculos'!$E$98)+1400)+'Cálculos'!$E$122)*'Cálculos'!$E$231+'Cálculos'!$E$125*(1+2.78*('Cálculos'!$E$197+(($B$168)-$A152)*'Cálculos'!$E$98)/(('Cálculos'!$E$197+(($B$168)-$A152)*'Cálculos'!$E$98)+1400)+'Cálculos'!$E$123)*'Cálculos'!$E$236)+('Cálculos'!$E$204*(1+'Cálculos'!$E$205+$A152*('Cálculos'!$E$290=3)*'Cálculos'!$E$103)+'Cálculos'!$E$206)*('Cálculos'!$E$227+'Cálculos'!$E$124*(1+2.78*('Cálculos'!$E$197+(($B$168)-$A152)*'Cálculos'!$E$98)/(('Cálculos'!$E$197+(($B$168)-$A152)*'Cálculos'!$E$98)+1400)+'Cálculos'!$E$122)*'Cálculos'!$E$232+'Cálculos'!$E$125*(1+2.78*('Cálculos'!$E$197+(($B$168)-$A152)*'Cálculos'!$E$98)/(('Cálculos'!$E$197+(($B$168)-$A152)*'Cálculos'!$E$98)+1400)+'Cálculos'!$E$123)*'Cálculos'!$E$237)+('Cálculos'!$E$228+'Cálculos'!$E$124*(1+2.78*('Cálculos'!$E$197+(($B$168)-$A152)*'Cálculos'!$E$98)/(('Cálculos'!$E$197+(($B$168)-$A152)*'Cálculos'!$E$98)+1400)+'Cálculos'!$E$122)*'Cálculos'!$E$233+'Cálculos'!$E$125*(1+2.78*('Cálculos'!$E$197+(($B$168)-$A152)*'Cálculos'!$E$98)/(('Cálculos'!$E$197+(($B$168)-$A152)*'Cálculos'!$E$98)+1400)+'Cálculos'!$E$123)*'Cálculos'!$E$238)+('Cálculos'!$E$185*(1+'Cálculos'!$E$188+$A152*('Cálculos'!$E$290=1)*'Cálculos'!$E$97+'Cálculos'!$E$305)+'Cálculos'!$E$193)*('Cálculos'!$E$239+'Cálculos'!$E$124*(1+2.78*('Cálculos'!$E$198+(($B$168)-$A152)*'Cálculos'!$E$98)/(('Cálculos'!$E$198+(($B$168)-$A152)*'Cálculos'!$E$98)+1400)+'Cálculos'!$E$122)*'Cálculos'!$E$244+'Cálculos'!$E$125*(1+2.78*('Cálculos'!$E$198+(($B$168)-$A152)*'Cálculos'!$E$98)/(('Cálculos'!$E$198+(($B$168)-$A152)*'Cálculos'!$E$98)+1400)+'Cálculos'!$E$123)*'Cálculos'!$E$249)+('Cálculos'!$E$198+(($B$168)-$A152)*'Cálculos'!$E$98)*('Cálculos'!$E$240+'Cálculos'!$E$124*(1+2.78*('Cálculos'!$E$198+(($B$168)-$A152)*'Cálculos'!$E$98)/(('Cálculos'!$E$198+(($B$168)-$A152)*'Cálculos'!$E$98)+1400)+'Cálculos'!$E$122)*'Cálculos'!$E$245+'Cálculos'!$E$125*(1+2.78*('Cálculos'!$E$198+(($B$168)-$A152)*'Cálculos'!$E$98)/(('Cálculos'!$E$198+(($B$168)-$A152)*'Cálculos'!$E$98)+1400)+'Cálculos'!$E$123)*'Cálculos'!$E$250)+('Cálculos'!$E$201*(1+'Cálculos'!$E$202+$A152*('Cálculos'!$E$290=2)*'Cálculos'!$E$101)+'Cálculos'!$E$203)*('Cálculos'!$E$241+'Cálculos'!$E$124*(1+2.78*('Cálculos'!$E$198+(($B$168)-$A152)*'Cálculos'!$E$98)/(('Cálculos'!$E$198+(($B$168)-$A152)*'Cálculos'!$E$98)+1400)+'Cálculos'!$E$122)*'Cálculos'!$E$246+'Cálculos'!$E$125*(1+2.78*('Cálculos'!$E$198+(($B$168)-$A152)*'Cálculos'!$E$98)/(('Cálculos'!$E$198+(($B$168)-$A152)*'Cálculos'!$E$98)+1400)+'Cálculos'!$E$123)*'Cálculos'!$E$251)+('Cálculos'!$E$204*(1+'Cálculos'!$E$205+$A152*('Cálculos'!$E$290=3)*'Cálculos'!$E$103)+'Cálculos'!$E$206)*('Cálculos'!$E$242+'Cálculos'!$E$124*(1+2.78*('Cálculos'!$E$198+(($B$168)-$A152)*'Cálculos'!$E$98)/(('Cálculos'!$E$198+(($B$168)-$A152)*'Cálculos'!$E$98)+1400)+'Cálculos'!$E$122)*'Cálculos'!$E$247+'Cálculos'!$E$125*(1+2.78*('Cálculos'!$E$198+(($B$168)-$A152)*'Cálculos'!$E$98)/(('Cálculos'!$E$198+(($B$168)-$A152)*'Cálculos'!$E$98)+1400)+'Cálculos'!$E$123)*'Cálculos'!$E$252)+('Cálculos'!$E$243+'Cálculos'!$E$124*(1+2.78*('Cálculos'!$E$198+(($B$168)-$A152)*'Cálculos'!$E$98)/(('Cálculos'!$E$198+(($B$168)-$A152)*'Cálculos'!$E$98)+1400)+'Cálculos'!$E$122)*'Cálculos'!$E$248+'Cálculos'!$E$125*(1+2.78*('Cálculos'!$E$198+(($B$168)-$A152)*'Cálculos'!$E$98)/(('Cálculos'!$E$198+(($B$168)-$A152)*'Cálculos'!$E$98)+1400)+'Cálculos'!$E$123)*'Cálculos'!$E$253)+('Cálculos'!$E$185*(1+'Cálculos'!$E$189+$A152*('Cálculos'!$E$290=1)*'Cálculos'!$E$97+'Cálculos'!$E$305)+'Cálculos'!$E$194)*('Cálculos'!$E$254+'Cálculos'!$E$124*(1+2.78*('Cálculos'!$E$199+(($B$168)-$A152)*'Cálculos'!$E$98)/(('Cálculos'!$E$199+(($B$168)-$A152)*'Cálculos'!$E$98)+1400)+'Cálculos'!$E$122)*'Cálculos'!$E$259+'Cálculos'!$E$125*(1+2.78*('Cálculos'!$E$199+(($B$168)-$A152)*'Cálculos'!$E$98)/(('Cálculos'!$E$199+(($B$168)-$A152)*'Cálculos'!$E$98)+1400)+'Cálculos'!$E$123)*'Cálculos'!$E$264)+('Cálculos'!$E$199+(($B$168)-$A152)*'Cálculos'!$E$98)*('Cálculos'!$E$255+'Cálculos'!$E$124*(1+2.78*('Cálculos'!$E$199+(($B$168)-$A152)*'Cálculos'!$E$98)/(('Cálculos'!$E$199+(($B$168)-$A152)*'Cálculos'!$E$98)+1400)+'Cálculos'!$E$122)*'Cálculos'!$E$260+'Cálculos'!$E$125*(1+2.78*('Cálculos'!$E$199+(($B$168)-$A152)*'Cálculos'!$E$98)/(('Cálculos'!$E$199+(($B$168)-$A152)*'Cálculos'!$E$98)+1400)+'Cálculos'!$E$123)*'Cálculos'!$E$265)+('Cálculos'!$E$201*(1+'Cálculos'!$E$202+$A152*('Cálculos'!$E$290=2)*'Cálculos'!$E$101)+'Cálculos'!$E$203)*('Cálculos'!$E$256+'Cálculos'!$E$124*(1+2.78*('Cálculos'!$E$199+(($B$168)-$A152)*'Cálculos'!$E$98)/(('Cálculos'!$E$199+(($B$168)-$A152)*'Cálculos'!$E$98)+1400)+'Cálculos'!$E$122)*'Cálculos'!$E$261+'Cálculos'!$E$125*(1+2.78*('Cálculos'!$E$199+(($B$168)-$A152)*'Cálculos'!$E$98)/(('Cálculos'!$E$199+(($B$168)-$A152)*'Cálculos'!$E$98)+1400)+'Cálculos'!$E$123)*'Cálculos'!$E$266)+('Cálculos'!$E$204*(1+'Cálculos'!$E$205+$A152*('Cálculos'!$E$290=3)*'Cálculos'!$E$103)+'Cálculos'!$E$206)*('Cálculos'!$E$257+'Cálculos'!$E$124*(1+2.78*('Cálculos'!$E$199+(($B$168)-$A152)*'Cálculos'!$E$98)/(('Cálculos'!$E$199+(($B$168)-$A152)*'Cálculos'!$E$98)+1400)+'Cálculos'!$E$122)*'Cálculos'!$E$262+'Cálculos'!$E$125*(1+2.78*('Cálculos'!$E$199+(($B$168)-$A152)*'Cálculos'!$E$98)/(('Cálculos'!$E$199+(($B$168)-$A152)*'Cálculos'!$E$98)+1400)+'Cálculos'!$E$123)*'Cálculos'!$E$267)+('Cálculos'!$E$258+'Cálculos'!$E$124*(1+2.78*('Cálculos'!$E$199+(($B$168)-$A152)*'Cálculos'!$E$98)/(('Cálculos'!$E$199+(($B$168)-$A152)*'Cálculos'!$E$98)+1400)+'Cálculos'!$E$122)*'Cálculos'!$E$263+'Cálculos'!$E$125*(1+2.78*('Cálculos'!$E$199+(($B$168)-$A152)*'Cálculos'!$E$98)/(('Cálculos'!$E$199+(($B$168)-$A152)*'Cálculos'!$E$98)+1400)+'Cálculos'!$E$123)*'Cálculos'!$E$268)+('Cálculos'!$E$185*(1+'Cálculos'!$E$190+$A152*('Cálculos'!$E$290=1)*'Cálculos'!$E$97+'Cálculos'!$E$305)+'Cálculos'!$E$195)*('Cálculos'!$E$269+'Cálculos'!$E$124*(1+2.78*('Cálculos'!$E$200+(($B$168)-$A152)*'Cálculos'!$E$98)/(('Cálculos'!$E$200+(($B$168)-$A152)*'Cálculos'!$E$98)+1400)+'Cálculos'!$E$122)*'Cálculos'!$E$274+'Cálculos'!$E$125*(1+2.78*('Cálculos'!$E$200+(($B$168)-$A152)*'Cálculos'!$E$98)/(('Cálculos'!$E$200+(($B$168)-$A152)*'Cálculos'!$E$98)+1400)+'Cálculos'!$E$123)*'Cálculos'!$E$279)+('Cálculos'!$E$200+(($B$168)-$A152)*'Cálculos'!$E$98)*('Cálculos'!$E$270+'Cálculos'!$E$124*(1+2.78*('Cálculos'!$E$200+(($B$168)-$A152)*'Cálculos'!$E$98)/(('Cálculos'!$E$200+(($B$168)-$A152)*'Cálculos'!$E$98)+1400)+'Cálculos'!$E$122)*'Cálculos'!$E$275+'Cálculos'!$E$125*(1+2.78*('Cálculos'!$E$200+(($B$168)-$A152)*'Cálculos'!$E$98)/(('Cálculos'!$E$200+(($B$168)-$A152)*'Cálculos'!$E$98)+1400)+'Cálculos'!$E$123)*'Cálculos'!$E$280)+('Cálculos'!$E$201*(1+'Cálculos'!$E$202+$A152*('Cálculos'!$E$290=2)*'Cálculos'!$E$101)+'Cálculos'!$E$203)*('Cálculos'!$E$271+'Cálculos'!$E$124*(1+2.78*('Cálculos'!$E$200+(($B$168)-$A152)*'Cálculos'!$E$98)/(('Cálculos'!$E$200+(($B$168)-$A152)*'Cálculos'!$E$98)+1400)+'Cálculos'!$E$122)*'Cálculos'!$E$276+'Cálculos'!$E$125*(1+2.78*('Cálculos'!$E$200+(($B$168)-$A152)*'Cálculos'!$E$98)/(('Cálculos'!$E$200+(($B$168)-$A152)*'Cálculos'!$E$98)+1400)+'Cálculos'!$E$123)*'Cálculos'!$E$281)+('Cálculos'!$E$204*(1+'Cálculos'!$E$205+$A152*('Cálculos'!$E$290=3)*'Cálculos'!$E$103)+'Cálculos'!$E$206)*('Cálculos'!$E$272+'Cálculos'!$E$124*(1+2.78*('Cálculos'!$E$200+(($B$168)-$A152)*'Cálculos'!$E$98)/(('Cálculos'!$E$200+(($B$168)-$A152)*'Cálculos'!$E$98)+1400)+'Cálculos'!$E$122)*'Cálculos'!$E$277+'Cálculos'!$E$125*(1+2.78*('Cálculos'!$E$200+(($B$168)-$A152)*'Cálculos'!$E$98)/(('Cálculos'!$E$200+(($B$168)-$A152)*'Cálculos'!$E$98)+1400)+'Cálculos'!$E$123)*'Cálculos'!$E$282)+('Cálculos'!$E$273+'Cálculos'!$E$124*(1+2.78*('Cálculos'!$E$200+(($B$168)-$A152)*'Cálculos'!$E$98)/(('Cálculos'!$E$200+(($B$168)-$A152)*'Cálculos'!$E$98)+1400)+'Cálculos'!$E$122)*'Cálculos'!$E$278+'Cálculos'!$E$125*(1+2.78*('Cálculos'!$E$200+(($B$168)-$A152)*'Cálculos'!$E$98)/(('Cálculos'!$E$200+(($B$168)-$A152)*'Cálculos'!$E$98)+1400)+'Cálculos'!$E$123)*'Cálculos'!$E$283)))</f>
        <v>0</v>
      </c>
    </row>
    <row r="153" ht="15.75" customHeight="1">
      <c r="A153" s="2">
        <v>33.0</v>
      </c>
      <c r="B153" s="30">
        <f>SUMPRODUCT(MAX(($A$120:$A$165&lt;=$A153)*($A$120:$A$165&lt;='Cálculos'!$E$294)*(($A153)-$A$120:$A$165&lt;='Cálculos'!$E$295)*(1+(('Cálculos'!$E$207+$A$120:$A$165*'Cálculos'!$E$95)-(('Cálculos'!$E$207+$A$120:$A$165*'Cálculos'!$E$95)&gt;1)*(('Cálculos'!$E$207+$A$120:$A$165*'Cálculos'!$E$95)-1))*('Cálculos'!$E$208+(($A153)-$A$120:$A$165)*'Cálculos'!$E$96))))</f>
        <v>2.67804</v>
      </c>
      <c r="C153" s="2">
        <f>'Cálculos'!$E$303-$A153</f>
        <v>-20</v>
      </c>
      <c r="D153" s="31">
        <f>IF($C153&lt;0,0,SUMPRODUCT(MAX(($A$120:$A$165&lt;=$C153)*($A$120:$A$165&lt;='Cálculos'!$E$301)*(($C153)-$A$120:$A$165&lt;='Cálculos'!$E$297)*(('Cálculos'!$E$185*(1+'Cálculos'!$E$186+$A$120:$A$165*('Cálculos'!$E$290=1)*'Cálculos'!$E$97+'Cálculos'!$E$305)+'Cálculos'!$E$191)*('Cálculos'!$E$209+'Cálculos'!$E$124*(1+2.78*('Cálculos'!$E$196+(($C153)-$A$120:$A$165)*'Cálculos'!$E$98)/(('Cálculos'!$E$196+(($C153)-$A$120:$A$165)*'Cálculos'!$E$98)+1400)+'Cálculos'!$E$122)*'Cálculos'!$E$214+'Cálculos'!$E$125*(1+2.78*('Cálculos'!$E$196+(($C153)-$A$120:$A$165)*'Cálculos'!$E$98)/(('Cálculos'!$E$196+(($C153)-$A$120:$A$165)*'Cálculos'!$E$98)+1400)+'Cálculos'!$E$123)*'Cálculos'!$E$219)+('Cálculos'!$E$196+(($C153)-$A$120:$A$165)*'Cálculos'!$E$98)*('Cálculos'!$E$210+'Cálculos'!$E$124*(1+2.78*('Cálculos'!$E$196+(($C153)-$A$120:$A$165)*'Cálculos'!$E$98)/(('Cálculos'!$E$196+(($C153)-$A$120:$A$165)*'Cálculos'!$E$98)+1400)+'Cálculos'!$E$122)*'Cálculos'!$E$215+'Cálculos'!$E$125*(1+2.78*('Cálculos'!$E$196+(($C153)-$A$120:$A$165)*'Cálculos'!$E$98)/(('Cálculos'!$E$196+(($C153)-$A$120:$A$165)*'Cálculos'!$E$98)+1400)+'Cálculos'!$E$123)*'Cálculos'!$E$220)+('Cálculos'!$E$201*(1+'Cálculos'!$E$202+$A$120:$A$165*('Cálculos'!$E$290=2)*'Cálculos'!$E$101)+'Cálculos'!$E$203)*('Cálculos'!$E$211+'Cálculos'!$E$124*(1+2.78*('Cálculos'!$E$196+(($C153)-$A$120:$A$165)*'Cálculos'!$E$98)/(('Cálculos'!$E$196+(($C153)-$A$120:$A$165)*'Cálculos'!$E$98)+1400)+'Cálculos'!$E$122)*'Cálculos'!$E$216+'Cálculos'!$E$125*(1+2.78*('Cálculos'!$E$196+(($C153)-$A$120:$A$165)*'Cálculos'!$E$98)/(('Cálculos'!$E$196+(($C153)-$A$120:$A$165)*'Cálculos'!$E$98)+1400)+'Cálculos'!$E$123)*'Cálculos'!$E$221)+('Cálculos'!$E$204*(1+'Cálculos'!$E$205+$A$120:$A$165*('Cálculos'!$E$290=3)*'Cálculos'!$E$103)+'Cálculos'!$E$206)*('Cálculos'!$E$212+'Cálculos'!$E$124*(1+2.78*('Cálculos'!$E$196+(($C153)-$A$120:$A$165)*'Cálculos'!$E$98)/(('Cálculos'!$E$196+(($C153)-$A$120:$A$165)*'Cálculos'!$E$98)+1400)+'Cálculos'!$E$122)*'Cálculos'!$E$217+'Cálculos'!$E$125*(1+2.78*('Cálculos'!$E$196+(($C153)-$A$120:$A$165)*'Cálculos'!$E$98)/(('Cálculos'!$E$196+(($C153)-$A$120:$A$165)*'Cálculos'!$E$98)+1400)+'Cálculos'!$E$123)*'Cálculos'!$E$222)+('Cálculos'!$E$213+'Cálculos'!$E$124*(1+2.78*('Cálculos'!$E$196+(($C153)-$A$120:$A$165)*'Cálculos'!$E$98)/(('Cálculos'!$E$196+(($C153)-$A$120:$A$165)*'Cálculos'!$E$98)+1400)+'Cálculos'!$E$122)*'Cálculos'!$E$218+'Cálculos'!$E$125*(1+2.78*('Cálculos'!$E$196+(($C153)-$A$120:$A$165)*'Cálculos'!$E$98)/(('Cálculos'!$E$196+(($C153)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153)-$A$120:$A$165)*'Cálculos'!$E$98)/(('Cálculos'!$E$197+(($C153)-$A$120:$A$165)*'Cálculos'!$E$98)+1400)+'Cálculos'!$E$122)*'Cálculos'!$E$229+'Cálculos'!$E$125*(1+2.78*('Cálculos'!$E$197+(($C153)-$A$120:$A$165)*'Cálculos'!$E$98)/(('Cálculos'!$E$197+(($C153)-$A$120:$A$165)*'Cálculos'!$E$98)+1400)+'Cálculos'!$E$123)*'Cálculos'!$E$234)+('Cálculos'!$E$197+(($C153)-$A$120:$A$165)*'Cálculos'!$E$98)*('Cálculos'!$E$225+'Cálculos'!$E$124*(1+2.78*('Cálculos'!$E$197+(($C153)-$A$120:$A$165)*'Cálculos'!$E$98)/(('Cálculos'!$E$197+(($C153)-$A$120:$A$165)*'Cálculos'!$E$98)+1400)+'Cálculos'!$E$122)*'Cálculos'!$E$230+'Cálculos'!$E$125*(1+2.78*('Cálculos'!$E$197+(($C153)-$A$120:$A$165)*'Cálculos'!$E$98)/(('Cálculos'!$E$197+(($C153)-$A$120:$A$165)*'Cálculos'!$E$98)+1400)+'Cálculos'!$E$123)*'Cálculos'!$E$235)+('Cálculos'!$E$201*(1+'Cálculos'!$E$202+$A$120:$A$165*('Cálculos'!$E$290=2)*'Cálculos'!$E$101)+'Cálculos'!$E$203)*('Cálculos'!$E$226+'Cálculos'!$E$124*(1+2.78*('Cálculos'!$E$197+(($C153)-$A$120:$A$165)*'Cálculos'!$E$98)/(('Cálculos'!$E$197+(($C153)-$A$120:$A$165)*'Cálculos'!$E$98)+1400)+'Cálculos'!$E$122)*'Cálculos'!$E$231+'Cálculos'!$E$125*(1+2.78*('Cálculos'!$E$197+(($C153)-$A$120:$A$165)*'Cálculos'!$E$98)/(('Cálculos'!$E$197+(($C153)-$A$120:$A$165)*'Cálculos'!$E$98)+1400)+'Cálculos'!$E$123)*'Cálculos'!$E$236)+('Cálculos'!$E$204*(1+'Cálculos'!$E$205+$A$120:$A$165*('Cálculos'!$E$290=3)*'Cálculos'!$E$103)+'Cálculos'!$E$206)*('Cálculos'!$E$227+'Cálculos'!$E$124*(1+2.78*('Cálculos'!$E$197+(($C153)-$A$120:$A$165)*'Cálculos'!$E$98)/(('Cálculos'!$E$197+(($C153)-$A$120:$A$165)*'Cálculos'!$E$98)+1400)+'Cálculos'!$E$122)*'Cálculos'!$E$232+'Cálculos'!$E$125*(1+2.78*('Cálculos'!$E$197+(($C153)-$A$120:$A$165)*'Cálculos'!$E$98)/(('Cálculos'!$E$197+(($C153)-$A$120:$A$165)*'Cálculos'!$E$98)+1400)+'Cálculos'!$E$123)*'Cálculos'!$E$237)+('Cálculos'!$E$228+'Cálculos'!$E$124*(1+2.78*('Cálculos'!$E$197+(($C153)-$A$120:$A$165)*'Cálculos'!$E$98)/(('Cálculos'!$E$197+(($C153)-$A$120:$A$165)*'Cálculos'!$E$98)+1400)+'Cálculos'!$E$122)*'Cálculos'!$E$233+'Cálculos'!$E$125*(1+2.78*('Cálculos'!$E$197+(($C153)-$A$120:$A$165)*'Cálculos'!$E$98)/(('Cálculos'!$E$197+(($C153)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153)-$A$120:$A$165)*'Cálculos'!$E$98)/(('Cálculos'!$E$198+(($C153)-$A$120:$A$165)*'Cálculos'!$E$98)+1400)+'Cálculos'!$E$122)*'Cálculos'!$E$244+'Cálculos'!$E$125*(1+2.78*('Cálculos'!$E$198+(($C153)-$A$120:$A$165)*'Cálculos'!$E$98)/(('Cálculos'!$E$198+(($C153)-$A$120:$A$165)*'Cálculos'!$E$98)+1400)+'Cálculos'!$E$123)*'Cálculos'!$E$249)+('Cálculos'!$E$198+(($C153)-$A$120:$A$165)*'Cálculos'!$E$98)*('Cálculos'!$E$240+'Cálculos'!$E$124*(1+2.78*('Cálculos'!$E$198+(($C153)-$A$120:$A$165)*'Cálculos'!$E$98)/(('Cálculos'!$E$198+(($C153)-$A$120:$A$165)*'Cálculos'!$E$98)+1400)+'Cálculos'!$E$122)*'Cálculos'!$E$245+'Cálculos'!$E$125*(1+2.78*('Cálculos'!$E$198+(($C153)-$A$120:$A$165)*'Cálculos'!$E$98)/(('Cálculos'!$E$198+(($C153)-$A$120:$A$165)*'Cálculos'!$E$98)+1400)+'Cálculos'!$E$123)*'Cálculos'!$E$250)+('Cálculos'!$E$201*(1+'Cálculos'!$E$202+$A$120:$A$165*('Cálculos'!$E$290=2)*'Cálculos'!$E$101)+'Cálculos'!$E$203)*('Cálculos'!$E$241+'Cálculos'!$E$124*(1+2.78*('Cálculos'!$E$198+(($C153)-$A$120:$A$165)*'Cálculos'!$E$98)/(('Cálculos'!$E$198+(($C153)-$A$120:$A$165)*'Cálculos'!$E$98)+1400)+'Cálculos'!$E$122)*'Cálculos'!$E$246+'Cálculos'!$E$125*(1+2.78*('Cálculos'!$E$198+(($C153)-$A$120:$A$165)*'Cálculos'!$E$98)/(('Cálculos'!$E$198+(($C153)-$A$120:$A$165)*'Cálculos'!$E$98)+1400)+'Cálculos'!$E$123)*'Cálculos'!$E$251)+('Cálculos'!$E$204*(1+'Cálculos'!$E$205+$A$120:$A$165*('Cálculos'!$E$290=3)*'Cálculos'!$E$103)+'Cálculos'!$E$206)*('Cálculos'!$E$242+'Cálculos'!$E$124*(1+2.78*('Cálculos'!$E$198+(($C153)-$A$120:$A$165)*'Cálculos'!$E$98)/(('Cálculos'!$E$198+(($C153)-$A$120:$A$165)*'Cálculos'!$E$98)+1400)+'Cálculos'!$E$122)*'Cálculos'!$E$247+'Cálculos'!$E$125*(1+2.78*('Cálculos'!$E$198+(($C153)-$A$120:$A$165)*'Cálculos'!$E$98)/(('Cálculos'!$E$198+(($C153)-$A$120:$A$165)*'Cálculos'!$E$98)+1400)+'Cálculos'!$E$123)*'Cálculos'!$E$252)+('Cálculos'!$E$243+'Cálculos'!$E$124*(1+2.78*('Cálculos'!$E$198+(($C153)-$A$120:$A$165)*'Cálculos'!$E$98)/(('Cálculos'!$E$198+(($C153)-$A$120:$A$165)*'Cálculos'!$E$98)+1400)+'Cálculos'!$E$122)*'Cálculos'!$E$248+'Cálculos'!$E$125*(1+2.78*('Cálculos'!$E$198+(($C153)-$A$120:$A$165)*'Cálculos'!$E$98)/(('Cálculos'!$E$198+(($C153)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153)-$A$120:$A$165)*'Cálculos'!$E$98)/(('Cálculos'!$E$199+(($C153)-$A$120:$A$165)*'Cálculos'!$E$98)+1400)+'Cálculos'!$E$122)*'Cálculos'!$E$259+'Cálculos'!$E$125*(1+2.78*('Cálculos'!$E$199+(($C153)-$A$120:$A$165)*'Cálculos'!$E$98)/(('Cálculos'!$E$199+(($C153)-$A$120:$A$165)*'Cálculos'!$E$98)+1400)+'Cálculos'!$E$123)*'Cálculos'!$E$264)+('Cálculos'!$E$199+(($C153)-$A$120:$A$165)*'Cálculos'!$E$98)*('Cálculos'!$E$255+'Cálculos'!$E$124*(1+2.78*('Cálculos'!$E$199+(($C153)-$A$120:$A$165)*'Cálculos'!$E$98)/(('Cálculos'!$E$199+(($C153)-$A$120:$A$165)*'Cálculos'!$E$98)+1400)+'Cálculos'!$E$122)*'Cálculos'!$E$260+'Cálculos'!$E$125*(1+2.78*('Cálculos'!$E$199+(($C153)-$A$120:$A$165)*'Cálculos'!$E$98)/(('Cálculos'!$E$199+(($C153)-$A$120:$A$165)*'Cálculos'!$E$98)+1400)+'Cálculos'!$E$123)*'Cálculos'!$E$265)+('Cálculos'!$E$201*(1+'Cálculos'!$E$202+$A$120:$A$165*('Cálculos'!$E$290=2)*'Cálculos'!$E$101)+'Cálculos'!$E$203)*('Cálculos'!$E$256+'Cálculos'!$E$124*(1+2.78*('Cálculos'!$E$199+(($C153)-$A$120:$A$165)*'Cálculos'!$E$98)/(('Cálculos'!$E$199+(($C153)-$A$120:$A$165)*'Cálculos'!$E$98)+1400)+'Cálculos'!$E$122)*'Cálculos'!$E$261+'Cálculos'!$E$125*(1+2.78*('Cálculos'!$E$199+(($C153)-$A$120:$A$165)*'Cálculos'!$E$98)/(('Cálculos'!$E$199+(($C153)-$A$120:$A$165)*'Cálculos'!$E$98)+1400)+'Cálculos'!$E$123)*'Cálculos'!$E$266)+('Cálculos'!$E$204*(1+'Cálculos'!$E$205+$A$120:$A$165*('Cálculos'!$E$290=3)*'Cálculos'!$E$103)+'Cálculos'!$E$206)*('Cálculos'!$E$257+'Cálculos'!$E$124*(1+2.78*('Cálculos'!$E$199+(($C153)-$A$120:$A$165)*'Cálculos'!$E$98)/(('Cálculos'!$E$199+(($C153)-$A$120:$A$165)*'Cálculos'!$E$98)+1400)+'Cálculos'!$E$122)*'Cálculos'!$E$262+'Cálculos'!$E$125*(1+2.78*('Cálculos'!$E$199+(($C153)-$A$120:$A$165)*'Cálculos'!$E$98)/(('Cálculos'!$E$199+(($C153)-$A$120:$A$165)*'Cálculos'!$E$98)+1400)+'Cálculos'!$E$123)*'Cálculos'!$E$267)+('Cálculos'!$E$258+'Cálculos'!$E$124*(1+2.78*('Cálculos'!$E$199+(($C153)-$A$120:$A$165)*'Cálculos'!$E$98)/(('Cálculos'!$E$199+(($C153)-$A$120:$A$165)*'Cálculos'!$E$98)+1400)+'Cálculos'!$E$122)*'Cálculos'!$E$263+'Cálculos'!$E$125*(1+2.78*('Cálculos'!$E$199+(($C153)-$A$120:$A$165)*'Cálculos'!$E$98)/(('Cálculos'!$E$199+(($C153)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153)-$A$120:$A$165)*'Cálculos'!$E$98)/(('Cálculos'!$E$200+(($C153)-$A$120:$A$165)*'Cálculos'!$E$98)+1400)+'Cálculos'!$E$122)*'Cálculos'!$E$274+'Cálculos'!$E$125*(1+2.78*('Cálculos'!$E$200+(($C153)-$A$120:$A$165)*'Cálculos'!$E$98)/(('Cálculos'!$E$200+(($C153)-$A$120:$A$165)*'Cálculos'!$E$98)+1400)+'Cálculos'!$E$123)*'Cálculos'!$E$279)+('Cálculos'!$E$200+(($C153)-$A$120:$A$165)*'Cálculos'!$E$98)*('Cálculos'!$E$270+'Cálculos'!$E$124*(1+2.78*('Cálculos'!$E$200+(($C153)-$A$120:$A$165)*'Cálculos'!$E$98)/(('Cálculos'!$E$200+(($C153)-$A$120:$A$165)*'Cálculos'!$E$98)+1400)+'Cálculos'!$E$122)*'Cálculos'!$E$275+'Cálculos'!$E$125*(1+2.78*('Cálculos'!$E$200+(($C153)-$A$120:$A$165)*'Cálculos'!$E$98)/(('Cálculos'!$E$200+(($C153)-$A$120:$A$165)*'Cálculos'!$E$98)+1400)+'Cálculos'!$E$123)*'Cálculos'!$E$280)+('Cálculos'!$E$201*(1+'Cálculos'!$E$202+$A$120:$A$165*('Cálculos'!$E$290=2)*'Cálculos'!$E$101)+'Cálculos'!$E$203)*('Cálculos'!$E$271+'Cálculos'!$E$124*(1+2.78*('Cálculos'!$E$200+(($C153)-$A$120:$A$165)*'Cálculos'!$E$98)/(('Cálculos'!$E$200+(($C153)-$A$120:$A$165)*'Cálculos'!$E$98)+1400)+'Cálculos'!$E$122)*'Cálculos'!$E$276+'Cálculos'!$E$125*(1+2.78*('Cálculos'!$E$200+(($C153)-$A$120:$A$165)*'Cálculos'!$E$98)/(('Cálculos'!$E$200+(($C153)-$A$120:$A$165)*'Cálculos'!$E$98)+1400)+'Cálculos'!$E$123)*'Cálculos'!$E$281)+('Cálculos'!$E$204*(1+'Cálculos'!$E$205+$A$120:$A$165*('Cálculos'!$E$290=3)*'Cálculos'!$E$103)+'Cálculos'!$E$206)*('Cálculos'!$E$272+'Cálculos'!$E$124*(1+2.78*('Cálculos'!$E$200+(($C153)-$A$120:$A$165)*'Cálculos'!$E$98)/(('Cálculos'!$E$200+(($C153)-$A$120:$A$165)*'Cálculos'!$E$98)+1400)+'Cálculos'!$E$122)*'Cálculos'!$E$277+'Cálculos'!$E$125*(1+2.78*('Cálculos'!$E$200+(($C153)-$A$120:$A$165)*'Cálculos'!$E$98)/(('Cálculos'!$E$200+(($C153)-$A$120:$A$165)*'Cálculos'!$E$98)+1400)+'Cálculos'!$E$123)*'Cálculos'!$E$282)+('Cálculos'!$E$273+'Cálculos'!$E$124*(1+2.78*('Cálculos'!$E$200+(($C153)-$A$120:$A$165)*'Cálculos'!$E$98)/(('Cálculos'!$E$200+(($C153)-$A$120:$A$165)*'Cálculos'!$E$98)+1400)+'Cálculos'!$E$122)*'Cálculos'!$E$278+'Cálculos'!$E$125*(1+2.78*('Cálculos'!$E$200+(($C153)-$A$120:$A$165)*'Cálculos'!$E$98)/(('Cálculos'!$E$200+(($C153)-$A$120:$A$165)*'Cálculos'!$E$98)+1400)+'Cálculos'!$E$123)*'Cálculos'!$E$283)))))</f>
        <v>0</v>
      </c>
      <c r="E153" s="32">
        <f>IF(OR($C153&lt;0,'Cálculos'!$E$6=""),0,$B153*$D153)</f>
        <v>0</v>
      </c>
      <c r="F153" s="2"/>
      <c r="G153" s="30">
        <f>($A153&lt;=$B$167)*($A153&lt;='Cálculos'!$E$294)*(($B$167)-$A153&lt;='Cálculos'!$E$295)*(1+MIN(('Cálculos'!$E$207+$A153*'Cálculos'!$E$95),1)*('Cálculos'!$E$208+(($B$167)-$A153)*'Cálculos'!$E$96))</f>
        <v>0</v>
      </c>
      <c r="H153" s="31">
        <f>IF($B$168&lt;0,0,($A153&lt;=$B$168)*($A153&lt;='Cálculos'!$E$301)*(($B$168)-$A153&lt;='Cálculos'!$E$297)*(('Cálculos'!$E$185*(1+'Cálculos'!$E$186+$A153*('Cálculos'!$E$290=1)*'Cálculos'!$E$97+'Cálculos'!$E$305)+'Cálculos'!$E$191)*('Cálculos'!$E$209+'Cálculos'!$E$124*(1+2.78*('Cálculos'!$E$196+(($B$168)-$A153)*'Cálculos'!$E$98)/(('Cálculos'!$E$196+(($B$168)-$A153)*'Cálculos'!$E$98)+1400)+'Cálculos'!$E$122)*'Cálculos'!$E$214+'Cálculos'!$E$125*(1+2.78*('Cálculos'!$E$196+(($B$168)-$A153)*'Cálculos'!$E$98)/(('Cálculos'!$E$196+(($B$168)-$A153)*'Cálculos'!$E$98)+1400)+'Cálculos'!$E$123)*'Cálculos'!$E$219)+('Cálculos'!$E$196+(($B$168)-$A153)*'Cálculos'!$E$98)*('Cálculos'!$E$210+'Cálculos'!$E$124*(1+2.78*('Cálculos'!$E$196+(($B$168)-$A153)*'Cálculos'!$E$98)/(('Cálculos'!$E$196+(($B$168)-$A153)*'Cálculos'!$E$98)+1400)+'Cálculos'!$E$122)*'Cálculos'!$E$215+'Cálculos'!$E$125*(1+2.78*('Cálculos'!$E$196+(($B$168)-$A153)*'Cálculos'!$E$98)/(('Cálculos'!$E$196+(($B$168)-$A153)*'Cálculos'!$E$98)+1400)+'Cálculos'!$E$123)*'Cálculos'!$E$220)+('Cálculos'!$E$201*(1+'Cálculos'!$E$202+$A153*('Cálculos'!$E$290=2)*'Cálculos'!$E$101)+'Cálculos'!$E$203)*('Cálculos'!$E$211+'Cálculos'!$E$124*(1+2.78*('Cálculos'!$E$196+(($B$168)-$A153)*'Cálculos'!$E$98)/(('Cálculos'!$E$196+(($B$168)-$A153)*'Cálculos'!$E$98)+1400)+'Cálculos'!$E$122)*'Cálculos'!$E$216+'Cálculos'!$E$125*(1+2.78*('Cálculos'!$E$196+(($B$168)-$A153)*'Cálculos'!$E$98)/(('Cálculos'!$E$196+(($B$168)-$A153)*'Cálculos'!$E$98)+1400)+'Cálculos'!$E$123)*'Cálculos'!$E$221)+('Cálculos'!$E$204*(1+'Cálculos'!$E$205+$A153*('Cálculos'!$E$290=3)*'Cálculos'!$E$103)+'Cálculos'!$E$206)*('Cálculos'!$E$212+'Cálculos'!$E$124*(1+2.78*('Cálculos'!$E$196+(($B$168)-$A153)*'Cálculos'!$E$98)/(('Cálculos'!$E$196+(($B$168)-$A153)*'Cálculos'!$E$98)+1400)+'Cálculos'!$E$122)*'Cálculos'!$E$217+'Cálculos'!$E$125*(1+2.78*('Cálculos'!$E$196+(($B$168)-$A153)*'Cálculos'!$E$98)/(('Cálculos'!$E$196+(($B$168)-$A153)*'Cálculos'!$E$98)+1400)+'Cálculos'!$E$123)*'Cálculos'!$E$222)+('Cálculos'!$E$213+'Cálculos'!$E$124*(1+2.78*('Cálculos'!$E$196+(($B$168)-$A153)*'Cálculos'!$E$98)/(('Cálculos'!$E$196+(($B$168)-$A153)*'Cálculos'!$E$98)+1400)+'Cálculos'!$E$122)*'Cálculos'!$E$218+'Cálculos'!$E$125*(1+2.78*('Cálculos'!$E$196+(($B$168)-$A153)*'Cálculos'!$E$98)/(('Cálculos'!$E$196+(($B$168)-$A153)*'Cálculos'!$E$98)+1400)+'Cálculos'!$E$123)*'Cálculos'!$E$223)+('Cálculos'!$E$185*(1+'Cálculos'!$E$187+$A153*('Cálculos'!$E$290=1)*'Cálculos'!$E$97+'Cálculos'!$E$305)+'Cálculos'!$E$192)*('Cálculos'!$E$224+'Cálculos'!$E$124*(1+2.78*('Cálculos'!$E$197+(($B$168)-$A153)*'Cálculos'!$E$98)/(('Cálculos'!$E$197+(($B$168)-$A153)*'Cálculos'!$E$98)+1400)+'Cálculos'!$E$122)*'Cálculos'!$E$229+'Cálculos'!$E$125*(1+2.78*('Cálculos'!$E$197+(($B$168)-$A153)*'Cálculos'!$E$98)/(('Cálculos'!$E$197+(($B$168)-$A153)*'Cálculos'!$E$98)+1400)+'Cálculos'!$E$123)*'Cálculos'!$E$234)+('Cálculos'!$E$197+(($B$168)-$A153)*'Cálculos'!$E$98)*('Cálculos'!$E$225+'Cálculos'!$E$124*(1+2.78*('Cálculos'!$E$197+(($B$168)-$A153)*'Cálculos'!$E$98)/(('Cálculos'!$E$197+(($B$168)-$A153)*'Cálculos'!$E$98)+1400)+'Cálculos'!$E$122)*'Cálculos'!$E$230+'Cálculos'!$E$125*(1+2.78*('Cálculos'!$E$197+(($B$168)-$A153)*'Cálculos'!$E$98)/(('Cálculos'!$E$197+(($B$168)-$A153)*'Cálculos'!$E$98)+1400)+'Cálculos'!$E$123)*'Cálculos'!$E$235)+('Cálculos'!$E$201*(1+'Cálculos'!$E$202+$A153*('Cálculos'!$E$290=2)*'Cálculos'!$E$101)+'Cálculos'!$E$203)*('Cálculos'!$E$226+'Cálculos'!$E$124*(1+2.78*('Cálculos'!$E$197+(($B$168)-$A153)*'Cálculos'!$E$98)/(('Cálculos'!$E$197+(($B$168)-$A153)*'Cálculos'!$E$98)+1400)+'Cálculos'!$E$122)*'Cálculos'!$E$231+'Cálculos'!$E$125*(1+2.78*('Cálculos'!$E$197+(($B$168)-$A153)*'Cálculos'!$E$98)/(('Cálculos'!$E$197+(($B$168)-$A153)*'Cálculos'!$E$98)+1400)+'Cálculos'!$E$123)*'Cálculos'!$E$236)+('Cálculos'!$E$204*(1+'Cálculos'!$E$205+$A153*('Cálculos'!$E$290=3)*'Cálculos'!$E$103)+'Cálculos'!$E$206)*('Cálculos'!$E$227+'Cálculos'!$E$124*(1+2.78*('Cálculos'!$E$197+(($B$168)-$A153)*'Cálculos'!$E$98)/(('Cálculos'!$E$197+(($B$168)-$A153)*'Cálculos'!$E$98)+1400)+'Cálculos'!$E$122)*'Cálculos'!$E$232+'Cálculos'!$E$125*(1+2.78*('Cálculos'!$E$197+(($B$168)-$A153)*'Cálculos'!$E$98)/(('Cálculos'!$E$197+(($B$168)-$A153)*'Cálculos'!$E$98)+1400)+'Cálculos'!$E$123)*'Cálculos'!$E$237)+('Cálculos'!$E$228+'Cálculos'!$E$124*(1+2.78*('Cálculos'!$E$197+(($B$168)-$A153)*'Cálculos'!$E$98)/(('Cálculos'!$E$197+(($B$168)-$A153)*'Cálculos'!$E$98)+1400)+'Cálculos'!$E$122)*'Cálculos'!$E$233+'Cálculos'!$E$125*(1+2.78*('Cálculos'!$E$197+(($B$168)-$A153)*'Cálculos'!$E$98)/(('Cálculos'!$E$197+(($B$168)-$A153)*'Cálculos'!$E$98)+1400)+'Cálculos'!$E$123)*'Cálculos'!$E$238)+('Cálculos'!$E$185*(1+'Cálculos'!$E$188+$A153*('Cálculos'!$E$290=1)*'Cálculos'!$E$97+'Cálculos'!$E$305)+'Cálculos'!$E$193)*('Cálculos'!$E$239+'Cálculos'!$E$124*(1+2.78*('Cálculos'!$E$198+(($B$168)-$A153)*'Cálculos'!$E$98)/(('Cálculos'!$E$198+(($B$168)-$A153)*'Cálculos'!$E$98)+1400)+'Cálculos'!$E$122)*'Cálculos'!$E$244+'Cálculos'!$E$125*(1+2.78*('Cálculos'!$E$198+(($B$168)-$A153)*'Cálculos'!$E$98)/(('Cálculos'!$E$198+(($B$168)-$A153)*'Cálculos'!$E$98)+1400)+'Cálculos'!$E$123)*'Cálculos'!$E$249)+('Cálculos'!$E$198+(($B$168)-$A153)*'Cálculos'!$E$98)*('Cálculos'!$E$240+'Cálculos'!$E$124*(1+2.78*('Cálculos'!$E$198+(($B$168)-$A153)*'Cálculos'!$E$98)/(('Cálculos'!$E$198+(($B$168)-$A153)*'Cálculos'!$E$98)+1400)+'Cálculos'!$E$122)*'Cálculos'!$E$245+'Cálculos'!$E$125*(1+2.78*('Cálculos'!$E$198+(($B$168)-$A153)*'Cálculos'!$E$98)/(('Cálculos'!$E$198+(($B$168)-$A153)*'Cálculos'!$E$98)+1400)+'Cálculos'!$E$123)*'Cálculos'!$E$250)+('Cálculos'!$E$201*(1+'Cálculos'!$E$202+$A153*('Cálculos'!$E$290=2)*'Cálculos'!$E$101)+'Cálculos'!$E$203)*('Cálculos'!$E$241+'Cálculos'!$E$124*(1+2.78*('Cálculos'!$E$198+(($B$168)-$A153)*'Cálculos'!$E$98)/(('Cálculos'!$E$198+(($B$168)-$A153)*'Cálculos'!$E$98)+1400)+'Cálculos'!$E$122)*'Cálculos'!$E$246+'Cálculos'!$E$125*(1+2.78*('Cálculos'!$E$198+(($B$168)-$A153)*'Cálculos'!$E$98)/(('Cálculos'!$E$198+(($B$168)-$A153)*'Cálculos'!$E$98)+1400)+'Cálculos'!$E$123)*'Cálculos'!$E$251)+('Cálculos'!$E$204*(1+'Cálculos'!$E$205+$A153*('Cálculos'!$E$290=3)*'Cálculos'!$E$103)+'Cálculos'!$E$206)*('Cálculos'!$E$242+'Cálculos'!$E$124*(1+2.78*('Cálculos'!$E$198+(($B$168)-$A153)*'Cálculos'!$E$98)/(('Cálculos'!$E$198+(($B$168)-$A153)*'Cálculos'!$E$98)+1400)+'Cálculos'!$E$122)*'Cálculos'!$E$247+'Cálculos'!$E$125*(1+2.78*('Cálculos'!$E$198+(($B$168)-$A153)*'Cálculos'!$E$98)/(('Cálculos'!$E$198+(($B$168)-$A153)*'Cálculos'!$E$98)+1400)+'Cálculos'!$E$123)*'Cálculos'!$E$252)+('Cálculos'!$E$243+'Cálculos'!$E$124*(1+2.78*('Cálculos'!$E$198+(($B$168)-$A153)*'Cálculos'!$E$98)/(('Cálculos'!$E$198+(($B$168)-$A153)*'Cálculos'!$E$98)+1400)+'Cálculos'!$E$122)*'Cálculos'!$E$248+'Cálculos'!$E$125*(1+2.78*('Cálculos'!$E$198+(($B$168)-$A153)*'Cálculos'!$E$98)/(('Cálculos'!$E$198+(($B$168)-$A153)*'Cálculos'!$E$98)+1400)+'Cálculos'!$E$123)*'Cálculos'!$E$253)+('Cálculos'!$E$185*(1+'Cálculos'!$E$189+$A153*('Cálculos'!$E$290=1)*'Cálculos'!$E$97+'Cálculos'!$E$305)+'Cálculos'!$E$194)*('Cálculos'!$E$254+'Cálculos'!$E$124*(1+2.78*('Cálculos'!$E$199+(($B$168)-$A153)*'Cálculos'!$E$98)/(('Cálculos'!$E$199+(($B$168)-$A153)*'Cálculos'!$E$98)+1400)+'Cálculos'!$E$122)*'Cálculos'!$E$259+'Cálculos'!$E$125*(1+2.78*('Cálculos'!$E$199+(($B$168)-$A153)*'Cálculos'!$E$98)/(('Cálculos'!$E$199+(($B$168)-$A153)*'Cálculos'!$E$98)+1400)+'Cálculos'!$E$123)*'Cálculos'!$E$264)+('Cálculos'!$E$199+(($B$168)-$A153)*'Cálculos'!$E$98)*('Cálculos'!$E$255+'Cálculos'!$E$124*(1+2.78*('Cálculos'!$E$199+(($B$168)-$A153)*'Cálculos'!$E$98)/(('Cálculos'!$E$199+(($B$168)-$A153)*'Cálculos'!$E$98)+1400)+'Cálculos'!$E$122)*'Cálculos'!$E$260+'Cálculos'!$E$125*(1+2.78*('Cálculos'!$E$199+(($B$168)-$A153)*'Cálculos'!$E$98)/(('Cálculos'!$E$199+(($B$168)-$A153)*'Cálculos'!$E$98)+1400)+'Cálculos'!$E$123)*'Cálculos'!$E$265)+('Cálculos'!$E$201*(1+'Cálculos'!$E$202+$A153*('Cálculos'!$E$290=2)*'Cálculos'!$E$101)+'Cálculos'!$E$203)*('Cálculos'!$E$256+'Cálculos'!$E$124*(1+2.78*('Cálculos'!$E$199+(($B$168)-$A153)*'Cálculos'!$E$98)/(('Cálculos'!$E$199+(($B$168)-$A153)*'Cálculos'!$E$98)+1400)+'Cálculos'!$E$122)*'Cálculos'!$E$261+'Cálculos'!$E$125*(1+2.78*('Cálculos'!$E$199+(($B$168)-$A153)*'Cálculos'!$E$98)/(('Cálculos'!$E$199+(($B$168)-$A153)*'Cálculos'!$E$98)+1400)+'Cálculos'!$E$123)*'Cálculos'!$E$266)+('Cálculos'!$E$204*(1+'Cálculos'!$E$205+$A153*('Cálculos'!$E$290=3)*'Cálculos'!$E$103)+'Cálculos'!$E$206)*('Cálculos'!$E$257+'Cálculos'!$E$124*(1+2.78*('Cálculos'!$E$199+(($B$168)-$A153)*'Cálculos'!$E$98)/(('Cálculos'!$E$199+(($B$168)-$A153)*'Cálculos'!$E$98)+1400)+'Cálculos'!$E$122)*'Cálculos'!$E$262+'Cálculos'!$E$125*(1+2.78*('Cálculos'!$E$199+(($B$168)-$A153)*'Cálculos'!$E$98)/(('Cálculos'!$E$199+(($B$168)-$A153)*'Cálculos'!$E$98)+1400)+'Cálculos'!$E$123)*'Cálculos'!$E$267)+('Cálculos'!$E$258+'Cálculos'!$E$124*(1+2.78*('Cálculos'!$E$199+(($B$168)-$A153)*'Cálculos'!$E$98)/(('Cálculos'!$E$199+(($B$168)-$A153)*'Cálculos'!$E$98)+1400)+'Cálculos'!$E$122)*'Cálculos'!$E$263+'Cálculos'!$E$125*(1+2.78*('Cálculos'!$E$199+(($B$168)-$A153)*'Cálculos'!$E$98)/(('Cálculos'!$E$199+(($B$168)-$A153)*'Cálculos'!$E$98)+1400)+'Cálculos'!$E$123)*'Cálculos'!$E$268)+('Cálculos'!$E$185*(1+'Cálculos'!$E$190+$A153*('Cálculos'!$E$290=1)*'Cálculos'!$E$97+'Cálculos'!$E$305)+'Cálculos'!$E$195)*('Cálculos'!$E$269+'Cálculos'!$E$124*(1+2.78*('Cálculos'!$E$200+(($B$168)-$A153)*'Cálculos'!$E$98)/(('Cálculos'!$E$200+(($B$168)-$A153)*'Cálculos'!$E$98)+1400)+'Cálculos'!$E$122)*'Cálculos'!$E$274+'Cálculos'!$E$125*(1+2.78*('Cálculos'!$E$200+(($B$168)-$A153)*'Cálculos'!$E$98)/(('Cálculos'!$E$200+(($B$168)-$A153)*'Cálculos'!$E$98)+1400)+'Cálculos'!$E$123)*'Cálculos'!$E$279)+('Cálculos'!$E$200+(($B$168)-$A153)*'Cálculos'!$E$98)*('Cálculos'!$E$270+'Cálculos'!$E$124*(1+2.78*('Cálculos'!$E$200+(($B$168)-$A153)*'Cálculos'!$E$98)/(('Cálculos'!$E$200+(($B$168)-$A153)*'Cálculos'!$E$98)+1400)+'Cálculos'!$E$122)*'Cálculos'!$E$275+'Cálculos'!$E$125*(1+2.78*('Cálculos'!$E$200+(($B$168)-$A153)*'Cálculos'!$E$98)/(('Cálculos'!$E$200+(($B$168)-$A153)*'Cálculos'!$E$98)+1400)+'Cálculos'!$E$123)*'Cálculos'!$E$280)+('Cálculos'!$E$201*(1+'Cálculos'!$E$202+$A153*('Cálculos'!$E$290=2)*'Cálculos'!$E$101)+'Cálculos'!$E$203)*('Cálculos'!$E$271+'Cálculos'!$E$124*(1+2.78*('Cálculos'!$E$200+(($B$168)-$A153)*'Cálculos'!$E$98)/(('Cálculos'!$E$200+(($B$168)-$A153)*'Cálculos'!$E$98)+1400)+'Cálculos'!$E$122)*'Cálculos'!$E$276+'Cálculos'!$E$125*(1+2.78*('Cálculos'!$E$200+(($B$168)-$A153)*'Cálculos'!$E$98)/(('Cálculos'!$E$200+(($B$168)-$A153)*'Cálculos'!$E$98)+1400)+'Cálculos'!$E$123)*'Cálculos'!$E$281)+('Cálculos'!$E$204*(1+'Cálculos'!$E$205+$A153*('Cálculos'!$E$290=3)*'Cálculos'!$E$103)+'Cálculos'!$E$206)*('Cálculos'!$E$272+'Cálculos'!$E$124*(1+2.78*('Cálculos'!$E$200+(($B$168)-$A153)*'Cálculos'!$E$98)/(('Cálculos'!$E$200+(($B$168)-$A153)*'Cálculos'!$E$98)+1400)+'Cálculos'!$E$122)*'Cálculos'!$E$277+'Cálculos'!$E$125*(1+2.78*('Cálculos'!$E$200+(($B$168)-$A153)*'Cálculos'!$E$98)/(('Cálculos'!$E$200+(($B$168)-$A153)*'Cálculos'!$E$98)+1400)+'Cálculos'!$E$123)*'Cálculos'!$E$282)+('Cálculos'!$E$273+'Cálculos'!$E$124*(1+2.78*('Cálculos'!$E$200+(($B$168)-$A153)*'Cálculos'!$E$98)/(('Cálculos'!$E$200+(($B$168)-$A153)*'Cálculos'!$E$98)+1400)+'Cálculos'!$E$122)*'Cálculos'!$E$278+'Cálculos'!$E$125*(1+2.78*('Cálculos'!$E$200+(($B$168)-$A153)*'Cálculos'!$E$98)/(('Cálculos'!$E$200+(($B$168)-$A153)*'Cálculos'!$E$98)+1400)+'Cálculos'!$E$123)*'Cálculos'!$E$283)))</f>
        <v>0</v>
      </c>
    </row>
    <row r="154" ht="15.75" customHeight="1">
      <c r="A154" s="2">
        <v>34.0</v>
      </c>
      <c r="B154" s="30">
        <f>SUMPRODUCT(MAX(($A$120:$A$165&lt;=$A154)*($A$120:$A$165&lt;='Cálculos'!$E$294)*(($A154)-$A$120:$A$165&lt;='Cálculos'!$E$295)*(1+(('Cálculos'!$E$207+$A$120:$A$165*'Cálculos'!$E$95)-(('Cálculos'!$E$207+$A$120:$A$165*'Cálculos'!$E$95)&gt;1)*(('Cálculos'!$E$207+$A$120:$A$165*'Cálculos'!$E$95)-1))*('Cálculos'!$E$208+(($A154)-$A$120:$A$165)*'Cálculos'!$E$96))))</f>
        <v>2.738892</v>
      </c>
      <c r="C154" s="2">
        <f>'Cálculos'!$E$303-$A154</f>
        <v>-21</v>
      </c>
      <c r="D154" s="31">
        <f>IF($C154&lt;0,0,SUMPRODUCT(MAX(($A$120:$A$165&lt;=$C154)*($A$120:$A$165&lt;='Cálculos'!$E$301)*(($C154)-$A$120:$A$165&lt;='Cálculos'!$E$297)*(('Cálculos'!$E$185*(1+'Cálculos'!$E$186+$A$120:$A$165*('Cálculos'!$E$290=1)*'Cálculos'!$E$97+'Cálculos'!$E$305)+'Cálculos'!$E$191)*('Cálculos'!$E$209+'Cálculos'!$E$124*(1+2.78*('Cálculos'!$E$196+(($C154)-$A$120:$A$165)*'Cálculos'!$E$98)/(('Cálculos'!$E$196+(($C154)-$A$120:$A$165)*'Cálculos'!$E$98)+1400)+'Cálculos'!$E$122)*'Cálculos'!$E$214+'Cálculos'!$E$125*(1+2.78*('Cálculos'!$E$196+(($C154)-$A$120:$A$165)*'Cálculos'!$E$98)/(('Cálculos'!$E$196+(($C154)-$A$120:$A$165)*'Cálculos'!$E$98)+1400)+'Cálculos'!$E$123)*'Cálculos'!$E$219)+('Cálculos'!$E$196+(($C154)-$A$120:$A$165)*'Cálculos'!$E$98)*('Cálculos'!$E$210+'Cálculos'!$E$124*(1+2.78*('Cálculos'!$E$196+(($C154)-$A$120:$A$165)*'Cálculos'!$E$98)/(('Cálculos'!$E$196+(($C154)-$A$120:$A$165)*'Cálculos'!$E$98)+1400)+'Cálculos'!$E$122)*'Cálculos'!$E$215+'Cálculos'!$E$125*(1+2.78*('Cálculos'!$E$196+(($C154)-$A$120:$A$165)*'Cálculos'!$E$98)/(('Cálculos'!$E$196+(($C154)-$A$120:$A$165)*'Cálculos'!$E$98)+1400)+'Cálculos'!$E$123)*'Cálculos'!$E$220)+('Cálculos'!$E$201*(1+'Cálculos'!$E$202+$A$120:$A$165*('Cálculos'!$E$290=2)*'Cálculos'!$E$101)+'Cálculos'!$E$203)*('Cálculos'!$E$211+'Cálculos'!$E$124*(1+2.78*('Cálculos'!$E$196+(($C154)-$A$120:$A$165)*'Cálculos'!$E$98)/(('Cálculos'!$E$196+(($C154)-$A$120:$A$165)*'Cálculos'!$E$98)+1400)+'Cálculos'!$E$122)*'Cálculos'!$E$216+'Cálculos'!$E$125*(1+2.78*('Cálculos'!$E$196+(($C154)-$A$120:$A$165)*'Cálculos'!$E$98)/(('Cálculos'!$E$196+(($C154)-$A$120:$A$165)*'Cálculos'!$E$98)+1400)+'Cálculos'!$E$123)*'Cálculos'!$E$221)+('Cálculos'!$E$204*(1+'Cálculos'!$E$205+$A$120:$A$165*('Cálculos'!$E$290=3)*'Cálculos'!$E$103)+'Cálculos'!$E$206)*('Cálculos'!$E$212+'Cálculos'!$E$124*(1+2.78*('Cálculos'!$E$196+(($C154)-$A$120:$A$165)*'Cálculos'!$E$98)/(('Cálculos'!$E$196+(($C154)-$A$120:$A$165)*'Cálculos'!$E$98)+1400)+'Cálculos'!$E$122)*'Cálculos'!$E$217+'Cálculos'!$E$125*(1+2.78*('Cálculos'!$E$196+(($C154)-$A$120:$A$165)*'Cálculos'!$E$98)/(('Cálculos'!$E$196+(($C154)-$A$120:$A$165)*'Cálculos'!$E$98)+1400)+'Cálculos'!$E$123)*'Cálculos'!$E$222)+('Cálculos'!$E$213+'Cálculos'!$E$124*(1+2.78*('Cálculos'!$E$196+(($C154)-$A$120:$A$165)*'Cálculos'!$E$98)/(('Cálculos'!$E$196+(($C154)-$A$120:$A$165)*'Cálculos'!$E$98)+1400)+'Cálculos'!$E$122)*'Cálculos'!$E$218+'Cálculos'!$E$125*(1+2.78*('Cálculos'!$E$196+(($C154)-$A$120:$A$165)*'Cálculos'!$E$98)/(('Cálculos'!$E$196+(($C154)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154)-$A$120:$A$165)*'Cálculos'!$E$98)/(('Cálculos'!$E$197+(($C154)-$A$120:$A$165)*'Cálculos'!$E$98)+1400)+'Cálculos'!$E$122)*'Cálculos'!$E$229+'Cálculos'!$E$125*(1+2.78*('Cálculos'!$E$197+(($C154)-$A$120:$A$165)*'Cálculos'!$E$98)/(('Cálculos'!$E$197+(($C154)-$A$120:$A$165)*'Cálculos'!$E$98)+1400)+'Cálculos'!$E$123)*'Cálculos'!$E$234)+('Cálculos'!$E$197+(($C154)-$A$120:$A$165)*'Cálculos'!$E$98)*('Cálculos'!$E$225+'Cálculos'!$E$124*(1+2.78*('Cálculos'!$E$197+(($C154)-$A$120:$A$165)*'Cálculos'!$E$98)/(('Cálculos'!$E$197+(($C154)-$A$120:$A$165)*'Cálculos'!$E$98)+1400)+'Cálculos'!$E$122)*'Cálculos'!$E$230+'Cálculos'!$E$125*(1+2.78*('Cálculos'!$E$197+(($C154)-$A$120:$A$165)*'Cálculos'!$E$98)/(('Cálculos'!$E$197+(($C154)-$A$120:$A$165)*'Cálculos'!$E$98)+1400)+'Cálculos'!$E$123)*'Cálculos'!$E$235)+('Cálculos'!$E$201*(1+'Cálculos'!$E$202+$A$120:$A$165*('Cálculos'!$E$290=2)*'Cálculos'!$E$101)+'Cálculos'!$E$203)*('Cálculos'!$E$226+'Cálculos'!$E$124*(1+2.78*('Cálculos'!$E$197+(($C154)-$A$120:$A$165)*'Cálculos'!$E$98)/(('Cálculos'!$E$197+(($C154)-$A$120:$A$165)*'Cálculos'!$E$98)+1400)+'Cálculos'!$E$122)*'Cálculos'!$E$231+'Cálculos'!$E$125*(1+2.78*('Cálculos'!$E$197+(($C154)-$A$120:$A$165)*'Cálculos'!$E$98)/(('Cálculos'!$E$197+(($C154)-$A$120:$A$165)*'Cálculos'!$E$98)+1400)+'Cálculos'!$E$123)*'Cálculos'!$E$236)+('Cálculos'!$E$204*(1+'Cálculos'!$E$205+$A$120:$A$165*('Cálculos'!$E$290=3)*'Cálculos'!$E$103)+'Cálculos'!$E$206)*('Cálculos'!$E$227+'Cálculos'!$E$124*(1+2.78*('Cálculos'!$E$197+(($C154)-$A$120:$A$165)*'Cálculos'!$E$98)/(('Cálculos'!$E$197+(($C154)-$A$120:$A$165)*'Cálculos'!$E$98)+1400)+'Cálculos'!$E$122)*'Cálculos'!$E$232+'Cálculos'!$E$125*(1+2.78*('Cálculos'!$E$197+(($C154)-$A$120:$A$165)*'Cálculos'!$E$98)/(('Cálculos'!$E$197+(($C154)-$A$120:$A$165)*'Cálculos'!$E$98)+1400)+'Cálculos'!$E$123)*'Cálculos'!$E$237)+('Cálculos'!$E$228+'Cálculos'!$E$124*(1+2.78*('Cálculos'!$E$197+(($C154)-$A$120:$A$165)*'Cálculos'!$E$98)/(('Cálculos'!$E$197+(($C154)-$A$120:$A$165)*'Cálculos'!$E$98)+1400)+'Cálculos'!$E$122)*'Cálculos'!$E$233+'Cálculos'!$E$125*(1+2.78*('Cálculos'!$E$197+(($C154)-$A$120:$A$165)*'Cálculos'!$E$98)/(('Cálculos'!$E$197+(($C154)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154)-$A$120:$A$165)*'Cálculos'!$E$98)/(('Cálculos'!$E$198+(($C154)-$A$120:$A$165)*'Cálculos'!$E$98)+1400)+'Cálculos'!$E$122)*'Cálculos'!$E$244+'Cálculos'!$E$125*(1+2.78*('Cálculos'!$E$198+(($C154)-$A$120:$A$165)*'Cálculos'!$E$98)/(('Cálculos'!$E$198+(($C154)-$A$120:$A$165)*'Cálculos'!$E$98)+1400)+'Cálculos'!$E$123)*'Cálculos'!$E$249)+('Cálculos'!$E$198+(($C154)-$A$120:$A$165)*'Cálculos'!$E$98)*('Cálculos'!$E$240+'Cálculos'!$E$124*(1+2.78*('Cálculos'!$E$198+(($C154)-$A$120:$A$165)*'Cálculos'!$E$98)/(('Cálculos'!$E$198+(($C154)-$A$120:$A$165)*'Cálculos'!$E$98)+1400)+'Cálculos'!$E$122)*'Cálculos'!$E$245+'Cálculos'!$E$125*(1+2.78*('Cálculos'!$E$198+(($C154)-$A$120:$A$165)*'Cálculos'!$E$98)/(('Cálculos'!$E$198+(($C154)-$A$120:$A$165)*'Cálculos'!$E$98)+1400)+'Cálculos'!$E$123)*'Cálculos'!$E$250)+('Cálculos'!$E$201*(1+'Cálculos'!$E$202+$A$120:$A$165*('Cálculos'!$E$290=2)*'Cálculos'!$E$101)+'Cálculos'!$E$203)*('Cálculos'!$E$241+'Cálculos'!$E$124*(1+2.78*('Cálculos'!$E$198+(($C154)-$A$120:$A$165)*'Cálculos'!$E$98)/(('Cálculos'!$E$198+(($C154)-$A$120:$A$165)*'Cálculos'!$E$98)+1400)+'Cálculos'!$E$122)*'Cálculos'!$E$246+'Cálculos'!$E$125*(1+2.78*('Cálculos'!$E$198+(($C154)-$A$120:$A$165)*'Cálculos'!$E$98)/(('Cálculos'!$E$198+(($C154)-$A$120:$A$165)*'Cálculos'!$E$98)+1400)+'Cálculos'!$E$123)*'Cálculos'!$E$251)+('Cálculos'!$E$204*(1+'Cálculos'!$E$205+$A$120:$A$165*('Cálculos'!$E$290=3)*'Cálculos'!$E$103)+'Cálculos'!$E$206)*('Cálculos'!$E$242+'Cálculos'!$E$124*(1+2.78*('Cálculos'!$E$198+(($C154)-$A$120:$A$165)*'Cálculos'!$E$98)/(('Cálculos'!$E$198+(($C154)-$A$120:$A$165)*'Cálculos'!$E$98)+1400)+'Cálculos'!$E$122)*'Cálculos'!$E$247+'Cálculos'!$E$125*(1+2.78*('Cálculos'!$E$198+(($C154)-$A$120:$A$165)*'Cálculos'!$E$98)/(('Cálculos'!$E$198+(($C154)-$A$120:$A$165)*'Cálculos'!$E$98)+1400)+'Cálculos'!$E$123)*'Cálculos'!$E$252)+('Cálculos'!$E$243+'Cálculos'!$E$124*(1+2.78*('Cálculos'!$E$198+(($C154)-$A$120:$A$165)*'Cálculos'!$E$98)/(('Cálculos'!$E$198+(($C154)-$A$120:$A$165)*'Cálculos'!$E$98)+1400)+'Cálculos'!$E$122)*'Cálculos'!$E$248+'Cálculos'!$E$125*(1+2.78*('Cálculos'!$E$198+(($C154)-$A$120:$A$165)*'Cálculos'!$E$98)/(('Cálculos'!$E$198+(($C154)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154)-$A$120:$A$165)*'Cálculos'!$E$98)/(('Cálculos'!$E$199+(($C154)-$A$120:$A$165)*'Cálculos'!$E$98)+1400)+'Cálculos'!$E$122)*'Cálculos'!$E$259+'Cálculos'!$E$125*(1+2.78*('Cálculos'!$E$199+(($C154)-$A$120:$A$165)*'Cálculos'!$E$98)/(('Cálculos'!$E$199+(($C154)-$A$120:$A$165)*'Cálculos'!$E$98)+1400)+'Cálculos'!$E$123)*'Cálculos'!$E$264)+('Cálculos'!$E$199+(($C154)-$A$120:$A$165)*'Cálculos'!$E$98)*('Cálculos'!$E$255+'Cálculos'!$E$124*(1+2.78*('Cálculos'!$E$199+(($C154)-$A$120:$A$165)*'Cálculos'!$E$98)/(('Cálculos'!$E$199+(($C154)-$A$120:$A$165)*'Cálculos'!$E$98)+1400)+'Cálculos'!$E$122)*'Cálculos'!$E$260+'Cálculos'!$E$125*(1+2.78*('Cálculos'!$E$199+(($C154)-$A$120:$A$165)*'Cálculos'!$E$98)/(('Cálculos'!$E$199+(($C154)-$A$120:$A$165)*'Cálculos'!$E$98)+1400)+'Cálculos'!$E$123)*'Cálculos'!$E$265)+('Cálculos'!$E$201*(1+'Cálculos'!$E$202+$A$120:$A$165*('Cálculos'!$E$290=2)*'Cálculos'!$E$101)+'Cálculos'!$E$203)*('Cálculos'!$E$256+'Cálculos'!$E$124*(1+2.78*('Cálculos'!$E$199+(($C154)-$A$120:$A$165)*'Cálculos'!$E$98)/(('Cálculos'!$E$199+(($C154)-$A$120:$A$165)*'Cálculos'!$E$98)+1400)+'Cálculos'!$E$122)*'Cálculos'!$E$261+'Cálculos'!$E$125*(1+2.78*('Cálculos'!$E$199+(($C154)-$A$120:$A$165)*'Cálculos'!$E$98)/(('Cálculos'!$E$199+(($C154)-$A$120:$A$165)*'Cálculos'!$E$98)+1400)+'Cálculos'!$E$123)*'Cálculos'!$E$266)+('Cálculos'!$E$204*(1+'Cálculos'!$E$205+$A$120:$A$165*('Cálculos'!$E$290=3)*'Cálculos'!$E$103)+'Cálculos'!$E$206)*('Cálculos'!$E$257+'Cálculos'!$E$124*(1+2.78*('Cálculos'!$E$199+(($C154)-$A$120:$A$165)*'Cálculos'!$E$98)/(('Cálculos'!$E$199+(($C154)-$A$120:$A$165)*'Cálculos'!$E$98)+1400)+'Cálculos'!$E$122)*'Cálculos'!$E$262+'Cálculos'!$E$125*(1+2.78*('Cálculos'!$E$199+(($C154)-$A$120:$A$165)*'Cálculos'!$E$98)/(('Cálculos'!$E$199+(($C154)-$A$120:$A$165)*'Cálculos'!$E$98)+1400)+'Cálculos'!$E$123)*'Cálculos'!$E$267)+('Cálculos'!$E$258+'Cálculos'!$E$124*(1+2.78*('Cálculos'!$E$199+(($C154)-$A$120:$A$165)*'Cálculos'!$E$98)/(('Cálculos'!$E$199+(($C154)-$A$120:$A$165)*'Cálculos'!$E$98)+1400)+'Cálculos'!$E$122)*'Cálculos'!$E$263+'Cálculos'!$E$125*(1+2.78*('Cálculos'!$E$199+(($C154)-$A$120:$A$165)*'Cálculos'!$E$98)/(('Cálculos'!$E$199+(($C154)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154)-$A$120:$A$165)*'Cálculos'!$E$98)/(('Cálculos'!$E$200+(($C154)-$A$120:$A$165)*'Cálculos'!$E$98)+1400)+'Cálculos'!$E$122)*'Cálculos'!$E$274+'Cálculos'!$E$125*(1+2.78*('Cálculos'!$E$200+(($C154)-$A$120:$A$165)*'Cálculos'!$E$98)/(('Cálculos'!$E$200+(($C154)-$A$120:$A$165)*'Cálculos'!$E$98)+1400)+'Cálculos'!$E$123)*'Cálculos'!$E$279)+('Cálculos'!$E$200+(($C154)-$A$120:$A$165)*'Cálculos'!$E$98)*('Cálculos'!$E$270+'Cálculos'!$E$124*(1+2.78*('Cálculos'!$E$200+(($C154)-$A$120:$A$165)*'Cálculos'!$E$98)/(('Cálculos'!$E$200+(($C154)-$A$120:$A$165)*'Cálculos'!$E$98)+1400)+'Cálculos'!$E$122)*'Cálculos'!$E$275+'Cálculos'!$E$125*(1+2.78*('Cálculos'!$E$200+(($C154)-$A$120:$A$165)*'Cálculos'!$E$98)/(('Cálculos'!$E$200+(($C154)-$A$120:$A$165)*'Cálculos'!$E$98)+1400)+'Cálculos'!$E$123)*'Cálculos'!$E$280)+('Cálculos'!$E$201*(1+'Cálculos'!$E$202+$A$120:$A$165*('Cálculos'!$E$290=2)*'Cálculos'!$E$101)+'Cálculos'!$E$203)*('Cálculos'!$E$271+'Cálculos'!$E$124*(1+2.78*('Cálculos'!$E$200+(($C154)-$A$120:$A$165)*'Cálculos'!$E$98)/(('Cálculos'!$E$200+(($C154)-$A$120:$A$165)*'Cálculos'!$E$98)+1400)+'Cálculos'!$E$122)*'Cálculos'!$E$276+'Cálculos'!$E$125*(1+2.78*('Cálculos'!$E$200+(($C154)-$A$120:$A$165)*'Cálculos'!$E$98)/(('Cálculos'!$E$200+(($C154)-$A$120:$A$165)*'Cálculos'!$E$98)+1400)+'Cálculos'!$E$123)*'Cálculos'!$E$281)+('Cálculos'!$E$204*(1+'Cálculos'!$E$205+$A$120:$A$165*('Cálculos'!$E$290=3)*'Cálculos'!$E$103)+'Cálculos'!$E$206)*('Cálculos'!$E$272+'Cálculos'!$E$124*(1+2.78*('Cálculos'!$E$200+(($C154)-$A$120:$A$165)*'Cálculos'!$E$98)/(('Cálculos'!$E$200+(($C154)-$A$120:$A$165)*'Cálculos'!$E$98)+1400)+'Cálculos'!$E$122)*'Cálculos'!$E$277+'Cálculos'!$E$125*(1+2.78*('Cálculos'!$E$200+(($C154)-$A$120:$A$165)*'Cálculos'!$E$98)/(('Cálculos'!$E$200+(($C154)-$A$120:$A$165)*'Cálculos'!$E$98)+1400)+'Cálculos'!$E$123)*'Cálculos'!$E$282)+('Cálculos'!$E$273+'Cálculos'!$E$124*(1+2.78*('Cálculos'!$E$200+(($C154)-$A$120:$A$165)*'Cálculos'!$E$98)/(('Cálculos'!$E$200+(($C154)-$A$120:$A$165)*'Cálculos'!$E$98)+1400)+'Cálculos'!$E$122)*'Cálculos'!$E$278+'Cálculos'!$E$125*(1+2.78*('Cálculos'!$E$200+(($C154)-$A$120:$A$165)*'Cálculos'!$E$98)/(('Cálculos'!$E$200+(($C154)-$A$120:$A$165)*'Cálculos'!$E$98)+1400)+'Cálculos'!$E$123)*'Cálculos'!$E$283)))))</f>
        <v>0</v>
      </c>
      <c r="E154" s="32">
        <f>IF(OR($C154&lt;0,'Cálculos'!$E$6=""),0,$B154*$D154)</f>
        <v>0</v>
      </c>
      <c r="F154" s="2"/>
      <c r="G154" s="30">
        <f>($A154&lt;=$B$167)*($A154&lt;='Cálculos'!$E$294)*(($B$167)-$A154&lt;='Cálculos'!$E$295)*(1+MIN(('Cálculos'!$E$207+$A154*'Cálculos'!$E$95),1)*('Cálculos'!$E$208+(($B$167)-$A154)*'Cálculos'!$E$96))</f>
        <v>0</v>
      </c>
      <c r="H154" s="31">
        <f>IF($B$168&lt;0,0,($A154&lt;=$B$168)*($A154&lt;='Cálculos'!$E$301)*(($B$168)-$A154&lt;='Cálculos'!$E$297)*(('Cálculos'!$E$185*(1+'Cálculos'!$E$186+$A154*('Cálculos'!$E$290=1)*'Cálculos'!$E$97+'Cálculos'!$E$305)+'Cálculos'!$E$191)*('Cálculos'!$E$209+'Cálculos'!$E$124*(1+2.78*('Cálculos'!$E$196+(($B$168)-$A154)*'Cálculos'!$E$98)/(('Cálculos'!$E$196+(($B$168)-$A154)*'Cálculos'!$E$98)+1400)+'Cálculos'!$E$122)*'Cálculos'!$E$214+'Cálculos'!$E$125*(1+2.78*('Cálculos'!$E$196+(($B$168)-$A154)*'Cálculos'!$E$98)/(('Cálculos'!$E$196+(($B$168)-$A154)*'Cálculos'!$E$98)+1400)+'Cálculos'!$E$123)*'Cálculos'!$E$219)+('Cálculos'!$E$196+(($B$168)-$A154)*'Cálculos'!$E$98)*('Cálculos'!$E$210+'Cálculos'!$E$124*(1+2.78*('Cálculos'!$E$196+(($B$168)-$A154)*'Cálculos'!$E$98)/(('Cálculos'!$E$196+(($B$168)-$A154)*'Cálculos'!$E$98)+1400)+'Cálculos'!$E$122)*'Cálculos'!$E$215+'Cálculos'!$E$125*(1+2.78*('Cálculos'!$E$196+(($B$168)-$A154)*'Cálculos'!$E$98)/(('Cálculos'!$E$196+(($B$168)-$A154)*'Cálculos'!$E$98)+1400)+'Cálculos'!$E$123)*'Cálculos'!$E$220)+('Cálculos'!$E$201*(1+'Cálculos'!$E$202+$A154*('Cálculos'!$E$290=2)*'Cálculos'!$E$101)+'Cálculos'!$E$203)*('Cálculos'!$E$211+'Cálculos'!$E$124*(1+2.78*('Cálculos'!$E$196+(($B$168)-$A154)*'Cálculos'!$E$98)/(('Cálculos'!$E$196+(($B$168)-$A154)*'Cálculos'!$E$98)+1400)+'Cálculos'!$E$122)*'Cálculos'!$E$216+'Cálculos'!$E$125*(1+2.78*('Cálculos'!$E$196+(($B$168)-$A154)*'Cálculos'!$E$98)/(('Cálculos'!$E$196+(($B$168)-$A154)*'Cálculos'!$E$98)+1400)+'Cálculos'!$E$123)*'Cálculos'!$E$221)+('Cálculos'!$E$204*(1+'Cálculos'!$E$205+$A154*('Cálculos'!$E$290=3)*'Cálculos'!$E$103)+'Cálculos'!$E$206)*('Cálculos'!$E$212+'Cálculos'!$E$124*(1+2.78*('Cálculos'!$E$196+(($B$168)-$A154)*'Cálculos'!$E$98)/(('Cálculos'!$E$196+(($B$168)-$A154)*'Cálculos'!$E$98)+1400)+'Cálculos'!$E$122)*'Cálculos'!$E$217+'Cálculos'!$E$125*(1+2.78*('Cálculos'!$E$196+(($B$168)-$A154)*'Cálculos'!$E$98)/(('Cálculos'!$E$196+(($B$168)-$A154)*'Cálculos'!$E$98)+1400)+'Cálculos'!$E$123)*'Cálculos'!$E$222)+('Cálculos'!$E$213+'Cálculos'!$E$124*(1+2.78*('Cálculos'!$E$196+(($B$168)-$A154)*'Cálculos'!$E$98)/(('Cálculos'!$E$196+(($B$168)-$A154)*'Cálculos'!$E$98)+1400)+'Cálculos'!$E$122)*'Cálculos'!$E$218+'Cálculos'!$E$125*(1+2.78*('Cálculos'!$E$196+(($B$168)-$A154)*'Cálculos'!$E$98)/(('Cálculos'!$E$196+(($B$168)-$A154)*'Cálculos'!$E$98)+1400)+'Cálculos'!$E$123)*'Cálculos'!$E$223)+('Cálculos'!$E$185*(1+'Cálculos'!$E$187+$A154*('Cálculos'!$E$290=1)*'Cálculos'!$E$97+'Cálculos'!$E$305)+'Cálculos'!$E$192)*('Cálculos'!$E$224+'Cálculos'!$E$124*(1+2.78*('Cálculos'!$E$197+(($B$168)-$A154)*'Cálculos'!$E$98)/(('Cálculos'!$E$197+(($B$168)-$A154)*'Cálculos'!$E$98)+1400)+'Cálculos'!$E$122)*'Cálculos'!$E$229+'Cálculos'!$E$125*(1+2.78*('Cálculos'!$E$197+(($B$168)-$A154)*'Cálculos'!$E$98)/(('Cálculos'!$E$197+(($B$168)-$A154)*'Cálculos'!$E$98)+1400)+'Cálculos'!$E$123)*'Cálculos'!$E$234)+('Cálculos'!$E$197+(($B$168)-$A154)*'Cálculos'!$E$98)*('Cálculos'!$E$225+'Cálculos'!$E$124*(1+2.78*('Cálculos'!$E$197+(($B$168)-$A154)*'Cálculos'!$E$98)/(('Cálculos'!$E$197+(($B$168)-$A154)*'Cálculos'!$E$98)+1400)+'Cálculos'!$E$122)*'Cálculos'!$E$230+'Cálculos'!$E$125*(1+2.78*('Cálculos'!$E$197+(($B$168)-$A154)*'Cálculos'!$E$98)/(('Cálculos'!$E$197+(($B$168)-$A154)*'Cálculos'!$E$98)+1400)+'Cálculos'!$E$123)*'Cálculos'!$E$235)+('Cálculos'!$E$201*(1+'Cálculos'!$E$202+$A154*('Cálculos'!$E$290=2)*'Cálculos'!$E$101)+'Cálculos'!$E$203)*('Cálculos'!$E$226+'Cálculos'!$E$124*(1+2.78*('Cálculos'!$E$197+(($B$168)-$A154)*'Cálculos'!$E$98)/(('Cálculos'!$E$197+(($B$168)-$A154)*'Cálculos'!$E$98)+1400)+'Cálculos'!$E$122)*'Cálculos'!$E$231+'Cálculos'!$E$125*(1+2.78*('Cálculos'!$E$197+(($B$168)-$A154)*'Cálculos'!$E$98)/(('Cálculos'!$E$197+(($B$168)-$A154)*'Cálculos'!$E$98)+1400)+'Cálculos'!$E$123)*'Cálculos'!$E$236)+('Cálculos'!$E$204*(1+'Cálculos'!$E$205+$A154*('Cálculos'!$E$290=3)*'Cálculos'!$E$103)+'Cálculos'!$E$206)*('Cálculos'!$E$227+'Cálculos'!$E$124*(1+2.78*('Cálculos'!$E$197+(($B$168)-$A154)*'Cálculos'!$E$98)/(('Cálculos'!$E$197+(($B$168)-$A154)*'Cálculos'!$E$98)+1400)+'Cálculos'!$E$122)*'Cálculos'!$E$232+'Cálculos'!$E$125*(1+2.78*('Cálculos'!$E$197+(($B$168)-$A154)*'Cálculos'!$E$98)/(('Cálculos'!$E$197+(($B$168)-$A154)*'Cálculos'!$E$98)+1400)+'Cálculos'!$E$123)*'Cálculos'!$E$237)+('Cálculos'!$E$228+'Cálculos'!$E$124*(1+2.78*('Cálculos'!$E$197+(($B$168)-$A154)*'Cálculos'!$E$98)/(('Cálculos'!$E$197+(($B$168)-$A154)*'Cálculos'!$E$98)+1400)+'Cálculos'!$E$122)*'Cálculos'!$E$233+'Cálculos'!$E$125*(1+2.78*('Cálculos'!$E$197+(($B$168)-$A154)*'Cálculos'!$E$98)/(('Cálculos'!$E$197+(($B$168)-$A154)*'Cálculos'!$E$98)+1400)+'Cálculos'!$E$123)*'Cálculos'!$E$238)+('Cálculos'!$E$185*(1+'Cálculos'!$E$188+$A154*('Cálculos'!$E$290=1)*'Cálculos'!$E$97+'Cálculos'!$E$305)+'Cálculos'!$E$193)*('Cálculos'!$E$239+'Cálculos'!$E$124*(1+2.78*('Cálculos'!$E$198+(($B$168)-$A154)*'Cálculos'!$E$98)/(('Cálculos'!$E$198+(($B$168)-$A154)*'Cálculos'!$E$98)+1400)+'Cálculos'!$E$122)*'Cálculos'!$E$244+'Cálculos'!$E$125*(1+2.78*('Cálculos'!$E$198+(($B$168)-$A154)*'Cálculos'!$E$98)/(('Cálculos'!$E$198+(($B$168)-$A154)*'Cálculos'!$E$98)+1400)+'Cálculos'!$E$123)*'Cálculos'!$E$249)+('Cálculos'!$E$198+(($B$168)-$A154)*'Cálculos'!$E$98)*('Cálculos'!$E$240+'Cálculos'!$E$124*(1+2.78*('Cálculos'!$E$198+(($B$168)-$A154)*'Cálculos'!$E$98)/(('Cálculos'!$E$198+(($B$168)-$A154)*'Cálculos'!$E$98)+1400)+'Cálculos'!$E$122)*'Cálculos'!$E$245+'Cálculos'!$E$125*(1+2.78*('Cálculos'!$E$198+(($B$168)-$A154)*'Cálculos'!$E$98)/(('Cálculos'!$E$198+(($B$168)-$A154)*'Cálculos'!$E$98)+1400)+'Cálculos'!$E$123)*'Cálculos'!$E$250)+('Cálculos'!$E$201*(1+'Cálculos'!$E$202+$A154*('Cálculos'!$E$290=2)*'Cálculos'!$E$101)+'Cálculos'!$E$203)*('Cálculos'!$E$241+'Cálculos'!$E$124*(1+2.78*('Cálculos'!$E$198+(($B$168)-$A154)*'Cálculos'!$E$98)/(('Cálculos'!$E$198+(($B$168)-$A154)*'Cálculos'!$E$98)+1400)+'Cálculos'!$E$122)*'Cálculos'!$E$246+'Cálculos'!$E$125*(1+2.78*('Cálculos'!$E$198+(($B$168)-$A154)*'Cálculos'!$E$98)/(('Cálculos'!$E$198+(($B$168)-$A154)*'Cálculos'!$E$98)+1400)+'Cálculos'!$E$123)*'Cálculos'!$E$251)+('Cálculos'!$E$204*(1+'Cálculos'!$E$205+$A154*('Cálculos'!$E$290=3)*'Cálculos'!$E$103)+'Cálculos'!$E$206)*('Cálculos'!$E$242+'Cálculos'!$E$124*(1+2.78*('Cálculos'!$E$198+(($B$168)-$A154)*'Cálculos'!$E$98)/(('Cálculos'!$E$198+(($B$168)-$A154)*'Cálculos'!$E$98)+1400)+'Cálculos'!$E$122)*'Cálculos'!$E$247+'Cálculos'!$E$125*(1+2.78*('Cálculos'!$E$198+(($B$168)-$A154)*'Cálculos'!$E$98)/(('Cálculos'!$E$198+(($B$168)-$A154)*'Cálculos'!$E$98)+1400)+'Cálculos'!$E$123)*'Cálculos'!$E$252)+('Cálculos'!$E$243+'Cálculos'!$E$124*(1+2.78*('Cálculos'!$E$198+(($B$168)-$A154)*'Cálculos'!$E$98)/(('Cálculos'!$E$198+(($B$168)-$A154)*'Cálculos'!$E$98)+1400)+'Cálculos'!$E$122)*'Cálculos'!$E$248+'Cálculos'!$E$125*(1+2.78*('Cálculos'!$E$198+(($B$168)-$A154)*'Cálculos'!$E$98)/(('Cálculos'!$E$198+(($B$168)-$A154)*'Cálculos'!$E$98)+1400)+'Cálculos'!$E$123)*'Cálculos'!$E$253)+('Cálculos'!$E$185*(1+'Cálculos'!$E$189+$A154*('Cálculos'!$E$290=1)*'Cálculos'!$E$97+'Cálculos'!$E$305)+'Cálculos'!$E$194)*('Cálculos'!$E$254+'Cálculos'!$E$124*(1+2.78*('Cálculos'!$E$199+(($B$168)-$A154)*'Cálculos'!$E$98)/(('Cálculos'!$E$199+(($B$168)-$A154)*'Cálculos'!$E$98)+1400)+'Cálculos'!$E$122)*'Cálculos'!$E$259+'Cálculos'!$E$125*(1+2.78*('Cálculos'!$E$199+(($B$168)-$A154)*'Cálculos'!$E$98)/(('Cálculos'!$E$199+(($B$168)-$A154)*'Cálculos'!$E$98)+1400)+'Cálculos'!$E$123)*'Cálculos'!$E$264)+('Cálculos'!$E$199+(($B$168)-$A154)*'Cálculos'!$E$98)*('Cálculos'!$E$255+'Cálculos'!$E$124*(1+2.78*('Cálculos'!$E$199+(($B$168)-$A154)*'Cálculos'!$E$98)/(('Cálculos'!$E$199+(($B$168)-$A154)*'Cálculos'!$E$98)+1400)+'Cálculos'!$E$122)*'Cálculos'!$E$260+'Cálculos'!$E$125*(1+2.78*('Cálculos'!$E$199+(($B$168)-$A154)*'Cálculos'!$E$98)/(('Cálculos'!$E$199+(($B$168)-$A154)*'Cálculos'!$E$98)+1400)+'Cálculos'!$E$123)*'Cálculos'!$E$265)+('Cálculos'!$E$201*(1+'Cálculos'!$E$202+$A154*('Cálculos'!$E$290=2)*'Cálculos'!$E$101)+'Cálculos'!$E$203)*('Cálculos'!$E$256+'Cálculos'!$E$124*(1+2.78*('Cálculos'!$E$199+(($B$168)-$A154)*'Cálculos'!$E$98)/(('Cálculos'!$E$199+(($B$168)-$A154)*'Cálculos'!$E$98)+1400)+'Cálculos'!$E$122)*'Cálculos'!$E$261+'Cálculos'!$E$125*(1+2.78*('Cálculos'!$E$199+(($B$168)-$A154)*'Cálculos'!$E$98)/(('Cálculos'!$E$199+(($B$168)-$A154)*'Cálculos'!$E$98)+1400)+'Cálculos'!$E$123)*'Cálculos'!$E$266)+('Cálculos'!$E$204*(1+'Cálculos'!$E$205+$A154*('Cálculos'!$E$290=3)*'Cálculos'!$E$103)+'Cálculos'!$E$206)*('Cálculos'!$E$257+'Cálculos'!$E$124*(1+2.78*('Cálculos'!$E$199+(($B$168)-$A154)*'Cálculos'!$E$98)/(('Cálculos'!$E$199+(($B$168)-$A154)*'Cálculos'!$E$98)+1400)+'Cálculos'!$E$122)*'Cálculos'!$E$262+'Cálculos'!$E$125*(1+2.78*('Cálculos'!$E$199+(($B$168)-$A154)*'Cálculos'!$E$98)/(('Cálculos'!$E$199+(($B$168)-$A154)*'Cálculos'!$E$98)+1400)+'Cálculos'!$E$123)*'Cálculos'!$E$267)+('Cálculos'!$E$258+'Cálculos'!$E$124*(1+2.78*('Cálculos'!$E$199+(($B$168)-$A154)*'Cálculos'!$E$98)/(('Cálculos'!$E$199+(($B$168)-$A154)*'Cálculos'!$E$98)+1400)+'Cálculos'!$E$122)*'Cálculos'!$E$263+'Cálculos'!$E$125*(1+2.78*('Cálculos'!$E$199+(($B$168)-$A154)*'Cálculos'!$E$98)/(('Cálculos'!$E$199+(($B$168)-$A154)*'Cálculos'!$E$98)+1400)+'Cálculos'!$E$123)*'Cálculos'!$E$268)+('Cálculos'!$E$185*(1+'Cálculos'!$E$190+$A154*('Cálculos'!$E$290=1)*'Cálculos'!$E$97+'Cálculos'!$E$305)+'Cálculos'!$E$195)*('Cálculos'!$E$269+'Cálculos'!$E$124*(1+2.78*('Cálculos'!$E$200+(($B$168)-$A154)*'Cálculos'!$E$98)/(('Cálculos'!$E$200+(($B$168)-$A154)*'Cálculos'!$E$98)+1400)+'Cálculos'!$E$122)*'Cálculos'!$E$274+'Cálculos'!$E$125*(1+2.78*('Cálculos'!$E$200+(($B$168)-$A154)*'Cálculos'!$E$98)/(('Cálculos'!$E$200+(($B$168)-$A154)*'Cálculos'!$E$98)+1400)+'Cálculos'!$E$123)*'Cálculos'!$E$279)+('Cálculos'!$E$200+(($B$168)-$A154)*'Cálculos'!$E$98)*('Cálculos'!$E$270+'Cálculos'!$E$124*(1+2.78*('Cálculos'!$E$200+(($B$168)-$A154)*'Cálculos'!$E$98)/(('Cálculos'!$E$200+(($B$168)-$A154)*'Cálculos'!$E$98)+1400)+'Cálculos'!$E$122)*'Cálculos'!$E$275+'Cálculos'!$E$125*(1+2.78*('Cálculos'!$E$200+(($B$168)-$A154)*'Cálculos'!$E$98)/(('Cálculos'!$E$200+(($B$168)-$A154)*'Cálculos'!$E$98)+1400)+'Cálculos'!$E$123)*'Cálculos'!$E$280)+('Cálculos'!$E$201*(1+'Cálculos'!$E$202+$A154*('Cálculos'!$E$290=2)*'Cálculos'!$E$101)+'Cálculos'!$E$203)*('Cálculos'!$E$271+'Cálculos'!$E$124*(1+2.78*('Cálculos'!$E$200+(($B$168)-$A154)*'Cálculos'!$E$98)/(('Cálculos'!$E$200+(($B$168)-$A154)*'Cálculos'!$E$98)+1400)+'Cálculos'!$E$122)*'Cálculos'!$E$276+'Cálculos'!$E$125*(1+2.78*('Cálculos'!$E$200+(($B$168)-$A154)*'Cálculos'!$E$98)/(('Cálculos'!$E$200+(($B$168)-$A154)*'Cálculos'!$E$98)+1400)+'Cálculos'!$E$123)*'Cálculos'!$E$281)+('Cálculos'!$E$204*(1+'Cálculos'!$E$205+$A154*('Cálculos'!$E$290=3)*'Cálculos'!$E$103)+'Cálculos'!$E$206)*('Cálculos'!$E$272+'Cálculos'!$E$124*(1+2.78*('Cálculos'!$E$200+(($B$168)-$A154)*'Cálculos'!$E$98)/(('Cálculos'!$E$200+(($B$168)-$A154)*'Cálculos'!$E$98)+1400)+'Cálculos'!$E$122)*'Cálculos'!$E$277+'Cálculos'!$E$125*(1+2.78*('Cálculos'!$E$200+(($B$168)-$A154)*'Cálculos'!$E$98)/(('Cálculos'!$E$200+(($B$168)-$A154)*'Cálculos'!$E$98)+1400)+'Cálculos'!$E$123)*'Cálculos'!$E$282)+('Cálculos'!$E$273+'Cálculos'!$E$124*(1+2.78*('Cálculos'!$E$200+(($B$168)-$A154)*'Cálculos'!$E$98)/(('Cálculos'!$E$200+(($B$168)-$A154)*'Cálculos'!$E$98)+1400)+'Cálculos'!$E$122)*'Cálculos'!$E$278+'Cálculos'!$E$125*(1+2.78*('Cálculos'!$E$200+(($B$168)-$A154)*'Cálculos'!$E$98)/(('Cálculos'!$E$200+(($B$168)-$A154)*'Cálculos'!$E$98)+1400)+'Cálculos'!$E$123)*'Cálculos'!$E$283)))</f>
        <v>0</v>
      </c>
    </row>
    <row r="155" ht="15.75" customHeight="1">
      <c r="A155" s="2">
        <v>35.0</v>
      </c>
      <c r="B155" s="30">
        <f>SUMPRODUCT(MAX(($A$120:$A$165&lt;=$A155)*($A$120:$A$165&lt;='Cálculos'!$E$294)*(($A155)-$A$120:$A$165&lt;='Cálculos'!$E$295)*(1+(('Cálculos'!$E$207+$A$120:$A$165*'Cálculos'!$E$95)-(('Cálculos'!$E$207+$A$120:$A$165*'Cálculos'!$E$95)&gt;1)*(('Cálculos'!$E$207+$A$120:$A$165*'Cálculos'!$E$95)-1))*('Cálculos'!$E$208+(($A155)-$A$120:$A$165)*'Cálculos'!$E$96))))</f>
        <v>2.80113</v>
      </c>
      <c r="C155" s="2">
        <f>'Cálculos'!$E$303-$A155</f>
        <v>-22</v>
      </c>
      <c r="D155" s="31">
        <f>IF($C155&lt;0,0,SUMPRODUCT(MAX(($A$120:$A$165&lt;=$C155)*($A$120:$A$165&lt;='Cálculos'!$E$301)*(($C155)-$A$120:$A$165&lt;='Cálculos'!$E$297)*(('Cálculos'!$E$185*(1+'Cálculos'!$E$186+$A$120:$A$165*('Cálculos'!$E$290=1)*'Cálculos'!$E$97+'Cálculos'!$E$305)+'Cálculos'!$E$191)*('Cálculos'!$E$209+'Cálculos'!$E$124*(1+2.78*('Cálculos'!$E$196+(($C155)-$A$120:$A$165)*'Cálculos'!$E$98)/(('Cálculos'!$E$196+(($C155)-$A$120:$A$165)*'Cálculos'!$E$98)+1400)+'Cálculos'!$E$122)*'Cálculos'!$E$214+'Cálculos'!$E$125*(1+2.78*('Cálculos'!$E$196+(($C155)-$A$120:$A$165)*'Cálculos'!$E$98)/(('Cálculos'!$E$196+(($C155)-$A$120:$A$165)*'Cálculos'!$E$98)+1400)+'Cálculos'!$E$123)*'Cálculos'!$E$219)+('Cálculos'!$E$196+(($C155)-$A$120:$A$165)*'Cálculos'!$E$98)*('Cálculos'!$E$210+'Cálculos'!$E$124*(1+2.78*('Cálculos'!$E$196+(($C155)-$A$120:$A$165)*'Cálculos'!$E$98)/(('Cálculos'!$E$196+(($C155)-$A$120:$A$165)*'Cálculos'!$E$98)+1400)+'Cálculos'!$E$122)*'Cálculos'!$E$215+'Cálculos'!$E$125*(1+2.78*('Cálculos'!$E$196+(($C155)-$A$120:$A$165)*'Cálculos'!$E$98)/(('Cálculos'!$E$196+(($C155)-$A$120:$A$165)*'Cálculos'!$E$98)+1400)+'Cálculos'!$E$123)*'Cálculos'!$E$220)+('Cálculos'!$E$201*(1+'Cálculos'!$E$202+$A$120:$A$165*('Cálculos'!$E$290=2)*'Cálculos'!$E$101)+'Cálculos'!$E$203)*('Cálculos'!$E$211+'Cálculos'!$E$124*(1+2.78*('Cálculos'!$E$196+(($C155)-$A$120:$A$165)*'Cálculos'!$E$98)/(('Cálculos'!$E$196+(($C155)-$A$120:$A$165)*'Cálculos'!$E$98)+1400)+'Cálculos'!$E$122)*'Cálculos'!$E$216+'Cálculos'!$E$125*(1+2.78*('Cálculos'!$E$196+(($C155)-$A$120:$A$165)*'Cálculos'!$E$98)/(('Cálculos'!$E$196+(($C155)-$A$120:$A$165)*'Cálculos'!$E$98)+1400)+'Cálculos'!$E$123)*'Cálculos'!$E$221)+('Cálculos'!$E$204*(1+'Cálculos'!$E$205+$A$120:$A$165*('Cálculos'!$E$290=3)*'Cálculos'!$E$103)+'Cálculos'!$E$206)*('Cálculos'!$E$212+'Cálculos'!$E$124*(1+2.78*('Cálculos'!$E$196+(($C155)-$A$120:$A$165)*'Cálculos'!$E$98)/(('Cálculos'!$E$196+(($C155)-$A$120:$A$165)*'Cálculos'!$E$98)+1400)+'Cálculos'!$E$122)*'Cálculos'!$E$217+'Cálculos'!$E$125*(1+2.78*('Cálculos'!$E$196+(($C155)-$A$120:$A$165)*'Cálculos'!$E$98)/(('Cálculos'!$E$196+(($C155)-$A$120:$A$165)*'Cálculos'!$E$98)+1400)+'Cálculos'!$E$123)*'Cálculos'!$E$222)+('Cálculos'!$E$213+'Cálculos'!$E$124*(1+2.78*('Cálculos'!$E$196+(($C155)-$A$120:$A$165)*'Cálculos'!$E$98)/(('Cálculos'!$E$196+(($C155)-$A$120:$A$165)*'Cálculos'!$E$98)+1400)+'Cálculos'!$E$122)*'Cálculos'!$E$218+'Cálculos'!$E$125*(1+2.78*('Cálculos'!$E$196+(($C155)-$A$120:$A$165)*'Cálculos'!$E$98)/(('Cálculos'!$E$196+(($C155)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155)-$A$120:$A$165)*'Cálculos'!$E$98)/(('Cálculos'!$E$197+(($C155)-$A$120:$A$165)*'Cálculos'!$E$98)+1400)+'Cálculos'!$E$122)*'Cálculos'!$E$229+'Cálculos'!$E$125*(1+2.78*('Cálculos'!$E$197+(($C155)-$A$120:$A$165)*'Cálculos'!$E$98)/(('Cálculos'!$E$197+(($C155)-$A$120:$A$165)*'Cálculos'!$E$98)+1400)+'Cálculos'!$E$123)*'Cálculos'!$E$234)+('Cálculos'!$E$197+(($C155)-$A$120:$A$165)*'Cálculos'!$E$98)*('Cálculos'!$E$225+'Cálculos'!$E$124*(1+2.78*('Cálculos'!$E$197+(($C155)-$A$120:$A$165)*'Cálculos'!$E$98)/(('Cálculos'!$E$197+(($C155)-$A$120:$A$165)*'Cálculos'!$E$98)+1400)+'Cálculos'!$E$122)*'Cálculos'!$E$230+'Cálculos'!$E$125*(1+2.78*('Cálculos'!$E$197+(($C155)-$A$120:$A$165)*'Cálculos'!$E$98)/(('Cálculos'!$E$197+(($C155)-$A$120:$A$165)*'Cálculos'!$E$98)+1400)+'Cálculos'!$E$123)*'Cálculos'!$E$235)+('Cálculos'!$E$201*(1+'Cálculos'!$E$202+$A$120:$A$165*('Cálculos'!$E$290=2)*'Cálculos'!$E$101)+'Cálculos'!$E$203)*('Cálculos'!$E$226+'Cálculos'!$E$124*(1+2.78*('Cálculos'!$E$197+(($C155)-$A$120:$A$165)*'Cálculos'!$E$98)/(('Cálculos'!$E$197+(($C155)-$A$120:$A$165)*'Cálculos'!$E$98)+1400)+'Cálculos'!$E$122)*'Cálculos'!$E$231+'Cálculos'!$E$125*(1+2.78*('Cálculos'!$E$197+(($C155)-$A$120:$A$165)*'Cálculos'!$E$98)/(('Cálculos'!$E$197+(($C155)-$A$120:$A$165)*'Cálculos'!$E$98)+1400)+'Cálculos'!$E$123)*'Cálculos'!$E$236)+('Cálculos'!$E$204*(1+'Cálculos'!$E$205+$A$120:$A$165*('Cálculos'!$E$290=3)*'Cálculos'!$E$103)+'Cálculos'!$E$206)*('Cálculos'!$E$227+'Cálculos'!$E$124*(1+2.78*('Cálculos'!$E$197+(($C155)-$A$120:$A$165)*'Cálculos'!$E$98)/(('Cálculos'!$E$197+(($C155)-$A$120:$A$165)*'Cálculos'!$E$98)+1400)+'Cálculos'!$E$122)*'Cálculos'!$E$232+'Cálculos'!$E$125*(1+2.78*('Cálculos'!$E$197+(($C155)-$A$120:$A$165)*'Cálculos'!$E$98)/(('Cálculos'!$E$197+(($C155)-$A$120:$A$165)*'Cálculos'!$E$98)+1400)+'Cálculos'!$E$123)*'Cálculos'!$E$237)+('Cálculos'!$E$228+'Cálculos'!$E$124*(1+2.78*('Cálculos'!$E$197+(($C155)-$A$120:$A$165)*'Cálculos'!$E$98)/(('Cálculos'!$E$197+(($C155)-$A$120:$A$165)*'Cálculos'!$E$98)+1400)+'Cálculos'!$E$122)*'Cálculos'!$E$233+'Cálculos'!$E$125*(1+2.78*('Cálculos'!$E$197+(($C155)-$A$120:$A$165)*'Cálculos'!$E$98)/(('Cálculos'!$E$197+(($C155)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155)-$A$120:$A$165)*'Cálculos'!$E$98)/(('Cálculos'!$E$198+(($C155)-$A$120:$A$165)*'Cálculos'!$E$98)+1400)+'Cálculos'!$E$122)*'Cálculos'!$E$244+'Cálculos'!$E$125*(1+2.78*('Cálculos'!$E$198+(($C155)-$A$120:$A$165)*'Cálculos'!$E$98)/(('Cálculos'!$E$198+(($C155)-$A$120:$A$165)*'Cálculos'!$E$98)+1400)+'Cálculos'!$E$123)*'Cálculos'!$E$249)+('Cálculos'!$E$198+(($C155)-$A$120:$A$165)*'Cálculos'!$E$98)*('Cálculos'!$E$240+'Cálculos'!$E$124*(1+2.78*('Cálculos'!$E$198+(($C155)-$A$120:$A$165)*'Cálculos'!$E$98)/(('Cálculos'!$E$198+(($C155)-$A$120:$A$165)*'Cálculos'!$E$98)+1400)+'Cálculos'!$E$122)*'Cálculos'!$E$245+'Cálculos'!$E$125*(1+2.78*('Cálculos'!$E$198+(($C155)-$A$120:$A$165)*'Cálculos'!$E$98)/(('Cálculos'!$E$198+(($C155)-$A$120:$A$165)*'Cálculos'!$E$98)+1400)+'Cálculos'!$E$123)*'Cálculos'!$E$250)+('Cálculos'!$E$201*(1+'Cálculos'!$E$202+$A$120:$A$165*('Cálculos'!$E$290=2)*'Cálculos'!$E$101)+'Cálculos'!$E$203)*('Cálculos'!$E$241+'Cálculos'!$E$124*(1+2.78*('Cálculos'!$E$198+(($C155)-$A$120:$A$165)*'Cálculos'!$E$98)/(('Cálculos'!$E$198+(($C155)-$A$120:$A$165)*'Cálculos'!$E$98)+1400)+'Cálculos'!$E$122)*'Cálculos'!$E$246+'Cálculos'!$E$125*(1+2.78*('Cálculos'!$E$198+(($C155)-$A$120:$A$165)*'Cálculos'!$E$98)/(('Cálculos'!$E$198+(($C155)-$A$120:$A$165)*'Cálculos'!$E$98)+1400)+'Cálculos'!$E$123)*'Cálculos'!$E$251)+('Cálculos'!$E$204*(1+'Cálculos'!$E$205+$A$120:$A$165*('Cálculos'!$E$290=3)*'Cálculos'!$E$103)+'Cálculos'!$E$206)*('Cálculos'!$E$242+'Cálculos'!$E$124*(1+2.78*('Cálculos'!$E$198+(($C155)-$A$120:$A$165)*'Cálculos'!$E$98)/(('Cálculos'!$E$198+(($C155)-$A$120:$A$165)*'Cálculos'!$E$98)+1400)+'Cálculos'!$E$122)*'Cálculos'!$E$247+'Cálculos'!$E$125*(1+2.78*('Cálculos'!$E$198+(($C155)-$A$120:$A$165)*'Cálculos'!$E$98)/(('Cálculos'!$E$198+(($C155)-$A$120:$A$165)*'Cálculos'!$E$98)+1400)+'Cálculos'!$E$123)*'Cálculos'!$E$252)+('Cálculos'!$E$243+'Cálculos'!$E$124*(1+2.78*('Cálculos'!$E$198+(($C155)-$A$120:$A$165)*'Cálculos'!$E$98)/(('Cálculos'!$E$198+(($C155)-$A$120:$A$165)*'Cálculos'!$E$98)+1400)+'Cálculos'!$E$122)*'Cálculos'!$E$248+'Cálculos'!$E$125*(1+2.78*('Cálculos'!$E$198+(($C155)-$A$120:$A$165)*'Cálculos'!$E$98)/(('Cálculos'!$E$198+(($C155)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155)-$A$120:$A$165)*'Cálculos'!$E$98)/(('Cálculos'!$E$199+(($C155)-$A$120:$A$165)*'Cálculos'!$E$98)+1400)+'Cálculos'!$E$122)*'Cálculos'!$E$259+'Cálculos'!$E$125*(1+2.78*('Cálculos'!$E$199+(($C155)-$A$120:$A$165)*'Cálculos'!$E$98)/(('Cálculos'!$E$199+(($C155)-$A$120:$A$165)*'Cálculos'!$E$98)+1400)+'Cálculos'!$E$123)*'Cálculos'!$E$264)+('Cálculos'!$E$199+(($C155)-$A$120:$A$165)*'Cálculos'!$E$98)*('Cálculos'!$E$255+'Cálculos'!$E$124*(1+2.78*('Cálculos'!$E$199+(($C155)-$A$120:$A$165)*'Cálculos'!$E$98)/(('Cálculos'!$E$199+(($C155)-$A$120:$A$165)*'Cálculos'!$E$98)+1400)+'Cálculos'!$E$122)*'Cálculos'!$E$260+'Cálculos'!$E$125*(1+2.78*('Cálculos'!$E$199+(($C155)-$A$120:$A$165)*'Cálculos'!$E$98)/(('Cálculos'!$E$199+(($C155)-$A$120:$A$165)*'Cálculos'!$E$98)+1400)+'Cálculos'!$E$123)*'Cálculos'!$E$265)+('Cálculos'!$E$201*(1+'Cálculos'!$E$202+$A$120:$A$165*('Cálculos'!$E$290=2)*'Cálculos'!$E$101)+'Cálculos'!$E$203)*('Cálculos'!$E$256+'Cálculos'!$E$124*(1+2.78*('Cálculos'!$E$199+(($C155)-$A$120:$A$165)*'Cálculos'!$E$98)/(('Cálculos'!$E$199+(($C155)-$A$120:$A$165)*'Cálculos'!$E$98)+1400)+'Cálculos'!$E$122)*'Cálculos'!$E$261+'Cálculos'!$E$125*(1+2.78*('Cálculos'!$E$199+(($C155)-$A$120:$A$165)*'Cálculos'!$E$98)/(('Cálculos'!$E$199+(($C155)-$A$120:$A$165)*'Cálculos'!$E$98)+1400)+'Cálculos'!$E$123)*'Cálculos'!$E$266)+('Cálculos'!$E$204*(1+'Cálculos'!$E$205+$A$120:$A$165*('Cálculos'!$E$290=3)*'Cálculos'!$E$103)+'Cálculos'!$E$206)*('Cálculos'!$E$257+'Cálculos'!$E$124*(1+2.78*('Cálculos'!$E$199+(($C155)-$A$120:$A$165)*'Cálculos'!$E$98)/(('Cálculos'!$E$199+(($C155)-$A$120:$A$165)*'Cálculos'!$E$98)+1400)+'Cálculos'!$E$122)*'Cálculos'!$E$262+'Cálculos'!$E$125*(1+2.78*('Cálculos'!$E$199+(($C155)-$A$120:$A$165)*'Cálculos'!$E$98)/(('Cálculos'!$E$199+(($C155)-$A$120:$A$165)*'Cálculos'!$E$98)+1400)+'Cálculos'!$E$123)*'Cálculos'!$E$267)+('Cálculos'!$E$258+'Cálculos'!$E$124*(1+2.78*('Cálculos'!$E$199+(($C155)-$A$120:$A$165)*'Cálculos'!$E$98)/(('Cálculos'!$E$199+(($C155)-$A$120:$A$165)*'Cálculos'!$E$98)+1400)+'Cálculos'!$E$122)*'Cálculos'!$E$263+'Cálculos'!$E$125*(1+2.78*('Cálculos'!$E$199+(($C155)-$A$120:$A$165)*'Cálculos'!$E$98)/(('Cálculos'!$E$199+(($C155)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155)-$A$120:$A$165)*'Cálculos'!$E$98)/(('Cálculos'!$E$200+(($C155)-$A$120:$A$165)*'Cálculos'!$E$98)+1400)+'Cálculos'!$E$122)*'Cálculos'!$E$274+'Cálculos'!$E$125*(1+2.78*('Cálculos'!$E$200+(($C155)-$A$120:$A$165)*'Cálculos'!$E$98)/(('Cálculos'!$E$200+(($C155)-$A$120:$A$165)*'Cálculos'!$E$98)+1400)+'Cálculos'!$E$123)*'Cálculos'!$E$279)+('Cálculos'!$E$200+(($C155)-$A$120:$A$165)*'Cálculos'!$E$98)*('Cálculos'!$E$270+'Cálculos'!$E$124*(1+2.78*('Cálculos'!$E$200+(($C155)-$A$120:$A$165)*'Cálculos'!$E$98)/(('Cálculos'!$E$200+(($C155)-$A$120:$A$165)*'Cálculos'!$E$98)+1400)+'Cálculos'!$E$122)*'Cálculos'!$E$275+'Cálculos'!$E$125*(1+2.78*('Cálculos'!$E$200+(($C155)-$A$120:$A$165)*'Cálculos'!$E$98)/(('Cálculos'!$E$200+(($C155)-$A$120:$A$165)*'Cálculos'!$E$98)+1400)+'Cálculos'!$E$123)*'Cálculos'!$E$280)+('Cálculos'!$E$201*(1+'Cálculos'!$E$202+$A$120:$A$165*('Cálculos'!$E$290=2)*'Cálculos'!$E$101)+'Cálculos'!$E$203)*('Cálculos'!$E$271+'Cálculos'!$E$124*(1+2.78*('Cálculos'!$E$200+(($C155)-$A$120:$A$165)*'Cálculos'!$E$98)/(('Cálculos'!$E$200+(($C155)-$A$120:$A$165)*'Cálculos'!$E$98)+1400)+'Cálculos'!$E$122)*'Cálculos'!$E$276+'Cálculos'!$E$125*(1+2.78*('Cálculos'!$E$200+(($C155)-$A$120:$A$165)*'Cálculos'!$E$98)/(('Cálculos'!$E$200+(($C155)-$A$120:$A$165)*'Cálculos'!$E$98)+1400)+'Cálculos'!$E$123)*'Cálculos'!$E$281)+('Cálculos'!$E$204*(1+'Cálculos'!$E$205+$A$120:$A$165*('Cálculos'!$E$290=3)*'Cálculos'!$E$103)+'Cálculos'!$E$206)*('Cálculos'!$E$272+'Cálculos'!$E$124*(1+2.78*('Cálculos'!$E$200+(($C155)-$A$120:$A$165)*'Cálculos'!$E$98)/(('Cálculos'!$E$200+(($C155)-$A$120:$A$165)*'Cálculos'!$E$98)+1400)+'Cálculos'!$E$122)*'Cálculos'!$E$277+'Cálculos'!$E$125*(1+2.78*('Cálculos'!$E$200+(($C155)-$A$120:$A$165)*'Cálculos'!$E$98)/(('Cálculos'!$E$200+(($C155)-$A$120:$A$165)*'Cálculos'!$E$98)+1400)+'Cálculos'!$E$123)*'Cálculos'!$E$282)+('Cálculos'!$E$273+'Cálculos'!$E$124*(1+2.78*('Cálculos'!$E$200+(($C155)-$A$120:$A$165)*'Cálculos'!$E$98)/(('Cálculos'!$E$200+(($C155)-$A$120:$A$165)*'Cálculos'!$E$98)+1400)+'Cálculos'!$E$122)*'Cálculos'!$E$278+'Cálculos'!$E$125*(1+2.78*('Cálculos'!$E$200+(($C155)-$A$120:$A$165)*'Cálculos'!$E$98)/(('Cálculos'!$E$200+(($C155)-$A$120:$A$165)*'Cálculos'!$E$98)+1400)+'Cálculos'!$E$123)*'Cálculos'!$E$283)))))</f>
        <v>0</v>
      </c>
      <c r="E155" s="32">
        <f>IF(OR($C155&lt;0,'Cálculos'!$E$6=""),0,$B155*$D155)</f>
        <v>0</v>
      </c>
      <c r="F155" s="2"/>
      <c r="G155" s="30">
        <f>($A155&lt;=$B$167)*($A155&lt;='Cálculos'!$E$294)*(($B$167)-$A155&lt;='Cálculos'!$E$295)*(1+MIN(('Cálculos'!$E$207+$A155*'Cálculos'!$E$95),1)*('Cálculos'!$E$208+(($B$167)-$A155)*'Cálculos'!$E$96))</f>
        <v>0</v>
      </c>
      <c r="H155" s="31">
        <f>IF($B$168&lt;0,0,($A155&lt;=$B$168)*($A155&lt;='Cálculos'!$E$301)*(($B$168)-$A155&lt;='Cálculos'!$E$297)*(('Cálculos'!$E$185*(1+'Cálculos'!$E$186+$A155*('Cálculos'!$E$290=1)*'Cálculos'!$E$97+'Cálculos'!$E$305)+'Cálculos'!$E$191)*('Cálculos'!$E$209+'Cálculos'!$E$124*(1+2.78*('Cálculos'!$E$196+(($B$168)-$A155)*'Cálculos'!$E$98)/(('Cálculos'!$E$196+(($B$168)-$A155)*'Cálculos'!$E$98)+1400)+'Cálculos'!$E$122)*'Cálculos'!$E$214+'Cálculos'!$E$125*(1+2.78*('Cálculos'!$E$196+(($B$168)-$A155)*'Cálculos'!$E$98)/(('Cálculos'!$E$196+(($B$168)-$A155)*'Cálculos'!$E$98)+1400)+'Cálculos'!$E$123)*'Cálculos'!$E$219)+('Cálculos'!$E$196+(($B$168)-$A155)*'Cálculos'!$E$98)*('Cálculos'!$E$210+'Cálculos'!$E$124*(1+2.78*('Cálculos'!$E$196+(($B$168)-$A155)*'Cálculos'!$E$98)/(('Cálculos'!$E$196+(($B$168)-$A155)*'Cálculos'!$E$98)+1400)+'Cálculos'!$E$122)*'Cálculos'!$E$215+'Cálculos'!$E$125*(1+2.78*('Cálculos'!$E$196+(($B$168)-$A155)*'Cálculos'!$E$98)/(('Cálculos'!$E$196+(($B$168)-$A155)*'Cálculos'!$E$98)+1400)+'Cálculos'!$E$123)*'Cálculos'!$E$220)+('Cálculos'!$E$201*(1+'Cálculos'!$E$202+$A155*('Cálculos'!$E$290=2)*'Cálculos'!$E$101)+'Cálculos'!$E$203)*('Cálculos'!$E$211+'Cálculos'!$E$124*(1+2.78*('Cálculos'!$E$196+(($B$168)-$A155)*'Cálculos'!$E$98)/(('Cálculos'!$E$196+(($B$168)-$A155)*'Cálculos'!$E$98)+1400)+'Cálculos'!$E$122)*'Cálculos'!$E$216+'Cálculos'!$E$125*(1+2.78*('Cálculos'!$E$196+(($B$168)-$A155)*'Cálculos'!$E$98)/(('Cálculos'!$E$196+(($B$168)-$A155)*'Cálculos'!$E$98)+1400)+'Cálculos'!$E$123)*'Cálculos'!$E$221)+('Cálculos'!$E$204*(1+'Cálculos'!$E$205+$A155*('Cálculos'!$E$290=3)*'Cálculos'!$E$103)+'Cálculos'!$E$206)*('Cálculos'!$E$212+'Cálculos'!$E$124*(1+2.78*('Cálculos'!$E$196+(($B$168)-$A155)*'Cálculos'!$E$98)/(('Cálculos'!$E$196+(($B$168)-$A155)*'Cálculos'!$E$98)+1400)+'Cálculos'!$E$122)*'Cálculos'!$E$217+'Cálculos'!$E$125*(1+2.78*('Cálculos'!$E$196+(($B$168)-$A155)*'Cálculos'!$E$98)/(('Cálculos'!$E$196+(($B$168)-$A155)*'Cálculos'!$E$98)+1400)+'Cálculos'!$E$123)*'Cálculos'!$E$222)+('Cálculos'!$E$213+'Cálculos'!$E$124*(1+2.78*('Cálculos'!$E$196+(($B$168)-$A155)*'Cálculos'!$E$98)/(('Cálculos'!$E$196+(($B$168)-$A155)*'Cálculos'!$E$98)+1400)+'Cálculos'!$E$122)*'Cálculos'!$E$218+'Cálculos'!$E$125*(1+2.78*('Cálculos'!$E$196+(($B$168)-$A155)*'Cálculos'!$E$98)/(('Cálculos'!$E$196+(($B$168)-$A155)*'Cálculos'!$E$98)+1400)+'Cálculos'!$E$123)*'Cálculos'!$E$223)+('Cálculos'!$E$185*(1+'Cálculos'!$E$187+$A155*('Cálculos'!$E$290=1)*'Cálculos'!$E$97+'Cálculos'!$E$305)+'Cálculos'!$E$192)*('Cálculos'!$E$224+'Cálculos'!$E$124*(1+2.78*('Cálculos'!$E$197+(($B$168)-$A155)*'Cálculos'!$E$98)/(('Cálculos'!$E$197+(($B$168)-$A155)*'Cálculos'!$E$98)+1400)+'Cálculos'!$E$122)*'Cálculos'!$E$229+'Cálculos'!$E$125*(1+2.78*('Cálculos'!$E$197+(($B$168)-$A155)*'Cálculos'!$E$98)/(('Cálculos'!$E$197+(($B$168)-$A155)*'Cálculos'!$E$98)+1400)+'Cálculos'!$E$123)*'Cálculos'!$E$234)+('Cálculos'!$E$197+(($B$168)-$A155)*'Cálculos'!$E$98)*('Cálculos'!$E$225+'Cálculos'!$E$124*(1+2.78*('Cálculos'!$E$197+(($B$168)-$A155)*'Cálculos'!$E$98)/(('Cálculos'!$E$197+(($B$168)-$A155)*'Cálculos'!$E$98)+1400)+'Cálculos'!$E$122)*'Cálculos'!$E$230+'Cálculos'!$E$125*(1+2.78*('Cálculos'!$E$197+(($B$168)-$A155)*'Cálculos'!$E$98)/(('Cálculos'!$E$197+(($B$168)-$A155)*'Cálculos'!$E$98)+1400)+'Cálculos'!$E$123)*'Cálculos'!$E$235)+('Cálculos'!$E$201*(1+'Cálculos'!$E$202+$A155*('Cálculos'!$E$290=2)*'Cálculos'!$E$101)+'Cálculos'!$E$203)*('Cálculos'!$E$226+'Cálculos'!$E$124*(1+2.78*('Cálculos'!$E$197+(($B$168)-$A155)*'Cálculos'!$E$98)/(('Cálculos'!$E$197+(($B$168)-$A155)*'Cálculos'!$E$98)+1400)+'Cálculos'!$E$122)*'Cálculos'!$E$231+'Cálculos'!$E$125*(1+2.78*('Cálculos'!$E$197+(($B$168)-$A155)*'Cálculos'!$E$98)/(('Cálculos'!$E$197+(($B$168)-$A155)*'Cálculos'!$E$98)+1400)+'Cálculos'!$E$123)*'Cálculos'!$E$236)+('Cálculos'!$E$204*(1+'Cálculos'!$E$205+$A155*('Cálculos'!$E$290=3)*'Cálculos'!$E$103)+'Cálculos'!$E$206)*('Cálculos'!$E$227+'Cálculos'!$E$124*(1+2.78*('Cálculos'!$E$197+(($B$168)-$A155)*'Cálculos'!$E$98)/(('Cálculos'!$E$197+(($B$168)-$A155)*'Cálculos'!$E$98)+1400)+'Cálculos'!$E$122)*'Cálculos'!$E$232+'Cálculos'!$E$125*(1+2.78*('Cálculos'!$E$197+(($B$168)-$A155)*'Cálculos'!$E$98)/(('Cálculos'!$E$197+(($B$168)-$A155)*'Cálculos'!$E$98)+1400)+'Cálculos'!$E$123)*'Cálculos'!$E$237)+('Cálculos'!$E$228+'Cálculos'!$E$124*(1+2.78*('Cálculos'!$E$197+(($B$168)-$A155)*'Cálculos'!$E$98)/(('Cálculos'!$E$197+(($B$168)-$A155)*'Cálculos'!$E$98)+1400)+'Cálculos'!$E$122)*'Cálculos'!$E$233+'Cálculos'!$E$125*(1+2.78*('Cálculos'!$E$197+(($B$168)-$A155)*'Cálculos'!$E$98)/(('Cálculos'!$E$197+(($B$168)-$A155)*'Cálculos'!$E$98)+1400)+'Cálculos'!$E$123)*'Cálculos'!$E$238)+('Cálculos'!$E$185*(1+'Cálculos'!$E$188+$A155*('Cálculos'!$E$290=1)*'Cálculos'!$E$97+'Cálculos'!$E$305)+'Cálculos'!$E$193)*('Cálculos'!$E$239+'Cálculos'!$E$124*(1+2.78*('Cálculos'!$E$198+(($B$168)-$A155)*'Cálculos'!$E$98)/(('Cálculos'!$E$198+(($B$168)-$A155)*'Cálculos'!$E$98)+1400)+'Cálculos'!$E$122)*'Cálculos'!$E$244+'Cálculos'!$E$125*(1+2.78*('Cálculos'!$E$198+(($B$168)-$A155)*'Cálculos'!$E$98)/(('Cálculos'!$E$198+(($B$168)-$A155)*'Cálculos'!$E$98)+1400)+'Cálculos'!$E$123)*'Cálculos'!$E$249)+('Cálculos'!$E$198+(($B$168)-$A155)*'Cálculos'!$E$98)*('Cálculos'!$E$240+'Cálculos'!$E$124*(1+2.78*('Cálculos'!$E$198+(($B$168)-$A155)*'Cálculos'!$E$98)/(('Cálculos'!$E$198+(($B$168)-$A155)*'Cálculos'!$E$98)+1400)+'Cálculos'!$E$122)*'Cálculos'!$E$245+'Cálculos'!$E$125*(1+2.78*('Cálculos'!$E$198+(($B$168)-$A155)*'Cálculos'!$E$98)/(('Cálculos'!$E$198+(($B$168)-$A155)*'Cálculos'!$E$98)+1400)+'Cálculos'!$E$123)*'Cálculos'!$E$250)+('Cálculos'!$E$201*(1+'Cálculos'!$E$202+$A155*('Cálculos'!$E$290=2)*'Cálculos'!$E$101)+'Cálculos'!$E$203)*('Cálculos'!$E$241+'Cálculos'!$E$124*(1+2.78*('Cálculos'!$E$198+(($B$168)-$A155)*'Cálculos'!$E$98)/(('Cálculos'!$E$198+(($B$168)-$A155)*'Cálculos'!$E$98)+1400)+'Cálculos'!$E$122)*'Cálculos'!$E$246+'Cálculos'!$E$125*(1+2.78*('Cálculos'!$E$198+(($B$168)-$A155)*'Cálculos'!$E$98)/(('Cálculos'!$E$198+(($B$168)-$A155)*'Cálculos'!$E$98)+1400)+'Cálculos'!$E$123)*'Cálculos'!$E$251)+('Cálculos'!$E$204*(1+'Cálculos'!$E$205+$A155*('Cálculos'!$E$290=3)*'Cálculos'!$E$103)+'Cálculos'!$E$206)*('Cálculos'!$E$242+'Cálculos'!$E$124*(1+2.78*('Cálculos'!$E$198+(($B$168)-$A155)*'Cálculos'!$E$98)/(('Cálculos'!$E$198+(($B$168)-$A155)*'Cálculos'!$E$98)+1400)+'Cálculos'!$E$122)*'Cálculos'!$E$247+'Cálculos'!$E$125*(1+2.78*('Cálculos'!$E$198+(($B$168)-$A155)*'Cálculos'!$E$98)/(('Cálculos'!$E$198+(($B$168)-$A155)*'Cálculos'!$E$98)+1400)+'Cálculos'!$E$123)*'Cálculos'!$E$252)+('Cálculos'!$E$243+'Cálculos'!$E$124*(1+2.78*('Cálculos'!$E$198+(($B$168)-$A155)*'Cálculos'!$E$98)/(('Cálculos'!$E$198+(($B$168)-$A155)*'Cálculos'!$E$98)+1400)+'Cálculos'!$E$122)*'Cálculos'!$E$248+'Cálculos'!$E$125*(1+2.78*('Cálculos'!$E$198+(($B$168)-$A155)*'Cálculos'!$E$98)/(('Cálculos'!$E$198+(($B$168)-$A155)*'Cálculos'!$E$98)+1400)+'Cálculos'!$E$123)*'Cálculos'!$E$253)+('Cálculos'!$E$185*(1+'Cálculos'!$E$189+$A155*('Cálculos'!$E$290=1)*'Cálculos'!$E$97+'Cálculos'!$E$305)+'Cálculos'!$E$194)*('Cálculos'!$E$254+'Cálculos'!$E$124*(1+2.78*('Cálculos'!$E$199+(($B$168)-$A155)*'Cálculos'!$E$98)/(('Cálculos'!$E$199+(($B$168)-$A155)*'Cálculos'!$E$98)+1400)+'Cálculos'!$E$122)*'Cálculos'!$E$259+'Cálculos'!$E$125*(1+2.78*('Cálculos'!$E$199+(($B$168)-$A155)*'Cálculos'!$E$98)/(('Cálculos'!$E$199+(($B$168)-$A155)*'Cálculos'!$E$98)+1400)+'Cálculos'!$E$123)*'Cálculos'!$E$264)+('Cálculos'!$E$199+(($B$168)-$A155)*'Cálculos'!$E$98)*('Cálculos'!$E$255+'Cálculos'!$E$124*(1+2.78*('Cálculos'!$E$199+(($B$168)-$A155)*'Cálculos'!$E$98)/(('Cálculos'!$E$199+(($B$168)-$A155)*'Cálculos'!$E$98)+1400)+'Cálculos'!$E$122)*'Cálculos'!$E$260+'Cálculos'!$E$125*(1+2.78*('Cálculos'!$E$199+(($B$168)-$A155)*'Cálculos'!$E$98)/(('Cálculos'!$E$199+(($B$168)-$A155)*'Cálculos'!$E$98)+1400)+'Cálculos'!$E$123)*'Cálculos'!$E$265)+('Cálculos'!$E$201*(1+'Cálculos'!$E$202+$A155*('Cálculos'!$E$290=2)*'Cálculos'!$E$101)+'Cálculos'!$E$203)*('Cálculos'!$E$256+'Cálculos'!$E$124*(1+2.78*('Cálculos'!$E$199+(($B$168)-$A155)*'Cálculos'!$E$98)/(('Cálculos'!$E$199+(($B$168)-$A155)*'Cálculos'!$E$98)+1400)+'Cálculos'!$E$122)*'Cálculos'!$E$261+'Cálculos'!$E$125*(1+2.78*('Cálculos'!$E$199+(($B$168)-$A155)*'Cálculos'!$E$98)/(('Cálculos'!$E$199+(($B$168)-$A155)*'Cálculos'!$E$98)+1400)+'Cálculos'!$E$123)*'Cálculos'!$E$266)+('Cálculos'!$E$204*(1+'Cálculos'!$E$205+$A155*('Cálculos'!$E$290=3)*'Cálculos'!$E$103)+'Cálculos'!$E$206)*('Cálculos'!$E$257+'Cálculos'!$E$124*(1+2.78*('Cálculos'!$E$199+(($B$168)-$A155)*'Cálculos'!$E$98)/(('Cálculos'!$E$199+(($B$168)-$A155)*'Cálculos'!$E$98)+1400)+'Cálculos'!$E$122)*'Cálculos'!$E$262+'Cálculos'!$E$125*(1+2.78*('Cálculos'!$E$199+(($B$168)-$A155)*'Cálculos'!$E$98)/(('Cálculos'!$E$199+(($B$168)-$A155)*'Cálculos'!$E$98)+1400)+'Cálculos'!$E$123)*'Cálculos'!$E$267)+('Cálculos'!$E$258+'Cálculos'!$E$124*(1+2.78*('Cálculos'!$E$199+(($B$168)-$A155)*'Cálculos'!$E$98)/(('Cálculos'!$E$199+(($B$168)-$A155)*'Cálculos'!$E$98)+1400)+'Cálculos'!$E$122)*'Cálculos'!$E$263+'Cálculos'!$E$125*(1+2.78*('Cálculos'!$E$199+(($B$168)-$A155)*'Cálculos'!$E$98)/(('Cálculos'!$E$199+(($B$168)-$A155)*'Cálculos'!$E$98)+1400)+'Cálculos'!$E$123)*'Cálculos'!$E$268)+('Cálculos'!$E$185*(1+'Cálculos'!$E$190+$A155*('Cálculos'!$E$290=1)*'Cálculos'!$E$97+'Cálculos'!$E$305)+'Cálculos'!$E$195)*('Cálculos'!$E$269+'Cálculos'!$E$124*(1+2.78*('Cálculos'!$E$200+(($B$168)-$A155)*'Cálculos'!$E$98)/(('Cálculos'!$E$200+(($B$168)-$A155)*'Cálculos'!$E$98)+1400)+'Cálculos'!$E$122)*'Cálculos'!$E$274+'Cálculos'!$E$125*(1+2.78*('Cálculos'!$E$200+(($B$168)-$A155)*'Cálculos'!$E$98)/(('Cálculos'!$E$200+(($B$168)-$A155)*'Cálculos'!$E$98)+1400)+'Cálculos'!$E$123)*'Cálculos'!$E$279)+('Cálculos'!$E$200+(($B$168)-$A155)*'Cálculos'!$E$98)*('Cálculos'!$E$270+'Cálculos'!$E$124*(1+2.78*('Cálculos'!$E$200+(($B$168)-$A155)*'Cálculos'!$E$98)/(('Cálculos'!$E$200+(($B$168)-$A155)*'Cálculos'!$E$98)+1400)+'Cálculos'!$E$122)*'Cálculos'!$E$275+'Cálculos'!$E$125*(1+2.78*('Cálculos'!$E$200+(($B$168)-$A155)*'Cálculos'!$E$98)/(('Cálculos'!$E$200+(($B$168)-$A155)*'Cálculos'!$E$98)+1400)+'Cálculos'!$E$123)*'Cálculos'!$E$280)+('Cálculos'!$E$201*(1+'Cálculos'!$E$202+$A155*('Cálculos'!$E$290=2)*'Cálculos'!$E$101)+'Cálculos'!$E$203)*('Cálculos'!$E$271+'Cálculos'!$E$124*(1+2.78*('Cálculos'!$E$200+(($B$168)-$A155)*'Cálculos'!$E$98)/(('Cálculos'!$E$200+(($B$168)-$A155)*'Cálculos'!$E$98)+1400)+'Cálculos'!$E$122)*'Cálculos'!$E$276+'Cálculos'!$E$125*(1+2.78*('Cálculos'!$E$200+(($B$168)-$A155)*'Cálculos'!$E$98)/(('Cálculos'!$E$200+(($B$168)-$A155)*'Cálculos'!$E$98)+1400)+'Cálculos'!$E$123)*'Cálculos'!$E$281)+('Cálculos'!$E$204*(1+'Cálculos'!$E$205+$A155*('Cálculos'!$E$290=3)*'Cálculos'!$E$103)+'Cálculos'!$E$206)*('Cálculos'!$E$272+'Cálculos'!$E$124*(1+2.78*('Cálculos'!$E$200+(($B$168)-$A155)*'Cálculos'!$E$98)/(('Cálculos'!$E$200+(($B$168)-$A155)*'Cálculos'!$E$98)+1400)+'Cálculos'!$E$122)*'Cálculos'!$E$277+'Cálculos'!$E$125*(1+2.78*('Cálculos'!$E$200+(($B$168)-$A155)*'Cálculos'!$E$98)/(('Cálculos'!$E$200+(($B$168)-$A155)*'Cálculos'!$E$98)+1400)+'Cálculos'!$E$123)*'Cálculos'!$E$282)+('Cálculos'!$E$273+'Cálculos'!$E$124*(1+2.78*('Cálculos'!$E$200+(($B$168)-$A155)*'Cálculos'!$E$98)/(('Cálculos'!$E$200+(($B$168)-$A155)*'Cálculos'!$E$98)+1400)+'Cálculos'!$E$122)*'Cálculos'!$E$278+'Cálculos'!$E$125*(1+2.78*('Cálculos'!$E$200+(($B$168)-$A155)*'Cálculos'!$E$98)/(('Cálculos'!$E$200+(($B$168)-$A155)*'Cálculos'!$E$98)+1400)+'Cálculos'!$E$123)*'Cálculos'!$E$283)))</f>
        <v>0</v>
      </c>
    </row>
    <row r="156" ht="15.75" customHeight="1">
      <c r="A156" s="2">
        <v>36.0</v>
      </c>
      <c r="B156" s="30">
        <f>SUMPRODUCT(MAX(($A$120:$A$165&lt;=$A156)*($A$120:$A$165&lt;='Cálculos'!$E$294)*(($A156)-$A$120:$A$165&lt;='Cálculos'!$E$295)*(1+(('Cálculos'!$E$207+$A$120:$A$165*'Cálculos'!$E$95)-(('Cálculos'!$E$207+$A$120:$A$165*'Cálculos'!$E$95)&gt;1)*(('Cálculos'!$E$207+$A$120:$A$165*'Cálculos'!$E$95)-1))*('Cálculos'!$E$208+(($A156)-$A$120:$A$165)*'Cálculos'!$E$96))))</f>
        <v>2.86416</v>
      </c>
      <c r="C156" s="2">
        <f>'Cálculos'!$E$303-$A156</f>
        <v>-23</v>
      </c>
      <c r="D156" s="31">
        <f>IF($C156&lt;0,0,SUMPRODUCT(MAX(($A$120:$A$165&lt;=$C156)*($A$120:$A$165&lt;='Cálculos'!$E$301)*(($C156)-$A$120:$A$165&lt;='Cálculos'!$E$297)*(('Cálculos'!$E$185*(1+'Cálculos'!$E$186+$A$120:$A$165*('Cálculos'!$E$290=1)*'Cálculos'!$E$97+'Cálculos'!$E$305)+'Cálculos'!$E$191)*('Cálculos'!$E$209+'Cálculos'!$E$124*(1+2.78*('Cálculos'!$E$196+(($C156)-$A$120:$A$165)*'Cálculos'!$E$98)/(('Cálculos'!$E$196+(($C156)-$A$120:$A$165)*'Cálculos'!$E$98)+1400)+'Cálculos'!$E$122)*'Cálculos'!$E$214+'Cálculos'!$E$125*(1+2.78*('Cálculos'!$E$196+(($C156)-$A$120:$A$165)*'Cálculos'!$E$98)/(('Cálculos'!$E$196+(($C156)-$A$120:$A$165)*'Cálculos'!$E$98)+1400)+'Cálculos'!$E$123)*'Cálculos'!$E$219)+('Cálculos'!$E$196+(($C156)-$A$120:$A$165)*'Cálculos'!$E$98)*('Cálculos'!$E$210+'Cálculos'!$E$124*(1+2.78*('Cálculos'!$E$196+(($C156)-$A$120:$A$165)*'Cálculos'!$E$98)/(('Cálculos'!$E$196+(($C156)-$A$120:$A$165)*'Cálculos'!$E$98)+1400)+'Cálculos'!$E$122)*'Cálculos'!$E$215+'Cálculos'!$E$125*(1+2.78*('Cálculos'!$E$196+(($C156)-$A$120:$A$165)*'Cálculos'!$E$98)/(('Cálculos'!$E$196+(($C156)-$A$120:$A$165)*'Cálculos'!$E$98)+1400)+'Cálculos'!$E$123)*'Cálculos'!$E$220)+('Cálculos'!$E$201*(1+'Cálculos'!$E$202+$A$120:$A$165*('Cálculos'!$E$290=2)*'Cálculos'!$E$101)+'Cálculos'!$E$203)*('Cálculos'!$E$211+'Cálculos'!$E$124*(1+2.78*('Cálculos'!$E$196+(($C156)-$A$120:$A$165)*'Cálculos'!$E$98)/(('Cálculos'!$E$196+(($C156)-$A$120:$A$165)*'Cálculos'!$E$98)+1400)+'Cálculos'!$E$122)*'Cálculos'!$E$216+'Cálculos'!$E$125*(1+2.78*('Cálculos'!$E$196+(($C156)-$A$120:$A$165)*'Cálculos'!$E$98)/(('Cálculos'!$E$196+(($C156)-$A$120:$A$165)*'Cálculos'!$E$98)+1400)+'Cálculos'!$E$123)*'Cálculos'!$E$221)+('Cálculos'!$E$204*(1+'Cálculos'!$E$205+$A$120:$A$165*('Cálculos'!$E$290=3)*'Cálculos'!$E$103)+'Cálculos'!$E$206)*('Cálculos'!$E$212+'Cálculos'!$E$124*(1+2.78*('Cálculos'!$E$196+(($C156)-$A$120:$A$165)*'Cálculos'!$E$98)/(('Cálculos'!$E$196+(($C156)-$A$120:$A$165)*'Cálculos'!$E$98)+1400)+'Cálculos'!$E$122)*'Cálculos'!$E$217+'Cálculos'!$E$125*(1+2.78*('Cálculos'!$E$196+(($C156)-$A$120:$A$165)*'Cálculos'!$E$98)/(('Cálculos'!$E$196+(($C156)-$A$120:$A$165)*'Cálculos'!$E$98)+1400)+'Cálculos'!$E$123)*'Cálculos'!$E$222)+('Cálculos'!$E$213+'Cálculos'!$E$124*(1+2.78*('Cálculos'!$E$196+(($C156)-$A$120:$A$165)*'Cálculos'!$E$98)/(('Cálculos'!$E$196+(($C156)-$A$120:$A$165)*'Cálculos'!$E$98)+1400)+'Cálculos'!$E$122)*'Cálculos'!$E$218+'Cálculos'!$E$125*(1+2.78*('Cálculos'!$E$196+(($C156)-$A$120:$A$165)*'Cálculos'!$E$98)/(('Cálculos'!$E$196+(($C156)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156)-$A$120:$A$165)*'Cálculos'!$E$98)/(('Cálculos'!$E$197+(($C156)-$A$120:$A$165)*'Cálculos'!$E$98)+1400)+'Cálculos'!$E$122)*'Cálculos'!$E$229+'Cálculos'!$E$125*(1+2.78*('Cálculos'!$E$197+(($C156)-$A$120:$A$165)*'Cálculos'!$E$98)/(('Cálculos'!$E$197+(($C156)-$A$120:$A$165)*'Cálculos'!$E$98)+1400)+'Cálculos'!$E$123)*'Cálculos'!$E$234)+('Cálculos'!$E$197+(($C156)-$A$120:$A$165)*'Cálculos'!$E$98)*('Cálculos'!$E$225+'Cálculos'!$E$124*(1+2.78*('Cálculos'!$E$197+(($C156)-$A$120:$A$165)*'Cálculos'!$E$98)/(('Cálculos'!$E$197+(($C156)-$A$120:$A$165)*'Cálculos'!$E$98)+1400)+'Cálculos'!$E$122)*'Cálculos'!$E$230+'Cálculos'!$E$125*(1+2.78*('Cálculos'!$E$197+(($C156)-$A$120:$A$165)*'Cálculos'!$E$98)/(('Cálculos'!$E$197+(($C156)-$A$120:$A$165)*'Cálculos'!$E$98)+1400)+'Cálculos'!$E$123)*'Cálculos'!$E$235)+('Cálculos'!$E$201*(1+'Cálculos'!$E$202+$A$120:$A$165*('Cálculos'!$E$290=2)*'Cálculos'!$E$101)+'Cálculos'!$E$203)*('Cálculos'!$E$226+'Cálculos'!$E$124*(1+2.78*('Cálculos'!$E$197+(($C156)-$A$120:$A$165)*'Cálculos'!$E$98)/(('Cálculos'!$E$197+(($C156)-$A$120:$A$165)*'Cálculos'!$E$98)+1400)+'Cálculos'!$E$122)*'Cálculos'!$E$231+'Cálculos'!$E$125*(1+2.78*('Cálculos'!$E$197+(($C156)-$A$120:$A$165)*'Cálculos'!$E$98)/(('Cálculos'!$E$197+(($C156)-$A$120:$A$165)*'Cálculos'!$E$98)+1400)+'Cálculos'!$E$123)*'Cálculos'!$E$236)+('Cálculos'!$E$204*(1+'Cálculos'!$E$205+$A$120:$A$165*('Cálculos'!$E$290=3)*'Cálculos'!$E$103)+'Cálculos'!$E$206)*('Cálculos'!$E$227+'Cálculos'!$E$124*(1+2.78*('Cálculos'!$E$197+(($C156)-$A$120:$A$165)*'Cálculos'!$E$98)/(('Cálculos'!$E$197+(($C156)-$A$120:$A$165)*'Cálculos'!$E$98)+1400)+'Cálculos'!$E$122)*'Cálculos'!$E$232+'Cálculos'!$E$125*(1+2.78*('Cálculos'!$E$197+(($C156)-$A$120:$A$165)*'Cálculos'!$E$98)/(('Cálculos'!$E$197+(($C156)-$A$120:$A$165)*'Cálculos'!$E$98)+1400)+'Cálculos'!$E$123)*'Cálculos'!$E$237)+('Cálculos'!$E$228+'Cálculos'!$E$124*(1+2.78*('Cálculos'!$E$197+(($C156)-$A$120:$A$165)*'Cálculos'!$E$98)/(('Cálculos'!$E$197+(($C156)-$A$120:$A$165)*'Cálculos'!$E$98)+1400)+'Cálculos'!$E$122)*'Cálculos'!$E$233+'Cálculos'!$E$125*(1+2.78*('Cálculos'!$E$197+(($C156)-$A$120:$A$165)*'Cálculos'!$E$98)/(('Cálculos'!$E$197+(($C156)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156)-$A$120:$A$165)*'Cálculos'!$E$98)/(('Cálculos'!$E$198+(($C156)-$A$120:$A$165)*'Cálculos'!$E$98)+1400)+'Cálculos'!$E$122)*'Cálculos'!$E$244+'Cálculos'!$E$125*(1+2.78*('Cálculos'!$E$198+(($C156)-$A$120:$A$165)*'Cálculos'!$E$98)/(('Cálculos'!$E$198+(($C156)-$A$120:$A$165)*'Cálculos'!$E$98)+1400)+'Cálculos'!$E$123)*'Cálculos'!$E$249)+('Cálculos'!$E$198+(($C156)-$A$120:$A$165)*'Cálculos'!$E$98)*('Cálculos'!$E$240+'Cálculos'!$E$124*(1+2.78*('Cálculos'!$E$198+(($C156)-$A$120:$A$165)*'Cálculos'!$E$98)/(('Cálculos'!$E$198+(($C156)-$A$120:$A$165)*'Cálculos'!$E$98)+1400)+'Cálculos'!$E$122)*'Cálculos'!$E$245+'Cálculos'!$E$125*(1+2.78*('Cálculos'!$E$198+(($C156)-$A$120:$A$165)*'Cálculos'!$E$98)/(('Cálculos'!$E$198+(($C156)-$A$120:$A$165)*'Cálculos'!$E$98)+1400)+'Cálculos'!$E$123)*'Cálculos'!$E$250)+('Cálculos'!$E$201*(1+'Cálculos'!$E$202+$A$120:$A$165*('Cálculos'!$E$290=2)*'Cálculos'!$E$101)+'Cálculos'!$E$203)*('Cálculos'!$E$241+'Cálculos'!$E$124*(1+2.78*('Cálculos'!$E$198+(($C156)-$A$120:$A$165)*'Cálculos'!$E$98)/(('Cálculos'!$E$198+(($C156)-$A$120:$A$165)*'Cálculos'!$E$98)+1400)+'Cálculos'!$E$122)*'Cálculos'!$E$246+'Cálculos'!$E$125*(1+2.78*('Cálculos'!$E$198+(($C156)-$A$120:$A$165)*'Cálculos'!$E$98)/(('Cálculos'!$E$198+(($C156)-$A$120:$A$165)*'Cálculos'!$E$98)+1400)+'Cálculos'!$E$123)*'Cálculos'!$E$251)+('Cálculos'!$E$204*(1+'Cálculos'!$E$205+$A$120:$A$165*('Cálculos'!$E$290=3)*'Cálculos'!$E$103)+'Cálculos'!$E$206)*('Cálculos'!$E$242+'Cálculos'!$E$124*(1+2.78*('Cálculos'!$E$198+(($C156)-$A$120:$A$165)*'Cálculos'!$E$98)/(('Cálculos'!$E$198+(($C156)-$A$120:$A$165)*'Cálculos'!$E$98)+1400)+'Cálculos'!$E$122)*'Cálculos'!$E$247+'Cálculos'!$E$125*(1+2.78*('Cálculos'!$E$198+(($C156)-$A$120:$A$165)*'Cálculos'!$E$98)/(('Cálculos'!$E$198+(($C156)-$A$120:$A$165)*'Cálculos'!$E$98)+1400)+'Cálculos'!$E$123)*'Cálculos'!$E$252)+('Cálculos'!$E$243+'Cálculos'!$E$124*(1+2.78*('Cálculos'!$E$198+(($C156)-$A$120:$A$165)*'Cálculos'!$E$98)/(('Cálculos'!$E$198+(($C156)-$A$120:$A$165)*'Cálculos'!$E$98)+1400)+'Cálculos'!$E$122)*'Cálculos'!$E$248+'Cálculos'!$E$125*(1+2.78*('Cálculos'!$E$198+(($C156)-$A$120:$A$165)*'Cálculos'!$E$98)/(('Cálculos'!$E$198+(($C156)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156)-$A$120:$A$165)*'Cálculos'!$E$98)/(('Cálculos'!$E$199+(($C156)-$A$120:$A$165)*'Cálculos'!$E$98)+1400)+'Cálculos'!$E$122)*'Cálculos'!$E$259+'Cálculos'!$E$125*(1+2.78*('Cálculos'!$E$199+(($C156)-$A$120:$A$165)*'Cálculos'!$E$98)/(('Cálculos'!$E$199+(($C156)-$A$120:$A$165)*'Cálculos'!$E$98)+1400)+'Cálculos'!$E$123)*'Cálculos'!$E$264)+('Cálculos'!$E$199+(($C156)-$A$120:$A$165)*'Cálculos'!$E$98)*('Cálculos'!$E$255+'Cálculos'!$E$124*(1+2.78*('Cálculos'!$E$199+(($C156)-$A$120:$A$165)*'Cálculos'!$E$98)/(('Cálculos'!$E$199+(($C156)-$A$120:$A$165)*'Cálculos'!$E$98)+1400)+'Cálculos'!$E$122)*'Cálculos'!$E$260+'Cálculos'!$E$125*(1+2.78*('Cálculos'!$E$199+(($C156)-$A$120:$A$165)*'Cálculos'!$E$98)/(('Cálculos'!$E$199+(($C156)-$A$120:$A$165)*'Cálculos'!$E$98)+1400)+'Cálculos'!$E$123)*'Cálculos'!$E$265)+('Cálculos'!$E$201*(1+'Cálculos'!$E$202+$A$120:$A$165*('Cálculos'!$E$290=2)*'Cálculos'!$E$101)+'Cálculos'!$E$203)*('Cálculos'!$E$256+'Cálculos'!$E$124*(1+2.78*('Cálculos'!$E$199+(($C156)-$A$120:$A$165)*'Cálculos'!$E$98)/(('Cálculos'!$E$199+(($C156)-$A$120:$A$165)*'Cálculos'!$E$98)+1400)+'Cálculos'!$E$122)*'Cálculos'!$E$261+'Cálculos'!$E$125*(1+2.78*('Cálculos'!$E$199+(($C156)-$A$120:$A$165)*'Cálculos'!$E$98)/(('Cálculos'!$E$199+(($C156)-$A$120:$A$165)*'Cálculos'!$E$98)+1400)+'Cálculos'!$E$123)*'Cálculos'!$E$266)+('Cálculos'!$E$204*(1+'Cálculos'!$E$205+$A$120:$A$165*('Cálculos'!$E$290=3)*'Cálculos'!$E$103)+'Cálculos'!$E$206)*('Cálculos'!$E$257+'Cálculos'!$E$124*(1+2.78*('Cálculos'!$E$199+(($C156)-$A$120:$A$165)*'Cálculos'!$E$98)/(('Cálculos'!$E$199+(($C156)-$A$120:$A$165)*'Cálculos'!$E$98)+1400)+'Cálculos'!$E$122)*'Cálculos'!$E$262+'Cálculos'!$E$125*(1+2.78*('Cálculos'!$E$199+(($C156)-$A$120:$A$165)*'Cálculos'!$E$98)/(('Cálculos'!$E$199+(($C156)-$A$120:$A$165)*'Cálculos'!$E$98)+1400)+'Cálculos'!$E$123)*'Cálculos'!$E$267)+('Cálculos'!$E$258+'Cálculos'!$E$124*(1+2.78*('Cálculos'!$E$199+(($C156)-$A$120:$A$165)*'Cálculos'!$E$98)/(('Cálculos'!$E$199+(($C156)-$A$120:$A$165)*'Cálculos'!$E$98)+1400)+'Cálculos'!$E$122)*'Cálculos'!$E$263+'Cálculos'!$E$125*(1+2.78*('Cálculos'!$E$199+(($C156)-$A$120:$A$165)*'Cálculos'!$E$98)/(('Cálculos'!$E$199+(($C156)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156)-$A$120:$A$165)*'Cálculos'!$E$98)/(('Cálculos'!$E$200+(($C156)-$A$120:$A$165)*'Cálculos'!$E$98)+1400)+'Cálculos'!$E$122)*'Cálculos'!$E$274+'Cálculos'!$E$125*(1+2.78*('Cálculos'!$E$200+(($C156)-$A$120:$A$165)*'Cálculos'!$E$98)/(('Cálculos'!$E$200+(($C156)-$A$120:$A$165)*'Cálculos'!$E$98)+1400)+'Cálculos'!$E$123)*'Cálculos'!$E$279)+('Cálculos'!$E$200+(($C156)-$A$120:$A$165)*'Cálculos'!$E$98)*('Cálculos'!$E$270+'Cálculos'!$E$124*(1+2.78*('Cálculos'!$E$200+(($C156)-$A$120:$A$165)*'Cálculos'!$E$98)/(('Cálculos'!$E$200+(($C156)-$A$120:$A$165)*'Cálculos'!$E$98)+1400)+'Cálculos'!$E$122)*'Cálculos'!$E$275+'Cálculos'!$E$125*(1+2.78*('Cálculos'!$E$200+(($C156)-$A$120:$A$165)*'Cálculos'!$E$98)/(('Cálculos'!$E$200+(($C156)-$A$120:$A$165)*'Cálculos'!$E$98)+1400)+'Cálculos'!$E$123)*'Cálculos'!$E$280)+('Cálculos'!$E$201*(1+'Cálculos'!$E$202+$A$120:$A$165*('Cálculos'!$E$290=2)*'Cálculos'!$E$101)+'Cálculos'!$E$203)*('Cálculos'!$E$271+'Cálculos'!$E$124*(1+2.78*('Cálculos'!$E$200+(($C156)-$A$120:$A$165)*'Cálculos'!$E$98)/(('Cálculos'!$E$200+(($C156)-$A$120:$A$165)*'Cálculos'!$E$98)+1400)+'Cálculos'!$E$122)*'Cálculos'!$E$276+'Cálculos'!$E$125*(1+2.78*('Cálculos'!$E$200+(($C156)-$A$120:$A$165)*'Cálculos'!$E$98)/(('Cálculos'!$E$200+(($C156)-$A$120:$A$165)*'Cálculos'!$E$98)+1400)+'Cálculos'!$E$123)*'Cálculos'!$E$281)+('Cálculos'!$E$204*(1+'Cálculos'!$E$205+$A$120:$A$165*('Cálculos'!$E$290=3)*'Cálculos'!$E$103)+'Cálculos'!$E$206)*('Cálculos'!$E$272+'Cálculos'!$E$124*(1+2.78*('Cálculos'!$E$200+(($C156)-$A$120:$A$165)*'Cálculos'!$E$98)/(('Cálculos'!$E$200+(($C156)-$A$120:$A$165)*'Cálculos'!$E$98)+1400)+'Cálculos'!$E$122)*'Cálculos'!$E$277+'Cálculos'!$E$125*(1+2.78*('Cálculos'!$E$200+(($C156)-$A$120:$A$165)*'Cálculos'!$E$98)/(('Cálculos'!$E$200+(($C156)-$A$120:$A$165)*'Cálculos'!$E$98)+1400)+'Cálculos'!$E$123)*'Cálculos'!$E$282)+('Cálculos'!$E$273+'Cálculos'!$E$124*(1+2.78*('Cálculos'!$E$200+(($C156)-$A$120:$A$165)*'Cálculos'!$E$98)/(('Cálculos'!$E$200+(($C156)-$A$120:$A$165)*'Cálculos'!$E$98)+1400)+'Cálculos'!$E$122)*'Cálculos'!$E$278+'Cálculos'!$E$125*(1+2.78*('Cálculos'!$E$200+(($C156)-$A$120:$A$165)*'Cálculos'!$E$98)/(('Cálculos'!$E$200+(($C156)-$A$120:$A$165)*'Cálculos'!$E$98)+1400)+'Cálculos'!$E$123)*'Cálculos'!$E$283)))))</f>
        <v>0</v>
      </c>
      <c r="E156" s="32">
        <f>IF(OR($C156&lt;0,'Cálculos'!$E$6=""),0,$B156*$D156)</f>
        <v>0</v>
      </c>
      <c r="F156" s="2"/>
      <c r="G156" s="30">
        <f>($A156&lt;=$B$167)*($A156&lt;='Cálculos'!$E$294)*(($B$167)-$A156&lt;='Cálculos'!$E$295)*(1+MIN(('Cálculos'!$E$207+$A156*'Cálculos'!$E$95),1)*('Cálculos'!$E$208+(($B$167)-$A156)*'Cálculos'!$E$96))</f>
        <v>0</v>
      </c>
      <c r="H156" s="31">
        <f>IF($B$168&lt;0,0,($A156&lt;=$B$168)*($A156&lt;='Cálculos'!$E$301)*(($B$168)-$A156&lt;='Cálculos'!$E$297)*(('Cálculos'!$E$185*(1+'Cálculos'!$E$186+$A156*('Cálculos'!$E$290=1)*'Cálculos'!$E$97+'Cálculos'!$E$305)+'Cálculos'!$E$191)*('Cálculos'!$E$209+'Cálculos'!$E$124*(1+2.78*('Cálculos'!$E$196+(($B$168)-$A156)*'Cálculos'!$E$98)/(('Cálculos'!$E$196+(($B$168)-$A156)*'Cálculos'!$E$98)+1400)+'Cálculos'!$E$122)*'Cálculos'!$E$214+'Cálculos'!$E$125*(1+2.78*('Cálculos'!$E$196+(($B$168)-$A156)*'Cálculos'!$E$98)/(('Cálculos'!$E$196+(($B$168)-$A156)*'Cálculos'!$E$98)+1400)+'Cálculos'!$E$123)*'Cálculos'!$E$219)+('Cálculos'!$E$196+(($B$168)-$A156)*'Cálculos'!$E$98)*('Cálculos'!$E$210+'Cálculos'!$E$124*(1+2.78*('Cálculos'!$E$196+(($B$168)-$A156)*'Cálculos'!$E$98)/(('Cálculos'!$E$196+(($B$168)-$A156)*'Cálculos'!$E$98)+1400)+'Cálculos'!$E$122)*'Cálculos'!$E$215+'Cálculos'!$E$125*(1+2.78*('Cálculos'!$E$196+(($B$168)-$A156)*'Cálculos'!$E$98)/(('Cálculos'!$E$196+(($B$168)-$A156)*'Cálculos'!$E$98)+1400)+'Cálculos'!$E$123)*'Cálculos'!$E$220)+('Cálculos'!$E$201*(1+'Cálculos'!$E$202+$A156*('Cálculos'!$E$290=2)*'Cálculos'!$E$101)+'Cálculos'!$E$203)*('Cálculos'!$E$211+'Cálculos'!$E$124*(1+2.78*('Cálculos'!$E$196+(($B$168)-$A156)*'Cálculos'!$E$98)/(('Cálculos'!$E$196+(($B$168)-$A156)*'Cálculos'!$E$98)+1400)+'Cálculos'!$E$122)*'Cálculos'!$E$216+'Cálculos'!$E$125*(1+2.78*('Cálculos'!$E$196+(($B$168)-$A156)*'Cálculos'!$E$98)/(('Cálculos'!$E$196+(($B$168)-$A156)*'Cálculos'!$E$98)+1400)+'Cálculos'!$E$123)*'Cálculos'!$E$221)+('Cálculos'!$E$204*(1+'Cálculos'!$E$205+$A156*('Cálculos'!$E$290=3)*'Cálculos'!$E$103)+'Cálculos'!$E$206)*('Cálculos'!$E$212+'Cálculos'!$E$124*(1+2.78*('Cálculos'!$E$196+(($B$168)-$A156)*'Cálculos'!$E$98)/(('Cálculos'!$E$196+(($B$168)-$A156)*'Cálculos'!$E$98)+1400)+'Cálculos'!$E$122)*'Cálculos'!$E$217+'Cálculos'!$E$125*(1+2.78*('Cálculos'!$E$196+(($B$168)-$A156)*'Cálculos'!$E$98)/(('Cálculos'!$E$196+(($B$168)-$A156)*'Cálculos'!$E$98)+1400)+'Cálculos'!$E$123)*'Cálculos'!$E$222)+('Cálculos'!$E$213+'Cálculos'!$E$124*(1+2.78*('Cálculos'!$E$196+(($B$168)-$A156)*'Cálculos'!$E$98)/(('Cálculos'!$E$196+(($B$168)-$A156)*'Cálculos'!$E$98)+1400)+'Cálculos'!$E$122)*'Cálculos'!$E$218+'Cálculos'!$E$125*(1+2.78*('Cálculos'!$E$196+(($B$168)-$A156)*'Cálculos'!$E$98)/(('Cálculos'!$E$196+(($B$168)-$A156)*'Cálculos'!$E$98)+1400)+'Cálculos'!$E$123)*'Cálculos'!$E$223)+('Cálculos'!$E$185*(1+'Cálculos'!$E$187+$A156*('Cálculos'!$E$290=1)*'Cálculos'!$E$97+'Cálculos'!$E$305)+'Cálculos'!$E$192)*('Cálculos'!$E$224+'Cálculos'!$E$124*(1+2.78*('Cálculos'!$E$197+(($B$168)-$A156)*'Cálculos'!$E$98)/(('Cálculos'!$E$197+(($B$168)-$A156)*'Cálculos'!$E$98)+1400)+'Cálculos'!$E$122)*'Cálculos'!$E$229+'Cálculos'!$E$125*(1+2.78*('Cálculos'!$E$197+(($B$168)-$A156)*'Cálculos'!$E$98)/(('Cálculos'!$E$197+(($B$168)-$A156)*'Cálculos'!$E$98)+1400)+'Cálculos'!$E$123)*'Cálculos'!$E$234)+('Cálculos'!$E$197+(($B$168)-$A156)*'Cálculos'!$E$98)*('Cálculos'!$E$225+'Cálculos'!$E$124*(1+2.78*('Cálculos'!$E$197+(($B$168)-$A156)*'Cálculos'!$E$98)/(('Cálculos'!$E$197+(($B$168)-$A156)*'Cálculos'!$E$98)+1400)+'Cálculos'!$E$122)*'Cálculos'!$E$230+'Cálculos'!$E$125*(1+2.78*('Cálculos'!$E$197+(($B$168)-$A156)*'Cálculos'!$E$98)/(('Cálculos'!$E$197+(($B$168)-$A156)*'Cálculos'!$E$98)+1400)+'Cálculos'!$E$123)*'Cálculos'!$E$235)+('Cálculos'!$E$201*(1+'Cálculos'!$E$202+$A156*('Cálculos'!$E$290=2)*'Cálculos'!$E$101)+'Cálculos'!$E$203)*('Cálculos'!$E$226+'Cálculos'!$E$124*(1+2.78*('Cálculos'!$E$197+(($B$168)-$A156)*'Cálculos'!$E$98)/(('Cálculos'!$E$197+(($B$168)-$A156)*'Cálculos'!$E$98)+1400)+'Cálculos'!$E$122)*'Cálculos'!$E$231+'Cálculos'!$E$125*(1+2.78*('Cálculos'!$E$197+(($B$168)-$A156)*'Cálculos'!$E$98)/(('Cálculos'!$E$197+(($B$168)-$A156)*'Cálculos'!$E$98)+1400)+'Cálculos'!$E$123)*'Cálculos'!$E$236)+('Cálculos'!$E$204*(1+'Cálculos'!$E$205+$A156*('Cálculos'!$E$290=3)*'Cálculos'!$E$103)+'Cálculos'!$E$206)*('Cálculos'!$E$227+'Cálculos'!$E$124*(1+2.78*('Cálculos'!$E$197+(($B$168)-$A156)*'Cálculos'!$E$98)/(('Cálculos'!$E$197+(($B$168)-$A156)*'Cálculos'!$E$98)+1400)+'Cálculos'!$E$122)*'Cálculos'!$E$232+'Cálculos'!$E$125*(1+2.78*('Cálculos'!$E$197+(($B$168)-$A156)*'Cálculos'!$E$98)/(('Cálculos'!$E$197+(($B$168)-$A156)*'Cálculos'!$E$98)+1400)+'Cálculos'!$E$123)*'Cálculos'!$E$237)+('Cálculos'!$E$228+'Cálculos'!$E$124*(1+2.78*('Cálculos'!$E$197+(($B$168)-$A156)*'Cálculos'!$E$98)/(('Cálculos'!$E$197+(($B$168)-$A156)*'Cálculos'!$E$98)+1400)+'Cálculos'!$E$122)*'Cálculos'!$E$233+'Cálculos'!$E$125*(1+2.78*('Cálculos'!$E$197+(($B$168)-$A156)*'Cálculos'!$E$98)/(('Cálculos'!$E$197+(($B$168)-$A156)*'Cálculos'!$E$98)+1400)+'Cálculos'!$E$123)*'Cálculos'!$E$238)+('Cálculos'!$E$185*(1+'Cálculos'!$E$188+$A156*('Cálculos'!$E$290=1)*'Cálculos'!$E$97+'Cálculos'!$E$305)+'Cálculos'!$E$193)*('Cálculos'!$E$239+'Cálculos'!$E$124*(1+2.78*('Cálculos'!$E$198+(($B$168)-$A156)*'Cálculos'!$E$98)/(('Cálculos'!$E$198+(($B$168)-$A156)*'Cálculos'!$E$98)+1400)+'Cálculos'!$E$122)*'Cálculos'!$E$244+'Cálculos'!$E$125*(1+2.78*('Cálculos'!$E$198+(($B$168)-$A156)*'Cálculos'!$E$98)/(('Cálculos'!$E$198+(($B$168)-$A156)*'Cálculos'!$E$98)+1400)+'Cálculos'!$E$123)*'Cálculos'!$E$249)+('Cálculos'!$E$198+(($B$168)-$A156)*'Cálculos'!$E$98)*('Cálculos'!$E$240+'Cálculos'!$E$124*(1+2.78*('Cálculos'!$E$198+(($B$168)-$A156)*'Cálculos'!$E$98)/(('Cálculos'!$E$198+(($B$168)-$A156)*'Cálculos'!$E$98)+1400)+'Cálculos'!$E$122)*'Cálculos'!$E$245+'Cálculos'!$E$125*(1+2.78*('Cálculos'!$E$198+(($B$168)-$A156)*'Cálculos'!$E$98)/(('Cálculos'!$E$198+(($B$168)-$A156)*'Cálculos'!$E$98)+1400)+'Cálculos'!$E$123)*'Cálculos'!$E$250)+('Cálculos'!$E$201*(1+'Cálculos'!$E$202+$A156*('Cálculos'!$E$290=2)*'Cálculos'!$E$101)+'Cálculos'!$E$203)*('Cálculos'!$E$241+'Cálculos'!$E$124*(1+2.78*('Cálculos'!$E$198+(($B$168)-$A156)*'Cálculos'!$E$98)/(('Cálculos'!$E$198+(($B$168)-$A156)*'Cálculos'!$E$98)+1400)+'Cálculos'!$E$122)*'Cálculos'!$E$246+'Cálculos'!$E$125*(1+2.78*('Cálculos'!$E$198+(($B$168)-$A156)*'Cálculos'!$E$98)/(('Cálculos'!$E$198+(($B$168)-$A156)*'Cálculos'!$E$98)+1400)+'Cálculos'!$E$123)*'Cálculos'!$E$251)+('Cálculos'!$E$204*(1+'Cálculos'!$E$205+$A156*('Cálculos'!$E$290=3)*'Cálculos'!$E$103)+'Cálculos'!$E$206)*('Cálculos'!$E$242+'Cálculos'!$E$124*(1+2.78*('Cálculos'!$E$198+(($B$168)-$A156)*'Cálculos'!$E$98)/(('Cálculos'!$E$198+(($B$168)-$A156)*'Cálculos'!$E$98)+1400)+'Cálculos'!$E$122)*'Cálculos'!$E$247+'Cálculos'!$E$125*(1+2.78*('Cálculos'!$E$198+(($B$168)-$A156)*'Cálculos'!$E$98)/(('Cálculos'!$E$198+(($B$168)-$A156)*'Cálculos'!$E$98)+1400)+'Cálculos'!$E$123)*'Cálculos'!$E$252)+('Cálculos'!$E$243+'Cálculos'!$E$124*(1+2.78*('Cálculos'!$E$198+(($B$168)-$A156)*'Cálculos'!$E$98)/(('Cálculos'!$E$198+(($B$168)-$A156)*'Cálculos'!$E$98)+1400)+'Cálculos'!$E$122)*'Cálculos'!$E$248+'Cálculos'!$E$125*(1+2.78*('Cálculos'!$E$198+(($B$168)-$A156)*'Cálculos'!$E$98)/(('Cálculos'!$E$198+(($B$168)-$A156)*'Cálculos'!$E$98)+1400)+'Cálculos'!$E$123)*'Cálculos'!$E$253)+('Cálculos'!$E$185*(1+'Cálculos'!$E$189+$A156*('Cálculos'!$E$290=1)*'Cálculos'!$E$97+'Cálculos'!$E$305)+'Cálculos'!$E$194)*('Cálculos'!$E$254+'Cálculos'!$E$124*(1+2.78*('Cálculos'!$E$199+(($B$168)-$A156)*'Cálculos'!$E$98)/(('Cálculos'!$E$199+(($B$168)-$A156)*'Cálculos'!$E$98)+1400)+'Cálculos'!$E$122)*'Cálculos'!$E$259+'Cálculos'!$E$125*(1+2.78*('Cálculos'!$E$199+(($B$168)-$A156)*'Cálculos'!$E$98)/(('Cálculos'!$E$199+(($B$168)-$A156)*'Cálculos'!$E$98)+1400)+'Cálculos'!$E$123)*'Cálculos'!$E$264)+('Cálculos'!$E$199+(($B$168)-$A156)*'Cálculos'!$E$98)*('Cálculos'!$E$255+'Cálculos'!$E$124*(1+2.78*('Cálculos'!$E$199+(($B$168)-$A156)*'Cálculos'!$E$98)/(('Cálculos'!$E$199+(($B$168)-$A156)*'Cálculos'!$E$98)+1400)+'Cálculos'!$E$122)*'Cálculos'!$E$260+'Cálculos'!$E$125*(1+2.78*('Cálculos'!$E$199+(($B$168)-$A156)*'Cálculos'!$E$98)/(('Cálculos'!$E$199+(($B$168)-$A156)*'Cálculos'!$E$98)+1400)+'Cálculos'!$E$123)*'Cálculos'!$E$265)+('Cálculos'!$E$201*(1+'Cálculos'!$E$202+$A156*('Cálculos'!$E$290=2)*'Cálculos'!$E$101)+'Cálculos'!$E$203)*('Cálculos'!$E$256+'Cálculos'!$E$124*(1+2.78*('Cálculos'!$E$199+(($B$168)-$A156)*'Cálculos'!$E$98)/(('Cálculos'!$E$199+(($B$168)-$A156)*'Cálculos'!$E$98)+1400)+'Cálculos'!$E$122)*'Cálculos'!$E$261+'Cálculos'!$E$125*(1+2.78*('Cálculos'!$E$199+(($B$168)-$A156)*'Cálculos'!$E$98)/(('Cálculos'!$E$199+(($B$168)-$A156)*'Cálculos'!$E$98)+1400)+'Cálculos'!$E$123)*'Cálculos'!$E$266)+('Cálculos'!$E$204*(1+'Cálculos'!$E$205+$A156*('Cálculos'!$E$290=3)*'Cálculos'!$E$103)+'Cálculos'!$E$206)*('Cálculos'!$E$257+'Cálculos'!$E$124*(1+2.78*('Cálculos'!$E$199+(($B$168)-$A156)*'Cálculos'!$E$98)/(('Cálculos'!$E$199+(($B$168)-$A156)*'Cálculos'!$E$98)+1400)+'Cálculos'!$E$122)*'Cálculos'!$E$262+'Cálculos'!$E$125*(1+2.78*('Cálculos'!$E$199+(($B$168)-$A156)*'Cálculos'!$E$98)/(('Cálculos'!$E$199+(($B$168)-$A156)*'Cálculos'!$E$98)+1400)+'Cálculos'!$E$123)*'Cálculos'!$E$267)+('Cálculos'!$E$258+'Cálculos'!$E$124*(1+2.78*('Cálculos'!$E$199+(($B$168)-$A156)*'Cálculos'!$E$98)/(('Cálculos'!$E$199+(($B$168)-$A156)*'Cálculos'!$E$98)+1400)+'Cálculos'!$E$122)*'Cálculos'!$E$263+'Cálculos'!$E$125*(1+2.78*('Cálculos'!$E$199+(($B$168)-$A156)*'Cálculos'!$E$98)/(('Cálculos'!$E$199+(($B$168)-$A156)*'Cálculos'!$E$98)+1400)+'Cálculos'!$E$123)*'Cálculos'!$E$268)+('Cálculos'!$E$185*(1+'Cálculos'!$E$190+$A156*('Cálculos'!$E$290=1)*'Cálculos'!$E$97+'Cálculos'!$E$305)+'Cálculos'!$E$195)*('Cálculos'!$E$269+'Cálculos'!$E$124*(1+2.78*('Cálculos'!$E$200+(($B$168)-$A156)*'Cálculos'!$E$98)/(('Cálculos'!$E$200+(($B$168)-$A156)*'Cálculos'!$E$98)+1400)+'Cálculos'!$E$122)*'Cálculos'!$E$274+'Cálculos'!$E$125*(1+2.78*('Cálculos'!$E$200+(($B$168)-$A156)*'Cálculos'!$E$98)/(('Cálculos'!$E$200+(($B$168)-$A156)*'Cálculos'!$E$98)+1400)+'Cálculos'!$E$123)*'Cálculos'!$E$279)+('Cálculos'!$E$200+(($B$168)-$A156)*'Cálculos'!$E$98)*('Cálculos'!$E$270+'Cálculos'!$E$124*(1+2.78*('Cálculos'!$E$200+(($B$168)-$A156)*'Cálculos'!$E$98)/(('Cálculos'!$E$200+(($B$168)-$A156)*'Cálculos'!$E$98)+1400)+'Cálculos'!$E$122)*'Cálculos'!$E$275+'Cálculos'!$E$125*(1+2.78*('Cálculos'!$E$200+(($B$168)-$A156)*'Cálculos'!$E$98)/(('Cálculos'!$E$200+(($B$168)-$A156)*'Cálculos'!$E$98)+1400)+'Cálculos'!$E$123)*'Cálculos'!$E$280)+('Cálculos'!$E$201*(1+'Cálculos'!$E$202+$A156*('Cálculos'!$E$290=2)*'Cálculos'!$E$101)+'Cálculos'!$E$203)*('Cálculos'!$E$271+'Cálculos'!$E$124*(1+2.78*('Cálculos'!$E$200+(($B$168)-$A156)*'Cálculos'!$E$98)/(('Cálculos'!$E$200+(($B$168)-$A156)*'Cálculos'!$E$98)+1400)+'Cálculos'!$E$122)*'Cálculos'!$E$276+'Cálculos'!$E$125*(1+2.78*('Cálculos'!$E$200+(($B$168)-$A156)*'Cálculos'!$E$98)/(('Cálculos'!$E$200+(($B$168)-$A156)*'Cálculos'!$E$98)+1400)+'Cálculos'!$E$123)*'Cálculos'!$E$281)+('Cálculos'!$E$204*(1+'Cálculos'!$E$205+$A156*('Cálculos'!$E$290=3)*'Cálculos'!$E$103)+'Cálculos'!$E$206)*('Cálculos'!$E$272+'Cálculos'!$E$124*(1+2.78*('Cálculos'!$E$200+(($B$168)-$A156)*'Cálculos'!$E$98)/(('Cálculos'!$E$200+(($B$168)-$A156)*'Cálculos'!$E$98)+1400)+'Cálculos'!$E$122)*'Cálculos'!$E$277+'Cálculos'!$E$125*(1+2.78*('Cálculos'!$E$200+(($B$168)-$A156)*'Cálculos'!$E$98)/(('Cálculos'!$E$200+(($B$168)-$A156)*'Cálculos'!$E$98)+1400)+'Cálculos'!$E$123)*'Cálculos'!$E$282)+('Cálculos'!$E$273+'Cálculos'!$E$124*(1+2.78*('Cálculos'!$E$200+(($B$168)-$A156)*'Cálculos'!$E$98)/(('Cálculos'!$E$200+(($B$168)-$A156)*'Cálculos'!$E$98)+1400)+'Cálculos'!$E$122)*'Cálculos'!$E$278+'Cálculos'!$E$125*(1+2.78*('Cálculos'!$E$200+(($B$168)-$A156)*'Cálculos'!$E$98)/(('Cálculos'!$E$200+(($B$168)-$A156)*'Cálculos'!$E$98)+1400)+'Cálculos'!$E$123)*'Cálculos'!$E$283)))</f>
        <v>0</v>
      </c>
    </row>
    <row r="157" ht="15.75" customHeight="1">
      <c r="A157" s="2">
        <v>37.0</v>
      </c>
      <c r="B157" s="30">
        <f>SUMPRODUCT(MAX(($A$120:$A$165&lt;=$A157)*($A$120:$A$165&lt;='Cálculos'!$E$294)*(($A157)-$A$120:$A$165&lt;='Cálculos'!$E$295)*(1+(('Cálculos'!$E$207+$A$120:$A$165*'Cálculos'!$E$95)-(('Cálculos'!$E$207+$A$120:$A$165*'Cálculos'!$E$95)&gt;1)*(('Cálculos'!$E$207+$A$120:$A$165*'Cálculos'!$E$95)-1))*('Cálculos'!$E$208+(($A157)-$A$120:$A$165)*'Cálculos'!$E$96))))</f>
        <v>2.928576</v>
      </c>
      <c r="C157" s="2">
        <f>'Cálculos'!$E$303-$A157</f>
        <v>-24</v>
      </c>
      <c r="D157" s="31">
        <f>IF($C157&lt;0,0,SUMPRODUCT(MAX(($A$120:$A$165&lt;=$C157)*($A$120:$A$165&lt;='Cálculos'!$E$301)*(($C157)-$A$120:$A$165&lt;='Cálculos'!$E$297)*(('Cálculos'!$E$185*(1+'Cálculos'!$E$186+$A$120:$A$165*('Cálculos'!$E$290=1)*'Cálculos'!$E$97+'Cálculos'!$E$305)+'Cálculos'!$E$191)*('Cálculos'!$E$209+'Cálculos'!$E$124*(1+2.78*('Cálculos'!$E$196+(($C157)-$A$120:$A$165)*'Cálculos'!$E$98)/(('Cálculos'!$E$196+(($C157)-$A$120:$A$165)*'Cálculos'!$E$98)+1400)+'Cálculos'!$E$122)*'Cálculos'!$E$214+'Cálculos'!$E$125*(1+2.78*('Cálculos'!$E$196+(($C157)-$A$120:$A$165)*'Cálculos'!$E$98)/(('Cálculos'!$E$196+(($C157)-$A$120:$A$165)*'Cálculos'!$E$98)+1400)+'Cálculos'!$E$123)*'Cálculos'!$E$219)+('Cálculos'!$E$196+(($C157)-$A$120:$A$165)*'Cálculos'!$E$98)*('Cálculos'!$E$210+'Cálculos'!$E$124*(1+2.78*('Cálculos'!$E$196+(($C157)-$A$120:$A$165)*'Cálculos'!$E$98)/(('Cálculos'!$E$196+(($C157)-$A$120:$A$165)*'Cálculos'!$E$98)+1400)+'Cálculos'!$E$122)*'Cálculos'!$E$215+'Cálculos'!$E$125*(1+2.78*('Cálculos'!$E$196+(($C157)-$A$120:$A$165)*'Cálculos'!$E$98)/(('Cálculos'!$E$196+(($C157)-$A$120:$A$165)*'Cálculos'!$E$98)+1400)+'Cálculos'!$E$123)*'Cálculos'!$E$220)+('Cálculos'!$E$201*(1+'Cálculos'!$E$202+$A$120:$A$165*('Cálculos'!$E$290=2)*'Cálculos'!$E$101)+'Cálculos'!$E$203)*('Cálculos'!$E$211+'Cálculos'!$E$124*(1+2.78*('Cálculos'!$E$196+(($C157)-$A$120:$A$165)*'Cálculos'!$E$98)/(('Cálculos'!$E$196+(($C157)-$A$120:$A$165)*'Cálculos'!$E$98)+1400)+'Cálculos'!$E$122)*'Cálculos'!$E$216+'Cálculos'!$E$125*(1+2.78*('Cálculos'!$E$196+(($C157)-$A$120:$A$165)*'Cálculos'!$E$98)/(('Cálculos'!$E$196+(($C157)-$A$120:$A$165)*'Cálculos'!$E$98)+1400)+'Cálculos'!$E$123)*'Cálculos'!$E$221)+('Cálculos'!$E$204*(1+'Cálculos'!$E$205+$A$120:$A$165*('Cálculos'!$E$290=3)*'Cálculos'!$E$103)+'Cálculos'!$E$206)*('Cálculos'!$E$212+'Cálculos'!$E$124*(1+2.78*('Cálculos'!$E$196+(($C157)-$A$120:$A$165)*'Cálculos'!$E$98)/(('Cálculos'!$E$196+(($C157)-$A$120:$A$165)*'Cálculos'!$E$98)+1400)+'Cálculos'!$E$122)*'Cálculos'!$E$217+'Cálculos'!$E$125*(1+2.78*('Cálculos'!$E$196+(($C157)-$A$120:$A$165)*'Cálculos'!$E$98)/(('Cálculos'!$E$196+(($C157)-$A$120:$A$165)*'Cálculos'!$E$98)+1400)+'Cálculos'!$E$123)*'Cálculos'!$E$222)+('Cálculos'!$E$213+'Cálculos'!$E$124*(1+2.78*('Cálculos'!$E$196+(($C157)-$A$120:$A$165)*'Cálculos'!$E$98)/(('Cálculos'!$E$196+(($C157)-$A$120:$A$165)*'Cálculos'!$E$98)+1400)+'Cálculos'!$E$122)*'Cálculos'!$E$218+'Cálculos'!$E$125*(1+2.78*('Cálculos'!$E$196+(($C157)-$A$120:$A$165)*'Cálculos'!$E$98)/(('Cálculos'!$E$196+(($C157)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157)-$A$120:$A$165)*'Cálculos'!$E$98)/(('Cálculos'!$E$197+(($C157)-$A$120:$A$165)*'Cálculos'!$E$98)+1400)+'Cálculos'!$E$122)*'Cálculos'!$E$229+'Cálculos'!$E$125*(1+2.78*('Cálculos'!$E$197+(($C157)-$A$120:$A$165)*'Cálculos'!$E$98)/(('Cálculos'!$E$197+(($C157)-$A$120:$A$165)*'Cálculos'!$E$98)+1400)+'Cálculos'!$E$123)*'Cálculos'!$E$234)+('Cálculos'!$E$197+(($C157)-$A$120:$A$165)*'Cálculos'!$E$98)*('Cálculos'!$E$225+'Cálculos'!$E$124*(1+2.78*('Cálculos'!$E$197+(($C157)-$A$120:$A$165)*'Cálculos'!$E$98)/(('Cálculos'!$E$197+(($C157)-$A$120:$A$165)*'Cálculos'!$E$98)+1400)+'Cálculos'!$E$122)*'Cálculos'!$E$230+'Cálculos'!$E$125*(1+2.78*('Cálculos'!$E$197+(($C157)-$A$120:$A$165)*'Cálculos'!$E$98)/(('Cálculos'!$E$197+(($C157)-$A$120:$A$165)*'Cálculos'!$E$98)+1400)+'Cálculos'!$E$123)*'Cálculos'!$E$235)+('Cálculos'!$E$201*(1+'Cálculos'!$E$202+$A$120:$A$165*('Cálculos'!$E$290=2)*'Cálculos'!$E$101)+'Cálculos'!$E$203)*('Cálculos'!$E$226+'Cálculos'!$E$124*(1+2.78*('Cálculos'!$E$197+(($C157)-$A$120:$A$165)*'Cálculos'!$E$98)/(('Cálculos'!$E$197+(($C157)-$A$120:$A$165)*'Cálculos'!$E$98)+1400)+'Cálculos'!$E$122)*'Cálculos'!$E$231+'Cálculos'!$E$125*(1+2.78*('Cálculos'!$E$197+(($C157)-$A$120:$A$165)*'Cálculos'!$E$98)/(('Cálculos'!$E$197+(($C157)-$A$120:$A$165)*'Cálculos'!$E$98)+1400)+'Cálculos'!$E$123)*'Cálculos'!$E$236)+('Cálculos'!$E$204*(1+'Cálculos'!$E$205+$A$120:$A$165*('Cálculos'!$E$290=3)*'Cálculos'!$E$103)+'Cálculos'!$E$206)*('Cálculos'!$E$227+'Cálculos'!$E$124*(1+2.78*('Cálculos'!$E$197+(($C157)-$A$120:$A$165)*'Cálculos'!$E$98)/(('Cálculos'!$E$197+(($C157)-$A$120:$A$165)*'Cálculos'!$E$98)+1400)+'Cálculos'!$E$122)*'Cálculos'!$E$232+'Cálculos'!$E$125*(1+2.78*('Cálculos'!$E$197+(($C157)-$A$120:$A$165)*'Cálculos'!$E$98)/(('Cálculos'!$E$197+(($C157)-$A$120:$A$165)*'Cálculos'!$E$98)+1400)+'Cálculos'!$E$123)*'Cálculos'!$E$237)+('Cálculos'!$E$228+'Cálculos'!$E$124*(1+2.78*('Cálculos'!$E$197+(($C157)-$A$120:$A$165)*'Cálculos'!$E$98)/(('Cálculos'!$E$197+(($C157)-$A$120:$A$165)*'Cálculos'!$E$98)+1400)+'Cálculos'!$E$122)*'Cálculos'!$E$233+'Cálculos'!$E$125*(1+2.78*('Cálculos'!$E$197+(($C157)-$A$120:$A$165)*'Cálculos'!$E$98)/(('Cálculos'!$E$197+(($C157)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157)-$A$120:$A$165)*'Cálculos'!$E$98)/(('Cálculos'!$E$198+(($C157)-$A$120:$A$165)*'Cálculos'!$E$98)+1400)+'Cálculos'!$E$122)*'Cálculos'!$E$244+'Cálculos'!$E$125*(1+2.78*('Cálculos'!$E$198+(($C157)-$A$120:$A$165)*'Cálculos'!$E$98)/(('Cálculos'!$E$198+(($C157)-$A$120:$A$165)*'Cálculos'!$E$98)+1400)+'Cálculos'!$E$123)*'Cálculos'!$E$249)+('Cálculos'!$E$198+(($C157)-$A$120:$A$165)*'Cálculos'!$E$98)*('Cálculos'!$E$240+'Cálculos'!$E$124*(1+2.78*('Cálculos'!$E$198+(($C157)-$A$120:$A$165)*'Cálculos'!$E$98)/(('Cálculos'!$E$198+(($C157)-$A$120:$A$165)*'Cálculos'!$E$98)+1400)+'Cálculos'!$E$122)*'Cálculos'!$E$245+'Cálculos'!$E$125*(1+2.78*('Cálculos'!$E$198+(($C157)-$A$120:$A$165)*'Cálculos'!$E$98)/(('Cálculos'!$E$198+(($C157)-$A$120:$A$165)*'Cálculos'!$E$98)+1400)+'Cálculos'!$E$123)*'Cálculos'!$E$250)+('Cálculos'!$E$201*(1+'Cálculos'!$E$202+$A$120:$A$165*('Cálculos'!$E$290=2)*'Cálculos'!$E$101)+'Cálculos'!$E$203)*('Cálculos'!$E$241+'Cálculos'!$E$124*(1+2.78*('Cálculos'!$E$198+(($C157)-$A$120:$A$165)*'Cálculos'!$E$98)/(('Cálculos'!$E$198+(($C157)-$A$120:$A$165)*'Cálculos'!$E$98)+1400)+'Cálculos'!$E$122)*'Cálculos'!$E$246+'Cálculos'!$E$125*(1+2.78*('Cálculos'!$E$198+(($C157)-$A$120:$A$165)*'Cálculos'!$E$98)/(('Cálculos'!$E$198+(($C157)-$A$120:$A$165)*'Cálculos'!$E$98)+1400)+'Cálculos'!$E$123)*'Cálculos'!$E$251)+('Cálculos'!$E$204*(1+'Cálculos'!$E$205+$A$120:$A$165*('Cálculos'!$E$290=3)*'Cálculos'!$E$103)+'Cálculos'!$E$206)*('Cálculos'!$E$242+'Cálculos'!$E$124*(1+2.78*('Cálculos'!$E$198+(($C157)-$A$120:$A$165)*'Cálculos'!$E$98)/(('Cálculos'!$E$198+(($C157)-$A$120:$A$165)*'Cálculos'!$E$98)+1400)+'Cálculos'!$E$122)*'Cálculos'!$E$247+'Cálculos'!$E$125*(1+2.78*('Cálculos'!$E$198+(($C157)-$A$120:$A$165)*'Cálculos'!$E$98)/(('Cálculos'!$E$198+(($C157)-$A$120:$A$165)*'Cálculos'!$E$98)+1400)+'Cálculos'!$E$123)*'Cálculos'!$E$252)+('Cálculos'!$E$243+'Cálculos'!$E$124*(1+2.78*('Cálculos'!$E$198+(($C157)-$A$120:$A$165)*'Cálculos'!$E$98)/(('Cálculos'!$E$198+(($C157)-$A$120:$A$165)*'Cálculos'!$E$98)+1400)+'Cálculos'!$E$122)*'Cálculos'!$E$248+'Cálculos'!$E$125*(1+2.78*('Cálculos'!$E$198+(($C157)-$A$120:$A$165)*'Cálculos'!$E$98)/(('Cálculos'!$E$198+(($C157)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157)-$A$120:$A$165)*'Cálculos'!$E$98)/(('Cálculos'!$E$199+(($C157)-$A$120:$A$165)*'Cálculos'!$E$98)+1400)+'Cálculos'!$E$122)*'Cálculos'!$E$259+'Cálculos'!$E$125*(1+2.78*('Cálculos'!$E$199+(($C157)-$A$120:$A$165)*'Cálculos'!$E$98)/(('Cálculos'!$E$199+(($C157)-$A$120:$A$165)*'Cálculos'!$E$98)+1400)+'Cálculos'!$E$123)*'Cálculos'!$E$264)+('Cálculos'!$E$199+(($C157)-$A$120:$A$165)*'Cálculos'!$E$98)*('Cálculos'!$E$255+'Cálculos'!$E$124*(1+2.78*('Cálculos'!$E$199+(($C157)-$A$120:$A$165)*'Cálculos'!$E$98)/(('Cálculos'!$E$199+(($C157)-$A$120:$A$165)*'Cálculos'!$E$98)+1400)+'Cálculos'!$E$122)*'Cálculos'!$E$260+'Cálculos'!$E$125*(1+2.78*('Cálculos'!$E$199+(($C157)-$A$120:$A$165)*'Cálculos'!$E$98)/(('Cálculos'!$E$199+(($C157)-$A$120:$A$165)*'Cálculos'!$E$98)+1400)+'Cálculos'!$E$123)*'Cálculos'!$E$265)+('Cálculos'!$E$201*(1+'Cálculos'!$E$202+$A$120:$A$165*('Cálculos'!$E$290=2)*'Cálculos'!$E$101)+'Cálculos'!$E$203)*('Cálculos'!$E$256+'Cálculos'!$E$124*(1+2.78*('Cálculos'!$E$199+(($C157)-$A$120:$A$165)*'Cálculos'!$E$98)/(('Cálculos'!$E$199+(($C157)-$A$120:$A$165)*'Cálculos'!$E$98)+1400)+'Cálculos'!$E$122)*'Cálculos'!$E$261+'Cálculos'!$E$125*(1+2.78*('Cálculos'!$E$199+(($C157)-$A$120:$A$165)*'Cálculos'!$E$98)/(('Cálculos'!$E$199+(($C157)-$A$120:$A$165)*'Cálculos'!$E$98)+1400)+'Cálculos'!$E$123)*'Cálculos'!$E$266)+('Cálculos'!$E$204*(1+'Cálculos'!$E$205+$A$120:$A$165*('Cálculos'!$E$290=3)*'Cálculos'!$E$103)+'Cálculos'!$E$206)*('Cálculos'!$E$257+'Cálculos'!$E$124*(1+2.78*('Cálculos'!$E$199+(($C157)-$A$120:$A$165)*'Cálculos'!$E$98)/(('Cálculos'!$E$199+(($C157)-$A$120:$A$165)*'Cálculos'!$E$98)+1400)+'Cálculos'!$E$122)*'Cálculos'!$E$262+'Cálculos'!$E$125*(1+2.78*('Cálculos'!$E$199+(($C157)-$A$120:$A$165)*'Cálculos'!$E$98)/(('Cálculos'!$E$199+(($C157)-$A$120:$A$165)*'Cálculos'!$E$98)+1400)+'Cálculos'!$E$123)*'Cálculos'!$E$267)+('Cálculos'!$E$258+'Cálculos'!$E$124*(1+2.78*('Cálculos'!$E$199+(($C157)-$A$120:$A$165)*'Cálculos'!$E$98)/(('Cálculos'!$E$199+(($C157)-$A$120:$A$165)*'Cálculos'!$E$98)+1400)+'Cálculos'!$E$122)*'Cálculos'!$E$263+'Cálculos'!$E$125*(1+2.78*('Cálculos'!$E$199+(($C157)-$A$120:$A$165)*'Cálculos'!$E$98)/(('Cálculos'!$E$199+(($C157)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157)-$A$120:$A$165)*'Cálculos'!$E$98)/(('Cálculos'!$E$200+(($C157)-$A$120:$A$165)*'Cálculos'!$E$98)+1400)+'Cálculos'!$E$122)*'Cálculos'!$E$274+'Cálculos'!$E$125*(1+2.78*('Cálculos'!$E$200+(($C157)-$A$120:$A$165)*'Cálculos'!$E$98)/(('Cálculos'!$E$200+(($C157)-$A$120:$A$165)*'Cálculos'!$E$98)+1400)+'Cálculos'!$E$123)*'Cálculos'!$E$279)+('Cálculos'!$E$200+(($C157)-$A$120:$A$165)*'Cálculos'!$E$98)*('Cálculos'!$E$270+'Cálculos'!$E$124*(1+2.78*('Cálculos'!$E$200+(($C157)-$A$120:$A$165)*'Cálculos'!$E$98)/(('Cálculos'!$E$200+(($C157)-$A$120:$A$165)*'Cálculos'!$E$98)+1400)+'Cálculos'!$E$122)*'Cálculos'!$E$275+'Cálculos'!$E$125*(1+2.78*('Cálculos'!$E$200+(($C157)-$A$120:$A$165)*'Cálculos'!$E$98)/(('Cálculos'!$E$200+(($C157)-$A$120:$A$165)*'Cálculos'!$E$98)+1400)+'Cálculos'!$E$123)*'Cálculos'!$E$280)+('Cálculos'!$E$201*(1+'Cálculos'!$E$202+$A$120:$A$165*('Cálculos'!$E$290=2)*'Cálculos'!$E$101)+'Cálculos'!$E$203)*('Cálculos'!$E$271+'Cálculos'!$E$124*(1+2.78*('Cálculos'!$E$200+(($C157)-$A$120:$A$165)*'Cálculos'!$E$98)/(('Cálculos'!$E$200+(($C157)-$A$120:$A$165)*'Cálculos'!$E$98)+1400)+'Cálculos'!$E$122)*'Cálculos'!$E$276+'Cálculos'!$E$125*(1+2.78*('Cálculos'!$E$200+(($C157)-$A$120:$A$165)*'Cálculos'!$E$98)/(('Cálculos'!$E$200+(($C157)-$A$120:$A$165)*'Cálculos'!$E$98)+1400)+'Cálculos'!$E$123)*'Cálculos'!$E$281)+('Cálculos'!$E$204*(1+'Cálculos'!$E$205+$A$120:$A$165*('Cálculos'!$E$290=3)*'Cálculos'!$E$103)+'Cálculos'!$E$206)*('Cálculos'!$E$272+'Cálculos'!$E$124*(1+2.78*('Cálculos'!$E$200+(($C157)-$A$120:$A$165)*'Cálculos'!$E$98)/(('Cálculos'!$E$200+(($C157)-$A$120:$A$165)*'Cálculos'!$E$98)+1400)+'Cálculos'!$E$122)*'Cálculos'!$E$277+'Cálculos'!$E$125*(1+2.78*('Cálculos'!$E$200+(($C157)-$A$120:$A$165)*'Cálculos'!$E$98)/(('Cálculos'!$E$200+(($C157)-$A$120:$A$165)*'Cálculos'!$E$98)+1400)+'Cálculos'!$E$123)*'Cálculos'!$E$282)+('Cálculos'!$E$273+'Cálculos'!$E$124*(1+2.78*('Cálculos'!$E$200+(($C157)-$A$120:$A$165)*'Cálculos'!$E$98)/(('Cálculos'!$E$200+(($C157)-$A$120:$A$165)*'Cálculos'!$E$98)+1400)+'Cálculos'!$E$122)*'Cálculos'!$E$278+'Cálculos'!$E$125*(1+2.78*('Cálculos'!$E$200+(($C157)-$A$120:$A$165)*'Cálculos'!$E$98)/(('Cálculos'!$E$200+(($C157)-$A$120:$A$165)*'Cálculos'!$E$98)+1400)+'Cálculos'!$E$123)*'Cálculos'!$E$283)))))</f>
        <v>0</v>
      </c>
      <c r="E157" s="32">
        <f>IF(OR($C157&lt;0,'Cálculos'!$E$6=""),0,$B157*$D157)</f>
        <v>0</v>
      </c>
      <c r="F157" s="2"/>
      <c r="G157" s="30">
        <f>($A157&lt;=$B$167)*($A157&lt;='Cálculos'!$E$294)*(($B$167)-$A157&lt;='Cálculos'!$E$295)*(1+MIN(('Cálculos'!$E$207+$A157*'Cálculos'!$E$95),1)*('Cálculos'!$E$208+(($B$167)-$A157)*'Cálculos'!$E$96))</f>
        <v>0</v>
      </c>
      <c r="H157" s="31">
        <f>IF($B$168&lt;0,0,($A157&lt;=$B$168)*($A157&lt;='Cálculos'!$E$301)*(($B$168)-$A157&lt;='Cálculos'!$E$297)*(('Cálculos'!$E$185*(1+'Cálculos'!$E$186+$A157*('Cálculos'!$E$290=1)*'Cálculos'!$E$97+'Cálculos'!$E$305)+'Cálculos'!$E$191)*('Cálculos'!$E$209+'Cálculos'!$E$124*(1+2.78*('Cálculos'!$E$196+(($B$168)-$A157)*'Cálculos'!$E$98)/(('Cálculos'!$E$196+(($B$168)-$A157)*'Cálculos'!$E$98)+1400)+'Cálculos'!$E$122)*'Cálculos'!$E$214+'Cálculos'!$E$125*(1+2.78*('Cálculos'!$E$196+(($B$168)-$A157)*'Cálculos'!$E$98)/(('Cálculos'!$E$196+(($B$168)-$A157)*'Cálculos'!$E$98)+1400)+'Cálculos'!$E$123)*'Cálculos'!$E$219)+('Cálculos'!$E$196+(($B$168)-$A157)*'Cálculos'!$E$98)*('Cálculos'!$E$210+'Cálculos'!$E$124*(1+2.78*('Cálculos'!$E$196+(($B$168)-$A157)*'Cálculos'!$E$98)/(('Cálculos'!$E$196+(($B$168)-$A157)*'Cálculos'!$E$98)+1400)+'Cálculos'!$E$122)*'Cálculos'!$E$215+'Cálculos'!$E$125*(1+2.78*('Cálculos'!$E$196+(($B$168)-$A157)*'Cálculos'!$E$98)/(('Cálculos'!$E$196+(($B$168)-$A157)*'Cálculos'!$E$98)+1400)+'Cálculos'!$E$123)*'Cálculos'!$E$220)+('Cálculos'!$E$201*(1+'Cálculos'!$E$202+$A157*('Cálculos'!$E$290=2)*'Cálculos'!$E$101)+'Cálculos'!$E$203)*('Cálculos'!$E$211+'Cálculos'!$E$124*(1+2.78*('Cálculos'!$E$196+(($B$168)-$A157)*'Cálculos'!$E$98)/(('Cálculos'!$E$196+(($B$168)-$A157)*'Cálculos'!$E$98)+1400)+'Cálculos'!$E$122)*'Cálculos'!$E$216+'Cálculos'!$E$125*(1+2.78*('Cálculos'!$E$196+(($B$168)-$A157)*'Cálculos'!$E$98)/(('Cálculos'!$E$196+(($B$168)-$A157)*'Cálculos'!$E$98)+1400)+'Cálculos'!$E$123)*'Cálculos'!$E$221)+('Cálculos'!$E$204*(1+'Cálculos'!$E$205+$A157*('Cálculos'!$E$290=3)*'Cálculos'!$E$103)+'Cálculos'!$E$206)*('Cálculos'!$E$212+'Cálculos'!$E$124*(1+2.78*('Cálculos'!$E$196+(($B$168)-$A157)*'Cálculos'!$E$98)/(('Cálculos'!$E$196+(($B$168)-$A157)*'Cálculos'!$E$98)+1400)+'Cálculos'!$E$122)*'Cálculos'!$E$217+'Cálculos'!$E$125*(1+2.78*('Cálculos'!$E$196+(($B$168)-$A157)*'Cálculos'!$E$98)/(('Cálculos'!$E$196+(($B$168)-$A157)*'Cálculos'!$E$98)+1400)+'Cálculos'!$E$123)*'Cálculos'!$E$222)+('Cálculos'!$E$213+'Cálculos'!$E$124*(1+2.78*('Cálculos'!$E$196+(($B$168)-$A157)*'Cálculos'!$E$98)/(('Cálculos'!$E$196+(($B$168)-$A157)*'Cálculos'!$E$98)+1400)+'Cálculos'!$E$122)*'Cálculos'!$E$218+'Cálculos'!$E$125*(1+2.78*('Cálculos'!$E$196+(($B$168)-$A157)*'Cálculos'!$E$98)/(('Cálculos'!$E$196+(($B$168)-$A157)*'Cálculos'!$E$98)+1400)+'Cálculos'!$E$123)*'Cálculos'!$E$223)+('Cálculos'!$E$185*(1+'Cálculos'!$E$187+$A157*('Cálculos'!$E$290=1)*'Cálculos'!$E$97+'Cálculos'!$E$305)+'Cálculos'!$E$192)*('Cálculos'!$E$224+'Cálculos'!$E$124*(1+2.78*('Cálculos'!$E$197+(($B$168)-$A157)*'Cálculos'!$E$98)/(('Cálculos'!$E$197+(($B$168)-$A157)*'Cálculos'!$E$98)+1400)+'Cálculos'!$E$122)*'Cálculos'!$E$229+'Cálculos'!$E$125*(1+2.78*('Cálculos'!$E$197+(($B$168)-$A157)*'Cálculos'!$E$98)/(('Cálculos'!$E$197+(($B$168)-$A157)*'Cálculos'!$E$98)+1400)+'Cálculos'!$E$123)*'Cálculos'!$E$234)+('Cálculos'!$E$197+(($B$168)-$A157)*'Cálculos'!$E$98)*('Cálculos'!$E$225+'Cálculos'!$E$124*(1+2.78*('Cálculos'!$E$197+(($B$168)-$A157)*'Cálculos'!$E$98)/(('Cálculos'!$E$197+(($B$168)-$A157)*'Cálculos'!$E$98)+1400)+'Cálculos'!$E$122)*'Cálculos'!$E$230+'Cálculos'!$E$125*(1+2.78*('Cálculos'!$E$197+(($B$168)-$A157)*'Cálculos'!$E$98)/(('Cálculos'!$E$197+(($B$168)-$A157)*'Cálculos'!$E$98)+1400)+'Cálculos'!$E$123)*'Cálculos'!$E$235)+('Cálculos'!$E$201*(1+'Cálculos'!$E$202+$A157*('Cálculos'!$E$290=2)*'Cálculos'!$E$101)+'Cálculos'!$E$203)*('Cálculos'!$E$226+'Cálculos'!$E$124*(1+2.78*('Cálculos'!$E$197+(($B$168)-$A157)*'Cálculos'!$E$98)/(('Cálculos'!$E$197+(($B$168)-$A157)*'Cálculos'!$E$98)+1400)+'Cálculos'!$E$122)*'Cálculos'!$E$231+'Cálculos'!$E$125*(1+2.78*('Cálculos'!$E$197+(($B$168)-$A157)*'Cálculos'!$E$98)/(('Cálculos'!$E$197+(($B$168)-$A157)*'Cálculos'!$E$98)+1400)+'Cálculos'!$E$123)*'Cálculos'!$E$236)+('Cálculos'!$E$204*(1+'Cálculos'!$E$205+$A157*('Cálculos'!$E$290=3)*'Cálculos'!$E$103)+'Cálculos'!$E$206)*('Cálculos'!$E$227+'Cálculos'!$E$124*(1+2.78*('Cálculos'!$E$197+(($B$168)-$A157)*'Cálculos'!$E$98)/(('Cálculos'!$E$197+(($B$168)-$A157)*'Cálculos'!$E$98)+1400)+'Cálculos'!$E$122)*'Cálculos'!$E$232+'Cálculos'!$E$125*(1+2.78*('Cálculos'!$E$197+(($B$168)-$A157)*'Cálculos'!$E$98)/(('Cálculos'!$E$197+(($B$168)-$A157)*'Cálculos'!$E$98)+1400)+'Cálculos'!$E$123)*'Cálculos'!$E$237)+('Cálculos'!$E$228+'Cálculos'!$E$124*(1+2.78*('Cálculos'!$E$197+(($B$168)-$A157)*'Cálculos'!$E$98)/(('Cálculos'!$E$197+(($B$168)-$A157)*'Cálculos'!$E$98)+1400)+'Cálculos'!$E$122)*'Cálculos'!$E$233+'Cálculos'!$E$125*(1+2.78*('Cálculos'!$E$197+(($B$168)-$A157)*'Cálculos'!$E$98)/(('Cálculos'!$E$197+(($B$168)-$A157)*'Cálculos'!$E$98)+1400)+'Cálculos'!$E$123)*'Cálculos'!$E$238)+('Cálculos'!$E$185*(1+'Cálculos'!$E$188+$A157*('Cálculos'!$E$290=1)*'Cálculos'!$E$97+'Cálculos'!$E$305)+'Cálculos'!$E$193)*('Cálculos'!$E$239+'Cálculos'!$E$124*(1+2.78*('Cálculos'!$E$198+(($B$168)-$A157)*'Cálculos'!$E$98)/(('Cálculos'!$E$198+(($B$168)-$A157)*'Cálculos'!$E$98)+1400)+'Cálculos'!$E$122)*'Cálculos'!$E$244+'Cálculos'!$E$125*(1+2.78*('Cálculos'!$E$198+(($B$168)-$A157)*'Cálculos'!$E$98)/(('Cálculos'!$E$198+(($B$168)-$A157)*'Cálculos'!$E$98)+1400)+'Cálculos'!$E$123)*'Cálculos'!$E$249)+('Cálculos'!$E$198+(($B$168)-$A157)*'Cálculos'!$E$98)*('Cálculos'!$E$240+'Cálculos'!$E$124*(1+2.78*('Cálculos'!$E$198+(($B$168)-$A157)*'Cálculos'!$E$98)/(('Cálculos'!$E$198+(($B$168)-$A157)*'Cálculos'!$E$98)+1400)+'Cálculos'!$E$122)*'Cálculos'!$E$245+'Cálculos'!$E$125*(1+2.78*('Cálculos'!$E$198+(($B$168)-$A157)*'Cálculos'!$E$98)/(('Cálculos'!$E$198+(($B$168)-$A157)*'Cálculos'!$E$98)+1400)+'Cálculos'!$E$123)*'Cálculos'!$E$250)+('Cálculos'!$E$201*(1+'Cálculos'!$E$202+$A157*('Cálculos'!$E$290=2)*'Cálculos'!$E$101)+'Cálculos'!$E$203)*('Cálculos'!$E$241+'Cálculos'!$E$124*(1+2.78*('Cálculos'!$E$198+(($B$168)-$A157)*'Cálculos'!$E$98)/(('Cálculos'!$E$198+(($B$168)-$A157)*'Cálculos'!$E$98)+1400)+'Cálculos'!$E$122)*'Cálculos'!$E$246+'Cálculos'!$E$125*(1+2.78*('Cálculos'!$E$198+(($B$168)-$A157)*'Cálculos'!$E$98)/(('Cálculos'!$E$198+(($B$168)-$A157)*'Cálculos'!$E$98)+1400)+'Cálculos'!$E$123)*'Cálculos'!$E$251)+('Cálculos'!$E$204*(1+'Cálculos'!$E$205+$A157*('Cálculos'!$E$290=3)*'Cálculos'!$E$103)+'Cálculos'!$E$206)*('Cálculos'!$E$242+'Cálculos'!$E$124*(1+2.78*('Cálculos'!$E$198+(($B$168)-$A157)*'Cálculos'!$E$98)/(('Cálculos'!$E$198+(($B$168)-$A157)*'Cálculos'!$E$98)+1400)+'Cálculos'!$E$122)*'Cálculos'!$E$247+'Cálculos'!$E$125*(1+2.78*('Cálculos'!$E$198+(($B$168)-$A157)*'Cálculos'!$E$98)/(('Cálculos'!$E$198+(($B$168)-$A157)*'Cálculos'!$E$98)+1400)+'Cálculos'!$E$123)*'Cálculos'!$E$252)+('Cálculos'!$E$243+'Cálculos'!$E$124*(1+2.78*('Cálculos'!$E$198+(($B$168)-$A157)*'Cálculos'!$E$98)/(('Cálculos'!$E$198+(($B$168)-$A157)*'Cálculos'!$E$98)+1400)+'Cálculos'!$E$122)*'Cálculos'!$E$248+'Cálculos'!$E$125*(1+2.78*('Cálculos'!$E$198+(($B$168)-$A157)*'Cálculos'!$E$98)/(('Cálculos'!$E$198+(($B$168)-$A157)*'Cálculos'!$E$98)+1400)+'Cálculos'!$E$123)*'Cálculos'!$E$253)+('Cálculos'!$E$185*(1+'Cálculos'!$E$189+$A157*('Cálculos'!$E$290=1)*'Cálculos'!$E$97+'Cálculos'!$E$305)+'Cálculos'!$E$194)*('Cálculos'!$E$254+'Cálculos'!$E$124*(1+2.78*('Cálculos'!$E$199+(($B$168)-$A157)*'Cálculos'!$E$98)/(('Cálculos'!$E$199+(($B$168)-$A157)*'Cálculos'!$E$98)+1400)+'Cálculos'!$E$122)*'Cálculos'!$E$259+'Cálculos'!$E$125*(1+2.78*('Cálculos'!$E$199+(($B$168)-$A157)*'Cálculos'!$E$98)/(('Cálculos'!$E$199+(($B$168)-$A157)*'Cálculos'!$E$98)+1400)+'Cálculos'!$E$123)*'Cálculos'!$E$264)+('Cálculos'!$E$199+(($B$168)-$A157)*'Cálculos'!$E$98)*('Cálculos'!$E$255+'Cálculos'!$E$124*(1+2.78*('Cálculos'!$E$199+(($B$168)-$A157)*'Cálculos'!$E$98)/(('Cálculos'!$E$199+(($B$168)-$A157)*'Cálculos'!$E$98)+1400)+'Cálculos'!$E$122)*'Cálculos'!$E$260+'Cálculos'!$E$125*(1+2.78*('Cálculos'!$E$199+(($B$168)-$A157)*'Cálculos'!$E$98)/(('Cálculos'!$E$199+(($B$168)-$A157)*'Cálculos'!$E$98)+1400)+'Cálculos'!$E$123)*'Cálculos'!$E$265)+('Cálculos'!$E$201*(1+'Cálculos'!$E$202+$A157*('Cálculos'!$E$290=2)*'Cálculos'!$E$101)+'Cálculos'!$E$203)*('Cálculos'!$E$256+'Cálculos'!$E$124*(1+2.78*('Cálculos'!$E$199+(($B$168)-$A157)*'Cálculos'!$E$98)/(('Cálculos'!$E$199+(($B$168)-$A157)*'Cálculos'!$E$98)+1400)+'Cálculos'!$E$122)*'Cálculos'!$E$261+'Cálculos'!$E$125*(1+2.78*('Cálculos'!$E$199+(($B$168)-$A157)*'Cálculos'!$E$98)/(('Cálculos'!$E$199+(($B$168)-$A157)*'Cálculos'!$E$98)+1400)+'Cálculos'!$E$123)*'Cálculos'!$E$266)+('Cálculos'!$E$204*(1+'Cálculos'!$E$205+$A157*('Cálculos'!$E$290=3)*'Cálculos'!$E$103)+'Cálculos'!$E$206)*('Cálculos'!$E$257+'Cálculos'!$E$124*(1+2.78*('Cálculos'!$E$199+(($B$168)-$A157)*'Cálculos'!$E$98)/(('Cálculos'!$E$199+(($B$168)-$A157)*'Cálculos'!$E$98)+1400)+'Cálculos'!$E$122)*'Cálculos'!$E$262+'Cálculos'!$E$125*(1+2.78*('Cálculos'!$E$199+(($B$168)-$A157)*'Cálculos'!$E$98)/(('Cálculos'!$E$199+(($B$168)-$A157)*'Cálculos'!$E$98)+1400)+'Cálculos'!$E$123)*'Cálculos'!$E$267)+('Cálculos'!$E$258+'Cálculos'!$E$124*(1+2.78*('Cálculos'!$E$199+(($B$168)-$A157)*'Cálculos'!$E$98)/(('Cálculos'!$E$199+(($B$168)-$A157)*'Cálculos'!$E$98)+1400)+'Cálculos'!$E$122)*'Cálculos'!$E$263+'Cálculos'!$E$125*(1+2.78*('Cálculos'!$E$199+(($B$168)-$A157)*'Cálculos'!$E$98)/(('Cálculos'!$E$199+(($B$168)-$A157)*'Cálculos'!$E$98)+1400)+'Cálculos'!$E$123)*'Cálculos'!$E$268)+('Cálculos'!$E$185*(1+'Cálculos'!$E$190+$A157*('Cálculos'!$E$290=1)*'Cálculos'!$E$97+'Cálculos'!$E$305)+'Cálculos'!$E$195)*('Cálculos'!$E$269+'Cálculos'!$E$124*(1+2.78*('Cálculos'!$E$200+(($B$168)-$A157)*'Cálculos'!$E$98)/(('Cálculos'!$E$200+(($B$168)-$A157)*'Cálculos'!$E$98)+1400)+'Cálculos'!$E$122)*'Cálculos'!$E$274+'Cálculos'!$E$125*(1+2.78*('Cálculos'!$E$200+(($B$168)-$A157)*'Cálculos'!$E$98)/(('Cálculos'!$E$200+(($B$168)-$A157)*'Cálculos'!$E$98)+1400)+'Cálculos'!$E$123)*'Cálculos'!$E$279)+('Cálculos'!$E$200+(($B$168)-$A157)*'Cálculos'!$E$98)*('Cálculos'!$E$270+'Cálculos'!$E$124*(1+2.78*('Cálculos'!$E$200+(($B$168)-$A157)*'Cálculos'!$E$98)/(('Cálculos'!$E$200+(($B$168)-$A157)*'Cálculos'!$E$98)+1400)+'Cálculos'!$E$122)*'Cálculos'!$E$275+'Cálculos'!$E$125*(1+2.78*('Cálculos'!$E$200+(($B$168)-$A157)*'Cálculos'!$E$98)/(('Cálculos'!$E$200+(($B$168)-$A157)*'Cálculos'!$E$98)+1400)+'Cálculos'!$E$123)*'Cálculos'!$E$280)+('Cálculos'!$E$201*(1+'Cálculos'!$E$202+$A157*('Cálculos'!$E$290=2)*'Cálculos'!$E$101)+'Cálculos'!$E$203)*('Cálculos'!$E$271+'Cálculos'!$E$124*(1+2.78*('Cálculos'!$E$200+(($B$168)-$A157)*'Cálculos'!$E$98)/(('Cálculos'!$E$200+(($B$168)-$A157)*'Cálculos'!$E$98)+1400)+'Cálculos'!$E$122)*'Cálculos'!$E$276+'Cálculos'!$E$125*(1+2.78*('Cálculos'!$E$200+(($B$168)-$A157)*'Cálculos'!$E$98)/(('Cálculos'!$E$200+(($B$168)-$A157)*'Cálculos'!$E$98)+1400)+'Cálculos'!$E$123)*'Cálculos'!$E$281)+('Cálculos'!$E$204*(1+'Cálculos'!$E$205+$A157*('Cálculos'!$E$290=3)*'Cálculos'!$E$103)+'Cálculos'!$E$206)*('Cálculos'!$E$272+'Cálculos'!$E$124*(1+2.78*('Cálculos'!$E$200+(($B$168)-$A157)*'Cálculos'!$E$98)/(('Cálculos'!$E$200+(($B$168)-$A157)*'Cálculos'!$E$98)+1400)+'Cálculos'!$E$122)*'Cálculos'!$E$277+'Cálculos'!$E$125*(1+2.78*('Cálculos'!$E$200+(($B$168)-$A157)*'Cálculos'!$E$98)/(('Cálculos'!$E$200+(($B$168)-$A157)*'Cálculos'!$E$98)+1400)+'Cálculos'!$E$123)*'Cálculos'!$E$282)+('Cálculos'!$E$273+'Cálculos'!$E$124*(1+2.78*('Cálculos'!$E$200+(($B$168)-$A157)*'Cálculos'!$E$98)/(('Cálculos'!$E$200+(($B$168)-$A157)*'Cálculos'!$E$98)+1400)+'Cálculos'!$E$122)*'Cálculos'!$E$278+'Cálculos'!$E$125*(1+2.78*('Cálculos'!$E$200+(($B$168)-$A157)*'Cálculos'!$E$98)/(('Cálculos'!$E$200+(($B$168)-$A157)*'Cálculos'!$E$98)+1400)+'Cálculos'!$E$123)*'Cálculos'!$E$283)))</f>
        <v>0</v>
      </c>
    </row>
    <row r="158" ht="15.75" customHeight="1">
      <c r="A158" s="2">
        <v>38.0</v>
      </c>
      <c r="B158" s="30">
        <f>SUMPRODUCT(MAX(($A$120:$A$165&lt;=$A158)*($A$120:$A$165&lt;='Cálculos'!$E$294)*(($A158)-$A$120:$A$165&lt;='Cálculos'!$E$295)*(1+(('Cálculos'!$E$207+$A$120:$A$165*'Cálculos'!$E$95)-(('Cálculos'!$E$207+$A$120:$A$165*'Cálculos'!$E$95)&gt;1)*(('Cálculos'!$E$207+$A$120:$A$165*'Cálculos'!$E$95)-1))*('Cálculos'!$E$208+(($A158)-$A$120:$A$165)*'Cálculos'!$E$96))))</f>
        <v>2.993784</v>
      </c>
      <c r="C158" s="2">
        <f>'Cálculos'!$E$303-$A158</f>
        <v>-25</v>
      </c>
      <c r="D158" s="31">
        <f>IF($C158&lt;0,0,SUMPRODUCT(MAX(($A$120:$A$165&lt;=$C158)*($A$120:$A$165&lt;='Cálculos'!$E$301)*(($C158)-$A$120:$A$165&lt;='Cálculos'!$E$297)*(('Cálculos'!$E$185*(1+'Cálculos'!$E$186+$A$120:$A$165*('Cálculos'!$E$290=1)*'Cálculos'!$E$97+'Cálculos'!$E$305)+'Cálculos'!$E$191)*('Cálculos'!$E$209+'Cálculos'!$E$124*(1+2.78*('Cálculos'!$E$196+(($C158)-$A$120:$A$165)*'Cálculos'!$E$98)/(('Cálculos'!$E$196+(($C158)-$A$120:$A$165)*'Cálculos'!$E$98)+1400)+'Cálculos'!$E$122)*'Cálculos'!$E$214+'Cálculos'!$E$125*(1+2.78*('Cálculos'!$E$196+(($C158)-$A$120:$A$165)*'Cálculos'!$E$98)/(('Cálculos'!$E$196+(($C158)-$A$120:$A$165)*'Cálculos'!$E$98)+1400)+'Cálculos'!$E$123)*'Cálculos'!$E$219)+('Cálculos'!$E$196+(($C158)-$A$120:$A$165)*'Cálculos'!$E$98)*('Cálculos'!$E$210+'Cálculos'!$E$124*(1+2.78*('Cálculos'!$E$196+(($C158)-$A$120:$A$165)*'Cálculos'!$E$98)/(('Cálculos'!$E$196+(($C158)-$A$120:$A$165)*'Cálculos'!$E$98)+1400)+'Cálculos'!$E$122)*'Cálculos'!$E$215+'Cálculos'!$E$125*(1+2.78*('Cálculos'!$E$196+(($C158)-$A$120:$A$165)*'Cálculos'!$E$98)/(('Cálculos'!$E$196+(($C158)-$A$120:$A$165)*'Cálculos'!$E$98)+1400)+'Cálculos'!$E$123)*'Cálculos'!$E$220)+('Cálculos'!$E$201*(1+'Cálculos'!$E$202+$A$120:$A$165*('Cálculos'!$E$290=2)*'Cálculos'!$E$101)+'Cálculos'!$E$203)*('Cálculos'!$E$211+'Cálculos'!$E$124*(1+2.78*('Cálculos'!$E$196+(($C158)-$A$120:$A$165)*'Cálculos'!$E$98)/(('Cálculos'!$E$196+(($C158)-$A$120:$A$165)*'Cálculos'!$E$98)+1400)+'Cálculos'!$E$122)*'Cálculos'!$E$216+'Cálculos'!$E$125*(1+2.78*('Cálculos'!$E$196+(($C158)-$A$120:$A$165)*'Cálculos'!$E$98)/(('Cálculos'!$E$196+(($C158)-$A$120:$A$165)*'Cálculos'!$E$98)+1400)+'Cálculos'!$E$123)*'Cálculos'!$E$221)+('Cálculos'!$E$204*(1+'Cálculos'!$E$205+$A$120:$A$165*('Cálculos'!$E$290=3)*'Cálculos'!$E$103)+'Cálculos'!$E$206)*('Cálculos'!$E$212+'Cálculos'!$E$124*(1+2.78*('Cálculos'!$E$196+(($C158)-$A$120:$A$165)*'Cálculos'!$E$98)/(('Cálculos'!$E$196+(($C158)-$A$120:$A$165)*'Cálculos'!$E$98)+1400)+'Cálculos'!$E$122)*'Cálculos'!$E$217+'Cálculos'!$E$125*(1+2.78*('Cálculos'!$E$196+(($C158)-$A$120:$A$165)*'Cálculos'!$E$98)/(('Cálculos'!$E$196+(($C158)-$A$120:$A$165)*'Cálculos'!$E$98)+1400)+'Cálculos'!$E$123)*'Cálculos'!$E$222)+('Cálculos'!$E$213+'Cálculos'!$E$124*(1+2.78*('Cálculos'!$E$196+(($C158)-$A$120:$A$165)*'Cálculos'!$E$98)/(('Cálculos'!$E$196+(($C158)-$A$120:$A$165)*'Cálculos'!$E$98)+1400)+'Cálculos'!$E$122)*'Cálculos'!$E$218+'Cálculos'!$E$125*(1+2.78*('Cálculos'!$E$196+(($C158)-$A$120:$A$165)*'Cálculos'!$E$98)/(('Cálculos'!$E$196+(($C158)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158)-$A$120:$A$165)*'Cálculos'!$E$98)/(('Cálculos'!$E$197+(($C158)-$A$120:$A$165)*'Cálculos'!$E$98)+1400)+'Cálculos'!$E$122)*'Cálculos'!$E$229+'Cálculos'!$E$125*(1+2.78*('Cálculos'!$E$197+(($C158)-$A$120:$A$165)*'Cálculos'!$E$98)/(('Cálculos'!$E$197+(($C158)-$A$120:$A$165)*'Cálculos'!$E$98)+1400)+'Cálculos'!$E$123)*'Cálculos'!$E$234)+('Cálculos'!$E$197+(($C158)-$A$120:$A$165)*'Cálculos'!$E$98)*('Cálculos'!$E$225+'Cálculos'!$E$124*(1+2.78*('Cálculos'!$E$197+(($C158)-$A$120:$A$165)*'Cálculos'!$E$98)/(('Cálculos'!$E$197+(($C158)-$A$120:$A$165)*'Cálculos'!$E$98)+1400)+'Cálculos'!$E$122)*'Cálculos'!$E$230+'Cálculos'!$E$125*(1+2.78*('Cálculos'!$E$197+(($C158)-$A$120:$A$165)*'Cálculos'!$E$98)/(('Cálculos'!$E$197+(($C158)-$A$120:$A$165)*'Cálculos'!$E$98)+1400)+'Cálculos'!$E$123)*'Cálculos'!$E$235)+('Cálculos'!$E$201*(1+'Cálculos'!$E$202+$A$120:$A$165*('Cálculos'!$E$290=2)*'Cálculos'!$E$101)+'Cálculos'!$E$203)*('Cálculos'!$E$226+'Cálculos'!$E$124*(1+2.78*('Cálculos'!$E$197+(($C158)-$A$120:$A$165)*'Cálculos'!$E$98)/(('Cálculos'!$E$197+(($C158)-$A$120:$A$165)*'Cálculos'!$E$98)+1400)+'Cálculos'!$E$122)*'Cálculos'!$E$231+'Cálculos'!$E$125*(1+2.78*('Cálculos'!$E$197+(($C158)-$A$120:$A$165)*'Cálculos'!$E$98)/(('Cálculos'!$E$197+(($C158)-$A$120:$A$165)*'Cálculos'!$E$98)+1400)+'Cálculos'!$E$123)*'Cálculos'!$E$236)+('Cálculos'!$E$204*(1+'Cálculos'!$E$205+$A$120:$A$165*('Cálculos'!$E$290=3)*'Cálculos'!$E$103)+'Cálculos'!$E$206)*('Cálculos'!$E$227+'Cálculos'!$E$124*(1+2.78*('Cálculos'!$E$197+(($C158)-$A$120:$A$165)*'Cálculos'!$E$98)/(('Cálculos'!$E$197+(($C158)-$A$120:$A$165)*'Cálculos'!$E$98)+1400)+'Cálculos'!$E$122)*'Cálculos'!$E$232+'Cálculos'!$E$125*(1+2.78*('Cálculos'!$E$197+(($C158)-$A$120:$A$165)*'Cálculos'!$E$98)/(('Cálculos'!$E$197+(($C158)-$A$120:$A$165)*'Cálculos'!$E$98)+1400)+'Cálculos'!$E$123)*'Cálculos'!$E$237)+('Cálculos'!$E$228+'Cálculos'!$E$124*(1+2.78*('Cálculos'!$E$197+(($C158)-$A$120:$A$165)*'Cálculos'!$E$98)/(('Cálculos'!$E$197+(($C158)-$A$120:$A$165)*'Cálculos'!$E$98)+1400)+'Cálculos'!$E$122)*'Cálculos'!$E$233+'Cálculos'!$E$125*(1+2.78*('Cálculos'!$E$197+(($C158)-$A$120:$A$165)*'Cálculos'!$E$98)/(('Cálculos'!$E$197+(($C158)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158)-$A$120:$A$165)*'Cálculos'!$E$98)/(('Cálculos'!$E$198+(($C158)-$A$120:$A$165)*'Cálculos'!$E$98)+1400)+'Cálculos'!$E$122)*'Cálculos'!$E$244+'Cálculos'!$E$125*(1+2.78*('Cálculos'!$E$198+(($C158)-$A$120:$A$165)*'Cálculos'!$E$98)/(('Cálculos'!$E$198+(($C158)-$A$120:$A$165)*'Cálculos'!$E$98)+1400)+'Cálculos'!$E$123)*'Cálculos'!$E$249)+('Cálculos'!$E$198+(($C158)-$A$120:$A$165)*'Cálculos'!$E$98)*('Cálculos'!$E$240+'Cálculos'!$E$124*(1+2.78*('Cálculos'!$E$198+(($C158)-$A$120:$A$165)*'Cálculos'!$E$98)/(('Cálculos'!$E$198+(($C158)-$A$120:$A$165)*'Cálculos'!$E$98)+1400)+'Cálculos'!$E$122)*'Cálculos'!$E$245+'Cálculos'!$E$125*(1+2.78*('Cálculos'!$E$198+(($C158)-$A$120:$A$165)*'Cálculos'!$E$98)/(('Cálculos'!$E$198+(($C158)-$A$120:$A$165)*'Cálculos'!$E$98)+1400)+'Cálculos'!$E$123)*'Cálculos'!$E$250)+('Cálculos'!$E$201*(1+'Cálculos'!$E$202+$A$120:$A$165*('Cálculos'!$E$290=2)*'Cálculos'!$E$101)+'Cálculos'!$E$203)*('Cálculos'!$E$241+'Cálculos'!$E$124*(1+2.78*('Cálculos'!$E$198+(($C158)-$A$120:$A$165)*'Cálculos'!$E$98)/(('Cálculos'!$E$198+(($C158)-$A$120:$A$165)*'Cálculos'!$E$98)+1400)+'Cálculos'!$E$122)*'Cálculos'!$E$246+'Cálculos'!$E$125*(1+2.78*('Cálculos'!$E$198+(($C158)-$A$120:$A$165)*'Cálculos'!$E$98)/(('Cálculos'!$E$198+(($C158)-$A$120:$A$165)*'Cálculos'!$E$98)+1400)+'Cálculos'!$E$123)*'Cálculos'!$E$251)+('Cálculos'!$E$204*(1+'Cálculos'!$E$205+$A$120:$A$165*('Cálculos'!$E$290=3)*'Cálculos'!$E$103)+'Cálculos'!$E$206)*('Cálculos'!$E$242+'Cálculos'!$E$124*(1+2.78*('Cálculos'!$E$198+(($C158)-$A$120:$A$165)*'Cálculos'!$E$98)/(('Cálculos'!$E$198+(($C158)-$A$120:$A$165)*'Cálculos'!$E$98)+1400)+'Cálculos'!$E$122)*'Cálculos'!$E$247+'Cálculos'!$E$125*(1+2.78*('Cálculos'!$E$198+(($C158)-$A$120:$A$165)*'Cálculos'!$E$98)/(('Cálculos'!$E$198+(($C158)-$A$120:$A$165)*'Cálculos'!$E$98)+1400)+'Cálculos'!$E$123)*'Cálculos'!$E$252)+('Cálculos'!$E$243+'Cálculos'!$E$124*(1+2.78*('Cálculos'!$E$198+(($C158)-$A$120:$A$165)*'Cálculos'!$E$98)/(('Cálculos'!$E$198+(($C158)-$A$120:$A$165)*'Cálculos'!$E$98)+1400)+'Cálculos'!$E$122)*'Cálculos'!$E$248+'Cálculos'!$E$125*(1+2.78*('Cálculos'!$E$198+(($C158)-$A$120:$A$165)*'Cálculos'!$E$98)/(('Cálculos'!$E$198+(($C158)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158)-$A$120:$A$165)*'Cálculos'!$E$98)/(('Cálculos'!$E$199+(($C158)-$A$120:$A$165)*'Cálculos'!$E$98)+1400)+'Cálculos'!$E$122)*'Cálculos'!$E$259+'Cálculos'!$E$125*(1+2.78*('Cálculos'!$E$199+(($C158)-$A$120:$A$165)*'Cálculos'!$E$98)/(('Cálculos'!$E$199+(($C158)-$A$120:$A$165)*'Cálculos'!$E$98)+1400)+'Cálculos'!$E$123)*'Cálculos'!$E$264)+('Cálculos'!$E$199+(($C158)-$A$120:$A$165)*'Cálculos'!$E$98)*('Cálculos'!$E$255+'Cálculos'!$E$124*(1+2.78*('Cálculos'!$E$199+(($C158)-$A$120:$A$165)*'Cálculos'!$E$98)/(('Cálculos'!$E$199+(($C158)-$A$120:$A$165)*'Cálculos'!$E$98)+1400)+'Cálculos'!$E$122)*'Cálculos'!$E$260+'Cálculos'!$E$125*(1+2.78*('Cálculos'!$E$199+(($C158)-$A$120:$A$165)*'Cálculos'!$E$98)/(('Cálculos'!$E$199+(($C158)-$A$120:$A$165)*'Cálculos'!$E$98)+1400)+'Cálculos'!$E$123)*'Cálculos'!$E$265)+('Cálculos'!$E$201*(1+'Cálculos'!$E$202+$A$120:$A$165*('Cálculos'!$E$290=2)*'Cálculos'!$E$101)+'Cálculos'!$E$203)*('Cálculos'!$E$256+'Cálculos'!$E$124*(1+2.78*('Cálculos'!$E$199+(($C158)-$A$120:$A$165)*'Cálculos'!$E$98)/(('Cálculos'!$E$199+(($C158)-$A$120:$A$165)*'Cálculos'!$E$98)+1400)+'Cálculos'!$E$122)*'Cálculos'!$E$261+'Cálculos'!$E$125*(1+2.78*('Cálculos'!$E$199+(($C158)-$A$120:$A$165)*'Cálculos'!$E$98)/(('Cálculos'!$E$199+(($C158)-$A$120:$A$165)*'Cálculos'!$E$98)+1400)+'Cálculos'!$E$123)*'Cálculos'!$E$266)+('Cálculos'!$E$204*(1+'Cálculos'!$E$205+$A$120:$A$165*('Cálculos'!$E$290=3)*'Cálculos'!$E$103)+'Cálculos'!$E$206)*('Cálculos'!$E$257+'Cálculos'!$E$124*(1+2.78*('Cálculos'!$E$199+(($C158)-$A$120:$A$165)*'Cálculos'!$E$98)/(('Cálculos'!$E$199+(($C158)-$A$120:$A$165)*'Cálculos'!$E$98)+1400)+'Cálculos'!$E$122)*'Cálculos'!$E$262+'Cálculos'!$E$125*(1+2.78*('Cálculos'!$E$199+(($C158)-$A$120:$A$165)*'Cálculos'!$E$98)/(('Cálculos'!$E$199+(($C158)-$A$120:$A$165)*'Cálculos'!$E$98)+1400)+'Cálculos'!$E$123)*'Cálculos'!$E$267)+('Cálculos'!$E$258+'Cálculos'!$E$124*(1+2.78*('Cálculos'!$E$199+(($C158)-$A$120:$A$165)*'Cálculos'!$E$98)/(('Cálculos'!$E$199+(($C158)-$A$120:$A$165)*'Cálculos'!$E$98)+1400)+'Cálculos'!$E$122)*'Cálculos'!$E$263+'Cálculos'!$E$125*(1+2.78*('Cálculos'!$E$199+(($C158)-$A$120:$A$165)*'Cálculos'!$E$98)/(('Cálculos'!$E$199+(($C158)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158)-$A$120:$A$165)*'Cálculos'!$E$98)/(('Cálculos'!$E$200+(($C158)-$A$120:$A$165)*'Cálculos'!$E$98)+1400)+'Cálculos'!$E$122)*'Cálculos'!$E$274+'Cálculos'!$E$125*(1+2.78*('Cálculos'!$E$200+(($C158)-$A$120:$A$165)*'Cálculos'!$E$98)/(('Cálculos'!$E$200+(($C158)-$A$120:$A$165)*'Cálculos'!$E$98)+1400)+'Cálculos'!$E$123)*'Cálculos'!$E$279)+('Cálculos'!$E$200+(($C158)-$A$120:$A$165)*'Cálculos'!$E$98)*('Cálculos'!$E$270+'Cálculos'!$E$124*(1+2.78*('Cálculos'!$E$200+(($C158)-$A$120:$A$165)*'Cálculos'!$E$98)/(('Cálculos'!$E$200+(($C158)-$A$120:$A$165)*'Cálculos'!$E$98)+1400)+'Cálculos'!$E$122)*'Cálculos'!$E$275+'Cálculos'!$E$125*(1+2.78*('Cálculos'!$E$200+(($C158)-$A$120:$A$165)*'Cálculos'!$E$98)/(('Cálculos'!$E$200+(($C158)-$A$120:$A$165)*'Cálculos'!$E$98)+1400)+'Cálculos'!$E$123)*'Cálculos'!$E$280)+('Cálculos'!$E$201*(1+'Cálculos'!$E$202+$A$120:$A$165*('Cálculos'!$E$290=2)*'Cálculos'!$E$101)+'Cálculos'!$E$203)*('Cálculos'!$E$271+'Cálculos'!$E$124*(1+2.78*('Cálculos'!$E$200+(($C158)-$A$120:$A$165)*'Cálculos'!$E$98)/(('Cálculos'!$E$200+(($C158)-$A$120:$A$165)*'Cálculos'!$E$98)+1400)+'Cálculos'!$E$122)*'Cálculos'!$E$276+'Cálculos'!$E$125*(1+2.78*('Cálculos'!$E$200+(($C158)-$A$120:$A$165)*'Cálculos'!$E$98)/(('Cálculos'!$E$200+(($C158)-$A$120:$A$165)*'Cálculos'!$E$98)+1400)+'Cálculos'!$E$123)*'Cálculos'!$E$281)+('Cálculos'!$E$204*(1+'Cálculos'!$E$205+$A$120:$A$165*('Cálculos'!$E$290=3)*'Cálculos'!$E$103)+'Cálculos'!$E$206)*('Cálculos'!$E$272+'Cálculos'!$E$124*(1+2.78*('Cálculos'!$E$200+(($C158)-$A$120:$A$165)*'Cálculos'!$E$98)/(('Cálculos'!$E$200+(($C158)-$A$120:$A$165)*'Cálculos'!$E$98)+1400)+'Cálculos'!$E$122)*'Cálculos'!$E$277+'Cálculos'!$E$125*(1+2.78*('Cálculos'!$E$200+(($C158)-$A$120:$A$165)*'Cálculos'!$E$98)/(('Cálculos'!$E$200+(($C158)-$A$120:$A$165)*'Cálculos'!$E$98)+1400)+'Cálculos'!$E$123)*'Cálculos'!$E$282)+('Cálculos'!$E$273+'Cálculos'!$E$124*(1+2.78*('Cálculos'!$E$200+(($C158)-$A$120:$A$165)*'Cálculos'!$E$98)/(('Cálculos'!$E$200+(($C158)-$A$120:$A$165)*'Cálculos'!$E$98)+1400)+'Cálculos'!$E$122)*'Cálculos'!$E$278+'Cálculos'!$E$125*(1+2.78*('Cálculos'!$E$200+(($C158)-$A$120:$A$165)*'Cálculos'!$E$98)/(('Cálculos'!$E$200+(($C158)-$A$120:$A$165)*'Cálculos'!$E$98)+1400)+'Cálculos'!$E$123)*'Cálculos'!$E$283)))))</f>
        <v>0</v>
      </c>
      <c r="E158" s="32">
        <f>IF(OR($C158&lt;0,'Cálculos'!$E$6=""),0,$B158*$D158)</f>
        <v>0</v>
      </c>
      <c r="F158" s="2"/>
      <c r="G158" s="30">
        <f>($A158&lt;=$B$167)*($A158&lt;='Cálculos'!$E$294)*(($B$167)-$A158&lt;='Cálculos'!$E$295)*(1+MIN(('Cálculos'!$E$207+$A158*'Cálculos'!$E$95),1)*('Cálculos'!$E$208+(($B$167)-$A158)*'Cálculos'!$E$96))</f>
        <v>0</v>
      </c>
      <c r="H158" s="31">
        <f>IF($B$168&lt;0,0,($A158&lt;=$B$168)*($A158&lt;='Cálculos'!$E$301)*(($B$168)-$A158&lt;='Cálculos'!$E$297)*(('Cálculos'!$E$185*(1+'Cálculos'!$E$186+$A158*('Cálculos'!$E$290=1)*'Cálculos'!$E$97+'Cálculos'!$E$305)+'Cálculos'!$E$191)*('Cálculos'!$E$209+'Cálculos'!$E$124*(1+2.78*('Cálculos'!$E$196+(($B$168)-$A158)*'Cálculos'!$E$98)/(('Cálculos'!$E$196+(($B$168)-$A158)*'Cálculos'!$E$98)+1400)+'Cálculos'!$E$122)*'Cálculos'!$E$214+'Cálculos'!$E$125*(1+2.78*('Cálculos'!$E$196+(($B$168)-$A158)*'Cálculos'!$E$98)/(('Cálculos'!$E$196+(($B$168)-$A158)*'Cálculos'!$E$98)+1400)+'Cálculos'!$E$123)*'Cálculos'!$E$219)+('Cálculos'!$E$196+(($B$168)-$A158)*'Cálculos'!$E$98)*('Cálculos'!$E$210+'Cálculos'!$E$124*(1+2.78*('Cálculos'!$E$196+(($B$168)-$A158)*'Cálculos'!$E$98)/(('Cálculos'!$E$196+(($B$168)-$A158)*'Cálculos'!$E$98)+1400)+'Cálculos'!$E$122)*'Cálculos'!$E$215+'Cálculos'!$E$125*(1+2.78*('Cálculos'!$E$196+(($B$168)-$A158)*'Cálculos'!$E$98)/(('Cálculos'!$E$196+(($B$168)-$A158)*'Cálculos'!$E$98)+1400)+'Cálculos'!$E$123)*'Cálculos'!$E$220)+('Cálculos'!$E$201*(1+'Cálculos'!$E$202+$A158*('Cálculos'!$E$290=2)*'Cálculos'!$E$101)+'Cálculos'!$E$203)*('Cálculos'!$E$211+'Cálculos'!$E$124*(1+2.78*('Cálculos'!$E$196+(($B$168)-$A158)*'Cálculos'!$E$98)/(('Cálculos'!$E$196+(($B$168)-$A158)*'Cálculos'!$E$98)+1400)+'Cálculos'!$E$122)*'Cálculos'!$E$216+'Cálculos'!$E$125*(1+2.78*('Cálculos'!$E$196+(($B$168)-$A158)*'Cálculos'!$E$98)/(('Cálculos'!$E$196+(($B$168)-$A158)*'Cálculos'!$E$98)+1400)+'Cálculos'!$E$123)*'Cálculos'!$E$221)+('Cálculos'!$E$204*(1+'Cálculos'!$E$205+$A158*('Cálculos'!$E$290=3)*'Cálculos'!$E$103)+'Cálculos'!$E$206)*('Cálculos'!$E$212+'Cálculos'!$E$124*(1+2.78*('Cálculos'!$E$196+(($B$168)-$A158)*'Cálculos'!$E$98)/(('Cálculos'!$E$196+(($B$168)-$A158)*'Cálculos'!$E$98)+1400)+'Cálculos'!$E$122)*'Cálculos'!$E$217+'Cálculos'!$E$125*(1+2.78*('Cálculos'!$E$196+(($B$168)-$A158)*'Cálculos'!$E$98)/(('Cálculos'!$E$196+(($B$168)-$A158)*'Cálculos'!$E$98)+1400)+'Cálculos'!$E$123)*'Cálculos'!$E$222)+('Cálculos'!$E$213+'Cálculos'!$E$124*(1+2.78*('Cálculos'!$E$196+(($B$168)-$A158)*'Cálculos'!$E$98)/(('Cálculos'!$E$196+(($B$168)-$A158)*'Cálculos'!$E$98)+1400)+'Cálculos'!$E$122)*'Cálculos'!$E$218+'Cálculos'!$E$125*(1+2.78*('Cálculos'!$E$196+(($B$168)-$A158)*'Cálculos'!$E$98)/(('Cálculos'!$E$196+(($B$168)-$A158)*'Cálculos'!$E$98)+1400)+'Cálculos'!$E$123)*'Cálculos'!$E$223)+('Cálculos'!$E$185*(1+'Cálculos'!$E$187+$A158*('Cálculos'!$E$290=1)*'Cálculos'!$E$97+'Cálculos'!$E$305)+'Cálculos'!$E$192)*('Cálculos'!$E$224+'Cálculos'!$E$124*(1+2.78*('Cálculos'!$E$197+(($B$168)-$A158)*'Cálculos'!$E$98)/(('Cálculos'!$E$197+(($B$168)-$A158)*'Cálculos'!$E$98)+1400)+'Cálculos'!$E$122)*'Cálculos'!$E$229+'Cálculos'!$E$125*(1+2.78*('Cálculos'!$E$197+(($B$168)-$A158)*'Cálculos'!$E$98)/(('Cálculos'!$E$197+(($B$168)-$A158)*'Cálculos'!$E$98)+1400)+'Cálculos'!$E$123)*'Cálculos'!$E$234)+('Cálculos'!$E$197+(($B$168)-$A158)*'Cálculos'!$E$98)*('Cálculos'!$E$225+'Cálculos'!$E$124*(1+2.78*('Cálculos'!$E$197+(($B$168)-$A158)*'Cálculos'!$E$98)/(('Cálculos'!$E$197+(($B$168)-$A158)*'Cálculos'!$E$98)+1400)+'Cálculos'!$E$122)*'Cálculos'!$E$230+'Cálculos'!$E$125*(1+2.78*('Cálculos'!$E$197+(($B$168)-$A158)*'Cálculos'!$E$98)/(('Cálculos'!$E$197+(($B$168)-$A158)*'Cálculos'!$E$98)+1400)+'Cálculos'!$E$123)*'Cálculos'!$E$235)+('Cálculos'!$E$201*(1+'Cálculos'!$E$202+$A158*('Cálculos'!$E$290=2)*'Cálculos'!$E$101)+'Cálculos'!$E$203)*('Cálculos'!$E$226+'Cálculos'!$E$124*(1+2.78*('Cálculos'!$E$197+(($B$168)-$A158)*'Cálculos'!$E$98)/(('Cálculos'!$E$197+(($B$168)-$A158)*'Cálculos'!$E$98)+1400)+'Cálculos'!$E$122)*'Cálculos'!$E$231+'Cálculos'!$E$125*(1+2.78*('Cálculos'!$E$197+(($B$168)-$A158)*'Cálculos'!$E$98)/(('Cálculos'!$E$197+(($B$168)-$A158)*'Cálculos'!$E$98)+1400)+'Cálculos'!$E$123)*'Cálculos'!$E$236)+('Cálculos'!$E$204*(1+'Cálculos'!$E$205+$A158*('Cálculos'!$E$290=3)*'Cálculos'!$E$103)+'Cálculos'!$E$206)*('Cálculos'!$E$227+'Cálculos'!$E$124*(1+2.78*('Cálculos'!$E$197+(($B$168)-$A158)*'Cálculos'!$E$98)/(('Cálculos'!$E$197+(($B$168)-$A158)*'Cálculos'!$E$98)+1400)+'Cálculos'!$E$122)*'Cálculos'!$E$232+'Cálculos'!$E$125*(1+2.78*('Cálculos'!$E$197+(($B$168)-$A158)*'Cálculos'!$E$98)/(('Cálculos'!$E$197+(($B$168)-$A158)*'Cálculos'!$E$98)+1400)+'Cálculos'!$E$123)*'Cálculos'!$E$237)+('Cálculos'!$E$228+'Cálculos'!$E$124*(1+2.78*('Cálculos'!$E$197+(($B$168)-$A158)*'Cálculos'!$E$98)/(('Cálculos'!$E$197+(($B$168)-$A158)*'Cálculos'!$E$98)+1400)+'Cálculos'!$E$122)*'Cálculos'!$E$233+'Cálculos'!$E$125*(1+2.78*('Cálculos'!$E$197+(($B$168)-$A158)*'Cálculos'!$E$98)/(('Cálculos'!$E$197+(($B$168)-$A158)*'Cálculos'!$E$98)+1400)+'Cálculos'!$E$123)*'Cálculos'!$E$238)+('Cálculos'!$E$185*(1+'Cálculos'!$E$188+$A158*('Cálculos'!$E$290=1)*'Cálculos'!$E$97+'Cálculos'!$E$305)+'Cálculos'!$E$193)*('Cálculos'!$E$239+'Cálculos'!$E$124*(1+2.78*('Cálculos'!$E$198+(($B$168)-$A158)*'Cálculos'!$E$98)/(('Cálculos'!$E$198+(($B$168)-$A158)*'Cálculos'!$E$98)+1400)+'Cálculos'!$E$122)*'Cálculos'!$E$244+'Cálculos'!$E$125*(1+2.78*('Cálculos'!$E$198+(($B$168)-$A158)*'Cálculos'!$E$98)/(('Cálculos'!$E$198+(($B$168)-$A158)*'Cálculos'!$E$98)+1400)+'Cálculos'!$E$123)*'Cálculos'!$E$249)+('Cálculos'!$E$198+(($B$168)-$A158)*'Cálculos'!$E$98)*('Cálculos'!$E$240+'Cálculos'!$E$124*(1+2.78*('Cálculos'!$E$198+(($B$168)-$A158)*'Cálculos'!$E$98)/(('Cálculos'!$E$198+(($B$168)-$A158)*'Cálculos'!$E$98)+1400)+'Cálculos'!$E$122)*'Cálculos'!$E$245+'Cálculos'!$E$125*(1+2.78*('Cálculos'!$E$198+(($B$168)-$A158)*'Cálculos'!$E$98)/(('Cálculos'!$E$198+(($B$168)-$A158)*'Cálculos'!$E$98)+1400)+'Cálculos'!$E$123)*'Cálculos'!$E$250)+('Cálculos'!$E$201*(1+'Cálculos'!$E$202+$A158*('Cálculos'!$E$290=2)*'Cálculos'!$E$101)+'Cálculos'!$E$203)*('Cálculos'!$E$241+'Cálculos'!$E$124*(1+2.78*('Cálculos'!$E$198+(($B$168)-$A158)*'Cálculos'!$E$98)/(('Cálculos'!$E$198+(($B$168)-$A158)*'Cálculos'!$E$98)+1400)+'Cálculos'!$E$122)*'Cálculos'!$E$246+'Cálculos'!$E$125*(1+2.78*('Cálculos'!$E$198+(($B$168)-$A158)*'Cálculos'!$E$98)/(('Cálculos'!$E$198+(($B$168)-$A158)*'Cálculos'!$E$98)+1400)+'Cálculos'!$E$123)*'Cálculos'!$E$251)+('Cálculos'!$E$204*(1+'Cálculos'!$E$205+$A158*('Cálculos'!$E$290=3)*'Cálculos'!$E$103)+'Cálculos'!$E$206)*('Cálculos'!$E$242+'Cálculos'!$E$124*(1+2.78*('Cálculos'!$E$198+(($B$168)-$A158)*'Cálculos'!$E$98)/(('Cálculos'!$E$198+(($B$168)-$A158)*'Cálculos'!$E$98)+1400)+'Cálculos'!$E$122)*'Cálculos'!$E$247+'Cálculos'!$E$125*(1+2.78*('Cálculos'!$E$198+(($B$168)-$A158)*'Cálculos'!$E$98)/(('Cálculos'!$E$198+(($B$168)-$A158)*'Cálculos'!$E$98)+1400)+'Cálculos'!$E$123)*'Cálculos'!$E$252)+('Cálculos'!$E$243+'Cálculos'!$E$124*(1+2.78*('Cálculos'!$E$198+(($B$168)-$A158)*'Cálculos'!$E$98)/(('Cálculos'!$E$198+(($B$168)-$A158)*'Cálculos'!$E$98)+1400)+'Cálculos'!$E$122)*'Cálculos'!$E$248+'Cálculos'!$E$125*(1+2.78*('Cálculos'!$E$198+(($B$168)-$A158)*'Cálculos'!$E$98)/(('Cálculos'!$E$198+(($B$168)-$A158)*'Cálculos'!$E$98)+1400)+'Cálculos'!$E$123)*'Cálculos'!$E$253)+('Cálculos'!$E$185*(1+'Cálculos'!$E$189+$A158*('Cálculos'!$E$290=1)*'Cálculos'!$E$97+'Cálculos'!$E$305)+'Cálculos'!$E$194)*('Cálculos'!$E$254+'Cálculos'!$E$124*(1+2.78*('Cálculos'!$E$199+(($B$168)-$A158)*'Cálculos'!$E$98)/(('Cálculos'!$E$199+(($B$168)-$A158)*'Cálculos'!$E$98)+1400)+'Cálculos'!$E$122)*'Cálculos'!$E$259+'Cálculos'!$E$125*(1+2.78*('Cálculos'!$E$199+(($B$168)-$A158)*'Cálculos'!$E$98)/(('Cálculos'!$E$199+(($B$168)-$A158)*'Cálculos'!$E$98)+1400)+'Cálculos'!$E$123)*'Cálculos'!$E$264)+('Cálculos'!$E$199+(($B$168)-$A158)*'Cálculos'!$E$98)*('Cálculos'!$E$255+'Cálculos'!$E$124*(1+2.78*('Cálculos'!$E$199+(($B$168)-$A158)*'Cálculos'!$E$98)/(('Cálculos'!$E$199+(($B$168)-$A158)*'Cálculos'!$E$98)+1400)+'Cálculos'!$E$122)*'Cálculos'!$E$260+'Cálculos'!$E$125*(1+2.78*('Cálculos'!$E$199+(($B$168)-$A158)*'Cálculos'!$E$98)/(('Cálculos'!$E$199+(($B$168)-$A158)*'Cálculos'!$E$98)+1400)+'Cálculos'!$E$123)*'Cálculos'!$E$265)+('Cálculos'!$E$201*(1+'Cálculos'!$E$202+$A158*('Cálculos'!$E$290=2)*'Cálculos'!$E$101)+'Cálculos'!$E$203)*('Cálculos'!$E$256+'Cálculos'!$E$124*(1+2.78*('Cálculos'!$E$199+(($B$168)-$A158)*'Cálculos'!$E$98)/(('Cálculos'!$E$199+(($B$168)-$A158)*'Cálculos'!$E$98)+1400)+'Cálculos'!$E$122)*'Cálculos'!$E$261+'Cálculos'!$E$125*(1+2.78*('Cálculos'!$E$199+(($B$168)-$A158)*'Cálculos'!$E$98)/(('Cálculos'!$E$199+(($B$168)-$A158)*'Cálculos'!$E$98)+1400)+'Cálculos'!$E$123)*'Cálculos'!$E$266)+('Cálculos'!$E$204*(1+'Cálculos'!$E$205+$A158*('Cálculos'!$E$290=3)*'Cálculos'!$E$103)+'Cálculos'!$E$206)*('Cálculos'!$E$257+'Cálculos'!$E$124*(1+2.78*('Cálculos'!$E$199+(($B$168)-$A158)*'Cálculos'!$E$98)/(('Cálculos'!$E$199+(($B$168)-$A158)*'Cálculos'!$E$98)+1400)+'Cálculos'!$E$122)*'Cálculos'!$E$262+'Cálculos'!$E$125*(1+2.78*('Cálculos'!$E$199+(($B$168)-$A158)*'Cálculos'!$E$98)/(('Cálculos'!$E$199+(($B$168)-$A158)*'Cálculos'!$E$98)+1400)+'Cálculos'!$E$123)*'Cálculos'!$E$267)+('Cálculos'!$E$258+'Cálculos'!$E$124*(1+2.78*('Cálculos'!$E$199+(($B$168)-$A158)*'Cálculos'!$E$98)/(('Cálculos'!$E$199+(($B$168)-$A158)*'Cálculos'!$E$98)+1400)+'Cálculos'!$E$122)*'Cálculos'!$E$263+'Cálculos'!$E$125*(1+2.78*('Cálculos'!$E$199+(($B$168)-$A158)*'Cálculos'!$E$98)/(('Cálculos'!$E$199+(($B$168)-$A158)*'Cálculos'!$E$98)+1400)+'Cálculos'!$E$123)*'Cálculos'!$E$268)+('Cálculos'!$E$185*(1+'Cálculos'!$E$190+$A158*('Cálculos'!$E$290=1)*'Cálculos'!$E$97+'Cálculos'!$E$305)+'Cálculos'!$E$195)*('Cálculos'!$E$269+'Cálculos'!$E$124*(1+2.78*('Cálculos'!$E$200+(($B$168)-$A158)*'Cálculos'!$E$98)/(('Cálculos'!$E$200+(($B$168)-$A158)*'Cálculos'!$E$98)+1400)+'Cálculos'!$E$122)*'Cálculos'!$E$274+'Cálculos'!$E$125*(1+2.78*('Cálculos'!$E$200+(($B$168)-$A158)*'Cálculos'!$E$98)/(('Cálculos'!$E$200+(($B$168)-$A158)*'Cálculos'!$E$98)+1400)+'Cálculos'!$E$123)*'Cálculos'!$E$279)+('Cálculos'!$E$200+(($B$168)-$A158)*'Cálculos'!$E$98)*('Cálculos'!$E$270+'Cálculos'!$E$124*(1+2.78*('Cálculos'!$E$200+(($B$168)-$A158)*'Cálculos'!$E$98)/(('Cálculos'!$E$200+(($B$168)-$A158)*'Cálculos'!$E$98)+1400)+'Cálculos'!$E$122)*'Cálculos'!$E$275+'Cálculos'!$E$125*(1+2.78*('Cálculos'!$E$200+(($B$168)-$A158)*'Cálculos'!$E$98)/(('Cálculos'!$E$200+(($B$168)-$A158)*'Cálculos'!$E$98)+1400)+'Cálculos'!$E$123)*'Cálculos'!$E$280)+('Cálculos'!$E$201*(1+'Cálculos'!$E$202+$A158*('Cálculos'!$E$290=2)*'Cálculos'!$E$101)+'Cálculos'!$E$203)*('Cálculos'!$E$271+'Cálculos'!$E$124*(1+2.78*('Cálculos'!$E$200+(($B$168)-$A158)*'Cálculos'!$E$98)/(('Cálculos'!$E$200+(($B$168)-$A158)*'Cálculos'!$E$98)+1400)+'Cálculos'!$E$122)*'Cálculos'!$E$276+'Cálculos'!$E$125*(1+2.78*('Cálculos'!$E$200+(($B$168)-$A158)*'Cálculos'!$E$98)/(('Cálculos'!$E$200+(($B$168)-$A158)*'Cálculos'!$E$98)+1400)+'Cálculos'!$E$123)*'Cálculos'!$E$281)+('Cálculos'!$E$204*(1+'Cálculos'!$E$205+$A158*('Cálculos'!$E$290=3)*'Cálculos'!$E$103)+'Cálculos'!$E$206)*('Cálculos'!$E$272+'Cálculos'!$E$124*(1+2.78*('Cálculos'!$E$200+(($B$168)-$A158)*'Cálculos'!$E$98)/(('Cálculos'!$E$200+(($B$168)-$A158)*'Cálculos'!$E$98)+1400)+'Cálculos'!$E$122)*'Cálculos'!$E$277+'Cálculos'!$E$125*(1+2.78*('Cálculos'!$E$200+(($B$168)-$A158)*'Cálculos'!$E$98)/(('Cálculos'!$E$200+(($B$168)-$A158)*'Cálculos'!$E$98)+1400)+'Cálculos'!$E$123)*'Cálculos'!$E$282)+('Cálculos'!$E$273+'Cálculos'!$E$124*(1+2.78*('Cálculos'!$E$200+(($B$168)-$A158)*'Cálculos'!$E$98)/(('Cálculos'!$E$200+(($B$168)-$A158)*'Cálculos'!$E$98)+1400)+'Cálculos'!$E$122)*'Cálculos'!$E$278+'Cálculos'!$E$125*(1+2.78*('Cálculos'!$E$200+(($B$168)-$A158)*'Cálculos'!$E$98)/(('Cálculos'!$E$200+(($B$168)-$A158)*'Cálculos'!$E$98)+1400)+'Cálculos'!$E$123)*'Cálculos'!$E$283)))</f>
        <v>0</v>
      </c>
    </row>
    <row r="159" ht="15.75" customHeight="1">
      <c r="A159" s="2">
        <v>39.0</v>
      </c>
      <c r="B159" s="30">
        <f>SUMPRODUCT(MAX(($A$120:$A$165&lt;=$A159)*($A$120:$A$165&lt;='Cálculos'!$E$294)*(($A159)-$A$120:$A$165&lt;='Cálculos'!$E$295)*(1+(('Cálculos'!$E$207+$A$120:$A$165*'Cálculos'!$E$95)-(('Cálculos'!$E$207+$A$120:$A$165*'Cálculos'!$E$95)&gt;1)*(('Cálculos'!$E$207+$A$120:$A$165*'Cálculos'!$E$95)-1))*('Cálculos'!$E$208+(($A159)-$A$120:$A$165)*'Cálculos'!$E$96))))</f>
        <v>3.058992</v>
      </c>
      <c r="C159" s="2">
        <f>'Cálculos'!$E$303-$A159</f>
        <v>-26</v>
      </c>
      <c r="D159" s="31">
        <f>IF($C159&lt;0,0,SUMPRODUCT(MAX(($A$120:$A$165&lt;=$C159)*($A$120:$A$165&lt;='Cálculos'!$E$301)*(($C159)-$A$120:$A$165&lt;='Cálculos'!$E$297)*(('Cálculos'!$E$185*(1+'Cálculos'!$E$186+$A$120:$A$165*('Cálculos'!$E$290=1)*'Cálculos'!$E$97+'Cálculos'!$E$305)+'Cálculos'!$E$191)*('Cálculos'!$E$209+'Cálculos'!$E$124*(1+2.78*('Cálculos'!$E$196+(($C159)-$A$120:$A$165)*'Cálculos'!$E$98)/(('Cálculos'!$E$196+(($C159)-$A$120:$A$165)*'Cálculos'!$E$98)+1400)+'Cálculos'!$E$122)*'Cálculos'!$E$214+'Cálculos'!$E$125*(1+2.78*('Cálculos'!$E$196+(($C159)-$A$120:$A$165)*'Cálculos'!$E$98)/(('Cálculos'!$E$196+(($C159)-$A$120:$A$165)*'Cálculos'!$E$98)+1400)+'Cálculos'!$E$123)*'Cálculos'!$E$219)+('Cálculos'!$E$196+(($C159)-$A$120:$A$165)*'Cálculos'!$E$98)*('Cálculos'!$E$210+'Cálculos'!$E$124*(1+2.78*('Cálculos'!$E$196+(($C159)-$A$120:$A$165)*'Cálculos'!$E$98)/(('Cálculos'!$E$196+(($C159)-$A$120:$A$165)*'Cálculos'!$E$98)+1400)+'Cálculos'!$E$122)*'Cálculos'!$E$215+'Cálculos'!$E$125*(1+2.78*('Cálculos'!$E$196+(($C159)-$A$120:$A$165)*'Cálculos'!$E$98)/(('Cálculos'!$E$196+(($C159)-$A$120:$A$165)*'Cálculos'!$E$98)+1400)+'Cálculos'!$E$123)*'Cálculos'!$E$220)+('Cálculos'!$E$201*(1+'Cálculos'!$E$202+$A$120:$A$165*('Cálculos'!$E$290=2)*'Cálculos'!$E$101)+'Cálculos'!$E$203)*('Cálculos'!$E$211+'Cálculos'!$E$124*(1+2.78*('Cálculos'!$E$196+(($C159)-$A$120:$A$165)*'Cálculos'!$E$98)/(('Cálculos'!$E$196+(($C159)-$A$120:$A$165)*'Cálculos'!$E$98)+1400)+'Cálculos'!$E$122)*'Cálculos'!$E$216+'Cálculos'!$E$125*(1+2.78*('Cálculos'!$E$196+(($C159)-$A$120:$A$165)*'Cálculos'!$E$98)/(('Cálculos'!$E$196+(($C159)-$A$120:$A$165)*'Cálculos'!$E$98)+1400)+'Cálculos'!$E$123)*'Cálculos'!$E$221)+('Cálculos'!$E$204*(1+'Cálculos'!$E$205+$A$120:$A$165*('Cálculos'!$E$290=3)*'Cálculos'!$E$103)+'Cálculos'!$E$206)*('Cálculos'!$E$212+'Cálculos'!$E$124*(1+2.78*('Cálculos'!$E$196+(($C159)-$A$120:$A$165)*'Cálculos'!$E$98)/(('Cálculos'!$E$196+(($C159)-$A$120:$A$165)*'Cálculos'!$E$98)+1400)+'Cálculos'!$E$122)*'Cálculos'!$E$217+'Cálculos'!$E$125*(1+2.78*('Cálculos'!$E$196+(($C159)-$A$120:$A$165)*'Cálculos'!$E$98)/(('Cálculos'!$E$196+(($C159)-$A$120:$A$165)*'Cálculos'!$E$98)+1400)+'Cálculos'!$E$123)*'Cálculos'!$E$222)+('Cálculos'!$E$213+'Cálculos'!$E$124*(1+2.78*('Cálculos'!$E$196+(($C159)-$A$120:$A$165)*'Cálculos'!$E$98)/(('Cálculos'!$E$196+(($C159)-$A$120:$A$165)*'Cálculos'!$E$98)+1400)+'Cálculos'!$E$122)*'Cálculos'!$E$218+'Cálculos'!$E$125*(1+2.78*('Cálculos'!$E$196+(($C159)-$A$120:$A$165)*'Cálculos'!$E$98)/(('Cálculos'!$E$196+(($C159)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159)-$A$120:$A$165)*'Cálculos'!$E$98)/(('Cálculos'!$E$197+(($C159)-$A$120:$A$165)*'Cálculos'!$E$98)+1400)+'Cálculos'!$E$122)*'Cálculos'!$E$229+'Cálculos'!$E$125*(1+2.78*('Cálculos'!$E$197+(($C159)-$A$120:$A$165)*'Cálculos'!$E$98)/(('Cálculos'!$E$197+(($C159)-$A$120:$A$165)*'Cálculos'!$E$98)+1400)+'Cálculos'!$E$123)*'Cálculos'!$E$234)+('Cálculos'!$E$197+(($C159)-$A$120:$A$165)*'Cálculos'!$E$98)*('Cálculos'!$E$225+'Cálculos'!$E$124*(1+2.78*('Cálculos'!$E$197+(($C159)-$A$120:$A$165)*'Cálculos'!$E$98)/(('Cálculos'!$E$197+(($C159)-$A$120:$A$165)*'Cálculos'!$E$98)+1400)+'Cálculos'!$E$122)*'Cálculos'!$E$230+'Cálculos'!$E$125*(1+2.78*('Cálculos'!$E$197+(($C159)-$A$120:$A$165)*'Cálculos'!$E$98)/(('Cálculos'!$E$197+(($C159)-$A$120:$A$165)*'Cálculos'!$E$98)+1400)+'Cálculos'!$E$123)*'Cálculos'!$E$235)+('Cálculos'!$E$201*(1+'Cálculos'!$E$202+$A$120:$A$165*('Cálculos'!$E$290=2)*'Cálculos'!$E$101)+'Cálculos'!$E$203)*('Cálculos'!$E$226+'Cálculos'!$E$124*(1+2.78*('Cálculos'!$E$197+(($C159)-$A$120:$A$165)*'Cálculos'!$E$98)/(('Cálculos'!$E$197+(($C159)-$A$120:$A$165)*'Cálculos'!$E$98)+1400)+'Cálculos'!$E$122)*'Cálculos'!$E$231+'Cálculos'!$E$125*(1+2.78*('Cálculos'!$E$197+(($C159)-$A$120:$A$165)*'Cálculos'!$E$98)/(('Cálculos'!$E$197+(($C159)-$A$120:$A$165)*'Cálculos'!$E$98)+1400)+'Cálculos'!$E$123)*'Cálculos'!$E$236)+('Cálculos'!$E$204*(1+'Cálculos'!$E$205+$A$120:$A$165*('Cálculos'!$E$290=3)*'Cálculos'!$E$103)+'Cálculos'!$E$206)*('Cálculos'!$E$227+'Cálculos'!$E$124*(1+2.78*('Cálculos'!$E$197+(($C159)-$A$120:$A$165)*'Cálculos'!$E$98)/(('Cálculos'!$E$197+(($C159)-$A$120:$A$165)*'Cálculos'!$E$98)+1400)+'Cálculos'!$E$122)*'Cálculos'!$E$232+'Cálculos'!$E$125*(1+2.78*('Cálculos'!$E$197+(($C159)-$A$120:$A$165)*'Cálculos'!$E$98)/(('Cálculos'!$E$197+(($C159)-$A$120:$A$165)*'Cálculos'!$E$98)+1400)+'Cálculos'!$E$123)*'Cálculos'!$E$237)+('Cálculos'!$E$228+'Cálculos'!$E$124*(1+2.78*('Cálculos'!$E$197+(($C159)-$A$120:$A$165)*'Cálculos'!$E$98)/(('Cálculos'!$E$197+(($C159)-$A$120:$A$165)*'Cálculos'!$E$98)+1400)+'Cálculos'!$E$122)*'Cálculos'!$E$233+'Cálculos'!$E$125*(1+2.78*('Cálculos'!$E$197+(($C159)-$A$120:$A$165)*'Cálculos'!$E$98)/(('Cálculos'!$E$197+(($C159)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159)-$A$120:$A$165)*'Cálculos'!$E$98)/(('Cálculos'!$E$198+(($C159)-$A$120:$A$165)*'Cálculos'!$E$98)+1400)+'Cálculos'!$E$122)*'Cálculos'!$E$244+'Cálculos'!$E$125*(1+2.78*('Cálculos'!$E$198+(($C159)-$A$120:$A$165)*'Cálculos'!$E$98)/(('Cálculos'!$E$198+(($C159)-$A$120:$A$165)*'Cálculos'!$E$98)+1400)+'Cálculos'!$E$123)*'Cálculos'!$E$249)+('Cálculos'!$E$198+(($C159)-$A$120:$A$165)*'Cálculos'!$E$98)*('Cálculos'!$E$240+'Cálculos'!$E$124*(1+2.78*('Cálculos'!$E$198+(($C159)-$A$120:$A$165)*'Cálculos'!$E$98)/(('Cálculos'!$E$198+(($C159)-$A$120:$A$165)*'Cálculos'!$E$98)+1400)+'Cálculos'!$E$122)*'Cálculos'!$E$245+'Cálculos'!$E$125*(1+2.78*('Cálculos'!$E$198+(($C159)-$A$120:$A$165)*'Cálculos'!$E$98)/(('Cálculos'!$E$198+(($C159)-$A$120:$A$165)*'Cálculos'!$E$98)+1400)+'Cálculos'!$E$123)*'Cálculos'!$E$250)+('Cálculos'!$E$201*(1+'Cálculos'!$E$202+$A$120:$A$165*('Cálculos'!$E$290=2)*'Cálculos'!$E$101)+'Cálculos'!$E$203)*('Cálculos'!$E$241+'Cálculos'!$E$124*(1+2.78*('Cálculos'!$E$198+(($C159)-$A$120:$A$165)*'Cálculos'!$E$98)/(('Cálculos'!$E$198+(($C159)-$A$120:$A$165)*'Cálculos'!$E$98)+1400)+'Cálculos'!$E$122)*'Cálculos'!$E$246+'Cálculos'!$E$125*(1+2.78*('Cálculos'!$E$198+(($C159)-$A$120:$A$165)*'Cálculos'!$E$98)/(('Cálculos'!$E$198+(($C159)-$A$120:$A$165)*'Cálculos'!$E$98)+1400)+'Cálculos'!$E$123)*'Cálculos'!$E$251)+('Cálculos'!$E$204*(1+'Cálculos'!$E$205+$A$120:$A$165*('Cálculos'!$E$290=3)*'Cálculos'!$E$103)+'Cálculos'!$E$206)*('Cálculos'!$E$242+'Cálculos'!$E$124*(1+2.78*('Cálculos'!$E$198+(($C159)-$A$120:$A$165)*'Cálculos'!$E$98)/(('Cálculos'!$E$198+(($C159)-$A$120:$A$165)*'Cálculos'!$E$98)+1400)+'Cálculos'!$E$122)*'Cálculos'!$E$247+'Cálculos'!$E$125*(1+2.78*('Cálculos'!$E$198+(($C159)-$A$120:$A$165)*'Cálculos'!$E$98)/(('Cálculos'!$E$198+(($C159)-$A$120:$A$165)*'Cálculos'!$E$98)+1400)+'Cálculos'!$E$123)*'Cálculos'!$E$252)+('Cálculos'!$E$243+'Cálculos'!$E$124*(1+2.78*('Cálculos'!$E$198+(($C159)-$A$120:$A$165)*'Cálculos'!$E$98)/(('Cálculos'!$E$198+(($C159)-$A$120:$A$165)*'Cálculos'!$E$98)+1400)+'Cálculos'!$E$122)*'Cálculos'!$E$248+'Cálculos'!$E$125*(1+2.78*('Cálculos'!$E$198+(($C159)-$A$120:$A$165)*'Cálculos'!$E$98)/(('Cálculos'!$E$198+(($C159)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159)-$A$120:$A$165)*'Cálculos'!$E$98)/(('Cálculos'!$E$199+(($C159)-$A$120:$A$165)*'Cálculos'!$E$98)+1400)+'Cálculos'!$E$122)*'Cálculos'!$E$259+'Cálculos'!$E$125*(1+2.78*('Cálculos'!$E$199+(($C159)-$A$120:$A$165)*'Cálculos'!$E$98)/(('Cálculos'!$E$199+(($C159)-$A$120:$A$165)*'Cálculos'!$E$98)+1400)+'Cálculos'!$E$123)*'Cálculos'!$E$264)+('Cálculos'!$E$199+(($C159)-$A$120:$A$165)*'Cálculos'!$E$98)*('Cálculos'!$E$255+'Cálculos'!$E$124*(1+2.78*('Cálculos'!$E$199+(($C159)-$A$120:$A$165)*'Cálculos'!$E$98)/(('Cálculos'!$E$199+(($C159)-$A$120:$A$165)*'Cálculos'!$E$98)+1400)+'Cálculos'!$E$122)*'Cálculos'!$E$260+'Cálculos'!$E$125*(1+2.78*('Cálculos'!$E$199+(($C159)-$A$120:$A$165)*'Cálculos'!$E$98)/(('Cálculos'!$E$199+(($C159)-$A$120:$A$165)*'Cálculos'!$E$98)+1400)+'Cálculos'!$E$123)*'Cálculos'!$E$265)+('Cálculos'!$E$201*(1+'Cálculos'!$E$202+$A$120:$A$165*('Cálculos'!$E$290=2)*'Cálculos'!$E$101)+'Cálculos'!$E$203)*('Cálculos'!$E$256+'Cálculos'!$E$124*(1+2.78*('Cálculos'!$E$199+(($C159)-$A$120:$A$165)*'Cálculos'!$E$98)/(('Cálculos'!$E$199+(($C159)-$A$120:$A$165)*'Cálculos'!$E$98)+1400)+'Cálculos'!$E$122)*'Cálculos'!$E$261+'Cálculos'!$E$125*(1+2.78*('Cálculos'!$E$199+(($C159)-$A$120:$A$165)*'Cálculos'!$E$98)/(('Cálculos'!$E$199+(($C159)-$A$120:$A$165)*'Cálculos'!$E$98)+1400)+'Cálculos'!$E$123)*'Cálculos'!$E$266)+('Cálculos'!$E$204*(1+'Cálculos'!$E$205+$A$120:$A$165*('Cálculos'!$E$290=3)*'Cálculos'!$E$103)+'Cálculos'!$E$206)*('Cálculos'!$E$257+'Cálculos'!$E$124*(1+2.78*('Cálculos'!$E$199+(($C159)-$A$120:$A$165)*'Cálculos'!$E$98)/(('Cálculos'!$E$199+(($C159)-$A$120:$A$165)*'Cálculos'!$E$98)+1400)+'Cálculos'!$E$122)*'Cálculos'!$E$262+'Cálculos'!$E$125*(1+2.78*('Cálculos'!$E$199+(($C159)-$A$120:$A$165)*'Cálculos'!$E$98)/(('Cálculos'!$E$199+(($C159)-$A$120:$A$165)*'Cálculos'!$E$98)+1400)+'Cálculos'!$E$123)*'Cálculos'!$E$267)+('Cálculos'!$E$258+'Cálculos'!$E$124*(1+2.78*('Cálculos'!$E$199+(($C159)-$A$120:$A$165)*'Cálculos'!$E$98)/(('Cálculos'!$E$199+(($C159)-$A$120:$A$165)*'Cálculos'!$E$98)+1400)+'Cálculos'!$E$122)*'Cálculos'!$E$263+'Cálculos'!$E$125*(1+2.78*('Cálculos'!$E$199+(($C159)-$A$120:$A$165)*'Cálculos'!$E$98)/(('Cálculos'!$E$199+(($C159)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159)-$A$120:$A$165)*'Cálculos'!$E$98)/(('Cálculos'!$E$200+(($C159)-$A$120:$A$165)*'Cálculos'!$E$98)+1400)+'Cálculos'!$E$122)*'Cálculos'!$E$274+'Cálculos'!$E$125*(1+2.78*('Cálculos'!$E$200+(($C159)-$A$120:$A$165)*'Cálculos'!$E$98)/(('Cálculos'!$E$200+(($C159)-$A$120:$A$165)*'Cálculos'!$E$98)+1400)+'Cálculos'!$E$123)*'Cálculos'!$E$279)+('Cálculos'!$E$200+(($C159)-$A$120:$A$165)*'Cálculos'!$E$98)*('Cálculos'!$E$270+'Cálculos'!$E$124*(1+2.78*('Cálculos'!$E$200+(($C159)-$A$120:$A$165)*'Cálculos'!$E$98)/(('Cálculos'!$E$200+(($C159)-$A$120:$A$165)*'Cálculos'!$E$98)+1400)+'Cálculos'!$E$122)*'Cálculos'!$E$275+'Cálculos'!$E$125*(1+2.78*('Cálculos'!$E$200+(($C159)-$A$120:$A$165)*'Cálculos'!$E$98)/(('Cálculos'!$E$200+(($C159)-$A$120:$A$165)*'Cálculos'!$E$98)+1400)+'Cálculos'!$E$123)*'Cálculos'!$E$280)+('Cálculos'!$E$201*(1+'Cálculos'!$E$202+$A$120:$A$165*('Cálculos'!$E$290=2)*'Cálculos'!$E$101)+'Cálculos'!$E$203)*('Cálculos'!$E$271+'Cálculos'!$E$124*(1+2.78*('Cálculos'!$E$200+(($C159)-$A$120:$A$165)*'Cálculos'!$E$98)/(('Cálculos'!$E$200+(($C159)-$A$120:$A$165)*'Cálculos'!$E$98)+1400)+'Cálculos'!$E$122)*'Cálculos'!$E$276+'Cálculos'!$E$125*(1+2.78*('Cálculos'!$E$200+(($C159)-$A$120:$A$165)*'Cálculos'!$E$98)/(('Cálculos'!$E$200+(($C159)-$A$120:$A$165)*'Cálculos'!$E$98)+1400)+'Cálculos'!$E$123)*'Cálculos'!$E$281)+('Cálculos'!$E$204*(1+'Cálculos'!$E$205+$A$120:$A$165*('Cálculos'!$E$290=3)*'Cálculos'!$E$103)+'Cálculos'!$E$206)*('Cálculos'!$E$272+'Cálculos'!$E$124*(1+2.78*('Cálculos'!$E$200+(($C159)-$A$120:$A$165)*'Cálculos'!$E$98)/(('Cálculos'!$E$200+(($C159)-$A$120:$A$165)*'Cálculos'!$E$98)+1400)+'Cálculos'!$E$122)*'Cálculos'!$E$277+'Cálculos'!$E$125*(1+2.78*('Cálculos'!$E$200+(($C159)-$A$120:$A$165)*'Cálculos'!$E$98)/(('Cálculos'!$E$200+(($C159)-$A$120:$A$165)*'Cálculos'!$E$98)+1400)+'Cálculos'!$E$123)*'Cálculos'!$E$282)+('Cálculos'!$E$273+'Cálculos'!$E$124*(1+2.78*('Cálculos'!$E$200+(($C159)-$A$120:$A$165)*'Cálculos'!$E$98)/(('Cálculos'!$E$200+(($C159)-$A$120:$A$165)*'Cálculos'!$E$98)+1400)+'Cálculos'!$E$122)*'Cálculos'!$E$278+'Cálculos'!$E$125*(1+2.78*('Cálculos'!$E$200+(($C159)-$A$120:$A$165)*'Cálculos'!$E$98)/(('Cálculos'!$E$200+(($C159)-$A$120:$A$165)*'Cálculos'!$E$98)+1400)+'Cálculos'!$E$123)*'Cálculos'!$E$283)))))</f>
        <v>0</v>
      </c>
      <c r="E159" s="32">
        <f>IF(OR($C159&lt;0,'Cálculos'!$E$6=""),0,$B159*$D159)</f>
        <v>0</v>
      </c>
      <c r="F159" s="2"/>
      <c r="G159" s="30">
        <f>($A159&lt;=$B$167)*($A159&lt;='Cálculos'!$E$294)*(($B$167)-$A159&lt;='Cálculos'!$E$295)*(1+MIN(('Cálculos'!$E$207+$A159*'Cálculos'!$E$95),1)*('Cálculos'!$E$208+(($B$167)-$A159)*'Cálculos'!$E$96))</f>
        <v>0</v>
      </c>
      <c r="H159" s="31">
        <f>IF($B$168&lt;0,0,($A159&lt;=$B$168)*($A159&lt;='Cálculos'!$E$301)*(($B$168)-$A159&lt;='Cálculos'!$E$297)*(('Cálculos'!$E$185*(1+'Cálculos'!$E$186+$A159*('Cálculos'!$E$290=1)*'Cálculos'!$E$97+'Cálculos'!$E$305)+'Cálculos'!$E$191)*('Cálculos'!$E$209+'Cálculos'!$E$124*(1+2.78*('Cálculos'!$E$196+(($B$168)-$A159)*'Cálculos'!$E$98)/(('Cálculos'!$E$196+(($B$168)-$A159)*'Cálculos'!$E$98)+1400)+'Cálculos'!$E$122)*'Cálculos'!$E$214+'Cálculos'!$E$125*(1+2.78*('Cálculos'!$E$196+(($B$168)-$A159)*'Cálculos'!$E$98)/(('Cálculos'!$E$196+(($B$168)-$A159)*'Cálculos'!$E$98)+1400)+'Cálculos'!$E$123)*'Cálculos'!$E$219)+('Cálculos'!$E$196+(($B$168)-$A159)*'Cálculos'!$E$98)*('Cálculos'!$E$210+'Cálculos'!$E$124*(1+2.78*('Cálculos'!$E$196+(($B$168)-$A159)*'Cálculos'!$E$98)/(('Cálculos'!$E$196+(($B$168)-$A159)*'Cálculos'!$E$98)+1400)+'Cálculos'!$E$122)*'Cálculos'!$E$215+'Cálculos'!$E$125*(1+2.78*('Cálculos'!$E$196+(($B$168)-$A159)*'Cálculos'!$E$98)/(('Cálculos'!$E$196+(($B$168)-$A159)*'Cálculos'!$E$98)+1400)+'Cálculos'!$E$123)*'Cálculos'!$E$220)+('Cálculos'!$E$201*(1+'Cálculos'!$E$202+$A159*('Cálculos'!$E$290=2)*'Cálculos'!$E$101)+'Cálculos'!$E$203)*('Cálculos'!$E$211+'Cálculos'!$E$124*(1+2.78*('Cálculos'!$E$196+(($B$168)-$A159)*'Cálculos'!$E$98)/(('Cálculos'!$E$196+(($B$168)-$A159)*'Cálculos'!$E$98)+1400)+'Cálculos'!$E$122)*'Cálculos'!$E$216+'Cálculos'!$E$125*(1+2.78*('Cálculos'!$E$196+(($B$168)-$A159)*'Cálculos'!$E$98)/(('Cálculos'!$E$196+(($B$168)-$A159)*'Cálculos'!$E$98)+1400)+'Cálculos'!$E$123)*'Cálculos'!$E$221)+('Cálculos'!$E$204*(1+'Cálculos'!$E$205+$A159*('Cálculos'!$E$290=3)*'Cálculos'!$E$103)+'Cálculos'!$E$206)*('Cálculos'!$E$212+'Cálculos'!$E$124*(1+2.78*('Cálculos'!$E$196+(($B$168)-$A159)*'Cálculos'!$E$98)/(('Cálculos'!$E$196+(($B$168)-$A159)*'Cálculos'!$E$98)+1400)+'Cálculos'!$E$122)*'Cálculos'!$E$217+'Cálculos'!$E$125*(1+2.78*('Cálculos'!$E$196+(($B$168)-$A159)*'Cálculos'!$E$98)/(('Cálculos'!$E$196+(($B$168)-$A159)*'Cálculos'!$E$98)+1400)+'Cálculos'!$E$123)*'Cálculos'!$E$222)+('Cálculos'!$E$213+'Cálculos'!$E$124*(1+2.78*('Cálculos'!$E$196+(($B$168)-$A159)*'Cálculos'!$E$98)/(('Cálculos'!$E$196+(($B$168)-$A159)*'Cálculos'!$E$98)+1400)+'Cálculos'!$E$122)*'Cálculos'!$E$218+'Cálculos'!$E$125*(1+2.78*('Cálculos'!$E$196+(($B$168)-$A159)*'Cálculos'!$E$98)/(('Cálculos'!$E$196+(($B$168)-$A159)*'Cálculos'!$E$98)+1400)+'Cálculos'!$E$123)*'Cálculos'!$E$223)+('Cálculos'!$E$185*(1+'Cálculos'!$E$187+$A159*('Cálculos'!$E$290=1)*'Cálculos'!$E$97+'Cálculos'!$E$305)+'Cálculos'!$E$192)*('Cálculos'!$E$224+'Cálculos'!$E$124*(1+2.78*('Cálculos'!$E$197+(($B$168)-$A159)*'Cálculos'!$E$98)/(('Cálculos'!$E$197+(($B$168)-$A159)*'Cálculos'!$E$98)+1400)+'Cálculos'!$E$122)*'Cálculos'!$E$229+'Cálculos'!$E$125*(1+2.78*('Cálculos'!$E$197+(($B$168)-$A159)*'Cálculos'!$E$98)/(('Cálculos'!$E$197+(($B$168)-$A159)*'Cálculos'!$E$98)+1400)+'Cálculos'!$E$123)*'Cálculos'!$E$234)+('Cálculos'!$E$197+(($B$168)-$A159)*'Cálculos'!$E$98)*('Cálculos'!$E$225+'Cálculos'!$E$124*(1+2.78*('Cálculos'!$E$197+(($B$168)-$A159)*'Cálculos'!$E$98)/(('Cálculos'!$E$197+(($B$168)-$A159)*'Cálculos'!$E$98)+1400)+'Cálculos'!$E$122)*'Cálculos'!$E$230+'Cálculos'!$E$125*(1+2.78*('Cálculos'!$E$197+(($B$168)-$A159)*'Cálculos'!$E$98)/(('Cálculos'!$E$197+(($B$168)-$A159)*'Cálculos'!$E$98)+1400)+'Cálculos'!$E$123)*'Cálculos'!$E$235)+('Cálculos'!$E$201*(1+'Cálculos'!$E$202+$A159*('Cálculos'!$E$290=2)*'Cálculos'!$E$101)+'Cálculos'!$E$203)*('Cálculos'!$E$226+'Cálculos'!$E$124*(1+2.78*('Cálculos'!$E$197+(($B$168)-$A159)*'Cálculos'!$E$98)/(('Cálculos'!$E$197+(($B$168)-$A159)*'Cálculos'!$E$98)+1400)+'Cálculos'!$E$122)*'Cálculos'!$E$231+'Cálculos'!$E$125*(1+2.78*('Cálculos'!$E$197+(($B$168)-$A159)*'Cálculos'!$E$98)/(('Cálculos'!$E$197+(($B$168)-$A159)*'Cálculos'!$E$98)+1400)+'Cálculos'!$E$123)*'Cálculos'!$E$236)+('Cálculos'!$E$204*(1+'Cálculos'!$E$205+$A159*('Cálculos'!$E$290=3)*'Cálculos'!$E$103)+'Cálculos'!$E$206)*('Cálculos'!$E$227+'Cálculos'!$E$124*(1+2.78*('Cálculos'!$E$197+(($B$168)-$A159)*'Cálculos'!$E$98)/(('Cálculos'!$E$197+(($B$168)-$A159)*'Cálculos'!$E$98)+1400)+'Cálculos'!$E$122)*'Cálculos'!$E$232+'Cálculos'!$E$125*(1+2.78*('Cálculos'!$E$197+(($B$168)-$A159)*'Cálculos'!$E$98)/(('Cálculos'!$E$197+(($B$168)-$A159)*'Cálculos'!$E$98)+1400)+'Cálculos'!$E$123)*'Cálculos'!$E$237)+('Cálculos'!$E$228+'Cálculos'!$E$124*(1+2.78*('Cálculos'!$E$197+(($B$168)-$A159)*'Cálculos'!$E$98)/(('Cálculos'!$E$197+(($B$168)-$A159)*'Cálculos'!$E$98)+1400)+'Cálculos'!$E$122)*'Cálculos'!$E$233+'Cálculos'!$E$125*(1+2.78*('Cálculos'!$E$197+(($B$168)-$A159)*'Cálculos'!$E$98)/(('Cálculos'!$E$197+(($B$168)-$A159)*'Cálculos'!$E$98)+1400)+'Cálculos'!$E$123)*'Cálculos'!$E$238)+('Cálculos'!$E$185*(1+'Cálculos'!$E$188+$A159*('Cálculos'!$E$290=1)*'Cálculos'!$E$97+'Cálculos'!$E$305)+'Cálculos'!$E$193)*('Cálculos'!$E$239+'Cálculos'!$E$124*(1+2.78*('Cálculos'!$E$198+(($B$168)-$A159)*'Cálculos'!$E$98)/(('Cálculos'!$E$198+(($B$168)-$A159)*'Cálculos'!$E$98)+1400)+'Cálculos'!$E$122)*'Cálculos'!$E$244+'Cálculos'!$E$125*(1+2.78*('Cálculos'!$E$198+(($B$168)-$A159)*'Cálculos'!$E$98)/(('Cálculos'!$E$198+(($B$168)-$A159)*'Cálculos'!$E$98)+1400)+'Cálculos'!$E$123)*'Cálculos'!$E$249)+('Cálculos'!$E$198+(($B$168)-$A159)*'Cálculos'!$E$98)*('Cálculos'!$E$240+'Cálculos'!$E$124*(1+2.78*('Cálculos'!$E$198+(($B$168)-$A159)*'Cálculos'!$E$98)/(('Cálculos'!$E$198+(($B$168)-$A159)*'Cálculos'!$E$98)+1400)+'Cálculos'!$E$122)*'Cálculos'!$E$245+'Cálculos'!$E$125*(1+2.78*('Cálculos'!$E$198+(($B$168)-$A159)*'Cálculos'!$E$98)/(('Cálculos'!$E$198+(($B$168)-$A159)*'Cálculos'!$E$98)+1400)+'Cálculos'!$E$123)*'Cálculos'!$E$250)+('Cálculos'!$E$201*(1+'Cálculos'!$E$202+$A159*('Cálculos'!$E$290=2)*'Cálculos'!$E$101)+'Cálculos'!$E$203)*('Cálculos'!$E$241+'Cálculos'!$E$124*(1+2.78*('Cálculos'!$E$198+(($B$168)-$A159)*'Cálculos'!$E$98)/(('Cálculos'!$E$198+(($B$168)-$A159)*'Cálculos'!$E$98)+1400)+'Cálculos'!$E$122)*'Cálculos'!$E$246+'Cálculos'!$E$125*(1+2.78*('Cálculos'!$E$198+(($B$168)-$A159)*'Cálculos'!$E$98)/(('Cálculos'!$E$198+(($B$168)-$A159)*'Cálculos'!$E$98)+1400)+'Cálculos'!$E$123)*'Cálculos'!$E$251)+('Cálculos'!$E$204*(1+'Cálculos'!$E$205+$A159*('Cálculos'!$E$290=3)*'Cálculos'!$E$103)+'Cálculos'!$E$206)*('Cálculos'!$E$242+'Cálculos'!$E$124*(1+2.78*('Cálculos'!$E$198+(($B$168)-$A159)*'Cálculos'!$E$98)/(('Cálculos'!$E$198+(($B$168)-$A159)*'Cálculos'!$E$98)+1400)+'Cálculos'!$E$122)*'Cálculos'!$E$247+'Cálculos'!$E$125*(1+2.78*('Cálculos'!$E$198+(($B$168)-$A159)*'Cálculos'!$E$98)/(('Cálculos'!$E$198+(($B$168)-$A159)*'Cálculos'!$E$98)+1400)+'Cálculos'!$E$123)*'Cálculos'!$E$252)+('Cálculos'!$E$243+'Cálculos'!$E$124*(1+2.78*('Cálculos'!$E$198+(($B$168)-$A159)*'Cálculos'!$E$98)/(('Cálculos'!$E$198+(($B$168)-$A159)*'Cálculos'!$E$98)+1400)+'Cálculos'!$E$122)*'Cálculos'!$E$248+'Cálculos'!$E$125*(1+2.78*('Cálculos'!$E$198+(($B$168)-$A159)*'Cálculos'!$E$98)/(('Cálculos'!$E$198+(($B$168)-$A159)*'Cálculos'!$E$98)+1400)+'Cálculos'!$E$123)*'Cálculos'!$E$253)+('Cálculos'!$E$185*(1+'Cálculos'!$E$189+$A159*('Cálculos'!$E$290=1)*'Cálculos'!$E$97+'Cálculos'!$E$305)+'Cálculos'!$E$194)*('Cálculos'!$E$254+'Cálculos'!$E$124*(1+2.78*('Cálculos'!$E$199+(($B$168)-$A159)*'Cálculos'!$E$98)/(('Cálculos'!$E$199+(($B$168)-$A159)*'Cálculos'!$E$98)+1400)+'Cálculos'!$E$122)*'Cálculos'!$E$259+'Cálculos'!$E$125*(1+2.78*('Cálculos'!$E$199+(($B$168)-$A159)*'Cálculos'!$E$98)/(('Cálculos'!$E$199+(($B$168)-$A159)*'Cálculos'!$E$98)+1400)+'Cálculos'!$E$123)*'Cálculos'!$E$264)+('Cálculos'!$E$199+(($B$168)-$A159)*'Cálculos'!$E$98)*('Cálculos'!$E$255+'Cálculos'!$E$124*(1+2.78*('Cálculos'!$E$199+(($B$168)-$A159)*'Cálculos'!$E$98)/(('Cálculos'!$E$199+(($B$168)-$A159)*'Cálculos'!$E$98)+1400)+'Cálculos'!$E$122)*'Cálculos'!$E$260+'Cálculos'!$E$125*(1+2.78*('Cálculos'!$E$199+(($B$168)-$A159)*'Cálculos'!$E$98)/(('Cálculos'!$E$199+(($B$168)-$A159)*'Cálculos'!$E$98)+1400)+'Cálculos'!$E$123)*'Cálculos'!$E$265)+('Cálculos'!$E$201*(1+'Cálculos'!$E$202+$A159*('Cálculos'!$E$290=2)*'Cálculos'!$E$101)+'Cálculos'!$E$203)*('Cálculos'!$E$256+'Cálculos'!$E$124*(1+2.78*('Cálculos'!$E$199+(($B$168)-$A159)*'Cálculos'!$E$98)/(('Cálculos'!$E$199+(($B$168)-$A159)*'Cálculos'!$E$98)+1400)+'Cálculos'!$E$122)*'Cálculos'!$E$261+'Cálculos'!$E$125*(1+2.78*('Cálculos'!$E$199+(($B$168)-$A159)*'Cálculos'!$E$98)/(('Cálculos'!$E$199+(($B$168)-$A159)*'Cálculos'!$E$98)+1400)+'Cálculos'!$E$123)*'Cálculos'!$E$266)+('Cálculos'!$E$204*(1+'Cálculos'!$E$205+$A159*('Cálculos'!$E$290=3)*'Cálculos'!$E$103)+'Cálculos'!$E$206)*('Cálculos'!$E$257+'Cálculos'!$E$124*(1+2.78*('Cálculos'!$E$199+(($B$168)-$A159)*'Cálculos'!$E$98)/(('Cálculos'!$E$199+(($B$168)-$A159)*'Cálculos'!$E$98)+1400)+'Cálculos'!$E$122)*'Cálculos'!$E$262+'Cálculos'!$E$125*(1+2.78*('Cálculos'!$E$199+(($B$168)-$A159)*'Cálculos'!$E$98)/(('Cálculos'!$E$199+(($B$168)-$A159)*'Cálculos'!$E$98)+1400)+'Cálculos'!$E$123)*'Cálculos'!$E$267)+('Cálculos'!$E$258+'Cálculos'!$E$124*(1+2.78*('Cálculos'!$E$199+(($B$168)-$A159)*'Cálculos'!$E$98)/(('Cálculos'!$E$199+(($B$168)-$A159)*'Cálculos'!$E$98)+1400)+'Cálculos'!$E$122)*'Cálculos'!$E$263+'Cálculos'!$E$125*(1+2.78*('Cálculos'!$E$199+(($B$168)-$A159)*'Cálculos'!$E$98)/(('Cálculos'!$E$199+(($B$168)-$A159)*'Cálculos'!$E$98)+1400)+'Cálculos'!$E$123)*'Cálculos'!$E$268)+('Cálculos'!$E$185*(1+'Cálculos'!$E$190+$A159*('Cálculos'!$E$290=1)*'Cálculos'!$E$97+'Cálculos'!$E$305)+'Cálculos'!$E$195)*('Cálculos'!$E$269+'Cálculos'!$E$124*(1+2.78*('Cálculos'!$E$200+(($B$168)-$A159)*'Cálculos'!$E$98)/(('Cálculos'!$E$200+(($B$168)-$A159)*'Cálculos'!$E$98)+1400)+'Cálculos'!$E$122)*'Cálculos'!$E$274+'Cálculos'!$E$125*(1+2.78*('Cálculos'!$E$200+(($B$168)-$A159)*'Cálculos'!$E$98)/(('Cálculos'!$E$200+(($B$168)-$A159)*'Cálculos'!$E$98)+1400)+'Cálculos'!$E$123)*'Cálculos'!$E$279)+('Cálculos'!$E$200+(($B$168)-$A159)*'Cálculos'!$E$98)*('Cálculos'!$E$270+'Cálculos'!$E$124*(1+2.78*('Cálculos'!$E$200+(($B$168)-$A159)*'Cálculos'!$E$98)/(('Cálculos'!$E$200+(($B$168)-$A159)*'Cálculos'!$E$98)+1400)+'Cálculos'!$E$122)*'Cálculos'!$E$275+'Cálculos'!$E$125*(1+2.78*('Cálculos'!$E$200+(($B$168)-$A159)*'Cálculos'!$E$98)/(('Cálculos'!$E$200+(($B$168)-$A159)*'Cálculos'!$E$98)+1400)+'Cálculos'!$E$123)*'Cálculos'!$E$280)+('Cálculos'!$E$201*(1+'Cálculos'!$E$202+$A159*('Cálculos'!$E$290=2)*'Cálculos'!$E$101)+'Cálculos'!$E$203)*('Cálculos'!$E$271+'Cálculos'!$E$124*(1+2.78*('Cálculos'!$E$200+(($B$168)-$A159)*'Cálculos'!$E$98)/(('Cálculos'!$E$200+(($B$168)-$A159)*'Cálculos'!$E$98)+1400)+'Cálculos'!$E$122)*'Cálculos'!$E$276+'Cálculos'!$E$125*(1+2.78*('Cálculos'!$E$200+(($B$168)-$A159)*'Cálculos'!$E$98)/(('Cálculos'!$E$200+(($B$168)-$A159)*'Cálculos'!$E$98)+1400)+'Cálculos'!$E$123)*'Cálculos'!$E$281)+('Cálculos'!$E$204*(1+'Cálculos'!$E$205+$A159*('Cálculos'!$E$290=3)*'Cálculos'!$E$103)+'Cálculos'!$E$206)*('Cálculos'!$E$272+'Cálculos'!$E$124*(1+2.78*('Cálculos'!$E$200+(($B$168)-$A159)*'Cálculos'!$E$98)/(('Cálculos'!$E$200+(($B$168)-$A159)*'Cálculos'!$E$98)+1400)+'Cálculos'!$E$122)*'Cálculos'!$E$277+'Cálculos'!$E$125*(1+2.78*('Cálculos'!$E$200+(($B$168)-$A159)*'Cálculos'!$E$98)/(('Cálculos'!$E$200+(($B$168)-$A159)*'Cálculos'!$E$98)+1400)+'Cálculos'!$E$123)*'Cálculos'!$E$282)+('Cálculos'!$E$273+'Cálculos'!$E$124*(1+2.78*('Cálculos'!$E$200+(($B$168)-$A159)*'Cálculos'!$E$98)/(('Cálculos'!$E$200+(($B$168)-$A159)*'Cálculos'!$E$98)+1400)+'Cálculos'!$E$122)*'Cálculos'!$E$278+'Cálculos'!$E$125*(1+2.78*('Cálculos'!$E$200+(($B$168)-$A159)*'Cálculos'!$E$98)/(('Cálculos'!$E$200+(($B$168)-$A159)*'Cálculos'!$E$98)+1400)+'Cálculos'!$E$123)*'Cálculos'!$E$283)))</f>
        <v>0</v>
      </c>
    </row>
    <row r="160" ht="15.75" customHeight="1">
      <c r="A160" s="2">
        <v>40.0</v>
      </c>
      <c r="B160" s="30">
        <f>SUMPRODUCT(MAX(($A$120:$A$165&lt;=$A160)*($A$120:$A$165&lt;='Cálculos'!$E$294)*(($A160)-$A$120:$A$165&lt;='Cálculos'!$E$295)*(1+(('Cálculos'!$E$207+$A$120:$A$165*'Cálculos'!$E$95)-(('Cálculos'!$E$207+$A$120:$A$165*'Cálculos'!$E$95)&gt;1)*(('Cálculos'!$E$207+$A$120:$A$165*'Cálculos'!$E$95)-1))*('Cálculos'!$E$208+(($A160)-$A$120:$A$165)*'Cálculos'!$E$96))))</f>
        <v>3.1242</v>
      </c>
      <c r="C160" s="2">
        <f>'Cálculos'!$E$303-$A160</f>
        <v>-27</v>
      </c>
      <c r="D160" s="31">
        <f>IF($C160&lt;0,0,SUMPRODUCT(MAX(($A$120:$A$165&lt;=$C160)*($A$120:$A$165&lt;='Cálculos'!$E$301)*(($C160)-$A$120:$A$165&lt;='Cálculos'!$E$297)*(('Cálculos'!$E$185*(1+'Cálculos'!$E$186+$A$120:$A$165*('Cálculos'!$E$290=1)*'Cálculos'!$E$97+'Cálculos'!$E$305)+'Cálculos'!$E$191)*('Cálculos'!$E$209+'Cálculos'!$E$124*(1+2.78*('Cálculos'!$E$196+(($C160)-$A$120:$A$165)*'Cálculos'!$E$98)/(('Cálculos'!$E$196+(($C160)-$A$120:$A$165)*'Cálculos'!$E$98)+1400)+'Cálculos'!$E$122)*'Cálculos'!$E$214+'Cálculos'!$E$125*(1+2.78*('Cálculos'!$E$196+(($C160)-$A$120:$A$165)*'Cálculos'!$E$98)/(('Cálculos'!$E$196+(($C160)-$A$120:$A$165)*'Cálculos'!$E$98)+1400)+'Cálculos'!$E$123)*'Cálculos'!$E$219)+('Cálculos'!$E$196+(($C160)-$A$120:$A$165)*'Cálculos'!$E$98)*('Cálculos'!$E$210+'Cálculos'!$E$124*(1+2.78*('Cálculos'!$E$196+(($C160)-$A$120:$A$165)*'Cálculos'!$E$98)/(('Cálculos'!$E$196+(($C160)-$A$120:$A$165)*'Cálculos'!$E$98)+1400)+'Cálculos'!$E$122)*'Cálculos'!$E$215+'Cálculos'!$E$125*(1+2.78*('Cálculos'!$E$196+(($C160)-$A$120:$A$165)*'Cálculos'!$E$98)/(('Cálculos'!$E$196+(($C160)-$A$120:$A$165)*'Cálculos'!$E$98)+1400)+'Cálculos'!$E$123)*'Cálculos'!$E$220)+('Cálculos'!$E$201*(1+'Cálculos'!$E$202+$A$120:$A$165*('Cálculos'!$E$290=2)*'Cálculos'!$E$101)+'Cálculos'!$E$203)*('Cálculos'!$E$211+'Cálculos'!$E$124*(1+2.78*('Cálculos'!$E$196+(($C160)-$A$120:$A$165)*'Cálculos'!$E$98)/(('Cálculos'!$E$196+(($C160)-$A$120:$A$165)*'Cálculos'!$E$98)+1400)+'Cálculos'!$E$122)*'Cálculos'!$E$216+'Cálculos'!$E$125*(1+2.78*('Cálculos'!$E$196+(($C160)-$A$120:$A$165)*'Cálculos'!$E$98)/(('Cálculos'!$E$196+(($C160)-$A$120:$A$165)*'Cálculos'!$E$98)+1400)+'Cálculos'!$E$123)*'Cálculos'!$E$221)+('Cálculos'!$E$204*(1+'Cálculos'!$E$205+$A$120:$A$165*('Cálculos'!$E$290=3)*'Cálculos'!$E$103)+'Cálculos'!$E$206)*('Cálculos'!$E$212+'Cálculos'!$E$124*(1+2.78*('Cálculos'!$E$196+(($C160)-$A$120:$A$165)*'Cálculos'!$E$98)/(('Cálculos'!$E$196+(($C160)-$A$120:$A$165)*'Cálculos'!$E$98)+1400)+'Cálculos'!$E$122)*'Cálculos'!$E$217+'Cálculos'!$E$125*(1+2.78*('Cálculos'!$E$196+(($C160)-$A$120:$A$165)*'Cálculos'!$E$98)/(('Cálculos'!$E$196+(($C160)-$A$120:$A$165)*'Cálculos'!$E$98)+1400)+'Cálculos'!$E$123)*'Cálculos'!$E$222)+('Cálculos'!$E$213+'Cálculos'!$E$124*(1+2.78*('Cálculos'!$E$196+(($C160)-$A$120:$A$165)*'Cálculos'!$E$98)/(('Cálculos'!$E$196+(($C160)-$A$120:$A$165)*'Cálculos'!$E$98)+1400)+'Cálculos'!$E$122)*'Cálculos'!$E$218+'Cálculos'!$E$125*(1+2.78*('Cálculos'!$E$196+(($C160)-$A$120:$A$165)*'Cálculos'!$E$98)/(('Cálculos'!$E$196+(($C160)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160)-$A$120:$A$165)*'Cálculos'!$E$98)/(('Cálculos'!$E$197+(($C160)-$A$120:$A$165)*'Cálculos'!$E$98)+1400)+'Cálculos'!$E$122)*'Cálculos'!$E$229+'Cálculos'!$E$125*(1+2.78*('Cálculos'!$E$197+(($C160)-$A$120:$A$165)*'Cálculos'!$E$98)/(('Cálculos'!$E$197+(($C160)-$A$120:$A$165)*'Cálculos'!$E$98)+1400)+'Cálculos'!$E$123)*'Cálculos'!$E$234)+('Cálculos'!$E$197+(($C160)-$A$120:$A$165)*'Cálculos'!$E$98)*('Cálculos'!$E$225+'Cálculos'!$E$124*(1+2.78*('Cálculos'!$E$197+(($C160)-$A$120:$A$165)*'Cálculos'!$E$98)/(('Cálculos'!$E$197+(($C160)-$A$120:$A$165)*'Cálculos'!$E$98)+1400)+'Cálculos'!$E$122)*'Cálculos'!$E$230+'Cálculos'!$E$125*(1+2.78*('Cálculos'!$E$197+(($C160)-$A$120:$A$165)*'Cálculos'!$E$98)/(('Cálculos'!$E$197+(($C160)-$A$120:$A$165)*'Cálculos'!$E$98)+1400)+'Cálculos'!$E$123)*'Cálculos'!$E$235)+('Cálculos'!$E$201*(1+'Cálculos'!$E$202+$A$120:$A$165*('Cálculos'!$E$290=2)*'Cálculos'!$E$101)+'Cálculos'!$E$203)*('Cálculos'!$E$226+'Cálculos'!$E$124*(1+2.78*('Cálculos'!$E$197+(($C160)-$A$120:$A$165)*'Cálculos'!$E$98)/(('Cálculos'!$E$197+(($C160)-$A$120:$A$165)*'Cálculos'!$E$98)+1400)+'Cálculos'!$E$122)*'Cálculos'!$E$231+'Cálculos'!$E$125*(1+2.78*('Cálculos'!$E$197+(($C160)-$A$120:$A$165)*'Cálculos'!$E$98)/(('Cálculos'!$E$197+(($C160)-$A$120:$A$165)*'Cálculos'!$E$98)+1400)+'Cálculos'!$E$123)*'Cálculos'!$E$236)+('Cálculos'!$E$204*(1+'Cálculos'!$E$205+$A$120:$A$165*('Cálculos'!$E$290=3)*'Cálculos'!$E$103)+'Cálculos'!$E$206)*('Cálculos'!$E$227+'Cálculos'!$E$124*(1+2.78*('Cálculos'!$E$197+(($C160)-$A$120:$A$165)*'Cálculos'!$E$98)/(('Cálculos'!$E$197+(($C160)-$A$120:$A$165)*'Cálculos'!$E$98)+1400)+'Cálculos'!$E$122)*'Cálculos'!$E$232+'Cálculos'!$E$125*(1+2.78*('Cálculos'!$E$197+(($C160)-$A$120:$A$165)*'Cálculos'!$E$98)/(('Cálculos'!$E$197+(($C160)-$A$120:$A$165)*'Cálculos'!$E$98)+1400)+'Cálculos'!$E$123)*'Cálculos'!$E$237)+('Cálculos'!$E$228+'Cálculos'!$E$124*(1+2.78*('Cálculos'!$E$197+(($C160)-$A$120:$A$165)*'Cálculos'!$E$98)/(('Cálculos'!$E$197+(($C160)-$A$120:$A$165)*'Cálculos'!$E$98)+1400)+'Cálculos'!$E$122)*'Cálculos'!$E$233+'Cálculos'!$E$125*(1+2.78*('Cálculos'!$E$197+(($C160)-$A$120:$A$165)*'Cálculos'!$E$98)/(('Cálculos'!$E$197+(($C160)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160)-$A$120:$A$165)*'Cálculos'!$E$98)/(('Cálculos'!$E$198+(($C160)-$A$120:$A$165)*'Cálculos'!$E$98)+1400)+'Cálculos'!$E$122)*'Cálculos'!$E$244+'Cálculos'!$E$125*(1+2.78*('Cálculos'!$E$198+(($C160)-$A$120:$A$165)*'Cálculos'!$E$98)/(('Cálculos'!$E$198+(($C160)-$A$120:$A$165)*'Cálculos'!$E$98)+1400)+'Cálculos'!$E$123)*'Cálculos'!$E$249)+('Cálculos'!$E$198+(($C160)-$A$120:$A$165)*'Cálculos'!$E$98)*('Cálculos'!$E$240+'Cálculos'!$E$124*(1+2.78*('Cálculos'!$E$198+(($C160)-$A$120:$A$165)*'Cálculos'!$E$98)/(('Cálculos'!$E$198+(($C160)-$A$120:$A$165)*'Cálculos'!$E$98)+1400)+'Cálculos'!$E$122)*'Cálculos'!$E$245+'Cálculos'!$E$125*(1+2.78*('Cálculos'!$E$198+(($C160)-$A$120:$A$165)*'Cálculos'!$E$98)/(('Cálculos'!$E$198+(($C160)-$A$120:$A$165)*'Cálculos'!$E$98)+1400)+'Cálculos'!$E$123)*'Cálculos'!$E$250)+('Cálculos'!$E$201*(1+'Cálculos'!$E$202+$A$120:$A$165*('Cálculos'!$E$290=2)*'Cálculos'!$E$101)+'Cálculos'!$E$203)*('Cálculos'!$E$241+'Cálculos'!$E$124*(1+2.78*('Cálculos'!$E$198+(($C160)-$A$120:$A$165)*'Cálculos'!$E$98)/(('Cálculos'!$E$198+(($C160)-$A$120:$A$165)*'Cálculos'!$E$98)+1400)+'Cálculos'!$E$122)*'Cálculos'!$E$246+'Cálculos'!$E$125*(1+2.78*('Cálculos'!$E$198+(($C160)-$A$120:$A$165)*'Cálculos'!$E$98)/(('Cálculos'!$E$198+(($C160)-$A$120:$A$165)*'Cálculos'!$E$98)+1400)+'Cálculos'!$E$123)*'Cálculos'!$E$251)+('Cálculos'!$E$204*(1+'Cálculos'!$E$205+$A$120:$A$165*('Cálculos'!$E$290=3)*'Cálculos'!$E$103)+'Cálculos'!$E$206)*('Cálculos'!$E$242+'Cálculos'!$E$124*(1+2.78*('Cálculos'!$E$198+(($C160)-$A$120:$A$165)*'Cálculos'!$E$98)/(('Cálculos'!$E$198+(($C160)-$A$120:$A$165)*'Cálculos'!$E$98)+1400)+'Cálculos'!$E$122)*'Cálculos'!$E$247+'Cálculos'!$E$125*(1+2.78*('Cálculos'!$E$198+(($C160)-$A$120:$A$165)*'Cálculos'!$E$98)/(('Cálculos'!$E$198+(($C160)-$A$120:$A$165)*'Cálculos'!$E$98)+1400)+'Cálculos'!$E$123)*'Cálculos'!$E$252)+('Cálculos'!$E$243+'Cálculos'!$E$124*(1+2.78*('Cálculos'!$E$198+(($C160)-$A$120:$A$165)*'Cálculos'!$E$98)/(('Cálculos'!$E$198+(($C160)-$A$120:$A$165)*'Cálculos'!$E$98)+1400)+'Cálculos'!$E$122)*'Cálculos'!$E$248+'Cálculos'!$E$125*(1+2.78*('Cálculos'!$E$198+(($C160)-$A$120:$A$165)*'Cálculos'!$E$98)/(('Cálculos'!$E$198+(($C160)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160)-$A$120:$A$165)*'Cálculos'!$E$98)/(('Cálculos'!$E$199+(($C160)-$A$120:$A$165)*'Cálculos'!$E$98)+1400)+'Cálculos'!$E$122)*'Cálculos'!$E$259+'Cálculos'!$E$125*(1+2.78*('Cálculos'!$E$199+(($C160)-$A$120:$A$165)*'Cálculos'!$E$98)/(('Cálculos'!$E$199+(($C160)-$A$120:$A$165)*'Cálculos'!$E$98)+1400)+'Cálculos'!$E$123)*'Cálculos'!$E$264)+('Cálculos'!$E$199+(($C160)-$A$120:$A$165)*'Cálculos'!$E$98)*('Cálculos'!$E$255+'Cálculos'!$E$124*(1+2.78*('Cálculos'!$E$199+(($C160)-$A$120:$A$165)*'Cálculos'!$E$98)/(('Cálculos'!$E$199+(($C160)-$A$120:$A$165)*'Cálculos'!$E$98)+1400)+'Cálculos'!$E$122)*'Cálculos'!$E$260+'Cálculos'!$E$125*(1+2.78*('Cálculos'!$E$199+(($C160)-$A$120:$A$165)*'Cálculos'!$E$98)/(('Cálculos'!$E$199+(($C160)-$A$120:$A$165)*'Cálculos'!$E$98)+1400)+'Cálculos'!$E$123)*'Cálculos'!$E$265)+('Cálculos'!$E$201*(1+'Cálculos'!$E$202+$A$120:$A$165*('Cálculos'!$E$290=2)*'Cálculos'!$E$101)+'Cálculos'!$E$203)*('Cálculos'!$E$256+'Cálculos'!$E$124*(1+2.78*('Cálculos'!$E$199+(($C160)-$A$120:$A$165)*'Cálculos'!$E$98)/(('Cálculos'!$E$199+(($C160)-$A$120:$A$165)*'Cálculos'!$E$98)+1400)+'Cálculos'!$E$122)*'Cálculos'!$E$261+'Cálculos'!$E$125*(1+2.78*('Cálculos'!$E$199+(($C160)-$A$120:$A$165)*'Cálculos'!$E$98)/(('Cálculos'!$E$199+(($C160)-$A$120:$A$165)*'Cálculos'!$E$98)+1400)+'Cálculos'!$E$123)*'Cálculos'!$E$266)+('Cálculos'!$E$204*(1+'Cálculos'!$E$205+$A$120:$A$165*('Cálculos'!$E$290=3)*'Cálculos'!$E$103)+'Cálculos'!$E$206)*('Cálculos'!$E$257+'Cálculos'!$E$124*(1+2.78*('Cálculos'!$E$199+(($C160)-$A$120:$A$165)*'Cálculos'!$E$98)/(('Cálculos'!$E$199+(($C160)-$A$120:$A$165)*'Cálculos'!$E$98)+1400)+'Cálculos'!$E$122)*'Cálculos'!$E$262+'Cálculos'!$E$125*(1+2.78*('Cálculos'!$E$199+(($C160)-$A$120:$A$165)*'Cálculos'!$E$98)/(('Cálculos'!$E$199+(($C160)-$A$120:$A$165)*'Cálculos'!$E$98)+1400)+'Cálculos'!$E$123)*'Cálculos'!$E$267)+('Cálculos'!$E$258+'Cálculos'!$E$124*(1+2.78*('Cálculos'!$E$199+(($C160)-$A$120:$A$165)*'Cálculos'!$E$98)/(('Cálculos'!$E$199+(($C160)-$A$120:$A$165)*'Cálculos'!$E$98)+1400)+'Cálculos'!$E$122)*'Cálculos'!$E$263+'Cálculos'!$E$125*(1+2.78*('Cálculos'!$E$199+(($C160)-$A$120:$A$165)*'Cálculos'!$E$98)/(('Cálculos'!$E$199+(($C160)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160)-$A$120:$A$165)*'Cálculos'!$E$98)/(('Cálculos'!$E$200+(($C160)-$A$120:$A$165)*'Cálculos'!$E$98)+1400)+'Cálculos'!$E$122)*'Cálculos'!$E$274+'Cálculos'!$E$125*(1+2.78*('Cálculos'!$E$200+(($C160)-$A$120:$A$165)*'Cálculos'!$E$98)/(('Cálculos'!$E$200+(($C160)-$A$120:$A$165)*'Cálculos'!$E$98)+1400)+'Cálculos'!$E$123)*'Cálculos'!$E$279)+('Cálculos'!$E$200+(($C160)-$A$120:$A$165)*'Cálculos'!$E$98)*('Cálculos'!$E$270+'Cálculos'!$E$124*(1+2.78*('Cálculos'!$E$200+(($C160)-$A$120:$A$165)*'Cálculos'!$E$98)/(('Cálculos'!$E$200+(($C160)-$A$120:$A$165)*'Cálculos'!$E$98)+1400)+'Cálculos'!$E$122)*'Cálculos'!$E$275+'Cálculos'!$E$125*(1+2.78*('Cálculos'!$E$200+(($C160)-$A$120:$A$165)*'Cálculos'!$E$98)/(('Cálculos'!$E$200+(($C160)-$A$120:$A$165)*'Cálculos'!$E$98)+1400)+'Cálculos'!$E$123)*'Cálculos'!$E$280)+('Cálculos'!$E$201*(1+'Cálculos'!$E$202+$A$120:$A$165*('Cálculos'!$E$290=2)*'Cálculos'!$E$101)+'Cálculos'!$E$203)*('Cálculos'!$E$271+'Cálculos'!$E$124*(1+2.78*('Cálculos'!$E$200+(($C160)-$A$120:$A$165)*'Cálculos'!$E$98)/(('Cálculos'!$E$200+(($C160)-$A$120:$A$165)*'Cálculos'!$E$98)+1400)+'Cálculos'!$E$122)*'Cálculos'!$E$276+'Cálculos'!$E$125*(1+2.78*('Cálculos'!$E$200+(($C160)-$A$120:$A$165)*'Cálculos'!$E$98)/(('Cálculos'!$E$200+(($C160)-$A$120:$A$165)*'Cálculos'!$E$98)+1400)+'Cálculos'!$E$123)*'Cálculos'!$E$281)+('Cálculos'!$E$204*(1+'Cálculos'!$E$205+$A$120:$A$165*('Cálculos'!$E$290=3)*'Cálculos'!$E$103)+'Cálculos'!$E$206)*('Cálculos'!$E$272+'Cálculos'!$E$124*(1+2.78*('Cálculos'!$E$200+(($C160)-$A$120:$A$165)*'Cálculos'!$E$98)/(('Cálculos'!$E$200+(($C160)-$A$120:$A$165)*'Cálculos'!$E$98)+1400)+'Cálculos'!$E$122)*'Cálculos'!$E$277+'Cálculos'!$E$125*(1+2.78*('Cálculos'!$E$200+(($C160)-$A$120:$A$165)*'Cálculos'!$E$98)/(('Cálculos'!$E$200+(($C160)-$A$120:$A$165)*'Cálculos'!$E$98)+1400)+'Cálculos'!$E$123)*'Cálculos'!$E$282)+('Cálculos'!$E$273+'Cálculos'!$E$124*(1+2.78*('Cálculos'!$E$200+(($C160)-$A$120:$A$165)*'Cálculos'!$E$98)/(('Cálculos'!$E$200+(($C160)-$A$120:$A$165)*'Cálculos'!$E$98)+1400)+'Cálculos'!$E$122)*'Cálculos'!$E$278+'Cálculos'!$E$125*(1+2.78*('Cálculos'!$E$200+(($C160)-$A$120:$A$165)*'Cálculos'!$E$98)/(('Cálculos'!$E$200+(($C160)-$A$120:$A$165)*'Cálculos'!$E$98)+1400)+'Cálculos'!$E$123)*'Cálculos'!$E$283)))))</f>
        <v>0</v>
      </c>
      <c r="E160" s="32">
        <f>IF(OR($C160&lt;0,'Cálculos'!$E$6=""),0,$B160*$D160)</f>
        <v>0</v>
      </c>
      <c r="F160" s="2"/>
      <c r="G160" s="30">
        <f>($A160&lt;=$B$167)*($A160&lt;='Cálculos'!$E$294)*(($B$167)-$A160&lt;='Cálculos'!$E$295)*(1+MIN(('Cálculos'!$E$207+$A160*'Cálculos'!$E$95),1)*('Cálculos'!$E$208+(($B$167)-$A160)*'Cálculos'!$E$96))</f>
        <v>0</v>
      </c>
      <c r="H160" s="31">
        <f>IF($B$168&lt;0,0,($A160&lt;=$B$168)*($A160&lt;='Cálculos'!$E$301)*(($B$168)-$A160&lt;='Cálculos'!$E$297)*(('Cálculos'!$E$185*(1+'Cálculos'!$E$186+$A160*('Cálculos'!$E$290=1)*'Cálculos'!$E$97+'Cálculos'!$E$305)+'Cálculos'!$E$191)*('Cálculos'!$E$209+'Cálculos'!$E$124*(1+2.78*('Cálculos'!$E$196+(($B$168)-$A160)*'Cálculos'!$E$98)/(('Cálculos'!$E$196+(($B$168)-$A160)*'Cálculos'!$E$98)+1400)+'Cálculos'!$E$122)*'Cálculos'!$E$214+'Cálculos'!$E$125*(1+2.78*('Cálculos'!$E$196+(($B$168)-$A160)*'Cálculos'!$E$98)/(('Cálculos'!$E$196+(($B$168)-$A160)*'Cálculos'!$E$98)+1400)+'Cálculos'!$E$123)*'Cálculos'!$E$219)+('Cálculos'!$E$196+(($B$168)-$A160)*'Cálculos'!$E$98)*('Cálculos'!$E$210+'Cálculos'!$E$124*(1+2.78*('Cálculos'!$E$196+(($B$168)-$A160)*'Cálculos'!$E$98)/(('Cálculos'!$E$196+(($B$168)-$A160)*'Cálculos'!$E$98)+1400)+'Cálculos'!$E$122)*'Cálculos'!$E$215+'Cálculos'!$E$125*(1+2.78*('Cálculos'!$E$196+(($B$168)-$A160)*'Cálculos'!$E$98)/(('Cálculos'!$E$196+(($B$168)-$A160)*'Cálculos'!$E$98)+1400)+'Cálculos'!$E$123)*'Cálculos'!$E$220)+('Cálculos'!$E$201*(1+'Cálculos'!$E$202+$A160*('Cálculos'!$E$290=2)*'Cálculos'!$E$101)+'Cálculos'!$E$203)*('Cálculos'!$E$211+'Cálculos'!$E$124*(1+2.78*('Cálculos'!$E$196+(($B$168)-$A160)*'Cálculos'!$E$98)/(('Cálculos'!$E$196+(($B$168)-$A160)*'Cálculos'!$E$98)+1400)+'Cálculos'!$E$122)*'Cálculos'!$E$216+'Cálculos'!$E$125*(1+2.78*('Cálculos'!$E$196+(($B$168)-$A160)*'Cálculos'!$E$98)/(('Cálculos'!$E$196+(($B$168)-$A160)*'Cálculos'!$E$98)+1400)+'Cálculos'!$E$123)*'Cálculos'!$E$221)+('Cálculos'!$E$204*(1+'Cálculos'!$E$205+$A160*('Cálculos'!$E$290=3)*'Cálculos'!$E$103)+'Cálculos'!$E$206)*('Cálculos'!$E$212+'Cálculos'!$E$124*(1+2.78*('Cálculos'!$E$196+(($B$168)-$A160)*'Cálculos'!$E$98)/(('Cálculos'!$E$196+(($B$168)-$A160)*'Cálculos'!$E$98)+1400)+'Cálculos'!$E$122)*'Cálculos'!$E$217+'Cálculos'!$E$125*(1+2.78*('Cálculos'!$E$196+(($B$168)-$A160)*'Cálculos'!$E$98)/(('Cálculos'!$E$196+(($B$168)-$A160)*'Cálculos'!$E$98)+1400)+'Cálculos'!$E$123)*'Cálculos'!$E$222)+('Cálculos'!$E$213+'Cálculos'!$E$124*(1+2.78*('Cálculos'!$E$196+(($B$168)-$A160)*'Cálculos'!$E$98)/(('Cálculos'!$E$196+(($B$168)-$A160)*'Cálculos'!$E$98)+1400)+'Cálculos'!$E$122)*'Cálculos'!$E$218+'Cálculos'!$E$125*(1+2.78*('Cálculos'!$E$196+(($B$168)-$A160)*'Cálculos'!$E$98)/(('Cálculos'!$E$196+(($B$168)-$A160)*'Cálculos'!$E$98)+1400)+'Cálculos'!$E$123)*'Cálculos'!$E$223)+('Cálculos'!$E$185*(1+'Cálculos'!$E$187+$A160*('Cálculos'!$E$290=1)*'Cálculos'!$E$97+'Cálculos'!$E$305)+'Cálculos'!$E$192)*('Cálculos'!$E$224+'Cálculos'!$E$124*(1+2.78*('Cálculos'!$E$197+(($B$168)-$A160)*'Cálculos'!$E$98)/(('Cálculos'!$E$197+(($B$168)-$A160)*'Cálculos'!$E$98)+1400)+'Cálculos'!$E$122)*'Cálculos'!$E$229+'Cálculos'!$E$125*(1+2.78*('Cálculos'!$E$197+(($B$168)-$A160)*'Cálculos'!$E$98)/(('Cálculos'!$E$197+(($B$168)-$A160)*'Cálculos'!$E$98)+1400)+'Cálculos'!$E$123)*'Cálculos'!$E$234)+('Cálculos'!$E$197+(($B$168)-$A160)*'Cálculos'!$E$98)*('Cálculos'!$E$225+'Cálculos'!$E$124*(1+2.78*('Cálculos'!$E$197+(($B$168)-$A160)*'Cálculos'!$E$98)/(('Cálculos'!$E$197+(($B$168)-$A160)*'Cálculos'!$E$98)+1400)+'Cálculos'!$E$122)*'Cálculos'!$E$230+'Cálculos'!$E$125*(1+2.78*('Cálculos'!$E$197+(($B$168)-$A160)*'Cálculos'!$E$98)/(('Cálculos'!$E$197+(($B$168)-$A160)*'Cálculos'!$E$98)+1400)+'Cálculos'!$E$123)*'Cálculos'!$E$235)+('Cálculos'!$E$201*(1+'Cálculos'!$E$202+$A160*('Cálculos'!$E$290=2)*'Cálculos'!$E$101)+'Cálculos'!$E$203)*('Cálculos'!$E$226+'Cálculos'!$E$124*(1+2.78*('Cálculos'!$E$197+(($B$168)-$A160)*'Cálculos'!$E$98)/(('Cálculos'!$E$197+(($B$168)-$A160)*'Cálculos'!$E$98)+1400)+'Cálculos'!$E$122)*'Cálculos'!$E$231+'Cálculos'!$E$125*(1+2.78*('Cálculos'!$E$197+(($B$168)-$A160)*'Cálculos'!$E$98)/(('Cálculos'!$E$197+(($B$168)-$A160)*'Cálculos'!$E$98)+1400)+'Cálculos'!$E$123)*'Cálculos'!$E$236)+('Cálculos'!$E$204*(1+'Cálculos'!$E$205+$A160*('Cálculos'!$E$290=3)*'Cálculos'!$E$103)+'Cálculos'!$E$206)*('Cálculos'!$E$227+'Cálculos'!$E$124*(1+2.78*('Cálculos'!$E$197+(($B$168)-$A160)*'Cálculos'!$E$98)/(('Cálculos'!$E$197+(($B$168)-$A160)*'Cálculos'!$E$98)+1400)+'Cálculos'!$E$122)*'Cálculos'!$E$232+'Cálculos'!$E$125*(1+2.78*('Cálculos'!$E$197+(($B$168)-$A160)*'Cálculos'!$E$98)/(('Cálculos'!$E$197+(($B$168)-$A160)*'Cálculos'!$E$98)+1400)+'Cálculos'!$E$123)*'Cálculos'!$E$237)+('Cálculos'!$E$228+'Cálculos'!$E$124*(1+2.78*('Cálculos'!$E$197+(($B$168)-$A160)*'Cálculos'!$E$98)/(('Cálculos'!$E$197+(($B$168)-$A160)*'Cálculos'!$E$98)+1400)+'Cálculos'!$E$122)*'Cálculos'!$E$233+'Cálculos'!$E$125*(1+2.78*('Cálculos'!$E$197+(($B$168)-$A160)*'Cálculos'!$E$98)/(('Cálculos'!$E$197+(($B$168)-$A160)*'Cálculos'!$E$98)+1400)+'Cálculos'!$E$123)*'Cálculos'!$E$238)+('Cálculos'!$E$185*(1+'Cálculos'!$E$188+$A160*('Cálculos'!$E$290=1)*'Cálculos'!$E$97+'Cálculos'!$E$305)+'Cálculos'!$E$193)*('Cálculos'!$E$239+'Cálculos'!$E$124*(1+2.78*('Cálculos'!$E$198+(($B$168)-$A160)*'Cálculos'!$E$98)/(('Cálculos'!$E$198+(($B$168)-$A160)*'Cálculos'!$E$98)+1400)+'Cálculos'!$E$122)*'Cálculos'!$E$244+'Cálculos'!$E$125*(1+2.78*('Cálculos'!$E$198+(($B$168)-$A160)*'Cálculos'!$E$98)/(('Cálculos'!$E$198+(($B$168)-$A160)*'Cálculos'!$E$98)+1400)+'Cálculos'!$E$123)*'Cálculos'!$E$249)+('Cálculos'!$E$198+(($B$168)-$A160)*'Cálculos'!$E$98)*('Cálculos'!$E$240+'Cálculos'!$E$124*(1+2.78*('Cálculos'!$E$198+(($B$168)-$A160)*'Cálculos'!$E$98)/(('Cálculos'!$E$198+(($B$168)-$A160)*'Cálculos'!$E$98)+1400)+'Cálculos'!$E$122)*'Cálculos'!$E$245+'Cálculos'!$E$125*(1+2.78*('Cálculos'!$E$198+(($B$168)-$A160)*'Cálculos'!$E$98)/(('Cálculos'!$E$198+(($B$168)-$A160)*'Cálculos'!$E$98)+1400)+'Cálculos'!$E$123)*'Cálculos'!$E$250)+('Cálculos'!$E$201*(1+'Cálculos'!$E$202+$A160*('Cálculos'!$E$290=2)*'Cálculos'!$E$101)+'Cálculos'!$E$203)*('Cálculos'!$E$241+'Cálculos'!$E$124*(1+2.78*('Cálculos'!$E$198+(($B$168)-$A160)*'Cálculos'!$E$98)/(('Cálculos'!$E$198+(($B$168)-$A160)*'Cálculos'!$E$98)+1400)+'Cálculos'!$E$122)*'Cálculos'!$E$246+'Cálculos'!$E$125*(1+2.78*('Cálculos'!$E$198+(($B$168)-$A160)*'Cálculos'!$E$98)/(('Cálculos'!$E$198+(($B$168)-$A160)*'Cálculos'!$E$98)+1400)+'Cálculos'!$E$123)*'Cálculos'!$E$251)+('Cálculos'!$E$204*(1+'Cálculos'!$E$205+$A160*('Cálculos'!$E$290=3)*'Cálculos'!$E$103)+'Cálculos'!$E$206)*('Cálculos'!$E$242+'Cálculos'!$E$124*(1+2.78*('Cálculos'!$E$198+(($B$168)-$A160)*'Cálculos'!$E$98)/(('Cálculos'!$E$198+(($B$168)-$A160)*'Cálculos'!$E$98)+1400)+'Cálculos'!$E$122)*'Cálculos'!$E$247+'Cálculos'!$E$125*(1+2.78*('Cálculos'!$E$198+(($B$168)-$A160)*'Cálculos'!$E$98)/(('Cálculos'!$E$198+(($B$168)-$A160)*'Cálculos'!$E$98)+1400)+'Cálculos'!$E$123)*'Cálculos'!$E$252)+('Cálculos'!$E$243+'Cálculos'!$E$124*(1+2.78*('Cálculos'!$E$198+(($B$168)-$A160)*'Cálculos'!$E$98)/(('Cálculos'!$E$198+(($B$168)-$A160)*'Cálculos'!$E$98)+1400)+'Cálculos'!$E$122)*'Cálculos'!$E$248+'Cálculos'!$E$125*(1+2.78*('Cálculos'!$E$198+(($B$168)-$A160)*'Cálculos'!$E$98)/(('Cálculos'!$E$198+(($B$168)-$A160)*'Cálculos'!$E$98)+1400)+'Cálculos'!$E$123)*'Cálculos'!$E$253)+('Cálculos'!$E$185*(1+'Cálculos'!$E$189+$A160*('Cálculos'!$E$290=1)*'Cálculos'!$E$97+'Cálculos'!$E$305)+'Cálculos'!$E$194)*('Cálculos'!$E$254+'Cálculos'!$E$124*(1+2.78*('Cálculos'!$E$199+(($B$168)-$A160)*'Cálculos'!$E$98)/(('Cálculos'!$E$199+(($B$168)-$A160)*'Cálculos'!$E$98)+1400)+'Cálculos'!$E$122)*'Cálculos'!$E$259+'Cálculos'!$E$125*(1+2.78*('Cálculos'!$E$199+(($B$168)-$A160)*'Cálculos'!$E$98)/(('Cálculos'!$E$199+(($B$168)-$A160)*'Cálculos'!$E$98)+1400)+'Cálculos'!$E$123)*'Cálculos'!$E$264)+('Cálculos'!$E$199+(($B$168)-$A160)*'Cálculos'!$E$98)*('Cálculos'!$E$255+'Cálculos'!$E$124*(1+2.78*('Cálculos'!$E$199+(($B$168)-$A160)*'Cálculos'!$E$98)/(('Cálculos'!$E$199+(($B$168)-$A160)*'Cálculos'!$E$98)+1400)+'Cálculos'!$E$122)*'Cálculos'!$E$260+'Cálculos'!$E$125*(1+2.78*('Cálculos'!$E$199+(($B$168)-$A160)*'Cálculos'!$E$98)/(('Cálculos'!$E$199+(($B$168)-$A160)*'Cálculos'!$E$98)+1400)+'Cálculos'!$E$123)*'Cálculos'!$E$265)+('Cálculos'!$E$201*(1+'Cálculos'!$E$202+$A160*('Cálculos'!$E$290=2)*'Cálculos'!$E$101)+'Cálculos'!$E$203)*('Cálculos'!$E$256+'Cálculos'!$E$124*(1+2.78*('Cálculos'!$E$199+(($B$168)-$A160)*'Cálculos'!$E$98)/(('Cálculos'!$E$199+(($B$168)-$A160)*'Cálculos'!$E$98)+1400)+'Cálculos'!$E$122)*'Cálculos'!$E$261+'Cálculos'!$E$125*(1+2.78*('Cálculos'!$E$199+(($B$168)-$A160)*'Cálculos'!$E$98)/(('Cálculos'!$E$199+(($B$168)-$A160)*'Cálculos'!$E$98)+1400)+'Cálculos'!$E$123)*'Cálculos'!$E$266)+('Cálculos'!$E$204*(1+'Cálculos'!$E$205+$A160*('Cálculos'!$E$290=3)*'Cálculos'!$E$103)+'Cálculos'!$E$206)*('Cálculos'!$E$257+'Cálculos'!$E$124*(1+2.78*('Cálculos'!$E$199+(($B$168)-$A160)*'Cálculos'!$E$98)/(('Cálculos'!$E$199+(($B$168)-$A160)*'Cálculos'!$E$98)+1400)+'Cálculos'!$E$122)*'Cálculos'!$E$262+'Cálculos'!$E$125*(1+2.78*('Cálculos'!$E$199+(($B$168)-$A160)*'Cálculos'!$E$98)/(('Cálculos'!$E$199+(($B$168)-$A160)*'Cálculos'!$E$98)+1400)+'Cálculos'!$E$123)*'Cálculos'!$E$267)+('Cálculos'!$E$258+'Cálculos'!$E$124*(1+2.78*('Cálculos'!$E$199+(($B$168)-$A160)*'Cálculos'!$E$98)/(('Cálculos'!$E$199+(($B$168)-$A160)*'Cálculos'!$E$98)+1400)+'Cálculos'!$E$122)*'Cálculos'!$E$263+'Cálculos'!$E$125*(1+2.78*('Cálculos'!$E$199+(($B$168)-$A160)*'Cálculos'!$E$98)/(('Cálculos'!$E$199+(($B$168)-$A160)*'Cálculos'!$E$98)+1400)+'Cálculos'!$E$123)*'Cálculos'!$E$268)+('Cálculos'!$E$185*(1+'Cálculos'!$E$190+$A160*('Cálculos'!$E$290=1)*'Cálculos'!$E$97+'Cálculos'!$E$305)+'Cálculos'!$E$195)*('Cálculos'!$E$269+'Cálculos'!$E$124*(1+2.78*('Cálculos'!$E$200+(($B$168)-$A160)*'Cálculos'!$E$98)/(('Cálculos'!$E$200+(($B$168)-$A160)*'Cálculos'!$E$98)+1400)+'Cálculos'!$E$122)*'Cálculos'!$E$274+'Cálculos'!$E$125*(1+2.78*('Cálculos'!$E$200+(($B$168)-$A160)*'Cálculos'!$E$98)/(('Cálculos'!$E$200+(($B$168)-$A160)*'Cálculos'!$E$98)+1400)+'Cálculos'!$E$123)*'Cálculos'!$E$279)+('Cálculos'!$E$200+(($B$168)-$A160)*'Cálculos'!$E$98)*('Cálculos'!$E$270+'Cálculos'!$E$124*(1+2.78*('Cálculos'!$E$200+(($B$168)-$A160)*'Cálculos'!$E$98)/(('Cálculos'!$E$200+(($B$168)-$A160)*'Cálculos'!$E$98)+1400)+'Cálculos'!$E$122)*'Cálculos'!$E$275+'Cálculos'!$E$125*(1+2.78*('Cálculos'!$E$200+(($B$168)-$A160)*'Cálculos'!$E$98)/(('Cálculos'!$E$200+(($B$168)-$A160)*'Cálculos'!$E$98)+1400)+'Cálculos'!$E$123)*'Cálculos'!$E$280)+('Cálculos'!$E$201*(1+'Cálculos'!$E$202+$A160*('Cálculos'!$E$290=2)*'Cálculos'!$E$101)+'Cálculos'!$E$203)*('Cálculos'!$E$271+'Cálculos'!$E$124*(1+2.78*('Cálculos'!$E$200+(($B$168)-$A160)*'Cálculos'!$E$98)/(('Cálculos'!$E$200+(($B$168)-$A160)*'Cálculos'!$E$98)+1400)+'Cálculos'!$E$122)*'Cálculos'!$E$276+'Cálculos'!$E$125*(1+2.78*('Cálculos'!$E$200+(($B$168)-$A160)*'Cálculos'!$E$98)/(('Cálculos'!$E$200+(($B$168)-$A160)*'Cálculos'!$E$98)+1400)+'Cálculos'!$E$123)*'Cálculos'!$E$281)+('Cálculos'!$E$204*(1+'Cálculos'!$E$205+$A160*('Cálculos'!$E$290=3)*'Cálculos'!$E$103)+'Cálculos'!$E$206)*('Cálculos'!$E$272+'Cálculos'!$E$124*(1+2.78*('Cálculos'!$E$200+(($B$168)-$A160)*'Cálculos'!$E$98)/(('Cálculos'!$E$200+(($B$168)-$A160)*'Cálculos'!$E$98)+1400)+'Cálculos'!$E$122)*'Cálculos'!$E$277+'Cálculos'!$E$125*(1+2.78*('Cálculos'!$E$200+(($B$168)-$A160)*'Cálculos'!$E$98)/(('Cálculos'!$E$200+(($B$168)-$A160)*'Cálculos'!$E$98)+1400)+'Cálculos'!$E$123)*'Cálculos'!$E$282)+('Cálculos'!$E$273+'Cálculos'!$E$124*(1+2.78*('Cálculos'!$E$200+(($B$168)-$A160)*'Cálculos'!$E$98)/(('Cálculos'!$E$200+(($B$168)-$A160)*'Cálculos'!$E$98)+1400)+'Cálculos'!$E$122)*'Cálculos'!$E$278+'Cálculos'!$E$125*(1+2.78*('Cálculos'!$E$200+(($B$168)-$A160)*'Cálculos'!$E$98)/(('Cálculos'!$E$200+(($B$168)-$A160)*'Cálculos'!$E$98)+1400)+'Cálculos'!$E$123)*'Cálculos'!$E$283)))</f>
        <v>0</v>
      </c>
    </row>
    <row r="161" ht="15.75" customHeight="1">
      <c r="A161" s="2">
        <v>41.0</v>
      </c>
      <c r="B161" s="30">
        <f>SUMPRODUCT(MAX(($A$120:$A$165&lt;=$A161)*($A$120:$A$165&lt;='Cálculos'!$E$294)*(($A161)-$A$120:$A$165&lt;='Cálculos'!$E$295)*(1+(('Cálculos'!$E$207+$A$120:$A$165*'Cálculos'!$E$95)-(('Cálculos'!$E$207+$A$120:$A$165*'Cálculos'!$E$95)&gt;1)*(('Cálculos'!$E$207+$A$120:$A$165*'Cálculos'!$E$95)-1))*('Cálculos'!$E$208+(($A161)-$A$120:$A$165)*'Cálculos'!$E$96))))</f>
        <v>3.189408</v>
      </c>
      <c r="C161" s="2">
        <f>'Cálculos'!$E$303-$A161</f>
        <v>-28</v>
      </c>
      <c r="D161" s="31">
        <f>IF($C161&lt;0,0,SUMPRODUCT(MAX(($A$120:$A$165&lt;=$C161)*($A$120:$A$165&lt;='Cálculos'!$E$301)*(($C161)-$A$120:$A$165&lt;='Cálculos'!$E$297)*(('Cálculos'!$E$185*(1+'Cálculos'!$E$186+$A$120:$A$165*('Cálculos'!$E$290=1)*'Cálculos'!$E$97+'Cálculos'!$E$305)+'Cálculos'!$E$191)*('Cálculos'!$E$209+'Cálculos'!$E$124*(1+2.78*('Cálculos'!$E$196+(($C161)-$A$120:$A$165)*'Cálculos'!$E$98)/(('Cálculos'!$E$196+(($C161)-$A$120:$A$165)*'Cálculos'!$E$98)+1400)+'Cálculos'!$E$122)*'Cálculos'!$E$214+'Cálculos'!$E$125*(1+2.78*('Cálculos'!$E$196+(($C161)-$A$120:$A$165)*'Cálculos'!$E$98)/(('Cálculos'!$E$196+(($C161)-$A$120:$A$165)*'Cálculos'!$E$98)+1400)+'Cálculos'!$E$123)*'Cálculos'!$E$219)+('Cálculos'!$E$196+(($C161)-$A$120:$A$165)*'Cálculos'!$E$98)*('Cálculos'!$E$210+'Cálculos'!$E$124*(1+2.78*('Cálculos'!$E$196+(($C161)-$A$120:$A$165)*'Cálculos'!$E$98)/(('Cálculos'!$E$196+(($C161)-$A$120:$A$165)*'Cálculos'!$E$98)+1400)+'Cálculos'!$E$122)*'Cálculos'!$E$215+'Cálculos'!$E$125*(1+2.78*('Cálculos'!$E$196+(($C161)-$A$120:$A$165)*'Cálculos'!$E$98)/(('Cálculos'!$E$196+(($C161)-$A$120:$A$165)*'Cálculos'!$E$98)+1400)+'Cálculos'!$E$123)*'Cálculos'!$E$220)+('Cálculos'!$E$201*(1+'Cálculos'!$E$202+$A$120:$A$165*('Cálculos'!$E$290=2)*'Cálculos'!$E$101)+'Cálculos'!$E$203)*('Cálculos'!$E$211+'Cálculos'!$E$124*(1+2.78*('Cálculos'!$E$196+(($C161)-$A$120:$A$165)*'Cálculos'!$E$98)/(('Cálculos'!$E$196+(($C161)-$A$120:$A$165)*'Cálculos'!$E$98)+1400)+'Cálculos'!$E$122)*'Cálculos'!$E$216+'Cálculos'!$E$125*(1+2.78*('Cálculos'!$E$196+(($C161)-$A$120:$A$165)*'Cálculos'!$E$98)/(('Cálculos'!$E$196+(($C161)-$A$120:$A$165)*'Cálculos'!$E$98)+1400)+'Cálculos'!$E$123)*'Cálculos'!$E$221)+('Cálculos'!$E$204*(1+'Cálculos'!$E$205+$A$120:$A$165*('Cálculos'!$E$290=3)*'Cálculos'!$E$103)+'Cálculos'!$E$206)*('Cálculos'!$E$212+'Cálculos'!$E$124*(1+2.78*('Cálculos'!$E$196+(($C161)-$A$120:$A$165)*'Cálculos'!$E$98)/(('Cálculos'!$E$196+(($C161)-$A$120:$A$165)*'Cálculos'!$E$98)+1400)+'Cálculos'!$E$122)*'Cálculos'!$E$217+'Cálculos'!$E$125*(1+2.78*('Cálculos'!$E$196+(($C161)-$A$120:$A$165)*'Cálculos'!$E$98)/(('Cálculos'!$E$196+(($C161)-$A$120:$A$165)*'Cálculos'!$E$98)+1400)+'Cálculos'!$E$123)*'Cálculos'!$E$222)+('Cálculos'!$E$213+'Cálculos'!$E$124*(1+2.78*('Cálculos'!$E$196+(($C161)-$A$120:$A$165)*'Cálculos'!$E$98)/(('Cálculos'!$E$196+(($C161)-$A$120:$A$165)*'Cálculos'!$E$98)+1400)+'Cálculos'!$E$122)*'Cálculos'!$E$218+'Cálculos'!$E$125*(1+2.78*('Cálculos'!$E$196+(($C161)-$A$120:$A$165)*'Cálculos'!$E$98)/(('Cálculos'!$E$196+(($C161)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161)-$A$120:$A$165)*'Cálculos'!$E$98)/(('Cálculos'!$E$197+(($C161)-$A$120:$A$165)*'Cálculos'!$E$98)+1400)+'Cálculos'!$E$122)*'Cálculos'!$E$229+'Cálculos'!$E$125*(1+2.78*('Cálculos'!$E$197+(($C161)-$A$120:$A$165)*'Cálculos'!$E$98)/(('Cálculos'!$E$197+(($C161)-$A$120:$A$165)*'Cálculos'!$E$98)+1400)+'Cálculos'!$E$123)*'Cálculos'!$E$234)+('Cálculos'!$E$197+(($C161)-$A$120:$A$165)*'Cálculos'!$E$98)*('Cálculos'!$E$225+'Cálculos'!$E$124*(1+2.78*('Cálculos'!$E$197+(($C161)-$A$120:$A$165)*'Cálculos'!$E$98)/(('Cálculos'!$E$197+(($C161)-$A$120:$A$165)*'Cálculos'!$E$98)+1400)+'Cálculos'!$E$122)*'Cálculos'!$E$230+'Cálculos'!$E$125*(1+2.78*('Cálculos'!$E$197+(($C161)-$A$120:$A$165)*'Cálculos'!$E$98)/(('Cálculos'!$E$197+(($C161)-$A$120:$A$165)*'Cálculos'!$E$98)+1400)+'Cálculos'!$E$123)*'Cálculos'!$E$235)+('Cálculos'!$E$201*(1+'Cálculos'!$E$202+$A$120:$A$165*('Cálculos'!$E$290=2)*'Cálculos'!$E$101)+'Cálculos'!$E$203)*('Cálculos'!$E$226+'Cálculos'!$E$124*(1+2.78*('Cálculos'!$E$197+(($C161)-$A$120:$A$165)*'Cálculos'!$E$98)/(('Cálculos'!$E$197+(($C161)-$A$120:$A$165)*'Cálculos'!$E$98)+1400)+'Cálculos'!$E$122)*'Cálculos'!$E$231+'Cálculos'!$E$125*(1+2.78*('Cálculos'!$E$197+(($C161)-$A$120:$A$165)*'Cálculos'!$E$98)/(('Cálculos'!$E$197+(($C161)-$A$120:$A$165)*'Cálculos'!$E$98)+1400)+'Cálculos'!$E$123)*'Cálculos'!$E$236)+('Cálculos'!$E$204*(1+'Cálculos'!$E$205+$A$120:$A$165*('Cálculos'!$E$290=3)*'Cálculos'!$E$103)+'Cálculos'!$E$206)*('Cálculos'!$E$227+'Cálculos'!$E$124*(1+2.78*('Cálculos'!$E$197+(($C161)-$A$120:$A$165)*'Cálculos'!$E$98)/(('Cálculos'!$E$197+(($C161)-$A$120:$A$165)*'Cálculos'!$E$98)+1400)+'Cálculos'!$E$122)*'Cálculos'!$E$232+'Cálculos'!$E$125*(1+2.78*('Cálculos'!$E$197+(($C161)-$A$120:$A$165)*'Cálculos'!$E$98)/(('Cálculos'!$E$197+(($C161)-$A$120:$A$165)*'Cálculos'!$E$98)+1400)+'Cálculos'!$E$123)*'Cálculos'!$E$237)+('Cálculos'!$E$228+'Cálculos'!$E$124*(1+2.78*('Cálculos'!$E$197+(($C161)-$A$120:$A$165)*'Cálculos'!$E$98)/(('Cálculos'!$E$197+(($C161)-$A$120:$A$165)*'Cálculos'!$E$98)+1400)+'Cálculos'!$E$122)*'Cálculos'!$E$233+'Cálculos'!$E$125*(1+2.78*('Cálculos'!$E$197+(($C161)-$A$120:$A$165)*'Cálculos'!$E$98)/(('Cálculos'!$E$197+(($C161)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161)-$A$120:$A$165)*'Cálculos'!$E$98)/(('Cálculos'!$E$198+(($C161)-$A$120:$A$165)*'Cálculos'!$E$98)+1400)+'Cálculos'!$E$122)*'Cálculos'!$E$244+'Cálculos'!$E$125*(1+2.78*('Cálculos'!$E$198+(($C161)-$A$120:$A$165)*'Cálculos'!$E$98)/(('Cálculos'!$E$198+(($C161)-$A$120:$A$165)*'Cálculos'!$E$98)+1400)+'Cálculos'!$E$123)*'Cálculos'!$E$249)+('Cálculos'!$E$198+(($C161)-$A$120:$A$165)*'Cálculos'!$E$98)*('Cálculos'!$E$240+'Cálculos'!$E$124*(1+2.78*('Cálculos'!$E$198+(($C161)-$A$120:$A$165)*'Cálculos'!$E$98)/(('Cálculos'!$E$198+(($C161)-$A$120:$A$165)*'Cálculos'!$E$98)+1400)+'Cálculos'!$E$122)*'Cálculos'!$E$245+'Cálculos'!$E$125*(1+2.78*('Cálculos'!$E$198+(($C161)-$A$120:$A$165)*'Cálculos'!$E$98)/(('Cálculos'!$E$198+(($C161)-$A$120:$A$165)*'Cálculos'!$E$98)+1400)+'Cálculos'!$E$123)*'Cálculos'!$E$250)+('Cálculos'!$E$201*(1+'Cálculos'!$E$202+$A$120:$A$165*('Cálculos'!$E$290=2)*'Cálculos'!$E$101)+'Cálculos'!$E$203)*('Cálculos'!$E$241+'Cálculos'!$E$124*(1+2.78*('Cálculos'!$E$198+(($C161)-$A$120:$A$165)*'Cálculos'!$E$98)/(('Cálculos'!$E$198+(($C161)-$A$120:$A$165)*'Cálculos'!$E$98)+1400)+'Cálculos'!$E$122)*'Cálculos'!$E$246+'Cálculos'!$E$125*(1+2.78*('Cálculos'!$E$198+(($C161)-$A$120:$A$165)*'Cálculos'!$E$98)/(('Cálculos'!$E$198+(($C161)-$A$120:$A$165)*'Cálculos'!$E$98)+1400)+'Cálculos'!$E$123)*'Cálculos'!$E$251)+('Cálculos'!$E$204*(1+'Cálculos'!$E$205+$A$120:$A$165*('Cálculos'!$E$290=3)*'Cálculos'!$E$103)+'Cálculos'!$E$206)*('Cálculos'!$E$242+'Cálculos'!$E$124*(1+2.78*('Cálculos'!$E$198+(($C161)-$A$120:$A$165)*'Cálculos'!$E$98)/(('Cálculos'!$E$198+(($C161)-$A$120:$A$165)*'Cálculos'!$E$98)+1400)+'Cálculos'!$E$122)*'Cálculos'!$E$247+'Cálculos'!$E$125*(1+2.78*('Cálculos'!$E$198+(($C161)-$A$120:$A$165)*'Cálculos'!$E$98)/(('Cálculos'!$E$198+(($C161)-$A$120:$A$165)*'Cálculos'!$E$98)+1400)+'Cálculos'!$E$123)*'Cálculos'!$E$252)+('Cálculos'!$E$243+'Cálculos'!$E$124*(1+2.78*('Cálculos'!$E$198+(($C161)-$A$120:$A$165)*'Cálculos'!$E$98)/(('Cálculos'!$E$198+(($C161)-$A$120:$A$165)*'Cálculos'!$E$98)+1400)+'Cálculos'!$E$122)*'Cálculos'!$E$248+'Cálculos'!$E$125*(1+2.78*('Cálculos'!$E$198+(($C161)-$A$120:$A$165)*'Cálculos'!$E$98)/(('Cálculos'!$E$198+(($C161)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161)-$A$120:$A$165)*'Cálculos'!$E$98)/(('Cálculos'!$E$199+(($C161)-$A$120:$A$165)*'Cálculos'!$E$98)+1400)+'Cálculos'!$E$122)*'Cálculos'!$E$259+'Cálculos'!$E$125*(1+2.78*('Cálculos'!$E$199+(($C161)-$A$120:$A$165)*'Cálculos'!$E$98)/(('Cálculos'!$E$199+(($C161)-$A$120:$A$165)*'Cálculos'!$E$98)+1400)+'Cálculos'!$E$123)*'Cálculos'!$E$264)+('Cálculos'!$E$199+(($C161)-$A$120:$A$165)*'Cálculos'!$E$98)*('Cálculos'!$E$255+'Cálculos'!$E$124*(1+2.78*('Cálculos'!$E$199+(($C161)-$A$120:$A$165)*'Cálculos'!$E$98)/(('Cálculos'!$E$199+(($C161)-$A$120:$A$165)*'Cálculos'!$E$98)+1400)+'Cálculos'!$E$122)*'Cálculos'!$E$260+'Cálculos'!$E$125*(1+2.78*('Cálculos'!$E$199+(($C161)-$A$120:$A$165)*'Cálculos'!$E$98)/(('Cálculos'!$E$199+(($C161)-$A$120:$A$165)*'Cálculos'!$E$98)+1400)+'Cálculos'!$E$123)*'Cálculos'!$E$265)+('Cálculos'!$E$201*(1+'Cálculos'!$E$202+$A$120:$A$165*('Cálculos'!$E$290=2)*'Cálculos'!$E$101)+'Cálculos'!$E$203)*('Cálculos'!$E$256+'Cálculos'!$E$124*(1+2.78*('Cálculos'!$E$199+(($C161)-$A$120:$A$165)*'Cálculos'!$E$98)/(('Cálculos'!$E$199+(($C161)-$A$120:$A$165)*'Cálculos'!$E$98)+1400)+'Cálculos'!$E$122)*'Cálculos'!$E$261+'Cálculos'!$E$125*(1+2.78*('Cálculos'!$E$199+(($C161)-$A$120:$A$165)*'Cálculos'!$E$98)/(('Cálculos'!$E$199+(($C161)-$A$120:$A$165)*'Cálculos'!$E$98)+1400)+'Cálculos'!$E$123)*'Cálculos'!$E$266)+('Cálculos'!$E$204*(1+'Cálculos'!$E$205+$A$120:$A$165*('Cálculos'!$E$290=3)*'Cálculos'!$E$103)+'Cálculos'!$E$206)*('Cálculos'!$E$257+'Cálculos'!$E$124*(1+2.78*('Cálculos'!$E$199+(($C161)-$A$120:$A$165)*'Cálculos'!$E$98)/(('Cálculos'!$E$199+(($C161)-$A$120:$A$165)*'Cálculos'!$E$98)+1400)+'Cálculos'!$E$122)*'Cálculos'!$E$262+'Cálculos'!$E$125*(1+2.78*('Cálculos'!$E$199+(($C161)-$A$120:$A$165)*'Cálculos'!$E$98)/(('Cálculos'!$E$199+(($C161)-$A$120:$A$165)*'Cálculos'!$E$98)+1400)+'Cálculos'!$E$123)*'Cálculos'!$E$267)+('Cálculos'!$E$258+'Cálculos'!$E$124*(1+2.78*('Cálculos'!$E$199+(($C161)-$A$120:$A$165)*'Cálculos'!$E$98)/(('Cálculos'!$E$199+(($C161)-$A$120:$A$165)*'Cálculos'!$E$98)+1400)+'Cálculos'!$E$122)*'Cálculos'!$E$263+'Cálculos'!$E$125*(1+2.78*('Cálculos'!$E$199+(($C161)-$A$120:$A$165)*'Cálculos'!$E$98)/(('Cálculos'!$E$199+(($C161)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161)-$A$120:$A$165)*'Cálculos'!$E$98)/(('Cálculos'!$E$200+(($C161)-$A$120:$A$165)*'Cálculos'!$E$98)+1400)+'Cálculos'!$E$122)*'Cálculos'!$E$274+'Cálculos'!$E$125*(1+2.78*('Cálculos'!$E$200+(($C161)-$A$120:$A$165)*'Cálculos'!$E$98)/(('Cálculos'!$E$200+(($C161)-$A$120:$A$165)*'Cálculos'!$E$98)+1400)+'Cálculos'!$E$123)*'Cálculos'!$E$279)+('Cálculos'!$E$200+(($C161)-$A$120:$A$165)*'Cálculos'!$E$98)*('Cálculos'!$E$270+'Cálculos'!$E$124*(1+2.78*('Cálculos'!$E$200+(($C161)-$A$120:$A$165)*'Cálculos'!$E$98)/(('Cálculos'!$E$200+(($C161)-$A$120:$A$165)*'Cálculos'!$E$98)+1400)+'Cálculos'!$E$122)*'Cálculos'!$E$275+'Cálculos'!$E$125*(1+2.78*('Cálculos'!$E$200+(($C161)-$A$120:$A$165)*'Cálculos'!$E$98)/(('Cálculos'!$E$200+(($C161)-$A$120:$A$165)*'Cálculos'!$E$98)+1400)+'Cálculos'!$E$123)*'Cálculos'!$E$280)+('Cálculos'!$E$201*(1+'Cálculos'!$E$202+$A$120:$A$165*('Cálculos'!$E$290=2)*'Cálculos'!$E$101)+'Cálculos'!$E$203)*('Cálculos'!$E$271+'Cálculos'!$E$124*(1+2.78*('Cálculos'!$E$200+(($C161)-$A$120:$A$165)*'Cálculos'!$E$98)/(('Cálculos'!$E$200+(($C161)-$A$120:$A$165)*'Cálculos'!$E$98)+1400)+'Cálculos'!$E$122)*'Cálculos'!$E$276+'Cálculos'!$E$125*(1+2.78*('Cálculos'!$E$200+(($C161)-$A$120:$A$165)*'Cálculos'!$E$98)/(('Cálculos'!$E$200+(($C161)-$A$120:$A$165)*'Cálculos'!$E$98)+1400)+'Cálculos'!$E$123)*'Cálculos'!$E$281)+('Cálculos'!$E$204*(1+'Cálculos'!$E$205+$A$120:$A$165*('Cálculos'!$E$290=3)*'Cálculos'!$E$103)+'Cálculos'!$E$206)*('Cálculos'!$E$272+'Cálculos'!$E$124*(1+2.78*('Cálculos'!$E$200+(($C161)-$A$120:$A$165)*'Cálculos'!$E$98)/(('Cálculos'!$E$200+(($C161)-$A$120:$A$165)*'Cálculos'!$E$98)+1400)+'Cálculos'!$E$122)*'Cálculos'!$E$277+'Cálculos'!$E$125*(1+2.78*('Cálculos'!$E$200+(($C161)-$A$120:$A$165)*'Cálculos'!$E$98)/(('Cálculos'!$E$200+(($C161)-$A$120:$A$165)*'Cálculos'!$E$98)+1400)+'Cálculos'!$E$123)*'Cálculos'!$E$282)+('Cálculos'!$E$273+'Cálculos'!$E$124*(1+2.78*('Cálculos'!$E$200+(($C161)-$A$120:$A$165)*'Cálculos'!$E$98)/(('Cálculos'!$E$200+(($C161)-$A$120:$A$165)*'Cálculos'!$E$98)+1400)+'Cálculos'!$E$122)*'Cálculos'!$E$278+'Cálculos'!$E$125*(1+2.78*('Cálculos'!$E$200+(($C161)-$A$120:$A$165)*'Cálculos'!$E$98)/(('Cálculos'!$E$200+(($C161)-$A$120:$A$165)*'Cálculos'!$E$98)+1400)+'Cálculos'!$E$123)*'Cálculos'!$E$283)))))</f>
        <v>0</v>
      </c>
      <c r="E161" s="32">
        <f>IF(OR($C161&lt;0,'Cálculos'!$E$6=""),0,$B161*$D161)</f>
        <v>0</v>
      </c>
      <c r="F161" s="2"/>
      <c r="G161" s="30">
        <f>($A161&lt;=$B$167)*($A161&lt;='Cálculos'!$E$294)*(($B$167)-$A161&lt;='Cálculos'!$E$295)*(1+MIN(('Cálculos'!$E$207+$A161*'Cálculos'!$E$95),1)*('Cálculos'!$E$208+(($B$167)-$A161)*'Cálculos'!$E$96))</f>
        <v>0</v>
      </c>
      <c r="H161" s="31">
        <f>IF($B$168&lt;0,0,($A161&lt;=$B$168)*($A161&lt;='Cálculos'!$E$301)*(($B$168)-$A161&lt;='Cálculos'!$E$297)*(('Cálculos'!$E$185*(1+'Cálculos'!$E$186+$A161*('Cálculos'!$E$290=1)*'Cálculos'!$E$97+'Cálculos'!$E$305)+'Cálculos'!$E$191)*('Cálculos'!$E$209+'Cálculos'!$E$124*(1+2.78*('Cálculos'!$E$196+(($B$168)-$A161)*'Cálculos'!$E$98)/(('Cálculos'!$E$196+(($B$168)-$A161)*'Cálculos'!$E$98)+1400)+'Cálculos'!$E$122)*'Cálculos'!$E$214+'Cálculos'!$E$125*(1+2.78*('Cálculos'!$E$196+(($B$168)-$A161)*'Cálculos'!$E$98)/(('Cálculos'!$E$196+(($B$168)-$A161)*'Cálculos'!$E$98)+1400)+'Cálculos'!$E$123)*'Cálculos'!$E$219)+('Cálculos'!$E$196+(($B$168)-$A161)*'Cálculos'!$E$98)*('Cálculos'!$E$210+'Cálculos'!$E$124*(1+2.78*('Cálculos'!$E$196+(($B$168)-$A161)*'Cálculos'!$E$98)/(('Cálculos'!$E$196+(($B$168)-$A161)*'Cálculos'!$E$98)+1400)+'Cálculos'!$E$122)*'Cálculos'!$E$215+'Cálculos'!$E$125*(1+2.78*('Cálculos'!$E$196+(($B$168)-$A161)*'Cálculos'!$E$98)/(('Cálculos'!$E$196+(($B$168)-$A161)*'Cálculos'!$E$98)+1400)+'Cálculos'!$E$123)*'Cálculos'!$E$220)+('Cálculos'!$E$201*(1+'Cálculos'!$E$202+$A161*('Cálculos'!$E$290=2)*'Cálculos'!$E$101)+'Cálculos'!$E$203)*('Cálculos'!$E$211+'Cálculos'!$E$124*(1+2.78*('Cálculos'!$E$196+(($B$168)-$A161)*'Cálculos'!$E$98)/(('Cálculos'!$E$196+(($B$168)-$A161)*'Cálculos'!$E$98)+1400)+'Cálculos'!$E$122)*'Cálculos'!$E$216+'Cálculos'!$E$125*(1+2.78*('Cálculos'!$E$196+(($B$168)-$A161)*'Cálculos'!$E$98)/(('Cálculos'!$E$196+(($B$168)-$A161)*'Cálculos'!$E$98)+1400)+'Cálculos'!$E$123)*'Cálculos'!$E$221)+('Cálculos'!$E$204*(1+'Cálculos'!$E$205+$A161*('Cálculos'!$E$290=3)*'Cálculos'!$E$103)+'Cálculos'!$E$206)*('Cálculos'!$E$212+'Cálculos'!$E$124*(1+2.78*('Cálculos'!$E$196+(($B$168)-$A161)*'Cálculos'!$E$98)/(('Cálculos'!$E$196+(($B$168)-$A161)*'Cálculos'!$E$98)+1400)+'Cálculos'!$E$122)*'Cálculos'!$E$217+'Cálculos'!$E$125*(1+2.78*('Cálculos'!$E$196+(($B$168)-$A161)*'Cálculos'!$E$98)/(('Cálculos'!$E$196+(($B$168)-$A161)*'Cálculos'!$E$98)+1400)+'Cálculos'!$E$123)*'Cálculos'!$E$222)+('Cálculos'!$E$213+'Cálculos'!$E$124*(1+2.78*('Cálculos'!$E$196+(($B$168)-$A161)*'Cálculos'!$E$98)/(('Cálculos'!$E$196+(($B$168)-$A161)*'Cálculos'!$E$98)+1400)+'Cálculos'!$E$122)*'Cálculos'!$E$218+'Cálculos'!$E$125*(1+2.78*('Cálculos'!$E$196+(($B$168)-$A161)*'Cálculos'!$E$98)/(('Cálculos'!$E$196+(($B$168)-$A161)*'Cálculos'!$E$98)+1400)+'Cálculos'!$E$123)*'Cálculos'!$E$223)+('Cálculos'!$E$185*(1+'Cálculos'!$E$187+$A161*('Cálculos'!$E$290=1)*'Cálculos'!$E$97+'Cálculos'!$E$305)+'Cálculos'!$E$192)*('Cálculos'!$E$224+'Cálculos'!$E$124*(1+2.78*('Cálculos'!$E$197+(($B$168)-$A161)*'Cálculos'!$E$98)/(('Cálculos'!$E$197+(($B$168)-$A161)*'Cálculos'!$E$98)+1400)+'Cálculos'!$E$122)*'Cálculos'!$E$229+'Cálculos'!$E$125*(1+2.78*('Cálculos'!$E$197+(($B$168)-$A161)*'Cálculos'!$E$98)/(('Cálculos'!$E$197+(($B$168)-$A161)*'Cálculos'!$E$98)+1400)+'Cálculos'!$E$123)*'Cálculos'!$E$234)+('Cálculos'!$E$197+(($B$168)-$A161)*'Cálculos'!$E$98)*('Cálculos'!$E$225+'Cálculos'!$E$124*(1+2.78*('Cálculos'!$E$197+(($B$168)-$A161)*'Cálculos'!$E$98)/(('Cálculos'!$E$197+(($B$168)-$A161)*'Cálculos'!$E$98)+1400)+'Cálculos'!$E$122)*'Cálculos'!$E$230+'Cálculos'!$E$125*(1+2.78*('Cálculos'!$E$197+(($B$168)-$A161)*'Cálculos'!$E$98)/(('Cálculos'!$E$197+(($B$168)-$A161)*'Cálculos'!$E$98)+1400)+'Cálculos'!$E$123)*'Cálculos'!$E$235)+('Cálculos'!$E$201*(1+'Cálculos'!$E$202+$A161*('Cálculos'!$E$290=2)*'Cálculos'!$E$101)+'Cálculos'!$E$203)*('Cálculos'!$E$226+'Cálculos'!$E$124*(1+2.78*('Cálculos'!$E$197+(($B$168)-$A161)*'Cálculos'!$E$98)/(('Cálculos'!$E$197+(($B$168)-$A161)*'Cálculos'!$E$98)+1400)+'Cálculos'!$E$122)*'Cálculos'!$E$231+'Cálculos'!$E$125*(1+2.78*('Cálculos'!$E$197+(($B$168)-$A161)*'Cálculos'!$E$98)/(('Cálculos'!$E$197+(($B$168)-$A161)*'Cálculos'!$E$98)+1400)+'Cálculos'!$E$123)*'Cálculos'!$E$236)+('Cálculos'!$E$204*(1+'Cálculos'!$E$205+$A161*('Cálculos'!$E$290=3)*'Cálculos'!$E$103)+'Cálculos'!$E$206)*('Cálculos'!$E$227+'Cálculos'!$E$124*(1+2.78*('Cálculos'!$E$197+(($B$168)-$A161)*'Cálculos'!$E$98)/(('Cálculos'!$E$197+(($B$168)-$A161)*'Cálculos'!$E$98)+1400)+'Cálculos'!$E$122)*'Cálculos'!$E$232+'Cálculos'!$E$125*(1+2.78*('Cálculos'!$E$197+(($B$168)-$A161)*'Cálculos'!$E$98)/(('Cálculos'!$E$197+(($B$168)-$A161)*'Cálculos'!$E$98)+1400)+'Cálculos'!$E$123)*'Cálculos'!$E$237)+('Cálculos'!$E$228+'Cálculos'!$E$124*(1+2.78*('Cálculos'!$E$197+(($B$168)-$A161)*'Cálculos'!$E$98)/(('Cálculos'!$E$197+(($B$168)-$A161)*'Cálculos'!$E$98)+1400)+'Cálculos'!$E$122)*'Cálculos'!$E$233+'Cálculos'!$E$125*(1+2.78*('Cálculos'!$E$197+(($B$168)-$A161)*'Cálculos'!$E$98)/(('Cálculos'!$E$197+(($B$168)-$A161)*'Cálculos'!$E$98)+1400)+'Cálculos'!$E$123)*'Cálculos'!$E$238)+('Cálculos'!$E$185*(1+'Cálculos'!$E$188+$A161*('Cálculos'!$E$290=1)*'Cálculos'!$E$97+'Cálculos'!$E$305)+'Cálculos'!$E$193)*('Cálculos'!$E$239+'Cálculos'!$E$124*(1+2.78*('Cálculos'!$E$198+(($B$168)-$A161)*'Cálculos'!$E$98)/(('Cálculos'!$E$198+(($B$168)-$A161)*'Cálculos'!$E$98)+1400)+'Cálculos'!$E$122)*'Cálculos'!$E$244+'Cálculos'!$E$125*(1+2.78*('Cálculos'!$E$198+(($B$168)-$A161)*'Cálculos'!$E$98)/(('Cálculos'!$E$198+(($B$168)-$A161)*'Cálculos'!$E$98)+1400)+'Cálculos'!$E$123)*'Cálculos'!$E$249)+('Cálculos'!$E$198+(($B$168)-$A161)*'Cálculos'!$E$98)*('Cálculos'!$E$240+'Cálculos'!$E$124*(1+2.78*('Cálculos'!$E$198+(($B$168)-$A161)*'Cálculos'!$E$98)/(('Cálculos'!$E$198+(($B$168)-$A161)*'Cálculos'!$E$98)+1400)+'Cálculos'!$E$122)*'Cálculos'!$E$245+'Cálculos'!$E$125*(1+2.78*('Cálculos'!$E$198+(($B$168)-$A161)*'Cálculos'!$E$98)/(('Cálculos'!$E$198+(($B$168)-$A161)*'Cálculos'!$E$98)+1400)+'Cálculos'!$E$123)*'Cálculos'!$E$250)+('Cálculos'!$E$201*(1+'Cálculos'!$E$202+$A161*('Cálculos'!$E$290=2)*'Cálculos'!$E$101)+'Cálculos'!$E$203)*('Cálculos'!$E$241+'Cálculos'!$E$124*(1+2.78*('Cálculos'!$E$198+(($B$168)-$A161)*'Cálculos'!$E$98)/(('Cálculos'!$E$198+(($B$168)-$A161)*'Cálculos'!$E$98)+1400)+'Cálculos'!$E$122)*'Cálculos'!$E$246+'Cálculos'!$E$125*(1+2.78*('Cálculos'!$E$198+(($B$168)-$A161)*'Cálculos'!$E$98)/(('Cálculos'!$E$198+(($B$168)-$A161)*'Cálculos'!$E$98)+1400)+'Cálculos'!$E$123)*'Cálculos'!$E$251)+('Cálculos'!$E$204*(1+'Cálculos'!$E$205+$A161*('Cálculos'!$E$290=3)*'Cálculos'!$E$103)+'Cálculos'!$E$206)*('Cálculos'!$E$242+'Cálculos'!$E$124*(1+2.78*('Cálculos'!$E$198+(($B$168)-$A161)*'Cálculos'!$E$98)/(('Cálculos'!$E$198+(($B$168)-$A161)*'Cálculos'!$E$98)+1400)+'Cálculos'!$E$122)*'Cálculos'!$E$247+'Cálculos'!$E$125*(1+2.78*('Cálculos'!$E$198+(($B$168)-$A161)*'Cálculos'!$E$98)/(('Cálculos'!$E$198+(($B$168)-$A161)*'Cálculos'!$E$98)+1400)+'Cálculos'!$E$123)*'Cálculos'!$E$252)+('Cálculos'!$E$243+'Cálculos'!$E$124*(1+2.78*('Cálculos'!$E$198+(($B$168)-$A161)*'Cálculos'!$E$98)/(('Cálculos'!$E$198+(($B$168)-$A161)*'Cálculos'!$E$98)+1400)+'Cálculos'!$E$122)*'Cálculos'!$E$248+'Cálculos'!$E$125*(1+2.78*('Cálculos'!$E$198+(($B$168)-$A161)*'Cálculos'!$E$98)/(('Cálculos'!$E$198+(($B$168)-$A161)*'Cálculos'!$E$98)+1400)+'Cálculos'!$E$123)*'Cálculos'!$E$253)+('Cálculos'!$E$185*(1+'Cálculos'!$E$189+$A161*('Cálculos'!$E$290=1)*'Cálculos'!$E$97+'Cálculos'!$E$305)+'Cálculos'!$E$194)*('Cálculos'!$E$254+'Cálculos'!$E$124*(1+2.78*('Cálculos'!$E$199+(($B$168)-$A161)*'Cálculos'!$E$98)/(('Cálculos'!$E$199+(($B$168)-$A161)*'Cálculos'!$E$98)+1400)+'Cálculos'!$E$122)*'Cálculos'!$E$259+'Cálculos'!$E$125*(1+2.78*('Cálculos'!$E$199+(($B$168)-$A161)*'Cálculos'!$E$98)/(('Cálculos'!$E$199+(($B$168)-$A161)*'Cálculos'!$E$98)+1400)+'Cálculos'!$E$123)*'Cálculos'!$E$264)+('Cálculos'!$E$199+(($B$168)-$A161)*'Cálculos'!$E$98)*('Cálculos'!$E$255+'Cálculos'!$E$124*(1+2.78*('Cálculos'!$E$199+(($B$168)-$A161)*'Cálculos'!$E$98)/(('Cálculos'!$E$199+(($B$168)-$A161)*'Cálculos'!$E$98)+1400)+'Cálculos'!$E$122)*'Cálculos'!$E$260+'Cálculos'!$E$125*(1+2.78*('Cálculos'!$E$199+(($B$168)-$A161)*'Cálculos'!$E$98)/(('Cálculos'!$E$199+(($B$168)-$A161)*'Cálculos'!$E$98)+1400)+'Cálculos'!$E$123)*'Cálculos'!$E$265)+('Cálculos'!$E$201*(1+'Cálculos'!$E$202+$A161*('Cálculos'!$E$290=2)*'Cálculos'!$E$101)+'Cálculos'!$E$203)*('Cálculos'!$E$256+'Cálculos'!$E$124*(1+2.78*('Cálculos'!$E$199+(($B$168)-$A161)*'Cálculos'!$E$98)/(('Cálculos'!$E$199+(($B$168)-$A161)*'Cálculos'!$E$98)+1400)+'Cálculos'!$E$122)*'Cálculos'!$E$261+'Cálculos'!$E$125*(1+2.78*('Cálculos'!$E$199+(($B$168)-$A161)*'Cálculos'!$E$98)/(('Cálculos'!$E$199+(($B$168)-$A161)*'Cálculos'!$E$98)+1400)+'Cálculos'!$E$123)*'Cálculos'!$E$266)+('Cálculos'!$E$204*(1+'Cálculos'!$E$205+$A161*('Cálculos'!$E$290=3)*'Cálculos'!$E$103)+'Cálculos'!$E$206)*('Cálculos'!$E$257+'Cálculos'!$E$124*(1+2.78*('Cálculos'!$E$199+(($B$168)-$A161)*'Cálculos'!$E$98)/(('Cálculos'!$E$199+(($B$168)-$A161)*'Cálculos'!$E$98)+1400)+'Cálculos'!$E$122)*'Cálculos'!$E$262+'Cálculos'!$E$125*(1+2.78*('Cálculos'!$E$199+(($B$168)-$A161)*'Cálculos'!$E$98)/(('Cálculos'!$E$199+(($B$168)-$A161)*'Cálculos'!$E$98)+1400)+'Cálculos'!$E$123)*'Cálculos'!$E$267)+('Cálculos'!$E$258+'Cálculos'!$E$124*(1+2.78*('Cálculos'!$E$199+(($B$168)-$A161)*'Cálculos'!$E$98)/(('Cálculos'!$E$199+(($B$168)-$A161)*'Cálculos'!$E$98)+1400)+'Cálculos'!$E$122)*'Cálculos'!$E$263+'Cálculos'!$E$125*(1+2.78*('Cálculos'!$E$199+(($B$168)-$A161)*'Cálculos'!$E$98)/(('Cálculos'!$E$199+(($B$168)-$A161)*'Cálculos'!$E$98)+1400)+'Cálculos'!$E$123)*'Cálculos'!$E$268)+('Cálculos'!$E$185*(1+'Cálculos'!$E$190+$A161*('Cálculos'!$E$290=1)*'Cálculos'!$E$97+'Cálculos'!$E$305)+'Cálculos'!$E$195)*('Cálculos'!$E$269+'Cálculos'!$E$124*(1+2.78*('Cálculos'!$E$200+(($B$168)-$A161)*'Cálculos'!$E$98)/(('Cálculos'!$E$200+(($B$168)-$A161)*'Cálculos'!$E$98)+1400)+'Cálculos'!$E$122)*'Cálculos'!$E$274+'Cálculos'!$E$125*(1+2.78*('Cálculos'!$E$200+(($B$168)-$A161)*'Cálculos'!$E$98)/(('Cálculos'!$E$200+(($B$168)-$A161)*'Cálculos'!$E$98)+1400)+'Cálculos'!$E$123)*'Cálculos'!$E$279)+('Cálculos'!$E$200+(($B$168)-$A161)*'Cálculos'!$E$98)*('Cálculos'!$E$270+'Cálculos'!$E$124*(1+2.78*('Cálculos'!$E$200+(($B$168)-$A161)*'Cálculos'!$E$98)/(('Cálculos'!$E$200+(($B$168)-$A161)*'Cálculos'!$E$98)+1400)+'Cálculos'!$E$122)*'Cálculos'!$E$275+'Cálculos'!$E$125*(1+2.78*('Cálculos'!$E$200+(($B$168)-$A161)*'Cálculos'!$E$98)/(('Cálculos'!$E$200+(($B$168)-$A161)*'Cálculos'!$E$98)+1400)+'Cálculos'!$E$123)*'Cálculos'!$E$280)+('Cálculos'!$E$201*(1+'Cálculos'!$E$202+$A161*('Cálculos'!$E$290=2)*'Cálculos'!$E$101)+'Cálculos'!$E$203)*('Cálculos'!$E$271+'Cálculos'!$E$124*(1+2.78*('Cálculos'!$E$200+(($B$168)-$A161)*'Cálculos'!$E$98)/(('Cálculos'!$E$200+(($B$168)-$A161)*'Cálculos'!$E$98)+1400)+'Cálculos'!$E$122)*'Cálculos'!$E$276+'Cálculos'!$E$125*(1+2.78*('Cálculos'!$E$200+(($B$168)-$A161)*'Cálculos'!$E$98)/(('Cálculos'!$E$200+(($B$168)-$A161)*'Cálculos'!$E$98)+1400)+'Cálculos'!$E$123)*'Cálculos'!$E$281)+('Cálculos'!$E$204*(1+'Cálculos'!$E$205+$A161*('Cálculos'!$E$290=3)*'Cálculos'!$E$103)+'Cálculos'!$E$206)*('Cálculos'!$E$272+'Cálculos'!$E$124*(1+2.78*('Cálculos'!$E$200+(($B$168)-$A161)*'Cálculos'!$E$98)/(('Cálculos'!$E$200+(($B$168)-$A161)*'Cálculos'!$E$98)+1400)+'Cálculos'!$E$122)*'Cálculos'!$E$277+'Cálculos'!$E$125*(1+2.78*('Cálculos'!$E$200+(($B$168)-$A161)*'Cálculos'!$E$98)/(('Cálculos'!$E$200+(($B$168)-$A161)*'Cálculos'!$E$98)+1400)+'Cálculos'!$E$123)*'Cálculos'!$E$282)+('Cálculos'!$E$273+'Cálculos'!$E$124*(1+2.78*('Cálculos'!$E$200+(($B$168)-$A161)*'Cálculos'!$E$98)/(('Cálculos'!$E$200+(($B$168)-$A161)*'Cálculos'!$E$98)+1400)+'Cálculos'!$E$122)*'Cálculos'!$E$278+'Cálculos'!$E$125*(1+2.78*('Cálculos'!$E$200+(($B$168)-$A161)*'Cálculos'!$E$98)/(('Cálculos'!$E$200+(($B$168)-$A161)*'Cálculos'!$E$98)+1400)+'Cálculos'!$E$123)*'Cálculos'!$E$283)))</f>
        <v>0</v>
      </c>
    </row>
    <row r="162" ht="15.75" customHeight="1">
      <c r="A162" s="2">
        <v>42.0</v>
      </c>
      <c r="B162" s="30">
        <f>SUMPRODUCT(MAX(($A$120:$A$165&lt;=$A162)*($A$120:$A$165&lt;='Cálculos'!$E$294)*(($A162)-$A$120:$A$165&lt;='Cálculos'!$E$295)*(1+(('Cálculos'!$E$207+$A$120:$A$165*'Cálculos'!$E$95)-(('Cálculos'!$E$207+$A$120:$A$165*'Cálculos'!$E$95)&gt;1)*(('Cálculos'!$E$207+$A$120:$A$165*'Cálculos'!$E$95)-1))*('Cálculos'!$E$208+(($A162)-$A$120:$A$165)*'Cálculos'!$E$96))))</f>
        <v>3.254616</v>
      </c>
      <c r="C162" s="2">
        <f>'Cálculos'!$E$303-$A162</f>
        <v>-29</v>
      </c>
      <c r="D162" s="31">
        <f>IF($C162&lt;0,0,SUMPRODUCT(MAX(($A$120:$A$165&lt;=$C162)*($A$120:$A$165&lt;='Cálculos'!$E$301)*(($C162)-$A$120:$A$165&lt;='Cálculos'!$E$297)*(('Cálculos'!$E$185*(1+'Cálculos'!$E$186+$A$120:$A$165*('Cálculos'!$E$290=1)*'Cálculos'!$E$97+'Cálculos'!$E$305)+'Cálculos'!$E$191)*('Cálculos'!$E$209+'Cálculos'!$E$124*(1+2.78*('Cálculos'!$E$196+(($C162)-$A$120:$A$165)*'Cálculos'!$E$98)/(('Cálculos'!$E$196+(($C162)-$A$120:$A$165)*'Cálculos'!$E$98)+1400)+'Cálculos'!$E$122)*'Cálculos'!$E$214+'Cálculos'!$E$125*(1+2.78*('Cálculos'!$E$196+(($C162)-$A$120:$A$165)*'Cálculos'!$E$98)/(('Cálculos'!$E$196+(($C162)-$A$120:$A$165)*'Cálculos'!$E$98)+1400)+'Cálculos'!$E$123)*'Cálculos'!$E$219)+('Cálculos'!$E$196+(($C162)-$A$120:$A$165)*'Cálculos'!$E$98)*('Cálculos'!$E$210+'Cálculos'!$E$124*(1+2.78*('Cálculos'!$E$196+(($C162)-$A$120:$A$165)*'Cálculos'!$E$98)/(('Cálculos'!$E$196+(($C162)-$A$120:$A$165)*'Cálculos'!$E$98)+1400)+'Cálculos'!$E$122)*'Cálculos'!$E$215+'Cálculos'!$E$125*(1+2.78*('Cálculos'!$E$196+(($C162)-$A$120:$A$165)*'Cálculos'!$E$98)/(('Cálculos'!$E$196+(($C162)-$A$120:$A$165)*'Cálculos'!$E$98)+1400)+'Cálculos'!$E$123)*'Cálculos'!$E$220)+('Cálculos'!$E$201*(1+'Cálculos'!$E$202+$A$120:$A$165*('Cálculos'!$E$290=2)*'Cálculos'!$E$101)+'Cálculos'!$E$203)*('Cálculos'!$E$211+'Cálculos'!$E$124*(1+2.78*('Cálculos'!$E$196+(($C162)-$A$120:$A$165)*'Cálculos'!$E$98)/(('Cálculos'!$E$196+(($C162)-$A$120:$A$165)*'Cálculos'!$E$98)+1400)+'Cálculos'!$E$122)*'Cálculos'!$E$216+'Cálculos'!$E$125*(1+2.78*('Cálculos'!$E$196+(($C162)-$A$120:$A$165)*'Cálculos'!$E$98)/(('Cálculos'!$E$196+(($C162)-$A$120:$A$165)*'Cálculos'!$E$98)+1400)+'Cálculos'!$E$123)*'Cálculos'!$E$221)+('Cálculos'!$E$204*(1+'Cálculos'!$E$205+$A$120:$A$165*('Cálculos'!$E$290=3)*'Cálculos'!$E$103)+'Cálculos'!$E$206)*('Cálculos'!$E$212+'Cálculos'!$E$124*(1+2.78*('Cálculos'!$E$196+(($C162)-$A$120:$A$165)*'Cálculos'!$E$98)/(('Cálculos'!$E$196+(($C162)-$A$120:$A$165)*'Cálculos'!$E$98)+1400)+'Cálculos'!$E$122)*'Cálculos'!$E$217+'Cálculos'!$E$125*(1+2.78*('Cálculos'!$E$196+(($C162)-$A$120:$A$165)*'Cálculos'!$E$98)/(('Cálculos'!$E$196+(($C162)-$A$120:$A$165)*'Cálculos'!$E$98)+1400)+'Cálculos'!$E$123)*'Cálculos'!$E$222)+('Cálculos'!$E$213+'Cálculos'!$E$124*(1+2.78*('Cálculos'!$E$196+(($C162)-$A$120:$A$165)*'Cálculos'!$E$98)/(('Cálculos'!$E$196+(($C162)-$A$120:$A$165)*'Cálculos'!$E$98)+1400)+'Cálculos'!$E$122)*'Cálculos'!$E$218+'Cálculos'!$E$125*(1+2.78*('Cálculos'!$E$196+(($C162)-$A$120:$A$165)*'Cálculos'!$E$98)/(('Cálculos'!$E$196+(($C162)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162)-$A$120:$A$165)*'Cálculos'!$E$98)/(('Cálculos'!$E$197+(($C162)-$A$120:$A$165)*'Cálculos'!$E$98)+1400)+'Cálculos'!$E$122)*'Cálculos'!$E$229+'Cálculos'!$E$125*(1+2.78*('Cálculos'!$E$197+(($C162)-$A$120:$A$165)*'Cálculos'!$E$98)/(('Cálculos'!$E$197+(($C162)-$A$120:$A$165)*'Cálculos'!$E$98)+1400)+'Cálculos'!$E$123)*'Cálculos'!$E$234)+('Cálculos'!$E$197+(($C162)-$A$120:$A$165)*'Cálculos'!$E$98)*('Cálculos'!$E$225+'Cálculos'!$E$124*(1+2.78*('Cálculos'!$E$197+(($C162)-$A$120:$A$165)*'Cálculos'!$E$98)/(('Cálculos'!$E$197+(($C162)-$A$120:$A$165)*'Cálculos'!$E$98)+1400)+'Cálculos'!$E$122)*'Cálculos'!$E$230+'Cálculos'!$E$125*(1+2.78*('Cálculos'!$E$197+(($C162)-$A$120:$A$165)*'Cálculos'!$E$98)/(('Cálculos'!$E$197+(($C162)-$A$120:$A$165)*'Cálculos'!$E$98)+1400)+'Cálculos'!$E$123)*'Cálculos'!$E$235)+('Cálculos'!$E$201*(1+'Cálculos'!$E$202+$A$120:$A$165*('Cálculos'!$E$290=2)*'Cálculos'!$E$101)+'Cálculos'!$E$203)*('Cálculos'!$E$226+'Cálculos'!$E$124*(1+2.78*('Cálculos'!$E$197+(($C162)-$A$120:$A$165)*'Cálculos'!$E$98)/(('Cálculos'!$E$197+(($C162)-$A$120:$A$165)*'Cálculos'!$E$98)+1400)+'Cálculos'!$E$122)*'Cálculos'!$E$231+'Cálculos'!$E$125*(1+2.78*('Cálculos'!$E$197+(($C162)-$A$120:$A$165)*'Cálculos'!$E$98)/(('Cálculos'!$E$197+(($C162)-$A$120:$A$165)*'Cálculos'!$E$98)+1400)+'Cálculos'!$E$123)*'Cálculos'!$E$236)+('Cálculos'!$E$204*(1+'Cálculos'!$E$205+$A$120:$A$165*('Cálculos'!$E$290=3)*'Cálculos'!$E$103)+'Cálculos'!$E$206)*('Cálculos'!$E$227+'Cálculos'!$E$124*(1+2.78*('Cálculos'!$E$197+(($C162)-$A$120:$A$165)*'Cálculos'!$E$98)/(('Cálculos'!$E$197+(($C162)-$A$120:$A$165)*'Cálculos'!$E$98)+1400)+'Cálculos'!$E$122)*'Cálculos'!$E$232+'Cálculos'!$E$125*(1+2.78*('Cálculos'!$E$197+(($C162)-$A$120:$A$165)*'Cálculos'!$E$98)/(('Cálculos'!$E$197+(($C162)-$A$120:$A$165)*'Cálculos'!$E$98)+1400)+'Cálculos'!$E$123)*'Cálculos'!$E$237)+('Cálculos'!$E$228+'Cálculos'!$E$124*(1+2.78*('Cálculos'!$E$197+(($C162)-$A$120:$A$165)*'Cálculos'!$E$98)/(('Cálculos'!$E$197+(($C162)-$A$120:$A$165)*'Cálculos'!$E$98)+1400)+'Cálculos'!$E$122)*'Cálculos'!$E$233+'Cálculos'!$E$125*(1+2.78*('Cálculos'!$E$197+(($C162)-$A$120:$A$165)*'Cálculos'!$E$98)/(('Cálculos'!$E$197+(($C162)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162)-$A$120:$A$165)*'Cálculos'!$E$98)/(('Cálculos'!$E$198+(($C162)-$A$120:$A$165)*'Cálculos'!$E$98)+1400)+'Cálculos'!$E$122)*'Cálculos'!$E$244+'Cálculos'!$E$125*(1+2.78*('Cálculos'!$E$198+(($C162)-$A$120:$A$165)*'Cálculos'!$E$98)/(('Cálculos'!$E$198+(($C162)-$A$120:$A$165)*'Cálculos'!$E$98)+1400)+'Cálculos'!$E$123)*'Cálculos'!$E$249)+('Cálculos'!$E$198+(($C162)-$A$120:$A$165)*'Cálculos'!$E$98)*('Cálculos'!$E$240+'Cálculos'!$E$124*(1+2.78*('Cálculos'!$E$198+(($C162)-$A$120:$A$165)*'Cálculos'!$E$98)/(('Cálculos'!$E$198+(($C162)-$A$120:$A$165)*'Cálculos'!$E$98)+1400)+'Cálculos'!$E$122)*'Cálculos'!$E$245+'Cálculos'!$E$125*(1+2.78*('Cálculos'!$E$198+(($C162)-$A$120:$A$165)*'Cálculos'!$E$98)/(('Cálculos'!$E$198+(($C162)-$A$120:$A$165)*'Cálculos'!$E$98)+1400)+'Cálculos'!$E$123)*'Cálculos'!$E$250)+('Cálculos'!$E$201*(1+'Cálculos'!$E$202+$A$120:$A$165*('Cálculos'!$E$290=2)*'Cálculos'!$E$101)+'Cálculos'!$E$203)*('Cálculos'!$E$241+'Cálculos'!$E$124*(1+2.78*('Cálculos'!$E$198+(($C162)-$A$120:$A$165)*'Cálculos'!$E$98)/(('Cálculos'!$E$198+(($C162)-$A$120:$A$165)*'Cálculos'!$E$98)+1400)+'Cálculos'!$E$122)*'Cálculos'!$E$246+'Cálculos'!$E$125*(1+2.78*('Cálculos'!$E$198+(($C162)-$A$120:$A$165)*'Cálculos'!$E$98)/(('Cálculos'!$E$198+(($C162)-$A$120:$A$165)*'Cálculos'!$E$98)+1400)+'Cálculos'!$E$123)*'Cálculos'!$E$251)+('Cálculos'!$E$204*(1+'Cálculos'!$E$205+$A$120:$A$165*('Cálculos'!$E$290=3)*'Cálculos'!$E$103)+'Cálculos'!$E$206)*('Cálculos'!$E$242+'Cálculos'!$E$124*(1+2.78*('Cálculos'!$E$198+(($C162)-$A$120:$A$165)*'Cálculos'!$E$98)/(('Cálculos'!$E$198+(($C162)-$A$120:$A$165)*'Cálculos'!$E$98)+1400)+'Cálculos'!$E$122)*'Cálculos'!$E$247+'Cálculos'!$E$125*(1+2.78*('Cálculos'!$E$198+(($C162)-$A$120:$A$165)*'Cálculos'!$E$98)/(('Cálculos'!$E$198+(($C162)-$A$120:$A$165)*'Cálculos'!$E$98)+1400)+'Cálculos'!$E$123)*'Cálculos'!$E$252)+('Cálculos'!$E$243+'Cálculos'!$E$124*(1+2.78*('Cálculos'!$E$198+(($C162)-$A$120:$A$165)*'Cálculos'!$E$98)/(('Cálculos'!$E$198+(($C162)-$A$120:$A$165)*'Cálculos'!$E$98)+1400)+'Cálculos'!$E$122)*'Cálculos'!$E$248+'Cálculos'!$E$125*(1+2.78*('Cálculos'!$E$198+(($C162)-$A$120:$A$165)*'Cálculos'!$E$98)/(('Cálculos'!$E$198+(($C162)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162)-$A$120:$A$165)*'Cálculos'!$E$98)/(('Cálculos'!$E$199+(($C162)-$A$120:$A$165)*'Cálculos'!$E$98)+1400)+'Cálculos'!$E$122)*'Cálculos'!$E$259+'Cálculos'!$E$125*(1+2.78*('Cálculos'!$E$199+(($C162)-$A$120:$A$165)*'Cálculos'!$E$98)/(('Cálculos'!$E$199+(($C162)-$A$120:$A$165)*'Cálculos'!$E$98)+1400)+'Cálculos'!$E$123)*'Cálculos'!$E$264)+('Cálculos'!$E$199+(($C162)-$A$120:$A$165)*'Cálculos'!$E$98)*('Cálculos'!$E$255+'Cálculos'!$E$124*(1+2.78*('Cálculos'!$E$199+(($C162)-$A$120:$A$165)*'Cálculos'!$E$98)/(('Cálculos'!$E$199+(($C162)-$A$120:$A$165)*'Cálculos'!$E$98)+1400)+'Cálculos'!$E$122)*'Cálculos'!$E$260+'Cálculos'!$E$125*(1+2.78*('Cálculos'!$E$199+(($C162)-$A$120:$A$165)*'Cálculos'!$E$98)/(('Cálculos'!$E$199+(($C162)-$A$120:$A$165)*'Cálculos'!$E$98)+1400)+'Cálculos'!$E$123)*'Cálculos'!$E$265)+('Cálculos'!$E$201*(1+'Cálculos'!$E$202+$A$120:$A$165*('Cálculos'!$E$290=2)*'Cálculos'!$E$101)+'Cálculos'!$E$203)*('Cálculos'!$E$256+'Cálculos'!$E$124*(1+2.78*('Cálculos'!$E$199+(($C162)-$A$120:$A$165)*'Cálculos'!$E$98)/(('Cálculos'!$E$199+(($C162)-$A$120:$A$165)*'Cálculos'!$E$98)+1400)+'Cálculos'!$E$122)*'Cálculos'!$E$261+'Cálculos'!$E$125*(1+2.78*('Cálculos'!$E$199+(($C162)-$A$120:$A$165)*'Cálculos'!$E$98)/(('Cálculos'!$E$199+(($C162)-$A$120:$A$165)*'Cálculos'!$E$98)+1400)+'Cálculos'!$E$123)*'Cálculos'!$E$266)+('Cálculos'!$E$204*(1+'Cálculos'!$E$205+$A$120:$A$165*('Cálculos'!$E$290=3)*'Cálculos'!$E$103)+'Cálculos'!$E$206)*('Cálculos'!$E$257+'Cálculos'!$E$124*(1+2.78*('Cálculos'!$E$199+(($C162)-$A$120:$A$165)*'Cálculos'!$E$98)/(('Cálculos'!$E$199+(($C162)-$A$120:$A$165)*'Cálculos'!$E$98)+1400)+'Cálculos'!$E$122)*'Cálculos'!$E$262+'Cálculos'!$E$125*(1+2.78*('Cálculos'!$E$199+(($C162)-$A$120:$A$165)*'Cálculos'!$E$98)/(('Cálculos'!$E$199+(($C162)-$A$120:$A$165)*'Cálculos'!$E$98)+1400)+'Cálculos'!$E$123)*'Cálculos'!$E$267)+('Cálculos'!$E$258+'Cálculos'!$E$124*(1+2.78*('Cálculos'!$E$199+(($C162)-$A$120:$A$165)*'Cálculos'!$E$98)/(('Cálculos'!$E$199+(($C162)-$A$120:$A$165)*'Cálculos'!$E$98)+1400)+'Cálculos'!$E$122)*'Cálculos'!$E$263+'Cálculos'!$E$125*(1+2.78*('Cálculos'!$E$199+(($C162)-$A$120:$A$165)*'Cálculos'!$E$98)/(('Cálculos'!$E$199+(($C162)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162)-$A$120:$A$165)*'Cálculos'!$E$98)/(('Cálculos'!$E$200+(($C162)-$A$120:$A$165)*'Cálculos'!$E$98)+1400)+'Cálculos'!$E$122)*'Cálculos'!$E$274+'Cálculos'!$E$125*(1+2.78*('Cálculos'!$E$200+(($C162)-$A$120:$A$165)*'Cálculos'!$E$98)/(('Cálculos'!$E$200+(($C162)-$A$120:$A$165)*'Cálculos'!$E$98)+1400)+'Cálculos'!$E$123)*'Cálculos'!$E$279)+('Cálculos'!$E$200+(($C162)-$A$120:$A$165)*'Cálculos'!$E$98)*('Cálculos'!$E$270+'Cálculos'!$E$124*(1+2.78*('Cálculos'!$E$200+(($C162)-$A$120:$A$165)*'Cálculos'!$E$98)/(('Cálculos'!$E$200+(($C162)-$A$120:$A$165)*'Cálculos'!$E$98)+1400)+'Cálculos'!$E$122)*'Cálculos'!$E$275+'Cálculos'!$E$125*(1+2.78*('Cálculos'!$E$200+(($C162)-$A$120:$A$165)*'Cálculos'!$E$98)/(('Cálculos'!$E$200+(($C162)-$A$120:$A$165)*'Cálculos'!$E$98)+1400)+'Cálculos'!$E$123)*'Cálculos'!$E$280)+('Cálculos'!$E$201*(1+'Cálculos'!$E$202+$A$120:$A$165*('Cálculos'!$E$290=2)*'Cálculos'!$E$101)+'Cálculos'!$E$203)*('Cálculos'!$E$271+'Cálculos'!$E$124*(1+2.78*('Cálculos'!$E$200+(($C162)-$A$120:$A$165)*'Cálculos'!$E$98)/(('Cálculos'!$E$200+(($C162)-$A$120:$A$165)*'Cálculos'!$E$98)+1400)+'Cálculos'!$E$122)*'Cálculos'!$E$276+'Cálculos'!$E$125*(1+2.78*('Cálculos'!$E$200+(($C162)-$A$120:$A$165)*'Cálculos'!$E$98)/(('Cálculos'!$E$200+(($C162)-$A$120:$A$165)*'Cálculos'!$E$98)+1400)+'Cálculos'!$E$123)*'Cálculos'!$E$281)+('Cálculos'!$E$204*(1+'Cálculos'!$E$205+$A$120:$A$165*('Cálculos'!$E$290=3)*'Cálculos'!$E$103)+'Cálculos'!$E$206)*('Cálculos'!$E$272+'Cálculos'!$E$124*(1+2.78*('Cálculos'!$E$200+(($C162)-$A$120:$A$165)*'Cálculos'!$E$98)/(('Cálculos'!$E$200+(($C162)-$A$120:$A$165)*'Cálculos'!$E$98)+1400)+'Cálculos'!$E$122)*'Cálculos'!$E$277+'Cálculos'!$E$125*(1+2.78*('Cálculos'!$E$200+(($C162)-$A$120:$A$165)*'Cálculos'!$E$98)/(('Cálculos'!$E$200+(($C162)-$A$120:$A$165)*'Cálculos'!$E$98)+1400)+'Cálculos'!$E$123)*'Cálculos'!$E$282)+('Cálculos'!$E$273+'Cálculos'!$E$124*(1+2.78*('Cálculos'!$E$200+(($C162)-$A$120:$A$165)*'Cálculos'!$E$98)/(('Cálculos'!$E$200+(($C162)-$A$120:$A$165)*'Cálculos'!$E$98)+1400)+'Cálculos'!$E$122)*'Cálculos'!$E$278+'Cálculos'!$E$125*(1+2.78*('Cálculos'!$E$200+(($C162)-$A$120:$A$165)*'Cálculos'!$E$98)/(('Cálculos'!$E$200+(($C162)-$A$120:$A$165)*'Cálculos'!$E$98)+1400)+'Cálculos'!$E$123)*'Cálculos'!$E$283)))))</f>
        <v>0</v>
      </c>
      <c r="E162" s="32">
        <f>IF(OR($C162&lt;0,'Cálculos'!$E$6=""),0,$B162*$D162)</f>
        <v>0</v>
      </c>
      <c r="F162" s="2"/>
      <c r="G162" s="30">
        <f>($A162&lt;=$B$167)*($A162&lt;='Cálculos'!$E$294)*(($B$167)-$A162&lt;='Cálculos'!$E$295)*(1+MIN(('Cálculos'!$E$207+$A162*'Cálculos'!$E$95),1)*('Cálculos'!$E$208+(($B$167)-$A162)*'Cálculos'!$E$96))</f>
        <v>0</v>
      </c>
      <c r="H162" s="31">
        <f>IF($B$168&lt;0,0,($A162&lt;=$B$168)*($A162&lt;='Cálculos'!$E$301)*(($B$168)-$A162&lt;='Cálculos'!$E$297)*(('Cálculos'!$E$185*(1+'Cálculos'!$E$186+$A162*('Cálculos'!$E$290=1)*'Cálculos'!$E$97+'Cálculos'!$E$305)+'Cálculos'!$E$191)*('Cálculos'!$E$209+'Cálculos'!$E$124*(1+2.78*('Cálculos'!$E$196+(($B$168)-$A162)*'Cálculos'!$E$98)/(('Cálculos'!$E$196+(($B$168)-$A162)*'Cálculos'!$E$98)+1400)+'Cálculos'!$E$122)*'Cálculos'!$E$214+'Cálculos'!$E$125*(1+2.78*('Cálculos'!$E$196+(($B$168)-$A162)*'Cálculos'!$E$98)/(('Cálculos'!$E$196+(($B$168)-$A162)*'Cálculos'!$E$98)+1400)+'Cálculos'!$E$123)*'Cálculos'!$E$219)+('Cálculos'!$E$196+(($B$168)-$A162)*'Cálculos'!$E$98)*('Cálculos'!$E$210+'Cálculos'!$E$124*(1+2.78*('Cálculos'!$E$196+(($B$168)-$A162)*'Cálculos'!$E$98)/(('Cálculos'!$E$196+(($B$168)-$A162)*'Cálculos'!$E$98)+1400)+'Cálculos'!$E$122)*'Cálculos'!$E$215+'Cálculos'!$E$125*(1+2.78*('Cálculos'!$E$196+(($B$168)-$A162)*'Cálculos'!$E$98)/(('Cálculos'!$E$196+(($B$168)-$A162)*'Cálculos'!$E$98)+1400)+'Cálculos'!$E$123)*'Cálculos'!$E$220)+('Cálculos'!$E$201*(1+'Cálculos'!$E$202+$A162*('Cálculos'!$E$290=2)*'Cálculos'!$E$101)+'Cálculos'!$E$203)*('Cálculos'!$E$211+'Cálculos'!$E$124*(1+2.78*('Cálculos'!$E$196+(($B$168)-$A162)*'Cálculos'!$E$98)/(('Cálculos'!$E$196+(($B$168)-$A162)*'Cálculos'!$E$98)+1400)+'Cálculos'!$E$122)*'Cálculos'!$E$216+'Cálculos'!$E$125*(1+2.78*('Cálculos'!$E$196+(($B$168)-$A162)*'Cálculos'!$E$98)/(('Cálculos'!$E$196+(($B$168)-$A162)*'Cálculos'!$E$98)+1400)+'Cálculos'!$E$123)*'Cálculos'!$E$221)+('Cálculos'!$E$204*(1+'Cálculos'!$E$205+$A162*('Cálculos'!$E$290=3)*'Cálculos'!$E$103)+'Cálculos'!$E$206)*('Cálculos'!$E$212+'Cálculos'!$E$124*(1+2.78*('Cálculos'!$E$196+(($B$168)-$A162)*'Cálculos'!$E$98)/(('Cálculos'!$E$196+(($B$168)-$A162)*'Cálculos'!$E$98)+1400)+'Cálculos'!$E$122)*'Cálculos'!$E$217+'Cálculos'!$E$125*(1+2.78*('Cálculos'!$E$196+(($B$168)-$A162)*'Cálculos'!$E$98)/(('Cálculos'!$E$196+(($B$168)-$A162)*'Cálculos'!$E$98)+1400)+'Cálculos'!$E$123)*'Cálculos'!$E$222)+('Cálculos'!$E$213+'Cálculos'!$E$124*(1+2.78*('Cálculos'!$E$196+(($B$168)-$A162)*'Cálculos'!$E$98)/(('Cálculos'!$E$196+(($B$168)-$A162)*'Cálculos'!$E$98)+1400)+'Cálculos'!$E$122)*'Cálculos'!$E$218+'Cálculos'!$E$125*(1+2.78*('Cálculos'!$E$196+(($B$168)-$A162)*'Cálculos'!$E$98)/(('Cálculos'!$E$196+(($B$168)-$A162)*'Cálculos'!$E$98)+1400)+'Cálculos'!$E$123)*'Cálculos'!$E$223)+('Cálculos'!$E$185*(1+'Cálculos'!$E$187+$A162*('Cálculos'!$E$290=1)*'Cálculos'!$E$97+'Cálculos'!$E$305)+'Cálculos'!$E$192)*('Cálculos'!$E$224+'Cálculos'!$E$124*(1+2.78*('Cálculos'!$E$197+(($B$168)-$A162)*'Cálculos'!$E$98)/(('Cálculos'!$E$197+(($B$168)-$A162)*'Cálculos'!$E$98)+1400)+'Cálculos'!$E$122)*'Cálculos'!$E$229+'Cálculos'!$E$125*(1+2.78*('Cálculos'!$E$197+(($B$168)-$A162)*'Cálculos'!$E$98)/(('Cálculos'!$E$197+(($B$168)-$A162)*'Cálculos'!$E$98)+1400)+'Cálculos'!$E$123)*'Cálculos'!$E$234)+('Cálculos'!$E$197+(($B$168)-$A162)*'Cálculos'!$E$98)*('Cálculos'!$E$225+'Cálculos'!$E$124*(1+2.78*('Cálculos'!$E$197+(($B$168)-$A162)*'Cálculos'!$E$98)/(('Cálculos'!$E$197+(($B$168)-$A162)*'Cálculos'!$E$98)+1400)+'Cálculos'!$E$122)*'Cálculos'!$E$230+'Cálculos'!$E$125*(1+2.78*('Cálculos'!$E$197+(($B$168)-$A162)*'Cálculos'!$E$98)/(('Cálculos'!$E$197+(($B$168)-$A162)*'Cálculos'!$E$98)+1400)+'Cálculos'!$E$123)*'Cálculos'!$E$235)+('Cálculos'!$E$201*(1+'Cálculos'!$E$202+$A162*('Cálculos'!$E$290=2)*'Cálculos'!$E$101)+'Cálculos'!$E$203)*('Cálculos'!$E$226+'Cálculos'!$E$124*(1+2.78*('Cálculos'!$E$197+(($B$168)-$A162)*'Cálculos'!$E$98)/(('Cálculos'!$E$197+(($B$168)-$A162)*'Cálculos'!$E$98)+1400)+'Cálculos'!$E$122)*'Cálculos'!$E$231+'Cálculos'!$E$125*(1+2.78*('Cálculos'!$E$197+(($B$168)-$A162)*'Cálculos'!$E$98)/(('Cálculos'!$E$197+(($B$168)-$A162)*'Cálculos'!$E$98)+1400)+'Cálculos'!$E$123)*'Cálculos'!$E$236)+('Cálculos'!$E$204*(1+'Cálculos'!$E$205+$A162*('Cálculos'!$E$290=3)*'Cálculos'!$E$103)+'Cálculos'!$E$206)*('Cálculos'!$E$227+'Cálculos'!$E$124*(1+2.78*('Cálculos'!$E$197+(($B$168)-$A162)*'Cálculos'!$E$98)/(('Cálculos'!$E$197+(($B$168)-$A162)*'Cálculos'!$E$98)+1400)+'Cálculos'!$E$122)*'Cálculos'!$E$232+'Cálculos'!$E$125*(1+2.78*('Cálculos'!$E$197+(($B$168)-$A162)*'Cálculos'!$E$98)/(('Cálculos'!$E$197+(($B$168)-$A162)*'Cálculos'!$E$98)+1400)+'Cálculos'!$E$123)*'Cálculos'!$E$237)+('Cálculos'!$E$228+'Cálculos'!$E$124*(1+2.78*('Cálculos'!$E$197+(($B$168)-$A162)*'Cálculos'!$E$98)/(('Cálculos'!$E$197+(($B$168)-$A162)*'Cálculos'!$E$98)+1400)+'Cálculos'!$E$122)*'Cálculos'!$E$233+'Cálculos'!$E$125*(1+2.78*('Cálculos'!$E$197+(($B$168)-$A162)*'Cálculos'!$E$98)/(('Cálculos'!$E$197+(($B$168)-$A162)*'Cálculos'!$E$98)+1400)+'Cálculos'!$E$123)*'Cálculos'!$E$238)+('Cálculos'!$E$185*(1+'Cálculos'!$E$188+$A162*('Cálculos'!$E$290=1)*'Cálculos'!$E$97+'Cálculos'!$E$305)+'Cálculos'!$E$193)*('Cálculos'!$E$239+'Cálculos'!$E$124*(1+2.78*('Cálculos'!$E$198+(($B$168)-$A162)*'Cálculos'!$E$98)/(('Cálculos'!$E$198+(($B$168)-$A162)*'Cálculos'!$E$98)+1400)+'Cálculos'!$E$122)*'Cálculos'!$E$244+'Cálculos'!$E$125*(1+2.78*('Cálculos'!$E$198+(($B$168)-$A162)*'Cálculos'!$E$98)/(('Cálculos'!$E$198+(($B$168)-$A162)*'Cálculos'!$E$98)+1400)+'Cálculos'!$E$123)*'Cálculos'!$E$249)+('Cálculos'!$E$198+(($B$168)-$A162)*'Cálculos'!$E$98)*('Cálculos'!$E$240+'Cálculos'!$E$124*(1+2.78*('Cálculos'!$E$198+(($B$168)-$A162)*'Cálculos'!$E$98)/(('Cálculos'!$E$198+(($B$168)-$A162)*'Cálculos'!$E$98)+1400)+'Cálculos'!$E$122)*'Cálculos'!$E$245+'Cálculos'!$E$125*(1+2.78*('Cálculos'!$E$198+(($B$168)-$A162)*'Cálculos'!$E$98)/(('Cálculos'!$E$198+(($B$168)-$A162)*'Cálculos'!$E$98)+1400)+'Cálculos'!$E$123)*'Cálculos'!$E$250)+('Cálculos'!$E$201*(1+'Cálculos'!$E$202+$A162*('Cálculos'!$E$290=2)*'Cálculos'!$E$101)+'Cálculos'!$E$203)*('Cálculos'!$E$241+'Cálculos'!$E$124*(1+2.78*('Cálculos'!$E$198+(($B$168)-$A162)*'Cálculos'!$E$98)/(('Cálculos'!$E$198+(($B$168)-$A162)*'Cálculos'!$E$98)+1400)+'Cálculos'!$E$122)*'Cálculos'!$E$246+'Cálculos'!$E$125*(1+2.78*('Cálculos'!$E$198+(($B$168)-$A162)*'Cálculos'!$E$98)/(('Cálculos'!$E$198+(($B$168)-$A162)*'Cálculos'!$E$98)+1400)+'Cálculos'!$E$123)*'Cálculos'!$E$251)+('Cálculos'!$E$204*(1+'Cálculos'!$E$205+$A162*('Cálculos'!$E$290=3)*'Cálculos'!$E$103)+'Cálculos'!$E$206)*('Cálculos'!$E$242+'Cálculos'!$E$124*(1+2.78*('Cálculos'!$E$198+(($B$168)-$A162)*'Cálculos'!$E$98)/(('Cálculos'!$E$198+(($B$168)-$A162)*'Cálculos'!$E$98)+1400)+'Cálculos'!$E$122)*'Cálculos'!$E$247+'Cálculos'!$E$125*(1+2.78*('Cálculos'!$E$198+(($B$168)-$A162)*'Cálculos'!$E$98)/(('Cálculos'!$E$198+(($B$168)-$A162)*'Cálculos'!$E$98)+1400)+'Cálculos'!$E$123)*'Cálculos'!$E$252)+('Cálculos'!$E$243+'Cálculos'!$E$124*(1+2.78*('Cálculos'!$E$198+(($B$168)-$A162)*'Cálculos'!$E$98)/(('Cálculos'!$E$198+(($B$168)-$A162)*'Cálculos'!$E$98)+1400)+'Cálculos'!$E$122)*'Cálculos'!$E$248+'Cálculos'!$E$125*(1+2.78*('Cálculos'!$E$198+(($B$168)-$A162)*'Cálculos'!$E$98)/(('Cálculos'!$E$198+(($B$168)-$A162)*'Cálculos'!$E$98)+1400)+'Cálculos'!$E$123)*'Cálculos'!$E$253)+('Cálculos'!$E$185*(1+'Cálculos'!$E$189+$A162*('Cálculos'!$E$290=1)*'Cálculos'!$E$97+'Cálculos'!$E$305)+'Cálculos'!$E$194)*('Cálculos'!$E$254+'Cálculos'!$E$124*(1+2.78*('Cálculos'!$E$199+(($B$168)-$A162)*'Cálculos'!$E$98)/(('Cálculos'!$E$199+(($B$168)-$A162)*'Cálculos'!$E$98)+1400)+'Cálculos'!$E$122)*'Cálculos'!$E$259+'Cálculos'!$E$125*(1+2.78*('Cálculos'!$E$199+(($B$168)-$A162)*'Cálculos'!$E$98)/(('Cálculos'!$E$199+(($B$168)-$A162)*'Cálculos'!$E$98)+1400)+'Cálculos'!$E$123)*'Cálculos'!$E$264)+('Cálculos'!$E$199+(($B$168)-$A162)*'Cálculos'!$E$98)*('Cálculos'!$E$255+'Cálculos'!$E$124*(1+2.78*('Cálculos'!$E$199+(($B$168)-$A162)*'Cálculos'!$E$98)/(('Cálculos'!$E$199+(($B$168)-$A162)*'Cálculos'!$E$98)+1400)+'Cálculos'!$E$122)*'Cálculos'!$E$260+'Cálculos'!$E$125*(1+2.78*('Cálculos'!$E$199+(($B$168)-$A162)*'Cálculos'!$E$98)/(('Cálculos'!$E$199+(($B$168)-$A162)*'Cálculos'!$E$98)+1400)+'Cálculos'!$E$123)*'Cálculos'!$E$265)+('Cálculos'!$E$201*(1+'Cálculos'!$E$202+$A162*('Cálculos'!$E$290=2)*'Cálculos'!$E$101)+'Cálculos'!$E$203)*('Cálculos'!$E$256+'Cálculos'!$E$124*(1+2.78*('Cálculos'!$E$199+(($B$168)-$A162)*'Cálculos'!$E$98)/(('Cálculos'!$E$199+(($B$168)-$A162)*'Cálculos'!$E$98)+1400)+'Cálculos'!$E$122)*'Cálculos'!$E$261+'Cálculos'!$E$125*(1+2.78*('Cálculos'!$E$199+(($B$168)-$A162)*'Cálculos'!$E$98)/(('Cálculos'!$E$199+(($B$168)-$A162)*'Cálculos'!$E$98)+1400)+'Cálculos'!$E$123)*'Cálculos'!$E$266)+('Cálculos'!$E$204*(1+'Cálculos'!$E$205+$A162*('Cálculos'!$E$290=3)*'Cálculos'!$E$103)+'Cálculos'!$E$206)*('Cálculos'!$E$257+'Cálculos'!$E$124*(1+2.78*('Cálculos'!$E$199+(($B$168)-$A162)*'Cálculos'!$E$98)/(('Cálculos'!$E$199+(($B$168)-$A162)*'Cálculos'!$E$98)+1400)+'Cálculos'!$E$122)*'Cálculos'!$E$262+'Cálculos'!$E$125*(1+2.78*('Cálculos'!$E$199+(($B$168)-$A162)*'Cálculos'!$E$98)/(('Cálculos'!$E$199+(($B$168)-$A162)*'Cálculos'!$E$98)+1400)+'Cálculos'!$E$123)*'Cálculos'!$E$267)+('Cálculos'!$E$258+'Cálculos'!$E$124*(1+2.78*('Cálculos'!$E$199+(($B$168)-$A162)*'Cálculos'!$E$98)/(('Cálculos'!$E$199+(($B$168)-$A162)*'Cálculos'!$E$98)+1400)+'Cálculos'!$E$122)*'Cálculos'!$E$263+'Cálculos'!$E$125*(1+2.78*('Cálculos'!$E$199+(($B$168)-$A162)*'Cálculos'!$E$98)/(('Cálculos'!$E$199+(($B$168)-$A162)*'Cálculos'!$E$98)+1400)+'Cálculos'!$E$123)*'Cálculos'!$E$268)+('Cálculos'!$E$185*(1+'Cálculos'!$E$190+$A162*('Cálculos'!$E$290=1)*'Cálculos'!$E$97+'Cálculos'!$E$305)+'Cálculos'!$E$195)*('Cálculos'!$E$269+'Cálculos'!$E$124*(1+2.78*('Cálculos'!$E$200+(($B$168)-$A162)*'Cálculos'!$E$98)/(('Cálculos'!$E$200+(($B$168)-$A162)*'Cálculos'!$E$98)+1400)+'Cálculos'!$E$122)*'Cálculos'!$E$274+'Cálculos'!$E$125*(1+2.78*('Cálculos'!$E$200+(($B$168)-$A162)*'Cálculos'!$E$98)/(('Cálculos'!$E$200+(($B$168)-$A162)*'Cálculos'!$E$98)+1400)+'Cálculos'!$E$123)*'Cálculos'!$E$279)+('Cálculos'!$E$200+(($B$168)-$A162)*'Cálculos'!$E$98)*('Cálculos'!$E$270+'Cálculos'!$E$124*(1+2.78*('Cálculos'!$E$200+(($B$168)-$A162)*'Cálculos'!$E$98)/(('Cálculos'!$E$200+(($B$168)-$A162)*'Cálculos'!$E$98)+1400)+'Cálculos'!$E$122)*'Cálculos'!$E$275+'Cálculos'!$E$125*(1+2.78*('Cálculos'!$E$200+(($B$168)-$A162)*'Cálculos'!$E$98)/(('Cálculos'!$E$200+(($B$168)-$A162)*'Cálculos'!$E$98)+1400)+'Cálculos'!$E$123)*'Cálculos'!$E$280)+('Cálculos'!$E$201*(1+'Cálculos'!$E$202+$A162*('Cálculos'!$E$290=2)*'Cálculos'!$E$101)+'Cálculos'!$E$203)*('Cálculos'!$E$271+'Cálculos'!$E$124*(1+2.78*('Cálculos'!$E$200+(($B$168)-$A162)*'Cálculos'!$E$98)/(('Cálculos'!$E$200+(($B$168)-$A162)*'Cálculos'!$E$98)+1400)+'Cálculos'!$E$122)*'Cálculos'!$E$276+'Cálculos'!$E$125*(1+2.78*('Cálculos'!$E$200+(($B$168)-$A162)*'Cálculos'!$E$98)/(('Cálculos'!$E$200+(($B$168)-$A162)*'Cálculos'!$E$98)+1400)+'Cálculos'!$E$123)*'Cálculos'!$E$281)+('Cálculos'!$E$204*(1+'Cálculos'!$E$205+$A162*('Cálculos'!$E$290=3)*'Cálculos'!$E$103)+'Cálculos'!$E$206)*('Cálculos'!$E$272+'Cálculos'!$E$124*(1+2.78*('Cálculos'!$E$200+(($B$168)-$A162)*'Cálculos'!$E$98)/(('Cálculos'!$E$200+(($B$168)-$A162)*'Cálculos'!$E$98)+1400)+'Cálculos'!$E$122)*'Cálculos'!$E$277+'Cálculos'!$E$125*(1+2.78*('Cálculos'!$E$200+(($B$168)-$A162)*'Cálculos'!$E$98)/(('Cálculos'!$E$200+(($B$168)-$A162)*'Cálculos'!$E$98)+1400)+'Cálculos'!$E$123)*'Cálculos'!$E$282)+('Cálculos'!$E$273+'Cálculos'!$E$124*(1+2.78*('Cálculos'!$E$200+(($B$168)-$A162)*'Cálculos'!$E$98)/(('Cálculos'!$E$200+(($B$168)-$A162)*'Cálculos'!$E$98)+1400)+'Cálculos'!$E$122)*'Cálculos'!$E$278+'Cálculos'!$E$125*(1+2.78*('Cálculos'!$E$200+(($B$168)-$A162)*'Cálculos'!$E$98)/(('Cálculos'!$E$200+(($B$168)-$A162)*'Cálculos'!$E$98)+1400)+'Cálculos'!$E$123)*'Cálculos'!$E$283)))</f>
        <v>0</v>
      </c>
    </row>
    <row r="163" ht="15.75" customHeight="1">
      <c r="A163" s="2">
        <v>43.0</v>
      </c>
      <c r="B163" s="30">
        <f>SUMPRODUCT(MAX(($A$120:$A$165&lt;=$A163)*($A$120:$A$165&lt;='Cálculos'!$E$294)*(($A163)-$A$120:$A$165&lt;='Cálculos'!$E$295)*(1+(('Cálculos'!$E$207+$A$120:$A$165*'Cálculos'!$E$95)-(('Cálculos'!$E$207+$A$120:$A$165*'Cálculos'!$E$95)&gt;1)*(('Cálculos'!$E$207+$A$120:$A$165*'Cálculos'!$E$95)-1))*('Cálculos'!$E$208+(($A163)-$A$120:$A$165)*'Cálculos'!$E$96))))</f>
        <v>3.319824</v>
      </c>
      <c r="C163" s="2">
        <f>'Cálculos'!$E$303-$A163</f>
        <v>-30</v>
      </c>
      <c r="D163" s="31">
        <f>IF($C163&lt;0,0,SUMPRODUCT(MAX(($A$120:$A$165&lt;=$C163)*($A$120:$A$165&lt;='Cálculos'!$E$301)*(($C163)-$A$120:$A$165&lt;='Cálculos'!$E$297)*(('Cálculos'!$E$185*(1+'Cálculos'!$E$186+$A$120:$A$165*('Cálculos'!$E$290=1)*'Cálculos'!$E$97+'Cálculos'!$E$305)+'Cálculos'!$E$191)*('Cálculos'!$E$209+'Cálculos'!$E$124*(1+2.78*('Cálculos'!$E$196+(($C163)-$A$120:$A$165)*'Cálculos'!$E$98)/(('Cálculos'!$E$196+(($C163)-$A$120:$A$165)*'Cálculos'!$E$98)+1400)+'Cálculos'!$E$122)*'Cálculos'!$E$214+'Cálculos'!$E$125*(1+2.78*('Cálculos'!$E$196+(($C163)-$A$120:$A$165)*'Cálculos'!$E$98)/(('Cálculos'!$E$196+(($C163)-$A$120:$A$165)*'Cálculos'!$E$98)+1400)+'Cálculos'!$E$123)*'Cálculos'!$E$219)+('Cálculos'!$E$196+(($C163)-$A$120:$A$165)*'Cálculos'!$E$98)*('Cálculos'!$E$210+'Cálculos'!$E$124*(1+2.78*('Cálculos'!$E$196+(($C163)-$A$120:$A$165)*'Cálculos'!$E$98)/(('Cálculos'!$E$196+(($C163)-$A$120:$A$165)*'Cálculos'!$E$98)+1400)+'Cálculos'!$E$122)*'Cálculos'!$E$215+'Cálculos'!$E$125*(1+2.78*('Cálculos'!$E$196+(($C163)-$A$120:$A$165)*'Cálculos'!$E$98)/(('Cálculos'!$E$196+(($C163)-$A$120:$A$165)*'Cálculos'!$E$98)+1400)+'Cálculos'!$E$123)*'Cálculos'!$E$220)+('Cálculos'!$E$201*(1+'Cálculos'!$E$202+$A$120:$A$165*('Cálculos'!$E$290=2)*'Cálculos'!$E$101)+'Cálculos'!$E$203)*('Cálculos'!$E$211+'Cálculos'!$E$124*(1+2.78*('Cálculos'!$E$196+(($C163)-$A$120:$A$165)*'Cálculos'!$E$98)/(('Cálculos'!$E$196+(($C163)-$A$120:$A$165)*'Cálculos'!$E$98)+1400)+'Cálculos'!$E$122)*'Cálculos'!$E$216+'Cálculos'!$E$125*(1+2.78*('Cálculos'!$E$196+(($C163)-$A$120:$A$165)*'Cálculos'!$E$98)/(('Cálculos'!$E$196+(($C163)-$A$120:$A$165)*'Cálculos'!$E$98)+1400)+'Cálculos'!$E$123)*'Cálculos'!$E$221)+('Cálculos'!$E$204*(1+'Cálculos'!$E$205+$A$120:$A$165*('Cálculos'!$E$290=3)*'Cálculos'!$E$103)+'Cálculos'!$E$206)*('Cálculos'!$E$212+'Cálculos'!$E$124*(1+2.78*('Cálculos'!$E$196+(($C163)-$A$120:$A$165)*'Cálculos'!$E$98)/(('Cálculos'!$E$196+(($C163)-$A$120:$A$165)*'Cálculos'!$E$98)+1400)+'Cálculos'!$E$122)*'Cálculos'!$E$217+'Cálculos'!$E$125*(1+2.78*('Cálculos'!$E$196+(($C163)-$A$120:$A$165)*'Cálculos'!$E$98)/(('Cálculos'!$E$196+(($C163)-$A$120:$A$165)*'Cálculos'!$E$98)+1400)+'Cálculos'!$E$123)*'Cálculos'!$E$222)+('Cálculos'!$E$213+'Cálculos'!$E$124*(1+2.78*('Cálculos'!$E$196+(($C163)-$A$120:$A$165)*'Cálculos'!$E$98)/(('Cálculos'!$E$196+(($C163)-$A$120:$A$165)*'Cálculos'!$E$98)+1400)+'Cálculos'!$E$122)*'Cálculos'!$E$218+'Cálculos'!$E$125*(1+2.78*('Cálculos'!$E$196+(($C163)-$A$120:$A$165)*'Cálculos'!$E$98)/(('Cálculos'!$E$196+(($C163)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163)-$A$120:$A$165)*'Cálculos'!$E$98)/(('Cálculos'!$E$197+(($C163)-$A$120:$A$165)*'Cálculos'!$E$98)+1400)+'Cálculos'!$E$122)*'Cálculos'!$E$229+'Cálculos'!$E$125*(1+2.78*('Cálculos'!$E$197+(($C163)-$A$120:$A$165)*'Cálculos'!$E$98)/(('Cálculos'!$E$197+(($C163)-$A$120:$A$165)*'Cálculos'!$E$98)+1400)+'Cálculos'!$E$123)*'Cálculos'!$E$234)+('Cálculos'!$E$197+(($C163)-$A$120:$A$165)*'Cálculos'!$E$98)*('Cálculos'!$E$225+'Cálculos'!$E$124*(1+2.78*('Cálculos'!$E$197+(($C163)-$A$120:$A$165)*'Cálculos'!$E$98)/(('Cálculos'!$E$197+(($C163)-$A$120:$A$165)*'Cálculos'!$E$98)+1400)+'Cálculos'!$E$122)*'Cálculos'!$E$230+'Cálculos'!$E$125*(1+2.78*('Cálculos'!$E$197+(($C163)-$A$120:$A$165)*'Cálculos'!$E$98)/(('Cálculos'!$E$197+(($C163)-$A$120:$A$165)*'Cálculos'!$E$98)+1400)+'Cálculos'!$E$123)*'Cálculos'!$E$235)+('Cálculos'!$E$201*(1+'Cálculos'!$E$202+$A$120:$A$165*('Cálculos'!$E$290=2)*'Cálculos'!$E$101)+'Cálculos'!$E$203)*('Cálculos'!$E$226+'Cálculos'!$E$124*(1+2.78*('Cálculos'!$E$197+(($C163)-$A$120:$A$165)*'Cálculos'!$E$98)/(('Cálculos'!$E$197+(($C163)-$A$120:$A$165)*'Cálculos'!$E$98)+1400)+'Cálculos'!$E$122)*'Cálculos'!$E$231+'Cálculos'!$E$125*(1+2.78*('Cálculos'!$E$197+(($C163)-$A$120:$A$165)*'Cálculos'!$E$98)/(('Cálculos'!$E$197+(($C163)-$A$120:$A$165)*'Cálculos'!$E$98)+1400)+'Cálculos'!$E$123)*'Cálculos'!$E$236)+('Cálculos'!$E$204*(1+'Cálculos'!$E$205+$A$120:$A$165*('Cálculos'!$E$290=3)*'Cálculos'!$E$103)+'Cálculos'!$E$206)*('Cálculos'!$E$227+'Cálculos'!$E$124*(1+2.78*('Cálculos'!$E$197+(($C163)-$A$120:$A$165)*'Cálculos'!$E$98)/(('Cálculos'!$E$197+(($C163)-$A$120:$A$165)*'Cálculos'!$E$98)+1400)+'Cálculos'!$E$122)*'Cálculos'!$E$232+'Cálculos'!$E$125*(1+2.78*('Cálculos'!$E$197+(($C163)-$A$120:$A$165)*'Cálculos'!$E$98)/(('Cálculos'!$E$197+(($C163)-$A$120:$A$165)*'Cálculos'!$E$98)+1400)+'Cálculos'!$E$123)*'Cálculos'!$E$237)+('Cálculos'!$E$228+'Cálculos'!$E$124*(1+2.78*('Cálculos'!$E$197+(($C163)-$A$120:$A$165)*'Cálculos'!$E$98)/(('Cálculos'!$E$197+(($C163)-$A$120:$A$165)*'Cálculos'!$E$98)+1400)+'Cálculos'!$E$122)*'Cálculos'!$E$233+'Cálculos'!$E$125*(1+2.78*('Cálculos'!$E$197+(($C163)-$A$120:$A$165)*'Cálculos'!$E$98)/(('Cálculos'!$E$197+(($C163)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163)-$A$120:$A$165)*'Cálculos'!$E$98)/(('Cálculos'!$E$198+(($C163)-$A$120:$A$165)*'Cálculos'!$E$98)+1400)+'Cálculos'!$E$122)*'Cálculos'!$E$244+'Cálculos'!$E$125*(1+2.78*('Cálculos'!$E$198+(($C163)-$A$120:$A$165)*'Cálculos'!$E$98)/(('Cálculos'!$E$198+(($C163)-$A$120:$A$165)*'Cálculos'!$E$98)+1400)+'Cálculos'!$E$123)*'Cálculos'!$E$249)+('Cálculos'!$E$198+(($C163)-$A$120:$A$165)*'Cálculos'!$E$98)*('Cálculos'!$E$240+'Cálculos'!$E$124*(1+2.78*('Cálculos'!$E$198+(($C163)-$A$120:$A$165)*'Cálculos'!$E$98)/(('Cálculos'!$E$198+(($C163)-$A$120:$A$165)*'Cálculos'!$E$98)+1400)+'Cálculos'!$E$122)*'Cálculos'!$E$245+'Cálculos'!$E$125*(1+2.78*('Cálculos'!$E$198+(($C163)-$A$120:$A$165)*'Cálculos'!$E$98)/(('Cálculos'!$E$198+(($C163)-$A$120:$A$165)*'Cálculos'!$E$98)+1400)+'Cálculos'!$E$123)*'Cálculos'!$E$250)+('Cálculos'!$E$201*(1+'Cálculos'!$E$202+$A$120:$A$165*('Cálculos'!$E$290=2)*'Cálculos'!$E$101)+'Cálculos'!$E$203)*('Cálculos'!$E$241+'Cálculos'!$E$124*(1+2.78*('Cálculos'!$E$198+(($C163)-$A$120:$A$165)*'Cálculos'!$E$98)/(('Cálculos'!$E$198+(($C163)-$A$120:$A$165)*'Cálculos'!$E$98)+1400)+'Cálculos'!$E$122)*'Cálculos'!$E$246+'Cálculos'!$E$125*(1+2.78*('Cálculos'!$E$198+(($C163)-$A$120:$A$165)*'Cálculos'!$E$98)/(('Cálculos'!$E$198+(($C163)-$A$120:$A$165)*'Cálculos'!$E$98)+1400)+'Cálculos'!$E$123)*'Cálculos'!$E$251)+('Cálculos'!$E$204*(1+'Cálculos'!$E$205+$A$120:$A$165*('Cálculos'!$E$290=3)*'Cálculos'!$E$103)+'Cálculos'!$E$206)*('Cálculos'!$E$242+'Cálculos'!$E$124*(1+2.78*('Cálculos'!$E$198+(($C163)-$A$120:$A$165)*'Cálculos'!$E$98)/(('Cálculos'!$E$198+(($C163)-$A$120:$A$165)*'Cálculos'!$E$98)+1400)+'Cálculos'!$E$122)*'Cálculos'!$E$247+'Cálculos'!$E$125*(1+2.78*('Cálculos'!$E$198+(($C163)-$A$120:$A$165)*'Cálculos'!$E$98)/(('Cálculos'!$E$198+(($C163)-$A$120:$A$165)*'Cálculos'!$E$98)+1400)+'Cálculos'!$E$123)*'Cálculos'!$E$252)+('Cálculos'!$E$243+'Cálculos'!$E$124*(1+2.78*('Cálculos'!$E$198+(($C163)-$A$120:$A$165)*'Cálculos'!$E$98)/(('Cálculos'!$E$198+(($C163)-$A$120:$A$165)*'Cálculos'!$E$98)+1400)+'Cálculos'!$E$122)*'Cálculos'!$E$248+'Cálculos'!$E$125*(1+2.78*('Cálculos'!$E$198+(($C163)-$A$120:$A$165)*'Cálculos'!$E$98)/(('Cálculos'!$E$198+(($C163)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163)-$A$120:$A$165)*'Cálculos'!$E$98)/(('Cálculos'!$E$199+(($C163)-$A$120:$A$165)*'Cálculos'!$E$98)+1400)+'Cálculos'!$E$122)*'Cálculos'!$E$259+'Cálculos'!$E$125*(1+2.78*('Cálculos'!$E$199+(($C163)-$A$120:$A$165)*'Cálculos'!$E$98)/(('Cálculos'!$E$199+(($C163)-$A$120:$A$165)*'Cálculos'!$E$98)+1400)+'Cálculos'!$E$123)*'Cálculos'!$E$264)+('Cálculos'!$E$199+(($C163)-$A$120:$A$165)*'Cálculos'!$E$98)*('Cálculos'!$E$255+'Cálculos'!$E$124*(1+2.78*('Cálculos'!$E$199+(($C163)-$A$120:$A$165)*'Cálculos'!$E$98)/(('Cálculos'!$E$199+(($C163)-$A$120:$A$165)*'Cálculos'!$E$98)+1400)+'Cálculos'!$E$122)*'Cálculos'!$E$260+'Cálculos'!$E$125*(1+2.78*('Cálculos'!$E$199+(($C163)-$A$120:$A$165)*'Cálculos'!$E$98)/(('Cálculos'!$E$199+(($C163)-$A$120:$A$165)*'Cálculos'!$E$98)+1400)+'Cálculos'!$E$123)*'Cálculos'!$E$265)+('Cálculos'!$E$201*(1+'Cálculos'!$E$202+$A$120:$A$165*('Cálculos'!$E$290=2)*'Cálculos'!$E$101)+'Cálculos'!$E$203)*('Cálculos'!$E$256+'Cálculos'!$E$124*(1+2.78*('Cálculos'!$E$199+(($C163)-$A$120:$A$165)*'Cálculos'!$E$98)/(('Cálculos'!$E$199+(($C163)-$A$120:$A$165)*'Cálculos'!$E$98)+1400)+'Cálculos'!$E$122)*'Cálculos'!$E$261+'Cálculos'!$E$125*(1+2.78*('Cálculos'!$E$199+(($C163)-$A$120:$A$165)*'Cálculos'!$E$98)/(('Cálculos'!$E$199+(($C163)-$A$120:$A$165)*'Cálculos'!$E$98)+1400)+'Cálculos'!$E$123)*'Cálculos'!$E$266)+('Cálculos'!$E$204*(1+'Cálculos'!$E$205+$A$120:$A$165*('Cálculos'!$E$290=3)*'Cálculos'!$E$103)+'Cálculos'!$E$206)*('Cálculos'!$E$257+'Cálculos'!$E$124*(1+2.78*('Cálculos'!$E$199+(($C163)-$A$120:$A$165)*'Cálculos'!$E$98)/(('Cálculos'!$E$199+(($C163)-$A$120:$A$165)*'Cálculos'!$E$98)+1400)+'Cálculos'!$E$122)*'Cálculos'!$E$262+'Cálculos'!$E$125*(1+2.78*('Cálculos'!$E$199+(($C163)-$A$120:$A$165)*'Cálculos'!$E$98)/(('Cálculos'!$E$199+(($C163)-$A$120:$A$165)*'Cálculos'!$E$98)+1400)+'Cálculos'!$E$123)*'Cálculos'!$E$267)+('Cálculos'!$E$258+'Cálculos'!$E$124*(1+2.78*('Cálculos'!$E$199+(($C163)-$A$120:$A$165)*'Cálculos'!$E$98)/(('Cálculos'!$E$199+(($C163)-$A$120:$A$165)*'Cálculos'!$E$98)+1400)+'Cálculos'!$E$122)*'Cálculos'!$E$263+'Cálculos'!$E$125*(1+2.78*('Cálculos'!$E$199+(($C163)-$A$120:$A$165)*'Cálculos'!$E$98)/(('Cálculos'!$E$199+(($C163)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163)-$A$120:$A$165)*'Cálculos'!$E$98)/(('Cálculos'!$E$200+(($C163)-$A$120:$A$165)*'Cálculos'!$E$98)+1400)+'Cálculos'!$E$122)*'Cálculos'!$E$274+'Cálculos'!$E$125*(1+2.78*('Cálculos'!$E$200+(($C163)-$A$120:$A$165)*'Cálculos'!$E$98)/(('Cálculos'!$E$200+(($C163)-$A$120:$A$165)*'Cálculos'!$E$98)+1400)+'Cálculos'!$E$123)*'Cálculos'!$E$279)+('Cálculos'!$E$200+(($C163)-$A$120:$A$165)*'Cálculos'!$E$98)*('Cálculos'!$E$270+'Cálculos'!$E$124*(1+2.78*('Cálculos'!$E$200+(($C163)-$A$120:$A$165)*'Cálculos'!$E$98)/(('Cálculos'!$E$200+(($C163)-$A$120:$A$165)*'Cálculos'!$E$98)+1400)+'Cálculos'!$E$122)*'Cálculos'!$E$275+'Cálculos'!$E$125*(1+2.78*('Cálculos'!$E$200+(($C163)-$A$120:$A$165)*'Cálculos'!$E$98)/(('Cálculos'!$E$200+(($C163)-$A$120:$A$165)*'Cálculos'!$E$98)+1400)+'Cálculos'!$E$123)*'Cálculos'!$E$280)+('Cálculos'!$E$201*(1+'Cálculos'!$E$202+$A$120:$A$165*('Cálculos'!$E$290=2)*'Cálculos'!$E$101)+'Cálculos'!$E$203)*('Cálculos'!$E$271+'Cálculos'!$E$124*(1+2.78*('Cálculos'!$E$200+(($C163)-$A$120:$A$165)*'Cálculos'!$E$98)/(('Cálculos'!$E$200+(($C163)-$A$120:$A$165)*'Cálculos'!$E$98)+1400)+'Cálculos'!$E$122)*'Cálculos'!$E$276+'Cálculos'!$E$125*(1+2.78*('Cálculos'!$E$200+(($C163)-$A$120:$A$165)*'Cálculos'!$E$98)/(('Cálculos'!$E$200+(($C163)-$A$120:$A$165)*'Cálculos'!$E$98)+1400)+'Cálculos'!$E$123)*'Cálculos'!$E$281)+('Cálculos'!$E$204*(1+'Cálculos'!$E$205+$A$120:$A$165*('Cálculos'!$E$290=3)*'Cálculos'!$E$103)+'Cálculos'!$E$206)*('Cálculos'!$E$272+'Cálculos'!$E$124*(1+2.78*('Cálculos'!$E$200+(($C163)-$A$120:$A$165)*'Cálculos'!$E$98)/(('Cálculos'!$E$200+(($C163)-$A$120:$A$165)*'Cálculos'!$E$98)+1400)+'Cálculos'!$E$122)*'Cálculos'!$E$277+'Cálculos'!$E$125*(1+2.78*('Cálculos'!$E$200+(($C163)-$A$120:$A$165)*'Cálculos'!$E$98)/(('Cálculos'!$E$200+(($C163)-$A$120:$A$165)*'Cálculos'!$E$98)+1400)+'Cálculos'!$E$123)*'Cálculos'!$E$282)+('Cálculos'!$E$273+'Cálculos'!$E$124*(1+2.78*('Cálculos'!$E$200+(($C163)-$A$120:$A$165)*'Cálculos'!$E$98)/(('Cálculos'!$E$200+(($C163)-$A$120:$A$165)*'Cálculos'!$E$98)+1400)+'Cálculos'!$E$122)*'Cálculos'!$E$278+'Cálculos'!$E$125*(1+2.78*('Cálculos'!$E$200+(($C163)-$A$120:$A$165)*'Cálculos'!$E$98)/(('Cálculos'!$E$200+(($C163)-$A$120:$A$165)*'Cálculos'!$E$98)+1400)+'Cálculos'!$E$123)*'Cálculos'!$E$283)))))</f>
        <v>0</v>
      </c>
      <c r="E163" s="32">
        <f>IF(OR($C163&lt;0,'Cálculos'!$E$6=""),0,$B163*$D163)</f>
        <v>0</v>
      </c>
      <c r="F163" s="2"/>
      <c r="G163" s="30">
        <f>($A163&lt;=$B$167)*($A163&lt;='Cálculos'!$E$294)*(($B$167)-$A163&lt;='Cálculos'!$E$295)*(1+MIN(('Cálculos'!$E$207+$A163*'Cálculos'!$E$95),1)*('Cálculos'!$E$208+(($B$167)-$A163)*'Cálculos'!$E$96))</f>
        <v>0</v>
      </c>
      <c r="H163" s="31">
        <f>IF($B$168&lt;0,0,($A163&lt;=$B$168)*($A163&lt;='Cálculos'!$E$301)*(($B$168)-$A163&lt;='Cálculos'!$E$297)*(('Cálculos'!$E$185*(1+'Cálculos'!$E$186+$A163*('Cálculos'!$E$290=1)*'Cálculos'!$E$97+'Cálculos'!$E$305)+'Cálculos'!$E$191)*('Cálculos'!$E$209+'Cálculos'!$E$124*(1+2.78*('Cálculos'!$E$196+(($B$168)-$A163)*'Cálculos'!$E$98)/(('Cálculos'!$E$196+(($B$168)-$A163)*'Cálculos'!$E$98)+1400)+'Cálculos'!$E$122)*'Cálculos'!$E$214+'Cálculos'!$E$125*(1+2.78*('Cálculos'!$E$196+(($B$168)-$A163)*'Cálculos'!$E$98)/(('Cálculos'!$E$196+(($B$168)-$A163)*'Cálculos'!$E$98)+1400)+'Cálculos'!$E$123)*'Cálculos'!$E$219)+('Cálculos'!$E$196+(($B$168)-$A163)*'Cálculos'!$E$98)*('Cálculos'!$E$210+'Cálculos'!$E$124*(1+2.78*('Cálculos'!$E$196+(($B$168)-$A163)*'Cálculos'!$E$98)/(('Cálculos'!$E$196+(($B$168)-$A163)*'Cálculos'!$E$98)+1400)+'Cálculos'!$E$122)*'Cálculos'!$E$215+'Cálculos'!$E$125*(1+2.78*('Cálculos'!$E$196+(($B$168)-$A163)*'Cálculos'!$E$98)/(('Cálculos'!$E$196+(($B$168)-$A163)*'Cálculos'!$E$98)+1400)+'Cálculos'!$E$123)*'Cálculos'!$E$220)+('Cálculos'!$E$201*(1+'Cálculos'!$E$202+$A163*('Cálculos'!$E$290=2)*'Cálculos'!$E$101)+'Cálculos'!$E$203)*('Cálculos'!$E$211+'Cálculos'!$E$124*(1+2.78*('Cálculos'!$E$196+(($B$168)-$A163)*'Cálculos'!$E$98)/(('Cálculos'!$E$196+(($B$168)-$A163)*'Cálculos'!$E$98)+1400)+'Cálculos'!$E$122)*'Cálculos'!$E$216+'Cálculos'!$E$125*(1+2.78*('Cálculos'!$E$196+(($B$168)-$A163)*'Cálculos'!$E$98)/(('Cálculos'!$E$196+(($B$168)-$A163)*'Cálculos'!$E$98)+1400)+'Cálculos'!$E$123)*'Cálculos'!$E$221)+('Cálculos'!$E$204*(1+'Cálculos'!$E$205+$A163*('Cálculos'!$E$290=3)*'Cálculos'!$E$103)+'Cálculos'!$E$206)*('Cálculos'!$E$212+'Cálculos'!$E$124*(1+2.78*('Cálculos'!$E$196+(($B$168)-$A163)*'Cálculos'!$E$98)/(('Cálculos'!$E$196+(($B$168)-$A163)*'Cálculos'!$E$98)+1400)+'Cálculos'!$E$122)*'Cálculos'!$E$217+'Cálculos'!$E$125*(1+2.78*('Cálculos'!$E$196+(($B$168)-$A163)*'Cálculos'!$E$98)/(('Cálculos'!$E$196+(($B$168)-$A163)*'Cálculos'!$E$98)+1400)+'Cálculos'!$E$123)*'Cálculos'!$E$222)+('Cálculos'!$E$213+'Cálculos'!$E$124*(1+2.78*('Cálculos'!$E$196+(($B$168)-$A163)*'Cálculos'!$E$98)/(('Cálculos'!$E$196+(($B$168)-$A163)*'Cálculos'!$E$98)+1400)+'Cálculos'!$E$122)*'Cálculos'!$E$218+'Cálculos'!$E$125*(1+2.78*('Cálculos'!$E$196+(($B$168)-$A163)*'Cálculos'!$E$98)/(('Cálculos'!$E$196+(($B$168)-$A163)*'Cálculos'!$E$98)+1400)+'Cálculos'!$E$123)*'Cálculos'!$E$223)+('Cálculos'!$E$185*(1+'Cálculos'!$E$187+$A163*('Cálculos'!$E$290=1)*'Cálculos'!$E$97+'Cálculos'!$E$305)+'Cálculos'!$E$192)*('Cálculos'!$E$224+'Cálculos'!$E$124*(1+2.78*('Cálculos'!$E$197+(($B$168)-$A163)*'Cálculos'!$E$98)/(('Cálculos'!$E$197+(($B$168)-$A163)*'Cálculos'!$E$98)+1400)+'Cálculos'!$E$122)*'Cálculos'!$E$229+'Cálculos'!$E$125*(1+2.78*('Cálculos'!$E$197+(($B$168)-$A163)*'Cálculos'!$E$98)/(('Cálculos'!$E$197+(($B$168)-$A163)*'Cálculos'!$E$98)+1400)+'Cálculos'!$E$123)*'Cálculos'!$E$234)+('Cálculos'!$E$197+(($B$168)-$A163)*'Cálculos'!$E$98)*('Cálculos'!$E$225+'Cálculos'!$E$124*(1+2.78*('Cálculos'!$E$197+(($B$168)-$A163)*'Cálculos'!$E$98)/(('Cálculos'!$E$197+(($B$168)-$A163)*'Cálculos'!$E$98)+1400)+'Cálculos'!$E$122)*'Cálculos'!$E$230+'Cálculos'!$E$125*(1+2.78*('Cálculos'!$E$197+(($B$168)-$A163)*'Cálculos'!$E$98)/(('Cálculos'!$E$197+(($B$168)-$A163)*'Cálculos'!$E$98)+1400)+'Cálculos'!$E$123)*'Cálculos'!$E$235)+('Cálculos'!$E$201*(1+'Cálculos'!$E$202+$A163*('Cálculos'!$E$290=2)*'Cálculos'!$E$101)+'Cálculos'!$E$203)*('Cálculos'!$E$226+'Cálculos'!$E$124*(1+2.78*('Cálculos'!$E$197+(($B$168)-$A163)*'Cálculos'!$E$98)/(('Cálculos'!$E$197+(($B$168)-$A163)*'Cálculos'!$E$98)+1400)+'Cálculos'!$E$122)*'Cálculos'!$E$231+'Cálculos'!$E$125*(1+2.78*('Cálculos'!$E$197+(($B$168)-$A163)*'Cálculos'!$E$98)/(('Cálculos'!$E$197+(($B$168)-$A163)*'Cálculos'!$E$98)+1400)+'Cálculos'!$E$123)*'Cálculos'!$E$236)+('Cálculos'!$E$204*(1+'Cálculos'!$E$205+$A163*('Cálculos'!$E$290=3)*'Cálculos'!$E$103)+'Cálculos'!$E$206)*('Cálculos'!$E$227+'Cálculos'!$E$124*(1+2.78*('Cálculos'!$E$197+(($B$168)-$A163)*'Cálculos'!$E$98)/(('Cálculos'!$E$197+(($B$168)-$A163)*'Cálculos'!$E$98)+1400)+'Cálculos'!$E$122)*'Cálculos'!$E$232+'Cálculos'!$E$125*(1+2.78*('Cálculos'!$E$197+(($B$168)-$A163)*'Cálculos'!$E$98)/(('Cálculos'!$E$197+(($B$168)-$A163)*'Cálculos'!$E$98)+1400)+'Cálculos'!$E$123)*'Cálculos'!$E$237)+('Cálculos'!$E$228+'Cálculos'!$E$124*(1+2.78*('Cálculos'!$E$197+(($B$168)-$A163)*'Cálculos'!$E$98)/(('Cálculos'!$E$197+(($B$168)-$A163)*'Cálculos'!$E$98)+1400)+'Cálculos'!$E$122)*'Cálculos'!$E$233+'Cálculos'!$E$125*(1+2.78*('Cálculos'!$E$197+(($B$168)-$A163)*'Cálculos'!$E$98)/(('Cálculos'!$E$197+(($B$168)-$A163)*'Cálculos'!$E$98)+1400)+'Cálculos'!$E$123)*'Cálculos'!$E$238)+('Cálculos'!$E$185*(1+'Cálculos'!$E$188+$A163*('Cálculos'!$E$290=1)*'Cálculos'!$E$97+'Cálculos'!$E$305)+'Cálculos'!$E$193)*('Cálculos'!$E$239+'Cálculos'!$E$124*(1+2.78*('Cálculos'!$E$198+(($B$168)-$A163)*'Cálculos'!$E$98)/(('Cálculos'!$E$198+(($B$168)-$A163)*'Cálculos'!$E$98)+1400)+'Cálculos'!$E$122)*'Cálculos'!$E$244+'Cálculos'!$E$125*(1+2.78*('Cálculos'!$E$198+(($B$168)-$A163)*'Cálculos'!$E$98)/(('Cálculos'!$E$198+(($B$168)-$A163)*'Cálculos'!$E$98)+1400)+'Cálculos'!$E$123)*'Cálculos'!$E$249)+('Cálculos'!$E$198+(($B$168)-$A163)*'Cálculos'!$E$98)*('Cálculos'!$E$240+'Cálculos'!$E$124*(1+2.78*('Cálculos'!$E$198+(($B$168)-$A163)*'Cálculos'!$E$98)/(('Cálculos'!$E$198+(($B$168)-$A163)*'Cálculos'!$E$98)+1400)+'Cálculos'!$E$122)*'Cálculos'!$E$245+'Cálculos'!$E$125*(1+2.78*('Cálculos'!$E$198+(($B$168)-$A163)*'Cálculos'!$E$98)/(('Cálculos'!$E$198+(($B$168)-$A163)*'Cálculos'!$E$98)+1400)+'Cálculos'!$E$123)*'Cálculos'!$E$250)+('Cálculos'!$E$201*(1+'Cálculos'!$E$202+$A163*('Cálculos'!$E$290=2)*'Cálculos'!$E$101)+'Cálculos'!$E$203)*('Cálculos'!$E$241+'Cálculos'!$E$124*(1+2.78*('Cálculos'!$E$198+(($B$168)-$A163)*'Cálculos'!$E$98)/(('Cálculos'!$E$198+(($B$168)-$A163)*'Cálculos'!$E$98)+1400)+'Cálculos'!$E$122)*'Cálculos'!$E$246+'Cálculos'!$E$125*(1+2.78*('Cálculos'!$E$198+(($B$168)-$A163)*'Cálculos'!$E$98)/(('Cálculos'!$E$198+(($B$168)-$A163)*'Cálculos'!$E$98)+1400)+'Cálculos'!$E$123)*'Cálculos'!$E$251)+('Cálculos'!$E$204*(1+'Cálculos'!$E$205+$A163*('Cálculos'!$E$290=3)*'Cálculos'!$E$103)+'Cálculos'!$E$206)*('Cálculos'!$E$242+'Cálculos'!$E$124*(1+2.78*('Cálculos'!$E$198+(($B$168)-$A163)*'Cálculos'!$E$98)/(('Cálculos'!$E$198+(($B$168)-$A163)*'Cálculos'!$E$98)+1400)+'Cálculos'!$E$122)*'Cálculos'!$E$247+'Cálculos'!$E$125*(1+2.78*('Cálculos'!$E$198+(($B$168)-$A163)*'Cálculos'!$E$98)/(('Cálculos'!$E$198+(($B$168)-$A163)*'Cálculos'!$E$98)+1400)+'Cálculos'!$E$123)*'Cálculos'!$E$252)+('Cálculos'!$E$243+'Cálculos'!$E$124*(1+2.78*('Cálculos'!$E$198+(($B$168)-$A163)*'Cálculos'!$E$98)/(('Cálculos'!$E$198+(($B$168)-$A163)*'Cálculos'!$E$98)+1400)+'Cálculos'!$E$122)*'Cálculos'!$E$248+'Cálculos'!$E$125*(1+2.78*('Cálculos'!$E$198+(($B$168)-$A163)*'Cálculos'!$E$98)/(('Cálculos'!$E$198+(($B$168)-$A163)*'Cálculos'!$E$98)+1400)+'Cálculos'!$E$123)*'Cálculos'!$E$253)+('Cálculos'!$E$185*(1+'Cálculos'!$E$189+$A163*('Cálculos'!$E$290=1)*'Cálculos'!$E$97+'Cálculos'!$E$305)+'Cálculos'!$E$194)*('Cálculos'!$E$254+'Cálculos'!$E$124*(1+2.78*('Cálculos'!$E$199+(($B$168)-$A163)*'Cálculos'!$E$98)/(('Cálculos'!$E$199+(($B$168)-$A163)*'Cálculos'!$E$98)+1400)+'Cálculos'!$E$122)*'Cálculos'!$E$259+'Cálculos'!$E$125*(1+2.78*('Cálculos'!$E$199+(($B$168)-$A163)*'Cálculos'!$E$98)/(('Cálculos'!$E$199+(($B$168)-$A163)*'Cálculos'!$E$98)+1400)+'Cálculos'!$E$123)*'Cálculos'!$E$264)+('Cálculos'!$E$199+(($B$168)-$A163)*'Cálculos'!$E$98)*('Cálculos'!$E$255+'Cálculos'!$E$124*(1+2.78*('Cálculos'!$E$199+(($B$168)-$A163)*'Cálculos'!$E$98)/(('Cálculos'!$E$199+(($B$168)-$A163)*'Cálculos'!$E$98)+1400)+'Cálculos'!$E$122)*'Cálculos'!$E$260+'Cálculos'!$E$125*(1+2.78*('Cálculos'!$E$199+(($B$168)-$A163)*'Cálculos'!$E$98)/(('Cálculos'!$E$199+(($B$168)-$A163)*'Cálculos'!$E$98)+1400)+'Cálculos'!$E$123)*'Cálculos'!$E$265)+('Cálculos'!$E$201*(1+'Cálculos'!$E$202+$A163*('Cálculos'!$E$290=2)*'Cálculos'!$E$101)+'Cálculos'!$E$203)*('Cálculos'!$E$256+'Cálculos'!$E$124*(1+2.78*('Cálculos'!$E$199+(($B$168)-$A163)*'Cálculos'!$E$98)/(('Cálculos'!$E$199+(($B$168)-$A163)*'Cálculos'!$E$98)+1400)+'Cálculos'!$E$122)*'Cálculos'!$E$261+'Cálculos'!$E$125*(1+2.78*('Cálculos'!$E$199+(($B$168)-$A163)*'Cálculos'!$E$98)/(('Cálculos'!$E$199+(($B$168)-$A163)*'Cálculos'!$E$98)+1400)+'Cálculos'!$E$123)*'Cálculos'!$E$266)+('Cálculos'!$E$204*(1+'Cálculos'!$E$205+$A163*('Cálculos'!$E$290=3)*'Cálculos'!$E$103)+'Cálculos'!$E$206)*('Cálculos'!$E$257+'Cálculos'!$E$124*(1+2.78*('Cálculos'!$E$199+(($B$168)-$A163)*'Cálculos'!$E$98)/(('Cálculos'!$E$199+(($B$168)-$A163)*'Cálculos'!$E$98)+1400)+'Cálculos'!$E$122)*'Cálculos'!$E$262+'Cálculos'!$E$125*(1+2.78*('Cálculos'!$E$199+(($B$168)-$A163)*'Cálculos'!$E$98)/(('Cálculos'!$E$199+(($B$168)-$A163)*'Cálculos'!$E$98)+1400)+'Cálculos'!$E$123)*'Cálculos'!$E$267)+('Cálculos'!$E$258+'Cálculos'!$E$124*(1+2.78*('Cálculos'!$E$199+(($B$168)-$A163)*'Cálculos'!$E$98)/(('Cálculos'!$E$199+(($B$168)-$A163)*'Cálculos'!$E$98)+1400)+'Cálculos'!$E$122)*'Cálculos'!$E$263+'Cálculos'!$E$125*(1+2.78*('Cálculos'!$E$199+(($B$168)-$A163)*'Cálculos'!$E$98)/(('Cálculos'!$E$199+(($B$168)-$A163)*'Cálculos'!$E$98)+1400)+'Cálculos'!$E$123)*'Cálculos'!$E$268)+('Cálculos'!$E$185*(1+'Cálculos'!$E$190+$A163*('Cálculos'!$E$290=1)*'Cálculos'!$E$97+'Cálculos'!$E$305)+'Cálculos'!$E$195)*('Cálculos'!$E$269+'Cálculos'!$E$124*(1+2.78*('Cálculos'!$E$200+(($B$168)-$A163)*'Cálculos'!$E$98)/(('Cálculos'!$E$200+(($B$168)-$A163)*'Cálculos'!$E$98)+1400)+'Cálculos'!$E$122)*'Cálculos'!$E$274+'Cálculos'!$E$125*(1+2.78*('Cálculos'!$E$200+(($B$168)-$A163)*'Cálculos'!$E$98)/(('Cálculos'!$E$200+(($B$168)-$A163)*'Cálculos'!$E$98)+1400)+'Cálculos'!$E$123)*'Cálculos'!$E$279)+('Cálculos'!$E$200+(($B$168)-$A163)*'Cálculos'!$E$98)*('Cálculos'!$E$270+'Cálculos'!$E$124*(1+2.78*('Cálculos'!$E$200+(($B$168)-$A163)*'Cálculos'!$E$98)/(('Cálculos'!$E$200+(($B$168)-$A163)*'Cálculos'!$E$98)+1400)+'Cálculos'!$E$122)*'Cálculos'!$E$275+'Cálculos'!$E$125*(1+2.78*('Cálculos'!$E$200+(($B$168)-$A163)*'Cálculos'!$E$98)/(('Cálculos'!$E$200+(($B$168)-$A163)*'Cálculos'!$E$98)+1400)+'Cálculos'!$E$123)*'Cálculos'!$E$280)+('Cálculos'!$E$201*(1+'Cálculos'!$E$202+$A163*('Cálculos'!$E$290=2)*'Cálculos'!$E$101)+'Cálculos'!$E$203)*('Cálculos'!$E$271+'Cálculos'!$E$124*(1+2.78*('Cálculos'!$E$200+(($B$168)-$A163)*'Cálculos'!$E$98)/(('Cálculos'!$E$200+(($B$168)-$A163)*'Cálculos'!$E$98)+1400)+'Cálculos'!$E$122)*'Cálculos'!$E$276+'Cálculos'!$E$125*(1+2.78*('Cálculos'!$E$200+(($B$168)-$A163)*'Cálculos'!$E$98)/(('Cálculos'!$E$200+(($B$168)-$A163)*'Cálculos'!$E$98)+1400)+'Cálculos'!$E$123)*'Cálculos'!$E$281)+('Cálculos'!$E$204*(1+'Cálculos'!$E$205+$A163*('Cálculos'!$E$290=3)*'Cálculos'!$E$103)+'Cálculos'!$E$206)*('Cálculos'!$E$272+'Cálculos'!$E$124*(1+2.78*('Cálculos'!$E$200+(($B$168)-$A163)*'Cálculos'!$E$98)/(('Cálculos'!$E$200+(($B$168)-$A163)*'Cálculos'!$E$98)+1400)+'Cálculos'!$E$122)*'Cálculos'!$E$277+'Cálculos'!$E$125*(1+2.78*('Cálculos'!$E$200+(($B$168)-$A163)*'Cálculos'!$E$98)/(('Cálculos'!$E$200+(($B$168)-$A163)*'Cálculos'!$E$98)+1400)+'Cálculos'!$E$123)*'Cálculos'!$E$282)+('Cálculos'!$E$273+'Cálculos'!$E$124*(1+2.78*('Cálculos'!$E$200+(($B$168)-$A163)*'Cálculos'!$E$98)/(('Cálculos'!$E$200+(($B$168)-$A163)*'Cálculos'!$E$98)+1400)+'Cálculos'!$E$122)*'Cálculos'!$E$278+'Cálculos'!$E$125*(1+2.78*('Cálculos'!$E$200+(($B$168)-$A163)*'Cálculos'!$E$98)/(('Cálculos'!$E$200+(($B$168)-$A163)*'Cálculos'!$E$98)+1400)+'Cálculos'!$E$123)*'Cálculos'!$E$283)))</f>
        <v>0</v>
      </c>
    </row>
    <row r="164" ht="15.75" customHeight="1">
      <c r="A164" s="2">
        <v>44.0</v>
      </c>
      <c r="B164" s="30">
        <f>SUMPRODUCT(MAX(($A$120:$A$165&lt;=$A164)*($A$120:$A$165&lt;='Cálculos'!$E$294)*(($A164)-$A$120:$A$165&lt;='Cálculos'!$E$295)*(1+(('Cálculos'!$E$207+$A$120:$A$165*'Cálculos'!$E$95)-(('Cálculos'!$E$207+$A$120:$A$165*'Cálculos'!$E$95)&gt;1)*(('Cálculos'!$E$207+$A$120:$A$165*'Cálculos'!$E$95)-1))*('Cálculos'!$E$208+(($A164)-$A$120:$A$165)*'Cálculos'!$E$96))))</f>
        <v>3.385032</v>
      </c>
      <c r="C164" s="2">
        <f>'Cálculos'!$E$303-$A164</f>
        <v>-31</v>
      </c>
      <c r="D164" s="31">
        <f>IF($C164&lt;0,0,SUMPRODUCT(MAX(($A$120:$A$165&lt;=$C164)*($A$120:$A$165&lt;='Cálculos'!$E$301)*(($C164)-$A$120:$A$165&lt;='Cálculos'!$E$297)*(('Cálculos'!$E$185*(1+'Cálculos'!$E$186+$A$120:$A$165*('Cálculos'!$E$290=1)*'Cálculos'!$E$97+'Cálculos'!$E$305)+'Cálculos'!$E$191)*('Cálculos'!$E$209+'Cálculos'!$E$124*(1+2.78*('Cálculos'!$E$196+(($C164)-$A$120:$A$165)*'Cálculos'!$E$98)/(('Cálculos'!$E$196+(($C164)-$A$120:$A$165)*'Cálculos'!$E$98)+1400)+'Cálculos'!$E$122)*'Cálculos'!$E$214+'Cálculos'!$E$125*(1+2.78*('Cálculos'!$E$196+(($C164)-$A$120:$A$165)*'Cálculos'!$E$98)/(('Cálculos'!$E$196+(($C164)-$A$120:$A$165)*'Cálculos'!$E$98)+1400)+'Cálculos'!$E$123)*'Cálculos'!$E$219)+('Cálculos'!$E$196+(($C164)-$A$120:$A$165)*'Cálculos'!$E$98)*('Cálculos'!$E$210+'Cálculos'!$E$124*(1+2.78*('Cálculos'!$E$196+(($C164)-$A$120:$A$165)*'Cálculos'!$E$98)/(('Cálculos'!$E$196+(($C164)-$A$120:$A$165)*'Cálculos'!$E$98)+1400)+'Cálculos'!$E$122)*'Cálculos'!$E$215+'Cálculos'!$E$125*(1+2.78*('Cálculos'!$E$196+(($C164)-$A$120:$A$165)*'Cálculos'!$E$98)/(('Cálculos'!$E$196+(($C164)-$A$120:$A$165)*'Cálculos'!$E$98)+1400)+'Cálculos'!$E$123)*'Cálculos'!$E$220)+('Cálculos'!$E$201*(1+'Cálculos'!$E$202+$A$120:$A$165*('Cálculos'!$E$290=2)*'Cálculos'!$E$101)+'Cálculos'!$E$203)*('Cálculos'!$E$211+'Cálculos'!$E$124*(1+2.78*('Cálculos'!$E$196+(($C164)-$A$120:$A$165)*'Cálculos'!$E$98)/(('Cálculos'!$E$196+(($C164)-$A$120:$A$165)*'Cálculos'!$E$98)+1400)+'Cálculos'!$E$122)*'Cálculos'!$E$216+'Cálculos'!$E$125*(1+2.78*('Cálculos'!$E$196+(($C164)-$A$120:$A$165)*'Cálculos'!$E$98)/(('Cálculos'!$E$196+(($C164)-$A$120:$A$165)*'Cálculos'!$E$98)+1400)+'Cálculos'!$E$123)*'Cálculos'!$E$221)+('Cálculos'!$E$204*(1+'Cálculos'!$E$205+$A$120:$A$165*('Cálculos'!$E$290=3)*'Cálculos'!$E$103)+'Cálculos'!$E$206)*('Cálculos'!$E$212+'Cálculos'!$E$124*(1+2.78*('Cálculos'!$E$196+(($C164)-$A$120:$A$165)*'Cálculos'!$E$98)/(('Cálculos'!$E$196+(($C164)-$A$120:$A$165)*'Cálculos'!$E$98)+1400)+'Cálculos'!$E$122)*'Cálculos'!$E$217+'Cálculos'!$E$125*(1+2.78*('Cálculos'!$E$196+(($C164)-$A$120:$A$165)*'Cálculos'!$E$98)/(('Cálculos'!$E$196+(($C164)-$A$120:$A$165)*'Cálculos'!$E$98)+1400)+'Cálculos'!$E$123)*'Cálculos'!$E$222)+('Cálculos'!$E$213+'Cálculos'!$E$124*(1+2.78*('Cálculos'!$E$196+(($C164)-$A$120:$A$165)*'Cálculos'!$E$98)/(('Cálculos'!$E$196+(($C164)-$A$120:$A$165)*'Cálculos'!$E$98)+1400)+'Cálculos'!$E$122)*'Cálculos'!$E$218+'Cálculos'!$E$125*(1+2.78*('Cálculos'!$E$196+(($C164)-$A$120:$A$165)*'Cálculos'!$E$98)/(('Cálculos'!$E$196+(($C164)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164)-$A$120:$A$165)*'Cálculos'!$E$98)/(('Cálculos'!$E$197+(($C164)-$A$120:$A$165)*'Cálculos'!$E$98)+1400)+'Cálculos'!$E$122)*'Cálculos'!$E$229+'Cálculos'!$E$125*(1+2.78*('Cálculos'!$E$197+(($C164)-$A$120:$A$165)*'Cálculos'!$E$98)/(('Cálculos'!$E$197+(($C164)-$A$120:$A$165)*'Cálculos'!$E$98)+1400)+'Cálculos'!$E$123)*'Cálculos'!$E$234)+('Cálculos'!$E$197+(($C164)-$A$120:$A$165)*'Cálculos'!$E$98)*('Cálculos'!$E$225+'Cálculos'!$E$124*(1+2.78*('Cálculos'!$E$197+(($C164)-$A$120:$A$165)*'Cálculos'!$E$98)/(('Cálculos'!$E$197+(($C164)-$A$120:$A$165)*'Cálculos'!$E$98)+1400)+'Cálculos'!$E$122)*'Cálculos'!$E$230+'Cálculos'!$E$125*(1+2.78*('Cálculos'!$E$197+(($C164)-$A$120:$A$165)*'Cálculos'!$E$98)/(('Cálculos'!$E$197+(($C164)-$A$120:$A$165)*'Cálculos'!$E$98)+1400)+'Cálculos'!$E$123)*'Cálculos'!$E$235)+('Cálculos'!$E$201*(1+'Cálculos'!$E$202+$A$120:$A$165*('Cálculos'!$E$290=2)*'Cálculos'!$E$101)+'Cálculos'!$E$203)*('Cálculos'!$E$226+'Cálculos'!$E$124*(1+2.78*('Cálculos'!$E$197+(($C164)-$A$120:$A$165)*'Cálculos'!$E$98)/(('Cálculos'!$E$197+(($C164)-$A$120:$A$165)*'Cálculos'!$E$98)+1400)+'Cálculos'!$E$122)*'Cálculos'!$E$231+'Cálculos'!$E$125*(1+2.78*('Cálculos'!$E$197+(($C164)-$A$120:$A$165)*'Cálculos'!$E$98)/(('Cálculos'!$E$197+(($C164)-$A$120:$A$165)*'Cálculos'!$E$98)+1400)+'Cálculos'!$E$123)*'Cálculos'!$E$236)+('Cálculos'!$E$204*(1+'Cálculos'!$E$205+$A$120:$A$165*('Cálculos'!$E$290=3)*'Cálculos'!$E$103)+'Cálculos'!$E$206)*('Cálculos'!$E$227+'Cálculos'!$E$124*(1+2.78*('Cálculos'!$E$197+(($C164)-$A$120:$A$165)*'Cálculos'!$E$98)/(('Cálculos'!$E$197+(($C164)-$A$120:$A$165)*'Cálculos'!$E$98)+1400)+'Cálculos'!$E$122)*'Cálculos'!$E$232+'Cálculos'!$E$125*(1+2.78*('Cálculos'!$E$197+(($C164)-$A$120:$A$165)*'Cálculos'!$E$98)/(('Cálculos'!$E$197+(($C164)-$A$120:$A$165)*'Cálculos'!$E$98)+1400)+'Cálculos'!$E$123)*'Cálculos'!$E$237)+('Cálculos'!$E$228+'Cálculos'!$E$124*(1+2.78*('Cálculos'!$E$197+(($C164)-$A$120:$A$165)*'Cálculos'!$E$98)/(('Cálculos'!$E$197+(($C164)-$A$120:$A$165)*'Cálculos'!$E$98)+1400)+'Cálculos'!$E$122)*'Cálculos'!$E$233+'Cálculos'!$E$125*(1+2.78*('Cálculos'!$E$197+(($C164)-$A$120:$A$165)*'Cálculos'!$E$98)/(('Cálculos'!$E$197+(($C164)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164)-$A$120:$A$165)*'Cálculos'!$E$98)/(('Cálculos'!$E$198+(($C164)-$A$120:$A$165)*'Cálculos'!$E$98)+1400)+'Cálculos'!$E$122)*'Cálculos'!$E$244+'Cálculos'!$E$125*(1+2.78*('Cálculos'!$E$198+(($C164)-$A$120:$A$165)*'Cálculos'!$E$98)/(('Cálculos'!$E$198+(($C164)-$A$120:$A$165)*'Cálculos'!$E$98)+1400)+'Cálculos'!$E$123)*'Cálculos'!$E$249)+('Cálculos'!$E$198+(($C164)-$A$120:$A$165)*'Cálculos'!$E$98)*('Cálculos'!$E$240+'Cálculos'!$E$124*(1+2.78*('Cálculos'!$E$198+(($C164)-$A$120:$A$165)*'Cálculos'!$E$98)/(('Cálculos'!$E$198+(($C164)-$A$120:$A$165)*'Cálculos'!$E$98)+1400)+'Cálculos'!$E$122)*'Cálculos'!$E$245+'Cálculos'!$E$125*(1+2.78*('Cálculos'!$E$198+(($C164)-$A$120:$A$165)*'Cálculos'!$E$98)/(('Cálculos'!$E$198+(($C164)-$A$120:$A$165)*'Cálculos'!$E$98)+1400)+'Cálculos'!$E$123)*'Cálculos'!$E$250)+('Cálculos'!$E$201*(1+'Cálculos'!$E$202+$A$120:$A$165*('Cálculos'!$E$290=2)*'Cálculos'!$E$101)+'Cálculos'!$E$203)*('Cálculos'!$E$241+'Cálculos'!$E$124*(1+2.78*('Cálculos'!$E$198+(($C164)-$A$120:$A$165)*'Cálculos'!$E$98)/(('Cálculos'!$E$198+(($C164)-$A$120:$A$165)*'Cálculos'!$E$98)+1400)+'Cálculos'!$E$122)*'Cálculos'!$E$246+'Cálculos'!$E$125*(1+2.78*('Cálculos'!$E$198+(($C164)-$A$120:$A$165)*'Cálculos'!$E$98)/(('Cálculos'!$E$198+(($C164)-$A$120:$A$165)*'Cálculos'!$E$98)+1400)+'Cálculos'!$E$123)*'Cálculos'!$E$251)+('Cálculos'!$E$204*(1+'Cálculos'!$E$205+$A$120:$A$165*('Cálculos'!$E$290=3)*'Cálculos'!$E$103)+'Cálculos'!$E$206)*('Cálculos'!$E$242+'Cálculos'!$E$124*(1+2.78*('Cálculos'!$E$198+(($C164)-$A$120:$A$165)*'Cálculos'!$E$98)/(('Cálculos'!$E$198+(($C164)-$A$120:$A$165)*'Cálculos'!$E$98)+1400)+'Cálculos'!$E$122)*'Cálculos'!$E$247+'Cálculos'!$E$125*(1+2.78*('Cálculos'!$E$198+(($C164)-$A$120:$A$165)*'Cálculos'!$E$98)/(('Cálculos'!$E$198+(($C164)-$A$120:$A$165)*'Cálculos'!$E$98)+1400)+'Cálculos'!$E$123)*'Cálculos'!$E$252)+('Cálculos'!$E$243+'Cálculos'!$E$124*(1+2.78*('Cálculos'!$E$198+(($C164)-$A$120:$A$165)*'Cálculos'!$E$98)/(('Cálculos'!$E$198+(($C164)-$A$120:$A$165)*'Cálculos'!$E$98)+1400)+'Cálculos'!$E$122)*'Cálculos'!$E$248+'Cálculos'!$E$125*(1+2.78*('Cálculos'!$E$198+(($C164)-$A$120:$A$165)*'Cálculos'!$E$98)/(('Cálculos'!$E$198+(($C164)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164)-$A$120:$A$165)*'Cálculos'!$E$98)/(('Cálculos'!$E$199+(($C164)-$A$120:$A$165)*'Cálculos'!$E$98)+1400)+'Cálculos'!$E$122)*'Cálculos'!$E$259+'Cálculos'!$E$125*(1+2.78*('Cálculos'!$E$199+(($C164)-$A$120:$A$165)*'Cálculos'!$E$98)/(('Cálculos'!$E$199+(($C164)-$A$120:$A$165)*'Cálculos'!$E$98)+1400)+'Cálculos'!$E$123)*'Cálculos'!$E$264)+('Cálculos'!$E$199+(($C164)-$A$120:$A$165)*'Cálculos'!$E$98)*('Cálculos'!$E$255+'Cálculos'!$E$124*(1+2.78*('Cálculos'!$E$199+(($C164)-$A$120:$A$165)*'Cálculos'!$E$98)/(('Cálculos'!$E$199+(($C164)-$A$120:$A$165)*'Cálculos'!$E$98)+1400)+'Cálculos'!$E$122)*'Cálculos'!$E$260+'Cálculos'!$E$125*(1+2.78*('Cálculos'!$E$199+(($C164)-$A$120:$A$165)*'Cálculos'!$E$98)/(('Cálculos'!$E$199+(($C164)-$A$120:$A$165)*'Cálculos'!$E$98)+1400)+'Cálculos'!$E$123)*'Cálculos'!$E$265)+('Cálculos'!$E$201*(1+'Cálculos'!$E$202+$A$120:$A$165*('Cálculos'!$E$290=2)*'Cálculos'!$E$101)+'Cálculos'!$E$203)*('Cálculos'!$E$256+'Cálculos'!$E$124*(1+2.78*('Cálculos'!$E$199+(($C164)-$A$120:$A$165)*'Cálculos'!$E$98)/(('Cálculos'!$E$199+(($C164)-$A$120:$A$165)*'Cálculos'!$E$98)+1400)+'Cálculos'!$E$122)*'Cálculos'!$E$261+'Cálculos'!$E$125*(1+2.78*('Cálculos'!$E$199+(($C164)-$A$120:$A$165)*'Cálculos'!$E$98)/(('Cálculos'!$E$199+(($C164)-$A$120:$A$165)*'Cálculos'!$E$98)+1400)+'Cálculos'!$E$123)*'Cálculos'!$E$266)+('Cálculos'!$E$204*(1+'Cálculos'!$E$205+$A$120:$A$165*('Cálculos'!$E$290=3)*'Cálculos'!$E$103)+'Cálculos'!$E$206)*('Cálculos'!$E$257+'Cálculos'!$E$124*(1+2.78*('Cálculos'!$E$199+(($C164)-$A$120:$A$165)*'Cálculos'!$E$98)/(('Cálculos'!$E$199+(($C164)-$A$120:$A$165)*'Cálculos'!$E$98)+1400)+'Cálculos'!$E$122)*'Cálculos'!$E$262+'Cálculos'!$E$125*(1+2.78*('Cálculos'!$E$199+(($C164)-$A$120:$A$165)*'Cálculos'!$E$98)/(('Cálculos'!$E$199+(($C164)-$A$120:$A$165)*'Cálculos'!$E$98)+1400)+'Cálculos'!$E$123)*'Cálculos'!$E$267)+('Cálculos'!$E$258+'Cálculos'!$E$124*(1+2.78*('Cálculos'!$E$199+(($C164)-$A$120:$A$165)*'Cálculos'!$E$98)/(('Cálculos'!$E$199+(($C164)-$A$120:$A$165)*'Cálculos'!$E$98)+1400)+'Cálculos'!$E$122)*'Cálculos'!$E$263+'Cálculos'!$E$125*(1+2.78*('Cálculos'!$E$199+(($C164)-$A$120:$A$165)*'Cálculos'!$E$98)/(('Cálculos'!$E$199+(($C164)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164)-$A$120:$A$165)*'Cálculos'!$E$98)/(('Cálculos'!$E$200+(($C164)-$A$120:$A$165)*'Cálculos'!$E$98)+1400)+'Cálculos'!$E$122)*'Cálculos'!$E$274+'Cálculos'!$E$125*(1+2.78*('Cálculos'!$E$200+(($C164)-$A$120:$A$165)*'Cálculos'!$E$98)/(('Cálculos'!$E$200+(($C164)-$A$120:$A$165)*'Cálculos'!$E$98)+1400)+'Cálculos'!$E$123)*'Cálculos'!$E$279)+('Cálculos'!$E$200+(($C164)-$A$120:$A$165)*'Cálculos'!$E$98)*('Cálculos'!$E$270+'Cálculos'!$E$124*(1+2.78*('Cálculos'!$E$200+(($C164)-$A$120:$A$165)*'Cálculos'!$E$98)/(('Cálculos'!$E$200+(($C164)-$A$120:$A$165)*'Cálculos'!$E$98)+1400)+'Cálculos'!$E$122)*'Cálculos'!$E$275+'Cálculos'!$E$125*(1+2.78*('Cálculos'!$E$200+(($C164)-$A$120:$A$165)*'Cálculos'!$E$98)/(('Cálculos'!$E$200+(($C164)-$A$120:$A$165)*'Cálculos'!$E$98)+1400)+'Cálculos'!$E$123)*'Cálculos'!$E$280)+('Cálculos'!$E$201*(1+'Cálculos'!$E$202+$A$120:$A$165*('Cálculos'!$E$290=2)*'Cálculos'!$E$101)+'Cálculos'!$E$203)*('Cálculos'!$E$271+'Cálculos'!$E$124*(1+2.78*('Cálculos'!$E$200+(($C164)-$A$120:$A$165)*'Cálculos'!$E$98)/(('Cálculos'!$E$200+(($C164)-$A$120:$A$165)*'Cálculos'!$E$98)+1400)+'Cálculos'!$E$122)*'Cálculos'!$E$276+'Cálculos'!$E$125*(1+2.78*('Cálculos'!$E$200+(($C164)-$A$120:$A$165)*'Cálculos'!$E$98)/(('Cálculos'!$E$200+(($C164)-$A$120:$A$165)*'Cálculos'!$E$98)+1400)+'Cálculos'!$E$123)*'Cálculos'!$E$281)+('Cálculos'!$E$204*(1+'Cálculos'!$E$205+$A$120:$A$165*('Cálculos'!$E$290=3)*'Cálculos'!$E$103)+'Cálculos'!$E$206)*('Cálculos'!$E$272+'Cálculos'!$E$124*(1+2.78*('Cálculos'!$E$200+(($C164)-$A$120:$A$165)*'Cálculos'!$E$98)/(('Cálculos'!$E$200+(($C164)-$A$120:$A$165)*'Cálculos'!$E$98)+1400)+'Cálculos'!$E$122)*'Cálculos'!$E$277+'Cálculos'!$E$125*(1+2.78*('Cálculos'!$E$200+(($C164)-$A$120:$A$165)*'Cálculos'!$E$98)/(('Cálculos'!$E$200+(($C164)-$A$120:$A$165)*'Cálculos'!$E$98)+1400)+'Cálculos'!$E$123)*'Cálculos'!$E$282)+('Cálculos'!$E$273+'Cálculos'!$E$124*(1+2.78*('Cálculos'!$E$200+(($C164)-$A$120:$A$165)*'Cálculos'!$E$98)/(('Cálculos'!$E$200+(($C164)-$A$120:$A$165)*'Cálculos'!$E$98)+1400)+'Cálculos'!$E$122)*'Cálculos'!$E$278+'Cálculos'!$E$125*(1+2.78*('Cálculos'!$E$200+(($C164)-$A$120:$A$165)*'Cálculos'!$E$98)/(('Cálculos'!$E$200+(($C164)-$A$120:$A$165)*'Cálculos'!$E$98)+1400)+'Cálculos'!$E$123)*'Cálculos'!$E$283)))))</f>
        <v>0</v>
      </c>
      <c r="E164" s="32">
        <f>IF(OR($C164&lt;0,'Cálculos'!$E$6=""),0,$B164*$D164)</f>
        <v>0</v>
      </c>
      <c r="F164" s="2"/>
      <c r="G164" s="30">
        <f>($A164&lt;=$B$167)*($A164&lt;='Cálculos'!$E$294)*(($B$167)-$A164&lt;='Cálculos'!$E$295)*(1+MIN(('Cálculos'!$E$207+$A164*'Cálculos'!$E$95),1)*('Cálculos'!$E$208+(($B$167)-$A164)*'Cálculos'!$E$96))</f>
        <v>0</v>
      </c>
      <c r="H164" s="31">
        <f>IF($B$168&lt;0,0,($A164&lt;=$B$168)*($A164&lt;='Cálculos'!$E$301)*(($B$168)-$A164&lt;='Cálculos'!$E$297)*(('Cálculos'!$E$185*(1+'Cálculos'!$E$186+$A164*('Cálculos'!$E$290=1)*'Cálculos'!$E$97+'Cálculos'!$E$305)+'Cálculos'!$E$191)*('Cálculos'!$E$209+'Cálculos'!$E$124*(1+2.78*('Cálculos'!$E$196+(($B$168)-$A164)*'Cálculos'!$E$98)/(('Cálculos'!$E$196+(($B$168)-$A164)*'Cálculos'!$E$98)+1400)+'Cálculos'!$E$122)*'Cálculos'!$E$214+'Cálculos'!$E$125*(1+2.78*('Cálculos'!$E$196+(($B$168)-$A164)*'Cálculos'!$E$98)/(('Cálculos'!$E$196+(($B$168)-$A164)*'Cálculos'!$E$98)+1400)+'Cálculos'!$E$123)*'Cálculos'!$E$219)+('Cálculos'!$E$196+(($B$168)-$A164)*'Cálculos'!$E$98)*('Cálculos'!$E$210+'Cálculos'!$E$124*(1+2.78*('Cálculos'!$E$196+(($B$168)-$A164)*'Cálculos'!$E$98)/(('Cálculos'!$E$196+(($B$168)-$A164)*'Cálculos'!$E$98)+1400)+'Cálculos'!$E$122)*'Cálculos'!$E$215+'Cálculos'!$E$125*(1+2.78*('Cálculos'!$E$196+(($B$168)-$A164)*'Cálculos'!$E$98)/(('Cálculos'!$E$196+(($B$168)-$A164)*'Cálculos'!$E$98)+1400)+'Cálculos'!$E$123)*'Cálculos'!$E$220)+('Cálculos'!$E$201*(1+'Cálculos'!$E$202+$A164*('Cálculos'!$E$290=2)*'Cálculos'!$E$101)+'Cálculos'!$E$203)*('Cálculos'!$E$211+'Cálculos'!$E$124*(1+2.78*('Cálculos'!$E$196+(($B$168)-$A164)*'Cálculos'!$E$98)/(('Cálculos'!$E$196+(($B$168)-$A164)*'Cálculos'!$E$98)+1400)+'Cálculos'!$E$122)*'Cálculos'!$E$216+'Cálculos'!$E$125*(1+2.78*('Cálculos'!$E$196+(($B$168)-$A164)*'Cálculos'!$E$98)/(('Cálculos'!$E$196+(($B$168)-$A164)*'Cálculos'!$E$98)+1400)+'Cálculos'!$E$123)*'Cálculos'!$E$221)+('Cálculos'!$E$204*(1+'Cálculos'!$E$205+$A164*('Cálculos'!$E$290=3)*'Cálculos'!$E$103)+'Cálculos'!$E$206)*('Cálculos'!$E$212+'Cálculos'!$E$124*(1+2.78*('Cálculos'!$E$196+(($B$168)-$A164)*'Cálculos'!$E$98)/(('Cálculos'!$E$196+(($B$168)-$A164)*'Cálculos'!$E$98)+1400)+'Cálculos'!$E$122)*'Cálculos'!$E$217+'Cálculos'!$E$125*(1+2.78*('Cálculos'!$E$196+(($B$168)-$A164)*'Cálculos'!$E$98)/(('Cálculos'!$E$196+(($B$168)-$A164)*'Cálculos'!$E$98)+1400)+'Cálculos'!$E$123)*'Cálculos'!$E$222)+('Cálculos'!$E$213+'Cálculos'!$E$124*(1+2.78*('Cálculos'!$E$196+(($B$168)-$A164)*'Cálculos'!$E$98)/(('Cálculos'!$E$196+(($B$168)-$A164)*'Cálculos'!$E$98)+1400)+'Cálculos'!$E$122)*'Cálculos'!$E$218+'Cálculos'!$E$125*(1+2.78*('Cálculos'!$E$196+(($B$168)-$A164)*'Cálculos'!$E$98)/(('Cálculos'!$E$196+(($B$168)-$A164)*'Cálculos'!$E$98)+1400)+'Cálculos'!$E$123)*'Cálculos'!$E$223)+('Cálculos'!$E$185*(1+'Cálculos'!$E$187+$A164*('Cálculos'!$E$290=1)*'Cálculos'!$E$97+'Cálculos'!$E$305)+'Cálculos'!$E$192)*('Cálculos'!$E$224+'Cálculos'!$E$124*(1+2.78*('Cálculos'!$E$197+(($B$168)-$A164)*'Cálculos'!$E$98)/(('Cálculos'!$E$197+(($B$168)-$A164)*'Cálculos'!$E$98)+1400)+'Cálculos'!$E$122)*'Cálculos'!$E$229+'Cálculos'!$E$125*(1+2.78*('Cálculos'!$E$197+(($B$168)-$A164)*'Cálculos'!$E$98)/(('Cálculos'!$E$197+(($B$168)-$A164)*'Cálculos'!$E$98)+1400)+'Cálculos'!$E$123)*'Cálculos'!$E$234)+('Cálculos'!$E$197+(($B$168)-$A164)*'Cálculos'!$E$98)*('Cálculos'!$E$225+'Cálculos'!$E$124*(1+2.78*('Cálculos'!$E$197+(($B$168)-$A164)*'Cálculos'!$E$98)/(('Cálculos'!$E$197+(($B$168)-$A164)*'Cálculos'!$E$98)+1400)+'Cálculos'!$E$122)*'Cálculos'!$E$230+'Cálculos'!$E$125*(1+2.78*('Cálculos'!$E$197+(($B$168)-$A164)*'Cálculos'!$E$98)/(('Cálculos'!$E$197+(($B$168)-$A164)*'Cálculos'!$E$98)+1400)+'Cálculos'!$E$123)*'Cálculos'!$E$235)+('Cálculos'!$E$201*(1+'Cálculos'!$E$202+$A164*('Cálculos'!$E$290=2)*'Cálculos'!$E$101)+'Cálculos'!$E$203)*('Cálculos'!$E$226+'Cálculos'!$E$124*(1+2.78*('Cálculos'!$E$197+(($B$168)-$A164)*'Cálculos'!$E$98)/(('Cálculos'!$E$197+(($B$168)-$A164)*'Cálculos'!$E$98)+1400)+'Cálculos'!$E$122)*'Cálculos'!$E$231+'Cálculos'!$E$125*(1+2.78*('Cálculos'!$E$197+(($B$168)-$A164)*'Cálculos'!$E$98)/(('Cálculos'!$E$197+(($B$168)-$A164)*'Cálculos'!$E$98)+1400)+'Cálculos'!$E$123)*'Cálculos'!$E$236)+('Cálculos'!$E$204*(1+'Cálculos'!$E$205+$A164*('Cálculos'!$E$290=3)*'Cálculos'!$E$103)+'Cálculos'!$E$206)*('Cálculos'!$E$227+'Cálculos'!$E$124*(1+2.78*('Cálculos'!$E$197+(($B$168)-$A164)*'Cálculos'!$E$98)/(('Cálculos'!$E$197+(($B$168)-$A164)*'Cálculos'!$E$98)+1400)+'Cálculos'!$E$122)*'Cálculos'!$E$232+'Cálculos'!$E$125*(1+2.78*('Cálculos'!$E$197+(($B$168)-$A164)*'Cálculos'!$E$98)/(('Cálculos'!$E$197+(($B$168)-$A164)*'Cálculos'!$E$98)+1400)+'Cálculos'!$E$123)*'Cálculos'!$E$237)+('Cálculos'!$E$228+'Cálculos'!$E$124*(1+2.78*('Cálculos'!$E$197+(($B$168)-$A164)*'Cálculos'!$E$98)/(('Cálculos'!$E$197+(($B$168)-$A164)*'Cálculos'!$E$98)+1400)+'Cálculos'!$E$122)*'Cálculos'!$E$233+'Cálculos'!$E$125*(1+2.78*('Cálculos'!$E$197+(($B$168)-$A164)*'Cálculos'!$E$98)/(('Cálculos'!$E$197+(($B$168)-$A164)*'Cálculos'!$E$98)+1400)+'Cálculos'!$E$123)*'Cálculos'!$E$238)+('Cálculos'!$E$185*(1+'Cálculos'!$E$188+$A164*('Cálculos'!$E$290=1)*'Cálculos'!$E$97+'Cálculos'!$E$305)+'Cálculos'!$E$193)*('Cálculos'!$E$239+'Cálculos'!$E$124*(1+2.78*('Cálculos'!$E$198+(($B$168)-$A164)*'Cálculos'!$E$98)/(('Cálculos'!$E$198+(($B$168)-$A164)*'Cálculos'!$E$98)+1400)+'Cálculos'!$E$122)*'Cálculos'!$E$244+'Cálculos'!$E$125*(1+2.78*('Cálculos'!$E$198+(($B$168)-$A164)*'Cálculos'!$E$98)/(('Cálculos'!$E$198+(($B$168)-$A164)*'Cálculos'!$E$98)+1400)+'Cálculos'!$E$123)*'Cálculos'!$E$249)+('Cálculos'!$E$198+(($B$168)-$A164)*'Cálculos'!$E$98)*('Cálculos'!$E$240+'Cálculos'!$E$124*(1+2.78*('Cálculos'!$E$198+(($B$168)-$A164)*'Cálculos'!$E$98)/(('Cálculos'!$E$198+(($B$168)-$A164)*'Cálculos'!$E$98)+1400)+'Cálculos'!$E$122)*'Cálculos'!$E$245+'Cálculos'!$E$125*(1+2.78*('Cálculos'!$E$198+(($B$168)-$A164)*'Cálculos'!$E$98)/(('Cálculos'!$E$198+(($B$168)-$A164)*'Cálculos'!$E$98)+1400)+'Cálculos'!$E$123)*'Cálculos'!$E$250)+('Cálculos'!$E$201*(1+'Cálculos'!$E$202+$A164*('Cálculos'!$E$290=2)*'Cálculos'!$E$101)+'Cálculos'!$E$203)*('Cálculos'!$E$241+'Cálculos'!$E$124*(1+2.78*('Cálculos'!$E$198+(($B$168)-$A164)*'Cálculos'!$E$98)/(('Cálculos'!$E$198+(($B$168)-$A164)*'Cálculos'!$E$98)+1400)+'Cálculos'!$E$122)*'Cálculos'!$E$246+'Cálculos'!$E$125*(1+2.78*('Cálculos'!$E$198+(($B$168)-$A164)*'Cálculos'!$E$98)/(('Cálculos'!$E$198+(($B$168)-$A164)*'Cálculos'!$E$98)+1400)+'Cálculos'!$E$123)*'Cálculos'!$E$251)+('Cálculos'!$E$204*(1+'Cálculos'!$E$205+$A164*('Cálculos'!$E$290=3)*'Cálculos'!$E$103)+'Cálculos'!$E$206)*('Cálculos'!$E$242+'Cálculos'!$E$124*(1+2.78*('Cálculos'!$E$198+(($B$168)-$A164)*'Cálculos'!$E$98)/(('Cálculos'!$E$198+(($B$168)-$A164)*'Cálculos'!$E$98)+1400)+'Cálculos'!$E$122)*'Cálculos'!$E$247+'Cálculos'!$E$125*(1+2.78*('Cálculos'!$E$198+(($B$168)-$A164)*'Cálculos'!$E$98)/(('Cálculos'!$E$198+(($B$168)-$A164)*'Cálculos'!$E$98)+1400)+'Cálculos'!$E$123)*'Cálculos'!$E$252)+('Cálculos'!$E$243+'Cálculos'!$E$124*(1+2.78*('Cálculos'!$E$198+(($B$168)-$A164)*'Cálculos'!$E$98)/(('Cálculos'!$E$198+(($B$168)-$A164)*'Cálculos'!$E$98)+1400)+'Cálculos'!$E$122)*'Cálculos'!$E$248+'Cálculos'!$E$125*(1+2.78*('Cálculos'!$E$198+(($B$168)-$A164)*'Cálculos'!$E$98)/(('Cálculos'!$E$198+(($B$168)-$A164)*'Cálculos'!$E$98)+1400)+'Cálculos'!$E$123)*'Cálculos'!$E$253)+('Cálculos'!$E$185*(1+'Cálculos'!$E$189+$A164*('Cálculos'!$E$290=1)*'Cálculos'!$E$97+'Cálculos'!$E$305)+'Cálculos'!$E$194)*('Cálculos'!$E$254+'Cálculos'!$E$124*(1+2.78*('Cálculos'!$E$199+(($B$168)-$A164)*'Cálculos'!$E$98)/(('Cálculos'!$E$199+(($B$168)-$A164)*'Cálculos'!$E$98)+1400)+'Cálculos'!$E$122)*'Cálculos'!$E$259+'Cálculos'!$E$125*(1+2.78*('Cálculos'!$E$199+(($B$168)-$A164)*'Cálculos'!$E$98)/(('Cálculos'!$E$199+(($B$168)-$A164)*'Cálculos'!$E$98)+1400)+'Cálculos'!$E$123)*'Cálculos'!$E$264)+('Cálculos'!$E$199+(($B$168)-$A164)*'Cálculos'!$E$98)*('Cálculos'!$E$255+'Cálculos'!$E$124*(1+2.78*('Cálculos'!$E$199+(($B$168)-$A164)*'Cálculos'!$E$98)/(('Cálculos'!$E$199+(($B$168)-$A164)*'Cálculos'!$E$98)+1400)+'Cálculos'!$E$122)*'Cálculos'!$E$260+'Cálculos'!$E$125*(1+2.78*('Cálculos'!$E$199+(($B$168)-$A164)*'Cálculos'!$E$98)/(('Cálculos'!$E$199+(($B$168)-$A164)*'Cálculos'!$E$98)+1400)+'Cálculos'!$E$123)*'Cálculos'!$E$265)+('Cálculos'!$E$201*(1+'Cálculos'!$E$202+$A164*('Cálculos'!$E$290=2)*'Cálculos'!$E$101)+'Cálculos'!$E$203)*('Cálculos'!$E$256+'Cálculos'!$E$124*(1+2.78*('Cálculos'!$E$199+(($B$168)-$A164)*'Cálculos'!$E$98)/(('Cálculos'!$E$199+(($B$168)-$A164)*'Cálculos'!$E$98)+1400)+'Cálculos'!$E$122)*'Cálculos'!$E$261+'Cálculos'!$E$125*(1+2.78*('Cálculos'!$E$199+(($B$168)-$A164)*'Cálculos'!$E$98)/(('Cálculos'!$E$199+(($B$168)-$A164)*'Cálculos'!$E$98)+1400)+'Cálculos'!$E$123)*'Cálculos'!$E$266)+('Cálculos'!$E$204*(1+'Cálculos'!$E$205+$A164*('Cálculos'!$E$290=3)*'Cálculos'!$E$103)+'Cálculos'!$E$206)*('Cálculos'!$E$257+'Cálculos'!$E$124*(1+2.78*('Cálculos'!$E$199+(($B$168)-$A164)*'Cálculos'!$E$98)/(('Cálculos'!$E$199+(($B$168)-$A164)*'Cálculos'!$E$98)+1400)+'Cálculos'!$E$122)*'Cálculos'!$E$262+'Cálculos'!$E$125*(1+2.78*('Cálculos'!$E$199+(($B$168)-$A164)*'Cálculos'!$E$98)/(('Cálculos'!$E$199+(($B$168)-$A164)*'Cálculos'!$E$98)+1400)+'Cálculos'!$E$123)*'Cálculos'!$E$267)+('Cálculos'!$E$258+'Cálculos'!$E$124*(1+2.78*('Cálculos'!$E$199+(($B$168)-$A164)*'Cálculos'!$E$98)/(('Cálculos'!$E$199+(($B$168)-$A164)*'Cálculos'!$E$98)+1400)+'Cálculos'!$E$122)*'Cálculos'!$E$263+'Cálculos'!$E$125*(1+2.78*('Cálculos'!$E$199+(($B$168)-$A164)*'Cálculos'!$E$98)/(('Cálculos'!$E$199+(($B$168)-$A164)*'Cálculos'!$E$98)+1400)+'Cálculos'!$E$123)*'Cálculos'!$E$268)+('Cálculos'!$E$185*(1+'Cálculos'!$E$190+$A164*('Cálculos'!$E$290=1)*'Cálculos'!$E$97+'Cálculos'!$E$305)+'Cálculos'!$E$195)*('Cálculos'!$E$269+'Cálculos'!$E$124*(1+2.78*('Cálculos'!$E$200+(($B$168)-$A164)*'Cálculos'!$E$98)/(('Cálculos'!$E$200+(($B$168)-$A164)*'Cálculos'!$E$98)+1400)+'Cálculos'!$E$122)*'Cálculos'!$E$274+'Cálculos'!$E$125*(1+2.78*('Cálculos'!$E$200+(($B$168)-$A164)*'Cálculos'!$E$98)/(('Cálculos'!$E$200+(($B$168)-$A164)*'Cálculos'!$E$98)+1400)+'Cálculos'!$E$123)*'Cálculos'!$E$279)+('Cálculos'!$E$200+(($B$168)-$A164)*'Cálculos'!$E$98)*('Cálculos'!$E$270+'Cálculos'!$E$124*(1+2.78*('Cálculos'!$E$200+(($B$168)-$A164)*'Cálculos'!$E$98)/(('Cálculos'!$E$200+(($B$168)-$A164)*'Cálculos'!$E$98)+1400)+'Cálculos'!$E$122)*'Cálculos'!$E$275+'Cálculos'!$E$125*(1+2.78*('Cálculos'!$E$200+(($B$168)-$A164)*'Cálculos'!$E$98)/(('Cálculos'!$E$200+(($B$168)-$A164)*'Cálculos'!$E$98)+1400)+'Cálculos'!$E$123)*'Cálculos'!$E$280)+('Cálculos'!$E$201*(1+'Cálculos'!$E$202+$A164*('Cálculos'!$E$290=2)*'Cálculos'!$E$101)+'Cálculos'!$E$203)*('Cálculos'!$E$271+'Cálculos'!$E$124*(1+2.78*('Cálculos'!$E$200+(($B$168)-$A164)*'Cálculos'!$E$98)/(('Cálculos'!$E$200+(($B$168)-$A164)*'Cálculos'!$E$98)+1400)+'Cálculos'!$E$122)*'Cálculos'!$E$276+'Cálculos'!$E$125*(1+2.78*('Cálculos'!$E$200+(($B$168)-$A164)*'Cálculos'!$E$98)/(('Cálculos'!$E$200+(($B$168)-$A164)*'Cálculos'!$E$98)+1400)+'Cálculos'!$E$123)*'Cálculos'!$E$281)+('Cálculos'!$E$204*(1+'Cálculos'!$E$205+$A164*('Cálculos'!$E$290=3)*'Cálculos'!$E$103)+'Cálculos'!$E$206)*('Cálculos'!$E$272+'Cálculos'!$E$124*(1+2.78*('Cálculos'!$E$200+(($B$168)-$A164)*'Cálculos'!$E$98)/(('Cálculos'!$E$200+(($B$168)-$A164)*'Cálculos'!$E$98)+1400)+'Cálculos'!$E$122)*'Cálculos'!$E$277+'Cálculos'!$E$125*(1+2.78*('Cálculos'!$E$200+(($B$168)-$A164)*'Cálculos'!$E$98)/(('Cálculos'!$E$200+(($B$168)-$A164)*'Cálculos'!$E$98)+1400)+'Cálculos'!$E$123)*'Cálculos'!$E$282)+('Cálculos'!$E$273+'Cálculos'!$E$124*(1+2.78*('Cálculos'!$E$200+(($B$168)-$A164)*'Cálculos'!$E$98)/(('Cálculos'!$E$200+(($B$168)-$A164)*'Cálculos'!$E$98)+1400)+'Cálculos'!$E$122)*'Cálculos'!$E$278+'Cálculos'!$E$125*(1+2.78*('Cálculos'!$E$200+(($B$168)-$A164)*'Cálculos'!$E$98)/(('Cálculos'!$E$200+(($B$168)-$A164)*'Cálculos'!$E$98)+1400)+'Cálculos'!$E$123)*'Cálculos'!$E$283)))</f>
        <v>0</v>
      </c>
    </row>
    <row r="165" ht="15.75" customHeight="1">
      <c r="A165" s="2">
        <v>45.0</v>
      </c>
      <c r="B165" s="30">
        <f>SUMPRODUCT(MAX(($A$120:$A$165&lt;=$A165)*($A$120:$A$165&lt;='Cálculos'!$E$294)*(($A165)-$A$120:$A$165&lt;='Cálculos'!$E$295)*(1+(('Cálculos'!$E$207+$A$120:$A$165*'Cálculos'!$E$95)-(('Cálculos'!$E$207+$A$120:$A$165*'Cálculos'!$E$95)&gt;1)*(('Cálculos'!$E$207+$A$120:$A$165*'Cálculos'!$E$95)-1))*('Cálculos'!$E$208+(($A165)-$A$120:$A$165)*'Cálculos'!$E$96))))</f>
        <v>3.45024</v>
      </c>
      <c r="C165" s="2">
        <f>'Cálculos'!$E$303-$A165</f>
        <v>-32</v>
      </c>
      <c r="D165" s="31">
        <f>IF($C165&lt;0,0,SUMPRODUCT(MAX(($A$120:$A$165&lt;=$C165)*($A$120:$A$165&lt;='Cálculos'!$E$301)*(($C165)-$A$120:$A$165&lt;='Cálculos'!$E$297)*(('Cálculos'!$E$185*(1+'Cálculos'!$E$186+$A$120:$A$165*('Cálculos'!$E$290=1)*'Cálculos'!$E$97+'Cálculos'!$E$305)+'Cálculos'!$E$191)*('Cálculos'!$E$209+'Cálculos'!$E$124*(1+2.78*('Cálculos'!$E$196+(($C165)-$A$120:$A$165)*'Cálculos'!$E$98)/(('Cálculos'!$E$196+(($C165)-$A$120:$A$165)*'Cálculos'!$E$98)+1400)+'Cálculos'!$E$122)*'Cálculos'!$E$214+'Cálculos'!$E$125*(1+2.78*('Cálculos'!$E$196+(($C165)-$A$120:$A$165)*'Cálculos'!$E$98)/(('Cálculos'!$E$196+(($C165)-$A$120:$A$165)*'Cálculos'!$E$98)+1400)+'Cálculos'!$E$123)*'Cálculos'!$E$219)+('Cálculos'!$E$196+(($C165)-$A$120:$A$165)*'Cálculos'!$E$98)*('Cálculos'!$E$210+'Cálculos'!$E$124*(1+2.78*('Cálculos'!$E$196+(($C165)-$A$120:$A$165)*'Cálculos'!$E$98)/(('Cálculos'!$E$196+(($C165)-$A$120:$A$165)*'Cálculos'!$E$98)+1400)+'Cálculos'!$E$122)*'Cálculos'!$E$215+'Cálculos'!$E$125*(1+2.78*('Cálculos'!$E$196+(($C165)-$A$120:$A$165)*'Cálculos'!$E$98)/(('Cálculos'!$E$196+(($C165)-$A$120:$A$165)*'Cálculos'!$E$98)+1400)+'Cálculos'!$E$123)*'Cálculos'!$E$220)+('Cálculos'!$E$201*(1+'Cálculos'!$E$202+$A$120:$A$165*('Cálculos'!$E$290=2)*'Cálculos'!$E$101)+'Cálculos'!$E$203)*('Cálculos'!$E$211+'Cálculos'!$E$124*(1+2.78*('Cálculos'!$E$196+(($C165)-$A$120:$A$165)*'Cálculos'!$E$98)/(('Cálculos'!$E$196+(($C165)-$A$120:$A$165)*'Cálculos'!$E$98)+1400)+'Cálculos'!$E$122)*'Cálculos'!$E$216+'Cálculos'!$E$125*(1+2.78*('Cálculos'!$E$196+(($C165)-$A$120:$A$165)*'Cálculos'!$E$98)/(('Cálculos'!$E$196+(($C165)-$A$120:$A$165)*'Cálculos'!$E$98)+1400)+'Cálculos'!$E$123)*'Cálculos'!$E$221)+('Cálculos'!$E$204*(1+'Cálculos'!$E$205+$A$120:$A$165*('Cálculos'!$E$290=3)*'Cálculos'!$E$103)+'Cálculos'!$E$206)*('Cálculos'!$E$212+'Cálculos'!$E$124*(1+2.78*('Cálculos'!$E$196+(($C165)-$A$120:$A$165)*'Cálculos'!$E$98)/(('Cálculos'!$E$196+(($C165)-$A$120:$A$165)*'Cálculos'!$E$98)+1400)+'Cálculos'!$E$122)*'Cálculos'!$E$217+'Cálculos'!$E$125*(1+2.78*('Cálculos'!$E$196+(($C165)-$A$120:$A$165)*'Cálculos'!$E$98)/(('Cálculos'!$E$196+(($C165)-$A$120:$A$165)*'Cálculos'!$E$98)+1400)+'Cálculos'!$E$123)*'Cálculos'!$E$222)+('Cálculos'!$E$213+'Cálculos'!$E$124*(1+2.78*('Cálculos'!$E$196+(($C165)-$A$120:$A$165)*'Cálculos'!$E$98)/(('Cálculos'!$E$196+(($C165)-$A$120:$A$165)*'Cálculos'!$E$98)+1400)+'Cálculos'!$E$122)*'Cálculos'!$E$218+'Cálculos'!$E$125*(1+2.78*('Cálculos'!$E$196+(($C165)-$A$120:$A$165)*'Cálculos'!$E$98)/(('Cálculos'!$E$196+(($C165)-$A$120:$A$165)*'Cálculos'!$E$98)+1400)+'Cálculos'!$E$123)*'Cálculos'!$E$223)+('Cálculos'!$E$185*(1+'Cálculos'!$E$187+$A$120:$A$165*('Cálculos'!$E$290=1)*'Cálculos'!$E$97+'Cálculos'!$E$305)+'Cálculos'!$E$192)*('Cálculos'!$E$224+'Cálculos'!$E$124*(1+2.78*('Cálculos'!$E$197+(($C165)-$A$120:$A$165)*'Cálculos'!$E$98)/(('Cálculos'!$E$197+(($C165)-$A$120:$A$165)*'Cálculos'!$E$98)+1400)+'Cálculos'!$E$122)*'Cálculos'!$E$229+'Cálculos'!$E$125*(1+2.78*('Cálculos'!$E$197+(($C165)-$A$120:$A$165)*'Cálculos'!$E$98)/(('Cálculos'!$E$197+(($C165)-$A$120:$A$165)*'Cálculos'!$E$98)+1400)+'Cálculos'!$E$123)*'Cálculos'!$E$234)+('Cálculos'!$E$197+(($C165)-$A$120:$A$165)*'Cálculos'!$E$98)*('Cálculos'!$E$225+'Cálculos'!$E$124*(1+2.78*('Cálculos'!$E$197+(($C165)-$A$120:$A$165)*'Cálculos'!$E$98)/(('Cálculos'!$E$197+(($C165)-$A$120:$A$165)*'Cálculos'!$E$98)+1400)+'Cálculos'!$E$122)*'Cálculos'!$E$230+'Cálculos'!$E$125*(1+2.78*('Cálculos'!$E$197+(($C165)-$A$120:$A$165)*'Cálculos'!$E$98)/(('Cálculos'!$E$197+(($C165)-$A$120:$A$165)*'Cálculos'!$E$98)+1400)+'Cálculos'!$E$123)*'Cálculos'!$E$235)+('Cálculos'!$E$201*(1+'Cálculos'!$E$202+$A$120:$A$165*('Cálculos'!$E$290=2)*'Cálculos'!$E$101)+'Cálculos'!$E$203)*('Cálculos'!$E$226+'Cálculos'!$E$124*(1+2.78*('Cálculos'!$E$197+(($C165)-$A$120:$A$165)*'Cálculos'!$E$98)/(('Cálculos'!$E$197+(($C165)-$A$120:$A$165)*'Cálculos'!$E$98)+1400)+'Cálculos'!$E$122)*'Cálculos'!$E$231+'Cálculos'!$E$125*(1+2.78*('Cálculos'!$E$197+(($C165)-$A$120:$A$165)*'Cálculos'!$E$98)/(('Cálculos'!$E$197+(($C165)-$A$120:$A$165)*'Cálculos'!$E$98)+1400)+'Cálculos'!$E$123)*'Cálculos'!$E$236)+('Cálculos'!$E$204*(1+'Cálculos'!$E$205+$A$120:$A$165*('Cálculos'!$E$290=3)*'Cálculos'!$E$103)+'Cálculos'!$E$206)*('Cálculos'!$E$227+'Cálculos'!$E$124*(1+2.78*('Cálculos'!$E$197+(($C165)-$A$120:$A$165)*'Cálculos'!$E$98)/(('Cálculos'!$E$197+(($C165)-$A$120:$A$165)*'Cálculos'!$E$98)+1400)+'Cálculos'!$E$122)*'Cálculos'!$E$232+'Cálculos'!$E$125*(1+2.78*('Cálculos'!$E$197+(($C165)-$A$120:$A$165)*'Cálculos'!$E$98)/(('Cálculos'!$E$197+(($C165)-$A$120:$A$165)*'Cálculos'!$E$98)+1400)+'Cálculos'!$E$123)*'Cálculos'!$E$237)+('Cálculos'!$E$228+'Cálculos'!$E$124*(1+2.78*('Cálculos'!$E$197+(($C165)-$A$120:$A$165)*'Cálculos'!$E$98)/(('Cálculos'!$E$197+(($C165)-$A$120:$A$165)*'Cálculos'!$E$98)+1400)+'Cálculos'!$E$122)*'Cálculos'!$E$233+'Cálculos'!$E$125*(1+2.78*('Cálculos'!$E$197+(($C165)-$A$120:$A$165)*'Cálculos'!$E$98)/(('Cálculos'!$E$197+(($C165)-$A$120:$A$165)*'Cálculos'!$E$98)+1400)+'Cálculos'!$E$123)*'Cálculos'!$E$238)+('Cálculos'!$E$185*(1+'Cálculos'!$E$188+$A$120:$A$165*('Cálculos'!$E$290=1)*'Cálculos'!$E$97+'Cálculos'!$E$305)+'Cálculos'!$E$193)*('Cálculos'!$E$239+'Cálculos'!$E$124*(1+2.78*('Cálculos'!$E$198+(($C165)-$A$120:$A$165)*'Cálculos'!$E$98)/(('Cálculos'!$E$198+(($C165)-$A$120:$A$165)*'Cálculos'!$E$98)+1400)+'Cálculos'!$E$122)*'Cálculos'!$E$244+'Cálculos'!$E$125*(1+2.78*('Cálculos'!$E$198+(($C165)-$A$120:$A$165)*'Cálculos'!$E$98)/(('Cálculos'!$E$198+(($C165)-$A$120:$A$165)*'Cálculos'!$E$98)+1400)+'Cálculos'!$E$123)*'Cálculos'!$E$249)+('Cálculos'!$E$198+(($C165)-$A$120:$A$165)*'Cálculos'!$E$98)*('Cálculos'!$E$240+'Cálculos'!$E$124*(1+2.78*('Cálculos'!$E$198+(($C165)-$A$120:$A$165)*'Cálculos'!$E$98)/(('Cálculos'!$E$198+(($C165)-$A$120:$A$165)*'Cálculos'!$E$98)+1400)+'Cálculos'!$E$122)*'Cálculos'!$E$245+'Cálculos'!$E$125*(1+2.78*('Cálculos'!$E$198+(($C165)-$A$120:$A$165)*'Cálculos'!$E$98)/(('Cálculos'!$E$198+(($C165)-$A$120:$A$165)*'Cálculos'!$E$98)+1400)+'Cálculos'!$E$123)*'Cálculos'!$E$250)+('Cálculos'!$E$201*(1+'Cálculos'!$E$202+$A$120:$A$165*('Cálculos'!$E$290=2)*'Cálculos'!$E$101)+'Cálculos'!$E$203)*('Cálculos'!$E$241+'Cálculos'!$E$124*(1+2.78*('Cálculos'!$E$198+(($C165)-$A$120:$A$165)*'Cálculos'!$E$98)/(('Cálculos'!$E$198+(($C165)-$A$120:$A$165)*'Cálculos'!$E$98)+1400)+'Cálculos'!$E$122)*'Cálculos'!$E$246+'Cálculos'!$E$125*(1+2.78*('Cálculos'!$E$198+(($C165)-$A$120:$A$165)*'Cálculos'!$E$98)/(('Cálculos'!$E$198+(($C165)-$A$120:$A$165)*'Cálculos'!$E$98)+1400)+'Cálculos'!$E$123)*'Cálculos'!$E$251)+('Cálculos'!$E$204*(1+'Cálculos'!$E$205+$A$120:$A$165*('Cálculos'!$E$290=3)*'Cálculos'!$E$103)+'Cálculos'!$E$206)*('Cálculos'!$E$242+'Cálculos'!$E$124*(1+2.78*('Cálculos'!$E$198+(($C165)-$A$120:$A$165)*'Cálculos'!$E$98)/(('Cálculos'!$E$198+(($C165)-$A$120:$A$165)*'Cálculos'!$E$98)+1400)+'Cálculos'!$E$122)*'Cálculos'!$E$247+'Cálculos'!$E$125*(1+2.78*('Cálculos'!$E$198+(($C165)-$A$120:$A$165)*'Cálculos'!$E$98)/(('Cálculos'!$E$198+(($C165)-$A$120:$A$165)*'Cálculos'!$E$98)+1400)+'Cálculos'!$E$123)*'Cálculos'!$E$252)+('Cálculos'!$E$243+'Cálculos'!$E$124*(1+2.78*('Cálculos'!$E$198+(($C165)-$A$120:$A$165)*'Cálculos'!$E$98)/(('Cálculos'!$E$198+(($C165)-$A$120:$A$165)*'Cálculos'!$E$98)+1400)+'Cálculos'!$E$122)*'Cálculos'!$E$248+'Cálculos'!$E$125*(1+2.78*('Cálculos'!$E$198+(($C165)-$A$120:$A$165)*'Cálculos'!$E$98)/(('Cálculos'!$E$198+(($C165)-$A$120:$A$165)*'Cálculos'!$E$98)+1400)+'Cálculos'!$E$123)*'Cálculos'!$E$253)+('Cálculos'!$E$185*(1+'Cálculos'!$E$189+$A$120:$A$165*('Cálculos'!$E$290=1)*'Cálculos'!$E$97+'Cálculos'!$E$305)+'Cálculos'!$E$194)*('Cálculos'!$E$254+'Cálculos'!$E$124*(1+2.78*('Cálculos'!$E$199+(($C165)-$A$120:$A$165)*'Cálculos'!$E$98)/(('Cálculos'!$E$199+(($C165)-$A$120:$A$165)*'Cálculos'!$E$98)+1400)+'Cálculos'!$E$122)*'Cálculos'!$E$259+'Cálculos'!$E$125*(1+2.78*('Cálculos'!$E$199+(($C165)-$A$120:$A$165)*'Cálculos'!$E$98)/(('Cálculos'!$E$199+(($C165)-$A$120:$A$165)*'Cálculos'!$E$98)+1400)+'Cálculos'!$E$123)*'Cálculos'!$E$264)+('Cálculos'!$E$199+(($C165)-$A$120:$A$165)*'Cálculos'!$E$98)*('Cálculos'!$E$255+'Cálculos'!$E$124*(1+2.78*('Cálculos'!$E$199+(($C165)-$A$120:$A$165)*'Cálculos'!$E$98)/(('Cálculos'!$E$199+(($C165)-$A$120:$A$165)*'Cálculos'!$E$98)+1400)+'Cálculos'!$E$122)*'Cálculos'!$E$260+'Cálculos'!$E$125*(1+2.78*('Cálculos'!$E$199+(($C165)-$A$120:$A$165)*'Cálculos'!$E$98)/(('Cálculos'!$E$199+(($C165)-$A$120:$A$165)*'Cálculos'!$E$98)+1400)+'Cálculos'!$E$123)*'Cálculos'!$E$265)+('Cálculos'!$E$201*(1+'Cálculos'!$E$202+$A$120:$A$165*('Cálculos'!$E$290=2)*'Cálculos'!$E$101)+'Cálculos'!$E$203)*('Cálculos'!$E$256+'Cálculos'!$E$124*(1+2.78*('Cálculos'!$E$199+(($C165)-$A$120:$A$165)*'Cálculos'!$E$98)/(('Cálculos'!$E$199+(($C165)-$A$120:$A$165)*'Cálculos'!$E$98)+1400)+'Cálculos'!$E$122)*'Cálculos'!$E$261+'Cálculos'!$E$125*(1+2.78*('Cálculos'!$E$199+(($C165)-$A$120:$A$165)*'Cálculos'!$E$98)/(('Cálculos'!$E$199+(($C165)-$A$120:$A$165)*'Cálculos'!$E$98)+1400)+'Cálculos'!$E$123)*'Cálculos'!$E$266)+('Cálculos'!$E$204*(1+'Cálculos'!$E$205+$A$120:$A$165*('Cálculos'!$E$290=3)*'Cálculos'!$E$103)+'Cálculos'!$E$206)*('Cálculos'!$E$257+'Cálculos'!$E$124*(1+2.78*('Cálculos'!$E$199+(($C165)-$A$120:$A$165)*'Cálculos'!$E$98)/(('Cálculos'!$E$199+(($C165)-$A$120:$A$165)*'Cálculos'!$E$98)+1400)+'Cálculos'!$E$122)*'Cálculos'!$E$262+'Cálculos'!$E$125*(1+2.78*('Cálculos'!$E$199+(($C165)-$A$120:$A$165)*'Cálculos'!$E$98)/(('Cálculos'!$E$199+(($C165)-$A$120:$A$165)*'Cálculos'!$E$98)+1400)+'Cálculos'!$E$123)*'Cálculos'!$E$267)+('Cálculos'!$E$258+'Cálculos'!$E$124*(1+2.78*('Cálculos'!$E$199+(($C165)-$A$120:$A$165)*'Cálculos'!$E$98)/(('Cálculos'!$E$199+(($C165)-$A$120:$A$165)*'Cálculos'!$E$98)+1400)+'Cálculos'!$E$122)*'Cálculos'!$E$263+'Cálculos'!$E$125*(1+2.78*('Cálculos'!$E$199+(($C165)-$A$120:$A$165)*'Cálculos'!$E$98)/(('Cálculos'!$E$199+(($C165)-$A$120:$A$165)*'Cálculos'!$E$98)+1400)+'Cálculos'!$E$123)*'Cálculos'!$E$268)+('Cálculos'!$E$185*(1+'Cálculos'!$E$190+$A$120:$A$165*('Cálculos'!$E$290=1)*'Cálculos'!$E$97+'Cálculos'!$E$305)+'Cálculos'!$E$195)*('Cálculos'!$E$269+'Cálculos'!$E$124*(1+2.78*('Cálculos'!$E$200+(($C165)-$A$120:$A$165)*'Cálculos'!$E$98)/(('Cálculos'!$E$200+(($C165)-$A$120:$A$165)*'Cálculos'!$E$98)+1400)+'Cálculos'!$E$122)*'Cálculos'!$E$274+'Cálculos'!$E$125*(1+2.78*('Cálculos'!$E$200+(($C165)-$A$120:$A$165)*'Cálculos'!$E$98)/(('Cálculos'!$E$200+(($C165)-$A$120:$A$165)*'Cálculos'!$E$98)+1400)+'Cálculos'!$E$123)*'Cálculos'!$E$279)+('Cálculos'!$E$200+(($C165)-$A$120:$A$165)*'Cálculos'!$E$98)*('Cálculos'!$E$270+'Cálculos'!$E$124*(1+2.78*('Cálculos'!$E$200+(($C165)-$A$120:$A$165)*'Cálculos'!$E$98)/(('Cálculos'!$E$200+(($C165)-$A$120:$A$165)*'Cálculos'!$E$98)+1400)+'Cálculos'!$E$122)*'Cálculos'!$E$275+'Cálculos'!$E$125*(1+2.78*('Cálculos'!$E$200+(($C165)-$A$120:$A$165)*'Cálculos'!$E$98)/(('Cálculos'!$E$200+(($C165)-$A$120:$A$165)*'Cálculos'!$E$98)+1400)+'Cálculos'!$E$123)*'Cálculos'!$E$280)+('Cálculos'!$E$201*(1+'Cálculos'!$E$202+$A$120:$A$165*('Cálculos'!$E$290=2)*'Cálculos'!$E$101)+'Cálculos'!$E$203)*('Cálculos'!$E$271+'Cálculos'!$E$124*(1+2.78*('Cálculos'!$E$200+(($C165)-$A$120:$A$165)*'Cálculos'!$E$98)/(('Cálculos'!$E$200+(($C165)-$A$120:$A$165)*'Cálculos'!$E$98)+1400)+'Cálculos'!$E$122)*'Cálculos'!$E$276+'Cálculos'!$E$125*(1+2.78*('Cálculos'!$E$200+(($C165)-$A$120:$A$165)*'Cálculos'!$E$98)/(('Cálculos'!$E$200+(($C165)-$A$120:$A$165)*'Cálculos'!$E$98)+1400)+'Cálculos'!$E$123)*'Cálculos'!$E$281)+('Cálculos'!$E$204*(1+'Cálculos'!$E$205+$A$120:$A$165*('Cálculos'!$E$290=3)*'Cálculos'!$E$103)+'Cálculos'!$E$206)*('Cálculos'!$E$272+'Cálculos'!$E$124*(1+2.78*('Cálculos'!$E$200+(($C165)-$A$120:$A$165)*'Cálculos'!$E$98)/(('Cálculos'!$E$200+(($C165)-$A$120:$A$165)*'Cálculos'!$E$98)+1400)+'Cálculos'!$E$122)*'Cálculos'!$E$277+'Cálculos'!$E$125*(1+2.78*('Cálculos'!$E$200+(($C165)-$A$120:$A$165)*'Cálculos'!$E$98)/(('Cálculos'!$E$200+(($C165)-$A$120:$A$165)*'Cálculos'!$E$98)+1400)+'Cálculos'!$E$123)*'Cálculos'!$E$282)+('Cálculos'!$E$273+'Cálculos'!$E$124*(1+2.78*('Cálculos'!$E$200+(($C165)-$A$120:$A$165)*'Cálculos'!$E$98)/(('Cálculos'!$E$200+(($C165)-$A$120:$A$165)*'Cálculos'!$E$98)+1400)+'Cálculos'!$E$122)*'Cálculos'!$E$278+'Cálculos'!$E$125*(1+2.78*('Cálculos'!$E$200+(($C165)-$A$120:$A$165)*'Cálculos'!$E$98)/(('Cálculos'!$E$200+(($C165)-$A$120:$A$165)*'Cálculos'!$E$98)+1400)+'Cálculos'!$E$123)*'Cálculos'!$E$283)))))</f>
        <v>0</v>
      </c>
      <c r="E165" s="32">
        <f>IF(OR($C165&lt;0,'Cálculos'!$E$6=""),0,$B165*$D165)</f>
        <v>0</v>
      </c>
      <c r="F165" s="2"/>
      <c r="G165" s="30">
        <f>($A165&lt;=$B$167)*($A165&lt;='Cálculos'!$E$294)*(($B$167)-$A165&lt;='Cálculos'!$E$295)*(1+MIN(('Cálculos'!$E$207+$A165*'Cálculos'!$E$95),1)*('Cálculos'!$E$208+(($B$167)-$A165)*'Cálculos'!$E$96))</f>
        <v>0</v>
      </c>
      <c r="H165" s="31">
        <f>IF($B$168&lt;0,0,($A165&lt;=$B$168)*($A165&lt;='Cálculos'!$E$301)*(($B$168)-$A165&lt;='Cálculos'!$E$297)*(('Cálculos'!$E$185*(1+'Cálculos'!$E$186+$A165*('Cálculos'!$E$290=1)*'Cálculos'!$E$97+'Cálculos'!$E$305)+'Cálculos'!$E$191)*('Cálculos'!$E$209+'Cálculos'!$E$124*(1+2.78*('Cálculos'!$E$196+(($B$168)-$A165)*'Cálculos'!$E$98)/(('Cálculos'!$E$196+(($B$168)-$A165)*'Cálculos'!$E$98)+1400)+'Cálculos'!$E$122)*'Cálculos'!$E$214+'Cálculos'!$E$125*(1+2.78*('Cálculos'!$E$196+(($B$168)-$A165)*'Cálculos'!$E$98)/(('Cálculos'!$E$196+(($B$168)-$A165)*'Cálculos'!$E$98)+1400)+'Cálculos'!$E$123)*'Cálculos'!$E$219)+('Cálculos'!$E$196+(($B$168)-$A165)*'Cálculos'!$E$98)*('Cálculos'!$E$210+'Cálculos'!$E$124*(1+2.78*('Cálculos'!$E$196+(($B$168)-$A165)*'Cálculos'!$E$98)/(('Cálculos'!$E$196+(($B$168)-$A165)*'Cálculos'!$E$98)+1400)+'Cálculos'!$E$122)*'Cálculos'!$E$215+'Cálculos'!$E$125*(1+2.78*('Cálculos'!$E$196+(($B$168)-$A165)*'Cálculos'!$E$98)/(('Cálculos'!$E$196+(($B$168)-$A165)*'Cálculos'!$E$98)+1400)+'Cálculos'!$E$123)*'Cálculos'!$E$220)+('Cálculos'!$E$201*(1+'Cálculos'!$E$202+$A165*('Cálculos'!$E$290=2)*'Cálculos'!$E$101)+'Cálculos'!$E$203)*('Cálculos'!$E$211+'Cálculos'!$E$124*(1+2.78*('Cálculos'!$E$196+(($B$168)-$A165)*'Cálculos'!$E$98)/(('Cálculos'!$E$196+(($B$168)-$A165)*'Cálculos'!$E$98)+1400)+'Cálculos'!$E$122)*'Cálculos'!$E$216+'Cálculos'!$E$125*(1+2.78*('Cálculos'!$E$196+(($B$168)-$A165)*'Cálculos'!$E$98)/(('Cálculos'!$E$196+(($B$168)-$A165)*'Cálculos'!$E$98)+1400)+'Cálculos'!$E$123)*'Cálculos'!$E$221)+('Cálculos'!$E$204*(1+'Cálculos'!$E$205+$A165*('Cálculos'!$E$290=3)*'Cálculos'!$E$103)+'Cálculos'!$E$206)*('Cálculos'!$E$212+'Cálculos'!$E$124*(1+2.78*('Cálculos'!$E$196+(($B$168)-$A165)*'Cálculos'!$E$98)/(('Cálculos'!$E$196+(($B$168)-$A165)*'Cálculos'!$E$98)+1400)+'Cálculos'!$E$122)*'Cálculos'!$E$217+'Cálculos'!$E$125*(1+2.78*('Cálculos'!$E$196+(($B$168)-$A165)*'Cálculos'!$E$98)/(('Cálculos'!$E$196+(($B$168)-$A165)*'Cálculos'!$E$98)+1400)+'Cálculos'!$E$123)*'Cálculos'!$E$222)+('Cálculos'!$E$213+'Cálculos'!$E$124*(1+2.78*('Cálculos'!$E$196+(($B$168)-$A165)*'Cálculos'!$E$98)/(('Cálculos'!$E$196+(($B$168)-$A165)*'Cálculos'!$E$98)+1400)+'Cálculos'!$E$122)*'Cálculos'!$E$218+'Cálculos'!$E$125*(1+2.78*('Cálculos'!$E$196+(($B$168)-$A165)*'Cálculos'!$E$98)/(('Cálculos'!$E$196+(($B$168)-$A165)*'Cálculos'!$E$98)+1400)+'Cálculos'!$E$123)*'Cálculos'!$E$223)+('Cálculos'!$E$185*(1+'Cálculos'!$E$187+$A165*('Cálculos'!$E$290=1)*'Cálculos'!$E$97+'Cálculos'!$E$305)+'Cálculos'!$E$192)*('Cálculos'!$E$224+'Cálculos'!$E$124*(1+2.78*('Cálculos'!$E$197+(($B$168)-$A165)*'Cálculos'!$E$98)/(('Cálculos'!$E$197+(($B$168)-$A165)*'Cálculos'!$E$98)+1400)+'Cálculos'!$E$122)*'Cálculos'!$E$229+'Cálculos'!$E$125*(1+2.78*('Cálculos'!$E$197+(($B$168)-$A165)*'Cálculos'!$E$98)/(('Cálculos'!$E$197+(($B$168)-$A165)*'Cálculos'!$E$98)+1400)+'Cálculos'!$E$123)*'Cálculos'!$E$234)+('Cálculos'!$E$197+(($B$168)-$A165)*'Cálculos'!$E$98)*('Cálculos'!$E$225+'Cálculos'!$E$124*(1+2.78*('Cálculos'!$E$197+(($B$168)-$A165)*'Cálculos'!$E$98)/(('Cálculos'!$E$197+(($B$168)-$A165)*'Cálculos'!$E$98)+1400)+'Cálculos'!$E$122)*'Cálculos'!$E$230+'Cálculos'!$E$125*(1+2.78*('Cálculos'!$E$197+(($B$168)-$A165)*'Cálculos'!$E$98)/(('Cálculos'!$E$197+(($B$168)-$A165)*'Cálculos'!$E$98)+1400)+'Cálculos'!$E$123)*'Cálculos'!$E$235)+('Cálculos'!$E$201*(1+'Cálculos'!$E$202+$A165*('Cálculos'!$E$290=2)*'Cálculos'!$E$101)+'Cálculos'!$E$203)*('Cálculos'!$E$226+'Cálculos'!$E$124*(1+2.78*('Cálculos'!$E$197+(($B$168)-$A165)*'Cálculos'!$E$98)/(('Cálculos'!$E$197+(($B$168)-$A165)*'Cálculos'!$E$98)+1400)+'Cálculos'!$E$122)*'Cálculos'!$E$231+'Cálculos'!$E$125*(1+2.78*('Cálculos'!$E$197+(($B$168)-$A165)*'Cálculos'!$E$98)/(('Cálculos'!$E$197+(($B$168)-$A165)*'Cálculos'!$E$98)+1400)+'Cálculos'!$E$123)*'Cálculos'!$E$236)+('Cálculos'!$E$204*(1+'Cálculos'!$E$205+$A165*('Cálculos'!$E$290=3)*'Cálculos'!$E$103)+'Cálculos'!$E$206)*('Cálculos'!$E$227+'Cálculos'!$E$124*(1+2.78*('Cálculos'!$E$197+(($B$168)-$A165)*'Cálculos'!$E$98)/(('Cálculos'!$E$197+(($B$168)-$A165)*'Cálculos'!$E$98)+1400)+'Cálculos'!$E$122)*'Cálculos'!$E$232+'Cálculos'!$E$125*(1+2.78*('Cálculos'!$E$197+(($B$168)-$A165)*'Cálculos'!$E$98)/(('Cálculos'!$E$197+(($B$168)-$A165)*'Cálculos'!$E$98)+1400)+'Cálculos'!$E$123)*'Cálculos'!$E$237)+('Cálculos'!$E$228+'Cálculos'!$E$124*(1+2.78*('Cálculos'!$E$197+(($B$168)-$A165)*'Cálculos'!$E$98)/(('Cálculos'!$E$197+(($B$168)-$A165)*'Cálculos'!$E$98)+1400)+'Cálculos'!$E$122)*'Cálculos'!$E$233+'Cálculos'!$E$125*(1+2.78*('Cálculos'!$E$197+(($B$168)-$A165)*'Cálculos'!$E$98)/(('Cálculos'!$E$197+(($B$168)-$A165)*'Cálculos'!$E$98)+1400)+'Cálculos'!$E$123)*'Cálculos'!$E$238)+('Cálculos'!$E$185*(1+'Cálculos'!$E$188+$A165*('Cálculos'!$E$290=1)*'Cálculos'!$E$97+'Cálculos'!$E$305)+'Cálculos'!$E$193)*('Cálculos'!$E$239+'Cálculos'!$E$124*(1+2.78*('Cálculos'!$E$198+(($B$168)-$A165)*'Cálculos'!$E$98)/(('Cálculos'!$E$198+(($B$168)-$A165)*'Cálculos'!$E$98)+1400)+'Cálculos'!$E$122)*'Cálculos'!$E$244+'Cálculos'!$E$125*(1+2.78*('Cálculos'!$E$198+(($B$168)-$A165)*'Cálculos'!$E$98)/(('Cálculos'!$E$198+(($B$168)-$A165)*'Cálculos'!$E$98)+1400)+'Cálculos'!$E$123)*'Cálculos'!$E$249)+('Cálculos'!$E$198+(($B$168)-$A165)*'Cálculos'!$E$98)*('Cálculos'!$E$240+'Cálculos'!$E$124*(1+2.78*('Cálculos'!$E$198+(($B$168)-$A165)*'Cálculos'!$E$98)/(('Cálculos'!$E$198+(($B$168)-$A165)*'Cálculos'!$E$98)+1400)+'Cálculos'!$E$122)*'Cálculos'!$E$245+'Cálculos'!$E$125*(1+2.78*('Cálculos'!$E$198+(($B$168)-$A165)*'Cálculos'!$E$98)/(('Cálculos'!$E$198+(($B$168)-$A165)*'Cálculos'!$E$98)+1400)+'Cálculos'!$E$123)*'Cálculos'!$E$250)+('Cálculos'!$E$201*(1+'Cálculos'!$E$202+$A165*('Cálculos'!$E$290=2)*'Cálculos'!$E$101)+'Cálculos'!$E$203)*('Cálculos'!$E$241+'Cálculos'!$E$124*(1+2.78*('Cálculos'!$E$198+(($B$168)-$A165)*'Cálculos'!$E$98)/(('Cálculos'!$E$198+(($B$168)-$A165)*'Cálculos'!$E$98)+1400)+'Cálculos'!$E$122)*'Cálculos'!$E$246+'Cálculos'!$E$125*(1+2.78*('Cálculos'!$E$198+(($B$168)-$A165)*'Cálculos'!$E$98)/(('Cálculos'!$E$198+(($B$168)-$A165)*'Cálculos'!$E$98)+1400)+'Cálculos'!$E$123)*'Cálculos'!$E$251)+('Cálculos'!$E$204*(1+'Cálculos'!$E$205+$A165*('Cálculos'!$E$290=3)*'Cálculos'!$E$103)+'Cálculos'!$E$206)*('Cálculos'!$E$242+'Cálculos'!$E$124*(1+2.78*('Cálculos'!$E$198+(($B$168)-$A165)*'Cálculos'!$E$98)/(('Cálculos'!$E$198+(($B$168)-$A165)*'Cálculos'!$E$98)+1400)+'Cálculos'!$E$122)*'Cálculos'!$E$247+'Cálculos'!$E$125*(1+2.78*('Cálculos'!$E$198+(($B$168)-$A165)*'Cálculos'!$E$98)/(('Cálculos'!$E$198+(($B$168)-$A165)*'Cálculos'!$E$98)+1400)+'Cálculos'!$E$123)*'Cálculos'!$E$252)+('Cálculos'!$E$243+'Cálculos'!$E$124*(1+2.78*('Cálculos'!$E$198+(($B$168)-$A165)*'Cálculos'!$E$98)/(('Cálculos'!$E$198+(($B$168)-$A165)*'Cálculos'!$E$98)+1400)+'Cálculos'!$E$122)*'Cálculos'!$E$248+'Cálculos'!$E$125*(1+2.78*('Cálculos'!$E$198+(($B$168)-$A165)*'Cálculos'!$E$98)/(('Cálculos'!$E$198+(($B$168)-$A165)*'Cálculos'!$E$98)+1400)+'Cálculos'!$E$123)*'Cálculos'!$E$253)+('Cálculos'!$E$185*(1+'Cálculos'!$E$189+$A165*('Cálculos'!$E$290=1)*'Cálculos'!$E$97+'Cálculos'!$E$305)+'Cálculos'!$E$194)*('Cálculos'!$E$254+'Cálculos'!$E$124*(1+2.78*('Cálculos'!$E$199+(($B$168)-$A165)*'Cálculos'!$E$98)/(('Cálculos'!$E$199+(($B$168)-$A165)*'Cálculos'!$E$98)+1400)+'Cálculos'!$E$122)*'Cálculos'!$E$259+'Cálculos'!$E$125*(1+2.78*('Cálculos'!$E$199+(($B$168)-$A165)*'Cálculos'!$E$98)/(('Cálculos'!$E$199+(($B$168)-$A165)*'Cálculos'!$E$98)+1400)+'Cálculos'!$E$123)*'Cálculos'!$E$264)+('Cálculos'!$E$199+(($B$168)-$A165)*'Cálculos'!$E$98)*('Cálculos'!$E$255+'Cálculos'!$E$124*(1+2.78*('Cálculos'!$E$199+(($B$168)-$A165)*'Cálculos'!$E$98)/(('Cálculos'!$E$199+(($B$168)-$A165)*'Cálculos'!$E$98)+1400)+'Cálculos'!$E$122)*'Cálculos'!$E$260+'Cálculos'!$E$125*(1+2.78*('Cálculos'!$E$199+(($B$168)-$A165)*'Cálculos'!$E$98)/(('Cálculos'!$E$199+(($B$168)-$A165)*'Cálculos'!$E$98)+1400)+'Cálculos'!$E$123)*'Cálculos'!$E$265)+('Cálculos'!$E$201*(1+'Cálculos'!$E$202+$A165*('Cálculos'!$E$290=2)*'Cálculos'!$E$101)+'Cálculos'!$E$203)*('Cálculos'!$E$256+'Cálculos'!$E$124*(1+2.78*('Cálculos'!$E$199+(($B$168)-$A165)*'Cálculos'!$E$98)/(('Cálculos'!$E$199+(($B$168)-$A165)*'Cálculos'!$E$98)+1400)+'Cálculos'!$E$122)*'Cálculos'!$E$261+'Cálculos'!$E$125*(1+2.78*('Cálculos'!$E$199+(($B$168)-$A165)*'Cálculos'!$E$98)/(('Cálculos'!$E$199+(($B$168)-$A165)*'Cálculos'!$E$98)+1400)+'Cálculos'!$E$123)*'Cálculos'!$E$266)+('Cálculos'!$E$204*(1+'Cálculos'!$E$205+$A165*('Cálculos'!$E$290=3)*'Cálculos'!$E$103)+'Cálculos'!$E$206)*('Cálculos'!$E$257+'Cálculos'!$E$124*(1+2.78*('Cálculos'!$E$199+(($B$168)-$A165)*'Cálculos'!$E$98)/(('Cálculos'!$E$199+(($B$168)-$A165)*'Cálculos'!$E$98)+1400)+'Cálculos'!$E$122)*'Cálculos'!$E$262+'Cálculos'!$E$125*(1+2.78*('Cálculos'!$E$199+(($B$168)-$A165)*'Cálculos'!$E$98)/(('Cálculos'!$E$199+(($B$168)-$A165)*'Cálculos'!$E$98)+1400)+'Cálculos'!$E$123)*'Cálculos'!$E$267)+('Cálculos'!$E$258+'Cálculos'!$E$124*(1+2.78*('Cálculos'!$E$199+(($B$168)-$A165)*'Cálculos'!$E$98)/(('Cálculos'!$E$199+(($B$168)-$A165)*'Cálculos'!$E$98)+1400)+'Cálculos'!$E$122)*'Cálculos'!$E$263+'Cálculos'!$E$125*(1+2.78*('Cálculos'!$E$199+(($B$168)-$A165)*'Cálculos'!$E$98)/(('Cálculos'!$E$199+(($B$168)-$A165)*'Cálculos'!$E$98)+1400)+'Cálculos'!$E$123)*'Cálculos'!$E$268)+('Cálculos'!$E$185*(1+'Cálculos'!$E$190+$A165*('Cálculos'!$E$290=1)*'Cálculos'!$E$97+'Cálculos'!$E$305)+'Cálculos'!$E$195)*('Cálculos'!$E$269+'Cálculos'!$E$124*(1+2.78*('Cálculos'!$E$200+(($B$168)-$A165)*'Cálculos'!$E$98)/(('Cálculos'!$E$200+(($B$168)-$A165)*'Cálculos'!$E$98)+1400)+'Cálculos'!$E$122)*'Cálculos'!$E$274+'Cálculos'!$E$125*(1+2.78*('Cálculos'!$E$200+(($B$168)-$A165)*'Cálculos'!$E$98)/(('Cálculos'!$E$200+(($B$168)-$A165)*'Cálculos'!$E$98)+1400)+'Cálculos'!$E$123)*'Cálculos'!$E$279)+('Cálculos'!$E$200+(($B$168)-$A165)*'Cálculos'!$E$98)*('Cálculos'!$E$270+'Cálculos'!$E$124*(1+2.78*('Cálculos'!$E$200+(($B$168)-$A165)*'Cálculos'!$E$98)/(('Cálculos'!$E$200+(($B$168)-$A165)*'Cálculos'!$E$98)+1400)+'Cálculos'!$E$122)*'Cálculos'!$E$275+'Cálculos'!$E$125*(1+2.78*('Cálculos'!$E$200+(($B$168)-$A165)*'Cálculos'!$E$98)/(('Cálculos'!$E$200+(($B$168)-$A165)*'Cálculos'!$E$98)+1400)+'Cálculos'!$E$123)*'Cálculos'!$E$280)+('Cálculos'!$E$201*(1+'Cálculos'!$E$202+$A165*('Cálculos'!$E$290=2)*'Cálculos'!$E$101)+'Cálculos'!$E$203)*('Cálculos'!$E$271+'Cálculos'!$E$124*(1+2.78*('Cálculos'!$E$200+(($B$168)-$A165)*'Cálculos'!$E$98)/(('Cálculos'!$E$200+(($B$168)-$A165)*'Cálculos'!$E$98)+1400)+'Cálculos'!$E$122)*'Cálculos'!$E$276+'Cálculos'!$E$125*(1+2.78*('Cálculos'!$E$200+(($B$168)-$A165)*'Cálculos'!$E$98)/(('Cálculos'!$E$200+(($B$168)-$A165)*'Cálculos'!$E$98)+1400)+'Cálculos'!$E$123)*'Cálculos'!$E$281)+('Cálculos'!$E$204*(1+'Cálculos'!$E$205+$A165*('Cálculos'!$E$290=3)*'Cálculos'!$E$103)+'Cálculos'!$E$206)*('Cálculos'!$E$272+'Cálculos'!$E$124*(1+2.78*('Cálculos'!$E$200+(($B$168)-$A165)*'Cálculos'!$E$98)/(('Cálculos'!$E$200+(($B$168)-$A165)*'Cálculos'!$E$98)+1400)+'Cálculos'!$E$122)*'Cálculos'!$E$277+'Cálculos'!$E$125*(1+2.78*('Cálculos'!$E$200+(($B$168)-$A165)*'Cálculos'!$E$98)/(('Cálculos'!$E$200+(($B$168)-$A165)*'Cálculos'!$E$98)+1400)+'Cálculos'!$E$123)*'Cálculos'!$E$282)+('Cálculos'!$E$273+'Cálculos'!$E$124*(1+2.78*('Cálculos'!$E$200+(($B$168)-$A165)*'Cálculos'!$E$98)/(('Cálculos'!$E$200+(($B$168)-$A165)*'Cálculos'!$E$98)+1400)+'Cálculos'!$E$122)*'Cálculos'!$E$278+'Cálculos'!$E$125*(1+2.78*('Cálculos'!$E$200+(($B$168)-$A165)*'Cálculos'!$E$98)/(('Cálculos'!$E$200+(($B$168)-$A165)*'Cálculos'!$E$98)+1400)+'Cálculos'!$E$123)*'Cálculos'!$E$283)))</f>
        <v>0</v>
      </c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3" t="s">
        <v>888</v>
      </c>
      <c r="B167" s="2">
        <f>IF('Cálculos'!$E$304="",MATCH(MAX($E$120:$E$165),$E$120:$E$165,0)-1,'Cálculos'!$E$304)</f>
        <v>13</v>
      </c>
      <c r="C167" s="2"/>
      <c r="D167" s="2"/>
      <c r="E167" s="2"/>
      <c r="F167" s="2"/>
      <c r="G167" s="2"/>
      <c r="H167" s="2"/>
    </row>
    <row r="168" ht="15.75" customHeight="1">
      <c r="A168" s="3" t="s">
        <v>889</v>
      </c>
      <c r="B168" s="2">
        <f>'Cálculos'!$E$303-$B$167</f>
        <v>0</v>
      </c>
      <c r="C168" s="2"/>
      <c r="D168" s="2"/>
      <c r="E168" s="2"/>
      <c r="F168" s="2"/>
      <c r="G168" s="2"/>
      <c r="H168" s="2"/>
    </row>
    <row r="169" ht="15.75" customHeight="1">
      <c r="A169" s="3" t="s">
        <v>637</v>
      </c>
      <c r="B169" s="37">
        <f>MATCH(MAX($G$120:$G$165),$G$120:$G$165,0)-1</f>
        <v>5</v>
      </c>
      <c r="C169" s="2"/>
      <c r="D169" s="2"/>
      <c r="E169" s="2"/>
      <c r="F169" s="2"/>
      <c r="G169" s="2"/>
      <c r="H169" s="2"/>
    </row>
    <row r="170" ht="15.75" customHeight="1">
      <c r="A170" s="3" t="s">
        <v>638</v>
      </c>
      <c r="B170" s="37">
        <f>$B$167-$B$169</f>
        <v>8</v>
      </c>
      <c r="C170" s="2"/>
      <c r="D170" s="2"/>
      <c r="E170" s="2"/>
      <c r="F170" s="2"/>
      <c r="G170" s="2"/>
      <c r="H170" s="2"/>
    </row>
    <row r="171" ht="15.75" customHeight="1">
      <c r="A171" s="3" t="s">
        <v>890</v>
      </c>
      <c r="B171" s="37">
        <f>MATCH(MAX($H$120:$H$165),$H$120:$H$165,0)-1</f>
        <v>0</v>
      </c>
      <c r="C171" s="2"/>
      <c r="D171" s="2"/>
      <c r="E171" s="2"/>
      <c r="F171" s="2"/>
      <c r="G171" s="2"/>
      <c r="H171" s="2"/>
    </row>
    <row r="172" ht="15.75" customHeight="1">
      <c r="A172" s="3" t="s">
        <v>640</v>
      </c>
      <c r="B172" s="37">
        <f>$B$168-$B$171</f>
        <v>0</v>
      </c>
      <c r="C172" s="2"/>
      <c r="D172" s="2"/>
      <c r="E172" s="2"/>
      <c r="F172" s="2"/>
      <c r="G172" s="2"/>
      <c r="H172" s="2"/>
    </row>
    <row r="173" ht="15.75" customHeight="1">
      <c r="A173" s="3" t="s">
        <v>641</v>
      </c>
      <c r="B173" s="37">
        <f>'Cálculos'!$E$302</f>
        <v>7</v>
      </c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3" t="str">
        <f>"Slot 4: "&amp;'Cálculos'!F6</f>
        <v>Slot 4: Bennett</v>
      </c>
      <c r="B175" s="2"/>
      <c r="C175" s="2"/>
      <c r="D175" s="2"/>
      <c r="E175" s="2"/>
      <c r="F175" s="2"/>
      <c r="G175" s="2"/>
      <c r="H175" s="2"/>
    </row>
    <row r="176" ht="15.75" customHeight="1">
      <c r="A176" s="6" t="s">
        <v>329</v>
      </c>
      <c r="B176" s="6" t="s">
        <v>330</v>
      </c>
      <c r="C176" s="6" t="s">
        <v>331</v>
      </c>
      <c r="D176" s="6" t="s">
        <v>332</v>
      </c>
      <c r="E176" s="6" t="s">
        <v>333</v>
      </c>
      <c r="F176" s="6"/>
      <c r="G176" s="6" t="s">
        <v>334</v>
      </c>
      <c r="H176" s="6" t="s">
        <v>335</v>
      </c>
    </row>
    <row r="177" ht="15.75" customHeight="1">
      <c r="A177" s="2">
        <v>0.0</v>
      </c>
      <c r="B177" s="30">
        <f>SUMPRODUCT(MAX(($A$177:$A$222&lt;=$A177)*($A$177:$A$222&lt;='Cálculos'!$F$294)*(($A177)-$A$177:$A$222&lt;='Cálculos'!$F$295)*(1+(('Cálculos'!$F$207+$A$177:$A$222*'Cálculos'!$F$95)-(('Cálculos'!$F$207+$A$177:$A$222*'Cálculos'!$F$95)&gt;1)*(('Cálculos'!$F$207+$A$177:$A$222*'Cálculos'!$F$95)-1))*('Cálculos'!$F$208+(($A177)-$A$177:$A$222)*'Cálculos'!$F$96))))</f>
        <v>1.543571</v>
      </c>
      <c r="C177" s="2">
        <f>'Cálculos'!$F$303-$A177</f>
        <v>18</v>
      </c>
      <c r="D177" s="31">
        <f>IF($C177&lt;0,0,SUMPRODUCT(MAX(($A$177:$A$222&lt;=$C177)*($A$177:$A$222&lt;='Cálculos'!$F$301)*(($C177)-$A$177:$A$222&lt;='Cálculos'!$F$297)*(('Cálculos'!$F$185*(1+'Cálculos'!$F$186+$A$177:$A$222*('Cálculos'!$F$290=1)*'Cálculos'!$F$97+'Cálculos'!$F$305)+'Cálculos'!$F$191)*('Cálculos'!$F$209+'Cálculos'!$F$124*(1+2.78*('Cálculos'!$F$196+(($C177)-$A$177:$A$222)*'Cálculos'!$F$98)/(('Cálculos'!$F$196+(($C177)-$A$177:$A$222)*'Cálculos'!$F$98)+1400)+'Cálculos'!$F$122)*'Cálculos'!$F$214+'Cálculos'!$F$125*(1+2.78*('Cálculos'!$F$196+(($C177)-$A$177:$A$222)*'Cálculos'!$F$98)/(('Cálculos'!$F$196+(($C177)-$A$177:$A$222)*'Cálculos'!$F$98)+1400)+'Cálculos'!$F$123)*'Cálculos'!$F$219)+('Cálculos'!$F$196+(($C177)-$A$177:$A$222)*'Cálculos'!$F$98)*('Cálculos'!$F$210+'Cálculos'!$F$124*(1+2.78*('Cálculos'!$F$196+(($C177)-$A$177:$A$222)*'Cálculos'!$F$98)/(('Cálculos'!$F$196+(($C177)-$A$177:$A$222)*'Cálculos'!$F$98)+1400)+'Cálculos'!$F$122)*'Cálculos'!$F$215+'Cálculos'!$F$125*(1+2.78*('Cálculos'!$F$196+(($C177)-$A$177:$A$222)*'Cálculos'!$F$98)/(('Cálculos'!$F$196+(($C177)-$A$177:$A$222)*'Cálculos'!$F$98)+1400)+'Cálculos'!$F$123)*'Cálculos'!$F$220)+('Cálculos'!$F$201*(1+'Cálculos'!$F$202+$A$177:$A$222*('Cálculos'!$F$290=2)*'Cálculos'!$F$101)+'Cálculos'!$F$203)*('Cálculos'!$F$211+'Cálculos'!$F$124*(1+2.78*('Cálculos'!$F$196+(($C177)-$A$177:$A$222)*'Cálculos'!$F$98)/(('Cálculos'!$F$196+(($C177)-$A$177:$A$222)*'Cálculos'!$F$98)+1400)+'Cálculos'!$F$122)*'Cálculos'!$F$216+'Cálculos'!$F$125*(1+2.78*('Cálculos'!$F$196+(($C177)-$A$177:$A$222)*'Cálculos'!$F$98)/(('Cálculos'!$F$196+(($C177)-$A$177:$A$222)*'Cálculos'!$F$98)+1400)+'Cálculos'!$F$123)*'Cálculos'!$F$221)+('Cálculos'!$F$204*(1+'Cálculos'!$F$205+$A$177:$A$222*('Cálculos'!$F$290=3)*'Cálculos'!$F$103)+'Cálculos'!$F$206)*('Cálculos'!$F$212+'Cálculos'!$F$124*(1+2.78*('Cálculos'!$F$196+(($C177)-$A$177:$A$222)*'Cálculos'!$F$98)/(('Cálculos'!$F$196+(($C177)-$A$177:$A$222)*'Cálculos'!$F$98)+1400)+'Cálculos'!$F$122)*'Cálculos'!$F$217+'Cálculos'!$F$125*(1+2.78*('Cálculos'!$F$196+(($C177)-$A$177:$A$222)*'Cálculos'!$F$98)/(('Cálculos'!$F$196+(($C177)-$A$177:$A$222)*'Cálculos'!$F$98)+1400)+'Cálculos'!$F$123)*'Cálculos'!$F$222)+('Cálculos'!$F$213+'Cálculos'!$F$124*(1+2.78*('Cálculos'!$F$196+(($C177)-$A$177:$A$222)*'Cálculos'!$F$98)/(('Cálculos'!$F$196+(($C177)-$A$177:$A$222)*'Cálculos'!$F$98)+1400)+'Cálculos'!$F$122)*'Cálculos'!$F$218+'Cálculos'!$F$125*(1+2.78*('Cálculos'!$F$196+(($C177)-$A$177:$A$222)*'Cálculos'!$F$98)/(('Cálculos'!$F$196+(($C177)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177)-$A$177:$A$222)*'Cálculos'!$F$98)/(('Cálculos'!$F$197+(($C177)-$A$177:$A$222)*'Cálculos'!$F$98)+1400)+'Cálculos'!$F$122)*'Cálculos'!$F$229+'Cálculos'!$F$125*(1+2.78*('Cálculos'!$F$197+(($C177)-$A$177:$A$222)*'Cálculos'!$F$98)/(('Cálculos'!$F$197+(($C177)-$A$177:$A$222)*'Cálculos'!$F$98)+1400)+'Cálculos'!$F$123)*'Cálculos'!$F$234)+('Cálculos'!$F$197+(($C177)-$A$177:$A$222)*'Cálculos'!$F$98)*('Cálculos'!$F$225+'Cálculos'!$F$124*(1+2.78*('Cálculos'!$F$197+(($C177)-$A$177:$A$222)*'Cálculos'!$F$98)/(('Cálculos'!$F$197+(($C177)-$A$177:$A$222)*'Cálculos'!$F$98)+1400)+'Cálculos'!$F$122)*'Cálculos'!$F$230+'Cálculos'!$F$125*(1+2.78*('Cálculos'!$F$197+(($C177)-$A$177:$A$222)*'Cálculos'!$F$98)/(('Cálculos'!$F$197+(($C177)-$A$177:$A$222)*'Cálculos'!$F$98)+1400)+'Cálculos'!$F$123)*'Cálculos'!$F$235)+('Cálculos'!$F$201*(1+'Cálculos'!$F$202+$A$177:$A$222*('Cálculos'!$F$290=2)*'Cálculos'!$F$101)+'Cálculos'!$F$203)*('Cálculos'!$F$226+'Cálculos'!$F$124*(1+2.78*('Cálculos'!$F$197+(($C177)-$A$177:$A$222)*'Cálculos'!$F$98)/(('Cálculos'!$F$197+(($C177)-$A$177:$A$222)*'Cálculos'!$F$98)+1400)+'Cálculos'!$F$122)*'Cálculos'!$F$231+'Cálculos'!$F$125*(1+2.78*('Cálculos'!$F$197+(($C177)-$A$177:$A$222)*'Cálculos'!$F$98)/(('Cálculos'!$F$197+(($C177)-$A$177:$A$222)*'Cálculos'!$F$98)+1400)+'Cálculos'!$F$123)*'Cálculos'!$F$236)+('Cálculos'!$F$204*(1+'Cálculos'!$F$205+$A$177:$A$222*('Cálculos'!$F$290=3)*'Cálculos'!$F$103)+'Cálculos'!$F$206)*('Cálculos'!$F$227+'Cálculos'!$F$124*(1+2.78*('Cálculos'!$F$197+(($C177)-$A$177:$A$222)*'Cálculos'!$F$98)/(('Cálculos'!$F$197+(($C177)-$A$177:$A$222)*'Cálculos'!$F$98)+1400)+'Cálculos'!$F$122)*'Cálculos'!$F$232+'Cálculos'!$F$125*(1+2.78*('Cálculos'!$F$197+(($C177)-$A$177:$A$222)*'Cálculos'!$F$98)/(('Cálculos'!$F$197+(($C177)-$A$177:$A$222)*'Cálculos'!$F$98)+1400)+'Cálculos'!$F$123)*'Cálculos'!$F$237)+('Cálculos'!$F$228+'Cálculos'!$F$124*(1+2.78*('Cálculos'!$F$197+(($C177)-$A$177:$A$222)*'Cálculos'!$F$98)/(('Cálculos'!$F$197+(($C177)-$A$177:$A$222)*'Cálculos'!$F$98)+1400)+'Cálculos'!$F$122)*'Cálculos'!$F$233+'Cálculos'!$F$125*(1+2.78*('Cálculos'!$F$197+(($C177)-$A$177:$A$222)*'Cálculos'!$F$98)/(('Cálculos'!$F$197+(($C177)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177)-$A$177:$A$222)*'Cálculos'!$F$98)/(('Cálculos'!$F$198+(($C177)-$A$177:$A$222)*'Cálculos'!$F$98)+1400)+'Cálculos'!$F$122)*'Cálculos'!$F$244+'Cálculos'!$F$125*(1+2.78*('Cálculos'!$F$198+(($C177)-$A$177:$A$222)*'Cálculos'!$F$98)/(('Cálculos'!$F$198+(($C177)-$A$177:$A$222)*'Cálculos'!$F$98)+1400)+'Cálculos'!$F$123)*'Cálculos'!$F$249)+('Cálculos'!$F$198+(($C177)-$A$177:$A$222)*'Cálculos'!$F$98)*('Cálculos'!$F$240+'Cálculos'!$F$124*(1+2.78*('Cálculos'!$F$198+(($C177)-$A$177:$A$222)*'Cálculos'!$F$98)/(('Cálculos'!$F$198+(($C177)-$A$177:$A$222)*'Cálculos'!$F$98)+1400)+'Cálculos'!$F$122)*'Cálculos'!$F$245+'Cálculos'!$F$125*(1+2.78*('Cálculos'!$F$198+(($C177)-$A$177:$A$222)*'Cálculos'!$F$98)/(('Cálculos'!$F$198+(($C177)-$A$177:$A$222)*'Cálculos'!$F$98)+1400)+'Cálculos'!$F$123)*'Cálculos'!$F$250)+('Cálculos'!$F$201*(1+'Cálculos'!$F$202+$A$177:$A$222*('Cálculos'!$F$290=2)*'Cálculos'!$F$101)+'Cálculos'!$F$203)*('Cálculos'!$F$241+'Cálculos'!$F$124*(1+2.78*('Cálculos'!$F$198+(($C177)-$A$177:$A$222)*'Cálculos'!$F$98)/(('Cálculos'!$F$198+(($C177)-$A$177:$A$222)*'Cálculos'!$F$98)+1400)+'Cálculos'!$F$122)*'Cálculos'!$F$246+'Cálculos'!$F$125*(1+2.78*('Cálculos'!$F$198+(($C177)-$A$177:$A$222)*'Cálculos'!$F$98)/(('Cálculos'!$F$198+(($C177)-$A$177:$A$222)*'Cálculos'!$F$98)+1400)+'Cálculos'!$F$123)*'Cálculos'!$F$251)+('Cálculos'!$F$204*(1+'Cálculos'!$F$205+$A$177:$A$222*('Cálculos'!$F$290=3)*'Cálculos'!$F$103)+'Cálculos'!$F$206)*('Cálculos'!$F$242+'Cálculos'!$F$124*(1+2.78*('Cálculos'!$F$198+(($C177)-$A$177:$A$222)*'Cálculos'!$F$98)/(('Cálculos'!$F$198+(($C177)-$A$177:$A$222)*'Cálculos'!$F$98)+1400)+'Cálculos'!$F$122)*'Cálculos'!$F$247+'Cálculos'!$F$125*(1+2.78*('Cálculos'!$F$198+(($C177)-$A$177:$A$222)*'Cálculos'!$F$98)/(('Cálculos'!$F$198+(($C177)-$A$177:$A$222)*'Cálculos'!$F$98)+1400)+'Cálculos'!$F$123)*'Cálculos'!$F$252)+('Cálculos'!$F$243+'Cálculos'!$F$124*(1+2.78*('Cálculos'!$F$198+(($C177)-$A$177:$A$222)*'Cálculos'!$F$98)/(('Cálculos'!$F$198+(($C177)-$A$177:$A$222)*'Cálculos'!$F$98)+1400)+'Cálculos'!$F$122)*'Cálculos'!$F$248+'Cálculos'!$F$125*(1+2.78*('Cálculos'!$F$198+(($C177)-$A$177:$A$222)*'Cálculos'!$F$98)/(('Cálculos'!$F$198+(($C177)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177)-$A$177:$A$222)*'Cálculos'!$F$98)/(('Cálculos'!$F$199+(($C177)-$A$177:$A$222)*'Cálculos'!$F$98)+1400)+'Cálculos'!$F$122)*'Cálculos'!$F$259+'Cálculos'!$F$125*(1+2.78*('Cálculos'!$F$199+(($C177)-$A$177:$A$222)*'Cálculos'!$F$98)/(('Cálculos'!$F$199+(($C177)-$A$177:$A$222)*'Cálculos'!$F$98)+1400)+'Cálculos'!$F$123)*'Cálculos'!$F$264)+('Cálculos'!$F$199+(($C177)-$A$177:$A$222)*'Cálculos'!$F$98)*('Cálculos'!$F$255+'Cálculos'!$F$124*(1+2.78*('Cálculos'!$F$199+(($C177)-$A$177:$A$222)*'Cálculos'!$F$98)/(('Cálculos'!$F$199+(($C177)-$A$177:$A$222)*'Cálculos'!$F$98)+1400)+'Cálculos'!$F$122)*'Cálculos'!$F$260+'Cálculos'!$F$125*(1+2.78*('Cálculos'!$F$199+(($C177)-$A$177:$A$222)*'Cálculos'!$F$98)/(('Cálculos'!$F$199+(($C177)-$A$177:$A$222)*'Cálculos'!$F$98)+1400)+'Cálculos'!$F$123)*'Cálculos'!$F$265)+('Cálculos'!$F$201*(1+'Cálculos'!$F$202+$A$177:$A$222*('Cálculos'!$F$290=2)*'Cálculos'!$F$101)+'Cálculos'!$F$203)*('Cálculos'!$F$256+'Cálculos'!$F$124*(1+2.78*('Cálculos'!$F$199+(($C177)-$A$177:$A$222)*'Cálculos'!$F$98)/(('Cálculos'!$F$199+(($C177)-$A$177:$A$222)*'Cálculos'!$F$98)+1400)+'Cálculos'!$F$122)*'Cálculos'!$F$261+'Cálculos'!$F$125*(1+2.78*('Cálculos'!$F$199+(($C177)-$A$177:$A$222)*'Cálculos'!$F$98)/(('Cálculos'!$F$199+(($C177)-$A$177:$A$222)*'Cálculos'!$F$98)+1400)+'Cálculos'!$F$123)*'Cálculos'!$F$266)+('Cálculos'!$F$204*(1+'Cálculos'!$F$205+$A$177:$A$222*('Cálculos'!$F$290=3)*'Cálculos'!$F$103)+'Cálculos'!$F$206)*('Cálculos'!$F$257+'Cálculos'!$F$124*(1+2.78*('Cálculos'!$F$199+(($C177)-$A$177:$A$222)*'Cálculos'!$F$98)/(('Cálculos'!$F$199+(($C177)-$A$177:$A$222)*'Cálculos'!$F$98)+1400)+'Cálculos'!$F$122)*'Cálculos'!$F$262+'Cálculos'!$F$125*(1+2.78*('Cálculos'!$F$199+(($C177)-$A$177:$A$222)*'Cálculos'!$F$98)/(('Cálculos'!$F$199+(($C177)-$A$177:$A$222)*'Cálculos'!$F$98)+1400)+'Cálculos'!$F$123)*'Cálculos'!$F$267)+('Cálculos'!$F$258+'Cálculos'!$F$124*(1+2.78*('Cálculos'!$F$199+(($C177)-$A$177:$A$222)*'Cálculos'!$F$98)/(('Cálculos'!$F$199+(($C177)-$A$177:$A$222)*'Cálculos'!$F$98)+1400)+'Cálculos'!$F$122)*'Cálculos'!$F$263+'Cálculos'!$F$125*(1+2.78*('Cálculos'!$F$199+(($C177)-$A$177:$A$222)*'Cálculos'!$F$98)/(('Cálculos'!$F$199+(($C177)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177)-$A$177:$A$222)*'Cálculos'!$F$98)/(('Cálculos'!$F$200+(($C177)-$A$177:$A$222)*'Cálculos'!$F$98)+1400)+'Cálculos'!$F$122)*'Cálculos'!$F$274+'Cálculos'!$F$125*(1+2.78*('Cálculos'!$F$200+(($C177)-$A$177:$A$222)*'Cálculos'!$F$98)/(('Cálculos'!$F$200+(($C177)-$A$177:$A$222)*'Cálculos'!$F$98)+1400)+'Cálculos'!$F$123)*'Cálculos'!$F$279)+('Cálculos'!$F$200+(($C177)-$A$177:$A$222)*'Cálculos'!$F$98)*('Cálculos'!$F$270+'Cálculos'!$F$124*(1+2.78*('Cálculos'!$F$200+(($C177)-$A$177:$A$222)*'Cálculos'!$F$98)/(('Cálculos'!$F$200+(($C177)-$A$177:$A$222)*'Cálculos'!$F$98)+1400)+'Cálculos'!$F$122)*'Cálculos'!$F$275+'Cálculos'!$F$125*(1+2.78*('Cálculos'!$F$200+(($C177)-$A$177:$A$222)*'Cálculos'!$F$98)/(('Cálculos'!$F$200+(($C177)-$A$177:$A$222)*'Cálculos'!$F$98)+1400)+'Cálculos'!$F$123)*'Cálculos'!$F$280)+('Cálculos'!$F$201*(1+'Cálculos'!$F$202+$A$177:$A$222*('Cálculos'!$F$290=2)*'Cálculos'!$F$101)+'Cálculos'!$F$203)*('Cálculos'!$F$271+'Cálculos'!$F$124*(1+2.78*('Cálculos'!$F$200+(($C177)-$A$177:$A$222)*'Cálculos'!$F$98)/(('Cálculos'!$F$200+(($C177)-$A$177:$A$222)*'Cálculos'!$F$98)+1400)+'Cálculos'!$F$122)*'Cálculos'!$F$276+'Cálculos'!$F$125*(1+2.78*('Cálculos'!$F$200+(($C177)-$A$177:$A$222)*'Cálculos'!$F$98)/(('Cálculos'!$F$200+(($C177)-$A$177:$A$222)*'Cálculos'!$F$98)+1400)+'Cálculos'!$F$123)*'Cálculos'!$F$281)+('Cálculos'!$F$204*(1+'Cálculos'!$F$205+$A$177:$A$222*('Cálculos'!$F$290=3)*'Cálculos'!$F$103)+'Cálculos'!$F$206)*('Cálculos'!$F$272+'Cálculos'!$F$124*(1+2.78*('Cálculos'!$F$200+(($C177)-$A$177:$A$222)*'Cálculos'!$F$98)/(('Cálculos'!$F$200+(($C177)-$A$177:$A$222)*'Cálculos'!$F$98)+1400)+'Cálculos'!$F$122)*'Cálculos'!$F$277+'Cálculos'!$F$125*(1+2.78*('Cálculos'!$F$200+(($C177)-$A$177:$A$222)*'Cálculos'!$F$98)/(('Cálculos'!$F$200+(($C177)-$A$177:$A$222)*'Cálculos'!$F$98)+1400)+'Cálculos'!$F$123)*'Cálculos'!$F$282)+('Cálculos'!$F$273+'Cálculos'!$F$124*(1+2.78*('Cálculos'!$F$200+(($C177)-$A$177:$A$222)*'Cálculos'!$F$98)/(('Cálculos'!$F$200+(($C177)-$A$177:$A$222)*'Cálculos'!$F$98)+1400)+'Cálculos'!$F$122)*'Cálculos'!$F$278+'Cálculos'!$F$125*(1+2.78*('Cálculos'!$F$200+(($C177)-$A$177:$A$222)*'Cálculos'!$F$98)/(('Cálculos'!$F$200+(($C177)-$A$177:$A$222)*'Cálculos'!$F$98)+1400)+'Cálculos'!$F$123)*'Cálculos'!$F$283)))))</f>
        <v>23374.93079</v>
      </c>
      <c r="E177" s="32">
        <f>IF(OR($C177&lt;0,'Cálculos'!$F$6=""),0,$B177*$D177)</f>
        <v>36080.86529</v>
      </c>
      <c r="F177" s="2"/>
      <c r="G177" s="30">
        <f>($A177&lt;=$B$224)*($A177&lt;='Cálculos'!$F$294)*(($B$224)-$A177&lt;='Cálculos'!$F$295)*(1+MIN(('Cálculos'!$F$207+$A177*'Cálculos'!$F$95),1)*('Cálculos'!$F$208+(($B$224)-$A177)*'Cálculos'!$F$96))</f>
        <v>2.050847</v>
      </c>
      <c r="H177" s="31">
        <f>IF($B$225&lt;0,0,($A177&lt;=$B$225)*($A177&lt;='Cálculos'!$F$301)*(($B$225)-$A177&lt;='Cálculos'!$F$297)*(('Cálculos'!$F$185*(1+'Cálculos'!$F$186+$A177*('Cálculos'!$F$290=1)*'Cálculos'!$F$97+'Cálculos'!$F$305)+'Cálculos'!$F$191)*('Cálculos'!$F$209+'Cálculos'!$F$124*(1+2.78*('Cálculos'!$F$196+(($B$225)-$A177)*'Cálculos'!$F$98)/(('Cálculos'!$F$196+(($B$225)-$A177)*'Cálculos'!$F$98)+1400)+'Cálculos'!$F$122)*'Cálculos'!$F$214+'Cálculos'!$F$125*(1+2.78*('Cálculos'!$F$196+(($B$225)-$A177)*'Cálculos'!$F$98)/(('Cálculos'!$F$196+(($B$225)-$A177)*'Cálculos'!$F$98)+1400)+'Cálculos'!$F$123)*'Cálculos'!$F$219)+('Cálculos'!$F$196+(($B$225)-$A177)*'Cálculos'!$F$98)*('Cálculos'!$F$210+'Cálculos'!$F$124*(1+2.78*('Cálculos'!$F$196+(($B$225)-$A177)*'Cálculos'!$F$98)/(('Cálculos'!$F$196+(($B$225)-$A177)*'Cálculos'!$F$98)+1400)+'Cálculos'!$F$122)*'Cálculos'!$F$215+'Cálculos'!$F$125*(1+2.78*('Cálculos'!$F$196+(($B$225)-$A177)*'Cálculos'!$F$98)/(('Cálculos'!$F$196+(($B$225)-$A177)*'Cálculos'!$F$98)+1400)+'Cálculos'!$F$123)*'Cálculos'!$F$220)+('Cálculos'!$F$201*(1+'Cálculos'!$F$202+$A177*('Cálculos'!$F$290=2)*'Cálculos'!$F$101)+'Cálculos'!$F$203)*('Cálculos'!$F$211+'Cálculos'!$F$124*(1+2.78*('Cálculos'!$F$196+(($B$225)-$A177)*'Cálculos'!$F$98)/(('Cálculos'!$F$196+(($B$225)-$A177)*'Cálculos'!$F$98)+1400)+'Cálculos'!$F$122)*'Cálculos'!$F$216+'Cálculos'!$F$125*(1+2.78*('Cálculos'!$F$196+(($B$225)-$A177)*'Cálculos'!$F$98)/(('Cálculos'!$F$196+(($B$225)-$A177)*'Cálculos'!$F$98)+1400)+'Cálculos'!$F$123)*'Cálculos'!$F$221)+('Cálculos'!$F$204*(1+'Cálculos'!$F$205+$A177*('Cálculos'!$F$290=3)*'Cálculos'!$F$103)+'Cálculos'!$F$206)*('Cálculos'!$F$212+'Cálculos'!$F$124*(1+2.78*('Cálculos'!$F$196+(($B$225)-$A177)*'Cálculos'!$F$98)/(('Cálculos'!$F$196+(($B$225)-$A177)*'Cálculos'!$F$98)+1400)+'Cálculos'!$F$122)*'Cálculos'!$F$217+'Cálculos'!$F$125*(1+2.78*('Cálculos'!$F$196+(($B$225)-$A177)*'Cálculos'!$F$98)/(('Cálculos'!$F$196+(($B$225)-$A177)*'Cálculos'!$F$98)+1400)+'Cálculos'!$F$123)*'Cálculos'!$F$222)+('Cálculos'!$F$213+'Cálculos'!$F$124*(1+2.78*('Cálculos'!$F$196+(($B$225)-$A177)*'Cálculos'!$F$98)/(('Cálculos'!$F$196+(($B$225)-$A177)*'Cálculos'!$F$98)+1400)+'Cálculos'!$F$122)*'Cálculos'!$F$218+'Cálculos'!$F$125*(1+2.78*('Cálculos'!$F$196+(($B$225)-$A177)*'Cálculos'!$F$98)/(('Cálculos'!$F$196+(($B$225)-$A177)*'Cálculos'!$F$98)+1400)+'Cálculos'!$F$123)*'Cálculos'!$F$223)+('Cálculos'!$F$185*(1+'Cálculos'!$F$187+$A177*('Cálculos'!$F$290=1)*'Cálculos'!$F$97+'Cálculos'!$F$305)+'Cálculos'!$F$192)*('Cálculos'!$F$224+'Cálculos'!$F$124*(1+2.78*('Cálculos'!$F$197+(($B$225)-$A177)*'Cálculos'!$F$98)/(('Cálculos'!$F$197+(($B$225)-$A177)*'Cálculos'!$F$98)+1400)+'Cálculos'!$F$122)*'Cálculos'!$F$229+'Cálculos'!$F$125*(1+2.78*('Cálculos'!$F$197+(($B$225)-$A177)*'Cálculos'!$F$98)/(('Cálculos'!$F$197+(($B$225)-$A177)*'Cálculos'!$F$98)+1400)+'Cálculos'!$F$123)*'Cálculos'!$F$234)+('Cálculos'!$F$197+(($B$225)-$A177)*'Cálculos'!$F$98)*('Cálculos'!$F$225+'Cálculos'!$F$124*(1+2.78*('Cálculos'!$F$197+(($B$225)-$A177)*'Cálculos'!$F$98)/(('Cálculos'!$F$197+(($B$225)-$A177)*'Cálculos'!$F$98)+1400)+'Cálculos'!$F$122)*'Cálculos'!$F$230+'Cálculos'!$F$125*(1+2.78*('Cálculos'!$F$197+(($B$225)-$A177)*'Cálculos'!$F$98)/(('Cálculos'!$F$197+(($B$225)-$A177)*'Cálculos'!$F$98)+1400)+'Cálculos'!$F$123)*'Cálculos'!$F$235)+('Cálculos'!$F$201*(1+'Cálculos'!$F$202+$A177*('Cálculos'!$F$290=2)*'Cálculos'!$F$101)+'Cálculos'!$F$203)*('Cálculos'!$F$226+'Cálculos'!$F$124*(1+2.78*('Cálculos'!$F$197+(($B$225)-$A177)*'Cálculos'!$F$98)/(('Cálculos'!$F$197+(($B$225)-$A177)*'Cálculos'!$F$98)+1400)+'Cálculos'!$F$122)*'Cálculos'!$F$231+'Cálculos'!$F$125*(1+2.78*('Cálculos'!$F$197+(($B$225)-$A177)*'Cálculos'!$F$98)/(('Cálculos'!$F$197+(($B$225)-$A177)*'Cálculos'!$F$98)+1400)+'Cálculos'!$F$123)*'Cálculos'!$F$236)+('Cálculos'!$F$204*(1+'Cálculos'!$F$205+$A177*('Cálculos'!$F$290=3)*'Cálculos'!$F$103)+'Cálculos'!$F$206)*('Cálculos'!$F$227+'Cálculos'!$F$124*(1+2.78*('Cálculos'!$F$197+(($B$225)-$A177)*'Cálculos'!$F$98)/(('Cálculos'!$F$197+(($B$225)-$A177)*'Cálculos'!$F$98)+1400)+'Cálculos'!$F$122)*'Cálculos'!$F$232+'Cálculos'!$F$125*(1+2.78*('Cálculos'!$F$197+(($B$225)-$A177)*'Cálculos'!$F$98)/(('Cálculos'!$F$197+(($B$225)-$A177)*'Cálculos'!$F$98)+1400)+'Cálculos'!$F$123)*'Cálculos'!$F$237)+('Cálculos'!$F$228+'Cálculos'!$F$124*(1+2.78*('Cálculos'!$F$197+(($B$225)-$A177)*'Cálculos'!$F$98)/(('Cálculos'!$F$197+(($B$225)-$A177)*'Cálculos'!$F$98)+1400)+'Cálculos'!$F$122)*'Cálculos'!$F$233+'Cálculos'!$F$125*(1+2.78*('Cálculos'!$F$197+(($B$225)-$A177)*'Cálculos'!$F$98)/(('Cálculos'!$F$197+(($B$225)-$A177)*'Cálculos'!$F$98)+1400)+'Cálculos'!$F$123)*'Cálculos'!$F$238)+('Cálculos'!$F$185*(1+'Cálculos'!$F$188+$A177*('Cálculos'!$F$290=1)*'Cálculos'!$F$97+'Cálculos'!$F$305)+'Cálculos'!$F$193)*('Cálculos'!$F$239+'Cálculos'!$F$124*(1+2.78*('Cálculos'!$F$198+(($B$225)-$A177)*'Cálculos'!$F$98)/(('Cálculos'!$F$198+(($B$225)-$A177)*'Cálculos'!$F$98)+1400)+'Cálculos'!$F$122)*'Cálculos'!$F$244+'Cálculos'!$F$125*(1+2.78*('Cálculos'!$F$198+(($B$225)-$A177)*'Cálculos'!$F$98)/(('Cálculos'!$F$198+(($B$225)-$A177)*'Cálculos'!$F$98)+1400)+'Cálculos'!$F$123)*'Cálculos'!$F$249)+('Cálculos'!$F$198+(($B$225)-$A177)*'Cálculos'!$F$98)*('Cálculos'!$F$240+'Cálculos'!$F$124*(1+2.78*('Cálculos'!$F$198+(($B$225)-$A177)*'Cálculos'!$F$98)/(('Cálculos'!$F$198+(($B$225)-$A177)*'Cálculos'!$F$98)+1400)+'Cálculos'!$F$122)*'Cálculos'!$F$245+'Cálculos'!$F$125*(1+2.78*('Cálculos'!$F$198+(($B$225)-$A177)*'Cálculos'!$F$98)/(('Cálculos'!$F$198+(($B$225)-$A177)*'Cálculos'!$F$98)+1400)+'Cálculos'!$F$123)*'Cálculos'!$F$250)+('Cálculos'!$F$201*(1+'Cálculos'!$F$202+$A177*('Cálculos'!$F$290=2)*'Cálculos'!$F$101)+'Cálculos'!$F$203)*('Cálculos'!$F$241+'Cálculos'!$F$124*(1+2.78*('Cálculos'!$F$198+(($B$225)-$A177)*'Cálculos'!$F$98)/(('Cálculos'!$F$198+(($B$225)-$A177)*'Cálculos'!$F$98)+1400)+'Cálculos'!$F$122)*'Cálculos'!$F$246+'Cálculos'!$F$125*(1+2.78*('Cálculos'!$F$198+(($B$225)-$A177)*'Cálculos'!$F$98)/(('Cálculos'!$F$198+(($B$225)-$A177)*'Cálculos'!$F$98)+1400)+'Cálculos'!$F$123)*'Cálculos'!$F$251)+('Cálculos'!$F$204*(1+'Cálculos'!$F$205+$A177*('Cálculos'!$F$290=3)*'Cálculos'!$F$103)+'Cálculos'!$F$206)*('Cálculos'!$F$242+'Cálculos'!$F$124*(1+2.78*('Cálculos'!$F$198+(($B$225)-$A177)*'Cálculos'!$F$98)/(('Cálculos'!$F$198+(($B$225)-$A177)*'Cálculos'!$F$98)+1400)+'Cálculos'!$F$122)*'Cálculos'!$F$247+'Cálculos'!$F$125*(1+2.78*('Cálculos'!$F$198+(($B$225)-$A177)*'Cálculos'!$F$98)/(('Cálculos'!$F$198+(($B$225)-$A177)*'Cálculos'!$F$98)+1400)+'Cálculos'!$F$123)*'Cálculos'!$F$252)+('Cálculos'!$F$243+'Cálculos'!$F$124*(1+2.78*('Cálculos'!$F$198+(($B$225)-$A177)*'Cálculos'!$F$98)/(('Cálculos'!$F$198+(($B$225)-$A177)*'Cálculos'!$F$98)+1400)+'Cálculos'!$F$122)*'Cálculos'!$F$248+'Cálculos'!$F$125*(1+2.78*('Cálculos'!$F$198+(($B$225)-$A177)*'Cálculos'!$F$98)/(('Cálculos'!$F$198+(($B$225)-$A177)*'Cálculos'!$F$98)+1400)+'Cálculos'!$F$123)*'Cálculos'!$F$253)+('Cálculos'!$F$185*(1+'Cálculos'!$F$189+$A177*('Cálculos'!$F$290=1)*'Cálculos'!$F$97+'Cálculos'!$F$305)+'Cálculos'!$F$194)*('Cálculos'!$F$254+'Cálculos'!$F$124*(1+2.78*('Cálculos'!$F$199+(($B$225)-$A177)*'Cálculos'!$F$98)/(('Cálculos'!$F$199+(($B$225)-$A177)*'Cálculos'!$F$98)+1400)+'Cálculos'!$F$122)*'Cálculos'!$F$259+'Cálculos'!$F$125*(1+2.78*('Cálculos'!$F$199+(($B$225)-$A177)*'Cálculos'!$F$98)/(('Cálculos'!$F$199+(($B$225)-$A177)*'Cálculos'!$F$98)+1400)+'Cálculos'!$F$123)*'Cálculos'!$F$264)+('Cálculos'!$F$199+(($B$225)-$A177)*'Cálculos'!$F$98)*('Cálculos'!$F$255+'Cálculos'!$F$124*(1+2.78*('Cálculos'!$F$199+(($B$225)-$A177)*'Cálculos'!$F$98)/(('Cálculos'!$F$199+(($B$225)-$A177)*'Cálculos'!$F$98)+1400)+'Cálculos'!$F$122)*'Cálculos'!$F$260+'Cálculos'!$F$125*(1+2.78*('Cálculos'!$F$199+(($B$225)-$A177)*'Cálculos'!$F$98)/(('Cálculos'!$F$199+(($B$225)-$A177)*'Cálculos'!$F$98)+1400)+'Cálculos'!$F$123)*'Cálculos'!$F$265)+('Cálculos'!$F$201*(1+'Cálculos'!$F$202+$A177*('Cálculos'!$F$290=2)*'Cálculos'!$F$101)+'Cálculos'!$F$203)*('Cálculos'!$F$256+'Cálculos'!$F$124*(1+2.78*('Cálculos'!$F$199+(($B$225)-$A177)*'Cálculos'!$F$98)/(('Cálculos'!$F$199+(($B$225)-$A177)*'Cálculos'!$F$98)+1400)+'Cálculos'!$F$122)*'Cálculos'!$F$261+'Cálculos'!$F$125*(1+2.78*('Cálculos'!$F$199+(($B$225)-$A177)*'Cálculos'!$F$98)/(('Cálculos'!$F$199+(($B$225)-$A177)*'Cálculos'!$F$98)+1400)+'Cálculos'!$F$123)*'Cálculos'!$F$266)+('Cálculos'!$F$204*(1+'Cálculos'!$F$205+$A177*('Cálculos'!$F$290=3)*'Cálculos'!$F$103)+'Cálculos'!$F$206)*('Cálculos'!$F$257+'Cálculos'!$F$124*(1+2.78*('Cálculos'!$F$199+(($B$225)-$A177)*'Cálculos'!$F$98)/(('Cálculos'!$F$199+(($B$225)-$A177)*'Cálculos'!$F$98)+1400)+'Cálculos'!$F$122)*'Cálculos'!$F$262+'Cálculos'!$F$125*(1+2.78*('Cálculos'!$F$199+(($B$225)-$A177)*'Cálculos'!$F$98)/(('Cálculos'!$F$199+(($B$225)-$A177)*'Cálculos'!$F$98)+1400)+'Cálculos'!$F$123)*'Cálculos'!$F$267)+('Cálculos'!$F$258+'Cálculos'!$F$124*(1+2.78*('Cálculos'!$F$199+(($B$225)-$A177)*'Cálculos'!$F$98)/(('Cálculos'!$F$199+(($B$225)-$A177)*'Cálculos'!$F$98)+1400)+'Cálculos'!$F$122)*'Cálculos'!$F$263+'Cálculos'!$F$125*(1+2.78*('Cálculos'!$F$199+(($B$225)-$A177)*'Cálculos'!$F$98)/(('Cálculos'!$F$199+(($B$225)-$A177)*'Cálculos'!$F$98)+1400)+'Cálculos'!$F$123)*'Cálculos'!$F$268)+('Cálculos'!$F$185*(1+'Cálculos'!$F$190+$A177*('Cálculos'!$F$290=1)*'Cálculos'!$F$97+'Cálculos'!$F$305)+'Cálculos'!$F$195)*('Cálculos'!$F$269+'Cálculos'!$F$124*(1+2.78*('Cálculos'!$F$200+(($B$225)-$A177)*'Cálculos'!$F$98)/(('Cálculos'!$F$200+(($B$225)-$A177)*'Cálculos'!$F$98)+1400)+'Cálculos'!$F$122)*'Cálculos'!$F$274+'Cálculos'!$F$125*(1+2.78*('Cálculos'!$F$200+(($B$225)-$A177)*'Cálculos'!$F$98)/(('Cálculos'!$F$200+(($B$225)-$A177)*'Cálculos'!$F$98)+1400)+'Cálculos'!$F$123)*'Cálculos'!$F$279)+('Cálculos'!$F$200+(($B$225)-$A177)*'Cálculos'!$F$98)*('Cálculos'!$F$270+'Cálculos'!$F$124*(1+2.78*('Cálculos'!$F$200+(($B$225)-$A177)*'Cálculos'!$F$98)/(('Cálculos'!$F$200+(($B$225)-$A177)*'Cálculos'!$F$98)+1400)+'Cálculos'!$F$122)*'Cálculos'!$F$275+'Cálculos'!$F$125*(1+2.78*('Cálculos'!$F$200+(($B$225)-$A177)*'Cálculos'!$F$98)/(('Cálculos'!$F$200+(($B$225)-$A177)*'Cálculos'!$F$98)+1400)+'Cálculos'!$F$123)*'Cálculos'!$F$280)+('Cálculos'!$F$201*(1+'Cálculos'!$F$202+$A177*('Cálculos'!$F$290=2)*'Cálculos'!$F$101)+'Cálculos'!$F$203)*('Cálculos'!$F$271+'Cálculos'!$F$124*(1+2.78*('Cálculos'!$F$200+(($B$225)-$A177)*'Cálculos'!$F$98)/(('Cálculos'!$F$200+(($B$225)-$A177)*'Cálculos'!$F$98)+1400)+'Cálculos'!$F$122)*'Cálculos'!$F$276+'Cálculos'!$F$125*(1+2.78*('Cálculos'!$F$200+(($B$225)-$A177)*'Cálculos'!$F$98)/(('Cálculos'!$F$200+(($B$225)-$A177)*'Cálculos'!$F$98)+1400)+'Cálculos'!$F$123)*'Cálculos'!$F$281)+('Cálculos'!$F$204*(1+'Cálculos'!$F$205+$A177*('Cálculos'!$F$290=3)*'Cálculos'!$F$103)+'Cálculos'!$F$206)*('Cálculos'!$F$272+'Cálculos'!$F$124*(1+2.78*('Cálculos'!$F$200+(($B$225)-$A177)*'Cálculos'!$F$98)/(('Cálculos'!$F$200+(($B$225)-$A177)*'Cálculos'!$F$98)+1400)+'Cálculos'!$F$122)*'Cálculos'!$F$277+'Cálculos'!$F$125*(1+2.78*('Cálculos'!$F$200+(($B$225)-$A177)*'Cálculos'!$F$98)/(('Cálculos'!$F$200+(($B$225)-$A177)*'Cálculos'!$F$98)+1400)+'Cálculos'!$F$123)*'Cálculos'!$F$282)+('Cálculos'!$F$273+'Cálculos'!$F$124*(1+2.78*('Cálculos'!$F$200+(($B$225)-$A177)*'Cálculos'!$F$98)/(('Cálculos'!$F$200+(($B$225)-$A177)*'Cálculos'!$F$98)+1400)+'Cálculos'!$F$122)*'Cálculos'!$F$278+'Cálculos'!$F$125*(1+2.78*('Cálculos'!$F$200+(($B$225)-$A177)*'Cálculos'!$F$98)/(('Cálculos'!$F$200+(($B$225)-$A177)*'Cálculos'!$F$98)+1400)+'Cálculos'!$F$123)*'Cálculos'!$F$283)))</f>
        <v>19345.49414</v>
      </c>
    </row>
    <row r="178" ht="15.75" customHeight="1">
      <c r="A178" s="2">
        <v>1.0</v>
      </c>
      <c r="B178" s="30">
        <f>SUMPRODUCT(MAX(($A$177:$A$222&lt;=$A178)*($A$177:$A$222&lt;='Cálculos'!$F$294)*(($A178)-$A$177:$A$222&lt;='Cálculos'!$F$295)*(1+(('Cálculos'!$F$207+$A$177:$A$222*'Cálculos'!$F$95)-(('Cálculos'!$F$207+$A$177:$A$222*'Cálculos'!$F$95)&gt;1)*(('Cálculos'!$F$207+$A$177:$A$222*'Cálculos'!$F$95)-1))*('Cálculos'!$F$208+(($A178)-$A$177:$A$222)*'Cálculos'!$F$96))))</f>
        <v>1.58558</v>
      </c>
      <c r="C178" s="2">
        <f>'Cálculos'!$F$303-$A178</f>
        <v>17</v>
      </c>
      <c r="D178" s="31">
        <f>IF($C178&lt;0,0,SUMPRODUCT(MAX(($A$177:$A$222&lt;=$C178)*($A$177:$A$222&lt;='Cálculos'!$F$301)*(($C178)-$A$177:$A$222&lt;='Cálculos'!$F$297)*(('Cálculos'!$F$185*(1+'Cálculos'!$F$186+$A$177:$A$222*('Cálculos'!$F$290=1)*'Cálculos'!$F$97+'Cálculos'!$F$305)+'Cálculos'!$F$191)*('Cálculos'!$F$209+'Cálculos'!$F$124*(1+2.78*('Cálculos'!$F$196+(($C178)-$A$177:$A$222)*'Cálculos'!$F$98)/(('Cálculos'!$F$196+(($C178)-$A$177:$A$222)*'Cálculos'!$F$98)+1400)+'Cálculos'!$F$122)*'Cálculos'!$F$214+'Cálculos'!$F$125*(1+2.78*('Cálculos'!$F$196+(($C178)-$A$177:$A$222)*'Cálculos'!$F$98)/(('Cálculos'!$F$196+(($C178)-$A$177:$A$222)*'Cálculos'!$F$98)+1400)+'Cálculos'!$F$123)*'Cálculos'!$F$219)+('Cálculos'!$F$196+(($C178)-$A$177:$A$222)*'Cálculos'!$F$98)*('Cálculos'!$F$210+'Cálculos'!$F$124*(1+2.78*('Cálculos'!$F$196+(($C178)-$A$177:$A$222)*'Cálculos'!$F$98)/(('Cálculos'!$F$196+(($C178)-$A$177:$A$222)*'Cálculos'!$F$98)+1400)+'Cálculos'!$F$122)*'Cálculos'!$F$215+'Cálculos'!$F$125*(1+2.78*('Cálculos'!$F$196+(($C178)-$A$177:$A$222)*'Cálculos'!$F$98)/(('Cálculos'!$F$196+(($C178)-$A$177:$A$222)*'Cálculos'!$F$98)+1400)+'Cálculos'!$F$123)*'Cálculos'!$F$220)+('Cálculos'!$F$201*(1+'Cálculos'!$F$202+$A$177:$A$222*('Cálculos'!$F$290=2)*'Cálculos'!$F$101)+'Cálculos'!$F$203)*('Cálculos'!$F$211+'Cálculos'!$F$124*(1+2.78*('Cálculos'!$F$196+(($C178)-$A$177:$A$222)*'Cálculos'!$F$98)/(('Cálculos'!$F$196+(($C178)-$A$177:$A$222)*'Cálculos'!$F$98)+1400)+'Cálculos'!$F$122)*'Cálculos'!$F$216+'Cálculos'!$F$125*(1+2.78*('Cálculos'!$F$196+(($C178)-$A$177:$A$222)*'Cálculos'!$F$98)/(('Cálculos'!$F$196+(($C178)-$A$177:$A$222)*'Cálculos'!$F$98)+1400)+'Cálculos'!$F$123)*'Cálculos'!$F$221)+('Cálculos'!$F$204*(1+'Cálculos'!$F$205+$A$177:$A$222*('Cálculos'!$F$290=3)*'Cálculos'!$F$103)+'Cálculos'!$F$206)*('Cálculos'!$F$212+'Cálculos'!$F$124*(1+2.78*('Cálculos'!$F$196+(($C178)-$A$177:$A$222)*'Cálculos'!$F$98)/(('Cálculos'!$F$196+(($C178)-$A$177:$A$222)*'Cálculos'!$F$98)+1400)+'Cálculos'!$F$122)*'Cálculos'!$F$217+'Cálculos'!$F$125*(1+2.78*('Cálculos'!$F$196+(($C178)-$A$177:$A$222)*'Cálculos'!$F$98)/(('Cálculos'!$F$196+(($C178)-$A$177:$A$222)*'Cálculos'!$F$98)+1400)+'Cálculos'!$F$123)*'Cálculos'!$F$222)+('Cálculos'!$F$213+'Cálculos'!$F$124*(1+2.78*('Cálculos'!$F$196+(($C178)-$A$177:$A$222)*'Cálculos'!$F$98)/(('Cálculos'!$F$196+(($C178)-$A$177:$A$222)*'Cálculos'!$F$98)+1400)+'Cálculos'!$F$122)*'Cálculos'!$F$218+'Cálculos'!$F$125*(1+2.78*('Cálculos'!$F$196+(($C178)-$A$177:$A$222)*'Cálculos'!$F$98)/(('Cálculos'!$F$196+(($C178)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178)-$A$177:$A$222)*'Cálculos'!$F$98)/(('Cálculos'!$F$197+(($C178)-$A$177:$A$222)*'Cálculos'!$F$98)+1400)+'Cálculos'!$F$122)*'Cálculos'!$F$229+'Cálculos'!$F$125*(1+2.78*('Cálculos'!$F$197+(($C178)-$A$177:$A$222)*'Cálculos'!$F$98)/(('Cálculos'!$F$197+(($C178)-$A$177:$A$222)*'Cálculos'!$F$98)+1400)+'Cálculos'!$F$123)*'Cálculos'!$F$234)+('Cálculos'!$F$197+(($C178)-$A$177:$A$222)*'Cálculos'!$F$98)*('Cálculos'!$F$225+'Cálculos'!$F$124*(1+2.78*('Cálculos'!$F$197+(($C178)-$A$177:$A$222)*'Cálculos'!$F$98)/(('Cálculos'!$F$197+(($C178)-$A$177:$A$222)*'Cálculos'!$F$98)+1400)+'Cálculos'!$F$122)*'Cálculos'!$F$230+'Cálculos'!$F$125*(1+2.78*('Cálculos'!$F$197+(($C178)-$A$177:$A$222)*'Cálculos'!$F$98)/(('Cálculos'!$F$197+(($C178)-$A$177:$A$222)*'Cálculos'!$F$98)+1400)+'Cálculos'!$F$123)*'Cálculos'!$F$235)+('Cálculos'!$F$201*(1+'Cálculos'!$F$202+$A$177:$A$222*('Cálculos'!$F$290=2)*'Cálculos'!$F$101)+'Cálculos'!$F$203)*('Cálculos'!$F$226+'Cálculos'!$F$124*(1+2.78*('Cálculos'!$F$197+(($C178)-$A$177:$A$222)*'Cálculos'!$F$98)/(('Cálculos'!$F$197+(($C178)-$A$177:$A$222)*'Cálculos'!$F$98)+1400)+'Cálculos'!$F$122)*'Cálculos'!$F$231+'Cálculos'!$F$125*(1+2.78*('Cálculos'!$F$197+(($C178)-$A$177:$A$222)*'Cálculos'!$F$98)/(('Cálculos'!$F$197+(($C178)-$A$177:$A$222)*'Cálculos'!$F$98)+1400)+'Cálculos'!$F$123)*'Cálculos'!$F$236)+('Cálculos'!$F$204*(1+'Cálculos'!$F$205+$A$177:$A$222*('Cálculos'!$F$290=3)*'Cálculos'!$F$103)+'Cálculos'!$F$206)*('Cálculos'!$F$227+'Cálculos'!$F$124*(1+2.78*('Cálculos'!$F$197+(($C178)-$A$177:$A$222)*'Cálculos'!$F$98)/(('Cálculos'!$F$197+(($C178)-$A$177:$A$222)*'Cálculos'!$F$98)+1400)+'Cálculos'!$F$122)*'Cálculos'!$F$232+'Cálculos'!$F$125*(1+2.78*('Cálculos'!$F$197+(($C178)-$A$177:$A$222)*'Cálculos'!$F$98)/(('Cálculos'!$F$197+(($C178)-$A$177:$A$222)*'Cálculos'!$F$98)+1400)+'Cálculos'!$F$123)*'Cálculos'!$F$237)+('Cálculos'!$F$228+'Cálculos'!$F$124*(1+2.78*('Cálculos'!$F$197+(($C178)-$A$177:$A$222)*'Cálculos'!$F$98)/(('Cálculos'!$F$197+(($C178)-$A$177:$A$222)*'Cálculos'!$F$98)+1400)+'Cálculos'!$F$122)*'Cálculos'!$F$233+'Cálculos'!$F$125*(1+2.78*('Cálculos'!$F$197+(($C178)-$A$177:$A$222)*'Cálculos'!$F$98)/(('Cálculos'!$F$197+(($C178)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178)-$A$177:$A$222)*'Cálculos'!$F$98)/(('Cálculos'!$F$198+(($C178)-$A$177:$A$222)*'Cálculos'!$F$98)+1400)+'Cálculos'!$F$122)*'Cálculos'!$F$244+'Cálculos'!$F$125*(1+2.78*('Cálculos'!$F$198+(($C178)-$A$177:$A$222)*'Cálculos'!$F$98)/(('Cálculos'!$F$198+(($C178)-$A$177:$A$222)*'Cálculos'!$F$98)+1400)+'Cálculos'!$F$123)*'Cálculos'!$F$249)+('Cálculos'!$F$198+(($C178)-$A$177:$A$222)*'Cálculos'!$F$98)*('Cálculos'!$F$240+'Cálculos'!$F$124*(1+2.78*('Cálculos'!$F$198+(($C178)-$A$177:$A$222)*'Cálculos'!$F$98)/(('Cálculos'!$F$198+(($C178)-$A$177:$A$222)*'Cálculos'!$F$98)+1400)+'Cálculos'!$F$122)*'Cálculos'!$F$245+'Cálculos'!$F$125*(1+2.78*('Cálculos'!$F$198+(($C178)-$A$177:$A$222)*'Cálculos'!$F$98)/(('Cálculos'!$F$198+(($C178)-$A$177:$A$222)*'Cálculos'!$F$98)+1400)+'Cálculos'!$F$123)*'Cálculos'!$F$250)+('Cálculos'!$F$201*(1+'Cálculos'!$F$202+$A$177:$A$222*('Cálculos'!$F$290=2)*'Cálculos'!$F$101)+'Cálculos'!$F$203)*('Cálculos'!$F$241+'Cálculos'!$F$124*(1+2.78*('Cálculos'!$F$198+(($C178)-$A$177:$A$222)*'Cálculos'!$F$98)/(('Cálculos'!$F$198+(($C178)-$A$177:$A$222)*'Cálculos'!$F$98)+1400)+'Cálculos'!$F$122)*'Cálculos'!$F$246+'Cálculos'!$F$125*(1+2.78*('Cálculos'!$F$198+(($C178)-$A$177:$A$222)*'Cálculos'!$F$98)/(('Cálculos'!$F$198+(($C178)-$A$177:$A$222)*'Cálculos'!$F$98)+1400)+'Cálculos'!$F$123)*'Cálculos'!$F$251)+('Cálculos'!$F$204*(1+'Cálculos'!$F$205+$A$177:$A$222*('Cálculos'!$F$290=3)*'Cálculos'!$F$103)+'Cálculos'!$F$206)*('Cálculos'!$F$242+'Cálculos'!$F$124*(1+2.78*('Cálculos'!$F$198+(($C178)-$A$177:$A$222)*'Cálculos'!$F$98)/(('Cálculos'!$F$198+(($C178)-$A$177:$A$222)*'Cálculos'!$F$98)+1400)+'Cálculos'!$F$122)*'Cálculos'!$F$247+'Cálculos'!$F$125*(1+2.78*('Cálculos'!$F$198+(($C178)-$A$177:$A$222)*'Cálculos'!$F$98)/(('Cálculos'!$F$198+(($C178)-$A$177:$A$222)*'Cálculos'!$F$98)+1400)+'Cálculos'!$F$123)*'Cálculos'!$F$252)+('Cálculos'!$F$243+'Cálculos'!$F$124*(1+2.78*('Cálculos'!$F$198+(($C178)-$A$177:$A$222)*'Cálculos'!$F$98)/(('Cálculos'!$F$198+(($C178)-$A$177:$A$222)*'Cálculos'!$F$98)+1400)+'Cálculos'!$F$122)*'Cálculos'!$F$248+'Cálculos'!$F$125*(1+2.78*('Cálculos'!$F$198+(($C178)-$A$177:$A$222)*'Cálculos'!$F$98)/(('Cálculos'!$F$198+(($C178)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178)-$A$177:$A$222)*'Cálculos'!$F$98)/(('Cálculos'!$F$199+(($C178)-$A$177:$A$222)*'Cálculos'!$F$98)+1400)+'Cálculos'!$F$122)*'Cálculos'!$F$259+'Cálculos'!$F$125*(1+2.78*('Cálculos'!$F$199+(($C178)-$A$177:$A$222)*'Cálculos'!$F$98)/(('Cálculos'!$F$199+(($C178)-$A$177:$A$222)*'Cálculos'!$F$98)+1400)+'Cálculos'!$F$123)*'Cálculos'!$F$264)+('Cálculos'!$F$199+(($C178)-$A$177:$A$222)*'Cálculos'!$F$98)*('Cálculos'!$F$255+'Cálculos'!$F$124*(1+2.78*('Cálculos'!$F$199+(($C178)-$A$177:$A$222)*'Cálculos'!$F$98)/(('Cálculos'!$F$199+(($C178)-$A$177:$A$222)*'Cálculos'!$F$98)+1400)+'Cálculos'!$F$122)*'Cálculos'!$F$260+'Cálculos'!$F$125*(1+2.78*('Cálculos'!$F$199+(($C178)-$A$177:$A$222)*'Cálculos'!$F$98)/(('Cálculos'!$F$199+(($C178)-$A$177:$A$222)*'Cálculos'!$F$98)+1400)+'Cálculos'!$F$123)*'Cálculos'!$F$265)+('Cálculos'!$F$201*(1+'Cálculos'!$F$202+$A$177:$A$222*('Cálculos'!$F$290=2)*'Cálculos'!$F$101)+'Cálculos'!$F$203)*('Cálculos'!$F$256+'Cálculos'!$F$124*(1+2.78*('Cálculos'!$F$199+(($C178)-$A$177:$A$222)*'Cálculos'!$F$98)/(('Cálculos'!$F$199+(($C178)-$A$177:$A$222)*'Cálculos'!$F$98)+1400)+'Cálculos'!$F$122)*'Cálculos'!$F$261+'Cálculos'!$F$125*(1+2.78*('Cálculos'!$F$199+(($C178)-$A$177:$A$222)*'Cálculos'!$F$98)/(('Cálculos'!$F$199+(($C178)-$A$177:$A$222)*'Cálculos'!$F$98)+1400)+'Cálculos'!$F$123)*'Cálculos'!$F$266)+('Cálculos'!$F$204*(1+'Cálculos'!$F$205+$A$177:$A$222*('Cálculos'!$F$290=3)*'Cálculos'!$F$103)+'Cálculos'!$F$206)*('Cálculos'!$F$257+'Cálculos'!$F$124*(1+2.78*('Cálculos'!$F$199+(($C178)-$A$177:$A$222)*'Cálculos'!$F$98)/(('Cálculos'!$F$199+(($C178)-$A$177:$A$222)*'Cálculos'!$F$98)+1400)+'Cálculos'!$F$122)*'Cálculos'!$F$262+'Cálculos'!$F$125*(1+2.78*('Cálculos'!$F$199+(($C178)-$A$177:$A$222)*'Cálculos'!$F$98)/(('Cálculos'!$F$199+(($C178)-$A$177:$A$222)*'Cálculos'!$F$98)+1400)+'Cálculos'!$F$123)*'Cálculos'!$F$267)+('Cálculos'!$F$258+'Cálculos'!$F$124*(1+2.78*('Cálculos'!$F$199+(($C178)-$A$177:$A$222)*'Cálculos'!$F$98)/(('Cálculos'!$F$199+(($C178)-$A$177:$A$222)*'Cálculos'!$F$98)+1400)+'Cálculos'!$F$122)*'Cálculos'!$F$263+'Cálculos'!$F$125*(1+2.78*('Cálculos'!$F$199+(($C178)-$A$177:$A$222)*'Cálculos'!$F$98)/(('Cálculos'!$F$199+(($C178)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178)-$A$177:$A$222)*'Cálculos'!$F$98)/(('Cálculos'!$F$200+(($C178)-$A$177:$A$222)*'Cálculos'!$F$98)+1400)+'Cálculos'!$F$122)*'Cálculos'!$F$274+'Cálculos'!$F$125*(1+2.78*('Cálculos'!$F$200+(($C178)-$A$177:$A$222)*'Cálculos'!$F$98)/(('Cálculos'!$F$200+(($C178)-$A$177:$A$222)*'Cálculos'!$F$98)+1400)+'Cálculos'!$F$123)*'Cálculos'!$F$279)+('Cálculos'!$F$200+(($C178)-$A$177:$A$222)*'Cálculos'!$F$98)*('Cálculos'!$F$270+'Cálculos'!$F$124*(1+2.78*('Cálculos'!$F$200+(($C178)-$A$177:$A$222)*'Cálculos'!$F$98)/(('Cálculos'!$F$200+(($C178)-$A$177:$A$222)*'Cálculos'!$F$98)+1400)+'Cálculos'!$F$122)*'Cálculos'!$F$275+'Cálculos'!$F$125*(1+2.78*('Cálculos'!$F$200+(($C178)-$A$177:$A$222)*'Cálculos'!$F$98)/(('Cálculos'!$F$200+(($C178)-$A$177:$A$222)*'Cálculos'!$F$98)+1400)+'Cálculos'!$F$123)*'Cálculos'!$F$280)+('Cálculos'!$F$201*(1+'Cálculos'!$F$202+$A$177:$A$222*('Cálculos'!$F$290=2)*'Cálculos'!$F$101)+'Cálculos'!$F$203)*('Cálculos'!$F$271+'Cálculos'!$F$124*(1+2.78*('Cálculos'!$F$200+(($C178)-$A$177:$A$222)*'Cálculos'!$F$98)/(('Cálculos'!$F$200+(($C178)-$A$177:$A$222)*'Cálculos'!$F$98)+1400)+'Cálculos'!$F$122)*'Cálculos'!$F$276+'Cálculos'!$F$125*(1+2.78*('Cálculos'!$F$200+(($C178)-$A$177:$A$222)*'Cálculos'!$F$98)/(('Cálculos'!$F$200+(($C178)-$A$177:$A$222)*'Cálculos'!$F$98)+1400)+'Cálculos'!$F$123)*'Cálculos'!$F$281)+('Cálculos'!$F$204*(1+'Cálculos'!$F$205+$A$177:$A$222*('Cálculos'!$F$290=3)*'Cálculos'!$F$103)+'Cálculos'!$F$206)*('Cálculos'!$F$272+'Cálculos'!$F$124*(1+2.78*('Cálculos'!$F$200+(($C178)-$A$177:$A$222)*'Cálculos'!$F$98)/(('Cálculos'!$F$200+(($C178)-$A$177:$A$222)*'Cálculos'!$F$98)+1400)+'Cálculos'!$F$122)*'Cálculos'!$F$277+'Cálculos'!$F$125*(1+2.78*('Cálculos'!$F$200+(($C178)-$A$177:$A$222)*'Cálculos'!$F$98)/(('Cálculos'!$F$200+(($C178)-$A$177:$A$222)*'Cálculos'!$F$98)+1400)+'Cálculos'!$F$123)*'Cálculos'!$F$282)+('Cálculos'!$F$273+'Cálculos'!$F$124*(1+2.78*('Cálculos'!$F$200+(($C178)-$A$177:$A$222)*'Cálculos'!$F$98)/(('Cálculos'!$F$200+(($C178)-$A$177:$A$222)*'Cálculos'!$F$98)+1400)+'Cálculos'!$F$122)*'Cálculos'!$F$278+'Cálculos'!$F$125*(1+2.78*('Cálculos'!$F$200+(($C178)-$A$177:$A$222)*'Cálculos'!$F$98)/(('Cálculos'!$F$200+(($C178)-$A$177:$A$222)*'Cálculos'!$F$98)+1400)+'Cálculos'!$F$123)*'Cálculos'!$F$283)))))</f>
        <v>23151.07319</v>
      </c>
      <c r="E178" s="32">
        <f>IF(OR($C178&lt;0,'Cálculos'!$F$6=""),0,$B178*$D178)</f>
        <v>36707.87864</v>
      </c>
      <c r="F178" s="2"/>
      <c r="G178" s="30">
        <f>($A178&lt;=$B$224)*($A178&lt;='Cálculos'!$F$294)*(($B$224)-$A178&lt;='Cálculos'!$F$295)*(1+MIN(('Cálculos'!$F$207+$A178*'Cálculos'!$F$95),1)*('Cálculos'!$F$208+(($B$224)-$A178)*'Cálculos'!$F$96))</f>
        <v>2.1017</v>
      </c>
      <c r="H178" s="31">
        <f>IF($B$225&lt;0,0,($A178&lt;=$B$225)*($A178&lt;='Cálculos'!$F$301)*(($B$225)-$A178&lt;='Cálculos'!$F$297)*(('Cálculos'!$F$185*(1+'Cálculos'!$F$186+$A178*('Cálculos'!$F$290=1)*'Cálculos'!$F$97+'Cálculos'!$F$305)+'Cálculos'!$F$191)*('Cálculos'!$F$209+'Cálculos'!$F$124*(1+2.78*('Cálculos'!$F$196+(($B$225)-$A178)*'Cálculos'!$F$98)/(('Cálculos'!$F$196+(($B$225)-$A178)*'Cálculos'!$F$98)+1400)+'Cálculos'!$F$122)*'Cálculos'!$F$214+'Cálculos'!$F$125*(1+2.78*('Cálculos'!$F$196+(($B$225)-$A178)*'Cálculos'!$F$98)/(('Cálculos'!$F$196+(($B$225)-$A178)*'Cálculos'!$F$98)+1400)+'Cálculos'!$F$123)*'Cálculos'!$F$219)+('Cálculos'!$F$196+(($B$225)-$A178)*'Cálculos'!$F$98)*('Cálculos'!$F$210+'Cálculos'!$F$124*(1+2.78*('Cálculos'!$F$196+(($B$225)-$A178)*'Cálculos'!$F$98)/(('Cálculos'!$F$196+(($B$225)-$A178)*'Cálculos'!$F$98)+1400)+'Cálculos'!$F$122)*'Cálculos'!$F$215+'Cálculos'!$F$125*(1+2.78*('Cálculos'!$F$196+(($B$225)-$A178)*'Cálculos'!$F$98)/(('Cálculos'!$F$196+(($B$225)-$A178)*'Cálculos'!$F$98)+1400)+'Cálculos'!$F$123)*'Cálculos'!$F$220)+('Cálculos'!$F$201*(1+'Cálculos'!$F$202+$A178*('Cálculos'!$F$290=2)*'Cálculos'!$F$101)+'Cálculos'!$F$203)*('Cálculos'!$F$211+'Cálculos'!$F$124*(1+2.78*('Cálculos'!$F$196+(($B$225)-$A178)*'Cálculos'!$F$98)/(('Cálculos'!$F$196+(($B$225)-$A178)*'Cálculos'!$F$98)+1400)+'Cálculos'!$F$122)*'Cálculos'!$F$216+'Cálculos'!$F$125*(1+2.78*('Cálculos'!$F$196+(($B$225)-$A178)*'Cálculos'!$F$98)/(('Cálculos'!$F$196+(($B$225)-$A178)*'Cálculos'!$F$98)+1400)+'Cálculos'!$F$123)*'Cálculos'!$F$221)+('Cálculos'!$F$204*(1+'Cálculos'!$F$205+$A178*('Cálculos'!$F$290=3)*'Cálculos'!$F$103)+'Cálculos'!$F$206)*('Cálculos'!$F$212+'Cálculos'!$F$124*(1+2.78*('Cálculos'!$F$196+(($B$225)-$A178)*'Cálculos'!$F$98)/(('Cálculos'!$F$196+(($B$225)-$A178)*'Cálculos'!$F$98)+1400)+'Cálculos'!$F$122)*'Cálculos'!$F$217+'Cálculos'!$F$125*(1+2.78*('Cálculos'!$F$196+(($B$225)-$A178)*'Cálculos'!$F$98)/(('Cálculos'!$F$196+(($B$225)-$A178)*'Cálculos'!$F$98)+1400)+'Cálculos'!$F$123)*'Cálculos'!$F$222)+('Cálculos'!$F$213+'Cálculos'!$F$124*(1+2.78*('Cálculos'!$F$196+(($B$225)-$A178)*'Cálculos'!$F$98)/(('Cálculos'!$F$196+(($B$225)-$A178)*'Cálculos'!$F$98)+1400)+'Cálculos'!$F$122)*'Cálculos'!$F$218+'Cálculos'!$F$125*(1+2.78*('Cálculos'!$F$196+(($B$225)-$A178)*'Cálculos'!$F$98)/(('Cálculos'!$F$196+(($B$225)-$A178)*'Cálculos'!$F$98)+1400)+'Cálculos'!$F$123)*'Cálculos'!$F$223)+('Cálculos'!$F$185*(1+'Cálculos'!$F$187+$A178*('Cálculos'!$F$290=1)*'Cálculos'!$F$97+'Cálculos'!$F$305)+'Cálculos'!$F$192)*('Cálculos'!$F$224+'Cálculos'!$F$124*(1+2.78*('Cálculos'!$F$197+(($B$225)-$A178)*'Cálculos'!$F$98)/(('Cálculos'!$F$197+(($B$225)-$A178)*'Cálculos'!$F$98)+1400)+'Cálculos'!$F$122)*'Cálculos'!$F$229+'Cálculos'!$F$125*(1+2.78*('Cálculos'!$F$197+(($B$225)-$A178)*'Cálculos'!$F$98)/(('Cálculos'!$F$197+(($B$225)-$A178)*'Cálculos'!$F$98)+1400)+'Cálculos'!$F$123)*'Cálculos'!$F$234)+('Cálculos'!$F$197+(($B$225)-$A178)*'Cálculos'!$F$98)*('Cálculos'!$F$225+'Cálculos'!$F$124*(1+2.78*('Cálculos'!$F$197+(($B$225)-$A178)*'Cálculos'!$F$98)/(('Cálculos'!$F$197+(($B$225)-$A178)*'Cálculos'!$F$98)+1400)+'Cálculos'!$F$122)*'Cálculos'!$F$230+'Cálculos'!$F$125*(1+2.78*('Cálculos'!$F$197+(($B$225)-$A178)*'Cálculos'!$F$98)/(('Cálculos'!$F$197+(($B$225)-$A178)*'Cálculos'!$F$98)+1400)+'Cálculos'!$F$123)*'Cálculos'!$F$235)+('Cálculos'!$F$201*(1+'Cálculos'!$F$202+$A178*('Cálculos'!$F$290=2)*'Cálculos'!$F$101)+'Cálculos'!$F$203)*('Cálculos'!$F$226+'Cálculos'!$F$124*(1+2.78*('Cálculos'!$F$197+(($B$225)-$A178)*'Cálculos'!$F$98)/(('Cálculos'!$F$197+(($B$225)-$A178)*'Cálculos'!$F$98)+1400)+'Cálculos'!$F$122)*'Cálculos'!$F$231+'Cálculos'!$F$125*(1+2.78*('Cálculos'!$F$197+(($B$225)-$A178)*'Cálculos'!$F$98)/(('Cálculos'!$F$197+(($B$225)-$A178)*'Cálculos'!$F$98)+1400)+'Cálculos'!$F$123)*'Cálculos'!$F$236)+('Cálculos'!$F$204*(1+'Cálculos'!$F$205+$A178*('Cálculos'!$F$290=3)*'Cálculos'!$F$103)+'Cálculos'!$F$206)*('Cálculos'!$F$227+'Cálculos'!$F$124*(1+2.78*('Cálculos'!$F$197+(($B$225)-$A178)*'Cálculos'!$F$98)/(('Cálculos'!$F$197+(($B$225)-$A178)*'Cálculos'!$F$98)+1400)+'Cálculos'!$F$122)*'Cálculos'!$F$232+'Cálculos'!$F$125*(1+2.78*('Cálculos'!$F$197+(($B$225)-$A178)*'Cálculos'!$F$98)/(('Cálculos'!$F$197+(($B$225)-$A178)*'Cálculos'!$F$98)+1400)+'Cálculos'!$F$123)*'Cálculos'!$F$237)+('Cálculos'!$F$228+'Cálculos'!$F$124*(1+2.78*('Cálculos'!$F$197+(($B$225)-$A178)*'Cálculos'!$F$98)/(('Cálculos'!$F$197+(($B$225)-$A178)*'Cálculos'!$F$98)+1400)+'Cálculos'!$F$122)*'Cálculos'!$F$233+'Cálculos'!$F$125*(1+2.78*('Cálculos'!$F$197+(($B$225)-$A178)*'Cálculos'!$F$98)/(('Cálculos'!$F$197+(($B$225)-$A178)*'Cálculos'!$F$98)+1400)+'Cálculos'!$F$123)*'Cálculos'!$F$238)+('Cálculos'!$F$185*(1+'Cálculos'!$F$188+$A178*('Cálculos'!$F$290=1)*'Cálculos'!$F$97+'Cálculos'!$F$305)+'Cálculos'!$F$193)*('Cálculos'!$F$239+'Cálculos'!$F$124*(1+2.78*('Cálculos'!$F$198+(($B$225)-$A178)*'Cálculos'!$F$98)/(('Cálculos'!$F$198+(($B$225)-$A178)*'Cálculos'!$F$98)+1400)+'Cálculos'!$F$122)*'Cálculos'!$F$244+'Cálculos'!$F$125*(1+2.78*('Cálculos'!$F$198+(($B$225)-$A178)*'Cálculos'!$F$98)/(('Cálculos'!$F$198+(($B$225)-$A178)*'Cálculos'!$F$98)+1400)+'Cálculos'!$F$123)*'Cálculos'!$F$249)+('Cálculos'!$F$198+(($B$225)-$A178)*'Cálculos'!$F$98)*('Cálculos'!$F$240+'Cálculos'!$F$124*(1+2.78*('Cálculos'!$F$198+(($B$225)-$A178)*'Cálculos'!$F$98)/(('Cálculos'!$F$198+(($B$225)-$A178)*'Cálculos'!$F$98)+1400)+'Cálculos'!$F$122)*'Cálculos'!$F$245+'Cálculos'!$F$125*(1+2.78*('Cálculos'!$F$198+(($B$225)-$A178)*'Cálculos'!$F$98)/(('Cálculos'!$F$198+(($B$225)-$A178)*'Cálculos'!$F$98)+1400)+'Cálculos'!$F$123)*'Cálculos'!$F$250)+('Cálculos'!$F$201*(1+'Cálculos'!$F$202+$A178*('Cálculos'!$F$290=2)*'Cálculos'!$F$101)+'Cálculos'!$F$203)*('Cálculos'!$F$241+'Cálculos'!$F$124*(1+2.78*('Cálculos'!$F$198+(($B$225)-$A178)*'Cálculos'!$F$98)/(('Cálculos'!$F$198+(($B$225)-$A178)*'Cálculos'!$F$98)+1400)+'Cálculos'!$F$122)*'Cálculos'!$F$246+'Cálculos'!$F$125*(1+2.78*('Cálculos'!$F$198+(($B$225)-$A178)*'Cálculos'!$F$98)/(('Cálculos'!$F$198+(($B$225)-$A178)*'Cálculos'!$F$98)+1400)+'Cálculos'!$F$123)*'Cálculos'!$F$251)+('Cálculos'!$F$204*(1+'Cálculos'!$F$205+$A178*('Cálculos'!$F$290=3)*'Cálculos'!$F$103)+'Cálculos'!$F$206)*('Cálculos'!$F$242+'Cálculos'!$F$124*(1+2.78*('Cálculos'!$F$198+(($B$225)-$A178)*'Cálculos'!$F$98)/(('Cálculos'!$F$198+(($B$225)-$A178)*'Cálculos'!$F$98)+1400)+'Cálculos'!$F$122)*'Cálculos'!$F$247+'Cálculos'!$F$125*(1+2.78*('Cálculos'!$F$198+(($B$225)-$A178)*'Cálculos'!$F$98)/(('Cálculos'!$F$198+(($B$225)-$A178)*'Cálculos'!$F$98)+1400)+'Cálculos'!$F$123)*'Cálculos'!$F$252)+('Cálculos'!$F$243+'Cálculos'!$F$124*(1+2.78*('Cálculos'!$F$198+(($B$225)-$A178)*'Cálculos'!$F$98)/(('Cálculos'!$F$198+(($B$225)-$A178)*'Cálculos'!$F$98)+1400)+'Cálculos'!$F$122)*'Cálculos'!$F$248+'Cálculos'!$F$125*(1+2.78*('Cálculos'!$F$198+(($B$225)-$A178)*'Cálculos'!$F$98)/(('Cálculos'!$F$198+(($B$225)-$A178)*'Cálculos'!$F$98)+1400)+'Cálculos'!$F$123)*'Cálculos'!$F$253)+('Cálculos'!$F$185*(1+'Cálculos'!$F$189+$A178*('Cálculos'!$F$290=1)*'Cálculos'!$F$97+'Cálculos'!$F$305)+'Cálculos'!$F$194)*('Cálculos'!$F$254+'Cálculos'!$F$124*(1+2.78*('Cálculos'!$F$199+(($B$225)-$A178)*'Cálculos'!$F$98)/(('Cálculos'!$F$199+(($B$225)-$A178)*'Cálculos'!$F$98)+1400)+'Cálculos'!$F$122)*'Cálculos'!$F$259+'Cálculos'!$F$125*(1+2.78*('Cálculos'!$F$199+(($B$225)-$A178)*'Cálculos'!$F$98)/(('Cálculos'!$F$199+(($B$225)-$A178)*'Cálculos'!$F$98)+1400)+'Cálculos'!$F$123)*'Cálculos'!$F$264)+('Cálculos'!$F$199+(($B$225)-$A178)*'Cálculos'!$F$98)*('Cálculos'!$F$255+'Cálculos'!$F$124*(1+2.78*('Cálculos'!$F$199+(($B$225)-$A178)*'Cálculos'!$F$98)/(('Cálculos'!$F$199+(($B$225)-$A178)*'Cálculos'!$F$98)+1400)+'Cálculos'!$F$122)*'Cálculos'!$F$260+'Cálculos'!$F$125*(1+2.78*('Cálculos'!$F$199+(($B$225)-$A178)*'Cálculos'!$F$98)/(('Cálculos'!$F$199+(($B$225)-$A178)*'Cálculos'!$F$98)+1400)+'Cálculos'!$F$123)*'Cálculos'!$F$265)+('Cálculos'!$F$201*(1+'Cálculos'!$F$202+$A178*('Cálculos'!$F$290=2)*'Cálculos'!$F$101)+'Cálculos'!$F$203)*('Cálculos'!$F$256+'Cálculos'!$F$124*(1+2.78*('Cálculos'!$F$199+(($B$225)-$A178)*'Cálculos'!$F$98)/(('Cálculos'!$F$199+(($B$225)-$A178)*'Cálculos'!$F$98)+1400)+'Cálculos'!$F$122)*'Cálculos'!$F$261+'Cálculos'!$F$125*(1+2.78*('Cálculos'!$F$199+(($B$225)-$A178)*'Cálculos'!$F$98)/(('Cálculos'!$F$199+(($B$225)-$A178)*'Cálculos'!$F$98)+1400)+'Cálculos'!$F$123)*'Cálculos'!$F$266)+('Cálculos'!$F$204*(1+'Cálculos'!$F$205+$A178*('Cálculos'!$F$290=3)*'Cálculos'!$F$103)+'Cálculos'!$F$206)*('Cálculos'!$F$257+'Cálculos'!$F$124*(1+2.78*('Cálculos'!$F$199+(($B$225)-$A178)*'Cálculos'!$F$98)/(('Cálculos'!$F$199+(($B$225)-$A178)*'Cálculos'!$F$98)+1400)+'Cálculos'!$F$122)*'Cálculos'!$F$262+'Cálculos'!$F$125*(1+2.78*('Cálculos'!$F$199+(($B$225)-$A178)*'Cálculos'!$F$98)/(('Cálculos'!$F$199+(($B$225)-$A178)*'Cálculos'!$F$98)+1400)+'Cálculos'!$F$123)*'Cálculos'!$F$267)+('Cálculos'!$F$258+'Cálculos'!$F$124*(1+2.78*('Cálculos'!$F$199+(($B$225)-$A178)*'Cálculos'!$F$98)/(('Cálculos'!$F$199+(($B$225)-$A178)*'Cálculos'!$F$98)+1400)+'Cálculos'!$F$122)*'Cálculos'!$F$263+'Cálculos'!$F$125*(1+2.78*('Cálculos'!$F$199+(($B$225)-$A178)*'Cálculos'!$F$98)/(('Cálculos'!$F$199+(($B$225)-$A178)*'Cálculos'!$F$98)+1400)+'Cálculos'!$F$123)*'Cálculos'!$F$268)+('Cálculos'!$F$185*(1+'Cálculos'!$F$190+$A178*('Cálculos'!$F$290=1)*'Cálculos'!$F$97+'Cálculos'!$F$305)+'Cálculos'!$F$195)*('Cálculos'!$F$269+'Cálculos'!$F$124*(1+2.78*('Cálculos'!$F$200+(($B$225)-$A178)*'Cálculos'!$F$98)/(('Cálculos'!$F$200+(($B$225)-$A178)*'Cálculos'!$F$98)+1400)+'Cálculos'!$F$122)*'Cálculos'!$F$274+'Cálculos'!$F$125*(1+2.78*('Cálculos'!$F$200+(($B$225)-$A178)*'Cálculos'!$F$98)/(('Cálculos'!$F$200+(($B$225)-$A178)*'Cálculos'!$F$98)+1400)+'Cálculos'!$F$123)*'Cálculos'!$F$279)+('Cálculos'!$F$200+(($B$225)-$A178)*'Cálculos'!$F$98)*('Cálculos'!$F$270+'Cálculos'!$F$124*(1+2.78*('Cálculos'!$F$200+(($B$225)-$A178)*'Cálculos'!$F$98)/(('Cálculos'!$F$200+(($B$225)-$A178)*'Cálculos'!$F$98)+1400)+'Cálculos'!$F$122)*'Cálculos'!$F$275+'Cálculos'!$F$125*(1+2.78*('Cálculos'!$F$200+(($B$225)-$A178)*'Cálculos'!$F$98)/(('Cálculos'!$F$200+(($B$225)-$A178)*'Cálculos'!$F$98)+1400)+'Cálculos'!$F$123)*'Cálculos'!$F$280)+('Cálculos'!$F$201*(1+'Cálculos'!$F$202+$A178*('Cálculos'!$F$290=2)*'Cálculos'!$F$101)+'Cálculos'!$F$203)*('Cálculos'!$F$271+'Cálculos'!$F$124*(1+2.78*('Cálculos'!$F$200+(($B$225)-$A178)*'Cálculos'!$F$98)/(('Cálculos'!$F$200+(($B$225)-$A178)*'Cálculos'!$F$98)+1400)+'Cálculos'!$F$122)*'Cálculos'!$F$276+'Cálculos'!$F$125*(1+2.78*('Cálculos'!$F$200+(($B$225)-$A178)*'Cálculos'!$F$98)/(('Cálculos'!$F$200+(($B$225)-$A178)*'Cálculos'!$F$98)+1400)+'Cálculos'!$F$123)*'Cálculos'!$F$281)+('Cálculos'!$F$204*(1+'Cálculos'!$F$205+$A178*('Cálculos'!$F$290=3)*'Cálculos'!$F$103)+'Cálculos'!$F$206)*('Cálculos'!$F$272+'Cálculos'!$F$124*(1+2.78*('Cálculos'!$F$200+(($B$225)-$A178)*'Cálculos'!$F$98)/(('Cálculos'!$F$200+(($B$225)-$A178)*'Cálculos'!$F$98)+1400)+'Cálculos'!$F$122)*'Cálculos'!$F$277+'Cálculos'!$F$125*(1+2.78*('Cálculos'!$F$200+(($B$225)-$A178)*'Cálculos'!$F$98)/(('Cálculos'!$F$200+(($B$225)-$A178)*'Cálculos'!$F$98)+1400)+'Cálculos'!$F$123)*'Cálculos'!$F$282)+('Cálculos'!$F$273+'Cálculos'!$F$124*(1+2.78*('Cálculos'!$F$200+(($B$225)-$A178)*'Cálculos'!$F$98)/(('Cálculos'!$F$200+(($B$225)-$A178)*'Cálculos'!$F$98)+1400)+'Cálculos'!$F$122)*'Cálculos'!$F$278+'Cálculos'!$F$125*(1+2.78*('Cálculos'!$F$200+(($B$225)-$A178)*'Cálculos'!$F$98)/(('Cálculos'!$F$200+(($B$225)-$A178)*'Cálculos'!$F$98)+1400)+'Cálculos'!$F$123)*'Cálculos'!$F$283)))</f>
        <v>0</v>
      </c>
    </row>
    <row r="179" ht="15.75" customHeight="1">
      <c r="A179" s="2">
        <v>2.0</v>
      </c>
      <c r="B179" s="30">
        <f>SUMPRODUCT(MAX(($A$177:$A$222&lt;=$A179)*($A$177:$A$222&lt;='Cálculos'!$F$294)*(($A179)-$A$177:$A$222&lt;='Cálculos'!$F$295)*(1+(('Cálculos'!$F$207+$A$177:$A$222*'Cálculos'!$F$95)-(('Cálculos'!$F$207+$A$177:$A$222*'Cálculos'!$F$95)&gt;1)*(('Cálculos'!$F$207+$A$177:$A$222*'Cálculos'!$F$95)-1))*('Cálculos'!$F$208+(($A179)-$A$177:$A$222)*'Cálculos'!$F$96))))</f>
        <v>1.627589</v>
      </c>
      <c r="C179" s="2">
        <f>'Cálculos'!$F$303-$A179</f>
        <v>16</v>
      </c>
      <c r="D179" s="31">
        <f>IF($C179&lt;0,0,SUMPRODUCT(MAX(($A$177:$A$222&lt;=$C179)*($A$177:$A$222&lt;='Cálculos'!$F$301)*(($C179)-$A$177:$A$222&lt;='Cálculos'!$F$297)*(('Cálculos'!$F$185*(1+'Cálculos'!$F$186+$A$177:$A$222*('Cálculos'!$F$290=1)*'Cálculos'!$F$97+'Cálculos'!$F$305)+'Cálculos'!$F$191)*('Cálculos'!$F$209+'Cálculos'!$F$124*(1+2.78*('Cálculos'!$F$196+(($C179)-$A$177:$A$222)*'Cálculos'!$F$98)/(('Cálculos'!$F$196+(($C179)-$A$177:$A$222)*'Cálculos'!$F$98)+1400)+'Cálculos'!$F$122)*'Cálculos'!$F$214+'Cálculos'!$F$125*(1+2.78*('Cálculos'!$F$196+(($C179)-$A$177:$A$222)*'Cálculos'!$F$98)/(('Cálculos'!$F$196+(($C179)-$A$177:$A$222)*'Cálculos'!$F$98)+1400)+'Cálculos'!$F$123)*'Cálculos'!$F$219)+('Cálculos'!$F$196+(($C179)-$A$177:$A$222)*'Cálculos'!$F$98)*('Cálculos'!$F$210+'Cálculos'!$F$124*(1+2.78*('Cálculos'!$F$196+(($C179)-$A$177:$A$222)*'Cálculos'!$F$98)/(('Cálculos'!$F$196+(($C179)-$A$177:$A$222)*'Cálculos'!$F$98)+1400)+'Cálculos'!$F$122)*'Cálculos'!$F$215+'Cálculos'!$F$125*(1+2.78*('Cálculos'!$F$196+(($C179)-$A$177:$A$222)*'Cálculos'!$F$98)/(('Cálculos'!$F$196+(($C179)-$A$177:$A$222)*'Cálculos'!$F$98)+1400)+'Cálculos'!$F$123)*'Cálculos'!$F$220)+('Cálculos'!$F$201*(1+'Cálculos'!$F$202+$A$177:$A$222*('Cálculos'!$F$290=2)*'Cálculos'!$F$101)+'Cálculos'!$F$203)*('Cálculos'!$F$211+'Cálculos'!$F$124*(1+2.78*('Cálculos'!$F$196+(($C179)-$A$177:$A$222)*'Cálculos'!$F$98)/(('Cálculos'!$F$196+(($C179)-$A$177:$A$222)*'Cálculos'!$F$98)+1400)+'Cálculos'!$F$122)*'Cálculos'!$F$216+'Cálculos'!$F$125*(1+2.78*('Cálculos'!$F$196+(($C179)-$A$177:$A$222)*'Cálculos'!$F$98)/(('Cálculos'!$F$196+(($C179)-$A$177:$A$222)*'Cálculos'!$F$98)+1400)+'Cálculos'!$F$123)*'Cálculos'!$F$221)+('Cálculos'!$F$204*(1+'Cálculos'!$F$205+$A$177:$A$222*('Cálculos'!$F$290=3)*'Cálculos'!$F$103)+'Cálculos'!$F$206)*('Cálculos'!$F$212+'Cálculos'!$F$124*(1+2.78*('Cálculos'!$F$196+(($C179)-$A$177:$A$222)*'Cálculos'!$F$98)/(('Cálculos'!$F$196+(($C179)-$A$177:$A$222)*'Cálculos'!$F$98)+1400)+'Cálculos'!$F$122)*'Cálculos'!$F$217+'Cálculos'!$F$125*(1+2.78*('Cálculos'!$F$196+(($C179)-$A$177:$A$222)*'Cálculos'!$F$98)/(('Cálculos'!$F$196+(($C179)-$A$177:$A$222)*'Cálculos'!$F$98)+1400)+'Cálculos'!$F$123)*'Cálculos'!$F$222)+('Cálculos'!$F$213+'Cálculos'!$F$124*(1+2.78*('Cálculos'!$F$196+(($C179)-$A$177:$A$222)*'Cálculos'!$F$98)/(('Cálculos'!$F$196+(($C179)-$A$177:$A$222)*'Cálculos'!$F$98)+1400)+'Cálculos'!$F$122)*'Cálculos'!$F$218+'Cálculos'!$F$125*(1+2.78*('Cálculos'!$F$196+(($C179)-$A$177:$A$222)*'Cálculos'!$F$98)/(('Cálculos'!$F$196+(($C179)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179)-$A$177:$A$222)*'Cálculos'!$F$98)/(('Cálculos'!$F$197+(($C179)-$A$177:$A$222)*'Cálculos'!$F$98)+1400)+'Cálculos'!$F$122)*'Cálculos'!$F$229+'Cálculos'!$F$125*(1+2.78*('Cálculos'!$F$197+(($C179)-$A$177:$A$222)*'Cálculos'!$F$98)/(('Cálculos'!$F$197+(($C179)-$A$177:$A$222)*'Cálculos'!$F$98)+1400)+'Cálculos'!$F$123)*'Cálculos'!$F$234)+('Cálculos'!$F$197+(($C179)-$A$177:$A$222)*'Cálculos'!$F$98)*('Cálculos'!$F$225+'Cálculos'!$F$124*(1+2.78*('Cálculos'!$F$197+(($C179)-$A$177:$A$222)*'Cálculos'!$F$98)/(('Cálculos'!$F$197+(($C179)-$A$177:$A$222)*'Cálculos'!$F$98)+1400)+'Cálculos'!$F$122)*'Cálculos'!$F$230+'Cálculos'!$F$125*(1+2.78*('Cálculos'!$F$197+(($C179)-$A$177:$A$222)*'Cálculos'!$F$98)/(('Cálculos'!$F$197+(($C179)-$A$177:$A$222)*'Cálculos'!$F$98)+1400)+'Cálculos'!$F$123)*'Cálculos'!$F$235)+('Cálculos'!$F$201*(1+'Cálculos'!$F$202+$A$177:$A$222*('Cálculos'!$F$290=2)*'Cálculos'!$F$101)+'Cálculos'!$F$203)*('Cálculos'!$F$226+'Cálculos'!$F$124*(1+2.78*('Cálculos'!$F$197+(($C179)-$A$177:$A$222)*'Cálculos'!$F$98)/(('Cálculos'!$F$197+(($C179)-$A$177:$A$222)*'Cálculos'!$F$98)+1400)+'Cálculos'!$F$122)*'Cálculos'!$F$231+'Cálculos'!$F$125*(1+2.78*('Cálculos'!$F$197+(($C179)-$A$177:$A$222)*'Cálculos'!$F$98)/(('Cálculos'!$F$197+(($C179)-$A$177:$A$222)*'Cálculos'!$F$98)+1400)+'Cálculos'!$F$123)*'Cálculos'!$F$236)+('Cálculos'!$F$204*(1+'Cálculos'!$F$205+$A$177:$A$222*('Cálculos'!$F$290=3)*'Cálculos'!$F$103)+'Cálculos'!$F$206)*('Cálculos'!$F$227+'Cálculos'!$F$124*(1+2.78*('Cálculos'!$F$197+(($C179)-$A$177:$A$222)*'Cálculos'!$F$98)/(('Cálculos'!$F$197+(($C179)-$A$177:$A$222)*'Cálculos'!$F$98)+1400)+'Cálculos'!$F$122)*'Cálculos'!$F$232+'Cálculos'!$F$125*(1+2.78*('Cálculos'!$F$197+(($C179)-$A$177:$A$222)*'Cálculos'!$F$98)/(('Cálculos'!$F$197+(($C179)-$A$177:$A$222)*'Cálculos'!$F$98)+1400)+'Cálculos'!$F$123)*'Cálculos'!$F$237)+('Cálculos'!$F$228+'Cálculos'!$F$124*(1+2.78*('Cálculos'!$F$197+(($C179)-$A$177:$A$222)*'Cálculos'!$F$98)/(('Cálculos'!$F$197+(($C179)-$A$177:$A$222)*'Cálculos'!$F$98)+1400)+'Cálculos'!$F$122)*'Cálculos'!$F$233+'Cálculos'!$F$125*(1+2.78*('Cálculos'!$F$197+(($C179)-$A$177:$A$222)*'Cálculos'!$F$98)/(('Cálculos'!$F$197+(($C179)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179)-$A$177:$A$222)*'Cálculos'!$F$98)/(('Cálculos'!$F$198+(($C179)-$A$177:$A$222)*'Cálculos'!$F$98)+1400)+'Cálculos'!$F$122)*'Cálculos'!$F$244+'Cálculos'!$F$125*(1+2.78*('Cálculos'!$F$198+(($C179)-$A$177:$A$222)*'Cálculos'!$F$98)/(('Cálculos'!$F$198+(($C179)-$A$177:$A$222)*'Cálculos'!$F$98)+1400)+'Cálculos'!$F$123)*'Cálculos'!$F$249)+('Cálculos'!$F$198+(($C179)-$A$177:$A$222)*'Cálculos'!$F$98)*('Cálculos'!$F$240+'Cálculos'!$F$124*(1+2.78*('Cálculos'!$F$198+(($C179)-$A$177:$A$222)*'Cálculos'!$F$98)/(('Cálculos'!$F$198+(($C179)-$A$177:$A$222)*'Cálculos'!$F$98)+1400)+'Cálculos'!$F$122)*'Cálculos'!$F$245+'Cálculos'!$F$125*(1+2.78*('Cálculos'!$F$198+(($C179)-$A$177:$A$222)*'Cálculos'!$F$98)/(('Cálculos'!$F$198+(($C179)-$A$177:$A$222)*'Cálculos'!$F$98)+1400)+'Cálculos'!$F$123)*'Cálculos'!$F$250)+('Cálculos'!$F$201*(1+'Cálculos'!$F$202+$A$177:$A$222*('Cálculos'!$F$290=2)*'Cálculos'!$F$101)+'Cálculos'!$F$203)*('Cálculos'!$F$241+'Cálculos'!$F$124*(1+2.78*('Cálculos'!$F$198+(($C179)-$A$177:$A$222)*'Cálculos'!$F$98)/(('Cálculos'!$F$198+(($C179)-$A$177:$A$222)*'Cálculos'!$F$98)+1400)+'Cálculos'!$F$122)*'Cálculos'!$F$246+'Cálculos'!$F$125*(1+2.78*('Cálculos'!$F$198+(($C179)-$A$177:$A$222)*'Cálculos'!$F$98)/(('Cálculos'!$F$198+(($C179)-$A$177:$A$222)*'Cálculos'!$F$98)+1400)+'Cálculos'!$F$123)*'Cálculos'!$F$251)+('Cálculos'!$F$204*(1+'Cálculos'!$F$205+$A$177:$A$222*('Cálculos'!$F$290=3)*'Cálculos'!$F$103)+'Cálculos'!$F$206)*('Cálculos'!$F$242+'Cálculos'!$F$124*(1+2.78*('Cálculos'!$F$198+(($C179)-$A$177:$A$222)*'Cálculos'!$F$98)/(('Cálculos'!$F$198+(($C179)-$A$177:$A$222)*'Cálculos'!$F$98)+1400)+'Cálculos'!$F$122)*'Cálculos'!$F$247+'Cálculos'!$F$125*(1+2.78*('Cálculos'!$F$198+(($C179)-$A$177:$A$222)*'Cálculos'!$F$98)/(('Cálculos'!$F$198+(($C179)-$A$177:$A$222)*'Cálculos'!$F$98)+1400)+'Cálculos'!$F$123)*'Cálculos'!$F$252)+('Cálculos'!$F$243+'Cálculos'!$F$124*(1+2.78*('Cálculos'!$F$198+(($C179)-$A$177:$A$222)*'Cálculos'!$F$98)/(('Cálculos'!$F$198+(($C179)-$A$177:$A$222)*'Cálculos'!$F$98)+1400)+'Cálculos'!$F$122)*'Cálculos'!$F$248+'Cálculos'!$F$125*(1+2.78*('Cálculos'!$F$198+(($C179)-$A$177:$A$222)*'Cálculos'!$F$98)/(('Cálculos'!$F$198+(($C179)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179)-$A$177:$A$222)*'Cálculos'!$F$98)/(('Cálculos'!$F$199+(($C179)-$A$177:$A$222)*'Cálculos'!$F$98)+1400)+'Cálculos'!$F$122)*'Cálculos'!$F$259+'Cálculos'!$F$125*(1+2.78*('Cálculos'!$F$199+(($C179)-$A$177:$A$222)*'Cálculos'!$F$98)/(('Cálculos'!$F$199+(($C179)-$A$177:$A$222)*'Cálculos'!$F$98)+1400)+'Cálculos'!$F$123)*'Cálculos'!$F$264)+('Cálculos'!$F$199+(($C179)-$A$177:$A$222)*'Cálculos'!$F$98)*('Cálculos'!$F$255+'Cálculos'!$F$124*(1+2.78*('Cálculos'!$F$199+(($C179)-$A$177:$A$222)*'Cálculos'!$F$98)/(('Cálculos'!$F$199+(($C179)-$A$177:$A$222)*'Cálculos'!$F$98)+1400)+'Cálculos'!$F$122)*'Cálculos'!$F$260+'Cálculos'!$F$125*(1+2.78*('Cálculos'!$F$199+(($C179)-$A$177:$A$222)*'Cálculos'!$F$98)/(('Cálculos'!$F$199+(($C179)-$A$177:$A$222)*'Cálculos'!$F$98)+1400)+'Cálculos'!$F$123)*'Cálculos'!$F$265)+('Cálculos'!$F$201*(1+'Cálculos'!$F$202+$A$177:$A$222*('Cálculos'!$F$290=2)*'Cálculos'!$F$101)+'Cálculos'!$F$203)*('Cálculos'!$F$256+'Cálculos'!$F$124*(1+2.78*('Cálculos'!$F$199+(($C179)-$A$177:$A$222)*'Cálculos'!$F$98)/(('Cálculos'!$F$199+(($C179)-$A$177:$A$222)*'Cálculos'!$F$98)+1400)+'Cálculos'!$F$122)*'Cálculos'!$F$261+'Cálculos'!$F$125*(1+2.78*('Cálculos'!$F$199+(($C179)-$A$177:$A$222)*'Cálculos'!$F$98)/(('Cálculos'!$F$199+(($C179)-$A$177:$A$222)*'Cálculos'!$F$98)+1400)+'Cálculos'!$F$123)*'Cálculos'!$F$266)+('Cálculos'!$F$204*(1+'Cálculos'!$F$205+$A$177:$A$222*('Cálculos'!$F$290=3)*'Cálculos'!$F$103)+'Cálculos'!$F$206)*('Cálculos'!$F$257+'Cálculos'!$F$124*(1+2.78*('Cálculos'!$F$199+(($C179)-$A$177:$A$222)*'Cálculos'!$F$98)/(('Cálculos'!$F$199+(($C179)-$A$177:$A$222)*'Cálculos'!$F$98)+1400)+'Cálculos'!$F$122)*'Cálculos'!$F$262+'Cálculos'!$F$125*(1+2.78*('Cálculos'!$F$199+(($C179)-$A$177:$A$222)*'Cálculos'!$F$98)/(('Cálculos'!$F$199+(($C179)-$A$177:$A$222)*'Cálculos'!$F$98)+1400)+'Cálculos'!$F$123)*'Cálculos'!$F$267)+('Cálculos'!$F$258+'Cálculos'!$F$124*(1+2.78*('Cálculos'!$F$199+(($C179)-$A$177:$A$222)*'Cálculos'!$F$98)/(('Cálculos'!$F$199+(($C179)-$A$177:$A$222)*'Cálculos'!$F$98)+1400)+'Cálculos'!$F$122)*'Cálculos'!$F$263+'Cálculos'!$F$125*(1+2.78*('Cálculos'!$F$199+(($C179)-$A$177:$A$222)*'Cálculos'!$F$98)/(('Cálculos'!$F$199+(($C179)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179)-$A$177:$A$222)*'Cálculos'!$F$98)/(('Cálculos'!$F$200+(($C179)-$A$177:$A$222)*'Cálculos'!$F$98)+1400)+'Cálculos'!$F$122)*'Cálculos'!$F$274+'Cálculos'!$F$125*(1+2.78*('Cálculos'!$F$200+(($C179)-$A$177:$A$222)*'Cálculos'!$F$98)/(('Cálculos'!$F$200+(($C179)-$A$177:$A$222)*'Cálculos'!$F$98)+1400)+'Cálculos'!$F$123)*'Cálculos'!$F$279)+('Cálculos'!$F$200+(($C179)-$A$177:$A$222)*'Cálculos'!$F$98)*('Cálculos'!$F$270+'Cálculos'!$F$124*(1+2.78*('Cálculos'!$F$200+(($C179)-$A$177:$A$222)*'Cálculos'!$F$98)/(('Cálculos'!$F$200+(($C179)-$A$177:$A$222)*'Cálculos'!$F$98)+1400)+'Cálculos'!$F$122)*'Cálculos'!$F$275+'Cálculos'!$F$125*(1+2.78*('Cálculos'!$F$200+(($C179)-$A$177:$A$222)*'Cálculos'!$F$98)/(('Cálculos'!$F$200+(($C179)-$A$177:$A$222)*'Cálculos'!$F$98)+1400)+'Cálculos'!$F$123)*'Cálculos'!$F$280)+('Cálculos'!$F$201*(1+'Cálculos'!$F$202+$A$177:$A$222*('Cálculos'!$F$290=2)*'Cálculos'!$F$101)+'Cálculos'!$F$203)*('Cálculos'!$F$271+'Cálculos'!$F$124*(1+2.78*('Cálculos'!$F$200+(($C179)-$A$177:$A$222)*'Cálculos'!$F$98)/(('Cálculos'!$F$200+(($C179)-$A$177:$A$222)*'Cálculos'!$F$98)+1400)+'Cálculos'!$F$122)*'Cálculos'!$F$276+'Cálculos'!$F$125*(1+2.78*('Cálculos'!$F$200+(($C179)-$A$177:$A$222)*'Cálculos'!$F$98)/(('Cálculos'!$F$200+(($C179)-$A$177:$A$222)*'Cálculos'!$F$98)+1400)+'Cálculos'!$F$123)*'Cálculos'!$F$281)+('Cálculos'!$F$204*(1+'Cálculos'!$F$205+$A$177:$A$222*('Cálculos'!$F$290=3)*'Cálculos'!$F$103)+'Cálculos'!$F$206)*('Cálculos'!$F$272+'Cálculos'!$F$124*(1+2.78*('Cálculos'!$F$200+(($C179)-$A$177:$A$222)*'Cálculos'!$F$98)/(('Cálculos'!$F$200+(($C179)-$A$177:$A$222)*'Cálculos'!$F$98)+1400)+'Cálculos'!$F$122)*'Cálculos'!$F$277+'Cálculos'!$F$125*(1+2.78*('Cálculos'!$F$200+(($C179)-$A$177:$A$222)*'Cálculos'!$F$98)/(('Cálculos'!$F$200+(($C179)-$A$177:$A$222)*'Cálculos'!$F$98)+1400)+'Cálculos'!$F$123)*'Cálculos'!$F$282)+('Cálculos'!$F$273+'Cálculos'!$F$124*(1+2.78*('Cálculos'!$F$200+(($C179)-$A$177:$A$222)*'Cálculos'!$F$98)/(('Cálculos'!$F$200+(($C179)-$A$177:$A$222)*'Cálculos'!$F$98)+1400)+'Cálculos'!$F$122)*'Cálculos'!$F$278+'Cálculos'!$F$125*(1+2.78*('Cálculos'!$F$200+(($C179)-$A$177:$A$222)*'Cálculos'!$F$98)/(('Cálculos'!$F$200+(($C179)-$A$177:$A$222)*'Cálculos'!$F$98)+1400)+'Cálculos'!$F$123)*'Cálculos'!$F$283)))))</f>
        <v>22927.2156</v>
      </c>
      <c r="E179" s="32">
        <f>IF(OR($C179&lt;0,'Cálculos'!$F$6=""),0,$B179*$D179)</f>
        <v>37316.08392</v>
      </c>
      <c r="F179" s="2"/>
      <c r="G179" s="30">
        <f>($A179&lt;=$B$224)*($A179&lt;='Cálculos'!$F$294)*(($B$224)-$A179&lt;='Cálculos'!$F$295)*(1+MIN(('Cálculos'!$F$207+$A179*'Cálculos'!$F$95),1)*('Cálculos'!$F$208+(($B$224)-$A179)*'Cálculos'!$F$96))</f>
        <v>2.148197</v>
      </c>
      <c r="H179" s="31">
        <f>IF($B$225&lt;0,0,($A179&lt;=$B$225)*($A179&lt;='Cálculos'!$F$301)*(($B$225)-$A179&lt;='Cálculos'!$F$297)*(('Cálculos'!$F$185*(1+'Cálculos'!$F$186+$A179*('Cálculos'!$F$290=1)*'Cálculos'!$F$97+'Cálculos'!$F$305)+'Cálculos'!$F$191)*('Cálculos'!$F$209+'Cálculos'!$F$124*(1+2.78*('Cálculos'!$F$196+(($B$225)-$A179)*'Cálculos'!$F$98)/(('Cálculos'!$F$196+(($B$225)-$A179)*'Cálculos'!$F$98)+1400)+'Cálculos'!$F$122)*'Cálculos'!$F$214+'Cálculos'!$F$125*(1+2.78*('Cálculos'!$F$196+(($B$225)-$A179)*'Cálculos'!$F$98)/(('Cálculos'!$F$196+(($B$225)-$A179)*'Cálculos'!$F$98)+1400)+'Cálculos'!$F$123)*'Cálculos'!$F$219)+('Cálculos'!$F$196+(($B$225)-$A179)*'Cálculos'!$F$98)*('Cálculos'!$F$210+'Cálculos'!$F$124*(1+2.78*('Cálculos'!$F$196+(($B$225)-$A179)*'Cálculos'!$F$98)/(('Cálculos'!$F$196+(($B$225)-$A179)*'Cálculos'!$F$98)+1400)+'Cálculos'!$F$122)*'Cálculos'!$F$215+'Cálculos'!$F$125*(1+2.78*('Cálculos'!$F$196+(($B$225)-$A179)*'Cálculos'!$F$98)/(('Cálculos'!$F$196+(($B$225)-$A179)*'Cálculos'!$F$98)+1400)+'Cálculos'!$F$123)*'Cálculos'!$F$220)+('Cálculos'!$F$201*(1+'Cálculos'!$F$202+$A179*('Cálculos'!$F$290=2)*'Cálculos'!$F$101)+'Cálculos'!$F$203)*('Cálculos'!$F$211+'Cálculos'!$F$124*(1+2.78*('Cálculos'!$F$196+(($B$225)-$A179)*'Cálculos'!$F$98)/(('Cálculos'!$F$196+(($B$225)-$A179)*'Cálculos'!$F$98)+1400)+'Cálculos'!$F$122)*'Cálculos'!$F$216+'Cálculos'!$F$125*(1+2.78*('Cálculos'!$F$196+(($B$225)-$A179)*'Cálculos'!$F$98)/(('Cálculos'!$F$196+(($B$225)-$A179)*'Cálculos'!$F$98)+1400)+'Cálculos'!$F$123)*'Cálculos'!$F$221)+('Cálculos'!$F$204*(1+'Cálculos'!$F$205+$A179*('Cálculos'!$F$290=3)*'Cálculos'!$F$103)+'Cálculos'!$F$206)*('Cálculos'!$F$212+'Cálculos'!$F$124*(1+2.78*('Cálculos'!$F$196+(($B$225)-$A179)*'Cálculos'!$F$98)/(('Cálculos'!$F$196+(($B$225)-$A179)*'Cálculos'!$F$98)+1400)+'Cálculos'!$F$122)*'Cálculos'!$F$217+'Cálculos'!$F$125*(1+2.78*('Cálculos'!$F$196+(($B$225)-$A179)*'Cálculos'!$F$98)/(('Cálculos'!$F$196+(($B$225)-$A179)*'Cálculos'!$F$98)+1400)+'Cálculos'!$F$123)*'Cálculos'!$F$222)+('Cálculos'!$F$213+'Cálculos'!$F$124*(1+2.78*('Cálculos'!$F$196+(($B$225)-$A179)*'Cálculos'!$F$98)/(('Cálculos'!$F$196+(($B$225)-$A179)*'Cálculos'!$F$98)+1400)+'Cálculos'!$F$122)*'Cálculos'!$F$218+'Cálculos'!$F$125*(1+2.78*('Cálculos'!$F$196+(($B$225)-$A179)*'Cálculos'!$F$98)/(('Cálculos'!$F$196+(($B$225)-$A179)*'Cálculos'!$F$98)+1400)+'Cálculos'!$F$123)*'Cálculos'!$F$223)+('Cálculos'!$F$185*(1+'Cálculos'!$F$187+$A179*('Cálculos'!$F$290=1)*'Cálculos'!$F$97+'Cálculos'!$F$305)+'Cálculos'!$F$192)*('Cálculos'!$F$224+'Cálculos'!$F$124*(1+2.78*('Cálculos'!$F$197+(($B$225)-$A179)*'Cálculos'!$F$98)/(('Cálculos'!$F$197+(($B$225)-$A179)*'Cálculos'!$F$98)+1400)+'Cálculos'!$F$122)*'Cálculos'!$F$229+'Cálculos'!$F$125*(1+2.78*('Cálculos'!$F$197+(($B$225)-$A179)*'Cálculos'!$F$98)/(('Cálculos'!$F$197+(($B$225)-$A179)*'Cálculos'!$F$98)+1400)+'Cálculos'!$F$123)*'Cálculos'!$F$234)+('Cálculos'!$F$197+(($B$225)-$A179)*'Cálculos'!$F$98)*('Cálculos'!$F$225+'Cálculos'!$F$124*(1+2.78*('Cálculos'!$F$197+(($B$225)-$A179)*'Cálculos'!$F$98)/(('Cálculos'!$F$197+(($B$225)-$A179)*'Cálculos'!$F$98)+1400)+'Cálculos'!$F$122)*'Cálculos'!$F$230+'Cálculos'!$F$125*(1+2.78*('Cálculos'!$F$197+(($B$225)-$A179)*'Cálculos'!$F$98)/(('Cálculos'!$F$197+(($B$225)-$A179)*'Cálculos'!$F$98)+1400)+'Cálculos'!$F$123)*'Cálculos'!$F$235)+('Cálculos'!$F$201*(1+'Cálculos'!$F$202+$A179*('Cálculos'!$F$290=2)*'Cálculos'!$F$101)+'Cálculos'!$F$203)*('Cálculos'!$F$226+'Cálculos'!$F$124*(1+2.78*('Cálculos'!$F$197+(($B$225)-$A179)*'Cálculos'!$F$98)/(('Cálculos'!$F$197+(($B$225)-$A179)*'Cálculos'!$F$98)+1400)+'Cálculos'!$F$122)*'Cálculos'!$F$231+'Cálculos'!$F$125*(1+2.78*('Cálculos'!$F$197+(($B$225)-$A179)*'Cálculos'!$F$98)/(('Cálculos'!$F$197+(($B$225)-$A179)*'Cálculos'!$F$98)+1400)+'Cálculos'!$F$123)*'Cálculos'!$F$236)+('Cálculos'!$F$204*(1+'Cálculos'!$F$205+$A179*('Cálculos'!$F$290=3)*'Cálculos'!$F$103)+'Cálculos'!$F$206)*('Cálculos'!$F$227+'Cálculos'!$F$124*(1+2.78*('Cálculos'!$F$197+(($B$225)-$A179)*'Cálculos'!$F$98)/(('Cálculos'!$F$197+(($B$225)-$A179)*'Cálculos'!$F$98)+1400)+'Cálculos'!$F$122)*'Cálculos'!$F$232+'Cálculos'!$F$125*(1+2.78*('Cálculos'!$F$197+(($B$225)-$A179)*'Cálculos'!$F$98)/(('Cálculos'!$F$197+(($B$225)-$A179)*'Cálculos'!$F$98)+1400)+'Cálculos'!$F$123)*'Cálculos'!$F$237)+('Cálculos'!$F$228+'Cálculos'!$F$124*(1+2.78*('Cálculos'!$F$197+(($B$225)-$A179)*'Cálculos'!$F$98)/(('Cálculos'!$F$197+(($B$225)-$A179)*'Cálculos'!$F$98)+1400)+'Cálculos'!$F$122)*'Cálculos'!$F$233+'Cálculos'!$F$125*(1+2.78*('Cálculos'!$F$197+(($B$225)-$A179)*'Cálculos'!$F$98)/(('Cálculos'!$F$197+(($B$225)-$A179)*'Cálculos'!$F$98)+1400)+'Cálculos'!$F$123)*'Cálculos'!$F$238)+('Cálculos'!$F$185*(1+'Cálculos'!$F$188+$A179*('Cálculos'!$F$290=1)*'Cálculos'!$F$97+'Cálculos'!$F$305)+'Cálculos'!$F$193)*('Cálculos'!$F$239+'Cálculos'!$F$124*(1+2.78*('Cálculos'!$F$198+(($B$225)-$A179)*'Cálculos'!$F$98)/(('Cálculos'!$F$198+(($B$225)-$A179)*'Cálculos'!$F$98)+1400)+'Cálculos'!$F$122)*'Cálculos'!$F$244+'Cálculos'!$F$125*(1+2.78*('Cálculos'!$F$198+(($B$225)-$A179)*'Cálculos'!$F$98)/(('Cálculos'!$F$198+(($B$225)-$A179)*'Cálculos'!$F$98)+1400)+'Cálculos'!$F$123)*'Cálculos'!$F$249)+('Cálculos'!$F$198+(($B$225)-$A179)*'Cálculos'!$F$98)*('Cálculos'!$F$240+'Cálculos'!$F$124*(1+2.78*('Cálculos'!$F$198+(($B$225)-$A179)*'Cálculos'!$F$98)/(('Cálculos'!$F$198+(($B$225)-$A179)*'Cálculos'!$F$98)+1400)+'Cálculos'!$F$122)*'Cálculos'!$F$245+'Cálculos'!$F$125*(1+2.78*('Cálculos'!$F$198+(($B$225)-$A179)*'Cálculos'!$F$98)/(('Cálculos'!$F$198+(($B$225)-$A179)*'Cálculos'!$F$98)+1400)+'Cálculos'!$F$123)*'Cálculos'!$F$250)+('Cálculos'!$F$201*(1+'Cálculos'!$F$202+$A179*('Cálculos'!$F$290=2)*'Cálculos'!$F$101)+'Cálculos'!$F$203)*('Cálculos'!$F$241+'Cálculos'!$F$124*(1+2.78*('Cálculos'!$F$198+(($B$225)-$A179)*'Cálculos'!$F$98)/(('Cálculos'!$F$198+(($B$225)-$A179)*'Cálculos'!$F$98)+1400)+'Cálculos'!$F$122)*'Cálculos'!$F$246+'Cálculos'!$F$125*(1+2.78*('Cálculos'!$F$198+(($B$225)-$A179)*'Cálculos'!$F$98)/(('Cálculos'!$F$198+(($B$225)-$A179)*'Cálculos'!$F$98)+1400)+'Cálculos'!$F$123)*'Cálculos'!$F$251)+('Cálculos'!$F$204*(1+'Cálculos'!$F$205+$A179*('Cálculos'!$F$290=3)*'Cálculos'!$F$103)+'Cálculos'!$F$206)*('Cálculos'!$F$242+'Cálculos'!$F$124*(1+2.78*('Cálculos'!$F$198+(($B$225)-$A179)*'Cálculos'!$F$98)/(('Cálculos'!$F$198+(($B$225)-$A179)*'Cálculos'!$F$98)+1400)+'Cálculos'!$F$122)*'Cálculos'!$F$247+'Cálculos'!$F$125*(1+2.78*('Cálculos'!$F$198+(($B$225)-$A179)*'Cálculos'!$F$98)/(('Cálculos'!$F$198+(($B$225)-$A179)*'Cálculos'!$F$98)+1400)+'Cálculos'!$F$123)*'Cálculos'!$F$252)+('Cálculos'!$F$243+'Cálculos'!$F$124*(1+2.78*('Cálculos'!$F$198+(($B$225)-$A179)*'Cálculos'!$F$98)/(('Cálculos'!$F$198+(($B$225)-$A179)*'Cálculos'!$F$98)+1400)+'Cálculos'!$F$122)*'Cálculos'!$F$248+'Cálculos'!$F$125*(1+2.78*('Cálculos'!$F$198+(($B$225)-$A179)*'Cálculos'!$F$98)/(('Cálculos'!$F$198+(($B$225)-$A179)*'Cálculos'!$F$98)+1400)+'Cálculos'!$F$123)*'Cálculos'!$F$253)+('Cálculos'!$F$185*(1+'Cálculos'!$F$189+$A179*('Cálculos'!$F$290=1)*'Cálculos'!$F$97+'Cálculos'!$F$305)+'Cálculos'!$F$194)*('Cálculos'!$F$254+'Cálculos'!$F$124*(1+2.78*('Cálculos'!$F$199+(($B$225)-$A179)*'Cálculos'!$F$98)/(('Cálculos'!$F$199+(($B$225)-$A179)*'Cálculos'!$F$98)+1400)+'Cálculos'!$F$122)*'Cálculos'!$F$259+'Cálculos'!$F$125*(1+2.78*('Cálculos'!$F$199+(($B$225)-$A179)*'Cálculos'!$F$98)/(('Cálculos'!$F$199+(($B$225)-$A179)*'Cálculos'!$F$98)+1400)+'Cálculos'!$F$123)*'Cálculos'!$F$264)+('Cálculos'!$F$199+(($B$225)-$A179)*'Cálculos'!$F$98)*('Cálculos'!$F$255+'Cálculos'!$F$124*(1+2.78*('Cálculos'!$F$199+(($B$225)-$A179)*'Cálculos'!$F$98)/(('Cálculos'!$F$199+(($B$225)-$A179)*'Cálculos'!$F$98)+1400)+'Cálculos'!$F$122)*'Cálculos'!$F$260+'Cálculos'!$F$125*(1+2.78*('Cálculos'!$F$199+(($B$225)-$A179)*'Cálculos'!$F$98)/(('Cálculos'!$F$199+(($B$225)-$A179)*'Cálculos'!$F$98)+1400)+'Cálculos'!$F$123)*'Cálculos'!$F$265)+('Cálculos'!$F$201*(1+'Cálculos'!$F$202+$A179*('Cálculos'!$F$290=2)*'Cálculos'!$F$101)+'Cálculos'!$F$203)*('Cálculos'!$F$256+'Cálculos'!$F$124*(1+2.78*('Cálculos'!$F$199+(($B$225)-$A179)*'Cálculos'!$F$98)/(('Cálculos'!$F$199+(($B$225)-$A179)*'Cálculos'!$F$98)+1400)+'Cálculos'!$F$122)*'Cálculos'!$F$261+'Cálculos'!$F$125*(1+2.78*('Cálculos'!$F$199+(($B$225)-$A179)*'Cálculos'!$F$98)/(('Cálculos'!$F$199+(($B$225)-$A179)*'Cálculos'!$F$98)+1400)+'Cálculos'!$F$123)*'Cálculos'!$F$266)+('Cálculos'!$F$204*(1+'Cálculos'!$F$205+$A179*('Cálculos'!$F$290=3)*'Cálculos'!$F$103)+'Cálculos'!$F$206)*('Cálculos'!$F$257+'Cálculos'!$F$124*(1+2.78*('Cálculos'!$F$199+(($B$225)-$A179)*'Cálculos'!$F$98)/(('Cálculos'!$F$199+(($B$225)-$A179)*'Cálculos'!$F$98)+1400)+'Cálculos'!$F$122)*'Cálculos'!$F$262+'Cálculos'!$F$125*(1+2.78*('Cálculos'!$F$199+(($B$225)-$A179)*'Cálculos'!$F$98)/(('Cálculos'!$F$199+(($B$225)-$A179)*'Cálculos'!$F$98)+1400)+'Cálculos'!$F$123)*'Cálculos'!$F$267)+('Cálculos'!$F$258+'Cálculos'!$F$124*(1+2.78*('Cálculos'!$F$199+(($B$225)-$A179)*'Cálculos'!$F$98)/(('Cálculos'!$F$199+(($B$225)-$A179)*'Cálculos'!$F$98)+1400)+'Cálculos'!$F$122)*'Cálculos'!$F$263+'Cálculos'!$F$125*(1+2.78*('Cálculos'!$F$199+(($B$225)-$A179)*'Cálculos'!$F$98)/(('Cálculos'!$F$199+(($B$225)-$A179)*'Cálculos'!$F$98)+1400)+'Cálculos'!$F$123)*'Cálculos'!$F$268)+('Cálculos'!$F$185*(1+'Cálculos'!$F$190+$A179*('Cálculos'!$F$290=1)*'Cálculos'!$F$97+'Cálculos'!$F$305)+'Cálculos'!$F$195)*('Cálculos'!$F$269+'Cálculos'!$F$124*(1+2.78*('Cálculos'!$F$200+(($B$225)-$A179)*'Cálculos'!$F$98)/(('Cálculos'!$F$200+(($B$225)-$A179)*'Cálculos'!$F$98)+1400)+'Cálculos'!$F$122)*'Cálculos'!$F$274+'Cálculos'!$F$125*(1+2.78*('Cálculos'!$F$200+(($B$225)-$A179)*'Cálculos'!$F$98)/(('Cálculos'!$F$200+(($B$225)-$A179)*'Cálculos'!$F$98)+1400)+'Cálculos'!$F$123)*'Cálculos'!$F$279)+('Cálculos'!$F$200+(($B$225)-$A179)*'Cálculos'!$F$98)*('Cálculos'!$F$270+'Cálculos'!$F$124*(1+2.78*('Cálculos'!$F$200+(($B$225)-$A179)*'Cálculos'!$F$98)/(('Cálculos'!$F$200+(($B$225)-$A179)*'Cálculos'!$F$98)+1400)+'Cálculos'!$F$122)*'Cálculos'!$F$275+'Cálculos'!$F$125*(1+2.78*('Cálculos'!$F$200+(($B$225)-$A179)*'Cálculos'!$F$98)/(('Cálculos'!$F$200+(($B$225)-$A179)*'Cálculos'!$F$98)+1400)+'Cálculos'!$F$123)*'Cálculos'!$F$280)+('Cálculos'!$F$201*(1+'Cálculos'!$F$202+$A179*('Cálculos'!$F$290=2)*'Cálculos'!$F$101)+'Cálculos'!$F$203)*('Cálculos'!$F$271+'Cálculos'!$F$124*(1+2.78*('Cálculos'!$F$200+(($B$225)-$A179)*'Cálculos'!$F$98)/(('Cálculos'!$F$200+(($B$225)-$A179)*'Cálculos'!$F$98)+1400)+'Cálculos'!$F$122)*'Cálculos'!$F$276+'Cálculos'!$F$125*(1+2.78*('Cálculos'!$F$200+(($B$225)-$A179)*'Cálculos'!$F$98)/(('Cálculos'!$F$200+(($B$225)-$A179)*'Cálculos'!$F$98)+1400)+'Cálculos'!$F$123)*'Cálculos'!$F$281)+('Cálculos'!$F$204*(1+'Cálculos'!$F$205+$A179*('Cálculos'!$F$290=3)*'Cálculos'!$F$103)+'Cálculos'!$F$206)*('Cálculos'!$F$272+'Cálculos'!$F$124*(1+2.78*('Cálculos'!$F$200+(($B$225)-$A179)*'Cálculos'!$F$98)/(('Cálculos'!$F$200+(($B$225)-$A179)*'Cálculos'!$F$98)+1400)+'Cálculos'!$F$122)*'Cálculos'!$F$277+'Cálculos'!$F$125*(1+2.78*('Cálculos'!$F$200+(($B$225)-$A179)*'Cálculos'!$F$98)/(('Cálculos'!$F$200+(($B$225)-$A179)*'Cálculos'!$F$98)+1400)+'Cálculos'!$F$123)*'Cálculos'!$F$282)+('Cálculos'!$F$273+'Cálculos'!$F$124*(1+2.78*('Cálculos'!$F$200+(($B$225)-$A179)*'Cálculos'!$F$98)/(('Cálculos'!$F$200+(($B$225)-$A179)*'Cálculos'!$F$98)+1400)+'Cálculos'!$F$122)*'Cálculos'!$F$278+'Cálculos'!$F$125*(1+2.78*('Cálculos'!$F$200+(($B$225)-$A179)*'Cálculos'!$F$98)/(('Cálculos'!$F$200+(($B$225)-$A179)*'Cálculos'!$F$98)+1400)+'Cálculos'!$F$123)*'Cálculos'!$F$283)))</f>
        <v>0</v>
      </c>
    </row>
    <row r="180" ht="15.75" customHeight="1">
      <c r="A180" s="2">
        <v>3.0</v>
      </c>
      <c r="B180" s="30">
        <f>SUMPRODUCT(MAX(($A$177:$A$222&lt;=$A180)*($A$177:$A$222&lt;='Cálculos'!$F$294)*(($A180)-$A$177:$A$222&lt;='Cálculos'!$F$295)*(1+(('Cálculos'!$F$207+$A$177:$A$222*'Cálculos'!$F$95)-(('Cálculos'!$F$207+$A$177:$A$222*'Cálculos'!$F$95)&gt;1)*(('Cálculos'!$F$207+$A$177:$A$222*'Cálculos'!$F$95)-1))*('Cálculos'!$F$208+(($A180)-$A$177:$A$222)*'Cálculos'!$F$96))))</f>
        <v>1.669598</v>
      </c>
      <c r="C180" s="2">
        <f>'Cálculos'!$F$303-$A180</f>
        <v>15</v>
      </c>
      <c r="D180" s="31">
        <f>IF($C180&lt;0,0,SUMPRODUCT(MAX(($A$177:$A$222&lt;=$C180)*($A$177:$A$222&lt;='Cálculos'!$F$301)*(($C180)-$A$177:$A$222&lt;='Cálculos'!$F$297)*(('Cálculos'!$F$185*(1+'Cálculos'!$F$186+$A$177:$A$222*('Cálculos'!$F$290=1)*'Cálculos'!$F$97+'Cálculos'!$F$305)+'Cálculos'!$F$191)*('Cálculos'!$F$209+'Cálculos'!$F$124*(1+2.78*('Cálculos'!$F$196+(($C180)-$A$177:$A$222)*'Cálculos'!$F$98)/(('Cálculos'!$F$196+(($C180)-$A$177:$A$222)*'Cálculos'!$F$98)+1400)+'Cálculos'!$F$122)*'Cálculos'!$F$214+'Cálculos'!$F$125*(1+2.78*('Cálculos'!$F$196+(($C180)-$A$177:$A$222)*'Cálculos'!$F$98)/(('Cálculos'!$F$196+(($C180)-$A$177:$A$222)*'Cálculos'!$F$98)+1400)+'Cálculos'!$F$123)*'Cálculos'!$F$219)+('Cálculos'!$F$196+(($C180)-$A$177:$A$222)*'Cálculos'!$F$98)*('Cálculos'!$F$210+'Cálculos'!$F$124*(1+2.78*('Cálculos'!$F$196+(($C180)-$A$177:$A$222)*'Cálculos'!$F$98)/(('Cálculos'!$F$196+(($C180)-$A$177:$A$222)*'Cálculos'!$F$98)+1400)+'Cálculos'!$F$122)*'Cálculos'!$F$215+'Cálculos'!$F$125*(1+2.78*('Cálculos'!$F$196+(($C180)-$A$177:$A$222)*'Cálculos'!$F$98)/(('Cálculos'!$F$196+(($C180)-$A$177:$A$222)*'Cálculos'!$F$98)+1400)+'Cálculos'!$F$123)*'Cálculos'!$F$220)+('Cálculos'!$F$201*(1+'Cálculos'!$F$202+$A$177:$A$222*('Cálculos'!$F$290=2)*'Cálculos'!$F$101)+'Cálculos'!$F$203)*('Cálculos'!$F$211+'Cálculos'!$F$124*(1+2.78*('Cálculos'!$F$196+(($C180)-$A$177:$A$222)*'Cálculos'!$F$98)/(('Cálculos'!$F$196+(($C180)-$A$177:$A$222)*'Cálculos'!$F$98)+1400)+'Cálculos'!$F$122)*'Cálculos'!$F$216+'Cálculos'!$F$125*(1+2.78*('Cálculos'!$F$196+(($C180)-$A$177:$A$222)*'Cálculos'!$F$98)/(('Cálculos'!$F$196+(($C180)-$A$177:$A$222)*'Cálculos'!$F$98)+1400)+'Cálculos'!$F$123)*'Cálculos'!$F$221)+('Cálculos'!$F$204*(1+'Cálculos'!$F$205+$A$177:$A$222*('Cálculos'!$F$290=3)*'Cálculos'!$F$103)+'Cálculos'!$F$206)*('Cálculos'!$F$212+'Cálculos'!$F$124*(1+2.78*('Cálculos'!$F$196+(($C180)-$A$177:$A$222)*'Cálculos'!$F$98)/(('Cálculos'!$F$196+(($C180)-$A$177:$A$222)*'Cálculos'!$F$98)+1400)+'Cálculos'!$F$122)*'Cálculos'!$F$217+'Cálculos'!$F$125*(1+2.78*('Cálculos'!$F$196+(($C180)-$A$177:$A$222)*'Cálculos'!$F$98)/(('Cálculos'!$F$196+(($C180)-$A$177:$A$222)*'Cálculos'!$F$98)+1400)+'Cálculos'!$F$123)*'Cálculos'!$F$222)+('Cálculos'!$F$213+'Cálculos'!$F$124*(1+2.78*('Cálculos'!$F$196+(($C180)-$A$177:$A$222)*'Cálculos'!$F$98)/(('Cálculos'!$F$196+(($C180)-$A$177:$A$222)*'Cálculos'!$F$98)+1400)+'Cálculos'!$F$122)*'Cálculos'!$F$218+'Cálculos'!$F$125*(1+2.78*('Cálculos'!$F$196+(($C180)-$A$177:$A$222)*'Cálculos'!$F$98)/(('Cálculos'!$F$196+(($C180)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180)-$A$177:$A$222)*'Cálculos'!$F$98)/(('Cálculos'!$F$197+(($C180)-$A$177:$A$222)*'Cálculos'!$F$98)+1400)+'Cálculos'!$F$122)*'Cálculos'!$F$229+'Cálculos'!$F$125*(1+2.78*('Cálculos'!$F$197+(($C180)-$A$177:$A$222)*'Cálculos'!$F$98)/(('Cálculos'!$F$197+(($C180)-$A$177:$A$222)*'Cálculos'!$F$98)+1400)+'Cálculos'!$F$123)*'Cálculos'!$F$234)+('Cálculos'!$F$197+(($C180)-$A$177:$A$222)*'Cálculos'!$F$98)*('Cálculos'!$F$225+'Cálculos'!$F$124*(1+2.78*('Cálculos'!$F$197+(($C180)-$A$177:$A$222)*'Cálculos'!$F$98)/(('Cálculos'!$F$197+(($C180)-$A$177:$A$222)*'Cálculos'!$F$98)+1400)+'Cálculos'!$F$122)*'Cálculos'!$F$230+'Cálculos'!$F$125*(1+2.78*('Cálculos'!$F$197+(($C180)-$A$177:$A$222)*'Cálculos'!$F$98)/(('Cálculos'!$F$197+(($C180)-$A$177:$A$222)*'Cálculos'!$F$98)+1400)+'Cálculos'!$F$123)*'Cálculos'!$F$235)+('Cálculos'!$F$201*(1+'Cálculos'!$F$202+$A$177:$A$222*('Cálculos'!$F$290=2)*'Cálculos'!$F$101)+'Cálculos'!$F$203)*('Cálculos'!$F$226+'Cálculos'!$F$124*(1+2.78*('Cálculos'!$F$197+(($C180)-$A$177:$A$222)*'Cálculos'!$F$98)/(('Cálculos'!$F$197+(($C180)-$A$177:$A$222)*'Cálculos'!$F$98)+1400)+'Cálculos'!$F$122)*'Cálculos'!$F$231+'Cálculos'!$F$125*(1+2.78*('Cálculos'!$F$197+(($C180)-$A$177:$A$222)*'Cálculos'!$F$98)/(('Cálculos'!$F$197+(($C180)-$A$177:$A$222)*'Cálculos'!$F$98)+1400)+'Cálculos'!$F$123)*'Cálculos'!$F$236)+('Cálculos'!$F$204*(1+'Cálculos'!$F$205+$A$177:$A$222*('Cálculos'!$F$290=3)*'Cálculos'!$F$103)+'Cálculos'!$F$206)*('Cálculos'!$F$227+'Cálculos'!$F$124*(1+2.78*('Cálculos'!$F$197+(($C180)-$A$177:$A$222)*'Cálculos'!$F$98)/(('Cálculos'!$F$197+(($C180)-$A$177:$A$222)*'Cálculos'!$F$98)+1400)+'Cálculos'!$F$122)*'Cálculos'!$F$232+'Cálculos'!$F$125*(1+2.78*('Cálculos'!$F$197+(($C180)-$A$177:$A$222)*'Cálculos'!$F$98)/(('Cálculos'!$F$197+(($C180)-$A$177:$A$222)*'Cálculos'!$F$98)+1400)+'Cálculos'!$F$123)*'Cálculos'!$F$237)+('Cálculos'!$F$228+'Cálculos'!$F$124*(1+2.78*('Cálculos'!$F$197+(($C180)-$A$177:$A$222)*'Cálculos'!$F$98)/(('Cálculos'!$F$197+(($C180)-$A$177:$A$222)*'Cálculos'!$F$98)+1400)+'Cálculos'!$F$122)*'Cálculos'!$F$233+'Cálculos'!$F$125*(1+2.78*('Cálculos'!$F$197+(($C180)-$A$177:$A$222)*'Cálculos'!$F$98)/(('Cálculos'!$F$197+(($C180)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180)-$A$177:$A$222)*'Cálculos'!$F$98)/(('Cálculos'!$F$198+(($C180)-$A$177:$A$222)*'Cálculos'!$F$98)+1400)+'Cálculos'!$F$122)*'Cálculos'!$F$244+'Cálculos'!$F$125*(1+2.78*('Cálculos'!$F$198+(($C180)-$A$177:$A$222)*'Cálculos'!$F$98)/(('Cálculos'!$F$198+(($C180)-$A$177:$A$222)*'Cálculos'!$F$98)+1400)+'Cálculos'!$F$123)*'Cálculos'!$F$249)+('Cálculos'!$F$198+(($C180)-$A$177:$A$222)*'Cálculos'!$F$98)*('Cálculos'!$F$240+'Cálculos'!$F$124*(1+2.78*('Cálculos'!$F$198+(($C180)-$A$177:$A$222)*'Cálculos'!$F$98)/(('Cálculos'!$F$198+(($C180)-$A$177:$A$222)*'Cálculos'!$F$98)+1400)+'Cálculos'!$F$122)*'Cálculos'!$F$245+'Cálculos'!$F$125*(1+2.78*('Cálculos'!$F$198+(($C180)-$A$177:$A$222)*'Cálculos'!$F$98)/(('Cálculos'!$F$198+(($C180)-$A$177:$A$222)*'Cálculos'!$F$98)+1400)+'Cálculos'!$F$123)*'Cálculos'!$F$250)+('Cálculos'!$F$201*(1+'Cálculos'!$F$202+$A$177:$A$222*('Cálculos'!$F$290=2)*'Cálculos'!$F$101)+'Cálculos'!$F$203)*('Cálculos'!$F$241+'Cálculos'!$F$124*(1+2.78*('Cálculos'!$F$198+(($C180)-$A$177:$A$222)*'Cálculos'!$F$98)/(('Cálculos'!$F$198+(($C180)-$A$177:$A$222)*'Cálculos'!$F$98)+1400)+'Cálculos'!$F$122)*'Cálculos'!$F$246+'Cálculos'!$F$125*(1+2.78*('Cálculos'!$F$198+(($C180)-$A$177:$A$222)*'Cálculos'!$F$98)/(('Cálculos'!$F$198+(($C180)-$A$177:$A$222)*'Cálculos'!$F$98)+1400)+'Cálculos'!$F$123)*'Cálculos'!$F$251)+('Cálculos'!$F$204*(1+'Cálculos'!$F$205+$A$177:$A$222*('Cálculos'!$F$290=3)*'Cálculos'!$F$103)+'Cálculos'!$F$206)*('Cálculos'!$F$242+'Cálculos'!$F$124*(1+2.78*('Cálculos'!$F$198+(($C180)-$A$177:$A$222)*'Cálculos'!$F$98)/(('Cálculos'!$F$198+(($C180)-$A$177:$A$222)*'Cálculos'!$F$98)+1400)+'Cálculos'!$F$122)*'Cálculos'!$F$247+'Cálculos'!$F$125*(1+2.78*('Cálculos'!$F$198+(($C180)-$A$177:$A$222)*'Cálculos'!$F$98)/(('Cálculos'!$F$198+(($C180)-$A$177:$A$222)*'Cálculos'!$F$98)+1400)+'Cálculos'!$F$123)*'Cálculos'!$F$252)+('Cálculos'!$F$243+'Cálculos'!$F$124*(1+2.78*('Cálculos'!$F$198+(($C180)-$A$177:$A$222)*'Cálculos'!$F$98)/(('Cálculos'!$F$198+(($C180)-$A$177:$A$222)*'Cálculos'!$F$98)+1400)+'Cálculos'!$F$122)*'Cálculos'!$F$248+'Cálculos'!$F$125*(1+2.78*('Cálculos'!$F$198+(($C180)-$A$177:$A$222)*'Cálculos'!$F$98)/(('Cálculos'!$F$198+(($C180)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180)-$A$177:$A$222)*'Cálculos'!$F$98)/(('Cálculos'!$F$199+(($C180)-$A$177:$A$222)*'Cálculos'!$F$98)+1400)+'Cálculos'!$F$122)*'Cálculos'!$F$259+'Cálculos'!$F$125*(1+2.78*('Cálculos'!$F$199+(($C180)-$A$177:$A$222)*'Cálculos'!$F$98)/(('Cálculos'!$F$199+(($C180)-$A$177:$A$222)*'Cálculos'!$F$98)+1400)+'Cálculos'!$F$123)*'Cálculos'!$F$264)+('Cálculos'!$F$199+(($C180)-$A$177:$A$222)*'Cálculos'!$F$98)*('Cálculos'!$F$255+'Cálculos'!$F$124*(1+2.78*('Cálculos'!$F$199+(($C180)-$A$177:$A$222)*'Cálculos'!$F$98)/(('Cálculos'!$F$199+(($C180)-$A$177:$A$222)*'Cálculos'!$F$98)+1400)+'Cálculos'!$F$122)*'Cálculos'!$F$260+'Cálculos'!$F$125*(1+2.78*('Cálculos'!$F$199+(($C180)-$A$177:$A$222)*'Cálculos'!$F$98)/(('Cálculos'!$F$199+(($C180)-$A$177:$A$222)*'Cálculos'!$F$98)+1400)+'Cálculos'!$F$123)*'Cálculos'!$F$265)+('Cálculos'!$F$201*(1+'Cálculos'!$F$202+$A$177:$A$222*('Cálculos'!$F$290=2)*'Cálculos'!$F$101)+'Cálculos'!$F$203)*('Cálculos'!$F$256+'Cálculos'!$F$124*(1+2.78*('Cálculos'!$F$199+(($C180)-$A$177:$A$222)*'Cálculos'!$F$98)/(('Cálculos'!$F$199+(($C180)-$A$177:$A$222)*'Cálculos'!$F$98)+1400)+'Cálculos'!$F$122)*'Cálculos'!$F$261+'Cálculos'!$F$125*(1+2.78*('Cálculos'!$F$199+(($C180)-$A$177:$A$222)*'Cálculos'!$F$98)/(('Cálculos'!$F$199+(($C180)-$A$177:$A$222)*'Cálculos'!$F$98)+1400)+'Cálculos'!$F$123)*'Cálculos'!$F$266)+('Cálculos'!$F$204*(1+'Cálculos'!$F$205+$A$177:$A$222*('Cálculos'!$F$290=3)*'Cálculos'!$F$103)+'Cálculos'!$F$206)*('Cálculos'!$F$257+'Cálculos'!$F$124*(1+2.78*('Cálculos'!$F$199+(($C180)-$A$177:$A$222)*'Cálculos'!$F$98)/(('Cálculos'!$F$199+(($C180)-$A$177:$A$222)*'Cálculos'!$F$98)+1400)+'Cálculos'!$F$122)*'Cálculos'!$F$262+'Cálculos'!$F$125*(1+2.78*('Cálculos'!$F$199+(($C180)-$A$177:$A$222)*'Cálculos'!$F$98)/(('Cálculos'!$F$199+(($C180)-$A$177:$A$222)*'Cálculos'!$F$98)+1400)+'Cálculos'!$F$123)*'Cálculos'!$F$267)+('Cálculos'!$F$258+'Cálculos'!$F$124*(1+2.78*('Cálculos'!$F$199+(($C180)-$A$177:$A$222)*'Cálculos'!$F$98)/(('Cálculos'!$F$199+(($C180)-$A$177:$A$222)*'Cálculos'!$F$98)+1400)+'Cálculos'!$F$122)*'Cálculos'!$F$263+'Cálculos'!$F$125*(1+2.78*('Cálculos'!$F$199+(($C180)-$A$177:$A$222)*'Cálculos'!$F$98)/(('Cálculos'!$F$199+(($C180)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180)-$A$177:$A$222)*'Cálculos'!$F$98)/(('Cálculos'!$F$200+(($C180)-$A$177:$A$222)*'Cálculos'!$F$98)+1400)+'Cálculos'!$F$122)*'Cálculos'!$F$274+'Cálculos'!$F$125*(1+2.78*('Cálculos'!$F$200+(($C180)-$A$177:$A$222)*'Cálculos'!$F$98)/(('Cálculos'!$F$200+(($C180)-$A$177:$A$222)*'Cálculos'!$F$98)+1400)+'Cálculos'!$F$123)*'Cálculos'!$F$279)+('Cálculos'!$F$200+(($C180)-$A$177:$A$222)*'Cálculos'!$F$98)*('Cálculos'!$F$270+'Cálculos'!$F$124*(1+2.78*('Cálculos'!$F$200+(($C180)-$A$177:$A$222)*'Cálculos'!$F$98)/(('Cálculos'!$F$200+(($C180)-$A$177:$A$222)*'Cálculos'!$F$98)+1400)+'Cálculos'!$F$122)*'Cálculos'!$F$275+'Cálculos'!$F$125*(1+2.78*('Cálculos'!$F$200+(($C180)-$A$177:$A$222)*'Cálculos'!$F$98)/(('Cálculos'!$F$200+(($C180)-$A$177:$A$222)*'Cálculos'!$F$98)+1400)+'Cálculos'!$F$123)*'Cálculos'!$F$280)+('Cálculos'!$F$201*(1+'Cálculos'!$F$202+$A$177:$A$222*('Cálculos'!$F$290=2)*'Cálculos'!$F$101)+'Cálculos'!$F$203)*('Cálculos'!$F$271+'Cálculos'!$F$124*(1+2.78*('Cálculos'!$F$200+(($C180)-$A$177:$A$222)*'Cálculos'!$F$98)/(('Cálculos'!$F$200+(($C180)-$A$177:$A$222)*'Cálculos'!$F$98)+1400)+'Cálculos'!$F$122)*'Cálculos'!$F$276+'Cálculos'!$F$125*(1+2.78*('Cálculos'!$F$200+(($C180)-$A$177:$A$222)*'Cálculos'!$F$98)/(('Cálculos'!$F$200+(($C180)-$A$177:$A$222)*'Cálculos'!$F$98)+1400)+'Cálculos'!$F$123)*'Cálculos'!$F$281)+('Cálculos'!$F$204*(1+'Cálculos'!$F$205+$A$177:$A$222*('Cálculos'!$F$290=3)*'Cálculos'!$F$103)+'Cálculos'!$F$206)*('Cálculos'!$F$272+'Cálculos'!$F$124*(1+2.78*('Cálculos'!$F$200+(($C180)-$A$177:$A$222)*'Cálculos'!$F$98)/(('Cálculos'!$F$200+(($C180)-$A$177:$A$222)*'Cálculos'!$F$98)+1400)+'Cálculos'!$F$122)*'Cálculos'!$F$277+'Cálculos'!$F$125*(1+2.78*('Cálculos'!$F$200+(($C180)-$A$177:$A$222)*'Cálculos'!$F$98)/(('Cálculos'!$F$200+(($C180)-$A$177:$A$222)*'Cálculos'!$F$98)+1400)+'Cálculos'!$F$123)*'Cálculos'!$F$282)+('Cálculos'!$F$273+'Cálculos'!$F$124*(1+2.78*('Cálculos'!$F$200+(($C180)-$A$177:$A$222)*'Cálculos'!$F$98)/(('Cálculos'!$F$200+(($C180)-$A$177:$A$222)*'Cálculos'!$F$98)+1400)+'Cálculos'!$F$122)*'Cálculos'!$F$278+'Cálculos'!$F$125*(1+2.78*('Cálculos'!$F$200+(($C180)-$A$177:$A$222)*'Cálculos'!$F$98)/(('Cálculos'!$F$200+(($C180)-$A$177:$A$222)*'Cálculos'!$F$98)+1400)+'Cálculos'!$F$123)*'Cálculos'!$F$283)))))</f>
        <v>22703.35801</v>
      </c>
      <c r="E180" s="32">
        <f>IF(OR($C180&lt;0,'Cálculos'!$F$6=""),0,$B180*$D180)</f>
        <v>37905.48113</v>
      </c>
      <c r="F180" s="2"/>
      <c r="G180" s="30">
        <f>($A180&lt;=$B$224)*($A180&lt;='Cálculos'!$F$294)*(($B$224)-$A180&lt;='Cálculos'!$F$295)*(1+MIN(('Cálculos'!$F$207+$A180*'Cálculos'!$F$95),1)*('Cálculos'!$F$208+(($B$224)-$A180)*'Cálculos'!$F$96))</f>
        <v>2.190338</v>
      </c>
      <c r="H180" s="31">
        <f>IF($B$225&lt;0,0,($A180&lt;=$B$225)*($A180&lt;='Cálculos'!$F$301)*(($B$225)-$A180&lt;='Cálculos'!$F$297)*(('Cálculos'!$F$185*(1+'Cálculos'!$F$186+$A180*('Cálculos'!$F$290=1)*'Cálculos'!$F$97+'Cálculos'!$F$305)+'Cálculos'!$F$191)*('Cálculos'!$F$209+'Cálculos'!$F$124*(1+2.78*('Cálculos'!$F$196+(($B$225)-$A180)*'Cálculos'!$F$98)/(('Cálculos'!$F$196+(($B$225)-$A180)*'Cálculos'!$F$98)+1400)+'Cálculos'!$F$122)*'Cálculos'!$F$214+'Cálculos'!$F$125*(1+2.78*('Cálculos'!$F$196+(($B$225)-$A180)*'Cálculos'!$F$98)/(('Cálculos'!$F$196+(($B$225)-$A180)*'Cálculos'!$F$98)+1400)+'Cálculos'!$F$123)*'Cálculos'!$F$219)+('Cálculos'!$F$196+(($B$225)-$A180)*'Cálculos'!$F$98)*('Cálculos'!$F$210+'Cálculos'!$F$124*(1+2.78*('Cálculos'!$F$196+(($B$225)-$A180)*'Cálculos'!$F$98)/(('Cálculos'!$F$196+(($B$225)-$A180)*'Cálculos'!$F$98)+1400)+'Cálculos'!$F$122)*'Cálculos'!$F$215+'Cálculos'!$F$125*(1+2.78*('Cálculos'!$F$196+(($B$225)-$A180)*'Cálculos'!$F$98)/(('Cálculos'!$F$196+(($B$225)-$A180)*'Cálculos'!$F$98)+1400)+'Cálculos'!$F$123)*'Cálculos'!$F$220)+('Cálculos'!$F$201*(1+'Cálculos'!$F$202+$A180*('Cálculos'!$F$290=2)*'Cálculos'!$F$101)+'Cálculos'!$F$203)*('Cálculos'!$F$211+'Cálculos'!$F$124*(1+2.78*('Cálculos'!$F$196+(($B$225)-$A180)*'Cálculos'!$F$98)/(('Cálculos'!$F$196+(($B$225)-$A180)*'Cálculos'!$F$98)+1400)+'Cálculos'!$F$122)*'Cálculos'!$F$216+'Cálculos'!$F$125*(1+2.78*('Cálculos'!$F$196+(($B$225)-$A180)*'Cálculos'!$F$98)/(('Cálculos'!$F$196+(($B$225)-$A180)*'Cálculos'!$F$98)+1400)+'Cálculos'!$F$123)*'Cálculos'!$F$221)+('Cálculos'!$F$204*(1+'Cálculos'!$F$205+$A180*('Cálculos'!$F$290=3)*'Cálculos'!$F$103)+'Cálculos'!$F$206)*('Cálculos'!$F$212+'Cálculos'!$F$124*(1+2.78*('Cálculos'!$F$196+(($B$225)-$A180)*'Cálculos'!$F$98)/(('Cálculos'!$F$196+(($B$225)-$A180)*'Cálculos'!$F$98)+1400)+'Cálculos'!$F$122)*'Cálculos'!$F$217+'Cálculos'!$F$125*(1+2.78*('Cálculos'!$F$196+(($B$225)-$A180)*'Cálculos'!$F$98)/(('Cálculos'!$F$196+(($B$225)-$A180)*'Cálculos'!$F$98)+1400)+'Cálculos'!$F$123)*'Cálculos'!$F$222)+('Cálculos'!$F$213+'Cálculos'!$F$124*(1+2.78*('Cálculos'!$F$196+(($B$225)-$A180)*'Cálculos'!$F$98)/(('Cálculos'!$F$196+(($B$225)-$A180)*'Cálculos'!$F$98)+1400)+'Cálculos'!$F$122)*'Cálculos'!$F$218+'Cálculos'!$F$125*(1+2.78*('Cálculos'!$F$196+(($B$225)-$A180)*'Cálculos'!$F$98)/(('Cálculos'!$F$196+(($B$225)-$A180)*'Cálculos'!$F$98)+1400)+'Cálculos'!$F$123)*'Cálculos'!$F$223)+('Cálculos'!$F$185*(1+'Cálculos'!$F$187+$A180*('Cálculos'!$F$290=1)*'Cálculos'!$F$97+'Cálculos'!$F$305)+'Cálculos'!$F$192)*('Cálculos'!$F$224+'Cálculos'!$F$124*(1+2.78*('Cálculos'!$F$197+(($B$225)-$A180)*'Cálculos'!$F$98)/(('Cálculos'!$F$197+(($B$225)-$A180)*'Cálculos'!$F$98)+1400)+'Cálculos'!$F$122)*'Cálculos'!$F$229+'Cálculos'!$F$125*(1+2.78*('Cálculos'!$F$197+(($B$225)-$A180)*'Cálculos'!$F$98)/(('Cálculos'!$F$197+(($B$225)-$A180)*'Cálculos'!$F$98)+1400)+'Cálculos'!$F$123)*'Cálculos'!$F$234)+('Cálculos'!$F$197+(($B$225)-$A180)*'Cálculos'!$F$98)*('Cálculos'!$F$225+'Cálculos'!$F$124*(1+2.78*('Cálculos'!$F$197+(($B$225)-$A180)*'Cálculos'!$F$98)/(('Cálculos'!$F$197+(($B$225)-$A180)*'Cálculos'!$F$98)+1400)+'Cálculos'!$F$122)*'Cálculos'!$F$230+'Cálculos'!$F$125*(1+2.78*('Cálculos'!$F$197+(($B$225)-$A180)*'Cálculos'!$F$98)/(('Cálculos'!$F$197+(($B$225)-$A180)*'Cálculos'!$F$98)+1400)+'Cálculos'!$F$123)*'Cálculos'!$F$235)+('Cálculos'!$F$201*(1+'Cálculos'!$F$202+$A180*('Cálculos'!$F$290=2)*'Cálculos'!$F$101)+'Cálculos'!$F$203)*('Cálculos'!$F$226+'Cálculos'!$F$124*(1+2.78*('Cálculos'!$F$197+(($B$225)-$A180)*'Cálculos'!$F$98)/(('Cálculos'!$F$197+(($B$225)-$A180)*'Cálculos'!$F$98)+1400)+'Cálculos'!$F$122)*'Cálculos'!$F$231+'Cálculos'!$F$125*(1+2.78*('Cálculos'!$F$197+(($B$225)-$A180)*'Cálculos'!$F$98)/(('Cálculos'!$F$197+(($B$225)-$A180)*'Cálculos'!$F$98)+1400)+'Cálculos'!$F$123)*'Cálculos'!$F$236)+('Cálculos'!$F$204*(1+'Cálculos'!$F$205+$A180*('Cálculos'!$F$290=3)*'Cálculos'!$F$103)+'Cálculos'!$F$206)*('Cálculos'!$F$227+'Cálculos'!$F$124*(1+2.78*('Cálculos'!$F$197+(($B$225)-$A180)*'Cálculos'!$F$98)/(('Cálculos'!$F$197+(($B$225)-$A180)*'Cálculos'!$F$98)+1400)+'Cálculos'!$F$122)*'Cálculos'!$F$232+'Cálculos'!$F$125*(1+2.78*('Cálculos'!$F$197+(($B$225)-$A180)*'Cálculos'!$F$98)/(('Cálculos'!$F$197+(($B$225)-$A180)*'Cálculos'!$F$98)+1400)+'Cálculos'!$F$123)*'Cálculos'!$F$237)+('Cálculos'!$F$228+'Cálculos'!$F$124*(1+2.78*('Cálculos'!$F$197+(($B$225)-$A180)*'Cálculos'!$F$98)/(('Cálculos'!$F$197+(($B$225)-$A180)*'Cálculos'!$F$98)+1400)+'Cálculos'!$F$122)*'Cálculos'!$F$233+'Cálculos'!$F$125*(1+2.78*('Cálculos'!$F$197+(($B$225)-$A180)*'Cálculos'!$F$98)/(('Cálculos'!$F$197+(($B$225)-$A180)*'Cálculos'!$F$98)+1400)+'Cálculos'!$F$123)*'Cálculos'!$F$238)+('Cálculos'!$F$185*(1+'Cálculos'!$F$188+$A180*('Cálculos'!$F$290=1)*'Cálculos'!$F$97+'Cálculos'!$F$305)+'Cálculos'!$F$193)*('Cálculos'!$F$239+'Cálculos'!$F$124*(1+2.78*('Cálculos'!$F$198+(($B$225)-$A180)*'Cálculos'!$F$98)/(('Cálculos'!$F$198+(($B$225)-$A180)*'Cálculos'!$F$98)+1400)+'Cálculos'!$F$122)*'Cálculos'!$F$244+'Cálculos'!$F$125*(1+2.78*('Cálculos'!$F$198+(($B$225)-$A180)*'Cálculos'!$F$98)/(('Cálculos'!$F$198+(($B$225)-$A180)*'Cálculos'!$F$98)+1400)+'Cálculos'!$F$123)*'Cálculos'!$F$249)+('Cálculos'!$F$198+(($B$225)-$A180)*'Cálculos'!$F$98)*('Cálculos'!$F$240+'Cálculos'!$F$124*(1+2.78*('Cálculos'!$F$198+(($B$225)-$A180)*'Cálculos'!$F$98)/(('Cálculos'!$F$198+(($B$225)-$A180)*'Cálculos'!$F$98)+1400)+'Cálculos'!$F$122)*'Cálculos'!$F$245+'Cálculos'!$F$125*(1+2.78*('Cálculos'!$F$198+(($B$225)-$A180)*'Cálculos'!$F$98)/(('Cálculos'!$F$198+(($B$225)-$A180)*'Cálculos'!$F$98)+1400)+'Cálculos'!$F$123)*'Cálculos'!$F$250)+('Cálculos'!$F$201*(1+'Cálculos'!$F$202+$A180*('Cálculos'!$F$290=2)*'Cálculos'!$F$101)+'Cálculos'!$F$203)*('Cálculos'!$F$241+'Cálculos'!$F$124*(1+2.78*('Cálculos'!$F$198+(($B$225)-$A180)*'Cálculos'!$F$98)/(('Cálculos'!$F$198+(($B$225)-$A180)*'Cálculos'!$F$98)+1400)+'Cálculos'!$F$122)*'Cálculos'!$F$246+'Cálculos'!$F$125*(1+2.78*('Cálculos'!$F$198+(($B$225)-$A180)*'Cálculos'!$F$98)/(('Cálculos'!$F$198+(($B$225)-$A180)*'Cálculos'!$F$98)+1400)+'Cálculos'!$F$123)*'Cálculos'!$F$251)+('Cálculos'!$F$204*(1+'Cálculos'!$F$205+$A180*('Cálculos'!$F$290=3)*'Cálculos'!$F$103)+'Cálculos'!$F$206)*('Cálculos'!$F$242+'Cálculos'!$F$124*(1+2.78*('Cálculos'!$F$198+(($B$225)-$A180)*'Cálculos'!$F$98)/(('Cálculos'!$F$198+(($B$225)-$A180)*'Cálculos'!$F$98)+1400)+'Cálculos'!$F$122)*'Cálculos'!$F$247+'Cálculos'!$F$125*(1+2.78*('Cálculos'!$F$198+(($B$225)-$A180)*'Cálculos'!$F$98)/(('Cálculos'!$F$198+(($B$225)-$A180)*'Cálculos'!$F$98)+1400)+'Cálculos'!$F$123)*'Cálculos'!$F$252)+('Cálculos'!$F$243+'Cálculos'!$F$124*(1+2.78*('Cálculos'!$F$198+(($B$225)-$A180)*'Cálculos'!$F$98)/(('Cálculos'!$F$198+(($B$225)-$A180)*'Cálculos'!$F$98)+1400)+'Cálculos'!$F$122)*'Cálculos'!$F$248+'Cálculos'!$F$125*(1+2.78*('Cálculos'!$F$198+(($B$225)-$A180)*'Cálculos'!$F$98)/(('Cálculos'!$F$198+(($B$225)-$A180)*'Cálculos'!$F$98)+1400)+'Cálculos'!$F$123)*'Cálculos'!$F$253)+('Cálculos'!$F$185*(1+'Cálculos'!$F$189+$A180*('Cálculos'!$F$290=1)*'Cálculos'!$F$97+'Cálculos'!$F$305)+'Cálculos'!$F$194)*('Cálculos'!$F$254+'Cálculos'!$F$124*(1+2.78*('Cálculos'!$F$199+(($B$225)-$A180)*'Cálculos'!$F$98)/(('Cálculos'!$F$199+(($B$225)-$A180)*'Cálculos'!$F$98)+1400)+'Cálculos'!$F$122)*'Cálculos'!$F$259+'Cálculos'!$F$125*(1+2.78*('Cálculos'!$F$199+(($B$225)-$A180)*'Cálculos'!$F$98)/(('Cálculos'!$F$199+(($B$225)-$A180)*'Cálculos'!$F$98)+1400)+'Cálculos'!$F$123)*'Cálculos'!$F$264)+('Cálculos'!$F$199+(($B$225)-$A180)*'Cálculos'!$F$98)*('Cálculos'!$F$255+'Cálculos'!$F$124*(1+2.78*('Cálculos'!$F$199+(($B$225)-$A180)*'Cálculos'!$F$98)/(('Cálculos'!$F$199+(($B$225)-$A180)*'Cálculos'!$F$98)+1400)+'Cálculos'!$F$122)*'Cálculos'!$F$260+'Cálculos'!$F$125*(1+2.78*('Cálculos'!$F$199+(($B$225)-$A180)*'Cálculos'!$F$98)/(('Cálculos'!$F$199+(($B$225)-$A180)*'Cálculos'!$F$98)+1400)+'Cálculos'!$F$123)*'Cálculos'!$F$265)+('Cálculos'!$F$201*(1+'Cálculos'!$F$202+$A180*('Cálculos'!$F$290=2)*'Cálculos'!$F$101)+'Cálculos'!$F$203)*('Cálculos'!$F$256+'Cálculos'!$F$124*(1+2.78*('Cálculos'!$F$199+(($B$225)-$A180)*'Cálculos'!$F$98)/(('Cálculos'!$F$199+(($B$225)-$A180)*'Cálculos'!$F$98)+1400)+'Cálculos'!$F$122)*'Cálculos'!$F$261+'Cálculos'!$F$125*(1+2.78*('Cálculos'!$F$199+(($B$225)-$A180)*'Cálculos'!$F$98)/(('Cálculos'!$F$199+(($B$225)-$A180)*'Cálculos'!$F$98)+1400)+'Cálculos'!$F$123)*'Cálculos'!$F$266)+('Cálculos'!$F$204*(1+'Cálculos'!$F$205+$A180*('Cálculos'!$F$290=3)*'Cálculos'!$F$103)+'Cálculos'!$F$206)*('Cálculos'!$F$257+'Cálculos'!$F$124*(1+2.78*('Cálculos'!$F$199+(($B$225)-$A180)*'Cálculos'!$F$98)/(('Cálculos'!$F$199+(($B$225)-$A180)*'Cálculos'!$F$98)+1400)+'Cálculos'!$F$122)*'Cálculos'!$F$262+'Cálculos'!$F$125*(1+2.78*('Cálculos'!$F$199+(($B$225)-$A180)*'Cálculos'!$F$98)/(('Cálculos'!$F$199+(($B$225)-$A180)*'Cálculos'!$F$98)+1400)+'Cálculos'!$F$123)*'Cálculos'!$F$267)+('Cálculos'!$F$258+'Cálculos'!$F$124*(1+2.78*('Cálculos'!$F$199+(($B$225)-$A180)*'Cálculos'!$F$98)/(('Cálculos'!$F$199+(($B$225)-$A180)*'Cálculos'!$F$98)+1400)+'Cálculos'!$F$122)*'Cálculos'!$F$263+'Cálculos'!$F$125*(1+2.78*('Cálculos'!$F$199+(($B$225)-$A180)*'Cálculos'!$F$98)/(('Cálculos'!$F$199+(($B$225)-$A180)*'Cálculos'!$F$98)+1400)+'Cálculos'!$F$123)*'Cálculos'!$F$268)+('Cálculos'!$F$185*(1+'Cálculos'!$F$190+$A180*('Cálculos'!$F$290=1)*'Cálculos'!$F$97+'Cálculos'!$F$305)+'Cálculos'!$F$195)*('Cálculos'!$F$269+'Cálculos'!$F$124*(1+2.78*('Cálculos'!$F$200+(($B$225)-$A180)*'Cálculos'!$F$98)/(('Cálculos'!$F$200+(($B$225)-$A180)*'Cálculos'!$F$98)+1400)+'Cálculos'!$F$122)*'Cálculos'!$F$274+'Cálculos'!$F$125*(1+2.78*('Cálculos'!$F$200+(($B$225)-$A180)*'Cálculos'!$F$98)/(('Cálculos'!$F$200+(($B$225)-$A180)*'Cálculos'!$F$98)+1400)+'Cálculos'!$F$123)*'Cálculos'!$F$279)+('Cálculos'!$F$200+(($B$225)-$A180)*'Cálculos'!$F$98)*('Cálculos'!$F$270+'Cálculos'!$F$124*(1+2.78*('Cálculos'!$F$200+(($B$225)-$A180)*'Cálculos'!$F$98)/(('Cálculos'!$F$200+(($B$225)-$A180)*'Cálculos'!$F$98)+1400)+'Cálculos'!$F$122)*'Cálculos'!$F$275+'Cálculos'!$F$125*(1+2.78*('Cálculos'!$F$200+(($B$225)-$A180)*'Cálculos'!$F$98)/(('Cálculos'!$F$200+(($B$225)-$A180)*'Cálculos'!$F$98)+1400)+'Cálculos'!$F$123)*'Cálculos'!$F$280)+('Cálculos'!$F$201*(1+'Cálculos'!$F$202+$A180*('Cálculos'!$F$290=2)*'Cálculos'!$F$101)+'Cálculos'!$F$203)*('Cálculos'!$F$271+'Cálculos'!$F$124*(1+2.78*('Cálculos'!$F$200+(($B$225)-$A180)*'Cálculos'!$F$98)/(('Cálculos'!$F$200+(($B$225)-$A180)*'Cálculos'!$F$98)+1400)+'Cálculos'!$F$122)*'Cálculos'!$F$276+'Cálculos'!$F$125*(1+2.78*('Cálculos'!$F$200+(($B$225)-$A180)*'Cálculos'!$F$98)/(('Cálculos'!$F$200+(($B$225)-$A180)*'Cálculos'!$F$98)+1400)+'Cálculos'!$F$123)*'Cálculos'!$F$281)+('Cálculos'!$F$204*(1+'Cálculos'!$F$205+$A180*('Cálculos'!$F$290=3)*'Cálculos'!$F$103)+'Cálculos'!$F$206)*('Cálculos'!$F$272+'Cálculos'!$F$124*(1+2.78*('Cálculos'!$F$200+(($B$225)-$A180)*'Cálculos'!$F$98)/(('Cálculos'!$F$200+(($B$225)-$A180)*'Cálculos'!$F$98)+1400)+'Cálculos'!$F$122)*'Cálculos'!$F$277+'Cálculos'!$F$125*(1+2.78*('Cálculos'!$F$200+(($B$225)-$A180)*'Cálculos'!$F$98)/(('Cálculos'!$F$200+(($B$225)-$A180)*'Cálculos'!$F$98)+1400)+'Cálculos'!$F$123)*'Cálculos'!$F$282)+('Cálculos'!$F$273+'Cálculos'!$F$124*(1+2.78*('Cálculos'!$F$200+(($B$225)-$A180)*'Cálculos'!$F$98)/(('Cálculos'!$F$200+(($B$225)-$A180)*'Cálculos'!$F$98)+1400)+'Cálculos'!$F$122)*'Cálculos'!$F$278+'Cálculos'!$F$125*(1+2.78*('Cálculos'!$F$200+(($B$225)-$A180)*'Cálculos'!$F$98)/(('Cálculos'!$F$200+(($B$225)-$A180)*'Cálculos'!$F$98)+1400)+'Cálculos'!$F$123)*'Cálculos'!$F$283)))</f>
        <v>0</v>
      </c>
    </row>
    <row r="181" ht="15.75" customHeight="1">
      <c r="A181" s="2">
        <v>4.0</v>
      </c>
      <c r="B181" s="30">
        <f>SUMPRODUCT(MAX(($A$177:$A$222&lt;=$A181)*($A$177:$A$222&lt;='Cálculos'!$F$294)*(($A181)-$A$177:$A$222&lt;='Cálculos'!$F$295)*(1+(('Cálculos'!$F$207+$A$177:$A$222*'Cálculos'!$F$95)-(('Cálculos'!$F$207+$A$177:$A$222*'Cálculos'!$F$95)&gt;1)*(('Cálculos'!$F$207+$A$177:$A$222*'Cálculos'!$F$95)-1))*('Cálculos'!$F$208+(($A181)-$A$177:$A$222)*'Cálculos'!$F$96))))</f>
        <v>1.711607</v>
      </c>
      <c r="C181" s="2">
        <f>'Cálculos'!$F$303-$A181</f>
        <v>14</v>
      </c>
      <c r="D181" s="31">
        <f>IF($C181&lt;0,0,SUMPRODUCT(MAX(($A$177:$A$222&lt;=$C181)*($A$177:$A$222&lt;='Cálculos'!$F$301)*(($C181)-$A$177:$A$222&lt;='Cálculos'!$F$297)*(('Cálculos'!$F$185*(1+'Cálculos'!$F$186+$A$177:$A$222*('Cálculos'!$F$290=1)*'Cálculos'!$F$97+'Cálculos'!$F$305)+'Cálculos'!$F$191)*('Cálculos'!$F$209+'Cálculos'!$F$124*(1+2.78*('Cálculos'!$F$196+(($C181)-$A$177:$A$222)*'Cálculos'!$F$98)/(('Cálculos'!$F$196+(($C181)-$A$177:$A$222)*'Cálculos'!$F$98)+1400)+'Cálculos'!$F$122)*'Cálculos'!$F$214+'Cálculos'!$F$125*(1+2.78*('Cálculos'!$F$196+(($C181)-$A$177:$A$222)*'Cálculos'!$F$98)/(('Cálculos'!$F$196+(($C181)-$A$177:$A$222)*'Cálculos'!$F$98)+1400)+'Cálculos'!$F$123)*'Cálculos'!$F$219)+('Cálculos'!$F$196+(($C181)-$A$177:$A$222)*'Cálculos'!$F$98)*('Cálculos'!$F$210+'Cálculos'!$F$124*(1+2.78*('Cálculos'!$F$196+(($C181)-$A$177:$A$222)*'Cálculos'!$F$98)/(('Cálculos'!$F$196+(($C181)-$A$177:$A$222)*'Cálculos'!$F$98)+1400)+'Cálculos'!$F$122)*'Cálculos'!$F$215+'Cálculos'!$F$125*(1+2.78*('Cálculos'!$F$196+(($C181)-$A$177:$A$222)*'Cálculos'!$F$98)/(('Cálculos'!$F$196+(($C181)-$A$177:$A$222)*'Cálculos'!$F$98)+1400)+'Cálculos'!$F$123)*'Cálculos'!$F$220)+('Cálculos'!$F$201*(1+'Cálculos'!$F$202+$A$177:$A$222*('Cálculos'!$F$290=2)*'Cálculos'!$F$101)+'Cálculos'!$F$203)*('Cálculos'!$F$211+'Cálculos'!$F$124*(1+2.78*('Cálculos'!$F$196+(($C181)-$A$177:$A$222)*'Cálculos'!$F$98)/(('Cálculos'!$F$196+(($C181)-$A$177:$A$222)*'Cálculos'!$F$98)+1400)+'Cálculos'!$F$122)*'Cálculos'!$F$216+'Cálculos'!$F$125*(1+2.78*('Cálculos'!$F$196+(($C181)-$A$177:$A$222)*'Cálculos'!$F$98)/(('Cálculos'!$F$196+(($C181)-$A$177:$A$222)*'Cálculos'!$F$98)+1400)+'Cálculos'!$F$123)*'Cálculos'!$F$221)+('Cálculos'!$F$204*(1+'Cálculos'!$F$205+$A$177:$A$222*('Cálculos'!$F$290=3)*'Cálculos'!$F$103)+'Cálculos'!$F$206)*('Cálculos'!$F$212+'Cálculos'!$F$124*(1+2.78*('Cálculos'!$F$196+(($C181)-$A$177:$A$222)*'Cálculos'!$F$98)/(('Cálculos'!$F$196+(($C181)-$A$177:$A$222)*'Cálculos'!$F$98)+1400)+'Cálculos'!$F$122)*'Cálculos'!$F$217+'Cálculos'!$F$125*(1+2.78*('Cálculos'!$F$196+(($C181)-$A$177:$A$222)*'Cálculos'!$F$98)/(('Cálculos'!$F$196+(($C181)-$A$177:$A$222)*'Cálculos'!$F$98)+1400)+'Cálculos'!$F$123)*'Cálculos'!$F$222)+('Cálculos'!$F$213+'Cálculos'!$F$124*(1+2.78*('Cálculos'!$F$196+(($C181)-$A$177:$A$222)*'Cálculos'!$F$98)/(('Cálculos'!$F$196+(($C181)-$A$177:$A$222)*'Cálculos'!$F$98)+1400)+'Cálculos'!$F$122)*'Cálculos'!$F$218+'Cálculos'!$F$125*(1+2.78*('Cálculos'!$F$196+(($C181)-$A$177:$A$222)*'Cálculos'!$F$98)/(('Cálculos'!$F$196+(($C181)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181)-$A$177:$A$222)*'Cálculos'!$F$98)/(('Cálculos'!$F$197+(($C181)-$A$177:$A$222)*'Cálculos'!$F$98)+1400)+'Cálculos'!$F$122)*'Cálculos'!$F$229+'Cálculos'!$F$125*(1+2.78*('Cálculos'!$F$197+(($C181)-$A$177:$A$222)*'Cálculos'!$F$98)/(('Cálculos'!$F$197+(($C181)-$A$177:$A$222)*'Cálculos'!$F$98)+1400)+'Cálculos'!$F$123)*'Cálculos'!$F$234)+('Cálculos'!$F$197+(($C181)-$A$177:$A$222)*'Cálculos'!$F$98)*('Cálculos'!$F$225+'Cálculos'!$F$124*(1+2.78*('Cálculos'!$F$197+(($C181)-$A$177:$A$222)*'Cálculos'!$F$98)/(('Cálculos'!$F$197+(($C181)-$A$177:$A$222)*'Cálculos'!$F$98)+1400)+'Cálculos'!$F$122)*'Cálculos'!$F$230+'Cálculos'!$F$125*(1+2.78*('Cálculos'!$F$197+(($C181)-$A$177:$A$222)*'Cálculos'!$F$98)/(('Cálculos'!$F$197+(($C181)-$A$177:$A$222)*'Cálculos'!$F$98)+1400)+'Cálculos'!$F$123)*'Cálculos'!$F$235)+('Cálculos'!$F$201*(1+'Cálculos'!$F$202+$A$177:$A$222*('Cálculos'!$F$290=2)*'Cálculos'!$F$101)+'Cálculos'!$F$203)*('Cálculos'!$F$226+'Cálculos'!$F$124*(1+2.78*('Cálculos'!$F$197+(($C181)-$A$177:$A$222)*'Cálculos'!$F$98)/(('Cálculos'!$F$197+(($C181)-$A$177:$A$222)*'Cálculos'!$F$98)+1400)+'Cálculos'!$F$122)*'Cálculos'!$F$231+'Cálculos'!$F$125*(1+2.78*('Cálculos'!$F$197+(($C181)-$A$177:$A$222)*'Cálculos'!$F$98)/(('Cálculos'!$F$197+(($C181)-$A$177:$A$222)*'Cálculos'!$F$98)+1400)+'Cálculos'!$F$123)*'Cálculos'!$F$236)+('Cálculos'!$F$204*(1+'Cálculos'!$F$205+$A$177:$A$222*('Cálculos'!$F$290=3)*'Cálculos'!$F$103)+'Cálculos'!$F$206)*('Cálculos'!$F$227+'Cálculos'!$F$124*(1+2.78*('Cálculos'!$F$197+(($C181)-$A$177:$A$222)*'Cálculos'!$F$98)/(('Cálculos'!$F$197+(($C181)-$A$177:$A$222)*'Cálculos'!$F$98)+1400)+'Cálculos'!$F$122)*'Cálculos'!$F$232+'Cálculos'!$F$125*(1+2.78*('Cálculos'!$F$197+(($C181)-$A$177:$A$222)*'Cálculos'!$F$98)/(('Cálculos'!$F$197+(($C181)-$A$177:$A$222)*'Cálculos'!$F$98)+1400)+'Cálculos'!$F$123)*'Cálculos'!$F$237)+('Cálculos'!$F$228+'Cálculos'!$F$124*(1+2.78*('Cálculos'!$F$197+(($C181)-$A$177:$A$222)*'Cálculos'!$F$98)/(('Cálculos'!$F$197+(($C181)-$A$177:$A$222)*'Cálculos'!$F$98)+1400)+'Cálculos'!$F$122)*'Cálculos'!$F$233+'Cálculos'!$F$125*(1+2.78*('Cálculos'!$F$197+(($C181)-$A$177:$A$222)*'Cálculos'!$F$98)/(('Cálculos'!$F$197+(($C181)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181)-$A$177:$A$222)*'Cálculos'!$F$98)/(('Cálculos'!$F$198+(($C181)-$A$177:$A$222)*'Cálculos'!$F$98)+1400)+'Cálculos'!$F$122)*'Cálculos'!$F$244+'Cálculos'!$F$125*(1+2.78*('Cálculos'!$F$198+(($C181)-$A$177:$A$222)*'Cálculos'!$F$98)/(('Cálculos'!$F$198+(($C181)-$A$177:$A$222)*'Cálculos'!$F$98)+1400)+'Cálculos'!$F$123)*'Cálculos'!$F$249)+('Cálculos'!$F$198+(($C181)-$A$177:$A$222)*'Cálculos'!$F$98)*('Cálculos'!$F$240+'Cálculos'!$F$124*(1+2.78*('Cálculos'!$F$198+(($C181)-$A$177:$A$222)*'Cálculos'!$F$98)/(('Cálculos'!$F$198+(($C181)-$A$177:$A$222)*'Cálculos'!$F$98)+1400)+'Cálculos'!$F$122)*'Cálculos'!$F$245+'Cálculos'!$F$125*(1+2.78*('Cálculos'!$F$198+(($C181)-$A$177:$A$222)*'Cálculos'!$F$98)/(('Cálculos'!$F$198+(($C181)-$A$177:$A$222)*'Cálculos'!$F$98)+1400)+'Cálculos'!$F$123)*'Cálculos'!$F$250)+('Cálculos'!$F$201*(1+'Cálculos'!$F$202+$A$177:$A$222*('Cálculos'!$F$290=2)*'Cálculos'!$F$101)+'Cálculos'!$F$203)*('Cálculos'!$F$241+'Cálculos'!$F$124*(1+2.78*('Cálculos'!$F$198+(($C181)-$A$177:$A$222)*'Cálculos'!$F$98)/(('Cálculos'!$F$198+(($C181)-$A$177:$A$222)*'Cálculos'!$F$98)+1400)+'Cálculos'!$F$122)*'Cálculos'!$F$246+'Cálculos'!$F$125*(1+2.78*('Cálculos'!$F$198+(($C181)-$A$177:$A$222)*'Cálculos'!$F$98)/(('Cálculos'!$F$198+(($C181)-$A$177:$A$222)*'Cálculos'!$F$98)+1400)+'Cálculos'!$F$123)*'Cálculos'!$F$251)+('Cálculos'!$F$204*(1+'Cálculos'!$F$205+$A$177:$A$222*('Cálculos'!$F$290=3)*'Cálculos'!$F$103)+'Cálculos'!$F$206)*('Cálculos'!$F$242+'Cálculos'!$F$124*(1+2.78*('Cálculos'!$F$198+(($C181)-$A$177:$A$222)*'Cálculos'!$F$98)/(('Cálculos'!$F$198+(($C181)-$A$177:$A$222)*'Cálculos'!$F$98)+1400)+'Cálculos'!$F$122)*'Cálculos'!$F$247+'Cálculos'!$F$125*(1+2.78*('Cálculos'!$F$198+(($C181)-$A$177:$A$222)*'Cálculos'!$F$98)/(('Cálculos'!$F$198+(($C181)-$A$177:$A$222)*'Cálculos'!$F$98)+1400)+'Cálculos'!$F$123)*'Cálculos'!$F$252)+('Cálculos'!$F$243+'Cálculos'!$F$124*(1+2.78*('Cálculos'!$F$198+(($C181)-$A$177:$A$222)*'Cálculos'!$F$98)/(('Cálculos'!$F$198+(($C181)-$A$177:$A$222)*'Cálculos'!$F$98)+1400)+'Cálculos'!$F$122)*'Cálculos'!$F$248+'Cálculos'!$F$125*(1+2.78*('Cálculos'!$F$198+(($C181)-$A$177:$A$222)*'Cálculos'!$F$98)/(('Cálculos'!$F$198+(($C181)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181)-$A$177:$A$222)*'Cálculos'!$F$98)/(('Cálculos'!$F$199+(($C181)-$A$177:$A$222)*'Cálculos'!$F$98)+1400)+'Cálculos'!$F$122)*'Cálculos'!$F$259+'Cálculos'!$F$125*(1+2.78*('Cálculos'!$F$199+(($C181)-$A$177:$A$222)*'Cálculos'!$F$98)/(('Cálculos'!$F$199+(($C181)-$A$177:$A$222)*'Cálculos'!$F$98)+1400)+'Cálculos'!$F$123)*'Cálculos'!$F$264)+('Cálculos'!$F$199+(($C181)-$A$177:$A$222)*'Cálculos'!$F$98)*('Cálculos'!$F$255+'Cálculos'!$F$124*(1+2.78*('Cálculos'!$F$199+(($C181)-$A$177:$A$222)*'Cálculos'!$F$98)/(('Cálculos'!$F$199+(($C181)-$A$177:$A$222)*'Cálculos'!$F$98)+1400)+'Cálculos'!$F$122)*'Cálculos'!$F$260+'Cálculos'!$F$125*(1+2.78*('Cálculos'!$F$199+(($C181)-$A$177:$A$222)*'Cálculos'!$F$98)/(('Cálculos'!$F$199+(($C181)-$A$177:$A$222)*'Cálculos'!$F$98)+1400)+'Cálculos'!$F$123)*'Cálculos'!$F$265)+('Cálculos'!$F$201*(1+'Cálculos'!$F$202+$A$177:$A$222*('Cálculos'!$F$290=2)*'Cálculos'!$F$101)+'Cálculos'!$F$203)*('Cálculos'!$F$256+'Cálculos'!$F$124*(1+2.78*('Cálculos'!$F$199+(($C181)-$A$177:$A$222)*'Cálculos'!$F$98)/(('Cálculos'!$F$199+(($C181)-$A$177:$A$222)*'Cálculos'!$F$98)+1400)+'Cálculos'!$F$122)*'Cálculos'!$F$261+'Cálculos'!$F$125*(1+2.78*('Cálculos'!$F$199+(($C181)-$A$177:$A$222)*'Cálculos'!$F$98)/(('Cálculos'!$F$199+(($C181)-$A$177:$A$222)*'Cálculos'!$F$98)+1400)+'Cálculos'!$F$123)*'Cálculos'!$F$266)+('Cálculos'!$F$204*(1+'Cálculos'!$F$205+$A$177:$A$222*('Cálculos'!$F$290=3)*'Cálculos'!$F$103)+'Cálculos'!$F$206)*('Cálculos'!$F$257+'Cálculos'!$F$124*(1+2.78*('Cálculos'!$F$199+(($C181)-$A$177:$A$222)*'Cálculos'!$F$98)/(('Cálculos'!$F$199+(($C181)-$A$177:$A$222)*'Cálculos'!$F$98)+1400)+'Cálculos'!$F$122)*'Cálculos'!$F$262+'Cálculos'!$F$125*(1+2.78*('Cálculos'!$F$199+(($C181)-$A$177:$A$222)*'Cálculos'!$F$98)/(('Cálculos'!$F$199+(($C181)-$A$177:$A$222)*'Cálculos'!$F$98)+1400)+'Cálculos'!$F$123)*'Cálculos'!$F$267)+('Cálculos'!$F$258+'Cálculos'!$F$124*(1+2.78*('Cálculos'!$F$199+(($C181)-$A$177:$A$222)*'Cálculos'!$F$98)/(('Cálculos'!$F$199+(($C181)-$A$177:$A$222)*'Cálculos'!$F$98)+1400)+'Cálculos'!$F$122)*'Cálculos'!$F$263+'Cálculos'!$F$125*(1+2.78*('Cálculos'!$F$199+(($C181)-$A$177:$A$222)*'Cálculos'!$F$98)/(('Cálculos'!$F$199+(($C181)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181)-$A$177:$A$222)*'Cálculos'!$F$98)/(('Cálculos'!$F$200+(($C181)-$A$177:$A$222)*'Cálculos'!$F$98)+1400)+'Cálculos'!$F$122)*'Cálculos'!$F$274+'Cálculos'!$F$125*(1+2.78*('Cálculos'!$F$200+(($C181)-$A$177:$A$222)*'Cálculos'!$F$98)/(('Cálculos'!$F$200+(($C181)-$A$177:$A$222)*'Cálculos'!$F$98)+1400)+'Cálculos'!$F$123)*'Cálculos'!$F$279)+('Cálculos'!$F$200+(($C181)-$A$177:$A$222)*'Cálculos'!$F$98)*('Cálculos'!$F$270+'Cálculos'!$F$124*(1+2.78*('Cálculos'!$F$200+(($C181)-$A$177:$A$222)*'Cálculos'!$F$98)/(('Cálculos'!$F$200+(($C181)-$A$177:$A$222)*'Cálculos'!$F$98)+1400)+'Cálculos'!$F$122)*'Cálculos'!$F$275+'Cálculos'!$F$125*(1+2.78*('Cálculos'!$F$200+(($C181)-$A$177:$A$222)*'Cálculos'!$F$98)/(('Cálculos'!$F$200+(($C181)-$A$177:$A$222)*'Cálculos'!$F$98)+1400)+'Cálculos'!$F$123)*'Cálculos'!$F$280)+('Cálculos'!$F$201*(1+'Cálculos'!$F$202+$A$177:$A$222*('Cálculos'!$F$290=2)*'Cálculos'!$F$101)+'Cálculos'!$F$203)*('Cálculos'!$F$271+'Cálculos'!$F$124*(1+2.78*('Cálculos'!$F$200+(($C181)-$A$177:$A$222)*'Cálculos'!$F$98)/(('Cálculos'!$F$200+(($C181)-$A$177:$A$222)*'Cálculos'!$F$98)+1400)+'Cálculos'!$F$122)*'Cálculos'!$F$276+'Cálculos'!$F$125*(1+2.78*('Cálculos'!$F$200+(($C181)-$A$177:$A$222)*'Cálculos'!$F$98)/(('Cálculos'!$F$200+(($C181)-$A$177:$A$222)*'Cálculos'!$F$98)+1400)+'Cálculos'!$F$123)*'Cálculos'!$F$281)+('Cálculos'!$F$204*(1+'Cálculos'!$F$205+$A$177:$A$222*('Cálculos'!$F$290=3)*'Cálculos'!$F$103)+'Cálculos'!$F$206)*('Cálculos'!$F$272+'Cálculos'!$F$124*(1+2.78*('Cálculos'!$F$200+(($C181)-$A$177:$A$222)*'Cálculos'!$F$98)/(('Cálculos'!$F$200+(($C181)-$A$177:$A$222)*'Cálculos'!$F$98)+1400)+'Cálculos'!$F$122)*'Cálculos'!$F$277+'Cálculos'!$F$125*(1+2.78*('Cálculos'!$F$200+(($C181)-$A$177:$A$222)*'Cálculos'!$F$98)/(('Cálculos'!$F$200+(($C181)-$A$177:$A$222)*'Cálculos'!$F$98)+1400)+'Cálculos'!$F$123)*'Cálculos'!$F$282)+('Cálculos'!$F$273+'Cálculos'!$F$124*(1+2.78*('Cálculos'!$F$200+(($C181)-$A$177:$A$222)*'Cálculos'!$F$98)/(('Cálculos'!$F$200+(($C181)-$A$177:$A$222)*'Cálculos'!$F$98)+1400)+'Cálculos'!$F$122)*'Cálculos'!$F$278+'Cálculos'!$F$125*(1+2.78*('Cálculos'!$F$200+(($C181)-$A$177:$A$222)*'Cálculos'!$F$98)/(('Cálculos'!$F$200+(($C181)-$A$177:$A$222)*'Cálculos'!$F$98)+1400)+'Cálculos'!$F$123)*'Cálculos'!$F$283)))))</f>
        <v>22479.50042</v>
      </c>
      <c r="E181" s="32">
        <f>IF(OR($C181&lt;0,'Cálculos'!$F$6=""),0,$B181*$D181)</f>
        <v>38476.07028</v>
      </c>
      <c r="F181" s="2"/>
      <c r="G181" s="30">
        <f>($A181&lt;=$B$224)*($A181&lt;='Cálculos'!$F$294)*(($B$224)-$A181&lt;='Cálculos'!$F$295)*(1+MIN(('Cálculos'!$F$207+$A181*'Cálculos'!$F$95),1)*('Cálculos'!$F$208+(($B$224)-$A181)*'Cálculos'!$F$96))</f>
        <v>2.228123</v>
      </c>
      <c r="H181" s="31">
        <f>IF($B$225&lt;0,0,($A181&lt;=$B$225)*($A181&lt;='Cálculos'!$F$301)*(($B$225)-$A181&lt;='Cálculos'!$F$297)*(('Cálculos'!$F$185*(1+'Cálculos'!$F$186+$A181*('Cálculos'!$F$290=1)*'Cálculos'!$F$97+'Cálculos'!$F$305)+'Cálculos'!$F$191)*('Cálculos'!$F$209+'Cálculos'!$F$124*(1+2.78*('Cálculos'!$F$196+(($B$225)-$A181)*'Cálculos'!$F$98)/(('Cálculos'!$F$196+(($B$225)-$A181)*'Cálculos'!$F$98)+1400)+'Cálculos'!$F$122)*'Cálculos'!$F$214+'Cálculos'!$F$125*(1+2.78*('Cálculos'!$F$196+(($B$225)-$A181)*'Cálculos'!$F$98)/(('Cálculos'!$F$196+(($B$225)-$A181)*'Cálculos'!$F$98)+1400)+'Cálculos'!$F$123)*'Cálculos'!$F$219)+('Cálculos'!$F$196+(($B$225)-$A181)*'Cálculos'!$F$98)*('Cálculos'!$F$210+'Cálculos'!$F$124*(1+2.78*('Cálculos'!$F$196+(($B$225)-$A181)*'Cálculos'!$F$98)/(('Cálculos'!$F$196+(($B$225)-$A181)*'Cálculos'!$F$98)+1400)+'Cálculos'!$F$122)*'Cálculos'!$F$215+'Cálculos'!$F$125*(1+2.78*('Cálculos'!$F$196+(($B$225)-$A181)*'Cálculos'!$F$98)/(('Cálculos'!$F$196+(($B$225)-$A181)*'Cálculos'!$F$98)+1400)+'Cálculos'!$F$123)*'Cálculos'!$F$220)+('Cálculos'!$F$201*(1+'Cálculos'!$F$202+$A181*('Cálculos'!$F$290=2)*'Cálculos'!$F$101)+'Cálculos'!$F$203)*('Cálculos'!$F$211+'Cálculos'!$F$124*(1+2.78*('Cálculos'!$F$196+(($B$225)-$A181)*'Cálculos'!$F$98)/(('Cálculos'!$F$196+(($B$225)-$A181)*'Cálculos'!$F$98)+1400)+'Cálculos'!$F$122)*'Cálculos'!$F$216+'Cálculos'!$F$125*(1+2.78*('Cálculos'!$F$196+(($B$225)-$A181)*'Cálculos'!$F$98)/(('Cálculos'!$F$196+(($B$225)-$A181)*'Cálculos'!$F$98)+1400)+'Cálculos'!$F$123)*'Cálculos'!$F$221)+('Cálculos'!$F$204*(1+'Cálculos'!$F$205+$A181*('Cálculos'!$F$290=3)*'Cálculos'!$F$103)+'Cálculos'!$F$206)*('Cálculos'!$F$212+'Cálculos'!$F$124*(1+2.78*('Cálculos'!$F$196+(($B$225)-$A181)*'Cálculos'!$F$98)/(('Cálculos'!$F$196+(($B$225)-$A181)*'Cálculos'!$F$98)+1400)+'Cálculos'!$F$122)*'Cálculos'!$F$217+'Cálculos'!$F$125*(1+2.78*('Cálculos'!$F$196+(($B$225)-$A181)*'Cálculos'!$F$98)/(('Cálculos'!$F$196+(($B$225)-$A181)*'Cálculos'!$F$98)+1400)+'Cálculos'!$F$123)*'Cálculos'!$F$222)+('Cálculos'!$F$213+'Cálculos'!$F$124*(1+2.78*('Cálculos'!$F$196+(($B$225)-$A181)*'Cálculos'!$F$98)/(('Cálculos'!$F$196+(($B$225)-$A181)*'Cálculos'!$F$98)+1400)+'Cálculos'!$F$122)*'Cálculos'!$F$218+'Cálculos'!$F$125*(1+2.78*('Cálculos'!$F$196+(($B$225)-$A181)*'Cálculos'!$F$98)/(('Cálculos'!$F$196+(($B$225)-$A181)*'Cálculos'!$F$98)+1400)+'Cálculos'!$F$123)*'Cálculos'!$F$223)+('Cálculos'!$F$185*(1+'Cálculos'!$F$187+$A181*('Cálculos'!$F$290=1)*'Cálculos'!$F$97+'Cálculos'!$F$305)+'Cálculos'!$F$192)*('Cálculos'!$F$224+'Cálculos'!$F$124*(1+2.78*('Cálculos'!$F$197+(($B$225)-$A181)*'Cálculos'!$F$98)/(('Cálculos'!$F$197+(($B$225)-$A181)*'Cálculos'!$F$98)+1400)+'Cálculos'!$F$122)*'Cálculos'!$F$229+'Cálculos'!$F$125*(1+2.78*('Cálculos'!$F$197+(($B$225)-$A181)*'Cálculos'!$F$98)/(('Cálculos'!$F$197+(($B$225)-$A181)*'Cálculos'!$F$98)+1400)+'Cálculos'!$F$123)*'Cálculos'!$F$234)+('Cálculos'!$F$197+(($B$225)-$A181)*'Cálculos'!$F$98)*('Cálculos'!$F$225+'Cálculos'!$F$124*(1+2.78*('Cálculos'!$F$197+(($B$225)-$A181)*'Cálculos'!$F$98)/(('Cálculos'!$F$197+(($B$225)-$A181)*'Cálculos'!$F$98)+1400)+'Cálculos'!$F$122)*'Cálculos'!$F$230+'Cálculos'!$F$125*(1+2.78*('Cálculos'!$F$197+(($B$225)-$A181)*'Cálculos'!$F$98)/(('Cálculos'!$F$197+(($B$225)-$A181)*'Cálculos'!$F$98)+1400)+'Cálculos'!$F$123)*'Cálculos'!$F$235)+('Cálculos'!$F$201*(1+'Cálculos'!$F$202+$A181*('Cálculos'!$F$290=2)*'Cálculos'!$F$101)+'Cálculos'!$F$203)*('Cálculos'!$F$226+'Cálculos'!$F$124*(1+2.78*('Cálculos'!$F$197+(($B$225)-$A181)*'Cálculos'!$F$98)/(('Cálculos'!$F$197+(($B$225)-$A181)*'Cálculos'!$F$98)+1400)+'Cálculos'!$F$122)*'Cálculos'!$F$231+'Cálculos'!$F$125*(1+2.78*('Cálculos'!$F$197+(($B$225)-$A181)*'Cálculos'!$F$98)/(('Cálculos'!$F$197+(($B$225)-$A181)*'Cálculos'!$F$98)+1400)+'Cálculos'!$F$123)*'Cálculos'!$F$236)+('Cálculos'!$F$204*(1+'Cálculos'!$F$205+$A181*('Cálculos'!$F$290=3)*'Cálculos'!$F$103)+'Cálculos'!$F$206)*('Cálculos'!$F$227+'Cálculos'!$F$124*(1+2.78*('Cálculos'!$F$197+(($B$225)-$A181)*'Cálculos'!$F$98)/(('Cálculos'!$F$197+(($B$225)-$A181)*'Cálculos'!$F$98)+1400)+'Cálculos'!$F$122)*'Cálculos'!$F$232+'Cálculos'!$F$125*(1+2.78*('Cálculos'!$F$197+(($B$225)-$A181)*'Cálculos'!$F$98)/(('Cálculos'!$F$197+(($B$225)-$A181)*'Cálculos'!$F$98)+1400)+'Cálculos'!$F$123)*'Cálculos'!$F$237)+('Cálculos'!$F$228+'Cálculos'!$F$124*(1+2.78*('Cálculos'!$F$197+(($B$225)-$A181)*'Cálculos'!$F$98)/(('Cálculos'!$F$197+(($B$225)-$A181)*'Cálculos'!$F$98)+1400)+'Cálculos'!$F$122)*'Cálculos'!$F$233+'Cálculos'!$F$125*(1+2.78*('Cálculos'!$F$197+(($B$225)-$A181)*'Cálculos'!$F$98)/(('Cálculos'!$F$197+(($B$225)-$A181)*'Cálculos'!$F$98)+1400)+'Cálculos'!$F$123)*'Cálculos'!$F$238)+('Cálculos'!$F$185*(1+'Cálculos'!$F$188+$A181*('Cálculos'!$F$290=1)*'Cálculos'!$F$97+'Cálculos'!$F$305)+'Cálculos'!$F$193)*('Cálculos'!$F$239+'Cálculos'!$F$124*(1+2.78*('Cálculos'!$F$198+(($B$225)-$A181)*'Cálculos'!$F$98)/(('Cálculos'!$F$198+(($B$225)-$A181)*'Cálculos'!$F$98)+1400)+'Cálculos'!$F$122)*'Cálculos'!$F$244+'Cálculos'!$F$125*(1+2.78*('Cálculos'!$F$198+(($B$225)-$A181)*'Cálculos'!$F$98)/(('Cálculos'!$F$198+(($B$225)-$A181)*'Cálculos'!$F$98)+1400)+'Cálculos'!$F$123)*'Cálculos'!$F$249)+('Cálculos'!$F$198+(($B$225)-$A181)*'Cálculos'!$F$98)*('Cálculos'!$F$240+'Cálculos'!$F$124*(1+2.78*('Cálculos'!$F$198+(($B$225)-$A181)*'Cálculos'!$F$98)/(('Cálculos'!$F$198+(($B$225)-$A181)*'Cálculos'!$F$98)+1400)+'Cálculos'!$F$122)*'Cálculos'!$F$245+'Cálculos'!$F$125*(1+2.78*('Cálculos'!$F$198+(($B$225)-$A181)*'Cálculos'!$F$98)/(('Cálculos'!$F$198+(($B$225)-$A181)*'Cálculos'!$F$98)+1400)+'Cálculos'!$F$123)*'Cálculos'!$F$250)+('Cálculos'!$F$201*(1+'Cálculos'!$F$202+$A181*('Cálculos'!$F$290=2)*'Cálculos'!$F$101)+'Cálculos'!$F$203)*('Cálculos'!$F$241+'Cálculos'!$F$124*(1+2.78*('Cálculos'!$F$198+(($B$225)-$A181)*'Cálculos'!$F$98)/(('Cálculos'!$F$198+(($B$225)-$A181)*'Cálculos'!$F$98)+1400)+'Cálculos'!$F$122)*'Cálculos'!$F$246+'Cálculos'!$F$125*(1+2.78*('Cálculos'!$F$198+(($B$225)-$A181)*'Cálculos'!$F$98)/(('Cálculos'!$F$198+(($B$225)-$A181)*'Cálculos'!$F$98)+1400)+'Cálculos'!$F$123)*'Cálculos'!$F$251)+('Cálculos'!$F$204*(1+'Cálculos'!$F$205+$A181*('Cálculos'!$F$290=3)*'Cálculos'!$F$103)+'Cálculos'!$F$206)*('Cálculos'!$F$242+'Cálculos'!$F$124*(1+2.78*('Cálculos'!$F$198+(($B$225)-$A181)*'Cálculos'!$F$98)/(('Cálculos'!$F$198+(($B$225)-$A181)*'Cálculos'!$F$98)+1400)+'Cálculos'!$F$122)*'Cálculos'!$F$247+'Cálculos'!$F$125*(1+2.78*('Cálculos'!$F$198+(($B$225)-$A181)*'Cálculos'!$F$98)/(('Cálculos'!$F$198+(($B$225)-$A181)*'Cálculos'!$F$98)+1400)+'Cálculos'!$F$123)*'Cálculos'!$F$252)+('Cálculos'!$F$243+'Cálculos'!$F$124*(1+2.78*('Cálculos'!$F$198+(($B$225)-$A181)*'Cálculos'!$F$98)/(('Cálculos'!$F$198+(($B$225)-$A181)*'Cálculos'!$F$98)+1400)+'Cálculos'!$F$122)*'Cálculos'!$F$248+'Cálculos'!$F$125*(1+2.78*('Cálculos'!$F$198+(($B$225)-$A181)*'Cálculos'!$F$98)/(('Cálculos'!$F$198+(($B$225)-$A181)*'Cálculos'!$F$98)+1400)+'Cálculos'!$F$123)*'Cálculos'!$F$253)+('Cálculos'!$F$185*(1+'Cálculos'!$F$189+$A181*('Cálculos'!$F$290=1)*'Cálculos'!$F$97+'Cálculos'!$F$305)+'Cálculos'!$F$194)*('Cálculos'!$F$254+'Cálculos'!$F$124*(1+2.78*('Cálculos'!$F$199+(($B$225)-$A181)*'Cálculos'!$F$98)/(('Cálculos'!$F$199+(($B$225)-$A181)*'Cálculos'!$F$98)+1400)+'Cálculos'!$F$122)*'Cálculos'!$F$259+'Cálculos'!$F$125*(1+2.78*('Cálculos'!$F$199+(($B$225)-$A181)*'Cálculos'!$F$98)/(('Cálculos'!$F$199+(($B$225)-$A181)*'Cálculos'!$F$98)+1400)+'Cálculos'!$F$123)*'Cálculos'!$F$264)+('Cálculos'!$F$199+(($B$225)-$A181)*'Cálculos'!$F$98)*('Cálculos'!$F$255+'Cálculos'!$F$124*(1+2.78*('Cálculos'!$F$199+(($B$225)-$A181)*'Cálculos'!$F$98)/(('Cálculos'!$F$199+(($B$225)-$A181)*'Cálculos'!$F$98)+1400)+'Cálculos'!$F$122)*'Cálculos'!$F$260+'Cálculos'!$F$125*(1+2.78*('Cálculos'!$F$199+(($B$225)-$A181)*'Cálculos'!$F$98)/(('Cálculos'!$F$199+(($B$225)-$A181)*'Cálculos'!$F$98)+1400)+'Cálculos'!$F$123)*'Cálculos'!$F$265)+('Cálculos'!$F$201*(1+'Cálculos'!$F$202+$A181*('Cálculos'!$F$290=2)*'Cálculos'!$F$101)+'Cálculos'!$F$203)*('Cálculos'!$F$256+'Cálculos'!$F$124*(1+2.78*('Cálculos'!$F$199+(($B$225)-$A181)*'Cálculos'!$F$98)/(('Cálculos'!$F$199+(($B$225)-$A181)*'Cálculos'!$F$98)+1400)+'Cálculos'!$F$122)*'Cálculos'!$F$261+'Cálculos'!$F$125*(1+2.78*('Cálculos'!$F$199+(($B$225)-$A181)*'Cálculos'!$F$98)/(('Cálculos'!$F$199+(($B$225)-$A181)*'Cálculos'!$F$98)+1400)+'Cálculos'!$F$123)*'Cálculos'!$F$266)+('Cálculos'!$F$204*(1+'Cálculos'!$F$205+$A181*('Cálculos'!$F$290=3)*'Cálculos'!$F$103)+'Cálculos'!$F$206)*('Cálculos'!$F$257+'Cálculos'!$F$124*(1+2.78*('Cálculos'!$F$199+(($B$225)-$A181)*'Cálculos'!$F$98)/(('Cálculos'!$F$199+(($B$225)-$A181)*'Cálculos'!$F$98)+1400)+'Cálculos'!$F$122)*'Cálculos'!$F$262+'Cálculos'!$F$125*(1+2.78*('Cálculos'!$F$199+(($B$225)-$A181)*'Cálculos'!$F$98)/(('Cálculos'!$F$199+(($B$225)-$A181)*'Cálculos'!$F$98)+1400)+'Cálculos'!$F$123)*'Cálculos'!$F$267)+('Cálculos'!$F$258+'Cálculos'!$F$124*(1+2.78*('Cálculos'!$F$199+(($B$225)-$A181)*'Cálculos'!$F$98)/(('Cálculos'!$F$199+(($B$225)-$A181)*'Cálculos'!$F$98)+1400)+'Cálculos'!$F$122)*'Cálculos'!$F$263+'Cálculos'!$F$125*(1+2.78*('Cálculos'!$F$199+(($B$225)-$A181)*'Cálculos'!$F$98)/(('Cálculos'!$F$199+(($B$225)-$A181)*'Cálculos'!$F$98)+1400)+'Cálculos'!$F$123)*'Cálculos'!$F$268)+('Cálculos'!$F$185*(1+'Cálculos'!$F$190+$A181*('Cálculos'!$F$290=1)*'Cálculos'!$F$97+'Cálculos'!$F$305)+'Cálculos'!$F$195)*('Cálculos'!$F$269+'Cálculos'!$F$124*(1+2.78*('Cálculos'!$F$200+(($B$225)-$A181)*'Cálculos'!$F$98)/(('Cálculos'!$F$200+(($B$225)-$A181)*'Cálculos'!$F$98)+1400)+'Cálculos'!$F$122)*'Cálculos'!$F$274+'Cálculos'!$F$125*(1+2.78*('Cálculos'!$F$200+(($B$225)-$A181)*'Cálculos'!$F$98)/(('Cálculos'!$F$200+(($B$225)-$A181)*'Cálculos'!$F$98)+1400)+'Cálculos'!$F$123)*'Cálculos'!$F$279)+('Cálculos'!$F$200+(($B$225)-$A181)*'Cálculos'!$F$98)*('Cálculos'!$F$270+'Cálculos'!$F$124*(1+2.78*('Cálculos'!$F$200+(($B$225)-$A181)*'Cálculos'!$F$98)/(('Cálculos'!$F$200+(($B$225)-$A181)*'Cálculos'!$F$98)+1400)+'Cálculos'!$F$122)*'Cálculos'!$F$275+'Cálculos'!$F$125*(1+2.78*('Cálculos'!$F$200+(($B$225)-$A181)*'Cálculos'!$F$98)/(('Cálculos'!$F$200+(($B$225)-$A181)*'Cálculos'!$F$98)+1400)+'Cálculos'!$F$123)*'Cálculos'!$F$280)+('Cálculos'!$F$201*(1+'Cálculos'!$F$202+$A181*('Cálculos'!$F$290=2)*'Cálculos'!$F$101)+'Cálculos'!$F$203)*('Cálculos'!$F$271+'Cálculos'!$F$124*(1+2.78*('Cálculos'!$F$200+(($B$225)-$A181)*'Cálculos'!$F$98)/(('Cálculos'!$F$200+(($B$225)-$A181)*'Cálculos'!$F$98)+1400)+'Cálculos'!$F$122)*'Cálculos'!$F$276+'Cálculos'!$F$125*(1+2.78*('Cálculos'!$F$200+(($B$225)-$A181)*'Cálculos'!$F$98)/(('Cálculos'!$F$200+(($B$225)-$A181)*'Cálculos'!$F$98)+1400)+'Cálculos'!$F$123)*'Cálculos'!$F$281)+('Cálculos'!$F$204*(1+'Cálculos'!$F$205+$A181*('Cálculos'!$F$290=3)*'Cálculos'!$F$103)+'Cálculos'!$F$206)*('Cálculos'!$F$272+'Cálculos'!$F$124*(1+2.78*('Cálculos'!$F$200+(($B$225)-$A181)*'Cálculos'!$F$98)/(('Cálculos'!$F$200+(($B$225)-$A181)*'Cálculos'!$F$98)+1400)+'Cálculos'!$F$122)*'Cálculos'!$F$277+'Cálculos'!$F$125*(1+2.78*('Cálculos'!$F$200+(($B$225)-$A181)*'Cálculos'!$F$98)/(('Cálculos'!$F$200+(($B$225)-$A181)*'Cálculos'!$F$98)+1400)+'Cálculos'!$F$123)*'Cálculos'!$F$282)+('Cálculos'!$F$273+'Cálculos'!$F$124*(1+2.78*('Cálculos'!$F$200+(($B$225)-$A181)*'Cálculos'!$F$98)/(('Cálculos'!$F$200+(($B$225)-$A181)*'Cálculos'!$F$98)+1400)+'Cálculos'!$F$122)*'Cálculos'!$F$278+'Cálculos'!$F$125*(1+2.78*('Cálculos'!$F$200+(($B$225)-$A181)*'Cálculos'!$F$98)/(('Cálculos'!$F$200+(($B$225)-$A181)*'Cálculos'!$F$98)+1400)+'Cálculos'!$F$123)*'Cálculos'!$F$283)))</f>
        <v>0</v>
      </c>
    </row>
    <row r="182" ht="15.75" customHeight="1">
      <c r="A182" s="2">
        <v>5.0</v>
      </c>
      <c r="B182" s="30">
        <f>SUMPRODUCT(MAX(($A$177:$A$222&lt;=$A182)*($A$177:$A$222&lt;='Cálculos'!$F$294)*(($A182)-$A$177:$A$222&lt;='Cálculos'!$F$295)*(1+(('Cálculos'!$F$207+$A$177:$A$222*'Cálculos'!$F$95)-(('Cálculos'!$F$207+$A$177:$A$222*'Cálculos'!$F$95)&gt;1)*(('Cálculos'!$F$207+$A$177:$A$222*'Cálculos'!$F$95)-1))*('Cálculos'!$F$208+(($A182)-$A$177:$A$222)*'Cálculos'!$F$96))))</f>
        <v>1.753616</v>
      </c>
      <c r="C182" s="2">
        <f>'Cálculos'!$F$303-$A182</f>
        <v>13</v>
      </c>
      <c r="D182" s="31">
        <f>IF($C182&lt;0,0,SUMPRODUCT(MAX(($A$177:$A$222&lt;=$C182)*($A$177:$A$222&lt;='Cálculos'!$F$301)*(($C182)-$A$177:$A$222&lt;='Cálculos'!$F$297)*(('Cálculos'!$F$185*(1+'Cálculos'!$F$186+$A$177:$A$222*('Cálculos'!$F$290=1)*'Cálculos'!$F$97+'Cálculos'!$F$305)+'Cálculos'!$F$191)*('Cálculos'!$F$209+'Cálculos'!$F$124*(1+2.78*('Cálculos'!$F$196+(($C182)-$A$177:$A$222)*'Cálculos'!$F$98)/(('Cálculos'!$F$196+(($C182)-$A$177:$A$222)*'Cálculos'!$F$98)+1400)+'Cálculos'!$F$122)*'Cálculos'!$F$214+'Cálculos'!$F$125*(1+2.78*('Cálculos'!$F$196+(($C182)-$A$177:$A$222)*'Cálculos'!$F$98)/(('Cálculos'!$F$196+(($C182)-$A$177:$A$222)*'Cálculos'!$F$98)+1400)+'Cálculos'!$F$123)*'Cálculos'!$F$219)+('Cálculos'!$F$196+(($C182)-$A$177:$A$222)*'Cálculos'!$F$98)*('Cálculos'!$F$210+'Cálculos'!$F$124*(1+2.78*('Cálculos'!$F$196+(($C182)-$A$177:$A$222)*'Cálculos'!$F$98)/(('Cálculos'!$F$196+(($C182)-$A$177:$A$222)*'Cálculos'!$F$98)+1400)+'Cálculos'!$F$122)*'Cálculos'!$F$215+'Cálculos'!$F$125*(1+2.78*('Cálculos'!$F$196+(($C182)-$A$177:$A$222)*'Cálculos'!$F$98)/(('Cálculos'!$F$196+(($C182)-$A$177:$A$222)*'Cálculos'!$F$98)+1400)+'Cálculos'!$F$123)*'Cálculos'!$F$220)+('Cálculos'!$F$201*(1+'Cálculos'!$F$202+$A$177:$A$222*('Cálculos'!$F$290=2)*'Cálculos'!$F$101)+'Cálculos'!$F$203)*('Cálculos'!$F$211+'Cálculos'!$F$124*(1+2.78*('Cálculos'!$F$196+(($C182)-$A$177:$A$222)*'Cálculos'!$F$98)/(('Cálculos'!$F$196+(($C182)-$A$177:$A$222)*'Cálculos'!$F$98)+1400)+'Cálculos'!$F$122)*'Cálculos'!$F$216+'Cálculos'!$F$125*(1+2.78*('Cálculos'!$F$196+(($C182)-$A$177:$A$222)*'Cálculos'!$F$98)/(('Cálculos'!$F$196+(($C182)-$A$177:$A$222)*'Cálculos'!$F$98)+1400)+'Cálculos'!$F$123)*'Cálculos'!$F$221)+('Cálculos'!$F$204*(1+'Cálculos'!$F$205+$A$177:$A$222*('Cálculos'!$F$290=3)*'Cálculos'!$F$103)+'Cálculos'!$F$206)*('Cálculos'!$F$212+'Cálculos'!$F$124*(1+2.78*('Cálculos'!$F$196+(($C182)-$A$177:$A$222)*'Cálculos'!$F$98)/(('Cálculos'!$F$196+(($C182)-$A$177:$A$222)*'Cálculos'!$F$98)+1400)+'Cálculos'!$F$122)*'Cálculos'!$F$217+'Cálculos'!$F$125*(1+2.78*('Cálculos'!$F$196+(($C182)-$A$177:$A$222)*'Cálculos'!$F$98)/(('Cálculos'!$F$196+(($C182)-$A$177:$A$222)*'Cálculos'!$F$98)+1400)+'Cálculos'!$F$123)*'Cálculos'!$F$222)+('Cálculos'!$F$213+'Cálculos'!$F$124*(1+2.78*('Cálculos'!$F$196+(($C182)-$A$177:$A$222)*'Cálculos'!$F$98)/(('Cálculos'!$F$196+(($C182)-$A$177:$A$222)*'Cálculos'!$F$98)+1400)+'Cálculos'!$F$122)*'Cálculos'!$F$218+'Cálculos'!$F$125*(1+2.78*('Cálculos'!$F$196+(($C182)-$A$177:$A$222)*'Cálculos'!$F$98)/(('Cálculos'!$F$196+(($C182)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182)-$A$177:$A$222)*'Cálculos'!$F$98)/(('Cálculos'!$F$197+(($C182)-$A$177:$A$222)*'Cálculos'!$F$98)+1400)+'Cálculos'!$F$122)*'Cálculos'!$F$229+'Cálculos'!$F$125*(1+2.78*('Cálculos'!$F$197+(($C182)-$A$177:$A$222)*'Cálculos'!$F$98)/(('Cálculos'!$F$197+(($C182)-$A$177:$A$222)*'Cálculos'!$F$98)+1400)+'Cálculos'!$F$123)*'Cálculos'!$F$234)+('Cálculos'!$F$197+(($C182)-$A$177:$A$222)*'Cálculos'!$F$98)*('Cálculos'!$F$225+'Cálculos'!$F$124*(1+2.78*('Cálculos'!$F$197+(($C182)-$A$177:$A$222)*'Cálculos'!$F$98)/(('Cálculos'!$F$197+(($C182)-$A$177:$A$222)*'Cálculos'!$F$98)+1400)+'Cálculos'!$F$122)*'Cálculos'!$F$230+'Cálculos'!$F$125*(1+2.78*('Cálculos'!$F$197+(($C182)-$A$177:$A$222)*'Cálculos'!$F$98)/(('Cálculos'!$F$197+(($C182)-$A$177:$A$222)*'Cálculos'!$F$98)+1400)+'Cálculos'!$F$123)*'Cálculos'!$F$235)+('Cálculos'!$F$201*(1+'Cálculos'!$F$202+$A$177:$A$222*('Cálculos'!$F$290=2)*'Cálculos'!$F$101)+'Cálculos'!$F$203)*('Cálculos'!$F$226+'Cálculos'!$F$124*(1+2.78*('Cálculos'!$F$197+(($C182)-$A$177:$A$222)*'Cálculos'!$F$98)/(('Cálculos'!$F$197+(($C182)-$A$177:$A$222)*'Cálculos'!$F$98)+1400)+'Cálculos'!$F$122)*'Cálculos'!$F$231+'Cálculos'!$F$125*(1+2.78*('Cálculos'!$F$197+(($C182)-$A$177:$A$222)*'Cálculos'!$F$98)/(('Cálculos'!$F$197+(($C182)-$A$177:$A$222)*'Cálculos'!$F$98)+1400)+'Cálculos'!$F$123)*'Cálculos'!$F$236)+('Cálculos'!$F$204*(1+'Cálculos'!$F$205+$A$177:$A$222*('Cálculos'!$F$290=3)*'Cálculos'!$F$103)+'Cálculos'!$F$206)*('Cálculos'!$F$227+'Cálculos'!$F$124*(1+2.78*('Cálculos'!$F$197+(($C182)-$A$177:$A$222)*'Cálculos'!$F$98)/(('Cálculos'!$F$197+(($C182)-$A$177:$A$222)*'Cálculos'!$F$98)+1400)+'Cálculos'!$F$122)*'Cálculos'!$F$232+'Cálculos'!$F$125*(1+2.78*('Cálculos'!$F$197+(($C182)-$A$177:$A$222)*'Cálculos'!$F$98)/(('Cálculos'!$F$197+(($C182)-$A$177:$A$222)*'Cálculos'!$F$98)+1400)+'Cálculos'!$F$123)*'Cálculos'!$F$237)+('Cálculos'!$F$228+'Cálculos'!$F$124*(1+2.78*('Cálculos'!$F$197+(($C182)-$A$177:$A$222)*'Cálculos'!$F$98)/(('Cálculos'!$F$197+(($C182)-$A$177:$A$222)*'Cálculos'!$F$98)+1400)+'Cálculos'!$F$122)*'Cálculos'!$F$233+'Cálculos'!$F$125*(1+2.78*('Cálculos'!$F$197+(($C182)-$A$177:$A$222)*'Cálculos'!$F$98)/(('Cálculos'!$F$197+(($C182)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182)-$A$177:$A$222)*'Cálculos'!$F$98)/(('Cálculos'!$F$198+(($C182)-$A$177:$A$222)*'Cálculos'!$F$98)+1400)+'Cálculos'!$F$122)*'Cálculos'!$F$244+'Cálculos'!$F$125*(1+2.78*('Cálculos'!$F$198+(($C182)-$A$177:$A$222)*'Cálculos'!$F$98)/(('Cálculos'!$F$198+(($C182)-$A$177:$A$222)*'Cálculos'!$F$98)+1400)+'Cálculos'!$F$123)*'Cálculos'!$F$249)+('Cálculos'!$F$198+(($C182)-$A$177:$A$222)*'Cálculos'!$F$98)*('Cálculos'!$F$240+'Cálculos'!$F$124*(1+2.78*('Cálculos'!$F$198+(($C182)-$A$177:$A$222)*'Cálculos'!$F$98)/(('Cálculos'!$F$198+(($C182)-$A$177:$A$222)*'Cálculos'!$F$98)+1400)+'Cálculos'!$F$122)*'Cálculos'!$F$245+'Cálculos'!$F$125*(1+2.78*('Cálculos'!$F$198+(($C182)-$A$177:$A$222)*'Cálculos'!$F$98)/(('Cálculos'!$F$198+(($C182)-$A$177:$A$222)*'Cálculos'!$F$98)+1400)+'Cálculos'!$F$123)*'Cálculos'!$F$250)+('Cálculos'!$F$201*(1+'Cálculos'!$F$202+$A$177:$A$222*('Cálculos'!$F$290=2)*'Cálculos'!$F$101)+'Cálculos'!$F$203)*('Cálculos'!$F$241+'Cálculos'!$F$124*(1+2.78*('Cálculos'!$F$198+(($C182)-$A$177:$A$222)*'Cálculos'!$F$98)/(('Cálculos'!$F$198+(($C182)-$A$177:$A$222)*'Cálculos'!$F$98)+1400)+'Cálculos'!$F$122)*'Cálculos'!$F$246+'Cálculos'!$F$125*(1+2.78*('Cálculos'!$F$198+(($C182)-$A$177:$A$222)*'Cálculos'!$F$98)/(('Cálculos'!$F$198+(($C182)-$A$177:$A$222)*'Cálculos'!$F$98)+1400)+'Cálculos'!$F$123)*'Cálculos'!$F$251)+('Cálculos'!$F$204*(1+'Cálculos'!$F$205+$A$177:$A$222*('Cálculos'!$F$290=3)*'Cálculos'!$F$103)+'Cálculos'!$F$206)*('Cálculos'!$F$242+'Cálculos'!$F$124*(1+2.78*('Cálculos'!$F$198+(($C182)-$A$177:$A$222)*'Cálculos'!$F$98)/(('Cálculos'!$F$198+(($C182)-$A$177:$A$222)*'Cálculos'!$F$98)+1400)+'Cálculos'!$F$122)*'Cálculos'!$F$247+'Cálculos'!$F$125*(1+2.78*('Cálculos'!$F$198+(($C182)-$A$177:$A$222)*'Cálculos'!$F$98)/(('Cálculos'!$F$198+(($C182)-$A$177:$A$222)*'Cálculos'!$F$98)+1400)+'Cálculos'!$F$123)*'Cálculos'!$F$252)+('Cálculos'!$F$243+'Cálculos'!$F$124*(1+2.78*('Cálculos'!$F$198+(($C182)-$A$177:$A$222)*'Cálculos'!$F$98)/(('Cálculos'!$F$198+(($C182)-$A$177:$A$222)*'Cálculos'!$F$98)+1400)+'Cálculos'!$F$122)*'Cálculos'!$F$248+'Cálculos'!$F$125*(1+2.78*('Cálculos'!$F$198+(($C182)-$A$177:$A$222)*'Cálculos'!$F$98)/(('Cálculos'!$F$198+(($C182)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182)-$A$177:$A$222)*'Cálculos'!$F$98)/(('Cálculos'!$F$199+(($C182)-$A$177:$A$222)*'Cálculos'!$F$98)+1400)+'Cálculos'!$F$122)*'Cálculos'!$F$259+'Cálculos'!$F$125*(1+2.78*('Cálculos'!$F$199+(($C182)-$A$177:$A$222)*'Cálculos'!$F$98)/(('Cálculos'!$F$199+(($C182)-$A$177:$A$222)*'Cálculos'!$F$98)+1400)+'Cálculos'!$F$123)*'Cálculos'!$F$264)+('Cálculos'!$F$199+(($C182)-$A$177:$A$222)*'Cálculos'!$F$98)*('Cálculos'!$F$255+'Cálculos'!$F$124*(1+2.78*('Cálculos'!$F$199+(($C182)-$A$177:$A$222)*'Cálculos'!$F$98)/(('Cálculos'!$F$199+(($C182)-$A$177:$A$222)*'Cálculos'!$F$98)+1400)+'Cálculos'!$F$122)*'Cálculos'!$F$260+'Cálculos'!$F$125*(1+2.78*('Cálculos'!$F$199+(($C182)-$A$177:$A$222)*'Cálculos'!$F$98)/(('Cálculos'!$F$199+(($C182)-$A$177:$A$222)*'Cálculos'!$F$98)+1400)+'Cálculos'!$F$123)*'Cálculos'!$F$265)+('Cálculos'!$F$201*(1+'Cálculos'!$F$202+$A$177:$A$222*('Cálculos'!$F$290=2)*'Cálculos'!$F$101)+'Cálculos'!$F$203)*('Cálculos'!$F$256+'Cálculos'!$F$124*(1+2.78*('Cálculos'!$F$199+(($C182)-$A$177:$A$222)*'Cálculos'!$F$98)/(('Cálculos'!$F$199+(($C182)-$A$177:$A$222)*'Cálculos'!$F$98)+1400)+'Cálculos'!$F$122)*'Cálculos'!$F$261+'Cálculos'!$F$125*(1+2.78*('Cálculos'!$F$199+(($C182)-$A$177:$A$222)*'Cálculos'!$F$98)/(('Cálculos'!$F$199+(($C182)-$A$177:$A$222)*'Cálculos'!$F$98)+1400)+'Cálculos'!$F$123)*'Cálculos'!$F$266)+('Cálculos'!$F$204*(1+'Cálculos'!$F$205+$A$177:$A$222*('Cálculos'!$F$290=3)*'Cálculos'!$F$103)+'Cálculos'!$F$206)*('Cálculos'!$F$257+'Cálculos'!$F$124*(1+2.78*('Cálculos'!$F$199+(($C182)-$A$177:$A$222)*'Cálculos'!$F$98)/(('Cálculos'!$F$199+(($C182)-$A$177:$A$222)*'Cálculos'!$F$98)+1400)+'Cálculos'!$F$122)*'Cálculos'!$F$262+'Cálculos'!$F$125*(1+2.78*('Cálculos'!$F$199+(($C182)-$A$177:$A$222)*'Cálculos'!$F$98)/(('Cálculos'!$F$199+(($C182)-$A$177:$A$222)*'Cálculos'!$F$98)+1400)+'Cálculos'!$F$123)*'Cálculos'!$F$267)+('Cálculos'!$F$258+'Cálculos'!$F$124*(1+2.78*('Cálculos'!$F$199+(($C182)-$A$177:$A$222)*'Cálculos'!$F$98)/(('Cálculos'!$F$199+(($C182)-$A$177:$A$222)*'Cálculos'!$F$98)+1400)+'Cálculos'!$F$122)*'Cálculos'!$F$263+'Cálculos'!$F$125*(1+2.78*('Cálculos'!$F$199+(($C182)-$A$177:$A$222)*'Cálculos'!$F$98)/(('Cálculos'!$F$199+(($C182)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182)-$A$177:$A$222)*'Cálculos'!$F$98)/(('Cálculos'!$F$200+(($C182)-$A$177:$A$222)*'Cálculos'!$F$98)+1400)+'Cálculos'!$F$122)*'Cálculos'!$F$274+'Cálculos'!$F$125*(1+2.78*('Cálculos'!$F$200+(($C182)-$A$177:$A$222)*'Cálculos'!$F$98)/(('Cálculos'!$F$200+(($C182)-$A$177:$A$222)*'Cálculos'!$F$98)+1400)+'Cálculos'!$F$123)*'Cálculos'!$F$279)+('Cálculos'!$F$200+(($C182)-$A$177:$A$222)*'Cálculos'!$F$98)*('Cálculos'!$F$270+'Cálculos'!$F$124*(1+2.78*('Cálculos'!$F$200+(($C182)-$A$177:$A$222)*'Cálculos'!$F$98)/(('Cálculos'!$F$200+(($C182)-$A$177:$A$222)*'Cálculos'!$F$98)+1400)+'Cálculos'!$F$122)*'Cálculos'!$F$275+'Cálculos'!$F$125*(1+2.78*('Cálculos'!$F$200+(($C182)-$A$177:$A$222)*'Cálculos'!$F$98)/(('Cálculos'!$F$200+(($C182)-$A$177:$A$222)*'Cálculos'!$F$98)+1400)+'Cálculos'!$F$123)*'Cálculos'!$F$280)+('Cálculos'!$F$201*(1+'Cálculos'!$F$202+$A$177:$A$222*('Cálculos'!$F$290=2)*'Cálculos'!$F$101)+'Cálculos'!$F$203)*('Cálculos'!$F$271+'Cálculos'!$F$124*(1+2.78*('Cálculos'!$F$200+(($C182)-$A$177:$A$222)*'Cálculos'!$F$98)/(('Cálculos'!$F$200+(($C182)-$A$177:$A$222)*'Cálculos'!$F$98)+1400)+'Cálculos'!$F$122)*'Cálculos'!$F$276+'Cálculos'!$F$125*(1+2.78*('Cálculos'!$F$200+(($C182)-$A$177:$A$222)*'Cálculos'!$F$98)/(('Cálculos'!$F$200+(($C182)-$A$177:$A$222)*'Cálculos'!$F$98)+1400)+'Cálculos'!$F$123)*'Cálculos'!$F$281)+('Cálculos'!$F$204*(1+'Cálculos'!$F$205+$A$177:$A$222*('Cálculos'!$F$290=3)*'Cálculos'!$F$103)+'Cálculos'!$F$206)*('Cálculos'!$F$272+'Cálculos'!$F$124*(1+2.78*('Cálculos'!$F$200+(($C182)-$A$177:$A$222)*'Cálculos'!$F$98)/(('Cálculos'!$F$200+(($C182)-$A$177:$A$222)*'Cálculos'!$F$98)+1400)+'Cálculos'!$F$122)*'Cálculos'!$F$277+'Cálculos'!$F$125*(1+2.78*('Cálculos'!$F$200+(($C182)-$A$177:$A$222)*'Cálculos'!$F$98)/(('Cálculos'!$F$200+(($C182)-$A$177:$A$222)*'Cálculos'!$F$98)+1400)+'Cálculos'!$F$123)*'Cálculos'!$F$282)+('Cálculos'!$F$273+'Cálculos'!$F$124*(1+2.78*('Cálculos'!$F$200+(($C182)-$A$177:$A$222)*'Cálculos'!$F$98)/(('Cálculos'!$F$200+(($C182)-$A$177:$A$222)*'Cálculos'!$F$98)+1400)+'Cálculos'!$F$122)*'Cálculos'!$F$278+'Cálculos'!$F$125*(1+2.78*('Cálculos'!$F$200+(($C182)-$A$177:$A$222)*'Cálculos'!$F$98)/(('Cálculos'!$F$200+(($C182)-$A$177:$A$222)*'Cálculos'!$F$98)+1400)+'Cálculos'!$F$123)*'Cálculos'!$F$283)))))</f>
        <v>22255.64283</v>
      </c>
      <c r="E182" s="32">
        <f>IF(OR($C182&lt;0,'Cálculos'!$F$6=""),0,$B182*$D182)</f>
        <v>39027.85135</v>
      </c>
      <c r="F182" s="2"/>
      <c r="G182" s="30">
        <f>($A182&lt;=$B$224)*($A182&lt;='Cálculos'!$F$294)*(($B$224)-$A182&lt;='Cálculos'!$F$295)*(1+MIN(('Cálculos'!$F$207+$A182*'Cálculos'!$F$95),1)*('Cálculos'!$F$208+(($B$224)-$A182)*'Cálculos'!$F$96))</f>
        <v>2.261552</v>
      </c>
      <c r="H182" s="31">
        <f>IF($B$225&lt;0,0,($A182&lt;=$B$225)*($A182&lt;='Cálculos'!$F$301)*(($B$225)-$A182&lt;='Cálculos'!$F$297)*(('Cálculos'!$F$185*(1+'Cálculos'!$F$186+$A182*('Cálculos'!$F$290=1)*'Cálculos'!$F$97+'Cálculos'!$F$305)+'Cálculos'!$F$191)*('Cálculos'!$F$209+'Cálculos'!$F$124*(1+2.78*('Cálculos'!$F$196+(($B$225)-$A182)*'Cálculos'!$F$98)/(('Cálculos'!$F$196+(($B$225)-$A182)*'Cálculos'!$F$98)+1400)+'Cálculos'!$F$122)*'Cálculos'!$F$214+'Cálculos'!$F$125*(1+2.78*('Cálculos'!$F$196+(($B$225)-$A182)*'Cálculos'!$F$98)/(('Cálculos'!$F$196+(($B$225)-$A182)*'Cálculos'!$F$98)+1400)+'Cálculos'!$F$123)*'Cálculos'!$F$219)+('Cálculos'!$F$196+(($B$225)-$A182)*'Cálculos'!$F$98)*('Cálculos'!$F$210+'Cálculos'!$F$124*(1+2.78*('Cálculos'!$F$196+(($B$225)-$A182)*'Cálculos'!$F$98)/(('Cálculos'!$F$196+(($B$225)-$A182)*'Cálculos'!$F$98)+1400)+'Cálculos'!$F$122)*'Cálculos'!$F$215+'Cálculos'!$F$125*(1+2.78*('Cálculos'!$F$196+(($B$225)-$A182)*'Cálculos'!$F$98)/(('Cálculos'!$F$196+(($B$225)-$A182)*'Cálculos'!$F$98)+1400)+'Cálculos'!$F$123)*'Cálculos'!$F$220)+('Cálculos'!$F$201*(1+'Cálculos'!$F$202+$A182*('Cálculos'!$F$290=2)*'Cálculos'!$F$101)+'Cálculos'!$F$203)*('Cálculos'!$F$211+'Cálculos'!$F$124*(1+2.78*('Cálculos'!$F$196+(($B$225)-$A182)*'Cálculos'!$F$98)/(('Cálculos'!$F$196+(($B$225)-$A182)*'Cálculos'!$F$98)+1400)+'Cálculos'!$F$122)*'Cálculos'!$F$216+'Cálculos'!$F$125*(1+2.78*('Cálculos'!$F$196+(($B$225)-$A182)*'Cálculos'!$F$98)/(('Cálculos'!$F$196+(($B$225)-$A182)*'Cálculos'!$F$98)+1400)+'Cálculos'!$F$123)*'Cálculos'!$F$221)+('Cálculos'!$F$204*(1+'Cálculos'!$F$205+$A182*('Cálculos'!$F$290=3)*'Cálculos'!$F$103)+'Cálculos'!$F$206)*('Cálculos'!$F$212+'Cálculos'!$F$124*(1+2.78*('Cálculos'!$F$196+(($B$225)-$A182)*'Cálculos'!$F$98)/(('Cálculos'!$F$196+(($B$225)-$A182)*'Cálculos'!$F$98)+1400)+'Cálculos'!$F$122)*'Cálculos'!$F$217+'Cálculos'!$F$125*(1+2.78*('Cálculos'!$F$196+(($B$225)-$A182)*'Cálculos'!$F$98)/(('Cálculos'!$F$196+(($B$225)-$A182)*'Cálculos'!$F$98)+1400)+'Cálculos'!$F$123)*'Cálculos'!$F$222)+('Cálculos'!$F$213+'Cálculos'!$F$124*(1+2.78*('Cálculos'!$F$196+(($B$225)-$A182)*'Cálculos'!$F$98)/(('Cálculos'!$F$196+(($B$225)-$A182)*'Cálculos'!$F$98)+1400)+'Cálculos'!$F$122)*'Cálculos'!$F$218+'Cálculos'!$F$125*(1+2.78*('Cálculos'!$F$196+(($B$225)-$A182)*'Cálculos'!$F$98)/(('Cálculos'!$F$196+(($B$225)-$A182)*'Cálculos'!$F$98)+1400)+'Cálculos'!$F$123)*'Cálculos'!$F$223)+('Cálculos'!$F$185*(1+'Cálculos'!$F$187+$A182*('Cálculos'!$F$290=1)*'Cálculos'!$F$97+'Cálculos'!$F$305)+'Cálculos'!$F$192)*('Cálculos'!$F$224+'Cálculos'!$F$124*(1+2.78*('Cálculos'!$F$197+(($B$225)-$A182)*'Cálculos'!$F$98)/(('Cálculos'!$F$197+(($B$225)-$A182)*'Cálculos'!$F$98)+1400)+'Cálculos'!$F$122)*'Cálculos'!$F$229+'Cálculos'!$F$125*(1+2.78*('Cálculos'!$F$197+(($B$225)-$A182)*'Cálculos'!$F$98)/(('Cálculos'!$F$197+(($B$225)-$A182)*'Cálculos'!$F$98)+1400)+'Cálculos'!$F$123)*'Cálculos'!$F$234)+('Cálculos'!$F$197+(($B$225)-$A182)*'Cálculos'!$F$98)*('Cálculos'!$F$225+'Cálculos'!$F$124*(1+2.78*('Cálculos'!$F$197+(($B$225)-$A182)*'Cálculos'!$F$98)/(('Cálculos'!$F$197+(($B$225)-$A182)*'Cálculos'!$F$98)+1400)+'Cálculos'!$F$122)*'Cálculos'!$F$230+'Cálculos'!$F$125*(1+2.78*('Cálculos'!$F$197+(($B$225)-$A182)*'Cálculos'!$F$98)/(('Cálculos'!$F$197+(($B$225)-$A182)*'Cálculos'!$F$98)+1400)+'Cálculos'!$F$123)*'Cálculos'!$F$235)+('Cálculos'!$F$201*(1+'Cálculos'!$F$202+$A182*('Cálculos'!$F$290=2)*'Cálculos'!$F$101)+'Cálculos'!$F$203)*('Cálculos'!$F$226+'Cálculos'!$F$124*(1+2.78*('Cálculos'!$F$197+(($B$225)-$A182)*'Cálculos'!$F$98)/(('Cálculos'!$F$197+(($B$225)-$A182)*'Cálculos'!$F$98)+1400)+'Cálculos'!$F$122)*'Cálculos'!$F$231+'Cálculos'!$F$125*(1+2.78*('Cálculos'!$F$197+(($B$225)-$A182)*'Cálculos'!$F$98)/(('Cálculos'!$F$197+(($B$225)-$A182)*'Cálculos'!$F$98)+1400)+'Cálculos'!$F$123)*'Cálculos'!$F$236)+('Cálculos'!$F$204*(1+'Cálculos'!$F$205+$A182*('Cálculos'!$F$290=3)*'Cálculos'!$F$103)+'Cálculos'!$F$206)*('Cálculos'!$F$227+'Cálculos'!$F$124*(1+2.78*('Cálculos'!$F$197+(($B$225)-$A182)*'Cálculos'!$F$98)/(('Cálculos'!$F$197+(($B$225)-$A182)*'Cálculos'!$F$98)+1400)+'Cálculos'!$F$122)*'Cálculos'!$F$232+'Cálculos'!$F$125*(1+2.78*('Cálculos'!$F$197+(($B$225)-$A182)*'Cálculos'!$F$98)/(('Cálculos'!$F$197+(($B$225)-$A182)*'Cálculos'!$F$98)+1400)+'Cálculos'!$F$123)*'Cálculos'!$F$237)+('Cálculos'!$F$228+'Cálculos'!$F$124*(1+2.78*('Cálculos'!$F$197+(($B$225)-$A182)*'Cálculos'!$F$98)/(('Cálculos'!$F$197+(($B$225)-$A182)*'Cálculos'!$F$98)+1400)+'Cálculos'!$F$122)*'Cálculos'!$F$233+'Cálculos'!$F$125*(1+2.78*('Cálculos'!$F$197+(($B$225)-$A182)*'Cálculos'!$F$98)/(('Cálculos'!$F$197+(($B$225)-$A182)*'Cálculos'!$F$98)+1400)+'Cálculos'!$F$123)*'Cálculos'!$F$238)+('Cálculos'!$F$185*(1+'Cálculos'!$F$188+$A182*('Cálculos'!$F$290=1)*'Cálculos'!$F$97+'Cálculos'!$F$305)+'Cálculos'!$F$193)*('Cálculos'!$F$239+'Cálculos'!$F$124*(1+2.78*('Cálculos'!$F$198+(($B$225)-$A182)*'Cálculos'!$F$98)/(('Cálculos'!$F$198+(($B$225)-$A182)*'Cálculos'!$F$98)+1400)+'Cálculos'!$F$122)*'Cálculos'!$F$244+'Cálculos'!$F$125*(1+2.78*('Cálculos'!$F$198+(($B$225)-$A182)*'Cálculos'!$F$98)/(('Cálculos'!$F$198+(($B$225)-$A182)*'Cálculos'!$F$98)+1400)+'Cálculos'!$F$123)*'Cálculos'!$F$249)+('Cálculos'!$F$198+(($B$225)-$A182)*'Cálculos'!$F$98)*('Cálculos'!$F$240+'Cálculos'!$F$124*(1+2.78*('Cálculos'!$F$198+(($B$225)-$A182)*'Cálculos'!$F$98)/(('Cálculos'!$F$198+(($B$225)-$A182)*'Cálculos'!$F$98)+1400)+'Cálculos'!$F$122)*'Cálculos'!$F$245+'Cálculos'!$F$125*(1+2.78*('Cálculos'!$F$198+(($B$225)-$A182)*'Cálculos'!$F$98)/(('Cálculos'!$F$198+(($B$225)-$A182)*'Cálculos'!$F$98)+1400)+'Cálculos'!$F$123)*'Cálculos'!$F$250)+('Cálculos'!$F$201*(1+'Cálculos'!$F$202+$A182*('Cálculos'!$F$290=2)*'Cálculos'!$F$101)+'Cálculos'!$F$203)*('Cálculos'!$F$241+'Cálculos'!$F$124*(1+2.78*('Cálculos'!$F$198+(($B$225)-$A182)*'Cálculos'!$F$98)/(('Cálculos'!$F$198+(($B$225)-$A182)*'Cálculos'!$F$98)+1400)+'Cálculos'!$F$122)*'Cálculos'!$F$246+'Cálculos'!$F$125*(1+2.78*('Cálculos'!$F$198+(($B$225)-$A182)*'Cálculos'!$F$98)/(('Cálculos'!$F$198+(($B$225)-$A182)*'Cálculos'!$F$98)+1400)+'Cálculos'!$F$123)*'Cálculos'!$F$251)+('Cálculos'!$F$204*(1+'Cálculos'!$F$205+$A182*('Cálculos'!$F$290=3)*'Cálculos'!$F$103)+'Cálculos'!$F$206)*('Cálculos'!$F$242+'Cálculos'!$F$124*(1+2.78*('Cálculos'!$F$198+(($B$225)-$A182)*'Cálculos'!$F$98)/(('Cálculos'!$F$198+(($B$225)-$A182)*'Cálculos'!$F$98)+1400)+'Cálculos'!$F$122)*'Cálculos'!$F$247+'Cálculos'!$F$125*(1+2.78*('Cálculos'!$F$198+(($B$225)-$A182)*'Cálculos'!$F$98)/(('Cálculos'!$F$198+(($B$225)-$A182)*'Cálculos'!$F$98)+1400)+'Cálculos'!$F$123)*'Cálculos'!$F$252)+('Cálculos'!$F$243+'Cálculos'!$F$124*(1+2.78*('Cálculos'!$F$198+(($B$225)-$A182)*'Cálculos'!$F$98)/(('Cálculos'!$F$198+(($B$225)-$A182)*'Cálculos'!$F$98)+1400)+'Cálculos'!$F$122)*'Cálculos'!$F$248+'Cálculos'!$F$125*(1+2.78*('Cálculos'!$F$198+(($B$225)-$A182)*'Cálculos'!$F$98)/(('Cálculos'!$F$198+(($B$225)-$A182)*'Cálculos'!$F$98)+1400)+'Cálculos'!$F$123)*'Cálculos'!$F$253)+('Cálculos'!$F$185*(1+'Cálculos'!$F$189+$A182*('Cálculos'!$F$290=1)*'Cálculos'!$F$97+'Cálculos'!$F$305)+'Cálculos'!$F$194)*('Cálculos'!$F$254+'Cálculos'!$F$124*(1+2.78*('Cálculos'!$F$199+(($B$225)-$A182)*'Cálculos'!$F$98)/(('Cálculos'!$F$199+(($B$225)-$A182)*'Cálculos'!$F$98)+1400)+'Cálculos'!$F$122)*'Cálculos'!$F$259+'Cálculos'!$F$125*(1+2.78*('Cálculos'!$F$199+(($B$225)-$A182)*'Cálculos'!$F$98)/(('Cálculos'!$F$199+(($B$225)-$A182)*'Cálculos'!$F$98)+1400)+'Cálculos'!$F$123)*'Cálculos'!$F$264)+('Cálculos'!$F$199+(($B$225)-$A182)*'Cálculos'!$F$98)*('Cálculos'!$F$255+'Cálculos'!$F$124*(1+2.78*('Cálculos'!$F$199+(($B$225)-$A182)*'Cálculos'!$F$98)/(('Cálculos'!$F$199+(($B$225)-$A182)*'Cálculos'!$F$98)+1400)+'Cálculos'!$F$122)*'Cálculos'!$F$260+'Cálculos'!$F$125*(1+2.78*('Cálculos'!$F$199+(($B$225)-$A182)*'Cálculos'!$F$98)/(('Cálculos'!$F$199+(($B$225)-$A182)*'Cálculos'!$F$98)+1400)+'Cálculos'!$F$123)*'Cálculos'!$F$265)+('Cálculos'!$F$201*(1+'Cálculos'!$F$202+$A182*('Cálculos'!$F$290=2)*'Cálculos'!$F$101)+'Cálculos'!$F$203)*('Cálculos'!$F$256+'Cálculos'!$F$124*(1+2.78*('Cálculos'!$F$199+(($B$225)-$A182)*'Cálculos'!$F$98)/(('Cálculos'!$F$199+(($B$225)-$A182)*'Cálculos'!$F$98)+1400)+'Cálculos'!$F$122)*'Cálculos'!$F$261+'Cálculos'!$F$125*(1+2.78*('Cálculos'!$F$199+(($B$225)-$A182)*'Cálculos'!$F$98)/(('Cálculos'!$F$199+(($B$225)-$A182)*'Cálculos'!$F$98)+1400)+'Cálculos'!$F$123)*'Cálculos'!$F$266)+('Cálculos'!$F$204*(1+'Cálculos'!$F$205+$A182*('Cálculos'!$F$290=3)*'Cálculos'!$F$103)+'Cálculos'!$F$206)*('Cálculos'!$F$257+'Cálculos'!$F$124*(1+2.78*('Cálculos'!$F$199+(($B$225)-$A182)*'Cálculos'!$F$98)/(('Cálculos'!$F$199+(($B$225)-$A182)*'Cálculos'!$F$98)+1400)+'Cálculos'!$F$122)*'Cálculos'!$F$262+'Cálculos'!$F$125*(1+2.78*('Cálculos'!$F$199+(($B$225)-$A182)*'Cálculos'!$F$98)/(('Cálculos'!$F$199+(($B$225)-$A182)*'Cálculos'!$F$98)+1400)+'Cálculos'!$F$123)*'Cálculos'!$F$267)+('Cálculos'!$F$258+'Cálculos'!$F$124*(1+2.78*('Cálculos'!$F$199+(($B$225)-$A182)*'Cálculos'!$F$98)/(('Cálculos'!$F$199+(($B$225)-$A182)*'Cálculos'!$F$98)+1400)+'Cálculos'!$F$122)*'Cálculos'!$F$263+'Cálculos'!$F$125*(1+2.78*('Cálculos'!$F$199+(($B$225)-$A182)*'Cálculos'!$F$98)/(('Cálculos'!$F$199+(($B$225)-$A182)*'Cálculos'!$F$98)+1400)+'Cálculos'!$F$123)*'Cálculos'!$F$268)+('Cálculos'!$F$185*(1+'Cálculos'!$F$190+$A182*('Cálculos'!$F$290=1)*'Cálculos'!$F$97+'Cálculos'!$F$305)+'Cálculos'!$F$195)*('Cálculos'!$F$269+'Cálculos'!$F$124*(1+2.78*('Cálculos'!$F$200+(($B$225)-$A182)*'Cálculos'!$F$98)/(('Cálculos'!$F$200+(($B$225)-$A182)*'Cálculos'!$F$98)+1400)+'Cálculos'!$F$122)*'Cálculos'!$F$274+'Cálculos'!$F$125*(1+2.78*('Cálculos'!$F$200+(($B$225)-$A182)*'Cálculos'!$F$98)/(('Cálculos'!$F$200+(($B$225)-$A182)*'Cálculos'!$F$98)+1400)+'Cálculos'!$F$123)*'Cálculos'!$F$279)+('Cálculos'!$F$200+(($B$225)-$A182)*'Cálculos'!$F$98)*('Cálculos'!$F$270+'Cálculos'!$F$124*(1+2.78*('Cálculos'!$F$200+(($B$225)-$A182)*'Cálculos'!$F$98)/(('Cálculos'!$F$200+(($B$225)-$A182)*'Cálculos'!$F$98)+1400)+'Cálculos'!$F$122)*'Cálculos'!$F$275+'Cálculos'!$F$125*(1+2.78*('Cálculos'!$F$200+(($B$225)-$A182)*'Cálculos'!$F$98)/(('Cálculos'!$F$200+(($B$225)-$A182)*'Cálculos'!$F$98)+1400)+'Cálculos'!$F$123)*'Cálculos'!$F$280)+('Cálculos'!$F$201*(1+'Cálculos'!$F$202+$A182*('Cálculos'!$F$290=2)*'Cálculos'!$F$101)+'Cálculos'!$F$203)*('Cálculos'!$F$271+'Cálculos'!$F$124*(1+2.78*('Cálculos'!$F$200+(($B$225)-$A182)*'Cálculos'!$F$98)/(('Cálculos'!$F$200+(($B$225)-$A182)*'Cálculos'!$F$98)+1400)+'Cálculos'!$F$122)*'Cálculos'!$F$276+'Cálculos'!$F$125*(1+2.78*('Cálculos'!$F$200+(($B$225)-$A182)*'Cálculos'!$F$98)/(('Cálculos'!$F$200+(($B$225)-$A182)*'Cálculos'!$F$98)+1400)+'Cálculos'!$F$123)*'Cálculos'!$F$281)+('Cálculos'!$F$204*(1+'Cálculos'!$F$205+$A182*('Cálculos'!$F$290=3)*'Cálculos'!$F$103)+'Cálculos'!$F$206)*('Cálculos'!$F$272+'Cálculos'!$F$124*(1+2.78*('Cálculos'!$F$200+(($B$225)-$A182)*'Cálculos'!$F$98)/(('Cálculos'!$F$200+(($B$225)-$A182)*'Cálculos'!$F$98)+1400)+'Cálculos'!$F$122)*'Cálculos'!$F$277+'Cálculos'!$F$125*(1+2.78*('Cálculos'!$F$200+(($B$225)-$A182)*'Cálculos'!$F$98)/(('Cálculos'!$F$200+(($B$225)-$A182)*'Cálculos'!$F$98)+1400)+'Cálculos'!$F$123)*'Cálculos'!$F$282)+('Cálculos'!$F$273+'Cálculos'!$F$124*(1+2.78*('Cálculos'!$F$200+(($B$225)-$A182)*'Cálculos'!$F$98)/(('Cálculos'!$F$200+(($B$225)-$A182)*'Cálculos'!$F$98)+1400)+'Cálculos'!$F$122)*'Cálculos'!$F$278+'Cálculos'!$F$125*(1+2.78*('Cálculos'!$F$200+(($B$225)-$A182)*'Cálculos'!$F$98)/(('Cálculos'!$F$200+(($B$225)-$A182)*'Cálculos'!$F$98)+1400)+'Cálculos'!$F$123)*'Cálculos'!$F$283)))</f>
        <v>0</v>
      </c>
    </row>
    <row r="183" ht="15.75" customHeight="1">
      <c r="A183" s="2">
        <v>6.0</v>
      </c>
      <c r="B183" s="30">
        <f>SUMPRODUCT(MAX(($A$177:$A$222&lt;=$A183)*($A$177:$A$222&lt;='Cálculos'!$F$294)*(($A183)-$A$177:$A$222&lt;='Cálculos'!$F$295)*(1+(('Cálculos'!$F$207+$A$177:$A$222*'Cálculos'!$F$95)-(('Cálculos'!$F$207+$A$177:$A$222*'Cálculos'!$F$95)&gt;1)*(('Cálculos'!$F$207+$A$177:$A$222*'Cálculos'!$F$95)-1))*('Cálculos'!$F$208+(($A183)-$A$177:$A$222)*'Cálculos'!$F$96))))</f>
        <v>1.795625</v>
      </c>
      <c r="C183" s="2">
        <f>'Cálculos'!$F$303-$A183</f>
        <v>12</v>
      </c>
      <c r="D183" s="31">
        <f>IF($C183&lt;0,0,SUMPRODUCT(MAX(($A$177:$A$222&lt;=$C183)*($A$177:$A$222&lt;='Cálculos'!$F$301)*(($C183)-$A$177:$A$222&lt;='Cálculos'!$F$297)*(('Cálculos'!$F$185*(1+'Cálculos'!$F$186+$A$177:$A$222*('Cálculos'!$F$290=1)*'Cálculos'!$F$97+'Cálculos'!$F$305)+'Cálculos'!$F$191)*('Cálculos'!$F$209+'Cálculos'!$F$124*(1+2.78*('Cálculos'!$F$196+(($C183)-$A$177:$A$222)*'Cálculos'!$F$98)/(('Cálculos'!$F$196+(($C183)-$A$177:$A$222)*'Cálculos'!$F$98)+1400)+'Cálculos'!$F$122)*'Cálculos'!$F$214+'Cálculos'!$F$125*(1+2.78*('Cálculos'!$F$196+(($C183)-$A$177:$A$222)*'Cálculos'!$F$98)/(('Cálculos'!$F$196+(($C183)-$A$177:$A$222)*'Cálculos'!$F$98)+1400)+'Cálculos'!$F$123)*'Cálculos'!$F$219)+('Cálculos'!$F$196+(($C183)-$A$177:$A$222)*'Cálculos'!$F$98)*('Cálculos'!$F$210+'Cálculos'!$F$124*(1+2.78*('Cálculos'!$F$196+(($C183)-$A$177:$A$222)*'Cálculos'!$F$98)/(('Cálculos'!$F$196+(($C183)-$A$177:$A$222)*'Cálculos'!$F$98)+1400)+'Cálculos'!$F$122)*'Cálculos'!$F$215+'Cálculos'!$F$125*(1+2.78*('Cálculos'!$F$196+(($C183)-$A$177:$A$222)*'Cálculos'!$F$98)/(('Cálculos'!$F$196+(($C183)-$A$177:$A$222)*'Cálculos'!$F$98)+1400)+'Cálculos'!$F$123)*'Cálculos'!$F$220)+('Cálculos'!$F$201*(1+'Cálculos'!$F$202+$A$177:$A$222*('Cálculos'!$F$290=2)*'Cálculos'!$F$101)+'Cálculos'!$F$203)*('Cálculos'!$F$211+'Cálculos'!$F$124*(1+2.78*('Cálculos'!$F$196+(($C183)-$A$177:$A$222)*'Cálculos'!$F$98)/(('Cálculos'!$F$196+(($C183)-$A$177:$A$222)*'Cálculos'!$F$98)+1400)+'Cálculos'!$F$122)*'Cálculos'!$F$216+'Cálculos'!$F$125*(1+2.78*('Cálculos'!$F$196+(($C183)-$A$177:$A$222)*'Cálculos'!$F$98)/(('Cálculos'!$F$196+(($C183)-$A$177:$A$222)*'Cálculos'!$F$98)+1400)+'Cálculos'!$F$123)*'Cálculos'!$F$221)+('Cálculos'!$F$204*(1+'Cálculos'!$F$205+$A$177:$A$222*('Cálculos'!$F$290=3)*'Cálculos'!$F$103)+'Cálculos'!$F$206)*('Cálculos'!$F$212+'Cálculos'!$F$124*(1+2.78*('Cálculos'!$F$196+(($C183)-$A$177:$A$222)*'Cálculos'!$F$98)/(('Cálculos'!$F$196+(($C183)-$A$177:$A$222)*'Cálculos'!$F$98)+1400)+'Cálculos'!$F$122)*'Cálculos'!$F$217+'Cálculos'!$F$125*(1+2.78*('Cálculos'!$F$196+(($C183)-$A$177:$A$222)*'Cálculos'!$F$98)/(('Cálculos'!$F$196+(($C183)-$A$177:$A$222)*'Cálculos'!$F$98)+1400)+'Cálculos'!$F$123)*'Cálculos'!$F$222)+('Cálculos'!$F$213+'Cálculos'!$F$124*(1+2.78*('Cálculos'!$F$196+(($C183)-$A$177:$A$222)*'Cálculos'!$F$98)/(('Cálculos'!$F$196+(($C183)-$A$177:$A$222)*'Cálculos'!$F$98)+1400)+'Cálculos'!$F$122)*'Cálculos'!$F$218+'Cálculos'!$F$125*(1+2.78*('Cálculos'!$F$196+(($C183)-$A$177:$A$222)*'Cálculos'!$F$98)/(('Cálculos'!$F$196+(($C183)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183)-$A$177:$A$222)*'Cálculos'!$F$98)/(('Cálculos'!$F$197+(($C183)-$A$177:$A$222)*'Cálculos'!$F$98)+1400)+'Cálculos'!$F$122)*'Cálculos'!$F$229+'Cálculos'!$F$125*(1+2.78*('Cálculos'!$F$197+(($C183)-$A$177:$A$222)*'Cálculos'!$F$98)/(('Cálculos'!$F$197+(($C183)-$A$177:$A$222)*'Cálculos'!$F$98)+1400)+'Cálculos'!$F$123)*'Cálculos'!$F$234)+('Cálculos'!$F$197+(($C183)-$A$177:$A$222)*'Cálculos'!$F$98)*('Cálculos'!$F$225+'Cálculos'!$F$124*(1+2.78*('Cálculos'!$F$197+(($C183)-$A$177:$A$222)*'Cálculos'!$F$98)/(('Cálculos'!$F$197+(($C183)-$A$177:$A$222)*'Cálculos'!$F$98)+1400)+'Cálculos'!$F$122)*'Cálculos'!$F$230+'Cálculos'!$F$125*(1+2.78*('Cálculos'!$F$197+(($C183)-$A$177:$A$222)*'Cálculos'!$F$98)/(('Cálculos'!$F$197+(($C183)-$A$177:$A$222)*'Cálculos'!$F$98)+1400)+'Cálculos'!$F$123)*'Cálculos'!$F$235)+('Cálculos'!$F$201*(1+'Cálculos'!$F$202+$A$177:$A$222*('Cálculos'!$F$290=2)*'Cálculos'!$F$101)+'Cálculos'!$F$203)*('Cálculos'!$F$226+'Cálculos'!$F$124*(1+2.78*('Cálculos'!$F$197+(($C183)-$A$177:$A$222)*'Cálculos'!$F$98)/(('Cálculos'!$F$197+(($C183)-$A$177:$A$222)*'Cálculos'!$F$98)+1400)+'Cálculos'!$F$122)*'Cálculos'!$F$231+'Cálculos'!$F$125*(1+2.78*('Cálculos'!$F$197+(($C183)-$A$177:$A$222)*'Cálculos'!$F$98)/(('Cálculos'!$F$197+(($C183)-$A$177:$A$222)*'Cálculos'!$F$98)+1400)+'Cálculos'!$F$123)*'Cálculos'!$F$236)+('Cálculos'!$F$204*(1+'Cálculos'!$F$205+$A$177:$A$222*('Cálculos'!$F$290=3)*'Cálculos'!$F$103)+'Cálculos'!$F$206)*('Cálculos'!$F$227+'Cálculos'!$F$124*(1+2.78*('Cálculos'!$F$197+(($C183)-$A$177:$A$222)*'Cálculos'!$F$98)/(('Cálculos'!$F$197+(($C183)-$A$177:$A$222)*'Cálculos'!$F$98)+1400)+'Cálculos'!$F$122)*'Cálculos'!$F$232+'Cálculos'!$F$125*(1+2.78*('Cálculos'!$F$197+(($C183)-$A$177:$A$222)*'Cálculos'!$F$98)/(('Cálculos'!$F$197+(($C183)-$A$177:$A$222)*'Cálculos'!$F$98)+1400)+'Cálculos'!$F$123)*'Cálculos'!$F$237)+('Cálculos'!$F$228+'Cálculos'!$F$124*(1+2.78*('Cálculos'!$F$197+(($C183)-$A$177:$A$222)*'Cálculos'!$F$98)/(('Cálculos'!$F$197+(($C183)-$A$177:$A$222)*'Cálculos'!$F$98)+1400)+'Cálculos'!$F$122)*'Cálculos'!$F$233+'Cálculos'!$F$125*(1+2.78*('Cálculos'!$F$197+(($C183)-$A$177:$A$222)*'Cálculos'!$F$98)/(('Cálculos'!$F$197+(($C183)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183)-$A$177:$A$222)*'Cálculos'!$F$98)/(('Cálculos'!$F$198+(($C183)-$A$177:$A$222)*'Cálculos'!$F$98)+1400)+'Cálculos'!$F$122)*'Cálculos'!$F$244+'Cálculos'!$F$125*(1+2.78*('Cálculos'!$F$198+(($C183)-$A$177:$A$222)*'Cálculos'!$F$98)/(('Cálculos'!$F$198+(($C183)-$A$177:$A$222)*'Cálculos'!$F$98)+1400)+'Cálculos'!$F$123)*'Cálculos'!$F$249)+('Cálculos'!$F$198+(($C183)-$A$177:$A$222)*'Cálculos'!$F$98)*('Cálculos'!$F$240+'Cálculos'!$F$124*(1+2.78*('Cálculos'!$F$198+(($C183)-$A$177:$A$222)*'Cálculos'!$F$98)/(('Cálculos'!$F$198+(($C183)-$A$177:$A$222)*'Cálculos'!$F$98)+1400)+'Cálculos'!$F$122)*'Cálculos'!$F$245+'Cálculos'!$F$125*(1+2.78*('Cálculos'!$F$198+(($C183)-$A$177:$A$222)*'Cálculos'!$F$98)/(('Cálculos'!$F$198+(($C183)-$A$177:$A$222)*'Cálculos'!$F$98)+1400)+'Cálculos'!$F$123)*'Cálculos'!$F$250)+('Cálculos'!$F$201*(1+'Cálculos'!$F$202+$A$177:$A$222*('Cálculos'!$F$290=2)*'Cálculos'!$F$101)+'Cálculos'!$F$203)*('Cálculos'!$F$241+'Cálculos'!$F$124*(1+2.78*('Cálculos'!$F$198+(($C183)-$A$177:$A$222)*'Cálculos'!$F$98)/(('Cálculos'!$F$198+(($C183)-$A$177:$A$222)*'Cálculos'!$F$98)+1400)+'Cálculos'!$F$122)*'Cálculos'!$F$246+'Cálculos'!$F$125*(1+2.78*('Cálculos'!$F$198+(($C183)-$A$177:$A$222)*'Cálculos'!$F$98)/(('Cálculos'!$F$198+(($C183)-$A$177:$A$222)*'Cálculos'!$F$98)+1400)+'Cálculos'!$F$123)*'Cálculos'!$F$251)+('Cálculos'!$F$204*(1+'Cálculos'!$F$205+$A$177:$A$222*('Cálculos'!$F$290=3)*'Cálculos'!$F$103)+'Cálculos'!$F$206)*('Cálculos'!$F$242+'Cálculos'!$F$124*(1+2.78*('Cálculos'!$F$198+(($C183)-$A$177:$A$222)*'Cálculos'!$F$98)/(('Cálculos'!$F$198+(($C183)-$A$177:$A$222)*'Cálculos'!$F$98)+1400)+'Cálculos'!$F$122)*'Cálculos'!$F$247+'Cálculos'!$F$125*(1+2.78*('Cálculos'!$F$198+(($C183)-$A$177:$A$222)*'Cálculos'!$F$98)/(('Cálculos'!$F$198+(($C183)-$A$177:$A$222)*'Cálculos'!$F$98)+1400)+'Cálculos'!$F$123)*'Cálculos'!$F$252)+('Cálculos'!$F$243+'Cálculos'!$F$124*(1+2.78*('Cálculos'!$F$198+(($C183)-$A$177:$A$222)*'Cálculos'!$F$98)/(('Cálculos'!$F$198+(($C183)-$A$177:$A$222)*'Cálculos'!$F$98)+1400)+'Cálculos'!$F$122)*'Cálculos'!$F$248+'Cálculos'!$F$125*(1+2.78*('Cálculos'!$F$198+(($C183)-$A$177:$A$222)*'Cálculos'!$F$98)/(('Cálculos'!$F$198+(($C183)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183)-$A$177:$A$222)*'Cálculos'!$F$98)/(('Cálculos'!$F$199+(($C183)-$A$177:$A$222)*'Cálculos'!$F$98)+1400)+'Cálculos'!$F$122)*'Cálculos'!$F$259+'Cálculos'!$F$125*(1+2.78*('Cálculos'!$F$199+(($C183)-$A$177:$A$222)*'Cálculos'!$F$98)/(('Cálculos'!$F$199+(($C183)-$A$177:$A$222)*'Cálculos'!$F$98)+1400)+'Cálculos'!$F$123)*'Cálculos'!$F$264)+('Cálculos'!$F$199+(($C183)-$A$177:$A$222)*'Cálculos'!$F$98)*('Cálculos'!$F$255+'Cálculos'!$F$124*(1+2.78*('Cálculos'!$F$199+(($C183)-$A$177:$A$222)*'Cálculos'!$F$98)/(('Cálculos'!$F$199+(($C183)-$A$177:$A$222)*'Cálculos'!$F$98)+1400)+'Cálculos'!$F$122)*'Cálculos'!$F$260+'Cálculos'!$F$125*(1+2.78*('Cálculos'!$F$199+(($C183)-$A$177:$A$222)*'Cálculos'!$F$98)/(('Cálculos'!$F$199+(($C183)-$A$177:$A$222)*'Cálculos'!$F$98)+1400)+'Cálculos'!$F$123)*'Cálculos'!$F$265)+('Cálculos'!$F$201*(1+'Cálculos'!$F$202+$A$177:$A$222*('Cálculos'!$F$290=2)*'Cálculos'!$F$101)+'Cálculos'!$F$203)*('Cálculos'!$F$256+'Cálculos'!$F$124*(1+2.78*('Cálculos'!$F$199+(($C183)-$A$177:$A$222)*'Cálculos'!$F$98)/(('Cálculos'!$F$199+(($C183)-$A$177:$A$222)*'Cálculos'!$F$98)+1400)+'Cálculos'!$F$122)*'Cálculos'!$F$261+'Cálculos'!$F$125*(1+2.78*('Cálculos'!$F$199+(($C183)-$A$177:$A$222)*'Cálculos'!$F$98)/(('Cálculos'!$F$199+(($C183)-$A$177:$A$222)*'Cálculos'!$F$98)+1400)+'Cálculos'!$F$123)*'Cálculos'!$F$266)+('Cálculos'!$F$204*(1+'Cálculos'!$F$205+$A$177:$A$222*('Cálculos'!$F$290=3)*'Cálculos'!$F$103)+'Cálculos'!$F$206)*('Cálculos'!$F$257+'Cálculos'!$F$124*(1+2.78*('Cálculos'!$F$199+(($C183)-$A$177:$A$222)*'Cálculos'!$F$98)/(('Cálculos'!$F$199+(($C183)-$A$177:$A$222)*'Cálculos'!$F$98)+1400)+'Cálculos'!$F$122)*'Cálculos'!$F$262+'Cálculos'!$F$125*(1+2.78*('Cálculos'!$F$199+(($C183)-$A$177:$A$222)*'Cálculos'!$F$98)/(('Cálculos'!$F$199+(($C183)-$A$177:$A$222)*'Cálculos'!$F$98)+1400)+'Cálculos'!$F$123)*'Cálculos'!$F$267)+('Cálculos'!$F$258+'Cálculos'!$F$124*(1+2.78*('Cálculos'!$F$199+(($C183)-$A$177:$A$222)*'Cálculos'!$F$98)/(('Cálculos'!$F$199+(($C183)-$A$177:$A$222)*'Cálculos'!$F$98)+1400)+'Cálculos'!$F$122)*'Cálculos'!$F$263+'Cálculos'!$F$125*(1+2.78*('Cálculos'!$F$199+(($C183)-$A$177:$A$222)*'Cálculos'!$F$98)/(('Cálculos'!$F$199+(($C183)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183)-$A$177:$A$222)*'Cálculos'!$F$98)/(('Cálculos'!$F$200+(($C183)-$A$177:$A$222)*'Cálculos'!$F$98)+1400)+'Cálculos'!$F$122)*'Cálculos'!$F$274+'Cálculos'!$F$125*(1+2.78*('Cálculos'!$F$200+(($C183)-$A$177:$A$222)*'Cálculos'!$F$98)/(('Cálculos'!$F$200+(($C183)-$A$177:$A$222)*'Cálculos'!$F$98)+1400)+'Cálculos'!$F$123)*'Cálculos'!$F$279)+('Cálculos'!$F$200+(($C183)-$A$177:$A$222)*'Cálculos'!$F$98)*('Cálculos'!$F$270+'Cálculos'!$F$124*(1+2.78*('Cálculos'!$F$200+(($C183)-$A$177:$A$222)*'Cálculos'!$F$98)/(('Cálculos'!$F$200+(($C183)-$A$177:$A$222)*'Cálculos'!$F$98)+1400)+'Cálculos'!$F$122)*'Cálculos'!$F$275+'Cálculos'!$F$125*(1+2.78*('Cálculos'!$F$200+(($C183)-$A$177:$A$222)*'Cálculos'!$F$98)/(('Cálculos'!$F$200+(($C183)-$A$177:$A$222)*'Cálculos'!$F$98)+1400)+'Cálculos'!$F$123)*'Cálculos'!$F$280)+('Cálculos'!$F$201*(1+'Cálculos'!$F$202+$A$177:$A$222*('Cálculos'!$F$290=2)*'Cálculos'!$F$101)+'Cálculos'!$F$203)*('Cálculos'!$F$271+'Cálculos'!$F$124*(1+2.78*('Cálculos'!$F$200+(($C183)-$A$177:$A$222)*'Cálculos'!$F$98)/(('Cálculos'!$F$200+(($C183)-$A$177:$A$222)*'Cálculos'!$F$98)+1400)+'Cálculos'!$F$122)*'Cálculos'!$F$276+'Cálculos'!$F$125*(1+2.78*('Cálculos'!$F$200+(($C183)-$A$177:$A$222)*'Cálculos'!$F$98)/(('Cálculos'!$F$200+(($C183)-$A$177:$A$222)*'Cálculos'!$F$98)+1400)+'Cálculos'!$F$123)*'Cálculos'!$F$281)+('Cálculos'!$F$204*(1+'Cálculos'!$F$205+$A$177:$A$222*('Cálculos'!$F$290=3)*'Cálculos'!$F$103)+'Cálculos'!$F$206)*('Cálculos'!$F$272+'Cálculos'!$F$124*(1+2.78*('Cálculos'!$F$200+(($C183)-$A$177:$A$222)*'Cálculos'!$F$98)/(('Cálculos'!$F$200+(($C183)-$A$177:$A$222)*'Cálculos'!$F$98)+1400)+'Cálculos'!$F$122)*'Cálculos'!$F$277+'Cálculos'!$F$125*(1+2.78*('Cálculos'!$F$200+(($C183)-$A$177:$A$222)*'Cálculos'!$F$98)/(('Cálculos'!$F$200+(($C183)-$A$177:$A$222)*'Cálculos'!$F$98)+1400)+'Cálculos'!$F$123)*'Cálculos'!$F$282)+('Cálculos'!$F$273+'Cálculos'!$F$124*(1+2.78*('Cálculos'!$F$200+(($C183)-$A$177:$A$222)*'Cálculos'!$F$98)/(('Cálculos'!$F$200+(($C183)-$A$177:$A$222)*'Cálculos'!$F$98)+1400)+'Cálculos'!$F$122)*'Cálculos'!$F$278+'Cálculos'!$F$125*(1+2.78*('Cálculos'!$F$200+(($C183)-$A$177:$A$222)*'Cálculos'!$F$98)/(('Cálculos'!$F$200+(($C183)-$A$177:$A$222)*'Cálculos'!$F$98)+1400)+'Cálculos'!$F$123)*'Cálculos'!$F$283)))))</f>
        <v>22031.78524</v>
      </c>
      <c r="E183" s="32">
        <f>IF(OR($C183&lt;0,'Cálculos'!$F$6=""),0,$B183*$D183)</f>
        <v>39560.82437</v>
      </c>
      <c r="F183" s="2"/>
      <c r="G183" s="30">
        <f>($A183&lt;=$B$224)*($A183&lt;='Cálculos'!$F$294)*(($B$224)-$A183&lt;='Cálculos'!$F$295)*(1+MIN(('Cálculos'!$F$207+$A183*'Cálculos'!$F$95),1)*('Cálculos'!$F$208+(($B$224)-$A183)*'Cálculos'!$F$96))</f>
        <v>2.290625</v>
      </c>
      <c r="H183" s="31">
        <f>IF($B$225&lt;0,0,($A183&lt;=$B$225)*($A183&lt;='Cálculos'!$F$301)*(($B$225)-$A183&lt;='Cálculos'!$F$297)*(('Cálculos'!$F$185*(1+'Cálculos'!$F$186+$A183*('Cálculos'!$F$290=1)*'Cálculos'!$F$97+'Cálculos'!$F$305)+'Cálculos'!$F$191)*('Cálculos'!$F$209+'Cálculos'!$F$124*(1+2.78*('Cálculos'!$F$196+(($B$225)-$A183)*'Cálculos'!$F$98)/(('Cálculos'!$F$196+(($B$225)-$A183)*'Cálculos'!$F$98)+1400)+'Cálculos'!$F$122)*'Cálculos'!$F$214+'Cálculos'!$F$125*(1+2.78*('Cálculos'!$F$196+(($B$225)-$A183)*'Cálculos'!$F$98)/(('Cálculos'!$F$196+(($B$225)-$A183)*'Cálculos'!$F$98)+1400)+'Cálculos'!$F$123)*'Cálculos'!$F$219)+('Cálculos'!$F$196+(($B$225)-$A183)*'Cálculos'!$F$98)*('Cálculos'!$F$210+'Cálculos'!$F$124*(1+2.78*('Cálculos'!$F$196+(($B$225)-$A183)*'Cálculos'!$F$98)/(('Cálculos'!$F$196+(($B$225)-$A183)*'Cálculos'!$F$98)+1400)+'Cálculos'!$F$122)*'Cálculos'!$F$215+'Cálculos'!$F$125*(1+2.78*('Cálculos'!$F$196+(($B$225)-$A183)*'Cálculos'!$F$98)/(('Cálculos'!$F$196+(($B$225)-$A183)*'Cálculos'!$F$98)+1400)+'Cálculos'!$F$123)*'Cálculos'!$F$220)+('Cálculos'!$F$201*(1+'Cálculos'!$F$202+$A183*('Cálculos'!$F$290=2)*'Cálculos'!$F$101)+'Cálculos'!$F$203)*('Cálculos'!$F$211+'Cálculos'!$F$124*(1+2.78*('Cálculos'!$F$196+(($B$225)-$A183)*'Cálculos'!$F$98)/(('Cálculos'!$F$196+(($B$225)-$A183)*'Cálculos'!$F$98)+1400)+'Cálculos'!$F$122)*'Cálculos'!$F$216+'Cálculos'!$F$125*(1+2.78*('Cálculos'!$F$196+(($B$225)-$A183)*'Cálculos'!$F$98)/(('Cálculos'!$F$196+(($B$225)-$A183)*'Cálculos'!$F$98)+1400)+'Cálculos'!$F$123)*'Cálculos'!$F$221)+('Cálculos'!$F$204*(1+'Cálculos'!$F$205+$A183*('Cálculos'!$F$290=3)*'Cálculos'!$F$103)+'Cálculos'!$F$206)*('Cálculos'!$F$212+'Cálculos'!$F$124*(1+2.78*('Cálculos'!$F$196+(($B$225)-$A183)*'Cálculos'!$F$98)/(('Cálculos'!$F$196+(($B$225)-$A183)*'Cálculos'!$F$98)+1400)+'Cálculos'!$F$122)*'Cálculos'!$F$217+'Cálculos'!$F$125*(1+2.78*('Cálculos'!$F$196+(($B$225)-$A183)*'Cálculos'!$F$98)/(('Cálculos'!$F$196+(($B$225)-$A183)*'Cálculos'!$F$98)+1400)+'Cálculos'!$F$123)*'Cálculos'!$F$222)+('Cálculos'!$F$213+'Cálculos'!$F$124*(1+2.78*('Cálculos'!$F$196+(($B$225)-$A183)*'Cálculos'!$F$98)/(('Cálculos'!$F$196+(($B$225)-$A183)*'Cálculos'!$F$98)+1400)+'Cálculos'!$F$122)*'Cálculos'!$F$218+'Cálculos'!$F$125*(1+2.78*('Cálculos'!$F$196+(($B$225)-$A183)*'Cálculos'!$F$98)/(('Cálculos'!$F$196+(($B$225)-$A183)*'Cálculos'!$F$98)+1400)+'Cálculos'!$F$123)*'Cálculos'!$F$223)+('Cálculos'!$F$185*(1+'Cálculos'!$F$187+$A183*('Cálculos'!$F$290=1)*'Cálculos'!$F$97+'Cálculos'!$F$305)+'Cálculos'!$F$192)*('Cálculos'!$F$224+'Cálculos'!$F$124*(1+2.78*('Cálculos'!$F$197+(($B$225)-$A183)*'Cálculos'!$F$98)/(('Cálculos'!$F$197+(($B$225)-$A183)*'Cálculos'!$F$98)+1400)+'Cálculos'!$F$122)*'Cálculos'!$F$229+'Cálculos'!$F$125*(1+2.78*('Cálculos'!$F$197+(($B$225)-$A183)*'Cálculos'!$F$98)/(('Cálculos'!$F$197+(($B$225)-$A183)*'Cálculos'!$F$98)+1400)+'Cálculos'!$F$123)*'Cálculos'!$F$234)+('Cálculos'!$F$197+(($B$225)-$A183)*'Cálculos'!$F$98)*('Cálculos'!$F$225+'Cálculos'!$F$124*(1+2.78*('Cálculos'!$F$197+(($B$225)-$A183)*'Cálculos'!$F$98)/(('Cálculos'!$F$197+(($B$225)-$A183)*'Cálculos'!$F$98)+1400)+'Cálculos'!$F$122)*'Cálculos'!$F$230+'Cálculos'!$F$125*(1+2.78*('Cálculos'!$F$197+(($B$225)-$A183)*'Cálculos'!$F$98)/(('Cálculos'!$F$197+(($B$225)-$A183)*'Cálculos'!$F$98)+1400)+'Cálculos'!$F$123)*'Cálculos'!$F$235)+('Cálculos'!$F$201*(1+'Cálculos'!$F$202+$A183*('Cálculos'!$F$290=2)*'Cálculos'!$F$101)+'Cálculos'!$F$203)*('Cálculos'!$F$226+'Cálculos'!$F$124*(1+2.78*('Cálculos'!$F$197+(($B$225)-$A183)*'Cálculos'!$F$98)/(('Cálculos'!$F$197+(($B$225)-$A183)*'Cálculos'!$F$98)+1400)+'Cálculos'!$F$122)*'Cálculos'!$F$231+'Cálculos'!$F$125*(1+2.78*('Cálculos'!$F$197+(($B$225)-$A183)*'Cálculos'!$F$98)/(('Cálculos'!$F$197+(($B$225)-$A183)*'Cálculos'!$F$98)+1400)+'Cálculos'!$F$123)*'Cálculos'!$F$236)+('Cálculos'!$F$204*(1+'Cálculos'!$F$205+$A183*('Cálculos'!$F$290=3)*'Cálculos'!$F$103)+'Cálculos'!$F$206)*('Cálculos'!$F$227+'Cálculos'!$F$124*(1+2.78*('Cálculos'!$F$197+(($B$225)-$A183)*'Cálculos'!$F$98)/(('Cálculos'!$F$197+(($B$225)-$A183)*'Cálculos'!$F$98)+1400)+'Cálculos'!$F$122)*'Cálculos'!$F$232+'Cálculos'!$F$125*(1+2.78*('Cálculos'!$F$197+(($B$225)-$A183)*'Cálculos'!$F$98)/(('Cálculos'!$F$197+(($B$225)-$A183)*'Cálculos'!$F$98)+1400)+'Cálculos'!$F$123)*'Cálculos'!$F$237)+('Cálculos'!$F$228+'Cálculos'!$F$124*(1+2.78*('Cálculos'!$F$197+(($B$225)-$A183)*'Cálculos'!$F$98)/(('Cálculos'!$F$197+(($B$225)-$A183)*'Cálculos'!$F$98)+1400)+'Cálculos'!$F$122)*'Cálculos'!$F$233+'Cálculos'!$F$125*(1+2.78*('Cálculos'!$F$197+(($B$225)-$A183)*'Cálculos'!$F$98)/(('Cálculos'!$F$197+(($B$225)-$A183)*'Cálculos'!$F$98)+1400)+'Cálculos'!$F$123)*'Cálculos'!$F$238)+('Cálculos'!$F$185*(1+'Cálculos'!$F$188+$A183*('Cálculos'!$F$290=1)*'Cálculos'!$F$97+'Cálculos'!$F$305)+'Cálculos'!$F$193)*('Cálculos'!$F$239+'Cálculos'!$F$124*(1+2.78*('Cálculos'!$F$198+(($B$225)-$A183)*'Cálculos'!$F$98)/(('Cálculos'!$F$198+(($B$225)-$A183)*'Cálculos'!$F$98)+1400)+'Cálculos'!$F$122)*'Cálculos'!$F$244+'Cálculos'!$F$125*(1+2.78*('Cálculos'!$F$198+(($B$225)-$A183)*'Cálculos'!$F$98)/(('Cálculos'!$F$198+(($B$225)-$A183)*'Cálculos'!$F$98)+1400)+'Cálculos'!$F$123)*'Cálculos'!$F$249)+('Cálculos'!$F$198+(($B$225)-$A183)*'Cálculos'!$F$98)*('Cálculos'!$F$240+'Cálculos'!$F$124*(1+2.78*('Cálculos'!$F$198+(($B$225)-$A183)*'Cálculos'!$F$98)/(('Cálculos'!$F$198+(($B$225)-$A183)*'Cálculos'!$F$98)+1400)+'Cálculos'!$F$122)*'Cálculos'!$F$245+'Cálculos'!$F$125*(1+2.78*('Cálculos'!$F$198+(($B$225)-$A183)*'Cálculos'!$F$98)/(('Cálculos'!$F$198+(($B$225)-$A183)*'Cálculos'!$F$98)+1400)+'Cálculos'!$F$123)*'Cálculos'!$F$250)+('Cálculos'!$F$201*(1+'Cálculos'!$F$202+$A183*('Cálculos'!$F$290=2)*'Cálculos'!$F$101)+'Cálculos'!$F$203)*('Cálculos'!$F$241+'Cálculos'!$F$124*(1+2.78*('Cálculos'!$F$198+(($B$225)-$A183)*'Cálculos'!$F$98)/(('Cálculos'!$F$198+(($B$225)-$A183)*'Cálculos'!$F$98)+1400)+'Cálculos'!$F$122)*'Cálculos'!$F$246+'Cálculos'!$F$125*(1+2.78*('Cálculos'!$F$198+(($B$225)-$A183)*'Cálculos'!$F$98)/(('Cálculos'!$F$198+(($B$225)-$A183)*'Cálculos'!$F$98)+1400)+'Cálculos'!$F$123)*'Cálculos'!$F$251)+('Cálculos'!$F$204*(1+'Cálculos'!$F$205+$A183*('Cálculos'!$F$290=3)*'Cálculos'!$F$103)+'Cálculos'!$F$206)*('Cálculos'!$F$242+'Cálculos'!$F$124*(1+2.78*('Cálculos'!$F$198+(($B$225)-$A183)*'Cálculos'!$F$98)/(('Cálculos'!$F$198+(($B$225)-$A183)*'Cálculos'!$F$98)+1400)+'Cálculos'!$F$122)*'Cálculos'!$F$247+'Cálculos'!$F$125*(1+2.78*('Cálculos'!$F$198+(($B$225)-$A183)*'Cálculos'!$F$98)/(('Cálculos'!$F$198+(($B$225)-$A183)*'Cálculos'!$F$98)+1400)+'Cálculos'!$F$123)*'Cálculos'!$F$252)+('Cálculos'!$F$243+'Cálculos'!$F$124*(1+2.78*('Cálculos'!$F$198+(($B$225)-$A183)*'Cálculos'!$F$98)/(('Cálculos'!$F$198+(($B$225)-$A183)*'Cálculos'!$F$98)+1400)+'Cálculos'!$F$122)*'Cálculos'!$F$248+'Cálculos'!$F$125*(1+2.78*('Cálculos'!$F$198+(($B$225)-$A183)*'Cálculos'!$F$98)/(('Cálculos'!$F$198+(($B$225)-$A183)*'Cálculos'!$F$98)+1400)+'Cálculos'!$F$123)*'Cálculos'!$F$253)+('Cálculos'!$F$185*(1+'Cálculos'!$F$189+$A183*('Cálculos'!$F$290=1)*'Cálculos'!$F$97+'Cálculos'!$F$305)+'Cálculos'!$F$194)*('Cálculos'!$F$254+'Cálculos'!$F$124*(1+2.78*('Cálculos'!$F$199+(($B$225)-$A183)*'Cálculos'!$F$98)/(('Cálculos'!$F$199+(($B$225)-$A183)*'Cálculos'!$F$98)+1400)+'Cálculos'!$F$122)*'Cálculos'!$F$259+'Cálculos'!$F$125*(1+2.78*('Cálculos'!$F$199+(($B$225)-$A183)*'Cálculos'!$F$98)/(('Cálculos'!$F$199+(($B$225)-$A183)*'Cálculos'!$F$98)+1400)+'Cálculos'!$F$123)*'Cálculos'!$F$264)+('Cálculos'!$F$199+(($B$225)-$A183)*'Cálculos'!$F$98)*('Cálculos'!$F$255+'Cálculos'!$F$124*(1+2.78*('Cálculos'!$F$199+(($B$225)-$A183)*'Cálculos'!$F$98)/(('Cálculos'!$F$199+(($B$225)-$A183)*'Cálculos'!$F$98)+1400)+'Cálculos'!$F$122)*'Cálculos'!$F$260+'Cálculos'!$F$125*(1+2.78*('Cálculos'!$F$199+(($B$225)-$A183)*'Cálculos'!$F$98)/(('Cálculos'!$F$199+(($B$225)-$A183)*'Cálculos'!$F$98)+1400)+'Cálculos'!$F$123)*'Cálculos'!$F$265)+('Cálculos'!$F$201*(1+'Cálculos'!$F$202+$A183*('Cálculos'!$F$290=2)*'Cálculos'!$F$101)+'Cálculos'!$F$203)*('Cálculos'!$F$256+'Cálculos'!$F$124*(1+2.78*('Cálculos'!$F$199+(($B$225)-$A183)*'Cálculos'!$F$98)/(('Cálculos'!$F$199+(($B$225)-$A183)*'Cálculos'!$F$98)+1400)+'Cálculos'!$F$122)*'Cálculos'!$F$261+'Cálculos'!$F$125*(1+2.78*('Cálculos'!$F$199+(($B$225)-$A183)*'Cálculos'!$F$98)/(('Cálculos'!$F$199+(($B$225)-$A183)*'Cálculos'!$F$98)+1400)+'Cálculos'!$F$123)*'Cálculos'!$F$266)+('Cálculos'!$F$204*(1+'Cálculos'!$F$205+$A183*('Cálculos'!$F$290=3)*'Cálculos'!$F$103)+'Cálculos'!$F$206)*('Cálculos'!$F$257+'Cálculos'!$F$124*(1+2.78*('Cálculos'!$F$199+(($B$225)-$A183)*'Cálculos'!$F$98)/(('Cálculos'!$F$199+(($B$225)-$A183)*'Cálculos'!$F$98)+1400)+'Cálculos'!$F$122)*'Cálculos'!$F$262+'Cálculos'!$F$125*(1+2.78*('Cálculos'!$F$199+(($B$225)-$A183)*'Cálculos'!$F$98)/(('Cálculos'!$F$199+(($B$225)-$A183)*'Cálculos'!$F$98)+1400)+'Cálculos'!$F$123)*'Cálculos'!$F$267)+('Cálculos'!$F$258+'Cálculos'!$F$124*(1+2.78*('Cálculos'!$F$199+(($B$225)-$A183)*'Cálculos'!$F$98)/(('Cálculos'!$F$199+(($B$225)-$A183)*'Cálculos'!$F$98)+1400)+'Cálculos'!$F$122)*'Cálculos'!$F$263+'Cálculos'!$F$125*(1+2.78*('Cálculos'!$F$199+(($B$225)-$A183)*'Cálculos'!$F$98)/(('Cálculos'!$F$199+(($B$225)-$A183)*'Cálculos'!$F$98)+1400)+'Cálculos'!$F$123)*'Cálculos'!$F$268)+('Cálculos'!$F$185*(1+'Cálculos'!$F$190+$A183*('Cálculos'!$F$290=1)*'Cálculos'!$F$97+'Cálculos'!$F$305)+'Cálculos'!$F$195)*('Cálculos'!$F$269+'Cálculos'!$F$124*(1+2.78*('Cálculos'!$F$200+(($B$225)-$A183)*'Cálculos'!$F$98)/(('Cálculos'!$F$200+(($B$225)-$A183)*'Cálculos'!$F$98)+1400)+'Cálculos'!$F$122)*'Cálculos'!$F$274+'Cálculos'!$F$125*(1+2.78*('Cálculos'!$F$200+(($B$225)-$A183)*'Cálculos'!$F$98)/(('Cálculos'!$F$200+(($B$225)-$A183)*'Cálculos'!$F$98)+1400)+'Cálculos'!$F$123)*'Cálculos'!$F$279)+('Cálculos'!$F$200+(($B$225)-$A183)*'Cálculos'!$F$98)*('Cálculos'!$F$270+'Cálculos'!$F$124*(1+2.78*('Cálculos'!$F$200+(($B$225)-$A183)*'Cálculos'!$F$98)/(('Cálculos'!$F$200+(($B$225)-$A183)*'Cálculos'!$F$98)+1400)+'Cálculos'!$F$122)*'Cálculos'!$F$275+'Cálculos'!$F$125*(1+2.78*('Cálculos'!$F$200+(($B$225)-$A183)*'Cálculos'!$F$98)/(('Cálculos'!$F$200+(($B$225)-$A183)*'Cálculos'!$F$98)+1400)+'Cálculos'!$F$123)*'Cálculos'!$F$280)+('Cálculos'!$F$201*(1+'Cálculos'!$F$202+$A183*('Cálculos'!$F$290=2)*'Cálculos'!$F$101)+'Cálculos'!$F$203)*('Cálculos'!$F$271+'Cálculos'!$F$124*(1+2.78*('Cálculos'!$F$200+(($B$225)-$A183)*'Cálculos'!$F$98)/(('Cálculos'!$F$200+(($B$225)-$A183)*'Cálculos'!$F$98)+1400)+'Cálculos'!$F$122)*'Cálculos'!$F$276+'Cálculos'!$F$125*(1+2.78*('Cálculos'!$F$200+(($B$225)-$A183)*'Cálculos'!$F$98)/(('Cálculos'!$F$200+(($B$225)-$A183)*'Cálculos'!$F$98)+1400)+'Cálculos'!$F$123)*'Cálculos'!$F$281)+('Cálculos'!$F$204*(1+'Cálculos'!$F$205+$A183*('Cálculos'!$F$290=3)*'Cálculos'!$F$103)+'Cálculos'!$F$206)*('Cálculos'!$F$272+'Cálculos'!$F$124*(1+2.78*('Cálculos'!$F$200+(($B$225)-$A183)*'Cálculos'!$F$98)/(('Cálculos'!$F$200+(($B$225)-$A183)*'Cálculos'!$F$98)+1400)+'Cálculos'!$F$122)*'Cálculos'!$F$277+'Cálculos'!$F$125*(1+2.78*('Cálculos'!$F$200+(($B$225)-$A183)*'Cálculos'!$F$98)/(('Cálculos'!$F$200+(($B$225)-$A183)*'Cálculos'!$F$98)+1400)+'Cálculos'!$F$123)*'Cálculos'!$F$282)+('Cálculos'!$F$273+'Cálculos'!$F$124*(1+2.78*('Cálculos'!$F$200+(($B$225)-$A183)*'Cálculos'!$F$98)/(('Cálculos'!$F$200+(($B$225)-$A183)*'Cálculos'!$F$98)+1400)+'Cálculos'!$F$122)*'Cálculos'!$F$278+'Cálculos'!$F$125*(1+2.78*('Cálculos'!$F$200+(($B$225)-$A183)*'Cálculos'!$F$98)/(('Cálculos'!$F$200+(($B$225)-$A183)*'Cálculos'!$F$98)+1400)+'Cálculos'!$F$123)*'Cálculos'!$F$283)))</f>
        <v>0</v>
      </c>
    </row>
    <row r="184" ht="15.75" customHeight="1">
      <c r="A184" s="2">
        <v>7.0</v>
      </c>
      <c r="B184" s="30">
        <f>SUMPRODUCT(MAX(($A$177:$A$222&lt;=$A184)*($A$177:$A$222&lt;='Cálculos'!$F$294)*(($A184)-$A$177:$A$222&lt;='Cálculos'!$F$295)*(1+(('Cálculos'!$F$207+$A$177:$A$222*'Cálculos'!$F$95)-(('Cálculos'!$F$207+$A$177:$A$222*'Cálculos'!$F$95)&gt;1)*(('Cálculos'!$F$207+$A$177:$A$222*'Cálculos'!$F$95)-1))*('Cálculos'!$F$208+(($A184)-$A$177:$A$222)*'Cálculos'!$F$96))))</f>
        <v>1.837634</v>
      </c>
      <c r="C184" s="2">
        <f>'Cálculos'!$F$303-$A184</f>
        <v>11</v>
      </c>
      <c r="D184" s="31">
        <f>IF($C184&lt;0,0,SUMPRODUCT(MAX(($A$177:$A$222&lt;=$C184)*($A$177:$A$222&lt;='Cálculos'!$F$301)*(($C184)-$A$177:$A$222&lt;='Cálculos'!$F$297)*(('Cálculos'!$F$185*(1+'Cálculos'!$F$186+$A$177:$A$222*('Cálculos'!$F$290=1)*'Cálculos'!$F$97+'Cálculos'!$F$305)+'Cálculos'!$F$191)*('Cálculos'!$F$209+'Cálculos'!$F$124*(1+2.78*('Cálculos'!$F$196+(($C184)-$A$177:$A$222)*'Cálculos'!$F$98)/(('Cálculos'!$F$196+(($C184)-$A$177:$A$222)*'Cálculos'!$F$98)+1400)+'Cálculos'!$F$122)*'Cálculos'!$F$214+'Cálculos'!$F$125*(1+2.78*('Cálculos'!$F$196+(($C184)-$A$177:$A$222)*'Cálculos'!$F$98)/(('Cálculos'!$F$196+(($C184)-$A$177:$A$222)*'Cálculos'!$F$98)+1400)+'Cálculos'!$F$123)*'Cálculos'!$F$219)+('Cálculos'!$F$196+(($C184)-$A$177:$A$222)*'Cálculos'!$F$98)*('Cálculos'!$F$210+'Cálculos'!$F$124*(1+2.78*('Cálculos'!$F$196+(($C184)-$A$177:$A$222)*'Cálculos'!$F$98)/(('Cálculos'!$F$196+(($C184)-$A$177:$A$222)*'Cálculos'!$F$98)+1400)+'Cálculos'!$F$122)*'Cálculos'!$F$215+'Cálculos'!$F$125*(1+2.78*('Cálculos'!$F$196+(($C184)-$A$177:$A$222)*'Cálculos'!$F$98)/(('Cálculos'!$F$196+(($C184)-$A$177:$A$222)*'Cálculos'!$F$98)+1400)+'Cálculos'!$F$123)*'Cálculos'!$F$220)+('Cálculos'!$F$201*(1+'Cálculos'!$F$202+$A$177:$A$222*('Cálculos'!$F$290=2)*'Cálculos'!$F$101)+'Cálculos'!$F$203)*('Cálculos'!$F$211+'Cálculos'!$F$124*(1+2.78*('Cálculos'!$F$196+(($C184)-$A$177:$A$222)*'Cálculos'!$F$98)/(('Cálculos'!$F$196+(($C184)-$A$177:$A$222)*'Cálculos'!$F$98)+1400)+'Cálculos'!$F$122)*'Cálculos'!$F$216+'Cálculos'!$F$125*(1+2.78*('Cálculos'!$F$196+(($C184)-$A$177:$A$222)*'Cálculos'!$F$98)/(('Cálculos'!$F$196+(($C184)-$A$177:$A$222)*'Cálculos'!$F$98)+1400)+'Cálculos'!$F$123)*'Cálculos'!$F$221)+('Cálculos'!$F$204*(1+'Cálculos'!$F$205+$A$177:$A$222*('Cálculos'!$F$290=3)*'Cálculos'!$F$103)+'Cálculos'!$F$206)*('Cálculos'!$F$212+'Cálculos'!$F$124*(1+2.78*('Cálculos'!$F$196+(($C184)-$A$177:$A$222)*'Cálculos'!$F$98)/(('Cálculos'!$F$196+(($C184)-$A$177:$A$222)*'Cálculos'!$F$98)+1400)+'Cálculos'!$F$122)*'Cálculos'!$F$217+'Cálculos'!$F$125*(1+2.78*('Cálculos'!$F$196+(($C184)-$A$177:$A$222)*'Cálculos'!$F$98)/(('Cálculos'!$F$196+(($C184)-$A$177:$A$222)*'Cálculos'!$F$98)+1400)+'Cálculos'!$F$123)*'Cálculos'!$F$222)+('Cálculos'!$F$213+'Cálculos'!$F$124*(1+2.78*('Cálculos'!$F$196+(($C184)-$A$177:$A$222)*'Cálculos'!$F$98)/(('Cálculos'!$F$196+(($C184)-$A$177:$A$222)*'Cálculos'!$F$98)+1400)+'Cálculos'!$F$122)*'Cálculos'!$F$218+'Cálculos'!$F$125*(1+2.78*('Cálculos'!$F$196+(($C184)-$A$177:$A$222)*'Cálculos'!$F$98)/(('Cálculos'!$F$196+(($C184)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184)-$A$177:$A$222)*'Cálculos'!$F$98)/(('Cálculos'!$F$197+(($C184)-$A$177:$A$222)*'Cálculos'!$F$98)+1400)+'Cálculos'!$F$122)*'Cálculos'!$F$229+'Cálculos'!$F$125*(1+2.78*('Cálculos'!$F$197+(($C184)-$A$177:$A$222)*'Cálculos'!$F$98)/(('Cálculos'!$F$197+(($C184)-$A$177:$A$222)*'Cálculos'!$F$98)+1400)+'Cálculos'!$F$123)*'Cálculos'!$F$234)+('Cálculos'!$F$197+(($C184)-$A$177:$A$222)*'Cálculos'!$F$98)*('Cálculos'!$F$225+'Cálculos'!$F$124*(1+2.78*('Cálculos'!$F$197+(($C184)-$A$177:$A$222)*'Cálculos'!$F$98)/(('Cálculos'!$F$197+(($C184)-$A$177:$A$222)*'Cálculos'!$F$98)+1400)+'Cálculos'!$F$122)*'Cálculos'!$F$230+'Cálculos'!$F$125*(1+2.78*('Cálculos'!$F$197+(($C184)-$A$177:$A$222)*'Cálculos'!$F$98)/(('Cálculos'!$F$197+(($C184)-$A$177:$A$222)*'Cálculos'!$F$98)+1400)+'Cálculos'!$F$123)*'Cálculos'!$F$235)+('Cálculos'!$F$201*(1+'Cálculos'!$F$202+$A$177:$A$222*('Cálculos'!$F$290=2)*'Cálculos'!$F$101)+'Cálculos'!$F$203)*('Cálculos'!$F$226+'Cálculos'!$F$124*(1+2.78*('Cálculos'!$F$197+(($C184)-$A$177:$A$222)*'Cálculos'!$F$98)/(('Cálculos'!$F$197+(($C184)-$A$177:$A$222)*'Cálculos'!$F$98)+1400)+'Cálculos'!$F$122)*'Cálculos'!$F$231+'Cálculos'!$F$125*(1+2.78*('Cálculos'!$F$197+(($C184)-$A$177:$A$222)*'Cálculos'!$F$98)/(('Cálculos'!$F$197+(($C184)-$A$177:$A$222)*'Cálculos'!$F$98)+1400)+'Cálculos'!$F$123)*'Cálculos'!$F$236)+('Cálculos'!$F$204*(1+'Cálculos'!$F$205+$A$177:$A$222*('Cálculos'!$F$290=3)*'Cálculos'!$F$103)+'Cálculos'!$F$206)*('Cálculos'!$F$227+'Cálculos'!$F$124*(1+2.78*('Cálculos'!$F$197+(($C184)-$A$177:$A$222)*'Cálculos'!$F$98)/(('Cálculos'!$F$197+(($C184)-$A$177:$A$222)*'Cálculos'!$F$98)+1400)+'Cálculos'!$F$122)*'Cálculos'!$F$232+'Cálculos'!$F$125*(1+2.78*('Cálculos'!$F$197+(($C184)-$A$177:$A$222)*'Cálculos'!$F$98)/(('Cálculos'!$F$197+(($C184)-$A$177:$A$222)*'Cálculos'!$F$98)+1400)+'Cálculos'!$F$123)*'Cálculos'!$F$237)+('Cálculos'!$F$228+'Cálculos'!$F$124*(1+2.78*('Cálculos'!$F$197+(($C184)-$A$177:$A$222)*'Cálculos'!$F$98)/(('Cálculos'!$F$197+(($C184)-$A$177:$A$222)*'Cálculos'!$F$98)+1400)+'Cálculos'!$F$122)*'Cálculos'!$F$233+'Cálculos'!$F$125*(1+2.78*('Cálculos'!$F$197+(($C184)-$A$177:$A$222)*'Cálculos'!$F$98)/(('Cálculos'!$F$197+(($C184)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184)-$A$177:$A$222)*'Cálculos'!$F$98)/(('Cálculos'!$F$198+(($C184)-$A$177:$A$222)*'Cálculos'!$F$98)+1400)+'Cálculos'!$F$122)*'Cálculos'!$F$244+'Cálculos'!$F$125*(1+2.78*('Cálculos'!$F$198+(($C184)-$A$177:$A$222)*'Cálculos'!$F$98)/(('Cálculos'!$F$198+(($C184)-$A$177:$A$222)*'Cálculos'!$F$98)+1400)+'Cálculos'!$F$123)*'Cálculos'!$F$249)+('Cálculos'!$F$198+(($C184)-$A$177:$A$222)*'Cálculos'!$F$98)*('Cálculos'!$F$240+'Cálculos'!$F$124*(1+2.78*('Cálculos'!$F$198+(($C184)-$A$177:$A$222)*'Cálculos'!$F$98)/(('Cálculos'!$F$198+(($C184)-$A$177:$A$222)*'Cálculos'!$F$98)+1400)+'Cálculos'!$F$122)*'Cálculos'!$F$245+'Cálculos'!$F$125*(1+2.78*('Cálculos'!$F$198+(($C184)-$A$177:$A$222)*'Cálculos'!$F$98)/(('Cálculos'!$F$198+(($C184)-$A$177:$A$222)*'Cálculos'!$F$98)+1400)+'Cálculos'!$F$123)*'Cálculos'!$F$250)+('Cálculos'!$F$201*(1+'Cálculos'!$F$202+$A$177:$A$222*('Cálculos'!$F$290=2)*'Cálculos'!$F$101)+'Cálculos'!$F$203)*('Cálculos'!$F$241+'Cálculos'!$F$124*(1+2.78*('Cálculos'!$F$198+(($C184)-$A$177:$A$222)*'Cálculos'!$F$98)/(('Cálculos'!$F$198+(($C184)-$A$177:$A$222)*'Cálculos'!$F$98)+1400)+'Cálculos'!$F$122)*'Cálculos'!$F$246+'Cálculos'!$F$125*(1+2.78*('Cálculos'!$F$198+(($C184)-$A$177:$A$222)*'Cálculos'!$F$98)/(('Cálculos'!$F$198+(($C184)-$A$177:$A$222)*'Cálculos'!$F$98)+1400)+'Cálculos'!$F$123)*'Cálculos'!$F$251)+('Cálculos'!$F$204*(1+'Cálculos'!$F$205+$A$177:$A$222*('Cálculos'!$F$290=3)*'Cálculos'!$F$103)+'Cálculos'!$F$206)*('Cálculos'!$F$242+'Cálculos'!$F$124*(1+2.78*('Cálculos'!$F$198+(($C184)-$A$177:$A$222)*'Cálculos'!$F$98)/(('Cálculos'!$F$198+(($C184)-$A$177:$A$222)*'Cálculos'!$F$98)+1400)+'Cálculos'!$F$122)*'Cálculos'!$F$247+'Cálculos'!$F$125*(1+2.78*('Cálculos'!$F$198+(($C184)-$A$177:$A$222)*'Cálculos'!$F$98)/(('Cálculos'!$F$198+(($C184)-$A$177:$A$222)*'Cálculos'!$F$98)+1400)+'Cálculos'!$F$123)*'Cálculos'!$F$252)+('Cálculos'!$F$243+'Cálculos'!$F$124*(1+2.78*('Cálculos'!$F$198+(($C184)-$A$177:$A$222)*'Cálculos'!$F$98)/(('Cálculos'!$F$198+(($C184)-$A$177:$A$222)*'Cálculos'!$F$98)+1400)+'Cálculos'!$F$122)*'Cálculos'!$F$248+'Cálculos'!$F$125*(1+2.78*('Cálculos'!$F$198+(($C184)-$A$177:$A$222)*'Cálculos'!$F$98)/(('Cálculos'!$F$198+(($C184)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184)-$A$177:$A$222)*'Cálculos'!$F$98)/(('Cálculos'!$F$199+(($C184)-$A$177:$A$222)*'Cálculos'!$F$98)+1400)+'Cálculos'!$F$122)*'Cálculos'!$F$259+'Cálculos'!$F$125*(1+2.78*('Cálculos'!$F$199+(($C184)-$A$177:$A$222)*'Cálculos'!$F$98)/(('Cálculos'!$F$199+(($C184)-$A$177:$A$222)*'Cálculos'!$F$98)+1400)+'Cálculos'!$F$123)*'Cálculos'!$F$264)+('Cálculos'!$F$199+(($C184)-$A$177:$A$222)*'Cálculos'!$F$98)*('Cálculos'!$F$255+'Cálculos'!$F$124*(1+2.78*('Cálculos'!$F$199+(($C184)-$A$177:$A$222)*'Cálculos'!$F$98)/(('Cálculos'!$F$199+(($C184)-$A$177:$A$222)*'Cálculos'!$F$98)+1400)+'Cálculos'!$F$122)*'Cálculos'!$F$260+'Cálculos'!$F$125*(1+2.78*('Cálculos'!$F$199+(($C184)-$A$177:$A$222)*'Cálculos'!$F$98)/(('Cálculos'!$F$199+(($C184)-$A$177:$A$222)*'Cálculos'!$F$98)+1400)+'Cálculos'!$F$123)*'Cálculos'!$F$265)+('Cálculos'!$F$201*(1+'Cálculos'!$F$202+$A$177:$A$222*('Cálculos'!$F$290=2)*'Cálculos'!$F$101)+'Cálculos'!$F$203)*('Cálculos'!$F$256+'Cálculos'!$F$124*(1+2.78*('Cálculos'!$F$199+(($C184)-$A$177:$A$222)*'Cálculos'!$F$98)/(('Cálculos'!$F$199+(($C184)-$A$177:$A$222)*'Cálculos'!$F$98)+1400)+'Cálculos'!$F$122)*'Cálculos'!$F$261+'Cálculos'!$F$125*(1+2.78*('Cálculos'!$F$199+(($C184)-$A$177:$A$222)*'Cálculos'!$F$98)/(('Cálculos'!$F$199+(($C184)-$A$177:$A$222)*'Cálculos'!$F$98)+1400)+'Cálculos'!$F$123)*'Cálculos'!$F$266)+('Cálculos'!$F$204*(1+'Cálculos'!$F$205+$A$177:$A$222*('Cálculos'!$F$290=3)*'Cálculos'!$F$103)+'Cálculos'!$F$206)*('Cálculos'!$F$257+'Cálculos'!$F$124*(1+2.78*('Cálculos'!$F$199+(($C184)-$A$177:$A$222)*'Cálculos'!$F$98)/(('Cálculos'!$F$199+(($C184)-$A$177:$A$222)*'Cálculos'!$F$98)+1400)+'Cálculos'!$F$122)*'Cálculos'!$F$262+'Cálculos'!$F$125*(1+2.78*('Cálculos'!$F$199+(($C184)-$A$177:$A$222)*'Cálculos'!$F$98)/(('Cálculos'!$F$199+(($C184)-$A$177:$A$222)*'Cálculos'!$F$98)+1400)+'Cálculos'!$F$123)*'Cálculos'!$F$267)+('Cálculos'!$F$258+'Cálculos'!$F$124*(1+2.78*('Cálculos'!$F$199+(($C184)-$A$177:$A$222)*'Cálculos'!$F$98)/(('Cálculos'!$F$199+(($C184)-$A$177:$A$222)*'Cálculos'!$F$98)+1400)+'Cálculos'!$F$122)*'Cálculos'!$F$263+'Cálculos'!$F$125*(1+2.78*('Cálculos'!$F$199+(($C184)-$A$177:$A$222)*'Cálculos'!$F$98)/(('Cálculos'!$F$199+(($C184)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184)-$A$177:$A$222)*'Cálculos'!$F$98)/(('Cálculos'!$F$200+(($C184)-$A$177:$A$222)*'Cálculos'!$F$98)+1400)+'Cálculos'!$F$122)*'Cálculos'!$F$274+'Cálculos'!$F$125*(1+2.78*('Cálculos'!$F$200+(($C184)-$A$177:$A$222)*'Cálculos'!$F$98)/(('Cálculos'!$F$200+(($C184)-$A$177:$A$222)*'Cálculos'!$F$98)+1400)+'Cálculos'!$F$123)*'Cálculos'!$F$279)+('Cálculos'!$F$200+(($C184)-$A$177:$A$222)*'Cálculos'!$F$98)*('Cálculos'!$F$270+'Cálculos'!$F$124*(1+2.78*('Cálculos'!$F$200+(($C184)-$A$177:$A$222)*'Cálculos'!$F$98)/(('Cálculos'!$F$200+(($C184)-$A$177:$A$222)*'Cálculos'!$F$98)+1400)+'Cálculos'!$F$122)*'Cálculos'!$F$275+'Cálculos'!$F$125*(1+2.78*('Cálculos'!$F$200+(($C184)-$A$177:$A$222)*'Cálculos'!$F$98)/(('Cálculos'!$F$200+(($C184)-$A$177:$A$222)*'Cálculos'!$F$98)+1400)+'Cálculos'!$F$123)*'Cálculos'!$F$280)+('Cálculos'!$F$201*(1+'Cálculos'!$F$202+$A$177:$A$222*('Cálculos'!$F$290=2)*'Cálculos'!$F$101)+'Cálculos'!$F$203)*('Cálculos'!$F$271+'Cálculos'!$F$124*(1+2.78*('Cálculos'!$F$200+(($C184)-$A$177:$A$222)*'Cálculos'!$F$98)/(('Cálculos'!$F$200+(($C184)-$A$177:$A$222)*'Cálculos'!$F$98)+1400)+'Cálculos'!$F$122)*'Cálculos'!$F$276+'Cálculos'!$F$125*(1+2.78*('Cálculos'!$F$200+(($C184)-$A$177:$A$222)*'Cálculos'!$F$98)/(('Cálculos'!$F$200+(($C184)-$A$177:$A$222)*'Cálculos'!$F$98)+1400)+'Cálculos'!$F$123)*'Cálculos'!$F$281)+('Cálculos'!$F$204*(1+'Cálculos'!$F$205+$A$177:$A$222*('Cálculos'!$F$290=3)*'Cálculos'!$F$103)+'Cálculos'!$F$206)*('Cálculos'!$F$272+'Cálculos'!$F$124*(1+2.78*('Cálculos'!$F$200+(($C184)-$A$177:$A$222)*'Cálculos'!$F$98)/(('Cálculos'!$F$200+(($C184)-$A$177:$A$222)*'Cálculos'!$F$98)+1400)+'Cálculos'!$F$122)*'Cálculos'!$F$277+'Cálculos'!$F$125*(1+2.78*('Cálculos'!$F$200+(($C184)-$A$177:$A$222)*'Cálculos'!$F$98)/(('Cálculos'!$F$200+(($C184)-$A$177:$A$222)*'Cálculos'!$F$98)+1400)+'Cálculos'!$F$123)*'Cálculos'!$F$282)+('Cálculos'!$F$273+'Cálculos'!$F$124*(1+2.78*('Cálculos'!$F$200+(($C184)-$A$177:$A$222)*'Cálculos'!$F$98)/(('Cálculos'!$F$200+(($C184)-$A$177:$A$222)*'Cálculos'!$F$98)+1400)+'Cálculos'!$F$122)*'Cálculos'!$F$278+'Cálculos'!$F$125*(1+2.78*('Cálculos'!$F$200+(($C184)-$A$177:$A$222)*'Cálculos'!$F$98)/(('Cálculos'!$F$200+(($C184)-$A$177:$A$222)*'Cálculos'!$F$98)+1400)+'Cálculos'!$F$123)*'Cálculos'!$F$283)))))</f>
        <v>21807.92765</v>
      </c>
      <c r="E184" s="32">
        <f>IF(OR($C184&lt;0,'Cálculos'!$F$6=""),0,$B184*$D184)</f>
        <v>40074.98931</v>
      </c>
      <c r="F184" s="2"/>
      <c r="G184" s="30">
        <f>($A184&lt;=$B$224)*($A184&lt;='Cálculos'!$F$294)*(($B$224)-$A184&lt;='Cálculos'!$F$295)*(1+MIN(('Cálculos'!$F$207+$A184*'Cálculos'!$F$95),1)*('Cálculos'!$F$208+(($B$224)-$A184)*'Cálculos'!$F$96))</f>
        <v>2.315342</v>
      </c>
      <c r="H184" s="31">
        <f>IF($B$225&lt;0,0,($A184&lt;=$B$225)*($A184&lt;='Cálculos'!$F$301)*(($B$225)-$A184&lt;='Cálculos'!$F$297)*(('Cálculos'!$F$185*(1+'Cálculos'!$F$186+$A184*('Cálculos'!$F$290=1)*'Cálculos'!$F$97+'Cálculos'!$F$305)+'Cálculos'!$F$191)*('Cálculos'!$F$209+'Cálculos'!$F$124*(1+2.78*('Cálculos'!$F$196+(($B$225)-$A184)*'Cálculos'!$F$98)/(('Cálculos'!$F$196+(($B$225)-$A184)*'Cálculos'!$F$98)+1400)+'Cálculos'!$F$122)*'Cálculos'!$F$214+'Cálculos'!$F$125*(1+2.78*('Cálculos'!$F$196+(($B$225)-$A184)*'Cálculos'!$F$98)/(('Cálculos'!$F$196+(($B$225)-$A184)*'Cálculos'!$F$98)+1400)+'Cálculos'!$F$123)*'Cálculos'!$F$219)+('Cálculos'!$F$196+(($B$225)-$A184)*'Cálculos'!$F$98)*('Cálculos'!$F$210+'Cálculos'!$F$124*(1+2.78*('Cálculos'!$F$196+(($B$225)-$A184)*'Cálculos'!$F$98)/(('Cálculos'!$F$196+(($B$225)-$A184)*'Cálculos'!$F$98)+1400)+'Cálculos'!$F$122)*'Cálculos'!$F$215+'Cálculos'!$F$125*(1+2.78*('Cálculos'!$F$196+(($B$225)-$A184)*'Cálculos'!$F$98)/(('Cálculos'!$F$196+(($B$225)-$A184)*'Cálculos'!$F$98)+1400)+'Cálculos'!$F$123)*'Cálculos'!$F$220)+('Cálculos'!$F$201*(1+'Cálculos'!$F$202+$A184*('Cálculos'!$F$290=2)*'Cálculos'!$F$101)+'Cálculos'!$F$203)*('Cálculos'!$F$211+'Cálculos'!$F$124*(1+2.78*('Cálculos'!$F$196+(($B$225)-$A184)*'Cálculos'!$F$98)/(('Cálculos'!$F$196+(($B$225)-$A184)*'Cálculos'!$F$98)+1400)+'Cálculos'!$F$122)*'Cálculos'!$F$216+'Cálculos'!$F$125*(1+2.78*('Cálculos'!$F$196+(($B$225)-$A184)*'Cálculos'!$F$98)/(('Cálculos'!$F$196+(($B$225)-$A184)*'Cálculos'!$F$98)+1400)+'Cálculos'!$F$123)*'Cálculos'!$F$221)+('Cálculos'!$F$204*(1+'Cálculos'!$F$205+$A184*('Cálculos'!$F$290=3)*'Cálculos'!$F$103)+'Cálculos'!$F$206)*('Cálculos'!$F$212+'Cálculos'!$F$124*(1+2.78*('Cálculos'!$F$196+(($B$225)-$A184)*'Cálculos'!$F$98)/(('Cálculos'!$F$196+(($B$225)-$A184)*'Cálculos'!$F$98)+1400)+'Cálculos'!$F$122)*'Cálculos'!$F$217+'Cálculos'!$F$125*(1+2.78*('Cálculos'!$F$196+(($B$225)-$A184)*'Cálculos'!$F$98)/(('Cálculos'!$F$196+(($B$225)-$A184)*'Cálculos'!$F$98)+1400)+'Cálculos'!$F$123)*'Cálculos'!$F$222)+('Cálculos'!$F$213+'Cálculos'!$F$124*(1+2.78*('Cálculos'!$F$196+(($B$225)-$A184)*'Cálculos'!$F$98)/(('Cálculos'!$F$196+(($B$225)-$A184)*'Cálculos'!$F$98)+1400)+'Cálculos'!$F$122)*'Cálculos'!$F$218+'Cálculos'!$F$125*(1+2.78*('Cálculos'!$F$196+(($B$225)-$A184)*'Cálculos'!$F$98)/(('Cálculos'!$F$196+(($B$225)-$A184)*'Cálculos'!$F$98)+1400)+'Cálculos'!$F$123)*'Cálculos'!$F$223)+('Cálculos'!$F$185*(1+'Cálculos'!$F$187+$A184*('Cálculos'!$F$290=1)*'Cálculos'!$F$97+'Cálculos'!$F$305)+'Cálculos'!$F$192)*('Cálculos'!$F$224+'Cálculos'!$F$124*(1+2.78*('Cálculos'!$F$197+(($B$225)-$A184)*'Cálculos'!$F$98)/(('Cálculos'!$F$197+(($B$225)-$A184)*'Cálculos'!$F$98)+1400)+'Cálculos'!$F$122)*'Cálculos'!$F$229+'Cálculos'!$F$125*(1+2.78*('Cálculos'!$F$197+(($B$225)-$A184)*'Cálculos'!$F$98)/(('Cálculos'!$F$197+(($B$225)-$A184)*'Cálculos'!$F$98)+1400)+'Cálculos'!$F$123)*'Cálculos'!$F$234)+('Cálculos'!$F$197+(($B$225)-$A184)*'Cálculos'!$F$98)*('Cálculos'!$F$225+'Cálculos'!$F$124*(1+2.78*('Cálculos'!$F$197+(($B$225)-$A184)*'Cálculos'!$F$98)/(('Cálculos'!$F$197+(($B$225)-$A184)*'Cálculos'!$F$98)+1400)+'Cálculos'!$F$122)*'Cálculos'!$F$230+'Cálculos'!$F$125*(1+2.78*('Cálculos'!$F$197+(($B$225)-$A184)*'Cálculos'!$F$98)/(('Cálculos'!$F$197+(($B$225)-$A184)*'Cálculos'!$F$98)+1400)+'Cálculos'!$F$123)*'Cálculos'!$F$235)+('Cálculos'!$F$201*(1+'Cálculos'!$F$202+$A184*('Cálculos'!$F$290=2)*'Cálculos'!$F$101)+'Cálculos'!$F$203)*('Cálculos'!$F$226+'Cálculos'!$F$124*(1+2.78*('Cálculos'!$F$197+(($B$225)-$A184)*'Cálculos'!$F$98)/(('Cálculos'!$F$197+(($B$225)-$A184)*'Cálculos'!$F$98)+1400)+'Cálculos'!$F$122)*'Cálculos'!$F$231+'Cálculos'!$F$125*(1+2.78*('Cálculos'!$F$197+(($B$225)-$A184)*'Cálculos'!$F$98)/(('Cálculos'!$F$197+(($B$225)-$A184)*'Cálculos'!$F$98)+1400)+'Cálculos'!$F$123)*'Cálculos'!$F$236)+('Cálculos'!$F$204*(1+'Cálculos'!$F$205+$A184*('Cálculos'!$F$290=3)*'Cálculos'!$F$103)+'Cálculos'!$F$206)*('Cálculos'!$F$227+'Cálculos'!$F$124*(1+2.78*('Cálculos'!$F$197+(($B$225)-$A184)*'Cálculos'!$F$98)/(('Cálculos'!$F$197+(($B$225)-$A184)*'Cálculos'!$F$98)+1400)+'Cálculos'!$F$122)*'Cálculos'!$F$232+'Cálculos'!$F$125*(1+2.78*('Cálculos'!$F$197+(($B$225)-$A184)*'Cálculos'!$F$98)/(('Cálculos'!$F$197+(($B$225)-$A184)*'Cálculos'!$F$98)+1400)+'Cálculos'!$F$123)*'Cálculos'!$F$237)+('Cálculos'!$F$228+'Cálculos'!$F$124*(1+2.78*('Cálculos'!$F$197+(($B$225)-$A184)*'Cálculos'!$F$98)/(('Cálculos'!$F$197+(($B$225)-$A184)*'Cálculos'!$F$98)+1400)+'Cálculos'!$F$122)*'Cálculos'!$F$233+'Cálculos'!$F$125*(1+2.78*('Cálculos'!$F$197+(($B$225)-$A184)*'Cálculos'!$F$98)/(('Cálculos'!$F$197+(($B$225)-$A184)*'Cálculos'!$F$98)+1400)+'Cálculos'!$F$123)*'Cálculos'!$F$238)+('Cálculos'!$F$185*(1+'Cálculos'!$F$188+$A184*('Cálculos'!$F$290=1)*'Cálculos'!$F$97+'Cálculos'!$F$305)+'Cálculos'!$F$193)*('Cálculos'!$F$239+'Cálculos'!$F$124*(1+2.78*('Cálculos'!$F$198+(($B$225)-$A184)*'Cálculos'!$F$98)/(('Cálculos'!$F$198+(($B$225)-$A184)*'Cálculos'!$F$98)+1400)+'Cálculos'!$F$122)*'Cálculos'!$F$244+'Cálculos'!$F$125*(1+2.78*('Cálculos'!$F$198+(($B$225)-$A184)*'Cálculos'!$F$98)/(('Cálculos'!$F$198+(($B$225)-$A184)*'Cálculos'!$F$98)+1400)+'Cálculos'!$F$123)*'Cálculos'!$F$249)+('Cálculos'!$F$198+(($B$225)-$A184)*'Cálculos'!$F$98)*('Cálculos'!$F$240+'Cálculos'!$F$124*(1+2.78*('Cálculos'!$F$198+(($B$225)-$A184)*'Cálculos'!$F$98)/(('Cálculos'!$F$198+(($B$225)-$A184)*'Cálculos'!$F$98)+1400)+'Cálculos'!$F$122)*'Cálculos'!$F$245+'Cálculos'!$F$125*(1+2.78*('Cálculos'!$F$198+(($B$225)-$A184)*'Cálculos'!$F$98)/(('Cálculos'!$F$198+(($B$225)-$A184)*'Cálculos'!$F$98)+1400)+'Cálculos'!$F$123)*'Cálculos'!$F$250)+('Cálculos'!$F$201*(1+'Cálculos'!$F$202+$A184*('Cálculos'!$F$290=2)*'Cálculos'!$F$101)+'Cálculos'!$F$203)*('Cálculos'!$F$241+'Cálculos'!$F$124*(1+2.78*('Cálculos'!$F$198+(($B$225)-$A184)*'Cálculos'!$F$98)/(('Cálculos'!$F$198+(($B$225)-$A184)*'Cálculos'!$F$98)+1400)+'Cálculos'!$F$122)*'Cálculos'!$F$246+'Cálculos'!$F$125*(1+2.78*('Cálculos'!$F$198+(($B$225)-$A184)*'Cálculos'!$F$98)/(('Cálculos'!$F$198+(($B$225)-$A184)*'Cálculos'!$F$98)+1400)+'Cálculos'!$F$123)*'Cálculos'!$F$251)+('Cálculos'!$F$204*(1+'Cálculos'!$F$205+$A184*('Cálculos'!$F$290=3)*'Cálculos'!$F$103)+'Cálculos'!$F$206)*('Cálculos'!$F$242+'Cálculos'!$F$124*(1+2.78*('Cálculos'!$F$198+(($B$225)-$A184)*'Cálculos'!$F$98)/(('Cálculos'!$F$198+(($B$225)-$A184)*'Cálculos'!$F$98)+1400)+'Cálculos'!$F$122)*'Cálculos'!$F$247+'Cálculos'!$F$125*(1+2.78*('Cálculos'!$F$198+(($B$225)-$A184)*'Cálculos'!$F$98)/(('Cálculos'!$F$198+(($B$225)-$A184)*'Cálculos'!$F$98)+1400)+'Cálculos'!$F$123)*'Cálculos'!$F$252)+('Cálculos'!$F$243+'Cálculos'!$F$124*(1+2.78*('Cálculos'!$F$198+(($B$225)-$A184)*'Cálculos'!$F$98)/(('Cálculos'!$F$198+(($B$225)-$A184)*'Cálculos'!$F$98)+1400)+'Cálculos'!$F$122)*'Cálculos'!$F$248+'Cálculos'!$F$125*(1+2.78*('Cálculos'!$F$198+(($B$225)-$A184)*'Cálculos'!$F$98)/(('Cálculos'!$F$198+(($B$225)-$A184)*'Cálculos'!$F$98)+1400)+'Cálculos'!$F$123)*'Cálculos'!$F$253)+('Cálculos'!$F$185*(1+'Cálculos'!$F$189+$A184*('Cálculos'!$F$290=1)*'Cálculos'!$F$97+'Cálculos'!$F$305)+'Cálculos'!$F$194)*('Cálculos'!$F$254+'Cálculos'!$F$124*(1+2.78*('Cálculos'!$F$199+(($B$225)-$A184)*'Cálculos'!$F$98)/(('Cálculos'!$F$199+(($B$225)-$A184)*'Cálculos'!$F$98)+1400)+'Cálculos'!$F$122)*'Cálculos'!$F$259+'Cálculos'!$F$125*(1+2.78*('Cálculos'!$F$199+(($B$225)-$A184)*'Cálculos'!$F$98)/(('Cálculos'!$F$199+(($B$225)-$A184)*'Cálculos'!$F$98)+1400)+'Cálculos'!$F$123)*'Cálculos'!$F$264)+('Cálculos'!$F$199+(($B$225)-$A184)*'Cálculos'!$F$98)*('Cálculos'!$F$255+'Cálculos'!$F$124*(1+2.78*('Cálculos'!$F$199+(($B$225)-$A184)*'Cálculos'!$F$98)/(('Cálculos'!$F$199+(($B$225)-$A184)*'Cálculos'!$F$98)+1400)+'Cálculos'!$F$122)*'Cálculos'!$F$260+'Cálculos'!$F$125*(1+2.78*('Cálculos'!$F$199+(($B$225)-$A184)*'Cálculos'!$F$98)/(('Cálculos'!$F$199+(($B$225)-$A184)*'Cálculos'!$F$98)+1400)+'Cálculos'!$F$123)*'Cálculos'!$F$265)+('Cálculos'!$F$201*(1+'Cálculos'!$F$202+$A184*('Cálculos'!$F$290=2)*'Cálculos'!$F$101)+'Cálculos'!$F$203)*('Cálculos'!$F$256+'Cálculos'!$F$124*(1+2.78*('Cálculos'!$F$199+(($B$225)-$A184)*'Cálculos'!$F$98)/(('Cálculos'!$F$199+(($B$225)-$A184)*'Cálculos'!$F$98)+1400)+'Cálculos'!$F$122)*'Cálculos'!$F$261+'Cálculos'!$F$125*(1+2.78*('Cálculos'!$F$199+(($B$225)-$A184)*'Cálculos'!$F$98)/(('Cálculos'!$F$199+(($B$225)-$A184)*'Cálculos'!$F$98)+1400)+'Cálculos'!$F$123)*'Cálculos'!$F$266)+('Cálculos'!$F$204*(1+'Cálculos'!$F$205+$A184*('Cálculos'!$F$290=3)*'Cálculos'!$F$103)+'Cálculos'!$F$206)*('Cálculos'!$F$257+'Cálculos'!$F$124*(1+2.78*('Cálculos'!$F$199+(($B$225)-$A184)*'Cálculos'!$F$98)/(('Cálculos'!$F$199+(($B$225)-$A184)*'Cálculos'!$F$98)+1400)+'Cálculos'!$F$122)*'Cálculos'!$F$262+'Cálculos'!$F$125*(1+2.78*('Cálculos'!$F$199+(($B$225)-$A184)*'Cálculos'!$F$98)/(('Cálculos'!$F$199+(($B$225)-$A184)*'Cálculos'!$F$98)+1400)+'Cálculos'!$F$123)*'Cálculos'!$F$267)+('Cálculos'!$F$258+'Cálculos'!$F$124*(1+2.78*('Cálculos'!$F$199+(($B$225)-$A184)*'Cálculos'!$F$98)/(('Cálculos'!$F$199+(($B$225)-$A184)*'Cálculos'!$F$98)+1400)+'Cálculos'!$F$122)*'Cálculos'!$F$263+'Cálculos'!$F$125*(1+2.78*('Cálculos'!$F$199+(($B$225)-$A184)*'Cálculos'!$F$98)/(('Cálculos'!$F$199+(($B$225)-$A184)*'Cálculos'!$F$98)+1400)+'Cálculos'!$F$123)*'Cálculos'!$F$268)+('Cálculos'!$F$185*(1+'Cálculos'!$F$190+$A184*('Cálculos'!$F$290=1)*'Cálculos'!$F$97+'Cálculos'!$F$305)+'Cálculos'!$F$195)*('Cálculos'!$F$269+'Cálculos'!$F$124*(1+2.78*('Cálculos'!$F$200+(($B$225)-$A184)*'Cálculos'!$F$98)/(('Cálculos'!$F$200+(($B$225)-$A184)*'Cálculos'!$F$98)+1400)+'Cálculos'!$F$122)*'Cálculos'!$F$274+'Cálculos'!$F$125*(1+2.78*('Cálculos'!$F$200+(($B$225)-$A184)*'Cálculos'!$F$98)/(('Cálculos'!$F$200+(($B$225)-$A184)*'Cálculos'!$F$98)+1400)+'Cálculos'!$F$123)*'Cálculos'!$F$279)+('Cálculos'!$F$200+(($B$225)-$A184)*'Cálculos'!$F$98)*('Cálculos'!$F$270+'Cálculos'!$F$124*(1+2.78*('Cálculos'!$F$200+(($B$225)-$A184)*'Cálculos'!$F$98)/(('Cálculos'!$F$200+(($B$225)-$A184)*'Cálculos'!$F$98)+1400)+'Cálculos'!$F$122)*'Cálculos'!$F$275+'Cálculos'!$F$125*(1+2.78*('Cálculos'!$F$200+(($B$225)-$A184)*'Cálculos'!$F$98)/(('Cálculos'!$F$200+(($B$225)-$A184)*'Cálculos'!$F$98)+1400)+'Cálculos'!$F$123)*'Cálculos'!$F$280)+('Cálculos'!$F$201*(1+'Cálculos'!$F$202+$A184*('Cálculos'!$F$290=2)*'Cálculos'!$F$101)+'Cálculos'!$F$203)*('Cálculos'!$F$271+'Cálculos'!$F$124*(1+2.78*('Cálculos'!$F$200+(($B$225)-$A184)*'Cálculos'!$F$98)/(('Cálculos'!$F$200+(($B$225)-$A184)*'Cálculos'!$F$98)+1400)+'Cálculos'!$F$122)*'Cálculos'!$F$276+'Cálculos'!$F$125*(1+2.78*('Cálculos'!$F$200+(($B$225)-$A184)*'Cálculos'!$F$98)/(('Cálculos'!$F$200+(($B$225)-$A184)*'Cálculos'!$F$98)+1400)+'Cálculos'!$F$123)*'Cálculos'!$F$281)+('Cálculos'!$F$204*(1+'Cálculos'!$F$205+$A184*('Cálculos'!$F$290=3)*'Cálculos'!$F$103)+'Cálculos'!$F$206)*('Cálculos'!$F$272+'Cálculos'!$F$124*(1+2.78*('Cálculos'!$F$200+(($B$225)-$A184)*'Cálculos'!$F$98)/(('Cálculos'!$F$200+(($B$225)-$A184)*'Cálculos'!$F$98)+1400)+'Cálculos'!$F$122)*'Cálculos'!$F$277+'Cálculos'!$F$125*(1+2.78*('Cálculos'!$F$200+(($B$225)-$A184)*'Cálculos'!$F$98)/(('Cálculos'!$F$200+(($B$225)-$A184)*'Cálculos'!$F$98)+1400)+'Cálculos'!$F$123)*'Cálculos'!$F$282)+('Cálculos'!$F$273+'Cálculos'!$F$124*(1+2.78*('Cálculos'!$F$200+(($B$225)-$A184)*'Cálculos'!$F$98)/(('Cálculos'!$F$200+(($B$225)-$A184)*'Cálculos'!$F$98)+1400)+'Cálculos'!$F$122)*'Cálculos'!$F$278+'Cálculos'!$F$125*(1+2.78*('Cálculos'!$F$200+(($B$225)-$A184)*'Cálculos'!$F$98)/(('Cálculos'!$F$200+(($B$225)-$A184)*'Cálculos'!$F$98)+1400)+'Cálculos'!$F$123)*'Cálculos'!$F$283)))</f>
        <v>0</v>
      </c>
    </row>
    <row r="185" ht="15.75" customHeight="1">
      <c r="A185" s="2">
        <v>8.0</v>
      </c>
      <c r="B185" s="30">
        <f>SUMPRODUCT(MAX(($A$177:$A$222&lt;=$A185)*($A$177:$A$222&lt;='Cálculos'!$F$294)*(($A185)-$A$177:$A$222&lt;='Cálculos'!$F$295)*(1+(('Cálculos'!$F$207+$A$177:$A$222*'Cálculos'!$F$95)-(('Cálculos'!$F$207+$A$177:$A$222*'Cálculos'!$F$95)&gt;1)*(('Cálculos'!$F$207+$A$177:$A$222*'Cálculos'!$F$95)-1))*('Cálculos'!$F$208+(($A185)-$A$177:$A$222)*'Cálculos'!$F$96))))</f>
        <v>1.881062</v>
      </c>
      <c r="C185" s="2">
        <f>'Cálculos'!$F$303-$A185</f>
        <v>10</v>
      </c>
      <c r="D185" s="31">
        <f>IF($C185&lt;0,0,SUMPRODUCT(MAX(($A$177:$A$222&lt;=$C185)*($A$177:$A$222&lt;='Cálculos'!$F$301)*(($C185)-$A$177:$A$222&lt;='Cálculos'!$F$297)*(('Cálculos'!$F$185*(1+'Cálculos'!$F$186+$A$177:$A$222*('Cálculos'!$F$290=1)*'Cálculos'!$F$97+'Cálculos'!$F$305)+'Cálculos'!$F$191)*('Cálculos'!$F$209+'Cálculos'!$F$124*(1+2.78*('Cálculos'!$F$196+(($C185)-$A$177:$A$222)*'Cálculos'!$F$98)/(('Cálculos'!$F$196+(($C185)-$A$177:$A$222)*'Cálculos'!$F$98)+1400)+'Cálculos'!$F$122)*'Cálculos'!$F$214+'Cálculos'!$F$125*(1+2.78*('Cálculos'!$F$196+(($C185)-$A$177:$A$222)*'Cálculos'!$F$98)/(('Cálculos'!$F$196+(($C185)-$A$177:$A$222)*'Cálculos'!$F$98)+1400)+'Cálculos'!$F$123)*'Cálculos'!$F$219)+('Cálculos'!$F$196+(($C185)-$A$177:$A$222)*'Cálculos'!$F$98)*('Cálculos'!$F$210+'Cálculos'!$F$124*(1+2.78*('Cálculos'!$F$196+(($C185)-$A$177:$A$222)*'Cálculos'!$F$98)/(('Cálculos'!$F$196+(($C185)-$A$177:$A$222)*'Cálculos'!$F$98)+1400)+'Cálculos'!$F$122)*'Cálculos'!$F$215+'Cálculos'!$F$125*(1+2.78*('Cálculos'!$F$196+(($C185)-$A$177:$A$222)*'Cálculos'!$F$98)/(('Cálculos'!$F$196+(($C185)-$A$177:$A$222)*'Cálculos'!$F$98)+1400)+'Cálculos'!$F$123)*'Cálculos'!$F$220)+('Cálculos'!$F$201*(1+'Cálculos'!$F$202+$A$177:$A$222*('Cálculos'!$F$290=2)*'Cálculos'!$F$101)+'Cálculos'!$F$203)*('Cálculos'!$F$211+'Cálculos'!$F$124*(1+2.78*('Cálculos'!$F$196+(($C185)-$A$177:$A$222)*'Cálculos'!$F$98)/(('Cálculos'!$F$196+(($C185)-$A$177:$A$222)*'Cálculos'!$F$98)+1400)+'Cálculos'!$F$122)*'Cálculos'!$F$216+'Cálculos'!$F$125*(1+2.78*('Cálculos'!$F$196+(($C185)-$A$177:$A$222)*'Cálculos'!$F$98)/(('Cálculos'!$F$196+(($C185)-$A$177:$A$222)*'Cálculos'!$F$98)+1400)+'Cálculos'!$F$123)*'Cálculos'!$F$221)+('Cálculos'!$F$204*(1+'Cálculos'!$F$205+$A$177:$A$222*('Cálculos'!$F$290=3)*'Cálculos'!$F$103)+'Cálculos'!$F$206)*('Cálculos'!$F$212+'Cálculos'!$F$124*(1+2.78*('Cálculos'!$F$196+(($C185)-$A$177:$A$222)*'Cálculos'!$F$98)/(('Cálculos'!$F$196+(($C185)-$A$177:$A$222)*'Cálculos'!$F$98)+1400)+'Cálculos'!$F$122)*'Cálculos'!$F$217+'Cálculos'!$F$125*(1+2.78*('Cálculos'!$F$196+(($C185)-$A$177:$A$222)*'Cálculos'!$F$98)/(('Cálculos'!$F$196+(($C185)-$A$177:$A$222)*'Cálculos'!$F$98)+1400)+'Cálculos'!$F$123)*'Cálculos'!$F$222)+('Cálculos'!$F$213+'Cálculos'!$F$124*(1+2.78*('Cálculos'!$F$196+(($C185)-$A$177:$A$222)*'Cálculos'!$F$98)/(('Cálculos'!$F$196+(($C185)-$A$177:$A$222)*'Cálculos'!$F$98)+1400)+'Cálculos'!$F$122)*'Cálculos'!$F$218+'Cálculos'!$F$125*(1+2.78*('Cálculos'!$F$196+(($C185)-$A$177:$A$222)*'Cálculos'!$F$98)/(('Cálculos'!$F$196+(($C185)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185)-$A$177:$A$222)*'Cálculos'!$F$98)/(('Cálculos'!$F$197+(($C185)-$A$177:$A$222)*'Cálculos'!$F$98)+1400)+'Cálculos'!$F$122)*'Cálculos'!$F$229+'Cálculos'!$F$125*(1+2.78*('Cálculos'!$F$197+(($C185)-$A$177:$A$222)*'Cálculos'!$F$98)/(('Cálculos'!$F$197+(($C185)-$A$177:$A$222)*'Cálculos'!$F$98)+1400)+'Cálculos'!$F$123)*'Cálculos'!$F$234)+('Cálculos'!$F$197+(($C185)-$A$177:$A$222)*'Cálculos'!$F$98)*('Cálculos'!$F$225+'Cálculos'!$F$124*(1+2.78*('Cálculos'!$F$197+(($C185)-$A$177:$A$222)*'Cálculos'!$F$98)/(('Cálculos'!$F$197+(($C185)-$A$177:$A$222)*'Cálculos'!$F$98)+1400)+'Cálculos'!$F$122)*'Cálculos'!$F$230+'Cálculos'!$F$125*(1+2.78*('Cálculos'!$F$197+(($C185)-$A$177:$A$222)*'Cálculos'!$F$98)/(('Cálculos'!$F$197+(($C185)-$A$177:$A$222)*'Cálculos'!$F$98)+1400)+'Cálculos'!$F$123)*'Cálculos'!$F$235)+('Cálculos'!$F$201*(1+'Cálculos'!$F$202+$A$177:$A$222*('Cálculos'!$F$290=2)*'Cálculos'!$F$101)+'Cálculos'!$F$203)*('Cálculos'!$F$226+'Cálculos'!$F$124*(1+2.78*('Cálculos'!$F$197+(($C185)-$A$177:$A$222)*'Cálculos'!$F$98)/(('Cálculos'!$F$197+(($C185)-$A$177:$A$222)*'Cálculos'!$F$98)+1400)+'Cálculos'!$F$122)*'Cálculos'!$F$231+'Cálculos'!$F$125*(1+2.78*('Cálculos'!$F$197+(($C185)-$A$177:$A$222)*'Cálculos'!$F$98)/(('Cálculos'!$F$197+(($C185)-$A$177:$A$222)*'Cálculos'!$F$98)+1400)+'Cálculos'!$F$123)*'Cálculos'!$F$236)+('Cálculos'!$F$204*(1+'Cálculos'!$F$205+$A$177:$A$222*('Cálculos'!$F$290=3)*'Cálculos'!$F$103)+'Cálculos'!$F$206)*('Cálculos'!$F$227+'Cálculos'!$F$124*(1+2.78*('Cálculos'!$F$197+(($C185)-$A$177:$A$222)*'Cálculos'!$F$98)/(('Cálculos'!$F$197+(($C185)-$A$177:$A$222)*'Cálculos'!$F$98)+1400)+'Cálculos'!$F$122)*'Cálculos'!$F$232+'Cálculos'!$F$125*(1+2.78*('Cálculos'!$F$197+(($C185)-$A$177:$A$222)*'Cálculos'!$F$98)/(('Cálculos'!$F$197+(($C185)-$A$177:$A$222)*'Cálculos'!$F$98)+1400)+'Cálculos'!$F$123)*'Cálculos'!$F$237)+('Cálculos'!$F$228+'Cálculos'!$F$124*(1+2.78*('Cálculos'!$F$197+(($C185)-$A$177:$A$222)*'Cálculos'!$F$98)/(('Cálculos'!$F$197+(($C185)-$A$177:$A$222)*'Cálculos'!$F$98)+1400)+'Cálculos'!$F$122)*'Cálculos'!$F$233+'Cálculos'!$F$125*(1+2.78*('Cálculos'!$F$197+(($C185)-$A$177:$A$222)*'Cálculos'!$F$98)/(('Cálculos'!$F$197+(($C185)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185)-$A$177:$A$222)*'Cálculos'!$F$98)/(('Cálculos'!$F$198+(($C185)-$A$177:$A$222)*'Cálculos'!$F$98)+1400)+'Cálculos'!$F$122)*'Cálculos'!$F$244+'Cálculos'!$F$125*(1+2.78*('Cálculos'!$F$198+(($C185)-$A$177:$A$222)*'Cálculos'!$F$98)/(('Cálculos'!$F$198+(($C185)-$A$177:$A$222)*'Cálculos'!$F$98)+1400)+'Cálculos'!$F$123)*'Cálculos'!$F$249)+('Cálculos'!$F$198+(($C185)-$A$177:$A$222)*'Cálculos'!$F$98)*('Cálculos'!$F$240+'Cálculos'!$F$124*(1+2.78*('Cálculos'!$F$198+(($C185)-$A$177:$A$222)*'Cálculos'!$F$98)/(('Cálculos'!$F$198+(($C185)-$A$177:$A$222)*'Cálculos'!$F$98)+1400)+'Cálculos'!$F$122)*'Cálculos'!$F$245+'Cálculos'!$F$125*(1+2.78*('Cálculos'!$F$198+(($C185)-$A$177:$A$222)*'Cálculos'!$F$98)/(('Cálculos'!$F$198+(($C185)-$A$177:$A$222)*'Cálculos'!$F$98)+1400)+'Cálculos'!$F$123)*'Cálculos'!$F$250)+('Cálculos'!$F$201*(1+'Cálculos'!$F$202+$A$177:$A$222*('Cálculos'!$F$290=2)*'Cálculos'!$F$101)+'Cálculos'!$F$203)*('Cálculos'!$F$241+'Cálculos'!$F$124*(1+2.78*('Cálculos'!$F$198+(($C185)-$A$177:$A$222)*'Cálculos'!$F$98)/(('Cálculos'!$F$198+(($C185)-$A$177:$A$222)*'Cálculos'!$F$98)+1400)+'Cálculos'!$F$122)*'Cálculos'!$F$246+'Cálculos'!$F$125*(1+2.78*('Cálculos'!$F$198+(($C185)-$A$177:$A$222)*'Cálculos'!$F$98)/(('Cálculos'!$F$198+(($C185)-$A$177:$A$222)*'Cálculos'!$F$98)+1400)+'Cálculos'!$F$123)*'Cálculos'!$F$251)+('Cálculos'!$F$204*(1+'Cálculos'!$F$205+$A$177:$A$222*('Cálculos'!$F$290=3)*'Cálculos'!$F$103)+'Cálculos'!$F$206)*('Cálculos'!$F$242+'Cálculos'!$F$124*(1+2.78*('Cálculos'!$F$198+(($C185)-$A$177:$A$222)*'Cálculos'!$F$98)/(('Cálculos'!$F$198+(($C185)-$A$177:$A$222)*'Cálculos'!$F$98)+1400)+'Cálculos'!$F$122)*'Cálculos'!$F$247+'Cálculos'!$F$125*(1+2.78*('Cálculos'!$F$198+(($C185)-$A$177:$A$222)*'Cálculos'!$F$98)/(('Cálculos'!$F$198+(($C185)-$A$177:$A$222)*'Cálculos'!$F$98)+1400)+'Cálculos'!$F$123)*'Cálculos'!$F$252)+('Cálculos'!$F$243+'Cálculos'!$F$124*(1+2.78*('Cálculos'!$F$198+(($C185)-$A$177:$A$222)*'Cálculos'!$F$98)/(('Cálculos'!$F$198+(($C185)-$A$177:$A$222)*'Cálculos'!$F$98)+1400)+'Cálculos'!$F$122)*'Cálculos'!$F$248+'Cálculos'!$F$125*(1+2.78*('Cálculos'!$F$198+(($C185)-$A$177:$A$222)*'Cálculos'!$F$98)/(('Cálculos'!$F$198+(($C185)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185)-$A$177:$A$222)*'Cálculos'!$F$98)/(('Cálculos'!$F$199+(($C185)-$A$177:$A$222)*'Cálculos'!$F$98)+1400)+'Cálculos'!$F$122)*'Cálculos'!$F$259+'Cálculos'!$F$125*(1+2.78*('Cálculos'!$F$199+(($C185)-$A$177:$A$222)*'Cálculos'!$F$98)/(('Cálculos'!$F$199+(($C185)-$A$177:$A$222)*'Cálculos'!$F$98)+1400)+'Cálculos'!$F$123)*'Cálculos'!$F$264)+('Cálculos'!$F$199+(($C185)-$A$177:$A$222)*'Cálculos'!$F$98)*('Cálculos'!$F$255+'Cálculos'!$F$124*(1+2.78*('Cálculos'!$F$199+(($C185)-$A$177:$A$222)*'Cálculos'!$F$98)/(('Cálculos'!$F$199+(($C185)-$A$177:$A$222)*'Cálculos'!$F$98)+1400)+'Cálculos'!$F$122)*'Cálculos'!$F$260+'Cálculos'!$F$125*(1+2.78*('Cálculos'!$F$199+(($C185)-$A$177:$A$222)*'Cálculos'!$F$98)/(('Cálculos'!$F$199+(($C185)-$A$177:$A$222)*'Cálculos'!$F$98)+1400)+'Cálculos'!$F$123)*'Cálculos'!$F$265)+('Cálculos'!$F$201*(1+'Cálculos'!$F$202+$A$177:$A$222*('Cálculos'!$F$290=2)*'Cálculos'!$F$101)+'Cálculos'!$F$203)*('Cálculos'!$F$256+'Cálculos'!$F$124*(1+2.78*('Cálculos'!$F$199+(($C185)-$A$177:$A$222)*'Cálculos'!$F$98)/(('Cálculos'!$F$199+(($C185)-$A$177:$A$222)*'Cálculos'!$F$98)+1400)+'Cálculos'!$F$122)*'Cálculos'!$F$261+'Cálculos'!$F$125*(1+2.78*('Cálculos'!$F$199+(($C185)-$A$177:$A$222)*'Cálculos'!$F$98)/(('Cálculos'!$F$199+(($C185)-$A$177:$A$222)*'Cálculos'!$F$98)+1400)+'Cálculos'!$F$123)*'Cálculos'!$F$266)+('Cálculos'!$F$204*(1+'Cálculos'!$F$205+$A$177:$A$222*('Cálculos'!$F$290=3)*'Cálculos'!$F$103)+'Cálculos'!$F$206)*('Cálculos'!$F$257+'Cálculos'!$F$124*(1+2.78*('Cálculos'!$F$199+(($C185)-$A$177:$A$222)*'Cálculos'!$F$98)/(('Cálculos'!$F$199+(($C185)-$A$177:$A$222)*'Cálculos'!$F$98)+1400)+'Cálculos'!$F$122)*'Cálculos'!$F$262+'Cálculos'!$F$125*(1+2.78*('Cálculos'!$F$199+(($C185)-$A$177:$A$222)*'Cálculos'!$F$98)/(('Cálculos'!$F$199+(($C185)-$A$177:$A$222)*'Cálculos'!$F$98)+1400)+'Cálculos'!$F$123)*'Cálculos'!$F$267)+('Cálculos'!$F$258+'Cálculos'!$F$124*(1+2.78*('Cálculos'!$F$199+(($C185)-$A$177:$A$222)*'Cálculos'!$F$98)/(('Cálculos'!$F$199+(($C185)-$A$177:$A$222)*'Cálculos'!$F$98)+1400)+'Cálculos'!$F$122)*'Cálculos'!$F$263+'Cálculos'!$F$125*(1+2.78*('Cálculos'!$F$199+(($C185)-$A$177:$A$222)*'Cálculos'!$F$98)/(('Cálculos'!$F$199+(($C185)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185)-$A$177:$A$222)*'Cálculos'!$F$98)/(('Cálculos'!$F$200+(($C185)-$A$177:$A$222)*'Cálculos'!$F$98)+1400)+'Cálculos'!$F$122)*'Cálculos'!$F$274+'Cálculos'!$F$125*(1+2.78*('Cálculos'!$F$200+(($C185)-$A$177:$A$222)*'Cálculos'!$F$98)/(('Cálculos'!$F$200+(($C185)-$A$177:$A$222)*'Cálculos'!$F$98)+1400)+'Cálculos'!$F$123)*'Cálculos'!$F$279)+('Cálculos'!$F$200+(($C185)-$A$177:$A$222)*'Cálculos'!$F$98)*('Cálculos'!$F$270+'Cálculos'!$F$124*(1+2.78*('Cálculos'!$F$200+(($C185)-$A$177:$A$222)*'Cálculos'!$F$98)/(('Cálculos'!$F$200+(($C185)-$A$177:$A$222)*'Cálculos'!$F$98)+1400)+'Cálculos'!$F$122)*'Cálculos'!$F$275+'Cálculos'!$F$125*(1+2.78*('Cálculos'!$F$200+(($C185)-$A$177:$A$222)*'Cálculos'!$F$98)/(('Cálculos'!$F$200+(($C185)-$A$177:$A$222)*'Cálculos'!$F$98)+1400)+'Cálculos'!$F$123)*'Cálculos'!$F$280)+('Cálculos'!$F$201*(1+'Cálculos'!$F$202+$A$177:$A$222*('Cálculos'!$F$290=2)*'Cálculos'!$F$101)+'Cálculos'!$F$203)*('Cálculos'!$F$271+'Cálculos'!$F$124*(1+2.78*('Cálculos'!$F$200+(($C185)-$A$177:$A$222)*'Cálculos'!$F$98)/(('Cálculos'!$F$200+(($C185)-$A$177:$A$222)*'Cálculos'!$F$98)+1400)+'Cálculos'!$F$122)*'Cálculos'!$F$276+'Cálculos'!$F$125*(1+2.78*('Cálculos'!$F$200+(($C185)-$A$177:$A$222)*'Cálculos'!$F$98)/(('Cálculos'!$F$200+(($C185)-$A$177:$A$222)*'Cálculos'!$F$98)+1400)+'Cálculos'!$F$123)*'Cálculos'!$F$281)+('Cálculos'!$F$204*(1+'Cálculos'!$F$205+$A$177:$A$222*('Cálculos'!$F$290=3)*'Cálculos'!$F$103)+'Cálculos'!$F$206)*('Cálculos'!$F$272+'Cálculos'!$F$124*(1+2.78*('Cálculos'!$F$200+(($C185)-$A$177:$A$222)*'Cálculos'!$F$98)/(('Cálculos'!$F$200+(($C185)-$A$177:$A$222)*'Cálculos'!$F$98)+1400)+'Cálculos'!$F$122)*'Cálculos'!$F$277+'Cálculos'!$F$125*(1+2.78*('Cálculos'!$F$200+(($C185)-$A$177:$A$222)*'Cálculos'!$F$98)/(('Cálculos'!$F$200+(($C185)-$A$177:$A$222)*'Cálculos'!$F$98)+1400)+'Cálculos'!$F$123)*'Cálculos'!$F$282)+('Cálculos'!$F$273+'Cálculos'!$F$124*(1+2.78*('Cálculos'!$F$200+(($C185)-$A$177:$A$222)*'Cálculos'!$F$98)/(('Cálculos'!$F$200+(($C185)-$A$177:$A$222)*'Cálculos'!$F$98)+1400)+'Cálculos'!$F$122)*'Cálculos'!$F$278+'Cálculos'!$F$125*(1+2.78*('Cálculos'!$F$200+(($C185)-$A$177:$A$222)*'Cálculos'!$F$98)/(('Cálculos'!$F$200+(($C185)-$A$177:$A$222)*'Cálculos'!$F$98)+1400)+'Cálculos'!$F$123)*'Cálculos'!$F$283)))))</f>
        <v>21584.07005</v>
      </c>
      <c r="E185" s="32">
        <f>IF(OR($C185&lt;0,'Cálculos'!$F$6=""),0,$B185*$D185)</f>
        <v>40600.97398</v>
      </c>
      <c r="F185" s="2"/>
      <c r="G185" s="30">
        <f>($A185&lt;=$B$224)*($A185&lt;='Cálculos'!$F$294)*(($B$224)-$A185&lt;='Cálculos'!$F$295)*(1+MIN(('Cálculos'!$F$207+$A185*'Cálculos'!$F$95),1)*('Cálculos'!$F$208+(($B$224)-$A185)*'Cálculos'!$F$96))</f>
        <v>2.335703</v>
      </c>
      <c r="H185" s="31">
        <f>IF($B$225&lt;0,0,($A185&lt;=$B$225)*($A185&lt;='Cálculos'!$F$301)*(($B$225)-$A185&lt;='Cálculos'!$F$297)*(('Cálculos'!$F$185*(1+'Cálculos'!$F$186+$A185*('Cálculos'!$F$290=1)*'Cálculos'!$F$97+'Cálculos'!$F$305)+'Cálculos'!$F$191)*('Cálculos'!$F$209+'Cálculos'!$F$124*(1+2.78*('Cálculos'!$F$196+(($B$225)-$A185)*'Cálculos'!$F$98)/(('Cálculos'!$F$196+(($B$225)-$A185)*'Cálculos'!$F$98)+1400)+'Cálculos'!$F$122)*'Cálculos'!$F$214+'Cálculos'!$F$125*(1+2.78*('Cálculos'!$F$196+(($B$225)-$A185)*'Cálculos'!$F$98)/(('Cálculos'!$F$196+(($B$225)-$A185)*'Cálculos'!$F$98)+1400)+'Cálculos'!$F$123)*'Cálculos'!$F$219)+('Cálculos'!$F$196+(($B$225)-$A185)*'Cálculos'!$F$98)*('Cálculos'!$F$210+'Cálculos'!$F$124*(1+2.78*('Cálculos'!$F$196+(($B$225)-$A185)*'Cálculos'!$F$98)/(('Cálculos'!$F$196+(($B$225)-$A185)*'Cálculos'!$F$98)+1400)+'Cálculos'!$F$122)*'Cálculos'!$F$215+'Cálculos'!$F$125*(1+2.78*('Cálculos'!$F$196+(($B$225)-$A185)*'Cálculos'!$F$98)/(('Cálculos'!$F$196+(($B$225)-$A185)*'Cálculos'!$F$98)+1400)+'Cálculos'!$F$123)*'Cálculos'!$F$220)+('Cálculos'!$F$201*(1+'Cálculos'!$F$202+$A185*('Cálculos'!$F$290=2)*'Cálculos'!$F$101)+'Cálculos'!$F$203)*('Cálculos'!$F$211+'Cálculos'!$F$124*(1+2.78*('Cálculos'!$F$196+(($B$225)-$A185)*'Cálculos'!$F$98)/(('Cálculos'!$F$196+(($B$225)-$A185)*'Cálculos'!$F$98)+1400)+'Cálculos'!$F$122)*'Cálculos'!$F$216+'Cálculos'!$F$125*(1+2.78*('Cálculos'!$F$196+(($B$225)-$A185)*'Cálculos'!$F$98)/(('Cálculos'!$F$196+(($B$225)-$A185)*'Cálculos'!$F$98)+1400)+'Cálculos'!$F$123)*'Cálculos'!$F$221)+('Cálculos'!$F$204*(1+'Cálculos'!$F$205+$A185*('Cálculos'!$F$290=3)*'Cálculos'!$F$103)+'Cálculos'!$F$206)*('Cálculos'!$F$212+'Cálculos'!$F$124*(1+2.78*('Cálculos'!$F$196+(($B$225)-$A185)*'Cálculos'!$F$98)/(('Cálculos'!$F$196+(($B$225)-$A185)*'Cálculos'!$F$98)+1400)+'Cálculos'!$F$122)*'Cálculos'!$F$217+'Cálculos'!$F$125*(1+2.78*('Cálculos'!$F$196+(($B$225)-$A185)*'Cálculos'!$F$98)/(('Cálculos'!$F$196+(($B$225)-$A185)*'Cálculos'!$F$98)+1400)+'Cálculos'!$F$123)*'Cálculos'!$F$222)+('Cálculos'!$F$213+'Cálculos'!$F$124*(1+2.78*('Cálculos'!$F$196+(($B$225)-$A185)*'Cálculos'!$F$98)/(('Cálculos'!$F$196+(($B$225)-$A185)*'Cálculos'!$F$98)+1400)+'Cálculos'!$F$122)*'Cálculos'!$F$218+'Cálculos'!$F$125*(1+2.78*('Cálculos'!$F$196+(($B$225)-$A185)*'Cálculos'!$F$98)/(('Cálculos'!$F$196+(($B$225)-$A185)*'Cálculos'!$F$98)+1400)+'Cálculos'!$F$123)*'Cálculos'!$F$223)+('Cálculos'!$F$185*(1+'Cálculos'!$F$187+$A185*('Cálculos'!$F$290=1)*'Cálculos'!$F$97+'Cálculos'!$F$305)+'Cálculos'!$F$192)*('Cálculos'!$F$224+'Cálculos'!$F$124*(1+2.78*('Cálculos'!$F$197+(($B$225)-$A185)*'Cálculos'!$F$98)/(('Cálculos'!$F$197+(($B$225)-$A185)*'Cálculos'!$F$98)+1400)+'Cálculos'!$F$122)*'Cálculos'!$F$229+'Cálculos'!$F$125*(1+2.78*('Cálculos'!$F$197+(($B$225)-$A185)*'Cálculos'!$F$98)/(('Cálculos'!$F$197+(($B$225)-$A185)*'Cálculos'!$F$98)+1400)+'Cálculos'!$F$123)*'Cálculos'!$F$234)+('Cálculos'!$F$197+(($B$225)-$A185)*'Cálculos'!$F$98)*('Cálculos'!$F$225+'Cálculos'!$F$124*(1+2.78*('Cálculos'!$F$197+(($B$225)-$A185)*'Cálculos'!$F$98)/(('Cálculos'!$F$197+(($B$225)-$A185)*'Cálculos'!$F$98)+1400)+'Cálculos'!$F$122)*'Cálculos'!$F$230+'Cálculos'!$F$125*(1+2.78*('Cálculos'!$F$197+(($B$225)-$A185)*'Cálculos'!$F$98)/(('Cálculos'!$F$197+(($B$225)-$A185)*'Cálculos'!$F$98)+1400)+'Cálculos'!$F$123)*'Cálculos'!$F$235)+('Cálculos'!$F$201*(1+'Cálculos'!$F$202+$A185*('Cálculos'!$F$290=2)*'Cálculos'!$F$101)+'Cálculos'!$F$203)*('Cálculos'!$F$226+'Cálculos'!$F$124*(1+2.78*('Cálculos'!$F$197+(($B$225)-$A185)*'Cálculos'!$F$98)/(('Cálculos'!$F$197+(($B$225)-$A185)*'Cálculos'!$F$98)+1400)+'Cálculos'!$F$122)*'Cálculos'!$F$231+'Cálculos'!$F$125*(1+2.78*('Cálculos'!$F$197+(($B$225)-$A185)*'Cálculos'!$F$98)/(('Cálculos'!$F$197+(($B$225)-$A185)*'Cálculos'!$F$98)+1400)+'Cálculos'!$F$123)*'Cálculos'!$F$236)+('Cálculos'!$F$204*(1+'Cálculos'!$F$205+$A185*('Cálculos'!$F$290=3)*'Cálculos'!$F$103)+'Cálculos'!$F$206)*('Cálculos'!$F$227+'Cálculos'!$F$124*(1+2.78*('Cálculos'!$F$197+(($B$225)-$A185)*'Cálculos'!$F$98)/(('Cálculos'!$F$197+(($B$225)-$A185)*'Cálculos'!$F$98)+1400)+'Cálculos'!$F$122)*'Cálculos'!$F$232+'Cálculos'!$F$125*(1+2.78*('Cálculos'!$F$197+(($B$225)-$A185)*'Cálculos'!$F$98)/(('Cálculos'!$F$197+(($B$225)-$A185)*'Cálculos'!$F$98)+1400)+'Cálculos'!$F$123)*'Cálculos'!$F$237)+('Cálculos'!$F$228+'Cálculos'!$F$124*(1+2.78*('Cálculos'!$F$197+(($B$225)-$A185)*'Cálculos'!$F$98)/(('Cálculos'!$F$197+(($B$225)-$A185)*'Cálculos'!$F$98)+1400)+'Cálculos'!$F$122)*'Cálculos'!$F$233+'Cálculos'!$F$125*(1+2.78*('Cálculos'!$F$197+(($B$225)-$A185)*'Cálculos'!$F$98)/(('Cálculos'!$F$197+(($B$225)-$A185)*'Cálculos'!$F$98)+1400)+'Cálculos'!$F$123)*'Cálculos'!$F$238)+('Cálculos'!$F$185*(1+'Cálculos'!$F$188+$A185*('Cálculos'!$F$290=1)*'Cálculos'!$F$97+'Cálculos'!$F$305)+'Cálculos'!$F$193)*('Cálculos'!$F$239+'Cálculos'!$F$124*(1+2.78*('Cálculos'!$F$198+(($B$225)-$A185)*'Cálculos'!$F$98)/(('Cálculos'!$F$198+(($B$225)-$A185)*'Cálculos'!$F$98)+1400)+'Cálculos'!$F$122)*'Cálculos'!$F$244+'Cálculos'!$F$125*(1+2.78*('Cálculos'!$F$198+(($B$225)-$A185)*'Cálculos'!$F$98)/(('Cálculos'!$F$198+(($B$225)-$A185)*'Cálculos'!$F$98)+1400)+'Cálculos'!$F$123)*'Cálculos'!$F$249)+('Cálculos'!$F$198+(($B$225)-$A185)*'Cálculos'!$F$98)*('Cálculos'!$F$240+'Cálculos'!$F$124*(1+2.78*('Cálculos'!$F$198+(($B$225)-$A185)*'Cálculos'!$F$98)/(('Cálculos'!$F$198+(($B$225)-$A185)*'Cálculos'!$F$98)+1400)+'Cálculos'!$F$122)*'Cálculos'!$F$245+'Cálculos'!$F$125*(1+2.78*('Cálculos'!$F$198+(($B$225)-$A185)*'Cálculos'!$F$98)/(('Cálculos'!$F$198+(($B$225)-$A185)*'Cálculos'!$F$98)+1400)+'Cálculos'!$F$123)*'Cálculos'!$F$250)+('Cálculos'!$F$201*(1+'Cálculos'!$F$202+$A185*('Cálculos'!$F$290=2)*'Cálculos'!$F$101)+'Cálculos'!$F$203)*('Cálculos'!$F$241+'Cálculos'!$F$124*(1+2.78*('Cálculos'!$F$198+(($B$225)-$A185)*'Cálculos'!$F$98)/(('Cálculos'!$F$198+(($B$225)-$A185)*'Cálculos'!$F$98)+1400)+'Cálculos'!$F$122)*'Cálculos'!$F$246+'Cálculos'!$F$125*(1+2.78*('Cálculos'!$F$198+(($B$225)-$A185)*'Cálculos'!$F$98)/(('Cálculos'!$F$198+(($B$225)-$A185)*'Cálculos'!$F$98)+1400)+'Cálculos'!$F$123)*'Cálculos'!$F$251)+('Cálculos'!$F$204*(1+'Cálculos'!$F$205+$A185*('Cálculos'!$F$290=3)*'Cálculos'!$F$103)+'Cálculos'!$F$206)*('Cálculos'!$F$242+'Cálculos'!$F$124*(1+2.78*('Cálculos'!$F$198+(($B$225)-$A185)*'Cálculos'!$F$98)/(('Cálculos'!$F$198+(($B$225)-$A185)*'Cálculos'!$F$98)+1400)+'Cálculos'!$F$122)*'Cálculos'!$F$247+'Cálculos'!$F$125*(1+2.78*('Cálculos'!$F$198+(($B$225)-$A185)*'Cálculos'!$F$98)/(('Cálculos'!$F$198+(($B$225)-$A185)*'Cálculos'!$F$98)+1400)+'Cálculos'!$F$123)*'Cálculos'!$F$252)+('Cálculos'!$F$243+'Cálculos'!$F$124*(1+2.78*('Cálculos'!$F$198+(($B$225)-$A185)*'Cálculos'!$F$98)/(('Cálculos'!$F$198+(($B$225)-$A185)*'Cálculos'!$F$98)+1400)+'Cálculos'!$F$122)*'Cálculos'!$F$248+'Cálculos'!$F$125*(1+2.78*('Cálculos'!$F$198+(($B$225)-$A185)*'Cálculos'!$F$98)/(('Cálculos'!$F$198+(($B$225)-$A185)*'Cálculos'!$F$98)+1400)+'Cálculos'!$F$123)*'Cálculos'!$F$253)+('Cálculos'!$F$185*(1+'Cálculos'!$F$189+$A185*('Cálculos'!$F$290=1)*'Cálculos'!$F$97+'Cálculos'!$F$305)+'Cálculos'!$F$194)*('Cálculos'!$F$254+'Cálculos'!$F$124*(1+2.78*('Cálculos'!$F$199+(($B$225)-$A185)*'Cálculos'!$F$98)/(('Cálculos'!$F$199+(($B$225)-$A185)*'Cálculos'!$F$98)+1400)+'Cálculos'!$F$122)*'Cálculos'!$F$259+'Cálculos'!$F$125*(1+2.78*('Cálculos'!$F$199+(($B$225)-$A185)*'Cálculos'!$F$98)/(('Cálculos'!$F$199+(($B$225)-$A185)*'Cálculos'!$F$98)+1400)+'Cálculos'!$F$123)*'Cálculos'!$F$264)+('Cálculos'!$F$199+(($B$225)-$A185)*'Cálculos'!$F$98)*('Cálculos'!$F$255+'Cálculos'!$F$124*(1+2.78*('Cálculos'!$F$199+(($B$225)-$A185)*'Cálculos'!$F$98)/(('Cálculos'!$F$199+(($B$225)-$A185)*'Cálculos'!$F$98)+1400)+'Cálculos'!$F$122)*'Cálculos'!$F$260+'Cálculos'!$F$125*(1+2.78*('Cálculos'!$F$199+(($B$225)-$A185)*'Cálculos'!$F$98)/(('Cálculos'!$F$199+(($B$225)-$A185)*'Cálculos'!$F$98)+1400)+'Cálculos'!$F$123)*'Cálculos'!$F$265)+('Cálculos'!$F$201*(1+'Cálculos'!$F$202+$A185*('Cálculos'!$F$290=2)*'Cálculos'!$F$101)+'Cálculos'!$F$203)*('Cálculos'!$F$256+'Cálculos'!$F$124*(1+2.78*('Cálculos'!$F$199+(($B$225)-$A185)*'Cálculos'!$F$98)/(('Cálculos'!$F$199+(($B$225)-$A185)*'Cálculos'!$F$98)+1400)+'Cálculos'!$F$122)*'Cálculos'!$F$261+'Cálculos'!$F$125*(1+2.78*('Cálculos'!$F$199+(($B$225)-$A185)*'Cálculos'!$F$98)/(('Cálculos'!$F$199+(($B$225)-$A185)*'Cálculos'!$F$98)+1400)+'Cálculos'!$F$123)*'Cálculos'!$F$266)+('Cálculos'!$F$204*(1+'Cálculos'!$F$205+$A185*('Cálculos'!$F$290=3)*'Cálculos'!$F$103)+'Cálculos'!$F$206)*('Cálculos'!$F$257+'Cálculos'!$F$124*(1+2.78*('Cálculos'!$F$199+(($B$225)-$A185)*'Cálculos'!$F$98)/(('Cálculos'!$F$199+(($B$225)-$A185)*'Cálculos'!$F$98)+1400)+'Cálculos'!$F$122)*'Cálculos'!$F$262+'Cálculos'!$F$125*(1+2.78*('Cálculos'!$F$199+(($B$225)-$A185)*'Cálculos'!$F$98)/(('Cálculos'!$F$199+(($B$225)-$A185)*'Cálculos'!$F$98)+1400)+'Cálculos'!$F$123)*'Cálculos'!$F$267)+('Cálculos'!$F$258+'Cálculos'!$F$124*(1+2.78*('Cálculos'!$F$199+(($B$225)-$A185)*'Cálculos'!$F$98)/(('Cálculos'!$F$199+(($B$225)-$A185)*'Cálculos'!$F$98)+1400)+'Cálculos'!$F$122)*'Cálculos'!$F$263+'Cálculos'!$F$125*(1+2.78*('Cálculos'!$F$199+(($B$225)-$A185)*'Cálculos'!$F$98)/(('Cálculos'!$F$199+(($B$225)-$A185)*'Cálculos'!$F$98)+1400)+'Cálculos'!$F$123)*'Cálculos'!$F$268)+('Cálculos'!$F$185*(1+'Cálculos'!$F$190+$A185*('Cálculos'!$F$290=1)*'Cálculos'!$F$97+'Cálculos'!$F$305)+'Cálculos'!$F$195)*('Cálculos'!$F$269+'Cálculos'!$F$124*(1+2.78*('Cálculos'!$F$200+(($B$225)-$A185)*'Cálculos'!$F$98)/(('Cálculos'!$F$200+(($B$225)-$A185)*'Cálculos'!$F$98)+1400)+'Cálculos'!$F$122)*'Cálculos'!$F$274+'Cálculos'!$F$125*(1+2.78*('Cálculos'!$F$200+(($B$225)-$A185)*'Cálculos'!$F$98)/(('Cálculos'!$F$200+(($B$225)-$A185)*'Cálculos'!$F$98)+1400)+'Cálculos'!$F$123)*'Cálculos'!$F$279)+('Cálculos'!$F$200+(($B$225)-$A185)*'Cálculos'!$F$98)*('Cálculos'!$F$270+'Cálculos'!$F$124*(1+2.78*('Cálculos'!$F$200+(($B$225)-$A185)*'Cálculos'!$F$98)/(('Cálculos'!$F$200+(($B$225)-$A185)*'Cálculos'!$F$98)+1400)+'Cálculos'!$F$122)*'Cálculos'!$F$275+'Cálculos'!$F$125*(1+2.78*('Cálculos'!$F$200+(($B$225)-$A185)*'Cálculos'!$F$98)/(('Cálculos'!$F$200+(($B$225)-$A185)*'Cálculos'!$F$98)+1400)+'Cálculos'!$F$123)*'Cálculos'!$F$280)+('Cálculos'!$F$201*(1+'Cálculos'!$F$202+$A185*('Cálculos'!$F$290=2)*'Cálculos'!$F$101)+'Cálculos'!$F$203)*('Cálculos'!$F$271+'Cálculos'!$F$124*(1+2.78*('Cálculos'!$F$200+(($B$225)-$A185)*'Cálculos'!$F$98)/(('Cálculos'!$F$200+(($B$225)-$A185)*'Cálculos'!$F$98)+1400)+'Cálculos'!$F$122)*'Cálculos'!$F$276+'Cálculos'!$F$125*(1+2.78*('Cálculos'!$F$200+(($B$225)-$A185)*'Cálculos'!$F$98)/(('Cálculos'!$F$200+(($B$225)-$A185)*'Cálculos'!$F$98)+1400)+'Cálculos'!$F$123)*'Cálculos'!$F$281)+('Cálculos'!$F$204*(1+'Cálculos'!$F$205+$A185*('Cálculos'!$F$290=3)*'Cálculos'!$F$103)+'Cálculos'!$F$206)*('Cálculos'!$F$272+'Cálculos'!$F$124*(1+2.78*('Cálculos'!$F$200+(($B$225)-$A185)*'Cálculos'!$F$98)/(('Cálculos'!$F$200+(($B$225)-$A185)*'Cálculos'!$F$98)+1400)+'Cálculos'!$F$122)*'Cálculos'!$F$277+'Cálculos'!$F$125*(1+2.78*('Cálculos'!$F$200+(($B$225)-$A185)*'Cálculos'!$F$98)/(('Cálculos'!$F$200+(($B$225)-$A185)*'Cálculos'!$F$98)+1400)+'Cálculos'!$F$123)*'Cálculos'!$F$282)+('Cálculos'!$F$273+'Cálculos'!$F$124*(1+2.78*('Cálculos'!$F$200+(($B$225)-$A185)*'Cálculos'!$F$98)/(('Cálculos'!$F$200+(($B$225)-$A185)*'Cálculos'!$F$98)+1400)+'Cálculos'!$F$122)*'Cálculos'!$F$278+'Cálculos'!$F$125*(1+2.78*('Cálculos'!$F$200+(($B$225)-$A185)*'Cálculos'!$F$98)/(('Cálculos'!$F$200+(($B$225)-$A185)*'Cálculos'!$F$98)+1400)+'Cálculos'!$F$123)*'Cálculos'!$F$283)))</f>
        <v>0</v>
      </c>
    </row>
    <row r="186" ht="15.75" customHeight="1">
      <c r="A186" s="2">
        <v>9.0</v>
      </c>
      <c r="B186" s="30">
        <f>SUMPRODUCT(MAX(($A$177:$A$222&lt;=$A186)*($A$177:$A$222&lt;='Cálculos'!$F$294)*(($A186)-$A$177:$A$222&lt;='Cálculos'!$F$295)*(1+(('Cálculos'!$F$207+$A$177:$A$222*'Cálculos'!$F$95)-(('Cálculos'!$F$207+$A$177:$A$222*'Cálculos'!$F$95)&gt;1)*(('Cálculos'!$F$207+$A$177:$A$222*'Cálculos'!$F$95)-1))*('Cálculos'!$F$208+(($A186)-$A$177:$A$222)*'Cálculos'!$F$96))))</f>
        <v>1.925249</v>
      </c>
      <c r="C186" s="2">
        <f>'Cálculos'!$F$303-$A186</f>
        <v>9</v>
      </c>
      <c r="D186" s="31">
        <f>IF($C186&lt;0,0,SUMPRODUCT(MAX(($A$177:$A$222&lt;=$C186)*($A$177:$A$222&lt;='Cálculos'!$F$301)*(($C186)-$A$177:$A$222&lt;='Cálculos'!$F$297)*(('Cálculos'!$F$185*(1+'Cálculos'!$F$186+$A$177:$A$222*('Cálculos'!$F$290=1)*'Cálculos'!$F$97+'Cálculos'!$F$305)+'Cálculos'!$F$191)*('Cálculos'!$F$209+'Cálculos'!$F$124*(1+2.78*('Cálculos'!$F$196+(($C186)-$A$177:$A$222)*'Cálculos'!$F$98)/(('Cálculos'!$F$196+(($C186)-$A$177:$A$222)*'Cálculos'!$F$98)+1400)+'Cálculos'!$F$122)*'Cálculos'!$F$214+'Cálculos'!$F$125*(1+2.78*('Cálculos'!$F$196+(($C186)-$A$177:$A$222)*'Cálculos'!$F$98)/(('Cálculos'!$F$196+(($C186)-$A$177:$A$222)*'Cálculos'!$F$98)+1400)+'Cálculos'!$F$123)*'Cálculos'!$F$219)+('Cálculos'!$F$196+(($C186)-$A$177:$A$222)*'Cálculos'!$F$98)*('Cálculos'!$F$210+'Cálculos'!$F$124*(1+2.78*('Cálculos'!$F$196+(($C186)-$A$177:$A$222)*'Cálculos'!$F$98)/(('Cálculos'!$F$196+(($C186)-$A$177:$A$222)*'Cálculos'!$F$98)+1400)+'Cálculos'!$F$122)*'Cálculos'!$F$215+'Cálculos'!$F$125*(1+2.78*('Cálculos'!$F$196+(($C186)-$A$177:$A$222)*'Cálculos'!$F$98)/(('Cálculos'!$F$196+(($C186)-$A$177:$A$222)*'Cálculos'!$F$98)+1400)+'Cálculos'!$F$123)*'Cálculos'!$F$220)+('Cálculos'!$F$201*(1+'Cálculos'!$F$202+$A$177:$A$222*('Cálculos'!$F$290=2)*'Cálculos'!$F$101)+'Cálculos'!$F$203)*('Cálculos'!$F$211+'Cálculos'!$F$124*(1+2.78*('Cálculos'!$F$196+(($C186)-$A$177:$A$222)*'Cálculos'!$F$98)/(('Cálculos'!$F$196+(($C186)-$A$177:$A$222)*'Cálculos'!$F$98)+1400)+'Cálculos'!$F$122)*'Cálculos'!$F$216+'Cálculos'!$F$125*(1+2.78*('Cálculos'!$F$196+(($C186)-$A$177:$A$222)*'Cálculos'!$F$98)/(('Cálculos'!$F$196+(($C186)-$A$177:$A$222)*'Cálculos'!$F$98)+1400)+'Cálculos'!$F$123)*'Cálculos'!$F$221)+('Cálculos'!$F$204*(1+'Cálculos'!$F$205+$A$177:$A$222*('Cálculos'!$F$290=3)*'Cálculos'!$F$103)+'Cálculos'!$F$206)*('Cálculos'!$F$212+'Cálculos'!$F$124*(1+2.78*('Cálculos'!$F$196+(($C186)-$A$177:$A$222)*'Cálculos'!$F$98)/(('Cálculos'!$F$196+(($C186)-$A$177:$A$222)*'Cálculos'!$F$98)+1400)+'Cálculos'!$F$122)*'Cálculos'!$F$217+'Cálculos'!$F$125*(1+2.78*('Cálculos'!$F$196+(($C186)-$A$177:$A$222)*'Cálculos'!$F$98)/(('Cálculos'!$F$196+(($C186)-$A$177:$A$222)*'Cálculos'!$F$98)+1400)+'Cálculos'!$F$123)*'Cálculos'!$F$222)+('Cálculos'!$F$213+'Cálculos'!$F$124*(1+2.78*('Cálculos'!$F$196+(($C186)-$A$177:$A$222)*'Cálculos'!$F$98)/(('Cálculos'!$F$196+(($C186)-$A$177:$A$222)*'Cálculos'!$F$98)+1400)+'Cálculos'!$F$122)*'Cálculos'!$F$218+'Cálculos'!$F$125*(1+2.78*('Cálculos'!$F$196+(($C186)-$A$177:$A$222)*'Cálculos'!$F$98)/(('Cálculos'!$F$196+(($C186)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186)-$A$177:$A$222)*'Cálculos'!$F$98)/(('Cálculos'!$F$197+(($C186)-$A$177:$A$222)*'Cálculos'!$F$98)+1400)+'Cálculos'!$F$122)*'Cálculos'!$F$229+'Cálculos'!$F$125*(1+2.78*('Cálculos'!$F$197+(($C186)-$A$177:$A$222)*'Cálculos'!$F$98)/(('Cálculos'!$F$197+(($C186)-$A$177:$A$222)*'Cálculos'!$F$98)+1400)+'Cálculos'!$F$123)*'Cálculos'!$F$234)+('Cálculos'!$F$197+(($C186)-$A$177:$A$222)*'Cálculos'!$F$98)*('Cálculos'!$F$225+'Cálculos'!$F$124*(1+2.78*('Cálculos'!$F$197+(($C186)-$A$177:$A$222)*'Cálculos'!$F$98)/(('Cálculos'!$F$197+(($C186)-$A$177:$A$222)*'Cálculos'!$F$98)+1400)+'Cálculos'!$F$122)*'Cálculos'!$F$230+'Cálculos'!$F$125*(1+2.78*('Cálculos'!$F$197+(($C186)-$A$177:$A$222)*'Cálculos'!$F$98)/(('Cálculos'!$F$197+(($C186)-$A$177:$A$222)*'Cálculos'!$F$98)+1400)+'Cálculos'!$F$123)*'Cálculos'!$F$235)+('Cálculos'!$F$201*(1+'Cálculos'!$F$202+$A$177:$A$222*('Cálculos'!$F$290=2)*'Cálculos'!$F$101)+'Cálculos'!$F$203)*('Cálculos'!$F$226+'Cálculos'!$F$124*(1+2.78*('Cálculos'!$F$197+(($C186)-$A$177:$A$222)*'Cálculos'!$F$98)/(('Cálculos'!$F$197+(($C186)-$A$177:$A$222)*'Cálculos'!$F$98)+1400)+'Cálculos'!$F$122)*'Cálculos'!$F$231+'Cálculos'!$F$125*(1+2.78*('Cálculos'!$F$197+(($C186)-$A$177:$A$222)*'Cálculos'!$F$98)/(('Cálculos'!$F$197+(($C186)-$A$177:$A$222)*'Cálculos'!$F$98)+1400)+'Cálculos'!$F$123)*'Cálculos'!$F$236)+('Cálculos'!$F$204*(1+'Cálculos'!$F$205+$A$177:$A$222*('Cálculos'!$F$290=3)*'Cálculos'!$F$103)+'Cálculos'!$F$206)*('Cálculos'!$F$227+'Cálculos'!$F$124*(1+2.78*('Cálculos'!$F$197+(($C186)-$A$177:$A$222)*'Cálculos'!$F$98)/(('Cálculos'!$F$197+(($C186)-$A$177:$A$222)*'Cálculos'!$F$98)+1400)+'Cálculos'!$F$122)*'Cálculos'!$F$232+'Cálculos'!$F$125*(1+2.78*('Cálculos'!$F$197+(($C186)-$A$177:$A$222)*'Cálculos'!$F$98)/(('Cálculos'!$F$197+(($C186)-$A$177:$A$222)*'Cálculos'!$F$98)+1400)+'Cálculos'!$F$123)*'Cálculos'!$F$237)+('Cálculos'!$F$228+'Cálculos'!$F$124*(1+2.78*('Cálculos'!$F$197+(($C186)-$A$177:$A$222)*'Cálculos'!$F$98)/(('Cálculos'!$F$197+(($C186)-$A$177:$A$222)*'Cálculos'!$F$98)+1400)+'Cálculos'!$F$122)*'Cálculos'!$F$233+'Cálculos'!$F$125*(1+2.78*('Cálculos'!$F$197+(($C186)-$A$177:$A$222)*'Cálculos'!$F$98)/(('Cálculos'!$F$197+(($C186)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186)-$A$177:$A$222)*'Cálculos'!$F$98)/(('Cálculos'!$F$198+(($C186)-$A$177:$A$222)*'Cálculos'!$F$98)+1400)+'Cálculos'!$F$122)*'Cálculos'!$F$244+'Cálculos'!$F$125*(1+2.78*('Cálculos'!$F$198+(($C186)-$A$177:$A$222)*'Cálculos'!$F$98)/(('Cálculos'!$F$198+(($C186)-$A$177:$A$222)*'Cálculos'!$F$98)+1400)+'Cálculos'!$F$123)*'Cálculos'!$F$249)+('Cálculos'!$F$198+(($C186)-$A$177:$A$222)*'Cálculos'!$F$98)*('Cálculos'!$F$240+'Cálculos'!$F$124*(1+2.78*('Cálculos'!$F$198+(($C186)-$A$177:$A$222)*'Cálculos'!$F$98)/(('Cálculos'!$F$198+(($C186)-$A$177:$A$222)*'Cálculos'!$F$98)+1400)+'Cálculos'!$F$122)*'Cálculos'!$F$245+'Cálculos'!$F$125*(1+2.78*('Cálculos'!$F$198+(($C186)-$A$177:$A$222)*'Cálculos'!$F$98)/(('Cálculos'!$F$198+(($C186)-$A$177:$A$222)*'Cálculos'!$F$98)+1400)+'Cálculos'!$F$123)*'Cálculos'!$F$250)+('Cálculos'!$F$201*(1+'Cálculos'!$F$202+$A$177:$A$222*('Cálculos'!$F$290=2)*'Cálculos'!$F$101)+'Cálculos'!$F$203)*('Cálculos'!$F$241+'Cálculos'!$F$124*(1+2.78*('Cálculos'!$F$198+(($C186)-$A$177:$A$222)*'Cálculos'!$F$98)/(('Cálculos'!$F$198+(($C186)-$A$177:$A$222)*'Cálculos'!$F$98)+1400)+'Cálculos'!$F$122)*'Cálculos'!$F$246+'Cálculos'!$F$125*(1+2.78*('Cálculos'!$F$198+(($C186)-$A$177:$A$222)*'Cálculos'!$F$98)/(('Cálculos'!$F$198+(($C186)-$A$177:$A$222)*'Cálculos'!$F$98)+1400)+'Cálculos'!$F$123)*'Cálculos'!$F$251)+('Cálculos'!$F$204*(1+'Cálculos'!$F$205+$A$177:$A$222*('Cálculos'!$F$290=3)*'Cálculos'!$F$103)+'Cálculos'!$F$206)*('Cálculos'!$F$242+'Cálculos'!$F$124*(1+2.78*('Cálculos'!$F$198+(($C186)-$A$177:$A$222)*'Cálculos'!$F$98)/(('Cálculos'!$F$198+(($C186)-$A$177:$A$222)*'Cálculos'!$F$98)+1400)+'Cálculos'!$F$122)*'Cálculos'!$F$247+'Cálculos'!$F$125*(1+2.78*('Cálculos'!$F$198+(($C186)-$A$177:$A$222)*'Cálculos'!$F$98)/(('Cálculos'!$F$198+(($C186)-$A$177:$A$222)*'Cálculos'!$F$98)+1400)+'Cálculos'!$F$123)*'Cálculos'!$F$252)+('Cálculos'!$F$243+'Cálculos'!$F$124*(1+2.78*('Cálculos'!$F$198+(($C186)-$A$177:$A$222)*'Cálculos'!$F$98)/(('Cálculos'!$F$198+(($C186)-$A$177:$A$222)*'Cálculos'!$F$98)+1400)+'Cálculos'!$F$122)*'Cálculos'!$F$248+'Cálculos'!$F$125*(1+2.78*('Cálculos'!$F$198+(($C186)-$A$177:$A$222)*'Cálculos'!$F$98)/(('Cálculos'!$F$198+(($C186)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186)-$A$177:$A$222)*'Cálculos'!$F$98)/(('Cálculos'!$F$199+(($C186)-$A$177:$A$222)*'Cálculos'!$F$98)+1400)+'Cálculos'!$F$122)*'Cálculos'!$F$259+'Cálculos'!$F$125*(1+2.78*('Cálculos'!$F$199+(($C186)-$A$177:$A$222)*'Cálculos'!$F$98)/(('Cálculos'!$F$199+(($C186)-$A$177:$A$222)*'Cálculos'!$F$98)+1400)+'Cálculos'!$F$123)*'Cálculos'!$F$264)+('Cálculos'!$F$199+(($C186)-$A$177:$A$222)*'Cálculos'!$F$98)*('Cálculos'!$F$255+'Cálculos'!$F$124*(1+2.78*('Cálculos'!$F$199+(($C186)-$A$177:$A$222)*'Cálculos'!$F$98)/(('Cálculos'!$F$199+(($C186)-$A$177:$A$222)*'Cálculos'!$F$98)+1400)+'Cálculos'!$F$122)*'Cálculos'!$F$260+'Cálculos'!$F$125*(1+2.78*('Cálculos'!$F$199+(($C186)-$A$177:$A$222)*'Cálculos'!$F$98)/(('Cálculos'!$F$199+(($C186)-$A$177:$A$222)*'Cálculos'!$F$98)+1400)+'Cálculos'!$F$123)*'Cálculos'!$F$265)+('Cálculos'!$F$201*(1+'Cálculos'!$F$202+$A$177:$A$222*('Cálculos'!$F$290=2)*'Cálculos'!$F$101)+'Cálculos'!$F$203)*('Cálculos'!$F$256+'Cálculos'!$F$124*(1+2.78*('Cálculos'!$F$199+(($C186)-$A$177:$A$222)*'Cálculos'!$F$98)/(('Cálculos'!$F$199+(($C186)-$A$177:$A$222)*'Cálculos'!$F$98)+1400)+'Cálculos'!$F$122)*'Cálculos'!$F$261+'Cálculos'!$F$125*(1+2.78*('Cálculos'!$F$199+(($C186)-$A$177:$A$222)*'Cálculos'!$F$98)/(('Cálculos'!$F$199+(($C186)-$A$177:$A$222)*'Cálculos'!$F$98)+1400)+'Cálculos'!$F$123)*'Cálculos'!$F$266)+('Cálculos'!$F$204*(1+'Cálculos'!$F$205+$A$177:$A$222*('Cálculos'!$F$290=3)*'Cálculos'!$F$103)+'Cálculos'!$F$206)*('Cálculos'!$F$257+'Cálculos'!$F$124*(1+2.78*('Cálculos'!$F$199+(($C186)-$A$177:$A$222)*'Cálculos'!$F$98)/(('Cálculos'!$F$199+(($C186)-$A$177:$A$222)*'Cálculos'!$F$98)+1400)+'Cálculos'!$F$122)*'Cálculos'!$F$262+'Cálculos'!$F$125*(1+2.78*('Cálculos'!$F$199+(($C186)-$A$177:$A$222)*'Cálculos'!$F$98)/(('Cálculos'!$F$199+(($C186)-$A$177:$A$222)*'Cálculos'!$F$98)+1400)+'Cálculos'!$F$123)*'Cálculos'!$F$267)+('Cálculos'!$F$258+'Cálculos'!$F$124*(1+2.78*('Cálculos'!$F$199+(($C186)-$A$177:$A$222)*'Cálculos'!$F$98)/(('Cálculos'!$F$199+(($C186)-$A$177:$A$222)*'Cálculos'!$F$98)+1400)+'Cálculos'!$F$122)*'Cálculos'!$F$263+'Cálculos'!$F$125*(1+2.78*('Cálculos'!$F$199+(($C186)-$A$177:$A$222)*'Cálculos'!$F$98)/(('Cálculos'!$F$199+(($C186)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186)-$A$177:$A$222)*'Cálculos'!$F$98)/(('Cálculos'!$F$200+(($C186)-$A$177:$A$222)*'Cálculos'!$F$98)+1400)+'Cálculos'!$F$122)*'Cálculos'!$F$274+'Cálculos'!$F$125*(1+2.78*('Cálculos'!$F$200+(($C186)-$A$177:$A$222)*'Cálculos'!$F$98)/(('Cálculos'!$F$200+(($C186)-$A$177:$A$222)*'Cálculos'!$F$98)+1400)+'Cálculos'!$F$123)*'Cálculos'!$F$279)+('Cálculos'!$F$200+(($C186)-$A$177:$A$222)*'Cálculos'!$F$98)*('Cálculos'!$F$270+'Cálculos'!$F$124*(1+2.78*('Cálculos'!$F$200+(($C186)-$A$177:$A$222)*'Cálculos'!$F$98)/(('Cálculos'!$F$200+(($C186)-$A$177:$A$222)*'Cálculos'!$F$98)+1400)+'Cálculos'!$F$122)*'Cálculos'!$F$275+'Cálculos'!$F$125*(1+2.78*('Cálculos'!$F$200+(($C186)-$A$177:$A$222)*'Cálculos'!$F$98)/(('Cálculos'!$F$200+(($C186)-$A$177:$A$222)*'Cálculos'!$F$98)+1400)+'Cálculos'!$F$123)*'Cálculos'!$F$280)+('Cálculos'!$F$201*(1+'Cálculos'!$F$202+$A$177:$A$222*('Cálculos'!$F$290=2)*'Cálculos'!$F$101)+'Cálculos'!$F$203)*('Cálculos'!$F$271+'Cálculos'!$F$124*(1+2.78*('Cálculos'!$F$200+(($C186)-$A$177:$A$222)*'Cálculos'!$F$98)/(('Cálculos'!$F$200+(($C186)-$A$177:$A$222)*'Cálculos'!$F$98)+1400)+'Cálculos'!$F$122)*'Cálculos'!$F$276+'Cálculos'!$F$125*(1+2.78*('Cálculos'!$F$200+(($C186)-$A$177:$A$222)*'Cálculos'!$F$98)/(('Cálculos'!$F$200+(($C186)-$A$177:$A$222)*'Cálculos'!$F$98)+1400)+'Cálculos'!$F$123)*'Cálculos'!$F$281)+('Cálculos'!$F$204*(1+'Cálculos'!$F$205+$A$177:$A$222*('Cálculos'!$F$290=3)*'Cálculos'!$F$103)+'Cálculos'!$F$206)*('Cálculos'!$F$272+'Cálculos'!$F$124*(1+2.78*('Cálculos'!$F$200+(($C186)-$A$177:$A$222)*'Cálculos'!$F$98)/(('Cálculos'!$F$200+(($C186)-$A$177:$A$222)*'Cálculos'!$F$98)+1400)+'Cálculos'!$F$122)*'Cálculos'!$F$277+'Cálculos'!$F$125*(1+2.78*('Cálculos'!$F$200+(($C186)-$A$177:$A$222)*'Cálculos'!$F$98)/(('Cálculos'!$F$200+(($C186)-$A$177:$A$222)*'Cálculos'!$F$98)+1400)+'Cálculos'!$F$123)*'Cálculos'!$F$282)+('Cálculos'!$F$273+'Cálculos'!$F$124*(1+2.78*('Cálculos'!$F$200+(($C186)-$A$177:$A$222)*'Cálculos'!$F$98)/(('Cálculos'!$F$200+(($C186)-$A$177:$A$222)*'Cálculos'!$F$98)+1400)+'Cálculos'!$F$122)*'Cálculos'!$F$278+'Cálculos'!$F$125*(1+2.78*('Cálculos'!$F$200+(($C186)-$A$177:$A$222)*'Cálculos'!$F$98)/(('Cálculos'!$F$200+(($C186)-$A$177:$A$222)*'Cálculos'!$F$98)+1400)+'Cálculos'!$F$123)*'Cálculos'!$F$283)))))</f>
        <v>21360.21246</v>
      </c>
      <c r="E186" s="32">
        <f>IF(OR($C186&lt;0,'Cálculos'!$F$6=""),0,$B186*$D186)</f>
        <v>41123.72768</v>
      </c>
      <c r="F186" s="2"/>
      <c r="G186" s="30">
        <f>($A186&lt;=$B$224)*($A186&lt;='Cálculos'!$F$294)*(($B$224)-$A186&lt;='Cálculos'!$F$295)*(1+MIN(('Cálculos'!$F$207+$A186*'Cálculos'!$F$95),1)*('Cálculos'!$F$208+(($B$224)-$A186)*'Cálculos'!$F$96))</f>
        <v>2.351708</v>
      </c>
      <c r="H186" s="31">
        <f>IF($B$225&lt;0,0,($A186&lt;=$B$225)*($A186&lt;='Cálculos'!$F$301)*(($B$225)-$A186&lt;='Cálculos'!$F$297)*(('Cálculos'!$F$185*(1+'Cálculos'!$F$186+$A186*('Cálculos'!$F$290=1)*'Cálculos'!$F$97+'Cálculos'!$F$305)+'Cálculos'!$F$191)*('Cálculos'!$F$209+'Cálculos'!$F$124*(1+2.78*('Cálculos'!$F$196+(($B$225)-$A186)*'Cálculos'!$F$98)/(('Cálculos'!$F$196+(($B$225)-$A186)*'Cálculos'!$F$98)+1400)+'Cálculos'!$F$122)*'Cálculos'!$F$214+'Cálculos'!$F$125*(1+2.78*('Cálculos'!$F$196+(($B$225)-$A186)*'Cálculos'!$F$98)/(('Cálculos'!$F$196+(($B$225)-$A186)*'Cálculos'!$F$98)+1400)+'Cálculos'!$F$123)*'Cálculos'!$F$219)+('Cálculos'!$F$196+(($B$225)-$A186)*'Cálculos'!$F$98)*('Cálculos'!$F$210+'Cálculos'!$F$124*(1+2.78*('Cálculos'!$F$196+(($B$225)-$A186)*'Cálculos'!$F$98)/(('Cálculos'!$F$196+(($B$225)-$A186)*'Cálculos'!$F$98)+1400)+'Cálculos'!$F$122)*'Cálculos'!$F$215+'Cálculos'!$F$125*(1+2.78*('Cálculos'!$F$196+(($B$225)-$A186)*'Cálculos'!$F$98)/(('Cálculos'!$F$196+(($B$225)-$A186)*'Cálculos'!$F$98)+1400)+'Cálculos'!$F$123)*'Cálculos'!$F$220)+('Cálculos'!$F$201*(1+'Cálculos'!$F$202+$A186*('Cálculos'!$F$290=2)*'Cálculos'!$F$101)+'Cálculos'!$F$203)*('Cálculos'!$F$211+'Cálculos'!$F$124*(1+2.78*('Cálculos'!$F$196+(($B$225)-$A186)*'Cálculos'!$F$98)/(('Cálculos'!$F$196+(($B$225)-$A186)*'Cálculos'!$F$98)+1400)+'Cálculos'!$F$122)*'Cálculos'!$F$216+'Cálculos'!$F$125*(1+2.78*('Cálculos'!$F$196+(($B$225)-$A186)*'Cálculos'!$F$98)/(('Cálculos'!$F$196+(($B$225)-$A186)*'Cálculos'!$F$98)+1400)+'Cálculos'!$F$123)*'Cálculos'!$F$221)+('Cálculos'!$F$204*(1+'Cálculos'!$F$205+$A186*('Cálculos'!$F$290=3)*'Cálculos'!$F$103)+'Cálculos'!$F$206)*('Cálculos'!$F$212+'Cálculos'!$F$124*(1+2.78*('Cálculos'!$F$196+(($B$225)-$A186)*'Cálculos'!$F$98)/(('Cálculos'!$F$196+(($B$225)-$A186)*'Cálculos'!$F$98)+1400)+'Cálculos'!$F$122)*'Cálculos'!$F$217+'Cálculos'!$F$125*(1+2.78*('Cálculos'!$F$196+(($B$225)-$A186)*'Cálculos'!$F$98)/(('Cálculos'!$F$196+(($B$225)-$A186)*'Cálculos'!$F$98)+1400)+'Cálculos'!$F$123)*'Cálculos'!$F$222)+('Cálculos'!$F$213+'Cálculos'!$F$124*(1+2.78*('Cálculos'!$F$196+(($B$225)-$A186)*'Cálculos'!$F$98)/(('Cálculos'!$F$196+(($B$225)-$A186)*'Cálculos'!$F$98)+1400)+'Cálculos'!$F$122)*'Cálculos'!$F$218+'Cálculos'!$F$125*(1+2.78*('Cálculos'!$F$196+(($B$225)-$A186)*'Cálculos'!$F$98)/(('Cálculos'!$F$196+(($B$225)-$A186)*'Cálculos'!$F$98)+1400)+'Cálculos'!$F$123)*'Cálculos'!$F$223)+('Cálculos'!$F$185*(1+'Cálculos'!$F$187+$A186*('Cálculos'!$F$290=1)*'Cálculos'!$F$97+'Cálculos'!$F$305)+'Cálculos'!$F$192)*('Cálculos'!$F$224+'Cálculos'!$F$124*(1+2.78*('Cálculos'!$F$197+(($B$225)-$A186)*'Cálculos'!$F$98)/(('Cálculos'!$F$197+(($B$225)-$A186)*'Cálculos'!$F$98)+1400)+'Cálculos'!$F$122)*'Cálculos'!$F$229+'Cálculos'!$F$125*(1+2.78*('Cálculos'!$F$197+(($B$225)-$A186)*'Cálculos'!$F$98)/(('Cálculos'!$F$197+(($B$225)-$A186)*'Cálculos'!$F$98)+1400)+'Cálculos'!$F$123)*'Cálculos'!$F$234)+('Cálculos'!$F$197+(($B$225)-$A186)*'Cálculos'!$F$98)*('Cálculos'!$F$225+'Cálculos'!$F$124*(1+2.78*('Cálculos'!$F$197+(($B$225)-$A186)*'Cálculos'!$F$98)/(('Cálculos'!$F$197+(($B$225)-$A186)*'Cálculos'!$F$98)+1400)+'Cálculos'!$F$122)*'Cálculos'!$F$230+'Cálculos'!$F$125*(1+2.78*('Cálculos'!$F$197+(($B$225)-$A186)*'Cálculos'!$F$98)/(('Cálculos'!$F$197+(($B$225)-$A186)*'Cálculos'!$F$98)+1400)+'Cálculos'!$F$123)*'Cálculos'!$F$235)+('Cálculos'!$F$201*(1+'Cálculos'!$F$202+$A186*('Cálculos'!$F$290=2)*'Cálculos'!$F$101)+'Cálculos'!$F$203)*('Cálculos'!$F$226+'Cálculos'!$F$124*(1+2.78*('Cálculos'!$F$197+(($B$225)-$A186)*'Cálculos'!$F$98)/(('Cálculos'!$F$197+(($B$225)-$A186)*'Cálculos'!$F$98)+1400)+'Cálculos'!$F$122)*'Cálculos'!$F$231+'Cálculos'!$F$125*(1+2.78*('Cálculos'!$F$197+(($B$225)-$A186)*'Cálculos'!$F$98)/(('Cálculos'!$F$197+(($B$225)-$A186)*'Cálculos'!$F$98)+1400)+'Cálculos'!$F$123)*'Cálculos'!$F$236)+('Cálculos'!$F$204*(1+'Cálculos'!$F$205+$A186*('Cálculos'!$F$290=3)*'Cálculos'!$F$103)+'Cálculos'!$F$206)*('Cálculos'!$F$227+'Cálculos'!$F$124*(1+2.78*('Cálculos'!$F$197+(($B$225)-$A186)*'Cálculos'!$F$98)/(('Cálculos'!$F$197+(($B$225)-$A186)*'Cálculos'!$F$98)+1400)+'Cálculos'!$F$122)*'Cálculos'!$F$232+'Cálculos'!$F$125*(1+2.78*('Cálculos'!$F$197+(($B$225)-$A186)*'Cálculos'!$F$98)/(('Cálculos'!$F$197+(($B$225)-$A186)*'Cálculos'!$F$98)+1400)+'Cálculos'!$F$123)*'Cálculos'!$F$237)+('Cálculos'!$F$228+'Cálculos'!$F$124*(1+2.78*('Cálculos'!$F$197+(($B$225)-$A186)*'Cálculos'!$F$98)/(('Cálculos'!$F$197+(($B$225)-$A186)*'Cálculos'!$F$98)+1400)+'Cálculos'!$F$122)*'Cálculos'!$F$233+'Cálculos'!$F$125*(1+2.78*('Cálculos'!$F$197+(($B$225)-$A186)*'Cálculos'!$F$98)/(('Cálculos'!$F$197+(($B$225)-$A186)*'Cálculos'!$F$98)+1400)+'Cálculos'!$F$123)*'Cálculos'!$F$238)+('Cálculos'!$F$185*(1+'Cálculos'!$F$188+$A186*('Cálculos'!$F$290=1)*'Cálculos'!$F$97+'Cálculos'!$F$305)+'Cálculos'!$F$193)*('Cálculos'!$F$239+'Cálculos'!$F$124*(1+2.78*('Cálculos'!$F$198+(($B$225)-$A186)*'Cálculos'!$F$98)/(('Cálculos'!$F$198+(($B$225)-$A186)*'Cálculos'!$F$98)+1400)+'Cálculos'!$F$122)*'Cálculos'!$F$244+'Cálculos'!$F$125*(1+2.78*('Cálculos'!$F$198+(($B$225)-$A186)*'Cálculos'!$F$98)/(('Cálculos'!$F$198+(($B$225)-$A186)*'Cálculos'!$F$98)+1400)+'Cálculos'!$F$123)*'Cálculos'!$F$249)+('Cálculos'!$F$198+(($B$225)-$A186)*'Cálculos'!$F$98)*('Cálculos'!$F$240+'Cálculos'!$F$124*(1+2.78*('Cálculos'!$F$198+(($B$225)-$A186)*'Cálculos'!$F$98)/(('Cálculos'!$F$198+(($B$225)-$A186)*'Cálculos'!$F$98)+1400)+'Cálculos'!$F$122)*'Cálculos'!$F$245+'Cálculos'!$F$125*(1+2.78*('Cálculos'!$F$198+(($B$225)-$A186)*'Cálculos'!$F$98)/(('Cálculos'!$F$198+(($B$225)-$A186)*'Cálculos'!$F$98)+1400)+'Cálculos'!$F$123)*'Cálculos'!$F$250)+('Cálculos'!$F$201*(1+'Cálculos'!$F$202+$A186*('Cálculos'!$F$290=2)*'Cálculos'!$F$101)+'Cálculos'!$F$203)*('Cálculos'!$F$241+'Cálculos'!$F$124*(1+2.78*('Cálculos'!$F$198+(($B$225)-$A186)*'Cálculos'!$F$98)/(('Cálculos'!$F$198+(($B$225)-$A186)*'Cálculos'!$F$98)+1400)+'Cálculos'!$F$122)*'Cálculos'!$F$246+'Cálculos'!$F$125*(1+2.78*('Cálculos'!$F$198+(($B$225)-$A186)*'Cálculos'!$F$98)/(('Cálculos'!$F$198+(($B$225)-$A186)*'Cálculos'!$F$98)+1400)+'Cálculos'!$F$123)*'Cálculos'!$F$251)+('Cálculos'!$F$204*(1+'Cálculos'!$F$205+$A186*('Cálculos'!$F$290=3)*'Cálculos'!$F$103)+'Cálculos'!$F$206)*('Cálculos'!$F$242+'Cálculos'!$F$124*(1+2.78*('Cálculos'!$F$198+(($B$225)-$A186)*'Cálculos'!$F$98)/(('Cálculos'!$F$198+(($B$225)-$A186)*'Cálculos'!$F$98)+1400)+'Cálculos'!$F$122)*'Cálculos'!$F$247+'Cálculos'!$F$125*(1+2.78*('Cálculos'!$F$198+(($B$225)-$A186)*'Cálculos'!$F$98)/(('Cálculos'!$F$198+(($B$225)-$A186)*'Cálculos'!$F$98)+1400)+'Cálculos'!$F$123)*'Cálculos'!$F$252)+('Cálculos'!$F$243+'Cálculos'!$F$124*(1+2.78*('Cálculos'!$F$198+(($B$225)-$A186)*'Cálculos'!$F$98)/(('Cálculos'!$F$198+(($B$225)-$A186)*'Cálculos'!$F$98)+1400)+'Cálculos'!$F$122)*'Cálculos'!$F$248+'Cálculos'!$F$125*(1+2.78*('Cálculos'!$F$198+(($B$225)-$A186)*'Cálculos'!$F$98)/(('Cálculos'!$F$198+(($B$225)-$A186)*'Cálculos'!$F$98)+1400)+'Cálculos'!$F$123)*'Cálculos'!$F$253)+('Cálculos'!$F$185*(1+'Cálculos'!$F$189+$A186*('Cálculos'!$F$290=1)*'Cálculos'!$F$97+'Cálculos'!$F$305)+'Cálculos'!$F$194)*('Cálculos'!$F$254+'Cálculos'!$F$124*(1+2.78*('Cálculos'!$F$199+(($B$225)-$A186)*'Cálculos'!$F$98)/(('Cálculos'!$F$199+(($B$225)-$A186)*'Cálculos'!$F$98)+1400)+'Cálculos'!$F$122)*'Cálculos'!$F$259+'Cálculos'!$F$125*(1+2.78*('Cálculos'!$F$199+(($B$225)-$A186)*'Cálculos'!$F$98)/(('Cálculos'!$F$199+(($B$225)-$A186)*'Cálculos'!$F$98)+1400)+'Cálculos'!$F$123)*'Cálculos'!$F$264)+('Cálculos'!$F$199+(($B$225)-$A186)*'Cálculos'!$F$98)*('Cálculos'!$F$255+'Cálculos'!$F$124*(1+2.78*('Cálculos'!$F$199+(($B$225)-$A186)*'Cálculos'!$F$98)/(('Cálculos'!$F$199+(($B$225)-$A186)*'Cálculos'!$F$98)+1400)+'Cálculos'!$F$122)*'Cálculos'!$F$260+'Cálculos'!$F$125*(1+2.78*('Cálculos'!$F$199+(($B$225)-$A186)*'Cálculos'!$F$98)/(('Cálculos'!$F$199+(($B$225)-$A186)*'Cálculos'!$F$98)+1400)+'Cálculos'!$F$123)*'Cálculos'!$F$265)+('Cálculos'!$F$201*(1+'Cálculos'!$F$202+$A186*('Cálculos'!$F$290=2)*'Cálculos'!$F$101)+'Cálculos'!$F$203)*('Cálculos'!$F$256+'Cálculos'!$F$124*(1+2.78*('Cálculos'!$F$199+(($B$225)-$A186)*'Cálculos'!$F$98)/(('Cálculos'!$F$199+(($B$225)-$A186)*'Cálculos'!$F$98)+1400)+'Cálculos'!$F$122)*'Cálculos'!$F$261+'Cálculos'!$F$125*(1+2.78*('Cálculos'!$F$199+(($B$225)-$A186)*'Cálculos'!$F$98)/(('Cálculos'!$F$199+(($B$225)-$A186)*'Cálculos'!$F$98)+1400)+'Cálculos'!$F$123)*'Cálculos'!$F$266)+('Cálculos'!$F$204*(1+'Cálculos'!$F$205+$A186*('Cálculos'!$F$290=3)*'Cálculos'!$F$103)+'Cálculos'!$F$206)*('Cálculos'!$F$257+'Cálculos'!$F$124*(1+2.78*('Cálculos'!$F$199+(($B$225)-$A186)*'Cálculos'!$F$98)/(('Cálculos'!$F$199+(($B$225)-$A186)*'Cálculos'!$F$98)+1400)+'Cálculos'!$F$122)*'Cálculos'!$F$262+'Cálculos'!$F$125*(1+2.78*('Cálculos'!$F$199+(($B$225)-$A186)*'Cálculos'!$F$98)/(('Cálculos'!$F$199+(($B$225)-$A186)*'Cálculos'!$F$98)+1400)+'Cálculos'!$F$123)*'Cálculos'!$F$267)+('Cálculos'!$F$258+'Cálculos'!$F$124*(1+2.78*('Cálculos'!$F$199+(($B$225)-$A186)*'Cálculos'!$F$98)/(('Cálculos'!$F$199+(($B$225)-$A186)*'Cálculos'!$F$98)+1400)+'Cálculos'!$F$122)*'Cálculos'!$F$263+'Cálculos'!$F$125*(1+2.78*('Cálculos'!$F$199+(($B$225)-$A186)*'Cálculos'!$F$98)/(('Cálculos'!$F$199+(($B$225)-$A186)*'Cálculos'!$F$98)+1400)+'Cálculos'!$F$123)*'Cálculos'!$F$268)+('Cálculos'!$F$185*(1+'Cálculos'!$F$190+$A186*('Cálculos'!$F$290=1)*'Cálculos'!$F$97+'Cálculos'!$F$305)+'Cálculos'!$F$195)*('Cálculos'!$F$269+'Cálculos'!$F$124*(1+2.78*('Cálculos'!$F$200+(($B$225)-$A186)*'Cálculos'!$F$98)/(('Cálculos'!$F$200+(($B$225)-$A186)*'Cálculos'!$F$98)+1400)+'Cálculos'!$F$122)*'Cálculos'!$F$274+'Cálculos'!$F$125*(1+2.78*('Cálculos'!$F$200+(($B$225)-$A186)*'Cálculos'!$F$98)/(('Cálculos'!$F$200+(($B$225)-$A186)*'Cálculos'!$F$98)+1400)+'Cálculos'!$F$123)*'Cálculos'!$F$279)+('Cálculos'!$F$200+(($B$225)-$A186)*'Cálculos'!$F$98)*('Cálculos'!$F$270+'Cálculos'!$F$124*(1+2.78*('Cálculos'!$F$200+(($B$225)-$A186)*'Cálculos'!$F$98)/(('Cálculos'!$F$200+(($B$225)-$A186)*'Cálculos'!$F$98)+1400)+'Cálculos'!$F$122)*'Cálculos'!$F$275+'Cálculos'!$F$125*(1+2.78*('Cálculos'!$F$200+(($B$225)-$A186)*'Cálculos'!$F$98)/(('Cálculos'!$F$200+(($B$225)-$A186)*'Cálculos'!$F$98)+1400)+'Cálculos'!$F$123)*'Cálculos'!$F$280)+('Cálculos'!$F$201*(1+'Cálculos'!$F$202+$A186*('Cálculos'!$F$290=2)*'Cálculos'!$F$101)+'Cálculos'!$F$203)*('Cálculos'!$F$271+'Cálculos'!$F$124*(1+2.78*('Cálculos'!$F$200+(($B$225)-$A186)*'Cálculos'!$F$98)/(('Cálculos'!$F$200+(($B$225)-$A186)*'Cálculos'!$F$98)+1400)+'Cálculos'!$F$122)*'Cálculos'!$F$276+'Cálculos'!$F$125*(1+2.78*('Cálculos'!$F$200+(($B$225)-$A186)*'Cálculos'!$F$98)/(('Cálculos'!$F$200+(($B$225)-$A186)*'Cálculos'!$F$98)+1400)+'Cálculos'!$F$123)*'Cálculos'!$F$281)+('Cálculos'!$F$204*(1+'Cálculos'!$F$205+$A186*('Cálculos'!$F$290=3)*'Cálculos'!$F$103)+'Cálculos'!$F$206)*('Cálculos'!$F$272+'Cálculos'!$F$124*(1+2.78*('Cálculos'!$F$200+(($B$225)-$A186)*'Cálculos'!$F$98)/(('Cálculos'!$F$200+(($B$225)-$A186)*'Cálculos'!$F$98)+1400)+'Cálculos'!$F$122)*'Cálculos'!$F$277+'Cálculos'!$F$125*(1+2.78*('Cálculos'!$F$200+(($B$225)-$A186)*'Cálculos'!$F$98)/(('Cálculos'!$F$200+(($B$225)-$A186)*'Cálculos'!$F$98)+1400)+'Cálculos'!$F$123)*'Cálculos'!$F$282)+('Cálculos'!$F$273+'Cálculos'!$F$124*(1+2.78*('Cálculos'!$F$200+(($B$225)-$A186)*'Cálculos'!$F$98)/(('Cálculos'!$F$200+(($B$225)-$A186)*'Cálculos'!$F$98)+1400)+'Cálculos'!$F$122)*'Cálculos'!$F$278+'Cálculos'!$F$125*(1+2.78*('Cálculos'!$F$200+(($B$225)-$A186)*'Cálculos'!$F$98)/(('Cálculos'!$F$200+(($B$225)-$A186)*'Cálculos'!$F$98)+1400)+'Cálculos'!$F$123)*'Cálculos'!$F$283)))</f>
        <v>0</v>
      </c>
    </row>
    <row r="187" ht="15.75" customHeight="1">
      <c r="A187" s="2">
        <v>10.0</v>
      </c>
      <c r="B187" s="30">
        <f>SUMPRODUCT(MAX(($A$177:$A$222&lt;=$A187)*($A$177:$A$222&lt;='Cálculos'!$F$294)*(($A187)-$A$177:$A$222&lt;='Cálculos'!$F$295)*(1+(('Cálculos'!$F$207+$A$177:$A$222*'Cálculos'!$F$95)-(('Cálculos'!$F$207+$A$177:$A$222*'Cálculos'!$F$95)&gt;1)*(('Cálculos'!$F$207+$A$177:$A$222*'Cálculos'!$F$95)-1))*('Cálculos'!$F$208+(($A187)-$A$177:$A$222)*'Cálculos'!$F$96))))</f>
        <v>1.970855</v>
      </c>
      <c r="C187" s="2">
        <f>'Cálculos'!$F$303-$A187</f>
        <v>8</v>
      </c>
      <c r="D187" s="31">
        <f>IF($C187&lt;0,0,SUMPRODUCT(MAX(($A$177:$A$222&lt;=$C187)*($A$177:$A$222&lt;='Cálculos'!$F$301)*(($C187)-$A$177:$A$222&lt;='Cálculos'!$F$297)*(('Cálculos'!$F$185*(1+'Cálculos'!$F$186+$A$177:$A$222*('Cálculos'!$F$290=1)*'Cálculos'!$F$97+'Cálculos'!$F$305)+'Cálculos'!$F$191)*('Cálculos'!$F$209+'Cálculos'!$F$124*(1+2.78*('Cálculos'!$F$196+(($C187)-$A$177:$A$222)*'Cálculos'!$F$98)/(('Cálculos'!$F$196+(($C187)-$A$177:$A$222)*'Cálculos'!$F$98)+1400)+'Cálculos'!$F$122)*'Cálculos'!$F$214+'Cálculos'!$F$125*(1+2.78*('Cálculos'!$F$196+(($C187)-$A$177:$A$222)*'Cálculos'!$F$98)/(('Cálculos'!$F$196+(($C187)-$A$177:$A$222)*'Cálculos'!$F$98)+1400)+'Cálculos'!$F$123)*'Cálculos'!$F$219)+('Cálculos'!$F$196+(($C187)-$A$177:$A$222)*'Cálculos'!$F$98)*('Cálculos'!$F$210+'Cálculos'!$F$124*(1+2.78*('Cálculos'!$F$196+(($C187)-$A$177:$A$222)*'Cálculos'!$F$98)/(('Cálculos'!$F$196+(($C187)-$A$177:$A$222)*'Cálculos'!$F$98)+1400)+'Cálculos'!$F$122)*'Cálculos'!$F$215+'Cálculos'!$F$125*(1+2.78*('Cálculos'!$F$196+(($C187)-$A$177:$A$222)*'Cálculos'!$F$98)/(('Cálculos'!$F$196+(($C187)-$A$177:$A$222)*'Cálculos'!$F$98)+1400)+'Cálculos'!$F$123)*'Cálculos'!$F$220)+('Cálculos'!$F$201*(1+'Cálculos'!$F$202+$A$177:$A$222*('Cálculos'!$F$290=2)*'Cálculos'!$F$101)+'Cálculos'!$F$203)*('Cálculos'!$F$211+'Cálculos'!$F$124*(1+2.78*('Cálculos'!$F$196+(($C187)-$A$177:$A$222)*'Cálculos'!$F$98)/(('Cálculos'!$F$196+(($C187)-$A$177:$A$222)*'Cálculos'!$F$98)+1400)+'Cálculos'!$F$122)*'Cálculos'!$F$216+'Cálculos'!$F$125*(1+2.78*('Cálculos'!$F$196+(($C187)-$A$177:$A$222)*'Cálculos'!$F$98)/(('Cálculos'!$F$196+(($C187)-$A$177:$A$222)*'Cálculos'!$F$98)+1400)+'Cálculos'!$F$123)*'Cálculos'!$F$221)+('Cálculos'!$F$204*(1+'Cálculos'!$F$205+$A$177:$A$222*('Cálculos'!$F$290=3)*'Cálculos'!$F$103)+'Cálculos'!$F$206)*('Cálculos'!$F$212+'Cálculos'!$F$124*(1+2.78*('Cálculos'!$F$196+(($C187)-$A$177:$A$222)*'Cálculos'!$F$98)/(('Cálculos'!$F$196+(($C187)-$A$177:$A$222)*'Cálculos'!$F$98)+1400)+'Cálculos'!$F$122)*'Cálculos'!$F$217+'Cálculos'!$F$125*(1+2.78*('Cálculos'!$F$196+(($C187)-$A$177:$A$222)*'Cálculos'!$F$98)/(('Cálculos'!$F$196+(($C187)-$A$177:$A$222)*'Cálculos'!$F$98)+1400)+'Cálculos'!$F$123)*'Cálculos'!$F$222)+('Cálculos'!$F$213+'Cálculos'!$F$124*(1+2.78*('Cálculos'!$F$196+(($C187)-$A$177:$A$222)*'Cálculos'!$F$98)/(('Cálculos'!$F$196+(($C187)-$A$177:$A$222)*'Cálculos'!$F$98)+1400)+'Cálculos'!$F$122)*'Cálculos'!$F$218+'Cálculos'!$F$125*(1+2.78*('Cálculos'!$F$196+(($C187)-$A$177:$A$222)*'Cálculos'!$F$98)/(('Cálculos'!$F$196+(($C187)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187)-$A$177:$A$222)*'Cálculos'!$F$98)/(('Cálculos'!$F$197+(($C187)-$A$177:$A$222)*'Cálculos'!$F$98)+1400)+'Cálculos'!$F$122)*'Cálculos'!$F$229+'Cálculos'!$F$125*(1+2.78*('Cálculos'!$F$197+(($C187)-$A$177:$A$222)*'Cálculos'!$F$98)/(('Cálculos'!$F$197+(($C187)-$A$177:$A$222)*'Cálculos'!$F$98)+1400)+'Cálculos'!$F$123)*'Cálculos'!$F$234)+('Cálculos'!$F$197+(($C187)-$A$177:$A$222)*'Cálculos'!$F$98)*('Cálculos'!$F$225+'Cálculos'!$F$124*(1+2.78*('Cálculos'!$F$197+(($C187)-$A$177:$A$222)*'Cálculos'!$F$98)/(('Cálculos'!$F$197+(($C187)-$A$177:$A$222)*'Cálculos'!$F$98)+1400)+'Cálculos'!$F$122)*'Cálculos'!$F$230+'Cálculos'!$F$125*(1+2.78*('Cálculos'!$F$197+(($C187)-$A$177:$A$222)*'Cálculos'!$F$98)/(('Cálculos'!$F$197+(($C187)-$A$177:$A$222)*'Cálculos'!$F$98)+1400)+'Cálculos'!$F$123)*'Cálculos'!$F$235)+('Cálculos'!$F$201*(1+'Cálculos'!$F$202+$A$177:$A$222*('Cálculos'!$F$290=2)*'Cálculos'!$F$101)+'Cálculos'!$F$203)*('Cálculos'!$F$226+'Cálculos'!$F$124*(1+2.78*('Cálculos'!$F$197+(($C187)-$A$177:$A$222)*'Cálculos'!$F$98)/(('Cálculos'!$F$197+(($C187)-$A$177:$A$222)*'Cálculos'!$F$98)+1400)+'Cálculos'!$F$122)*'Cálculos'!$F$231+'Cálculos'!$F$125*(1+2.78*('Cálculos'!$F$197+(($C187)-$A$177:$A$222)*'Cálculos'!$F$98)/(('Cálculos'!$F$197+(($C187)-$A$177:$A$222)*'Cálculos'!$F$98)+1400)+'Cálculos'!$F$123)*'Cálculos'!$F$236)+('Cálculos'!$F$204*(1+'Cálculos'!$F$205+$A$177:$A$222*('Cálculos'!$F$290=3)*'Cálculos'!$F$103)+'Cálculos'!$F$206)*('Cálculos'!$F$227+'Cálculos'!$F$124*(1+2.78*('Cálculos'!$F$197+(($C187)-$A$177:$A$222)*'Cálculos'!$F$98)/(('Cálculos'!$F$197+(($C187)-$A$177:$A$222)*'Cálculos'!$F$98)+1400)+'Cálculos'!$F$122)*'Cálculos'!$F$232+'Cálculos'!$F$125*(1+2.78*('Cálculos'!$F$197+(($C187)-$A$177:$A$222)*'Cálculos'!$F$98)/(('Cálculos'!$F$197+(($C187)-$A$177:$A$222)*'Cálculos'!$F$98)+1400)+'Cálculos'!$F$123)*'Cálculos'!$F$237)+('Cálculos'!$F$228+'Cálculos'!$F$124*(1+2.78*('Cálculos'!$F$197+(($C187)-$A$177:$A$222)*'Cálculos'!$F$98)/(('Cálculos'!$F$197+(($C187)-$A$177:$A$222)*'Cálculos'!$F$98)+1400)+'Cálculos'!$F$122)*'Cálculos'!$F$233+'Cálculos'!$F$125*(1+2.78*('Cálculos'!$F$197+(($C187)-$A$177:$A$222)*'Cálculos'!$F$98)/(('Cálculos'!$F$197+(($C187)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187)-$A$177:$A$222)*'Cálculos'!$F$98)/(('Cálculos'!$F$198+(($C187)-$A$177:$A$222)*'Cálculos'!$F$98)+1400)+'Cálculos'!$F$122)*'Cálculos'!$F$244+'Cálculos'!$F$125*(1+2.78*('Cálculos'!$F$198+(($C187)-$A$177:$A$222)*'Cálculos'!$F$98)/(('Cálculos'!$F$198+(($C187)-$A$177:$A$222)*'Cálculos'!$F$98)+1400)+'Cálculos'!$F$123)*'Cálculos'!$F$249)+('Cálculos'!$F$198+(($C187)-$A$177:$A$222)*'Cálculos'!$F$98)*('Cálculos'!$F$240+'Cálculos'!$F$124*(1+2.78*('Cálculos'!$F$198+(($C187)-$A$177:$A$222)*'Cálculos'!$F$98)/(('Cálculos'!$F$198+(($C187)-$A$177:$A$222)*'Cálculos'!$F$98)+1400)+'Cálculos'!$F$122)*'Cálculos'!$F$245+'Cálculos'!$F$125*(1+2.78*('Cálculos'!$F$198+(($C187)-$A$177:$A$222)*'Cálculos'!$F$98)/(('Cálculos'!$F$198+(($C187)-$A$177:$A$222)*'Cálculos'!$F$98)+1400)+'Cálculos'!$F$123)*'Cálculos'!$F$250)+('Cálculos'!$F$201*(1+'Cálculos'!$F$202+$A$177:$A$222*('Cálculos'!$F$290=2)*'Cálculos'!$F$101)+'Cálculos'!$F$203)*('Cálculos'!$F$241+'Cálculos'!$F$124*(1+2.78*('Cálculos'!$F$198+(($C187)-$A$177:$A$222)*'Cálculos'!$F$98)/(('Cálculos'!$F$198+(($C187)-$A$177:$A$222)*'Cálculos'!$F$98)+1400)+'Cálculos'!$F$122)*'Cálculos'!$F$246+'Cálculos'!$F$125*(1+2.78*('Cálculos'!$F$198+(($C187)-$A$177:$A$222)*'Cálculos'!$F$98)/(('Cálculos'!$F$198+(($C187)-$A$177:$A$222)*'Cálculos'!$F$98)+1400)+'Cálculos'!$F$123)*'Cálculos'!$F$251)+('Cálculos'!$F$204*(1+'Cálculos'!$F$205+$A$177:$A$222*('Cálculos'!$F$290=3)*'Cálculos'!$F$103)+'Cálculos'!$F$206)*('Cálculos'!$F$242+'Cálculos'!$F$124*(1+2.78*('Cálculos'!$F$198+(($C187)-$A$177:$A$222)*'Cálculos'!$F$98)/(('Cálculos'!$F$198+(($C187)-$A$177:$A$222)*'Cálculos'!$F$98)+1400)+'Cálculos'!$F$122)*'Cálculos'!$F$247+'Cálculos'!$F$125*(1+2.78*('Cálculos'!$F$198+(($C187)-$A$177:$A$222)*'Cálculos'!$F$98)/(('Cálculos'!$F$198+(($C187)-$A$177:$A$222)*'Cálculos'!$F$98)+1400)+'Cálculos'!$F$123)*'Cálculos'!$F$252)+('Cálculos'!$F$243+'Cálculos'!$F$124*(1+2.78*('Cálculos'!$F$198+(($C187)-$A$177:$A$222)*'Cálculos'!$F$98)/(('Cálculos'!$F$198+(($C187)-$A$177:$A$222)*'Cálculos'!$F$98)+1400)+'Cálculos'!$F$122)*'Cálculos'!$F$248+'Cálculos'!$F$125*(1+2.78*('Cálculos'!$F$198+(($C187)-$A$177:$A$222)*'Cálculos'!$F$98)/(('Cálculos'!$F$198+(($C187)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187)-$A$177:$A$222)*'Cálculos'!$F$98)/(('Cálculos'!$F$199+(($C187)-$A$177:$A$222)*'Cálculos'!$F$98)+1400)+'Cálculos'!$F$122)*'Cálculos'!$F$259+'Cálculos'!$F$125*(1+2.78*('Cálculos'!$F$199+(($C187)-$A$177:$A$222)*'Cálculos'!$F$98)/(('Cálculos'!$F$199+(($C187)-$A$177:$A$222)*'Cálculos'!$F$98)+1400)+'Cálculos'!$F$123)*'Cálculos'!$F$264)+('Cálculos'!$F$199+(($C187)-$A$177:$A$222)*'Cálculos'!$F$98)*('Cálculos'!$F$255+'Cálculos'!$F$124*(1+2.78*('Cálculos'!$F$199+(($C187)-$A$177:$A$222)*'Cálculos'!$F$98)/(('Cálculos'!$F$199+(($C187)-$A$177:$A$222)*'Cálculos'!$F$98)+1400)+'Cálculos'!$F$122)*'Cálculos'!$F$260+'Cálculos'!$F$125*(1+2.78*('Cálculos'!$F$199+(($C187)-$A$177:$A$222)*'Cálculos'!$F$98)/(('Cálculos'!$F$199+(($C187)-$A$177:$A$222)*'Cálculos'!$F$98)+1400)+'Cálculos'!$F$123)*'Cálculos'!$F$265)+('Cálculos'!$F$201*(1+'Cálculos'!$F$202+$A$177:$A$222*('Cálculos'!$F$290=2)*'Cálculos'!$F$101)+'Cálculos'!$F$203)*('Cálculos'!$F$256+'Cálculos'!$F$124*(1+2.78*('Cálculos'!$F$199+(($C187)-$A$177:$A$222)*'Cálculos'!$F$98)/(('Cálculos'!$F$199+(($C187)-$A$177:$A$222)*'Cálculos'!$F$98)+1400)+'Cálculos'!$F$122)*'Cálculos'!$F$261+'Cálculos'!$F$125*(1+2.78*('Cálculos'!$F$199+(($C187)-$A$177:$A$222)*'Cálculos'!$F$98)/(('Cálculos'!$F$199+(($C187)-$A$177:$A$222)*'Cálculos'!$F$98)+1400)+'Cálculos'!$F$123)*'Cálculos'!$F$266)+('Cálculos'!$F$204*(1+'Cálculos'!$F$205+$A$177:$A$222*('Cálculos'!$F$290=3)*'Cálculos'!$F$103)+'Cálculos'!$F$206)*('Cálculos'!$F$257+'Cálculos'!$F$124*(1+2.78*('Cálculos'!$F$199+(($C187)-$A$177:$A$222)*'Cálculos'!$F$98)/(('Cálculos'!$F$199+(($C187)-$A$177:$A$222)*'Cálculos'!$F$98)+1400)+'Cálculos'!$F$122)*'Cálculos'!$F$262+'Cálculos'!$F$125*(1+2.78*('Cálculos'!$F$199+(($C187)-$A$177:$A$222)*'Cálculos'!$F$98)/(('Cálculos'!$F$199+(($C187)-$A$177:$A$222)*'Cálculos'!$F$98)+1400)+'Cálculos'!$F$123)*'Cálculos'!$F$267)+('Cálculos'!$F$258+'Cálculos'!$F$124*(1+2.78*('Cálculos'!$F$199+(($C187)-$A$177:$A$222)*'Cálculos'!$F$98)/(('Cálculos'!$F$199+(($C187)-$A$177:$A$222)*'Cálculos'!$F$98)+1400)+'Cálculos'!$F$122)*'Cálculos'!$F$263+'Cálculos'!$F$125*(1+2.78*('Cálculos'!$F$199+(($C187)-$A$177:$A$222)*'Cálculos'!$F$98)/(('Cálculos'!$F$199+(($C187)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187)-$A$177:$A$222)*'Cálculos'!$F$98)/(('Cálculos'!$F$200+(($C187)-$A$177:$A$222)*'Cálculos'!$F$98)+1400)+'Cálculos'!$F$122)*'Cálculos'!$F$274+'Cálculos'!$F$125*(1+2.78*('Cálculos'!$F$200+(($C187)-$A$177:$A$222)*'Cálculos'!$F$98)/(('Cálculos'!$F$200+(($C187)-$A$177:$A$222)*'Cálculos'!$F$98)+1400)+'Cálculos'!$F$123)*'Cálculos'!$F$279)+('Cálculos'!$F$200+(($C187)-$A$177:$A$222)*'Cálculos'!$F$98)*('Cálculos'!$F$270+'Cálculos'!$F$124*(1+2.78*('Cálculos'!$F$200+(($C187)-$A$177:$A$222)*'Cálculos'!$F$98)/(('Cálculos'!$F$200+(($C187)-$A$177:$A$222)*'Cálculos'!$F$98)+1400)+'Cálculos'!$F$122)*'Cálculos'!$F$275+'Cálculos'!$F$125*(1+2.78*('Cálculos'!$F$200+(($C187)-$A$177:$A$222)*'Cálculos'!$F$98)/(('Cálculos'!$F$200+(($C187)-$A$177:$A$222)*'Cálculos'!$F$98)+1400)+'Cálculos'!$F$123)*'Cálculos'!$F$280)+('Cálculos'!$F$201*(1+'Cálculos'!$F$202+$A$177:$A$222*('Cálculos'!$F$290=2)*'Cálculos'!$F$101)+'Cálculos'!$F$203)*('Cálculos'!$F$271+'Cálculos'!$F$124*(1+2.78*('Cálculos'!$F$200+(($C187)-$A$177:$A$222)*'Cálculos'!$F$98)/(('Cálculos'!$F$200+(($C187)-$A$177:$A$222)*'Cálculos'!$F$98)+1400)+'Cálculos'!$F$122)*'Cálculos'!$F$276+'Cálculos'!$F$125*(1+2.78*('Cálculos'!$F$200+(($C187)-$A$177:$A$222)*'Cálculos'!$F$98)/(('Cálculos'!$F$200+(($C187)-$A$177:$A$222)*'Cálculos'!$F$98)+1400)+'Cálculos'!$F$123)*'Cálculos'!$F$281)+('Cálculos'!$F$204*(1+'Cálculos'!$F$205+$A$177:$A$222*('Cálculos'!$F$290=3)*'Cálculos'!$F$103)+'Cálculos'!$F$206)*('Cálculos'!$F$272+'Cálculos'!$F$124*(1+2.78*('Cálculos'!$F$200+(($C187)-$A$177:$A$222)*'Cálculos'!$F$98)/(('Cálculos'!$F$200+(($C187)-$A$177:$A$222)*'Cálculos'!$F$98)+1400)+'Cálculos'!$F$122)*'Cálculos'!$F$277+'Cálculos'!$F$125*(1+2.78*('Cálculos'!$F$200+(($C187)-$A$177:$A$222)*'Cálculos'!$F$98)/(('Cálculos'!$F$200+(($C187)-$A$177:$A$222)*'Cálculos'!$F$98)+1400)+'Cálculos'!$F$123)*'Cálculos'!$F$282)+('Cálculos'!$F$273+'Cálculos'!$F$124*(1+2.78*('Cálculos'!$F$200+(($C187)-$A$177:$A$222)*'Cálculos'!$F$98)/(('Cálculos'!$F$200+(($C187)-$A$177:$A$222)*'Cálculos'!$F$98)+1400)+'Cálculos'!$F$122)*'Cálculos'!$F$278+'Cálculos'!$F$125*(1+2.78*('Cálculos'!$F$200+(($C187)-$A$177:$A$222)*'Cálculos'!$F$98)/(('Cálculos'!$F$200+(($C187)-$A$177:$A$222)*'Cálculos'!$F$98)+1400)+'Cálculos'!$F$123)*'Cálculos'!$F$283)))))</f>
        <v>21136.35487</v>
      </c>
      <c r="E187" s="32">
        <f>IF(OR($C187&lt;0,'Cálculos'!$F$6=""),0,$B187*$D187)</f>
        <v>41656.69068</v>
      </c>
      <c r="F187" s="2"/>
      <c r="G187" s="30">
        <f>($A187&lt;=$B$224)*($A187&lt;='Cálculos'!$F$294)*(($B$224)-$A187&lt;='Cálculos'!$F$295)*(1+MIN(('Cálculos'!$F$207+$A187*'Cálculos'!$F$95),1)*('Cálculos'!$F$208+(($B$224)-$A187)*'Cálculos'!$F$96))</f>
        <v>2.363357</v>
      </c>
      <c r="H187" s="31">
        <f>IF($B$225&lt;0,0,($A187&lt;=$B$225)*($A187&lt;='Cálculos'!$F$301)*(($B$225)-$A187&lt;='Cálculos'!$F$297)*(('Cálculos'!$F$185*(1+'Cálculos'!$F$186+$A187*('Cálculos'!$F$290=1)*'Cálculos'!$F$97+'Cálculos'!$F$305)+'Cálculos'!$F$191)*('Cálculos'!$F$209+'Cálculos'!$F$124*(1+2.78*('Cálculos'!$F$196+(($B$225)-$A187)*'Cálculos'!$F$98)/(('Cálculos'!$F$196+(($B$225)-$A187)*'Cálculos'!$F$98)+1400)+'Cálculos'!$F$122)*'Cálculos'!$F$214+'Cálculos'!$F$125*(1+2.78*('Cálculos'!$F$196+(($B$225)-$A187)*'Cálculos'!$F$98)/(('Cálculos'!$F$196+(($B$225)-$A187)*'Cálculos'!$F$98)+1400)+'Cálculos'!$F$123)*'Cálculos'!$F$219)+('Cálculos'!$F$196+(($B$225)-$A187)*'Cálculos'!$F$98)*('Cálculos'!$F$210+'Cálculos'!$F$124*(1+2.78*('Cálculos'!$F$196+(($B$225)-$A187)*'Cálculos'!$F$98)/(('Cálculos'!$F$196+(($B$225)-$A187)*'Cálculos'!$F$98)+1400)+'Cálculos'!$F$122)*'Cálculos'!$F$215+'Cálculos'!$F$125*(1+2.78*('Cálculos'!$F$196+(($B$225)-$A187)*'Cálculos'!$F$98)/(('Cálculos'!$F$196+(($B$225)-$A187)*'Cálculos'!$F$98)+1400)+'Cálculos'!$F$123)*'Cálculos'!$F$220)+('Cálculos'!$F$201*(1+'Cálculos'!$F$202+$A187*('Cálculos'!$F$290=2)*'Cálculos'!$F$101)+'Cálculos'!$F$203)*('Cálculos'!$F$211+'Cálculos'!$F$124*(1+2.78*('Cálculos'!$F$196+(($B$225)-$A187)*'Cálculos'!$F$98)/(('Cálculos'!$F$196+(($B$225)-$A187)*'Cálculos'!$F$98)+1400)+'Cálculos'!$F$122)*'Cálculos'!$F$216+'Cálculos'!$F$125*(1+2.78*('Cálculos'!$F$196+(($B$225)-$A187)*'Cálculos'!$F$98)/(('Cálculos'!$F$196+(($B$225)-$A187)*'Cálculos'!$F$98)+1400)+'Cálculos'!$F$123)*'Cálculos'!$F$221)+('Cálculos'!$F$204*(1+'Cálculos'!$F$205+$A187*('Cálculos'!$F$290=3)*'Cálculos'!$F$103)+'Cálculos'!$F$206)*('Cálculos'!$F$212+'Cálculos'!$F$124*(1+2.78*('Cálculos'!$F$196+(($B$225)-$A187)*'Cálculos'!$F$98)/(('Cálculos'!$F$196+(($B$225)-$A187)*'Cálculos'!$F$98)+1400)+'Cálculos'!$F$122)*'Cálculos'!$F$217+'Cálculos'!$F$125*(1+2.78*('Cálculos'!$F$196+(($B$225)-$A187)*'Cálculos'!$F$98)/(('Cálculos'!$F$196+(($B$225)-$A187)*'Cálculos'!$F$98)+1400)+'Cálculos'!$F$123)*'Cálculos'!$F$222)+('Cálculos'!$F$213+'Cálculos'!$F$124*(1+2.78*('Cálculos'!$F$196+(($B$225)-$A187)*'Cálculos'!$F$98)/(('Cálculos'!$F$196+(($B$225)-$A187)*'Cálculos'!$F$98)+1400)+'Cálculos'!$F$122)*'Cálculos'!$F$218+'Cálculos'!$F$125*(1+2.78*('Cálculos'!$F$196+(($B$225)-$A187)*'Cálculos'!$F$98)/(('Cálculos'!$F$196+(($B$225)-$A187)*'Cálculos'!$F$98)+1400)+'Cálculos'!$F$123)*'Cálculos'!$F$223)+('Cálculos'!$F$185*(1+'Cálculos'!$F$187+$A187*('Cálculos'!$F$290=1)*'Cálculos'!$F$97+'Cálculos'!$F$305)+'Cálculos'!$F$192)*('Cálculos'!$F$224+'Cálculos'!$F$124*(1+2.78*('Cálculos'!$F$197+(($B$225)-$A187)*'Cálculos'!$F$98)/(('Cálculos'!$F$197+(($B$225)-$A187)*'Cálculos'!$F$98)+1400)+'Cálculos'!$F$122)*'Cálculos'!$F$229+'Cálculos'!$F$125*(1+2.78*('Cálculos'!$F$197+(($B$225)-$A187)*'Cálculos'!$F$98)/(('Cálculos'!$F$197+(($B$225)-$A187)*'Cálculos'!$F$98)+1400)+'Cálculos'!$F$123)*'Cálculos'!$F$234)+('Cálculos'!$F$197+(($B$225)-$A187)*'Cálculos'!$F$98)*('Cálculos'!$F$225+'Cálculos'!$F$124*(1+2.78*('Cálculos'!$F$197+(($B$225)-$A187)*'Cálculos'!$F$98)/(('Cálculos'!$F$197+(($B$225)-$A187)*'Cálculos'!$F$98)+1400)+'Cálculos'!$F$122)*'Cálculos'!$F$230+'Cálculos'!$F$125*(1+2.78*('Cálculos'!$F$197+(($B$225)-$A187)*'Cálculos'!$F$98)/(('Cálculos'!$F$197+(($B$225)-$A187)*'Cálculos'!$F$98)+1400)+'Cálculos'!$F$123)*'Cálculos'!$F$235)+('Cálculos'!$F$201*(1+'Cálculos'!$F$202+$A187*('Cálculos'!$F$290=2)*'Cálculos'!$F$101)+'Cálculos'!$F$203)*('Cálculos'!$F$226+'Cálculos'!$F$124*(1+2.78*('Cálculos'!$F$197+(($B$225)-$A187)*'Cálculos'!$F$98)/(('Cálculos'!$F$197+(($B$225)-$A187)*'Cálculos'!$F$98)+1400)+'Cálculos'!$F$122)*'Cálculos'!$F$231+'Cálculos'!$F$125*(1+2.78*('Cálculos'!$F$197+(($B$225)-$A187)*'Cálculos'!$F$98)/(('Cálculos'!$F$197+(($B$225)-$A187)*'Cálculos'!$F$98)+1400)+'Cálculos'!$F$123)*'Cálculos'!$F$236)+('Cálculos'!$F$204*(1+'Cálculos'!$F$205+$A187*('Cálculos'!$F$290=3)*'Cálculos'!$F$103)+'Cálculos'!$F$206)*('Cálculos'!$F$227+'Cálculos'!$F$124*(1+2.78*('Cálculos'!$F$197+(($B$225)-$A187)*'Cálculos'!$F$98)/(('Cálculos'!$F$197+(($B$225)-$A187)*'Cálculos'!$F$98)+1400)+'Cálculos'!$F$122)*'Cálculos'!$F$232+'Cálculos'!$F$125*(1+2.78*('Cálculos'!$F$197+(($B$225)-$A187)*'Cálculos'!$F$98)/(('Cálculos'!$F$197+(($B$225)-$A187)*'Cálculos'!$F$98)+1400)+'Cálculos'!$F$123)*'Cálculos'!$F$237)+('Cálculos'!$F$228+'Cálculos'!$F$124*(1+2.78*('Cálculos'!$F$197+(($B$225)-$A187)*'Cálculos'!$F$98)/(('Cálculos'!$F$197+(($B$225)-$A187)*'Cálculos'!$F$98)+1400)+'Cálculos'!$F$122)*'Cálculos'!$F$233+'Cálculos'!$F$125*(1+2.78*('Cálculos'!$F$197+(($B$225)-$A187)*'Cálculos'!$F$98)/(('Cálculos'!$F$197+(($B$225)-$A187)*'Cálculos'!$F$98)+1400)+'Cálculos'!$F$123)*'Cálculos'!$F$238)+('Cálculos'!$F$185*(1+'Cálculos'!$F$188+$A187*('Cálculos'!$F$290=1)*'Cálculos'!$F$97+'Cálculos'!$F$305)+'Cálculos'!$F$193)*('Cálculos'!$F$239+'Cálculos'!$F$124*(1+2.78*('Cálculos'!$F$198+(($B$225)-$A187)*'Cálculos'!$F$98)/(('Cálculos'!$F$198+(($B$225)-$A187)*'Cálculos'!$F$98)+1400)+'Cálculos'!$F$122)*'Cálculos'!$F$244+'Cálculos'!$F$125*(1+2.78*('Cálculos'!$F$198+(($B$225)-$A187)*'Cálculos'!$F$98)/(('Cálculos'!$F$198+(($B$225)-$A187)*'Cálculos'!$F$98)+1400)+'Cálculos'!$F$123)*'Cálculos'!$F$249)+('Cálculos'!$F$198+(($B$225)-$A187)*'Cálculos'!$F$98)*('Cálculos'!$F$240+'Cálculos'!$F$124*(1+2.78*('Cálculos'!$F$198+(($B$225)-$A187)*'Cálculos'!$F$98)/(('Cálculos'!$F$198+(($B$225)-$A187)*'Cálculos'!$F$98)+1400)+'Cálculos'!$F$122)*'Cálculos'!$F$245+'Cálculos'!$F$125*(1+2.78*('Cálculos'!$F$198+(($B$225)-$A187)*'Cálculos'!$F$98)/(('Cálculos'!$F$198+(($B$225)-$A187)*'Cálculos'!$F$98)+1400)+'Cálculos'!$F$123)*'Cálculos'!$F$250)+('Cálculos'!$F$201*(1+'Cálculos'!$F$202+$A187*('Cálculos'!$F$290=2)*'Cálculos'!$F$101)+'Cálculos'!$F$203)*('Cálculos'!$F$241+'Cálculos'!$F$124*(1+2.78*('Cálculos'!$F$198+(($B$225)-$A187)*'Cálculos'!$F$98)/(('Cálculos'!$F$198+(($B$225)-$A187)*'Cálculos'!$F$98)+1400)+'Cálculos'!$F$122)*'Cálculos'!$F$246+'Cálculos'!$F$125*(1+2.78*('Cálculos'!$F$198+(($B$225)-$A187)*'Cálculos'!$F$98)/(('Cálculos'!$F$198+(($B$225)-$A187)*'Cálculos'!$F$98)+1400)+'Cálculos'!$F$123)*'Cálculos'!$F$251)+('Cálculos'!$F$204*(1+'Cálculos'!$F$205+$A187*('Cálculos'!$F$290=3)*'Cálculos'!$F$103)+'Cálculos'!$F$206)*('Cálculos'!$F$242+'Cálculos'!$F$124*(1+2.78*('Cálculos'!$F$198+(($B$225)-$A187)*'Cálculos'!$F$98)/(('Cálculos'!$F$198+(($B$225)-$A187)*'Cálculos'!$F$98)+1400)+'Cálculos'!$F$122)*'Cálculos'!$F$247+'Cálculos'!$F$125*(1+2.78*('Cálculos'!$F$198+(($B$225)-$A187)*'Cálculos'!$F$98)/(('Cálculos'!$F$198+(($B$225)-$A187)*'Cálculos'!$F$98)+1400)+'Cálculos'!$F$123)*'Cálculos'!$F$252)+('Cálculos'!$F$243+'Cálculos'!$F$124*(1+2.78*('Cálculos'!$F$198+(($B$225)-$A187)*'Cálculos'!$F$98)/(('Cálculos'!$F$198+(($B$225)-$A187)*'Cálculos'!$F$98)+1400)+'Cálculos'!$F$122)*'Cálculos'!$F$248+'Cálculos'!$F$125*(1+2.78*('Cálculos'!$F$198+(($B$225)-$A187)*'Cálculos'!$F$98)/(('Cálculos'!$F$198+(($B$225)-$A187)*'Cálculos'!$F$98)+1400)+'Cálculos'!$F$123)*'Cálculos'!$F$253)+('Cálculos'!$F$185*(1+'Cálculos'!$F$189+$A187*('Cálculos'!$F$290=1)*'Cálculos'!$F$97+'Cálculos'!$F$305)+'Cálculos'!$F$194)*('Cálculos'!$F$254+'Cálculos'!$F$124*(1+2.78*('Cálculos'!$F$199+(($B$225)-$A187)*'Cálculos'!$F$98)/(('Cálculos'!$F$199+(($B$225)-$A187)*'Cálculos'!$F$98)+1400)+'Cálculos'!$F$122)*'Cálculos'!$F$259+'Cálculos'!$F$125*(1+2.78*('Cálculos'!$F$199+(($B$225)-$A187)*'Cálculos'!$F$98)/(('Cálculos'!$F$199+(($B$225)-$A187)*'Cálculos'!$F$98)+1400)+'Cálculos'!$F$123)*'Cálculos'!$F$264)+('Cálculos'!$F$199+(($B$225)-$A187)*'Cálculos'!$F$98)*('Cálculos'!$F$255+'Cálculos'!$F$124*(1+2.78*('Cálculos'!$F$199+(($B$225)-$A187)*'Cálculos'!$F$98)/(('Cálculos'!$F$199+(($B$225)-$A187)*'Cálculos'!$F$98)+1400)+'Cálculos'!$F$122)*'Cálculos'!$F$260+'Cálculos'!$F$125*(1+2.78*('Cálculos'!$F$199+(($B$225)-$A187)*'Cálculos'!$F$98)/(('Cálculos'!$F$199+(($B$225)-$A187)*'Cálculos'!$F$98)+1400)+'Cálculos'!$F$123)*'Cálculos'!$F$265)+('Cálculos'!$F$201*(1+'Cálculos'!$F$202+$A187*('Cálculos'!$F$290=2)*'Cálculos'!$F$101)+'Cálculos'!$F$203)*('Cálculos'!$F$256+'Cálculos'!$F$124*(1+2.78*('Cálculos'!$F$199+(($B$225)-$A187)*'Cálculos'!$F$98)/(('Cálculos'!$F$199+(($B$225)-$A187)*'Cálculos'!$F$98)+1400)+'Cálculos'!$F$122)*'Cálculos'!$F$261+'Cálculos'!$F$125*(1+2.78*('Cálculos'!$F$199+(($B$225)-$A187)*'Cálculos'!$F$98)/(('Cálculos'!$F$199+(($B$225)-$A187)*'Cálculos'!$F$98)+1400)+'Cálculos'!$F$123)*'Cálculos'!$F$266)+('Cálculos'!$F$204*(1+'Cálculos'!$F$205+$A187*('Cálculos'!$F$290=3)*'Cálculos'!$F$103)+'Cálculos'!$F$206)*('Cálculos'!$F$257+'Cálculos'!$F$124*(1+2.78*('Cálculos'!$F$199+(($B$225)-$A187)*'Cálculos'!$F$98)/(('Cálculos'!$F$199+(($B$225)-$A187)*'Cálculos'!$F$98)+1400)+'Cálculos'!$F$122)*'Cálculos'!$F$262+'Cálculos'!$F$125*(1+2.78*('Cálculos'!$F$199+(($B$225)-$A187)*'Cálculos'!$F$98)/(('Cálculos'!$F$199+(($B$225)-$A187)*'Cálculos'!$F$98)+1400)+'Cálculos'!$F$123)*'Cálculos'!$F$267)+('Cálculos'!$F$258+'Cálculos'!$F$124*(1+2.78*('Cálculos'!$F$199+(($B$225)-$A187)*'Cálculos'!$F$98)/(('Cálculos'!$F$199+(($B$225)-$A187)*'Cálculos'!$F$98)+1400)+'Cálculos'!$F$122)*'Cálculos'!$F$263+'Cálculos'!$F$125*(1+2.78*('Cálculos'!$F$199+(($B$225)-$A187)*'Cálculos'!$F$98)/(('Cálculos'!$F$199+(($B$225)-$A187)*'Cálculos'!$F$98)+1400)+'Cálculos'!$F$123)*'Cálculos'!$F$268)+('Cálculos'!$F$185*(1+'Cálculos'!$F$190+$A187*('Cálculos'!$F$290=1)*'Cálculos'!$F$97+'Cálculos'!$F$305)+'Cálculos'!$F$195)*('Cálculos'!$F$269+'Cálculos'!$F$124*(1+2.78*('Cálculos'!$F$200+(($B$225)-$A187)*'Cálculos'!$F$98)/(('Cálculos'!$F$200+(($B$225)-$A187)*'Cálculos'!$F$98)+1400)+'Cálculos'!$F$122)*'Cálculos'!$F$274+'Cálculos'!$F$125*(1+2.78*('Cálculos'!$F$200+(($B$225)-$A187)*'Cálculos'!$F$98)/(('Cálculos'!$F$200+(($B$225)-$A187)*'Cálculos'!$F$98)+1400)+'Cálculos'!$F$123)*'Cálculos'!$F$279)+('Cálculos'!$F$200+(($B$225)-$A187)*'Cálculos'!$F$98)*('Cálculos'!$F$270+'Cálculos'!$F$124*(1+2.78*('Cálculos'!$F$200+(($B$225)-$A187)*'Cálculos'!$F$98)/(('Cálculos'!$F$200+(($B$225)-$A187)*'Cálculos'!$F$98)+1400)+'Cálculos'!$F$122)*'Cálculos'!$F$275+'Cálculos'!$F$125*(1+2.78*('Cálculos'!$F$200+(($B$225)-$A187)*'Cálculos'!$F$98)/(('Cálculos'!$F$200+(($B$225)-$A187)*'Cálculos'!$F$98)+1400)+'Cálculos'!$F$123)*'Cálculos'!$F$280)+('Cálculos'!$F$201*(1+'Cálculos'!$F$202+$A187*('Cálculos'!$F$290=2)*'Cálculos'!$F$101)+'Cálculos'!$F$203)*('Cálculos'!$F$271+'Cálculos'!$F$124*(1+2.78*('Cálculos'!$F$200+(($B$225)-$A187)*'Cálculos'!$F$98)/(('Cálculos'!$F$200+(($B$225)-$A187)*'Cálculos'!$F$98)+1400)+'Cálculos'!$F$122)*'Cálculos'!$F$276+'Cálculos'!$F$125*(1+2.78*('Cálculos'!$F$200+(($B$225)-$A187)*'Cálculos'!$F$98)/(('Cálculos'!$F$200+(($B$225)-$A187)*'Cálculos'!$F$98)+1400)+'Cálculos'!$F$123)*'Cálculos'!$F$281)+('Cálculos'!$F$204*(1+'Cálculos'!$F$205+$A187*('Cálculos'!$F$290=3)*'Cálculos'!$F$103)+'Cálculos'!$F$206)*('Cálculos'!$F$272+'Cálculos'!$F$124*(1+2.78*('Cálculos'!$F$200+(($B$225)-$A187)*'Cálculos'!$F$98)/(('Cálculos'!$F$200+(($B$225)-$A187)*'Cálculos'!$F$98)+1400)+'Cálculos'!$F$122)*'Cálculos'!$F$277+'Cálculos'!$F$125*(1+2.78*('Cálculos'!$F$200+(($B$225)-$A187)*'Cálculos'!$F$98)/(('Cálculos'!$F$200+(($B$225)-$A187)*'Cálculos'!$F$98)+1400)+'Cálculos'!$F$123)*'Cálculos'!$F$282)+('Cálculos'!$F$273+'Cálculos'!$F$124*(1+2.78*('Cálculos'!$F$200+(($B$225)-$A187)*'Cálculos'!$F$98)/(('Cálculos'!$F$200+(($B$225)-$A187)*'Cálculos'!$F$98)+1400)+'Cálculos'!$F$122)*'Cálculos'!$F$278+'Cálculos'!$F$125*(1+2.78*('Cálculos'!$F$200+(($B$225)-$A187)*'Cálculos'!$F$98)/(('Cálculos'!$F$200+(($B$225)-$A187)*'Cálculos'!$F$98)+1400)+'Cálculos'!$F$123)*'Cálculos'!$F$283)))</f>
        <v>0</v>
      </c>
    </row>
    <row r="188" ht="15.75" customHeight="1">
      <c r="A188" s="2">
        <v>11.0</v>
      </c>
      <c r="B188" s="30">
        <f>SUMPRODUCT(MAX(($A$177:$A$222&lt;=$A188)*($A$177:$A$222&lt;='Cálculos'!$F$294)*(($A188)-$A$177:$A$222&lt;='Cálculos'!$F$295)*(1+(('Cálculos'!$F$207+$A$177:$A$222*'Cálculos'!$F$95)-(('Cálculos'!$F$207+$A$177:$A$222*'Cálculos'!$F$95)&gt;1)*(('Cálculos'!$F$207+$A$177:$A$222*'Cálculos'!$F$95)-1))*('Cálculos'!$F$208+(($A188)-$A$177:$A$222)*'Cálculos'!$F$96))))</f>
        <v>2.01722</v>
      </c>
      <c r="C188" s="2">
        <f>'Cálculos'!$F$303-$A188</f>
        <v>7</v>
      </c>
      <c r="D188" s="31">
        <f>IF($C188&lt;0,0,SUMPRODUCT(MAX(($A$177:$A$222&lt;=$C188)*($A$177:$A$222&lt;='Cálculos'!$F$301)*(($C188)-$A$177:$A$222&lt;='Cálculos'!$F$297)*(('Cálculos'!$F$185*(1+'Cálculos'!$F$186+$A$177:$A$222*('Cálculos'!$F$290=1)*'Cálculos'!$F$97+'Cálculos'!$F$305)+'Cálculos'!$F$191)*('Cálculos'!$F$209+'Cálculos'!$F$124*(1+2.78*('Cálculos'!$F$196+(($C188)-$A$177:$A$222)*'Cálculos'!$F$98)/(('Cálculos'!$F$196+(($C188)-$A$177:$A$222)*'Cálculos'!$F$98)+1400)+'Cálculos'!$F$122)*'Cálculos'!$F$214+'Cálculos'!$F$125*(1+2.78*('Cálculos'!$F$196+(($C188)-$A$177:$A$222)*'Cálculos'!$F$98)/(('Cálculos'!$F$196+(($C188)-$A$177:$A$222)*'Cálculos'!$F$98)+1400)+'Cálculos'!$F$123)*'Cálculos'!$F$219)+('Cálculos'!$F$196+(($C188)-$A$177:$A$222)*'Cálculos'!$F$98)*('Cálculos'!$F$210+'Cálculos'!$F$124*(1+2.78*('Cálculos'!$F$196+(($C188)-$A$177:$A$222)*'Cálculos'!$F$98)/(('Cálculos'!$F$196+(($C188)-$A$177:$A$222)*'Cálculos'!$F$98)+1400)+'Cálculos'!$F$122)*'Cálculos'!$F$215+'Cálculos'!$F$125*(1+2.78*('Cálculos'!$F$196+(($C188)-$A$177:$A$222)*'Cálculos'!$F$98)/(('Cálculos'!$F$196+(($C188)-$A$177:$A$222)*'Cálculos'!$F$98)+1400)+'Cálculos'!$F$123)*'Cálculos'!$F$220)+('Cálculos'!$F$201*(1+'Cálculos'!$F$202+$A$177:$A$222*('Cálculos'!$F$290=2)*'Cálculos'!$F$101)+'Cálculos'!$F$203)*('Cálculos'!$F$211+'Cálculos'!$F$124*(1+2.78*('Cálculos'!$F$196+(($C188)-$A$177:$A$222)*'Cálculos'!$F$98)/(('Cálculos'!$F$196+(($C188)-$A$177:$A$222)*'Cálculos'!$F$98)+1400)+'Cálculos'!$F$122)*'Cálculos'!$F$216+'Cálculos'!$F$125*(1+2.78*('Cálculos'!$F$196+(($C188)-$A$177:$A$222)*'Cálculos'!$F$98)/(('Cálculos'!$F$196+(($C188)-$A$177:$A$222)*'Cálculos'!$F$98)+1400)+'Cálculos'!$F$123)*'Cálculos'!$F$221)+('Cálculos'!$F$204*(1+'Cálculos'!$F$205+$A$177:$A$222*('Cálculos'!$F$290=3)*'Cálculos'!$F$103)+'Cálculos'!$F$206)*('Cálculos'!$F$212+'Cálculos'!$F$124*(1+2.78*('Cálculos'!$F$196+(($C188)-$A$177:$A$222)*'Cálculos'!$F$98)/(('Cálculos'!$F$196+(($C188)-$A$177:$A$222)*'Cálculos'!$F$98)+1400)+'Cálculos'!$F$122)*'Cálculos'!$F$217+'Cálculos'!$F$125*(1+2.78*('Cálculos'!$F$196+(($C188)-$A$177:$A$222)*'Cálculos'!$F$98)/(('Cálculos'!$F$196+(($C188)-$A$177:$A$222)*'Cálculos'!$F$98)+1400)+'Cálculos'!$F$123)*'Cálculos'!$F$222)+('Cálculos'!$F$213+'Cálculos'!$F$124*(1+2.78*('Cálculos'!$F$196+(($C188)-$A$177:$A$222)*'Cálculos'!$F$98)/(('Cálculos'!$F$196+(($C188)-$A$177:$A$222)*'Cálculos'!$F$98)+1400)+'Cálculos'!$F$122)*'Cálculos'!$F$218+'Cálculos'!$F$125*(1+2.78*('Cálculos'!$F$196+(($C188)-$A$177:$A$222)*'Cálculos'!$F$98)/(('Cálculos'!$F$196+(($C188)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188)-$A$177:$A$222)*'Cálculos'!$F$98)/(('Cálculos'!$F$197+(($C188)-$A$177:$A$222)*'Cálculos'!$F$98)+1400)+'Cálculos'!$F$122)*'Cálculos'!$F$229+'Cálculos'!$F$125*(1+2.78*('Cálculos'!$F$197+(($C188)-$A$177:$A$222)*'Cálculos'!$F$98)/(('Cálculos'!$F$197+(($C188)-$A$177:$A$222)*'Cálculos'!$F$98)+1400)+'Cálculos'!$F$123)*'Cálculos'!$F$234)+('Cálculos'!$F$197+(($C188)-$A$177:$A$222)*'Cálculos'!$F$98)*('Cálculos'!$F$225+'Cálculos'!$F$124*(1+2.78*('Cálculos'!$F$197+(($C188)-$A$177:$A$222)*'Cálculos'!$F$98)/(('Cálculos'!$F$197+(($C188)-$A$177:$A$222)*'Cálculos'!$F$98)+1400)+'Cálculos'!$F$122)*'Cálculos'!$F$230+'Cálculos'!$F$125*(1+2.78*('Cálculos'!$F$197+(($C188)-$A$177:$A$222)*'Cálculos'!$F$98)/(('Cálculos'!$F$197+(($C188)-$A$177:$A$222)*'Cálculos'!$F$98)+1400)+'Cálculos'!$F$123)*'Cálculos'!$F$235)+('Cálculos'!$F$201*(1+'Cálculos'!$F$202+$A$177:$A$222*('Cálculos'!$F$290=2)*'Cálculos'!$F$101)+'Cálculos'!$F$203)*('Cálculos'!$F$226+'Cálculos'!$F$124*(1+2.78*('Cálculos'!$F$197+(($C188)-$A$177:$A$222)*'Cálculos'!$F$98)/(('Cálculos'!$F$197+(($C188)-$A$177:$A$222)*'Cálculos'!$F$98)+1400)+'Cálculos'!$F$122)*'Cálculos'!$F$231+'Cálculos'!$F$125*(1+2.78*('Cálculos'!$F$197+(($C188)-$A$177:$A$222)*'Cálculos'!$F$98)/(('Cálculos'!$F$197+(($C188)-$A$177:$A$222)*'Cálculos'!$F$98)+1400)+'Cálculos'!$F$123)*'Cálculos'!$F$236)+('Cálculos'!$F$204*(1+'Cálculos'!$F$205+$A$177:$A$222*('Cálculos'!$F$290=3)*'Cálculos'!$F$103)+'Cálculos'!$F$206)*('Cálculos'!$F$227+'Cálculos'!$F$124*(1+2.78*('Cálculos'!$F$197+(($C188)-$A$177:$A$222)*'Cálculos'!$F$98)/(('Cálculos'!$F$197+(($C188)-$A$177:$A$222)*'Cálculos'!$F$98)+1400)+'Cálculos'!$F$122)*'Cálculos'!$F$232+'Cálculos'!$F$125*(1+2.78*('Cálculos'!$F$197+(($C188)-$A$177:$A$222)*'Cálculos'!$F$98)/(('Cálculos'!$F$197+(($C188)-$A$177:$A$222)*'Cálculos'!$F$98)+1400)+'Cálculos'!$F$123)*'Cálculos'!$F$237)+('Cálculos'!$F$228+'Cálculos'!$F$124*(1+2.78*('Cálculos'!$F$197+(($C188)-$A$177:$A$222)*'Cálculos'!$F$98)/(('Cálculos'!$F$197+(($C188)-$A$177:$A$222)*'Cálculos'!$F$98)+1400)+'Cálculos'!$F$122)*'Cálculos'!$F$233+'Cálculos'!$F$125*(1+2.78*('Cálculos'!$F$197+(($C188)-$A$177:$A$222)*'Cálculos'!$F$98)/(('Cálculos'!$F$197+(($C188)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188)-$A$177:$A$222)*'Cálculos'!$F$98)/(('Cálculos'!$F$198+(($C188)-$A$177:$A$222)*'Cálculos'!$F$98)+1400)+'Cálculos'!$F$122)*'Cálculos'!$F$244+'Cálculos'!$F$125*(1+2.78*('Cálculos'!$F$198+(($C188)-$A$177:$A$222)*'Cálculos'!$F$98)/(('Cálculos'!$F$198+(($C188)-$A$177:$A$222)*'Cálculos'!$F$98)+1400)+'Cálculos'!$F$123)*'Cálculos'!$F$249)+('Cálculos'!$F$198+(($C188)-$A$177:$A$222)*'Cálculos'!$F$98)*('Cálculos'!$F$240+'Cálculos'!$F$124*(1+2.78*('Cálculos'!$F$198+(($C188)-$A$177:$A$222)*'Cálculos'!$F$98)/(('Cálculos'!$F$198+(($C188)-$A$177:$A$222)*'Cálculos'!$F$98)+1400)+'Cálculos'!$F$122)*'Cálculos'!$F$245+'Cálculos'!$F$125*(1+2.78*('Cálculos'!$F$198+(($C188)-$A$177:$A$222)*'Cálculos'!$F$98)/(('Cálculos'!$F$198+(($C188)-$A$177:$A$222)*'Cálculos'!$F$98)+1400)+'Cálculos'!$F$123)*'Cálculos'!$F$250)+('Cálculos'!$F$201*(1+'Cálculos'!$F$202+$A$177:$A$222*('Cálculos'!$F$290=2)*'Cálculos'!$F$101)+'Cálculos'!$F$203)*('Cálculos'!$F$241+'Cálculos'!$F$124*(1+2.78*('Cálculos'!$F$198+(($C188)-$A$177:$A$222)*'Cálculos'!$F$98)/(('Cálculos'!$F$198+(($C188)-$A$177:$A$222)*'Cálculos'!$F$98)+1400)+'Cálculos'!$F$122)*'Cálculos'!$F$246+'Cálculos'!$F$125*(1+2.78*('Cálculos'!$F$198+(($C188)-$A$177:$A$222)*'Cálculos'!$F$98)/(('Cálculos'!$F$198+(($C188)-$A$177:$A$222)*'Cálculos'!$F$98)+1400)+'Cálculos'!$F$123)*'Cálculos'!$F$251)+('Cálculos'!$F$204*(1+'Cálculos'!$F$205+$A$177:$A$222*('Cálculos'!$F$290=3)*'Cálculos'!$F$103)+'Cálculos'!$F$206)*('Cálculos'!$F$242+'Cálculos'!$F$124*(1+2.78*('Cálculos'!$F$198+(($C188)-$A$177:$A$222)*'Cálculos'!$F$98)/(('Cálculos'!$F$198+(($C188)-$A$177:$A$222)*'Cálculos'!$F$98)+1400)+'Cálculos'!$F$122)*'Cálculos'!$F$247+'Cálculos'!$F$125*(1+2.78*('Cálculos'!$F$198+(($C188)-$A$177:$A$222)*'Cálculos'!$F$98)/(('Cálculos'!$F$198+(($C188)-$A$177:$A$222)*'Cálculos'!$F$98)+1400)+'Cálculos'!$F$123)*'Cálculos'!$F$252)+('Cálculos'!$F$243+'Cálculos'!$F$124*(1+2.78*('Cálculos'!$F$198+(($C188)-$A$177:$A$222)*'Cálculos'!$F$98)/(('Cálculos'!$F$198+(($C188)-$A$177:$A$222)*'Cálculos'!$F$98)+1400)+'Cálculos'!$F$122)*'Cálculos'!$F$248+'Cálculos'!$F$125*(1+2.78*('Cálculos'!$F$198+(($C188)-$A$177:$A$222)*'Cálculos'!$F$98)/(('Cálculos'!$F$198+(($C188)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188)-$A$177:$A$222)*'Cálculos'!$F$98)/(('Cálculos'!$F$199+(($C188)-$A$177:$A$222)*'Cálculos'!$F$98)+1400)+'Cálculos'!$F$122)*'Cálculos'!$F$259+'Cálculos'!$F$125*(1+2.78*('Cálculos'!$F$199+(($C188)-$A$177:$A$222)*'Cálculos'!$F$98)/(('Cálculos'!$F$199+(($C188)-$A$177:$A$222)*'Cálculos'!$F$98)+1400)+'Cálculos'!$F$123)*'Cálculos'!$F$264)+('Cálculos'!$F$199+(($C188)-$A$177:$A$222)*'Cálculos'!$F$98)*('Cálculos'!$F$255+'Cálculos'!$F$124*(1+2.78*('Cálculos'!$F$199+(($C188)-$A$177:$A$222)*'Cálculos'!$F$98)/(('Cálculos'!$F$199+(($C188)-$A$177:$A$222)*'Cálculos'!$F$98)+1400)+'Cálculos'!$F$122)*'Cálculos'!$F$260+'Cálculos'!$F$125*(1+2.78*('Cálculos'!$F$199+(($C188)-$A$177:$A$222)*'Cálculos'!$F$98)/(('Cálculos'!$F$199+(($C188)-$A$177:$A$222)*'Cálculos'!$F$98)+1400)+'Cálculos'!$F$123)*'Cálculos'!$F$265)+('Cálculos'!$F$201*(1+'Cálculos'!$F$202+$A$177:$A$222*('Cálculos'!$F$290=2)*'Cálculos'!$F$101)+'Cálculos'!$F$203)*('Cálculos'!$F$256+'Cálculos'!$F$124*(1+2.78*('Cálculos'!$F$199+(($C188)-$A$177:$A$222)*'Cálculos'!$F$98)/(('Cálculos'!$F$199+(($C188)-$A$177:$A$222)*'Cálculos'!$F$98)+1400)+'Cálculos'!$F$122)*'Cálculos'!$F$261+'Cálculos'!$F$125*(1+2.78*('Cálculos'!$F$199+(($C188)-$A$177:$A$222)*'Cálculos'!$F$98)/(('Cálculos'!$F$199+(($C188)-$A$177:$A$222)*'Cálculos'!$F$98)+1400)+'Cálculos'!$F$123)*'Cálculos'!$F$266)+('Cálculos'!$F$204*(1+'Cálculos'!$F$205+$A$177:$A$222*('Cálculos'!$F$290=3)*'Cálculos'!$F$103)+'Cálculos'!$F$206)*('Cálculos'!$F$257+'Cálculos'!$F$124*(1+2.78*('Cálculos'!$F$199+(($C188)-$A$177:$A$222)*'Cálculos'!$F$98)/(('Cálculos'!$F$199+(($C188)-$A$177:$A$222)*'Cálculos'!$F$98)+1400)+'Cálculos'!$F$122)*'Cálculos'!$F$262+'Cálculos'!$F$125*(1+2.78*('Cálculos'!$F$199+(($C188)-$A$177:$A$222)*'Cálculos'!$F$98)/(('Cálculos'!$F$199+(($C188)-$A$177:$A$222)*'Cálculos'!$F$98)+1400)+'Cálculos'!$F$123)*'Cálculos'!$F$267)+('Cálculos'!$F$258+'Cálculos'!$F$124*(1+2.78*('Cálculos'!$F$199+(($C188)-$A$177:$A$222)*'Cálculos'!$F$98)/(('Cálculos'!$F$199+(($C188)-$A$177:$A$222)*'Cálculos'!$F$98)+1400)+'Cálculos'!$F$122)*'Cálculos'!$F$263+'Cálculos'!$F$125*(1+2.78*('Cálculos'!$F$199+(($C188)-$A$177:$A$222)*'Cálculos'!$F$98)/(('Cálculos'!$F$199+(($C188)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188)-$A$177:$A$222)*'Cálculos'!$F$98)/(('Cálculos'!$F$200+(($C188)-$A$177:$A$222)*'Cálculos'!$F$98)+1400)+'Cálculos'!$F$122)*'Cálculos'!$F$274+'Cálculos'!$F$125*(1+2.78*('Cálculos'!$F$200+(($C188)-$A$177:$A$222)*'Cálculos'!$F$98)/(('Cálculos'!$F$200+(($C188)-$A$177:$A$222)*'Cálculos'!$F$98)+1400)+'Cálculos'!$F$123)*'Cálculos'!$F$279)+('Cálculos'!$F$200+(($C188)-$A$177:$A$222)*'Cálculos'!$F$98)*('Cálculos'!$F$270+'Cálculos'!$F$124*(1+2.78*('Cálculos'!$F$200+(($C188)-$A$177:$A$222)*'Cálculos'!$F$98)/(('Cálculos'!$F$200+(($C188)-$A$177:$A$222)*'Cálculos'!$F$98)+1400)+'Cálculos'!$F$122)*'Cálculos'!$F$275+'Cálculos'!$F$125*(1+2.78*('Cálculos'!$F$200+(($C188)-$A$177:$A$222)*'Cálculos'!$F$98)/(('Cálculos'!$F$200+(($C188)-$A$177:$A$222)*'Cálculos'!$F$98)+1400)+'Cálculos'!$F$123)*'Cálculos'!$F$280)+('Cálculos'!$F$201*(1+'Cálculos'!$F$202+$A$177:$A$222*('Cálculos'!$F$290=2)*'Cálculos'!$F$101)+'Cálculos'!$F$203)*('Cálculos'!$F$271+'Cálculos'!$F$124*(1+2.78*('Cálculos'!$F$200+(($C188)-$A$177:$A$222)*'Cálculos'!$F$98)/(('Cálculos'!$F$200+(($C188)-$A$177:$A$222)*'Cálculos'!$F$98)+1400)+'Cálculos'!$F$122)*'Cálculos'!$F$276+'Cálculos'!$F$125*(1+2.78*('Cálculos'!$F$200+(($C188)-$A$177:$A$222)*'Cálculos'!$F$98)/(('Cálculos'!$F$200+(($C188)-$A$177:$A$222)*'Cálculos'!$F$98)+1400)+'Cálculos'!$F$123)*'Cálculos'!$F$281)+('Cálculos'!$F$204*(1+'Cálculos'!$F$205+$A$177:$A$222*('Cálculos'!$F$290=3)*'Cálculos'!$F$103)+'Cálculos'!$F$206)*('Cálculos'!$F$272+'Cálculos'!$F$124*(1+2.78*('Cálculos'!$F$200+(($C188)-$A$177:$A$222)*'Cálculos'!$F$98)/(('Cálculos'!$F$200+(($C188)-$A$177:$A$222)*'Cálculos'!$F$98)+1400)+'Cálculos'!$F$122)*'Cálculos'!$F$277+'Cálculos'!$F$125*(1+2.78*('Cálculos'!$F$200+(($C188)-$A$177:$A$222)*'Cálculos'!$F$98)/(('Cálculos'!$F$200+(($C188)-$A$177:$A$222)*'Cálculos'!$F$98)+1400)+'Cálculos'!$F$123)*'Cálculos'!$F$282)+('Cálculos'!$F$273+'Cálculos'!$F$124*(1+2.78*('Cálculos'!$F$200+(($C188)-$A$177:$A$222)*'Cálculos'!$F$98)/(('Cálculos'!$F$200+(($C188)-$A$177:$A$222)*'Cálculos'!$F$98)+1400)+'Cálculos'!$F$122)*'Cálculos'!$F$278+'Cálculos'!$F$125*(1+2.78*('Cálculos'!$F$200+(($C188)-$A$177:$A$222)*'Cálculos'!$F$98)/(('Cálculos'!$F$200+(($C188)-$A$177:$A$222)*'Cálculos'!$F$98)+1400)+'Cálculos'!$F$123)*'Cálculos'!$F$283)))))</f>
        <v>20912.49728</v>
      </c>
      <c r="E188" s="32">
        <f>IF(OR($C188&lt;0,'Cálculos'!$F$6=""),0,$B188*$D188)</f>
        <v>42185.10776</v>
      </c>
      <c r="F188" s="2"/>
      <c r="G188" s="30">
        <f>($A188&lt;=$B$224)*($A188&lt;='Cálculos'!$F$294)*(($B$224)-$A188&lt;='Cálculos'!$F$295)*(1+MIN(('Cálculos'!$F$207+$A188*'Cálculos'!$F$95),1)*('Cálculos'!$F$208+(($B$224)-$A188)*'Cálculos'!$F$96))</f>
        <v>2.37065</v>
      </c>
      <c r="H188" s="31">
        <f>IF($B$225&lt;0,0,($A188&lt;=$B$225)*($A188&lt;='Cálculos'!$F$301)*(($B$225)-$A188&lt;='Cálculos'!$F$297)*(('Cálculos'!$F$185*(1+'Cálculos'!$F$186+$A188*('Cálculos'!$F$290=1)*'Cálculos'!$F$97+'Cálculos'!$F$305)+'Cálculos'!$F$191)*('Cálculos'!$F$209+'Cálculos'!$F$124*(1+2.78*('Cálculos'!$F$196+(($B$225)-$A188)*'Cálculos'!$F$98)/(('Cálculos'!$F$196+(($B$225)-$A188)*'Cálculos'!$F$98)+1400)+'Cálculos'!$F$122)*'Cálculos'!$F$214+'Cálculos'!$F$125*(1+2.78*('Cálculos'!$F$196+(($B$225)-$A188)*'Cálculos'!$F$98)/(('Cálculos'!$F$196+(($B$225)-$A188)*'Cálculos'!$F$98)+1400)+'Cálculos'!$F$123)*'Cálculos'!$F$219)+('Cálculos'!$F$196+(($B$225)-$A188)*'Cálculos'!$F$98)*('Cálculos'!$F$210+'Cálculos'!$F$124*(1+2.78*('Cálculos'!$F$196+(($B$225)-$A188)*'Cálculos'!$F$98)/(('Cálculos'!$F$196+(($B$225)-$A188)*'Cálculos'!$F$98)+1400)+'Cálculos'!$F$122)*'Cálculos'!$F$215+'Cálculos'!$F$125*(1+2.78*('Cálculos'!$F$196+(($B$225)-$A188)*'Cálculos'!$F$98)/(('Cálculos'!$F$196+(($B$225)-$A188)*'Cálculos'!$F$98)+1400)+'Cálculos'!$F$123)*'Cálculos'!$F$220)+('Cálculos'!$F$201*(1+'Cálculos'!$F$202+$A188*('Cálculos'!$F$290=2)*'Cálculos'!$F$101)+'Cálculos'!$F$203)*('Cálculos'!$F$211+'Cálculos'!$F$124*(1+2.78*('Cálculos'!$F$196+(($B$225)-$A188)*'Cálculos'!$F$98)/(('Cálculos'!$F$196+(($B$225)-$A188)*'Cálculos'!$F$98)+1400)+'Cálculos'!$F$122)*'Cálculos'!$F$216+'Cálculos'!$F$125*(1+2.78*('Cálculos'!$F$196+(($B$225)-$A188)*'Cálculos'!$F$98)/(('Cálculos'!$F$196+(($B$225)-$A188)*'Cálculos'!$F$98)+1400)+'Cálculos'!$F$123)*'Cálculos'!$F$221)+('Cálculos'!$F$204*(1+'Cálculos'!$F$205+$A188*('Cálculos'!$F$290=3)*'Cálculos'!$F$103)+'Cálculos'!$F$206)*('Cálculos'!$F$212+'Cálculos'!$F$124*(1+2.78*('Cálculos'!$F$196+(($B$225)-$A188)*'Cálculos'!$F$98)/(('Cálculos'!$F$196+(($B$225)-$A188)*'Cálculos'!$F$98)+1400)+'Cálculos'!$F$122)*'Cálculos'!$F$217+'Cálculos'!$F$125*(1+2.78*('Cálculos'!$F$196+(($B$225)-$A188)*'Cálculos'!$F$98)/(('Cálculos'!$F$196+(($B$225)-$A188)*'Cálculos'!$F$98)+1400)+'Cálculos'!$F$123)*'Cálculos'!$F$222)+('Cálculos'!$F$213+'Cálculos'!$F$124*(1+2.78*('Cálculos'!$F$196+(($B$225)-$A188)*'Cálculos'!$F$98)/(('Cálculos'!$F$196+(($B$225)-$A188)*'Cálculos'!$F$98)+1400)+'Cálculos'!$F$122)*'Cálculos'!$F$218+'Cálculos'!$F$125*(1+2.78*('Cálculos'!$F$196+(($B$225)-$A188)*'Cálculos'!$F$98)/(('Cálculos'!$F$196+(($B$225)-$A188)*'Cálculos'!$F$98)+1400)+'Cálculos'!$F$123)*'Cálculos'!$F$223)+('Cálculos'!$F$185*(1+'Cálculos'!$F$187+$A188*('Cálculos'!$F$290=1)*'Cálculos'!$F$97+'Cálculos'!$F$305)+'Cálculos'!$F$192)*('Cálculos'!$F$224+'Cálculos'!$F$124*(1+2.78*('Cálculos'!$F$197+(($B$225)-$A188)*'Cálculos'!$F$98)/(('Cálculos'!$F$197+(($B$225)-$A188)*'Cálculos'!$F$98)+1400)+'Cálculos'!$F$122)*'Cálculos'!$F$229+'Cálculos'!$F$125*(1+2.78*('Cálculos'!$F$197+(($B$225)-$A188)*'Cálculos'!$F$98)/(('Cálculos'!$F$197+(($B$225)-$A188)*'Cálculos'!$F$98)+1400)+'Cálculos'!$F$123)*'Cálculos'!$F$234)+('Cálculos'!$F$197+(($B$225)-$A188)*'Cálculos'!$F$98)*('Cálculos'!$F$225+'Cálculos'!$F$124*(1+2.78*('Cálculos'!$F$197+(($B$225)-$A188)*'Cálculos'!$F$98)/(('Cálculos'!$F$197+(($B$225)-$A188)*'Cálculos'!$F$98)+1400)+'Cálculos'!$F$122)*'Cálculos'!$F$230+'Cálculos'!$F$125*(1+2.78*('Cálculos'!$F$197+(($B$225)-$A188)*'Cálculos'!$F$98)/(('Cálculos'!$F$197+(($B$225)-$A188)*'Cálculos'!$F$98)+1400)+'Cálculos'!$F$123)*'Cálculos'!$F$235)+('Cálculos'!$F$201*(1+'Cálculos'!$F$202+$A188*('Cálculos'!$F$290=2)*'Cálculos'!$F$101)+'Cálculos'!$F$203)*('Cálculos'!$F$226+'Cálculos'!$F$124*(1+2.78*('Cálculos'!$F$197+(($B$225)-$A188)*'Cálculos'!$F$98)/(('Cálculos'!$F$197+(($B$225)-$A188)*'Cálculos'!$F$98)+1400)+'Cálculos'!$F$122)*'Cálculos'!$F$231+'Cálculos'!$F$125*(1+2.78*('Cálculos'!$F$197+(($B$225)-$A188)*'Cálculos'!$F$98)/(('Cálculos'!$F$197+(($B$225)-$A188)*'Cálculos'!$F$98)+1400)+'Cálculos'!$F$123)*'Cálculos'!$F$236)+('Cálculos'!$F$204*(1+'Cálculos'!$F$205+$A188*('Cálculos'!$F$290=3)*'Cálculos'!$F$103)+'Cálculos'!$F$206)*('Cálculos'!$F$227+'Cálculos'!$F$124*(1+2.78*('Cálculos'!$F$197+(($B$225)-$A188)*'Cálculos'!$F$98)/(('Cálculos'!$F$197+(($B$225)-$A188)*'Cálculos'!$F$98)+1400)+'Cálculos'!$F$122)*'Cálculos'!$F$232+'Cálculos'!$F$125*(1+2.78*('Cálculos'!$F$197+(($B$225)-$A188)*'Cálculos'!$F$98)/(('Cálculos'!$F$197+(($B$225)-$A188)*'Cálculos'!$F$98)+1400)+'Cálculos'!$F$123)*'Cálculos'!$F$237)+('Cálculos'!$F$228+'Cálculos'!$F$124*(1+2.78*('Cálculos'!$F$197+(($B$225)-$A188)*'Cálculos'!$F$98)/(('Cálculos'!$F$197+(($B$225)-$A188)*'Cálculos'!$F$98)+1400)+'Cálculos'!$F$122)*'Cálculos'!$F$233+'Cálculos'!$F$125*(1+2.78*('Cálculos'!$F$197+(($B$225)-$A188)*'Cálculos'!$F$98)/(('Cálculos'!$F$197+(($B$225)-$A188)*'Cálculos'!$F$98)+1400)+'Cálculos'!$F$123)*'Cálculos'!$F$238)+('Cálculos'!$F$185*(1+'Cálculos'!$F$188+$A188*('Cálculos'!$F$290=1)*'Cálculos'!$F$97+'Cálculos'!$F$305)+'Cálculos'!$F$193)*('Cálculos'!$F$239+'Cálculos'!$F$124*(1+2.78*('Cálculos'!$F$198+(($B$225)-$A188)*'Cálculos'!$F$98)/(('Cálculos'!$F$198+(($B$225)-$A188)*'Cálculos'!$F$98)+1400)+'Cálculos'!$F$122)*'Cálculos'!$F$244+'Cálculos'!$F$125*(1+2.78*('Cálculos'!$F$198+(($B$225)-$A188)*'Cálculos'!$F$98)/(('Cálculos'!$F$198+(($B$225)-$A188)*'Cálculos'!$F$98)+1400)+'Cálculos'!$F$123)*'Cálculos'!$F$249)+('Cálculos'!$F$198+(($B$225)-$A188)*'Cálculos'!$F$98)*('Cálculos'!$F$240+'Cálculos'!$F$124*(1+2.78*('Cálculos'!$F$198+(($B$225)-$A188)*'Cálculos'!$F$98)/(('Cálculos'!$F$198+(($B$225)-$A188)*'Cálculos'!$F$98)+1400)+'Cálculos'!$F$122)*'Cálculos'!$F$245+'Cálculos'!$F$125*(1+2.78*('Cálculos'!$F$198+(($B$225)-$A188)*'Cálculos'!$F$98)/(('Cálculos'!$F$198+(($B$225)-$A188)*'Cálculos'!$F$98)+1400)+'Cálculos'!$F$123)*'Cálculos'!$F$250)+('Cálculos'!$F$201*(1+'Cálculos'!$F$202+$A188*('Cálculos'!$F$290=2)*'Cálculos'!$F$101)+'Cálculos'!$F$203)*('Cálculos'!$F$241+'Cálculos'!$F$124*(1+2.78*('Cálculos'!$F$198+(($B$225)-$A188)*'Cálculos'!$F$98)/(('Cálculos'!$F$198+(($B$225)-$A188)*'Cálculos'!$F$98)+1400)+'Cálculos'!$F$122)*'Cálculos'!$F$246+'Cálculos'!$F$125*(1+2.78*('Cálculos'!$F$198+(($B$225)-$A188)*'Cálculos'!$F$98)/(('Cálculos'!$F$198+(($B$225)-$A188)*'Cálculos'!$F$98)+1400)+'Cálculos'!$F$123)*'Cálculos'!$F$251)+('Cálculos'!$F$204*(1+'Cálculos'!$F$205+$A188*('Cálculos'!$F$290=3)*'Cálculos'!$F$103)+'Cálculos'!$F$206)*('Cálculos'!$F$242+'Cálculos'!$F$124*(1+2.78*('Cálculos'!$F$198+(($B$225)-$A188)*'Cálculos'!$F$98)/(('Cálculos'!$F$198+(($B$225)-$A188)*'Cálculos'!$F$98)+1400)+'Cálculos'!$F$122)*'Cálculos'!$F$247+'Cálculos'!$F$125*(1+2.78*('Cálculos'!$F$198+(($B$225)-$A188)*'Cálculos'!$F$98)/(('Cálculos'!$F$198+(($B$225)-$A188)*'Cálculos'!$F$98)+1400)+'Cálculos'!$F$123)*'Cálculos'!$F$252)+('Cálculos'!$F$243+'Cálculos'!$F$124*(1+2.78*('Cálculos'!$F$198+(($B$225)-$A188)*'Cálculos'!$F$98)/(('Cálculos'!$F$198+(($B$225)-$A188)*'Cálculos'!$F$98)+1400)+'Cálculos'!$F$122)*'Cálculos'!$F$248+'Cálculos'!$F$125*(1+2.78*('Cálculos'!$F$198+(($B$225)-$A188)*'Cálculos'!$F$98)/(('Cálculos'!$F$198+(($B$225)-$A188)*'Cálculos'!$F$98)+1400)+'Cálculos'!$F$123)*'Cálculos'!$F$253)+('Cálculos'!$F$185*(1+'Cálculos'!$F$189+$A188*('Cálculos'!$F$290=1)*'Cálculos'!$F$97+'Cálculos'!$F$305)+'Cálculos'!$F$194)*('Cálculos'!$F$254+'Cálculos'!$F$124*(1+2.78*('Cálculos'!$F$199+(($B$225)-$A188)*'Cálculos'!$F$98)/(('Cálculos'!$F$199+(($B$225)-$A188)*'Cálculos'!$F$98)+1400)+'Cálculos'!$F$122)*'Cálculos'!$F$259+'Cálculos'!$F$125*(1+2.78*('Cálculos'!$F$199+(($B$225)-$A188)*'Cálculos'!$F$98)/(('Cálculos'!$F$199+(($B$225)-$A188)*'Cálculos'!$F$98)+1400)+'Cálculos'!$F$123)*'Cálculos'!$F$264)+('Cálculos'!$F$199+(($B$225)-$A188)*'Cálculos'!$F$98)*('Cálculos'!$F$255+'Cálculos'!$F$124*(1+2.78*('Cálculos'!$F$199+(($B$225)-$A188)*'Cálculos'!$F$98)/(('Cálculos'!$F$199+(($B$225)-$A188)*'Cálculos'!$F$98)+1400)+'Cálculos'!$F$122)*'Cálculos'!$F$260+'Cálculos'!$F$125*(1+2.78*('Cálculos'!$F$199+(($B$225)-$A188)*'Cálculos'!$F$98)/(('Cálculos'!$F$199+(($B$225)-$A188)*'Cálculos'!$F$98)+1400)+'Cálculos'!$F$123)*'Cálculos'!$F$265)+('Cálculos'!$F$201*(1+'Cálculos'!$F$202+$A188*('Cálculos'!$F$290=2)*'Cálculos'!$F$101)+'Cálculos'!$F$203)*('Cálculos'!$F$256+'Cálculos'!$F$124*(1+2.78*('Cálculos'!$F$199+(($B$225)-$A188)*'Cálculos'!$F$98)/(('Cálculos'!$F$199+(($B$225)-$A188)*'Cálculos'!$F$98)+1400)+'Cálculos'!$F$122)*'Cálculos'!$F$261+'Cálculos'!$F$125*(1+2.78*('Cálculos'!$F$199+(($B$225)-$A188)*'Cálculos'!$F$98)/(('Cálculos'!$F$199+(($B$225)-$A188)*'Cálculos'!$F$98)+1400)+'Cálculos'!$F$123)*'Cálculos'!$F$266)+('Cálculos'!$F$204*(1+'Cálculos'!$F$205+$A188*('Cálculos'!$F$290=3)*'Cálculos'!$F$103)+'Cálculos'!$F$206)*('Cálculos'!$F$257+'Cálculos'!$F$124*(1+2.78*('Cálculos'!$F$199+(($B$225)-$A188)*'Cálculos'!$F$98)/(('Cálculos'!$F$199+(($B$225)-$A188)*'Cálculos'!$F$98)+1400)+'Cálculos'!$F$122)*'Cálculos'!$F$262+'Cálculos'!$F$125*(1+2.78*('Cálculos'!$F$199+(($B$225)-$A188)*'Cálculos'!$F$98)/(('Cálculos'!$F$199+(($B$225)-$A188)*'Cálculos'!$F$98)+1400)+'Cálculos'!$F$123)*'Cálculos'!$F$267)+('Cálculos'!$F$258+'Cálculos'!$F$124*(1+2.78*('Cálculos'!$F$199+(($B$225)-$A188)*'Cálculos'!$F$98)/(('Cálculos'!$F$199+(($B$225)-$A188)*'Cálculos'!$F$98)+1400)+'Cálculos'!$F$122)*'Cálculos'!$F$263+'Cálculos'!$F$125*(1+2.78*('Cálculos'!$F$199+(($B$225)-$A188)*'Cálculos'!$F$98)/(('Cálculos'!$F$199+(($B$225)-$A188)*'Cálculos'!$F$98)+1400)+'Cálculos'!$F$123)*'Cálculos'!$F$268)+('Cálculos'!$F$185*(1+'Cálculos'!$F$190+$A188*('Cálculos'!$F$290=1)*'Cálculos'!$F$97+'Cálculos'!$F$305)+'Cálculos'!$F$195)*('Cálculos'!$F$269+'Cálculos'!$F$124*(1+2.78*('Cálculos'!$F$200+(($B$225)-$A188)*'Cálculos'!$F$98)/(('Cálculos'!$F$200+(($B$225)-$A188)*'Cálculos'!$F$98)+1400)+'Cálculos'!$F$122)*'Cálculos'!$F$274+'Cálculos'!$F$125*(1+2.78*('Cálculos'!$F$200+(($B$225)-$A188)*'Cálculos'!$F$98)/(('Cálculos'!$F$200+(($B$225)-$A188)*'Cálculos'!$F$98)+1400)+'Cálculos'!$F$123)*'Cálculos'!$F$279)+('Cálculos'!$F$200+(($B$225)-$A188)*'Cálculos'!$F$98)*('Cálculos'!$F$270+'Cálculos'!$F$124*(1+2.78*('Cálculos'!$F$200+(($B$225)-$A188)*'Cálculos'!$F$98)/(('Cálculos'!$F$200+(($B$225)-$A188)*'Cálculos'!$F$98)+1400)+'Cálculos'!$F$122)*'Cálculos'!$F$275+'Cálculos'!$F$125*(1+2.78*('Cálculos'!$F$200+(($B$225)-$A188)*'Cálculos'!$F$98)/(('Cálculos'!$F$200+(($B$225)-$A188)*'Cálculos'!$F$98)+1400)+'Cálculos'!$F$123)*'Cálculos'!$F$280)+('Cálculos'!$F$201*(1+'Cálculos'!$F$202+$A188*('Cálculos'!$F$290=2)*'Cálculos'!$F$101)+'Cálculos'!$F$203)*('Cálculos'!$F$271+'Cálculos'!$F$124*(1+2.78*('Cálculos'!$F$200+(($B$225)-$A188)*'Cálculos'!$F$98)/(('Cálculos'!$F$200+(($B$225)-$A188)*'Cálculos'!$F$98)+1400)+'Cálculos'!$F$122)*'Cálculos'!$F$276+'Cálculos'!$F$125*(1+2.78*('Cálculos'!$F$200+(($B$225)-$A188)*'Cálculos'!$F$98)/(('Cálculos'!$F$200+(($B$225)-$A188)*'Cálculos'!$F$98)+1400)+'Cálculos'!$F$123)*'Cálculos'!$F$281)+('Cálculos'!$F$204*(1+'Cálculos'!$F$205+$A188*('Cálculos'!$F$290=3)*'Cálculos'!$F$103)+'Cálculos'!$F$206)*('Cálculos'!$F$272+'Cálculos'!$F$124*(1+2.78*('Cálculos'!$F$200+(($B$225)-$A188)*'Cálculos'!$F$98)/(('Cálculos'!$F$200+(($B$225)-$A188)*'Cálculos'!$F$98)+1400)+'Cálculos'!$F$122)*'Cálculos'!$F$277+'Cálculos'!$F$125*(1+2.78*('Cálculos'!$F$200+(($B$225)-$A188)*'Cálculos'!$F$98)/(('Cálculos'!$F$200+(($B$225)-$A188)*'Cálculos'!$F$98)+1400)+'Cálculos'!$F$123)*'Cálculos'!$F$282)+('Cálculos'!$F$273+'Cálculos'!$F$124*(1+2.78*('Cálculos'!$F$200+(($B$225)-$A188)*'Cálculos'!$F$98)/(('Cálculos'!$F$200+(($B$225)-$A188)*'Cálculos'!$F$98)+1400)+'Cálculos'!$F$122)*'Cálculos'!$F$278+'Cálculos'!$F$125*(1+2.78*('Cálculos'!$F$200+(($B$225)-$A188)*'Cálculos'!$F$98)/(('Cálculos'!$F$200+(($B$225)-$A188)*'Cálculos'!$F$98)+1400)+'Cálculos'!$F$123)*'Cálculos'!$F$283)))</f>
        <v>0</v>
      </c>
    </row>
    <row r="189" ht="15.75" customHeight="1">
      <c r="A189" s="2">
        <v>12.0</v>
      </c>
      <c r="B189" s="30">
        <f>SUMPRODUCT(MAX(($A$177:$A$222&lt;=$A189)*($A$177:$A$222&lt;='Cálculos'!$F$294)*(($A189)-$A$177:$A$222&lt;='Cálculos'!$F$295)*(1+(('Cálculos'!$F$207+$A$177:$A$222*'Cálculos'!$F$95)-(('Cálculos'!$F$207+$A$177:$A$222*'Cálculos'!$F$95)&gt;1)*(('Cálculos'!$F$207+$A$177:$A$222*'Cálculos'!$F$95)-1))*('Cálculos'!$F$208+(($A189)-$A$177:$A$222)*'Cálculos'!$F$96))))</f>
        <v>2.065004</v>
      </c>
      <c r="C189" s="2">
        <f>'Cálculos'!$F$303-$A189</f>
        <v>6</v>
      </c>
      <c r="D189" s="31">
        <f>IF($C189&lt;0,0,SUMPRODUCT(MAX(($A$177:$A$222&lt;=$C189)*($A$177:$A$222&lt;='Cálculos'!$F$301)*(($C189)-$A$177:$A$222&lt;='Cálculos'!$F$297)*(('Cálculos'!$F$185*(1+'Cálculos'!$F$186+$A$177:$A$222*('Cálculos'!$F$290=1)*'Cálculos'!$F$97+'Cálculos'!$F$305)+'Cálculos'!$F$191)*('Cálculos'!$F$209+'Cálculos'!$F$124*(1+2.78*('Cálculos'!$F$196+(($C189)-$A$177:$A$222)*'Cálculos'!$F$98)/(('Cálculos'!$F$196+(($C189)-$A$177:$A$222)*'Cálculos'!$F$98)+1400)+'Cálculos'!$F$122)*'Cálculos'!$F$214+'Cálculos'!$F$125*(1+2.78*('Cálculos'!$F$196+(($C189)-$A$177:$A$222)*'Cálculos'!$F$98)/(('Cálculos'!$F$196+(($C189)-$A$177:$A$222)*'Cálculos'!$F$98)+1400)+'Cálculos'!$F$123)*'Cálculos'!$F$219)+('Cálculos'!$F$196+(($C189)-$A$177:$A$222)*'Cálculos'!$F$98)*('Cálculos'!$F$210+'Cálculos'!$F$124*(1+2.78*('Cálculos'!$F$196+(($C189)-$A$177:$A$222)*'Cálculos'!$F$98)/(('Cálculos'!$F$196+(($C189)-$A$177:$A$222)*'Cálculos'!$F$98)+1400)+'Cálculos'!$F$122)*'Cálculos'!$F$215+'Cálculos'!$F$125*(1+2.78*('Cálculos'!$F$196+(($C189)-$A$177:$A$222)*'Cálculos'!$F$98)/(('Cálculos'!$F$196+(($C189)-$A$177:$A$222)*'Cálculos'!$F$98)+1400)+'Cálculos'!$F$123)*'Cálculos'!$F$220)+('Cálculos'!$F$201*(1+'Cálculos'!$F$202+$A$177:$A$222*('Cálculos'!$F$290=2)*'Cálculos'!$F$101)+'Cálculos'!$F$203)*('Cálculos'!$F$211+'Cálculos'!$F$124*(1+2.78*('Cálculos'!$F$196+(($C189)-$A$177:$A$222)*'Cálculos'!$F$98)/(('Cálculos'!$F$196+(($C189)-$A$177:$A$222)*'Cálculos'!$F$98)+1400)+'Cálculos'!$F$122)*'Cálculos'!$F$216+'Cálculos'!$F$125*(1+2.78*('Cálculos'!$F$196+(($C189)-$A$177:$A$222)*'Cálculos'!$F$98)/(('Cálculos'!$F$196+(($C189)-$A$177:$A$222)*'Cálculos'!$F$98)+1400)+'Cálculos'!$F$123)*'Cálculos'!$F$221)+('Cálculos'!$F$204*(1+'Cálculos'!$F$205+$A$177:$A$222*('Cálculos'!$F$290=3)*'Cálculos'!$F$103)+'Cálculos'!$F$206)*('Cálculos'!$F$212+'Cálculos'!$F$124*(1+2.78*('Cálculos'!$F$196+(($C189)-$A$177:$A$222)*'Cálculos'!$F$98)/(('Cálculos'!$F$196+(($C189)-$A$177:$A$222)*'Cálculos'!$F$98)+1400)+'Cálculos'!$F$122)*'Cálculos'!$F$217+'Cálculos'!$F$125*(1+2.78*('Cálculos'!$F$196+(($C189)-$A$177:$A$222)*'Cálculos'!$F$98)/(('Cálculos'!$F$196+(($C189)-$A$177:$A$222)*'Cálculos'!$F$98)+1400)+'Cálculos'!$F$123)*'Cálculos'!$F$222)+('Cálculos'!$F$213+'Cálculos'!$F$124*(1+2.78*('Cálculos'!$F$196+(($C189)-$A$177:$A$222)*'Cálculos'!$F$98)/(('Cálculos'!$F$196+(($C189)-$A$177:$A$222)*'Cálculos'!$F$98)+1400)+'Cálculos'!$F$122)*'Cálculos'!$F$218+'Cálculos'!$F$125*(1+2.78*('Cálculos'!$F$196+(($C189)-$A$177:$A$222)*'Cálculos'!$F$98)/(('Cálculos'!$F$196+(($C189)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189)-$A$177:$A$222)*'Cálculos'!$F$98)/(('Cálculos'!$F$197+(($C189)-$A$177:$A$222)*'Cálculos'!$F$98)+1400)+'Cálculos'!$F$122)*'Cálculos'!$F$229+'Cálculos'!$F$125*(1+2.78*('Cálculos'!$F$197+(($C189)-$A$177:$A$222)*'Cálculos'!$F$98)/(('Cálculos'!$F$197+(($C189)-$A$177:$A$222)*'Cálculos'!$F$98)+1400)+'Cálculos'!$F$123)*'Cálculos'!$F$234)+('Cálculos'!$F$197+(($C189)-$A$177:$A$222)*'Cálculos'!$F$98)*('Cálculos'!$F$225+'Cálculos'!$F$124*(1+2.78*('Cálculos'!$F$197+(($C189)-$A$177:$A$222)*'Cálculos'!$F$98)/(('Cálculos'!$F$197+(($C189)-$A$177:$A$222)*'Cálculos'!$F$98)+1400)+'Cálculos'!$F$122)*'Cálculos'!$F$230+'Cálculos'!$F$125*(1+2.78*('Cálculos'!$F$197+(($C189)-$A$177:$A$222)*'Cálculos'!$F$98)/(('Cálculos'!$F$197+(($C189)-$A$177:$A$222)*'Cálculos'!$F$98)+1400)+'Cálculos'!$F$123)*'Cálculos'!$F$235)+('Cálculos'!$F$201*(1+'Cálculos'!$F$202+$A$177:$A$222*('Cálculos'!$F$290=2)*'Cálculos'!$F$101)+'Cálculos'!$F$203)*('Cálculos'!$F$226+'Cálculos'!$F$124*(1+2.78*('Cálculos'!$F$197+(($C189)-$A$177:$A$222)*'Cálculos'!$F$98)/(('Cálculos'!$F$197+(($C189)-$A$177:$A$222)*'Cálculos'!$F$98)+1400)+'Cálculos'!$F$122)*'Cálculos'!$F$231+'Cálculos'!$F$125*(1+2.78*('Cálculos'!$F$197+(($C189)-$A$177:$A$222)*'Cálculos'!$F$98)/(('Cálculos'!$F$197+(($C189)-$A$177:$A$222)*'Cálculos'!$F$98)+1400)+'Cálculos'!$F$123)*'Cálculos'!$F$236)+('Cálculos'!$F$204*(1+'Cálculos'!$F$205+$A$177:$A$222*('Cálculos'!$F$290=3)*'Cálculos'!$F$103)+'Cálculos'!$F$206)*('Cálculos'!$F$227+'Cálculos'!$F$124*(1+2.78*('Cálculos'!$F$197+(($C189)-$A$177:$A$222)*'Cálculos'!$F$98)/(('Cálculos'!$F$197+(($C189)-$A$177:$A$222)*'Cálculos'!$F$98)+1400)+'Cálculos'!$F$122)*'Cálculos'!$F$232+'Cálculos'!$F$125*(1+2.78*('Cálculos'!$F$197+(($C189)-$A$177:$A$222)*'Cálculos'!$F$98)/(('Cálculos'!$F$197+(($C189)-$A$177:$A$222)*'Cálculos'!$F$98)+1400)+'Cálculos'!$F$123)*'Cálculos'!$F$237)+('Cálculos'!$F$228+'Cálculos'!$F$124*(1+2.78*('Cálculos'!$F$197+(($C189)-$A$177:$A$222)*'Cálculos'!$F$98)/(('Cálculos'!$F$197+(($C189)-$A$177:$A$222)*'Cálculos'!$F$98)+1400)+'Cálculos'!$F$122)*'Cálculos'!$F$233+'Cálculos'!$F$125*(1+2.78*('Cálculos'!$F$197+(($C189)-$A$177:$A$222)*'Cálculos'!$F$98)/(('Cálculos'!$F$197+(($C189)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189)-$A$177:$A$222)*'Cálculos'!$F$98)/(('Cálculos'!$F$198+(($C189)-$A$177:$A$222)*'Cálculos'!$F$98)+1400)+'Cálculos'!$F$122)*'Cálculos'!$F$244+'Cálculos'!$F$125*(1+2.78*('Cálculos'!$F$198+(($C189)-$A$177:$A$222)*'Cálculos'!$F$98)/(('Cálculos'!$F$198+(($C189)-$A$177:$A$222)*'Cálculos'!$F$98)+1400)+'Cálculos'!$F$123)*'Cálculos'!$F$249)+('Cálculos'!$F$198+(($C189)-$A$177:$A$222)*'Cálculos'!$F$98)*('Cálculos'!$F$240+'Cálculos'!$F$124*(1+2.78*('Cálculos'!$F$198+(($C189)-$A$177:$A$222)*'Cálculos'!$F$98)/(('Cálculos'!$F$198+(($C189)-$A$177:$A$222)*'Cálculos'!$F$98)+1400)+'Cálculos'!$F$122)*'Cálculos'!$F$245+'Cálculos'!$F$125*(1+2.78*('Cálculos'!$F$198+(($C189)-$A$177:$A$222)*'Cálculos'!$F$98)/(('Cálculos'!$F$198+(($C189)-$A$177:$A$222)*'Cálculos'!$F$98)+1400)+'Cálculos'!$F$123)*'Cálculos'!$F$250)+('Cálculos'!$F$201*(1+'Cálculos'!$F$202+$A$177:$A$222*('Cálculos'!$F$290=2)*'Cálculos'!$F$101)+'Cálculos'!$F$203)*('Cálculos'!$F$241+'Cálculos'!$F$124*(1+2.78*('Cálculos'!$F$198+(($C189)-$A$177:$A$222)*'Cálculos'!$F$98)/(('Cálculos'!$F$198+(($C189)-$A$177:$A$222)*'Cálculos'!$F$98)+1400)+'Cálculos'!$F$122)*'Cálculos'!$F$246+'Cálculos'!$F$125*(1+2.78*('Cálculos'!$F$198+(($C189)-$A$177:$A$222)*'Cálculos'!$F$98)/(('Cálculos'!$F$198+(($C189)-$A$177:$A$222)*'Cálculos'!$F$98)+1400)+'Cálculos'!$F$123)*'Cálculos'!$F$251)+('Cálculos'!$F$204*(1+'Cálculos'!$F$205+$A$177:$A$222*('Cálculos'!$F$290=3)*'Cálculos'!$F$103)+'Cálculos'!$F$206)*('Cálculos'!$F$242+'Cálculos'!$F$124*(1+2.78*('Cálculos'!$F$198+(($C189)-$A$177:$A$222)*'Cálculos'!$F$98)/(('Cálculos'!$F$198+(($C189)-$A$177:$A$222)*'Cálculos'!$F$98)+1400)+'Cálculos'!$F$122)*'Cálculos'!$F$247+'Cálculos'!$F$125*(1+2.78*('Cálculos'!$F$198+(($C189)-$A$177:$A$222)*'Cálculos'!$F$98)/(('Cálculos'!$F$198+(($C189)-$A$177:$A$222)*'Cálculos'!$F$98)+1400)+'Cálculos'!$F$123)*'Cálculos'!$F$252)+('Cálculos'!$F$243+'Cálculos'!$F$124*(1+2.78*('Cálculos'!$F$198+(($C189)-$A$177:$A$222)*'Cálculos'!$F$98)/(('Cálculos'!$F$198+(($C189)-$A$177:$A$222)*'Cálculos'!$F$98)+1400)+'Cálculos'!$F$122)*'Cálculos'!$F$248+'Cálculos'!$F$125*(1+2.78*('Cálculos'!$F$198+(($C189)-$A$177:$A$222)*'Cálculos'!$F$98)/(('Cálculos'!$F$198+(($C189)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189)-$A$177:$A$222)*'Cálculos'!$F$98)/(('Cálculos'!$F$199+(($C189)-$A$177:$A$222)*'Cálculos'!$F$98)+1400)+'Cálculos'!$F$122)*'Cálculos'!$F$259+'Cálculos'!$F$125*(1+2.78*('Cálculos'!$F$199+(($C189)-$A$177:$A$222)*'Cálculos'!$F$98)/(('Cálculos'!$F$199+(($C189)-$A$177:$A$222)*'Cálculos'!$F$98)+1400)+'Cálculos'!$F$123)*'Cálculos'!$F$264)+('Cálculos'!$F$199+(($C189)-$A$177:$A$222)*'Cálculos'!$F$98)*('Cálculos'!$F$255+'Cálculos'!$F$124*(1+2.78*('Cálculos'!$F$199+(($C189)-$A$177:$A$222)*'Cálculos'!$F$98)/(('Cálculos'!$F$199+(($C189)-$A$177:$A$222)*'Cálculos'!$F$98)+1400)+'Cálculos'!$F$122)*'Cálculos'!$F$260+'Cálculos'!$F$125*(1+2.78*('Cálculos'!$F$199+(($C189)-$A$177:$A$222)*'Cálculos'!$F$98)/(('Cálculos'!$F$199+(($C189)-$A$177:$A$222)*'Cálculos'!$F$98)+1400)+'Cálculos'!$F$123)*'Cálculos'!$F$265)+('Cálculos'!$F$201*(1+'Cálculos'!$F$202+$A$177:$A$222*('Cálculos'!$F$290=2)*'Cálculos'!$F$101)+'Cálculos'!$F$203)*('Cálculos'!$F$256+'Cálculos'!$F$124*(1+2.78*('Cálculos'!$F$199+(($C189)-$A$177:$A$222)*'Cálculos'!$F$98)/(('Cálculos'!$F$199+(($C189)-$A$177:$A$222)*'Cálculos'!$F$98)+1400)+'Cálculos'!$F$122)*'Cálculos'!$F$261+'Cálculos'!$F$125*(1+2.78*('Cálculos'!$F$199+(($C189)-$A$177:$A$222)*'Cálculos'!$F$98)/(('Cálculos'!$F$199+(($C189)-$A$177:$A$222)*'Cálculos'!$F$98)+1400)+'Cálculos'!$F$123)*'Cálculos'!$F$266)+('Cálculos'!$F$204*(1+'Cálculos'!$F$205+$A$177:$A$222*('Cálculos'!$F$290=3)*'Cálculos'!$F$103)+'Cálculos'!$F$206)*('Cálculos'!$F$257+'Cálculos'!$F$124*(1+2.78*('Cálculos'!$F$199+(($C189)-$A$177:$A$222)*'Cálculos'!$F$98)/(('Cálculos'!$F$199+(($C189)-$A$177:$A$222)*'Cálculos'!$F$98)+1400)+'Cálculos'!$F$122)*'Cálculos'!$F$262+'Cálculos'!$F$125*(1+2.78*('Cálculos'!$F$199+(($C189)-$A$177:$A$222)*'Cálculos'!$F$98)/(('Cálculos'!$F$199+(($C189)-$A$177:$A$222)*'Cálculos'!$F$98)+1400)+'Cálculos'!$F$123)*'Cálculos'!$F$267)+('Cálculos'!$F$258+'Cálculos'!$F$124*(1+2.78*('Cálculos'!$F$199+(($C189)-$A$177:$A$222)*'Cálculos'!$F$98)/(('Cálculos'!$F$199+(($C189)-$A$177:$A$222)*'Cálculos'!$F$98)+1400)+'Cálculos'!$F$122)*'Cálculos'!$F$263+'Cálculos'!$F$125*(1+2.78*('Cálculos'!$F$199+(($C189)-$A$177:$A$222)*'Cálculos'!$F$98)/(('Cálculos'!$F$199+(($C189)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189)-$A$177:$A$222)*'Cálculos'!$F$98)/(('Cálculos'!$F$200+(($C189)-$A$177:$A$222)*'Cálculos'!$F$98)+1400)+'Cálculos'!$F$122)*'Cálculos'!$F$274+'Cálculos'!$F$125*(1+2.78*('Cálculos'!$F$200+(($C189)-$A$177:$A$222)*'Cálculos'!$F$98)/(('Cálculos'!$F$200+(($C189)-$A$177:$A$222)*'Cálculos'!$F$98)+1400)+'Cálculos'!$F$123)*'Cálculos'!$F$279)+('Cálculos'!$F$200+(($C189)-$A$177:$A$222)*'Cálculos'!$F$98)*('Cálculos'!$F$270+'Cálculos'!$F$124*(1+2.78*('Cálculos'!$F$200+(($C189)-$A$177:$A$222)*'Cálculos'!$F$98)/(('Cálculos'!$F$200+(($C189)-$A$177:$A$222)*'Cálculos'!$F$98)+1400)+'Cálculos'!$F$122)*'Cálculos'!$F$275+'Cálculos'!$F$125*(1+2.78*('Cálculos'!$F$200+(($C189)-$A$177:$A$222)*'Cálculos'!$F$98)/(('Cálculos'!$F$200+(($C189)-$A$177:$A$222)*'Cálculos'!$F$98)+1400)+'Cálculos'!$F$123)*'Cálculos'!$F$280)+('Cálculos'!$F$201*(1+'Cálculos'!$F$202+$A$177:$A$222*('Cálculos'!$F$290=2)*'Cálculos'!$F$101)+'Cálculos'!$F$203)*('Cálculos'!$F$271+'Cálculos'!$F$124*(1+2.78*('Cálculos'!$F$200+(($C189)-$A$177:$A$222)*'Cálculos'!$F$98)/(('Cálculos'!$F$200+(($C189)-$A$177:$A$222)*'Cálculos'!$F$98)+1400)+'Cálculos'!$F$122)*'Cálculos'!$F$276+'Cálculos'!$F$125*(1+2.78*('Cálculos'!$F$200+(($C189)-$A$177:$A$222)*'Cálculos'!$F$98)/(('Cálculos'!$F$200+(($C189)-$A$177:$A$222)*'Cálculos'!$F$98)+1400)+'Cálculos'!$F$123)*'Cálculos'!$F$281)+('Cálculos'!$F$204*(1+'Cálculos'!$F$205+$A$177:$A$222*('Cálculos'!$F$290=3)*'Cálculos'!$F$103)+'Cálculos'!$F$206)*('Cálculos'!$F$272+'Cálculos'!$F$124*(1+2.78*('Cálculos'!$F$200+(($C189)-$A$177:$A$222)*'Cálculos'!$F$98)/(('Cálculos'!$F$200+(($C189)-$A$177:$A$222)*'Cálculos'!$F$98)+1400)+'Cálculos'!$F$122)*'Cálculos'!$F$277+'Cálculos'!$F$125*(1+2.78*('Cálculos'!$F$200+(($C189)-$A$177:$A$222)*'Cálculos'!$F$98)/(('Cálculos'!$F$200+(($C189)-$A$177:$A$222)*'Cálculos'!$F$98)+1400)+'Cálculos'!$F$123)*'Cálculos'!$F$282)+('Cálculos'!$F$273+'Cálculos'!$F$124*(1+2.78*('Cálculos'!$F$200+(($C189)-$A$177:$A$222)*'Cálculos'!$F$98)/(('Cálculos'!$F$200+(($C189)-$A$177:$A$222)*'Cálculos'!$F$98)+1400)+'Cálculos'!$F$122)*'Cálculos'!$F$278+'Cálculos'!$F$125*(1+2.78*('Cálculos'!$F$200+(($C189)-$A$177:$A$222)*'Cálculos'!$F$98)/(('Cálculos'!$F$200+(($C189)-$A$177:$A$222)*'Cálculos'!$F$98)+1400)+'Cálculos'!$F$123)*'Cálculos'!$F$283)))))</f>
        <v>20688.63969</v>
      </c>
      <c r="E189" s="32">
        <f>IF(OR($C189&lt;0,'Cálculos'!$F$6=""),0,$B189*$D189)</f>
        <v>42722.12371</v>
      </c>
      <c r="F189" s="2"/>
      <c r="G189" s="30">
        <f>($A189&lt;=$B$224)*($A189&lt;='Cálculos'!$F$294)*(($B$224)-$A189&lt;='Cálculos'!$F$295)*(1+MIN(('Cálculos'!$F$207+$A189*'Cálculos'!$F$95),1)*('Cálculos'!$F$208+(($B$224)-$A189)*'Cálculos'!$F$96))</f>
        <v>2.373587</v>
      </c>
      <c r="H189" s="31">
        <f>IF($B$225&lt;0,0,($A189&lt;=$B$225)*($A189&lt;='Cálculos'!$F$301)*(($B$225)-$A189&lt;='Cálculos'!$F$297)*(('Cálculos'!$F$185*(1+'Cálculos'!$F$186+$A189*('Cálculos'!$F$290=1)*'Cálculos'!$F$97+'Cálculos'!$F$305)+'Cálculos'!$F$191)*('Cálculos'!$F$209+'Cálculos'!$F$124*(1+2.78*('Cálculos'!$F$196+(($B$225)-$A189)*'Cálculos'!$F$98)/(('Cálculos'!$F$196+(($B$225)-$A189)*'Cálculos'!$F$98)+1400)+'Cálculos'!$F$122)*'Cálculos'!$F$214+'Cálculos'!$F$125*(1+2.78*('Cálculos'!$F$196+(($B$225)-$A189)*'Cálculos'!$F$98)/(('Cálculos'!$F$196+(($B$225)-$A189)*'Cálculos'!$F$98)+1400)+'Cálculos'!$F$123)*'Cálculos'!$F$219)+('Cálculos'!$F$196+(($B$225)-$A189)*'Cálculos'!$F$98)*('Cálculos'!$F$210+'Cálculos'!$F$124*(1+2.78*('Cálculos'!$F$196+(($B$225)-$A189)*'Cálculos'!$F$98)/(('Cálculos'!$F$196+(($B$225)-$A189)*'Cálculos'!$F$98)+1400)+'Cálculos'!$F$122)*'Cálculos'!$F$215+'Cálculos'!$F$125*(1+2.78*('Cálculos'!$F$196+(($B$225)-$A189)*'Cálculos'!$F$98)/(('Cálculos'!$F$196+(($B$225)-$A189)*'Cálculos'!$F$98)+1400)+'Cálculos'!$F$123)*'Cálculos'!$F$220)+('Cálculos'!$F$201*(1+'Cálculos'!$F$202+$A189*('Cálculos'!$F$290=2)*'Cálculos'!$F$101)+'Cálculos'!$F$203)*('Cálculos'!$F$211+'Cálculos'!$F$124*(1+2.78*('Cálculos'!$F$196+(($B$225)-$A189)*'Cálculos'!$F$98)/(('Cálculos'!$F$196+(($B$225)-$A189)*'Cálculos'!$F$98)+1400)+'Cálculos'!$F$122)*'Cálculos'!$F$216+'Cálculos'!$F$125*(1+2.78*('Cálculos'!$F$196+(($B$225)-$A189)*'Cálculos'!$F$98)/(('Cálculos'!$F$196+(($B$225)-$A189)*'Cálculos'!$F$98)+1400)+'Cálculos'!$F$123)*'Cálculos'!$F$221)+('Cálculos'!$F$204*(1+'Cálculos'!$F$205+$A189*('Cálculos'!$F$290=3)*'Cálculos'!$F$103)+'Cálculos'!$F$206)*('Cálculos'!$F$212+'Cálculos'!$F$124*(1+2.78*('Cálculos'!$F$196+(($B$225)-$A189)*'Cálculos'!$F$98)/(('Cálculos'!$F$196+(($B$225)-$A189)*'Cálculos'!$F$98)+1400)+'Cálculos'!$F$122)*'Cálculos'!$F$217+'Cálculos'!$F$125*(1+2.78*('Cálculos'!$F$196+(($B$225)-$A189)*'Cálculos'!$F$98)/(('Cálculos'!$F$196+(($B$225)-$A189)*'Cálculos'!$F$98)+1400)+'Cálculos'!$F$123)*'Cálculos'!$F$222)+('Cálculos'!$F$213+'Cálculos'!$F$124*(1+2.78*('Cálculos'!$F$196+(($B$225)-$A189)*'Cálculos'!$F$98)/(('Cálculos'!$F$196+(($B$225)-$A189)*'Cálculos'!$F$98)+1400)+'Cálculos'!$F$122)*'Cálculos'!$F$218+'Cálculos'!$F$125*(1+2.78*('Cálculos'!$F$196+(($B$225)-$A189)*'Cálculos'!$F$98)/(('Cálculos'!$F$196+(($B$225)-$A189)*'Cálculos'!$F$98)+1400)+'Cálculos'!$F$123)*'Cálculos'!$F$223)+('Cálculos'!$F$185*(1+'Cálculos'!$F$187+$A189*('Cálculos'!$F$290=1)*'Cálculos'!$F$97+'Cálculos'!$F$305)+'Cálculos'!$F$192)*('Cálculos'!$F$224+'Cálculos'!$F$124*(1+2.78*('Cálculos'!$F$197+(($B$225)-$A189)*'Cálculos'!$F$98)/(('Cálculos'!$F$197+(($B$225)-$A189)*'Cálculos'!$F$98)+1400)+'Cálculos'!$F$122)*'Cálculos'!$F$229+'Cálculos'!$F$125*(1+2.78*('Cálculos'!$F$197+(($B$225)-$A189)*'Cálculos'!$F$98)/(('Cálculos'!$F$197+(($B$225)-$A189)*'Cálculos'!$F$98)+1400)+'Cálculos'!$F$123)*'Cálculos'!$F$234)+('Cálculos'!$F$197+(($B$225)-$A189)*'Cálculos'!$F$98)*('Cálculos'!$F$225+'Cálculos'!$F$124*(1+2.78*('Cálculos'!$F$197+(($B$225)-$A189)*'Cálculos'!$F$98)/(('Cálculos'!$F$197+(($B$225)-$A189)*'Cálculos'!$F$98)+1400)+'Cálculos'!$F$122)*'Cálculos'!$F$230+'Cálculos'!$F$125*(1+2.78*('Cálculos'!$F$197+(($B$225)-$A189)*'Cálculos'!$F$98)/(('Cálculos'!$F$197+(($B$225)-$A189)*'Cálculos'!$F$98)+1400)+'Cálculos'!$F$123)*'Cálculos'!$F$235)+('Cálculos'!$F$201*(1+'Cálculos'!$F$202+$A189*('Cálculos'!$F$290=2)*'Cálculos'!$F$101)+'Cálculos'!$F$203)*('Cálculos'!$F$226+'Cálculos'!$F$124*(1+2.78*('Cálculos'!$F$197+(($B$225)-$A189)*'Cálculos'!$F$98)/(('Cálculos'!$F$197+(($B$225)-$A189)*'Cálculos'!$F$98)+1400)+'Cálculos'!$F$122)*'Cálculos'!$F$231+'Cálculos'!$F$125*(1+2.78*('Cálculos'!$F$197+(($B$225)-$A189)*'Cálculos'!$F$98)/(('Cálculos'!$F$197+(($B$225)-$A189)*'Cálculos'!$F$98)+1400)+'Cálculos'!$F$123)*'Cálculos'!$F$236)+('Cálculos'!$F$204*(1+'Cálculos'!$F$205+$A189*('Cálculos'!$F$290=3)*'Cálculos'!$F$103)+'Cálculos'!$F$206)*('Cálculos'!$F$227+'Cálculos'!$F$124*(1+2.78*('Cálculos'!$F$197+(($B$225)-$A189)*'Cálculos'!$F$98)/(('Cálculos'!$F$197+(($B$225)-$A189)*'Cálculos'!$F$98)+1400)+'Cálculos'!$F$122)*'Cálculos'!$F$232+'Cálculos'!$F$125*(1+2.78*('Cálculos'!$F$197+(($B$225)-$A189)*'Cálculos'!$F$98)/(('Cálculos'!$F$197+(($B$225)-$A189)*'Cálculos'!$F$98)+1400)+'Cálculos'!$F$123)*'Cálculos'!$F$237)+('Cálculos'!$F$228+'Cálculos'!$F$124*(1+2.78*('Cálculos'!$F$197+(($B$225)-$A189)*'Cálculos'!$F$98)/(('Cálculos'!$F$197+(($B$225)-$A189)*'Cálculos'!$F$98)+1400)+'Cálculos'!$F$122)*'Cálculos'!$F$233+'Cálculos'!$F$125*(1+2.78*('Cálculos'!$F$197+(($B$225)-$A189)*'Cálculos'!$F$98)/(('Cálculos'!$F$197+(($B$225)-$A189)*'Cálculos'!$F$98)+1400)+'Cálculos'!$F$123)*'Cálculos'!$F$238)+('Cálculos'!$F$185*(1+'Cálculos'!$F$188+$A189*('Cálculos'!$F$290=1)*'Cálculos'!$F$97+'Cálculos'!$F$305)+'Cálculos'!$F$193)*('Cálculos'!$F$239+'Cálculos'!$F$124*(1+2.78*('Cálculos'!$F$198+(($B$225)-$A189)*'Cálculos'!$F$98)/(('Cálculos'!$F$198+(($B$225)-$A189)*'Cálculos'!$F$98)+1400)+'Cálculos'!$F$122)*'Cálculos'!$F$244+'Cálculos'!$F$125*(1+2.78*('Cálculos'!$F$198+(($B$225)-$A189)*'Cálculos'!$F$98)/(('Cálculos'!$F$198+(($B$225)-$A189)*'Cálculos'!$F$98)+1400)+'Cálculos'!$F$123)*'Cálculos'!$F$249)+('Cálculos'!$F$198+(($B$225)-$A189)*'Cálculos'!$F$98)*('Cálculos'!$F$240+'Cálculos'!$F$124*(1+2.78*('Cálculos'!$F$198+(($B$225)-$A189)*'Cálculos'!$F$98)/(('Cálculos'!$F$198+(($B$225)-$A189)*'Cálculos'!$F$98)+1400)+'Cálculos'!$F$122)*'Cálculos'!$F$245+'Cálculos'!$F$125*(1+2.78*('Cálculos'!$F$198+(($B$225)-$A189)*'Cálculos'!$F$98)/(('Cálculos'!$F$198+(($B$225)-$A189)*'Cálculos'!$F$98)+1400)+'Cálculos'!$F$123)*'Cálculos'!$F$250)+('Cálculos'!$F$201*(1+'Cálculos'!$F$202+$A189*('Cálculos'!$F$290=2)*'Cálculos'!$F$101)+'Cálculos'!$F$203)*('Cálculos'!$F$241+'Cálculos'!$F$124*(1+2.78*('Cálculos'!$F$198+(($B$225)-$A189)*'Cálculos'!$F$98)/(('Cálculos'!$F$198+(($B$225)-$A189)*'Cálculos'!$F$98)+1400)+'Cálculos'!$F$122)*'Cálculos'!$F$246+'Cálculos'!$F$125*(1+2.78*('Cálculos'!$F$198+(($B$225)-$A189)*'Cálculos'!$F$98)/(('Cálculos'!$F$198+(($B$225)-$A189)*'Cálculos'!$F$98)+1400)+'Cálculos'!$F$123)*'Cálculos'!$F$251)+('Cálculos'!$F$204*(1+'Cálculos'!$F$205+$A189*('Cálculos'!$F$290=3)*'Cálculos'!$F$103)+'Cálculos'!$F$206)*('Cálculos'!$F$242+'Cálculos'!$F$124*(1+2.78*('Cálculos'!$F$198+(($B$225)-$A189)*'Cálculos'!$F$98)/(('Cálculos'!$F$198+(($B$225)-$A189)*'Cálculos'!$F$98)+1400)+'Cálculos'!$F$122)*'Cálculos'!$F$247+'Cálculos'!$F$125*(1+2.78*('Cálculos'!$F$198+(($B$225)-$A189)*'Cálculos'!$F$98)/(('Cálculos'!$F$198+(($B$225)-$A189)*'Cálculos'!$F$98)+1400)+'Cálculos'!$F$123)*'Cálculos'!$F$252)+('Cálculos'!$F$243+'Cálculos'!$F$124*(1+2.78*('Cálculos'!$F$198+(($B$225)-$A189)*'Cálculos'!$F$98)/(('Cálculos'!$F$198+(($B$225)-$A189)*'Cálculos'!$F$98)+1400)+'Cálculos'!$F$122)*'Cálculos'!$F$248+'Cálculos'!$F$125*(1+2.78*('Cálculos'!$F$198+(($B$225)-$A189)*'Cálculos'!$F$98)/(('Cálculos'!$F$198+(($B$225)-$A189)*'Cálculos'!$F$98)+1400)+'Cálculos'!$F$123)*'Cálculos'!$F$253)+('Cálculos'!$F$185*(1+'Cálculos'!$F$189+$A189*('Cálculos'!$F$290=1)*'Cálculos'!$F$97+'Cálculos'!$F$305)+'Cálculos'!$F$194)*('Cálculos'!$F$254+'Cálculos'!$F$124*(1+2.78*('Cálculos'!$F$199+(($B$225)-$A189)*'Cálculos'!$F$98)/(('Cálculos'!$F$199+(($B$225)-$A189)*'Cálculos'!$F$98)+1400)+'Cálculos'!$F$122)*'Cálculos'!$F$259+'Cálculos'!$F$125*(1+2.78*('Cálculos'!$F$199+(($B$225)-$A189)*'Cálculos'!$F$98)/(('Cálculos'!$F$199+(($B$225)-$A189)*'Cálculos'!$F$98)+1400)+'Cálculos'!$F$123)*'Cálculos'!$F$264)+('Cálculos'!$F$199+(($B$225)-$A189)*'Cálculos'!$F$98)*('Cálculos'!$F$255+'Cálculos'!$F$124*(1+2.78*('Cálculos'!$F$199+(($B$225)-$A189)*'Cálculos'!$F$98)/(('Cálculos'!$F$199+(($B$225)-$A189)*'Cálculos'!$F$98)+1400)+'Cálculos'!$F$122)*'Cálculos'!$F$260+'Cálculos'!$F$125*(1+2.78*('Cálculos'!$F$199+(($B$225)-$A189)*'Cálculos'!$F$98)/(('Cálculos'!$F$199+(($B$225)-$A189)*'Cálculos'!$F$98)+1400)+'Cálculos'!$F$123)*'Cálculos'!$F$265)+('Cálculos'!$F$201*(1+'Cálculos'!$F$202+$A189*('Cálculos'!$F$290=2)*'Cálculos'!$F$101)+'Cálculos'!$F$203)*('Cálculos'!$F$256+'Cálculos'!$F$124*(1+2.78*('Cálculos'!$F$199+(($B$225)-$A189)*'Cálculos'!$F$98)/(('Cálculos'!$F$199+(($B$225)-$A189)*'Cálculos'!$F$98)+1400)+'Cálculos'!$F$122)*'Cálculos'!$F$261+'Cálculos'!$F$125*(1+2.78*('Cálculos'!$F$199+(($B$225)-$A189)*'Cálculos'!$F$98)/(('Cálculos'!$F$199+(($B$225)-$A189)*'Cálculos'!$F$98)+1400)+'Cálculos'!$F$123)*'Cálculos'!$F$266)+('Cálculos'!$F$204*(1+'Cálculos'!$F$205+$A189*('Cálculos'!$F$290=3)*'Cálculos'!$F$103)+'Cálculos'!$F$206)*('Cálculos'!$F$257+'Cálculos'!$F$124*(1+2.78*('Cálculos'!$F$199+(($B$225)-$A189)*'Cálculos'!$F$98)/(('Cálculos'!$F$199+(($B$225)-$A189)*'Cálculos'!$F$98)+1400)+'Cálculos'!$F$122)*'Cálculos'!$F$262+'Cálculos'!$F$125*(1+2.78*('Cálculos'!$F$199+(($B$225)-$A189)*'Cálculos'!$F$98)/(('Cálculos'!$F$199+(($B$225)-$A189)*'Cálculos'!$F$98)+1400)+'Cálculos'!$F$123)*'Cálculos'!$F$267)+('Cálculos'!$F$258+'Cálculos'!$F$124*(1+2.78*('Cálculos'!$F$199+(($B$225)-$A189)*'Cálculos'!$F$98)/(('Cálculos'!$F$199+(($B$225)-$A189)*'Cálculos'!$F$98)+1400)+'Cálculos'!$F$122)*'Cálculos'!$F$263+'Cálculos'!$F$125*(1+2.78*('Cálculos'!$F$199+(($B$225)-$A189)*'Cálculos'!$F$98)/(('Cálculos'!$F$199+(($B$225)-$A189)*'Cálculos'!$F$98)+1400)+'Cálculos'!$F$123)*'Cálculos'!$F$268)+('Cálculos'!$F$185*(1+'Cálculos'!$F$190+$A189*('Cálculos'!$F$290=1)*'Cálculos'!$F$97+'Cálculos'!$F$305)+'Cálculos'!$F$195)*('Cálculos'!$F$269+'Cálculos'!$F$124*(1+2.78*('Cálculos'!$F$200+(($B$225)-$A189)*'Cálculos'!$F$98)/(('Cálculos'!$F$200+(($B$225)-$A189)*'Cálculos'!$F$98)+1400)+'Cálculos'!$F$122)*'Cálculos'!$F$274+'Cálculos'!$F$125*(1+2.78*('Cálculos'!$F$200+(($B$225)-$A189)*'Cálculos'!$F$98)/(('Cálculos'!$F$200+(($B$225)-$A189)*'Cálculos'!$F$98)+1400)+'Cálculos'!$F$123)*'Cálculos'!$F$279)+('Cálculos'!$F$200+(($B$225)-$A189)*'Cálculos'!$F$98)*('Cálculos'!$F$270+'Cálculos'!$F$124*(1+2.78*('Cálculos'!$F$200+(($B$225)-$A189)*'Cálculos'!$F$98)/(('Cálculos'!$F$200+(($B$225)-$A189)*'Cálculos'!$F$98)+1400)+'Cálculos'!$F$122)*'Cálculos'!$F$275+'Cálculos'!$F$125*(1+2.78*('Cálculos'!$F$200+(($B$225)-$A189)*'Cálculos'!$F$98)/(('Cálculos'!$F$200+(($B$225)-$A189)*'Cálculos'!$F$98)+1400)+'Cálculos'!$F$123)*'Cálculos'!$F$280)+('Cálculos'!$F$201*(1+'Cálculos'!$F$202+$A189*('Cálculos'!$F$290=2)*'Cálculos'!$F$101)+'Cálculos'!$F$203)*('Cálculos'!$F$271+'Cálculos'!$F$124*(1+2.78*('Cálculos'!$F$200+(($B$225)-$A189)*'Cálculos'!$F$98)/(('Cálculos'!$F$200+(($B$225)-$A189)*'Cálculos'!$F$98)+1400)+'Cálculos'!$F$122)*'Cálculos'!$F$276+'Cálculos'!$F$125*(1+2.78*('Cálculos'!$F$200+(($B$225)-$A189)*'Cálculos'!$F$98)/(('Cálculos'!$F$200+(($B$225)-$A189)*'Cálculos'!$F$98)+1400)+'Cálculos'!$F$123)*'Cálculos'!$F$281)+('Cálculos'!$F$204*(1+'Cálculos'!$F$205+$A189*('Cálculos'!$F$290=3)*'Cálculos'!$F$103)+'Cálculos'!$F$206)*('Cálculos'!$F$272+'Cálculos'!$F$124*(1+2.78*('Cálculos'!$F$200+(($B$225)-$A189)*'Cálculos'!$F$98)/(('Cálculos'!$F$200+(($B$225)-$A189)*'Cálculos'!$F$98)+1400)+'Cálculos'!$F$122)*'Cálculos'!$F$277+'Cálculos'!$F$125*(1+2.78*('Cálculos'!$F$200+(($B$225)-$A189)*'Cálculos'!$F$98)/(('Cálculos'!$F$200+(($B$225)-$A189)*'Cálculos'!$F$98)+1400)+'Cálculos'!$F$123)*'Cálculos'!$F$282)+('Cálculos'!$F$273+'Cálculos'!$F$124*(1+2.78*('Cálculos'!$F$200+(($B$225)-$A189)*'Cálculos'!$F$98)/(('Cálculos'!$F$200+(($B$225)-$A189)*'Cálculos'!$F$98)+1400)+'Cálculos'!$F$122)*'Cálculos'!$F$278+'Cálculos'!$F$125*(1+2.78*('Cálculos'!$F$200+(($B$225)-$A189)*'Cálculos'!$F$98)/(('Cálculos'!$F$200+(($B$225)-$A189)*'Cálculos'!$F$98)+1400)+'Cálculos'!$F$123)*'Cálculos'!$F$283)))</f>
        <v>0</v>
      </c>
    </row>
    <row r="190" ht="15.75" customHeight="1">
      <c r="A190" s="2">
        <v>13.0</v>
      </c>
      <c r="B190" s="30">
        <f>SUMPRODUCT(MAX(($A$177:$A$222&lt;=$A190)*($A$177:$A$222&lt;='Cálculos'!$F$294)*(($A190)-$A$177:$A$222&lt;='Cálculos'!$F$295)*(1+(('Cálculos'!$F$207+$A$177:$A$222*'Cálculos'!$F$95)-(('Cálculos'!$F$207+$A$177:$A$222*'Cálculos'!$F$95)&gt;1)*(('Cálculos'!$F$207+$A$177:$A$222*'Cálculos'!$F$95)-1))*('Cálculos'!$F$208+(($A190)-$A$177:$A$222)*'Cálculos'!$F$96))))</f>
        <v>2.113547</v>
      </c>
      <c r="C190" s="2">
        <f>'Cálculos'!$F$303-$A190</f>
        <v>5</v>
      </c>
      <c r="D190" s="31">
        <f>IF($C190&lt;0,0,SUMPRODUCT(MAX(($A$177:$A$222&lt;=$C190)*($A$177:$A$222&lt;='Cálculos'!$F$301)*(($C190)-$A$177:$A$222&lt;='Cálculos'!$F$297)*(('Cálculos'!$F$185*(1+'Cálculos'!$F$186+$A$177:$A$222*('Cálculos'!$F$290=1)*'Cálculos'!$F$97+'Cálculos'!$F$305)+'Cálculos'!$F$191)*('Cálculos'!$F$209+'Cálculos'!$F$124*(1+2.78*('Cálculos'!$F$196+(($C190)-$A$177:$A$222)*'Cálculos'!$F$98)/(('Cálculos'!$F$196+(($C190)-$A$177:$A$222)*'Cálculos'!$F$98)+1400)+'Cálculos'!$F$122)*'Cálculos'!$F$214+'Cálculos'!$F$125*(1+2.78*('Cálculos'!$F$196+(($C190)-$A$177:$A$222)*'Cálculos'!$F$98)/(('Cálculos'!$F$196+(($C190)-$A$177:$A$222)*'Cálculos'!$F$98)+1400)+'Cálculos'!$F$123)*'Cálculos'!$F$219)+('Cálculos'!$F$196+(($C190)-$A$177:$A$222)*'Cálculos'!$F$98)*('Cálculos'!$F$210+'Cálculos'!$F$124*(1+2.78*('Cálculos'!$F$196+(($C190)-$A$177:$A$222)*'Cálculos'!$F$98)/(('Cálculos'!$F$196+(($C190)-$A$177:$A$222)*'Cálculos'!$F$98)+1400)+'Cálculos'!$F$122)*'Cálculos'!$F$215+'Cálculos'!$F$125*(1+2.78*('Cálculos'!$F$196+(($C190)-$A$177:$A$222)*'Cálculos'!$F$98)/(('Cálculos'!$F$196+(($C190)-$A$177:$A$222)*'Cálculos'!$F$98)+1400)+'Cálculos'!$F$123)*'Cálculos'!$F$220)+('Cálculos'!$F$201*(1+'Cálculos'!$F$202+$A$177:$A$222*('Cálculos'!$F$290=2)*'Cálculos'!$F$101)+'Cálculos'!$F$203)*('Cálculos'!$F$211+'Cálculos'!$F$124*(1+2.78*('Cálculos'!$F$196+(($C190)-$A$177:$A$222)*'Cálculos'!$F$98)/(('Cálculos'!$F$196+(($C190)-$A$177:$A$222)*'Cálculos'!$F$98)+1400)+'Cálculos'!$F$122)*'Cálculos'!$F$216+'Cálculos'!$F$125*(1+2.78*('Cálculos'!$F$196+(($C190)-$A$177:$A$222)*'Cálculos'!$F$98)/(('Cálculos'!$F$196+(($C190)-$A$177:$A$222)*'Cálculos'!$F$98)+1400)+'Cálculos'!$F$123)*'Cálculos'!$F$221)+('Cálculos'!$F$204*(1+'Cálculos'!$F$205+$A$177:$A$222*('Cálculos'!$F$290=3)*'Cálculos'!$F$103)+'Cálculos'!$F$206)*('Cálculos'!$F$212+'Cálculos'!$F$124*(1+2.78*('Cálculos'!$F$196+(($C190)-$A$177:$A$222)*'Cálculos'!$F$98)/(('Cálculos'!$F$196+(($C190)-$A$177:$A$222)*'Cálculos'!$F$98)+1400)+'Cálculos'!$F$122)*'Cálculos'!$F$217+'Cálculos'!$F$125*(1+2.78*('Cálculos'!$F$196+(($C190)-$A$177:$A$222)*'Cálculos'!$F$98)/(('Cálculos'!$F$196+(($C190)-$A$177:$A$222)*'Cálculos'!$F$98)+1400)+'Cálculos'!$F$123)*'Cálculos'!$F$222)+('Cálculos'!$F$213+'Cálculos'!$F$124*(1+2.78*('Cálculos'!$F$196+(($C190)-$A$177:$A$222)*'Cálculos'!$F$98)/(('Cálculos'!$F$196+(($C190)-$A$177:$A$222)*'Cálculos'!$F$98)+1400)+'Cálculos'!$F$122)*'Cálculos'!$F$218+'Cálculos'!$F$125*(1+2.78*('Cálculos'!$F$196+(($C190)-$A$177:$A$222)*'Cálculos'!$F$98)/(('Cálculos'!$F$196+(($C190)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190)-$A$177:$A$222)*'Cálculos'!$F$98)/(('Cálculos'!$F$197+(($C190)-$A$177:$A$222)*'Cálculos'!$F$98)+1400)+'Cálculos'!$F$122)*'Cálculos'!$F$229+'Cálculos'!$F$125*(1+2.78*('Cálculos'!$F$197+(($C190)-$A$177:$A$222)*'Cálculos'!$F$98)/(('Cálculos'!$F$197+(($C190)-$A$177:$A$222)*'Cálculos'!$F$98)+1400)+'Cálculos'!$F$123)*'Cálculos'!$F$234)+('Cálculos'!$F$197+(($C190)-$A$177:$A$222)*'Cálculos'!$F$98)*('Cálculos'!$F$225+'Cálculos'!$F$124*(1+2.78*('Cálculos'!$F$197+(($C190)-$A$177:$A$222)*'Cálculos'!$F$98)/(('Cálculos'!$F$197+(($C190)-$A$177:$A$222)*'Cálculos'!$F$98)+1400)+'Cálculos'!$F$122)*'Cálculos'!$F$230+'Cálculos'!$F$125*(1+2.78*('Cálculos'!$F$197+(($C190)-$A$177:$A$222)*'Cálculos'!$F$98)/(('Cálculos'!$F$197+(($C190)-$A$177:$A$222)*'Cálculos'!$F$98)+1400)+'Cálculos'!$F$123)*'Cálculos'!$F$235)+('Cálculos'!$F$201*(1+'Cálculos'!$F$202+$A$177:$A$222*('Cálculos'!$F$290=2)*'Cálculos'!$F$101)+'Cálculos'!$F$203)*('Cálculos'!$F$226+'Cálculos'!$F$124*(1+2.78*('Cálculos'!$F$197+(($C190)-$A$177:$A$222)*'Cálculos'!$F$98)/(('Cálculos'!$F$197+(($C190)-$A$177:$A$222)*'Cálculos'!$F$98)+1400)+'Cálculos'!$F$122)*'Cálculos'!$F$231+'Cálculos'!$F$125*(1+2.78*('Cálculos'!$F$197+(($C190)-$A$177:$A$222)*'Cálculos'!$F$98)/(('Cálculos'!$F$197+(($C190)-$A$177:$A$222)*'Cálculos'!$F$98)+1400)+'Cálculos'!$F$123)*'Cálculos'!$F$236)+('Cálculos'!$F$204*(1+'Cálculos'!$F$205+$A$177:$A$222*('Cálculos'!$F$290=3)*'Cálculos'!$F$103)+'Cálculos'!$F$206)*('Cálculos'!$F$227+'Cálculos'!$F$124*(1+2.78*('Cálculos'!$F$197+(($C190)-$A$177:$A$222)*'Cálculos'!$F$98)/(('Cálculos'!$F$197+(($C190)-$A$177:$A$222)*'Cálculos'!$F$98)+1400)+'Cálculos'!$F$122)*'Cálculos'!$F$232+'Cálculos'!$F$125*(1+2.78*('Cálculos'!$F$197+(($C190)-$A$177:$A$222)*'Cálculos'!$F$98)/(('Cálculos'!$F$197+(($C190)-$A$177:$A$222)*'Cálculos'!$F$98)+1400)+'Cálculos'!$F$123)*'Cálculos'!$F$237)+('Cálculos'!$F$228+'Cálculos'!$F$124*(1+2.78*('Cálculos'!$F$197+(($C190)-$A$177:$A$222)*'Cálculos'!$F$98)/(('Cálculos'!$F$197+(($C190)-$A$177:$A$222)*'Cálculos'!$F$98)+1400)+'Cálculos'!$F$122)*'Cálculos'!$F$233+'Cálculos'!$F$125*(1+2.78*('Cálculos'!$F$197+(($C190)-$A$177:$A$222)*'Cálculos'!$F$98)/(('Cálculos'!$F$197+(($C190)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190)-$A$177:$A$222)*'Cálculos'!$F$98)/(('Cálculos'!$F$198+(($C190)-$A$177:$A$222)*'Cálculos'!$F$98)+1400)+'Cálculos'!$F$122)*'Cálculos'!$F$244+'Cálculos'!$F$125*(1+2.78*('Cálculos'!$F$198+(($C190)-$A$177:$A$222)*'Cálculos'!$F$98)/(('Cálculos'!$F$198+(($C190)-$A$177:$A$222)*'Cálculos'!$F$98)+1400)+'Cálculos'!$F$123)*'Cálculos'!$F$249)+('Cálculos'!$F$198+(($C190)-$A$177:$A$222)*'Cálculos'!$F$98)*('Cálculos'!$F$240+'Cálculos'!$F$124*(1+2.78*('Cálculos'!$F$198+(($C190)-$A$177:$A$222)*'Cálculos'!$F$98)/(('Cálculos'!$F$198+(($C190)-$A$177:$A$222)*'Cálculos'!$F$98)+1400)+'Cálculos'!$F$122)*'Cálculos'!$F$245+'Cálculos'!$F$125*(1+2.78*('Cálculos'!$F$198+(($C190)-$A$177:$A$222)*'Cálculos'!$F$98)/(('Cálculos'!$F$198+(($C190)-$A$177:$A$222)*'Cálculos'!$F$98)+1400)+'Cálculos'!$F$123)*'Cálculos'!$F$250)+('Cálculos'!$F$201*(1+'Cálculos'!$F$202+$A$177:$A$222*('Cálculos'!$F$290=2)*'Cálculos'!$F$101)+'Cálculos'!$F$203)*('Cálculos'!$F$241+'Cálculos'!$F$124*(1+2.78*('Cálculos'!$F$198+(($C190)-$A$177:$A$222)*'Cálculos'!$F$98)/(('Cálculos'!$F$198+(($C190)-$A$177:$A$222)*'Cálculos'!$F$98)+1400)+'Cálculos'!$F$122)*'Cálculos'!$F$246+'Cálculos'!$F$125*(1+2.78*('Cálculos'!$F$198+(($C190)-$A$177:$A$222)*'Cálculos'!$F$98)/(('Cálculos'!$F$198+(($C190)-$A$177:$A$222)*'Cálculos'!$F$98)+1400)+'Cálculos'!$F$123)*'Cálculos'!$F$251)+('Cálculos'!$F$204*(1+'Cálculos'!$F$205+$A$177:$A$222*('Cálculos'!$F$290=3)*'Cálculos'!$F$103)+'Cálculos'!$F$206)*('Cálculos'!$F$242+'Cálculos'!$F$124*(1+2.78*('Cálculos'!$F$198+(($C190)-$A$177:$A$222)*'Cálculos'!$F$98)/(('Cálculos'!$F$198+(($C190)-$A$177:$A$222)*'Cálculos'!$F$98)+1400)+'Cálculos'!$F$122)*'Cálculos'!$F$247+'Cálculos'!$F$125*(1+2.78*('Cálculos'!$F$198+(($C190)-$A$177:$A$222)*'Cálculos'!$F$98)/(('Cálculos'!$F$198+(($C190)-$A$177:$A$222)*'Cálculos'!$F$98)+1400)+'Cálculos'!$F$123)*'Cálculos'!$F$252)+('Cálculos'!$F$243+'Cálculos'!$F$124*(1+2.78*('Cálculos'!$F$198+(($C190)-$A$177:$A$222)*'Cálculos'!$F$98)/(('Cálculos'!$F$198+(($C190)-$A$177:$A$222)*'Cálculos'!$F$98)+1400)+'Cálculos'!$F$122)*'Cálculos'!$F$248+'Cálculos'!$F$125*(1+2.78*('Cálculos'!$F$198+(($C190)-$A$177:$A$222)*'Cálculos'!$F$98)/(('Cálculos'!$F$198+(($C190)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190)-$A$177:$A$222)*'Cálculos'!$F$98)/(('Cálculos'!$F$199+(($C190)-$A$177:$A$222)*'Cálculos'!$F$98)+1400)+'Cálculos'!$F$122)*'Cálculos'!$F$259+'Cálculos'!$F$125*(1+2.78*('Cálculos'!$F$199+(($C190)-$A$177:$A$222)*'Cálculos'!$F$98)/(('Cálculos'!$F$199+(($C190)-$A$177:$A$222)*'Cálculos'!$F$98)+1400)+'Cálculos'!$F$123)*'Cálculos'!$F$264)+('Cálculos'!$F$199+(($C190)-$A$177:$A$222)*'Cálculos'!$F$98)*('Cálculos'!$F$255+'Cálculos'!$F$124*(1+2.78*('Cálculos'!$F$199+(($C190)-$A$177:$A$222)*'Cálculos'!$F$98)/(('Cálculos'!$F$199+(($C190)-$A$177:$A$222)*'Cálculos'!$F$98)+1400)+'Cálculos'!$F$122)*'Cálculos'!$F$260+'Cálculos'!$F$125*(1+2.78*('Cálculos'!$F$199+(($C190)-$A$177:$A$222)*'Cálculos'!$F$98)/(('Cálculos'!$F$199+(($C190)-$A$177:$A$222)*'Cálculos'!$F$98)+1400)+'Cálculos'!$F$123)*'Cálculos'!$F$265)+('Cálculos'!$F$201*(1+'Cálculos'!$F$202+$A$177:$A$222*('Cálculos'!$F$290=2)*'Cálculos'!$F$101)+'Cálculos'!$F$203)*('Cálculos'!$F$256+'Cálculos'!$F$124*(1+2.78*('Cálculos'!$F$199+(($C190)-$A$177:$A$222)*'Cálculos'!$F$98)/(('Cálculos'!$F$199+(($C190)-$A$177:$A$222)*'Cálculos'!$F$98)+1400)+'Cálculos'!$F$122)*'Cálculos'!$F$261+'Cálculos'!$F$125*(1+2.78*('Cálculos'!$F$199+(($C190)-$A$177:$A$222)*'Cálculos'!$F$98)/(('Cálculos'!$F$199+(($C190)-$A$177:$A$222)*'Cálculos'!$F$98)+1400)+'Cálculos'!$F$123)*'Cálculos'!$F$266)+('Cálculos'!$F$204*(1+'Cálculos'!$F$205+$A$177:$A$222*('Cálculos'!$F$290=3)*'Cálculos'!$F$103)+'Cálculos'!$F$206)*('Cálculos'!$F$257+'Cálculos'!$F$124*(1+2.78*('Cálculos'!$F$199+(($C190)-$A$177:$A$222)*'Cálculos'!$F$98)/(('Cálculos'!$F$199+(($C190)-$A$177:$A$222)*'Cálculos'!$F$98)+1400)+'Cálculos'!$F$122)*'Cálculos'!$F$262+'Cálculos'!$F$125*(1+2.78*('Cálculos'!$F$199+(($C190)-$A$177:$A$222)*'Cálculos'!$F$98)/(('Cálculos'!$F$199+(($C190)-$A$177:$A$222)*'Cálculos'!$F$98)+1400)+'Cálculos'!$F$123)*'Cálculos'!$F$267)+('Cálculos'!$F$258+'Cálculos'!$F$124*(1+2.78*('Cálculos'!$F$199+(($C190)-$A$177:$A$222)*'Cálculos'!$F$98)/(('Cálculos'!$F$199+(($C190)-$A$177:$A$222)*'Cálculos'!$F$98)+1400)+'Cálculos'!$F$122)*'Cálculos'!$F$263+'Cálculos'!$F$125*(1+2.78*('Cálculos'!$F$199+(($C190)-$A$177:$A$222)*'Cálculos'!$F$98)/(('Cálculos'!$F$199+(($C190)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190)-$A$177:$A$222)*'Cálculos'!$F$98)/(('Cálculos'!$F$200+(($C190)-$A$177:$A$222)*'Cálculos'!$F$98)+1400)+'Cálculos'!$F$122)*'Cálculos'!$F$274+'Cálculos'!$F$125*(1+2.78*('Cálculos'!$F$200+(($C190)-$A$177:$A$222)*'Cálculos'!$F$98)/(('Cálculos'!$F$200+(($C190)-$A$177:$A$222)*'Cálculos'!$F$98)+1400)+'Cálculos'!$F$123)*'Cálculos'!$F$279)+('Cálculos'!$F$200+(($C190)-$A$177:$A$222)*'Cálculos'!$F$98)*('Cálculos'!$F$270+'Cálculos'!$F$124*(1+2.78*('Cálculos'!$F$200+(($C190)-$A$177:$A$222)*'Cálculos'!$F$98)/(('Cálculos'!$F$200+(($C190)-$A$177:$A$222)*'Cálculos'!$F$98)+1400)+'Cálculos'!$F$122)*'Cálculos'!$F$275+'Cálculos'!$F$125*(1+2.78*('Cálculos'!$F$200+(($C190)-$A$177:$A$222)*'Cálculos'!$F$98)/(('Cálculos'!$F$200+(($C190)-$A$177:$A$222)*'Cálculos'!$F$98)+1400)+'Cálculos'!$F$123)*'Cálculos'!$F$280)+('Cálculos'!$F$201*(1+'Cálculos'!$F$202+$A$177:$A$222*('Cálculos'!$F$290=2)*'Cálculos'!$F$101)+'Cálculos'!$F$203)*('Cálculos'!$F$271+'Cálculos'!$F$124*(1+2.78*('Cálculos'!$F$200+(($C190)-$A$177:$A$222)*'Cálculos'!$F$98)/(('Cálculos'!$F$200+(($C190)-$A$177:$A$222)*'Cálculos'!$F$98)+1400)+'Cálculos'!$F$122)*'Cálculos'!$F$276+'Cálculos'!$F$125*(1+2.78*('Cálculos'!$F$200+(($C190)-$A$177:$A$222)*'Cálculos'!$F$98)/(('Cálculos'!$F$200+(($C190)-$A$177:$A$222)*'Cálculos'!$F$98)+1400)+'Cálculos'!$F$123)*'Cálculos'!$F$281)+('Cálculos'!$F$204*(1+'Cálculos'!$F$205+$A$177:$A$222*('Cálculos'!$F$290=3)*'Cálculos'!$F$103)+'Cálculos'!$F$206)*('Cálculos'!$F$272+'Cálculos'!$F$124*(1+2.78*('Cálculos'!$F$200+(($C190)-$A$177:$A$222)*'Cálculos'!$F$98)/(('Cálculos'!$F$200+(($C190)-$A$177:$A$222)*'Cálculos'!$F$98)+1400)+'Cálculos'!$F$122)*'Cálculos'!$F$277+'Cálculos'!$F$125*(1+2.78*('Cálculos'!$F$200+(($C190)-$A$177:$A$222)*'Cálculos'!$F$98)/(('Cálculos'!$F$200+(($C190)-$A$177:$A$222)*'Cálculos'!$F$98)+1400)+'Cálculos'!$F$123)*'Cálculos'!$F$282)+('Cálculos'!$F$273+'Cálculos'!$F$124*(1+2.78*('Cálculos'!$F$200+(($C190)-$A$177:$A$222)*'Cálculos'!$F$98)/(('Cálculos'!$F$200+(($C190)-$A$177:$A$222)*'Cálculos'!$F$98)+1400)+'Cálculos'!$F$122)*'Cálculos'!$F$278+'Cálculos'!$F$125*(1+2.78*('Cálculos'!$F$200+(($C190)-$A$177:$A$222)*'Cálculos'!$F$98)/(('Cálculos'!$F$200+(($C190)-$A$177:$A$222)*'Cálculos'!$F$98)+1400)+'Cálculos'!$F$123)*'Cálculos'!$F$283)))))</f>
        <v>20464.7821</v>
      </c>
      <c r="E190" s="32">
        <f>IF(OR($C190&lt;0,'Cálculos'!$F$6=""),0,$B190*$D190)</f>
        <v>43253.27881</v>
      </c>
      <c r="F190" s="2"/>
      <c r="G190" s="30">
        <f>($A190&lt;=$B$224)*($A190&lt;='Cálculos'!$F$294)*(($B$224)-$A190&lt;='Cálculos'!$F$295)*(1+MIN(('Cálculos'!$F$207+$A190*'Cálculos'!$F$95),1)*('Cálculos'!$F$208+(($B$224)-$A190)*'Cálculos'!$F$96))</f>
        <v>2.372168</v>
      </c>
      <c r="H190" s="31">
        <f>IF($B$225&lt;0,0,($A190&lt;=$B$225)*($A190&lt;='Cálculos'!$F$301)*(($B$225)-$A190&lt;='Cálculos'!$F$297)*(('Cálculos'!$F$185*(1+'Cálculos'!$F$186+$A190*('Cálculos'!$F$290=1)*'Cálculos'!$F$97+'Cálculos'!$F$305)+'Cálculos'!$F$191)*('Cálculos'!$F$209+'Cálculos'!$F$124*(1+2.78*('Cálculos'!$F$196+(($B$225)-$A190)*'Cálculos'!$F$98)/(('Cálculos'!$F$196+(($B$225)-$A190)*'Cálculos'!$F$98)+1400)+'Cálculos'!$F$122)*'Cálculos'!$F$214+'Cálculos'!$F$125*(1+2.78*('Cálculos'!$F$196+(($B$225)-$A190)*'Cálculos'!$F$98)/(('Cálculos'!$F$196+(($B$225)-$A190)*'Cálculos'!$F$98)+1400)+'Cálculos'!$F$123)*'Cálculos'!$F$219)+('Cálculos'!$F$196+(($B$225)-$A190)*'Cálculos'!$F$98)*('Cálculos'!$F$210+'Cálculos'!$F$124*(1+2.78*('Cálculos'!$F$196+(($B$225)-$A190)*'Cálculos'!$F$98)/(('Cálculos'!$F$196+(($B$225)-$A190)*'Cálculos'!$F$98)+1400)+'Cálculos'!$F$122)*'Cálculos'!$F$215+'Cálculos'!$F$125*(1+2.78*('Cálculos'!$F$196+(($B$225)-$A190)*'Cálculos'!$F$98)/(('Cálculos'!$F$196+(($B$225)-$A190)*'Cálculos'!$F$98)+1400)+'Cálculos'!$F$123)*'Cálculos'!$F$220)+('Cálculos'!$F$201*(1+'Cálculos'!$F$202+$A190*('Cálculos'!$F$290=2)*'Cálculos'!$F$101)+'Cálculos'!$F$203)*('Cálculos'!$F$211+'Cálculos'!$F$124*(1+2.78*('Cálculos'!$F$196+(($B$225)-$A190)*'Cálculos'!$F$98)/(('Cálculos'!$F$196+(($B$225)-$A190)*'Cálculos'!$F$98)+1400)+'Cálculos'!$F$122)*'Cálculos'!$F$216+'Cálculos'!$F$125*(1+2.78*('Cálculos'!$F$196+(($B$225)-$A190)*'Cálculos'!$F$98)/(('Cálculos'!$F$196+(($B$225)-$A190)*'Cálculos'!$F$98)+1400)+'Cálculos'!$F$123)*'Cálculos'!$F$221)+('Cálculos'!$F$204*(1+'Cálculos'!$F$205+$A190*('Cálculos'!$F$290=3)*'Cálculos'!$F$103)+'Cálculos'!$F$206)*('Cálculos'!$F$212+'Cálculos'!$F$124*(1+2.78*('Cálculos'!$F$196+(($B$225)-$A190)*'Cálculos'!$F$98)/(('Cálculos'!$F$196+(($B$225)-$A190)*'Cálculos'!$F$98)+1400)+'Cálculos'!$F$122)*'Cálculos'!$F$217+'Cálculos'!$F$125*(1+2.78*('Cálculos'!$F$196+(($B$225)-$A190)*'Cálculos'!$F$98)/(('Cálculos'!$F$196+(($B$225)-$A190)*'Cálculos'!$F$98)+1400)+'Cálculos'!$F$123)*'Cálculos'!$F$222)+('Cálculos'!$F$213+'Cálculos'!$F$124*(1+2.78*('Cálculos'!$F$196+(($B$225)-$A190)*'Cálculos'!$F$98)/(('Cálculos'!$F$196+(($B$225)-$A190)*'Cálculos'!$F$98)+1400)+'Cálculos'!$F$122)*'Cálculos'!$F$218+'Cálculos'!$F$125*(1+2.78*('Cálculos'!$F$196+(($B$225)-$A190)*'Cálculos'!$F$98)/(('Cálculos'!$F$196+(($B$225)-$A190)*'Cálculos'!$F$98)+1400)+'Cálculos'!$F$123)*'Cálculos'!$F$223)+('Cálculos'!$F$185*(1+'Cálculos'!$F$187+$A190*('Cálculos'!$F$290=1)*'Cálculos'!$F$97+'Cálculos'!$F$305)+'Cálculos'!$F$192)*('Cálculos'!$F$224+'Cálculos'!$F$124*(1+2.78*('Cálculos'!$F$197+(($B$225)-$A190)*'Cálculos'!$F$98)/(('Cálculos'!$F$197+(($B$225)-$A190)*'Cálculos'!$F$98)+1400)+'Cálculos'!$F$122)*'Cálculos'!$F$229+'Cálculos'!$F$125*(1+2.78*('Cálculos'!$F$197+(($B$225)-$A190)*'Cálculos'!$F$98)/(('Cálculos'!$F$197+(($B$225)-$A190)*'Cálculos'!$F$98)+1400)+'Cálculos'!$F$123)*'Cálculos'!$F$234)+('Cálculos'!$F$197+(($B$225)-$A190)*'Cálculos'!$F$98)*('Cálculos'!$F$225+'Cálculos'!$F$124*(1+2.78*('Cálculos'!$F$197+(($B$225)-$A190)*'Cálculos'!$F$98)/(('Cálculos'!$F$197+(($B$225)-$A190)*'Cálculos'!$F$98)+1400)+'Cálculos'!$F$122)*'Cálculos'!$F$230+'Cálculos'!$F$125*(1+2.78*('Cálculos'!$F$197+(($B$225)-$A190)*'Cálculos'!$F$98)/(('Cálculos'!$F$197+(($B$225)-$A190)*'Cálculos'!$F$98)+1400)+'Cálculos'!$F$123)*'Cálculos'!$F$235)+('Cálculos'!$F$201*(1+'Cálculos'!$F$202+$A190*('Cálculos'!$F$290=2)*'Cálculos'!$F$101)+'Cálculos'!$F$203)*('Cálculos'!$F$226+'Cálculos'!$F$124*(1+2.78*('Cálculos'!$F$197+(($B$225)-$A190)*'Cálculos'!$F$98)/(('Cálculos'!$F$197+(($B$225)-$A190)*'Cálculos'!$F$98)+1400)+'Cálculos'!$F$122)*'Cálculos'!$F$231+'Cálculos'!$F$125*(1+2.78*('Cálculos'!$F$197+(($B$225)-$A190)*'Cálculos'!$F$98)/(('Cálculos'!$F$197+(($B$225)-$A190)*'Cálculos'!$F$98)+1400)+'Cálculos'!$F$123)*'Cálculos'!$F$236)+('Cálculos'!$F$204*(1+'Cálculos'!$F$205+$A190*('Cálculos'!$F$290=3)*'Cálculos'!$F$103)+'Cálculos'!$F$206)*('Cálculos'!$F$227+'Cálculos'!$F$124*(1+2.78*('Cálculos'!$F$197+(($B$225)-$A190)*'Cálculos'!$F$98)/(('Cálculos'!$F$197+(($B$225)-$A190)*'Cálculos'!$F$98)+1400)+'Cálculos'!$F$122)*'Cálculos'!$F$232+'Cálculos'!$F$125*(1+2.78*('Cálculos'!$F$197+(($B$225)-$A190)*'Cálculos'!$F$98)/(('Cálculos'!$F$197+(($B$225)-$A190)*'Cálculos'!$F$98)+1400)+'Cálculos'!$F$123)*'Cálculos'!$F$237)+('Cálculos'!$F$228+'Cálculos'!$F$124*(1+2.78*('Cálculos'!$F$197+(($B$225)-$A190)*'Cálculos'!$F$98)/(('Cálculos'!$F$197+(($B$225)-$A190)*'Cálculos'!$F$98)+1400)+'Cálculos'!$F$122)*'Cálculos'!$F$233+'Cálculos'!$F$125*(1+2.78*('Cálculos'!$F$197+(($B$225)-$A190)*'Cálculos'!$F$98)/(('Cálculos'!$F$197+(($B$225)-$A190)*'Cálculos'!$F$98)+1400)+'Cálculos'!$F$123)*'Cálculos'!$F$238)+('Cálculos'!$F$185*(1+'Cálculos'!$F$188+$A190*('Cálculos'!$F$290=1)*'Cálculos'!$F$97+'Cálculos'!$F$305)+'Cálculos'!$F$193)*('Cálculos'!$F$239+'Cálculos'!$F$124*(1+2.78*('Cálculos'!$F$198+(($B$225)-$A190)*'Cálculos'!$F$98)/(('Cálculos'!$F$198+(($B$225)-$A190)*'Cálculos'!$F$98)+1400)+'Cálculos'!$F$122)*'Cálculos'!$F$244+'Cálculos'!$F$125*(1+2.78*('Cálculos'!$F$198+(($B$225)-$A190)*'Cálculos'!$F$98)/(('Cálculos'!$F$198+(($B$225)-$A190)*'Cálculos'!$F$98)+1400)+'Cálculos'!$F$123)*'Cálculos'!$F$249)+('Cálculos'!$F$198+(($B$225)-$A190)*'Cálculos'!$F$98)*('Cálculos'!$F$240+'Cálculos'!$F$124*(1+2.78*('Cálculos'!$F$198+(($B$225)-$A190)*'Cálculos'!$F$98)/(('Cálculos'!$F$198+(($B$225)-$A190)*'Cálculos'!$F$98)+1400)+'Cálculos'!$F$122)*'Cálculos'!$F$245+'Cálculos'!$F$125*(1+2.78*('Cálculos'!$F$198+(($B$225)-$A190)*'Cálculos'!$F$98)/(('Cálculos'!$F$198+(($B$225)-$A190)*'Cálculos'!$F$98)+1400)+'Cálculos'!$F$123)*'Cálculos'!$F$250)+('Cálculos'!$F$201*(1+'Cálculos'!$F$202+$A190*('Cálculos'!$F$290=2)*'Cálculos'!$F$101)+'Cálculos'!$F$203)*('Cálculos'!$F$241+'Cálculos'!$F$124*(1+2.78*('Cálculos'!$F$198+(($B$225)-$A190)*'Cálculos'!$F$98)/(('Cálculos'!$F$198+(($B$225)-$A190)*'Cálculos'!$F$98)+1400)+'Cálculos'!$F$122)*'Cálculos'!$F$246+'Cálculos'!$F$125*(1+2.78*('Cálculos'!$F$198+(($B$225)-$A190)*'Cálculos'!$F$98)/(('Cálculos'!$F$198+(($B$225)-$A190)*'Cálculos'!$F$98)+1400)+'Cálculos'!$F$123)*'Cálculos'!$F$251)+('Cálculos'!$F$204*(1+'Cálculos'!$F$205+$A190*('Cálculos'!$F$290=3)*'Cálculos'!$F$103)+'Cálculos'!$F$206)*('Cálculos'!$F$242+'Cálculos'!$F$124*(1+2.78*('Cálculos'!$F$198+(($B$225)-$A190)*'Cálculos'!$F$98)/(('Cálculos'!$F$198+(($B$225)-$A190)*'Cálculos'!$F$98)+1400)+'Cálculos'!$F$122)*'Cálculos'!$F$247+'Cálculos'!$F$125*(1+2.78*('Cálculos'!$F$198+(($B$225)-$A190)*'Cálculos'!$F$98)/(('Cálculos'!$F$198+(($B$225)-$A190)*'Cálculos'!$F$98)+1400)+'Cálculos'!$F$123)*'Cálculos'!$F$252)+('Cálculos'!$F$243+'Cálculos'!$F$124*(1+2.78*('Cálculos'!$F$198+(($B$225)-$A190)*'Cálculos'!$F$98)/(('Cálculos'!$F$198+(($B$225)-$A190)*'Cálculos'!$F$98)+1400)+'Cálculos'!$F$122)*'Cálculos'!$F$248+'Cálculos'!$F$125*(1+2.78*('Cálculos'!$F$198+(($B$225)-$A190)*'Cálculos'!$F$98)/(('Cálculos'!$F$198+(($B$225)-$A190)*'Cálculos'!$F$98)+1400)+'Cálculos'!$F$123)*'Cálculos'!$F$253)+('Cálculos'!$F$185*(1+'Cálculos'!$F$189+$A190*('Cálculos'!$F$290=1)*'Cálculos'!$F$97+'Cálculos'!$F$305)+'Cálculos'!$F$194)*('Cálculos'!$F$254+'Cálculos'!$F$124*(1+2.78*('Cálculos'!$F$199+(($B$225)-$A190)*'Cálculos'!$F$98)/(('Cálculos'!$F$199+(($B$225)-$A190)*'Cálculos'!$F$98)+1400)+'Cálculos'!$F$122)*'Cálculos'!$F$259+'Cálculos'!$F$125*(1+2.78*('Cálculos'!$F$199+(($B$225)-$A190)*'Cálculos'!$F$98)/(('Cálculos'!$F$199+(($B$225)-$A190)*'Cálculos'!$F$98)+1400)+'Cálculos'!$F$123)*'Cálculos'!$F$264)+('Cálculos'!$F$199+(($B$225)-$A190)*'Cálculos'!$F$98)*('Cálculos'!$F$255+'Cálculos'!$F$124*(1+2.78*('Cálculos'!$F$199+(($B$225)-$A190)*'Cálculos'!$F$98)/(('Cálculos'!$F$199+(($B$225)-$A190)*'Cálculos'!$F$98)+1400)+'Cálculos'!$F$122)*'Cálculos'!$F$260+'Cálculos'!$F$125*(1+2.78*('Cálculos'!$F$199+(($B$225)-$A190)*'Cálculos'!$F$98)/(('Cálculos'!$F$199+(($B$225)-$A190)*'Cálculos'!$F$98)+1400)+'Cálculos'!$F$123)*'Cálculos'!$F$265)+('Cálculos'!$F$201*(1+'Cálculos'!$F$202+$A190*('Cálculos'!$F$290=2)*'Cálculos'!$F$101)+'Cálculos'!$F$203)*('Cálculos'!$F$256+'Cálculos'!$F$124*(1+2.78*('Cálculos'!$F$199+(($B$225)-$A190)*'Cálculos'!$F$98)/(('Cálculos'!$F$199+(($B$225)-$A190)*'Cálculos'!$F$98)+1400)+'Cálculos'!$F$122)*'Cálculos'!$F$261+'Cálculos'!$F$125*(1+2.78*('Cálculos'!$F$199+(($B$225)-$A190)*'Cálculos'!$F$98)/(('Cálculos'!$F$199+(($B$225)-$A190)*'Cálculos'!$F$98)+1400)+'Cálculos'!$F$123)*'Cálculos'!$F$266)+('Cálculos'!$F$204*(1+'Cálculos'!$F$205+$A190*('Cálculos'!$F$290=3)*'Cálculos'!$F$103)+'Cálculos'!$F$206)*('Cálculos'!$F$257+'Cálculos'!$F$124*(1+2.78*('Cálculos'!$F$199+(($B$225)-$A190)*'Cálculos'!$F$98)/(('Cálculos'!$F$199+(($B$225)-$A190)*'Cálculos'!$F$98)+1400)+'Cálculos'!$F$122)*'Cálculos'!$F$262+'Cálculos'!$F$125*(1+2.78*('Cálculos'!$F$199+(($B$225)-$A190)*'Cálculos'!$F$98)/(('Cálculos'!$F$199+(($B$225)-$A190)*'Cálculos'!$F$98)+1400)+'Cálculos'!$F$123)*'Cálculos'!$F$267)+('Cálculos'!$F$258+'Cálculos'!$F$124*(1+2.78*('Cálculos'!$F$199+(($B$225)-$A190)*'Cálculos'!$F$98)/(('Cálculos'!$F$199+(($B$225)-$A190)*'Cálculos'!$F$98)+1400)+'Cálculos'!$F$122)*'Cálculos'!$F$263+'Cálculos'!$F$125*(1+2.78*('Cálculos'!$F$199+(($B$225)-$A190)*'Cálculos'!$F$98)/(('Cálculos'!$F$199+(($B$225)-$A190)*'Cálculos'!$F$98)+1400)+'Cálculos'!$F$123)*'Cálculos'!$F$268)+('Cálculos'!$F$185*(1+'Cálculos'!$F$190+$A190*('Cálculos'!$F$290=1)*'Cálculos'!$F$97+'Cálculos'!$F$305)+'Cálculos'!$F$195)*('Cálculos'!$F$269+'Cálculos'!$F$124*(1+2.78*('Cálculos'!$F$200+(($B$225)-$A190)*'Cálculos'!$F$98)/(('Cálculos'!$F$200+(($B$225)-$A190)*'Cálculos'!$F$98)+1400)+'Cálculos'!$F$122)*'Cálculos'!$F$274+'Cálculos'!$F$125*(1+2.78*('Cálculos'!$F$200+(($B$225)-$A190)*'Cálculos'!$F$98)/(('Cálculos'!$F$200+(($B$225)-$A190)*'Cálculos'!$F$98)+1400)+'Cálculos'!$F$123)*'Cálculos'!$F$279)+('Cálculos'!$F$200+(($B$225)-$A190)*'Cálculos'!$F$98)*('Cálculos'!$F$270+'Cálculos'!$F$124*(1+2.78*('Cálculos'!$F$200+(($B$225)-$A190)*'Cálculos'!$F$98)/(('Cálculos'!$F$200+(($B$225)-$A190)*'Cálculos'!$F$98)+1400)+'Cálculos'!$F$122)*'Cálculos'!$F$275+'Cálculos'!$F$125*(1+2.78*('Cálculos'!$F$200+(($B$225)-$A190)*'Cálculos'!$F$98)/(('Cálculos'!$F$200+(($B$225)-$A190)*'Cálculos'!$F$98)+1400)+'Cálculos'!$F$123)*'Cálculos'!$F$280)+('Cálculos'!$F$201*(1+'Cálculos'!$F$202+$A190*('Cálculos'!$F$290=2)*'Cálculos'!$F$101)+'Cálculos'!$F$203)*('Cálculos'!$F$271+'Cálculos'!$F$124*(1+2.78*('Cálculos'!$F$200+(($B$225)-$A190)*'Cálculos'!$F$98)/(('Cálculos'!$F$200+(($B$225)-$A190)*'Cálculos'!$F$98)+1400)+'Cálculos'!$F$122)*'Cálculos'!$F$276+'Cálculos'!$F$125*(1+2.78*('Cálculos'!$F$200+(($B$225)-$A190)*'Cálculos'!$F$98)/(('Cálculos'!$F$200+(($B$225)-$A190)*'Cálculos'!$F$98)+1400)+'Cálculos'!$F$123)*'Cálculos'!$F$281)+('Cálculos'!$F$204*(1+'Cálculos'!$F$205+$A190*('Cálculos'!$F$290=3)*'Cálculos'!$F$103)+'Cálculos'!$F$206)*('Cálculos'!$F$272+'Cálculos'!$F$124*(1+2.78*('Cálculos'!$F$200+(($B$225)-$A190)*'Cálculos'!$F$98)/(('Cálculos'!$F$200+(($B$225)-$A190)*'Cálculos'!$F$98)+1400)+'Cálculos'!$F$122)*'Cálculos'!$F$277+'Cálculos'!$F$125*(1+2.78*('Cálculos'!$F$200+(($B$225)-$A190)*'Cálculos'!$F$98)/(('Cálculos'!$F$200+(($B$225)-$A190)*'Cálculos'!$F$98)+1400)+'Cálculos'!$F$123)*'Cálculos'!$F$282)+('Cálculos'!$F$273+'Cálculos'!$F$124*(1+2.78*('Cálculos'!$F$200+(($B$225)-$A190)*'Cálculos'!$F$98)/(('Cálculos'!$F$200+(($B$225)-$A190)*'Cálculos'!$F$98)+1400)+'Cálculos'!$F$122)*'Cálculos'!$F$278+'Cálculos'!$F$125*(1+2.78*('Cálculos'!$F$200+(($B$225)-$A190)*'Cálculos'!$F$98)/(('Cálculos'!$F$200+(($B$225)-$A190)*'Cálculos'!$F$98)+1400)+'Cálculos'!$F$123)*'Cálculos'!$F$283)))</f>
        <v>0</v>
      </c>
    </row>
    <row r="191" ht="15.75" customHeight="1">
      <c r="A191" s="2">
        <v>14.0</v>
      </c>
      <c r="B191" s="30">
        <f>SUMPRODUCT(MAX(($A$177:$A$222&lt;=$A191)*($A$177:$A$222&lt;='Cálculos'!$F$294)*(($A191)-$A$177:$A$222&lt;='Cálculos'!$F$295)*(1+(('Cálculos'!$F$207+$A$177:$A$222*'Cálculos'!$F$95)-(('Cálculos'!$F$207+$A$177:$A$222*'Cálculos'!$F$95)&gt;1)*(('Cálculos'!$F$207+$A$177:$A$222*'Cálculos'!$F$95)-1))*('Cálculos'!$F$208+(($A191)-$A$177:$A$222)*'Cálculos'!$F$96))))</f>
        <v>2.163509</v>
      </c>
      <c r="C191" s="2">
        <f>'Cálculos'!$F$303-$A191</f>
        <v>4</v>
      </c>
      <c r="D191" s="31">
        <f>IF($C191&lt;0,0,SUMPRODUCT(MAX(($A$177:$A$222&lt;=$C191)*($A$177:$A$222&lt;='Cálculos'!$F$301)*(($C191)-$A$177:$A$222&lt;='Cálculos'!$F$297)*(('Cálculos'!$F$185*(1+'Cálculos'!$F$186+$A$177:$A$222*('Cálculos'!$F$290=1)*'Cálculos'!$F$97+'Cálculos'!$F$305)+'Cálculos'!$F$191)*('Cálculos'!$F$209+'Cálculos'!$F$124*(1+2.78*('Cálculos'!$F$196+(($C191)-$A$177:$A$222)*'Cálculos'!$F$98)/(('Cálculos'!$F$196+(($C191)-$A$177:$A$222)*'Cálculos'!$F$98)+1400)+'Cálculos'!$F$122)*'Cálculos'!$F$214+'Cálculos'!$F$125*(1+2.78*('Cálculos'!$F$196+(($C191)-$A$177:$A$222)*'Cálculos'!$F$98)/(('Cálculos'!$F$196+(($C191)-$A$177:$A$222)*'Cálculos'!$F$98)+1400)+'Cálculos'!$F$123)*'Cálculos'!$F$219)+('Cálculos'!$F$196+(($C191)-$A$177:$A$222)*'Cálculos'!$F$98)*('Cálculos'!$F$210+'Cálculos'!$F$124*(1+2.78*('Cálculos'!$F$196+(($C191)-$A$177:$A$222)*'Cálculos'!$F$98)/(('Cálculos'!$F$196+(($C191)-$A$177:$A$222)*'Cálculos'!$F$98)+1400)+'Cálculos'!$F$122)*'Cálculos'!$F$215+'Cálculos'!$F$125*(1+2.78*('Cálculos'!$F$196+(($C191)-$A$177:$A$222)*'Cálculos'!$F$98)/(('Cálculos'!$F$196+(($C191)-$A$177:$A$222)*'Cálculos'!$F$98)+1400)+'Cálculos'!$F$123)*'Cálculos'!$F$220)+('Cálculos'!$F$201*(1+'Cálculos'!$F$202+$A$177:$A$222*('Cálculos'!$F$290=2)*'Cálculos'!$F$101)+'Cálculos'!$F$203)*('Cálculos'!$F$211+'Cálculos'!$F$124*(1+2.78*('Cálculos'!$F$196+(($C191)-$A$177:$A$222)*'Cálculos'!$F$98)/(('Cálculos'!$F$196+(($C191)-$A$177:$A$222)*'Cálculos'!$F$98)+1400)+'Cálculos'!$F$122)*'Cálculos'!$F$216+'Cálculos'!$F$125*(1+2.78*('Cálculos'!$F$196+(($C191)-$A$177:$A$222)*'Cálculos'!$F$98)/(('Cálculos'!$F$196+(($C191)-$A$177:$A$222)*'Cálculos'!$F$98)+1400)+'Cálculos'!$F$123)*'Cálculos'!$F$221)+('Cálculos'!$F$204*(1+'Cálculos'!$F$205+$A$177:$A$222*('Cálculos'!$F$290=3)*'Cálculos'!$F$103)+'Cálculos'!$F$206)*('Cálculos'!$F$212+'Cálculos'!$F$124*(1+2.78*('Cálculos'!$F$196+(($C191)-$A$177:$A$222)*'Cálculos'!$F$98)/(('Cálculos'!$F$196+(($C191)-$A$177:$A$222)*'Cálculos'!$F$98)+1400)+'Cálculos'!$F$122)*'Cálculos'!$F$217+'Cálculos'!$F$125*(1+2.78*('Cálculos'!$F$196+(($C191)-$A$177:$A$222)*'Cálculos'!$F$98)/(('Cálculos'!$F$196+(($C191)-$A$177:$A$222)*'Cálculos'!$F$98)+1400)+'Cálculos'!$F$123)*'Cálculos'!$F$222)+('Cálculos'!$F$213+'Cálculos'!$F$124*(1+2.78*('Cálculos'!$F$196+(($C191)-$A$177:$A$222)*'Cálculos'!$F$98)/(('Cálculos'!$F$196+(($C191)-$A$177:$A$222)*'Cálculos'!$F$98)+1400)+'Cálculos'!$F$122)*'Cálculos'!$F$218+'Cálculos'!$F$125*(1+2.78*('Cálculos'!$F$196+(($C191)-$A$177:$A$222)*'Cálculos'!$F$98)/(('Cálculos'!$F$196+(($C191)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191)-$A$177:$A$222)*'Cálculos'!$F$98)/(('Cálculos'!$F$197+(($C191)-$A$177:$A$222)*'Cálculos'!$F$98)+1400)+'Cálculos'!$F$122)*'Cálculos'!$F$229+'Cálculos'!$F$125*(1+2.78*('Cálculos'!$F$197+(($C191)-$A$177:$A$222)*'Cálculos'!$F$98)/(('Cálculos'!$F$197+(($C191)-$A$177:$A$222)*'Cálculos'!$F$98)+1400)+'Cálculos'!$F$123)*'Cálculos'!$F$234)+('Cálculos'!$F$197+(($C191)-$A$177:$A$222)*'Cálculos'!$F$98)*('Cálculos'!$F$225+'Cálculos'!$F$124*(1+2.78*('Cálculos'!$F$197+(($C191)-$A$177:$A$222)*'Cálculos'!$F$98)/(('Cálculos'!$F$197+(($C191)-$A$177:$A$222)*'Cálculos'!$F$98)+1400)+'Cálculos'!$F$122)*'Cálculos'!$F$230+'Cálculos'!$F$125*(1+2.78*('Cálculos'!$F$197+(($C191)-$A$177:$A$222)*'Cálculos'!$F$98)/(('Cálculos'!$F$197+(($C191)-$A$177:$A$222)*'Cálculos'!$F$98)+1400)+'Cálculos'!$F$123)*'Cálculos'!$F$235)+('Cálculos'!$F$201*(1+'Cálculos'!$F$202+$A$177:$A$222*('Cálculos'!$F$290=2)*'Cálculos'!$F$101)+'Cálculos'!$F$203)*('Cálculos'!$F$226+'Cálculos'!$F$124*(1+2.78*('Cálculos'!$F$197+(($C191)-$A$177:$A$222)*'Cálculos'!$F$98)/(('Cálculos'!$F$197+(($C191)-$A$177:$A$222)*'Cálculos'!$F$98)+1400)+'Cálculos'!$F$122)*'Cálculos'!$F$231+'Cálculos'!$F$125*(1+2.78*('Cálculos'!$F$197+(($C191)-$A$177:$A$222)*'Cálculos'!$F$98)/(('Cálculos'!$F$197+(($C191)-$A$177:$A$222)*'Cálculos'!$F$98)+1400)+'Cálculos'!$F$123)*'Cálculos'!$F$236)+('Cálculos'!$F$204*(1+'Cálculos'!$F$205+$A$177:$A$222*('Cálculos'!$F$290=3)*'Cálculos'!$F$103)+'Cálculos'!$F$206)*('Cálculos'!$F$227+'Cálculos'!$F$124*(1+2.78*('Cálculos'!$F$197+(($C191)-$A$177:$A$222)*'Cálculos'!$F$98)/(('Cálculos'!$F$197+(($C191)-$A$177:$A$222)*'Cálculos'!$F$98)+1400)+'Cálculos'!$F$122)*'Cálculos'!$F$232+'Cálculos'!$F$125*(1+2.78*('Cálculos'!$F$197+(($C191)-$A$177:$A$222)*'Cálculos'!$F$98)/(('Cálculos'!$F$197+(($C191)-$A$177:$A$222)*'Cálculos'!$F$98)+1400)+'Cálculos'!$F$123)*'Cálculos'!$F$237)+('Cálculos'!$F$228+'Cálculos'!$F$124*(1+2.78*('Cálculos'!$F$197+(($C191)-$A$177:$A$222)*'Cálculos'!$F$98)/(('Cálculos'!$F$197+(($C191)-$A$177:$A$222)*'Cálculos'!$F$98)+1400)+'Cálculos'!$F$122)*'Cálculos'!$F$233+'Cálculos'!$F$125*(1+2.78*('Cálculos'!$F$197+(($C191)-$A$177:$A$222)*'Cálculos'!$F$98)/(('Cálculos'!$F$197+(($C191)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191)-$A$177:$A$222)*'Cálculos'!$F$98)/(('Cálculos'!$F$198+(($C191)-$A$177:$A$222)*'Cálculos'!$F$98)+1400)+'Cálculos'!$F$122)*'Cálculos'!$F$244+'Cálculos'!$F$125*(1+2.78*('Cálculos'!$F$198+(($C191)-$A$177:$A$222)*'Cálculos'!$F$98)/(('Cálculos'!$F$198+(($C191)-$A$177:$A$222)*'Cálculos'!$F$98)+1400)+'Cálculos'!$F$123)*'Cálculos'!$F$249)+('Cálculos'!$F$198+(($C191)-$A$177:$A$222)*'Cálculos'!$F$98)*('Cálculos'!$F$240+'Cálculos'!$F$124*(1+2.78*('Cálculos'!$F$198+(($C191)-$A$177:$A$222)*'Cálculos'!$F$98)/(('Cálculos'!$F$198+(($C191)-$A$177:$A$222)*'Cálculos'!$F$98)+1400)+'Cálculos'!$F$122)*'Cálculos'!$F$245+'Cálculos'!$F$125*(1+2.78*('Cálculos'!$F$198+(($C191)-$A$177:$A$222)*'Cálculos'!$F$98)/(('Cálculos'!$F$198+(($C191)-$A$177:$A$222)*'Cálculos'!$F$98)+1400)+'Cálculos'!$F$123)*'Cálculos'!$F$250)+('Cálculos'!$F$201*(1+'Cálculos'!$F$202+$A$177:$A$222*('Cálculos'!$F$290=2)*'Cálculos'!$F$101)+'Cálculos'!$F$203)*('Cálculos'!$F$241+'Cálculos'!$F$124*(1+2.78*('Cálculos'!$F$198+(($C191)-$A$177:$A$222)*'Cálculos'!$F$98)/(('Cálculos'!$F$198+(($C191)-$A$177:$A$222)*'Cálculos'!$F$98)+1400)+'Cálculos'!$F$122)*'Cálculos'!$F$246+'Cálculos'!$F$125*(1+2.78*('Cálculos'!$F$198+(($C191)-$A$177:$A$222)*'Cálculos'!$F$98)/(('Cálculos'!$F$198+(($C191)-$A$177:$A$222)*'Cálculos'!$F$98)+1400)+'Cálculos'!$F$123)*'Cálculos'!$F$251)+('Cálculos'!$F$204*(1+'Cálculos'!$F$205+$A$177:$A$222*('Cálculos'!$F$290=3)*'Cálculos'!$F$103)+'Cálculos'!$F$206)*('Cálculos'!$F$242+'Cálculos'!$F$124*(1+2.78*('Cálculos'!$F$198+(($C191)-$A$177:$A$222)*'Cálculos'!$F$98)/(('Cálculos'!$F$198+(($C191)-$A$177:$A$222)*'Cálculos'!$F$98)+1400)+'Cálculos'!$F$122)*'Cálculos'!$F$247+'Cálculos'!$F$125*(1+2.78*('Cálculos'!$F$198+(($C191)-$A$177:$A$222)*'Cálculos'!$F$98)/(('Cálculos'!$F$198+(($C191)-$A$177:$A$222)*'Cálculos'!$F$98)+1400)+'Cálculos'!$F$123)*'Cálculos'!$F$252)+('Cálculos'!$F$243+'Cálculos'!$F$124*(1+2.78*('Cálculos'!$F$198+(($C191)-$A$177:$A$222)*'Cálculos'!$F$98)/(('Cálculos'!$F$198+(($C191)-$A$177:$A$222)*'Cálculos'!$F$98)+1400)+'Cálculos'!$F$122)*'Cálculos'!$F$248+'Cálculos'!$F$125*(1+2.78*('Cálculos'!$F$198+(($C191)-$A$177:$A$222)*'Cálculos'!$F$98)/(('Cálculos'!$F$198+(($C191)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191)-$A$177:$A$222)*'Cálculos'!$F$98)/(('Cálculos'!$F$199+(($C191)-$A$177:$A$222)*'Cálculos'!$F$98)+1400)+'Cálculos'!$F$122)*'Cálculos'!$F$259+'Cálculos'!$F$125*(1+2.78*('Cálculos'!$F$199+(($C191)-$A$177:$A$222)*'Cálculos'!$F$98)/(('Cálculos'!$F$199+(($C191)-$A$177:$A$222)*'Cálculos'!$F$98)+1400)+'Cálculos'!$F$123)*'Cálculos'!$F$264)+('Cálculos'!$F$199+(($C191)-$A$177:$A$222)*'Cálculos'!$F$98)*('Cálculos'!$F$255+'Cálculos'!$F$124*(1+2.78*('Cálculos'!$F$199+(($C191)-$A$177:$A$222)*'Cálculos'!$F$98)/(('Cálculos'!$F$199+(($C191)-$A$177:$A$222)*'Cálculos'!$F$98)+1400)+'Cálculos'!$F$122)*'Cálculos'!$F$260+'Cálculos'!$F$125*(1+2.78*('Cálculos'!$F$199+(($C191)-$A$177:$A$222)*'Cálculos'!$F$98)/(('Cálculos'!$F$199+(($C191)-$A$177:$A$222)*'Cálculos'!$F$98)+1400)+'Cálculos'!$F$123)*'Cálculos'!$F$265)+('Cálculos'!$F$201*(1+'Cálculos'!$F$202+$A$177:$A$222*('Cálculos'!$F$290=2)*'Cálculos'!$F$101)+'Cálculos'!$F$203)*('Cálculos'!$F$256+'Cálculos'!$F$124*(1+2.78*('Cálculos'!$F$199+(($C191)-$A$177:$A$222)*'Cálculos'!$F$98)/(('Cálculos'!$F$199+(($C191)-$A$177:$A$222)*'Cálculos'!$F$98)+1400)+'Cálculos'!$F$122)*'Cálculos'!$F$261+'Cálculos'!$F$125*(1+2.78*('Cálculos'!$F$199+(($C191)-$A$177:$A$222)*'Cálculos'!$F$98)/(('Cálculos'!$F$199+(($C191)-$A$177:$A$222)*'Cálculos'!$F$98)+1400)+'Cálculos'!$F$123)*'Cálculos'!$F$266)+('Cálculos'!$F$204*(1+'Cálculos'!$F$205+$A$177:$A$222*('Cálculos'!$F$290=3)*'Cálculos'!$F$103)+'Cálculos'!$F$206)*('Cálculos'!$F$257+'Cálculos'!$F$124*(1+2.78*('Cálculos'!$F$199+(($C191)-$A$177:$A$222)*'Cálculos'!$F$98)/(('Cálculos'!$F$199+(($C191)-$A$177:$A$222)*'Cálculos'!$F$98)+1400)+'Cálculos'!$F$122)*'Cálculos'!$F$262+'Cálculos'!$F$125*(1+2.78*('Cálculos'!$F$199+(($C191)-$A$177:$A$222)*'Cálculos'!$F$98)/(('Cálculos'!$F$199+(($C191)-$A$177:$A$222)*'Cálculos'!$F$98)+1400)+'Cálculos'!$F$123)*'Cálculos'!$F$267)+('Cálculos'!$F$258+'Cálculos'!$F$124*(1+2.78*('Cálculos'!$F$199+(($C191)-$A$177:$A$222)*'Cálculos'!$F$98)/(('Cálculos'!$F$199+(($C191)-$A$177:$A$222)*'Cálculos'!$F$98)+1400)+'Cálculos'!$F$122)*'Cálculos'!$F$263+'Cálculos'!$F$125*(1+2.78*('Cálculos'!$F$199+(($C191)-$A$177:$A$222)*'Cálculos'!$F$98)/(('Cálculos'!$F$199+(($C191)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191)-$A$177:$A$222)*'Cálculos'!$F$98)/(('Cálculos'!$F$200+(($C191)-$A$177:$A$222)*'Cálculos'!$F$98)+1400)+'Cálculos'!$F$122)*'Cálculos'!$F$274+'Cálculos'!$F$125*(1+2.78*('Cálculos'!$F$200+(($C191)-$A$177:$A$222)*'Cálculos'!$F$98)/(('Cálculos'!$F$200+(($C191)-$A$177:$A$222)*'Cálculos'!$F$98)+1400)+'Cálculos'!$F$123)*'Cálculos'!$F$279)+('Cálculos'!$F$200+(($C191)-$A$177:$A$222)*'Cálculos'!$F$98)*('Cálculos'!$F$270+'Cálculos'!$F$124*(1+2.78*('Cálculos'!$F$200+(($C191)-$A$177:$A$222)*'Cálculos'!$F$98)/(('Cálculos'!$F$200+(($C191)-$A$177:$A$222)*'Cálculos'!$F$98)+1400)+'Cálculos'!$F$122)*'Cálculos'!$F$275+'Cálculos'!$F$125*(1+2.78*('Cálculos'!$F$200+(($C191)-$A$177:$A$222)*'Cálculos'!$F$98)/(('Cálculos'!$F$200+(($C191)-$A$177:$A$222)*'Cálculos'!$F$98)+1400)+'Cálculos'!$F$123)*'Cálculos'!$F$280)+('Cálculos'!$F$201*(1+'Cálculos'!$F$202+$A$177:$A$222*('Cálculos'!$F$290=2)*'Cálculos'!$F$101)+'Cálculos'!$F$203)*('Cálculos'!$F$271+'Cálculos'!$F$124*(1+2.78*('Cálculos'!$F$200+(($C191)-$A$177:$A$222)*'Cálculos'!$F$98)/(('Cálculos'!$F$200+(($C191)-$A$177:$A$222)*'Cálculos'!$F$98)+1400)+'Cálculos'!$F$122)*'Cálculos'!$F$276+'Cálculos'!$F$125*(1+2.78*('Cálculos'!$F$200+(($C191)-$A$177:$A$222)*'Cálculos'!$F$98)/(('Cálculos'!$F$200+(($C191)-$A$177:$A$222)*'Cálculos'!$F$98)+1400)+'Cálculos'!$F$123)*'Cálculos'!$F$281)+('Cálculos'!$F$204*(1+'Cálculos'!$F$205+$A$177:$A$222*('Cálculos'!$F$290=3)*'Cálculos'!$F$103)+'Cálculos'!$F$206)*('Cálculos'!$F$272+'Cálculos'!$F$124*(1+2.78*('Cálculos'!$F$200+(($C191)-$A$177:$A$222)*'Cálculos'!$F$98)/(('Cálculos'!$F$200+(($C191)-$A$177:$A$222)*'Cálculos'!$F$98)+1400)+'Cálculos'!$F$122)*'Cálculos'!$F$277+'Cálculos'!$F$125*(1+2.78*('Cálculos'!$F$200+(($C191)-$A$177:$A$222)*'Cálculos'!$F$98)/(('Cálculos'!$F$200+(($C191)-$A$177:$A$222)*'Cálculos'!$F$98)+1400)+'Cálculos'!$F$123)*'Cálculos'!$F$282)+('Cálculos'!$F$273+'Cálculos'!$F$124*(1+2.78*('Cálculos'!$F$200+(($C191)-$A$177:$A$222)*'Cálculos'!$F$98)/(('Cálculos'!$F$200+(($C191)-$A$177:$A$222)*'Cálculos'!$F$98)+1400)+'Cálculos'!$F$122)*'Cálculos'!$F$278+'Cálculos'!$F$125*(1+2.78*('Cálculos'!$F$200+(($C191)-$A$177:$A$222)*'Cálculos'!$F$98)/(('Cálculos'!$F$200+(($C191)-$A$177:$A$222)*'Cálculos'!$F$98)+1400)+'Cálculos'!$F$123)*'Cálculos'!$F$283)))))</f>
        <v>20240.9245</v>
      </c>
      <c r="E191" s="32">
        <f>IF(OR($C191&lt;0,'Cálculos'!$F$6=""),0,$B191*$D191)</f>
        <v>43791.42233</v>
      </c>
      <c r="F191" s="2"/>
      <c r="G191" s="30">
        <f>($A191&lt;=$B$224)*($A191&lt;='Cálculos'!$F$294)*(($B$224)-$A191&lt;='Cálculos'!$F$295)*(1+MIN(('Cálculos'!$F$207+$A191*'Cálculos'!$F$95),1)*('Cálculos'!$F$208+(($B$224)-$A191)*'Cálculos'!$F$96))</f>
        <v>2.366393</v>
      </c>
      <c r="H191" s="31">
        <f>IF($B$225&lt;0,0,($A191&lt;=$B$225)*($A191&lt;='Cálculos'!$F$301)*(($B$225)-$A191&lt;='Cálculos'!$F$297)*(('Cálculos'!$F$185*(1+'Cálculos'!$F$186+$A191*('Cálculos'!$F$290=1)*'Cálculos'!$F$97+'Cálculos'!$F$305)+'Cálculos'!$F$191)*('Cálculos'!$F$209+'Cálculos'!$F$124*(1+2.78*('Cálculos'!$F$196+(($B$225)-$A191)*'Cálculos'!$F$98)/(('Cálculos'!$F$196+(($B$225)-$A191)*'Cálculos'!$F$98)+1400)+'Cálculos'!$F$122)*'Cálculos'!$F$214+'Cálculos'!$F$125*(1+2.78*('Cálculos'!$F$196+(($B$225)-$A191)*'Cálculos'!$F$98)/(('Cálculos'!$F$196+(($B$225)-$A191)*'Cálculos'!$F$98)+1400)+'Cálculos'!$F$123)*'Cálculos'!$F$219)+('Cálculos'!$F$196+(($B$225)-$A191)*'Cálculos'!$F$98)*('Cálculos'!$F$210+'Cálculos'!$F$124*(1+2.78*('Cálculos'!$F$196+(($B$225)-$A191)*'Cálculos'!$F$98)/(('Cálculos'!$F$196+(($B$225)-$A191)*'Cálculos'!$F$98)+1400)+'Cálculos'!$F$122)*'Cálculos'!$F$215+'Cálculos'!$F$125*(1+2.78*('Cálculos'!$F$196+(($B$225)-$A191)*'Cálculos'!$F$98)/(('Cálculos'!$F$196+(($B$225)-$A191)*'Cálculos'!$F$98)+1400)+'Cálculos'!$F$123)*'Cálculos'!$F$220)+('Cálculos'!$F$201*(1+'Cálculos'!$F$202+$A191*('Cálculos'!$F$290=2)*'Cálculos'!$F$101)+'Cálculos'!$F$203)*('Cálculos'!$F$211+'Cálculos'!$F$124*(1+2.78*('Cálculos'!$F$196+(($B$225)-$A191)*'Cálculos'!$F$98)/(('Cálculos'!$F$196+(($B$225)-$A191)*'Cálculos'!$F$98)+1400)+'Cálculos'!$F$122)*'Cálculos'!$F$216+'Cálculos'!$F$125*(1+2.78*('Cálculos'!$F$196+(($B$225)-$A191)*'Cálculos'!$F$98)/(('Cálculos'!$F$196+(($B$225)-$A191)*'Cálculos'!$F$98)+1400)+'Cálculos'!$F$123)*'Cálculos'!$F$221)+('Cálculos'!$F$204*(1+'Cálculos'!$F$205+$A191*('Cálculos'!$F$290=3)*'Cálculos'!$F$103)+'Cálculos'!$F$206)*('Cálculos'!$F$212+'Cálculos'!$F$124*(1+2.78*('Cálculos'!$F$196+(($B$225)-$A191)*'Cálculos'!$F$98)/(('Cálculos'!$F$196+(($B$225)-$A191)*'Cálculos'!$F$98)+1400)+'Cálculos'!$F$122)*'Cálculos'!$F$217+'Cálculos'!$F$125*(1+2.78*('Cálculos'!$F$196+(($B$225)-$A191)*'Cálculos'!$F$98)/(('Cálculos'!$F$196+(($B$225)-$A191)*'Cálculos'!$F$98)+1400)+'Cálculos'!$F$123)*'Cálculos'!$F$222)+('Cálculos'!$F$213+'Cálculos'!$F$124*(1+2.78*('Cálculos'!$F$196+(($B$225)-$A191)*'Cálculos'!$F$98)/(('Cálculos'!$F$196+(($B$225)-$A191)*'Cálculos'!$F$98)+1400)+'Cálculos'!$F$122)*'Cálculos'!$F$218+'Cálculos'!$F$125*(1+2.78*('Cálculos'!$F$196+(($B$225)-$A191)*'Cálculos'!$F$98)/(('Cálculos'!$F$196+(($B$225)-$A191)*'Cálculos'!$F$98)+1400)+'Cálculos'!$F$123)*'Cálculos'!$F$223)+('Cálculos'!$F$185*(1+'Cálculos'!$F$187+$A191*('Cálculos'!$F$290=1)*'Cálculos'!$F$97+'Cálculos'!$F$305)+'Cálculos'!$F$192)*('Cálculos'!$F$224+'Cálculos'!$F$124*(1+2.78*('Cálculos'!$F$197+(($B$225)-$A191)*'Cálculos'!$F$98)/(('Cálculos'!$F$197+(($B$225)-$A191)*'Cálculos'!$F$98)+1400)+'Cálculos'!$F$122)*'Cálculos'!$F$229+'Cálculos'!$F$125*(1+2.78*('Cálculos'!$F$197+(($B$225)-$A191)*'Cálculos'!$F$98)/(('Cálculos'!$F$197+(($B$225)-$A191)*'Cálculos'!$F$98)+1400)+'Cálculos'!$F$123)*'Cálculos'!$F$234)+('Cálculos'!$F$197+(($B$225)-$A191)*'Cálculos'!$F$98)*('Cálculos'!$F$225+'Cálculos'!$F$124*(1+2.78*('Cálculos'!$F$197+(($B$225)-$A191)*'Cálculos'!$F$98)/(('Cálculos'!$F$197+(($B$225)-$A191)*'Cálculos'!$F$98)+1400)+'Cálculos'!$F$122)*'Cálculos'!$F$230+'Cálculos'!$F$125*(1+2.78*('Cálculos'!$F$197+(($B$225)-$A191)*'Cálculos'!$F$98)/(('Cálculos'!$F$197+(($B$225)-$A191)*'Cálculos'!$F$98)+1400)+'Cálculos'!$F$123)*'Cálculos'!$F$235)+('Cálculos'!$F$201*(1+'Cálculos'!$F$202+$A191*('Cálculos'!$F$290=2)*'Cálculos'!$F$101)+'Cálculos'!$F$203)*('Cálculos'!$F$226+'Cálculos'!$F$124*(1+2.78*('Cálculos'!$F$197+(($B$225)-$A191)*'Cálculos'!$F$98)/(('Cálculos'!$F$197+(($B$225)-$A191)*'Cálculos'!$F$98)+1400)+'Cálculos'!$F$122)*'Cálculos'!$F$231+'Cálculos'!$F$125*(1+2.78*('Cálculos'!$F$197+(($B$225)-$A191)*'Cálculos'!$F$98)/(('Cálculos'!$F$197+(($B$225)-$A191)*'Cálculos'!$F$98)+1400)+'Cálculos'!$F$123)*'Cálculos'!$F$236)+('Cálculos'!$F$204*(1+'Cálculos'!$F$205+$A191*('Cálculos'!$F$290=3)*'Cálculos'!$F$103)+'Cálculos'!$F$206)*('Cálculos'!$F$227+'Cálculos'!$F$124*(1+2.78*('Cálculos'!$F$197+(($B$225)-$A191)*'Cálculos'!$F$98)/(('Cálculos'!$F$197+(($B$225)-$A191)*'Cálculos'!$F$98)+1400)+'Cálculos'!$F$122)*'Cálculos'!$F$232+'Cálculos'!$F$125*(1+2.78*('Cálculos'!$F$197+(($B$225)-$A191)*'Cálculos'!$F$98)/(('Cálculos'!$F$197+(($B$225)-$A191)*'Cálculos'!$F$98)+1400)+'Cálculos'!$F$123)*'Cálculos'!$F$237)+('Cálculos'!$F$228+'Cálculos'!$F$124*(1+2.78*('Cálculos'!$F$197+(($B$225)-$A191)*'Cálculos'!$F$98)/(('Cálculos'!$F$197+(($B$225)-$A191)*'Cálculos'!$F$98)+1400)+'Cálculos'!$F$122)*'Cálculos'!$F$233+'Cálculos'!$F$125*(1+2.78*('Cálculos'!$F$197+(($B$225)-$A191)*'Cálculos'!$F$98)/(('Cálculos'!$F$197+(($B$225)-$A191)*'Cálculos'!$F$98)+1400)+'Cálculos'!$F$123)*'Cálculos'!$F$238)+('Cálculos'!$F$185*(1+'Cálculos'!$F$188+$A191*('Cálculos'!$F$290=1)*'Cálculos'!$F$97+'Cálculos'!$F$305)+'Cálculos'!$F$193)*('Cálculos'!$F$239+'Cálculos'!$F$124*(1+2.78*('Cálculos'!$F$198+(($B$225)-$A191)*'Cálculos'!$F$98)/(('Cálculos'!$F$198+(($B$225)-$A191)*'Cálculos'!$F$98)+1400)+'Cálculos'!$F$122)*'Cálculos'!$F$244+'Cálculos'!$F$125*(1+2.78*('Cálculos'!$F$198+(($B$225)-$A191)*'Cálculos'!$F$98)/(('Cálculos'!$F$198+(($B$225)-$A191)*'Cálculos'!$F$98)+1400)+'Cálculos'!$F$123)*'Cálculos'!$F$249)+('Cálculos'!$F$198+(($B$225)-$A191)*'Cálculos'!$F$98)*('Cálculos'!$F$240+'Cálculos'!$F$124*(1+2.78*('Cálculos'!$F$198+(($B$225)-$A191)*'Cálculos'!$F$98)/(('Cálculos'!$F$198+(($B$225)-$A191)*'Cálculos'!$F$98)+1400)+'Cálculos'!$F$122)*'Cálculos'!$F$245+'Cálculos'!$F$125*(1+2.78*('Cálculos'!$F$198+(($B$225)-$A191)*'Cálculos'!$F$98)/(('Cálculos'!$F$198+(($B$225)-$A191)*'Cálculos'!$F$98)+1400)+'Cálculos'!$F$123)*'Cálculos'!$F$250)+('Cálculos'!$F$201*(1+'Cálculos'!$F$202+$A191*('Cálculos'!$F$290=2)*'Cálculos'!$F$101)+'Cálculos'!$F$203)*('Cálculos'!$F$241+'Cálculos'!$F$124*(1+2.78*('Cálculos'!$F$198+(($B$225)-$A191)*'Cálculos'!$F$98)/(('Cálculos'!$F$198+(($B$225)-$A191)*'Cálculos'!$F$98)+1400)+'Cálculos'!$F$122)*'Cálculos'!$F$246+'Cálculos'!$F$125*(1+2.78*('Cálculos'!$F$198+(($B$225)-$A191)*'Cálculos'!$F$98)/(('Cálculos'!$F$198+(($B$225)-$A191)*'Cálculos'!$F$98)+1400)+'Cálculos'!$F$123)*'Cálculos'!$F$251)+('Cálculos'!$F$204*(1+'Cálculos'!$F$205+$A191*('Cálculos'!$F$290=3)*'Cálculos'!$F$103)+'Cálculos'!$F$206)*('Cálculos'!$F$242+'Cálculos'!$F$124*(1+2.78*('Cálculos'!$F$198+(($B$225)-$A191)*'Cálculos'!$F$98)/(('Cálculos'!$F$198+(($B$225)-$A191)*'Cálculos'!$F$98)+1400)+'Cálculos'!$F$122)*'Cálculos'!$F$247+'Cálculos'!$F$125*(1+2.78*('Cálculos'!$F$198+(($B$225)-$A191)*'Cálculos'!$F$98)/(('Cálculos'!$F$198+(($B$225)-$A191)*'Cálculos'!$F$98)+1400)+'Cálculos'!$F$123)*'Cálculos'!$F$252)+('Cálculos'!$F$243+'Cálculos'!$F$124*(1+2.78*('Cálculos'!$F$198+(($B$225)-$A191)*'Cálculos'!$F$98)/(('Cálculos'!$F$198+(($B$225)-$A191)*'Cálculos'!$F$98)+1400)+'Cálculos'!$F$122)*'Cálculos'!$F$248+'Cálculos'!$F$125*(1+2.78*('Cálculos'!$F$198+(($B$225)-$A191)*'Cálculos'!$F$98)/(('Cálculos'!$F$198+(($B$225)-$A191)*'Cálculos'!$F$98)+1400)+'Cálculos'!$F$123)*'Cálculos'!$F$253)+('Cálculos'!$F$185*(1+'Cálculos'!$F$189+$A191*('Cálculos'!$F$290=1)*'Cálculos'!$F$97+'Cálculos'!$F$305)+'Cálculos'!$F$194)*('Cálculos'!$F$254+'Cálculos'!$F$124*(1+2.78*('Cálculos'!$F$199+(($B$225)-$A191)*'Cálculos'!$F$98)/(('Cálculos'!$F$199+(($B$225)-$A191)*'Cálculos'!$F$98)+1400)+'Cálculos'!$F$122)*'Cálculos'!$F$259+'Cálculos'!$F$125*(1+2.78*('Cálculos'!$F$199+(($B$225)-$A191)*'Cálculos'!$F$98)/(('Cálculos'!$F$199+(($B$225)-$A191)*'Cálculos'!$F$98)+1400)+'Cálculos'!$F$123)*'Cálculos'!$F$264)+('Cálculos'!$F$199+(($B$225)-$A191)*'Cálculos'!$F$98)*('Cálculos'!$F$255+'Cálculos'!$F$124*(1+2.78*('Cálculos'!$F$199+(($B$225)-$A191)*'Cálculos'!$F$98)/(('Cálculos'!$F$199+(($B$225)-$A191)*'Cálculos'!$F$98)+1400)+'Cálculos'!$F$122)*'Cálculos'!$F$260+'Cálculos'!$F$125*(1+2.78*('Cálculos'!$F$199+(($B$225)-$A191)*'Cálculos'!$F$98)/(('Cálculos'!$F$199+(($B$225)-$A191)*'Cálculos'!$F$98)+1400)+'Cálculos'!$F$123)*'Cálculos'!$F$265)+('Cálculos'!$F$201*(1+'Cálculos'!$F$202+$A191*('Cálculos'!$F$290=2)*'Cálculos'!$F$101)+'Cálculos'!$F$203)*('Cálculos'!$F$256+'Cálculos'!$F$124*(1+2.78*('Cálculos'!$F$199+(($B$225)-$A191)*'Cálculos'!$F$98)/(('Cálculos'!$F$199+(($B$225)-$A191)*'Cálculos'!$F$98)+1400)+'Cálculos'!$F$122)*'Cálculos'!$F$261+'Cálculos'!$F$125*(1+2.78*('Cálculos'!$F$199+(($B$225)-$A191)*'Cálculos'!$F$98)/(('Cálculos'!$F$199+(($B$225)-$A191)*'Cálculos'!$F$98)+1400)+'Cálculos'!$F$123)*'Cálculos'!$F$266)+('Cálculos'!$F$204*(1+'Cálculos'!$F$205+$A191*('Cálculos'!$F$290=3)*'Cálculos'!$F$103)+'Cálculos'!$F$206)*('Cálculos'!$F$257+'Cálculos'!$F$124*(1+2.78*('Cálculos'!$F$199+(($B$225)-$A191)*'Cálculos'!$F$98)/(('Cálculos'!$F$199+(($B$225)-$A191)*'Cálculos'!$F$98)+1400)+'Cálculos'!$F$122)*'Cálculos'!$F$262+'Cálculos'!$F$125*(1+2.78*('Cálculos'!$F$199+(($B$225)-$A191)*'Cálculos'!$F$98)/(('Cálculos'!$F$199+(($B$225)-$A191)*'Cálculos'!$F$98)+1400)+'Cálculos'!$F$123)*'Cálculos'!$F$267)+('Cálculos'!$F$258+'Cálculos'!$F$124*(1+2.78*('Cálculos'!$F$199+(($B$225)-$A191)*'Cálculos'!$F$98)/(('Cálculos'!$F$199+(($B$225)-$A191)*'Cálculos'!$F$98)+1400)+'Cálculos'!$F$122)*'Cálculos'!$F$263+'Cálculos'!$F$125*(1+2.78*('Cálculos'!$F$199+(($B$225)-$A191)*'Cálculos'!$F$98)/(('Cálculos'!$F$199+(($B$225)-$A191)*'Cálculos'!$F$98)+1400)+'Cálculos'!$F$123)*'Cálculos'!$F$268)+('Cálculos'!$F$185*(1+'Cálculos'!$F$190+$A191*('Cálculos'!$F$290=1)*'Cálculos'!$F$97+'Cálculos'!$F$305)+'Cálculos'!$F$195)*('Cálculos'!$F$269+'Cálculos'!$F$124*(1+2.78*('Cálculos'!$F$200+(($B$225)-$A191)*'Cálculos'!$F$98)/(('Cálculos'!$F$200+(($B$225)-$A191)*'Cálculos'!$F$98)+1400)+'Cálculos'!$F$122)*'Cálculos'!$F$274+'Cálculos'!$F$125*(1+2.78*('Cálculos'!$F$200+(($B$225)-$A191)*'Cálculos'!$F$98)/(('Cálculos'!$F$200+(($B$225)-$A191)*'Cálculos'!$F$98)+1400)+'Cálculos'!$F$123)*'Cálculos'!$F$279)+('Cálculos'!$F$200+(($B$225)-$A191)*'Cálculos'!$F$98)*('Cálculos'!$F$270+'Cálculos'!$F$124*(1+2.78*('Cálculos'!$F$200+(($B$225)-$A191)*'Cálculos'!$F$98)/(('Cálculos'!$F$200+(($B$225)-$A191)*'Cálculos'!$F$98)+1400)+'Cálculos'!$F$122)*'Cálculos'!$F$275+'Cálculos'!$F$125*(1+2.78*('Cálculos'!$F$200+(($B$225)-$A191)*'Cálculos'!$F$98)/(('Cálculos'!$F$200+(($B$225)-$A191)*'Cálculos'!$F$98)+1400)+'Cálculos'!$F$123)*'Cálculos'!$F$280)+('Cálculos'!$F$201*(1+'Cálculos'!$F$202+$A191*('Cálculos'!$F$290=2)*'Cálculos'!$F$101)+'Cálculos'!$F$203)*('Cálculos'!$F$271+'Cálculos'!$F$124*(1+2.78*('Cálculos'!$F$200+(($B$225)-$A191)*'Cálculos'!$F$98)/(('Cálculos'!$F$200+(($B$225)-$A191)*'Cálculos'!$F$98)+1400)+'Cálculos'!$F$122)*'Cálculos'!$F$276+'Cálculos'!$F$125*(1+2.78*('Cálculos'!$F$200+(($B$225)-$A191)*'Cálculos'!$F$98)/(('Cálculos'!$F$200+(($B$225)-$A191)*'Cálculos'!$F$98)+1400)+'Cálculos'!$F$123)*'Cálculos'!$F$281)+('Cálculos'!$F$204*(1+'Cálculos'!$F$205+$A191*('Cálculos'!$F$290=3)*'Cálculos'!$F$103)+'Cálculos'!$F$206)*('Cálculos'!$F$272+'Cálculos'!$F$124*(1+2.78*('Cálculos'!$F$200+(($B$225)-$A191)*'Cálculos'!$F$98)/(('Cálculos'!$F$200+(($B$225)-$A191)*'Cálculos'!$F$98)+1400)+'Cálculos'!$F$122)*'Cálculos'!$F$277+'Cálculos'!$F$125*(1+2.78*('Cálculos'!$F$200+(($B$225)-$A191)*'Cálculos'!$F$98)/(('Cálculos'!$F$200+(($B$225)-$A191)*'Cálculos'!$F$98)+1400)+'Cálculos'!$F$123)*'Cálculos'!$F$282)+('Cálculos'!$F$273+'Cálculos'!$F$124*(1+2.78*('Cálculos'!$F$200+(($B$225)-$A191)*'Cálculos'!$F$98)/(('Cálculos'!$F$200+(($B$225)-$A191)*'Cálculos'!$F$98)+1400)+'Cálculos'!$F$122)*'Cálculos'!$F$278+'Cálculos'!$F$125*(1+2.78*('Cálculos'!$F$200+(($B$225)-$A191)*'Cálculos'!$F$98)/(('Cálculos'!$F$200+(($B$225)-$A191)*'Cálculos'!$F$98)+1400)+'Cálculos'!$F$123)*'Cálculos'!$F$283)))</f>
        <v>0</v>
      </c>
    </row>
    <row r="192" ht="15.75" customHeight="1">
      <c r="A192" s="2">
        <v>15.0</v>
      </c>
      <c r="B192" s="30">
        <f>SUMPRODUCT(MAX(($A$177:$A$222&lt;=$A192)*($A$177:$A$222&lt;='Cálculos'!$F$294)*(($A192)-$A$177:$A$222&lt;='Cálculos'!$F$295)*(1+(('Cálculos'!$F$207+$A$177:$A$222*'Cálculos'!$F$95)-(('Cálculos'!$F$207+$A$177:$A$222*'Cálculos'!$F$95)&gt;1)*(('Cálculos'!$F$207+$A$177:$A$222*'Cálculos'!$F$95)-1))*('Cálculos'!$F$208+(($A192)-$A$177:$A$222)*'Cálculos'!$F$96))))</f>
        <v>2.21423</v>
      </c>
      <c r="C192" s="2">
        <f>'Cálculos'!$F$303-$A192</f>
        <v>3</v>
      </c>
      <c r="D192" s="31">
        <f>IF($C192&lt;0,0,SUMPRODUCT(MAX(($A$177:$A$222&lt;=$C192)*($A$177:$A$222&lt;='Cálculos'!$F$301)*(($C192)-$A$177:$A$222&lt;='Cálculos'!$F$297)*(('Cálculos'!$F$185*(1+'Cálculos'!$F$186+$A$177:$A$222*('Cálculos'!$F$290=1)*'Cálculos'!$F$97+'Cálculos'!$F$305)+'Cálculos'!$F$191)*('Cálculos'!$F$209+'Cálculos'!$F$124*(1+2.78*('Cálculos'!$F$196+(($C192)-$A$177:$A$222)*'Cálculos'!$F$98)/(('Cálculos'!$F$196+(($C192)-$A$177:$A$222)*'Cálculos'!$F$98)+1400)+'Cálculos'!$F$122)*'Cálculos'!$F$214+'Cálculos'!$F$125*(1+2.78*('Cálculos'!$F$196+(($C192)-$A$177:$A$222)*'Cálculos'!$F$98)/(('Cálculos'!$F$196+(($C192)-$A$177:$A$222)*'Cálculos'!$F$98)+1400)+'Cálculos'!$F$123)*'Cálculos'!$F$219)+('Cálculos'!$F$196+(($C192)-$A$177:$A$222)*'Cálculos'!$F$98)*('Cálculos'!$F$210+'Cálculos'!$F$124*(1+2.78*('Cálculos'!$F$196+(($C192)-$A$177:$A$222)*'Cálculos'!$F$98)/(('Cálculos'!$F$196+(($C192)-$A$177:$A$222)*'Cálculos'!$F$98)+1400)+'Cálculos'!$F$122)*'Cálculos'!$F$215+'Cálculos'!$F$125*(1+2.78*('Cálculos'!$F$196+(($C192)-$A$177:$A$222)*'Cálculos'!$F$98)/(('Cálculos'!$F$196+(($C192)-$A$177:$A$222)*'Cálculos'!$F$98)+1400)+'Cálculos'!$F$123)*'Cálculos'!$F$220)+('Cálculos'!$F$201*(1+'Cálculos'!$F$202+$A$177:$A$222*('Cálculos'!$F$290=2)*'Cálculos'!$F$101)+'Cálculos'!$F$203)*('Cálculos'!$F$211+'Cálculos'!$F$124*(1+2.78*('Cálculos'!$F$196+(($C192)-$A$177:$A$222)*'Cálculos'!$F$98)/(('Cálculos'!$F$196+(($C192)-$A$177:$A$222)*'Cálculos'!$F$98)+1400)+'Cálculos'!$F$122)*'Cálculos'!$F$216+'Cálculos'!$F$125*(1+2.78*('Cálculos'!$F$196+(($C192)-$A$177:$A$222)*'Cálculos'!$F$98)/(('Cálculos'!$F$196+(($C192)-$A$177:$A$222)*'Cálculos'!$F$98)+1400)+'Cálculos'!$F$123)*'Cálculos'!$F$221)+('Cálculos'!$F$204*(1+'Cálculos'!$F$205+$A$177:$A$222*('Cálculos'!$F$290=3)*'Cálculos'!$F$103)+'Cálculos'!$F$206)*('Cálculos'!$F$212+'Cálculos'!$F$124*(1+2.78*('Cálculos'!$F$196+(($C192)-$A$177:$A$222)*'Cálculos'!$F$98)/(('Cálculos'!$F$196+(($C192)-$A$177:$A$222)*'Cálculos'!$F$98)+1400)+'Cálculos'!$F$122)*'Cálculos'!$F$217+'Cálculos'!$F$125*(1+2.78*('Cálculos'!$F$196+(($C192)-$A$177:$A$222)*'Cálculos'!$F$98)/(('Cálculos'!$F$196+(($C192)-$A$177:$A$222)*'Cálculos'!$F$98)+1400)+'Cálculos'!$F$123)*'Cálculos'!$F$222)+('Cálculos'!$F$213+'Cálculos'!$F$124*(1+2.78*('Cálculos'!$F$196+(($C192)-$A$177:$A$222)*'Cálculos'!$F$98)/(('Cálculos'!$F$196+(($C192)-$A$177:$A$222)*'Cálculos'!$F$98)+1400)+'Cálculos'!$F$122)*'Cálculos'!$F$218+'Cálculos'!$F$125*(1+2.78*('Cálculos'!$F$196+(($C192)-$A$177:$A$222)*'Cálculos'!$F$98)/(('Cálculos'!$F$196+(($C192)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192)-$A$177:$A$222)*'Cálculos'!$F$98)/(('Cálculos'!$F$197+(($C192)-$A$177:$A$222)*'Cálculos'!$F$98)+1400)+'Cálculos'!$F$122)*'Cálculos'!$F$229+'Cálculos'!$F$125*(1+2.78*('Cálculos'!$F$197+(($C192)-$A$177:$A$222)*'Cálculos'!$F$98)/(('Cálculos'!$F$197+(($C192)-$A$177:$A$222)*'Cálculos'!$F$98)+1400)+'Cálculos'!$F$123)*'Cálculos'!$F$234)+('Cálculos'!$F$197+(($C192)-$A$177:$A$222)*'Cálculos'!$F$98)*('Cálculos'!$F$225+'Cálculos'!$F$124*(1+2.78*('Cálculos'!$F$197+(($C192)-$A$177:$A$222)*'Cálculos'!$F$98)/(('Cálculos'!$F$197+(($C192)-$A$177:$A$222)*'Cálculos'!$F$98)+1400)+'Cálculos'!$F$122)*'Cálculos'!$F$230+'Cálculos'!$F$125*(1+2.78*('Cálculos'!$F$197+(($C192)-$A$177:$A$222)*'Cálculos'!$F$98)/(('Cálculos'!$F$197+(($C192)-$A$177:$A$222)*'Cálculos'!$F$98)+1400)+'Cálculos'!$F$123)*'Cálculos'!$F$235)+('Cálculos'!$F$201*(1+'Cálculos'!$F$202+$A$177:$A$222*('Cálculos'!$F$290=2)*'Cálculos'!$F$101)+'Cálculos'!$F$203)*('Cálculos'!$F$226+'Cálculos'!$F$124*(1+2.78*('Cálculos'!$F$197+(($C192)-$A$177:$A$222)*'Cálculos'!$F$98)/(('Cálculos'!$F$197+(($C192)-$A$177:$A$222)*'Cálculos'!$F$98)+1400)+'Cálculos'!$F$122)*'Cálculos'!$F$231+'Cálculos'!$F$125*(1+2.78*('Cálculos'!$F$197+(($C192)-$A$177:$A$222)*'Cálculos'!$F$98)/(('Cálculos'!$F$197+(($C192)-$A$177:$A$222)*'Cálculos'!$F$98)+1400)+'Cálculos'!$F$123)*'Cálculos'!$F$236)+('Cálculos'!$F$204*(1+'Cálculos'!$F$205+$A$177:$A$222*('Cálculos'!$F$290=3)*'Cálculos'!$F$103)+'Cálculos'!$F$206)*('Cálculos'!$F$227+'Cálculos'!$F$124*(1+2.78*('Cálculos'!$F$197+(($C192)-$A$177:$A$222)*'Cálculos'!$F$98)/(('Cálculos'!$F$197+(($C192)-$A$177:$A$222)*'Cálculos'!$F$98)+1400)+'Cálculos'!$F$122)*'Cálculos'!$F$232+'Cálculos'!$F$125*(1+2.78*('Cálculos'!$F$197+(($C192)-$A$177:$A$222)*'Cálculos'!$F$98)/(('Cálculos'!$F$197+(($C192)-$A$177:$A$222)*'Cálculos'!$F$98)+1400)+'Cálculos'!$F$123)*'Cálculos'!$F$237)+('Cálculos'!$F$228+'Cálculos'!$F$124*(1+2.78*('Cálculos'!$F$197+(($C192)-$A$177:$A$222)*'Cálculos'!$F$98)/(('Cálculos'!$F$197+(($C192)-$A$177:$A$222)*'Cálculos'!$F$98)+1400)+'Cálculos'!$F$122)*'Cálculos'!$F$233+'Cálculos'!$F$125*(1+2.78*('Cálculos'!$F$197+(($C192)-$A$177:$A$222)*'Cálculos'!$F$98)/(('Cálculos'!$F$197+(($C192)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192)-$A$177:$A$222)*'Cálculos'!$F$98)/(('Cálculos'!$F$198+(($C192)-$A$177:$A$222)*'Cálculos'!$F$98)+1400)+'Cálculos'!$F$122)*'Cálculos'!$F$244+'Cálculos'!$F$125*(1+2.78*('Cálculos'!$F$198+(($C192)-$A$177:$A$222)*'Cálculos'!$F$98)/(('Cálculos'!$F$198+(($C192)-$A$177:$A$222)*'Cálculos'!$F$98)+1400)+'Cálculos'!$F$123)*'Cálculos'!$F$249)+('Cálculos'!$F$198+(($C192)-$A$177:$A$222)*'Cálculos'!$F$98)*('Cálculos'!$F$240+'Cálculos'!$F$124*(1+2.78*('Cálculos'!$F$198+(($C192)-$A$177:$A$222)*'Cálculos'!$F$98)/(('Cálculos'!$F$198+(($C192)-$A$177:$A$222)*'Cálculos'!$F$98)+1400)+'Cálculos'!$F$122)*'Cálculos'!$F$245+'Cálculos'!$F$125*(1+2.78*('Cálculos'!$F$198+(($C192)-$A$177:$A$222)*'Cálculos'!$F$98)/(('Cálculos'!$F$198+(($C192)-$A$177:$A$222)*'Cálculos'!$F$98)+1400)+'Cálculos'!$F$123)*'Cálculos'!$F$250)+('Cálculos'!$F$201*(1+'Cálculos'!$F$202+$A$177:$A$222*('Cálculos'!$F$290=2)*'Cálculos'!$F$101)+'Cálculos'!$F$203)*('Cálculos'!$F$241+'Cálculos'!$F$124*(1+2.78*('Cálculos'!$F$198+(($C192)-$A$177:$A$222)*'Cálculos'!$F$98)/(('Cálculos'!$F$198+(($C192)-$A$177:$A$222)*'Cálculos'!$F$98)+1400)+'Cálculos'!$F$122)*'Cálculos'!$F$246+'Cálculos'!$F$125*(1+2.78*('Cálculos'!$F$198+(($C192)-$A$177:$A$222)*'Cálculos'!$F$98)/(('Cálculos'!$F$198+(($C192)-$A$177:$A$222)*'Cálculos'!$F$98)+1400)+'Cálculos'!$F$123)*'Cálculos'!$F$251)+('Cálculos'!$F$204*(1+'Cálculos'!$F$205+$A$177:$A$222*('Cálculos'!$F$290=3)*'Cálculos'!$F$103)+'Cálculos'!$F$206)*('Cálculos'!$F$242+'Cálculos'!$F$124*(1+2.78*('Cálculos'!$F$198+(($C192)-$A$177:$A$222)*'Cálculos'!$F$98)/(('Cálculos'!$F$198+(($C192)-$A$177:$A$222)*'Cálculos'!$F$98)+1400)+'Cálculos'!$F$122)*'Cálculos'!$F$247+'Cálculos'!$F$125*(1+2.78*('Cálculos'!$F$198+(($C192)-$A$177:$A$222)*'Cálculos'!$F$98)/(('Cálculos'!$F$198+(($C192)-$A$177:$A$222)*'Cálculos'!$F$98)+1400)+'Cálculos'!$F$123)*'Cálculos'!$F$252)+('Cálculos'!$F$243+'Cálculos'!$F$124*(1+2.78*('Cálculos'!$F$198+(($C192)-$A$177:$A$222)*'Cálculos'!$F$98)/(('Cálculos'!$F$198+(($C192)-$A$177:$A$222)*'Cálculos'!$F$98)+1400)+'Cálculos'!$F$122)*'Cálculos'!$F$248+'Cálculos'!$F$125*(1+2.78*('Cálculos'!$F$198+(($C192)-$A$177:$A$222)*'Cálculos'!$F$98)/(('Cálculos'!$F$198+(($C192)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192)-$A$177:$A$222)*'Cálculos'!$F$98)/(('Cálculos'!$F$199+(($C192)-$A$177:$A$222)*'Cálculos'!$F$98)+1400)+'Cálculos'!$F$122)*'Cálculos'!$F$259+'Cálculos'!$F$125*(1+2.78*('Cálculos'!$F$199+(($C192)-$A$177:$A$222)*'Cálculos'!$F$98)/(('Cálculos'!$F$199+(($C192)-$A$177:$A$222)*'Cálculos'!$F$98)+1400)+'Cálculos'!$F$123)*'Cálculos'!$F$264)+('Cálculos'!$F$199+(($C192)-$A$177:$A$222)*'Cálculos'!$F$98)*('Cálculos'!$F$255+'Cálculos'!$F$124*(1+2.78*('Cálculos'!$F$199+(($C192)-$A$177:$A$222)*'Cálculos'!$F$98)/(('Cálculos'!$F$199+(($C192)-$A$177:$A$222)*'Cálculos'!$F$98)+1400)+'Cálculos'!$F$122)*'Cálculos'!$F$260+'Cálculos'!$F$125*(1+2.78*('Cálculos'!$F$199+(($C192)-$A$177:$A$222)*'Cálculos'!$F$98)/(('Cálculos'!$F$199+(($C192)-$A$177:$A$222)*'Cálculos'!$F$98)+1400)+'Cálculos'!$F$123)*'Cálculos'!$F$265)+('Cálculos'!$F$201*(1+'Cálculos'!$F$202+$A$177:$A$222*('Cálculos'!$F$290=2)*'Cálculos'!$F$101)+'Cálculos'!$F$203)*('Cálculos'!$F$256+'Cálculos'!$F$124*(1+2.78*('Cálculos'!$F$199+(($C192)-$A$177:$A$222)*'Cálculos'!$F$98)/(('Cálculos'!$F$199+(($C192)-$A$177:$A$222)*'Cálculos'!$F$98)+1400)+'Cálculos'!$F$122)*'Cálculos'!$F$261+'Cálculos'!$F$125*(1+2.78*('Cálculos'!$F$199+(($C192)-$A$177:$A$222)*'Cálculos'!$F$98)/(('Cálculos'!$F$199+(($C192)-$A$177:$A$222)*'Cálculos'!$F$98)+1400)+'Cálculos'!$F$123)*'Cálculos'!$F$266)+('Cálculos'!$F$204*(1+'Cálculos'!$F$205+$A$177:$A$222*('Cálculos'!$F$290=3)*'Cálculos'!$F$103)+'Cálculos'!$F$206)*('Cálculos'!$F$257+'Cálculos'!$F$124*(1+2.78*('Cálculos'!$F$199+(($C192)-$A$177:$A$222)*'Cálculos'!$F$98)/(('Cálculos'!$F$199+(($C192)-$A$177:$A$222)*'Cálculos'!$F$98)+1400)+'Cálculos'!$F$122)*'Cálculos'!$F$262+'Cálculos'!$F$125*(1+2.78*('Cálculos'!$F$199+(($C192)-$A$177:$A$222)*'Cálculos'!$F$98)/(('Cálculos'!$F$199+(($C192)-$A$177:$A$222)*'Cálculos'!$F$98)+1400)+'Cálculos'!$F$123)*'Cálculos'!$F$267)+('Cálculos'!$F$258+'Cálculos'!$F$124*(1+2.78*('Cálculos'!$F$199+(($C192)-$A$177:$A$222)*'Cálculos'!$F$98)/(('Cálculos'!$F$199+(($C192)-$A$177:$A$222)*'Cálculos'!$F$98)+1400)+'Cálculos'!$F$122)*'Cálculos'!$F$263+'Cálculos'!$F$125*(1+2.78*('Cálculos'!$F$199+(($C192)-$A$177:$A$222)*'Cálculos'!$F$98)/(('Cálculos'!$F$199+(($C192)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192)-$A$177:$A$222)*'Cálculos'!$F$98)/(('Cálculos'!$F$200+(($C192)-$A$177:$A$222)*'Cálculos'!$F$98)+1400)+'Cálculos'!$F$122)*'Cálculos'!$F$274+'Cálculos'!$F$125*(1+2.78*('Cálculos'!$F$200+(($C192)-$A$177:$A$222)*'Cálculos'!$F$98)/(('Cálculos'!$F$200+(($C192)-$A$177:$A$222)*'Cálculos'!$F$98)+1400)+'Cálculos'!$F$123)*'Cálculos'!$F$279)+('Cálculos'!$F$200+(($C192)-$A$177:$A$222)*'Cálculos'!$F$98)*('Cálculos'!$F$270+'Cálculos'!$F$124*(1+2.78*('Cálculos'!$F$200+(($C192)-$A$177:$A$222)*'Cálculos'!$F$98)/(('Cálculos'!$F$200+(($C192)-$A$177:$A$222)*'Cálculos'!$F$98)+1400)+'Cálculos'!$F$122)*'Cálculos'!$F$275+'Cálculos'!$F$125*(1+2.78*('Cálculos'!$F$200+(($C192)-$A$177:$A$222)*'Cálculos'!$F$98)/(('Cálculos'!$F$200+(($C192)-$A$177:$A$222)*'Cálculos'!$F$98)+1400)+'Cálculos'!$F$123)*'Cálculos'!$F$280)+('Cálculos'!$F$201*(1+'Cálculos'!$F$202+$A$177:$A$222*('Cálculos'!$F$290=2)*'Cálculos'!$F$101)+'Cálculos'!$F$203)*('Cálculos'!$F$271+'Cálculos'!$F$124*(1+2.78*('Cálculos'!$F$200+(($C192)-$A$177:$A$222)*'Cálculos'!$F$98)/(('Cálculos'!$F$200+(($C192)-$A$177:$A$222)*'Cálculos'!$F$98)+1400)+'Cálculos'!$F$122)*'Cálculos'!$F$276+'Cálculos'!$F$125*(1+2.78*('Cálculos'!$F$200+(($C192)-$A$177:$A$222)*'Cálculos'!$F$98)/(('Cálculos'!$F$200+(($C192)-$A$177:$A$222)*'Cálculos'!$F$98)+1400)+'Cálculos'!$F$123)*'Cálculos'!$F$281)+('Cálculos'!$F$204*(1+'Cálculos'!$F$205+$A$177:$A$222*('Cálculos'!$F$290=3)*'Cálculos'!$F$103)+'Cálculos'!$F$206)*('Cálculos'!$F$272+'Cálculos'!$F$124*(1+2.78*('Cálculos'!$F$200+(($C192)-$A$177:$A$222)*'Cálculos'!$F$98)/(('Cálculos'!$F$200+(($C192)-$A$177:$A$222)*'Cálculos'!$F$98)+1400)+'Cálculos'!$F$122)*'Cálculos'!$F$277+'Cálculos'!$F$125*(1+2.78*('Cálculos'!$F$200+(($C192)-$A$177:$A$222)*'Cálculos'!$F$98)/(('Cálculos'!$F$200+(($C192)-$A$177:$A$222)*'Cálculos'!$F$98)+1400)+'Cálculos'!$F$123)*'Cálculos'!$F$282)+('Cálculos'!$F$273+'Cálculos'!$F$124*(1+2.78*('Cálculos'!$F$200+(($C192)-$A$177:$A$222)*'Cálculos'!$F$98)/(('Cálculos'!$F$200+(($C192)-$A$177:$A$222)*'Cálculos'!$F$98)+1400)+'Cálculos'!$F$122)*'Cálculos'!$F$278+'Cálculos'!$F$125*(1+2.78*('Cálculos'!$F$200+(($C192)-$A$177:$A$222)*'Cálculos'!$F$98)/(('Cálculos'!$F$200+(($C192)-$A$177:$A$222)*'Cálculos'!$F$98)+1400)+'Cálculos'!$F$123)*'Cálculos'!$F$283)))))</f>
        <v>20017.06691</v>
      </c>
      <c r="E192" s="32">
        <f>IF(OR($C192&lt;0,'Cálculos'!$F$6=""),0,$B192*$D192)</f>
        <v>44322.39007</v>
      </c>
      <c r="F192" s="2"/>
      <c r="G192" s="30">
        <f>($A192&lt;=$B$224)*($A192&lt;='Cálculos'!$F$294)*(($B$224)-$A192&lt;='Cálculos'!$F$295)*(1+MIN(('Cálculos'!$F$207+$A192*'Cálculos'!$F$95),1)*('Cálculos'!$F$208+(($B$224)-$A192)*'Cálculos'!$F$96))</f>
        <v>2.356262</v>
      </c>
      <c r="H192" s="31">
        <f>IF($B$225&lt;0,0,($A192&lt;=$B$225)*($A192&lt;='Cálculos'!$F$301)*(($B$225)-$A192&lt;='Cálculos'!$F$297)*(('Cálculos'!$F$185*(1+'Cálculos'!$F$186+$A192*('Cálculos'!$F$290=1)*'Cálculos'!$F$97+'Cálculos'!$F$305)+'Cálculos'!$F$191)*('Cálculos'!$F$209+'Cálculos'!$F$124*(1+2.78*('Cálculos'!$F$196+(($B$225)-$A192)*'Cálculos'!$F$98)/(('Cálculos'!$F$196+(($B$225)-$A192)*'Cálculos'!$F$98)+1400)+'Cálculos'!$F$122)*'Cálculos'!$F$214+'Cálculos'!$F$125*(1+2.78*('Cálculos'!$F$196+(($B$225)-$A192)*'Cálculos'!$F$98)/(('Cálculos'!$F$196+(($B$225)-$A192)*'Cálculos'!$F$98)+1400)+'Cálculos'!$F$123)*'Cálculos'!$F$219)+('Cálculos'!$F$196+(($B$225)-$A192)*'Cálculos'!$F$98)*('Cálculos'!$F$210+'Cálculos'!$F$124*(1+2.78*('Cálculos'!$F$196+(($B$225)-$A192)*'Cálculos'!$F$98)/(('Cálculos'!$F$196+(($B$225)-$A192)*'Cálculos'!$F$98)+1400)+'Cálculos'!$F$122)*'Cálculos'!$F$215+'Cálculos'!$F$125*(1+2.78*('Cálculos'!$F$196+(($B$225)-$A192)*'Cálculos'!$F$98)/(('Cálculos'!$F$196+(($B$225)-$A192)*'Cálculos'!$F$98)+1400)+'Cálculos'!$F$123)*'Cálculos'!$F$220)+('Cálculos'!$F$201*(1+'Cálculos'!$F$202+$A192*('Cálculos'!$F$290=2)*'Cálculos'!$F$101)+'Cálculos'!$F$203)*('Cálculos'!$F$211+'Cálculos'!$F$124*(1+2.78*('Cálculos'!$F$196+(($B$225)-$A192)*'Cálculos'!$F$98)/(('Cálculos'!$F$196+(($B$225)-$A192)*'Cálculos'!$F$98)+1400)+'Cálculos'!$F$122)*'Cálculos'!$F$216+'Cálculos'!$F$125*(1+2.78*('Cálculos'!$F$196+(($B$225)-$A192)*'Cálculos'!$F$98)/(('Cálculos'!$F$196+(($B$225)-$A192)*'Cálculos'!$F$98)+1400)+'Cálculos'!$F$123)*'Cálculos'!$F$221)+('Cálculos'!$F$204*(1+'Cálculos'!$F$205+$A192*('Cálculos'!$F$290=3)*'Cálculos'!$F$103)+'Cálculos'!$F$206)*('Cálculos'!$F$212+'Cálculos'!$F$124*(1+2.78*('Cálculos'!$F$196+(($B$225)-$A192)*'Cálculos'!$F$98)/(('Cálculos'!$F$196+(($B$225)-$A192)*'Cálculos'!$F$98)+1400)+'Cálculos'!$F$122)*'Cálculos'!$F$217+'Cálculos'!$F$125*(1+2.78*('Cálculos'!$F$196+(($B$225)-$A192)*'Cálculos'!$F$98)/(('Cálculos'!$F$196+(($B$225)-$A192)*'Cálculos'!$F$98)+1400)+'Cálculos'!$F$123)*'Cálculos'!$F$222)+('Cálculos'!$F$213+'Cálculos'!$F$124*(1+2.78*('Cálculos'!$F$196+(($B$225)-$A192)*'Cálculos'!$F$98)/(('Cálculos'!$F$196+(($B$225)-$A192)*'Cálculos'!$F$98)+1400)+'Cálculos'!$F$122)*'Cálculos'!$F$218+'Cálculos'!$F$125*(1+2.78*('Cálculos'!$F$196+(($B$225)-$A192)*'Cálculos'!$F$98)/(('Cálculos'!$F$196+(($B$225)-$A192)*'Cálculos'!$F$98)+1400)+'Cálculos'!$F$123)*'Cálculos'!$F$223)+('Cálculos'!$F$185*(1+'Cálculos'!$F$187+$A192*('Cálculos'!$F$290=1)*'Cálculos'!$F$97+'Cálculos'!$F$305)+'Cálculos'!$F$192)*('Cálculos'!$F$224+'Cálculos'!$F$124*(1+2.78*('Cálculos'!$F$197+(($B$225)-$A192)*'Cálculos'!$F$98)/(('Cálculos'!$F$197+(($B$225)-$A192)*'Cálculos'!$F$98)+1400)+'Cálculos'!$F$122)*'Cálculos'!$F$229+'Cálculos'!$F$125*(1+2.78*('Cálculos'!$F$197+(($B$225)-$A192)*'Cálculos'!$F$98)/(('Cálculos'!$F$197+(($B$225)-$A192)*'Cálculos'!$F$98)+1400)+'Cálculos'!$F$123)*'Cálculos'!$F$234)+('Cálculos'!$F$197+(($B$225)-$A192)*'Cálculos'!$F$98)*('Cálculos'!$F$225+'Cálculos'!$F$124*(1+2.78*('Cálculos'!$F$197+(($B$225)-$A192)*'Cálculos'!$F$98)/(('Cálculos'!$F$197+(($B$225)-$A192)*'Cálculos'!$F$98)+1400)+'Cálculos'!$F$122)*'Cálculos'!$F$230+'Cálculos'!$F$125*(1+2.78*('Cálculos'!$F$197+(($B$225)-$A192)*'Cálculos'!$F$98)/(('Cálculos'!$F$197+(($B$225)-$A192)*'Cálculos'!$F$98)+1400)+'Cálculos'!$F$123)*'Cálculos'!$F$235)+('Cálculos'!$F$201*(1+'Cálculos'!$F$202+$A192*('Cálculos'!$F$290=2)*'Cálculos'!$F$101)+'Cálculos'!$F$203)*('Cálculos'!$F$226+'Cálculos'!$F$124*(1+2.78*('Cálculos'!$F$197+(($B$225)-$A192)*'Cálculos'!$F$98)/(('Cálculos'!$F$197+(($B$225)-$A192)*'Cálculos'!$F$98)+1400)+'Cálculos'!$F$122)*'Cálculos'!$F$231+'Cálculos'!$F$125*(1+2.78*('Cálculos'!$F$197+(($B$225)-$A192)*'Cálculos'!$F$98)/(('Cálculos'!$F$197+(($B$225)-$A192)*'Cálculos'!$F$98)+1400)+'Cálculos'!$F$123)*'Cálculos'!$F$236)+('Cálculos'!$F$204*(1+'Cálculos'!$F$205+$A192*('Cálculos'!$F$290=3)*'Cálculos'!$F$103)+'Cálculos'!$F$206)*('Cálculos'!$F$227+'Cálculos'!$F$124*(1+2.78*('Cálculos'!$F$197+(($B$225)-$A192)*'Cálculos'!$F$98)/(('Cálculos'!$F$197+(($B$225)-$A192)*'Cálculos'!$F$98)+1400)+'Cálculos'!$F$122)*'Cálculos'!$F$232+'Cálculos'!$F$125*(1+2.78*('Cálculos'!$F$197+(($B$225)-$A192)*'Cálculos'!$F$98)/(('Cálculos'!$F$197+(($B$225)-$A192)*'Cálculos'!$F$98)+1400)+'Cálculos'!$F$123)*'Cálculos'!$F$237)+('Cálculos'!$F$228+'Cálculos'!$F$124*(1+2.78*('Cálculos'!$F$197+(($B$225)-$A192)*'Cálculos'!$F$98)/(('Cálculos'!$F$197+(($B$225)-$A192)*'Cálculos'!$F$98)+1400)+'Cálculos'!$F$122)*'Cálculos'!$F$233+'Cálculos'!$F$125*(1+2.78*('Cálculos'!$F$197+(($B$225)-$A192)*'Cálculos'!$F$98)/(('Cálculos'!$F$197+(($B$225)-$A192)*'Cálculos'!$F$98)+1400)+'Cálculos'!$F$123)*'Cálculos'!$F$238)+('Cálculos'!$F$185*(1+'Cálculos'!$F$188+$A192*('Cálculos'!$F$290=1)*'Cálculos'!$F$97+'Cálculos'!$F$305)+'Cálculos'!$F$193)*('Cálculos'!$F$239+'Cálculos'!$F$124*(1+2.78*('Cálculos'!$F$198+(($B$225)-$A192)*'Cálculos'!$F$98)/(('Cálculos'!$F$198+(($B$225)-$A192)*'Cálculos'!$F$98)+1400)+'Cálculos'!$F$122)*'Cálculos'!$F$244+'Cálculos'!$F$125*(1+2.78*('Cálculos'!$F$198+(($B$225)-$A192)*'Cálculos'!$F$98)/(('Cálculos'!$F$198+(($B$225)-$A192)*'Cálculos'!$F$98)+1400)+'Cálculos'!$F$123)*'Cálculos'!$F$249)+('Cálculos'!$F$198+(($B$225)-$A192)*'Cálculos'!$F$98)*('Cálculos'!$F$240+'Cálculos'!$F$124*(1+2.78*('Cálculos'!$F$198+(($B$225)-$A192)*'Cálculos'!$F$98)/(('Cálculos'!$F$198+(($B$225)-$A192)*'Cálculos'!$F$98)+1400)+'Cálculos'!$F$122)*'Cálculos'!$F$245+'Cálculos'!$F$125*(1+2.78*('Cálculos'!$F$198+(($B$225)-$A192)*'Cálculos'!$F$98)/(('Cálculos'!$F$198+(($B$225)-$A192)*'Cálculos'!$F$98)+1400)+'Cálculos'!$F$123)*'Cálculos'!$F$250)+('Cálculos'!$F$201*(1+'Cálculos'!$F$202+$A192*('Cálculos'!$F$290=2)*'Cálculos'!$F$101)+'Cálculos'!$F$203)*('Cálculos'!$F$241+'Cálculos'!$F$124*(1+2.78*('Cálculos'!$F$198+(($B$225)-$A192)*'Cálculos'!$F$98)/(('Cálculos'!$F$198+(($B$225)-$A192)*'Cálculos'!$F$98)+1400)+'Cálculos'!$F$122)*'Cálculos'!$F$246+'Cálculos'!$F$125*(1+2.78*('Cálculos'!$F$198+(($B$225)-$A192)*'Cálculos'!$F$98)/(('Cálculos'!$F$198+(($B$225)-$A192)*'Cálculos'!$F$98)+1400)+'Cálculos'!$F$123)*'Cálculos'!$F$251)+('Cálculos'!$F$204*(1+'Cálculos'!$F$205+$A192*('Cálculos'!$F$290=3)*'Cálculos'!$F$103)+'Cálculos'!$F$206)*('Cálculos'!$F$242+'Cálculos'!$F$124*(1+2.78*('Cálculos'!$F$198+(($B$225)-$A192)*'Cálculos'!$F$98)/(('Cálculos'!$F$198+(($B$225)-$A192)*'Cálculos'!$F$98)+1400)+'Cálculos'!$F$122)*'Cálculos'!$F$247+'Cálculos'!$F$125*(1+2.78*('Cálculos'!$F$198+(($B$225)-$A192)*'Cálculos'!$F$98)/(('Cálculos'!$F$198+(($B$225)-$A192)*'Cálculos'!$F$98)+1400)+'Cálculos'!$F$123)*'Cálculos'!$F$252)+('Cálculos'!$F$243+'Cálculos'!$F$124*(1+2.78*('Cálculos'!$F$198+(($B$225)-$A192)*'Cálculos'!$F$98)/(('Cálculos'!$F$198+(($B$225)-$A192)*'Cálculos'!$F$98)+1400)+'Cálculos'!$F$122)*'Cálculos'!$F$248+'Cálculos'!$F$125*(1+2.78*('Cálculos'!$F$198+(($B$225)-$A192)*'Cálculos'!$F$98)/(('Cálculos'!$F$198+(($B$225)-$A192)*'Cálculos'!$F$98)+1400)+'Cálculos'!$F$123)*'Cálculos'!$F$253)+('Cálculos'!$F$185*(1+'Cálculos'!$F$189+$A192*('Cálculos'!$F$290=1)*'Cálculos'!$F$97+'Cálculos'!$F$305)+'Cálculos'!$F$194)*('Cálculos'!$F$254+'Cálculos'!$F$124*(1+2.78*('Cálculos'!$F$199+(($B$225)-$A192)*'Cálculos'!$F$98)/(('Cálculos'!$F$199+(($B$225)-$A192)*'Cálculos'!$F$98)+1400)+'Cálculos'!$F$122)*'Cálculos'!$F$259+'Cálculos'!$F$125*(1+2.78*('Cálculos'!$F$199+(($B$225)-$A192)*'Cálculos'!$F$98)/(('Cálculos'!$F$199+(($B$225)-$A192)*'Cálculos'!$F$98)+1400)+'Cálculos'!$F$123)*'Cálculos'!$F$264)+('Cálculos'!$F$199+(($B$225)-$A192)*'Cálculos'!$F$98)*('Cálculos'!$F$255+'Cálculos'!$F$124*(1+2.78*('Cálculos'!$F$199+(($B$225)-$A192)*'Cálculos'!$F$98)/(('Cálculos'!$F$199+(($B$225)-$A192)*'Cálculos'!$F$98)+1400)+'Cálculos'!$F$122)*'Cálculos'!$F$260+'Cálculos'!$F$125*(1+2.78*('Cálculos'!$F$199+(($B$225)-$A192)*'Cálculos'!$F$98)/(('Cálculos'!$F$199+(($B$225)-$A192)*'Cálculos'!$F$98)+1400)+'Cálculos'!$F$123)*'Cálculos'!$F$265)+('Cálculos'!$F$201*(1+'Cálculos'!$F$202+$A192*('Cálculos'!$F$290=2)*'Cálculos'!$F$101)+'Cálculos'!$F$203)*('Cálculos'!$F$256+'Cálculos'!$F$124*(1+2.78*('Cálculos'!$F$199+(($B$225)-$A192)*'Cálculos'!$F$98)/(('Cálculos'!$F$199+(($B$225)-$A192)*'Cálculos'!$F$98)+1400)+'Cálculos'!$F$122)*'Cálculos'!$F$261+'Cálculos'!$F$125*(1+2.78*('Cálculos'!$F$199+(($B$225)-$A192)*'Cálculos'!$F$98)/(('Cálculos'!$F$199+(($B$225)-$A192)*'Cálculos'!$F$98)+1400)+'Cálculos'!$F$123)*'Cálculos'!$F$266)+('Cálculos'!$F$204*(1+'Cálculos'!$F$205+$A192*('Cálculos'!$F$290=3)*'Cálculos'!$F$103)+'Cálculos'!$F$206)*('Cálculos'!$F$257+'Cálculos'!$F$124*(1+2.78*('Cálculos'!$F$199+(($B$225)-$A192)*'Cálculos'!$F$98)/(('Cálculos'!$F$199+(($B$225)-$A192)*'Cálculos'!$F$98)+1400)+'Cálculos'!$F$122)*'Cálculos'!$F$262+'Cálculos'!$F$125*(1+2.78*('Cálculos'!$F$199+(($B$225)-$A192)*'Cálculos'!$F$98)/(('Cálculos'!$F$199+(($B$225)-$A192)*'Cálculos'!$F$98)+1400)+'Cálculos'!$F$123)*'Cálculos'!$F$267)+('Cálculos'!$F$258+'Cálculos'!$F$124*(1+2.78*('Cálculos'!$F$199+(($B$225)-$A192)*'Cálculos'!$F$98)/(('Cálculos'!$F$199+(($B$225)-$A192)*'Cálculos'!$F$98)+1400)+'Cálculos'!$F$122)*'Cálculos'!$F$263+'Cálculos'!$F$125*(1+2.78*('Cálculos'!$F$199+(($B$225)-$A192)*'Cálculos'!$F$98)/(('Cálculos'!$F$199+(($B$225)-$A192)*'Cálculos'!$F$98)+1400)+'Cálculos'!$F$123)*'Cálculos'!$F$268)+('Cálculos'!$F$185*(1+'Cálculos'!$F$190+$A192*('Cálculos'!$F$290=1)*'Cálculos'!$F$97+'Cálculos'!$F$305)+'Cálculos'!$F$195)*('Cálculos'!$F$269+'Cálculos'!$F$124*(1+2.78*('Cálculos'!$F$200+(($B$225)-$A192)*'Cálculos'!$F$98)/(('Cálculos'!$F$200+(($B$225)-$A192)*'Cálculos'!$F$98)+1400)+'Cálculos'!$F$122)*'Cálculos'!$F$274+'Cálculos'!$F$125*(1+2.78*('Cálculos'!$F$200+(($B$225)-$A192)*'Cálculos'!$F$98)/(('Cálculos'!$F$200+(($B$225)-$A192)*'Cálculos'!$F$98)+1400)+'Cálculos'!$F$123)*'Cálculos'!$F$279)+('Cálculos'!$F$200+(($B$225)-$A192)*'Cálculos'!$F$98)*('Cálculos'!$F$270+'Cálculos'!$F$124*(1+2.78*('Cálculos'!$F$200+(($B$225)-$A192)*'Cálculos'!$F$98)/(('Cálculos'!$F$200+(($B$225)-$A192)*'Cálculos'!$F$98)+1400)+'Cálculos'!$F$122)*'Cálculos'!$F$275+'Cálculos'!$F$125*(1+2.78*('Cálculos'!$F$200+(($B$225)-$A192)*'Cálculos'!$F$98)/(('Cálculos'!$F$200+(($B$225)-$A192)*'Cálculos'!$F$98)+1400)+'Cálculos'!$F$123)*'Cálculos'!$F$280)+('Cálculos'!$F$201*(1+'Cálculos'!$F$202+$A192*('Cálculos'!$F$290=2)*'Cálculos'!$F$101)+'Cálculos'!$F$203)*('Cálculos'!$F$271+'Cálculos'!$F$124*(1+2.78*('Cálculos'!$F$200+(($B$225)-$A192)*'Cálculos'!$F$98)/(('Cálculos'!$F$200+(($B$225)-$A192)*'Cálculos'!$F$98)+1400)+'Cálculos'!$F$122)*'Cálculos'!$F$276+'Cálculos'!$F$125*(1+2.78*('Cálculos'!$F$200+(($B$225)-$A192)*'Cálculos'!$F$98)/(('Cálculos'!$F$200+(($B$225)-$A192)*'Cálculos'!$F$98)+1400)+'Cálculos'!$F$123)*'Cálculos'!$F$281)+('Cálculos'!$F$204*(1+'Cálculos'!$F$205+$A192*('Cálculos'!$F$290=3)*'Cálculos'!$F$103)+'Cálculos'!$F$206)*('Cálculos'!$F$272+'Cálculos'!$F$124*(1+2.78*('Cálculos'!$F$200+(($B$225)-$A192)*'Cálculos'!$F$98)/(('Cálculos'!$F$200+(($B$225)-$A192)*'Cálculos'!$F$98)+1400)+'Cálculos'!$F$122)*'Cálculos'!$F$277+'Cálculos'!$F$125*(1+2.78*('Cálculos'!$F$200+(($B$225)-$A192)*'Cálculos'!$F$98)/(('Cálculos'!$F$200+(($B$225)-$A192)*'Cálculos'!$F$98)+1400)+'Cálculos'!$F$123)*'Cálculos'!$F$282)+('Cálculos'!$F$273+'Cálculos'!$F$124*(1+2.78*('Cálculos'!$F$200+(($B$225)-$A192)*'Cálculos'!$F$98)/(('Cálculos'!$F$200+(($B$225)-$A192)*'Cálculos'!$F$98)+1400)+'Cálculos'!$F$122)*'Cálculos'!$F$278+'Cálculos'!$F$125*(1+2.78*('Cálculos'!$F$200+(($B$225)-$A192)*'Cálculos'!$F$98)/(('Cálculos'!$F$200+(($B$225)-$A192)*'Cálculos'!$F$98)+1400)+'Cálculos'!$F$123)*'Cálculos'!$F$283)))</f>
        <v>0</v>
      </c>
    </row>
    <row r="193" ht="15.75" customHeight="1">
      <c r="A193" s="2">
        <v>16.0</v>
      </c>
      <c r="B193" s="30">
        <f>SUMPRODUCT(MAX(($A$177:$A$222&lt;=$A193)*($A$177:$A$222&lt;='Cálculos'!$F$294)*(($A193)-$A$177:$A$222&lt;='Cálculos'!$F$295)*(1+(('Cálculos'!$F$207+$A$177:$A$222*'Cálculos'!$F$95)-(('Cálculos'!$F$207+$A$177:$A$222*'Cálculos'!$F$95)&gt;1)*(('Cálculos'!$F$207+$A$177:$A$222*'Cálculos'!$F$95)-1))*('Cálculos'!$F$208+(($A193)-$A$177:$A$222)*'Cálculos'!$F$96))))</f>
        <v>2.26637</v>
      </c>
      <c r="C193" s="2">
        <f>'Cálculos'!$F$303-$A193</f>
        <v>2</v>
      </c>
      <c r="D193" s="31">
        <f>IF($C193&lt;0,0,SUMPRODUCT(MAX(($A$177:$A$222&lt;=$C193)*($A$177:$A$222&lt;='Cálculos'!$F$301)*(($C193)-$A$177:$A$222&lt;='Cálculos'!$F$297)*(('Cálculos'!$F$185*(1+'Cálculos'!$F$186+$A$177:$A$222*('Cálculos'!$F$290=1)*'Cálculos'!$F$97+'Cálculos'!$F$305)+'Cálculos'!$F$191)*('Cálculos'!$F$209+'Cálculos'!$F$124*(1+2.78*('Cálculos'!$F$196+(($C193)-$A$177:$A$222)*'Cálculos'!$F$98)/(('Cálculos'!$F$196+(($C193)-$A$177:$A$222)*'Cálculos'!$F$98)+1400)+'Cálculos'!$F$122)*'Cálculos'!$F$214+'Cálculos'!$F$125*(1+2.78*('Cálculos'!$F$196+(($C193)-$A$177:$A$222)*'Cálculos'!$F$98)/(('Cálculos'!$F$196+(($C193)-$A$177:$A$222)*'Cálculos'!$F$98)+1400)+'Cálculos'!$F$123)*'Cálculos'!$F$219)+('Cálculos'!$F$196+(($C193)-$A$177:$A$222)*'Cálculos'!$F$98)*('Cálculos'!$F$210+'Cálculos'!$F$124*(1+2.78*('Cálculos'!$F$196+(($C193)-$A$177:$A$222)*'Cálculos'!$F$98)/(('Cálculos'!$F$196+(($C193)-$A$177:$A$222)*'Cálculos'!$F$98)+1400)+'Cálculos'!$F$122)*'Cálculos'!$F$215+'Cálculos'!$F$125*(1+2.78*('Cálculos'!$F$196+(($C193)-$A$177:$A$222)*'Cálculos'!$F$98)/(('Cálculos'!$F$196+(($C193)-$A$177:$A$222)*'Cálculos'!$F$98)+1400)+'Cálculos'!$F$123)*'Cálculos'!$F$220)+('Cálculos'!$F$201*(1+'Cálculos'!$F$202+$A$177:$A$222*('Cálculos'!$F$290=2)*'Cálculos'!$F$101)+'Cálculos'!$F$203)*('Cálculos'!$F$211+'Cálculos'!$F$124*(1+2.78*('Cálculos'!$F$196+(($C193)-$A$177:$A$222)*'Cálculos'!$F$98)/(('Cálculos'!$F$196+(($C193)-$A$177:$A$222)*'Cálculos'!$F$98)+1400)+'Cálculos'!$F$122)*'Cálculos'!$F$216+'Cálculos'!$F$125*(1+2.78*('Cálculos'!$F$196+(($C193)-$A$177:$A$222)*'Cálculos'!$F$98)/(('Cálculos'!$F$196+(($C193)-$A$177:$A$222)*'Cálculos'!$F$98)+1400)+'Cálculos'!$F$123)*'Cálculos'!$F$221)+('Cálculos'!$F$204*(1+'Cálculos'!$F$205+$A$177:$A$222*('Cálculos'!$F$290=3)*'Cálculos'!$F$103)+'Cálculos'!$F$206)*('Cálculos'!$F$212+'Cálculos'!$F$124*(1+2.78*('Cálculos'!$F$196+(($C193)-$A$177:$A$222)*'Cálculos'!$F$98)/(('Cálculos'!$F$196+(($C193)-$A$177:$A$222)*'Cálculos'!$F$98)+1400)+'Cálculos'!$F$122)*'Cálculos'!$F$217+'Cálculos'!$F$125*(1+2.78*('Cálculos'!$F$196+(($C193)-$A$177:$A$222)*'Cálculos'!$F$98)/(('Cálculos'!$F$196+(($C193)-$A$177:$A$222)*'Cálculos'!$F$98)+1400)+'Cálculos'!$F$123)*'Cálculos'!$F$222)+('Cálculos'!$F$213+'Cálculos'!$F$124*(1+2.78*('Cálculos'!$F$196+(($C193)-$A$177:$A$222)*'Cálculos'!$F$98)/(('Cálculos'!$F$196+(($C193)-$A$177:$A$222)*'Cálculos'!$F$98)+1400)+'Cálculos'!$F$122)*'Cálculos'!$F$218+'Cálculos'!$F$125*(1+2.78*('Cálculos'!$F$196+(($C193)-$A$177:$A$222)*'Cálculos'!$F$98)/(('Cálculos'!$F$196+(($C193)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193)-$A$177:$A$222)*'Cálculos'!$F$98)/(('Cálculos'!$F$197+(($C193)-$A$177:$A$222)*'Cálculos'!$F$98)+1400)+'Cálculos'!$F$122)*'Cálculos'!$F$229+'Cálculos'!$F$125*(1+2.78*('Cálculos'!$F$197+(($C193)-$A$177:$A$222)*'Cálculos'!$F$98)/(('Cálculos'!$F$197+(($C193)-$A$177:$A$222)*'Cálculos'!$F$98)+1400)+'Cálculos'!$F$123)*'Cálculos'!$F$234)+('Cálculos'!$F$197+(($C193)-$A$177:$A$222)*'Cálculos'!$F$98)*('Cálculos'!$F$225+'Cálculos'!$F$124*(1+2.78*('Cálculos'!$F$197+(($C193)-$A$177:$A$222)*'Cálculos'!$F$98)/(('Cálculos'!$F$197+(($C193)-$A$177:$A$222)*'Cálculos'!$F$98)+1400)+'Cálculos'!$F$122)*'Cálculos'!$F$230+'Cálculos'!$F$125*(1+2.78*('Cálculos'!$F$197+(($C193)-$A$177:$A$222)*'Cálculos'!$F$98)/(('Cálculos'!$F$197+(($C193)-$A$177:$A$222)*'Cálculos'!$F$98)+1400)+'Cálculos'!$F$123)*'Cálculos'!$F$235)+('Cálculos'!$F$201*(1+'Cálculos'!$F$202+$A$177:$A$222*('Cálculos'!$F$290=2)*'Cálculos'!$F$101)+'Cálculos'!$F$203)*('Cálculos'!$F$226+'Cálculos'!$F$124*(1+2.78*('Cálculos'!$F$197+(($C193)-$A$177:$A$222)*'Cálculos'!$F$98)/(('Cálculos'!$F$197+(($C193)-$A$177:$A$222)*'Cálculos'!$F$98)+1400)+'Cálculos'!$F$122)*'Cálculos'!$F$231+'Cálculos'!$F$125*(1+2.78*('Cálculos'!$F$197+(($C193)-$A$177:$A$222)*'Cálculos'!$F$98)/(('Cálculos'!$F$197+(($C193)-$A$177:$A$222)*'Cálculos'!$F$98)+1400)+'Cálculos'!$F$123)*'Cálculos'!$F$236)+('Cálculos'!$F$204*(1+'Cálculos'!$F$205+$A$177:$A$222*('Cálculos'!$F$290=3)*'Cálculos'!$F$103)+'Cálculos'!$F$206)*('Cálculos'!$F$227+'Cálculos'!$F$124*(1+2.78*('Cálculos'!$F$197+(($C193)-$A$177:$A$222)*'Cálculos'!$F$98)/(('Cálculos'!$F$197+(($C193)-$A$177:$A$222)*'Cálculos'!$F$98)+1400)+'Cálculos'!$F$122)*'Cálculos'!$F$232+'Cálculos'!$F$125*(1+2.78*('Cálculos'!$F$197+(($C193)-$A$177:$A$222)*'Cálculos'!$F$98)/(('Cálculos'!$F$197+(($C193)-$A$177:$A$222)*'Cálculos'!$F$98)+1400)+'Cálculos'!$F$123)*'Cálculos'!$F$237)+('Cálculos'!$F$228+'Cálculos'!$F$124*(1+2.78*('Cálculos'!$F$197+(($C193)-$A$177:$A$222)*'Cálculos'!$F$98)/(('Cálculos'!$F$197+(($C193)-$A$177:$A$222)*'Cálculos'!$F$98)+1400)+'Cálculos'!$F$122)*'Cálculos'!$F$233+'Cálculos'!$F$125*(1+2.78*('Cálculos'!$F$197+(($C193)-$A$177:$A$222)*'Cálculos'!$F$98)/(('Cálculos'!$F$197+(($C193)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193)-$A$177:$A$222)*'Cálculos'!$F$98)/(('Cálculos'!$F$198+(($C193)-$A$177:$A$222)*'Cálculos'!$F$98)+1400)+'Cálculos'!$F$122)*'Cálculos'!$F$244+'Cálculos'!$F$125*(1+2.78*('Cálculos'!$F$198+(($C193)-$A$177:$A$222)*'Cálculos'!$F$98)/(('Cálculos'!$F$198+(($C193)-$A$177:$A$222)*'Cálculos'!$F$98)+1400)+'Cálculos'!$F$123)*'Cálculos'!$F$249)+('Cálculos'!$F$198+(($C193)-$A$177:$A$222)*'Cálculos'!$F$98)*('Cálculos'!$F$240+'Cálculos'!$F$124*(1+2.78*('Cálculos'!$F$198+(($C193)-$A$177:$A$222)*'Cálculos'!$F$98)/(('Cálculos'!$F$198+(($C193)-$A$177:$A$222)*'Cálculos'!$F$98)+1400)+'Cálculos'!$F$122)*'Cálculos'!$F$245+'Cálculos'!$F$125*(1+2.78*('Cálculos'!$F$198+(($C193)-$A$177:$A$222)*'Cálculos'!$F$98)/(('Cálculos'!$F$198+(($C193)-$A$177:$A$222)*'Cálculos'!$F$98)+1400)+'Cálculos'!$F$123)*'Cálculos'!$F$250)+('Cálculos'!$F$201*(1+'Cálculos'!$F$202+$A$177:$A$222*('Cálculos'!$F$290=2)*'Cálculos'!$F$101)+'Cálculos'!$F$203)*('Cálculos'!$F$241+'Cálculos'!$F$124*(1+2.78*('Cálculos'!$F$198+(($C193)-$A$177:$A$222)*'Cálculos'!$F$98)/(('Cálculos'!$F$198+(($C193)-$A$177:$A$222)*'Cálculos'!$F$98)+1400)+'Cálculos'!$F$122)*'Cálculos'!$F$246+'Cálculos'!$F$125*(1+2.78*('Cálculos'!$F$198+(($C193)-$A$177:$A$222)*'Cálculos'!$F$98)/(('Cálculos'!$F$198+(($C193)-$A$177:$A$222)*'Cálculos'!$F$98)+1400)+'Cálculos'!$F$123)*'Cálculos'!$F$251)+('Cálculos'!$F$204*(1+'Cálculos'!$F$205+$A$177:$A$222*('Cálculos'!$F$290=3)*'Cálculos'!$F$103)+'Cálculos'!$F$206)*('Cálculos'!$F$242+'Cálculos'!$F$124*(1+2.78*('Cálculos'!$F$198+(($C193)-$A$177:$A$222)*'Cálculos'!$F$98)/(('Cálculos'!$F$198+(($C193)-$A$177:$A$222)*'Cálculos'!$F$98)+1400)+'Cálculos'!$F$122)*'Cálculos'!$F$247+'Cálculos'!$F$125*(1+2.78*('Cálculos'!$F$198+(($C193)-$A$177:$A$222)*'Cálculos'!$F$98)/(('Cálculos'!$F$198+(($C193)-$A$177:$A$222)*'Cálculos'!$F$98)+1400)+'Cálculos'!$F$123)*'Cálculos'!$F$252)+('Cálculos'!$F$243+'Cálculos'!$F$124*(1+2.78*('Cálculos'!$F$198+(($C193)-$A$177:$A$222)*'Cálculos'!$F$98)/(('Cálculos'!$F$198+(($C193)-$A$177:$A$222)*'Cálculos'!$F$98)+1400)+'Cálculos'!$F$122)*'Cálculos'!$F$248+'Cálculos'!$F$125*(1+2.78*('Cálculos'!$F$198+(($C193)-$A$177:$A$222)*'Cálculos'!$F$98)/(('Cálculos'!$F$198+(($C193)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193)-$A$177:$A$222)*'Cálculos'!$F$98)/(('Cálculos'!$F$199+(($C193)-$A$177:$A$222)*'Cálculos'!$F$98)+1400)+'Cálculos'!$F$122)*'Cálculos'!$F$259+'Cálculos'!$F$125*(1+2.78*('Cálculos'!$F$199+(($C193)-$A$177:$A$222)*'Cálculos'!$F$98)/(('Cálculos'!$F$199+(($C193)-$A$177:$A$222)*'Cálculos'!$F$98)+1400)+'Cálculos'!$F$123)*'Cálculos'!$F$264)+('Cálculos'!$F$199+(($C193)-$A$177:$A$222)*'Cálculos'!$F$98)*('Cálculos'!$F$255+'Cálculos'!$F$124*(1+2.78*('Cálculos'!$F$199+(($C193)-$A$177:$A$222)*'Cálculos'!$F$98)/(('Cálculos'!$F$199+(($C193)-$A$177:$A$222)*'Cálculos'!$F$98)+1400)+'Cálculos'!$F$122)*'Cálculos'!$F$260+'Cálculos'!$F$125*(1+2.78*('Cálculos'!$F$199+(($C193)-$A$177:$A$222)*'Cálculos'!$F$98)/(('Cálculos'!$F$199+(($C193)-$A$177:$A$222)*'Cálculos'!$F$98)+1400)+'Cálculos'!$F$123)*'Cálculos'!$F$265)+('Cálculos'!$F$201*(1+'Cálculos'!$F$202+$A$177:$A$222*('Cálculos'!$F$290=2)*'Cálculos'!$F$101)+'Cálculos'!$F$203)*('Cálculos'!$F$256+'Cálculos'!$F$124*(1+2.78*('Cálculos'!$F$199+(($C193)-$A$177:$A$222)*'Cálculos'!$F$98)/(('Cálculos'!$F$199+(($C193)-$A$177:$A$222)*'Cálculos'!$F$98)+1400)+'Cálculos'!$F$122)*'Cálculos'!$F$261+'Cálculos'!$F$125*(1+2.78*('Cálculos'!$F$199+(($C193)-$A$177:$A$222)*'Cálculos'!$F$98)/(('Cálculos'!$F$199+(($C193)-$A$177:$A$222)*'Cálculos'!$F$98)+1400)+'Cálculos'!$F$123)*'Cálculos'!$F$266)+('Cálculos'!$F$204*(1+'Cálculos'!$F$205+$A$177:$A$222*('Cálculos'!$F$290=3)*'Cálculos'!$F$103)+'Cálculos'!$F$206)*('Cálculos'!$F$257+'Cálculos'!$F$124*(1+2.78*('Cálculos'!$F$199+(($C193)-$A$177:$A$222)*'Cálculos'!$F$98)/(('Cálculos'!$F$199+(($C193)-$A$177:$A$222)*'Cálculos'!$F$98)+1400)+'Cálculos'!$F$122)*'Cálculos'!$F$262+'Cálculos'!$F$125*(1+2.78*('Cálculos'!$F$199+(($C193)-$A$177:$A$222)*'Cálculos'!$F$98)/(('Cálculos'!$F$199+(($C193)-$A$177:$A$222)*'Cálculos'!$F$98)+1400)+'Cálculos'!$F$123)*'Cálculos'!$F$267)+('Cálculos'!$F$258+'Cálculos'!$F$124*(1+2.78*('Cálculos'!$F$199+(($C193)-$A$177:$A$222)*'Cálculos'!$F$98)/(('Cálculos'!$F$199+(($C193)-$A$177:$A$222)*'Cálculos'!$F$98)+1400)+'Cálculos'!$F$122)*'Cálculos'!$F$263+'Cálculos'!$F$125*(1+2.78*('Cálculos'!$F$199+(($C193)-$A$177:$A$222)*'Cálculos'!$F$98)/(('Cálculos'!$F$199+(($C193)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193)-$A$177:$A$222)*'Cálculos'!$F$98)/(('Cálculos'!$F$200+(($C193)-$A$177:$A$222)*'Cálculos'!$F$98)+1400)+'Cálculos'!$F$122)*'Cálculos'!$F$274+'Cálculos'!$F$125*(1+2.78*('Cálculos'!$F$200+(($C193)-$A$177:$A$222)*'Cálculos'!$F$98)/(('Cálculos'!$F$200+(($C193)-$A$177:$A$222)*'Cálculos'!$F$98)+1400)+'Cálculos'!$F$123)*'Cálculos'!$F$279)+('Cálculos'!$F$200+(($C193)-$A$177:$A$222)*'Cálculos'!$F$98)*('Cálculos'!$F$270+'Cálculos'!$F$124*(1+2.78*('Cálculos'!$F$200+(($C193)-$A$177:$A$222)*'Cálculos'!$F$98)/(('Cálculos'!$F$200+(($C193)-$A$177:$A$222)*'Cálculos'!$F$98)+1400)+'Cálculos'!$F$122)*'Cálculos'!$F$275+'Cálculos'!$F$125*(1+2.78*('Cálculos'!$F$200+(($C193)-$A$177:$A$222)*'Cálculos'!$F$98)/(('Cálculos'!$F$200+(($C193)-$A$177:$A$222)*'Cálculos'!$F$98)+1400)+'Cálculos'!$F$123)*'Cálculos'!$F$280)+('Cálculos'!$F$201*(1+'Cálculos'!$F$202+$A$177:$A$222*('Cálculos'!$F$290=2)*'Cálculos'!$F$101)+'Cálculos'!$F$203)*('Cálculos'!$F$271+'Cálculos'!$F$124*(1+2.78*('Cálculos'!$F$200+(($C193)-$A$177:$A$222)*'Cálculos'!$F$98)/(('Cálculos'!$F$200+(($C193)-$A$177:$A$222)*'Cálculos'!$F$98)+1400)+'Cálculos'!$F$122)*'Cálculos'!$F$276+'Cálculos'!$F$125*(1+2.78*('Cálculos'!$F$200+(($C193)-$A$177:$A$222)*'Cálculos'!$F$98)/(('Cálculos'!$F$200+(($C193)-$A$177:$A$222)*'Cálculos'!$F$98)+1400)+'Cálculos'!$F$123)*'Cálculos'!$F$281)+('Cálculos'!$F$204*(1+'Cálculos'!$F$205+$A$177:$A$222*('Cálculos'!$F$290=3)*'Cálculos'!$F$103)+'Cálculos'!$F$206)*('Cálculos'!$F$272+'Cálculos'!$F$124*(1+2.78*('Cálculos'!$F$200+(($C193)-$A$177:$A$222)*'Cálculos'!$F$98)/(('Cálculos'!$F$200+(($C193)-$A$177:$A$222)*'Cálculos'!$F$98)+1400)+'Cálculos'!$F$122)*'Cálculos'!$F$277+'Cálculos'!$F$125*(1+2.78*('Cálculos'!$F$200+(($C193)-$A$177:$A$222)*'Cálculos'!$F$98)/(('Cálculos'!$F$200+(($C193)-$A$177:$A$222)*'Cálculos'!$F$98)+1400)+'Cálculos'!$F$123)*'Cálculos'!$F$282)+('Cálculos'!$F$273+'Cálculos'!$F$124*(1+2.78*('Cálculos'!$F$200+(($C193)-$A$177:$A$222)*'Cálculos'!$F$98)/(('Cálculos'!$F$200+(($C193)-$A$177:$A$222)*'Cálculos'!$F$98)+1400)+'Cálculos'!$F$122)*'Cálculos'!$F$278+'Cálculos'!$F$125*(1+2.78*('Cálculos'!$F$200+(($C193)-$A$177:$A$222)*'Cálculos'!$F$98)/(('Cálculos'!$F$200+(($C193)-$A$177:$A$222)*'Cálculos'!$F$98)+1400)+'Cálculos'!$F$123)*'Cálculos'!$F$283)))))</f>
        <v>19793.20932</v>
      </c>
      <c r="E193" s="32">
        <f>IF(OR($C193&lt;0,'Cálculos'!$F$6=""),0,$B193*$D193)</f>
        <v>44858.73581</v>
      </c>
      <c r="F193" s="2"/>
      <c r="G193" s="30">
        <f>($A193&lt;=$B$224)*($A193&lt;='Cálculos'!$F$294)*(($B$224)-$A193&lt;='Cálculos'!$F$295)*(1+MIN(('Cálculos'!$F$207+$A193*'Cálculos'!$F$95),1)*('Cálculos'!$F$208+(($B$224)-$A193)*'Cálculos'!$F$96))</f>
        <v>2.341775</v>
      </c>
      <c r="H193" s="31">
        <f>IF($B$225&lt;0,0,($A193&lt;=$B$225)*($A193&lt;='Cálculos'!$F$301)*(($B$225)-$A193&lt;='Cálculos'!$F$297)*(('Cálculos'!$F$185*(1+'Cálculos'!$F$186+$A193*('Cálculos'!$F$290=1)*'Cálculos'!$F$97+'Cálculos'!$F$305)+'Cálculos'!$F$191)*('Cálculos'!$F$209+'Cálculos'!$F$124*(1+2.78*('Cálculos'!$F$196+(($B$225)-$A193)*'Cálculos'!$F$98)/(('Cálculos'!$F$196+(($B$225)-$A193)*'Cálculos'!$F$98)+1400)+'Cálculos'!$F$122)*'Cálculos'!$F$214+'Cálculos'!$F$125*(1+2.78*('Cálculos'!$F$196+(($B$225)-$A193)*'Cálculos'!$F$98)/(('Cálculos'!$F$196+(($B$225)-$A193)*'Cálculos'!$F$98)+1400)+'Cálculos'!$F$123)*'Cálculos'!$F$219)+('Cálculos'!$F$196+(($B$225)-$A193)*'Cálculos'!$F$98)*('Cálculos'!$F$210+'Cálculos'!$F$124*(1+2.78*('Cálculos'!$F$196+(($B$225)-$A193)*'Cálculos'!$F$98)/(('Cálculos'!$F$196+(($B$225)-$A193)*'Cálculos'!$F$98)+1400)+'Cálculos'!$F$122)*'Cálculos'!$F$215+'Cálculos'!$F$125*(1+2.78*('Cálculos'!$F$196+(($B$225)-$A193)*'Cálculos'!$F$98)/(('Cálculos'!$F$196+(($B$225)-$A193)*'Cálculos'!$F$98)+1400)+'Cálculos'!$F$123)*'Cálculos'!$F$220)+('Cálculos'!$F$201*(1+'Cálculos'!$F$202+$A193*('Cálculos'!$F$290=2)*'Cálculos'!$F$101)+'Cálculos'!$F$203)*('Cálculos'!$F$211+'Cálculos'!$F$124*(1+2.78*('Cálculos'!$F$196+(($B$225)-$A193)*'Cálculos'!$F$98)/(('Cálculos'!$F$196+(($B$225)-$A193)*'Cálculos'!$F$98)+1400)+'Cálculos'!$F$122)*'Cálculos'!$F$216+'Cálculos'!$F$125*(1+2.78*('Cálculos'!$F$196+(($B$225)-$A193)*'Cálculos'!$F$98)/(('Cálculos'!$F$196+(($B$225)-$A193)*'Cálculos'!$F$98)+1400)+'Cálculos'!$F$123)*'Cálculos'!$F$221)+('Cálculos'!$F$204*(1+'Cálculos'!$F$205+$A193*('Cálculos'!$F$290=3)*'Cálculos'!$F$103)+'Cálculos'!$F$206)*('Cálculos'!$F$212+'Cálculos'!$F$124*(1+2.78*('Cálculos'!$F$196+(($B$225)-$A193)*'Cálculos'!$F$98)/(('Cálculos'!$F$196+(($B$225)-$A193)*'Cálculos'!$F$98)+1400)+'Cálculos'!$F$122)*'Cálculos'!$F$217+'Cálculos'!$F$125*(1+2.78*('Cálculos'!$F$196+(($B$225)-$A193)*'Cálculos'!$F$98)/(('Cálculos'!$F$196+(($B$225)-$A193)*'Cálculos'!$F$98)+1400)+'Cálculos'!$F$123)*'Cálculos'!$F$222)+('Cálculos'!$F$213+'Cálculos'!$F$124*(1+2.78*('Cálculos'!$F$196+(($B$225)-$A193)*'Cálculos'!$F$98)/(('Cálculos'!$F$196+(($B$225)-$A193)*'Cálculos'!$F$98)+1400)+'Cálculos'!$F$122)*'Cálculos'!$F$218+'Cálculos'!$F$125*(1+2.78*('Cálculos'!$F$196+(($B$225)-$A193)*'Cálculos'!$F$98)/(('Cálculos'!$F$196+(($B$225)-$A193)*'Cálculos'!$F$98)+1400)+'Cálculos'!$F$123)*'Cálculos'!$F$223)+('Cálculos'!$F$185*(1+'Cálculos'!$F$187+$A193*('Cálculos'!$F$290=1)*'Cálculos'!$F$97+'Cálculos'!$F$305)+'Cálculos'!$F$192)*('Cálculos'!$F$224+'Cálculos'!$F$124*(1+2.78*('Cálculos'!$F$197+(($B$225)-$A193)*'Cálculos'!$F$98)/(('Cálculos'!$F$197+(($B$225)-$A193)*'Cálculos'!$F$98)+1400)+'Cálculos'!$F$122)*'Cálculos'!$F$229+'Cálculos'!$F$125*(1+2.78*('Cálculos'!$F$197+(($B$225)-$A193)*'Cálculos'!$F$98)/(('Cálculos'!$F$197+(($B$225)-$A193)*'Cálculos'!$F$98)+1400)+'Cálculos'!$F$123)*'Cálculos'!$F$234)+('Cálculos'!$F$197+(($B$225)-$A193)*'Cálculos'!$F$98)*('Cálculos'!$F$225+'Cálculos'!$F$124*(1+2.78*('Cálculos'!$F$197+(($B$225)-$A193)*'Cálculos'!$F$98)/(('Cálculos'!$F$197+(($B$225)-$A193)*'Cálculos'!$F$98)+1400)+'Cálculos'!$F$122)*'Cálculos'!$F$230+'Cálculos'!$F$125*(1+2.78*('Cálculos'!$F$197+(($B$225)-$A193)*'Cálculos'!$F$98)/(('Cálculos'!$F$197+(($B$225)-$A193)*'Cálculos'!$F$98)+1400)+'Cálculos'!$F$123)*'Cálculos'!$F$235)+('Cálculos'!$F$201*(1+'Cálculos'!$F$202+$A193*('Cálculos'!$F$290=2)*'Cálculos'!$F$101)+'Cálculos'!$F$203)*('Cálculos'!$F$226+'Cálculos'!$F$124*(1+2.78*('Cálculos'!$F$197+(($B$225)-$A193)*'Cálculos'!$F$98)/(('Cálculos'!$F$197+(($B$225)-$A193)*'Cálculos'!$F$98)+1400)+'Cálculos'!$F$122)*'Cálculos'!$F$231+'Cálculos'!$F$125*(1+2.78*('Cálculos'!$F$197+(($B$225)-$A193)*'Cálculos'!$F$98)/(('Cálculos'!$F$197+(($B$225)-$A193)*'Cálculos'!$F$98)+1400)+'Cálculos'!$F$123)*'Cálculos'!$F$236)+('Cálculos'!$F$204*(1+'Cálculos'!$F$205+$A193*('Cálculos'!$F$290=3)*'Cálculos'!$F$103)+'Cálculos'!$F$206)*('Cálculos'!$F$227+'Cálculos'!$F$124*(1+2.78*('Cálculos'!$F$197+(($B$225)-$A193)*'Cálculos'!$F$98)/(('Cálculos'!$F$197+(($B$225)-$A193)*'Cálculos'!$F$98)+1400)+'Cálculos'!$F$122)*'Cálculos'!$F$232+'Cálculos'!$F$125*(1+2.78*('Cálculos'!$F$197+(($B$225)-$A193)*'Cálculos'!$F$98)/(('Cálculos'!$F$197+(($B$225)-$A193)*'Cálculos'!$F$98)+1400)+'Cálculos'!$F$123)*'Cálculos'!$F$237)+('Cálculos'!$F$228+'Cálculos'!$F$124*(1+2.78*('Cálculos'!$F$197+(($B$225)-$A193)*'Cálculos'!$F$98)/(('Cálculos'!$F$197+(($B$225)-$A193)*'Cálculos'!$F$98)+1400)+'Cálculos'!$F$122)*'Cálculos'!$F$233+'Cálculos'!$F$125*(1+2.78*('Cálculos'!$F$197+(($B$225)-$A193)*'Cálculos'!$F$98)/(('Cálculos'!$F$197+(($B$225)-$A193)*'Cálculos'!$F$98)+1400)+'Cálculos'!$F$123)*'Cálculos'!$F$238)+('Cálculos'!$F$185*(1+'Cálculos'!$F$188+$A193*('Cálculos'!$F$290=1)*'Cálculos'!$F$97+'Cálculos'!$F$305)+'Cálculos'!$F$193)*('Cálculos'!$F$239+'Cálculos'!$F$124*(1+2.78*('Cálculos'!$F$198+(($B$225)-$A193)*'Cálculos'!$F$98)/(('Cálculos'!$F$198+(($B$225)-$A193)*'Cálculos'!$F$98)+1400)+'Cálculos'!$F$122)*'Cálculos'!$F$244+'Cálculos'!$F$125*(1+2.78*('Cálculos'!$F$198+(($B$225)-$A193)*'Cálculos'!$F$98)/(('Cálculos'!$F$198+(($B$225)-$A193)*'Cálculos'!$F$98)+1400)+'Cálculos'!$F$123)*'Cálculos'!$F$249)+('Cálculos'!$F$198+(($B$225)-$A193)*'Cálculos'!$F$98)*('Cálculos'!$F$240+'Cálculos'!$F$124*(1+2.78*('Cálculos'!$F$198+(($B$225)-$A193)*'Cálculos'!$F$98)/(('Cálculos'!$F$198+(($B$225)-$A193)*'Cálculos'!$F$98)+1400)+'Cálculos'!$F$122)*'Cálculos'!$F$245+'Cálculos'!$F$125*(1+2.78*('Cálculos'!$F$198+(($B$225)-$A193)*'Cálculos'!$F$98)/(('Cálculos'!$F$198+(($B$225)-$A193)*'Cálculos'!$F$98)+1400)+'Cálculos'!$F$123)*'Cálculos'!$F$250)+('Cálculos'!$F$201*(1+'Cálculos'!$F$202+$A193*('Cálculos'!$F$290=2)*'Cálculos'!$F$101)+'Cálculos'!$F$203)*('Cálculos'!$F$241+'Cálculos'!$F$124*(1+2.78*('Cálculos'!$F$198+(($B$225)-$A193)*'Cálculos'!$F$98)/(('Cálculos'!$F$198+(($B$225)-$A193)*'Cálculos'!$F$98)+1400)+'Cálculos'!$F$122)*'Cálculos'!$F$246+'Cálculos'!$F$125*(1+2.78*('Cálculos'!$F$198+(($B$225)-$A193)*'Cálculos'!$F$98)/(('Cálculos'!$F$198+(($B$225)-$A193)*'Cálculos'!$F$98)+1400)+'Cálculos'!$F$123)*'Cálculos'!$F$251)+('Cálculos'!$F$204*(1+'Cálculos'!$F$205+$A193*('Cálculos'!$F$290=3)*'Cálculos'!$F$103)+'Cálculos'!$F$206)*('Cálculos'!$F$242+'Cálculos'!$F$124*(1+2.78*('Cálculos'!$F$198+(($B$225)-$A193)*'Cálculos'!$F$98)/(('Cálculos'!$F$198+(($B$225)-$A193)*'Cálculos'!$F$98)+1400)+'Cálculos'!$F$122)*'Cálculos'!$F$247+'Cálculos'!$F$125*(1+2.78*('Cálculos'!$F$198+(($B$225)-$A193)*'Cálculos'!$F$98)/(('Cálculos'!$F$198+(($B$225)-$A193)*'Cálculos'!$F$98)+1400)+'Cálculos'!$F$123)*'Cálculos'!$F$252)+('Cálculos'!$F$243+'Cálculos'!$F$124*(1+2.78*('Cálculos'!$F$198+(($B$225)-$A193)*'Cálculos'!$F$98)/(('Cálculos'!$F$198+(($B$225)-$A193)*'Cálculos'!$F$98)+1400)+'Cálculos'!$F$122)*'Cálculos'!$F$248+'Cálculos'!$F$125*(1+2.78*('Cálculos'!$F$198+(($B$225)-$A193)*'Cálculos'!$F$98)/(('Cálculos'!$F$198+(($B$225)-$A193)*'Cálculos'!$F$98)+1400)+'Cálculos'!$F$123)*'Cálculos'!$F$253)+('Cálculos'!$F$185*(1+'Cálculos'!$F$189+$A193*('Cálculos'!$F$290=1)*'Cálculos'!$F$97+'Cálculos'!$F$305)+'Cálculos'!$F$194)*('Cálculos'!$F$254+'Cálculos'!$F$124*(1+2.78*('Cálculos'!$F$199+(($B$225)-$A193)*'Cálculos'!$F$98)/(('Cálculos'!$F$199+(($B$225)-$A193)*'Cálculos'!$F$98)+1400)+'Cálculos'!$F$122)*'Cálculos'!$F$259+'Cálculos'!$F$125*(1+2.78*('Cálculos'!$F$199+(($B$225)-$A193)*'Cálculos'!$F$98)/(('Cálculos'!$F$199+(($B$225)-$A193)*'Cálculos'!$F$98)+1400)+'Cálculos'!$F$123)*'Cálculos'!$F$264)+('Cálculos'!$F$199+(($B$225)-$A193)*'Cálculos'!$F$98)*('Cálculos'!$F$255+'Cálculos'!$F$124*(1+2.78*('Cálculos'!$F$199+(($B$225)-$A193)*'Cálculos'!$F$98)/(('Cálculos'!$F$199+(($B$225)-$A193)*'Cálculos'!$F$98)+1400)+'Cálculos'!$F$122)*'Cálculos'!$F$260+'Cálculos'!$F$125*(1+2.78*('Cálculos'!$F$199+(($B$225)-$A193)*'Cálculos'!$F$98)/(('Cálculos'!$F$199+(($B$225)-$A193)*'Cálculos'!$F$98)+1400)+'Cálculos'!$F$123)*'Cálculos'!$F$265)+('Cálculos'!$F$201*(1+'Cálculos'!$F$202+$A193*('Cálculos'!$F$290=2)*'Cálculos'!$F$101)+'Cálculos'!$F$203)*('Cálculos'!$F$256+'Cálculos'!$F$124*(1+2.78*('Cálculos'!$F$199+(($B$225)-$A193)*'Cálculos'!$F$98)/(('Cálculos'!$F$199+(($B$225)-$A193)*'Cálculos'!$F$98)+1400)+'Cálculos'!$F$122)*'Cálculos'!$F$261+'Cálculos'!$F$125*(1+2.78*('Cálculos'!$F$199+(($B$225)-$A193)*'Cálculos'!$F$98)/(('Cálculos'!$F$199+(($B$225)-$A193)*'Cálculos'!$F$98)+1400)+'Cálculos'!$F$123)*'Cálculos'!$F$266)+('Cálculos'!$F$204*(1+'Cálculos'!$F$205+$A193*('Cálculos'!$F$290=3)*'Cálculos'!$F$103)+'Cálculos'!$F$206)*('Cálculos'!$F$257+'Cálculos'!$F$124*(1+2.78*('Cálculos'!$F$199+(($B$225)-$A193)*'Cálculos'!$F$98)/(('Cálculos'!$F$199+(($B$225)-$A193)*'Cálculos'!$F$98)+1400)+'Cálculos'!$F$122)*'Cálculos'!$F$262+'Cálculos'!$F$125*(1+2.78*('Cálculos'!$F$199+(($B$225)-$A193)*'Cálculos'!$F$98)/(('Cálculos'!$F$199+(($B$225)-$A193)*'Cálculos'!$F$98)+1400)+'Cálculos'!$F$123)*'Cálculos'!$F$267)+('Cálculos'!$F$258+'Cálculos'!$F$124*(1+2.78*('Cálculos'!$F$199+(($B$225)-$A193)*'Cálculos'!$F$98)/(('Cálculos'!$F$199+(($B$225)-$A193)*'Cálculos'!$F$98)+1400)+'Cálculos'!$F$122)*'Cálculos'!$F$263+'Cálculos'!$F$125*(1+2.78*('Cálculos'!$F$199+(($B$225)-$A193)*'Cálculos'!$F$98)/(('Cálculos'!$F$199+(($B$225)-$A193)*'Cálculos'!$F$98)+1400)+'Cálculos'!$F$123)*'Cálculos'!$F$268)+('Cálculos'!$F$185*(1+'Cálculos'!$F$190+$A193*('Cálculos'!$F$290=1)*'Cálculos'!$F$97+'Cálculos'!$F$305)+'Cálculos'!$F$195)*('Cálculos'!$F$269+'Cálculos'!$F$124*(1+2.78*('Cálculos'!$F$200+(($B$225)-$A193)*'Cálculos'!$F$98)/(('Cálculos'!$F$200+(($B$225)-$A193)*'Cálculos'!$F$98)+1400)+'Cálculos'!$F$122)*'Cálculos'!$F$274+'Cálculos'!$F$125*(1+2.78*('Cálculos'!$F$200+(($B$225)-$A193)*'Cálculos'!$F$98)/(('Cálculos'!$F$200+(($B$225)-$A193)*'Cálculos'!$F$98)+1400)+'Cálculos'!$F$123)*'Cálculos'!$F$279)+('Cálculos'!$F$200+(($B$225)-$A193)*'Cálculos'!$F$98)*('Cálculos'!$F$270+'Cálculos'!$F$124*(1+2.78*('Cálculos'!$F$200+(($B$225)-$A193)*'Cálculos'!$F$98)/(('Cálculos'!$F$200+(($B$225)-$A193)*'Cálculos'!$F$98)+1400)+'Cálculos'!$F$122)*'Cálculos'!$F$275+'Cálculos'!$F$125*(1+2.78*('Cálculos'!$F$200+(($B$225)-$A193)*'Cálculos'!$F$98)/(('Cálculos'!$F$200+(($B$225)-$A193)*'Cálculos'!$F$98)+1400)+'Cálculos'!$F$123)*'Cálculos'!$F$280)+('Cálculos'!$F$201*(1+'Cálculos'!$F$202+$A193*('Cálculos'!$F$290=2)*'Cálculos'!$F$101)+'Cálculos'!$F$203)*('Cálculos'!$F$271+'Cálculos'!$F$124*(1+2.78*('Cálculos'!$F$200+(($B$225)-$A193)*'Cálculos'!$F$98)/(('Cálculos'!$F$200+(($B$225)-$A193)*'Cálculos'!$F$98)+1400)+'Cálculos'!$F$122)*'Cálculos'!$F$276+'Cálculos'!$F$125*(1+2.78*('Cálculos'!$F$200+(($B$225)-$A193)*'Cálculos'!$F$98)/(('Cálculos'!$F$200+(($B$225)-$A193)*'Cálculos'!$F$98)+1400)+'Cálculos'!$F$123)*'Cálculos'!$F$281)+('Cálculos'!$F$204*(1+'Cálculos'!$F$205+$A193*('Cálculos'!$F$290=3)*'Cálculos'!$F$103)+'Cálculos'!$F$206)*('Cálculos'!$F$272+'Cálculos'!$F$124*(1+2.78*('Cálculos'!$F$200+(($B$225)-$A193)*'Cálculos'!$F$98)/(('Cálculos'!$F$200+(($B$225)-$A193)*'Cálculos'!$F$98)+1400)+'Cálculos'!$F$122)*'Cálculos'!$F$277+'Cálculos'!$F$125*(1+2.78*('Cálculos'!$F$200+(($B$225)-$A193)*'Cálculos'!$F$98)/(('Cálculos'!$F$200+(($B$225)-$A193)*'Cálculos'!$F$98)+1400)+'Cálculos'!$F$123)*'Cálculos'!$F$282)+('Cálculos'!$F$273+'Cálculos'!$F$124*(1+2.78*('Cálculos'!$F$200+(($B$225)-$A193)*'Cálculos'!$F$98)/(('Cálculos'!$F$200+(($B$225)-$A193)*'Cálculos'!$F$98)+1400)+'Cálculos'!$F$122)*'Cálculos'!$F$278+'Cálculos'!$F$125*(1+2.78*('Cálculos'!$F$200+(($B$225)-$A193)*'Cálculos'!$F$98)/(('Cálculos'!$F$200+(($B$225)-$A193)*'Cálculos'!$F$98)+1400)+'Cálculos'!$F$123)*'Cálculos'!$F$283)))</f>
        <v>0</v>
      </c>
    </row>
    <row r="194" ht="15.75" customHeight="1">
      <c r="A194" s="2">
        <v>17.0</v>
      </c>
      <c r="B194" s="30">
        <f>SUMPRODUCT(MAX(($A$177:$A$222&lt;=$A194)*($A$177:$A$222&lt;='Cálculos'!$F$294)*(($A194)-$A$177:$A$222&lt;='Cálculos'!$F$295)*(1+(('Cálculos'!$F$207+$A$177:$A$222*'Cálculos'!$F$95)-(('Cálculos'!$F$207+$A$177:$A$222*'Cálculos'!$F$95)&gt;1)*(('Cálculos'!$F$207+$A$177:$A$222*'Cálculos'!$F$95)-1))*('Cálculos'!$F$208+(($A194)-$A$177:$A$222)*'Cálculos'!$F$96))))</f>
        <v>2.319269</v>
      </c>
      <c r="C194" s="2">
        <f>'Cálculos'!$F$303-$A194</f>
        <v>1</v>
      </c>
      <c r="D194" s="31">
        <f>IF($C194&lt;0,0,SUMPRODUCT(MAX(($A$177:$A$222&lt;=$C194)*($A$177:$A$222&lt;='Cálculos'!$F$301)*(($C194)-$A$177:$A$222&lt;='Cálculos'!$F$297)*(('Cálculos'!$F$185*(1+'Cálculos'!$F$186+$A$177:$A$222*('Cálculos'!$F$290=1)*'Cálculos'!$F$97+'Cálculos'!$F$305)+'Cálculos'!$F$191)*('Cálculos'!$F$209+'Cálculos'!$F$124*(1+2.78*('Cálculos'!$F$196+(($C194)-$A$177:$A$222)*'Cálculos'!$F$98)/(('Cálculos'!$F$196+(($C194)-$A$177:$A$222)*'Cálculos'!$F$98)+1400)+'Cálculos'!$F$122)*'Cálculos'!$F$214+'Cálculos'!$F$125*(1+2.78*('Cálculos'!$F$196+(($C194)-$A$177:$A$222)*'Cálculos'!$F$98)/(('Cálculos'!$F$196+(($C194)-$A$177:$A$222)*'Cálculos'!$F$98)+1400)+'Cálculos'!$F$123)*'Cálculos'!$F$219)+('Cálculos'!$F$196+(($C194)-$A$177:$A$222)*'Cálculos'!$F$98)*('Cálculos'!$F$210+'Cálculos'!$F$124*(1+2.78*('Cálculos'!$F$196+(($C194)-$A$177:$A$222)*'Cálculos'!$F$98)/(('Cálculos'!$F$196+(($C194)-$A$177:$A$222)*'Cálculos'!$F$98)+1400)+'Cálculos'!$F$122)*'Cálculos'!$F$215+'Cálculos'!$F$125*(1+2.78*('Cálculos'!$F$196+(($C194)-$A$177:$A$222)*'Cálculos'!$F$98)/(('Cálculos'!$F$196+(($C194)-$A$177:$A$222)*'Cálculos'!$F$98)+1400)+'Cálculos'!$F$123)*'Cálculos'!$F$220)+('Cálculos'!$F$201*(1+'Cálculos'!$F$202+$A$177:$A$222*('Cálculos'!$F$290=2)*'Cálculos'!$F$101)+'Cálculos'!$F$203)*('Cálculos'!$F$211+'Cálculos'!$F$124*(1+2.78*('Cálculos'!$F$196+(($C194)-$A$177:$A$222)*'Cálculos'!$F$98)/(('Cálculos'!$F$196+(($C194)-$A$177:$A$222)*'Cálculos'!$F$98)+1400)+'Cálculos'!$F$122)*'Cálculos'!$F$216+'Cálculos'!$F$125*(1+2.78*('Cálculos'!$F$196+(($C194)-$A$177:$A$222)*'Cálculos'!$F$98)/(('Cálculos'!$F$196+(($C194)-$A$177:$A$222)*'Cálculos'!$F$98)+1400)+'Cálculos'!$F$123)*'Cálculos'!$F$221)+('Cálculos'!$F$204*(1+'Cálculos'!$F$205+$A$177:$A$222*('Cálculos'!$F$290=3)*'Cálculos'!$F$103)+'Cálculos'!$F$206)*('Cálculos'!$F$212+'Cálculos'!$F$124*(1+2.78*('Cálculos'!$F$196+(($C194)-$A$177:$A$222)*'Cálculos'!$F$98)/(('Cálculos'!$F$196+(($C194)-$A$177:$A$222)*'Cálculos'!$F$98)+1400)+'Cálculos'!$F$122)*'Cálculos'!$F$217+'Cálculos'!$F$125*(1+2.78*('Cálculos'!$F$196+(($C194)-$A$177:$A$222)*'Cálculos'!$F$98)/(('Cálculos'!$F$196+(($C194)-$A$177:$A$222)*'Cálculos'!$F$98)+1400)+'Cálculos'!$F$123)*'Cálculos'!$F$222)+('Cálculos'!$F$213+'Cálculos'!$F$124*(1+2.78*('Cálculos'!$F$196+(($C194)-$A$177:$A$222)*'Cálculos'!$F$98)/(('Cálculos'!$F$196+(($C194)-$A$177:$A$222)*'Cálculos'!$F$98)+1400)+'Cálculos'!$F$122)*'Cálculos'!$F$218+'Cálculos'!$F$125*(1+2.78*('Cálculos'!$F$196+(($C194)-$A$177:$A$222)*'Cálculos'!$F$98)/(('Cálculos'!$F$196+(($C194)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194)-$A$177:$A$222)*'Cálculos'!$F$98)/(('Cálculos'!$F$197+(($C194)-$A$177:$A$222)*'Cálculos'!$F$98)+1400)+'Cálculos'!$F$122)*'Cálculos'!$F$229+'Cálculos'!$F$125*(1+2.78*('Cálculos'!$F$197+(($C194)-$A$177:$A$222)*'Cálculos'!$F$98)/(('Cálculos'!$F$197+(($C194)-$A$177:$A$222)*'Cálculos'!$F$98)+1400)+'Cálculos'!$F$123)*'Cálculos'!$F$234)+('Cálculos'!$F$197+(($C194)-$A$177:$A$222)*'Cálculos'!$F$98)*('Cálculos'!$F$225+'Cálculos'!$F$124*(1+2.78*('Cálculos'!$F$197+(($C194)-$A$177:$A$222)*'Cálculos'!$F$98)/(('Cálculos'!$F$197+(($C194)-$A$177:$A$222)*'Cálculos'!$F$98)+1400)+'Cálculos'!$F$122)*'Cálculos'!$F$230+'Cálculos'!$F$125*(1+2.78*('Cálculos'!$F$197+(($C194)-$A$177:$A$222)*'Cálculos'!$F$98)/(('Cálculos'!$F$197+(($C194)-$A$177:$A$222)*'Cálculos'!$F$98)+1400)+'Cálculos'!$F$123)*'Cálculos'!$F$235)+('Cálculos'!$F$201*(1+'Cálculos'!$F$202+$A$177:$A$222*('Cálculos'!$F$290=2)*'Cálculos'!$F$101)+'Cálculos'!$F$203)*('Cálculos'!$F$226+'Cálculos'!$F$124*(1+2.78*('Cálculos'!$F$197+(($C194)-$A$177:$A$222)*'Cálculos'!$F$98)/(('Cálculos'!$F$197+(($C194)-$A$177:$A$222)*'Cálculos'!$F$98)+1400)+'Cálculos'!$F$122)*'Cálculos'!$F$231+'Cálculos'!$F$125*(1+2.78*('Cálculos'!$F$197+(($C194)-$A$177:$A$222)*'Cálculos'!$F$98)/(('Cálculos'!$F$197+(($C194)-$A$177:$A$222)*'Cálculos'!$F$98)+1400)+'Cálculos'!$F$123)*'Cálculos'!$F$236)+('Cálculos'!$F$204*(1+'Cálculos'!$F$205+$A$177:$A$222*('Cálculos'!$F$290=3)*'Cálculos'!$F$103)+'Cálculos'!$F$206)*('Cálculos'!$F$227+'Cálculos'!$F$124*(1+2.78*('Cálculos'!$F$197+(($C194)-$A$177:$A$222)*'Cálculos'!$F$98)/(('Cálculos'!$F$197+(($C194)-$A$177:$A$222)*'Cálculos'!$F$98)+1400)+'Cálculos'!$F$122)*'Cálculos'!$F$232+'Cálculos'!$F$125*(1+2.78*('Cálculos'!$F$197+(($C194)-$A$177:$A$222)*'Cálculos'!$F$98)/(('Cálculos'!$F$197+(($C194)-$A$177:$A$222)*'Cálculos'!$F$98)+1400)+'Cálculos'!$F$123)*'Cálculos'!$F$237)+('Cálculos'!$F$228+'Cálculos'!$F$124*(1+2.78*('Cálculos'!$F$197+(($C194)-$A$177:$A$222)*'Cálculos'!$F$98)/(('Cálculos'!$F$197+(($C194)-$A$177:$A$222)*'Cálculos'!$F$98)+1400)+'Cálculos'!$F$122)*'Cálculos'!$F$233+'Cálculos'!$F$125*(1+2.78*('Cálculos'!$F$197+(($C194)-$A$177:$A$222)*'Cálculos'!$F$98)/(('Cálculos'!$F$197+(($C194)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194)-$A$177:$A$222)*'Cálculos'!$F$98)/(('Cálculos'!$F$198+(($C194)-$A$177:$A$222)*'Cálculos'!$F$98)+1400)+'Cálculos'!$F$122)*'Cálculos'!$F$244+'Cálculos'!$F$125*(1+2.78*('Cálculos'!$F$198+(($C194)-$A$177:$A$222)*'Cálculos'!$F$98)/(('Cálculos'!$F$198+(($C194)-$A$177:$A$222)*'Cálculos'!$F$98)+1400)+'Cálculos'!$F$123)*'Cálculos'!$F$249)+('Cálculos'!$F$198+(($C194)-$A$177:$A$222)*'Cálculos'!$F$98)*('Cálculos'!$F$240+'Cálculos'!$F$124*(1+2.78*('Cálculos'!$F$198+(($C194)-$A$177:$A$222)*'Cálculos'!$F$98)/(('Cálculos'!$F$198+(($C194)-$A$177:$A$222)*'Cálculos'!$F$98)+1400)+'Cálculos'!$F$122)*'Cálculos'!$F$245+'Cálculos'!$F$125*(1+2.78*('Cálculos'!$F$198+(($C194)-$A$177:$A$222)*'Cálculos'!$F$98)/(('Cálculos'!$F$198+(($C194)-$A$177:$A$222)*'Cálculos'!$F$98)+1400)+'Cálculos'!$F$123)*'Cálculos'!$F$250)+('Cálculos'!$F$201*(1+'Cálculos'!$F$202+$A$177:$A$222*('Cálculos'!$F$290=2)*'Cálculos'!$F$101)+'Cálculos'!$F$203)*('Cálculos'!$F$241+'Cálculos'!$F$124*(1+2.78*('Cálculos'!$F$198+(($C194)-$A$177:$A$222)*'Cálculos'!$F$98)/(('Cálculos'!$F$198+(($C194)-$A$177:$A$222)*'Cálculos'!$F$98)+1400)+'Cálculos'!$F$122)*'Cálculos'!$F$246+'Cálculos'!$F$125*(1+2.78*('Cálculos'!$F$198+(($C194)-$A$177:$A$222)*'Cálculos'!$F$98)/(('Cálculos'!$F$198+(($C194)-$A$177:$A$222)*'Cálculos'!$F$98)+1400)+'Cálculos'!$F$123)*'Cálculos'!$F$251)+('Cálculos'!$F$204*(1+'Cálculos'!$F$205+$A$177:$A$222*('Cálculos'!$F$290=3)*'Cálculos'!$F$103)+'Cálculos'!$F$206)*('Cálculos'!$F$242+'Cálculos'!$F$124*(1+2.78*('Cálculos'!$F$198+(($C194)-$A$177:$A$222)*'Cálculos'!$F$98)/(('Cálculos'!$F$198+(($C194)-$A$177:$A$222)*'Cálculos'!$F$98)+1400)+'Cálculos'!$F$122)*'Cálculos'!$F$247+'Cálculos'!$F$125*(1+2.78*('Cálculos'!$F$198+(($C194)-$A$177:$A$222)*'Cálculos'!$F$98)/(('Cálculos'!$F$198+(($C194)-$A$177:$A$222)*'Cálculos'!$F$98)+1400)+'Cálculos'!$F$123)*'Cálculos'!$F$252)+('Cálculos'!$F$243+'Cálculos'!$F$124*(1+2.78*('Cálculos'!$F$198+(($C194)-$A$177:$A$222)*'Cálculos'!$F$98)/(('Cálculos'!$F$198+(($C194)-$A$177:$A$222)*'Cálculos'!$F$98)+1400)+'Cálculos'!$F$122)*'Cálculos'!$F$248+'Cálculos'!$F$125*(1+2.78*('Cálculos'!$F$198+(($C194)-$A$177:$A$222)*'Cálculos'!$F$98)/(('Cálculos'!$F$198+(($C194)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194)-$A$177:$A$222)*'Cálculos'!$F$98)/(('Cálculos'!$F$199+(($C194)-$A$177:$A$222)*'Cálculos'!$F$98)+1400)+'Cálculos'!$F$122)*'Cálculos'!$F$259+'Cálculos'!$F$125*(1+2.78*('Cálculos'!$F$199+(($C194)-$A$177:$A$222)*'Cálculos'!$F$98)/(('Cálculos'!$F$199+(($C194)-$A$177:$A$222)*'Cálculos'!$F$98)+1400)+'Cálculos'!$F$123)*'Cálculos'!$F$264)+('Cálculos'!$F$199+(($C194)-$A$177:$A$222)*'Cálculos'!$F$98)*('Cálculos'!$F$255+'Cálculos'!$F$124*(1+2.78*('Cálculos'!$F$199+(($C194)-$A$177:$A$222)*'Cálculos'!$F$98)/(('Cálculos'!$F$199+(($C194)-$A$177:$A$222)*'Cálculos'!$F$98)+1400)+'Cálculos'!$F$122)*'Cálculos'!$F$260+'Cálculos'!$F$125*(1+2.78*('Cálculos'!$F$199+(($C194)-$A$177:$A$222)*'Cálculos'!$F$98)/(('Cálculos'!$F$199+(($C194)-$A$177:$A$222)*'Cálculos'!$F$98)+1400)+'Cálculos'!$F$123)*'Cálculos'!$F$265)+('Cálculos'!$F$201*(1+'Cálculos'!$F$202+$A$177:$A$222*('Cálculos'!$F$290=2)*'Cálculos'!$F$101)+'Cálculos'!$F$203)*('Cálculos'!$F$256+'Cálculos'!$F$124*(1+2.78*('Cálculos'!$F$199+(($C194)-$A$177:$A$222)*'Cálculos'!$F$98)/(('Cálculos'!$F$199+(($C194)-$A$177:$A$222)*'Cálculos'!$F$98)+1400)+'Cálculos'!$F$122)*'Cálculos'!$F$261+'Cálculos'!$F$125*(1+2.78*('Cálculos'!$F$199+(($C194)-$A$177:$A$222)*'Cálculos'!$F$98)/(('Cálculos'!$F$199+(($C194)-$A$177:$A$222)*'Cálculos'!$F$98)+1400)+'Cálculos'!$F$123)*'Cálculos'!$F$266)+('Cálculos'!$F$204*(1+'Cálculos'!$F$205+$A$177:$A$222*('Cálculos'!$F$290=3)*'Cálculos'!$F$103)+'Cálculos'!$F$206)*('Cálculos'!$F$257+'Cálculos'!$F$124*(1+2.78*('Cálculos'!$F$199+(($C194)-$A$177:$A$222)*'Cálculos'!$F$98)/(('Cálculos'!$F$199+(($C194)-$A$177:$A$222)*'Cálculos'!$F$98)+1400)+'Cálculos'!$F$122)*'Cálculos'!$F$262+'Cálculos'!$F$125*(1+2.78*('Cálculos'!$F$199+(($C194)-$A$177:$A$222)*'Cálculos'!$F$98)/(('Cálculos'!$F$199+(($C194)-$A$177:$A$222)*'Cálculos'!$F$98)+1400)+'Cálculos'!$F$123)*'Cálculos'!$F$267)+('Cálculos'!$F$258+'Cálculos'!$F$124*(1+2.78*('Cálculos'!$F$199+(($C194)-$A$177:$A$222)*'Cálculos'!$F$98)/(('Cálculos'!$F$199+(($C194)-$A$177:$A$222)*'Cálculos'!$F$98)+1400)+'Cálculos'!$F$122)*'Cálculos'!$F$263+'Cálculos'!$F$125*(1+2.78*('Cálculos'!$F$199+(($C194)-$A$177:$A$222)*'Cálculos'!$F$98)/(('Cálculos'!$F$199+(($C194)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194)-$A$177:$A$222)*'Cálculos'!$F$98)/(('Cálculos'!$F$200+(($C194)-$A$177:$A$222)*'Cálculos'!$F$98)+1400)+'Cálculos'!$F$122)*'Cálculos'!$F$274+'Cálculos'!$F$125*(1+2.78*('Cálculos'!$F$200+(($C194)-$A$177:$A$222)*'Cálculos'!$F$98)/(('Cálculos'!$F$200+(($C194)-$A$177:$A$222)*'Cálculos'!$F$98)+1400)+'Cálculos'!$F$123)*'Cálculos'!$F$279)+('Cálculos'!$F$200+(($C194)-$A$177:$A$222)*'Cálculos'!$F$98)*('Cálculos'!$F$270+'Cálculos'!$F$124*(1+2.78*('Cálculos'!$F$200+(($C194)-$A$177:$A$222)*'Cálculos'!$F$98)/(('Cálculos'!$F$200+(($C194)-$A$177:$A$222)*'Cálculos'!$F$98)+1400)+'Cálculos'!$F$122)*'Cálculos'!$F$275+'Cálculos'!$F$125*(1+2.78*('Cálculos'!$F$200+(($C194)-$A$177:$A$222)*'Cálculos'!$F$98)/(('Cálculos'!$F$200+(($C194)-$A$177:$A$222)*'Cálculos'!$F$98)+1400)+'Cálculos'!$F$123)*'Cálculos'!$F$280)+('Cálculos'!$F$201*(1+'Cálculos'!$F$202+$A$177:$A$222*('Cálculos'!$F$290=2)*'Cálculos'!$F$101)+'Cálculos'!$F$203)*('Cálculos'!$F$271+'Cálculos'!$F$124*(1+2.78*('Cálculos'!$F$200+(($C194)-$A$177:$A$222)*'Cálculos'!$F$98)/(('Cálculos'!$F$200+(($C194)-$A$177:$A$222)*'Cálculos'!$F$98)+1400)+'Cálculos'!$F$122)*'Cálculos'!$F$276+'Cálculos'!$F$125*(1+2.78*('Cálculos'!$F$200+(($C194)-$A$177:$A$222)*'Cálculos'!$F$98)/(('Cálculos'!$F$200+(($C194)-$A$177:$A$222)*'Cálculos'!$F$98)+1400)+'Cálculos'!$F$123)*'Cálculos'!$F$281)+('Cálculos'!$F$204*(1+'Cálculos'!$F$205+$A$177:$A$222*('Cálculos'!$F$290=3)*'Cálculos'!$F$103)+'Cálculos'!$F$206)*('Cálculos'!$F$272+'Cálculos'!$F$124*(1+2.78*('Cálculos'!$F$200+(($C194)-$A$177:$A$222)*'Cálculos'!$F$98)/(('Cálculos'!$F$200+(($C194)-$A$177:$A$222)*'Cálculos'!$F$98)+1400)+'Cálculos'!$F$122)*'Cálculos'!$F$277+'Cálculos'!$F$125*(1+2.78*('Cálculos'!$F$200+(($C194)-$A$177:$A$222)*'Cálculos'!$F$98)/(('Cálculos'!$F$200+(($C194)-$A$177:$A$222)*'Cálculos'!$F$98)+1400)+'Cálculos'!$F$123)*'Cálculos'!$F$282)+('Cálculos'!$F$273+'Cálculos'!$F$124*(1+2.78*('Cálculos'!$F$200+(($C194)-$A$177:$A$222)*'Cálculos'!$F$98)/(('Cálculos'!$F$200+(($C194)-$A$177:$A$222)*'Cálculos'!$F$98)+1400)+'Cálculos'!$F$122)*'Cálculos'!$F$278+'Cálculos'!$F$125*(1+2.78*('Cálculos'!$F$200+(($C194)-$A$177:$A$222)*'Cálculos'!$F$98)/(('Cálculos'!$F$200+(($C194)-$A$177:$A$222)*'Cálculos'!$F$98)+1400)+'Cálculos'!$F$123)*'Cálculos'!$F$283)))))</f>
        <v>19569.35173</v>
      </c>
      <c r="E194" s="32">
        <f>IF(OR($C194&lt;0,'Cálculos'!$F$6=""),0,$B194*$D194)</f>
        <v>45386.59082</v>
      </c>
      <c r="F194" s="2"/>
      <c r="G194" s="30">
        <f>($A194&lt;=$B$224)*($A194&lt;='Cálculos'!$F$294)*(($B$224)-$A194&lt;='Cálculos'!$F$295)*(1+MIN(('Cálculos'!$F$207+$A194*'Cálculos'!$F$95),1)*('Cálculos'!$F$208+(($B$224)-$A194)*'Cálculos'!$F$96))</f>
        <v>2.322932</v>
      </c>
      <c r="H194" s="31">
        <f>IF($B$225&lt;0,0,($A194&lt;=$B$225)*($A194&lt;='Cálculos'!$F$301)*(($B$225)-$A194&lt;='Cálculos'!$F$297)*(('Cálculos'!$F$185*(1+'Cálculos'!$F$186+$A194*('Cálculos'!$F$290=1)*'Cálculos'!$F$97+'Cálculos'!$F$305)+'Cálculos'!$F$191)*('Cálculos'!$F$209+'Cálculos'!$F$124*(1+2.78*('Cálculos'!$F$196+(($B$225)-$A194)*'Cálculos'!$F$98)/(('Cálculos'!$F$196+(($B$225)-$A194)*'Cálculos'!$F$98)+1400)+'Cálculos'!$F$122)*'Cálculos'!$F$214+'Cálculos'!$F$125*(1+2.78*('Cálculos'!$F$196+(($B$225)-$A194)*'Cálculos'!$F$98)/(('Cálculos'!$F$196+(($B$225)-$A194)*'Cálculos'!$F$98)+1400)+'Cálculos'!$F$123)*'Cálculos'!$F$219)+('Cálculos'!$F$196+(($B$225)-$A194)*'Cálculos'!$F$98)*('Cálculos'!$F$210+'Cálculos'!$F$124*(1+2.78*('Cálculos'!$F$196+(($B$225)-$A194)*'Cálculos'!$F$98)/(('Cálculos'!$F$196+(($B$225)-$A194)*'Cálculos'!$F$98)+1400)+'Cálculos'!$F$122)*'Cálculos'!$F$215+'Cálculos'!$F$125*(1+2.78*('Cálculos'!$F$196+(($B$225)-$A194)*'Cálculos'!$F$98)/(('Cálculos'!$F$196+(($B$225)-$A194)*'Cálculos'!$F$98)+1400)+'Cálculos'!$F$123)*'Cálculos'!$F$220)+('Cálculos'!$F$201*(1+'Cálculos'!$F$202+$A194*('Cálculos'!$F$290=2)*'Cálculos'!$F$101)+'Cálculos'!$F$203)*('Cálculos'!$F$211+'Cálculos'!$F$124*(1+2.78*('Cálculos'!$F$196+(($B$225)-$A194)*'Cálculos'!$F$98)/(('Cálculos'!$F$196+(($B$225)-$A194)*'Cálculos'!$F$98)+1400)+'Cálculos'!$F$122)*'Cálculos'!$F$216+'Cálculos'!$F$125*(1+2.78*('Cálculos'!$F$196+(($B$225)-$A194)*'Cálculos'!$F$98)/(('Cálculos'!$F$196+(($B$225)-$A194)*'Cálculos'!$F$98)+1400)+'Cálculos'!$F$123)*'Cálculos'!$F$221)+('Cálculos'!$F$204*(1+'Cálculos'!$F$205+$A194*('Cálculos'!$F$290=3)*'Cálculos'!$F$103)+'Cálculos'!$F$206)*('Cálculos'!$F$212+'Cálculos'!$F$124*(1+2.78*('Cálculos'!$F$196+(($B$225)-$A194)*'Cálculos'!$F$98)/(('Cálculos'!$F$196+(($B$225)-$A194)*'Cálculos'!$F$98)+1400)+'Cálculos'!$F$122)*'Cálculos'!$F$217+'Cálculos'!$F$125*(1+2.78*('Cálculos'!$F$196+(($B$225)-$A194)*'Cálculos'!$F$98)/(('Cálculos'!$F$196+(($B$225)-$A194)*'Cálculos'!$F$98)+1400)+'Cálculos'!$F$123)*'Cálculos'!$F$222)+('Cálculos'!$F$213+'Cálculos'!$F$124*(1+2.78*('Cálculos'!$F$196+(($B$225)-$A194)*'Cálculos'!$F$98)/(('Cálculos'!$F$196+(($B$225)-$A194)*'Cálculos'!$F$98)+1400)+'Cálculos'!$F$122)*'Cálculos'!$F$218+'Cálculos'!$F$125*(1+2.78*('Cálculos'!$F$196+(($B$225)-$A194)*'Cálculos'!$F$98)/(('Cálculos'!$F$196+(($B$225)-$A194)*'Cálculos'!$F$98)+1400)+'Cálculos'!$F$123)*'Cálculos'!$F$223)+('Cálculos'!$F$185*(1+'Cálculos'!$F$187+$A194*('Cálculos'!$F$290=1)*'Cálculos'!$F$97+'Cálculos'!$F$305)+'Cálculos'!$F$192)*('Cálculos'!$F$224+'Cálculos'!$F$124*(1+2.78*('Cálculos'!$F$197+(($B$225)-$A194)*'Cálculos'!$F$98)/(('Cálculos'!$F$197+(($B$225)-$A194)*'Cálculos'!$F$98)+1400)+'Cálculos'!$F$122)*'Cálculos'!$F$229+'Cálculos'!$F$125*(1+2.78*('Cálculos'!$F$197+(($B$225)-$A194)*'Cálculos'!$F$98)/(('Cálculos'!$F$197+(($B$225)-$A194)*'Cálculos'!$F$98)+1400)+'Cálculos'!$F$123)*'Cálculos'!$F$234)+('Cálculos'!$F$197+(($B$225)-$A194)*'Cálculos'!$F$98)*('Cálculos'!$F$225+'Cálculos'!$F$124*(1+2.78*('Cálculos'!$F$197+(($B$225)-$A194)*'Cálculos'!$F$98)/(('Cálculos'!$F$197+(($B$225)-$A194)*'Cálculos'!$F$98)+1400)+'Cálculos'!$F$122)*'Cálculos'!$F$230+'Cálculos'!$F$125*(1+2.78*('Cálculos'!$F$197+(($B$225)-$A194)*'Cálculos'!$F$98)/(('Cálculos'!$F$197+(($B$225)-$A194)*'Cálculos'!$F$98)+1400)+'Cálculos'!$F$123)*'Cálculos'!$F$235)+('Cálculos'!$F$201*(1+'Cálculos'!$F$202+$A194*('Cálculos'!$F$290=2)*'Cálculos'!$F$101)+'Cálculos'!$F$203)*('Cálculos'!$F$226+'Cálculos'!$F$124*(1+2.78*('Cálculos'!$F$197+(($B$225)-$A194)*'Cálculos'!$F$98)/(('Cálculos'!$F$197+(($B$225)-$A194)*'Cálculos'!$F$98)+1400)+'Cálculos'!$F$122)*'Cálculos'!$F$231+'Cálculos'!$F$125*(1+2.78*('Cálculos'!$F$197+(($B$225)-$A194)*'Cálculos'!$F$98)/(('Cálculos'!$F$197+(($B$225)-$A194)*'Cálculos'!$F$98)+1400)+'Cálculos'!$F$123)*'Cálculos'!$F$236)+('Cálculos'!$F$204*(1+'Cálculos'!$F$205+$A194*('Cálculos'!$F$290=3)*'Cálculos'!$F$103)+'Cálculos'!$F$206)*('Cálculos'!$F$227+'Cálculos'!$F$124*(1+2.78*('Cálculos'!$F$197+(($B$225)-$A194)*'Cálculos'!$F$98)/(('Cálculos'!$F$197+(($B$225)-$A194)*'Cálculos'!$F$98)+1400)+'Cálculos'!$F$122)*'Cálculos'!$F$232+'Cálculos'!$F$125*(1+2.78*('Cálculos'!$F$197+(($B$225)-$A194)*'Cálculos'!$F$98)/(('Cálculos'!$F$197+(($B$225)-$A194)*'Cálculos'!$F$98)+1400)+'Cálculos'!$F$123)*'Cálculos'!$F$237)+('Cálculos'!$F$228+'Cálculos'!$F$124*(1+2.78*('Cálculos'!$F$197+(($B$225)-$A194)*'Cálculos'!$F$98)/(('Cálculos'!$F$197+(($B$225)-$A194)*'Cálculos'!$F$98)+1400)+'Cálculos'!$F$122)*'Cálculos'!$F$233+'Cálculos'!$F$125*(1+2.78*('Cálculos'!$F$197+(($B$225)-$A194)*'Cálculos'!$F$98)/(('Cálculos'!$F$197+(($B$225)-$A194)*'Cálculos'!$F$98)+1400)+'Cálculos'!$F$123)*'Cálculos'!$F$238)+('Cálculos'!$F$185*(1+'Cálculos'!$F$188+$A194*('Cálculos'!$F$290=1)*'Cálculos'!$F$97+'Cálculos'!$F$305)+'Cálculos'!$F$193)*('Cálculos'!$F$239+'Cálculos'!$F$124*(1+2.78*('Cálculos'!$F$198+(($B$225)-$A194)*'Cálculos'!$F$98)/(('Cálculos'!$F$198+(($B$225)-$A194)*'Cálculos'!$F$98)+1400)+'Cálculos'!$F$122)*'Cálculos'!$F$244+'Cálculos'!$F$125*(1+2.78*('Cálculos'!$F$198+(($B$225)-$A194)*'Cálculos'!$F$98)/(('Cálculos'!$F$198+(($B$225)-$A194)*'Cálculos'!$F$98)+1400)+'Cálculos'!$F$123)*'Cálculos'!$F$249)+('Cálculos'!$F$198+(($B$225)-$A194)*'Cálculos'!$F$98)*('Cálculos'!$F$240+'Cálculos'!$F$124*(1+2.78*('Cálculos'!$F$198+(($B$225)-$A194)*'Cálculos'!$F$98)/(('Cálculos'!$F$198+(($B$225)-$A194)*'Cálculos'!$F$98)+1400)+'Cálculos'!$F$122)*'Cálculos'!$F$245+'Cálculos'!$F$125*(1+2.78*('Cálculos'!$F$198+(($B$225)-$A194)*'Cálculos'!$F$98)/(('Cálculos'!$F$198+(($B$225)-$A194)*'Cálculos'!$F$98)+1400)+'Cálculos'!$F$123)*'Cálculos'!$F$250)+('Cálculos'!$F$201*(1+'Cálculos'!$F$202+$A194*('Cálculos'!$F$290=2)*'Cálculos'!$F$101)+'Cálculos'!$F$203)*('Cálculos'!$F$241+'Cálculos'!$F$124*(1+2.78*('Cálculos'!$F$198+(($B$225)-$A194)*'Cálculos'!$F$98)/(('Cálculos'!$F$198+(($B$225)-$A194)*'Cálculos'!$F$98)+1400)+'Cálculos'!$F$122)*'Cálculos'!$F$246+'Cálculos'!$F$125*(1+2.78*('Cálculos'!$F$198+(($B$225)-$A194)*'Cálculos'!$F$98)/(('Cálculos'!$F$198+(($B$225)-$A194)*'Cálculos'!$F$98)+1400)+'Cálculos'!$F$123)*'Cálculos'!$F$251)+('Cálculos'!$F$204*(1+'Cálculos'!$F$205+$A194*('Cálculos'!$F$290=3)*'Cálculos'!$F$103)+'Cálculos'!$F$206)*('Cálculos'!$F$242+'Cálculos'!$F$124*(1+2.78*('Cálculos'!$F$198+(($B$225)-$A194)*'Cálculos'!$F$98)/(('Cálculos'!$F$198+(($B$225)-$A194)*'Cálculos'!$F$98)+1400)+'Cálculos'!$F$122)*'Cálculos'!$F$247+'Cálculos'!$F$125*(1+2.78*('Cálculos'!$F$198+(($B$225)-$A194)*'Cálculos'!$F$98)/(('Cálculos'!$F$198+(($B$225)-$A194)*'Cálculos'!$F$98)+1400)+'Cálculos'!$F$123)*'Cálculos'!$F$252)+('Cálculos'!$F$243+'Cálculos'!$F$124*(1+2.78*('Cálculos'!$F$198+(($B$225)-$A194)*'Cálculos'!$F$98)/(('Cálculos'!$F$198+(($B$225)-$A194)*'Cálculos'!$F$98)+1400)+'Cálculos'!$F$122)*'Cálculos'!$F$248+'Cálculos'!$F$125*(1+2.78*('Cálculos'!$F$198+(($B$225)-$A194)*'Cálculos'!$F$98)/(('Cálculos'!$F$198+(($B$225)-$A194)*'Cálculos'!$F$98)+1400)+'Cálculos'!$F$123)*'Cálculos'!$F$253)+('Cálculos'!$F$185*(1+'Cálculos'!$F$189+$A194*('Cálculos'!$F$290=1)*'Cálculos'!$F$97+'Cálculos'!$F$305)+'Cálculos'!$F$194)*('Cálculos'!$F$254+'Cálculos'!$F$124*(1+2.78*('Cálculos'!$F$199+(($B$225)-$A194)*'Cálculos'!$F$98)/(('Cálculos'!$F$199+(($B$225)-$A194)*'Cálculos'!$F$98)+1400)+'Cálculos'!$F$122)*'Cálculos'!$F$259+'Cálculos'!$F$125*(1+2.78*('Cálculos'!$F$199+(($B$225)-$A194)*'Cálculos'!$F$98)/(('Cálculos'!$F$199+(($B$225)-$A194)*'Cálculos'!$F$98)+1400)+'Cálculos'!$F$123)*'Cálculos'!$F$264)+('Cálculos'!$F$199+(($B$225)-$A194)*'Cálculos'!$F$98)*('Cálculos'!$F$255+'Cálculos'!$F$124*(1+2.78*('Cálculos'!$F$199+(($B$225)-$A194)*'Cálculos'!$F$98)/(('Cálculos'!$F$199+(($B$225)-$A194)*'Cálculos'!$F$98)+1400)+'Cálculos'!$F$122)*'Cálculos'!$F$260+'Cálculos'!$F$125*(1+2.78*('Cálculos'!$F$199+(($B$225)-$A194)*'Cálculos'!$F$98)/(('Cálculos'!$F$199+(($B$225)-$A194)*'Cálculos'!$F$98)+1400)+'Cálculos'!$F$123)*'Cálculos'!$F$265)+('Cálculos'!$F$201*(1+'Cálculos'!$F$202+$A194*('Cálculos'!$F$290=2)*'Cálculos'!$F$101)+'Cálculos'!$F$203)*('Cálculos'!$F$256+'Cálculos'!$F$124*(1+2.78*('Cálculos'!$F$199+(($B$225)-$A194)*'Cálculos'!$F$98)/(('Cálculos'!$F$199+(($B$225)-$A194)*'Cálculos'!$F$98)+1400)+'Cálculos'!$F$122)*'Cálculos'!$F$261+'Cálculos'!$F$125*(1+2.78*('Cálculos'!$F$199+(($B$225)-$A194)*'Cálculos'!$F$98)/(('Cálculos'!$F$199+(($B$225)-$A194)*'Cálculos'!$F$98)+1400)+'Cálculos'!$F$123)*'Cálculos'!$F$266)+('Cálculos'!$F$204*(1+'Cálculos'!$F$205+$A194*('Cálculos'!$F$290=3)*'Cálculos'!$F$103)+'Cálculos'!$F$206)*('Cálculos'!$F$257+'Cálculos'!$F$124*(1+2.78*('Cálculos'!$F$199+(($B$225)-$A194)*'Cálculos'!$F$98)/(('Cálculos'!$F$199+(($B$225)-$A194)*'Cálculos'!$F$98)+1400)+'Cálculos'!$F$122)*'Cálculos'!$F$262+'Cálculos'!$F$125*(1+2.78*('Cálculos'!$F$199+(($B$225)-$A194)*'Cálculos'!$F$98)/(('Cálculos'!$F$199+(($B$225)-$A194)*'Cálculos'!$F$98)+1400)+'Cálculos'!$F$123)*'Cálculos'!$F$267)+('Cálculos'!$F$258+'Cálculos'!$F$124*(1+2.78*('Cálculos'!$F$199+(($B$225)-$A194)*'Cálculos'!$F$98)/(('Cálculos'!$F$199+(($B$225)-$A194)*'Cálculos'!$F$98)+1400)+'Cálculos'!$F$122)*'Cálculos'!$F$263+'Cálculos'!$F$125*(1+2.78*('Cálculos'!$F$199+(($B$225)-$A194)*'Cálculos'!$F$98)/(('Cálculos'!$F$199+(($B$225)-$A194)*'Cálculos'!$F$98)+1400)+'Cálculos'!$F$123)*'Cálculos'!$F$268)+('Cálculos'!$F$185*(1+'Cálculos'!$F$190+$A194*('Cálculos'!$F$290=1)*'Cálculos'!$F$97+'Cálculos'!$F$305)+'Cálculos'!$F$195)*('Cálculos'!$F$269+'Cálculos'!$F$124*(1+2.78*('Cálculos'!$F$200+(($B$225)-$A194)*'Cálculos'!$F$98)/(('Cálculos'!$F$200+(($B$225)-$A194)*'Cálculos'!$F$98)+1400)+'Cálculos'!$F$122)*'Cálculos'!$F$274+'Cálculos'!$F$125*(1+2.78*('Cálculos'!$F$200+(($B$225)-$A194)*'Cálculos'!$F$98)/(('Cálculos'!$F$200+(($B$225)-$A194)*'Cálculos'!$F$98)+1400)+'Cálculos'!$F$123)*'Cálculos'!$F$279)+('Cálculos'!$F$200+(($B$225)-$A194)*'Cálculos'!$F$98)*('Cálculos'!$F$270+'Cálculos'!$F$124*(1+2.78*('Cálculos'!$F$200+(($B$225)-$A194)*'Cálculos'!$F$98)/(('Cálculos'!$F$200+(($B$225)-$A194)*'Cálculos'!$F$98)+1400)+'Cálculos'!$F$122)*'Cálculos'!$F$275+'Cálculos'!$F$125*(1+2.78*('Cálculos'!$F$200+(($B$225)-$A194)*'Cálculos'!$F$98)/(('Cálculos'!$F$200+(($B$225)-$A194)*'Cálculos'!$F$98)+1400)+'Cálculos'!$F$123)*'Cálculos'!$F$280)+('Cálculos'!$F$201*(1+'Cálculos'!$F$202+$A194*('Cálculos'!$F$290=2)*'Cálculos'!$F$101)+'Cálculos'!$F$203)*('Cálculos'!$F$271+'Cálculos'!$F$124*(1+2.78*('Cálculos'!$F$200+(($B$225)-$A194)*'Cálculos'!$F$98)/(('Cálculos'!$F$200+(($B$225)-$A194)*'Cálculos'!$F$98)+1400)+'Cálculos'!$F$122)*'Cálculos'!$F$276+'Cálculos'!$F$125*(1+2.78*('Cálculos'!$F$200+(($B$225)-$A194)*'Cálculos'!$F$98)/(('Cálculos'!$F$200+(($B$225)-$A194)*'Cálculos'!$F$98)+1400)+'Cálculos'!$F$123)*'Cálculos'!$F$281)+('Cálculos'!$F$204*(1+'Cálculos'!$F$205+$A194*('Cálculos'!$F$290=3)*'Cálculos'!$F$103)+'Cálculos'!$F$206)*('Cálculos'!$F$272+'Cálculos'!$F$124*(1+2.78*('Cálculos'!$F$200+(($B$225)-$A194)*'Cálculos'!$F$98)/(('Cálculos'!$F$200+(($B$225)-$A194)*'Cálculos'!$F$98)+1400)+'Cálculos'!$F$122)*'Cálculos'!$F$277+'Cálculos'!$F$125*(1+2.78*('Cálculos'!$F$200+(($B$225)-$A194)*'Cálculos'!$F$98)/(('Cálculos'!$F$200+(($B$225)-$A194)*'Cálculos'!$F$98)+1400)+'Cálculos'!$F$123)*'Cálculos'!$F$282)+('Cálculos'!$F$273+'Cálculos'!$F$124*(1+2.78*('Cálculos'!$F$200+(($B$225)-$A194)*'Cálculos'!$F$98)/(('Cálculos'!$F$200+(($B$225)-$A194)*'Cálculos'!$F$98)+1400)+'Cálculos'!$F$122)*'Cálculos'!$F$278+'Cálculos'!$F$125*(1+2.78*('Cálculos'!$F$200+(($B$225)-$A194)*'Cálculos'!$F$98)/(('Cálculos'!$F$200+(($B$225)-$A194)*'Cálculos'!$F$98)+1400)+'Cálculos'!$F$123)*'Cálculos'!$F$283)))</f>
        <v>0</v>
      </c>
    </row>
    <row r="195" ht="15.75" customHeight="1">
      <c r="A195" s="2">
        <v>18.0</v>
      </c>
      <c r="B195" s="30">
        <f>SUMPRODUCT(MAX(($A$177:$A$222&lt;=$A195)*($A$177:$A$222&lt;='Cálculos'!$F$294)*(($A195)-$A$177:$A$222&lt;='Cálculos'!$F$295)*(1+(('Cálculos'!$F$207+$A$177:$A$222*'Cálculos'!$F$95)-(('Cálculos'!$F$207+$A$177:$A$222*'Cálculos'!$F$95)&gt;1)*(('Cálculos'!$F$207+$A$177:$A$222*'Cálculos'!$F$95)-1))*('Cálculos'!$F$208+(($A195)-$A$177:$A$222)*'Cálculos'!$F$96))))</f>
        <v>2.373587</v>
      </c>
      <c r="C195" s="2">
        <f>'Cálculos'!$F$303-$A195</f>
        <v>0</v>
      </c>
      <c r="D195" s="31">
        <f>IF($C195&lt;0,0,SUMPRODUCT(MAX(($A$177:$A$222&lt;=$C195)*($A$177:$A$222&lt;='Cálculos'!$F$301)*(($C195)-$A$177:$A$222&lt;='Cálculos'!$F$297)*(('Cálculos'!$F$185*(1+'Cálculos'!$F$186+$A$177:$A$222*('Cálculos'!$F$290=1)*'Cálculos'!$F$97+'Cálculos'!$F$305)+'Cálculos'!$F$191)*('Cálculos'!$F$209+'Cálculos'!$F$124*(1+2.78*('Cálculos'!$F$196+(($C195)-$A$177:$A$222)*'Cálculos'!$F$98)/(('Cálculos'!$F$196+(($C195)-$A$177:$A$222)*'Cálculos'!$F$98)+1400)+'Cálculos'!$F$122)*'Cálculos'!$F$214+'Cálculos'!$F$125*(1+2.78*('Cálculos'!$F$196+(($C195)-$A$177:$A$222)*'Cálculos'!$F$98)/(('Cálculos'!$F$196+(($C195)-$A$177:$A$222)*'Cálculos'!$F$98)+1400)+'Cálculos'!$F$123)*'Cálculos'!$F$219)+('Cálculos'!$F$196+(($C195)-$A$177:$A$222)*'Cálculos'!$F$98)*('Cálculos'!$F$210+'Cálculos'!$F$124*(1+2.78*('Cálculos'!$F$196+(($C195)-$A$177:$A$222)*'Cálculos'!$F$98)/(('Cálculos'!$F$196+(($C195)-$A$177:$A$222)*'Cálculos'!$F$98)+1400)+'Cálculos'!$F$122)*'Cálculos'!$F$215+'Cálculos'!$F$125*(1+2.78*('Cálculos'!$F$196+(($C195)-$A$177:$A$222)*'Cálculos'!$F$98)/(('Cálculos'!$F$196+(($C195)-$A$177:$A$222)*'Cálculos'!$F$98)+1400)+'Cálculos'!$F$123)*'Cálculos'!$F$220)+('Cálculos'!$F$201*(1+'Cálculos'!$F$202+$A$177:$A$222*('Cálculos'!$F$290=2)*'Cálculos'!$F$101)+'Cálculos'!$F$203)*('Cálculos'!$F$211+'Cálculos'!$F$124*(1+2.78*('Cálculos'!$F$196+(($C195)-$A$177:$A$222)*'Cálculos'!$F$98)/(('Cálculos'!$F$196+(($C195)-$A$177:$A$222)*'Cálculos'!$F$98)+1400)+'Cálculos'!$F$122)*'Cálculos'!$F$216+'Cálculos'!$F$125*(1+2.78*('Cálculos'!$F$196+(($C195)-$A$177:$A$222)*'Cálculos'!$F$98)/(('Cálculos'!$F$196+(($C195)-$A$177:$A$222)*'Cálculos'!$F$98)+1400)+'Cálculos'!$F$123)*'Cálculos'!$F$221)+('Cálculos'!$F$204*(1+'Cálculos'!$F$205+$A$177:$A$222*('Cálculos'!$F$290=3)*'Cálculos'!$F$103)+'Cálculos'!$F$206)*('Cálculos'!$F$212+'Cálculos'!$F$124*(1+2.78*('Cálculos'!$F$196+(($C195)-$A$177:$A$222)*'Cálculos'!$F$98)/(('Cálculos'!$F$196+(($C195)-$A$177:$A$222)*'Cálculos'!$F$98)+1400)+'Cálculos'!$F$122)*'Cálculos'!$F$217+'Cálculos'!$F$125*(1+2.78*('Cálculos'!$F$196+(($C195)-$A$177:$A$222)*'Cálculos'!$F$98)/(('Cálculos'!$F$196+(($C195)-$A$177:$A$222)*'Cálculos'!$F$98)+1400)+'Cálculos'!$F$123)*'Cálculos'!$F$222)+('Cálculos'!$F$213+'Cálculos'!$F$124*(1+2.78*('Cálculos'!$F$196+(($C195)-$A$177:$A$222)*'Cálculos'!$F$98)/(('Cálculos'!$F$196+(($C195)-$A$177:$A$222)*'Cálculos'!$F$98)+1400)+'Cálculos'!$F$122)*'Cálculos'!$F$218+'Cálculos'!$F$125*(1+2.78*('Cálculos'!$F$196+(($C195)-$A$177:$A$222)*'Cálculos'!$F$98)/(('Cálculos'!$F$196+(($C195)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195)-$A$177:$A$222)*'Cálculos'!$F$98)/(('Cálculos'!$F$197+(($C195)-$A$177:$A$222)*'Cálculos'!$F$98)+1400)+'Cálculos'!$F$122)*'Cálculos'!$F$229+'Cálculos'!$F$125*(1+2.78*('Cálculos'!$F$197+(($C195)-$A$177:$A$222)*'Cálculos'!$F$98)/(('Cálculos'!$F$197+(($C195)-$A$177:$A$222)*'Cálculos'!$F$98)+1400)+'Cálculos'!$F$123)*'Cálculos'!$F$234)+('Cálculos'!$F$197+(($C195)-$A$177:$A$222)*'Cálculos'!$F$98)*('Cálculos'!$F$225+'Cálculos'!$F$124*(1+2.78*('Cálculos'!$F$197+(($C195)-$A$177:$A$222)*'Cálculos'!$F$98)/(('Cálculos'!$F$197+(($C195)-$A$177:$A$222)*'Cálculos'!$F$98)+1400)+'Cálculos'!$F$122)*'Cálculos'!$F$230+'Cálculos'!$F$125*(1+2.78*('Cálculos'!$F$197+(($C195)-$A$177:$A$222)*'Cálculos'!$F$98)/(('Cálculos'!$F$197+(($C195)-$A$177:$A$222)*'Cálculos'!$F$98)+1400)+'Cálculos'!$F$123)*'Cálculos'!$F$235)+('Cálculos'!$F$201*(1+'Cálculos'!$F$202+$A$177:$A$222*('Cálculos'!$F$290=2)*'Cálculos'!$F$101)+'Cálculos'!$F$203)*('Cálculos'!$F$226+'Cálculos'!$F$124*(1+2.78*('Cálculos'!$F$197+(($C195)-$A$177:$A$222)*'Cálculos'!$F$98)/(('Cálculos'!$F$197+(($C195)-$A$177:$A$222)*'Cálculos'!$F$98)+1400)+'Cálculos'!$F$122)*'Cálculos'!$F$231+'Cálculos'!$F$125*(1+2.78*('Cálculos'!$F$197+(($C195)-$A$177:$A$222)*'Cálculos'!$F$98)/(('Cálculos'!$F$197+(($C195)-$A$177:$A$222)*'Cálculos'!$F$98)+1400)+'Cálculos'!$F$123)*'Cálculos'!$F$236)+('Cálculos'!$F$204*(1+'Cálculos'!$F$205+$A$177:$A$222*('Cálculos'!$F$290=3)*'Cálculos'!$F$103)+'Cálculos'!$F$206)*('Cálculos'!$F$227+'Cálculos'!$F$124*(1+2.78*('Cálculos'!$F$197+(($C195)-$A$177:$A$222)*'Cálculos'!$F$98)/(('Cálculos'!$F$197+(($C195)-$A$177:$A$222)*'Cálculos'!$F$98)+1400)+'Cálculos'!$F$122)*'Cálculos'!$F$232+'Cálculos'!$F$125*(1+2.78*('Cálculos'!$F$197+(($C195)-$A$177:$A$222)*'Cálculos'!$F$98)/(('Cálculos'!$F$197+(($C195)-$A$177:$A$222)*'Cálculos'!$F$98)+1400)+'Cálculos'!$F$123)*'Cálculos'!$F$237)+('Cálculos'!$F$228+'Cálculos'!$F$124*(1+2.78*('Cálculos'!$F$197+(($C195)-$A$177:$A$222)*'Cálculos'!$F$98)/(('Cálculos'!$F$197+(($C195)-$A$177:$A$222)*'Cálculos'!$F$98)+1400)+'Cálculos'!$F$122)*'Cálculos'!$F$233+'Cálculos'!$F$125*(1+2.78*('Cálculos'!$F$197+(($C195)-$A$177:$A$222)*'Cálculos'!$F$98)/(('Cálculos'!$F$197+(($C195)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195)-$A$177:$A$222)*'Cálculos'!$F$98)/(('Cálculos'!$F$198+(($C195)-$A$177:$A$222)*'Cálculos'!$F$98)+1400)+'Cálculos'!$F$122)*'Cálculos'!$F$244+'Cálculos'!$F$125*(1+2.78*('Cálculos'!$F$198+(($C195)-$A$177:$A$222)*'Cálculos'!$F$98)/(('Cálculos'!$F$198+(($C195)-$A$177:$A$222)*'Cálculos'!$F$98)+1400)+'Cálculos'!$F$123)*'Cálculos'!$F$249)+('Cálculos'!$F$198+(($C195)-$A$177:$A$222)*'Cálculos'!$F$98)*('Cálculos'!$F$240+'Cálculos'!$F$124*(1+2.78*('Cálculos'!$F$198+(($C195)-$A$177:$A$222)*'Cálculos'!$F$98)/(('Cálculos'!$F$198+(($C195)-$A$177:$A$222)*'Cálculos'!$F$98)+1400)+'Cálculos'!$F$122)*'Cálculos'!$F$245+'Cálculos'!$F$125*(1+2.78*('Cálculos'!$F$198+(($C195)-$A$177:$A$222)*'Cálculos'!$F$98)/(('Cálculos'!$F$198+(($C195)-$A$177:$A$222)*'Cálculos'!$F$98)+1400)+'Cálculos'!$F$123)*'Cálculos'!$F$250)+('Cálculos'!$F$201*(1+'Cálculos'!$F$202+$A$177:$A$222*('Cálculos'!$F$290=2)*'Cálculos'!$F$101)+'Cálculos'!$F$203)*('Cálculos'!$F$241+'Cálculos'!$F$124*(1+2.78*('Cálculos'!$F$198+(($C195)-$A$177:$A$222)*'Cálculos'!$F$98)/(('Cálculos'!$F$198+(($C195)-$A$177:$A$222)*'Cálculos'!$F$98)+1400)+'Cálculos'!$F$122)*'Cálculos'!$F$246+'Cálculos'!$F$125*(1+2.78*('Cálculos'!$F$198+(($C195)-$A$177:$A$222)*'Cálculos'!$F$98)/(('Cálculos'!$F$198+(($C195)-$A$177:$A$222)*'Cálculos'!$F$98)+1400)+'Cálculos'!$F$123)*'Cálculos'!$F$251)+('Cálculos'!$F$204*(1+'Cálculos'!$F$205+$A$177:$A$222*('Cálculos'!$F$290=3)*'Cálculos'!$F$103)+'Cálculos'!$F$206)*('Cálculos'!$F$242+'Cálculos'!$F$124*(1+2.78*('Cálculos'!$F$198+(($C195)-$A$177:$A$222)*'Cálculos'!$F$98)/(('Cálculos'!$F$198+(($C195)-$A$177:$A$222)*'Cálculos'!$F$98)+1400)+'Cálculos'!$F$122)*'Cálculos'!$F$247+'Cálculos'!$F$125*(1+2.78*('Cálculos'!$F$198+(($C195)-$A$177:$A$222)*'Cálculos'!$F$98)/(('Cálculos'!$F$198+(($C195)-$A$177:$A$222)*'Cálculos'!$F$98)+1400)+'Cálculos'!$F$123)*'Cálculos'!$F$252)+('Cálculos'!$F$243+'Cálculos'!$F$124*(1+2.78*('Cálculos'!$F$198+(($C195)-$A$177:$A$222)*'Cálculos'!$F$98)/(('Cálculos'!$F$198+(($C195)-$A$177:$A$222)*'Cálculos'!$F$98)+1400)+'Cálculos'!$F$122)*'Cálculos'!$F$248+'Cálculos'!$F$125*(1+2.78*('Cálculos'!$F$198+(($C195)-$A$177:$A$222)*'Cálculos'!$F$98)/(('Cálculos'!$F$198+(($C195)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195)-$A$177:$A$222)*'Cálculos'!$F$98)/(('Cálculos'!$F$199+(($C195)-$A$177:$A$222)*'Cálculos'!$F$98)+1400)+'Cálculos'!$F$122)*'Cálculos'!$F$259+'Cálculos'!$F$125*(1+2.78*('Cálculos'!$F$199+(($C195)-$A$177:$A$222)*'Cálculos'!$F$98)/(('Cálculos'!$F$199+(($C195)-$A$177:$A$222)*'Cálculos'!$F$98)+1400)+'Cálculos'!$F$123)*'Cálculos'!$F$264)+('Cálculos'!$F$199+(($C195)-$A$177:$A$222)*'Cálculos'!$F$98)*('Cálculos'!$F$255+'Cálculos'!$F$124*(1+2.78*('Cálculos'!$F$199+(($C195)-$A$177:$A$222)*'Cálculos'!$F$98)/(('Cálculos'!$F$199+(($C195)-$A$177:$A$222)*'Cálculos'!$F$98)+1400)+'Cálculos'!$F$122)*'Cálculos'!$F$260+'Cálculos'!$F$125*(1+2.78*('Cálculos'!$F$199+(($C195)-$A$177:$A$222)*'Cálculos'!$F$98)/(('Cálculos'!$F$199+(($C195)-$A$177:$A$222)*'Cálculos'!$F$98)+1400)+'Cálculos'!$F$123)*'Cálculos'!$F$265)+('Cálculos'!$F$201*(1+'Cálculos'!$F$202+$A$177:$A$222*('Cálculos'!$F$290=2)*'Cálculos'!$F$101)+'Cálculos'!$F$203)*('Cálculos'!$F$256+'Cálculos'!$F$124*(1+2.78*('Cálculos'!$F$199+(($C195)-$A$177:$A$222)*'Cálculos'!$F$98)/(('Cálculos'!$F$199+(($C195)-$A$177:$A$222)*'Cálculos'!$F$98)+1400)+'Cálculos'!$F$122)*'Cálculos'!$F$261+'Cálculos'!$F$125*(1+2.78*('Cálculos'!$F$199+(($C195)-$A$177:$A$222)*'Cálculos'!$F$98)/(('Cálculos'!$F$199+(($C195)-$A$177:$A$222)*'Cálculos'!$F$98)+1400)+'Cálculos'!$F$123)*'Cálculos'!$F$266)+('Cálculos'!$F$204*(1+'Cálculos'!$F$205+$A$177:$A$222*('Cálculos'!$F$290=3)*'Cálculos'!$F$103)+'Cálculos'!$F$206)*('Cálculos'!$F$257+'Cálculos'!$F$124*(1+2.78*('Cálculos'!$F$199+(($C195)-$A$177:$A$222)*'Cálculos'!$F$98)/(('Cálculos'!$F$199+(($C195)-$A$177:$A$222)*'Cálculos'!$F$98)+1400)+'Cálculos'!$F$122)*'Cálculos'!$F$262+'Cálculos'!$F$125*(1+2.78*('Cálculos'!$F$199+(($C195)-$A$177:$A$222)*'Cálculos'!$F$98)/(('Cálculos'!$F$199+(($C195)-$A$177:$A$222)*'Cálculos'!$F$98)+1400)+'Cálculos'!$F$123)*'Cálculos'!$F$267)+('Cálculos'!$F$258+'Cálculos'!$F$124*(1+2.78*('Cálculos'!$F$199+(($C195)-$A$177:$A$222)*'Cálculos'!$F$98)/(('Cálculos'!$F$199+(($C195)-$A$177:$A$222)*'Cálculos'!$F$98)+1400)+'Cálculos'!$F$122)*'Cálculos'!$F$263+'Cálculos'!$F$125*(1+2.78*('Cálculos'!$F$199+(($C195)-$A$177:$A$222)*'Cálculos'!$F$98)/(('Cálculos'!$F$199+(($C195)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195)-$A$177:$A$222)*'Cálculos'!$F$98)/(('Cálculos'!$F$200+(($C195)-$A$177:$A$222)*'Cálculos'!$F$98)+1400)+'Cálculos'!$F$122)*'Cálculos'!$F$274+'Cálculos'!$F$125*(1+2.78*('Cálculos'!$F$200+(($C195)-$A$177:$A$222)*'Cálculos'!$F$98)/(('Cálculos'!$F$200+(($C195)-$A$177:$A$222)*'Cálculos'!$F$98)+1400)+'Cálculos'!$F$123)*'Cálculos'!$F$279)+('Cálculos'!$F$200+(($C195)-$A$177:$A$222)*'Cálculos'!$F$98)*('Cálculos'!$F$270+'Cálculos'!$F$124*(1+2.78*('Cálculos'!$F$200+(($C195)-$A$177:$A$222)*'Cálculos'!$F$98)/(('Cálculos'!$F$200+(($C195)-$A$177:$A$222)*'Cálculos'!$F$98)+1400)+'Cálculos'!$F$122)*'Cálculos'!$F$275+'Cálculos'!$F$125*(1+2.78*('Cálculos'!$F$200+(($C195)-$A$177:$A$222)*'Cálculos'!$F$98)/(('Cálculos'!$F$200+(($C195)-$A$177:$A$222)*'Cálculos'!$F$98)+1400)+'Cálculos'!$F$123)*'Cálculos'!$F$280)+('Cálculos'!$F$201*(1+'Cálculos'!$F$202+$A$177:$A$222*('Cálculos'!$F$290=2)*'Cálculos'!$F$101)+'Cálculos'!$F$203)*('Cálculos'!$F$271+'Cálculos'!$F$124*(1+2.78*('Cálculos'!$F$200+(($C195)-$A$177:$A$222)*'Cálculos'!$F$98)/(('Cálculos'!$F$200+(($C195)-$A$177:$A$222)*'Cálculos'!$F$98)+1400)+'Cálculos'!$F$122)*'Cálculos'!$F$276+'Cálculos'!$F$125*(1+2.78*('Cálculos'!$F$200+(($C195)-$A$177:$A$222)*'Cálculos'!$F$98)/(('Cálculos'!$F$200+(($C195)-$A$177:$A$222)*'Cálculos'!$F$98)+1400)+'Cálculos'!$F$123)*'Cálculos'!$F$281)+('Cálculos'!$F$204*(1+'Cálculos'!$F$205+$A$177:$A$222*('Cálculos'!$F$290=3)*'Cálculos'!$F$103)+'Cálculos'!$F$206)*('Cálculos'!$F$272+'Cálculos'!$F$124*(1+2.78*('Cálculos'!$F$200+(($C195)-$A$177:$A$222)*'Cálculos'!$F$98)/(('Cálculos'!$F$200+(($C195)-$A$177:$A$222)*'Cálculos'!$F$98)+1400)+'Cálculos'!$F$122)*'Cálculos'!$F$277+'Cálculos'!$F$125*(1+2.78*('Cálculos'!$F$200+(($C195)-$A$177:$A$222)*'Cálculos'!$F$98)/(('Cálculos'!$F$200+(($C195)-$A$177:$A$222)*'Cálculos'!$F$98)+1400)+'Cálculos'!$F$123)*'Cálculos'!$F$282)+('Cálculos'!$F$273+'Cálculos'!$F$124*(1+2.78*('Cálculos'!$F$200+(($C195)-$A$177:$A$222)*'Cálculos'!$F$98)/(('Cálculos'!$F$200+(($C195)-$A$177:$A$222)*'Cálculos'!$F$98)+1400)+'Cálculos'!$F$122)*'Cálculos'!$F$278+'Cálculos'!$F$125*(1+2.78*('Cálculos'!$F$200+(($C195)-$A$177:$A$222)*'Cálculos'!$F$98)/(('Cálculos'!$F$200+(($C195)-$A$177:$A$222)*'Cálculos'!$F$98)+1400)+'Cálculos'!$F$123)*'Cálculos'!$F$283)))))</f>
        <v>19345.49414</v>
      </c>
      <c r="E195" s="32">
        <f>IF(OR($C195&lt;0,'Cálculos'!$F$6=""),0,$B195*$D195)</f>
        <v>45918.2134</v>
      </c>
      <c r="F195" s="2"/>
      <c r="G195" s="30">
        <f>($A195&lt;=$B$224)*($A195&lt;='Cálculos'!$F$294)*(($B$224)-$A195&lt;='Cálculos'!$F$295)*(1+MIN(('Cálculos'!$F$207+$A195*'Cálculos'!$F$95),1)*('Cálculos'!$F$208+(($B$224)-$A195)*'Cálculos'!$F$96))</f>
        <v>2.273</v>
      </c>
      <c r="H195" s="31">
        <f>IF($B$225&lt;0,0,($A195&lt;=$B$225)*($A195&lt;='Cálculos'!$F$301)*(($B$225)-$A195&lt;='Cálculos'!$F$297)*(('Cálculos'!$F$185*(1+'Cálculos'!$F$186+$A195*('Cálculos'!$F$290=1)*'Cálculos'!$F$97+'Cálculos'!$F$305)+'Cálculos'!$F$191)*('Cálculos'!$F$209+'Cálculos'!$F$124*(1+2.78*('Cálculos'!$F$196+(($B$225)-$A195)*'Cálculos'!$F$98)/(('Cálculos'!$F$196+(($B$225)-$A195)*'Cálculos'!$F$98)+1400)+'Cálculos'!$F$122)*'Cálculos'!$F$214+'Cálculos'!$F$125*(1+2.78*('Cálculos'!$F$196+(($B$225)-$A195)*'Cálculos'!$F$98)/(('Cálculos'!$F$196+(($B$225)-$A195)*'Cálculos'!$F$98)+1400)+'Cálculos'!$F$123)*'Cálculos'!$F$219)+('Cálculos'!$F$196+(($B$225)-$A195)*'Cálculos'!$F$98)*('Cálculos'!$F$210+'Cálculos'!$F$124*(1+2.78*('Cálculos'!$F$196+(($B$225)-$A195)*'Cálculos'!$F$98)/(('Cálculos'!$F$196+(($B$225)-$A195)*'Cálculos'!$F$98)+1400)+'Cálculos'!$F$122)*'Cálculos'!$F$215+'Cálculos'!$F$125*(1+2.78*('Cálculos'!$F$196+(($B$225)-$A195)*'Cálculos'!$F$98)/(('Cálculos'!$F$196+(($B$225)-$A195)*'Cálculos'!$F$98)+1400)+'Cálculos'!$F$123)*'Cálculos'!$F$220)+('Cálculos'!$F$201*(1+'Cálculos'!$F$202+$A195*('Cálculos'!$F$290=2)*'Cálculos'!$F$101)+'Cálculos'!$F$203)*('Cálculos'!$F$211+'Cálculos'!$F$124*(1+2.78*('Cálculos'!$F$196+(($B$225)-$A195)*'Cálculos'!$F$98)/(('Cálculos'!$F$196+(($B$225)-$A195)*'Cálculos'!$F$98)+1400)+'Cálculos'!$F$122)*'Cálculos'!$F$216+'Cálculos'!$F$125*(1+2.78*('Cálculos'!$F$196+(($B$225)-$A195)*'Cálculos'!$F$98)/(('Cálculos'!$F$196+(($B$225)-$A195)*'Cálculos'!$F$98)+1400)+'Cálculos'!$F$123)*'Cálculos'!$F$221)+('Cálculos'!$F$204*(1+'Cálculos'!$F$205+$A195*('Cálculos'!$F$290=3)*'Cálculos'!$F$103)+'Cálculos'!$F$206)*('Cálculos'!$F$212+'Cálculos'!$F$124*(1+2.78*('Cálculos'!$F$196+(($B$225)-$A195)*'Cálculos'!$F$98)/(('Cálculos'!$F$196+(($B$225)-$A195)*'Cálculos'!$F$98)+1400)+'Cálculos'!$F$122)*'Cálculos'!$F$217+'Cálculos'!$F$125*(1+2.78*('Cálculos'!$F$196+(($B$225)-$A195)*'Cálculos'!$F$98)/(('Cálculos'!$F$196+(($B$225)-$A195)*'Cálculos'!$F$98)+1400)+'Cálculos'!$F$123)*'Cálculos'!$F$222)+('Cálculos'!$F$213+'Cálculos'!$F$124*(1+2.78*('Cálculos'!$F$196+(($B$225)-$A195)*'Cálculos'!$F$98)/(('Cálculos'!$F$196+(($B$225)-$A195)*'Cálculos'!$F$98)+1400)+'Cálculos'!$F$122)*'Cálculos'!$F$218+'Cálculos'!$F$125*(1+2.78*('Cálculos'!$F$196+(($B$225)-$A195)*'Cálculos'!$F$98)/(('Cálculos'!$F$196+(($B$225)-$A195)*'Cálculos'!$F$98)+1400)+'Cálculos'!$F$123)*'Cálculos'!$F$223)+('Cálculos'!$F$185*(1+'Cálculos'!$F$187+$A195*('Cálculos'!$F$290=1)*'Cálculos'!$F$97+'Cálculos'!$F$305)+'Cálculos'!$F$192)*('Cálculos'!$F$224+'Cálculos'!$F$124*(1+2.78*('Cálculos'!$F$197+(($B$225)-$A195)*'Cálculos'!$F$98)/(('Cálculos'!$F$197+(($B$225)-$A195)*'Cálculos'!$F$98)+1400)+'Cálculos'!$F$122)*'Cálculos'!$F$229+'Cálculos'!$F$125*(1+2.78*('Cálculos'!$F$197+(($B$225)-$A195)*'Cálculos'!$F$98)/(('Cálculos'!$F$197+(($B$225)-$A195)*'Cálculos'!$F$98)+1400)+'Cálculos'!$F$123)*'Cálculos'!$F$234)+('Cálculos'!$F$197+(($B$225)-$A195)*'Cálculos'!$F$98)*('Cálculos'!$F$225+'Cálculos'!$F$124*(1+2.78*('Cálculos'!$F$197+(($B$225)-$A195)*'Cálculos'!$F$98)/(('Cálculos'!$F$197+(($B$225)-$A195)*'Cálculos'!$F$98)+1400)+'Cálculos'!$F$122)*'Cálculos'!$F$230+'Cálculos'!$F$125*(1+2.78*('Cálculos'!$F$197+(($B$225)-$A195)*'Cálculos'!$F$98)/(('Cálculos'!$F$197+(($B$225)-$A195)*'Cálculos'!$F$98)+1400)+'Cálculos'!$F$123)*'Cálculos'!$F$235)+('Cálculos'!$F$201*(1+'Cálculos'!$F$202+$A195*('Cálculos'!$F$290=2)*'Cálculos'!$F$101)+'Cálculos'!$F$203)*('Cálculos'!$F$226+'Cálculos'!$F$124*(1+2.78*('Cálculos'!$F$197+(($B$225)-$A195)*'Cálculos'!$F$98)/(('Cálculos'!$F$197+(($B$225)-$A195)*'Cálculos'!$F$98)+1400)+'Cálculos'!$F$122)*'Cálculos'!$F$231+'Cálculos'!$F$125*(1+2.78*('Cálculos'!$F$197+(($B$225)-$A195)*'Cálculos'!$F$98)/(('Cálculos'!$F$197+(($B$225)-$A195)*'Cálculos'!$F$98)+1400)+'Cálculos'!$F$123)*'Cálculos'!$F$236)+('Cálculos'!$F$204*(1+'Cálculos'!$F$205+$A195*('Cálculos'!$F$290=3)*'Cálculos'!$F$103)+'Cálculos'!$F$206)*('Cálculos'!$F$227+'Cálculos'!$F$124*(1+2.78*('Cálculos'!$F$197+(($B$225)-$A195)*'Cálculos'!$F$98)/(('Cálculos'!$F$197+(($B$225)-$A195)*'Cálculos'!$F$98)+1400)+'Cálculos'!$F$122)*'Cálculos'!$F$232+'Cálculos'!$F$125*(1+2.78*('Cálculos'!$F$197+(($B$225)-$A195)*'Cálculos'!$F$98)/(('Cálculos'!$F$197+(($B$225)-$A195)*'Cálculos'!$F$98)+1400)+'Cálculos'!$F$123)*'Cálculos'!$F$237)+('Cálculos'!$F$228+'Cálculos'!$F$124*(1+2.78*('Cálculos'!$F$197+(($B$225)-$A195)*'Cálculos'!$F$98)/(('Cálculos'!$F$197+(($B$225)-$A195)*'Cálculos'!$F$98)+1400)+'Cálculos'!$F$122)*'Cálculos'!$F$233+'Cálculos'!$F$125*(1+2.78*('Cálculos'!$F$197+(($B$225)-$A195)*'Cálculos'!$F$98)/(('Cálculos'!$F$197+(($B$225)-$A195)*'Cálculos'!$F$98)+1400)+'Cálculos'!$F$123)*'Cálculos'!$F$238)+('Cálculos'!$F$185*(1+'Cálculos'!$F$188+$A195*('Cálculos'!$F$290=1)*'Cálculos'!$F$97+'Cálculos'!$F$305)+'Cálculos'!$F$193)*('Cálculos'!$F$239+'Cálculos'!$F$124*(1+2.78*('Cálculos'!$F$198+(($B$225)-$A195)*'Cálculos'!$F$98)/(('Cálculos'!$F$198+(($B$225)-$A195)*'Cálculos'!$F$98)+1400)+'Cálculos'!$F$122)*'Cálculos'!$F$244+'Cálculos'!$F$125*(1+2.78*('Cálculos'!$F$198+(($B$225)-$A195)*'Cálculos'!$F$98)/(('Cálculos'!$F$198+(($B$225)-$A195)*'Cálculos'!$F$98)+1400)+'Cálculos'!$F$123)*'Cálculos'!$F$249)+('Cálculos'!$F$198+(($B$225)-$A195)*'Cálculos'!$F$98)*('Cálculos'!$F$240+'Cálculos'!$F$124*(1+2.78*('Cálculos'!$F$198+(($B$225)-$A195)*'Cálculos'!$F$98)/(('Cálculos'!$F$198+(($B$225)-$A195)*'Cálculos'!$F$98)+1400)+'Cálculos'!$F$122)*'Cálculos'!$F$245+'Cálculos'!$F$125*(1+2.78*('Cálculos'!$F$198+(($B$225)-$A195)*'Cálculos'!$F$98)/(('Cálculos'!$F$198+(($B$225)-$A195)*'Cálculos'!$F$98)+1400)+'Cálculos'!$F$123)*'Cálculos'!$F$250)+('Cálculos'!$F$201*(1+'Cálculos'!$F$202+$A195*('Cálculos'!$F$290=2)*'Cálculos'!$F$101)+'Cálculos'!$F$203)*('Cálculos'!$F$241+'Cálculos'!$F$124*(1+2.78*('Cálculos'!$F$198+(($B$225)-$A195)*'Cálculos'!$F$98)/(('Cálculos'!$F$198+(($B$225)-$A195)*'Cálculos'!$F$98)+1400)+'Cálculos'!$F$122)*'Cálculos'!$F$246+'Cálculos'!$F$125*(1+2.78*('Cálculos'!$F$198+(($B$225)-$A195)*'Cálculos'!$F$98)/(('Cálculos'!$F$198+(($B$225)-$A195)*'Cálculos'!$F$98)+1400)+'Cálculos'!$F$123)*'Cálculos'!$F$251)+('Cálculos'!$F$204*(1+'Cálculos'!$F$205+$A195*('Cálculos'!$F$290=3)*'Cálculos'!$F$103)+'Cálculos'!$F$206)*('Cálculos'!$F$242+'Cálculos'!$F$124*(1+2.78*('Cálculos'!$F$198+(($B$225)-$A195)*'Cálculos'!$F$98)/(('Cálculos'!$F$198+(($B$225)-$A195)*'Cálculos'!$F$98)+1400)+'Cálculos'!$F$122)*'Cálculos'!$F$247+'Cálculos'!$F$125*(1+2.78*('Cálculos'!$F$198+(($B$225)-$A195)*'Cálculos'!$F$98)/(('Cálculos'!$F$198+(($B$225)-$A195)*'Cálculos'!$F$98)+1400)+'Cálculos'!$F$123)*'Cálculos'!$F$252)+('Cálculos'!$F$243+'Cálculos'!$F$124*(1+2.78*('Cálculos'!$F$198+(($B$225)-$A195)*'Cálculos'!$F$98)/(('Cálculos'!$F$198+(($B$225)-$A195)*'Cálculos'!$F$98)+1400)+'Cálculos'!$F$122)*'Cálculos'!$F$248+'Cálculos'!$F$125*(1+2.78*('Cálculos'!$F$198+(($B$225)-$A195)*'Cálculos'!$F$98)/(('Cálculos'!$F$198+(($B$225)-$A195)*'Cálculos'!$F$98)+1400)+'Cálculos'!$F$123)*'Cálculos'!$F$253)+('Cálculos'!$F$185*(1+'Cálculos'!$F$189+$A195*('Cálculos'!$F$290=1)*'Cálculos'!$F$97+'Cálculos'!$F$305)+'Cálculos'!$F$194)*('Cálculos'!$F$254+'Cálculos'!$F$124*(1+2.78*('Cálculos'!$F$199+(($B$225)-$A195)*'Cálculos'!$F$98)/(('Cálculos'!$F$199+(($B$225)-$A195)*'Cálculos'!$F$98)+1400)+'Cálculos'!$F$122)*'Cálculos'!$F$259+'Cálculos'!$F$125*(1+2.78*('Cálculos'!$F$199+(($B$225)-$A195)*'Cálculos'!$F$98)/(('Cálculos'!$F$199+(($B$225)-$A195)*'Cálculos'!$F$98)+1400)+'Cálculos'!$F$123)*'Cálculos'!$F$264)+('Cálculos'!$F$199+(($B$225)-$A195)*'Cálculos'!$F$98)*('Cálculos'!$F$255+'Cálculos'!$F$124*(1+2.78*('Cálculos'!$F$199+(($B$225)-$A195)*'Cálculos'!$F$98)/(('Cálculos'!$F$199+(($B$225)-$A195)*'Cálculos'!$F$98)+1400)+'Cálculos'!$F$122)*'Cálculos'!$F$260+'Cálculos'!$F$125*(1+2.78*('Cálculos'!$F$199+(($B$225)-$A195)*'Cálculos'!$F$98)/(('Cálculos'!$F$199+(($B$225)-$A195)*'Cálculos'!$F$98)+1400)+'Cálculos'!$F$123)*'Cálculos'!$F$265)+('Cálculos'!$F$201*(1+'Cálculos'!$F$202+$A195*('Cálculos'!$F$290=2)*'Cálculos'!$F$101)+'Cálculos'!$F$203)*('Cálculos'!$F$256+'Cálculos'!$F$124*(1+2.78*('Cálculos'!$F$199+(($B$225)-$A195)*'Cálculos'!$F$98)/(('Cálculos'!$F$199+(($B$225)-$A195)*'Cálculos'!$F$98)+1400)+'Cálculos'!$F$122)*'Cálculos'!$F$261+'Cálculos'!$F$125*(1+2.78*('Cálculos'!$F$199+(($B$225)-$A195)*'Cálculos'!$F$98)/(('Cálculos'!$F$199+(($B$225)-$A195)*'Cálculos'!$F$98)+1400)+'Cálculos'!$F$123)*'Cálculos'!$F$266)+('Cálculos'!$F$204*(1+'Cálculos'!$F$205+$A195*('Cálculos'!$F$290=3)*'Cálculos'!$F$103)+'Cálculos'!$F$206)*('Cálculos'!$F$257+'Cálculos'!$F$124*(1+2.78*('Cálculos'!$F$199+(($B$225)-$A195)*'Cálculos'!$F$98)/(('Cálculos'!$F$199+(($B$225)-$A195)*'Cálculos'!$F$98)+1400)+'Cálculos'!$F$122)*'Cálculos'!$F$262+'Cálculos'!$F$125*(1+2.78*('Cálculos'!$F$199+(($B$225)-$A195)*'Cálculos'!$F$98)/(('Cálculos'!$F$199+(($B$225)-$A195)*'Cálculos'!$F$98)+1400)+'Cálculos'!$F$123)*'Cálculos'!$F$267)+('Cálculos'!$F$258+'Cálculos'!$F$124*(1+2.78*('Cálculos'!$F$199+(($B$225)-$A195)*'Cálculos'!$F$98)/(('Cálculos'!$F$199+(($B$225)-$A195)*'Cálculos'!$F$98)+1400)+'Cálculos'!$F$122)*'Cálculos'!$F$263+'Cálculos'!$F$125*(1+2.78*('Cálculos'!$F$199+(($B$225)-$A195)*'Cálculos'!$F$98)/(('Cálculos'!$F$199+(($B$225)-$A195)*'Cálculos'!$F$98)+1400)+'Cálculos'!$F$123)*'Cálculos'!$F$268)+('Cálculos'!$F$185*(1+'Cálculos'!$F$190+$A195*('Cálculos'!$F$290=1)*'Cálculos'!$F$97+'Cálculos'!$F$305)+'Cálculos'!$F$195)*('Cálculos'!$F$269+'Cálculos'!$F$124*(1+2.78*('Cálculos'!$F$200+(($B$225)-$A195)*'Cálculos'!$F$98)/(('Cálculos'!$F$200+(($B$225)-$A195)*'Cálculos'!$F$98)+1400)+'Cálculos'!$F$122)*'Cálculos'!$F$274+'Cálculos'!$F$125*(1+2.78*('Cálculos'!$F$200+(($B$225)-$A195)*'Cálculos'!$F$98)/(('Cálculos'!$F$200+(($B$225)-$A195)*'Cálculos'!$F$98)+1400)+'Cálculos'!$F$123)*'Cálculos'!$F$279)+('Cálculos'!$F$200+(($B$225)-$A195)*'Cálculos'!$F$98)*('Cálculos'!$F$270+'Cálculos'!$F$124*(1+2.78*('Cálculos'!$F$200+(($B$225)-$A195)*'Cálculos'!$F$98)/(('Cálculos'!$F$200+(($B$225)-$A195)*'Cálculos'!$F$98)+1400)+'Cálculos'!$F$122)*'Cálculos'!$F$275+'Cálculos'!$F$125*(1+2.78*('Cálculos'!$F$200+(($B$225)-$A195)*'Cálculos'!$F$98)/(('Cálculos'!$F$200+(($B$225)-$A195)*'Cálculos'!$F$98)+1400)+'Cálculos'!$F$123)*'Cálculos'!$F$280)+('Cálculos'!$F$201*(1+'Cálculos'!$F$202+$A195*('Cálculos'!$F$290=2)*'Cálculos'!$F$101)+'Cálculos'!$F$203)*('Cálculos'!$F$271+'Cálculos'!$F$124*(1+2.78*('Cálculos'!$F$200+(($B$225)-$A195)*'Cálculos'!$F$98)/(('Cálculos'!$F$200+(($B$225)-$A195)*'Cálculos'!$F$98)+1400)+'Cálculos'!$F$122)*'Cálculos'!$F$276+'Cálculos'!$F$125*(1+2.78*('Cálculos'!$F$200+(($B$225)-$A195)*'Cálculos'!$F$98)/(('Cálculos'!$F$200+(($B$225)-$A195)*'Cálculos'!$F$98)+1400)+'Cálculos'!$F$123)*'Cálculos'!$F$281)+('Cálculos'!$F$204*(1+'Cálculos'!$F$205+$A195*('Cálculos'!$F$290=3)*'Cálculos'!$F$103)+'Cálculos'!$F$206)*('Cálculos'!$F$272+'Cálculos'!$F$124*(1+2.78*('Cálculos'!$F$200+(($B$225)-$A195)*'Cálculos'!$F$98)/(('Cálculos'!$F$200+(($B$225)-$A195)*'Cálculos'!$F$98)+1400)+'Cálculos'!$F$122)*'Cálculos'!$F$277+'Cálculos'!$F$125*(1+2.78*('Cálculos'!$F$200+(($B$225)-$A195)*'Cálculos'!$F$98)/(('Cálculos'!$F$200+(($B$225)-$A195)*'Cálculos'!$F$98)+1400)+'Cálculos'!$F$123)*'Cálculos'!$F$282)+('Cálculos'!$F$273+'Cálculos'!$F$124*(1+2.78*('Cálculos'!$F$200+(($B$225)-$A195)*'Cálculos'!$F$98)/(('Cálculos'!$F$200+(($B$225)-$A195)*'Cálculos'!$F$98)+1400)+'Cálculos'!$F$122)*'Cálculos'!$F$278+'Cálculos'!$F$125*(1+2.78*('Cálculos'!$F$200+(($B$225)-$A195)*'Cálculos'!$F$98)/(('Cálculos'!$F$200+(($B$225)-$A195)*'Cálculos'!$F$98)+1400)+'Cálculos'!$F$123)*'Cálculos'!$F$283)))</f>
        <v>0</v>
      </c>
    </row>
    <row r="196" ht="15.75" customHeight="1">
      <c r="A196" s="2">
        <v>19.0</v>
      </c>
      <c r="B196" s="30">
        <f>SUMPRODUCT(MAX(($A$177:$A$222&lt;=$A196)*($A$177:$A$222&lt;='Cálculos'!$F$294)*(($A196)-$A$177:$A$222&lt;='Cálculos'!$F$295)*(1+(('Cálculos'!$F$207+$A$177:$A$222*'Cálculos'!$F$95)-(('Cálculos'!$F$207+$A$177:$A$222*'Cálculos'!$F$95)&gt;1)*(('Cálculos'!$F$207+$A$177:$A$222*'Cálculos'!$F$95)-1))*('Cálculos'!$F$208+(($A196)-$A$177:$A$222)*'Cálculos'!$F$96))))</f>
        <v>2.428664</v>
      </c>
      <c r="C196" s="2">
        <f>'Cálculos'!$F$303-$A196</f>
        <v>-1</v>
      </c>
      <c r="D196" s="31">
        <f>IF($C196&lt;0,0,SUMPRODUCT(MAX(($A$177:$A$222&lt;=$C196)*($A$177:$A$222&lt;='Cálculos'!$F$301)*(($C196)-$A$177:$A$222&lt;='Cálculos'!$F$297)*(('Cálculos'!$F$185*(1+'Cálculos'!$F$186+$A$177:$A$222*('Cálculos'!$F$290=1)*'Cálculos'!$F$97+'Cálculos'!$F$305)+'Cálculos'!$F$191)*('Cálculos'!$F$209+'Cálculos'!$F$124*(1+2.78*('Cálculos'!$F$196+(($C196)-$A$177:$A$222)*'Cálculos'!$F$98)/(('Cálculos'!$F$196+(($C196)-$A$177:$A$222)*'Cálculos'!$F$98)+1400)+'Cálculos'!$F$122)*'Cálculos'!$F$214+'Cálculos'!$F$125*(1+2.78*('Cálculos'!$F$196+(($C196)-$A$177:$A$222)*'Cálculos'!$F$98)/(('Cálculos'!$F$196+(($C196)-$A$177:$A$222)*'Cálculos'!$F$98)+1400)+'Cálculos'!$F$123)*'Cálculos'!$F$219)+('Cálculos'!$F$196+(($C196)-$A$177:$A$222)*'Cálculos'!$F$98)*('Cálculos'!$F$210+'Cálculos'!$F$124*(1+2.78*('Cálculos'!$F$196+(($C196)-$A$177:$A$222)*'Cálculos'!$F$98)/(('Cálculos'!$F$196+(($C196)-$A$177:$A$222)*'Cálculos'!$F$98)+1400)+'Cálculos'!$F$122)*'Cálculos'!$F$215+'Cálculos'!$F$125*(1+2.78*('Cálculos'!$F$196+(($C196)-$A$177:$A$222)*'Cálculos'!$F$98)/(('Cálculos'!$F$196+(($C196)-$A$177:$A$222)*'Cálculos'!$F$98)+1400)+'Cálculos'!$F$123)*'Cálculos'!$F$220)+('Cálculos'!$F$201*(1+'Cálculos'!$F$202+$A$177:$A$222*('Cálculos'!$F$290=2)*'Cálculos'!$F$101)+'Cálculos'!$F$203)*('Cálculos'!$F$211+'Cálculos'!$F$124*(1+2.78*('Cálculos'!$F$196+(($C196)-$A$177:$A$222)*'Cálculos'!$F$98)/(('Cálculos'!$F$196+(($C196)-$A$177:$A$222)*'Cálculos'!$F$98)+1400)+'Cálculos'!$F$122)*'Cálculos'!$F$216+'Cálculos'!$F$125*(1+2.78*('Cálculos'!$F$196+(($C196)-$A$177:$A$222)*'Cálculos'!$F$98)/(('Cálculos'!$F$196+(($C196)-$A$177:$A$222)*'Cálculos'!$F$98)+1400)+'Cálculos'!$F$123)*'Cálculos'!$F$221)+('Cálculos'!$F$204*(1+'Cálculos'!$F$205+$A$177:$A$222*('Cálculos'!$F$290=3)*'Cálculos'!$F$103)+'Cálculos'!$F$206)*('Cálculos'!$F$212+'Cálculos'!$F$124*(1+2.78*('Cálculos'!$F$196+(($C196)-$A$177:$A$222)*'Cálculos'!$F$98)/(('Cálculos'!$F$196+(($C196)-$A$177:$A$222)*'Cálculos'!$F$98)+1400)+'Cálculos'!$F$122)*'Cálculos'!$F$217+'Cálculos'!$F$125*(1+2.78*('Cálculos'!$F$196+(($C196)-$A$177:$A$222)*'Cálculos'!$F$98)/(('Cálculos'!$F$196+(($C196)-$A$177:$A$222)*'Cálculos'!$F$98)+1400)+'Cálculos'!$F$123)*'Cálculos'!$F$222)+('Cálculos'!$F$213+'Cálculos'!$F$124*(1+2.78*('Cálculos'!$F$196+(($C196)-$A$177:$A$222)*'Cálculos'!$F$98)/(('Cálculos'!$F$196+(($C196)-$A$177:$A$222)*'Cálculos'!$F$98)+1400)+'Cálculos'!$F$122)*'Cálculos'!$F$218+'Cálculos'!$F$125*(1+2.78*('Cálculos'!$F$196+(($C196)-$A$177:$A$222)*'Cálculos'!$F$98)/(('Cálculos'!$F$196+(($C196)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196)-$A$177:$A$222)*'Cálculos'!$F$98)/(('Cálculos'!$F$197+(($C196)-$A$177:$A$222)*'Cálculos'!$F$98)+1400)+'Cálculos'!$F$122)*'Cálculos'!$F$229+'Cálculos'!$F$125*(1+2.78*('Cálculos'!$F$197+(($C196)-$A$177:$A$222)*'Cálculos'!$F$98)/(('Cálculos'!$F$197+(($C196)-$A$177:$A$222)*'Cálculos'!$F$98)+1400)+'Cálculos'!$F$123)*'Cálculos'!$F$234)+('Cálculos'!$F$197+(($C196)-$A$177:$A$222)*'Cálculos'!$F$98)*('Cálculos'!$F$225+'Cálculos'!$F$124*(1+2.78*('Cálculos'!$F$197+(($C196)-$A$177:$A$222)*'Cálculos'!$F$98)/(('Cálculos'!$F$197+(($C196)-$A$177:$A$222)*'Cálculos'!$F$98)+1400)+'Cálculos'!$F$122)*'Cálculos'!$F$230+'Cálculos'!$F$125*(1+2.78*('Cálculos'!$F$197+(($C196)-$A$177:$A$222)*'Cálculos'!$F$98)/(('Cálculos'!$F$197+(($C196)-$A$177:$A$222)*'Cálculos'!$F$98)+1400)+'Cálculos'!$F$123)*'Cálculos'!$F$235)+('Cálculos'!$F$201*(1+'Cálculos'!$F$202+$A$177:$A$222*('Cálculos'!$F$290=2)*'Cálculos'!$F$101)+'Cálculos'!$F$203)*('Cálculos'!$F$226+'Cálculos'!$F$124*(1+2.78*('Cálculos'!$F$197+(($C196)-$A$177:$A$222)*'Cálculos'!$F$98)/(('Cálculos'!$F$197+(($C196)-$A$177:$A$222)*'Cálculos'!$F$98)+1400)+'Cálculos'!$F$122)*'Cálculos'!$F$231+'Cálculos'!$F$125*(1+2.78*('Cálculos'!$F$197+(($C196)-$A$177:$A$222)*'Cálculos'!$F$98)/(('Cálculos'!$F$197+(($C196)-$A$177:$A$222)*'Cálculos'!$F$98)+1400)+'Cálculos'!$F$123)*'Cálculos'!$F$236)+('Cálculos'!$F$204*(1+'Cálculos'!$F$205+$A$177:$A$222*('Cálculos'!$F$290=3)*'Cálculos'!$F$103)+'Cálculos'!$F$206)*('Cálculos'!$F$227+'Cálculos'!$F$124*(1+2.78*('Cálculos'!$F$197+(($C196)-$A$177:$A$222)*'Cálculos'!$F$98)/(('Cálculos'!$F$197+(($C196)-$A$177:$A$222)*'Cálculos'!$F$98)+1400)+'Cálculos'!$F$122)*'Cálculos'!$F$232+'Cálculos'!$F$125*(1+2.78*('Cálculos'!$F$197+(($C196)-$A$177:$A$222)*'Cálculos'!$F$98)/(('Cálculos'!$F$197+(($C196)-$A$177:$A$222)*'Cálculos'!$F$98)+1400)+'Cálculos'!$F$123)*'Cálculos'!$F$237)+('Cálculos'!$F$228+'Cálculos'!$F$124*(1+2.78*('Cálculos'!$F$197+(($C196)-$A$177:$A$222)*'Cálculos'!$F$98)/(('Cálculos'!$F$197+(($C196)-$A$177:$A$222)*'Cálculos'!$F$98)+1400)+'Cálculos'!$F$122)*'Cálculos'!$F$233+'Cálculos'!$F$125*(1+2.78*('Cálculos'!$F$197+(($C196)-$A$177:$A$222)*'Cálculos'!$F$98)/(('Cálculos'!$F$197+(($C196)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196)-$A$177:$A$222)*'Cálculos'!$F$98)/(('Cálculos'!$F$198+(($C196)-$A$177:$A$222)*'Cálculos'!$F$98)+1400)+'Cálculos'!$F$122)*'Cálculos'!$F$244+'Cálculos'!$F$125*(1+2.78*('Cálculos'!$F$198+(($C196)-$A$177:$A$222)*'Cálculos'!$F$98)/(('Cálculos'!$F$198+(($C196)-$A$177:$A$222)*'Cálculos'!$F$98)+1400)+'Cálculos'!$F$123)*'Cálculos'!$F$249)+('Cálculos'!$F$198+(($C196)-$A$177:$A$222)*'Cálculos'!$F$98)*('Cálculos'!$F$240+'Cálculos'!$F$124*(1+2.78*('Cálculos'!$F$198+(($C196)-$A$177:$A$222)*'Cálculos'!$F$98)/(('Cálculos'!$F$198+(($C196)-$A$177:$A$222)*'Cálculos'!$F$98)+1400)+'Cálculos'!$F$122)*'Cálculos'!$F$245+'Cálculos'!$F$125*(1+2.78*('Cálculos'!$F$198+(($C196)-$A$177:$A$222)*'Cálculos'!$F$98)/(('Cálculos'!$F$198+(($C196)-$A$177:$A$222)*'Cálculos'!$F$98)+1400)+'Cálculos'!$F$123)*'Cálculos'!$F$250)+('Cálculos'!$F$201*(1+'Cálculos'!$F$202+$A$177:$A$222*('Cálculos'!$F$290=2)*'Cálculos'!$F$101)+'Cálculos'!$F$203)*('Cálculos'!$F$241+'Cálculos'!$F$124*(1+2.78*('Cálculos'!$F$198+(($C196)-$A$177:$A$222)*'Cálculos'!$F$98)/(('Cálculos'!$F$198+(($C196)-$A$177:$A$222)*'Cálculos'!$F$98)+1400)+'Cálculos'!$F$122)*'Cálculos'!$F$246+'Cálculos'!$F$125*(1+2.78*('Cálculos'!$F$198+(($C196)-$A$177:$A$222)*'Cálculos'!$F$98)/(('Cálculos'!$F$198+(($C196)-$A$177:$A$222)*'Cálculos'!$F$98)+1400)+'Cálculos'!$F$123)*'Cálculos'!$F$251)+('Cálculos'!$F$204*(1+'Cálculos'!$F$205+$A$177:$A$222*('Cálculos'!$F$290=3)*'Cálculos'!$F$103)+'Cálculos'!$F$206)*('Cálculos'!$F$242+'Cálculos'!$F$124*(1+2.78*('Cálculos'!$F$198+(($C196)-$A$177:$A$222)*'Cálculos'!$F$98)/(('Cálculos'!$F$198+(($C196)-$A$177:$A$222)*'Cálculos'!$F$98)+1400)+'Cálculos'!$F$122)*'Cálculos'!$F$247+'Cálculos'!$F$125*(1+2.78*('Cálculos'!$F$198+(($C196)-$A$177:$A$222)*'Cálculos'!$F$98)/(('Cálculos'!$F$198+(($C196)-$A$177:$A$222)*'Cálculos'!$F$98)+1400)+'Cálculos'!$F$123)*'Cálculos'!$F$252)+('Cálculos'!$F$243+'Cálculos'!$F$124*(1+2.78*('Cálculos'!$F$198+(($C196)-$A$177:$A$222)*'Cálculos'!$F$98)/(('Cálculos'!$F$198+(($C196)-$A$177:$A$222)*'Cálculos'!$F$98)+1400)+'Cálculos'!$F$122)*'Cálculos'!$F$248+'Cálculos'!$F$125*(1+2.78*('Cálculos'!$F$198+(($C196)-$A$177:$A$222)*'Cálculos'!$F$98)/(('Cálculos'!$F$198+(($C196)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196)-$A$177:$A$222)*'Cálculos'!$F$98)/(('Cálculos'!$F$199+(($C196)-$A$177:$A$222)*'Cálculos'!$F$98)+1400)+'Cálculos'!$F$122)*'Cálculos'!$F$259+'Cálculos'!$F$125*(1+2.78*('Cálculos'!$F$199+(($C196)-$A$177:$A$222)*'Cálculos'!$F$98)/(('Cálculos'!$F$199+(($C196)-$A$177:$A$222)*'Cálculos'!$F$98)+1400)+'Cálculos'!$F$123)*'Cálculos'!$F$264)+('Cálculos'!$F$199+(($C196)-$A$177:$A$222)*'Cálculos'!$F$98)*('Cálculos'!$F$255+'Cálculos'!$F$124*(1+2.78*('Cálculos'!$F$199+(($C196)-$A$177:$A$222)*'Cálculos'!$F$98)/(('Cálculos'!$F$199+(($C196)-$A$177:$A$222)*'Cálculos'!$F$98)+1400)+'Cálculos'!$F$122)*'Cálculos'!$F$260+'Cálculos'!$F$125*(1+2.78*('Cálculos'!$F$199+(($C196)-$A$177:$A$222)*'Cálculos'!$F$98)/(('Cálculos'!$F$199+(($C196)-$A$177:$A$222)*'Cálculos'!$F$98)+1400)+'Cálculos'!$F$123)*'Cálculos'!$F$265)+('Cálculos'!$F$201*(1+'Cálculos'!$F$202+$A$177:$A$222*('Cálculos'!$F$290=2)*'Cálculos'!$F$101)+'Cálculos'!$F$203)*('Cálculos'!$F$256+'Cálculos'!$F$124*(1+2.78*('Cálculos'!$F$199+(($C196)-$A$177:$A$222)*'Cálculos'!$F$98)/(('Cálculos'!$F$199+(($C196)-$A$177:$A$222)*'Cálculos'!$F$98)+1400)+'Cálculos'!$F$122)*'Cálculos'!$F$261+'Cálculos'!$F$125*(1+2.78*('Cálculos'!$F$199+(($C196)-$A$177:$A$222)*'Cálculos'!$F$98)/(('Cálculos'!$F$199+(($C196)-$A$177:$A$222)*'Cálculos'!$F$98)+1400)+'Cálculos'!$F$123)*'Cálculos'!$F$266)+('Cálculos'!$F$204*(1+'Cálculos'!$F$205+$A$177:$A$222*('Cálculos'!$F$290=3)*'Cálculos'!$F$103)+'Cálculos'!$F$206)*('Cálculos'!$F$257+'Cálculos'!$F$124*(1+2.78*('Cálculos'!$F$199+(($C196)-$A$177:$A$222)*'Cálculos'!$F$98)/(('Cálculos'!$F$199+(($C196)-$A$177:$A$222)*'Cálculos'!$F$98)+1400)+'Cálculos'!$F$122)*'Cálculos'!$F$262+'Cálculos'!$F$125*(1+2.78*('Cálculos'!$F$199+(($C196)-$A$177:$A$222)*'Cálculos'!$F$98)/(('Cálculos'!$F$199+(($C196)-$A$177:$A$222)*'Cálculos'!$F$98)+1400)+'Cálculos'!$F$123)*'Cálculos'!$F$267)+('Cálculos'!$F$258+'Cálculos'!$F$124*(1+2.78*('Cálculos'!$F$199+(($C196)-$A$177:$A$222)*'Cálculos'!$F$98)/(('Cálculos'!$F$199+(($C196)-$A$177:$A$222)*'Cálculos'!$F$98)+1400)+'Cálculos'!$F$122)*'Cálculos'!$F$263+'Cálculos'!$F$125*(1+2.78*('Cálculos'!$F$199+(($C196)-$A$177:$A$222)*'Cálculos'!$F$98)/(('Cálculos'!$F$199+(($C196)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196)-$A$177:$A$222)*'Cálculos'!$F$98)/(('Cálculos'!$F$200+(($C196)-$A$177:$A$222)*'Cálculos'!$F$98)+1400)+'Cálculos'!$F$122)*'Cálculos'!$F$274+'Cálculos'!$F$125*(1+2.78*('Cálculos'!$F$200+(($C196)-$A$177:$A$222)*'Cálculos'!$F$98)/(('Cálculos'!$F$200+(($C196)-$A$177:$A$222)*'Cálculos'!$F$98)+1400)+'Cálculos'!$F$123)*'Cálculos'!$F$279)+('Cálculos'!$F$200+(($C196)-$A$177:$A$222)*'Cálculos'!$F$98)*('Cálculos'!$F$270+'Cálculos'!$F$124*(1+2.78*('Cálculos'!$F$200+(($C196)-$A$177:$A$222)*'Cálculos'!$F$98)/(('Cálculos'!$F$200+(($C196)-$A$177:$A$222)*'Cálculos'!$F$98)+1400)+'Cálculos'!$F$122)*'Cálculos'!$F$275+'Cálculos'!$F$125*(1+2.78*('Cálculos'!$F$200+(($C196)-$A$177:$A$222)*'Cálculos'!$F$98)/(('Cálculos'!$F$200+(($C196)-$A$177:$A$222)*'Cálculos'!$F$98)+1400)+'Cálculos'!$F$123)*'Cálculos'!$F$280)+('Cálculos'!$F$201*(1+'Cálculos'!$F$202+$A$177:$A$222*('Cálculos'!$F$290=2)*'Cálculos'!$F$101)+'Cálculos'!$F$203)*('Cálculos'!$F$271+'Cálculos'!$F$124*(1+2.78*('Cálculos'!$F$200+(($C196)-$A$177:$A$222)*'Cálculos'!$F$98)/(('Cálculos'!$F$200+(($C196)-$A$177:$A$222)*'Cálculos'!$F$98)+1400)+'Cálculos'!$F$122)*'Cálculos'!$F$276+'Cálculos'!$F$125*(1+2.78*('Cálculos'!$F$200+(($C196)-$A$177:$A$222)*'Cálculos'!$F$98)/(('Cálculos'!$F$200+(($C196)-$A$177:$A$222)*'Cálculos'!$F$98)+1400)+'Cálculos'!$F$123)*'Cálculos'!$F$281)+('Cálculos'!$F$204*(1+'Cálculos'!$F$205+$A$177:$A$222*('Cálculos'!$F$290=3)*'Cálculos'!$F$103)+'Cálculos'!$F$206)*('Cálculos'!$F$272+'Cálculos'!$F$124*(1+2.78*('Cálculos'!$F$200+(($C196)-$A$177:$A$222)*'Cálculos'!$F$98)/(('Cálculos'!$F$200+(($C196)-$A$177:$A$222)*'Cálculos'!$F$98)+1400)+'Cálculos'!$F$122)*'Cálculos'!$F$277+'Cálculos'!$F$125*(1+2.78*('Cálculos'!$F$200+(($C196)-$A$177:$A$222)*'Cálculos'!$F$98)/(('Cálculos'!$F$200+(($C196)-$A$177:$A$222)*'Cálculos'!$F$98)+1400)+'Cálculos'!$F$123)*'Cálculos'!$F$282)+('Cálculos'!$F$273+'Cálculos'!$F$124*(1+2.78*('Cálculos'!$F$200+(($C196)-$A$177:$A$222)*'Cálculos'!$F$98)/(('Cálculos'!$F$200+(($C196)-$A$177:$A$222)*'Cálculos'!$F$98)+1400)+'Cálculos'!$F$122)*'Cálculos'!$F$278+'Cálculos'!$F$125*(1+2.78*('Cálculos'!$F$200+(($C196)-$A$177:$A$222)*'Cálculos'!$F$98)/(('Cálculos'!$F$200+(($C196)-$A$177:$A$222)*'Cálculos'!$F$98)+1400)+'Cálculos'!$F$123)*'Cálculos'!$F$283)))))</f>
        <v>0</v>
      </c>
      <c r="E196" s="32">
        <f>IF(OR($C196&lt;0,'Cálculos'!$F$6=""),0,$B196*$D196)</f>
        <v>0</v>
      </c>
      <c r="F196" s="2"/>
      <c r="G196" s="30">
        <f>($A196&lt;=$B$224)*($A196&lt;='Cálculos'!$F$294)*(($B$224)-$A196&lt;='Cálculos'!$F$295)*(1+MIN(('Cálculos'!$F$207+$A196*'Cálculos'!$F$95),1)*('Cálculos'!$F$208+(($B$224)-$A196)*'Cálculos'!$F$96))</f>
        <v>0</v>
      </c>
      <c r="H196" s="31">
        <f>IF($B$225&lt;0,0,($A196&lt;=$B$225)*($A196&lt;='Cálculos'!$F$301)*(($B$225)-$A196&lt;='Cálculos'!$F$297)*(('Cálculos'!$F$185*(1+'Cálculos'!$F$186+$A196*('Cálculos'!$F$290=1)*'Cálculos'!$F$97+'Cálculos'!$F$305)+'Cálculos'!$F$191)*('Cálculos'!$F$209+'Cálculos'!$F$124*(1+2.78*('Cálculos'!$F$196+(($B$225)-$A196)*'Cálculos'!$F$98)/(('Cálculos'!$F$196+(($B$225)-$A196)*'Cálculos'!$F$98)+1400)+'Cálculos'!$F$122)*'Cálculos'!$F$214+'Cálculos'!$F$125*(1+2.78*('Cálculos'!$F$196+(($B$225)-$A196)*'Cálculos'!$F$98)/(('Cálculos'!$F$196+(($B$225)-$A196)*'Cálculos'!$F$98)+1400)+'Cálculos'!$F$123)*'Cálculos'!$F$219)+('Cálculos'!$F$196+(($B$225)-$A196)*'Cálculos'!$F$98)*('Cálculos'!$F$210+'Cálculos'!$F$124*(1+2.78*('Cálculos'!$F$196+(($B$225)-$A196)*'Cálculos'!$F$98)/(('Cálculos'!$F$196+(($B$225)-$A196)*'Cálculos'!$F$98)+1400)+'Cálculos'!$F$122)*'Cálculos'!$F$215+'Cálculos'!$F$125*(1+2.78*('Cálculos'!$F$196+(($B$225)-$A196)*'Cálculos'!$F$98)/(('Cálculos'!$F$196+(($B$225)-$A196)*'Cálculos'!$F$98)+1400)+'Cálculos'!$F$123)*'Cálculos'!$F$220)+('Cálculos'!$F$201*(1+'Cálculos'!$F$202+$A196*('Cálculos'!$F$290=2)*'Cálculos'!$F$101)+'Cálculos'!$F$203)*('Cálculos'!$F$211+'Cálculos'!$F$124*(1+2.78*('Cálculos'!$F$196+(($B$225)-$A196)*'Cálculos'!$F$98)/(('Cálculos'!$F$196+(($B$225)-$A196)*'Cálculos'!$F$98)+1400)+'Cálculos'!$F$122)*'Cálculos'!$F$216+'Cálculos'!$F$125*(1+2.78*('Cálculos'!$F$196+(($B$225)-$A196)*'Cálculos'!$F$98)/(('Cálculos'!$F$196+(($B$225)-$A196)*'Cálculos'!$F$98)+1400)+'Cálculos'!$F$123)*'Cálculos'!$F$221)+('Cálculos'!$F$204*(1+'Cálculos'!$F$205+$A196*('Cálculos'!$F$290=3)*'Cálculos'!$F$103)+'Cálculos'!$F$206)*('Cálculos'!$F$212+'Cálculos'!$F$124*(1+2.78*('Cálculos'!$F$196+(($B$225)-$A196)*'Cálculos'!$F$98)/(('Cálculos'!$F$196+(($B$225)-$A196)*'Cálculos'!$F$98)+1400)+'Cálculos'!$F$122)*'Cálculos'!$F$217+'Cálculos'!$F$125*(1+2.78*('Cálculos'!$F$196+(($B$225)-$A196)*'Cálculos'!$F$98)/(('Cálculos'!$F$196+(($B$225)-$A196)*'Cálculos'!$F$98)+1400)+'Cálculos'!$F$123)*'Cálculos'!$F$222)+('Cálculos'!$F$213+'Cálculos'!$F$124*(1+2.78*('Cálculos'!$F$196+(($B$225)-$A196)*'Cálculos'!$F$98)/(('Cálculos'!$F$196+(($B$225)-$A196)*'Cálculos'!$F$98)+1400)+'Cálculos'!$F$122)*'Cálculos'!$F$218+'Cálculos'!$F$125*(1+2.78*('Cálculos'!$F$196+(($B$225)-$A196)*'Cálculos'!$F$98)/(('Cálculos'!$F$196+(($B$225)-$A196)*'Cálculos'!$F$98)+1400)+'Cálculos'!$F$123)*'Cálculos'!$F$223)+('Cálculos'!$F$185*(1+'Cálculos'!$F$187+$A196*('Cálculos'!$F$290=1)*'Cálculos'!$F$97+'Cálculos'!$F$305)+'Cálculos'!$F$192)*('Cálculos'!$F$224+'Cálculos'!$F$124*(1+2.78*('Cálculos'!$F$197+(($B$225)-$A196)*'Cálculos'!$F$98)/(('Cálculos'!$F$197+(($B$225)-$A196)*'Cálculos'!$F$98)+1400)+'Cálculos'!$F$122)*'Cálculos'!$F$229+'Cálculos'!$F$125*(1+2.78*('Cálculos'!$F$197+(($B$225)-$A196)*'Cálculos'!$F$98)/(('Cálculos'!$F$197+(($B$225)-$A196)*'Cálculos'!$F$98)+1400)+'Cálculos'!$F$123)*'Cálculos'!$F$234)+('Cálculos'!$F$197+(($B$225)-$A196)*'Cálculos'!$F$98)*('Cálculos'!$F$225+'Cálculos'!$F$124*(1+2.78*('Cálculos'!$F$197+(($B$225)-$A196)*'Cálculos'!$F$98)/(('Cálculos'!$F$197+(($B$225)-$A196)*'Cálculos'!$F$98)+1400)+'Cálculos'!$F$122)*'Cálculos'!$F$230+'Cálculos'!$F$125*(1+2.78*('Cálculos'!$F$197+(($B$225)-$A196)*'Cálculos'!$F$98)/(('Cálculos'!$F$197+(($B$225)-$A196)*'Cálculos'!$F$98)+1400)+'Cálculos'!$F$123)*'Cálculos'!$F$235)+('Cálculos'!$F$201*(1+'Cálculos'!$F$202+$A196*('Cálculos'!$F$290=2)*'Cálculos'!$F$101)+'Cálculos'!$F$203)*('Cálculos'!$F$226+'Cálculos'!$F$124*(1+2.78*('Cálculos'!$F$197+(($B$225)-$A196)*'Cálculos'!$F$98)/(('Cálculos'!$F$197+(($B$225)-$A196)*'Cálculos'!$F$98)+1400)+'Cálculos'!$F$122)*'Cálculos'!$F$231+'Cálculos'!$F$125*(1+2.78*('Cálculos'!$F$197+(($B$225)-$A196)*'Cálculos'!$F$98)/(('Cálculos'!$F$197+(($B$225)-$A196)*'Cálculos'!$F$98)+1400)+'Cálculos'!$F$123)*'Cálculos'!$F$236)+('Cálculos'!$F$204*(1+'Cálculos'!$F$205+$A196*('Cálculos'!$F$290=3)*'Cálculos'!$F$103)+'Cálculos'!$F$206)*('Cálculos'!$F$227+'Cálculos'!$F$124*(1+2.78*('Cálculos'!$F$197+(($B$225)-$A196)*'Cálculos'!$F$98)/(('Cálculos'!$F$197+(($B$225)-$A196)*'Cálculos'!$F$98)+1400)+'Cálculos'!$F$122)*'Cálculos'!$F$232+'Cálculos'!$F$125*(1+2.78*('Cálculos'!$F$197+(($B$225)-$A196)*'Cálculos'!$F$98)/(('Cálculos'!$F$197+(($B$225)-$A196)*'Cálculos'!$F$98)+1400)+'Cálculos'!$F$123)*'Cálculos'!$F$237)+('Cálculos'!$F$228+'Cálculos'!$F$124*(1+2.78*('Cálculos'!$F$197+(($B$225)-$A196)*'Cálculos'!$F$98)/(('Cálculos'!$F$197+(($B$225)-$A196)*'Cálculos'!$F$98)+1400)+'Cálculos'!$F$122)*'Cálculos'!$F$233+'Cálculos'!$F$125*(1+2.78*('Cálculos'!$F$197+(($B$225)-$A196)*'Cálculos'!$F$98)/(('Cálculos'!$F$197+(($B$225)-$A196)*'Cálculos'!$F$98)+1400)+'Cálculos'!$F$123)*'Cálculos'!$F$238)+('Cálculos'!$F$185*(1+'Cálculos'!$F$188+$A196*('Cálculos'!$F$290=1)*'Cálculos'!$F$97+'Cálculos'!$F$305)+'Cálculos'!$F$193)*('Cálculos'!$F$239+'Cálculos'!$F$124*(1+2.78*('Cálculos'!$F$198+(($B$225)-$A196)*'Cálculos'!$F$98)/(('Cálculos'!$F$198+(($B$225)-$A196)*'Cálculos'!$F$98)+1400)+'Cálculos'!$F$122)*'Cálculos'!$F$244+'Cálculos'!$F$125*(1+2.78*('Cálculos'!$F$198+(($B$225)-$A196)*'Cálculos'!$F$98)/(('Cálculos'!$F$198+(($B$225)-$A196)*'Cálculos'!$F$98)+1400)+'Cálculos'!$F$123)*'Cálculos'!$F$249)+('Cálculos'!$F$198+(($B$225)-$A196)*'Cálculos'!$F$98)*('Cálculos'!$F$240+'Cálculos'!$F$124*(1+2.78*('Cálculos'!$F$198+(($B$225)-$A196)*'Cálculos'!$F$98)/(('Cálculos'!$F$198+(($B$225)-$A196)*'Cálculos'!$F$98)+1400)+'Cálculos'!$F$122)*'Cálculos'!$F$245+'Cálculos'!$F$125*(1+2.78*('Cálculos'!$F$198+(($B$225)-$A196)*'Cálculos'!$F$98)/(('Cálculos'!$F$198+(($B$225)-$A196)*'Cálculos'!$F$98)+1400)+'Cálculos'!$F$123)*'Cálculos'!$F$250)+('Cálculos'!$F$201*(1+'Cálculos'!$F$202+$A196*('Cálculos'!$F$290=2)*'Cálculos'!$F$101)+'Cálculos'!$F$203)*('Cálculos'!$F$241+'Cálculos'!$F$124*(1+2.78*('Cálculos'!$F$198+(($B$225)-$A196)*'Cálculos'!$F$98)/(('Cálculos'!$F$198+(($B$225)-$A196)*'Cálculos'!$F$98)+1400)+'Cálculos'!$F$122)*'Cálculos'!$F$246+'Cálculos'!$F$125*(1+2.78*('Cálculos'!$F$198+(($B$225)-$A196)*'Cálculos'!$F$98)/(('Cálculos'!$F$198+(($B$225)-$A196)*'Cálculos'!$F$98)+1400)+'Cálculos'!$F$123)*'Cálculos'!$F$251)+('Cálculos'!$F$204*(1+'Cálculos'!$F$205+$A196*('Cálculos'!$F$290=3)*'Cálculos'!$F$103)+'Cálculos'!$F$206)*('Cálculos'!$F$242+'Cálculos'!$F$124*(1+2.78*('Cálculos'!$F$198+(($B$225)-$A196)*'Cálculos'!$F$98)/(('Cálculos'!$F$198+(($B$225)-$A196)*'Cálculos'!$F$98)+1400)+'Cálculos'!$F$122)*'Cálculos'!$F$247+'Cálculos'!$F$125*(1+2.78*('Cálculos'!$F$198+(($B$225)-$A196)*'Cálculos'!$F$98)/(('Cálculos'!$F$198+(($B$225)-$A196)*'Cálculos'!$F$98)+1400)+'Cálculos'!$F$123)*'Cálculos'!$F$252)+('Cálculos'!$F$243+'Cálculos'!$F$124*(1+2.78*('Cálculos'!$F$198+(($B$225)-$A196)*'Cálculos'!$F$98)/(('Cálculos'!$F$198+(($B$225)-$A196)*'Cálculos'!$F$98)+1400)+'Cálculos'!$F$122)*'Cálculos'!$F$248+'Cálculos'!$F$125*(1+2.78*('Cálculos'!$F$198+(($B$225)-$A196)*'Cálculos'!$F$98)/(('Cálculos'!$F$198+(($B$225)-$A196)*'Cálculos'!$F$98)+1400)+'Cálculos'!$F$123)*'Cálculos'!$F$253)+('Cálculos'!$F$185*(1+'Cálculos'!$F$189+$A196*('Cálculos'!$F$290=1)*'Cálculos'!$F$97+'Cálculos'!$F$305)+'Cálculos'!$F$194)*('Cálculos'!$F$254+'Cálculos'!$F$124*(1+2.78*('Cálculos'!$F$199+(($B$225)-$A196)*'Cálculos'!$F$98)/(('Cálculos'!$F$199+(($B$225)-$A196)*'Cálculos'!$F$98)+1400)+'Cálculos'!$F$122)*'Cálculos'!$F$259+'Cálculos'!$F$125*(1+2.78*('Cálculos'!$F$199+(($B$225)-$A196)*'Cálculos'!$F$98)/(('Cálculos'!$F$199+(($B$225)-$A196)*'Cálculos'!$F$98)+1400)+'Cálculos'!$F$123)*'Cálculos'!$F$264)+('Cálculos'!$F$199+(($B$225)-$A196)*'Cálculos'!$F$98)*('Cálculos'!$F$255+'Cálculos'!$F$124*(1+2.78*('Cálculos'!$F$199+(($B$225)-$A196)*'Cálculos'!$F$98)/(('Cálculos'!$F$199+(($B$225)-$A196)*'Cálculos'!$F$98)+1400)+'Cálculos'!$F$122)*'Cálculos'!$F$260+'Cálculos'!$F$125*(1+2.78*('Cálculos'!$F$199+(($B$225)-$A196)*'Cálculos'!$F$98)/(('Cálculos'!$F$199+(($B$225)-$A196)*'Cálculos'!$F$98)+1400)+'Cálculos'!$F$123)*'Cálculos'!$F$265)+('Cálculos'!$F$201*(1+'Cálculos'!$F$202+$A196*('Cálculos'!$F$290=2)*'Cálculos'!$F$101)+'Cálculos'!$F$203)*('Cálculos'!$F$256+'Cálculos'!$F$124*(1+2.78*('Cálculos'!$F$199+(($B$225)-$A196)*'Cálculos'!$F$98)/(('Cálculos'!$F$199+(($B$225)-$A196)*'Cálculos'!$F$98)+1400)+'Cálculos'!$F$122)*'Cálculos'!$F$261+'Cálculos'!$F$125*(1+2.78*('Cálculos'!$F$199+(($B$225)-$A196)*'Cálculos'!$F$98)/(('Cálculos'!$F$199+(($B$225)-$A196)*'Cálculos'!$F$98)+1400)+'Cálculos'!$F$123)*'Cálculos'!$F$266)+('Cálculos'!$F$204*(1+'Cálculos'!$F$205+$A196*('Cálculos'!$F$290=3)*'Cálculos'!$F$103)+'Cálculos'!$F$206)*('Cálculos'!$F$257+'Cálculos'!$F$124*(1+2.78*('Cálculos'!$F$199+(($B$225)-$A196)*'Cálculos'!$F$98)/(('Cálculos'!$F$199+(($B$225)-$A196)*'Cálculos'!$F$98)+1400)+'Cálculos'!$F$122)*'Cálculos'!$F$262+'Cálculos'!$F$125*(1+2.78*('Cálculos'!$F$199+(($B$225)-$A196)*'Cálculos'!$F$98)/(('Cálculos'!$F$199+(($B$225)-$A196)*'Cálculos'!$F$98)+1400)+'Cálculos'!$F$123)*'Cálculos'!$F$267)+('Cálculos'!$F$258+'Cálculos'!$F$124*(1+2.78*('Cálculos'!$F$199+(($B$225)-$A196)*'Cálculos'!$F$98)/(('Cálculos'!$F$199+(($B$225)-$A196)*'Cálculos'!$F$98)+1400)+'Cálculos'!$F$122)*'Cálculos'!$F$263+'Cálculos'!$F$125*(1+2.78*('Cálculos'!$F$199+(($B$225)-$A196)*'Cálculos'!$F$98)/(('Cálculos'!$F$199+(($B$225)-$A196)*'Cálculos'!$F$98)+1400)+'Cálculos'!$F$123)*'Cálculos'!$F$268)+('Cálculos'!$F$185*(1+'Cálculos'!$F$190+$A196*('Cálculos'!$F$290=1)*'Cálculos'!$F$97+'Cálculos'!$F$305)+'Cálculos'!$F$195)*('Cálculos'!$F$269+'Cálculos'!$F$124*(1+2.78*('Cálculos'!$F$200+(($B$225)-$A196)*'Cálculos'!$F$98)/(('Cálculos'!$F$200+(($B$225)-$A196)*'Cálculos'!$F$98)+1400)+'Cálculos'!$F$122)*'Cálculos'!$F$274+'Cálculos'!$F$125*(1+2.78*('Cálculos'!$F$200+(($B$225)-$A196)*'Cálculos'!$F$98)/(('Cálculos'!$F$200+(($B$225)-$A196)*'Cálculos'!$F$98)+1400)+'Cálculos'!$F$123)*'Cálculos'!$F$279)+('Cálculos'!$F$200+(($B$225)-$A196)*'Cálculos'!$F$98)*('Cálculos'!$F$270+'Cálculos'!$F$124*(1+2.78*('Cálculos'!$F$200+(($B$225)-$A196)*'Cálculos'!$F$98)/(('Cálculos'!$F$200+(($B$225)-$A196)*'Cálculos'!$F$98)+1400)+'Cálculos'!$F$122)*'Cálculos'!$F$275+'Cálculos'!$F$125*(1+2.78*('Cálculos'!$F$200+(($B$225)-$A196)*'Cálculos'!$F$98)/(('Cálculos'!$F$200+(($B$225)-$A196)*'Cálculos'!$F$98)+1400)+'Cálculos'!$F$123)*'Cálculos'!$F$280)+('Cálculos'!$F$201*(1+'Cálculos'!$F$202+$A196*('Cálculos'!$F$290=2)*'Cálculos'!$F$101)+'Cálculos'!$F$203)*('Cálculos'!$F$271+'Cálculos'!$F$124*(1+2.78*('Cálculos'!$F$200+(($B$225)-$A196)*'Cálculos'!$F$98)/(('Cálculos'!$F$200+(($B$225)-$A196)*'Cálculos'!$F$98)+1400)+'Cálculos'!$F$122)*'Cálculos'!$F$276+'Cálculos'!$F$125*(1+2.78*('Cálculos'!$F$200+(($B$225)-$A196)*'Cálculos'!$F$98)/(('Cálculos'!$F$200+(($B$225)-$A196)*'Cálculos'!$F$98)+1400)+'Cálculos'!$F$123)*'Cálculos'!$F$281)+('Cálculos'!$F$204*(1+'Cálculos'!$F$205+$A196*('Cálculos'!$F$290=3)*'Cálculos'!$F$103)+'Cálculos'!$F$206)*('Cálculos'!$F$272+'Cálculos'!$F$124*(1+2.78*('Cálculos'!$F$200+(($B$225)-$A196)*'Cálculos'!$F$98)/(('Cálculos'!$F$200+(($B$225)-$A196)*'Cálculos'!$F$98)+1400)+'Cálculos'!$F$122)*'Cálculos'!$F$277+'Cálculos'!$F$125*(1+2.78*('Cálculos'!$F$200+(($B$225)-$A196)*'Cálculos'!$F$98)/(('Cálculos'!$F$200+(($B$225)-$A196)*'Cálculos'!$F$98)+1400)+'Cálculos'!$F$123)*'Cálculos'!$F$282)+('Cálculos'!$F$273+'Cálculos'!$F$124*(1+2.78*('Cálculos'!$F$200+(($B$225)-$A196)*'Cálculos'!$F$98)/(('Cálculos'!$F$200+(($B$225)-$A196)*'Cálculos'!$F$98)+1400)+'Cálculos'!$F$122)*'Cálculos'!$F$278+'Cálculos'!$F$125*(1+2.78*('Cálculos'!$F$200+(($B$225)-$A196)*'Cálculos'!$F$98)/(('Cálculos'!$F$200+(($B$225)-$A196)*'Cálculos'!$F$98)+1400)+'Cálculos'!$F$123)*'Cálculos'!$F$283)))</f>
        <v>0</v>
      </c>
    </row>
    <row r="197" ht="15.75" customHeight="1">
      <c r="A197" s="2">
        <v>20.0</v>
      </c>
      <c r="B197" s="30">
        <f>SUMPRODUCT(MAX(($A$177:$A$222&lt;=$A197)*($A$177:$A$222&lt;='Cálculos'!$F$294)*(($A197)-$A$177:$A$222&lt;='Cálculos'!$F$295)*(1+(('Cálculos'!$F$207+$A$177:$A$222*'Cálculos'!$F$95)-(('Cálculos'!$F$207+$A$177:$A$222*'Cálculos'!$F$95)&gt;1)*(('Cálculos'!$F$207+$A$177:$A$222*'Cálculos'!$F$95)-1))*('Cálculos'!$F$208+(($A197)-$A$177:$A$222)*'Cálculos'!$F$96))))</f>
        <v>2.48516</v>
      </c>
      <c r="C197" s="2">
        <f>'Cálculos'!$F$303-$A197</f>
        <v>-2</v>
      </c>
      <c r="D197" s="31">
        <f>IF($C197&lt;0,0,SUMPRODUCT(MAX(($A$177:$A$222&lt;=$C197)*($A$177:$A$222&lt;='Cálculos'!$F$301)*(($C197)-$A$177:$A$222&lt;='Cálculos'!$F$297)*(('Cálculos'!$F$185*(1+'Cálculos'!$F$186+$A$177:$A$222*('Cálculos'!$F$290=1)*'Cálculos'!$F$97+'Cálculos'!$F$305)+'Cálculos'!$F$191)*('Cálculos'!$F$209+'Cálculos'!$F$124*(1+2.78*('Cálculos'!$F$196+(($C197)-$A$177:$A$222)*'Cálculos'!$F$98)/(('Cálculos'!$F$196+(($C197)-$A$177:$A$222)*'Cálculos'!$F$98)+1400)+'Cálculos'!$F$122)*'Cálculos'!$F$214+'Cálculos'!$F$125*(1+2.78*('Cálculos'!$F$196+(($C197)-$A$177:$A$222)*'Cálculos'!$F$98)/(('Cálculos'!$F$196+(($C197)-$A$177:$A$222)*'Cálculos'!$F$98)+1400)+'Cálculos'!$F$123)*'Cálculos'!$F$219)+('Cálculos'!$F$196+(($C197)-$A$177:$A$222)*'Cálculos'!$F$98)*('Cálculos'!$F$210+'Cálculos'!$F$124*(1+2.78*('Cálculos'!$F$196+(($C197)-$A$177:$A$222)*'Cálculos'!$F$98)/(('Cálculos'!$F$196+(($C197)-$A$177:$A$222)*'Cálculos'!$F$98)+1400)+'Cálculos'!$F$122)*'Cálculos'!$F$215+'Cálculos'!$F$125*(1+2.78*('Cálculos'!$F$196+(($C197)-$A$177:$A$222)*'Cálculos'!$F$98)/(('Cálculos'!$F$196+(($C197)-$A$177:$A$222)*'Cálculos'!$F$98)+1400)+'Cálculos'!$F$123)*'Cálculos'!$F$220)+('Cálculos'!$F$201*(1+'Cálculos'!$F$202+$A$177:$A$222*('Cálculos'!$F$290=2)*'Cálculos'!$F$101)+'Cálculos'!$F$203)*('Cálculos'!$F$211+'Cálculos'!$F$124*(1+2.78*('Cálculos'!$F$196+(($C197)-$A$177:$A$222)*'Cálculos'!$F$98)/(('Cálculos'!$F$196+(($C197)-$A$177:$A$222)*'Cálculos'!$F$98)+1400)+'Cálculos'!$F$122)*'Cálculos'!$F$216+'Cálculos'!$F$125*(1+2.78*('Cálculos'!$F$196+(($C197)-$A$177:$A$222)*'Cálculos'!$F$98)/(('Cálculos'!$F$196+(($C197)-$A$177:$A$222)*'Cálculos'!$F$98)+1400)+'Cálculos'!$F$123)*'Cálculos'!$F$221)+('Cálculos'!$F$204*(1+'Cálculos'!$F$205+$A$177:$A$222*('Cálculos'!$F$290=3)*'Cálculos'!$F$103)+'Cálculos'!$F$206)*('Cálculos'!$F$212+'Cálculos'!$F$124*(1+2.78*('Cálculos'!$F$196+(($C197)-$A$177:$A$222)*'Cálculos'!$F$98)/(('Cálculos'!$F$196+(($C197)-$A$177:$A$222)*'Cálculos'!$F$98)+1400)+'Cálculos'!$F$122)*'Cálculos'!$F$217+'Cálculos'!$F$125*(1+2.78*('Cálculos'!$F$196+(($C197)-$A$177:$A$222)*'Cálculos'!$F$98)/(('Cálculos'!$F$196+(($C197)-$A$177:$A$222)*'Cálculos'!$F$98)+1400)+'Cálculos'!$F$123)*'Cálculos'!$F$222)+('Cálculos'!$F$213+'Cálculos'!$F$124*(1+2.78*('Cálculos'!$F$196+(($C197)-$A$177:$A$222)*'Cálculos'!$F$98)/(('Cálculos'!$F$196+(($C197)-$A$177:$A$222)*'Cálculos'!$F$98)+1400)+'Cálculos'!$F$122)*'Cálculos'!$F$218+'Cálculos'!$F$125*(1+2.78*('Cálculos'!$F$196+(($C197)-$A$177:$A$222)*'Cálculos'!$F$98)/(('Cálculos'!$F$196+(($C197)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197)-$A$177:$A$222)*'Cálculos'!$F$98)/(('Cálculos'!$F$197+(($C197)-$A$177:$A$222)*'Cálculos'!$F$98)+1400)+'Cálculos'!$F$122)*'Cálculos'!$F$229+'Cálculos'!$F$125*(1+2.78*('Cálculos'!$F$197+(($C197)-$A$177:$A$222)*'Cálculos'!$F$98)/(('Cálculos'!$F$197+(($C197)-$A$177:$A$222)*'Cálculos'!$F$98)+1400)+'Cálculos'!$F$123)*'Cálculos'!$F$234)+('Cálculos'!$F$197+(($C197)-$A$177:$A$222)*'Cálculos'!$F$98)*('Cálculos'!$F$225+'Cálculos'!$F$124*(1+2.78*('Cálculos'!$F$197+(($C197)-$A$177:$A$222)*'Cálculos'!$F$98)/(('Cálculos'!$F$197+(($C197)-$A$177:$A$222)*'Cálculos'!$F$98)+1400)+'Cálculos'!$F$122)*'Cálculos'!$F$230+'Cálculos'!$F$125*(1+2.78*('Cálculos'!$F$197+(($C197)-$A$177:$A$222)*'Cálculos'!$F$98)/(('Cálculos'!$F$197+(($C197)-$A$177:$A$222)*'Cálculos'!$F$98)+1400)+'Cálculos'!$F$123)*'Cálculos'!$F$235)+('Cálculos'!$F$201*(1+'Cálculos'!$F$202+$A$177:$A$222*('Cálculos'!$F$290=2)*'Cálculos'!$F$101)+'Cálculos'!$F$203)*('Cálculos'!$F$226+'Cálculos'!$F$124*(1+2.78*('Cálculos'!$F$197+(($C197)-$A$177:$A$222)*'Cálculos'!$F$98)/(('Cálculos'!$F$197+(($C197)-$A$177:$A$222)*'Cálculos'!$F$98)+1400)+'Cálculos'!$F$122)*'Cálculos'!$F$231+'Cálculos'!$F$125*(1+2.78*('Cálculos'!$F$197+(($C197)-$A$177:$A$222)*'Cálculos'!$F$98)/(('Cálculos'!$F$197+(($C197)-$A$177:$A$222)*'Cálculos'!$F$98)+1400)+'Cálculos'!$F$123)*'Cálculos'!$F$236)+('Cálculos'!$F$204*(1+'Cálculos'!$F$205+$A$177:$A$222*('Cálculos'!$F$290=3)*'Cálculos'!$F$103)+'Cálculos'!$F$206)*('Cálculos'!$F$227+'Cálculos'!$F$124*(1+2.78*('Cálculos'!$F$197+(($C197)-$A$177:$A$222)*'Cálculos'!$F$98)/(('Cálculos'!$F$197+(($C197)-$A$177:$A$222)*'Cálculos'!$F$98)+1400)+'Cálculos'!$F$122)*'Cálculos'!$F$232+'Cálculos'!$F$125*(1+2.78*('Cálculos'!$F$197+(($C197)-$A$177:$A$222)*'Cálculos'!$F$98)/(('Cálculos'!$F$197+(($C197)-$A$177:$A$222)*'Cálculos'!$F$98)+1400)+'Cálculos'!$F$123)*'Cálculos'!$F$237)+('Cálculos'!$F$228+'Cálculos'!$F$124*(1+2.78*('Cálculos'!$F$197+(($C197)-$A$177:$A$222)*'Cálculos'!$F$98)/(('Cálculos'!$F$197+(($C197)-$A$177:$A$222)*'Cálculos'!$F$98)+1400)+'Cálculos'!$F$122)*'Cálculos'!$F$233+'Cálculos'!$F$125*(1+2.78*('Cálculos'!$F$197+(($C197)-$A$177:$A$222)*'Cálculos'!$F$98)/(('Cálculos'!$F$197+(($C197)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197)-$A$177:$A$222)*'Cálculos'!$F$98)/(('Cálculos'!$F$198+(($C197)-$A$177:$A$222)*'Cálculos'!$F$98)+1400)+'Cálculos'!$F$122)*'Cálculos'!$F$244+'Cálculos'!$F$125*(1+2.78*('Cálculos'!$F$198+(($C197)-$A$177:$A$222)*'Cálculos'!$F$98)/(('Cálculos'!$F$198+(($C197)-$A$177:$A$222)*'Cálculos'!$F$98)+1400)+'Cálculos'!$F$123)*'Cálculos'!$F$249)+('Cálculos'!$F$198+(($C197)-$A$177:$A$222)*'Cálculos'!$F$98)*('Cálculos'!$F$240+'Cálculos'!$F$124*(1+2.78*('Cálculos'!$F$198+(($C197)-$A$177:$A$222)*'Cálculos'!$F$98)/(('Cálculos'!$F$198+(($C197)-$A$177:$A$222)*'Cálculos'!$F$98)+1400)+'Cálculos'!$F$122)*'Cálculos'!$F$245+'Cálculos'!$F$125*(1+2.78*('Cálculos'!$F$198+(($C197)-$A$177:$A$222)*'Cálculos'!$F$98)/(('Cálculos'!$F$198+(($C197)-$A$177:$A$222)*'Cálculos'!$F$98)+1400)+'Cálculos'!$F$123)*'Cálculos'!$F$250)+('Cálculos'!$F$201*(1+'Cálculos'!$F$202+$A$177:$A$222*('Cálculos'!$F$290=2)*'Cálculos'!$F$101)+'Cálculos'!$F$203)*('Cálculos'!$F$241+'Cálculos'!$F$124*(1+2.78*('Cálculos'!$F$198+(($C197)-$A$177:$A$222)*'Cálculos'!$F$98)/(('Cálculos'!$F$198+(($C197)-$A$177:$A$222)*'Cálculos'!$F$98)+1400)+'Cálculos'!$F$122)*'Cálculos'!$F$246+'Cálculos'!$F$125*(1+2.78*('Cálculos'!$F$198+(($C197)-$A$177:$A$222)*'Cálculos'!$F$98)/(('Cálculos'!$F$198+(($C197)-$A$177:$A$222)*'Cálculos'!$F$98)+1400)+'Cálculos'!$F$123)*'Cálculos'!$F$251)+('Cálculos'!$F$204*(1+'Cálculos'!$F$205+$A$177:$A$222*('Cálculos'!$F$290=3)*'Cálculos'!$F$103)+'Cálculos'!$F$206)*('Cálculos'!$F$242+'Cálculos'!$F$124*(1+2.78*('Cálculos'!$F$198+(($C197)-$A$177:$A$222)*'Cálculos'!$F$98)/(('Cálculos'!$F$198+(($C197)-$A$177:$A$222)*'Cálculos'!$F$98)+1400)+'Cálculos'!$F$122)*'Cálculos'!$F$247+'Cálculos'!$F$125*(1+2.78*('Cálculos'!$F$198+(($C197)-$A$177:$A$222)*'Cálculos'!$F$98)/(('Cálculos'!$F$198+(($C197)-$A$177:$A$222)*'Cálculos'!$F$98)+1400)+'Cálculos'!$F$123)*'Cálculos'!$F$252)+('Cálculos'!$F$243+'Cálculos'!$F$124*(1+2.78*('Cálculos'!$F$198+(($C197)-$A$177:$A$222)*'Cálculos'!$F$98)/(('Cálculos'!$F$198+(($C197)-$A$177:$A$222)*'Cálculos'!$F$98)+1400)+'Cálculos'!$F$122)*'Cálculos'!$F$248+'Cálculos'!$F$125*(1+2.78*('Cálculos'!$F$198+(($C197)-$A$177:$A$222)*'Cálculos'!$F$98)/(('Cálculos'!$F$198+(($C197)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197)-$A$177:$A$222)*'Cálculos'!$F$98)/(('Cálculos'!$F$199+(($C197)-$A$177:$A$222)*'Cálculos'!$F$98)+1400)+'Cálculos'!$F$122)*'Cálculos'!$F$259+'Cálculos'!$F$125*(1+2.78*('Cálculos'!$F$199+(($C197)-$A$177:$A$222)*'Cálculos'!$F$98)/(('Cálculos'!$F$199+(($C197)-$A$177:$A$222)*'Cálculos'!$F$98)+1400)+'Cálculos'!$F$123)*'Cálculos'!$F$264)+('Cálculos'!$F$199+(($C197)-$A$177:$A$222)*'Cálculos'!$F$98)*('Cálculos'!$F$255+'Cálculos'!$F$124*(1+2.78*('Cálculos'!$F$199+(($C197)-$A$177:$A$222)*'Cálculos'!$F$98)/(('Cálculos'!$F$199+(($C197)-$A$177:$A$222)*'Cálculos'!$F$98)+1400)+'Cálculos'!$F$122)*'Cálculos'!$F$260+'Cálculos'!$F$125*(1+2.78*('Cálculos'!$F$199+(($C197)-$A$177:$A$222)*'Cálculos'!$F$98)/(('Cálculos'!$F$199+(($C197)-$A$177:$A$222)*'Cálculos'!$F$98)+1400)+'Cálculos'!$F$123)*'Cálculos'!$F$265)+('Cálculos'!$F$201*(1+'Cálculos'!$F$202+$A$177:$A$222*('Cálculos'!$F$290=2)*'Cálculos'!$F$101)+'Cálculos'!$F$203)*('Cálculos'!$F$256+'Cálculos'!$F$124*(1+2.78*('Cálculos'!$F$199+(($C197)-$A$177:$A$222)*'Cálculos'!$F$98)/(('Cálculos'!$F$199+(($C197)-$A$177:$A$222)*'Cálculos'!$F$98)+1400)+'Cálculos'!$F$122)*'Cálculos'!$F$261+'Cálculos'!$F$125*(1+2.78*('Cálculos'!$F$199+(($C197)-$A$177:$A$222)*'Cálculos'!$F$98)/(('Cálculos'!$F$199+(($C197)-$A$177:$A$222)*'Cálculos'!$F$98)+1400)+'Cálculos'!$F$123)*'Cálculos'!$F$266)+('Cálculos'!$F$204*(1+'Cálculos'!$F$205+$A$177:$A$222*('Cálculos'!$F$290=3)*'Cálculos'!$F$103)+'Cálculos'!$F$206)*('Cálculos'!$F$257+'Cálculos'!$F$124*(1+2.78*('Cálculos'!$F$199+(($C197)-$A$177:$A$222)*'Cálculos'!$F$98)/(('Cálculos'!$F$199+(($C197)-$A$177:$A$222)*'Cálculos'!$F$98)+1400)+'Cálculos'!$F$122)*'Cálculos'!$F$262+'Cálculos'!$F$125*(1+2.78*('Cálculos'!$F$199+(($C197)-$A$177:$A$222)*'Cálculos'!$F$98)/(('Cálculos'!$F$199+(($C197)-$A$177:$A$222)*'Cálculos'!$F$98)+1400)+'Cálculos'!$F$123)*'Cálculos'!$F$267)+('Cálculos'!$F$258+'Cálculos'!$F$124*(1+2.78*('Cálculos'!$F$199+(($C197)-$A$177:$A$222)*'Cálculos'!$F$98)/(('Cálculos'!$F$199+(($C197)-$A$177:$A$222)*'Cálculos'!$F$98)+1400)+'Cálculos'!$F$122)*'Cálculos'!$F$263+'Cálculos'!$F$125*(1+2.78*('Cálculos'!$F$199+(($C197)-$A$177:$A$222)*'Cálculos'!$F$98)/(('Cálculos'!$F$199+(($C197)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197)-$A$177:$A$222)*'Cálculos'!$F$98)/(('Cálculos'!$F$200+(($C197)-$A$177:$A$222)*'Cálculos'!$F$98)+1400)+'Cálculos'!$F$122)*'Cálculos'!$F$274+'Cálculos'!$F$125*(1+2.78*('Cálculos'!$F$200+(($C197)-$A$177:$A$222)*'Cálculos'!$F$98)/(('Cálculos'!$F$200+(($C197)-$A$177:$A$222)*'Cálculos'!$F$98)+1400)+'Cálculos'!$F$123)*'Cálculos'!$F$279)+('Cálculos'!$F$200+(($C197)-$A$177:$A$222)*'Cálculos'!$F$98)*('Cálculos'!$F$270+'Cálculos'!$F$124*(1+2.78*('Cálculos'!$F$200+(($C197)-$A$177:$A$222)*'Cálculos'!$F$98)/(('Cálculos'!$F$200+(($C197)-$A$177:$A$222)*'Cálculos'!$F$98)+1400)+'Cálculos'!$F$122)*'Cálculos'!$F$275+'Cálculos'!$F$125*(1+2.78*('Cálculos'!$F$200+(($C197)-$A$177:$A$222)*'Cálculos'!$F$98)/(('Cálculos'!$F$200+(($C197)-$A$177:$A$222)*'Cálculos'!$F$98)+1400)+'Cálculos'!$F$123)*'Cálculos'!$F$280)+('Cálculos'!$F$201*(1+'Cálculos'!$F$202+$A$177:$A$222*('Cálculos'!$F$290=2)*'Cálculos'!$F$101)+'Cálculos'!$F$203)*('Cálculos'!$F$271+'Cálculos'!$F$124*(1+2.78*('Cálculos'!$F$200+(($C197)-$A$177:$A$222)*'Cálculos'!$F$98)/(('Cálculos'!$F$200+(($C197)-$A$177:$A$222)*'Cálculos'!$F$98)+1400)+'Cálculos'!$F$122)*'Cálculos'!$F$276+'Cálculos'!$F$125*(1+2.78*('Cálculos'!$F$200+(($C197)-$A$177:$A$222)*'Cálculos'!$F$98)/(('Cálculos'!$F$200+(($C197)-$A$177:$A$222)*'Cálculos'!$F$98)+1400)+'Cálculos'!$F$123)*'Cálculos'!$F$281)+('Cálculos'!$F$204*(1+'Cálculos'!$F$205+$A$177:$A$222*('Cálculos'!$F$290=3)*'Cálculos'!$F$103)+'Cálculos'!$F$206)*('Cálculos'!$F$272+'Cálculos'!$F$124*(1+2.78*('Cálculos'!$F$200+(($C197)-$A$177:$A$222)*'Cálculos'!$F$98)/(('Cálculos'!$F$200+(($C197)-$A$177:$A$222)*'Cálculos'!$F$98)+1400)+'Cálculos'!$F$122)*'Cálculos'!$F$277+'Cálculos'!$F$125*(1+2.78*('Cálculos'!$F$200+(($C197)-$A$177:$A$222)*'Cálculos'!$F$98)/(('Cálculos'!$F$200+(($C197)-$A$177:$A$222)*'Cálculos'!$F$98)+1400)+'Cálculos'!$F$123)*'Cálculos'!$F$282)+('Cálculos'!$F$273+'Cálculos'!$F$124*(1+2.78*('Cálculos'!$F$200+(($C197)-$A$177:$A$222)*'Cálculos'!$F$98)/(('Cálculos'!$F$200+(($C197)-$A$177:$A$222)*'Cálculos'!$F$98)+1400)+'Cálculos'!$F$122)*'Cálculos'!$F$278+'Cálculos'!$F$125*(1+2.78*('Cálculos'!$F$200+(($C197)-$A$177:$A$222)*'Cálculos'!$F$98)/(('Cálculos'!$F$200+(($C197)-$A$177:$A$222)*'Cálculos'!$F$98)+1400)+'Cálculos'!$F$123)*'Cálculos'!$F$283)))))</f>
        <v>0</v>
      </c>
      <c r="E197" s="32">
        <f>IF(OR($C197&lt;0,'Cálculos'!$F$6=""),0,$B197*$D197)</f>
        <v>0</v>
      </c>
      <c r="F197" s="2"/>
      <c r="G197" s="30">
        <f>($A197&lt;=$B$224)*($A197&lt;='Cálculos'!$F$294)*(($B$224)-$A197&lt;='Cálculos'!$F$295)*(1+MIN(('Cálculos'!$F$207+$A197*'Cálculos'!$F$95),1)*('Cálculos'!$F$208+(($B$224)-$A197)*'Cálculos'!$F$96))</f>
        <v>0</v>
      </c>
      <c r="H197" s="31">
        <f>IF($B$225&lt;0,0,($A197&lt;=$B$225)*($A197&lt;='Cálculos'!$F$301)*(($B$225)-$A197&lt;='Cálculos'!$F$297)*(('Cálculos'!$F$185*(1+'Cálculos'!$F$186+$A197*('Cálculos'!$F$290=1)*'Cálculos'!$F$97+'Cálculos'!$F$305)+'Cálculos'!$F$191)*('Cálculos'!$F$209+'Cálculos'!$F$124*(1+2.78*('Cálculos'!$F$196+(($B$225)-$A197)*'Cálculos'!$F$98)/(('Cálculos'!$F$196+(($B$225)-$A197)*'Cálculos'!$F$98)+1400)+'Cálculos'!$F$122)*'Cálculos'!$F$214+'Cálculos'!$F$125*(1+2.78*('Cálculos'!$F$196+(($B$225)-$A197)*'Cálculos'!$F$98)/(('Cálculos'!$F$196+(($B$225)-$A197)*'Cálculos'!$F$98)+1400)+'Cálculos'!$F$123)*'Cálculos'!$F$219)+('Cálculos'!$F$196+(($B$225)-$A197)*'Cálculos'!$F$98)*('Cálculos'!$F$210+'Cálculos'!$F$124*(1+2.78*('Cálculos'!$F$196+(($B$225)-$A197)*'Cálculos'!$F$98)/(('Cálculos'!$F$196+(($B$225)-$A197)*'Cálculos'!$F$98)+1400)+'Cálculos'!$F$122)*'Cálculos'!$F$215+'Cálculos'!$F$125*(1+2.78*('Cálculos'!$F$196+(($B$225)-$A197)*'Cálculos'!$F$98)/(('Cálculos'!$F$196+(($B$225)-$A197)*'Cálculos'!$F$98)+1400)+'Cálculos'!$F$123)*'Cálculos'!$F$220)+('Cálculos'!$F$201*(1+'Cálculos'!$F$202+$A197*('Cálculos'!$F$290=2)*'Cálculos'!$F$101)+'Cálculos'!$F$203)*('Cálculos'!$F$211+'Cálculos'!$F$124*(1+2.78*('Cálculos'!$F$196+(($B$225)-$A197)*'Cálculos'!$F$98)/(('Cálculos'!$F$196+(($B$225)-$A197)*'Cálculos'!$F$98)+1400)+'Cálculos'!$F$122)*'Cálculos'!$F$216+'Cálculos'!$F$125*(1+2.78*('Cálculos'!$F$196+(($B$225)-$A197)*'Cálculos'!$F$98)/(('Cálculos'!$F$196+(($B$225)-$A197)*'Cálculos'!$F$98)+1400)+'Cálculos'!$F$123)*'Cálculos'!$F$221)+('Cálculos'!$F$204*(1+'Cálculos'!$F$205+$A197*('Cálculos'!$F$290=3)*'Cálculos'!$F$103)+'Cálculos'!$F$206)*('Cálculos'!$F$212+'Cálculos'!$F$124*(1+2.78*('Cálculos'!$F$196+(($B$225)-$A197)*'Cálculos'!$F$98)/(('Cálculos'!$F$196+(($B$225)-$A197)*'Cálculos'!$F$98)+1400)+'Cálculos'!$F$122)*'Cálculos'!$F$217+'Cálculos'!$F$125*(1+2.78*('Cálculos'!$F$196+(($B$225)-$A197)*'Cálculos'!$F$98)/(('Cálculos'!$F$196+(($B$225)-$A197)*'Cálculos'!$F$98)+1400)+'Cálculos'!$F$123)*'Cálculos'!$F$222)+('Cálculos'!$F$213+'Cálculos'!$F$124*(1+2.78*('Cálculos'!$F$196+(($B$225)-$A197)*'Cálculos'!$F$98)/(('Cálculos'!$F$196+(($B$225)-$A197)*'Cálculos'!$F$98)+1400)+'Cálculos'!$F$122)*'Cálculos'!$F$218+'Cálculos'!$F$125*(1+2.78*('Cálculos'!$F$196+(($B$225)-$A197)*'Cálculos'!$F$98)/(('Cálculos'!$F$196+(($B$225)-$A197)*'Cálculos'!$F$98)+1400)+'Cálculos'!$F$123)*'Cálculos'!$F$223)+('Cálculos'!$F$185*(1+'Cálculos'!$F$187+$A197*('Cálculos'!$F$290=1)*'Cálculos'!$F$97+'Cálculos'!$F$305)+'Cálculos'!$F$192)*('Cálculos'!$F$224+'Cálculos'!$F$124*(1+2.78*('Cálculos'!$F$197+(($B$225)-$A197)*'Cálculos'!$F$98)/(('Cálculos'!$F$197+(($B$225)-$A197)*'Cálculos'!$F$98)+1400)+'Cálculos'!$F$122)*'Cálculos'!$F$229+'Cálculos'!$F$125*(1+2.78*('Cálculos'!$F$197+(($B$225)-$A197)*'Cálculos'!$F$98)/(('Cálculos'!$F$197+(($B$225)-$A197)*'Cálculos'!$F$98)+1400)+'Cálculos'!$F$123)*'Cálculos'!$F$234)+('Cálculos'!$F$197+(($B$225)-$A197)*'Cálculos'!$F$98)*('Cálculos'!$F$225+'Cálculos'!$F$124*(1+2.78*('Cálculos'!$F$197+(($B$225)-$A197)*'Cálculos'!$F$98)/(('Cálculos'!$F$197+(($B$225)-$A197)*'Cálculos'!$F$98)+1400)+'Cálculos'!$F$122)*'Cálculos'!$F$230+'Cálculos'!$F$125*(1+2.78*('Cálculos'!$F$197+(($B$225)-$A197)*'Cálculos'!$F$98)/(('Cálculos'!$F$197+(($B$225)-$A197)*'Cálculos'!$F$98)+1400)+'Cálculos'!$F$123)*'Cálculos'!$F$235)+('Cálculos'!$F$201*(1+'Cálculos'!$F$202+$A197*('Cálculos'!$F$290=2)*'Cálculos'!$F$101)+'Cálculos'!$F$203)*('Cálculos'!$F$226+'Cálculos'!$F$124*(1+2.78*('Cálculos'!$F$197+(($B$225)-$A197)*'Cálculos'!$F$98)/(('Cálculos'!$F$197+(($B$225)-$A197)*'Cálculos'!$F$98)+1400)+'Cálculos'!$F$122)*'Cálculos'!$F$231+'Cálculos'!$F$125*(1+2.78*('Cálculos'!$F$197+(($B$225)-$A197)*'Cálculos'!$F$98)/(('Cálculos'!$F$197+(($B$225)-$A197)*'Cálculos'!$F$98)+1400)+'Cálculos'!$F$123)*'Cálculos'!$F$236)+('Cálculos'!$F$204*(1+'Cálculos'!$F$205+$A197*('Cálculos'!$F$290=3)*'Cálculos'!$F$103)+'Cálculos'!$F$206)*('Cálculos'!$F$227+'Cálculos'!$F$124*(1+2.78*('Cálculos'!$F$197+(($B$225)-$A197)*'Cálculos'!$F$98)/(('Cálculos'!$F$197+(($B$225)-$A197)*'Cálculos'!$F$98)+1400)+'Cálculos'!$F$122)*'Cálculos'!$F$232+'Cálculos'!$F$125*(1+2.78*('Cálculos'!$F$197+(($B$225)-$A197)*'Cálculos'!$F$98)/(('Cálculos'!$F$197+(($B$225)-$A197)*'Cálculos'!$F$98)+1400)+'Cálculos'!$F$123)*'Cálculos'!$F$237)+('Cálculos'!$F$228+'Cálculos'!$F$124*(1+2.78*('Cálculos'!$F$197+(($B$225)-$A197)*'Cálculos'!$F$98)/(('Cálculos'!$F$197+(($B$225)-$A197)*'Cálculos'!$F$98)+1400)+'Cálculos'!$F$122)*'Cálculos'!$F$233+'Cálculos'!$F$125*(1+2.78*('Cálculos'!$F$197+(($B$225)-$A197)*'Cálculos'!$F$98)/(('Cálculos'!$F$197+(($B$225)-$A197)*'Cálculos'!$F$98)+1400)+'Cálculos'!$F$123)*'Cálculos'!$F$238)+('Cálculos'!$F$185*(1+'Cálculos'!$F$188+$A197*('Cálculos'!$F$290=1)*'Cálculos'!$F$97+'Cálculos'!$F$305)+'Cálculos'!$F$193)*('Cálculos'!$F$239+'Cálculos'!$F$124*(1+2.78*('Cálculos'!$F$198+(($B$225)-$A197)*'Cálculos'!$F$98)/(('Cálculos'!$F$198+(($B$225)-$A197)*'Cálculos'!$F$98)+1400)+'Cálculos'!$F$122)*'Cálculos'!$F$244+'Cálculos'!$F$125*(1+2.78*('Cálculos'!$F$198+(($B$225)-$A197)*'Cálculos'!$F$98)/(('Cálculos'!$F$198+(($B$225)-$A197)*'Cálculos'!$F$98)+1400)+'Cálculos'!$F$123)*'Cálculos'!$F$249)+('Cálculos'!$F$198+(($B$225)-$A197)*'Cálculos'!$F$98)*('Cálculos'!$F$240+'Cálculos'!$F$124*(1+2.78*('Cálculos'!$F$198+(($B$225)-$A197)*'Cálculos'!$F$98)/(('Cálculos'!$F$198+(($B$225)-$A197)*'Cálculos'!$F$98)+1400)+'Cálculos'!$F$122)*'Cálculos'!$F$245+'Cálculos'!$F$125*(1+2.78*('Cálculos'!$F$198+(($B$225)-$A197)*'Cálculos'!$F$98)/(('Cálculos'!$F$198+(($B$225)-$A197)*'Cálculos'!$F$98)+1400)+'Cálculos'!$F$123)*'Cálculos'!$F$250)+('Cálculos'!$F$201*(1+'Cálculos'!$F$202+$A197*('Cálculos'!$F$290=2)*'Cálculos'!$F$101)+'Cálculos'!$F$203)*('Cálculos'!$F$241+'Cálculos'!$F$124*(1+2.78*('Cálculos'!$F$198+(($B$225)-$A197)*'Cálculos'!$F$98)/(('Cálculos'!$F$198+(($B$225)-$A197)*'Cálculos'!$F$98)+1400)+'Cálculos'!$F$122)*'Cálculos'!$F$246+'Cálculos'!$F$125*(1+2.78*('Cálculos'!$F$198+(($B$225)-$A197)*'Cálculos'!$F$98)/(('Cálculos'!$F$198+(($B$225)-$A197)*'Cálculos'!$F$98)+1400)+'Cálculos'!$F$123)*'Cálculos'!$F$251)+('Cálculos'!$F$204*(1+'Cálculos'!$F$205+$A197*('Cálculos'!$F$290=3)*'Cálculos'!$F$103)+'Cálculos'!$F$206)*('Cálculos'!$F$242+'Cálculos'!$F$124*(1+2.78*('Cálculos'!$F$198+(($B$225)-$A197)*'Cálculos'!$F$98)/(('Cálculos'!$F$198+(($B$225)-$A197)*'Cálculos'!$F$98)+1400)+'Cálculos'!$F$122)*'Cálculos'!$F$247+'Cálculos'!$F$125*(1+2.78*('Cálculos'!$F$198+(($B$225)-$A197)*'Cálculos'!$F$98)/(('Cálculos'!$F$198+(($B$225)-$A197)*'Cálculos'!$F$98)+1400)+'Cálculos'!$F$123)*'Cálculos'!$F$252)+('Cálculos'!$F$243+'Cálculos'!$F$124*(1+2.78*('Cálculos'!$F$198+(($B$225)-$A197)*'Cálculos'!$F$98)/(('Cálculos'!$F$198+(($B$225)-$A197)*'Cálculos'!$F$98)+1400)+'Cálculos'!$F$122)*'Cálculos'!$F$248+'Cálculos'!$F$125*(1+2.78*('Cálculos'!$F$198+(($B$225)-$A197)*'Cálculos'!$F$98)/(('Cálculos'!$F$198+(($B$225)-$A197)*'Cálculos'!$F$98)+1400)+'Cálculos'!$F$123)*'Cálculos'!$F$253)+('Cálculos'!$F$185*(1+'Cálculos'!$F$189+$A197*('Cálculos'!$F$290=1)*'Cálculos'!$F$97+'Cálculos'!$F$305)+'Cálculos'!$F$194)*('Cálculos'!$F$254+'Cálculos'!$F$124*(1+2.78*('Cálculos'!$F$199+(($B$225)-$A197)*'Cálculos'!$F$98)/(('Cálculos'!$F$199+(($B$225)-$A197)*'Cálculos'!$F$98)+1400)+'Cálculos'!$F$122)*'Cálculos'!$F$259+'Cálculos'!$F$125*(1+2.78*('Cálculos'!$F$199+(($B$225)-$A197)*'Cálculos'!$F$98)/(('Cálculos'!$F$199+(($B$225)-$A197)*'Cálculos'!$F$98)+1400)+'Cálculos'!$F$123)*'Cálculos'!$F$264)+('Cálculos'!$F$199+(($B$225)-$A197)*'Cálculos'!$F$98)*('Cálculos'!$F$255+'Cálculos'!$F$124*(1+2.78*('Cálculos'!$F$199+(($B$225)-$A197)*'Cálculos'!$F$98)/(('Cálculos'!$F$199+(($B$225)-$A197)*'Cálculos'!$F$98)+1400)+'Cálculos'!$F$122)*'Cálculos'!$F$260+'Cálculos'!$F$125*(1+2.78*('Cálculos'!$F$199+(($B$225)-$A197)*'Cálculos'!$F$98)/(('Cálculos'!$F$199+(($B$225)-$A197)*'Cálculos'!$F$98)+1400)+'Cálculos'!$F$123)*'Cálculos'!$F$265)+('Cálculos'!$F$201*(1+'Cálculos'!$F$202+$A197*('Cálculos'!$F$290=2)*'Cálculos'!$F$101)+'Cálculos'!$F$203)*('Cálculos'!$F$256+'Cálculos'!$F$124*(1+2.78*('Cálculos'!$F$199+(($B$225)-$A197)*'Cálculos'!$F$98)/(('Cálculos'!$F$199+(($B$225)-$A197)*'Cálculos'!$F$98)+1400)+'Cálculos'!$F$122)*'Cálculos'!$F$261+'Cálculos'!$F$125*(1+2.78*('Cálculos'!$F$199+(($B$225)-$A197)*'Cálculos'!$F$98)/(('Cálculos'!$F$199+(($B$225)-$A197)*'Cálculos'!$F$98)+1400)+'Cálculos'!$F$123)*'Cálculos'!$F$266)+('Cálculos'!$F$204*(1+'Cálculos'!$F$205+$A197*('Cálculos'!$F$290=3)*'Cálculos'!$F$103)+'Cálculos'!$F$206)*('Cálculos'!$F$257+'Cálculos'!$F$124*(1+2.78*('Cálculos'!$F$199+(($B$225)-$A197)*'Cálculos'!$F$98)/(('Cálculos'!$F$199+(($B$225)-$A197)*'Cálculos'!$F$98)+1400)+'Cálculos'!$F$122)*'Cálculos'!$F$262+'Cálculos'!$F$125*(1+2.78*('Cálculos'!$F$199+(($B$225)-$A197)*'Cálculos'!$F$98)/(('Cálculos'!$F$199+(($B$225)-$A197)*'Cálculos'!$F$98)+1400)+'Cálculos'!$F$123)*'Cálculos'!$F$267)+('Cálculos'!$F$258+'Cálculos'!$F$124*(1+2.78*('Cálculos'!$F$199+(($B$225)-$A197)*'Cálculos'!$F$98)/(('Cálculos'!$F$199+(($B$225)-$A197)*'Cálculos'!$F$98)+1400)+'Cálculos'!$F$122)*'Cálculos'!$F$263+'Cálculos'!$F$125*(1+2.78*('Cálculos'!$F$199+(($B$225)-$A197)*'Cálculos'!$F$98)/(('Cálculos'!$F$199+(($B$225)-$A197)*'Cálculos'!$F$98)+1400)+'Cálculos'!$F$123)*'Cálculos'!$F$268)+('Cálculos'!$F$185*(1+'Cálculos'!$F$190+$A197*('Cálculos'!$F$290=1)*'Cálculos'!$F$97+'Cálculos'!$F$305)+'Cálculos'!$F$195)*('Cálculos'!$F$269+'Cálculos'!$F$124*(1+2.78*('Cálculos'!$F$200+(($B$225)-$A197)*'Cálculos'!$F$98)/(('Cálculos'!$F$200+(($B$225)-$A197)*'Cálculos'!$F$98)+1400)+'Cálculos'!$F$122)*'Cálculos'!$F$274+'Cálculos'!$F$125*(1+2.78*('Cálculos'!$F$200+(($B$225)-$A197)*'Cálculos'!$F$98)/(('Cálculos'!$F$200+(($B$225)-$A197)*'Cálculos'!$F$98)+1400)+'Cálculos'!$F$123)*'Cálculos'!$F$279)+('Cálculos'!$F$200+(($B$225)-$A197)*'Cálculos'!$F$98)*('Cálculos'!$F$270+'Cálculos'!$F$124*(1+2.78*('Cálculos'!$F$200+(($B$225)-$A197)*'Cálculos'!$F$98)/(('Cálculos'!$F$200+(($B$225)-$A197)*'Cálculos'!$F$98)+1400)+'Cálculos'!$F$122)*'Cálculos'!$F$275+'Cálculos'!$F$125*(1+2.78*('Cálculos'!$F$200+(($B$225)-$A197)*'Cálculos'!$F$98)/(('Cálculos'!$F$200+(($B$225)-$A197)*'Cálculos'!$F$98)+1400)+'Cálculos'!$F$123)*'Cálculos'!$F$280)+('Cálculos'!$F$201*(1+'Cálculos'!$F$202+$A197*('Cálculos'!$F$290=2)*'Cálculos'!$F$101)+'Cálculos'!$F$203)*('Cálculos'!$F$271+'Cálculos'!$F$124*(1+2.78*('Cálculos'!$F$200+(($B$225)-$A197)*'Cálculos'!$F$98)/(('Cálculos'!$F$200+(($B$225)-$A197)*'Cálculos'!$F$98)+1400)+'Cálculos'!$F$122)*'Cálculos'!$F$276+'Cálculos'!$F$125*(1+2.78*('Cálculos'!$F$200+(($B$225)-$A197)*'Cálculos'!$F$98)/(('Cálculos'!$F$200+(($B$225)-$A197)*'Cálculos'!$F$98)+1400)+'Cálculos'!$F$123)*'Cálculos'!$F$281)+('Cálculos'!$F$204*(1+'Cálculos'!$F$205+$A197*('Cálculos'!$F$290=3)*'Cálculos'!$F$103)+'Cálculos'!$F$206)*('Cálculos'!$F$272+'Cálculos'!$F$124*(1+2.78*('Cálculos'!$F$200+(($B$225)-$A197)*'Cálculos'!$F$98)/(('Cálculos'!$F$200+(($B$225)-$A197)*'Cálculos'!$F$98)+1400)+'Cálculos'!$F$122)*'Cálculos'!$F$277+'Cálculos'!$F$125*(1+2.78*('Cálculos'!$F$200+(($B$225)-$A197)*'Cálculos'!$F$98)/(('Cálculos'!$F$200+(($B$225)-$A197)*'Cálculos'!$F$98)+1400)+'Cálculos'!$F$123)*'Cálculos'!$F$282)+('Cálculos'!$F$273+'Cálculos'!$F$124*(1+2.78*('Cálculos'!$F$200+(($B$225)-$A197)*'Cálculos'!$F$98)/(('Cálculos'!$F$200+(($B$225)-$A197)*'Cálculos'!$F$98)+1400)+'Cálculos'!$F$122)*'Cálculos'!$F$278+'Cálculos'!$F$125*(1+2.78*('Cálculos'!$F$200+(($B$225)-$A197)*'Cálculos'!$F$98)/(('Cálculos'!$F$200+(($B$225)-$A197)*'Cálculos'!$F$98)+1400)+'Cálculos'!$F$123)*'Cálculos'!$F$283)))</f>
        <v>0</v>
      </c>
    </row>
    <row r="198" ht="15.75" customHeight="1">
      <c r="A198" s="2">
        <v>21.0</v>
      </c>
      <c r="B198" s="30">
        <f>SUMPRODUCT(MAX(($A$177:$A$222&lt;=$A198)*($A$177:$A$222&lt;='Cálculos'!$F$294)*(($A198)-$A$177:$A$222&lt;='Cálculos'!$F$295)*(1+(('Cálculos'!$F$207+$A$177:$A$222*'Cálculos'!$F$95)-(('Cálculos'!$F$207+$A$177:$A$222*'Cálculos'!$F$95)&gt;1)*(('Cálculos'!$F$207+$A$177:$A$222*'Cálculos'!$F$95)-1))*('Cálculos'!$F$208+(($A198)-$A$177:$A$222)*'Cálculos'!$F$96))))</f>
        <v>2.542415</v>
      </c>
      <c r="C198" s="2">
        <f>'Cálculos'!$F$303-$A198</f>
        <v>-3</v>
      </c>
      <c r="D198" s="31">
        <f>IF($C198&lt;0,0,SUMPRODUCT(MAX(($A$177:$A$222&lt;=$C198)*($A$177:$A$222&lt;='Cálculos'!$F$301)*(($C198)-$A$177:$A$222&lt;='Cálculos'!$F$297)*(('Cálculos'!$F$185*(1+'Cálculos'!$F$186+$A$177:$A$222*('Cálculos'!$F$290=1)*'Cálculos'!$F$97+'Cálculos'!$F$305)+'Cálculos'!$F$191)*('Cálculos'!$F$209+'Cálculos'!$F$124*(1+2.78*('Cálculos'!$F$196+(($C198)-$A$177:$A$222)*'Cálculos'!$F$98)/(('Cálculos'!$F$196+(($C198)-$A$177:$A$222)*'Cálculos'!$F$98)+1400)+'Cálculos'!$F$122)*'Cálculos'!$F$214+'Cálculos'!$F$125*(1+2.78*('Cálculos'!$F$196+(($C198)-$A$177:$A$222)*'Cálculos'!$F$98)/(('Cálculos'!$F$196+(($C198)-$A$177:$A$222)*'Cálculos'!$F$98)+1400)+'Cálculos'!$F$123)*'Cálculos'!$F$219)+('Cálculos'!$F$196+(($C198)-$A$177:$A$222)*'Cálculos'!$F$98)*('Cálculos'!$F$210+'Cálculos'!$F$124*(1+2.78*('Cálculos'!$F$196+(($C198)-$A$177:$A$222)*'Cálculos'!$F$98)/(('Cálculos'!$F$196+(($C198)-$A$177:$A$222)*'Cálculos'!$F$98)+1400)+'Cálculos'!$F$122)*'Cálculos'!$F$215+'Cálculos'!$F$125*(1+2.78*('Cálculos'!$F$196+(($C198)-$A$177:$A$222)*'Cálculos'!$F$98)/(('Cálculos'!$F$196+(($C198)-$A$177:$A$222)*'Cálculos'!$F$98)+1400)+'Cálculos'!$F$123)*'Cálculos'!$F$220)+('Cálculos'!$F$201*(1+'Cálculos'!$F$202+$A$177:$A$222*('Cálculos'!$F$290=2)*'Cálculos'!$F$101)+'Cálculos'!$F$203)*('Cálculos'!$F$211+'Cálculos'!$F$124*(1+2.78*('Cálculos'!$F$196+(($C198)-$A$177:$A$222)*'Cálculos'!$F$98)/(('Cálculos'!$F$196+(($C198)-$A$177:$A$222)*'Cálculos'!$F$98)+1400)+'Cálculos'!$F$122)*'Cálculos'!$F$216+'Cálculos'!$F$125*(1+2.78*('Cálculos'!$F$196+(($C198)-$A$177:$A$222)*'Cálculos'!$F$98)/(('Cálculos'!$F$196+(($C198)-$A$177:$A$222)*'Cálculos'!$F$98)+1400)+'Cálculos'!$F$123)*'Cálculos'!$F$221)+('Cálculos'!$F$204*(1+'Cálculos'!$F$205+$A$177:$A$222*('Cálculos'!$F$290=3)*'Cálculos'!$F$103)+'Cálculos'!$F$206)*('Cálculos'!$F$212+'Cálculos'!$F$124*(1+2.78*('Cálculos'!$F$196+(($C198)-$A$177:$A$222)*'Cálculos'!$F$98)/(('Cálculos'!$F$196+(($C198)-$A$177:$A$222)*'Cálculos'!$F$98)+1400)+'Cálculos'!$F$122)*'Cálculos'!$F$217+'Cálculos'!$F$125*(1+2.78*('Cálculos'!$F$196+(($C198)-$A$177:$A$222)*'Cálculos'!$F$98)/(('Cálculos'!$F$196+(($C198)-$A$177:$A$222)*'Cálculos'!$F$98)+1400)+'Cálculos'!$F$123)*'Cálculos'!$F$222)+('Cálculos'!$F$213+'Cálculos'!$F$124*(1+2.78*('Cálculos'!$F$196+(($C198)-$A$177:$A$222)*'Cálculos'!$F$98)/(('Cálculos'!$F$196+(($C198)-$A$177:$A$222)*'Cálculos'!$F$98)+1400)+'Cálculos'!$F$122)*'Cálculos'!$F$218+'Cálculos'!$F$125*(1+2.78*('Cálculos'!$F$196+(($C198)-$A$177:$A$222)*'Cálculos'!$F$98)/(('Cálculos'!$F$196+(($C198)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198)-$A$177:$A$222)*'Cálculos'!$F$98)/(('Cálculos'!$F$197+(($C198)-$A$177:$A$222)*'Cálculos'!$F$98)+1400)+'Cálculos'!$F$122)*'Cálculos'!$F$229+'Cálculos'!$F$125*(1+2.78*('Cálculos'!$F$197+(($C198)-$A$177:$A$222)*'Cálculos'!$F$98)/(('Cálculos'!$F$197+(($C198)-$A$177:$A$222)*'Cálculos'!$F$98)+1400)+'Cálculos'!$F$123)*'Cálculos'!$F$234)+('Cálculos'!$F$197+(($C198)-$A$177:$A$222)*'Cálculos'!$F$98)*('Cálculos'!$F$225+'Cálculos'!$F$124*(1+2.78*('Cálculos'!$F$197+(($C198)-$A$177:$A$222)*'Cálculos'!$F$98)/(('Cálculos'!$F$197+(($C198)-$A$177:$A$222)*'Cálculos'!$F$98)+1400)+'Cálculos'!$F$122)*'Cálculos'!$F$230+'Cálculos'!$F$125*(1+2.78*('Cálculos'!$F$197+(($C198)-$A$177:$A$222)*'Cálculos'!$F$98)/(('Cálculos'!$F$197+(($C198)-$A$177:$A$222)*'Cálculos'!$F$98)+1400)+'Cálculos'!$F$123)*'Cálculos'!$F$235)+('Cálculos'!$F$201*(1+'Cálculos'!$F$202+$A$177:$A$222*('Cálculos'!$F$290=2)*'Cálculos'!$F$101)+'Cálculos'!$F$203)*('Cálculos'!$F$226+'Cálculos'!$F$124*(1+2.78*('Cálculos'!$F$197+(($C198)-$A$177:$A$222)*'Cálculos'!$F$98)/(('Cálculos'!$F$197+(($C198)-$A$177:$A$222)*'Cálculos'!$F$98)+1400)+'Cálculos'!$F$122)*'Cálculos'!$F$231+'Cálculos'!$F$125*(1+2.78*('Cálculos'!$F$197+(($C198)-$A$177:$A$222)*'Cálculos'!$F$98)/(('Cálculos'!$F$197+(($C198)-$A$177:$A$222)*'Cálculos'!$F$98)+1400)+'Cálculos'!$F$123)*'Cálculos'!$F$236)+('Cálculos'!$F$204*(1+'Cálculos'!$F$205+$A$177:$A$222*('Cálculos'!$F$290=3)*'Cálculos'!$F$103)+'Cálculos'!$F$206)*('Cálculos'!$F$227+'Cálculos'!$F$124*(1+2.78*('Cálculos'!$F$197+(($C198)-$A$177:$A$222)*'Cálculos'!$F$98)/(('Cálculos'!$F$197+(($C198)-$A$177:$A$222)*'Cálculos'!$F$98)+1400)+'Cálculos'!$F$122)*'Cálculos'!$F$232+'Cálculos'!$F$125*(1+2.78*('Cálculos'!$F$197+(($C198)-$A$177:$A$222)*'Cálculos'!$F$98)/(('Cálculos'!$F$197+(($C198)-$A$177:$A$222)*'Cálculos'!$F$98)+1400)+'Cálculos'!$F$123)*'Cálculos'!$F$237)+('Cálculos'!$F$228+'Cálculos'!$F$124*(1+2.78*('Cálculos'!$F$197+(($C198)-$A$177:$A$222)*'Cálculos'!$F$98)/(('Cálculos'!$F$197+(($C198)-$A$177:$A$222)*'Cálculos'!$F$98)+1400)+'Cálculos'!$F$122)*'Cálculos'!$F$233+'Cálculos'!$F$125*(1+2.78*('Cálculos'!$F$197+(($C198)-$A$177:$A$222)*'Cálculos'!$F$98)/(('Cálculos'!$F$197+(($C198)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198)-$A$177:$A$222)*'Cálculos'!$F$98)/(('Cálculos'!$F$198+(($C198)-$A$177:$A$222)*'Cálculos'!$F$98)+1400)+'Cálculos'!$F$122)*'Cálculos'!$F$244+'Cálculos'!$F$125*(1+2.78*('Cálculos'!$F$198+(($C198)-$A$177:$A$222)*'Cálculos'!$F$98)/(('Cálculos'!$F$198+(($C198)-$A$177:$A$222)*'Cálculos'!$F$98)+1400)+'Cálculos'!$F$123)*'Cálculos'!$F$249)+('Cálculos'!$F$198+(($C198)-$A$177:$A$222)*'Cálculos'!$F$98)*('Cálculos'!$F$240+'Cálculos'!$F$124*(1+2.78*('Cálculos'!$F$198+(($C198)-$A$177:$A$222)*'Cálculos'!$F$98)/(('Cálculos'!$F$198+(($C198)-$A$177:$A$222)*'Cálculos'!$F$98)+1400)+'Cálculos'!$F$122)*'Cálculos'!$F$245+'Cálculos'!$F$125*(1+2.78*('Cálculos'!$F$198+(($C198)-$A$177:$A$222)*'Cálculos'!$F$98)/(('Cálculos'!$F$198+(($C198)-$A$177:$A$222)*'Cálculos'!$F$98)+1400)+'Cálculos'!$F$123)*'Cálculos'!$F$250)+('Cálculos'!$F$201*(1+'Cálculos'!$F$202+$A$177:$A$222*('Cálculos'!$F$290=2)*'Cálculos'!$F$101)+'Cálculos'!$F$203)*('Cálculos'!$F$241+'Cálculos'!$F$124*(1+2.78*('Cálculos'!$F$198+(($C198)-$A$177:$A$222)*'Cálculos'!$F$98)/(('Cálculos'!$F$198+(($C198)-$A$177:$A$222)*'Cálculos'!$F$98)+1400)+'Cálculos'!$F$122)*'Cálculos'!$F$246+'Cálculos'!$F$125*(1+2.78*('Cálculos'!$F$198+(($C198)-$A$177:$A$222)*'Cálculos'!$F$98)/(('Cálculos'!$F$198+(($C198)-$A$177:$A$222)*'Cálculos'!$F$98)+1400)+'Cálculos'!$F$123)*'Cálculos'!$F$251)+('Cálculos'!$F$204*(1+'Cálculos'!$F$205+$A$177:$A$222*('Cálculos'!$F$290=3)*'Cálculos'!$F$103)+'Cálculos'!$F$206)*('Cálculos'!$F$242+'Cálculos'!$F$124*(1+2.78*('Cálculos'!$F$198+(($C198)-$A$177:$A$222)*'Cálculos'!$F$98)/(('Cálculos'!$F$198+(($C198)-$A$177:$A$222)*'Cálculos'!$F$98)+1400)+'Cálculos'!$F$122)*'Cálculos'!$F$247+'Cálculos'!$F$125*(1+2.78*('Cálculos'!$F$198+(($C198)-$A$177:$A$222)*'Cálculos'!$F$98)/(('Cálculos'!$F$198+(($C198)-$A$177:$A$222)*'Cálculos'!$F$98)+1400)+'Cálculos'!$F$123)*'Cálculos'!$F$252)+('Cálculos'!$F$243+'Cálculos'!$F$124*(1+2.78*('Cálculos'!$F$198+(($C198)-$A$177:$A$222)*'Cálculos'!$F$98)/(('Cálculos'!$F$198+(($C198)-$A$177:$A$222)*'Cálculos'!$F$98)+1400)+'Cálculos'!$F$122)*'Cálculos'!$F$248+'Cálculos'!$F$125*(1+2.78*('Cálculos'!$F$198+(($C198)-$A$177:$A$222)*'Cálculos'!$F$98)/(('Cálculos'!$F$198+(($C198)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198)-$A$177:$A$222)*'Cálculos'!$F$98)/(('Cálculos'!$F$199+(($C198)-$A$177:$A$222)*'Cálculos'!$F$98)+1400)+'Cálculos'!$F$122)*'Cálculos'!$F$259+'Cálculos'!$F$125*(1+2.78*('Cálculos'!$F$199+(($C198)-$A$177:$A$222)*'Cálculos'!$F$98)/(('Cálculos'!$F$199+(($C198)-$A$177:$A$222)*'Cálculos'!$F$98)+1400)+'Cálculos'!$F$123)*'Cálculos'!$F$264)+('Cálculos'!$F$199+(($C198)-$A$177:$A$222)*'Cálculos'!$F$98)*('Cálculos'!$F$255+'Cálculos'!$F$124*(1+2.78*('Cálculos'!$F$199+(($C198)-$A$177:$A$222)*'Cálculos'!$F$98)/(('Cálculos'!$F$199+(($C198)-$A$177:$A$222)*'Cálculos'!$F$98)+1400)+'Cálculos'!$F$122)*'Cálculos'!$F$260+'Cálculos'!$F$125*(1+2.78*('Cálculos'!$F$199+(($C198)-$A$177:$A$222)*'Cálculos'!$F$98)/(('Cálculos'!$F$199+(($C198)-$A$177:$A$222)*'Cálculos'!$F$98)+1400)+'Cálculos'!$F$123)*'Cálculos'!$F$265)+('Cálculos'!$F$201*(1+'Cálculos'!$F$202+$A$177:$A$222*('Cálculos'!$F$290=2)*'Cálculos'!$F$101)+'Cálculos'!$F$203)*('Cálculos'!$F$256+'Cálculos'!$F$124*(1+2.78*('Cálculos'!$F$199+(($C198)-$A$177:$A$222)*'Cálculos'!$F$98)/(('Cálculos'!$F$199+(($C198)-$A$177:$A$222)*'Cálculos'!$F$98)+1400)+'Cálculos'!$F$122)*'Cálculos'!$F$261+'Cálculos'!$F$125*(1+2.78*('Cálculos'!$F$199+(($C198)-$A$177:$A$222)*'Cálculos'!$F$98)/(('Cálculos'!$F$199+(($C198)-$A$177:$A$222)*'Cálculos'!$F$98)+1400)+'Cálculos'!$F$123)*'Cálculos'!$F$266)+('Cálculos'!$F$204*(1+'Cálculos'!$F$205+$A$177:$A$222*('Cálculos'!$F$290=3)*'Cálculos'!$F$103)+'Cálculos'!$F$206)*('Cálculos'!$F$257+'Cálculos'!$F$124*(1+2.78*('Cálculos'!$F$199+(($C198)-$A$177:$A$222)*'Cálculos'!$F$98)/(('Cálculos'!$F$199+(($C198)-$A$177:$A$222)*'Cálculos'!$F$98)+1400)+'Cálculos'!$F$122)*'Cálculos'!$F$262+'Cálculos'!$F$125*(1+2.78*('Cálculos'!$F$199+(($C198)-$A$177:$A$222)*'Cálculos'!$F$98)/(('Cálculos'!$F$199+(($C198)-$A$177:$A$222)*'Cálculos'!$F$98)+1400)+'Cálculos'!$F$123)*'Cálculos'!$F$267)+('Cálculos'!$F$258+'Cálculos'!$F$124*(1+2.78*('Cálculos'!$F$199+(($C198)-$A$177:$A$222)*'Cálculos'!$F$98)/(('Cálculos'!$F$199+(($C198)-$A$177:$A$222)*'Cálculos'!$F$98)+1400)+'Cálculos'!$F$122)*'Cálculos'!$F$263+'Cálculos'!$F$125*(1+2.78*('Cálculos'!$F$199+(($C198)-$A$177:$A$222)*'Cálculos'!$F$98)/(('Cálculos'!$F$199+(($C198)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198)-$A$177:$A$222)*'Cálculos'!$F$98)/(('Cálculos'!$F$200+(($C198)-$A$177:$A$222)*'Cálculos'!$F$98)+1400)+'Cálculos'!$F$122)*'Cálculos'!$F$274+'Cálculos'!$F$125*(1+2.78*('Cálculos'!$F$200+(($C198)-$A$177:$A$222)*'Cálculos'!$F$98)/(('Cálculos'!$F$200+(($C198)-$A$177:$A$222)*'Cálculos'!$F$98)+1400)+'Cálculos'!$F$123)*'Cálculos'!$F$279)+('Cálculos'!$F$200+(($C198)-$A$177:$A$222)*'Cálculos'!$F$98)*('Cálculos'!$F$270+'Cálculos'!$F$124*(1+2.78*('Cálculos'!$F$200+(($C198)-$A$177:$A$222)*'Cálculos'!$F$98)/(('Cálculos'!$F$200+(($C198)-$A$177:$A$222)*'Cálculos'!$F$98)+1400)+'Cálculos'!$F$122)*'Cálculos'!$F$275+'Cálculos'!$F$125*(1+2.78*('Cálculos'!$F$200+(($C198)-$A$177:$A$222)*'Cálculos'!$F$98)/(('Cálculos'!$F$200+(($C198)-$A$177:$A$222)*'Cálculos'!$F$98)+1400)+'Cálculos'!$F$123)*'Cálculos'!$F$280)+('Cálculos'!$F$201*(1+'Cálculos'!$F$202+$A$177:$A$222*('Cálculos'!$F$290=2)*'Cálculos'!$F$101)+'Cálculos'!$F$203)*('Cálculos'!$F$271+'Cálculos'!$F$124*(1+2.78*('Cálculos'!$F$200+(($C198)-$A$177:$A$222)*'Cálculos'!$F$98)/(('Cálculos'!$F$200+(($C198)-$A$177:$A$222)*'Cálculos'!$F$98)+1400)+'Cálculos'!$F$122)*'Cálculos'!$F$276+'Cálculos'!$F$125*(1+2.78*('Cálculos'!$F$200+(($C198)-$A$177:$A$222)*'Cálculos'!$F$98)/(('Cálculos'!$F$200+(($C198)-$A$177:$A$222)*'Cálculos'!$F$98)+1400)+'Cálculos'!$F$123)*'Cálculos'!$F$281)+('Cálculos'!$F$204*(1+'Cálculos'!$F$205+$A$177:$A$222*('Cálculos'!$F$290=3)*'Cálculos'!$F$103)+'Cálculos'!$F$206)*('Cálculos'!$F$272+'Cálculos'!$F$124*(1+2.78*('Cálculos'!$F$200+(($C198)-$A$177:$A$222)*'Cálculos'!$F$98)/(('Cálculos'!$F$200+(($C198)-$A$177:$A$222)*'Cálculos'!$F$98)+1400)+'Cálculos'!$F$122)*'Cálculos'!$F$277+'Cálculos'!$F$125*(1+2.78*('Cálculos'!$F$200+(($C198)-$A$177:$A$222)*'Cálculos'!$F$98)/(('Cálculos'!$F$200+(($C198)-$A$177:$A$222)*'Cálculos'!$F$98)+1400)+'Cálculos'!$F$123)*'Cálculos'!$F$282)+('Cálculos'!$F$273+'Cálculos'!$F$124*(1+2.78*('Cálculos'!$F$200+(($C198)-$A$177:$A$222)*'Cálculos'!$F$98)/(('Cálculos'!$F$200+(($C198)-$A$177:$A$222)*'Cálculos'!$F$98)+1400)+'Cálculos'!$F$122)*'Cálculos'!$F$278+'Cálculos'!$F$125*(1+2.78*('Cálculos'!$F$200+(($C198)-$A$177:$A$222)*'Cálculos'!$F$98)/(('Cálculos'!$F$200+(($C198)-$A$177:$A$222)*'Cálculos'!$F$98)+1400)+'Cálculos'!$F$123)*'Cálculos'!$F$283)))))</f>
        <v>0</v>
      </c>
      <c r="E198" s="32">
        <f>IF(OR($C198&lt;0,'Cálculos'!$F$6=""),0,$B198*$D198)</f>
        <v>0</v>
      </c>
      <c r="F198" s="2"/>
      <c r="G198" s="30">
        <f>($A198&lt;=$B$224)*($A198&lt;='Cálculos'!$F$294)*(($B$224)-$A198&lt;='Cálculos'!$F$295)*(1+MIN(('Cálculos'!$F$207+$A198*'Cálculos'!$F$95),1)*('Cálculos'!$F$208+(($B$224)-$A198)*'Cálculos'!$F$96))</f>
        <v>0</v>
      </c>
      <c r="H198" s="31">
        <f>IF($B$225&lt;0,0,($A198&lt;=$B$225)*($A198&lt;='Cálculos'!$F$301)*(($B$225)-$A198&lt;='Cálculos'!$F$297)*(('Cálculos'!$F$185*(1+'Cálculos'!$F$186+$A198*('Cálculos'!$F$290=1)*'Cálculos'!$F$97+'Cálculos'!$F$305)+'Cálculos'!$F$191)*('Cálculos'!$F$209+'Cálculos'!$F$124*(1+2.78*('Cálculos'!$F$196+(($B$225)-$A198)*'Cálculos'!$F$98)/(('Cálculos'!$F$196+(($B$225)-$A198)*'Cálculos'!$F$98)+1400)+'Cálculos'!$F$122)*'Cálculos'!$F$214+'Cálculos'!$F$125*(1+2.78*('Cálculos'!$F$196+(($B$225)-$A198)*'Cálculos'!$F$98)/(('Cálculos'!$F$196+(($B$225)-$A198)*'Cálculos'!$F$98)+1400)+'Cálculos'!$F$123)*'Cálculos'!$F$219)+('Cálculos'!$F$196+(($B$225)-$A198)*'Cálculos'!$F$98)*('Cálculos'!$F$210+'Cálculos'!$F$124*(1+2.78*('Cálculos'!$F$196+(($B$225)-$A198)*'Cálculos'!$F$98)/(('Cálculos'!$F$196+(($B$225)-$A198)*'Cálculos'!$F$98)+1400)+'Cálculos'!$F$122)*'Cálculos'!$F$215+'Cálculos'!$F$125*(1+2.78*('Cálculos'!$F$196+(($B$225)-$A198)*'Cálculos'!$F$98)/(('Cálculos'!$F$196+(($B$225)-$A198)*'Cálculos'!$F$98)+1400)+'Cálculos'!$F$123)*'Cálculos'!$F$220)+('Cálculos'!$F$201*(1+'Cálculos'!$F$202+$A198*('Cálculos'!$F$290=2)*'Cálculos'!$F$101)+'Cálculos'!$F$203)*('Cálculos'!$F$211+'Cálculos'!$F$124*(1+2.78*('Cálculos'!$F$196+(($B$225)-$A198)*'Cálculos'!$F$98)/(('Cálculos'!$F$196+(($B$225)-$A198)*'Cálculos'!$F$98)+1400)+'Cálculos'!$F$122)*'Cálculos'!$F$216+'Cálculos'!$F$125*(1+2.78*('Cálculos'!$F$196+(($B$225)-$A198)*'Cálculos'!$F$98)/(('Cálculos'!$F$196+(($B$225)-$A198)*'Cálculos'!$F$98)+1400)+'Cálculos'!$F$123)*'Cálculos'!$F$221)+('Cálculos'!$F$204*(1+'Cálculos'!$F$205+$A198*('Cálculos'!$F$290=3)*'Cálculos'!$F$103)+'Cálculos'!$F$206)*('Cálculos'!$F$212+'Cálculos'!$F$124*(1+2.78*('Cálculos'!$F$196+(($B$225)-$A198)*'Cálculos'!$F$98)/(('Cálculos'!$F$196+(($B$225)-$A198)*'Cálculos'!$F$98)+1400)+'Cálculos'!$F$122)*'Cálculos'!$F$217+'Cálculos'!$F$125*(1+2.78*('Cálculos'!$F$196+(($B$225)-$A198)*'Cálculos'!$F$98)/(('Cálculos'!$F$196+(($B$225)-$A198)*'Cálculos'!$F$98)+1400)+'Cálculos'!$F$123)*'Cálculos'!$F$222)+('Cálculos'!$F$213+'Cálculos'!$F$124*(1+2.78*('Cálculos'!$F$196+(($B$225)-$A198)*'Cálculos'!$F$98)/(('Cálculos'!$F$196+(($B$225)-$A198)*'Cálculos'!$F$98)+1400)+'Cálculos'!$F$122)*'Cálculos'!$F$218+'Cálculos'!$F$125*(1+2.78*('Cálculos'!$F$196+(($B$225)-$A198)*'Cálculos'!$F$98)/(('Cálculos'!$F$196+(($B$225)-$A198)*'Cálculos'!$F$98)+1400)+'Cálculos'!$F$123)*'Cálculos'!$F$223)+('Cálculos'!$F$185*(1+'Cálculos'!$F$187+$A198*('Cálculos'!$F$290=1)*'Cálculos'!$F$97+'Cálculos'!$F$305)+'Cálculos'!$F$192)*('Cálculos'!$F$224+'Cálculos'!$F$124*(1+2.78*('Cálculos'!$F$197+(($B$225)-$A198)*'Cálculos'!$F$98)/(('Cálculos'!$F$197+(($B$225)-$A198)*'Cálculos'!$F$98)+1400)+'Cálculos'!$F$122)*'Cálculos'!$F$229+'Cálculos'!$F$125*(1+2.78*('Cálculos'!$F$197+(($B$225)-$A198)*'Cálculos'!$F$98)/(('Cálculos'!$F$197+(($B$225)-$A198)*'Cálculos'!$F$98)+1400)+'Cálculos'!$F$123)*'Cálculos'!$F$234)+('Cálculos'!$F$197+(($B$225)-$A198)*'Cálculos'!$F$98)*('Cálculos'!$F$225+'Cálculos'!$F$124*(1+2.78*('Cálculos'!$F$197+(($B$225)-$A198)*'Cálculos'!$F$98)/(('Cálculos'!$F$197+(($B$225)-$A198)*'Cálculos'!$F$98)+1400)+'Cálculos'!$F$122)*'Cálculos'!$F$230+'Cálculos'!$F$125*(1+2.78*('Cálculos'!$F$197+(($B$225)-$A198)*'Cálculos'!$F$98)/(('Cálculos'!$F$197+(($B$225)-$A198)*'Cálculos'!$F$98)+1400)+'Cálculos'!$F$123)*'Cálculos'!$F$235)+('Cálculos'!$F$201*(1+'Cálculos'!$F$202+$A198*('Cálculos'!$F$290=2)*'Cálculos'!$F$101)+'Cálculos'!$F$203)*('Cálculos'!$F$226+'Cálculos'!$F$124*(1+2.78*('Cálculos'!$F$197+(($B$225)-$A198)*'Cálculos'!$F$98)/(('Cálculos'!$F$197+(($B$225)-$A198)*'Cálculos'!$F$98)+1400)+'Cálculos'!$F$122)*'Cálculos'!$F$231+'Cálculos'!$F$125*(1+2.78*('Cálculos'!$F$197+(($B$225)-$A198)*'Cálculos'!$F$98)/(('Cálculos'!$F$197+(($B$225)-$A198)*'Cálculos'!$F$98)+1400)+'Cálculos'!$F$123)*'Cálculos'!$F$236)+('Cálculos'!$F$204*(1+'Cálculos'!$F$205+$A198*('Cálculos'!$F$290=3)*'Cálculos'!$F$103)+'Cálculos'!$F$206)*('Cálculos'!$F$227+'Cálculos'!$F$124*(1+2.78*('Cálculos'!$F$197+(($B$225)-$A198)*'Cálculos'!$F$98)/(('Cálculos'!$F$197+(($B$225)-$A198)*'Cálculos'!$F$98)+1400)+'Cálculos'!$F$122)*'Cálculos'!$F$232+'Cálculos'!$F$125*(1+2.78*('Cálculos'!$F$197+(($B$225)-$A198)*'Cálculos'!$F$98)/(('Cálculos'!$F$197+(($B$225)-$A198)*'Cálculos'!$F$98)+1400)+'Cálculos'!$F$123)*'Cálculos'!$F$237)+('Cálculos'!$F$228+'Cálculos'!$F$124*(1+2.78*('Cálculos'!$F$197+(($B$225)-$A198)*'Cálculos'!$F$98)/(('Cálculos'!$F$197+(($B$225)-$A198)*'Cálculos'!$F$98)+1400)+'Cálculos'!$F$122)*'Cálculos'!$F$233+'Cálculos'!$F$125*(1+2.78*('Cálculos'!$F$197+(($B$225)-$A198)*'Cálculos'!$F$98)/(('Cálculos'!$F$197+(($B$225)-$A198)*'Cálculos'!$F$98)+1400)+'Cálculos'!$F$123)*'Cálculos'!$F$238)+('Cálculos'!$F$185*(1+'Cálculos'!$F$188+$A198*('Cálculos'!$F$290=1)*'Cálculos'!$F$97+'Cálculos'!$F$305)+'Cálculos'!$F$193)*('Cálculos'!$F$239+'Cálculos'!$F$124*(1+2.78*('Cálculos'!$F$198+(($B$225)-$A198)*'Cálculos'!$F$98)/(('Cálculos'!$F$198+(($B$225)-$A198)*'Cálculos'!$F$98)+1400)+'Cálculos'!$F$122)*'Cálculos'!$F$244+'Cálculos'!$F$125*(1+2.78*('Cálculos'!$F$198+(($B$225)-$A198)*'Cálculos'!$F$98)/(('Cálculos'!$F$198+(($B$225)-$A198)*'Cálculos'!$F$98)+1400)+'Cálculos'!$F$123)*'Cálculos'!$F$249)+('Cálculos'!$F$198+(($B$225)-$A198)*'Cálculos'!$F$98)*('Cálculos'!$F$240+'Cálculos'!$F$124*(1+2.78*('Cálculos'!$F$198+(($B$225)-$A198)*'Cálculos'!$F$98)/(('Cálculos'!$F$198+(($B$225)-$A198)*'Cálculos'!$F$98)+1400)+'Cálculos'!$F$122)*'Cálculos'!$F$245+'Cálculos'!$F$125*(1+2.78*('Cálculos'!$F$198+(($B$225)-$A198)*'Cálculos'!$F$98)/(('Cálculos'!$F$198+(($B$225)-$A198)*'Cálculos'!$F$98)+1400)+'Cálculos'!$F$123)*'Cálculos'!$F$250)+('Cálculos'!$F$201*(1+'Cálculos'!$F$202+$A198*('Cálculos'!$F$290=2)*'Cálculos'!$F$101)+'Cálculos'!$F$203)*('Cálculos'!$F$241+'Cálculos'!$F$124*(1+2.78*('Cálculos'!$F$198+(($B$225)-$A198)*'Cálculos'!$F$98)/(('Cálculos'!$F$198+(($B$225)-$A198)*'Cálculos'!$F$98)+1400)+'Cálculos'!$F$122)*'Cálculos'!$F$246+'Cálculos'!$F$125*(1+2.78*('Cálculos'!$F$198+(($B$225)-$A198)*'Cálculos'!$F$98)/(('Cálculos'!$F$198+(($B$225)-$A198)*'Cálculos'!$F$98)+1400)+'Cálculos'!$F$123)*'Cálculos'!$F$251)+('Cálculos'!$F$204*(1+'Cálculos'!$F$205+$A198*('Cálculos'!$F$290=3)*'Cálculos'!$F$103)+'Cálculos'!$F$206)*('Cálculos'!$F$242+'Cálculos'!$F$124*(1+2.78*('Cálculos'!$F$198+(($B$225)-$A198)*'Cálculos'!$F$98)/(('Cálculos'!$F$198+(($B$225)-$A198)*'Cálculos'!$F$98)+1400)+'Cálculos'!$F$122)*'Cálculos'!$F$247+'Cálculos'!$F$125*(1+2.78*('Cálculos'!$F$198+(($B$225)-$A198)*'Cálculos'!$F$98)/(('Cálculos'!$F$198+(($B$225)-$A198)*'Cálculos'!$F$98)+1400)+'Cálculos'!$F$123)*'Cálculos'!$F$252)+('Cálculos'!$F$243+'Cálculos'!$F$124*(1+2.78*('Cálculos'!$F$198+(($B$225)-$A198)*'Cálculos'!$F$98)/(('Cálculos'!$F$198+(($B$225)-$A198)*'Cálculos'!$F$98)+1400)+'Cálculos'!$F$122)*'Cálculos'!$F$248+'Cálculos'!$F$125*(1+2.78*('Cálculos'!$F$198+(($B$225)-$A198)*'Cálculos'!$F$98)/(('Cálculos'!$F$198+(($B$225)-$A198)*'Cálculos'!$F$98)+1400)+'Cálculos'!$F$123)*'Cálculos'!$F$253)+('Cálculos'!$F$185*(1+'Cálculos'!$F$189+$A198*('Cálculos'!$F$290=1)*'Cálculos'!$F$97+'Cálculos'!$F$305)+'Cálculos'!$F$194)*('Cálculos'!$F$254+'Cálculos'!$F$124*(1+2.78*('Cálculos'!$F$199+(($B$225)-$A198)*'Cálculos'!$F$98)/(('Cálculos'!$F$199+(($B$225)-$A198)*'Cálculos'!$F$98)+1400)+'Cálculos'!$F$122)*'Cálculos'!$F$259+'Cálculos'!$F$125*(1+2.78*('Cálculos'!$F$199+(($B$225)-$A198)*'Cálculos'!$F$98)/(('Cálculos'!$F$199+(($B$225)-$A198)*'Cálculos'!$F$98)+1400)+'Cálculos'!$F$123)*'Cálculos'!$F$264)+('Cálculos'!$F$199+(($B$225)-$A198)*'Cálculos'!$F$98)*('Cálculos'!$F$255+'Cálculos'!$F$124*(1+2.78*('Cálculos'!$F$199+(($B$225)-$A198)*'Cálculos'!$F$98)/(('Cálculos'!$F$199+(($B$225)-$A198)*'Cálculos'!$F$98)+1400)+'Cálculos'!$F$122)*'Cálculos'!$F$260+'Cálculos'!$F$125*(1+2.78*('Cálculos'!$F$199+(($B$225)-$A198)*'Cálculos'!$F$98)/(('Cálculos'!$F$199+(($B$225)-$A198)*'Cálculos'!$F$98)+1400)+'Cálculos'!$F$123)*'Cálculos'!$F$265)+('Cálculos'!$F$201*(1+'Cálculos'!$F$202+$A198*('Cálculos'!$F$290=2)*'Cálculos'!$F$101)+'Cálculos'!$F$203)*('Cálculos'!$F$256+'Cálculos'!$F$124*(1+2.78*('Cálculos'!$F$199+(($B$225)-$A198)*'Cálculos'!$F$98)/(('Cálculos'!$F$199+(($B$225)-$A198)*'Cálculos'!$F$98)+1400)+'Cálculos'!$F$122)*'Cálculos'!$F$261+'Cálculos'!$F$125*(1+2.78*('Cálculos'!$F$199+(($B$225)-$A198)*'Cálculos'!$F$98)/(('Cálculos'!$F$199+(($B$225)-$A198)*'Cálculos'!$F$98)+1400)+'Cálculos'!$F$123)*'Cálculos'!$F$266)+('Cálculos'!$F$204*(1+'Cálculos'!$F$205+$A198*('Cálculos'!$F$290=3)*'Cálculos'!$F$103)+'Cálculos'!$F$206)*('Cálculos'!$F$257+'Cálculos'!$F$124*(1+2.78*('Cálculos'!$F$199+(($B$225)-$A198)*'Cálculos'!$F$98)/(('Cálculos'!$F$199+(($B$225)-$A198)*'Cálculos'!$F$98)+1400)+'Cálculos'!$F$122)*'Cálculos'!$F$262+'Cálculos'!$F$125*(1+2.78*('Cálculos'!$F$199+(($B$225)-$A198)*'Cálculos'!$F$98)/(('Cálculos'!$F$199+(($B$225)-$A198)*'Cálculos'!$F$98)+1400)+'Cálculos'!$F$123)*'Cálculos'!$F$267)+('Cálculos'!$F$258+'Cálculos'!$F$124*(1+2.78*('Cálculos'!$F$199+(($B$225)-$A198)*'Cálculos'!$F$98)/(('Cálculos'!$F$199+(($B$225)-$A198)*'Cálculos'!$F$98)+1400)+'Cálculos'!$F$122)*'Cálculos'!$F$263+'Cálculos'!$F$125*(1+2.78*('Cálculos'!$F$199+(($B$225)-$A198)*'Cálculos'!$F$98)/(('Cálculos'!$F$199+(($B$225)-$A198)*'Cálculos'!$F$98)+1400)+'Cálculos'!$F$123)*'Cálculos'!$F$268)+('Cálculos'!$F$185*(1+'Cálculos'!$F$190+$A198*('Cálculos'!$F$290=1)*'Cálculos'!$F$97+'Cálculos'!$F$305)+'Cálculos'!$F$195)*('Cálculos'!$F$269+'Cálculos'!$F$124*(1+2.78*('Cálculos'!$F$200+(($B$225)-$A198)*'Cálculos'!$F$98)/(('Cálculos'!$F$200+(($B$225)-$A198)*'Cálculos'!$F$98)+1400)+'Cálculos'!$F$122)*'Cálculos'!$F$274+'Cálculos'!$F$125*(1+2.78*('Cálculos'!$F$200+(($B$225)-$A198)*'Cálculos'!$F$98)/(('Cálculos'!$F$200+(($B$225)-$A198)*'Cálculos'!$F$98)+1400)+'Cálculos'!$F$123)*'Cálculos'!$F$279)+('Cálculos'!$F$200+(($B$225)-$A198)*'Cálculos'!$F$98)*('Cálculos'!$F$270+'Cálculos'!$F$124*(1+2.78*('Cálculos'!$F$200+(($B$225)-$A198)*'Cálculos'!$F$98)/(('Cálculos'!$F$200+(($B$225)-$A198)*'Cálculos'!$F$98)+1400)+'Cálculos'!$F$122)*'Cálculos'!$F$275+'Cálculos'!$F$125*(1+2.78*('Cálculos'!$F$200+(($B$225)-$A198)*'Cálculos'!$F$98)/(('Cálculos'!$F$200+(($B$225)-$A198)*'Cálculos'!$F$98)+1400)+'Cálculos'!$F$123)*'Cálculos'!$F$280)+('Cálculos'!$F$201*(1+'Cálculos'!$F$202+$A198*('Cálculos'!$F$290=2)*'Cálculos'!$F$101)+'Cálculos'!$F$203)*('Cálculos'!$F$271+'Cálculos'!$F$124*(1+2.78*('Cálculos'!$F$200+(($B$225)-$A198)*'Cálculos'!$F$98)/(('Cálculos'!$F$200+(($B$225)-$A198)*'Cálculos'!$F$98)+1400)+'Cálculos'!$F$122)*'Cálculos'!$F$276+'Cálculos'!$F$125*(1+2.78*('Cálculos'!$F$200+(($B$225)-$A198)*'Cálculos'!$F$98)/(('Cálculos'!$F$200+(($B$225)-$A198)*'Cálculos'!$F$98)+1400)+'Cálculos'!$F$123)*'Cálculos'!$F$281)+('Cálculos'!$F$204*(1+'Cálculos'!$F$205+$A198*('Cálculos'!$F$290=3)*'Cálculos'!$F$103)+'Cálculos'!$F$206)*('Cálculos'!$F$272+'Cálculos'!$F$124*(1+2.78*('Cálculos'!$F$200+(($B$225)-$A198)*'Cálculos'!$F$98)/(('Cálculos'!$F$200+(($B$225)-$A198)*'Cálculos'!$F$98)+1400)+'Cálculos'!$F$122)*'Cálculos'!$F$277+'Cálculos'!$F$125*(1+2.78*('Cálculos'!$F$200+(($B$225)-$A198)*'Cálculos'!$F$98)/(('Cálculos'!$F$200+(($B$225)-$A198)*'Cálculos'!$F$98)+1400)+'Cálculos'!$F$123)*'Cálculos'!$F$282)+('Cálculos'!$F$273+'Cálculos'!$F$124*(1+2.78*('Cálculos'!$F$200+(($B$225)-$A198)*'Cálculos'!$F$98)/(('Cálculos'!$F$200+(($B$225)-$A198)*'Cálculos'!$F$98)+1400)+'Cálculos'!$F$122)*'Cálculos'!$F$278+'Cálculos'!$F$125*(1+2.78*('Cálculos'!$F$200+(($B$225)-$A198)*'Cálculos'!$F$98)/(('Cálculos'!$F$200+(($B$225)-$A198)*'Cálculos'!$F$98)+1400)+'Cálculos'!$F$123)*'Cálculos'!$F$283)))</f>
        <v>0</v>
      </c>
    </row>
    <row r="199" ht="15.75" customHeight="1">
      <c r="A199" s="2">
        <v>22.0</v>
      </c>
      <c r="B199" s="30">
        <f>SUMPRODUCT(MAX(($A$177:$A$222&lt;=$A199)*($A$177:$A$222&lt;='Cálculos'!$F$294)*(($A199)-$A$177:$A$222&lt;='Cálculos'!$F$295)*(1+(('Cálculos'!$F$207+$A$177:$A$222*'Cálculos'!$F$95)-(('Cálculos'!$F$207+$A$177:$A$222*'Cálculos'!$F$95)&gt;1)*(('Cálculos'!$F$207+$A$177:$A$222*'Cálculos'!$F$95)-1))*('Cálculos'!$F$208+(($A199)-$A$177:$A$222)*'Cálculos'!$F$96))))</f>
        <v>2.601089</v>
      </c>
      <c r="C199" s="2">
        <f>'Cálculos'!$F$303-$A199</f>
        <v>-4</v>
      </c>
      <c r="D199" s="31">
        <f>IF($C199&lt;0,0,SUMPRODUCT(MAX(($A$177:$A$222&lt;=$C199)*($A$177:$A$222&lt;='Cálculos'!$F$301)*(($C199)-$A$177:$A$222&lt;='Cálculos'!$F$297)*(('Cálculos'!$F$185*(1+'Cálculos'!$F$186+$A$177:$A$222*('Cálculos'!$F$290=1)*'Cálculos'!$F$97+'Cálculos'!$F$305)+'Cálculos'!$F$191)*('Cálculos'!$F$209+'Cálculos'!$F$124*(1+2.78*('Cálculos'!$F$196+(($C199)-$A$177:$A$222)*'Cálculos'!$F$98)/(('Cálculos'!$F$196+(($C199)-$A$177:$A$222)*'Cálculos'!$F$98)+1400)+'Cálculos'!$F$122)*'Cálculos'!$F$214+'Cálculos'!$F$125*(1+2.78*('Cálculos'!$F$196+(($C199)-$A$177:$A$222)*'Cálculos'!$F$98)/(('Cálculos'!$F$196+(($C199)-$A$177:$A$222)*'Cálculos'!$F$98)+1400)+'Cálculos'!$F$123)*'Cálculos'!$F$219)+('Cálculos'!$F$196+(($C199)-$A$177:$A$222)*'Cálculos'!$F$98)*('Cálculos'!$F$210+'Cálculos'!$F$124*(1+2.78*('Cálculos'!$F$196+(($C199)-$A$177:$A$222)*'Cálculos'!$F$98)/(('Cálculos'!$F$196+(($C199)-$A$177:$A$222)*'Cálculos'!$F$98)+1400)+'Cálculos'!$F$122)*'Cálculos'!$F$215+'Cálculos'!$F$125*(1+2.78*('Cálculos'!$F$196+(($C199)-$A$177:$A$222)*'Cálculos'!$F$98)/(('Cálculos'!$F$196+(($C199)-$A$177:$A$222)*'Cálculos'!$F$98)+1400)+'Cálculos'!$F$123)*'Cálculos'!$F$220)+('Cálculos'!$F$201*(1+'Cálculos'!$F$202+$A$177:$A$222*('Cálculos'!$F$290=2)*'Cálculos'!$F$101)+'Cálculos'!$F$203)*('Cálculos'!$F$211+'Cálculos'!$F$124*(1+2.78*('Cálculos'!$F$196+(($C199)-$A$177:$A$222)*'Cálculos'!$F$98)/(('Cálculos'!$F$196+(($C199)-$A$177:$A$222)*'Cálculos'!$F$98)+1400)+'Cálculos'!$F$122)*'Cálculos'!$F$216+'Cálculos'!$F$125*(1+2.78*('Cálculos'!$F$196+(($C199)-$A$177:$A$222)*'Cálculos'!$F$98)/(('Cálculos'!$F$196+(($C199)-$A$177:$A$222)*'Cálculos'!$F$98)+1400)+'Cálculos'!$F$123)*'Cálculos'!$F$221)+('Cálculos'!$F$204*(1+'Cálculos'!$F$205+$A$177:$A$222*('Cálculos'!$F$290=3)*'Cálculos'!$F$103)+'Cálculos'!$F$206)*('Cálculos'!$F$212+'Cálculos'!$F$124*(1+2.78*('Cálculos'!$F$196+(($C199)-$A$177:$A$222)*'Cálculos'!$F$98)/(('Cálculos'!$F$196+(($C199)-$A$177:$A$222)*'Cálculos'!$F$98)+1400)+'Cálculos'!$F$122)*'Cálculos'!$F$217+'Cálculos'!$F$125*(1+2.78*('Cálculos'!$F$196+(($C199)-$A$177:$A$222)*'Cálculos'!$F$98)/(('Cálculos'!$F$196+(($C199)-$A$177:$A$222)*'Cálculos'!$F$98)+1400)+'Cálculos'!$F$123)*'Cálculos'!$F$222)+('Cálculos'!$F$213+'Cálculos'!$F$124*(1+2.78*('Cálculos'!$F$196+(($C199)-$A$177:$A$222)*'Cálculos'!$F$98)/(('Cálculos'!$F$196+(($C199)-$A$177:$A$222)*'Cálculos'!$F$98)+1400)+'Cálculos'!$F$122)*'Cálculos'!$F$218+'Cálculos'!$F$125*(1+2.78*('Cálculos'!$F$196+(($C199)-$A$177:$A$222)*'Cálculos'!$F$98)/(('Cálculos'!$F$196+(($C199)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199)-$A$177:$A$222)*'Cálculos'!$F$98)/(('Cálculos'!$F$197+(($C199)-$A$177:$A$222)*'Cálculos'!$F$98)+1400)+'Cálculos'!$F$122)*'Cálculos'!$F$229+'Cálculos'!$F$125*(1+2.78*('Cálculos'!$F$197+(($C199)-$A$177:$A$222)*'Cálculos'!$F$98)/(('Cálculos'!$F$197+(($C199)-$A$177:$A$222)*'Cálculos'!$F$98)+1400)+'Cálculos'!$F$123)*'Cálculos'!$F$234)+('Cálculos'!$F$197+(($C199)-$A$177:$A$222)*'Cálculos'!$F$98)*('Cálculos'!$F$225+'Cálculos'!$F$124*(1+2.78*('Cálculos'!$F$197+(($C199)-$A$177:$A$222)*'Cálculos'!$F$98)/(('Cálculos'!$F$197+(($C199)-$A$177:$A$222)*'Cálculos'!$F$98)+1400)+'Cálculos'!$F$122)*'Cálculos'!$F$230+'Cálculos'!$F$125*(1+2.78*('Cálculos'!$F$197+(($C199)-$A$177:$A$222)*'Cálculos'!$F$98)/(('Cálculos'!$F$197+(($C199)-$A$177:$A$222)*'Cálculos'!$F$98)+1400)+'Cálculos'!$F$123)*'Cálculos'!$F$235)+('Cálculos'!$F$201*(1+'Cálculos'!$F$202+$A$177:$A$222*('Cálculos'!$F$290=2)*'Cálculos'!$F$101)+'Cálculos'!$F$203)*('Cálculos'!$F$226+'Cálculos'!$F$124*(1+2.78*('Cálculos'!$F$197+(($C199)-$A$177:$A$222)*'Cálculos'!$F$98)/(('Cálculos'!$F$197+(($C199)-$A$177:$A$222)*'Cálculos'!$F$98)+1400)+'Cálculos'!$F$122)*'Cálculos'!$F$231+'Cálculos'!$F$125*(1+2.78*('Cálculos'!$F$197+(($C199)-$A$177:$A$222)*'Cálculos'!$F$98)/(('Cálculos'!$F$197+(($C199)-$A$177:$A$222)*'Cálculos'!$F$98)+1400)+'Cálculos'!$F$123)*'Cálculos'!$F$236)+('Cálculos'!$F$204*(1+'Cálculos'!$F$205+$A$177:$A$222*('Cálculos'!$F$290=3)*'Cálculos'!$F$103)+'Cálculos'!$F$206)*('Cálculos'!$F$227+'Cálculos'!$F$124*(1+2.78*('Cálculos'!$F$197+(($C199)-$A$177:$A$222)*'Cálculos'!$F$98)/(('Cálculos'!$F$197+(($C199)-$A$177:$A$222)*'Cálculos'!$F$98)+1400)+'Cálculos'!$F$122)*'Cálculos'!$F$232+'Cálculos'!$F$125*(1+2.78*('Cálculos'!$F$197+(($C199)-$A$177:$A$222)*'Cálculos'!$F$98)/(('Cálculos'!$F$197+(($C199)-$A$177:$A$222)*'Cálculos'!$F$98)+1400)+'Cálculos'!$F$123)*'Cálculos'!$F$237)+('Cálculos'!$F$228+'Cálculos'!$F$124*(1+2.78*('Cálculos'!$F$197+(($C199)-$A$177:$A$222)*'Cálculos'!$F$98)/(('Cálculos'!$F$197+(($C199)-$A$177:$A$222)*'Cálculos'!$F$98)+1400)+'Cálculos'!$F$122)*'Cálculos'!$F$233+'Cálculos'!$F$125*(1+2.78*('Cálculos'!$F$197+(($C199)-$A$177:$A$222)*'Cálculos'!$F$98)/(('Cálculos'!$F$197+(($C199)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199)-$A$177:$A$222)*'Cálculos'!$F$98)/(('Cálculos'!$F$198+(($C199)-$A$177:$A$222)*'Cálculos'!$F$98)+1400)+'Cálculos'!$F$122)*'Cálculos'!$F$244+'Cálculos'!$F$125*(1+2.78*('Cálculos'!$F$198+(($C199)-$A$177:$A$222)*'Cálculos'!$F$98)/(('Cálculos'!$F$198+(($C199)-$A$177:$A$222)*'Cálculos'!$F$98)+1400)+'Cálculos'!$F$123)*'Cálculos'!$F$249)+('Cálculos'!$F$198+(($C199)-$A$177:$A$222)*'Cálculos'!$F$98)*('Cálculos'!$F$240+'Cálculos'!$F$124*(1+2.78*('Cálculos'!$F$198+(($C199)-$A$177:$A$222)*'Cálculos'!$F$98)/(('Cálculos'!$F$198+(($C199)-$A$177:$A$222)*'Cálculos'!$F$98)+1400)+'Cálculos'!$F$122)*'Cálculos'!$F$245+'Cálculos'!$F$125*(1+2.78*('Cálculos'!$F$198+(($C199)-$A$177:$A$222)*'Cálculos'!$F$98)/(('Cálculos'!$F$198+(($C199)-$A$177:$A$222)*'Cálculos'!$F$98)+1400)+'Cálculos'!$F$123)*'Cálculos'!$F$250)+('Cálculos'!$F$201*(1+'Cálculos'!$F$202+$A$177:$A$222*('Cálculos'!$F$290=2)*'Cálculos'!$F$101)+'Cálculos'!$F$203)*('Cálculos'!$F$241+'Cálculos'!$F$124*(1+2.78*('Cálculos'!$F$198+(($C199)-$A$177:$A$222)*'Cálculos'!$F$98)/(('Cálculos'!$F$198+(($C199)-$A$177:$A$222)*'Cálculos'!$F$98)+1400)+'Cálculos'!$F$122)*'Cálculos'!$F$246+'Cálculos'!$F$125*(1+2.78*('Cálculos'!$F$198+(($C199)-$A$177:$A$222)*'Cálculos'!$F$98)/(('Cálculos'!$F$198+(($C199)-$A$177:$A$222)*'Cálculos'!$F$98)+1400)+'Cálculos'!$F$123)*'Cálculos'!$F$251)+('Cálculos'!$F$204*(1+'Cálculos'!$F$205+$A$177:$A$222*('Cálculos'!$F$290=3)*'Cálculos'!$F$103)+'Cálculos'!$F$206)*('Cálculos'!$F$242+'Cálculos'!$F$124*(1+2.78*('Cálculos'!$F$198+(($C199)-$A$177:$A$222)*'Cálculos'!$F$98)/(('Cálculos'!$F$198+(($C199)-$A$177:$A$222)*'Cálculos'!$F$98)+1400)+'Cálculos'!$F$122)*'Cálculos'!$F$247+'Cálculos'!$F$125*(1+2.78*('Cálculos'!$F$198+(($C199)-$A$177:$A$222)*'Cálculos'!$F$98)/(('Cálculos'!$F$198+(($C199)-$A$177:$A$222)*'Cálculos'!$F$98)+1400)+'Cálculos'!$F$123)*'Cálculos'!$F$252)+('Cálculos'!$F$243+'Cálculos'!$F$124*(1+2.78*('Cálculos'!$F$198+(($C199)-$A$177:$A$222)*'Cálculos'!$F$98)/(('Cálculos'!$F$198+(($C199)-$A$177:$A$222)*'Cálculos'!$F$98)+1400)+'Cálculos'!$F$122)*'Cálculos'!$F$248+'Cálculos'!$F$125*(1+2.78*('Cálculos'!$F$198+(($C199)-$A$177:$A$222)*'Cálculos'!$F$98)/(('Cálculos'!$F$198+(($C199)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199)-$A$177:$A$222)*'Cálculos'!$F$98)/(('Cálculos'!$F$199+(($C199)-$A$177:$A$222)*'Cálculos'!$F$98)+1400)+'Cálculos'!$F$122)*'Cálculos'!$F$259+'Cálculos'!$F$125*(1+2.78*('Cálculos'!$F$199+(($C199)-$A$177:$A$222)*'Cálculos'!$F$98)/(('Cálculos'!$F$199+(($C199)-$A$177:$A$222)*'Cálculos'!$F$98)+1400)+'Cálculos'!$F$123)*'Cálculos'!$F$264)+('Cálculos'!$F$199+(($C199)-$A$177:$A$222)*'Cálculos'!$F$98)*('Cálculos'!$F$255+'Cálculos'!$F$124*(1+2.78*('Cálculos'!$F$199+(($C199)-$A$177:$A$222)*'Cálculos'!$F$98)/(('Cálculos'!$F$199+(($C199)-$A$177:$A$222)*'Cálculos'!$F$98)+1400)+'Cálculos'!$F$122)*'Cálculos'!$F$260+'Cálculos'!$F$125*(1+2.78*('Cálculos'!$F$199+(($C199)-$A$177:$A$222)*'Cálculos'!$F$98)/(('Cálculos'!$F$199+(($C199)-$A$177:$A$222)*'Cálculos'!$F$98)+1400)+'Cálculos'!$F$123)*'Cálculos'!$F$265)+('Cálculos'!$F$201*(1+'Cálculos'!$F$202+$A$177:$A$222*('Cálculos'!$F$290=2)*'Cálculos'!$F$101)+'Cálculos'!$F$203)*('Cálculos'!$F$256+'Cálculos'!$F$124*(1+2.78*('Cálculos'!$F$199+(($C199)-$A$177:$A$222)*'Cálculos'!$F$98)/(('Cálculos'!$F$199+(($C199)-$A$177:$A$222)*'Cálculos'!$F$98)+1400)+'Cálculos'!$F$122)*'Cálculos'!$F$261+'Cálculos'!$F$125*(1+2.78*('Cálculos'!$F$199+(($C199)-$A$177:$A$222)*'Cálculos'!$F$98)/(('Cálculos'!$F$199+(($C199)-$A$177:$A$222)*'Cálculos'!$F$98)+1400)+'Cálculos'!$F$123)*'Cálculos'!$F$266)+('Cálculos'!$F$204*(1+'Cálculos'!$F$205+$A$177:$A$222*('Cálculos'!$F$290=3)*'Cálculos'!$F$103)+'Cálculos'!$F$206)*('Cálculos'!$F$257+'Cálculos'!$F$124*(1+2.78*('Cálculos'!$F$199+(($C199)-$A$177:$A$222)*'Cálculos'!$F$98)/(('Cálculos'!$F$199+(($C199)-$A$177:$A$222)*'Cálculos'!$F$98)+1400)+'Cálculos'!$F$122)*'Cálculos'!$F$262+'Cálculos'!$F$125*(1+2.78*('Cálculos'!$F$199+(($C199)-$A$177:$A$222)*'Cálculos'!$F$98)/(('Cálculos'!$F$199+(($C199)-$A$177:$A$222)*'Cálculos'!$F$98)+1400)+'Cálculos'!$F$123)*'Cálculos'!$F$267)+('Cálculos'!$F$258+'Cálculos'!$F$124*(1+2.78*('Cálculos'!$F$199+(($C199)-$A$177:$A$222)*'Cálculos'!$F$98)/(('Cálculos'!$F$199+(($C199)-$A$177:$A$222)*'Cálculos'!$F$98)+1400)+'Cálculos'!$F$122)*'Cálculos'!$F$263+'Cálculos'!$F$125*(1+2.78*('Cálculos'!$F$199+(($C199)-$A$177:$A$222)*'Cálculos'!$F$98)/(('Cálculos'!$F$199+(($C199)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199)-$A$177:$A$222)*'Cálculos'!$F$98)/(('Cálculos'!$F$200+(($C199)-$A$177:$A$222)*'Cálculos'!$F$98)+1400)+'Cálculos'!$F$122)*'Cálculos'!$F$274+'Cálculos'!$F$125*(1+2.78*('Cálculos'!$F$200+(($C199)-$A$177:$A$222)*'Cálculos'!$F$98)/(('Cálculos'!$F$200+(($C199)-$A$177:$A$222)*'Cálculos'!$F$98)+1400)+'Cálculos'!$F$123)*'Cálculos'!$F$279)+('Cálculos'!$F$200+(($C199)-$A$177:$A$222)*'Cálculos'!$F$98)*('Cálculos'!$F$270+'Cálculos'!$F$124*(1+2.78*('Cálculos'!$F$200+(($C199)-$A$177:$A$222)*'Cálculos'!$F$98)/(('Cálculos'!$F$200+(($C199)-$A$177:$A$222)*'Cálculos'!$F$98)+1400)+'Cálculos'!$F$122)*'Cálculos'!$F$275+'Cálculos'!$F$125*(1+2.78*('Cálculos'!$F$200+(($C199)-$A$177:$A$222)*'Cálculos'!$F$98)/(('Cálculos'!$F$200+(($C199)-$A$177:$A$222)*'Cálculos'!$F$98)+1400)+'Cálculos'!$F$123)*'Cálculos'!$F$280)+('Cálculos'!$F$201*(1+'Cálculos'!$F$202+$A$177:$A$222*('Cálculos'!$F$290=2)*'Cálculos'!$F$101)+'Cálculos'!$F$203)*('Cálculos'!$F$271+'Cálculos'!$F$124*(1+2.78*('Cálculos'!$F$200+(($C199)-$A$177:$A$222)*'Cálculos'!$F$98)/(('Cálculos'!$F$200+(($C199)-$A$177:$A$222)*'Cálculos'!$F$98)+1400)+'Cálculos'!$F$122)*'Cálculos'!$F$276+'Cálculos'!$F$125*(1+2.78*('Cálculos'!$F$200+(($C199)-$A$177:$A$222)*'Cálculos'!$F$98)/(('Cálculos'!$F$200+(($C199)-$A$177:$A$222)*'Cálculos'!$F$98)+1400)+'Cálculos'!$F$123)*'Cálculos'!$F$281)+('Cálculos'!$F$204*(1+'Cálculos'!$F$205+$A$177:$A$222*('Cálculos'!$F$290=3)*'Cálculos'!$F$103)+'Cálculos'!$F$206)*('Cálculos'!$F$272+'Cálculos'!$F$124*(1+2.78*('Cálculos'!$F$200+(($C199)-$A$177:$A$222)*'Cálculos'!$F$98)/(('Cálculos'!$F$200+(($C199)-$A$177:$A$222)*'Cálculos'!$F$98)+1400)+'Cálculos'!$F$122)*'Cálculos'!$F$277+'Cálculos'!$F$125*(1+2.78*('Cálculos'!$F$200+(($C199)-$A$177:$A$222)*'Cálculos'!$F$98)/(('Cálculos'!$F$200+(($C199)-$A$177:$A$222)*'Cálculos'!$F$98)+1400)+'Cálculos'!$F$123)*'Cálculos'!$F$282)+('Cálculos'!$F$273+'Cálculos'!$F$124*(1+2.78*('Cálculos'!$F$200+(($C199)-$A$177:$A$222)*'Cálculos'!$F$98)/(('Cálculos'!$F$200+(($C199)-$A$177:$A$222)*'Cálculos'!$F$98)+1400)+'Cálculos'!$F$122)*'Cálculos'!$F$278+'Cálculos'!$F$125*(1+2.78*('Cálculos'!$F$200+(($C199)-$A$177:$A$222)*'Cálculos'!$F$98)/(('Cálculos'!$F$200+(($C199)-$A$177:$A$222)*'Cálculos'!$F$98)+1400)+'Cálculos'!$F$123)*'Cálculos'!$F$283)))))</f>
        <v>0</v>
      </c>
      <c r="E199" s="32">
        <f>IF(OR($C199&lt;0,'Cálculos'!$F$6=""),0,$B199*$D199)</f>
        <v>0</v>
      </c>
      <c r="F199" s="2"/>
      <c r="G199" s="30">
        <f>($A199&lt;=$B$224)*($A199&lt;='Cálculos'!$F$294)*(($B$224)-$A199&lt;='Cálculos'!$F$295)*(1+MIN(('Cálculos'!$F$207+$A199*'Cálculos'!$F$95),1)*('Cálculos'!$F$208+(($B$224)-$A199)*'Cálculos'!$F$96))</f>
        <v>0</v>
      </c>
      <c r="H199" s="31">
        <f>IF($B$225&lt;0,0,($A199&lt;=$B$225)*($A199&lt;='Cálculos'!$F$301)*(($B$225)-$A199&lt;='Cálculos'!$F$297)*(('Cálculos'!$F$185*(1+'Cálculos'!$F$186+$A199*('Cálculos'!$F$290=1)*'Cálculos'!$F$97+'Cálculos'!$F$305)+'Cálculos'!$F$191)*('Cálculos'!$F$209+'Cálculos'!$F$124*(1+2.78*('Cálculos'!$F$196+(($B$225)-$A199)*'Cálculos'!$F$98)/(('Cálculos'!$F$196+(($B$225)-$A199)*'Cálculos'!$F$98)+1400)+'Cálculos'!$F$122)*'Cálculos'!$F$214+'Cálculos'!$F$125*(1+2.78*('Cálculos'!$F$196+(($B$225)-$A199)*'Cálculos'!$F$98)/(('Cálculos'!$F$196+(($B$225)-$A199)*'Cálculos'!$F$98)+1400)+'Cálculos'!$F$123)*'Cálculos'!$F$219)+('Cálculos'!$F$196+(($B$225)-$A199)*'Cálculos'!$F$98)*('Cálculos'!$F$210+'Cálculos'!$F$124*(1+2.78*('Cálculos'!$F$196+(($B$225)-$A199)*'Cálculos'!$F$98)/(('Cálculos'!$F$196+(($B$225)-$A199)*'Cálculos'!$F$98)+1400)+'Cálculos'!$F$122)*'Cálculos'!$F$215+'Cálculos'!$F$125*(1+2.78*('Cálculos'!$F$196+(($B$225)-$A199)*'Cálculos'!$F$98)/(('Cálculos'!$F$196+(($B$225)-$A199)*'Cálculos'!$F$98)+1400)+'Cálculos'!$F$123)*'Cálculos'!$F$220)+('Cálculos'!$F$201*(1+'Cálculos'!$F$202+$A199*('Cálculos'!$F$290=2)*'Cálculos'!$F$101)+'Cálculos'!$F$203)*('Cálculos'!$F$211+'Cálculos'!$F$124*(1+2.78*('Cálculos'!$F$196+(($B$225)-$A199)*'Cálculos'!$F$98)/(('Cálculos'!$F$196+(($B$225)-$A199)*'Cálculos'!$F$98)+1400)+'Cálculos'!$F$122)*'Cálculos'!$F$216+'Cálculos'!$F$125*(1+2.78*('Cálculos'!$F$196+(($B$225)-$A199)*'Cálculos'!$F$98)/(('Cálculos'!$F$196+(($B$225)-$A199)*'Cálculos'!$F$98)+1400)+'Cálculos'!$F$123)*'Cálculos'!$F$221)+('Cálculos'!$F$204*(1+'Cálculos'!$F$205+$A199*('Cálculos'!$F$290=3)*'Cálculos'!$F$103)+'Cálculos'!$F$206)*('Cálculos'!$F$212+'Cálculos'!$F$124*(1+2.78*('Cálculos'!$F$196+(($B$225)-$A199)*'Cálculos'!$F$98)/(('Cálculos'!$F$196+(($B$225)-$A199)*'Cálculos'!$F$98)+1400)+'Cálculos'!$F$122)*'Cálculos'!$F$217+'Cálculos'!$F$125*(1+2.78*('Cálculos'!$F$196+(($B$225)-$A199)*'Cálculos'!$F$98)/(('Cálculos'!$F$196+(($B$225)-$A199)*'Cálculos'!$F$98)+1400)+'Cálculos'!$F$123)*'Cálculos'!$F$222)+('Cálculos'!$F$213+'Cálculos'!$F$124*(1+2.78*('Cálculos'!$F$196+(($B$225)-$A199)*'Cálculos'!$F$98)/(('Cálculos'!$F$196+(($B$225)-$A199)*'Cálculos'!$F$98)+1400)+'Cálculos'!$F$122)*'Cálculos'!$F$218+'Cálculos'!$F$125*(1+2.78*('Cálculos'!$F$196+(($B$225)-$A199)*'Cálculos'!$F$98)/(('Cálculos'!$F$196+(($B$225)-$A199)*'Cálculos'!$F$98)+1400)+'Cálculos'!$F$123)*'Cálculos'!$F$223)+('Cálculos'!$F$185*(1+'Cálculos'!$F$187+$A199*('Cálculos'!$F$290=1)*'Cálculos'!$F$97+'Cálculos'!$F$305)+'Cálculos'!$F$192)*('Cálculos'!$F$224+'Cálculos'!$F$124*(1+2.78*('Cálculos'!$F$197+(($B$225)-$A199)*'Cálculos'!$F$98)/(('Cálculos'!$F$197+(($B$225)-$A199)*'Cálculos'!$F$98)+1400)+'Cálculos'!$F$122)*'Cálculos'!$F$229+'Cálculos'!$F$125*(1+2.78*('Cálculos'!$F$197+(($B$225)-$A199)*'Cálculos'!$F$98)/(('Cálculos'!$F$197+(($B$225)-$A199)*'Cálculos'!$F$98)+1400)+'Cálculos'!$F$123)*'Cálculos'!$F$234)+('Cálculos'!$F$197+(($B$225)-$A199)*'Cálculos'!$F$98)*('Cálculos'!$F$225+'Cálculos'!$F$124*(1+2.78*('Cálculos'!$F$197+(($B$225)-$A199)*'Cálculos'!$F$98)/(('Cálculos'!$F$197+(($B$225)-$A199)*'Cálculos'!$F$98)+1400)+'Cálculos'!$F$122)*'Cálculos'!$F$230+'Cálculos'!$F$125*(1+2.78*('Cálculos'!$F$197+(($B$225)-$A199)*'Cálculos'!$F$98)/(('Cálculos'!$F$197+(($B$225)-$A199)*'Cálculos'!$F$98)+1400)+'Cálculos'!$F$123)*'Cálculos'!$F$235)+('Cálculos'!$F$201*(1+'Cálculos'!$F$202+$A199*('Cálculos'!$F$290=2)*'Cálculos'!$F$101)+'Cálculos'!$F$203)*('Cálculos'!$F$226+'Cálculos'!$F$124*(1+2.78*('Cálculos'!$F$197+(($B$225)-$A199)*'Cálculos'!$F$98)/(('Cálculos'!$F$197+(($B$225)-$A199)*'Cálculos'!$F$98)+1400)+'Cálculos'!$F$122)*'Cálculos'!$F$231+'Cálculos'!$F$125*(1+2.78*('Cálculos'!$F$197+(($B$225)-$A199)*'Cálculos'!$F$98)/(('Cálculos'!$F$197+(($B$225)-$A199)*'Cálculos'!$F$98)+1400)+'Cálculos'!$F$123)*'Cálculos'!$F$236)+('Cálculos'!$F$204*(1+'Cálculos'!$F$205+$A199*('Cálculos'!$F$290=3)*'Cálculos'!$F$103)+'Cálculos'!$F$206)*('Cálculos'!$F$227+'Cálculos'!$F$124*(1+2.78*('Cálculos'!$F$197+(($B$225)-$A199)*'Cálculos'!$F$98)/(('Cálculos'!$F$197+(($B$225)-$A199)*'Cálculos'!$F$98)+1400)+'Cálculos'!$F$122)*'Cálculos'!$F$232+'Cálculos'!$F$125*(1+2.78*('Cálculos'!$F$197+(($B$225)-$A199)*'Cálculos'!$F$98)/(('Cálculos'!$F$197+(($B$225)-$A199)*'Cálculos'!$F$98)+1400)+'Cálculos'!$F$123)*'Cálculos'!$F$237)+('Cálculos'!$F$228+'Cálculos'!$F$124*(1+2.78*('Cálculos'!$F$197+(($B$225)-$A199)*'Cálculos'!$F$98)/(('Cálculos'!$F$197+(($B$225)-$A199)*'Cálculos'!$F$98)+1400)+'Cálculos'!$F$122)*'Cálculos'!$F$233+'Cálculos'!$F$125*(1+2.78*('Cálculos'!$F$197+(($B$225)-$A199)*'Cálculos'!$F$98)/(('Cálculos'!$F$197+(($B$225)-$A199)*'Cálculos'!$F$98)+1400)+'Cálculos'!$F$123)*'Cálculos'!$F$238)+('Cálculos'!$F$185*(1+'Cálculos'!$F$188+$A199*('Cálculos'!$F$290=1)*'Cálculos'!$F$97+'Cálculos'!$F$305)+'Cálculos'!$F$193)*('Cálculos'!$F$239+'Cálculos'!$F$124*(1+2.78*('Cálculos'!$F$198+(($B$225)-$A199)*'Cálculos'!$F$98)/(('Cálculos'!$F$198+(($B$225)-$A199)*'Cálculos'!$F$98)+1400)+'Cálculos'!$F$122)*'Cálculos'!$F$244+'Cálculos'!$F$125*(1+2.78*('Cálculos'!$F$198+(($B$225)-$A199)*'Cálculos'!$F$98)/(('Cálculos'!$F$198+(($B$225)-$A199)*'Cálculos'!$F$98)+1400)+'Cálculos'!$F$123)*'Cálculos'!$F$249)+('Cálculos'!$F$198+(($B$225)-$A199)*'Cálculos'!$F$98)*('Cálculos'!$F$240+'Cálculos'!$F$124*(1+2.78*('Cálculos'!$F$198+(($B$225)-$A199)*'Cálculos'!$F$98)/(('Cálculos'!$F$198+(($B$225)-$A199)*'Cálculos'!$F$98)+1400)+'Cálculos'!$F$122)*'Cálculos'!$F$245+'Cálculos'!$F$125*(1+2.78*('Cálculos'!$F$198+(($B$225)-$A199)*'Cálculos'!$F$98)/(('Cálculos'!$F$198+(($B$225)-$A199)*'Cálculos'!$F$98)+1400)+'Cálculos'!$F$123)*'Cálculos'!$F$250)+('Cálculos'!$F$201*(1+'Cálculos'!$F$202+$A199*('Cálculos'!$F$290=2)*'Cálculos'!$F$101)+'Cálculos'!$F$203)*('Cálculos'!$F$241+'Cálculos'!$F$124*(1+2.78*('Cálculos'!$F$198+(($B$225)-$A199)*'Cálculos'!$F$98)/(('Cálculos'!$F$198+(($B$225)-$A199)*'Cálculos'!$F$98)+1400)+'Cálculos'!$F$122)*'Cálculos'!$F$246+'Cálculos'!$F$125*(1+2.78*('Cálculos'!$F$198+(($B$225)-$A199)*'Cálculos'!$F$98)/(('Cálculos'!$F$198+(($B$225)-$A199)*'Cálculos'!$F$98)+1400)+'Cálculos'!$F$123)*'Cálculos'!$F$251)+('Cálculos'!$F$204*(1+'Cálculos'!$F$205+$A199*('Cálculos'!$F$290=3)*'Cálculos'!$F$103)+'Cálculos'!$F$206)*('Cálculos'!$F$242+'Cálculos'!$F$124*(1+2.78*('Cálculos'!$F$198+(($B$225)-$A199)*'Cálculos'!$F$98)/(('Cálculos'!$F$198+(($B$225)-$A199)*'Cálculos'!$F$98)+1400)+'Cálculos'!$F$122)*'Cálculos'!$F$247+'Cálculos'!$F$125*(1+2.78*('Cálculos'!$F$198+(($B$225)-$A199)*'Cálculos'!$F$98)/(('Cálculos'!$F$198+(($B$225)-$A199)*'Cálculos'!$F$98)+1400)+'Cálculos'!$F$123)*'Cálculos'!$F$252)+('Cálculos'!$F$243+'Cálculos'!$F$124*(1+2.78*('Cálculos'!$F$198+(($B$225)-$A199)*'Cálculos'!$F$98)/(('Cálculos'!$F$198+(($B$225)-$A199)*'Cálculos'!$F$98)+1400)+'Cálculos'!$F$122)*'Cálculos'!$F$248+'Cálculos'!$F$125*(1+2.78*('Cálculos'!$F$198+(($B$225)-$A199)*'Cálculos'!$F$98)/(('Cálculos'!$F$198+(($B$225)-$A199)*'Cálculos'!$F$98)+1400)+'Cálculos'!$F$123)*'Cálculos'!$F$253)+('Cálculos'!$F$185*(1+'Cálculos'!$F$189+$A199*('Cálculos'!$F$290=1)*'Cálculos'!$F$97+'Cálculos'!$F$305)+'Cálculos'!$F$194)*('Cálculos'!$F$254+'Cálculos'!$F$124*(1+2.78*('Cálculos'!$F$199+(($B$225)-$A199)*'Cálculos'!$F$98)/(('Cálculos'!$F$199+(($B$225)-$A199)*'Cálculos'!$F$98)+1400)+'Cálculos'!$F$122)*'Cálculos'!$F$259+'Cálculos'!$F$125*(1+2.78*('Cálculos'!$F$199+(($B$225)-$A199)*'Cálculos'!$F$98)/(('Cálculos'!$F$199+(($B$225)-$A199)*'Cálculos'!$F$98)+1400)+'Cálculos'!$F$123)*'Cálculos'!$F$264)+('Cálculos'!$F$199+(($B$225)-$A199)*'Cálculos'!$F$98)*('Cálculos'!$F$255+'Cálculos'!$F$124*(1+2.78*('Cálculos'!$F$199+(($B$225)-$A199)*'Cálculos'!$F$98)/(('Cálculos'!$F$199+(($B$225)-$A199)*'Cálculos'!$F$98)+1400)+'Cálculos'!$F$122)*'Cálculos'!$F$260+'Cálculos'!$F$125*(1+2.78*('Cálculos'!$F$199+(($B$225)-$A199)*'Cálculos'!$F$98)/(('Cálculos'!$F$199+(($B$225)-$A199)*'Cálculos'!$F$98)+1400)+'Cálculos'!$F$123)*'Cálculos'!$F$265)+('Cálculos'!$F$201*(1+'Cálculos'!$F$202+$A199*('Cálculos'!$F$290=2)*'Cálculos'!$F$101)+'Cálculos'!$F$203)*('Cálculos'!$F$256+'Cálculos'!$F$124*(1+2.78*('Cálculos'!$F$199+(($B$225)-$A199)*'Cálculos'!$F$98)/(('Cálculos'!$F$199+(($B$225)-$A199)*'Cálculos'!$F$98)+1400)+'Cálculos'!$F$122)*'Cálculos'!$F$261+'Cálculos'!$F$125*(1+2.78*('Cálculos'!$F$199+(($B$225)-$A199)*'Cálculos'!$F$98)/(('Cálculos'!$F$199+(($B$225)-$A199)*'Cálculos'!$F$98)+1400)+'Cálculos'!$F$123)*'Cálculos'!$F$266)+('Cálculos'!$F$204*(1+'Cálculos'!$F$205+$A199*('Cálculos'!$F$290=3)*'Cálculos'!$F$103)+'Cálculos'!$F$206)*('Cálculos'!$F$257+'Cálculos'!$F$124*(1+2.78*('Cálculos'!$F$199+(($B$225)-$A199)*'Cálculos'!$F$98)/(('Cálculos'!$F$199+(($B$225)-$A199)*'Cálculos'!$F$98)+1400)+'Cálculos'!$F$122)*'Cálculos'!$F$262+'Cálculos'!$F$125*(1+2.78*('Cálculos'!$F$199+(($B$225)-$A199)*'Cálculos'!$F$98)/(('Cálculos'!$F$199+(($B$225)-$A199)*'Cálculos'!$F$98)+1400)+'Cálculos'!$F$123)*'Cálculos'!$F$267)+('Cálculos'!$F$258+'Cálculos'!$F$124*(1+2.78*('Cálculos'!$F$199+(($B$225)-$A199)*'Cálculos'!$F$98)/(('Cálculos'!$F$199+(($B$225)-$A199)*'Cálculos'!$F$98)+1400)+'Cálculos'!$F$122)*'Cálculos'!$F$263+'Cálculos'!$F$125*(1+2.78*('Cálculos'!$F$199+(($B$225)-$A199)*'Cálculos'!$F$98)/(('Cálculos'!$F$199+(($B$225)-$A199)*'Cálculos'!$F$98)+1400)+'Cálculos'!$F$123)*'Cálculos'!$F$268)+('Cálculos'!$F$185*(1+'Cálculos'!$F$190+$A199*('Cálculos'!$F$290=1)*'Cálculos'!$F$97+'Cálculos'!$F$305)+'Cálculos'!$F$195)*('Cálculos'!$F$269+'Cálculos'!$F$124*(1+2.78*('Cálculos'!$F$200+(($B$225)-$A199)*'Cálculos'!$F$98)/(('Cálculos'!$F$200+(($B$225)-$A199)*'Cálculos'!$F$98)+1400)+'Cálculos'!$F$122)*'Cálculos'!$F$274+'Cálculos'!$F$125*(1+2.78*('Cálculos'!$F$200+(($B$225)-$A199)*'Cálculos'!$F$98)/(('Cálculos'!$F$200+(($B$225)-$A199)*'Cálculos'!$F$98)+1400)+'Cálculos'!$F$123)*'Cálculos'!$F$279)+('Cálculos'!$F$200+(($B$225)-$A199)*'Cálculos'!$F$98)*('Cálculos'!$F$270+'Cálculos'!$F$124*(1+2.78*('Cálculos'!$F$200+(($B$225)-$A199)*'Cálculos'!$F$98)/(('Cálculos'!$F$200+(($B$225)-$A199)*'Cálculos'!$F$98)+1400)+'Cálculos'!$F$122)*'Cálculos'!$F$275+'Cálculos'!$F$125*(1+2.78*('Cálculos'!$F$200+(($B$225)-$A199)*'Cálculos'!$F$98)/(('Cálculos'!$F$200+(($B$225)-$A199)*'Cálculos'!$F$98)+1400)+'Cálculos'!$F$123)*'Cálculos'!$F$280)+('Cálculos'!$F$201*(1+'Cálculos'!$F$202+$A199*('Cálculos'!$F$290=2)*'Cálculos'!$F$101)+'Cálculos'!$F$203)*('Cálculos'!$F$271+'Cálculos'!$F$124*(1+2.78*('Cálculos'!$F$200+(($B$225)-$A199)*'Cálculos'!$F$98)/(('Cálculos'!$F$200+(($B$225)-$A199)*'Cálculos'!$F$98)+1400)+'Cálculos'!$F$122)*'Cálculos'!$F$276+'Cálculos'!$F$125*(1+2.78*('Cálculos'!$F$200+(($B$225)-$A199)*'Cálculos'!$F$98)/(('Cálculos'!$F$200+(($B$225)-$A199)*'Cálculos'!$F$98)+1400)+'Cálculos'!$F$123)*'Cálculos'!$F$281)+('Cálculos'!$F$204*(1+'Cálculos'!$F$205+$A199*('Cálculos'!$F$290=3)*'Cálculos'!$F$103)+'Cálculos'!$F$206)*('Cálculos'!$F$272+'Cálculos'!$F$124*(1+2.78*('Cálculos'!$F$200+(($B$225)-$A199)*'Cálculos'!$F$98)/(('Cálculos'!$F$200+(($B$225)-$A199)*'Cálculos'!$F$98)+1400)+'Cálculos'!$F$122)*'Cálculos'!$F$277+'Cálculos'!$F$125*(1+2.78*('Cálculos'!$F$200+(($B$225)-$A199)*'Cálculos'!$F$98)/(('Cálculos'!$F$200+(($B$225)-$A199)*'Cálculos'!$F$98)+1400)+'Cálculos'!$F$123)*'Cálculos'!$F$282)+('Cálculos'!$F$273+'Cálculos'!$F$124*(1+2.78*('Cálculos'!$F$200+(($B$225)-$A199)*'Cálculos'!$F$98)/(('Cálculos'!$F$200+(($B$225)-$A199)*'Cálculos'!$F$98)+1400)+'Cálculos'!$F$122)*'Cálculos'!$F$278+'Cálculos'!$F$125*(1+2.78*('Cálculos'!$F$200+(($B$225)-$A199)*'Cálculos'!$F$98)/(('Cálculos'!$F$200+(($B$225)-$A199)*'Cálculos'!$F$98)+1400)+'Cálculos'!$F$123)*'Cálculos'!$F$283)))</f>
        <v>0</v>
      </c>
    </row>
    <row r="200" ht="15.75" customHeight="1">
      <c r="A200" s="2">
        <v>23.0</v>
      </c>
      <c r="B200" s="30">
        <f>SUMPRODUCT(MAX(($A$177:$A$222&lt;=$A200)*($A$177:$A$222&lt;='Cálculos'!$F$294)*(($A200)-$A$177:$A$222&lt;='Cálculos'!$F$295)*(1+(('Cálculos'!$F$207+$A$177:$A$222*'Cálculos'!$F$95)-(('Cálculos'!$F$207+$A$177:$A$222*'Cálculos'!$F$95)&gt;1)*(('Cálculos'!$F$207+$A$177:$A$222*'Cálculos'!$F$95)-1))*('Cálculos'!$F$208+(($A200)-$A$177:$A$222)*'Cálculos'!$F$96))))</f>
        <v>2.660522</v>
      </c>
      <c r="C200" s="2">
        <f>'Cálculos'!$F$303-$A200</f>
        <v>-5</v>
      </c>
      <c r="D200" s="31">
        <f>IF($C200&lt;0,0,SUMPRODUCT(MAX(($A$177:$A$222&lt;=$C200)*($A$177:$A$222&lt;='Cálculos'!$F$301)*(($C200)-$A$177:$A$222&lt;='Cálculos'!$F$297)*(('Cálculos'!$F$185*(1+'Cálculos'!$F$186+$A$177:$A$222*('Cálculos'!$F$290=1)*'Cálculos'!$F$97+'Cálculos'!$F$305)+'Cálculos'!$F$191)*('Cálculos'!$F$209+'Cálculos'!$F$124*(1+2.78*('Cálculos'!$F$196+(($C200)-$A$177:$A$222)*'Cálculos'!$F$98)/(('Cálculos'!$F$196+(($C200)-$A$177:$A$222)*'Cálculos'!$F$98)+1400)+'Cálculos'!$F$122)*'Cálculos'!$F$214+'Cálculos'!$F$125*(1+2.78*('Cálculos'!$F$196+(($C200)-$A$177:$A$222)*'Cálculos'!$F$98)/(('Cálculos'!$F$196+(($C200)-$A$177:$A$222)*'Cálculos'!$F$98)+1400)+'Cálculos'!$F$123)*'Cálculos'!$F$219)+('Cálculos'!$F$196+(($C200)-$A$177:$A$222)*'Cálculos'!$F$98)*('Cálculos'!$F$210+'Cálculos'!$F$124*(1+2.78*('Cálculos'!$F$196+(($C200)-$A$177:$A$222)*'Cálculos'!$F$98)/(('Cálculos'!$F$196+(($C200)-$A$177:$A$222)*'Cálculos'!$F$98)+1400)+'Cálculos'!$F$122)*'Cálculos'!$F$215+'Cálculos'!$F$125*(1+2.78*('Cálculos'!$F$196+(($C200)-$A$177:$A$222)*'Cálculos'!$F$98)/(('Cálculos'!$F$196+(($C200)-$A$177:$A$222)*'Cálculos'!$F$98)+1400)+'Cálculos'!$F$123)*'Cálculos'!$F$220)+('Cálculos'!$F$201*(1+'Cálculos'!$F$202+$A$177:$A$222*('Cálculos'!$F$290=2)*'Cálculos'!$F$101)+'Cálculos'!$F$203)*('Cálculos'!$F$211+'Cálculos'!$F$124*(1+2.78*('Cálculos'!$F$196+(($C200)-$A$177:$A$222)*'Cálculos'!$F$98)/(('Cálculos'!$F$196+(($C200)-$A$177:$A$222)*'Cálculos'!$F$98)+1400)+'Cálculos'!$F$122)*'Cálculos'!$F$216+'Cálculos'!$F$125*(1+2.78*('Cálculos'!$F$196+(($C200)-$A$177:$A$222)*'Cálculos'!$F$98)/(('Cálculos'!$F$196+(($C200)-$A$177:$A$222)*'Cálculos'!$F$98)+1400)+'Cálculos'!$F$123)*'Cálculos'!$F$221)+('Cálculos'!$F$204*(1+'Cálculos'!$F$205+$A$177:$A$222*('Cálculos'!$F$290=3)*'Cálculos'!$F$103)+'Cálculos'!$F$206)*('Cálculos'!$F$212+'Cálculos'!$F$124*(1+2.78*('Cálculos'!$F$196+(($C200)-$A$177:$A$222)*'Cálculos'!$F$98)/(('Cálculos'!$F$196+(($C200)-$A$177:$A$222)*'Cálculos'!$F$98)+1400)+'Cálculos'!$F$122)*'Cálculos'!$F$217+'Cálculos'!$F$125*(1+2.78*('Cálculos'!$F$196+(($C200)-$A$177:$A$222)*'Cálculos'!$F$98)/(('Cálculos'!$F$196+(($C200)-$A$177:$A$222)*'Cálculos'!$F$98)+1400)+'Cálculos'!$F$123)*'Cálculos'!$F$222)+('Cálculos'!$F$213+'Cálculos'!$F$124*(1+2.78*('Cálculos'!$F$196+(($C200)-$A$177:$A$222)*'Cálculos'!$F$98)/(('Cálculos'!$F$196+(($C200)-$A$177:$A$222)*'Cálculos'!$F$98)+1400)+'Cálculos'!$F$122)*'Cálculos'!$F$218+'Cálculos'!$F$125*(1+2.78*('Cálculos'!$F$196+(($C200)-$A$177:$A$222)*'Cálculos'!$F$98)/(('Cálculos'!$F$196+(($C200)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200)-$A$177:$A$222)*'Cálculos'!$F$98)/(('Cálculos'!$F$197+(($C200)-$A$177:$A$222)*'Cálculos'!$F$98)+1400)+'Cálculos'!$F$122)*'Cálculos'!$F$229+'Cálculos'!$F$125*(1+2.78*('Cálculos'!$F$197+(($C200)-$A$177:$A$222)*'Cálculos'!$F$98)/(('Cálculos'!$F$197+(($C200)-$A$177:$A$222)*'Cálculos'!$F$98)+1400)+'Cálculos'!$F$123)*'Cálculos'!$F$234)+('Cálculos'!$F$197+(($C200)-$A$177:$A$222)*'Cálculos'!$F$98)*('Cálculos'!$F$225+'Cálculos'!$F$124*(1+2.78*('Cálculos'!$F$197+(($C200)-$A$177:$A$222)*'Cálculos'!$F$98)/(('Cálculos'!$F$197+(($C200)-$A$177:$A$222)*'Cálculos'!$F$98)+1400)+'Cálculos'!$F$122)*'Cálculos'!$F$230+'Cálculos'!$F$125*(1+2.78*('Cálculos'!$F$197+(($C200)-$A$177:$A$222)*'Cálculos'!$F$98)/(('Cálculos'!$F$197+(($C200)-$A$177:$A$222)*'Cálculos'!$F$98)+1400)+'Cálculos'!$F$123)*'Cálculos'!$F$235)+('Cálculos'!$F$201*(1+'Cálculos'!$F$202+$A$177:$A$222*('Cálculos'!$F$290=2)*'Cálculos'!$F$101)+'Cálculos'!$F$203)*('Cálculos'!$F$226+'Cálculos'!$F$124*(1+2.78*('Cálculos'!$F$197+(($C200)-$A$177:$A$222)*'Cálculos'!$F$98)/(('Cálculos'!$F$197+(($C200)-$A$177:$A$222)*'Cálculos'!$F$98)+1400)+'Cálculos'!$F$122)*'Cálculos'!$F$231+'Cálculos'!$F$125*(1+2.78*('Cálculos'!$F$197+(($C200)-$A$177:$A$222)*'Cálculos'!$F$98)/(('Cálculos'!$F$197+(($C200)-$A$177:$A$222)*'Cálculos'!$F$98)+1400)+'Cálculos'!$F$123)*'Cálculos'!$F$236)+('Cálculos'!$F$204*(1+'Cálculos'!$F$205+$A$177:$A$222*('Cálculos'!$F$290=3)*'Cálculos'!$F$103)+'Cálculos'!$F$206)*('Cálculos'!$F$227+'Cálculos'!$F$124*(1+2.78*('Cálculos'!$F$197+(($C200)-$A$177:$A$222)*'Cálculos'!$F$98)/(('Cálculos'!$F$197+(($C200)-$A$177:$A$222)*'Cálculos'!$F$98)+1400)+'Cálculos'!$F$122)*'Cálculos'!$F$232+'Cálculos'!$F$125*(1+2.78*('Cálculos'!$F$197+(($C200)-$A$177:$A$222)*'Cálculos'!$F$98)/(('Cálculos'!$F$197+(($C200)-$A$177:$A$222)*'Cálculos'!$F$98)+1400)+'Cálculos'!$F$123)*'Cálculos'!$F$237)+('Cálculos'!$F$228+'Cálculos'!$F$124*(1+2.78*('Cálculos'!$F$197+(($C200)-$A$177:$A$222)*'Cálculos'!$F$98)/(('Cálculos'!$F$197+(($C200)-$A$177:$A$222)*'Cálculos'!$F$98)+1400)+'Cálculos'!$F$122)*'Cálculos'!$F$233+'Cálculos'!$F$125*(1+2.78*('Cálculos'!$F$197+(($C200)-$A$177:$A$222)*'Cálculos'!$F$98)/(('Cálculos'!$F$197+(($C200)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200)-$A$177:$A$222)*'Cálculos'!$F$98)/(('Cálculos'!$F$198+(($C200)-$A$177:$A$222)*'Cálculos'!$F$98)+1400)+'Cálculos'!$F$122)*'Cálculos'!$F$244+'Cálculos'!$F$125*(1+2.78*('Cálculos'!$F$198+(($C200)-$A$177:$A$222)*'Cálculos'!$F$98)/(('Cálculos'!$F$198+(($C200)-$A$177:$A$222)*'Cálculos'!$F$98)+1400)+'Cálculos'!$F$123)*'Cálculos'!$F$249)+('Cálculos'!$F$198+(($C200)-$A$177:$A$222)*'Cálculos'!$F$98)*('Cálculos'!$F$240+'Cálculos'!$F$124*(1+2.78*('Cálculos'!$F$198+(($C200)-$A$177:$A$222)*'Cálculos'!$F$98)/(('Cálculos'!$F$198+(($C200)-$A$177:$A$222)*'Cálculos'!$F$98)+1400)+'Cálculos'!$F$122)*'Cálculos'!$F$245+'Cálculos'!$F$125*(1+2.78*('Cálculos'!$F$198+(($C200)-$A$177:$A$222)*'Cálculos'!$F$98)/(('Cálculos'!$F$198+(($C200)-$A$177:$A$222)*'Cálculos'!$F$98)+1400)+'Cálculos'!$F$123)*'Cálculos'!$F$250)+('Cálculos'!$F$201*(1+'Cálculos'!$F$202+$A$177:$A$222*('Cálculos'!$F$290=2)*'Cálculos'!$F$101)+'Cálculos'!$F$203)*('Cálculos'!$F$241+'Cálculos'!$F$124*(1+2.78*('Cálculos'!$F$198+(($C200)-$A$177:$A$222)*'Cálculos'!$F$98)/(('Cálculos'!$F$198+(($C200)-$A$177:$A$222)*'Cálculos'!$F$98)+1400)+'Cálculos'!$F$122)*'Cálculos'!$F$246+'Cálculos'!$F$125*(1+2.78*('Cálculos'!$F$198+(($C200)-$A$177:$A$222)*'Cálculos'!$F$98)/(('Cálculos'!$F$198+(($C200)-$A$177:$A$222)*'Cálculos'!$F$98)+1400)+'Cálculos'!$F$123)*'Cálculos'!$F$251)+('Cálculos'!$F$204*(1+'Cálculos'!$F$205+$A$177:$A$222*('Cálculos'!$F$290=3)*'Cálculos'!$F$103)+'Cálculos'!$F$206)*('Cálculos'!$F$242+'Cálculos'!$F$124*(1+2.78*('Cálculos'!$F$198+(($C200)-$A$177:$A$222)*'Cálculos'!$F$98)/(('Cálculos'!$F$198+(($C200)-$A$177:$A$222)*'Cálculos'!$F$98)+1400)+'Cálculos'!$F$122)*'Cálculos'!$F$247+'Cálculos'!$F$125*(1+2.78*('Cálculos'!$F$198+(($C200)-$A$177:$A$222)*'Cálculos'!$F$98)/(('Cálculos'!$F$198+(($C200)-$A$177:$A$222)*'Cálculos'!$F$98)+1400)+'Cálculos'!$F$123)*'Cálculos'!$F$252)+('Cálculos'!$F$243+'Cálculos'!$F$124*(1+2.78*('Cálculos'!$F$198+(($C200)-$A$177:$A$222)*'Cálculos'!$F$98)/(('Cálculos'!$F$198+(($C200)-$A$177:$A$222)*'Cálculos'!$F$98)+1400)+'Cálculos'!$F$122)*'Cálculos'!$F$248+'Cálculos'!$F$125*(1+2.78*('Cálculos'!$F$198+(($C200)-$A$177:$A$222)*'Cálculos'!$F$98)/(('Cálculos'!$F$198+(($C200)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200)-$A$177:$A$222)*'Cálculos'!$F$98)/(('Cálculos'!$F$199+(($C200)-$A$177:$A$222)*'Cálculos'!$F$98)+1400)+'Cálculos'!$F$122)*'Cálculos'!$F$259+'Cálculos'!$F$125*(1+2.78*('Cálculos'!$F$199+(($C200)-$A$177:$A$222)*'Cálculos'!$F$98)/(('Cálculos'!$F$199+(($C200)-$A$177:$A$222)*'Cálculos'!$F$98)+1400)+'Cálculos'!$F$123)*'Cálculos'!$F$264)+('Cálculos'!$F$199+(($C200)-$A$177:$A$222)*'Cálculos'!$F$98)*('Cálculos'!$F$255+'Cálculos'!$F$124*(1+2.78*('Cálculos'!$F$199+(($C200)-$A$177:$A$222)*'Cálculos'!$F$98)/(('Cálculos'!$F$199+(($C200)-$A$177:$A$222)*'Cálculos'!$F$98)+1400)+'Cálculos'!$F$122)*'Cálculos'!$F$260+'Cálculos'!$F$125*(1+2.78*('Cálculos'!$F$199+(($C200)-$A$177:$A$222)*'Cálculos'!$F$98)/(('Cálculos'!$F$199+(($C200)-$A$177:$A$222)*'Cálculos'!$F$98)+1400)+'Cálculos'!$F$123)*'Cálculos'!$F$265)+('Cálculos'!$F$201*(1+'Cálculos'!$F$202+$A$177:$A$222*('Cálculos'!$F$290=2)*'Cálculos'!$F$101)+'Cálculos'!$F$203)*('Cálculos'!$F$256+'Cálculos'!$F$124*(1+2.78*('Cálculos'!$F$199+(($C200)-$A$177:$A$222)*'Cálculos'!$F$98)/(('Cálculos'!$F$199+(($C200)-$A$177:$A$222)*'Cálculos'!$F$98)+1400)+'Cálculos'!$F$122)*'Cálculos'!$F$261+'Cálculos'!$F$125*(1+2.78*('Cálculos'!$F$199+(($C200)-$A$177:$A$222)*'Cálculos'!$F$98)/(('Cálculos'!$F$199+(($C200)-$A$177:$A$222)*'Cálculos'!$F$98)+1400)+'Cálculos'!$F$123)*'Cálculos'!$F$266)+('Cálculos'!$F$204*(1+'Cálculos'!$F$205+$A$177:$A$222*('Cálculos'!$F$290=3)*'Cálculos'!$F$103)+'Cálculos'!$F$206)*('Cálculos'!$F$257+'Cálculos'!$F$124*(1+2.78*('Cálculos'!$F$199+(($C200)-$A$177:$A$222)*'Cálculos'!$F$98)/(('Cálculos'!$F$199+(($C200)-$A$177:$A$222)*'Cálculos'!$F$98)+1400)+'Cálculos'!$F$122)*'Cálculos'!$F$262+'Cálculos'!$F$125*(1+2.78*('Cálculos'!$F$199+(($C200)-$A$177:$A$222)*'Cálculos'!$F$98)/(('Cálculos'!$F$199+(($C200)-$A$177:$A$222)*'Cálculos'!$F$98)+1400)+'Cálculos'!$F$123)*'Cálculos'!$F$267)+('Cálculos'!$F$258+'Cálculos'!$F$124*(1+2.78*('Cálculos'!$F$199+(($C200)-$A$177:$A$222)*'Cálculos'!$F$98)/(('Cálculos'!$F$199+(($C200)-$A$177:$A$222)*'Cálculos'!$F$98)+1400)+'Cálculos'!$F$122)*'Cálculos'!$F$263+'Cálculos'!$F$125*(1+2.78*('Cálculos'!$F$199+(($C200)-$A$177:$A$222)*'Cálculos'!$F$98)/(('Cálculos'!$F$199+(($C200)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200)-$A$177:$A$222)*'Cálculos'!$F$98)/(('Cálculos'!$F$200+(($C200)-$A$177:$A$222)*'Cálculos'!$F$98)+1400)+'Cálculos'!$F$122)*'Cálculos'!$F$274+'Cálculos'!$F$125*(1+2.78*('Cálculos'!$F$200+(($C200)-$A$177:$A$222)*'Cálculos'!$F$98)/(('Cálculos'!$F$200+(($C200)-$A$177:$A$222)*'Cálculos'!$F$98)+1400)+'Cálculos'!$F$123)*'Cálculos'!$F$279)+('Cálculos'!$F$200+(($C200)-$A$177:$A$222)*'Cálculos'!$F$98)*('Cálculos'!$F$270+'Cálculos'!$F$124*(1+2.78*('Cálculos'!$F$200+(($C200)-$A$177:$A$222)*'Cálculos'!$F$98)/(('Cálculos'!$F$200+(($C200)-$A$177:$A$222)*'Cálculos'!$F$98)+1400)+'Cálculos'!$F$122)*'Cálculos'!$F$275+'Cálculos'!$F$125*(1+2.78*('Cálculos'!$F$200+(($C200)-$A$177:$A$222)*'Cálculos'!$F$98)/(('Cálculos'!$F$200+(($C200)-$A$177:$A$222)*'Cálculos'!$F$98)+1400)+'Cálculos'!$F$123)*'Cálculos'!$F$280)+('Cálculos'!$F$201*(1+'Cálculos'!$F$202+$A$177:$A$222*('Cálculos'!$F$290=2)*'Cálculos'!$F$101)+'Cálculos'!$F$203)*('Cálculos'!$F$271+'Cálculos'!$F$124*(1+2.78*('Cálculos'!$F$200+(($C200)-$A$177:$A$222)*'Cálculos'!$F$98)/(('Cálculos'!$F$200+(($C200)-$A$177:$A$222)*'Cálculos'!$F$98)+1400)+'Cálculos'!$F$122)*'Cálculos'!$F$276+'Cálculos'!$F$125*(1+2.78*('Cálculos'!$F$200+(($C200)-$A$177:$A$222)*'Cálculos'!$F$98)/(('Cálculos'!$F$200+(($C200)-$A$177:$A$222)*'Cálculos'!$F$98)+1400)+'Cálculos'!$F$123)*'Cálculos'!$F$281)+('Cálculos'!$F$204*(1+'Cálculos'!$F$205+$A$177:$A$222*('Cálculos'!$F$290=3)*'Cálculos'!$F$103)+'Cálculos'!$F$206)*('Cálculos'!$F$272+'Cálculos'!$F$124*(1+2.78*('Cálculos'!$F$200+(($C200)-$A$177:$A$222)*'Cálculos'!$F$98)/(('Cálculos'!$F$200+(($C200)-$A$177:$A$222)*'Cálculos'!$F$98)+1400)+'Cálculos'!$F$122)*'Cálculos'!$F$277+'Cálculos'!$F$125*(1+2.78*('Cálculos'!$F$200+(($C200)-$A$177:$A$222)*'Cálculos'!$F$98)/(('Cálculos'!$F$200+(($C200)-$A$177:$A$222)*'Cálculos'!$F$98)+1400)+'Cálculos'!$F$123)*'Cálculos'!$F$282)+('Cálculos'!$F$273+'Cálculos'!$F$124*(1+2.78*('Cálculos'!$F$200+(($C200)-$A$177:$A$222)*'Cálculos'!$F$98)/(('Cálculos'!$F$200+(($C200)-$A$177:$A$222)*'Cálculos'!$F$98)+1400)+'Cálculos'!$F$122)*'Cálculos'!$F$278+'Cálculos'!$F$125*(1+2.78*('Cálculos'!$F$200+(($C200)-$A$177:$A$222)*'Cálculos'!$F$98)/(('Cálculos'!$F$200+(($C200)-$A$177:$A$222)*'Cálculos'!$F$98)+1400)+'Cálculos'!$F$123)*'Cálculos'!$F$283)))))</f>
        <v>0</v>
      </c>
      <c r="E200" s="32">
        <f>IF(OR($C200&lt;0,'Cálculos'!$F$6=""),0,$B200*$D200)</f>
        <v>0</v>
      </c>
      <c r="F200" s="2"/>
      <c r="G200" s="30">
        <f>($A200&lt;=$B$224)*($A200&lt;='Cálculos'!$F$294)*(($B$224)-$A200&lt;='Cálculos'!$F$295)*(1+MIN(('Cálculos'!$F$207+$A200*'Cálculos'!$F$95),1)*('Cálculos'!$F$208+(($B$224)-$A200)*'Cálculos'!$F$96))</f>
        <v>0</v>
      </c>
      <c r="H200" s="31">
        <f>IF($B$225&lt;0,0,($A200&lt;=$B$225)*($A200&lt;='Cálculos'!$F$301)*(($B$225)-$A200&lt;='Cálculos'!$F$297)*(('Cálculos'!$F$185*(1+'Cálculos'!$F$186+$A200*('Cálculos'!$F$290=1)*'Cálculos'!$F$97+'Cálculos'!$F$305)+'Cálculos'!$F$191)*('Cálculos'!$F$209+'Cálculos'!$F$124*(1+2.78*('Cálculos'!$F$196+(($B$225)-$A200)*'Cálculos'!$F$98)/(('Cálculos'!$F$196+(($B$225)-$A200)*'Cálculos'!$F$98)+1400)+'Cálculos'!$F$122)*'Cálculos'!$F$214+'Cálculos'!$F$125*(1+2.78*('Cálculos'!$F$196+(($B$225)-$A200)*'Cálculos'!$F$98)/(('Cálculos'!$F$196+(($B$225)-$A200)*'Cálculos'!$F$98)+1400)+'Cálculos'!$F$123)*'Cálculos'!$F$219)+('Cálculos'!$F$196+(($B$225)-$A200)*'Cálculos'!$F$98)*('Cálculos'!$F$210+'Cálculos'!$F$124*(1+2.78*('Cálculos'!$F$196+(($B$225)-$A200)*'Cálculos'!$F$98)/(('Cálculos'!$F$196+(($B$225)-$A200)*'Cálculos'!$F$98)+1400)+'Cálculos'!$F$122)*'Cálculos'!$F$215+'Cálculos'!$F$125*(1+2.78*('Cálculos'!$F$196+(($B$225)-$A200)*'Cálculos'!$F$98)/(('Cálculos'!$F$196+(($B$225)-$A200)*'Cálculos'!$F$98)+1400)+'Cálculos'!$F$123)*'Cálculos'!$F$220)+('Cálculos'!$F$201*(1+'Cálculos'!$F$202+$A200*('Cálculos'!$F$290=2)*'Cálculos'!$F$101)+'Cálculos'!$F$203)*('Cálculos'!$F$211+'Cálculos'!$F$124*(1+2.78*('Cálculos'!$F$196+(($B$225)-$A200)*'Cálculos'!$F$98)/(('Cálculos'!$F$196+(($B$225)-$A200)*'Cálculos'!$F$98)+1400)+'Cálculos'!$F$122)*'Cálculos'!$F$216+'Cálculos'!$F$125*(1+2.78*('Cálculos'!$F$196+(($B$225)-$A200)*'Cálculos'!$F$98)/(('Cálculos'!$F$196+(($B$225)-$A200)*'Cálculos'!$F$98)+1400)+'Cálculos'!$F$123)*'Cálculos'!$F$221)+('Cálculos'!$F$204*(1+'Cálculos'!$F$205+$A200*('Cálculos'!$F$290=3)*'Cálculos'!$F$103)+'Cálculos'!$F$206)*('Cálculos'!$F$212+'Cálculos'!$F$124*(1+2.78*('Cálculos'!$F$196+(($B$225)-$A200)*'Cálculos'!$F$98)/(('Cálculos'!$F$196+(($B$225)-$A200)*'Cálculos'!$F$98)+1400)+'Cálculos'!$F$122)*'Cálculos'!$F$217+'Cálculos'!$F$125*(1+2.78*('Cálculos'!$F$196+(($B$225)-$A200)*'Cálculos'!$F$98)/(('Cálculos'!$F$196+(($B$225)-$A200)*'Cálculos'!$F$98)+1400)+'Cálculos'!$F$123)*'Cálculos'!$F$222)+('Cálculos'!$F$213+'Cálculos'!$F$124*(1+2.78*('Cálculos'!$F$196+(($B$225)-$A200)*'Cálculos'!$F$98)/(('Cálculos'!$F$196+(($B$225)-$A200)*'Cálculos'!$F$98)+1400)+'Cálculos'!$F$122)*'Cálculos'!$F$218+'Cálculos'!$F$125*(1+2.78*('Cálculos'!$F$196+(($B$225)-$A200)*'Cálculos'!$F$98)/(('Cálculos'!$F$196+(($B$225)-$A200)*'Cálculos'!$F$98)+1400)+'Cálculos'!$F$123)*'Cálculos'!$F$223)+('Cálculos'!$F$185*(1+'Cálculos'!$F$187+$A200*('Cálculos'!$F$290=1)*'Cálculos'!$F$97+'Cálculos'!$F$305)+'Cálculos'!$F$192)*('Cálculos'!$F$224+'Cálculos'!$F$124*(1+2.78*('Cálculos'!$F$197+(($B$225)-$A200)*'Cálculos'!$F$98)/(('Cálculos'!$F$197+(($B$225)-$A200)*'Cálculos'!$F$98)+1400)+'Cálculos'!$F$122)*'Cálculos'!$F$229+'Cálculos'!$F$125*(1+2.78*('Cálculos'!$F$197+(($B$225)-$A200)*'Cálculos'!$F$98)/(('Cálculos'!$F$197+(($B$225)-$A200)*'Cálculos'!$F$98)+1400)+'Cálculos'!$F$123)*'Cálculos'!$F$234)+('Cálculos'!$F$197+(($B$225)-$A200)*'Cálculos'!$F$98)*('Cálculos'!$F$225+'Cálculos'!$F$124*(1+2.78*('Cálculos'!$F$197+(($B$225)-$A200)*'Cálculos'!$F$98)/(('Cálculos'!$F$197+(($B$225)-$A200)*'Cálculos'!$F$98)+1400)+'Cálculos'!$F$122)*'Cálculos'!$F$230+'Cálculos'!$F$125*(1+2.78*('Cálculos'!$F$197+(($B$225)-$A200)*'Cálculos'!$F$98)/(('Cálculos'!$F$197+(($B$225)-$A200)*'Cálculos'!$F$98)+1400)+'Cálculos'!$F$123)*'Cálculos'!$F$235)+('Cálculos'!$F$201*(1+'Cálculos'!$F$202+$A200*('Cálculos'!$F$290=2)*'Cálculos'!$F$101)+'Cálculos'!$F$203)*('Cálculos'!$F$226+'Cálculos'!$F$124*(1+2.78*('Cálculos'!$F$197+(($B$225)-$A200)*'Cálculos'!$F$98)/(('Cálculos'!$F$197+(($B$225)-$A200)*'Cálculos'!$F$98)+1400)+'Cálculos'!$F$122)*'Cálculos'!$F$231+'Cálculos'!$F$125*(1+2.78*('Cálculos'!$F$197+(($B$225)-$A200)*'Cálculos'!$F$98)/(('Cálculos'!$F$197+(($B$225)-$A200)*'Cálculos'!$F$98)+1400)+'Cálculos'!$F$123)*'Cálculos'!$F$236)+('Cálculos'!$F$204*(1+'Cálculos'!$F$205+$A200*('Cálculos'!$F$290=3)*'Cálculos'!$F$103)+'Cálculos'!$F$206)*('Cálculos'!$F$227+'Cálculos'!$F$124*(1+2.78*('Cálculos'!$F$197+(($B$225)-$A200)*'Cálculos'!$F$98)/(('Cálculos'!$F$197+(($B$225)-$A200)*'Cálculos'!$F$98)+1400)+'Cálculos'!$F$122)*'Cálculos'!$F$232+'Cálculos'!$F$125*(1+2.78*('Cálculos'!$F$197+(($B$225)-$A200)*'Cálculos'!$F$98)/(('Cálculos'!$F$197+(($B$225)-$A200)*'Cálculos'!$F$98)+1400)+'Cálculos'!$F$123)*'Cálculos'!$F$237)+('Cálculos'!$F$228+'Cálculos'!$F$124*(1+2.78*('Cálculos'!$F$197+(($B$225)-$A200)*'Cálculos'!$F$98)/(('Cálculos'!$F$197+(($B$225)-$A200)*'Cálculos'!$F$98)+1400)+'Cálculos'!$F$122)*'Cálculos'!$F$233+'Cálculos'!$F$125*(1+2.78*('Cálculos'!$F$197+(($B$225)-$A200)*'Cálculos'!$F$98)/(('Cálculos'!$F$197+(($B$225)-$A200)*'Cálculos'!$F$98)+1400)+'Cálculos'!$F$123)*'Cálculos'!$F$238)+('Cálculos'!$F$185*(1+'Cálculos'!$F$188+$A200*('Cálculos'!$F$290=1)*'Cálculos'!$F$97+'Cálculos'!$F$305)+'Cálculos'!$F$193)*('Cálculos'!$F$239+'Cálculos'!$F$124*(1+2.78*('Cálculos'!$F$198+(($B$225)-$A200)*'Cálculos'!$F$98)/(('Cálculos'!$F$198+(($B$225)-$A200)*'Cálculos'!$F$98)+1400)+'Cálculos'!$F$122)*'Cálculos'!$F$244+'Cálculos'!$F$125*(1+2.78*('Cálculos'!$F$198+(($B$225)-$A200)*'Cálculos'!$F$98)/(('Cálculos'!$F$198+(($B$225)-$A200)*'Cálculos'!$F$98)+1400)+'Cálculos'!$F$123)*'Cálculos'!$F$249)+('Cálculos'!$F$198+(($B$225)-$A200)*'Cálculos'!$F$98)*('Cálculos'!$F$240+'Cálculos'!$F$124*(1+2.78*('Cálculos'!$F$198+(($B$225)-$A200)*'Cálculos'!$F$98)/(('Cálculos'!$F$198+(($B$225)-$A200)*'Cálculos'!$F$98)+1400)+'Cálculos'!$F$122)*'Cálculos'!$F$245+'Cálculos'!$F$125*(1+2.78*('Cálculos'!$F$198+(($B$225)-$A200)*'Cálculos'!$F$98)/(('Cálculos'!$F$198+(($B$225)-$A200)*'Cálculos'!$F$98)+1400)+'Cálculos'!$F$123)*'Cálculos'!$F$250)+('Cálculos'!$F$201*(1+'Cálculos'!$F$202+$A200*('Cálculos'!$F$290=2)*'Cálculos'!$F$101)+'Cálculos'!$F$203)*('Cálculos'!$F$241+'Cálculos'!$F$124*(1+2.78*('Cálculos'!$F$198+(($B$225)-$A200)*'Cálculos'!$F$98)/(('Cálculos'!$F$198+(($B$225)-$A200)*'Cálculos'!$F$98)+1400)+'Cálculos'!$F$122)*'Cálculos'!$F$246+'Cálculos'!$F$125*(1+2.78*('Cálculos'!$F$198+(($B$225)-$A200)*'Cálculos'!$F$98)/(('Cálculos'!$F$198+(($B$225)-$A200)*'Cálculos'!$F$98)+1400)+'Cálculos'!$F$123)*'Cálculos'!$F$251)+('Cálculos'!$F$204*(1+'Cálculos'!$F$205+$A200*('Cálculos'!$F$290=3)*'Cálculos'!$F$103)+'Cálculos'!$F$206)*('Cálculos'!$F$242+'Cálculos'!$F$124*(1+2.78*('Cálculos'!$F$198+(($B$225)-$A200)*'Cálculos'!$F$98)/(('Cálculos'!$F$198+(($B$225)-$A200)*'Cálculos'!$F$98)+1400)+'Cálculos'!$F$122)*'Cálculos'!$F$247+'Cálculos'!$F$125*(1+2.78*('Cálculos'!$F$198+(($B$225)-$A200)*'Cálculos'!$F$98)/(('Cálculos'!$F$198+(($B$225)-$A200)*'Cálculos'!$F$98)+1400)+'Cálculos'!$F$123)*'Cálculos'!$F$252)+('Cálculos'!$F$243+'Cálculos'!$F$124*(1+2.78*('Cálculos'!$F$198+(($B$225)-$A200)*'Cálculos'!$F$98)/(('Cálculos'!$F$198+(($B$225)-$A200)*'Cálculos'!$F$98)+1400)+'Cálculos'!$F$122)*'Cálculos'!$F$248+'Cálculos'!$F$125*(1+2.78*('Cálculos'!$F$198+(($B$225)-$A200)*'Cálculos'!$F$98)/(('Cálculos'!$F$198+(($B$225)-$A200)*'Cálculos'!$F$98)+1400)+'Cálculos'!$F$123)*'Cálculos'!$F$253)+('Cálculos'!$F$185*(1+'Cálculos'!$F$189+$A200*('Cálculos'!$F$290=1)*'Cálculos'!$F$97+'Cálculos'!$F$305)+'Cálculos'!$F$194)*('Cálculos'!$F$254+'Cálculos'!$F$124*(1+2.78*('Cálculos'!$F$199+(($B$225)-$A200)*'Cálculos'!$F$98)/(('Cálculos'!$F$199+(($B$225)-$A200)*'Cálculos'!$F$98)+1400)+'Cálculos'!$F$122)*'Cálculos'!$F$259+'Cálculos'!$F$125*(1+2.78*('Cálculos'!$F$199+(($B$225)-$A200)*'Cálculos'!$F$98)/(('Cálculos'!$F$199+(($B$225)-$A200)*'Cálculos'!$F$98)+1400)+'Cálculos'!$F$123)*'Cálculos'!$F$264)+('Cálculos'!$F$199+(($B$225)-$A200)*'Cálculos'!$F$98)*('Cálculos'!$F$255+'Cálculos'!$F$124*(1+2.78*('Cálculos'!$F$199+(($B$225)-$A200)*'Cálculos'!$F$98)/(('Cálculos'!$F$199+(($B$225)-$A200)*'Cálculos'!$F$98)+1400)+'Cálculos'!$F$122)*'Cálculos'!$F$260+'Cálculos'!$F$125*(1+2.78*('Cálculos'!$F$199+(($B$225)-$A200)*'Cálculos'!$F$98)/(('Cálculos'!$F$199+(($B$225)-$A200)*'Cálculos'!$F$98)+1400)+'Cálculos'!$F$123)*'Cálculos'!$F$265)+('Cálculos'!$F$201*(1+'Cálculos'!$F$202+$A200*('Cálculos'!$F$290=2)*'Cálculos'!$F$101)+'Cálculos'!$F$203)*('Cálculos'!$F$256+'Cálculos'!$F$124*(1+2.78*('Cálculos'!$F$199+(($B$225)-$A200)*'Cálculos'!$F$98)/(('Cálculos'!$F$199+(($B$225)-$A200)*'Cálculos'!$F$98)+1400)+'Cálculos'!$F$122)*'Cálculos'!$F$261+'Cálculos'!$F$125*(1+2.78*('Cálculos'!$F$199+(($B$225)-$A200)*'Cálculos'!$F$98)/(('Cálculos'!$F$199+(($B$225)-$A200)*'Cálculos'!$F$98)+1400)+'Cálculos'!$F$123)*'Cálculos'!$F$266)+('Cálculos'!$F$204*(1+'Cálculos'!$F$205+$A200*('Cálculos'!$F$290=3)*'Cálculos'!$F$103)+'Cálculos'!$F$206)*('Cálculos'!$F$257+'Cálculos'!$F$124*(1+2.78*('Cálculos'!$F$199+(($B$225)-$A200)*'Cálculos'!$F$98)/(('Cálculos'!$F$199+(($B$225)-$A200)*'Cálculos'!$F$98)+1400)+'Cálculos'!$F$122)*'Cálculos'!$F$262+'Cálculos'!$F$125*(1+2.78*('Cálculos'!$F$199+(($B$225)-$A200)*'Cálculos'!$F$98)/(('Cálculos'!$F$199+(($B$225)-$A200)*'Cálculos'!$F$98)+1400)+'Cálculos'!$F$123)*'Cálculos'!$F$267)+('Cálculos'!$F$258+'Cálculos'!$F$124*(1+2.78*('Cálculos'!$F$199+(($B$225)-$A200)*'Cálculos'!$F$98)/(('Cálculos'!$F$199+(($B$225)-$A200)*'Cálculos'!$F$98)+1400)+'Cálculos'!$F$122)*'Cálculos'!$F$263+'Cálculos'!$F$125*(1+2.78*('Cálculos'!$F$199+(($B$225)-$A200)*'Cálculos'!$F$98)/(('Cálculos'!$F$199+(($B$225)-$A200)*'Cálculos'!$F$98)+1400)+'Cálculos'!$F$123)*'Cálculos'!$F$268)+('Cálculos'!$F$185*(1+'Cálculos'!$F$190+$A200*('Cálculos'!$F$290=1)*'Cálculos'!$F$97+'Cálculos'!$F$305)+'Cálculos'!$F$195)*('Cálculos'!$F$269+'Cálculos'!$F$124*(1+2.78*('Cálculos'!$F$200+(($B$225)-$A200)*'Cálculos'!$F$98)/(('Cálculos'!$F$200+(($B$225)-$A200)*'Cálculos'!$F$98)+1400)+'Cálculos'!$F$122)*'Cálculos'!$F$274+'Cálculos'!$F$125*(1+2.78*('Cálculos'!$F$200+(($B$225)-$A200)*'Cálculos'!$F$98)/(('Cálculos'!$F$200+(($B$225)-$A200)*'Cálculos'!$F$98)+1400)+'Cálculos'!$F$123)*'Cálculos'!$F$279)+('Cálculos'!$F$200+(($B$225)-$A200)*'Cálculos'!$F$98)*('Cálculos'!$F$270+'Cálculos'!$F$124*(1+2.78*('Cálculos'!$F$200+(($B$225)-$A200)*'Cálculos'!$F$98)/(('Cálculos'!$F$200+(($B$225)-$A200)*'Cálculos'!$F$98)+1400)+'Cálculos'!$F$122)*'Cálculos'!$F$275+'Cálculos'!$F$125*(1+2.78*('Cálculos'!$F$200+(($B$225)-$A200)*'Cálculos'!$F$98)/(('Cálculos'!$F$200+(($B$225)-$A200)*'Cálculos'!$F$98)+1400)+'Cálculos'!$F$123)*'Cálculos'!$F$280)+('Cálculos'!$F$201*(1+'Cálculos'!$F$202+$A200*('Cálculos'!$F$290=2)*'Cálculos'!$F$101)+'Cálculos'!$F$203)*('Cálculos'!$F$271+'Cálculos'!$F$124*(1+2.78*('Cálculos'!$F$200+(($B$225)-$A200)*'Cálculos'!$F$98)/(('Cálculos'!$F$200+(($B$225)-$A200)*'Cálculos'!$F$98)+1400)+'Cálculos'!$F$122)*'Cálculos'!$F$276+'Cálculos'!$F$125*(1+2.78*('Cálculos'!$F$200+(($B$225)-$A200)*'Cálculos'!$F$98)/(('Cálculos'!$F$200+(($B$225)-$A200)*'Cálculos'!$F$98)+1400)+'Cálculos'!$F$123)*'Cálculos'!$F$281)+('Cálculos'!$F$204*(1+'Cálculos'!$F$205+$A200*('Cálculos'!$F$290=3)*'Cálculos'!$F$103)+'Cálculos'!$F$206)*('Cálculos'!$F$272+'Cálculos'!$F$124*(1+2.78*('Cálculos'!$F$200+(($B$225)-$A200)*'Cálculos'!$F$98)/(('Cálculos'!$F$200+(($B$225)-$A200)*'Cálculos'!$F$98)+1400)+'Cálculos'!$F$122)*'Cálculos'!$F$277+'Cálculos'!$F$125*(1+2.78*('Cálculos'!$F$200+(($B$225)-$A200)*'Cálculos'!$F$98)/(('Cálculos'!$F$200+(($B$225)-$A200)*'Cálculos'!$F$98)+1400)+'Cálculos'!$F$123)*'Cálculos'!$F$282)+('Cálculos'!$F$273+'Cálculos'!$F$124*(1+2.78*('Cálculos'!$F$200+(($B$225)-$A200)*'Cálculos'!$F$98)/(('Cálculos'!$F$200+(($B$225)-$A200)*'Cálculos'!$F$98)+1400)+'Cálculos'!$F$122)*'Cálculos'!$F$278+'Cálculos'!$F$125*(1+2.78*('Cálculos'!$F$200+(($B$225)-$A200)*'Cálculos'!$F$98)/(('Cálculos'!$F$200+(($B$225)-$A200)*'Cálculos'!$F$98)+1400)+'Cálculos'!$F$123)*'Cálculos'!$F$283)))</f>
        <v>0</v>
      </c>
    </row>
    <row r="201" ht="15.75" customHeight="1">
      <c r="A201" s="2">
        <v>24.0</v>
      </c>
      <c r="B201" s="30">
        <f>SUMPRODUCT(MAX(($A$177:$A$222&lt;=$A201)*($A$177:$A$222&lt;='Cálculos'!$F$294)*(($A201)-$A$177:$A$222&lt;='Cálculos'!$F$295)*(1+(('Cálculos'!$F$207+$A$177:$A$222*'Cálculos'!$F$95)-(('Cálculos'!$F$207+$A$177:$A$222*'Cálculos'!$F$95)&gt;1)*(('Cálculos'!$F$207+$A$177:$A$222*'Cálculos'!$F$95)-1))*('Cálculos'!$F$208+(($A201)-$A$177:$A$222)*'Cálculos'!$F$96))))</f>
        <v>2.721374</v>
      </c>
      <c r="C201" s="2">
        <f>'Cálculos'!$F$303-$A201</f>
        <v>-6</v>
      </c>
      <c r="D201" s="31">
        <f>IF($C201&lt;0,0,SUMPRODUCT(MAX(($A$177:$A$222&lt;=$C201)*($A$177:$A$222&lt;='Cálculos'!$F$301)*(($C201)-$A$177:$A$222&lt;='Cálculos'!$F$297)*(('Cálculos'!$F$185*(1+'Cálculos'!$F$186+$A$177:$A$222*('Cálculos'!$F$290=1)*'Cálculos'!$F$97+'Cálculos'!$F$305)+'Cálculos'!$F$191)*('Cálculos'!$F$209+'Cálculos'!$F$124*(1+2.78*('Cálculos'!$F$196+(($C201)-$A$177:$A$222)*'Cálculos'!$F$98)/(('Cálculos'!$F$196+(($C201)-$A$177:$A$222)*'Cálculos'!$F$98)+1400)+'Cálculos'!$F$122)*'Cálculos'!$F$214+'Cálculos'!$F$125*(1+2.78*('Cálculos'!$F$196+(($C201)-$A$177:$A$222)*'Cálculos'!$F$98)/(('Cálculos'!$F$196+(($C201)-$A$177:$A$222)*'Cálculos'!$F$98)+1400)+'Cálculos'!$F$123)*'Cálculos'!$F$219)+('Cálculos'!$F$196+(($C201)-$A$177:$A$222)*'Cálculos'!$F$98)*('Cálculos'!$F$210+'Cálculos'!$F$124*(1+2.78*('Cálculos'!$F$196+(($C201)-$A$177:$A$222)*'Cálculos'!$F$98)/(('Cálculos'!$F$196+(($C201)-$A$177:$A$222)*'Cálculos'!$F$98)+1400)+'Cálculos'!$F$122)*'Cálculos'!$F$215+'Cálculos'!$F$125*(1+2.78*('Cálculos'!$F$196+(($C201)-$A$177:$A$222)*'Cálculos'!$F$98)/(('Cálculos'!$F$196+(($C201)-$A$177:$A$222)*'Cálculos'!$F$98)+1400)+'Cálculos'!$F$123)*'Cálculos'!$F$220)+('Cálculos'!$F$201*(1+'Cálculos'!$F$202+$A$177:$A$222*('Cálculos'!$F$290=2)*'Cálculos'!$F$101)+'Cálculos'!$F$203)*('Cálculos'!$F$211+'Cálculos'!$F$124*(1+2.78*('Cálculos'!$F$196+(($C201)-$A$177:$A$222)*'Cálculos'!$F$98)/(('Cálculos'!$F$196+(($C201)-$A$177:$A$222)*'Cálculos'!$F$98)+1400)+'Cálculos'!$F$122)*'Cálculos'!$F$216+'Cálculos'!$F$125*(1+2.78*('Cálculos'!$F$196+(($C201)-$A$177:$A$222)*'Cálculos'!$F$98)/(('Cálculos'!$F$196+(($C201)-$A$177:$A$222)*'Cálculos'!$F$98)+1400)+'Cálculos'!$F$123)*'Cálculos'!$F$221)+('Cálculos'!$F$204*(1+'Cálculos'!$F$205+$A$177:$A$222*('Cálculos'!$F$290=3)*'Cálculos'!$F$103)+'Cálculos'!$F$206)*('Cálculos'!$F$212+'Cálculos'!$F$124*(1+2.78*('Cálculos'!$F$196+(($C201)-$A$177:$A$222)*'Cálculos'!$F$98)/(('Cálculos'!$F$196+(($C201)-$A$177:$A$222)*'Cálculos'!$F$98)+1400)+'Cálculos'!$F$122)*'Cálculos'!$F$217+'Cálculos'!$F$125*(1+2.78*('Cálculos'!$F$196+(($C201)-$A$177:$A$222)*'Cálculos'!$F$98)/(('Cálculos'!$F$196+(($C201)-$A$177:$A$222)*'Cálculos'!$F$98)+1400)+'Cálculos'!$F$123)*'Cálculos'!$F$222)+('Cálculos'!$F$213+'Cálculos'!$F$124*(1+2.78*('Cálculos'!$F$196+(($C201)-$A$177:$A$222)*'Cálculos'!$F$98)/(('Cálculos'!$F$196+(($C201)-$A$177:$A$222)*'Cálculos'!$F$98)+1400)+'Cálculos'!$F$122)*'Cálculos'!$F$218+'Cálculos'!$F$125*(1+2.78*('Cálculos'!$F$196+(($C201)-$A$177:$A$222)*'Cálculos'!$F$98)/(('Cálculos'!$F$196+(($C201)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201)-$A$177:$A$222)*'Cálculos'!$F$98)/(('Cálculos'!$F$197+(($C201)-$A$177:$A$222)*'Cálculos'!$F$98)+1400)+'Cálculos'!$F$122)*'Cálculos'!$F$229+'Cálculos'!$F$125*(1+2.78*('Cálculos'!$F$197+(($C201)-$A$177:$A$222)*'Cálculos'!$F$98)/(('Cálculos'!$F$197+(($C201)-$A$177:$A$222)*'Cálculos'!$F$98)+1400)+'Cálculos'!$F$123)*'Cálculos'!$F$234)+('Cálculos'!$F$197+(($C201)-$A$177:$A$222)*'Cálculos'!$F$98)*('Cálculos'!$F$225+'Cálculos'!$F$124*(1+2.78*('Cálculos'!$F$197+(($C201)-$A$177:$A$222)*'Cálculos'!$F$98)/(('Cálculos'!$F$197+(($C201)-$A$177:$A$222)*'Cálculos'!$F$98)+1400)+'Cálculos'!$F$122)*'Cálculos'!$F$230+'Cálculos'!$F$125*(1+2.78*('Cálculos'!$F$197+(($C201)-$A$177:$A$222)*'Cálculos'!$F$98)/(('Cálculos'!$F$197+(($C201)-$A$177:$A$222)*'Cálculos'!$F$98)+1400)+'Cálculos'!$F$123)*'Cálculos'!$F$235)+('Cálculos'!$F$201*(1+'Cálculos'!$F$202+$A$177:$A$222*('Cálculos'!$F$290=2)*'Cálculos'!$F$101)+'Cálculos'!$F$203)*('Cálculos'!$F$226+'Cálculos'!$F$124*(1+2.78*('Cálculos'!$F$197+(($C201)-$A$177:$A$222)*'Cálculos'!$F$98)/(('Cálculos'!$F$197+(($C201)-$A$177:$A$222)*'Cálculos'!$F$98)+1400)+'Cálculos'!$F$122)*'Cálculos'!$F$231+'Cálculos'!$F$125*(1+2.78*('Cálculos'!$F$197+(($C201)-$A$177:$A$222)*'Cálculos'!$F$98)/(('Cálculos'!$F$197+(($C201)-$A$177:$A$222)*'Cálculos'!$F$98)+1400)+'Cálculos'!$F$123)*'Cálculos'!$F$236)+('Cálculos'!$F$204*(1+'Cálculos'!$F$205+$A$177:$A$222*('Cálculos'!$F$290=3)*'Cálculos'!$F$103)+'Cálculos'!$F$206)*('Cálculos'!$F$227+'Cálculos'!$F$124*(1+2.78*('Cálculos'!$F$197+(($C201)-$A$177:$A$222)*'Cálculos'!$F$98)/(('Cálculos'!$F$197+(($C201)-$A$177:$A$222)*'Cálculos'!$F$98)+1400)+'Cálculos'!$F$122)*'Cálculos'!$F$232+'Cálculos'!$F$125*(1+2.78*('Cálculos'!$F$197+(($C201)-$A$177:$A$222)*'Cálculos'!$F$98)/(('Cálculos'!$F$197+(($C201)-$A$177:$A$222)*'Cálculos'!$F$98)+1400)+'Cálculos'!$F$123)*'Cálculos'!$F$237)+('Cálculos'!$F$228+'Cálculos'!$F$124*(1+2.78*('Cálculos'!$F$197+(($C201)-$A$177:$A$222)*'Cálculos'!$F$98)/(('Cálculos'!$F$197+(($C201)-$A$177:$A$222)*'Cálculos'!$F$98)+1400)+'Cálculos'!$F$122)*'Cálculos'!$F$233+'Cálculos'!$F$125*(1+2.78*('Cálculos'!$F$197+(($C201)-$A$177:$A$222)*'Cálculos'!$F$98)/(('Cálculos'!$F$197+(($C201)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201)-$A$177:$A$222)*'Cálculos'!$F$98)/(('Cálculos'!$F$198+(($C201)-$A$177:$A$222)*'Cálculos'!$F$98)+1400)+'Cálculos'!$F$122)*'Cálculos'!$F$244+'Cálculos'!$F$125*(1+2.78*('Cálculos'!$F$198+(($C201)-$A$177:$A$222)*'Cálculos'!$F$98)/(('Cálculos'!$F$198+(($C201)-$A$177:$A$222)*'Cálculos'!$F$98)+1400)+'Cálculos'!$F$123)*'Cálculos'!$F$249)+('Cálculos'!$F$198+(($C201)-$A$177:$A$222)*'Cálculos'!$F$98)*('Cálculos'!$F$240+'Cálculos'!$F$124*(1+2.78*('Cálculos'!$F$198+(($C201)-$A$177:$A$222)*'Cálculos'!$F$98)/(('Cálculos'!$F$198+(($C201)-$A$177:$A$222)*'Cálculos'!$F$98)+1400)+'Cálculos'!$F$122)*'Cálculos'!$F$245+'Cálculos'!$F$125*(1+2.78*('Cálculos'!$F$198+(($C201)-$A$177:$A$222)*'Cálculos'!$F$98)/(('Cálculos'!$F$198+(($C201)-$A$177:$A$222)*'Cálculos'!$F$98)+1400)+'Cálculos'!$F$123)*'Cálculos'!$F$250)+('Cálculos'!$F$201*(1+'Cálculos'!$F$202+$A$177:$A$222*('Cálculos'!$F$290=2)*'Cálculos'!$F$101)+'Cálculos'!$F$203)*('Cálculos'!$F$241+'Cálculos'!$F$124*(1+2.78*('Cálculos'!$F$198+(($C201)-$A$177:$A$222)*'Cálculos'!$F$98)/(('Cálculos'!$F$198+(($C201)-$A$177:$A$222)*'Cálculos'!$F$98)+1400)+'Cálculos'!$F$122)*'Cálculos'!$F$246+'Cálculos'!$F$125*(1+2.78*('Cálculos'!$F$198+(($C201)-$A$177:$A$222)*'Cálculos'!$F$98)/(('Cálculos'!$F$198+(($C201)-$A$177:$A$222)*'Cálculos'!$F$98)+1400)+'Cálculos'!$F$123)*'Cálculos'!$F$251)+('Cálculos'!$F$204*(1+'Cálculos'!$F$205+$A$177:$A$222*('Cálculos'!$F$290=3)*'Cálculos'!$F$103)+'Cálculos'!$F$206)*('Cálculos'!$F$242+'Cálculos'!$F$124*(1+2.78*('Cálculos'!$F$198+(($C201)-$A$177:$A$222)*'Cálculos'!$F$98)/(('Cálculos'!$F$198+(($C201)-$A$177:$A$222)*'Cálculos'!$F$98)+1400)+'Cálculos'!$F$122)*'Cálculos'!$F$247+'Cálculos'!$F$125*(1+2.78*('Cálculos'!$F$198+(($C201)-$A$177:$A$222)*'Cálculos'!$F$98)/(('Cálculos'!$F$198+(($C201)-$A$177:$A$222)*'Cálculos'!$F$98)+1400)+'Cálculos'!$F$123)*'Cálculos'!$F$252)+('Cálculos'!$F$243+'Cálculos'!$F$124*(1+2.78*('Cálculos'!$F$198+(($C201)-$A$177:$A$222)*'Cálculos'!$F$98)/(('Cálculos'!$F$198+(($C201)-$A$177:$A$222)*'Cálculos'!$F$98)+1400)+'Cálculos'!$F$122)*'Cálculos'!$F$248+'Cálculos'!$F$125*(1+2.78*('Cálculos'!$F$198+(($C201)-$A$177:$A$222)*'Cálculos'!$F$98)/(('Cálculos'!$F$198+(($C201)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201)-$A$177:$A$222)*'Cálculos'!$F$98)/(('Cálculos'!$F$199+(($C201)-$A$177:$A$222)*'Cálculos'!$F$98)+1400)+'Cálculos'!$F$122)*'Cálculos'!$F$259+'Cálculos'!$F$125*(1+2.78*('Cálculos'!$F$199+(($C201)-$A$177:$A$222)*'Cálculos'!$F$98)/(('Cálculos'!$F$199+(($C201)-$A$177:$A$222)*'Cálculos'!$F$98)+1400)+'Cálculos'!$F$123)*'Cálculos'!$F$264)+('Cálculos'!$F$199+(($C201)-$A$177:$A$222)*'Cálculos'!$F$98)*('Cálculos'!$F$255+'Cálculos'!$F$124*(1+2.78*('Cálculos'!$F$199+(($C201)-$A$177:$A$222)*'Cálculos'!$F$98)/(('Cálculos'!$F$199+(($C201)-$A$177:$A$222)*'Cálculos'!$F$98)+1400)+'Cálculos'!$F$122)*'Cálculos'!$F$260+'Cálculos'!$F$125*(1+2.78*('Cálculos'!$F$199+(($C201)-$A$177:$A$222)*'Cálculos'!$F$98)/(('Cálculos'!$F$199+(($C201)-$A$177:$A$222)*'Cálculos'!$F$98)+1400)+'Cálculos'!$F$123)*'Cálculos'!$F$265)+('Cálculos'!$F$201*(1+'Cálculos'!$F$202+$A$177:$A$222*('Cálculos'!$F$290=2)*'Cálculos'!$F$101)+'Cálculos'!$F$203)*('Cálculos'!$F$256+'Cálculos'!$F$124*(1+2.78*('Cálculos'!$F$199+(($C201)-$A$177:$A$222)*'Cálculos'!$F$98)/(('Cálculos'!$F$199+(($C201)-$A$177:$A$222)*'Cálculos'!$F$98)+1400)+'Cálculos'!$F$122)*'Cálculos'!$F$261+'Cálculos'!$F$125*(1+2.78*('Cálculos'!$F$199+(($C201)-$A$177:$A$222)*'Cálculos'!$F$98)/(('Cálculos'!$F$199+(($C201)-$A$177:$A$222)*'Cálculos'!$F$98)+1400)+'Cálculos'!$F$123)*'Cálculos'!$F$266)+('Cálculos'!$F$204*(1+'Cálculos'!$F$205+$A$177:$A$222*('Cálculos'!$F$290=3)*'Cálculos'!$F$103)+'Cálculos'!$F$206)*('Cálculos'!$F$257+'Cálculos'!$F$124*(1+2.78*('Cálculos'!$F$199+(($C201)-$A$177:$A$222)*'Cálculos'!$F$98)/(('Cálculos'!$F$199+(($C201)-$A$177:$A$222)*'Cálculos'!$F$98)+1400)+'Cálculos'!$F$122)*'Cálculos'!$F$262+'Cálculos'!$F$125*(1+2.78*('Cálculos'!$F$199+(($C201)-$A$177:$A$222)*'Cálculos'!$F$98)/(('Cálculos'!$F$199+(($C201)-$A$177:$A$222)*'Cálculos'!$F$98)+1400)+'Cálculos'!$F$123)*'Cálculos'!$F$267)+('Cálculos'!$F$258+'Cálculos'!$F$124*(1+2.78*('Cálculos'!$F$199+(($C201)-$A$177:$A$222)*'Cálculos'!$F$98)/(('Cálculos'!$F$199+(($C201)-$A$177:$A$222)*'Cálculos'!$F$98)+1400)+'Cálculos'!$F$122)*'Cálculos'!$F$263+'Cálculos'!$F$125*(1+2.78*('Cálculos'!$F$199+(($C201)-$A$177:$A$222)*'Cálculos'!$F$98)/(('Cálculos'!$F$199+(($C201)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201)-$A$177:$A$222)*'Cálculos'!$F$98)/(('Cálculos'!$F$200+(($C201)-$A$177:$A$222)*'Cálculos'!$F$98)+1400)+'Cálculos'!$F$122)*'Cálculos'!$F$274+'Cálculos'!$F$125*(1+2.78*('Cálculos'!$F$200+(($C201)-$A$177:$A$222)*'Cálculos'!$F$98)/(('Cálculos'!$F$200+(($C201)-$A$177:$A$222)*'Cálculos'!$F$98)+1400)+'Cálculos'!$F$123)*'Cálculos'!$F$279)+('Cálculos'!$F$200+(($C201)-$A$177:$A$222)*'Cálculos'!$F$98)*('Cálculos'!$F$270+'Cálculos'!$F$124*(1+2.78*('Cálculos'!$F$200+(($C201)-$A$177:$A$222)*'Cálculos'!$F$98)/(('Cálculos'!$F$200+(($C201)-$A$177:$A$222)*'Cálculos'!$F$98)+1400)+'Cálculos'!$F$122)*'Cálculos'!$F$275+'Cálculos'!$F$125*(1+2.78*('Cálculos'!$F$200+(($C201)-$A$177:$A$222)*'Cálculos'!$F$98)/(('Cálculos'!$F$200+(($C201)-$A$177:$A$222)*'Cálculos'!$F$98)+1400)+'Cálculos'!$F$123)*'Cálculos'!$F$280)+('Cálculos'!$F$201*(1+'Cálculos'!$F$202+$A$177:$A$222*('Cálculos'!$F$290=2)*'Cálculos'!$F$101)+'Cálculos'!$F$203)*('Cálculos'!$F$271+'Cálculos'!$F$124*(1+2.78*('Cálculos'!$F$200+(($C201)-$A$177:$A$222)*'Cálculos'!$F$98)/(('Cálculos'!$F$200+(($C201)-$A$177:$A$222)*'Cálculos'!$F$98)+1400)+'Cálculos'!$F$122)*'Cálculos'!$F$276+'Cálculos'!$F$125*(1+2.78*('Cálculos'!$F$200+(($C201)-$A$177:$A$222)*'Cálculos'!$F$98)/(('Cálculos'!$F$200+(($C201)-$A$177:$A$222)*'Cálculos'!$F$98)+1400)+'Cálculos'!$F$123)*'Cálculos'!$F$281)+('Cálculos'!$F$204*(1+'Cálculos'!$F$205+$A$177:$A$222*('Cálculos'!$F$290=3)*'Cálculos'!$F$103)+'Cálculos'!$F$206)*('Cálculos'!$F$272+'Cálculos'!$F$124*(1+2.78*('Cálculos'!$F$200+(($C201)-$A$177:$A$222)*'Cálculos'!$F$98)/(('Cálculos'!$F$200+(($C201)-$A$177:$A$222)*'Cálculos'!$F$98)+1400)+'Cálculos'!$F$122)*'Cálculos'!$F$277+'Cálculos'!$F$125*(1+2.78*('Cálculos'!$F$200+(($C201)-$A$177:$A$222)*'Cálculos'!$F$98)/(('Cálculos'!$F$200+(($C201)-$A$177:$A$222)*'Cálculos'!$F$98)+1400)+'Cálculos'!$F$123)*'Cálculos'!$F$282)+('Cálculos'!$F$273+'Cálculos'!$F$124*(1+2.78*('Cálculos'!$F$200+(($C201)-$A$177:$A$222)*'Cálculos'!$F$98)/(('Cálculos'!$F$200+(($C201)-$A$177:$A$222)*'Cálculos'!$F$98)+1400)+'Cálculos'!$F$122)*'Cálculos'!$F$278+'Cálculos'!$F$125*(1+2.78*('Cálculos'!$F$200+(($C201)-$A$177:$A$222)*'Cálculos'!$F$98)/(('Cálculos'!$F$200+(($C201)-$A$177:$A$222)*'Cálculos'!$F$98)+1400)+'Cálculos'!$F$123)*'Cálculos'!$F$283)))))</f>
        <v>0</v>
      </c>
      <c r="E201" s="32">
        <f>IF(OR($C201&lt;0,'Cálculos'!$F$6=""),0,$B201*$D201)</f>
        <v>0</v>
      </c>
      <c r="F201" s="2"/>
      <c r="G201" s="30">
        <f>($A201&lt;=$B$224)*($A201&lt;='Cálculos'!$F$294)*(($B$224)-$A201&lt;='Cálculos'!$F$295)*(1+MIN(('Cálculos'!$F$207+$A201*'Cálculos'!$F$95),1)*('Cálculos'!$F$208+(($B$224)-$A201)*'Cálculos'!$F$96))</f>
        <v>0</v>
      </c>
      <c r="H201" s="31">
        <f>IF($B$225&lt;0,0,($A201&lt;=$B$225)*($A201&lt;='Cálculos'!$F$301)*(($B$225)-$A201&lt;='Cálculos'!$F$297)*(('Cálculos'!$F$185*(1+'Cálculos'!$F$186+$A201*('Cálculos'!$F$290=1)*'Cálculos'!$F$97+'Cálculos'!$F$305)+'Cálculos'!$F$191)*('Cálculos'!$F$209+'Cálculos'!$F$124*(1+2.78*('Cálculos'!$F$196+(($B$225)-$A201)*'Cálculos'!$F$98)/(('Cálculos'!$F$196+(($B$225)-$A201)*'Cálculos'!$F$98)+1400)+'Cálculos'!$F$122)*'Cálculos'!$F$214+'Cálculos'!$F$125*(1+2.78*('Cálculos'!$F$196+(($B$225)-$A201)*'Cálculos'!$F$98)/(('Cálculos'!$F$196+(($B$225)-$A201)*'Cálculos'!$F$98)+1400)+'Cálculos'!$F$123)*'Cálculos'!$F$219)+('Cálculos'!$F$196+(($B$225)-$A201)*'Cálculos'!$F$98)*('Cálculos'!$F$210+'Cálculos'!$F$124*(1+2.78*('Cálculos'!$F$196+(($B$225)-$A201)*'Cálculos'!$F$98)/(('Cálculos'!$F$196+(($B$225)-$A201)*'Cálculos'!$F$98)+1400)+'Cálculos'!$F$122)*'Cálculos'!$F$215+'Cálculos'!$F$125*(1+2.78*('Cálculos'!$F$196+(($B$225)-$A201)*'Cálculos'!$F$98)/(('Cálculos'!$F$196+(($B$225)-$A201)*'Cálculos'!$F$98)+1400)+'Cálculos'!$F$123)*'Cálculos'!$F$220)+('Cálculos'!$F$201*(1+'Cálculos'!$F$202+$A201*('Cálculos'!$F$290=2)*'Cálculos'!$F$101)+'Cálculos'!$F$203)*('Cálculos'!$F$211+'Cálculos'!$F$124*(1+2.78*('Cálculos'!$F$196+(($B$225)-$A201)*'Cálculos'!$F$98)/(('Cálculos'!$F$196+(($B$225)-$A201)*'Cálculos'!$F$98)+1400)+'Cálculos'!$F$122)*'Cálculos'!$F$216+'Cálculos'!$F$125*(1+2.78*('Cálculos'!$F$196+(($B$225)-$A201)*'Cálculos'!$F$98)/(('Cálculos'!$F$196+(($B$225)-$A201)*'Cálculos'!$F$98)+1400)+'Cálculos'!$F$123)*'Cálculos'!$F$221)+('Cálculos'!$F$204*(1+'Cálculos'!$F$205+$A201*('Cálculos'!$F$290=3)*'Cálculos'!$F$103)+'Cálculos'!$F$206)*('Cálculos'!$F$212+'Cálculos'!$F$124*(1+2.78*('Cálculos'!$F$196+(($B$225)-$A201)*'Cálculos'!$F$98)/(('Cálculos'!$F$196+(($B$225)-$A201)*'Cálculos'!$F$98)+1400)+'Cálculos'!$F$122)*'Cálculos'!$F$217+'Cálculos'!$F$125*(1+2.78*('Cálculos'!$F$196+(($B$225)-$A201)*'Cálculos'!$F$98)/(('Cálculos'!$F$196+(($B$225)-$A201)*'Cálculos'!$F$98)+1400)+'Cálculos'!$F$123)*'Cálculos'!$F$222)+('Cálculos'!$F$213+'Cálculos'!$F$124*(1+2.78*('Cálculos'!$F$196+(($B$225)-$A201)*'Cálculos'!$F$98)/(('Cálculos'!$F$196+(($B$225)-$A201)*'Cálculos'!$F$98)+1400)+'Cálculos'!$F$122)*'Cálculos'!$F$218+'Cálculos'!$F$125*(1+2.78*('Cálculos'!$F$196+(($B$225)-$A201)*'Cálculos'!$F$98)/(('Cálculos'!$F$196+(($B$225)-$A201)*'Cálculos'!$F$98)+1400)+'Cálculos'!$F$123)*'Cálculos'!$F$223)+('Cálculos'!$F$185*(1+'Cálculos'!$F$187+$A201*('Cálculos'!$F$290=1)*'Cálculos'!$F$97+'Cálculos'!$F$305)+'Cálculos'!$F$192)*('Cálculos'!$F$224+'Cálculos'!$F$124*(1+2.78*('Cálculos'!$F$197+(($B$225)-$A201)*'Cálculos'!$F$98)/(('Cálculos'!$F$197+(($B$225)-$A201)*'Cálculos'!$F$98)+1400)+'Cálculos'!$F$122)*'Cálculos'!$F$229+'Cálculos'!$F$125*(1+2.78*('Cálculos'!$F$197+(($B$225)-$A201)*'Cálculos'!$F$98)/(('Cálculos'!$F$197+(($B$225)-$A201)*'Cálculos'!$F$98)+1400)+'Cálculos'!$F$123)*'Cálculos'!$F$234)+('Cálculos'!$F$197+(($B$225)-$A201)*'Cálculos'!$F$98)*('Cálculos'!$F$225+'Cálculos'!$F$124*(1+2.78*('Cálculos'!$F$197+(($B$225)-$A201)*'Cálculos'!$F$98)/(('Cálculos'!$F$197+(($B$225)-$A201)*'Cálculos'!$F$98)+1400)+'Cálculos'!$F$122)*'Cálculos'!$F$230+'Cálculos'!$F$125*(1+2.78*('Cálculos'!$F$197+(($B$225)-$A201)*'Cálculos'!$F$98)/(('Cálculos'!$F$197+(($B$225)-$A201)*'Cálculos'!$F$98)+1400)+'Cálculos'!$F$123)*'Cálculos'!$F$235)+('Cálculos'!$F$201*(1+'Cálculos'!$F$202+$A201*('Cálculos'!$F$290=2)*'Cálculos'!$F$101)+'Cálculos'!$F$203)*('Cálculos'!$F$226+'Cálculos'!$F$124*(1+2.78*('Cálculos'!$F$197+(($B$225)-$A201)*'Cálculos'!$F$98)/(('Cálculos'!$F$197+(($B$225)-$A201)*'Cálculos'!$F$98)+1400)+'Cálculos'!$F$122)*'Cálculos'!$F$231+'Cálculos'!$F$125*(1+2.78*('Cálculos'!$F$197+(($B$225)-$A201)*'Cálculos'!$F$98)/(('Cálculos'!$F$197+(($B$225)-$A201)*'Cálculos'!$F$98)+1400)+'Cálculos'!$F$123)*'Cálculos'!$F$236)+('Cálculos'!$F$204*(1+'Cálculos'!$F$205+$A201*('Cálculos'!$F$290=3)*'Cálculos'!$F$103)+'Cálculos'!$F$206)*('Cálculos'!$F$227+'Cálculos'!$F$124*(1+2.78*('Cálculos'!$F$197+(($B$225)-$A201)*'Cálculos'!$F$98)/(('Cálculos'!$F$197+(($B$225)-$A201)*'Cálculos'!$F$98)+1400)+'Cálculos'!$F$122)*'Cálculos'!$F$232+'Cálculos'!$F$125*(1+2.78*('Cálculos'!$F$197+(($B$225)-$A201)*'Cálculos'!$F$98)/(('Cálculos'!$F$197+(($B$225)-$A201)*'Cálculos'!$F$98)+1400)+'Cálculos'!$F$123)*'Cálculos'!$F$237)+('Cálculos'!$F$228+'Cálculos'!$F$124*(1+2.78*('Cálculos'!$F$197+(($B$225)-$A201)*'Cálculos'!$F$98)/(('Cálculos'!$F$197+(($B$225)-$A201)*'Cálculos'!$F$98)+1400)+'Cálculos'!$F$122)*'Cálculos'!$F$233+'Cálculos'!$F$125*(1+2.78*('Cálculos'!$F$197+(($B$225)-$A201)*'Cálculos'!$F$98)/(('Cálculos'!$F$197+(($B$225)-$A201)*'Cálculos'!$F$98)+1400)+'Cálculos'!$F$123)*'Cálculos'!$F$238)+('Cálculos'!$F$185*(1+'Cálculos'!$F$188+$A201*('Cálculos'!$F$290=1)*'Cálculos'!$F$97+'Cálculos'!$F$305)+'Cálculos'!$F$193)*('Cálculos'!$F$239+'Cálculos'!$F$124*(1+2.78*('Cálculos'!$F$198+(($B$225)-$A201)*'Cálculos'!$F$98)/(('Cálculos'!$F$198+(($B$225)-$A201)*'Cálculos'!$F$98)+1400)+'Cálculos'!$F$122)*'Cálculos'!$F$244+'Cálculos'!$F$125*(1+2.78*('Cálculos'!$F$198+(($B$225)-$A201)*'Cálculos'!$F$98)/(('Cálculos'!$F$198+(($B$225)-$A201)*'Cálculos'!$F$98)+1400)+'Cálculos'!$F$123)*'Cálculos'!$F$249)+('Cálculos'!$F$198+(($B$225)-$A201)*'Cálculos'!$F$98)*('Cálculos'!$F$240+'Cálculos'!$F$124*(1+2.78*('Cálculos'!$F$198+(($B$225)-$A201)*'Cálculos'!$F$98)/(('Cálculos'!$F$198+(($B$225)-$A201)*'Cálculos'!$F$98)+1400)+'Cálculos'!$F$122)*'Cálculos'!$F$245+'Cálculos'!$F$125*(1+2.78*('Cálculos'!$F$198+(($B$225)-$A201)*'Cálculos'!$F$98)/(('Cálculos'!$F$198+(($B$225)-$A201)*'Cálculos'!$F$98)+1400)+'Cálculos'!$F$123)*'Cálculos'!$F$250)+('Cálculos'!$F$201*(1+'Cálculos'!$F$202+$A201*('Cálculos'!$F$290=2)*'Cálculos'!$F$101)+'Cálculos'!$F$203)*('Cálculos'!$F$241+'Cálculos'!$F$124*(1+2.78*('Cálculos'!$F$198+(($B$225)-$A201)*'Cálculos'!$F$98)/(('Cálculos'!$F$198+(($B$225)-$A201)*'Cálculos'!$F$98)+1400)+'Cálculos'!$F$122)*'Cálculos'!$F$246+'Cálculos'!$F$125*(1+2.78*('Cálculos'!$F$198+(($B$225)-$A201)*'Cálculos'!$F$98)/(('Cálculos'!$F$198+(($B$225)-$A201)*'Cálculos'!$F$98)+1400)+'Cálculos'!$F$123)*'Cálculos'!$F$251)+('Cálculos'!$F$204*(1+'Cálculos'!$F$205+$A201*('Cálculos'!$F$290=3)*'Cálculos'!$F$103)+'Cálculos'!$F$206)*('Cálculos'!$F$242+'Cálculos'!$F$124*(1+2.78*('Cálculos'!$F$198+(($B$225)-$A201)*'Cálculos'!$F$98)/(('Cálculos'!$F$198+(($B$225)-$A201)*'Cálculos'!$F$98)+1400)+'Cálculos'!$F$122)*'Cálculos'!$F$247+'Cálculos'!$F$125*(1+2.78*('Cálculos'!$F$198+(($B$225)-$A201)*'Cálculos'!$F$98)/(('Cálculos'!$F$198+(($B$225)-$A201)*'Cálculos'!$F$98)+1400)+'Cálculos'!$F$123)*'Cálculos'!$F$252)+('Cálculos'!$F$243+'Cálculos'!$F$124*(1+2.78*('Cálculos'!$F$198+(($B$225)-$A201)*'Cálculos'!$F$98)/(('Cálculos'!$F$198+(($B$225)-$A201)*'Cálculos'!$F$98)+1400)+'Cálculos'!$F$122)*'Cálculos'!$F$248+'Cálculos'!$F$125*(1+2.78*('Cálculos'!$F$198+(($B$225)-$A201)*'Cálculos'!$F$98)/(('Cálculos'!$F$198+(($B$225)-$A201)*'Cálculos'!$F$98)+1400)+'Cálculos'!$F$123)*'Cálculos'!$F$253)+('Cálculos'!$F$185*(1+'Cálculos'!$F$189+$A201*('Cálculos'!$F$290=1)*'Cálculos'!$F$97+'Cálculos'!$F$305)+'Cálculos'!$F$194)*('Cálculos'!$F$254+'Cálculos'!$F$124*(1+2.78*('Cálculos'!$F$199+(($B$225)-$A201)*'Cálculos'!$F$98)/(('Cálculos'!$F$199+(($B$225)-$A201)*'Cálculos'!$F$98)+1400)+'Cálculos'!$F$122)*'Cálculos'!$F$259+'Cálculos'!$F$125*(1+2.78*('Cálculos'!$F$199+(($B$225)-$A201)*'Cálculos'!$F$98)/(('Cálculos'!$F$199+(($B$225)-$A201)*'Cálculos'!$F$98)+1400)+'Cálculos'!$F$123)*'Cálculos'!$F$264)+('Cálculos'!$F$199+(($B$225)-$A201)*'Cálculos'!$F$98)*('Cálculos'!$F$255+'Cálculos'!$F$124*(1+2.78*('Cálculos'!$F$199+(($B$225)-$A201)*'Cálculos'!$F$98)/(('Cálculos'!$F$199+(($B$225)-$A201)*'Cálculos'!$F$98)+1400)+'Cálculos'!$F$122)*'Cálculos'!$F$260+'Cálculos'!$F$125*(1+2.78*('Cálculos'!$F$199+(($B$225)-$A201)*'Cálculos'!$F$98)/(('Cálculos'!$F$199+(($B$225)-$A201)*'Cálculos'!$F$98)+1400)+'Cálculos'!$F$123)*'Cálculos'!$F$265)+('Cálculos'!$F$201*(1+'Cálculos'!$F$202+$A201*('Cálculos'!$F$290=2)*'Cálculos'!$F$101)+'Cálculos'!$F$203)*('Cálculos'!$F$256+'Cálculos'!$F$124*(1+2.78*('Cálculos'!$F$199+(($B$225)-$A201)*'Cálculos'!$F$98)/(('Cálculos'!$F$199+(($B$225)-$A201)*'Cálculos'!$F$98)+1400)+'Cálculos'!$F$122)*'Cálculos'!$F$261+'Cálculos'!$F$125*(1+2.78*('Cálculos'!$F$199+(($B$225)-$A201)*'Cálculos'!$F$98)/(('Cálculos'!$F$199+(($B$225)-$A201)*'Cálculos'!$F$98)+1400)+'Cálculos'!$F$123)*'Cálculos'!$F$266)+('Cálculos'!$F$204*(1+'Cálculos'!$F$205+$A201*('Cálculos'!$F$290=3)*'Cálculos'!$F$103)+'Cálculos'!$F$206)*('Cálculos'!$F$257+'Cálculos'!$F$124*(1+2.78*('Cálculos'!$F$199+(($B$225)-$A201)*'Cálculos'!$F$98)/(('Cálculos'!$F$199+(($B$225)-$A201)*'Cálculos'!$F$98)+1400)+'Cálculos'!$F$122)*'Cálculos'!$F$262+'Cálculos'!$F$125*(1+2.78*('Cálculos'!$F$199+(($B$225)-$A201)*'Cálculos'!$F$98)/(('Cálculos'!$F$199+(($B$225)-$A201)*'Cálculos'!$F$98)+1400)+'Cálculos'!$F$123)*'Cálculos'!$F$267)+('Cálculos'!$F$258+'Cálculos'!$F$124*(1+2.78*('Cálculos'!$F$199+(($B$225)-$A201)*'Cálculos'!$F$98)/(('Cálculos'!$F$199+(($B$225)-$A201)*'Cálculos'!$F$98)+1400)+'Cálculos'!$F$122)*'Cálculos'!$F$263+'Cálculos'!$F$125*(1+2.78*('Cálculos'!$F$199+(($B$225)-$A201)*'Cálculos'!$F$98)/(('Cálculos'!$F$199+(($B$225)-$A201)*'Cálculos'!$F$98)+1400)+'Cálculos'!$F$123)*'Cálculos'!$F$268)+('Cálculos'!$F$185*(1+'Cálculos'!$F$190+$A201*('Cálculos'!$F$290=1)*'Cálculos'!$F$97+'Cálculos'!$F$305)+'Cálculos'!$F$195)*('Cálculos'!$F$269+'Cálculos'!$F$124*(1+2.78*('Cálculos'!$F$200+(($B$225)-$A201)*'Cálculos'!$F$98)/(('Cálculos'!$F$200+(($B$225)-$A201)*'Cálculos'!$F$98)+1400)+'Cálculos'!$F$122)*'Cálculos'!$F$274+'Cálculos'!$F$125*(1+2.78*('Cálculos'!$F$200+(($B$225)-$A201)*'Cálculos'!$F$98)/(('Cálculos'!$F$200+(($B$225)-$A201)*'Cálculos'!$F$98)+1400)+'Cálculos'!$F$123)*'Cálculos'!$F$279)+('Cálculos'!$F$200+(($B$225)-$A201)*'Cálculos'!$F$98)*('Cálculos'!$F$270+'Cálculos'!$F$124*(1+2.78*('Cálculos'!$F$200+(($B$225)-$A201)*'Cálculos'!$F$98)/(('Cálculos'!$F$200+(($B$225)-$A201)*'Cálculos'!$F$98)+1400)+'Cálculos'!$F$122)*'Cálculos'!$F$275+'Cálculos'!$F$125*(1+2.78*('Cálculos'!$F$200+(($B$225)-$A201)*'Cálculos'!$F$98)/(('Cálculos'!$F$200+(($B$225)-$A201)*'Cálculos'!$F$98)+1400)+'Cálculos'!$F$123)*'Cálculos'!$F$280)+('Cálculos'!$F$201*(1+'Cálculos'!$F$202+$A201*('Cálculos'!$F$290=2)*'Cálculos'!$F$101)+'Cálculos'!$F$203)*('Cálculos'!$F$271+'Cálculos'!$F$124*(1+2.78*('Cálculos'!$F$200+(($B$225)-$A201)*'Cálculos'!$F$98)/(('Cálculos'!$F$200+(($B$225)-$A201)*'Cálculos'!$F$98)+1400)+'Cálculos'!$F$122)*'Cálculos'!$F$276+'Cálculos'!$F$125*(1+2.78*('Cálculos'!$F$200+(($B$225)-$A201)*'Cálculos'!$F$98)/(('Cálculos'!$F$200+(($B$225)-$A201)*'Cálculos'!$F$98)+1400)+'Cálculos'!$F$123)*'Cálculos'!$F$281)+('Cálculos'!$F$204*(1+'Cálculos'!$F$205+$A201*('Cálculos'!$F$290=3)*'Cálculos'!$F$103)+'Cálculos'!$F$206)*('Cálculos'!$F$272+'Cálculos'!$F$124*(1+2.78*('Cálculos'!$F$200+(($B$225)-$A201)*'Cálculos'!$F$98)/(('Cálculos'!$F$200+(($B$225)-$A201)*'Cálculos'!$F$98)+1400)+'Cálculos'!$F$122)*'Cálculos'!$F$277+'Cálculos'!$F$125*(1+2.78*('Cálculos'!$F$200+(($B$225)-$A201)*'Cálculos'!$F$98)/(('Cálculos'!$F$200+(($B$225)-$A201)*'Cálculos'!$F$98)+1400)+'Cálculos'!$F$123)*'Cálculos'!$F$282)+('Cálculos'!$F$273+'Cálculos'!$F$124*(1+2.78*('Cálculos'!$F$200+(($B$225)-$A201)*'Cálculos'!$F$98)/(('Cálculos'!$F$200+(($B$225)-$A201)*'Cálculos'!$F$98)+1400)+'Cálculos'!$F$122)*'Cálculos'!$F$278+'Cálculos'!$F$125*(1+2.78*('Cálculos'!$F$200+(($B$225)-$A201)*'Cálculos'!$F$98)/(('Cálculos'!$F$200+(($B$225)-$A201)*'Cálculos'!$F$98)+1400)+'Cálculos'!$F$123)*'Cálculos'!$F$283)))</f>
        <v>0</v>
      </c>
    </row>
    <row r="202" ht="15.75" customHeight="1">
      <c r="A202" s="2">
        <v>25.0</v>
      </c>
      <c r="B202" s="30">
        <f>SUMPRODUCT(MAX(($A$177:$A$222&lt;=$A202)*($A$177:$A$222&lt;='Cálculos'!$F$294)*(($A202)-$A$177:$A$222&lt;='Cálculos'!$F$295)*(1+(('Cálculos'!$F$207+$A$177:$A$222*'Cálculos'!$F$95)-(('Cálculos'!$F$207+$A$177:$A$222*'Cálculos'!$F$95)&gt;1)*(('Cálculos'!$F$207+$A$177:$A$222*'Cálculos'!$F$95)-1))*('Cálculos'!$F$208+(($A202)-$A$177:$A$222)*'Cálculos'!$F$96))))</f>
        <v>2.782985</v>
      </c>
      <c r="C202" s="2">
        <f>'Cálculos'!$F$303-$A202</f>
        <v>-7</v>
      </c>
      <c r="D202" s="31">
        <f>IF($C202&lt;0,0,SUMPRODUCT(MAX(($A$177:$A$222&lt;=$C202)*($A$177:$A$222&lt;='Cálculos'!$F$301)*(($C202)-$A$177:$A$222&lt;='Cálculos'!$F$297)*(('Cálculos'!$F$185*(1+'Cálculos'!$F$186+$A$177:$A$222*('Cálculos'!$F$290=1)*'Cálculos'!$F$97+'Cálculos'!$F$305)+'Cálculos'!$F$191)*('Cálculos'!$F$209+'Cálculos'!$F$124*(1+2.78*('Cálculos'!$F$196+(($C202)-$A$177:$A$222)*'Cálculos'!$F$98)/(('Cálculos'!$F$196+(($C202)-$A$177:$A$222)*'Cálculos'!$F$98)+1400)+'Cálculos'!$F$122)*'Cálculos'!$F$214+'Cálculos'!$F$125*(1+2.78*('Cálculos'!$F$196+(($C202)-$A$177:$A$222)*'Cálculos'!$F$98)/(('Cálculos'!$F$196+(($C202)-$A$177:$A$222)*'Cálculos'!$F$98)+1400)+'Cálculos'!$F$123)*'Cálculos'!$F$219)+('Cálculos'!$F$196+(($C202)-$A$177:$A$222)*'Cálculos'!$F$98)*('Cálculos'!$F$210+'Cálculos'!$F$124*(1+2.78*('Cálculos'!$F$196+(($C202)-$A$177:$A$222)*'Cálculos'!$F$98)/(('Cálculos'!$F$196+(($C202)-$A$177:$A$222)*'Cálculos'!$F$98)+1400)+'Cálculos'!$F$122)*'Cálculos'!$F$215+'Cálculos'!$F$125*(1+2.78*('Cálculos'!$F$196+(($C202)-$A$177:$A$222)*'Cálculos'!$F$98)/(('Cálculos'!$F$196+(($C202)-$A$177:$A$222)*'Cálculos'!$F$98)+1400)+'Cálculos'!$F$123)*'Cálculos'!$F$220)+('Cálculos'!$F$201*(1+'Cálculos'!$F$202+$A$177:$A$222*('Cálculos'!$F$290=2)*'Cálculos'!$F$101)+'Cálculos'!$F$203)*('Cálculos'!$F$211+'Cálculos'!$F$124*(1+2.78*('Cálculos'!$F$196+(($C202)-$A$177:$A$222)*'Cálculos'!$F$98)/(('Cálculos'!$F$196+(($C202)-$A$177:$A$222)*'Cálculos'!$F$98)+1400)+'Cálculos'!$F$122)*'Cálculos'!$F$216+'Cálculos'!$F$125*(1+2.78*('Cálculos'!$F$196+(($C202)-$A$177:$A$222)*'Cálculos'!$F$98)/(('Cálculos'!$F$196+(($C202)-$A$177:$A$222)*'Cálculos'!$F$98)+1400)+'Cálculos'!$F$123)*'Cálculos'!$F$221)+('Cálculos'!$F$204*(1+'Cálculos'!$F$205+$A$177:$A$222*('Cálculos'!$F$290=3)*'Cálculos'!$F$103)+'Cálculos'!$F$206)*('Cálculos'!$F$212+'Cálculos'!$F$124*(1+2.78*('Cálculos'!$F$196+(($C202)-$A$177:$A$222)*'Cálculos'!$F$98)/(('Cálculos'!$F$196+(($C202)-$A$177:$A$222)*'Cálculos'!$F$98)+1400)+'Cálculos'!$F$122)*'Cálculos'!$F$217+'Cálculos'!$F$125*(1+2.78*('Cálculos'!$F$196+(($C202)-$A$177:$A$222)*'Cálculos'!$F$98)/(('Cálculos'!$F$196+(($C202)-$A$177:$A$222)*'Cálculos'!$F$98)+1400)+'Cálculos'!$F$123)*'Cálculos'!$F$222)+('Cálculos'!$F$213+'Cálculos'!$F$124*(1+2.78*('Cálculos'!$F$196+(($C202)-$A$177:$A$222)*'Cálculos'!$F$98)/(('Cálculos'!$F$196+(($C202)-$A$177:$A$222)*'Cálculos'!$F$98)+1400)+'Cálculos'!$F$122)*'Cálculos'!$F$218+'Cálculos'!$F$125*(1+2.78*('Cálculos'!$F$196+(($C202)-$A$177:$A$222)*'Cálculos'!$F$98)/(('Cálculos'!$F$196+(($C202)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202)-$A$177:$A$222)*'Cálculos'!$F$98)/(('Cálculos'!$F$197+(($C202)-$A$177:$A$222)*'Cálculos'!$F$98)+1400)+'Cálculos'!$F$122)*'Cálculos'!$F$229+'Cálculos'!$F$125*(1+2.78*('Cálculos'!$F$197+(($C202)-$A$177:$A$222)*'Cálculos'!$F$98)/(('Cálculos'!$F$197+(($C202)-$A$177:$A$222)*'Cálculos'!$F$98)+1400)+'Cálculos'!$F$123)*'Cálculos'!$F$234)+('Cálculos'!$F$197+(($C202)-$A$177:$A$222)*'Cálculos'!$F$98)*('Cálculos'!$F$225+'Cálculos'!$F$124*(1+2.78*('Cálculos'!$F$197+(($C202)-$A$177:$A$222)*'Cálculos'!$F$98)/(('Cálculos'!$F$197+(($C202)-$A$177:$A$222)*'Cálculos'!$F$98)+1400)+'Cálculos'!$F$122)*'Cálculos'!$F$230+'Cálculos'!$F$125*(1+2.78*('Cálculos'!$F$197+(($C202)-$A$177:$A$222)*'Cálculos'!$F$98)/(('Cálculos'!$F$197+(($C202)-$A$177:$A$222)*'Cálculos'!$F$98)+1400)+'Cálculos'!$F$123)*'Cálculos'!$F$235)+('Cálculos'!$F$201*(1+'Cálculos'!$F$202+$A$177:$A$222*('Cálculos'!$F$290=2)*'Cálculos'!$F$101)+'Cálculos'!$F$203)*('Cálculos'!$F$226+'Cálculos'!$F$124*(1+2.78*('Cálculos'!$F$197+(($C202)-$A$177:$A$222)*'Cálculos'!$F$98)/(('Cálculos'!$F$197+(($C202)-$A$177:$A$222)*'Cálculos'!$F$98)+1400)+'Cálculos'!$F$122)*'Cálculos'!$F$231+'Cálculos'!$F$125*(1+2.78*('Cálculos'!$F$197+(($C202)-$A$177:$A$222)*'Cálculos'!$F$98)/(('Cálculos'!$F$197+(($C202)-$A$177:$A$222)*'Cálculos'!$F$98)+1400)+'Cálculos'!$F$123)*'Cálculos'!$F$236)+('Cálculos'!$F$204*(1+'Cálculos'!$F$205+$A$177:$A$222*('Cálculos'!$F$290=3)*'Cálculos'!$F$103)+'Cálculos'!$F$206)*('Cálculos'!$F$227+'Cálculos'!$F$124*(1+2.78*('Cálculos'!$F$197+(($C202)-$A$177:$A$222)*'Cálculos'!$F$98)/(('Cálculos'!$F$197+(($C202)-$A$177:$A$222)*'Cálculos'!$F$98)+1400)+'Cálculos'!$F$122)*'Cálculos'!$F$232+'Cálculos'!$F$125*(1+2.78*('Cálculos'!$F$197+(($C202)-$A$177:$A$222)*'Cálculos'!$F$98)/(('Cálculos'!$F$197+(($C202)-$A$177:$A$222)*'Cálculos'!$F$98)+1400)+'Cálculos'!$F$123)*'Cálculos'!$F$237)+('Cálculos'!$F$228+'Cálculos'!$F$124*(1+2.78*('Cálculos'!$F$197+(($C202)-$A$177:$A$222)*'Cálculos'!$F$98)/(('Cálculos'!$F$197+(($C202)-$A$177:$A$222)*'Cálculos'!$F$98)+1400)+'Cálculos'!$F$122)*'Cálculos'!$F$233+'Cálculos'!$F$125*(1+2.78*('Cálculos'!$F$197+(($C202)-$A$177:$A$222)*'Cálculos'!$F$98)/(('Cálculos'!$F$197+(($C202)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202)-$A$177:$A$222)*'Cálculos'!$F$98)/(('Cálculos'!$F$198+(($C202)-$A$177:$A$222)*'Cálculos'!$F$98)+1400)+'Cálculos'!$F$122)*'Cálculos'!$F$244+'Cálculos'!$F$125*(1+2.78*('Cálculos'!$F$198+(($C202)-$A$177:$A$222)*'Cálculos'!$F$98)/(('Cálculos'!$F$198+(($C202)-$A$177:$A$222)*'Cálculos'!$F$98)+1400)+'Cálculos'!$F$123)*'Cálculos'!$F$249)+('Cálculos'!$F$198+(($C202)-$A$177:$A$222)*'Cálculos'!$F$98)*('Cálculos'!$F$240+'Cálculos'!$F$124*(1+2.78*('Cálculos'!$F$198+(($C202)-$A$177:$A$222)*'Cálculos'!$F$98)/(('Cálculos'!$F$198+(($C202)-$A$177:$A$222)*'Cálculos'!$F$98)+1400)+'Cálculos'!$F$122)*'Cálculos'!$F$245+'Cálculos'!$F$125*(1+2.78*('Cálculos'!$F$198+(($C202)-$A$177:$A$222)*'Cálculos'!$F$98)/(('Cálculos'!$F$198+(($C202)-$A$177:$A$222)*'Cálculos'!$F$98)+1400)+'Cálculos'!$F$123)*'Cálculos'!$F$250)+('Cálculos'!$F$201*(1+'Cálculos'!$F$202+$A$177:$A$222*('Cálculos'!$F$290=2)*'Cálculos'!$F$101)+'Cálculos'!$F$203)*('Cálculos'!$F$241+'Cálculos'!$F$124*(1+2.78*('Cálculos'!$F$198+(($C202)-$A$177:$A$222)*'Cálculos'!$F$98)/(('Cálculos'!$F$198+(($C202)-$A$177:$A$222)*'Cálculos'!$F$98)+1400)+'Cálculos'!$F$122)*'Cálculos'!$F$246+'Cálculos'!$F$125*(1+2.78*('Cálculos'!$F$198+(($C202)-$A$177:$A$222)*'Cálculos'!$F$98)/(('Cálculos'!$F$198+(($C202)-$A$177:$A$222)*'Cálculos'!$F$98)+1400)+'Cálculos'!$F$123)*'Cálculos'!$F$251)+('Cálculos'!$F$204*(1+'Cálculos'!$F$205+$A$177:$A$222*('Cálculos'!$F$290=3)*'Cálculos'!$F$103)+'Cálculos'!$F$206)*('Cálculos'!$F$242+'Cálculos'!$F$124*(1+2.78*('Cálculos'!$F$198+(($C202)-$A$177:$A$222)*'Cálculos'!$F$98)/(('Cálculos'!$F$198+(($C202)-$A$177:$A$222)*'Cálculos'!$F$98)+1400)+'Cálculos'!$F$122)*'Cálculos'!$F$247+'Cálculos'!$F$125*(1+2.78*('Cálculos'!$F$198+(($C202)-$A$177:$A$222)*'Cálculos'!$F$98)/(('Cálculos'!$F$198+(($C202)-$A$177:$A$222)*'Cálculos'!$F$98)+1400)+'Cálculos'!$F$123)*'Cálculos'!$F$252)+('Cálculos'!$F$243+'Cálculos'!$F$124*(1+2.78*('Cálculos'!$F$198+(($C202)-$A$177:$A$222)*'Cálculos'!$F$98)/(('Cálculos'!$F$198+(($C202)-$A$177:$A$222)*'Cálculos'!$F$98)+1400)+'Cálculos'!$F$122)*'Cálculos'!$F$248+'Cálculos'!$F$125*(1+2.78*('Cálculos'!$F$198+(($C202)-$A$177:$A$222)*'Cálculos'!$F$98)/(('Cálculos'!$F$198+(($C202)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202)-$A$177:$A$222)*'Cálculos'!$F$98)/(('Cálculos'!$F$199+(($C202)-$A$177:$A$222)*'Cálculos'!$F$98)+1400)+'Cálculos'!$F$122)*'Cálculos'!$F$259+'Cálculos'!$F$125*(1+2.78*('Cálculos'!$F$199+(($C202)-$A$177:$A$222)*'Cálculos'!$F$98)/(('Cálculos'!$F$199+(($C202)-$A$177:$A$222)*'Cálculos'!$F$98)+1400)+'Cálculos'!$F$123)*'Cálculos'!$F$264)+('Cálculos'!$F$199+(($C202)-$A$177:$A$222)*'Cálculos'!$F$98)*('Cálculos'!$F$255+'Cálculos'!$F$124*(1+2.78*('Cálculos'!$F$199+(($C202)-$A$177:$A$222)*'Cálculos'!$F$98)/(('Cálculos'!$F$199+(($C202)-$A$177:$A$222)*'Cálculos'!$F$98)+1400)+'Cálculos'!$F$122)*'Cálculos'!$F$260+'Cálculos'!$F$125*(1+2.78*('Cálculos'!$F$199+(($C202)-$A$177:$A$222)*'Cálculos'!$F$98)/(('Cálculos'!$F$199+(($C202)-$A$177:$A$222)*'Cálculos'!$F$98)+1400)+'Cálculos'!$F$123)*'Cálculos'!$F$265)+('Cálculos'!$F$201*(1+'Cálculos'!$F$202+$A$177:$A$222*('Cálculos'!$F$290=2)*'Cálculos'!$F$101)+'Cálculos'!$F$203)*('Cálculos'!$F$256+'Cálculos'!$F$124*(1+2.78*('Cálculos'!$F$199+(($C202)-$A$177:$A$222)*'Cálculos'!$F$98)/(('Cálculos'!$F$199+(($C202)-$A$177:$A$222)*'Cálculos'!$F$98)+1400)+'Cálculos'!$F$122)*'Cálculos'!$F$261+'Cálculos'!$F$125*(1+2.78*('Cálculos'!$F$199+(($C202)-$A$177:$A$222)*'Cálculos'!$F$98)/(('Cálculos'!$F$199+(($C202)-$A$177:$A$222)*'Cálculos'!$F$98)+1400)+'Cálculos'!$F$123)*'Cálculos'!$F$266)+('Cálculos'!$F$204*(1+'Cálculos'!$F$205+$A$177:$A$222*('Cálculos'!$F$290=3)*'Cálculos'!$F$103)+'Cálculos'!$F$206)*('Cálculos'!$F$257+'Cálculos'!$F$124*(1+2.78*('Cálculos'!$F$199+(($C202)-$A$177:$A$222)*'Cálculos'!$F$98)/(('Cálculos'!$F$199+(($C202)-$A$177:$A$222)*'Cálculos'!$F$98)+1400)+'Cálculos'!$F$122)*'Cálculos'!$F$262+'Cálculos'!$F$125*(1+2.78*('Cálculos'!$F$199+(($C202)-$A$177:$A$222)*'Cálculos'!$F$98)/(('Cálculos'!$F$199+(($C202)-$A$177:$A$222)*'Cálculos'!$F$98)+1400)+'Cálculos'!$F$123)*'Cálculos'!$F$267)+('Cálculos'!$F$258+'Cálculos'!$F$124*(1+2.78*('Cálculos'!$F$199+(($C202)-$A$177:$A$222)*'Cálculos'!$F$98)/(('Cálculos'!$F$199+(($C202)-$A$177:$A$222)*'Cálculos'!$F$98)+1400)+'Cálculos'!$F$122)*'Cálculos'!$F$263+'Cálculos'!$F$125*(1+2.78*('Cálculos'!$F$199+(($C202)-$A$177:$A$222)*'Cálculos'!$F$98)/(('Cálculos'!$F$199+(($C202)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202)-$A$177:$A$222)*'Cálculos'!$F$98)/(('Cálculos'!$F$200+(($C202)-$A$177:$A$222)*'Cálculos'!$F$98)+1400)+'Cálculos'!$F$122)*'Cálculos'!$F$274+'Cálculos'!$F$125*(1+2.78*('Cálculos'!$F$200+(($C202)-$A$177:$A$222)*'Cálculos'!$F$98)/(('Cálculos'!$F$200+(($C202)-$A$177:$A$222)*'Cálculos'!$F$98)+1400)+'Cálculos'!$F$123)*'Cálculos'!$F$279)+('Cálculos'!$F$200+(($C202)-$A$177:$A$222)*'Cálculos'!$F$98)*('Cálculos'!$F$270+'Cálculos'!$F$124*(1+2.78*('Cálculos'!$F$200+(($C202)-$A$177:$A$222)*'Cálculos'!$F$98)/(('Cálculos'!$F$200+(($C202)-$A$177:$A$222)*'Cálculos'!$F$98)+1400)+'Cálculos'!$F$122)*'Cálculos'!$F$275+'Cálculos'!$F$125*(1+2.78*('Cálculos'!$F$200+(($C202)-$A$177:$A$222)*'Cálculos'!$F$98)/(('Cálculos'!$F$200+(($C202)-$A$177:$A$222)*'Cálculos'!$F$98)+1400)+'Cálculos'!$F$123)*'Cálculos'!$F$280)+('Cálculos'!$F$201*(1+'Cálculos'!$F$202+$A$177:$A$222*('Cálculos'!$F$290=2)*'Cálculos'!$F$101)+'Cálculos'!$F$203)*('Cálculos'!$F$271+'Cálculos'!$F$124*(1+2.78*('Cálculos'!$F$200+(($C202)-$A$177:$A$222)*'Cálculos'!$F$98)/(('Cálculos'!$F$200+(($C202)-$A$177:$A$222)*'Cálculos'!$F$98)+1400)+'Cálculos'!$F$122)*'Cálculos'!$F$276+'Cálculos'!$F$125*(1+2.78*('Cálculos'!$F$200+(($C202)-$A$177:$A$222)*'Cálculos'!$F$98)/(('Cálculos'!$F$200+(($C202)-$A$177:$A$222)*'Cálculos'!$F$98)+1400)+'Cálculos'!$F$123)*'Cálculos'!$F$281)+('Cálculos'!$F$204*(1+'Cálculos'!$F$205+$A$177:$A$222*('Cálculos'!$F$290=3)*'Cálculos'!$F$103)+'Cálculos'!$F$206)*('Cálculos'!$F$272+'Cálculos'!$F$124*(1+2.78*('Cálculos'!$F$200+(($C202)-$A$177:$A$222)*'Cálculos'!$F$98)/(('Cálculos'!$F$200+(($C202)-$A$177:$A$222)*'Cálculos'!$F$98)+1400)+'Cálculos'!$F$122)*'Cálculos'!$F$277+'Cálculos'!$F$125*(1+2.78*('Cálculos'!$F$200+(($C202)-$A$177:$A$222)*'Cálculos'!$F$98)/(('Cálculos'!$F$200+(($C202)-$A$177:$A$222)*'Cálculos'!$F$98)+1400)+'Cálculos'!$F$123)*'Cálculos'!$F$282)+('Cálculos'!$F$273+'Cálculos'!$F$124*(1+2.78*('Cálculos'!$F$200+(($C202)-$A$177:$A$222)*'Cálculos'!$F$98)/(('Cálculos'!$F$200+(($C202)-$A$177:$A$222)*'Cálculos'!$F$98)+1400)+'Cálculos'!$F$122)*'Cálculos'!$F$278+'Cálculos'!$F$125*(1+2.78*('Cálculos'!$F$200+(($C202)-$A$177:$A$222)*'Cálculos'!$F$98)/(('Cálculos'!$F$200+(($C202)-$A$177:$A$222)*'Cálculos'!$F$98)+1400)+'Cálculos'!$F$123)*'Cálculos'!$F$283)))))</f>
        <v>0</v>
      </c>
      <c r="E202" s="32">
        <f>IF(OR($C202&lt;0,'Cálculos'!$F$6=""),0,$B202*$D202)</f>
        <v>0</v>
      </c>
      <c r="F202" s="2"/>
      <c r="G202" s="30">
        <f>($A202&lt;=$B$224)*($A202&lt;='Cálculos'!$F$294)*(($B$224)-$A202&lt;='Cálculos'!$F$295)*(1+MIN(('Cálculos'!$F$207+$A202*'Cálculos'!$F$95),1)*('Cálculos'!$F$208+(($B$224)-$A202)*'Cálculos'!$F$96))</f>
        <v>0</v>
      </c>
      <c r="H202" s="31">
        <f>IF($B$225&lt;0,0,($A202&lt;=$B$225)*($A202&lt;='Cálculos'!$F$301)*(($B$225)-$A202&lt;='Cálculos'!$F$297)*(('Cálculos'!$F$185*(1+'Cálculos'!$F$186+$A202*('Cálculos'!$F$290=1)*'Cálculos'!$F$97+'Cálculos'!$F$305)+'Cálculos'!$F$191)*('Cálculos'!$F$209+'Cálculos'!$F$124*(1+2.78*('Cálculos'!$F$196+(($B$225)-$A202)*'Cálculos'!$F$98)/(('Cálculos'!$F$196+(($B$225)-$A202)*'Cálculos'!$F$98)+1400)+'Cálculos'!$F$122)*'Cálculos'!$F$214+'Cálculos'!$F$125*(1+2.78*('Cálculos'!$F$196+(($B$225)-$A202)*'Cálculos'!$F$98)/(('Cálculos'!$F$196+(($B$225)-$A202)*'Cálculos'!$F$98)+1400)+'Cálculos'!$F$123)*'Cálculos'!$F$219)+('Cálculos'!$F$196+(($B$225)-$A202)*'Cálculos'!$F$98)*('Cálculos'!$F$210+'Cálculos'!$F$124*(1+2.78*('Cálculos'!$F$196+(($B$225)-$A202)*'Cálculos'!$F$98)/(('Cálculos'!$F$196+(($B$225)-$A202)*'Cálculos'!$F$98)+1400)+'Cálculos'!$F$122)*'Cálculos'!$F$215+'Cálculos'!$F$125*(1+2.78*('Cálculos'!$F$196+(($B$225)-$A202)*'Cálculos'!$F$98)/(('Cálculos'!$F$196+(($B$225)-$A202)*'Cálculos'!$F$98)+1400)+'Cálculos'!$F$123)*'Cálculos'!$F$220)+('Cálculos'!$F$201*(1+'Cálculos'!$F$202+$A202*('Cálculos'!$F$290=2)*'Cálculos'!$F$101)+'Cálculos'!$F$203)*('Cálculos'!$F$211+'Cálculos'!$F$124*(1+2.78*('Cálculos'!$F$196+(($B$225)-$A202)*'Cálculos'!$F$98)/(('Cálculos'!$F$196+(($B$225)-$A202)*'Cálculos'!$F$98)+1400)+'Cálculos'!$F$122)*'Cálculos'!$F$216+'Cálculos'!$F$125*(1+2.78*('Cálculos'!$F$196+(($B$225)-$A202)*'Cálculos'!$F$98)/(('Cálculos'!$F$196+(($B$225)-$A202)*'Cálculos'!$F$98)+1400)+'Cálculos'!$F$123)*'Cálculos'!$F$221)+('Cálculos'!$F$204*(1+'Cálculos'!$F$205+$A202*('Cálculos'!$F$290=3)*'Cálculos'!$F$103)+'Cálculos'!$F$206)*('Cálculos'!$F$212+'Cálculos'!$F$124*(1+2.78*('Cálculos'!$F$196+(($B$225)-$A202)*'Cálculos'!$F$98)/(('Cálculos'!$F$196+(($B$225)-$A202)*'Cálculos'!$F$98)+1400)+'Cálculos'!$F$122)*'Cálculos'!$F$217+'Cálculos'!$F$125*(1+2.78*('Cálculos'!$F$196+(($B$225)-$A202)*'Cálculos'!$F$98)/(('Cálculos'!$F$196+(($B$225)-$A202)*'Cálculos'!$F$98)+1400)+'Cálculos'!$F$123)*'Cálculos'!$F$222)+('Cálculos'!$F$213+'Cálculos'!$F$124*(1+2.78*('Cálculos'!$F$196+(($B$225)-$A202)*'Cálculos'!$F$98)/(('Cálculos'!$F$196+(($B$225)-$A202)*'Cálculos'!$F$98)+1400)+'Cálculos'!$F$122)*'Cálculos'!$F$218+'Cálculos'!$F$125*(1+2.78*('Cálculos'!$F$196+(($B$225)-$A202)*'Cálculos'!$F$98)/(('Cálculos'!$F$196+(($B$225)-$A202)*'Cálculos'!$F$98)+1400)+'Cálculos'!$F$123)*'Cálculos'!$F$223)+('Cálculos'!$F$185*(1+'Cálculos'!$F$187+$A202*('Cálculos'!$F$290=1)*'Cálculos'!$F$97+'Cálculos'!$F$305)+'Cálculos'!$F$192)*('Cálculos'!$F$224+'Cálculos'!$F$124*(1+2.78*('Cálculos'!$F$197+(($B$225)-$A202)*'Cálculos'!$F$98)/(('Cálculos'!$F$197+(($B$225)-$A202)*'Cálculos'!$F$98)+1400)+'Cálculos'!$F$122)*'Cálculos'!$F$229+'Cálculos'!$F$125*(1+2.78*('Cálculos'!$F$197+(($B$225)-$A202)*'Cálculos'!$F$98)/(('Cálculos'!$F$197+(($B$225)-$A202)*'Cálculos'!$F$98)+1400)+'Cálculos'!$F$123)*'Cálculos'!$F$234)+('Cálculos'!$F$197+(($B$225)-$A202)*'Cálculos'!$F$98)*('Cálculos'!$F$225+'Cálculos'!$F$124*(1+2.78*('Cálculos'!$F$197+(($B$225)-$A202)*'Cálculos'!$F$98)/(('Cálculos'!$F$197+(($B$225)-$A202)*'Cálculos'!$F$98)+1400)+'Cálculos'!$F$122)*'Cálculos'!$F$230+'Cálculos'!$F$125*(1+2.78*('Cálculos'!$F$197+(($B$225)-$A202)*'Cálculos'!$F$98)/(('Cálculos'!$F$197+(($B$225)-$A202)*'Cálculos'!$F$98)+1400)+'Cálculos'!$F$123)*'Cálculos'!$F$235)+('Cálculos'!$F$201*(1+'Cálculos'!$F$202+$A202*('Cálculos'!$F$290=2)*'Cálculos'!$F$101)+'Cálculos'!$F$203)*('Cálculos'!$F$226+'Cálculos'!$F$124*(1+2.78*('Cálculos'!$F$197+(($B$225)-$A202)*'Cálculos'!$F$98)/(('Cálculos'!$F$197+(($B$225)-$A202)*'Cálculos'!$F$98)+1400)+'Cálculos'!$F$122)*'Cálculos'!$F$231+'Cálculos'!$F$125*(1+2.78*('Cálculos'!$F$197+(($B$225)-$A202)*'Cálculos'!$F$98)/(('Cálculos'!$F$197+(($B$225)-$A202)*'Cálculos'!$F$98)+1400)+'Cálculos'!$F$123)*'Cálculos'!$F$236)+('Cálculos'!$F$204*(1+'Cálculos'!$F$205+$A202*('Cálculos'!$F$290=3)*'Cálculos'!$F$103)+'Cálculos'!$F$206)*('Cálculos'!$F$227+'Cálculos'!$F$124*(1+2.78*('Cálculos'!$F$197+(($B$225)-$A202)*'Cálculos'!$F$98)/(('Cálculos'!$F$197+(($B$225)-$A202)*'Cálculos'!$F$98)+1400)+'Cálculos'!$F$122)*'Cálculos'!$F$232+'Cálculos'!$F$125*(1+2.78*('Cálculos'!$F$197+(($B$225)-$A202)*'Cálculos'!$F$98)/(('Cálculos'!$F$197+(($B$225)-$A202)*'Cálculos'!$F$98)+1400)+'Cálculos'!$F$123)*'Cálculos'!$F$237)+('Cálculos'!$F$228+'Cálculos'!$F$124*(1+2.78*('Cálculos'!$F$197+(($B$225)-$A202)*'Cálculos'!$F$98)/(('Cálculos'!$F$197+(($B$225)-$A202)*'Cálculos'!$F$98)+1400)+'Cálculos'!$F$122)*'Cálculos'!$F$233+'Cálculos'!$F$125*(1+2.78*('Cálculos'!$F$197+(($B$225)-$A202)*'Cálculos'!$F$98)/(('Cálculos'!$F$197+(($B$225)-$A202)*'Cálculos'!$F$98)+1400)+'Cálculos'!$F$123)*'Cálculos'!$F$238)+('Cálculos'!$F$185*(1+'Cálculos'!$F$188+$A202*('Cálculos'!$F$290=1)*'Cálculos'!$F$97+'Cálculos'!$F$305)+'Cálculos'!$F$193)*('Cálculos'!$F$239+'Cálculos'!$F$124*(1+2.78*('Cálculos'!$F$198+(($B$225)-$A202)*'Cálculos'!$F$98)/(('Cálculos'!$F$198+(($B$225)-$A202)*'Cálculos'!$F$98)+1400)+'Cálculos'!$F$122)*'Cálculos'!$F$244+'Cálculos'!$F$125*(1+2.78*('Cálculos'!$F$198+(($B$225)-$A202)*'Cálculos'!$F$98)/(('Cálculos'!$F$198+(($B$225)-$A202)*'Cálculos'!$F$98)+1400)+'Cálculos'!$F$123)*'Cálculos'!$F$249)+('Cálculos'!$F$198+(($B$225)-$A202)*'Cálculos'!$F$98)*('Cálculos'!$F$240+'Cálculos'!$F$124*(1+2.78*('Cálculos'!$F$198+(($B$225)-$A202)*'Cálculos'!$F$98)/(('Cálculos'!$F$198+(($B$225)-$A202)*'Cálculos'!$F$98)+1400)+'Cálculos'!$F$122)*'Cálculos'!$F$245+'Cálculos'!$F$125*(1+2.78*('Cálculos'!$F$198+(($B$225)-$A202)*'Cálculos'!$F$98)/(('Cálculos'!$F$198+(($B$225)-$A202)*'Cálculos'!$F$98)+1400)+'Cálculos'!$F$123)*'Cálculos'!$F$250)+('Cálculos'!$F$201*(1+'Cálculos'!$F$202+$A202*('Cálculos'!$F$290=2)*'Cálculos'!$F$101)+'Cálculos'!$F$203)*('Cálculos'!$F$241+'Cálculos'!$F$124*(1+2.78*('Cálculos'!$F$198+(($B$225)-$A202)*'Cálculos'!$F$98)/(('Cálculos'!$F$198+(($B$225)-$A202)*'Cálculos'!$F$98)+1400)+'Cálculos'!$F$122)*'Cálculos'!$F$246+'Cálculos'!$F$125*(1+2.78*('Cálculos'!$F$198+(($B$225)-$A202)*'Cálculos'!$F$98)/(('Cálculos'!$F$198+(($B$225)-$A202)*'Cálculos'!$F$98)+1400)+'Cálculos'!$F$123)*'Cálculos'!$F$251)+('Cálculos'!$F$204*(1+'Cálculos'!$F$205+$A202*('Cálculos'!$F$290=3)*'Cálculos'!$F$103)+'Cálculos'!$F$206)*('Cálculos'!$F$242+'Cálculos'!$F$124*(1+2.78*('Cálculos'!$F$198+(($B$225)-$A202)*'Cálculos'!$F$98)/(('Cálculos'!$F$198+(($B$225)-$A202)*'Cálculos'!$F$98)+1400)+'Cálculos'!$F$122)*'Cálculos'!$F$247+'Cálculos'!$F$125*(1+2.78*('Cálculos'!$F$198+(($B$225)-$A202)*'Cálculos'!$F$98)/(('Cálculos'!$F$198+(($B$225)-$A202)*'Cálculos'!$F$98)+1400)+'Cálculos'!$F$123)*'Cálculos'!$F$252)+('Cálculos'!$F$243+'Cálculos'!$F$124*(1+2.78*('Cálculos'!$F$198+(($B$225)-$A202)*'Cálculos'!$F$98)/(('Cálculos'!$F$198+(($B$225)-$A202)*'Cálculos'!$F$98)+1400)+'Cálculos'!$F$122)*'Cálculos'!$F$248+'Cálculos'!$F$125*(1+2.78*('Cálculos'!$F$198+(($B$225)-$A202)*'Cálculos'!$F$98)/(('Cálculos'!$F$198+(($B$225)-$A202)*'Cálculos'!$F$98)+1400)+'Cálculos'!$F$123)*'Cálculos'!$F$253)+('Cálculos'!$F$185*(1+'Cálculos'!$F$189+$A202*('Cálculos'!$F$290=1)*'Cálculos'!$F$97+'Cálculos'!$F$305)+'Cálculos'!$F$194)*('Cálculos'!$F$254+'Cálculos'!$F$124*(1+2.78*('Cálculos'!$F$199+(($B$225)-$A202)*'Cálculos'!$F$98)/(('Cálculos'!$F$199+(($B$225)-$A202)*'Cálculos'!$F$98)+1400)+'Cálculos'!$F$122)*'Cálculos'!$F$259+'Cálculos'!$F$125*(1+2.78*('Cálculos'!$F$199+(($B$225)-$A202)*'Cálculos'!$F$98)/(('Cálculos'!$F$199+(($B$225)-$A202)*'Cálculos'!$F$98)+1400)+'Cálculos'!$F$123)*'Cálculos'!$F$264)+('Cálculos'!$F$199+(($B$225)-$A202)*'Cálculos'!$F$98)*('Cálculos'!$F$255+'Cálculos'!$F$124*(1+2.78*('Cálculos'!$F$199+(($B$225)-$A202)*'Cálculos'!$F$98)/(('Cálculos'!$F$199+(($B$225)-$A202)*'Cálculos'!$F$98)+1400)+'Cálculos'!$F$122)*'Cálculos'!$F$260+'Cálculos'!$F$125*(1+2.78*('Cálculos'!$F$199+(($B$225)-$A202)*'Cálculos'!$F$98)/(('Cálculos'!$F$199+(($B$225)-$A202)*'Cálculos'!$F$98)+1400)+'Cálculos'!$F$123)*'Cálculos'!$F$265)+('Cálculos'!$F$201*(1+'Cálculos'!$F$202+$A202*('Cálculos'!$F$290=2)*'Cálculos'!$F$101)+'Cálculos'!$F$203)*('Cálculos'!$F$256+'Cálculos'!$F$124*(1+2.78*('Cálculos'!$F$199+(($B$225)-$A202)*'Cálculos'!$F$98)/(('Cálculos'!$F$199+(($B$225)-$A202)*'Cálculos'!$F$98)+1400)+'Cálculos'!$F$122)*'Cálculos'!$F$261+'Cálculos'!$F$125*(1+2.78*('Cálculos'!$F$199+(($B$225)-$A202)*'Cálculos'!$F$98)/(('Cálculos'!$F$199+(($B$225)-$A202)*'Cálculos'!$F$98)+1400)+'Cálculos'!$F$123)*'Cálculos'!$F$266)+('Cálculos'!$F$204*(1+'Cálculos'!$F$205+$A202*('Cálculos'!$F$290=3)*'Cálculos'!$F$103)+'Cálculos'!$F$206)*('Cálculos'!$F$257+'Cálculos'!$F$124*(1+2.78*('Cálculos'!$F$199+(($B$225)-$A202)*'Cálculos'!$F$98)/(('Cálculos'!$F$199+(($B$225)-$A202)*'Cálculos'!$F$98)+1400)+'Cálculos'!$F$122)*'Cálculos'!$F$262+'Cálculos'!$F$125*(1+2.78*('Cálculos'!$F$199+(($B$225)-$A202)*'Cálculos'!$F$98)/(('Cálculos'!$F$199+(($B$225)-$A202)*'Cálculos'!$F$98)+1400)+'Cálculos'!$F$123)*'Cálculos'!$F$267)+('Cálculos'!$F$258+'Cálculos'!$F$124*(1+2.78*('Cálculos'!$F$199+(($B$225)-$A202)*'Cálculos'!$F$98)/(('Cálculos'!$F$199+(($B$225)-$A202)*'Cálculos'!$F$98)+1400)+'Cálculos'!$F$122)*'Cálculos'!$F$263+'Cálculos'!$F$125*(1+2.78*('Cálculos'!$F$199+(($B$225)-$A202)*'Cálculos'!$F$98)/(('Cálculos'!$F$199+(($B$225)-$A202)*'Cálculos'!$F$98)+1400)+'Cálculos'!$F$123)*'Cálculos'!$F$268)+('Cálculos'!$F$185*(1+'Cálculos'!$F$190+$A202*('Cálculos'!$F$290=1)*'Cálculos'!$F$97+'Cálculos'!$F$305)+'Cálculos'!$F$195)*('Cálculos'!$F$269+'Cálculos'!$F$124*(1+2.78*('Cálculos'!$F$200+(($B$225)-$A202)*'Cálculos'!$F$98)/(('Cálculos'!$F$200+(($B$225)-$A202)*'Cálculos'!$F$98)+1400)+'Cálculos'!$F$122)*'Cálculos'!$F$274+'Cálculos'!$F$125*(1+2.78*('Cálculos'!$F$200+(($B$225)-$A202)*'Cálculos'!$F$98)/(('Cálculos'!$F$200+(($B$225)-$A202)*'Cálculos'!$F$98)+1400)+'Cálculos'!$F$123)*'Cálculos'!$F$279)+('Cálculos'!$F$200+(($B$225)-$A202)*'Cálculos'!$F$98)*('Cálculos'!$F$270+'Cálculos'!$F$124*(1+2.78*('Cálculos'!$F$200+(($B$225)-$A202)*'Cálculos'!$F$98)/(('Cálculos'!$F$200+(($B$225)-$A202)*'Cálculos'!$F$98)+1400)+'Cálculos'!$F$122)*'Cálculos'!$F$275+'Cálculos'!$F$125*(1+2.78*('Cálculos'!$F$200+(($B$225)-$A202)*'Cálculos'!$F$98)/(('Cálculos'!$F$200+(($B$225)-$A202)*'Cálculos'!$F$98)+1400)+'Cálculos'!$F$123)*'Cálculos'!$F$280)+('Cálculos'!$F$201*(1+'Cálculos'!$F$202+$A202*('Cálculos'!$F$290=2)*'Cálculos'!$F$101)+'Cálculos'!$F$203)*('Cálculos'!$F$271+'Cálculos'!$F$124*(1+2.78*('Cálculos'!$F$200+(($B$225)-$A202)*'Cálculos'!$F$98)/(('Cálculos'!$F$200+(($B$225)-$A202)*'Cálculos'!$F$98)+1400)+'Cálculos'!$F$122)*'Cálculos'!$F$276+'Cálculos'!$F$125*(1+2.78*('Cálculos'!$F$200+(($B$225)-$A202)*'Cálculos'!$F$98)/(('Cálculos'!$F$200+(($B$225)-$A202)*'Cálculos'!$F$98)+1400)+'Cálculos'!$F$123)*'Cálculos'!$F$281)+('Cálculos'!$F$204*(1+'Cálculos'!$F$205+$A202*('Cálculos'!$F$290=3)*'Cálculos'!$F$103)+'Cálculos'!$F$206)*('Cálculos'!$F$272+'Cálculos'!$F$124*(1+2.78*('Cálculos'!$F$200+(($B$225)-$A202)*'Cálculos'!$F$98)/(('Cálculos'!$F$200+(($B$225)-$A202)*'Cálculos'!$F$98)+1400)+'Cálculos'!$F$122)*'Cálculos'!$F$277+'Cálculos'!$F$125*(1+2.78*('Cálculos'!$F$200+(($B$225)-$A202)*'Cálculos'!$F$98)/(('Cálculos'!$F$200+(($B$225)-$A202)*'Cálculos'!$F$98)+1400)+'Cálculos'!$F$123)*'Cálculos'!$F$282)+('Cálculos'!$F$273+'Cálculos'!$F$124*(1+2.78*('Cálculos'!$F$200+(($B$225)-$A202)*'Cálculos'!$F$98)/(('Cálculos'!$F$200+(($B$225)-$A202)*'Cálculos'!$F$98)+1400)+'Cálculos'!$F$122)*'Cálculos'!$F$278+'Cálculos'!$F$125*(1+2.78*('Cálculos'!$F$200+(($B$225)-$A202)*'Cálculos'!$F$98)/(('Cálculos'!$F$200+(($B$225)-$A202)*'Cálculos'!$F$98)+1400)+'Cálculos'!$F$123)*'Cálculos'!$F$283)))</f>
        <v>0</v>
      </c>
    </row>
    <row r="203" ht="15.75" customHeight="1">
      <c r="A203" s="2">
        <v>26.0</v>
      </c>
      <c r="B203" s="30">
        <f>SUMPRODUCT(MAX(($A$177:$A$222&lt;=$A203)*($A$177:$A$222&lt;='Cálculos'!$F$294)*(($A203)-$A$177:$A$222&lt;='Cálculos'!$F$295)*(1+(('Cálculos'!$F$207+$A$177:$A$222*'Cálculos'!$F$95)-(('Cálculos'!$F$207+$A$177:$A$222*'Cálculos'!$F$95)&gt;1)*(('Cálculos'!$F$207+$A$177:$A$222*'Cálculos'!$F$95)-1))*('Cálculos'!$F$208+(($A203)-$A$177:$A$222)*'Cálculos'!$F$96))))</f>
        <v>2.846015</v>
      </c>
      <c r="C203" s="2">
        <f>'Cálculos'!$F$303-$A203</f>
        <v>-8</v>
      </c>
      <c r="D203" s="31">
        <f>IF($C203&lt;0,0,SUMPRODUCT(MAX(($A$177:$A$222&lt;=$C203)*($A$177:$A$222&lt;='Cálculos'!$F$301)*(($C203)-$A$177:$A$222&lt;='Cálculos'!$F$297)*(('Cálculos'!$F$185*(1+'Cálculos'!$F$186+$A$177:$A$222*('Cálculos'!$F$290=1)*'Cálculos'!$F$97+'Cálculos'!$F$305)+'Cálculos'!$F$191)*('Cálculos'!$F$209+'Cálculos'!$F$124*(1+2.78*('Cálculos'!$F$196+(($C203)-$A$177:$A$222)*'Cálculos'!$F$98)/(('Cálculos'!$F$196+(($C203)-$A$177:$A$222)*'Cálculos'!$F$98)+1400)+'Cálculos'!$F$122)*'Cálculos'!$F$214+'Cálculos'!$F$125*(1+2.78*('Cálculos'!$F$196+(($C203)-$A$177:$A$222)*'Cálculos'!$F$98)/(('Cálculos'!$F$196+(($C203)-$A$177:$A$222)*'Cálculos'!$F$98)+1400)+'Cálculos'!$F$123)*'Cálculos'!$F$219)+('Cálculos'!$F$196+(($C203)-$A$177:$A$222)*'Cálculos'!$F$98)*('Cálculos'!$F$210+'Cálculos'!$F$124*(1+2.78*('Cálculos'!$F$196+(($C203)-$A$177:$A$222)*'Cálculos'!$F$98)/(('Cálculos'!$F$196+(($C203)-$A$177:$A$222)*'Cálculos'!$F$98)+1400)+'Cálculos'!$F$122)*'Cálculos'!$F$215+'Cálculos'!$F$125*(1+2.78*('Cálculos'!$F$196+(($C203)-$A$177:$A$222)*'Cálculos'!$F$98)/(('Cálculos'!$F$196+(($C203)-$A$177:$A$222)*'Cálculos'!$F$98)+1400)+'Cálculos'!$F$123)*'Cálculos'!$F$220)+('Cálculos'!$F$201*(1+'Cálculos'!$F$202+$A$177:$A$222*('Cálculos'!$F$290=2)*'Cálculos'!$F$101)+'Cálculos'!$F$203)*('Cálculos'!$F$211+'Cálculos'!$F$124*(1+2.78*('Cálculos'!$F$196+(($C203)-$A$177:$A$222)*'Cálculos'!$F$98)/(('Cálculos'!$F$196+(($C203)-$A$177:$A$222)*'Cálculos'!$F$98)+1400)+'Cálculos'!$F$122)*'Cálculos'!$F$216+'Cálculos'!$F$125*(1+2.78*('Cálculos'!$F$196+(($C203)-$A$177:$A$222)*'Cálculos'!$F$98)/(('Cálculos'!$F$196+(($C203)-$A$177:$A$222)*'Cálculos'!$F$98)+1400)+'Cálculos'!$F$123)*'Cálculos'!$F$221)+('Cálculos'!$F$204*(1+'Cálculos'!$F$205+$A$177:$A$222*('Cálculos'!$F$290=3)*'Cálculos'!$F$103)+'Cálculos'!$F$206)*('Cálculos'!$F$212+'Cálculos'!$F$124*(1+2.78*('Cálculos'!$F$196+(($C203)-$A$177:$A$222)*'Cálculos'!$F$98)/(('Cálculos'!$F$196+(($C203)-$A$177:$A$222)*'Cálculos'!$F$98)+1400)+'Cálculos'!$F$122)*'Cálculos'!$F$217+'Cálculos'!$F$125*(1+2.78*('Cálculos'!$F$196+(($C203)-$A$177:$A$222)*'Cálculos'!$F$98)/(('Cálculos'!$F$196+(($C203)-$A$177:$A$222)*'Cálculos'!$F$98)+1400)+'Cálculos'!$F$123)*'Cálculos'!$F$222)+('Cálculos'!$F$213+'Cálculos'!$F$124*(1+2.78*('Cálculos'!$F$196+(($C203)-$A$177:$A$222)*'Cálculos'!$F$98)/(('Cálculos'!$F$196+(($C203)-$A$177:$A$222)*'Cálculos'!$F$98)+1400)+'Cálculos'!$F$122)*'Cálculos'!$F$218+'Cálculos'!$F$125*(1+2.78*('Cálculos'!$F$196+(($C203)-$A$177:$A$222)*'Cálculos'!$F$98)/(('Cálculos'!$F$196+(($C203)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203)-$A$177:$A$222)*'Cálculos'!$F$98)/(('Cálculos'!$F$197+(($C203)-$A$177:$A$222)*'Cálculos'!$F$98)+1400)+'Cálculos'!$F$122)*'Cálculos'!$F$229+'Cálculos'!$F$125*(1+2.78*('Cálculos'!$F$197+(($C203)-$A$177:$A$222)*'Cálculos'!$F$98)/(('Cálculos'!$F$197+(($C203)-$A$177:$A$222)*'Cálculos'!$F$98)+1400)+'Cálculos'!$F$123)*'Cálculos'!$F$234)+('Cálculos'!$F$197+(($C203)-$A$177:$A$222)*'Cálculos'!$F$98)*('Cálculos'!$F$225+'Cálculos'!$F$124*(1+2.78*('Cálculos'!$F$197+(($C203)-$A$177:$A$222)*'Cálculos'!$F$98)/(('Cálculos'!$F$197+(($C203)-$A$177:$A$222)*'Cálculos'!$F$98)+1400)+'Cálculos'!$F$122)*'Cálculos'!$F$230+'Cálculos'!$F$125*(1+2.78*('Cálculos'!$F$197+(($C203)-$A$177:$A$222)*'Cálculos'!$F$98)/(('Cálculos'!$F$197+(($C203)-$A$177:$A$222)*'Cálculos'!$F$98)+1400)+'Cálculos'!$F$123)*'Cálculos'!$F$235)+('Cálculos'!$F$201*(1+'Cálculos'!$F$202+$A$177:$A$222*('Cálculos'!$F$290=2)*'Cálculos'!$F$101)+'Cálculos'!$F$203)*('Cálculos'!$F$226+'Cálculos'!$F$124*(1+2.78*('Cálculos'!$F$197+(($C203)-$A$177:$A$222)*'Cálculos'!$F$98)/(('Cálculos'!$F$197+(($C203)-$A$177:$A$222)*'Cálculos'!$F$98)+1400)+'Cálculos'!$F$122)*'Cálculos'!$F$231+'Cálculos'!$F$125*(1+2.78*('Cálculos'!$F$197+(($C203)-$A$177:$A$222)*'Cálculos'!$F$98)/(('Cálculos'!$F$197+(($C203)-$A$177:$A$222)*'Cálculos'!$F$98)+1400)+'Cálculos'!$F$123)*'Cálculos'!$F$236)+('Cálculos'!$F$204*(1+'Cálculos'!$F$205+$A$177:$A$222*('Cálculos'!$F$290=3)*'Cálculos'!$F$103)+'Cálculos'!$F$206)*('Cálculos'!$F$227+'Cálculos'!$F$124*(1+2.78*('Cálculos'!$F$197+(($C203)-$A$177:$A$222)*'Cálculos'!$F$98)/(('Cálculos'!$F$197+(($C203)-$A$177:$A$222)*'Cálculos'!$F$98)+1400)+'Cálculos'!$F$122)*'Cálculos'!$F$232+'Cálculos'!$F$125*(1+2.78*('Cálculos'!$F$197+(($C203)-$A$177:$A$222)*'Cálculos'!$F$98)/(('Cálculos'!$F$197+(($C203)-$A$177:$A$222)*'Cálculos'!$F$98)+1400)+'Cálculos'!$F$123)*'Cálculos'!$F$237)+('Cálculos'!$F$228+'Cálculos'!$F$124*(1+2.78*('Cálculos'!$F$197+(($C203)-$A$177:$A$222)*'Cálculos'!$F$98)/(('Cálculos'!$F$197+(($C203)-$A$177:$A$222)*'Cálculos'!$F$98)+1400)+'Cálculos'!$F$122)*'Cálculos'!$F$233+'Cálculos'!$F$125*(1+2.78*('Cálculos'!$F$197+(($C203)-$A$177:$A$222)*'Cálculos'!$F$98)/(('Cálculos'!$F$197+(($C203)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203)-$A$177:$A$222)*'Cálculos'!$F$98)/(('Cálculos'!$F$198+(($C203)-$A$177:$A$222)*'Cálculos'!$F$98)+1400)+'Cálculos'!$F$122)*'Cálculos'!$F$244+'Cálculos'!$F$125*(1+2.78*('Cálculos'!$F$198+(($C203)-$A$177:$A$222)*'Cálculos'!$F$98)/(('Cálculos'!$F$198+(($C203)-$A$177:$A$222)*'Cálculos'!$F$98)+1400)+'Cálculos'!$F$123)*'Cálculos'!$F$249)+('Cálculos'!$F$198+(($C203)-$A$177:$A$222)*'Cálculos'!$F$98)*('Cálculos'!$F$240+'Cálculos'!$F$124*(1+2.78*('Cálculos'!$F$198+(($C203)-$A$177:$A$222)*'Cálculos'!$F$98)/(('Cálculos'!$F$198+(($C203)-$A$177:$A$222)*'Cálculos'!$F$98)+1400)+'Cálculos'!$F$122)*'Cálculos'!$F$245+'Cálculos'!$F$125*(1+2.78*('Cálculos'!$F$198+(($C203)-$A$177:$A$222)*'Cálculos'!$F$98)/(('Cálculos'!$F$198+(($C203)-$A$177:$A$222)*'Cálculos'!$F$98)+1400)+'Cálculos'!$F$123)*'Cálculos'!$F$250)+('Cálculos'!$F$201*(1+'Cálculos'!$F$202+$A$177:$A$222*('Cálculos'!$F$290=2)*'Cálculos'!$F$101)+'Cálculos'!$F$203)*('Cálculos'!$F$241+'Cálculos'!$F$124*(1+2.78*('Cálculos'!$F$198+(($C203)-$A$177:$A$222)*'Cálculos'!$F$98)/(('Cálculos'!$F$198+(($C203)-$A$177:$A$222)*'Cálculos'!$F$98)+1400)+'Cálculos'!$F$122)*'Cálculos'!$F$246+'Cálculos'!$F$125*(1+2.78*('Cálculos'!$F$198+(($C203)-$A$177:$A$222)*'Cálculos'!$F$98)/(('Cálculos'!$F$198+(($C203)-$A$177:$A$222)*'Cálculos'!$F$98)+1400)+'Cálculos'!$F$123)*'Cálculos'!$F$251)+('Cálculos'!$F$204*(1+'Cálculos'!$F$205+$A$177:$A$222*('Cálculos'!$F$290=3)*'Cálculos'!$F$103)+'Cálculos'!$F$206)*('Cálculos'!$F$242+'Cálculos'!$F$124*(1+2.78*('Cálculos'!$F$198+(($C203)-$A$177:$A$222)*'Cálculos'!$F$98)/(('Cálculos'!$F$198+(($C203)-$A$177:$A$222)*'Cálculos'!$F$98)+1400)+'Cálculos'!$F$122)*'Cálculos'!$F$247+'Cálculos'!$F$125*(1+2.78*('Cálculos'!$F$198+(($C203)-$A$177:$A$222)*'Cálculos'!$F$98)/(('Cálculos'!$F$198+(($C203)-$A$177:$A$222)*'Cálculos'!$F$98)+1400)+'Cálculos'!$F$123)*'Cálculos'!$F$252)+('Cálculos'!$F$243+'Cálculos'!$F$124*(1+2.78*('Cálculos'!$F$198+(($C203)-$A$177:$A$222)*'Cálculos'!$F$98)/(('Cálculos'!$F$198+(($C203)-$A$177:$A$222)*'Cálculos'!$F$98)+1400)+'Cálculos'!$F$122)*'Cálculos'!$F$248+'Cálculos'!$F$125*(1+2.78*('Cálculos'!$F$198+(($C203)-$A$177:$A$222)*'Cálculos'!$F$98)/(('Cálculos'!$F$198+(($C203)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203)-$A$177:$A$222)*'Cálculos'!$F$98)/(('Cálculos'!$F$199+(($C203)-$A$177:$A$222)*'Cálculos'!$F$98)+1400)+'Cálculos'!$F$122)*'Cálculos'!$F$259+'Cálculos'!$F$125*(1+2.78*('Cálculos'!$F$199+(($C203)-$A$177:$A$222)*'Cálculos'!$F$98)/(('Cálculos'!$F$199+(($C203)-$A$177:$A$222)*'Cálculos'!$F$98)+1400)+'Cálculos'!$F$123)*'Cálculos'!$F$264)+('Cálculos'!$F$199+(($C203)-$A$177:$A$222)*'Cálculos'!$F$98)*('Cálculos'!$F$255+'Cálculos'!$F$124*(1+2.78*('Cálculos'!$F$199+(($C203)-$A$177:$A$222)*'Cálculos'!$F$98)/(('Cálculos'!$F$199+(($C203)-$A$177:$A$222)*'Cálculos'!$F$98)+1400)+'Cálculos'!$F$122)*'Cálculos'!$F$260+'Cálculos'!$F$125*(1+2.78*('Cálculos'!$F$199+(($C203)-$A$177:$A$222)*'Cálculos'!$F$98)/(('Cálculos'!$F$199+(($C203)-$A$177:$A$222)*'Cálculos'!$F$98)+1400)+'Cálculos'!$F$123)*'Cálculos'!$F$265)+('Cálculos'!$F$201*(1+'Cálculos'!$F$202+$A$177:$A$222*('Cálculos'!$F$290=2)*'Cálculos'!$F$101)+'Cálculos'!$F$203)*('Cálculos'!$F$256+'Cálculos'!$F$124*(1+2.78*('Cálculos'!$F$199+(($C203)-$A$177:$A$222)*'Cálculos'!$F$98)/(('Cálculos'!$F$199+(($C203)-$A$177:$A$222)*'Cálculos'!$F$98)+1400)+'Cálculos'!$F$122)*'Cálculos'!$F$261+'Cálculos'!$F$125*(1+2.78*('Cálculos'!$F$199+(($C203)-$A$177:$A$222)*'Cálculos'!$F$98)/(('Cálculos'!$F$199+(($C203)-$A$177:$A$222)*'Cálculos'!$F$98)+1400)+'Cálculos'!$F$123)*'Cálculos'!$F$266)+('Cálculos'!$F$204*(1+'Cálculos'!$F$205+$A$177:$A$222*('Cálculos'!$F$290=3)*'Cálculos'!$F$103)+'Cálculos'!$F$206)*('Cálculos'!$F$257+'Cálculos'!$F$124*(1+2.78*('Cálculos'!$F$199+(($C203)-$A$177:$A$222)*'Cálculos'!$F$98)/(('Cálculos'!$F$199+(($C203)-$A$177:$A$222)*'Cálculos'!$F$98)+1400)+'Cálculos'!$F$122)*'Cálculos'!$F$262+'Cálculos'!$F$125*(1+2.78*('Cálculos'!$F$199+(($C203)-$A$177:$A$222)*'Cálculos'!$F$98)/(('Cálculos'!$F$199+(($C203)-$A$177:$A$222)*'Cálculos'!$F$98)+1400)+'Cálculos'!$F$123)*'Cálculos'!$F$267)+('Cálculos'!$F$258+'Cálculos'!$F$124*(1+2.78*('Cálculos'!$F$199+(($C203)-$A$177:$A$222)*'Cálculos'!$F$98)/(('Cálculos'!$F$199+(($C203)-$A$177:$A$222)*'Cálculos'!$F$98)+1400)+'Cálculos'!$F$122)*'Cálculos'!$F$263+'Cálculos'!$F$125*(1+2.78*('Cálculos'!$F$199+(($C203)-$A$177:$A$222)*'Cálculos'!$F$98)/(('Cálculos'!$F$199+(($C203)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203)-$A$177:$A$222)*'Cálculos'!$F$98)/(('Cálculos'!$F$200+(($C203)-$A$177:$A$222)*'Cálculos'!$F$98)+1400)+'Cálculos'!$F$122)*'Cálculos'!$F$274+'Cálculos'!$F$125*(1+2.78*('Cálculos'!$F$200+(($C203)-$A$177:$A$222)*'Cálculos'!$F$98)/(('Cálculos'!$F$200+(($C203)-$A$177:$A$222)*'Cálculos'!$F$98)+1400)+'Cálculos'!$F$123)*'Cálculos'!$F$279)+('Cálculos'!$F$200+(($C203)-$A$177:$A$222)*'Cálculos'!$F$98)*('Cálculos'!$F$270+'Cálculos'!$F$124*(1+2.78*('Cálculos'!$F$200+(($C203)-$A$177:$A$222)*'Cálculos'!$F$98)/(('Cálculos'!$F$200+(($C203)-$A$177:$A$222)*'Cálculos'!$F$98)+1400)+'Cálculos'!$F$122)*'Cálculos'!$F$275+'Cálculos'!$F$125*(1+2.78*('Cálculos'!$F$200+(($C203)-$A$177:$A$222)*'Cálculos'!$F$98)/(('Cálculos'!$F$200+(($C203)-$A$177:$A$222)*'Cálculos'!$F$98)+1400)+'Cálculos'!$F$123)*'Cálculos'!$F$280)+('Cálculos'!$F$201*(1+'Cálculos'!$F$202+$A$177:$A$222*('Cálculos'!$F$290=2)*'Cálculos'!$F$101)+'Cálculos'!$F$203)*('Cálculos'!$F$271+'Cálculos'!$F$124*(1+2.78*('Cálculos'!$F$200+(($C203)-$A$177:$A$222)*'Cálculos'!$F$98)/(('Cálculos'!$F$200+(($C203)-$A$177:$A$222)*'Cálculos'!$F$98)+1400)+'Cálculos'!$F$122)*'Cálculos'!$F$276+'Cálculos'!$F$125*(1+2.78*('Cálculos'!$F$200+(($C203)-$A$177:$A$222)*'Cálculos'!$F$98)/(('Cálculos'!$F$200+(($C203)-$A$177:$A$222)*'Cálculos'!$F$98)+1400)+'Cálculos'!$F$123)*'Cálculos'!$F$281)+('Cálculos'!$F$204*(1+'Cálculos'!$F$205+$A$177:$A$222*('Cálculos'!$F$290=3)*'Cálculos'!$F$103)+'Cálculos'!$F$206)*('Cálculos'!$F$272+'Cálculos'!$F$124*(1+2.78*('Cálculos'!$F$200+(($C203)-$A$177:$A$222)*'Cálculos'!$F$98)/(('Cálculos'!$F$200+(($C203)-$A$177:$A$222)*'Cálculos'!$F$98)+1400)+'Cálculos'!$F$122)*'Cálculos'!$F$277+'Cálculos'!$F$125*(1+2.78*('Cálculos'!$F$200+(($C203)-$A$177:$A$222)*'Cálculos'!$F$98)/(('Cálculos'!$F$200+(($C203)-$A$177:$A$222)*'Cálculos'!$F$98)+1400)+'Cálculos'!$F$123)*'Cálculos'!$F$282)+('Cálculos'!$F$273+'Cálculos'!$F$124*(1+2.78*('Cálculos'!$F$200+(($C203)-$A$177:$A$222)*'Cálculos'!$F$98)/(('Cálculos'!$F$200+(($C203)-$A$177:$A$222)*'Cálculos'!$F$98)+1400)+'Cálculos'!$F$122)*'Cálculos'!$F$278+'Cálculos'!$F$125*(1+2.78*('Cálculos'!$F$200+(($C203)-$A$177:$A$222)*'Cálculos'!$F$98)/(('Cálculos'!$F$200+(($C203)-$A$177:$A$222)*'Cálculos'!$F$98)+1400)+'Cálculos'!$F$123)*'Cálculos'!$F$283)))))</f>
        <v>0</v>
      </c>
      <c r="E203" s="32">
        <f>IF(OR($C203&lt;0,'Cálculos'!$F$6=""),0,$B203*$D203)</f>
        <v>0</v>
      </c>
      <c r="F203" s="2"/>
      <c r="G203" s="30">
        <f>($A203&lt;=$B$224)*($A203&lt;='Cálculos'!$F$294)*(($B$224)-$A203&lt;='Cálculos'!$F$295)*(1+MIN(('Cálculos'!$F$207+$A203*'Cálculos'!$F$95),1)*('Cálculos'!$F$208+(($B$224)-$A203)*'Cálculos'!$F$96))</f>
        <v>0</v>
      </c>
      <c r="H203" s="31">
        <f>IF($B$225&lt;0,0,($A203&lt;=$B$225)*($A203&lt;='Cálculos'!$F$301)*(($B$225)-$A203&lt;='Cálculos'!$F$297)*(('Cálculos'!$F$185*(1+'Cálculos'!$F$186+$A203*('Cálculos'!$F$290=1)*'Cálculos'!$F$97+'Cálculos'!$F$305)+'Cálculos'!$F$191)*('Cálculos'!$F$209+'Cálculos'!$F$124*(1+2.78*('Cálculos'!$F$196+(($B$225)-$A203)*'Cálculos'!$F$98)/(('Cálculos'!$F$196+(($B$225)-$A203)*'Cálculos'!$F$98)+1400)+'Cálculos'!$F$122)*'Cálculos'!$F$214+'Cálculos'!$F$125*(1+2.78*('Cálculos'!$F$196+(($B$225)-$A203)*'Cálculos'!$F$98)/(('Cálculos'!$F$196+(($B$225)-$A203)*'Cálculos'!$F$98)+1400)+'Cálculos'!$F$123)*'Cálculos'!$F$219)+('Cálculos'!$F$196+(($B$225)-$A203)*'Cálculos'!$F$98)*('Cálculos'!$F$210+'Cálculos'!$F$124*(1+2.78*('Cálculos'!$F$196+(($B$225)-$A203)*'Cálculos'!$F$98)/(('Cálculos'!$F$196+(($B$225)-$A203)*'Cálculos'!$F$98)+1400)+'Cálculos'!$F$122)*'Cálculos'!$F$215+'Cálculos'!$F$125*(1+2.78*('Cálculos'!$F$196+(($B$225)-$A203)*'Cálculos'!$F$98)/(('Cálculos'!$F$196+(($B$225)-$A203)*'Cálculos'!$F$98)+1400)+'Cálculos'!$F$123)*'Cálculos'!$F$220)+('Cálculos'!$F$201*(1+'Cálculos'!$F$202+$A203*('Cálculos'!$F$290=2)*'Cálculos'!$F$101)+'Cálculos'!$F$203)*('Cálculos'!$F$211+'Cálculos'!$F$124*(1+2.78*('Cálculos'!$F$196+(($B$225)-$A203)*'Cálculos'!$F$98)/(('Cálculos'!$F$196+(($B$225)-$A203)*'Cálculos'!$F$98)+1400)+'Cálculos'!$F$122)*'Cálculos'!$F$216+'Cálculos'!$F$125*(1+2.78*('Cálculos'!$F$196+(($B$225)-$A203)*'Cálculos'!$F$98)/(('Cálculos'!$F$196+(($B$225)-$A203)*'Cálculos'!$F$98)+1400)+'Cálculos'!$F$123)*'Cálculos'!$F$221)+('Cálculos'!$F$204*(1+'Cálculos'!$F$205+$A203*('Cálculos'!$F$290=3)*'Cálculos'!$F$103)+'Cálculos'!$F$206)*('Cálculos'!$F$212+'Cálculos'!$F$124*(1+2.78*('Cálculos'!$F$196+(($B$225)-$A203)*'Cálculos'!$F$98)/(('Cálculos'!$F$196+(($B$225)-$A203)*'Cálculos'!$F$98)+1400)+'Cálculos'!$F$122)*'Cálculos'!$F$217+'Cálculos'!$F$125*(1+2.78*('Cálculos'!$F$196+(($B$225)-$A203)*'Cálculos'!$F$98)/(('Cálculos'!$F$196+(($B$225)-$A203)*'Cálculos'!$F$98)+1400)+'Cálculos'!$F$123)*'Cálculos'!$F$222)+('Cálculos'!$F$213+'Cálculos'!$F$124*(1+2.78*('Cálculos'!$F$196+(($B$225)-$A203)*'Cálculos'!$F$98)/(('Cálculos'!$F$196+(($B$225)-$A203)*'Cálculos'!$F$98)+1400)+'Cálculos'!$F$122)*'Cálculos'!$F$218+'Cálculos'!$F$125*(1+2.78*('Cálculos'!$F$196+(($B$225)-$A203)*'Cálculos'!$F$98)/(('Cálculos'!$F$196+(($B$225)-$A203)*'Cálculos'!$F$98)+1400)+'Cálculos'!$F$123)*'Cálculos'!$F$223)+('Cálculos'!$F$185*(1+'Cálculos'!$F$187+$A203*('Cálculos'!$F$290=1)*'Cálculos'!$F$97+'Cálculos'!$F$305)+'Cálculos'!$F$192)*('Cálculos'!$F$224+'Cálculos'!$F$124*(1+2.78*('Cálculos'!$F$197+(($B$225)-$A203)*'Cálculos'!$F$98)/(('Cálculos'!$F$197+(($B$225)-$A203)*'Cálculos'!$F$98)+1400)+'Cálculos'!$F$122)*'Cálculos'!$F$229+'Cálculos'!$F$125*(1+2.78*('Cálculos'!$F$197+(($B$225)-$A203)*'Cálculos'!$F$98)/(('Cálculos'!$F$197+(($B$225)-$A203)*'Cálculos'!$F$98)+1400)+'Cálculos'!$F$123)*'Cálculos'!$F$234)+('Cálculos'!$F$197+(($B$225)-$A203)*'Cálculos'!$F$98)*('Cálculos'!$F$225+'Cálculos'!$F$124*(1+2.78*('Cálculos'!$F$197+(($B$225)-$A203)*'Cálculos'!$F$98)/(('Cálculos'!$F$197+(($B$225)-$A203)*'Cálculos'!$F$98)+1400)+'Cálculos'!$F$122)*'Cálculos'!$F$230+'Cálculos'!$F$125*(1+2.78*('Cálculos'!$F$197+(($B$225)-$A203)*'Cálculos'!$F$98)/(('Cálculos'!$F$197+(($B$225)-$A203)*'Cálculos'!$F$98)+1400)+'Cálculos'!$F$123)*'Cálculos'!$F$235)+('Cálculos'!$F$201*(1+'Cálculos'!$F$202+$A203*('Cálculos'!$F$290=2)*'Cálculos'!$F$101)+'Cálculos'!$F$203)*('Cálculos'!$F$226+'Cálculos'!$F$124*(1+2.78*('Cálculos'!$F$197+(($B$225)-$A203)*'Cálculos'!$F$98)/(('Cálculos'!$F$197+(($B$225)-$A203)*'Cálculos'!$F$98)+1400)+'Cálculos'!$F$122)*'Cálculos'!$F$231+'Cálculos'!$F$125*(1+2.78*('Cálculos'!$F$197+(($B$225)-$A203)*'Cálculos'!$F$98)/(('Cálculos'!$F$197+(($B$225)-$A203)*'Cálculos'!$F$98)+1400)+'Cálculos'!$F$123)*'Cálculos'!$F$236)+('Cálculos'!$F$204*(1+'Cálculos'!$F$205+$A203*('Cálculos'!$F$290=3)*'Cálculos'!$F$103)+'Cálculos'!$F$206)*('Cálculos'!$F$227+'Cálculos'!$F$124*(1+2.78*('Cálculos'!$F$197+(($B$225)-$A203)*'Cálculos'!$F$98)/(('Cálculos'!$F$197+(($B$225)-$A203)*'Cálculos'!$F$98)+1400)+'Cálculos'!$F$122)*'Cálculos'!$F$232+'Cálculos'!$F$125*(1+2.78*('Cálculos'!$F$197+(($B$225)-$A203)*'Cálculos'!$F$98)/(('Cálculos'!$F$197+(($B$225)-$A203)*'Cálculos'!$F$98)+1400)+'Cálculos'!$F$123)*'Cálculos'!$F$237)+('Cálculos'!$F$228+'Cálculos'!$F$124*(1+2.78*('Cálculos'!$F$197+(($B$225)-$A203)*'Cálculos'!$F$98)/(('Cálculos'!$F$197+(($B$225)-$A203)*'Cálculos'!$F$98)+1400)+'Cálculos'!$F$122)*'Cálculos'!$F$233+'Cálculos'!$F$125*(1+2.78*('Cálculos'!$F$197+(($B$225)-$A203)*'Cálculos'!$F$98)/(('Cálculos'!$F$197+(($B$225)-$A203)*'Cálculos'!$F$98)+1400)+'Cálculos'!$F$123)*'Cálculos'!$F$238)+('Cálculos'!$F$185*(1+'Cálculos'!$F$188+$A203*('Cálculos'!$F$290=1)*'Cálculos'!$F$97+'Cálculos'!$F$305)+'Cálculos'!$F$193)*('Cálculos'!$F$239+'Cálculos'!$F$124*(1+2.78*('Cálculos'!$F$198+(($B$225)-$A203)*'Cálculos'!$F$98)/(('Cálculos'!$F$198+(($B$225)-$A203)*'Cálculos'!$F$98)+1400)+'Cálculos'!$F$122)*'Cálculos'!$F$244+'Cálculos'!$F$125*(1+2.78*('Cálculos'!$F$198+(($B$225)-$A203)*'Cálculos'!$F$98)/(('Cálculos'!$F$198+(($B$225)-$A203)*'Cálculos'!$F$98)+1400)+'Cálculos'!$F$123)*'Cálculos'!$F$249)+('Cálculos'!$F$198+(($B$225)-$A203)*'Cálculos'!$F$98)*('Cálculos'!$F$240+'Cálculos'!$F$124*(1+2.78*('Cálculos'!$F$198+(($B$225)-$A203)*'Cálculos'!$F$98)/(('Cálculos'!$F$198+(($B$225)-$A203)*'Cálculos'!$F$98)+1400)+'Cálculos'!$F$122)*'Cálculos'!$F$245+'Cálculos'!$F$125*(1+2.78*('Cálculos'!$F$198+(($B$225)-$A203)*'Cálculos'!$F$98)/(('Cálculos'!$F$198+(($B$225)-$A203)*'Cálculos'!$F$98)+1400)+'Cálculos'!$F$123)*'Cálculos'!$F$250)+('Cálculos'!$F$201*(1+'Cálculos'!$F$202+$A203*('Cálculos'!$F$290=2)*'Cálculos'!$F$101)+'Cálculos'!$F$203)*('Cálculos'!$F$241+'Cálculos'!$F$124*(1+2.78*('Cálculos'!$F$198+(($B$225)-$A203)*'Cálculos'!$F$98)/(('Cálculos'!$F$198+(($B$225)-$A203)*'Cálculos'!$F$98)+1400)+'Cálculos'!$F$122)*'Cálculos'!$F$246+'Cálculos'!$F$125*(1+2.78*('Cálculos'!$F$198+(($B$225)-$A203)*'Cálculos'!$F$98)/(('Cálculos'!$F$198+(($B$225)-$A203)*'Cálculos'!$F$98)+1400)+'Cálculos'!$F$123)*'Cálculos'!$F$251)+('Cálculos'!$F$204*(1+'Cálculos'!$F$205+$A203*('Cálculos'!$F$290=3)*'Cálculos'!$F$103)+'Cálculos'!$F$206)*('Cálculos'!$F$242+'Cálculos'!$F$124*(1+2.78*('Cálculos'!$F$198+(($B$225)-$A203)*'Cálculos'!$F$98)/(('Cálculos'!$F$198+(($B$225)-$A203)*'Cálculos'!$F$98)+1400)+'Cálculos'!$F$122)*'Cálculos'!$F$247+'Cálculos'!$F$125*(1+2.78*('Cálculos'!$F$198+(($B$225)-$A203)*'Cálculos'!$F$98)/(('Cálculos'!$F$198+(($B$225)-$A203)*'Cálculos'!$F$98)+1400)+'Cálculos'!$F$123)*'Cálculos'!$F$252)+('Cálculos'!$F$243+'Cálculos'!$F$124*(1+2.78*('Cálculos'!$F$198+(($B$225)-$A203)*'Cálculos'!$F$98)/(('Cálculos'!$F$198+(($B$225)-$A203)*'Cálculos'!$F$98)+1400)+'Cálculos'!$F$122)*'Cálculos'!$F$248+'Cálculos'!$F$125*(1+2.78*('Cálculos'!$F$198+(($B$225)-$A203)*'Cálculos'!$F$98)/(('Cálculos'!$F$198+(($B$225)-$A203)*'Cálculos'!$F$98)+1400)+'Cálculos'!$F$123)*'Cálculos'!$F$253)+('Cálculos'!$F$185*(1+'Cálculos'!$F$189+$A203*('Cálculos'!$F$290=1)*'Cálculos'!$F$97+'Cálculos'!$F$305)+'Cálculos'!$F$194)*('Cálculos'!$F$254+'Cálculos'!$F$124*(1+2.78*('Cálculos'!$F$199+(($B$225)-$A203)*'Cálculos'!$F$98)/(('Cálculos'!$F$199+(($B$225)-$A203)*'Cálculos'!$F$98)+1400)+'Cálculos'!$F$122)*'Cálculos'!$F$259+'Cálculos'!$F$125*(1+2.78*('Cálculos'!$F$199+(($B$225)-$A203)*'Cálculos'!$F$98)/(('Cálculos'!$F$199+(($B$225)-$A203)*'Cálculos'!$F$98)+1400)+'Cálculos'!$F$123)*'Cálculos'!$F$264)+('Cálculos'!$F$199+(($B$225)-$A203)*'Cálculos'!$F$98)*('Cálculos'!$F$255+'Cálculos'!$F$124*(1+2.78*('Cálculos'!$F$199+(($B$225)-$A203)*'Cálculos'!$F$98)/(('Cálculos'!$F$199+(($B$225)-$A203)*'Cálculos'!$F$98)+1400)+'Cálculos'!$F$122)*'Cálculos'!$F$260+'Cálculos'!$F$125*(1+2.78*('Cálculos'!$F$199+(($B$225)-$A203)*'Cálculos'!$F$98)/(('Cálculos'!$F$199+(($B$225)-$A203)*'Cálculos'!$F$98)+1400)+'Cálculos'!$F$123)*'Cálculos'!$F$265)+('Cálculos'!$F$201*(1+'Cálculos'!$F$202+$A203*('Cálculos'!$F$290=2)*'Cálculos'!$F$101)+'Cálculos'!$F$203)*('Cálculos'!$F$256+'Cálculos'!$F$124*(1+2.78*('Cálculos'!$F$199+(($B$225)-$A203)*'Cálculos'!$F$98)/(('Cálculos'!$F$199+(($B$225)-$A203)*'Cálculos'!$F$98)+1400)+'Cálculos'!$F$122)*'Cálculos'!$F$261+'Cálculos'!$F$125*(1+2.78*('Cálculos'!$F$199+(($B$225)-$A203)*'Cálculos'!$F$98)/(('Cálculos'!$F$199+(($B$225)-$A203)*'Cálculos'!$F$98)+1400)+'Cálculos'!$F$123)*'Cálculos'!$F$266)+('Cálculos'!$F$204*(1+'Cálculos'!$F$205+$A203*('Cálculos'!$F$290=3)*'Cálculos'!$F$103)+'Cálculos'!$F$206)*('Cálculos'!$F$257+'Cálculos'!$F$124*(1+2.78*('Cálculos'!$F$199+(($B$225)-$A203)*'Cálculos'!$F$98)/(('Cálculos'!$F$199+(($B$225)-$A203)*'Cálculos'!$F$98)+1400)+'Cálculos'!$F$122)*'Cálculos'!$F$262+'Cálculos'!$F$125*(1+2.78*('Cálculos'!$F$199+(($B$225)-$A203)*'Cálculos'!$F$98)/(('Cálculos'!$F$199+(($B$225)-$A203)*'Cálculos'!$F$98)+1400)+'Cálculos'!$F$123)*'Cálculos'!$F$267)+('Cálculos'!$F$258+'Cálculos'!$F$124*(1+2.78*('Cálculos'!$F$199+(($B$225)-$A203)*'Cálculos'!$F$98)/(('Cálculos'!$F$199+(($B$225)-$A203)*'Cálculos'!$F$98)+1400)+'Cálculos'!$F$122)*'Cálculos'!$F$263+'Cálculos'!$F$125*(1+2.78*('Cálculos'!$F$199+(($B$225)-$A203)*'Cálculos'!$F$98)/(('Cálculos'!$F$199+(($B$225)-$A203)*'Cálculos'!$F$98)+1400)+'Cálculos'!$F$123)*'Cálculos'!$F$268)+('Cálculos'!$F$185*(1+'Cálculos'!$F$190+$A203*('Cálculos'!$F$290=1)*'Cálculos'!$F$97+'Cálculos'!$F$305)+'Cálculos'!$F$195)*('Cálculos'!$F$269+'Cálculos'!$F$124*(1+2.78*('Cálculos'!$F$200+(($B$225)-$A203)*'Cálculos'!$F$98)/(('Cálculos'!$F$200+(($B$225)-$A203)*'Cálculos'!$F$98)+1400)+'Cálculos'!$F$122)*'Cálculos'!$F$274+'Cálculos'!$F$125*(1+2.78*('Cálculos'!$F$200+(($B$225)-$A203)*'Cálculos'!$F$98)/(('Cálculos'!$F$200+(($B$225)-$A203)*'Cálculos'!$F$98)+1400)+'Cálculos'!$F$123)*'Cálculos'!$F$279)+('Cálculos'!$F$200+(($B$225)-$A203)*'Cálculos'!$F$98)*('Cálculos'!$F$270+'Cálculos'!$F$124*(1+2.78*('Cálculos'!$F$200+(($B$225)-$A203)*'Cálculos'!$F$98)/(('Cálculos'!$F$200+(($B$225)-$A203)*'Cálculos'!$F$98)+1400)+'Cálculos'!$F$122)*'Cálculos'!$F$275+'Cálculos'!$F$125*(1+2.78*('Cálculos'!$F$200+(($B$225)-$A203)*'Cálculos'!$F$98)/(('Cálculos'!$F$200+(($B$225)-$A203)*'Cálculos'!$F$98)+1400)+'Cálculos'!$F$123)*'Cálculos'!$F$280)+('Cálculos'!$F$201*(1+'Cálculos'!$F$202+$A203*('Cálculos'!$F$290=2)*'Cálculos'!$F$101)+'Cálculos'!$F$203)*('Cálculos'!$F$271+'Cálculos'!$F$124*(1+2.78*('Cálculos'!$F$200+(($B$225)-$A203)*'Cálculos'!$F$98)/(('Cálculos'!$F$200+(($B$225)-$A203)*'Cálculos'!$F$98)+1400)+'Cálculos'!$F$122)*'Cálculos'!$F$276+'Cálculos'!$F$125*(1+2.78*('Cálculos'!$F$200+(($B$225)-$A203)*'Cálculos'!$F$98)/(('Cálculos'!$F$200+(($B$225)-$A203)*'Cálculos'!$F$98)+1400)+'Cálculos'!$F$123)*'Cálculos'!$F$281)+('Cálculos'!$F$204*(1+'Cálculos'!$F$205+$A203*('Cálculos'!$F$290=3)*'Cálculos'!$F$103)+'Cálculos'!$F$206)*('Cálculos'!$F$272+'Cálculos'!$F$124*(1+2.78*('Cálculos'!$F$200+(($B$225)-$A203)*'Cálculos'!$F$98)/(('Cálculos'!$F$200+(($B$225)-$A203)*'Cálculos'!$F$98)+1400)+'Cálculos'!$F$122)*'Cálculos'!$F$277+'Cálculos'!$F$125*(1+2.78*('Cálculos'!$F$200+(($B$225)-$A203)*'Cálculos'!$F$98)/(('Cálculos'!$F$200+(($B$225)-$A203)*'Cálculos'!$F$98)+1400)+'Cálculos'!$F$123)*'Cálculos'!$F$282)+('Cálculos'!$F$273+'Cálculos'!$F$124*(1+2.78*('Cálculos'!$F$200+(($B$225)-$A203)*'Cálculos'!$F$98)/(('Cálculos'!$F$200+(($B$225)-$A203)*'Cálculos'!$F$98)+1400)+'Cálculos'!$F$122)*'Cálculos'!$F$278+'Cálculos'!$F$125*(1+2.78*('Cálculos'!$F$200+(($B$225)-$A203)*'Cálculos'!$F$98)/(('Cálculos'!$F$200+(($B$225)-$A203)*'Cálculos'!$F$98)+1400)+'Cálculos'!$F$123)*'Cálculos'!$F$283)))</f>
        <v>0</v>
      </c>
    </row>
    <row r="204" ht="15.75" customHeight="1">
      <c r="A204" s="2">
        <v>27.0</v>
      </c>
      <c r="B204" s="30">
        <f>SUMPRODUCT(MAX(($A$177:$A$222&lt;=$A204)*($A$177:$A$222&lt;='Cálculos'!$F$294)*(($A204)-$A$177:$A$222&lt;='Cálculos'!$F$295)*(1+(('Cálculos'!$F$207+$A$177:$A$222*'Cálculos'!$F$95)-(('Cálculos'!$F$207+$A$177:$A$222*'Cálculos'!$F$95)&gt;1)*(('Cálculos'!$F$207+$A$177:$A$222*'Cálculos'!$F$95)-1))*('Cálculos'!$F$208+(($A204)-$A$177:$A$222)*'Cálculos'!$F$96))))</f>
        <v>2.909804</v>
      </c>
      <c r="C204" s="2">
        <f>'Cálculos'!$F$303-$A204</f>
        <v>-9</v>
      </c>
      <c r="D204" s="31">
        <f>IF($C204&lt;0,0,SUMPRODUCT(MAX(($A$177:$A$222&lt;=$C204)*($A$177:$A$222&lt;='Cálculos'!$F$301)*(($C204)-$A$177:$A$222&lt;='Cálculos'!$F$297)*(('Cálculos'!$F$185*(1+'Cálculos'!$F$186+$A$177:$A$222*('Cálculos'!$F$290=1)*'Cálculos'!$F$97+'Cálculos'!$F$305)+'Cálculos'!$F$191)*('Cálculos'!$F$209+'Cálculos'!$F$124*(1+2.78*('Cálculos'!$F$196+(($C204)-$A$177:$A$222)*'Cálculos'!$F$98)/(('Cálculos'!$F$196+(($C204)-$A$177:$A$222)*'Cálculos'!$F$98)+1400)+'Cálculos'!$F$122)*'Cálculos'!$F$214+'Cálculos'!$F$125*(1+2.78*('Cálculos'!$F$196+(($C204)-$A$177:$A$222)*'Cálculos'!$F$98)/(('Cálculos'!$F$196+(($C204)-$A$177:$A$222)*'Cálculos'!$F$98)+1400)+'Cálculos'!$F$123)*'Cálculos'!$F$219)+('Cálculos'!$F$196+(($C204)-$A$177:$A$222)*'Cálculos'!$F$98)*('Cálculos'!$F$210+'Cálculos'!$F$124*(1+2.78*('Cálculos'!$F$196+(($C204)-$A$177:$A$222)*'Cálculos'!$F$98)/(('Cálculos'!$F$196+(($C204)-$A$177:$A$222)*'Cálculos'!$F$98)+1400)+'Cálculos'!$F$122)*'Cálculos'!$F$215+'Cálculos'!$F$125*(1+2.78*('Cálculos'!$F$196+(($C204)-$A$177:$A$222)*'Cálculos'!$F$98)/(('Cálculos'!$F$196+(($C204)-$A$177:$A$222)*'Cálculos'!$F$98)+1400)+'Cálculos'!$F$123)*'Cálculos'!$F$220)+('Cálculos'!$F$201*(1+'Cálculos'!$F$202+$A$177:$A$222*('Cálculos'!$F$290=2)*'Cálculos'!$F$101)+'Cálculos'!$F$203)*('Cálculos'!$F$211+'Cálculos'!$F$124*(1+2.78*('Cálculos'!$F$196+(($C204)-$A$177:$A$222)*'Cálculos'!$F$98)/(('Cálculos'!$F$196+(($C204)-$A$177:$A$222)*'Cálculos'!$F$98)+1400)+'Cálculos'!$F$122)*'Cálculos'!$F$216+'Cálculos'!$F$125*(1+2.78*('Cálculos'!$F$196+(($C204)-$A$177:$A$222)*'Cálculos'!$F$98)/(('Cálculos'!$F$196+(($C204)-$A$177:$A$222)*'Cálculos'!$F$98)+1400)+'Cálculos'!$F$123)*'Cálculos'!$F$221)+('Cálculos'!$F$204*(1+'Cálculos'!$F$205+$A$177:$A$222*('Cálculos'!$F$290=3)*'Cálculos'!$F$103)+'Cálculos'!$F$206)*('Cálculos'!$F$212+'Cálculos'!$F$124*(1+2.78*('Cálculos'!$F$196+(($C204)-$A$177:$A$222)*'Cálculos'!$F$98)/(('Cálculos'!$F$196+(($C204)-$A$177:$A$222)*'Cálculos'!$F$98)+1400)+'Cálculos'!$F$122)*'Cálculos'!$F$217+'Cálculos'!$F$125*(1+2.78*('Cálculos'!$F$196+(($C204)-$A$177:$A$222)*'Cálculos'!$F$98)/(('Cálculos'!$F$196+(($C204)-$A$177:$A$222)*'Cálculos'!$F$98)+1400)+'Cálculos'!$F$123)*'Cálculos'!$F$222)+('Cálculos'!$F$213+'Cálculos'!$F$124*(1+2.78*('Cálculos'!$F$196+(($C204)-$A$177:$A$222)*'Cálculos'!$F$98)/(('Cálculos'!$F$196+(($C204)-$A$177:$A$222)*'Cálculos'!$F$98)+1400)+'Cálculos'!$F$122)*'Cálculos'!$F$218+'Cálculos'!$F$125*(1+2.78*('Cálculos'!$F$196+(($C204)-$A$177:$A$222)*'Cálculos'!$F$98)/(('Cálculos'!$F$196+(($C204)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204)-$A$177:$A$222)*'Cálculos'!$F$98)/(('Cálculos'!$F$197+(($C204)-$A$177:$A$222)*'Cálculos'!$F$98)+1400)+'Cálculos'!$F$122)*'Cálculos'!$F$229+'Cálculos'!$F$125*(1+2.78*('Cálculos'!$F$197+(($C204)-$A$177:$A$222)*'Cálculos'!$F$98)/(('Cálculos'!$F$197+(($C204)-$A$177:$A$222)*'Cálculos'!$F$98)+1400)+'Cálculos'!$F$123)*'Cálculos'!$F$234)+('Cálculos'!$F$197+(($C204)-$A$177:$A$222)*'Cálculos'!$F$98)*('Cálculos'!$F$225+'Cálculos'!$F$124*(1+2.78*('Cálculos'!$F$197+(($C204)-$A$177:$A$222)*'Cálculos'!$F$98)/(('Cálculos'!$F$197+(($C204)-$A$177:$A$222)*'Cálculos'!$F$98)+1400)+'Cálculos'!$F$122)*'Cálculos'!$F$230+'Cálculos'!$F$125*(1+2.78*('Cálculos'!$F$197+(($C204)-$A$177:$A$222)*'Cálculos'!$F$98)/(('Cálculos'!$F$197+(($C204)-$A$177:$A$222)*'Cálculos'!$F$98)+1400)+'Cálculos'!$F$123)*'Cálculos'!$F$235)+('Cálculos'!$F$201*(1+'Cálculos'!$F$202+$A$177:$A$222*('Cálculos'!$F$290=2)*'Cálculos'!$F$101)+'Cálculos'!$F$203)*('Cálculos'!$F$226+'Cálculos'!$F$124*(1+2.78*('Cálculos'!$F$197+(($C204)-$A$177:$A$222)*'Cálculos'!$F$98)/(('Cálculos'!$F$197+(($C204)-$A$177:$A$222)*'Cálculos'!$F$98)+1400)+'Cálculos'!$F$122)*'Cálculos'!$F$231+'Cálculos'!$F$125*(1+2.78*('Cálculos'!$F$197+(($C204)-$A$177:$A$222)*'Cálculos'!$F$98)/(('Cálculos'!$F$197+(($C204)-$A$177:$A$222)*'Cálculos'!$F$98)+1400)+'Cálculos'!$F$123)*'Cálculos'!$F$236)+('Cálculos'!$F$204*(1+'Cálculos'!$F$205+$A$177:$A$222*('Cálculos'!$F$290=3)*'Cálculos'!$F$103)+'Cálculos'!$F$206)*('Cálculos'!$F$227+'Cálculos'!$F$124*(1+2.78*('Cálculos'!$F$197+(($C204)-$A$177:$A$222)*'Cálculos'!$F$98)/(('Cálculos'!$F$197+(($C204)-$A$177:$A$222)*'Cálculos'!$F$98)+1400)+'Cálculos'!$F$122)*'Cálculos'!$F$232+'Cálculos'!$F$125*(1+2.78*('Cálculos'!$F$197+(($C204)-$A$177:$A$222)*'Cálculos'!$F$98)/(('Cálculos'!$F$197+(($C204)-$A$177:$A$222)*'Cálculos'!$F$98)+1400)+'Cálculos'!$F$123)*'Cálculos'!$F$237)+('Cálculos'!$F$228+'Cálculos'!$F$124*(1+2.78*('Cálculos'!$F$197+(($C204)-$A$177:$A$222)*'Cálculos'!$F$98)/(('Cálculos'!$F$197+(($C204)-$A$177:$A$222)*'Cálculos'!$F$98)+1400)+'Cálculos'!$F$122)*'Cálculos'!$F$233+'Cálculos'!$F$125*(1+2.78*('Cálculos'!$F$197+(($C204)-$A$177:$A$222)*'Cálculos'!$F$98)/(('Cálculos'!$F$197+(($C204)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204)-$A$177:$A$222)*'Cálculos'!$F$98)/(('Cálculos'!$F$198+(($C204)-$A$177:$A$222)*'Cálculos'!$F$98)+1400)+'Cálculos'!$F$122)*'Cálculos'!$F$244+'Cálculos'!$F$125*(1+2.78*('Cálculos'!$F$198+(($C204)-$A$177:$A$222)*'Cálculos'!$F$98)/(('Cálculos'!$F$198+(($C204)-$A$177:$A$222)*'Cálculos'!$F$98)+1400)+'Cálculos'!$F$123)*'Cálculos'!$F$249)+('Cálculos'!$F$198+(($C204)-$A$177:$A$222)*'Cálculos'!$F$98)*('Cálculos'!$F$240+'Cálculos'!$F$124*(1+2.78*('Cálculos'!$F$198+(($C204)-$A$177:$A$222)*'Cálculos'!$F$98)/(('Cálculos'!$F$198+(($C204)-$A$177:$A$222)*'Cálculos'!$F$98)+1400)+'Cálculos'!$F$122)*'Cálculos'!$F$245+'Cálculos'!$F$125*(1+2.78*('Cálculos'!$F$198+(($C204)-$A$177:$A$222)*'Cálculos'!$F$98)/(('Cálculos'!$F$198+(($C204)-$A$177:$A$222)*'Cálculos'!$F$98)+1400)+'Cálculos'!$F$123)*'Cálculos'!$F$250)+('Cálculos'!$F$201*(1+'Cálculos'!$F$202+$A$177:$A$222*('Cálculos'!$F$290=2)*'Cálculos'!$F$101)+'Cálculos'!$F$203)*('Cálculos'!$F$241+'Cálculos'!$F$124*(1+2.78*('Cálculos'!$F$198+(($C204)-$A$177:$A$222)*'Cálculos'!$F$98)/(('Cálculos'!$F$198+(($C204)-$A$177:$A$222)*'Cálculos'!$F$98)+1400)+'Cálculos'!$F$122)*'Cálculos'!$F$246+'Cálculos'!$F$125*(1+2.78*('Cálculos'!$F$198+(($C204)-$A$177:$A$222)*'Cálculos'!$F$98)/(('Cálculos'!$F$198+(($C204)-$A$177:$A$222)*'Cálculos'!$F$98)+1400)+'Cálculos'!$F$123)*'Cálculos'!$F$251)+('Cálculos'!$F$204*(1+'Cálculos'!$F$205+$A$177:$A$222*('Cálculos'!$F$290=3)*'Cálculos'!$F$103)+'Cálculos'!$F$206)*('Cálculos'!$F$242+'Cálculos'!$F$124*(1+2.78*('Cálculos'!$F$198+(($C204)-$A$177:$A$222)*'Cálculos'!$F$98)/(('Cálculos'!$F$198+(($C204)-$A$177:$A$222)*'Cálculos'!$F$98)+1400)+'Cálculos'!$F$122)*'Cálculos'!$F$247+'Cálculos'!$F$125*(1+2.78*('Cálculos'!$F$198+(($C204)-$A$177:$A$222)*'Cálculos'!$F$98)/(('Cálculos'!$F$198+(($C204)-$A$177:$A$222)*'Cálculos'!$F$98)+1400)+'Cálculos'!$F$123)*'Cálculos'!$F$252)+('Cálculos'!$F$243+'Cálculos'!$F$124*(1+2.78*('Cálculos'!$F$198+(($C204)-$A$177:$A$222)*'Cálculos'!$F$98)/(('Cálculos'!$F$198+(($C204)-$A$177:$A$222)*'Cálculos'!$F$98)+1400)+'Cálculos'!$F$122)*'Cálculos'!$F$248+'Cálculos'!$F$125*(1+2.78*('Cálculos'!$F$198+(($C204)-$A$177:$A$222)*'Cálculos'!$F$98)/(('Cálculos'!$F$198+(($C204)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204)-$A$177:$A$222)*'Cálculos'!$F$98)/(('Cálculos'!$F$199+(($C204)-$A$177:$A$222)*'Cálculos'!$F$98)+1400)+'Cálculos'!$F$122)*'Cálculos'!$F$259+'Cálculos'!$F$125*(1+2.78*('Cálculos'!$F$199+(($C204)-$A$177:$A$222)*'Cálculos'!$F$98)/(('Cálculos'!$F$199+(($C204)-$A$177:$A$222)*'Cálculos'!$F$98)+1400)+'Cálculos'!$F$123)*'Cálculos'!$F$264)+('Cálculos'!$F$199+(($C204)-$A$177:$A$222)*'Cálculos'!$F$98)*('Cálculos'!$F$255+'Cálculos'!$F$124*(1+2.78*('Cálculos'!$F$199+(($C204)-$A$177:$A$222)*'Cálculos'!$F$98)/(('Cálculos'!$F$199+(($C204)-$A$177:$A$222)*'Cálculos'!$F$98)+1400)+'Cálculos'!$F$122)*'Cálculos'!$F$260+'Cálculos'!$F$125*(1+2.78*('Cálculos'!$F$199+(($C204)-$A$177:$A$222)*'Cálculos'!$F$98)/(('Cálculos'!$F$199+(($C204)-$A$177:$A$222)*'Cálculos'!$F$98)+1400)+'Cálculos'!$F$123)*'Cálculos'!$F$265)+('Cálculos'!$F$201*(1+'Cálculos'!$F$202+$A$177:$A$222*('Cálculos'!$F$290=2)*'Cálculos'!$F$101)+'Cálculos'!$F$203)*('Cálculos'!$F$256+'Cálculos'!$F$124*(1+2.78*('Cálculos'!$F$199+(($C204)-$A$177:$A$222)*'Cálculos'!$F$98)/(('Cálculos'!$F$199+(($C204)-$A$177:$A$222)*'Cálculos'!$F$98)+1400)+'Cálculos'!$F$122)*'Cálculos'!$F$261+'Cálculos'!$F$125*(1+2.78*('Cálculos'!$F$199+(($C204)-$A$177:$A$222)*'Cálculos'!$F$98)/(('Cálculos'!$F$199+(($C204)-$A$177:$A$222)*'Cálculos'!$F$98)+1400)+'Cálculos'!$F$123)*'Cálculos'!$F$266)+('Cálculos'!$F$204*(1+'Cálculos'!$F$205+$A$177:$A$222*('Cálculos'!$F$290=3)*'Cálculos'!$F$103)+'Cálculos'!$F$206)*('Cálculos'!$F$257+'Cálculos'!$F$124*(1+2.78*('Cálculos'!$F$199+(($C204)-$A$177:$A$222)*'Cálculos'!$F$98)/(('Cálculos'!$F$199+(($C204)-$A$177:$A$222)*'Cálculos'!$F$98)+1400)+'Cálculos'!$F$122)*'Cálculos'!$F$262+'Cálculos'!$F$125*(1+2.78*('Cálculos'!$F$199+(($C204)-$A$177:$A$222)*'Cálculos'!$F$98)/(('Cálculos'!$F$199+(($C204)-$A$177:$A$222)*'Cálculos'!$F$98)+1400)+'Cálculos'!$F$123)*'Cálculos'!$F$267)+('Cálculos'!$F$258+'Cálculos'!$F$124*(1+2.78*('Cálculos'!$F$199+(($C204)-$A$177:$A$222)*'Cálculos'!$F$98)/(('Cálculos'!$F$199+(($C204)-$A$177:$A$222)*'Cálculos'!$F$98)+1400)+'Cálculos'!$F$122)*'Cálculos'!$F$263+'Cálculos'!$F$125*(1+2.78*('Cálculos'!$F$199+(($C204)-$A$177:$A$222)*'Cálculos'!$F$98)/(('Cálculos'!$F$199+(($C204)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204)-$A$177:$A$222)*'Cálculos'!$F$98)/(('Cálculos'!$F$200+(($C204)-$A$177:$A$222)*'Cálculos'!$F$98)+1400)+'Cálculos'!$F$122)*'Cálculos'!$F$274+'Cálculos'!$F$125*(1+2.78*('Cálculos'!$F$200+(($C204)-$A$177:$A$222)*'Cálculos'!$F$98)/(('Cálculos'!$F$200+(($C204)-$A$177:$A$222)*'Cálculos'!$F$98)+1400)+'Cálculos'!$F$123)*'Cálculos'!$F$279)+('Cálculos'!$F$200+(($C204)-$A$177:$A$222)*'Cálculos'!$F$98)*('Cálculos'!$F$270+'Cálculos'!$F$124*(1+2.78*('Cálculos'!$F$200+(($C204)-$A$177:$A$222)*'Cálculos'!$F$98)/(('Cálculos'!$F$200+(($C204)-$A$177:$A$222)*'Cálculos'!$F$98)+1400)+'Cálculos'!$F$122)*'Cálculos'!$F$275+'Cálculos'!$F$125*(1+2.78*('Cálculos'!$F$200+(($C204)-$A$177:$A$222)*'Cálculos'!$F$98)/(('Cálculos'!$F$200+(($C204)-$A$177:$A$222)*'Cálculos'!$F$98)+1400)+'Cálculos'!$F$123)*'Cálculos'!$F$280)+('Cálculos'!$F$201*(1+'Cálculos'!$F$202+$A$177:$A$222*('Cálculos'!$F$290=2)*'Cálculos'!$F$101)+'Cálculos'!$F$203)*('Cálculos'!$F$271+'Cálculos'!$F$124*(1+2.78*('Cálculos'!$F$200+(($C204)-$A$177:$A$222)*'Cálculos'!$F$98)/(('Cálculos'!$F$200+(($C204)-$A$177:$A$222)*'Cálculos'!$F$98)+1400)+'Cálculos'!$F$122)*'Cálculos'!$F$276+'Cálculos'!$F$125*(1+2.78*('Cálculos'!$F$200+(($C204)-$A$177:$A$222)*'Cálculos'!$F$98)/(('Cálculos'!$F$200+(($C204)-$A$177:$A$222)*'Cálculos'!$F$98)+1400)+'Cálculos'!$F$123)*'Cálculos'!$F$281)+('Cálculos'!$F$204*(1+'Cálculos'!$F$205+$A$177:$A$222*('Cálculos'!$F$290=3)*'Cálculos'!$F$103)+'Cálculos'!$F$206)*('Cálculos'!$F$272+'Cálculos'!$F$124*(1+2.78*('Cálculos'!$F$200+(($C204)-$A$177:$A$222)*'Cálculos'!$F$98)/(('Cálculos'!$F$200+(($C204)-$A$177:$A$222)*'Cálculos'!$F$98)+1400)+'Cálculos'!$F$122)*'Cálculos'!$F$277+'Cálculos'!$F$125*(1+2.78*('Cálculos'!$F$200+(($C204)-$A$177:$A$222)*'Cálculos'!$F$98)/(('Cálculos'!$F$200+(($C204)-$A$177:$A$222)*'Cálculos'!$F$98)+1400)+'Cálculos'!$F$123)*'Cálculos'!$F$282)+('Cálculos'!$F$273+'Cálculos'!$F$124*(1+2.78*('Cálculos'!$F$200+(($C204)-$A$177:$A$222)*'Cálculos'!$F$98)/(('Cálculos'!$F$200+(($C204)-$A$177:$A$222)*'Cálculos'!$F$98)+1400)+'Cálculos'!$F$122)*'Cálculos'!$F$278+'Cálculos'!$F$125*(1+2.78*('Cálculos'!$F$200+(($C204)-$A$177:$A$222)*'Cálculos'!$F$98)/(('Cálculos'!$F$200+(($C204)-$A$177:$A$222)*'Cálculos'!$F$98)+1400)+'Cálculos'!$F$123)*'Cálculos'!$F$283)))))</f>
        <v>0</v>
      </c>
      <c r="E204" s="32">
        <f>IF(OR($C204&lt;0,'Cálculos'!$F$6=""),0,$B204*$D204)</f>
        <v>0</v>
      </c>
      <c r="F204" s="2"/>
      <c r="G204" s="30">
        <f>($A204&lt;=$B$224)*($A204&lt;='Cálculos'!$F$294)*(($B$224)-$A204&lt;='Cálculos'!$F$295)*(1+MIN(('Cálculos'!$F$207+$A204*'Cálculos'!$F$95),1)*('Cálculos'!$F$208+(($B$224)-$A204)*'Cálculos'!$F$96))</f>
        <v>0</v>
      </c>
      <c r="H204" s="31">
        <f>IF($B$225&lt;0,0,($A204&lt;=$B$225)*($A204&lt;='Cálculos'!$F$301)*(($B$225)-$A204&lt;='Cálculos'!$F$297)*(('Cálculos'!$F$185*(1+'Cálculos'!$F$186+$A204*('Cálculos'!$F$290=1)*'Cálculos'!$F$97+'Cálculos'!$F$305)+'Cálculos'!$F$191)*('Cálculos'!$F$209+'Cálculos'!$F$124*(1+2.78*('Cálculos'!$F$196+(($B$225)-$A204)*'Cálculos'!$F$98)/(('Cálculos'!$F$196+(($B$225)-$A204)*'Cálculos'!$F$98)+1400)+'Cálculos'!$F$122)*'Cálculos'!$F$214+'Cálculos'!$F$125*(1+2.78*('Cálculos'!$F$196+(($B$225)-$A204)*'Cálculos'!$F$98)/(('Cálculos'!$F$196+(($B$225)-$A204)*'Cálculos'!$F$98)+1400)+'Cálculos'!$F$123)*'Cálculos'!$F$219)+('Cálculos'!$F$196+(($B$225)-$A204)*'Cálculos'!$F$98)*('Cálculos'!$F$210+'Cálculos'!$F$124*(1+2.78*('Cálculos'!$F$196+(($B$225)-$A204)*'Cálculos'!$F$98)/(('Cálculos'!$F$196+(($B$225)-$A204)*'Cálculos'!$F$98)+1400)+'Cálculos'!$F$122)*'Cálculos'!$F$215+'Cálculos'!$F$125*(1+2.78*('Cálculos'!$F$196+(($B$225)-$A204)*'Cálculos'!$F$98)/(('Cálculos'!$F$196+(($B$225)-$A204)*'Cálculos'!$F$98)+1400)+'Cálculos'!$F$123)*'Cálculos'!$F$220)+('Cálculos'!$F$201*(1+'Cálculos'!$F$202+$A204*('Cálculos'!$F$290=2)*'Cálculos'!$F$101)+'Cálculos'!$F$203)*('Cálculos'!$F$211+'Cálculos'!$F$124*(1+2.78*('Cálculos'!$F$196+(($B$225)-$A204)*'Cálculos'!$F$98)/(('Cálculos'!$F$196+(($B$225)-$A204)*'Cálculos'!$F$98)+1400)+'Cálculos'!$F$122)*'Cálculos'!$F$216+'Cálculos'!$F$125*(1+2.78*('Cálculos'!$F$196+(($B$225)-$A204)*'Cálculos'!$F$98)/(('Cálculos'!$F$196+(($B$225)-$A204)*'Cálculos'!$F$98)+1400)+'Cálculos'!$F$123)*'Cálculos'!$F$221)+('Cálculos'!$F$204*(1+'Cálculos'!$F$205+$A204*('Cálculos'!$F$290=3)*'Cálculos'!$F$103)+'Cálculos'!$F$206)*('Cálculos'!$F$212+'Cálculos'!$F$124*(1+2.78*('Cálculos'!$F$196+(($B$225)-$A204)*'Cálculos'!$F$98)/(('Cálculos'!$F$196+(($B$225)-$A204)*'Cálculos'!$F$98)+1400)+'Cálculos'!$F$122)*'Cálculos'!$F$217+'Cálculos'!$F$125*(1+2.78*('Cálculos'!$F$196+(($B$225)-$A204)*'Cálculos'!$F$98)/(('Cálculos'!$F$196+(($B$225)-$A204)*'Cálculos'!$F$98)+1400)+'Cálculos'!$F$123)*'Cálculos'!$F$222)+('Cálculos'!$F$213+'Cálculos'!$F$124*(1+2.78*('Cálculos'!$F$196+(($B$225)-$A204)*'Cálculos'!$F$98)/(('Cálculos'!$F$196+(($B$225)-$A204)*'Cálculos'!$F$98)+1400)+'Cálculos'!$F$122)*'Cálculos'!$F$218+'Cálculos'!$F$125*(1+2.78*('Cálculos'!$F$196+(($B$225)-$A204)*'Cálculos'!$F$98)/(('Cálculos'!$F$196+(($B$225)-$A204)*'Cálculos'!$F$98)+1400)+'Cálculos'!$F$123)*'Cálculos'!$F$223)+('Cálculos'!$F$185*(1+'Cálculos'!$F$187+$A204*('Cálculos'!$F$290=1)*'Cálculos'!$F$97+'Cálculos'!$F$305)+'Cálculos'!$F$192)*('Cálculos'!$F$224+'Cálculos'!$F$124*(1+2.78*('Cálculos'!$F$197+(($B$225)-$A204)*'Cálculos'!$F$98)/(('Cálculos'!$F$197+(($B$225)-$A204)*'Cálculos'!$F$98)+1400)+'Cálculos'!$F$122)*'Cálculos'!$F$229+'Cálculos'!$F$125*(1+2.78*('Cálculos'!$F$197+(($B$225)-$A204)*'Cálculos'!$F$98)/(('Cálculos'!$F$197+(($B$225)-$A204)*'Cálculos'!$F$98)+1400)+'Cálculos'!$F$123)*'Cálculos'!$F$234)+('Cálculos'!$F$197+(($B$225)-$A204)*'Cálculos'!$F$98)*('Cálculos'!$F$225+'Cálculos'!$F$124*(1+2.78*('Cálculos'!$F$197+(($B$225)-$A204)*'Cálculos'!$F$98)/(('Cálculos'!$F$197+(($B$225)-$A204)*'Cálculos'!$F$98)+1400)+'Cálculos'!$F$122)*'Cálculos'!$F$230+'Cálculos'!$F$125*(1+2.78*('Cálculos'!$F$197+(($B$225)-$A204)*'Cálculos'!$F$98)/(('Cálculos'!$F$197+(($B$225)-$A204)*'Cálculos'!$F$98)+1400)+'Cálculos'!$F$123)*'Cálculos'!$F$235)+('Cálculos'!$F$201*(1+'Cálculos'!$F$202+$A204*('Cálculos'!$F$290=2)*'Cálculos'!$F$101)+'Cálculos'!$F$203)*('Cálculos'!$F$226+'Cálculos'!$F$124*(1+2.78*('Cálculos'!$F$197+(($B$225)-$A204)*'Cálculos'!$F$98)/(('Cálculos'!$F$197+(($B$225)-$A204)*'Cálculos'!$F$98)+1400)+'Cálculos'!$F$122)*'Cálculos'!$F$231+'Cálculos'!$F$125*(1+2.78*('Cálculos'!$F$197+(($B$225)-$A204)*'Cálculos'!$F$98)/(('Cálculos'!$F$197+(($B$225)-$A204)*'Cálculos'!$F$98)+1400)+'Cálculos'!$F$123)*'Cálculos'!$F$236)+('Cálculos'!$F$204*(1+'Cálculos'!$F$205+$A204*('Cálculos'!$F$290=3)*'Cálculos'!$F$103)+'Cálculos'!$F$206)*('Cálculos'!$F$227+'Cálculos'!$F$124*(1+2.78*('Cálculos'!$F$197+(($B$225)-$A204)*'Cálculos'!$F$98)/(('Cálculos'!$F$197+(($B$225)-$A204)*'Cálculos'!$F$98)+1400)+'Cálculos'!$F$122)*'Cálculos'!$F$232+'Cálculos'!$F$125*(1+2.78*('Cálculos'!$F$197+(($B$225)-$A204)*'Cálculos'!$F$98)/(('Cálculos'!$F$197+(($B$225)-$A204)*'Cálculos'!$F$98)+1400)+'Cálculos'!$F$123)*'Cálculos'!$F$237)+('Cálculos'!$F$228+'Cálculos'!$F$124*(1+2.78*('Cálculos'!$F$197+(($B$225)-$A204)*'Cálculos'!$F$98)/(('Cálculos'!$F$197+(($B$225)-$A204)*'Cálculos'!$F$98)+1400)+'Cálculos'!$F$122)*'Cálculos'!$F$233+'Cálculos'!$F$125*(1+2.78*('Cálculos'!$F$197+(($B$225)-$A204)*'Cálculos'!$F$98)/(('Cálculos'!$F$197+(($B$225)-$A204)*'Cálculos'!$F$98)+1400)+'Cálculos'!$F$123)*'Cálculos'!$F$238)+('Cálculos'!$F$185*(1+'Cálculos'!$F$188+$A204*('Cálculos'!$F$290=1)*'Cálculos'!$F$97+'Cálculos'!$F$305)+'Cálculos'!$F$193)*('Cálculos'!$F$239+'Cálculos'!$F$124*(1+2.78*('Cálculos'!$F$198+(($B$225)-$A204)*'Cálculos'!$F$98)/(('Cálculos'!$F$198+(($B$225)-$A204)*'Cálculos'!$F$98)+1400)+'Cálculos'!$F$122)*'Cálculos'!$F$244+'Cálculos'!$F$125*(1+2.78*('Cálculos'!$F$198+(($B$225)-$A204)*'Cálculos'!$F$98)/(('Cálculos'!$F$198+(($B$225)-$A204)*'Cálculos'!$F$98)+1400)+'Cálculos'!$F$123)*'Cálculos'!$F$249)+('Cálculos'!$F$198+(($B$225)-$A204)*'Cálculos'!$F$98)*('Cálculos'!$F$240+'Cálculos'!$F$124*(1+2.78*('Cálculos'!$F$198+(($B$225)-$A204)*'Cálculos'!$F$98)/(('Cálculos'!$F$198+(($B$225)-$A204)*'Cálculos'!$F$98)+1400)+'Cálculos'!$F$122)*'Cálculos'!$F$245+'Cálculos'!$F$125*(1+2.78*('Cálculos'!$F$198+(($B$225)-$A204)*'Cálculos'!$F$98)/(('Cálculos'!$F$198+(($B$225)-$A204)*'Cálculos'!$F$98)+1400)+'Cálculos'!$F$123)*'Cálculos'!$F$250)+('Cálculos'!$F$201*(1+'Cálculos'!$F$202+$A204*('Cálculos'!$F$290=2)*'Cálculos'!$F$101)+'Cálculos'!$F$203)*('Cálculos'!$F$241+'Cálculos'!$F$124*(1+2.78*('Cálculos'!$F$198+(($B$225)-$A204)*'Cálculos'!$F$98)/(('Cálculos'!$F$198+(($B$225)-$A204)*'Cálculos'!$F$98)+1400)+'Cálculos'!$F$122)*'Cálculos'!$F$246+'Cálculos'!$F$125*(1+2.78*('Cálculos'!$F$198+(($B$225)-$A204)*'Cálculos'!$F$98)/(('Cálculos'!$F$198+(($B$225)-$A204)*'Cálculos'!$F$98)+1400)+'Cálculos'!$F$123)*'Cálculos'!$F$251)+('Cálculos'!$F$204*(1+'Cálculos'!$F$205+$A204*('Cálculos'!$F$290=3)*'Cálculos'!$F$103)+'Cálculos'!$F$206)*('Cálculos'!$F$242+'Cálculos'!$F$124*(1+2.78*('Cálculos'!$F$198+(($B$225)-$A204)*'Cálculos'!$F$98)/(('Cálculos'!$F$198+(($B$225)-$A204)*'Cálculos'!$F$98)+1400)+'Cálculos'!$F$122)*'Cálculos'!$F$247+'Cálculos'!$F$125*(1+2.78*('Cálculos'!$F$198+(($B$225)-$A204)*'Cálculos'!$F$98)/(('Cálculos'!$F$198+(($B$225)-$A204)*'Cálculos'!$F$98)+1400)+'Cálculos'!$F$123)*'Cálculos'!$F$252)+('Cálculos'!$F$243+'Cálculos'!$F$124*(1+2.78*('Cálculos'!$F$198+(($B$225)-$A204)*'Cálculos'!$F$98)/(('Cálculos'!$F$198+(($B$225)-$A204)*'Cálculos'!$F$98)+1400)+'Cálculos'!$F$122)*'Cálculos'!$F$248+'Cálculos'!$F$125*(1+2.78*('Cálculos'!$F$198+(($B$225)-$A204)*'Cálculos'!$F$98)/(('Cálculos'!$F$198+(($B$225)-$A204)*'Cálculos'!$F$98)+1400)+'Cálculos'!$F$123)*'Cálculos'!$F$253)+('Cálculos'!$F$185*(1+'Cálculos'!$F$189+$A204*('Cálculos'!$F$290=1)*'Cálculos'!$F$97+'Cálculos'!$F$305)+'Cálculos'!$F$194)*('Cálculos'!$F$254+'Cálculos'!$F$124*(1+2.78*('Cálculos'!$F$199+(($B$225)-$A204)*'Cálculos'!$F$98)/(('Cálculos'!$F$199+(($B$225)-$A204)*'Cálculos'!$F$98)+1400)+'Cálculos'!$F$122)*'Cálculos'!$F$259+'Cálculos'!$F$125*(1+2.78*('Cálculos'!$F$199+(($B$225)-$A204)*'Cálculos'!$F$98)/(('Cálculos'!$F$199+(($B$225)-$A204)*'Cálculos'!$F$98)+1400)+'Cálculos'!$F$123)*'Cálculos'!$F$264)+('Cálculos'!$F$199+(($B$225)-$A204)*'Cálculos'!$F$98)*('Cálculos'!$F$255+'Cálculos'!$F$124*(1+2.78*('Cálculos'!$F$199+(($B$225)-$A204)*'Cálculos'!$F$98)/(('Cálculos'!$F$199+(($B$225)-$A204)*'Cálculos'!$F$98)+1400)+'Cálculos'!$F$122)*'Cálculos'!$F$260+'Cálculos'!$F$125*(1+2.78*('Cálculos'!$F$199+(($B$225)-$A204)*'Cálculos'!$F$98)/(('Cálculos'!$F$199+(($B$225)-$A204)*'Cálculos'!$F$98)+1400)+'Cálculos'!$F$123)*'Cálculos'!$F$265)+('Cálculos'!$F$201*(1+'Cálculos'!$F$202+$A204*('Cálculos'!$F$290=2)*'Cálculos'!$F$101)+'Cálculos'!$F$203)*('Cálculos'!$F$256+'Cálculos'!$F$124*(1+2.78*('Cálculos'!$F$199+(($B$225)-$A204)*'Cálculos'!$F$98)/(('Cálculos'!$F$199+(($B$225)-$A204)*'Cálculos'!$F$98)+1400)+'Cálculos'!$F$122)*'Cálculos'!$F$261+'Cálculos'!$F$125*(1+2.78*('Cálculos'!$F$199+(($B$225)-$A204)*'Cálculos'!$F$98)/(('Cálculos'!$F$199+(($B$225)-$A204)*'Cálculos'!$F$98)+1400)+'Cálculos'!$F$123)*'Cálculos'!$F$266)+('Cálculos'!$F$204*(1+'Cálculos'!$F$205+$A204*('Cálculos'!$F$290=3)*'Cálculos'!$F$103)+'Cálculos'!$F$206)*('Cálculos'!$F$257+'Cálculos'!$F$124*(1+2.78*('Cálculos'!$F$199+(($B$225)-$A204)*'Cálculos'!$F$98)/(('Cálculos'!$F$199+(($B$225)-$A204)*'Cálculos'!$F$98)+1400)+'Cálculos'!$F$122)*'Cálculos'!$F$262+'Cálculos'!$F$125*(1+2.78*('Cálculos'!$F$199+(($B$225)-$A204)*'Cálculos'!$F$98)/(('Cálculos'!$F$199+(($B$225)-$A204)*'Cálculos'!$F$98)+1400)+'Cálculos'!$F$123)*'Cálculos'!$F$267)+('Cálculos'!$F$258+'Cálculos'!$F$124*(1+2.78*('Cálculos'!$F$199+(($B$225)-$A204)*'Cálculos'!$F$98)/(('Cálculos'!$F$199+(($B$225)-$A204)*'Cálculos'!$F$98)+1400)+'Cálculos'!$F$122)*'Cálculos'!$F$263+'Cálculos'!$F$125*(1+2.78*('Cálculos'!$F$199+(($B$225)-$A204)*'Cálculos'!$F$98)/(('Cálculos'!$F$199+(($B$225)-$A204)*'Cálculos'!$F$98)+1400)+'Cálculos'!$F$123)*'Cálculos'!$F$268)+('Cálculos'!$F$185*(1+'Cálculos'!$F$190+$A204*('Cálculos'!$F$290=1)*'Cálculos'!$F$97+'Cálculos'!$F$305)+'Cálculos'!$F$195)*('Cálculos'!$F$269+'Cálculos'!$F$124*(1+2.78*('Cálculos'!$F$200+(($B$225)-$A204)*'Cálculos'!$F$98)/(('Cálculos'!$F$200+(($B$225)-$A204)*'Cálculos'!$F$98)+1400)+'Cálculos'!$F$122)*'Cálculos'!$F$274+'Cálculos'!$F$125*(1+2.78*('Cálculos'!$F$200+(($B$225)-$A204)*'Cálculos'!$F$98)/(('Cálculos'!$F$200+(($B$225)-$A204)*'Cálculos'!$F$98)+1400)+'Cálculos'!$F$123)*'Cálculos'!$F$279)+('Cálculos'!$F$200+(($B$225)-$A204)*'Cálculos'!$F$98)*('Cálculos'!$F$270+'Cálculos'!$F$124*(1+2.78*('Cálculos'!$F$200+(($B$225)-$A204)*'Cálculos'!$F$98)/(('Cálculos'!$F$200+(($B$225)-$A204)*'Cálculos'!$F$98)+1400)+'Cálculos'!$F$122)*'Cálculos'!$F$275+'Cálculos'!$F$125*(1+2.78*('Cálculos'!$F$200+(($B$225)-$A204)*'Cálculos'!$F$98)/(('Cálculos'!$F$200+(($B$225)-$A204)*'Cálculos'!$F$98)+1400)+'Cálculos'!$F$123)*'Cálculos'!$F$280)+('Cálculos'!$F$201*(1+'Cálculos'!$F$202+$A204*('Cálculos'!$F$290=2)*'Cálculos'!$F$101)+'Cálculos'!$F$203)*('Cálculos'!$F$271+'Cálculos'!$F$124*(1+2.78*('Cálculos'!$F$200+(($B$225)-$A204)*'Cálculos'!$F$98)/(('Cálculos'!$F$200+(($B$225)-$A204)*'Cálculos'!$F$98)+1400)+'Cálculos'!$F$122)*'Cálculos'!$F$276+'Cálculos'!$F$125*(1+2.78*('Cálculos'!$F$200+(($B$225)-$A204)*'Cálculos'!$F$98)/(('Cálculos'!$F$200+(($B$225)-$A204)*'Cálculos'!$F$98)+1400)+'Cálculos'!$F$123)*'Cálculos'!$F$281)+('Cálculos'!$F$204*(1+'Cálculos'!$F$205+$A204*('Cálculos'!$F$290=3)*'Cálculos'!$F$103)+'Cálculos'!$F$206)*('Cálculos'!$F$272+'Cálculos'!$F$124*(1+2.78*('Cálculos'!$F$200+(($B$225)-$A204)*'Cálculos'!$F$98)/(('Cálculos'!$F$200+(($B$225)-$A204)*'Cálculos'!$F$98)+1400)+'Cálculos'!$F$122)*'Cálculos'!$F$277+'Cálculos'!$F$125*(1+2.78*('Cálculos'!$F$200+(($B$225)-$A204)*'Cálculos'!$F$98)/(('Cálculos'!$F$200+(($B$225)-$A204)*'Cálculos'!$F$98)+1400)+'Cálculos'!$F$123)*'Cálculos'!$F$282)+('Cálculos'!$F$273+'Cálculos'!$F$124*(1+2.78*('Cálculos'!$F$200+(($B$225)-$A204)*'Cálculos'!$F$98)/(('Cálculos'!$F$200+(($B$225)-$A204)*'Cálculos'!$F$98)+1400)+'Cálculos'!$F$122)*'Cálculos'!$F$278+'Cálculos'!$F$125*(1+2.78*('Cálculos'!$F$200+(($B$225)-$A204)*'Cálculos'!$F$98)/(('Cálculos'!$F$200+(($B$225)-$A204)*'Cálculos'!$F$98)+1400)+'Cálculos'!$F$123)*'Cálculos'!$F$283)))</f>
        <v>0</v>
      </c>
    </row>
    <row r="205" ht="15.75" customHeight="1">
      <c r="A205" s="2">
        <v>28.0</v>
      </c>
      <c r="B205" s="30">
        <f>SUMPRODUCT(MAX(($A$177:$A$222&lt;=$A205)*($A$177:$A$222&lt;='Cálculos'!$F$294)*(($A205)-$A$177:$A$222&lt;='Cálculos'!$F$295)*(1+(('Cálculos'!$F$207+$A$177:$A$222*'Cálculos'!$F$95)-(('Cálculos'!$F$207+$A$177:$A$222*'Cálculos'!$F$95)&gt;1)*(('Cálculos'!$F$207+$A$177:$A$222*'Cálculos'!$F$95)-1))*('Cálculos'!$F$208+(($A205)-$A$177:$A$222)*'Cálculos'!$F$96))))</f>
        <v>2.975012</v>
      </c>
      <c r="C205" s="2">
        <f>'Cálculos'!$F$303-$A205</f>
        <v>-10</v>
      </c>
      <c r="D205" s="31">
        <f>IF($C205&lt;0,0,SUMPRODUCT(MAX(($A$177:$A$222&lt;=$C205)*($A$177:$A$222&lt;='Cálculos'!$F$301)*(($C205)-$A$177:$A$222&lt;='Cálculos'!$F$297)*(('Cálculos'!$F$185*(1+'Cálculos'!$F$186+$A$177:$A$222*('Cálculos'!$F$290=1)*'Cálculos'!$F$97+'Cálculos'!$F$305)+'Cálculos'!$F$191)*('Cálculos'!$F$209+'Cálculos'!$F$124*(1+2.78*('Cálculos'!$F$196+(($C205)-$A$177:$A$222)*'Cálculos'!$F$98)/(('Cálculos'!$F$196+(($C205)-$A$177:$A$222)*'Cálculos'!$F$98)+1400)+'Cálculos'!$F$122)*'Cálculos'!$F$214+'Cálculos'!$F$125*(1+2.78*('Cálculos'!$F$196+(($C205)-$A$177:$A$222)*'Cálculos'!$F$98)/(('Cálculos'!$F$196+(($C205)-$A$177:$A$222)*'Cálculos'!$F$98)+1400)+'Cálculos'!$F$123)*'Cálculos'!$F$219)+('Cálculos'!$F$196+(($C205)-$A$177:$A$222)*'Cálculos'!$F$98)*('Cálculos'!$F$210+'Cálculos'!$F$124*(1+2.78*('Cálculos'!$F$196+(($C205)-$A$177:$A$222)*'Cálculos'!$F$98)/(('Cálculos'!$F$196+(($C205)-$A$177:$A$222)*'Cálculos'!$F$98)+1400)+'Cálculos'!$F$122)*'Cálculos'!$F$215+'Cálculos'!$F$125*(1+2.78*('Cálculos'!$F$196+(($C205)-$A$177:$A$222)*'Cálculos'!$F$98)/(('Cálculos'!$F$196+(($C205)-$A$177:$A$222)*'Cálculos'!$F$98)+1400)+'Cálculos'!$F$123)*'Cálculos'!$F$220)+('Cálculos'!$F$201*(1+'Cálculos'!$F$202+$A$177:$A$222*('Cálculos'!$F$290=2)*'Cálculos'!$F$101)+'Cálculos'!$F$203)*('Cálculos'!$F$211+'Cálculos'!$F$124*(1+2.78*('Cálculos'!$F$196+(($C205)-$A$177:$A$222)*'Cálculos'!$F$98)/(('Cálculos'!$F$196+(($C205)-$A$177:$A$222)*'Cálculos'!$F$98)+1400)+'Cálculos'!$F$122)*'Cálculos'!$F$216+'Cálculos'!$F$125*(1+2.78*('Cálculos'!$F$196+(($C205)-$A$177:$A$222)*'Cálculos'!$F$98)/(('Cálculos'!$F$196+(($C205)-$A$177:$A$222)*'Cálculos'!$F$98)+1400)+'Cálculos'!$F$123)*'Cálculos'!$F$221)+('Cálculos'!$F$204*(1+'Cálculos'!$F$205+$A$177:$A$222*('Cálculos'!$F$290=3)*'Cálculos'!$F$103)+'Cálculos'!$F$206)*('Cálculos'!$F$212+'Cálculos'!$F$124*(1+2.78*('Cálculos'!$F$196+(($C205)-$A$177:$A$222)*'Cálculos'!$F$98)/(('Cálculos'!$F$196+(($C205)-$A$177:$A$222)*'Cálculos'!$F$98)+1400)+'Cálculos'!$F$122)*'Cálculos'!$F$217+'Cálculos'!$F$125*(1+2.78*('Cálculos'!$F$196+(($C205)-$A$177:$A$222)*'Cálculos'!$F$98)/(('Cálculos'!$F$196+(($C205)-$A$177:$A$222)*'Cálculos'!$F$98)+1400)+'Cálculos'!$F$123)*'Cálculos'!$F$222)+('Cálculos'!$F$213+'Cálculos'!$F$124*(1+2.78*('Cálculos'!$F$196+(($C205)-$A$177:$A$222)*'Cálculos'!$F$98)/(('Cálculos'!$F$196+(($C205)-$A$177:$A$222)*'Cálculos'!$F$98)+1400)+'Cálculos'!$F$122)*'Cálculos'!$F$218+'Cálculos'!$F$125*(1+2.78*('Cálculos'!$F$196+(($C205)-$A$177:$A$222)*'Cálculos'!$F$98)/(('Cálculos'!$F$196+(($C205)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205)-$A$177:$A$222)*'Cálculos'!$F$98)/(('Cálculos'!$F$197+(($C205)-$A$177:$A$222)*'Cálculos'!$F$98)+1400)+'Cálculos'!$F$122)*'Cálculos'!$F$229+'Cálculos'!$F$125*(1+2.78*('Cálculos'!$F$197+(($C205)-$A$177:$A$222)*'Cálculos'!$F$98)/(('Cálculos'!$F$197+(($C205)-$A$177:$A$222)*'Cálculos'!$F$98)+1400)+'Cálculos'!$F$123)*'Cálculos'!$F$234)+('Cálculos'!$F$197+(($C205)-$A$177:$A$222)*'Cálculos'!$F$98)*('Cálculos'!$F$225+'Cálculos'!$F$124*(1+2.78*('Cálculos'!$F$197+(($C205)-$A$177:$A$222)*'Cálculos'!$F$98)/(('Cálculos'!$F$197+(($C205)-$A$177:$A$222)*'Cálculos'!$F$98)+1400)+'Cálculos'!$F$122)*'Cálculos'!$F$230+'Cálculos'!$F$125*(1+2.78*('Cálculos'!$F$197+(($C205)-$A$177:$A$222)*'Cálculos'!$F$98)/(('Cálculos'!$F$197+(($C205)-$A$177:$A$222)*'Cálculos'!$F$98)+1400)+'Cálculos'!$F$123)*'Cálculos'!$F$235)+('Cálculos'!$F$201*(1+'Cálculos'!$F$202+$A$177:$A$222*('Cálculos'!$F$290=2)*'Cálculos'!$F$101)+'Cálculos'!$F$203)*('Cálculos'!$F$226+'Cálculos'!$F$124*(1+2.78*('Cálculos'!$F$197+(($C205)-$A$177:$A$222)*'Cálculos'!$F$98)/(('Cálculos'!$F$197+(($C205)-$A$177:$A$222)*'Cálculos'!$F$98)+1400)+'Cálculos'!$F$122)*'Cálculos'!$F$231+'Cálculos'!$F$125*(1+2.78*('Cálculos'!$F$197+(($C205)-$A$177:$A$222)*'Cálculos'!$F$98)/(('Cálculos'!$F$197+(($C205)-$A$177:$A$222)*'Cálculos'!$F$98)+1400)+'Cálculos'!$F$123)*'Cálculos'!$F$236)+('Cálculos'!$F$204*(1+'Cálculos'!$F$205+$A$177:$A$222*('Cálculos'!$F$290=3)*'Cálculos'!$F$103)+'Cálculos'!$F$206)*('Cálculos'!$F$227+'Cálculos'!$F$124*(1+2.78*('Cálculos'!$F$197+(($C205)-$A$177:$A$222)*'Cálculos'!$F$98)/(('Cálculos'!$F$197+(($C205)-$A$177:$A$222)*'Cálculos'!$F$98)+1400)+'Cálculos'!$F$122)*'Cálculos'!$F$232+'Cálculos'!$F$125*(1+2.78*('Cálculos'!$F$197+(($C205)-$A$177:$A$222)*'Cálculos'!$F$98)/(('Cálculos'!$F$197+(($C205)-$A$177:$A$222)*'Cálculos'!$F$98)+1400)+'Cálculos'!$F$123)*'Cálculos'!$F$237)+('Cálculos'!$F$228+'Cálculos'!$F$124*(1+2.78*('Cálculos'!$F$197+(($C205)-$A$177:$A$222)*'Cálculos'!$F$98)/(('Cálculos'!$F$197+(($C205)-$A$177:$A$222)*'Cálculos'!$F$98)+1400)+'Cálculos'!$F$122)*'Cálculos'!$F$233+'Cálculos'!$F$125*(1+2.78*('Cálculos'!$F$197+(($C205)-$A$177:$A$222)*'Cálculos'!$F$98)/(('Cálculos'!$F$197+(($C205)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205)-$A$177:$A$222)*'Cálculos'!$F$98)/(('Cálculos'!$F$198+(($C205)-$A$177:$A$222)*'Cálculos'!$F$98)+1400)+'Cálculos'!$F$122)*'Cálculos'!$F$244+'Cálculos'!$F$125*(1+2.78*('Cálculos'!$F$198+(($C205)-$A$177:$A$222)*'Cálculos'!$F$98)/(('Cálculos'!$F$198+(($C205)-$A$177:$A$222)*'Cálculos'!$F$98)+1400)+'Cálculos'!$F$123)*'Cálculos'!$F$249)+('Cálculos'!$F$198+(($C205)-$A$177:$A$222)*'Cálculos'!$F$98)*('Cálculos'!$F$240+'Cálculos'!$F$124*(1+2.78*('Cálculos'!$F$198+(($C205)-$A$177:$A$222)*'Cálculos'!$F$98)/(('Cálculos'!$F$198+(($C205)-$A$177:$A$222)*'Cálculos'!$F$98)+1400)+'Cálculos'!$F$122)*'Cálculos'!$F$245+'Cálculos'!$F$125*(1+2.78*('Cálculos'!$F$198+(($C205)-$A$177:$A$222)*'Cálculos'!$F$98)/(('Cálculos'!$F$198+(($C205)-$A$177:$A$222)*'Cálculos'!$F$98)+1400)+'Cálculos'!$F$123)*'Cálculos'!$F$250)+('Cálculos'!$F$201*(1+'Cálculos'!$F$202+$A$177:$A$222*('Cálculos'!$F$290=2)*'Cálculos'!$F$101)+'Cálculos'!$F$203)*('Cálculos'!$F$241+'Cálculos'!$F$124*(1+2.78*('Cálculos'!$F$198+(($C205)-$A$177:$A$222)*'Cálculos'!$F$98)/(('Cálculos'!$F$198+(($C205)-$A$177:$A$222)*'Cálculos'!$F$98)+1400)+'Cálculos'!$F$122)*'Cálculos'!$F$246+'Cálculos'!$F$125*(1+2.78*('Cálculos'!$F$198+(($C205)-$A$177:$A$222)*'Cálculos'!$F$98)/(('Cálculos'!$F$198+(($C205)-$A$177:$A$222)*'Cálculos'!$F$98)+1400)+'Cálculos'!$F$123)*'Cálculos'!$F$251)+('Cálculos'!$F$204*(1+'Cálculos'!$F$205+$A$177:$A$222*('Cálculos'!$F$290=3)*'Cálculos'!$F$103)+'Cálculos'!$F$206)*('Cálculos'!$F$242+'Cálculos'!$F$124*(1+2.78*('Cálculos'!$F$198+(($C205)-$A$177:$A$222)*'Cálculos'!$F$98)/(('Cálculos'!$F$198+(($C205)-$A$177:$A$222)*'Cálculos'!$F$98)+1400)+'Cálculos'!$F$122)*'Cálculos'!$F$247+'Cálculos'!$F$125*(1+2.78*('Cálculos'!$F$198+(($C205)-$A$177:$A$222)*'Cálculos'!$F$98)/(('Cálculos'!$F$198+(($C205)-$A$177:$A$222)*'Cálculos'!$F$98)+1400)+'Cálculos'!$F$123)*'Cálculos'!$F$252)+('Cálculos'!$F$243+'Cálculos'!$F$124*(1+2.78*('Cálculos'!$F$198+(($C205)-$A$177:$A$222)*'Cálculos'!$F$98)/(('Cálculos'!$F$198+(($C205)-$A$177:$A$222)*'Cálculos'!$F$98)+1400)+'Cálculos'!$F$122)*'Cálculos'!$F$248+'Cálculos'!$F$125*(1+2.78*('Cálculos'!$F$198+(($C205)-$A$177:$A$222)*'Cálculos'!$F$98)/(('Cálculos'!$F$198+(($C205)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205)-$A$177:$A$222)*'Cálculos'!$F$98)/(('Cálculos'!$F$199+(($C205)-$A$177:$A$222)*'Cálculos'!$F$98)+1400)+'Cálculos'!$F$122)*'Cálculos'!$F$259+'Cálculos'!$F$125*(1+2.78*('Cálculos'!$F$199+(($C205)-$A$177:$A$222)*'Cálculos'!$F$98)/(('Cálculos'!$F$199+(($C205)-$A$177:$A$222)*'Cálculos'!$F$98)+1400)+'Cálculos'!$F$123)*'Cálculos'!$F$264)+('Cálculos'!$F$199+(($C205)-$A$177:$A$222)*'Cálculos'!$F$98)*('Cálculos'!$F$255+'Cálculos'!$F$124*(1+2.78*('Cálculos'!$F$199+(($C205)-$A$177:$A$222)*'Cálculos'!$F$98)/(('Cálculos'!$F$199+(($C205)-$A$177:$A$222)*'Cálculos'!$F$98)+1400)+'Cálculos'!$F$122)*'Cálculos'!$F$260+'Cálculos'!$F$125*(1+2.78*('Cálculos'!$F$199+(($C205)-$A$177:$A$222)*'Cálculos'!$F$98)/(('Cálculos'!$F$199+(($C205)-$A$177:$A$222)*'Cálculos'!$F$98)+1400)+'Cálculos'!$F$123)*'Cálculos'!$F$265)+('Cálculos'!$F$201*(1+'Cálculos'!$F$202+$A$177:$A$222*('Cálculos'!$F$290=2)*'Cálculos'!$F$101)+'Cálculos'!$F$203)*('Cálculos'!$F$256+'Cálculos'!$F$124*(1+2.78*('Cálculos'!$F$199+(($C205)-$A$177:$A$222)*'Cálculos'!$F$98)/(('Cálculos'!$F$199+(($C205)-$A$177:$A$222)*'Cálculos'!$F$98)+1400)+'Cálculos'!$F$122)*'Cálculos'!$F$261+'Cálculos'!$F$125*(1+2.78*('Cálculos'!$F$199+(($C205)-$A$177:$A$222)*'Cálculos'!$F$98)/(('Cálculos'!$F$199+(($C205)-$A$177:$A$222)*'Cálculos'!$F$98)+1400)+'Cálculos'!$F$123)*'Cálculos'!$F$266)+('Cálculos'!$F$204*(1+'Cálculos'!$F$205+$A$177:$A$222*('Cálculos'!$F$290=3)*'Cálculos'!$F$103)+'Cálculos'!$F$206)*('Cálculos'!$F$257+'Cálculos'!$F$124*(1+2.78*('Cálculos'!$F$199+(($C205)-$A$177:$A$222)*'Cálculos'!$F$98)/(('Cálculos'!$F$199+(($C205)-$A$177:$A$222)*'Cálculos'!$F$98)+1400)+'Cálculos'!$F$122)*'Cálculos'!$F$262+'Cálculos'!$F$125*(1+2.78*('Cálculos'!$F$199+(($C205)-$A$177:$A$222)*'Cálculos'!$F$98)/(('Cálculos'!$F$199+(($C205)-$A$177:$A$222)*'Cálculos'!$F$98)+1400)+'Cálculos'!$F$123)*'Cálculos'!$F$267)+('Cálculos'!$F$258+'Cálculos'!$F$124*(1+2.78*('Cálculos'!$F$199+(($C205)-$A$177:$A$222)*'Cálculos'!$F$98)/(('Cálculos'!$F$199+(($C205)-$A$177:$A$222)*'Cálculos'!$F$98)+1400)+'Cálculos'!$F$122)*'Cálculos'!$F$263+'Cálculos'!$F$125*(1+2.78*('Cálculos'!$F$199+(($C205)-$A$177:$A$222)*'Cálculos'!$F$98)/(('Cálculos'!$F$199+(($C205)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205)-$A$177:$A$222)*'Cálculos'!$F$98)/(('Cálculos'!$F$200+(($C205)-$A$177:$A$222)*'Cálculos'!$F$98)+1400)+'Cálculos'!$F$122)*'Cálculos'!$F$274+'Cálculos'!$F$125*(1+2.78*('Cálculos'!$F$200+(($C205)-$A$177:$A$222)*'Cálculos'!$F$98)/(('Cálculos'!$F$200+(($C205)-$A$177:$A$222)*'Cálculos'!$F$98)+1400)+'Cálculos'!$F$123)*'Cálculos'!$F$279)+('Cálculos'!$F$200+(($C205)-$A$177:$A$222)*'Cálculos'!$F$98)*('Cálculos'!$F$270+'Cálculos'!$F$124*(1+2.78*('Cálculos'!$F$200+(($C205)-$A$177:$A$222)*'Cálculos'!$F$98)/(('Cálculos'!$F$200+(($C205)-$A$177:$A$222)*'Cálculos'!$F$98)+1400)+'Cálculos'!$F$122)*'Cálculos'!$F$275+'Cálculos'!$F$125*(1+2.78*('Cálculos'!$F$200+(($C205)-$A$177:$A$222)*'Cálculos'!$F$98)/(('Cálculos'!$F$200+(($C205)-$A$177:$A$222)*'Cálculos'!$F$98)+1400)+'Cálculos'!$F$123)*'Cálculos'!$F$280)+('Cálculos'!$F$201*(1+'Cálculos'!$F$202+$A$177:$A$222*('Cálculos'!$F$290=2)*'Cálculos'!$F$101)+'Cálculos'!$F$203)*('Cálculos'!$F$271+'Cálculos'!$F$124*(1+2.78*('Cálculos'!$F$200+(($C205)-$A$177:$A$222)*'Cálculos'!$F$98)/(('Cálculos'!$F$200+(($C205)-$A$177:$A$222)*'Cálculos'!$F$98)+1400)+'Cálculos'!$F$122)*'Cálculos'!$F$276+'Cálculos'!$F$125*(1+2.78*('Cálculos'!$F$200+(($C205)-$A$177:$A$222)*'Cálculos'!$F$98)/(('Cálculos'!$F$200+(($C205)-$A$177:$A$222)*'Cálculos'!$F$98)+1400)+'Cálculos'!$F$123)*'Cálculos'!$F$281)+('Cálculos'!$F$204*(1+'Cálculos'!$F$205+$A$177:$A$222*('Cálculos'!$F$290=3)*'Cálculos'!$F$103)+'Cálculos'!$F$206)*('Cálculos'!$F$272+'Cálculos'!$F$124*(1+2.78*('Cálculos'!$F$200+(($C205)-$A$177:$A$222)*'Cálculos'!$F$98)/(('Cálculos'!$F$200+(($C205)-$A$177:$A$222)*'Cálculos'!$F$98)+1400)+'Cálculos'!$F$122)*'Cálculos'!$F$277+'Cálculos'!$F$125*(1+2.78*('Cálculos'!$F$200+(($C205)-$A$177:$A$222)*'Cálculos'!$F$98)/(('Cálculos'!$F$200+(($C205)-$A$177:$A$222)*'Cálculos'!$F$98)+1400)+'Cálculos'!$F$123)*'Cálculos'!$F$282)+('Cálculos'!$F$273+'Cálculos'!$F$124*(1+2.78*('Cálculos'!$F$200+(($C205)-$A$177:$A$222)*'Cálculos'!$F$98)/(('Cálculos'!$F$200+(($C205)-$A$177:$A$222)*'Cálculos'!$F$98)+1400)+'Cálculos'!$F$122)*'Cálculos'!$F$278+'Cálculos'!$F$125*(1+2.78*('Cálculos'!$F$200+(($C205)-$A$177:$A$222)*'Cálculos'!$F$98)/(('Cálculos'!$F$200+(($C205)-$A$177:$A$222)*'Cálculos'!$F$98)+1400)+'Cálculos'!$F$123)*'Cálculos'!$F$283)))))</f>
        <v>0</v>
      </c>
      <c r="E205" s="32">
        <f>IF(OR($C205&lt;0,'Cálculos'!$F$6=""),0,$B205*$D205)</f>
        <v>0</v>
      </c>
      <c r="F205" s="2"/>
      <c r="G205" s="30">
        <f>($A205&lt;=$B$224)*($A205&lt;='Cálculos'!$F$294)*(($B$224)-$A205&lt;='Cálculos'!$F$295)*(1+MIN(('Cálculos'!$F$207+$A205*'Cálculos'!$F$95),1)*('Cálculos'!$F$208+(($B$224)-$A205)*'Cálculos'!$F$96))</f>
        <v>0</v>
      </c>
      <c r="H205" s="31">
        <f>IF($B$225&lt;0,0,($A205&lt;=$B$225)*($A205&lt;='Cálculos'!$F$301)*(($B$225)-$A205&lt;='Cálculos'!$F$297)*(('Cálculos'!$F$185*(1+'Cálculos'!$F$186+$A205*('Cálculos'!$F$290=1)*'Cálculos'!$F$97+'Cálculos'!$F$305)+'Cálculos'!$F$191)*('Cálculos'!$F$209+'Cálculos'!$F$124*(1+2.78*('Cálculos'!$F$196+(($B$225)-$A205)*'Cálculos'!$F$98)/(('Cálculos'!$F$196+(($B$225)-$A205)*'Cálculos'!$F$98)+1400)+'Cálculos'!$F$122)*'Cálculos'!$F$214+'Cálculos'!$F$125*(1+2.78*('Cálculos'!$F$196+(($B$225)-$A205)*'Cálculos'!$F$98)/(('Cálculos'!$F$196+(($B$225)-$A205)*'Cálculos'!$F$98)+1400)+'Cálculos'!$F$123)*'Cálculos'!$F$219)+('Cálculos'!$F$196+(($B$225)-$A205)*'Cálculos'!$F$98)*('Cálculos'!$F$210+'Cálculos'!$F$124*(1+2.78*('Cálculos'!$F$196+(($B$225)-$A205)*'Cálculos'!$F$98)/(('Cálculos'!$F$196+(($B$225)-$A205)*'Cálculos'!$F$98)+1400)+'Cálculos'!$F$122)*'Cálculos'!$F$215+'Cálculos'!$F$125*(1+2.78*('Cálculos'!$F$196+(($B$225)-$A205)*'Cálculos'!$F$98)/(('Cálculos'!$F$196+(($B$225)-$A205)*'Cálculos'!$F$98)+1400)+'Cálculos'!$F$123)*'Cálculos'!$F$220)+('Cálculos'!$F$201*(1+'Cálculos'!$F$202+$A205*('Cálculos'!$F$290=2)*'Cálculos'!$F$101)+'Cálculos'!$F$203)*('Cálculos'!$F$211+'Cálculos'!$F$124*(1+2.78*('Cálculos'!$F$196+(($B$225)-$A205)*'Cálculos'!$F$98)/(('Cálculos'!$F$196+(($B$225)-$A205)*'Cálculos'!$F$98)+1400)+'Cálculos'!$F$122)*'Cálculos'!$F$216+'Cálculos'!$F$125*(1+2.78*('Cálculos'!$F$196+(($B$225)-$A205)*'Cálculos'!$F$98)/(('Cálculos'!$F$196+(($B$225)-$A205)*'Cálculos'!$F$98)+1400)+'Cálculos'!$F$123)*'Cálculos'!$F$221)+('Cálculos'!$F$204*(1+'Cálculos'!$F$205+$A205*('Cálculos'!$F$290=3)*'Cálculos'!$F$103)+'Cálculos'!$F$206)*('Cálculos'!$F$212+'Cálculos'!$F$124*(1+2.78*('Cálculos'!$F$196+(($B$225)-$A205)*'Cálculos'!$F$98)/(('Cálculos'!$F$196+(($B$225)-$A205)*'Cálculos'!$F$98)+1400)+'Cálculos'!$F$122)*'Cálculos'!$F$217+'Cálculos'!$F$125*(1+2.78*('Cálculos'!$F$196+(($B$225)-$A205)*'Cálculos'!$F$98)/(('Cálculos'!$F$196+(($B$225)-$A205)*'Cálculos'!$F$98)+1400)+'Cálculos'!$F$123)*'Cálculos'!$F$222)+('Cálculos'!$F$213+'Cálculos'!$F$124*(1+2.78*('Cálculos'!$F$196+(($B$225)-$A205)*'Cálculos'!$F$98)/(('Cálculos'!$F$196+(($B$225)-$A205)*'Cálculos'!$F$98)+1400)+'Cálculos'!$F$122)*'Cálculos'!$F$218+'Cálculos'!$F$125*(1+2.78*('Cálculos'!$F$196+(($B$225)-$A205)*'Cálculos'!$F$98)/(('Cálculos'!$F$196+(($B$225)-$A205)*'Cálculos'!$F$98)+1400)+'Cálculos'!$F$123)*'Cálculos'!$F$223)+('Cálculos'!$F$185*(1+'Cálculos'!$F$187+$A205*('Cálculos'!$F$290=1)*'Cálculos'!$F$97+'Cálculos'!$F$305)+'Cálculos'!$F$192)*('Cálculos'!$F$224+'Cálculos'!$F$124*(1+2.78*('Cálculos'!$F$197+(($B$225)-$A205)*'Cálculos'!$F$98)/(('Cálculos'!$F$197+(($B$225)-$A205)*'Cálculos'!$F$98)+1400)+'Cálculos'!$F$122)*'Cálculos'!$F$229+'Cálculos'!$F$125*(1+2.78*('Cálculos'!$F$197+(($B$225)-$A205)*'Cálculos'!$F$98)/(('Cálculos'!$F$197+(($B$225)-$A205)*'Cálculos'!$F$98)+1400)+'Cálculos'!$F$123)*'Cálculos'!$F$234)+('Cálculos'!$F$197+(($B$225)-$A205)*'Cálculos'!$F$98)*('Cálculos'!$F$225+'Cálculos'!$F$124*(1+2.78*('Cálculos'!$F$197+(($B$225)-$A205)*'Cálculos'!$F$98)/(('Cálculos'!$F$197+(($B$225)-$A205)*'Cálculos'!$F$98)+1400)+'Cálculos'!$F$122)*'Cálculos'!$F$230+'Cálculos'!$F$125*(1+2.78*('Cálculos'!$F$197+(($B$225)-$A205)*'Cálculos'!$F$98)/(('Cálculos'!$F$197+(($B$225)-$A205)*'Cálculos'!$F$98)+1400)+'Cálculos'!$F$123)*'Cálculos'!$F$235)+('Cálculos'!$F$201*(1+'Cálculos'!$F$202+$A205*('Cálculos'!$F$290=2)*'Cálculos'!$F$101)+'Cálculos'!$F$203)*('Cálculos'!$F$226+'Cálculos'!$F$124*(1+2.78*('Cálculos'!$F$197+(($B$225)-$A205)*'Cálculos'!$F$98)/(('Cálculos'!$F$197+(($B$225)-$A205)*'Cálculos'!$F$98)+1400)+'Cálculos'!$F$122)*'Cálculos'!$F$231+'Cálculos'!$F$125*(1+2.78*('Cálculos'!$F$197+(($B$225)-$A205)*'Cálculos'!$F$98)/(('Cálculos'!$F$197+(($B$225)-$A205)*'Cálculos'!$F$98)+1400)+'Cálculos'!$F$123)*'Cálculos'!$F$236)+('Cálculos'!$F$204*(1+'Cálculos'!$F$205+$A205*('Cálculos'!$F$290=3)*'Cálculos'!$F$103)+'Cálculos'!$F$206)*('Cálculos'!$F$227+'Cálculos'!$F$124*(1+2.78*('Cálculos'!$F$197+(($B$225)-$A205)*'Cálculos'!$F$98)/(('Cálculos'!$F$197+(($B$225)-$A205)*'Cálculos'!$F$98)+1400)+'Cálculos'!$F$122)*'Cálculos'!$F$232+'Cálculos'!$F$125*(1+2.78*('Cálculos'!$F$197+(($B$225)-$A205)*'Cálculos'!$F$98)/(('Cálculos'!$F$197+(($B$225)-$A205)*'Cálculos'!$F$98)+1400)+'Cálculos'!$F$123)*'Cálculos'!$F$237)+('Cálculos'!$F$228+'Cálculos'!$F$124*(1+2.78*('Cálculos'!$F$197+(($B$225)-$A205)*'Cálculos'!$F$98)/(('Cálculos'!$F$197+(($B$225)-$A205)*'Cálculos'!$F$98)+1400)+'Cálculos'!$F$122)*'Cálculos'!$F$233+'Cálculos'!$F$125*(1+2.78*('Cálculos'!$F$197+(($B$225)-$A205)*'Cálculos'!$F$98)/(('Cálculos'!$F$197+(($B$225)-$A205)*'Cálculos'!$F$98)+1400)+'Cálculos'!$F$123)*'Cálculos'!$F$238)+('Cálculos'!$F$185*(1+'Cálculos'!$F$188+$A205*('Cálculos'!$F$290=1)*'Cálculos'!$F$97+'Cálculos'!$F$305)+'Cálculos'!$F$193)*('Cálculos'!$F$239+'Cálculos'!$F$124*(1+2.78*('Cálculos'!$F$198+(($B$225)-$A205)*'Cálculos'!$F$98)/(('Cálculos'!$F$198+(($B$225)-$A205)*'Cálculos'!$F$98)+1400)+'Cálculos'!$F$122)*'Cálculos'!$F$244+'Cálculos'!$F$125*(1+2.78*('Cálculos'!$F$198+(($B$225)-$A205)*'Cálculos'!$F$98)/(('Cálculos'!$F$198+(($B$225)-$A205)*'Cálculos'!$F$98)+1400)+'Cálculos'!$F$123)*'Cálculos'!$F$249)+('Cálculos'!$F$198+(($B$225)-$A205)*'Cálculos'!$F$98)*('Cálculos'!$F$240+'Cálculos'!$F$124*(1+2.78*('Cálculos'!$F$198+(($B$225)-$A205)*'Cálculos'!$F$98)/(('Cálculos'!$F$198+(($B$225)-$A205)*'Cálculos'!$F$98)+1400)+'Cálculos'!$F$122)*'Cálculos'!$F$245+'Cálculos'!$F$125*(1+2.78*('Cálculos'!$F$198+(($B$225)-$A205)*'Cálculos'!$F$98)/(('Cálculos'!$F$198+(($B$225)-$A205)*'Cálculos'!$F$98)+1400)+'Cálculos'!$F$123)*'Cálculos'!$F$250)+('Cálculos'!$F$201*(1+'Cálculos'!$F$202+$A205*('Cálculos'!$F$290=2)*'Cálculos'!$F$101)+'Cálculos'!$F$203)*('Cálculos'!$F$241+'Cálculos'!$F$124*(1+2.78*('Cálculos'!$F$198+(($B$225)-$A205)*'Cálculos'!$F$98)/(('Cálculos'!$F$198+(($B$225)-$A205)*'Cálculos'!$F$98)+1400)+'Cálculos'!$F$122)*'Cálculos'!$F$246+'Cálculos'!$F$125*(1+2.78*('Cálculos'!$F$198+(($B$225)-$A205)*'Cálculos'!$F$98)/(('Cálculos'!$F$198+(($B$225)-$A205)*'Cálculos'!$F$98)+1400)+'Cálculos'!$F$123)*'Cálculos'!$F$251)+('Cálculos'!$F$204*(1+'Cálculos'!$F$205+$A205*('Cálculos'!$F$290=3)*'Cálculos'!$F$103)+'Cálculos'!$F$206)*('Cálculos'!$F$242+'Cálculos'!$F$124*(1+2.78*('Cálculos'!$F$198+(($B$225)-$A205)*'Cálculos'!$F$98)/(('Cálculos'!$F$198+(($B$225)-$A205)*'Cálculos'!$F$98)+1400)+'Cálculos'!$F$122)*'Cálculos'!$F$247+'Cálculos'!$F$125*(1+2.78*('Cálculos'!$F$198+(($B$225)-$A205)*'Cálculos'!$F$98)/(('Cálculos'!$F$198+(($B$225)-$A205)*'Cálculos'!$F$98)+1400)+'Cálculos'!$F$123)*'Cálculos'!$F$252)+('Cálculos'!$F$243+'Cálculos'!$F$124*(1+2.78*('Cálculos'!$F$198+(($B$225)-$A205)*'Cálculos'!$F$98)/(('Cálculos'!$F$198+(($B$225)-$A205)*'Cálculos'!$F$98)+1400)+'Cálculos'!$F$122)*'Cálculos'!$F$248+'Cálculos'!$F$125*(1+2.78*('Cálculos'!$F$198+(($B$225)-$A205)*'Cálculos'!$F$98)/(('Cálculos'!$F$198+(($B$225)-$A205)*'Cálculos'!$F$98)+1400)+'Cálculos'!$F$123)*'Cálculos'!$F$253)+('Cálculos'!$F$185*(1+'Cálculos'!$F$189+$A205*('Cálculos'!$F$290=1)*'Cálculos'!$F$97+'Cálculos'!$F$305)+'Cálculos'!$F$194)*('Cálculos'!$F$254+'Cálculos'!$F$124*(1+2.78*('Cálculos'!$F$199+(($B$225)-$A205)*'Cálculos'!$F$98)/(('Cálculos'!$F$199+(($B$225)-$A205)*'Cálculos'!$F$98)+1400)+'Cálculos'!$F$122)*'Cálculos'!$F$259+'Cálculos'!$F$125*(1+2.78*('Cálculos'!$F$199+(($B$225)-$A205)*'Cálculos'!$F$98)/(('Cálculos'!$F$199+(($B$225)-$A205)*'Cálculos'!$F$98)+1400)+'Cálculos'!$F$123)*'Cálculos'!$F$264)+('Cálculos'!$F$199+(($B$225)-$A205)*'Cálculos'!$F$98)*('Cálculos'!$F$255+'Cálculos'!$F$124*(1+2.78*('Cálculos'!$F$199+(($B$225)-$A205)*'Cálculos'!$F$98)/(('Cálculos'!$F$199+(($B$225)-$A205)*'Cálculos'!$F$98)+1400)+'Cálculos'!$F$122)*'Cálculos'!$F$260+'Cálculos'!$F$125*(1+2.78*('Cálculos'!$F$199+(($B$225)-$A205)*'Cálculos'!$F$98)/(('Cálculos'!$F$199+(($B$225)-$A205)*'Cálculos'!$F$98)+1400)+'Cálculos'!$F$123)*'Cálculos'!$F$265)+('Cálculos'!$F$201*(1+'Cálculos'!$F$202+$A205*('Cálculos'!$F$290=2)*'Cálculos'!$F$101)+'Cálculos'!$F$203)*('Cálculos'!$F$256+'Cálculos'!$F$124*(1+2.78*('Cálculos'!$F$199+(($B$225)-$A205)*'Cálculos'!$F$98)/(('Cálculos'!$F$199+(($B$225)-$A205)*'Cálculos'!$F$98)+1400)+'Cálculos'!$F$122)*'Cálculos'!$F$261+'Cálculos'!$F$125*(1+2.78*('Cálculos'!$F$199+(($B$225)-$A205)*'Cálculos'!$F$98)/(('Cálculos'!$F$199+(($B$225)-$A205)*'Cálculos'!$F$98)+1400)+'Cálculos'!$F$123)*'Cálculos'!$F$266)+('Cálculos'!$F$204*(1+'Cálculos'!$F$205+$A205*('Cálculos'!$F$290=3)*'Cálculos'!$F$103)+'Cálculos'!$F$206)*('Cálculos'!$F$257+'Cálculos'!$F$124*(1+2.78*('Cálculos'!$F$199+(($B$225)-$A205)*'Cálculos'!$F$98)/(('Cálculos'!$F$199+(($B$225)-$A205)*'Cálculos'!$F$98)+1400)+'Cálculos'!$F$122)*'Cálculos'!$F$262+'Cálculos'!$F$125*(1+2.78*('Cálculos'!$F$199+(($B$225)-$A205)*'Cálculos'!$F$98)/(('Cálculos'!$F$199+(($B$225)-$A205)*'Cálculos'!$F$98)+1400)+'Cálculos'!$F$123)*'Cálculos'!$F$267)+('Cálculos'!$F$258+'Cálculos'!$F$124*(1+2.78*('Cálculos'!$F$199+(($B$225)-$A205)*'Cálculos'!$F$98)/(('Cálculos'!$F$199+(($B$225)-$A205)*'Cálculos'!$F$98)+1400)+'Cálculos'!$F$122)*'Cálculos'!$F$263+'Cálculos'!$F$125*(1+2.78*('Cálculos'!$F$199+(($B$225)-$A205)*'Cálculos'!$F$98)/(('Cálculos'!$F$199+(($B$225)-$A205)*'Cálculos'!$F$98)+1400)+'Cálculos'!$F$123)*'Cálculos'!$F$268)+('Cálculos'!$F$185*(1+'Cálculos'!$F$190+$A205*('Cálculos'!$F$290=1)*'Cálculos'!$F$97+'Cálculos'!$F$305)+'Cálculos'!$F$195)*('Cálculos'!$F$269+'Cálculos'!$F$124*(1+2.78*('Cálculos'!$F$200+(($B$225)-$A205)*'Cálculos'!$F$98)/(('Cálculos'!$F$200+(($B$225)-$A205)*'Cálculos'!$F$98)+1400)+'Cálculos'!$F$122)*'Cálculos'!$F$274+'Cálculos'!$F$125*(1+2.78*('Cálculos'!$F$200+(($B$225)-$A205)*'Cálculos'!$F$98)/(('Cálculos'!$F$200+(($B$225)-$A205)*'Cálculos'!$F$98)+1400)+'Cálculos'!$F$123)*'Cálculos'!$F$279)+('Cálculos'!$F$200+(($B$225)-$A205)*'Cálculos'!$F$98)*('Cálculos'!$F$270+'Cálculos'!$F$124*(1+2.78*('Cálculos'!$F$200+(($B$225)-$A205)*'Cálculos'!$F$98)/(('Cálculos'!$F$200+(($B$225)-$A205)*'Cálculos'!$F$98)+1400)+'Cálculos'!$F$122)*'Cálculos'!$F$275+'Cálculos'!$F$125*(1+2.78*('Cálculos'!$F$200+(($B$225)-$A205)*'Cálculos'!$F$98)/(('Cálculos'!$F$200+(($B$225)-$A205)*'Cálculos'!$F$98)+1400)+'Cálculos'!$F$123)*'Cálculos'!$F$280)+('Cálculos'!$F$201*(1+'Cálculos'!$F$202+$A205*('Cálculos'!$F$290=2)*'Cálculos'!$F$101)+'Cálculos'!$F$203)*('Cálculos'!$F$271+'Cálculos'!$F$124*(1+2.78*('Cálculos'!$F$200+(($B$225)-$A205)*'Cálculos'!$F$98)/(('Cálculos'!$F$200+(($B$225)-$A205)*'Cálculos'!$F$98)+1400)+'Cálculos'!$F$122)*'Cálculos'!$F$276+'Cálculos'!$F$125*(1+2.78*('Cálculos'!$F$200+(($B$225)-$A205)*'Cálculos'!$F$98)/(('Cálculos'!$F$200+(($B$225)-$A205)*'Cálculos'!$F$98)+1400)+'Cálculos'!$F$123)*'Cálculos'!$F$281)+('Cálculos'!$F$204*(1+'Cálculos'!$F$205+$A205*('Cálculos'!$F$290=3)*'Cálculos'!$F$103)+'Cálculos'!$F$206)*('Cálculos'!$F$272+'Cálculos'!$F$124*(1+2.78*('Cálculos'!$F$200+(($B$225)-$A205)*'Cálculos'!$F$98)/(('Cálculos'!$F$200+(($B$225)-$A205)*'Cálculos'!$F$98)+1400)+'Cálculos'!$F$122)*'Cálculos'!$F$277+'Cálculos'!$F$125*(1+2.78*('Cálculos'!$F$200+(($B$225)-$A205)*'Cálculos'!$F$98)/(('Cálculos'!$F$200+(($B$225)-$A205)*'Cálculos'!$F$98)+1400)+'Cálculos'!$F$123)*'Cálculos'!$F$282)+('Cálculos'!$F$273+'Cálculos'!$F$124*(1+2.78*('Cálculos'!$F$200+(($B$225)-$A205)*'Cálculos'!$F$98)/(('Cálculos'!$F$200+(($B$225)-$A205)*'Cálculos'!$F$98)+1400)+'Cálculos'!$F$122)*'Cálculos'!$F$278+'Cálculos'!$F$125*(1+2.78*('Cálculos'!$F$200+(($B$225)-$A205)*'Cálculos'!$F$98)/(('Cálculos'!$F$200+(($B$225)-$A205)*'Cálculos'!$F$98)+1400)+'Cálculos'!$F$123)*'Cálculos'!$F$283)))</f>
        <v>0</v>
      </c>
    </row>
    <row r="206" ht="15.75" customHeight="1">
      <c r="A206" s="2">
        <v>29.0</v>
      </c>
      <c r="B206" s="30">
        <f>SUMPRODUCT(MAX(($A$177:$A$222&lt;=$A206)*($A$177:$A$222&lt;='Cálculos'!$F$294)*(($A206)-$A$177:$A$222&lt;='Cálculos'!$F$295)*(1+(('Cálculos'!$F$207+$A$177:$A$222*'Cálculos'!$F$95)-(('Cálculos'!$F$207+$A$177:$A$222*'Cálculos'!$F$95)&gt;1)*(('Cálculos'!$F$207+$A$177:$A$222*'Cálculos'!$F$95)-1))*('Cálculos'!$F$208+(($A206)-$A$177:$A$222)*'Cálculos'!$F$96))))</f>
        <v>3.04022</v>
      </c>
      <c r="C206" s="2">
        <f>'Cálculos'!$F$303-$A206</f>
        <v>-11</v>
      </c>
      <c r="D206" s="31">
        <f>IF($C206&lt;0,0,SUMPRODUCT(MAX(($A$177:$A$222&lt;=$C206)*($A$177:$A$222&lt;='Cálculos'!$F$301)*(($C206)-$A$177:$A$222&lt;='Cálculos'!$F$297)*(('Cálculos'!$F$185*(1+'Cálculos'!$F$186+$A$177:$A$222*('Cálculos'!$F$290=1)*'Cálculos'!$F$97+'Cálculos'!$F$305)+'Cálculos'!$F$191)*('Cálculos'!$F$209+'Cálculos'!$F$124*(1+2.78*('Cálculos'!$F$196+(($C206)-$A$177:$A$222)*'Cálculos'!$F$98)/(('Cálculos'!$F$196+(($C206)-$A$177:$A$222)*'Cálculos'!$F$98)+1400)+'Cálculos'!$F$122)*'Cálculos'!$F$214+'Cálculos'!$F$125*(1+2.78*('Cálculos'!$F$196+(($C206)-$A$177:$A$222)*'Cálculos'!$F$98)/(('Cálculos'!$F$196+(($C206)-$A$177:$A$222)*'Cálculos'!$F$98)+1400)+'Cálculos'!$F$123)*'Cálculos'!$F$219)+('Cálculos'!$F$196+(($C206)-$A$177:$A$222)*'Cálculos'!$F$98)*('Cálculos'!$F$210+'Cálculos'!$F$124*(1+2.78*('Cálculos'!$F$196+(($C206)-$A$177:$A$222)*'Cálculos'!$F$98)/(('Cálculos'!$F$196+(($C206)-$A$177:$A$222)*'Cálculos'!$F$98)+1400)+'Cálculos'!$F$122)*'Cálculos'!$F$215+'Cálculos'!$F$125*(1+2.78*('Cálculos'!$F$196+(($C206)-$A$177:$A$222)*'Cálculos'!$F$98)/(('Cálculos'!$F$196+(($C206)-$A$177:$A$222)*'Cálculos'!$F$98)+1400)+'Cálculos'!$F$123)*'Cálculos'!$F$220)+('Cálculos'!$F$201*(1+'Cálculos'!$F$202+$A$177:$A$222*('Cálculos'!$F$290=2)*'Cálculos'!$F$101)+'Cálculos'!$F$203)*('Cálculos'!$F$211+'Cálculos'!$F$124*(1+2.78*('Cálculos'!$F$196+(($C206)-$A$177:$A$222)*'Cálculos'!$F$98)/(('Cálculos'!$F$196+(($C206)-$A$177:$A$222)*'Cálculos'!$F$98)+1400)+'Cálculos'!$F$122)*'Cálculos'!$F$216+'Cálculos'!$F$125*(1+2.78*('Cálculos'!$F$196+(($C206)-$A$177:$A$222)*'Cálculos'!$F$98)/(('Cálculos'!$F$196+(($C206)-$A$177:$A$222)*'Cálculos'!$F$98)+1400)+'Cálculos'!$F$123)*'Cálculos'!$F$221)+('Cálculos'!$F$204*(1+'Cálculos'!$F$205+$A$177:$A$222*('Cálculos'!$F$290=3)*'Cálculos'!$F$103)+'Cálculos'!$F$206)*('Cálculos'!$F$212+'Cálculos'!$F$124*(1+2.78*('Cálculos'!$F$196+(($C206)-$A$177:$A$222)*'Cálculos'!$F$98)/(('Cálculos'!$F$196+(($C206)-$A$177:$A$222)*'Cálculos'!$F$98)+1400)+'Cálculos'!$F$122)*'Cálculos'!$F$217+'Cálculos'!$F$125*(1+2.78*('Cálculos'!$F$196+(($C206)-$A$177:$A$222)*'Cálculos'!$F$98)/(('Cálculos'!$F$196+(($C206)-$A$177:$A$222)*'Cálculos'!$F$98)+1400)+'Cálculos'!$F$123)*'Cálculos'!$F$222)+('Cálculos'!$F$213+'Cálculos'!$F$124*(1+2.78*('Cálculos'!$F$196+(($C206)-$A$177:$A$222)*'Cálculos'!$F$98)/(('Cálculos'!$F$196+(($C206)-$A$177:$A$222)*'Cálculos'!$F$98)+1400)+'Cálculos'!$F$122)*'Cálculos'!$F$218+'Cálculos'!$F$125*(1+2.78*('Cálculos'!$F$196+(($C206)-$A$177:$A$222)*'Cálculos'!$F$98)/(('Cálculos'!$F$196+(($C206)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206)-$A$177:$A$222)*'Cálculos'!$F$98)/(('Cálculos'!$F$197+(($C206)-$A$177:$A$222)*'Cálculos'!$F$98)+1400)+'Cálculos'!$F$122)*'Cálculos'!$F$229+'Cálculos'!$F$125*(1+2.78*('Cálculos'!$F$197+(($C206)-$A$177:$A$222)*'Cálculos'!$F$98)/(('Cálculos'!$F$197+(($C206)-$A$177:$A$222)*'Cálculos'!$F$98)+1400)+'Cálculos'!$F$123)*'Cálculos'!$F$234)+('Cálculos'!$F$197+(($C206)-$A$177:$A$222)*'Cálculos'!$F$98)*('Cálculos'!$F$225+'Cálculos'!$F$124*(1+2.78*('Cálculos'!$F$197+(($C206)-$A$177:$A$222)*'Cálculos'!$F$98)/(('Cálculos'!$F$197+(($C206)-$A$177:$A$222)*'Cálculos'!$F$98)+1400)+'Cálculos'!$F$122)*'Cálculos'!$F$230+'Cálculos'!$F$125*(1+2.78*('Cálculos'!$F$197+(($C206)-$A$177:$A$222)*'Cálculos'!$F$98)/(('Cálculos'!$F$197+(($C206)-$A$177:$A$222)*'Cálculos'!$F$98)+1400)+'Cálculos'!$F$123)*'Cálculos'!$F$235)+('Cálculos'!$F$201*(1+'Cálculos'!$F$202+$A$177:$A$222*('Cálculos'!$F$290=2)*'Cálculos'!$F$101)+'Cálculos'!$F$203)*('Cálculos'!$F$226+'Cálculos'!$F$124*(1+2.78*('Cálculos'!$F$197+(($C206)-$A$177:$A$222)*'Cálculos'!$F$98)/(('Cálculos'!$F$197+(($C206)-$A$177:$A$222)*'Cálculos'!$F$98)+1400)+'Cálculos'!$F$122)*'Cálculos'!$F$231+'Cálculos'!$F$125*(1+2.78*('Cálculos'!$F$197+(($C206)-$A$177:$A$222)*'Cálculos'!$F$98)/(('Cálculos'!$F$197+(($C206)-$A$177:$A$222)*'Cálculos'!$F$98)+1400)+'Cálculos'!$F$123)*'Cálculos'!$F$236)+('Cálculos'!$F$204*(1+'Cálculos'!$F$205+$A$177:$A$222*('Cálculos'!$F$290=3)*'Cálculos'!$F$103)+'Cálculos'!$F$206)*('Cálculos'!$F$227+'Cálculos'!$F$124*(1+2.78*('Cálculos'!$F$197+(($C206)-$A$177:$A$222)*'Cálculos'!$F$98)/(('Cálculos'!$F$197+(($C206)-$A$177:$A$222)*'Cálculos'!$F$98)+1400)+'Cálculos'!$F$122)*'Cálculos'!$F$232+'Cálculos'!$F$125*(1+2.78*('Cálculos'!$F$197+(($C206)-$A$177:$A$222)*'Cálculos'!$F$98)/(('Cálculos'!$F$197+(($C206)-$A$177:$A$222)*'Cálculos'!$F$98)+1400)+'Cálculos'!$F$123)*'Cálculos'!$F$237)+('Cálculos'!$F$228+'Cálculos'!$F$124*(1+2.78*('Cálculos'!$F$197+(($C206)-$A$177:$A$222)*'Cálculos'!$F$98)/(('Cálculos'!$F$197+(($C206)-$A$177:$A$222)*'Cálculos'!$F$98)+1400)+'Cálculos'!$F$122)*'Cálculos'!$F$233+'Cálculos'!$F$125*(1+2.78*('Cálculos'!$F$197+(($C206)-$A$177:$A$222)*'Cálculos'!$F$98)/(('Cálculos'!$F$197+(($C206)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206)-$A$177:$A$222)*'Cálculos'!$F$98)/(('Cálculos'!$F$198+(($C206)-$A$177:$A$222)*'Cálculos'!$F$98)+1400)+'Cálculos'!$F$122)*'Cálculos'!$F$244+'Cálculos'!$F$125*(1+2.78*('Cálculos'!$F$198+(($C206)-$A$177:$A$222)*'Cálculos'!$F$98)/(('Cálculos'!$F$198+(($C206)-$A$177:$A$222)*'Cálculos'!$F$98)+1400)+'Cálculos'!$F$123)*'Cálculos'!$F$249)+('Cálculos'!$F$198+(($C206)-$A$177:$A$222)*'Cálculos'!$F$98)*('Cálculos'!$F$240+'Cálculos'!$F$124*(1+2.78*('Cálculos'!$F$198+(($C206)-$A$177:$A$222)*'Cálculos'!$F$98)/(('Cálculos'!$F$198+(($C206)-$A$177:$A$222)*'Cálculos'!$F$98)+1400)+'Cálculos'!$F$122)*'Cálculos'!$F$245+'Cálculos'!$F$125*(1+2.78*('Cálculos'!$F$198+(($C206)-$A$177:$A$222)*'Cálculos'!$F$98)/(('Cálculos'!$F$198+(($C206)-$A$177:$A$222)*'Cálculos'!$F$98)+1400)+'Cálculos'!$F$123)*'Cálculos'!$F$250)+('Cálculos'!$F$201*(1+'Cálculos'!$F$202+$A$177:$A$222*('Cálculos'!$F$290=2)*'Cálculos'!$F$101)+'Cálculos'!$F$203)*('Cálculos'!$F$241+'Cálculos'!$F$124*(1+2.78*('Cálculos'!$F$198+(($C206)-$A$177:$A$222)*'Cálculos'!$F$98)/(('Cálculos'!$F$198+(($C206)-$A$177:$A$222)*'Cálculos'!$F$98)+1400)+'Cálculos'!$F$122)*'Cálculos'!$F$246+'Cálculos'!$F$125*(1+2.78*('Cálculos'!$F$198+(($C206)-$A$177:$A$222)*'Cálculos'!$F$98)/(('Cálculos'!$F$198+(($C206)-$A$177:$A$222)*'Cálculos'!$F$98)+1400)+'Cálculos'!$F$123)*'Cálculos'!$F$251)+('Cálculos'!$F$204*(1+'Cálculos'!$F$205+$A$177:$A$222*('Cálculos'!$F$290=3)*'Cálculos'!$F$103)+'Cálculos'!$F$206)*('Cálculos'!$F$242+'Cálculos'!$F$124*(1+2.78*('Cálculos'!$F$198+(($C206)-$A$177:$A$222)*'Cálculos'!$F$98)/(('Cálculos'!$F$198+(($C206)-$A$177:$A$222)*'Cálculos'!$F$98)+1400)+'Cálculos'!$F$122)*'Cálculos'!$F$247+'Cálculos'!$F$125*(1+2.78*('Cálculos'!$F$198+(($C206)-$A$177:$A$222)*'Cálculos'!$F$98)/(('Cálculos'!$F$198+(($C206)-$A$177:$A$222)*'Cálculos'!$F$98)+1400)+'Cálculos'!$F$123)*'Cálculos'!$F$252)+('Cálculos'!$F$243+'Cálculos'!$F$124*(1+2.78*('Cálculos'!$F$198+(($C206)-$A$177:$A$222)*'Cálculos'!$F$98)/(('Cálculos'!$F$198+(($C206)-$A$177:$A$222)*'Cálculos'!$F$98)+1400)+'Cálculos'!$F$122)*'Cálculos'!$F$248+'Cálculos'!$F$125*(1+2.78*('Cálculos'!$F$198+(($C206)-$A$177:$A$222)*'Cálculos'!$F$98)/(('Cálculos'!$F$198+(($C206)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206)-$A$177:$A$222)*'Cálculos'!$F$98)/(('Cálculos'!$F$199+(($C206)-$A$177:$A$222)*'Cálculos'!$F$98)+1400)+'Cálculos'!$F$122)*'Cálculos'!$F$259+'Cálculos'!$F$125*(1+2.78*('Cálculos'!$F$199+(($C206)-$A$177:$A$222)*'Cálculos'!$F$98)/(('Cálculos'!$F$199+(($C206)-$A$177:$A$222)*'Cálculos'!$F$98)+1400)+'Cálculos'!$F$123)*'Cálculos'!$F$264)+('Cálculos'!$F$199+(($C206)-$A$177:$A$222)*'Cálculos'!$F$98)*('Cálculos'!$F$255+'Cálculos'!$F$124*(1+2.78*('Cálculos'!$F$199+(($C206)-$A$177:$A$222)*'Cálculos'!$F$98)/(('Cálculos'!$F$199+(($C206)-$A$177:$A$222)*'Cálculos'!$F$98)+1400)+'Cálculos'!$F$122)*'Cálculos'!$F$260+'Cálculos'!$F$125*(1+2.78*('Cálculos'!$F$199+(($C206)-$A$177:$A$222)*'Cálculos'!$F$98)/(('Cálculos'!$F$199+(($C206)-$A$177:$A$222)*'Cálculos'!$F$98)+1400)+'Cálculos'!$F$123)*'Cálculos'!$F$265)+('Cálculos'!$F$201*(1+'Cálculos'!$F$202+$A$177:$A$222*('Cálculos'!$F$290=2)*'Cálculos'!$F$101)+'Cálculos'!$F$203)*('Cálculos'!$F$256+'Cálculos'!$F$124*(1+2.78*('Cálculos'!$F$199+(($C206)-$A$177:$A$222)*'Cálculos'!$F$98)/(('Cálculos'!$F$199+(($C206)-$A$177:$A$222)*'Cálculos'!$F$98)+1400)+'Cálculos'!$F$122)*'Cálculos'!$F$261+'Cálculos'!$F$125*(1+2.78*('Cálculos'!$F$199+(($C206)-$A$177:$A$222)*'Cálculos'!$F$98)/(('Cálculos'!$F$199+(($C206)-$A$177:$A$222)*'Cálculos'!$F$98)+1400)+'Cálculos'!$F$123)*'Cálculos'!$F$266)+('Cálculos'!$F$204*(1+'Cálculos'!$F$205+$A$177:$A$222*('Cálculos'!$F$290=3)*'Cálculos'!$F$103)+'Cálculos'!$F$206)*('Cálculos'!$F$257+'Cálculos'!$F$124*(1+2.78*('Cálculos'!$F$199+(($C206)-$A$177:$A$222)*'Cálculos'!$F$98)/(('Cálculos'!$F$199+(($C206)-$A$177:$A$222)*'Cálculos'!$F$98)+1400)+'Cálculos'!$F$122)*'Cálculos'!$F$262+'Cálculos'!$F$125*(1+2.78*('Cálculos'!$F$199+(($C206)-$A$177:$A$222)*'Cálculos'!$F$98)/(('Cálculos'!$F$199+(($C206)-$A$177:$A$222)*'Cálculos'!$F$98)+1400)+'Cálculos'!$F$123)*'Cálculos'!$F$267)+('Cálculos'!$F$258+'Cálculos'!$F$124*(1+2.78*('Cálculos'!$F$199+(($C206)-$A$177:$A$222)*'Cálculos'!$F$98)/(('Cálculos'!$F$199+(($C206)-$A$177:$A$222)*'Cálculos'!$F$98)+1400)+'Cálculos'!$F$122)*'Cálculos'!$F$263+'Cálculos'!$F$125*(1+2.78*('Cálculos'!$F$199+(($C206)-$A$177:$A$222)*'Cálculos'!$F$98)/(('Cálculos'!$F$199+(($C206)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206)-$A$177:$A$222)*'Cálculos'!$F$98)/(('Cálculos'!$F$200+(($C206)-$A$177:$A$222)*'Cálculos'!$F$98)+1400)+'Cálculos'!$F$122)*'Cálculos'!$F$274+'Cálculos'!$F$125*(1+2.78*('Cálculos'!$F$200+(($C206)-$A$177:$A$222)*'Cálculos'!$F$98)/(('Cálculos'!$F$200+(($C206)-$A$177:$A$222)*'Cálculos'!$F$98)+1400)+'Cálculos'!$F$123)*'Cálculos'!$F$279)+('Cálculos'!$F$200+(($C206)-$A$177:$A$222)*'Cálculos'!$F$98)*('Cálculos'!$F$270+'Cálculos'!$F$124*(1+2.78*('Cálculos'!$F$200+(($C206)-$A$177:$A$222)*'Cálculos'!$F$98)/(('Cálculos'!$F$200+(($C206)-$A$177:$A$222)*'Cálculos'!$F$98)+1400)+'Cálculos'!$F$122)*'Cálculos'!$F$275+'Cálculos'!$F$125*(1+2.78*('Cálculos'!$F$200+(($C206)-$A$177:$A$222)*'Cálculos'!$F$98)/(('Cálculos'!$F$200+(($C206)-$A$177:$A$222)*'Cálculos'!$F$98)+1400)+'Cálculos'!$F$123)*'Cálculos'!$F$280)+('Cálculos'!$F$201*(1+'Cálculos'!$F$202+$A$177:$A$222*('Cálculos'!$F$290=2)*'Cálculos'!$F$101)+'Cálculos'!$F$203)*('Cálculos'!$F$271+'Cálculos'!$F$124*(1+2.78*('Cálculos'!$F$200+(($C206)-$A$177:$A$222)*'Cálculos'!$F$98)/(('Cálculos'!$F$200+(($C206)-$A$177:$A$222)*'Cálculos'!$F$98)+1400)+'Cálculos'!$F$122)*'Cálculos'!$F$276+'Cálculos'!$F$125*(1+2.78*('Cálculos'!$F$200+(($C206)-$A$177:$A$222)*'Cálculos'!$F$98)/(('Cálculos'!$F$200+(($C206)-$A$177:$A$222)*'Cálculos'!$F$98)+1400)+'Cálculos'!$F$123)*'Cálculos'!$F$281)+('Cálculos'!$F$204*(1+'Cálculos'!$F$205+$A$177:$A$222*('Cálculos'!$F$290=3)*'Cálculos'!$F$103)+'Cálculos'!$F$206)*('Cálculos'!$F$272+'Cálculos'!$F$124*(1+2.78*('Cálculos'!$F$200+(($C206)-$A$177:$A$222)*'Cálculos'!$F$98)/(('Cálculos'!$F$200+(($C206)-$A$177:$A$222)*'Cálculos'!$F$98)+1400)+'Cálculos'!$F$122)*'Cálculos'!$F$277+'Cálculos'!$F$125*(1+2.78*('Cálculos'!$F$200+(($C206)-$A$177:$A$222)*'Cálculos'!$F$98)/(('Cálculos'!$F$200+(($C206)-$A$177:$A$222)*'Cálculos'!$F$98)+1400)+'Cálculos'!$F$123)*'Cálculos'!$F$282)+('Cálculos'!$F$273+'Cálculos'!$F$124*(1+2.78*('Cálculos'!$F$200+(($C206)-$A$177:$A$222)*'Cálculos'!$F$98)/(('Cálculos'!$F$200+(($C206)-$A$177:$A$222)*'Cálculos'!$F$98)+1400)+'Cálculos'!$F$122)*'Cálculos'!$F$278+'Cálculos'!$F$125*(1+2.78*('Cálculos'!$F$200+(($C206)-$A$177:$A$222)*'Cálculos'!$F$98)/(('Cálculos'!$F$200+(($C206)-$A$177:$A$222)*'Cálculos'!$F$98)+1400)+'Cálculos'!$F$123)*'Cálculos'!$F$283)))))</f>
        <v>0</v>
      </c>
      <c r="E206" s="32">
        <f>IF(OR($C206&lt;0,'Cálculos'!$F$6=""),0,$B206*$D206)</f>
        <v>0</v>
      </c>
      <c r="F206" s="2"/>
      <c r="G206" s="30">
        <f>($A206&lt;=$B$224)*($A206&lt;='Cálculos'!$F$294)*(($B$224)-$A206&lt;='Cálculos'!$F$295)*(1+MIN(('Cálculos'!$F$207+$A206*'Cálculos'!$F$95),1)*('Cálculos'!$F$208+(($B$224)-$A206)*'Cálculos'!$F$96))</f>
        <v>0</v>
      </c>
      <c r="H206" s="31">
        <f>IF($B$225&lt;0,0,($A206&lt;=$B$225)*($A206&lt;='Cálculos'!$F$301)*(($B$225)-$A206&lt;='Cálculos'!$F$297)*(('Cálculos'!$F$185*(1+'Cálculos'!$F$186+$A206*('Cálculos'!$F$290=1)*'Cálculos'!$F$97+'Cálculos'!$F$305)+'Cálculos'!$F$191)*('Cálculos'!$F$209+'Cálculos'!$F$124*(1+2.78*('Cálculos'!$F$196+(($B$225)-$A206)*'Cálculos'!$F$98)/(('Cálculos'!$F$196+(($B$225)-$A206)*'Cálculos'!$F$98)+1400)+'Cálculos'!$F$122)*'Cálculos'!$F$214+'Cálculos'!$F$125*(1+2.78*('Cálculos'!$F$196+(($B$225)-$A206)*'Cálculos'!$F$98)/(('Cálculos'!$F$196+(($B$225)-$A206)*'Cálculos'!$F$98)+1400)+'Cálculos'!$F$123)*'Cálculos'!$F$219)+('Cálculos'!$F$196+(($B$225)-$A206)*'Cálculos'!$F$98)*('Cálculos'!$F$210+'Cálculos'!$F$124*(1+2.78*('Cálculos'!$F$196+(($B$225)-$A206)*'Cálculos'!$F$98)/(('Cálculos'!$F$196+(($B$225)-$A206)*'Cálculos'!$F$98)+1400)+'Cálculos'!$F$122)*'Cálculos'!$F$215+'Cálculos'!$F$125*(1+2.78*('Cálculos'!$F$196+(($B$225)-$A206)*'Cálculos'!$F$98)/(('Cálculos'!$F$196+(($B$225)-$A206)*'Cálculos'!$F$98)+1400)+'Cálculos'!$F$123)*'Cálculos'!$F$220)+('Cálculos'!$F$201*(1+'Cálculos'!$F$202+$A206*('Cálculos'!$F$290=2)*'Cálculos'!$F$101)+'Cálculos'!$F$203)*('Cálculos'!$F$211+'Cálculos'!$F$124*(1+2.78*('Cálculos'!$F$196+(($B$225)-$A206)*'Cálculos'!$F$98)/(('Cálculos'!$F$196+(($B$225)-$A206)*'Cálculos'!$F$98)+1400)+'Cálculos'!$F$122)*'Cálculos'!$F$216+'Cálculos'!$F$125*(1+2.78*('Cálculos'!$F$196+(($B$225)-$A206)*'Cálculos'!$F$98)/(('Cálculos'!$F$196+(($B$225)-$A206)*'Cálculos'!$F$98)+1400)+'Cálculos'!$F$123)*'Cálculos'!$F$221)+('Cálculos'!$F$204*(1+'Cálculos'!$F$205+$A206*('Cálculos'!$F$290=3)*'Cálculos'!$F$103)+'Cálculos'!$F$206)*('Cálculos'!$F$212+'Cálculos'!$F$124*(1+2.78*('Cálculos'!$F$196+(($B$225)-$A206)*'Cálculos'!$F$98)/(('Cálculos'!$F$196+(($B$225)-$A206)*'Cálculos'!$F$98)+1400)+'Cálculos'!$F$122)*'Cálculos'!$F$217+'Cálculos'!$F$125*(1+2.78*('Cálculos'!$F$196+(($B$225)-$A206)*'Cálculos'!$F$98)/(('Cálculos'!$F$196+(($B$225)-$A206)*'Cálculos'!$F$98)+1400)+'Cálculos'!$F$123)*'Cálculos'!$F$222)+('Cálculos'!$F$213+'Cálculos'!$F$124*(1+2.78*('Cálculos'!$F$196+(($B$225)-$A206)*'Cálculos'!$F$98)/(('Cálculos'!$F$196+(($B$225)-$A206)*'Cálculos'!$F$98)+1400)+'Cálculos'!$F$122)*'Cálculos'!$F$218+'Cálculos'!$F$125*(1+2.78*('Cálculos'!$F$196+(($B$225)-$A206)*'Cálculos'!$F$98)/(('Cálculos'!$F$196+(($B$225)-$A206)*'Cálculos'!$F$98)+1400)+'Cálculos'!$F$123)*'Cálculos'!$F$223)+('Cálculos'!$F$185*(1+'Cálculos'!$F$187+$A206*('Cálculos'!$F$290=1)*'Cálculos'!$F$97+'Cálculos'!$F$305)+'Cálculos'!$F$192)*('Cálculos'!$F$224+'Cálculos'!$F$124*(1+2.78*('Cálculos'!$F$197+(($B$225)-$A206)*'Cálculos'!$F$98)/(('Cálculos'!$F$197+(($B$225)-$A206)*'Cálculos'!$F$98)+1400)+'Cálculos'!$F$122)*'Cálculos'!$F$229+'Cálculos'!$F$125*(1+2.78*('Cálculos'!$F$197+(($B$225)-$A206)*'Cálculos'!$F$98)/(('Cálculos'!$F$197+(($B$225)-$A206)*'Cálculos'!$F$98)+1400)+'Cálculos'!$F$123)*'Cálculos'!$F$234)+('Cálculos'!$F$197+(($B$225)-$A206)*'Cálculos'!$F$98)*('Cálculos'!$F$225+'Cálculos'!$F$124*(1+2.78*('Cálculos'!$F$197+(($B$225)-$A206)*'Cálculos'!$F$98)/(('Cálculos'!$F$197+(($B$225)-$A206)*'Cálculos'!$F$98)+1400)+'Cálculos'!$F$122)*'Cálculos'!$F$230+'Cálculos'!$F$125*(1+2.78*('Cálculos'!$F$197+(($B$225)-$A206)*'Cálculos'!$F$98)/(('Cálculos'!$F$197+(($B$225)-$A206)*'Cálculos'!$F$98)+1400)+'Cálculos'!$F$123)*'Cálculos'!$F$235)+('Cálculos'!$F$201*(1+'Cálculos'!$F$202+$A206*('Cálculos'!$F$290=2)*'Cálculos'!$F$101)+'Cálculos'!$F$203)*('Cálculos'!$F$226+'Cálculos'!$F$124*(1+2.78*('Cálculos'!$F$197+(($B$225)-$A206)*'Cálculos'!$F$98)/(('Cálculos'!$F$197+(($B$225)-$A206)*'Cálculos'!$F$98)+1400)+'Cálculos'!$F$122)*'Cálculos'!$F$231+'Cálculos'!$F$125*(1+2.78*('Cálculos'!$F$197+(($B$225)-$A206)*'Cálculos'!$F$98)/(('Cálculos'!$F$197+(($B$225)-$A206)*'Cálculos'!$F$98)+1400)+'Cálculos'!$F$123)*'Cálculos'!$F$236)+('Cálculos'!$F$204*(1+'Cálculos'!$F$205+$A206*('Cálculos'!$F$290=3)*'Cálculos'!$F$103)+'Cálculos'!$F$206)*('Cálculos'!$F$227+'Cálculos'!$F$124*(1+2.78*('Cálculos'!$F$197+(($B$225)-$A206)*'Cálculos'!$F$98)/(('Cálculos'!$F$197+(($B$225)-$A206)*'Cálculos'!$F$98)+1400)+'Cálculos'!$F$122)*'Cálculos'!$F$232+'Cálculos'!$F$125*(1+2.78*('Cálculos'!$F$197+(($B$225)-$A206)*'Cálculos'!$F$98)/(('Cálculos'!$F$197+(($B$225)-$A206)*'Cálculos'!$F$98)+1400)+'Cálculos'!$F$123)*'Cálculos'!$F$237)+('Cálculos'!$F$228+'Cálculos'!$F$124*(1+2.78*('Cálculos'!$F$197+(($B$225)-$A206)*'Cálculos'!$F$98)/(('Cálculos'!$F$197+(($B$225)-$A206)*'Cálculos'!$F$98)+1400)+'Cálculos'!$F$122)*'Cálculos'!$F$233+'Cálculos'!$F$125*(1+2.78*('Cálculos'!$F$197+(($B$225)-$A206)*'Cálculos'!$F$98)/(('Cálculos'!$F$197+(($B$225)-$A206)*'Cálculos'!$F$98)+1400)+'Cálculos'!$F$123)*'Cálculos'!$F$238)+('Cálculos'!$F$185*(1+'Cálculos'!$F$188+$A206*('Cálculos'!$F$290=1)*'Cálculos'!$F$97+'Cálculos'!$F$305)+'Cálculos'!$F$193)*('Cálculos'!$F$239+'Cálculos'!$F$124*(1+2.78*('Cálculos'!$F$198+(($B$225)-$A206)*'Cálculos'!$F$98)/(('Cálculos'!$F$198+(($B$225)-$A206)*'Cálculos'!$F$98)+1400)+'Cálculos'!$F$122)*'Cálculos'!$F$244+'Cálculos'!$F$125*(1+2.78*('Cálculos'!$F$198+(($B$225)-$A206)*'Cálculos'!$F$98)/(('Cálculos'!$F$198+(($B$225)-$A206)*'Cálculos'!$F$98)+1400)+'Cálculos'!$F$123)*'Cálculos'!$F$249)+('Cálculos'!$F$198+(($B$225)-$A206)*'Cálculos'!$F$98)*('Cálculos'!$F$240+'Cálculos'!$F$124*(1+2.78*('Cálculos'!$F$198+(($B$225)-$A206)*'Cálculos'!$F$98)/(('Cálculos'!$F$198+(($B$225)-$A206)*'Cálculos'!$F$98)+1400)+'Cálculos'!$F$122)*'Cálculos'!$F$245+'Cálculos'!$F$125*(1+2.78*('Cálculos'!$F$198+(($B$225)-$A206)*'Cálculos'!$F$98)/(('Cálculos'!$F$198+(($B$225)-$A206)*'Cálculos'!$F$98)+1400)+'Cálculos'!$F$123)*'Cálculos'!$F$250)+('Cálculos'!$F$201*(1+'Cálculos'!$F$202+$A206*('Cálculos'!$F$290=2)*'Cálculos'!$F$101)+'Cálculos'!$F$203)*('Cálculos'!$F$241+'Cálculos'!$F$124*(1+2.78*('Cálculos'!$F$198+(($B$225)-$A206)*'Cálculos'!$F$98)/(('Cálculos'!$F$198+(($B$225)-$A206)*'Cálculos'!$F$98)+1400)+'Cálculos'!$F$122)*'Cálculos'!$F$246+'Cálculos'!$F$125*(1+2.78*('Cálculos'!$F$198+(($B$225)-$A206)*'Cálculos'!$F$98)/(('Cálculos'!$F$198+(($B$225)-$A206)*'Cálculos'!$F$98)+1400)+'Cálculos'!$F$123)*'Cálculos'!$F$251)+('Cálculos'!$F$204*(1+'Cálculos'!$F$205+$A206*('Cálculos'!$F$290=3)*'Cálculos'!$F$103)+'Cálculos'!$F$206)*('Cálculos'!$F$242+'Cálculos'!$F$124*(1+2.78*('Cálculos'!$F$198+(($B$225)-$A206)*'Cálculos'!$F$98)/(('Cálculos'!$F$198+(($B$225)-$A206)*'Cálculos'!$F$98)+1400)+'Cálculos'!$F$122)*'Cálculos'!$F$247+'Cálculos'!$F$125*(1+2.78*('Cálculos'!$F$198+(($B$225)-$A206)*'Cálculos'!$F$98)/(('Cálculos'!$F$198+(($B$225)-$A206)*'Cálculos'!$F$98)+1400)+'Cálculos'!$F$123)*'Cálculos'!$F$252)+('Cálculos'!$F$243+'Cálculos'!$F$124*(1+2.78*('Cálculos'!$F$198+(($B$225)-$A206)*'Cálculos'!$F$98)/(('Cálculos'!$F$198+(($B$225)-$A206)*'Cálculos'!$F$98)+1400)+'Cálculos'!$F$122)*'Cálculos'!$F$248+'Cálculos'!$F$125*(1+2.78*('Cálculos'!$F$198+(($B$225)-$A206)*'Cálculos'!$F$98)/(('Cálculos'!$F$198+(($B$225)-$A206)*'Cálculos'!$F$98)+1400)+'Cálculos'!$F$123)*'Cálculos'!$F$253)+('Cálculos'!$F$185*(1+'Cálculos'!$F$189+$A206*('Cálculos'!$F$290=1)*'Cálculos'!$F$97+'Cálculos'!$F$305)+'Cálculos'!$F$194)*('Cálculos'!$F$254+'Cálculos'!$F$124*(1+2.78*('Cálculos'!$F$199+(($B$225)-$A206)*'Cálculos'!$F$98)/(('Cálculos'!$F$199+(($B$225)-$A206)*'Cálculos'!$F$98)+1400)+'Cálculos'!$F$122)*'Cálculos'!$F$259+'Cálculos'!$F$125*(1+2.78*('Cálculos'!$F$199+(($B$225)-$A206)*'Cálculos'!$F$98)/(('Cálculos'!$F$199+(($B$225)-$A206)*'Cálculos'!$F$98)+1400)+'Cálculos'!$F$123)*'Cálculos'!$F$264)+('Cálculos'!$F$199+(($B$225)-$A206)*'Cálculos'!$F$98)*('Cálculos'!$F$255+'Cálculos'!$F$124*(1+2.78*('Cálculos'!$F$199+(($B$225)-$A206)*'Cálculos'!$F$98)/(('Cálculos'!$F$199+(($B$225)-$A206)*'Cálculos'!$F$98)+1400)+'Cálculos'!$F$122)*'Cálculos'!$F$260+'Cálculos'!$F$125*(1+2.78*('Cálculos'!$F$199+(($B$225)-$A206)*'Cálculos'!$F$98)/(('Cálculos'!$F$199+(($B$225)-$A206)*'Cálculos'!$F$98)+1400)+'Cálculos'!$F$123)*'Cálculos'!$F$265)+('Cálculos'!$F$201*(1+'Cálculos'!$F$202+$A206*('Cálculos'!$F$290=2)*'Cálculos'!$F$101)+'Cálculos'!$F$203)*('Cálculos'!$F$256+'Cálculos'!$F$124*(1+2.78*('Cálculos'!$F$199+(($B$225)-$A206)*'Cálculos'!$F$98)/(('Cálculos'!$F$199+(($B$225)-$A206)*'Cálculos'!$F$98)+1400)+'Cálculos'!$F$122)*'Cálculos'!$F$261+'Cálculos'!$F$125*(1+2.78*('Cálculos'!$F$199+(($B$225)-$A206)*'Cálculos'!$F$98)/(('Cálculos'!$F$199+(($B$225)-$A206)*'Cálculos'!$F$98)+1400)+'Cálculos'!$F$123)*'Cálculos'!$F$266)+('Cálculos'!$F$204*(1+'Cálculos'!$F$205+$A206*('Cálculos'!$F$290=3)*'Cálculos'!$F$103)+'Cálculos'!$F$206)*('Cálculos'!$F$257+'Cálculos'!$F$124*(1+2.78*('Cálculos'!$F$199+(($B$225)-$A206)*'Cálculos'!$F$98)/(('Cálculos'!$F$199+(($B$225)-$A206)*'Cálculos'!$F$98)+1400)+'Cálculos'!$F$122)*'Cálculos'!$F$262+'Cálculos'!$F$125*(1+2.78*('Cálculos'!$F$199+(($B$225)-$A206)*'Cálculos'!$F$98)/(('Cálculos'!$F$199+(($B$225)-$A206)*'Cálculos'!$F$98)+1400)+'Cálculos'!$F$123)*'Cálculos'!$F$267)+('Cálculos'!$F$258+'Cálculos'!$F$124*(1+2.78*('Cálculos'!$F$199+(($B$225)-$A206)*'Cálculos'!$F$98)/(('Cálculos'!$F$199+(($B$225)-$A206)*'Cálculos'!$F$98)+1400)+'Cálculos'!$F$122)*'Cálculos'!$F$263+'Cálculos'!$F$125*(1+2.78*('Cálculos'!$F$199+(($B$225)-$A206)*'Cálculos'!$F$98)/(('Cálculos'!$F$199+(($B$225)-$A206)*'Cálculos'!$F$98)+1400)+'Cálculos'!$F$123)*'Cálculos'!$F$268)+('Cálculos'!$F$185*(1+'Cálculos'!$F$190+$A206*('Cálculos'!$F$290=1)*'Cálculos'!$F$97+'Cálculos'!$F$305)+'Cálculos'!$F$195)*('Cálculos'!$F$269+'Cálculos'!$F$124*(1+2.78*('Cálculos'!$F$200+(($B$225)-$A206)*'Cálculos'!$F$98)/(('Cálculos'!$F$200+(($B$225)-$A206)*'Cálculos'!$F$98)+1400)+'Cálculos'!$F$122)*'Cálculos'!$F$274+'Cálculos'!$F$125*(1+2.78*('Cálculos'!$F$200+(($B$225)-$A206)*'Cálculos'!$F$98)/(('Cálculos'!$F$200+(($B$225)-$A206)*'Cálculos'!$F$98)+1400)+'Cálculos'!$F$123)*'Cálculos'!$F$279)+('Cálculos'!$F$200+(($B$225)-$A206)*'Cálculos'!$F$98)*('Cálculos'!$F$270+'Cálculos'!$F$124*(1+2.78*('Cálculos'!$F$200+(($B$225)-$A206)*'Cálculos'!$F$98)/(('Cálculos'!$F$200+(($B$225)-$A206)*'Cálculos'!$F$98)+1400)+'Cálculos'!$F$122)*'Cálculos'!$F$275+'Cálculos'!$F$125*(1+2.78*('Cálculos'!$F$200+(($B$225)-$A206)*'Cálculos'!$F$98)/(('Cálculos'!$F$200+(($B$225)-$A206)*'Cálculos'!$F$98)+1400)+'Cálculos'!$F$123)*'Cálculos'!$F$280)+('Cálculos'!$F$201*(1+'Cálculos'!$F$202+$A206*('Cálculos'!$F$290=2)*'Cálculos'!$F$101)+'Cálculos'!$F$203)*('Cálculos'!$F$271+'Cálculos'!$F$124*(1+2.78*('Cálculos'!$F$200+(($B$225)-$A206)*'Cálculos'!$F$98)/(('Cálculos'!$F$200+(($B$225)-$A206)*'Cálculos'!$F$98)+1400)+'Cálculos'!$F$122)*'Cálculos'!$F$276+'Cálculos'!$F$125*(1+2.78*('Cálculos'!$F$200+(($B$225)-$A206)*'Cálculos'!$F$98)/(('Cálculos'!$F$200+(($B$225)-$A206)*'Cálculos'!$F$98)+1400)+'Cálculos'!$F$123)*'Cálculos'!$F$281)+('Cálculos'!$F$204*(1+'Cálculos'!$F$205+$A206*('Cálculos'!$F$290=3)*'Cálculos'!$F$103)+'Cálculos'!$F$206)*('Cálculos'!$F$272+'Cálculos'!$F$124*(1+2.78*('Cálculos'!$F$200+(($B$225)-$A206)*'Cálculos'!$F$98)/(('Cálculos'!$F$200+(($B$225)-$A206)*'Cálculos'!$F$98)+1400)+'Cálculos'!$F$122)*'Cálculos'!$F$277+'Cálculos'!$F$125*(1+2.78*('Cálculos'!$F$200+(($B$225)-$A206)*'Cálculos'!$F$98)/(('Cálculos'!$F$200+(($B$225)-$A206)*'Cálculos'!$F$98)+1400)+'Cálculos'!$F$123)*'Cálculos'!$F$282)+('Cálculos'!$F$273+'Cálculos'!$F$124*(1+2.78*('Cálculos'!$F$200+(($B$225)-$A206)*'Cálculos'!$F$98)/(('Cálculos'!$F$200+(($B$225)-$A206)*'Cálculos'!$F$98)+1400)+'Cálculos'!$F$122)*'Cálculos'!$F$278+'Cálculos'!$F$125*(1+2.78*('Cálculos'!$F$200+(($B$225)-$A206)*'Cálculos'!$F$98)/(('Cálculos'!$F$200+(($B$225)-$A206)*'Cálculos'!$F$98)+1400)+'Cálculos'!$F$123)*'Cálculos'!$F$283)))</f>
        <v>0</v>
      </c>
    </row>
    <row r="207" ht="15.75" customHeight="1">
      <c r="A207" s="2">
        <v>30.0</v>
      </c>
      <c r="B207" s="30">
        <f>SUMPRODUCT(MAX(($A$177:$A$222&lt;=$A207)*($A$177:$A$222&lt;='Cálculos'!$F$294)*(($A207)-$A$177:$A$222&lt;='Cálculos'!$F$295)*(1+(('Cálculos'!$F$207+$A$177:$A$222*'Cálculos'!$F$95)-(('Cálculos'!$F$207+$A$177:$A$222*'Cálculos'!$F$95)&gt;1)*(('Cálculos'!$F$207+$A$177:$A$222*'Cálculos'!$F$95)-1))*('Cálculos'!$F$208+(($A207)-$A$177:$A$222)*'Cálculos'!$F$96))))</f>
        <v>3.105428</v>
      </c>
      <c r="C207" s="2">
        <f>'Cálculos'!$F$303-$A207</f>
        <v>-12</v>
      </c>
      <c r="D207" s="31">
        <f>IF($C207&lt;0,0,SUMPRODUCT(MAX(($A$177:$A$222&lt;=$C207)*($A$177:$A$222&lt;='Cálculos'!$F$301)*(($C207)-$A$177:$A$222&lt;='Cálculos'!$F$297)*(('Cálculos'!$F$185*(1+'Cálculos'!$F$186+$A$177:$A$222*('Cálculos'!$F$290=1)*'Cálculos'!$F$97+'Cálculos'!$F$305)+'Cálculos'!$F$191)*('Cálculos'!$F$209+'Cálculos'!$F$124*(1+2.78*('Cálculos'!$F$196+(($C207)-$A$177:$A$222)*'Cálculos'!$F$98)/(('Cálculos'!$F$196+(($C207)-$A$177:$A$222)*'Cálculos'!$F$98)+1400)+'Cálculos'!$F$122)*'Cálculos'!$F$214+'Cálculos'!$F$125*(1+2.78*('Cálculos'!$F$196+(($C207)-$A$177:$A$222)*'Cálculos'!$F$98)/(('Cálculos'!$F$196+(($C207)-$A$177:$A$222)*'Cálculos'!$F$98)+1400)+'Cálculos'!$F$123)*'Cálculos'!$F$219)+('Cálculos'!$F$196+(($C207)-$A$177:$A$222)*'Cálculos'!$F$98)*('Cálculos'!$F$210+'Cálculos'!$F$124*(1+2.78*('Cálculos'!$F$196+(($C207)-$A$177:$A$222)*'Cálculos'!$F$98)/(('Cálculos'!$F$196+(($C207)-$A$177:$A$222)*'Cálculos'!$F$98)+1400)+'Cálculos'!$F$122)*'Cálculos'!$F$215+'Cálculos'!$F$125*(1+2.78*('Cálculos'!$F$196+(($C207)-$A$177:$A$222)*'Cálculos'!$F$98)/(('Cálculos'!$F$196+(($C207)-$A$177:$A$222)*'Cálculos'!$F$98)+1400)+'Cálculos'!$F$123)*'Cálculos'!$F$220)+('Cálculos'!$F$201*(1+'Cálculos'!$F$202+$A$177:$A$222*('Cálculos'!$F$290=2)*'Cálculos'!$F$101)+'Cálculos'!$F$203)*('Cálculos'!$F$211+'Cálculos'!$F$124*(1+2.78*('Cálculos'!$F$196+(($C207)-$A$177:$A$222)*'Cálculos'!$F$98)/(('Cálculos'!$F$196+(($C207)-$A$177:$A$222)*'Cálculos'!$F$98)+1400)+'Cálculos'!$F$122)*'Cálculos'!$F$216+'Cálculos'!$F$125*(1+2.78*('Cálculos'!$F$196+(($C207)-$A$177:$A$222)*'Cálculos'!$F$98)/(('Cálculos'!$F$196+(($C207)-$A$177:$A$222)*'Cálculos'!$F$98)+1400)+'Cálculos'!$F$123)*'Cálculos'!$F$221)+('Cálculos'!$F$204*(1+'Cálculos'!$F$205+$A$177:$A$222*('Cálculos'!$F$290=3)*'Cálculos'!$F$103)+'Cálculos'!$F$206)*('Cálculos'!$F$212+'Cálculos'!$F$124*(1+2.78*('Cálculos'!$F$196+(($C207)-$A$177:$A$222)*'Cálculos'!$F$98)/(('Cálculos'!$F$196+(($C207)-$A$177:$A$222)*'Cálculos'!$F$98)+1400)+'Cálculos'!$F$122)*'Cálculos'!$F$217+'Cálculos'!$F$125*(1+2.78*('Cálculos'!$F$196+(($C207)-$A$177:$A$222)*'Cálculos'!$F$98)/(('Cálculos'!$F$196+(($C207)-$A$177:$A$222)*'Cálculos'!$F$98)+1400)+'Cálculos'!$F$123)*'Cálculos'!$F$222)+('Cálculos'!$F$213+'Cálculos'!$F$124*(1+2.78*('Cálculos'!$F$196+(($C207)-$A$177:$A$222)*'Cálculos'!$F$98)/(('Cálculos'!$F$196+(($C207)-$A$177:$A$222)*'Cálculos'!$F$98)+1400)+'Cálculos'!$F$122)*'Cálculos'!$F$218+'Cálculos'!$F$125*(1+2.78*('Cálculos'!$F$196+(($C207)-$A$177:$A$222)*'Cálculos'!$F$98)/(('Cálculos'!$F$196+(($C207)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207)-$A$177:$A$222)*'Cálculos'!$F$98)/(('Cálculos'!$F$197+(($C207)-$A$177:$A$222)*'Cálculos'!$F$98)+1400)+'Cálculos'!$F$122)*'Cálculos'!$F$229+'Cálculos'!$F$125*(1+2.78*('Cálculos'!$F$197+(($C207)-$A$177:$A$222)*'Cálculos'!$F$98)/(('Cálculos'!$F$197+(($C207)-$A$177:$A$222)*'Cálculos'!$F$98)+1400)+'Cálculos'!$F$123)*'Cálculos'!$F$234)+('Cálculos'!$F$197+(($C207)-$A$177:$A$222)*'Cálculos'!$F$98)*('Cálculos'!$F$225+'Cálculos'!$F$124*(1+2.78*('Cálculos'!$F$197+(($C207)-$A$177:$A$222)*'Cálculos'!$F$98)/(('Cálculos'!$F$197+(($C207)-$A$177:$A$222)*'Cálculos'!$F$98)+1400)+'Cálculos'!$F$122)*'Cálculos'!$F$230+'Cálculos'!$F$125*(1+2.78*('Cálculos'!$F$197+(($C207)-$A$177:$A$222)*'Cálculos'!$F$98)/(('Cálculos'!$F$197+(($C207)-$A$177:$A$222)*'Cálculos'!$F$98)+1400)+'Cálculos'!$F$123)*'Cálculos'!$F$235)+('Cálculos'!$F$201*(1+'Cálculos'!$F$202+$A$177:$A$222*('Cálculos'!$F$290=2)*'Cálculos'!$F$101)+'Cálculos'!$F$203)*('Cálculos'!$F$226+'Cálculos'!$F$124*(1+2.78*('Cálculos'!$F$197+(($C207)-$A$177:$A$222)*'Cálculos'!$F$98)/(('Cálculos'!$F$197+(($C207)-$A$177:$A$222)*'Cálculos'!$F$98)+1400)+'Cálculos'!$F$122)*'Cálculos'!$F$231+'Cálculos'!$F$125*(1+2.78*('Cálculos'!$F$197+(($C207)-$A$177:$A$222)*'Cálculos'!$F$98)/(('Cálculos'!$F$197+(($C207)-$A$177:$A$222)*'Cálculos'!$F$98)+1400)+'Cálculos'!$F$123)*'Cálculos'!$F$236)+('Cálculos'!$F$204*(1+'Cálculos'!$F$205+$A$177:$A$222*('Cálculos'!$F$290=3)*'Cálculos'!$F$103)+'Cálculos'!$F$206)*('Cálculos'!$F$227+'Cálculos'!$F$124*(1+2.78*('Cálculos'!$F$197+(($C207)-$A$177:$A$222)*'Cálculos'!$F$98)/(('Cálculos'!$F$197+(($C207)-$A$177:$A$222)*'Cálculos'!$F$98)+1400)+'Cálculos'!$F$122)*'Cálculos'!$F$232+'Cálculos'!$F$125*(1+2.78*('Cálculos'!$F$197+(($C207)-$A$177:$A$222)*'Cálculos'!$F$98)/(('Cálculos'!$F$197+(($C207)-$A$177:$A$222)*'Cálculos'!$F$98)+1400)+'Cálculos'!$F$123)*'Cálculos'!$F$237)+('Cálculos'!$F$228+'Cálculos'!$F$124*(1+2.78*('Cálculos'!$F$197+(($C207)-$A$177:$A$222)*'Cálculos'!$F$98)/(('Cálculos'!$F$197+(($C207)-$A$177:$A$222)*'Cálculos'!$F$98)+1400)+'Cálculos'!$F$122)*'Cálculos'!$F$233+'Cálculos'!$F$125*(1+2.78*('Cálculos'!$F$197+(($C207)-$A$177:$A$222)*'Cálculos'!$F$98)/(('Cálculos'!$F$197+(($C207)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207)-$A$177:$A$222)*'Cálculos'!$F$98)/(('Cálculos'!$F$198+(($C207)-$A$177:$A$222)*'Cálculos'!$F$98)+1400)+'Cálculos'!$F$122)*'Cálculos'!$F$244+'Cálculos'!$F$125*(1+2.78*('Cálculos'!$F$198+(($C207)-$A$177:$A$222)*'Cálculos'!$F$98)/(('Cálculos'!$F$198+(($C207)-$A$177:$A$222)*'Cálculos'!$F$98)+1400)+'Cálculos'!$F$123)*'Cálculos'!$F$249)+('Cálculos'!$F$198+(($C207)-$A$177:$A$222)*'Cálculos'!$F$98)*('Cálculos'!$F$240+'Cálculos'!$F$124*(1+2.78*('Cálculos'!$F$198+(($C207)-$A$177:$A$222)*'Cálculos'!$F$98)/(('Cálculos'!$F$198+(($C207)-$A$177:$A$222)*'Cálculos'!$F$98)+1400)+'Cálculos'!$F$122)*'Cálculos'!$F$245+'Cálculos'!$F$125*(1+2.78*('Cálculos'!$F$198+(($C207)-$A$177:$A$222)*'Cálculos'!$F$98)/(('Cálculos'!$F$198+(($C207)-$A$177:$A$222)*'Cálculos'!$F$98)+1400)+'Cálculos'!$F$123)*'Cálculos'!$F$250)+('Cálculos'!$F$201*(1+'Cálculos'!$F$202+$A$177:$A$222*('Cálculos'!$F$290=2)*'Cálculos'!$F$101)+'Cálculos'!$F$203)*('Cálculos'!$F$241+'Cálculos'!$F$124*(1+2.78*('Cálculos'!$F$198+(($C207)-$A$177:$A$222)*'Cálculos'!$F$98)/(('Cálculos'!$F$198+(($C207)-$A$177:$A$222)*'Cálculos'!$F$98)+1400)+'Cálculos'!$F$122)*'Cálculos'!$F$246+'Cálculos'!$F$125*(1+2.78*('Cálculos'!$F$198+(($C207)-$A$177:$A$222)*'Cálculos'!$F$98)/(('Cálculos'!$F$198+(($C207)-$A$177:$A$222)*'Cálculos'!$F$98)+1400)+'Cálculos'!$F$123)*'Cálculos'!$F$251)+('Cálculos'!$F$204*(1+'Cálculos'!$F$205+$A$177:$A$222*('Cálculos'!$F$290=3)*'Cálculos'!$F$103)+'Cálculos'!$F$206)*('Cálculos'!$F$242+'Cálculos'!$F$124*(1+2.78*('Cálculos'!$F$198+(($C207)-$A$177:$A$222)*'Cálculos'!$F$98)/(('Cálculos'!$F$198+(($C207)-$A$177:$A$222)*'Cálculos'!$F$98)+1400)+'Cálculos'!$F$122)*'Cálculos'!$F$247+'Cálculos'!$F$125*(1+2.78*('Cálculos'!$F$198+(($C207)-$A$177:$A$222)*'Cálculos'!$F$98)/(('Cálculos'!$F$198+(($C207)-$A$177:$A$222)*'Cálculos'!$F$98)+1400)+'Cálculos'!$F$123)*'Cálculos'!$F$252)+('Cálculos'!$F$243+'Cálculos'!$F$124*(1+2.78*('Cálculos'!$F$198+(($C207)-$A$177:$A$222)*'Cálculos'!$F$98)/(('Cálculos'!$F$198+(($C207)-$A$177:$A$222)*'Cálculos'!$F$98)+1400)+'Cálculos'!$F$122)*'Cálculos'!$F$248+'Cálculos'!$F$125*(1+2.78*('Cálculos'!$F$198+(($C207)-$A$177:$A$222)*'Cálculos'!$F$98)/(('Cálculos'!$F$198+(($C207)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207)-$A$177:$A$222)*'Cálculos'!$F$98)/(('Cálculos'!$F$199+(($C207)-$A$177:$A$222)*'Cálculos'!$F$98)+1400)+'Cálculos'!$F$122)*'Cálculos'!$F$259+'Cálculos'!$F$125*(1+2.78*('Cálculos'!$F$199+(($C207)-$A$177:$A$222)*'Cálculos'!$F$98)/(('Cálculos'!$F$199+(($C207)-$A$177:$A$222)*'Cálculos'!$F$98)+1400)+'Cálculos'!$F$123)*'Cálculos'!$F$264)+('Cálculos'!$F$199+(($C207)-$A$177:$A$222)*'Cálculos'!$F$98)*('Cálculos'!$F$255+'Cálculos'!$F$124*(1+2.78*('Cálculos'!$F$199+(($C207)-$A$177:$A$222)*'Cálculos'!$F$98)/(('Cálculos'!$F$199+(($C207)-$A$177:$A$222)*'Cálculos'!$F$98)+1400)+'Cálculos'!$F$122)*'Cálculos'!$F$260+'Cálculos'!$F$125*(1+2.78*('Cálculos'!$F$199+(($C207)-$A$177:$A$222)*'Cálculos'!$F$98)/(('Cálculos'!$F$199+(($C207)-$A$177:$A$222)*'Cálculos'!$F$98)+1400)+'Cálculos'!$F$123)*'Cálculos'!$F$265)+('Cálculos'!$F$201*(1+'Cálculos'!$F$202+$A$177:$A$222*('Cálculos'!$F$290=2)*'Cálculos'!$F$101)+'Cálculos'!$F$203)*('Cálculos'!$F$256+'Cálculos'!$F$124*(1+2.78*('Cálculos'!$F$199+(($C207)-$A$177:$A$222)*'Cálculos'!$F$98)/(('Cálculos'!$F$199+(($C207)-$A$177:$A$222)*'Cálculos'!$F$98)+1400)+'Cálculos'!$F$122)*'Cálculos'!$F$261+'Cálculos'!$F$125*(1+2.78*('Cálculos'!$F$199+(($C207)-$A$177:$A$222)*'Cálculos'!$F$98)/(('Cálculos'!$F$199+(($C207)-$A$177:$A$222)*'Cálculos'!$F$98)+1400)+'Cálculos'!$F$123)*'Cálculos'!$F$266)+('Cálculos'!$F$204*(1+'Cálculos'!$F$205+$A$177:$A$222*('Cálculos'!$F$290=3)*'Cálculos'!$F$103)+'Cálculos'!$F$206)*('Cálculos'!$F$257+'Cálculos'!$F$124*(1+2.78*('Cálculos'!$F$199+(($C207)-$A$177:$A$222)*'Cálculos'!$F$98)/(('Cálculos'!$F$199+(($C207)-$A$177:$A$222)*'Cálculos'!$F$98)+1400)+'Cálculos'!$F$122)*'Cálculos'!$F$262+'Cálculos'!$F$125*(1+2.78*('Cálculos'!$F$199+(($C207)-$A$177:$A$222)*'Cálculos'!$F$98)/(('Cálculos'!$F$199+(($C207)-$A$177:$A$222)*'Cálculos'!$F$98)+1400)+'Cálculos'!$F$123)*'Cálculos'!$F$267)+('Cálculos'!$F$258+'Cálculos'!$F$124*(1+2.78*('Cálculos'!$F$199+(($C207)-$A$177:$A$222)*'Cálculos'!$F$98)/(('Cálculos'!$F$199+(($C207)-$A$177:$A$222)*'Cálculos'!$F$98)+1400)+'Cálculos'!$F$122)*'Cálculos'!$F$263+'Cálculos'!$F$125*(1+2.78*('Cálculos'!$F$199+(($C207)-$A$177:$A$222)*'Cálculos'!$F$98)/(('Cálculos'!$F$199+(($C207)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207)-$A$177:$A$222)*'Cálculos'!$F$98)/(('Cálculos'!$F$200+(($C207)-$A$177:$A$222)*'Cálculos'!$F$98)+1400)+'Cálculos'!$F$122)*'Cálculos'!$F$274+'Cálculos'!$F$125*(1+2.78*('Cálculos'!$F$200+(($C207)-$A$177:$A$222)*'Cálculos'!$F$98)/(('Cálculos'!$F$200+(($C207)-$A$177:$A$222)*'Cálculos'!$F$98)+1400)+'Cálculos'!$F$123)*'Cálculos'!$F$279)+('Cálculos'!$F$200+(($C207)-$A$177:$A$222)*'Cálculos'!$F$98)*('Cálculos'!$F$270+'Cálculos'!$F$124*(1+2.78*('Cálculos'!$F$200+(($C207)-$A$177:$A$222)*'Cálculos'!$F$98)/(('Cálculos'!$F$200+(($C207)-$A$177:$A$222)*'Cálculos'!$F$98)+1400)+'Cálculos'!$F$122)*'Cálculos'!$F$275+'Cálculos'!$F$125*(1+2.78*('Cálculos'!$F$200+(($C207)-$A$177:$A$222)*'Cálculos'!$F$98)/(('Cálculos'!$F$200+(($C207)-$A$177:$A$222)*'Cálculos'!$F$98)+1400)+'Cálculos'!$F$123)*'Cálculos'!$F$280)+('Cálculos'!$F$201*(1+'Cálculos'!$F$202+$A$177:$A$222*('Cálculos'!$F$290=2)*'Cálculos'!$F$101)+'Cálculos'!$F$203)*('Cálculos'!$F$271+'Cálculos'!$F$124*(1+2.78*('Cálculos'!$F$200+(($C207)-$A$177:$A$222)*'Cálculos'!$F$98)/(('Cálculos'!$F$200+(($C207)-$A$177:$A$222)*'Cálculos'!$F$98)+1400)+'Cálculos'!$F$122)*'Cálculos'!$F$276+'Cálculos'!$F$125*(1+2.78*('Cálculos'!$F$200+(($C207)-$A$177:$A$222)*'Cálculos'!$F$98)/(('Cálculos'!$F$200+(($C207)-$A$177:$A$222)*'Cálculos'!$F$98)+1400)+'Cálculos'!$F$123)*'Cálculos'!$F$281)+('Cálculos'!$F$204*(1+'Cálculos'!$F$205+$A$177:$A$222*('Cálculos'!$F$290=3)*'Cálculos'!$F$103)+'Cálculos'!$F$206)*('Cálculos'!$F$272+'Cálculos'!$F$124*(1+2.78*('Cálculos'!$F$200+(($C207)-$A$177:$A$222)*'Cálculos'!$F$98)/(('Cálculos'!$F$200+(($C207)-$A$177:$A$222)*'Cálculos'!$F$98)+1400)+'Cálculos'!$F$122)*'Cálculos'!$F$277+'Cálculos'!$F$125*(1+2.78*('Cálculos'!$F$200+(($C207)-$A$177:$A$222)*'Cálculos'!$F$98)/(('Cálculos'!$F$200+(($C207)-$A$177:$A$222)*'Cálculos'!$F$98)+1400)+'Cálculos'!$F$123)*'Cálculos'!$F$282)+('Cálculos'!$F$273+'Cálculos'!$F$124*(1+2.78*('Cálculos'!$F$200+(($C207)-$A$177:$A$222)*'Cálculos'!$F$98)/(('Cálculos'!$F$200+(($C207)-$A$177:$A$222)*'Cálculos'!$F$98)+1400)+'Cálculos'!$F$122)*'Cálculos'!$F$278+'Cálculos'!$F$125*(1+2.78*('Cálculos'!$F$200+(($C207)-$A$177:$A$222)*'Cálculos'!$F$98)/(('Cálculos'!$F$200+(($C207)-$A$177:$A$222)*'Cálculos'!$F$98)+1400)+'Cálculos'!$F$123)*'Cálculos'!$F$283)))))</f>
        <v>0</v>
      </c>
      <c r="E207" s="32">
        <f>IF(OR($C207&lt;0,'Cálculos'!$F$6=""),0,$B207*$D207)</f>
        <v>0</v>
      </c>
      <c r="F207" s="2"/>
      <c r="G207" s="30">
        <f>($A207&lt;=$B$224)*($A207&lt;='Cálculos'!$F$294)*(($B$224)-$A207&lt;='Cálculos'!$F$295)*(1+MIN(('Cálculos'!$F$207+$A207*'Cálculos'!$F$95),1)*('Cálculos'!$F$208+(($B$224)-$A207)*'Cálculos'!$F$96))</f>
        <v>0</v>
      </c>
      <c r="H207" s="31">
        <f>IF($B$225&lt;0,0,($A207&lt;=$B$225)*($A207&lt;='Cálculos'!$F$301)*(($B$225)-$A207&lt;='Cálculos'!$F$297)*(('Cálculos'!$F$185*(1+'Cálculos'!$F$186+$A207*('Cálculos'!$F$290=1)*'Cálculos'!$F$97+'Cálculos'!$F$305)+'Cálculos'!$F$191)*('Cálculos'!$F$209+'Cálculos'!$F$124*(1+2.78*('Cálculos'!$F$196+(($B$225)-$A207)*'Cálculos'!$F$98)/(('Cálculos'!$F$196+(($B$225)-$A207)*'Cálculos'!$F$98)+1400)+'Cálculos'!$F$122)*'Cálculos'!$F$214+'Cálculos'!$F$125*(1+2.78*('Cálculos'!$F$196+(($B$225)-$A207)*'Cálculos'!$F$98)/(('Cálculos'!$F$196+(($B$225)-$A207)*'Cálculos'!$F$98)+1400)+'Cálculos'!$F$123)*'Cálculos'!$F$219)+('Cálculos'!$F$196+(($B$225)-$A207)*'Cálculos'!$F$98)*('Cálculos'!$F$210+'Cálculos'!$F$124*(1+2.78*('Cálculos'!$F$196+(($B$225)-$A207)*'Cálculos'!$F$98)/(('Cálculos'!$F$196+(($B$225)-$A207)*'Cálculos'!$F$98)+1400)+'Cálculos'!$F$122)*'Cálculos'!$F$215+'Cálculos'!$F$125*(1+2.78*('Cálculos'!$F$196+(($B$225)-$A207)*'Cálculos'!$F$98)/(('Cálculos'!$F$196+(($B$225)-$A207)*'Cálculos'!$F$98)+1400)+'Cálculos'!$F$123)*'Cálculos'!$F$220)+('Cálculos'!$F$201*(1+'Cálculos'!$F$202+$A207*('Cálculos'!$F$290=2)*'Cálculos'!$F$101)+'Cálculos'!$F$203)*('Cálculos'!$F$211+'Cálculos'!$F$124*(1+2.78*('Cálculos'!$F$196+(($B$225)-$A207)*'Cálculos'!$F$98)/(('Cálculos'!$F$196+(($B$225)-$A207)*'Cálculos'!$F$98)+1400)+'Cálculos'!$F$122)*'Cálculos'!$F$216+'Cálculos'!$F$125*(1+2.78*('Cálculos'!$F$196+(($B$225)-$A207)*'Cálculos'!$F$98)/(('Cálculos'!$F$196+(($B$225)-$A207)*'Cálculos'!$F$98)+1400)+'Cálculos'!$F$123)*'Cálculos'!$F$221)+('Cálculos'!$F$204*(1+'Cálculos'!$F$205+$A207*('Cálculos'!$F$290=3)*'Cálculos'!$F$103)+'Cálculos'!$F$206)*('Cálculos'!$F$212+'Cálculos'!$F$124*(1+2.78*('Cálculos'!$F$196+(($B$225)-$A207)*'Cálculos'!$F$98)/(('Cálculos'!$F$196+(($B$225)-$A207)*'Cálculos'!$F$98)+1400)+'Cálculos'!$F$122)*'Cálculos'!$F$217+'Cálculos'!$F$125*(1+2.78*('Cálculos'!$F$196+(($B$225)-$A207)*'Cálculos'!$F$98)/(('Cálculos'!$F$196+(($B$225)-$A207)*'Cálculos'!$F$98)+1400)+'Cálculos'!$F$123)*'Cálculos'!$F$222)+('Cálculos'!$F$213+'Cálculos'!$F$124*(1+2.78*('Cálculos'!$F$196+(($B$225)-$A207)*'Cálculos'!$F$98)/(('Cálculos'!$F$196+(($B$225)-$A207)*'Cálculos'!$F$98)+1400)+'Cálculos'!$F$122)*'Cálculos'!$F$218+'Cálculos'!$F$125*(1+2.78*('Cálculos'!$F$196+(($B$225)-$A207)*'Cálculos'!$F$98)/(('Cálculos'!$F$196+(($B$225)-$A207)*'Cálculos'!$F$98)+1400)+'Cálculos'!$F$123)*'Cálculos'!$F$223)+('Cálculos'!$F$185*(1+'Cálculos'!$F$187+$A207*('Cálculos'!$F$290=1)*'Cálculos'!$F$97+'Cálculos'!$F$305)+'Cálculos'!$F$192)*('Cálculos'!$F$224+'Cálculos'!$F$124*(1+2.78*('Cálculos'!$F$197+(($B$225)-$A207)*'Cálculos'!$F$98)/(('Cálculos'!$F$197+(($B$225)-$A207)*'Cálculos'!$F$98)+1400)+'Cálculos'!$F$122)*'Cálculos'!$F$229+'Cálculos'!$F$125*(1+2.78*('Cálculos'!$F$197+(($B$225)-$A207)*'Cálculos'!$F$98)/(('Cálculos'!$F$197+(($B$225)-$A207)*'Cálculos'!$F$98)+1400)+'Cálculos'!$F$123)*'Cálculos'!$F$234)+('Cálculos'!$F$197+(($B$225)-$A207)*'Cálculos'!$F$98)*('Cálculos'!$F$225+'Cálculos'!$F$124*(1+2.78*('Cálculos'!$F$197+(($B$225)-$A207)*'Cálculos'!$F$98)/(('Cálculos'!$F$197+(($B$225)-$A207)*'Cálculos'!$F$98)+1400)+'Cálculos'!$F$122)*'Cálculos'!$F$230+'Cálculos'!$F$125*(1+2.78*('Cálculos'!$F$197+(($B$225)-$A207)*'Cálculos'!$F$98)/(('Cálculos'!$F$197+(($B$225)-$A207)*'Cálculos'!$F$98)+1400)+'Cálculos'!$F$123)*'Cálculos'!$F$235)+('Cálculos'!$F$201*(1+'Cálculos'!$F$202+$A207*('Cálculos'!$F$290=2)*'Cálculos'!$F$101)+'Cálculos'!$F$203)*('Cálculos'!$F$226+'Cálculos'!$F$124*(1+2.78*('Cálculos'!$F$197+(($B$225)-$A207)*'Cálculos'!$F$98)/(('Cálculos'!$F$197+(($B$225)-$A207)*'Cálculos'!$F$98)+1400)+'Cálculos'!$F$122)*'Cálculos'!$F$231+'Cálculos'!$F$125*(1+2.78*('Cálculos'!$F$197+(($B$225)-$A207)*'Cálculos'!$F$98)/(('Cálculos'!$F$197+(($B$225)-$A207)*'Cálculos'!$F$98)+1400)+'Cálculos'!$F$123)*'Cálculos'!$F$236)+('Cálculos'!$F$204*(1+'Cálculos'!$F$205+$A207*('Cálculos'!$F$290=3)*'Cálculos'!$F$103)+'Cálculos'!$F$206)*('Cálculos'!$F$227+'Cálculos'!$F$124*(1+2.78*('Cálculos'!$F$197+(($B$225)-$A207)*'Cálculos'!$F$98)/(('Cálculos'!$F$197+(($B$225)-$A207)*'Cálculos'!$F$98)+1400)+'Cálculos'!$F$122)*'Cálculos'!$F$232+'Cálculos'!$F$125*(1+2.78*('Cálculos'!$F$197+(($B$225)-$A207)*'Cálculos'!$F$98)/(('Cálculos'!$F$197+(($B$225)-$A207)*'Cálculos'!$F$98)+1400)+'Cálculos'!$F$123)*'Cálculos'!$F$237)+('Cálculos'!$F$228+'Cálculos'!$F$124*(1+2.78*('Cálculos'!$F$197+(($B$225)-$A207)*'Cálculos'!$F$98)/(('Cálculos'!$F$197+(($B$225)-$A207)*'Cálculos'!$F$98)+1400)+'Cálculos'!$F$122)*'Cálculos'!$F$233+'Cálculos'!$F$125*(1+2.78*('Cálculos'!$F$197+(($B$225)-$A207)*'Cálculos'!$F$98)/(('Cálculos'!$F$197+(($B$225)-$A207)*'Cálculos'!$F$98)+1400)+'Cálculos'!$F$123)*'Cálculos'!$F$238)+('Cálculos'!$F$185*(1+'Cálculos'!$F$188+$A207*('Cálculos'!$F$290=1)*'Cálculos'!$F$97+'Cálculos'!$F$305)+'Cálculos'!$F$193)*('Cálculos'!$F$239+'Cálculos'!$F$124*(1+2.78*('Cálculos'!$F$198+(($B$225)-$A207)*'Cálculos'!$F$98)/(('Cálculos'!$F$198+(($B$225)-$A207)*'Cálculos'!$F$98)+1400)+'Cálculos'!$F$122)*'Cálculos'!$F$244+'Cálculos'!$F$125*(1+2.78*('Cálculos'!$F$198+(($B$225)-$A207)*'Cálculos'!$F$98)/(('Cálculos'!$F$198+(($B$225)-$A207)*'Cálculos'!$F$98)+1400)+'Cálculos'!$F$123)*'Cálculos'!$F$249)+('Cálculos'!$F$198+(($B$225)-$A207)*'Cálculos'!$F$98)*('Cálculos'!$F$240+'Cálculos'!$F$124*(1+2.78*('Cálculos'!$F$198+(($B$225)-$A207)*'Cálculos'!$F$98)/(('Cálculos'!$F$198+(($B$225)-$A207)*'Cálculos'!$F$98)+1400)+'Cálculos'!$F$122)*'Cálculos'!$F$245+'Cálculos'!$F$125*(1+2.78*('Cálculos'!$F$198+(($B$225)-$A207)*'Cálculos'!$F$98)/(('Cálculos'!$F$198+(($B$225)-$A207)*'Cálculos'!$F$98)+1400)+'Cálculos'!$F$123)*'Cálculos'!$F$250)+('Cálculos'!$F$201*(1+'Cálculos'!$F$202+$A207*('Cálculos'!$F$290=2)*'Cálculos'!$F$101)+'Cálculos'!$F$203)*('Cálculos'!$F$241+'Cálculos'!$F$124*(1+2.78*('Cálculos'!$F$198+(($B$225)-$A207)*'Cálculos'!$F$98)/(('Cálculos'!$F$198+(($B$225)-$A207)*'Cálculos'!$F$98)+1400)+'Cálculos'!$F$122)*'Cálculos'!$F$246+'Cálculos'!$F$125*(1+2.78*('Cálculos'!$F$198+(($B$225)-$A207)*'Cálculos'!$F$98)/(('Cálculos'!$F$198+(($B$225)-$A207)*'Cálculos'!$F$98)+1400)+'Cálculos'!$F$123)*'Cálculos'!$F$251)+('Cálculos'!$F$204*(1+'Cálculos'!$F$205+$A207*('Cálculos'!$F$290=3)*'Cálculos'!$F$103)+'Cálculos'!$F$206)*('Cálculos'!$F$242+'Cálculos'!$F$124*(1+2.78*('Cálculos'!$F$198+(($B$225)-$A207)*'Cálculos'!$F$98)/(('Cálculos'!$F$198+(($B$225)-$A207)*'Cálculos'!$F$98)+1400)+'Cálculos'!$F$122)*'Cálculos'!$F$247+'Cálculos'!$F$125*(1+2.78*('Cálculos'!$F$198+(($B$225)-$A207)*'Cálculos'!$F$98)/(('Cálculos'!$F$198+(($B$225)-$A207)*'Cálculos'!$F$98)+1400)+'Cálculos'!$F$123)*'Cálculos'!$F$252)+('Cálculos'!$F$243+'Cálculos'!$F$124*(1+2.78*('Cálculos'!$F$198+(($B$225)-$A207)*'Cálculos'!$F$98)/(('Cálculos'!$F$198+(($B$225)-$A207)*'Cálculos'!$F$98)+1400)+'Cálculos'!$F$122)*'Cálculos'!$F$248+'Cálculos'!$F$125*(1+2.78*('Cálculos'!$F$198+(($B$225)-$A207)*'Cálculos'!$F$98)/(('Cálculos'!$F$198+(($B$225)-$A207)*'Cálculos'!$F$98)+1400)+'Cálculos'!$F$123)*'Cálculos'!$F$253)+('Cálculos'!$F$185*(1+'Cálculos'!$F$189+$A207*('Cálculos'!$F$290=1)*'Cálculos'!$F$97+'Cálculos'!$F$305)+'Cálculos'!$F$194)*('Cálculos'!$F$254+'Cálculos'!$F$124*(1+2.78*('Cálculos'!$F$199+(($B$225)-$A207)*'Cálculos'!$F$98)/(('Cálculos'!$F$199+(($B$225)-$A207)*'Cálculos'!$F$98)+1400)+'Cálculos'!$F$122)*'Cálculos'!$F$259+'Cálculos'!$F$125*(1+2.78*('Cálculos'!$F$199+(($B$225)-$A207)*'Cálculos'!$F$98)/(('Cálculos'!$F$199+(($B$225)-$A207)*'Cálculos'!$F$98)+1400)+'Cálculos'!$F$123)*'Cálculos'!$F$264)+('Cálculos'!$F$199+(($B$225)-$A207)*'Cálculos'!$F$98)*('Cálculos'!$F$255+'Cálculos'!$F$124*(1+2.78*('Cálculos'!$F$199+(($B$225)-$A207)*'Cálculos'!$F$98)/(('Cálculos'!$F$199+(($B$225)-$A207)*'Cálculos'!$F$98)+1400)+'Cálculos'!$F$122)*'Cálculos'!$F$260+'Cálculos'!$F$125*(1+2.78*('Cálculos'!$F$199+(($B$225)-$A207)*'Cálculos'!$F$98)/(('Cálculos'!$F$199+(($B$225)-$A207)*'Cálculos'!$F$98)+1400)+'Cálculos'!$F$123)*'Cálculos'!$F$265)+('Cálculos'!$F$201*(1+'Cálculos'!$F$202+$A207*('Cálculos'!$F$290=2)*'Cálculos'!$F$101)+'Cálculos'!$F$203)*('Cálculos'!$F$256+'Cálculos'!$F$124*(1+2.78*('Cálculos'!$F$199+(($B$225)-$A207)*'Cálculos'!$F$98)/(('Cálculos'!$F$199+(($B$225)-$A207)*'Cálculos'!$F$98)+1400)+'Cálculos'!$F$122)*'Cálculos'!$F$261+'Cálculos'!$F$125*(1+2.78*('Cálculos'!$F$199+(($B$225)-$A207)*'Cálculos'!$F$98)/(('Cálculos'!$F$199+(($B$225)-$A207)*'Cálculos'!$F$98)+1400)+'Cálculos'!$F$123)*'Cálculos'!$F$266)+('Cálculos'!$F$204*(1+'Cálculos'!$F$205+$A207*('Cálculos'!$F$290=3)*'Cálculos'!$F$103)+'Cálculos'!$F$206)*('Cálculos'!$F$257+'Cálculos'!$F$124*(1+2.78*('Cálculos'!$F$199+(($B$225)-$A207)*'Cálculos'!$F$98)/(('Cálculos'!$F$199+(($B$225)-$A207)*'Cálculos'!$F$98)+1400)+'Cálculos'!$F$122)*'Cálculos'!$F$262+'Cálculos'!$F$125*(1+2.78*('Cálculos'!$F$199+(($B$225)-$A207)*'Cálculos'!$F$98)/(('Cálculos'!$F$199+(($B$225)-$A207)*'Cálculos'!$F$98)+1400)+'Cálculos'!$F$123)*'Cálculos'!$F$267)+('Cálculos'!$F$258+'Cálculos'!$F$124*(1+2.78*('Cálculos'!$F$199+(($B$225)-$A207)*'Cálculos'!$F$98)/(('Cálculos'!$F$199+(($B$225)-$A207)*'Cálculos'!$F$98)+1400)+'Cálculos'!$F$122)*'Cálculos'!$F$263+'Cálculos'!$F$125*(1+2.78*('Cálculos'!$F$199+(($B$225)-$A207)*'Cálculos'!$F$98)/(('Cálculos'!$F$199+(($B$225)-$A207)*'Cálculos'!$F$98)+1400)+'Cálculos'!$F$123)*'Cálculos'!$F$268)+('Cálculos'!$F$185*(1+'Cálculos'!$F$190+$A207*('Cálculos'!$F$290=1)*'Cálculos'!$F$97+'Cálculos'!$F$305)+'Cálculos'!$F$195)*('Cálculos'!$F$269+'Cálculos'!$F$124*(1+2.78*('Cálculos'!$F$200+(($B$225)-$A207)*'Cálculos'!$F$98)/(('Cálculos'!$F$200+(($B$225)-$A207)*'Cálculos'!$F$98)+1400)+'Cálculos'!$F$122)*'Cálculos'!$F$274+'Cálculos'!$F$125*(1+2.78*('Cálculos'!$F$200+(($B$225)-$A207)*'Cálculos'!$F$98)/(('Cálculos'!$F$200+(($B$225)-$A207)*'Cálculos'!$F$98)+1400)+'Cálculos'!$F$123)*'Cálculos'!$F$279)+('Cálculos'!$F$200+(($B$225)-$A207)*'Cálculos'!$F$98)*('Cálculos'!$F$270+'Cálculos'!$F$124*(1+2.78*('Cálculos'!$F$200+(($B$225)-$A207)*'Cálculos'!$F$98)/(('Cálculos'!$F$200+(($B$225)-$A207)*'Cálculos'!$F$98)+1400)+'Cálculos'!$F$122)*'Cálculos'!$F$275+'Cálculos'!$F$125*(1+2.78*('Cálculos'!$F$200+(($B$225)-$A207)*'Cálculos'!$F$98)/(('Cálculos'!$F$200+(($B$225)-$A207)*'Cálculos'!$F$98)+1400)+'Cálculos'!$F$123)*'Cálculos'!$F$280)+('Cálculos'!$F$201*(1+'Cálculos'!$F$202+$A207*('Cálculos'!$F$290=2)*'Cálculos'!$F$101)+'Cálculos'!$F$203)*('Cálculos'!$F$271+'Cálculos'!$F$124*(1+2.78*('Cálculos'!$F$200+(($B$225)-$A207)*'Cálculos'!$F$98)/(('Cálculos'!$F$200+(($B$225)-$A207)*'Cálculos'!$F$98)+1400)+'Cálculos'!$F$122)*'Cálculos'!$F$276+'Cálculos'!$F$125*(1+2.78*('Cálculos'!$F$200+(($B$225)-$A207)*'Cálculos'!$F$98)/(('Cálculos'!$F$200+(($B$225)-$A207)*'Cálculos'!$F$98)+1400)+'Cálculos'!$F$123)*'Cálculos'!$F$281)+('Cálculos'!$F$204*(1+'Cálculos'!$F$205+$A207*('Cálculos'!$F$290=3)*'Cálculos'!$F$103)+'Cálculos'!$F$206)*('Cálculos'!$F$272+'Cálculos'!$F$124*(1+2.78*('Cálculos'!$F$200+(($B$225)-$A207)*'Cálculos'!$F$98)/(('Cálculos'!$F$200+(($B$225)-$A207)*'Cálculos'!$F$98)+1400)+'Cálculos'!$F$122)*'Cálculos'!$F$277+'Cálculos'!$F$125*(1+2.78*('Cálculos'!$F$200+(($B$225)-$A207)*'Cálculos'!$F$98)/(('Cálculos'!$F$200+(($B$225)-$A207)*'Cálculos'!$F$98)+1400)+'Cálculos'!$F$123)*'Cálculos'!$F$282)+('Cálculos'!$F$273+'Cálculos'!$F$124*(1+2.78*('Cálculos'!$F$200+(($B$225)-$A207)*'Cálculos'!$F$98)/(('Cálculos'!$F$200+(($B$225)-$A207)*'Cálculos'!$F$98)+1400)+'Cálculos'!$F$122)*'Cálculos'!$F$278+'Cálculos'!$F$125*(1+2.78*('Cálculos'!$F$200+(($B$225)-$A207)*'Cálculos'!$F$98)/(('Cálculos'!$F$200+(($B$225)-$A207)*'Cálculos'!$F$98)+1400)+'Cálculos'!$F$123)*'Cálculos'!$F$283)))</f>
        <v>0</v>
      </c>
    </row>
    <row r="208" ht="15.75" customHeight="1">
      <c r="A208" s="2">
        <v>31.0</v>
      </c>
      <c r="B208" s="30">
        <f>SUMPRODUCT(MAX(($A$177:$A$222&lt;=$A208)*($A$177:$A$222&lt;='Cálculos'!$F$294)*(($A208)-$A$177:$A$222&lt;='Cálculos'!$F$295)*(1+(('Cálculos'!$F$207+$A$177:$A$222*'Cálculos'!$F$95)-(('Cálculos'!$F$207+$A$177:$A$222*'Cálculos'!$F$95)&gt;1)*(('Cálculos'!$F$207+$A$177:$A$222*'Cálculos'!$F$95)-1))*('Cálculos'!$F$208+(($A208)-$A$177:$A$222)*'Cálculos'!$F$96))))</f>
        <v>3.170636</v>
      </c>
      <c r="C208" s="2">
        <f>'Cálculos'!$F$303-$A208</f>
        <v>-13</v>
      </c>
      <c r="D208" s="31">
        <f>IF($C208&lt;0,0,SUMPRODUCT(MAX(($A$177:$A$222&lt;=$C208)*($A$177:$A$222&lt;='Cálculos'!$F$301)*(($C208)-$A$177:$A$222&lt;='Cálculos'!$F$297)*(('Cálculos'!$F$185*(1+'Cálculos'!$F$186+$A$177:$A$222*('Cálculos'!$F$290=1)*'Cálculos'!$F$97+'Cálculos'!$F$305)+'Cálculos'!$F$191)*('Cálculos'!$F$209+'Cálculos'!$F$124*(1+2.78*('Cálculos'!$F$196+(($C208)-$A$177:$A$222)*'Cálculos'!$F$98)/(('Cálculos'!$F$196+(($C208)-$A$177:$A$222)*'Cálculos'!$F$98)+1400)+'Cálculos'!$F$122)*'Cálculos'!$F$214+'Cálculos'!$F$125*(1+2.78*('Cálculos'!$F$196+(($C208)-$A$177:$A$222)*'Cálculos'!$F$98)/(('Cálculos'!$F$196+(($C208)-$A$177:$A$222)*'Cálculos'!$F$98)+1400)+'Cálculos'!$F$123)*'Cálculos'!$F$219)+('Cálculos'!$F$196+(($C208)-$A$177:$A$222)*'Cálculos'!$F$98)*('Cálculos'!$F$210+'Cálculos'!$F$124*(1+2.78*('Cálculos'!$F$196+(($C208)-$A$177:$A$222)*'Cálculos'!$F$98)/(('Cálculos'!$F$196+(($C208)-$A$177:$A$222)*'Cálculos'!$F$98)+1400)+'Cálculos'!$F$122)*'Cálculos'!$F$215+'Cálculos'!$F$125*(1+2.78*('Cálculos'!$F$196+(($C208)-$A$177:$A$222)*'Cálculos'!$F$98)/(('Cálculos'!$F$196+(($C208)-$A$177:$A$222)*'Cálculos'!$F$98)+1400)+'Cálculos'!$F$123)*'Cálculos'!$F$220)+('Cálculos'!$F$201*(1+'Cálculos'!$F$202+$A$177:$A$222*('Cálculos'!$F$290=2)*'Cálculos'!$F$101)+'Cálculos'!$F$203)*('Cálculos'!$F$211+'Cálculos'!$F$124*(1+2.78*('Cálculos'!$F$196+(($C208)-$A$177:$A$222)*'Cálculos'!$F$98)/(('Cálculos'!$F$196+(($C208)-$A$177:$A$222)*'Cálculos'!$F$98)+1400)+'Cálculos'!$F$122)*'Cálculos'!$F$216+'Cálculos'!$F$125*(1+2.78*('Cálculos'!$F$196+(($C208)-$A$177:$A$222)*'Cálculos'!$F$98)/(('Cálculos'!$F$196+(($C208)-$A$177:$A$222)*'Cálculos'!$F$98)+1400)+'Cálculos'!$F$123)*'Cálculos'!$F$221)+('Cálculos'!$F$204*(1+'Cálculos'!$F$205+$A$177:$A$222*('Cálculos'!$F$290=3)*'Cálculos'!$F$103)+'Cálculos'!$F$206)*('Cálculos'!$F$212+'Cálculos'!$F$124*(1+2.78*('Cálculos'!$F$196+(($C208)-$A$177:$A$222)*'Cálculos'!$F$98)/(('Cálculos'!$F$196+(($C208)-$A$177:$A$222)*'Cálculos'!$F$98)+1400)+'Cálculos'!$F$122)*'Cálculos'!$F$217+'Cálculos'!$F$125*(1+2.78*('Cálculos'!$F$196+(($C208)-$A$177:$A$222)*'Cálculos'!$F$98)/(('Cálculos'!$F$196+(($C208)-$A$177:$A$222)*'Cálculos'!$F$98)+1400)+'Cálculos'!$F$123)*'Cálculos'!$F$222)+('Cálculos'!$F$213+'Cálculos'!$F$124*(1+2.78*('Cálculos'!$F$196+(($C208)-$A$177:$A$222)*'Cálculos'!$F$98)/(('Cálculos'!$F$196+(($C208)-$A$177:$A$222)*'Cálculos'!$F$98)+1400)+'Cálculos'!$F$122)*'Cálculos'!$F$218+'Cálculos'!$F$125*(1+2.78*('Cálculos'!$F$196+(($C208)-$A$177:$A$222)*'Cálculos'!$F$98)/(('Cálculos'!$F$196+(($C208)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208)-$A$177:$A$222)*'Cálculos'!$F$98)/(('Cálculos'!$F$197+(($C208)-$A$177:$A$222)*'Cálculos'!$F$98)+1400)+'Cálculos'!$F$122)*'Cálculos'!$F$229+'Cálculos'!$F$125*(1+2.78*('Cálculos'!$F$197+(($C208)-$A$177:$A$222)*'Cálculos'!$F$98)/(('Cálculos'!$F$197+(($C208)-$A$177:$A$222)*'Cálculos'!$F$98)+1400)+'Cálculos'!$F$123)*'Cálculos'!$F$234)+('Cálculos'!$F$197+(($C208)-$A$177:$A$222)*'Cálculos'!$F$98)*('Cálculos'!$F$225+'Cálculos'!$F$124*(1+2.78*('Cálculos'!$F$197+(($C208)-$A$177:$A$222)*'Cálculos'!$F$98)/(('Cálculos'!$F$197+(($C208)-$A$177:$A$222)*'Cálculos'!$F$98)+1400)+'Cálculos'!$F$122)*'Cálculos'!$F$230+'Cálculos'!$F$125*(1+2.78*('Cálculos'!$F$197+(($C208)-$A$177:$A$222)*'Cálculos'!$F$98)/(('Cálculos'!$F$197+(($C208)-$A$177:$A$222)*'Cálculos'!$F$98)+1400)+'Cálculos'!$F$123)*'Cálculos'!$F$235)+('Cálculos'!$F$201*(1+'Cálculos'!$F$202+$A$177:$A$222*('Cálculos'!$F$290=2)*'Cálculos'!$F$101)+'Cálculos'!$F$203)*('Cálculos'!$F$226+'Cálculos'!$F$124*(1+2.78*('Cálculos'!$F$197+(($C208)-$A$177:$A$222)*'Cálculos'!$F$98)/(('Cálculos'!$F$197+(($C208)-$A$177:$A$222)*'Cálculos'!$F$98)+1400)+'Cálculos'!$F$122)*'Cálculos'!$F$231+'Cálculos'!$F$125*(1+2.78*('Cálculos'!$F$197+(($C208)-$A$177:$A$222)*'Cálculos'!$F$98)/(('Cálculos'!$F$197+(($C208)-$A$177:$A$222)*'Cálculos'!$F$98)+1400)+'Cálculos'!$F$123)*'Cálculos'!$F$236)+('Cálculos'!$F$204*(1+'Cálculos'!$F$205+$A$177:$A$222*('Cálculos'!$F$290=3)*'Cálculos'!$F$103)+'Cálculos'!$F$206)*('Cálculos'!$F$227+'Cálculos'!$F$124*(1+2.78*('Cálculos'!$F$197+(($C208)-$A$177:$A$222)*'Cálculos'!$F$98)/(('Cálculos'!$F$197+(($C208)-$A$177:$A$222)*'Cálculos'!$F$98)+1400)+'Cálculos'!$F$122)*'Cálculos'!$F$232+'Cálculos'!$F$125*(1+2.78*('Cálculos'!$F$197+(($C208)-$A$177:$A$222)*'Cálculos'!$F$98)/(('Cálculos'!$F$197+(($C208)-$A$177:$A$222)*'Cálculos'!$F$98)+1400)+'Cálculos'!$F$123)*'Cálculos'!$F$237)+('Cálculos'!$F$228+'Cálculos'!$F$124*(1+2.78*('Cálculos'!$F$197+(($C208)-$A$177:$A$222)*'Cálculos'!$F$98)/(('Cálculos'!$F$197+(($C208)-$A$177:$A$222)*'Cálculos'!$F$98)+1400)+'Cálculos'!$F$122)*'Cálculos'!$F$233+'Cálculos'!$F$125*(1+2.78*('Cálculos'!$F$197+(($C208)-$A$177:$A$222)*'Cálculos'!$F$98)/(('Cálculos'!$F$197+(($C208)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208)-$A$177:$A$222)*'Cálculos'!$F$98)/(('Cálculos'!$F$198+(($C208)-$A$177:$A$222)*'Cálculos'!$F$98)+1400)+'Cálculos'!$F$122)*'Cálculos'!$F$244+'Cálculos'!$F$125*(1+2.78*('Cálculos'!$F$198+(($C208)-$A$177:$A$222)*'Cálculos'!$F$98)/(('Cálculos'!$F$198+(($C208)-$A$177:$A$222)*'Cálculos'!$F$98)+1400)+'Cálculos'!$F$123)*'Cálculos'!$F$249)+('Cálculos'!$F$198+(($C208)-$A$177:$A$222)*'Cálculos'!$F$98)*('Cálculos'!$F$240+'Cálculos'!$F$124*(1+2.78*('Cálculos'!$F$198+(($C208)-$A$177:$A$222)*'Cálculos'!$F$98)/(('Cálculos'!$F$198+(($C208)-$A$177:$A$222)*'Cálculos'!$F$98)+1400)+'Cálculos'!$F$122)*'Cálculos'!$F$245+'Cálculos'!$F$125*(1+2.78*('Cálculos'!$F$198+(($C208)-$A$177:$A$222)*'Cálculos'!$F$98)/(('Cálculos'!$F$198+(($C208)-$A$177:$A$222)*'Cálculos'!$F$98)+1400)+'Cálculos'!$F$123)*'Cálculos'!$F$250)+('Cálculos'!$F$201*(1+'Cálculos'!$F$202+$A$177:$A$222*('Cálculos'!$F$290=2)*'Cálculos'!$F$101)+'Cálculos'!$F$203)*('Cálculos'!$F$241+'Cálculos'!$F$124*(1+2.78*('Cálculos'!$F$198+(($C208)-$A$177:$A$222)*'Cálculos'!$F$98)/(('Cálculos'!$F$198+(($C208)-$A$177:$A$222)*'Cálculos'!$F$98)+1400)+'Cálculos'!$F$122)*'Cálculos'!$F$246+'Cálculos'!$F$125*(1+2.78*('Cálculos'!$F$198+(($C208)-$A$177:$A$222)*'Cálculos'!$F$98)/(('Cálculos'!$F$198+(($C208)-$A$177:$A$222)*'Cálculos'!$F$98)+1400)+'Cálculos'!$F$123)*'Cálculos'!$F$251)+('Cálculos'!$F$204*(1+'Cálculos'!$F$205+$A$177:$A$222*('Cálculos'!$F$290=3)*'Cálculos'!$F$103)+'Cálculos'!$F$206)*('Cálculos'!$F$242+'Cálculos'!$F$124*(1+2.78*('Cálculos'!$F$198+(($C208)-$A$177:$A$222)*'Cálculos'!$F$98)/(('Cálculos'!$F$198+(($C208)-$A$177:$A$222)*'Cálculos'!$F$98)+1400)+'Cálculos'!$F$122)*'Cálculos'!$F$247+'Cálculos'!$F$125*(1+2.78*('Cálculos'!$F$198+(($C208)-$A$177:$A$222)*'Cálculos'!$F$98)/(('Cálculos'!$F$198+(($C208)-$A$177:$A$222)*'Cálculos'!$F$98)+1400)+'Cálculos'!$F$123)*'Cálculos'!$F$252)+('Cálculos'!$F$243+'Cálculos'!$F$124*(1+2.78*('Cálculos'!$F$198+(($C208)-$A$177:$A$222)*'Cálculos'!$F$98)/(('Cálculos'!$F$198+(($C208)-$A$177:$A$222)*'Cálculos'!$F$98)+1400)+'Cálculos'!$F$122)*'Cálculos'!$F$248+'Cálculos'!$F$125*(1+2.78*('Cálculos'!$F$198+(($C208)-$A$177:$A$222)*'Cálculos'!$F$98)/(('Cálculos'!$F$198+(($C208)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208)-$A$177:$A$222)*'Cálculos'!$F$98)/(('Cálculos'!$F$199+(($C208)-$A$177:$A$222)*'Cálculos'!$F$98)+1400)+'Cálculos'!$F$122)*'Cálculos'!$F$259+'Cálculos'!$F$125*(1+2.78*('Cálculos'!$F$199+(($C208)-$A$177:$A$222)*'Cálculos'!$F$98)/(('Cálculos'!$F$199+(($C208)-$A$177:$A$222)*'Cálculos'!$F$98)+1400)+'Cálculos'!$F$123)*'Cálculos'!$F$264)+('Cálculos'!$F$199+(($C208)-$A$177:$A$222)*'Cálculos'!$F$98)*('Cálculos'!$F$255+'Cálculos'!$F$124*(1+2.78*('Cálculos'!$F$199+(($C208)-$A$177:$A$222)*'Cálculos'!$F$98)/(('Cálculos'!$F$199+(($C208)-$A$177:$A$222)*'Cálculos'!$F$98)+1400)+'Cálculos'!$F$122)*'Cálculos'!$F$260+'Cálculos'!$F$125*(1+2.78*('Cálculos'!$F$199+(($C208)-$A$177:$A$222)*'Cálculos'!$F$98)/(('Cálculos'!$F$199+(($C208)-$A$177:$A$222)*'Cálculos'!$F$98)+1400)+'Cálculos'!$F$123)*'Cálculos'!$F$265)+('Cálculos'!$F$201*(1+'Cálculos'!$F$202+$A$177:$A$222*('Cálculos'!$F$290=2)*'Cálculos'!$F$101)+'Cálculos'!$F$203)*('Cálculos'!$F$256+'Cálculos'!$F$124*(1+2.78*('Cálculos'!$F$199+(($C208)-$A$177:$A$222)*'Cálculos'!$F$98)/(('Cálculos'!$F$199+(($C208)-$A$177:$A$222)*'Cálculos'!$F$98)+1400)+'Cálculos'!$F$122)*'Cálculos'!$F$261+'Cálculos'!$F$125*(1+2.78*('Cálculos'!$F$199+(($C208)-$A$177:$A$222)*'Cálculos'!$F$98)/(('Cálculos'!$F$199+(($C208)-$A$177:$A$222)*'Cálculos'!$F$98)+1400)+'Cálculos'!$F$123)*'Cálculos'!$F$266)+('Cálculos'!$F$204*(1+'Cálculos'!$F$205+$A$177:$A$222*('Cálculos'!$F$290=3)*'Cálculos'!$F$103)+'Cálculos'!$F$206)*('Cálculos'!$F$257+'Cálculos'!$F$124*(1+2.78*('Cálculos'!$F$199+(($C208)-$A$177:$A$222)*'Cálculos'!$F$98)/(('Cálculos'!$F$199+(($C208)-$A$177:$A$222)*'Cálculos'!$F$98)+1400)+'Cálculos'!$F$122)*'Cálculos'!$F$262+'Cálculos'!$F$125*(1+2.78*('Cálculos'!$F$199+(($C208)-$A$177:$A$222)*'Cálculos'!$F$98)/(('Cálculos'!$F$199+(($C208)-$A$177:$A$222)*'Cálculos'!$F$98)+1400)+'Cálculos'!$F$123)*'Cálculos'!$F$267)+('Cálculos'!$F$258+'Cálculos'!$F$124*(1+2.78*('Cálculos'!$F$199+(($C208)-$A$177:$A$222)*'Cálculos'!$F$98)/(('Cálculos'!$F$199+(($C208)-$A$177:$A$222)*'Cálculos'!$F$98)+1400)+'Cálculos'!$F$122)*'Cálculos'!$F$263+'Cálculos'!$F$125*(1+2.78*('Cálculos'!$F$199+(($C208)-$A$177:$A$222)*'Cálculos'!$F$98)/(('Cálculos'!$F$199+(($C208)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208)-$A$177:$A$222)*'Cálculos'!$F$98)/(('Cálculos'!$F$200+(($C208)-$A$177:$A$222)*'Cálculos'!$F$98)+1400)+'Cálculos'!$F$122)*'Cálculos'!$F$274+'Cálculos'!$F$125*(1+2.78*('Cálculos'!$F$200+(($C208)-$A$177:$A$222)*'Cálculos'!$F$98)/(('Cálculos'!$F$200+(($C208)-$A$177:$A$222)*'Cálculos'!$F$98)+1400)+'Cálculos'!$F$123)*'Cálculos'!$F$279)+('Cálculos'!$F$200+(($C208)-$A$177:$A$222)*'Cálculos'!$F$98)*('Cálculos'!$F$270+'Cálculos'!$F$124*(1+2.78*('Cálculos'!$F$200+(($C208)-$A$177:$A$222)*'Cálculos'!$F$98)/(('Cálculos'!$F$200+(($C208)-$A$177:$A$222)*'Cálculos'!$F$98)+1400)+'Cálculos'!$F$122)*'Cálculos'!$F$275+'Cálculos'!$F$125*(1+2.78*('Cálculos'!$F$200+(($C208)-$A$177:$A$222)*'Cálculos'!$F$98)/(('Cálculos'!$F$200+(($C208)-$A$177:$A$222)*'Cálculos'!$F$98)+1400)+'Cálculos'!$F$123)*'Cálculos'!$F$280)+('Cálculos'!$F$201*(1+'Cálculos'!$F$202+$A$177:$A$222*('Cálculos'!$F$290=2)*'Cálculos'!$F$101)+'Cálculos'!$F$203)*('Cálculos'!$F$271+'Cálculos'!$F$124*(1+2.78*('Cálculos'!$F$200+(($C208)-$A$177:$A$222)*'Cálculos'!$F$98)/(('Cálculos'!$F$200+(($C208)-$A$177:$A$222)*'Cálculos'!$F$98)+1400)+'Cálculos'!$F$122)*'Cálculos'!$F$276+'Cálculos'!$F$125*(1+2.78*('Cálculos'!$F$200+(($C208)-$A$177:$A$222)*'Cálculos'!$F$98)/(('Cálculos'!$F$200+(($C208)-$A$177:$A$222)*'Cálculos'!$F$98)+1400)+'Cálculos'!$F$123)*'Cálculos'!$F$281)+('Cálculos'!$F$204*(1+'Cálculos'!$F$205+$A$177:$A$222*('Cálculos'!$F$290=3)*'Cálculos'!$F$103)+'Cálculos'!$F$206)*('Cálculos'!$F$272+'Cálculos'!$F$124*(1+2.78*('Cálculos'!$F$200+(($C208)-$A$177:$A$222)*'Cálculos'!$F$98)/(('Cálculos'!$F$200+(($C208)-$A$177:$A$222)*'Cálculos'!$F$98)+1400)+'Cálculos'!$F$122)*'Cálculos'!$F$277+'Cálculos'!$F$125*(1+2.78*('Cálculos'!$F$200+(($C208)-$A$177:$A$222)*'Cálculos'!$F$98)/(('Cálculos'!$F$200+(($C208)-$A$177:$A$222)*'Cálculos'!$F$98)+1400)+'Cálculos'!$F$123)*'Cálculos'!$F$282)+('Cálculos'!$F$273+'Cálculos'!$F$124*(1+2.78*('Cálculos'!$F$200+(($C208)-$A$177:$A$222)*'Cálculos'!$F$98)/(('Cálculos'!$F$200+(($C208)-$A$177:$A$222)*'Cálculos'!$F$98)+1400)+'Cálculos'!$F$122)*'Cálculos'!$F$278+'Cálculos'!$F$125*(1+2.78*('Cálculos'!$F$200+(($C208)-$A$177:$A$222)*'Cálculos'!$F$98)/(('Cálculos'!$F$200+(($C208)-$A$177:$A$222)*'Cálculos'!$F$98)+1400)+'Cálculos'!$F$123)*'Cálculos'!$F$283)))))</f>
        <v>0</v>
      </c>
      <c r="E208" s="32">
        <f>IF(OR($C208&lt;0,'Cálculos'!$F$6=""),0,$B208*$D208)</f>
        <v>0</v>
      </c>
      <c r="F208" s="2"/>
      <c r="G208" s="30">
        <f>($A208&lt;=$B$224)*($A208&lt;='Cálculos'!$F$294)*(($B$224)-$A208&lt;='Cálculos'!$F$295)*(1+MIN(('Cálculos'!$F$207+$A208*'Cálculos'!$F$95),1)*('Cálculos'!$F$208+(($B$224)-$A208)*'Cálculos'!$F$96))</f>
        <v>0</v>
      </c>
      <c r="H208" s="31">
        <f>IF($B$225&lt;0,0,($A208&lt;=$B$225)*($A208&lt;='Cálculos'!$F$301)*(($B$225)-$A208&lt;='Cálculos'!$F$297)*(('Cálculos'!$F$185*(1+'Cálculos'!$F$186+$A208*('Cálculos'!$F$290=1)*'Cálculos'!$F$97+'Cálculos'!$F$305)+'Cálculos'!$F$191)*('Cálculos'!$F$209+'Cálculos'!$F$124*(1+2.78*('Cálculos'!$F$196+(($B$225)-$A208)*'Cálculos'!$F$98)/(('Cálculos'!$F$196+(($B$225)-$A208)*'Cálculos'!$F$98)+1400)+'Cálculos'!$F$122)*'Cálculos'!$F$214+'Cálculos'!$F$125*(1+2.78*('Cálculos'!$F$196+(($B$225)-$A208)*'Cálculos'!$F$98)/(('Cálculos'!$F$196+(($B$225)-$A208)*'Cálculos'!$F$98)+1400)+'Cálculos'!$F$123)*'Cálculos'!$F$219)+('Cálculos'!$F$196+(($B$225)-$A208)*'Cálculos'!$F$98)*('Cálculos'!$F$210+'Cálculos'!$F$124*(1+2.78*('Cálculos'!$F$196+(($B$225)-$A208)*'Cálculos'!$F$98)/(('Cálculos'!$F$196+(($B$225)-$A208)*'Cálculos'!$F$98)+1400)+'Cálculos'!$F$122)*'Cálculos'!$F$215+'Cálculos'!$F$125*(1+2.78*('Cálculos'!$F$196+(($B$225)-$A208)*'Cálculos'!$F$98)/(('Cálculos'!$F$196+(($B$225)-$A208)*'Cálculos'!$F$98)+1400)+'Cálculos'!$F$123)*'Cálculos'!$F$220)+('Cálculos'!$F$201*(1+'Cálculos'!$F$202+$A208*('Cálculos'!$F$290=2)*'Cálculos'!$F$101)+'Cálculos'!$F$203)*('Cálculos'!$F$211+'Cálculos'!$F$124*(1+2.78*('Cálculos'!$F$196+(($B$225)-$A208)*'Cálculos'!$F$98)/(('Cálculos'!$F$196+(($B$225)-$A208)*'Cálculos'!$F$98)+1400)+'Cálculos'!$F$122)*'Cálculos'!$F$216+'Cálculos'!$F$125*(1+2.78*('Cálculos'!$F$196+(($B$225)-$A208)*'Cálculos'!$F$98)/(('Cálculos'!$F$196+(($B$225)-$A208)*'Cálculos'!$F$98)+1400)+'Cálculos'!$F$123)*'Cálculos'!$F$221)+('Cálculos'!$F$204*(1+'Cálculos'!$F$205+$A208*('Cálculos'!$F$290=3)*'Cálculos'!$F$103)+'Cálculos'!$F$206)*('Cálculos'!$F$212+'Cálculos'!$F$124*(1+2.78*('Cálculos'!$F$196+(($B$225)-$A208)*'Cálculos'!$F$98)/(('Cálculos'!$F$196+(($B$225)-$A208)*'Cálculos'!$F$98)+1400)+'Cálculos'!$F$122)*'Cálculos'!$F$217+'Cálculos'!$F$125*(1+2.78*('Cálculos'!$F$196+(($B$225)-$A208)*'Cálculos'!$F$98)/(('Cálculos'!$F$196+(($B$225)-$A208)*'Cálculos'!$F$98)+1400)+'Cálculos'!$F$123)*'Cálculos'!$F$222)+('Cálculos'!$F$213+'Cálculos'!$F$124*(1+2.78*('Cálculos'!$F$196+(($B$225)-$A208)*'Cálculos'!$F$98)/(('Cálculos'!$F$196+(($B$225)-$A208)*'Cálculos'!$F$98)+1400)+'Cálculos'!$F$122)*'Cálculos'!$F$218+'Cálculos'!$F$125*(1+2.78*('Cálculos'!$F$196+(($B$225)-$A208)*'Cálculos'!$F$98)/(('Cálculos'!$F$196+(($B$225)-$A208)*'Cálculos'!$F$98)+1400)+'Cálculos'!$F$123)*'Cálculos'!$F$223)+('Cálculos'!$F$185*(1+'Cálculos'!$F$187+$A208*('Cálculos'!$F$290=1)*'Cálculos'!$F$97+'Cálculos'!$F$305)+'Cálculos'!$F$192)*('Cálculos'!$F$224+'Cálculos'!$F$124*(1+2.78*('Cálculos'!$F$197+(($B$225)-$A208)*'Cálculos'!$F$98)/(('Cálculos'!$F$197+(($B$225)-$A208)*'Cálculos'!$F$98)+1400)+'Cálculos'!$F$122)*'Cálculos'!$F$229+'Cálculos'!$F$125*(1+2.78*('Cálculos'!$F$197+(($B$225)-$A208)*'Cálculos'!$F$98)/(('Cálculos'!$F$197+(($B$225)-$A208)*'Cálculos'!$F$98)+1400)+'Cálculos'!$F$123)*'Cálculos'!$F$234)+('Cálculos'!$F$197+(($B$225)-$A208)*'Cálculos'!$F$98)*('Cálculos'!$F$225+'Cálculos'!$F$124*(1+2.78*('Cálculos'!$F$197+(($B$225)-$A208)*'Cálculos'!$F$98)/(('Cálculos'!$F$197+(($B$225)-$A208)*'Cálculos'!$F$98)+1400)+'Cálculos'!$F$122)*'Cálculos'!$F$230+'Cálculos'!$F$125*(1+2.78*('Cálculos'!$F$197+(($B$225)-$A208)*'Cálculos'!$F$98)/(('Cálculos'!$F$197+(($B$225)-$A208)*'Cálculos'!$F$98)+1400)+'Cálculos'!$F$123)*'Cálculos'!$F$235)+('Cálculos'!$F$201*(1+'Cálculos'!$F$202+$A208*('Cálculos'!$F$290=2)*'Cálculos'!$F$101)+'Cálculos'!$F$203)*('Cálculos'!$F$226+'Cálculos'!$F$124*(1+2.78*('Cálculos'!$F$197+(($B$225)-$A208)*'Cálculos'!$F$98)/(('Cálculos'!$F$197+(($B$225)-$A208)*'Cálculos'!$F$98)+1400)+'Cálculos'!$F$122)*'Cálculos'!$F$231+'Cálculos'!$F$125*(1+2.78*('Cálculos'!$F$197+(($B$225)-$A208)*'Cálculos'!$F$98)/(('Cálculos'!$F$197+(($B$225)-$A208)*'Cálculos'!$F$98)+1400)+'Cálculos'!$F$123)*'Cálculos'!$F$236)+('Cálculos'!$F$204*(1+'Cálculos'!$F$205+$A208*('Cálculos'!$F$290=3)*'Cálculos'!$F$103)+'Cálculos'!$F$206)*('Cálculos'!$F$227+'Cálculos'!$F$124*(1+2.78*('Cálculos'!$F$197+(($B$225)-$A208)*'Cálculos'!$F$98)/(('Cálculos'!$F$197+(($B$225)-$A208)*'Cálculos'!$F$98)+1400)+'Cálculos'!$F$122)*'Cálculos'!$F$232+'Cálculos'!$F$125*(1+2.78*('Cálculos'!$F$197+(($B$225)-$A208)*'Cálculos'!$F$98)/(('Cálculos'!$F$197+(($B$225)-$A208)*'Cálculos'!$F$98)+1400)+'Cálculos'!$F$123)*'Cálculos'!$F$237)+('Cálculos'!$F$228+'Cálculos'!$F$124*(1+2.78*('Cálculos'!$F$197+(($B$225)-$A208)*'Cálculos'!$F$98)/(('Cálculos'!$F$197+(($B$225)-$A208)*'Cálculos'!$F$98)+1400)+'Cálculos'!$F$122)*'Cálculos'!$F$233+'Cálculos'!$F$125*(1+2.78*('Cálculos'!$F$197+(($B$225)-$A208)*'Cálculos'!$F$98)/(('Cálculos'!$F$197+(($B$225)-$A208)*'Cálculos'!$F$98)+1400)+'Cálculos'!$F$123)*'Cálculos'!$F$238)+('Cálculos'!$F$185*(1+'Cálculos'!$F$188+$A208*('Cálculos'!$F$290=1)*'Cálculos'!$F$97+'Cálculos'!$F$305)+'Cálculos'!$F$193)*('Cálculos'!$F$239+'Cálculos'!$F$124*(1+2.78*('Cálculos'!$F$198+(($B$225)-$A208)*'Cálculos'!$F$98)/(('Cálculos'!$F$198+(($B$225)-$A208)*'Cálculos'!$F$98)+1400)+'Cálculos'!$F$122)*'Cálculos'!$F$244+'Cálculos'!$F$125*(1+2.78*('Cálculos'!$F$198+(($B$225)-$A208)*'Cálculos'!$F$98)/(('Cálculos'!$F$198+(($B$225)-$A208)*'Cálculos'!$F$98)+1400)+'Cálculos'!$F$123)*'Cálculos'!$F$249)+('Cálculos'!$F$198+(($B$225)-$A208)*'Cálculos'!$F$98)*('Cálculos'!$F$240+'Cálculos'!$F$124*(1+2.78*('Cálculos'!$F$198+(($B$225)-$A208)*'Cálculos'!$F$98)/(('Cálculos'!$F$198+(($B$225)-$A208)*'Cálculos'!$F$98)+1400)+'Cálculos'!$F$122)*'Cálculos'!$F$245+'Cálculos'!$F$125*(1+2.78*('Cálculos'!$F$198+(($B$225)-$A208)*'Cálculos'!$F$98)/(('Cálculos'!$F$198+(($B$225)-$A208)*'Cálculos'!$F$98)+1400)+'Cálculos'!$F$123)*'Cálculos'!$F$250)+('Cálculos'!$F$201*(1+'Cálculos'!$F$202+$A208*('Cálculos'!$F$290=2)*'Cálculos'!$F$101)+'Cálculos'!$F$203)*('Cálculos'!$F$241+'Cálculos'!$F$124*(1+2.78*('Cálculos'!$F$198+(($B$225)-$A208)*'Cálculos'!$F$98)/(('Cálculos'!$F$198+(($B$225)-$A208)*'Cálculos'!$F$98)+1400)+'Cálculos'!$F$122)*'Cálculos'!$F$246+'Cálculos'!$F$125*(1+2.78*('Cálculos'!$F$198+(($B$225)-$A208)*'Cálculos'!$F$98)/(('Cálculos'!$F$198+(($B$225)-$A208)*'Cálculos'!$F$98)+1400)+'Cálculos'!$F$123)*'Cálculos'!$F$251)+('Cálculos'!$F$204*(1+'Cálculos'!$F$205+$A208*('Cálculos'!$F$290=3)*'Cálculos'!$F$103)+'Cálculos'!$F$206)*('Cálculos'!$F$242+'Cálculos'!$F$124*(1+2.78*('Cálculos'!$F$198+(($B$225)-$A208)*'Cálculos'!$F$98)/(('Cálculos'!$F$198+(($B$225)-$A208)*'Cálculos'!$F$98)+1400)+'Cálculos'!$F$122)*'Cálculos'!$F$247+'Cálculos'!$F$125*(1+2.78*('Cálculos'!$F$198+(($B$225)-$A208)*'Cálculos'!$F$98)/(('Cálculos'!$F$198+(($B$225)-$A208)*'Cálculos'!$F$98)+1400)+'Cálculos'!$F$123)*'Cálculos'!$F$252)+('Cálculos'!$F$243+'Cálculos'!$F$124*(1+2.78*('Cálculos'!$F$198+(($B$225)-$A208)*'Cálculos'!$F$98)/(('Cálculos'!$F$198+(($B$225)-$A208)*'Cálculos'!$F$98)+1400)+'Cálculos'!$F$122)*'Cálculos'!$F$248+'Cálculos'!$F$125*(1+2.78*('Cálculos'!$F$198+(($B$225)-$A208)*'Cálculos'!$F$98)/(('Cálculos'!$F$198+(($B$225)-$A208)*'Cálculos'!$F$98)+1400)+'Cálculos'!$F$123)*'Cálculos'!$F$253)+('Cálculos'!$F$185*(1+'Cálculos'!$F$189+$A208*('Cálculos'!$F$290=1)*'Cálculos'!$F$97+'Cálculos'!$F$305)+'Cálculos'!$F$194)*('Cálculos'!$F$254+'Cálculos'!$F$124*(1+2.78*('Cálculos'!$F$199+(($B$225)-$A208)*'Cálculos'!$F$98)/(('Cálculos'!$F$199+(($B$225)-$A208)*'Cálculos'!$F$98)+1400)+'Cálculos'!$F$122)*'Cálculos'!$F$259+'Cálculos'!$F$125*(1+2.78*('Cálculos'!$F$199+(($B$225)-$A208)*'Cálculos'!$F$98)/(('Cálculos'!$F$199+(($B$225)-$A208)*'Cálculos'!$F$98)+1400)+'Cálculos'!$F$123)*'Cálculos'!$F$264)+('Cálculos'!$F$199+(($B$225)-$A208)*'Cálculos'!$F$98)*('Cálculos'!$F$255+'Cálculos'!$F$124*(1+2.78*('Cálculos'!$F$199+(($B$225)-$A208)*'Cálculos'!$F$98)/(('Cálculos'!$F$199+(($B$225)-$A208)*'Cálculos'!$F$98)+1400)+'Cálculos'!$F$122)*'Cálculos'!$F$260+'Cálculos'!$F$125*(1+2.78*('Cálculos'!$F$199+(($B$225)-$A208)*'Cálculos'!$F$98)/(('Cálculos'!$F$199+(($B$225)-$A208)*'Cálculos'!$F$98)+1400)+'Cálculos'!$F$123)*'Cálculos'!$F$265)+('Cálculos'!$F$201*(1+'Cálculos'!$F$202+$A208*('Cálculos'!$F$290=2)*'Cálculos'!$F$101)+'Cálculos'!$F$203)*('Cálculos'!$F$256+'Cálculos'!$F$124*(1+2.78*('Cálculos'!$F$199+(($B$225)-$A208)*'Cálculos'!$F$98)/(('Cálculos'!$F$199+(($B$225)-$A208)*'Cálculos'!$F$98)+1400)+'Cálculos'!$F$122)*'Cálculos'!$F$261+'Cálculos'!$F$125*(1+2.78*('Cálculos'!$F$199+(($B$225)-$A208)*'Cálculos'!$F$98)/(('Cálculos'!$F$199+(($B$225)-$A208)*'Cálculos'!$F$98)+1400)+'Cálculos'!$F$123)*'Cálculos'!$F$266)+('Cálculos'!$F$204*(1+'Cálculos'!$F$205+$A208*('Cálculos'!$F$290=3)*'Cálculos'!$F$103)+'Cálculos'!$F$206)*('Cálculos'!$F$257+'Cálculos'!$F$124*(1+2.78*('Cálculos'!$F$199+(($B$225)-$A208)*'Cálculos'!$F$98)/(('Cálculos'!$F$199+(($B$225)-$A208)*'Cálculos'!$F$98)+1400)+'Cálculos'!$F$122)*'Cálculos'!$F$262+'Cálculos'!$F$125*(1+2.78*('Cálculos'!$F$199+(($B$225)-$A208)*'Cálculos'!$F$98)/(('Cálculos'!$F$199+(($B$225)-$A208)*'Cálculos'!$F$98)+1400)+'Cálculos'!$F$123)*'Cálculos'!$F$267)+('Cálculos'!$F$258+'Cálculos'!$F$124*(1+2.78*('Cálculos'!$F$199+(($B$225)-$A208)*'Cálculos'!$F$98)/(('Cálculos'!$F$199+(($B$225)-$A208)*'Cálculos'!$F$98)+1400)+'Cálculos'!$F$122)*'Cálculos'!$F$263+'Cálculos'!$F$125*(1+2.78*('Cálculos'!$F$199+(($B$225)-$A208)*'Cálculos'!$F$98)/(('Cálculos'!$F$199+(($B$225)-$A208)*'Cálculos'!$F$98)+1400)+'Cálculos'!$F$123)*'Cálculos'!$F$268)+('Cálculos'!$F$185*(1+'Cálculos'!$F$190+$A208*('Cálculos'!$F$290=1)*'Cálculos'!$F$97+'Cálculos'!$F$305)+'Cálculos'!$F$195)*('Cálculos'!$F$269+'Cálculos'!$F$124*(1+2.78*('Cálculos'!$F$200+(($B$225)-$A208)*'Cálculos'!$F$98)/(('Cálculos'!$F$200+(($B$225)-$A208)*'Cálculos'!$F$98)+1400)+'Cálculos'!$F$122)*'Cálculos'!$F$274+'Cálculos'!$F$125*(1+2.78*('Cálculos'!$F$200+(($B$225)-$A208)*'Cálculos'!$F$98)/(('Cálculos'!$F$200+(($B$225)-$A208)*'Cálculos'!$F$98)+1400)+'Cálculos'!$F$123)*'Cálculos'!$F$279)+('Cálculos'!$F$200+(($B$225)-$A208)*'Cálculos'!$F$98)*('Cálculos'!$F$270+'Cálculos'!$F$124*(1+2.78*('Cálculos'!$F$200+(($B$225)-$A208)*'Cálculos'!$F$98)/(('Cálculos'!$F$200+(($B$225)-$A208)*'Cálculos'!$F$98)+1400)+'Cálculos'!$F$122)*'Cálculos'!$F$275+'Cálculos'!$F$125*(1+2.78*('Cálculos'!$F$200+(($B$225)-$A208)*'Cálculos'!$F$98)/(('Cálculos'!$F$200+(($B$225)-$A208)*'Cálculos'!$F$98)+1400)+'Cálculos'!$F$123)*'Cálculos'!$F$280)+('Cálculos'!$F$201*(1+'Cálculos'!$F$202+$A208*('Cálculos'!$F$290=2)*'Cálculos'!$F$101)+'Cálculos'!$F$203)*('Cálculos'!$F$271+'Cálculos'!$F$124*(1+2.78*('Cálculos'!$F$200+(($B$225)-$A208)*'Cálculos'!$F$98)/(('Cálculos'!$F$200+(($B$225)-$A208)*'Cálculos'!$F$98)+1400)+'Cálculos'!$F$122)*'Cálculos'!$F$276+'Cálculos'!$F$125*(1+2.78*('Cálculos'!$F$200+(($B$225)-$A208)*'Cálculos'!$F$98)/(('Cálculos'!$F$200+(($B$225)-$A208)*'Cálculos'!$F$98)+1400)+'Cálculos'!$F$123)*'Cálculos'!$F$281)+('Cálculos'!$F$204*(1+'Cálculos'!$F$205+$A208*('Cálculos'!$F$290=3)*'Cálculos'!$F$103)+'Cálculos'!$F$206)*('Cálculos'!$F$272+'Cálculos'!$F$124*(1+2.78*('Cálculos'!$F$200+(($B$225)-$A208)*'Cálculos'!$F$98)/(('Cálculos'!$F$200+(($B$225)-$A208)*'Cálculos'!$F$98)+1400)+'Cálculos'!$F$122)*'Cálculos'!$F$277+'Cálculos'!$F$125*(1+2.78*('Cálculos'!$F$200+(($B$225)-$A208)*'Cálculos'!$F$98)/(('Cálculos'!$F$200+(($B$225)-$A208)*'Cálculos'!$F$98)+1400)+'Cálculos'!$F$123)*'Cálculos'!$F$282)+('Cálculos'!$F$273+'Cálculos'!$F$124*(1+2.78*('Cálculos'!$F$200+(($B$225)-$A208)*'Cálculos'!$F$98)/(('Cálculos'!$F$200+(($B$225)-$A208)*'Cálculos'!$F$98)+1400)+'Cálculos'!$F$122)*'Cálculos'!$F$278+'Cálculos'!$F$125*(1+2.78*('Cálculos'!$F$200+(($B$225)-$A208)*'Cálculos'!$F$98)/(('Cálculos'!$F$200+(($B$225)-$A208)*'Cálculos'!$F$98)+1400)+'Cálculos'!$F$123)*'Cálculos'!$F$283)))</f>
        <v>0</v>
      </c>
    </row>
    <row r="209" ht="15.75" customHeight="1">
      <c r="A209" s="2">
        <v>32.0</v>
      </c>
      <c r="B209" s="30">
        <f>SUMPRODUCT(MAX(($A$177:$A$222&lt;=$A209)*($A$177:$A$222&lt;='Cálculos'!$F$294)*(($A209)-$A$177:$A$222&lt;='Cálculos'!$F$295)*(1+(('Cálculos'!$F$207+$A$177:$A$222*'Cálculos'!$F$95)-(('Cálculos'!$F$207+$A$177:$A$222*'Cálculos'!$F$95)&gt;1)*(('Cálculos'!$F$207+$A$177:$A$222*'Cálculos'!$F$95)-1))*('Cálculos'!$F$208+(($A209)-$A$177:$A$222)*'Cálculos'!$F$96))))</f>
        <v>3.235844</v>
      </c>
      <c r="C209" s="2">
        <f>'Cálculos'!$F$303-$A209</f>
        <v>-14</v>
      </c>
      <c r="D209" s="31">
        <f>IF($C209&lt;0,0,SUMPRODUCT(MAX(($A$177:$A$222&lt;=$C209)*($A$177:$A$222&lt;='Cálculos'!$F$301)*(($C209)-$A$177:$A$222&lt;='Cálculos'!$F$297)*(('Cálculos'!$F$185*(1+'Cálculos'!$F$186+$A$177:$A$222*('Cálculos'!$F$290=1)*'Cálculos'!$F$97+'Cálculos'!$F$305)+'Cálculos'!$F$191)*('Cálculos'!$F$209+'Cálculos'!$F$124*(1+2.78*('Cálculos'!$F$196+(($C209)-$A$177:$A$222)*'Cálculos'!$F$98)/(('Cálculos'!$F$196+(($C209)-$A$177:$A$222)*'Cálculos'!$F$98)+1400)+'Cálculos'!$F$122)*'Cálculos'!$F$214+'Cálculos'!$F$125*(1+2.78*('Cálculos'!$F$196+(($C209)-$A$177:$A$222)*'Cálculos'!$F$98)/(('Cálculos'!$F$196+(($C209)-$A$177:$A$222)*'Cálculos'!$F$98)+1400)+'Cálculos'!$F$123)*'Cálculos'!$F$219)+('Cálculos'!$F$196+(($C209)-$A$177:$A$222)*'Cálculos'!$F$98)*('Cálculos'!$F$210+'Cálculos'!$F$124*(1+2.78*('Cálculos'!$F$196+(($C209)-$A$177:$A$222)*'Cálculos'!$F$98)/(('Cálculos'!$F$196+(($C209)-$A$177:$A$222)*'Cálculos'!$F$98)+1400)+'Cálculos'!$F$122)*'Cálculos'!$F$215+'Cálculos'!$F$125*(1+2.78*('Cálculos'!$F$196+(($C209)-$A$177:$A$222)*'Cálculos'!$F$98)/(('Cálculos'!$F$196+(($C209)-$A$177:$A$222)*'Cálculos'!$F$98)+1400)+'Cálculos'!$F$123)*'Cálculos'!$F$220)+('Cálculos'!$F$201*(1+'Cálculos'!$F$202+$A$177:$A$222*('Cálculos'!$F$290=2)*'Cálculos'!$F$101)+'Cálculos'!$F$203)*('Cálculos'!$F$211+'Cálculos'!$F$124*(1+2.78*('Cálculos'!$F$196+(($C209)-$A$177:$A$222)*'Cálculos'!$F$98)/(('Cálculos'!$F$196+(($C209)-$A$177:$A$222)*'Cálculos'!$F$98)+1400)+'Cálculos'!$F$122)*'Cálculos'!$F$216+'Cálculos'!$F$125*(1+2.78*('Cálculos'!$F$196+(($C209)-$A$177:$A$222)*'Cálculos'!$F$98)/(('Cálculos'!$F$196+(($C209)-$A$177:$A$222)*'Cálculos'!$F$98)+1400)+'Cálculos'!$F$123)*'Cálculos'!$F$221)+('Cálculos'!$F$204*(1+'Cálculos'!$F$205+$A$177:$A$222*('Cálculos'!$F$290=3)*'Cálculos'!$F$103)+'Cálculos'!$F$206)*('Cálculos'!$F$212+'Cálculos'!$F$124*(1+2.78*('Cálculos'!$F$196+(($C209)-$A$177:$A$222)*'Cálculos'!$F$98)/(('Cálculos'!$F$196+(($C209)-$A$177:$A$222)*'Cálculos'!$F$98)+1400)+'Cálculos'!$F$122)*'Cálculos'!$F$217+'Cálculos'!$F$125*(1+2.78*('Cálculos'!$F$196+(($C209)-$A$177:$A$222)*'Cálculos'!$F$98)/(('Cálculos'!$F$196+(($C209)-$A$177:$A$222)*'Cálculos'!$F$98)+1400)+'Cálculos'!$F$123)*'Cálculos'!$F$222)+('Cálculos'!$F$213+'Cálculos'!$F$124*(1+2.78*('Cálculos'!$F$196+(($C209)-$A$177:$A$222)*'Cálculos'!$F$98)/(('Cálculos'!$F$196+(($C209)-$A$177:$A$222)*'Cálculos'!$F$98)+1400)+'Cálculos'!$F$122)*'Cálculos'!$F$218+'Cálculos'!$F$125*(1+2.78*('Cálculos'!$F$196+(($C209)-$A$177:$A$222)*'Cálculos'!$F$98)/(('Cálculos'!$F$196+(($C209)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209)-$A$177:$A$222)*'Cálculos'!$F$98)/(('Cálculos'!$F$197+(($C209)-$A$177:$A$222)*'Cálculos'!$F$98)+1400)+'Cálculos'!$F$122)*'Cálculos'!$F$229+'Cálculos'!$F$125*(1+2.78*('Cálculos'!$F$197+(($C209)-$A$177:$A$222)*'Cálculos'!$F$98)/(('Cálculos'!$F$197+(($C209)-$A$177:$A$222)*'Cálculos'!$F$98)+1400)+'Cálculos'!$F$123)*'Cálculos'!$F$234)+('Cálculos'!$F$197+(($C209)-$A$177:$A$222)*'Cálculos'!$F$98)*('Cálculos'!$F$225+'Cálculos'!$F$124*(1+2.78*('Cálculos'!$F$197+(($C209)-$A$177:$A$222)*'Cálculos'!$F$98)/(('Cálculos'!$F$197+(($C209)-$A$177:$A$222)*'Cálculos'!$F$98)+1400)+'Cálculos'!$F$122)*'Cálculos'!$F$230+'Cálculos'!$F$125*(1+2.78*('Cálculos'!$F$197+(($C209)-$A$177:$A$222)*'Cálculos'!$F$98)/(('Cálculos'!$F$197+(($C209)-$A$177:$A$222)*'Cálculos'!$F$98)+1400)+'Cálculos'!$F$123)*'Cálculos'!$F$235)+('Cálculos'!$F$201*(1+'Cálculos'!$F$202+$A$177:$A$222*('Cálculos'!$F$290=2)*'Cálculos'!$F$101)+'Cálculos'!$F$203)*('Cálculos'!$F$226+'Cálculos'!$F$124*(1+2.78*('Cálculos'!$F$197+(($C209)-$A$177:$A$222)*'Cálculos'!$F$98)/(('Cálculos'!$F$197+(($C209)-$A$177:$A$222)*'Cálculos'!$F$98)+1400)+'Cálculos'!$F$122)*'Cálculos'!$F$231+'Cálculos'!$F$125*(1+2.78*('Cálculos'!$F$197+(($C209)-$A$177:$A$222)*'Cálculos'!$F$98)/(('Cálculos'!$F$197+(($C209)-$A$177:$A$222)*'Cálculos'!$F$98)+1400)+'Cálculos'!$F$123)*'Cálculos'!$F$236)+('Cálculos'!$F$204*(1+'Cálculos'!$F$205+$A$177:$A$222*('Cálculos'!$F$290=3)*'Cálculos'!$F$103)+'Cálculos'!$F$206)*('Cálculos'!$F$227+'Cálculos'!$F$124*(1+2.78*('Cálculos'!$F$197+(($C209)-$A$177:$A$222)*'Cálculos'!$F$98)/(('Cálculos'!$F$197+(($C209)-$A$177:$A$222)*'Cálculos'!$F$98)+1400)+'Cálculos'!$F$122)*'Cálculos'!$F$232+'Cálculos'!$F$125*(1+2.78*('Cálculos'!$F$197+(($C209)-$A$177:$A$222)*'Cálculos'!$F$98)/(('Cálculos'!$F$197+(($C209)-$A$177:$A$222)*'Cálculos'!$F$98)+1400)+'Cálculos'!$F$123)*'Cálculos'!$F$237)+('Cálculos'!$F$228+'Cálculos'!$F$124*(1+2.78*('Cálculos'!$F$197+(($C209)-$A$177:$A$222)*'Cálculos'!$F$98)/(('Cálculos'!$F$197+(($C209)-$A$177:$A$222)*'Cálculos'!$F$98)+1400)+'Cálculos'!$F$122)*'Cálculos'!$F$233+'Cálculos'!$F$125*(1+2.78*('Cálculos'!$F$197+(($C209)-$A$177:$A$222)*'Cálculos'!$F$98)/(('Cálculos'!$F$197+(($C209)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209)-$A$177:$A$222)*'Cálculos'!$F$98)/(('Cálculos'!$F$198+(($C209)-$A$177:$A$222)*'Cálculos'!$F$98)+1400)+'Cálculos'!$F$122)*'Cálculos'!$F$244+'Cálculos'!$F$125*(1+2.78*('Cálculos'!$F$198+(($C209)-$A$177:$A$222)*'Cálculos'!$F$98)/(('Cálculos'!$F$198+(($C209)-$A$177:$A$222)*'Cálculos'!$F$98)+1400)+'Cálculos'!$F$123)*'Cálculos'!$F$249)+('Cálculos'!$F$198+(($C209)-$A$177:$A$222)*'Cálculos'!$F$98)*('Cálculos'!$F$240+'Cálculos'!$F$124*(1+2.78*('Cálculos'!$F$198+(($C209)-$A$177:$A$222)*'Cálculos'!$F$98)/(('Cálculos'!$F$198+(($C209)-$A$177:$A$222)*'Cálculos'!$F$98)+1400)+'Cálculos'!$F$122)*'Cálculos'!$F$245+'Cálculos'!$F$125*(1+2.78*('Cálculos'!$F$198+(($C209)-$A$177:$A$222)*'Cálculos'!$F$98)/(('Cálculos'!$F$198+(($C209)-$A$177:$A$222)*'Cálculos'!$F$98)+1400)+'Cálculos'!$F$123)*'Cálculos'!$F$250)+('Cálculos'!$F$201*(1+'Cálculos'!$F$202+$A$177:$A$222*('Cálculos'!$F$290=2)*'Cálculos'!$F$101)+'Cálculos'!$F$203)*('Cálculos'!$F$241+'Cálculos'!$F$124*(1+2.78*('Cálculos'!$F$198+(($C209)-$A$177:$A$222)*'Cálculos'!$F$98)/(('Cálculos'!$F$198+(($C209)-$A$177:$A$222)*'Cálculos'!$F$98)+1400)+'Cálculos'!$F$122)*'Cálculos'!$F$246+'Cálculos'!$F$125*(1+2.78*('Cálculos'!$F$198+(($C209)-$A$177:$A$222)*'Cálculos'!$F$98)/(('Cálculos'!$F$198+(($C209)-$A$177:$A$222)*'Cálculos'!$F$98)+1400)+'Cálculos'!$F$123)*'Cálculos'!$F$251)+('Cálculos'!$F$204*(1+'Cálculos'!$F$205+$A$177:$A$222*('Cálculos'!$F$290=3)*'Cálculos'!$F$103)+'Cálculos'!$F$206)*('Cálculos'!$F$242+'Cálculos'!$F$124*(1+2.78*('Cálculos'!$F$198+(($C209)-$A$177:$A$222)*'Cálculos'!$F$98)/(('Cálculos'!$F$198+(($C209)-$A$177:$A$222)*'Cálculos'!$F$98)+1400)+'Cálculos'!$F$122)*'Cálculos'!$F$247+'Cálculos'!$F$125*(1+2.78*('Cálculos'!$F$198+(($C209)-$A$177:$A$222)*'Cálculos'!$F$98)/(('Cálculos'!$F$198+(($C209)-$A$177:$A$222)*'Cálculos'!$F$98)+1400)+'Cálculos'!$F$123)*'Cálculos'!$F$252)+('Cálculos'!$F$243+'Cálculos'!$F$124*(1+2.78*('Cálculos'!$F$198+(($C209)-$A$177:$A$222)*'Cálculos'!$F$98)/(('Cálculos'!$F$198+(($C209)-$A$177:$A$222)*'Cálculos'!$F$98)+1400)+'Cálculos'!$F$122)*'Cálculos'!$F$248+'Cálculos'!$F$125*(1+2.78*('Cálculos'!$F$198+(($C209)-$A$177:$A$222)*'Cálculos'!$F$98)/(('Cálculos'!$F$198+(($C209)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209)-$A$177:$A$222)*'Cálculos'!$F$98)/(('Cálculos'!$F$199+(($C209)-$A$177:$A$222)*'Cálculos'!$F$98)+1400)+'Cálculos'!$F$122)*'Cálculos'!$F$259+'Cálculos'!$F$125*(1+2.78*('Cálculos'!$F$199+(($C209)-$A$177:$A$222)*'Cálculos'!$F$98)/(('Cálculos'!$F$199+(($C209)-$A$177:$A$222)*'Cálculos'!$F$98)+1400)+'Cálculos'!$F$123)*'Cálculos'!$F$264)+('Cálculos'!$F$199+(($C209)-$A$177:$A$222)*'Cálculos'!$F$98)*('Cálculos'!$F$255+'Cálculos'!$F$124*(1+2.78*('Cálculos'!$F$199+(($C209)-$A$177:$A$222)*'Cálculos'!$F$98)/(('Cálculos'!$F$199+(($C209)-$A$177:$A$222)*'Cálculos'!$F$98)+1400)+'Cálculos'!$F$122)*'Cálculos'!$F$260+'Cálculos'!$F$125*(1+2.78*('Cálculos'!$F$199+(($C209)-$A$177:$A$222)*'Cálculos'!$F$98)/(('Cálculos'!$F$199+(($C209)-$A$177:$A$222)*'Cálculos'!$F$98)+1400)+'Cálculos'!$F$123)*'Cálculos'!$F$265)+('Cálculos'!$F$201*(1+'Cálculos'!$F$202+$A$177:$A$222*('Cálculos'!$F$290=2)*'Cálculos'!$F$101)+'Cálculos'!$F$203)*('Cálculos'!$F$256+'Cálculos'!$F$124*(1+2.78*('Cálculos'!$F$199+(($C209)-$A$177:$A$222)*'Cálculos'!$F$98)/(('Cálculos'!$F$199+(($C209)-$A$177:$A$222)*'Cálculos'!$F$98)+1400)+'Cálculos'!$F$122)*'Cálculos'!$F$261+'Cálculos'!$F$125*(1+2.78*('Cálculos'!$F$199+(($C209)-$A$177:$A$222)*'Cálculos'!$F$98)/(('Cálculos'!$F$199+(($C209)-$A$177:$A$222)*'Cálculos'!$F$98)+1400)+'Cálculos'!$F$123)*'Cálculos'!$F$266)+('Cálculos'!$F$204*(1+'Cálculos'!$F$205+$A$177:$A$222*('Cálculos'!$F$290=3)*'Cálculos'!$F$103)+'Cálculos'!$F$206)*('Cálculos'!$F$257+'Cálculos'!$F$124*(1+2.78*('Cálculos'!$F$199+(($C209)-$A$177:$A$222)*'Cálculos'!$F$98)/(('Cálculos'!$F$199+(($C209)-$A$177:$A$222)*'Cálculos'!$F$98)+1400)+'Cálculos'!$F$122)*'Cálculos'!$F$262+'Cálculos'!$F$125*(1+2.78*('Cálculos'!$F$199+(($C209)-$A$177:$A$222)*'Cálculos'!$F$98)/(('Cálculos'!$F$199+(($C209)-$A$177:$A$222)*'Cálculos'!$F$98)+1400)+'Cálculos'!$F$123)*'Cálculos'!$F$267)+('Cálculos'!$F$258+'Cálculos'!$F$124*(1+2.78*('Cálculos'!$F$199+(($C209)-$A$177:$A$222)*'Cálculos'!$F$98)/(('Cálculos'!$F$199+(($C209)-$A$177:$A$222)*'Cálculos'!$F$98)+1400)+'Cálculos'!$F$122)*'Cálculos'!$F$263+'Cálculos'!$F$125*(1+2.78*('Cálculos'!$F$199+(($C209)-$A$177:$A$222)*'Cálculos'!$F$98)/(('Cálculos'!$F$199+(($C209)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209)-$A$177:$A$222)*'Cálculos'!$F$98)/(('Cálculos'!$F$200+(($C209)-$A$177:$A$222)*'Cálculos'!$F$98)+1400)+'Cálculos'!$F$122)*'Cálculos'!$F$274+'Cálculos'!$F$125*(1+2.78*('Cálculos'!$F$200+(($C209)-$A$177:$A$222)*'Cálculos'!$F$98)/(('Cálculos'!$F$200+(($C209)-$A$177:$A$222)*'Cálculos'!$F$98)+1400)+'Cálculos'!$F$123)*'Cálculos'!$F$279)+('Cálculos'!$F$200+(($C209)-$A$177:$A$222)*'Cálculos'!$F$98)*('Cálculos'!$F$270+'Cálculos'!$F$124*(1+2.78*('Cálculos'!$F$200+(($C209)-$A$177:$A$222)*'Cálculos'!$F$98)/(('Cálculos'!$F$200+(($C209)-$A$177:$A$222)*'Cálculos'!$F$98)+1400)+'Cálculos'!$F$122)*'Cálculos'!$F$275+'Cálculos'!$F$125*(1+2.78*('Cálculos'!$F$200+(($C209)-$A$177:$A$222)*'Cálculos'!$F$98)/(('Cálculos'!$F$200+(($C209)-$A$177:$A$222)*'Cálculos'!$F$98)+1400)+'Cálculos'!$F$123)*'Cálculos'!$F$280)+('Cálculos'!$F$201*(1+'Cálculos'!$F$202+$A$177:$A$222*('Cálculos'!$F$290=2)*'Cálculos'!$F$101)+'Cálculos'!$F$203)*('Cálculos'!$F$271+'Cálculos'!$F$124*(1+2.78*('Cálculos'!$F$200+(($C209)-$A$177:$A$222)*'Cálculos'!$F$98)/(('Cálculos'!$F$200+(($C209)-$A$177:$A$222)*'Cálculos'!$F$98)+1400)+'Cálculos'!$F$122)*'Cálculos'!$F$276+'Cálculos'!$F$125*(1+2.78*('Cálculos'!$F$200+(($C209)-$A$177:$A$222)*'Cálculos'!$F$98)/(('Cálculos'!$F$200+(($C209)-$A$177:$A$222)*'Cálculos'!$F$98)+1400)+'Cálculos'!$F$123)*'Cálculos'!$F$281)+('Cálculos'!$F$204*(1+'Cálculos'!$F$205+$A$177:$A$222*('Cálculos'!$F$290=3)*'Cálculos'!$F$103)+'Cálculos'!$F$206)*('Cálculos'!$F$272+'Cálculos'!$F$124*(1+2.78*('Cálculos'!$F$200+(($C209)-$A$177:$A$222)*'Cálculos'!$F$98)/(('Cálculos'!$F$200+(($C209)-$A$177:$A$222)*'Cálculos'!$F$98)+1400)+'Cálculos'!$F$122)*'Cálculos'!$F$277+'Cálculos'!$F$125*(1+2.78*('Cálculos'!$F$200+(($C209)-$A$177:$A$222)*'Cálculos'!$F$98)/(('Cálculos'!$F$200+(($C209)-$A$177:$A$222)*'Cálculos'!$F$98)+1400)+'Cálculos'!$F$123)*'Cálculos'!$F$282)+('Cálculos'!$F$273+'Cálculos'!$F$124*(1+2.78*('Cálculos'!$F$200+(($C209)-$A$177:$A$222)*'Cálculos'!$F$98)/(('Cálculos'!$F$200+(($C209)-$A$177:$A$222)*'Cálculos'!$F$98)+1400)+'Cálculos'!$F$122)*'Cálculos'!$F$278+'Cálculos'!$F$125*(1+2.78*('Cálculos'!$F$200+(($C209)-$A$177:$A$222)*'Cálculos'!$F$98)/(('Cálculos'!$F$200+(($C209)-$A$177:$A$222)*'Cálculos'!$F$98)+1400)+'Cálculos'!$F$123)*'Cálculos'!$F$283)))))</f>
        <v>0</v>
      </c>
      <c r="E209" s="32">
        <f>IF(OR($C209&lt;0,'Cálculos'!$F$6=""),0,$B209*$D209)</f>
        <v>0</v>
      </c>
      <c r="F209" s="2"/>
      <c r="G209" s="30">
        <f>($A209&lt;=$B$224)*($A209&lt;='Cálculos'!$F$294)*(($B$224)-$A209&lt;='Cálculos'!$F$295)*(1+MIN(('Cálculos'!$F$207+$A209*'Cálculos'!$F$95),1)*('Cálculos'!$F$208+(($B$224)-$A209)*'Cálculos'!$F$96))</f>
        <v>0</v>
      </c>
      <c r="H209" s="31">
        <f>IF($B$225&lt;0,0,($A209&lt;=$B$225)*($A209&lt;='Cálculos'!$F$301)*(($B$225)-$A209&lt;='Cálculos'!$F$297)*(('Cálculos'!$F$185*(1+'Cálculos'!$F$186+$A209*('Cálculos'!$F$290=1)*'Cálculos'!$F$97+'Cálculos'!$F$305)+'Cálculos'!$F$191)*('Cálculos'!$F$209+'Cálculos'!$F$124*(1+2.78*('Cálculos'!$F$196+(($B$225)-$A209)*'Cálculos'!$F$98)/(('Cálculos'!$F$196+(($B$225)-$A209)*'Cálculos'!$F$98)+1400)+'Cálculos'!$F$122)*'Cálculos'!$F$214+'Cálculos'!$F$125*(1+2.78*('Cálculos'!$F$196+(($B$225)-$A209)*'Cálculos'!$F$98)/(('Cálculos'!$F$196+(($B$225)-$A209)*'Cálculos'!$F$98)+1400)+'Cálculos'!$F$123)*'Cálculos'!$F$219)+('Cálculos'!$F$196+(($B$225)-$A209)*'Cálculos'!$F$98)*('Cálculos'!$F$210+'Cálculos'!$F$124*(1+2.78*('Cálculos'!$F$196+(($B$225)-$A209)*'Cálculos'!$F$98)/(('Cálculos'!$F$196+(($B$225)-$A209)*'Cálculos'!$F$98)+1400)+'Cálculos'!$F$122)*'Cálculos'!$F$215+'Cálculos'!$F$125*(1+2.78*('Cálculos'!$F$196+(($B$225)-$A209)*'Cálculos'!$F$98)/(('Cálculos'!$F$196+(($B$225)-$A209)*'Cálculos'!$F$98)+1400)+'Cálculos'!$F$123)*'Cálculos'!$F$220)+('Cálculos'!$F$201*(1+'Cálculos'!$F$202+$A209*('Cálculos'!$F$290=2)*'Cálculos'!$F$101)+'Cálculos'!$F$203)*('Cálculos'!$F$211+'Cálculos'!$F$124*(1+2.78*('Cálculos'!$F$196+(($B$225)-$A209)*'Cálculos'!$F$98)/(('Cálculos'!$F$196+(($B$225)-$A209)*'Cálculos'!$F$98)+1400)+'Cálculos'!$F$122)*'Cálculos'!$F$216+'Cálculos'!$F$125*(1+2.78*('Cálculos'!$F$196+(($B$225)-$A209)*'Cálculos'!$F$98)/(('Cálculos'!$F$196+(($B$225)-$A209)*'Cálculos'!$F$98)+1400)+'Cálculos'!$F$123)*'Cálculos'!$F$221)+('Cálculos'!$F$204*(1+'Cálculos'!$F$205+$A209*('Cálculos'!$F$290=3)*'Cálculos'!$F$103)+'Cálculos'!$F$206)*('Cálculos'!$F$212+'Cálculos'!$F$124*(1+2.78*('Cálculos'!$F$196+(($B$225)-$A209)*'Cálculos'!$F$98)/(('Cálculos'!$F$196+(($B$225)-$A209)*'Cálculos'!$F$98)+1400)+'Cálculos'!$F$122)*'Cálculos'!$F$217+'Cálculos'!$F$125*(1+2.78*('Cálculos'!$F$196+(($B$225)-$A209)*'Cálculos'!$F$98)/(('Cálculos'!$F$196+(($B$225)-$A209)*'Cálculos'!$F$98)+1400)+'Cálculos'!$F$123)*'Cálculos'!$F$222)+('Cálculos'!$F$213+'Cálculos'!$F$124*(1+2.78*('Cálculos'!$F$196+(($B$225)-$A209)*'Cálculos'!$F$98)/(('Cálculos'!$F$196+(($B$225)-$A209)*'Cálculos'!$F$98)+1400)+'Cálculos'!$F$122)*'Cálculos'!$F$218+'Cálculos'!$F$125*(1+2.78*('Cálculos'!$F$196+(($B$225)-$A209)*'Cálculos'!$F$98)/(('Cálculos'!$F$196+(($B$225)-$A209)*'Cálculos'!$F$98)+1400)+'Cálculos'!$F$123)*'Cálculos'!$F$223)+('Cálculos'!$F$185*(1+'Cálculos'!$F$187+$A209*('Cálculos'!$F$290=1)*'Cálculos'!$F$97+'Cálculos'!$F$305)+'Cálculos'!$F$192)*('Cálculos'!$F$224+'Cálculos'!$F$124*(1+2.78*('Cálculos'!$F$197+(($B$225)-$A209)*'Cálculos'!$F$98)/(('Cálculos'!$F$197+(($B$225)-$A209)*'Cálculos'!$F$98)+1400)+'Cálculos'!$F$122)*'Cálculos'!$F$229+'Cálculos'!$F$125*(1+2.78*('Cálculos'!$F$197+(($B$225)-$A209)*'Cálculos'!$F$98)/(('Cálculos'!$F$197+(($B$225)-$A209)*'Cálculos'!$F$98)+1400)+'Cálculos'!$F$123)*'Cálculos'!$F$234)+('Cálculos'!$F$197+(($B$225)-$A209)*'Cálculos'!$F$98)*('Cálculos'!$F$225+'Cálculos'!$F$124*(1+2.78*('Cálculos'!$F$197+(($B$225)-$A209)*'Cálculos'!$F$98)/(('Cálculos'!$F$197+(($B$225)-$A209)*'Cálculos'!$F$98)+1400)+'Cálculos'!$F$122)*'Cálculos'!$F$230+'Cálculos'!$F$125*(1+2.78*('Cálculos'!$F$197+(($B$225)-$A209)*'Cálculos'!$F$98)/(('Cálculos'!$F$197+(($B$225)-$A209)*'Cálculos'!$F$98)+1400)+'Cálculos'!$F$123)*'Cálculos'!$F$235)+('Cálculos'!$F$201*(1+'Cálculos'!$F$202+$A209*('Cálculos'!$F$290=2)*'Cálculos'!$F$101)+'Cálculos'!$F$203)*('Cálculos'!$F$226+'Cálculos'!$F$124*(1+2.78*('Cálculos'!$F$197+(($B$225)-$A209)*'Cálculos'!$F$98)/(('Cálculos'!$F$197+(($B$225)-$A209)*'Cálculos'!$F$98)+1400)+'Cálculos'!$F$122)*'Cálculos'!$F$231+'Cálculos'!$F$125*(1+2.78*('Cálculos'!$F$197+(($B$225)-$A209)*'Cálculos'!$F$98)/(('Cálculos'!$F$197+(($B$225)-$A209)*'Cálculos'!$F$98)+1400)+'Cálculos'!$F$123)*'Cálculos'!$F$236)+('Cálculos'!$F$204*(1+'Cálculos'!$F$205+$A209*('Cálculos'!$F$290=3)*'Cálculos'!$F$103)+'Cálculos'!$F$206)*('Cálculos'!$F$227+'Cálculos'!$F$124*(1+2.78*('Cálculos'!$F$197+(($B$225)-$A209)*'Cálculos'!$F$98)/(('Cálculos'!$F$197+(($B$225)-$A209)*'Cálculos'!$F$98)+1400)+'Cálculos'!$F$122)*'Cálculos'!$F$232+'Cálculos'!$F$125*(1+2.78*('Cálculos'!$F$197+(($B$225)-$A209)*'Cálculos'!$F$98)/(('Cálculos'!$F$197+(($B$225)-$A209)*'Cálculos'!$F$98)+1400)+'Cálculos'!$F$123)*'Cálculos'!$F$237)+('Cálculos'!$F$228+'Cálculos'!$F$124*(1+2.78*('Cálculos'!$F$197+(($B$225)-$A209)*'Cálculos'!$F$98)/(('Cálculos'!$F$197+(($B$225)-$A209)*'Cálculos'!$F$98)+1400)+'Cálculos'!$F$122)*'Cálculos'!$F$233+'Cálculos'!$F$125*(1+2.78*('Cálculos'!$F$197+(($B$225)-$A209)*'Cálculos'!$F$98)/(('Cálculos'!$F$197+(($B$225)-$A209)*'Cálculos'!$F$98)+1400)+'Cálculos'!$F$123)*'Cálculos'!$F$238)+('Cálculos'!$F$185*(1+'Cálculos'!$F$188+$A209*('Cálculos'!$F$290=1)*'Cálculos'!$F$97+'Cálculos'!$F$305)+'Cálculos'!$F$193)*('Cálculos'!$F$239+'Cálculos'!$F$124*(1+2.78*('Cálculos'!$F$198+(($B$225)-$A209)*'Cálculos'!$F$98)/(('Cálculos'!$F$198+(($B$225)-$A209)*'Cálculos'!$F$98)+1400)+'Cálculos'!$F$122)*'Cálculos'!$F$244+'Cálculos'!$F$125*(1+2.78*('Cálculos'!$F$198+(($B$225)-$A209)*'Cálculos'!$F$98)/(('Cálculos'!$F$198+(($B$225)-$A209)*'Cálculos'!$F$98)+1400)+'Cálculos'!$F$123)*'Cálculos'!$F$249)+('Cálculos'!$F$198+(($B$225)-$A209)*'Cálculos'!$F$98)*('Cálculos'!$F$240+'Cálculos'!$F$124*(1+2.78*('Cálculos'!$F$198+(($B$225)-$A209)*'Cálculos'!$F$98)/(('Cálculos'!$F$198+(($B$225)-$A209)*'Cálculos'!$F$98)+1400)+'Cálculos'!$F$122)*'Cálculos'!$F$245+'Cálculos'!$F$125*(1+2.78*('Cálculos'!$F$198+(($B$225)-$A209)*'Cálculos'!$F$98)/(('Cálculos'!$F$198+(($B$225)-$A209)*'Cálculos'!$F$98)+1400)+'Cálculos'!$F$123)*'Cálculos'!$F$250)+('Cálculos'!$F$201*(1+'Cálculos'!$F$202+$A209*('Cálculos'!$F$290=2)*'Cálculos'!$F$101)+'Cálculos'!$F$203)*('Cálculos'!$F$241+'Cálculos'!$F$124*(1+2.78*('Cálculos'!$F$198+(($B$225)-$A209)*'Cálculos'!$F$98)/(('Cálculos'!$F$198+(($B$225)-$A209)*'Cálculos'!$F$98)+1400)+'Cálculos'!$F$122)*'Cálculos'!$F$246+'Cálculos'!$F$125*(1+2.78*('Cálculos'!$F$198+(($B$225)-$A209)*'Cálculos'!$F$98)/(('Cálculos'!$F$198+(($B$225)-$A209)*'Cálculos'!$F$98)+1400)+'Cálculos'!$F$123)*'Cálculos'!$F$251)+('Cálculos'!$F$204*(1+'Cálculos'!$F$205+$A209*('Cálculos'!$F$290=3)*'Cálculos'!$F$103)+'Cálculos'!$F$206)*('Cálculos'!$F$242+'Cálculos'!$F$124*(1+2.78*('Cálculos'!$F$198+(($B$225)-$A209)*'Cálculos'!$F$98)/(('Cálculos'!$F$198+(($B$225)-$A209)*'Cálculos'!$F$98)+1400)+'Cálculos'!$F$122)*'Cálculos'!$F$247+'Cálculos'!$F$125*(1+2.78*('Cálculos'!$F$198+(($B$225)-$A209)*'Cálculos'!$F$98)/(('Cálculos'!$F$198+(($B$225)-$A209)*'Cálculos'!$F$98)+1400)+'Cálculos'!$F$123)*'Cálculos'!$F$252)+('Cálculos'!$F$243+'Cálculos'!$F$124*(1+2.78*('Cálculos'!$F$198+(($B$225)-$A209)*'Cálculos'!$F$98)/(('Cálculos'!$F$198+(($B$225)-$A209)*'Cálculos'!$F$98)+1400)+'Cálculos'!$F$122)*'Cálculos'!$F$248+'Cálculos'!$F$125*(1+2.78*('Cálculos'!$F$198+(($B$225)-$A209)*'Cálculos'!$F$98)/(('Cálculos'!$F$198+(($B$225)-$A209)*'Cálculos'!$F$98)+1400)+'Cálculos'!$F$123)*'Cálculos'!$F$253)+('Cálculos'!$F$185*(1+'Cálculos'!$F$189+$A209*('Cálculos'!$F$290=1)*'Cálculos'!$F$97+'Cálculos'!$F$305)+'Cálculos'!$F$194)*('Cálculos'!$F$254+'Cálculos'!$F$124*(1+2.78*('Cálculos'!$F$199+(($B$225)-$A209)*'Cálculos'!$F$98)/(('Cálculos'!$F$199+(($B$225)-$A209)*'Cálculos'!$F$98)+1400)+'Cálculos'!$F$122)*'Cálculos'!$F$259+'Cálculos'!$F$125*(1+2.78*('Cálculos'!$F$199+(($B$225)-$A209)*'Cálculos'!$F$98)/(('Cálculos'!$F$199+(($B$225)-$A209)*'Cálculos'!$F$98)+1400)+'Cálculos'!$F$123)*'Cálculos'!$F$264)+('Cálculos'!$F$199+(($B$225)-$A209)*'Cálculos'!$F$98)*('Cálculos'!$F$255+'Cálculos'!$F$124*(1+2.78*('Cálculos'!$F$199+(($B$225)-$A209)*'Cálculos'!$F$98)/(('Cálculos'!$F$199+(($B$225)-$A209)*'Cálculos'!$F$98)+1400)+'Cálculos'!$F$122)*'Cálculos'!$F$260+'Cálculos'!$F$125*(1+2.78*('Cálculos'!$F$199+(($B$225)-$A209)*'Cálculos'!$F$98)/(('Cálculos'!$F$199+(($B$225)-$A209)*'Cálculos'!$F$98)+1400)+'Cálculos'!$F$123)*'Cálculos'!$F$265)+('Cálculos'!$F$201*(1+'Cálculos'!$F$202+$A209*('Cálculos'!$F$290=2)*'Cálculos'!$F$101)+'Cálculos'!$F$203)*('Cálculos'!$F$256+'Cálculos'!$F$124*(1+2.78*('Cálculos'!$F$199+(($B$225)-$A209)*'Cálculos'!$F$98)/(('Cálculos'!$F$199+(($B$225)-$A209)*'Cálculos'!$F$98)+1400)+'Cálculos'!$F$122)*'Cálculos'!$F$261+'Cálculos'!$F$125*(1+2.78*('Cálculos'!$F$199+(($B$225)-$A209)*'Cálculos'!$F$98)/(('Cálculos'!$F$199+(($B$225)-$A209)*'Cálculos'!$F$98)+1400)+'Cálculos'!$F$123)*'Cálculos'!$F$266)+('Cálculos'!$F$204*(1+'Cálculos'!$F$205+$A209*('Cálculos'!$F$290=3)*'Cálculos'!$F$103)+'Cálculos'!$F$206)*('Cálculos'!$F$257+'Cálculos'!$F$124*(1+2.78*('Cálculos'!$F$199+(($B$225)-$A209)*'Cálculos'!$F$98)/(('Cálculos'!$F$199+(($B$225)-$A209)*'Cálculos'!$F$98)+1400)+'Cálculos'!$F$122)*'Cálculos'!$F$262+'Cálculos'!$F$125*(1+2.78*('Cálculos'!$F$199+(($B$225)-$A209)*'Cálculos'!$F$98)/(('Cálculos'!$F$199+(($B$225)-$A209)*'Cálculos'!$F$98)+1400)+'Cálculos'!$F$123)*'Cálculos'!$F$267)+('Cálculos'!$F$258+'Cálculos'!$F$124*(1+2.78*('Cálculos'!$F$199+(($B$225)-$A209)*'Cálculos'!$F$98)/(('Cálculos'!$F$199+(($B$225)-$A209)*'Cálculos'!$F$98)+1400)+'Cálculos'!$F$122)*'Cálculos'!$F$263+'Cálculos'!$F$125*(1+2.78*('Cálculos'!$F$199+(($B$225)-$A209)*'Cálculos'!$F$98)/(('Cálculos'!$F$199+(($B$225)-$A209)*'Cálculos'!$F$98)+1400)+'Cálculos'!$F$123)*'Cálculos'!$F$268)+('Cálculos'!$F$185*(1+'Cálculos'!$F$190+$A209*('Cálculos'!$F$290=1)*'Cálculos'!$F$97+'Cálculos'!$F$305)+'Cálculos'!$F$195)*('Cálculos'!$F$269+'Cálculos'!$F$124*(1+2.78*('Cálculos'!$F$200+(($B$225)-$A209)*'Cálculos'!$F$98)/(('Cálculos'!$F$200+(($B$225)-$A209)*'Cálculos'!$F$98)+1400)+'Cálculos'!$F$122)*'Cálculos'!$F$274+'Cálculos'!$F$125*(1+2.78*('Cálculos'!$F$200+(($B$225)-$A209)*'Cálculos'!$F$98)/(('Cálculos'!$F$200+(($B$225)-$A209)*'Cálculos'!$F$98)+1400)+'Cálculos'!$F$123)*'Cálculos'!$F$279)+('Cálculos'!$F$200+(($B$225)-$A209)*'Cálculos'!$F$98)*('Cálculos'!$F$270+'Cálculos'!$F$124*(1+2.78*('Cálculos'!$F$200+(($B$225)-$A209)*'Cálculos'!$F$98)/(('Cálculos'!$F$200+(($B$225)-$A209)*'Cálculos'!$F$98)+1400)+'Cálculos'!$F$122)*'Cálculos'!$F$275+'Cálculos'!$F$125*(1+2.78*('Cálculos'!$F$200+(($B$225)-$A209)*'Cálculos'!$F$98)/(('Cálculos'!$F$200+(($B$225)-$A209)*'Cálculos'!$F$98)+1400)+'Cálculos'!$F$123)*'Cálculos'!$F$280)+('Cálculos'!$F$201*(1+'Cálculos'!$F$202+$A209*('Cálculos'!$F$290=2)*'Cálculos'!$F$101)+'Cálculos'!$F$203)*('Cálculos'!$F$271+'Cálculos'!$F$124*(1+2.78*('Cálculos'!$F$200+(($B$225)-$A209)*'Cálculos'!$F$98)/(('Cálculos'!$F$200+(($B$225)-$A209)*'Cálculos'!$F$98)+1400)+'Cálculos'!$F$122)*'Cálculos'!$F$276+'Cálculos'!$F$125*(1+2.78*('Cálculos'!$F$200+(($B$225)-$A209)*'Cálculos'!$F$98)/(('Cálculos'!$F$200+(($B$225)-$A209)*'Cálculos'!$F$98)+1400)+'Cálculos'!$F$123)*'Cálculos'!$F$281)+('Cálculos'!$F$204*(1+'Cálculos'!$F$205+$A209*('Cálculos'!$F$290=3)*'Cálculos'!$F$103)+'Cálculos'!$F$206)*('Cálculos'!$F$272+'Cálculos'!$F$124*(1+2.78*('Cálculos'!$F$200+(($B$225)-$A209)*'Cálculos'!$F$98)/(('Cálculos'!$F$200+(($B$225)-$A209)*'Cálculos'!$F$98)+1400)+'Cálculos'!$F$122)*'Cálculos'!$F$277+'Cálculos'!$F$125*(1+2.78*('Cálculos'!$F$200+(($B$225)-$A209)*'Cálculos'!$F$98)/(('Cálculos'!$F$200+(($B$225)-$A209)*'Cálculos'!$F$98)+1400)+'Cálculos'!$F$123)*'Cálculos'!$F$282)+('Cálculos'!$F$273+'Cálculos'!$F$124*(1+2.78*('Cálculos'!$F$200+(($B$225)-$A209)*'Cálculos'!$F$98)/(('Cálculos'!$F$200+(($B$225)-$A209)*'Cálculos'!$F$98)+1400)+'Cálculos'!$F$122)*'Cálculos'!$F$278+'Cálculos'!$F$125*(1+2.78*('Cálculos'!$F$200+(($B$225)-$A209)*'Cálculos'!$F$98)/(('Cálculos'!$F$200+(($B$225)-$A209)*'Cálculos'!$F$98)+1400)+'Cálculos'!$F$123)*'Cálculos'!$F$283)))</f>
        <v>0</v>
      </c>
    </row>
    <row r="210" ht="15.75" customHeight="1">
      <c r="A210" s="2">
        <v>33.0</v>
      </c>
      <c r="B210" s="30">
        <f>SUMPRODUCT(MAX(($A$177:$A$222&lt;=$A210)*($A$177:$A$222&lt;='Cálculos'!$F$294)*(($A210)-$A$177:$A$222&lt;='Cálculos'!$F$295)*(1+(('Cálculos'!$F$207+$A$177:$A$222*'Cálculos'!$F$95)-(('Cálculos'!$F$207+$A$177:$A$222*'Cálculos'!$F$95)&gt;1)*(('Cálculos'!$F$207+$A$177:$A$222*'Cálculos'!$F$95)-1))*('Cálculos'!$F$208+(($A210)-$A$177:$A$222)*'Cálculos'!$F$96))))</f>
        <v>3.301052</v>
      </c>
      <c r="C210" s="2">
        <f>'Cálculos'!$F$303-$A210</f>
        <v>-15</v>
      </c>
      <c r="D210" s="31">
        <f>IF($C210&lt;0,0,SUMPRODUCT(MAX(($A$177:$A$222&lt;=$C210)*($A$177:$A$222&lt;='Cálculos'!$F$301)*(($C210)-$A$177:$A$222&lt;='Cálculos'!$F$297)*(('Cálculos'!$F$185*(1+'Cálculos'!$F$186+$A$177:$A$222*('Cálculos'!$F$290=1)*'Cálculos'!$F$97+'Cálculos'!$F$305)+'Cálculos'!$F$191)*('Cálculos'!$F$209+'Cálculos'!$F$124*(1+2.78*('Cálculos'!$F$196+(($C210)-$A$177:$A$222)*'Cálculos'!$F$98)/(('Cálculos'!$F$196+(($C210)-$A$177:$A$222)*'Cálculos'!$F$98)+1400)+'Cálculos'!$F$122)*'Cálculos'!$F$214+'Cálculos'!$F$125*(1+2.78*('Cálculos'!$F$196+(($C210)-$A$177:$A$222)*'Cálculos'!$F$98)/(('Cálculos'!$F$196+(($C210)-$A$177:$A$222)*'Cálculos'!$F$98)+1400)+'Cálculos'!$F$123)*'Cálculos'!$F$219)+('Cálculos'!$F$196+(($C210)-$A$177:$A$222)*'Cálculos'!$F$98)*('Cálculos'!$F$210+'Cálculos'!$F$124*(1+2.78*('Cálculos'!$F$196+(($C210)-$A$177:$A$222)*'Cálculos'!$F$98)/(('Cálculos'!$F$196+(($C210)-$A$177:$A$222)*'Cálculos'!$F$98)+1400)+'Cálculos'!$F$122)*'Cálculos'!$F$215+'Cálculos'!$F$125*(1+2.78*('Cálculos'!$F$196+(($C210)-$A$177:$A$222)*'Cálculos'!$F$98)/(('Cálculos'!$F$196+(($C210)-$A$177:$A$222)*'Cálculos'!$F$98)+1400)+'Cálculos'!$F$123)*'Cálculos'!$F$220)+('Cálculos'!$F$201*(1+'Cálculos'!$F$202+$A$177:$A$222*('Cálculos'!$F$290=2)*'Cálculos'!$F$101)+'Cálculos'!$F$203)*('Cálculos'!$F$211+'Cálculos'!$F$124*(1+2.78*('Cálculos'!$F$196+(($C210)-$A$177:$A$222)*'Cálculos'!$F$98)/(('Cálculos'!$F$196+(($C210)-$A$177:$A$222)*'Cálculos'!$F$98)+1400)+'Cálculos'!$F$122)*'Cálculos'!$F$216+'Cálculos'!$F$125*(1+2.78*('Cálculos'!$F$196+(($C210)-$A$177:$A$222)*'Cálculos'!$F$98)/(('Cálculos'!$F$196+(($C210)-$A$177:$A$222)*'Cálculos'!$F$98)+1400)+'Cálculos'!$F$123)*'Cálculos'!$F$221)+('Cálculos'!$F$204*(1+'Cálculos'!$F$205+$A$177:$A$222*('Cálculos'!$F$290=3)*'Cálculos'!$F$103)+'Cálculos'!$F$206)*('Cálculos'!$F$212+'Cálculos'!$F$124*(1+2.78*('Cálculos'!$F$196+(($C210)-$A$177:$A$222)*'Cálculos'!$F$98)/(('Cálculos'!$F$196+(($C210)-$A$177:$A$222)*'Cálculos'!$F$98)+1400)+'Cálculos'!$F$122)*'Cálculos'!$F$217+'Cálculos'!$F$125*(1+2.78*('Cálculos'!$F$196+(($C210)-$A$177:$A$222)*'Cálculos'!$F$98)/(('Cálculos'!$F$196+(($C210)-$A$177:$A$222)*'Cálculos'!$F$98)+1400)+'Cálculos'!$F$123)*'Cálculos'!$F$222)+('Cálculos'!$F$213+'Cálculos'!$F$124*(1+2.78*('Cálculos'!$F$196+(($C210)-$A$177:$A$222)*'Cálculos'!$F$98)/(('Cálculos'!$F$196+(($C210)-$A$177:$A$222)*'Cálculos'!$F$98)+1400)+'Cálculos'!$F$122)*'Cálculos'!$F$218+'Cálculos'!$F$125*(1+2.78*('Cálculos'!$F$196+(($C210)-$A$177:$A$222)*'Cálculos'!$F$98)/(('Cálculos'!$F$196+(($C210)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210)-$A$177:$A$222)*'Cálculos'!$F$98)/(('Cálculos'!$F$197+(($C210)-$A$177:$A$222)*'Cálculos'!$F$98)+1400)+'Cálculos'!$F$122)*'Cálculos'!$F$229+'Cálculos'!$F$125*(1+2.78*('Cálculos'!$F$197+(($C210)-$A$177:$A$222)*'Cálculos'!$F$98)/(('Cálculos'!$F$197+(($C210)-$A$177:$A$222)*'Cálculos'!$F$98)+1400)+'Cálculos'!$F$123)*'Cálculos'!$F$234)+('Cálculos'!$F$197+(($C210)-$A$177:$A$222)*'Cálculos'!$F$98)*('Cálculos'!$F$225+'Cálculos'!$F$124*(1+2.78*('Cálculos'!$F$197+(($C210)-$A$177:$A$222)*'Cálculos'!$F$98)/(('Cálculos'!$F$197+(($C210)-$A$177:$A$222)*'Cálculos'!$F$98)+1400)+'Cálculos'!$F$122)*'Cálculos'!$F$230+'Cálculos'!$F$125*(1+2.78*('Cálculos'!$F$197+(($C210)-$A$177:$A$222)*'Cálculos'!$F$98)/(('Cálculos'!$F$197+(($C210)-$A$177:$A$222)*'Cálculos'!$F$98)+1400)+'Cálculos'!$F$123)*'Cálculos'!$F$235)+('Cálculos'!$F$201*(1+'Cálculos'!$F$202+$A$177:$A$222*('Cálculos'!$F$290=2)*'Cálculos'!$F$101)+'Cálculos'!$F$203)*('Cálculos'!$F$226+'Cálculos'!$F$124*(1+2.78*('Cálculos'!$F$197+(($C210)-$A$177:$A$222)*'Cálculos'!$F$98)/(('Cálculos'!$F$197+(($C210)-$A$177:$A$222)*'Cálculos'!$F$98)+1400)+'Cálculos'!$F$122)*'Cálculos'!$F$231+'Cálculos'!$F$125*(1+2.78*('Cálculos'!$F$197+(($C210)-$A$177:$A$222)*'Cálculos'!$F$98)/(('Cálculos'!$F$197+(($C210)-$A$177:$A$222)*'Cálculos'!$F$98)+1400)+'Cálculos'!$F$123)*'Cálculos'!$F$236)+('Cálculos'!$F$204*(1+'Cálculos'!$F$205+$A$177:$A$222*('Cálculos'!$F$290=3)*'Cálculos'!$F$103)+'Cálculos'!$F$206)*('Cálculos'!$F$227+'Cálculos'!$F$124*(1+2.78*('Cálculos'!$F$197+(($C210)-$A$177:$A$222)*'Cálculos'!$F$98)/(('Cálculos'!$F$197+(($C210)-$A$177:$A$222)*'Cálculos'!$F$98)+1400)+'Cálculos'!$F$122)*'Cálculos'!$F$232+'Cálculos'!$F$125*(1+2.78*('Cálculos'!$F$197+(($C210)-$A$177:$A$222)*'Cálculos'!$F$98)/(('Cálculos'!$F$197+(($C210)-$A$177:$A$222)*'Cálculos'!$F$98)+1400)+'Cálculos'!$F$123)*'Cálculos'!$F$237)+('Cálculos'!$F$228+'Cálculos'!$F$124*(1+2.78*('Cálculos'!$F$197+(($C210)-$A$177:$A$222)*'Cálculos'!$F$98)/(('Cálculos'!$F$197+(($C210)-$A$177:$A$222)*'Cálculos'!$F$98)+1400)+'Cálculos'!$F$122)*'Cálculos'!$F$233+'Cálculos'!$F$125*(1+2.78*('Cálculos'!$F$197+(($C210)-$A$177:$A$222)*'Cálculos'!$F$98)/(('Cálculos'!$F$197+(($C210)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210)-$A$177:$A$222)*'Cálculos'!$F$98)/(('Cálculos'!$F$198+(($C210)-$A$177:$A$222)*'Cálculos'!$F$98)+1400)+'Cálculos'!$F$122)*'Cálculos'!$F$244+'Cálculos'!$F$125*(1+2.78*('Cálculos'!$F$198+(($C210)-$A$177:$A$222)*'Cálculos'!$F$98)/(('Cálculos'!$F$198+(($C210)-$A$177:$A$222)*'Cálculos'!$F$98)+1400)+'Cálculos'!$F$123)*'Cálculos'!$F$249)+('Cálculos'!$F$198+(($C210)-$A$177:$A$222)*'Cálculos'!$F$98)*('Cálculos'!$F$240+'Cálculos'!$F$124*(1+2.78*('Cálculos'!$F$198+(($C210)-$A$177:$A$222)*'Cálculos'!$F$98)/(('Cálculos'!$F$198+(($C210)-$A$177:$A$222)*'Cálculos'!$F$98)+1400)+'Cálculos'!$F$122)*'Cálculos'!$F$245+'Cálculos'!$F$125*(1+2.78*('Cálculos'!$F$198+(($C210)-$A$177:$A$222)*'Cálculos'!$F$98)/(('Cálculos'!$F$198+(($C210)-$A$177:$A$222)*'Cálculos'!$F$98)+1400)+'Cálculos'!$F$123)*'Cálculos'!$F$250)+('Cálculos'!$F$201*(1+'Cálculos'!$F$202+$A$177:$A$222*('Cálculos'!$F$290=2)*'Cálculos'!$F$101)+'Cálculos'!$F$203)*('Cálculos'!$F$241+'Cálculos'!$F$124*(1+2.78*('Cálculos'!$F$198+(($C210)-$A$177:$A$222)*'Cálculos'!$F$98)/(('Cálculos'!$F$198+(($C210)-$A$177:$A$222)*'Cálculos'!$F$98)+1400)+'Cálculos'!$F$122)*'Cálculos'!$F$246+'Cálculos'!$F$125*(1+2.78*('Cálculos'!$F$198+(($C210)-$A$177:$A$222)*'Cálculos'!$F$98)/(('Cálculos'!$F$198+(($C210)-$A$177:$A$222)*'Cálculos'!$F$98)+1400)+'Cálculos'!$F$123)*'Cálculos'!$F$251)+('Cálculos'!$F$204*(1+'Cálculos'!$F$205+$A$177:$A$222*('Cálculos'!$F$290=3)*'Cálculos'!$F$103)+'Cálculos'!$F$206)*('Cálculos'!$F$242+'Cálculos'!$F$124*(1+2.78*('Cálculos'!$F$198+(($C210)-$A$177:$A$222)*'Cálculos'!$F$98)/(('Cálculos'!$F$198+(($C210)-$A$177:$A$222)*'Cálculos'!$F$98)+1400)+'Cálculos'!$F$122)*'Cálculos'!$F$247+'Cálculos'!$F$125*(1+2.78*('Cálculos'!$F$198+(($C210)-$A$177:$A$222)*'Cálculos'!$F$98)/(('Cálculos'!$F$198+(($C210)-$A$177:$A$222)*'Cálculos'!$F$98)+1400)+'Cálculos'!$F$123)*'Cálculos'!$F$252)+('Cálculos'!$F$243+'Cálculos'!$F$124*(1+2.78*('Cálculos'!$F$198+(($C210)-$A$177:$A$222)*'Cálculos'!$F$98)/(('Cálculos'!$F$198+(($C210)-$A$177:$A$222)*'Cálculos'!$F$98)+1400)+'Cálculos'!$F$122)*'Cálculos'!$F$248+'Cálculos'!$F$125*(1+2.78*('Cálculos'!$F$198+(($C210)-$A$177:$A$222)*'Cálculos'!$F$98)/(('Cálculos'!$F$198+(($C210)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210)-$A$177:$A$222)*'Cálculos'!$F$98)/(('Cálculos'!$F$199+(($C210)-$A$177:$A$222)*'Cálculos'!$F$98)+1400)+'Cálculos'!$F$122)*'Cálculos'!$F$259+'Cálculos'!$F$125*(1+2.78*('Cálculos'!$F$199+(($C210)-$A$177:$A$222)*'Cálculos'!$F$98)/(('Cálculos'!$F$199+(($C210)-$A$177:$A$222)*'Cálculos'!$F$98)+1400)+'Cálculos'!$F$123)*'Cálculos'!$F$264)+('Cálculos'!$F$199+(($C210)-$A$177:$A$222)*'Cálculos'!$F$98)*('Cálculos'!$F$255+'Cálculos'!$F$124*(1+2.78*('Cálculos'!$F$199+(($C210)-$A$177:$A$222)*'Cálculos'!$F$98)/(('Cálculos'!$F$199+(($C210)-$A$177:$A$222)*'Cálculos'!$F$98)+1400)+'Cálculos'!$F$122)*'Cálculos'!$F$260+'Cálculos'!$F$125*(1+2.78*('Cálculos'!$F$199+(($C210)-$A$177:$A$222)*'Cálculos'!$F$98)/(('Cálculos'!$F$199+(($C210)-$A$177:$A$222)*'Cálculos'!$F$98)+1400)+'Cálculos'!$F$123)*'Cálculos'!$F$265)+('Cálculos'!$F$201*(1+'Cálculos'!$F$202+$A$177:$A$222*('Cálculos'!$F$290=2)*'Cálculos'!$F$101)+'Cálculos'!$F$203)*('Cálculos'!$F$256+'Cálculos'!$F$124*(1+2.78*('Cálculos'!$F$199+(($C210)-$A$177:$A$222)*'Cálculos'!$F$98)/(('Cálculos'!$F$199+(($C210)-$A$177:$A$222)*'Cálculos'!$F$98)+1400)+'Cálculos'!$F$122)*'Cálculos'!$F$261+'Cálculos'!$F$125*(1+2.78*('Cálculos'!$F$199+(($C210)-$A$177:$A$222)*'Cálculos'!$F$98)/(('Cálculos'!$F$199+(($C210)-$A$177:$A$222)*'Cálculos'!$F$98)+1400)+'Cálculos'!$F$123)*'Cálculos'!$F$266)+('Cálculos'!$F$204*(1+'Cálculos'!$F$205+$A$177:$A$222*('Cálculos'!$F$290=3)*'Cálculos'!$F$103)+'Cálculos'!$F$206)*('Cálculos'!$F$257+'Cálculos'!$F$124*(1+2.78*('Cálculos'!$F$199+(($C210)-$A$177:$A$222)*'Cálculos'!$F$98)/(('Cálculos'!$F$199+(($C210)-$A$177:$A$222)*'Cálculos'!$F$98)+1400)+'Cálculos'!$F$122)*'Cálculos'!$F$262+'Cálculos'!$F$125*(1+2.78*('Cálculos'!$F$199+(($C210)-$A$177:$A$222)*'Cálculos'!$F$98)/(('Cálculos'!$F$199+(($C210)-$A$177:$A$222)*'Cálculos'!$F$98)+1400)+'Cálculos'!$F$123)*'Cálculos'!$F$267)+('Cálculos'!$F$258+'Cálculos'!$F$124*(1+2.78*('Cálculos'!$F$199+(($C210)-$A$177:$A$222)*'Cálculos'!$F$98)/(('Cálculos'!$F$199+(($C210)-$A$177:$A$222)*'Cálculos'!$F$98)+1400)+'Cálculos'!$F$122)*'Cálculos'!$F$263+'Cálculos'!$F$125*(1+2.78*('Cálculos'!$F$199+(($C210)-$A$177:$A$222)*'Cálculos'!$F$98)/(('Cálculos'!$F$199+(($C210)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210)-$A$177:$A$222)*'Cálculos'!$F$98)/(('Cálculos'!$F$200+(($C210)-$A$177:$A$222)*'Cálculos'!$F$98)+1400)+'Cálculos'!$F$122)*'Cálculos'!$F$274+'Cálculos'!$F$125*(1+2.78*('Cálculos'!$F$200+(($C210)-$A$177:$A$222)*'Cálculos'!$F$98)/(('Cálculos'!$F$200+(($C210)-$A$177:$A$222)*'Cálculos'!$F$98)+1400)+'Cálculos'!$F$123)*'Cálculos'!$F$279)+('Cálculos'!$F$200+(($C210)-$A$177:$A$222)*'Cálculos'!$F$98)*('Cálculos'!$F$270+'Cálculos'!$F$124*(1+2.78*('Cálculos'!$F$200+(($C210)-$A$177:$A$222)*'Cálculos'!$F$98)/(('Cálculos'!$F$200+(($C210)-$A$177:$A$222)*'Cálculos'!$F$98)+1400)+'Cálculos'!$F$122)*'Cálculos'!$F$275+'Cálculos'!$F$125*(1+2.78*('Cálculos'!$F$200+(($C210)-$A$177:$A$222)*'Cálculos'!$F$98)/(('Cálculos'!$F$200+(($C210)-$A$177:$A$222)*'Cálculos'!$F$98)+1400)+'Cálculos'!$F$123)*'Cálculos'!$F$280)+('Cálculos'!$F$201*(1+'Cálculos'!$F$202+$A$177:$A$222*('Cálculos'!$F$290=2)*'Cálculos'!$F$101)+'Cálculos'!$F$203)*('Cálculos'!$F$271+'Cálculos'!$F$124*(1+2.78*('Cálculos'!$F$200+(($C210)-$A$177:$A$222)*'Cálculos'!$F$98)/(('Cálculos'!$F$200+(($C210)-$A$177:$A$222)*'Cálculos'!$F$98)+1400)+'Cálculos'!$F$122)*'Cálculos'!$F$276+'Cálculos'!$F$125*(1+2.78*('Cálculos'!$F$200+(($C210)-$A$177:$A$222)*'Cálculos'!$F$98)/(('Cálculos'!$F$200+(($C210)-$A$177:$A$222)*'Cálculos'!$F$98)+1400)+'Cálculos'!$F$123)*'Cálculos'!$F$281)+('Cálculos'!$F$204*(1+'Cálculos'!$F$205+$A$177:$A$222*('Cálculos'!$F$290=3)*'Cálculos'!$F$103)+'Cálculos'!$F$206)*('Cálculos'!$F$272+'Cálculos'!$F$124*(1+2.78*('Cálculos'!$F$200+(($C210)-$A$177:$A$222)*'Cálculos'!$F$98)/(('Cálculos'!$F$200+(($C210)-$A$177:$A$222)*'Cálculos'!$F$98)+1400)+'Cálculos'!$F$122)*'Cálculos'!$F$277+'Cálculos'!$F$125*(1+2.78*('Cálculos'!$F$200+(($C210)-$A$177:$A$222)*'Cálculos'!$F$98)/(('Cálculos'!$F$200+(($C210)-$A$177:$A$222)*'Cálculos'!$F$98)+1400)+'Cálculos'!$F$123)*'Cálculos'!$F$282)+('Cálculos'!$F$273+'Cálculos'!$F$124*(1+2.78*('Cálculos'!$F$200+(($C210)-$A$177:$A$222)*'Cálculos'!$F$98)/(('Cálculos'!$F$200+(($C210)-$A$177:$A$222)*'Cálculos'!$F$98)+1400)+'Cálculos'!$F$122)*'Cálculos'!$F$278+'Cálculos'!$F$125*(1+2.78*('Cálculos'!$F$200+(($C210)-$A$177:$A$222)*'Cálculos'!$F$98)/(('Cálculos'!$F$200+(($C210)-$A$177:$A$222)*'Cálculos'!$F$98)+1400)+'Cálculos'!$F$123)*'Cálculos'!$F$283)))))</f>
        <v>0</v>
      </c>
      <c r="E210" s="32">
        <f>IF(OR($C210&lt;0,'Cálculos'!$F$6=""),0,$B210*$D210)</f>
        <v>0</v>
      </c>
      <c r="F210" s="2"/>
      <c r="G210" s="30">
        <f>($A210&lt;=$B$224)*($A210&lt;='Cálculos'!$F$294)*(($B$224)-$A210&lt;='Cálculos'!$F$295)*(1+MIN(('Cálculos'!$F$207+$A210*'Cálculos'!$F$95),1)*('Cálculos'!$F$208+(($B$224)-$A210)*'Cálculos'!$F$96))</f>
        <v>0</v>
      </c>
      <c r="H210" s="31">
        <f>IF($B$225&lt;0,0,($A210&lt;=$B$225)*($A210&lt;='Cálculos'!$F$301)*(($B$225)-$A210&lt;='Cálculos'!$F$297)*(('Cálculos'!$F$185*(1+'Cálculos'!$F$186+$A210*('Cálculos'!$F$290=1)*'Cálculos'!$F$97+'Cálculos'!$F$305)+'Cálculos'!$F$191)*('Cálculos'!$F$209+'Cálculos'!$F$124*(1+2.78*('Cálculos'!$F$196+(($B$225)-$A210)*'Cálculos'!$F$98)/(('Cálculos'!$F$196+(($B$225)-$A210)*'Cálculos'!$F$98)+1400)+'Cálculos'!$F$122)*'Cálculos'!$F$214+'Cálculos'!$F$125*(1+2.78*('Cálculos'!$F$196+(($B$225)-$A210)*'Cálculos'!$F$98)/(('Cálculos'!$F$196+(($B$225)-$A210)*'Cálculos'!$F$98)+1400)+'Cálculos'!$F$123)*'Cálculos'!$F$219)+('Cálculos'!$F$196+(($B$225)-$A210)*'Cálculos'!$F$98)*('Cálculos'!$F$210+'Cálculos'!$F$124*(1+2.78*('Cálculos'!$F$196+(($B$225)-$A210)*'Cálculos'!$F$98)/(('Cálculos'!$F$196+(($B$225)-$A210)*'Cálculos'!$F$98)+1400)+'Cálculos'!$F$122)*'Cálculos'!$F$215+'Cálculos'!$F$125*(1+2.78*('Cálculos'!$F$196+(($B$225)-$A210)*'Cálculos'!$F$98)/(('Cálculos'!$F$196+(($B$225)-$A210)*'Cálculos'!$F$98)+1400)+'Cálculos'!$F$123)*'Cálculos'!$F$220)+('Cálculos'!$F$201*(1+'Cálculos'!$F$202+$A210*('Cálculos'!$F$290=2)*'Cálculos'!$F$101)+'Cálculos'!$F$203)*('Cálculos'!$F$211+'Cálculos'!$F$124*(1+2.78*('Cálculos'!$F$196+(($B$225)-$A210)*'Cálculos'!$F$98)/(('Cálculos'!$F$196+(($B$225)-$A210)*'Cálculos'!$F$98)+1400)+'Cálculos'!$F$122)*'Cálculos'!$F$216+'Cálculos'!$F$125*(1+2.78*('Cálculos'!$F$196+(($B$225)-$A210)*'Cálculos'!$F$98)/(('Cálculos'!$F$196+(($B$225)-$A210)*'Cálculos'!$F$98)+1400)+'Cálculos'!$F$123)*'Cálculos'!$F$221)+('Cálculos'!$F$204*(1+'Cálculos'!$F$205+$A210*('Cálculos'!$F$290=3)*'Cálculos'!$F$103)+'Cálculos'!$F$206)*('Cálculos'!$F$212+'Cálculos'!$F$124*(1+2.78*('Cálculos'!$F$196+(($B$225)-$A210)*'Cálculos'!$F$98)/(('Cálculos'!$F$196+(($B$225)-$A210)*'Cálculos'!$F$98)+1400)+'Cálculos'!$F$122)*'Cálculos'!$F$217+'Cálculos'!$F$125*(1+2.78*('Cálculos'!$F$196+(($B$225)-$A210)*'Cálculos'!$F$98)/(('Cálculos'!$F$196+(($B$225)-$A210)*'Cálculos'!$F$98)+1400)+'Cálculos'!$F$123)*'Cálculos'!$F$222)+('Cálculos'!$F$213+'Cálculos'!$F$124*(1+2.78*('Cálculos'!$F$196+(($B$225)-$A210)*'Cálculos'!$F$98)/(('Cálculos'!$F$196+(($B$225)-$A210)*'Cálculos'!$F$98)+1400)+'Cálculos'!$F$122)*'Cálculos'!$F$218+'Cálculos'!$F$125*(1+2.78*('Cálculos'!$F$196+(($B$225)-$A210)*'Cálculos'!$F$98)/(('Cálculos'!$F$196+(($B$225)-$A210)*'Cálculos'!$F$98)+1400)+'Cálculos'!$F$123)*'Cálculos'!$F$223)+('Cálculos'!$F$185*(1+'Cálculos'!$F$187+$A210*('Cálculos'!$F$290=1)*'Cálculos'!$F$97+'Cálculos'!$F$305)+'Cálculos'!$F$192)*('Cálculos'!$F$224+'Cálculos'!$F$124*(1+2.78*('Cálculos'!$F$197+(($B$225)-$A210)*'Cálculos'!$F$98)/(('Cálculos'!$F$197+(($B$225)-$A210)*'Cálculos'!$F$98)+1400)+'Cálculos'!$F$122)*'Cálculos'!$F$229+'Cálculos'!$F$125*(1+2.78*('Cálculos'!$F$197+(($B$225)-$A210)*'Cálculos'!$F$98)/(('Cálculos'!$F$197+(($B$225)-$A210)*'Cálculos'!$F$98)+1400)+'Cálculos'!$F$123)*'Cálculos'!$F$234)+('Cálculos'!$F$197+(($B$225)-$A210)*'Cálculos'!$F$98)*('Cálculos'!$F$225+'Cálculos'!$F$124*(1+2.78*('Cálculos'!$F$197+(($B$225)-$A210)*'Cálculos'!$F$98)/(('Cálculos'!$F$197+(($B$225)-$A210)*'Cálculos'!$F$98)+1400)+'Cálculos'!$F$122)*'Cálculos'!$F$230+'Cálculos'!$F$125*(1+2.78*('Cálculos'!$F$197+(($B$225)-$A210)*'Cálculos'!$F$98)/(('Cálculos'!$F$197+(($B$225)-$A210)*'Cálculos'!$F$98)+1400)+'Cálculos'!$F$123)*'Cálculos'!$F$235)+('Cálculos'!$F$201*(1+'Cálculos'!$F$202+$A210*('Cálculos'!$F$290=2)*'Cálculos'!$F$101)+'Cálculos'!$F$203)*('Cálculos'!$F$226+'Cálculos'!$F$124*(1+2.78*('Cálculos'!$F$197+(($B$225)-$A210)*'Cálculos'!$F$98)/(('Cálculos'!$F$197+(($B$225)-$A210)*'Cálculos'!$F$98)+1400)+'Cálculos'!$F$122)*'Cálculos'!$F$231+'Cálculos'!$F$125*(1+2.78*('Cálculos'!$F$197+(($B$225)-$A210)*'Cálculos'!$F$98)/(('Cálculos'!$F$197+(($B$225)-$A210)*'Cálculos'!$F$98)+1400)+'Cálculos'!$F$123)*'Cálculos'!$F$236)+('Cálculos'!$F$204*(1+'Cálculos'!$F$205+$A210*('Cálculos'!$F$290=3)*'Cálculos'!$F$103)+'Cálculos'!$F$206)*('Cálculos'!$F$227+'Cálculos'!$F$124*(1+2.78*('Cálculos'!$F$197+(($B$225)-$A210)*'Cálculos'!$F$98)/(('Cálculos'!$F$197+(($B$225)-$A210)*'Cálculos'!$F$98)+1400)+'Cálculos'!$F$122)*'Cálculos'!$F$232+'Cálculos'!$F$125*(1+2.78*('Cálculos'!$F$197+(($B$225)-$A210)*'Cálculos'!$F$98)/(('Cálculos'!$F$197+(($B$225)-$A210)*'Cálculos'!$F$98)+1400)+'Cálculos'!$F$123)*'Cálculos'!$F$237)+('Cálculos'!$F$228+'Cálculos'!$F$124*(1+2.78*('Cálculos'!$F$197+(($B$225)-$A210)*'Cálculos'!$F$98)/(('Cálculos'!$F$197+(($B$225)-$A210)*'Cálculos'!$F$98)+1400)+'Cálculos'!$F$122)*'Cálculos'!$F$233+'Cálculos'!$F$125*(1+2.78*('Cálculos'!$F$197+(($B$225)-$A210)*'Cálculos'!$F$98)/(('Cálculos'!$F$197+(($B$225)-$A210)*'Cálculos'!$F$98)+1400)+'Cálculos'!$F$123)*'Cálculos'!$F$238)+('Cálculos'!$F$185*(1+'Cálculos'!$F$188+$A210*('Cálculos'!$F$290=1)*'Cálculos'!$F$97+'Cálculos'!$F$305)+'Cálculos'!$F$193)*('Cálculos'!$F$239+'Cálculos'!$F$124*(1+2.78*('Cálculos'!$F$198+(($B$225)-$A210)*'Cálculos'!$F$98)/(('Cálculos'!$F$198+(($B$225)-$A210)*'Cálculos'!$F$98)+1400)+'Cálculos'!$F$122)*'Cálculos'!$F$244+'Cálculos'!$F$125*(1+2.78*('Cálculos'!$F$198+(($B$225)-$A210)*'Cálculos'!$F$98)/(('Cálculos'!$F$198+(($B$225)-$A210)*'Cálculos'!$F$98)+1400)+'Cálculos'!$F$123)*'Cálculos'!$F$249)+('Cálculos'!$F$198+(($B$225)-$A210)*'Cálculos'!$F$98)*('Cálculos'!$F$240+'Cálculos'!$F$124*(1+2.78*('Cálculos'!$F$198+(($B$225)-$A210)*'Cálculos'!$F$98)/(('Cálculos'!$F$198+(($B$225)-$A210)*'Cálculos'!$F$98)+1400)+'Cálculos'!$F$122)*'Cálculos'!$F$245+'Cálculos'!$F$125*(1+2.78*('Cálculos'!$F$198+(($B$225)-$A210)*'Cálculos'!$F$98)/(('Cálculos'!$F$198+(($B$225)-$A210)*'Cálculos'!$F$98)+1400)+'Cálculos'!$F$123)*'Cálculos'!$F$250)+('Cálculos'!$F$201*(1+'Cálculos'!$F$202+$A210*('Cálculos'!$F$290=2)*'Cálculos'!$F$101)+'Cálculos'!$F$203)*('Cálculos'!$F$241+'Cálculos'!$F$124*(1+2.78*('Cálculos'!$F$198+(($B$225)-$A210)*'Cálculos'!$F$98)/(('Cálculos'!$F$198+(($B$225)-$A210)*'Cálculos'!$F$98)+1400)+'Cálculos'!$F$122)*'Cálculos'!$F$246+'Cálculos'!$F$125*(1+2.78*('Cálculos'!$F$198+(($B$225)-$A210)*'Cálculos'!$F$98)/(('Cálculos'!$F$198+(($B$225)-$A210)*'Cálculos'!$F$98)+1400)+'Cálculos'!$F$123)*'Cálculos'!$F$251)+('Cálculos'!$F$204*(1+'Cálculos'!$F$205+$A210*('Cálculos'!$F$290=3)*'Cálculos'!$F$103)+'Cálculos'!$F$206)*('Cálculos'!$F$242+'Cálculos'!$F$124*(1+2.78*('Cálculos'!$F$198+(($B$225)-$A210)*'Cálculos'!$F$98)/(('Cálculos'!$F$198+(($B$225)-$A210)*'Cálculos'!$F$98)+1400)+'Cálculos'!$F$122)*'Cálculos'!$F$247+'Cálculos'!$F$125*(1+2.78*('Cálculos'!$F$198+(($B$225)-$A210)*'Cálculos'!$F$98)/(('Cálculos'!$F$198+(($B$225)-$A210)*'Cálculos'!$F$98)+1400)+'Cálculos'!$F$123)*'Cálculos'!$F$252)+('Cálculos'!$F$243+'Cálculos'!$F$124*(1+2.78*('Cálculos'!$F$198+(($B$225)-$A210)*'Cálculos'!$F$98)/(('Cálculos'!$F$198+(($B$225)-$A210)*'Cálculos'!$F$98)+1400)+'Cálculos'!$F$122)*'Cálculos'!$F$248+'Cálculos'!$F$125*(1+2.78*('Cálculos'!$F$198+(($B$225)-$A210)*'Cálculos'!$F$98)/(('Cálculos'!$F$198+(($B$225)-$A210)*'Cálculos'!$F$98)+1400)+'Cálculos'!$F$123)*'Cálculos'!$F$253)+('Cálculos'!$F$185*(1+'Cálculos'!$F$189+$A210*('Cálculos'!$F$290=1)*'Cálculos'!$F$97+'Cálculos'!$F$305)+'Cálculos'!$F$194)*('Cálculos'!$F$254+'Cálculos'!$F$124*(1+2.78*('Cálculos'!$F$199+(($B$225)-$A210)*'Cálculos'!$F$98)/(('Cálculos'!$F$199+(($B$225)-$A210)*'Cálculos'!$F$98)+1400)+'Cálculos'!$F$122)*'Cálculos'!$F$259+'Cálculos'!$F$125*(1+2.78*('Cálculos'!$F$199+(($B$225)-$A210)*'Cálculos'!$F$98)/(('Cálculos'!$F$199+(($B$225)-$A210)*'Cálculos'!$F$98)+1400)+'Cálculos'!$F$123)*'Cálculos'!$F$264)+('Cálculos'!$F$199+(($B$225)-$A210)*'Cálculos'!$F$98)*('Cálculos'!$F$255+'Cálculos'!$F$124*(1+2.78*('Cálculos'!$F$199+(($B$225)-$A210)*'Cálculos'!$F$98)/(('Cálculos'!$F$199+(($B$225)-$A210)*'Cálculos'!$F$98)+1400)+'Cálculos'!$F$122)*'Cálculos'!$F$260+'Cálculos'!$F$125*(1+2.78*('Cálculos'!$F$199+(($B$225)-$A210)*'Cálculos'!$F$98)/(('Cálculos'!$F$199+(($B$225)-$A210)*'Cálculos'!$F$98)+1400)+'Cálculos'!$F$123)*'Cálculos'!$F$265)+('Cálculos'!$F$201*(1+'Cálculos'!$F$202+$A210*('Cálculos'!$F$290=2)*'Cálculos'!$F$101)+'Cálculos'!$F$203)*('Cálculos'!$F$256+'Cálculos'!$F$124*(1+2.78*('Cálculos'!$F$199+(($B$225)-$A210)*'Cálculos'!$F$98)/(('Cálculos'!$F$199+(($B$225)-$A210)*'Cálculos'!$F$98)+1400)+'Cálculos'!$F$122)*'Cálculos'!$F$261+'Cálculos'!$F$125*(1+2.78*('Cálculos'!$F$199+(($B$225)-$A210)*'Cálculos'!$F$98)/(('Cálculos'!$F$199+(($B$225)-$A210)*'Cálculos'!$F$98)+1400)+'Cálculos'!$F$123)*'Cálculos'!$F$266)+('Cálculos'!$F$204*(1+'Cálculos'!$F$205+$A210*('Cálculos'!$F$290=3)*'Cálculos'!$F$103)+'Cálculos'!$F$206)*('Cálculos'!$F$257+'Cálculos'!$F$124*(1+2.78*('Cálculos'!$F$199+(($B$225)-$A210)*'Cálculos'!$F$98)/(('Cálculos'!$F$199+(($B$225)-$A210)*'Cálculos'!$F$98)+1400)+'Cálculos'!$F$122)*'Cálculos'!$F$262+'Cálculos'!$F$125*(1+2.78*('Cálculos'!$F$199+(($B$225)-$A210)*'Cálculos'!$F$98)/(('Cálculos'!$F$199+(($B$225)-$A210)*'Cálculos'!$F$98)+1400)+'Cálculos'!$F$123)*'Cálculos'!$F$267)+('Cálculos'!$F$258+'Cálculos'!$F$124*(1+2.78*('Cálculos'!$F$199+(($B$225)-$A210)*'Cálculos'!$F$98)/(('Cálculos'!$F$199+(($B$225)-$A210)*'Cálculos'!$F$98)+1400)+'Cálculos'!$F$122)*'Cálculos'!$F$263+'Cálculos'!$F$125*(1+2.78*('Cálculos'!$F$199+(($B$225)-$A210)*'Cálculos'!$F$98)/(('Cálculos'!$F$199+(($B$225)-$A210)*'Cálculos'!$F$98)+1400)+'Cálculos'!$F$123)*'Cálculos'!$F$268)+('Cálculos'!$F$185*(1+'Cálculos'!$F$190+$A210*('Cálculos'!$F$290=1)*'Cálculos'!$F$97+'Cálculos'!$F$305)+'Cálculos'!$F$195)*('Cálculos'!$F$269+'Cálculos'!$F$124*(1+2.78*('Cálculos'!$F$200+(($B$225)-$A210)*'Cálculos'!$F$98)/(('Cálculos'!$F$200+(($B$225)-$A210)*'Cálculos'!$F$98)+1400)+'Cálculos'!$F$122)*'Cálculos'!$F$274+'Cálculos'!$F$125*(1+2.78*('Cálculos'!$F$200+(($B$225)-$A210)*'Cálculos'!$F$98)/(('Cálculos'!$F$200+(($B$225)-$A210)*'Cálculos'!$F$98)+1400)+'Cálculos'!$F$123)*'Cálculos'!$F$279)+('Cálculos'!$F$200+(($B$225)-$A210)*'Cálculos'!$F$98)*('Cálculos'!$F$270+'Cálculos'!$F$124*(1+2.78*('Cálculos'!$F$200+(($B$225)-$A210)*'Cálculos'!$F$98)/(('Cálculos'!$F$200+(($B$225)-$A210)*'Cálculos'!$F$98)+1400)+'Cálculos'!$F$122)*'Cálculos'!$F$275+'Cálculos'!$F$125*(1+2.78*('Cálculos'!$F$200+(($B$225)-$A210)*'Cálculos'!$F$98)/(('Cálculos'!$F$200+(($B$225)-$A210)*'Cálculos'!$F$98)+1400)+'Cálculos'!$F$123)*'Cálculos'!$F$280)+('Cálculos'!$F$201*(1+'Cálculos'!$F$202+$A210*('Cálculos'!$F$290=2)*'Cálculos'!$F$101)+'Cálculos'!$F$203)*('Cálculos'!$F$271+'Cálculos'!$F$124*(1+2.78*('Cálculos'!$F$200+(($B$225)-$A210)*'Cálculos'!$F$98)/(('Cálculos'!$F$200+(($B$225)-$A210)*'Cálculos'!$F$98)+1400)+'Cálculos'!$F$122)*'Cálculos'!$F$276+'Cálculos'!$F$125*(1+2.78*('Cálculos'!$F$200+(($B$225)-$A210)*'Cálculos'!$F$98)/(('Cálculos'!$F$200+(($B$225)-$A210)*'Cálculos'!$F$98)+1400)+'Cálculos'!$F$123)*'Cálculos'!$F$281)+('Cálculos'!$F$204*(1+'Cálculos'!$F$205+$A210*('Cálculos'!$F$290=3)*'Cálculos'!$F$103)+'Cálculos'!$F$206)*('Cálculos'!$F$272+'Cálculos'!$F$124*(1+2.78*('Cálculos'!$F$200+(($B$225)-$A210)*'Cálculos'!$F$98)/(('Cálculos'!$F$200+(($B$225)-$A210)*'Cálculos'!$F$98)+1400)+'Cálculos'!$F$122)*'Cálculos'!$F$277+'Cálculos'!$F$125*(1+2.78*('Cálculos'!$F$200+(($B$225)-$A210)*'Cálculos'!$F$98)/(('Cálculos'!$F$200+(($B$225)-$A210)*'Cálculos'!$F$98)+1400)+'Cálculos'!$F$123)*'Cálculos'!$F$282)+('Cálculos'!$F$273+'Cálculos'!$F$124*(1+2.78*('Cálculos'!$F$200+(($B$225)-$A210)*'Cálculos'!$F$98)/(('Cálculos'!$F$200+(($B$225)-$A210)*'Cálculos'!$F$98)+1400)+'Cálculos'!$F$122)*'Cálculos'!$F$278+'Cálculos'!$F$125*(1+2.78*('Cálculos'!$F$200+(($B$225)-$A210)*'Cálculos'!$F$98)/(('Cálculos'!$F$200+(($B$225)-$A210)*'Cálculos'!$F$98)+1400)+'Cálculos'!$F$123)*'Cálculos'!$F$283)))</f>
        <v>0</v>
      </c>
    </row>
    <row r="211" ht="15.75" customHeight="1">
      <c r="A211" s="2">
        <v>34.0</v>
      </c>
      <c r="B211" s="30">
        <f>SUMPRODUCT(MAX(($A$177:$A$222&lt;=$A211)*($A$177:$A$222&lt;='Cálculos'!$F$294)*(($A211)-$A$177:$A$222&lt;='Cálculos'!$F$295)*(1+(('Cálculos'!$F$207+$A$177:$A$222*'Cálculos'!$F$95)-(('Cálculos'!$F$207+$A$177:$A$222*'Cálculos'!$F$95)&gt;1)*(('Cálculos'!$F$207+$A$177:$A$222*'Cálculos'!$F$95)-1))*('Cálculos'!$F$208+(($A211)-$A$177:$A$222)*'Cálculos'!$F$96))))</f>
        <v>3.36626</v>
      </c>
      <c r="C211" s="2">
        <f>'Cálculos'!$F$303-$A211</f>
        <v>-16</v>
      </c>
      <c r="D211" s="31">
        <f>IF($C211&lt;0,0,SUMPRODUCT(MAX(($A$177:$A$222&lt;=$C211)*($A$177:$A$222&lt;='Cálculos'!$F$301)*(($C211)-$A$177:$A$222&lt;='Cálculos'!$F$297)*(('Cálculos'!$F$185*(1+'Cálculos'!$F$186+$A$177:$A$222*('Cálculos'!$F$290=1)*'Cálculos'!$F$97+'Cálculos'!$F$305)+'Cálculos'!$F$191)*('Cálculos'!$F$209+'Cálculos'!$F$124*(1+2.78*('Cálculos'!$F$196+(($C211)-$A$177:$A$222)*'Cálculos'!$F$98)/(('Cálculos'!$F$196+(($C211)-$A$177:$A$222)*'Cálculos'!$F$98)+1400)+'Cálculos'!$F$122)*'Cálculos'!$F$214+'Cálculos'!$F$125*(1+2.78*('Cálculos'!$F$196+(($C211)-$A$177:$A$222)*'Cálculos'!$F$98)/(('Cálculos'!$F$196+(($C211)-$A$177:$A$222)*'Cálculos'!$F$98)+1400)+'Cálculos'!$F$123)*'Cálculos'!$F$219)+('Cálculos'!$F$196+(($C211)-$A$177:$A$222)*'Cálculos'!$F$98)*('Cálculos'!$F$210+'Cálculos'!$F$124*(1+2.78*('Cálculos'!$F$196+(($C211)-$A$177:$A$222)*'Cálculos'!$F$98)/(('Cálculos'!$F$196+(($C211)-$A$177:$A$222)*'Cálculos'!$F$98)+1400)+'Cálculos'!$F$122)*'Cálculos'!$F$215+'Cálculos'!$F$125*(1+2.78*('Cálculos'!$F$196+(($C211)-$A$177:$A$222)*'Cálculos'!$F$98)/(('Cálculos'!$F$196+(($C211)-$A$177:$A$222)*'Cálculos'!$F$98)+1400)+'Cálculos'!$F$123)*'Cálculos'!$F$220)+('Cálculos'!$F$201*(1+'Cálculos'!$F$202+$A$177:$A$222*('Cálculos'!$F$290=2)*'Cálculos'!$F$101)+'Cálculos'!$F$203)*('Cálculos'!$F$211+'Cálculos'!$F$124*(1+2.78*('Cálculos'!$F$196+(($C211)-$A$177:$A$222)*'Cálculos'!$F$98)/(('Cálculos'!$F$196+(($C211)-$A$177:$A$222)*'Cálculos'!$F$98)+1400)+'Cálculos'!$F$122)*'Cálculos'!$F$216+'Cálculos'!$F$125*(1+2.78*('Cálculos'!$F$196+(($C211)-$A$177:$A$222)*'Cálculos'!$F$98)/(('Cálculos'!$F$196+(($C211)-$A$177:$A$222)*'Cálculos'!$F$98)+1400)+'Cálculos'!$F$123)*'Cálculos'!$F$221)+('Cálculos'!$F$204*(1+'Cálculos'!$F$205+$A$177:$A$222*('Cálculos'!$F$290=3)*'Cálculos'!$F$103)+'Cálculos'!$F$206)*('Cálculos'!$F$212+'Cálculos'!$F$124*(1+2.78*('Cálculos'!$F$196+(($C211)-$A$177:$A$222)*'Cálculos'!$F$98)/(('Cálculos'!$F$196+(($C211)-$A$177:$A$222)*'Cálculos'!$F$98)+1400)+'Cálculos'!$F$122)*'Cálculos'!$F$217+'Cálculos'!$F$125*(1+2.78*('Cálculos'!$F$196+(($C211)-$A$177:$A$222)*'Cálculos'!$F$98)/(('Cálculos'!$F$196+(($C211)-$A$177:$A$222)*'Cálculos'!$F$98)+1400)+'Cálculos'!$F$123)*'Cálculos'!$F$222)+('Cálculos'!$F$213+'Cálculos'!$F$124*(1+2.78*('Cálculos'!$F$196+(($C211)-$A$177:$A$222)*'Cálculos'!$F$98)/(('Cálculos'!$F$196+(($C211)-$A$177:$A$222)*'Cálculos'!$F$98)+1400)+'Cálculos'!$F$122)*'Cálculos'!$F$218+'Cálculos'!$F$125*(1+2.78*('Cálculos'!$F$196+(($C211)-$A$177:$A$222)*'Cálculos'!$F$98)/(('Cálculos'!$F$196+(($C211)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211)-$A$177:$A$222)*'Cálculos'!$F$98)/(('Cálculos'!$F$197+(($C211)-$A$177:$A$222)*'Cálculos'!$F$98)+1400)+'Cálculos'!$F$122)*'Cálculos'!$F$229+'Cálculos'!$F$125*(1+2.78*('Cálculos'!$F$197+(($C211)-$A$177:$A$222)*'Cálculos'!$F$98)/(('Cálculos'!$F$197+(($C211)-$A$177:$A$222)*'Cálculos'!$F$98)+1400)+'Cálculos'!$F$123)*'Cálculos'!$F$234)+('Cálculos'!$F$197+(($C211)-$A$177:$A$222)*'Cálculos'!$F$98)*('Cálculos'!$F$225+'Cálculos'!$F$124*(1+2.78*('Cálculos'!$F$197+(($C211)-$A$177:$A$222)*'Cálculos'!$F$98)/(('Cálculos'!$F$197+(($C211)-$A$177:$A$222)*'Cálculos'!$F$98)+1400)+'Cálculos'!$F$122)*'Cálculos'!$F$230+'Cálculos'!$F$125*(1+2.78*('Cálculos'!$F$197+(($C211)-$A$177:$A$222)*'Cálculos'!$F$98)/(('Cálculos'!$F$197+(($C211)-$A$177:$A$222)*'Cálculos'!$F$98)+1400)+'Cálculos'!$F$123)*'Cálculos'!$F$235)+('Cálculos'!$F$201*(1+'Cálculos'!$F$202+$A$177:$A$222*('Cálculos'!$F$290=2)*'Cálculos'!$F$101)+'Cálculos'!$F$203)*('Cálculos'!$F$226+'Cálculos'!$F$124*(1+2.78*('Cálculos'!$F$197+(($C211)-$A$177:$A$222)*'Cálculos'!$F$98)/(('Cálculos'!$F$197+(($C211)-$A$177:$A$222)*'Cálculos'!$F$98)+1400)+'Cálculos'!$F$122)*'Cálculos'!$F$231+'Cálculos'!$F$125*(1+2.78*('Cálculos'!$F$197+(($C211)-$A$177:$A$222)*'Cálculos'!$F$98)/(('Cálculos'!$F$197+(($C211)-$A$177:$A$222)*'Cálculos'!$F$98)+1400)+'Cálculos'!$F$123)*'Cálculos'!$F$236)+('Cálculos'!$F$204*(1+'Cálculos'!$F$205+$A$177:$A$222*('Cálculos'!$F$290=3)*'Cálculos'!$F$103)+'Cálculos'!$F$206)*('Cálculos'!$F$227+'Cálculos'!$F$124*(1+2.78*('Cálculos'!$F$197+(($C211)-$A$177:$A$222)*'Cálculos'!$F$98)/(('Cálculos'!$F$197+(($C211)-$A$177:$A$222)*'Cálculos'!$F$98)+1400)+'Cálculos'!$F$122)*'Cálculos'!$F$232+'Cálculos'!$F$125*(1+2.78*('Cálculos'!$F$197+(($C211)-$A$177:$A$222)*'Cálculos'!$F$98)/(('Cálculos'!$F$197+(($C211)-$A$177:$A$222)*'Cálculos'!$F$98)+1400)+'Cálculos'!$F$123)*'Cálculos'!$F$237)+('Cálculos'!$F$228+'Cálculos'!$F$124*(1+2.78*('Cálculos'!$F$197+(($C211)-$A$177:$A$222)*'Cálculos'!$F$98)/(('Cálculos'!$F$197+(($C211)-$A$177:$A$222)*'Cálculos'!$F$98)+1400)+'Cálculos'!$F$122)*'Cálculos'!$F$233+'Cálculos'!$F$125*(1+2.78*('Cálculos'!$F$197+(($C211)-$A$177:$A$222)*'Cálculos'!$F$98)/(('Cálculos'!$F$197+(($C211)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211)-$A$177:$A$222)*'Cálculos'!$F$98)/(('Cálculos'!$F$198+(($C211)-$A$177:$A$222)*'Cálculos'!$F$98)+1400)+'Cálculos'!$F$122)*'Cálculos'!$F$244+'Cálculos'!$F$125*(1+2.78*('Cálculos'!$F$198+(($C211)-$A$177:$A$222)*'Cálculos'!$F$98)/(('Cálculos'!$F$198+(($C211)-$A$177:$A$222)*'Cálculos'!$F$98)+1400)+'Cálculos'!$F$123)*'Cálculos'!$F$249)+('Cálculos'!$F$198+(($C211)-$A$177:$A$222)*'Cálculos'!$F$98)*('Cálculos'!$F$240+'Cálculos'!$F$124*(1+2.78*('Cálculos'!$F$198+(($C211)-$A$177:$A$222)*'Cálculos'!$F$98)/(('Cálculos'!$F$198+(($C211)-$A$177:$A$222)*'Cálculos'!$F$98)+1400)+'Cálculos'!$F$122)*'Cálculos'!$F$245+'Cálculos'!$F$125*(1+2.78*('Cálculos'!$F$198+(($C211)-$A$177:$A$222)*'Cálculos'!$F$98)/(('Cálculos'!$F$198+(($C211)-$A$177:$A$222)*'Cálculos'!$F$98)+1400)+'Cálculos'!$F$123)*'Cálculos'!$F$250)+('Cálculos'!$F$201*(1+'Cálculos'!$F$202+$A$177:$A$222*('Cálculos'!$F$290=2)*'Cálculos'!$F$101)+'Cálculos'!$F$203)*('Cálculos'!$F$241+'Cálculos'!$F$124*(1+2.78*('Cálculos'!$F$198+(($C211)-$A$177:$A$222)*'Cálculos'!$F$98)/(('Cálculos'!$F$198+(($C211)-$A$177:$A$222)*'Cálculos'!$F$98)+1400)+'Cálculos'!$F$122)*'Cálculos'!$F$246+'Cálculos'!$F$125*(1+2.78*('Cálculos'!$F$198+(($C211)-$A$177:$A$222)*'Cálculos'!$F$98)/(('Cálculos'!$F$198+(($C211)-$A$177:$A$222)*'Cálculos'!$F$98)+1400)+'Cálculos'!$F$123)*'Cálculos'!$F$251)+('Cálculos'!$F$204*(1+'Cálculos'!$F$205+$A$177:$A$222*('Cálculos'!$F$290=3)*'Cálculos'!$F$103)+'Cálculos'!$F$206)*('Cálculos'!$F$242+'Cálculos'!$F$124*(1+2.78*('Cálculos'!$F$198+(($C211)-$A$177:$A$222)*'Cálculos'!$F$98)/(('Cálculos'!$F$198+(($C211)-$A$177:$A$222)*'Cálculos'!$F$98)+1400)+'Cálculos'!$F$122)*'Cálculos'!$F$247+'Cálculos'!$F$125*(1+2.78*('Cálculos'!$F$198+(($C211)-$A$177:$A$222)*'Cálculos'!$F$98)/(('Cálculos'!$F$198+(($C211)-$A$177:$A$222)*'Cálculos'!$F$98)+1400)+'Cálculos'!$F$123)*'Cálculos'!$F$252)+('Cálculos'!$F$243+'Cálculos'!$F$124*(1+2.78*('Cálculos'!$F$198+(($C211)-$A$177:$A$222)*'Cálculos'!$F$98)/(('Cálculos'!$F$198+(($C211)-$A$177:$A$222)*'Cálculos'!$F$98)+1400)+'Cálculos'!$F$122)*'Cálculos'!$F$248+'Cálculos'!$F$125*(1+2.78*('Cálculos'!$F$198+(($C211)-$A$177:$A$222)*'Cálculos'!$F$98)/(('Cálculos'!$F$198+(($C211)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211)-$A$177:$A$222)*'Cálculos'!$F$98)/(('Cálculos'!$F$199+(($C211)-$A$177:$A$222)*'Cálculos'!$F$98)+1400)+'Cálculos'!$F$122)*'Cálculos'!$F$259+'Cálculos'!$F$125*(1+2.78*('Cálculos'!$F$199+(($C211)-$A$177:$A$222)*'Cálculos'!$F$98)/(('Cálculos'!$F$199+(($C211)-$A$177:$A$222)*'Cálculos'!$F$98)+1400)+'Cálculos'!$F$123)*'Cálculos'!$F$264)+('Cálculos'!$F$199+(($C211)-$A$177:$A$222)*'Cálculos'!$F$98)*('Cálculos'!$F$255+'Cálculos'!$F$124*(1+2.78*('Cálculos'!$F$199+(($C211)-$A$177:$A$222)*'Cálculos'!$F$98)/(('Cálculos'!$F$199+(($C211)-$A$177:$A$222)*'Cálculos'!$F$98)+1400)+'Cálculos'!$F$122)*'Cálculos'!$F$260+'Cálculos'!$F$125*(1+2.78*('Cálculos'!$F$199+(($C211)-$A$177:$A$222)*'Cálculos'!$F$98)/(('Cálculos'!$F$199+(($C211)-$A$177:$A$222)*'Cálculos'!$F$98)+1400)+'Cálculos'!$F$123)*'Cálculos'!$F$265)+('Cálculos'!$F$201*(1+'Cálculos'!$F$202+$A$177:$A$222*('Cálculos'!$F$290=2)*'Cálculos'!$F$101)+'Cálculos'!$F$203)*('Cálculos'!$F$256+'Cálculos'!$F$124*(1+2.78*('Cálculos'!$F$199+(($C211)-$A$177:$A$222)*'Cálculos'!$F$98)/(('Cálculos'!$F$199+(($C211)-$A$177:$A$222)*'Cálculos'!$F$98)+1400)+'Cálculos'!$F$122)*'Cálculos'!$F$261+'Cálculos'!$F$125*(1+2.78*('Cálculos'!$F$199+(($C211)-$A$177:$A$222)*'Cálculos'!$F$98)/(('Cálculos'!$F$199+(($C211)-$A$177:$A$222)*'Cálculos'!$F$98)+1400)+'Cálculos'!$F$123)*'Cálculos'!$F$266)+('Cálculos'!$F$204*(1+'Cálculos'!$F$205+$A$177:$A$222*('Cálculos'!$F$290=3)*'Cálculos'!$F$103)+'Cálculos'!$F$206)*('Cálculos'!$F$257+'Cálculos'!$F$124*(1+2.78*('Cálculos'!$F$199+(($C211)-$A$177:$A$222)*'Cálculos'!$F$98)/(('Cálculos'!$F$199+(($C211)-$A$177:$A$222)*'Cálculos'!$F$98)+1400)+'Cálculos'!$F$122)*'Cálculos'!$F$262+'Cálculos'!$F$125*(1+2.78*('Cálculos'!$F$199+(($C211)-$A$177:$A$222)*'Cálculos'!$F$98)/(('Cálculos'!$F$199+(($C211)-$A$177:$A$222)*'Cálculos'!$F$98)+1400)+'Cálculos'!$F$123)*'Cálculos'!$F$267)+('Cálculos'!$F$258+'Cálculos'!$F$124*(1+2.78*('Cálculos'!$F$199+(($C211)-$A$177:$A$222)*'Cálculos'!$F$98)/(('Cálculos'!$F$199+(($C211)-$A$177:$A$222)*'Cálculos'!$F$98)+1400)+'Cálculos'!$F$122)*'Cálculos'!$F$263+'Cálculos'!$F$125*(1+2.78*('Cálculos'!$F$199+(($C211)-$A$177:$A$222)*'Cálculos'!$F$98)/(('Cálculos'!$F$199+(($C211)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211)-$A$177:$A$222)*'Cálculos'!$F$98)/(('Cálculos'!$F$200+(($C211)-$A$177:$A$222)*'Cálculos'!$F$98)+1400)+'Cálculos'!$F$122)*'Cálculos'!$F$274+'Cálculos'!$F$125*(1+2.78*('Cálculos'!$F$200+(($C211)-$A$177:$A$222)*'Cálculos'!$F$98)/(('Cálculos'!$F$200+(($C211)-$A$177:$A$222)*'Cálculos'!$F$98)+1400)+'Cálculos'!$F$123)*'Cálculos'!$F$279)+('Cálculos'!$F$200+(($C211)-$A$177:$A$222)*'Cálculos'!$F$98)*('Cálculos'!$F$270+'Cálculos'!$F$124*(1+2.78*('Cálculos'!$F$200+(($C211)-$A$177:$A$222)*'Cálculos'!$F$98)/(('Cálculos'!$F$200+(($C211)-$A$177:$A$222)*'Cálculos'!$F$98)+1400)+'Cálculos'!$F$122)*'Cálculos'!$F$275+'Cálculos'!$F$125*(1+2.78*('Cálculos'!$F$200+(($C211)-$A$177:$A$222)*'Cálculos'!$F$98)/(('Cálculos'!$F$200+(($C211)-$A$177:$A$222)*'Cálculos'!$F$98)+1400)+'Cálculos'!$F$123)*'Cálculos'!$F$280)+('Cálculos'!$F$201*(1+'Cálculos'!$F$202+$A$177:$A$222*('Cálculos'!$F$290=2)*'Cálculos'!$F$101)+'Cálculos'!$F$203)*('Cálculos'!$F$271+'Cálculos'!$F$124*(1+2.78*('Cálculos'!$F$200+(($C211)-$A$177:$A$222)*'Cálculos'!$F$98)/(('Cálculos'!$F$200+(($C211)-$A$177:$A$222)*'Cálculos'!$F$98)+1400)+'Cálculos'!$F$122)*'Cálculos'!$F$276+'Cálculos'!$F$125*(1+2.78*('Cálculos'!$F$200+(($C211)-$A$177:$A$222)*'Cálculos'!$F$98)/(('Cálculos'!$F$200+(($C211)-$A$177:$A$222)*'Cálculos'!$F$98)+1400)+'Cálculos'!$F$123)*'Cálculos'!$F$281)+('Cálculos'!$F$204*(1+'Cálculos'!$F$205+$A$177:$A$222*('Cálculos'!$F$290=3)*'Cálculos'!$F$103)+'Cálculos'!$F$206)*('Cálculos'!$F$272+'Cálculos'!$F$124*(1+2.78*('Cálculos'!$F$200+(($C211)-$A$177:$A$222)*'Cálculos'!$F$98)/(('Cálculos'!$F$200+(($C211)-$A$177:$A$222)*'Cálculos'!$F$98)+1400)+'Cálculos'!$F$122)*'Cálculos'!$F$277+'Cálculos'!$F$125*(1+2.78*('Cálculos'!$F$200+(($C211)-$A$177:$A$222)*'Cálculos'!$F$98)/(('Cálculos'!$F$200+(($C211)-$A$177:$A$222)*'Cálculos'!$F$98)+1400)+'Cálculos'!$F$123)*'Cálculos'!$F$282)+('Cálculos'!$F$273+'Cálculos'!$F$124*(1+2.78*('Cálculos'!$F$200+(($C211)-$A$177:$A$222)*'Cálculos'!$F$98)/(('Cálculos'!$F$200+(($C211)-$A$177:$A$222)*'Cálculos'!$F$98)+1400)+'Cálculos'!$F$122)*'Cálculos'!$F$278+'Cálculos'!$F$125*(1+2.78*('Cálculos'!$F$200+(($C211)-$A$177:$A$222)*'Cálculos'!$F$98)/(('Cálculos'!$F$200+(($C211)-$A$177:$A$222)*'Cálculos'!$F$98)+1400)+'Cálculos'!$F$123)*'Cálculos'!$F$283)))))</f>
        <v>0</v>
      </c>
      <c r="E211" s="32">
        <f>IF(OR($C211&lt;0,'Cálculos'!$F$6=""),0,$B211*$D211)</f>
        <v>0</v>
      </c>
      <c r="F211" s="2"/>
      <c r="G211" s="30">
        <f>($A211&lt;=$B$224)*($A211&lt;='Cálculos'!$F$294)*(($B$224)-$A211&lt;='Cálculos'!$F$295)*(1+MIN(('Cálculos'!$F$207+$A211*'Cálculos'!$F$95),1)*('Cálculos'!$F$208+(($B$224)-$A211)*'Cálculos'!$F$96))</f>
        <v>0</v>
      </c>
      <c r="H211" s="31">
        <f>IF($B$225&lt;0,0,($A211&lt;=$B$225)*($A211&lt;='Cálculos'!$F$301)*(($B$225)-$A211&lt;='Cálculos'!$F$297)*(('Cálculos'!$F$185*(1+'Cálculos'!$F$186+$A211*('Cálculos'!$F$290=1)*'Cálculos'!$F$97+'Cálculos'!$F$305)+'Cálculos'!$F$191)*('Cálculos'!$F$209+'Cálculos'!$F$124*(1+2.78*('Cálculos'!$F$196+(($B$225)-$A211)*'Cálculos'!$F$98)/(('Cálculos'!$F$196+(($B$225)-$A211)*'Cálculos'!$F$98)+1400)+'Cálculos'!$F$122)*'Cálculos'!$F$214+'Cálculos'!$F$125*(1+2.78*('Cálculos'!$F$196+(($B$225)-$A211)*'Cálculos'!$F$98)/(('Cálculos'!$F$196+(($B$225)-$A211)*'Cálculos'!$F$98)+1400)+'Cálculos'!$F$123)*'Cálculos'!$F$219)+('Cálculos'!$F$196+(($B$225)-$A211)*'Cálculos'!$F$98)*('Cálculos'!$F$210+'Cálculos'!$F$124*(1+2.78*('Cálculos'!$F$196+(($B$225)-$A211)*'Cálculos'!$F$98)/(('Cálculos'!$F$196+(($B$225)-$A211)*'Cálculos'!$F$98)+1400)+'Cálculos'!$F$122)*'Cálculos'!$F$215+'Cálculos'!$F$125*(1+2.78*('Cálculos'!$F$196+(($B$225)-$A211)*'Cálculos'!$F$98)/(('Cálculos'!$F$196+(($B$225)-$A211)*'Cálculos'!$F$98)+1400)+'Cálculos'!$F$123)*'Cálculos'!$F$220)+('Cálculos'!$F$201*(1+'Cálculos'!$F$202+$A211*('Cálculos'!$F$290=2)*'Cálculos'!$F$101)+'Cálculos'!$F$203)*('Cálculos'!$F$211+'Cálculos'!$F$124*(1+2.78*('Cálculos'!$F$196+(($B$225)-$A211)*'Cálculos'!$F$98)/(('Cálculos'!$F$196+(($B$225)-$A211)*'Cálculos'!$F$98)+1400)+'Cálculos'!$F$122)*'Cálculos'!$F$216+'Cálculos'!$F$125*(1+2.78*('Cálculos'!$F$196+(($B$225)-$A211)*'Cálculos'!$F$98)/(('Cálculos'!$F$196+(($B$225)-$A211)*'Cálculos'!$F$98)+1400)+'Cálculos'!$F$123)*'Cálculos'!$F$221)+('Cálculos'!$F$204*(1+'Cálculos'!$F$205+$A211*('Cálculos'!$F$290=3)*'Cálculos'!$F$103)+'Cálculos'!$F$206)*('Cálculos'!$F$212+'Cálculos'!$F$124*(1+2.78*('Cálculos'!$F$196+(($B$225)-$A211)*'Cálculos'!$F$98)/(('Cálculos'!$F$196+(($B$225)-$A211)*'Cálculos'!$F$98)+1400)+'Cálculos'!$F$122)*'Cálculos'!$F$217+'Cálculos'!$F$125*(1+2.78*('Cálculos'!$F$196+(($B$225)-$A211)*'Cálculos'!$F$98)/(('Cálculos'!$F$196+(($B$225)-$A211)*'Cálculos'!$F$98)+1400)+'Cálculos'!$F$123)*'Cálculos'!$F$222)+('Cálculos'!$F$213+'Cálculos'!$F$124*(1+2.78*('Cálculos'!$F$196+(($B$225)-$A211)*'Cálculos'!$F$98)/(('Cálculos'!$F$196+(($B$225)-$A211)*'Cálculos'!$F$98)+1400)+'Cálculos'!$F$122)*'Cálculos'!$F$218+'Cálculos'!$F$125*(1+2.78*('Cálculos'!$F$196+(($B$225)-$A211)*'Cálculos'!$F$98)/(('Cálculos'!$F$196+(($B$225)-$A211)*'Cálculos'!$F$98)+1400)+'Cálculos'!$F$123)*'Cálculos'!$F$223)+('Cálculos'!$F$185*(1+'Cálculos'!$F$187+$A211*('Cálculos'!$F$290=1)*'Cálculos'!$F$97+'Cálculos'!$F$305)+'Cálculos'!$F$192)*('Cálculos'!$F$224+'Cálculos'!$F$124*(1+2.78*('Cálculos'!$F$197+(($B$225)-$A211)*'Cálculos'!$F$98)/(('Cálculos'!$F$197+(($B$225)-$A211)*'Cálculos'!$F$98)+1400)+'Cálculos'!$F$122)*'Cálculos'!$F$229+'Cálculos'!$F$125*(1+2.78*('Cálculos'!$F$197+(($B$225)-$A211)*'Cálculos'!$F$98)/(('Cálculos'!$F$197+(($B$225)-$A211)*'Cálculos'!$F$98)+1400)+'Cálculos'!$F$123)*'Cálculos'!$F$234)+('Cálculos'!$F$197+(($B$225)-$A211)*'Cálculos'!$F$98)*('Cálculos'!$F$225+'Cálculos'!$F$124*(1+2.78*('Cálculos'!$F$197+(($B$225)-$A211)*'Cálculos'!$F$98)/(('Cálculos'!$F$197+(($B$225)-$A211)*'Cálculos'!$F$98)+1400)+'Cálculos'!$F$122)*'Cálculos'!$F$230+'Cálculos'!$F$125*(1+2.78*('Cálculos'!$F$197+(($B$225)-$A211)*'Cálculos'!$F$98)/(('Cálculos'!$F$197+(($B$225)-$A211)*'Cálculos'!$F$98)+1400)+'Cálculos'!$F$123)*'Cálculos'!$F$235)+('Cálculos'!$F$201*(1+'Cálculos'!$F$202+$A211*('Cálculos'!$F$290=2)*'Cálculos'!$F$101)+'Cálculos'!$F$203)*('Cálculos'!$F$226+'Cálculos'!$F$124*(1+2.78*('Cálculos'!$F$197+(($B$225)-$A211)*'Cálculos'!$F$98)/(('Cálculos'!$F$197+(($B$225)-$A211)*'Cálculos'!$F$98)+1400)+'Cálculos'!$F$122)*'Cálculos'!$F$231+'Cálculos'!$F$125*(1+2.78*('Cálculos'!$F$197+(($B$225)-$A211)*'Cálculos'!$F$98)/(('Cálculos'!$F$197+(($B$225)-$A211)*'Cálculos'!$F$98)+1400)+'Cálculos'!$F$123)*'Cálculos'!$F$236)+('Cálculos'!$F$204*(1+'Cálculos'!$F$205+$A211*('Cálculos'!$F$290=3)*'Cálculos'!$F$103)+'Cálculos'!$F$206)*('Cálculos'!$F$227+'Cálculos'!$F$124*(1+2.78*('Cálculos'!$F$197+(($B$225)-$A211)*'Cálculos'!$F$98)/(('Cálculos'!$F$197+(($B$225)-$A211)*'Cálculos'!$F$98)+1400)+'Cálculos'!$F$122)*'Cálculos'!$F$232+'Cálculos'!$F$125*(1+2.78*('Cálculos'!$F$197+(($B$225)-$A211)*'Cálculos'!$F$98)/(('Cálculos'!$F$197+(($B$225)-$A211)*'Cálculos'!$F$98)+1400)+'Cálculos'!$F$123)*'Cálculos'!$F$237)+('Cálculos'!$F$228+'Cálculos'!$F$124*(1+2.78*('Cálculos'!$F$197+(($B$225)-$A211)*'Cálculos'!$F$98)/(('Cálculos'!$F$197+(($B$225)-$A211)*'Cálculos'!$F$98)+1400)+'Cálculos'!$F$122)*'Cálculos'!$F$233+'Cálculos'!$F$125*(1+2.78*('Cálculos'!$F$197+(($B$225)-$A211)*'Cálculos'!$F$98)/(('Cálculos'!$F$197+(($B$225)-$A211)*'Cálculos'!$F$98)+1400)+'Cálculos'!$F$123)*'Cálculos'!$F$238)+('Cálculos'!$F$185*(1+'Cálculos'!$F$188+$A211*('Cálculos'!$F$290=1)*'Cálculos'!$F$97+'Cálculos'!$F$305)+'Cálculos'!$F$193)*('Cálculos'!$F$239+'Cálculos'!$F$124*(1+2.78*('Cálculos'!$F$198+(($B$225)-$A211)*'Cálculos'!$F$98)/(('Cálculos'!$F$198+(($B$225)-$A211)*'Cálculos'!$F$98)+1400)+'Cálculos'!$F$122)*'Cálculos'!$F$244+'Cálculos'!$F$125*(1+2.78*('Cálculos'!$F$198+(($B$225)-$A211)*'Cálculos'!$F$98)/(('Cálculos'!$F$198+(($B$225)-$A211)*'Cálculos'!$F$98)+1400)+'Cálculos'!$F$123)*'Cálculos'!$F$249)+('Cálculos'!$F$198+(($B$225)-$A211)*'Cálculos'!$F$98)*('Cálculos'!$F$240+'Cálculos'!$F$124*(1+2.78*('Cálculos'!$F$198+(($B$225)-$A211)*'Cálculos'!$F$98)/(('Cálculos'!$F$198+(($B$225)-$A211)*'Cálculos'!$F$98)+1400)+'Cálculos'!$F$122)*'Cálculos'!$F$245+'Cálculos'!$F$125*(1+2.78*('Cálculos'!$F$198+(($B$225)-$A211)*'Cálculos'!$F$98)/(('Cálculos'!$F$198+(($B$225)-$A211)*'Cálculos'!$F$98)+1400)+'Cálculos'!$F$123)*'Cálculos'!$F$250)+('Cálculos'!$F$201*(1+'Cálculos'!$F$202+$A211*('Cálculos'!$F$290=2)*'Cálculos'!$F$101)+'Cálculos'!$F$203)*('Cálculos'!$F$241+'Cálculos'!$F$124*(1+2.78*('Cálculos'!$F$198+(($B$225)-$A211)*'Cálculos'!$F$98)/(('Cálculos'!$F$198+(($B$225)-$A211)*'Cálculos'!$F$98)+1400)+'Cálculos'!$F$122)*'Cálculos'!$F$246+'Cálculos'!$F$125*(1+2.78*('Cálculos'!$F$198+(($B$225)-$A211)*'Cálculos'!$F$98)/(('Cálculos'!$F$198+(($B$225)-$A211)*'Cálculos'!$F$98)+1400)+'Cálculos'!$F$123)*'Cálculos'!$F$251)+('Cálculos'!$F$204*(1+'Cálculos'!$F$205+$A211*('Cálculos'!$F$290=3)*'Cálculos'!$F$103)+'Cálculos'!$F$206)*('Cálculos'!$F$242+'Cálculos'!$F$124*(1+2.78*('Cálculos'!$F$198+(($B$225)-$A211)*'Cálculos'!$F$98)/(('Cálculos'!$F$198+(($B$225)-$A211)*'Cálculos'!$F$98)+1400)+'Cálculos'!$F$122)*'Cálculos'!$F$247+'Cálculos'!$F$125*(1+2.78*('Cálculos'!$F$198+(($B$225)-$A211)*'Cálculos'!$F$98)/(('Cálculos'!$F$198+(($B$225)-$A211)*'Cálculos'!$F$98)+1400)+'Cálculos'!$F$123)*'Cálculos'!$F$252)+('Cálculos'!$F$243+'Cálculos'!$F$124*(1+2.78*('Cálculos'!$F$198+(($B$225)-$A211)*'Cálculos'!$F$98)/(('Cálculos'!$F$198+(($B$225)-$A211)*'Cálculos'!$F$98)+1400)+'Cálculos'!$F$122)*'Cálculos'!$F$248+'Cálculos'!$F$125*(1+2.78*('Cálculos'!$F$198+(($B$225)-$A211)*'Cálculos'!$F$98)/(('Cálculos'!$F$198+(($B$225)-$A211)*'Cálculos'!$F$98)+1400)+'Cálculos'!$F$123)*'Cálculos'!$F$253)+('Cálculos'!$F$185*(1+'Cálculos'!$F$189+$A211*('Cálculos'!$F$290=1)*'Cálculos'!$F$97+'Cálculos'!$F$305)+'Cálculos'!$F$194)*('Cálculos'!$F$254+'Cálculos'!$F$124*(1+2.78*('Cálculos'!$F$199+(($B$225)-$A211)*'Cálculos'!$F$98)/(('Cálculos'!$F$199+(($B$225)-$A211)*'Cálculos'!$F$98)+1400)+'Cálculos'!$F$122)*'Cálculos'!$F$259+'Cálculos'!$F$125*(1+2.78*('Cálculos'!$F$199+(($B$225)-$A211)*'Cálculos'!$F$98)/(('Cálculos'!$F$199+(($B$225)-$A211)*'Cálculos'!$F$98)+1400)+'Cálculos'!$F$123)*'Cálculos'!$F$264)+('Cálculos'!$F$199+(($B$225)-$A211)*'Cálculos'!$F$98)*('Cálculos'!$F$255+'Cálculos'!$F$124*(1+2.78*('Cálculos'!$F$199+(($B$225)-$A211)*'Cálculos'!$F$98)/(('Cálculos'!$F$199+(($B$225)-$A211)*'Cálculos'!$F$98)+1400)+'Cálculos'!$F$122)*'Cálculos'!$F$260+'Cálculos'!$F$125*(1+2.78*('Cálculos'!$F$199+(($B$225)-$A211)*'Cálculos'!$F$98)/(('Cálculos'!$F$199+(($B$225)-$A211)*'Cálculos'!$F$98)+1400)+'Cálculos'!$F$123)*'Cálculos'!$F$265)+('Cálculos'!$F$201*(1+'Cálculos'!$F$202+$A211*('Cálculos'!$F$290=2)*'Cálculos'!$F$101)+'Cálculos'!$F$203)*('Cálculos'!$F$256+'Cálculos'!$F$124*(1+2.78*('Cálculos'!$F$199+(($B$225)-$A211)*'Cálculos'!$F$98)/(('Cálculos'!$F$199+(($B$225)-$A211)*'Cálculos'!$F$98)+1400)+'Cálculos'!$F$122)*'Cálculos'!$F$261+'Cálculos'!$F$125*(1+2.78*('Cálculos'!$F$199+(($B$225)-$A211)*'Cálculos'!$F$98)/(('Cálculos'!$F$199+(($B$225)-$A211)*'Cálculos'!$F$98)+1400)+'Cálculos'!$F$123)*'Cálculos'!$F$266)+('Cálculos'!$F$204*(1+'Cálculos'!$F$205+$A211*('Cálculos'!$F$290=3)*'Cálculos'!$F$103)+'Cálculos'!$F$206)*('Cálculos'!$F$257+'Cálculos'!$F$124*(1+2.78*('Cálculos'!$F$199+(($B$225)-$A211)*'Cálculos'!$F$98)/(('Cálculos'!$F$199+(($B$225)-$A211)*'Cálculos'!$F$98)+1400)+'Cálculos'!$F$122)*'Cálculos'!$F$262+'Cálculos'!$F$125*(1+2.78*('Cálculos'!$F$199+(($B$225)-$A211)*'Cálculos'!$F$98)/(('Cálculos'!$F$199+(($B$225)-$A211)*'Cálculos'!$F$98)+1400)+'Cálculos'!$F$123)*'Cálculos'!$F$267)+('Cálculos'!$F$258+'Cálculos'!$F$124*(1+2.78*('Cálculos'!$F$199+(($B$225)-$A211)*'Cálculos'!$F$98)/(('Cálculos'!$F$199+(($B$225)-$A211)*'Cálculos'!$F$98)+1400)+'Cálculos'!$F$122)*'Cálculos'!$F$263+'Cálculos'!$F$125*(1+2.78*('Cálculos'!$F$199+(($B$225)-$A211)*'Cálculos'!$F$98)/(('Cálculos'!$F$199+(($B$225)-$A211)*'Cálculos'!$F$98)+1400)+'Cálculos'!$F$123)*'Cálculos'!$F$268)+('Cálculos'!$F$185*(1+'Cálculos'!$F$190+$A211*('Cálculos'!$F$290=1)*'Cálculos'!$F$97+'Cálculos'!$F$305)+'Cálculos'!$F$195)*('Cálculos'!$F$269+'Cálculos'!$F$124*(1+2.78*('Cálculos'!$F$200+(($B$225)-$A211)*'Cálculos'!$F$98)/(('Cálculos'!$F$200+(($B$225)-$A211)*'Cálculos'!$F$98)+1400)+'Cálculos'!$F$122)*'Cálculos'!$F$274+'Cálculos'!$F$125*(1+2.78*('Cálculos'!$F$200+(($B$225)-$A211)*'Cálculos'!$F$98)/(('Cálculos'!$F$200+(($B$225)-$A211)*'Cálculos'!$F$98)+1400)+'Cálculos'!$F$123)*'Cálculos'!$F$279)+('Cálculos'!$F$200+(($B$225)-$A211)*'Cálculos'!$F$98)*('Cálculos'!$F$270+'Cálculos'!$F$124*(1+2.78*('Cálculos'!$F$200+(($B$225)-$A211)*'Cálculos'!$F$98)/(('Cálculos'!$F$200+(($B$225)-$A211)*'Cálculos'!$F$98)+1400)+'Cálculos'!$F$122)*'Cálculos'!$F$275+'Cálculos'!$F$125*(1+2.78*('Cálculos'!$F$200+(($B$225)-$A211)*'Cálculos'!$F$98)/(('Cálculos'!$F$200+(($B$225)-$A211)*'Cálculos'!$F$98)+1400)+'Cálculos'!$F$123)*'Cálculos'!$F$280)+('Cálculos'!$F$201*(1+'Cálculos'!$F$202+$A211*('Cálculos'!$F$290=2)*'Cálculos'!$F$101)+'Cálculos'!$F$203)*('Cálculos'!$F$271+'Cálculos'!$F$124*(1+2.78*('Cálculos'!$F$200+(($B$225)-$A211)*'Cálculos'!$F$98)/(('Cálculos'!$F$200+(($B$225)-$A211)*'Cálculos'!$F$98)+1400)+'Cálculos'!$F$122)*'Cálculos'!$F$276+'Cálculos'!$F$125*(1+2.78*('Cálculos'!$F$200+(($B$225)-$A211)*'Cálculos'!$F$98)/(('Cálculos'!$F$200+(($B$225)-$A211)*'Cálculos'!$F$98)+1400)+'Cálculos'!$F$123)*'Cálculos'!$F$281)+('Cálculos'!$F$204*(1+'Cálculos'!$F$205+$A211*('Cálculos'!$F$290=3)*'Cálculos'!$F$103)+'Cálculos'!$F$206)*('Cálculos'!$F$272+'Cálculos'!$F$124*(1+2.78*('Cálculos'!$F$200+(($B$225)-$A211)*'Cálculos'!$F$98)/(('Cálculos'!$F$200+(($B$225)-$A211)*'Cálculos'!$F$98)+1400)+'Cálculos'!$F$122)*'Cálculos'!$F$277+'Cálculos'!$F$125*(1+2.78*('Cálculos'!$F$200+(($B$225)-$A211)*'Cálculos'!$F$98)/(('Cálculos'!$F$200+(($B$225)-$A211)*'Cálculos'!$F$98)+1400)+'Cálculos'!$F$123)*'Cálculos'!$F$282)+('Cálculos'!$F$273+'Cálculos'!$F$124*(1+2.78*('Cálculos'!$F$200+(($B$225)-$A211)*'Cálculos'!$F$98)/(('Cálculos'!$F$200+(($B$225)-$A211)*'Cálculos'!$F$98)+1400)+'Cálculos'!$F$122)*'Cálculos'!$F$278+'Cálculos'!$F$125*(1+2.78*('Cálculos'!$F$200+(($B$225)-$A211)*'Cálculos'!$F$98)/(('Cálculos'!$F$200+(($B$225)-$A211)*'Cálculos'!$F$98)+1400)+'Cálculos'!$F$123)*'Cálculos'!$F$283)))</f>
        <v>0</v>
      </c>
    </row>
    <row r="212" ht="15.75" customHeight="1">
      <c r="A212" s="2">
        <v>35.0</v>
      </c>
      <c r="B212" s="30">
        <f>SUMPRODUCT(MAX(($A$177:$A$222&lt;=$A212)*($A$177:$A$222&lt;='Cálculos'!$F$294)*(($A212)-$A$177:$A$222&lt;='Cálculos'!$F$295)*(1+(('Cálculos'!$F$207+$A$177:$A$222*'Cálculos'!$F$95)-(('Cálculos'!$F$207+$A$177:$A$222*'Cálculos'!$F$95)&gt;1)*(('Cálculos'!$F$207+$A$177:$A$222*'Cálculos'!$F$95)-1))*('Cálculos'!$F$208+(($A212)-$A$177:$A$222)*'Cálculos'!$F$96))))</f>
        <v>3.431468</v>
      </c>
      <c r="C212" s="2">
        <f>'Cálculos'!$F$303-$A212</f>
        <v>-17</v>
      </c>
      <c r="D212" s="31">
        <f>IF($C212&lt;0,0,SUMPRODUCT(MAX(($A$177:$A$222&lt;=$C212)*($A$177:$A$222&lt;='Cálculos'!$F$301)*(($C212)-$A$177:$A$222&lt;='Cálculos'!$F$297)*(('Cálculos'!$F$185*(1+'Cálculos'!$F$186+$A$177:$A$222*('Cálculos'!$F$290=1)*'Cálculos'!$F$97+'Cálculos'!$F$305)+'Cálculos'!$F$191)*('Cálculos'!$F$209+'Cálculos'!$F$124*(1+2.78*('Cálculos'!$F$196+(($C212)-$A$177:$A$222)*'Cálculos'!$F$98)/(('Cálculos'!$F$196+(($C212)-$A$177:$A$222)*'Cálculos'!$F$98)+1400)+'Cálculos'!$F$122)*'Cálculos'!$F$214+'Cálculos'!$F$125*(1+2.78*('Cálculos'!$F$196+(($C212)-$A$177:$A$222)*'Cálculos'!$F$98)/(('Cálculos'!$F$196+(($C212)-$A$177:$A$222)*'Cálculos'!$F$98)+1400)+'Cálculos'!$F$123)*'Cálculos'!$F$219)+('Cálculos'!$F$196+(($C212)-$A$177:$A$222)*'Cálculos'!$F$98)*('Cálculos'!$F$210+'Cálculos'!$F$124*(1+2.78*('Cálculos'!$F$196+(($C212)-$A$177:$A$222)*'Cálculos'!$F$98)/(('Cálculos'!$F$196+(($C212)-$A$177:$A$222)*'Cálculos'!$F$98)+1400)+'Cálculos'!$F$122)*'Cálculos'!$F$215+'Cálculos'!$F$125*(1+2.78*('Cálculos'!$F$196+(($C212)-$A$177:$A$222)*'Cálculos'!$F$98)/(('Cálculos'!$F$196+(($C212)-$A$177:$A$222)*'Cálculos'!$F$98)+1400)+'Cálculos'!$F$123)*'Cálculos'!$F$220)+('Cálculos'!$F$201*(1+'Cálculos'!$F$202+$A$177:$A$222*('Cálculos'!$F$290=2)*'Cálculos'!$F$101)+'Cálculos'!$F$203)*('Cálculos'!$F$211+'Cálculos'!$F$124*(1+2.78*('Cálculos'!$F$196+(($C212)-$A$177:$A$222)*'Cálculos'!$F$98)/(('Cálculos'!$F$196+(($C212)-$A$177:$A$222)*'Cálculos'!$F$98)+1400)+'Cálculos'!$F$122)*'Cálculos'!$F$216+'Cálculos'!$F$125*(1+2.78*('Cálculos'!$F$196+(($C212)-$A$177:$A$222)*'Cálculos'!$F$98)/(('Cálculos'!$F$196+(($C212)-$A$177:$A$222)*'Cálculos'!$F$98)+1400)+'Cálculos'!$F$123)*'Cálculos'!$F$221)+('Cálculos'!$F$204*(1+'Cálculos'!$F$205+$A$177:$A$222*('Cálculos'!$F$290=3)*'Cálculos'!$F$103)+'Cálculos'!$F$206)*('Cálculos'!$F$212+'Cálculos'!$F$124*(1+2.78*('Cálculos'!$F$196+(($C212)-$A$177:$A$222)*'Cálculos'!$F$98)/(('Cálculos'!$F$196+(($C212)-$A$177:$A$222)*'Cálculos'!$F$98)+1400)+'Cálculos'!$F$122)*'Cálculos'!$F$217+'Cálculos'!$F$125*(1+2.78*('Cálculos'!$F$196+(($C212)-$A$177:$A$222)*'Cálculos'!$F$98)/(('Cálculos'!$F$196+(($C212)-$A$177:$A$222)*'Cálculos'!$F$98)+1400)+'Cálculos'!$F$123)*'Cálculos'!$F$222)+('Cálculos'!$F$213+'Cálculos'!$F$124*(1+2.78*('Cálculos'!$F$196+(($C212)-$A$177:$A$222)*'Cálculos'!$F$98)/(('Cálculos'!$F$196+(($C212)-$A$177:$A$222)*'Cálculos'!$F$98)+1400)+'Cálculos'!$F$122)*'Cálculos'!$F$218+'Cálculos'!$F$125*(1+2.78*('Cálculos'!$F$196+(($C212)-$A$177:$A$222)*'Cálculos'!$F$98)/(('Cálculos'!$F$196+(($C212)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212)-$A$177:$A$222)*'Cálculos'!$F$98)/(('Cálculos'!$F$197+(($C212)-$A$177:$A$222)*'Cálculos'!$F$98)+1400)+'Cálculos'!$F$122)*'Cálculos'!$F$229+'Cálculos'!$F$125*(1+2.78*('Cálculos'!$F$197+(($C212)-$A$177:$A$222)*'Cálculos'!$F$98)/(('Cálculos'!$F$197+(($C212)-$A$177:$A$222)*'Cálculos'!$F$98)+1400)+'Cálculos'!$F$123)*'Cálculos'!$F$234)+('Cálculos'!$F$197+(($C212)-$A$177:$A$222)*'Cálculos'!$F$98)*('Cálculos'!$F$225+'Cálculos'!$F$124*(1+2.78*('Cálculos'!$F$197+(($C212)-$A$177:$A$222)*'Cálculos'!$F$98)/(('Cálculos'!$F$197+(($C212)-$A$177:$A$222)*'Cálculos'!$F$98)+1400)+'Cálculos'!$F$122)*'Cálculos'!$F$230+'Cálculos'!$F$125*(1+2.78*('Cálculos'!$F$197+(($C212)-$A$177:$A$222)*'Cálculos'!$F$98)/(('Cálculos'!$F$197+(($C212)-$A$177:$A$222)*'Cálculos'!$F$98)+1400)+'Cálculos'!$F$123)*'Cálculos'!$F$235)+('Cálculos'!$F$201*(1+'Cálculos'!$F$202+$A$177:$A$222*('Cálculos'!$F$290=2)*'Cálculos'!$F$101)+'Cálculos'!$F$203)*('Cálculos'!$F$226+'Cálculos'!$F$124*(1+2.78*('Cálculos'!$F$197+(($C212)-$A$177:$A$222)*'Cálculos'!$F$98)/(('Cálculos'!$F$197+(($C212)-$A$177:$A$222)*'Cálculos'!$F$98)+1400)+'Cálculos'!$F$122)*'Cálculos'!$F$231+'Cálculos'!$F$125*(1+2.78*('Cálculos'!$F$197+(($C212)-$A$177:$A$222)*'Cálculos'!$F$98)/(('Cálculos'!$F$197+(($C212)-$A$177:$A$222)*'Cálculos'!$F$98)+1400)+'Cálculos'!$F$123)*'Cálculos'!$F$236)+('Cálculos'!$F$204*(1+'Cálculos'!$F$205+$A$177:$A$222*('Cálculos'!$F$290=3)*'Cálculos'!$F$103)+'Cálculos'!$F$206)*('Cálculos'!$F$227+'Cálculos'!$F$124*(1+2.78*('Cálculos'!$F$197+(($C212)-$A$177:$A$222)*'Cálculos'!$F$98)/(('Cálculos'!$F$197+(($C212)-$A$177:$A$222)*'Cálculos'!$F$98)+1400)+'Cálculos'!$F$122)*'Cálculos'!$F$232+'Cálculos'!$F$125*(1+2.78*('Cálculos'!$F$197+(($C212)-$A$177:$A$222)*'Cálculos'!$F$98)/(('Cálculos'!$F$197+(($C212)-$A$177:$A$222)*'Cálculos'!$F$98)+1400)+'Cálculos'!$F$123)*'Cálculos'!$F$237)+('Cálculos'!$F$228+'Cálculos'!$F$124*(1+2.78*('Cálculos'!$F$197+(($C212)-$A$177:$A$222)*'Cálculos'!$F$98)/(('Cálculos'!$F$197+(($C212)-$A$177:$A$222)*'Cálculos'!$F$98)+1400)+'Cálculos'!$F$122)*'Cálculos'!$F$233+'Cálculos'!$F$125*(1+2.78*('Cálculos'!$F$197+(($C212)-$A$177:$A$222)*'Cálculos'!$F$98)/(('Cálculos'!$F$197+(($C212)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212)-$A$177:$A$222)*'Cálculos'!$F$98)/(('Cálculos'!$F$198+(($C212)-$A$177:$A$222)*'Cálculos'!$F$98)+1400)+'Cálculos'!$F$122)*'Cálculos'!$F$244+'Cálculos'!$F$125*(1+2.78*('Cálculos'!$F$198+(($C212)-$A$177:$A$222)*'Cálculos'!$F$98)/(('Cálculos'!$F$198+(($C212)-$A$177:$A$222)*'Cálculos'!$F$98)+1400)+'Cálculos'!$F$123)*'Cálculos'!$F$249)+('Cálculos'!$F$198+(($C212)-$A$177:$A$222)*'Cálculos'!$F$98)*('Cálculos'!$F$240+'Cálculos'!$F$124*(1+2.78*('Cálculos'!$F$198+(($C212)-$A$177:$A$222)*'Cálculos'!$F$98)/(('Cálculos'!$F$198+(($C212)-$A$177:$A$222)*'Cálculos'!$F$98)+1400)+'Cálculos'!$F$122)*'Cálculos'!$F$245+'Cálculos'!$F$125*(1+2.78*('Cálculos'!$F$198+(($C212)-$A$177:$A$222)*'Cálculos'!$F$98)/(('Cálculos'!$F$198+(($C212)-$A$177:$A$222)*'Cálculos'!$F$98)+1400)+'Cálculos'!$F$123)*'Cálculos'!$F$250)+('Cálculos'!$F$201*(1+'Cálculos'!$F$202+$A$177:$A$222*('Cálculos'!$F$290=2)*'Cálculos'!$F$101)+'Cálculos'!$F$203)*('Cálculos'!$F$241+'Cálculos'!$F$124*(1+2.78*('Cálculos'!$F$198+(($C212)-$A$177:$A$222)*'Cálculos'!$F$98)/(('Cálculos'!$F$198+(($C212)-$A$177:$A$222)*'Cálculos'!$F$98)+1400)+'Cálculos'!$F$122)*'Cálculos'!$F$246+'Cálculos'!$F$125*(1+2.78*('Cálculos'!$F$198+(($C212)-$A$177:$A$222)*'Cálculos'!$F$98)/(('Cálculos'!$F$198+(($C212)-$A$177:$A$222)*'Cálculos'!$F$98)+1400)+'Cálculos'!$F$123)*'Cálculos'!$F$251)+('Cálculos'!$F$204*(1+'Cálculos'!$F$205+$A$177:$A$222*('Cálculos'!$F$290=3)*'Cálculos'!$F$103)+'Cálculos'!$F$206)*('Cálculos'!$F$242+'Cálculos'!$F$124*(1+2.78*('Cálculos'!$F$198+(($C212)-$A$177:$A$222)*'Cálculos'!$F$98)/(('Cálculos'!$F$198+(($C212)-$A$177:$A$222)*'Cálculos'!$F$98)+1400)+'Cálculos'!$F$122)*'Cálculos'!$F$247+'Cálculos'!$F$125*(1+2.78*('Cálculos'!$F$198+(($C212)-$A$177:$A$222)*'Cálculos'!$F$98)/(('Cálculos'!$F$198+(($C212)-$A$177:$A$222)*'Cálculos'!$F$98)+1400)+'Cálculos'!$F$123)*'Cálculos'!$F$252)+('Cálculos'!$F$243+'Cálculos'!$F$124*(1+2.78*('Cálculos'!$F$198+(($C212)-$A$177:$A$222)*'Cálculos'!$F$98)/(('Cálculos'!$F$198+(($C212)-$A$177:$A$222)*'Cálculos'!$F$98)+1400)+'Cálculos'!$F$122)*'Cálculos'!$F$248+'Cálculos'!$F$125*(1+2.78*('Cálculos'!$F$198+(($C212)-$A$177:$A$222)*'Cálculos'!$F$98)/(('Cálculos'!$F$198+(($C212)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212)-$A$177:$A$222)*'Cálculos'!$F$98)/(('Cálculos'!$F$199+(($C212)-$A$177:$A$222)*'Cálculos'!$F$98)+1400)+'Cálculos'!$F$122)*'Cálculos'!$F$259+'Cálculos'!$F$125*(1+2.78*('Cálculos'!$F$199+(($C212)-$A$177:$A$222)*'Cálculos'!$F$98)/(('Cálculos'!$F$199+(($C212)-$A$177:$A$222)*'Cálculos'!$F$98)+1400)+'Cálculos'!$F$123)*'Cálculos'!$F$264)+('Cálculos'!$F$199+(($C212)-$A$177:$A$222)*'Cálculos'!$F$98)*('Cálculos'!$F$255+'Cálculos'!$F$124*(1+2.78*('Cálculos'!$F$199+(($C212)-$A$177:$A$222)*'Cálculos'!$F$98)/(('Cálculos'!$F$199+(($C212)-$A$177:$A$222)*'Cálculos'!$F$98)+1400)+'Cálculos'!$F$122)*'Cálculos'!$F$260+'Cálculos'!$F$125*(1+2.78*('Cálculos'!$F$199+(($C212)-$A$177:$A$222)*'Cálculos'!$F$98)/(('Cálculos'!$F$199+(($C212)-$A$177:$A$222)*'Cálculos'!$F$98)+1400)+'Cálculos'!$F$123)*'Cálculos'!$F$265)+('Cálculos'!$F$201*(1+'Cálculos'!$F$202+$A$177:$A$222*('Cálculos'!$F$290=2)*'Cálculos'!$F$101)+'Cálculos'!$F$203)*('Cálculos'!$F$256+'Cálculos'!$F$124*(1+2.78*('Cálculos'!$F$199+(($C212)-$A$177:$A$222)*'Cálculos'!$F$98)/(('Cálculos'!$F$199+(($C212)-$A$177:$A$222)*'Cálculos'!$F$98)+1400)+'Cálculos'!$F$122)*'Cálculos'!$F$261+'Cálculos'!$F$125*(1+2.78*('Cálculos'!$F$199+(($C212)-$A$177:$A$222)*'Cálculos'!$F$98)/(('Cálculos'!$F$199+(($C212)-$A$177:$A$222)*'Cálculos'!$F$98)+1400)+'Cálculos'!$F$123)*'Cálculos'!$F$266)+('Cálculos'!$F$204*(1+'Cálculos'!$F$205+$A$177:$A$222*('Cálculos'!$F$290=3)*'Cálculos'!$F$103)+'Cálculos'!$F$206)*('Cálculos'!$F$257+'Cálculos'!$F$124*(1+2.78*('Cálculos'!$F$199+(($C212)-$A$177:$A$222)*'Cálculos'!$F$98)/(('Cálculos'!$F$199+(($C212)-$A$177:$A$222)*'Cálculos'!$F$98)+1400)+'Cálculos'!$F$122)*'Cálculos'!$F$262+'Cálculos'!$F$125*(1+2.78*('Cálculos'!$F$199+(($C212)-$A$177:$A$222)*'Cálculos'!$F$98)/(('Cálculos'!$F$199+(($C212)-$A$177:$A$222)*'Cálculos'!$F$98)+1400)+'Cálculos'!$F$123)*'Cálculos'!$F$267)+('Cálculos'!$F$258+'Cálculos'!$F$124*(1+2.78*('Cálculos'!$F$199+(($C212)-$A$177:$A$222)*'Cálculos'!$F$98)/(('Cálculos'!$F$199+(($C212)-$A$177:$A$222)*'Cálculos'!$F$98)+1400)+'Cálculos'!$F$122)*'Cálculos'!$F$263+'Cálculos'!$F$125*(1+2.78*('Cálculos'!$F$199+(($C212)-$A$177:$A$222)*'Cálculos'!$F$98)/(('Cálculos'!$F$199+(($C212)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212)-$A$177:$A$222)*'Cálculos'!$F$98)/(('Cálculos'!$F$200+(($C212)-$A$177:$A$222)*'Cálculos'!$F$98)+1400)+'Cálculos'!$F$122)*'Cálculos'!$F$274+'Cálculos'!$F$125*(1+2.78*('Cálculos'!$F$200+(($C212)-$A$177:$A$222)*'Cálculos'!$F$98)/(('Cálculos'!$F$200+(($C212)-$A$177:$A$222)*'Cálculos'!$F$98)+1400)+'Cálculos'!$F$123)*'Cálculos'!$F$279)+('Cálculos'!$F$200+(($C212)-$A$177:$A$222)*'Cálculos'!$F$98)*('Cálculos'!$F$270+'Cálculos'!$F$124*(1+2.78*('Cálculos'!$F$200+(($C212)-$A$177:$A$222)*'Cálculos'!$F$98)/(('Cálculos'!$F$200+(($C212)-$A$177:$A$222)*'Cálculos'!$F$98)+1400)+'Cálculos'!$F$122)*'Cálculos'!$F$275+'Cálculos'!$F$125*(1+2.78*('Cálculos'!$F$200+(($C212)-$A$177:$A$222)*'Cálculos'!$F$98)/(('Cálculos'!$F$200+(($C212)-$A$177:$A$222)*'Cálculos'!$F$98)+1400)+'Cálculos'!$F$123)*'Cálculos'!$F$280)+('Cálculos'!$F$201*(1+'Cálculos'!$F$202+$A$177:$A$222*('Cálculos'!$F$290=2)*'Cálculos'!$F$101)+'Cálculos'!$F$203)*('Cálculos'!$F$271+'Cálculos'!$F$124*(1+2.78*('Cálculos'!$F$200+(($C212)-$A$177:$A$222)*'Cálculos'!$F$98)/(('Cálculos'!$F$200+(($C212)-$A$177:$A$222)*'Cálculos'!$F$98)+1400)+'Cálculos'!$F$122)*'Cálculos'!$F$276+'Cálculos'!$F$125*(1+2.78*('Cálculos'!$F$200+(($C212)-$A$177:$A$222)*'Cálculos'!$F$98)/(('Cálculos'!$F$200+(($C212)-$A$177:$A$222)*'Cálculos'!$F$98)+1400)+'Cálculos'!$F$123)*'Cálculos'!$F$281)+('Cálculos'!$F$204*(1+'Cálculos'!$F$205+$A$177:$A$222*('Cálculos'!$F$290=3)*'Cálculos'!$F$103)+'Cálculos'!$F$206)*('Cálculos'!$F$272+'Cálculos'!$F$124*(1+2.78*('Cálculos'!$F$200+(($C212)-$A$177:$A$222)*'Cálculos'!$F$98)/(('Cálculos'!$F$200+(($C212)-$A$177:$A$222)*'Cálculos'!$F$98)+1400)+'Cálculos'!$F$122)*'Cálculos'!$F$277+'Cálculos'!$F$125*(1+2.78*('Cálculos'!$F$200+(($C212)-$A$177:$A$222)*'Cálculos'!$F$98)/(('Cálculos'!$F$200+(($C212)-$A$177:$A$222)*'Cálculos'!$F$98)+1400)+'Cálculos'!$F$123)*'Cálculos'!$F$282)+('Cálculos'!$F$273+'Cálculos'!$F$124*(1+2.78*('Cálculos'!$F$200+(($C212)-$A$177:$A$222)*'Cálculos'!$F$98)/(('Cálculos'!$F$200+(($C212)-$A$177:$A$222)*'Cálculos'!$F$98)+1400)+'Cálculos'!$F$122)*'Cálculos'!$F$278+'Cálculos'!$F$125*(1+2.78*('Cálculos'!$F$200+(($C212)-$A$177:$A$222)*'Cálculos'!$F$98)/(('Cálculos'!$F$200+(($C212)-$A$177:$A$222)*'Cálculos'!$F$98)+1400)+'Cálculos'!$F$123)*'Cálculos'!$F$283)))))</f>
        <v>0</v>
      </c>
      <c r="E212" s="32">
        <f>IF(OR($C212&lt;0,'Cálculos'!$F$6=""),0,$B212*$D212)</f>
        <v>0</v>
      </c>
      <c r="F212" s="2"/>
      <c r="G212" s="30">
        <f>($A212&lt;=$B$224)*($A212&lt;='Cálculos'!$F$294)*(($B$224)-$A212&lt;='Cálculos'!$F$295)*(1+MIN(('Cálculos'!$F$207+$A212*'Cálculos'!$F$95),1)*('Cálculos'!$F$208+(($B$224)-$A212)*'Cálculos'!$F$96))</f>
        <v>0</v>
      </c>
      <c r="H212" s="31">
        <f>IF($B$225&lt;0,0,($A212&lt;=$B$225)*($A212&lt;='Cálculos'!$F$301)*(($B$225)-$A212&lt;='Cálculos'!$F$297)*(('Cálculos'!$F$185*(1+'Cálculos'!$F$186+$A212*('Cálculos'!$F$290=1)*'Cálculos'!$F$97+'Cálculos'!$F$305)+'Cálculos'!$F$191)*('Cálculos'!$F$209+'Cálculos'!$F$124*(1+2.78*('Cálculos'!$F$196+(($B$225)-$A212)*'Cálculos'!$F$98)/(('Cálculos'!$F$196+(($B$225)-$A212)*'Cálculos'!$F$98)+1400)+'Cálculos'!$F$122)*'Cálculos'!$F$214+'Cálculos'!$F$125*(1+2.78*('Cálculos'!$F$196+(($B$225)-$A212)*'Cálculos'!$F$98)/(('Cálculos'!$F$196+(($B$225)-$A212)*'Cálculos'!$F$98)+1400)+'Cálculos'!$F$123)*'Cálculos'!$F$219)+('Cálculos'!$F$196+(($B$225)-$A212)*'Cálculos'!$F$98)*('Cálculos'!$F$210+'Cálculos'!$F$124*(1+2.78*('Cálculos'!$F$196+(($B$225)-$A212)*'Cálculos'!$F$98)/(('Cálculos'!$F$196+(($B$225)-$A212)*'Cálculos'!$F$98)+1400)+'Cálculos'!$F$122)*'Cálculos'!$F$215+'Cálculos'!$F$125*(1+2.78*('Cálculos'!$F$196+(($B$225)-$A212)*'Cálculos'!$F$98)/(('Cálculos'!$F$196+(($B$225)-$A212)*'Cálculos'!$F$98)+1400)+'Cálculos'!$F$123)*'Cálculos'!$F$220)+('Cálculos'!$F$201*(1+'Cálculos'!$F$202+$A212*('Cálculos'!$F$290=2)*'Cálculos'!$F$101)+'Cálculos'!$F$203)*('Cálculos'!$F$211+'Cálculos'!$F$124*(1+2.78*('Cálculos'!$F$196+(($B$225)-$A212)*'Cálculos'!$F$98)/(('Cálculos'!$F$196+(($B$225)-$A212)*'Cálculos'!$F$98)+1400)+'Cálculos'!$F$122)*'Cálculos'!$F$216+'Cálculos'!$F$125*(1+2.78*('Cálculos'!$F$196+(($B$225)-$A212)*'Cálculos'!$F$98)/(('Cálculos'!$F$196+(($B$225)-$A212)*'Cálculos'!$F$98)+1400)+'Cálculos'!$F$123)*'Cálculos'!$F$221)+('Cálculos'!$F$204*(1+'Cálculos'!$F$205+$A212*('Cálculos'!$F$290=3)*'Cálculos'!$F$103)+'Cálculos'!$F$206)*('Cálculos'!$F$212+'Cálculos'!$F$124*(1+2.78*('Cálculos'!$F$196+(($B$225)-$A212)*'Cálculos'!$F$98)/(('Cálculos'!$F$196+(($B$225)-$A212)*'Cálculos'!$F$98)+1400)+'Cálculos'!$F$122)*'Cálculos'!$F$217+'Cálculos'!$F$125*(1+2.78*('Cálculos'!$F$196+(($B$225)-$A212)*'Cálculos'!$F$98)/(('Cálculos'!$F$196+(($B$225)-$A212)*'Cálculos'!$F$98)+1400)+'Cálculos'!$F$123)*'Cálculos'!$F$222)+('Cálculos'!$F$213+'Cálculos'!$F$124*(1+2.78*('Cálculos'!$F$196+(($B$225)-$A212)*'Cálculos'!$F$98)/(('Cálculos'!$F$196+(($B$225)-$A212)*'Cálculos'!$F$98)+1400)+'Cálculos'!$F$122)*'Cálculos'!$F$218+'Cálculos'!$F$125*(1+2.78*('Cálculos'!$F$196+(($B$225)-$A212)*'Cálculos'!$F$98)/(('Cálculos'!$F$196+(($B$225)-$A212)*'Cálculos'!$F$98)+1400)+'Cálculos'!$F$123)*'Cálculos'!$F$223)+('Cálculos'!$F$185*(1+'Cálculos'!$F$187+$A212*('Cálculos'!$F$290=1)*'Cálculos'!$F$97+'Cálculos'!$F$305)+'Cálculos'!$F$192)*('Cálculos'!$F$224+'Cálculos'!$F$124*(1+2.78*('Cálculos'!$F$197+(($B$225)-$A212)*'Cálculos'!$F$98)/(('Cálculos'!$F$197+(($B$225)-$A212)*'Cálculos'!$F$98)+1400)+'Cálculos'!$F$122)*'Cálculos'!$F$229+'Cálculos'!$F$125*(1+2.78*('Cálculos'!$F$197+(($B$225)-$A212)*'Cálculos'!$F$98)/(('Cálculos'!$F$197+(($B$225)-$A212)*'Cálculos'!$F$98)+1400)+'Cálculos'!$F$123)*'Cálculos'!$F$234)+('Cálculos'!$F$197+(($B$225)-$A212)*'Cálculos'!$F$98)*('Cálculos'!$F$225+'Cálculos'!$F$124*(1+2.78*('Cálculos'!$F$197+(($B$225)-$A212)*'Cálculos'!$F$98)/(('Cálculos'!$F$197+(($B$225)-$A212)*'Cálculos'!$F$98)+1400)+'Cálculos'!$F$122)*'Cálculos'!$F$230+'Cálculos'!$F$125*(1+2.78*('Cálculos'!$F$197+(($B$225)-$A212)*'Cálculos'!$F$98)/(('Cálculos'!$F$197+(($B$225)-$A212)*'Cálculos'!$F$98)+1400)+'Cálculos'!$F$123)*'Cálculos'!$F$235)+('Cálculos'!$F$201*(1+'Cálculos'!$F$202+$A212*('Cálculos'!$F$290=2)*'Cálculos'!$F$101)+'Cálculos'!$F$203)*('Cálculos'!$F$226+'Cálculos'!$F$124*(1+2.78*('Cálculos'!$F$197+(($B$225)-$A212)*'Cálculos'!$F$98)/(('Cálculos'!$F$197+(($B$225)-$A212)*'Cálculos'!$F$98)+1400)+'Cálculos'!$F$122)*'Cálculos'!$F$231+'Cálculos'!$F$125*(1+2.78*('Cálculos'!$F$197+(($B$225)-$A212)*'Cálculos'!$F$98)/(('Cálculos'!$F$197+(($B$225)-$A212)*'Cálculos'!$F$98)+1400)+'Cálculos'!$F$123)*'Cálculos'!$F$236)+('Cálculos'!$F$204*(1+'Cálculos'!$F$205+$A212*('Cálculos'!$F$290=3)*'Cálculos'!$F$103)+'Cálculos'!$F$206)*('Cálculos'!$F$227+'Cálculos'!$F$124*(1+2.78*('Cálculos'!$F$197+(($B$225)-$A212)*'Cálculos'!$F$98)/(('Cálculos'!$F$197+(($B$225)-$A212)*'Cálculos'!$F$98)+1400)+'Cálculos'!$F$122)*'Cálculos'!$F$232+'Cálculos'!$F$125*(1+2.78*('Cálculos'!$F$197+(($B$225)-$A212)*'Cálculos'!$F$98)/(('Cálculos'!$F$197+(($B$225)-$A212)*'Cálculos'!$F$98)+1400)+'Cálculos'!$F$123)*'Cálculos'!$F$237)+('Cálculos'!$F$228+'Cálculos'!$F$124*(1+2.78*('Cálculos'!$F$197+(($B$225)-$A212)*'Cálculos'!$F$98)/(('Cálculos'!$F$197+(($B$225)-$A212)*'Cálculos'!$F$98)+1400)+'Cálculos'!$F$122)*'Cálculos'!$F$233+'Cálculos'!$F$125*(1+2.78*('Cálculos'!$F$197+(($B$225)-$A212)*'Cálculos'!$F$98)/(('Cálculos'!$F$197+(($B$225)-$A212)*'Cálculos'!$F$98)+1400)+'Cálculos'!$F$123)*'Cálculos'!$F$238)+('Cálculos'!$F$185*(1+'Cálculos'!$F$188+$A212*('Cálculos'!$F$290=1)*'Cálculos'!$F$97+'Cálculos'!$F$305)+'Cálculos'!$F$193)*('Cálculos'!$F$239+'Cálculos'!$F$124*(1+2.78*('Cálculos'!$F$198+(($B$225)-$A212)*'Cálculos'!$F$98)/(('Cálculos'!$F$198+(($B$225)-$A212)*'Cálculos'!$F$98)+1400)+'Cálculos'!$F$122)*'Cálculos'!$F$244+'Cálculos'!$F$125*(1+2.78*('Cálculos'!$F$198+(($B$225)-$A212)*'Cálculos'!$F$98)/(('Cálculos'!$F$198+(($B$225)-$A212)*'Cálculos'!$F$98)+1400)+'Cálculos'!$F$123)*'Cálculos'!$F$249)+('Cálculos'!$F$198+(($B$225)-$A212)*'Cálculos'!$F$98)*('Cálculos'!$F$240+'Cálculos'!$F$124*(1+2.78*('Cálculos'!$F$198+(($B$225)-$A212)*'Cálculos'!$F$98)/(('Cálculos'!$F$198+(($B$225)-$A212)*'Cálculos'!$F$98)+1400)+'Cálculos'!$F$122)*'Cálculos'!$F$245+'Cálculos'!$F$125*(1+2.78*('Cálculos'!$F$198+(($B$225)-$A212)*'Cálculos'!$F$98)/(('Cálculos'!$F$198+(($B$225)-$A212)*'Cálculos'!$F$98)+1400)+'Cálculos'!$F$123)*'Cálculos'!$F$250)+('Cálculos'!$F$201*(1+'Cálculos'!$F$202+$A212*('Cálculos'!$F$290=2)*'Cálculos'!$F$101)+'Cálculos'!$F$203)*('Cálculos'!$F$241+'Cálculos'!$F$124*(1+2.78*('Cálculos'!$F$198+(($B$225)-$A212)*'Cálculos'!$F$98)/(('Cálculos'!$F$198+(($B$225)-$A212)*'Cálculos'!$F$98)+1400)+'Cálculos'!$F$122)*'Cálculos'!$F$246+'Cálculos'!$F$125*(1+2.78*('Cálculos'!$F$198+(($B$225)-$A212)*'Cálculos'!$F$98)/(('Cálculos'!$F$198+(($B$225)-$A212)*'Cálculos'!$F$98)+1400)+'Cálculos'!$F$123)*'Cálculos'!$F$251)+('Cálculos'!$F$204*(1+'Cálculos'!$F$205+$A212*('Cálculos'!$F$290=3)*'Cálculos'!$F$103)+'Cálculos'!$F$206)*('Cálculos'!$F$242+'Cálculos'!$F$124*(1+2.78*('Cálculos'!$F$198+(($B$225)-$A212)*'Cálculos'!$F$98)/(('Cálculos'!$F$198+(($B$225)-$A212)*'Cálculos'!$F$98)+1400)+'Cálculos'!$F$122)*'Cálculos'!$F$247+'Cálculos'!$F$125*(1+2.78*('Cálculos'!$F$198+(($B$225)-$A212)*'Cálculos'!$F$98)/(('Cálculos'!$F$198+(($B$225)-$A212)*'Cálculos'!$F$98)+1400)+'Cálculos'!$F$123)*'Cálculos'!$F$252)+('Cálculos'!$F$243+'Cálculos'!$F$124*(1+2.78*('Cálculos'!$F$198+(($B$225)-$A212)*'Cálculos'!$F$98)/(('Cálculos'!$F$198+(($B$225)-$A212)*'Cálculos'!$F$98)+1400)+'Cálculos'!$F$122)*'Cálculos'!$F$248+'Cálculos'!$F$125*(1+2.78*('Cálculos'!$F$198+(($B$225)-$A212)*'Cálculos'!$F$98)/(('Cálculos'!$F$198+(($B$225)-$A212)*'Cálculos'!$F$98)+1400)+'Cálculos'!$F$123)*'Cálculos'!$F$253)+('Cálculos'!$F$185*(1+'Cálculos'!$F$189+$A212*('Cálculos'!$F$290=1)*'Cálculos'!$F$97+'Cálculos'!$F$305)+'Cálculos'!$F$194)*('Cálculos'!$F$254+'Cálculos'!$F$124*(1+2.78*('Cálculos'!$F$199+(($B$225)-$A212)*'Cálculos'!$F$98)/(('Cálculos'!$F$199+(($B$225)-$A212)*'Cálculos'!$F$98)+1400)+'Cálculos'!$F$122)*'Cálculos'!$F$259+'Cálculos'!$F$125*(1+2.78*('Cálculos'!$F$199+(($B$225)-$A212)*'Cálculos'!$F$98)/(('Cálculos'!$F$199+(($B$225)-$A212)*'Cálculos'!$F$98)+1400)+'Cálculos'!$F$123)*'Cálculos'!$F$264)+('Cálculos'!$F$199+(($B$225)-$A212)*'Cálculos'!$F$98)*('Cálculos'!$F$255+'Cálculos'!$F$124*(1+2.78*('Cálculos'!$F$199+(($B$225)-$A212)*'Cálculos'!$F$98)/(('Cálculos'!$F$199+(($B$225)-$A212)*'Cálculos'!$F$98)+1400)+'Cálculos'!$F$122)*'Cálculos'!$F$260+'Cálculos'!$F$125*(1+2.78*('Cálculos'!$F$199+(($B$225)-$A212)*'Cálculos'!$F$98)/(('Cálculos'!$F$199+(($B$225)-$A212)*'Cálculos'!$F$98)+1400)+'Cálculos'!$F$123)*'Cálculos'!$F$265)+('Cálculos'!$F$201*(1+'Cálculos'!$F$202+$A212*('Cálculos'!$F$290=2)*'Cálculos'!$F$101)+'Cálculos'!$F$203)*('Cálculos'!$F$256+'Cálculos'!$F$124*(1+2.78*('Cálculos'!$F$199+(($B$225)-$A212)*'Cálculos'!$F$98)/(('Cálculos'!$F$199+(($B$225)-$A212)*'Cálculos'!$F$98)+1400)+'Cálculos'!$F$122)*'Cálculos'!$F$261+'Cálculos'!$F$125*(1+2.78*('Cálculos'!$F$199+(($B$225)-$A212)*'Cálculos'!$F$98)/(('Cálculos'!$F$199+(($B$225)-$A212)*'Cálculos'!$F$98)+1400)+'Cálculos'!$F$123)*'Cálculos'!$F$266)+('Cálculos'!$F$204*(1+'Cálculos'!$F$205+$A212*('Cálculos'!$F$290=3)*'Cálculos'!$F$103)+'Cálculos'!$F$206)*('Cálculos'!$F$257+'Cálculos'!$F$124*(1+2.78*('Cálculos'!$F$199+(($B$225)-$A212)*'Cálculos'!$F$98)/(('Cálculos'!$F$199+(($B$225)-$A212)*'Cálculos'!$F$98)+1400)+'Cálculos'!$F$122)*'Cálculos'!$F$262+'Cálculos'!$F$125*(1+2.78*('Cálculos'!$F$199+(($B$225)-$A212)*'Cálculos'!$F$98)/(('Cálculos'!$F$199+(($B$225)-$A212)*'Cálculos'!$F$98)+1400)+'Cálculos'!$F$123)*'Cálculos'!$F$267)+('Cálculos'!$F$258+'Cálculos'!$F$124*(1+2.78*('Cálculos'!$F$199+(($B$225)-$A212)*'Cálculos'!$F$98)/(('Cálculos'!$F$199+(($B$225)-$A212)*'Cálculos'!$F$98)+1400)+'Cálculos'!$F$122)*'Cálculos'!$F$263+'Cálculos'!$F$125*(1+2.78*('Cálculos'!$F$199+(($B$225)-$A212)*'Cálculos'!$F$98)/(('Cálculos'!$F$199+(($B$225)-$A212)*'Cálculos'!$F$98)+1400)+'Cálculos'!$F$123)*'Cálculos'!$F$268)+('Cálculos'!$F$185*(1+'Cálculos'!$F$190+$A212*('Cálculos'!$F$290=1)*'Cálculos'!$F$97+'Cálculos'!$F$305)+'Cálculos'!$F$195)*('Cálculos'!$F$269+'Cálculos'!$F$124*(1+2.78*('Cálculos'!$F$200+(($B$225)-$A212)*'Cálculos'!$F$98)/(('Cálculos'!$F$200+(($B$225)-$A212)*'Cálculos'!$F$98)+1400)+'Cálculos'!$F$122)*'Cálculos'!$F$274+'Cálculos'!$F$125*(1+2.78*('Cálculos'!$F$200+(($B$225)-$A212)*'Cálculos'!$F$98)/(('Cálculos'!$F$200+(($B$225)-$A212)*'Cálculos'!$F$98)+1400)+'Cálculos'!$F$123)*'Cálculos'!$F$279)+('Cálculos'!$F$200+(($B$225)-$A212)*'Cálculos'!$F$98)*('Cálculos'!$F$270+'Cálculos'!$F$124*(1+2.78*('Cálculos'!$F$200+(($B$225)-$A212)*'Cálculos'!$F$98)/(('Cálculos'!$F$200+(($B$225)-$A212)*'Cálculos'!$F$98)+1400)+'Cálculos'!$F$122)*'Cálculos'!$F$275+'Cálculos'!$F$125*(1+2.78*('Cálculos'!$F$200+(($B$225)-$A212)*'Cálculos'!$F$98)/(('Cálculos'!$F$200+(($B$225)-$A212)*'Cálculos'!$F$98)+1400)+'Cálculos'!$F$123)*'Cálculos'!$F$280)+('Cálculos'!$F$201*(1+'Cálculos'!$F$202+$A212*('Cálculos'!$F$290=2)*'Cálculos'!$F$101)+'Cálculos'!$F$203)*('Cálculos'!$F$271+'Cálculos'!$F$124*(1+2.78*('Cálculos'!$F$200+(($B$225)-$A212)*'Cálculos'!$F$98)/(('Cálculos'!$F$200+(($B$225)-$A212)*'Cálculos'!$F$98)+1400)+'Cálculos'!$F$122)*'Cálculos'!$F$276+'Cálculos'!$F$125*(1+2.78*('Cálculos'!$F$200+(($B$225)-$A212)*'Cálculos'!$F$98)/(('Cálculos'!$F$200+(($B$225)-$A212)*'Cálculos'!$F$98)+1400)+'Cálculos'!$F$123)*'Cálculos'!$F$281)+('Cálculos'!$F$204*(1+'Cálculos'!$F$205+$A212*('Cálculos'!$F$290=3)*'Cálculos'!$F$103)+'Cálculos'!$F$206)*('Cálculos'!$F$272+'Cálculos'!$F$124*(1+2.78*('Cálculos'!$F$200+(($B$225)-$A212)*'Cálculos'!$F$98)/(('Cálculos'!$F$200+(($B$225)-$A212)*'Cálculos'!$F$98)+1400)+'Cálculos'!$F$122)*'Cálculos'!$F$277+'Cálculos'!$F$125*(1+2.78*('Cálculos'!$F$200+(($B$225)-$A212)*'Cálculos'!$F$98)/(('Cálculos'!$F$200+(($B$225)-$A212)*'Cálculos'!$F$98)+1400)+'Cálculos'!$F$123)*'Cálculos'!$F$282)+('Cálculos'!$F$273+'Cálculos'!$F$124*(1+2.78*('Cálculos'!$F$200+(($B$225)-$A212)*'Cálculos'!$F$98)/(('Cálculos'!$F$200+(($B$225)-$A212)*'Cálculos'!$F$98)+1400)+'Cálculos'!$F$122)*'Cálculos'!$F$278+'Cálculos'!$F$125*(1+2.78*('Cálculos'!$F$200+(($B$225)-$A212)*'Cálculos'!$F$98)/(('Cálculos'!$F$200+(($B$225)-$A212)*'Cálculos'!$F$98)+1400)+'Cálculos'!$F$123)*'Cálculos'!$F$283)))</f>
        <v>0</v>
      </c>
    </row>
    <row r="213" ht="15.75" customHeight="1">
      <c r="A213" s="2">
        <v>36.0</v>
      </c>
      <c r="B213" s="30">
        <f>SUMPRODUCT(MAX(($A$177:$A$222&lt;=$A213)*($A$177:$A$222&lt;='Cálculos'!$F$294)*(($A213)-$A$177:$A$222&lt;='Cálculos'!$F$295)*(1+(('Cálculos'!$F$207+$A$177:$A$222*'Cálculos'!$F$95)-(('Cálculos'!$F$207+$A$177:$A$222*'Cálculos'!$F$95)&gt;1)*(('Cálculos'!$F$207+$A$177:$A$222*'Cálculos'!$F$95)-1))*('Cálculos'!$F$208+(($A213)-$A$177:$A$222)*'Cálculos'!$F$96))))</f>
        <v>3.496676</v>
      </c>
      <c r="C213" s="2">
        <f>'Cálculos'!$F$303-$A213</f>
        <v>-18</v>
      </c>
      <c r="D213" s="31">
        <f>IF($C213&lt;0,0,SUMPRODUCT(MAX(($A$177:$A$222&lt;=$C213)*($A$177:$A$222&lt;='Cálculos'!$F$301)*(($C213)-$A$177:$A$222&lt;='Cálculos'!$F$297)*(('Cálculos'!$F$185*(1+'Cálculos'!$F$186+$A$177:$A$222*('Cálculos'!$F$290=1)*'Cálculos'!$F$97+'Cálculos'!$F$305)+'Cálculos'!$F$191)*('Cálculos'!$F$209+'Cálculos'!$F$124*(1+2.78*('Cálculos'!$F$196+(($C213)-$A$177:$A$222)*'Cálculos'!$F$98)/(('Cálculos'!$F$196+(($C213)-$A$177:$A$222)*'Cálculos'!$F$98)+1400)+'Cálculos'!$F$122)*'Cálculos'!$F$214+'Cálculos'!$F$125*(1+2.78*('Cálculos'!$F$196+(($C213)-$A$177:$A$222)*'Cálculos'!$F$98)/(('Cálculos'!$F$196+(($C213)-$A$177:$A$222)*'Cálculos'!$F$98)+1400)+'Cálculos'!$F$123)*'Cálculos'!$F$219)+('Cálculos'!$F$196+(($C213)-$A$177:$A$222)*'Cálculos'!$F$98)*('Cálculos'!$F$210+'Cálculos'!$F$124*(1+2.78*('Cálculos'!$F$196+(($C213)-$A$177:$A$222)*'Cálculos'!$F$98)/(('Cálculos'!$F$196+(($C213)-$A$177:$A$222)*'Cálculos'!$F$98)+1400)+'Cálculos'!$F$122)*'Cálculos'!$F$215+'Cálculos'!$F$125*(1+2.78*('Cálculos'!$F$196+(($C213)-$A$177:$A$222)*'Cálculos'!$F$98)/(('Cálculos'!$F$196+(($C213)-$A$177:$A$222)*'Cálculos'!$F$98)+1400)+'Cálculos'!$F$123)*'Cálculos'!$F$220)+('Cálculos'!$F$201*(1+'Cálculos'!$F$202+$A$177:$A$222*('Cálculos'!$F$290=2)*'Cálculos'!$F$101)+'Cálculos'!$F$203)*('Cálculos'!$F$211+'Cálculos'!$F$124*(1+2.78*('Cálculos'!$F$196+(($C213)-$A$177:$A$222)*'Cálculos'!$F$98)/(('Cálculos'!$F$196+(($C213)-$A$177:$A$222)*'Cálculos'!$F$98)+1400)+'Cálculos'!$F$122)*'Cálculos'!$F$216+'Cálculos'!$F$125*(1+2.78*('Cálculos'!$F$196+(($C213)-$A$177:$A$222)*'Cálculos'!$F$98)/(('Cálculos'!$F$196+(($C213)-$A$177:$A$222)*'Cálculos'!$F$98)+1400)+'Cálculos'!$F$123)*'Cálculos'!$F$221)+('Cálculos'!$F$204*(1+'Cálculos'!$F$205+$A$177:$A$222*('Cálculos'!$F$290=3)*'Cálculos'!$F$103)+'Cálculos'!$F$206)*('Cálculos'!$F$212+'Cálculos'!$F$124*(1+2.78*('Cálculos'!$F$196+(($C213)-$A$177:$A$222)*'Cálculos'!$F$98)/(('Cálculos'!$F$196+(($C213)-$A$177:$A$222)*'Cálculos'!$F$98)+1400)+'Cálculos'!$F$122)*'Cálculos'!$F$217+'Cálculos'!$F$125*(1+2.78*('Cálculos'!$F$196+(($C213)-$A$177:$A$222)*'Cálculos'!$F$98)/(('Cálculos'!$F$196+(($C213)-$A$177:$A$222)*'Cálculos'!$F$98)+1400)+'Cálculos'!$F$123)*'Cálculos'!$F$222)+('Cálculos'!$F$213+'Cálculos'!$F$124*(1+2.78*('Cálculos'!$F$196+(($C213)-$A$177:$A$222)*'Cálculos'!$F$98)/(('Cálculos'!$F$196+(($C213)-$A$177:$A$222)*'Cálculos'!$F$98)+1400)+'Cálculos'!$F$122)*'Cálculos'!$F$218+'Cálculos'!$F$125*(1+2.78*('Cálculos'!$F$196+(($C213)-$A$177:$A$222)*'Cálculos'!$F$98)/(('Cálculos'!$F$196+(($C213)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213)-$A$177:$A$222)*'Cálculos'!$F$98)/(('Cálculos'!$F$197+(($C213)-$A$177:$A$222)*'Cálculos'!$F$98)+1400)+'Cálculos'!$F$122)*'Cálculos'!$F$229+'Cálculos'!$F$125*(1+2.78*('Cálculos'!$F$197+(($C213)-$A$177:$A$222)*'Cálculos'!$F$98)/(('Cálculos'!$F$197+(($C213)-$A$177:$A$222)*'Cálculos'!$F$98)+1400)+'Cálculos'!$F$123)*'Cálculos'!$F$234)+('Cálculos'!$F$197+(($C213)-$A$177:$A$222)*'Cálculos'!$F$98)*('Cálculos'!$F$225+'Cálculos'!$F$124*(1+2.78*('Cálculos'!$F$197+(($C213)-$A$177:$A$222)*'Cálculos'!$F$98)/(('Cálculos'!$F$197+(($C213)-$A$177:$A$222)*'Cálculos'!$F$98)+1400)+'Cálculos'!$F$122)*'Cálculos'!$F$230+'Cálculos'!$F$125*(1+2.78*('Cálculos'!$F$197+(($C213)-$A$177:$A$222)*'Cálculos'!$F$98)/(('Cálculos'!$F$197+(($C213)-$A$177:$A$222)*'Cálculos'!$F$98)+1400)+'Cálculos'!$F$123)*'Cálculos'!$F$235)+('Cálculos'!$F$201*(1+'Cálculos'!$F$202+$A$177:$A$222*('Cálculos'!$F$290=2)*'Cálculos'!$F$101)+'Cálculos'!$F$203)*('Cálculos'!$F$226+'Cálculos'!$F$124*(1+2.78*('Cálculos'!$F$197+(($C213)-$A$177:$A$222)*'Cálculos'!$F$98)/(('Cálculos'!$F$197+(($C213)-$A$177:$A$222)*'Cálculos'!$F$98)+1400)+'Cálculos'!$F$122)*'Cálculos'!$F$231+'Cálculos'!$F$125*(1+2.78*('Cálculos'!$F$197+(($C213)-$A$177:$A$222)*'Cálculos'!$F$98)/(('Cálculos'!$F$197+(($C213)-$A$177:$A$222)*'Cálculos'!$F$98)+1400)+'Cálculos'!$F$123)*'Cálculos'!$F$236)+('Cálculos'!$F$204*(1+'Cálculos'!$F$205+$A$177:$A$222*('Cálculos'!$F$290=3)*'Cálculos'!$F$103)+'Cálculos'!$F$206)*('Cálculos'!$F$227+'Cálculos'!$F$124*(1+2.78*('Cálculos'!$F$197+(($C213)-$A$177:$A$222)*'Cálculos'!$F$98)/(('Cálculos'!$F$197+(($C213)-$A$177:$A$222)*'Cálculos'!$F$98)+1400)+'Cálculos'!$F$122)*'Cálculos'!$F$232+'Cálculos'!$F$125*(1+2.78*('Cálculos'!$F$197+(($C213)-$A$177:$A$222)*'Cálculos'!$F$98)/(('Cálculos'!$F$197+(($C213)-$A$177:$A$222)*'Cálculos'!$F$98)+1400)+'Cálculos'!$F$123)*'Cálculos'!$F$237)+('Cálculos'!$F$228+'Cálculos'!$F$124*(1+2.78*('Cálculos'!$F$197+(($C213)-$A$177:$A$222)*'Cálculos'!$F$98)/(('Cálculos'!$F$197+(($C213)-$A$177:$A$222)*'Cálculos'!$F$98)+1400)+'Cálculos'!$F$122)*'Cálculos'!$F$233+'Cálculos'!$F$125*(1+2.78*('Cálculos'!$F$197+(($C213)-$A$177:$A$222)*'Cálculos'!$F$98)/(('Cálculos'!$F$197+(($C213)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213)-$A$177:$A$222)*'Cálculos'!$F$98)/(('Cálculos'!$F$198+(($C213)-$A$177:$A$222)*'Cálculos'!$F$98)+1400)+'Cálculos'!$F$122)*'Cálculos'!$F$244+'Cálculos'!$F$125*(1+2.78*('Cálculos'!$F$198+(($C213)-$A$177:$A$222)*'Cálculos'!$F$98)/(('Cálculos'!$F$198+(($C213)-$A$177:$A$222)*'Cálculos'!$F$98)+1400)+'Cálculos'!$F$123)*'Cálculos'!$F$249)+('Cálculos'!$F$198+(($C213)-$A$177:$A$222)*'Cálculos'!$F$98)*('Cálculos'!$F$240+'Cálculos'!$F$124*(1+2.78*('Cálculos'!$F$198+(($C213)-$A$177:$A$222)*'Cálculos'!$F$98)/(('Cálculos'!$F$198+(($C213)-$A$177:$A$222)*'Cálculos'!$F$98)+1400)+'Cálculos'!$F$122)*'Cálculos'!$F$245+'Cálculos'!$F$125*(1+2.78*('Cálculos'!$F$198+(($C213)-$A$177:$A$222)*'Cálculos'!$F$98)/(('Cálculos'!$F$198+(($C213)-$A$177:$A$222)*'Cálculos'!$F$98)+1400)+'Cálculos'!$F$123)*'Cálculos'!$F$250)+('Cálculos'!$F$201*(1+'Cálculos'!$F$202+$A$177:$A$222*('Cálculos'!$F$290=2)*'Cálculos'!$F$101)+'Cálculos'!$F$203)*('Cálculos'!$F$241+'Cálculos'!$F$124*(1+2.78*('Cálculos'!$F$198+(($C213)-$A$177:$A$222)*'Cálculos'!$F$98)/(('Cálculos'!$F$198+(($C213)-$A$177:$A$222)*'Cálculos'!$F$98)+1400)+'Cálculos'!$F$122)*'Cálculos'!$F$246+'Cálculos'!$F$125*(1+2.78*('Cálculos'!$F$198+(($C213)-$A$177:$A$222)*'Cálculos'!$F$98)/(('Cálculos'!$F$198+(($C213)-$A$177:$A$222)*'Cálculos'!$F$98)+1400)+'Cálculos'!$F$123)*'Cálculos'!$F$251)+('Cálculos'!$F$204*(1+'Cálculos'!$F$205+$A$177:$A$222*('Cálculos'!$F$290=3)*'Cálculos'!$F$103)+'Cálculos'!$F$206)*('Cálculos'!$F$242+'Cálculos'!$F$124*(1+2.78*('Cálculos'!$F$198+(($C213)-$A$177:$A$222)*'Cálculos'!$F$98)/(('Cálculos'!$F$198+(($C213)-$A$177:$A$222)*'Cálculos'!$F$98)+1400)+'Cálculos'!$F$122)*'Cálculos'!$F$247+'Cálculos'!$F$125*(1+2.78*('Cálculos'!$F$198+(($C213)-$A$177:$A$222)*'Cálculos'!$F$98)/(('Cálculos'!$F$198+(($C213)-$A$177:$A$222)*'Cálculos'!$F$98)+1400)+'Cálculos'!$F$123)*'Cálculos'!$F$252)+('Cálculos'!$F$243+'Cálculos'!$F$124*(1+2.78*('Cálculos'!$F$198+(($C213)-$A$177:$A$222)*'Cálculos'!$F$98)/(('Cálculos'!$F$198+(($C213)-$A$177:$A$222)*'Cálculos'!$F$98)+1400)+'Cálculos'!$F$122)*'Cálculos'!$F$248+'Cálculos'!$F$125*(1+2.78*('Cálculos'!$F$198+(($C213)-$A$177:$A$222)*'Cálculos'!$F$98)/(('Cálculos'!$F$198+(($C213)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213)-$A$177:$A$222)*'Cálculos'!$F$98)/(('Cálculos'!$F$199+(($C213)-$A$177:$A$222)*'Cálculos'!$F$98)+1400)+'Cálculos'!$F$122)*'Cálculos'!$F$259+'Cálculos'!$F$125*(1+2.78*('Cálculos'!$F$199+(($C213)-$A$177:$A$222)*'Cálculos'!$F$98)/(('Cálculos'!$F$199+(($C213)-$A$177:$A$222)*'Cálculos'!$F$98)+1400)+'Cálculos'!$F$123)*'Cálculos'!$F$264)+('Cálculos'!$F$199+(($C213)-$A$177:$A$222)*'Cálculos'!$F$98)*('Cálculos'!$F$255+'Cálculos'!$F$124*(1+2.78*('Cálculos'!$F$199+(($C213)-$A$177:$A$222)*'Cálculos'!$F$98)/(('Cálculos'!$F$199+(($C213)-$A$177:$A$222)*'Cálculos'!$F$98)+1400)+'Cálculos'!$F$122)*'Cálculos'!$F$260+'Cálculos'!$F$125*(1+2.78*('Cálculos'!$F$199+(($C213)-$A$177:$A$222)*'Cálculos'!$F$98)/(('Cálculos'!$F$199+(($C213)-$A$177:$A$222)*'Cálculos'!$F$98)+1400)+'Cálculos'!$F$123)*'Cálculos'!$F$265)+('Cálculos'!$F$201*(1+'Cálculos'!$F$202+$A$177:$A$222*('Cálculos'!$F$290=2)*'Cálculos'!$F$101)+'Cálculos'!$F$203)*('Cálculos'!$F$256+'Cálculos'!$F$124*(1+2.78*('Cálculos'!$F$199+(($C213)-$A$177:$A$222)*'Cálculos'!$F$98)/(('Cálculos'!$F$199+(($C213)-$A$177:$A$222)*'Cálculos'!$F$98)+1400)+'Cálculos'!$F$122)*'Cálculos'!$F$261+'Cálculos'!$F$125*(1+2.78*('Cálculos'!$F$199+(($C213)-$A$177:$A$222)*'Cálculos'!$F$98)/(('Cálculos'!$F$199+(($C213)-$A$177:$A$222)*'Cálculos'!$F$98)+1400)+'Cálculos'!$F$123)*'Cálculos'!$F$266)+('Cálculos'!$F$204*(1+'Cálculos'!$F$205+$A$177:$A$222*('Cálculos'!$F$290=3)*'Cálculos'!$F$103)+'Cálculos'!$F$206)*('Cálculos'!$F$257+'Cálculos'!$F$124*(1+2.78*('Cálculos'!$F$199+(($C213)-$A$177:$A$222)*'Cálculos'!$F$98)/(('Cálculos'!$F$199+(($C213)-$A$177:$A$222)*'Cálculos'!$F$98)+1400)+'Cálculos'!$F$122)*'Cálculos'!$F$262+'Cálculos'!$F$125*(1+2.78*('Cálculos'!$F$199+(($C213)-$A$177:$A$222)*'Cálculos'!$F$98)/(('Cálculos'!$F$199+(($C213)-$A$177:$A$222)*'Cálculos'!$F$98)+1400)+'Cálculos'!$F$123)*'Cálculos'!$F$267)+('Cálculos'!$F$258+'Cálculos'!$F$124*(1+2.78*('Cálculos'!$F$199+(($C213)-$A$177:$A$222)*'Cálculos'!$F$98)/(('Cálculos'!$F$199+(($C213)-$A$177:$A$222)*'Cálculos'!$F$98)+1400)+'Cálculos'!$F$122)*'Cálculos'!$F$263+'Cálculos'!$F$125*(1+2.78*('Cálculos'!$F$199+(($C213)-$A$177:$A$222)*'Cálculos'!$F$98)/(('Cálculos'!$F$199+(($C213)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213)-$A$177:$A$222)*'Cálculos'!$F$98)/(('Cálculos'!$F$200+(($C213)-$A$177:$A$222)*'Cálculos'!$F$98)+1400)+'Cálculos'!$F$122)*'Cálculos'!$F$274+'Cálculos'!$F$125*(1+2.78*('Cálculos'!$F$200+(($C213)-$A$177:$A$222)*'Cálculos'!$F$98)/(('Cálculos'!$F$200+(($C213)-$A$177:$A$222)*'Cálculos'!$F$98)+1400)+'Cálculos'!$F$123)*'Cálculos'!$F$279)+('Cálculos'!$F$200+(($C213)-$A$177:$A$222)*'Cálculos'!$F$98)*('Cálculos'!$F$270+'Cálculos'!$F$124*(1+2.78*('Cálculos'!$F$200+(($C213)-$A$177:$A$222)*'Cálculos'!$F$98)/(('Cálculos'!$F$200+(($C213)-$A$177:$A$222)*'Cálculos'!$F$98)+1400)+'Cálculos'!$F$122)*'Cálculos'!$F$275+'Cálculos'!$F$125*(1+2.78*('Cálculos'!$F$200+(($C213)-$A$177:$A$222)*'Cálculos'!$F$98)/(('Cálculos'!$F$200+(($C213)-$A$177:$A$222)*'Cálculos'!$F$98)+1400)+'Cálculos'!$F$123)*'Cálculos'!$F$280)+('Cálculos'!$F$201*(1+'Cálculos'!$F$202+$A$177:$A$222*('Cálculos'!$F$290=2)*'Cálculos'!$F$101)+'Cálculos'!$F$203)*('Cálculos'!$F$271+'Cálculos'!$F$124*(1+2.78*('Cálculos'!$F$200+(($C213)-$A$177:$A$222)*'Cálculos'!$F$98)/(('Cálculos'!$F$200+(($C213)-$A$177:$A$222)*'Cálculos'!$F$98)+1400)+'Cálculos'!$F$122)*'Cálculos'!$F$276+'Cálculos'!$F$125*(1+2.78*('Cálculos'!$F$200+(($C213)-$A$177:$A$222)*'Cálculos'!$F$98)/(('Cálculos'!$F$200+(($C213)-$A$177:$A$222)*'Cálculos'!$F$98)+1400)+'Cálculos'!$F$123)*'Cálculos'!$F$281)+('Cálculos'!$F$204*(1+'Cálculos'!$F$205+$A$177:$A$222*('Cálculos'!$F$290=3)*'Cálculos'!$F$103)+'Cálculos'!$F$206)*('Cálculos'!$F$272+'Cálculos'!$F$124*(1+2.78*('Cálculos'!$F$200+(($C213)-$A$177:$A$222)*'Cálculos'!$F$98)/(('Cálculos'!$F$200+(($C213)-$A$177:$A$222)*'Cálculos'!$F$98)+1400)+'Cálculos'!$F$122)*'Cálculos'!$F$277+'Cálculos'!$F$125*(1+2.78*('Cálculos'!$F$200+(($C213)-$A$177:$A$222)*'Cálculos'!$F$98)/(('Cálculos'!$F$200+(($C213)-$A$177:$A$222)*'Cálculos'!$F$98)+1400)+'Cálculos'!$F$123)*'Cálculos'!$F$282)+('Cálculos'!$F$273+'Cálculos'!$F$124*(1+2.78*('Cálculos'!$F$200+(($C213)-$A$177:$A$222)*'Cálculos'!$F$98)/(('Cálculos'!$F$200+(($C213)-$A$177:$A$222)*'Cálculos'!$F$98)+1400)+'Cálculos'!$F$122)*'Cálculos'!$F$278+'Cálculos'!$F$125*(1+2.78*('Cálculos'!$F$200+(($C213)-$A$177:$A$222)*'Cálculos'!$F$98)/(('Cálculos'!$F$200+(($C213)-$A$177:$A$222)*'Cálculos'!$F$98)+1400)+'Cálculos'!$F$123)*'Cálculos'!$F$283)))))</f>
        <v>0</v>
      </c>
      <c r="E213" s="32">
        <f>IF(OR($C213&lt;0,'Cálculos'!$F$6=""),0,$B213*$D213)</f>
        <v>0</v>
      </c>
      <c r="F213" s="2"/>
      <c r="G213" s="30">
        <f>($A213&lt;=$B$224)*($A213&lt;='Cálculos'!$F$294)*(($B$224)-$A213&lt;='Cálculos'!$F$295)*(1+MIN(('Cálculos'!$F$207+$A213*'Cálculos'!$F$95),1)*('Cálculos'!$F$208+(($B$224)-$A213)*'Cálculos'!$F$96))</f>
        <v>0</v>
      </c>
      <c r="H213" s="31">
        <f>IF($B$225&lt;0,0,($A213&lt;=$B$225)*($A213&lt;='Cálculos'!$F$301)*(($B$225)-$A213&lt;='Cálculos'!$F$297)*(('Cálculos'!$F$185*(1+'Cálculos'!$F$186+$A213*('Cálculos'!$F$290=1)*'Cálculos'!$F$97+'Cálculos'!$F$305)+'Cálculos'!$F$191)*('Cálculos'!$F$209+'Cálculos'!$F$124*(1+2.78*('Cálculos'!$F$196+(($B$225)-$A213)*'Cálculos'!$F$98)/(('Cálculos'!$F$196+(($B$225)-$A213)*'Cálculos'!$F$98)+1400)+'Cálculos'!$F$122)*'Cálculos'!$F$214+'Cálculos'!$F$125*(1+2.78*('Cálculos'!$F$196+(($B$225)-$A213)*'Cálculos'!$F$98)/(('Cálculos'!$F$196+(($B$225)-$A213)*'Cálculos'!$F$98)+1400)+'Cálculos'!$F$123)*'Cálculos'!$F$219)+('Cálculos'!$F$196+(($B$225)-$A213)*'Cálculos'!$F$98)*('Cálculos'!$F$210+'Cálculos'!$F$124*(1+2.78*('Cálculos'!$F$196+(($B$225)-$A213)*'Cálculos'!$F$98)/(('Cálculos'!$F$196+(($B$225)-$A213)*'Cálculos'!$F$98)+1400)+'Cálculos'!$F$122)*'Cálculos'!$F$215+'Cálculos'!$F$125*(1+2.78*('Cálculos'!$F$196+(($B$225)-$A213)*'Cálculos'!$F$98)/(('Cálculos'!$F$196+(($B$225)-$A213)*'Cálculos'!$F$98)+1400)+'Cálculos'!$F$123)*'Cálculos'!$F$220)+('Cálculos'!$F$201*(1+'Cálculos'!$F$202+$A213*('Cálculos'!$F$290=2)*'Cálculos'!$F$101)+'Cálculos'!$F$203)*('Cálculos'!$F$211+'Cálculos'!$F$124*(1+2.78*('Cálculos'!$F$196+(($B$225)-$A213)*'Cálculos'!$F$98)/(('Cálculos'!$F$196+(($B$225)-$A213)*'Cálculos'!$F$98)+1400)+'Cálculos'!$F$122)*'Cálculos'!$F$216+'Cálculos'!$F$125*(1+2.78*('Cálculos'!$F$196+(($B$225)-$A213)*'Cálculos'!$F$98)/(('Cálculos'!$F$196+(($B$225)-$A213)*'Cálculos'!$F$98)+1400)+'Cálculos'!$F$123)*'Cálculos'!$F$221)+('Cálculos'!$F$204*(1+'Cálculos'!$F$205+$A213*('Cálculos'!$F$290=3)*'Cálculos'!$F$103)+'Cálculos'!$F$206)*('Cálculos'!$F$212+'Cálculos'!$F$124*(1+2.78*('Cálculos'!$F$196+(($B$225)-$A213)*'Cálculos'!$F$98)/(('Cálculos'!$F$196+(($B$225)-$A213)*'Cálculos'!$F$98)+1400)+'Cálculos'!$F$122)*'Cálculos'!$F$217+'Cálculos'!$F$125*(1+2.78*('Cálculos'!$F$196+(($B$225)-$A213)*'Cálculos'!$F$98)/(('Cálculos'!$F$196+(($B$225)-$A213)*'Cálculos'!$F$98)+1400)+'Cálculos'!$F$123)*'Cálculos'!$F$222)+('Cálculos'!$F$213+'Cálculos'!$F$124*(1+2.78*('Cálculos'!$F$196+(($B$225)-$A213)*'Cálculos'!$F$98)/(('Cálculos'!$F$196+(($B$225)-$A213)*'Cálculos'!$F$98)+1400)+'Cálculos'!$F$122)*'Cálculos'!$F$218+'Cálculos'!$F$125*(1+2.78*('Cálculos'!$F$196+(($B$225)-$A213)*'Cálculos'!$F$98)/(('Cálculos'!$F$196+(($B$225)-$A213)*'Cálculos'!$F$98)+1400)+'Cálculos'!$F$123)*'Cálculos'!$F$223)+('Cálculos'!$F$185*(1+'Cálculos'!$F$187+$A213*('Cálculos'!$F$290=1)*'Cálculos'!$F$97+'Cálculos'!$F$305)+'Cálculos'!$F$192)*('Cálculos'!$F$224+'Cálculos'!$F$124*(1+2.78*('Cálculos'!$F$197+(($B$225)-$A213)*'Cálculos'!$F$98)/(('Cálculos'!$F$197+(($B$225)-$A213)*'Cálculos'!$F$98)+1400)+'Cálculos'!$F$122)*'Cálculos'!$F$229+'Cálculos'!$F$125*(1+2.78*('Cálculos'!$F$197+(($B$225)-$A213)*'Cálculos'!$F$98)/(('Cálculos'!$F$197+(($B$225)-$A213)*'Cálculos'!$F$98)+1400)+'Cálculos'!$F$123)*'Cálculos'!$F$234)+('Cálculos'!$F$197+(($B$225)-$A213)*'Cálculos'!$F$98)*('Cálculos'!$F$225+'Cálculos'!$F$124*(1+2.78*('Cálculos'!$F$197+(($B$225)-$A213)*'Cálculos'!$F$98)/(('Cálculos'!$F$197+(($B$225)-$A213)*'Cálculos'!$F$98)+1400)+'Cálculos'!$F$122)*'Cálculos'!$F$230+'Cálculos'!$F$125*(1+2.78*('Cálculos'!$F$197+(($B$225)-$A213)*'Cálculos'!$F$98)/(('Cálculos'!$F$197+(($B$225)-$A213)*'Cálculos'!$F$98)+1400)+'Cálculos'!$F$123)*'Cálculos'!$F$235)+('Cálculos'!$F$201*(1+'Cálculos'!$F$202+$A213*('Cálculos'!$F$290=2)*'Cálculos'!$F$101)+'Cálculos'!$F$203)*('Cálculos'!$F$226+'Cálculos'!$F$124*(1+2.78*('Cálculos'!$F$197+(($B$225)-$A213)*'Cálculos'!$F$98)/(('Cálculos'!$F$197+(($B$225)-$A213)*'Cálculos'!$F$98)+1400)+'Cálculos'!$F$122)*'Cálculos'!$F$231+'Cálculos'!$F$125*(1+2.78*('Cálculos'!$F$197+(($B$225)-$A213)*'Cálculos'!$F$98)/(('Cálculos'!$F$197+(($B$225)-$A213)*'Cálculos'!$F$98)+1400)+'Cálculos'!$F$123)*'Cálculos'!$F$236)+('Cálculos'!$F$204*(1+'Cálculos'!$F$205+$A213*('Cálculos'!$F$290=3)*'Cálculos'!$F$103)+'Cálculos'!$F$206)*('Cálculos'!$F$227+'Cálculos'!$F$124*(1+2.78*('Cálculos'!$F$197+(($B$225)-$A213)*'Cálculos'!$F$98)/(('Cálculos'!$F$197+(($B$225)-$A213)*'Cálculos'!$F$98)+1400)+'Cálculos'!$F$122)*'Cálculos'!$F$232+'Cálculos'!$F$125*(1+2.78*('Cálculos'!$F$197+(($B$225)-$A213)*'Cálculos'!$F$98)/(('Cálculos'!$F$197+(($B$225)-$A213)*'Cálculos'!$F$98)+1400)+'Cálculos'!$F$123)*'Cálculos'!$F$237)+('Cálculos'!$F$228+'Cálculos'!$F$124*(1+2.78*('Cálculos'!$F$197+(($B$225)-$A213)*'Cálculos'!$F$98)/(('Cálculos'!$F$197+(($B$225)-$A213)*'Cálculos'!$F$98)+1400)+'Cálculos'!$F$122)*'Cálculos'!$F$233+'Cálculos'!$F$125*(1+2.78*('Cálculos'!$F$197+(($B$225)-$A213)*'Cálculos'!$F$98)/(('Cálculos'!$F$197+(($B$225)-$A213)*'Cálculos'!$F$98)+1400)+'Cálculos'!$F$123)*'Cálculos'!$F$238)+('Cálculos'!$F$185*(1+'Cálculos'!$F$188+$A213*('Cálculos'!$F$290=1)*'Cálculos'!$F$97+'Cálculos'!$F$305)+'Cálculos'!$F$193)*('Cálculos'!$F$239+'Cálculos'!$F$124*(1+2.78*('Cálculos'!$F$198+(($B$225)-$A213)*'Cálculos'!$F$98)/(('Cálculos'!$F$198+(($B$225)-$A213)*'Cálculos'!$F$98)+1400)+'Cálculos'!$F$122)*'Cálculos'!$F$244+'Cálculos'!$F$125*(1+2.78*('Cálculos'!$F$198+(($B$225)-$A213)*'Cálculos'!$F$98)/(('Cálculos'!$F$198+(($B$225)-$A213)*'Cálculos'!$F$98)+1400)+'Cálculos'!$F$123)*'Cálculos'!$F$249)+('Cálculos'!$F$198+(($B$225)-$A213)*'Cálculos'!$F$98)*('Cálculos'!$F$240+'Cálculos'!$F$124*(1+2.78*('Cálculos'!$F$198+(($B$225)-$A213)*'Cálculos'!$F$98)/(('Cálculos'!$F$198+(($B$225)-$A213)*'Cálculos'!$F$98)+1400)+'Cálculos'!$F$122)*'Cálculos'!$F$245+'Cálculos'!$F$125*(1+2.78*('Cálculos'!$F$198+(($B$225)-$A213)*'Cálculos'!$F$98)/(('Cálculos'!$F$198+(($B$225)-$A213)*'Cálculos'!$F$98)+1400)+'Cálculos'!$F$123)*'Cálculos'!$F$250)+('Cálculos'!$F$201*(1+'Cálculos'!$F$202+$A213*('Cálculos'!$F$290=2)*'Cálculos'!$F$101)+'Cálculos'!$F$203)*('Cálculos'!$F$241+'Cálculos'!$F$124*(1+2.78*('Cálculos'!$F$198+(($B$225)-$A213)*'Cálculos'!$F$98)/(('Cálculos'!$F$198+(($B$225)-$A213)*'Cálculos'!$F$98)+1400)+'Cálculos'!$F$122)*'Cálculos'!$F$246+'Cálculos'!$F$125*(1+2.78*('Cálculos'!$F$198+(($B$225)-$A213)*'Cálculos'!$F$98)/(('Cálculos'!$F$198+(($B$225)-$A213)*'Cálculos'!$F$98)+1400)+'Cálculos'!$F$123)*'Cálculos'!$F$251)+('Cálculos'!$F$204*(1+'Cálculos'!$F$205+$A213*('Cálculos'!$F$290=3)*'Cálculos'!$F$103)+'Cálculos'!$F$206)*('Cálculos'!$F$242+'Cálculos'!$F$124*(1+2.78*('Cálculos'!$F$198+(($B$225)-$A213)*'Cálculos'!$F$98)/(('Cálculos'!$F$198+(($B$225)-$A213)*'Cálculos'!$F$98)+1400)+'Cálculos'!$F$122)*'Cálculos'!$F$247+'Cálculos'!$F$125*(1+2.78*('Cálculos'!$F$198+(($B$225)-$A213)*'Cálculos'!$F$98)/(('Cálculos'!$F$198+(($B$225)-$A213)*'Cálculos'!$F$98)+1400)+'Cálculos'!$F$123)*'Cálculos'!$F$252)+('Cálculos'!$F$243+'Cálculos'!$F$124*(1+2.78*('Cálculos'!$F$198+(($B$225)-$A213)*'Cálculos'!$F$98)/(('Cálculos'!$F$198+(($B$225)-$A213)*'Cálculos'!$F$98)+1400)+'Cálculos'!$F$122)*'Cálculos'!$F$248+'Cálculos'!$F$125*(1+2.78*('Cálculos'!$F$198+(($B$225)-$A213)*'Cálculos'!$F$98)/(('Cálculos'!$F$198+(($B$225)-$A213)*'Cálculos'!$F$98)+1400)+'Cálculos'!$F$123)*'Cálculos'!$F$253)+('Cálculos'!$F$185*(1+'Cálculos'!$F$189+$A213*('Cálculos'!$F$290=1)*'Cálculos'!$F$97+'Cálculos'!$F$305)+'Cálculos'!$F$194)*('Cálculos'!$F$254+'Cálculos'!$F$124*(1+2.78*('Cálculos'!$F$199+(($B$225)-$A213)*'Cálculos'!$F$98)/(('Cálculos'!$F$199+(($B$225)-$A213)*'Cálculos'!$F$98)+1400)+'Cálculos'!$F$122)*'Cálculos'!$F$259+'Cálculos'!$F$125*(1+2.78*('Cálculos'!$F$199+(($B$225)-$A213)*'Cálculos'!$F$98)/(('Cálculos'!$F$199+(($B$225)-$A213)*'Cálculos'!$F$98)+1400)+'Cálculos'!$F$123)*'Cálculos'!$F$264)+('Cálculos'!$F$199+(($B$225)-$A213)*'Cálculos'!$F$98)*('Cálculos'!$F$255+'Cálculos'!$F$124*(1+2.78*('Cálculos'!$F$199+(($B$225)-$A213)*'Cálculos'!$F$98)/(('Cálculos'!$F$199+(($B$225)-$A213)*'Cálculos'!$F$98)+1400)+'Cálculos'!$F$122)*'Cálculos'!$F$260+'Cálculos'!$F$125*(1+2.78*('Cálculos'!$F$199+(($B$225)-$A213)*'Cálculos'!$F$98)/(('Cálculos'!$F$199+(($B$225)-$A213)*'Cálculos'!$F$98)+1400)+'Cálculos'!$F$123)*'Cálculos'!$F$265)+('Cálculos'!$F$201*(1+'Cálculos'!$F$202+$A213*('Cálculos'!$F$290=2)*'Cálculos'!$F$101)+'Cálculos'!$F$203)*('Cálculos'!$F$256+'Cálculos'!$F$124*(1+2.78*('Cálculos'!$F$199+(($B$225)-$A213)*'Cálculos'!$F$98)/(('Cálculos'!$F$199+(($B$225)-$A213)*'Cálculos'!$F$98)+1400)+'Cálculos'!$F$122)*'Cálculos'!$F$261+'Cálculos'!$F$125*(1+2.78*('Cálculos'!$F$199+(($B$225)-$A213)*'Cálculos'!$F$98)/(('Cálculos'!$F$199+(($B$225)-$A213)*'Cálculos'!$F$98)+1400)+'Cálculos'!$F$123)*'Cálculos'!$F$266)+('Cálculos'!$F$204*(1+'Cálculos'!$F$205+$A213*('Cálculos'!$F$290=3)*'Cálculos'!$F$103)+'Cálculos'!$F$206)*('Cálculos'!$F$257+'Cálculos'!$F$124*(1+2.78*('Cálculos'!$F$199+(($B$225)-$A213)*'Cálculos'!$F$98)/(('Cálculos'!$F$199+(($B$225)-$A213)*'Cálculos'!$F$98)+1400)+'Cálculos'!$F$122)*'Cálculos'!$F$262+'Cálculos'!$F$125*(1+2.78*('Cálculos'!$F$199+(($B$225)-$A213)*'Cálculos'!$F$98)/(('Cálculos'!$F$199+(($B$225)-$A213)*'Cálculos'!$F$98)+1400)+'Cálculos'!$F$123)*'Cálculos'!$F$267)+('Cálculos'!$F$258+'Cálculos'!$F$124*(1+2.78*('Cálculos'!$F$199+(($B$225)-$A213)*'Cálculos'!$F$98)/(('Cálculos'!$F$199+(($B$225)-$A213)*'Cálculos'!$F$98)+1400)+'Cálculos'!$F$122)*'Cálculos'!$F$263+'Cálculos'!$F$125*(1+2.78*('Cálculos'!$F$199+(($B$225)-$A213)*'Cálculos'!$F$98)/(('Cálculos'!$F$199+(($B$225)-$A213)*'Cálculos'!$F$98)+1400)+'Cálculos'!$F$123)*'Cálculos'!$F$268)+('Cálculos'!$F$185*(1+'Cálculos'!$F$190+$A213*('Cálculos'!$F$290=1)*'Cálculos'!$F$97+'Cálculos'!$F$305)+'Cálculos'!$F$195)*('Cálculos'!$F$269+'Cálculos'!$F$124*(1+2.78*('Cálculos'!$F$200+(($B$225)-$A213)*'Cálculos'!$F$98)/(('Cálculos'!$F$200+(($B$225)-$A213)*'Cálculos'!$F$98)+1400)+'Cálculos'!$F$122)*'Cálculos'!$F$274+'Cálculos'!$F$125*(1+2.78*('Cálculos'!$F$200+(($B$225)-$A213)*'Cálculos'!$F$98)/(('Cálculos'!$F$200+(($B$225)-$A213)*'Cálculos'!$F$98)+1400)+'Cálculos'!$F$123)*'Cálculos'!$F$279)+('Cálculos'!$F$200+(($B$225)-$A213)*'Cálculos'!$F$98)*('Cálculos'!$F$270+'Cálculos'!$F$124*(1+2.78*('Cálculos'!$F$200+(($B$225)-$A213)*'Cálculos'!$F$98)/(('Cálculos'!$F$200+(($B$225)-$A213)*'Cálculos'!$F$98)+1400)+'Cálculos'!$F$122)*'Cálculos'!$F$275+'Cálculos'!$F$125*(1+2.78*('Cálculos'!$F$200+(($B$225)-$A213)*'Cálculos'!$F$98)/(('Cálculos'!$F$200+(($B$225)-$A213)*'Cálculos'!$F$98)+1400)+'Cálculos'!$F$123)*'Cálculos'!$F$280)+('Cálculos'!$F$201*(1+'Cálculos'!$F$202+$A213*('Cálculos'!$F$290=2)*'Cálculos'!$F$101)+'Cálculos'!$F$203)*('Cálculos'!$F$271+'Cálculos'!$F$124*(1+2.78*('Cálculos'!$F$200+(($B$225)-$A213)*'Cálculos'!$F$98)/(('Cálculos'!$F$200+(($B$225)-$A213)*'Cálculos'!$F$98)+1400)+'Cálculos'!$F$122)*'Cálculos'!$F$276+'Cálculos'!$F$125*(1+2.78*('Cálculos'!$F$200+(($B$225)-$A213)*'Cálculos'!$F$98)/(('Cálculos'!$F$200+(($B$225)-$A213)*'Cálculos'!$F$98)+1400)+'Cálculos'!$F$123)*'Cálculos'!$F$281)+('Cálculos'!$F$204*(1+'Cálculos'!$F$205+$A213*('Cálculos'!$F$290=3)*'Cálculos'!$F$103)+'Cálculos'!$F$206)*('Cálculos'!$F$272+'Cálculos'!$F$124*(1+2.78*('Cálculos'!$F$200+(($B$225)-$A213)*'Cálculos'!$F$98)/(('Cálculos'!$F$200+(($B$225)-$A213)*'Cálculos'!$F$98)+1400)+'Cálculos'!$F$122)*'Cálculos'!$F$277+'Cálculos'!$F$125*(1+2.78*('Cálculos'!$F$200+(($B$225)-$A213)*'Cálculos'!$F$98)/(('Cálculos'!$F$200+(($B$225)-$A213)*'Cálculos'!$F$98)+1400)+'Cálculos'!$F$123)*'Cálculos'!$F$282)+('Cálculos'!$F$273+'Cálculos'!$F$124*(1+2.78*('Cálculos'!$F$200+(($B$225)-$A213)*'Cálculos'!$F$98)/(('Cálculos'!$F$200+(($B$225)-$A213)*'Cálculos'!$F$98)+1400)+'Cálculos'!$F$122)*'Cálculos'!$F$278+'Cálculos'!$F$125*(1+2.78*('Cálculos'!$F$200+(($B$225)-$A213)*'Cálculos'!$F$98)/(('Cálculos'!$F$200+(($B$225)-$A213)*'Cálculos'!$F$98)+1400)+'Cálculos'!$F$123)*'Cálculos'!$F$283)))</f>
        <v>0</v>
      </c>
    </row>
    <row r="214" ht="15.75" customHeight="1">
      <c r="A214" s="2">
        <v>37.0</v>
      </c>
      <c r="B214" s="30">
        <f>SUMPRODUCT(MAX(($A$177:$A$222&lt;=$A214)*($A$177:$A$222&lt;='Cálculos'!$F$294)*(($A214)-$A$177:$A$222&lt;='Cálculos'!$F$295)*(1+(('Cálculos'!$F$207+$A$177:$A$222*'Cálculos'!$F$95)-(('Cálculos'!$F$207+$A$177:$A$222*'Cálculos'!$F$95)&gt;1)*(('Cálculos'!$F$207+$A$177:$A$222*'Cálculos'!$F$95)-1))*('Cálculos'!$F$208+(($A214)-$A$177:$A$222)*'Cálculos'!$F$96))))</f>
        <v>3.561884</v>
      </c>
      <c r="C214" s="2">
        <f>'Cálculos'!$F$303-$A214</f>
        <v>-19</v>
      </c>
      <c r="D214" s="31">
        <f>IF($C214&lt;0,0,SUMPRODUCT(MAX(($A$177:$A$222&lt;=$C214)*($A$177:$A$222&lt;='Cálculos'!$F$301)*(($C214)-$A$177:$A$222&lt;='Cálculos'!$F$297)*(('Cálculos'!$F$185*(1+'Cálculos'!$F$186+$A$177:$A$222*('Cálculos'!$F$290=1)*'Cálculos'!$F$97+'Cálculos'!$F$305)+'Cálculos'!$F$191)*('Cálculos'!$F$209+'Cálculos'!$F$124*(1+2.78*('Cálculos'!$F$196+(($C214)-$A$177:$A$222)*'Cálculos'!$F$98)/(('Cálculos'!$F$196+(($C214)-$A$177:$A$222)*'Cálculos'!$F$98)+1400)+'Cálculos'!$F$122)*'Cálculos'!$F$214+'Cálculos'!$F$125*(1+2.78*('Cálculos'!$F$196+(($C214)-$A$177:$A$222)*'Cálculos'!$F$98)/(('Cálculos'!$F$196+(($C214)-$A$177:$A$222)*'Cálculos'!$F$98)+1400)+'Cálculos'!$F$123)*'Cálculos'!$F$219)+('Cálculos'!$F$196+(($C214)-$A$177:$A$222)*'Cálculos'!$F$98)*('Cálculos'!$F$210+'Cálculos'!$F$124*(1+2.78*('Cálculos'!$F$196+(($C214)-$A$177:$A$222)*'Cálculos'!$F$98)/(('Cálculos'!$F$196+(($C214)-$A$177:$A$222)*'Cálculos'!$F$98)+1400)+'Cálculos'!$F$122)*'Cálculos'!$F$215+'Cálculos'!$F$125*(1+2.78*('Cálculos'!$F$196+(($C214)-$A$177:$A$222)*'Cálculos'!$F$98)/(('Cálculos'!$F$196+(($C214)-$A$177:$A$222)*'Cálculos'!$F$98)+1400)+'Cálculos'!$F$123)*'Cálculos'!$F$220)+('Cálculos'!$F$201*(1+'Cálculos'!$F$202+$A$177:$A$222*('Cálculos'!$F$290=2)*'Cálculos'!$F$101)+'Cálculos'!$F$203)*('Cálculos'!$F$211+'Cálculos'!$F$124*(1+2.78*('Cálculos'!$F$196+(($C214)-$A$177:$A$222)*'Cálculos'!$F$98)/(('Cálculos'!$F$196+(($C214)-$A$177:$A$222)*'Cálculos'!$F$98)+1400)+'Cálculos'!$F$122)*'Cálculos'!$F$216+'Cálculos'!$F$125*(1+2.78*('Cálculos'!$F$196+(($C214)-$A$177:$A$222)*'Cálculos'!$F$98)/(('Cálculos'!$F$196+(($C214)-$A$177:$A$222)*'Cálculos'!$F$98)+1400)+'Cálculos'!$F$123)*'Cálculos'!$F$221)+('Cálculos'!$F$204*(1+'Cálculos'!$F$205+$A$177:$A$222*('Cálculos'!$F$290=3)*'Cálculos'!$F$103)+'Cálculos'!$F$206)*('Cálculos'!$F$212+'Cálculos'!$F$124*(1+2.78*('Cálculos'!$F$196+(($C214)-$A$177:$A$222)*'Cálculos'!$F$98)/(('Cálculos'!$F$196+(($C214)-$A$177:$A$222)*'Cálculos'!$F$98)+1400)+'Cálculos'!$F$122)*'Cálculos'!$F$217+'Cálculos'!$F$125*(1+2.78*('Cálculos'!$F$196+(($C214)-$A$177:$A$222)*'Cálculos'!$F$98)/(('Cálculos'!$F$196+(($C214)-$A$177:$A$222)*'Cálculos'!$F$98)+1400)+'Cálculos'!$F$123)*'Cálculos'!$F$222)+('Cálculos'!$F$213+'Cálculos'!$F$124*(1+2.78*('Cálculos'!$F$196+(($C214)-$A$177:$A$222)*'Cálculos'!$F$98)/(('Cálculos'!$F$196+(($C214)-$A$177:$A$222)*'Cálculos'!$F$98)+1400)+'Cálculos'!$F$122)*'Cálculos'!$F$218+'Cálculos'!$F$125*(1+2.78*('Cálculos'!$F$196+(($C214)-$A$177:$A$222)*'Cálculos'!$F$98)/(('Cálculos'!$F$196+(($C214)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214)-$A$177:$A$222)*'Cálculos'!$F$98)/(('Cálculos'!$F$197+(($C214)-$A$177:$A$222)*'Cálculos'!$F$98)+1400)+'Cálculos'!$F$122)*'Cálculos'!$F$229+'Cálculos'!$F$125*(1+2.78*('Cálculos'!$F$197+(($C214)-$A$177:$A$222)*'Cálculos'!$F$98)/(('Cálculos'!$F$197+(($C214)-$A$177:$A$222)*'Cálculos'!$F$98)+1400)+'Cálculos'!$F$123)*'Cálculos'!$F$234)+('Cálculos'!$F$197+(($C214)-$A$177:$A$222)*'Cálculos'!$F$98)*('Cálculos'!$F$225+'Cálculos'!$F$124*(1+2.78*('Cálculos'!$F$197+(($C214)-$A$177:$A$222)*'Cálculos'!$F$98)/(('Cálculos'!$F$197+(($C214)-$A$177:$A$222)*'Cálculos'!$F$98)+1400)+'Cálculos'!$F$122)*'Cálculos'!$F$230+'Cálculos'!$F$125*(1+2.78*('Cálculos'!$F$197+(($C214)-$A$177:$A$222)*'Cálculos'!$F$98)/(('Cálculos'!$F$197+(($C214)-$A$177:$A$222)*'Cálculos'!$F$98)+1400)+'Cálculos'!$F$123)*'Cálculos'!$F$235)+('Cálculos'!$F$201*(1+'Cálculos'!$F$202+$A$177:$A$222*('Cálculos'!$F$290=2)*'Cálculos'!$F$101)+'Cálculos'!$F$203)*('Cálculos'!$F$226+'Cálculos'!$F$124*(1+2.78*('Cálculos'!$F$197+(($C214)-$A$177:$A$222)*'Cálculos'!$F$98)/(('Cálculos'!$F$197+(($C214)-$A$177:$A$222)*'Cálculos'!$F$98)+1400)+'Cálculos'!$F$122)*'Cálculos'!$F$231+'Cálculos'!$F$125*(1+2.78*('Cálculos'!$F$197+(($C214)-$A$177:$A$222)*'Cálculos'!$F$98)/(('Cálculos'!$F$197+(($C214)-$A$177:$A$222)*'Cálculos'!$F$98)+1400)+'Cálculos'!$F$123)*'Cálculos'!$F$236)+('Cálculos'!$F$204*(1+'Cálculos'!$F$205+$A$177:$A$222*('Cálculos'!$F$290=3)*'Cálculos'!$F$103)+'Cálculos'!$F$206)*('Cálculos'!$F$227+'Cálculos'!$F$124*(1+2.78*('Cálculos'!$F$197+(($C214)-$A$177:$A$222)*'Cálculos'!$F$98)/(('Cálculos'!$F$197+(($C214)-$A$177:$A$222)*'Cálculos'!$F$98)+1400)+'Cálculos'!$F$122)*'Cálculos'!$F$232+'Cálculos'!$F$125*(1+2.78*('Cálculos'!$F$197+(($C214)-$A$177:$A$222)*'Cálculos'!$F$98)/(('Cálculos'!$F$197+(($C214)-$A$177:$A$222)*'Cálculos'!$F$98)+1400)+'Cálculos'!$F$123)*'Cálculos'!$F$237)+('Cálculos'!$F$228+'Cálculos'!$F$124*(1+2.78*('Cálculos'!$F$197+(($C214)-$A$177:$A$222)*'Cálculos'!$F$98)/(('Cálculos'!$F$197+(($C214)-$A$177:$A$222)*'Cálculos'!$F$98)+1400)+'Cálculos'!$F$122)*'Cálculos'!$F$233+'Cálculos'!$F$125*(1+2.78*('Cálculos'!$F$197+(($C214)-$A$177:$A$222)*'Cálculos'!$F$98)/(('Cálculos'!$F$197+(($C214)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214)-$A$177:$A$222)*'Cálculos'!$F$98)/(('Cálculos'!$F$198+(($C214)-$A$177:$A$222)*'Cálculos'!$F$98)+1400)+'Cálculos'!$F$122)*'Cálculos'!$F$244+'Cálculos'!$F$125*(1+2.78*('Cálculos'!$F$198+(($C214)-$A$177:$A$222)*'Cálculos'!$F$98)/(('Cálculos'!$F$198+(($C214)-$A$177:$A$222)*'Cálculos'!$F$98)+1400)+'Cálculos'!$F$123)*'Cálculos'!$F$249)+('Cálculos'!$F$198+(($C214)-$A$177:$A$222)*'Cálculos'!$F$98)*('Cálculos'!$F$240+'Cálculos'!$F$124*(1+2.78*('Cálculos'!$F$198+(($C214)-$A$177:$A$222)*'Cálculos'!$F$98)/(('Cálculos'!$F$198+(($C214)-$A$177:$A$222)*'Cálculos'!$F$98)+1400)+'Cálculos'!$F$122)*'Cálculos'!$F$245+'Cálculos'!$F$125*(1+2.78*('Cálculos'!$F$198+(($C214)-$A$177:$A$222)*'Cálculos'!$F$98)/(('Cálculos'!$F$198+(($C214)-$A$177:$A$222)*'Cálculos'!$F$98)+1400)+'Cálculos'!$F$123)*'Cálculos'!$F$250)+('Cálculos'!$F$201*(1+'Cálculos'!$F$202+$A$177:$A$222*('Cálculos'!$F$290=2)*'Cálculos'!$F$101)+'Cálculos'!$F$203)*('Cálculos'!$F$241+'Cálculos'!$F$124*(1+2.78*('Cálculos'!$F$198+(($C214)-$A$177:$A$222)*'Cálculos'!$F$98)/(('Cálculos'!$F$198+(($C214)-$A$177:$A$222)*'Cálculos'!$F$98)+1400)+'Cálculos'!$F$122)*'Cálculos'!$F$246+'Cálculos'!$F$125*(1+2.78*('Cálculos'!$F$198+(($C214)-$A$177:$A$222)*'Cálculos'!$F$98)/(('Cálculos'!$F$198+(($C214)-$A$177:$A$222)*'Cálculos'!$F$98)+1400)+'Cálculos'!$F$123)*'Cálculos'!$F$251)+('Cálculos'!$F$204*(1+'Cálculos'!$F$205+$A$177:$A$222*('Cálculos'!$F$290=3)*'Cálculos'!$F$103)+'Cálculos'!$F$206)*('Cálculos'!$F$242+'Cálculos'!$F$124*(1+2.78*('Cálculos'!$F$198+(($C214)-$A$177:$A$222)*'Cálculos'!$F$98)/(('Cálculos'!$F$198+(($C214)-$A$177:$A$222)*'Cálculos'!$F$98)+1400)+'Cálculos'!$F$122)*'Cálculos'!$F$247+'Cálculos'!$F$125*(1+2.78*('Cálculos'!$F$198+(($C214)-$A$177:$A$222)*'Cálculos'!$F$98)/(('Cálculos'!$F$198+(($C214)-$A$177:$A$222)*'Cálculos'!$F$98)+1400)+'Cálculos'!$F$123)*'Cálculos'!$F$252)+('Cálculos'!$F$243+'Cálculos'!$F$124*(1+2.78*('Cálculos'!$F$198+(($C214)-$A$177:$A$222)*'Cálculos'!$F$98)/(('Cálculos'!$F$198+(($C214)-$A$177:$A$222)*'Cálculos'!$F$98)+1400)+'Cálculos'!$F$122)*'Cálculos'!$F$248+'Cálculos'!$F$125*(1+2.78*('Cálculos'!$F$198+(($C214)-$A$177:$A$222)*'Cálculos'!$F$98)/(('Cálculos'!$F$198+(($C214)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214)-$A$177:$A$222)*'Cálculos'!$F$98)/(('Cálculos'!$F$199+(($C214)-$A$177:$A$222)*'Cálculos'!$F$98)+1400)+'Cálculos'!$F$122)*'Cálculos'!$F$259+'Cálculos'!$F$125*(1+2.78*('Cálculos'!$F$199+(($C214)-$A$177:$A$222)*'Cálculos'!$F$98)/(('Cálculos'!$F$199+(($C214)-$A$177:$A$222)*'Cálculos'!$F$98)+1400)+'Cálculos'!$F$123)*'Cálculos'!$F$264)+('Cálculos'!$F$199+(($C214)-$A$177:$A$222)*'Cálculos'!$F$98)*('Cálculos'!$F$255+'Cálculos'!$F$124*(1+2.78*('Cálculos'!$F$199+(($C214)-$A$177:$A$222)*'Cálculos'!$F$98)/(('Cálculos'!$F$199+(($C214)-$A$177:$A$222)*'Cálculos'!$F$98)+1400)+'Cálculos'!$F$122)*'Cálculos'!$F$260+'Cálculos'!$F$125*(1+2.78*('Cálculos'!$F$199+(($C214)-$A$177:$A$222)*'Cálculos'!$F$98)/(('Cálculos'!$F$199+(($C214)-$A$177:$A$222)*'Cálculos'!$F$98)+1400)+'Cálculos'!$F$123)*'Cálculos'!$F$265)+('Cálculos'!$F$201*(1+'Cálculos'!$F$202+$A$177:$A$222*('Cálculos'!$F$290=2)*'Cálculos'!$F$101)+'Cálculos'!$F$203)*('Cálculos'!$F$256+'Cálculos'!$F$124*(1+2.78*('Cálculos'!$F$199+(($C214)-$A$177:$A$222)*'Cálculos'!$F$98)/(('Cálculos'!$F$199+(($C214)-$A$177:$A$222)*'Cálculos'!$F$98)+1400)+'Cálculos'!$F$122)*'Cálculos'!$F$261+'Cálculos'!$F$125*(1+2.78*('Cálculos'!$F$199+(($C214)-$A$177:$A$222)*'Cálculos'!$F$98)/(('Cálculos'!$F$199+(($C214)-$A$177:$A$222)*'Cálculos'!$F$98)+1400)+'Cálculos'!$F$123)*'Cálculos'!$F$266)+('Cálculos'!$F$204*(1+'Cálculos'!$F$205+$A$177:$A$222*('Cálculos'!$F$290=3)*'Cálculos'!$F$103)+'Cálculos'!$F$206)*('Cálculos'!$F$257+'Cálculos'!$F$124*(1+2.78*('Cálculos'!$F$199+(($C214)-$A$177:$A$222)*'Cálculos'!$F$98)/(('Cálculos'!$F$199+(($C214)-$A$177:$A$222)*'Cálculos'!$F$98)+1400)+'Cálculos'!$F$122)*'Cálculos'!$F$262+'Cálculos'!$F$125*(1+2.78*('Cálculos'!$F$199+(($C214)-$A$177:$A$222)*'Cálculos'!$F$98)/(('Cálculos'!$F$199+(($C214)-$A$177:$A$222)*'Cálculos'!$F$98)+1400)+'Cálculos'!$F$123)*'Cálculos'!$F$267)+('Cálculos'!$F$258+'Cálculos'!$F$124*(1+2.78*('Cálculos'!$F$199+(($C214)-$A$177:$A$222)*'Cálculos'!$F$98)/(('Cálculos'!$F$199+(($C214)-$A$177:$A$222)*'Cálculos'!$F$98)+1400)+'Cálculos'!$F$122)*'Cálculos'!$F$263+'Cálculos'!$F$125*(1+2.78*('Cálculos'!$F$199+(($C214)-$A$177:$A$222)*'Cálculos'!$F$98)/(('Cálculos'!$F$199+(($C214)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214)-$A$177:$A$222)*'Cálculos'!$F$98)/(('Cálculos'!$F$200+(($C214)-$A$177:$A$222)*'Cálculos'!$F$98)+1400)+'Cálculos'!$F$122)*'Cálculos'!$F$274+'Cálculos'!$F$125*(1+2.78*('Cálculos'!$F$200+(($C214)-$A$177:$A$222)*'Cálculos'!$F$98)/(('Cálculos'!$F$200+(($C214)-$A$177:$A$222)*'Cálculos'!$F$98)+1400)+'Cálculos'!$F$123)*'Cálculos'!$F$279)+('Cálculos'!$F$200+(($C214)-$A$177:$A$222)*'Cálculos'!$F$98)*('Cálculos'!$F$270+'Cálculos'!$F$124*(1+2.78*('Cálculos'!$F$200+(($C214)-$A$177:$A$222)*'Cálculos'!$F$98)/(('Cálculos'!$F$200+(($C214)-$A$177:$A$222)*'Cálculos'!$F$98)+1400)+'Cálculos'!$F$122)*'Cálculos'!$F$275+'Cálculos'!$F$125*(1+2.78*('Cálculos'!$F$200+(($C214)-$A$177:$A$222)*'Cálculos'!$F$98)/(('Cálculos'!$F$200+(($C214)-$A$177:$A$222)*'Cálculos'!$F$98)+1400)+'Cálculos'!$F$123)*'Cálculos'!$F$280)+('Cálculos'!$F$201*(1+'Cálculos'!$F$202+$A$177:$A$222*('Cálculos'!$F$290=2)*'Cálculos'!$F$101)+'Cálculos'!$F$203)*('Cálculos'!$F$271+'Cálculos'!$F$124*(1+2.78*('Cálculos'!$F$200+(($C214)-$A$177:$A$222)*'Cálculos'!$F$98)/(('Cálculos'!$F$200+(($C214)-$A$177:$A$222)*'Cálculos'!$F$98)+1400)+'Cálculos'!$F$122)*'Cálculos'!$F$276+'Cálculos'!$F$125*(1+2.78*('Cálculos'!$F$200+(($C214)-$A$177:$A$222)*'Cálculos'!$F$98)/(('Cálculos'!$F$200+(($C214)-$A$177:$A$222)*'Cálculos'!$F$98)+1400)+'Cálculos'!$F$123)*'Cálculos'!$F$281)+('Cálculos'!$F$204*(1+'Cálculos'!$F$205+$A$177:$A$222*('Cálculos'!$F$290=3)*'Cálculos'!$F$103)+'Cálculos'!$F$206)*('Cálculos'!$F$272+'Cálculos'!$F$124*(1+2.78*('Cálculos'!$F$200+(($C214)-$A$177:$A$222)*'Cálculos'!$F$98)/(('Cálculos'!$F$200+(($C214)-$A$177:$A$222)*'Cálculos'!$F$98)+1400)+'Cálculos'!$F$122)*'Cálculos'!$F$277+'Cálculos'!$F$125*(1+2.78*('Cálculos'!$F$200+(($C214)-$A$177:$A$222)*'Cálculos'!$F$98)/(('Cálculos'!$F$200+(($C214)-$A$177:$A$222)*'Cálculos'!$F$98)+1400)+'Cálculos'!$F$123)*'Cálculos'!$F$282)+('Cálculos'!$F$273+'Cálculos'!$F$124*(1+2.78*('Cálculos'!$F$200+(($C214)-$A$177:$A$222)*'Cálculos'!$F$98)/(('Cálculos'!$F$200+(($C214)-$A$177:$A$222)*'Cálculos'!$F$98)+1400)+'Cálculos'!$F$122)*'Cálculos'!$F$278+'Cálculos'!$F$125*(1+2.78*('Cálculos'!$F$200+(($C214)-$A$177:$A$222)*'Cálculos'!$F$98)/(('Cálculos'!$F$200+(($C214)-$A$177:$A$222)*'Cálculos'!$F$98)+1400)+'Cálculos'!$F$123)*'Cálculos'!$F$283)))))</f>
        <v>0</v>
      </c>
      <c r="E214" s="32">
        <f>IF(OR($C214&lt;0,'Cálculos'!$F$6=""),0,$B214*$D214)</f>
        <v>0</v>
      </c>
      <c r="F214" s="2"/>
      <c r="G214" s="30">
        <f>($A214&lt;=$B$224)*($A214&lt;='Cálculos'!$F$294)*(($B$224)-$A214&lt;='Cálculos'!$F$295)*(1+MIN(('Cálculos'!$F$207+$A214*'Cálculos'!$F$95),1)*('Cálculos'!$F$208+(($B$224)-$A214)*'Cálculos'!$F$96))</f>
        <v>0</v>
      </c>
      <c r="H214" s="31">
        <f>IF($B$225&lt;0,0,($A214&lt;=$B$225)*($A214&lt;='Cálculos'!$F$301)*(($B$225)-$A214&lt;='Cálculos'!$F$297)*(('Cálculos'!$F$185*(1+'Cálculos'!$F$186+$A214*('Cálculos'!$F$290=1)*'Cálculos'!$F$97+'Cálculos'!$F$305)+'Cálculos'!$F$191)*('Cálculos'!$F$209+'Cálculos'!$F$124*(1+2.78*('Cálculos'!$F$196+(($B$225)-$A214)*'Cálculos'!$F$98)/(('Cálculos'!$F$196+(($B$225)-$A214)*'Cálculos'!$F$98)+1400)+'Cálculos'!$F$122)*'Cálculos'!$F$214+'Cálculos'!$F$125*(1+2.78*('Cálculos'!$F$196+(($B$225)-$A214)*'Cálculos'!$F$98)/(('Cálculos'!$F$196+(($B$225)-$A214)*'Cálculos'!$F$98)+1400)+'Cálculos'!$F$123)*'Cálculos'!$F$219)+('Cálculos'!$F$196+(($B$225)-$A214)*'Cálculos'!$F$98)*('Cálculos'!$F$210+'Cálculos'!$F$124*(1+2.78*('Cálculos'!$F$196+(($B$225)-$A214)*'Cálculos'!$F$98)/(('Cálculos'!$F$196+(($B$225)-$A214)*'Cálculos'!$F$98)+1400)+'Cálculos'!$F$122)*'Cálculos'!$F$215+'Cálculos'!$F$125*(1+2.78*('Cálculos'!$F$196+(($B$225)-$A214)*'Cálculos'!$F$98)/(('Cálculos'!$F$196+(($B$225)-$A214)*'Cálculos'!$F$98)+1400)+'Cálculos'!$F$123)*'Cálculos'!$F$220)+('Cálculos'!$F$201*(1+'Cálculos'!$F$202+$A214*('Cálculos'!$F$290=2)*'Cálculos'!$F$101)+'Cálculos'!$F$203)*('Cálculos'!$F$211+'Cálculos'!$F$124*(1+2.78*('Cálculos'!$F$196+(($B$225)-$A214)*'Cálculos'!$F$98)/(('Cálculos'!$F$196+(($B$225)-$A214)*'Cálculos'!$F$98)+1400)+'Cálculos'!$F$122)*'Cálculos'!$F$216+'Cálculos'!$F$125*(1+2.78*('Cálculos'!$F$196+(($B$225)-$A214)*'Cálculos'!$F$98)/(('Cálculos'!$F$196+(($B$225)-$A214)*'Cálculos'!$F$98)+1400)+'Cálculos'!$F$123)*'Cálculos'!$F$221)+('Cálculos'!$F$204*(1+'Cálculos'!$F$205+$A214*('Cálculos'!$F$290=3)*'Cálculos'!$F$103)+'Cálculos'!$F$206)*('Cálculos'!$F$212+'Cálculos'!$F$124*(1+2.78*('Cálculos'!$F$196+(($B$225)-$A214)*'Cálculos'!$F$98)/(('Cálculos'!$F$196+(($B$225)-$A214)*'Cálculos'!$F$98)+1400)+'Cálculos'!$F$122)*'Cálculos'!$F$217+'Cálculos'!$F$125*(1+2.78*('Cálculos'!$F$196+(($B$225)-$A214)*'Cálculos'!$F$98)/(('Cálculos'!$F$196+(($B$225)-$A214)*'Cálculos'!$F$98)+1400)+'Cálculos'!$F$123)*'Cálculos'!$F$222)+('Cálculos'!$F$213+'Cálculos'!$F$124*(1+2.78*('Cálculos'!$F$196+(($B$225)-$A214)*'Cálculos'!$F$98)/(('Cálculos'!$F$196+(($B$225)-$A214)*'Cálculos'!$F$98)+1400)+'Cálculos'!$F$122)*'Cálculos'!$F$218+'Cálculos'!$F$125*(1+2.78*('Cálculos'!$F$196+(($B$225)-$A214)*'Cálculos'!$F$98)/(('Cálculos'!$F$196+(($B$225)-$A214)*'Cálculos'!$F$98)+1400)+'Cálculos'!$F$123)*'Cálculos'!$F$223)+('Cálculos'!$F$185*(1+'Cálculos'!$F$187+$A214*('Cálculos'!$F$290=1)*'Cálculos'!$F$97+'Cálculos'!$F$305)+'Cálculos'!$F$192)*('Cálculos'!$F$224+'Cálculos'!$F$124*(1+2.78*('Cálculos'!$F$197+(($B$225)-$A214)*'Cálculos'!$F$98)/(('Cálculos'!$F$197+(($B$225)-$A214)*'Cálculos'!$F$98)+1400)+'Cálculos'!$F$122)*'Cálculos'!$F$229+'Cálculos'!$F$125*(1+2.78*('Cálculos'!$F$197+(($B$225)-$A214)*'Cálculos'!$F$98)/(('Cálculos'!$F$197+(($B$225)-$A214)*'Cálculos'!$F$98)+1400)+'Cálculos'!$F$123)*'Cálculos'!$F$234)+('Cálculos'!$F$197+(($B$225)-$A214)*'Cálculos'!$F$98)*('Cálculos'!$F$225+'Cálculos'!$F$124*(1+2.78*('Cálculos'!$F$197+(($B$225)-$A214)*'Cálculos'!$F$98)/(('Cálculos'!$F$197+(($B$225)-$A214)*'Cálculos'!$F$98)+1400)+'Cálculos'!$F$122)*'Cálculos'!$F$230+'Cálculos'!$F$125*(1+2.78*('Cálculos'!$F$197+(($B$225)-$A214)*'Cálculos'!$F$98)/(('Cálculos'!$F$197+(($B$225)-$A214)*'Cálculos'!$F$98)+1400)+'Cálculos'!$F$123)*'Cálculos'!$F$235)+('Cálculos'!$F$201*(1+'Cálculos'!$F$202+$A214*('Cálculos'!$F$290=2)*'Cálculos'!$F$101)+'Cálculos'!$F$203)*('Cálculos'!$F$226+'Cálculos'!$F$124*(1+2.78*('Cálculos'!$F$197+(($B$225)-$A214)*'Cálculos'!$F$98)/(('Cálculos'!$F$197+(($B$225)-$A214)*'Cálculos'!$F$98)+1400)+'Cálculos'!$F$122)*'Cálculos'!$F$231+'Cálculos'!$F$125*(1+2.78*('Cálculos'!$F$197+(($B$225)-$A214)*'Cálculos'!$F$98)/(('Cálculos'!$F$197+(($B$225)-$A214)*'Cálculos'!$F$98)+1400)+'Cálculos'!$F$123)*'Cálculos'!$F$236)+('Cálculos'!$F$204*(1+'Cálculos'!$F$205+$A214*('Cálculos'!$F$290=3)*'Cálculos'!$F$103)+'Cálculos'!$F$206)*('Cálculos'!$F$227+'Cálculos'!$F$124*(1+2.78*('Cálculos'!$F$197+(($B$225)-$A214)*'Cálculos'!$F$98)/(('Cálculos'!$F$197+(($B$225)-$A214)*'Cálculos'!$F$98)+1400)+'Cálculos'!$F$122)*'Cálculos'!$F$232+'Cálculos'!$F$125*(1+2.78*('Cálculos'!$F$197+(($B$225)-$A214)*'Cálculos'!$F$98)/(('Cálculos'!$F$197+(($B$225)-$A214)*'Cálculos'!$F$98)+1400)+'Cálculos'!$F$123)*'Cálculos'!$F$237)+('Cálculos'!$F$228+'Cálculos'!$F$124*(1+2.78*('Cálculos'!$F$197+(($B$225)-$A214)*'Cálculos'!$F$98)/(('Cálculos'!$F$197+(($B$225)-$A214)*'Cálculos'!$F$98)+1400)+'Cálculos'!$F$122)*'Cálculos'!$F$233+'Cálculos'!$F$125*(1+2.78*('Cálculos'!$F$197+(($B$225)-$A214)*'Cálculos'!$F$98)/(('Cálculos'!$F$197+(($B$225)-$A214)*'Cálculos'!$F$98)+1400)+'Cálculos'!$F$123)*'Cálculos'!$F$238)+('Cálculos'!$F$185*(1+'Cálculos'!$F$188+$A214*('Cálculos'!$F$290=1)*'Cálculos'!$F$97+'Cálculos'!$F$305)+'Cálculos'!$F$193)*('Cálculos'!$F$239+'Cálculos'!$F$124*(1+2.78*('Cálculos'!$F$198+(($B$225)-$A214)*'Cálculos'!$F$98)/(('Cálculos'!$F$198+(($B$225)-$A214)*'Cálculos'!$F$98)+1400)+'Cálculos'!$F$122)*'Cálculos'!$F$244+'Cálculos'!$F$125*(1+2.78*('Cálculos'!$F$198+(($B$225)-$A214)*'Cálculos'!$F$98)/(('Cálculos'!$F$198+(($B$225)-$A214)*'Cálculos'!$F$98)+1400)+'Cálculos'!$F$123)*'Cálculos'!$F$249)+('Cálculos'!$F$198+(($B$225)-$A214)*'Cálculos'!$F$98)*('Cálculos'!$F$240+'Cálculos'!$F$124*(1+2.78*('Cálculos'!$F$198+(($B$225)-$A214)*'Cálculos'!$F$98)/(('Cálculos'!$F$198+(($B$225)-$A214)*'Cálculos'!$F$98)+1400)+'Cálculos'!$F$122)*'Cálculos'!$F$245+'Cálculos'!$F$125*(1+2.78*('Cálculos'!$F$198+(($B$225)-$A214)*'Cálculos'!$F$98)/(('Cálculos'!$F$198+(($B$225)-$A214)*'Cálculos'!$F$98)+1400)+'Cálculos'!$F$123)*'Cálculos'!$F$250)+('Cálculos'!$F$201*(1+'Cálculos'!$F$202+$A214*('Cálculos'!$F$290=2)*'Cálculos'!$F$101)+'Cálculos'!$F$203)*('Cálculos'!$F$241+'Cálculos'!$F$124*(1+2.78*('Cálculos'!$F$198+(($B$225)-$A214)*'Cálculos'!$F$98)/(('Cálculos'!$F$198+(($B$225)-$A214)*'Cálculos'!$F$98)+1400)+'Cálculos'!$F$122)*'Cálculos'!$F$246+'Cálculos'!$F$125*(1+2.78*('Cálculos'!$F$198+(($B$225)-$A214)*'Cálculos'!$F$98)/(('Cálculos'!$F$198+(($B$225)-$A214)*'Cálculos'!$F$98)+1400)+'Cálculos'!$F$123)*'Cálculos'!$F$251)+('Cálculos'!$F$204*(1+'Cálculos'!$F$205+$A214*('Cálculos'!$F$290=3)*'Cálculos'!$F$103)+'Cálculos'!$F$206)*('Cálculos'!$F$242+'Cálculos'!$F$124*(1+2.78*('Cálculos'!$F$198+(($B$225)-$A214)*'Cálculos'!$F$98)/(('Cálculos'!$F$198+(($B$225)-$A214)*'Cálculos'!$F$98)+1400)+'Cálculos'!$F$122)*'Cálculos'!$F$247+'Cálculos'!$F$125*(1+2.78*('Cálculos'!$F$198+(($B$225)-$A214)*'Cálculos'!$F$98)/(('Cálculos'!$F$198+(($B$225)-$A214)*'Cálculos'!$F$98)+1400)+'Cálculos'!$F$123)*'Cálculos'!$F$252)+('Cálculos'!$F$243+'Cálculos'!$F$124*(1+2.78*('Cálculos'!$F$198+(($B$225)-$A214)*'Cálculos'!$F$98)/(('Cálculos'!$F$198+(($B$225)-$A214)*'Cálculos'!$F$98)+1400)+'Cálculos'!$F$122)*'Cálculos'!$F$248+'Cálculos'!$F$125*(1+2.78*('Cálculos'!$F$198+(($B$225)-$A214)*'Cálculos'!$F$98)/(('Cálculos'!$F$198+(($B$225)-$A214)*'Cálculos'!$F$98)+1400)+'Cálculos'!$F$123)*'Cálculos'!$F$253)+('Cálculos'!$F$185*(1+'Cálculos'!$F$189+$A214*('Cálculos'!$F$290=1)*'Cálculos'!$F$97+'Cálculos'!$F$305)+'Cálculos'!$F$194)*('Cálculos'!$F$254+'Cálculos'!$F$124*(1+2.78*('Cálculos'!$F$199+(($B$225)-$A214)*'Cálculos'!$F$98)/(('Cálculos'!$F$199+(($B$225)-$A214)*'Cálculos'!$F$98)+1400)+'Cálculos'!$F$122)*'Cálculos'!$F$259+'Cálculos'!$F$125*(1+2.78*('Cálculos'!$F$199+(($B$225)-$A214)*'Cálculos'!$F$98)/(('Cálculos'!$F$199+(($B$225)-$A214)*'Cálculos'!$F$98)+1400)+'Cálculos'!$F$123)*'Cálculos'!$F$264)+('Cálculos'!$F$199+(($B$225)-$A214)*'Cálculos'!$F$98)*('Cálculos'!$F$255+'Cálculos'!$F$124*(1+2.78*('Cálculos'!$F$199+(($B$225)-$A214)*'Cálculos'!$F$98)/(('Cálculos'!$F$199+(($B$225)-$A214)*'Cálculos'!$F$98)+1400)+'Cálculos'!$F$122)*'Cálculos'!$F$260+'Cálculos'!$F$125*(1+2.78*('Cálculos'!$F$199+(($B$225)-$A214)*'Cálculos'!$F$98)/(('Cálculos'!$F$199+(($B$225)-$A214)*'Cálculos'!$F$98)+1400)+'Cálculos'!$F$123)*'Cálculos'!$F$265)+('Cálculos'!$F$201*(1+'Cálculos'!$F$202+$A214*('Cálculos'!$F$290=2)*'Cálculos'!$F$101)+'Cálculos'!$F$203)*('Cálculos'!$F$256+'Cálculos'!$F$124*(1+2.78*('Cálculos'!$F$199+(($B$225)-$A214)*'Cálculos'!$F$98)/(('Cálculos'!$F$199+(($B$225)-$A214)*'Cálculos'!$F$98)+1400)+'Cálculos'!$F$122)*'Cálculos'!$F$261+'Cálculos'!$F$125*(1+2.78*('Cálculos'!$F$199+(($B$225)-$A214)*'Cálculos'!$F$98)/(('Cálculos'!$F$199+(($B$225)-$A214)*'Cálculos'!$F$98)+1400)+'Cálculos'!$F$123)*'Cálculos'!$F$266)+('Cálculos'!$F$204*(1+'Cálculos'!$F$205+$A214*('Cálculos'!$F$290=3)*'Cálculos'!$F$103)+'Cálculos'!$F$206)*('Cálculos'!$F$257+'Cálculos'!$F$124*(1+2.78*('Cálculos'!$F$199+(($B$225)-$A214)*'Cálculos'!$F$98)/(('Cálculos'!$F$199+(($B$225)-$A214)*'Cálculos'!$F$98)+1400)+'Cálculos'!$F$122)*'Cálculos'!$F$262+'Cálculos'!$F$125*(1+2.78*('Cálculos'!$F$199+(($B$225)-$A214)*'Cálculos'!$F$98)/(('Cálculos'!$F$199+(($B$225)-$A214)*'Cálculos'!$F$98)+1400)+'Cálculos'!$F$123)*'Cálculos'!$F$267)+('Cálculos'!$F$258+'Cálculos'!$F$124*(1+2.78*('Cálculos'!$F$199+(($B$225)-$A214)*'Cálculos'!$F$98)/(('Cálculos'!$F$199+(($B$225)-$A214)*'Cálculos'!$F$98)+1400)+'Cálculos'!$F$122)*'Cálculos'!$F$263+'Cálculos'!$F$125*(1+2.78*('Cálculos'!$F$199+(($B$225)-$A214)*'Cálculos'!$F$98)/(('Cálculos'!$F$199+(($B$225)-$A214)*'Cálculos'!$F$98)+1400)+'Cálculos'!$F$123)*'Cálculos'!$F$268)+('Cálculos'!$F$185*(1+'Cálculos'!$F$190+$A214*('Cálculos'!$F$290=1)*'Cálculos'!$F$97+'Cálculos'!$F$305)+'Cálculos'!$F$195)*('Cálculos'!$F$269+'Cálculos'!$F$124*(1+2.78*('Cálculos'!$F$200+(($B$225)-$A214)*'Cálculos'!$F$98)/(('Cálculos'!$F$200+(($B$225)-$A214)*'Cálculos'!$F$98)+1400)+'Cálculos'!$F$122)*'Cálculos'!$F$274+'Cálculos'!$F$125*(1+2.78*('Cálculos'!$F$200+(($B$225)-$A214)*'Cálculos'!$F$98)/(('Cálculos'!$F$200+(($B$225)-$A214)*'Cálculos'!$F$98)+1400)+'Cálculos'!$F$123)*'Cálculos'!$F$279)+('Cálculos'!$F$200+(($B$225)-$A214)*'Cálculos'!$F$98)*('Cálculos'!$F$270+'Cálculos'!$F$124*(1+2.78*('Cálculos'!$F$200+(($B$225)-$A214)*'Cálculos'!$F$98)/(('Cálculos'!$F$200+(($B$225)-$A214)*'Cálculos'!$F$98)+1400)+'Cálculos'!$F$122)*'Cálculos'!$F$275+'Cálculos'!$F$125*(1+2.78*('Cálculos'!$F$200+(($B$225)-$A214)*'Cálculos'!$F$98)/(('Cálculos'!$F$200+(($B$225)-$A214)*'Cálculos'!$F$98)+1400)+'Cálculos'!$F$123)*'Cálculos'!$F$280)+('Cálculos'!$F$201*(1+'Cálculos'!$F$202+$A214*('Cálculos'!$F$290=2)*'Cálculos'!$F$101)+'Cálculos'!$F$203)*('Cálculos'!$F$271+'Cálculos'!$F$124*(1+2.78*('Cálculos'!$F$200+(($B$225)-$A214)*'Cálculos'!$F$98)/(('Cálculos'!$F$200+(($B$225)-$A214)*'Cálculos'!$F$98)+1400)+'Cálculos'!$F$122)*'Cálculos'!$F$276+'Cálculos'!$F$125*(1+2.78*('Cálculos'!$F$200+(($B$225)-$A214)*'Cálculos'!$F$98)/(('Cálculos'!$F$200+(($B$225)-$A214)*'Cálculos'!$F$98)+1400)+'Cálculos'!$F$123)*'Cálculos'!$F$281)+('Cálculos'!$F$204*(1+'Cálculos'!$F$205+$A214*('Cálculos'!$F$290=3)*'Cálculos'!$F$103)+'Cálculos'!$F$206)*('Cálculos'!$F$272+'Cálculos'!$F$124*(1+2.78*('Cálculos'!$F$200+(($B$225)-$A214)*'Cálculos'!$F$98)/(('Cálculos'!$F$200+(($B$225)-$A214)*'Cálculos'!$F$98)+1400)+'Cálculos'!$F$122)*'Cálculos'!$F$277+'Cálculos'!$F$125*(1+2.78*('Cálculos'!$F$200+(($B$225)-$A214)*'Cálculos'!$F$98)/(('Cálculos'!$F$200+(($B$225)-$A214)*'Cálculos'!$F$98)+1400)+'Cálculos'!$F$123)*'Cálculos'!$F$282)+('Cálculos'!$F$273+'Cálculos'!$F$124*(1+2.78*('Cálculos'!$F$200+(($B$225)-$A214)*'Cálculos'!$F$98)/(('Cálculos'!$F$200+(($B$225)-$A214)*'Cálculos'!$F$98)+1400)+'Cálculos'!$F$122)*'Cálculos'!$F$278+'Cálculos'!$F$125*(1+2.78*('Cálculos'!$F$200+(($B$225)-$A214)*'Cálculos'!$F$98)/(('Cálculos'!$F$200+(($B$225)-$A214)*'Cálculos'!$F$98)+1400)+'Cálculos'!$F$123)*'Cálculos'!$F$283)))</f>
        <v>0</v>
      </c>
    </row>
    <row r="215" ht="15.75" customHeight="1">
      <c r="A215" s="2">
        <v>38.0</v>
      </c>
      <c r="B215" s="30">
        <f>SUMPRODUCT(MAX(($A$177:$A$222&lt;=$A215)*($A$177:$A$222&lt;='Cálculos'!$F$294)*(($A215)-$A$177:$A$222&lt;='Cálculos'!$F$295)*(1+(('Cálculos'!$F$207+$A$177:$A$222*'Cálculos'!$F$95)-(('Cálculos'!$F$207+$A$177:$A$222*'Cálculos'!$F$95)&gt;1)*(('Cálculos'!$F$207+$A$177:$A$222*'Cálculos'!$F$95)-1))*('Cálculos'!$F$208+(($A215)-$A$177:$A$222)*'Cálculos'!$F$96))))</f>
        <v>3.627092</v>
      </c>
      <c r="C215" s="2">
        <f>'Cálculos'!$F$303-$A215</f>
        <v>-20</v>
      </c>
      <c r="D215" s="31">
        <f>IF($C215&lt;0,0,SUMPRODUCT(MAX(($A$177:$A$222&lt;=$C215)*($A$177:$A$222&lt;='Cálculos'!$F$301)*(($C215)-$A$177:$A$222&lt;='Cálculos'!$F$297)*(('Cálculos'!$F$185*(1+'Cálculos'!$F$186+$A$177:$A$222*('Cálculos'!$F$290=1)*'Cálculos'!$F$97+'Cálculos'!$F$305)+'Cálculos'!$F$191)*('Cálculos'!$F$209+'Cálculos'!$F$124*(1+2.78*('Cálculos'!$F$196+(($C215)-$A$177:$A$222)*'Cálculos'!$F$98)/(('Cálculos'!$F$196+(($C215)-$A$177:$A$222)*'Cálculos'!$F$98)+1400)+'Cálculos'!$F$122)*'Cálculos'!$F$214+'Cálculos'!$F$125*(1+2.78*('Cálculos'!$F$196+(($C215)-$A$177:$A$222)*'Cálculos'!$F$98)/(('Cálculos'!$F$196+(($C215)-$A$177:$A$222)*'Cálculos'!$F$98)+1400)+'Cálculos'!$F$123)*'Cálculos'!$F$219)+('Cálculos'!$F$196+(($C215)-$A$177:$A$222)*'Cálculos'!$F$98)*('Cálculos'!$F$210+'Cálculos'!$F$124*(1+2.78*('Cálculos'!$F$196+(($C215)-$A$177:$A$222)*'Cálculos'!$F$98)/(('Cálculos'!$F$196+(($C215)-$A$177:$A$222)*'Cálculos'!$F$98)+1400)+'Cálculos'!$F$122)*'Cálculos'!$F$215+'Cálculos'!$F$125*(1+2.78*('Cálculos'!$F$196+(($C215)-$A$177:$A$222)*'Cálculos'!$F$98)/(('Cálculos'!$F$196+(($C215)-$A$177:$A$222)*'Cálculos'!$F$98)+1400)+'Cálculos'!$F$123)*'Cálculos'!$F$220)+('Cálculos'!$F$201*(1+'Cálculos'!$F$202+$A$177:$A$222*('Cálculos'!$F$290=2)*'Cálculos'!$F$101)+'Cálculos'!$F$203)*('Cálculos'!$F$211+'Cálculos'!$F$124*(1+2.78*('Cálculos'!$F$196+(($C215)-$A$177:$A$222)*'Cálculos'!$F$98)/(('Cálculos'!$F$196+(($C215)-$A$177:$A$222)*'Cálculos'!$F$98)+1400)+'Cálculos'!$F$122)*'Cálculos'!$F$216+'Cálculos'!$F$125*(1+2.78*('Cálculos'!$F$196+(($C215)-$A$177:$A$222)*'Cálculos'!$F$98)/(('Cálculos'!$F$196+(($C215)-$A$177:$A$222)*'Cálculos'!$F$98)+1400)+'Cálculos'!$F$123)*'Cálculos'!$F$221)+('Cálculos'!$F$204*(1+'Cálculos'!$F$205+$A$177:$A$222*('Cálculos'!$F$290=3)*'Cálculos'!$F$103)+'Cálculos'!$F$206)*('Cálculos'!$F$212+'Cálculos'!$F$124*(1+2.78*('Cálculos'!$F$196+(($C215)-$A$177:$A$222)*'Cálculos'!$F$98)/(('Cálculos'!$F$196+(($C215)-$A$177:$A$222)*'Cálculos'!$F$98)+1400)+'Cálculos'!$F$122)*'Cálculos'!$F$217+'Cálculos'!$F$125*(1+2.78*('Cálculos'!$F$196+(($C215)-$A$177:$A$222)*'Cálculos'!$F$98)/(('Cálculos'!$F$196+(($C215)-$A$177:$A$222)*'Cálculos'!$F$98)+1400)+'Cálculos'!$F$123)*'Cálculos'!$F$222)+('Cálculos'!$F$213+'Cálculos'!$F$124*(1+2.78*('Cálculos'!$F$196+(($C215)-$A$177:$A$222)*'Cálculos'!$F$98)/(('Cálculos'!$F$196+(($C215)-$A$177:$A$222)*'Cálculos'!$F$98)+1400)+'Cálculos'!$F$122)*'Cálculos'!$F$218+'Cálculos'!$F$125*(1+2.78*('Cálculos'!$F$196+(($C215)-$A$177:$A$222)*'Cálculos'!$F$98)/(('Cálculos'!$F$196+(($C215)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215)-$A$177:$A$222)*'Cálculos'!$F$98)/(('Cálculos'!$F$197+(($C215)-$A$177:$A$222)*'Cálculos'!$F$98)+1400)+'Cálculos'!$F$122)*'Cálculos'!$F$229+'Cálculos'!$F$125*(1+2.78*('Cálculos'!$F$197+(($C215)-$A$177:$A$222)*'Cálculos'!$F$98)/(('Cálculos'!$F$197+(($C215)-$A$177:$A$222)*'Cálculos'!$F$98)+1400)+'Cálculos'!$F$123)*'Cálculos'!$F$234)+('Cálculos'!$F$197+(($C215)-$A$177:$A$222)*'Cálculos'!$F$98)*('Cálculos'!$F$225+'Cálculos'!$F$124*(1+2.78*('Cálculos'!$F$197+(($C215)-$A$177:$A$222)*'Cálculos'!$F$98)/(('Cálculos'!$F$197+(($C215)-$A$177:$A$222)*'Cálculos'!$F$98)+1400)+'Cálculos'!$F$122)*'Cálculos'!$F$230+'Cálculos'!$F$125*(1+2.78*('Cálculos'!$F$197+(($C215)-$A$177:$A$222)*'Cálculos'!$F$98)/(('Cálculos'!$F$197+(($C215)-$A$177:$A$222)*'Cálculos'!$F$98)+1400)+'Cálculos'!$F$123)*'Cálculos'!$F$235)+('Cálculos'!$F$201*(1+'Cálculos'!$F$202+$A$177:$A$222*('Cálculos'!$F$290=2)*'Cálculos'!$F$101)+'Cálculos'!$F$203)*('Cálculos'!$F$226+'Cálculos'!$F$124*(1+2.78*('Cálculos'!$F$197+(($C215)-$A$177:$A$222)*'Cálculos'!$F$98)/(('Cálculos'!$F$197+(($C215)-$A$177:$A$222)*'Cálculos'!$F$98)+1400)+'Cálculos'!$F$122)*'Cálculos'!$F$231+'Cálculos'!$F$125*(1+2.78*('Cálculos'!$F$197+(($C215)-$A$177:$A$222)*'Cálculos'!$F$98)/(('Cálculos'!$F$197+(($C215)-$A$177:$A$222)*'Cálculos'!$F$98)+1400)+'Cálculos'!$F$123)*'Cálculos'!$F$236)+('Cálculos'!$F$204*(1+'Cálculos'!$F$205+$A$177:$A$222*('Cálculos'!$F$290=3)*'Cálculos'!$F$103)+'Cálculos'!$F$206)*('Cálculos'!$F$227+'Cálculos'!$F$124*(1+2.78*('Cálculos'!$F$197+(($C215)-$A$177:$A$222)*'Cálculos'!$F$98)/(('Cálculos'!$F$197+(($C215)-$A$177:$A$222)*'Cálculos'!$F$98)+1400)+'Cálculos'!$F$122)*'Cálculos'!$F$232+'Cálculos'!$F$125*(1+2.78*('Cálculos'!$F$197+(($C215)-$A$177:$A$222)*'Cálculos'!$F$98)/(('Cálculos'!$F$197+(($C215)-$A$177:$A$222)*'Cálculos'!$F$98)+1400)+'Cálculos'!$F$123)*'Cálculos'!$F$237)+('Cálculos'!$F$228+'Cálculos'!$F$124*(1+2.78*('Cálculos'!$F$197+(($C215)-$A$177:$A$222)*'Cálculos'!$F$98)/(('Cálculos'!$F$197+(($C215)-$A$177:$A$222)*'Cálculos'!$F$98)+1400)+'Cálculos'!$F$122)*'Cálculos'!$F$233+'Cálculos'!$F$125*(1+2.78*('Cálculos'!$F$197+(($C215)-$A$177:$A$222)*'Cálculos'!$F$98)/(('Cálculos'!$F$197+(($C215)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215)-$A$177:$A$222)*'Cálculos'!$F$98)/(('Cálculos'!$F$198+(($C215)-$A$177:$A$222)*'Cálculos'!$F$98)+1400)+'Cálculos'!$F$122)*'Cálculos'!$F$244+'Cálculos'!$F$125*(1+2.78*('Cálculos'!$F$198+(($C215)-$A$177:$A$222)*'Cálculos'!$F$98)/(('Cálculos'!$F$198+(($C215)-$A$177:$A$222)*'Cálculos'!$F$98)+1400)+'Cálculos'!$F$123)*'Cálculos'!$F$249)+('Cálculos'!$F$198+(($C215)-$A$177:$A$222)*'Cálculos'!$F$98)*('Cálculos'!$F$240+'Cálculos'!$F$124*(1+2.78*('Cálculos'!$F$198+(($C215)-$A$177:$A$222)*'Cálculos'!$F$98)/(('Cálculos'!$F$198+(($C215)-$A$177:$A$222)*'Cálculos'!$F$98)+1400)+'Cálculos'!$F$122)*'Cálculos'!$F$245+'Cálculos'!$F$125*(1+2.78*('Cálculos'!$F$198+(($C215)-$A$177:$A$222)*'Cálculos'!$F$98)/(('Cálculos'!$F$198+(($C215)-$A$177:$A$222)*'Cálculos'!$F$98)+1400)+'Cálculos'!$F$123)*'Cálculos'!$F$250)+('Cálculos'!$F$201*(1+'Cálculos'!$F$202+$A$177:$A$222*('Cálculos'!$F$290=2)*'Cálculos'!$F$101)+'Cálculos'!$F$203)*('Cálculos'!$F$241+'Cálculos'!$F$124*(1+2.78*('Cálculos'!$F$198+(($C215)-$A$177:$A$222)*'Cálculos'!$F$98)/(('Cálculos'!$F$198+(($C215)-$A$177:$A$222)*'Cálculos'!$F$98)+1400)+'Cálculos'!$F$122)*'Cálculos'!$F$246+'Cálculos'!$F$125*(1+2.78*('Cálculos'!$F$198+(($C215)-$A$177:$A$222)*'Cálculos'!$F$98)/(('Cálculos'!$F$198+(($C215)-$A$177:$A$222)*'Cálculos'!$F$98)+1400)+'Cálculos'!$F$123)*'Cálculos'!$F$251)+('Cálculos'!$F$204*(1+'Cálculos'!$F$205+$A$177:$A$222*('Cálculos'!$F$290=3)*'Cálculos'!$F$103)+'Cálculos'!$F$206)*('Cálculos'!$F$242+'Cálculos'!$F$124*(1+2.78*('Cálculos'!$F$198+(($C215)-$A$177:$A$222)*'Cálculos'!$F$98)/(('Cálculos'!$F$198+(($C215)-$A$177:$A$222)*'Cálculos'!$F$98)+1400)+'Cálculos'!$F$122)*'Cálculos'!$F$247+'Cálculos'!$F$125*(1+2.78*('Cálculos'!$F$198+(($C215)-$A$177:$A$222)*'Cálculos'!$F$98)/(('Cálculos'!$F$198+(($C215)-$A$177:$A$222)*'Cálculos'!$F$98)+1400)+'Cálculos'!$F$123)*'Cálculos'!$F$252)+('Cálculos'!$F$243+'Cálculos'!$F$124*(1+2.78*('Cálculos'!$F$198+(($C215)-$A$177:$A$222)*'Cálculos'!$F$98)/(('Cálculos'!$F$198+(($C215)-$A$177:$A$222)*'Cálculos'!$F$98)+1400)+'Cálculos'!$F$122)*'Cálculos'!$F$248+'Cálculos'!$F$125*(1+2.78*('Cálculos'!$F$198+(($C215)-$A$177:$A$222)*'Cálculos'!$F$98)/(('Cálculos'!$F$198+(($C215)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215)-$A$177:$A$222)*'Cálculos'!$F$98)/(('Cálculos'!$F$199+(($C215)-$A$177:$A$222)*'Cálculos'!$F$98)+1400)+'Cálculos'!$F$122)*'Cálculos'!$F$259+'Cálculos'!$F$125*(1+2.78*('Cálculos'!$F$199+(($C215)-$A$177:$A$222)*'Cálculos'!$F$98)/(('Cálculos'!$F$199+(($C215)-$A$177:$A$222)*'Cálculos'!$F$98)+1400)+'Cálculos'!$F$123)*'Cálculos'!$F$264)+('Cálculos'!$F$199+(($C215)-$A$177:$A$222)*'Cálculos'!$F$98)*('Cálculos'!$F$255+'Cálculos'!$F$124*(1+2.78*('Cálculos'!$F$199+(($C215)-$A$177:$A$222)*'Cálculos'!$F$98)/(('Cálculos'!$F$199+(($C215)-$A$177:$A$222)*'Cálculos'!$F$98)+1400)+'Cálculos'!$F$122)*'Cálculos'!$F$260+'Cálculos'!$F$125*(1+2.78*('Cálculos'!$F$199+(($C215)-$A$177:$A$222)*'Cálculos'!$F$98)/(('Cálculos'!$F$199+(($C215)-$A$177:$A$222)*'Cálculos'!$F$98)+1400)+'Cálculos'!$F$123)*'Cálculos'!$F$265)+('Cálculos'!$F$201*(1+'Cálculos'!$F$202+$A$177:$A$222*('Cálculos'!$F$290=2)*'Cálculos'!$F$101)+'Cálculos'!$F$203)*('Cálculos'!$F$256+'Cálculos'!$F$124*(1+2.78*('Cálculos'!$F$199+(($C215)-$A$177:$A$222)*'Cálculos'!$F$98)/(('Cálculos'!$F$199+(($C215)-$A$177:$A$222)*'Cálculos'!$F$98)+1400)+'Cálculos'!$F$122)*'Cálculos'!$F$261+'Cálculos'!$F$125*(1+2.78*('Cálculos'!$F$199+(($C215)-$A$177:$A$222)*'Cálculos'!$F$98)/(('Cálculos'!$F$199+(($C215)-$A$177:$A$222)*'Cálculos'!$F$98)+1400)+'Cálculos'!$F$123)*'Cálculos'!$F$266)+('Cálculos'!$F$204*(1+'Cálculos'!$F$205+$A$177:$A$222*('Cálculos'!$F$290=3)*'Cálculos'!$F$103)+'Cálculos'!$F$206)*('Cálculos'!$F$257+'Cálculos'!$F$124*(1+2.78*('Cálculos'!$F$199+(($C215)-$A$177:$A$222)*'Cálculos'!$F$98)/(('Cálculos'!$F$199+(($C215)-$A$177:$A$222)*'Cálculos'!$F$98)+1400)+'Cálculos'!$F$122)*'Cálculos'!$F$262+'Cálculos'!$F$125*(1+2.78*('Cálculos'!$F$199+(($C215)-$A$177:$A$222)*'Cálculos'!$F$98)/(('Cálculos'!$F$199+(($C215)-$A$177:$A$222)*'Cálculos'!$F$98)+1400)+'Cálculos'!$F$123)*'Cálculos'!$F$267)+('Cálculos'!$F$258+'Cálculos'!$F$124*(1+2.78*('Cálculos'!$F$199+(($C215)-$A$177:$A$222)*'Cálculos'!$F$98)/(('Cálculos'!$F$199+(($C215)-$A$177:$A$222)*'Cálculos'!$F$98)+1400)+'Cálculos'!$F$122)*'Cálculos'!$F$263+'Cálculos'!$F$125*(1+2.78*('Cálculos'!$F$199+(($C215)-$A$177:$A$222)*'Cálculos'!$F$98)/(('Cálculos'!$F$199+(($C215)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215)-$A$177:$A$222)*'Cálculos'!$F$98)/(('Cálculos'!$F$200+(($C215)-$A$177:$A$222)*'Cálculos'!$F$98)+1400)+'Cálculos'!$F$122)*'Cálculos'!$F$274+'Cálculos'!$F$125*(1+2.78*('Cálculos'!$F$200+(($C215)-$A$177:$A$222)*'Cálculos'!$F$98)/(('Cálculos'!$F$200+(($C215)-$A$177:$A$222)*'Cálculos'!$F$98)+1400)+'Cálculos'!$F$123)*'Cálculos'!$F$279)+('Cálculos'!$F$200+(($C215)-$A$177:$A$222)*'Cálculos'!$F$98)*('Cálculos'!$F$270+'Cálculos'!$F$124*(1+2.78*('Cálculos'!$F$200+(($C215)-$A$177:$A$222)*'Cálculos'!$F$98)/(('Cálculos'!$F$200+(($C215)-$A$177:$A$222)*'Cálculos'!$F$98)+1400)+'Cálculos'!$F$122)*'Cálculos'!$F$275+'Cálculos'!$F$125*(1+2.78*('Cálculos'!$F$200+(($C215)-$A$177:$A$222)*'Cálculos'!$F$98)/(('Cálculos'!$F$200+(($C215)-$A$177:$A$222)*'Cálculos'!$F$98)+1400)+'Cálculos'!$F$123)*'Cálculos'!$F$280)+('Cálculos'!$F$201*(1+'Cálculos'!$F$202+$A$177:$A$222*('Cálculos'!$F$290=2)*'Cálculos'!$F$101)+'Cálculos'!$F$203)*('Cálculos'!$F$271+'Cálculos'!$F$124*(1+2.78*('Cálculos'!$F$200+(($C215)-$A$177:$A$222)*'Cálculos'!$F$98)/(('Cálculos'!$F$200+(($C215)-$A$177:$A$222)*'Cálculos'!$F$98)+1400)+'Cálculos'!$F$122)*'Cálculos'!$F$276+'Cálculos'!$F$125*(1+2.78*('Cálculos'!$F$200+(($C215)-$A$177:$A$222)*'Cálculos'!$F$98)/(('Cálculos'!$F$200+(($C215)-$A$177:$A$222)*'Cálculos'!$F$98)+1400)+'Cálculos'!$F$123)*'Cálculos'!$F$281)+('Cálculos'!$F$204*(1+'Cálculos'!$F$205+$A$177:$A$222*('Cálculos'!$F$290=3)*'Cálculos'!$F$103)+'Cálculos'!$F$206)*('Cálculos'!$F$272+'Cálculos'!$F$124*(1+2.78*('Cálculos'!$F$200+(($C215)-$A$177:$A$222)*'Cálculos'!$F$98)/(('Cálculos'!$F$200+(($C215)-$A$177:$A$222)*'Cálculos'!$F$98)+1400)+'Cálculos'!$F$122)*'Cálculos'!$F$277+'Cálculos'!$F$125*(1+2.78*('Cálculos'!$F$200+(($C215)-$A$177:$A$222)*'Cálculos'!$F$98)/(('Cálculos'!$F$200+(($C215)-$A$177:$A$222)*'Cálculos'!$F$98)+1400)+'Cálculos'!$F$123)*'Cálculos'!$F$282)+('Cálculos'!$F$273+'Cálculos'!$F$124*(1+2.78*('Cálculos'!$F$200+(($C215)-$A$177:$A$222)*'Cálculos'!$F$98)/(('Cálculos'!$F$200+(($C215)-$A$177:$A$222)*'Cálculos'!$F$98)+1400)+'Cálculos'!$F$122)*'Cálculos'!$F$278+'Cálculos'!$F$125*(1+2.78*('Cálculos'!$F$200+(($C215)-$A$177:$A$222)*'Cálculos'!$F$98)/(('Cálculos'!$F$200+(($C215)-$A$177:$A$222)*'Cálculos'!$F$98)+1400)+'Cálculos'!$F$123)*'Cálculos'!$F$283)))))</f>
        <v>0</v>
      </c>
      <c r="E215" s="32">
        <f>IF(OR($C215&lt;0,'Cálculos'!$F$6=""),0,$B215*$D215)</f>
        <v>0</v>
      </c>
      <c r="F215" s="2"/>
      <c r="G215" s="30">
        <f>($A215&lt;=$B$224)*($A215&lt;='Cálculos'!$F$294)*(($B$224)-$A215&lt;='Cálculos'!$F$295)*(1+MIN(('Cálculos'!$F$207+$A215*'Cálculos'!$F$95),1)*('Cálculos'!$F$208+(($B$224)-$A215)*'Cálculos'!$F$96))</f>
        <v>0</v>
      </c>
      <c r="H215" s="31">
        <f>IF($B$225&lt;0,0,($A215&lt;=$B$225)*($A215&lt;='Cálculos'!$F$301)*(($B$225)-$A215&lt;='Cálculos'!$F$297)*(('Cálculos'!$F$185*(1+'Cálculos'!$F$186+$A215*('Cálculos'!$F$290=1)*'Cálculos'!$F$97+'Cálculos'!$F$305)+'Cálculos'!$F$191)*('Cálculos'!$F$209+'Cálculos'!$F$124*(1+2.78*('Cálculos'!$F$196+(($B$225)-$A215)*'Cálculos'!$F$98)/(('Cálculos'!$F$196+(($B$225)-$A215)*'Cálculos'!$F$98)+1400)+'Cálculos'!$F$122)*'Cálculos'!$F$214+'Cálculos'!$F$125*(1+2.78*('Cálculos'!$F$196+(($B$225)-$A215)*'Cálculos'!$F$98)/(('Cálculos'!$F$196+(($B$225)-$A215)*'Cálculos'!$F$98)+1400)+'Cálculos'!$F$123)*'Cálculos'!$F$219)+('Cálculos'!$F$196+(($B$225)-$A215)*'Cálculos'!$F$98)*('Cálculos'!$F$210+'Cálculos'!$F$124*(1+2.78*('Cálculos'!$F$196+(($B$225)-$A215)*'Cálculos'!$F$98)/(('Cálculos'!$F$196+(($B$225)-$A215)*'Cálculos'!$F$98)+1400)+'Cálculos'!$F$122)*'Cálculos'!$F$215+'Cálculos'!$F$125*(1+2.78*('Cálculos'!$F$196+(($B$225)-$A215)*'Cálculos'!$F$98)/(('Cálculos'!$F$196+(($B$225)-$A215)*'Cálculos'!$F$98)+1400)+'Cálculos'!$F$123)*'Cálculos'!$F$220)+('Cálculos'!$F$201*(1+'Cálculos'!$F$202+$A215*('Cálculos'!$F$290=2)*'Cálculos'!$F$101)+'Cálculos'!$F$203)*('Cálculos'!$F$211+'Cálculos'!$F$124*(1+2.78*('Cálculos'!$F$196+(($B$225)-$A215)*'Cálculos'!$F$98)/(('Cálculos'!$F$196+(($B$225)-$A215)*'Cálculos'!$F$98)+1400)+'Cálculos'!$F$122)*'Cálculos'!$F$216+'Cálculos'!$F$125*(1+2.78*('Cálculos'!$F$196+(($B$225)-$A215)*'Cálculos'!$F$98)/(('Cálculos'!$F$196+(($B$225)-$A215)*'Cálculos'!$F$98)+1400)+'Cálculos'!$F$123)*'Cálculos'!$F$221)+('Cálculos'!$F$204*(1+'Cálculos'!$F$205+$A215*('Cálculos'!$F$290=3)*'Cálculos'!$F$103)+'Cálculos'!$F$206)*('Cálculos'!$F$212+'Cálculos'!$F$124*(1+2.78*('Cálculos'!$F$196+(($B$225)-$A215)*'Cálculos'!$F$98)/(('Cálculos'!$F$196+(($B$225)-$A215)*'Cálculos'!$F$98)+1400)+'Cálculos'!$F$122)*'Cálculos'!$F$217+'Cálculos'!$F$125*(1+2.78*('Cálculos'!$F$196+(($B$225)-$A215)*'Cálculos'!$F$98)/(('Cálculos'!$F$196+(($B$225)-$A215)*'Cálculos'!$F$98)+1400)+'Cálculos'!$F$123)*'Cálculos'!$F$222)+('Cálculos'!$F$213+'Cálculos'!$F$124*(1+2.78*('Cálculos'!$F$196+(($B$225)-$A215)*'Cálculos'!$F$98)/(('Cálculos'!$F$196+(($B$225)-$A215)*'Cálculos'!$F$98)+1400)+'Cálculos'!$F$122)*'Cálculos'!$F$218+'Cálculos'!$F$125*(1+2.78*('Cálculos'!$F$196+(($B$225)-$A215)*'Cálculos'!$F$98)/(('Cálculos'!$F$196+(($B$225)-$A215)*'Cálculos'!$F$98)+1400)+'Cálculos'!$F$123)*'Cálculos'!$F$223)+('Cálculos'!$F$185*(1+'Cálculos'!$F$187+$A215*('Cálculos'!$F$290=1)*'Cálculos'!$F$97+'Cálculos'!$F$305)+'Cálculos'!$F$192)*('Cálculos'!$F$224+'Cálculos'!$F$124*(1+2.78*('Cálculos'!$F$197+(($B$225)-$A215)*'Cálculos'!$F$98)/(('Cálculos'!$F$197+(($B$225)-$A215)*'Cálculos'!$F$98)+1400)+'Cálculos'!$F$122)*'Cálculos'!$F$229+'Cálculos'!$F$125*(1+2.78*('Cálculos'!$F$197+(($B$225)-$A215)*'Cálculos'!$F$98)/(('Cálculos'!$F$197+(($B$225)-$A215)*'Cálculos'!$F$98)+1400)+'Cálculos'!$F$123)*'Cálculos'!$F$234)+('Cálculos'!$F$197+(($B$225)-$A215)*'Cálculos'!$F$98)*('Cálculos'!$F$225+'Cálculos'!$F$124*(1+2.78*('Cálculos'!$F$197+(($B$225)-$A215)*'Cálculos'!$F$98)/(('Cálculos'!$F$197+(($B$225)-$A215)*'Cálculos'!$F$98)+1400)+'Cálculos'!$F$122)*'Cálculos'!$F$230+'Cálculos'!$F$125*(1+2.78*('Cálculos'!$F$197+(($B$225)-$A215)*'Cálculos'!$F$98)/(('Cálculos'!$F$197+(($B$225)-$A215)*'Cálculos'!$F$98)+1400)+'Cálculos'!$F$123)*'Cálculos'!$F$235)+('Cálculos'!$F$201*(1+'Cálculos'!$F$202+$A215*('Cálculos'!$F$290=2)*'Cálculos'!$F$101)+'Cálculos'!$F$203)*('Cálculos'!$F$226+'Cálculos'!$F$124*(1+2.78*('Cálculos'!$F$197+(($B$225)-$A215)*'Cálculos'!$F$98)/(('Cálculos'!$F$197+(($B$225)-$A215)*'Cálculos'!$F$98)+1400)+'Cálculos'!$F$122)*'Cálculos'!$F$231+'Cálculos'!$F$125*(1+2.78*('Cálculos'!$F$197+(($B$225)-$A215)*'Cálculos'!$F$98)/(('Cálculos'!$F$197+(($B$225)-$A215)*'Cálculos'!$F$98)+1400)+'Cálculos'!$F$123)*'Cálculos'!$F$236)+('Cálculos'!$F$204*(1+'Cálculos'!$F$205+$A215*('Cálculos'!$F$290=3)*'Cálculos'!$F$103)+'Cálculos'!$F$206)*('Cálculos'!$F$227+'Cálculos'!$F$124*(1+2.78*('Cálculos'!$F$197+(($B$225)-$A215)*'Cálculos'!$F$98)/(('Cálculos'!$F$197+(($B$225)-$A215)*'Cálculos'!$F$98)+1400)+'Cálculos'!$F$122)*'Cálculos'!$F$232+'Cálculos'!$F$125*(1+2.78*('Cálculos'!$F$197+(($B$225)-$A215)*'Cálculos'!$F$98)/(('Cálculos'!$F$197+(($B$225)-$A215)*'Cálculos'!$F$98)+1400)+'Cálculos'!$F$123)*'Cálculos'!$F$237)+('Cálculos'!$F$228+'Cálculos'!$F$124*(1+2.78*('Cálculos'!$F$197+(($B$225)-$A215)*'Cálculos'!$F$98)/(('Cálculos'!$F$197+(($B$225)-$A215)*'Cálculos'!$F$98)+1400)+'Cálculos'!$F$122)*'Cálculos'!$F$233+'Cálculos'!$F$125*(1+2.78*('Cálculos'!$F$197+(($B$225)-$A215)*'Cálculos'!$F$98)/(('Cálculos'!$F$197+(($B$225)-$A215)*'Cálculos'!$F$98)+1400)+'Cálculos'!$F$123)*'Cálculos'!$F$238)+('Cálculos'!$F$185*(1+'Cálculos'!$F$188+$A215*('Cálculos'!$F$290=1)*'Cálculos'!$F$97+'Cálculos'!$F$305)+'Cálculos'!$F$193)*('Cálculos'!$F$239+'Cálculos'!$F$124*(1+2.78*('Cálculos'!$F$198+(($B$225)-$A215)*'Cálculos'!$F$98)/(('Cálculos'!$F$198+(($B$225)-$A215)*'Cálculos'!$F$98)+1400)+'Cálculos'!$F$122)*'Cálculos'!$F$244+'Cálculos'!$F$125*(1+2.78*('Cálculos'!$F$198+(($B$225)-$A215)*'Cálculos'!$F$98)/(('Cálculos'!$F$198+(($B$225)-$A215)*'Cálculos'!$F$98)+1400)+'Cálculos'!$F$123)*'Cálculos'!$F$249)+('Cálculos'!$F$198+(($B$225)-$A215)*'Cálculos'!$F$98)*('Cálculos'!$F$240+'Cálculos'!$F$124*(1+2.78*('Cálculos'!$F$198+(($B$225)-$A215)*'Cálculos'!$F$98)/(('Cálculos'!$F$198+(($B$225)-$A215)*'Cálculos'!$F$98)+1400)+'Cálculos'!$F$122)*'Cálculos'!$F$245+'Cálculos'!$F$125*(1+2.78*('Cálculos'!$F$198+(($B$225)-$A215)*'Cálculos'!$F$98)/(('Cálculos'!$F$198+(($B$225)-$A215)*'Cálculos'!$F$98)+1400)+'Cálculos'!$F$123)*'Cálculos'!$F$250)+('Cálculos'!$F$201*(1+'Cálculos'!$F$202+$A215*('Cálculos'!$F$290=2)*'Cálculos'!$F$101)+'Cálculos'!$F$203)*('Cálculos'!$F$241+'Cálculos'!$F$124*(1+2.78*('Cálculos'!$F$198+(($B$225)-$A215)*'Cálculos'!$F$98)/(('Cálculos'!$F$198+(($B$225)-$A215)*'Cálculos'!$F$98)+1400)+'Cálculos'!$F$122)*'Cálculos'!$F$246+'Cálculos'!$F$125*(1+2.78*('Cálculos'!$F$198+(($B$225)-$A215)*'Cálculos'!$F$98)/(('Cálculos'!$F$198+(($B$225)-$A215)*'Cálculos'!$F$98)+1400)+'Cálculos'!$F$123)*'Cálculos'!$F$251)+('Cálculos'!$F$204*(1+'Cálculos'!$F$205+$A215*('Cálculos'!$F$290=3)*'Cálculos'!$F$103)+'Cálculos'!$F$206)*('Cálculos'!$F$242+'Cálculos'!$F$124*(1+2.78*('Cálculos'!$F$198+(($B$225)-$A215)*'Cálculos'!$F$98)/(('Cálculos'!$F$198+(($B$225)-$A215)*'Cálculos'!$F$98)+1400)+'Cálculos'!$F$122)*'Cálculos'!$F$247+'Cálculos'!$F$125*(1+2.78*('Cálculos'!$F$198+(($B$225)-$A215)*'Cálculos'!$F$98)/(('Cálculos'!$F$198+(($B$225)-$A215)*'Cálculos'!$F$98)+1400)+'Cálculos'!$F$123)*'Cálculos'!$F$252)+('Cálculos'!$F$243+'Cálculos'!$F$124*(1+2.78*('Cálculos'!$F$198+(($B$225)-$A215)*'Cálculos'!$F$98)/(('Cálculos'!$F$198+(($B$225)-$A215)*'Cálculos'!$F$98)+1400)+'Cálculos'!$F$122)*'Cálculos'!$F$248+'Cálculos'!$F$125*(1+2.78*('Cálculos'!$F$198+(($B$225)-$A215)*'Cálculos'!$F$98)/(('Cálculos'!$F$198+(($B$225)-$A215)*'Cálculos'!$F$98)+1400)+'Cálculos'!$F$123)*'Cálculos'!$F$253)+('Cálculos'!$F$185*(1+'Cálculos'!$F$189+$A215*('Cálculos'!$F$290=1)*'Cálculos'!$F$97+'Cálculos'!$F$305)+'Cálculos'!$F$194)*('Cálculos'!$F$254+'Cálculos'!$F$124*(1+2.78*('Cálculos'!$F$199+(($B$225)-$A215)*'Cálculos'!$F$98)/(('Cálculos'!$F$199+(($B$225)-$A215)*'Cálculos'!$F$98)+1400)+'Cálculos'!$F$122)*'Cálculos'!$F$259+'Cálculos'!$F$125*(1+2.78*('Cálculos'!$F$199+(($B$225)-$A215)*'Cálculos'!$F$98)/(('Cálculos'!$F$199+(($B$225)-$A215)*'Cálculos'!$F$98)+1400)+'Cálculos'!$F$123)*'Cálculos'!$F$264)+('Cálculos'!$F$199+(($B$225)-$A215)*'Cálculos'!$F$98)*('Cálculos'!$F$255+'Cálculos'!$F$124*(1+2.78*('Cálculos'!$F$199+(($B$225)-$A215)*'Cálculos'!$F$98)/(('Cálculos'!$F$199+(($B$225)-$A215)*'Cálculos'!$F$98)+1400)+'Cálculos'!$F$122)*'Cálculos'!$F$260+'Cálculos'!$F$125*(1+2.78*('Cálculos'!$F$199+(($B$225)-$A215)*'Cálculos'!$F$98)/(('Cálculos'!$F$199+(($B$225)-$A215)*'Cálculos'!$F$98)+1400)+'Cálculos'!$F$123)*'Cálculos'!$F$265)+('Cálculos'!$F$201*(1+'Cálculos'!$F$202+$A215*('Cálculos'!$F$290=2)*'Cálculos'!$F$101)+'Cálculos'!$F$203)*('Cálculos'!$F$256+'Cálculos'!$F$124*(1+2.78*('Cálculos'!$F$199+(($B$225)-$A215)*'Cálculos'!$F$98)/(('Cálculos'!$F$199+(($B$225)-$A215)*'Cálculos'!$F$98)+1400)+'Cálculos'!$F$122)*'Cálculos'!$F$261+'Cálculos'!$F$125*(1+2.78*('Cálculos'!$F$199+(($B$225)-$A215)*'Cálculos'!$F$98)/(('Cálculos'!$F$199+(($B$225)-$A215)*'Cálculos'!$F$98)+1400)+'Cálculos'!$F$123)*'Cálculos'!$F$266)+('Cálculos'!$F$204*(1+'Cálculos'!$F$205+$A215*('Cálculos'!$F$290=3)*'Cálculos'!$F$103)+'Cálculos'!$F$206)*('Cálculos'!$F$257+'Cálculos'!$F$124*(1+2.78*('Cálculos'!$F$199+(($B$225)-$A215)*'Cálculos'!$F$98)/(('Cálculos'!$F$199+(($B$225)-$A215)*'Cálculos'!$F$98)+1400)+'Cálculos'!$F$122)*'Cálculos'!$F$262+'Cálculos'!$F$125*(1+2.78*('Cálculos'!$F$199+(($B$225)-$A215)*'Cálculos'!$F$98)/(('Cálculos'!$F$199+(($B$225)-$A215)*'Cálculos'!$F$98)+1400)+'Cálculos'!$F$123)*'Cálculos'!$F$267)+('Cálculos'!$F$258+'Cálculos'!$F$124*(1+2.78*('Cálculos'!$F$199+(($B$225)-$A215)*'Cálculos'!$F$98)/(('Cálculos'!$F$199+(($B$225)-$A215)*'Cálculos'!$F$98)+1400)+'Cálculos'!$F$122)*'Cálculos'!$F$263+'Cálculos'!$F$125*(1+2.78*('Cálculos'!$F$199+(($B$225)-$A215)*'Cálculos'!$F$98)/(('Cálculos'!$F$199+(($B$225)-$A215)*'Cálculos'!$F$98)+1400)+'Cálculos'!$F$123)*'Cálculos'!$F$268)+('Cálculos'!$F$185*(1+'Cálculos'!$F$190+$A215*('Cálculos'!$F$290=1)*'Cálculos'!$F$97+'Cálculos'!$F$305)+'Cálculos'!$F$195)*('Cálculos'!$F$269+'Cálculos'!$F$124*(1+2.78*('Cálculos'!$F$200+(($B$225)-$A215)*'Cálculos'!$F$98)/(('Cálculos'!$F$200+(($B$225)-$A215)*'Cálculos'!$F$98)+1400)+'Cálculos'!$F$122)*'Cálculos'!$F$274+'Cálculos'!$F$125*(1+2.78*('Cálculos'!$F$200+(($B$225)-$A215)*'Cálculos'!$F$98)/(('Cálculos'!$F$200+(($B$225)-$A215)*'Cálculos'!$F$98)+1400)+'Cálculos'!$F$123)*'Cálculos'!$F$279)+('Cálculos'!$F$200+(($B$225)-$A215)*'Cálculos'!$F$98)*('Cálculos'!$F$270+'Cálculos'!$F$124*(1+2.78*('Cálculos'!$F$200+(($B$225)-$A215)*'Cálculos'!$F$98)/(('Cálculos'!$F$200+(($B$225)-$A215)*'Cálculos'!$F$98)+1400)+'Cálculos'!$F$122)*'Cálculos'!$F$275+'Cálculos'!$F$125*(1+2.78*('Cálculos'!$F$200+(($B$225)-$A215)*'Cálculos'!$F$98)/(('Cálculos'!$F$200+(($B$225)-$A215)*'Cálculos'!$F$98)+1400)+'Cálculos'!$F$123)*'Cálculos'!$F$280)+('Cálculos'!$F$201*(1+'Cálculos'!$F$202+$A215*('Cálculos'!$F$290=2)*'Cálculos'!$F$101)+'Cálculos'!$F$203)*('Cálculos'!$F$271+'Cálculos'!$F$124*(1+2.78*('Cálculos'!$F$200+(($B$225)-$A215)*'Cálculos'!$F$98)/(('Cálculos'!$F$200+(($B$225)-$A215)*'Cálculos'!$F$98)+1400)+'Cálculos'!$F$122)*'Cálculos'!$F$276+'Cálculos'!$F$125*(1+2.78*('Cálculos'!$F$200+(($B$225)-$A215)*'Cálculos'!$F$98)/(('Cálculos'!$F$200+(($B$225)-$A215)*'Cálculos'!$F$98)+1400)+'Cálculos'!$F$123)*'Cálculos'!$F$281)+('Cálculos'!$F$204*(1+'Cálculos'!$F$205+$A215*('Cálculos'!$F$290=3)*'Cálculos'!$F$103)+'Cálculos'!$F$206)*('Cálculos'!$F$272+'Cálculos'!$F$124*(1+2.78*('Cálculos'!$F$200+(($B$225)-$A215)*'Cálculos'!$F$98)/(('Cálculos'!$F$200+(($B$225)-$A215)*'Cálculos'!$F$98)+1400)+'Cálculos'!$F$122)*'Cálculos'!$F$277+'Cálculos'!$F$125*(1+2.78*('Cálculos'!$F$200+(($B$225)-$A215)*'Cálculos'!$F$98)/(('Cálculos'!$F$200+(($B$225)-$A215)*'Cálculos'!$F$98)+1400)+'Cálculos'!$F$123)*'Cálculos'!$F$282)+('Cálculos'!$F$273+'Cálculos'!$F$124*(1+2.78*('Cálculos'!$F$200+(($B$225)-$A215)*'Cálculos'!$F$98)/(('Cálculos'!$F$200+(($B$225)-$A215)*'Cálculos'!$F$98)+1400)+'Cálculos'!$F$122)*'Cálculos'!$F$278+'Cálculos'!$F$125*(1+2.78*('Cálculos'!$F$200+(($B$225)-$A215)*'Cálculos'!$F$98)/(('Cálculos'!$F$200+(($B$225)-$A215)*'Cálculos'!$F$98)+1400)+'Cálculos'!$F$123)*'Cálculos'!$F$283)))</f>
        <v>0</v>
      </c>
    </row>
    <row r="216" ht="15.75" customHeight="1">
      <c r="A216" s="2">
        <v>39.0</v>
      </c>
      <c r="B216" s="30">
        <f>SUMPRODUCT(MAX(($A$177:$A$222&lt;=$A216)*($A$177:$A$222&lt;='Cálculos'!$F$294)*(($A216)-$A$177:$A$222&lt;='Cálculos'!$F$295)*(1+(('Cálculos'!$F$207+$A$177:$A$222*'Cálculos'!$F$95)-(('Cálculos'!$F$207+$A$177:$A$222*'Cálculos'!$F$95)&gt;1)*(('Cálculos'!$F$207+$A$177:$A$222*'Cálculos'!$F$95)-1))*('Cálculos'!$F$208+(($A216)-$A$177:$A$222)*'Cálculos'!$F$96))))</f>
        <v>3.6923</v>
      </c>
      <c r="C216" s="2">
        <f>'Cálculos'!$F$303-$A216</f>
        <v>-21</v>
      </c>
      <c r="D216" s="31">
        <f>IF($C216&lt;0,0,SUMPRODUCT(MAX(($A$177:$A$222&lt;=$C216)*($A$177:$A$222&lt;='Cálculos'!$F$301)*(($C216)-$A$177:$A$222&lt;='Cálculos'!$F$297)*(('Cálculos'!$F$185*(1+'Cálculos'!$F$186+$A$177:$A$222*('Cálculos'!$F$290=1)*'Cálculos'!$F$97+'Cálculos'!$F$305)+'Cálculos'!$F$191)*('Cálculos'!$F$209+'Cálculos'!$F$124*(1+2.78*('Cálculos'!$F$196+(($C216)-$A$177:$A$222)*'Cálculos'!$F$98)/(('Cálculos'!$F$196+(($C216)-$A$177:$A$222)*'Cálculos'!$F$98)+1400)+'Cálculos'!$F$122)*'Cálculos'!$F$214+'Cálculos'!$F$125*(1+2.78*('Cálculos'!$F$196+(($C216)-$A$177:$A$222)*'Cálculos'!$F$98)/(('Cálculos'!$F$196+(($C216)-$A$177:$A$222)*'Cálculos'!$F$98)+1400)+'Cálculos'!$F$123)*'Cálculos'!$F$219)+('Cálculos'!$F$196+(($C216)-$A$177:$A$222)*'Cálculos'!$F$98)*('Cálculos'!$F$210+'Cálculos'!$F$124*(1+2.78*('Cálculos'!$F$196+(($C216)-$A$177:$A$222)*'Cálculos'!$F$98)/(('Cálculos'!$F$196+(($C216)-$A$177:$A$222)*'Cálculos'!$F$98)+1400)+'Cálculos'!$F$122)*'Cálculos'!$F$215+'Cálculos'!$F$125*(1+2.78*('Cálculos'!$F$196+(($C216)-$A$177:$A$222)*'Cálculos'!$F$98)/(('Cálculos'!$F$196+(($C216)-$A$177:$A$222)*'Cálculos'!$F$98)+1400)+'Cálculos'!$F$123)*'Cálculos'!$F$220)+('Cálculos'!$F$201*(1+'Cálculos'!$F$202+$A$177:$A$222*('Cálculos'!$F$290=2)*'Cálculos'!$F$101)+'Cálculos'!$F$203)*('Cálculos'!$F$211+'Cálculos'!$F$124*(1+2.78*('Cálculos'!$F$196+(($C216)-$A$177:$A$222)*'Cálculos'!$F$98)/(('Cálculos'!$F$196+(($C216)-$A$177:$A$222)*'Cálculos'!$F$98)+1400)+'Cálculos'!$F$122)*'Cálculos'!$F$216+'Cálculos'!$F$125*(1+2.78*('Cálculos'!$F$196+(($C216)-$A$177:$A$222)*'Cálculos'!$F$98)/(('Cálculos'!$F$196+(($C216)-$A$177:$A$222)*'Cálculos'!$F$98)+1400)+'Cálculos'!$F$123)*'Cálculos'!$F$221)+('Cálculos'!$F$204*(1+'Cálculos'!$F$205+$A$177:$A$222*('Cálculos'!$F$290=3)*'Cálculos'!$F$103)+'Cálculos'!$F$206)*('Cálculos'!$F$212+'Cálculos'!$F$124*(1+2.78*('Cálculos'!$F$196+(($C216)-$A$177:$A$222)*'Cálculos'!$F$98)/(('Cálculos'!$F$196+(($C216)-$A$177:$A$222)*'Cálculos'!$F$98)+1400)+'Cálculos'!$F$122)*'Cálculos'!$F$217+'Cálculos'!$F$125*(1+2.78*('Cálculos'!$F$196+(($C216)-$A$177:$A$222)*'Cálculos'!$F$98)/(('Cálculos'!$F$196+(($C216)-$A$177:$A$222)*'Cálculos'!$F$98)+1400)+'Cálculos'!$F$123)*'Cálculos'!$F$222)+('Cálculos'!$F$213+'Cálculos'!$F$124*(1+2.78*('Cálculos'!$F$196+(($C216)-$A$177:$A$222)*'Cálculos'!$F$98)/(('Cálculos'!$F$196+(($C216)-$A$177:$A$222)*'Cálculos'!$F$98)+1400)+'Cálculos'!$F$122)*'Cálculos'!$F$218+'Cálculos'!$F$125*(1+2.78*('Cálculos'!$F$196+(($C216)-$A$177:$A$222)*'Cálculos'!$F$98)/(('Cálculos'!$F$196+(($C216)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216)-$A$177:$A$222)*'Cálculos'!$F$98)/(('Cálculos'!$F$197+(($C216)-$A$177:$A$222)*'Cálculos'!$F$98)+1400)+'Cálculos'!$F$122)*'Cálculos'!$F$229+'Cálculos'!$F$125*(1+2.78*('Cálculos'!$F$197+(($C216)-$A$177:$A$222)*'Cálculos'!$F$98)/(('Cálculos'!$F$197+(($C216)-$A$177:$A$222)*'Cálculos'!$F$98)+1400)+'Cálculos'!$F$123)*'Cálculos'!$F$234)+('Cálculos'!$F$197+(($C216)-$A$177:$A$222)*'Cálculos'!$F$98)*('Cálculos'!$F$225+'Cálculos'!$F$124*(1+2.78*('Cálculos'!$F$197+(($C216)-$A$177:$A$222)*'Cálculos'!$F$98)/(('Cálculos'!$F$197+(($C216)-$A$177:$A$222)*'Cálculos'!$F$98)+1400)+'Cálculos'!$F$122)*'Cálculos'!$F$230+'Cálculos'!$F$125*(1+2.78*('Cálculos'!$F$197+(($C216)-$A$177:$A$222)*'Cálculos'!$F$98)/(('Cálculos'!$F$197+(($C216)-$A$177:$A$222)*'Cálculos'!$F$98)+1400)+'Cálculos'!$F$123)*'Cálculos'!$F$235)+('Cálculos'!$F$201*(1+'Cálculos'!$F$202+$A$177:$A$222*('Cálculos'!$F$290=2)*'Cálculos'!$F$101)+'Cálculos'!$F$203)*('Cálculos'!$F$226+'Cálculos'!$F$124*(1+2.78*('Cálculos'!$F$197+(($C216)-$A$177:$A$222)*'Cálculos'!$F$98)/(('Cálculos'!$F$197+(($C216)-$A$177:$A$222)*'Cálculos'!$F$98)+1400)+'Cálculos'!$F$122)*'Cálculos'!$F$231+'Cálculos'!$F$125*(1+2.78*('Cálculos'!$F$197+(($C216)-$A$177:$A$222)*'Cálculos'!$F$98)/(('Cálculos'!$F$197+(($C216)-$A$177:$A$222)*'Cálculos'!$F$98)+1400)+'Cálculos'!$F$123)*'Cálculos'!$F$236)+('Cálculos'!$F$204*(1+'Cálculos'!$F$205+$A$177:$A$222*('Cálculos'!$F$290=3)*'Cálculos'!$F$103)+'Cálculos'!$F$206)*('Cálculos'!$F$227+'Cálculos'!$F$124*(1+2.78*('Cálculos'!$F$197+(($C216)-$A$177:$A$222)*'Cálculos'!$F$98)/(('Cálculos'!$F$197+(($C216)-$A$177:$A$222)*'Cálculos'!$F$98)+1400)+'Cálculos'!$F$122)*'Cálculos'!$F$232+'Cálculos'!$F$125*(1+2.78*('Cálculos'!$F$197+(($C216)-$A$177:$A$222)*'Cálculos'!$F$98)/(('Cálculos'!$F$197+(($C216)-$A$177:$A$222)*'Cálculos'!$F$98)+1400)+'Cálculos'!$F$123)*'Cálculos'!$F$237)+('Cálculos'!$F$228+'Cálculos'!$F$124*(1+2.78*('Cálculos'!$F$197+(($C216)-$A$177:$A$222)*'Cálculos'!$F$98)/(('Cálculos'!$F$197+(($C216)-$A$177:$A$222)*'Cálculos'!$F$98)+1400)+'Cálculos'!$F$122)*'Cálculos'!$F$233+'Cálculos'!$F$125*(1+2.78*('Cálculos'!$F$197+(($C216)-$A$177:$A$222)*'Cálculos'!$F$98)/(('Cálculos'!$F$197+(($C216)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216)-$A$177:$A$222)*'Cálculos'!$F$98)/(('Cálculos'!$F$198+(($C216)-$A$177:$A$222)*'Cálculos'!$F$98)+1400)+'Cálculos'!$F$122)*'Cálculos'!$F$244+'Cálculos'!$F$125*(1+2.78*('Cálculos'!$F$198+(($C216)-$A$177:$A$222)*'Cálculos'!$F$98)/(('Cálculos'!$F$198+(($C216)-$A$177:$A$222)*'Cálculos'!$F$98)+1400)+'Cálculos'!$F$123)*'Cálculos'!$F$249)+('Cálculos'!$F$198+(($C216)-$A$177:$A$222)*'Cálculos'!$F$98)*('Cálculos'!$F$240+'Cálculos'!$F$124*(1+2.78*('Cálculos'!$F$198+(($C216)-$A$177:$A$222)*'Cálculos'!$F$98)/(('Cálculos'!$F$198+(($C216)-$A$177:$A$222)*'Cálculos'!$F$98)+1400)+'Cálculos'!$F$122)*'Cálculos'!$F$245+'Cálculos'!$F$125*(1+2.78*('Cálculos'!$F$198+(($C216)-$A$177:$A$222)*'Cálculos'!$F$98)/(('Cálculos'!$F$198+(($C216)-$A$177:$A$222)*'Cálculos'!$F$98)+1400)+'Cálculos'!$F$123)*'Cálculos'!$F$250)+('Cálculos'!$F$201*(1+'Cálculos'!$F$202+$A$177:$A$222*('Cálculos'!$F$290=2)*'Cálculos'!$F$101)+'Cálculos'!$F$203)*('Cálculos'!$F$241+'Cálculos'!$F$124*(1+2.78*('Cálculos'!$F$198+(($C216)-$A$177:$A$222)*'Cálculos'!$F$98)/(('Cálculos'!$F$198+(($C216)-$A$177:$A$222)*'Cálculos'!$F$98)+1400)+'Cálculos'!$F$122)*'Cálculos'!$F$246+'Cálculos'!$F$125*(1+2.78*('Cálculos'!$F$198+(($C216)-$A$177:$A$222)*'Cálculos'!$F$98)/(('Cálculos'!$F$198+(($C216)-$A$177:$A$222)*'Cálculos'!$F$98)+1400)+'Cálculos'!$F$123)*'Cálculos'!$F$251)+('Cálculos'!$F$204*(1+'Cálculos'!$F$205+$A$177:$A$222*('Cálculos'!$F$290=3)*'Cálculos'!$F$103)+'Cálculos'!$F$206)*('Cálculos'!$F$242+'Cálculos'!$F$124*(1+2.78*('Cálculos'!$F$198+(($C216)-$A$177:$A$222)*'Cálculos'!$F$98)/(('Cálculos'!$F$198+(($C216)-$A$177:$A$222)*'Cálculos'!$F$98)+1400)+'Cálculos'!$F$122)*'Cálculos'!$F$247+'Cálculos'!$F$125*(1+2.78*('Cálculos'!$F$198+(($C216)-$A$177:$A$222)*'Cálculos'!$F$98)/(('Cálculos'!$F$198+(($C216)-$A$177:$A$222)*'Cálculos'!$F$98)+1400)+'Cálculos'!$F$123)*'Cálculos'!$F$252)+('Cálculos'!$F$243+'Cálculos'!$F$124*(1+2.78*('Cálculos'!$F$198+(($C216)-$A$177:$A$222)*'Cálculos'!$F$98)/(('Cálculos'!$F$198+(($C216)-$A$177:$A$222)*'Cálculos'!$F$98)+1400)+'Cálculos'!$F$122)*'Cálculos'!$F$248+'Cálculos'!$F$125*(1+2.78*('Cálculos'!$F$198+(($C216)-$A$177:$A$222)*'Cálculos'!$F$98)/(('Cálculos'!$F$198+(($C216)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216)-$A$177:$A$222)*'Cálculos'!$F$98)/(('Cálculos'!$F$199+(($C216)-$A$177:$A$222)*'Cálculos'!$F$98)+1400)+'Cálculos'!$F$122)*'Cálculos'!$F$259+'Cálculos'!$F$125*(1+2.78*('Cálculos'!$F$199+(($C216)-$A$177:$A$222)*'Cálculos'!$F$98)/(('Cálculos'!$F$199+(($C216)-$A$177:$A$222)*'Cálculos'!$F$98)+1400)+'Cálculos'!$F$123)*'Cálculos'!$F$264)+('Cálculos'!$F$199+(($C216)-$A$177:$A$222)*'Cálculos'!$F$98)*('Cálculos'!$F$255+'Cálculos'!$F$124*(1+2.78*('Cálculos'!$F$199+(($C216)-$A$177:$A$222)*'Cálculos'!$F$98)/(('Cálculos'!$F$199+(($C216)-$A$177:$A$222)*'Cálculos'!$F$98)+1400)+'Cálculos'!$F$122)*'Cálculos'!$F$260+'Cálculos'!$F$125*(1+2.78*('Cálculos'!$F$199+(($C216)-$A$177:$A$222)*'Cálculos'!$F$98)/(('Cálculos'!$F$199+(($C216)-$A$177:$A$222)*'Cálculos'!$F$98)+1400)+'Cálculos'!$F$123)*'Cálculos'!$F$265)+('Cálculos'!$F$201*(1+'Cálculos'!$F$202+$A$177:$A$222*('Cálculos'!$F$290=2)*'Cálculos'!$F$101)+'Cálculos'!$F$203)*('Cálculos'!$F$256+'Cálculos'!$F$124*(1+2.78*('Cálculos'!$F$199+(($C216)-$A$177:$A$222)*'Cálculos'!$F$98)/(('Cálculos'!$F$199+(($C216)-$A$177:$A$222)*'Cálculos'!$F$98)+1400)+'Cálculos'!$F$122)*'Cálculos'!$F$261+'Cálculos'!$F$125*(1+2.78*('Cálculos'!$F$199+(($C216)-$A$177:$A$222)*'Cálculos'!$F$98)/(('Cálculos'!$F$199+(($C216)-$A$177:$A$222)*'Cálculos'!$F$98)+1400)+'Cálculos'!$F$123)*'Cálculos'!$F$266)+('Cálculos'!$F$204*(1+'Cálculos'!$F$205+$A$177:$A$222*('Cálculos'!$F$290=3)*'Cálculos'!$F$103)+'Cálculos'!$F$206)*('Cálculos'!$F$257+'Cálculos'!$F$124*(1+2.78*('Cálculos'!$F$199+(($C216)-$A$177:$A$222)*'Cálculos'!$F$98)/(('Cálculos'!$F$199+(($C216)-$A$177:$A$222)*'Cálculos'!$F$98)+1400)+'Cálculos'!$F$122)*'Cálculos'!$F$262+'Cálculos'!$F$125*(1+2.78*('Cálculos'!$F$199+(($C216)-$A$177:$A$222)*'Cálculos'!$F$98)/(('Cálculos'!$F$199+(($C216)-$A$177:$A$222)*'Cálculos'!$F$98)+1400)+'Cálculos'!$F$123)*'Cálculos'!$F$267)+('Cálculos'!$F$258+'Cálculos'!$F$124*(1+2.78*('Cálculos'!$F$199+(($C216)-$A$177:$A$222)*'Cálculos'!$F$98)/(('Cálculos'!$F$199+(($C216)-$A$177:$A$222)*'Cálculos'!$F$98)+1400)+'Cálculos'!$F$122)*'Cálculos'!$F$263+'Cálculos'!$F$125*(1+2.78*('Cálculos'!$F$199+(($C216)-$A$177:$A$222)*'Cálculos'!$F$98)/(('Cálculos'!$F$199+(($C216)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216)-$A$177:$A$222)*'Cálculos'!$F$98)/(('Cálculos'!$F$200+(($C216)-$A$177:$A$222)*'Cálculos'!$F$98)+1400)+'Cálculos'!$F$122)*'Cálculos'!$F$274+'Cálculos'!$F$125*(1+2.78*('Cálculos'!$F$200+(($C216)-$A$177:$A$222)*'Cálculos'!$F$98)/(('Cálculos'!$F$200+(($C216)-$A$177:$A$222)*'Cálculos'!$F$98)+1400)+'Cálculos'!$F$123)*'Cálculos'!$F$279)+('Cálculos'!$F$200+(($C216)-$A$177:$A$222)*'Cálculos'!$F$98)*('Cálculos'!$F$270+'Cálculos'!$F$124*(1+2.78*('Cálculos'!$F$200+(($C216)-$A$177:$A$222)*'Cálculos'!$F$98)/(('Cálculos'!$F$200+(($C216)-$A$177:$A$222)*'Cálculos'!$F$98)+1400)+'Cálculos'!$F$122)*'Cálculos'!$F$275+'Cálculos'!$F$125*(1+2.78*('Cálculos'!$F$200+(($C216)-$A$177:$A$222)*'Cálculos'!$F$98)/(('Cálculos'!$F$200+(($C216)-$A$177:$A$222)*'Cálculos'!$F$98)+1400)+'Cálculos'!$F$123)*'Cálculos'!$F$280)+('Cálculos'!$F$201*(1+'Cálculos'!$F$202+$A$177:$A$222*('Cálculos'!$F$290=2)*'Cálculos'!$F$101)+'Cálculos'!$F$203)*('Cálculos'!$F$271+'Cálculos'!$F$124*(1+2.78*('Cálculos'!$F$200+(($C216)-$A$177:$A$222)*'Cálculos'!$F$98)/(('Cálculos'!$F$200+(($C216)-$A$177:$A$222)*'Cálculos'!$F$98)+1400)+'Cálculos'!$F$122)*'Cálculos'!$F$276+'Cálculos'!$F$125*(1+2.78*('Cálculos'!$F$200+(($C216)-$A$177:$A$222)*'Cálculos'!$F$98)/(('Cálculos'!$F$200+(($C216)-$A$177:$A$222)*'Cálculos'!$F$98)+1400)+'Cálculos'!$F$123)*'Cálculos'!$F$281)+('Cálculos'!$F$204*(1+'Cálculos'!$F$205+$A$177:$A$222*('Cálculos'!$F$290=3)*'Cálculos'!$F$103)+'Cálculos'!$F$206)*('Cálculos'!$F$272+'Cálculos'!$F$124*(1+2.78*('Cálculos'!$F$200+(($C216)-$A$177:$A$222)*'Cálculos'!$F$98)/(('Cálculos'!$F$200+(($C216)-$A$177:$A$222)*'Cálculos'!$F$98)+1400)+'Cálculos'!$F$122)*'Cálculos'!$F$277+'Cálculos'!$F$125*(1+2.78*('Cálculos'!$F$200+(($C216)-$A$177:$A$222)*'Cálculos'!$F$98)/(('Cálculos'!$F$200+(($C216)-$A$177:$A$222)*'Cálculos'!$F$98)+1400)+'Cálculos'!$F$123)*'Cálculos'!$F$282)+('Cálculos'!$F$273+'Cálculos'!$F$124*(1+2.78*('Cálculos'!$F$200+(($C216)-$A$177:$A$222)*'Cálculos'!$F$98)/(('Cálculos'!$F$200+(($C216)-$A$177:$A$222)*'Cálculos'!$F$98)+1400)+'Cálculos'!$F$122)*'Cálculos'!$F$278+'Cálculos'!$F$125*(1+2.78*('Cálculos'!$F$200+(($C216)-$A$177:$A$222)*'Cálculos'!$F$98)/(('Cálculos'!$F$200+(($C216)-$A$177:$A$222)*'Cálculos'!$F$98)+1400)+'Cálculos'!$F$123)*'Cálculos'!$F$283)))))</f>
        <v>0</v>
      </c>
      <c r="E216" s="32">
        <f>IF(OR($C216&lt;0,'Cálculos'!$F$6=""),0,$B216*$D216)</f>
        <v>0</v>
      </c>
      <c r="F216" s="2"/>
      <c r="G216" s="30">
        <f>($A216&lt;=$B$224)*($A216&lt;='Cálculos'!$F$294)*(($B$224)-$A216&lt;='Cálculos'!$F$295)*(1+MIN(('Cálculos'!$F$207+$A216*'Cálculos'!$F$95),1)*('Cálculos'!$F$208+(($B$224)-$A216)*'Cálculos'!$F$96))</f>
        <v>0</v>
      </c>
      <c r="H216" s="31">
        <f>IF($B$225&lt;0,0,($A216&lt;=$B$225)*($A216&lt;='Cálculos'!$F$301)*(($B$225)-$A216&lt;='Cálculos'!$F$297)*(('Cálculos'!$F$185*(1+'Cálculos'!$F$186+$A216*('Cálculos'!$F$290=1)*'Cálculos'!$F$97+'Cálculos'!$F$305)+'Cálculos'!$F$191)*('Cálculos'!$F$209+'Cálculos'!$F$124*(1+2.78*('Cálculos'!$F$196+(($B$225)-$A216)*'Cálculos'!$F$98)/(('Cálculos'!$F$196+(($B$225)-$A216)*'Cálculos'!$F$98)+1400)+'Cálculos'!$F$122)*'Cálculos'!$F$214+'Cálculos'!$F$125*(1+2.78*('Cálculos'!$F$196+(($B$225)-$A216)*'Cálculos'!$F$98)/(('Cálculos'!$F$196+(($B$225)-$A216)*'Cálculos'!$F$98)+1400)+'Cálculos'!$F$123)*'Cálculos'!$F$219)+('Cálculos'!$F$196+(($B$225)-$A216)*'Cálculos'!$F$98)*('Cálculos'!$F$210+'Cálculos'!$F$124*(1+2.78*('Cálculos'!$F$196+(($B$225)-$A216)*'Cálculos'!$F$98)/(('Cálculos'!$F$196+(($B$225)-$A216)*'Cálculos'!$F$98)+1400)+'Cálculos'!$F$122)*'Cálculos'!$F$215+'Cálculos'!$F$125*(1+2.78*('Cálculos'!$F$196+(($B$225)-$A216)*'Cálculos'!$F$98)/(('Cálculos'!$F$196+(($B$225)-$A216)*'Cálculos'!$F$98)+1400)+'Cálculos'!$F$123)*'Cálculos'!$F$220)+('Cálculos'!$F$201*(1+'Cálculos'!$F$202+$A216*('Cálculos'!$F$290=2)*'Cálculos'!$F$101)+'Cálculos'!$F$203)*('Cálculos'!$F$211+'Cálculos'!$F$124*(1+2.78*('Cálculos'!$F$196+(($B$225)-$A216)*'Cálculos'!$F$98)/(('Cálculos'!$F$196+(($B$225)-$A216)*'Cálculos'!$F$98)+1400)+'Cálculos'!$F$122)*'Cálculos'!$F$216+'Cálculos'!$F$125*(1+2.78*('Cálculos'!$F$196+(($B$225)-$A216)*'Cálculos'!$F$98)/(('Cálculos'!$F$196+(($B$225)-$A216)*'Cálculos'!$F$98)+1400)+'Cálculos'!$F$123)*'Cálculos'!$F$221)+('Cálculos'!$F$204*(1+'Cálculos'!$F$205+$A216*('Cálculos'!$F$290=3)*'Cálculos'!$F$103)+'Cálculos'!$F$206)*('Cálculos'!$F$212+'Cálculos'!$F$124*(1+2.78*('Cálculos'!$F$196+(($B$225)-$A216)*'Cálculos'!$F$98)/(('Cálculos'!$F$196+(($B$225)-$A216)*'Cálculos'!$F$98)+1400)+'Cálculos'!$F$122)*'Cálculos'!$F$217+'Cálculos'!$F$125*(1+2.78*('Cálculos'!$F$196+(($B$225)-$A216)*'Cálculos'!$F$98)/(('Cálculos'!$F$196+(($B$225)-$A216)*'Cálculos'!$F$98)+1400)+'Cálculos'!$F$123)*'Cálculos'!$F$222)+('Cálculos'!$F$213+'Cálculos'!$F$124*(1+2.78*('Cálculos'!$F$196+(($B$225)-$A216)*'Cálculos'!$F$98)/(('Cálculos'!$F$196+(($B$225)-$A216)*'Cálculos'!$F$98)+1400)+'Cálculos'!$F$122)*'Cálculos'!$F$218+'Cálculos'!$F$125*(1+2.78*('Cálculos'!$F$196+(($B$225)-$A216)*'Cálculos'!$F$98)/(('Cálculos'!$F$196+(($B$225)-$A216)*'Cálculos'!$F$98)+1400)+'Cálculos'!$F$123)*'Cálculos'!$F$223)+('Cálculos'!$F$185*(1+'Cálculos'!$F$187+$A216*('Cálculos'!$F$290=1)*'Cálculos'!$F$97+'Cálculos'!$F$305)+'Cálculos'!$F$192)*('Cálculos'!$F$224+'Cálculos'!$F$124*(1+2.78*('Cálculos'!$F$197+(($B$225)-$A216)*'Cálculos'!$F$98)/(('Cálculos'!$F$197+(($B$225)-$A216)*'Cálculos'!$F$98)+1400)+'Cálculos'!$F$122)*'Cálculos'!$F$229+'Cálculos'!$F$125*(1+2.78*('Cálculos'!$F$197+(($B$225)-$A216)*'Cálculos'!$F$98)/(('Cálculos'!$F$197+(($B$225)-$A216)*'Cálculos'!$F$98)+1400)+'Cálculos'!$F$123)*'Cálculos'!$F$234)+('Cálculos'!$F$197+(($B$225)-$A216)*'Cálculos'!$F$98)*('Cálculos'!$F$225+'Cálculos'!$F$124*(1+2.78*('Cálculos'!$F$197+(($B$225)-$A216)*'Cálculos'!$F$98)/(('Cálculos'!$F$197+(($B$225)-$A216)*'Cálculos'!$F$98)+1400)+'Cálculos'!$F$122)*'Cálculos'!$F$230+'Cálculos'!$F$125*(1+2.78*('Cálculos'!$F$197+(($B$225)-$A216)*'Cálculos'!$F$98)/(('Cálculos'!$F$197+(($B$225)-$A216)*'Cálculos'!$F$98)+1400)+'Cálculos'!$F$123)*'Cálculos'!$F$235)+('Cálculos'!$F$201*(1+'Cálculos'!$F$202+$A216*('Cálculos'!$F$290=2)*'Cálculos'!$F$101)+'Cálculos'!$F$203)*('Cálculos'!$F$226+'Cálculos'!$F$124*(1+2.78*('Cálculos'!$F$197+(($B$225)-$A216)*'Cálculos'!$F$98)/(('Cálculos'!$F$197+(($B$225)-$A216)*'Cálculos'!$F$98)+1400)+'Cálculos'!$F$122)*'Cálculos'!$F$231+'Cálculos'!$F$125*(1+2.78*('Cálculos'!$F$197+(($B$225)-$A216)*'Cálculos'!$F$98)/(('Cálculos'!$F$197+(($B$225)-$A216)*'Cálculos'!$F$98)+1400)+'Cálculos'!$F$123)*'Cálculos'!$F$236)+('Cálculos'!$F$204*(1+'Cálculos'!$F$205+$A216*('Cálculos'!$F$290=3)*'Cálculos'!$F$103)+'Cálculos'!$F$206)*('Cálculos'!$F$227+'Cálculos'!$F$124*(1+2.78*('Cálculos'!$F$197+(($B$225)-$A216)*'Cálculos'!$F$98)/(('Cálculos'!$F$197+(($B$225)-$A216)*'Cálculos'!$F$98)+1400)+'Cálculos'!$F$122)*'Cálculos'!$F$232+'Cálculos'!$F$125*(1+2.78*('Cálculos'!$F$197+(($B$225)-$A216)*'Cálculos'!$F$98)/(('Cálculos'!$F$197+(($B$225)-$A216)*'Cálculos'!$F$98)+1400)+'Cálculos'!$F$123)*'Cálculos'!$F$237)+('Cálculos'!$F$228+'Cálculos'!$F$124*(1+2.78*('Cálculos'!$F$197+(($B$225)-$A216)*'Cálculos'!$F$98)/(('Cálculos'!$F$197+(($B$225)-$A216)*'Cálculos'!$F$98)+1400)+'Cálculos'!$F$122)*'Cálculos'!$F$233+'Cálculos'!$F$125*(1+2.78*('Cálculos'!$F$197+(($B$225)-$A216)*'Cálculos'!$F$98)/(('Cálculos'!$F$197+(($B$225)-$A216)*'Cálculos'!$F$98)+1400)+'Cálculos'!$F$123)*'Cálculos'!$F$238)+('Cálculos'!$F$185*(1+'Cálculos'!$F$188+$A216*('Cálculos'!$F$290=1)*'Cálculos'!$F$97+'Cálculos'!$F$305)+'Cálculos'!$F$193)*('Cálculos'!$F$239+'Cálculos'!$F$124*(1+2.78*('Cálculos'!$F$198+(($B$225)-$A216)*'Cálculos'!$F$98)/(('Cálculos'!$F$198+(($B$225)-$A216)*'Cálculos'!$F$98)+1400)+'Cálculos'!$F$122)*'Cálculos'!$F$244+'Cálculos'!$F$125*(1+2.78*('Cálculos'!$F$198+(($B$225)-$A216)*'Cálculos'!$F$98)/(('Cálculos'!$F$198+(($B$225)-$A216)*'Cálculos'!$F$98)+1400)+'Cálculos'!$F$123)*'Cálculos'!$F$249)+('Cálculos'!$F$198+(($B$225)-$A216)*'Cálculos'!$F$98)*('Cálculos'!$F$240+'Cálculos'!$F$124*(1+2.78*('Cálculos'!$F$198+(($B$225)-$A216)*'Cálculos'!$F$98)/(('Cálculos'!$F$198+(($B$225)-$A216)*'Cálculos'!$F$98)+1400)+'Cálculos'!$F$122)*'Cálculos'!$F$245+'Cálculos'!$F$125*(1+2.78*('Cálculos'!$F$198+(($B$225)-$A216)*'Cálculos'!$F$98)/(('Cálculos'!$F$198+(($B$225)-$A216)*'Cálculos'!$F$98)+1400)+'Cálculos'!$F$123)*'Cálculos'!$F$250)+('Cálculos'!$F$201*(1+'Cálculos'!$F$202+$A216*('Cálculos'!$F$290=2)*'Cálculos'!$F$101)+'Cálculos'!$F$203)*('Cálculos'!$F$241+'Cálculos'!$F$124*(1+2.78*('Cálculos'!$F$198+(($B$225)-$A216)*'Cálculos'!$F$98)/(('Cálculos'!$F$198+(($B$225)-$A216)*'Cálculos'!$F$98)+1400)+'Cálculos'!$F$122)*'Cálculos'!$F$246+'Cálculos'!$F$125*(1+2.78*('Cálculos'!$F$198+(($B$225)-$A216)*'Cálculos'!$F$98)/(('Cálculos'!$F$198+(($B$225)-$A216)*'Cálculos'!$F$98)+1400)+'Cálculos'!$F$123)*'Cálculos'!$F$251)+('Cálculos'!$F$204*(1+'Cálculos'!$F$205+$A216*('Cálculos'!$F$290=3)*'Cálculos'!$F$103)+'Cálculos'!$F$206)*('Cálculos'!$F$242+'Cálculos'!$F$124*(1+2.78*('Cálculos'!$F$198+(($B$225)-$A216)*'Cálculos'!$F$98)/(('Cálculos'!$F$198+(($B$225)-$A216)*'Cálculos'!$F$98)+1400)+'Cálculos'!$F$122)*'Cálculos'!$F$247+'Cálculos'!$F$125*(1+2.78*('Cálculos'!$F$198+(($B$225)-$A216)*'Cálculos'!$F$98)/(('Cálculos'!$F$198+(($B$225)-$A216)*'Cálculos'!$F$98)+1400)+'Cálculos'!$F$123)*'Cálculos'!$F$252)+('Cálculos'!$F$243+'Cálculos'!$F$124*(1+2.78*('Cálculos'!$F$198+(($B$225)-$A216)*'Cálculos'!$F$98)/(('Cálculos'!$F$198+(($B$225)-$A216)*'Cálculos'!$F$98)+1400)+'Cálculos'!$F$122)*'Cálculos'!$F$248+'Cálculos'!$F$125*(1+2.78*('Cálculos'!$F$198+(($B$225)-$A216)*'Cálculos'!$F$98)/(('Cálculos'!$F$198+(($B$225)-$A216)*'Cálculos'!$F$98)+1400)+'Cálculos'!$F$123)*'Cálculos'!$F$253)+('Cálculos'!$F$185*(1+'Cálculos'!$F$189+$A216*('Cálculos'!$F$290=1)*'Cálculos'!$F$97+'Cálculos'!$F$305)+'Cálculos'!$F$194)*('Cálculos'!$F$254+'Cálculos'!$F$124*(1+2.78*('Cálculos'!$F$199+(($B$225)-$A216)*'Cálculos'!$F$98)/(('Cálculos'!$F$199+(($B$225)-$A216)*'Cálculos'!$F$98)+1400)+'Cálculos'!$F$122)*'Cálculos'!$F$259+'Cálculos'!$F$125*(1+2.78*('Cálculos'!$F$199+(($B$225)-$A216)*'Cálculos'!$F$98)/(('Cálculos'!$F$199+(($B$225)-$A216)*'Cálculos'!$F$98)+1400)+'Cálculos'!$F$123)*'Cálculos'!$F$264)+('Cálculos'!$F$199+(($B$225)-$A216)*'Cálculos'!$F$98)*('Cálculos'!$F$255+'Cálculos'!$F$124*(1+2.78*('Cálculos'!$F$199+(($B$225)-$A216)*'Cálculos'!$F$98)/(('Cálculos'!$F$199+(($B$225)-$A216)*'Cálculos'!$F$98)+1400)+'Cálculos'!$F$122)*'Cálculos'!$F$260+'Cálculos'!$F$125*(1+2.78*('Cálculos'!$F$199+(($B$225)-$A216)*'Cálculos'!$F$98)/(('Cálculos'!$F$199+(($B$225)-$A216)*'Cálculos'!$F$98)+1400)+'Cálculos'!$F$123)*'Cálculos'!$F$265)+('Cálculos'!$F$201*(1+'Cálculos'!$F$202+$A216*('Cálculos'!$F$290=2)*'Cálculos'!$F$101)+'Cálculos'!$F$203)*('Cálculos'!$F$256+'Cálculos'!$F$124*(1+2.78*('Cálculos'!$F$199+(($B$225)-$A216)*'Cálculos'!$F$98)/(('Cálculos'!$F$199+(($B$225)-$A216)*'Cálculos'!$F$98)+1400)+'Cálculos'!$F$122)*'Cálculos'!$F$261+'Cálculos'!$F$125*(1+2.78*('Cálculos'!$F$199+(($B$225)-$A216)*'Cálculos'!$F$98)/(('Cálculos'!$F$199+(($B$225)-$A216)*'Cálculos'!$F$98)+1400)+'Cálculos'!$F$123)*'Cálculos'!$F$266)+('Cálculos'!$F$204*(1+'Cálculos'!$F$205+$A216*('Cálculos'!$F$290=3)*'Cálculos'!$F$103)+'Cálculos'!$F$206)*('Cálculos'!$F$257+'Cálculos'!$F$124*(1+2.78*('Cálculos'!$F$199+(($B$225)-$A216)*'Cálculos'!$F$98)/(('Cálculos'!$F$199+(($B$225)-$A216)*'Cálculos'!$F$98)+1400)+'Cálculos'!$F$122)*'Cálculos'!$F$262+'Cálculos'!$F$125*(1+2.78*('Cálculos'!$F$199+(($B$225)-$A216)*'Cálculos'!$F$98)/(('Cálculos'!$F$199+(($B$225)-$A216)*'Cálculos'!$F$98)+1400)+'Cálculos'!$F$123)*'Cálculos'!$F$267)+('Cálculos'!$F$258+'Cálculos'!$F$124*(1+2.78*('Cálculos'!$F$199+(($B$225)-$A216)*'Cálculos'!$F$98)/(('Cálculos'!$F$199+(($B$225)-$A216)*'Cálculos'!$F$98)+1400)+'Cálculos'!$F$122)*'Cálculos'!$F$263+'Cálculos'!$F$125*(1+2.78*('Cálculos'!$F$199+(($B$225)-$A216)*'Cálculos'!$F$98)/(('Cálculos'!$F$199+(($B$225)-$A216)*'Cálculos'!$F$98)+1400)+'Cálculos'!$F$123)*'Cálculos'!$F$268)+('Cálculos'!$F$185*(1+'Cálculos'!$F$190+$A216*('Cálculos'!$F$290=1)*'Cálculos'!$F$97+'Cálculos'!$F$305)+'Cálculos'!$F$195)*('Cálculos'!$F$269+'Cálculos'!$F$124*(1+2.78*('Cálculos'!$F$200+(($B$225)-$A216)*'Cálculos'!$F$98)/(('Cálculos'!$F$200+(($B$225)-$A216)*'Cálculos'!$F$98)+1400)+'Cálculos'!$F$122)*'Cálculos'!$F$274+'Cálculos'!$F$125*(1+2.78*('Cálculos'!$F$200+(($B$225)-$A216)*'Cálculos'!$F$98)/(('Cálculos'!$F$200+(($B$225)-$A216)*'Cálculos'!$F$98)+1400)+'Cálculos'!$F$123)*'Cálculos'!$F$279)+('Cálculos'!$F$200+(($B$225)-$A216)*'Cálculos'!$F$98)*('Cálculos'!$F$270+'Cálculos'!$F$124*(1+2.78*('Cálculos'!$F$200+(($B$225)-$A216)*'Cálculos'!$F$98)/(('Cálculos'!$F$200+(($B$225)-$A216)*'Cálculos'!$F$98)+1400)+'Cálculos'!$F$122)*'Cálculos'!$F$275+'Cálculos'!$F$125*(1+2.78*('Cálculos'!$F$200+(($B$225)-$A216)*'Cálculos'!$F$98)/(('Cálculos'!$F$200+(($B$225)-$A216)*'Cálculos'!$F$98)+1400)+'Cálculos'!$F$123)*'Cálculos'!$F$280)+('Cálculos'!$F$201*(1+'Cálculos'!$F$202+$A216*('Cálculos'!$F$290=2)*'Cálculos'!$F$101)+'Cálculos'!$F$203)*('Cálculos'!$F$271+'Cálculos'!$F$124*(1+2.78*('Cálculos'!$F$200+(($B$225)-$A216)*'Cálculos'!$F$98)/(('Cálculos'!$F$200+(($B$225)-$A216)*'Cálculos'!$F$98)+1400)+'Cálculos'!$F$122)*'Cálculos'!$F$276+'Cálculos'!$F$125*(1+2.78*('Cálculos'!$F$200+(($B$225)-$A216)*'Cálculos'!$F$98)/(('Cálculos'!$F$200+(($B$225)-$A216)*'Cálculos'!$F$98)+1400)+'Cálculos'!$F$123)*'Cálculos'!$F$281)+('Cálculos'!$F$204*(1+'Cálculos'!$F$205+$A216*('Cálculos'!$F$290=3)*'Cálculos'!$F$103)+'Cálculos'!$F$206)*('Cálculos'!$F$272+'Cálculos'!$F$124*(1+2.78*('Cálculos'!$F$200+(($B$225)-$A216)*'Cálculos'!$F$98)/(('Cálculos'!$F$200+(($B$225)-$A216)*'Cálculos'!$F$98)+1400)+'Cálculos'!$F$122)*'Cálculos'!$F$277+'Cálculos'!$F$125*(1+2.78*('Cálculos'!$F$200+(($B$225)-$A216)*'Cálculos'!$F$98)/(('Cálculos'!$F$200+(($B$225)-$A216)*'Cálculos'!$F$98)+1400)+'Cálculos'!$F$123)*'Cálculos'!$F$282)+('Cálculos'!$F$273+'Cálculos'!$F$124*(1+2.78*('Cálculos'!$F$200+(($B$225)-$A216)*'Cálculos'!$F$98)/(('Cálculos'!$F$200+(($B$225)-$A216)*'Cálculos'!$F$98)+1400)+'Cálculos'!$F$122)*'Cálculos'!$F$278+'Cálculos'!$F$125*(1+2.78*('Cálculos'!$F$200+(($B$225)-$A216)*'Cálculos'!$F$98)/(('Cálculos'!$F$200+(($B$225)-$A216)*'Cálculos'!$F$98)+1400)+'Cálculos'!$F$123)*'Cálculos'!$F$283)))</f>
        <v>0</v>
      </c>
    </row>
    <row r="217" ht="15.75" customHeight="1">
      <c r="A217" s="2">
        <v>40.0</v>
      </c>
      <c r="B217" s="30">
        <f>SUMPRODUCT(MAX(($A$177:$A$222&lt;=$A217)*($A$177:$A$222&lt;='Cálculos'!$F$294)*(($A217)-$A$177:$A$222&lt;='Cálculos'!$F$295)*(1+(('Cálculos'!$F$207+$A$177:$A$222*'Cálculos'!$F$95)-(('Cálculos'!$F$207+$A$177:$A$222*'Cálculos'!$F$95)&gt;1)*(('Cálculos'!$F$207+$A$177:$A$222*'Cálculos'!$F$95)-1))*('Cálculos'!$F$208+(($A217)-$A$177:$A$222)*'Cálculos'!$F$96))))</f>
        <v>3.757508</v>
      </c>
      <c r="C217" s="2">
        <f>'Cálculos'!$F$303-$A217</f>
        <v>-22</v>
      </c>
      <c r="D217" s="31">
        <f>IF($C217&lt;0,0,SUMPRODUCT(MAX(($A$177:$A$222&lt;=$C217)*($A$177:$A$222&lt;='Cálculos'!$F$301)*(($C217)-$A$177:$A$222&lt;='Cálculos'!$F$297)*(('Cálculos'!$F$185*(1+'Cálculos'!$F$186+$A$177:$A$222*('Cálculos'!$F$290=1)*'Cálculos'!$F$97+'Cálculos'!$F$305)+'Cálculos'!$F$191)*('Cálculos'!$F$209+'Cálculos'!$F$124*(1+2.78*('Cálculos'!$F$196+(($C217)-$A$177:$A$222)*'Cálculos'!$F$98)/(('Cálculos'!$F$196+(($C217)-$A$177:$A$222)*'Cálculos'!$F$98)+1400)+'Cálculos'!$F$122)*'Cálculos'!$F$214+'Cálculos'!$F$125*(1+2.78*('Cálculos'!$F$196+(($C217)-$A$177:$A$222)*'Cálculos'!$F$98)/(('Cálculos'!$F$196+(($C217)-$A$177:$A$222)*'Cálculos'!$F$98)+1400)+'Cálculos'!$F$123)*'Cálculos'!$F$219)+('Cálculos'!$F$196+(($C217)-$A$177:$A$222)*'Cálculos'!$F$98)*('Cálculos'!$F$210+'Cálculos'!$F$124*(1+2.78*('Cálculos'!$F$196+(($C217)-$A$177:$A$222)*'Cálculos'!$F$98)/(('Cálculos'!$F$196+(($C217)-$A$177:$A$222)*'Cálculos'!$F$98)+1400)+'Cálculos'!$F$122)*'Cálculos'!$F$215+'Cálculos'!$F$125*(1+2.78*('Cálculos'!$F$196+(($C217)-$A$177:$A$222)*'Cálculos'!$F$98)/(('Cálculos'!$F$196+(($C217)-$A$177:$A$222)*'Cálculos'!$F$98)+1400)+'Cálculos'!$F$123)*'Cálculos'!$F$220)+('Cálculos'!$F$201*(1+'Cálculos'!$F$202+$A$177:$A$222*('Cálculos'!$F$290=2)*'Cálculos'!$F$101)+'Cálculos'!$F$203)*('Cálculos'!$F$211+'Cálculos'!$F$124*(1+2.78*('Cálculos'!$F$196+(($C217)-$A$177:$A$222)*'Cálculos'!$F$98)/(('Cálculos'!$F$196+(($C217)-$A$177:$A$222)*'Cálculos'!$F$98)+1400)+'Cálculos'!$F$122)*'Cálculos'!$F$216+'Cálculos'!$F$125*(1+2.78*('Cálculos'!$F$196+(($C217)-$A$177:$A$222)*'Cálculos'!$F$98)/(('Cálculos'!$F$196+(($C217)-$A$177:$A$222)*'Cálculos'!$F$98)+1400)+'Cálculos'!$F$123)*'Cálculos'!$F$221)+('Cálculos'!$F$204*(1+'Cálculos'!$F$205+$A$177:$A$222*('Cálculos'!$F$290=3)*'Cálculos'!$F$103)+'Cálculos'!$F$206)*('Cálculos'!$F$212+'Cálculos'!$F$124*(1+2.78*('Cálculos'!$F$196+(($C217)-$A$177:$A$222)*'Cálculos'!$F$98)/(('Cálculos'!$F$196+(($C217)-$A$177:$A$222)*'Cálculos'!$F$98)+1400)+'Cálculos'!$F$122)*'Cálculos'!$F$217+'Cálculos'!$F$125*(1+2.78*('Cálculos'!$F$196+(($C217)-$A$177:$A$222)*'Cálculos'!$F$98)/(('Cálculos'!$F$196+(($C217)-$A$177:$A$222)*'Cálculos'!$F$98)+1400)+'Cálculos'!$F$123)*'Cálculos'!$F$222)+('Cálculos'!$F$213+'Cálculos'!$F$124*(1+2.78*('Cálculos'!$F$196+(($C217)-$A$177:$A$222)*'Cálculos'!$F$98)/(('Cálculos'!$F$196+(($C217)-$A$177:$A$222)*'Cálculos'!$F$98)+1400)+'Cálculos'!$F$122)*'Cálculos'!$F$218+'Cálculos'!$F$125*(1+2.78*('Cálculos'!$F$196+(($C217)-$A$177:$A$222)*'Cálculos'!$F$98)/(('Cálculos'!$F$196+(($C217)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217)-$A$177:$A$222)*'Cálculos'!$F$98)/(('Cálculos'!$F$197+(($C217)-$A$177:$A$222)*'Cálculos'!$F$98)+1400)+'Cálculos'!$F$122)*'Cálculos'!$F$229+'Cálculos'!$F$125*(1+2.78*('Cálculos'!$F$197+(($C217)-$A$177:$A$222)*'Cálculos'!$F$98)/(('Cálculos'!$F$197+(($C217)-$A$177:$A$222)*'Cálculos'!$F$98)+1400)+'Cálculos'!$F$123)*'Cálculos'!$F$234)+('Cálculos'!$F$197+(($C217)-$A$177:$A$222)*'Cálculos'!$F$98)*('Cálculos'!$F$225+'Cálculos'!$F$124*(1+2.78*('Cálculos'!$F$197+(($C217)-$A$177:$A$222)*'Cálculos'!$F$98)/(('Cálculos'!$F$197+(($C217)-$A$177:$A$222)*'Cálculos'!$F$98)+1400)+'Cálculos'!$F$122)*'Cálculos'!$F$230+'Cálculos'!$F$125*(1+2.78*('Cálculos'!$F$197+(($C217)-$A$177:$A$222)*'Cálculos'!$F$98)/(('Cálculos'!$F$197+(($C217)-$A$177:$A$222)*'Cálculos'!$F$98)+1400)+'Cálculos'!$F$123)*'Cálculos'!$F$235)+('Cálculos'!$F$201*(1+'Cálculos'!$F$202+$A$177:$A$222*('Cálculos'!$F$290=2)*'Cálculos'!$F$101)+'Cálculos'!$F$203)*('Cálculos'!$F$226+'Cálculos'!$F$124*(1+2.78*('Cálculos'!$F$197+(($C217)-$A$177:$A$222)*'Cálculos'!$F$98)/(('Cálculos'!$F$197+(($C217)-$A$177:$A$222)*'Cálculos'!$F$98)+1400)+'Cálculos'!$F$122)*'Cálculos'!$F$231+'Cálculos'!$F$125*(1+2.78*('Cálculos'!$F$197+(($C217)-$A$177:$A$222)*'Cálculos'!$F$98)/(('Cálculos'!$F$197+(($C217)-$A$177:$A$222)*'Cálculos'!$F$98)+1400)+'Cálculos'!$F$123)*'Cálculos'!$F$236)+('Cálculos'!$F$204*(1+'Cálculos'!$F$205+$A$177:$A$222*('Cálculos'!$F$290=3)*'Cálculos'!$F$103)+'Cálculos'!$F$206)*('Cálculos'!$F$227+'Cálculos'!$F$124*(1+2.78*('Cálculos'!$F$197+(($C217)-$A$177:$A$222)*'Cálculos'!$F$98)/(('Cálculos'!$F$197+(($C217)-$A$177:$A$222)*'Cálculos'!$F$98)+1400)+'Cálculos'!$F$122)*'Cálculos'!$F$232+'Cálculos'!$F$125*(1+2.78*('Cálculos'!$F$197+(($C217)-$A$177:$A$222)*'Cálculos'!$F$98)/(('Cálculos'!$F$197+(($C217)-$A$177:$A$222)*'Cálculos'!$F$98)+1400)+'Cálculos'!$F$123)*'Cálculos'!$F$237)+('Cálculos'!$F$228+'Cálculos'!$F$124*(1+2.78*('Cálculos'!$F$197+(($C217)-$A$177:$A$222)*'Cálculos'!$F$98)/(('Cálculos'!$F$197+(($C217)-$A$177:$A$222)*'Cálculos'!$F$98)+1400)+'Cálculos'!$F$122)*'Cálculos'!$F$233+'Cálculos'!$F$125*(1+2.78*('Cálculos'!$F$197+(($C217)-$A$177:$A$222)*'Cálculos'!$F$98)/(('Cálculos'!$F$197+(($C217)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217)-$A$177:$A$222)*'Cálculos'!$F$98)/(('Cálculos'!$F$198+(($C217)-$A$177:$A$222)*'Cálculos'!$F$98)+1400)+'Cálculos'!$F$122)*'Cálculos'!$F$244+'Cálculos'!$F$125*(1+2.78*('Cálculos'!$F$198+(($C217)-$A$177:$A$222)*'Cálculos'!$F$98)/(('Cálculos'!$F$198+(($C217)-$A$177:$A$222)*'Cálculos'!$F$98)+1400)+'Cálculos'!$F$123)*'Cálculos'!$F$249)+('Cálculos'!$F$198+(($C217)-$A$177:$A$222)*'Cálculos'!$F$98)*('Cálculos'!$F$240+'Cálculos'!$F$124*(1+2.78*('Cálculos'!$F$198+(($C217)-$A$177:$A$222)*'Cálculos'!$F$98)/(('Cálculos'!$F$198+(($C217)-$A$177:$A$222)*'Cálculos'!$F$98)+1400)+'Cálculos'!$F$122)*'Cálculos'!$F$245+'Cálculos'!$F$125*(1+2.78*('Cálculos'!$F$198+(($C217)-$A$177:$A$222)*'Cálculos'!$F$98)/(('Cálculos'!$F$198+(($C217)-$A$177:$A$222)*'Cálculos'!$F$98)+1400)+'Cálculos'!$F$123)*'Cálculos'!$F$250)+('Cálculos'!$F$201*(1+'Cálculos'!$F$202+$A$177:$A$222*('Cálculos'!$F$290=2)*'Cálculos'!$F$101)+'Cálculos'!$F$203)*('Cálculos'!$F$241+'Cálculos'!$F$124*(1+2.78*('Cálculos'!$F$198+(($C217)-$A$177:$A$222)*'Cálculos'!$F$98)/(('Cálculos'!$F$198+(($C217)-$A$177:$A$222)*'Cálculos'!$F$98)+1400)+'Cálculos'!$F$122)*'Cálculos'!$F$246+'Cálculos'!$F$125*(1+2.78*('Cálculos'!$F$198+(($C217)-$A$177:$A$222)*'Cálculos'!$F$98)/(('Cálculos'!$F$198+(($C217)-$A$177:$A$222)*'Cálculos'!$F$98)+1400)+'Cálculos'!$F$123)*'Cálculos'!$F$251)+('Cálculos'!$F$204*(1+'Cálculos'!$F$205+$A$177:$A$222*('Cálculos'!$F$290=3)*'Cálculos'!$F$103)+'Cálculos'!$F$206)*('Cálculos'!$F$242+'Cálculos'!$F$124*(1+2.78*('Cálculos'!$F$198+(($C217)-$A$177:$A$222)*'Cálculos'!$F$98)/(('Cálculos'!$F$198+(($C217)-$A$177:$A$222)*'Cálculos'!$F$98)+1400)+'Cálculos'!$F$122)*'Cálculos'!$F$247+'Cálculos'!$F$125*(1+2.78*('Cálculos'!$F$198+(($C217)-$A$177:$A$222)*'Cálculos'!$F$98)/(('Cálculos'!$F$198+(($C217)-$A$177:$A$222)*'Cálculos'!$F$98)+1400)+'Cálculos'!$F$123)*'Cálculos'!$F$252)+('Cálculos'!$F$243+'Cálculos'!$F$124*(1+2.78*('Cálculos'!$F$198+(($C217)-$A$177:$A$222)*'Cálculos'!$F$98)/(('Cálculos'!$F$198+(($C217)-$A$177:$A$222)*'Cálculos'!$F$98)+1400)+'Cálculos'!$F$122)*'Cálculos'!$F$248+'Cálculos'!$F$125*(1+2.78*('Cálculos'!$F$198+(($C217)-$A$177:$A$222)*'Cálculos'!$F$98)/(('Cálculos'!$F$198+(($C217)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217)-$A$177:$A$222)*'Cálculos'!$F$98)/(('Cálculos'!$F$199+(($C217)-$A$177:$A$222)*'Cálculos'!$F$98)+1400)+'Cálculos'!$F$122)*'Cálculos'!$F$259+'Cálculos'!$F$125*(1+2.78*('Cálculos'!$F$199+(($C217)-$A$177:$A$222)*'Cálculos'!$F$98)/(('Cálculos'!$F$199+(($C217)-$A$177:$A$222)*'Cálculos'!$F$98)+1400)+'Cálculos'!$F$123)*'Cálculos'!$F$264)+('Cálculos'!$F$199+(($C217)-$A$177:$A$222)*'Cálculos'!$F$98)*('Cálculos'!$F$255+'Cálculos'!$F$124*(1+2.78*('Cálculos'!$F$199+(($C217)-$A$177:$A$222)*'Cálculos'!$F$98)/(('Cálculos'!$F$199+(($C217)-$A$177:$A$222)*'Cálculos'!$F$98)+1400)+'Cálculos'!$F$122)*'Cálculos'!$F$260+'Cálculos'!$F$125*(1+2.78*('Cálculos'!$F$199+(($C217)-$A$177:$A$222)*'Cálculos'!$F$98)/(('Cálculos'!$F$199+(($C217)-$A$177:$A$222)*'Cálculos'!$F$98)+1400)+'Cálculos'!$F$123)*'Cálculos'!$F$265)+('Cálculos'!$F$201*(1+'Cálculos'!$F$202+$A$177:$A$222*('Cálculos'!$F$290=2)*'Cálculos'!$F$101)+'Cálculos'!$F$203)*('Cálculos'!$F$256+'Cálculos'!$F$124*(1+2.78*('Cálculos'!$F$199+(($C217)-$A$177:$A$222)*'Cálculos'!$F$98)/(('Cálculos'!$F$199+(($C217)-$A$177:$A$222)*'Cálculos'!$F$98)+1400)+'Cálculos'!$F$122)*'Cálculos'!$F$261+'Cálculos'!$F$125*(1+2.78*('Cálculos'!$F$199+(($C217)-$A$177:$A$222)*'Cálculos'!$F$98)/(('Cálculos'!$F$199+(($C217)-$A$177:$A$222)*'Cálculos'!$F$98)+1400)+'Cálculos'!$F$123)*'Cálculos'!$F$266)+('Cálculos'!$F$204*(1+'Cálculos'!$F$205+$A$177:$A$222*('Cálculos'!$F$290=3)*'Cálculos'!$F$103)+'Cálculos'!$F$206)*('Cálculos'!$F$257+'Cálculos'!$F$124*(1+2.78*('Cálculos'!$F$199+(($C217)-$A$177:$A$222)*'Cálculos'!$F$98)/(('Cálculos'!$F$199+(($C217)-$A$177:$A$222)*'Cálculos'!$F$98)+1400)+'Cálculos'!$F$122)*'Cálculos'!$F$262+'Cálculos'!$F$125*(1+2.78*('Cálculos'!$F$199+(($C217)-$A$177:$A$222)*'Cálculos'!$F$98)/(('Cálculos'!$F$199+(($C217)-$A$177:$A$222)*'Cálculos'!$F$98)+1400)+'Cálculos'!$F$123)*'Cálculos'!$F$267)+('Cálculos'!$F$258+'Cálculos'!$F$124*(1+2.78*('Cálculos'!$F$199+(($C217)-$A$177:$A$222)*'Cálculos'!$F$98)/(('Cálculos'!$F$199+(($C217)-$A$177:$A$222)*'Cálculos'!$F$98)+1400)+'Cálculos'!$F$122)*'Cálculos'!$F$263+'Cálculos'!$F$125*(1+2.78*('Cálculos'!$F$199+(($C217)-$A$177:$A$222)*'Cálculos'!$F$98)/(('Cálculos'!$F$199+(($C217)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217)-$A$177:$A$222)*'Cálculos'!$F$98)/(('Cálculos'!$F$200+(($C217)-$A$177:$A$222)*'Cálculos'!$F$98)+1400)+'Cálculos'!$F$122)*'Cálculos'!$F$274+'Cálculos'!$F$125*(1+2.78*('Cálculos'!$F$200+(($C217)-$A$177:$A$222)*'Cálculos'!$F$98)/(('Cálculos'!$F$200+(($C217)-$A$177:$A$222)*'Cálculos'!$F$98)+1400)+'Cálculos'!$F$123)*'Cálculos'!$F$279)+('Cálculos'!$F$200+(($C217)-$A$177:$A$222)*'Cálculos'!$F$98)*('Cálculos'!$F$270+'Cálculos'!$F$124*(1+2.78*('Cálculos'!$F$200+(($C217)-$A$177:$A$222)*'Cálculos'!$F$98)/(('Cálculos'!$F$200+(($C217)-$A$177:$A$222)*'Cálculos'!$F$98)+1400)+'Cálculos'!$F$122)*'Cálculos'!$F$275+'Cálculos'!$F$125*(1+2.78*('Cálculos'!$F$200+(($C217)-$A$177:$A$222)*'Cálculos'!$F$98)/(('Cálculos'!$F$200+(($C217)-$A$177:$A$222)*'Cálculos'!$F$98)+1400)+'Cálculos'!$F$123)*'Cálculos'!$F$280)+('Cálculos'!$F$201*(1+'Cálculos'!$F$202+$A$177:$A$222*('Cálculos'!$F$290=2)*'Cálculos'!$F$101)+'Cálculos'!$F$203)*('Cálculos'!$F$271+'Cálculos'!$F$124*(1+2.78*('Cálculos'!$F$200+(($C217)-$A$177:$A$222)*'Cálculos'!$F$98)/(('Cálculos'!$F$200+(($C217)-$A$177:$A$222)*'Cálculos'!$F$98)+1400)+'Cálculos'!$F$122)*'Cálculos'!$F$276+'Cálculos'!$F$125*(1+2.78*('Cálculos'!$F$200+(($C217)-$A$177:$A$222)*'Cálculos'!$F$98)/(('Cálculos'!$F$200+(($C217)-$A$177:$A$222)*'Cálculos'!$F$98)+1400)+'Cálculos'!$F$123)*'Cálculos'!$F$281)+('Cálculos'!$F$204*(1+'Cálculos'!$F$205+$A$177:$A$222*('Cálculos'!$F$290=3)*'Cálculos'!$F$103)+'Cálculos'!$F$206)*('Cálculos'!$F$272+'Cálculos'!$F$124*(1+2.78*('Cálculos'!$F$200+(($C217)-$A$177:$A$222)*'Cálculos'!$F$98)/(('Cálculos'!$F$200+(($C217)-$A$177:$A$222)*'Cálculos'!$F$98)+1400)+'Cálculos'!$F$122)*'Cálculos'!$F$277+'Cálculos'!$F$125*(1+2.78*('Cálculos'!$F$200+(($C217)-$A$177:$A$222)*'Cálculos'!$F$98)/(('Cálculos'!$F$200+(($C217)-$A$177:$A$222)*'Cálculos'!$F$98)+1400)+'Cálculos'!$F$123)*'Cálculos'!$F$282)+('Cálculos'!$F$273+'Cálculos'!$F$124*(1+2.78*('Cálculos'!$F$200+(($C217)-$A$177:$A$222)*'Cálculos'!$F$98)/(('Cálculos'!$F$200+(($C217)-$A$177:$A$222)*'Cálculos'!$F$98)+1400)+'Cálculos'!$F$122)*'Cálculos'!$F$278+'Cálculos'!$F$125*(1+2.78*('Cálculos'!$F$200+(($C217)-$A$177:$A$222)*'Cálculos'!$F$98)/(('Cálculos'!$F$200+(($C217)-$A$177:$A$222)*'Cálculos'!$F$98)+1400)+'Cálculos'!$F$123)*'Cálculos'!$F$283)))))</f>
        <v>0</v>
      </c>
      <c r="E217" s="32">
        <f>IF(OR($C217&lt;0,'Cálculos'!$F$6=""),0,$B217*$D217)</f>
        <v>0</v>
      </c>
      <c r="F217" s="2"/>
      <c r="G217" s="30">
        <f>($A217&lt;=$B$224)*($A217&lt;='Cálculos'!$F$294)*(($B$224)-$A217&lt;='Cálculos'!$F$295)*(1+MIN(('Cálculos'!$F$207+$A217*'Cálculos'!$F$95),1)*('Cálculos'!$F$208+(($B$224)-$A217)*'Cálculos'!$F$96))</f>
        <v>0</v>
      </c>
      <c r="H217" s="31">
        <f>IF($B$225&lt;0,0,($A217&lt;=$B$225)*($A217&lt;='Cálculos'!$F$301)*(($B$225)-$A217&lt;='Cálculos'!$F$297)*(('Cálculos'!$F$185*(1+'Cálculos'!$F$186+$A217*('Cálculos'!$F$290=1)*'Cálculos'!$F$97+'Cálculos'!$F$305)+'Cálculos'!$F$191)*('Cálculos'!$F$209+'Cálculos'!$F$124*(1+2.78*('Cálculos'!$F$196+(($B$225)-$A217)*'Cálculos'!$F$98)/(('Cálculos'!$F$196+(($B$225)-$A217)*'Cálculos'!$F$98)+1400)+'Cálculos'!$F$122)*'Cálculos'!$F$214+'Cálculos'!$F$125*(1+2.78*('Cálculos'!$F$196+(($B$225)-$A217)*'Cálculos'!$F$98)/(('Cálculos'!$F$196+(($B$225)-$A217)*'Cálculos'!$F$98)+1400)+'Cálculos'!$F$123)*'Cálculos'!$F$219)+('Cálculos'!$F$196+(($B$225)-$A217)*'Cálculos'!$F$98)*('Cálculos'!$F$210+'Cálculos'!$F$124*(1+2.78*('Cálculos'!$F$196+(($B$225)-$A217)*'Cálculos'!$F$98)/(('Cálculos'!$F$196+(($B$225)-$A217)*'Cálculos'!$F$98)+1400)+'Cálculos'!$F$122)*'Cálculos'!$F$215+'Cálculos'!$F$125*(1+2.78*('Cálculos'!$F$196+(($B$225)-$A217)*'Cálculos'!$F$98)/(('Cálculos'!$F$196+(($B$225)-$A217)*'Cálculos'!$F$98)+1400)+'Cálculos'!$F$123)*'Cálculos'!$F$220)+('Cálculos'!$F$201*(1+'Cálculos'!$F$202+$A217*('Cálculos'!$F$290=2)*'Cálculos'!$F$101)+'Cálculos'!$F$203)*('Cálculos'!$F$211+'Cálculos'!$F$124*(1+2.78*('Cálculos'!$F$196+(($B$225)-$A217)*'Cálculos'!$F$98)/(('Cálculos'!$F$196+(($B$225)-$A217)*'Cálculos'!$F$98)+1400)+'Cálculos'!$F$122)*'Cálculos'!$F$216+'Cálculos'!$F$125*(1+2.78*('Cálculos'!$F$196+(($B$225)-$A217)*'Cálculos'!$F$98)/(('Cálculos'!$F$196+(($B$225)-$A217)*'Cálculos'!$F$98)+1400)+'Cálculos'!$F$123)*'Cálculos'!$F$221)+('Cálculos'!$F$204*(1+'Cálculos'!$F$205+$A217*('Cálculos'!$F$290=3)*'Cálculos'!$F$103)+'Cálculos'!$F$206)*('Cálculos'!$F$212+'Cálculos'!$F$124*(1+2.78*('Cálculos'!$F$196+(($B$225)-$A217)*'Cálculos'!$F$98)/(('Cálculos'!$F$196+(($B$225)-$A217)*'Cálculos'!$F$98)+1400)+'Cálculos'!$F$122)*'Cálculos'!$F$217+'Cálculos'!$F$125*(1+2.78*('Cálculos'!$F$196+(($B$225)-$A217)*'Cálculos'!$F$98)/(('Cálculos'!$F$196+(($B$225)-$A217)*'Cálculos'!$F$98)+1400)+'Cálculos'!$F$123)*'Cálculos'!$F$222)+('Cálculos'!$F$213+'Cálculos'!$F$124*(1+2.78*('Cálculos'!$F$196+(($B$225)-$A217)*'Cálculos'!$F$98)/(('Cálculos'!$F$196+(($B$225)-$A217)*'Cálculos'!$F$98)+1400)+'Cálculos'!$F$122)*'Cálculos'!$F$218+'Cálculos'!$F$125*(1+2.78*('Cálculos'!$F$196+(($B$225)-$A217)*'Cálculos'!$F$98)/(('Cálculos'!$F$196+(($B$225)-$A217)*'Cálculos'!$F$98)+1400)+'Cálculos'!$F$123)*'Cálculos'!$F$223)+('Cálculos'!$F$185*(1+'Cálculos'!$F$187+$A217*('Cálculos'!$F$290=1)*'Cálculos'!$F$97+'Cálculos'!$F$305)+'Cálculos'!$F$192)*('Cálculos'!$F$224+'Cálculos'!$F$124*(1+2.78*('Cálculos'!$F$197+(($B$225)-$A217)*'Cálculos'!$F$98)/(('Cálculos'!$F$197+(($B$225)-$A217)*'Cálculos'!$F$98)+1400)+'Cálculos'!$F$122)*'Cálculos'!$F$229+'Cálculos'!$F$125*(1+2.78*('Cálculos'!$F$197+(($B$225)-$A217)*'Cálculos'!$F$98)/(('Cálculos'!$F$197+(($B$225)-$A217)*'Cálculos'!$F$98)+1400)+'Cálculos'!$F$123)*'Cálculos'!$F$234)+('Cálculos'!$F$197+(($B$225)-$A217)*'Cálculos'!$F$98)*('Cálculos'!$F$225+'Cálculos'!$F$124*(1+2.78*('Cálculos'!$F$197+(($B$225)-$A217)*'Cálculos'!$F$98)/(('Cálculos'!$F$197+(($B$225)-$A217)*'Cálculos'!$F$98)+1400)+'Cálculos'!$F$122)*'Cálculos'!$F$230+'Cálculos'!$F$125*(1+2.78*('Cálculos'!$F$197+(($B$225)-$A217)*'Cálculos'!$F$98)/(('Cálculos'!$F$197+(($B$225)-$A217)*'Cálculos'!$F$98)+1400)+'Cálculos'!$F$123)*'Cálculos'!$F$235)+('Cálculos'!$F$201*(1+'Cálculos'!$F$202+$A217*('Cálculos'!$F$290=2)*'Cálculos'!$F$101)+'Cálculos'!$F$203)*('Cálculos'!$F$226+'Cálculos'!$F$124*(1+2.78*('Cálculos'!$F$197+(($B$225)-$A217)*'Cálculos'!$F$98)/(('Cálculos'!$F$197+(($B$225)-$A217)*'Cálculos'!$F$98)+1400)+'Cálculos'!$F$122)*'Cálculos'!$F$231+'Cálculos'!$F$125*(1+2.78*('Cálculos'!$F$197+(($B$225)-$A217)*'Cálculos'!$F$98)/(('Cálculos'!$F$197+(($B$225)-$A217)*'Cálculos'!$F$98)+1400)+'Cálculos'!$F$123)*'Cálculos'!$F$236)+('Cálculos'!$F$204*(1+'Cálculos'!$F$205+$A217*('Cálculos'!$F$290=3)*'Cálculos'!$F$103)+'Cálculos'!$F$206)*('Cálculos'!$F$227+'Cálculos'!$F$124*(1+2.78*('Cálculos'!$F$197+(($B$225)-$A217)*'Cálculos'!$F$98)/(('Cálculos'!$F$197+(($B$225)-$A217)*'Cálculos'!$F$98)+1400)+'Cálculos'!$F$122)*'Cálculos'!$F$232+'Cálculos'!$F$125*(1+2.78*('Cálculos'!$F$197+(($B$225)-$A217)*'Cálculos'!$F$98)/(('Cálculos'!$F$197+(($B$225)-$A217)*'Cálculos'!$F$98)+1400)+'Cálculos'!$F$123)*'Cálculos'!$F$237)+('Cálculos'!$F$228+'Cálculos'!$F$124*(1+2.78*('Cálculos'!$F$197+(($B$225)-$A217)*'Cálculos'!$F$98)/(('Cálculos'!$F$197+(($B$225)-$A217)*'Cálculos'!$F$98)+1400)+'Cálculos'!$F$122)*'Cálculos'!$F$233+'Cálculos'!$F$125*(1+2.78*('Cálculos'!$F$197+(($B$225)-$A217)*'Cálculos'!$F$98)/(('Cálculos'!$F$197+(($B$225)-$A217)*'Cálculos'!$F$98)+1400)+'Cálculos'!$F$123)*'Cálculos'!$F$238)+('Cálculos'!$F$185*(1+'Cálculos'!$F$188+$A217*('Cálculos'!$F$290=1)*'Cálculos'!$F$97+'Cálculos'!$F$305)+'Cálculos'!$F$193)*('Cálculos'!$F$239+'Cálculos'!$F$124*(1+2.78*('Cálculos'!$F$198+(($B$225)-$A217)*'Cálculos'!$F$98)/(('Cálculos'!$F$198+(($B$225)-$A217)*'Cálculos'!$F$98)+1400)+'Cálculos'!$F$122)*'Cálculos'!$F$244+'Cálculos'!$F$125*(1+2.78*('Cálculos'!$F$198+(($B$225)-$A217)*'Cálculos'!$F$98)/(('Cálculos'!$F$198+(($B$225)-$A217)*'Cálculos'!$F$98)+1400)+'Cálculos'!$F$123)*'Cálculos'!$F$249)+('Cálculos'!$F$198+(($B$225)-$A217)*'Cálculos'!$F$98)*('Cálculos'!$F$240+'Cálculos'!$F$124*(1+2.78*('Cálculos'!$F$198+(($B$225)-$A217)*'Cálculos'!$F$98)/(('Cálculos'!$F$198+(($B$225)-$A217)*'Cálculos'!$F$98)+1400)+'Cálculos'!$F$122)*'Cálculos'!$F$245+'Cálculos'!$F$125*(1+2.78*('Cálculos'!$F$198+(($B$225)-$A217)*'Cálculos'!$F$98)/(('Cálculos'!$F$198+(($B$225)-$A217)*'Cálculos'!$F$98)+1400)+'Cálculos'!$F$123)*'Cálculos'!$F$250)+('Cálculos'!$F$201*(1+'Cálculos'!$F$202+$A217*('Cálculos'!$F$290=2)*'Cálculos'!$F$101)+'Cálculos'!$F$203)*('Cálculos'!$F$241+'Cálculos'!$F$124*(1+2.78*('Cálculos'!$F$198+(($B$225)-$A217)*'Cálculos'!$F$98)/(('Cálculos'!$F$198+(($B$225)-$A217)*'Cálculos'!$F$98)+1400)+'Cálculos'!$F$122)*'Cálculos'!$F$246+'Cálculos'!$F$125*(1+2.78*('Cálculos'!$F$198+(($B$225)-$A217)*'Cálculos'!$F$98)/(('Cálculos'!$F$198+(($B$225)-$A217)*'Cálculos'!$F$98)+1400)+'Cálculos'!$F$123)*'Cálculos'!$F$251)+('Cálculos'!$F$204*(1+'Cálculos'!$F$205+$A217*('Cálculos'!$F$290=3)*'Cálculos'!$F$103)+'Cálculos'!$F$206)*('Cálculos'!$F$242+'Cálculos'!$F$124*(1+2.78*('Cálculos'!$F$198+(($B$225)-$A217)*'Cálculos'!$F$98)/(('Cálculos'!$F$198+(($B$225)-$A217)*'Cálculos'!$F$98)+1400)+'Cálculos'!$F$122)*'Cálculos'!$F$247+'Cálculos'!$F$125*(1+2.78*('Cálculos'!$F$198+(($B$225)-$A217)*'Cálculos'!$F$98)/(('Cálculos'!$F$198+(($B$225)-$A217)*'Cálculos'!$F$98)+1400)+'Cálculos'!$F$123)*'Cálculos'!$F$252)+('Cálculos'!$F$243+'Cálculos'!$F$124*(1+2.78*('Cálculos'!$F$198+(($B$225)-$A217)*'Cálculos'!$F$98)/(('Cálculos'!$F$198+(($B$225)-$A217)*'Cálculos'!$F$98)+1400)+'Cálculos'!$F$122)*'Cálculos'!$F$248+'Cálculos'!$F$125*(1+2.78*('Cálculos'!$F$198+(($B$225)-$A217)*'Cálculos'!$F$98)/(('Cálculos'!$F$198+(($B$225)-$A217)*'Cálculos'!$F$98)+1400)+'Cálculos'!$F$123)*'Cálculos'!$F$253)+('Cálculos'!$F$185*(1+'Cálculos'!$F$189+$A217*('Cálculos'!$F$290=1)*'Cálculos'!$F$97+'Cálculos'!$F$305)+'Cálculos'!$F$194)*('Cálculos'!$F$254+'Cálculos'!$F$124*(1+2.78*('Cálculos'!$F$199+(($B$225)-$A217)*'Cálculos'!$F$98)/(('Cálculos'!$F$199+(($B$225)-$A217)*'Cálculos'!$F$98)+1400)+'Cálculos'!$F$122)*'Cálculos'!$F$259+'Cálculos'!$F$125*(1+2.78*('Cálculos'!$F$199+(($B$225)-$A217)*'Cálculos'!$F$98)/(('Cálculos'!$F$199+(($B$225)-$A217)*'Cálculos'!$F$98)+1400)+'Cálculos'!$F$123)*'Cálculos'!$F$264)+('Cálculos'!$F$199+(($B$225)-$A217)*'Cálculos'!$F$98)*('Cálculos'!$F$255+'Cálculos'!$F$124*(1+2.78*('Cálculos'!$F$199+(($B$225)-$A217)*'Cálculos'!$F$98)/(('Cálculos'!$F$199+(($B$225)-$A217)*'Cálculos'!$F$98)+1400)+'Cálculos'!$F$122)*'Cálculos'!$F$260+'Cálculos'!$F$125*(1+2.78*('Cálculos'!$F$199+(($B$225)-$A217)*'Cálculos'!$F$98)/(('Cálculos'!$F$199+(($B$225)-$A217)*'Cálculos'!$F$98)+1400)+'Cálculos'!$F$123)*'Cálculos'!$F$265)+('Cálculos'!$F$201*(1+'Cálculos'!$F$202+$A217*('Cálculos'!$F$290=2)*'Cálculos'!$F$101)+'Cálculos'!$F$203)*('Cálculos'!$F$256+'Cálculos'!$F$124*(1+2.78*('Cálculos'!$F$199+(($B$225)-$A217)*'Cálculos'!$F$98)/(('Cálculos'!$F$199+(($B$225)-$A217)*'Cálculos'!$F$98)+1400)+'Cálculos'!$F$122)*'Cálculos'!$F$261+'Cálculos'!$F$125*(1+2.78*('Cálculos'!$F$199+(($B$225)-$A217)*'Cálculos'!$F$98)/(('Cálculos'!$F$199+(($B$225)-$A217)*'Cálculos'!$F$98)+1400)+'Cálculos'!$F$123)*'Cálculos'!$F$266)+('Cálculos'!$F$204*(1+'Cálculos'!$F$205+$A217*('Cálculos'!$F$290=3)*'Cálculos'!$F$103)+'Cálculos'!$F$206)*('Cálculos'!$F$257+'Cálculos'!$F$124*(1+2.78*('Cálculos'!$F$199+(($B$225)-$A217)*'Cálculos'!$F$98)/(('Cálculos'!$F$199+(($B$225)-$A217)*'Cálculos'!$F$98)+1400)+'Cálculos'!$F$122)*'Cálculos'!$F$262+'Cálculos'!$F$125*(1+2.78*('Cálculos'!$F$199+(($B$225)-$A217)*'Cálculos'!$F$98)/(('Cálculos'!$F$199+(($B$225)-$A217)*'Cálculos'!$F$98)+1400)+'Cálculos'!$F$123)*'Cálculos'!$F$267)+('Cálculos'!$F$258+'Cálculos'!$F$124*(1+2.78*('Cálculos'!$F$199+(($B$225)-$A217)*'Cálculos'!$F$98)/(('Cálculos'!$F$199+(($B$225)-$A217)*'Cálculos'!$F$98)+1400)+'Cálculos'!$F$122)*'Cálculos'!$F$263+'Cálculos'!$F$125*(1+2.78*('Cálculos'!$F$199+(($B$225)-$A217)*'Cálculos'!$F$98)/(('Cálculos'!$F$199+(($B$225)-$A217)*'Cálculos'!$F$98)+1400)+'Cálculos'!$F$123)*'Cálculos'!$F$268)+('Cálculos'!$F$185*(1+'Cálculos'!$F$190+$A217*('Cálculos'!$F$290=1)*'Cálculos'!$F$97+'Cálculos'!$F$305)+'Cálculos'!$F$195)*('Cálculos'!$F$269+'Cálculos'!$F$124*(1+2.78*('Cálculos'!$F$200+(($B$225)-$A217)*'Cálculos'!$F$98)/(('Cálculos'!$F$200+(($B$225)-$A217)*'Cálculos'!$F$98)+1400)+'Cálculos'!$F$122)*'Cálculos'!$F$274+'Cálculos'!$F$125*(1+2.78*('Cálculos'!$F$200+(($B$225)-$A217)*'Cálculos'!$F$98)/(('Cálculos'!$F$200+(($B$225)-$A217)*'Cálculos'!$F$98)+1400)+'Cálculos'!$F$123)*'Cálculos'!$F$279)+('Cálculos'!$F$200+(($B$225)-$A217)*'Cálculos'!$F$98)*('Cálculos'!$F$270+'Cálculos'!$F$124*(1+2.78*('Cálculos'!$F$200+(($B$225)-$A217)*'Cálculos'!$F$98)/(('Cálculos'!$F$200+(($B$225)-$A217)*'Cálculos'!$F$98)+1400)+'Cálculos'!$F$122)*'Cálculos'!$F$275+'Cálculos'!$F$125*(1+2.78*('Cálculos'!$F$200+(($B$225)-$A217)*'Cálculos'!$F$98)/(('Cálculos'!$F$200+(($B$225)-$A217)*'Cálculos'!$F$98)+1400)+'Cálculos'!$F$123)*'Cálculos'!$F$280)+('Cálculos'!$F$201*(1+'Cálculos'!$F$202+$A217*('Cálculos'!$F$290=2)*'Cálculos'!$F$101)+'Cálculos'!$F$203)*('Cálculos'!$F$271+'Cálculos'!$F$124*(1+2.78*('Cálculos'!$F$200+(($B$225)-$A217)*'Cálculos'!$F$98)/(('Cálculos'!$F$200+(($B$225)-$A217)*'Cálculos'!$F$98)+1400)+'Cálculos'!$F$122)*'Cálculos'!$F$276+'Cálculos'!$F$125*(1+2.78*('Cálculos'!$F$200+(($B$225)-$A217)*'Cálculos'!$F$98)/(('Cálculos'!$F$200+(($B$225)-$A217)*'Cálculos'!$F$98)+1400)+'Cálculos'!$F$123)*'Cálculos'!$F$281)+('Cálculos'!$F$204*(1+'Cálculos'!$F$205+$A217*('Cálculos'!$F$290=3)*'Cálculos'!$F$103)+'Cálculos'!$F$206)*('Cálculos'!$F$272+'Cálculos'!$F$124*(1+2.78*('Cálculos'!$F$200+(($B$225)-$A217)*'Cálculos'!$F$98)/(('Cálculos'!$F$200+(($B$225)-$A217)*'Cálculos'!$F$98)+1400)+'Cálculos'!$F$122)*'Cálculos'!$F$277+'Cálculos'!$F$125*(1+2.78*('Cálculos'!$F$200+(($B$225)-$A217)*'Cálculos'!$F$98)/(('Cálculos'!$F$200+(($B$225)-$A217)*'Cálculos'!$F$98)+1400)+'Cálculos'!$F$123)*'Cálculos'!$F$282)+('Cálculos'!$F$273+'Cálculos'!$F$124*(1+2.78*('Cálculos'!$F$200+(($B$225)-$A217)*'Cálculos'!$F$98)/(('Cálculos'!$F$200+(($B$225)-$A217)*'Cálculos'!$F$98)+1400)+'Cálculos'!$F$122)*'Cálculos'!$F$278+'Cálculos'!$F$125*(1+2.78*('Cálculos'!$F$200+(($B$225)-$A217)*'Cálculos'!$F$98)/(('Cálculos'!$F$200+(($B$225)-$A217)*'Cálculos'!$F$98)+1400)+'Cálculos'!$F$123)*'Cálculos'!$F$283)))</f>
        <v>0</v>
      </c>
    </row>
    <row r="218" ht="15.75" customHeight="1">
      <c r="A218" s="2">
        <v>41.0</v>
      </c>
      <c r="B218" s="30">
        <f>SUMPRODUCT(MAX(($A$177:$A$222&lt;=$A218)*($A$177:$A$222&lt;='Cálculos'!$F$294)*(($A218)-$A$177:$A$222&lt;='Cálculos'!$F$295)*(1+(('Cálculos'!$F$207+$A$177:$A$222*'Cálculos'!$F$95)-(('Cálculos'!$F$207+$A$177:$A$222*'Cálculos'!$F$95)&gt;1)*(('Cálculos'!$F$207+$A$177:$A$222*'Cálculos'!$F$95)-1))*('Cálculos'!$F$208+(($A218)-$A$177:$A$222)*'Cálculos'!$F$96))))</f>
        <v>3.822716</v>
      </c>
      <c r="C218" s="2">
        <f>'Cálculos'!$F$303-$A218</f>
        <v>-23</v>
      </c>
      <c r="D218" s="31">
        <f>IF($C218&lt;0,0,SUMPRODUCT(MAX(($A$177:$A$222&lt;=$C218)*($A$177:$A$222&lt;='Cálculos'!$F$301)*(($C218)-$A$177:$A$222&lt;='Cálculos'!$F$297)*(('Cálculos'!$F$185*(1+'Cálculos'!$F$186+$A$177:$A$222*('Cálculos'!$F$290=1)*'Cálculos'!$F$97+'Cálculos'!$F$305)+'Cálculos'!$F$191)*('Cálculos'!$F$209+'Cálculos'!$F$124*(1+2.78*('Cálculos'!$F$196+(($C218)-$A$177:$A$222)*'Cálculos'!$F$98)/(('Cálculos'!$F$196+(($C218)-$A$177:$A$222)*'Cálculos'!$F$98)+1400)+'Cálculos'!$F$122)*'Cálculos'!$F$214+'Cálculos'!$F$125*(1+2.78*('Cálculos'!$F$196+(($C218)-$A$177:$A$222)*'Cálculos'!$F$98)/(('Cálculos'!$F$196+(($C218)-$A$177:$A$222)*'Cálculos'!$F$98)+1400)+'Cálculos'!$F$123)*'Cálculos'!$F$219)+('Cálculos'!$F$196+(($C218)-$A$177:$A$222)*'Cálculos'!$F$98)*('Cálculos'!$F$210+'Cálculos'!$F$124*(1+2.78*('Cálculos'!$F$196+(($C218)-$A$177:$A$222)*'Cálculos'!$F$98)/(('Cálculos'!$F$196+(($C218)-$A$177:$A$222)*'Cálculos'!$F$98)+1400)+'Cálculos'!$F$122)*'Cálculos'!$F$215+'Cálculos'!$F$125*(1+2.78*('Cálculos'!$F$196+(($C218)-$A$177:$A$222)*'Cálculos'!$F$98)/(('Cálculos'!$F$196+(($C218)-$A$177:$A$222)*'Cálculos'!$F$98)+1400)+'Cálculos'!$F$123)*'Cálculos'!$F$220)+('Cálculos'!$F$201*(1+'Cálculos'!$F$202+$A$177:$A$222*('Cálculos'!$F$290=2)*'Cálculos'!$F$101)+'Cálculos'!$F$203)*('Cálculos'!$F$211+'Cálculos'!$F$124*(1+2.78*('Cálculos'!$F$196+(($C218)-$A$177:$A$222)*'Cálculos'!$F$98)/(('Cálculos'!$F$196+(($C218)-$A$177:$A$222)*'Cálculos'!$F$98)+1400)+'Cálculos'!$F$122)*'Cálculos'!$F$216+'Cálculos'!$F$125*(1+2.78*('Cálculos'!$F$196+(($C218)-$A$177:$A$222)*'Cálculos'!$F$98)/(('Cálculos'!$F$196+(($C218)-$A$177:$A$222)*'Cálculos'!$F$98)+1400)+'Cálculos'!$F$123)*'Cálculos'!$F$221)+('Cálculos'!$F$204*(1+'Cálculos'!$F$205+$A$177:$A$222*('Cálculos'!$F$290=3)*'Cálculos'!$F$103)+'Cálculos'!$F$206)*('Cálculos'!$F$212+'Cálculos'!$F$124*(1+2.78*('Cálculos'!$F$196+(($C218)-$A$177:$A$222)*'Cálculos'!$F$98)/(('Cálculos'!$F$196+(($C218)-$A$177:$A$222)*'Cálculos'!$F$98)+1400)+'Cálculos'!$F$122)*'Cálculos'!$F$217+'Cálculos'!$F$125*(1+2.78*('Cálculos'!$F$196+(($C218)-$A$177:$A$222)*'Cálculos'!$F$98)/(('Cálculos'!$F$196+(($C218)-$A$177:$A$222)*'Cálculos'!$F$98)+1400)+'Cálculos'!$F$123)*'Cálculos'!$F$222)+('Cálculos'!$F$213+'Cálculos'!$F$124*(1+2.78*('Cálculos'!$F$196+(($C218)-$A$177:$A$222)*'Cálculos'!$F$98)/(('Cálculos'!$F$196+(($C218)-$A$177:$A$222)*'Cálculos'!$F$98)+1400)+'Cálculos'!$F$122)*'Cálculos'!$F$218+'Cálculos'!$F$125*(1+2.78*('Cálculos'!$F$196+(($C218)-$A$177:$A$222)*'Cálculos'!$F$98)/(('Cálculos'!$F$196+(($C218)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218)-$A$177:$A$222)*'Cálculos'!$F$98)/(('Cálculos'!$F$197+(($C218)-$A$177:$A$222)*'Cálculos'!$F$98)+1400)+'Cálculos'!$F$122)*'Cálculos'!$F$229+'Cálculos'!$F$125*(1+2.78*('Cálculos'!$F$197+(($C218)-$A$177:$A$222)*'Cálculos'!$F$98)/(('Cálculos'!$F$197+(($C218)-$A$177:$A$222)*'Cálculos'!$F$98)+1400)+'Cálculos'!$F$123)*'Cálculos'!$F$234)+('Cálculos'!$F$197+(($C218)-$A$177:$A$222)*'Cálculos'!$F$98)*('Cálculos'!$F$225+'Cálculos'!$F$124*(1+2.78*('Cálculos'!$F$197+(($C218)-$A$177:$A$222)*'Cálculos'!$F$98)/(('Cálculos'!$F$197+(($C218)-$A$177:$A$222)*'Cálculos'!$F$98)+1400)+'Cálculos'!$F$122)*'Cálculos'!$F$230+'Cálculos'!$F$125*(1+2.78*('Cálculos'!$F$197+(($C218)-$A$177:$A$222)*'Cálculos'!$F$98)/(('Cálculos'!$F$197+(($C218)-$A$177:$A$222)*'Cálculos'!$F$98)+1400)+'Cálculos'!$F$123)*'Cálculos'!$F$235)+('Cálculos'!$F$201*(1+'Cálculos'!$F$202+$A$177:$A$222*('Cálculos'!$F$290=2)*'Cálculos'!$F$101)+'Cálculos'!$F$203)*('Cálculos'!$F$226+'Cálculos'!$F$124*(1+2.78*('Cálculos'!$F$197+(($C218)-$A$177:$A$222)*'Cálculos'!$F$98)/(('Cálculos'!$F$197+(($C218)-$A$177:$A$222)*'Cálculos'!$F$98)+1400)+'Cálculos'!$F$122)*'Cálculos'!$F$231+'Cálculos'!$F$125*(1+2.78*('Cálculos'!$F$197+(($C218)-$A$177:$A$222)*'Cálculos'!$F$98)/(('Cálculos'!$F$197+(($C218)-$A$177:$A$222)*'Cálculos'!$F$98)+1400)+'Cálculos'!$F$123)*'Cálculos'!$F$236)+('Cálculos'!$F$204*(1+'Cálculos'!$F$205+$A$177:$A$222*('Cálculos'!$F$290=3)*'Cálculos'!$F$103)+'Cálculos'!$F$206)*('Cálculos'!$F$227+'Cálculos'!$F$124*(1+2.78*('Cálculos'!$F$197+(($C218)-$A$177:$A$222)*'Cálculos'!$F$98)/(('Cálculos'!$F$197+(($C218)-$A$177:$A$222)*'Cálculos'!$F$98)+1400)+'Cálculos'!$F$122)*'Cálculos'!$F$232+'Cálculos'!$F$125*(1+2.78*('Cálculos'!$F$197+(($C218)-$A$177:$A$222)*'Cálculos'!$F$98)/(('Cálculos'!$F$197+(($C218)-$A$177:$A$222)*'Cálculos'!$F$98)+1400)+'Cálculos'!$F$123)*'Cálculos'!$F$237)+('Cálculos'!$F$228+'Cálculos'!$F$124*(1+2.78*('Cálculos'!$F$197+(($C218)-$A$177:$A$222)*'Cálculos'!$F$98)/(('Cálculos'!$F$197+(($C218)-$A$177:$A$222)*'Cálculos'!$F$98)+1400)+'Cálculos'!$F$122)*'Cálculos'!$F$233+'Cálculos'!$F$125*(1+2.78*('Cálculos'!$F$197+(($C218)-$A$177:$A$222)*'Cálculos'!$F$98)/(('Cálculos'!$F$197+(($C218)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218)-$A$177:$A$222)*'Cálculos'!$F$98)/(('Cálculos'!$F$198+(($C218)-$A$177:$A$222)*'Cálculos'!$F$98)+1400)+'Cálculos'!$F$122)*'Cálculos'!$F$244+'Cálculos'!$F$125*(1+2.78*('Cálculos'!$F$198+(($C218)-$A$177:$A$222)*'Cálculos'!$F$98)/(('Cálculos'!$F$198+(($C218)-$A$177:$A$222)*'Cálculos'!$F$98)+1400)+'Cálculos'!$F$123)*'Cálculos'!$F$249)+('Cálculos'!$F$198+(($C218)-$A$177:$A$222)*'Cálculos'!$F$98)*('Cálculos'!$F$240+'Cálculos'!$F$124*(1+2.78*('Cálculos'!$F$198+(($C218)-$A$177:$A$222)*'Cálculos'!$F$98)/(('Cálculos'!$F$198+(($C218)-$A$177:$A$222)*'Cálculos'!$F$98)+1400)+'Cálculos'!$F$122)*'Cálculos'!$F$245+'Cálculos'!$F$125*(1+2.78*('Cálculos'!$F$198+(($C218)-$A$177:$A$222)*'Cálculos'!$F$98)/(('Cálculos'!$F$198+(($C218)-$A$177:$A$222)*'Cálculos'!$F$98)+1400)+'Cálculos'!$F$123)*'Cálculos'!$F$250)+('Cálculos'!$F$201*(1+'Cálculos'!$F$202+$A$177:$A$222*('Cálculos'!$F$290=2)*'Cálculos'!$F$101)+'Cálculos'!$F$203)*('Cálculos'!$F$241+'Cálculos'!$F$124*(1+2.78*('Cálculos'!$F$198+(($C218)-$A$177:$A$222)*'Cálculos'!$F$98)/(('Cálculos'!$F$198+(($C218)-$A$177:$A$222)*'Cálculos'!$F$98)+1400)+'Cálculos'!$F$122)*'Cálculos'!$F$246+'Cálculos'!$F$125*(1+2.78*('Cálculos'!$F$198+(($C218)-$A$177:$A$222)*'Cálculos'!$F$98)/(('Cálculos'!$F$198+(($C218)-$A$177:$A$222)*'Cálculos'!$F$98)+1400)+'Cálculos'!$F$123)*'Cálculos'!$F$251)+('Cálculos'!$F$204*(1+'Cálculos'!$F$205+$A$177:$A$222*('Cálculos'!$F$290=3)*'Cálculos'!$F$103)+'Cálculos'!$F$206)*('Cálculos'!$F$242+'Cálculos'!$F$124*(1+2.78*('Cálculos'!$F$198+(($C218)-$A$177:$A$222)*'Cálculos'!$F$98)/(('Cálculos'!$F$198+(($C218)-$A$177:$A$222)*'Cálculos'!$F$98)+1400)+'Cálculos'!$F$122)*'Cálculos'!$F$247+'Cálculos'!$F$125*(1+2.78*('Cálculos'!$F$198+(($C218)-$A$177:$A$222)*'Cálculos'!$F$98)/(('Cálculos'!$F$198+(($C218)-$A$177:$A$222)*'Cálculos'!$F$98)+1400)+'Cálculos'!$F$123)*'Cálculos'!$F$252)+('Cálculos'!$F$243+'Cálculos'!$F$124*(1+2.78*('Cálculos'!$F$198+(($C218)-$A$177:$A$222)*'Cálculos'!$F$98)/(('Cálculos'!$F$198+(($C218)-$A$177:$A$222)*'Cálculos'!$F$98)+1400)+'Cálculos'!$F$122)*'Cálculos'!$F$248+'Cálculos'!$F$125*(1+2.78*('Cálculos'!$F$198+(($C218)-$A$177:$A$222)*'Cálculos'!$F$98)/(('Cálculos'!$F$198+(($C218)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218)-$A$177:$A$222)*'Cálculos'!$F$98)/(('Cálculos'!$F$199+(($C218)-$A$177:$A$222)*'Cálculos'!$F$98)+1400)+'Cálculos'!$F$122)*'Cálculos'!$F$259+'Cálculos'!$F$125*(1+2.78*('Cálculos'!$F$199+(($C218)-$A$177:$A$222)*'Cálculos'!$F$98)/(('Cálculos'!$F$199+(($C218)-$A$177:$A$222)*'Cálculos'!$F$98)+1400)+'Cálculos'!$F$123)*'Cálculos'!$F$264)+('Cálculos'!$F$199+(($C218)-$A$177:$A$222)*'Cálculos'!$F$98)*('Cálculos'!$F$255+'Cálculos'!$F$124*(1+2.78*('Cálculos'!$F$199+(($C218)-$A$177:$A$222)*'Cálculos'!$F$98)/(('Cálculos'!$F$199+(($C218)-$A$177:$A$222)*'Cálculos'!$F$98)+1400)+'Cálculos'!$F$122)*'Cálculos'!$F$260+'Cálculos'!$F$125*(1+2.78*('Cálculos'!$F$199+(($C218)-$A$177:$A$222)*'Cálculos'!$F$98)/(('Cálculos'!$F$199+(($C218)-$A$177:$A$222)*'Cálculos'!$F$98)+1400)+'Cálculos'!$F$123)*'Cálculos'!$F$265)+('Cálculos'!$F$201*(1+'Cálculos'!$F$202+$A$177:$A$222*('Cálculos'!$F$290=2)*'Cálculos'!$F$101)+'Cálculos'!$F$203)*('Cálculos'!$F$256+'Cálculos'!$F$124*(1+2.78*('Cálculos'!$F$199+(($C218)-$A$177:$A$222)*'Cálculos'!$F$98)/(('Cálculos'!$F$199+(($C218)-$A$177:$A$222)*'Cálculos'!$F$98)+1400)+'Cálculos'!$F$122)*'Cálculos'!$F$261+'Cálculos'!$F$125*(1+2.78*('Cálculos'!$F$199+(($C218)-$A$177:$A$222)*'Cálculos'!$F$98)/(('Cálculos'!$F$199+(($C218)-$A$177:$A$222)*'Cálculos'!$F$98)+1400)+'Cálculos'!$F$123)*'Cálculos'!$F$266)+('Cálculos'!$F$204*(1+'Cálculos'!$F$205+$A$177:$A$222*('Cálculos'!$F$290=3)*'Cálculos'!$F$103)+'Cálculos'!$F$206)*('Cálculos'!$F$257+'Cálculos'!$F$124*(1+2.78*('Cálculos'!$F$199+(($C218)-$A$177:$A$222)*'Cálculos'!$F$98)/(('Cálculos'!$F$199+(($C218)-$A$177:$A$222)*'Cálculos'!$F$98)+1400)+'Cálculos'!$F$122)*'Cálculos'!$F$262+'Cálculos'!$F$125*(1+2.78*('Cálculos'!$F$199+(($C218)-$A$177:$A$222)*'Cálculos'!$F$98)/(('Cálculos'!$F$199+(($C218)-$A$177:$A$222)*'Cálculos'!$F$98)+1400)+'Cálculos'!$F$123)*'Cálculos'!$F$267)+('Cálculos'!$F$258+'Cálculos'!$F$124*(1+2.78*('Cálculos'!$F$199+(($C218)-$A$177:$A$222)*'Cálculos'!$F$98)/(('Cálculos'!$F$199+(($C218)-$A$177:$A$222)*'Cálculos'!$F$98)+1400)+'Cálculos'!$F$122)*'Cálculos'!$F$263+'Cálculos'!$F$125*(1+2.78*('Cálculos'!$F$199+(($C218)-$A$177:$A$222)*'Cálculos'!$F$98)/(('Cálculos'!$F$199+(($C218)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218)-$A$177:$A$222)*'Cálculos'!$F$98)/(('Cálculos'!$F$200+(($C218)-$A$177:$A$222)*'Cálculos'!$F$98)+1400)+'Cálculos'!$F$122)*'Cálculos'!$F$274+'Cálculos'!$F$125*(1+2.78*('Cálculos'!$F$200+(($C218)-$A$177:$A$222)*'Cálculos'!$F$98)/(('Cálculos'!$F$200+(($C218)-$A$177:$A$222)*'Cálculos'!$F$98)+1400)+'Cálculos'!$F$123)*'Cálculos'!$F$279)+('Cálculos'!$F$200+(($C218)-$A$177:$A$222)*'Cálculos'!$F$98)*('Cálculos'!$F$270+'Cálculos'!$F$124*(1+2.78*('Cálculos'!$F$200+(($C218)-$A$177:$A$222)*'Cálculos'!$F$98)/(('Cálculos'!$F$200+(($C218)-$A$177:$A$222)*'Cálculos'!$F$98)+1400)+'Cálculos'!$F$122)*'Cálculos'!$F$275+'Cálculos'!$F$125*(1+2.78*('Cálculos'!$F$200+(($C218)-$A$177:$A$222)*'Cálculos'!$F$98)/(('Cálculos'!$F$200+(($C218)-$A$177:$A$222)*'Cálculos'!$F$98)+1400)+'Cálculos'!$F$123)*'Cálculos'!$F$280)+('Cálculos'!$F$201*(1+'Cálculos'!$F$202+$A$177:$A$222*('Cálculos'!$F$290=2)*'Cálculos'!$F$101)+'Cálculos'!$F$203)*('Cálculos'!$F$271+'Cálculos'!$F$124*(1+2.78*('Cálculos'!$F$200+(($C218)-$A$177:$A$222)*'Cálculos'!$F$98)/(('Cálculos'!$F$200+(($C218)-$A$177:$A$222)*'Cálculos'!$F$98)+1400)+'Cálculos'!$F$122)*'Cálculos'!$F$276+'Cálculos'!$F$125*(1+2.78*('Cálculos'!$F$200+(($C218)-$A$177:$A$222)*'Cálculos'!$F$98)/(('Cálculos'!$F$200+(($C218)-$A$177:$A$222)*'Cálculos'!$F$98)+1400)+'Cálculos'!$F$123)*'Cálculos'!$F$281)+('Cálculos'!$F$204*(1+'Cálculos'!$F$205+$A$177:$A$222*('Cálculos'!$F$290=3)*'Cálculos'!$F$103)+'Cálculos'!$F$206)*('Cálculos'!$F$272+'Cálculos'!$F$124*(1+2.78*('Cálculos'!$F$200+(($C218)-$A$177:$A$222)*'Cálculos'!$F$98)/(('Cálculos'!$F$200+(($C218)-$A$177:$A$222)*'Cálculos'!$F$98)+1400)+'Cálculos'!$F$122)*'Cálculos'!$F$277+'Cálculos'!$F$125*(1+2.78*('Cálculos'!$F$200+(($C218)-$A$177:$A$222)*'Cálculos'!$F$98)/(('Cálculos'!$F$200+(($C218)-$A$177:$A$222)*'Cálculos'!$F$98)+1400)+'Cálculos'!$F$123)*'Cálculos'!$F$282)+('Cálculos'!$F$273+'Cálculos'!$F$124*(1+2.78*('Cálculos'!$F$200+(($C218)-$A$177:$A$222)*'Cálculos'!$F$98)/(('Cálculos'!$F$200+(($C218)-$A$177:$A$222)*'Cálculos'!$F$98)+1400)+'Cálculos'!$F$122)*'Cálculos'!$F$278+'Cálculos'!$F$125*(1+2.78*('Cálculos'!$F$200+(($C218)-$A$177:$A$222)*'Cálculos'!$F$98)/(('Cálculos'!$F$200+(($C218)-$A$177:$A$222)*'Cálculos'!$F$98)+1400)+'Cálculos'!$F$123)*'Cálculos'!$F$283)))))</f>
        <v>0</v>
      </c>
      <c r="E218" s="32">
        <f>IF(OR($C218&lt;0,'Cálculos'!$F$6=""),0,$B218*$D218)</f>
        <v>0</v>
      </c>
      <c r="F218" s="2"/>
      <c r="G218" s="30">
        <f>($A218&lt;=$B$224)*($A218&lt;='Cálculos'!$F$294)*(($B$224)-$A218&lt;='Cálculos'!$F$295)*(1+MIN(('Cálculos'!$F$207+$A218*'Cálculos'!$F$95),1)*('Cálculos'!$F$208+(($B$224)-$A218)*'Cálculos'!$F$96))</f>
        <v>0</v>
      </c>
      <c r="H218" s="31">
        <f>IF($B$225&lt;0,0,($A218&lt;=$B$225)*($A218&lt;='Cálculos'!$F$301)*(($B$225)-$A218&lt;='Cálculos'!$F$297)*(('Cálculos'!$F$185*(1+'Cálculos'!$F$186+$A218*('Cálculos'!$F$290=1)*'Cálculos'!$F$97+'Cálculos'!$F$305)+'Cálculos'!$F$191)*('Cálculos'!$F$209+'Cálculos'!$F$124*(1+2.78*('Cálculos'!$F$196+(($B$225)-$A218)*'Cálculos'!$F$98)/(('Cálculos'!$F$196+(($B$225)-$A218)*'Cálculos'!$F$98)+1400)+'Cálculos'!$F$122)*'Cálculos'!$F$214+'Cálculos'!$F$125*(1+2.78*('Cálculos'!$F$196+(($B$225)-$A218)*'Cálculos'!$F$98)/(('Cálculos'!$F$196+(($B$225)-$A218)*'Cálculos'!$F$98)+1400)+'Cálculos'!$F$123)*'Cálculos'!$F$219)+('Cálculos'!$F$196+(($B$225)-$A218)*'Cálculos'!$F$98)*('Cálculos'!$F$210+'Cálculos'!$F$124*(1+2.78*('Cálculos'!$F$196+(($B$225)-$A218)*'Cálculos'!$F$98)/(('Cálculos'!$F$196+(($B$225)-$A218)*'Cálculos'!$F$98)+1400)+'Cálculos'!$F$122)*'Cálculos'!$F$215+'Cálculos'!$F$125*(1+2.78*('Cálculos'!$F$196+(($B$225)-$A218)*'Cálculos'!$F$98)/(('Cálculos'!$F$196+(($B$225)-$A218)*'Cálculos'!$F$98)+1400)+'Cálculos'!$F$123)*'Cálculos'!$F$220)+('Cálculos'!$F$201*(1+'Cálculos'!$F$202+$A218*('Cálculos'!$F$290=2)*'Cálculos'!$F$101)+'Cálculos'!$F$203)*('Cálculos'!$F$211+'Cálculos'!$F$124*(1+2.78*('Cálculos'!$F$196+(($B$225)-$A218)*'Cálculos'!$F$98)/(('Cálculos'!$F$196+(($B$225)-$A218)*'Cálculos'!$F$98)+1400)+'Cálculos'!$F$122)*'Cálculos'!$F$216+'Cálculos'!$F$125*(1+2.78*('Cálculos'!$F$196+(($B$225)-$A218)*'Cálculos'!$F$98)/(('Cálculos'!$F$196+(($B$225)-$A218)*'Cálculos'!$F$98)+1400)+'Cálculos'!$F$123)*'Cálculos'!$F$221)+('Cálculos'!$F$204*(1+'Cálculos'!$F$205+$A218*('Cálculos'!$F$290=3)*'Cálculos'!$F$103)+'Cálculos'!$F$206)*('Cálculos'!$F$212+'Cálculos'!$F$124*(1+2.78*('Cálculos'!$F$196+(($B$225)-$A218)*'Cálculos'!$F$98)/(('Cálculos'!$F$196+(($B$225)-$A218)*'Cálculos'!$F$98)+1400)+'Cálculos'!$F$122)*'Cálculos'!$F$217+'Cálculos'!$F$125*(1+2.78*('Cálculos'!$F$196+(($B$225)-$A218)*'Cálculos'!$F$98)/(('Cálculos'!$F$196+(($B$225)-$A218)*'Cálculos'!$F$98)+1400)+'Cálculos'!$F$123)*'Cálculos'!$F$222)+('Cálculos'!$F$213+'Cálculos'!$F$124*(1+2.78*('Cálculos'!$F$196+(($B$225)-$A218)*'Cálculos'!$F$98)/(('Cálculos'!$F$196+(($B$225)-$A218)*'Cálculos'!$F$98)+1400)+'Cálculos'!$F$122)*'Cálculos'!$F$218+'Cálculos'!$F$125*(1+2.78*('Cálculos'!$F$196+(($B$225)-$A218)*'Cálculos'!$F$98)/(('Cálculos'!$F$196+(($B$225)-$A218)*'Cálculos'!$F$98)+1400)+'Cálculos'!$F$123)*'Cálculos'!$F$223)+('Cálculos'!$F$185*(1+'Cálculos'!$F$187+$A218*('Cálculos'!$F$290=1)*'Cálculos'!$F$97+'Cálculos'!$F$305)+'Cálculos'!$F$192)*('Cálculos'!$F$224+'Cálculos'!$F$124*(1+2.78*('Cálculos'!$F$197+(($B$225)-$A218)*'Cálculos'!$F$98)/(('Cálculos'!$F$197+(($B$225)-$A218)*'Cálculos'!$F$98)+1400)+'Cálculos'!$F$122)*'Cálculos'!$F$229+'Cálculos'!$F$125*(1+2.78*('Cálculos'!$F$197+(($B$225)-$A218)*'Cálculos'!$F$98)/(('Cálculos'!$F$197+(($B$225)-$A218)*'Cálculos'!$F$98)+1400)+'Cálculos'!$F$123)*'Cálculos'!$F$234)+('Cálculos'!$F$197+(($B$225)-$A218)*'Cálculos'!$F$98)*('Cálculos'!$F$225+'Cálculos'!$F$124*(1+2.78*('Cálculos'!$F$197+(($B$225)-$A218)*'Cálculos'!$F$98)/(('Cálculos'!$F$197+(($B$225)-$A218)*'Cálculos'!$F$98)+1400)+'Cálculos'!$F$122)*'Cálculos'!$F$230+'Cálculos'!$F$125*(1+2.78*('Cálculos'!$F$197+(($B$225)-$A218)*'Cálculos'!$F$98)/(('Cálculos'!$F$197+(($B$225)-$A218)*'Cálculos'!$F$98)+1400)+'Cálculos'!$F$123)*'Cálculos'!$F$235)+('Cálculos'!$F$201*(1+'Cálculos'!$F$202+$A218*('Cálculos'!$F$290=2)*'Cálculos'!$F$101)+'Cálculos'!$F$203)*('Cálculos'!$F$226+'Cálculos'!$F$124*(1+2.78*('Cálculos'!$F$197+(($B$225)-$A218)*'Cálculos'!$F$98)/(('Cálculos'!$F$197+(($B$225)-$A218)*'Cálculos'!$F$98)+1400)+'Cálculos'!$F$122)*'Cálculos'!$F$231+'Cálculos'!$F$125*(1+2.78*('Cálculos'!$F$197+(($B$225)-$A218)*'Cálculos'!$F$98)/(('Cálculos'!$F$197+(($B$225)-$A218)*'Cálculos'!$F$98)+1400)+'Cálculos'!$F$123)*'Cálculos'!$F$236)+('Cálculos'!$F$204*(1+'Cálculos'!$F$205+$A218*('Cálculos'!$F$290=3)*'Cálculos'!$F$103)+'Cálculos'!$F$206)*('Cálculos'!$F$227+'Cálculos'!$F$124*(1+2.78*('Cálculos'!$F$197+(($B$225)-$A218)*'Cálculos'!$F$98)/(('Cálculos'!$F$197+(($B$225)-$A218)*'Cálculos'!$F$98)+1400)+'Cálculos'!$F$122)*'Cálculos'!$F$232+'Cálculos'!$F$125*(1+2.78*('Cálculos'!$F$197+(($B$225)-$A218)*'Cálculos'!$F$98)/(('Cálculos'!$F$197+(($B$225)-$A218)*'Cálculos'!$F$98)+1400)+'Cálculos'!$F$123)*'Cálculos'!$F$237)+('Cálculos'!$F$228+'Cálculos'!$F$124*(1+2.78*('Cálculos'!$F$197+(($B$225)-$A218)*'Cálculos'!$F$98)/(('Cálculos'!$F$197+(($B$225)-$A218)*'Cálculos'!$F$98)+1400)+'Cálculos'!$F$122)*'Cálculos'!$F$233+'Cálculos'!$F$125*(1+2.78*('Cálculos'!$F$197+(($B$225)-$A218)*'Cálculos'!$F$98)/(('Cálculos'!$F$197+(($B$225)-$A218)*'Cálculos'!$F$98)+1400)+'Cálculos'!$F$123)*'Cálculos'!$F$238)+('Cálculos'!$F$185*(1+'Cálculos'!$F$188+$A218*('Cálculos'!$F$290=1)*'Cálculos'!$F$97+'Cálculos'!$F$305)+'Cálculos'!$F$193)*('Cálculos'!$F$239+'Cálculos'!$F$124*(1+2.78*('Cálculos'!$F$198+(($B$225)-$A218)*'Cálculos'!$F$98)/(('Cálculos'!$F$198+(($B$225)-$A218)*'Cálculos'!$F$98)+1400)+'Cálculos'!$F$122)*'Cálculos'!$F$244+'Cálculos'!$F$125*(1+2.78*('Cálculos'!$F$198+(($B$225)-$A218)*'Cálculos'!$F$98)/(('Cálculos'!$F$198+(($B$225)-$A218)*'Cálculos'!$F$98)+1400)+'Cálculos'!$F$123)*'Cálculos'!$F$249)+('Cálculos'!$F$198+(($B$225)-$A218)*'Cálculos'!$F$98)*('Cálculos'!$F$240+'Cálculos'!$F$124*(1+2.78*('Cálculos'!$F$198+(($B$225)-$A218)*'Cálculos'!$F$98)/(('Cálculos'!$F$198+(($B$225)-$A218)*'Cálculos'!$F$98)+1400)+'Cálculos'!$F$122)*'Cálculos'!$F$245+'Cálculos'!$F$125*(1+2.78*('Cálculos'!$F$198+(($B$225)-$A218)*'Cálculos'!$F$98)/(('Cálculos'!$F$198+(($B$225)-$A218)*'Cálculos'!$F$98)+1400)+'Cálculos'!$F$123)*'Cálculos'!$F$250)+('Cálculos'!$F$201*(1+'Cálculos'!$F$202+$A218*('Cálculos'!$F$290=2)*'Cálculos'!$F$101)+'Cálculos'!$F$203)*('Cálculos'!$F$241+'Cálculos'!$F$124*(1+2.78*('Cálculos'!$F$198+(($B$225)-$A218)*'Cálculos'!$F$98)/(('Cálculos'!$F$198+(($B$225)-$A218)*'Cálculos'!$F$98)+1400)+'Cálculos'!$F$122)*'Cálculos'!$F$246+'Cálculos'!$F$125*(1+2.78*('Cálculos'!$F$198+(($B$225)-$A218)*'Cálculos'!$F$98)/(('Cálculos'!$F$198+(($B$225)-$A218)*'Cálculos'!$F$98)+1400)+'Cálculos'!$F$123)*'Cálculos'!$F$251)+('Cálculos'!$F$204*(1+'Cálculos'!$F$205+$A218*('Cálculos'!$F$290=3)*'Cálculos'!$F$103)+'Cálculos'!$F$206)*('Cálculos'!$F$242+'Cálculos'!$F$124*(1+2.78*('Cálculos'!$F$198+(($B$225)-$A218)*'Cálculos'!$F$98)/(('Cálculos'!$F$198+(($B$225)-$A218)*'Cálculos'!$F$98)+1400)+'Cálculos'!$F$122)*'Cálculos'!$F$247+'Cálculos'!$F$125*(1+2.78*('Cálculos'!$F$198+(($B$225)-$A218)*'Cálculos'!$F$98)/(('Cálculos'!$F$198+(($B$225)-$A218)*'Cálculos'!$F$98)+1400)+'Cálculos'!$F$123)*'Cálculos'!$F$252)+('Cálculos'!$F$243+'Cálculos'!$F$124*(1+2.78*('Cálculos'!$F$198+(($B$225)-$A218)*'Cálculos'!$F$98)/(('Cálculos'!$F$198+(($B$225)-$A218)*'Cálculos'!$F$98)+1400)+'Cálculos'!$F$122)*'Cálculos'!$F$248+'Cálculos'!$F$125*(1+2.78*('Cálculos'!$F$198+(($B$225)-$A218)*'Cálculos'!$F$98)/(('Cálculos'!$F$198+(($B$225)-$A218)*'Cálculos'!$F$98)+1400)+'Cálculos'!$F$123)*'Cálculos'!$F$253)+('Cálculos'!$F$185*(1+'Cálculos'!$F$189+$A218*('Cálculos'!$F$290=1)*'Cálculos'!$F$97+'Cálculos'!$F$305)+'Cálculos'!$F$194)*('Cálculos'!$F$254+'Cálculos'!$F$124*(1+2.78*('Cálculos'!$F$199+(($B$225)-$A218)*'Cálculos'!$F$98)/(('Cálculos'!$F$199+(($B$225)-$A218)*'Cálculos'!$F$98)+1400)+'Cálculos'!$F$122)*'Cálculos'!$F$259+'Cálculos'!$F$125*(1+2.78*('Cálculos'!$F$199+(($B$225)-$A218)*'Cálculos'!$F$98)/(('Cálculos'!$F$199+(($B$225)-$A218)*'Cálculos'!$F$98)+1400)+'Cálculos'!$F$123)*'Cálculos'!$F$264)+('Cálculos'!$F$199+(($B$225)-$A218)*'Cálculos'!$F$98)*('Cálculos'!$F$255+'Cálculos'!$F$124*(1+2.78*('Cálculos'!$F$199+(($B$225)-$A218)*'Cálculos'!$F$98)/(('Cálculos'!$F$199+(($B$225)-$A218)*'Cálculos'!$F$98)+1400)+'Cálculos'!$F$122)*'Cálculos'!$F$260+'Cálculos'!$F$125*(1+2.78*('Cálculos'!$F$199+(($B$225)-$A218)*'Cálculos'!$F$98)/(('Cálculos'!$F$199+(($B$225)-$A218)*'Cálculos'!$F$98)+1400)+'Cálculos'!$F$123)*'Cálculos'!$F$265)+('Cálculos'!$F$201*(1+'Cálculos'!$F$202+$A218*('Cálculos'!$F$290=2)*'Cálculos'!$F$101)+'Cálculos'!$F$203)*('Cálculos'!$F$256+'Cálculos'!$F$124*(1+2.78*('Cálculos'!$F$199+(($B$225)-$A218)*'Cálculos'!$F$98)/(('Cálculos'!$F$199+(($B$225)-$A218)*'Cálculos'!$F$98)+1400)+'Cálculos'!$F$122)*'Cálculos'!$F$261+'Cálculos'!$F$125*(1+2.78*('Cálculos'!$F$199+(($B$225)-$A218)*'Cálculos'!$F$98)/(('Cálculos'!$F$199+(($B$225)-$A218)*'Cálculos'!$F$98)+1400)+'Cálculos'!$F$123)*'Cálculos'!$F$266)+('Cálculos'!$F$204*(1+'Cálculos'!$F$205+$A218*('Cálculos'!$F$290=3)*'Cálculos'!$F$103)+'Cálculos'!$F$206)*('Cálculos'!$F$257+'Cálculos'!$F$124*(1+2.78*('Cálculos'!$F$199+(($B$225)-$A218)*'Cálculos'!$F$98)/(('Cálculos'!$F$199+(($B$225)-$A218)*'Cálculos'!$F$98)+1400)+'Cálculos'!$F$122)*'Cálculos'!$F$262+'Cálculos'!$F$125*(1+2.78*('Cálculos'!$F$199+(($B$225)-$A218)*'Cálculos'!$F$98)/(('Cálculos'!$F$199+(($B$225)-$A218)*'Cálculos'!$F$98)+1400)+'Cálculos'!$F$123)*'Cálculos'!$F$267)+('Cálculos'!$F$258+'Cálculos'!$F$124*(1+2.78*('Cálculos'!$F$199+(($B$225)-$A218)*'Cálculos'!$F$98)/(('Cálculos'!$F$199+(($B$225)-$A218)*'Cálculos'!$F$98)+1400)+'Cálculos'!$F$122)*'Cálculos'!$F$263+'Cálculos'!$F$125*(1+2.78*('Cálculos'!$F$199+(($B$225)-$A218)*'Cálculos'!$F$98)/(('Cálculos'!$F$199+(($B$225)-$A218)*'Cálculos'!$F$98)+1400)+'Cálculos'!$F$123)*'Cálculos'!$F$268)+('Cálculos'!$F$185*(1+'Cálculos'!$F$190+$A218*('Cálculos'!$F$290=1)*'Cálculos'!$F$97+'Cálculos'!$F$305)+'Cálculos'!$F$195)*('Cálculos'!$F$269+'Cálculos'!$F$124*(1+2.78*('Cálculos'!$F$200+(($B$225)-$A218)*'Cálculos'!$F$98)/(('Cálculos'!$F$200+(($B$225)-$A218)*'Cálculos'!$F$98)+1400)+'Cálculos'!$F$122)*'Cálculos'!$F$274+'Cálculos'!$F$125*(1+2.78*('Cálculos'!$F$200+(($B$225)-$A218)*'Cálculos'!$F$98)/(('Cálculos'!$F$200+(($B$225)-$A218)*'Cálculos'!$F$98)+1400)+'Cálculos'!$F$123)*'Cálculos'!$F$279)+('Cálculos'!$F$200+(($B$225)-$A218)*'Cálculos'!$F$98)*('Cálculos'!$F$270+'Cálculos'!$F$124*(1+2.78*('Cálculos'!$F$200+(($B$225)-$A218)*'Cálculos'!$F$98)/(('Cálculos'!$F$200+(($B$225)-$A218)*'Cálculos'!$F$98)+1400)+'Cálculos'!$F$122)*'Cálculos'!$F$275+'Cálculos'!$F$125*(1+2.78*('Cálculos'!$F$200+(($B$225)-$A218)*'Cálculos'!$F$98)/(('Cálculos'!$F$200+(($B$225)-$A218)*'Cálculos'!$F$98)+1400)+'Cálculos'!$F$123)*'Cálculos'!$F$280)+('Cálculos'!$F$201*(1+'Cálculos'!$F$202+$A218*('Cálculos'!$F$290=2)*'Cálculos'!$F$101)+'Cálculos'!$F$203)*('Cálculos'!$F$271+'Cálculos'!$F$124*(1+2.78*('Cálculos'!$F$200+(($B$225)-$A218)*'Cálculos'!$F$98)/(('Cálculos'!$F$200+(($B$225)-$A218)*'Cálculos'!$F$98)+1400)+'Cálculos'!$F$122)*'Cálculos'!$F$276+'Cálculos'!$F$125*(1+2.78*('Cálculos'!$F$200+(($B$225)-$A218)*'Cálculos'!$F$98)/(('Cálculos'!$F$200+(($B$225)-$A218)*'Cálculos'!$F$98)+1400)+'Cálculos'!$F$123)*'Cálculos'!$F$281)+('Cálculos'!$F$204*(1+'Cálculos'!$F$205+$A218*('Cálculos'!$F$290=3)*'Cálculos'!$F$103)+'Cálculos'!$F$206)*('Cálculos'!$F$272+'Cálculos'!$F$124*(1+2.78*('Cálculos'!$F$200+(($B$225)-$A218)*'Cálculos'!$F$98)/(('Cálculos'!$F$200+(($B$225)-$A218)*'Cálculos'!$F$98)+1400)+'Cálculos'!$F$122)*'Cálculos'!$F$277+'Cálculos'!$F$125*(1+2.78*('Cálculos'!$F$200+(($B$225)-$A218)*'Cálculos'!$F$98)/(('Cálculos'!$F$200+(($B$225)-$A218)*'Cálculos'!$F$98)+1400)+'Cálculos'!$F$123)*'Cálculos'!$F$282)+('Cálculos'!$F$273+'Cálculos'!$F$124*(1+2.78*('Cálculos'!$F$200+(($B$225)-$A218)*'Cálculos'!$F$98)/(('Cálculos'!$F$200+(($B$225)-$A218)*'Cálculos'!$F$98)+1400)+'Cálculos'!$F$122)*'Cálculos'!$F$278+'Cálculos'!$F$125*(1+2.78*('Cálculos'!$F$200+(($B$225)-$A218)*'Cálculos'!$F$98)/(('Cálculos'!$F$200+(($B$225)-$A218)*'Cálculos'!$F$98)+1400)+'Cálculos'!$F$123)*'Cálculos'!$F$283)))</f>
        <v>0</v>
      </c>
    </row>
    <row r="219" ht="15.75" customHeight="1">
      <c r="A219" s="2">
        <v>42.0</v>
      </c>
      <c r="B219" s="30">
        <f>SUMPRODUCT(MAX(($A$177:$A$222&lt;=$A219)*($A$177:$A$222&lt;='Cálculos'!$F$294)*(($A219)-$A$177:$A$222&lt;='Cálculos'!$F$295)*(1+(('Cálculos'!$F$207+$A$177:$A$222*'Cálculos'!$F$95)-(('Cálculos'!$F$207+$A$177:$A$222*'Cálculos'!$F$95)&gt;1)*(('Cálculos'!$F$207+$A$177:$A$222*'Cálculos'!$F$95)-1))*('Cálculos'!$F$208+(($A219)-$A$177:$A$222)*'Cálculos'!$F$96))))</f>
        <v>3.887924</v>
      </c>
      <c r="C219" s="2">
        <f>'Cálculos'!$F$303-$A219</f>
        <v>-24</v>
      </c>
      <c r="D219" s="31">
        <f>IF($C219&lt;0,0,SUMPRODUCT(MAX(($A$177:$A$222&lt;=$C219)*($A$177:$A$222&lt;='Cálculos'!$F$301)*(($C219)-$A$177:$A$222&lt;='Cálculos'!$F$297)*(('Cálculos'!$F$185*(1+'Cálculos'!$F$186+$A$177:$A$222*('Cálculos'!$F$290=1)*'Cálculos'!$F$97+'Cálculos'!$F$305)+'Cálculos'!$F$191)*('Cálculos'!$F$209+'Cálculos'!$F$124*(1+2.78*('Cálculos'!$F$196+(($C219)-$A$177:$A$222)*'Cálculos'!$F$98)/(('Cálculos'!$F$196+(($C219)-$A$177:$A$222)*'Cálculos'!$F$98)+1400)+'Cálculos'!$F$122)*'Cálculos'!$F$214+'Cálculos'!$F$125*(1+2.78*('Cálculos'!$F$196+(($C219)-$A$177:$A$222)*'Cálculos'!$F$98)/(('Cálculos'!$F$196+(($C219)-$A$177:$A$222)*'Cálculos'!$F$98)+1400)+'Cálculos'!$F$123)*'Cálculos'!$F$219)+('Cálculos'!$F$196+(($C219)-$A$177:$A$222)*'Cálculos'!$F$98)*('Cálculos'!$F$210+'Cálculos'!$F$124*(1+2.78*('Cálculos'!$F$196+(($C219)-$A$177:$A$222)*'Cálculos'!$F$98)/(('Cálculos'!$F$196+(($C219)-$A$177:$A$222)*'Cálculos'!$F$98)+1400)+'Cálculos'!$F$122)*'Cálculos'!$F$215+'Cálculos'!$F$125*(1+2.78*('Cálculos'!$F$196+(($C219)-$A$177:$A$222)*'Cálculos'!$F$98)/(('Cálculos'!$F$196+(($C219)-$A$177:$A$222)*'Cálculos'!$F$98)+1400)+'Cálculos'!$F$123)*'Cálculos'!$F$220)+('Cálculos'!$F$201*(1+'Cálculos'!$F$202+$A$177:$A$222*('Cálculos'!$F$290=2)*'Cálculos'!$F$101)+'Cálculos'!$F$203)*('Cálculos'!$F$211+'Cálculos'!$F$124*(1+2.78*('Cálculos'!$F$196+(($C219)-$A$177:$A$222)*'Cálculos'!$F$98)/(('Cálculos'!$F$196+(($C219)-$A$177:$A$222)*'Cálculos'!$F$98)+1400)+'Cálculos'!$F$122)*'Cálculos'!$F$216+'Cálculos'!$F$125*(1+2.78*('Cálculos'!$F$196+(($C219)-$A$177:$A$222)*'Cálculos'!$F$98)/(('Cálculos'!$F$196+(($C219)-$A$177:$A$222)*'Cálculos'!$F$98)+1400)+'Cálculos'!$F$123)*'Cálculos'!$F$221)+('Cálculos'!$F$204*(1+'Cálculos'!$F$205+$A$177:$A$222*('Cálculos'!$F$290=3)*'Cálculos'!$F$103)+'Cálculos'!$F$206)*('Cálculos'!$F$212+'Cálculos'!$F$124*(1+2.78*('Cálculos'!$F$196+(($C219)-$A$177:$A$222)*'Cálculos'!$F$98)/(('Cálculos'!$F$196+(($C219)-$A$177:$A$222)*'Cálculos'!$F$98)+1400)+'Cálculos'!$F$122)*'Cálculos'!$F$217+'Cálculos'!$F$125*(1+2.78*('Cálculos'!$F$196+(($C219)-$A$177:$A$222)*'Cálculos'!$F$98)/(('Cálculos'!$F$196+(($C219)-$A$177:$A$222)*'Cálculos'!$F$98)+1400)+'Cálculos'!$F$123)*'Cálculos'!$F$222)+('Cálculos'!$F$213+'Cálculos'!$F$124*(1+2.78*('Cálculos'!$F$196+(($C219)-$A$177:$A$222)*'Cálculos'!$F$98)/(('Cálculos'!$F$196+(($C219)-$A$177:$A$222)*'Cálculos'!$F$98)+1400)+'Cálculos'!$F$122)*'Cálculos'!$F$218+'Cálculos'!$F$125*(1+2.78*('Cálculos'!$F$196+(($C219)-$A$177:$A$222)*'Cálculos'!$F$98)/(('Cálculos'!$F$196+(($C219)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219)-$A$177:$A$222)*'Cálculos'!$F$98)/(('Cálculos'!$F$197+(($C219)-$A$177:$A$222)*'Cálculos'!$F$98)+1400)+'Cálculos'!$F$122)*'Cálculos'!$F$229+'Cálculos'!$F$125*(1+2.78*('Cálculos'!$F$197+(($C219)-$A$177:$A$222)*'Cálculos'!$F$98)/(('Cálculos'!$F$197+(($C219)-$A$177:$A$222)*'Cálculos'!$F$98)+1400)+'Cálculos'!$F$123)*'Cálculos'!$F$234)+('Cálculos'!$F$197+(($C219)-$A$177:$A$222)*'Cálculos'!$F$98)*('Cálculos'!$F$225+'Cálculos'!$F$124*(1+2.78*('Cálculos'!$F$197+(($C219)-$A$177:$A$222)*'Cálculos'!$F$98)/(('Cálculos'!$F$197+(($C219)-$A$177:$A$222)*'Cálculos'!$F$98)+1400)+'Cálculos'!$F$122)*'Cálculos'!$F$230+'Cálculos'!$F$125*(1+2.78*('Cálculos'!$F$197+(($C219)-$A$177:$A$222)*'Cálculos'!$F$98)/(('Cálculos'!$F$197+(($C219)-$A$177:$A$222)*'Cálculos'!$F$98)+1400)+'Cálculos'!$F$123)*'Cálculos'!$F$235)+('Cálculos'!$F$201*(1+'Cálculos'!$F$202+$A$177:$A$222*('Cálculos'!$F$290=2)*'Cálculos'!$F$101)+'Cálculos'!$F$203)*('Cálculos'!$F$226+'Cálculos'!$F$124*(1+2.78*('Cálculos'!$F$197+(($C219)-$A$177:$A$222)*'Cálculos'!$F$98)/(('Cálculos'!$F$197+(($C219)-$A$177:$A$222)*'Cálculos'!$F$98)+1400)+'Cálculos'!$F$122)*'Cálculos'!$F$231+'Cálculos'!$F$125*(1+2.78*('Cálculos'!$F$197+(($C219)-$A$177:$A$222)*'Cálculos'!$F$98)/(('Cálculos'!$F$197+(($C219)-$A$177:$A$222)*'Cálculos'!$F$98)+1400)+'Cálculos'!$F$123)*'Cálculos'!$F$236)+('Cálculos'!$F$204*(1+'Cálculos'!$F$205+$A$177:$A$222*('Cálculos'!$F$290=3)*'Cálculos'!$F$103)+'Cálculos'!$F$206)*('Cálculos'!$F$227+'Cálculos'!$F$124*(1+2.78*('Cálculos'!$F$197+(($C219)-$A$177:$A$222)*'Cálculos'!$F$98)/(('Cálculos'!$F$197+(($C219)-$A$177:$A$222)*'Cálculos'!$F$98)+1400)+'Cálculos'!$F$122)*'Cálculos'!$F$232+'Cálculos'!$F$125*(1+2.78*('Cálculos'!$F$197+(($C219)-$A$177:$A$222)*'Cálculos'!$F$98)/(('Cálculos'!$F$197+(($C219)-$A$177:$A$222)*'Cálculos'!$F$98)+1400)+'Cálculos'!$F$123)*'Cálculos'!$F$237)+('Cálculos'!$F$228+'Cálculos'!$F$124*(1+2.78*('Cálculos'!$F$197+(($C219)-$A$177:$A$222)*'Cálculos'!$F$98)/(('Cálculos'!$F$197+(($C219)-$A$177:$A$222)*'Cálculos'!$F$98)+1400)+'Cálculos'!$F$122)*'Cálculos'!$F$233+'Cálculos'!$F$125*(1+2.78*('Cálculos'!$F$197+(($C219)-$A$177:$A$222)*'Cálculos'!$F$98)/(('Cálculos'!$F$197+(($C219)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219)-$A$177:$A$222)*'Cálculos'!$F$98)/(('Cálculos'!$F$198+(($C219)-$A$177:$A$222)*'Cálculos'!$F$98)+1400)+'Cálculos'!$F$122)*'Cálculos'!$F$244+'Cálculos'!$F$125*(1+2.78*('Cálculos'!$F$198+(($C219)-$A$177:$A$222)*'Cálculos'!$F$98)/(('Cálculos'!$F$198+(($C219)-$A$177:$A$222)*'Cálculos'!$F$98)+1400)+'Cálculos'!$F$123)*'Cálculos'!$F$249)+('Cálculos'!$F$198+(($C219)-$A$177:$A$222)*'Cálculos'!$F$98)*('Cálculos'!$F$240+'Cálculos'!$F$124*(1+2.78*('Cálculos'!$F$198+(($C219)-$A$177:$A$222)*'Cálculos'!$F$98)/(('Cálculos'!$F$198+(($C219)-$A$177:$A$222)*'Cálculos'!$F$98)+1400)+'Cálculos'!$F$122)*'Cálculos'!$F$245+'Cálculos'!$F$125*(1+2.78*('Cálculos'!$F$198+(($C219)-$A$177:$A$222)*'Cálculos'!$F$98)/(('Cálculos'!$F$198+(($C219)-$A$177:$A$222)*'Cálculos'!$F$98)+1400)+'Cálculos'!$F$123)*'Cálculos'!$F$250)+('Cálculos'!$F$201*(1+'Cálculos'!$F$202+$A$177:$A$222*('Cálculos'!$F$290=2)*'Cálculos'!$F$101)+'Cálculos'!$F$203)*('Cálculos'!$F$241+'Cálculos'!$F$124*(1+2.78*('Cálculos'!$F$198+(($C219)-$A$177:$A$222)*'Cálculos'!$F$98)/(('Cálculos'!$F$198+(($C219)-$A$177:$A$222)*'Cálculos'!$F$98)+1400)+'Cálculos'!$F$122)*'Cálculos'!$F$246+'Cálculos'!$F$125*(1+2.78*('Cálculos'!$F$198+(($C219)-$A$177:$A$222)*'Cálculos'!$F$98)/(('Cálculos'!$F$198+(($C219)-$A$177:$A$222)*'Cálculos'!$F$98)+1400)+'Cálculos'!$F$123)*'Cálculos'!$F$251)+('Cálculos'!$F$204*(1+'Cálculos'!$F$205+$A$177:$A$222*('Cálculos'!$F$290=3)*'Cálculos'!$F$103)+'Cálculos'!$F$206)*('Cálculos'!$F$242+'Cálculos'!$F$124*(1+2.78*('Cálculos'!$F$198+(($C219)-$A$177:$A$222)*'Cálculos'!$F$98)/(('Cálculos'!$F$198+(($C219)-$A$177:$A$222)*'Cálculos'!$F$98)+1400)+'Cálculos'!$F$122)*'Cálculos'!$F$247+'Cálculos'!$F$125*(1+2.78*('Cálculos'!$F$198+(($C219)-$A$177:$A$222)*'Cálculos'!$F$98)/(('Cálculos'!$F$198+(($C219)-$A$177:$A$222)*'Cálculos'!$F$98)+1400)+'Cálculos'!$F$123)*'Cálculos'!$F$252)+('Cálculos'!$F$243+'Cálculos'!$F$124*(1+2.78*('Cálculos'!$F$198+(($C219)-$A$177:$A$222)*'Cálculos'!$F$98)/(('Cálculos'!$F$198+(($C219)-$A$177:$A$222)*'Cálculos'!$F$98)+1400)+'Cálculos'!$F$122)*'Cálculos'!$F$248+'Cálculos'!$F$125*(1+2.78*('Cálculos'!$F$198+(($C219)-$A$177:$A$222)*'Cálculos'!$F$98)/(('Cálculos'!$F$198+(($C219)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219)-$A$177:$A$222)*'Cálculos'!$F$98)/(('Cálculos'!$F$199+(($C219)-$A$177:$A$222)*'Cálculos'!$F$98)+1400)+'Cálculos'!$F$122)*'Cálculos'!$F$259+'Cálculos'!$F$125*(1+2.78*('Cálculos'!$F$199+(($C219)-$A$177:$A$222)*'Cálculos'!$F$98)/(('Cálculos'!$F$199+(($C219)-$A$177:$A$222)*'Cálculos'!$F$98)+1400)+'Cálculos'!$F$123)*'Cálculos'!$F$264)+('Cálculos'!$F$199+(($C219)-$A$177:$A$222)*'Cálculos'!$F$98)*('Cálculos'!$F$255+'Cálculos'!$F$124*(1+2.78*('Cálculos'!$F$199+(($C219)-$A$177:$A$222)*'Cálculos'!$F$98)/(('Cálculos'!$F$199+(($C219)-$A$177:$A$222)*'Cálculos'!$F$98)+1400)+'Cálculos'!$F$122)*'Cálculos'!$F$260+'Cálculos'!$F$125*(1+2.78*('Cálculos'!$F$199+(($C219)-$A$177:$A$222)*'Cálculos'!$F$98)/(('Cálculos'!$F$199+(($C219)-$A$177:$A$222)*'Cálculos'!$F$98)+1400)+'Cálculos'!$F$123)*'Cálculos'!$F$265)+('Cálculos'!$F$201*(1+'Cálculos'!$F$202+$A$177:$A$222*('Cálculos'!$F$290=2)*'Cálculos'!$F$101)+'Cálculos'!$F$203)*('Cálculos'!$F$256+'Cálculos'!$F$124*(1+2.78*('Cálculos'!$F$199+(($C219)-$A$177:$A$222)*'Cálculos'!$F$98)/(('Cálculos'!$F$199+(($C219)-$A$177:$A$222)*'Cálculos'!$F$98)+1400)+'Cálculos'!$F$122)*'Cálculos'!$F$261+'Cálculos'!$F$125*(1+2.78*('Cálculos'!$F$199+(($C219)-$A$177:$A$222)*'Cálculos'!$F$98)/(('Cálculos'!$F$199+(($C219)-$A$177:$A$222)*'Cálculos'!$F$98)+1400)+'Cálculos'!$F$123)*'Cálculos'!$F$266)+('Cálculos'!$F$204*(1+'Cálculos'!$F$205+$A$177:$A$222*('Cálculos'!$F$290=3)*'Cálculos'!$F$103)+'Cálculos'!$F$206)*('Cálculos'!$F$257+'Cálculos'!$F$124*(1+2.78*('Cálculos'!$F$199+(($C219)-$A$177:$A$222)*'Cálculos'!$F$98)/(('Cálculos'!$F$199+(($C219)-$A$177:$A$222)*'Cálculos'!$F$98)+1400)+'Cálculos'!$F$122)*'Cálculos'!$F$262+'Cálculos'!$F$125*(1+2.78*('Cálculos'!$F$199+(($C219)-$A$177:$A$222)*'Cálculos'!$F$98)/(('Cálculos'!$F$199+(($C219)-$A$177:$A$222)*'Cálculos'!$F$98)+1400)+'Cálculos'!$F$123)*'Cálculos'!$F$267)+('Cálculos'!$F$258+'Cálculos'!$F$124*(1+2.78*('Cálculos'!$F$199+(($C219)-$A$177:$A$222)*'Cálculos'!$F$98)/(('Cálculos'!$F$199+(($C219)-$A$177:$A$222)*'Cálculos'!$F$98)+1400)+'Cálculos'!$F$122)*'Cálculos'!$F$263+'Cálculos'!$F$125*(1+2.78*('Cálculos'!$F$199+(($C219)-$A$177:$A$222)*'Cálculos'!$F$98)/(('Cálculos'!$F$199+(($C219)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219)-$A$177:$A$222)*'Cálculos'!$F$98)/(('Cálculos'!$F$200+(($C219)-$A$177:$A$222)*'Cálculos'!$F$98)+1400)+'Cálculos'!$F$122)*'Cálculos'!$F$274+'Cálculos'!$F$125*(1+2.78*('Cálculos'!$F$200+(($C219)-$A$177:$A$222)*'Cálculos'!$F$98)/(('Cálculos'!$F$200+(($C219)-$A$177:$A$222)*'Cálculos'!$F$98)+1400)+'Cálculos'!$F$123)*'Cálculos'!$F$279)+('Cálculos'!$F$200+(($C219)-$A$177:$A$222)*'Cálculos'!$F$98)*('Cálculos'!$F$270+'Cálculos'!$F$124*(1+2.78*('Cálculos'!$F$200+(($C219)-$A$177:$A$222)*'Cálculos'!$F$98)/(('Cálculos'!$F$200+(($C219)-$A$177:$A$222)*'Cálculos'!$F$98)+1400)+'Cálculos'!$F$122)*'Cálculos'!$F$275+'Cálculos'!$F$125*(1+2.78*('Cálculos'!$F$200+(($C219)-$A$177:$A$222)*'Cálculos'!$F$98)/(('Cálculos'!$F$200+(($C219)-$A$177:$A$222)*'Cálculos'!$F$98)+1400)+'Cálculos'!$F$123)*'Cálculos'!$F$280)+('Cálculos'!$F$201*(1+'Cálculos'!$F$202+$A$177:$A$222*('Cálculos'!$F$290=2)*'Cálculos'!$F$101)+'Cálculos'!$F$203)*('Cálculos'!$F$271+'Cálculos'!$F$124*(1+2.78*('Cálculos'!$F$200+(($C219)-$A$177:$A$222)*'Cálculos'!$F$98)/(('Cálculos'!$F$200+(($C219)-$A$177:$A$222)*'Cálculos'!$F$98)+1400)+'Cálculos'!$F$122)*'Cálculos'!$F$276+'Cálculos'!$F$125*(1+2.78*('Cálculos'!$F$200+(($C219)-$A$177:$A$222)*'Cálculos'!$F$98)/(('Cálculos'!$F$200+(($C219)-$A$177:$A$222)*'Cálculos'!$F$98)+1400)+'Cálculos'!$F$123)*'Cálculos'!$F$281)+('Cálculos'!$F$204*(1+'Cálculos'!$F$205+$A$177:$A$222*('Cálculos'!$F$290=3)*'Cálculos'!$F$103)+'Cálculos'!$F$206)*('Cálculos'!$F$272+'Cálculos'!$F$124*(1+2.78*('Cálculos'!$F$200+(($C219)-$A$177:$A$222)*'Cálculos'!$F$98)/(('Cálculos'!$F$200+(($C219)-$A$177:$A$222)*'Cálculos'!$F$98)+1400)+'Cálculos'!$F$122)*'Cálculos'!$F$277+'Cálculos'!$F$125*(1+2.78*('Cálculos'!$F$200+(($C219)-$A$177:$A$222)*'Cálculos'!$F$98)/(('Cálculos'!$F$200+(($C219)-$A$177:$A$222)*'Cálculos'!$F$98)+1400)+'Cálculos'!$F$123)*'Cálculos'!$F$282)+('Cálculos'!$F$273+'Cálculos'!$F$124*(1+2.78*('Cálculos'!$F$200+(($C219)-$A$177:$A$222)*'Cálculos'!$F$98)/(('Cálculos'!$F$200+(($C219)-$A$177:$A$222)*'Cálculos'!$F$98)+1400)+'Cálculos'!$F$122)*'Cálculos'!$F$278+'Cálculos'!$F$125*(1+2.78*('Cálculos'!$F$200+(($C219)-$A$177:$A$222)*'Cálculos'!$F$98)/(('Cálculos'!$F$200+(($C219)-$A$177:$A$222)*'Cálculos'!$F$98)+1400)+'Cálculos'!$F$123)*'Cálculos'!$F$283)))))</f>
        <v>0</v>
      </c>
      <c r="E219" s="32">
        <f>IF(OR($C219&lt;0,'Cálculos'!$F$6=""),0,$B219*$D219)</f>
        <v>0</v>
      </c>
      <c r="F219" s="2"/>
      <c r="G219" s="30">
        <f>($A219&lt;=$B$224)*($A219&lt;='Cálculos'!$F$294)*(($B$224)-$A219&lt;='Cálculos'!$F$295)*(1+MIN(('Cálculos'!$F$207+$A219*'Cálculos'!$F$95),1)*('Cálculos'!$F$208+(($B$224)-$A219)*'Cálculos'!$F$96))</f>
        <v>0</v>
      </c>
      <c r="H219" s="31">
        <f>IF($B$225&lt;0,0,($A219&lt;=$B$225)*($A219&lt;='Cálculos'!$F$301)*(($B$225)-$A219&lt;='Cálculos'!$F$297)*(('Cálculos'!$F$185*(1+'Cálculos'!$F$186+$A219*('Cálculos'!$F$290=1)*'Cálculos'!$F$97+'Cálculos'!$F$305)+'Cálculos'!$F$191)*('Cálculos'!$F$209+'Cálculos'!$F$124*(1+2.78*('Cálculos'!$F$196+(($B$225)-$A219)*'Cálculos'!$F$98)/(('Cálculos'!$F$196+(($B$225)-$A219)*'Cálculos'!$F$98)+1400)+'Cálculos'!$F$122)*'Cálculos'!$F$214+'Cálculos'!$F$125*(1+2.78*('Cálculos'!$F$196+(($B$225)-$A219)*'Cálculos'!$F$98)/(('Cálculos'!$F$196+(($B$225)-$A219)*'Cálculos'!$F$98)+1400)+'Cálculos'!$F$123)*'Cálculos'!$F$219)+('Cálculos'!$F$196+(($B$225)-$A219)*'Cálculos'!$F$98)*('Cálculos'!$F$210+'Cálculos'!$F$124*(1+2.78*('Cálculos'!$F$196+(($B$225)-$A219)*'Cálculos'!$F$98)/(('Cálculos'!$F$196+(($B$225)-$A219)*'Cálculos'!$F$98)+1400)+'Cálculos'!$F$122)*'Cálculos'!$F$215+'Cálculos'!$F$125*(1+2.78*('Cálculos'!$F$196+(($B$225)-$A219)*'Cálculos'!$F$98)/(('Cálculos'!$F$196+(($B$225)-$A219)*'Cálculos'!$F$98)+1400)+'Cálculos'!$F$123)*'Cálculos'!$F$220)+('Cálculos'!$F$201*(1+'Cálculos'!$F$202+$A219*('Cálculos'!$F$290=2)*'Cálculos'!$F$101)+'Cálculos'!$F$203)*('Cálculos'!$F$211+'Cálculos'!$F$124*(1+2.78*('Cálculos'!$F$196+(($B$225)-$A219)*'Cálculos'!$F$98)/(('Cálculos'!$F$196+(($B$225)-$A219)*'Cálculos'!$F$98)+1400)+'Cálculos'!$F$122)*'Cálculos'!$F$216+'Cálculos'!$F$125*(1+2.78*('Cálculos'!$F$196+(($B$225)-$A219)*'Cálculos'!$F$98)/(('Cálculos'!$F$196+(($B$225)-$A219)*'Cálculos'!$F$98)+1400)+'Cálculos'!$F$123)*'Cálculos'!$F$221)+('Cálculos'!$F$204*(1+'Cálculos'!$F$205+$A219*('Cálculos'!$F$290=3)*'Cálculos'!$F$103)+'Cálculos'!$F$206)*('Cálculos'!$F$212+'Cálculos'!$F$124*(1+2.78*('Cálculos'!$F$196+(($B$225)-$A219)*'Cálculos'!$F$98)/(('Cálculos'!$F$196+(($B$225)-$A219)*'Cálculos'!$F$98)+1400)+'Cálculos'!$F$122)*'Cálculos'!$F$217+'Cálculos'!$F$125*(1+2.78*('Cálculos'!$F$196+(($B$225)-$A219)*'Cálculos'!$F$98)/(('Cálculos'!$F$196+(($B$225)-$A219)*'Cálculos'!$F$98)+1400)+'Cálculos'!$F$123)*'Cálculos'!$F$222)+('Cálculos'!$F$213+'Cálculos'!$F$124*(1+2.78*('Cálculos'!$F$196+(($B$225)-$A219)*'Cálculos'!$F$98)/(('Cálculos'!$F$196+(($B$225)-$A219)*'Cálculos'!$F$98)+1400)+'Cálculos'!$F$122)*'Cálculos'!$F$218+'Cálculos'!$F$125*(1+2.78*('Cálculos'!$F$196+(($B$225)-$A219)*'Cálculos'!$F$98)/(('Cálculos'!$F$196+(($B$225)-$A219)*'Cálculos'!$F$98)+1400)+'Cálculos'!$F$123)*'Cálculos'!$F$223)+('Cálculos'!$F$185*(1+'Cálculos'!$F$187+$A219*('Cálculos'!$F$290=1)*'Cálculos'!$F$97+'Cálculos'!$F$305)+'Cálculos'!$F$192)*('Cálculos'!$F$224+'Cálculos'!$F$124*(1+2.78*('Cálculos'!$F$197+(($B$225)-$A219)*'Cálculos'!$F$98)/(('Cálculos'!$F$197+(($B$225)-$A219)*'Cálculos'!$F$98)+1400)+'Cálculos'!$F$122)*'Cálculos'!$F$229+'Cálculos'!$F$125*(1+2.78*('Cálculos'!$F$197+(($B$225)-$A219)*'Cálculos'!$F$98)/(('Cálculos'!$F$197+(($B$225)-$A219)*'Cálculos'!$F$98)+1400)+'Cálculos'!$F$123)*'Cálculos'!$F$234)+('Cálculos'!$F$197+(($B$225)-$A219)*'Cálculos'!$F$98)*('Cálculos'!$F$225+'Cálculos'!$F$124*(1+2.78*('Cálculos'!$F$197+(($B$225)-$A219)*'Cálculos'!$F$98)/(('Cálculos'!$F$197+(($B$225)-$A219)*'Cálculos'!$F$98)+1400)+'Cálculos'!$F$122)*'Cálculos'!$F$230+'Cálculos'!$F$125*(1+2.78*('Cálculos'!$F$197+(($B$225)-$A219)*'Cálculos'!$F$98)/(('Cálculos'!$F$197+(($B$225)-$A219)*'Cálculos'!$F$98)+1400)+'Cálculos'!$F$123)*'Cálculos'!$F$235)+('Cálculos'!$F$201*(1+'Cálculos'!$F$202+$A219*('Cálculos'!$F$290=2)*'Cálculos'!$F$101)+'Cálculos'!$F$203)*('Cálculos'!$F$226+'Cálculos'!$F$124*(1+2.78*('Cálculos'!$F$197+(($B$225)-$A219)*'Cálculos'!$F$98)/(('Cálculos'!$F$197+(($B$225)-$A219)*'Cálculos'!$F$98)+1400)+'Cálculos'!$F$122)*'Cálculos'!$F$231+'Cálculos'!$F$125*(1+2.78*('Cálculos'!$F$197+(($B$225)-$A219)*'Cálculos'!$F$98)/(('Cálculos'!$F$197+(($B$225)-$A219)*'Cálculos'!$F$98)+1400)+'Cálculos'!$F$123)*'Cálculos'!$F$236)+('Cálculos'!$F$204*(1+'Cálculos'!$F$205+$A219*('Cálculos'!$F$290=3)*'Cálculos'!$F$103)+'Cálculos'!$F$206)*('Cálculos'!$F$227+'Cálculos'!$F$124*(1+2.78*('Cálculos'!$F$197+(($B$225)-$A219)*'Cálculos'!$F$98)/(('Cálculos'!$F$197+(($B$225)-$A219)*'Cálculos'!$F$98)+1400)+'Cálculos'!$F$122)*'Cálculos'!$F$232+'Cálculos'!$F$125*(1+2.78*('Cálculos'!$F$197+(($B$225)-$A219)*'Cálculos'!$F$98)/(('Cálculos'!$F$197+(($B$225)-$A219)*'Cálculos'!$F$98)+1400)+'Cálculos'!$F$123)*'Cálculos'!$F$237)+('Cálculos'!$F$228+'Cálculos'!$F$124*(1+2.78*('Cálculos'!$F$197+(($B$225)-$A219)*'Cálculos'!$F$98)/(('Cálculos'!$F$197+(($B$225)-$A219)*'Cálculos'!$F$98)+1400)+'Cálculos'!$F$122)*'Cálculos'!$F$233+'Cálculos'!$F$125*(1+2.78*('Cálculos'!$F$197+(($B$225)-$A219)*'Cálculos'!$F$98)/(('Cálculos'!$F$197+(($B$225)-$A219)*'Cálculos'!$F$98)+1400)+'Cálculos'!$F$123)*'Cálculos'!$F$238)+('Cálculos'!$F$185*(1+'Cálculos'!$F$188+$A219*('Cálculos'!$F$290=1)*'Cálculos'!$F$97+'Cálculos'!$F$305)+'Cálculos'!$F$193)*('Cálculos'!$F$239+'Cálculos'!$F$124*(1+2.78*('Cálculos'!$F$198+(($B$225)-$A219)*'Cálculos'!$F$98)/(('Cálculos'!$F$198+(($B$225)-$A219)*'Cálculos'!$F$98)+1400)+'Cálculos'!$F$122)*'Cálculos'!$F$244+'Cálculos'!$F$125*(1+2.78*('Cálculos'!$F$198+(($B$225)-$A219)*'Cálculos'!$F$98)/(('Cálculos'!$F$198+(($B$225)-$A219)*'Cálculos'!$F$98)+1400)+'Cálculos'!$F$123)*'Cálculos'!$F$249)+('Cálculos'!$F$198+(($B$225)-$A219)*'Cálculos'!$F$98)*('Cálculos'!$F$240+'Cálculos'!$F$124*(1+2.78*('Cálculos'!$F$198+(($B$225)-$A219)*'Cálculos'!$F$98)/(('Cálculos'!$F$198+(($B$225)-$A219)*'Cálculos'!$F$98)+1400)+'Cálculos'!$F$122)*'Cálculos'!$F$245+'Cálculos'!$F$125*(1+2.78*('Cálculos'!$F$198+(($B$225)-$A219)*'Cálculos'!$F$98)/(('Cálculos'!$F$198+(($B$225)-$A219)*'Cálculos'!$F$98)+1400)+'Cálculos'!$F$123)*'Cálculos'!$F$250)+('Cálculos'!$F$201*(1+'Cálculos'!$F$202+$A219*('Cálculos'!$F$290=2)*'Cálculos'!$F$101)+'Cálculos'!$F$203)*('Cálculos'!$F$241+'Cálculos'!$F$124*(1+2.78*('Cálculos'!$F$198+(($B$225)-$A219)*'Cálculos'!$F$98)/(('Cálculos'!$F$198+(($B$225)-$A219)*'Cálculos'!$F$98)+1400)+'Cálculos'!$F$122)*'Cálculos'!$F$246+'Cálculos'!$F$125*(1+2.78*('Cálculos'!$F$198+(($B$225)-$A219)*'Cálculos'!$F$98)/(('Cálculos'!$F$198+(($B$225)-$A219)*'Cálculos'!$F$98)+1400)+'Cálculos'!$F$123)*'Cálculos'!$F$251)+('Cálculos'!$F$204*(1+'Cálculos'!$F$205+$A219*('Cálculos'!$F$290=3)*'Cálculos'!$F$103)+'Cálculos'!$F$206)*('Cálculos'!$F$242+'Cálculos'!$F$124*(1+2.78*('Cálculos'!$F$198+(($B$225)-$A219)*'Cálculos'!$F$98)/(('Cálculos'!$F$198+(($B$225)-$A219)*'Cálculos'!$F$98)+1400)+'Cálculos'!$F$122)*'Cálculos'!$F$247+'Cálculos'!$F$125*(1+2.78*('Cálculos'!$F$198+(($B$225)-$A219)*'Cálculos'!$F$98)/(('Cálculos'!$F$198+(($B$225)-$A219)*'Cálculos'!$F$98)+1400)+'Cálculos'!$F$123)*'Cálculos'!$F$252)+('Cálculos'!$F$243+'Cálculos'!$F$124*(1+2.78*('Cálculos'!$F$198+(($B$225)-$A219)*'Cálculos'!$F$98)/(('Cálculos'!$F$198+(($B$225)-$A219)*'Cálculos'!$F$98)+1400)+'Cálculos'!$F$122)*'Cálculos'!$F$248+'Cálculos'!$F$125*(1+2.78*('Cálculos'!$F$198+(($B$225)-$A219)*'Cálculos'!$F$98)/(('Cálculos'!$F$198+(($B$225)-$A219)*'Cálculos'!$F$98)+1400)+'Cálculos'!$F$123)*'Cálculos'!$F$253)+('Cálculos'!$F$185*(1+'Cálculos'!$F$189+$A219*('Cálculos'!$F$290=1)*'Cálculos'!$F$97+'Cálculos'!$F$305)+'Cálculos'!$F$194)*('Cálculos'!$F$254+'Cálculos'!$F$124*(1+2.78*('Cálculos'!$F$199+(($B$225)-$A219)*'Cálculos'!$F$98)/(('Cálculos'!$F$199+(($B$225)-$A219)*'Cálculos'!$F$98)+1400)+'Cálculos'!$F$122)*'Cálculos'!$F$259+'Cálculos'!$F$125*(1+2.78*('Cálculos'!$F$199+(($B$225)-$A219)*'Cálculos'!$F$98)/(('Cálculos'!$F$199+(($B$225)-$A219)*'Cálculos'!$F$98)+1400)+'Cálculos'!$F$123)*'Cálculos'!$F$264)+('Cálculos'!$F$199+(($B$225)-$A219)*'Cálculos'!$F$98)*('Cálculos'!$F$255+'Cálculos'!$F$124*(1+2.78*('Cálculos'!$F$199+(($B$225)-$A219)*'Cálculos'!$F$98)/(('Cálculos'!$F$199+(($B$225)-$A219)*'Cálculos'!$F$98)+1400)+'Cálculos'!$F$122)*'Cálculos'!$F$260+'Cálculos'!$F$125*(1+2.78*('Cálculos'!$F$199+(($B$225)-$A219)*'Cálculos'!$F$98)/(('Cálculos'!$F$199+(($B$225)-$A219)*'Cálculos'!$F$98)+1400)+'Cálculos'!$F$123)*'Cálculos'!$F$265)+('Cálculos'!$F$201*(1+'Cálculos'!$F$202+$A219*('Cálculos'!$F$290=2)*'Cálculos'!$F$101)+'Cálculos'!$F$203)*('Cálculos'!$F$256+'Cálculos'!$F$124*(1+2.78*('Cálculos'!$F$199+(($B$225)-$A219)*'Cálculos'!$F$98)/(('Cálculos'!$F$199+(($B$225)-$A219)*'Cálculos'!$F$98)+1400)+'Cálculos'!$F$122)*'Cálculos'!$F$261+'Cálculos'!$F$125*(1+2.78*('Cálculos'!$F$199+(($B$225)-$A219)*'Cálculos'!$F$98)/(('Cálculos'!$F$199+(($B$225)-$A219)*'Cálculos'!$F$98)+1400)+'Cálculos'!$F$123)*'Cálculos'!$F$266)+('Cálculos'!$F$204*(1+'Cálculos'!$F$205+$A219*('Cálculos'!$F$290=3)*'Cálculos'!$F$103)+'Cálculos'!$F$206)*('Cálculos'!$F$257+'Cálculos'!$F$124*(1+2.78*('Cálculos'!$F$199+(($B$225)-$A219)*'Cálculos'!$F$98)/(('Cálculos'!$F$199+(($B$225)-$A219)*'Cálculos'!$F$98)+1400)+'Cálculos'!$F$122)*'Cálculos'!$F$262+'Cálculos'!$F$125*(1+2.78*('Cálculos'!$F$199+(($B$225)-$A219)*'Cálculos'!$F$98)/(('Cálculos'!$F$199+(($B$225)-$A219)*'Cálculos'!$F$98)+1400)+'Cálculos'!$F$123)*'Cálculos'!$F$267)+('Cálculos'!$F$258+'Cálculos'!$F$124*(1+2.78*('Cálculos'!$F$199+(($B$225)-$A219)*'Cálculos'!$F$98)/(('Cálculos'!$F$199+(($B$225)-$A219)*'Cálculos'!$F$98)+1400)+'Cálculos'!$F$122)*'Cálculos'!$F$263+'Cálculos'!$F$125*(1+2.78*('Cálculos'!$F$199+(($B$225)-$A219)*'Cálculos'!$F$98)/(('Cálculos'!$F$199+(($B$225)-$A219)*'Cálculos'!$F$98)+1400)+'Cálculos'!$F$123)*'Cálculos'!$F$268)+('Cálculos'!$F$185*(1+'Cálculos'!$F$190+$A219*('Cálculos'!$F$290=1)*'Cálculos'!$F$97+'Cálculos'!$F$305)+'Cálculos'!$F$195)*('Cálculos'!$F$269+'Cálculos'!$F$124*(1+2.78*('Cálculos'!$F$200+(($B$225)-$A219)*'Cálculos'!$F$98)/(('Cálculos'!$F$200+(($B$225)-$A219)*'Cálculos'!$F$98)+1400)+'Cálculos'!$F$122)*'Cálculos'!$F$274+'Cálculos'!$F$125*(1+2.78*('Cálculos'!$F$200+(($B$225)-$A219)*'Cálculos'!$F$98)/(('Cálculos'!$F$200+(($B$225)-$A219)*'Cálculos'!$F$98)+1400)+'Cálculos'!$F$123)*'Cálculos'!$F$279)+('Cálculos'!$F$200+(($B$225)-$A219)*'Cálculos'!$F$98)*('Cálculos'!$F$270+'Cálculos'!$F$124*(1+2.78*('Cálculos'!$F$200+(($B$225)-$A219)*'Cálculos'!$F$98)/(('Cálculos'!$F$200+(($B$225)-$A219)*'Cálculos'!$F$98)+1400)+'Cálculos'!$F$122)*'Cálculos'!$F$275+'Cálculos'!$F$125*(1+2.78*('Cálculos'!$F$200+(($B$225)-$A219)*'Cálculos'!$F$98)/(('Cálculos'!$F$200+(($B$225)-$A219)*'Cálculos'!$F$98)+1400)+'Cálculos'!$F$123)*'Cálculos'!$F$280)+('Cálculos'!$F$201*(1+'Cálculos'!$F$202+$A219*('Cálculos'!$F$290=2)*'Cálculos'!$F$101)+'Cálculos'!$F$203)*('Cálculos'!$F$271+'Cálculos'!$F$124*(1+2.78*('Cálculos'!$F$200+(($B$225)-$A219)*'Cálculos'!$F$98)/(('Cálculos'!$F$200+(($B$225)-$A219)*'Cálculos'!$F$98)+1400)+'Cálculos'!$F$122)*'Cálculos'!$F$276+'Cálculos'!$F$125*(1+2.78*('Cálculos'!$F$200+(($B$225)-$A219)*'Cálculos'!$F$98)/(('Cálculos'!$F$200+(($B$225)-$A219)*'Cálculos'!$F$98)+1400)+'Cálculos'!$F$123)*'Cálculos'!$F$281)+('Cálculos'!$F$204*(1+'Cálculos'!$F$205+$A219*('Cálculos'!$F$290=3)*'Cálculos'!$F$103)+'Cálculos'!$F$206)*('Cálculos'!$F$272+'Cálculos'!$F$124*(1+2.78*('Cálculos'!$F$200+(($B$225)-$A219)*'Cálculos'!$F$98)/(('Cálculos'!$F$200+(($B$225)-$A219)*'Cálculos'!$F$98)+1400)+'Cálculos'!$F$122)*'Cálculos'!$F$277+'Cálculos'!$F$125*(1+2.78*('Cálculos'!$F$200+(($B$225)-$A219)*'Cálculos'!$F$98)/(('Cálculos'!$F$200+(($B$225)-$A219)*'Cálculos'!$F$98)+1400)+'Cálculos'!$F$123)*'Cálculos'!$F$282)+('Cálculos'!$F$273+'Cálculos'!$F$124*(1+2.78*('Cálculos'!$F$200+(($B$225)-$A219)*'Cálculos'!$F$98)/(('Cálculos'!$F$200+(($B$225)-$A219)*'Cálculos'!$F$98)+1400)+'Cálculos'!$F$122)*'Cálculos'!$F$278+'Cálculos'!$F$125*(1+2.78*('Cálculos'!$F$200+(($B$225)-$A219)*'Cálculos'!$F$98)/(('Cálculos'!$F$200+(($B$225)-$A219)*'Cálculos'!$F$98)+1400)+'Cálculos'!$F$123)*'Cálculos'!$F$283)))</f>
        <v>0</v>
      </c>
    </row>
    <row r="220" ht="15.75" customHeight="1">
      <c r="A220" s="2">
        <v>43.0</v>
      </c>
      <c r="B220" s="30">
        <f>SUMPRODUCT(MAX(($A$177:$A$222&lt;=$A220)*($A$177:$A$222&lt;='Cálculos'!$F$294)*(($A220)-$A$177:$A$222&lt;='Cálculos'!$F$295)*(1+(('Cálculos'!$F$207+$A$177:$A$222*'Cálculos'!$F$95)-(('Cálculos'!$F$207+$A$177:$A$222*'Cálculos'!$F$95)&gt;1)*(('Cálculos'!$F$207+$A$177:$A$222*'Cálculos'!$F$95)-1))*('Cálculos'!$F$208+(($A220)-$A$177:$A$222)*'Cálculos'!$F$96))))</f>
        <v>3.953132</v>
      </c>
      <c r="C220" s="2">
        <f>'Cálculos'!$F$303-$A220</f>
        <v>-25</v>
      </c>
      <c r="D220" s="31">
        <f>IF($C220&lt;0,0,SUMPRODUCT(MAX(($A$177:$A$222&lt;=$C220)*($A$177:$A$222&lt;='Cálculos'!$F$301)*(($C220)-$A$177:$A$222&lt;='Cálculos'!$F$297)*(('Cálculos'!$F$185*(1+'Cálculos'!$F$186+$A$177:$A$222*('Cálculos'!$F$290=1)*'Cálculos'!$F$97+'Cálculos'!$F$305)+'Cálculos'!$F$191)*('Cálculos'!$F$209+'Cálculos'!$F$124*(1+2.78*('Cálculos'!$F$196+(($C220)-$A$177:$A$222)*'Cálculos'!$F$98)/(('Cálculos'!$F$196+(($C220)-$A$177:$A$222)*'Cálculos'!$F$98)+1400)+'Cálculos'!$F$122)*'Cálculos'!$F$214+'Cálculos'!$F$125*(1+2.78*('Cálculos'!$F$196+(($C220)-$A$177:$A$222)*'Cálculos'!$F$98)/(('Cálculos'!$F$196+(($C220)-$A$177:$A$222)*'Cálculos'!$F$98)+1400)+'Cálculos'!$F$123)*'Cálculos'!$F$219)+('Cálculos'!$F$196+(($C220)-$A$177:$A$222)*'Cálculos'!$F$98)*('Cálculos'!$F$210+'Cálculos'!$F$124*(1+2.78*('Cálculos'!$F$196+(($C220)-$A$177:$A$222)*'Cálculos'!$F$98)/(('Cálculos'!$F$196+(($C220)-$A$177:$A$222)*'Cálculos'!$F$98)+1400)+'Cálculos'!$F$122)*'Cálculos'!$F$215+'Cálculos'!$F$125*(1+2.78*('Cálculos'!$F$196+(($C220)-$A$177:$A$222)*'Cálculos'!$F$98)/(('Cálculos'!$F$196+(($C220)-$A$177:$A$222)*'Cálculos'!$F$98)+1400)+'Cálculos'!$F$123)*'Cálculos'!$F$220)+('Cálculos'!$F$201*(1+'Cálculos'!$F$202+$A$177:$A$222*('Cálculos'!$F$290=2)*'Cálculos'!$F$101)+'Cálculos'!$F$203)*('Cálculos'!$F$211+'Cálculos'!$F$124*(1+2.78*('Cálculos'!$F$196+(($C220)-$A$177:$A$222)*'Cálculos'!$F$98)/(('Cálculos'!$F$196+(($C220)-$A$177:$A$222)*'Cálculos'!$F$98)+1400)+'Cálculos'!$F$122)*'Cálculos'!$F$216+'Cálculos'!$F$125*(1+2.78*('Cálculos'!$F$196+(($C220)-$A$177:$A$222)*'Cálculos'!$F$98)/(('Cálculos'!$F$196+(($C220)-$A$177:$A$222)*'Cálculos'!$F$98)+1400)+'Cálculos'!$F$123)*'Cálculos'!$F$221)+('Cálculos'!$F$204*(1+'Cálculos'!$F$205+$A$177:$A$222*('Cálculos'!$F$290=3)*'Cálculos'!$F$103)+'Cálculos'!$F$206)*('Cálculos'!$F$212+'Cálculos'!$F$124*(1+2.78*('Cálculos'!$F$196+(($C220)-$A$177:$A$222)*'Cálculos'!$F$98)/(('Cálculos'!$F$196+(($C220)-$A$177:$A$222)*'Cálculos'!$F$98)+1400)+'Cálculos'!$F$122)*'Cálculos'!$F$217+'Cálculos'!$F$125*(1+2.78*('Cálculos'!$F$196+(($C220)-$A$177:$A$222)*'Cálculos'!$F$98)/(('Cálculos'!$F$196+(($C220)-$A$177:$A$222)*'Cálculos'!$F$98)+1400)+'Cálculos'!$F$123)*'Cálculos'!$F$222)+('Cálculos'!$F$213+'Cálculos'!$F$124*(1+2.78*('Cálculos'!$F$196+(($C220)-$A$177:$A$222)*'Cálculos'!$F$98)/(('Cálculos'!$F$196+(($C220)-$A$177:$A$222)*'Cálculos'!$F$98)+1400)+'Cálculos'!$F$122)*'Cálculos'!$F$218+'Cálculos'!$F$125*(1+2.78*('Cálculos'!$F$196+(($C220)-$A$177:$A$222)*'Cálculos'!$F$98)/(('Cálculos'!$F$196+(($C220)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220)-$A$177:$A$222)*'Cálculos'!$F$98)/(('Cálculos'!$F$197+(($C220)-$A$177:$A$222)*'Cálculos'!$F$98)+1400)+'Cálculos'!$F$122)*'Cálculos'!$F$229+'Cálculos'!$F$125*(1+2.78*('Cálculos'!$F$197+(($C220)-$A$177:$A$222)*'Cálculos'!$F$98)/(('Cálculos'!$F$197+(($C220)-$A$177:$A$222)*'Cálculos'!$F$98)+1400)+'Cálculos'!$F$123)*'Cálculos'!$F$234)+('Cálculos'!$F$197+(($C220)-$A$177:$A$222)*'Cálculos'!$F$98)*('Cálculos'!$F$225+'Cálculos'!$F$124*(1+2.78*('Cálculos'!$F$197+(($C220)-$A$177:$A$222)*'Cálculos'!$F$98)/(('Cálculos'!$F$197+(($C220)-$A$177:$A$222)*'Cálculos'!$F$98)+1400)+'Cálculos'!$F$122)*'Cálculos'!$F$230+'Cálculos'!$F$125*(1+2.78*('Cálculos'!$F$197+(($C220)-$A$177:$A$222)*'Cálculos'!$F$98)/(('Cálculos'!$F$197+(($C220)-$A$177:$A$222)*'Cálculos'!$F$98)+1400)+'Cálculos'!$F$123)*'Cálculos'!$F$235)+('Cálculos'!$F$201*(1+'Cálculos'!$F$202+$A$177:$A$222*('Cálculos'!$F$290=2)*'Cálculos'!$F$101)+'Cálculos'!$F$203)*('Cálculos'!$F$226+'Cálculos'!$F$124*(1+2.78*('Cálculos'!$F$197+(($C220)-$A$177:$A$222)*'Cálculos'!$F$98)/(('Cálculos'!$F$197+(($C220)-$A$177:$A$222)*'Cálculos'!$F$98)+1400)+'Cálculos'!$F$122)*'Cálculos'!$F$231+'Cálculos'!$F$125*(1+2.78*('Cálculos'!$F$197+(($C220)-$A$177:$A$222)*'Cálculos'!$F$98)/(('Cálculos'!$F$197+(($C220)-$A$177:$A$222)*'Cálculos'!$F$98)+1400)+'Cálculos'!$F$123)*'Cálculos'!$F$236)+('Cálculos'!$F$204*(1+'Cálculos'!$F$205+$A$177:$A$222*('Cálculos'!$F$290=3)*'Cálculos'!$F$103)+'Cálculos'!$F$206)*('Cálculos'!$F$227+'Cálculos'!$F$124*(1+2.78*('Cálculos'!$F$197+(($C220)-$A$177:$A$222)*'Cálculos'!$F$98)/(('Cálculos'!$F$197+(($C220)-$A$177:$A$222)*'Cálculos'!$F$98)+1400)+'Cálculos'!$F$122)*'Cálculos'!$F$232+'Cálculos'!$F$125*(1+2.78*('Cálculos'!$F$197+(($C220)-$A$177:$A$222)*'Cálculos'!$F$98)/(('Cálculos'!$F$197+(($C220)-$A$177:$A$222)*'Cálculos'!$F$98)+1400)+'Cálculos'!$F$123)*'Cálculos'!$F$237)+('Cálculos'!$F$228+'Cálculos'!$F$124*(1+2.78*('Cálculos'!$F$197+(($C220)-$A$177:$A$222)*'Cálculos'!$F$98)/(('Cálculos'!$F$197+(($C220)-$A$177:$A$222)*'Cálculos'!$F$98)+1400)+'Cálculos'!$F$122)*'Cálculos'!$F$233+'Cálculos'!$F$125*(1+2.78*('Cálculos'!$F$197+(($C220)-$A$177:$A$222)*'Cálculos'!$F$98)/(('Cálculos'!$F$197+(($C220)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220)-$A$177:$A$222)*'Cálculos'!$F$98)/(('Cálculos'!$F$198+(($C220)-$A$177:$A$222)*'Cálculos'!$F$98)+1400)+'Cálculos'!$F$122)*'Cálculos'!$F$244+'Cálculos'!$F$125*(1+2.78*('Cálculos'!$F$198+(($C220)-$A$177:$A$222)*'Cálculos'!$F$98)/(('Cálculos'!$F$198+(($C220)-$A$177:$A$222)*'Cálculos'!$F$98)+1400)+'Cálculos'!$F$123)*'Cálculos'!$F$249)+('Cálculos'!$F$198+(($C220)-$A$177:$A$222)*'Cálculos'!$F$98)*('Cálculos'!$F$240+'Cálculos'!$F$124*(1+2.78*('Cálculos'!$F$198+(($C220)-$A$177:$A$222)*'Cálculos'!$F$98)/(('Cálculos'!$F$198+(($C220)-$A$177:$A$222)*'Cálculos'!$F$98)+1400)+'Cálculos'!$F$122)*'Cálculos'!$F$245+'Cálculos'!$F$125*(1+2.78*('Cálculos'!$F$198+(($C220)-$A$177:$A$222)*'Cálculos'!$F$98)/(('Cálculos'!$F$198+(($C220)-$A$177:$A$222)*'Cálculos'!$F$98)+1400)+'Cálculos'!$F$123)*'Cálculos'!$F$250)+('Cálculos'!$F$201*(1+'Cálculos'!$F$202+$A$177:$A$222*('Cálculos'!$F$290=2)*'Cálculos'!$F$101)+'Cálculos'!$F$203)*('Cálculos'!$F$241+'Cálculos'!$F$124*(1+2.78*('Cálculos'!$F$198+(($C220)-$A$177:$A$222)*'Cálculos'!$F$98)/(('Cálculos'!$F$198+(($C220)-$A$177:$A$222)*'Cálculos'!$F$98)+1400)+'Cálculos'!$F$122)*'Cálculos'!$F$246+'Cálculos'!$F$125*(1+2.78*('Cálculos'!$F$198+(($C220)-$A$177:$A$222)*'Cálculos'!$F$98)/(('Cálculos'!$F$198+(($C220)-$A$177:$A$222)*'Cálculos'!$F$98)+1400)+'Cálculos'!$F$123)*'Cálculos'!$F$251)+('Cálculos'!$F$204*(1+'Cálculos'!$F$205+$A$177:$A$222*('Cálculos'!$F$290=3)*'Cálculos'!$F$103)+'Cálculos'!$F$206)*('Cálculos'!$F$242+'Cálculos'!$F$124*(1+2.78*('Cálculos'!$F$198+(($C220)-$A$177:$A$222)*'Cálculos'!$F$98)/(('Cálculos'!$F$198+(($C220)-$A$177:$A$222)*'Cálculos'!$F$98)+1400)+'Cálculos'!$F$122)*'Cálculos'!$F$247+'Cálculos'!$F$125*(1+2.78*('Cálculos'!$F$198+(($C220)-$A$177:$A$222)*'Cálculos'!$F$98)/(('Cálculos'!$F$198+(($C220)-$A$177:$A$222)*'Cálculos'!$F$98)+1400)+'Cálculos'!$F$123)*'Cálculos'!$F$252)+('Cálculos'!$F$243+'Cálculos'!$F$124*(1+2.78*('Cálculos'!$F$198+(($C220)-$A$177:$A$222)*'Cálculos'!$F$98)/(('Cálculos'!$F$198+(($C220)-$A$177:$A$222)*'Cálculos'!$F$98)+1400)+'Cálculos'!$F$122)*'Cálculos'!$F$248+'Cálculos'!$F$125*(1+2.78*('Cálculos'!$F$198+(($C220)-$A$177:$A$222)*'Cálculos'!$F$98)/(('Cálculos'!$F$198+(($C220)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220)-$A$177:$A$222)*'Cálculos'!$F$98)/(('Cálculos'!$F$199+(($C220)-$A$177:$A$222)*'Cálculos'!$F$98)+1400)+'Cálculos'!$F$122)*'Cálculos'!$F$259+'Cálculos'!$F$125*(1+2.78*('Cálculos'!$F$199+(($C220)-$A$177:$A$222)*'Cálculos'!$F$98)/(('Cálculos'!$F$199+(($C220)-$A$177:$A$222)*'Cálculos'!$F$98)+1400)+'Cálculos'!$F$123)*'Cálculos'!$F$264)+('Cálculos'!$F$199+(($C220)-$A$177:$A$222)*'Cálculos'!$F$98)*('Cálculos'!$F$255+'Cálculos'!$F$124*(1+2.78*('Cálculos'!$F$199+(($C220)-$A$177:$A$222)*'Cálculos'!$F$98)/(('Cálculos'!$F$199+(($C220)-$A$177:$A$222)*'Cálculos'!$F$98)+1400)+'Cálculos'!$F$122)*'Cálculos'!$F$260+'Cálculos'!$F$125*(1+2.78*('Cálculos'!$F$199+(($C220)-$A$177:$A$222)*'Cálculos'!$F$98)/(('Cálculos'!$F$199+(($C220)-$A$177:$A$222)*'Cálculos'!$F$98)+1400)+'Cálculos'!$F$123)*'Cálculos'!$F$265)+('Cálculos'!$F$201*(1+'Cálculos'!$F$202+$A$177:$A$222*('Cálculos'!$F$290=2)*'Cálculos'!$F$101)+'Cálculos'!$F$203)*('Cálculos'!$F$256+'Cálculos'!$F$124*(1+2.78*('Cálculos'!$F$199+(($C220)-$A$177:$A$222)*'Cálculos'!$F$98)/(('Cálculos'!$F$199+(($C220)-$A$177:$A$222)*'Cálculos'!$F$98)+1400)+'Cálculos'!$F$122)*'Cálculos'!$F$261+'Cálculos'!$F$125*(1+2.78*('Cálculos'!$F$199+(($C220)-$A$177:$A$222)*'Cálculos'!$F$98)/(('Cálculos'!$F$199+(($C220)-$A$177:$A$222)*'Cálculos'!$F$98)+1400)+'Cálculos'!$F$123)*'Cálculos'!$F$266)+('Cálculos'!$F$204*(1+'Cálculos'!$F$205+$A$177:$A$222*('Cálculos'!$F$290=3)*'Cálculos'!$F$103)+'Cálculos'!$F$206)*('Cálculos'!$F$257+'Cálculos'!$F$124*(1+2.78*('Cálculos'!$F$199+(($C220)-$A$177:$A$222)*'Cálculos'!$F$98)/(('Cálculos'!$F$199+(($C220)-$A$177:$A$222)*'Cálculos'!$F$98)+1400)+'Cálculos'!$F$122)*'Cálculos'!$F$262+'Cálculos'!$F$125*(1+2.78*('Cálculos'!$F$199+(($C220)-$A$177:$A$222)*'Cálculos'!$F$98)/(('Cálculos'!$F$199+(($C220)-$A$177:$A$222)*'Cálculos'!$F$98)+1400)+'Cálculos'!$F$123)*'Cálculos'!$F$267)+('Cálculos'!$F$258+'Cálculos'!$F$124*(1+2.78*('Cálculos'!$F$199+(($C220)-$A$177:$A$222)*'Cálculos'!$F$98)/(('Cálculos'!$F$199+(($C220)-$A$177:$A$222)*'Cálculos'!$F$98)+1400)+'Cálculos'!$F$122)*'Cálculos'!$F$263+'Cálculos'!$F$125*(1+2.78*('Cálculos'!$F$199+(($C220)-$A$177:$A$222)*'Cálculos'!$F$98)/(('Cálculos'!$F$199+(($C220)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220)-$A$177:$A$222)*'Cálculos'!$F$98)/(('Cálculos'!$F$200+(($C220)-$A$177:$A$222)*'Cálculos'!$F$98)+1400)+'Cálculos'!$F$122)*'Cálculos'!$F$274+'Cálculos'!$F$125*(1+2.78*('Cálculos'!$F$200+(($C220)-$A$177:$A$222)*'Cálculos'!$F$98)/(('Cálculos'!$F$200+(($C220)-$A$177:$A$222)*'Cálculos'!$F$98)+1400)+'Cálculos'!$F$123)*'Cálculos'!$F$279)+('Cálculos'!$F$200+(($C220)-$A$177:$A$222)*'Cálculos'!$F$98)*('Cálculos'!$F$270+'Cálculos'!$F$124*(1+2.78*('Cálculos'!$F$200+(($C220)-$A$177:$A$222)*'Cálculos'!$F$98)/(('Cálculos'!$F$200+(($C220)-$A$177:$A$222)*'Cálculos'!$F$98)+1400)+'Cálculos'!$F$122)*'Cálculos'!$F$275+'Cálculos'!$F$125*(1+2.78*('Cálculos'!$F$200+(($C220)-$A$177:$A$222)*'Cálculos'!$F$98)/(('Cálculos'!$F$200+(($C220)-$A$177:$A$222)*'Cálculos'!$F$98)+1400)+'Cálculos'!$F$123)*'Cálculos'!$F$280)+('Cálculos'!$F$201*(1+'Cálculos'!$F$202+$A$177:$A$222*('Cálculos'!$F$290=2)*'Cálculos'!$F$101)+'Cálculos'!$F$203)*('Cálculos'!$F$271+'Cálculos'!$F$124*(1+2.78*('Cálculos'!$F$200+(($C220)-$A$177:$A$222)*'Cálculos'!$F$98)/(('Cálculos'!$F$200+(($C220)-$A$177:$A$222)*'Cálculos'!$F$98)+1400)+'Cálculos'!$F$122)*'Cálculos'!$F$276+'Cálculos'!$F$125*(1+2.78*('Cálculos'!$F$200+(($C220)-$A$177:$A$222)*'Cálculos'!$F$98)/(('Cálculos'!$F$200+(($C220)-$A$177:$A$222)*'Cálculos'!$F$98)+1400)+'Cálculos'!$F$123)*'Cálculos'!$F$281)+('Cálculos'!$F$204*(1+'Cálculos'!$F$205+$A$177:$A$222*('Cálculos'!$F$290=3)*'Cálculos'!$F$103)+'Cálculos'!$F$206)*('Cálculos'!$F$272+'Cálculos'!$F$124*(1+2.78*('Cálculos'!$F$200+(($C220)-$A$177:$A$222)*'Cálculos'!$F$98)/(('Cálculos'!$F$200+(($C220)-$A$177:$A$222)*'Cálculos'!$F$98)+1400)+'Cálculos'!$F$122)*'Cálculos'!$F$277+'Cálculos'!$F$125*(1+2.78*('Cálculos'!$F$200+(($C220)-$A$177:$A$222)*'Cálculos'!$F$98)/(('Cálculos'!$F$200+(($C220)-$A$177:$A$222)*'Cálculos'!$F$98)+1400)+'Cálculos'!$F$123)*'Cálculos'!$F$282)+('Cálculos'!$F$273+'Cálculos'!$F$124*(1+2.78*('Cálculos'!$F$200+(($C220)-$A$177:$A$222)*'Cálculos'!$F$98)/(('Cálculos'!$F$200+(($C220)-$A$177:$A$222)*'Cálculos'!$F$98)+1400)+'Cálculos'!$F$122)*'Cálculos'!$F$278+'Cálculos'!$F$125*(1+2.78*('Cálculos'!$F$200+(($C220)-$A$177:$A$222)*'Cálculos'!$F$98)/(('Cálculos'!$F$200+(($C220)-$A$177:$A$222)*'Cálculos'!$F$98)+1400)+'Cálculos'!$F$123)*'Cálculos'!$F$283)))))</f>
        <v>0</v>
      </c>
      <c r="E220" s="32">
        <f>IF(OR($C220&lt;0,'Cálculos'!$F$6=""),0,$B220*$D220)</f>
        <v>0</v>
      </c>
      <c r="F220" s="2"/>
      <c r="G220" s="30">
        <f>($A220&lt;=$B$224)*($A220&lt;='Cálculos'!$F$294)*(($B$224)-$A220&lt;='Cálculos'!$F$295)*(1+MIN(('Cálculos'!$F$207+$A220*'Cálculos'!$F$95),1)*('Cálculos'!$F$208+(($B$224)-$A220)*'Cálculos'!$F$96))</f>
        <v>0</v>
      </c>
      <c r="H220" s="31">
        <f>IF($B$225&lt;0,0,($A220&lt;=$B$225)*($A220&lt;='Cálculos'!$F$301)*(($B$225)-$A220&lt;='Cálculos'!$F$297)*(('Cálculos'!$F$185*(1+'Cálculos'!$F$186+$A220*('Cálculos'!$F$290=1)*'Cálculos'!$F$97+'Cálculos'!$F$305)+'Cálculos'!$F$191)*('Cálculos'!$F$209+'Cálculos'!$F$124*(1+2.78*('Cálculos'!$F$196+(($B$225)-$A220)*'Cálculos'!$F$98)/(('Cálculos'!$F$196+(($B$225)-$A220)*'Cálculos'!$F$98)+1400)+'Cálculos'!$F$122)*'Cálculos'!$F$214+'Cálculos'!$F$125*(1+2.78*('Cálculos'!$F$196+(($B$225)-$A220)*'Cálculos'!$F$98)/(('Cálculos'!$F$196+(($B$225)-$A220)*'Cálculos'!$F$98)+1400)+'Cálculos'!$F$123)*'Cálculos'!$F$219)+('Cálculos'!$F$196+(($B$225)-$A220)*'Cálculos'!$F$98)*('Cálculos'!$F$210+'Cálculos'!$F$124*(1+2.78*('Cálculos'!$F$196+(($B$225)-$A220)*'Cálculos'!$F$98)/(('Cálculos'!$F$196+(($B$225)-$A220)*'Cálculos'!$F$98)+1400)+'Cálculos'!$F$122)*'Cálculos'!$F$215+'Cálculos'!$F$125*(1+2.78*('Cálculos'!$F$196+(($B$225)-$A220)*'Cálculos'!$F$98)/(('Cálculos'!$F$196+(($B$225)-$A220)*'Cálculos'!$F$98)+1400)+'Cálculos'!$F$123)*'Cálculos'!$F$220)+('Cálculos'!$F$201*(1+'Cálculos'!$F$202+$A220*('Cálculos'!$F$290=2)*'Cálculos'!$F$101)+'Cálculos'!$F$203)*('Cálculos'!$F$211+'Cálculos'!$F$124*(1+2.78*('Cálculos'!$F$196+(($B$225)-$A220)*'Cálculos'!$F$98)/(('Cálculos'!$F$196+(($B$225)-$A220)*'Cálculos'!$F$98)+1400)+'Cálculos'!$F$122)*'Cálculos'!$F$216+'Cálculos'!$F$125*(1+2.78*('Cálculos'!$F$196+(($B$225)-$A220)*'Cálculos'!$F$98)/(('Cálculos'!$F$196+(($B$225)-$A220)*'Cálculos'!$F$98)+1400)+'Cálculos'!$F$123)*'Cálculos'!$F$221)+('Cálculos'!$F$204*(1+'Cálculos'!$F$205+$A220*('Cálculos'!$F$290=3)*'Cálculos'!$F$103)+'Cálculos'!$F$206)*('Cálculos'!$F$212+'Cálculos'!$F$124*(1+2.78*('Cálculos'!$F$196+(($B$225)-$A220)*'Cálculos'!$F$98)/(('Cálculos'!$F$196+(($B$225)-$A220)*'Cálculos'!$F$98)+1400)+'Cálculos'!$F$122)*'Cálculos'!$F$217+'Cálculos'!$F$125*(1+2.78*('Cálculos'!$F$196+(($B$225)-$A220)*'Cálculos'!$F$98)/(('Cálculos'!$F$196+(($B$225)-$A220)*'Cálculos'!$F$98)+1400)+'Cálculos'!$F$123)*'Cálculos'!$F$222)+('Cálculos'!$F$213+'Cálculos'!$F$124*(1+2.78*('Cálculos'!$F$196+(($B$225)-$A220)*'Cálculos'!$F$98)/(('Cálculos'!$F$196+(($B$225)-$A220)*'Cálculos'!$F$98)+1400)+'Cálculos'!$F$122)*'Cálculos'!$F$218+'Cálculos'!$F$125*(1+2.78*('Cálculos'!$F$196+(($B$225)-$A220)*'Cálculos'!$F$98)/(('Cálculos'!$F$196+(($B$225)-$A220)*'Cálculos'!$F$98)+1400)+'Cálculos'!$F$123)*'Cálculos'!$F$223)+('Cálculos'!$F$185*(1+'Cálculos'!$F$187+$A220*('Cálculos'!$F$290=1)*'Cálculos'!$F$97+'Cálculos'!$F$305)+'Cálculos'!$F$192)*('Cálculos'!$F$224+'Cálculos'!$F$124*(1+2.78*('Cálculos'!$F$197+(($B$225)-$A220)*'Cálculos'!$F$98)/(('Cálculos'!$F$197+(($B$225)-$A220)*'Cálculos'!$F$98)+1400)+'Cálculos'!$F$122)*'Cálculos'!$F$229+'Cálculos'!$F$125*(1+2.78*('Cálculos'!$F$197+(($B$225)-$A220)*'Cálculos'!$F$98)/(('Cálculos'!$F$197+(($B$225)-$A220)*'Cálculos'!$F$98)+1400)+'Cálculos'!$F$123)*'Cálculos'!$F$234)+('Cálculos'!$F$197+(($B$225)-$A220)*'Cálculos'!$F$98)*('Cálculos'!$F$225+'Cálculos'!$F$124*(1+2.78*('Cálculos'!$F$197+(($B$225)-$A220)*'Cálculos'!$F$98)/(('Cálculos'!$F$197+(($B$225)-$A220)*'Cálculos'!$F$98)+1400)+'Cálculos'!$F$122)*'Cálculos'!$F$230+'Cálculos'!$F$125*(1+2.78*('Cálculos'!$F$197+(($B$225)-$A220)*'Cálculos'!$F$98)/(('Cálculos'!$F$197+(($B$225)-$A220)*'Cálculos'!$F$98)+1400)+'Cálculos'!$F$123)*'Cálculos'!$F$235)+('Cálculos'!$F$201*(1+'Cálculos'!$F$202+$A220*('Cálculos'!$F$290=2)*'Cálculos'!$F$101)+'Cálculos'!$F$203)*('Cálculos'!$F$226+'Cálculos'!$F$124*(1+2.78*('Cálculos'!$F$197+(($B$225)-$A220)*'Cálculos'!$F$98)/(('Cálculos'!$F$197+(($B$225)-$A220)*'Cálculos'!$F$98)+1400)+'Cálculos'!$F$122)*'Cálculos'!$F$231+'Cálculos'!$F$125*(1+2.78*('Cálculos'!$F$197+(($B$225)-$A220)*'Cálculos'!$F$98)/(('Cálculos'!$F$197+(($B$225)-$A220)*'Cálculos'!$F$98)+1400)+'Cálculos'!$F$123)*'Cálculos'!$F$236)+('Cálculos'!$F$204*(1+'Cálculos'!$F$205+$A220*('Cálculos'!$F$290=3)*'Cálculos'!$F$103)+'Cálculos'!$F$206)*('Cálculos'!$F$227+'Cálculos'!$F$124*(1+2.78*('Cálculos'!$F$197+(($B$225)-$A220)*'Cálculos'!$F$98)/(('Cálculos'!$F$197+(($B$225)-$A220)*'Cálculos'!$F$98)+1400)+'Cálculos'!$F$122)*'Cálculos'!$F$232+'Cálculos'!$F$125*(1+2.78*('Cálculos'!$F$197+(($B$225)-$A220)*'Cálculos'!$F$98)/(('Cálculos'!$F$197+(($B$225)-$A220)*'Cálculos'!$F$98)+1400)+'Cálculos'!$F$123)*'Cálculos'!$F$237)+('Cálculos'!$F$228+'Cálculos'!$F$124*(1+2.78*('Cálculos'!$F$197+(($B$225)-$A220)*'Cálculos'!$F$98)/(('Cálculos'!$F$197+(($B$225)-$A220)*'Cálculos'!$F$98)+1400)+'Cálculos'!$F$122)*'Cálculos'!$F$233+'Cálculos'!$F$125*(1+2.78*('Cálculos'!$F$197+(($B$225)-$A220)*'Cálculos'!$F$98)/(('Cálculos'!$F$197+(($B$225)-$A220)*'Cálculos'!$F$98)+1400)+'Cálculos'!$F$123)*'Cálculos'!$F$238)+('Cálculos'!$F$185*(1+'Cálculos'!$F$188+$A220*('Cálculos'!$F$290=1)*'Cálculos'!$F$97+'Cálculos'!$F$305)+'Cálculos'!$F$193)*('Cálculos'!$F$239+'Cálculos'!$F$124*(1+2.78*('Cálculos'!$F$198+(($B$225)-$A220)*'Cálculos'!$F$98)/(('Cálculos'!$F$198+(($B$225)-$A220)*'Cálculos'!$F$98)+1400)+'Cálculos'!$F$122)*'Cálculos'!$F$244+'Cálculos'!$F$125*(1+2.78*('Cálculos'!$F$198+(($B$225)-$A220)*'Cálculos'!$F$98)/(('Cálculos'!$F$198+(($B$225)-$A220)*'Cálculos'!$F$98)+1400)+'Cálculos'!$F$123)*'Cálculos'!$F$249)+('Cálculos'!$F$198+(($B$225)-$A220)*'Cálculos'!$F$98)*('Cálculos'!$F$240+'Cálculos'!$F$124*(1+2.78*('Cálculos'!$F$198+(($B$225)-$A220)*'Cálculos'!$F$98)/(('Cálculos'!$F$198+(($B$225)-$A220)*'Cálculos'!$F$98)+1400)+'Cálculos'!$F$122)*'Cálculos'!$F$245+'Cálculos'!$F$125*(1+2.78*('Cálculos'!$F$198+(($B$225)-$A220)*'Cálculos'!$F$98)/(('Cálculos'!$F$198+(($B$225)-$A220)*'Cálculos'!$F$98)+1400)+'Cálculos'!$F$123)*'Cálculos'!$F$250)+('Cálculos'!$F$201*(1+'Cálculos'!$F$202+$A220*('Cálculos'!$F$290=2)*'Cálculos'!$F$101)+'Cálculos'!$F$203)*('Cálculos'!$F$241+'Cálculos'!$F$124*(1+2.78*('Cálculos'!$F$198+(($B$225)-$A220)*'Cálculos'!$F$98)/(('Cálculos'!$F$198+(($B$225)-$A220)*'Cálculos'!$F$98)+1400)+'Cálculos'!$F$122)*'Cálculos'!$F$246+'Cálculos'!$F$125*(1+2.78*('Cálculos'!$F$198+(($B$225)-$A220)*'Cálculos'!$F$98)/(('Cálculos'!$F$198+(($B$225)-$A220)*'Cálculos'!$F$98)+1400)+'Cálculos'!$F$123)*'Cálculos'!$F$251)+('Cálculos'!$F$204*(1+'Cálculos'!$F$205+$A220*('Cálculos'!$F$290=3)*'Cálculos'!$F$103)+'Cálculos'!$F$206)*('Cálculos'!$F$242+'Cálculos'!$F$124*(1+2.78*('Cálculos'!$F$198+(($B$225)-$A220)*'Cálculos'!$F$98)/(('Cálculos'!$F$198+(($B$225)-$A220)*'Cálculos'!$F$98)+1400)+'Cálculos'!$F$122)*'Cálculos'!$F$247+'Cálculos'!$F$125*(1+2.78*('Cálculos'!$F$198+(($B$225)-$A220)*'Cálculos'!$F$98)/(('Cálculos'!$F$198+(($B$225)-$A220)*'Cálculos'!$F$98)+1400)+'Cálculos'!$F$123)*'Cálculos'!$F$252)+('Cálculos'!$F$243+'Cálculos'!$F$124*(1+2.78*('Cálculos'!$F$198+(($B$225)-$A220)*'Cálculos'!$F$98)/(('Cálculos'!$F$198+(($B$225)-$A220)*'Cálculos'!$F$98)+1400)+'Cálculos'!$F$122)*'Cálculos'!$F$248+'Cálculos'!$F$125*(1+2.78*('Cálculos'!$F$198+(($B$225)-$A220)*'Cálculos'!$F$98)/(('Cálculos'!$F$198+(($B$225)-$A220)*'Cálculos'!$F$98)+1400)+'Cálculos'!$F$123)*'Cálculos'!$F$253)+('Cálculos'!$F$185*(1+'Cálculos'!$F$189+$A220*('Cálculos'!$F$290=1)*'Cálculos'!$F$97+'Cálculos'!$F$305)+'Cálculos'!$F$194)*('Cálculos'!$F$254+'Cálculos'!$F$124*(1+2.78*('Cálculos'!$F$199+(($B$225)-$A220)*'Cálculos'!$F$98)/(('Cálculos'!$F$199+(($B$225)-$A220)*'Cálculos'!$F$98)+1400)+'Cálculos'!$F$122)*'Cálculos'!$F$259+'Cálculos'!$F$125*(1+2.78*('Cálculos'!$F$199+(($B$225)-$A220)*'Cálculos'!$F$98)/(('Cálculos'!$F$199+(($B$225)-$A220)*'Cálculos'!$F$98)+1400)+'Cálculos'!$F$123)*'Cálculos'!$F$264)+('Cálculos'!$F$199+(($B$225)-$A220)*'Cálculos'!$F$98)*('Cálculos'!$F$255+'Cálculos'!$F$124*(1+2.78*('Cálculos'!$F$199+(($B$225)-$A220)*'Cálculos'!$F$98)/(('Cálculos'!$F$199+(($B$225)-$A220)*'Cálculos'!$F$98)+1400)+'Cálculos'!$F$122)*'Cálculos'!$F$260+'Cálculos'!$F$125*(1+2.78*('Cálculos'!$F$199+(($B$225)-$A220)*'Cálculos'!$F$98)/(('Cálculos'!$F$199+(($B$225)-$A220)*'Cálculos'!$F$98)+1400)+'Cálculos'!$F$123)*'Cálculos'!$F$265)+('Cálculos'!$F$201*(1+'Cálculos'!$F$202+$A220*('Cálculos'!$F$290=2)*'Cálculos'!$F$101)+'Cálculos'!$F$203)*('Cálculos'!$F$256+'Cálculos'!$F$124*(1+2.78*('Cálculos'!$F$199+(($B$225)-$A220)*'Cálculos'!$F$98)/(('Cálculos'!$F$199+(($B$225)-$A220)*'Cálculos'!$F$98)+1400)+'Cálculos'!$F$122)*'Cálculos'!$F$261+'Cálculos'!$F$125*(1+2.78*('Cálculos'!$F$199+(($B$225)-$A220)*'Cálculos'!$F$98)/(('Cálculos'!$F$199+(($B$225)-$A220)*'Cálculos'!$F$98)+1400)+'Cálculos'!$F$123)*'Cálculos'!$F$266)+('Cálculos'!$F$204*(1+'Cálculos'!$F$205+$A220*('Cálculos'!$F$290=3)*'Cálculos'!$F$103)+'Cálculos'!$F$206)*('Cálculos'!$F$257+'Cálculos'!$F$124*(1+2.78*('Cálculos'!$F$199+(($B$225)-$A220)*'Cálculos'!$F$98)/(('Cálculos'!$F$199+(($B$225)-$A220)*'Cálculos'!$F$98)+1400)+'Cálculos'!$F$122)*'Cálculos'!$F$262+'Cálculos'!$F$125*(1+2.78*('Cálculos'!$F$199+(($B$225)-$A220)*'Cálculos'!$F$98)/(('Cálculos'!$F$199+(($B$225)-$A220)*'Cálculos'!$F$98)+1400)+'Cálculos'!$F$123)*'Cálculos'!$F$267)+('Cálculos'!$F$258+'Cálculos'!$F$124*(1+2.78*('Cálculos'!$F$199+(($B$225)-$A220)*'Cálculos'!$F$98)/(('Cálculos'!$F$199+(($B$225)-$A220)*'Cálculos'!$F$98)+1400)+'Cálculos'!$F$122)*'Cálculos'!$F$263+'Cálculos'!$F$125*(1+2.78*('Cálculos'!$F$199+(($B$225)-$A220)*'Cálculos'!$F$98)/(('Cálculos'!$F$199+(($B$225)-$A220)*'Cálculos'!$F$98)+1400)+'Cálculos'!$F$123)*'Cálculos'!$F$268)+('Cálculos'!$F$185*(1+'Cálculos'!$F$190+$A220*('Cálculos'!$F$290=1)*'Cálculos'!$F$97+'Cálculos'!$F$305)+'Cálculos'!$F$195)*('Cálculos'!$F$269+'Cálculos'!$F$124*(1+2.78*('Cálculos'!$F$200+(($B$225)-$A220)*'Cálculos'!$F$98)/(('Cálculos'!$F$200+(($B$225)-$A220)*'Cálculos'!$F$98)+1400)+'Cálculos'!$F$122)*'Cálculos'!$F$274+'Cálculos'!$F$125*(1+2.78*('Cálculos'!$F$200+(($B$225)-$A220)*'Cálculos'!$F$98)/(('Cálculos'!$F$200+(($B$225)-$A220)*'Cálculos'!$F$98)+1400)+'Cálculos'!$F$123)*'Cálculos'!$F$279)+('Cálculos'!$F$200+(($B$225)-$A220)*'Cálculos'!$F$98)*('Cálculos'!$F$270+'Cálculos'!$F$124*(1+2.78*('Cálculos'!$F$200+(($B$225)-$A220)*'Cálculos'!$F$98)/(('Cálculos'!$F$200+(($B$225)-$A220)*'Cálculos'!$F$98)+1400)+'Cálculos'!$F$122)*'Cálculos'!$F$275+'Cálculos'!$F$125*(1+2.78*('Cálculos'!$F$200+(($B$225)-$A220)*'Cálculos'!$F$98)/(('Cálculos'!$F$200+(($B$225)-$A220)*'Cálculos'!$F$98)+1400)+'Cálculos'!$F$123)*'Cálculos'!$F$280)+('Cálculos'!$F$201*(1+'Cálculos'!$F$202+$A220*('Cálculos'!$F$290=2)*'Cálculos'!$F$101)+'Cálculos'!$F$203)*('Cálculos'!$F$271+'Cálculos'!$F$124*(1+2.78*('Cálculos'!$F$200+(($B$225)-$A220)*'Cálculos'!$F$98)/(('Cálculos'!$F$200+(($B$225)-$A220)*'Cálculos'!$F$98)+1400)+'Cálculos'!$F$122)*'Cálculos'!$F$276+'Cálculos'!$F$125*(1+2.78*('Cálculos'!$F$200+(($B$225)-$A220)*'Cálculos'!$F$98)/(('Cálculos'!$F$200+(($B$225)-$A220)*'Cálculos'!$F$98)+1400)+'Cálculos'!$F$123)*'Cálculos'!$F$281)+('Cálculos'!$F$204*(1+'Cálculos'!$F$205+$A220*('Cálculos'!$F$290=3)*'Cálculos'!$F$103)+'Cálculos'!$F$206)*('Cálculos'!$F$272+'Cálculos'!$F$124*(1+2.78*('Cálculos'!$F$200+(($B$225)-$A220)*'Cálculos'!$F$98)/(('Cálculos'!$F$200+(($B$225)-$A220)*'Cálculos'!$F$98)+1400)+'Cálculos'!$F$122)*'Cálculos'!$F$277+'Cálculos'!$F$125*(1+2.78*('Cálculos'!$F$200+(($B$225)-$A220)*'Cálculos'!$F$98)/(('Cálculos'!$F$200+(($B$225)-$A220)*'Cálculos'!$F$98)+1400)+'Cálculos'!$F$123)*'Cálculos'!$F$282)+('Cálculos'!$F$273+'Cálculos'!$F$124*(1+2.78*('Cálculos'!$F$200+(($B$225)-$A220)*'Cálculos'!$F$98)/(('Cálculos'!$F$200+(($B$225)-$A220)*'Cálculos'!$F$98)+1400)+'Cálculos'!$F$122)*'Cálculos'!$F$278+'Cálculos'!$F$125*(1+2.78*('Cálculos'!$F$200+(($B$225)-$A220)*'Cálculos'!$F$98)/(('Cálculos'!$F$200+(($B$225)-$A220)*'Cálculos'!$F$98)+1400)+'Cálculos'!$F$123)*'Cálculos'!$F$283)))</f>
        <v>0</v>
      </c>
    </row>
    <row r="221" ht="15.75" customHeight="1">
      <c r="A221" s="2">
        <v>44.0</v>
      </c>
      <c r="B221" s="30">
        <f>SUMPRODUCT(MAX(($A$177:$A$222&lt;=$A221)*($A$177:$A$222&lt;='Cálculos'!$F$294)*(($A221)-$A$177:$A$222&lt;='Cálculos'!$F$295)*(1+(('Cálculos'!$F$207+$A$177:$A$222*'Cálculos'!$F$95)-(('Cálculos'!$F$207+$A$177:$A$222*'Cálculos'!$F$95)&gt;1)*(('Cálculos'!$F$207+$A$177:$A$222*'Cálculos'!$F$95)-1))*('Cálculos'!$F$208+(($A221)-$A$177:$A$222)*'Cálculos'!$F$96))))</f>
        <v>4.01834</v>
      </c>
      <c r="C221" s="2">
        <f>'Cálculos'!$F$303-$A221</f>
        <v>-26</v>
      </c>
      <c r="D221" s="31">
        <f>IF($C221&lt;0,0,SUMPRODUCT(MAX(($A$177:$A$222&lt;=$C221)*($A$177:$A$222&lt;='Cálculos'!$F$301)*(($C221)-$A$177:$A$222&lt;='Cálculos'!$F$297)*(('Cálculos'!$F$185*(1+'Cálculos'!$F$186+$A$177:$A$222*('Cálculos'!$F$290=1)*'Cálculos'!$F$97+'Cálculos'!$F$305)+'Cálculos'!$F$191)*('Cálculos'!$F$209+'Cálculos'!$F$124*(1+2.78*('Cálculos'!$F$196+(($C221)-$A$177:$A$222)*'Cálculos'!$F$98)/(('Cálculos'!$F$196+(($C221)-$A$177:$A$222)*'Cálculos'!$F$98)+1400)+'Cálculos'!$F$122)*'Cálculos'!$F$214+'Cálculos'!$F$125*(1+2.78*('Cálculos'!$F$196+(($C221)-$A$177:$A$222)*'Cálculos'!$F$98)/(('Cálculos'!$F$196+(($C221)-$A$177:$A$222)*'Cálculos'!$F$98)+1400)+'Cálculos'!$F$123)*'Cálculos'!$F$219)+('Cálculos'!$F$196+(($C221)-$A$177:$A$222)*'Cálculos'!$F$98)*('Cálculos'!$F$210+'Cálculos'!$F$124*(1+2.78*('Cálculos'!$F$196+(($C221)-$A$177:$A$222)*'Cálculos'!$F$98)/(('Cálculos'!$F$196+(($C221)-$A$177:$A$222)*'Cálculos'!$F$98)+1400)+'Cálculos'!$F$122)*'Cálculos'!$F$215+'Cálculos'!$F$125*(1+2.78*('Cálculos'!$F$196+(($C221)-$A$177:$A$222)*'Cálculos'!$F$98)/(('Cálculos'!$F$196+(($C221)-$A$177:$A$222)*'Cálculos'!$F$98)+1400)+'Cálculos'!$F$123)*'Cálculos'!$F$220)+('Cálculos'!$F$201*(1+'Cálculos'!$F$202+$A$177:$A$222*('Cálculos'!$F$290=2)*'Cálculos'!$F$101)+'Cálculos'!$F$203)*('Cálculos'!$F$211+'Cálculos'!$F$124*(1+2.78*('Cálculos'!$F$196+(($C221)-$A$177:$A$222)*'Cálculos'!$F$98)/(('Cálculos'!$F$196+(($C221)-$A$177:$A$222)*'Cálculos'!$F$98)+1400)+'Cálculos'!$F$122)*'Cálculos'!$F$216+'Cálculos'!$F$125*(1+2.78*('Cálculos'!$F$196+(($C221)-$A$177:$A$222)*'Cálculos'!$F$98)/(('Cálculos'!$F$196+(($C221)-$A$177:$A$222)*'Cálculos'!$F$98)+1400)+'Cálculos'!$F$123)*'Cálculos'!$F$221)+('Cálculos'!$F$204*(1+'Cálculos'!$F$205+$A$177:$A$222*('Cálculos'!$F$290=3)*'Cálculos'!$F$103)+'Cálculos'!$F$206)*('Cálculos'!$F$212+'Cálculos'!$F$124*(1+2.78*('Cálculos'!$F$196+(($C221)-$A$177:$A$222)*'Cálculos'!$F$98)/(('Cálculos'!$F$196+(($C221)-$A$177:$A$222)*'Cálculos'!$F$98)+1400)+'Cálculos'!$F$122)*'Cálculos'!$F$217+'Cálculos'!$F$125*(1+2.78*('Cálculos'!$F$196+(($C221)-$A$177:$A$222)*'Cálculos'!$F$98)/(('Cálculos'!$F$196+(($C221)-$A$177:$A$222)*'Cálculos'!$F$98)+1400)+'Cálculos'!$F$123)*'Cálculos'!$F$222)+('Cálculos'!$F$213+'Cálculos'!$F$124*(1+2.78*('Cálculos'!$F$196+(($C221)-$A$177:$A$222)*'Cálculos'!$F$98)/(('Cálculos'!$F$196+(($C221)-$A$177:$A$222)*'Cálculos'!$F$98)+1400)+'Cálculos'!$F$122)*'Cálculos'!$F$218+'Cálculos'!$F$125*(1+2.78*('Cálculos'!$F$196+(($C221)-$A$177:$A$222)*'Cálculos'!$F$98)/(('Cálculos'!$F$196+(($C221)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221)-$A$177:$A$222)*'Cálculos'!$F$98)/(('Cálculos'!$F$197+(($C221)-$A$177:$A$222)*'Cálculos'!$F$98)+1400)+'Cálculos'!$F$122)*'Cálculos'!$F$229+'Cálculos'!$F$125*(1+2.78*('Cálculos'!$F$197+(($C221)-$A$177:$A$222)*'Cálculos'!$F$98)/(('Cálculos'!$F$197+(($C221)-$A$177:$A$222)*'Cálculos'!$F$98)+1400)+'Cálculos'!$F$123)*'Cálculos'!$F$234)+('Cálculos'!$F$197+(($C221)-$A$177:$A$222)*'Cálculos'!$F$98)*('Cálculos'!$F$225+'Cálculos'!$F$124*(1+2.78*('Cálculos'!$F$197+(($C221)-$A$177:$A$222)*'Cálculos'!$F$98)/(('Cálculos'!$F$197+(($C221)-$A$177:$A$222)*'Cálculos'!$F$98)+1400)+'Cálculos'!$F$122)*'Cálculos'!$F$230+'Cálculos'!$F$125*(1+2.78*('Cálculos'!$F$197+(($C221)-$A$177:$A$222)*'Cálculos'!$F$98)/(('Cálculos'!$F$197+(($C221)-$A$177:$A$222)*'Cálculos'!$F$98)+1400)+'Cálculos'!$F$123)*'Cálculos'!$F$235)+('Cálculos'!$F$201*(1+'Cálculos'!$F$202+$A$177:$A$222*('Cálculos'!$F$290=2)*'Cálculos'!$F$101)+'Cálculos'!$F$203)*('Cálculos'!$F$226+'Cálculos'!$F$124*(1+2.78*('Cálculos'!$F$197+(($C221)-$A$177:$A$222)*'Cálculos'!$F$98)/(('Cálculos'!$F$197+(($C221)-$A$177:$A$222)*'Cálculos'!$F$98)+1400)+'Cálculos'!$F$122)*'Cálculos'!$F$231+'Cálculos'!$F$125*(1+2.78*('Cálculos'!$F$197+(($C221)-$A$177:$A$222)*'Cálculos'!$F$98)/(('Cálculos'!$F$197+(($C221)-$A$177:$A$222)*'Cálculos'!$F$98)+1400)+'Cálculos'!$F$123)*'Cálculos'!$F$236)+('Cálculos'!$F$204*(1+'Cálculos'!$F$205+$A$177:$A$222*('Cálculos'!$F$290=3)*'Cálculos'!$F$103)+'Cálculos'!$F$206)*('Cálculos'!$F$227+'Cálculos'!$F$124*(1+2.78*('Cálculos'!$F$197+(($C221)-$A$177:$A$222)*'Cálculos'!$F$98)/(('Cálculos'!$F$197+(($C221)-$A$177:$A$222)*'Cálculos'!$F$98)+1400)+'Cálculos'!$F$122)*'Cálculos'!$F$232+'Cálculos'!$F$125*(1+2.78*('Cálculos'!$F$197+(($C221)-$A$177:$A$222)*'Cálculos'!$F$98)/(('Cálculos'!$F$197+(($C221)-$A$177:$A$222)*'Cálculos'!$F$98)+1400)+'Cálculos'!$F$123)*'Cálculos'!$F$237)+('Cálculos'!$F$228+'Cálculos'!$F$124*(1+2.78*('Cálculos'!$F$197+(($C221)-$A$177:$A$222)*'Cálculos'!$F$98)/(('Cálculos'!$F$197+(($C221)-$A$177:$A$222)*'Cálculos'!$F$98)+1400)+'Cálculos'!$F$122)*'Cálculos'!$F$233+'Cálculos'!$F$125*(1+2.78*('Cálculos'!$F$197+(($C221)-$A$177:$A$222)*'Cálculos'!$F$98)/(('Cálculos'!$F$197+(($C221)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221)-$A$177:$A$222)*'Cálculos'!$F$98)/(('Cálculos'!$F$198+(($C221)-$A$177:$A$222)*'Cálculos'!$F$98)+1400)+'Cálculos'!$F$122)*'Cálculos'!$F$244+'Cálculos'!$F$125*(1+2.78*('Cálculos'!$F$198+(($C221)-$A$177:$A$222)*'Cálculos'!$F$98)/(('Cálculos'!$F$198+(($C221)-$A$177:$A$222)*'Cálculos'!$F$98)+1400)+'Cálculos'!$F$123)*'Cálculos'!$F$249)+('Cálculos'!$F$198+(($C221)-$A$177:$A$222)*'Cálculos'!$F$98)*('Cálculos'!$F$240+'Cálculos'!$F$124*(1+2.78*('Cálculos'!$F$198+(($C221)-$A$177:$A$222)*'Cálculos'!$F$98)/(('Cálculos'!$F$198+(($C221)-$A$177:$A$222)*'Cálculos'!$F$98)+1400)+'Cálculos'!$F$122)*'Cálculos'!$F$245+'Cálculos'!$F$125*(1+2.78*('Cálculos'!$F$198+(($C221)-$A$177:$A$222)*'Cálculos'!$F$98)/(('Cálculos'!$F$198+(($C221)-$A$177:$A$222)*'Cálculos'!$F$98)+1400)+'Cálculos'!$F$123)*'Cálculos'!$F$250)+('Cálculos'!$F$201*(1+'Cálculos'!$F$202+$A$177:$A$222*('Cálculos'!$F$290=2)*'Cálculos'!$F$101)+'Cálculos'!$F$203)*('Cálculos'!$F$241+'Cálculos'!$F$124*(1+2.78*('Cálculos'!$F$198+(($C221)-$A$177:$A$222)*'Cálculos'!$F$98)/(('Cálculos'!$F$198+(($C221)-$A$177:$A$222)*'Cálculos'!$F$98)+1400)+'Cálculos'!$F$122)*'Cálculos'!$F$246+'Cálculos'!$F$125*(1+2.78*('Cálculos'!$F$198+(($C221)-$A$177:$A$222)*'Cálculos'!$F$98)/(('Cálculos'!$F$198+(($C221)-$A$177:$A$222)*'Cálculos'!$F$98)+1400)+'Cálculos'!$F$123)*'Cálculos'!$F$251)+('Cálculos'!$F$204*(1+'Cálculos'!$F$205+$A$177:$A$222*('Cálculos'!$F$290=3)*'Cálculos'!$F$103)+'Cálculos'!$F$206)*('Cálculos'!$F$242+'Cálculos'!$F$124*(1+2.78*('Cálculos'!$F$198+(($C221)-$A$177:$A$222)*'Cálculos'!$F$98)/(('Cálculos'!$F$198+(($C221)-$A$177:$A$222)*'Cálculos'!$F$98)+1400)+'Cálculos'!$F$122)*'Cálculos'!$F$247+'Cálculos'!$F$125*(1+2.78*('Cálculos'!$F$198+(($C221)-$A$177:$A$222)*'Cálculos'!$F$98)/(('Cálculos'!$F$198+(($C221)-$A$177:$A$222)*'Cálculos'!$F$98)+1400)+'Cálculos'!$F$123)*'Cálculos'!$F$252)+('Cálculos'!$F$243+'Cálculos'!$F$124*(1+2.78*('Cálculos'!$F$198+(($C221)-$A$177:$A$222)*'Cálculos'!$F$98)/(('Cálculos'!$F$198+(($C221)-$A$177:$A$222)*'Cálculos'!$F$98)+1400)+'Cálculos'!$F$122)*'Cálculos'!$F$248+'Cálculos'!$F$125*(1+2.78*('Cálculos'!$F$198+(($C221)-$A$177:$A$222)*'Cálculos'!$F$98)/(('Cálculos'!$F$198+(($C221)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221)-$A$177:$A$222)*'Cálculos'!$F$98)/(('Cálculos'!$F$199+(($C221)-$A$177:$A$222)*'Cálculos'!$F$98)+1400)+'Cálculos'!$F$122)*'Cálculos'!$F$259+'Cálculos'!$F$125*(1+2.78*('Cálculos'!$F$199+(($C221)-$A$177:$A$222)*'Cálculos'!$F$98)/(('Cálculos'!$F$199+(($C221)-$A$177:$A$222)*'Cálculos'!$F$98)+1400)+'Cálculos'!$F$123)*'Cálculos'!$F$264)+('Cálculos'!$F$199+(($C221)-$A$177:$A$222)*'Cálculos'!$F$98)*('Cálculos'!$F$255+'Cálculos'!$F$124*(1+2.78*('Cálculos'!$F$199+(($C221)-$A$177:$A$222)*'Cálculos'!$F$98)/(('Cálculos'!$F$199+(($C221)-$A$177:$A$222)*'Cálculos'!$F$98)+1400)+'Cálculos'!$F$122)*'Cálculos'!$F$260+'Cálculos'!$F$125*(1+2.78*('Cálculos'!$F$199+(($C221)-$A$177:$A$222)*'Cálculos'!$F$98)/(('Cálculos'!$F$199+(($C221)-$A$177:$A$222)*'Cálculos'!$F$98)+1400)+'Cálculos'!$F$123)*'Cálculos'!$F$265)+('Cálculos'!$F$201*(1+'Cálculos'!$F$202+$A$177:$A$222*('Cálculos'!$F$290=2)*'Cálculos'!$F$101)+'Cálculos'!$F$203)*('Cálculos'!$F$256+'Cálculos'!$F$124*(1+2.78*('Cálculos'!$F$199+(($C221)-$A$177:$A$222)*'Cálculos'!$F$98)/(('Cálculos'!$F$199+(($C221)-$A$177:$A$222)*'Cálculos'!$F$98)+1400)+'Cálculos'!$F$122)*'Cálculos'!$F$261+'Cálculos'!$F$125*(1+2.78*('Cálculos'!$F$199+(($C221)-$A$177:$A$222)*'Cálculos'!$F$98)/(('Cálculos'!$F$199+(($C221)-$A$177:$A$222)*'Cálculos'!$F$98)+1400)+'Cálculos'!$F$123)*'Cálculos'!$F$266)+('Cálculos'!$F$204*(1+'Cálculos'!$F$205+$A$177:$A$222*('Cálculos'!$F$290=3)*'Cálculos'!$F$103)+'Cálculos'!$F$206)*('Cálculos'!$F$257+'Cálculos'!$F$124*(1+2.78*('Cálculos'!$F$199+(($C221)-$A$177:$A$222)*'Cálculos'!$F$98)/(('Cálculos'!$F$199+(($C221)-$A$177:$A$222)*'Cálculos'!$F$98)+1400)+'Cálculos'!$F$122)*'Cálculos'!$F$262+'Cálculos'!$F$125*(1+2.78*('Cálculos'!$F$199+(($C221)-$A$177:$A$222)*'Cálculos'!$F$98)/(('Cálculos'!$F$199+(($C221)-$A$177:$A$222)*'Cálculos'!$F$98)+1400)+'Cálculos'!$F$123)*'Cálculos'!$F$267)+('Cálculos'!$F$258+'Cálculos'!$F$124*(1+2.78*('Cálculos'!$F$199+(($C221)-$A$177:$A$222)*'Cálculos'!$F$98)/(('Cálculos'!$F$199+(($C221)-$A$177:$A$222)*'Cálculos'!$F$98)+1400)+'Cálculos'!$F$122)*'Cálculos'!$F$263+'Cálculos'!$F$125*(1+2.78*('Cálculos'!$F$199+(($C221)-$A$177:$A$222)*'Cálculos'!$F$98)/(('Cálculos'!$F$199+(($C221)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221)-$A$177:$A$222)*'Cálculos'!$F$98)/(('Cálculos'!$F$200+(($C221)-$A$177:$A$222)*'Cálculos'!$F$98)+1400)+'Cálculos'!$F$122)*'Cálculos'!$F$274+'Cálculos'!$F$125*(1+2.78*('Cálculos'!$F$200+(($C221)-$A$177:$A$222)*'Cálculos'!$F$98)/(('Cálculos'!$F$200+(($C221)-$A$177:$A$222)*'Cálculos'!$F$98)+1400)+'Cálculos'!$F$123)*'Cálculos'!$F$279)+('Cálculos'!$F$200+(($C221)-$A$177:$A$222)*'Cálculos'!$F$98)*('Cálculos'!$F$270+'Cálculos'!$F$124*(1+2.78*('Cálculos'!$F$200+(($C221)-$A$177:$A$222)*'Cálculos'!$F$98)/(('Cálculos'!$F$200+(($C221)-$A$177:$A$222)*'Cálculos'!$F$98)+1400)+'Cálculos'!$F$122)*'Cálculos'!$F$275+'Cálculos'!$F$125*(1+2.78*('Cálculos'!$F$200+(($C221)-$A$177:$A$222)*'Cálculos'!$F$98)/(('Cálculos'!$F$200+(($C221)-$A$177:$A$222)*'Cálculos'!$F$98)+1400)+'Cálculos'!$F$123)*'Cálculos'!$F$280)+('Cálculos'!$F$201*(1+'Cálculos'!$F$202+$A$177:$A$222*('Cálculos'!$F$290=2)*'Cálculos'!$F$101)+'Cálculos'!$F$203)*('Cálculos'!$F$271+'Cálculos'!$F$124*(1+2.78*('Cálculos'!$F$200+(($C221)-$A$177:$A$222)*'Cálculos'!$F$98)/(('Cálculos'!$F$200+(($C221)-$A$177:$A$222)*'Cálculos'!$F$98)+1400)+'Cálculos'!$F$122)*'Cálculos'!$F$276+'Cálculos'!$F$125*(1+2.78*('Cálculos'!$F$200+(($C221)-$A$177:$A$222)*'Cálculos'!$F$98)/(('Cálculos'!$F$200+(($C221)-$A$177:$A$222)*'Cálculos'!$F$98)+1400)+'Cálculos'!$F$123)*'Cálculos'!$F$281)+('Cálculos'!$F$204*(1+'Cálculos'!$F$205+$A$177:$A$222*('Cálculos'!$F$290=3)*'Cálculos'!$F$103)+'Cálculos'!$F$206)*('Cálculos'!$F$272+'Cálculos'!$F$124*(1+2.78*('Cálculos'!$F$200+(($C221)-$A$177:$A$222)*'Cálculos'!$F$98)/(('Cálculos'!$F$200+(($C221)-$A$177:$A$222)*'Cálculos'!$F$98)+1400)+'Cálculos'!$F$122)*'Cálculos'!$F$277+'Cálculos'!$F$125*(1+2.78*('Cálculos'!$F$200+(($C221)-$A$177:$A$222)*'Cálculos'!$F$98)/(('Cálculos'!$F$200+(($C221)-$A$177:$A$222)*'Cálculos'!$F$98)+1400)+'Cálculos'!$F$123)*'Cálculos'!$F$282)+('Cálculos'!$F$273+'Cálculos'!$F$124*(1+2.78*('Cálculos'!$F$200+(($C221)-$A$177:$A$222)*'Cálculos'!$F$98)/(('Cálculos'!$F$200+(($C221)-$A$177:$A$222)*'Cálculos'!$F$98)+1400)+'Cálculos'!$F$122)*'Cálculos'!$F$278+'Cálculos'!$F$125*(1+2.78*('Cálculos'!$F$200+(($C221)-$A$177:$A$222)*'Cálculos'!$F$98)/(('Cálculos'!$F$200+(($C221)-$A$177:$A$222)*'Cálculos'!$F$98)+1400)+'Cálculos'!$F$123)*'Cálculos'!$F$283)))))</f>
        <v>0</v>
      </c>
      <c r="E221" s="32">
        <f>IF(OR($C221&lt;0,'Cálculos'!$F$6=""),0,$B221*$D221)</f>
        <v>0</v>
      </c>
      <c r="F221" s="2"/>
      <c r="G221" s="30">
        <f>($A221&lt;=$B$224)*($A221&lt;='Cálculos'!$F$294)*(($B$224)-$A221&lt;='Cálculos'!$F$295)*(1+MIN(('Cálculos'!$F$207+$A221*'Cálculos'!$F$95),1)*('Cálculos'!$F$208+(($B$224)-$A221)*'Cálculos'!$F$96))</f>
        <v>0</v>
      </c>
      <c r="H221" s="31">
        <f>IF($B$225&lt;0,0,($A221&lt;=$B$225)*($A221&lt;='Cálculos'!$F$301)*(($B$225)-$A221&lt;='Cálculos'!$F$297)*(('Cálculos'!$F$185*(1+'Cálculos'!$F$186+$A221*('Cálculos'!$F$290=1)*'Cálculos'!$F$97+'Cálculos'!$F$305)+'Cálculos'!$F$191)*('Cálculos'!$F$209+'Cálculos'!$F$124*(1+2.78*('Cálculos'!$F$196+(($B$225)-$A221)*'Cálculos'!$F$98)/(('Cálculos'!$F$196+(($B$225)-$A221)*'Cálculos'!$F$98)+1400)+'Cálculos'!$F$122)*'Cálculos'!$F$214+'Cálculos'!$F$125*(1+2.78*('Cálculos'!$F$196+(($B$225)-$A221)*'Cálculos'!$F$98)/(('Cálculos'!$F$196+(($B$225)-$A221)*'Cálculos'!$F$98)+1400)+'Cálculos'!$F$123)*'Cálculos'!$F$219)+('Cálculos'!$F$196+(($B$225)-$A221)*'Cálculos'!$F$98)*('Cálculos'!$F$210+'Cálculos'!$F$124*(1+2.78*('Cálculos'!$F$196+(($B$225)-$A221)*'Cálculos'!$F$98)/(('Cálculos'!$F$196+(($B$225)-$A221)*'Cálculos'!$F$98)+1400)+'Cálculos'!$F$122)*'Cálculos'!$F$215+'Cálculos'!$F$125*(1+2.78*('Cálculos'!$F$196+(($B$225)-$A221)*'Cálculos'!$F$98)/(('Cálculos'!$F$196+(($B$225)-$A221)*'Cálculos'!$F$98)+1400)+'Cálculos'!$F$123)*'Cálculos'!$F$220)+('Cálculos'!$F$201*(1+'Cálculos'!$F$202+$A221*('Cálculos'!$F$290=2)*'Cálculos'!$F$101)+'Cálculos'!$F$203)*('Cálculos'!$F$211+'Cálculos'!$F$124*(1+2.78*('Cálculos'!$F$196+(($B$225)-$A221)*'Cálculos'!$F$98)/(('Cálculos'!$F$196+(($B$225)-$A221)*'Cálculos'!$F$98)+1400)+'Cálculos'!$F$122)*'Cálculos'!$F$216+'Cálculos'!$F$125*(1+2.78*('Cálculos'!$F$196+(($B$225)-$A221)*'Cálculos'!$F$98)/(('Cálculos'!$F$196+(($B$225)-$A221)*'Cálculos'!$F$98)+1400)+'Cálculos'!$F$123)*'Cálculos'!$F$221)+('Cálculos'!$F$204*(1+'Cálculos'!$F$205+$A221*('Cálculos'!$F$290=3)*'Cálculos'!$F$103)+'Cálculos'!$F$206)*('Cálculos'!$F$212+'Cálculos'!$F$124*(1+2.78*('Cálculos'!$F$196+(($B$225)-$A221)*'Cálculos'!$F$98)/(('Cálculos'!$F$196+(($B$225)-$A221)*'Cálculos'!$F$98)+1400)+'Cálculos'!$F$122)*'Cálculos'!$F$217+'Cálculos'!$F$125*(1+2.78*('Cálculos'!$F$196+(($B$225)-$A221)*'Cálculos'!$F$98)/(('Cálculos'!$F$196+(($B$225)-$A221)*'Cálculos'!$F$98)+1400)+'Cálculos'!$F$123)*'Cálculos'!$F$222)+('Cálculos'!$F$213+'Cálculos'!$F$124*(1+2.78*('Cálculos'!$F$196+(($B$225)-$A221)*'Cálculos'!$F$98)/(('Cálculos'!$F$196+(($B$225)-$A221)*'Cálculos'!$F$98)+1400)+'Cálculos'!$F$122)*'Cálculos'!$F$218+'Cálculos'!$F$125*(1+2.78*('Cálculos'!$F$196+(($B$225)-$A221)*'Cálculos'!$F$98)/(('Cálculos'!$F$196+(($B$225)-$A221)*'Cálculos'!$F$98)+1400)+'Cálculos'!$F$123)*'Cálculos'!$F$223)+('Cálculos'!$F$185*(1+'Cálculos'!$F$187+$A221*('Cálculos'!$F$290=1)*'Cálculos'!$F$97+'Cálculos'!$F$305)+'Cálculos'!$F$192)*('Cálculos'!$F$224+'Cálculos'!$F$124*(1+2.78*('Cálculos'!$F$197+(($B$225)-$A221)*'Cálculos'!$F$98)/(('Cálculos'!$F$197+(($B$225)-$A221)*'Cálculos'!$F$98)+1400)+'Cálculos'!$F$122)*'Cálculos'!$F$229+'Cálculos'!$F$125*(1+2.78*('Cálculos'!$F$197+(($B$225)-$A221)*'Cálculos'!$F$98)/(('Cálculos'!$F$197+(($B$225)-$A221)*'Cálculos'!$F$98)+1400)+'Cálculos'!$F$123)*'Cálculos'!$F$234)+('Cálculos'!$F$197+(($B$225)-$A221)*'Cálculos'!$F$98)*('Cálculos'!$F$225+'Cálculos'!$F$124*(1+2.78*('Cálculos'!$F$197+(($B$225)-$A221)*'Cálculos'!$F$98)/(('Cálculos'!$F$197+(($B$225)-$A221)*'Cálculos'!$F$98)+1400)+'Cálculos'!$F$122)*'Cálculos'!$F$230+'Cálculos'!$F$125*(1+2.78*('Cálculos'!$F$197+(($B$225)-$A221)*'Cálculos'!$F$98)/(('Cálculos'!$F$197+(($B$225)-$A221)*'Cálculos'!$F$98)+1400)+'Cálculos'!$F$123)*'Cálculos'!$F$235)+('Cálculos'!$F$201*(1+'Cálculos'!$F$202+$A221*('Cálculos'!$F$290=2)*'Cálculos'!$F$101)+'Cálculos'!$F$203)*('Cálculos'!$F$226+'Cálculos'!$F$124*(1+2.78*('Cálculos'!$F$197+(($B$225)-$A221)*'Cálculos'!$F$98)/(('Cálculos'!$F$197+(($B$225)-$A221)*'Cálculos'!$F$98)+1400)+'Cálculos'!$F$122)*'Cálculos'!$F$231+'Cálculos'!$F$125*(1+2.78*('Cálculos'!$F$197+(($B$225)-$A221)*'Cálculos'!$F$98)/(('Cálculos'!$F$197+(($B$225)-$A221)*'Cálculos'!$F$98)+1400)+'Cálculos'!$F$123)*'Cálculos'!$F$236)+('Cálculos'!$F$204*(1+'Cálculos'!$F$205+$A221*('Cálculos'!$F$290=3)*'Cálculos'!$F$103)+'Cálculos'!$F$206)*('Cálculos'!$F$227+'Cálculos'!$F$124*(1+2.78*('Cálculos'!$F$197+(($B$225)-$A221)*'Cálculos'!$F$98)/(('Cálculos'!$F$197+(($B$225)-$A221)*'Cálculos'!$F$98)+1400)+'Cálculos'!$F$122)*'Cálculos'!$F$232+'Cálculos'!$F$125*(1+2.78*('Cálculos'!$F$197+(($B$225)-$A221)*'Cálculos'!$F$98)/(('Cálculos'!$F$197+(($B$225)-$A221)*'Cálculos'!$F$98)+1400)+'Cálculos'!$F$123)*'Cálculos'!$F$237)+('Cálculos'!$F$228+'Cálculos'!$F$124*(1+2.78*('Cálculos'!$F$197+(($B$225)-$A221)*'Cálculos'!$F$98)/(('Cálculos'!$F$197+(($B$225)-$A221)*'Cálculos'!$F$98)+1400)+'Cálculos'!$F$122)*'Cálculos'!$F$233+'Cálculos'!$F$125*(1+2.78*('Cálculos'!$F$197+(($B$225)-$A221)*'Cálculos'!$F$98)/(('Cálculos'!$F$197+(($B$225)-$A221)*'Cálculos'!$F$98)+1400)+'Cálculos'!$F$123)*'Cálculos'!$F$238)+('Cálculos'!$F$185*(1+'Cálculos'!$F$188+$A221*('Cálculos'!$F$290=1)*'Cálculos'!$F$97+'Cálculos'!$F$305)+'Cálculos'!$F$193)*('Cálculos'!$F$239+'Cálculos'!$F$124*(1+2.78*('Cálculos'!$F$198+(($B$225)-$A221)*'Cálculos'!$F$98)/(('Cálculos'!$F$198+(($B$225)-$A221)*'Cálculos'!$F$98)+1400)+'Cálculos'!$F$122)*'Cálculos'!$F$244+'Cálculos'!$F$125*(1+2.78*('Cálculos'!$F$198+(($B$225)-$A221)*'Cálculos'!$F$98)/(('Cálculos'!$F$198+(($B$225)-$A221)*'Cálculos'!$F$98)+1400)+'Cálculos'!$F$123)*'Cálculos'!$F$249)+('Cálculos'!$F$198+(($B$225)-$A221)*'Cálculos'!$F$98)*('Cálculos'!$F$240+'Cálculos'!$F$124*(1+2.78*('Cálculos'!$F$198+(($B$225)-$A221)*'Cálculos'!$F$98)/(('Cálculos'!$F$198+(($B$225)-$A221)*'Cálculos'!$F$98)+1400)+'Cálculos'!$F$122)*'Cálculos'!$F$245+'Cálculos'!$F$125*(1+2.78*('Cálculos'!$F$198+(($B$225)-$A221)*'Cálculos'!$F$98)/(('Cálculos'!$F$198+(($B$225)-$A221)*'Cálculos'!$F$98)+1400)+'Cálculos'!$F$123)*'Cálculos'!$F$250)+('Cálculos'!$F$201*(1+'Cálculos'!$F$202+$A221*('Cálculos'!$F$290=2)*'Cálculos'!$F$101)+'Cálculos'!$F$203)*('Cálculos'!$F$241+'Cálculos'!$F$124*(1+2.78*('Cálculos'!$F$198+(($B$225)-$A221)*'Cálculos'!$F$98)/(('Cálculos'!$F$198+(($B$225)-$A221)*'Cálculos'!$F$98)+1400)+'Cálculos'!$F$122)*'Cálculos'!$F$246+'Cálculos'!$F$125*(1+2.78*('Cálculos'!$F$198+(($B$225)-$A221)*'Cálculos'!$F$98)/(('Cálculos'!$F$198+(($B$225)-$A221)*'Cálculos'!$F$98)+1400)+'Cálculos'!$F$123)*'Cálculos'!$F$251)+('Cálculos'!$F$204*(1+'Cálculos'!$F$205+$A221*('Cálculos'!$F$290=3)*'Cálculos'!$F$103)+'Cálculos'!$F$206)*('Cálculos'!$F$242+'Cálculos'!$F$124*(1+2.78*('Cálculos'!$F$198+(($B$225)-$A221)*'Cálculos'!$F$98)/(('Cálculos'!$F$198+(($B$225)-$A221)*'Cálculos'!$F$98)+1400)+'Cálculos'!$F$122)*'Cálculos'!$F$247+'Cálculos'!$F$125*(1+2.78*('Cálculos'!$F$198+(($B$225)-$A221)*'Cálculos'!$F$98)/(('Cálculos'!$F$198+(($B$225)-$A221)*'Cálculos'!$F$98)+1400)+'Cálculos'!$F$123)*'Cálculos'!$F$252)+('Cálculos'!$F$243+'Cálculos'!$F$124*(1+2.78*('Cálculos'!$F$198+(($B$225)-$A221)*'Cálculos'!$F$98)/(('Cálculos'!$F$198+(($B$225)-$A221)*'Cálculos'!$F$98)+1400)+'Cálculos'!$F$122)*'Cálculos'!$F$248+'Cálculos'!$F$125*(1+2.78*('Cálculos'!$F$198+(($B$225)-$A221)*'Cálculos'!$F$98)/(('Cálculos'!$F$198+(($B$225)-$A221)*'Cálculos'!$F$98)+1400)+'Cálculos'!$F$123)*'Cálculos'!$F$253)+('Cálculos'!$F$185*(1+'Cálculos'!$F$189+$A221*('Cálculos'!$F$290=1)*'Cálculos'!$F$97+'Cálculos'!$F$305)+'Cálculos'!$F$194)*('Cálculos'!$F$254+'Cálculos'!$F$124*(1+2.78*('Cálculos'!$F$199+(($B$225)-$A221)*'Cálculos'!$F$98)/(('Cálculos'!$F$199+(($B$225)-$A221)*'Cálculos'!$F$98)+1400)+'Cálculos'!$F$122)*'Cálculos'!$F$259+'Cálculos'!$F$125*(1+2.78*('Cálculos'!$F$199+(($B$225)-$A221)*'Cálculos'!$F$98)/(('Cálculos'!$F$199+(($B$225)-$A221)*'Cálculos'!$F$98)+1400)+'Cálculos'!$F$123)*'Cálculos'!$F$264)+('Cálculos'!$F$199+(($B$225)-$A221)*'Cálculos'!$F$98)*('Cálculos'!$F$255+'Cálculos'!$F$124*(1+2.78*('Cálculos'!$F$199+(($B$225)-$A221)*'Cálculos'!$F$98)/(('Cálculos'!$F$199+(($B$225)-$A221)*'Cálculos'!$F$98)+1400)+'Cálculos'!$F$122)*'Cálculos'!$F$260+'Cálculos'!$F$125*(1+2.78*('Cálculos'!$F$199+(($B$225)-$A221)*'Cálculos'!$F$98)/(('Cálculos'!$F$199+(($B$225)-$A221)*'Cálculos'!$F$98)+1400)+'Cálculos'!$F$123)*'Cálculos'!$F$265)+('Cálculos'!$F$201*(1+'Cálculos'!$F$202+$A221*('Cálculos'!$F$290=2)*'Cálculos'!$F$101)+'Cálculos'!$F$203)*('Cálculos'!$F$256+'Cálculos'!$F$124*(1+2.78*('Cálculos'!$F$199+(($B$225)-$A221)*'Cálculos'!$F$98)/(('Cálculos'!$F$199+(($B$225)-$A221)*'Cálculos'!$F$98)+1400)+'Cálculos'!$F$122)*'Cálculos'!$F$261+'Cálculos'!$F$125*(1+2.78*('Cálculos'!$F$199+(($B$225)-$A221)*'Cálculos'!$F$98)/(('Cálculos'!$F$199+(($B$225)-$A221)*'Cálculos'!$F$98)+1400)+'Cálculos'!$F$123)*'Cálculos'!$F$266)+('Cálculos'!$F$204*(1+'Cálculos'!$F$205+$A221*('Cálculos'!$F$290=3)*'Cálculos'!$F$103)+'Cálculos'!$F$206)*('Cálculos'!$F$257+'Cálculos'!$F$124*(1+2.78*('Cálculos'!$F$199+(($B$225)-$A221)*'Cálculos'!$F$98)/(('Cálculos'!$F$199+(($B$225)-$A221)*'Cálculos'!$F$98)+1400)+'Cálculos'!$F$122)*'Cálculos'!$F$262+'Cálculos'!$F$125*(1+2.78*('Cálculos'!$F$199+(($B$225)-$A221)*'Cálculos'!$F$98)/(('Cálculos'!$F$199+(($B$225)-$A221)*'Cálculos'!$F$98)+1400)+'Cálculos'!$F$123)*'Cálculos'!$F$267)+('Cálculos'!$F$258+'Cálculos'!$F$124*(1+2.78*('Cálculos'!$F$199+(($B$225)-$A221)*'Cálculos'!$F$98)/(('Cálculos'!$F$199+(($B$225)-$A221)*'Cálculos'!$F$98)+1400)+'Cálculos'!$F$122)*'Cálculos'!$F$263+'Cálculos'!$F$125*(1+2.78*('Cálculos'!$F$199+(($B$225)-$A221)*'Cálculos'!$F$98)/(('Cálculos'!$F$199+(($B$225)-$A221)*'Cálculos'!$F$98)+1400)+'Cálculos'!$F$123)*'Cálculos'!$F$268)+('Cálculos'!$F$185*(1+'Cálculos'!$F$190+$A221*('Cálculos'!$F$290=1)*'Cálculos'!$F$97+'Cálculos'!$F$305)+'Cálculos'!$F$195)*('Cálculos'!$F$269+'Cálculos'!$F$124*(1+2.78*('Cálculos'!$F$200+(($B$225)-$A221)*'Cálculos'!$F$98)/(('Cálculos'!$F$200+(($B$225)-$A221)*'Cálculos'!$F$98)+1400)+'Cálculos'!$F$122)*'Cálculos'!$F$274+'Cálculos'!$F$125*(1+2.78*('Cálculos'!$F$200+(($B$225)-$A221)*'Cálculos'!$F$98)/(('Cálculos'!$F$200+(($B$225)-$A221)*'Cálculos'!$F$98)+1400)+'Cálculos'!$F$123)*'Cálculos'!$F$279)+('Cálculos'!$F$200+(($B$225)-$A221)*'Cálculos'!$F$98)*('Cálculos'!$F$270+'Cálculos'!$F$124*(1+2.78*('Cálculos'!$F$200+(($B$225)-$A221)*'Cálculos'!$F$98)/(('Cálculos'!$F$200+(($B$225)-$A221)*'Cálculos'!$F$98)+1400)+'Cálculos'!$F$122)*'Cálculos'!$F$275+'Cálculos'!$F$125*(1+2.78*('Cálculos'!$F$200+(($B$225)-$A221)*'Cálculos'!$F$98)/(('Cálculos'!$F$200+(($B$225)-$A221)*'Cálculos'!$F$98)+1400)+'Cálculos'!$F$123)*'Cálculos'!$F$280)+('Cálculos'!$F$201*(1+'Cálculos'!$F$202+$A221*('Cálculos'!$F$290=2)*'Cálculos'!$F$101)+'Cálculos'!$F$203)*('Cálculos'!$F$271+'Cálculos'!$F$124*(1+2.78*('Cálculos'!$F$200+(($B$225)-$A221)*'Cálculos'!$F$98)/(('Cálculos'!$F$200+(($B$225)-$A221)*'Cálculos'!$F$98)+1400)+'Cálculos'!$F$122)*'Cálculos'!$F$276+'Cálculos'!$F$125*(1+2.78*('Cálculos'!$F$200+(($B$225)-$A221)*'Cálculos'!$F$98)/(('Cálculos'!$F$200+(($B$225)-$A221)*'Cálculos'!$F$98)+1400)+'Cálculos'!$F$123)*'Cálculos'!$F$281)+('Cálculos'!$F$204*(1+'Cálculos'!$F$205+$A221*('Cálculos'!$F$290=3)*'Cálculos'!$F$103)+'Cálculos'!$F$206)*('Cálculos'!$F$272+'Cálculos'!$F$124*(1+2.78*('Cálculos'!$F$200+(($B$225)-$A221)*'Cálculos'!$F$98)/(('Cálculos'!$F$200+(($B$225)-$A221)*'Cálculos'!$F$98)+1400)+'Cálculos'!$F$122)*'Cálculos'!$F$277+'Cálculos'!$F$125*(1+2.78*('Cálculos'!$F$200+(($B$225)-$A221)*'Cálculos'!$F$98)/(('Cálculos'!$F$200+(($B$225)-$A221)*'Cálculos'!$F$98)+1400)+'Cálculos'!$F$123)*'Cálculos'!$F$282)+('Cálculos'!$F$273+'Cálculos'!$F$124*(1+2.78*('Cálculos'!$F$200+(($B$225)-$A221)*'Cálculos'!$F$98)/(('Cálculos'!$F$200+(($B$225)-$A221)*'Cálculos'!$F$98)+1400)+'Cálculos'!$F$122)*'Cálculos'!$F$278+'Cálculos'!$F$125*(1+2.78*('Cálculos'!$F$200+(($B$225)-$A221)*'Cálculos'!$F$98)/(('Cálculos'!$F$200+(($B$225)-$A221)*'Cálculos'!$F$98)+1400)+'Cálculos'!$F$123)*'Cálculos'!$F$283)))</f>
        <v>0</v>
      </c>
    </row>
    <row r="222" ht="15.75" customHeight="1">
      <c r="A222" s="2">
        <v>45.0</v>
      </c>
      <c r="B222" s="30">
        <f>SUMPRODUCT(MAX(($A$177:$A$222&lt;=$A222)*($A$177:$A$222&lt;='Cálculos'!$F$294)*(($A222)-$A$177:$A$222&lt;='Cálculos'!$F$295)*(1+(('Cálculos'!$F$207+$A$177:$A$222*'Cálculos'!$F$95)-(('Cálculos'!$F$207+$A$177:$A$222*'Cálculos'!$F$95)&gt;1)*(('Cálculos'!$F$207+$A$177:$A$222*'Cálculos'!$F$95)-1))*('Cálculos'!$F$208+(($A222)-$A$177:$A$222)*'Cálculos'!$F$96))))</f>
        <v>4.083548</v>
      </c>
      <c r="C222" s="2">
        <f>'Cálculos'!$F$303-$A222</f>
        <v>-27</v>
      </c>
      <c r="D222" s="31">
        <f>IF($C222&lt;0,0,SUMPRODUCT(MAX(($A$177:$A$222&lt;=$C222)*($A$177:$A$222&lt;='Cálculos'!$F$301)*(($C222)-$A$177:$A$222&lt;='Cálculos'!$F$297)*(('Cálculos'!$F$185*(1+'Cálculos'!$F$186+$A$177:$A$222*('Cálculos'!$F$290=1)*'Cálculos'!$F$97+'Cálculos'!$F$305)+'Cálculos'!$F$191)*('Cálculos'!$F$209+'Cálculos'!$F$124*(1+2.78*('Cálculos'!$F$196+(($C222)-$A$177:$A$222)*'Cálculos'!$F$98)/(('Cálculos'!$F$196+(($C222)-$A$177:$A$222)*'Cálculos'!$F$98)+1400)+'Cálculos'!$F$122)*'Cálculos'!$F$214+'Cálculos'!$F$125*(1+2.78*('Cálculos'!$F$196+(($C222)-$A$177:$A$222)*'Cálculos'!$F$98)/(('Cálculos'!$F$196+(($C222)-$A$177:$A$222)*'Cálculos'!$F$98)+1400)+'Cálculos'!$F$123)*'Cálculos'!$F$219)+('Cálculos'!$F$196+(($C222)-$A$177:$A$222)*'Cálculos'!$F$98)*('Cálculos'!$F$210+'Cálculos'!$F$124*(1+2.78*('Cálculos'!$F$196+(($C222)-$A$177:$A$222)*'Cálculos'!$F$98)/(('Cálculos'!$F$196+(($C222)-$A$177:$A$222)*'Cálculos'!$F$98)+1400)+'Cálculos'!$F$122)*'Cálculos'!$F$215+'Cálculos'!$F$125*(1+2.78*('Cálculos'!$F$196+(($C222)-$A$177:$A$222)*'Cálculos'!$F$98)/(('Cálculos'!$F$196+(($C222)-$A$177:$A$222)*'Cálculos'!$F$98)+1400)+'Cálculos'!$F$123)*'Cálculos'!$F$220)+('Cálculos'!$F$201*(1+'Cálculos'!$F$202+$A$177:$A$222*('Cálculos'!$F$290=2)*'Cálculos'!$F$101)+'Cálculos'!$F$203)*('Cálculos'!$F$211+'Cálculos'!$F$124*(1+2.78*('Cálculos'!$F$196+(($C222)-$A$177:$A$222)*'Cálculos'!$F$98)/(('Cálculos'!$F$196+(($C222)-$A$177:$A$222)*'Cálculos'!$F$98)+1400)+'Cálculos'!$F$122)*'Cálculos'!$F$216+'Cálculos'!$F$125*(1+2.78*('Cálculos'!$F$196+(($C222)-$A$177:$A$222)*'Cálculos'!$F$98)/(('Cálculos'!$F$196+(($C222)-$A$177:$A$222)*'Cálculos'!$F$98)+1400)+'Cálculos'!$F$123)*'Cálculos'!$F$221)+('Cálculos'!$F$204*(1+'Cálculos'!$F$205+$A$177:$A$222*('Cálculos'!$F$290=3)*'Cálculos'!$F$103)+'Cálculos'!$F$206)*('Cálculos'!$F$212+'Cálculos'!$F$124*(1+2.78*('Cálculos'!$F$196+(($C222)-$A$177:$A$222)*'Cálculos'!$F$98)/(('Cálculos'!$F$196+(($C222)-$A$177:$A$222)*'Cálculos'!$F$98)+1400)+'Cálculos'!$F$122)*'Cálculos'!$F$217+'Cálculos'!$F$125*(1+2.78*('Cálculos'!$F$196+(($C222)-$A$177:$A$222)*'Cálculos'!$F$98)/(('Cálculos'!$F$196+(($C222)-$A$177:$A$222)*'Cálculos'!$F$98)+1400)+'Cálculos'!$F$123)*'Cálculos'!$F$222)+('Cálculos'!$F$213+'Cálculos'!$F$124*(1+2.78*('Cálculos'!$F$196+(($C222)-$A$177:$A$222)*'Cálculos'!$F$98)/(('Cálculos'!$F$196+(($C222)-$A$177:$A$222)*'Cálculos'!$F$98)+1400)+'Cálculos'!$F$122)*'Cálculos'!$F$218+'Cálculos'!$F$125*(1+2.78*('Cálculos'!$F$196+(($C222)-$A$177:$A$222)*'Cálculos'!$F$98)/(('Cálculos'!$F$196+(($C222)-$A$177:$A$222)*'Cálculos'!$F$98)+1400)+'Cálculos'!$F$123)*'Cálculos'!$F$223)+('Cálculos'!$F$185*(1+'Cálculos'!$F$187+$A$177:$A$222*('Cálculos'!$F$290=1)*'Cálculos'!$F$97+'Cálculos'!$F$305)+'Cálculos'!$F$192)*('Cálculos'!$F$224+'Cálculos'!$F$124*(1+2.78*('Cálculos'!$F$197+(($C222)-$A$177:$A$222)*'Cálculos'!$F$98)/(('Cálculos'!$F$197+(($C222)-$A$177:$A$222)*'Cálculos'!$F$98)+1400)+'Cálculos'!$F$122)*'Cálculos'!$F$229+'Cálculos'!$F$125*(1+2.78*('Cálculos'!$F$197+(($C222)-$A$177:$A$222)*'Cálculos'!$F$98)/(('Cálculos'!$F$197+(($C222)-$A$177:$A$222)*'Cálculos'!$F$98)+1400)+'Cálculos'!$F$123)*'Cálculos'!$F$234)+('Cálculos'!$F$197+(($C222)-$A$177:$A$222)*'Cálculos'!$F$98)*('Cálculos'!$F$225+'Cálculos'!$F$124*(1+2.78*('Cálculos'!$F$197+(($C222)-$A$177:$A$222)*'Cálculos'!$F$98)/(('Cálculos'!$F$197+(($C222)-$A$177:$A$222)*'Cálculos'!$F$98)+1400)+'Cálculos'!$F$122)*'Cálculos'!$F$230+'Cálculos'!$F$125*(1+2.78*('Cálculos'!$F$197+(($C222)-$A$177:$A$222)*'Cálculos'!$F$98)/(('Cálculos'!$F$197+(($C222)-$A$177:$A$222)*'Cálculos'!$F$98)+1400)+'Cálculos'!$F$123)*'Cálculos'!$F$235)+('Cálculos'!$F$201*(1+'Cálculos'!$F$202+$A$177:$A$222*('Cálculos'!$F$290=2)*'Cálculos'!$F$101)+'Cálculos'!$F$203)*('Cálculos'!$F$226+'Cálculos'!$F$124*(1+2.78*('Cálculos'!$F$197+(($C222)-$A$177:$A$222)*'Cálculos'!$F$98)/(('Cálculos'!$F$197+(($C222)-$A$177:$A$222)*'Cálculos'!$F$98)+1400)+'Cálculos'!$F$122)*'Cálculos'!$F$231+'Cálculos'!$F$125*(1+2.78*('Cálculos'!$F$197+(($C222)-$A$177:$A$222)*'Cálculos'!$F$98)/(('Cálculos'!$F$197+(($C222)-$A$177:$A$222)*'Cálculos'!$F$98)+1400)+'Cálculos'!$F$123)*'Cálculos'!$F$236)+('Cálculos'!$F$204*(1+'Cálculos'!$F$205+$A$177:$A$222*('Cálculos'!$F$290=3)*'Cálculos'!$F$103)+'Cálculos'!$F$206)*('Cálculos'!$F$227+'Cálculos'!$F$124*(1+2.78*('Cálculos'!$F$197+(($C222)-$A$177:$A$222)*'Cálculos'!$F$98)/(('Cálculos'!$F$197+(($C222)-$A$177:$A$222)*'Cálculos'!$F$98)+1400)+'Cálculos'!$F$122)*'Cálculos'!$F$232+'Cálculos'!$F$125*(1+2.78*('Cálculos'!$F$197+(($C222)-$A$177:$A$222)*'Cálculos'!$F$98)/(('Cálculos'!$F$197+(($C222)-$A$177:$A$222)*'Cálculos'!$F$98)+1400)+'Cálculos'!$F$123)*'Cálculos'!$F$237)+('Cálculos'!$F$228+'Cálculos'!$F$124*(1+2.78*('Cálculos'!$F$197+(($C222)-$A$177:$A$222)*'Cálculos'!$F$98)/(('Cálculos'!$F$197+(($C222)-$A$177:$A$222)*'Cálculos'!$F$98)+1400)+'Cálculos'!$F$122)*'Cálculos'!$F$233+'Cálculos'!$F$125*(1+2.78*('Cálculos'!$F$197+(($C222)-$A$177:$A$222)*'Cálculos'!$F$98)/(('Cálculos'!$F$197+(($C222)-$A$177:$A$222)*'Cálculos'!$F$98)+1400)+'Cálculos'!$F$123)*'Cálculos'!$F$238)+('Cálculos'!$F$185*(1+'Cálculos'!$F$188+$A$177:$A$222*('Cálculos'!$F$290=1)*'Cálculos'!$F$97+'Cálculos'!$F$305)+'Cálculos'!$F$193)*('Cálculos'!$F$239+'Cálculos'!$F$124*(1+2.78*('Cálculos'!$F$198+(($C222)-$A$177:$A$222)*'Cálculos'!$F$98)/(('Cálculos'!$F$198+(($C222)-$A$177:$A$222)*'Cálculos'!$F$98)+1400)+'Cálculos'!$F$122)*'Cálculos'!$F$244+'Cálculos'!$F$125*(1+2.78*('Cálculos'!$F$198+(($C222)-$A$177:$A$222)*'Cálculos'!$F$98)/(('Cálculos'!$F$198+(($C222)-$A$177:$A$222)*'Cálculos'!$F$98)+1400)+'Cálculos'!$F$123)*'Cálculos'!$F$249)+('Cálculos'!$F$198+(($C222)-$A$177:$A$222)*'Cálculos'!$F$98)*('Cálculos'!$F$240+'Cálculos'!$F$124*(1+2.78*('Cálculos'!$F$198+(($C222)-$A$177:$A$222)*'Cálculos'!$F$98)/(('Cálculos'!$F$198+(($C222)-$A$177:$A$222)*'Cálculos'!$F$98)+1400)+'Cálculos'!$F$122)*'Cálculos'!$F$245+'Cálculos'!$F$125*(1+2.78*('Cálculos'!$F$198+(($C222)-$A$177:$A$222)*'Cálculos'!$F$98)/(('Cálculos'!$F$198+(($C222)-$A$177:$A$222)*'Cálculos'!$F$98)+1400)+'Cálculos'!$F$123)*'Cálculos'!$F$250)+('Cálculos'!$F$201*(1+'Cálculos'!$F$202+$A$177:$A$222*('Cálculos'!$F$290=2)*'Cálculos'!$F$101)+'Cálculos'!$F$203)*('Cálculos'!$F$241+'Cálculos'!$F$124*(1+2.78*('Cálculos'!$F$198+(($C222)-$A$177:$A$222)*'Cálculos'!$F$98)/(('Cálculos'!$F$198+(($C222)-$A$177:$A$222)*'Cálculos'!$F$98)+1400)+'Cálculos'!$F$122)*'Cálculos'!$F$246+'Cálculos'!$F$125*(1+2.78*('Cálculos'!$F$198+(($C222)-$A$177:$A$222)*'Cálculos'!$F$98)/(('Cálculos'!$F$198+(($C222)-$A$177:$A$222)*'Cálculos'!$F$98)+1400)+'Cálculos'!$F$123)*'Cálculos'!$F$251)+('Cálculos'!$F$204*(1+'Cálculos'!$F$205+$A$177:$A$222*('Cálculos'!$F$290=3)*'Cálculos'!$F$103)+'Cálculos'!$F$206)*('Cálculos'!$F$242+'Cálculos'!$F$124*(1+2.78*('Cálculos'!$F$198+(($C222)-$A$177:$A$222)*'Cálculos'!$F$98)/(('Cálculos'!$F$198+(($C222)-$A$177:$A$222)*'Cálculos'!$F$98)+1400)+'Cálculos'!$F$122)*'Cálculos'!$F$247+'Cálculos'!$F$125*(1+2.78*('Cálculos'!$F$198+(($C222)-$A$177:$A$222)*'Cálculos'!$F$98)/(('Cálculos'!$F$198+(($C222)-$A$177:$A$222)*'Cálculos'!$F$98)+1400)+'Cálculos'!$F$123)*'Cálculos'!$F$252)+('Cálculos'!$F$243+'Cálculos'!$F$124*(1+2.78*('Cálculos'!$F$198+(($C222)-$A$177:$A$222)*'Cálculos'!$F$98)/(('Cálculos'!$F$198+(($C222)-$A$177:$A$222)*'Cálculos'!$F$98)+1400)+'Cálculos'!$F$122)*'Cálculos'!$F$248+'Cálculos'!$F$125*(1+2.78*('Cálculos'!$F$198+(($C222)-$A$177:$A$222)*'Cálculos'!$F$98)/(('Cálculos'!$F$198+(($C222)-$A$177:$A$222)*'Cálculos'!$F$98)+1400)+'Cálculos'!$F$123)*'Cálculos'!$F$253)+('Cálculos'!$F$185*(1+'Cálculos'!$F$189+$A$177:$A$222*('Cálculos'!$F$290=1)*'Cálculos'!$F$97+'Cálculos'!$F$305)+'Cálculos'!$F$194)*('Cálculos'!$F$254+'Cálculos'!$F$124*(1+2.78*('Cálculos'!$F$199+(($C222)-$A$177:$A$222)*'Cálculos'!$F$98)/(('Cálculos'!$F$199+(($C222)-$A$177:$A$222)*'Cálculos'!$F$98)+1400)+'Cálculos'!$F$122)*'Cálculos'!$F$259+'Cálculos'!$F$125*(1+2.78*('Cálculos'!$F$199+(($C222)-$A$177:$A$222)*'Cálculos'!$F$98)/(('Cálculos'!$F$199+(($C222)-$A$177:$A$222)*'Cálculos'!$F$98)+1400)+'Cálculos'!$F$123)*'Cálculos'!$F$264)+('Cálculos'!$F$199+(($C222)-$A$177:$A$222)*'Cálculos'!$F$98)*('Cálculos'!$F$255+'Cálculos'!$F$124*(1+2.78*('Cálculos'!$F$199+(($C222)-$A$177:$A$222)*'Cálculos'!$F$98)/(('Cálculos'!$F$199+(($C222)-$A$177:$A$222)*'Cálculos'!$F$98)+1400)+'Cálculos'!$F$122)*'Cálculos'!$F$260+'Cálculos'!$F$125*(1+2.78*('Cálculos'!$F$199+(($C222)-$A$177:$A$222)*'Cálculos'!$F$98)/(('Cálculos'!$F$199+(($C222)-$A$177:$A$222)*'Cálculos'!$F$98)+1400)+'Cálculos'!$F$123)*'Cálculos'!$F$265)+('Cálculos'!$F$201*(1+'Cálculos'!$F$202+$A$177:$A$222*('Cálculos'!$F$290=2)*'Cálculos'!$F$101)+'Cálculos'!$F$203)*('Cálculos'!$F$256+'Cálculos'!$F$124*(1+2.78*('Cálculos'!$F$199+(($C222)-$A$177:$A$222)*'Cálculos'!$F$98)/(('Cálculos'!$F$199+(($C222)-$A$177:$A$222)*'Cálculos'!$F$98)+1400)+'Cálculos'!$F$122)*'Cálculos'!$F$261+'Cálculos'!$F$125*(1+2.78*('Cálculos'!$F$199+(($C222)-$A$177:$A$222)*'Cálculos'!$F$98)/(('Cálculos'!$F$199+(($C222)-$A$177:$A$222)*'Cálculos'!$F$98)+1400)+'Cálculos'!$F$123)*'Cálculos'!$F$266)+('Cálculos'!$F$204*(1+'Cálculos'!$F$205+$A$177:$A$222*('Cálculos'!$F$290=3)*'Cálculos'!$F$103)+'Cálculos'!$F$206)*('Cálculos'!$F$257+'Cálculos'!$F$124*(1+2.78*('Cálculos'!$F$199+(($C222)-$A$177:$A$222)*'Cálculos'!$F$98)/(('Cálculos'!$F$199+(($C222)-$A$177:$A$222)*'Cálculos'!$F$98)+1400)+'Cálculos'!$F$122)*'Cálculos'!$F$262+'Cálculos'!$F$125*(1+2.78*('Cálculos'!$F$199+(($C222)-$A$177:$A$222)*'Cálculos'!$F$98)/(('Cálculos'!$F$199+(($C222)-$A$177:$A$222)*'Cálculos'!$F$98)+1400)+'Cálculos'!$F$123)*'Cálculos'!$F$267)+('Cálculos'!$F$258+'Cálculos'!$F$124*(1+2.78*('Cálculos'!$F$199+(($C222)-$A$177:$A$222)*'Cálculos'!$F$98)/(('Cálculos'!$F$199+(($C222)-$A$177:$A$222)*'Cálculos'!$F$98)+1400)+'Cálculos'!$F$122)*'Cálculos'!$F$263+'Cálculos'!$F$125*(1+2.78*('Cálculos'!$F$199+(($C222)-$A$177:$A$222)*'Cálculos'!$F$98)/(('Cálculos'!$F$199+(($C222)-$A$177:$A$222)*'Cálculos'!$F$98)+1400)+'Cálculos'!$F$123)*'Cálculos'!$F$268)+('Cálculos'!$F$185*(1+'Cálculos'!$F$190+$A$177:$A$222*('Cálculos'!$F$290=1)*'Cálculos'!$F$97+'Cálculos'!$F$305)+'Cálculos'!$F$195)*('Cálculos'!$F$269+'Cálculos'!$F$124*(1+2.78*('Cálculos'!$F$200+(($C222)-$A$177:$A$222)*'Cálculos'!$F$98)/(('Cálculos'!$F$200+(($C222)-$A$177:$A$222)*'Cálculos'!$F$98)+1400)+'Cálculos'!$F$122)*'Cálculos'!$F$274+'Cálculos'!$F$125*(1+2.78*('Cálculos'!$F$200+(($C222)-$A$177:$A$222)*'Cálculos'!$F$98)/(('Cálculos'!$F$200+(($C222)-$A$177:$A$222)*'Cálculos'!$F$98)+1400)+'Cálculos'!$F$123)*'Cálculos'!$F$279)+('Cálculos'!$F$200+(($C222)-$A$177:$A$222)*'Cálculos'!$F$98)*('Cálculos'!$F$270+'Cálculos'!$F$124*(1+2.78*('Cálculos'!$F$200+(($C222)-$A$177:$A$222)*'Cálculos'!$F$98)/(('Cálculos'!$F$200+(($C222)-$A$177:$A$222)*'Cálculos'!$F$98)+1400)+'Cálculos'!$F$122)*'Cálculos'!$F$275+'Cálculos'!$F$125*(1+2.78*('Cálculos'!$F$200+(($C222)-$A$177:$A$222)*'Cálculos'!$F$98)/(('Cálculos'!$F$200+(($C222)-$A$177:$A$222)*'Cálculos'!$F$98)+1400)+'Cálculos'!$F$123)*'Cálculos'!$F$280)+('Cálculos'!$F$201*(1+'Cálculos'!$F$202+$A$177:$A$222*('Cálculos'!$F$290=2)*'Cálculos'!$F$101)+'Cálculos'!$F$203)*('Cálculos'!$F$271+'Cálculos'!$F$124*(1+2.78*('Cálculos'!$F$200+(($C222)-$A$177:$A$222)*'Cálculos'!$F$98)/(('Cálculos'!$F$200+(($C222)-$A$177:$A$222)*'Cálculos'!$F$98)+1400)+'Cálculos'!$F$122)*'Cálculos'!$F$276+'Cálculos'!$F$125*(1+2.78*('Cálculos'!$F$200+(($C222)-$A$177:$A$222)*'Cálculos'!$F$98)/(('Cálculos'!$F$200+(($C222)-$A$177:$A$222)*'Cálculos'!$F$98)+1400)+'Cálculos'!$F$123)*'Cálculos'!$F$281)+('Cálculos'!$F$204*(1+'Cálculos'!$F$205+$A$177:$A$222*('Cálculos'!$F$290=3)*'Cálculos'!$F$103)+'Cálculos'!$F$206)*('Cálculos'!$F$272+'Cálculos'!$F$124*(1+2.78*('Cálculos'!$F$200+(($C222)-$A$177:$A$222)*'Cálculos'!$F$98)/(('Cálculos'!$F$200+(($C222)-$A$177:$A$222)*'Cálculos'!$F$98)+1400)+'Cálculos'!$F$122)*'Cálculos'!$F$277+'Cálculos'!$F$125*(1+2.78*('Cálculos'!$F$200+(($C222)-$A$177:$A$222)*'Cálculos'!$F$98)/(('Cálculos'!$F$200+(($C222)-$A$177:$A$222)*'Cálculos'!$F$98)+1400)+'Cálculos'!$F$123)*'Cálculos'!$F$282)+('Cálculos'!$F$273+'Cálculos'!$F$124*(1+2.78*('Cálculos'!$F$200+(($C222)-$A$177:$A$222)*'Cálculos'!$F$98)/(('Cálculos'!$F$200+(($C222)-$A$177:$A$222)*'Cálculos'!$F$98)+1400)+'Cálculos'!$F$122)*'Cálculos'!$F$278+'Cálculos'!$F$125*(1+2.78*('Cálculos'!$F$200+(($C222)-$A$177:$A$222)*'Cálculos'!$F$98)/(('Cálculos'!$F$200+(($C222)-$A$177:$A$222)*'Cálculos'!$F$98)+1400)+'Cálculos'!$F$123)*'Cálculos'!$F$283)))))</f>
        <v>0</v>
      </c>
      <c r="E222" s="32">
        <f>IF(OR($C222&lt;0,'Cálculos'!$F$6=""),0,$B222*$D222)</f>
        <v>0</v>
      </c>
      <c r="F222" s="2"/>
      <c r="G222" s="30">
        <f>($A222&lt;=$B$224)*($A222&lt;='Cálculos'!$F$294)*(($B$224)-$A222&lt;='Cálculos'!$F$295)*(1+MIN(('Cálculos'!$F$207+$A222*'Cálculos'!$F$95),1)*('Cálculos'!$F$208+(($B$224)-$A222)*'Cálculos'!$F$96))</f>
        <v>0</v>
      </c>
      <c r="H222" s="31">
        <f>IF($B$225&lt;0,0,($A222&lt;=$B$225)*($A222&lt;='Cálculos'!$F$301)*(($B$225)-$A222&lt;='Cálculos'!$F$297)*(('Cálculos'!$F$185*(1+'Cálculos'!$F$186+$A222*('Cálculos'!$F$290=1)*'Cálculos'!$F$97+'Cálculos'!$F$305)+'Cálculos'!$F$191)*('Cálculos'!$F$209+'Cálculos'!$F$124*(1+2.78*('Cálculos'!$F$196+(($B$225)-$A222)*'Cálculos'!$F$98)/(('Cálculos'!$F$196+(($B$225)-$A222)*'Cálculos'!$F$98)+1400)+'Cálculos'!$F$122)*'Cálculos'!$F$214+'Cálculos'!$F$125*(1+2.78*('Cálculos'!$F$196+(($B$225)-$A222)*'Cálculos'!$F$98)/(('Cálculos'!$F$196+(($B$225)-$A222)*'Cálculos'!$F$98)+1400)+'Cálculos'!$F$123)*'Cálculos'!$F$219)+('Cálculos'!$F$196+(($B$225)-$A222)*'Cálculos'!$F$98)*('Cálculos'!$F$210+'Cálculos'!$F$124*(1+2.78*('Cálculos'!$F$196+(($B$225)-$A222)*'Cálculos'!$F$98)/(('Cálculos'!$F$196+(($B$225)-$A222)*'Cálculos'!$F$98)+1400)+'Cálculos'!$F$122)*'Cálculos'!$F$215+'Cálculos'!$F$125*(1+2.78*('Cálculos'!$F$196+(($B$225)-$A222)*'Cálculos'!$F$98)/(('Cálculos'!$F$196+(($B$225)-$A222)*'Cálculos'!$F$98)+1400)+'Cálculos'!$F$123)*'Cálculos'!$F$220)+('Cálculos'!$F$201*(1+'Cálculos'!$F$202+$A222*('Cálculos'!$F$290=2)*'Cálculos'!$F$101)+'Cálculos'!$F$203)*('Cálculos'!$F$211+'Cálculos'!$F$124*(1+2.78*('Cálculos'!$F$196+(($B$225)-$A222)*'Cálculos'!$F$98)/(('Cálculos'!$F$196+(($B$225)-$A222)*'Cálculos'!$F$98)+1400)+'Cálculos'!$F$122)*'Cálculos'!$F$216+'Cálculos'!$F$125*(1+2.78*('Cálculos'!$F$196+(($B$225)-$A222)*'Cálculos'!$F$98)/(('Cálculos'!$F$196+(($B$225)-$A222)*'Cálculos'!$F$98)+1400)+'Cálculos'!$F$123)*'Cálculos'!$F$221)+('Cálculos'!$F$204*(1+'Cálculos'!$F$205+$A222*('Cálculos'!$F$290=3)*'Cálculos'!$F$103)+'Cálculos'!$F$206)*('Cálculos'!$F$212+'Cálculos'!$F$124*(1+2.78*('Cálculos'!$F$196+(($B$225)-$A222)*'Cálculos'!$F$98)/(('Cálculos'!$F$196+(($B$225)-$A222)*'Cálculos'!$F$98)+1400)+'Cálculos'!$F$122)*'Cálculos'!$F$217+'Cálculos'!$F$125*(1+2.78*('Cálculos'!$F$196+(($B$225)-$A222)*'Cálculos'!$F$98)/(('Cálculos'!$F$196+(($B$225)-$A222)*'Cálculos'!$F$98)+1400)+'Cálculos'!$F$123)*'Cálculos'!$F$222)+('Cálculos'!$F$213+'Cálculos'!$F$124*(1+2.78*('Cálculos'!$F$196+(($B$225)-$A222)*'Cálculos'!$F$98)/(('Cálculos'!$F$196+(($B$225)-$A222)*'Cálculos'!$F$98)+1400)+'Cálculos'!$F$122)*'Cálculos'!$F$218+'Cálculos'!$F$125*(1+2.78*('Cálculos'!$F$196+(($B$225)-$A222)*'Cálculos'!$F$98)/(('Cálculos'!$F$196+(($B$225)-$A222)*'Cálculos'!$F$98)+1400)+'Cálculos'!$F$123)*'Cálculos'!$F$223)+('Cálculos'!$F$185*(1+'Cálculos'!$F$187+$A222*('Cálculos'!$F$290=1)*'Cálculos'!$F$97+'Cálculos'!$F$305)+'Cálculos'!$F$192)*('Cálculos'!$F$224+'Cálculos'!$F$124*(1+2.78*('Cálculos'!$F$197+(($B$225)-$A222)*'Cálculos'!$F$98)/(('Cálculos'!$F$197+(($B$225)-$A222)*'Cálculos'!$F$98)+1400)+'Cálculos'!$F$122)*'Cálculos'!$F$229+'Cálculos'!$F$125*(1+2.78*('Cálculos'!$F$197+(($B$225)-$A222)*'Cálculos'!$F$98)/(('Cálculos'!$F$197+(($B$225)-$A222)*'Cálculos'!$F$98)+1400)+'Cálculos'!$F$123)*'Cálculos'!$F$234)+('Cálculos'!$F$197+(($B$225)-$A222)*'Cálculos'!$F$98)*('Cálculos'!$F$225+'Cálculos'!$F$124*(1+2.78*('Cálculos'!$F$197+(($B$225)-$A222)*'Cálculos'!$F$98)/(('Cálculos'!$F$197+(($B$225)-$A222)*'Cálculos'!$F$98)+1400)+'Cálculos'!$F$122)*'Cálculos'!$F$230+'Cálculos'!$F$125*(1+2.78*('Cálculos'!$F$197+(($B$225)-$A222)*'Cálculos'!$F$98)/(('Cálculos'!$F$197+(($B$225)-$A222)*'Cálculos'!$F$98)+1400)+'Cálculos'!$F$123)*'Cálculos'!$F$235)+('Cálculos'!$F$201*(1+'Cálculos'!$F$202+$A222*('Cálculos'!$F$290=2)*'Cálculos'!$F$101)+'Cálculos'!$F$203)*('Cálculos'!$F$226+'Cálculos'!$F$124*(1+2.78*('Cálculos'!$F$197+(($B$225)-$A222)*'Cálculos'!$F$98)/(('Cálculos'!$F$197+(($B$225)-$A222)*'Cálculos'!$F$98)+1400)+'Cálculos'!$F$122)*'Cálculos'!$F$231+'Cálculos'!$F$125*(1+2.78*('Cálculos'!$F$197+(($B$225)-$A222)*'Cálculos'!$F$98)/(('Cálculos'!$F$197+(($B$225)-$A222)*'Cálculos'!$F$98)+1400)+'Cálculos'!$F$123)*'Cálculos'!$F$236)+('Cálculos'!$F$204*(1+'Cálculos'!$F$205+$A222*('Cálculos'!$F$290=3)*'Cálculos'!$F$103)+'Cálculos'!$F$206)*('Cálculos'!$F$227+'Cálculos'!$F$124*(1+2.78*('Cálculos'!$F$197+(($B$225)-$A222)*'Cálculos'!$F$98)/(('Cálculos'!$F$197+(($B$225)-$A222)*'Cálculos'!$F$98)+1400)+'Cálculos'!$F$122)*'Cálculos'!$F$232+'Cálculos'!$F$125*(1+2.78*('Cálculos'!$F$197+(($B$225)-$A222)*'Cálculos'!$F$98)/(('Cálculos'!$F$197+(($B$225)-$A222)*'Cálculos'!$F$98)+1400)+'Cálculos'!$F$123)*'Cálculos'!$F$237)+('Cálculos'!$F$228+'Cálculos'!$F$124*(1+2.78*('Cálculos'!$F$197+(($B$225)-$A222)*'Cálculos'!$F$98)/(('Cálculos'!$F$197+(($B$225)-$A222)*'Cálculos'!$F$98)+1400)+'Cálculos'!$F$122)*'Cálculos'!$F$233+'Cálculos'!$F$125*(1+2.78*('Cálculos'!$F$197+(($B$225)-$A222)*'Cálculos'!$F$98)/(('Cálculos'!$F$197+(($B$225)-$A222)*'Cálculos'!$F$98)+1400)+'Cálculos'!$F$123)*'Cálculos'!$F$238)+('Cálculos'!$F$185*(1+'Cálculos'!$F$188+$A222*('Cálculos'!$F$290=1)*'Cálculos'!$F$97+'Cálculos'!$F$305)+'Cálculos'!$F$193)*('Cálculos'!$F$239+'Cálculos'!$F$124*(1+2.78*('Cálculos'!$F$198+(($B$225)-$A222)*'Cálculos'!$F$98)/(('Cálculos'!$F$198+(($B$225)-$A222)*'Cálculos'!$F$98)+1400)+'Cálculos'!$F$122)*'Cálculos'!$F$244+'Cálculos'!$F$125*(1+2.78*('Cálculos'!$F$198+(($B$225)-$A222)*'Cálculos'!$F$98)/(('Cálculos'!$F$198+(($B$225)-$A222)*'Cálculos'!$F$98)+1400)+'Cálculos'!$F$123)*'Cálculos'!$F$249)+('Cálculos'!$F$198+(($B$225)-$A222)*'Cálculos'!$F$98)*('Cálculos'!$F$240+'Cálculos'!$F$124*(1+2.78*('Cálculos'!$F$198+(($B$225)-$A222)*'Cálculos'!$F$98)/(('Cálculos'!$F$198+(($B$225)-$A222)*'Cálculos'!$F$98)+1400)+'Cálculos'!$F$122)*'Cálculos'!$F$245+'Cálculos'!$F$125*(1+2.78*('Cálculos'!$F$198+(($B$225)-$A222)*'Cálculos'!$F$98)/(('Cálculos'!$F$198+(($B$225)-$A222)*'Cálculos'!$F$98)+1400)+'Cálculos'!$F$123)*'Cálculos'!$F$250)+('Cálculos'!$F$201*(1+'Cálculos'!$F$202+$A222*('Cálculos'!$F$290=2)*'Cálculos'!$F$101)+'Cálculos'!$F$203)*('Cálculos'!$F$241+'Cálculos'!$F$124*(1+2.78*('Cálculos'!$F$198+(($B$225)-$A222)*'Cálculos'!$F$98)/(('Cálculos'!$F$198+(($B$225)-$A222)*'Cálculos'!$F$98)+1400)+'Cálculos'!$F$122)*'Cálculos'!$F$246+'Cálculos'!$F$125*(1+2.78*('Cálculos'!$F$198+(($B$225)-$A222)*'Cálculos'!$F$98)/(('Cálculos'!$F$198+(($B$225)-$A222)*'Cálculos'!$F$98)+1400)+'Cálculos'!$F$123)*'Cálculos'!$F$251)+('Cálculos'!$F$204*(1+'Cálculos'!$F$205+$A222*('Cálculos'!$F$290=3)*'Cálculos'!$F$103)+'Cálculos'!$F$206)*('Cálculos'!$F$242+'Cálculos'!$F$124*(1+2.78*('Cálculos'!$F$198+(($B$225)-$A222)*'Cálculos'!$F$98)/(('Cálculos'!$F$198+(($B$225)-$A222)*'Cálculos'!$F$98)+1400)+'Cálculos'!$F$122)*'Cálculos'!$F$247+'Cálculos'!$F$125*(1+2.78*('Cálculos'!$F$198+(($B$225)-$A222)*'Cálculos'!$F$98)/(('Cálculos'!$F$198+(($B$225)-$A222)*'Cálculos'!$F$98)+1400)+'Cálculos'!$F$123)*'Cálculos'!$F$252)+('Cálculos'!$F$243+'Cálculos'!$F$124*(1+2.78*('Cálculos'!$F$198+(($B$225)-$A222)*'Cálculos'!$F$98)/(('Cálculos'!$F$198+(($B$225)-$A222)*'Cálculos'!$F$98)+1400)+'Cálculos'!$F$122)*'Cálculos'!$F$248+'Cálculos'!$F$125*(1+2.78*('Cálculos'!$F$198+(($B$225)-$A222)*'Cálculos'!$F$98)/(('Cálculos'!$F$198+(($B$225)-$A222)*'Cálculos'!$F$98)+1400)+'Cálculos'!$F$123)*'Cálculos'!$F$253)+('Cálculos'!$F$185*(1+'Cálculos'!$F$189+$A222*('Cálculos'!$F$290=1)*'Cálculos'!$F$97+'Cálculos'!$F$305)+'Cálculos'!$F$194)*('Cálculos'!$F$254+'Cálculos'!$F$124*(1+2.78*('Cálculos'!$F$199+(($B$225)-$A222)*'Cálculos'!$F$98)/(('Cálculos'!$F$199+(($B$225)-$A222)*'Cálculos'!$F$98)+1400)+'Cálculos'!$F$122)*'Cálculos'!$F$259+'Cálculos'!$F$125*(1+2.78*('Cálculos'!$F$199+(($B$225)-$A222)*'Cálculos'!$F$98)/(('Cálculos'!$F$199+(($B$225)-$A222)*'Cálculos'!$F$98)+1400)+'Cálculos'!$F$123)*'Cálculos'!$F$264)+('Cálculos'!$F$199+(($B$225)-$A222)*'Cálculos'!$F$98)*('Cálculos'!$F$255+'Cálculos'!$F$124*(1+2.78*('Cálculos'!$F$199+(($B$225)-$A222)*'Cálculos'!$F$98)/(('Cálculos'!$F$199+(($B$225)-$A222)*'Cálculos'!$F$98)+1400)+'Cálculos'!$F$122)*'Cálculos'!$F$260+'Cálculos'!$F$125*(1+2.78*('Cálculos'!$F$199+(($B$225)-$A222)*'Cálculos'!$F$98)/(('Cálculos'!$F$199+(($B$225)-$A222)*'Cálculos'!$F$98)+1400)+'Cálculos'!$F$123)*'Cálculos'!$F$265)+('Cálculos'!$F$201*(1+'Cálculos'!$F$202+$A222*('Cálculos'!$F$290=2)*'Cálculos'!$F$101)+'Cálculos'!$F$203)*('Cálculos'!$F$256+'Cálculos'!$F$124*(1+2.78*('Cálculos'!$F$199+(($B$225)-$A222)*'Cálculos'!$F$98)/(('Cálculos'!$F$199+(($B$225)-$A222)*'Cálculos'!$F$98)+1400)+'Cálculos'!$F$122)*'Cálculos'!$F$261+'Cálculos'!$F$125*(1+2.78*('Cálculos'!$F$199+(($B$225)-$A222)*'Cálculos'!$F$98)/(('Cálculos'!$F$199+(($B$225)-$A222)*'Cálculos'!$F$98)+1400)+'Cálculos'!$F$123)*'Cálculos'!$F$266)+('Cálculos'!$F$204*(1+'Cálculos'!$F$205+$A222*('Cálculos'!$F$290=3)*'Cálculos'!$F$103)+'Cálculos'!$F$206)*('Cálculos'!$F$257+'Cálculos'!$F$124*(1+2.78*('Cálculos'!$F$199+(($B$225)-$A222)*'Cálculos'!$F$98)/(('Cálculos'!$F$199+(($B$225)-$A222)*'Cálculos'!$F$98)+1400)+'Cálculos'!$F$122)*'Cálculos'!$F$262+'Cálculos'!$F$125*(1+2.78*('Cálculos'!$F$199+(($B$225)-$A222)*'Cálculos'!$F$98)/(('Cálculos'!$F$199+(($B$225)-$A222)*'Cálculos'!$F$98)+1400)+'Cálculos'!$F$123)*'Cálculos'!$F$267)+('Cálculos'!$F$258+'Cálculos'!$F$124*(1+2.78*('Cálculos'!$F$199+(($B$225)-$A222)*'Cálculos'!$F$98)/(('Cálculos'!$F$199+(($B$225)-$A222)*'Cálculos'!$F$98)+1400)+'Cálculos'!$F$122)*'Cálculos'!$F$263+'Cálculos'!$F$125*(1+2.78*('Cálculos'!$F$199+(($B$225)-$A222)*'Cálculos'!$F$98)/(('Cálculos'!$F$199+(($B$225)-$A222)*'Cálculos'!$F$98)+1400)+'Cálculos'!$F$123)*'Cálculos'!$F$268)+('Cálculos'!$F$185*(1+'Cálculos'!$F$190+$A222*('Cálculos'!$F$290=1)*'Cálculos'!$F$97+'Cálculos'!$F$305)+'Cálculos'!$F$195)*('Cálculos'!$F$269+'Cálculos'!$F$124*(1+2.78*('Cálculos'!$F$200+(($B$225)-$A222)*'Cálculos'!$F$98)/(('Cálculos'!$F$200+(($B$225)-$A222)*'Cálculos'!$F$98)+1400)+'Cálculos'!$F$122)*'Cálculos'!$F$274+'Cálculos'!$F$125*(1+2.78*('Cálculos'!$F$200+(($B$225)-$A222)*'Cálculos'!$F$98)/(('Cálculos'!$F$200+(($B$225)-$A222)*'Cálculos'!$F$98)+1400)+'Cálculos'!$F$123)*'Cálculos'!$F$279)+('Cálculos'!$F$200+(($B$225)-$A222)*'Cálculos'!$F$98)*('Cálculos'!$F$270+'Cálculos'!$F$124*(1+2.78*('Cálculos'!$F$200+(($B$225)-$A222)*'Cálculos'!$F$98)/(('Cálculos'!$F$200+(($B$225)-$A222)*'Cálculos'!$F$98)+1400)+'Cálculos'!$F$122)*'Cálculos'!$F$275+'Cálculos'!$F$125*(1+2.78*('Cálculos'!$F$200+(($B$225)-$A222)*'Cálculos'!$F$98)/(('Cálculos'!$F$200+(($B$225)-$A222)*'Cálculos'!$F$98)+1400)+'Cálculos'!$F$123)*'Cálculos'!$F$280)+('Cálculos'!$F$201*(1+'Cálculos'!$F$202+$A222*('Cálculos'!$F$290=2)*'Cálculos'!$F$101)+'Cálculos'!$F$203)*('Cálculos'!$F$271+'Cálculos'!$F$124*(1+2.78*('Cálculos'!$F$200+(($B$225)-$A222)*'Cálculos'!$F$98)/(('Cálculos'!$F$200+(($B$225)-$A222)*'Cálculos'!$F$98)+1400)+'Cálculos'!$F$122)*'Cálculos'!$F$276+'Cálculos'!$F$125*(1+2.78*('Cálculos'!$F$200+(($B$225)-$A222)*'Cálculos'!$F$98)/(('Cálculos'!$F$200+(($B$225)-$A222)*'Cálculos'!$F$98)+1400)+'Cálculos'!$F$123)*'Cálculos'!$F$281)+('Cálculos'!$F$204*(1+'Cálculos'!$F$205+$A222*('Cálculos'!$F$290=3)*'Cálculos'!$F$103)+'Cálculos'!$F$206)*('Cálculos'!$F$272+'Cálculos'!$F$124*(1+2.78*('Cálculos'!$F$200+(($B$225)-$A222)*'Cálculos'!$F$98)/(('Cálculos'!$F$200+(($B$225)-$A222)*'Cálculos'!$F$98)+1400)+'Cálculos'!$F$122)*'Cálculos'!$F$277+'Cálculos'!$F$125*(1+2.78*('Cálculos'!$F$200+(($B$225)-$A222)*'Cálculos'!$F$98)/(('Cálculos'!$F$200+(($B$225)-$A222)*'Cálculos'!$F$98)+1400)+'Cálculos'!$F$123)*'Cálculos'!$F$282)+('Cálculos'!$F$273+'Cálculos'!$F$124*(1+2.78*('Cálculos'!$F$200+(($B$225)-$A222)*'Cálculos'!$F$98)/(('Cálculos'!$F$200+(($B$225)-$A222)*'Cálculos'!$F$98)+1400)+'Cálculos'!$F$122)*'Cálculos'!$F$278+'Cálculos'!$F$125*(1+2.78*('Cálculos'!$F$200+(($B$225)-$A222)*'Cálculos'!$F$98)/(('Cálculos'!$F$200+(($B$225)-$A222)*'Cálculos'!$F$98)+1400)+'Cálculos'!$F$123)*'Cálculos'!$F$283)))</f>
        <v>0</v>
      </c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3" t="s">
        <v>888</v>
      </c>
      <c r="B224" s="2">
        <f>IF('Cálculos'!$F$304="",MATCH(MAX($E$177:$E$222),$E$177:$E$222,0)-1,'Cálculos'!$F$304)</f>
        <v>18</v>
      </c>
      <c r="C224" s="2"/>
      <c r="D224" s="2"/>
      <c r="E224" s="2"/>
      <c r="F224" s="2"/>
      <c r="G224" s="2"/>
      <c r="H224" s="2"/>
    </row>
    <row r="225" ht="15.75" customHeight="1">
      <c r="A225" s="3" t="s">
        <v>889</v>
      </c>
      <c r="B225" s="2">
        <f>'Cálculos'!$F$303-$B$224</f>
        <v>0</v>
      </c>
      <c r="C225" s="2"/>
      <c r="D225" s="2"/>
      <c r="E225" s="2"/>
      <c r="F225" s="2"/>
      <c r="G225" s="2"/>
      <c r="H225" s="2"/>
    </row>
    <row r="226" ht="15.75" customHeight="1">
      <c r="A226" s="3" t="s">
        <v>637</v>
      </c>
      <c r="B226" s="37">
        <f>MATCH(MAX($G$177:$G$222),$G$177:$G$222,0)-1</f>
        <v>12</v>
      </c>
      <c r="C226" s="2"/>
      <c r="D226" s="2"/>
      <c r="E226" s="2"/>
      <c r="F226" s="2"/>
      <c r="G226" s="2"/>
      <c r="H226" s="2"/>
    </row>
    <row r="227" ht="15.75" customHeight="1">
      <c r="A227" s="3" t="s">
        <v>638</v>
      </c>
      <c r="B227" s="37">
        <f>$B$224-$B$226</f>
        <v>6</v>
      </c>
      <c r="C227" s="2"/>
      <c r="D227" s="2"/>
      <c r="E227" s="2"/>
      <c r="F227" s="2"/>
      <c r="G227" s="2"/>
      <c r="H227" s="2"/>
    </row>
    <row r="228" ht="15.75" customHeight="1">
      <c r="A228" s="3" t="s">
        <v>890</v>
      </c>
      <c r="B228" s="37">
        <f>MATCH(MAX($H$177:$H$222),$H$177:$H$222,0)-1</f>
        <v>0</v>
      </c>
      <c r="C228" s="2"/>
      <c r="D228" s="2"/>
      <c r="E228" s="2"/>
      <c r="F228" s="2"/>
      <c r="G228" s="2"/>
      <c r="H228" s="2"/>
    </row>
    <row r="229" ht="15.75" customHeight="1">
      <c r="A229" s="3" t="s">
        <v>640</v>
      </c>
      <c r="B229" s="37">
        <f>$B$225-$B$228</f>
        <v>0</v>
      </c>
      <c r="C229" s="2"/>
      <c r="D229" s="2"/>
      <c r="E229" s="2"/>
      <c r="F229" s="2"/>
      <c r="G229" s="2"/>
      <c r="H229" s="2"/>
    </row>
    <row r="230" ht="15.75" customHeight="1">
      <c r="A230" s="3" t="s">
        <v>641</v>
      </c>
      <c r="B230" s="37">
        <f>'Cálculos'!$F$302</f>
        <v>2</v>
      </c>
      <c r="C230" s="2"/>
      <c r="D230" s="2"/>
      <c r="E230" s="2"/>
      <c r="F230" s="2"/>
      <c r="G230" s="2"/>
      <c r="H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4" width="22.0"/>
    <col customWidth="1" min="5" max="5" width="16.0"/>
    <col customWidth="1" min="6" max="6" width="3.0"/>
    <col customWidth="1" min="7" max="8" width="26.0"/>
    <col customWidth="1" min="9" max="26" width="8.71"/>
  </cols>
  <sheetData>
    <row r="1">
      <c r="A1" s="1" t="s">
        <v>342</v>
      </c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3" t="str">
        <f>"Slot 1: "&amp;'Cálculos'!C6</f>
        <v>Slot 1: Mavuika</v>
      </c>
      <c r="B4" s="2"/>
      <c r="C4" s="2"/>
      <c r="D4" s="2"/>
      <c r="E4" s="2"/>
      <c r="F4" s="2"/>
      <c r="G4" s="2"/>
      <c r="H4" s="2"/>
    </row>
    <row r="5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  <c r="F5" s="6"/>
      <c r="G5" s="6" t="s">
        <v>334</v>
      </c>
      <c r="H5" s="6" t="s">
        <v>335</v>
      </c>
    </row>
    <row r="6">
      <c r="A6" s="2">
        <v>0.0</v>
      </c>
      <c r="B6" s="30">
        <f>SUMPRODUCT(MAX(($A$6:$A$51&lt;=$A6)*($A$6:$A$51&lt;='Cálculos'!$C$294)*(($A6)-$A$6:$A$51&lt;='Cálculos'!$C$295)*(1+(('Cálculos'!$C$207+$A$6:$A$51*'Cálculos'!$C$95)-(('Cálculos'!$C$207+$A$6:$A$51*'Cálculos'!$C$95)&gt;1)*(('Cálculos'!$C$207+$A$6:$A$51*'Cálculos'!$C$95)-1))*('Cálculos'!$C$208+(($A6)-$A$6:$A$51)*'Cálculos'!$C$96))))</f>
        <v>2.244488</v>
      </c>
      <c r="C6" s="2">
        <f>'Cálculos'!$C$303-$A6</f>
        <v>20</v>
      </c>
      <c r="D6" s="31">
        <f>IF($C6&lt;0,0,SUMPRODUCT(MAX(($A$6:$A$51&lt;=$C6)*($A$6:$A$51&lt;='Cálculos'!$C$301)*(($C6)-$A$6:$A$51&lt;='Cálculos'!$C$297)*(('Cálculos'!$C$185*(1+'Cálculos'!$C$186+$A$6:$A$51*('Cálculos'!$C$290=1)*'Cálculos'!$C$97+'Cálculos'!$C$305)+'Cálculos'!$C$191)*('Cálculos'!$C$209+'Cálculos'!$C$124*(1+2.78*('Cálculos'!$C$196+(($C6)-$A$6:$A$51)*'Cálculos'!$C$98)/(('Cálculos'!$C$196+(($C6)-$A$6:$A$51)*'Cálculos'!$C$98)+1400)+'Cálculos'!$C$122)*'Cálculos'!$C$214+'Cálculos'!$C$125*(1+2.78*('Cálculos'!$C$196+(($C6)-$A$6:$A$51)*'Cálculos'!$C$98)/(('Cálculos'!$C$196+(($C6)-$A$6:$A$51)*'Cálculos'!$C$98)+1400)+'Cálculos'!$C$123)*'Cálculos'!$C$219)+('Cálculos'!$C$196+(($C6)-$A$6:$A$51)*'Cálculos'!$C$98)*('Cálculos'!$C$210+'Cálculos'!$C$124*(1+2.78*('Cálculos'!$C$196+(($C6)-$A$6:$A$51)*'Cálculos'!$C$98)/(('Cálculos'!$C$196+(($C6)-$A$6:$A$51)*'Cálculos'!$C$98)+1400)+'Cálculos'!$C$122)*'Cálculos'!$C$215+'Cálculos'!$C$125*(1+2.78*('Cálculos'!$C$196+(($C6)-$A$6:$A$51)*'Cálculos'!$C$98)/(('Cálculos'!$C$196+(($C6)-$A$6:$A$51)*'Cálculos'!$C$98)+1400)+'Cálculos'!$C$123)*'Cálculos'!$C$220)+('Cálculos'!$C$201*(1+'Cálculos'!$C$202+$A$6:$A$51*('Cálculos'!$C$290=2)*'Cálculos'!$C$101)+'Cálculos'!$C$203)*('Cálculos'!$C$211+'Cálculos'!$C$124*(1+2.78*('Cálculos'!$C$196+(($C6)-$A$6:$A$51)*'Cálculos'!$C$98)/(('Cálculos'!$C$196+(($C6)-$A$6:$A$51)*'Cálculos'!$C$98)+1400)+'Cálculos'!$C$122)*'Cálculos'!$C$216+'Cálculos'!$C$125*(1+2.78*('Cálculos'!$C$196+(($C6)-$A$6:$A$51)*'Cálculos'!$C$98)/(('Cálculos'!$C$196+(($C6)-$A$6:$A$51)*'Cálculos'!$C$98)+1400)+'Cálculos'!$C$123)*'Cálculos'!$C$221)+('Cálculos'!$C$204*(1+'Cálculos'!$C$205+$A$6:$A$51*('Cálculos'!$C$290=3)*'Cálculos'!$C$103)+'Cálculos'!$C$206)*('Cálculos'!$C$212+'Cálculos'!$C$124*(1+2.78*('Cálculos'!$C$196+(($C6)-$A$6:$A$51)*'Cálculos'!$C$98)/(('Cálculos'!$C$196+(($C6)-$A$6:$A$51)*'Cálculos'!$C$98)+1400)+'Cálculos'!$C$122)*'Cálculos'!$C$217+'Cálculos'!$C$125*(1+2.78*('Cálculos'!$C$196+(($C6)-$A$6:$A$51)*'Cálculos'!$C$98)/(('Cálculos'!$C$196+(($C6)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6)-$A$6:$A$51)*'Cálculos'!$C$98)/(('Cálculos'!$C$197+(($C6)-$A$6:$A$51)*'Cálculos'!$C$98)+1400)+'Cálculos'!$C$122)*'Cálculos'!$C$229+'Cálculos'!$C$125*(1+2.78*('Cálculos'!$C$197+(($C6)-$A$6:$A$51)*'Cálculos'!$C$98)/(('Cálculos'!$C$197+(($C6)-$A$6:$A$51)*'Cálculos'!$C$98)+1400)+'Cálculos'!$C$123)*'Cálculos'!$C$234)+('Cálculos'!$C$197+(($C6)-$A$6:$A$51)*'Cálculos'!$C$98)*('Cálculos'!$C$225+'Cálculos'!$C$124*(1+2.78*('Cálculos'!$C$197+(($C6)-$A$6:$A$51)*'Cálculos'!$C$98)/(('Cálculos'!$C$197+(($C6)-$A$6:$A$51)*'Cálculos'!$C$98)+1400)+'Cálculos'!$C$122)*'Cálculos'!$C$230+'Cálculos'!$C$125*(1+2.78*('Cálculos'!$C$197+(($C6)-$A$6:$A$51)*'Cálculos'!$C$98)/(('Cálculos'!$C$197+(($C6)-$A$6:$A$51)*'Cálculos'!$C$98)+1400)+'Cálculos'!$C$123)*'Cálculos'!$C$235)+('Cálculos'!$C$201*(1+'Cálculos'!$C$202+$A$6:$A$51*('Cálculos'!$C$290=2)*'Cálculos'!$C$101)+'Cálculos'!$C$203)*('Cálculos'!$C$226+'Cálculos'!$C$124*(1+2.78*('Cálculos'!$C$197+(($C6)-$A$6:$A$51)*'Cálculos'!$C$98)/(('Cálculos'!$C$197+(($C6)-$A$6:$A$51)*'Cálculos'!$C$98)+1400)+'Cálculos'!$C$122)*'Cálculos'!$C$231+'Cálculos'!$C$125*(1+2.78*('Cálculos'!$C$197+(($C6)-$A$6:$A$51)*'Cálculos'!$C$98)/(('Cálculos'!$C$197+(($C6)-$A$6:$A$51)*'Cálculos'!$C$98)+1400)+'Cálculos'!$C$123)*'Cálculos'!$C$236)+('Cálculos'!$C$204*(1+'Cálculos'!$C$205+$A$6:$A$51*('Cálculos'!$C$290=3)*'Cálculos'!$C$103)+'Cálculos'!$C$206)*('Cálculos'!$C$227+'Cálculos'!$C$124*(1+2.78*('Cálculos'!$C$197+(($C6)-$A$6:$A$51)*'Cálculos'!$C$98)/(('Cálculos'!$C$197+(($C6)-$A$6:$A$51)*'Cálculos'!$C$98)+1400)+'Cálculos'!$C$122)*'Cálculos'!$C$232+'Cálculos'!$C$125*(1+2.78*('Cálculos'!$C$197+(($C6)-$A$6:$A$51)*'Cálculos'!$C$98)/(('Cálculos'!$C$197+(($C6)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6)-$A$6:$A$51)*'Cálculos'!$C$98)/(('Cálculos'!$C$198+(($C6)-$A$6:$A$51)*'Cálculos'!$C$98)+1400)+'Cálculos'!$C$122)*'Cálculos'!$C$244+'Cálculos'!$C$125*(1+2.78*('Cálculos'!$C$198+(($C6)-$A$6:$A$51)*'Cálculos'!$C$98)/(('Cálculos'!$C$198+(($C6)-$A$6:$A$51)*'Cálculos'!$C$98)+1400)+'Cálculos'!$C$123)*'Cálculos'!$C$249)+('Cálculos'!$C$198+(($C6)-$A$6:$A$51)*'Cálculos'!$C$98)*('Cálculos'!$C$240+'Cálculos'!$C$124*(1+2.78*('Cálculos'!$C$198+(($C6)-$A$6:$A$51)*'Cálculos'!$C$98)/(('Cálculos'!$C$198+(($C6)-$A$6:$A$51)*'Cálculos'!$C$98)+1400)+'Cálculos'!$C$122)*'Cálculos'!$C$245+'Cálculos'!$C$125*(1+2.78*('Cálculos'!$C$198+(($C6)-$A$6:$A$51)*'Cálculos'!$C$98)/(('Cálculos'!$C$198+(($C6)-$A$6:$A$51)*'Cálculos'!$C$98)+1400)+'Cálculos'!$C$123)*'Cálculos'!$C$250)+('Cálculos'!$C$201*(1+'Cálculos'!$C$202+$A$6:$A$51*('Cálculos'!$C$290=2)*'Cálculos'!$C$101)+'Cálculos'!$C$203)*('Cálculos'!$C$241+'Cálculos'!$C$124*(1+2.78*('Cálculos'!$C$198+(($C6)-$A$6:$A$51)*'Cálculos'!$C$98)/(('Cálculos'!$C$198+(($C6)-$A$6:$A$51)*'Cálculos'!$C$98)+1400)+'Cálculos'!$C$122)*'Cálculos'!$C$246+'Cálculos'!$C$125*(1+2.78*('Cálculos'!$C$198+(($C6)-$A$6:$A$51)*'Cálculos'!$C$98)/(('Cálculos'!$C$198+(($C6)-$A$6:$A$51)*'Cálculos'!$C$98)+1400)+'Cálculos'!$C$123)*'Cálculos'!$C$251)+('Cálculos'!$C$204*(1+'Cálculos'!$C$205+$A$6:$A$51*('Cálculos'!$C$290=3)*'Cálculos'!$C$103)+'Cálculos'!$C$206)*('Cálculos'!$C$242+'Cálculos'!$C$124*(1+2.78*('Cálculos'!$C$198+(($C6)-$A$6:$A$51)*'Cálculos'!$C$98)/(('Cálculos'!$C$198+(($C6)-$A$6:$A$51)*'Cálculos'!$C$98)+1400)+'Cálculos'!$C$122)*'Cálculos'!$C$247+'Cálculos'!$C$125*(1+2.78*('Cálculos'!$C$198+(($C6)-$A$6:$A$51)*'Cálculos'!$C$98)/(('Cálculos'!$C$198+(($C6)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6)-$A$6:$A$51)*'Cálculos'!$C$98)/(('Cálculos'!$C$199+(($C6)-$A$6:$A$51)*'Cálculos'!$C$98)+1400)+'Cálculos'!$C$122)*'Cálculos'!$C$259+'Cálculos'!$C$125*(1+2.78*('Cálculos'!$C$199+(($C6)-$A$6:$A$51)*'Cálculos'!$C$98)/(('Cálculos'!$C$199+(($C6)-$A$6:$A$51)*'Cálculos'!$C$98)+1400)+'Cálculos'!$C$123)*'Cálculos'!$C$264)+('Cálculos'!$C$199+(($C6)-$A$6:$A$51)*'Cálculos'!$C$98)*('Cálculos'!$C$255+'Cálculos'!$C$124*(1+2.78*('Cálculos'!$C$199+(($C6)-$A$6:$A$51)*'Cálculos'!$C$98)/(('Cálculos'!$C$199+(($C6)-$A$6:$A$51)*'Cálculos'!$C$98)+1400)+'Cálculos'!$C$122)*'Cálculos'!$C$260+'Cálculos'!$C$125*(1+2.78*('Cálculos'!$C$199+(($C6)-$A$6:$A$51)*'Cálculos'!$C$98)/(('Cálculos'!$C$199+(($C6)-$A$6:$A$51)*'Cálculos'!$C$98)+1400)+'Cálculos'!$C$123)*'Cálculos'!$C$265)+('Cálculos'!$C$201*(1+'Cálculos'!$C$202+$A$6:$A$51*('Cálculos'!$C$290=2)*'Cálculos'!$C$101)+'Cálculos'!$C$203)*('Cálculos'!$C$256+'Cálculos'!$C$124*(1+2.78*('Cálculos'!$C$199+(($C6)-$A$6:$A$51)*'Cálculos'!$C$98)/(('Cálculos'!$C$199+(($C6)-$A$6:$A$51)*'Cálculos'!$C$98)+1400)+'Cálculos'!$C$122)*'Cálculos'!$C$261+'Cálculos'!$C$125*(1+2.78*('Cálculos'!$C$199+(($C6)-$A$6:$A$51)*'Cálculos'!$C$98)/(('Cálculos'!$C$199+(($C6)-$A$6:$A$51)*'Cálculos'!$C$98)+1400)+'Cálculos'!$C$123)*'Cálculos'!$C$266)+('Cálculos'!$C$204*(1+'Cálculos'!$C$205+$A$6:$A$51*('Cálculos'!$C$290=3)*'Cálculos'!$C$103)+'Cálculos'!$C$206)*('Cálculos'!$C$257+'Cálculos'!$C$124*(1+2.78*('Cálculos'!$C$199+(($C6)-$A$6:$A$51)*'Cálculos'!$C$98)/(('Cálculos'!$C$199+(($C6)-$A$6:$A$51)*'Cálculos'!$C$98)+1400)+'Cálculos'!$C$122)*'Cálculos'!$C$262+'Cálculos'!$C$125*(1+2.78*('Cálculos'!$C$199+(($C6)-$A$6:$A$51)*'Cálculos'!$C$98)/(('Cálculos'!$C$199+(($C6)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6)-$A$6:$A$51)*'Cálculos'!$C$98)/(('Cálculos'!$C$200+(($C6)-$A$6:$A$51)*'Cálculos'!$C$98)+1400)+'Cálculos'!$C$122)*'Cálculos'!$C$274+'Cálculos'!$C$125*(1+2.78*('Cálculos'!$C$200+(($C6)-$A$6:$A$51)*'Cálculos'!$C$98)/(('Cálculos'!$C$200+(($C6)-$A$6:$A$51)*'Cálculos'!$C$98)+1400)+'Cálculos'!$C$123)*'Cálculos'!$C$279)+('Cálculos'!$C$200+(($C6)-$A$6:$A$51)*'Cálculos'!$C$98)*('Cálculos'!$C$270+'Cálculos'!$C$124*(1+2.78*('Cálculos'!$C$200+(($C6)-$A$6:$A$51)*'Cálculos'!$C$98)/(('Cálculos'!$C$200+(($C6)-$A$6:$A$51)*'Cálculos'!$C$98)+1400)+'Cálculos'!$C$122)*'Cálculos'!$C$275+'Cálculos'!$C$125*(1+2.78*('Cálculos'!$C$200+(($C6)-$A$6:$A$51)*'Cálculos'!$C$98)/(('Cálculos'!$C$200+(($C6)-$A$6:$A$51)*'Cálculos'!$C$98)+1400)+'Cálculos'!$C$123)*'Cálculos'!$C$280)+('Cálculos'!$C$201*(1+'Cálculos'!$C$202+$A$6:$A$51*('Cálculos'!$C$290=2)*'Cálculos'!$C$101)+'Cálculos'!$C$203)*('Cálculos'!$C$271+'Cálculos'!$C$124*(1+2.78*('Cálculos'!$C$200+(($C6)-$A$6:$A$51)*'Cálculos'!$C$98)/(('Cálculos'!$C$200+(($C6)-$A$6:$A$51)*'Cálculos'!$C$98)+1400)+'Cálculos'!$C$122)*'Cálculos'!$C$276+'Cálculos'!$C$125*(1+2.78*('Cálculos'!$C$200+(($C6)-$A$6:$A$51)*'Cálculos'!$C$98)/(('Cálculos'!$C$200+(($C6)-$A$6:$A$51)*'Cálculos'!$C$98)+1400)+'Cálculos'!$C$123)*'Cálculos'!$C$281)+('Cálculos'!$C$204*(1+'Cálculos'!$C$205+$A$6:$A$51*('Cálculos'!$C$290=3)*'Cálculos'!$C$103)+'Cálculos'!$C$206)*('Cálculos'!$C$272+'Cálculos'!$C$124*(1+2.78*('Cálculos'!$C$200+(($C6)-$A$6:$A$51)*'Cálculos'!$C$98)/(('Cálculos'!$C$200+(($C6)-$A$6:$A$51)*'Cálculos'!$C$98)+1400)+'Cálculos'!$C$122)*'Cálculos'!$C$277+'Cálculos'!$C$125*(1+2.78*('Cálculos'!$C$200+(($C6)-$A$6:$A$51)*'Cálculos'!$C$98)/(('Cálculos'!$C$200+(($C6)-$A$6:$A$51)*'Cálculos'!$C$98)+1400)+'Cálculos'!$C$123)*'Cálculos'!$C$282)))))</f>
        <v>1280513.903</v>
      </c>
      <c r="E6" s="32">
        <f>IF(OR($C6&lt;0,'Cálculos'!$C$6=""),0,$B6*$D6)</f>
        <v>2874098.088</v>
      </c>
      <c r="F6" s="2"/>
      <c r="G6" s="30">
        <f>($A6&lt;=$B$53)*($A6&lt;='Cálculos'!$C$294)*(($B$53)-$A6&lt;='Cálculos'!$C$295)*(1+MIN(('Cálculos'!$C$207+$A6*'Cálculos'!$C$95),1)*('Cálculos'!$C$208+(($B$53)-$A6)*'Cálculos'!$C$96))</f>
        <v>2.905544</v>
      </c>
      <c r="H6" s="31">
        <f>IF($B$54&lt;0,0,($A6&lt;=$B$54)*($A6&lt;='Cálculos'!$C$301)*(($B$54)-$A6&lt;='Cálculos'!$C$297)*(('Cálculos'!$C$185*(1+'Cálculos'!$C$186+$A6*('Cálculos'!$C$290=1)*'Cálculos'!$C$97+'Cálculos'!$C$305)+'Cálculos'!$C$191)*('Cálculos'!$C$209+'Cálculos'!$C$124*(1+2.78*('Cálculos'!$C$196+(($B$54)-$A6)*'Cálculos'!$C$98)/(('Cálculos'!$C$196+(($B$54)-$A6)*'Cálculos'!$C$98)+1400)+'Cálculos'!$C$122)*'Cálculos'!$C$214+'Cálculos'!$C$125*(1+2.78*('Cálculos'!$C$196+(($B$54)-$A6)*'Cálculos'!$C$98)/(('Cálculos'!$C$196+(($B$54)-$A6)*'Cálculos'!$C$98)+1400)+'Cálculos'!$C$123)*'Cálculos'!$C$219)+('Cálculos'!$C$196+(($B$54)-$A6)*'Cálculos'!$C$98)*('Cálculos'!$C$210+'Cálculos'!$C$124*(1+2.78*('Cálculos'!$C$196+(($B$54)-$A6)*'Cálculos'!$C$98)/(('Cálculos'!$C$196+(($B$54)-$A6)*'Cálculos'!$C$98)+1400)+'Cálculos'!$C$122)*'Cálculos'!$C$215+'Cálculos'!$C$125*(1+2.78*('Cálculos'!$C$196+(($B$54)-$A6)*'Cálculos'!$C$98)/(('Cálculos'!$C$196+(($B$54)-$A6)*'Cálculos'!$C$98)+1400)+'Cálculos'!$C$123)*'Cálculos'!$C$220)+('Cálculos'!$C$201*(1+'Cálculos'!$C$202+$A6*('Cálculos'!$C$290=2)*'Cálculos'!$C$101)+'Cálculos'!$C$203)*('Cálculos'!$C$211+'Cálculos'!$C$124*(1+2.78*('Cálculos'!$C$196+(($B$54)-$A6)*'Cálculos'!$C$98)/(('Cálculos'!$C$196+(($B$54)-$A6)*'Cálculos'!$C$98)+1400)+'Cálculos'!$C$122)*'Cálculos'!$C$216+'Cálculos'!$C$125*(1+2.78*('Cálculos'!$C$196+(($B$54)-$A6)*'Cálculos'!$C$98)/(('Cálculos'!$C$196+(($B$54)-$A6)*'Cálculos'!$C$98)+1400)+'Cálculos'!$C$123)*'Cálculos'!$C$221)+('Cálculos'!$C$204*(1+'Cálculos'!$C$205+$A6*('Cálculos'!$C$290=3)*'Cálculos'!$C$103)+'Cálculos'!$C$206)*('Cálculos'!$C$212+'Cálculos'!$C$124*(1+2.78*('Cálculos'!$C$196+(($B$54)-$A6)*'Cálculos'!$C$98)/(('Cálculos'!$C$196+(($B$54)-$A6)*'Cálculos'!$C$98)+1400)+'Cálculos'!$C$122)*'Cálculos'!$C$217+'Cálculos'!$C$125*(1+2.78*('Cálculos'!$C$196+(($B$54)-$A6)*'Cálculos'!$C$98)/(('Cálculos'!$C$196+(($B$54)-$A6)*'Cálculos'!$C$98)+1400)+'Cálculos'!$C$123)*'Cálculos'!$C$222)+('Cálculos'!$C$185*(1+'Cálculos'!$C$187+$A6*('Cálculos'!$C$290=1)*'Cálculos'!$C$97+'Cálculos'!$C$305)+'Cálculos'!$C$192)*('Cálculos'!$C$224+'Cálculos'!$C$124*(1+2.78*('Cálculos'!$C$197+(($B$54)-$A6)*'Cálculos'!$C$98)/(('Cálculos'!$C$197+(($B$54)-$A6)*'Cálculos'!$C$98)+1400)+'Cálculos'!$C$122)*'Cálculos'!$C$229+'Cálculos'!$C$125*(1+2.78*('Cálculos'!$C$197+(($B$54)-$A6)*'Cálculos'!$C$98)/(('Cálculos'!$C$197+(($B$54)-$A6)*'Cálculos'!$C$98)+1400)+'Cálculos'!$C$123)*'Cálculos'!$C$234)+('Cálculos'!$C$197+(($B$54)-$A6)*'Cálculos'!$C$98)*('Cálculos'!$C$225+'Cálculos'!$C$124*(1+2.78*('Cálculos'!$C$197+(($B$54)-$A6)*'Cálculos'!$C$98)/(('Cálculos'!$C$197+(($B$54)-$A6)*'Cálculos'!$C$98)+1400)+'Cálculos'!$C$122)*'Cálculos'!$C$230+'Cálculos'!$C$125*(1+2.78*('Cálculos'!$C$197+(($B$54)-$A6)*'Cálculos'!$C$98)/(('Cálculos'!$C$197+(($B$54)-$A6)*'Cálculos'!$C$98)+1400)+'Cálculos'!$C$123)*'Cálculos'!$C$235)+('Cálculos'!$C$201*(1+'Cálculos'!$C$202+$A6*('Cálculos'!$C$290=2)*'Cálculos'!$C$101)+'Cálculos'!$C$203)*('Cálculos'!$C$226+'Cálculos'!$C$124*(1+2.78*('Cálculos'!$C$197+(($B$54)-$A6)*'Cálculos'!$C$98)/(('Cálculos'!$C$197+(($B$54)-$A6)*'Cálculos'!$C$98)+1400)+'Cálculos'!$C$122)*'Cálculos'!$C$231+'Cálculos'!$C$125*(1+2.78*('Cálculos'!$C$197+(($B$54)-$A6)*'Cálculos'!$C$98)/(('Cálculos'!$C$197+(($B$54)-$A6)*'Cálculos'!$C$98)+1400)+'Cálculos'!$C$123)*'Cálculos'!$C$236)+('Cálculos'!$C$204*(1+'Cálculos'!$C$205+$A6*('Cálculos'!$C$290=3)*'Cálculos'!$C$103)+'Cálculos'!$C$206)*('Cálculos'!$C$227+'Cálculos'!$C$124*(1+2.78*('Cálculos'!$C$197+(($B$54)-$A6)*'Cálculos'!$C$98)/(('Cálculos'!$C$197+(($B$54)-$A6)*'Cálculos'!$C$98)+1400)+'Cálculos'!$C$122)*'Cálculos'!$C$232+'Cálculos'!$C$125*(1+2.78*('Cálculos'!$C$197+(($B$54)-$A6)*'Cálculos'!$C$98)/(('Cálculos'!$C$197+(($B$54)-$A6)*'Cálculos'!$C$98)+1400)+'Cálculos'!$C$123)*'Cálculos'!$C$237)+('Cálculos'!$C$185*(1+'Cálculos'!$C$188+$A6*('Cálculos'!$C$290=1)*'Cálculos'!$C$97+'Cálculos'!$C$305)+'Cálculos'!$C$193)*('Cálculos'!$C$239+'Cálculos'!$C$124*(1+2.78*('Cálculos'!$C$198+(($B$54)-$A6)*'Cálculos'!$C$98)/(('Cálculos'!$C$198+(($B$54)-$A6)*'Cálculos'!$C$98)+1400)+'Cálculos'!$C$122)*'Cálculos'!$C$244+'Cálculos'!$C$125*(1+2.78*('Cálculos'!$C$198+(($B$54)-$A6)*'Cálculos'!$C$98)/(('Cálculos'!$C$198+(($B$54)-$A6)*'Cálculos'!$C$98)+1400)+'Cálculos'!$C$123)*'Cálculos'!$C$249)+('Cálculos'!$C$198+(($B$54)-$A6)*'Cálculos'!$C$98)*('Cálculos'!$C$240+'Cálculos'!$C$124*(1+2.78*('Cálculos'!$C$198+(($B$54)-$A6)*'Cálculos'!$C$98)/(('Cálculos'!$C$198+(($B$54)-$A6)*'Cálculos'!$C$98)+1400)+'Cálculos'!$C$122)*'Cálculos'!$C$245+'Cálculos'!$C$125*(1+2.78*('Cálculos'!$C$198+(($B$54)-$A6)*'Cálculos'!$C$98)/(('Cálculos'!$C$198+(($B$54)-$A6)*'Cálculos'!$C$98)+1400)+'Cálculos'!$C$123)*'Cálculos'!$C$250)+('Cálculos'!$C$201*(1+'Cálculos'!$C$202+$A6*('Cálculos'!$C$290=2)*'Cálculos'!$C$101)+'Cálculos'!$C$203)*('Cálculos'!$C$241+'Cálculos'!$C$124*(1+2.78*('Cálculos'!$C$198+(($B$54)-$A6)*'Cálculos'!$C$98)/(('Cálculos'!$C$198+(($B$54)-$A6)*'Cálculos'!$C$98)+1400)+'Cálculos'!$C$122)*'Cálculos'!$C$246+'Cálculos'!$C$125*(1+2.78*('Cálculos'!$C$198+(($B$54)-$A6)*'Cálculos'!$C$98)/(('Cálculos'!$C$198+(($B$54)-$A6)*'Cálculos'!$C$98)+1400)+'Cálculos'!$C$123)*'Cálculos'!$C$251)+('Cálculos'!$C$204*(1+'Cálculos'!$C$205+$A6*('Cálculos'!$C$290=3)*'Cálculos'!$C$103)+'Cálculos'!$C$206)*('Cálculos'!$C$242+'Cálculos'!$C$124*(1+2.78*('Cálculos'!$C$198+(($B$54)-$A6)*'Cálculos'!$C$98)/(('Cálculos'!$C$198+(($B$54)-$A6)*'Cálculos'!$C$98)+1400)+'Cálculos'!$C$122)*'Cálculos'!$C$247+'Cálculos'!$C$125*(1+2.78*('Cálculos'!$C$198+(($B$54)-$A6)*'Cálculos'!$C$98)/(('Cálculos'!$C$198+(($B$54)-$A6)*'Cálculos'!$C$98)+1400)+'Cálculos'!$C$123)*'Cálculos'!$C$252)+('Cálculos'!$C$185*(1+'Cálculos'!$C$189+$A6*('Cálculos'!$C$290=1)*'Cálculos'!$C$97+'Cálculos'!$C$305)+'Cálculos'!$C$194)*('Cálculos'!$C$254+'Cálculos'!$C$124*(1+2.78*('Cálculos'!$C$199+(($B$54)-$A6)*'Cálculos'!$C$98)/(('Cálculos'!$C$199+(($B$54)-$A6)*'Cálculos'!$C$98)+1400)+'Cálculos'!$C$122)*'Cálculos'!$C$259+'Cálculos'!$C$125*(1+2.78*('Cálculos'!$C$199+(($B$54)-$A6)*'Cálculos'!$C$98)/(('Cálculos'!$C$199+(($B$54)-$A6)*'Cálculos'!$C$98)+1400)+'Cálculos'!$C$123)*'Cálculos'!$C$264)+('Cálculos'!$C$199+(($B$54)-$A6)*'Cálculos'!$C$98)*('Cálculos'!$C$255+'Cálculos'!$C$124*(1+2.78*('Cálculos'!$C$199+(($B$54)-$A6)*'Cálculos'!$C$98)/(('Cálculos'!$C$199+(($B$54)-$A6)*'Cálculos'!$C$98)+1400)+'Cálculos'!$C$122)*'Cálculos'!$C$260+'Cálculos'!$C$125*(1+2.78*('Cálculos'!$C$199+(($B$54)-$A6)*'Cálculos'!$C$98)/(('Cálculos'!$C$199+(($B$54)-$A6)*'Cálculos'!$C$98)+1400)+'Cálculos'!$C$123)*'Cálculos'!$C$265)+('Cálculos'!$C$201*(1+'Cálculos'!$C$202+$A6*('Cálculos'!$C$290=2)*'Cálculos'!$C$101)+'Cálculos'!$C$203)*('Cálculos'!$C$256+'Cálculos'!$C$124*(1+2.78*('Cálculos'!$C$199+(($B$54)-$A6)*'Cálculos'!$C$98)/(('Cálculos'!$C$199+(($B$54)-$A6)*'Cálculos'!$C$98)+1400)+'Cálculos'!$C$122)*'Cálculos'!$C$261+'Cálculos'!$C$125*(1+2.78*('Cálculos'!$C$199+(($B$54)-$A6)*'Cálculos'!$C$98)/(('Cálculos'!$C$199+(($B$54)-$A6)*'Cálculos'!$C$98)+1400)+'Cálculos'!$C$123)*'Cálculos'!$C$266)+('Cálculos'!$C$204*(1+'Cálculos'!$C$205+$A6*('Cálculos'!$C$290=3)*'Cálculos'!$C$103)+'Cálculos'!$C$206)*('Cálculos'!$C$257+'Cálculos'!$C$124*(1+2.78*('Cálculos'!$C$199+(($B$54)-$A6)*'Cálculos'!$C$98)/(('Cálculos'!$C$199+(($B$54)-$A6)*'Cálculos'!$C$98)+1400)+'Cálculos'!$C$122)*'Cálculos'!$C$262+'Cálculos'!$C$125*(1+2.78*('Cálculos'!$C$199+(($B$54)-$A6)*'Cálculos'!$C$98)/(('Cálculos'!$C$199+(($B$54)-$A6)*'Cálculos'!$C$98)+1400)+'Cálculos'!$C$123)*'Cálculos'!$C$267)+('Cálculos'!$C$185*(1+'Cálculos'!$C$190+$A6*('Cálculos'!$C$290=1)*'Cálculos'!$C$97+'Cálculos'!$C$305)+'Cálculos'!$C$195)*('Cálculos'!$C$269+'Cálculos'!$C$124*(1+2.78*('Cálculos'!$C$200+(($B$54)-$A6)*'Cálculos'!$C$98)/(('Cálculos'!$C$200+(($B$54)-$A6)*'Cálculos'!$C$98)+1400)+'Cálculos'!$C$122)*'Cálculos'!$C$274+'Cálculos'!$C$125*(1+2.78*('Cálculos'!$C$200+(($B$54)-$A6)*'Cálculos'!$C$98)/(('Cálculos'!$C$200+(($B$54)-$A6)*'Cálculos'!$C$98)+1400)+'Cálculos'!$C$123)*'Cálculos'!$C$279)+('Cálculos'!$C$200+(($B$54)-$A6)*'Cálculos'!$C$98)*('Cálculos'!$C$270+'Cálculos'!$C$124*(1+2.78*('Cálculos'!$C$200+(($B$54)-$A6)*'Cálculos'!$C$98)/(('Cálculos'!$C$200+(($B$54)-$A6)*'Cálculos'!$C$98)+1400)+'Cálculos'!$C$122)*'Cálculos'!$C$275+'Cálculos'!$C$125*(1+2.78*('Cálculos'!$C$200+(($B$54)-$A6)*'Cálculos'!$C$98)/(('Cálculos'!$C$200+(($B$54)-$A6)*'Cálculos'!$C$98)+1400)+'Cálculos'!$C$123)*'Cálculos'!$C$280)+('Cálculos'!$C$201*(1+'Cálculos'!$C$202+$A6*('Cálculos'!$C$290=2)*'Cálculos'!$C$101)+'Cálculos'!$C$203)*('Cálculos'!$C$271+'Cálculos'!$C$124*(1+2.78*('Cálculos'!$C$200+(($B$54)-$A6)*'Cálculos'!$C$98)/(('Cálculos'!$C$200+(($B$54)-$A6)*'Cálculos'!$C$98)+1400)+'Cálculos'!$C$122)*'Cálculos'!$C$276+'Cálculos'!$C$125*(1+2.78*('Cálculos'!$C$200+(($B$54)-$A6)*'Cálculos'!$C$98)/(('Cálculos'!$C$200+(($B$54)-$A6)*'Cálculos'!$C$98)+1400)+'Cálculos'!$C$123)*'Cálculos'!$C$281)+('Cálculos'!$C$204*(1+'Cálculos'!$C$205+$A6*('Cálculos'!$C$290=3)*'Cálculos'!$C$103)+'Cálculos'!$C$206)*('Cálculos'!$C$272+'Cálculos'!$C$124*(1+2.78*('Cálculos'!$C$200+(($B$54)-$A6)*'Cálculos'!$C$98)/(('Cálculos'!$C$200+(($B$54)-$A6)*'Cálculos'!$C$98)+1400)+'Cálculos'!$C$122)*'Cálculos'!$C$277+'Cálculos'!$C$125*(1+2.78*('Cálculos'!$C$200+(($B$54)-$A6)*'Cálculos'!$C$98)/(('Cálculos'!$C$200+(($B$54)-$A6)*'Cálculos'!$C$98)+1400)+'Cálculos'!$C$123)*'Cálculos'!$C$282)))</f>
        <v>1096752.166</v>
      </c>
    </row>
    <row r="7">
      <c r="A7" s="2">
        <v>1.0</v>
      </c>
      <c r="B7" s="30">
        <f>SUMPRODUCT(MAX(($A$6:$A$51&lt;=$A7)*($A$6:$A$51&lt;='Cálculos'!$C$294)*(($A7)-$A$6:$A$51&lt;='Cálculos'!$C$295)*(1+(('Cálculos'!$C$207+$A$6:$A$51*'Cálculos'!$C$95)-(('Cálculos'!$C$207+$A$6:$A$51*'Cálculos'!$C$95)&gt;1)*(('Cálculos'!$C$207+$A$6:$A$51*'Cálculos'!$C$95)-1))*('Cálculos'!$C$208+(($A7)-$A$6:$A$51)*'Cálculos'!$C$96))))</f>
        <v>2.310092</v>
      </c>
      <c r="C7" s="2">
        <f>'Cálculos'!$C$303-$A7</f>
        <v>19</v>
      </c>
      <c r="D7" s="31">
        <f>IF($C7&lt;0,0,SUMPRODUCT(MAX(($A$6:$A$51&lt;=$C7)*($A$6:$A$51&lt;='Cálculos'!$C$301)*(($C7)-$A$6:$A$51&lt;='Cálculos'!$C$297)*(('Cálculos'!$C$185*(1+'Cálculos'!$C$186+$A$6:$A$51*('Cálculos'!$C$290=1)*'Cálculos'!$C$97+'Cálculos'!$C$305)+'Cálculos'!$C$191)*('Cálculos'!$C$209+'Cálculos'!$C$124*(1+2.78*('Cálculos'!$C$196+(($C7)-$A$6:$A$51)*'Cálculos'!$C$98)/(('Cálculos'!$C$196+(($C7)-$A$6:$A$51)*'Cálculos'!$C$98)+1400)+'Cálculos'!$C$122)*'Cálculos'!$C$214+'Cálculos'!$C$125*(1+2.78*('Cálculos'!$C$196+(($C7)-$A$6:$A$51)*'Cálculos'!$C$98)/(('Cálculos'!$C$196+(($C7)-$A$6:$A$51)*'Cálculos'!$C$98)+1400)+'Cálculos'!$C$123)*'Cálculos'!$C$219)+('Cálculos'!$C$196+(($C7)-$A$6:$A$51)*'Cálculos'!$C$98)*('Cálculos'!$C$210+'Cálculos'!$C$124*(1+2.78*('Cálculos'!$C$196+(($C7)-$A$6:$A$51)*'Cálculos'!$C$98)/(('Cálculos'!$C$196+(($C7)-$A$6:$A$51)*'Cálculos'!$C$98)+1400)+'Cálculos'!$C$122)*'Cálculos'!$C$215+'Cálculos'!$C$125*(1+2.78*('Cálculos'!$C$196+(($C7)-$A$6:$A$51)*'Cálculos'!$C$98)/(('Cálculos'!$C$196+(($C7)-$A$6:$A$51)*'Cálculos'!$C$98)+1400)+'Cálculos'!$C$123)*'Cálculos'!$C$220)+('Cálculos'!$C$201*(1+'Cálculos'!$C$202+$A$6:$A$51*('Cálculos'!$C$290=2)*'Cálculos'!$C$101)+'Cálculos'!$C$203)*('Cálculos'!$C$211+'Cálculos'!$C$124*(1+2.78*('Cálculos'!$C$196+(($C7)-$A$6:$A$51)*'Cálculos'!$C$98)/(('Cálculos'!$C$196+(($C7)-$A$6:$A$51)*'Cálculos'!$C$98)+1400)+'Cálculos'!$C$122)*'Cálculos'!$C$216+'Cálculos'!$C$125*(1+2.78*('Cálculos'!$C$196+(($C7)-$A$6:$A$51)*'Cálculos'!$C$98)/(('Cálculos'!$C$196+(($C7)-$A$6:$A$51)*'Cálculos'!$C$98)+1400)+'Cálculos'!$C$123)*'Cálculos'!$C$221)+('Cálculos'!$C$204*(1+'Cálculos'!$C$205+$A$6:$A$51*('Cálculos'!$C$290=3)*'Cálculos'!$C$103)+'Cálculos'!$C$206)*('Cálculos'!$C$212+'Cálculos'!$C$124*(1+2.78*('Cálculos'!$C$196+(($C7)-$A$6:$A$51)*'Cálculos'!$C$98)/(('Cálculos'!$C$196+(($C7)-$A$6:$A$51)*'Cálculos'!$C$98)+1400)+'Cálculos'!$C$122)*'Cálculos'!$C$217+'Cálculos'!$C$125*(1+2.78*('Cálculos'!$C$196+(($C7)-$A$6:$A$51)*'Cálculos'!$C$98)/(('Cálculos'!$C$196+(($C7)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7)-$A$6:$A$51)*'Cálculos'!$C$98)/(('Cálculos'!$C$197+(($C7)-$A$6:$A$51)*'Cálculos'!$C$98)+1400)+'Cálculos'!$C$122)*'Cálculos'!$C$229+'Cálculos'!$C$125*(1+2.78*('Cálculos'!$C$197+(($C7)-$A$6:$A$51)*'Cálculos'!$C$98)/(('Cálculos'!$C$197+(($C7)-$A$6:$A$51)*'Cálculos'!$C$98)+1400)+'Cálculos'!$C$123)*'Cálculos'!$C$234)+('Cálculos'!$C$197+(($C7)-$A$6:$A$51)*'Cálculos'!$C$98)*('Cálculos'!$C$225+'Cálculos'!$C$124*(1+2.78*('Cálculos'!$C$197+(($C7)-$A$6:$A$51)*'Cálculos'!$C$98)/(('Cálculos'!$C$197+(($C7)-$A$6:$A$51)*'Cálculos'!$C$98)+1400)+'Cálculos'!$C$122)*'Cálculos'!$C$230+'Cálculos'!$C$125*(1+2.78*('Cálculos'!$C$197+(($C7)-$A$6:$A$51)*'Cálculos'!$C$98)/(('Cálculos'!$C$197+(($C7)-$A$6:$A$51)*'Cálculos'!$C$98)+1400)+'Cálculos'!$C$123)*'Cálculos'!$C$235)+('Cálculos'!$C$201*(1+'Cálculos'!$C$202+$A$6:$A$51*('Cálculos'!$C$290=2)*'Cálculos'!$C$101)+'Cálculos'!$C$203)*('Cálculos'!$C$226+'Cálculos'!$C$124*(1+2.78*('Cálculos'!$C$197+(($C7)-$A$6:$A$51)*'Cálculos'!$C$98)/(('Cálculos'!$C$197+(($C7)-$A$6:$A$51)*'Cálculos'!$C$98)+1400)+'Cálculos'!$C$122)*'Cálculos'!$C$231+'Cálculos'!$C$125*(1+2.78*('Cálculos'!$C$197+(($C7)-$A$6:$A$51)*'Cálculos'!$C$98)/(('Cálculos'!$C$197+(($C7)-$A$6:$A$51)*'Cálculos'!$C$98)+1400)+'Cálculos'!$C$123)*'Cálculos'!$C$236)+('Cálculos'!$C$204*(1+'Cálculos'!$C$205+$A$6:$A$51*('Cálculos'!$C$290=3)*'Cálculos'!$C$103)+'Cálculos'!$C$206)*('Cálculos'!$C$227+'Cálculos'!$C$124*(1+2.78*('Cálculos'!$C$197+(($C7)-$A$6:$A$51)*'Cálculos'!$C$98)/(('Cálculos'!$C$197+(($C7)-$A$6:$A$51)*'Cálculos'!$C$98)+1400)+'Cálculos'!$C$122)*'Cálculos'!$C$232+'Cálculos'!$C$125*(1+2.78*('Cálculos'!$C$197+(($C7)-$A$6:$A$51)*'Cálculos'!$C$98)/(('Cálculos'!$C$197+(($C7)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7)-$A$6:$A$51)*'Cálculos'!$C$98)/(('Cálculos'!$C$198+(($C7)-$A$6:$A$51)*'Cálculos'!$C$98)+1400)+'Cálculos'!$C$122)*'Cálculos'!$C$244+'Cálculos'!$C$125*(1+2.78*('Cálculos'!$C$198+(($C7)-$A$6:$A$51)*'Cálculos'!$C$98)/(('Cálculos'!$C$198+(($C7)-$A$6:$A$51)*'Cálculos'!$C$98)+1400)+'Cálculos'!$C$123)*'Cálculos'!$C$249)+('Cálculos'!$C$198+(($C7)-$A$6:$A$51)*'Cálculos'!$C$98)*('Cálculos'!$C$240+'Cálculos'!$C$124*(1+2.78*('Cálculos'!$C$198+(($C7)-$A$6:$A$51)*'Cálculos'!$C$98)/(('Cálculos'!$C$198+(($C7)-$A$6:$A$51)*'Cálculos'!$C$98)+1400)+'Cálculos'!$C$122)*'Cálculos'!$C$245+'Cálculos'!$C$125*(1+2.78*('Cálculos'!$C$198+(($C7)-$A$6:$A$51)*'Cálculos'!$C$98)/(('Cálculos'!$C$198+(($C7)-$A$6:$A$51)*'Cálculos'!$C$98)+1400)+'Cálculos'!$C$123)*'Cálculos'!$C$250)+('Cálculos'!$C$201*(1+'Cálculos'!$C$202+$A$6:$A$51*('Cálculos'!$C$290=2)*'Cálculos'!$C$101)+'Cálculos'!$C$203)*('Cálculos'!$C$241+'Cálculos'!$C$124*(1+2.78*('Cálculos'!$C$198+(($C7)-$A$6:$A$51)*'Cálculos'!$C$98)/(('Cálculos'!$C$198+(($C7)-$A$6:$A$51)*'Cálculos'!$C$98)+1400)+'Cálculos'!$C$122)*'Cálculos'!$C$246+'Cálculos'!$C$125*(1+2.78*('Cálculos'!$C$198+(($C7)-$A$6:$A$51)*'Cálculos'!$C$98)/(('Cálculos'!$C$198+(($C7)-$A$6:$A$51)*'Cálculos'!$C$98)+1400)+'Cálculos'!$C$123)*'Cálculos'!$C$251)+('Cálculos'!$C$204*(1+'Cálculos'!$C$205+$A$6:$A$51*('Cálculos'!$C$290=3)*'Cálculos'!$C$103)+'Cálculos'!$C$206)*('Cálculos'!$C$242+'Cálculos'!$C$124*(1+2.78*('Cálculos'!$C$198+(($C7)-$A$6:$A$51)*'Cálculos'!$C$98)/(('Cálculos'!$C$198+(($C7)-$A$6:$A$51)*'Cálculos'!$C$98)+1400)+'Cálculos'!$C$122)*'Cálculos'!$C$247+'Cálculos'!$C$125*(1+2.78*('Cálculos'!$C$198+(($C7)-$A$6:$A$51)*'Cálculos'!$C$98)/(('Cálculos'!$C$198+(($C7)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7)-$A$6:$A$51)*'Cálculos'!$C$98)/(('Cálculos'!$C$199+(($C7)-$A$6:$A$51)*'Cálculos'!$C$98)+1400)+'Cálculos'!$C$122)*'Cálculos'!$C$259+'Cálculos'!$C$125*(1+2.78*('Cálculos'!$C$199+(($C7)-$A$6:$A$51)*'Cálculos'!$C$98)/(('Cálculos'!$C$199+(($C7)-$A$6:$A$51)*'Cálculos'!$C$98)+1400)+'Cálculos'!$C$123)*'Cálculos'!$C$264)+('Cálculos'!$C$199+(($C7)-$A$6:$A$51)*'Cálculos'!$C$98)*('Cálculos'!$C$255+'Cálculos'!$C$124*(1+2.78*('Cálculos'!$C$199+(($C7)-$A$6:$A$51)*'Cálculos'!$C$98)/(('Cálculos'!$C$199+(($C7)-$A$6:$A$51)*'Cálculos'!$C$98)+1400)+'Cálculos'!$C$122)*'Cálculos'!$C$260+'Cálculos'!$C$125*(1+2.78*('Cálculos'!$C$199+(($C7)-$A$6:$A$51)*'Cálculos'!$C$98)/(('Cálculos'!$C$199+(($C7)-$A$6:$A$51)*'Cálculos'!$C$98)+1400)+'Cálculos'!$C$123)*'Cálculos'!$C$265)+('Cálculos'!$C$201*(1+'Cálculos'!$C$202+$A$6:$A$51*('Cálculos'!$C$290=2)*'Cálculos'!$C$101)+'Cálculos'!$C$203)*('Cálculos'!$C$256+'Cálculos'!$C$124*(1+2.78*('Cálculos'!$C$199+(($C7)-$A$6:$A$51)*'Cálculos'!$C$98)/(('Cálculos'!$C$199+(($C7)-$A$6:$A$51)*'Cálculos'!$C$98)+1400)+'Cálculos'!$C$122)*'Cálculos'!$C$261+'Cálculos'!$C$125*(1+2.78*('Cálculos'!$C$199+(($C7)-$A$6:$A$51)*'Cálculos'!$C$98)/(('Cálculos'!$C$199+(($C7)-$A$6:$A$51)*'Cálculos'!$C$98)+1400)+'Cálculos'!$C$123)*'Cálculos'!$C$266)+('Cálculos'!$C$204*(1+'Cálculos'!$C$205+$A$6:$A$51*('Cálculos'!$C$290=3)*'Cálculos'!$C$103)+'Cálculos'!$C$206)*('Cálculos'!$C$257+'Cálculos'!$C$124*(1+2.78*('Cálculos'!$C$199+(($C7)-$A$6:$A$51)*'Cálculos'!$C$98)/(('Cálculos'!$C$199+(($C7)-$A$6:$A$51)*'Cálculos'!$C$98)+1400)+'Cálculos'!$C$122)*'Cálculos'!$C$262+'Cálculos'!$C$125*(1+2.78*('Cálculos'!$C$199+(($C7)-$A$6:$A$51)*'Cálculos'!$C$98)/(('Cálculos'!$C$199+(($C7)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7)-$A$6:$A$51)*'Cálculos'!$C$98)/(('Cálculos'!$C$200+(($C7)-$A$6:$A$51)*'Cálculos'!$C$98)+1400)+'Cálculos'!$C$122)*'Cálculos'!$C$274+'Cálculos'!$C$125*(1+2.78*('Cálculos'!$C$200+(($C7)-$A$6:$A$51)*'Cálculos'!$C$98)/(('Cálculos'!$C$200+(($C7)-$A$6:$A$51)*'Cálculos'!$C$98)+1400)+'Cálculos'!$C$123)*'Cálculos'!$C$279)+('Cálculos'!$C$200+(($C7)-$A$6:$A$51)*'Cálculos'!$C$98)*('Cálculos'!$C$270+'Cálculos'!$C$124*(1+2.78*('Cálculos'!$C$200+(($C7)-$A$6:$A$51)*'Cálculos'!$C$98)/(('Cálculos'!$C$200+(($C7)-$A$6:$A$51)*'Cálculos'!$C$98)+1400)+'Cálculos'!$C$122)*'Cálculos'!$C$275+'Cálculos'!$C$125*(1+2.78*('Cálculos'!$C$200+(($C7)-$A$6:$A$51)*'Cálculos'!$C$98)/(('Cálculos'!$C$200+(($C7)-$A$6:$A$51)*'Cálculos'!$C$98)+1400)+'Cálculos'!$C$123)*'Cálculos'!$C$280)+('Cálculos'!$C$201*(1+'Cálculos'!$C$202+$A$6:$A$51*('Cálculos'!$C$290=2)*'Cálculos'!$C$101)+'Cálculos'!$C$203)*('Cálculos'!$C$271+'Cálculos'!$C$124*(1+2.78*('Cálculos'!$C$200+(($C7)-$A$6:$A$51)*'Cálculos'!$C$98)/(('Cálculos'!$C$200+(($C7)-$A$6:$A$51)*'Cálculos'!$C$98)+1400)+'Cálculos'!$C$122)*'Cálculos'!$C$276+'Cálculos'!$C$125*(1+2.78*('Cálculos'!$C$200+(($C7)-$A$6:$A$51)*'Cálculos'!$C$98)/(('Cálculos'!$C$200+(($C7)-$A$6:$A$51)*'Cálculos'!$C$98)+1400)+'Cálculos'!$C$123)*'Cálculos'!$C$281)+('Cálculos'!$C$204*(1+'Cálculos'!$C$205+$A$6:$A$51*('Cálculos'!$C$290=3)*'Cálculos'!$C$103)+'Cálculos'!$C$206)*('Cálculos'!$C$272+'Cálculos'!$C$124*(1+2.78*('Cálculos'!$C$200+(($C7)-$A$6:$A$51)*'Cálculos'!$C$98)/(('Cálculos'!$C$200+(($C7)-$A$6:$A$51)*'Cálculos'!$C$98)+1400)+'Cálculos'!$C$122)*'Cálculos'!$C$277+'Cálculos'!$C$125*(1+2.78*('Cálculos'!$C$200+(($C7)-$A$6:$A$51)*'Cálculos'!$C$98)/(('Cálculos'!$C$200+(($C7)-$A$6:$A$51)*'Cálculos'!$C$98)+1400)+'Cálculos'!$C$123)*'Cálculos'!$C$282)))))</f>
        <v>1269060.67</v>
      </c>
      <c r="E7" s="32">
        <f>IF(OR($C7&lt;0,'Cálculos'!$C$6=""),0,$B7*$D7)</f>
        <v>2931646.901</v>
      </c>
      <c r="F7" s="2"/>
      <c r="G7" s="30">
        <f>($A7&lt;=$B$53)*($A7&lt;='Cálculos'!$C$294)*(($B$53)-$A7&lt;='Cálculos'!$C$295)*(1+MIN(('Cálculos'!$C$207+$A7*'Cálculos'!$C$95),1)*('Cálculos'!$C$208+(($B$53)-$A7)*'Cálculos'!$C$96))</f>
        <v>2.962502</v>
      </c>
      <c r="H7" s="31">
        <f>IF($B$54&lt;0,0,($A7&lt;=$B$54)*($A7&lt;='Cálculos'!$C$301)*(($B$54)-$A7&lt;='Cálculos'!$C$297)*(('Cálculos'!$C$185*(1+'Cálculos'!$C$186+$A7*('Cálculos'!$C$290=1)*'Cálculos'!$C$97+'Cálculos'!$C$305)+'Cálculos'!$C$191)*('Cálculos'!$C$209+'Cálculos'!$C$124*(1+2.78*('Cálculos'!$C$196+(($B$54)-$A7)*'Cálculos'!$C$98)/(('Cálculos'!$C$196+(($B$54)-$A7)*'Cálculos'!$C$98)+1400)+'Cálculos'!$C$122)*'Cálculos'!$C$214+'Cálculos'!$C$125*(1+2.78*('Cálculos'!$C$196+(($B$54)-$A7)*'Cálculos'!$C$98)/(('Cálculos'!$C$196+(($B$54)-$A7)*'Cálculos'!$C$98)+1400)+'Cálculos'!$C$123)*'Cálculos'!$C$219)+('Cálculos'!$C$196+(($B$54)-$A7)*'Cálculos'!$C$98)*('Cálculos'!$C$210+'Cálculos'!$C$124*(1+2.78*('Cálculos'!$C$196+(($B$54)-$A7)*'Cálculos'!$C$98)/(('Cálculos'!$C$196+(($B$54)-$A7)*'Cálculos'!$C$98)+1400)+'Cálculos'!$C$122)*'Cálculos'!$C$215+'Cálculos'!$C$125*(1+2.78*('Cálculos'!$C$196+(($B$54)-$A7)*'Cálculos'!$C$98)/(('Cálculos'!$C$196+(($B$54)-$A7)*'Cálculos'!$C$98)+1400)+'Cálculos'!$C$123)*'Cálculos'!$C$220)+('Cálculos'!$C$201*(1+'Cálculos'!$C$202+$A7*('Cálculos'!$C$290=2)*'Cálculos'!$C$101)+'Cálculos'!$C$203)*('Cálculos'!$C$211+'Cálculos'!$C$124*(1+2.78*('Cálculos'!$C$196+(($B$54)-$A7)*'Cálculos'!$C$98)/(('Cálculos'!$C$196+(($B$54)-$A7)*'Cálculos'!$C$98)+1400)+'Cálculos'!$C$122)*'Cálculos'!$C$216+'Cálculos'!$C$125*(1+2.78*('Cálculos'!$C$196+(($B$54)-$A7)*'Cálculos'!$C$98)/(('Cálculos'!$C$196+(($B$54)-$A7)*'Cálculos'!$C$98)+1400)+'Cálculos'!$C$123)*'Cálculos'!$C$221)+('Cálculos'!$C$204*(1+'Cálculos'!$C$205+$A7*('Cálculos'!$C$290=3)*'Cálculos'!$C$103)+'Cálculos'!$C$206)*('Cálculos'!$C$212+'Cálculos'!$C$124*(1+2.78*('Cálculos'!$C$196+(($B$54)-$A7)*'Cálculos'!$C$98)/(('Cálculos'!$C$196+(($B$54)-$A7)*'Cálculos'!$C$98)+1400)+'Cálculos'!$C$122)*'Cálculos'!$C$217+'Cálculos'!$C$125*(1+2.78*('Cálculos'!$C$196+(($B$54)-$A7)*'Cálculos'!$C$98)/(('Cálculos'!$C$196+(($B$54)-$A7)*'Cálculos'!$C$98)+1400)+'Cálculos'!$C$123)*'Cálculos'!$C$222)+('Cálculos'!$C$185*(1+'Cálculos'!$C$187+$A7*('Cálculos'!$C$290=1)*'Cálculos'!$C$97+'Cálculos'!$C$305)+'Cálculos'!$C$192)*('Cálculos'!$C$224+'Cálculos'!$C$124*(1+2.78*('Cálculos'!$C$197+(($B$54)-$A7)*'Cálculos'!$C$98)/(('Cálculos'!$C$197+(($B$54)-$A7)*'Cálculos'!$C$98)+1400)+'Cálculos'!$C$122)*'Cálculos'!$C$229+'Cálculos'!$C$125*(1+2.78*('Cálculos'!$C$197+(($B$54)-$A7)*'Cálculos'!$C$98)/(('Cálculos'!$C$197+(($B$54)-$A7)*'Cálculos'!$C$98)+1400)+'Cálculos'!$C$123)*'Cálculos'!$C$234)+('Cálculos'!$C$197+(($B$54)-$A7)*'Cálculos'!$C$98)*('Cálculos'!$C$225+'Cálculos'!$C$124*(1+2.78*('Cálculos'!$C$197+(($B$54)-$A7)*'Cálculos'!$C$98)/(('Cálculos'!$C$197+(($B$54)-$A7)*'Cálculos'!$C$98)+1400)+'Cálculos'!$C$122)*'Cálculos'!$C$230+'Cálculos'!$C$125*(1+2.78*('Cálculos'!$C$197+(($B$54)-$A7)*'Cálculos'!$C$98)/(('Cálculos'!$C$197+(($B$54)-$A7)*'Cálculos'!$C$98)+1400)+'Cálculos'!$C$123)*'Cálculos'!$C$235)+('Cálculos'!$C$201*(1+'Cálculos'!$C$202+$A7*('Cálculos'!$C$290=2)*'Cálculos'!$C$101)+'Cálculos'!$C$203)*('Cálculos'!$C$226+'Cálculos'!$C$124*(1+2.78*('Cálculos'!$C$197+(($B$54)-$A7)*'Cálculos'!$C$98)/(('Cálculos'!$C$197+(($B$54)-$A7)*'Cálculos'!$C$98)+1400)+'Cálculos'!$C$122)*'Cálculos'!$C$231+'Cálculos'!$C$125*(1+2.78*('Cálculos'!$C$197+(($B$54)-$A7)*'Cálculos'!$C$98)/(('Cálculos'!$C$197+(($B$54)-$A7)*'Cálculos'!$C$98)+1400)+'Cálculos'!$C$123)*'Cálculos'!$C$236)+('Cálculos'!$C$204*(1+'Cálculos'!$C$205+$A7*('Cálculos'!$C$290=3)*'Cálculos'!$C$103)+'Cálculos'!$C$206)*('Cálculos'!$C$227+'Cálculos'!$C$124*(1+2.78*('Cálculos'!$C$197+(($B$54)-$A7)*'Cálculos'!$C$98)/(('Cálculos'!$C$197+(($B$54)-$A7)*'Cálculos'!$C$98)+1400)+'Cálculos'!$C$122)*'Cálculos'!$C$232+'Cálculos'!$C$125*(1+2.78*('Cálculos'!$C$197+(($B$54)-$A7)*'Cálculos'!$C$98)/(('Cálculos'!$C$197+(($B$54)-$A7)*'Cálculos'!$C$98)+1400)+'Cálculos'!$C$123)*'Cálculos'!$C$237)+('Cálculos'!$C$185*(1+'Cálculos'!$C$188+$A7*('Cálculos'!$C$290=1)*'Cálculos'!$C$97+'Cálculos'!$C$305)+'Cálculos'!$C$193)*('Cálculos'!$C$239+'Cálculos'!$C$124*(1+2.78*('Cálculos'!$C$198+(($B$54)-$A7)*'Cálculos'!$C$98)/(('Cálculos'!$C$198+(($B$54)-$A7)*'Cálculos'!$C$98)+1400)+'Cálculos'!$C$122)*'Cálculos'!$C$244+'Cálculos'!$C$125*(1+2.78*('Cálculos'!$C$198+(($B$54)-$A7)*'Cálculos'!$C$98)/(('Cálculos'!$C$198+(($B$54)-$A7)*'Cálculos'!$C$98)+1400)+'Cálculos'!$C$123)*'Cálculos'!$C$249)+('Cálculos'!$C$198+(($B$54)-$A7)*'Cálculos'!$C$98)*('Cálculos'!$C$240+'Cálculos'!$C$124*(1+2.78*('Cálculos'!$C$198+(($B$54)-$A7)*'Cálculos'!$C$98)/(('Cálculos'!$C$198+(($B$54)-$A7)*'Cálculos'!$C$98)+1400)+'Cálculos'!$C$122)*'Cálculos'!$C$245+'Cálculos'!$C$125*(1+2.78*('Cálculos'!$C$198+(($B$54)-$A7)*'Cálculos'!$C$98)/(('Cálculos'!$C$198+(($B$54)-$A7)*'Cálculos'!$C$98)+1400)+'Cálculos'!$C$123)*'Cálculos'!$C$250)+('Cálculos'!$C$201*(1+'Cálculos'!$C$202+$A7*('Cálculos'!$C$290=2)*'Cálculos'!$C$101)+'Cálculos'!$C$203)*('Cálculos'!$C$241+'Cálculos'!$C$124*(1+2.78*('Cálculos'!$C$198+(($B$54)-$A7)*'Cálculos'!$C$98)/(('Cálculos'!$C$198+(($B$54)-$A7)*'Cálculos'!$C$98)+1400)+'Cálculos'!$C$122)*'Cálculos'!$C$246+'Cálculos'!$C$125*(1+2.78*('Cálculos'!$C$198+(($B$54)-$A7)*'Cálculos'!$C$98)/(('Cálculos'!$C$198+(($B$54)-$A7)*'Cálculos'!$C$98)+1400)+'Cálculos'!$C$123)*'Cálculos'!$C$251)+('Cálculos'!$C$204*(1+'Cálculos'!$C$205+$A7*('Cálculos'!$C$290=3)*'Cálculos'!$C$103)+'Cálculos'!$C$206)*('Cálculos'!$C$242+'Cálculos'!$C$124*(1+2.78*('Cálculos'!$C$198+(($B$54)-$A7)*'Cálculos'!$C$98)/(('Cálculos'!$C$198+(($B$54)-$A7)*'Cálculos'!$C$98)+1400)+'Cálculos'!$C$122)*'Cálculos'!$C$247+'Cálculos'!$C$125*(1+2.78*('Cálculos'!$C$198+(($B$54)-$A7)*'Cálculos'!$C$98)/(('Cálculos'!$C$198+(($B$54)-$A7)*'Cálculos'!$C$98)+1400)+'Cálculos'!$C$123)*'Cálculos'!$C$252)+('Cálculos'!$C$185*(1+'Cálculos'!$C$189+$A7*('Cálculos'!$C$290=1)*'Cálculos'!$C$97+'Cálculos'!$C$305)+'Cálculos'!$C$194)*('Cálculos'!$C$254+'Cálculos'!$C$124*(1+2.78*('Cálculos'!$C$199+(($B$54)-$A7)*'Cálculos'!$C$98)/(('Cálculos'!$C$199+(($B$54)-$A7)*'Cálculos'!$C$98)+1400)+'Cálculos'!$C$122)*'Cálculos'!$C$259+'Cálculos'!$C$125*(1+2.78*('Cálculos'!$C$199+(($B$54)-$A7)*'Cálculos'!$C$98)/(('Cálculos'!$C$199+(($B$54)-$A7)*'Cálculos'!$C$98)+1400)+'Cálculos'!$C$123)*'Cálculos'!$C$264)+('Cálculos'!$C$199+(($B$54)-$A7)*'Cálculos'!$C$98)*('Cálculos'!$C$255+'Cálculos'!$C$124*(1+2.78*('Cálculos'!$C$199+(($B$54)-$A7)*'Cálculos'!$C$98)/(('Cálculos'!$C$199+(($B$54)-$A7)*'Cálculos'!$C$98)+1400)+'Cálculos'!$C$122)*'Cálculos'!$C$260+'Cálculos'!$C$125*(1+2.78*('Cálculos'!$C$199+(($B$54)-$A7)*'Cálculos'!$C$98)/(('Cálculos'!$C$199+(($B$54)-$A7)*'Cálculos'!$C$98)+1400)+'Cálculos'!$C$123)*'Cálculos'!$C$265)+('Cálculos'!$C$201*(1+'Cálculos'!$C$202+$A7*('Cálculos'!$C$290=2)*'Cálculos'!$C$101)+'Cálculos'!$C$203)*('Cálculos'!$C$256+'Cálculos'!$C$124*(1+2.78*('Cálculos'!$C$199+(($B$54)-$A7)*'Cálculos'!$C$98)/(('Cálculos'!$C$199+(($B$54)-$A7)*'Cálculos'!$C$98)+1400)+'Cálculos'!$C$122)*'Cálculos'!$C$261+'Cálculos'!$C$125*(1+2.78*('Cálculos'!$C$199+(($B$54)-$A7)*'Cálculos'!$C$98)/(('Cálculos'!$C$199+(($B$54)-$A7)*'Cálculos'!$C$98)+1400)+'Cálculos'!$C$123)*'Cálculos'!$C$266)+('Cálculos'!$C$204*(1+'Cálculos'!$C$205+$A7*('Cálculos'!$C$290=3)*'Cálculos'!$C$103)+'Cálculos'!$C$206)*('Cálculos'!$C$257+'Cálculos'!$C$124*(1+2.78*('Cálculos'!$C$199+(($B$54)-$A7)*'Cálculos'!$C$98)/(('Cálculos'!$C$199+(($B$54)-$A7)*'Cálculos'!$C$98)+1400)+'Cálculos'!$C$122)*'Cálculos'!$C$262+'Cálculos'!$C$125*(1+2.78*('Cálculos'!$C$199+(($B$54)-$A7)*'Cálculos'!$C$98)/(('Cálculos'!$C$199+(($B$54)-$A7)*'Cálculos'!$C$98)+1400)+'Cálculos'!$C$123)*'Cálculos'!$C$267)+('Cálculos'!$C$185*(1+'Cálculos'!$C$190+$A7*('Cálculos'!$C$290=1)*'Cálculos'!$C$97+'Cálculos'!$C$305)+'Cálculos'!$C$195)*('Cálculos'!$C$269+'Cálculos'!$C$124*(1+2.78*('Cálculos'!$C$200+(($B$54)-$A7)*'Cálculos'!$C$98)/(('Cálculos'!$C$200+(($B$54)-$A7)*'Cálculos'!$C$98)+1400)+'Cálculos'!$C$122)*'Cálculos'!$C$274+'Cálculos'!$C$125*(1+2.78*('Cálculos'!$C$200+(($B$54)-$A7)*'Cálculos'!$C$98)/(('Cálculos'!$C$200+(($B$54)-$A7)*'Cálculos'!$C$98)+1400)+'Cálculos'!$C$123)*'Cálculos'!$C$279)+('Cálculos'!$C$200+(($B$54)-$A7)*'Cálculos'!$C$98)*('Cálculos'!$C$270+'Cálculos'!$C$124*(1+2.78*('Cálculos'!$C$200+(($B$54)-$A7)*'Cálculos'!$C$98)/(('Cálculos'!$C$200+(($B$54)-$A7)*'Cálculos'!$C$98)+1400)+'Cálculos'!$C$122)*'Cálculos'!$C$275+'Cálculos'!$C$125*(1+2.78*('Cálculos'!$C$200+(($B$54)-$A7)*'Cálculos'!$C$98)/(('Cálculos'!$C$200+(($B$54)-$A7)*'Cálculos'!$C$98)+1400)+'Cálculos'!$C$123)*'Cálculos'!$C$280)+('Cálculos'!$C$201*(1+'Cálculos'!$C$202+$A7*('Cálculos'!$C$290=2)*'Cálculos'!$C$101)+'Cálculos'!$C$203)*('Cálculos'!$C$271+'Cálculos'!$C$124*(1+2.78*('Cálculos'!$C$200+(($B$54)-$A7)*'Cálculos'!$C$98)/(('Cálculos'!$C$200+(($B$54)-$A7)*'Cálculos'!$C$98)+1400)+'Cálculos'!$C$122)*'Cálculos'!$C$276+'Cálculos'!$C$125*(1+2.78*('Cálculos'!$C$200+(($B$54)-$A7)*'Cálculos'!$C$98)/(('Cálculos'!$C$200+(($B$54)-$A7)*'Cálculos'!$C$98)+1400)+'Cálculos'!$C$123)*'Cálculos'!$C$281)+('Cálculos'!$C$204*(1+'Cálculos'!$C$205+$A7*('Cálculos'!$C$290=3)*'Cálculos'!$C$103)+'Cálculos'!$C$206)*('Cálculos'!$C$272+'Cálculos'!$C$124*(1+2.78*('Cálculos'!$C$200+(($B$54)-$A7)*'Cálculos'!$C$98)/(('Cálculos'!$C$200+(($B$54)-$A7)*'Cálculos'!$C$98)+1400)+'Cálculos'!$C$122)*'Cálculos'!$C$277+'Cálculos'!$C$125*(1+2.78*('Cálculos'!$C$200+(($B$54)-$A7)*'Cálculos'!$C$98)/(('Cálculos'!$C$200+(($B$54)-$A7)*'Cálculos'!$C$98)+1400)+'Cálculos'!$C$123)*'Cálculos'!$C$282)))</f>
        <v>1094778.587</v>
      </c>
    </row>
    <row r="8">
      <c r="A8" s="2">
        <v>2.0</v>
      </c>
      <c r="B8" s="30">
        <f>SUMPRODUCT(MAX(($A$6:$A$51&lt;=$A8)*($A$6:$A$51&lt;='Cálculos'!$C$294)*(($A8)-$A$6:$A$51&lt;='Cálculos'!$C$295)*(1+(('Cálculos'!$C$207+$A$6:$A$51*'Cálculos'!$C$95)-(('Cálculos'!$C$207+$A$6:$A$51*'Cálculos'!$C$95)&gt;1)*(('Cálculos'!$C$207+$A$6:$A$51*'Cálculos'!$C$95)-1))*('Cálculos'!$C$208+(($A8)-$A$6:$A$51)*'Cálculos'!$C$96))))</f>
        <v>2.375696</v>
      </c>
      <c r="C8" s="2">
        <f>'Cálculos'!$C$303-$A8</f>
        <v>18</v>
      </c>
      <c r="D8" s="31">
        <f>IF($C8&lt;0,0,SUMPRODUCT(MAX(($A$6:$A$51&lt;=$C8)*($A$6:$A$51&lt;='Cálculos'!$C$301)*(($C8)-$A$6:$A$51&lt;='Cálculos'!$C$297)*(('Cálculos'!$C$185*(1+'Cálculos'!$C$186+$A$6:$A$51*('Cálculos'!$C$290=1)*'Cálculos'!$C$97+'Cálculos'!$C$305)+'Cálculos'!$C$191)*('Cálculos'!$C$209+'Cálculos'!$C$124*(1+2.78*('Cálculos'!$C$196+(($C8)-$A$6:$A$51)*'Cálculos'!$C$98)/(('Cálculos'!$C$196+(($C8)-$A$6:$A$51)*'Cálculos'!$C$98)+1400)+'Cálculos'!$C$122)*'Cálculos'!$C$214+'Cálculos'!$C$125*(1+2.78*('Cálculos'!$C$196+(($C8)-$A$6:$A$51)*'Cálculos'!$C$98)/(('Cálculos'!$C$196+(($C8)-$A$6:$A$51)*'Cálculos'!$C$98)+1400)+'Cálculos'!$C$123)*'Cálculos'!$C$219)+('Cálculos'!$C$196+(($C8)-$A$6:$A$51)*'Cálculos'!$C$98)*('Cálculos'!$C$210+'Cálculos'!$C$124*(1+2.78*('Cálculos'!$C$196+(($C8)-$A$6:$A$51)*'Cálculos'!$C$98)/(('Cálculos'!$C$196+(($C8)-$A$6:$A$51)*'Cálculos'!$C$98)+1400)+'Cálculos'!$C$122)*'Cálculos'!$C$215+'Cálculos'!$C$125*(1+2.78*('Cálculos'!$C$196+(($C8)-$A$6:$A$51)*'Cálculos'!$C$98)/(('Cálculos'!$C$196+(($C8)-$A$6:$A$51)*'Cálculos'!$C$98)+1400)+'Cálculos'!$C$123)*'Cálculos'!$C$220)+('Cálculos'!$C$201*(1+'Cálculos'!$C$202+$A$6:$A$51*('Cálculos'!$C$290=2)*'Cálculos'!$C$101)+'Cálculos'!$C$203)*('Cálculos'!$C$211+'Cálculos'!$C$124*(1+2.78*('Cálculos'!$C$196+(($C8)-$A$6:$A$51)*'Cálculos'!$C$98)/(('Cálculos'!$C$196+(($C8)-$A$6:$A$51)*'Cálculos'!$C$98)+1400)+'Cálculos'!$C$122)*'Cálculos'!$C$216+'Cálculos'!$C$125*(1+2.78*('Cálculos'!$C$196+(($C8)-$A$6:$A$51)*'Cálculos'!$C$98)/(('Cálculos'!$C$196+(($C8)-$A$6:$A$51)*'Cálculos'!$C$98)+1400)+'Cálculos'!$C$123)*'Cálculos'!$C$221)+('Cálculos'!$C$204*(1+'Cálculos'!$C$205+$A$6:$A$51*('Cálculos'!$C$290=3)*'Cálculos'!$C$103)+'Cálculos'!$C$206)*('Cálculos'!$C$212+'Cálculos'!$C$124*(1+2.78*('Cálculos'!$C$196+(($C8)-$A$6:$A$51)*'Cálculos'!$C$98)/(('Cálculos'!$C$196+(($C8)-$A$6:$A$51)*'Cálculos'!$C$98)+1400)+'Cálculos'!$C$122)*'Cálculos'!$C$217+'Cálculos'!$C$125*(1+2.78*('Cálculos'!$C$196+(($C8)-$A$6:$A$51)*'Cálculos'!$C$98)/(('Cálculos'!$C$196+(($C8)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8)-$A$6:$A$51)*'Cálculos'!$C$98)/(('Cálculos'!$C$197+(($C8)-$A$6:$A$51)*'Cálculos'!$C$98)+1400)+'Cálculos'!$C$122)*'Cálculos'!$C$229+'Cálculos'!$C$125*(1+2.78*('Cálculos'!$C$197+(($C8)-$A$6:$A$51)*'Cálculos'!$C$98)/(('Cálculos'!$C$197+(($C8)-$A$6:$A$51)*'Cálculos'!$C$98)+1400)+'Cálculos'!$C$123)*'Cálculos'!$C$234)+('Cálculos'!$C$197+(($C8)-$A$6:$A$51)*'Cálculos'!$C$98)*('Cálculos'!$C$225+'Cálculos'!$C$124*(1+2.78*('Cálculos'!$C$197+(($C8)-$A$6:$A$51)*'Cálculos'!$C$98)/(('Cálculos'!$C$197+(($C8)-$A$6:$A$51)*'Cálculos'!$C$98)+1400)+'Cálculos'!$C$122)*'Cálculos'!$C$230+'Cálculos'!$C$125*(1+2.78*('Cálculos'!$C$197+(($C8)-$A$6:$A$51)*'Cálculos'!$C$98)/(('Cálculos'!$C$197+(($C8)-$A$6:$A$51)*'Cálculos'!$C$98)+1400)+'Cálculos'!$C$123)*'Cálculos'!$C$235)+('Cálculos'!$C$201*(1+'Cálculos'!$C$202+$A$6:$A$51*('Cálculos'!$C$290=2)*'Cálculos'!$C$101)+'Cálculos'!$C$203)*('Cálculos'!$C$226+'Cálculos'!$C$124*(1+2.78*('Cálculos'!$C$197+(($C8)-$A$6:$A$51)*'Cálculos'!$C$98)/(('Cálculos'!$C$197+(($C8)-$A$6:$A$51)*'Cálculos'!$C$98)+1400)+'Cálculos'!$C$122)*'Cálculos'!$C$231+'Cálculos'!$C$125*(1+2.78*('Cálculos'!$C$197+(($C8)-$A$6:$A$51)*'Cálculos'!$C$98)/(('Cálculos'!$C$197+(($C8)-$A$6:$A$51)*'Cálculos'!$C$98)+1400)+'Cálculos'!$C$123)*'Cálculos'!$C$236)+('Cálculos'!$C$204*(1+'Cálculos'!$C$205+$A$6:$A$51*('Cálculos'!$C$290=3)*'Cálculos'!$C$103)+'Cálculos'!$C$206)*('Cálculos'!$C$227+'Cálculos'!$C$124*(1+2.78*('Cálculos'!$C$197+(($C8)-$A$6:$A$51)*'Cálculos'!$C$98)/(('Cálculos'!$C$197+(($C8)-$A$6:$A$51)*'Cálculos'!$C$98)+1400)+'Cálculos'!$C$122)*'Cálculos'!$C$232+'Cálculos'!$C$125*(1+2.78*('Cálculos'!$C$197+(($C8)-$A$6:$A$51)*'Cálculos'!$C$98)/(('Cálculos'!$C$197+(($C8)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8)-$A$6:$A$51)*'Cálculos'!$C$98)/(('Cálculos'!$C$198+(($C8)-$A$6:$A$51)*'Cálculos'!$C$98)+1400)+'Cálculos'!$C$122)*'Cálculos'!$C$244+'Cálculos'!$C$125*(1+2.78*('Cálculos'!$C$198+(($C8)-$A$6:$A$51)*'Cálculos'!$C$98)/(('Cálculos'!$C$198+(($C8)-$A$6:$A$51)*'Cálculos'!$C$98)+1400)+'Cálculos'!$C$123)*'Cálculos'!$C$249)+('Cálculos'!$C$198+(($C8)-$A$6:$A$51)*'Cálculos'!$C$98)*('Cálculos'!$C$240+'Cálculos'!$C$124*(1+2.78*('Cálculos'!$C$198+(($C8)-$A$6:$A$51)*'Cálculos'!$C$98)/(('Cálculos'!$C$198+(($C8)-$A$6:$A$51)*'Cálculos'!$C$98)+1400)+'Cálculos'!$C$122)*'Cálculos'!$C$245+'Cálculos'!$C$125*(1+2.78*('Cálculos'!$C$198+(($C8)-$A$6:$A$51)*'Cálculos'!$C$98)/(('Cálculos'!$C$198+(($C8)-$A$6:$A$51)*'Cálculos'!$C$98)+1400)+'Cálculos'!$C$123)*'Cálculos'!$C$250)+('Cálculos'!$C$201*(1+'Cálculos'!$C$202+$A$6:$A$51*('Cálculos'!$C$290=2)*'Cálculos'!$C$101)+'Cálculos'!$C$203)*('Cálculos'!$C$241+'Cálculos'!$C$124*(1+2.78*('Cálculos'!$C$198+(($C8)-$A$6:$A$51)*'Cálculos'!$C$98)/(('Cálculos'!$C$198+(($C8)-$A$6:$A$51)*'Cálculos'!$C$98)+1400)+'Cálculos'!$C$122)*'Cálculos'!$C$246+'Cálculos'!$C$125*(1+2.78*('Cálculos'!$C$198+(($C8)-$A$6:$A$51)*'Cálculos'!$C$98)/(('Cálculos'!$C$198+(($C8)-$A$6:$A$51)*'Cálculos'!$C$98)+1400)+'Cálculos'!$C$123)*'Cálculos'!$C$251)+('Cálculos'!$C$204*(1+'Cálculos'!$C$205+$A$6:$A$51*('Cálculos'!$C$290=3)*'Cálculos'!$C$103)+'Cálculos'!$C$206)*('Cálculos'!$C$242+'Cálculos'!$C$124*(1+2.78*('Cálculos'!$C$198+(($C8)-$A$6:$A$51)*'Cálculos'!$C$98)/(('Cálculos'!$C$198+(($C8)-$A$6:$A$51)*'Cálculos'!$C$98)+1400)+'Cálculos'!$C$122)*'Cálculos'!$C$247+'Cálculos'!$C$125*(1+2.78*('Cálculos'!$C$198+(($C8)-$A$6:$A$51)*'Cálculos'!$C$98)/(('Cálculos'!$C$198+(($C8)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8)-$A$6:$A$51)*'Cálculos'!$C$98)/(('Cálculos'!$C$199+(($C8)-$A$6:$A$51)*'Cálculos'!$C$98)+1400)+'Cálculos'!$C$122)*'Cálculos'!$C$259+'Cálculos'!$C$125*(1+2.78*('Cálculos'!$C$199+(($C8)-$A$6:$A$51)*'Cálculos'!$C$98)/(('Cálculos'!$C$199+(($C8)-$A$6:$A$51)*'Cálculos'!$C$98)+1400)+'Cálculos'!$C$123)*'Cálculos'!$C$264)+('Cálculos'!$C$199+(($C8)-$A$6:$A$51)*'Cálculos'!$C$98)*('Cálculos'!$C$255+'Cálculos'!$C$124*(1+2.78*('Cálculos'!$C$199+(($C8)-$A$6:$A$51)*'Cálculos'!$C$98)/(('Cálculos'!$C$199+(($C8)-$A$6:$A$51)*'Cálculos'!$C$98)+1400)+'Cálculos'!$C$122)*'Cálculos'!$C$260+'Cálculos'!$C$125*(1+2.78*('Cálculos'!$C$199+(($C8)-$A$6:$A$51)*'Cálculos'!$C$98)/(('Cálculos'!$C$199+(($C8)-$A$6:$A$51)*'Cálculos'!$C$98)+1400)+'Cálculos'!$C$123)*'Cálculos'!$C$265)+('Cálculos'!$C$201*(1+'Cálculos'!$C$202+$A$6:$A$51*('Cálculos'!$C$290=2)*'Cálculos'!$C$101)+'Cálculos'!$C$203)*('Cálculos'!$C$256+'Cálculos'!$C$124*(1+2.78*('Cálculos'!$C$199+(($C8)-$A$6:$A$51)*'Cálculos'!$C$98)/(('Cálculos'!$C$199+(($C8)-$A$6:$A$51)*'Cálculos'!$C$98)+1400)+'Cálculos'!$C$122)*'Cálculos'!$C$261+'Cálculos'!$C$125*(1+2.78*('Cálculos'!$C$199+(($C8)-$A$6:$A$51)*'Cálculos'!$C$98)/(('Cálculos'!$C$199+(($C8)-$A$6:$A$51)*'Cálculos'!$C$98)+1400)+'Cálculos'!$C$123)*'Cálculos'!$C$266)+('Cálculos'!$C$204*(1+'Cálculos'!$C$205+$A$6:$A$51*('Cálculos'!$C$290=3)*'Cálculos'!$C$103)+'Cálculos'!$C$206)*('Cálculos'!$C$257+'Cálculos'!$C$124*(1+2.78*('Cálculos'!$C$199+(($C8)-$A$6:$A$51)*'Cálculos'!$C$98)/(('Cálculos'!$C$199+(($C8)-$A$6:$A$51)*'Cálculos'!$C$98)+1400)+'Cálculos'!$C$122)*'Cálculos'!$C$262+'Cálculos'!$C$125*(1+2.78*('Cálculos'!$C$199+(($C8)-$A$6:$A$51)*'Cálculos'!$C$98)/(('Cálculos'!$C$199+(($C8)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8)-$A$6:$A$51)*'Cálculos'!$C$98)/(('Cálculos'!$C$200+(($C8)-$A$6:$A$51)*'Cálculos'!$C$98)+1400)+'Cálculos'!$C$122)*'Cálculos'!$C$274+'Cálculos'!$C$125*(1+2.78*('Cálculos'!$C$200+(($C8)-$A$6:$A$51)*'Cálculos'!$C$98)/(('Cálculos'!$C$200+(($C8)-$A$6:$A$51)*'Cálculos'!$C$98)+1400)+'Cálculos'!$C$123)*'Cálculos'!$C$279)+('Cálculos'!$C$200+(($C8)-$A$6:$A$51)*'Cálculos'!$C$98)*('Cálculos'!$C$270+'Cálculos'!$C$124*(1+2.78*('Cálculos'!$C$200+(($C8)-$A$6:$A$51)*'Cálculos'!$C$98)/(('Cálculos'!$C$200+(($C8)-$A$6:$A$51)*'Cálculos'!$C$98)+1400)+'Cálculos'!$C$122)*'Cálculos'!$C$275+'Cálculos'!$C$125*(1+2.78*('Cálculos'!$C$200+(($C8)-$A$6:$A$51)*'Cálculos'!$C$98)/(('Cálculos'!$C$200+(($C8)-$A$6:$A$51)*'Cálculos'!$C$98)+1400)+'Cálculos'!$C$123)*'Cálculos'!$C$280)+('Cálculos'!$C$201*(1+'Cálculos'!$C$202+$A$6:$A$51*('Cálculos'!$C$290=2)*'Cálculos'!$C$101)+'Cálculos'!$C$203)*('Cálculos'!$C$271+'Cálculos'!$C$124*(1+2.78*('Cálculos'!$C$200+(($C8)-$A$6:$A$51)*'Cálculos'!$C$98)/(('Cálculos'!$C$200+(($C8)-$A$6:$A$51)*'Cálculos'!$C$98)+1400)+'Cálculos'!$C$122)*'Cálculos'!$C$276+'Cálculos'!$C$125*(1+2.78*('Cálculos'!$C$200+(($C8)-$A$6:$A$51)*'Cálculos'!$C$98)/(('Cálculos'!$C$200+(($C8)-$A$6:$A$51)*'Cálculos'!$C$98)+1400)+'Cálculos'!$C$123)*'Cálculos'!$C$281)+('Cálculos'!$C$204*(1+'Cálculos'!$C$205+$A$6:$A$51*('Cálculos'!$C$290=3)*'Cálculos'!$C$103)+'Cálculos'!$C$206)*('Cálculos'!$C$272+'Cálculos'!$C$124*(1+2.78*('Cálculos'!$C$200+(($C8)-$A$6:$A$51)*'Cálculos'!$C$98)/(('Cálculos'!$C$200+(($C8)-$A$6:$A$51)*'Cálculos'!$C$98)+1400)+'Cálculos'!$C$122)*'Cálculos'!$C$277+'Cálculos'!$C$125*(1+2.78*('Cálculos'!$C$200+(($C8)-$A$6:$A$51)*'Cálculos'!$C$98)/(('Cálculos'!$C$200+(($C8)-$A$6:$A$51)*'Cálculos'!$C$98)+1400)+'Cálculos'!$C$123)*'Cálculos'!$C$282)))))</f>
        <v>1257607.437</v>
      </c>
      <c r="E8" s="32">
        <f>IF(OR($C8&lt;0,'Cálculos'!$C$6=""),0,$B8*$D8)</f>
        <v>2987692.957</v>
      </c>
      <c r="F8" s="2"/>
      <c r="G8" s="30">
        <f>($A8&lt;=$B$53)*($A8&lt;='Cálculos'!$C$294)*(($B$53)-$A8&lt;='Cálculos'!$C$295)*(1+MIN(('Cálculos'!$C$207+$A8*'Cálculos'!$C$95),1)*('Cálculos'!$C$208+(($B$53)-$A8)*'Cálculos'!$C$96))</f>
        <v>3.015104</v>
      </c>
      <c r="H8" s="31">
        <f>IF($B$54&lt;0,0,($A8&lt;=$B$54)*($A8&lt;='Cálculos'!$C$301)*(($B$54)-$A8&lt;='Cálculos'!$C$297)*(('Cálculos'!$C$185*(1+'Cálculos'!$C$186+$A8*('Cálculos'!$C$290=1)*'Cálculos'!$C$97+'Cálculos'!$C$305)+'Cálculos'!$C$191)*('Cálculos'!$C$209+'Cálculos'!$C$124*(1+2.78*('Cálculos'!$C$196+(($B$54)-$A8)*'Cálculos'!$C$98)/(('Cálculos'!$C$196+(($B$54)-$A8)*'Cálculos'!$C$98)+1400)+'Cálculos'!$C$122)*'Cálculos'!$C$214+'Cálculos'!$C$125*(1+2.78*('Cálculos'!$C$196+(($B$54)-$A8)*'Cálculos'!$C$98)/(('Cálculos'!$C$196+(($B$54)-$A8)*'Cálculos'!$C$98)+1400)+'Cálculos'!$C$123)*'Cálculos'!$C$219)+('Cálculos'!$C$196+(($B$54)-$A8)*'Cálculos'!$C$98)*('Cálculos'!$C$210+'Cálculos'!$C$124*(1+2.78*('Cálculos'!$C$196+(($B$54)-$A8)*'Cálculos'!$C$98)/(('Cálculos'!$C$196+(($B$54)-$A8)*'Cálculos'!$C$98)+1400)+'Cálculos'!$C$122)*'Cálculos'!$C$215+'Cálculos'!$C$125*(1+2.78*('Cálculos'!$C$196+(($B$54)-$A8)*'Cálculos'!$C$98)/(('Cálculos'!$C$196+(($B$54)-$A8)*'Cálculos'!$C$98)+1400)+'Cálculos'!$C$123)*'Cálculos'!$C$220)+('Cálculos'!$C$201*(1+'Cálculos'!$C$202+$A8*('Cálculos'!$C$290=2)*'Cálculos'!$C$101)+'Cálculos'!$C$203)*('Cálculos'!$C$211+'Cálculos'!$C$124*(1+2.78*('Cálculos'!$C$196+(($B$54)-$A8)*'Cálculos'!$C$98)/(('Cálculos'!$C$196+(($B$54)-$A8)*'Cálculos'!$C$98)+1400)+'Cálculos'!$C$122)*'Cálculos'!$C$216+'Cálculos'!$C$125*(1+2.78*('Cálculos'!$C$196+(($B$54)-$A8)*'Cálculos'!$C$98)/(('Cálculos'!$C$196+(($B$54)-$A8)*'Cálculos'!$C$98)+1400)+'Cálculos'!$C$123)*'Cálculos'!$C$221)+('Cálculos'!$C$204*(1+'Cálculos'!$C$205+$A8*('Cálculos'!$C$290=3)*'Cálculos'!$C$103)+'Cálculos'!$C$206)*('Cálculos'!$C$212+'Cálculos'!$C$124*(1+2.78*('Cálculos'!$C$196+(($B$54)-$A8)*'Cálculos'!$C$98)/(('Cálculos'!$C$196+(($B$54)-$A8)*'Cálculos'!$C$98)+1400)+'Cálculos'!$C$122)*'Cálculos'!$C$217+'Cálculos'!$C$125*(1+2.78*('Cálculos'!$C$196+(($B$54)-$A8)*'Cálculos'!$C$98)/(('Cálculos'!$C$196+(($B$54)-$A8)*'Cálculos'!$C$98)+1400)+'Cálculos'!$C$123)*'Cálculos'!$C$222)+('Cálculos'!$C$185*(1+'Cálculos'!$C$187+$A8*('Cálculos'!$C$290=1)*'Cálculos'!$C$97+'Cálculos'!$C$305)+'Cálculos'!$C$192)*('Cálculos'!$C$224+'Cálculos'!$C$124*(1+2.78*('Cálculos'!$C$197+(($B$54)-$A8)*'Cálculos'!$C$98)/(('Cálculos'!$C$197+(($B$54)-$A8)*'Cálculos'!$C$98)+1400)+'Cálculos'!$C$122)*'Cálculos'!$C$229+'Cálculos'!$C$125*(1+2.78*('Cálculos'!$C$197+(($B$54)-$A8)*'Cálculos'!$C$98)/(('Cálculos'!$C$197+(($B$54)-$A8)*'Cálculos'!$C$98)+1400)+'Cálculos'!$C$123)*'Cálculos'!$C$234)+('Cálculos'!$C$197+(($B$54)-$A8)*'Cálculos'!$C$98)*('Cálculos'!$C$225+'Cálculos'!$C$124*(1+2.78*('Cálculos'!$C$197+(($B$54)-$A8)*'Cálculos'!$C$98)/(('Cálculos'!$C$197+(($B$54)-$A8)*'Cálculos'!$C$98)+1400)+'Cálculos'!$C$122)*'Cálculos'!$C$230+'Cálculos'!$C$125*(1+2.78*('Cálculos'!$C$197+(($B$54)-$A8)*'Cálculos'!$C$98)/(('Cálculos'!$C$197+(($B$54)-$A8)*'Cálculos'!$C$98)+1400)+'Cálculos'!$C$123)*'Cálculos'!$C$235)+('Cálculos'!$C$201*(1+'Cálculos'!$C$202+$A8*('Cálculos'!$C$290=2)*'Cálculos'!$C$101)+'Cálculos'!$C$203)*('Cálculos'!$C$226+'Cálculos'!$C$124*(1+2.78*('Cálculos'!$C$197+(($B$54)-$A8)*'Cálculos'!$C$98)/(('Cálculos'!$C$197+(($B$54)-$A8)*'Cálculos'!$C$98)+1400)+'Cálculos'!$C$122)*'Cálculos'!$C$231+'Cálculos'!$C$125*(1+2.78*('Cálculos'!$C$197+(($B$54)-$A8)*'Cálculos'!$C$98)/(('Cálculos'!$C$197+(($B$54)-$A8)*'Cálculos'!$C$98)+1400)+'Cálculos'!$C$123)*'Cálculos'!$C$236)+('Cálculos'!$C$204*(1+'Cálculos'!$C$205+$A8*('Cálculos'!$C$290=3)*'Cálculos'!$C$103)+'Cálculos'!$C$206)*('Cálculos'!$C$227+'Cálculos'!$C$124*(1+2.78*('Cálculos'!$C$197+(($B$54)-$A8)*'Cálculos'!$C$98)/(('Cálculos'!$C$197+(($B$54)-$A8)*'Cálculos'!$C$98)+1400)+'Cálculos'!$C$122)*'Cálculos'!$C$232+'Cálculos'!$C$125*(1+2.78*('Cálculos'!$C$197+(($B$54)-$A8)*'Cálculos'!$C$98)/(('Cálculos'!$C$197+(($B$54)-$A8)*'Cálculos'!$C$98)+1400)+'Cálculos'!$C$123)*'Cálculos'!$C$237)+('Cálculos'!$C$185*(1+'Cálculos'!$C$188+$A8*('Cálculos'!$C$290=1)*'Cálculos'!$C$97+'Cálculos'!$C$305)+'Cálculos'!$C$193)*('Cálculos'!$C$239+'Cálculos'!$C$124*(1+2.78*('Cálculos'!$C$198+(($B$54)-$A8)*'Cálculos'!$C$98)/(('Cálculos'!$C$198+(($B$54)-$A8)*'Cálculos'!$C$98)+1400)+'Cálculos'!$C$122)*'Cálculos'!$C$244+'Cálculos'!$C$125*(1+2.78*('Cálculos'!$C$198+(($B$54)-$A8)*'Cálculos'!$C$98)/(('Cálculos'!$C$198+(($B$54)-$A8)*'Cálculos'!$C$98)+1400)+'Cálculos'!$C$123)*'Cálculos'!$C$249)+('Cálculos'!$C$198+(($B$54)-$A8)*'Cálculos'!$C$98)*('Cálculos'!$C$240+'Cálculos'!$C$124*(1+2.78*('Cálculos'!$C$198+(($B$54)-$A8)*'Cálculos'!$C$98)/(('Cálculos'!$C$198+(($B$54)-$A8)*'Cálculos'!$C$98)+1400)+'Cálculos'!$C$122)*'Cálculos'!$C$245+'Cálculos'!$C$125*(1+2.78*('Cálculos'!$C$198+(($B$54)-$A8)*'Cálculos'!$C$98)/(('Cálculos'!$C$198+(($B$54)-$A8)*'Cálculos'!$C$98)+1400)+'Cálculos'!$C$123)*'Cálculos'!$C$250)+('Cálculos'!$C$201*(1+'Cálculos'!$C$202+$A8*('Cálculos'!$C$290=2)*'Cálculos'!$C$101)+'Cálculos'!$C$203)*('Cálculos'!$C$241+'Cálculos'!$C$124*(1+2.78*('Cálculos'!$C$198+(($B$54)-$A8)*'Cálculos'!$C$98)/(('Cálculos'!$C$198+(($B$54)-$A8)*'Cálculos'!$C$98)+1400)+'Cálculos'!$C$122)*'Cálculos'!$C$246+'Cálculos'!$C$125*(1+2.78*('Cálculos'!$C$198+(($B$54)-$A8)*'Cálculos'!$C$98)/(('Cálculos'!$C$198+(($B$54)-$A8)*'Cálculos'!$C$98)+1400)+'Cálculos'!$C$123)*'Cálculos'!$C$251)+('Cálculos'!$C$204*(1+'Cálculos'!$C$205+$A8*('Cálculos'!$C$290=3)*'Cálculos'!$C$103)+'Cálculos'!$C$206)*('Cálculos'!$C$242+'Cálculos'!$C$124*(1+2.78*('Cálculos'!$C$198+(($B$54)-$A8)*'Cálculos'!$C$98)/(('Cálculos'!$C$198+(($B$54)-$A8)*'Cálculos'!$C$98)+1400)+'Cálculos'!$C$122)*'Cálculos'!$C$247+'Cálculos'!$C$125*(1+2.78*('Cálculos'!$C$198+(($B$54)-$A8)*'Cálculos'!$C$98)/(('Cálculos'!$C$198+(($B$54)-$A8)*'Cálculos'!$C$98)+1400)+'Cálculos'!$C$123)*'Cálculos'!$C$252)+('Cálculos'!$C$185*(1+'Cálculos'!$C$189+$A8*('Cálculos'!$C$290=1)*'Cálculos'!$C$97+'Cálculos'!$C$305)+'Cálculos'!$C$194)*('Cálculos'!$C$254+'Cálculos'!$C$124*(1+2.78*('Cálculos'!$C$199+(($B$54)-$A8)*'Cálculos'!$C$98)/(('Cálculos'!$C$199+(($B$54)-$A8)*'Cálculos'!$C$98)+1400)+'Cálculos'!$C$122)*'Cálculos'!$C$259+'Cálculos'!$C$125*(1+2.78*('Cálculos'!$C$199+(($B$54)-$A8)*'Cálculos'!$C$98)/(('Cálculos'!$C$199+(($B$54)-$A8)*'Cálculos'!$C$98)+1400)+'Cálculos'!$C$123)*'Cálculos'!$C$264)+('Cálculos'!$C$199+(($B$54)-$A8)*'Cálculos'!$C$98)*('Cálculos'!$C$255+'Cálculos'!$C$124*(1+2.78*('Cálculos'!$C$199+(($B$54)-$A8)*'Cálculos'!$C$98)/(('Cálculos'!$C$199+(($B$54)-$A8)*'Cálculos'!$C$98)+1400)+'Cálculos'!$C$122)*'Cálculos'!$C$260+'Cálculos'!$C$125*(1+2.78*('Cálculos'!$C$199+(($B$54)-$A8)*'Cálculos'!$C$98)/(('Cálculos'!$C$199+(($B$54)-$A8)*'Cálculos'!$C$98)+1400)+'Cálculos'!$C$123)*'Cálculos'!$C$265)+('Cálculos'!$C$201*(1+'Cálculos'!$C$202+$A8*('Cálculos'!$C$290=2)*'Cálculos'!$C$101)+'Cálculos'!$C$203)*('Cálculos'!$C$256+'Cálculos'!$C$124*(1+2.78*('Cálculos'!$C$199+(($B$54)-$A8)*'Cálculos'!$C$98)/(('Cálculos'!$C$199+(($B$54)-$A8)*'Cálculos'!$C$98)+1400)+'Cálculos'!$C$122)*'Cálculos'!$C$261+'Cálculos'!$C$125*(1+2.78*('Cálculos'!$C$199+(($B$54)-$A8)*'Cálculos'!$C$98)/(('Cálculos'!$C$199+(($B$54)-$A8)*'Cálculos'!$C$98)+1400)+'Cálculos'!$C$123)*'Cálculos'!$C$266)+('Cálculos'!$C$204*(1+'Cálculos'!$C$205+$A8*('Cálculos'!$C$290=3)*'Cálculos'!$C$103)+'Cálculos'!$C$206)*('Cálculos'!$C$257+'Cálculos'!$C$124*(1+2.78*('Cálculos'!$C$199+(($B$54)-$A8)*'Cálculos'!$C$98)/(('Cálculos'!$C$199+(($B$54)-$A8)*'Cálculos'!$C$98)+1400)+'Cálculos'!$C$122)*'Cálculos'!$C$262+'Cálculos'!$C$125*(1+2.78*('Cálculos'!$C$199+(($B$54)-$A8)*'Cálculos'!$C$98)/(('Cálculos'!$C$199+(($B$54)-$A8)*'Cálculos'!$C$98)+1400)+'Cálculos'!$C$123)*'Cálculos'!$C$267)+('Cálculos'!$C$185*(1+'Cálculos'!$C$190+$A8*('Cálculos'!$C$290=1)*'Cálculos'!$C$97+'Cálculos'!$C$305)+'Cálculos'!$C$195)*('Cálculos'!$C$269+'Cálculos'!$C$124*(1+2.78*('Cálculos'!$C$200+(($B$54)-$A8)*'Cálculos'!$C$98)/(('Cálculos'!$C$200+(($B$54)-$A8)*'Cálculos'!$C$98)+1400)+'Cálculos'!$C$122)*'Cálculos'!$C$274+'Cálculos'!$C$125*(1+2.78*('Cálculos'!$C$200+(($B$54)-$A8)*'Cálculos'!$C$98)/(('Cálculos'!$C$200+(($B$54)-$A8)*'Cálculos'!$C$98)+1400)+'Cálculos'!$C$123)*'Cálculos'!$C$279)+('Cálculos'!$C$200+(($B$54)-$A8)*'Cálculos'!$C$98)*('Cálculos'!$C$270+'Cálculos'!$C$124*(1+2.78*('Cálculos'!$C$200+(($B$54)-$A8)*'Cálculos'!$C$98)/(('Cálculos'!$C$200+(($B$54)-$A8)*'Cálculos'!$C$98)+1400)+'Cálculos'!$C$122)*'Cálculos'!$C$275+'Cálculos'!$C$125*(1+2.78*('Cálculos'!$C$200+(($B$54)-$A8)*'Cálculos'!$C$98)/(('Cálculos'!$C$200+(($B$54)-$A8)*'Cálculos'!$C$98)+1400)+'Cálculos'!$C$123)*'Cálculos'!$C$280)+('Cálculos'!$C$201*(1+'Cálculos'!$C$202+$A8*('Cálculos'!$C$290=2)*'Cálculos'!$C$101)+'Cálculos'!$C$203)*('Cálculos'!$C$271+'Cálculos'!$C$124*(1+2.78*('Cálculos'!$C$200+(($B$54)-$A8)*'Cálculos'!$C$98)/(('Cálculos'!$C$200+(($B$54)-$A8)*'Cálculos'!$C$98)+1400)+'Cálculos'!$C$122)*'Cálculos'!$C$276+'Cálculos'!$C$125*(1+2.78*('Cálculos'!$C$200+(($B$54)-$A8)*'Cálculos'!$C$98)/(('Cálculos'!$C$200+(($B$54)-$A8)*'Cálculos'!$C$98)+1400)+'Cálculos'!$C$123)*'Cálculos'!$C$281)+('Cálculos'!$C$204*(1+'Cálculos'!$C$205+$A8*('Cálculos'!$C$290=3)*'Cálculos'!$C$103)+'Cálculos'!$C$206)*('Cálculos'!$C$272+'Cálculos'!$C$124*(1+2.78*('Cálculos'!$C$200+(($B$54)-$A8)*'Cálculos'!$C$98)/(('Cálculos'!$C$200+(($B$54)-$A8)*'Cálculos'!$C$98)+1400)+'Cálculos'!$C$122)*'Cálculos'!$C$277+'Cálculos'!$C$125*(1+2.78*('Cálculos'!$C$200+(($B$54)-$A8)*'Cálculos'!$C$98)/(('Cálculos'!$C$200+(($B$54)-$A8)*'Cálculos'!$C$98)+1400)+'Cálculos'!$C$123)*'Cálculos'!$C$282)))</f>
        <v>1092283.108</v>
      </c>
    </row>
    <row r="9">
      <c r="A9" s="2">
        <v>3.0</v>
      </c>
      <c r="B9" s="30">
        <f>SUMPRODUCT(MAX(($A$6:$A$51&lt;=$A9)*($A$6:$A$51&lt;='Cálculos'!$C$294)*(($A9)-$A$6:$A$51&lt;='Cálculos'!$C$295)*(1+(('Cálculos'!$C$207+$A$6:$A$51*'Cálculos'!$C$95)-(('Cálculos'!$C$207+$A$6:$A$51*'Cálculos'!$C$95)&gt;1)*(('Cálculos'!$C$207+$A$6:$A$51*'Cálculos'!$C$95)-1))*('Cálculos'!$C$208+(($A9)-$A$6:$A$51)*'Cálculos'!$C$96))))</f>
        <v>2.4413</v>
      </c>
      <c r="C9" s="2">
        <f>'Cálculos'!$C$303-$A9</f>
        <v>17</v>
      </c>
      <c r="D9" s="31">
        <f>IF($C9&lt;0,0,SUMPRODUCT(MAX(($A$6:$A$51&lt;=$C9)*($A$6:$A$51&lt;='Cálculos'!$C$301)*(($C9)-$A$6:$A$51&lt;='Cálculos'!$C$297)*(('Cálculos'!$C$185*(1+'Cálculos'!$C$186+$A$6:$A$51*('Cálculos'!$C$290=1)*'Cálculos'!$C$97+'Cálculos'!$C$305)+'Cálculos'!$C$191)*('Cálculos'!$C$209+'Cálculos'!$C$124*(1+2.78*('Cálculos'!$C$196+(($C9)-$A$6:$A$51)*'Cálculos'!$C$98)/(('Cálculos'!$C$196+(($C9)-$A$6:$A$51)*'Cálculos'!$C$98)+1400)+'Cálculos'!$C$122)*'Cálculos'!$C$214+'Cálculos'!$C$125*(1+2.78*('Cálculos'!$C$196+(($C9)-$A$6:$A$51)*'Cálculos'!$C$98)/(('Cálculos'!$C$196+(($C9)-$A$6:$A$51)*'Cálculos'!$C$98)+1400)+'Cálculos'!$C$123)*'Cálculos'!$C$219)+('Cálculos'!$C$196+(($C9)-$A$6:$A$51)*'Cálculos'!$C$98)*('Cálculos'!$C$210+'Cálculos'!$C$124*(1+2.78*('Cálculos'!$C$196+(($C9)-$A$6:$A$51)*'Cálculos'!$C$98)/(('Cálculos'!$C$196+(($C9)-$A$6:$A$51)*'Cálculos'!$C$98)+1400)+'Cálculos'!$C$122)*'Cálculos'!$C$215+'Cálculos'!$C$125*(1+2.78*('Cálculos'!$C$196+(($C9)-$A$6:$A$51)*'Cálculos'!$C$98)/(('Cálculos'!$C$196+(($C9)-$A$6:$A$51)*'Cálculos'!$C$98)+1400)+'Cálculos'!$C$123)*'Cálculos'!$C$220)+('Cálculos'!$C$201*(1+'Cálculos'!$C$202+$A$6:$A$51*('Cálculos'!$C$290=2)*'Cálculos'!$C$101)+'Cálculos'!$C$203)*('Cálculos'!$C$211+'Cálculos'!$C$124*(1+2.78*('Cálculos'!$C$196+(($C9)-$A$6:$A$51)*'Cálculos'!$C$98)/(('Cálculos'!$C$196+(($C9)-$A$6:$A$51)*'Cálculos'!$C$98)+1400)+'Cálculos'!$C$122)*'Cálculos'!$C$216+'Cálculos'!$C$125*(1+2.78*('Cálculos'!$C$196+(($C9)-$A$6:$A$51)*'Cálculos'!$C$98)/(('Cálculos'!$C$196+(($C9)-$A$6:$A$51)*'Cálculos'!$C$98)+1400)+'Cálculos'!$C$123)*'Cálculos'!$C$221)+('Cálculos'!$C$204*(1+'Cálculos'!$C$205+$A$6:$A$51*('Cálculos'!$C$290=3)*'Cálculos'!$C$103)+'Cálculos'!$C$206)*('Cálculos'!$C$212+'Cálculos'!$C$124*(1+2.78*('Cálculos'!$C$196+(($C9)-$A$6:$A$51)*'Cálculos'!$C$98)/(('Cálculos'!$C$196+(($C9)-$A$6:$A$51)*'Cálculos'!$C$98)+1400)+'Cálculos'!$C$122)*'Cálculos'!$C$217+'Cálculos'!$C$125*(1+2.78*('Cálculos'!$C$196+(($C9)-$A$6:$A$51)*'Cálculos'!$C$98)/(('Cálculos'!$C$196+(($C9)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9)-$A$6:$A$51)*'Cálculos'!$C$98)/(('Cálculos'!$C$197+(($C9)-$A$6:$A$51)*'Cálculos'!$C$98)+1400)+'Cálculos'!$C$122)*'Cálculos'!$C$229+'Cálculos'!$C$125*(1+2.78*('Cálculos'!$C$197+(($C9)-$A$6:$A$51)*'Cálculos'!$C$98)/(('Cálculos'!$C$197+(($C9)-$A$6:$A$51)*'Cálculos'!$C$98)+1400)+'Cálculos'!$C$123)*'Cálculos'!$C$234)+('Cálculos'!$C$197+(($C9)-$A$6:$A$51)*'Cálculos'!$C$98)*('Cálculos'!$C$225+'Cálculos'!$C$124*(1+2.78*('Cálculos'!$C$197+(($C9)-$A$6:$A$51)*'Cálculos'!$C$98)/(('Cálculos'!$C$197+(($C9)-$A$6:$A$51)*'Cálculos'!$C$98)+1400)+'Cálculos'!$C$122)*'Cálculos'!$C$230+'Cálculos'!$C$125*(1+2.78*('Cálculos'!$C$197+(($C9)-$A$6:$A$51)*'Cálculos'!$C$98)/(('Cálculos'!$C$197+(($C9)-$A$6:$A$51)*'Cálculos'!$C$98)+1400)+'Cálculos'!$C$123)*'Cálculos'!$C$235)+('Cálculos'!$C$201*(1+'Cálculos'!$C$202+$A$6:$A$51*('Cálculos'!$C$290=2)*'Cálculos'!$C$101)+'Cálculos'!$C$203)*('Cálculos'!$C$226+'Cálculos'!$C$124*(1+2.78*('Cálculos'!$C$197+(($C9)-$A$6:$A$51)*'Cálculos'!$C$98)/(('Cálculos'!$C$197+(($C9)-$A$6:$A$51)*'Cálculos'!$C$98)+1400)+'Cálculos'!$C$122)*'Cálculos'!$C$231+'Cálculos'!$C$125*(1+2.78*('Cálculos'!$C$197+(($C9)-$A$6:$A$51)*'Cálculos'!$C$98)/(('Cálculos'!$C$197+(($C9)-$A$6:$A$51)*'Cálculos'!$C$98)+1400)+'Cálculos'!$C$123)*'Cálculos'!$C$236)+('Cálculos'!$C$204*(1+'Cálculos'!$C$205+$A$6:$A$51*('Cálculos'!$C$290=3)*'Cálculos'!$C$103)+'Cálculos'!$C$206)*('Cálculos'!$C$227+'Cálculos'!$C$124*(1+2.78*('Cálculos'!$C$197+(($C9)-$A$6:$A$51)*'Cálculos'!$C$98)/(('Cálculos'!$C$197+(($C9)-$A$6:$A$51)*'Cálculos'!$C$98)+1400)+'Cálculos'!$C$122)*'Cálculos'!$C$232+'Cálculos'!$C$125*(1+2.78*('Cálculos'!$C$197+(($C9)-$A$6:$A$51)*'Cálculos'!$C$98)/(('Cálculos'!$C$197+(($C9)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9)-$A$6:$A$51)*'Cálculos'!$C$98)/(('Cálculos'!$C$198+(($C9)-$A$6:$A$51)*'Cálculos'!$C$98)+1400)+'Cálculos'!$C$122)*'Cálculos'!$C$244+'Cálculos'!$C$125*(1+2.78*('Cálculos'!$C$198+(($C9)-$A$6:$A$51)*'Cálculos'!$C$98)/(('Cálculos'!$C$198+(($C9)-$A$6:$A$51)*'Cálculos'!$C$98)+1400)+'Cálculos'!$C$123)*'Cálculos'!$C$249)+('Cálculos'!$C$198+(($C9)-$A$6:$A$51)*'Cálculos'!$C$98)*('Cálculos'!$C$240+'Cálculos'!$C$124*(1+2.78*('Cálculos'!$C$198+(($C9)-$A$6:$A$51)*'Cálculos'!$C$98)/(('Cálculos'!$C$198+(($C9)-$A$6:$A$51)*'Cálculos'!$C$98)+1400)+'Cálculos'!$C$122)*'Cálculos'!$C$245+'Cálculos'!$C$125*(1+2.78*('Cálculos'!$C$198+(($C9)-$A$6:$A$51)*'Cálculos'!$C$98)/(('Cálculos'!$C$198+(($C9)-$A$6:$A$51)*'Cálculos'!$C$98)+1400)+'Cálculos'!$C$123)*'Cálculos'!$C$250)+('Cálculos'!$C$201*(1+'Cálculos'!$C$202+$A$6:$A$51*('Cálculos'!$C$290=2)*'Cálculos'!$C$101)+'Cálculos'!$C$203)*('Cálculos'!$C$241+'Cálculos'!$C$124*(1+2.78*('Cálculos'!$C$198+(($C9)-$A$6:$A$51)*'Cálculos'!$C$98)/(('Cálculos'!$C$198+(($C9)-$A$6:$A$51)*'Cálculos'!$C$98)+1400)+'Cálculos'!$C$122)*'Cálculos'!$C$246+'Cálculos'!$C$125*(1+2.78*('Cálculos'!$C$198+(($C9)-$A$6:$A$51)*'Cálculos'!$C$98)/(('Cálculos'!$C$198+(($C9)-$A$6:$A$51)*'Cálculos'!$C$98)+1400)+'Cálculos'!$C$123)*'Cálculos'!$C$251)+('Cálculos'!$C$204*(1+'Cálculos'!$C$205+$A$6:$A$51*('Cálculos'!$C$290=3)*'Cálculos'!$C$103)+'Cálculos'!$C$206)*('Cálculos'!$C$242+'Cálculos'!$C$124*(1+2.78*('Cálculos'!$C$198+(($C9)-$A$6:$A$51)*'Cálculos'!$C$98)/(('Cálculos'!$C$198+(($C9)-$A$6:$A$51)*'Cálculos'!$C$98)+1400)+'Cálculos'!$C$122)*'Cálculos'!$C$247+'Cálculos'!$C$125*(1+2.78*('Cálculos'!$C$198+(($C9)-$A$6:$A$51)*'Cálculos'!$C$98)/(('Cálculos'!$C$198+(($C9)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9)-$A$6:$A$51)*'Cálculos'!$C$98)/(('Cálculos'!$C$199+(($C9)-$A$6:$A$51)*'Cálculos'!$C$98)+1400)+'Cálculos'!$C$122)*'Cálculos'!$C$259+'Cálculos'!$C$125*(1+2.78*('Cálculos'!$C$199+(($C9)-$A$6:$A$51)*'Cálculos'!$C$98)/(('Cálculos'!$C$199+(($C9)-$A$6:$A$51)*'Cálculos'!$C$98)+1400)+'Cálculos'!$C$123)*'Cálculos'!$C$264)+('Cálculos'!$C$199+(($C9)-$A$6:$A$51)*'Cálculos'!$C$98)*('Cálculos'!$C$255+'Cálculos'!$C$124*(1+2.78*('Cálculos'!$C$199+(($C9)-$A$6:$A$51)*'Cálculos'!$C$98)/(('Cálculos'!$C$199+(($C9)-$A$6:$A$51)*'Cálculos'!$C$98)+1400)+'Cálculos'!$C$122)*'Cálculos'!$C$260+'Cálculos'!$C$125*(1+2.78*('Cálculos'!$C$199+(($C9)-$A$6:$A$51)*'Cálculos'!$C$98)/(('Cálculos'!$C$199+(($C9)-$A$6:$A$51)*'Cálculos'!$C$98)+1400)+'Cálculos'!$C$123)*'Cálculos'!$C$265)+('Cálculos'!$C$201*(1+'Cálculos'!$C$202+$A$6:$A$51*('Cálculos'!$C$290=2)*'Cálculos'!$C$101)+'Cálculos'!$C$203)*('Cálculos'!$C$256+'Cálculos'!$C$124*(1+2.78*('Cálculos'!$C$199+(($C9)-$A$6:$A$51)*'Cálculos'!$C$98)/(('Cálculos'!$C$199+(($C9)-$A$6:$A$51)*'Cálculos'!$C$98)+1400)+'Cálculos'!$C$122)*'Cálculos'!$C$261+'Cálculos'!$C$125*(1+2.78*('Cálculos'!$C$199+(($C9)-$A$6:$A$51)*'Cálculos'!$C$98)/(('Cálculos'!$C$199+(($C9)-$A$6:$A$51)*'Cálculos'!$C$98)+1400)+'Cálculos'!$C$123)*'Cálculos'!$C$266)+('Cálculos'!$C$204*(1+'Cálculos'!$C$205+$A$6:$A$51*('Cálculos'!$C$290=3)*'Cálculos'!$C$103)+'Cálculos'!$C$206)*('Cálculos'!$C$257+'Cálculos'!$C$124*(1+2.78*('Cálculos'!$C$199+(($C9)-$A$6:$A$51)*'Cálculos'!$C$98)/(('Cálculos'!$C$199+(($C9)-$A$6:$A$51)*'Cálculos'!$C$98)+1400)+'Cálculos'!$C$122)*'Cálculos'!$C$262+'Cálculos'!$C$125*(1+2.78*('Cálculos'!$C$199+(($C9)-$A$6:$A$51)*'Cálculos'!$C$98)/(('Cálculos'!$C$199+(($C9)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9)-$A$6:$A$51)*'Cálculos'!$C$98)/(('Cálculos'!$C$200+(($C9)-$A$6:$A$51)*'Cálculos'!$C$98)+1400)+'Cálculos'!$C$122)*'Cálculos'!$C$274+'Cálculos'!$C$125*(1+2.78*('Cálculos'!$C$200+(($C9)-$A$6:$A$51)*'Cálculos'!$C$98)/(('Cálculos'!$C$200+(($C9)-$A$6:$A$51)*'Cálculos'!$C$98)+1400)+'Cálculos'!$C$123)*'Cálculos'!$C$279)+('Cálculos'!$C$200+(($C9)-$A$6:$A$51)*'Cálculos'!$C$98)*('Cálculos'!$C$270+'Cálculos'!$C$124*(1+2.78*('Cálculos'!$C$200+(($C9)-$A$6:$A$51)*'Cálculos'!$C$98)/(('Cálculos'!$C$200+(($C9)-$A$6:$A$51)*'Cálculos'!$C$98)+1400)+'Cálculos'!$C$122)*'Cálculos'!$C$275+'Cálculos'!$C$125*(1+2.78*('Cálculos'!$C$200+(($C9)-$A$6:$A$51)*'Cálculos'!$C$98)/(('Cálculos'!$C$200+(($C9)-$A$6:$A$51)*'Cálculos'!$C$98)+1400)+'Cálculos'!$C$123)*'Cálculos'!$C$280)+('Cálculos'!$C$201*(1+'Cálculos'!$C$202+$A$6:$A$51*('Cálculos'!$C$290=2)*'Cálculos'!$C$101)+'Cálculos'!$C$203)*('Cálculos'!$C$271+'Cálculos'!$C$124*(1+2.78*('Cálculos'!$C$200+(($C9)-$A$6:$A$51)*'Cálculos'!$C$98)/(('Cálculos'!$C$200+(($C9)-$A$6:$A$51)*'Cálculos'!$C$98)+1400)+'Cálculos'!$C$122)*'Cálculos'!$C$276+'Cálculos'!$C$125*(1+2.78*('Cálculos'!$C$200+(($C9)-$A$6:$A$51)*'Cálculos'!$C$98)/(('Cálculos'!$C$200+(($C9)-$A$6:$A$51)*'Cálculos'!$C$98)+1400)+'Cálculos'!$C$123)*'Cálculos'!$C$281)+('Cálculos'!$C$204*(1+'Cálculos'!$C$205+$A$6:$A$51*('Cálculos'!$C$290=3)*'Cálculos'!$C$103)+'Cálculos'!$C$206)*('Cálculos'!$C$272+'Cálculos'!$C$124*(1+2.78*('Cálculos'!$C$200+(($C9)-$A$6:$A$51)*'Cálculos'!$C$98)/(('Cálculos'!$C$200+(($C9)-$A$6:$A$51)*'Cálculos'!$C$98)+1400)+'Cálculos'!$C$122)*'Cálculos'!$C$277+'Cálculos'!$C$125*(1+2.78*('Cálculos'!$C$200+(($C9)-$A$6:$A$51)*'Cálculos'!$C$98)/(('Cálculos'!$C$200+(($C9)-$A$6:$A$51)*'Cálculos'!$C$98)+1400)+'Cálculos'!$C$123)*'Cálculos'!$C$282)))))</f>
        <v>1246154.204</v>
      </c>
      <c r="E9" s="32">
        <f>IF(OR($C9&lt;0,'Cálculos'!$C$6=""),0,$B9*$D9)</f>
        <v>3042236.258</v>
      </c>
      <c r="F9" s="2"/>
      <c r="G9" s="30">
        <f>($A9&lt;=$B$53)*($A9&lt;='Cálculos'!$C$294)*(($B$53)-$A9&lt;='Cálculos'!$C$295)*(1+MIN(('Cálculos'!$C$207+$A9*'Cálculos'!$C$95),1)*('Cálculos'!$C$208+(($B$53)-$A9)*'Cálculos'!$C$96))</f>
        <v>3.06335</v>
      </c>
      <c r="H9" s="31">
        <f>IF($B$54&lt;0,0,($A9&lt;=$B$54)*($A9&lt;='Cálculos'!$C$301)*(($B$54)-$A9&lt;='Cálculos'!$C$297)*(('Cálculos'!$C$185*(1+'Cálculos'!$C$186+$A9*('Cálculos'!$C$290=1)*'Cálculos'!$C$97+'Cálculos'!$C$305)+'Cálculos'!$C$191)*('Cálculos'!$C$209+'Cálculos'!$C$124*(1+2.78*('Cálculos'!$C$196+(($B$54)-$A9)*'Cálculos'!$C$98)/(('Cálculos'!$C$196+(($B$54)-$A9)*'Cálculos'!$C$98)+1400)+'Cálculos'!$C$122)*'Cálculos'!$C$214+'Cálculos'!$C$125*(1+2.78*('Cálculos'!$C$196+(($B$54)-$A9)*'Cálculos'!$C$98)/(('Cálculos'!$C$196+(($B$54)-$A9)*'Cálculos'!$C$98)+1400)+'Cálculos'!$C$123)*'Cálculos'!$C$219)+('Cálculos'!$C$196+(($B$54)-$A9)*'Cálculos'!$C$98)*('Cálculos'!$C$210+'Cálculos'!$C$124*(1+2.78*('Cálculos'!$C$196+(($B$54)-$A9)*'Cálculos'!$C$98)/(('Cálculos'!$C$196+(($B$54)-$A9)*'Cálculos'!$C$98)+1400)+'Cálculos'!$C$122)*'Cálculos'!$C$215+'Cálculos'!$C$125*(1+2.78*('Cálculos'!$C$196+(($B$54)-$A9)*'Cálculos'!$C$98)/(('Cálculos'!$C$196+(($B$54)-$A9)*'Cálculos'!$C$98)+1400)+'Cálculos'!$C$123)*'Cálculos'!$C$220)+('Cálculos'!$C$201*(1+'Cálculos'!$C$202+$A9*('Cálculos'!$C$290=2)*'Cálculos'!$C$101)+'Cálculos'!$C$203)*('Cálculos'!$C$211+'Cálculos'!$C$124*(1+2.78*('Cálculos'!$C$196+(($B$54)-$A9)*'Cálculos'!$C$98)/(('Cálculos'!$C$196+(($B$54)-$A9)*'Cálculos'!$C$98)+1400)+'Cálculos'!$C$122)*'Cálculos'!$C$216+'Cálculos'!$C$125*(1+2.78*('Cálculos'!$C$196+(($B$54)-$A9)*'Cálculos'!$C$98)/(('Cálculos'!$C$196+(($B$54)-$A9)*'Cálculos'!$C$98)+1400)+'Cálculos'!$C$123)*'Cálculos'!$C$221)+('Cálculos'!$C$204*(1+'Cálculos'!$C$205+$A9*('Cálculos'!$C$290=3)*'Cálculos'!$C$103)+'Cálculos'!$C$206)*('Cálculos'!$C$212+'Cálculos'!$C$124*(1+2.78*('Cálculos'!$C$196+(($B$54)-$A9)*'Cálculos'!$C$98)/(('Cálculos'!$C$196+(($B$54)-$A9)*'Cálculos'!$C$98)+1400)+'Cálculos'!$C$122)*'Cálculos'!$C$217+'Cálculos'!$C$125*(1+2.78*('Cálculos'!$C$196+(($B$54)-$A9)*'Cálculos'!$C$98)/(('Cálculos'!$C$196+(($B$54)-$A9)*'Cálculos'!$C$98)+1400)+'Cálculos'!$C$123)*'Cálculos'!$C$222)+('Cálculos'!$C$185*(1+'Cálculos'!$C$187+$A9*('Cálculos'!$C$290=1)*'Cálculos'!$C$97+'Cálculos'!$C$305)+'Cálculos'!$C$192)*('Cálculos'!$C$224+'Cálculos'!$C$124*(1+2.78*('Cálculos'!$C$197+(($B$54)-$A9)*'Cálculos'!$C$98)/(('Cálculos'!$C$197+(($B$54)-$A9)*'Cálculos'!$C$98)+1400)+'Cálculos'!$C$122)*'Cálculos'!$C$229+'Cálculos'!$C$125*(1+2.78*('Cálculos'!$C$197+(($B$54)-$A9)*'Cálculos'!$C$98)/(('Cálculos'!$C$197+(($B$54)-$A9)*'Cálculos'!$C$98)+1400)+'Cálculos'!$C$123)*'Cálculos'!$C$234)+('Cálculos'!$C$197+(($B$54)-$A9)*'Cálculos'!$C$98)*('Cálculos'!$C$225+'Cálculos'!$C$124*(1+2.78*('Cálculos'!$C$197+(($B$54)-$A9)*'Cálculos'!$C$98)/(('Cálculos'!$C$197+(($B$54)-$A9)*'Cálculos'!$C$98)+1400)+'Cálculos'!$C$122)*'Cálculos'!$C$230+'Cálculos'!$C$125*(1+2.78*('Cálculos'!$C$197+(($B$54)-$A9)*'Cálculos'!$C$98)/(('Cálculos'!$C$197+(($B$54)-$A9)*'Cálculos'!$C$98)+1400)+'Cálculos'!$C$123)*'Cálculos'!$C$235)+('Cálculos'!$C$201*(1+'Cálculos'!$C$202+$A9*('Cálculos'!$C$290=2)*'Cálculos'!$C$101)+'Cálculos'!$C$203)*('Cálculos'!$C$226+'Cálculos'!$C$124*(1+2.78*('Cálculos'!$C$197+(($B$54)-$A9)*'Cálculos'!$C$98)/(('Cálculos'!$C$197+(($B$54)-$A9)*'Cálculos'!$C$98)+1400)+'Cálculos'!$C$122)*'Cálculos'!$C$231+'Cálculos'!$C$125*(1+2.78*('Cálculos'!$C$197+(($B$54)-$A9)*'Cálculos'!$C$98)/(('Cálculos'!$C$197+(($B$54)-$A9)*'Cálculos'!$C$98)+1400)+'Cálculos'!$C$123)*'Cálculos'!$C$236)+('Cálculos'!$C$204*(1+'Cálculos'!$C$205+$A9*('Cálculos'!$C$290=3)*'Cálculos'!$C$103)+'Cálculos'!$C$206)*('Cálculos'!$C$227+'Cálculos'!$C$124*(1+2.78*('Cálculos'!$C$197+(($B$54)-$A9)*'Cálculos'!$C$98)/(('Cálculos'!$C$197+(($B$54)-$A9)*'Cálculos'!$C$98)+1400)+'Cálculos'!$C$122)*'Cálculos'!$C$232+'Cálculos'!$C$125*(1+2.78*('Cálculos'!$C$197+(($B$54)-$A9)*'Cálculos'!$C$98)/(('Cálculos'!$C$197+(($B$54)-$A9)*'Cálculos'!$C$98)+1400)+'Cálculos'!$C$123)*'Cálculos'!$C$237)+('Cálculos'!$C$185*(1+'Cálculos'!$C$188+$A9*('Cálculos'!$C$290=1)*'Cálculos'!$C$97+'Cálculos'!$C$305)+'Cálculos'!$C$193)*('Cálculos'!$C$239+'Cálculos'!$C$124*(1+2.78*('Cálculos'!$C$198+(($B$54)-$A9)*'Cálculos'!$C$98)/(('Cálculos'!$C$198+(($B$54)-$A9)*'Cálculos'!$C$98)+1400)+'Cálculos'!$C$122)*'Cálculos'!$C$244+'Cálculos'!$C$125*(1+2.78*('Cálculos'!$C$198+(($B$54)-$A9)*'Cálculos'!$C$98)/(('Cálculos'!$C$198+(($B$54)-$A9)*'Cálculos'!$C$98)+1400)+'Cálculos'!$C$123)*'Cálculos'!$C$249)+('Cálculos'!$C$198+(($B$54)-$A9)*'Cálculos'!$C$98)*('Cálculos'!$C$240+'Cálculos'!$C$124*(1+2.78*('Cálculos'!$C$198+(($B$54)-$A9)*'Cálculos'!$C$98)/(('Cálculos'!$C$198+(($B$54)-$A9)*'Cálculos'!$C$98)+1400)+'Cálculos'!$C$122)*'Cálculos'!$C$245+'Cálculos'!$C$125*(1+2.78*('Cálculos'!$C$198+(($B$54)-$A9)*'Cálculos'!$C$98)/(('Cálculos'!$C$198+(($B$54)-$A9)*'Cálculos'!$C$98)+1400)+'Cálculos'!$C$123)*'Cálculos'!$C$250)+('Cálculos'!$C$201*(1+'Cálculos'!$C$202+$A9*('Cálculos'!$C$290=2)*'Cálculos'!$C$101)+'Cálculos'!$C$203)*('Cálculos'!$C$241+'Cálculos'!$C$124*(1+2.78*('Cálculos'!$C$198+(($B$54)-$A9)*'Cálculos'!$C$98)/(('Cálculos'!$C$198+(($B$54)-$A9)*'Cálculos'!$C$98)+1400)+'Cálculos'!$C$122)*'Cálculos'!$C$246+'Cálculos'!$C$125*(1+2.78*('Cálculos'!$C$198+(($B$54)-$A9)*'Cálculos'!$C$98)/(('Cálculos'!$C$198+(($B$54)-$A9)*'Cálculos'!$C$98)+1400)+'Cálculos'!$C$123)*'Cálculos'!$C$251)+('Cálculos'!$C$204*(1+'Cálculos'!$C$205+$A9*('Cálculos'!$C$290=3)*'Cálculos'!$C$103)+'Cálculos'!$C$206)*('Cálculos'!$C$242+'Cálculos'!$C$124*(1+2.78*('Cálculos'!$C$198+(($B$54)-$A9)*'Cálculos'!$C$98)/(('Cálculos'!$C$198+(($B$54)-$A9)*'Cálculos'!$C$98)+1400)+'Cálculos'!$C$122)*'Cálculos'!$C$247+'Cálculos'!$C$125*(1+2.78*('Cálculos'!$C$198+(($B$54)-$A9)*'Cálculos'!$C$98)/(('Cálculos'!$C$198+(($B$54)-$A9)*'Cálculos'!$C$98)+1400)+'Cálculos'!$C$123)*'Cálculos'!$C$252)+('Cálculos'!$C$185*(1+'Cálculos'!$C$189+$A9*('Cálculos'!$C$290=1)*'Cálculos'!$C$97+'Cálculos'!$C$305)+'Cálculos'!$C$194)*('Cálculos'!$C$254+'Cálculos'!$C$124*(1+2.78*('Cálculos'!$C$199+(($B$54)-$A9)*'Cálculos'!$C$98)/(('Cálculos'!$C$199+(($B$54)-$A9)*'Cálculos'!$C$98)+1400)+'Cálculos'!$C$122)*'Cálculos'!$C$259+'Cálculos'!$C$125*(1+2.78*('Cálculos'!$C$199+(($B$54)-$A9)*'Cálculos'!$C$98)/(('Cálculos'!$C$199+(($B$54)-$A9)*'Cálculos'!$C$98)+1400)+'Cálculos'!$C$123)*'Cálculos'!$C$264)+('Cálculos'!$C$199+(($B$54)-$A9)*'Cálculos'!$C$98)*('Cálculos'!$C$255+'Cálculos'!$C$124*(1+2.78*('Cálculos'!$C$199+(($B$54)-$A9)*'Cálculos'!$C$98)/(('Cálculos'!$C$199+(($B$54)-$A9)*'Cálculos'!$C$98)+1400)+'Cálculos'!$C$122)*'Cálculos'!$C$260+'Cálculos'!$C$125*(1+2.78*('Cálculos'!$C$199+(($B$54)-$A9)*'Cálculos'!$C$98)/(('Cálculos'!$C$199+(($B$54)-$A9)*'Cálculos'!$C$98)+1400)+'Cálculos'!$C$123)*'Cálculos'!$C$265)+('Cálculos'!$C$201*(1+'Cálculos'!$C$202+$A9*('Cálculos'!$C$290=2)*'Cálculos'!$C$101)+'Cálculos'!$C$203)*('Cálculos'!$C$256+'Cálculos'!$C$124*(1+2.78*('Cálculos'!$C$199+(($B$54)-$A9)*'Cálculos'!$C$98)/(('Cálculos'!$C$199+(($B$54)-$A9)*'Cálculos'!$C$98)+1400)+'Cálculos'!$C$122)*'Cálculos'!$C$261+'Cálculos'!$C$125*(1+2.78*('Cálculos'!$C$199+(($B$54)-$A9)*'Cálculos'!$C$98)/(('Cálculos'!$C$199+(($B$54)-$A9)*'Cálculos'!$C$98)+1400)+'Cálculos'!$C$123)*'Cálculos'!$C$266)+('Cálculos'!$C$204*(1+'Cálculos'!$C$205+$A9*('Cálculos'!$C$290=3)*'Cálculos'!$C$103)+'Cálculos'!$C$206)*('Cálculos'!$C$257+'Cálculos'!$C$124*(1+2.78*('Cálculos'!$C$199+(($B$54)-$A9)*'Cálculos'!$C$98)/(('Cálculos'!$C$199+(($B$54)-$A9)*'Cálculos'!$C$98)+1400)+'Cálculos'!$C$122)*'Cálculos'!$C$262+'Cálculos'!$C$125*(1+2.78*('Cálculos'!$C$199+(($B$54)-$A9)*'Cálculos'!$C$98)/(('Cálculos'!$C$199+(($B$54)-$A9)*'Cálculos'!$C$98)+1400)+'Cálculos'!$C$123)*'Cálculos'!$C$267)+('Cálculos'!$C$185*(1+'Cálculos'!$C$190+$A9*('Cálculos'!$C$290=1)*'Cálculos'!$C$97+'Cálculos'!$C$305)+'Cálculos'!$C$195)*('Cálculos'!$C$269+'Cálculos'!$C$124*(1+2.78*('Cálculos'!$C$200+(($B$54)-$A9)*'Cálculos'!$C$98)/(('Cálculos'!$C$200+(($B$54)-$A9)*'Cálculos'!$C$98)+1400)+'Cálculos'!$C$122)*'Cálculos'!$C$274+'Cálculos'!$C$125*(1+2.78*('Cálculos'!$C$200+(($B$54)-$A9)*'Cálculos'!$C$98)/(('Cálculos'!$C$200+(($B$54)-$A9)*'Cálculos'!$C$98)+1400)+'Cálculos'!$C$123)*'Cálculos'!$C$279)+('Cálculos'!$C$200+(($B$54)-$A9)*'Cálculos'!$C$98)*('Cálculos'!$C$270+'Cálculos'!$C$124*(1+2.78*('Cálculos'!$C$200+(($B$54)-$A9)*'Cálculos'!$C$98)/(('Cálculos'!$C$200+(($B$54)-$A9)*'Cálculos'!$C$98)+1400)+'Cálculos'!$C$122)*'Cálculos'!$C$275+'Cálculos'!$C$125*(1+2.78*('Cálculos'!$C$200+(($B$54)-$A9)*'Cálculos'!$C$98)/(('Cálculos'!$C$200+(($B$54)-$A9)*'Cálculos'!$C$98)+1400)+'Cálculos'!$C$123)*'Cálculos'!$C$280)+('Cálculos'!$C$201*(1+'Cálculos'!$C$202+$A9*('Cálculos'!$C$290=2)*'Cálculos'!$C$101)+'Cálculos'!$C$203)*('Cálculos'!$C$271+'Cálculos'!$C$124*(1+2.78*('Cálculos'!$C$200+(($B$54)-$A9)*'Cálculos'!$C$98)/(('Cálculos'!$C$200+(($B$54)-$A9)*'Cálculos'!$C$98)+1400)+'Cálculos'!$C$122)*'Cálculos'!$C$276+'Cálculos'!$C$125*(1+2.78*('Cálculos'!$C$200+(($B$54)-$A9)*'Cálculos'!$C$98)/(('Cálculos'!$C$200+(($B$54)-$A9)*'Cálculos'!$C$98)+1400)+'Cálculos'!$C$123)*'Cálculos'!$C$281)+('Cálculos'!$C$204*(1+'Cálculos'!$C$205+$A9*('Cálculos'!$C$290=3)*'Cálculos'!$C$103)+'Cálculos'!$C$206)*('Cálculos'!$C$272+'Cálculos'!$C$124*(1+2.78*('Cálculos'!$C$200+(($B$54)-$A9)*'Cálculos'!$C$98)/(('Cálculos'!$C$200+(($B$54)-$A9)*'Cálculos'!$C$98)+1400)+'Cálculos'!$C$122)*'Cálculos'!$C$277+'Cálculos'!$C$125*(1+2.78*('Cálculos'!$C$200+(($B$54)-$A9)*'Cálculos'!$C$98)/(('Cálculos'!$C$200+(($B$54)-$A9)*'Cálculos'!$C$98)+1400)+'Cálculos'!$C$123)*'Cálculos'!$C$282)))</f>
        <v>1089248.437</v>
      </c>
    </row>
    <row r="10">
      <c r="A10" s="2">
        <v>4.0</v>
      </c>
      <c r="B10" s="30">
        <f>SUMPRODUCT(MAX(($A$6:$A$51&lt;=$A10)*($A$6:$A$51&lt;='Cálculos'!$C$294)*(($A10)-$A$6:$A$51&lt;='Cálculos'!$C$295)*(1+(('Cálculos'!$C$207+$A$6:$A$51*'Cálculos'!$C$95)-(('Cálculos'!$C$207+$A$6:$A$51*'Cálculos'!$C$95)&gt;1)*(('Cálculos'!$C$207+$A$6:$A$51*'Cálculos'!$C$95)-1))*('Cálculos'!$C$208+(($A10)-$A$6:$A$51)*'Cálculos'!$C$96))))</f>
        <v>2.506904</v>
      </c>
      <c r="C10" s="2">
        <f>'Cálculos'!$C$303-$A10</f>
        <v>16</v>
      </c>
      <c r="D10" s="31">
        <f>IF($C10&lt;0,0,SUMPRODUCT(MAX(($A$6:$A$51&lt;=$C10)*($A$6:$A$51&lt;='Cálculos'!$C$301)*(($C10)-$A$6:$A$51&lt;='Cálculos'!$C$297)*(('Cálculos'!$C$185*(1+'Cálculos'!$C$186+$A$6:$A$51*('Cálculos'!$C$290=1)*'Cálculos'!$C$97+'Cálculos'!$C$305)+'Cálculos'!$C$191)*('Cálculos'!$C$209+'Cálculos'!$C$124*(1+2.78*('Cálculos'!$C$196+(($C10)-$A$6:$A$51)*'Cálculos'!$C$98)/(('Cálculos'!$C$196+(($C10)-$A$6:$A$51)*'Cálculos'!$C$98)+1400)+'Cálculos'!$C$122)*'Cálculos'!$C$214+'Cálculos'!$C$125*(1+2.78*('Cálculos'!$C$196+(($C10)-$A$6:$A$51)*'Cálculos'!$C$98)/(('Cálculos'!$C$196+(($C10)-$A$6:$A$51)*'Cálculos'!$C$98)+1400)+'Cálculos'!$C$123)*'Cálculos'!$C$219)+('Cálculos'!$C$196+(($C10)-$A$6:$A$51)*'Cálculos'!$C$98)*('Cálculos'!$C$210+'Cálculos'!$C$124*(1+2.78*('Cálculos'!$C$196+(($C10)-$A$6:$A$51)*'Cálculos'!$C$98)/(('Cálculos'!$C$196+(($C10)-$A$6:$A$51)*'Cálculos'!$C$98)+1400)+'Cálculos'!$C$122)*'Cálculos'!$C$215+'Cálculos'!$C$125*(1+2.78*('Cálculos'!$C$196+(($C10)-$A$6:$A$51)*'Cálculos'!$C$98)/(('Cálculos'!$C$196+(($C10)-$A$6:$A$51)*'Cálculos'!$C$98)+1400)+'Cálculos'!$C$123)*'Cálculos'!$C$220)+('Cálculos'!$C$201*(1+'Cálculos'!$C$202+$A$6:$A$51*('Cálculos'!$C$290=2)*'Cálculos'!$C$101)+'Cálculos'!$C$203)*('Cálculos'!$C$211+'Cálculos'!$C$124*(1+2.78*('Cálculos'!$C$196+(($C10)-$A$6:$A$51)*'Cálculos'!$C$98)/(('Cálculos'!$C$196+(($C10)-$A$6:$A$51)*'Cálculos'!$C$98)+1400)+'Cálculos'!$C$122)*'Cálculos'!$C$216+'Cálculos'!$C$125*(1+2.78*('Cálculos'!$C$196+(($C10)-$A$6:$A$51)*'Cálculos'!$C$98)/(('Cálculos'!$C$196+(($C10)-$A$6:$A$51)*'Cálculos'!$C$98)+1400)+'Cálculos'!$C$123)*'Cálculos'!$C$221)+('Cálculos'!$C$204*(1+'Cálculos'!$C$205+$A$6:$A$51*('Cálculos'!$C$290=3)*'Cálculos'!$C$103)+'Cálculos'!$C$206)*('Cálculos'!$C$212+'Cálculos'!$C$124*(1+2.78*('Cálculos'!$C$196+(($C10)-$A$6:$A$51)*'Cálculos'!$C$98)/(('Cálculos'!$C$196+(($C10)-$A$6:$A$51)*'Cálculos'!$C$98)+1400)+'Cálculos'!$C$122)*'Cálculos'!$C$217+'Cálculos'!$C$125*(1+2.78*('Cálculos'!$C$196+(($C10)-$A$6:$A$51)*'Cálculos'!$C$98)/(('Cálculos'!$C$196+(($C10)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10)-$A$6:$A$51)*'Cálculos'!$C$98)/(('Cálculos'!$C$197+(($C10)-$A$6:$A$51)*'Cálculos'!$C$98)+1400)+'Cálculos'!$C$122)*'Cálculos'!$C$229+'Cálculos'!$C$125*(1+2.78*('Cálculos'!$C$197+(($C10)-$A$6:$A$51)*'Cálculos'!$C$98)/(('Cálculos'!$C$197+(($C10)-$A$6:$A$51)*'Cálculos'!$C$98)+1400)+'Cálculos'!$C$123)*'Cálculos'!$C$234)+('Cálculos'!$C$197+(($C10)-$A$6:$A$51)*'Cálculos'!$C$98)*('Cálculos'!$C$225+'Cálculos'!$C$124*(1+2.78*('Cálculos'!$C$197+(($C10)-$A$6:$A$51)*'Cálculos'!$C$98)/(('Cálculos'!$C$197+(($C10)-$A$6:$A$51)*'Cálculos'!$C$98)+1400)+'Cálculos'!$C$122)*'Cálculos'!$C$230+'Cálculos'!$C$125*(1+2.78*('Cálculos'!$C$197+(($C10)-$A$6:$A$51)*'Cálculos'!$C$98)/(('Cálculos'!$C$197+(($C10)-$A$6:$A$51)*'Cálculos'!$C$98)+1400)+'Cálculos'!$C$123)*'Cálculos'!$C$235)+('Cálculos'!$C$201*(1+'Cálculos'!$C$202+$A$6:$A$51*('Cálculos'!$C$290=2)*'Cálculos'!$C$101)+'Cálculos'!$C$203)*('Cálculos'!$C$226+'Cálculos'!$C$124*(1+2.78*('Cálculos'!$C$197+(($C10)-$A$6:$A$51)*'Cálculos'!$C$98)/(('Cálculos'!$C$197+(($C10)-$A$6:$A$51)*'Cálculos'!$C$98)+1400)+'Cálculos'!$C$122)*'Cálculos'!$C$231+'Cálculos'!$C$125*(1+2.78*('Cálculos'!$C$197+(($C10)-$A$6:$A$51)*'Cálculos'!$C$98)/(('Cálculos'!$C$197+(($C10)-$A$6:$A$51)*'Cálculos'!$C$98)+1400)+'Cálculos'!$C$123)*'Cálculos'!$C$236)+('Cálculos'!$C$204*(1+'Cálculos'!$C$205+$A$6:$A$51*('Cálculos'!$C$290=3)*'Cálculos'!$C$103)+'Cálculos'!$C$206)*('Cálculos'!$C$227+'Cálculos'!$C$124*(1+2.78*('Cálculos'!$C$197+(($C10)-$A$6:$A$51)*'Cálculos'!$C$98)/(('Cálculos'!$C$197+(($C10)-$A$6:$A$51)*'Cálculos'!$C$98)+1400)+'Cálculos'!$C$122)*'Cálculos'!$C$232+'Cálculos'!$C$125*(1+2.78*('Cálculos'!$C$197+(($C10)-$A$6:$A$51)*'Cálculos'!$C$98)/(('Cálculos'!$C$197+(($C10)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10)-$A$6:$A$51)*'Cálculos'!$C$98)/(('Cálculos'!$C$198+(($C10)-$A$6:$A$51)*'Cálculos'!$C$98)+1400)+'Cálculos'!$C$122)*'Cálculos'!$C$244+'Cálculos'!$C$125*(1+2.78*('Cálculos'!$C$198+(($C10)-$A$6:$A$51)*'Cálculos'!$C$98)/(('Cálculos'!$C$198+(($C10)-$A$6:$A$51)*'Cálculos'!$C$98)+1400)+'Cálculos'!$C$123)*'Cálculos'!$C$249)+('Cálculos'!$C$198+(($C10)-$A$6:$A$51)*'Cálculos'!$C$98)*('Cálculos'!$C$240+'Cálculos'!$C$124*(1+2.78*('Cálculos'!$C$198+(($C10)-$A$6:$A$51)*'Cálculos'!$C$98)/(('Cálculos'!$C$198+(($C10)-$A$6:$A$51)*'Cálculos'!$C$98)+1400)+'Cálculos'!$C$122)*'Cálculos'!$C$245+'Cálculos'!$C$125*(1+2.78*('Cálculos'!$C$198+(($C10)-$A$6:$A$51)*'Cálculos'!$C$98)/(('Cálculos'!$C$198+(($C10)-$A$6:$A$51)*'Cálculos'!$C$98)+1400)+'Cálculos'!$C$123)*'Cálculos'!$C$250)+('Cálculos'!$C$201*(1+'Cálculos'!$C$202+$A$6:$A$51*('Cálculos'!$C$290=2)*'Cálculos'!$C$101)+'Cálculos'!$C$203)*('Cálculos'!$C$241+'Cálculos'!$C$124*(1+2.78*('Cálculos'!$C$198+(($C10)-$A$6:$A$51)*'Cálculos'!$C$98)/(('Cálculos'!$C$198+(($C10)-$A$6:$A$51)*'Cálculos'!$C$98)+1400)+'Cálculos'!$C$122)*'Cálculos'!$C$246+'Cálculos'!$C$125*(1+2.78*('Cálculos'!$C$198+(($C10)-$A$6:$A$51)*'Cálculos'!$C$98)/(('Cálculos'!$C$198+(($C10)-$A$6:$A$51)*'Cálculos'!$C$98)+1400)+'Cálculos'!$C$123)*'Cálculos'!$C$251)+('Cálculos'!$C$204*(1+'Cálculos'!$C$205+$A$6:$A$51*('Cálculos'!$C$290=3)*'Cálculos'!$C$103)+'Cálculos'!$C$206)*('Cálculos'!$C$242+'Cálculos'!$C$124*(1+2.78*('Cálculos'!$C$198+(($C10)-$A$6:$A$51)*'Cálculos'!$C$98)/(('Cálculos'!$C$198+(($C10)-$A$6:$A$51)*'Cálculos'!$C$98)+1400)+'Cálculos'!$C$122)*'Cálculos'!$C$247+'Cálculos'!$C$125*(1+2.78*('Cálculos'!$C$198+(($C10)-$A$6:$A$51)*'Cálculos'!$C$98)/(('Cálculos'!$C$198+(($C10)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10)-$A$6:$A$51)*'Cálculos'!$C$98)/(('Cálculos'!$C$199+(($C10)-$A$6:$A$51)*'Cálculos'!$C$98)+1400)+'Cálculos'!$C$122)*'Cálculos'!$C$259+'Cálculos'!$C$125*(1+2.78*('Cálculos'!$C$199+(($C10)-$A$6:$A$51)*'Cálculos'!$C$98)/(('Cálculos'!$C$199+(($C10)-$A$6:$A$51)*'Cálculos'!$C$98)+1400)+'Cálculos'!$C$123)*'Cálculos'!$C$264)+('Cálculos'!$C$199+(($C10)-$A$6:$A$51)*'Cálculos'!$C$98)*('Cálculos'!$C$255+'Cálculos'!$C$124*(1+2.78*('Cálculos'!$C$199+(($C10)-$A$6:$A$51)*'Cálculos'!$C$98)/(('Cálculos'!$C$199+(($C10)-$A$6:$A$51)*'Cálculos'!$C$98)+1400)+'Cálculos'!$C$122)*'Cálculos'!$C$260+'Cálculos'!$C$125*(1+2.78*('Cálculos'!$C$199+(($C10)-$A$6:$A$51)*'Cálculos'!$C$98)/(('Cálculos'!$C$199+(($C10)-$A$6:$A$51)*'Cálculos'!$C$98)+1400)+'Cálculos'!$C$123)*'Cálculos'!$C$265)+('Cálculos'!$C$201*(1+'Cálculos'!$C$202+$A$6:$A$51*('Cálculos'!$C$290=2)*'Cálculos'!$C$101)+'Cálculos'!$C$203)*('Cálculos'!$C$256+'Cálculos'!$C$124*(1+2.78*('Cálculos'!$C$199+(($C10)-$A$6:$A$51)*'Cálculos'!$C$98)/(('Cálculos'!$C$199+(($C10)-$A$6:$A$51)*'Cálculos'!$C$98)+1400)+'Cálculos'!$C$122)*'Cálculos'!$C$261+'Cálculos'!$C$125*(1+2.78*('Cálculos'!$C$199+(($C10)-$A$6:$A$51)*'Cálculos'!$C$98)/(('Cálculos'!$C$199+(($C10)-$A$6:$A$51)*'Cálculos'!$C$98)+1400)+'Cálculos'!$C$123)*'Cálculos'!$C$266)+('Cálculos'!$C$204*(1+'Cálculos'!$C$205+$A$6:$A$51*('Cálculos'!$C$290=3)*'Cálculos'!$C$103)+'Cálculos'!$C$206)*('Cálculos'!$C$257+'Cálculos'!$C$124*(1+2.78*('Cálculos'!$C$199+(($C10)-$A$6:$A$51)*'Cálculos'!$C$98)/(('Cálculos'!$C$199+(($C10)-$A$6:$A$51)*'Cálculos'!$C$98)+1400)+'Cálculos'!$C$122)*'Cálculos'!$C$262+'Cálculos'!$C$125*(1+2.78*('Cálculos'!$C$199+(($C10)-$A$6:$A$51)*'Cálculos'!$C$98)/(('Cálculos'!$C$199+(($C10)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10)-$A$6:$A$51)*'Cálculos'!$C$98)/(('Cálculos'!$C$200+(($C10)-$A$6:$A$51)*'Cálculos'!$C$98)+1400)+'Cálculos'!$C$122)*'Cálculos'!$C$274+'Cálculos'!$C$125*(1+2.78*('Cálculos'!$C$200+(($C10)-$A$6:$A$51)*'Cálculos'!$C$98)/(('Cálculos'!$C$200+(($C10)-$A$6:$A$51)*'Cálculos'!$C$98)+1400)+'Cálculos'!$C$123)*'Cálculos'!$C$279)+('Cálculos'!$C$200+(($C10)-$A$6:$A$51)*'Cálculos'!$C$98)*('Cálculos'!$C$270+'Cálculos'!$C$124*(1+2.78*('Cálculos'!$C$200+(($C10)-$A$6:$A$51)*'Cálculos'!$C$98)/(('Cálculos'!$C$200+(($C10)-$A$6:$A$51)*'Cálculos'!$C$98)+1400)+'Cálculos'!$C$122)*'Cálculos'!$C$275+'Cálculos'!$C$125*(1+2.78*('Cálculos'!$C$200+(($C10)-$A$6:$A$51)*'Cálculos'!$C$98)/(('Cálculos'!$C$200+(($C10)-$A$6:$A$51)*'Cálculos'!$C$98)+1400)+'Cálculos'!$C$123)*'Cálculos'!$C$280)+('Cálculos'!$C$201*(1+'Cálculos'!$C$202+$A$6:$A$51*('Cálculos'!$C$290=2)*'Cálculos'!$C$101)+'Cálculos'!$C$203)*('Cálculos'!$C$271+'Cálculos'!$C$124*(1+2.78*('Cálculos'!$C$200+(($C10)-$A$6:$A$51)*'Cálculos'!$C$98)/(('Cálculos'!$C$200+(($C10)-$A$6:$A$51)*'Cálculos'!$C$98)+1400)+'Cálculos'!$C$122)*'Cálculos'!$C$276+'Cálculos'!$C$125*(1+2.78*('Cálculos'!$C$200+(($C10)-$A$6:$A$51)*'Cálculos'!$C$98)/(('Cálculos'!$C$200+(($C10)-$A$6:$A$51)*'Cálculos'!$C$98)+1400)+'Cálculos'!$C$123)*'Cálculos'!$C$281)+('Cálculos'!$C$204*(1+'Cálculos'!$C$205+$A$6:$A$51*('Cálculos'!$C$290=3)*'Cálculos'!$C$103)+'Cálculos'!$C$206)*('Cálculos'!$C$272+'Cálculos'!$C$124*(1+2.78*('Cálculos'!$C$200+(($C10)-$A$6:$A$51)*'Cálculos'!$C$98)/(('Cálculos'!$C$200+(($C10)-$A$6:$A$51)*'Cálculos'!$C$98)+1400)+'Cálculos'!$C$122)*'Cálculos'!$C$277+'Cálculos'!$C$125*(1+2.78*('Cálculos'!$C$200+(($C10)-$A$6:$A$51)*'Cálculos'!$C$98)/(('Cálculos'!$C$200+(($C10)-$A$6:$A$51)*'Cálculos'!$C$98)+1400)+'Cálculos'!$C$123)*'Cálculos'!$C$282)))))</f>
        <v>1234700.971</v>
      </c>
      <c r="E10" s="32">
        <f>IF(OR($C10&lt;0,'Cálculos'!$C$6=""),0,$B10*$D10)</f>
        <v>3095276.804</v>
      </c>
      <c r="F10" s="2"/>
      <c r="G10" s="30">
        <f>($A10&lt;=$B$53)*($A10&lt;='Cálculos'!$C$294)*(($B$53)-$A10&lt;='Cálculos'!$C$295)*(1+MIN(('Cálculos'!$C$207+$A10*'Cálculos'!$C$95),1)*('Cálculos'!$C$208+(($B$53)-$A10)*'Cálculos'!$C$96))</f>
        <v>3.10724</v>
      </c>
      <c r="H10" s="31">
        <f>IF($B$54&lt;0,0,($A10&lt;=$B$54)*($A10&lt;='Cálculos'!$C$301)*(($B$54)-$A10&lt;='Cálculos'!$C$297)*(('Cálculos'!$C$185*(1+'Cálculos'!$C$186+$A10*('Cálculos'!$C$290=1)*'Cálculos'!$C$97+'Cálculos'!$C$305)+'Cálculos'!$C$191)*('Cálculos'!$C$209+'Cálculos'!$C$124*(1+2.78*('Cálculos'!$C$196+(($B$54)-$A10)*'Cálculos'!$C$98)/(('Cálculos'!$C$196+(($B$54)-$A10)*'Cálculos'!$C$98)+1400)+'Cálculos'!$C$122)*'Cálculos'!$C$214+'Cálculos'!$C$125*(1+2.78*('Cálculos'!$C$196+(($B$54)-$A10)*'Cálculos'!$C$98)/(('Cálculos'!$C$196+(($B$54)-$A10)*'Cálculos'!$C$98)+1400)+'Cálculos'!$C$123)*'Cálculos'!$C$219)+('Cálculos'!$C$196+(($B$54)-$A10)*'Cálculos'!$C$98)*('Cálculos'!$C$210+'Cálculos'!$C$124*(1+2.78*('Cálculos'!$C$196+(($B$54)-$A10)*'Cálculos'!$C$98)/(('Cálculos'!$C$196+(($B$54)-$A10)*'Cálculos'!$C$98)+1400)+'Cálculos'!$C$122)*'Cálculos'!$C$215+'Cálculos'!$C$125*(1+2.78*('Cálculos'!$C$196+(($B$54)-$A10)*'Cálculos'!$C$98)/(('Cálculos'!$C$196+(($B$54)-$A10)*'Cálculos'!$C$98)+1400)+'Cálculos'!$C$123)*'Cálculos'!$C$220)+('Cálculos'!$C$201*(1+'Cálculos'!$C$202+$A10*('Cálculos'!$C$290=2)*'Cálculos'!$C$101)+'Cálculos'!$C$203)*('Cálculos'!$C$211+'Cálculos'!$C$124*(1+2.78*('Cálculos'!$C$196+(($B$54)-$A10)*'Cálculos'!$C$98)/(('Cálculos'!$C$196+(($B$54)-$A10)*'Cálculos'!$C$98)+1400)+'Cálculos'!$C$122)*'Cálculos'!$C$216+'Cálculos'!$C$125*(1+2.78*('Cálculos'!$C$196+(($B$54)-$A10)*'Cálculos'!$C$98)/(('Cálculos'!$C$196+(($B$54)-$A10)*'Cálculos'!$C$98)+1400)+'Cálculos'!$C$123)*'Cálculos'!$C$221)+('Cálculos'!$C$204*(1+'Cálculos'!$C$205+$A10*('Cálculos'!$C$290=3)*'Cálculos'!$C$103)+'Cálculos'!$C$206)*('Cálculos'!$C$212+'Cálculos'!$C$124*(1+2.78*('Cálculos'!$C$196+(($B$54)-$A10)*'Cálculos'!$C$98)/(('Cálculos'!$C$196+(($B$54)-$A10)*'Cálculos'!$C$98)+1400)+'Cálculos'!$C$122)*'Cálculos'!$C$217+'Cálculos'!$C$125*(1+2.78*('Cálculos'!$C$196+(($B$54)-$A10)*'Cálculos'!$C$98)/(('Cálculos'!$C$196+(($B$54)-$A10)*'Cálculos'!$C$98)+1400)+'Cálculos'!$C$123)*'Cálculos'!$C$222)+('Cálculos'!$C$185*(1+'Cálculos'!$C$187+$A10*('Cálculos'!$C$290=1)*'Cálculos'!$C$97+'Cálculos'!$C$305)+'Cálculos'!$C$192)*('Cálculos'!$C$224+'Cálculos'!$C$124*(1+2.78*('Cálculos'!$C$197+(($B$54)-$A10)*'Cálculos'!$C$98)/(('Cálculos'!$C$197+(($B$54)-$A10)*'Cálculos'!$C$98)+1400)+'Cálculos'!$C$122)*'Cálculos'!$C$229+'Cálculos'!$C$125*(1+2.78*('Cálculos'!$C$197+(($B$54)-$A10)*'Cálculos'!$C$98)/(('Cálculos'!$C$197+(($B$54)-$A10)*'Cálculos'!$C$98)+1400)+'Cálculos'!$C$123)*'Cálculos'!$C$234)+('Cálculos'!$C$197+(($B$54)-$A10)*'Cálculos'!$C$98)*('Cálculos'!$C$225+'Cálculos'!$C$124*(1+2.78*('Cálculos'!$C$197+(($B$54)-$A10)*'Cálculos'!$C$98)/(('Cálculos'!$C$197+(($B$54)-$A10)*'Cálculos'!$C$98)+1400)+'Cálculos'!$C$122)*'Cálculos'!$C$230+'Cálculos'!$C$125*(1+2.78*('Cálculos'!$C$197+(($B$54)-$A10)*'Cálculos'!$C$98)/(('Cálculos'!$C$197+(($B$54)-$A10)*'Cálculos'!$C$98)+1400)+'Cálculos'!$C$123)*'Cálculos'!$C$235)+('Cálculos'!$C$201*(1+'Cálculos'!$C$202+$A10*('Cálculos'!$C$290=2)*'Cálculos'!$C$101)+'Cálculos'!$C$203)*('Cálculos'!$C$226+'Cálculos'!$C$124*(1+2.78*('Cálculos'!$C$197+(($B$54)-$A10)*'Cálculos'!$C$98)/(('Cálculos'!$C$197+(($B$54)-$A10)*'Cálculos'!$C$98)+1400)+'Cálculos'!$C$122)*'Cálculos'!$C$231+'Cálculos'!$C$125*(1+2.78*('Cálculos'!$C$197+(($B$54)-$A10)*'Cálculos'!$C$98)/(('Cálculos'!$C$197+(($B$54)-$A10)*'Cálculos'!$C$98)+1400)+'Cálculos'!$C$123)*'Cálculos'!$C$236)+('Cálculos'!$C$204*(1+'Cálculos'!$C$205+$A10*('Cálculos'!$C$290=3)*'Cálculos'!$C$103)+'Cálculos'!$C$206)*('Cálculos'!$C$227+'Cálculos'!$C$124*(1+2.78*('Cálculos'!$C$197+(($B$54)-$A10)*'Cálculos'!$C$98)/(('Cálculos'!$C$197+(($B$54)-$A10)*'Cálculos'!$C$98)+1400)+'Cálculos'!$C$122)*'Cálculos'!$C$232+'Cálculos'!$C$125*(1+2.78*('Cálculos'!$C$197+(($B$54)-$A10)*'Cálculos'!$C$98)/(('Cálculos'!$C$197+(($B$54)-$A10)*'Cálculos'!$C$98)+1400)+'Cálculos'!$C$123)*'Cálculos'!$C$237)+('Cálculos'!$C$185*(1+'Cálculos'!$C$188+$A10*('Cálculos'!$C$290=1)*'Cálculos'!$C$97+'Cálculos'!$C$305)+'Cálculos'!$C$193)*('Cálculos'!$C$239+'Cálculos'!$C$124*(1+2.78*('Cálculos'!$C$198+(($B$54)-$A10)*'Cálculos'!$C$98)/(('Cálculos'!$C$198+(($B$54)-$A10)*'Cálculos'!$C$98)+1400)+'Cálculos'!$C$122)*'Cálculos'!$C$244+'Cálculos'!$C$125*(1+2.78*('Cálculos'!$C$198+(($B$54)-$A10)*'Cálculos'!$C$98)/(('Cálculos'!$C$198+(($B$54)-$A10)*'Cálculos'!$C$98)+1400)+'Cálculos'!$C$123)*'Cálculos'!$C$249)+('Cálculos'!$C$198+(($B$54)-$A10)*'Cálculos'!$C$98)*('Cálculos'!$C$240+'Cálculos'!$C$124*(1+2.78*('Cálculos'!$C$198+(($B$54)-$A10)*'Cálculos'!$C$98)/(('Cálculos'!$C$198+(($B$54)-$A10)*'Cálculos'!$C$98)+1400)+'Cálculos'!$C$122)*'Cálculos'!$C$245+'Cálculos'!$C$125*(1+2.78*('Cálculos'!$C$198+(($B$54)-$A10)*'Cálculos'!$C$98)/(('Cálculos'!$C$198+(($B$54)-$A10)*'Cálculos'!$C$98)+1400)+'Cálculos'!$C$123)*'Cálculos'!$C$250)+('Cálculos'!$C$201*(1+'Cálculos'!$C$202+$A10*('Cálculos'!$C$290=2)*'Cálculos'!$C$101)+'Cálculos'!$C$203)*('Cálculos'!$C$241+'Cálculos'!$C$124*(1+2.78*('Cálculos'!$C$198+(($B$54)-$A10)*'Cálculos'!$C$98)/(('Cálculos'!$C$198+(($B$54)-$A10)*'Cálculos'!$C$98)+1400)+'Cálculos'!$C$122)*'Cálculos'!$C$246+'Cálculos'!$C$125*(1+2.78*('Cálculos'!$C$198+(($B$54)-$A10)*'Cálculos'!$C$98)/(('Cálculos'!$C$198+(($B$54)-$A10)*'Cálculos'!$C$98)+1400)+'Cálculos'!$C$123)*'Cálculos'!$C$251)+('Cálculos'!$C$204*(1+'Cálculos'!$C$205+$A10*('Cálculos'!$C$290=3)*'Cálculos'!$C$103)+'Cálculos'!$C$206)*('Cálculos'!$C$242+'Cálculos'!$C$124*(1+2.78*('Cálculos'!$C$198+(($B$54)-$A10)*'Cálculos'!$C$98)/(('Cálculos'!$C$198+(($B$54)-$A10)*'Cálculos'!$C$98)+1400)+'Cálculos'!$C$122)*'Cálculos'!$C$247+'Cálculos'!$C$125*(1+2.78*('Cálculos'!$C$198+(($B$54)-$A10)*'Cálculos'!$C$98)/(('Cálculos'!$C$198+(($B$54)-$A10)*'Cálculos'!$C$98)+1400)+'Cálculos'!$C$123)*'Cálculos'!$C$252)+('Cálculos'!$C$185*(1+'Cálculos'!$C$189+$A10*('Cálculos'!$C$290=1)*'Cálculos'!$C$97+'Cálculos'!$C$305)+'Cálculos'!$C$194)*('Cálculos'!$C$254+'Cálculos'!$C$124*(1+2.78*('Cálculos'!$C$199+(($B$54)-$A10)*'Cálculos'!$C$98)/(('Cálculos'!$C$199+(($B$54)-$A10)*'Cálculos'!$C$98)+1400)+'Cálculos'!$C$122)*'Cálculos'!$C$259+'Cálculos'!$C$125*(1+2.78*('Cálculos'!$C$199+(($B$54)-$A10)*'Cálculos'!$C$98)/(('Cálculos'!$C$199+(($B$54)-$A10)*'Cálculos'!$C$98)+1400)+'Cálculos'!$C$123)*'Cálculos'!$C$264)+('Cálculos'!$C$199+(($B$54)-$A10)*'Cálculos'!$C$98)*('Cálculos'!$C$255+'Cálculos'!$C$124*(1+2.78*('Cálculos'!$C$199+(($B$54)-$A10)*'Cálculos'!$C$98)/(('Cálculos'!$C$199+(($B$54)-$A10)*'Cálculos'!$C$98)+1400)+'Cálculos'!$C$122)*'Cálculos'!$C$260+'Cálculos'!$C$125*(1+2.78*('Cálculos'!$C$199+(($B$54)-$A10)*'Cálculos'!$C$98)/(('Cálculos'!$C$199+(($B$54)-$A10)*'Cálculos'!$C$98)+1400)+'Cálculos'!$C$123)*'Cálculos'!$C$265)+('Cálculos'!$C$201*(1+'Cálculos'!$C$202+$A10*('Cálculos'!$C$290=2)*'Cálculos'!$C$101)+'Cálculos'!$C$203)*('Cálculos'!$C$256+'Cálculos'!$C$124*(1+2.78*('Cálculos'!$C$199+(($B$54)-$A10)*'Cálculos'!$C$98)/(('Cálculos'!$C$199+(($B$54)-$A10)*'Cálculos'!$C$98)+1400)+'Cálculos'!$C$122)*'Cálculos'!$C$261+'Cálculos'!$C$125*(1+2.78*('Cálculos'!$C$199+(($B$54)-$A10)*'Cálculos'!$C$98)/(('Cálculos'!$C$199+(($B$54)-$A10)*'Cálculos'!$C$98)+1400)+'Cálculos'!$C$123)*'Cálculos'!$C$266)+('Cálculos'!$C$204*(1+'Cálculos'!$C$205+$A10*('Cálculos'!$C$290=3)*'Cálculos'!$C$103)+'Cálculos'!$C$206)*('Cálculos'!$C$257+'Cálculos'!$C$124*(1+2.78*('Cálculos'!$C$199+(($B$54)-$A10)*'Cálculos'!$C$98)/(('Cálculos'!$C$199+(($B$54)-$A10)*'Cálculos'!$C$98)+1400)+'Cálculos'!$C$122)*'Cálculos'!$C$262+'Cálculos'!$C$125*(1+2.78*('Cálculos'!$C$199+(($B$54)-$A10)*'Cálculos'!$C$98)/(('Cálculos'!$C$199+(($B$54)-$A10)*'Cálculos'!$C$98)+1400)+'Cálculos'!$C$123)*'Cálculos'!$C$267)+('Cálculos'!$C$185*(1+'Cálculos'!$C$190+$A10*('Cálculos'!$C$290=1)*'Cálculos'!$C$97+'Cálculos'!$C$305)+'Cálculos'!$C$195)*('Cálculos'!$C$269+'Cálculos'!$C$124*(1+2.78*('Cálculos'!$C$200+(($B$54)-$A10)*'Cálculos'!$C$98)/(('Cálculos'!$C$200+(($B$54)-$A10)*'Cálculos'!$C$98)+1400)+'Cálculos'!$C$122)*'Cálculos'!$C$274+'Cálculos'!$C$125*(1+2.78*('Cálculos'!$C$200+(($B$54)-$A10)*'Cálculos'!$C$98)/(('Cálculos'!$C$200+(($B$54)-$A10)*'Cálculos'!$C$98)+1400)+'Cálculos'!$C$123)*'Cálculos'!$C$279)+('Cálculos'!$C$200+(($B$54)-$A10)*'Cálculos'!$C$98)*('Cálculos'!$C$270+'Cálculos'!$C$124*(1+2.78*('Cálculos'!$C$200+(($B$54)-$A10)*'Cálculos'!$C$98)/(('Cálculos'!$C$200+(($B$54)-$A10)*'Cálculos'!$C$98)+1400)+'Cálculos'!$C$122)*'Cálculos'!$C$275+'Cálculos'!$C$125*(1+2.78*('Cálculos'!$C$200+(($B$54)-$A10)*'Cálculos'!$C$98)/(('Cálculos'!$C$200+(($B$54)-$A10)*'Cálculos'!$C$98)+1400)+'Cálculos'!$C$123)*'Cálculos'!$C$280)+('Cálculos'!$C$201*(1+'Cálculos'!$C$202+$A10*('Cálculos'!$C$290=2)*'Cálculos'!$C$101)+'Cálculos'!$C$203)*('Cálculos'!$C$271+'Cálculos'!$C$124*(1+2.78*('Cálculos'!$C$200+(($B$54)-$A10)*'Cálculos'!$C$98)/(('Cálculos'!$C$200+(($B$54)-$A10)*'Cálculos'!$C$98)+1400)+'Cálculos'!$C$122)*'Cálculos'!$C$276+'Cálculos'!$C$125*(1+2.78*('Cálculos'!$C$200+(($B$54)-$A10)*'Cálculos'!$C$98)/(('Cálculos'!$C$200+(($B$54)-$A10)*'Cálculos'!$C$98)+1400)+'Cálculos'!$C$123)*'Cálculos'!$C$281)+('Cálculos'!$C$204*(1+'Cálculos'!$C$205+$A10*('Cálculos'!$C$290=3)*'Cálculos'!$C$103)+'Cálculos'!$C$206)*('Cálculos'!$C$272+'Cálculos'!$C$124*(1+2.78*('Cálculos'!$C$200+(($B$54)-$A10)*'Cálculos'!$C$98)/(('Cálculos'!$C$200+(($B$54)-$A10)*'Cálculos'!$C$98)+1400)+'Cálculos'!$C$122)*'Cálculos'!$C$277+'Cálculos'!$C$125*(1+2.78*('Cálculos'!$C$200+(($B$54)-$A10)*'Cálculos'!$C$98)/(('Cálculos'!$C$200+(($B$54)-$A10)*'Cálculos'!$C$98)+1400)+'Cálculos'!$C$123)*'Cálculos'!$C$282)))</f>
        <v>1085656.507</v>
      </c>
    </row>
    <row r="11">
      <c r="A11" s="2">
        <v>5.0</v>
      </c>
      <c r="B11" s="30">
        <f>SUMPRODUCT(MAX(($A$6:$A$51&lt;=$A11)*($A$6:$A$51&lt;='Cálculos'!$C$294)*(($A11)-$A$6:$A$51&lt;='Cálculos'!$C$295)*(1+(('Cálculos'!$C$207+$A$6:$A$51*'Cálculos'!$C$95)-(('Cálculos'!$C$207+$A$6:$A$51*'Cálculos'!$C$95)&gt;1)*(('Cálculos'!$C$207+$A$6:$A$51*'Cálculos'!$C$95)-1))*('Cálculos'!$C$208+(($A11)-$A$6:$A$51)*'Cálculos'!$C$96))))</f>
        <v>2.572508</v>
      </c>
      <c r="C11" s="2">
        <f>'Cálculos'!$C$303-$A11</f>
        <v>15</v>
      </c>
      <c r="D11" s="31">
        <f>IF($C11&lt;0,0,SUMPRODUCT(MAX(($A$6:$A$51&lt;=$C11)*($A$6:$A$51&lt;='Cálculos'!$C$301)*(($C11)-$A$6:$A$51&lt;='Cálculos'!$C$297)*(('Cálculos'!$C$185*(1+'Cálculos'!$C$186+$A$6:$A$51*('Cálculos'!$C$290=1)*'Cálculos'!$C$97+'Cálculos'!$C$305)+'Cálculos'!$C$191)*('Cálculos'!$C$209+'Cálculos'!$C$124*(1+2.78*('Cálculos'!$C$196+(($C11)-$A$6:$A$51)*'Cálculos'!$C$98)/(('Cálculos'!$C$196+(($C11)-$A$6:$A$51)*'Cálculos'!$C$98)+1400)+'Cálculos'!$C$122)*'Cálculos'!$C$214+'Cálculos'!$C$125*(1+2.78*('Cálculos'!$C$196+(($C11)-$A$6:$A$51)*'Cálculos'!$C$98)/(('Cálculos'!$C$196+(($C11)-$A$6:$A$51)*'Cálculos'!$C$98)+1400)+'Cálculos'!$C$123)*'Cálculos'!$C$219)+('Cálculos'!$C$196+(($C11)-$A$6:$A$51)*'Cálculos'!$C$98)*('Cálculos'!$C$210+'Cálculos'!$C$124*(1+2.78*('Cálculos'!$C$196+(($C11)-$A$6:$A$51)*'Cálculos'!$C$98)/(('Cálculos'!$C$196+(($C11)-$A$6:$A$51)*'Cálculos'!$C$98)+1400)+'Cálculos'!$C$122)*'Cálculos'!$C$215+'Cálculos'!$C$125*(1+2.78*('Cálculos'!$C$196+(($C11)-$A$6:$A$51)*'Cálculos'!$C$98)/(('Cálculos'!$C$196+(($C11)-$A$6:$A$51)*'Cálculos'!$C$98)+1400)+'Cálculos'!$C$123)*'Cálculos'!$C$220)+('Cálculos'!$C$201*(1+'Cálculos'!$C$202+$A$6:$A$51*('Cálculos'!$C$290=2)*'Cálculos'!$C$101)+'Cálculos'!$C$203)*('Cálculos'!$C$211+'Cálculos'!$C$124*(1+2.78*('Cálculos'!$C$196+(($C11)-$A$6:$A$51)*'Cálculos'!$C$98)/(('Cálculos'!$C$196+(($C11)-$A$6:$A$51)*'Cálculos'!$C$98)+1400)+'Cálculos'!$C$122)*'Cálculos'!$C$216+'Cálculos'!$C$125*(1+2.78*('Cálculos'!$C$196+(($C11)-$A$6:$A$51)*'Cálculos'!$C$98)/(('Cálculos'!$C$196+(($C11)-$A$6:$A$51)*'Cálculos'!$C$98)+1400)+'Cálculos'!$C$123)*'Cálculos'!$C$221)+('Cálculos'!$C$204*(1+'Cálculos'!$C$205+$A$6:$A$51*('Cálculos'!$C$290=3)*'Cálculos'!$C$103)+'Cálculos'!$C$206)*('Cálculos'!$C$212+'Cálculos'!$C$124*(1+2.78*('Cálculos'!$C$196+(($C11)-$A$6:$A$51)*'Cálculos'!$C$98)/(('Cálculos'!$C$196+(($C11)-$A$6:$A$51)*'Cálculos'!$C$98)+1400)+'Cálculos'!$C$122)*'Cálculos'!$C$217+'Cálculos'!$C$125*(1+2.78*('Cálculos'!$C$196+(($C11)-$A$6:$A$51)*'Cálculos'!$C$98)/(('Cálculos'!$C$196+(($C11)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11)-$A$6:$A$51)*'Cálculos'!$C$98)/(('Cálculos'!$C$197+(($C11)-$A$6:$A$51)*'Cálculos'!$C$98)+1400)+'Cálculos'!$C$122)*'Cálculos'!$C$229+'Cálculos'!$C$125*(1+2.78*('Cálculos'!$C$197+(($C11)-$A$6:$A$51)*'Cálculos'!$C$98)/(('Cálculos'!$C$197+(($C11)-$A$6:$A$51)*'Cálculos'!$C$98)+1400)+'Cálculos'!$C$123)*'Cálculos'!$C$234)+('Cálculos'!$C$197+(($C11)-$A$6:$A$51)*'Cálculos'!$C$98)*('Cálculos'!$C$225+'Cálculos'!$C$124*(1+2.78*('Cálculos'!$C$197+(($C11)-$A$6:$A$51)*'Cálculos'!$C$98)/(('Cálculos'!$C$197+(($C11)-$A$6:$A$51)*'Cálculos'!$C$98)+1400)+'Cálculos'!$C$122)*'Cálculos'!$C$230+'Cálculos'!$C$125*(1+2.78*('Cálculos'!$C$197+(($C11)-$A$6:$A$51)*'Cálculos'!$C$98)/(('Cálculos'!$C$197+(($C11)-$A$6:$A$51)*'Cálculos'!$C$98)+1400)+'Cálculos'!$C$123)*'Cálculos'!$C$235)+('Cálculos'!$C$201*(1+'Cálculos'!$C$202+$A$6:$A$51*('Cálculos'!$C$290=2)*'Cálculos'!$C$101)+'Cálculos'!$C$203)*('Cálculos'!$C$226+'Cálculos'!$C$124*(1+2.78*('Cálculos'!$C$197+(($C11)-$A$6:$A$51)*'Cálculos'!$C$98)/(('Cálculos'!$C$197+(($C11)-$A$6:$A$51)*'Cálculos'!$C$98)+1400)+'Cálculos'!$C$122)*'Cálculos'!$C$231+'Cálculos'!$C$125*(1+2.78*('Cálculos'!$C$197+(($C11)-$A$6:$A$51)*'Cálculos'!$C$98)/(('Cálculos'!$C$197+(($C11)-$A$6:$A$51)*'Cálculos'!$C$98)+1400)+'Cálculos'!$C$123)*'Cálculos'!$C$236)+('Cálculos'!$C$204*(1+'Cálculos'!$C$205+$A$6:$A$51*('Cálculos'!$C$290=3)*'Cálculos'!$C$103)+'Cálculos'!$C$206)*('Cálculos'!$C$227+'Cálculos'!$C$124*(1+2.78*('Cálculos'!$C$197+(($C11)-$A$6:$A$51)*'Cálculos'!$C$98)/(('Cálculos'!$C$197+(($C11)-$A$6:$A$51)*'Cálculos'!$C$98)+1400)+'Cálculos'!$C$122)*'Cálculos'!$C$232+'Cálculos'!$C$125*(1+2.78*('Cálculos'!$C$197+(($C11)-$A$6:$A$51)*'Cálculos'!$C$98)/(('Cálculos'!$C$197+(($C11)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11)-$A$6:$A$51)*'Cálculos'!$C$98)/(('Cálculos'!$C$198+(($C11)-$A$6:$A$51)*'Cálculos'!$C$98)+1400)+'Cálculos'!$C$122)*'Cálculos'!$C$244+'Cálculos'!$C$125*(1+2.78*('Cálculos'!$C$198+(($C11)-$A$6:$A$51)*'Cálculos'!$C$98)/(('Cálculos'!$C$198+(($C11)-$A$6:$A$51)*'Cálculos'!$C$98)+1400)+'Cálculos'!$C$123)*'Cálculos'!$C$249)+('Cálculos'!$C$198+(($C11)-$A$6:$A$51)*'Cálculos'!$C$98)*('Cálculos'!$C$240+'Cálculos'!$C$124*(1+2.78*('Cálculos'!$C$198+(($C11)-$A$6:$A$51)*'Cálculos'!$C$98)/(('Cálculos'!$C$198+(($C11)-$A$6:$A$51)*'Cálculos'!$C$98)+1400)+'Cálculos'!$C$122)*'Cálculos'!$C$245+'Cálculos'!$C$125*(1+2.78*('Cálculos'!$C$198+(($C11)-$A$6:$A$51)*'Cálculos'!$C$98)/(('Cálculos'!$C$198+(($C11)-$A$6:$A$51)*'Cálculos'!$C$98)+1400)+'Cálculos'!$C$123)*'Cálculos'!$C$250)+('Cálculos'!$C$201*(1+'Cálculos'!$C$202+$A$6:$A$51*('Cálculos'!$C$290=2)*'Cálculos'!$C$101)+'Cálculos'!$C$203)*('Cálculos'!$C$241+'Cálculos'!$C$124*(1+2.78*('Cálculos'!$C$198+(($C11)-$A$6:$A$51)*'Cálculos'!$C$98)/(('Cálculos'!$C$198+(($C11)-$A$6:$A$51)*'Cálculos'!$C$98)+1400)+'Cálculos'!$C$122)*'Cálculos'!$C$246+'Cálculos'!$C$125*(1+2.78*('Cálculos'!$C$198+(($C11)-$A$6:$A$51)*'Cálculos'!$C$98)/(('Cálculos'!$C$198+(($C11)-$A$6:$A$51)*'Cálculos'!$C$98)+1400)+'Cálculos'!$C$123)*'Cálculos'!$C$251)+('Cálculos'!$C$204*(1+'Cálculos'!$C$205+$A$6:$A$51*('Cálculos'!$C$290=3)*'Cálculos'!$C$103)+'Cálculos'!$C$206)*('Cálculos'!$C$242+'Cálculos'!$C$124*(1+2.78*('Cálculos'!$C$198+(($C11)-$A$6:$A$51)*'Cálculos'!$C$98)/(('Cálculos'!$C$198+(($C11)-$A$6:$A$51)*'Cálculos'!$C$98)+1400)+'Cálculos'!$C$122)*'Cálculos'!$C$247+'Cálculos'!$C$125*(1+2.78*('Cálculos'!$C$198+(($C11)-$A$6:$A$51)*'Cálculos'!$C$98)/(('Cálculos'!$C$198+(($C11)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11)-$A$6:$A$51)*'Cálculos'!$C$98)/(('Cálculos'!$C$199+(($C11)-$A$6:$A$51)*'Cálculos'!$C$98)+1400)+'Cálculos'!$C$122)*'Cálculos'!$C$259+'Cálculos'!$C$125*(1+2.78*('Cálculos'!$C$199+(($C11)-$A$6:$A$51)*'Cálculos'!$C$98)/(('Cálculos'!$C$199+(($C11)-$A$6:$A$51)*'Cálculos'!$C$98)+1400)+'Cálculos'!$C$123)*'Cálculos'!$C$264)+('Cálculos'!$C$199+(($C11)-$A$6:$A$51)*'Cálculos'!$C$98)*('Cálculos'!$C$255+'Cálculos'!$C$124*(1+2.78*('Cálculos'!$C$199+(($C11)-$A$6:$A$51)*'Cálculos'!$C$98)/(('Cálculos'!$C$199+(($C11)-$A$6:$A$51)*'Cálculos'!$C$98)+1400)+'Cálculos'!$C$122)*'Cálculos'!$C$260+'Cálculos'!$C$125*(1+2.78*('Cálculos'!$C$199+(($C11)-$A$6:$A$51)*'Cálculos'!$C$98)/(('Cálculos'!$C$199+(($C11)-$A$6:$A$51)*'Cálculos'!$C$98)+1400)+'Cálculos'!$C$123)*'Cálculos'!$C$265)+('Cálculos'!$C$201*(1+'Cálculos'!$C$202+$A$6:$A$51*('Cálculos'!$C$290=2)*'Cálculos'!$C$101)+'Cálculos'!$C$203)*('Cálculos'!$C$256+'Cálculos'!$C$124*(1+2.78*('Cálculos'!$C$199+(($C11)-$A$6:$A$51)*'Cálculos'!$C$98)/(('Cálculos'!$C$199+(($C11)-$A$6:$A$51)*'Cálculos'!$C$98)+1400)+'Cálculos'!$C$122)*'Cálculos'!$C$261+'Cálculos'!$C$125*(1+2.78*('Cálculos'!$C$199+(($C11)-$A$6:$A$51)*'Cálculos'!$C$98)/(('Cálculos'!$C$199+(($C11)-$A$6:$A$51)*'Cálculos'!$C$98)+1400)+'Cálculos'!$C$123)*'Cálculos'!$C$266)+('Cálculos'!$C$204*(1+'Cálculos'!$C$205+$A$6:$A$51*('Cálculos'!$C$290=3)*'Cálculos'!$C$103)+'Cálculos'!$C$206)*('Cálculos'!$C$257+'Cálculos'!$C$124*(1+2.78*('Cálculos'!$C$199+(($C11)-$A$6:$A$51)*'Cálculos'!$C$98)/(('Cálculos'!$C$199+(($C11)-$A$6:$A$51)*'Cálculos'!$C$98)+1400)+'Cálculos'!$C$122)*'Cálculos'!$C$262+'Cálculos'!$C$125*(1+2.78*('Cálculos'!$C$199+(($C11)-$A$6:$A$51)*'Cálculos'!$C$98)/(('Cálculos'!$C$199+(($C11)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11)-$A$6:$A$51)*'Cálculos'!$C$98)/(('Cálculos'!$C$200+(($C11)-$A$6:$A$51)*'Cálculos'!$C$98)+1400)+'Cálculos'!$C$122)*'Cálculos'!$C$274+'Cálculos'!$C$125*(1+2.78*('Cálculos'!$C$200+(($C11)-$A$6:$A$51)*'Cálculos'!$C$98)/(('Cálculos'!$C$200+(($C11)-$A$6:$A$51)*'Cálculos'!$C$98)+1400)+'Cálculos'!$C$123)*'Cálculos'!$C$279)+('Cálculos'!$C$200+(($C11)-$A$6:$A$51)*'Cálculos'!$C$98)*('Cálculos'!$C$270+'Cálculos'!$C$124*(1+2.78*('Cálculos'!$C$200+(($C11)-$A$6:$A$51)*'Cálculos'!$C$98)/(('Cálculos'!$C$200+(($C11)-$A$6:$A$51)*'Cálculos'!$C$98)+1400)+'Cálculos'!$C$122)*'Cálculos'!$C$275+'Cálculos'!$C$125*(1+2.78*('Cálculos'!$C$200+(($C11)-$A$6:$A$51)*'Cálculos'!$C$98)/(('Cálculos'!$C$200+(($C11)-$A$6:$A$51)*'Cálculos'!$C$98)+1400)+'Cálculos'!$C$123)*'Cálculos'!$C$280)+('Cálculos'!$C$201*(1+'Cálculos'!$C$202+$A$6:$A$51*('Cálculos'!$C$290=2)*'Cálculos'!$C$101)+'Cálculos'!$C$203)*('Cálculos'!$C$271+'Cálculos'!$C$124*(1+2.78*('Cálculos'!$C$200+(($C11)-$A$6:$A$51)*'Cálculos'!$C$98)/(('Cálculos'!$C$200+(($C11)-$A$6:$A$51)*'Cálculos'!$C$98)+1400)+'Cálculos'!$C$122)*'Cálculos'!$C$276+'Cálculos'!$C$125*(1+2.78*('Cálculos'!$C$200+(($C11)-$A$6:$A$51)*'Cálculos'!$C$98)/(('Cálculos'!$C$200+(($C11)-$A$6:$A$51)*'Cálculos'!$C$98)+1400)+'Cálculos'!$C$123)*'Cálculos'!$C$281)+('Cálculos'!$C$204*(1+'Cálculos'!$C$205+$A$6:$A$51*('Cálculos'!$C$290=3)*'Cálculos'!$C$103)+'Cálculos'!$C$206)*('Cálculos'!$C$272+'Cálculos'!$C$124*(1+2.78*('Cálculos'!$C$200+(($C11)-$A$6:$A$51)*'Cálculos'!$C$98)/(('Cálculos'!$C$200+(($C11)-$A$6:$A$51)*'Cálculos'!$C$98)+1400)+'Cálculos'!$C$122)*'Cálculos'!$C$277+'Cálculos'!$C$125*(1+2.78*('Cálculos'!$C$200+(($C11)-$A$6:$A$51)*'Cálculos'!$C$98)/(('Cálculos'!$C$200+(($C11)-$A$6:$A$51)*'Cálculos'!$C$98)+1400)+'Cálculos'!$C$123)*'Cálculos'!$C$282)))))</f>
        <v>1223344.22</v>
      </c>
      <c r="E11" s="32">
        <f>IF(OR($C11&lt;0,'Cálculos'!$C$6=""),0,$B11*$D11)</f>
        <v>3147062.794</v>
      </c>
      <c r="F11" s="2"/>
      <c r="G11" s="30">
        <f>($A11&lt;=$B$53)*($A11&lt;='Cálculos'!$C$294)*(($B$53)-$A11&lt;='Cálculos'!$C$295)*(1+MIN(('Cálculos'!$C$207+$A11*'Cálculos'!$C$95),1)*('Cálculos'!$C$208+(($B$53)-$A11)*'Cálculos'!$C$96))</f>
        <v>3.146774</v>
      </c>
      <c r="H11" s="31">
        <f>IF($B$54&lt;0,0,($A11&lt;=$B$54)*($A11&lt;='Cálculos'!$C$301)*(($B$54)-$A11&lt;='Cálculos'!$C$297)*(('Cálculos'!$C$185*(1+'Cálculos'!$C$186+$A11*('Cálculos'!$C$290=1)*'Cálculos'!$C$97+'Cálculos'!$C$305)+'Cálculos'!$C$191)*('Cálculos'!$C$209+'Cálculos'!$C$124*(1+2.78*('Cálculos'!$C$196+(($B$54)-$A11)*'Cálculos'!$C$98)/(('Cálculos'!$C$196+(($B$54)-$A11)*'Cálculos'!$C$98)+1400)+'Cálculos'!$C$122)*'Cálculos'!$C$214+'Cálculos'!$C$125*(1+2.78*('Cálculos'!$C$196+(($B$54)-$A11)*'Cálculos'!$C$98)/(('Cálculos'!$C$196+(($B$54)-$A11)*'Cálculos'!$C$98)+1400)+'Cálculos'!$C$123)*'Cálculos'!$C$219)+('Cálculos'!$C$196+(($B$54)-$A11)*'Cálculos'!$C$98)*('Cálculos'!$C$210+'Cálculos'!$C$124*(1+2.78*('Cálculos'!$C$196+(($B$54)-$A11)*'Cálculos'!$C$98)/(('Cálculos'!$C$196+(($B$54)-$A11)*'Cálculos'!$C$98)+1400)+'Cálculos'!$C$122)*'Cálculos'!$C$215+'Cálculos'!$C$125*(1+2.78*('Cálculos'!$C$196+(($B$54)-$A11)*'Cálculos'!$C$98)/(('Cálculos'!$C$196+(($B$54)-$A11)*'Cálculos'!$C$98)+1400)+'Cálculos'!$C$123)*'Cálculos'!$C$220)+('Cálculos'!$C$201*(1+'Cálculos'!$C$202+$A11*('Cálculos'!$C$290=2)*'Cálculos'!$C$101)+'Cálculos'!$C$203)*('Cálculos'!$C$211+'Cálculos'!$C$124*(1+2.78*('Cálculos'!$C$196+(($B$54)-$A11)*'Cálculos'!$C$98)/(('Cálculos'!$C$196+(($B$54)-$A11)*'Cálculos'!$C$98)+1400)+'Cálculos'!$C$122)*'Cálculos'!$C$216+'Cálculos'!$C$125*(1+2.78*('Cálculos'!$C$196+(($B$54)-$A11)*'Cálculos'!$C$98)/(('Cálculos'!$C$196+(($B$54)-$A11)*'Cálculos'!$C$98)+1400)+'Cálculos'!$C$123)*'Cálculos'!$C$221)+('Cálculos'!$C$204*(1+'Cálculos'!$C$205+$A11*('Cálculos'!$C$290=3)*'Cálculos'!$C$103)+'Cálculos'!$C$206)*('Cálculos'!$C$212+'Cálculos'!$C$124*(1+2.78*('Cálculos'!$C$196+(($B$54)-$A11)*'Cálculos'!$C$98)/(('Cálculos'!$C$196+(($B$54)-$A11)*'Cálculos'!$C$98)+1400)+'Cálculos'!$C$122)*'Cálculos'!$C$217+'Cálculos'!$C$125*(1+2.78*('Cálculos'!$C$196+(($B$54)-$A11)*'Cálculos'!$C$98)/(('Cálculos'!$C$196+(($B$54)-$A11)*'Cálculos'!$C$98)+1400)+'Cálculos'!$C$123)*'Cálculos'!$C$222)+('Cálculos'!$C$185*(1+'Cálculos'!$C$187+$A11*('Cálculos'!$C$290=1)*'Cálculos'!$C$97+'Cálculos'!$C$305)+'Cálculos'!$C$192)*('Cálculos'!$C$224+'Cálculos'!$C$124*(1+2.78*('Cálculos'!$C$197+(($B$54)-$A11)*'Cálculos'!$C$98)/(('Cálculos'!$C$197+(($B$54)-$A11)*'Cálculos'!$C$98)+1400)+'Cálculos'!$C$122)*'Cálculos'!$C$229+'Cálculos'!$C$125*(1+2.78*('Cálculos'!$C$197+(($B$54)-$A11)*'Cálculos'!$C$98)/(('Cálculos'!$C$197+(($B$54)-$A11)*'Cálculos'!$C$98)+1400)+'Cálculos'!$C$123)*'Cálculos'!$C$234)+('Cálculos'!$C$197+(($B$54)-$A11)*'Cálculos'!$C$98)*('Cálculos'!$C$225+'Cálculos'!$C$124*(1+2.78*('Cálculos'!$C$197+(($B$54)-$A11)*'Cálculos'!$C$98)/(('Cálculos'!$C$197+(($B$54)-$A11)*'Cálculos'!$C$98)+1400)+'Cálculos'!$C$122)*'Cálculos'!$C$230+'Cálculos'!$C$125*(1+2.78*('Cálculos'!$C$197+(($B$54)-$A11)*'Cálculos'!$C$98)/(('Cálculos'!$C$197+(($B$54)-$A11)*'Cálculos'!$C$98)+1400)+'Cálculos'!$C$123)*'Cálculos'!$C$235)+('Cálculos'!$C$201*(1+'Cálculos'!$C$202+$A11*('Cálculos'!$C$290=2)*'Cálculos'!$C$101)+'Cálculos'!$C$203)*('Cálculos'!$C$226+'Cálculos'!$C$124*(1+2.78*('Cálculos'!$C$197+(($B$54)-$A11)*'Cálculos'!$C$98)/(('Cálculos'!$C$197+(($B$54)-$A11)*'Cálculos'!$C$98)+1400)+'Cálculos'!$C$122)*'Cálculos'!$C$231+'Cálculos'!$C$125*(1+2.78*('Cálculos'!$C$197+(($B$54)-$A11)*'Cálculos'!$C$98)/(('Cálculos'!$C$197+(($B$54)-$A11)*'Cálculos'!$C$98)+1400)+'Cálculos'!$C$123)*'Cálculos'!$C$236)+('Cálculos'!$C$204*(1+'Cálculos'!$C$205+$A11*('Cálculos'!$C$290=3)*'Cálculos'!$C$103)+'Cálculos'!$C$206)*('Cálculos'!$C$227+'Cálculos'!$C$124*(1+2.78*('Cálculos'!$C$197+(($B$54)-$A11)*'Cálculos'!$C$98)/(('Cálculos'!$C$197+(($B$54)-$A11)*'Cálculos'!$C$98)+1400)+'Cálculos'!$C$122)*'Cálculos'!$C$232+'Cálculos'!$C$125*(1+2.78*('Cálculos'!$C$197+(($B$54)-$A11)*'Cálculos'!$C$98)/(('Cálculos'!$C$197+(($B$54)-$A11)*'Cálculos'!$C$98)+1400)+'Cálculos'!$C$123)*'Cálculos'!$C$237)+('Cálculos'!$C$185*(1+'Cálculos'!$C$188+$A11*('Cálculos'!$C$290=1)*'Cálculos'!$C$97+'Cálculos'!$C$305)+'Cálculos'!$C$193)*('Cálculos'!$C$239+'Cálculos'!$C$124*(1+2.78*('Cálculos'!$C$198+(($B$54)-$A11)*'Cálculos'!$C$98)/(('Cálculos'!$C$198+(($B$54)-$A11)*'Cálculos'!$C$98)+1400)+'Cálculos'!$C$122)*'Cálculos'!$C$244+'Cálculos'!$C$125*(1+2.78*('Cálculos'!$C$198+(($B$54)-$A11)*'Cálculos'!$C$98)/(('Cálculos'!$C$198+(($B$54)-$A11)*'Cálculos'!$C$98)+1400)+'Cálculos'!$C$123)*'Cálculos'!$C$249)+('Cálculos'!$C$198+(($B$54)-$A11)*'Cálculos'!$C$98)*('Cálculos'!$C$240+'Cálculos'!$C$124*(1+2.78*('Cálculos'!$C$198+(($B$54)-$A11)*'Cálculos'!$C$98)/(('Cálculos'!$C$198+(($B$54)-$A11)*'Cálculos'!$C$98)+1400)+'Cálculos'!$C$122)*'Cálculos'!$C$245+'Cálculos'!$C$125*(1+2.78*('Cálculos'!$C$198+(($B$54)-$A11)*'Cálculos'!$C$98)/(('Cálculos'!$C$198+(($B$54)-$A11)*'Cálculos'!$C$98)+1400)+'Cálculos'!$C$123)*'Cálculos'!$C$250)+('Cálculos'!$C$201*(1+'Cálculos'!$C$202+$A11*('Cálculos'!$C$290=2)*'Cálculos'!$C$101)+'Cálculos'!$C$203)*('Cálculos'!$C$241+'Cálculos'!$C$124*(1+2.78*('Cálculos'!$C$198+(($B$54)-$A11)*'Cálculos'!$C$98)/(('Cálculos'!$C$198+(($B$54)-$A11)*'Cálculos'!$C$98)+1400)+'Cálculos'!$C$122)*'Cálculos'!$C$246+'Cálculos'!$C$125*(1+2.78*('Cálculos'!$C$198+(($B$54)-$A11)*'Cálculos'!$C$98)/(('Cálculos'!$C$198+(($B$54)-$A11)*'Cálculos'!$C$98)+1400)+'Cálculos'!$C$123)*'Cálculos'!$C$251)+('Cálculos'!$C$204*(1+'Cálculos'!$C$205+$A11*('Cálculos'!$C$290=3)*'Cálculos'!$C$103)+'Cálculos'!$C$206)*('Cálculos'!$C$242+'Cálculos'!$C$124*(1+2.78*('Cálculos'!$C$198+(($B$54)-$A11)*'Cálculos'!$C$98)/(('Cálculos'!$C$198+(($B$54)-$A11)*'Cálculos'!$C$98)+1400)+'Cálculos'!$C$122)*'Cálculos'!$C$247+'Cálculos'!$C$125*(1+2.78*('Cálculos'!$C$198+(($B$54)-$A11)*'Cálculos'!$C$98)/(('Cálculos'!$C$198+(($B$54)-$A11)*'Cálculos'!$C$98)+1400)+'Cálculos'!$C$123)*'Cálculos'!$C$252)+('Cálculos'!$C$185*(1+'Cálculos'!$C$189+$A11*('Cálculos'!$C$290=1)*'Cálculos'!$C$97+'Cálculos'!$C$305)+'Cálculos'!$C$194)*('Cálculos'!$C$254+'Cálculos'!$C$124*(1+2.78*('Cálculos'!$C$199+(($B$54)-$A11)*'Cálculos'!$C$98)/(('Cálculos'!$C$199+(($B$54)-$A11)*'Cálculos'!$C$98)+1400)+'Cálculos'!$C$122)*'Cálculos'!$C$259+'Cálculos'!$C$125*(1+2.78*('Cálculos'!$C$199+(($B$54)-$A11)*'Cálculos'!$C$98)/(('Cálculos'!$C$199+(($B$54)-$A11)*'Cálculos'!$C$98)+1400)+'Cálculos'!$C$123)*'Cálculos'!$C$264)+('Cálculos'!$C$199+(($B$54)-$A11)*'Cálculos'!$C$98)*('Cálculos'!$C$255+'Cálculos'!$C$124*(1+2.78*('Cálculos'!$C$199+(($B$54)-$A11)*'Cálculos'!$C$98)/(('Cálculos'!$C$199+(($B$54)-$A11)*'Cálculos'!$C$98)+1400)+'Cálculos'!$C$122)*'Cálculos'!$C$260+'Cálculos'!$C$125*(1+2.78*('Cálculos'!$C$199+(($B$54)-$A11)*'Cálculos'!$C$98)/(('Cálculos'!$C$199+(($B$54)-$A11)*'Cálculos'!$C$98)+1400)+'Cálculos'!$C$123)*'Cálculos'!$C$265)+('Cálculos'!$C$201*(1+'Cálculos'!$C$202+$A11*('Cálculos'!$C$290=2)*'Cálculos'!$C$101)+'Cálculos'!$C$203)*('Cálculos'!$C$256+'Cálculos'!$C$124*(1+2.78*('Cálculos'!$C$199+(($B$54)-$A11)*'Cálculos'!$C$98)/(('Cálculos'!$C$199+(($B$54)-$A11)*'Cálculos'!$C$98)+1400)+'Cálculos'!$C$122)*'Cálculos'!$C$261+'Cálculos'!$C$125*(1+2.78*('Cálculos'!$C$199+(($B$54)-$A11)*'Cálculos'!$C$98)/(('Cálculos'!$C$199+(($B$54)-$A11)*'Cálculos'!$C$98)+1400)+'Cálculos'!$C$123)*'Cálculos'!$C$266)+('Cálculos'!$C$204*(1+'Cálculos'!$C$205+$A11*('Cálculos'!$C$290=3)*'Cálculos'!$C$103)+'Cálculos'!$C$206)*('Cálculos'!$C$257+'Cálculos'!$C$124*(1+2.78*('Cálculos'!$C$199+(($B$54)-$A11)*'Cálculos'!$C$98)/(('Cálculos'!$C$199+(($B$54)-$A11)*'Cálculos'!$C$98)+1400)+'Cálculos'!$C$122)*'Cálculos'!$C$262+'Cálculos'!$C$125*(1+2.78*('Cálculos'!$C$199+(($B$54)-$A11)*'Cálculos'!$C$98)/(('Cálculos'!$C$199+(($B$54)-$A11)*'Cálculos'!$C$98)+1400)+'Cálculos'!$C$123)*'Cálculos'!$C$267)+('Cálculos'!$C$185*(1+'Cálculos'!$C$190+$A11*('Cálculos'!$C$290=1)*'Cálculos'!$C$97+'Cálculos'!$C$305)+'Cálculos'!$C$195)*('Cálculos'!$C$269+'Cálculos'!$C$124*(1+2.78*('Cálculos'!$C$200+(($B$54)-$A11)*'Cálculos'!$C$98)/(('Cálculos'!$C$200+(($B$54)-$A11)*'Cálculos'!$C$98)+1400)+'Cálculos'!$C$122)*'Cálculos'!$C$274+'Cálculos'!$C$125*(1+2.78*('Cálculos'!$C$200+(($B$54)-$A11)*'Cálculos'!$C$98)/(('Cálculos'!$C$200+(($B$54)-$A11)*'Cálculos'!$C$98)+1400)+'Cálculos'!$C$123)*'Cálculos'!$C$279)+('Cálculos'!$C$200+(($B$54)-$A11)*'Cálculos'!$C$98)*('Cálculos'!$C$270+'Cálculos'!$C$124*(1+2.78*('Cálculos'!$C$200+(($B$54)-$A11)*'Cálculos'!$C$98)/(('Cálculos'!$C$200+(($B$54)-$A11)*'Cálculos'!$C$98)+1400)+'Cálculos'!$C$122)*'Cálculos'!$C$275+'Cálculos'!$C$125*(1+2.78*('Cálculos'!$C$200+(($B$54)-$A11)*'Cálculos'!$C$98)/(('Cálculos'!$C$200+(($B$54)-$A11)*'Cálculos'!$C$98)+1400)+'Cálculos'!$C$123)*'Cálculos'!$C$280)+('Cálculos'!$C$201*(1+'Cálculos'!$C$202+$A11*('Cálculos'!$C$290=2)*'Cálculos'!$C$101)+'Cálculos'!$C$203)*('Cálculos'!$C$271+'Cálculos'!$C$124*(1+2.78*('Cálculos'!$C$200+(($B$54)-$A11)*'Cálculos'!$C$98)/(('Cálculos'!$C$200+(($B$54)-$A11)*'Cálculos'!$C$98)+1400)+'Cálculos'!$C$122)*'Cálculos'!$C$276+'Cálculos'!$C$125*(1+2.78*('Cálculos'!$C$200+(($B$54)-$A11)*'Cálculos'!$C$98)/(('Cálculos'!$C$200+(($B$54)-$A11)*'Cálculos'!$C$98)+1400)+'Cálculos'!$C$123)*'Cálculos'!$C$281)+('Cálculos'!$C$204*(1+'Cálculos'!$C$205+$A11*('Cálculos'!$C$290=3)*'Cálculos'!$C$103)+'Cálculos'!$C$206)*('Cálculos'!$C$272+'Cálculos'!$C$124*(1+2.78*('Cálculos'!$C$200+(($B$54)-$A11)*'Cálculos'!$C$98)/(('Cálculos'!$C$200+(($B$54)-$A11)*'Cálculos'!$C$98)+1400)+'Cálculos'!$C$122)*'Cálculos'!$C$277+'Cálculos'!$C$125*(1+2.78*('Cálculos'!$C$200+(($B$54)-$A11)*'Cálculos'!$C$98)/(('Cálculos'!$C$200+(($B$54)-$A11)*'Cálculos'!$C$98)+1400)+'Cálculos'!$C$123)*'Cálculos'!$C$282)))</f>
        <v>0</v>
      </c>
    </row>
    <row r="12">
      <c r="A12" s="2">
        <v>6.0</v>
      </c>
      <c r="B12" s="30">
        <f>SUMPRODUCT(MAX(($A$6:$A$51&lt;=$A12)*($A$6:$A$51&lt;='Cálculos'!$C$294)*(($A12)-$A$6:$A$51&lt;='Cálculos'!$C$295)*(1+(('Cálculos'!$C$207+$A$6:$A$51*'Cálculos'!$C$95)-(('Cálculos'!$C$207+$A$6:$A$51*'Cálculos'!$C$95)&gt;1)*(('Cálculos'!$C$207+$A$6:$A$51*'Cálculos'!$C$95)-1))*('Cálculos'!$C$208+(($A12)-$A$6:$A$51)*'Cálculos'!$C$96))))</f>
        <v>2.638112</v>
      </c>
      <c r="C12" s="2">
        <f>'Cálculos'!$C$303-$A12</f>
        <v>14</v>
      </c>
      <c r="D12" s="31">
        <f>IF($C12&lt;0,0,SUMPRODUCT(MAX(($A$6:$A$51&lt;=$C12)*($A$6:$A$51&lt;='Cálculos'!$C$301)*(($C12)-$A$6:$A$51&lt;='Cálculos'!$C$297)*(('Cálculos'!$C$185*(1+'Cálculos'!$C$186+$A$6:$A$51*('Cálculos'!$C$290=1)*'Cálculos'!$C$97+'Cálculos'!$C$305)+'Cálculos'!$C$191)*('Cálculos'!$C$209+'Cálculos'!$C$124*(1+2.78*('Cálculos'!$C$196+(($C12)-$A$6:$A$51)*'Cálculos'!$C$98)/(('Cálculos'!$C$196+(($C12)-$A$6:$A$51)*'Cálculos'!$C$98)+1400)+'Cálculos'!$C$122)*'Cálculos'!$C$214+'Cálculos'!$C$125*(1+2.78*('Cálculos'!$C$196+(($C12)-$A$6:$A$51)*'Cálculos'!$C$98)/(('Cálculos'!$C$196+(($C12)-$A$6:$A$51)*'Cálculos'!$C$98)+1400)+'Cálculos'!$C$123)*'Cálculos'!$C$219)+('Cálculos'!$C$196+(($C12)-$A$6:$A$51)*'Cálculos'!$C$98)*('Cálculos'!$C$210+'Cálculos'!$C$124*(1+2.78*('Cálculos'!$C$196+(($C12)-$A$6:$A$51)*'Cálculos'!$C$98)/(('Cálculos'!$C$196+(($C12)-$A$6:$A$51)*'Cálculos'!$C$98)+1400)+'Cálculos'!$C$122)*'Cálculos'!$C$215+'Cálculos'!$C$125*(1+2.78*('Cálculos'!$C$196+(($C12)-$A$6:$A$51)*'Cálculos'!$C$98)/(('Cálculos'!$C$196+(($C12)-$A$6:$A$51)*'Cálculos'!$C$98)+1400)+'Cálculos'!$C$123)*'Cálculos'!$C$220)+('Cálculos'!$C$201*(1+'Cálculos'!$C$202+$A$6:$A$51*('Cálculos'!$C$290=2)*'Cálculos'!$C$101)+'Cálculos'!$C$203)*('Cálculos'!$C$211+'Cálculos'!$C$124*(1+2.78*('Cálculos'!$C$196+(($C12)-$A$6:$A$51)*'Cálculos'!$C$98)/(('Cálculos'!$C$196+(($C12)-$A$6:$A$51)*'Cálculos'!$C$98)+1400)+'Cálculos'!$C$122)*'Cálculos'!$C$216+'Cálculos'!$C$125*(1+2.78*('Cálculos'!$C$196+(($C12)-$A$6:$A$51)*'Cálculos'!$C$98)/(('Cálculos'!$C$196+(($C12)-$A$6:$A$51)*'Cálculos'!$C$98)+1400)+'Cálculos'!$C$123)*'Cálculos'!$C$221)+('Cálculos'!$C$204*(1+'Cálculos'!$C$205+$A$6:$A$51*('Cálculos'!$C$290=3)*'Cálculos'!$C$103)+'Cálculos'!$C$206)*('Cálculos'!$C$212+'Cálculos'!$C$124*(1+2.78*('Cálculos'!$C$196+(($C12)-$A$6:$A$51)*'Cálculos'!$C$98)/(('Cálculos'!$C$196+(($C12)-$A$6:$A$51)*'Cálculos'!$C$98)+1400)+'Cálculos'!$C$122)*'Cálculos'!$C$217+'Cálculos'!$C$125*(1+2.78*('Cálculos'!$C$196+(($C12)-$A$6:$A$51)*'Cálculos'!$C$98)/(('Cálculos'!$C$196+(($C12)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12)-$A$6:$A$51)*'Cálculos'!$C$98)/(('Cálculos'!$C$197+(($C12)-$A$6:$A$51)*'Cálculos'!$C$98)+1400)+'Cálculos'!$C$122)*'Cálculos'!$C$229+'Cálculos'!$C$125*(1+2.78*('Cálculos'!$C$197+(($C12)-$A$6:$A$51)*'Cálculos'!$C$98)/(('Cálculos'!$C$197+(($C12)-$A$6:$A$51)*'Cálculos'!$C$98)+1400)+'Cálculos'!$C$123)*'Cálculos'!$C$234)+('Cálculos'!$C$197+(($C12)-$A$6:$A$51)*'Cálculos'!$C$98)*('Cálculos'!$C$225+'Cálculos'!$C$124*(1+2.78*('Cálculos'!$C$197+(($C12)-$A$6:$A$51)*'Cálculos'!$C$98)/(('Cálculos'!$C$197+(($C12)-$A$6:$A$51)*'Cálculos'!$C$98)+1400)+'Cálculos'!$C$122)*'Cálculos'!$C$230+'Cálculos'!$C$125*(1+2.78*('Cálculos'!$C$197+(($C12)-$A$6:$A$51)*'Cálculos'!$C$98)/(('Cálculos'!$C$197+(($C12)-$A$6:$A$51)*'Cálculos'!$C$98)+1400)+'Cálculos'!$C$123)*'Cálculos'!$C$235)+('Cálculos'!$C$201*(1+'Cálculos'!$C$202+$A$6:$A$51*('Cálculos'!$C$290=2)*'Cálculos'!$C$101)+'Cálculos'!$C$203)*('Cálculos'!$C$226+'Cálculos'!$C$124*(1+2.78*('Cálculos'!$C$197+(($C12)-$A$6:$A$51)*'Cálculos'!$C$98)/(('Cálculos'!$C$197+(($C12)-$A$6:$A$51)*'Cálculos'!$C$98)+1400)+'Cálculos'!$C$122)*'Cálculos'!$C$231+'Cálculos'!$C$125*(1+2.78*('Cálculos'!$C$197+(($C12)-$A$6:$A$51)*'Cálculos'!$C$98)/(('Cálculos'!$C$197+(($C12)-$A$6:$A$51)*'Cálculos'!$C$98)+1400)+'Cálculos'!$C$123)*'Cálculos'!$C$236)+('Cálculos'!$C$204*(1+'Cálculos'!$C$205+$A$6:$A$51*('Cálculos'!$C$290=3)*'Cálculos'!$C$103)+'Cálculos'!$C$206)*('Cálculos'!$C$227+'Cálculos'!$C$124*(1+2.78*('Cálculos'!$C$197+(($C12)-$A$6:$A$51)*'Cálculos'!$C$98)/(('Cálculos'!$C$197+(($C12)-$A$6:$A$51)*'Cálculos'!$C$98)+1400)+'Cálculos'!$C$122)*'Cálculos'!$C$232+'Cálculos'!$C$125*(1+2.78*('Cálculos'!$C$197+(($C12)-$A$6:$A$51)*'Cálculos'!$C$98)/(('Cálculos'!$C$197+(($C12)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12)-$A$6:$A$51)*'Cálculos'!$C$98)/(('Cálculos'!$C$198+(($C12)-$A$6:$A$51)*'Cálculos'!$C$98)+1400)+'Cálculos'!$C$122)*'Cálculos'!$C$244+'Cálculos'!$C$125*(1+2.78*('Cálculos'!$C$198+(($C12)-$A$6:$A$51)*'Cálculos'!$C$98)/(('Cálculos'!$C$198+(($C12)-$A$6:$A$51)*'Cálculos'!$C$98)+1400)+'Cálculos'!$C$123)*'Cálculos'!$C$249)+('Cálculos'!$C$198+(($C12)-$A$6:$A$51)*'Cálculos'!$C$98)*('Cálculos'!$C$240+'Cálculos'!$C$124*(1+2.78*('Cálculos'!$C$198+(($C12)-$A$6:$A$51)*'Cálculos'!$C$98)/(('Cálculos'!$C$198+(($C12)-$A$6:$A$51)*'Cálculos'!$C$98)+1400)+'Cálculos'!$C$122)*'Cálculos'!$C$245+'Cálculos'!$C$125*(1+2.78*('Cálculos'!$C$198+(($C12)-$A$6:$A$51)*'Cálculos'!$C$98)/(('Cálculos'!$C$198+(($C12)-$A$6:$A$51)*'Cálculos'!$C$98)+1400)+'Cálculos'!$C$123)*'Cálculos'!$C$250)+('Cálculos'!$C$201*(1+'Cálculos'!$C$202+$A$6:$A$51*('Cálculos'!$C$290=2)*'Cálculos'!$C$101)+'Cálculos'!$C$203)*('Cálculos'!$C$241+'Cálculos'!$C$124*(1+2.78*('Cálculos'!$C$198+(($C12)-$A$6:$A$51)*'Cálculos'!$C$98)/(('Cálculos'!$C$198+(($C12)-$A$6:$A$51)*'Cálculos'!$C$98)+1400)+'Cálculos'!$C$122)*'Cálculos'!$C$246+'Cálculos'!$C$125*(1+2.78*('Cálculos'!$C$198+(($C12)-$A$6:$A$51)*'Cálculos'!$C$98)/(('Cálculos'!$C$198+(($C12)-$A$6:$A$51)*'Cálculos'!$C$98)+1400)+'Cálculos'!$C$123)*'Cálculos'!$C$251)+('Cálculos'!$C$204*(1+'Cálculos'!$C$205+$A$6:$A$51*('Cálculos'!$C$290=3)*'Cálculos'!$C$103)+'Cálculos'!$C$206)*('Cálculos'!$C$242+'Cálculos'!$C$124*(1+2.78*('Cálculos'!$C$198+(($C12)-$A$6:$A$51)*'Cálculos'!$C$98)/(('Cálculos'!$C$198+(($C12)-$A$6:$A$51)*'Cálculos'!$C$98)+1400)+'Cálculos'!$C$122)*'Cálculos'!$C$247+'Cálculos'!$C$125*(1+2.78*('Cálculos'!$C$198+(($C12)-$A$6:$A$51)*'Cálculos'!$C$98)/(('Cálculos'!$C$198+(($C12)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12)-$A$6:$A$51)*'Cálculos'!$C$98)/(('Cálculos'!$C$199+(($C12)-$A$6:$A$51)*'Cálculos'!$C$98)+1400)+'Cálculos'!$C$122)*'Cálculos'!$C$259+'Cálculos'!$C$125*(1+2.78*('Cálculos'!$C$199+(($C12)-$A$6:$A$51)*'Cálculos'!$C$98)/(('Cálculos'!$C$199+(($C12)-$A$6:$A$51)*'Cálculos'!$C$98)+1400)+'Cálculos'!$C$123)*'Cálculos'!$C$264)+('Cálculos'!$C$199+(($C12)-$A$6:$A$51)*'Cálculos'!$C$98)*('Cálculos'!$C$255+'Cálculos'!$C$124*(1+2.78*('Cálculos'!$C$199+(($C12)-$A$6:$A$51)*'Cálculos'!$C$98)/(('Cálculos'!$C$199+(($C12)-$A$6:$A$51)*'Cálculos'!$C$98)+1400)+'Cálculos'!$C$122)*'Cálculos'!$C$260+'Cálculos'!$C$125*(1+2.78*('Cálculos'!$C$199+(($C12)-$A$6:$A$51)*'Cálculos'!$C$98)/(('Cálculos'!$C$199+(($C12)-$A$6:$A$51)*'Cálculos'!$C$98)+1400)+'Cálculos'!$C$123)*'Cálculos'!$C$265)+('Cálculos'!$C$201*(1+'Cálculos'!$C$202+$A$6:$A$51*('Cálculos'!$C$290=2)*'Cálculos'!$C$101)+'Cálculos'!$C$203)*('Cálculos'!$C$256+'Cálculos'!$C$124*(1+2.78*('Cálculos'!$C$199+(($C12)-$A$6:$A$51)*'Cálculos'!$C$98)/(('Cálculos'!$C$199+(($C12)-$A$6:$A$51)*'Cálculos'!$C$98)+1400)+'Cálculos'!$C$122)*'Cálculos'!$C$261+'Cálculos'!$C$125*(1+2.78*('Cálculos'!$C$199+(($C12)-$A$6:$A$51)*'Cálculos'!$C$98)/(('Cálculos'!$C$199+(($C12)-$A$6:$A$51)*'Cálculos'!$C$98)+1400)+'Cálculos'!$C$123)*'Cálculos'!$C$266)+('Cálculos'!$C$204*(1+'Cálculos'!$C$205+$A$6:$A$51*('Cálculos'!$C$290=3)*'Cálculos'!$C$103)+'Cálculos'!$C$206)*('Cálculos'!$C$257+'Cálculos'!$C$124*(1+2.78*('Cálculos'!$C$199+(($C12)-$A$6:$A$51)*'Cálculos'!$C$98)/(('Cálculos'!$C$199+(($C12)-$A$6:$A$51)*'Cálculos'!$C$98)+1400)+'Cálculos'!$C$122)*'Cálculos'!$C$262+'Cálculos'!$C$125*(1+2.78*('Cálculos'!$C$199+(($C12)-$A$6:$A$51)*'Cálculos'!$C$98)/(('Cálculos'!$C$199+(($C12)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12)-$A$6:$A$51)*'Cálculos'!$C$98)/(('Cálculos'!$C$200+(($C12)-$A$6:$A$51)*'Cálculos'!$C$98)+1400)+'Cálculos'!$C$122)*'Cálculos'!$C$274+'Cálculos'!$C$125*(1+2.78*('Cálculos'!$C$200+(($C12)-$A$6:$A$51)*'Cálculos'!$C$98)/(('Cálculos'!$C$200+(($C12)-$A$6:$A$51)*'Cálculos'!$C$98)+1400)+'Cálculos'!$C$123)*'Cálculos'!$C$279)+('Cálculos'!$C$200+(($C12)-$A$6:$A$51)*'Cálculos'!$C$98)*('Cálculos'!$C$270+'Cálculos'!$C$124*(1+2.78*('Cálculos'!$C$200+(($C12)-$A$6:$A$51)*'Cálculos'!$C$98)/(('Cálculos'!$C$200+(($C12)-$A$6:$A$51)*'Cálculos'!$C$98)+1400)+'Cálculos'!$C$122)*'Cálculos'!$C$275+'Cálculos'!$C$125*(1+2.78*('Cálculos'!$C$200+(($C12)-$A$6:$A$51)*'Cálculos'!$C$98)/(('Cálculos'!$C$200+(($C12)-$A$6:$A$51)*'Cálculos'!$C$98)+1400)+'Cálculos'!$C$123)*'Cálculos'!$C$280)+('Cálculos'!$C$201*(1+'Cálculos'!$C$202+$A$6:$A$51*('Cálculos'!$C$290=2)*'Cálculos'!$C$101)+'Cálculos'!$C$203)*('Cálculos'!$C$271+'Cálculos'!$C$124*(1+2.78*('Cálculos'!$C$200+(($C12)-$A$6:$A$51)*'Cálculos'!$C$98)/(('Cálculos'!$C$200+(($C12)-$A$6:$A$51)*'Cálculos'!$C$98)+1400)+'Cálculos'!$C$122)*'Cálculos'!$C$276+'Cálculos'!$C$125*(1+2.78*('Cálculos'!$C$200+(($C12)-$A$6:$A$51)*'Cálculos'!$C$98)/(('Cálculos'!$C$200+(($C12)-$A$6:$A$51)*'Cálculos'!$C$98)+1400)+'Cálculos'!$C$123)*'Cálculos'!$C$281)+('Cálculos'!$C$204*(1+'Cálculos'!$C$205+$A$6:$A$51*('Cálculos'!$C$290=3)*'Cálculos'!$C$103)+'Cálculos'!$C$206)*('Cálculos'!$C$272+'Cálculos'!$C$124*(1+2.78*('Cálculos'!$C$200+(($C12)-$A$6:$A$51)*'Cálculos'!$C$98)/(('Cálculos'!$C$200+(($C12)-$A$6:$A$51)*'Cálculos'!$C$98)+1400)+'Cálculos'!$C$122)*'Cálculos'!$C$277+'Cálculos'!$C$125*(1+2.78*('Cálculos'!$C$200+(($C12)-$A$6:$A$51)*'Cálculos'!$C$98)/(('Cálculos'!$C$200+(($C12)-$A$6:$A$51)*'Cálculos'!$C$98)+1400)+'Cálculos'!$C$123)*'Cálculos'!$C$282)))))</f>
        <v>1211996.074</v>
      </c>
      <c r="E12" s="32">
        <f>IF(OR($C12&lt;0,'Cálculos'!$C$6=""),0,$B12*$D12)</f>
        <v>3197381.386</v>
      </c>
      <c r="F12" s="2"/>
      <c r="G12" s="30">
        <f>($A12&lt;=$B$53)*($A12&lt;='Cálculos'!$C$294)*(($B$53)-$A12&lt;='Cálculos'!$C$295)*(1+MIN(('Cálculos'!$C$207+$A12*'Cálculos'!$C$95),1)*('Cálculos'!$C$208+(($B$53)-$A12)*'Cálculos'!$C$96))</f>
        <v>3.181952</v>
      </c>
      <c r="H12" s="31">
        <f>IF($B$54&lt;0,0,($A12&lt;=$B$54)*($A12&lt;='Cálculos'!$C$301)*(($B$54)-$A12&lt;='Cálculos'!$C$297)*(('Cálculos'!$C$185*(1+'Cálculos'!$C$186+$A12*('Cálculos'!$C$290=1)*'Cálculos'!$C$97+'Cálculos'!$C$305)+'Cálculos'!$C$191)*('Cálculos'!$C$209+'Cálculos'!$C$124*(1+2.78*('Cálculos'!$C$196+(($B$54)-$A12)*'Cálculos'!$C$98)/(('Cálculos'!$C$196+(($B$54)-$A12)*'Cálculos'!$C$98)+1400)+'Cálculos'!$C$122)*'Cálculos'!$C$214+'Cálculos'!$C$125*(1+2.78*('Cálculos'!$C$196+(($B$54)-$A12)*'Cálculos'!$C$98)/(('Cálculos'!$C$196+(($B$54)-$A12)*'Cálculos'!$C$98)+1400)+'Cálculos'!$C$123)*'Cálculos'!$C$219)+('Cálculos'!$C$196+(($B$54)-$A12)*'Cálculos'!$C$98)*('Cálculos'!$C$210+'Cálculos'!$C$124*(1+2.78*('Cálculos'!$C$196+(($B$54)-$A12)*'Cálculos'!$C$98)/(('Cálculos'!$C$196+(($B$54)-$A12)*'Cálculos'!$C$98)+1400)+'Cálculos'!$C$122)*'Cálculos'!$C$215+'Cálculos'!$C$125*(1+2.78*('Cálculos'!$C$196+(($B$54)-$A12)*'Cálculos'!$C$98)/(('Cálculos'!$C$196+(($B$54)-$A12)*'Cálculos'!$C$98)+1400)+'Cálculos'!$C$123)*'Cálculos'!$C$220)+('Cálculos'!$C$201*(1+'Cálculos'!$C$202+$A12*('Cálculos'!$C$290=2)*'Cálculos'!$C$101)+'Cálculos'!$C$203)*('Cálculos'!$C$211+'Cálculos'!$C$124*(1+2.78*('Cálculos'!$C$196+(($B$54)-$A12)*'Cálculos'!$C$98)/(('Cálculos'!$C$196+(($B$54)-$A12)*'Cálculos'!$C$98)+1400)+'Cálculos'!$C$122)*'Cálculos'!$C$216+'Cálculos'!$C$125*(1+2.78*('Cálculos'!$C$196+(($B$54)-$A12)*'Cálculos'!$C$98)/(('Cálculos'!$C$196+(($B$54)-$A12)*'Cálculos'!$C$98)+1400)+'Cálculos'!$C$123)*'Cálculos'!$C$221)+('Cálculos'!$C$204*(1+'Cálculos'!$C$205+$A12*('Cálculos'!$C$290=3)*'Cálculos'!$C$103)+'Cálculos'!$C$206)*('Cálculos'!$C$212+'Cálculos'!$C$124*(1+2.78*('Cálculos'!$C$196+(($B$54)-$A12)*'Cálculos'!$C$98)/(('Cálculos'!$C$196+(($B$54)-$A12)*'Cálculos'!$C$98)+1400)+'Cálculos'!$C$122)*'Cálculos'!$C$217+'Cálculos'!$C$125*(1+2.78*('Cálculos'!$C$196+(($B$54)-$A12)*'Cálculos'!$C$98)/(('Cálculos'!$C$196+(($B$54)-$A12)*'Cálculos'!$C$98)+1400)+'Cálculos'!$C$123)*'Cálculos'!$C$222)+('Cálculos'!$C$185*(1+'Cálculos'!$C$187+$A12*('Cálculos'!$C$290=1)*'Cálculos'!$C$97+'Cálculos'!$C$305)+'Cálculos'!$C$192)*('Cálculos'!$C$224+'Cálculos'!$C$124*(1+2.78*('Cálculos'!$C$197+(($B$54)-$A12)*'Cálculos'!$C$98)/(('Cálculos'!$C$197+(($B$54)-$A12)*'Cálculos'!$C$98)+1400)+'Cálculos'!$C$122)*'Cálculos'!$C$229+'Cálculos'!$C$125*(1+2.78*('Cálculos'!$C$197+(($B$54)-$A12)*'Cálculos'!$C$98)/(('Cálculos'!$C$197+(($B$54)-$A12)*'Cálculos'!$C$98)+1400)+'Cálculos'!$C$123)*'Cálculos'!$C$234)+('Cálculos'!$C$197+(($B$54)-$A12)*'Cálculos'!$C$98)*('Cálculos'!$C$225+'Cálculos'!$C$124*(1+2.78*('Cálculos'!$C$197+(($B$54)-$A12)*'Cálculos'!$C$98)/(('Cálculos'!$C$197+(($B$54)-$A12)*'Cálculos'!$C$98)+1400)+'Cálculos'!$C$122)*'Cálculos'!$C$230+'Cálculos'!$C$125*(1+2.78*('Cálculos'!$C$197+(($B$54)-$A12)*'Cálculos'!$C$98)/(('Cálculos'!$C$197+(($B$54)-$A12)*'Cálculos'!$C$98)+1400)+'Cálculos'!$C$123)*'Cálculos'!$C$235)+('Cálculos'!$C$201*(1+'Cálculos'!$C$202+$A12*('Cálculos'!$C$290=2)*'Cálculos'!$C$101)+'Cálculos'!$C$203)*('Cálculos'!$C$226+'Cálculos'!$C$124*(1+2.78*('Cálculos'!$C$197+(($B$54)-$A12)*'Cálculos'!$C$98)/(('Cálculos'!$C$197+(($B$54)-$A12)*'Cálculos'!$C$98)+1400)+'Cálculos'!$C$122)*'Cálculos'!$C$231+'Cálculos'!$C$125*(1+2.78*('Cálculos'!$C$197+(($B$54)-$A12)*'Cálculos'!$C$98)/(('Cálculos'!$C$197+(($B$54)-$A12)*'Cálculos'!$C$98)+1400)+'Cálculos'!$C$123)*'Cálculos'!$C$236)+('Cálculos'!$C$204*(1+'Cálculos'!$C$205+$A12*('Cálculos'!$C$290=3)*'Cálculos'!$C$103)+'Cálculos'!$C$206)*('Cálculos'!$C$227+'Cálculos'!$C$124*(1+2.78*('Cálculos'!$C$197+(($B$54)-$A12)*'Cálculos'!$C$98)/(('Cálculos'!$C$197+(($B$54)-$A12)*'Cálculos'!$C$98)+1400)+'Cálculos'!$C$122)*'Cálculos'!$C$232+'Cálculos'!$C$125*(1+2.78*('Cálculos'!$C$197+(($B$54)-$A12)*'Cálculos'!$C$98)/(('Cálculos'!$C$197+(($B$54)-$A12)*'Cálculos'!$C$98)+1400)+'Cálculos'!$C$123)*'Cálculos'!$C$237)+('Cálculos'!$C$185*(1+'Cálculos'!$C$188+$A12*('Cálculos'!$C$290=1)*'Cálculos'!$C$97+'Cálculos'!$C$305)+'Cálculos'!$C$193)*('Cálculos'!$C$239+'Cálculos'!$C$124*(1+2.78*('Cálculos'!$C$198+(($B$54)-$A12)*'Cálculos'!$C$98)/(('Cálculos'!$C$198+(($B$54)-$A12)*'Cálculos'!$C$98)+1400)+'Cálculos'!$C$122)*'Cálculos'!$C$244+'Cálculos'!$C$125*(1+2.78*('Cálculos'!$C$198+(($B$54)-$A12)*'Cálculos'!$C$98)/(('Cálculos'!$C$198+(($B$54)-$A12)*'Cálculos'!$C$98)+1400)+'Cálculos'!$C$123)*'Cálculos'!$C$249)+('Cálculos'!$C$198+(($B$54)-$A12)*'Cálculos'!$C$98)*('Cálculos'!$C$240+'Cálculos'!$C$124*(1+2.78*('Cálculos'!$C$198+(($B$54)-$A12)*'Cálculos'!$C$98)/(('Cálculos'!$C$198+(($B$54)-$A12)*'Cálculos'!$C$98)+1400)+'Cálculos'!$C$122)*'Cálculos'!$C$245+'Cálculos'!$C$125*(1+2.78*('Cálculos'!$C$198+(($B$54)-$A12)*'Cálculos'!$C$98)/(('Cálculos'!$C$198+(($B$54)-$A12)*'Cálculos'!$C$98)+1400)+'Cálculos'!$C$123)*'Cálculos'!$C$250)+('Cálculos'!$C$201*(1+'Cálculos'!$C$202+$A12*('Cálculos'!$C$290=2)*'Cálculos'!$C$101)+'Cálculos'!$C$203)*('Cálculos'!$C$241+'Cálculos'!$C$124*(1+2.78*('Cálculos'!$C$198+(($B$54)-$A12)*'Cálculos'!$C$98)/(('Cálculos'!$C$198+(($B$54)-$A12)*'Cálculos'!$C$98)+1400)+'Cálculos'!$C$122)*'Cálculos'!$C$246+'Cálculos'!$C$125*(1+2.78*('Cálculos'!$C$198+(($B$54)-$A12)*'Cálculos'!$C$98)/(('Cálculos'!$C$198+(($B$54)-$A12)*'Cálculos'!$C$98)+1400)+'Cálculos'!$C$123)*'Cálculos'!$C$251)+('Cálculos'!$C$204*(1+'Cálculos'!$C$205+$A12*('Cálculos'!$C$290=3)*'Cálculos'!$C$103)+'Cálculos'!$C$206)*('Cálculos'!$C$242+'Cálculos'!$C$124*(1+2.78*('Cálculos'!$C$198+(($B$54)-$A12)*'Cálculos'!$C$98)/(('Cálculos'!$C$198+(($B$54)-$A12)*'Cálculos'!$C$98)+1400)+'Cálculos'!$C$122)*'Cálculos'!$C$247+'Cálculos'!$C$125*(1+2.78*('Cálculos'!$C$198+(($B$54)-$A12)*'Cálculos'!$C$98)/(('Cálculos'!$C$198+(($B$54)-$A12)*'Cálculos'!$C$98)+1400)+'Cálculos'!$C$123)*'Cálculos'!$C$252)+('Cálculos'!$C$185*(1+'Cálculos'!$C$189+$A12*('Cálculos'!$C$290=1)*'Cálculos'!$C$97+'Cálculos'!$C$305)+'Cálculos'!$C$194)*('Cálculos'!$C$254+'Cálculos'!$C$124*(1+2.78*('Cálculos'!$C$199+(($B$54)-$A12)*'Cálculos'!$C$98)/(('Cálculos'!$C$199+(($B$54)-$A12)*'Cálculos'!$C$98)+1400)+'Cálculos'!$C$122)*'Cálculos'!$C$259+'Cálculos'!$C$125*(1+2.78*('Cálculos'!$C$199+(($B$54)-$A12)*'Cálculos'!$C$98)/(('Cálculos'!$C$199+(($B$54)-$A12)*'Cálculos'!$C$98)+1400)+'Cálculos'!$C$123)*'Cálculos'!$C$264)+('Cálculos'!$C$199+(($B$54)-$A12)*'Cálculos'!$C$98)*('Cálculos'!$C$255+'Cálculos'!$C$124*(1+2.78*('Cálculos'!$C$199+(($B$54)-$A12)*'Cálculos'!$C$98)/(('Cálculos'!$C$199+(($B$54)-$A12)*'Cálculos'!$C$98)+1400)+'Cálculos'!$C$122)*'Cálculos'!$C$260+'Cálculos'!$C$125*(1+2.78*('Cálculos'!$C$199+(($B$54)-$A12)*'Cálculos'!$C$98)/(('Cálculos'!$C$199+(($B$54)-$A12)*'Cálculos'!$C$98)+1400)+'Cálculos'!$C$123)*'Cálculos'!$C$265)+('Cálculos'!$C$201*(1+'Cálculos'!$C$202+$A12*('Cálculos'!$C$290=2)*'Cálculos'!$C$101)+'Cálculos'!$C$203)*('Cálculos'!$C$256+'Cálculos'!$C$124*(1+2.78*('Cálculos'!$C$199+(($B$54)-$A12)*'Cálculos'!$C$98)/(('Cálculos'!$C$199+(($B$54)-$A12)*'Cálculos'!$C$98)+1400)+'Cálculos'!$C$122)*'Cálculos'!$C$261+'Cálculos'!$C$125*(1+2.78*('Cálculos'!$C$199+(($B$54)-$A12)*'Cálculos'!$C$98)/(('Cálculos'!$C$199+(($B$54)-$A12)*'Cálculos'!$C$98)+1400)+'Cálculos'!$C$123)*'Cálculos'!$C$266)+('Cálculos'!$C$204*(1+'Cálculos'!$C$205+$A12*('Cálculos'!$C$290=3)*'Cálculos'!$C$103)+'Cálculos'!$C$206)*('Cálculos'!$C$257+'Cálculos'!$C$124*(1+2.78*('Cálculos'!$C$199+(($B$54)-$A12)*'Cálculos'!$C$98)/(('Cálculos'!$C$199+(($B$54)-$A12)*'Cálculos'!$C$98)+1400)+'Cálculos'!$C$122)*'Cálculos'!$C$262+'Cálculos'!$C$125*(1+2.78*('Cálculos'!$C$199+(($B$54)-$A12)*'Cálculos'!$C$98)/(('Cálculos'!$C$199+(($B$54)-$A12)*'Cálculos'!$C$98)+1400)+'Cálculos'!$C$123)*'Cálculos'!$C$267)+('Cálculos'!$C$185*(1+'Cálculos'!$C$190+$A12*('Cálculos'!$C$290=1)*'Cálculos'!$C$97+'Cálculos'!$C$305)+'Cálculos'!$C$195)*('Cálculos'!$C$269+'Cálculos'!$C$124*(1+2.78*('Cálculos'!$C$200+(($B$54)-$A12)*'Cálculos'!$C$98)/(('Cálculos'!$C$200+(($B$54)-$A12)*'Cálculos'!$C$98)+1400)+'Cálculos'!$C$122)*'Cálculos'!$C$274+'Cálculos'!$C$125*(1+2.78*('Cálculos'!$C$200+(($B$54)-$A12)*'Cálculos'!$C$98)/(('Cálculos'!$C$200+(($B$54)-$A12)*'Cálculos'!$C$98)+1400)+'Cálculos'!$C$123)*'Cálculos'!$C$279)+('Cálculos'!$C$200+(($B$54)-$A12)*'Cálculos'!$C$98)*('Cálculos'!$C$270+'Cálculos'!$C$124*(1+2.78*('Cálculos'!$C$200+(($B$54)-$A12)*'Cálculos'!$C$98)/(('Cálculos'!$C$200+(($B$54)-$A12)*'Cálculos'!$C$98)+1400)+'Cálculos'!$C$122)*'Cálculos'!$C$275+'Cálculos'!$C$125*(1+2.78*('Cálculos'!$C$200+(($B$54)-$A12)*'Cálculos'!$C$98)/(('Cálculos'!$C$200+(($B$54)-$A12)*'Cálculos'!$C$98)+1400)+'Cálculos'!$C$123)*'Cálculos'!$C$280)+('Cálculos'!$C$201*(1+'Cálculos'!$C$202+$A12*('Cálculos'!$C$290=2)*'Cálculos'!$C$101)+'Cálculos'!$C$203)*('Cálculos'!$C$271+'Cálculos'!$C$124*(1+2.78*('Cálculos'!$C$200+(($B$54)-$A12)*'Cálculos'!$C$98)/(('Cálculos'!$C$200+(($B$54)-$A12)*'Cálculos'!$C$98)+1400)+'Cálculos'!$C$122)*'Cálculos'!$C$276+'Cálculos'!$C$125*(1+2.78*('Cálculos'!$C$200+(($B$54)-$A12)*'Cálculos'!$C$98)/(('Cálculos'!$C$200+(($B$54)-$A12)*'Cálculos'!$C$98)+1400)+'Cálculos'!$C$123)*'Cálculos'!$C$281)+('Cálculos'!$C$204*(1+'Cálculos'!$C$205+$A12*('Cálculos'!$C$290=3)*'Cálculos'!$C$103)+'Cálculos'!$C$206)*('Cálculos'!$C$272+'Cálculos'!$C$124*(1+2.78*('Cálculos'!$C$200+(($B$54)-$A12)*'Cálculos'!$C$98)/(('Cálculos'!$C$200+(($B$54)-$A12)*'Cálculos'!$C$98)+1400)+'Cálculos'!$C$122)*'Cálculos'!$C$277+'Cálculos'!$C$125*(1+2.78*('Cálculos'!$C$200+(($B$54)-$A12)*'Cálculos'!$C$98)/(('Cálculos'!$C$200+(($B$54)-$A12)*'Cálculos'!$C$98)+1400)+'Cálculos'!$C$123)*'Cálculos'!$C$282)))</f>
        <v>0</v>
      </c>
    </row>
    <row r="13">
      <c r="A13" s="2">
        <v>7.0</v>
      </c>
      <c r="B13" s="30">
        <f>SUMPRODUCT(MAX(($A$6:$A$51&lt;=$A13)*($A$6:$A$51&lt;='Cálculos'!$C$294)*(($A13)-$A$6:$A$51&lt;='Cálculos'!$C$295)*(1+(('Cálculos'!$C$207+$A$6:$A$51*'Cálculos'!$C$95)-(('Cálculos'!$C$207+$A$6:$A$51*'Cálculos'!$C$95)&gt;1)*(('Cálculos'!$C$207+$A$6:$A$51*'Cálculos'!$C$95)-1))*('Cálculos'!$C$208+(($A13)-$A$6:$A$51)*'Cálculos'!$C$96))))</f>
        <v>2.703716</v>
      </c>
      <c r="C13" s="2">
        <f>'Cálculos'!$C$303-$A13</f>
        <v>13</v>
      </c>
      <c r="D13" s="31">
        <f>IF($C13&lt;0,0,SUMPRODUCT(MAX(($A$6:$A$51&lt;=$C13)*($A$6:$A$51&lt;='Cálculos'!$C$301)*(($C13)-$A$6:$A$51&lt;='Cálculos'!$C$297)*(('Cálculos'!$C$185*(1+'Cálculos'!$C$186+$A$6:$A$51*('Cálculos'!$C$290=1)*'Cálculos'!$C$97+'Cálculos'!$C$305)+'Cálculos'!$C$191)*('Cálculos'!$C$209+'Cálculos'!$C$124*(1+2.78*('Cálculos'!$C$196+(($C13)-$A$6:$A$51)*'Cálculos'!$C$98)/(('Cálculos'!$C$196+(($C13)-$A$6:$A$51)*'Cálculos'!$C$98)+1400)+'Cálculos'!$C$122)*'Cálculos'!$C$214+'Cálculos'!$C$125*(1+2.78*('Cálculos'!$C$196+(($C13)-$A$6:$A$51)*'Cálculos'!$C$98)/(('Cálculos'!$C$196+(($C13)-$A$6:$A$51)*'Cálculos'!$C$98)+1400)+'Cálculos'!$C$123)*'Cálculos'!$C$219)+('Cálculos'!$C$196+(($C13)-$A$6:$A$51)*'Cálculos'!$C$98)*('Cálculos'!$C$210+'Cálculos'!$C$124*(1+2.78*('Cálculos'!$C$196+(($C13)-$A$6:$A$51)*'Cálculos'!$C$98)/(('Cálculos'!$C$196+(($C13)-$A$6:$A$51)*'Cálculos'!$C$98)+1400)+'Cálculos'!$C$122)*'Cálculos'!$C$215+'Cálculos'!$C$125*(1+2.78*('Cálculos'!$C$196+(($C13)-$A$6:$A$51)*'Cálculos'!$C$98)/(('Cálculos'!$C$196+(($C13)-$A$6:$A$51)*'Cálculos'!$C$98)+1400)+'Cálculos'!$C$123)*'Cálculos'!$C$220)+('Cálculos'!$C$201*(1+'Cálculos'!$C$202+$A$6:$A$51*('Cálculos'!$C$290=2)*'Cálculos'!$C$101)+'Cálculos'!$C$203)*('Cálculos'!$C$211+'Cálculos'!$C$124*(1+2.78*('Cálculos'!$C$196+(($C13)-$A$6:$A$51)*'Cálculos'!$C$98)/(('Cálculos'!$C$196+(($C13)-$A$6:$A$51)*'Cálculos'!$C$98)+1400)+'Cálculos'!$C$122)*'Cálculos'!$C$216+'Cálculos'!$C$125*(1+2.78*('Cálculos'!$C$196+(($C13)-$A$6:$A$51)*'Cálculos'!$C$98)/(('Cálculos'!$C$196+(($C13)-$A$6:$A$51)*'Cálculos'!$C$98)+1400)+'Cálculos'!$C$123)*'Cálculos'!$C$221)+('Cálculos'!$C$204*(1+'Cálculos'!$C$205+$A$6:$A$51*('Cálculos'!$C$290=3)*'Cálculos'!$C$103)+'Cálculos'!$C$206)*('Cálculos'!$C$212+'Cálculos'!$C$124*(1+2.78*('Cálculos'!$C$196+(($C13)-$A$6:$A$51)*'Cálculos'!$C$98)/(('Cálculos'!$C$196+(($C13)-$A$6:$A$51)*'Cálculos'!$C$98)+1400)+'Cálculos'!$C$122)*'Cálculos'!$C$217+'Cálculos'!$C$125*(1+2.78*('Cálculos'!$C$196+(($C13)-$A$6:$A$51)*'Cálculos'!$C$98)/(('Cálculos'!$C$196+(($C13)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13)-$A$6:$A$51)*'Cálculos'!$C$98)/(('Cálculos'!$C$197+(($C13)-$A$6:$A$51)*'Cálculos'!$C$98)+1400)+'Cálculos'!$C$122)*'Cálculos'!$C$229+'Cálculos'!$C$125*(1+2.78*('Cálculos'!$C$197+(($C13)-$A$6:$A$51)*'Cálculos'!$C$98)/(('Cálculos'!$C$197+(($C13)-$A$6:$A$51)*'Cálculos'!$C$98)+1400)+'Cálculos'!$C$123)*'Cálculos'!$C$234)+('Cálculos'!$C$197+(($C13)-$A$6:$A$51)*'Cálculos'!$C$98)*('Cálculos'!$C$225+'Cálculos'!$C$124*(1+2.78*('Cálculos'!$C$197+(($C13)-$A$6:$A$51)*'Cálculos'!$C$98)/(('Cálculos'!$C$197+(($C13)-$A$6:$A$51)*'Cálculos'!$C$98)+1400)+'Cálculos'!$C$122)*'Cálculos'!$C$230+'Cálculos'!$C$125*(1+2.78*('Cálculos'!$C$197+(($C13)-$A$6:$A$51)*'Cálculos'!$C$98)/(('Cálculos'!$C$197+(($C13)-$A$6:$A$51)*'Cálculos'!$C$98)+1400)+'Cálculos'!$C$123)*'Cálculos'!$C$235)+('Cálculos'!$C$201*(1+'Cálculos'!$C$202+$A$6:$A$51*('Cálculos'!$C$290=2)*'Cálculos'!$C$101)+'Cálculos'!$C$203)*('Cálculos'!$C$226+'Cálculos'!$C$124*(1+2.78*('Cálculos'!$C$197+(($C13)-$A$6:$A$51)*'Cálculos'!$C$98)/(('Cálculos'!$C$197+(($C13)-$A$6:$A$51)*'Cálculos'!$C$98)+1400)+'Cálculos'!$C$122)*'Cálculos'!$C$231+'Cálculos'!$C$125*(1+2.78*('Cálculos'!$C$197+(($C13)-$A$6:$A$51)*'Cálculos'!$C$98)/(('Cálculos'!$C$197+(($C13)-$A$6:$A$51)*'Cálculos'!$C$98)+1400)+'Cálculos'!$C$123)*'Cálculos'!$C$236)+('Cálculos'!$C$204*(1+'Cálculos'!$C$205+$A$6:$A$51*('Cálculos'!$C$290=3)*'Cálculos'!$C$103)+'Cálculos'!$C$206)*('Cálculos'!$C$227+'Cálculos'!$C$124*(1+2.78*('Cálculos'!$C$197+(($C13)-$A$6:$A$51)*'Cálculos'!$C$98)/(('Cálculos'!$C$197+(($C13)-$A$6:$A$51)*'Cálculos'!$C$98)+1400)+'Cálculos'!$C$122)*'Cálculos'!$C$232+'Cálculos'!$C$125*(1+2.78*('Cálculos'!$C$197+(($C13)-$A$6:$A$51)*'Cálculos'!$C$98)/(('Cálculos'!$C$197+(($C13)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13)-$A$6:$A$51)*'Cálculos'!$C$98)/(('Cálculos'!$C$198+(($C13)-$A$6:$A$51)*'Cálculos'!$C$98)+1400)+'Cálculos'!$C$122)*'Cálculos'!$C$244+'Cálculos'!$C$125*(1+2.78*('Cálculos'!$C$198+(($C13)-$A$6:$A$51)*'Cálculos'!$C$98)/(('Cálculos'!$C$198+(($C13)-$A$6:$A$51)*'Cálculos'!$C$98)+1400)+'Cálculos'!$C$123)*'Cálculos'!$C$249)+('Cálculos'!$C$198+(($C13)-$A$6:$A$51)*'Cálculos'!$C$98)*('Cálculos'!$C$240+'Cálculos'!$C$124*(1+2.78*('Cálculos'!$C$198+(($C13)-$A$6:$A$51)*'Cálculos'!$C$98)/(('Cálculos'!$C$198+(($C13)-$A$6:$A$51)*'Cálculos'!$C$98)+1400)+'Cálculos'!$C$122)*'Cálculos'!$C$245+'Cálculos'!$C$125*(1+2.78*('Cálculos'!$C$198+(($C13)-$A$6:$A$51)*'Cálculos'!$C$98)/(('Cálculos'!$C$198+(($C13)-$A$6:$A$51)*'Cálculos'!$C$98)+1400)+'Cálculos'!$C$123)*'Cálculos'!$C$250)+('Cálculos'!$C$201*(1+'Cálculos'!$C$202+$A$6:$A$51*('Cálculos'!$C$290=2)*'Cálculos'!$C$101)+'Cálculos'!$C$203)*('Cálculos'!$C$241+'Cálculos'!$C$124*(1+2.78*('Cálculos'!$C$198+(($C13)-$A$6:$A$51)*'Cálculos'!$C$98)/(('Cálculos'!$C$198+(($C13)-$A$6:$A$51)*'Cálculos'!$C$98)+1400)+'Cálculos'!$C$122)*'Cálculos'!$C$246+'Cálculos'!$C$125*(1+2.78*('Cálculos'!$C$198+(($C13)-$A$6:$A$51)*'Cálculos'!$C$98)/(('Cálculos'!$C$198+(($C13)-$A$6:$A$51)*'Cálculos'!$C$98)+1400)+'Cálculos'!$C$123)*'Cálculos'!$C$251)+('Cálculos'!$C$204*(1+'Cálculos'!$C$205+$A$6:$A$51*('Cálculos'!$C$290=3)*'Cálculos'!$C$103)+'Cálculos'!$C$206)*('Cálculos'!$C$242+'Cálculos'!$C$124*(1+2.78*('Cálculos'!$C$198+(($C13)-$A$6:$A$51)*'Cálculos'!$C$98)/(('Cálculos'!$C$198+(($C13)-$A$6:$A$51)*'Cálculos'!$C$98)+1400)+'Cálculos'!$C$122)*'Cálculos'!$C$247+'Cálculos'!$C$125*(1+2.78*('Cálculos'!$C$198+(($C13)-$A$6:$A$51)*'Cálculos'!$C$98)/(('Cálculos'!$C$198+(($C13)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13)-$A$6:$A$51)*'Cálculos'!$C$98)/(('Cálculos'!$C$199+(($C13)-$A$6:$A$51)*'Cálculos'!$C$98)+1400)+'Cálculos'!$C$122)*'Cálculos'!$C$259+'Cálculos'!$C$125*(1+2.78*('Cálculos'!$C$199+(($C13)-$A$6:$A$51)*'Cálculos'!$C$98)/(('Cálculos'!$C$199+(($C13)-$A$6:$A$51)*'Cálculos'!$C$98)+1400)+'Cálculos'!$C$123)*'Cálculos'!$C$264)+('Cálculos'!$C$199+(($C13)-$A$6:$A$51)*'Cálculos'!$C$98)*('Cálculos'!$C$255+'Cálculos'!$C$124*(1+2.78*('Cálculos'!$C$199+(($C13)-$A$6:$A$51)*'Cálculos'!$C$98)/(('Cálculos'!$C$199+(($C13)-$A$6:$A$51)*'Cálculos'!$C$98)+1400)+'Cálculos'!$C$122)*'Cálculos'!$C$260+'Cálculos'!$C$125*(1+2.78*('Cálculos'!$C$199+(($C13)-$A$6:$A$51)*'Cálculos'!$C$98)/(('Cálculos'!$C$199+(($C13)-$A$6:$A$51)*'Cálculos'!$C$98)+1400)+'Cálculos'!$C$123)*'Cálculos'!$C$265)+('Cálculos'!$C$201*(1+'Cálculos'!$C$202+$A$6:$A$51*('Cálculos'!$C$290=2)*'Cálculos'!$C$101)+'Cálculos'!$C$203)*('Cálculos'!$C$256+'Cálculos'!$C$124*(1+2.78*('Cálculos'!$C$199+(($C13)-$A$6:$A$51)*'Cálculos'!$C$98)/(('Cálculos'!$C$199+(($C13)-$A$6:$A$51)*'Cálculos'!$C$98)+1400)+'Cálculos'!$C$122)*'Cálculos'!$C$261+'Cálculos'!$C$125*(1+2.78*('Cálculos'!$C$199+(($C13)-$A$6:$A$51)*'Cálculos'!$C$98)/(('Cálculos'!$C$199+(($C13)-$A$6:$A$51)*'Cálculos'!$C$98)+1400)+'Cálculos'!$C$123)*'Cálculos'!$C$266)+('Cálculos'!$C$204*(1+'Cálculos'!$C$205+$A$6:$A$51*('Cálculos'!$C$290=3)*'Cálculos'!$C$103)+'Cálculos'!$C$206)*('Cálculos'!$C$257+'Cálculos'!$C$124*(1+2.78*('Cálculos'!$C$199+(($C13)-$A$6:$A$51)*'Cálculos'!$C$98)/(('Cálculos'!$C$199+(($C13)-$A$6:$A$51)*'Cálculos'!$C$98)+1400)+'Cálculos'!$C$122)*'Cálculos'!$C$262+'Cálculos'!$C$125*(1+2.78*('Cálculos'!$C$199+(($C13)-$A$6:$A$51)*'Cálculos'!$C$98)/(('Cálculos'!$C$199+(($C13)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13)-$A$6:$A$51)*'Cálculos'!$C$98)/(('Cálculos'!$C$200+(($C13)-$A$6:$A$51)*'Cálculos'!$C$98)+1400)+'Cálculos'!$C$122)*'Cálculos'!$C$274+'Cálculos'!$C$125*(1+2.78*('Cálculos'!$C$200+(($C13)-$A$6:$A$51)*'Cálculos'!$C$98)/(('Cálculos'!$C$200+(($C13)-$A$6:$A$51)*'Cálculos'!$C$98)+1400)+'Cálculos'!$C$123)*'Cálculos'!$C$279)+('Cálculos'!$C$200+(($C13)-$A$6:$A$51)*'Cálculos'!$C$98)*('Cálculos'!$C$270+'Cálculos'!$C$124*(1+2.78*('Cálculos'!$C$200+(($C13)-$A$6:$A$51)*'Cálculos'!$C$98)/(('Cálculos'!$C$200+(($C13)-$A$6:$A$51)*'Cálculos'!$C$98)+1400)+'Cálculos'!$C$122)*'Cálculos'!$C$275+'Cálculos'!$C$125*(1+2.78*('Cálculos'!$C$200+(($C13)-$A$6:$A$51)*'Cálculos'!$C$98)/(('Cálculos'!$C$200+(($C13)-$A$6:$A$51)*'Cálculos'!$C$98)+1400)+'Cálculos'!$C$123)*'Cálculos'!$C$280)+('Cálculos'!$C$201*(1+'Cálculos'!$C$202+$A$6:$A$51*('Cálculos'!$C$290=2)*'Cálculos'!$C$101)+'Cálculos'!$C$203)*('Cálculos'!$C$271+'Cálculos'!$C$124*(1+2.78*('Cálculos'!$C$200+(($C13)-$A$6:$A$51)*'Cálculos'!$C$98)/(('Cálculos'!$C$200+(($C13)-$A$6:$A$51)*'Cálculos'!$C$98)+1400)+'Cálculos'!$C$122)*'Cálculos'!$C$276+'Cálculos'!$C$125*(1+2.78*('Cálculos'!$C$200+(($C13)-$A$6:$A$51)*'Cálculos'!$C$98)/(('Cálculos'!$C$200+(($C13)-$A$6:$A$51)*'Cálculos'!$C$98)+1400)+'Cálculos'!$C$123)*'Cálculos'!$C$281)+('Cálculos'!$C$204*(1+'Cálculos'!$C$205+$A$6:$A$51*('Cálculos'!$C$290=3)*'Cálculos'!$C$103)+'Cálculos'!$C$206)*('Cálculos'!$C$272+'Cálculos'!$C$124*(1+2.78*('Cálculos'!$C$200+(($C13)-$A$6:$A$51)*'Cálculos'!$C$98)/(('Cálculos'!$C$200+(($C13)-$A$6:$A$51)*'Cálculos'!$C$98)+1400)+'Cálculos'!$C$122)*'Cálculos'!$C$277+'Cálculos'!$C$125*(1+2.78*('Cálculos'!$C$200+(($C13)-$A$6:$A$51)*'Cálculos'!$C$98)/(('Cálculos'!$C$200+(($C13)-$A$6:$A$51)*'Cálculos'!$C$98)+1400)+'Cálculos'!$C$123)*'Cálculos'!$C$282)))))</f>
        <v>1200647.927</v>
      </c>
      <c r="E13" s="32">
        <f>IF(OR($C13&lt;0,'Cálculos'!$C$6=""),0,$B13*$D13)</f>
        <v>3246211.011</v>
      </c>
      <c r="F13" s="2"/>
      <c r="G13" s="30">
        <f>($A13&lt;=$B$53)*($A13&lt;='Cálculos'!$C$294)*(($B$53)-$A13&lt;='Cálculos'!$C$295)*(1+MIN(('Cálculos'!$C$207+$A13*'Cálculos'!$C$95),1)*('Cálculos'!$C$208+(($B$53)-$A13)*'Cálculos'!$C$96))</f>
        <v>3.212774</v>
      </c>
      <c r="H13" s="31">
        <f>IF($B$54&lt;0,0,($A13&lt;=$B$54)*($A13&lt;='Cálculos'!$C$301)*(($B$54)-$A13&lt;='Cálculos'!$C$297)*(('Cálculos'!$C$185*(1+'Cálculos'!$C$186+$A13*('Cálculos'!$C$290=1)*'Cálculos'!$C$97+'Cálculos'!$C$305)+'Cálculos'!$C$191)*('Cálculos'!$C$209+'Cálculos'!$C$124*(1+2.78*('Cálculos'!$C$196+(($B$54)-$A13)*'Cálculos'!$C$98)/(('Cálculos'!$C$196+(($B$54)-$A13)*'Cálculos'!$C$98)+1400)+'Cálculos'!$C$122)*'Cálculos'!$C$214+'Cálculos'!$C$125*(1+2.78*('Cálculos'!$C$196+(($B$54)-$A13)*'Cálculos'!$C$98)/(('Cálculos'!$C$196+(($B$54)-$A13)*'Cálculos'!$C$98)+1400)+'Cálculos'!$C$123)*'Cálculos'!$C$219)+('Cálculos'!$C$196+(($B$54)-$A13)*'Cálculos'!$C$98)*('Cálculos'!$C$210+'Cálculos'!$C$124*(1+2.78*('Cálculos'!$C$196+(($B$54)-$A13)*'Cálculos'!$C$98)/(('Cálculos'!$C$196+(($B$54)-$A13)*'Cálculos'!$C$98)+1400)+'Cálculos'!$C$122)*'Cálculos'!$C$215+'Cálculos'!$C$125*(1+2.78*('Cálculos'!$C$196+(($B$54)-$A13)*'Cálculos'!$C$98)/(('Cálculos'!$C$196+(($B$54)-$A13)*'Cálculos'!$C$98)+1400)+'Cálculos'!$C$123)*'Cálculos'!$C$220)+('Cálculos'!$C$201*(1+'Cálculos'!$C$202+$A13*('Cálculos'!$C$290=2)*'Cálculos'!$C$101)+'Cálculos'!$C$203)*('Cálculos'!$C$211+'Cálculos'!$C$124*(1+2.78*('Cálculos'!$C$196+(($B$54)-$A13)*'Cálculos'!$C$98)/(('Cálculos'!$C$196+(($B$54)-$A13)*'Cálculos'!$C$98)+1400)+'Cálculos'!$C$122)*'Cálculos'!$C$216+'Cálculos'!$C$125*(1+2.78*('Cálculos'!$C$196+(($B$54)-$A13)*'Cálculos'!$C$98)/(('Cálculos'!$C$196+(($B$54)-$A13)*'Cálculos'!$C$98)+1400)+'Cálculos'!$C$123)*'Cálculos'!$C$221)+('Cálculos'!$C$204*(1+'Cálculos'!$C$205+$A13*('Cálculos'!$C$290=3)*'Cálculos'!$C$103)+'Cálculos'!$C$206)*('Cálculos'!$C$212+'Cálculos'!$C$124*(1+2.78*('Cálculos'!$C$196+(($B$54)-$A13)*'Cálculos'!$C$98)/(('Cálculos'!$C$196+(($B$54)-$A13)*'Cálculos'!$C$98)+1400)+'Cálculos'!$C$122)*'Cálculos'!$C$217+'Cálculos'!$C$125*(1+2.78*('Cálculos'!$C$196+(($B$54)-$A13)*'Cálculos'!$C$98)/(('Cálculos'!$C$196+(($B$54)-$A13)*'Cálculos'!$C$98)+1400)+'Cálculos'!$C$123)*'Cálculos'!$C$222)+('Cálculos'!$C$185*(1+'Cálculos'!$C$187+$A13*('Cálculos'!$C$290=1)*'Cálculos'!$C$97+'Cálculos'!$C$305)+'Cálculos'!$C$192)*('Cálculos'!$C$224+'Cálculos'!$C$124*(1+2.78*('Cálculos'!$C$197+(($B$54)-$A13)*'Cálculos'!$C$98)/(('Cálculos'!$C$197+(($B$54)-$A13)*'Cálculos'!$C$98)+1400)+'Cálculos'!$C$122)*'Cálculos'!$C$229+'Cálculos'!$C$125*(1+2.78*('Cálculos'!$C$197+(($B$54)-$A13)*'Cálculos'!$C$98)/(('Cálculos'!$C$197+(($B$54)-$A13)*'Cálculos'!$C$98)+1400)+'Cálculos'!$C$123)*'Cálculos'!$C$234)+('Cálculos'!$C$197+(($B$54)-$A13)*'Cálculos'!$C$98)*('Cálculos'!$C$225+'Cálculos'!$C$124*(1+2.78*('Cálculos'!$C$197+(($B$54)-$A13)*'Cálculos'!$C$98)/(('Cálculos'!$C$197+(($B$54)-$A13)*'Cálculos'!$C$98)+1400)+'Cálculos'!$C$122)*'Cálculos'!$C$230+'Cálculos'!$C$125*(1+2.78*('Cálculos'!$C$197+(($B$54)-$A13)*'Cálculos'!$C$98)/(('Cálculos'!$C$197+(($B$54)-$A13)*'Cálculos'!$C$98)+1400)+'Cálculos'!$C$123)*'Cálculos'!$C$235)+('Cálculos'!$C$201*(1+'Cálculos'!$C$202+$A13*('Cálculos'!$C$290=2)*'Cálculos'!$C$101)+'Cálculos'!$C$203)*('Cálculos'!$C$226+'Cálculos'!$C$124*(1+2.78*('Cálculos'!$C$197+(($B$54)-$A13)*'Cálculos'!$C$98)/(('Cálculos'!$C$197+(($B$54)-$A13)*'Cálculos'!$C$98)+1400)+'Cálculos'!$C$122)*'Cálculos'!$C$231+'Cálculos'!$C$125*(1+2.78*('Cálculos'!$C$197+(($B$54)-$A13)*'Cálculos'!$C$98)/(('Cálculos'!$C$197+(($B$54)-$A13)*'Cálculos'!$C$98)+1400)+'Cálculos'!$C$123)*'Cálculos'!$C$236)+('Cálculos'!$C$204*(1+'Cálculos'!$C$205+$A13*('Cálculos'!$C$290=3)*'Cálculos'!$C$103)+'Cálculos'!$C$206)*('Cálculos'!$C$227+'Cálculos'!$C$124*(1+2.78*('Cálculos'!$C$197+(($B$54)-$A13)*'Cálculos'!$C$98)/(('Cálculos'!$C$197+(($B$54)-$A13)*'Cálculos'!$C$98)+1400)+'Cálculos'!$C$122)*'Cálculos'!$C$232+'Cálculos'!$C$125*(1+2.78*('Cálculos'!$C$197+(($B$54)-$A13)*'Cálculos'!$C$98)/(('Cálculos'!$C$197+(($B$54)-$A13)*'Cálculos'!$C$98)+1400)+'Cálculos'!$C$123)*'Cálculos'!$C$237)+('Cálculos'!$C$185*(1+'Cálculos'!$C$188+$A13*('Cálculos'!$C$290=1)*'Cálculos'!$C$97+'Cálculos'!$C$305)+'Cálculos'!$C$193)*('Cálculos'!$C$239+'Cálculos'!$C$124*(1+2.78*('Cálculos'!$C$198+(($B$54)-$A13)*'Cálculos'!$C$98)/(('Cálculos'!$C$198+(($B$54)-$A13)*'Cálculos'!$C$98)+1400)+'Cálculos'!$C$122)*'Cálculos'!$C$244+'Cálculos'!$C$125*(1+2.78*('Cálculos'!$C$198+(($B$54)-$A13)*'Cálculos'!$C$98)/(('Cálculos'!$C$198+(($B$54)-$A13)*'Cálculos'!$C$98)+1400)+'Cálculos'!$C$123)*'Cálculos'!$C$249)+('Cálculos'!$C$198+(($B$54)-$A13)*'Cálculos'!$C$98)*('Cálculos'!$C$240+'Cálculos'!$C$124*(1+2.78*('Cálculos'!$C$198+(($B$54)-$A13)*'Cálculos'!$C$98)/(('Cálculos'!$C$198+(($B$54)-$A13)*'Cálculos'!$C$98)+1400)+'Cálculos'!$C$122)*'Cálculos'!$C$245+'Cálculos'!$C$125*(1+2.78*('Cálculos'!$C$198+(($B$54)-$A13)*'Cálculos'!$C$98)/(('Cálculos'!$C$198+(($B$54)-$A13)*'Cálculos'!$C$98)+1400)+'Cálculos'!$C$123)*'Cálculos'!$C$250)+('Cálculos'!$C$201*(1+'Cálculos'!$C$202+$A13*('Cálculos'!$C$290=2)*'Cálculos'!$C$101)+'Cálculos'!$C$203)*('Cálculos'!$C$241+'Cálculos'!$C$124*(1+2.78*('Cálculos'!$C$198+(($B$54)-$A13)*'Cálculos'!$C$98)/(('Cálculos'!$C$198+(($B$54)-$A13)*'Cálculos'!$C$98)+1400)+'Cálculos'!$C$122)*'Cálculos'!$C$246+'Cálculos'!$C$125*(1+2.78*('Cálculos'!$C$198+(($B$54)-$A13)*'Cálculos'!$C$98)/(('Cálculos'!$C$198+(($B$54)-$A13)*'Cálculos'!$C$98)+1400)+'Cálculos'!$C$123)*'Cálculos'!$C$251)+('Cálculos'!$C$204*(1+'Cálculos'!$C$205+$A13*('Cálculos'!$C$290=3)*'Cálculos'!$C$103)+'Cálculos'!$C$206)*('Cálculos'!$C$242+'Cálculos'!$C$124*(1+2.78*('Cálculos'!$C$198+(($B$54)-$A13)*'Cálculos'!$C$98)/(('Cálculos'!$C$198+(($B$54)-$A13)*'Cálculos'!$C$98)+1400)+'Cálculos'!$C$122)*'Cálculos'!$C$247+'Cálculos'!$C$125*(1+2.78*('Cálculos'!$C$198+(($B$54)-$A13)*'Cálculos'!$C$98)/(('Cálculos'!$C$198+(($B$54)-$A13)*'Cálculos'!$C$98)+1400)+'Cálculos'!$C$123)*'Cálculos'!$C$252)+('Cálculos'!$C$185*(1+'Cálculos'!$C$189+$A13*('Cálculos'!$C$290=1)*'Cálculos'!$C$97+'Cálculos'!$C$305)+'Cálculos'!$C$194)*('Cálculos'!$C$254+'Cálculos'!$C$124*(1+2.78*('Cálculos'!$C$199+(($B$54)-$A13)*'Cálculos'!$C$98)/(('Cálculos'!$C$199+(($B$54)-$A13)*'Cálculos'!$C$98)+1400)+'Cálculos'!$C$122)*'Cálculos'!$C$259+'Cálculos'!$C$125*(1+2.78*('Cálculos'!$C$199+(($B$54)-$A13)*'Cálculos'!$C$98)/(('Cálculos'!$C$199+(($B$54)-$A13)*'Cálculos'!$C$98)+1400)+'Cálculos'!$C$123)*'Cálculos'!$C$264)+('Cálculos'!$C$199+(($B$54)-$A13)*'Cálculos'!$C$98)*('Cálculos'!$C$255+'Cálculos'!$C$124*(1+2.78*('Cálculos'!$C$199+(($B$54)-$A13)*'Cálculos'!$C$98)/(('Cálculos'!$C$199+(($B$54)-$A13)*'Cálculos'!$C$98)+1400)+'Cálculos'!$C$122)*'Cálculos'!$C$260+'Cálculos'!$C$125*(1+2.78*('Cálculos'!$C$199+(($B$54)-$A13)*'Cálculos'!$C$98)/(('Cálculos'!$C$199+(($B$54)-$A13)*'Cálculos'!$C$98)+1400)+'Cálculos'!$C$123)*'Cálculos'!$C$265)+('Cálculos'!$C$201*(1+'Cálculos'!$C$202+$A13*('Cálculos'!$C$290=2)*'Cálculos'!$C$101)+'Cálculos'!$C$203)*('Cálculos'!$C$256+'Cálculos'!$C$124*(1+2.78*('Cálculos'!$C$199+(($B$54)-$A13)*'Cálculos'!$C$98)/(('Cálculos'!$C$199+(($B$54)-$A13)*'Cálculos'!$C$98)+1400)+'Cálculos'!$C$122)*'Cálculos'!$C$261+'Cálculos'!$C$125*(1+2.78*('Cálculos'!$C$199+(($B$54)-$A13)*'Cálculos'!$C$98)/(('Cálculos'!$C$199+(($B$54)-$A13)*'Cálculos'!$C$98)+1400)+'Cálculos'!$C$123)*'Cálculos'!$C$266)+('Cálculos'!$C$204*(1+'Cálculos'!$C$205+$A13*('Cálculos'!$C$290=3)*'Cálculos'!$C$103)+'Cálculos'!$C$206)*('Cálculos'!$C$257+'Cálculos'!$C$124*(1+2.78*('Cálculos'!$C$199+(($B$54)-$A13)*'Cálculos'!$C$98)/(('Cálculos'!$C$199+(($B$54)-$A13)*'Cálculos'!$C$98)+1400)+'Cálculos'!$C$122)*'Cálculos'!$C$262+'Cálculos'!$C$125*(1+2.78*('Cálculos'!$C$199+(($B$54)-$A13)*'Cálculos'!$C$98)/(('Cálculos'!$C$199+(($B$54)-$A13)*'Cálculos'!$C$98)+1400)+'Cálculos'!$C$123)*'Cálculos'!$C$267)+('Cálculos'!$C$185*(1+'Cálculos'!$C$190+$A13*('Cálculos'!$C$290=1)*'Cálculos'!$C$97+'Cálculos'!$C$305)+'Cálculos'!$C$195)*('Cálculos'!$C$269+'Cálculos'!$C$124*(1+2.78*('Cálculos'!$C$200+(($B$54)-$A13)*'Cálculos'!$C$98)/(('Cálculos'!$C$200+(($B$54)-$A13)*'Cálculos'!$C$98)+1400)+'Cálculos'!$C$122)*'Cálculos'!$C$274+'Cálculos'!$C$125*(1+2.78*('Cálculos'!$C$200+(($B$54)-$A13)*'Cálculos'!$C$98)/(('Cálculos'!$C$200+(($B$54)-$A13)*'Cálculos'!$C$98)+1400)+'Cálculos'!$C$123)*'Cálculos'!$C$279)+('Cálculos'!$C$200+(($B$54)-$A13)*'Cálculos'!$C$98)*('Cálculos'!$C$270+'Cálculos'!$C$124*(1+2.78*('Cálculos'!$C$200+(($B$54)-$A13)*'Cálculos'!$C$98)/(('Cálculos'!$C$200+(($B$54)-$A13)*'Cálculos'!$C$98)+1400)+'Cálculos'!$C$122)*'Cálculos'!$C$275+'Cálculos'!$C$125*(1+2.78*('Cálculos'!$C$200+(($B$54)-$A13)*'Cálculos'!$C$98)/(('Cálculos'!$C$200+(($B$54)-$A13)*'Cálculos'!$C$98)+1400)+'Cálculos'!$C$123)*'Cálculos'!$C$280)+('Cálculos'!$C$201*(1+'Cálculos'!$C$202+$A13*('Cálculos'!$C$290=2)*'Cálculos'!$C$101)+'Cálculos'!$C$203)*('Cálculos'!$C$271+'Cálculos'!$C$124*(1+2.78*('Cálculos'!$C$200+(($B$54)-$A13)*'Cálculos'!$C$98)/(('Cálculos'!$C$200+(($B$54)-$A13)*'Cálculos'!$C$98)+1400)+'Cálculos'!$C$122)*'Cálculos'!$C$276+'Cálculos'!$C$125*(1+2.78*('Cálculos'!$C$200+(($B$54)-$A13)*'Cálculos'!$C$98)/(('Cálculos'!$C$200+(($B$54)-$A13)*'Cálculos'!$C$98)+1400)+'Cálculos'!$C$123)*'Cálculos'!$C$281)+('Cálculos'!$C$204*(1+'Cálculos'!$C$205+$A13*('Cálculos'!$C$290=3)*'Cálculos'!$C$103)+'Cálculos'!$C$206)*('Cálculos'!$C$272+'Cálculos'!$C$124*(1+2.78*('Cálculos'!$C$200+(($B$54)-$A13)*'Cálculos'!$C$98)/(('Cálculos'!$C$200+(($B$54)-$A13)*'Cálculos'!$C$98)+1400)+'Cálculos'!$C$122)*'Cálculos'!$C$277+'Cálculos'!$C$125*(1+2.78*('Cálculos'!$C$200+(($B$54)-$A13)*'Cálculos'!$C$98)/(('Cálculos'!$C$200+(($B$54)-$A13)*'Cálculos'!$C$98)+1400)+'Cálculos'!$C$123)*'Cálculos'!$C$282)))</f>
        <v>0</v>
      </c>
    </row>
    <row r="14">
      <c r="A14" s="2">
        <v>8.0</v>
      </c>
      <c r="B14" s="30">
        <f>SUMPRODUCT(MAX(($A$6:$A$51&lt;=$A14)*($A$6:$A$51&lt;='Cálculos'!$C$294)*(($A14)-$A$6:$A$51&lt;='Cálculos'!$C$295)*(1+(('Cálculos'!$C$207+$A$6:$A$51*'Cálculos'!$C$95)-(('Cálculos'!$C$207+$A$6:$A$51*'Cálculos'!$C$95)&gt;1)*(('Cálculos'!$C$207+$A$6:$A$51*'Cálculos'!$C$95)-1))*('Cálculos'!$C$208+(($A14)-$A$6:$A$51)*'Cálculos'!$C$96))))</f>
        <v>2.76932</v>
      </c>
      <c r="C14" s="2">
        <f>'Cálculos'!$C$303-$A14</f>
        <v>12</v>
      </c>
      <c r="D14" s="31">
        <f>IF($C14&lt;0,0,SUMPRODUCT(MAX(($A$6:$A$51&lt;=$C14)*($A$6:$A$51&lt;='Cálculos'!$C$301)*(($C14)-$A$6:$A$51&lt;='Cálculos'!$C$297)*(('Cálculos'!$C$185*(1+'Cálculos'!$C$186+$A$6:$A$51*('Cálculos'!$C$290=1)*'Cálculos'!$C$97+'Cálculos'!$C$305)+'Cálculos'!$C$191)*('Cálculos'!$C$209+'Cálculos'!$C$124*(1+2.78*('Cálculos'!$C$196+(($C14)-$A$6:$A$51)*'Cálculos'!$C$98)/(('Cálculos'!$C$196+(($C14)-$A$6:$A$51)*'Cálculos'!$C$98)+1400)+'Cálculos'!$C$122)*'Cálculos'!$C$214+'Cálculos'!$C$125*(1+2.78*('Cálculos'!$C$196+(($C14)-$A$6:$A$51)*'Cálculos'!$C$98)/(('Cálculos'!$C$196+(($C14)-$A$6:$A$51)*'Cálculos'!$C$98)+1400)+'Cálculos'!$C$123)*'Cálculos'!$C$219)+('Cálculos'!$C$196+(($C14)-$A$6:$A$51)*'Cálculos'!$C$98)*('Cálculos'!$C$210+'Cálculos'!$C$124*(1+2.78*('Cálculos'!$C$196+(($C14)-$A$6:$A$51)*'Cálculos'!$C$98)/(('Cálculos'!$C$196+(($C14)-$A$6:$A$51)*'Cálculos'!$C$98)+1400)+'Cálculos'!$C$122)*'Cálculos'!$C$215+'Cálculos'!$C$125*(1+2.78*('Cálculos'!$C$196+(($C14)-$A$6:$A$51)*'Cálculos'!$C$98)/(('Cálculos'!$C$196+(($C14)-$A$6:$A$51)*'Cálculos'!$C$98)+1400)+'Cálculos'!$C$123)*'Cálculos'!$C$220)+('Cálculos'!$C$201*(1+'Cálculos'!$C$202+$A$6:$A$51*('Cálculos'!$C$290=2)*'Cálculos'!$C$101)+'Cálculos'!$C$203)*('Cálculos'!$C$211+'Cálculos'!$C$124*(1+2.78*('Cálculos'!$C$196+(($C14)-$A$6:$A$51)*'Cálculos'!$C$98)/(('Cálculos'!$C$196+(($C14)-$A$6:$A$51)*'Cálculos'!$C$98)+1400)+'Cálculos'!$C$122)*'Cálculos'!$C$216+'Cálculos'!$C$125*(1+2.78*('Cálculos'!$C$196+(($C14)-$A$6:$A$51)*'Cálculos'!$C$98)/(('Cálculos'!$C$196+(($C14)-$A$6:$A$51)*'Cálculos'!$C$98)+1400)+'Cálculos'!$C$123)*'Cálculos'!$C$221)+('Cálculos'!$C$204*(1+'Cálculos'!$C$205+$A$6:$A$51*('Cálculos'!$C$290=3)*'Cálculos'!$C$103)+'Cálculos'!$C$206)*('Cálculos'!$C$212+'Cálculos'!$C$124*(1+2.78*('Cálculos'!$C$196+(($C14)-$A$6:$A$51)*'Cálculos'!$C$98)/(('Cálculos'!$C$196+(($C14)-$A$6:$A$51)*'Cálculos'!$C$98)+1400)+'Cálculos'!$C$122)*'Cálculos'!$C$217+'Cálculos'!$C$125*(1+2.78*('Cálculos'!$C$196+(($C14)-$A$6:$A$51)*'Cálculos'!$C$98)/(('Cálculos'!$C$196+(($C14)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14)-$A$6:$A$51)*'Cálculos'!$C$98)/(('Cálculos'!$C$197+(($C14)-$A$6:$A$51)*'Cálculos'!$C$98)+1400)+'Cálculos'!$C$122)*'Cálculos'!$C$229+'Cálculos'!$C$125*(1+2.78*('Cálculos'!$C$197+(($C14)-$A$6:$A$51)*'Cálculos'!$C$98)/(('Cálculos'!$C$197+(($C14)-$A$6:$A$51)*'Cálculos'!$C$98)+1400)+'Cálculos'!$C$123)*'Cálculos'!$C$234)+('Cálculos'!$C$197+(($C14)-$A$6:$A$51)*'Cálculos'!$C$98)*('Cálculos'!$C$225+'Cálculos'!$C$124*(1+2.78*('Cálculos'!$C$197+(($C14)-$A$6:$A$51)*'Cálculos'!$C$98)/(('Cálculos'!$C$197+(($C14)-$A$6:$A$51)*'Cálculos'!$C$98)+1400)+'Cálculos'!$C$122)*'Cálculos'!$C$230+'Cálculos'!$C$125*(1+2.78*('Cálculos'!$C$197+(($C14)-$A$6:$A$51)*'Cálculos'!$C$98)/(('Cálculos'!$C$197+(($C14)-$A$6:$A$51)*'Cálculos'!$C$98)+1400)+'Cálculos'!$C$123)*'Cálculos'!$C$235)+('Cálculos'!$C$201*(1+'Cálculos'!$C$202+$A$6:$A$51*('Cálculos'!$C$290=2)*'Cálculos'!$C$101)+'Cálculos'!$C$203)*('Cálculos'!$C$226+'Cálculos'!$C$124*(1+2.78*('Cálculos'!$C$197+(($C14)-$A$6:$A$51)*'Cálculos'!$C$98)/(('Cálculos'!$C$197+(($C14)-$A$6:$A$51)*'Cálculos'!$C$98)+1400)+'Cálculos'!$C$122)*'Cálculos'!$C$231+'Cálculos'!$C$125*(1+2.78*('Cálculos'!$C$197+(($C14)-$A$6:$A$51)*'Cálculos'!$C$98)/(('Cálculos'!$C$197+(($C14)-$A$6:$A$51)*'Cálculos'!$C$98)+1400)+'Cálculos'!$C$123)*'Cálculos'!$C$236)+('Cálculos'!$C$204*(1+'Cálculos'!$C$205+$A$6:$A$51*('Cálculos'!$C$290=3)*'Cálculos'!$C$103)+'Cálculos'!$C$206)*('Cálculos'!$C$227+'Cálculos'!$C$124*(1+2.78*('Cálculos'!$C$197+(($C14)-$A$6:$A$51)*'Cálculos'!$C$98)/(('Cálculos'!$C$197+(($C14)-$A$6:$A$51)*'Cálculos'!$C$98)+1400)+'Cálculos'!$C$122)*'Cálculos'!$C$232+'Cálculos'!$C$125*(1+2.78*('Cálculos'!$C$197+(($C14)-$A$6:$A$51)*'Cálculos'!$C$98)/(('Cálculos'!$C$197+(($C14)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14)-$A$6:$A$51)*'Cálculos'!$C$98)/(('Cálculos'!$C$198+(($C14)-$A$6:$A$51)*'Cálculos'!$C$98)+1400)+'Cálculos'!$C$122)*'Cálculos'!$C$244+'Cálculos'!$C$125*(1+2.78*('Cálculos'!$C$198+(($C14)-$A$6:$A$51)*'Cálculos'!$C$98)/(('Cálculos'!$C$198+(($C14)-$A$6:$A$51)*'Cálculos'!$C$98)+1400)+'Cálculos'!$C$123)*'Cálculos'!$C$249)+('Cálculos'!$C$198+(($C14)-$A$6:$A$51)*'Cálculos'!$C$98)*('Cálculos'!$C$240+'Cálculos'!$C$124*(1+2.78*('Cálculos'!$C$198+(($C14)-$A$6:$A$51)*'Cálculos'!$C$98)/(('Cálculos'!$C$198+(($C14)-$A$6:$A$51)*'Cálculos'!$C$98)+1400)+'Cálculos'!$C$122)*'Cálculos'!$C$245+'Cálculos'!$C$125*(1+2.78*('Cálculos'!$C$198+(($C14)-$A$6:$A$51)*'Cálculos'!$C$98)/(('Cálculos'!$C$198+(($C14)-$A$6:$A$51)*'Cálculos'!$C$98)+1400)+'Cálculos'!$C$123)*'Cálculos'!$C$250)+('Cálculos'!$C$201*(1+'Cálculos'!$C$202+$A$6:$A$51*('Cálculos'!$C$290=2)*'Cálculos'!$C$101)+'Cálculos'!$C$203)*('Cálculos'!$C$241+'Cálculos'!$C$124*(1+2.78*('Cálculos'!$C$198+(($C14)-$A$6:$A$51)*'Cálculos'!$C$98)/(('Cálculos'!$C$198+(($C14)-$A$6:$A$51)*'Cálculos'!$C$98)+1400)+'Cálculos'!$C$122)*'Cálculos'!$C$246+'Cálculos'!$C$125*(1+2.78*('Cálculos'!$C$198+(($C14)-$A$6:$A$51)*'Cálculos'!$C$98)/(('Cálculos'!$C$198+(($C14)-$A$6:$A$51)*'Cálculos'!$C$98)+1400)+'Cálculos'!$C$123)*'Cálculos'!$C$251)+('Cálculos'!$C$204*(1+'Cálculos'!$C$205+$A$6:$A$51*('Cálculos'!$C$290=3)*'Cálculos'!$C$103)+'Cálculos'!$C$206)*('Cálculos'!$C$242+'Cálculos'!$C$124*(1+2.78*('Cálculos'!$C$198+(($C14)-$A$6:$A$51)*'Cálculos'!$C$98)/(('Cálculos'!$C$198+(($C14)-$A$6:$A$51)*'Cálculos'!$C$98)+1400)+'Cálculos'!$C$122)*'Cálculos'!$C$247+'Cálculos'!$C$125*(1+2.78*('Cálculos'!$C$198+(($C14)-$A$6:$A$51)*'Cálculos'!$C$98)/(('Cálculos'!$C$198+(($C14)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14)-$A$6:$A$51)*'Cálculos'!$C$98)/(('Cálculos'!$C$199+(($C14)-$A$6:$A$51)*'Cálculos'!$C$98)+1400)+'Cálculos'!$C$122)*'Cálculos'!$C$259+'Cálculos'!$C$125*(1+2.78*('Cálculos'!$C$199+(($C14)-$A$6:$A$51)*'Cálculos'!$C$98)/(('Cálculos'!$C$199+(($C14)-$A$6:$A$51)*'Cálculos'!$C$98)+1400)+'Cálculos'!$C$123)*'Cálculos'!$C$264)+('Cálculos'!$C$199+(($C14)-$A$6:$A$51)*'Cálculos'!$C$98)*('Cálculos'!$C$255+'Cálculos'!$C$124*(1+2.78*('Cálculos'!$C$199+(($C14)-$A$6:$A$51)*'Cálculos'!$C$98)/(('Cálculos'!$C$199+(($C14)-$A$6:$A$51)*'Cálculos'!$C$98)+1400)+'Cálculos'!$C$122)*'Cálculos'!$C$260+'Cálculos'!$C$125*(1+2.78*('Cálculos'!$C$199+(($C14)-$A$6:$A$51)*'Cálculos'!$C$98)/(('Cálculos'!$C$199+(($C14)-$A$6:$A$51)*'Cálculos'!$C$98)+1400)+'Cálculos'!$C$123)*'Cálculos'!$C$265)+('Cálculos'!$C$201*(1+'Cálculos'!$C$202+$A$6:$A$51*('Cálculos'!$C$290=2)*'Cálculos'!$C$101)+'Cálculos'!$C$203)*('Cálculos'!$C$256+'Cálculos'!$C$124*(1+2.78*('Cálculos'!$C$199+(($C14)-$A$6:$A$51)*'Cálculos'!$C$98)/(('Cálculos'!$C$199+(($C14)-$A$6:$A$51)*'Cálculos'!$C$98)+1400)+'Cálculos'!$C$122)*'Cálculos'!$C$261+'Cálculos'!$C$125*(1+2.78*('Cálculos'!$C$199+(($C14)-$A$6:$A$51)*'Cálculos'!$C$98)/(('Cálculos'!$C$199+(($C14)-$A$6:$A$51)*'Cálculos'!$C$98)+1400)+'Cálculos'!$C$123)*'Cálculos'!$C$266)+('Cálculos'!$C$204*(1+'Cálculos'!$C$205+$A$6:$A$51*('Cálculos'!$C$290=3)*'Cálculos'!$C$103)+'Cálculos'!$C$206)*('Cálculos'!$C$257+'Cálculos'!$C$124*(1+2.78*('Cálculos'!$C$199+(($C14)-$A$6:$A$51)*'Cálculos'!$C$98)/(('Cálculos'!$C$199+(($C14)-$A$6:$A$51)*'Cálculos'!$C$98)+1400)+'Cálculos'!$C$122)*'Cálculos'!$C$262+'Cálculos'!$C$125*(1+2.78*('Cálculos'!$C$199+(($C14)-$A$6:$A$51)*'Cálculos'!$C$98)/(('Cálculos'!$C$199+(($C14)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14)-$A$6:$A$51)*'Cálculos'!$C$98)/(('Cálculos'!$C$200+(($C14)-$A$6:$A$51)*'Cálculos'!$C$98)+1400)+'Cálculos'!$C$122)*'Cálculos'!$C$274+'Cálculos'!$C$125*(1+2.78*('Cálculos'!$C$200+(($C14)-$A$6:$A$51)*'Cálculos'!$C$98)/(('Cálculos'!$C$200+(($C14)-$A$6:$A$51)*'Cálculos'!$C$98)+1400)+'Cálculos'!$C$123)*'Cálculos'!$C$279)+('Cálculos'!$C$200+(($C14)-$A$6:$A$51)*'Cálculos'!$C$98)*('Cálculos'!$C$270+'Cálculos'!$C$124*(1+2.78*('Cálculos'!$C$200+(($C14)-$A$6:$A$51)*'Cálculos'!$C$98)/(('Cálculos'!$C$200+(($C14)-$A$6:$A$51)*'Cálculos'!$C$98)+1400)+'Cálculos'!$C$122)*'Cálculos'!$C$275+'Cálculos'!$C$125*(1+2.78*('Cálculos'!$C$200+(($C14)-$A$6:$A$51)*'Cálculos'!$C$98)/(('Cálculos'!$C$200+(($C14)-$A$6:$A$51)*'Cálculos'!$C$98)+1400)+'Cálculos'!$C$123)*'Cálculos'!$C$280)+('Cálculos'!$C$201*(1+'Cálculos'!$C$202+$A$6:$A$51*('Cálculos'!$C$290=2)*'Cálculos'!$C$101)+'Cálculos'!$C$203)*('Cálculos'!$C$271+'Cálculos'!$C$124*(1+2.78*('Cálculos'!$C$200+(($C14)-$A$6:$A$51)*'Cálculos'!$C$98)/(('Cálculos'!$C$200+(($C14)-$A$6:$A$51)*'Cálculos'!$C$98)+1400)+'Cálculos'!$C$122)*'Cálculos'!$C$276+'Cálculos'!$C$125*(1+2.78*('Cálculos'!$C$200+(($C14)-$A$6:$A$51)*'Cálculos'!$C$98)/(('Cálculos'!$C$200+(($C14)-$A$6:$A$51)*'Cálculos'!$C$98)+1400)+'Cálculos'!$C$123)*'Cálculos'!$C$281)+('Cálculos'!$C$204*(1+'Cálculos'!$C$205+$A$6:$A$51*('Cálculos'!$C$290=3)*'Cálculos'!$C$103)+'Cálculos'!$C$206)*('Cálculos'!$C$272+'Cálculos'!$C$124*(1+2.78*('Cálculos'!$C$200+(($C14)-$A$6:$A$51)*'Cálculos'!$C$98)/(('Cálculos'!$C$200+(($C14)-$A$6:$A$51)*'Cálculos'!$C$98)+1400)+'Cálculos'!$C$122)*'Cálculos'!$C$277+'Cálculos'!$C$125*(1+2.78*('Cálculos'!$C$200+(($C14)-$A$6:$A$51)*'Cálculos'!$C$98)/(('Cálculos'!$C$200+(($C14)-$A$6:$A$51)*'Cálculos'!$C$98)+1400)+'Cálculos'!$C$123)*'Cálculos'!$C$282)))))</f>
        <v>1189299.781</v>
      </c>
      <c r="E14" s="32">
        <f>IF(OR($C14&lt;0,'Cálculos'!$C$6=""),0,$B14*$D14)</f>
        <v>3293551.669</v>
      </c>
      <c r="F14" s="2"/>
      <c r="G14" s="30">
        <f>($A14&lt;=$B$53)*($A14&lt;='Cálculos'!$C$294)*(($B$53)-$A14&lt;='Cálculos'!$C$295)*(1+MIN(('Cálculos'!$C$207+$A14*'Cálculos'!$C$95),1)*('Cálculos'!$C$208+(($B$53)-$A14)*'Cálculos'!$C$96))</f>
        <v>3.23924</v>
      </c>
      <c r="H14" s="31">
        <f>IF($B$54&lt;0,0,($A14&lt;=$B$54)*($A14&lt;='Cálculos'!$C$301)*(($B$54)-$A14&lt;='Cálculos'!$C$297)*(('Cálculos'!$C$185*(1+'Cálculos'!$C$186+$A14*('Cálculos'!$C$290=1)*'Cálculos'!$C$97+'Cálculos'!$C$305)+'Cálculos'!$C$191)*('Cálculos'!$C$209+'Cálculos'!$C$124*(1+2.78*('Cálculos'!$C$196+(($B$54)-$A14)*'Cálculos'!$C$98)/(('Cálculos'!$C$196+(($B$54)-$A14)*'Cálculos'!$C$98)+1400)+'Cálculos'!$C$122)*'Cálculos'!$C$214+'Cálculos'!$C$125*(1+2.78*('Cálculos'!$C$196+(($B$54)-$A14)*'Cálculos'!$C$98)/(('Cálculos'!$C$196+(($B$54)-$A14)*'Cálculos'!$C$98)+1400)+'Cálculos'!$C$123)*'Cálculos'!$C$219)+('Cálculos'!$C$196+(($B$54)-$A14)*'Cálculos'!$C$98)*('Cálculos'!$C$210+'Cálculos'!$C$124*(1+2.78*('Cálculos'!$C$196+(($B$54)-$A14)*'Cálculos'!$C$98)/(('Cálculos'!$C$196+(($B$54)-$A14)*'Cálculos'!$C$98)+1400)+'Cálculos'!$C$122)*'Cálculos'!$C$215+'Cálculos'!$C$125*(1+2.78*('Cálculos'!$C$196+(($B$54)-$A14)*'Cálculos'!$C$98)/(('Cálculos'!$C$196+(($B$54)-$A14)*'Cálculos'!$C$98)+1400)+'Cálculos'!$C$123)*'Cálculos'!$C$220)+('Cálculos'!$C$201*(1+'Cálculos'!$C$202+$A14*('Cálculos'!$C$290=2)*'Cálculos'!$C$101)+'Cálculos'!$C$203)*('Cálculos'!$C$211+'Cálculos'!$C$124*(1+2.78*('Cálculos'!$C$196+(($B$54)-$A14)*'Cálculos'!$C$98)/(('Cálculos'!$C$196+(($B$54)-$A14)*'Cálculos'!$C$98)+1400)+'Cálculos'!$C$122)*'Cálculos'!$C$216+'Cálculos'!$C$125*(1+2.78*('Cálculos'!$C$196+(($B$54)-$A14)*'Cálculos'!$C$98)/(('Cálculos'!$C$196+(($B$54)-$A14)*'Cálculos'!$C$98)+1400)+'Cálculos'!$C$123)*'Cálculos'!$C$221)+('Cálculos'!$C$204*(1+'Cálculos'!$C$205+$A14*('Cálculos'!$C$290=3)*'Cálculos'!$C$103)+'Cálculos'!$C$206)*('Cálculos'!$C$212+'Cálculos'!$C$124*(1+2.78*('Cálculos'!$C$196+(($B$54)-$A14)*'Cálculos'!$C$98)/(('Cálculos'!$C$196+(($B$54)-$A14)*'Cálculos'!$C$98)+1400)+'Cálculos'!$C$122)*'Cálculos'!$C$217+'Cálculos'!$C$125*(1+2.78*('Cálculos'!$C$196+(($B$54)-$A14)*'Cálculos'!$C$98)/(('Cálculos'!$C$196+(($B$54)-$A14)*'Cálculos'!$C$98)+1400)+'Cálculos'!$C$123)*'Cálculos'!$C$222)+('Cálculos'!$C$185*(1+'Cálculos'!$C$187+$A14*('Cálculos'!$C$290=1)*'Cálculos'!$C$97+'Cálculos'!$C$305)+'Cálculos'!$C$192)*('Cálculos'!$C$224+'Cálculos'!$C$124*(1+2.78*('Cálculos'!$C$197+(($B$54)-$A14)*'Cálculos'!$C$98)/(('Cálculos'!$C$197+(($B$54)-$A14)*'Cálculos'!$C$98)+1400)+'Cálculos'!$C$122)*'Cálculos'!$C$229+'Cálculos'!$C$125*(1+2.78*('Cálculos'!$C$197+(($B$54)-$A14)*'Cálculos'!$C$98)/(('Cálculos'!$C$197+(($B$54)-$A14)*'Cálculos'!$C$98)+1400)+'Cálculos'!$C$123)*'Cálculos'!$C$234)+('Cálculos'!$C$197+(($B$54)-$A14)*'Cálculos'!$C$98)*('Cálculos'!$C$225+'Cálculos'!$C$124*(1+2.78*('Cálculos'!$C$197+(($B$54)-$A14)*'Cálculos'!$C$98)/(('Cálculos'!$C$197+(($B$54)-$A14)*'Cálculos'!$C$98)+1400)+'Cálculos'!$C$122)*'Cálculos'!$C$230+'Cálculos'!$C$125*(1+2.78*('Cálculos'!$C$197+(($B$54)-$A14)*'Cálculos'!$C$98)/(('Cálculos'!$C$197+(($B$54)-$A14)*'Cálculos'!$C$98)+1400)+'Cálculos'!$C$123)*'Cálculos'!$C$235)+('Cálculos'!$C$201*(1+'Cálculos'!$C$202+$A14*('Cálculos'!$C$290=2)*'Cálculos'!$C$101)+'Cálculos'!$C$203)*('Cálculos'!$C$226+'Cálculos'!$C$124*(1+2.78*('Cálculos'!$C$197+(($B$54)-$A14)*'Cálculos'!$C$98)/(('Cálculos'!$C$197+(($B$54)-$A14)*'Cálculos'!$C$98)+1400)+'Cálculos'!$C$122)*'Cálculos'!$C$231+'Cálculos'!$C$125*(1+2.78*('Cálculos'!$C$197+(($B$54)-$A14)*'Cálculos'!$C$98)/(('Cálculos'!$C$197+(($B$54)-$A14)*'Cálculos'!$C$98)+1400)+'Cálculos'!$C$123)*'Cálculos'!$C$236)+('Cálculos'!$C$204*(1+'Cálculos'!$C$205+$A14*('Cálculos'!$C$290=3)*'Cálculos'!$C$103)+'Cálculos'!$C$206)*('Cálculos'!$C$227+'Cálculos'!$C$124*(1+2.78*('Cálculos'!$C$197+(($B$54)-$A14)*'Cálculos'!$C$98)/(('Cálculos'!$C$197+(($B$54)-$A14)*'Cálculos'!$C$98)+1400)+'Cálculos'!$C$122)*'Cálculos'!$C$232+'Cálculos'!$C$125*(1+2.78*('Cálculos'!$C$197+(($B$54)-$A14)*'Cálculos'!$C$98)/(('Cálculos'!$C$197+(($B$54)-$A14)*'Cálculos'!$C$98)+1400)+'Cálculos'!$C$123)*'Cálculos'!$C$237)+('Cálculos'!$C$185*(1+'Cálculos'!$C$188+$A14*('Cálculos'!$C$290=1)*'Cálculos'!$C$97+'Cálculos'!$C$305)+'Cálculos'!$C$193)*('Cálculos'!$C$239+'Cálculos'!$C$124*(1+2.78*('Cálculos'!$C$198+(($B$54)-$A14)*'Cálculos'!$C$98)/(('Cálculos'!$C$198+(($B$54)-$A14)*'Cálculos'!$C$98)+1400)+'Cálculos'!$C$122)*'Cálculos'!$C$244+'Cálculos'!$C$125*(1+2.78*('Cálculos'!$C$198+(($B$54)-$A14)*'Cálculos'!$C$98)/(('Cálculos'!$C$198+(($B$54)-$A14)*'Cálculos'!$C$98)+1400)+'Cálculos'!$C$123)*'Cálculos'!$C$249)+('Cálculos'!$C$198+(($B$54)-$A14)*'Cálculos'!$C$98)*('Cálculos'!$C$240+'Cálculos'!$C$124*(1+2.78*('Cálculos'!$C$198+(($B$54)-$A14)*'Cálculos'!$C$98)/(('Cálculos'!$C$198+(($B$54)-$A14)*'Cálculos'!$C$98)+1400)+'Cálculos'!$C$122)*'Cálculos'!$C$245+'Cálculos'!$C$125*(1+2.78*('Cálculos'!$C$198+(($B$54)-$A14)*'Cálculos'!$C$98)/(('Cálculos'!$C$198+(($B$54)-$A14)*'Cálculos'!$C$98)+1400)+'Cálculos'!$C$123)*'Cálculos'!$C$250)+('Cálculos'!$C$201*(1+'Cálculos'!$C$202+$A14*('Cálculos'!$C$290=2)*'Cálculos'!$C$101)+'Cálculos'!$C$203)*('Cálculos'!$C$241+'Cálculos'!$C$124*(1+2.78*('Cálculos'!$C$198+(($B$54)-$A14)*'Cálculos'!$C$98)/(('Cálculos'!$C$198+(($B$54)-$A14)*'Cálculos'!$C$98)+1400)+'Cálculos'!$C$122)*'Cálculos'!$C$246+'Cálculos'!$C$125*(1+2.78*('Cálculos'!$C$198+(($B$54)-$A14)*'Cálculos'!$C$98)/(('Cálculos'!$C$198+(($B$54)-$A14)*'Cálculos'!$C$98)+1400)+'Cálculos'!$C$123)*'Cálculos'!$C$251)+('Cálculos'!$C$204*(1+'Cálculos'!$C$205+$A14*('Cálculos'!$C$290=3)*'Cálculos'!$C$103)+'Cálculos'!$C$206)*('Cálculos'!$C$242+'Cálculos'!$C$124*(1+2.78*('Cálculos'!$C$198+(($B$54)-$A14)*'Cálculos'!$C$98)/(('Cálculos'!$C$198+(($B$54)-$A14)*'Cálculos'!$C$98)+1400)+'Cálculos'!$C$122)*'Cálculos'!$C$247+'Cálculos'!$C$125*(1+2.78*('Cálculos'!$C$198+(($B$54)-$A14)*'Cálculos'!$C$98)/(('Cálculos'!$C$198+(($B$54)-$A14)*'Cálculos'!$C$98)+1400)+'Cálculos'!$C$123)*'Cálculos'!$C$252)+('Cálculos'!$C$185*(1+'Cálculos'!$C$189+$A14*('Cálculos'!$C$290=1)*'Cálculos'!$C$97+'Cálculos'!$C$305)+'Cálculos'!$C$194)*('Cálculos'!$C$254+'Cálculos'!$C$124*(1+2.78*('Cálculos'!$C$199+(($B$54)-$A14)*'Cálculos'!$C$98)/(('Cálculos'!$C$199+(($B$54)-$A14)*'Cálculos'!$C$98)+1400)+'Cálculos'!$C$122)*'Cálculos'!$C$259+'Cálculos'!$C$125*(1+2.78*('Cálculos'!$C$199+(($B$54)-$A14)*'Cálculos'!$C$98)/(('Cálculos'!$C$199+(($B$54)-$A14)*'Cálculos'!$C$98)+1400)+'Cálculos'!$C$123)*'Cálculos'!$C$264)+('Cálculos'!$C$199+(($B$54)-$A14)*'Cálculos'!$C$98)*('Cálculos'!$C$255+'Cálculos'!$C$124*(1+2.78*('Cálculos'!$C$199+(($B$54)-$A14)*'Cálculos'!$C$98)/(('Cálculos'!$C$199+(($B$54)-$A14)*'Cálculos'!$C$98)+1400)+'Cálculos'!$C$122)*'Cálculos'!$C$260+'Cálculos'!$C$125*(1+2.78*('Cálculos'!$C$199+(($B$54)-$A14)*'Cálculos'!$C$98)/(('Cálculos'!$C$199+(($B$54)-$A14)*'Cálculos'!$C$98)+1400)+'Cálculos'!$C$123)*'Cálculos'!$C$265)+('Cálculos'!$C$201*(1+'Cálculos'!$C$202+$A14*('Cálculos'!$C$290=2)*'Cálculos'!$C$101)+'Cálculos'!$C$203)*('Cálculos'!$C$256+'Cálculos'!$C$124*(1+2.78*('Cálculos'!$C$199+(($B$54)-$A14)*'Cálculos'!$C$98)/(('Cálculos'!$C$199+(($B$54)-$A14)*'Cálculos'!$C$98)+1400)+'Cálculos'!$C$122)*'Cálculos'!$C$261+'Cálculos'!$C$125*(1+2.78*('Cálculos'!$C$199+(($B$54)-$A14)*'Cálculos'!$C$98)/(('Cálculos'!$C$199+(($B$54)-$A14)*'Cálculos'!$C$98)+1400)+'Cálculos'!$C$123)*'Cálculos'!$C$266)+('Cálculos'!$C$204*(1+'Cálculos'!$C$205+$A14*('Cálculos'!$C$290=3)*'Cálculos'!$C$103)+'Cálculos'!$C$206)*('Cálculos'!$C$257+'Cálculos'!$C$124*(1+2.78*('Cálculos'!$C$199+(($B$54)-$A14)*'Cálculos'!$C$98)/(('Cálculos'!$C$199+(($B$54)-$A14)*'Cálculos'!$C$98)+1400)+'Cálculos'!$C$122)*'Cálculos'!$C$262+'Cálculos'!$C$125*(1+2.78*('Cálculos'!$C$199+(($B$54)-$A14)*'Cálculos'!$C$98)/(('Cálculos'!$C$199+(($B$54)-$A14)*'Cálculos'!$C$98)+1400)+'Cálculos'!$C$123)*'Cálculos'!$C$267)+('Cálculos'!$C$185*(1+'Cálculos'!$C$190+$A14*('Cálculos'!$C$290=1)*'Cálculos'!$C$97+'Cálculos'!$C$305)+'Cálculos'!$C$195)*('Cálculos'!$C$269+'Cálculos'!$C$124*(1+2.78*('Cálculos'!$C$200+(($B$54)-$A14)*'Cálculos'!$C$98)/(('Cálculos'!$C$200+(($B$54)-$A14)*'Cálculos'!$C$98)+1400)+'Cálculos'!$C$122)*'Cálculos'!$C$274+'Cálculos'!$C$125*(1+2.78*('Cálculos'!$C$200+(($B$54)-$A14)*'Cálculos'!$C$98)/(('Cálculos'!$C$200+(($B$54)-$A14)*'Cálculos'!$C$98)+1400)+'Cálculos'!$C$123)*'Cálculos'!$C$279)+('Cálculos'!$C$200+(($B$54)-$A14)*'Cálculos'!$C$98)*('Cálculos'!$C$270+'Cálculos'!$C$124*(1+2.78*('Cálculos'!$C$200+(($B$54)-$A14)*'Cálculos'!$C$98)/(('Cálculos'!$C$200+(($B$54)-$A14)*'Cálculos'!$C$98)+1400)+'Cálculos'!$C$122)*'Cálculos'!$C$275+'Cálculos'!$C$125*(1+2.78*('Cálculos'!$C$200+(($B$54)-$A14)*'Cálculos'!$C$98)/(('Cálculos'!$C$200+(($B$54)-$A14)*'Cálculos'!$C$98)+1400)+'Cálculos'!$C$123)*'Cálculos'!$C$280)+('Cálculos'!$C$201*(1+'Cálculos'!$C$202+$A14*('Cálculos'!$C$290=2)*'Cálculos'!$C$101)+'Cálculos'!$C$203)*('Cálculos'!$C$271+'Cálculos'!$C$124*(1+2.78*('Cálculos'!$C$200+(($B$54)-$A14)*'Cálculos'!$C$98)/(('Cálculos'!$C$200+(($B$54)-$A14)*'Cálculos'!$C$98)+1400)+'Cálculos'!$C$122)*'Cálculos'!$C$276+'Cálculos'!$C$125*(1+2.78*('Cálculos'!$C$200+(($B$54)-$A14)*'Cálculos'!$C$98)/(('Cálculos'!$C$200+(($B$54)-$A14)*'Cálculos'!$C$98)+1400)+'Cálculos'!$C$123)*'Cálculos'!$C$281)+('Cálculos'!$C$204*(1+'Cálculos'!$C$205+$A14*('Cálculos'!$C$290=3)*'Cálculos'!$C$103)+'Cálculos'!$C$206)*('Cálculos'!$C$272+'Cálculos'!$C$124*(1+2.78*('Cálculos'!$C$200+(($B$54)-$A14)*'Cálculos'!$C$98)/(('Cálculos'!$C$200+(($B$54)-$A14)*'Cálculos'!$C$98)+1400)+'Cálculos'!$C$122)*'Cálculos'!$C$277+'Cálculos'!$C$125*(1+2.78*('Cálculos'!$C$200+(($B$54)-$A14)*'Cálculos'!$C$98)/(('Cálculos'!$C$200+(($B$54)-$A14)*'Cálculos'!$C$98)+1400)+'Cálculos'!$C$123)*'Cálculos'!$C$282)))</f>
        <v>0</v>
      </c>
    </row>
    <row r="15">
      <c r="A15" s="2">
        <v>9.0</v>
      </c>
      <c r="B15" s="30">
        <f>SUMPRODUCT(MAX(($A$6:$A$51&lt;=$A15)*($A$6:$A$51&lt;='Cálculos'!$C$294)*(($A15)-$A$6:$A$51&lt;='Cálculos'!$C$295)*(1+(('Cálculos'!$C$207+$A$6:$A$51*'Cálculos'!$C$95)-(('Cálculos'!$C$207+$A$6:$A$51*'Cálculos'!$C$95)&gt;1)*(('Cálculos'!$C$207+$A$6:$A$51*'Cálculos'!$C$95)-1))*('Cálculos'!$C$208+(($A15)-$A$6:$A$51)*'Cálculos'!$C$96))))</f>
        <v>2.834924</v>
      </c>
      <c r="C15" s="2">
        <f>'Cálculos'!$C$303-$A15</f>
        <v>11</v>
      </c>
      <c r="D15" s="31">
        <f>IF($C15&lt;0,0,SUMPRODUCT(MAX(($A$6:$A$51&lt;=$C15)*($A$6:$A$51&lt;='Cálculos'!$C$301)*(($C15)-$A$6:$A$51&lt;='Cálculos'!$C$297)*(('Cálculos'!$C$185*(1+'Cálculos'!$C$186+$A$6:$A$51*('Cálculos'!$C$290=1)*'Cálculos'!$C$97+'Cálculos'!$C$305)+'Cálculos'!$C$191)*('Cálculos'!$C$209+'Cálculos'!$C$124*(1+2.78*('Cálculos'!$C$196+(($C15)-$A$6:$A$51)*'Cálculos'!$C$98)/(('Cálculos'!$C$196+(($C15)-$A$6:$A$51)*'Cálculos'!$C$98)+1400)+'Cálculos'!$C$122)*'Cálculos'!$C$214+'Cálculos'!$C$125*(1+2.78*('Cálculos'!$C$196+(($C15)-$A$6:$A$51)*'Cálculos'!$C$98)/(('Cálculos'!$C$196+(($C15)-$A$6:$A$51)*'Cálculos'!$C$98)+1400)+'Cálculos'!$C$123)*'Cálculos'!$C$219)+('Cálculos'!$C$196+(($C15)-$A$6:$A$51)*'Cálculos'!$C$98)*('Cálculos'!$C$210+'Cálculos'!$C$124*(1+2.78*('Cálculos'!$C$196+(($C15)-$A$6:$A$51)*'Cálculos'!$C$98)/(('Cálculos'!$C$196+(($C15)-$A$6:$A$51)*'Cálculos'!$C$98)+1400)+'Cálculos'!$C$122)*'Cálculos'!$C$215+'Cálculos'!$C$125*(1+2.78*('Cálculos'!$C$196+(($C15)-$A$6:$A$51)*'Cálculos'!$C$98)/(('Cálculos'!$C$196+(($C15)-$A$6:$A$51)*'Cálculos'!$C$98)+1400)+'Cálculos'!$C$123)*'Cálculos'!$C$220)+('Cálculos'!$C$201*(1+'Cálculos'!$C$202+$A$6:$A$51*('Cálculos'!$C$290=2)*'Cálculos'!$C$101)+'Cálculos'!$C$203)*('Cálculos'!$C$211+'Cálculos'!$C$124*(1+2.78*('Cálculos'!$C$196+(($C15)-$A$6:$A$51)*'Cálculos'!$C$98)/(('Cálculos'!$C$196+(($C15)-$A$6:$A$51)*'Cálculos'!$C$98)+1400)+'Cálculos'!$C$122)*'Cálculos'!$C$216+'Cálculos'!$C$125*(1+2.78*('Cálculos'!$C$196+(($C15)-$A$6:$A$51)*'Cálculos'!$C$98)/(('Cálculos'!$C$196+(($C15)-$A$6:$A$51)*'Cálculos'!$C$98)+1400)+'Cálculos'!$C$123)*'Cálculos'!$C$221)+('Cálculos'!$C$204*(1+'Cálculos'!$C$205+$A$6:$A$51*('Cálculos'!$C$290=3)*'Cálculos'!$C$103)+'Cálculos'!$C$206)*('Cálculos'!$C$212+'Cálculos'!$C$124*(1+2.78*('Cálculos'!$C$196+(($C15)-$A$6:$A$51)*'Cálculos'!$C$98)/(('Cálculos'!$C$196+(($C15)-$A$6:$A$51)*'Cálculos'!$C$98)+1400)+'Cálculos'!$C$122)*'Cálculos'!$C$217+'Cálculos'!$C$125*(1+2.78*('Cálculos'!$C$196+(($C15)-$A$6:$A$51)*'Cálculos'!$C$98)/(('Cálculos'!$C$196+(($C15)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15)-$A$6:$A$51)*'Cálculos'!$C$98)/(('Cálculos'!$C$197+(($C15)-$A$6:$A$51)*'Cálculos'!$C$98)+1400)+'Cálculos'!$C$122)*'Cálculos'!$C$229+'Cálculos'!$C$125*(1+2.78*('Cálculos'!$C$197+(($C15)-$A$6:$A$51)*'Cálculos'!$C$98)/(('Cálculos'!$C$197+(($C15)-$A$6:$A$51)*'Cálculos'!$C$98)+1400)+'Cálculos'!$C$123)*'Cálculos'!$C$234)+('Cálculos'!$C$197+(($C15)-$A$6:$A$51)*'Cálculos'!$C$98)*('Cálculos'!$C$225+'Cálculos'!$C$124*(1+2.78*('Cálculos'!$C$197+(($C15)-$A$6:$A$51)*'Cálculos'!$C$98)/(('Cálculos'!$C$197+(($C15)-$A$6:$A$51)*'Cálculos'!$C$98)+1400)+'Cálculos'!$C$122)*'Cálculos'!$C$230+'Cálculos'!$C$125*(1+2.78*('Cálculos'!$C$197+(($C15)-$A$6:$A$51)*'Cálculos'!$C$98)/(('Cálculos'!$C$197+(($C15)-$A$6:$A$51)*'Cálculos'!$C$98)+1400)+'Cálculos'!$C$123)*'Cálculos'!$C$235)+('Cálculos'!$C$201*(1+'Cálculos'!$C$202+$A$6:$A$51*('Cálculos'!$C$290=2)*'Cálculos'!$C$101)+'Cálculos'!$C$203)*('Cálculos'!$C$226+'Cálculos'!$C$124*(1+2.78*('Cálculos'!$C$197+(($C15)-$A$6:$A$51)*'Cálculos'!$C$98)/(('Cálculos'!$C$197+(($C15)-$A$6:$A$51)*'Cálculos'!$C$98)+1400)+'Cálculos'!$C$122)*'Cálculos'!$C$231+'Cálculos'!$C$125*(1+2.78*('Cálculos'!$C$197+(($C15)-$A$6:$A$51)*'Cálculos'!$C$98)/(('Cálculos'!$C$197+(($C15)-$A$6:$A$51)*'Cálculos'!$C$98)+1400)+'Cálculos'!$C$123)*'Cálculos'!$C$236)+('Cálculos'!$C$204*(1+'Cálculos'!$C$205+$A$6:$A$51*('Cálculos'!$C$290=3)*'Cálculos'!$C$103)+'Cálculos'!$C$206)*('Cálculos'!$C$227+'Cálculos'!$C$124*(1+2.78*('Cálculos'!$C$197+(($C15)-$A$6:$A$51)*'Cálculos'!$C$98)/(('Cálculos'!$C$197+(($C15)-$A$6:$A$51)*'Cálculos'!$C$98)+1400)+'Cálculos'!$C$122)*'Cálculos'!$C$232+'Cálculos'!$C$125*(1+2.78*('Cálculos'!$C$197+(($C15)-$A$6:$A$51)*'Cálculos'!$C$98)/(('Cálculos'!$C$197+(($C15)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15)-$A$6:$A$51)*'Cálculos'!$C$98)/(('Cálculos'!$C$198+(($C15)-$A$6:$A$51)*'Cálculos'!$C$98)+1400)+'Cálculos'!$C$122)*'Cálculos'!$C$244+'Cálculos'!$C$125*(1+2.78*('Cálculos'!$C$198+(($C15)-$A$6:$A$51)*'Cálculos'!$C$98)/(('Cálculos'!$C$198+(($C15)-$A$6:$A$51)*'Cálculos'!$C$98)+1400)+'Cálculos'!$C$123)*'Cálculos'!$C$249)+('Cálculos'!$C$198+(($C15)-$A$6:$A$51)*'Cálculos'!$C$98)*('Cálculos'!$C$240+'Cálculos'!$C$124*(1+2.78*('Cálculos'!$C$198+(($C15)-$A$6:$A$51)*'Cálculos'!$C$98)/(('Cálculos'!$C$198+(($C15)-$A$6:$A$51)*'Cálculos'!$C$98)+1400)+'Cálculos'!$C$122)*'Cálculos'!$C$245+'Cálculos'!$C$125*(1+2.78*('Cálculos'!$C$198+(($C15)-$A$6:$A$51)*'Cálculos'!$C$98)/(('Cálculos'!$C$198+(($C15)-$A$6:$A$51)*'Cálculos'!$C$98)+1400)+'Cálculos'!$C$123)*'Cálculos'!$C$250)+('Cálculos'!$C$201*(1+'Cálculos'!$C$202+$A$6:$A$51*('Cálculos'!$C$290=2)*'Cálculos'!$C$101)+'Cálculos'!$C$203)*('Cálculos'!$C$241+'Cálculos'!$C$124*(1+2.78*('Cálculos'!$C$198+(($C15)-$A$6:$A$51)*'Cálculos'!$C$98)/(('Cálculos'!$C$198+(($C15)-$A$6:$A$51)*'Cálculos'!$C$98)+1400)+'Cálculos'!$C$122)*'Cálculos'!$C$246+'Cálculos'!$C$125*(1+2.78*('Cálculos'!$C$198+(($C15)-$A$6:$A$51)*'Cálculos'!$C$98)/(('Cálculos'!$C$198+(($C15)-$A$6:$A$51)*'Cálculos'!$C$98)+1400)+'Cálculos'!$C$123)*'Cálculos'!$C$251)+('Cálculos'!$C$204*(1+'Cálculos'!$C$205+$A$6:$A$51*('Cálculos'!$C$290=3)*'Cálculos'!$C$103)+'Cálculos'!$C$206)*('Cálculos'!$C$242+'Cálculos'!$C$124*(1+2.78*('Cálculos'!$C$198+(($C15)-$A$6:$A$51)*'Cálculos'!$C$98)/(('Cálculos'!$C$198+(($C15)-$A$6:$A$51)*'Cálculos'!$C$98)+1400)+'Cálculos'!$C$122)*'Cálculos'!$C$247+'Cálculos'!$C$125*(1+2.78*('Cálculos'!$C$198+(($C15)-$A$6:$A$51)*'Cálculos'!$C$98)/(('Cálculos'!$C$198+(($C15)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15)-$A$6:$A$51)*'Cálculos'!$C$98)/(('Cálculos'!$C$199+(($C15)-$A$6:$A$51)*'Cálculos'!$C$98)+1400)+'Cálculos'!$C$122)*'Cálculos'!$C$259+'Cálculos'!$C$125*(1+2.78*('Cálculos'!$C$199+(($C15)-$A$6:$A$51)*'Cálculos'!$C$98)/(('Cálculos'!$C$199+(($C15)-$A$6:$A$51)*'Cálculos'!$C$98)+1400)+'Cálculos'!$C$123)*'Cálculos'!$C$264)+('Cálculos'!$C$199+(($C15)-$A$6:$A$51)*'Cálculos'!$C$98)*('Cálculos'!$C$255+'Cálculos'!$C$124*(1+2.78*('Cálculos'!$C$199+(($C15)-$A$6:$A$51)*'Cálculos'!$C$98)/(('Cálculos'!$C$199+(($C15)-$A$6:$A$51)*'Cálculos'!$C$98)+1400)+'Cálculos'!$C$122)*'Cálculos'!$C$260+'Cálculos'!$C$125*(1+2.78*('Cálculos'!$C$199+(($C15)-$A$6:$A$51)*'Cálculos'!$C$98)/(('Cálculos'!$C$199+(($C15)-$A$6:$A$51)*'Cálculos'!$C$98)+1400)+'Cálculos'!$C$123)*'Cálculos'!$C$265)+('Cálculos'!$C$201*(1+'Cálculos'!$C$202+$A$6:$A$51*('Cálculos'!$C$290=2)*'Cálculos'!$C$101)+'Cálculos'!$C$203)*('Cálculos'!$C$256+'Cálculos'!$C$124*(1+2.78*('Cálculos'!$C$199+(($C15)-$A$6:$A$51)*'Cálculos'!$C$98)/(('Cálculos'!$C$199+(($C15)-$A$6:$A$51)*'Cálculos'!$C$98)+1400)+'Cálculos'!$C$122)*'Cálculos'!$C$261+'Cálculos'!$C$125*(1+2.78*('Cálculos'!$C$199+(($C15)-$A$6:$A$51)*'Cálculos'!$C$98)/(('Cálculos'!$C$199+(($C15)-$A$6:$A$51)*'Cálculos'!$C$98)+1400)+'Cálculos'!$C$123)*'Cálculos'!$C$266)+('Cálculos'!$C$204*(1+'Cálculos'!$C$205+$A$6:$A$51*('Cálculos'!$C$290=3)*'Cálculos'!$C$103)+'Cálculos'!$C$206)*('Cálculos'!$C$257+'Cálculos'!$C$124*(1+2.78*('Cálculos'!$C$199+(($C15)-$A$6:$A$51)*'Cálculos'!$C$98)/(('Cálculos'!$C$199+(($C15)-$A$6:$A$51)*'Cálculos'!$C$98)+1400)+'Cálculos'!$C$122)*'Cálculos'!$C$262+'Cálculos'!$C$125*(1+2.78*('Cálculos'!$C$199+(($C15)-$A$6:$A$51)*'Cálculos'!$C$98)/(('Cálculos'!$C$199+(($C15)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15)-$A$6:$A$51)*'Cálculos'!$C$98)/(('Cálculos'!$C$200+(($C15)-$A$6:$A$51)*'Cálculos'!$C$98)+1400)+'Cálculos'!$C$122)*'Cálculos'!$C$274+'Cálculos'!$C$125*(1+2.78*('Cálculos'!$C$200+(($C15)-$A$6:$A$51)*'Cálculos'!$C$98)/(('Cálculos'!$C$200+(($C15)-$A$6:$A$51)*'Cálculos'!$C$98)+1400)+'Cálculos'!$C$123)*'Cálculos'!$C$279)+('Cálculos'!$C$200+(($C15)-$A$6:$A$51)*'Cálculos'!$C$98)*('Cálculos'!$C$270+'Cálculos'!$C$124*(1+2.78*('Cálculos'!$C$200+(($C15)-$A$6:$A$51)*'Cálculos'!$C$98)/(('Cálculos'!$C$200+(($C15)-$A$6:$A$51)*'Cálculos'!$C$98)+1400)+'Cálculos'!$C$122)*'Cálculos'!$C$275+'Cálculos'!$C$125*(1+2.78*('Cálculos'!$C$200+(($C15)-$A$6:$A$51)*'Cálculos'!$C$98)/(('Cálculos'!$C$200+(($C15)-$A$6:$A$51)*'Cálculos'!$C$98)+1400)+'Cálculos'!$C$123)*'Cálculos'!$C$280)+('Cálculos'!$C$201*(1+'Cálculos'!$C$202+$A$6:$A$51*('Cálculos'!$C$290=2)*'Cálculos'!$C$101)+'Cálculos'!$C$203)*('Cálculos'!$C$271+'Cálculos'!$C$124*(1+2.78*('Cálculos'!$C$200+(($C15)-$A$6:$A$51)*'Cálculos'!$C$98)/(('Cálculos'!$C$200+(($C15)-$A$6:$A$51)*'Cálculos'!$C$98)+1400)+'Cálculos'!$C$122)*'Cálculos'!$C$276+'Cálculos'!$C$125*(1+2.78*('Cálculos'!$C$200+(($C15)-$A$6:$A$51)*'Cálculos'!$C$98)/(('Cálculos'!$C$200+(($C15)-$A$6:$A$51)*'Cálculos'!$C$98)+1400)+'Cálculos'!$C$123)*'Cálculos'!$C$281)+('Cálculos'!$C$204*(1+'Cálculos'!$C$205+$A$6:$A$51*('Cálculos'!$C$290=3)*'Cálculos'!$C$103)+'Cálculos'!$C$206)*('Cálculos'!$C$272+'Cálculos'!$C$124*(1+2.78*('Cálculos'!$C$200+(($C15)-$A$6:$A$51)*'Cálculos'!$C$98)/(('Cálculos'!$C$200+(($C15)-$A$6:$A$51)*'Cálculos'!$C$98)+1400)+'Cálculos'!$C$122)*'Cálculos'!$C$277+'Cálculos'!$C$125*(1+2.78*('Cálculos'!$C$200+(($C15)-$A$6:$A$51)*'Cálculos'!$C$98)/(('Cálculos'!$C$200+(($C15)-$A$6:$A$51)*'Cálculos'!$C$98)+1400)+'Cálculos'!$C$123)*'Cálculos'!$C$282)))))</f>
        <v>1178034.183</v>
      </c>
      <c r="E15" s="32">
        <f>IF(OR($C15&lt;0,'Cálculos'!$C$6=""),0,$B15*$D15)</f>
        <v>3339637.379</v>
      </c>
      <c r="F15" s="2"/>
      <c r="G15" s="30">
        <f>($A15&lt;=$B$53)*($A15&lt;='Cálculos'!$C$294)*(($B$53)-$A15&lt;='Cálculos'!$C$295)*(1+MIN(('Cálculos'!$C$207+$A15*'Cálculos'!$C$95),1)*('Cálculos'!$C$208+(($B$53)-$A15)*'Cálculos'!$C$96))</f>
        <v>3.26135</v>
      </c>
      <c r="H15" s="31">
        <f>IF($B$54&lt;0,0,($A15&lt;=$B$54)*($A15&lt;='Cálculos'!$C$301)*(($B$54)-$A15&lt;='Cálculos'!$C$297)*(('Cálculos'!$C$185*(1+'Cálculos'!$C$186+$A15*('Cálculos'!$C$290=1)*'Cálculos'!$C$97+'Cálculos'!$C$305)+'Cálculos'!$C$191)*('Cálculos'!$C$209+'Cálculos'!$C$124*(1+2.78*('Cálculos'!$C$196+(($B$54)-$A15)*'Cálculos'!$C$98)/(('Cálculos'!$C$196+(($B$54)-$A15)*'Cálculos'!$C$98)+1400)+'Cálculos'!$C$122)*'Cálculos'!$C$214+'Cálculos'!$C$125*(1+2.78*('Cálculos'!$C$196+(($B$54)-$A15)*'Cálculos'!$C$98)/(('Cálculos'!$C$196+(($B$54)-$A15)*'Cálculos'!$C$98)+1400)+'Cálculos'!$C$123)*'Cálculos'!$C$219)+('Cálculos'!$C$196+(($B$54)-$A15)*'Cálculos'!$C$98)*('Cálculos'!$C$210+'Cálculos'!$C$124*(1+2.78*('Cálculos'!$C$196+(($B$54)-$A15)*'Cálculos'!$C$98)/(('Cálculos'!$C$196+(($B$54)-$A15)*'Cálculos'!$C$98)+1400)+'Cálculos'!$C$122)*'Cálculos'!$C$215+'Cálculos'!$C$125*(1+2.78*('Cálculos'!$C$196+(($B$54)-$A15)*'Cálculos'!$C$98)/(('Cálculos'!$C$196+(($B$54)-$A15)*'Cálculos'!$C$98)+1400)+'Cálculos'!$C$123)*'Cálculos'!$C$220)+('Cálculos'!$C$201*(1+'Cálculos'!$C$202+$A15*('Cálculos'!$C$290=2)*'Cálculos'!$C$101)+'Cálculos'!$C$203)*('Cálculos'!$C$211+'Cálculos'!$C$124*(1+2.78*('Cálculos'!$C$196+(($B$54)-$A15)*'Cálculos'!$C$98)/(('Cálculos'!$C$196+(($B$54)-$A15)*'Cálculos'!$C$98)+1400)+'Cálculos'!$C$122)*'Cálculos'!$C$216+'Cálculos'!$C$125*(1+2.78*('Cálculos'!$C$196+(($B$54)-$A15)*'Cálculos'!$C$98)/(('Cálculos'!$C$196+(($B$54)-$A15)*'Cálculos'!$C$98)+1400)+'Cálculos'!$C$123)*'Cálculos'!$C$221)+('Cálculos'!$C$204*(1+'Cálculos'!$C$205+$A15*('Cálculos'!$C$290=3)*'Cálculos'!$C$103)+'Cálculos'!$C$206)*('Cálculos'!$C$212+'Cálculos'!$C$124*(1+2.78*('Cálculos'!$C$196+(($B$54)-$A15)*'Cálculos'!$C$98)/(('Cálculos'!$C$196+(($B$54)-$A15)*'Cálculos'!$C$98)+1400)+'Cálculos'!$C$122)*'Cálculos'!$C$217+'Cálculos'!$C$125*(1+2.78*('Cálculos'!$C$196+(($B$54)-$A15)*'Cálculos'!$C$98)/(('Cálculos'!$C$196+(($B$54)-$A15)*'Cálculos'!$C$98)+1400)+'Cálculos'!$C$123)*'Cálculos'!$C$222)+('Cálculos'!$C$185*(1+'Cálculos'!$C$187+$A15*('Cálculos'!$C$290=1)*'Cálculos'!$C$97+'Cálculos'!$C$305)+'Cálculos'!$C$192)*('Cálculos'!$C$224+'Cálculos'!$C$124*(1+2.78*('Cálculos'!$C$197+(($B$54)-$A15)*'Cálculos'!$C$98)/(('Cálculos'!$C$197+(($B$54)-$A15)*'Cálculos'!$C$98)+1400)+'Cálculos'!$C$122)*'Cálculos'!$C$229+'Cálculos'!$C$125*(1+2.78*('Cálculos'!$C$197+(($B$54)-$A15)*'Cálculos'!$C$98)/(('Cálculos'!$C$197+(($B$54)-$A15)*'Cálculos'!$C$98)+1400)+'Cálculos'!$C$123)*'Cálculos'!$C$234)+('Cálculos'!$C$197+(($B$54)-$A15)*'Cálculos'!$C$98)*('Cálculos'!$C$225+'Cálculos'!$C$124*(1+2.78*('Cálculos'!$C$197+(($B$54)-$A15)*'Cálculos'!$C$98)/(('Cálculos'!$C$197+(($B$54)-$A15)*'Cálculos'!$C$98)+1400)+'Cálculos'!$C$122)*'Cálculos'!$C$230+'Cálculos'!$C$125*(1+2.78*('Cálculos'!$C$197+(($B$54)-$A15)*'Cálculos'!$C$98)/(('Cálculos'!$C$197+(($B$54)-$A15)*'Cálculos'!$C$98)+1400)+'Cálculos'!$C$123)*'Cálculos'!$C$235)+('Cálculos'!$C$201*(1+'Cálculos'!$C$202+$A15*('Cálculos'!$C$290=2)*'Cálculos'!$C$101)+'Cálculos'!$C$203)*('Cálculos'!$C$226+'Cálculos'!$C$124*(1+2.78*('Cálculos'!$C$197+(($B$54)-$A15)*'Cálculos'!$C$98)/(('Cálculos'!$C$197+(($B$54)-$A15)*'Cálculos'!$C$98)+1400)+'Cálculos'!$C$122)*'Cálculos'!$C$231+'Cálculos'!$C$125*(1+2.78*('Cálculos'!$C$197+(($B$54)-$A15)*'Cálculos'!$C$98)/(('Cálculos'!$C$197+(($B$54)-$A15)*'Cálculos'!$C$98)+1400)+'Cálculos'!$C$123)*'Cálculos'!$C$236)+('Cálculos'!$C$204*(1+'Cálculos'!$C$205+$A15*('Cálculos'!$C$290=3)*'Cálculos'!$C$103)+'Cálculos'!$C$206)*('Cálculos'!$C$227+'Cálculos'!$C$124*(1+2.78*('Cálculos'!$C$197+(($B$54)-$A15)*'Cálculos'!$C$98)/(('Cálculos'!$C$197+(($B$54)-$A15)*'Cálculos'!$C$98)+1400)+'Cálculos'!$C$122)*'Cálculos'!$C$232+'Cálculos'!$C$125*(1+2.78*('Cálculos'!$C$197+(($B$54)-$A15)*'Cálculos'!$C$98)/(('Cálculos'!$C$197+(($B$54)-$A15)*'Cálculos'!$C$98)+1400)+'Cálculos'!$C$123)*'Cálculos'!$C$237)+('Cálculos'!$C$185*(1+'Cálculos'!$C$188+$A15*('Cálculos'!$C$290=1)*'Cálculos'!$C$97+'Cálculos'!$C$305)+'Cálculos'!$C$193)*('Cálculos'!$C$239+'Cálculos'!$C$124*(1+2.78*('Cálculos'!$C$198+(($B$54)-$A15)*'Cálculos'!$C$98)/(('Cálculos'!$C$198+(($B$54)-$A15)*'Cálculos'!$C$98)+1400)+'Cálculos'!$C$122)*'Cálculos'!$C$244+'Cálculos'!$C$125*(1+2.78*('Cálculos'!$C$198+(($B$54)-$A15)*'Cálculos'!$C$98)/(('Cálculos'!$C$198+(($B$54)-$A15)*'Cálculos'!$C$98)+1400)+'Cálculos'!$C$123)*'Cálculos'!$C$249)+('Cálculos'!$C$198+(($B$54)-$A15)*'Cálculos'!$C$98)*('Cálculos'!$C$240+'Cálculos'!$C$124*(1+2.78*('Cálculos'!$C$198+(($B$54)-$A15)*'Cálculos'!$C$98)/(('Cálculos'!$C$198+(($B$54)-$A15)*'Cálculos'!$C$98)+1400)+'Cálculos'!$C$122)*'Cálculos'!$C$245+'Cálculos'!$C$125*(1+2.78*('Cálculos'!$C$198+(($B$54)-$A15)*'Cálculos'!$C$98)/(('Cálculos'!$C$198+(($B$54)-$A15)*'Cálculos'!$C$98)+1400)+'Cálculos'!$C$123)*'Cálculos'!$C$250)+('Cálculos'!$C$201*(1+'Cálculos'!$C$202+$A15*('Cálculos'!$C$290=2)*'Cálculos'!$C$101)+'Cálculos'!$C$203)*('Cálculos'!$C$241+'Cálculos'!$C$124*(1+2.78*('Cálculos'!$C$198+(($B$54)-$A15)*'Cálculos'!$C$98)/(('Cálculos'!$C$198+(($B$54)-$A15)*'Cálculos'!$C$98)+1400)+'Cálculos'!$C$122)*'Cálculos'!$C$246+'Cálculos'!$C$125*(1+2.78*('Cálculos'!$C$198+(($B$54)-$A15)*'Cálculos'!$C$98)/(('Cálculos'!$C$198+(($B$54)-$A15)*'Cálculos'!$C$98)+1400)+'Cálculos'!$C$123)*'Cálculos'!$C$251)+('Cálculos'!$C$204*(1+'Cálculos'!$C$205+$A15*('Cálculos'!$C$290=3)*'Cálculos'!$C$103)+'Cálculos'!$C$206)*('Cálculos'!$C$242+'Cálculos'!$C$124*(1+2.78*('Cálculos'!$C$198+(($B$54)-$A15)*'Cálculos'!$C$98)/(('Cálculos'!$C$198+(($B$54)-$A15)*'Cálculos'!$C$98)+1400)+'Cálculos'!$C$122)*'Cálculos'!$C$247+'Cálculos'!$C$125*(1+2.78*('Cálculos'!$C$198+(($B$54)-$A15)*'Cálculos'!$C$98)/(('Cálculos'!$C$198+(($B$54)-$A15)*'Cálculos'!$C$98)+1400)+'Cálculos'!$C$123)*'Cálculos'!$C$252)+('Cálculos'!$C$185*(1+'Cálculos'!$C$189+$A15*('Cálculos'!$C$290=1)*'Cálculos'!$C$97+'Cálculos'!$C$305)+'Cálculos'!$C$194)*('Cálculos'!$C$254+'Cálculos'!$C$124*(1+2.78*('Cálculos'!$C$199+(($B$54)-$A15)*'Cálculos'!$C$98)/(('Cálculos'!$C$199+(($B$54)-$A15)*'Cálculos'!$C$98)+1400)+'Cálculos'!$C$122)*'Cálculos'!$C$259+'Cálculos'!$C$125*(1+2.78*('Cálculos'!$C$199+(($B$54)-$A15)*'Cálculos'!$C$98)/(('Cálculos'!$C$199+(($B$54)-$A15)*'Cálculos'!$C$98)+1400)+'Cálculos'!$C$123)*'Cálculos'!$C$264)+('Cálculos'!$C$199+(($B$54)-$A15)*'Cálculos'!$C$98)*('Cálculos'!$C$255+'Cálculos'!$C$124*(1+2.78*('Cálculos'!$C$199+(($B$54)-$A15)*'Cálculos'!$C$98)/(('Cálculos'!$C$199+(($B$54)-$A15)*'Cálculos'!$C$98)+1400)+'Cálculos'!$C$122)*'Cálculos'!$C$260+'Cálculos'!$C$125*(1+2.78*('Cálculos'!$C$199+(($B$54)-$A15)*'Cálculos'!$C$98)/(('Cálculos'!$C$199+(($B$54)-$A15)*'Cálculos'!$C$98)+1400)+'Cálculos'!$C$123)*'Cálculos'!$C$265)+('Cálculos'!$C$201*(1+'Cálculos'!$C$202+$A15*('Cálculos'!$C$290=2)*'Cálculos'!$C$101)+'Cálculos'!$C$203)*('Cálculos'!$C$256+'Cálculos'!$C$124*(1+2.78*('Cálculos'!$C$199+(($B$54)-$A15)*'Cálculos'!$C$98)/(('Cálculos'!$C$199+(($B$54)-$A15)*'Cálculos'!$C$98)+1400)+'Cálculos'!$C$122)*'Cálculos'!$C$261+'Cálculos'!$C$125*(1+2.78*('Cálculos'!$C$199+(($B$54)-$A15)*'Cálculos'!$C$98)/(('Cálculos'!$C$199+(($B$54)-$A15)*'Cálculos'!$C$98)+1400)+'Cálculos'!$C$123)*'Cálculos'!$C$266)+('Cálculos'!$C$204*(1+'Cálculos'!$C$205+$A15*('Cálculos'!$C$290=3)*'Cálculos'!$C$103)+'Cálculos'!$C$206)*('Cálculos'!$C$257+'Cálculos'!$C$124*(1+2.78*('Cálculos'!$C$199+(($B$54)-$A15)*'Cálculos'!$C$98)/(('Cálculos'!$C$199+(($B$54)-$A15)*'Cálculos'!$C$98)+1400)+'Cálculos'!$C$122)*'Cálculos'!$C$262+'Cálculos'!$C$125*(1+2.78*('Cálculos'!$C$199+(($B$54)-$A15)*'Cálculos'!$C$98)/(('Cálculos'!$C$199+(($B$54)-$A15)*'Cálculos'!$C$98)+1400)+'Cálculos'!$C$123)*'Cálculos'!$C$267)+('Cálculos'!$C$185*(1+'Cálculos'!$C$190+$A15*('Cálculos'!$C$290=1)*'Cálculos'!$C$97+'Cálculos'!$C$305)+'Cálculos'!$C$195)*('Cálculos'!$C$269+'Cálculos'!$C$124*(1+2.78*('Cálculos'!$C$200+(($B$54)-$A15)*'Cálculos'!$C$98)/(('Cálculos'!$C$200+(($B$54)-$A15)*'Cálculos'!$C$98)+1400)+'Cálculos'!$C$122)*'Cálculos'!$C$274+'Cálculos'!$C$125*(1+2.78*('Cálculos'!$C$200+(($B$54)-$A15)*'Cálculos'!$C$98)/(('Cálculos'!$C$200+(($B$54)-$A15)*'Cálculos'!$C$98)+1400)+'Cálculos'!$C$123)*'Cálculos'!$C$279)+('Cálculos'!$C$200+(($B$54)-$A15)*'Cálculos'!$C$98)*('Cálculos'!$C$270+'Cálculos'!$C$124*(1+2.78*('Cálculos'!$C$200+(($B$54)-$A15)*'Cálculos'!$C$98)/(('Cálculos'!$C$200+(($B$54)-$A15)*'Cálculos'!$C$98)+1400)+'Cálculos'!$C$122)*'Cálculos'!$C$275+'Cálculos'!$C$125*(1+2.78*('Cálculos'!$C$200+(($B$54)-$A15)*'Cálculos'!$C$98)/(('Cálculos'!$C$200+(($B$54)-$A15)*'Cálculos'!$C$98)+1400)+'Cálculos'!$C$123)*'Cálculos'!$C$280)+('Cálculos'!$C$201*(1+'Cálculos'!$C$202+$A15*('Cálculos'!$C$290=2)*'Cálculos'!$C$101)+'Cálculos'!$C$203)*('Cálculos'!$C$271+'Cálculos'!$C$124*(1+2.78*('Cálculos'!$C$200+(($B$54)-$A15)*'Cálculos'!$C$98)/(('Cálculos'!$C$200+(($B$54)-$A15)*'Cálculos'!$C$98)+1400)+'Cálculos'!$C$122)*'Cálculos'!$C$276+'Cálculos'!$C$125*(1+2.78*('Cálculos'!$C$200+(($B$54)-$A15)*'Cálculos'!$C$98)/(('Cálculos'!$C$200+(($B$54)-$A15)*'Cálculos'!$C$98)+1400)+'Cálculos'!$C$123)*'Cálculos'!$C$281)+('Cálculos'!$C$204*(1+'Cálculos'!$C$205+$A15*('Cálculos'!$C$290=3)*'Cálculos'!$C$103)+'Cálculos'!$C$206)*('Cálculos'!$C$272+'Cálculos'!$C$124*(1+2.78*('Cálculos'!$C$200+(($B$54)-$A15)*'Cálculos'!$C$98)/(('Cálculos'!$C$200+(($B$54)-$A15)*'Cálculos'!$C$98)+1400)+'Cálculos'!$C$122)*'Cálculos'!$C$277+'Cálculos'!$C$125*(1+2.78*('Cálculos'!$C$200+(($B$54)-$A15)*'Cálculos'!$C$98)/(('Cálculos'!$C$200+(($B$54)-$A15)*'Cálculos'!$C$98)+1400)+'Cálculos'!$C$123)*'Cálculos'!$C$282)))</f>
        <v>0</v>
      </c>
    </row>
    <row r="16">
      <c r="A16" s="2">
        <v>10.0</v>
      </c>
      <c r="B16" s="30">
        <f>SUMPRODUCT(MAX(($A$6:$A$51&lt;=$A16)*($A$6:$A$51&lt;='Cálculos'!$C$294)*(($A16)-$A$6:$A$51&lt;='Cálculos'!$C$295)*(1+(('Cálculos'!$C$207+$A$6:$A$51*'Cálculos'!$C$95)-(('Cálculos'!$C$207+$A$6:$A$51*'Cálculos'!$C$95)&gt;1)*(('Cálculos'!$C$207+$A$6:$A$51*'Cálculos'!$C$95)-1))*('Cálculos'!$C$208+(($A16)-$A$6:$A$51)*'Cálculos'!$C$96))))</f>
        <v>2.900528</v>
      </c>
      <c r="C16" s="2">
        <f>'Cálculos'!$C$303-$A16</f>
        <v>10</v>
      </c>
      <c r="D16" s="31">
        <f>IF($C16&lt;0,0,SUMPRODUCT(MAX(($A$6:$A$51&lt;=$C16)*($A$6:$A$51&lt;='Cálculos'!$C$301)*(($C16)-$A$6:$A$51&lt;='Cálculos'!$C$297)*(('Cálculos'!$C$185*(1+'Cálculos'!$C$186+$A$6:$A$51*('Cálculos'!$C$290=1)*'Cálculos'!$C$97+'Cálculos'!$C$305)+'Cálculos'!$C$191)*('Cálculos'!$C$209+'Cálculos'!$C$124*(1+2.78*('Cálculos'!$C$196+(($C16)-$A$6:$A$51)*'Cálculos'!$C$98)/(('Cálculos'!$C$196+(($C16)-$A$6:$A$51)*'Cálculos'!$C$98)+1400)+'Cálculos'!$C$122)*'Cálculos'!$C$214+'Cálculos'!$C$125*(1+2.78*('Cálculos'!$C$196+(($C16)-$A$6:$A$51)*'Cálculos'!$C$98)/(('Cálculos'!$C$196+(($C16)-$A$6:$A$51)*'Cálculos'!$C$98)+1400)+'Cálculos'!$C$123)*'Cálculos'!$C$219)+('Cálculos'!$C$196+(($C16)-$A$6:$A$51)*'Cálculos'!$C$98)*('Cálculos'!$C$210+'Cálculos'!$C$124*(1+2.78*('Cálculos'!$C$196+(($C16)-$A$6:$A$51)*'Cálculos'!$C$98)/(('Cálculos'!$C$196+(($C16)-$A$6:$A$51)*'Cálculos'!$C$98)+1400)+'Cálculos'!$C$122)*'Cálculos'!$C$215+'Cálculos'!$C$125*(1+2.78*('Cálculos'!$C$196+(($C16)-$A$6:$A$51)*'Cálculos'!$C$98)/(('Cálculos'!$C$196+(($C16)-$A$6:$A$51)*'Cálculos'!$C$98)+1400)+'Cálculos'!$C$123)*'Cálculos'!$C$220)+('Cálculos'!$C$201*(1+'Cálculos'!$C$202+$A$6:$A$51*('Cálculos'!$C$290=2)*'Cálculos'!$C$101)+'Cálculos'!$C$203)*('Cálculos'!$C$211+'Cálculos'!$C$124*(1+2.78*('Cálculos'!$C$196+(($C16)-$A$6:$A$51)*'Cálculos'!$C$98)/(('Cálculos'!$C$196+(($C16)-$A$6:$A$51)*'Cálculos'!$C$98)+1400)+'Cálculos'!$C$122)*'Cálculos'!$C$216+'Cálculos'!$C$125*(1+2.78*('Cálculos'!$C$196+(($C16)-$A$6:$A$51)*'Cálculos'!$C$98)/(('Cálculos'!$C$196+(($C16)-$A$6:$A$51)*'Cálculos'!$C$98)+1400)+'Cálculos'!$C$123)*'Cálculos'!$C$221)+('Cálculos'!$C$204*(1+'Cálculos'!$C$205+$A$6:$A$51*('Cálculos'!$C$290=3)*'Cálculos'!$C$103)+'Cálculos'!$C$206)*('Cálculos'!$C$212+'Cálculos'!$C$124*(1+2.78*('Cálculos'!$C$196+(($C16)-$A$6:$A$51)*'Cálculos'!$C$98)/(('Cálculos'!$C$196+(($C16)-$A$6:$A$51)*'Cálculos'!$C$98)+1400)+'Cálculos'!$C$122)*'Cálculos'!$C$217+'Cálculos'!$C$125*(1+2.78*('Cálculos'!$C$196+(($C16)-$A$6:$A$51)*'Cálculos'!$C$98)/(('Cálculos'!$C$196+(($C16)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16)-$A$6:$A$51)*'Cálculos'!$C$98)/(('Cálculos'!$C$197+(($C16)-$A$6:$A$51)*'Cálculos'!$C$98)+1400)+'Cálculos'!$C$122)*'Cálculos'!$C$229+'Cálculos'!$C$125*(1+2.78*('Cálculos'!$C$197+(($C16)-$A$6:$A$51)*'Cálculos'!$C$98)/(('Cálculos'!$C$197+(($C16)-$A$6:$A$51)*'Cálculos'!$C$98)+1400)+'Cálculos'!$C$123)*'Cálculos'!$C$234)+('Cálculos'!$C$197+(($C16)-$A$6:$A$51)*'Cálculos'!$C$98)*('Cálculos'!$C$225+'Cálculos'!$C$124*(1+2.78*('Cálculos'!$C$197+(($C16)-$A$6:$A$51)*'Cálculos'!$C$98)/(('Cálculos'!$C$197+(($C16)-$A$6:$A$51)*'Cálculos'!$C$98)+1400)+'Cálculos'!$C$122)*'Cálculos'!$C$230+'Cálculos'!$C$125*(1+2.78*('Cálculos'!$C$197+(($C16)-$A$6:$A$51)*'Cálculos'!$C$98)/(('Cálculos'!$C$197+(($C16)-$A$6:$A$51)*'Cálculos'!$C$98)+1400)+'Cálculos'!$C$123)*'Cálculos'!$C$235)+('Cálculos'!$C$201*(1+'Cálculos'!$C$202+$A$6:$A$51*('Cálculos'!$C$290=2)*'Cálculos'!$C$101)+'Cálculos'!$C$203)*('Cálculos'!$C$226+'Cálculos'!$C$124*(1+2.78*('Cálculos'!$C$197+(($C16)-$A$6:$A$51)*'Cálculos'!$C$98)/(('Cálculos'!$C$197+(($C16)-$A$6:$A$51)*'Cálculos'!$C$98)+1400)+'Cálculos'!$C$122)*'Cálculos'!$C$231+'Cálculos'!$C$125*(1+2.78*('Cálculos'!$C$197+(($C16)-$A$6:$A$51)*'Cálculos'!$C$98)/(('Cálculos'!$C$197+(($C16)-$A$6:$A$51)*'Cálculos'!$C$98)+1400)+'Cálculos'!$C$123)*'Cálculos'!$C$236)+('Cálculos'!$C$204*(1+'Cálculos'!$C$205+$A$6:$A$51*('Cálculos'!$C$290=3)*'Cálculos'!$C$103)+'Cálculos'!$C$206)*('Cálculos'!$C$227+'Cálculos'!$C$124*(1+2.78*('Cálculos'!$C$197+(($C16)-$A$6:$A$51)*'Cálculos'!$C$98)/(('Cálculos'!$C$197+(($C16)-$A$6:$A$51)*'Cálculos'!$C$98)+1400)+'Cálculos'!$C$122)*'Cálculos'!$C$232+'Cálculos'!$C$125*(1+2.78*('Cálculos'!$C$197+(($C16)-$A$6:$A$51)*'Cálculos'!$C$98)/(('Cálculos'!$C$197+(($C16)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16)-$A$6:$A$51)*'Cálculos'!$C$98)/(('Cálculos'!$C$198+(($C16)-$A$6:$A$51)*'Cálculos'!$C$98)+1400)+'Cálculos'!$C$122)*'Cálculos'!$C$244+'Cálculos'!$C$125*(1+2.78*('Cálculos'!$C$198+(($C16)-$A$6:$A$51)*'Cálculos'!$C$98)/(('Cálculos'!$C$198+(($C16)-$A$6:$A$51)*'Cálculos'!$C$98)+1400)+'Cálculos'!$C$123)*'Cálculos'!$C$249)+('Cálculos'!$C$198+(($C16)-$A$6:$A$51)*'Cálculos'!$C$98)*('Cálculos'!$C$240+'Cálculos'!$C$124*(1+2.78*('Cálculos'!$C$198+(($C16)-$A$6:$A$51)*'Cálculos'!$C$98)/(('Cálculos'!$C$198+(($C16)-$A$6:$A$51)*'Cálculos'!$C$98)+1400)+'Cálculos'!$C$122)*'Cálculos'!$C$245+'Cálculos'!$C$125*(1+2.78*('Cálculos'!$C$198+(($C16)-$A$6:$A$51)*'Cálculos'!$C$98)/(('Cálculos'!$C$198+(($C16)-$A$6:$A$51)*'Cálculos'!$C$98)+1400)+'Cálculos'!$C$123)*'Cálculos'!$C$250)+('Cálculos'!$C$201*(1+'Cálculos'!$C$202+$A$6:$A$51*('Cálculos'!$C$290=2)*'Cálculos'!$C$101)+'Cálculos'!$C$203)*('Cálculos'!$C$241+'Cálculos'!$C$124*(1+2.78*('Cálculos'!$C$198+(($C16)-$A$6:$A$51)*'Cálculos'!$C$98)/(('Cálculos'!$C$198+(($C16)-$A$6:$A$51)*'Cálculos'!$C$98)+1400)+'Cálculos'!$C$122)*'Cálculos'!$C$246+'Cálculos'!$C$125*(1+2.78*('Cálculos'!$C$198+(($C16)-$A$6:$A$51)*'Cálculos'!$C$98)/(('Cálculos'!$C$198+(($C16)-$A$6:$A$51)*'Cálculos'!$C$98)+1400)+'Cálculos'!$C$123)*'Cálculos'!$C$251)+('Cálculos'!$C$204*(1+'Cálculos'!$C$205+$A$6:$A$51*('Cálculos'!$C$290=3)*'Cálculos'!$C$103)+'Cálculos'!$C$206)*('Cálculos'!$C$242+'Cálculos'!$C$124*(1+2.78*('Cálculos'!$C$198+(($C16)-$A$6:$A$51)*'Cálculos'!$C$98)/(('Cálculos'!$C$198+(($C16)-$A$6:$A$51)*'Cálculos'!$C$98)+1400)+'Cálculos'!$C$122)*'Cálculos'!$C$247+'Cálculos'!$C$125*(1+2.78*('Cálculos'!$C$198+(($C16)-$A$6:$A$51)*'Cálculos'!$C$98)/(('Cálculos'!$C$198+(($C16)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16)-$A$6:$A$51)*'Cálculos'!$C$98)/(('Cálculos'!$C$199+(($C16)-$A$6:$A$51)*'Cálculos'!$C$98)+1400)+'Cálculos'!$C$122)*'Cálculos'!$C$259+'Cálculos'!$C$125*(1+2.78*('Cálculos'!$C$199+(($C16)-$A$6:$A$51)*'Cálculos'!$C$98)/(('Cálculos'!$C$199+(($C16)-$A$6:$A$51)*'Cálculos'!$C$98)+1400)+'Cálculos'!$C$123)*'Cálculos'!$C$264)+('Cálculos'!$C$199+(($C16)-$A$6:$A$51)*'Cálculos'!$C$98)*('Cálculos'!$C$255+'Cálculos'!$C$124*(1+2.78*('Cálculos'!$C$199+(($C16)-$A$6:$A$51)*'Cálculos'!$C$98)/(('Cálculos'!$C$199+(($C16)-$A$6:$A$51)*'Cálculos'!$C$98)+1400)+'Cálculos'!$C$122)*'Cálculos'!$C$260+'Cálculos'!$C$125*(1+2.78*('Cálculos'!$C$199+(($C16)-$A$6:$A$51)*'Cálculos'!$C$98)/(('Cálculos'!$C$199+(($C16)-$A$6:$A$51)*'Cálculos'!$C$98)+1400)+'Cálculos'!$C$123)*'Cálculos'!$C$265)+('Cálculos'!$C$201*(1+'Cálculos'!$C$202+$A$6:$A$51*('Cálculos'!$C$290=2)*'Cálculos'!$C$101)+'Cálculos'!$C$203)*('Cálculos'!$C$256+'Cálculos'!$C$124*(1+2.78*('Cálculos'!$C$199+(($C16)-$A$6:$A$51)*'Cálculos'!$C$98)/(('Cálculos'!$C$199+(($C16)-$A$6:$A$51)*'Cálculos'!$C$98)+1400)+'Cálculos'!$C$122)*'Cálculos'!$C$261+'Cálculos'!$C$125*(1+2.78*('Cálculos'!$C$199+(($C16)-$A$6:$A$51)*'Cálculos'!$C$98)/(('Cálculos'!$C$199+(($C16)-$A$6:$A$51)*'Cálculos'!$C$98)+1400)+'Cálculos'!$C$123)*'Cálculos'!$C$266)+('Cálculos'!$C$204*(1+'Cálculos'!$C$205+$A$6:$A$51*('Cálculos'!$C$290=3)*'Cálculos'!$C$103)+'Cálculos'!$C$206)*('Cálculos'!$C$257+'Cálculos'!$C$124*(1+2.78*('Cálculos'!$C$199+(($C16)-$A$6:$A$51)*'Cálculos'!$C$98)/(('Cálculos'!$C$199+(($C16)-$A$6:$A$51)*'Cálculos'!$C$98)+1400)+'Cálculos'!$C$122)*'Cálculos'!$C$262+'Cálculos'!$C$125*(1+2.78*('Cálculos'!$C$199+(($C16)-$A$6:$A$51)*'Cálculos'!$C$98)/(('Cálculos'!$C$199+(($C16)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16)-$A$6:$A$51)*'Cálculos'!$C$98)/(('Cálculos'!$C$200+(($C16)-$A$6:$A$51)*'Cálculos'!$C$98)+1400)+'Cálculos'!$C$122)*'Cálculos'!$C$274+'Cálculos'!$C$125*(1+2.78*('Cálculos'!$C$200+(($C16)-$A$6:$A$51)*'Cálculos'!$C$98)/(('Cálculos'!$C$200+(($C16)-$A$6:$A$51)*'Cálculos'!$C$98)+1400)+'Cálculos'!$C$123)*'Cálculos'!$C$279)+('Cálculos'!$C$200+(($C16)-$A$6:$A$51)*'Cálculos'!$C$98)*('Cálculos'!$C$270+'Cálculos'!$C$124*(1+2.78*('Cálculos'!$C$200+(($C16)-$A$6:$A$51)*'Cálculos'!$C$98)/(('Cálculos'!$C$200+(($C16)-$A$6:$A$51)*'Cálculos'!$C$98)+1400)+'Cálculos'!$C$122)*'Cálculos'!$C$275+'Cálculos'!$C$125*(1+2.78*('Cálculos'!$C$200+(($C16)-$A$6:$A$51)*'Cálculos'!$C$98)/(('Cálculos'!$C$200+(($C16)-$A$6:$A$51)*'Cálculos'!$C$98)+1400)+'Cálculos'!$C$123)*'Cálculos'!$C$280)+('Cálculos'!$C$201*(1+'Cálculos'!$C$202+$A$6:$A$51*('Cálculos'!$C$290=2)*'Cálculos'!$C$101)+'Cálculos'!$C$203)*('Cálculos'!$C$271+'Cálculos'!$C$124*(1+2.78*('Cálculos'!$C$200+(($C16)-$A$6:$A$51)*'Cálculos'!$C$98)/(('Cálculos'!$C$200+(($C16)-$A$6:$A$51)*'Cálculos'!$C$98)+1400)+'Cálculos'!$C$122)*'Cálculos'!$C$276+'Cálculos'!$C$125*(1+2.78*('Cálculos'!$C$200+(($C16)-$A$6:$A$51)*'Cálculos'!$C$98)/(('Cálculos'!$C$200+(($C16)-$A$6:$A$51)*'Cálculos'!$C$98)+1400)+'Cálculos'!$C$123)*'Cálculos'!$C$281)+('Cálculos'!$C$204*(1+'Cálculos'!$C$205+$A$6:$A$51*('Cálculos'!$C$290=3)*'Cálculos'!$C$103)+'Cálculos'!$C$206)*('Cálculos'!$C$272+'Cálculos'!$C$124*(1+2.78*('Cálculos'!$C$200+(($C16)-$A$6:$A$51)*'Cálculos'!$C$98)/(('Cálculos'!$C$200+(($C16)-$A$6:$A$51)*'Cálculos'!$C$98)+1400)+'Cálculos'!$C$122)*'Cálculos'!$C$277+'Cálculos'!$C$125*(1+2.78*('Cálculos'!$C$200+(($C16)-$A$6:$A$51)*'Cálculos'!$C$98)/(('Cálculos'!$C$200+(($C16)-$A$6:$A$51)*'Cálculos'!$C$98)+1400)+'Cálculos'!$C$123)*'Cálculos'!$C$282)))))</f>
        <v>1166793.256</v>
      </c>
      <c r="E16" s="32">
        <f>IF(OR($C16&lt;0,'Cálculos'!$C$6=""),0,$B16*$D16)</f>
        <v>3384316.509</v>
      </c>
      <c r="F16" s="2"/>
      <c r="G16" s="30">
        <f>($A16&lt;=$B$53)*($A16&lt;='Cálculos'!$C$294)*(($B$53)-$A16&lt;='Cálculos'!$C$295)*(1+MIN(('Cálculos'!$C$207+$A16*'Cálculos'!$C$95),1)*('Cálculos'!$C$208+(($B$53)-$A16)*'Cálculos'!$C$96))</f>
        <v>3.279104</v>
      </c>
      <c r="H16" s="31">
        <f>IF($B$54&lt;0,0,($A16&lt;=$B$54)*($A16&lt;='Cálculos'!$C$301)*(($B$54)-$A16&lt;='Cálculos'!$C$297)*(('Cálculos'!$C$185*(1+'Cálculos'!$C$186+$A16*('Cálculos'!$C$290=1)*'Cálculos'!$C$97+'Cálculos'!$C$305)+'Cálculos'!$C$191)*('Cálculos'!$C$209+'Cálculos'!$C$124*(1+2.78*('Cálculos'!$C$196+(($B$54)-$A16)*'Cálculos'!$C$98)/(('Cálculos'!$C$196+(($B$54)-$A16)*'Cálculos'!$C$98)+1400)+'Cálculos'!$C$122)*'Cálculos'!$C$214+'Cálculos'!$C$125*(1+2.78*('Cálculos'!$C$196+(($B$54)-$A16)*'Cálculos'!$C$98)/(('Cálculos'!$C$196+(($B$54)-$A16)*'Cálculos'!$C$98)+1400)+'Cálculos'!$C$123)*'Cálculos'!$C$219)+('Cálculos'!$C$196+(($B$54)-$A16)*'Cálculos'!$C$98)*('Cálculos'!$C$210+'Cálculos'!$C$124*(1+2.78*('Cálculos'!$C$196+(($B$54)-$A16)*'Cálculos'!$C$98)/(('Cálculos'!$C$196+(($B$54)-$A16)*'Cálculos'!$C$98)+1400)+'Cálculos'!$C$122)*'Cálculos'!$C$215+'Cálculos'!$C$125*(1+2.78*('Cálculos'!$C$196+(($B$54)-$A16)*'Cálculos'!$C$98)/(('Cálculos'!$C$196+(($B$54)-$A16)*'Cálculos'!$C$98)+1400)+'Cálculos'!$C$123)*'Cálculos'!$C$220)+('Cálculos'!$C$201*(1+'Cálculos'!$C$202+$A16*('Cálculos'!$C$290=2)*'Cálculos'!$C$101)+'Cálculos'!$C$203)*('Cálculos'!$C$211+'Cálculos'!$C$124*(1+2.78*('Cálculos'!$C$196+(($B$54)-$A16)*'Cálculos'!$C$98)/(('Cálculos'!$C$196+(($B$54)-$A16)*'Cálculos'!$C$98)+1400)+'Cálculos'!$C$122)*'Cálculos'!$C$216+'Cálculos'!$C$125*(1+2.78*('Cálculos'!$C$196+(($B$54)-$A16)*'Cálculos'!$C$98)/(('Cálculos'!$C$196+(($B$54)-$A16)*'Cálculos'!$C$98)+1400)+'Cálculos'!$C$123)*'Cálculos'!$C$221)+('Cálculos'!$C$204*(1+'Cálculos'!$C$205+$A16*('Cálculos'!$C$290=3)*'Cálculos'!$C$103)+'Cálculos'!$C$206)*('Cálculos'!$C$212+'Cálculos'!$C$124*(1+2.78*('Cálculos'!$C$196+(($B$54)-$A16)*'Cálculos'!$C$98)/(('Cálculos'!$C$196+(($B$54)-$A16)*'Cálculos'!$C$98)+1400)+'Cálculos'!$C$122)*'Cálculos'!$C$217+'Cálculos'!$C$125*(1+2.78*('Cálculos'!$C$196+(($B$54)-$A16)*'Cálculos'!$C$98)/(('Cálculos'!$C$196+(($B$54)-$A16)*'Cálculos'!$C$98)+1400)+'Cálculos'!$C$123)*'Cálculos'!$C$222)+('Cálculos'!$C$185*(1+'Cálculos'!$C$187+$A16*('Cálculos'!$C$290=1)*'Cálculos'!$C$97+'Cálculos'!$C$305)+'Cálculos'!$C$192)*('Cálculos'!$C$224+'Cálculos'!$C$124*(1+2.78*('Cálculos'!$C$197+(($B$54)-$A16)*'Cálculos'!$C$98)/(('Cálculos'!$C$197+(($B$54)-$A16)*'Cálculos'!$C$98)+1400)+'Cálculos'!$C$122)*'Cálculos'!$C$229+'Cálculos'!$C$125*(1+2.78*('Cálculos'!$C$197+(($B$54)-$A16)*'Cálculos'!$C$98)/(('Cálculos'!$C$197+(($B$54)-$A16)*'Cálculos'!$C$98)+1400)+'Cálculos'!$C$123)*'Cálculos'!$C$234)+('Cálculos'!$C$197+(($B$54)-$A16)*'Cálculos'!$C$98)*('Cálculos'!$C$225+'Cálculos'!$C$124*(1+2.78*('Cálculos'!$C$197+(($B$54)-$A16)*'Cálculos'!$C$98)/(('Cálculos'!$C$197+(($B$54)-$A16)*'Cálculos'!$C$98)+1400)+'Cálculos'!$C$122)*'Cálculos'!$C$230+'Cálculos'!$C$125*(1+2.78*('Cálculos'!$C$197+(($B$54)-$A16)*'Cálculos'!$C$98)/(('Cálculos'!$C$197+(($B$54)-$A16)*'Cálculos'!$C$98)+1400)+'Cálculos'!$C$123)*'Cálculos'!$C$235)+('Cálculos'!$C$201*(1+'Cálculos'!$C$202+$A16*('Cálculos'!$C$290=2)*'Cálculos'!$C$101)+'Cálculos'!$C$203)*('Cálculos'!$C$226+'Cálculos'!$C$124*(1+2.78*('Cálculos'!$C$197+(($B$54)-$A16)*'Cálculos'!$C$98)/(('Cálculos'!$C$197+(($B$54)-$A16)*'Cálculos'!$C$98)+1400)+'Cálculos'!$C$122)*'Cálculos'!$C$231+'Cálculos'!$C$125*(1+2.78*('Cálculos'!$C$197+(($B$54)-$A16)*'Cálculos'!$C$98)/(('Cálculos'!$C$197+(($B$54)-$A16)*'Cálculos'!$C$98)+1400)+'Cálculos'!$C$123)*'Cálculos'!$C$236)+('Cálculos'!$C$204*(1+'Cálculos'!$C$205+$A16*('Cálculos'!$C$290=3)*'Cálculos'!$C$103)+'Cálculos'!$C$206)*('Cálculos'!$C$227+'Cálculos'!$C$124*(1+2.78*('Cálculos'!$C$197+(($B$54)-$A16)*'Cálculos'!$C$98)/(('Cálculos'!$C$197+(($B$54)-$A16)*'Cálculos'!$C$98)+1400)+'Cálculos'!$C$122)*'Cálculos'!$C$232+'Cálculos'!$C$125*(1+2.78*('Cálculos'!$C$197+(($B$54)-$A16)*'Cálculos'!$C$98)/(('Cálculos'!$C$197+(($B$54)-$A16)*'Cálculos'!$C$98)+1400)+'Cálculos'!$C$123)*'Cálculos'!$C$237)+('Cálculos'!$C$185*(1+'Cálculos'!$C$188+$A16*('Cálculos'!$C$290=1)*'Cálculos'!$C$97+'Cálculos'!$C$305)+'Cálculos'!$C$193)*('Cálculos'!$C$239+'Cálculos'!$C$124*(1+2.78*('Cálculos'!$C$198+(($B$54)-$A16)*'Cálculos'!$C$98)/(('Cálculos'!$C$198+(($B$54)-$A16)*'Cálculos'!$C$98)+1400)+'Cálculos'!$C$122)*'Cálculos'!$C$244+'Cálculos'!$C$125*(1+2.78*('Cálculos'!$C$198+(($B$54)-$A16)*'Cálculos'!$C$98)/(('Cálculos'!$C$198+(($B$54)-$A16)*'Cálculos'!$C$98)+1400)+'Cálculos'!$C$123)*'Cálculos'!$C$249)+('Cálculos'!$C$198+(($B$54)-$A16)*'Cálculos'!$C$98)*('Cálculos'!$C$240+'Cálculos'!$C$124*(1+2.78*('Cálculos'!$C$198+(($B$54)-$A16)*'Cálculos'!$C$98)/(('Cálculos'!$C$198+(($B$54)-$A16)*'Cálculos'!$C$98)+1400)+'Cálculos'!$C$122)*'Cálculos'!$C$245+'Cálculos'!$C$125*(1+2.78*('Cálculos'!$C$198+(($B$54)-$A16)*'Cálculos'!$C$98)/(('Cálculos'!$C$198+(($B$54)-$A16)*'Cálculos'!$C$98)+1400)+'Cálculos'!$C$123)*'Cálculos'!$C$250)+('Cálculos'!$C$201*(1+'Cálculos'!$C$202+$A16*('Cálculos'!$C$290=2)*'Cálculos'!$C$101)+'Cálculos'!$C$203)*('Cálculos'!$C$241+'Cálculos'!$C$124*(1+2.78*('Cálculos'!$C$198+(($B$54)-$A16)*'Cálculos'!$C$98)/(('Cálculos'!$C$198+(($B$54)-$A16)*'Cálculos'!$C$98)+1400)+'Cálculos'!$C$122)*'Cálculos'!$C$246+'Cálculos'!$C$125*(1+2.78*('Cálculos'!$C$198+(($B$54)-$A16)*'Cálculos'!$C$98)/(('Cálculos'!$C$198+(($B$54)-$A16)*'Cálculos'!$C$98)+1400)+'Cálculos'!$C$123)*'Cálculos'!$C$251)+('Cálculos'!$C$204*(1+'Cálculos'!$C$205+$A16*('Cálculos'!$C$290=3)*'Cálculos'!$C$103)+'Cálculos'!$C$206)*('Cálculos'!$C$242+'Cálculos'!$C$124*(1+2.78*('Cálculos'!$C$198+(($B$54)-$A16)*'Cálculos'!$C$98)/(('Cálculos'!$C$198+(($B$54)-$A16)*'Cálculos'!$C$98)+1400)+'Cálculos'!$C$122)*'Cálculos'!$C$247+'Cálculos'!$C$125*(1+2.78*('Cálculos'!$C$198+(($B$54)-$A16)*'Cálculos'!$C$98)/(('Cálculos'!$C$198+(($B$54)-$A16)*'Cálculos'!$C$98)+1400)+'Cálculos'!$C$123)*'Cálculos'!$C$252)+('Cálculos'!$C$185*(1+'Cálculos'!$C$189+$A16*('Cálculos'!$C$290=1)*'Cálculos'!$C$97+'Cálculos'!$C$305)+'Cálculos'!$C$194)*('Cálculos'!$C$254+'Cálculos'!$C$124*(1+2.78*('Cálculos'!$C$199+(($B$54)-$A16)*'Cálculos'!$C$98)/(('Cálculos'!$C$199+(($B$54)-$A16)*'Cálculos'!$C$98)+1400)+'Cálculos'!$C$122)*'Cálculos'!$C$259+'Cálculos'!$C$125*(1+2.78*('Cálculos'!$C$199+(($B$54)-$A16)*'Cálculos'!$C$98)/(('Cálculos'!$C$199+(($B$54)-$A16)*'Cálculos'!$C$98)+1400)+'Cálculos'!$C$123)*'Cálculos'!$C$264)+('Cálculos'!$C$199+(($B$54)-$A16)*'Cálculos'!$C$98)*('Cálculos'!$C$255+'Cálculos'!$C$124*(1+2.78*('Cálculos'!$C$199+(($B$54)-$A16)*'Cálculos'!$C$98)/(('Cálculos'!$C$199+(($B$54)-$A16)*'Cálculos'!$C$98)+1400)+'Cálculos'!$C$122)*'Cálculos'!$C$260+'Cálculos'!$C$125*(1+2.78*('Cálculos'!$C$199+(($B$54)-$A16)*'Cálculos'!$C$98)/(('Cálculos'!$C$199+(($B$54)-$A16)*'Cálculos'!$C$98)+1400)+'Cálculos'!$C$123)*'Cálculos'!$C$265)+('Cálculos'!$C$201*(1+'Cálculos'!$C$202+$A16*('Cálculos'!$C$290=2)*'Cálculos'!$C$101)+'Cálculos'!$C$203)*('Cálculos'!$C$256+'Cálculos'!$C$124*(1+2.78*('Cálculos'!$C$199+(($B$54)-$A16)*'Cálculos'!$C$98)/(('Cálculos'!$C$199+(($B$54)-$A16)*'Cálculos'!$C$98)+1400)+'Cálculos'!$C$122)*'Cálculos'!$C$261+'Cálculos'!$C$125*(1+2.78*('Cálculos'!$C$199+(($B$54)-$A16)*'Cálculos'!$C$98)/(('Cálculos'!$C$199+(($B$54)-$A16)*'Cálculos'!$C$98)+1400)+'Cálculos'!$C$123)*'Cálculos'!$C$266)+('Cálculos'!$C$204*(1+'Cálculos'!$C$205+$A16*('Cálculos'!$C$290=3)*'Cálculos'!$C$103)+'Cálculos'!$C$206)*('Cálculos'!$C$257+'Cálculos'!$C$124*(1+2.78*('Cálculos'!$C$199+(($B$54)-$A16)*'Cálculos'!$C$98)/(('Cálculos'!$C$199+(($B$54)-$A16)*'Cálculos'!$C$98)+1400)+'Cálculos'!$C$122)*'Cálculos'!$C$262+'Cálculos'!$C$125*(1+2.78*('Cálculos'!$C$199+(($B$54)-$A16)*'Cálculos'!$C$98)/(('Cálculos'!$C$199+(($B$54)-$A16)*'Cálculos'!$C$98)+1400)+'Cálculos'!$C$123)*'Cálculos'!$C$267)+('Cálculos'!$C$185*(1+'Cálculos'!$C$190+$A16*('Cálculos'!$C$290=1)*'Cálculos'!$C$97+'Cálculos'!$C$305)+'Cálculos'!$C$195)*('Cálculos'!$C$269+'Cálculos'!$C$124*(1+2.78*('Cálculos'!$C$200+(($B$54)-$A16)*'Cálculos'!$C$98)/(('Cálculos'!$C$200+(($B$54)-$A16)*'Cálculos'!$C$98)+1400)+'Cálculos'!$C$122)*'Cálculos'!$C$274+'Cálculos'!$C$125*(1+2.78*('Cálculos'!$C$200+(($B$54)-$A16)*'Cálculos'!$C$98)/(('Cálculos'!$C$200+(($B$54)-$A16)*'Cálculos'!$C$98)+1400)+'Cálculos'!$C$123)*'Cálculos'!$C$279)+('Cálculos'!$C$200+(($B$54)-$A16)*'Cálculos'!$C$98)*('Cálculos'!$C$270+'Cálculos'!$C$124*(1+2.78*('Cálculos'!$C$200+(($B$54)-$A16)*'Cálculos'!$C$98)/(('Cálculos'!$C$200+(($B$54)-$A16)*'Cálculos'!$C$98)+1400)+'Cálculos'!$C$122)*'Cálculos'!$C$275+'Cálculos'!$C$125*(1+2.78*('Cálculos'!$C$200+(($B$54)-$A16)*'Cálculos'!$C$98)/(('Cálculos'!$C$200+(($B$54)-$A16)*'Cálculos'!$C$98)+1400)+'Cálculos'!$C$123)*'Cálculos'!$C$280)+('Cálculos'!$C$201*(1+'Cálculos'!$C$202+$A16*('Cálculos'!$C$290=2)*'Cálculos'!$C$101)+'Cálculos'!$C$203)*('Cálculos'!$C$271+'Cálculos'!$C$124*(1+2.78*('Cálculos'!$C$200+(($B$54)-$A16)*'Cálculos'!$C$98)/(('Cálculos'!$C$200+(($B$54)-$A16)*'Cálculos'!$C$98)+1400)+'Cálculos'!$C$122)*'Cálculos'!$C$276+'Cálculos'!$C$125*(1+2.78*('Cálculos'!$C$200+(($B$54)-$A16)*'Cálculos'!$C$98)/(('Cálculos'!$C$200+(($B$54)-$A16)*'Cálculos'!$C$98)+1400)+'Cálculos'!$C$123)*'Cálculos'!$C$281)+('Cálculos'!$C$204*(1+'Cálculos'!$C$205+$A16*('Cálculos'!$C$290=3)*'Cálculos'!$C$103)+'Cálculos'!$C$206)*('Cálculos'!$C$272+'Cálculos'!$C$124*(1+2.78*('Cálculos'!$C$200+(($B$54)-$A16)*'Cálculos'!$C$98)/(('Cálculos'!$C$200+(($B$54)-$A16)*'Cálculos'!$C$98)+1400)+'Cálculos'!$C$122)*'Cálculos'!$C$277+'Cálculos'!$C$125*(1+2.78*('Cálculos'!$C$200+(($B$54)-$A16)*'Cálculos'!$C$98)/(('Cálculos'!$C$200+(($B$54)-$A16)*'Cálculos'!$C$98)+1400)+'Cálculos'!$C$123)*'Cálculos'!$C$282)))</f>
        <v>0</v>
      </c>
    </row>
    <row r="17">
      <c r="A17" s="2">
        <v>11.0</v>
      </c>
      <c r="B17" s="30">
        <f>SUMPRODUCT(MAX(($A$6:$A$51&lt;=$A17)*($A$6:$A$51&lt;='Cálculos'!$C$294)*(($A17)-$A$6:$A$51&lt;='Cálculos'!$C$295)*(1+(('Cálculos'!$C$207+$A$6:$A$51*'Cálculos'!$C$95)-(('Cálculos'!$C$207+$A$6:$A$51*'Cálculos'!$C$95)&gt;1)*(('Cálculos'!$C$207+$A$6:$A$51*'Cálculos'!$C$95)-1))*('Cálculos'!$C$208+(($A17)-$A$6:$A$51)*'Cálculos'!$C$96))))</f>
        <v>2.966132</v>
      </c>
      <c r="C17" s="2">
        <f>'Cálculos'!$C$303-$A17</f>
        <v>9</v>
      </c>
      <c r="D17" s="31">
        <f>IF($C17&lt;0,0,SUMPRODUCT(MAX(($A$6:$A$51&lt;=$C17)*($A$6:$A$51&lt;='Cálculos'!$C$301)*(($C17)-$A$6:$A$51&lt;='Cálculos'!$C$297)*(('Cálculos'!$C$185*(1+'Cálculos'!$C$186+$A$6:$A$51*('Cálculos'!$C$290=1)*'Cálculos'!$C$97+'Cálculos'!$C$305)+'Cálculos'!$C$191)*('Cálculos'!$C$209+'Cálculos'!$C$124*(1+2.78*('Cálculos'!$C$196+(($C17)-$A$6:$A$51)*'Cálculos'!$C$98)/(('Cálculos'!$C$196+(($C17)-$A$6:$A$51)*'Cálculos'!$C$98)+1400)+'Cálculos'!$C$122)*'Cálculos'!$C$214+'Cálculos'!$C$125*(1+2.78*('Cálculos'!$C$196+(($C17)-$A$6:$A$51)*'Cálculos'!$C$98)/(('Cálculos'!$C$196+(($C17)-$A$6:$A$51)*'Cálculos'!$C$98)+1400)+'Cálculos'!$C$123)*'Cálculos'!$C$219)+('Cálculos'!$C$196+(($C17)-$A$6:$A$51)*'Cálculos'!$C$98)*('Cálculos'!$C$210+'Cálculos'!$C$124*(1+2.78*('Cálculos'!$C$196+(($C17)-$A$6:$A$51)*'Cálculos'!$C$98)/(('Cálculos'!$C$196+(($C17)-$A$6:$A$51)*'Cálculos'!$C$98)+1400)+'Cálculos'!$C$122)*'Cálculos'!$C$215+'Cálculos'!$C$125*(1+2.78*('Cálculos'!$C$196+(($C17)-$A$6:$A$51)*'Cálculos'!$C$98)/(('Cálculos'!$C$196+(($C17)-$A$6:$A$51)*'Cálculos'!$C$98)+1400)+'Cálculos'!$C$123)*'Cálculos'!$C$220)+('Cálculos'!$C$201*(1+'Cálculos'!$C$202+$A$6:$A$51*('Cálculos'!$C$290=2)*'Cálculos'!$C$101)+'Cálculos'!$C$203)*('Cálculos'!$C$211+'Cálculos'!$C$124*(1+2.78*('Cálculos'!$C$196+(($C17)-$A$6:$A$51)*'Cálculos'!$C$98)/(('Cálculos'!$C$196+(($C17)-$A$6:$A$51)*'Cálculos'!$C$98)+1400)+'Cálculos'!$C$122)*'Cálculos'!$C$216+'Cálculos'!$C$125*(1+2.78*('Cálculos'!$C$196+(($C17)-$A$6:$A$51)*'Cálculos'!$C$98)/(('Cálculos'!$C$196+(($C17)-$A$6:$A$51)*'Cálculos'!$C$98)+1400)+'Cálculos'!$C$123)*'Cálculos'!$C$221)+('Cálculos'!$C$204*(1+'Cálculos'!$C$205+$A$6:$A$51*('Cálculos'!$C$290=3)*'Cálculos'!$C$103)+'Cálculos'!$C$206)*('Cálculos'!$C$212+'Cálculos'!$C$124*(1+2.78*('Cálculos'!$C$196+(($C17)-$A$6:$A$51)*'Cálculos'!$C$98)/(('Cálculos'!$C$196+(($C17)-$A$6:$A$51)*'Cálculos'!$C$98)+1400)+'Cálculos'!$C$122)*'Cálculos'!$C$217+'Cálculos'!$C$125*(1+2.78*('Cálculos'!$C$196+(($C17)-$A$6:$A$51)*'Cálculos'!$C$98)/(('Cálculos'!$C$196+(($C17)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17)-$A$6:$A$51)*'Cálculos'!$C$98)/(('Cálculos'!$C$197+(($C17)-$A$6:$A$51)*'Cálculos'!$C$98)+1400)+'Cálculos'!$C$122)*'Cálculos'!$C$229+'Cálculos'!$C$125*(1+2.78*('Cálculos'!$C$197+(($C17)-$A$6:$A$51)*'Cálculos'!$C$98)/(('Cálculos'!$C$197+(($C17)-$A$6:$A$51)*'Cálculos'!$C$98)+1400)+'Cálculos'!$C$123)*'Cálculos'!$C$234)+('Cálculos'!$C$197+(($C17)-$A$6:$A$51)*'Cálculos'!$C$98)*('Cálculos'!$C$225+'Cálculos'!$C$124*(1+2.78*('Cálculos'!$C$197+(($C17)-$A$6:$A$51)*'Cálculos'!$C$98)/(('Cálculos'!$C$197+(($C17)-$A$6:$A$51)*'Cálculos'!$C$98)+1400)+'Cálculos'!$C$122)*'Cálculos'!$C$230+'Cálculos'!$C$125*(1+2.78*('Cálculos'!$C$197+(($C17)-$A$6:$A$51)*'Cálculos'!$C$98)/(('Cálculos'!$C$197+(($C17)-$A$6:$A$51)*'Cálculos'!$C$98)+1400)+'Cálculos'!$C$123)*'Cálculos'!$C$235)+('Cálculos'!$C$201*(1+'Cálculos'!$C$202+$A$6:$A$51*('Cálculos'!$C$290=2)*'Cálculos'!$C$101)+'Cálculos'!$C$203)*('Cálculos'!$C$226+'Cálculos'!$C$124*(1+2.78*('Cálculos'!$C$197+(($C17)-$A$6:$A$51)*'Cálculos'!$C$98)/(('Cálculos'!$C$197+(($C17)-$A$6:$A$51)*'Cálculos'!$C$98)+1400)+'Cálculos'!$C$122)*'Cálculos'!$C$231+'Cálculos'!$C$125*(1+2.78*('Cálculos'!$C$197+(($C17)-$A$6:$A$51)*'Cálculos'!$C$98)/(('Cálculos'!$C$197+(($C17)-$A$6:$A$51)*'Cálculos'!$C$98)+1400)+'Cálculos'!$C$123)*'Cálculos'!$C$236)+('Cálculos'!$C$204*(1+'Cálculos'!$C$205+$A$6:$A$51*('Cálculos'!$C$290=3)*'Cálculos'!$C$103)+'Cálculos'!$C$206)*('Cálculos'!$C$227+'Cálculos'!$C$124*(1+2.78*('Cálculos'!$C$197+(($C17)-$A$6:$A$51)*'Cálculos'!$C$98)/(('Cálculos'!$C$197+(($C17)-$A$6:$A$51)*'Cálculos'!$C$98)+1400)+'Cálculos'!$C$122)*'Cálculos'!$C$232+'Cálculos'!$C$125*(1+2.78*('Cálculos'!$C$197+(($C17)-$A$6:$A$51)*'Cálculos'!$C$98)/(('Cálculos'!$C$197+(($C17)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17)-$A$6:$A$51)*'Cálculos'!$C$98)/(('Cálculos'!$C$198+(($C17)-$A$6:$A$51)*'Cálculos'!$C$98)+1400)+'Cálculos'!$C$122)*'Cálculos'!$C$244+'Cálculos'!$C$125*(1+2.78*('Cálculos'!$C$198+(($C17)-$A$6:$A$51)*'Cálculos'!$C$98)/(('Cálculos'!$C$198+(($C17)-$A$6:$A$51)*'Cálculos'!$C$98)+1400)+'Cálculos'!$C$123)*'Cálculos'!$C$249)+('Cálculos'!$C$198+(($C17)-$A$6:$A$51)*'Cálculos'!$C$98)*('Cálculos'!$C$240+'Cálculos'!$C$124*(1+2.78*('Cálculos'!$C$198+(($C17)-$A$6:$A$51)*'Cálculos'!$C$98)/(('Cálculos'!$C$198+(($C17)-$A$6:$A$51)*'Cálculos'!$C$98)+1400)+'Cálculos'!$C$122)*'Cálculos'!$C$245+'Cálculos'!$C$125*(1+2.78*('Cálculos'!$C$198+(($C17)-$A$6:$A$51)*'Cálculos'!$C$98)/(('Cálculos'!$C$198+(($C17)-$A$6:$A$51)*'Cálculos'!$C$98)+1400)+'Cálculos'!$C$123)*'Cálculos'!$C$250)+('Cálculos'!$C$201*(1+'Cálculos'!$C$202+$A$6:$A$51*('Cálculos'!$C$290=2)*'Cálculos'!$C$101)+'Cálculos'!$C$203)*('Cálculos'!$C$241+'Cálculos'!$C$124*(1+2.78*('Cálculos'!$C$198+(($C17)-$A$6:$A$51)*'Cálculos'!$C$98)/(('Cálculos'!$C$198+(($C17)-$A$6:$A$51)*'Cálculos'!$C$98)+1400)+'Cálculos'!$C$122)*'Cálculos'!$C$246+'Cálculos'!$C$125*(1+2.78*('Cálculos'!$C$198+(($C17)-$A$6:$A$51)*'Cálculos'!$C$98)/(('Cálculos'!$C$198+(($C17)-$A$6:$A$51)*'Cálculos'!$C$98)+1400)+'Cálculos'!$C$123)*'Cálculos'!$C$251)+('Cálculos'!$C$204*(1+'Cálculos'!$C$205+$A$6:$A$51*('Cálculos'!$C$290=3)*'Cálculos'!$C$103)+'Cálculos'!$C$206)*('Cálculos'!$C$242+'Cálculos'!$C$124*(1+2.78*('Cálculos'!$C$198+(($C17)-$A$6:$A$51)*'Cálculos'!$C$98)/(('Cálculos'!$C$198+(($C17)-$A$6:$A$51)*'Cálculos'!$C$98)+1400)+'Cálculos'!$C$122)*'Cálculos'!$C$247+'Cálculos'!$C$125*(1+2.78*('Cálculos'!$C$198+(($C17)-$A$6:$A$51)*'Cálculos'!$C$98)/(('Cálculos'!$C$198+(($C17)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17)-$A$6:$A$51)*'Cálculos'!$C$98)/(('Cálculos'!$C$199+(($C17)-$A$6:$A$51)*'Cálculos'!$C$98)+1400)+'Cálculos'!$C$122)*'Cálculos'!$C$259+'Cálculos'!$C$125*(1+2.78*('Cálculos'!$C$199+(($C17)-$A$6:$A$51)*'Cálculos'!$C$98)/(('Cálculos'!$C$199+(($C17)-$A$6:$A$51)*'Cálculos'!$C$98)+1400)+'Cálculos'!$C$123)*'Cálculos'!$C$264)+('Cálculos'!$C$199+(($C17)-$A$6:$A$51)*'Cálculos'!$C$98)*('Cálculos'!$C$255+'Cálculos'!$C$124*(1+2.78*('Cálculos'!$C$199+(($C17)-$A$6:$A$51)*'Cálculos'!$C$98)/(('Cálculos'!$C$199+(($C17)-$A$6:$A$51)*'Cálculos'!$C$98)+1400)+'Cálculos'!$C$122)*'Cálculos'!$C$260+'Cálculos'!$C$125*(1+2.78*('Cálculos'!$C$199+(($C17)-$A$6:$A$51)*'Cálculos'!$C$98)/(('Cálculos'!$C$199+(($C17)-$A$6:$A$51)*'Cálculos'!$C$98)+1400)+'Cálculos'!$C$123)*'Cálculos'!$C$265)+('Cálculos'!$C$201*(1+'Cálculos'!$C$202+$A$6:$A$51*('Cálculos'!$C$290=2)*'Cálculos'!$C$101)+'Cálculos'!$C$203)*('Cálculos'!$C$256+'Cálculos'!$C$124*(1+2.78*('Cálculos'!$C$199+(($C17)-$A$6:$A$51)*'Cálculos'!$C$98)/(('Cálculos'!$C$199+(($C17)-$A$6:$A$51)*'Cálculos'!$C$98)+1400)+'Cálculos'!$C$122)*'Cálculos'!$C$261+'Cálculos'!$C$125*(1+2.78*('Cálculos'!$C$199+(($C17)-$A$6:$A$51)*'Cálculos'!$C$98)/(('Cálculos'!$C$199+(($C17)-$A$6:$A$51)*'Cálculos'!$C$98)+1400)+'Cálculos'!$C$123)*'Cálculos'!$C$266)+('Cálculos'!$C$204*(1+'Cálculos'!$C$205+$A$6:$A$51*('Cálculos'!$C$290=3)*'Cálculos'!$C$103)+'Cálculos'!$C$206)*('Cálculos'!$C$257+'Cálculos'!$C$124*(1+2.78*('Cálculos'!$C$199+(($C17)-$A$6:$A$51)*'Cálculos'!$C$98)/(('Cálculos'!$C$199+(($C17)-$A$6:$A$51)*'Cálculos'!$C$98)+1400)+'Cálculos'!$C$122)*'Cálculos'!$C$262+'Cálculos'!$C$125*(1+2.78*('Cálculos'!$C$199+(($C17)-$A$6:$A$51)*'Cálculos'!$C$98)/(('Cálculos'!$C$199+(($C17)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17)-$A$6:$A$51)*'Cálculos'!$C$98)/(('Cálculos'!$C$200+(($C17)-$A$6:$A$51)*'Cálculos'!$C$98)+1400)+'Cálculos'!$C$122)*'Cálculos'!$C$274+'Cálculos'!$C$125*(1+2.78*('Cálculos'!$C$200+(($C17)-$A$6:$A$51)*'Cálculos'!$C$98)/(('Cálculos'!$C$200+(($C17)-$A$6:$A$51)*'Cálculos'!$C$98)+1400)+'Cálculos'!$C$123)*'Cálculos'!$C$279)+('Cálculos'!$C$200+(($C17)-$A$6:$A$51)*'Cálculos'!$C$98)*('Cálculos'!$C$270+'Cálculos'!$C$124*(1+2.78*('Cálculos'!$C$200+(($C17)-$A$6:$A$51)*'Cálculos'!$C$98)/(('Cálculos'!$C$200+(($C17)-$A$6:$A$51)*'Cálculos'!$C$98)+1400)+'Cálculos'!$C$122)*'Cálculos'!$C$275+'Cálculos'!$C$125*(1+2.78*('Cálculos'!$C$200+(($C17)-$A$6:$A$51)*'Cálculos'!$C$98)/(('Cálculos'!$C$200+(($C17)-$A$6:$A$51)*'Cálculos'!$C$98)+1400)+'Cálculos'!$C$123)*'Cálculos'!$C$280)+('Cálculos'!$C$201*(1+'Cálculos'!$C$202+$A$6:$A$51*('Cálculos'!$C$290=2)*'Cálculos'!$C$101)+'Cálculos'!$C$203)*('Cálculos'!$C$271+'Cálculos'!$C$124*(1+2.78*('Cálculos'!$C$200+(($C17)-$A$6:$A$51)*'Cálculos'!$C$98)/(('Cálculos'!$C$200+(($C17)-$A$6:$A$51)*'Cálculos'!$C$98)+1400)+'Cálculos'!$C$122)*'Cálculos'!$C$276+'Cálculos'!$C$125*(1+2.78*('Cálculos'!$C$200+(($C17)-$A$6:$A$51)*'Cálculos'!$C$98)/(('Cálculos'!$C$200+(($C17)-$A$6:$A$51)*'Cálculos'!$C$98)+1400)+'Cálculos'!$C$123)*'Cálculos'!$C$281)+('Cálculos'!$C$204*(1+'Cálculos'!$C$205+$A$6:$A$51*('Cálculos'!$C$290=3)*'Cálculos'!$C$103)+'Cálculos'!$C$206)*('Cálculos'!$C$272+'Cálculos'!$C$124*(1+2.78*('Cálculos'!$C$200+(($C17)-$A$6:$A$51)*'Cálculos'!$C$98)/(('Cálculos'!$C$200+(($C17)-$A$6:$A$51)*'Cálculos'!$C$98)+1400)+'Cálculos'!$C$122)*'Cálculos'!$C$277+'Cálculos'!$C$125*(1+2.78*('Cálculos'!$C$200+(($C17)-$A$6:$A$51)*'Cálculos'!$C$98)/(('Cálculos'!$C$200+(($C17)-$A$6:$A$51)*'Cálculos'!$C$98)+1400)+'Cálculos'!$C$123)*'Cálculos'!$C$282)))))</f>
        <v>1155552.329</v>
      </c>
      <c r="E17" s="32">
        <f>IF(OR($C17&lt;0,'Cálculos'!$C$6=""),0,$B17*$D17)</f>
        <v>3427520.74</v>
      </c>
      <c r="F17" s="2"/>
      <c r="G17" s="30">
        <f>($A17&lt;=$B$53)*($A17&lt;='Cálculos'!$C$294)*(($B$53)-$A17&lt;='Cálculos'!$C$295)*(1+MIN(('Cálculos'!$C$207+$A17*'Cálculos'!$C$95),1)*('Cálculos'!$C$208+(($B$53)-$A17)*'Cálculos'!$C$96))</f>
        <v>3.292502</v>
      </c>
      <c r="H17" s="31">
        <f>IF($B$54&lt;0,0,($A17&lt;=$B$54)*($A17&lt;='Cálculos'!$C$301)*(($B$54)-$A17&lt;='Cálculos'!$C$297)*(('Cálculos'!$C$185*(1+'Cálculos'!$C$186+$A17*('Cálculos'!$C$290=1)*'Cálculos'!$C$97+'Cálculos'!$C$305)+'Cálculos'!$C$191)*('Cálculos'!$C$209+'Cálculos'!$C$124*(1+2.78*('Cálculos'!$C$196+(($B$54)-$A17)*'Cálculos'!$C$98)/(('Cálculos'!$C$196+(($B$54)-$A17)*'Cálculos'!$C$98)+1400)+'Cálculos'!$C$122)*'Cálculos'!$C$214+'Cálculos'!$C$125*(1+2.78*('Cálculos'!$C$196+(($B$54)-$A17)*'Cálculos'!$C$98)/(('Cálculos'!$C$196+(($B$54)-$A17)*'Cálculos'!$C$98)+1400)+'Cálculos'!$C$123)*'Cálculos'!$C$219)+('Cálculos'!$C$196+(($B$54)-$A17)*'Cálculos'!$C$98)*('Cálculos'!$C$210+'Cálculos'!$C$124*(1+2.78*('Cálculos'!$C$196+(($B$54)-$A17)*'Cálculos'!$C$98)/(('Cálculos'!$C$196+(($B$54)-$A17)*'Cálculos'!$C$98)+1400)+'Cálculos'!$C$122)*'Cálculos'!$C$215+'Cálculos'!$C$125*(1+2.78*('Cálculos'!$C$196+(($B$54)-$A17)*'Cálculos'!$C$98)/(('Cálculos'!$C$196+(($B$54)-$A17)*'Cálculos'!$C$98)+1400)+'Cálculos'!$C$123)*'Cálculos'!$C$220)+('Cálculos'!$C$201*(1+'Cálculos'!$C$202+$A17*('Cálculos'!$C$290=2)*'Cálculos'!$C$101)+'Cálculos'!$C$203)*('Cálculos'!$C$211+'Cálculos'!$C$124*(1+2.78*('Cálculos'!$C$196+(($B$54)-$A17)*'Cálculos'!$C$98)/(('Cálculos'!$C$196+(($B$54)-$A17)*'Cálculos'!$C$98)+1400)+'Cálculos'!$C$122)*'Cálculos'!$C$216+'Cálculos'!$C$125*(1+2.78*('Cálculos'!$C$196+(($B$54)-$A17)*'Cálculos'!$C$98)/(('Cálculos'!$C$196+(($B$54)-$A17)*'Cálculos'!$C$98)+1400)+'Cálculos'!$C$123)*'Cálculos'!$C$221)+('Cálculos'!$C$204*(1+'Cálculos'!$C$205+$A17*('Cálculos'!$C$290=3)*'Cálculos'!$C$103)+'Cálculos'!$C$206)*('Cálculos'!$C$212+'Cálculos'!$C$124*(1+2.78*('Cálculos'!$C$196+(($B$54)-$A17)*'Cálculos'!$C$98)/(('Cálculos'!$C$196+(($B$54)-$A17)*'Cálculos'!$C$98)+1400)+'Cálculos'!$C$122)*'Cálculos'!$C$217+'Cálculos'!$C$125*(1+2.78*('Cálculos'!$C$196+(($B$54)-$A17)*'Cálculos'!$C$98)/(('Cálculos'!$C$196+(($B$54)-$A17)*'Cálculos'!$C$98)+1400)+'Cálculos'!$C$123)*'Cálculos'!$C$222)+('Cálculos'!$C$185*(1+'Cálculos'!$C$187+$A17*('Cálculos'!$C$290=1)*'Cálculos'!$C$97+'Cálculos'!$C$305)+'Cálculos'!$C$192)*('Cálculos'!$C$224+'Cálculos'!$C$124*(1+2.78*('Cálculos'!$C$197+(($B$54)-$A17)*'Cálculos'!$C$98)/(('Cálculos'!$C$197+(($B$54)-$A17)*'Cálculos'!$C$98)+1400)+'Cálculos'!$C$122)*'Cálculos'!$C$229+'Cálculos'!$C$125*(1+2.78*('Cálculos'!$C$197+(($B$54)-$A17)*'Cálculos'!$C$98)/(('Cálculos'!$C$197+(($B$54)-$A17)*'Cálculos'!$C$98)+1400)+'Cálculos'!$C$123)*'Cálculos'!$C$234)+('Cálculos'!$C$197+(($B$54)-$A17)*'Cálculos'!$C$98)*('Cálculos'!$C$225+'Cálculos'!$C$124*(1+2.78*('Cálculos'!$C$197+(($B$54)-$A17)*'Cálculos'!$C$98)/(('Cálculos'!$C$197+(($B$54)-$A17)*'Cálculos'!$C$98)+1400)+'Cálculos'!$C$122)*'Cálculos'!$C$230+'Cálculos'!$C$125*(1+2.78*('Cálculos'!$C$197+(($B$54)-$A17)*'Cálculos'!$C$98)/(('Cálculos'!$C$197+(($B$54)-$A17)*'Cálculos'!$C$98)+1400)+'Cálculos'!$C$123)*'Cálculos'!$C$235)+('Cálculos'!$C$201*(1+'Cálculos'!$C$202+$A17*('Cálculos'!$C$290=2)*'Cálculos'!$C$101)+'Cálculos'!$C$203)*('Cálculos'!$C$226+'Cálculos'!$C$124*(1+2.78*('Cálculos'!$C$197+(($B$54)-$A17)*'Cálculos'!$C$98)/(('Cálculos'!$C$197+(($B$54)-$A17)*'Cálculos'!$C$98)+1400)+'Cálculos'!$C$122)*'Cálculos'!$C$231+'Cálculos'!$C$125*(1+2.78*('Cálculos'!$C$197+(($B$54)-$A17)*'Cálculos'!$C$98)/(('Cálculos'!$C$197+(($B$54)-$A17)*'Cálculos'!$C$98)+1400)+'Cálculos'!$C$123)*'Cálculos'!$C$236)+('Cálculos'!$C$204*(1+'Cálculos'!$C$205+$A17*('Cálculos'!$C$290=3)*'Cálculos'!$C$103)+'Cálculos'!$C$206)*('Cálculos'!$C$227+'Cálculos'!$C$124*(1+2.78*('Cálculos'!$C$197+(($B$54)-$A17)*'Cálculos'!$C$98)/(('Cálculos'!$C$197+(($B$54)-$A17)*'Cálculos'!$C$98)+1400)+'Cálculos'!$C$122)*'Cálculos'!$C$232+'Cálculos'!$C$125*(1+2.78*('Cálculos'!$C$197+(($B$54)-$A17)*'Cálculos'!$C$98)/(('Cálculos'!$C$197+(($B$54)-$A17)*'Cálculos'!$C$98)+1400)+'Cálculos'!$C$123)*'Cálculos'!$C$237)+('Cálculos'!$C$185*(1+'Cálculos'!$C$188+$A17*('Cálculos'!$C$290=1)*'Cálculos'!$C$97+'Cálculos'!$C$305)+'Cálculos'!$C$193)*('Cálculos'!$C$239+'Cálculos'!$C$124*(1+2.78*('Cálculos'!$C$198+(($B$54)-$A17)*'Cálculos'!$C$98)/(('Cálculos'!$C$198+(($B$54)-$A17)*'Cálculos'!$C$98)+1400)+'Cálculos'!$C$122)*'Cálculos'!$C$244+'Cálculos'!$C$125*(1+2.78*('Cálculos'!$C$198+(($B$54)-$A17)*'Cálculos'!$C$98)/(('Cálculos'!$C$198+(($B$54)-$A17)*'Cálculos'!$C$98)+1400)+'Cálculos'!$C$123)*'Cálculos'!$C$249)+('Cálculos'!$C$198+(($B$54)-$A17)*'Cálculos'!$C$98)*('Cálculos'!$C$240+'Cálculos'!$C$124*(1+2.78*('Cálculos'!$C$198+(($B$54)-$A17)*'Cálculos'!$C$98)/(('Cálculos'!$C$198+(($B$54)-$A17)*'Cálculos'!$C$98)+1400)+'Cálculos'!$C$122)*'Cálculos'!$C$245+'Cálculos'!$C$125*(1+2.78*('Cálculos'!$C$198+(($B$54)-$A17)*'Cálculos'!$C$98)/(('Cálculos'!$C$198+(($B$54)-$A17)*'Cálculos'!$C$98)+1400)+'Cálculos'!$C$123)*'Cálculos'!$C$250)+('Cálculos'!$C$201*(1+'Cálculos'!$C$202+$A17*('Cálculos'!$C$290=2)*'Cálculos'!$C$101)+'Cálculos'!$C$203)*('Cálculos'!$C$241+'Cálculos'!$C$124*(1+2.78*('Cálculos'!$C$198+(($B$54)-$A17)*'Cálculos'!$C$98)/(('Cálculos'!$C$198+(($B$54)-$A17)*'Cálculos'!$C$98)+1400)+'Cálculos'!$C$122)*'Cálculos'!$C$246+'Cálculos'!$C$125*(1+2.78*('Cálculos'!$C$198+(($B$54)-$A17)*'Cálculos'!$C$98)/(('Cálculos'!$C$198+(($B$54)-$A17)*'Cálculos'!$C$98)+1400)+'Cálculos'!$C$123)*'Cálculos'!$C$251)+('Cálculos'!$C$204*(1+'Cálculos'!$C$205+$A17*('Cálculos'!$C$290=3)*'Cálculos'!$C$103)+'Cálculos'!$C$206)*('Cálculos'!$C$242+'Cálculos'!$C$124*(1+2.78*('Cálculos'!$C$198+(($B$54)-$A17)*'Cálculos'!$C$98)/(('Cálculos'!$C$198+(($B$54)-$A17)*'Cálculos'!$C$98)+1400)+'Cálculos'!$C$122)*'Cálculos'!$C$247+'Cálculos'!$C$125*(1+2.78*('Cálculos'!$C$198+(($B$54)-$A17)*'Cálculos'!$C$98)/(('Cálculos'!$C$198+(($B$54)-$A17)*'Cálculos'!$C$98)+1400)+'Cálculos'!$C$123)*'Cálculos'!$C$252)+('Cálculos'!$C$185*(1+'Cálculos'!$C$189+$A17*('Cálculos'!$C$290=1)*'Cálculos'!$C$97+'Cálculos'!$C$305)+'Cálculos'!$C$194)*('Cálculos'!$C$254+'Cálculos'!$C$124*(1+2.78*('Cálculos'!$C$199+(($B$54)-$A17)*'Cálculos'!$C$98)/(('Cálculos'!$C$199+(($B$54)-$A17)*'Cálculos'!$C$98)+1400)+'Cálculos'!$C$122)*'Cálculos'!$C$259+'Cálculos'!$C$125*(1+2.78*('Cálculos'!$C$199+(($B$54)-$A17)*'Cálculos'!$C$98)/(('Cálculos'!$C$199+(($B$54)-$A17)*'Cálculos'!$C$98)+1400)+'Cálculos'!$C$123)*'Cálculos'!$C$264)+('Cálculos'!$C$199+(($B$54)-$A17)*'Cálculos'!$C$98)*('Cálculos'!$C$255+'Cálculos'!$C$124*(1+2.78*('Cálculos'!$C$199+(($B$54)-$A17)*'Cálculos'!$C$98)/(('Cálculos'!$C$199+(($B$54)-$A17)*'Cálculos'!$C$98)+1400)+'Cálculos'!$C$122)*'Cálculos'!$C$260+'Cálculos'!$C$125*(1+2.78*('Cálculos'!$C$199+(($B$54)-$A17)*'Cálculos'!$C$98)/(('Cálculos'!$C$199+(($B$54)-$A17)*'Cálculos'!$C$98)+1400)+'Cálculos'!$C$123)*'Cálculos'!$C$265)+('Cálculos'!$C$201*(1+'Cálculos'!$C$202+$A17*('Cálculos'!$C$290=2)*'Cálculos'!$C$101)+'Cálculos'!$C$203)*('Cálculos'!$C$256+'Cálculos'!$C$124*(1+2.78*('Cálculos'!$C$199+(($B$54)-$A17)*'Cálculos'!$C$98)/(('Cálculos'!$C$199+(($B$54)-$A17)*'Cálculos'!$C$98)+1400)+'Cálculos'!$C$122)*'Cálculos'!$C$261+'Cálculos'!$C$125*(1+2.78*('Cálculos'!$C$199+(($B$54)-$A17)*'Cálculos'!$C$98)/(('Cálculos'!$C$199+(($B$54)-$A17)*'Cálculos'!$C$98)+1400)+'Cálculos'!$C$123)*'Cálculos'!$C$266)+('Cálculos'!$C$204*(1+'Cálculos'!$C$205+$A17*('Cálculos'!$C$290=3)*'Cálculos'!$C$103)+'Cálculos'!$C$206)*('Cálculos'!$C$257+'Cálculos'!$C$124*(1+2.78*('Cálculos'!$C$199+(($B$54)-$A17)*'Cálculos'!$C$98)/(('Cálculos'!$C$199+(($B$54)-$A17)*'Cálculos'!$C$98)+1400)+'Cálculos'!$C$122)*'Cálculos'!$C$262+'Cálculos'!$C$125*(1+2.78*('Cálculos'!$C$199+(($B$54)-$A17)*'Cálculos'!$C$98)/(('Cálculos'!$C$199+(($B$54)-$A17)*'Cálculos'!$C$98)+1400)+'Cálculos'!$C$123)*'Cálculos'!$C$267)+('Cálculos'!$C$185*(1+'Cálculos'!$C$190+$A17*('Cálculos'!$C$290=1)*'Cálculos'!$C$97+'Cálculos'!$C$305)+'Cálculos'!$C$195)*('Cálculos'!$C$269+'Cálculos'!$C$124*(1+2.78*('Cálculos'!$C$200+(($B$54)-$A17)*'Cálculos'!$C$98)/(('Cálculos'!$C$200+(($B$54)-$A17)*'Cálculos'!$C$98)+1400)+'Cálculos'!$C$122)*'Cálculos'!$C$274+'Cálculos'!$C$125*(1+2.78*('Cálculos'!$C$200+(($B$54)-$A17)*'Cálculos'!$C$98)/(('Cálculos'!$C$200+(($B$54)-$A17)*'Cálculos'!$C$98)+1400)+'Cálculos'!$C$123)*'Cálculos'!$C$279)+('Cálculos'!$C$200+(($B$54)-$A17)*'Cálculos'!$C$98)*('Cálculos'!$C$270+'Cálculos'!$C$124*(1+2.78*('Cálculos'!$C$200+(($B$54)-$A17)*'Cálculos'!$C$98)/(('Cálculos'!$C$200+(($B$54)-$A17)*'Cálculos'!$C$98)+1400)+'Cálculos'!$C$122)*'Cálculos'!$C$275+'Cálculos'!$C$125*(1+2.78*('Cálculos'!$C$200+(($B$54)-$A17)*'Cálculos'!$C$98)/(('Cálculos'!$C$200+(($B$54)-$A17)*'Cálculos'!$C$98)+1400)+'Cálculos'!$C$123)*'Cálculos'!$C$280)+('Cálculos'!$C$201*(1+'Cálculos'!$C$202+$A17*('Cálculos'!$C$290=2)*'Cálculos'!$C$101)+'Cálculos'!$C$203)*('Cálculos'!$C$271+'Cálculos'!$C$124*(1+2.78*('Cálculos'!$C$200+(($B$54)-$A17)*'Cálculos'!$C$98)/(('Cálculos'!$C$200+(($B$54)-$A17)*'Cálculos'!$C$98)+1400)+'Cálculos'!$C$122)*'Cálculos'!$C$276+'Cálculos'!$C$125*(1+2.78*('Cálculos'!$C$200+(($B$54)-$A17)*'Cálculos'!$C$98)/(('Cálculos'!$C$200+(($B$54)-$A17)*'Cálculos'!$C$98)+1400)+'Cálculos'!$C$123)*'Cálculos'!$C$281)+('Cálculos'!$C$204*(1+'Cálculos'!$C$205+$A17*('Cálculos'!$C$290=3)*'Cálculos'!$C$103)+'Cálculos'!$C$206)*('Cálculos'!$C$272+'Cálculos'!$C$124*(1+2.78*('Cálculos'!$C$200+(($B$54)-$A17)*'Cálculos'!$C$98)/(('Cálculos'!$C$200+(($B$54)-$A17)*'Cálculos'!$C$98)+1400)+'Cálculos'!$C$122)*'Cálculos'!$C$277+'Cálculos'!$C$125*(1+2.78*('Cálculos'!$C$200+(($B$54)-$A17)*'Cálculos'!$C$98)/(('Cálculos'!$C$200+(($B$54)-$A17)*'Cálculos'!$C$98)+1400)+'Cálculos'!$C$123)*'Cálculos'!$C$282)))</f>
        <v>0</v>
      </c>
    </row>
    <row r="18">
      <c r="A18" s="2">
        <v>12.0</v>
      </c>
      <c r="B18" s="30">
        <f>SUMPRODUCT(MAX(($A$6:$A$51&lt;=$A18)*($A$6:$A$51&lt;='Cálculos'!$C$294)*(($A18)-$A$6:$A$51&lt;='Cálculos'!$C$295)*(1+(('Cálculos'!$C$207+$A$6:$A$51*'Cálculos'!$C$95)-(('Cálculos'!$C$207+$A$6:$A$51*'Cálculos'!$C$95)&gt;1)*(('Cálculos'!$C$207+$A$6:$A$51*'Cálculos'!$C$95)-1))*('Cálculos'!$C$208+(($A18)-$A$6:$A$51)*'Cálculos'!$C$96))))</f>
        <v>3.031406</v>
      </c>
      <c r="C18" s="2">
        <f>'Cálculos'!$C$303-$A18</f>
        <v>8</v>
      </c>
      <c r="D18" s="31">
        <f>IF($C18&lt;0,0,SUMPRODUCT(MAX(($A$6:$A$51&lt;=$C18)*($A$6:$A$51&lt;='Cálculos'!$C$301)*(($C18)-$A$6:$A$51&lt;='Cálculos'!$C$297)*(('Cálculos'!$C$185*(1+'Cálculos'!$C$186+$A$6:$A$51*('Cálculos'!$C$290=1)*'Cálculos'!$C$97+'Cálculos'!$C$305)+'Cálculos'!$C$191)*('Cálculos'!$C$209+'Cálculos'!$C$124*(1+2.78*('Cálculos'!$C$196+(($C18)-$A$6:$A$51)*'Cálculos'!$C$98)/(('Cálculos'!$C$196+(($C18)-$A$6:$A$51)*'Cálculos'!$C$98)+1400)+'Cálculos'!$C$122)*'Cálculos'!$C$214+'Cálculos'!$C$125*(1+2.78*('Cálculos'!$C$196+(($C18)-$A$6:$A$51)*'Cálculos'!$C$98)/(('Cálculos'!$C$196+(($C18)-$A$6:$A$51)*'Cálculos'!$C$98)+1400)+'Cálculos'!$C$123)*'Cálculos'!$C$219)+('Cálculos'!$C$196+(($C18)-$A$6:$A$51)*'Cálculos'!$C$98)*('Cálculos'!$C$210+'Cálculos'!$C$124*(1+2.78*('Cálculos'!$C$196+(($C18)-$A$6:$A$51)*'Cálculos'!$C$98)/(('Cálculos'!$C$196+(($C18)-$A$6:$A$51)*'Cálculos'!$C$98)+1400)+'Cálculos'!$C$122)*'Cálculos'!$C$215+'Cálculos'!$C$125*(1+2.78*('Cálculos'!$C$196+(($C18)-$A$6:$A$51)*'Cálculos'!$C$98)/(('Cálculos'!$C$196+(($C18)-$A$6:$A$51)*'Cálculos'!$C$98)+1400)+'Cálculos'!$C$123)*'Cálculos'!$C$220)+('Cálculos'!$C$201*(1+'Cálculos'!$C$202+$A$6:$A$51*('Cálculos'!$C$290=2)*'Cálculos'!$C$101)+'Cálculos'!$C$203)*('Cálculos'!$C$211+'Cálculos'!$C$124*(1+2.78*('Cálculos'!$C$196+(($C18)-$A$6:$A$51)*'Cálculos'!$C$98)/(('Cálculos'!$C$196+(($C18)-$A$6:$A$51)*'Cálculos'!$C$98)+1400)+'Cálculos'!$C$122)*'Cálculos'!$C$216+'Cálculos'!$C$125*(1+2.78*('Cálculos'!$C$196+(($C18)-$A$6:$A$51)*'Cálculos'!$C$98)/(('Cálculos'!$C$196+(($C18)-$A$6:$A$51)*'Cálculos'!$C$98)+1400)+'Cálculos'!$C$123)*'Cálculos'!$C$221)+('Cálculos'!$C$204*(1+'Cálculos'!$C$205+$A$6:$A$51*('Cálculos'!$C$290=3)*'Cálculos'!$C$103)+'Cálculos'!$C$206)*('Cálculos'!$C$212+'Cálculos'!$C$124*(1+2.78*('Cálculos'!$C$196+(($C18)-$A$6:$A$51)*'Cálculos'!$C$98)/(('Cálculos'!$C$196+(($C18)-$A$6:$A$51)*'Cálculos'!$C$98)+1400)+'Cálculos'!$C$122)*'Cálculos'!$C$217+'Cálculos'!$C$125*(1+2.78*('Cálculos'!$C$196+(($C18)-$A$6:$A$51)*'Cálculos'!$C$98)/(('Cálculos'!$C$196+(($C18)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18)-$A$6:$A$51)*'Cálculos'!$C$98)/(('Cálculos'!$C$197+(($C18)-$A$6:$A$51)*'Cálculos'!$C$98)+1400)+'Cálculos'!$C$122)*'Cálculos'!$C$229+'Cálculos'!$C$125*(1+2.78*('Cálculos'!$C$197+(($C18)-$A$6:$A$51)*'Cálculos'!$C$98)/(('Cálculos'!$C$197+(($C18)-$A$6:$A$51)*'Cálculos'!$C$98)+1400)+'Cálculos'!$C$123)*'Cálculos'!$C$234)+('Cálculos'!$C$197+(($C18)-$A$6:$A$51)*'Cálculos'!$C$98)*('Cálculos'!$C$225+'Cálculos'!$C$124*(1+2.78*('Cálculos'!$C$197+(($C18)-$A$6:$A$51)*'Cálculos'!$C$98)/(('Cálculos'!$C$197+(($C18)-$A$6:$A$51)*'Cálculos'!$C$98)+1400)+'Cálculos'!$C$122)*'Cálculos'!$C$230+'Cálculos'!$C$125*(1+2.78*('Cálculos'!$C$197+(($C18)-$A$6:$A$51)*'Cálculos'!$C$98)/(('Cálculos'!$C$197+(($C18)-$A$6:$A$51)*'Cálculos'!$C$98)+1400)+'Cálculos'!$C$123)*'Cálculos'!$C$235)+('Cálculos'!$C$201*(1+'Cálculos'!$C$202+$A$6:$A$51*('Cálculos'!$C$290=2)*'Cálculos'!$C$101)+'Cálculos'!$C$203)*('Cálculos'!$C$226+'Cálculos'!$C$124*(1+2.78*('Cálculos'!$C$197+(($C18)-$A$6:$A$51)*'Cálculos'!$C$98)/(('Cálculos'!$C$197+(($C18)-$A$6:$A$51)*'Cálculos'!$C$98)+1400)+'Cálculos'!$C$122)*'Cálculos'!$C$231+'Cálculos'!$C$125*(1+2.78*('Cálculos'!$C$197+(($C18)-$A$6:$A$51)*'Cálculos'!$C$98)/(('Cálculos'!$C$197+(($C18)-$A$6:$A$51)*'Cálculos'!$C$98)+1400)+'Cálculos'!$C$123)*'Cálculos'!$C$236)+('Cálculos'!$C$204*(1+'Cálculos'!$C$205+$A$6:$A$51*('Cálculos'!$C$290=3)*'Cálculos'!$C$103)+'Cálculos'!$C$206)*('Cálculos'!$C$227+'Cálculos'!$C$124*(1+2.78*('Cálculos'!$C$197+(($C18)-$A$6:$A$51)*'Cálculos'!$C$98)/(('Cálculos'!$C$197+(($C18)-$A$6:$A$51)*'Cálculos'!$C$98)+1400)+'Cálculos'!$C$122)*'Cálculos'!$C$232+'Cálculos'!$C$125*(1+2.78*('Cálculos'!$C$197+(($C18)-$A$6:$A$51)*'Cálculos'!$C$98)/(('Cálculos'!$C$197+(($C18)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18)-$A$6:$A$51)*'Cálculos'!$C$98)/(('Cálculos'!$C$198+(($C18)-$A$6:$A$51)*'Cálculos'!$C$98)+1400)+'Cálculos'!$C$122)*'Cálculos'!$C$244+'Cálculos'!$C$125*(1+2.78*('Cálculos'!$C$198+(($C18)-$A$6:$A$51)*'Cálculos'!$C$98)/(('Cálculos'!$C$198+(($C18)-$A$6:$A$51)*'Cálculos'!$C$98)+1400)+'Cálculos'!$C$123)*'Cálculos'!$C$249)+('Cálculos'!$C$198+(($C18)-$A$6:$A$51)*'Cálculos'!$C$98)*('Cálculos'!$C$240+'Cálculos'!$C$124*(1+2.78*('Cálculos'!$C$198+(($C18)-$A$6:$A$51)*'Cálculos'!$C$98)/(('Cálculos'!$C$198+(($C18)-$A$6:$A$51)*'Cálculos'!$C$98)+1400)+'Cálculos'!$C$122)*'Cálculos'!$C$245+'Cálculos'!$C$125*(1+2.78*('Cálculos'!$C$198+(($C18)-$A$6:$A$51)*'Cálculos'!$C$98)/(('Cálculos'!$C$198+(($C18)-$A$6:$A$51)*'Cálculos'!$C$98)+1400)+'Cálculos'!$C$123)*'Cálculos'!$C$250)+('Cálculos'!$C$201*(1+'Cálculos'!$C$202+$A$6:$A$51*('Cálculos'!$C$290=2)*'Cálculos'!$C$101)+'Cálculos'!$C$203)*('Cálculos'!$C$241+'Cálculos'!$C$124*(1+2.78*('Cálculos'!$C$198+(($C18)-$A$6:$A$51)*'Cálculos'!$C$98)/(('Cálculos'!$C$198+(($C18)-$A$6:$A$51)*'Cálculos'!$C$98)+1400)+'Cálculos'!$C$122)*'Cálculos'!$C$246+'Cálculos'!$C$125*(1+2.78*('Cálculos'!$C$198+(($C18)-$A$6:$A$51)*'Cálculos'!$C$98)/(('Cálculos'!$C$198+(($C18)-$A$6:$A$51)*'Cálculos'!$C$98)+1400)+'Cálculos'!$C$123)*'Cálculos'!$C$251)+('Cálculos'!$C$204*(1+'Cálculos'!$C$205+$A$6:$A$51*('Cálculos'!$C$290=3)*'Cálculos'!$C$103)+'Cálculos'!$C$206)*('Cálculos'!$C$242+'Cálculos'!$C$124*(1+2.78*('Cálculos'!$C$198+(($C18)-$A$6:$A$51)*'Cálculos'!$C$98)/(('Cálculos'!$C$198+(($C18)-$A$6:$A$51)*'Cálculos'!$C$98)+1400)+'Cálculos'!$C$122)*'Cálculos'!$C$247+'Cálculos'!$C$125*(1+2.78*('Cálculos'!$C$198+(($C18)-$A$6:$A$51)*'Cálculos'!$C$98)/(('Cálculos'!$C$198+(($C18)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18)-$A$6:$A$51)*'Cálculos'!$C$98)/(('Cálculos'!$C$199+(($C18)-$A$6:$A$51)*'Cálculos'!$C$98)+1400)+'Cálculos'!$C$122)*'Cálculos'!$C$259+'Cálculos'!$C$125*(1+2.78*('Cálculos'!$C$199+(($C18)-$A$6:$A$51)*'Cálculos'!$C$98)/(('Cálculos'!$C$199+(($C18)-$A$6:$A$51)*'Cálculos'!$C$98)+1400)+'Cálculos'!$C$123)*'Cálculos'!$C$264)+('Cálculos'!$C$199+(($C18)-$A$6:$A$51)*'Cálculos'!$C$98)*('Cálculos'!$C$255+'Cálculos'!$C$124*(1+2.78*('Cálculos'!$C$199+(($C18)-$A$6:$A$51)*'Cálculos'!$C$98)/(('Cálculos'!$C$199+(($C18)-$A$6:$A$51)*'Cálculos'!$C$98)+1400)+'Cálculos'!$C$122)*'Cálculos'!$C$260+'Cálculos'!$C$125*(1+2.78*('Cálculos'!$C$199+(($C18)-$A$6:$A$51)*'Cálculos'!$C$98)/(('Cálculos'!$C$199+(($C18)-$A$6:$A$51)*'Cálculos'!$C$98)+1400)+'Cálculos'!$C$123)*'Cálculos'!$C$265)+('Cálculos'!$C$201*(1+'Cálculos'!$C$202+$A$6:$A$51*('Cálculos'!$C$290=2)*'Cálculos'!$C$101)+'Cálculos'!$C$203)*('Cálculos'!$C$256+'Cálculos'!$C$124*(1+2.78*('Cálculos'!$C$199+(($C18)-$A$6:$A$51)*'Cálculos'!$C$98)/(('Cálculos'!$C$199+(($C18)-$A$6:$A$51)*'Cálculos'!$C$98)+1400)+'Cálculos'!$C$122)*'Cálculos'!$C$261+'Cálculos'!$C$125*(1+2.78*('Cálculos'!$C$199+(($C18)-$A$6:$A$51)*'Cálculos'!$C$98)/(('Cálculos'!$C$199+(($C18)-$A$6:$A$51)*'Cálculos'!$C$98)+1400)+'Cálculos'!$C$123)*'Cálculos'!$C$266)+('Cálculos'!$C$204*(1+'Cálculos'!$C$205+$A$6:$A$51*('Cálculos'!$C$290=3)*'Cálculos'!$C$103)+'Cálculos'!$C$206)*('Cálculos'!$C$257+'Cálculos'!$C$124*(1+2.78*('Cálculos'!$C$199+(($C18)-$A$6:$A$51)*'Cálculos'!$C$98)/(('Cálculos'!$C$199+(($C18)-$A$6:$A$51)*'Cálculos'!$C$98)+1400)+'Cálculos'!$C$122)*'Cálculos'!$C$262+'Cálculos'!$C$125*(1+2.78*('Cálculos'!$C$199+(($C18)-$A$6:$A$51)*'Cálculos'!$C$98)/(('Cálculos'!$C$199+(($C18)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18)-$A$6:$A$51)*'Cálculos'!$C$98)/(('Cálculos'!$C$200+(($C18)-$A$6:$A$51)*'Cálculos'!$C$98)+1400)+'Cálculos'!$C$122)*'Cálculos'!$C$274+'Cálculos'!$C$125*(1+2.78*('Cálculos'!$C$200+(($C18)-$A$6:$A$51)*'Cálculos'!$C$98)/(('Cálculos'!$C$200+(($C18)-$A$6:$A$51)*'Cálculos'!$C$98)+1400)+'Cálculos'!$C$123)*'Cálculos'!$C$279)+('Cálculos'!$C$200+(($C18)-$A$6:$A$51)*'Cálculos'!$C$98)*('Cálculos'!$C$270+'Cálculos'!$C$124*(1+2.78*('Cálculos'!$C$200+(($C18)-$A$6:$A$51)*'Cálculos'!$C$98)/(('Cálculos'!$C$200+(($C18)-$A$6:$A$51)*'Cálculos'!$C$98)+1400)+'Cálculos'!$C$122)*'Cálculos'!$C$275+'Cálculos'!$C$125*(1+2.78*('Cálculos'!$C$200+(($C18)-$A$6:$A$51)*'Cálculos'!$C$98)/(('Cálculos'!$C$200+(($C18)-$A$6:$A$51)*'Cálculos'!$C$98)+1400)+'Cálculos'!$C$123)*'Cálculos'!$C$280)+('Cálculos'!$C$201*(1+'Cálculos'!$C$202+$A$6:$A$51*('Cálculos'!$C$290=2)*'Cálculos'!$C$101)+'Cálculos'!$C$203)*('Cálculos'!$C$271+'Cálculos'!$C$124*(1+2.78*('Cálculos'!$C$200+(($C18)-$A$6:$A$51)*'Cálculos'!$C$98)/(('Cálculos'!$C$200+(($C18)-$A$6:$A$51)*'Cálculos'!$C$98)+1400)+'Cálculos'!$C$122)*'Cálculos'!$C$276+'Cálculos'!$C$125*(1+2.78*('Cálculos'!$C$200+(($C18)-$A$6:$A$51)*'Cálculos'!$C$98)/(('Cálculos'!$C$200+(($C18)-$A$6:$A$51)*'Cálculos'!$C$98)+1400)+'Cálculos'!$C$123)*'Cálculos'!$C$281)+('Cálculos'!$C$204*(1+'Cálculos'!$C$205+$A$6:$A$51*('Cálculos'!$C$290=3)*'Cálculos'!$C$103)+'Cálculos'!$C$206)*('Cálculos'!$C$272+'Cálculos'!$C$124*(1+2.78*('Cálculos'!$C$200+(($C18)-$A$6:$A$51)*'Cálculos'!$C$98)/(('Cálculos'!$C$200+(($C18)-$A$6:$A$51)*'Cálculos'!$C$98)+1400)+'Cálculos'!$C$122)*'Cálculos'!$C$277+'Cálculos'!$C$125*(1+2.78*('Cálculos'!$C$200+(($C18)-$A$6:$A$51)*'Cálculos'!$C$98)/(('Cálculos'!$C$200+(($C18)-$A$6:$A$51)*'Cálculos'!$C$98)+1400)+'Cálculos'!$C$123)*'Cálculos'!$C$282)))))</f>
        <v>1144274.569</v>
      </c>
      <c r="E18" s="32">
        <f>IF(OR($C18&lt;0,'Cálculos'!$C$6=""),0,$B18*$D18)</f>
        <v>3468760.794</v>
      </c>
      <c r="F18" s="2"/>
      <c r="G18" s="30">
        <f>($A18&lt;=$B$53)*($A18&lt;='Cálculos'!$C$294)*(($B$53)-$A18&lt;='Cálculos'!$C$295)*(1+MIN(('Cálculos'!$C$207+$A18*'Cálculos'!$C$95),1)*('Cálculos'!$C$208+(($B$53)-$A18)*'Cálculos'!$C$96))</f>
        <v>3.252</v>
      </c>
      <c r="H18" s="31">
        <f>IF($B$54&lt;0,0,($A18&lt;=$B$54)*($A18&lt;='Cálculos'!$C$301)*(($B$54)-$A18&lt;='Cálculos'!$C$297)*(('Cálculos'!$C$185*(1+'Cálculos'!$C$186+$A18*('Cálculos'!$C$290=1)*'Cálculos'!$C$97+'Cálculos'!$C$305)+'Cálculos'!$C$191)*('Cálculos'!$C$209+'Cálculos'!$C$124*(1+2.78*('Cálculos'!$C$196+(($B$54)-$A18)*'Cálculos'!$C$98)/(('Cálculos'!$C$196+(($B$54)-$A18)*'Cálculos'!$C$98)+1400)+'Cálculos'!$C$122)*'Cálculos'!$C$214+'Cálculos'!$C$125*(1+2.78*('Cálculos'!$C$196+(($B$54)-$A18)*'Cálculos'!$C$98)/(('Cálculos'!$C$196+(($B$54)-$A18)*'Cálculos'!$C$98)+1400)+'Cálculos'!$C$123)*'Cálculos'!$C$219)+('Cálculos'!$C$196+(($B$54)-$A18)*'Cálculos'!$C$98)*('Cálculos'!$C$210+'Cálculos'!$C$124*(1+2.78*('Cálculos'!$C$196+(($B$54)-$A18)*'Cálculos'!$C$98)/(('Cálculos'!$C$196+(($B$54)-$A18)*'Cálculos'!$C$98)+1400)+'Cálculos'!$C$122)*'Cálculos'!$C$215+'Cálculos'!$C$125*(1+2.78*('Cálculos'!$C$196+(($B$54)-$A18)*'Cálculos'!$C$98)/(('Cálculos'!$C$196+(($B$54)-$A18)*'Cálculos'!$C$98)+1400)+'Cálculos'!$C$123)*'Cálculos'!$C$220)+('Cálculos'!$C$201*(1+'Cálculos'!$C$202+$A18*('Cálculos'!$C$290=2)*'Cálculos'!$C$101)+'Cálculos'!$C$203)*('Cálculos'!$C$211+'Cálculos'!$C$124*(1+2.78*('Cálculos'!$C$196+(($B$54)-$A18)*'Cálculos'!$C$98)/(('Cálculos'!$C$196+(($B$54)-$A18)*'Cálculos'!$C$98)+1400)+'Cálculos'!$C$122)*'Cálculos'!$C$216+'Cálculos'!$C$125*(1+2.78*('Cálculos'!$C$196+(($B$54)-$A18)*'Cálculos'!$C$98)/(('Cálculos'!$C$196+(($B$54)-$A18)*'Cálculos'!$C$98)+1400)+'Cálculos'!$C$123)*'Cálculos'!$C$221)+('Cálculos'!$C$204*(1+'Cálculos'!$C$205+$A18*('Cálculos'!$C$290=3)*'Cálculos'!$C$103)+'Cálculos'!$C$206)*('Cálculos'!$C$212+'Cálculos'!$C$124*(1+2.78*('Cálculos'!$C$196+(($B$54)-$A18)*'Cálculos'!$C$98)/(('Cálculos'!$C$196+(($B$54)-$A18)*'Cálculos'!$C$98)+1400)+'Cálculos'!$C$122)*'Cálculos'!$C$217+'Cálculos'!$C$125*(1+2.78*('Cálculos'!$C$196+(($B$54)-$A18)*'Cálculos'!$C$98)/(('Cálculos'!$C$196+(($B$54)-$A18)*'Cálculos'!$C$98)+1400)+'Cálculos'!$C$123)*'Cálculos'!$C$222)+('Cálculos'!$C$185*(1+'Cálculos'!$C$187+$A18*('Cálculos'!$C$290=1)*'Cálculos'!$C$97+'Cálculos'!$C$305)+'Cálculos'!$C$192)*('Cálculos'!$C$224+'Cálculos'!$C$124*(1+2.78*('Cálculos'!$C$197+(($B$54)-$A18)*'Cálculos'!$C$98)/(('Cálculos'!$C$197+(($B$54)-$A18)*'Cálculos'!$C$98)+1400)+'Cálculos'!$C$122)*'Cálculos'!$C$229+'Cálculos'!$C$125*(1+2.78*('Cálculos'!$C$197+(($B$54)-$A18)*'Cálculos'!$C$98)/(('Cálculos'!$C$197+(($B$54)-$A18)*'Cálculos'!$C$98)+1400)+'Cálculos'!$C$123)*'Cálculos'!$C$234)+('Cálculos'!$C$197+(($B$54)-$A18)*'Cálculos'!$C$98)*('Cálculos'!$C$225+'Cálculos'!$C$124*(1+2.78*('Cálculos'!$C$197+(($B$54)-$A18)*'Cálculos'!$C$98)/(('Cálculos'!$C$197+(($B$54)-$A18)*'Cálculos'!$C$98)+1400)+'Cálculos'!$C$122)*'Cálculos'!$C$230+'Cálculos'!$C$125*(1+2.78*('Cálculos'!$C$197+(($B$54)-$A18)*'Cálculos'!$C$98)/(('Cálculos'!$C$197+(($B$54)-$A18)*'Cálculos'!$C$98)+1400)+'Cálculos'!$C$123)*'Cálculos'!$C$235)+('Cálculos'!$C$201*(1+'Cálculos'!$C$202+$A18*('Cálculos'!$C$290=2)*'Cálculos'!$C$101)+'Cálculos'!$C$203)*('Cálculos'!$C$226+'Cálculos'!$C$124*(1+2.78*('Cálculos'!$C$197+(($B$54)-$A18)*'Cálculos'!$C$98)/(('Cálculos'!$C$197+(($B$54)-$A18)*'Cálculos'!$C$98)+1400)+'Cálculos'!$C$122)*'Cálculos'!$C$231+'Cálculos'!$C$125*(1+2.78*('Cálculos'!$C$197+(($B$54)-$A18)*'Cálculos'!$C$98)/(('Cálculos'!$C$197+(($B$54)-$A18)*'Cálculos'!$C$98)+1400)+'Cálculos'!$C$123)*'Cálculos'!$C$236)+('Cálculos'!$C$204*(1+'Cálculos'!$C$205+$A18*('Cálculos'!$C$290=3)*'Cálculos'!$C$103)+'Cálculos'!$C$206)*('Cálculos'!$C$227+'Cálculos'!$C$124*(1+2.78*('Cálculos'!$C$197+(($B$54)-$A18)*'Cálculos'!$C$98)/(('Cálculos'!$C$197+(($B$54)-$A18)*'Cálculos'!$C$98)+1400)+'Cálculos'!$C$122)*'Cálculos'!$C$232+'Cálculos'!$C$125*(1+2.78*('Cálculos'!$C$197+(($B$54)-$A18)*'Cálculos'!$C$98)/(('Cálculos'!$C$197+(($B$54)-$A18)*'Cálculos'!$C$98)+1400)+'Cálculos'!$C$123)*'Cálculos'!$C$237)+('Cálculos'!$C$185*(1+'Cálculos'!$C$188+$A18*('Cálculos'!$C$290=1)*'Cálculos'!$C$97+'Cálculos'!$C$305)+'Cálculos'!$C$193)*('Cálculos'!$C$239+'Cálculos'!$C$124*(1+2.78*('Cálculos'!$C$198+(($B$54)-$A18)*'Cálculos'!$C$98)/(('Cálculos'!$C$198+(($B$54)-$A18)*'Cálculos'!$C$98)+1400)+'Cálculos'!$C$122)*'Cálculos'!$C$244+'Cálculos'!$C$125*(1+2.78*('Cálculos'!$C$198+(($B$54)-$A18)*'Cálculos'!$C$98)/(('Cálculos'!$C$198+(($B$54)-$A18)*'Cálculos'!$C$98)+1400)+'Cálculos'!$C$123)*'Cálculos'!$C$249)+('Cálculos'!$C$198+(($B$54)-$A18)*'Cálculos'!$C$98)*('Cálculos'!$C$240+'Cálculos'!$C$124*(1+2.78*('Cálculos'!$C$198+(($B$54)-$A18)*'Cálculos'!$C$98)/(('Cálculos'!$C$198+(($B$54)-$A18)*'Cálculos'!$C$98)+1400)+'Cálculos'!$C$122)*'Cálculos'!$C$245+'Cálculos'!$C$125*(1+2.78*('Cálculos'!$C$198+(($B$54)-$A18)*'Cálculos'!$C$98)/(('Cálculos'!$C$198+(($B$54)-$A18)*'Cálculos'!$C$98)+1400)+'Cálculos'!$C$123)*'Cálculos'!$C$250)+('Cálculos'!$C$201*(1+'Cálculos'!$C$202+$A18*('Cálculos'!$C$290=2)*'Cálculos'!$C$101)+'Cálculos'!$C$203)*('Cálculos'!$C$241+'Cálculos'!$C$124*(1+2.78*('Cálculos'!$C$198+(($B$54)-$A18)*'Cálculos'!$C$98)/(('Cálculos'!$C$198+(($B$54)-$A18)*'Cálculos'!$C$98)+1400)+'Cálculos'!$C$122)*'Cálculos'!$C$246+'Cálculos'!$C$125*(1+2.78*('Cálculos'!$C$198+(($B$54)-$A18)*'Cálculos'!$C$98)/(('Cálculos'!$C$198+(($B$54)-$A18)*'Cálculos'!$C$98)+1400)+'Cálculos'!$C$123)*'Cálculos'!$C$251)+('Cálculos'!$C$204*(1+'Cálculos'!$C$205+$A18*('Cálculos'!$C$290=3)*'Cálculos'!$C$103)+'Cálculos'!$C$206)*('Cálculos'!$C$242+'Cálculos'!$C$124*(1+2.78*('Cálculos'!$C$198+(($B$54)-$A18)*'Cálculos'!$C$98)/(('Cálculos'!$C$198+(($B$54)-$A18)*'Cálculos'!$C$98)+1400)+'Cálculos'!$C$122)*'Cálculos'!$C$247+'Cálculos'!$C$125*(1+2.78*('Cálculos'!$C$198+(($B$54)-$A18)*'Cálculos'!$C$98)/(('Cálculos'!$C$198+(($B$54)-$A18)*'Cálculos'!$C$98)+1400)+'Cálculos'!$C$123)*'Cálculos'!$C$252)+('Cálculos'!$C$185*(1+'Cálculos'!$C$189+$A18*('Cálculos'!$C$290=1)*'Cálculos'!$C$97+'Cálculos'!$C$305)+'Cálculos'!$C$194)*('Cálculos'!$C$254+'Cálculos'!$C$124*(1+2.78*('Cálculos'!$C$199+(($B$54)-$A18)*'Cálculos'!$C$98)/(('Cálculos'!$C$199+(($B$54)-$A18)*'Cálculos'!$C$98)+1400)+'Cálculos'!$C$122)*'Cálculos'!$C$259+'Cálculos'!$C$125*(1+2.78*('Cálculos'!$C$199+(($B$54)-$A18)*'Cálculos'!$C$98)/(('Cálculos'!$C$199+(($B$54)-$A18)*'Cálculos'!$C$98)+1400)+'Cálculos'!$C$123)*'Cálculos'!$C$264)+('Cálculos'!$C$199+(($B$54)-$A18)*'Cálculos'!$C$98)*('Cálculos'!$C$255+'Cálculos'!$C$124*(1+2.78*('Cálculos'!$C$199+(($B$54)-$A18)*'Cálculos'!$C$98)/(('Cálculos'!$C$199+(($B$54)-$A18)*'Cálculos'!$C$98)+1400)+'Cálculos'!$C$122)*'Cálculos'!$C$260+'Cálculos'!$C$125*(1+2.78*('Cálculos'!$C$199+(($B$54)-$A18)*'Cálculos'!$C$98)/(('Cálculos'!$C$199+(($B$54)-$A18)*'Cálculos'!$C$98)+1400)+'Cálculos'!$C$123)*'Cálculos'!$C$265)+('Cálculos'!$C$201*(1+'Cálculos'!$C$202+$A18*('Cálculos'!$C$290=2)*'Cálculos'!$C$101)+'Cálculos'!$C$203)*('Cálculos'!$C$256+'Cálculos'!$C$124*(1+2.78*('Cálculos'!$C$199+(($B$54)-$A18)*'Cálculos'!$C$98)/(('Cálculos'!$C$199+(($B$54)-$A18)*'Cálculos'!$C$98)+1400)+'Cálculos'!$C$122)*'Cálculos'!$C$261+'Cálculos'!$C$125*(1+2.78*('Cálculos'!$C$199+(($B$54)-$A18)*'Cálculos'!$C$98)/(('Cálculos'!$C$199+(($B$54)-$A18)*'Cálculos'!$C$98)+1400)+'Cálculos'!$C$123)*'Cálculos'!$C$266)+('Cálculos'!$C$204*(1+'Cálculos'!$C$205+$A18*('Cálculos'!$C$290=3)*'Cálculos'!$C$103)+'Cálculos'!$C$206)*('Cálculos'!$C$257+'Cálculos'!$C$124*(1+2.78*('Cálculos'!$C$199+(($B$54)-$A18)*'Cálculos'!$C$98)/(('Cálculos'!$C$199+(($B$54)-$A18)*'Cálculos'!$C$98)+1400)+'Cálculos'!$C$122)*'Cálculos'!$C$262+'Cálculos'!$C$125*(1+2.78*('Cálculos'!$C$199+(($B$54)-$A18)*'Cálculos'!$C$98)/(('Cálculos'!$C$199+(($B$54)-$A18)*'Cálculos'!$C$98)+1400)+'Cálculos'!$C$123)*'Cálculos'!$C$267)+('Cálculos'!$C$185*(1+'Cálculos'!$C$190+$A18*('Cálculos'!$C$290=1)*'Cálculos'!$C$97+'Cálculos'!$C$305)+'Cálculos'!$C$195)*('Cálculos'!$C$269+'Cálculos'!$C$124*(1+2.78*('Cálculos'!$C$200+(($B$54)-$A18)*'Cálculos'!$C$98)/(('Cálculos'!$C$200+(($B$54)-$A18)*'Cálculos'!$C$98)+1400)+'Cálculos'!$C$122)*'Cálculos'!$C$274+'Cálculos'!$C$125*(1+2.78*('Cálculos'!$C$200+(($B$54)-$A18)*'Cálculos'!$C$98)/(('Cálculos'!$C$200+(($B$54)-$A18)*'Cálculos'!$C$98)+1400)+'Cálculos'!$C$123)*'Cálculos'!$C$279)+('Cálculos'!$C$200+(($B$54)-$A18)*'Cálculos'!$C$98)*('Cálculos'!$C$270+'Cálculos'!$C$124*(1+2.78*('Cálculos'!$C$200+(($B$54)-$A18)*'Cálculos'!$C$98)/(('Cálculos'!$C$200+(($B$54)-$A18)*'Cálculos'!$C$98)+1400)+'Cálculos'!$C$122)*'Cálculos'!$C$275+'Cálculos'!$C$125*(1+2.78*('Cálculos'!$C$200+(($B$54)-$A18)*'Cálculos'!$C$98)/(('Cálculos'!$C$200+(($B$54)-$A18)*'Cálculos'!$C$98)+1400)+'Cálculos'!$C$123)*'Cálculos'!$C$280)+('Cálculos'!$C$201*(1+'Cálculos'!$C$202+$A18*('Cálculos'!$C$290=2)*'Cálculos'!$C$101)+'Cálculos'!$C$203)*('Cálculos'!$C$271+'Cálculos'!$C$124*(1+2.78*('Cálculos'!$C$200+(($B$54)-$A18)*'Cálculos'!$C$98)/(('Cálculos'!$C$200+(($B$54)-$A18)*'Cálculos'!$C$98)+1400)+'Cálculos'!$C$122)*'Cálculos'!$C$276+'Cálculos'!$C$125*(1+2.78*('Cálculos'!$C$200+(($B$54)-$A18)*'Cálculos'!$C$98)/(('Cálculos'!$C$200+(($B$54)-$A18)*'Cálculos'!$C$98)+1400)+'Cálculos'!$C$123)*'Cálculos'!$C$281)+('Cálculos'!$C$204*(1+'Cálculos'!$C$205+$A18*('Cálculos'!$C$290=3)*'Cálculos'!$C$103)+'Cálculos'!$C$206)*('Cálculos'!$C$272+'Cálculos'!$C$124*(1+2.78*('Cálculos'!$C$200+(($B$54)-$A18)*'Cálculos'!$C$98)/(('Cálculos'!$C$200+(($B$54)-$A18)*'Cálculos'!$C$98)+1400)+'Cálculos'!$C$122)*'Cálculos'!$C$277+'Cálculos'!$C$125*(1+2.78*('Cálculos'!$C$200+(($B$54)-$A18)*'Cálculos'!$C$98)/(('Cálculos'!$C$200+(($B$54)-$A18)*'Cálculos'!$C$98)+1400)+'Cálculos'!$C$123)*'Cálculos'!$C$282)))</f>
        <v>0</v>
      </c>
    </row>
    <row r="19">
      <c r="A19" s="2">
        <v>13.0</v>
      </c>
      <c r="B19" s="30">
        <f>SUMPRODUCT(MAX(($A$6:$A$51&lt;=$A19)*($A$6:$A$51&lt;='Cálculos'!$C$294)*(($A19)-$A$6:$A$51&lt;='Cálculos'!$C$295)*(1+(('Cálculos'!$C$207+$A$6:$A$51*'Cálculos'!$C$95)-(('Cálculos'!$C$207+$A$6:$A$51*'Cálculos'!$C$95)&gt;1)*(('Cálculos'!$C$207+$A$6:$A$51*'Cálculos'!$C$95)-1))*('Cálculos'!$C$208+(($A19)-$A$6:$A$51)*'Cálculos'!$C$96))))</f>
        <v>3.09668</v>
      </c>
      <c r="C19" s="2">
        <f>'Cálculos'!$C$303-$A19</f>
        <v>7</v>
      </c>
      <c r="D19" s="31">
        <f>IF($C19&lt;0,0,SUMPRODUCT(MAX(($A$6:$A$51&lt;=$C19)*($A$6:$A$51&lt;='Cálculos'!$C$301)*(($C19)-$A$6:$A$51&lt;='Cálculos'!$C$297)*(('Cálculos'!$C$185*(1+'Cálculos'!$C$186+$A$6:$A$51*('Cálculos'!$C$290=1)*'Cálculos'!$C$97+'Cálculos'!$C$305)+'Cálculos'!$C$191)*('Cálculos'!$C$209+'Cálculos'!$C$124*(1+2.78*('Cálculos'!$C$196+(($C19)-$A$6:$A$51)*'Cálculos'!$C$98)/(('Cálculos'!$C$196+(($C19)-$A$6:$A$51)*'Cálculos'!$C$98)+1400)+'Cálculos'!$C$122)*'Cálculos'!$C$214+'Cálculos'!$C$125*(1+2.78*('Cálculos'!$C$196+(($C19)-$A$6:$A$51)*'Cálculos'!$C$98)/(('Cálculos'!$C$196+(($C19)-$A$6:$A$51)*'Cálculos'!$C$98)+1400)+'Cálculos'!$C$123)*'Cálculos'!$C$219)+('Cálculos'!$C$196+(($C19)-$A$6:$A$51)*'Cálculos'!$C$98)*('Cálculos'!$C$210+'Cálculos'!$C$124*(1+2.78*('Cálculos'!$C$196+(($C19)-$A$6:$A$51)*'Cálculos'!$C$98)/(('Cálculos'!$C$196+(($C19)-$A$6:$A$51)*'Cálculos'!$C$98)+1400)+'Cálculos'!$C$122)*'Cálculos'!$C$215+'Cálculos'!$C$125*(1+2.78*('Cálculos'!$C$196+(($C19)-$A$6:$A$51)*'Cálculos'!$C$98)/(('Cálculos'!$C$196+(($C19)-$A$6:$A$51)*'Cálculos'!$C$98)+1400)+'Cálculos'!$C$123)*'Cálculos'!$C$220)+('Cálculos'!$C$201*(1+'Cálculos'!$C$202+$A$6:$A$51*('Cálculos'!$C$290=2)*'Cálculos'!$C$101)+'Cálculos'!$C$203)*('Cálculos'!$C$211+'Cálculos'!$C$124*(1+2.78*('Cálculos'!$C$196+(($C19)-$A$6:$A$51)*'Cálculos'!$C$98)/(('Cálculos'!$C$196+(($C19)-$A$6:$A$51)*'Cálculos'!$C$98)+1400)+'Cálculos'!$C$122)*'Cálculos'!$C$216+'Cálculos'!$C$125*(1+2.78*('Cálculos'!$C$196+(($C19)-$A$6:$A$51)*'Cálculos'!$C$98)/(('Cálculos'!$C$196+(($C19)-$A$6:$A$51)*'Cálculos'!$C$98)+1400)+'Cálculos'!$C$123)*'Cálculos'!$C$221)+('Cálculos'!$C$204*(1+'Cálculos'!$C$205+$A$6:$A$51*('Cálculos'!$C$290=3)*'Cálculos'!$C$103)+'Cálculos'!$C$206)*('Cálculos'!$C$212+'Cálculos'!$C$124*(1+2.78*('Cálculos'!$C$196+(($C19)-$A$6:$A$51)*'Cálculos'!$C$98)/(('Cálculos'!$C$196+(($C19)-$A$6:$A$51)*'Cálculos'!$C$98)+1400)+'Cálculos'!$C$122)*'Cálculos'!$C$217+'Cálculos'!$C$125*(1+2.78*('Cálculos'!$C$196+(($C19)-$A$6:$A$51)*'Cálculos'!$C$98)/(('Cálculos'!$C$196+(($C19)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19)-$A$6:$A$51)*'Cálculos'!$C$98)/(('Cálculos'!$C$197+(($C19)-$A$6:$A$51)*'Cálculos'!$C$98)+1400)+'Cálculos'!$C$122)*'Cálculos'!$C$229+'Cálculos'!$C$125*(1+2.78*('Cálculos'!$C$197+(($C19)-$A$6:$A$51)*'Cálculos'!$C$98)/(('Cálculos'!$C$197+(($C19)-$A$6:$A$51)*'Cálculos'!$C$98)+1400)+'Cálculos'!$C$123)*'Cálculos'!$C$234)+('Cálculos'!$C$197+(($C19)-$A$6:$A$51)*'Cálculos'!$C$98)*('Cálculos'!$C$225+'Cálculos'!$C$124*(1+2.78*('Cálculos'!$C$197+(($C19)-$A$6:$A$51)*'Cálculos'!$C$98)/(('Cálculos'!$C$197+(($C19)-$A$6:$A$51)*'Cálculos'!$C$98)+1400)+'Cálculos'!$C$122)*'Cálculos'!$C$230+'Cálculos'!$C$125*(1+2.78*('Cálculos'!$C$197+(($C19)-$A$6:$A$51)*'Cálculos'!$C$98)/(('Cálculos'!$C$197+(($C19)-$A$6:$A$51)*'Cálculos'!$C$98)+1400)+'Cálculos'!$C$123)*'Cálculos'!$C$235)+('Cálculos'!$C$201*(1+'Cálculos'!$C$202+$A$6:$A$51*('Cálculos'!$C$290=2)*'Cálculos'!$C$101)+'Cálculos'!$C$203)*('Cálculos'!$C$226+'Cálculos'!$C$124*(1+2.78*('Cálculos'!$C$197+(($C19)-$A$6:$A$51)*'Cálculos'!$C$98)/(('Cálculos'!$C$197+(($C19)-$A$6:$A$51)*'Cálculos'!$C$98)+1400)+'Cálculos'!$C$122)*'Cálculos'!$C$231+'Cálculos'!$C$125*(1+2.78*('Cálculos'!$C$197+(($C19)-$A$6:$A$51)*'Cálculos'!$C$98)/(('Cálculos'!$C$197+(($C19)-$A$6:$A$51)*'Cálculos'!$C$98)+1400)+'Cálculos'!$C$123)*'Cálculos'!$C$236)+('Cálculos'!$C$204*(1+'Cálculos'!$C$205+$A$6:$A$51*('Cálculos'!$C$290=3)*'Cálculos'!$C$103)+'Cálculos'!$C$206)*('Cálculos'!$C$227+'Cálculos'!$C$124*(1+2.78*('Cálculos'!$C$197+(($C19)-$A$6:$A$51)*'Cálculos'!$C$98)/(('Cálculos'!$C$197+(($C19)-$A$6:$A$51)*'Cálculos'!$C$98)+1400)+'Cálculos'!$C$122)*'Cálculos'!$C$232+'Cálculos'!$C$125*(1+2.78*('Cálculos'!$C$197+(($C19)-$A$6:$A$51)*'Cálculos'!$C$98)/(('Cálculos'!$C$197+(($C19)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19)-$A$6:$A$51)*'Cálculos'!$C$98)/(('Cálculos'!$C$198+(($C19)-$A$6:$A$51)*'Cálculos'!$C$98)+1400)+'Cálculos'!$C$122)*'Cálculos'!$C$244+'Cálculos'!$C$125*(1+2.78*('Cálculos'!$C$198+(($C19)-$A$6:$A$51)*'Cálculos'!$C$98)/(('Cálculos'!$C$198+(($C19)-$A$6:$A$51)*'Cálculos'!$C$98)+1400)+'Cálculos'!$C$123)*'Cálculos'!$C$249)+('Cálculos'!$C$198+(($C19)-$A$6:$A$51)*'Cálculos'!$C$98)*('Cálculos'!$C$240+'Cálculos'!$C$124*(1+2.78*('Cálculos'!$C$198+(($C19)-$A$6:$A$51)*'Cálculos'!$C$98)/(('Cálculos'!$C$198+(($C19)-$A$6:$A$51)*'Cálculos'!$C$98)+1400)+'Cálculos'!$C$122)*'Cálculos'!$C$245+'Cálculos'!$C$125*(1+2.78*('Cálculos'!$C$198+(($C19)-$A$6:$A$51)*'Cálculos'!$C$98)/(('Cálculos'!$C$198+(($C19)-$A$6:$A$51)*'Cálculos'!$C$98)+1400)+'Cálculos'!$C$123)*'Cálculos'!$C$250)+('Cálculos'!$C$201*(1+'Cálculos'!$C$202+$A$6:$A$51*('Cálculos'!$C$290=2)*'Cálculos'!$C$101)+'Cálculos'!$C$203)*('Cálculos'!$C$241+'Cálculos'!$C$124*(1+2.78*('Cálculos'!$C$198+(($C19)-$A$6:$A$51)*'Cálculos'!$C$98)/(('Cálculos'!$C$198+(($C19)-$A$6:$A$51)*'Cálculos'!$C$98)+1400)+'Cálculos'!$C$122)*'Cálculos'!$C$246+'Cálculos'!$C$125*(1+2.78*('Cálculos'!$C$198+(($C19)-$A$6:$A$51)*'Cálculos'!$C$98)/(('Cálculos'!$C$198+(($C19)-$A$6:$A$51)*'Cálculos'!$C$98)+1400)+'Cálculos'!$C$123)*'Cálculos'!$C$251)+('Cálculos'!$C$204*(1+'Cálculos'!$C$205+$A$6:$A$51*('Cálculos'!$C$290=3)*'Cálculos'!$C$103)+'Cálculos'!$C$206)*('Cálculos'!$C$242+'Cálculos'!$C$124*(1+2.78*('Cálculos'!$C$198+(($C19)-$A$6:$A$51)*'Cálculos'!$C$98)/(('Cálculos'!$C$198+(($C19)-$A$6:$A$51)*'Cálculos'!$C$98)+1400)+'Cálculos'!$C$122)*'Cálculos'!$C$247+'Cálculos'!$C$125*(1+2.78*('Cálculos'!$C$198+(($C19)-$A$6:$A$51)*'Cálculos'!$C$98)/(('Cálculos'!$C$198+(($C19)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19)-$A$6:$A$51)*'Cálculos'!$C$98)/(('Cálculos'!$C$199+(($C19)-$A$6:$A$51)*'Cálculos'!$C$98)+1400)+'Cálculos'!$C$122)*'Cálculos'!$C$259+'Cálculos'!$C$125*(1+2.78*('Cálculos'!$C$199+(($C19)-$A$6:$A$51)*'Cálculos'!$C$98)/(('Cálculos'!$C$199+(($C19)-$A$6:$A$51)*'Cálculos'!$C$98)+1400)+'Cálculos'!$C$123)*'Cálculos'!$C$264)+('Cálculos'!$C$199+(($C19)-$A$6:$A$51)*'Cálculos'!$C$98)*('Cálculos'!$C$255+'Cálculos'!$C$124*(1+2.78*('Cálculos'!$C$199+(($C19)-$A$6:$A$51)*'Cálculos'!$C$98)/(('Cálculos'!$C$199+(($C19)-$A$6:$A$51)*'Cálculos'!$C$98)+1400)+'Cálculos'!$C$122)*'Cálculos'!$C$260+'Cálculos'!$C$125*(1+2.78*('Cálculos'!$C$199+(($C19)-$A$6:$A$51)*'Cálculos'!$C$98)/(('Cálculos'!$C$199+(($C19)-$A$6:$A$51)*'Cálculos'!$C$98)+1400)+'Cálculos'!$C$123)*'Cálculos'!$C$265)+('Cálculos'!$C$201*(1+'Cálculos'!$C$202+$A$6:$A$51*('Cálculos'!$C$290=2)*'Cálculos'!$C$101)+'Cálculos'!$C$203)*('Cálculos'!$C$256+'Cálculos'!$C$124*(1+2.78*('Cálculos'!$C$199+(($C19)-$A$6:$A$51)*'Cálculos'!$C$98)/(('Cálculos'!$C$199+(($C19)-$A$6:$A$51)*'Cálculos'!$C$98)+1400)+'Cálculos'!$C$122)*'Cálculos'!$C$261+'Cálculos'!$C$125*(1+2.78*('Cálculos'!$C$199+(($C19)-$A$6:$A$51)*'Cálculos'!$C$98)/(('Cálculos'!$C$199+(($C19)-$A$6:$A$51)*'Cálculos'!$C$98)+1400)+'Cálculos'!$C$123)*'Cálculos'!$C$266)+('Cálculos'!$C$204*(1+'Cálculos'!$C$205+$A$6:$A$51*('Cálculos'!$C$290=3)*'Cálculos'!$C$103)+'Cálculos'!$C$206)*('Cálculos'!$C$257+'Cálculos'!$C$124*(1+2.78*('Cálculos'!$C$199+(($C19)-$A$6:$A$51)*'Cálculos'!$C$98)/(('Cálculos'!$C$199+(($C19)-$A$6:$A$51)*'Cálculos'!$C$98)+1400)+'Cálculos'!$C$122)*'Cálculos'!$C$262+'Cálculos'!$C$125*(1+2.78*('Cálculos'!$C$199+(($C19)-$A$6:$A$51)*'Cálculos'!$C$98)/(('Cálculos'!$C$199+(($C19)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19)-$A$6:$A$51)*'Cálculos'!$C$98)/(('Cálculos'!$C$200+(($C19)-$A$6:$A$51)*'Cálculos'!$C$98)+1400)+'Cálculos'!$C$122)*'Cálculos'!$C$274+'Cálculos'!$C$125*(1+2.78*('Cálculos'!$C$200+(($C19)-$A$6:$A$51)*'Cálculos'!$C$98)/(('Cálculos'!$C$200+(($C19)-$A$6:$A$51)*'Cálculos'!$C$98)+1400)+'Cálculos'!$C$123)*'Cálculos'!$C$279)+('Cálculos'!$C$200+(($C19)-$A$6:$A$51)*'Cálculos'!$C$98)*('Cálculos'!$C$270+'Cálculos'!$C$124*(1+2.78*('Cálculos'!$C$200+(($C19)-$A$6:$A$51)*'Cálculos'!$C$98)/(('Cálculos'!$C$200+(($C19)-$A$6:$A$51)*'Cálculos'!$C$98)+1400)+'Cálculos'!$C$122)*'Cálculos'!$C$275+'Cálculos'!$C$125*(1+2.78*('Cálculos'!$C$200+(($C19)-$A$6:$A$51)*'Cálculos'!$C$98)/(('Cálculos'!$C$200+(($C19)-$A$6:$A$51)*'Cálculos'!$C$98)+1400)+'Cálculos'!$C$123)*'Cálculos'!$C$280)+('Cálculos'!$C$201*(1+'Cálculos'!$C$202+$A$6:$A$51*('Cálculos'!$C$290=2)*'Cálculos'!$C$101)+'Cálculos'!$C$203)*('Cálculos'!$C$271+'Cálculos'!$C$124*(1+2.78*('Cálculos'!$C$200+(($C19)-$A$6:$A$51)*'Cálculos'!$C$98)/(('Cálculos'!$C$200+(($C19)-$A$6:$A$51)*'Cálculos'!$C$98)+1400)+'Cálculos'!$C$122)*'Cálculos'!$C$276+'Cálculos'!$C$125*(1+2.78*('Cálculos'!$C$200+(($C19)-$A$6:$A$51)*'Cálculos'!$C$98)/(('Cálculos'!$C$200+(($C19)-$A$6:$A$51)*'Cálculos'!$C$98)+1400)+'Cálculos'!$C$123)*'Cálculos'!$C$281)+('Cálculos'!$C$204*(1+'Cálculos'!$C$205+$A$6:$A$51*('Cálculos'!$C$290=3)*'Cálculos'!$C$103)+'Cálculos'!$C$206)*('Cálculos'!$C$272+'Cálculos'!$C$124*(1+2.78*('Cálculos'!$C$200+(($C19)-$A$6:$A$51)*'Cálculos'!$C$98)/(('Cálculos'!$C$200+(($C19)-$A$6:$A$51)*'Cálculos'!$C$98)+1400)+'Cálculos'!$C$122)*'Cálculos'!$C$277+'Cálculos'!$C$125*(1+2.78*('Cálculos'!$C$200+(($C19)-$A$6:$A$51)*'Cálculos'!$C$98)/(('Cálculos'!$C$200+(($C19)-$A$6:$A$51)*'Cálculos'!$C$98)+1400)+'Cálculos'!$C$123)*'Cálculos'!$C$282)))))</f>
        <v>1132763.166</v>
      </c>
      <c r="E19" s="32">
        <f>IF(OR($C19&lt;0,'Cálculos'!$C$6=""),0,$B19*$D19)</f>
        <v>3507805.041</v>
      </c>
      <c r="F19" s="2"/>
      <c r="G19" s="30">
        <f>($A19&lt;=$B$53)*($A19&lt;='Cálculos'!$C$294)*(($B$53)-$A19&lt;='Cálculos'!$C$295)*(1+MIN(('Cálculos'!$C$207+$A19*'Cálculos'!$C$95),1)*('Cálculos'!$C$208+(($B$53)-$A19)*'Cálculos'!$C$96))</f>
        <v>3.186</v>
      </c>
      <c r="H19" s="31">
        <f>IF($B$54&lt;0,0,($A19&lt;=$B$54)*($A19&lt;='Cálculos'!$C$301)*(($B$54)-$A19&lt;='Cálculos'!$C$297)*(('Cálculos'!$C$185*(1+'Cálculos'!$C$186+$A19*('Cálculos'!$C$290=1)*'Cálculos'!$C$97+'Cálculos'!$C$305)+'Cálculos'!$C$191)*('Cálculos'!$C$209+'Cálculos'!$C$124*(1+2.78*('Cálculos'!$C$196+(($B$54)-$A19)*'Cálculos'!$C$98)/(('Cálculos'!$C$196+(($B$54)-$A19)*'Cálculos'!$C$98)+1400)+'Cálculos'!$C$122)*'Cálculos'!$C$214+'Cálculos'!$C$125*(1+2.78*('Cálculos'!$C$196+(($B$54)-$A19)*'Cálculos'!$C$98)/(('Cálculos'!$C$196+(($B$54)-$A19)*'Cálculos'!$C$98)+1400)+'Cálculos'!$C$123)*'Cálculos'!$C$219)+('Cálculos'!$C$196+(($B$54)-$A19)*'Cálculos'!$C$98)*('Cálculos'!$C$210+'Cálculos'!$C$124*(1+2.78*('Cálculos'!$C$196+(($B$54)-$A19)*'Cálculos'!$C$98)/(('Cálculos'!$C$196+(($B$54)-$A19)*'Cálculos'!$C$98)+1400)+'Cálculos'!$C$122)*'Cálculos'!$C$215+'Cálculos'!$C$125*(1+2.78*('Cálculos'!$C$196+(($B$54)-$A19)*'Cálculos'!$C$98)/(('Cálculos'!$C$196+(($B$54)-$A19)*'Cálculos'!$C$98)+1400)+'Cálculos'!$C$123)*'Cálculos'!$C$220)+('Cálculos'!$C$201*(1+'Cálculos'!$C$202+$A19*('Cálculos'!$C$290=2)*'Cálculos'!$C$101)+'Cálculos'!$C$203)*('Cálculos'!$C$211+'Cálculos'!$C$124*(1+2.78*('Cálculos'!$C$196+(($B$54)-$A19)*'Cálculos'!$C$98)/(('Cálculos'!$C$196+(($B$54)-$A19)*'Cálculos'!$C$98)+1400)+'Cálculos'!$C$122)*'Cálculos'!$C$216+'Cálculos'!$C$125*(1+2.78*('Cálculos'!$C$196+(($B$54)-$A19)*'Cálculos'!$C$98)/(('Cálculos'!$C$196+(($B$54)-$A19)*'Cálculos'!$C$98)+1400)+'Cálculos'!$C$123)*'Cálculos'!$C$221)+('Cálculos'!$C$204*(1+'Cálculos'!$C$205+$A19*('Cálculos'!$C$290=3)*'Cálculos'!$C$103)+'Cálculos'!$C$206)*('Cálculos'!$C$212+'Cálculos'!$C$124*(1+2.78*('Cálculos'!$C$196+(($B$54)-$A19)*'Cálculos'!$C$98)/(('Cálculos'!$C$196+(($B$54)-$A19)*'Cálculos'!$C$98)+1400)+'Cálculos'!$C$122)*'Cálculos'!$C$217+'Cálculos'!$C$125*(1+2.78*('Cálculos'!$C$196+(($B$54)-$A19)*'Cálculos'!$C$98)/(('Cálculos'!$C$196+(($B$54)-$A19)*'Cálculos'!$C$98)+1400)+'Cálculos'!$C$123)*'Cálculos'!$C$222)+('Cálculos'!$C$185*(1+'Cálculos'!$C$187+$A19*('Cálculos'!$C$290=1)*'Cálculos'!$C$97+'Cálculos'!$C$305)+'Cálculos'!$C$192)*('Cálculos'!$C$224+'Cálculos'!$C$124*(1+2.78*('Cálculos'!$C$197+(($B$54)-$A19)*'Cálculos'!$C$98)/(('Cálculos'!$C$197+(($B$54)-$A19)*'Cálculos'!$C$98)+1400)+'Cálculos'!$C$122)*'Cálculos'!$C$229+'Cálculos'!$C$125*(1+2.78*('Cálculos'!$C$197+(($B$54)-$A19)*'Cálculos'!$C$98)/(('Cálculos'!$C$197+(($B$54)-$A19)*'Cálculos'!$C$98)+1400)+'Cálculos'!$C$123)*'Cálculos'!$C$234)+('Cálculos'!$C$197+(($B$54)-$A19)*'Cálculos'!$C$98)*('Cálculos'!$C$225+'Cálculos'!$C$124*(1+2.78*('Cálculos'!$C$197+(($B$54)-$A19)*'Cálculos'!$C$98)/(('Cálculos'!$C$197+(($B$54)-$A19)*'Cálculos'!$C$98)+1400)+'Cálculos'!$C$122)*'Cálculos'!$C$230+'Cálculos'!$C$125*(1+2.78*('Cálculos'!$C$197+(($B$54)-$A19)*'Cálculos'!$C$98)/(('Cálculos'!$C$197+(($B$54)-$A19)*'Cálculos'!$C$98)+1400)+'Cálculos'!$C$123)*'Cálculos'!$C$235)+('Cálculos'!$C$201*(1+'Cálculos'!$C$202+$A19*('Cálculos'!$C$290=2)*'Cálculos'!$C$101)+'Cálculos'!$C$203)*('Cálculos'!$C$226+'Cálculos'!$C$124*(1+2.78*('Cálculos'!$C$197+(($B$54)-$A19)*'Cálculos'!$C$98)/(('Cálculos'!$C$197+(($B$54)-$A19)*'Cálculos'!$C$98)+1400)+'Cálculos'!$C$122)*'Cálculos'!$C$231+'Cálculos'!$C$125*(1+2.78*('Cálculos'!$C$197+(($B$54)-$A19)*'Cálculos'!$C$98)/(('Cálculos'!$C$197+(($B$54)-$A19)*'Cálculos'!$C$98)+1400)+'Cálculos'!$C$123)*'Cálculos'!$C$236)+('Cálculos'!$C$204*(1+'Cálculos'!$C$205+$A19*('Cálculos'!$C$290=3)*'Cálculos'!$C$103)+'Cálculos'!$C$206)*('Cálculos'!$C$227+'Cálculos'!$C$124*(1+2.78*('Cálculos'!$C$197+(($B$54)-$A19)*'Cálculos'!$C$98)/(('Cálculos'!$C$197+(($B$54)-$A19)*'Cálculos'!$C$98)+1400)+'Cálculos'!$C$122)*'Cálculos'!$C$232+'Cálculos'!$C$125*(1+2.78*('Cálculos'!$C$197+(($B$54)-$A19)*'Cálculos'!$C$98)/(('Cálculos'!$C$197+(($B$54)-$A19)*'Cálculos'!$C$98)+1400)+'Cálculos'!$C$123)*'Cálculos'!$C$237)+('Cálculos'!$C$185*(1+'Cálculos'!$C$188+$A19*('Cálculos'!$C$290=1)*'Cálculos'!$C$97+'Cálculos'!$C$305)+'Cálculos'!$C$193)*('Cálculos'!$C$239+'Cálculos'!$C$124*(1+2.78*('Cálculos'!$C$198+(($B$54)-$A19)*'Cálculos'!$C$98)/(('Cálculos'!$C$198+(($B$54)-$A19)*'Cálculos'!$C$98)+1400)+'Cálculos'!$C$122)*'Cálculos'!$C$244+'Cálculos'!$C$125*(1+2.78*('Cálculos'!$C$198+(($B$54)-$A19)*'Cálculos'!$C$98)/(('Cálculos'!$C$198+(($B$54)-$A19)*'Cálculos'!$C$98)+1400)+'Cálculos'!$C$123)*'Cálculos'!$C$249)+('Cálculos'!$C$198+(($B$54)-$A19)*'Cálculos'!$C$98)*('Cálculos'!$C$240+'Cálculos'!$C$124*(1+2.78*('Cálculos'!$C$198+(($B$54)-$A19)*'Cálculos'!$C$98)/(('Cálculos'!$C$198+(($B$54)-$A19)*'Cálculos'!$C$98)+1400)+'Cálculos'!$C$122)*'Cálculos'!$C$245+'Cálculos'!$C$125*(1+2.78*('Cálculos'!$C$198+(($B$54)-$A19)*'Cálculos'!$C$98)/(('Cálculos'!$C$198+(($B$54)-$A19)*'Cálculos'!$C$98)+1400)+'Cálculos'!$C$123)*'Cálculos'!$C$250)+('Cálculos'!$C$201*(1+'Cálculos'!$C$202+$A19*('Cálculos'!$C$290=2)*'Cálculos'!$C$101)+'Cálculos'!$C$203)*('Cálculos'!$C$241+'Cálculos'!$C$124*(1+2.78*('Cálculos'!$C$198+(($B$54)-$A19)*'Cálculos'!$C$98)/(('Cálculos'!$C$198+(($B$54)-$A19)*'Cálculos'!$C$98)+1400)+'Cálculos'!$C$122)*'Cálculos'!$C$246+'Cálculos'!$C$125*(1+2.78*('Cálculos'!$C$198+(($B$54)-$A19)*'Cálculos'!$C$98)/(('Cálculos'!$C$198+(($B$54)-$A19)*'Cálculos'!$C$98)+1400)+'Cálculos'!$C$123)*'Cálculos'!$C$251)+('Cálculos'!$C$204*(1+'Cálculos'!$C$205+$A19*('Cálculos'!$C$290=3)*'Cálculos'!$C$103)+'Cálculos'!$C$206)*('Cálculos'!$C$242+'Cálculos'!$C$124*(1+2.78*('Cálculos'!$C$198+(($B$54)-$A19)*'Cálculos'!$C$98)/(('Cálculos'!$C$198+(($B$54)-$A19)*'Cálculos'!$C$98)+1400)+'Cálculos'!$C$122)*'Cálculos'!$C$247+'Cálculos'!$C$125*(1+2.78*('Cálculos'!$C$198+(($B$54)-$A19)*'Cálculos'!$C$98)/(('Cálculos'!$C$198+(($B$54)-$A19)*'Cálculos'!$C$98)+1400)+'Cálculos'!$C$123)*'Cálculos'!$C$252)+('Cálculos'!$C$185*(1+'Cálculos'!$C$189+$A19*('Cálculos'!$C$290=1)*'Cálculos'!$C$97+'Cálculos'!$C$305)+'Cálculos'!$C$194)*('Cálculos'!$C$254+'Cálculos'!$C$124*(1+2.78*('Cálculos'!$C$199+(($B$54)-$A19)*'Cálculos'!$C$98)/(('Cálculos'!$C$199+(($B$54)-$A19)*'Cálculos'!$C$98)+1400)+'Cálculos'!$C$122)*'Cálculos'!$C$259+'Cálculos'!$C$125*(1+2.78*('Cálculos'!$C$199+(($B$54)-$A19)*'Cálculos'!$C$98)/(('Cálculos'!$C$199+(($B$54)-$A19)*'Cálculos'!$C$98)+1400)+'Cálculos'!$C$123)*'Cálculos'!$C$264)+('Cálculos'!$C$199+(($B$54)-$A19)*'Cálculos'!$C$98)*('Cálculos'!$C$255+'Cálculos'!$C$124*(1+2.78*('Cálculos'!$C$199+(($B$54)-$A19)*'Cálculos'!$C$98)/(('Cálculos'!$C$199+(($B$54)-$A19)*'Cálculos'!$C$98)+1400)+'Cálculos'!$C$122)*'Cálculos'!$C$260+'Cálculos'!$C$125*(1+2.78*('Cálculos'!$C$199+(($B$54)-$A19)*'Cálculos'!$C$98)/(('Cálculos'!$C$199+(($B$54)-$A19)*'Cálculos'!$C$98)+1400)+'Cálculos'!$C$123)*'Cálculos'!$C$265)+('Cálculos'!$C$201*(1+'Cálculos'!$C$202+$A19*('Cálculos'!$C$290=2)*'Cálculos'!$C$101)+'Cálculos'!$C$203)*('Cálculos'!$C$256+'Cálculos'!$C$124*(1+2.78*('Cálculos'!$C$199+(($B$54)-$A19)*'Cálculos'!$C$98)/(('Cálculos'!$C$199+(($B$54)-$A19)*'Cálculos'!$C$98)+1400)+'Cálculos'!$C$122)*'Cálculos'!$C$261+'Cálculos'!$C$125*(1+2.78*('Cálculos'!$C$199+(($B$54)-$A19)*'Cálculos'!$C$98)/(('Cálculos'!$C$199+(($B$54)-$A19)*'Cálculos'!$C$98)+1400)+'Cálculos'!$C$123)*'Cálculos'!$C$266)+('Cálculos'!$C$204*(1+'Cálculos'!$C$205+$A19*('Cálculos'!$C$290=3)*'Cálculos'!$C$103)+'Cálculos'!$C$206)*('Cálculos'!$C$257+'Cálculos'!$C$124*(1+2.78*('Cálculos'!$C$199+(($B$54)-$A19)*'Cálculos'!$C$98)/(('Cálculos'!$C$199+(($B$54)-$A19)*'Cálculos'!$C$98)+1400)+'Cálculos'!$C$122)*'Cálculos'!$C$262+'Cálculos'!$C$125*(1+2.78*('Cálculos'!$C$199+(($B$54)-$A19)*'Cálculos'!$C$98)/(('Cálculos'!$C$199+(($B$54)-$A19)*'Cálculos'!$C$98)+1400)+'Cálculos'!$C$123)*'Cálculos'!$C$267)+('Cálculos'!$C$185*(1+'Cálculos'!$C$190+$A19*('Cálculos'!$C$290=1)*'Cálculos'!$C$97+'Cálculos'!$C$305)+'Cálculos'!$C$195)*('Cálculos'!$C$269+'Cálculos'!$C$124*(1+2.78*('Cálculos'!$C$200+(($B$54)-$A19)*'Cálculos'!$C$98)/(('Cálculos'!$C$200+(($B$54)-$A19)*'Cálculos'!$C$98)+1400)+'Cálculos'!$C$122)*'Cálculos'!$C$274+'Cálculos'!$C$125*(1+2.78*('Cálculos'!$C$200+(($B$54)-$A19)*'Cálculos'!$C$98)/(('Cálculos'!$C$200+(($B$54)-$A19)*'Cálculos'!$C$98)+1400)+'Cálculos'!$C$123)*'Cálculos'!$C$279)+('Cálculos'!$C$200+(($B$54)-$A19)*'Cálculos'!$C$98)*('Cálculos'!$C$270+'Cálculos'!$C$124*(1+2.78*('Cálculos'!$C$200+(($B$54)-$A19)*'Cálculos'!$C$98)/(('Cálculos'!$C$200+(($B$54)-$A19)*'Cálculos'!$C$98)+1400)+'Cálculos'!$C$122)*'Cálculos'!$C$275+'Cálculos'!$C$125*(1+2.78*('Cálculos'!$C$200+(($B$54)-$A19)*'Cálculos'!$C$98)/(('Cálculos'!$C$200+(($B$54)-$A19)*'Cálculos'!$C$98)+1400)+'Cálculos'!$C$123)*'Cálculos'!$C$280)+('Cálculos'!$C$201*(1+'Cálculos'!$C$202+$A19*('Cálculos'!$C$290=2)*'Cálculos'!$C$101)+'Cálculos'!$C$203)*('Cálculos'!$C$271+'Cálculos'!$C$124*(1+2.78*('Cálculos'!$C$200+(($B$54)-$A19)*'Cálculos'!$C$98)/(('Cálculos'!$C$200+(($B$54)-$A19)*'Cálculos'!$C$98)+1400)+'Cálculos'!$C$122)*'Cálculos'!$C$276+'Cálculos'!$C$125*(1+2.78*('Cálculos'!$C$200+(($B$54)-$A19)*'Cálculos'!$C$98)/(('Cálculos'!$C$200+(($B$54)-$A19)*'Cálculos'!$C$98)+1400)+'Cálculos'!$C$123)*'Cálculos'!$C$281)+('Cálculos'!$C$204*(1+'Cálculos'!$C$205+$A19*('Cálculos'!$C$290=3)*'Cálculos'!$C$103)+'Cálculos'!$C$206)*('Cálculos'!$C$272+'Cálculos'!$C$124*(1+2.78*('Cálculos'!$C$200+(($B$54)-$A19)*'Cálculos'!$C$98)/(('Cálculos'!$C$200+(($B$54)-$A19)*'Cálculos'!$C$98)+1400)+'Cálculos'!$C$122)*'Cálculos'!$C$277+'Cálculos'!$C$125*(1+2.78*('Cálculos'!$C$200+(($B$54)-$A19)*'Cálculos'!$C$98)/(('Cálculos'!$C$200+(($B$54)-$A19)*'Cálculos'!$C$98)+1400)+'Cálculos'!$C$123)*'Cálculos'!$C$282)))</f>
        <v>0</v>
      </c>
    </row>
    <row r="20">
      <c r="A20" s="2">
        <v>14.0</v>
      </c>
      <c r="B20" s="30">
        <f>SUMPRODUCT(MAX(($A$6:$A$51&lt;=$A20)*($A$6:$A$51&lt;='Cálculos'!$C$294)*(($A20)-$A$6:$A$51&lt;='Cálculos'!$C$295)*(1+(('Cálculos'!$C$207+$A$6:$A$51*'Cálculos'!$C$95)-(('Cálculos'!$C$207+$A$6:$A$51*'Cálculos'!$C$95)&gt;1)*(('Cálculos'!$C$207+$A$6:$A$51*'Cálculos'!$C$95)-1))*('Cálculos'!$C$208+(($A20)-$A$6:$A$51)*'Cálculos'!$C$96))))</f>
        <v>3.161954</v>
      </c>
      <c r="C20" s="2">
        <f>'Cálculos'!$C$303-$A20</f>
        <v>6</v>
      </c>
      <c r="D20" s="31">
        <f>IF($C20&lt;0,0,SUMPRODUCT(MAX(($A$6:$A$51&lt;=$C20)*($A$6:$A$51&lt;='Cálculos'!$C$301)*(($C20)-$A$6:$A$51&lt;='Cálculos'!$C$297)*(('Cálculos'!$C$185*(1+'Cálculos'!$C$186+$A$6:$A$51*('Cálculos'!$C$290=1)*'Cálculos'!$C$97+'Cálculos'!$C$305)+'Cálculos'!$C$191)*('Cálculos'!$C$209+'Cálculos'!$C$124*(1+2.78*('Cálculos'!$C$196+(($C20)-$A$6:$A$51)*'Cálculos'!$C$98)/(('Cálculos'!$C$196+(($C20)-$A$6:$A$51)*'Cálculos'!$C$98)+1400)+'Cálculos'!$C$122)*'Cálculos'!$C$214+'Cálculos'!$C$125*(1+2.78*('Cálculos'!$C$196+(($C20)-$A$6:$A$51)*'Cálculos'!$C$98)/(('Cálculos'!$C$196+(($C20)-$A$6:$A$51)*'Cálculos'!$C$98)+1400)+'Cálculos'!$C$123)*'Cálculos'!$C$219)+('Cálculos'!$C$196+(($C20)-$A$6:$A$51)*'Cálculos'!$C$98)*('Cálculos'!$C$210+'Cálculos'!$C$124*(1+2.78*('Cálculos'!$C$196+(($C20)-$A$6:$A$51)*'Cálculos'!$C$98)/(('Cálculos'!$C$196+(($C20)-$A$6:$A$51)*'Cálculos'!$C$98)+1400)+'Cálculos'!$C$122)*'Cálculos'!$C$215+'Cálculos'!$C$125*(1+2.78*('Cálculos'!$C$196+(($C20)-$A$6:$A$51)*'Cálculos'!$C$98)/(('Cálculos'!$C$196+(($C20)-$A$6:$A$51)*'Cálculos'!$C$98)+1400)+'Cálculos'!$C$123)*'Cálculos'!$C$220)+('Cálculos'!$C$201*(1+'Cálculos'!$C$202+$A$6:$A$51*('Cálculos'!$C$290=2)*'Cálculos'!$C$101)+'Cálculos'!$C$203)*('Cálculos'!$C$211+'Cálculos'!$C$124*(1+2.78*('Cálculos'!$C$196+(($C20)-$A$6:$A$51)*'Cálculos'!$C$98)/(('Cálculos'!$C$196+(($C20)-$A$6:$A$51)*'Cálculos'!$C$98)+1400)+'Cálculos'!$C$122)*'Cálculos'!$C$216+'Cálculos'!$C$125*(1+2.78*('Cálculos'!$C$196+(($C20)-$A$6:$A$51)*'Cálculos'!$C$98)/(('Cálculos'!$C$196+(($C20)-$A$6:$A$51)*'Cálculos'!$C$98)+1400)+'Cálculos'!$C$123)*'Cálculos'!$C$221)+('Cálculos'!$C$204*(1+'Cálculos'!$C$205+$A$6:$A$51*('Cálculos'!$C$290=3)*'Cálculos'!$C$103)+'Cálculos'!$C$206)*('Cálculos'!$C$212+'Cálculos'!$C$124*(1+2.78*('Cálculos'!$C$196+(($C20)-$A$6:$A$51)*'Cálculos'!$C$98)/(('Cálculos'!$C$196+(($C20)-$A$6:$A$51)*'Cálculos'!$C$98)+1400)+'Cálculos'!$C$122)*'Cálculos'!$C$217+'Cálculos'!$C$125*(1+2.78*('Cálculos'!$C$196+(($C20)-$A$6:$A$51)*'Cálculos'!$C$98)/(('Cálculos'!$C$196+(($C20)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20)-$A$6:$A$51)*'Cálculos'!$C$98)/(('Cálculos'!$C$197+(($C20)-$A$6:$A$51)*'Cálculos'!$C$98)+1400)+'Cálculos'!$C$122)*'Cálculos'!$C$229+'Cálculos'!$C$125*(1+2.78*('Cálculos'!$C$197+(($C20)-$A$6:$A$51)*'Cálculos'!$C$98)/(('Cálculos'!$C$197+(($C20)-$A$6:$A$51)*'Cálculos'!$C$98)+1400)+'Cálculos'!$C$123)*'Cálculos'!$C$234)+('Cálculos'!$C$197+(($C20)-$A$6:$A$51)*'Cálculos'!$C$98)*('Cálculos'!$C$225+'Cálculos'!$C$124*(1+2.78*('Cálculos'!$C$197+(($C20)-$A$6:$A$51)*'Cálculos'!$C$98)/(('Cálculos'!$C$197+(($C20)-$A$6:$A$51)*'Cálculos'!$C$98)+1400)+'Cálculos'!$C$122)*'Cálculos'!$C$230+'Cálculos'!$C$125*(1+2.78*('Cálculos'!$C$197+(($C20)-$A$6:$A$51)*'Cálculos'!$C$98)/(('Cálculos'!$C$197+(($C20)-$A$6:$A$51)*'Cálculos'!$C$98)+1400)+'Cálculos'!$C$123)*'Cálculos'!$C$235)+('Cálculos'!$C$201*(1+'Cálculos'!$C$202+$A$6:$A$51*('Cálculos'!$C$290=2)*'Cálculos'!$C$101)+'Cálculos'!$C$203)*('Cálculos'!$C$226+'Cálculos'!$C$124*(1+2.78*('Cálculos'!$C$197+(($C20)-$A$6:$A$51)*'Cálculos'!$C$98)/(('Cálculos'!$C$197+(($C20)-$A$6:$A$51)*'Cálculos'!$C$98)+1400)+'Cálculos'!$C$122)*'Cálculos'!$C$231+'Cálculos'!$C$125*(1+2.78*('Cálculos'!$C$197+(($C20)-$A$6:$A$51)*'Cálculos'!$C$98)/(('Cálculos'!$C$197+(($C20)-$A$6:$A$51)*'Cálculos'!$C$98)+1400)+'Cálculos'!$C$123)*'Cálculos'!$C$236)+('Cálculos'!$C$204*(1+'Cálculos'!$C$205+$A$6:$A$51*('Cálculos'!$C$290=3)*'Cálculos'!$C$103)+'Cálculos'!$C$206)*('Cálculos'!$C$227+'Cálculos'!$C$124*(1+2.78*('Cálculos'!$C$197+(($C20)-$A$6:$A$51)*'Cálculos'!$C$98)/(('Cálculos'!$C$197+(($C20)-$A$6:$A$51)*'Cálculos'!$C$98)+1400)+'Cálculos'!$C$122)*'Cálculos'!$C$232+'Cálculos'!$C$125*(1+2.78*('Cálculos'!$C$197+(($C20)-$A$6:$A$51)*'Cálculos'!$C$98)/(('Cálculos'!$C$197+(($C20)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20)-$A$6:$A$51)*'Cálculos'!$C$98)/(('Cálculos'!$C$198+(($C20)-$A$6:$A$51)*'Cálculos'!$C$98)+1400)+'Cálculos'!$C$122)*'Cálculos'!$C$244+'Cálculos'!$C$125*(1+2.78*('Cálculos'!$C$198+(($C20)-$A$6:$A$51)*'Cálculos'!$C$98)/(('Cálculos'!$C$198+(($C20)-$A$6:$A$51)*'Cálculos'!$C$98)+1400)+'Cálculos'!$C$123)*'Cálculos'!$C$249)+('Cálculos'!$C$198+(($C20)-$A$6:$A$51)*'Cálculos'!$C$98)*('Cálculos'!$C$240+'Cálculos'!$C$124*(1+2.78*('Cálculos'!$C$198+(($C20)-$A$6:$A$51)*'Cálculos'!$C$98)/(('Cálculos'!$C$198+(($C20)-$A$6:$A$51)*'Cálculos'!$C$98)+1400)+'Cálculos'!$C$122)*'Cálculos'!$C$245+'Cálculos'!$C$125*(1+2.78*('Cálculos'!$C$198+(($C20)-$A$6:$A$51)*'Cálculos'!$C$98)/(('Cálculos'!$C$198+(($C20)-$A$6:$A$51)*'Cálculos'!$C$98)+1400)+'Cálculos'!$C$123)*'Cálculos'!$C$250)+('Cálculos'!$C$201*(1+'Cálculos'!$C$202+$A$6:$A$51*('Cálculos'!$C$290=2)*'Cálculos'!$C$101)+'Cálculos'!$C$203)*('Cálculos'!$C$241+'Cálculos'!$C$124*(1+2.78*('Cálculos'!$C$198+(($C20)-$A$6:$A$51)*'Cálculos'!$C$98)/(('Cálculos'!$C$198+(($C20)-$A$6:$A$51)*'Cálculos'!$C$98)+1400)+'Cálculos'!$C$122)*'Cálculos'!$C$246+'Cálculos'!$C$125*(1+2.78*('Cálculos'!$C$198+(($C20)-$A$6:$A$51)*'Cálculos'!$C$98)/(('Cálculos'!$C$198+(($C20)-$A$6:$A$51)*'Cálculos'!$C$98)+1400)+'Cálculos'!$C$123)*'Cálculos'!$C$251)+('Cálculos'!$C$204*(1+'Cálculos'!$C$205+$A$6:$A$51*('Cálculos'!$C$290=3)*'Cálculos'!$C$103)+'Cálculos'!$C$206)*('Cálculos'!$C$242+'Cálculos'!$C$124*(1+2.78*('Cálculos'!$C$198+(($C20)-$A$6:$A$51)*'Cálculos'!$C$98)/(('Cálculos'!$C$198+(($C20)-$A$6:$A$51)*'Cálculos'!$C$98)+1400)+'Cálculos'!$C$122)*'Cálculos'!$C$247+'Cálculos'!$C$125*(1+2.78*('Cálculos'!$C$198+(($C20)-$A$6:$A$51)*'Cálculos'!$C$98)/(('Cálculos'!$C$198+(($C20)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20)-$A$6:$A$51)*'Cálculos'!$C$98)/(('Cálculos'!$C$199+(($C20)-$A$6:$A$51)*'Cálculos'!$C$98)+1400)+'Cálculos'!$C$122)*'Cálculos'!$C$259+'Cálculos'!$C$125*(1+2.78*('Cálculos'!$C$199+(($C20)-$A$6:$A$51)*'Cálculos'!$C$98)/(('Cálculos'!$C$199+(($C20)-$A$6:$A$51)*'Cálculos'!$C$98)+1400)+'Cálculos'!$C$123)*'Cálculos'!$C$264)+('Cálculos'!$C$199+(($C20)-$A$6:$A$51)*'Cálculos'!$C$98)*('Cálculos'!$C$255+'Cálculos'!$C$124*(1+2.78*('Cálculos'!$C$199+(($C20)-$A$6:$A$51)*'Cálculos'!$C$98)/(('Cálculos'!$C$199+(($C20)-$A$6:$A$51)*'Cálculos'!$C$98)+1400)+'Cálculos'!$C$122)*'Cálculos'!$C$260+'Cálculos'!$C$125*(1+2.78*('Cálculos'!$C$199+(($C20)-$A$6:$A$51)*'Cálculos'!$C$98)/(('Cálculos'!$C$199+(($C20)-$A$6:$A$51)*'Cálculos'!$C$98)+1400)+'Cálculos'!$C$123)*'Cálculos'!$C$265)+('Cálculos'!$C$201*(1+'Cálculos'!$C$202+$A$6:$A$51*('Cálculos'!$C$290=2)*'Cálculos'!$C$101)+'Cálculos'!$C$203)*('Cálculos'!$C$256+'Cálculos'!$C$124*(1+2.78*('Cálculos'!$C$199+(($C20)-$A$6:$A$51)*'Cálculos'!$C$98)/(('Cálculos'!$C$199+(($C20)-$A$6:$A$51)*'Cálculos'!$C$98)+1400)+'Cálculos'!$C$122)*'Cálculos'!$C$261+'Cálculos'!$C$125*(1+2.78*('Cálculos'!$C$199+(($C20)-$A$6:$A$51)*'Cálculos'!$C$98)/(('Cálculos'!$C$199+(($C20)-$A$6:$A$51)*'Cálculos'!$C$98)+1400)+'Cálculos'!$C$123)*'Cálculos'!$C$266)+('Cálculos'!$C$204*(1+'Cálculos'!$C$205+$A$6:$A$51*('Cálculos'!$C$290=3)*'Cálculos'!$C$103)+'Cálculos'!$C$206)*('Cálculos'!$C$257+'Cálculos'!$C$124*(1+2.78*('Cálculos'!$C$199+(($C20)-$A$6:$A$51)*'Cálculos'!$C$98)/(('Cálculos'!$C$199+(($C20)-$A$6:$A$51)*'Cálculos'!$C$98)+1400)+'Cálculos'!$C$122)*'Cálculos'!$C$262+'Cálculos'!$C$125*(1+2.78*('Cálculos'!$C$199+(($C20)-$A$6:$A$51)*'Cálculos'!$C$98)/(('Cálculos'!$C$199+(($C20)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20)-$A$6:$A$51)*'Cálculos'!$C$98)/(('Cálculos'!$C$200+(($C20)-$A$6:$A$51)*'Cálculos'!$C$98)+1400)+'Cálculos'!$C$122)*'Cálculos'!$C$274+'Cálculos'!$C$125*(1+2.78*('Cálculos'!$C$200+(($C20)-$A$6:$A$51)*'Cálculos'!$C$98)/(('Cálculos'!$C$200+(($C20)-$A$6:$A$51)*'Cálculos'!$C$98)+1400)+'Cálculos'!$C$123)*'Cálculos'!$C$279)+('Cálculos'!$C$200+(($C20)-$A$6:$A$51)*'Cálculos'!$C$98)*('Cálculos'!$C$270+'Cálculos'!$C$124*(1+2.78*('Cálculos'!$C$200+(($C20)-$A$6:$A$51)*'Cálculos'!$C$98)/(('Cálculos'!$C$200+(($C20)-$A$6:$A$51)*'Cálculos'!$C$98)+1400)+'Cálculos'!$C$122)*'Cálculos'!$C$275+'Cálculos'!$C$125*(1+2.78*('Cálculos'!$C$200+(($C20)-$A$6:$A$51)*'Cálculos'!$C$98)/(('Cálculos'!$C$200+(($C20)-$A$6:$A$51)*'Cálculos'!$C$98)+1400)+'Cálculos'!$C$123)*'Cálculos'!$C$280)+('Cálculos'!$C$201*(1+'Cálculos'!$C$202+$A$6:$A$51*('Cálculos'!$C$290=2)*'Cálculos'!$C$101)+'Cálculos'!$C$203)*('Cálculos'!$C$271+'Cálculos'!$C$124*(1+2.78*('Cálculos'!$C$200+(($C20)-$A$6:$A$51)*'Cálculos'!$C$98)/(('Cálculos'!$C$200+(($C20)-$A$6:$A$51)*'Cálculos'!$C$98)+1400)+'Cálculos'!$C$122)*'Cálculos'!$C$276+'Cálculos'!$C$125*(1+2.78*('Cálculos'!$C$200+(($C20)-$A$6:$A$51)*'Cálculos'!$C$98)/(('Cálculos'!$C$200+(($C20)-$A$6:$A$51)*'Cálculos'!$C$98)+1400)+'Cálculos'!$C$123)*'Cálculos'!$C$281)+('Cálculos'!$C$204*(1+'Cálculos'!$C$205+$A$6:$A$51*('Cálculos'!$C$290=3)*'Cálculos'!$C$103)+'Cálculos'!$C$206)*('Cálculos'!$C$272+'Cálculos'!$C$124*(1+2.78*('Cálculos'!$C$200+(($C20)-$A$6:$A$51)*'Cálculos'!$C$98)/(('Cálculos'!$C$200+(($C20)-$A$6:$A$51)*'Cálculos'!$C$98)+1400)+'Cálculos'!$C$122)*'Cálculos'!$C$277+'Cálculos'!$C$125*(1+2.78*('Cálculos'!$C$200+(($C20)-$A$6:$A$51)*'Cálculos'!$C$98)/(('Cálculos'!$C$200+(($C20)-$A$6:$A$51)*'Cálculos'!$C$98)+1400)+'Cálculos'!$C$123)*'Cálculos'!$C$282)))))</f>
        <v>1121010.784</v>
      </c>
      <c r="E20" s="32">
        <f>IF(OR($C20&lt;0,'Cálculos'!$C$6=""),0,$B20*$D20)</f>
        <v>3544584.532</v>
      </c>
      <c r="F20" s="2"/>
      <c r="G20" s="30">
        <f>($A20&lt;=$B$53)*($A20&lt;='Cálculos'!$C$294)*(($B$53)-$A20&lt;='Cálculos'!$C$295)*(1+MIN(('Cálculos'!$C$207+$A20*'Cálculos'!$C$95),1)*('Cálculos'!$C$208+(($B$53)-$A20)*'Cálculos'!$C$96))</f>
        <v>3.12</v>
      </c>
      <c r="H20" s="31">
        <f>IF($B$54&lt;0,0,($A20&lt;=$B$54)*($A20&lt;='Cálculos'!$C$301)*(($B$54)-$A20&lt;='Cálculos'!$C$297)*(('Cálculos'!$C$185*(1+'Cálculos'!$C$186+$A20*('Cálculos'!$C$290=1)*'Cálculos'!$C$97+'Cálculos'!$C$305)+'Cálculos'!$C$191)*('Cálculos'!$C$209+'Cálculos'!$C$124*(1+2.78*('Cálculos'!$C$196+(($B$54)-$A20)*'Cálculos'!$C$98)/(('Cálculos'!$C$196+(($B$54)-$A20)*'Cálculos'!$C$98)+1400)+'Cálculos'!$C$122)*'Cálculos'!$C$214+'Cálculos'!$C$125*(1+2.78*('Cálculos'!$C$196+(($B$54)-$A20)*'Cálculos'!$C$98)/(('Cálculos'!$C$196+(($B$54)-$A20)*'Cálculos'!$C$98)+1400)+'Cálculos'!$C$123)*'Cálculos'!$C$219)+('Cálculos'!$C$196+(($B$54)-$A20)*'Cálculos'!$C$98)*('Cálculos'!$C$210+'Cálculos'!$C$124*(1+2.78*('Cálculos'!$C$196+(($B$54)-$A20)*'Cálculos'!$C$98)/(('Cálculos'!$C$196+(($B$54)-$A20)*'Cálculos'!$C$98)+1400)+'Cálculos'!$C$122)*'Cálculos'!$C$215+'Cálculos'!$C$125*(1+2.78*('Cálculos'!$C$196+(($B$54)-$A20)*'Cálculos'!$C$98)/(('Cálculos'!$C$196+(($B$54)-$A20)*'Cálculos'!$C$98)+1400)+'Cálculos'!$C$123)*'Cálculos'!$C$220)+('Cálculos'!$C$201*(1+'Cálculos'!$C$202+$A20*('Cálculos'!$C$290=2)*'Cálculos'!$C$101)+'Cálculos'!$C$203)*('Cálculos'!$C$211+'Cálculos'!$C$124*(1+2.78*('Cálculos'!$C$196+(($B$54)-$A20)*'Cálculos'!$C$98)/(('Cálculos'!$C$196+(($B$54)-$A20)*'Cálculos'!$C$98)+1400)+'Cálculos'!$C$122)*'Cálculos'!$C$216+'Cálculos'!$C$125*(1+2.78*('Cálculos'!$C$196+(($B$54)-$A20)*'Cálculos'!$C$98)/(('Cálculos'!$C$196+(($B$54)-$A20)*'Cálculos'!$C$98)+1400)+'Cálculos'!$C$123)*'Cálculos'!$C$221)+('Cálculos'!$C$204*(1+'Cálculos'!$C$205+$A20*('Cálculos'!$C$290=3)*'Cálculos'!$C$103)+'Cálculos'!$C$206)*('Cálculos'!$C$212+'Cálculos'!$C$124*(1+2.78*('Cálculos'!$C$196+(($B$54)-$A20)*'Cálculos'!$C$98)/(('Cálculos'!$C$196+(($B$54)-$A20)*'Cálculos'!$C$98)+1400)+'Cálculos'!$C$122)*'Cálculos'!$C$217+'Cálculos'!$C$125*(1+2.78*('Cálculos'!$C$196+(($B$54)-$A20)*'Cálculos'!$C$98)/(('Cálculos'!$C$196+(($B$54)-$A20)*'Cálculos'!$C$98)+1400)+'Cálculos'!$C$123)*'Cálculos'!$C$222)+('Cálculos'!$C$185*(1+'Cálculos'!$C$187+$A20*('Cálculos'!$C$290=1)*'Cálculos'!$C$97+'Cálculos'!$C$305)+'Cálculos'!$C$192)*('Cálculos'!$C$224+'Cálculos'!$C$124*(1+2.78*('Cálculos'!$C$197+(($B$54)-$A20)*'Cálculos'!$C$98)/(('Cálculos'!$C$197+(($B$54)-$A20)*'Cálculos'!$C$98)+1400)+'Cálculos'!$C$122)*'Cálculos'!$C$229+'Cálculos'!$C$125*(1+2.78*('Cálculos'!$C$197+(($B$54)-$A20)*'Cálculos'!$C$98)/(('Cálculos'!$C$197+(($B$54)-$A20)*'Cálculos'!$C$98)+1400)+'Cálculos'!$C$123)*'Cálculos'!$C$234)+('Cálculos'!$C$197+(($B$54)-$A20)*'Cálculos'!$C$98)*('Cálculos'!$C$225+'Cálculos'!$C$124*(1+2.78*('Cálculos'!$C$197+(($B$54)-$A20)*'Cálculos'!$C$98)/(('Cálculos'!$C$197+(($B$54)-$A20)*'Cálculos'!$C$98)+1400)+'Cálculos'!$C$122)*'Cálculos'!$C$230+'Cálculos'!$C$125*(1+2.78*('Cálculos'!$C$197+(($B$54)-$A20)*'Cálculos'!$C$98)/(('Cálculos'!$C$197+(($B$54)-$A20)*'Cálculos'!$C$98)+1400)+'Cálculos'!$C$123)*'Cálculos'!$C$235)+('Cálculos'!$C$201*(1+'Cálculos'!$C$202+$A20*('Cálculos'!$C$290=2)*'Cálculos'!$C$101)+'Cálculos'!$C$203)*('Cálculos'!$C$226+'Cálculos'!$C$124*(1+2.78*('Cálculos'!$C$197+(($B$54)-$A20)*'Cálculos'!$C$98)/(('Cálculos'!$C$197+(($B$54)-$A20)*'Cálculos'!$C$98)+1400)+'Cálculos'!$C$122)*'Cálculos'!$C$231+'Cálculos'!$C$125*(1+2.78*('Cálculos'!$C$197+(($B$54)-$A20)*'Cálculos'!$C$98)/(('Cálculos'!$C$197+(($B$54)-$A20)*'Cálculos'!$C$98)+1400)+'Cálculos'!$C$123)*'Cálculos'!$C$236)+('Cálculos'!$C$204*(1+'Cálculos'!$C$205+$A20*('Cálculos'!$C$290=3)*'Cálculos'!$C$103)+'Cálculos'!$C$206)*('Cálculos'!$C$227+'Cálculos'!$C$124*(1+2.78*('Cálculos'!$C$197+(($B$54)-$A20)*'Cálculos'!$C$98)/(('Cálculos'!$C$197+(($B$54)-$A20)*'Cálculos'!$C$98)+1400)+'Cálculos'!$C$122)*'Cálculos'!$C$232+'Cálculos'!$C$125*(1+2.78*('Cálculos'!$C$197+(($B$54)-$A20)*'Cálculos'!$C$98)/(('Cálculos'!$C$197+(($B$54)-$A20)*'Cálculos'!$C$98)+1400)+'Cálculos'!$C$123)*'Cálculos'!$C$237)+('Cálculos'!$C$185*(1+'Cálculos'!$C$188+$A20*('Cálculos'!$C$290=1)*'Cálculos'!$C$97+'Cálculos'!$C$305)+'Cálculos'!$C$193)*('Cálculos'!$C$239+'Cálculos'!$C$124*(1+2.78*('Cálculos'!$C$198+(($B$54)-$A20)*'Cálculos'!$C$98)/(('Cálculos'!$C$198+(($B$54)-$A20)*'Cálculos'!$C$98)+1400)+'Cálculos'!$C$122)*'Cálculos'!$C$244+'Cálculos'!$C$125*(1+2.78*('Cálculos'!$C$198+(($B$54)-$A20)*'Cálculos'!$C$98)/(('Cálculos'!$C$198+(($B$54)-$A20)*'Cálculos'!$C$98)+1400)+'Cálculos'!$C$123)*'Cálculos'!$C$249)+('Cálculos'!$C$198+(($B$54)-$A20)*'Cálculos'!$C$98)*('Cálculos'!$C$240+'Cálculos'!$C$124*(1+2.78*('Cálculos'!$C$198+(($B$54)-$A20)*'Cálculos'!$C$98)/(('Cálculos'!$C$198+(($B$54)-$A20)*'Cálculos'!$C$98)+1400)+'Cálculos'!$C$122)*'Cálculos'!$C$245+'Cálculos'!$C$125*(1+2.78*('Cálculos'!$C$198+(($B$54)-$A20)*'Cálculos'!$C$98)/(('Cálculos'!$C$198+(($B$54)-$A20)*'Cálculos'!$C$98)+1400)+'Cálculos'!$C$123)*'Cálculos'!$C$250)+('Cálculos'!$C$201*(1+'Cálculos'!$C$202+$A20*('Cálculos'!$C$290=2)*'Cálculos'!$C$101)+'Cálculos'!$C$203)*('Cálculos'!$C$241+'Cálculos'!$C$124*(1+2.78*('Cálculos'!$C$198+(($B$54)-$A20)*'Cálculos'!$C$98)/(('Cálculos'!$C$198+(($B$54)-$A20)*'Cálculos'!$C$98)+1400)+'Cálculos'!$C$122)*'Cálculos'!$C$246+'Cálculos'!$C$125*(1+2.78*('Cálculos'!$C$198+(($B$54)-$A20)*'Cálculos'!$C$98)/(('Cálculos'!$C$198+(($B$54)-$A20)*'Cálculos'!$C$98)+1400)+'Cálculos'!$C$123)*'Cálculos'!$C$251)+('Cálculos'!$C$204*(1+'Cálculos'!$C$205+$A20*('Cálculos'!$C$290=3)*'Cálculos'!$C$103)+'Cálculos'!$C$206)*('Cálculos'!$C$242+'Cálculos'!$C$124*(1+2.78*('Cálculos'!$C$198+(($B$54)-$A20)*'Cálculos'!$C$98)/(('Cálculos'!$C$198+(($B$54)-$A20)*'Cálculos'!$C$98)+1400)+'Cálculos'!$C$122)*'Cálculos'!$C$247+'Cálculos'!$C$125*(1+2.78*('Cálculos'!$C$198+(($B$54)-$A20)*'Cálculos'!$C$98)/(('Cálculos'!$C$198+(($B$54)-$A20)*'Cálculos'!$C$98)+1400)+'Cálculos'!$C$123)*'Cálculos'!$C$252)+('Cálculos'!$C$185*(1+'Cálculos'!$C$189+$A20*('Cálculos'!$C$290=1)*'Cálculos'!$C$97+'Cálculos'!$C$305)+'Cálculos'!$C$194)*('Cálculos'!$C$254+'Cálculos'!$C$124*(1+2.78*('Cálculos'!$C$199+(($B$54)-$A20)*'Cálculos'!$C$98)/(('Cálculos'!$C$199+(($B$54)-$A20)*'Cálculos'!$C$98)+1400)+'Cálculos'!$C$122)*'Cálculos'!$C$259+'Cálculos'!$C$125*(1+2.78*('Cálculos'!$C$199+(($B$54)-$A20)*'Cálculos'!$C$98)/(('Cálculos'!$C$199+(($B$54)-$A20)*'Cálculos'!$C$98)+1400)+'Cálculos'!$C$123)*'Cálculos'!$C$264)+('Cálculos'!$C$199+(($B$54)-$A20)*'Cálculos'!$C$98)*('Cálculos'!$C$255+'Cálculos'!$C$124*(1+2.78*('Cálculos'!$C$199+(($B$54)-$A20)*'Cálculos'!$C$98)/(('Cálculos'!$C$199+(($B$54)-$A20)*'Cálculos'!$C$98)+1400)+'Cálculos'!$C$122)*'Cálculos'!$C$260+'Cálculos'!$C$125*(1+2.78*('Cálculos'!$C$199+(($B$54)-$A20)*'Cálculos'!$C$98)/(('Cálculos'!$C$199+(($B$54)-$A20)*'Cálculos'!$C$98)+1400)+'Cálculos'!$C$123)*'Cálculos'!$C$265)+('Cálculos'!$C$201*(1+'Cálculos'!$C$202+$A20*('Cálculos'!$C$290=2)*'Cálculos'!$C$101)+'Cálculos'!$C$203)*('Cálculos'!$C$256+'Cálculos'!$C$124*(1+2.78*('Cálculos'!$C$199+(($B$54)-$A20)*'Cálculos'!$C$98)/(('Cálculos'!$C$199+(($B$54)-$A20)*'Cálculos'!$C$98)+1400)+'Cálculos'!$C$122)*'Cálculos'!$C$261+'Cálculos'!$C$125*(1+2.78*('Cálculos'!$C$199+(($B$54)-$A20)*'Cálculos'!$C$98)/(('Cálculos'!$C$199+(($B$54)-$A20)*'Cálculos'!$C$98)+1400)+'Cálculos'!$C$123)*'Cálculos'!$C$266)+('Cálculos'!$C$204*(1+'Cálculos'!$C$205+$A20*('Cálculos'!$C$290=3)*'Cálculos'!$C$103)+'Cálculos'!$C$206)*('Cálculos'!$C$257+'Cálculos'!$C$124*(1+2.78*('Cálculos'!$C$199+(($B$54)-$A20)*'Cálculos'!$C$98)/(('Cálculos'!$C$199+(($B$54)-$A20)*'Cálculos'!$C$98)+1400)+'Cálculos'!$C$122)*'Cálculos'!$C$262+'Cálculos'!$C$125*(1+2.78*('Cálculos'!$C$199+(($B$54)-$A20)*'Cálculos'!$C$98)/(('Cálculos'!$C$199+(($B$54)-$A20)*'Cálculos'!$C$98)+1400)+'Cálculos'!$C$123)*'Cálculos'!$C$267)+('Cálculos'!$C$185*(1+'Cálculos'!$C$190+$A20*('Cálculos'!$C$290=1)*'Cálculos'!$C$97+'Cálculos'!$C$305)+'Cálculos'!$C$195)*('Cálculos'!$C$269+'Cálculos'!$C$124*(1+2.78*('Cálculos'!$C$200+(($B$54)-$A20)*'Cálculos'!$C$98)/(('Cálculos'!$C$200+(($B$54)-$A20)*'Cálculos'!$C$98)+1400)+'Cálculos'!$C$122)*'Cálculos'!$C$274+'Cálculos'!$C$125*(1+2.78*('Cálculos'!$C$200+(($B$54)-$A20)*'Cálculos'!$C$98)/(('Cálculos'!$C$200+(($B$54)-$A20)*'Cálculos'!$C$98)+1400)+'Cálculos'!$C$123)*'Cálculos'!$C$279)+('Cálculos'!$C$200+(($B$54)-$A20)*'Cálculos'!$C$98)*('Cálculos'!$C$270+'Cálculos'!$C$124*(1+2.78*('Cálculos'!$C$200+(($B$54)-$A20)*'Cálculos'!$C$98)/(('Cálculos'!$C$200+(($B$54)-$A20)*'Cálculos'!$C$98)+1400)+'Cálculos'!$C$122)*'Cálculos'!$C$275+'Cálculos'!$C$125*(1+2.78*('Cálculos'!$C$200+(($B$54)-$A20)*'Cálculos'!$C$98)/(('Cálculos'!$C$200+(($B$54)-$A20)*'Cálculos'!$C$98)+1400)+'Cálculos'!$C$123)*'Cálculos'!$C$280)+('Cálculos'!$C$201*(1+'Cálculos'!$C$202+$A20*('Cálculos'!$C$290=2)*'Cálculos'!$C$101)+'Cálculos'!$C$203)*('Cálculos'!$C$271+'Cálculos'!$C$124*(1+2.78*('Cálculos'!$C$200+(($B$54)-$A20)*'Cálculos'!$C$98)/(('Cálculos'!$C$200+(($B$54)-$A20)*'Cálculos'!$C$98)+1400)+'Cálculos'!$C$122)*'Cálculos'!$C$276+'Cálculos'!$C$125*(1+2.78*('Cálculos'!$C$200+(($B$54)-$A20)*'Cálculos'!$C$98)/(('Cálculos'!$C$200+(($B$54)-$A20)*'Cálculos'!$C$98)+1400)+'Cálculos'!$C$123)*'Cálculos'!$C$281)+('Cálculos'!$C$204*(1+'Cálculos'!$C$205+$A20*('Cálculos'!$C$290=3)*'Cálculos'!$C$103)+'Cálculos'!$C$206)*('Cálculos'!$C$272+'Cálculos'!$C$124*(1+2.78*('Cálculos'!$C$200+(($B$54)-$A20)*'Cálculos'!$C$98)/(('Cálculos'!$C$200+(($B$54)-$A20)*'Cálculos'!$C$98)+1400)+'Cálculos'!$C$122)*'Cálculos'!$C$277+'Cálculos'!$C$125*(1+2.78*('Cálculos'!$C$200+(($B$54)-$A20)*'Cálculos'!$C$98)/(('Cálculos'!$C$200+(($B$54)-$A20)*'Cálculos'!$C$98)+1400)+'Cálculos'!$C$123)*'Cálculos'!$C$282)))</f>
        <v>0</v>
      </c>
    </row>
    <row r="21" ht="15.75" customHeight="1">
      <c r="A21" s="2">
        <v>15.0</v>
      </c>
      <c r="B21" s="30">
        <f>SUMPRODUCT(MAX(($A$6:$A$51&lt;=$A21)*($A$6:$A$51&lt;='Cálculos'!$C$294)*(($A21)-$A$6:$A$51&lt;='Cálculos'!$C$295)*(1+(('Cálculos'!$C$207+$A$6:$A$51*'Cálculos'!$C$95)-(('Cálculos'!$C$207+$A$6:$A$51*'Cálculos'!$C$95)&gt;1)*(('Cálculos'!$C$207+$A$6:$A$51*'Cálculos'!$C$95)-1))*('Cálculos'!$C$208+(($A21)-$A$6:$A$51)*'Cálculos'!$C$96))))</f>
        <v>3.227228</v>
      </c>
      <c r="C21" s="2">
        <f>'Cálculos'!$C$303-$A21</f>
        <v>5</v>
      </c>
      <c r="D21" s="31">
        <f>IF($C21&lt;0,0,SUMPRODUCT(MAX(($A$6:$A$51&lt;=$C21)*($A$6:$A$51&lt;='Cálculos'!$C$301)*(($C21)-$A$6:$A$51&lt;='Cálculos'!$C$297)*(('Cálculos'!$C$185*(1+'Cálculos'!$C$186+$A$6:$A$51*('Cálculos'!$C$290=1)*'Cálculos'!$C$97+'Cálculos'!$C$305)+'Cálculos'!$C$191)*('Cálculos'!$C$209+'Cálculos'!$C$124*(1+2.78*('Cálculos'!$C$196+(($C21)-$A$6:$A$51)*'Cálculos'!$C$98)/(('Cálculos'!$C$196+(($C21)-$A$6:$A$51)*'Cálculos'!$C$98)+1400)+'Cálculos'!$C$122)*'Cálculos'!$C$214+'Cálculos'!$C$125*(1+2.78*('Cálculos'!$C$196+(($C21)-$A$6:$A$51)*'Cálculos'!$C$98)/(('Cálculos'!$C$196+(($C21)-$A$6:$A$51)*'Cálculos'!$C$98)+1400)+'Cálculos'!$C$123)*'Cálculos'!$C$219)+('Cálculos'!$C$196+(($C21)-$A$6:$A$51)*'Cálculos'!$C$98)*('Cálculos'!$C$210+'Cálculos'!$C$124*(1+2.78*('Cálculos'!$C$196+(($C21)-$A$6:$A$51)*'Cálculos'!$C$98)/(('Cálculos'!$C$196+(($C21)-$A$6:$A$51)*'Cálculos'!$C$98)+1400)+'Cálculos'!$C$122)*'Cálculos'!$C$215+'Cálculos'!$C$125*(1+2.78*('Cálculos'!$C$196+(($C21)-$A$6:$A$51)*'Cálculos'!$C$98)/(('Cálculos'!$C$196+(($C21)-$A$6:$A$51)*'Cálculos'!$C$98)+1400)+'Cálculos'!$C$123)*'Cálculos'!$C$220)+('Cálculos'!$C$201*(1+'Cálculos'!$C$202+$A$6:$A$51*('Cálculos'!$C$290=2)*'Cálculos'!$C$101)+'Cálculos'!$C$203)*('Cálculos'!$C$211+'Cálculos'!$C$124*(1+2.78*('Cálculos'!$C$196+(($C21)-$A$6:$A$51)*'Cálculos'!$C$98)/(('Cálculos'!$C$196+(($C21)-$A$6:$A$51)*'Cálculos'!$C$98)+1400)+'Cálculos'!$C$122)*'Cálculos'!$C$216+'Cálculos'!$C$125*(1+2.78*('Cálculos'!$C$196+(($C21)-$A$6:$A$51)*'Cálculos'!$C$98)/(('Cálculos'!$C$196+(($C21)-$A$6:$A$51)*'Cálculos'!$C$98)+1400)+'Cálculos'!$C$123)*'Cálculos'!$C$221)+('Cálculos'!$C$204*(1+'Cálculos'!$C$205+$A$6:$A$51*('Cálculos'!$C$290=3)*'Cálculos'!$C$103)+'Cálculos'!$C$206)*('Cálculos'!$C$212+'Cálculos'!$C$124*(1+2.78*('Cálculos'!$C$196+(($C21)-$A$6:$A$51)*'Cálculos'!$C$98)/(('Cálculos'!$C$196+(($C21)-$A$6:$A$51)*'Cálculos'!$C$98)+1400)+'Cálculos'!$C$122)*'Cálculos'!$C$217+'Cálculos'!$C$125*(1+2.78*('Cálculos'!$C$196+(($C21)-$A$6:$A$51)*'Cálculos'!$C$98)/(('Cálculos'!$C$196+(($C21)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21)-$A$6:$A$51)*'Cálculos'!$C$98)/(('Cálculos'!$C$197+(($C21)-$A$6:$A$51)*'Cálculos'!$C$98)+1400)+'Cálculos'!$C$122)*'Cálculos'!$C$229+'Cálculos'!$C$125*(1+2.78*('Cálculos'!$C$197+(($C21)-$A$6:$A$51)*'Cálculos'!$C$98)/(('Cálculos'!$C$197+(($C21)-$A$6:$A$51)*'Cálculos'!$C$98)+1400)+'Cálculos'!$C$123)*'Cálculos'!$C$234)+('Cálculos'!$C$197+(($C21)-$A$6:$A$51)*'Cálculos'!$C$98)*('Cálculos'!$C$225+'Cálculos'!$C$124*(1+2.78*('Cálculos'!$C$197+(($C21)-$A$6:$A$51)*'Cálculos'!$C$98)/(('Cálculos'!$C$197+(($C21)-$A$6:$A$51)*'Cálculos'!$C$98)+1400)+'Cálculos'!$C$122)*'Cálculos'!$C$230+'Cálculos'!$C$125*(1+2.78*('Cálculos'!$C$197+(($C21)-$A$6:$A$51)*'Cálculos'!$C$98)/(('Cálculos'!$C$197+(($C21)-$A$6:$A$51)*'Cálculos'!$C$98)+1400)+'Cálculos'!$C$123)*'Cálculos'!$C$235)+('Cálculos'!$C$201*(1+'Cálculos'!$C$202+$A$6:$A$51*('Cálculos'!$C$290=2)*'Cálculos'!$C$101)+'Cálculos'!$C$203)*('Cálculos'!$C$226+'Cálculos'!$C$124*(1+2.78*('Cálculos'!$C$197+(($C21)-$A$6:$A$51)*'Cálculos'!$C$98)/(('Cálculos'!$C$197+(($C21)-$A$6:$A$51)*'Cálculos'!$C$98)+1400)+'Cálculos'!$C$122)*'Cálculos'!$C$231+'Cálculos'!$C$125*(1+2.78*('Cálculos'!$C$197+(($C21)-$A$6:$A$51)*'Cálculos'!$C$98)/(('Cálculos'!$C$197+(($C21)-$A$6:$A$51)*'Cálculos'!$C$98)+1400)+'Cálculos'!$C$123)*'Cálculos'!$C$236)+('Cálculos'!$C$204*(1+'Cálculos'!$C$205+$A$6:$A$51*('Cálculos'!$C$290=3)*'Cálculos'!$C$103)+'Cálculos'!$C$206)*('Cálculos'!$C$227+'Cálculos'!$C$124*(1+2.78*('Cálculos'!$C$197+(($C21)-$A$6:$A$51)*'Cálculos'!$C$98)/(('Cálculos'!$C$197+(($C21)-$A$6:$A$51)*'Cálculos'!$C$98)+1400)+'Cálculos'!$C$122)*'Cálculos'!$C$232+'Cálculos'!$C$125*(1+2.78*('Cálculos'!$C$197+(($C21)-$A$6:$A$51)*'Cálculos'!$C$98)/(('Cálculos'!$C$197+(($C21)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21)-$A$6:$A$51)*'Cálculos'!$C$98)/(('Cálculos'!$C$198+(($C21)-$A$6:$A$51)*'Cálculos'!$C$98)+1400)+'Cálculos'!$C$122)*'Cálculos'!$C$244+'Cálculos'!$C$125*(1+2.78*('Cálculos'!$C$198+(($C21)-$A$6:$A$51)*'Cálculos'!$C$98)/(('Cálculos'!$C$198+(($C21)-$A$6:$A$51)*'Cálculos'!$C$98)+1400)+'Cálculos'!$C$123)*'Cálculos'!$C$249)+('Cálculos'!$C$198+(($C21)-$A$6:$A$51)*'Cálculos'!$C$98)*('Cálculos'!$C$240+'Cálculos'!$C$124*(1+2.78*('Cálculos'!$C$198+(($C21)-$A$6:$A$51)*'Cálculos'!$C$98)/(('Cálculos'!$C$198+(($C21)-$A$6:$A$51)*'Cálculos'!$C$98)+1400)+'Cálculos'!$C$122)*'Cálculos'!$C$245+'Cálculos'!$C$125*(1+2.78*('Cálculos'!$C$198+(($C21)-$A$6:$A$51)*'Cálculos'!$C$98)/(('Cálculos'!$C$198+(($C21)-$A$6:$A$51)*'Cálculos'!$C$98)+1400)+'Cálculos'!$C$123)*'Cálculos'!$C$250)+('Cálculos'!$C$201*(1+'Cálculos'!$C$202+$A$6:$A$51*('Cálculos'!$C$290=2)*'Cálculos'!$C$101)+'Cálculos'!$C$203)*('Cálculos'!$C$241+'Cálculos'!$C$124*(1+2.78*('Cálculos'!$C$198+(($C21)-$A$6:$A$51)*'Cálculos'!$C$98)/(('Cálculos'!$C$198+(($C21)-$A$6:$A$51)*'Cálculos'!$C$98)+1400)+'Cálculos'!$C$122)*'Cálculos'!$C$246+'Cálculos'!$C$125*(1+2.78*('Cálculos'!$C$198+(($C21)-$A$6:$A$51)*'Cálculos'!$C$98)/(('Cálculos'!$C$198+(($C21)-$A$6:$A$51)*'Cálculos'!$C$98)+1400)+'Cálculos'!$C$123)*'Cálculos'!$C$251)+('Cálculos'!$C$204*(1+'Cálculos'!$C$205+$A$6:$A$51*('Cálculos'!$C$290=3)*'Cálculos'!$C$103)+'Cálculos'!$C$206)*('Cálculos'!$C$242+'Cálculos'!$C$124*(1+2.78*('Cálculos'!$C$198+(($C21)-$A$6:$A$51)*'Cálculos'!$C$98)/(('Cálculos'!$C$198+(($C21)-$A$6:$A$51)*'Cálculos'!$C$98)+1400)+'Cálculos'!$C$122)*'Cálculos'!$C$247+'Cálculos'!$C$125*(1+2.78*('Cálculos'!$C$198+(($C21)-$A$6:$A$51)*'Cálculos'!$C$98)/(('Cálculos'!$C$198+(($C21)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21)-$A$6:$A$51)*'Cálculos'!$C$98)/(('Cálculos'!$C$199+(($C21)-$A$6:$A$51)*'Cálculos'!$C$98)+1400)+'Cálculos'!$C$122)*'Cálculos'!$C$259+'Cálculos'!$C$125*(1+2.78*('Cálculos'!$C$199+(($C21)-$A$6:$A$51)*'Cálculos'!$C$98)/(('Cálculos'!$C$199+(($C21)-$A$6:$A$51)*'Cálculos'!$C$98)+1400)+'Cálculos'!$C$123)*'Cálculos'!$C$264)+('Cálculos'!$C$199+(($C21)-$A$6:$A$51)*'Cálculos'!$C$98)*('Cálculos'!$C$255+'Cálculos'!$C$124*(1+2.78*('Cálculos'!$C$199+(($C21)-$A$6:$A$51)*'Cálculos'!$C$98)/(('Cálculos'!$C$199+(($C21)-$A$6:$A$51)*'Cálculos'!$C$98)+1400)+'Cálculos'!$C$122)*'Cálculos'!$C$260+'Cálculos'!$C$125*(1+2.78*('Cálculos'!$C$199+(($C21)-$A$6:$A$51)*'Cálculos'!$C$98)/(('Cálculos'!$C$199+(($C21)-$A$6:$A$51)*'Cálculos'!$C$98)+1400)+'Cálculos'!$C$123)*'Cálculos'!$C$265)+('Cálculos'!$C$201*(1+'Cálculos'!$C$202+$A$6:$A$51*('Cálculos'!$C$290=2)*'Cálculos'!$C$101)+'Cálculos'!$C$203)*('Cálculos'!$C$256+'Cálculos'!$C$124*(1+2.78*('Cálculos'!$C$199+(($C21)-$A$6:$A$51)*'Cálculos'!$C$98)/(('Cálculos'!$C$199+(($C21)-$A$6:$A$51)*'Cálculos'!$C$98)+1400)+'Cálculos'!$C$122)*'Cálculos'!$C$261+'Cálculos'!$C$125*(1+2.78*('Cálculos'!$C$199+(($C21)-$A$6:$A$51)*'Cálculos'!$C$98)/(('Cálculos'!$C$199+(($C21)-$A$6:$A$51)*'Cálculos'!$C$98)+1400)+'Cálculos'!$C$123)*'Cálculos'!$C$266)+('Cálculos'!$C$204*(1+'Cálculos'!$C$205+$A$6:$A$51*('Cálculos'!$C$290=3)*'Cálculos'!$C$103)+'Cálculos'!$C$206)*('Cálculos'!$C$257+'Cálculos'!$C$124*(1+2.78*('Cálculos'!$C$199+(($C21)-$A$6:$A$51)*'Cálculos'!$C$98)/(('Cálculos'!$C$199+(($C21)-$A$6:$A$51)*'Cálculos'!$C$98)+1400)+'Cálculos'!$C$122)*'Cálculos'!$C$262+'Cálculos'!$C$125*(1+2.78*('Cálculos'!$C$199+(($C21)-$A$6:$A$51)*'Cálculos'!$C$98)/(('Cálculos'!$C$199+(($C21)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21)-$A$6:$A$51)*'Cálculos'!$C$98)/(('Cálculos'!$C$200+(($C21)-$A$6:$A$51)*'Cálculos'!$C$98)+1400)+'Cálculos'!$C$122)*'Cálculos'!$C$274+'Cálculos'!$C$125*(1+2.78*('Cálculos'!$C$200+(($C21)-$A$6:$A$51)*'Cálculos'!$C$98)/(('Cálculos'!$C$200+(($C21)-$A$6:$A$51)*'Cálculos'!$C$98)+1400)+'Cálculos'!$C$123)*'Cálculos'!$C$279)+('Cálculos'!$C$200+(($C21)-$A$6:$A$51)*'Cálculos'!$C$98)*('Cálculos'!$C$270+'Cálculos'!$C$124*(1+2.78*('Cálculos'!$C$200+(($C21)-$A$6:$A$51)*'Cálculos'!$C$98)/(('Cálculos'!$C$200+(($C21)-$A$6:$A$51)*'Cálculos'!$C$98)+1400)+'Cálculos'!$C$122)*'Cálculos'!$C$275+'Cálculos'!$C$125*(1+2.78*('Cálculos'!$C$200+(($C21)-$A$6:$A$51)*'Cálculos'!$C$98)/(('Cálculos'!$C$200+(($C21)-$A$6:$A$51)*'Cálculos'!$C$98)+1400)+'Cálculos'!$C$123)*'Cálculos'!$C$280)+('Cálculos'!$C$201*(1+'Cálculos'!$C$202+$A$6:$A$51*('Cálculos'!$C$290=2)*'Cálculos'!$C$101)+'Cálculos'!$C$203)*('Cálculos'!$C$271+'Cálculos'!$C$124*(1+2.78*('Cálculos'!$C$200+(($C21)-$A$6:$A$51)*'Cálculos'!$C$98)/(('Cálculos'!$C$200+(($C21)-$A$6:$A$51)*'Cálculos'!$C$98)+1400)+'Cálculos'!$C$122)*'Cálculos'!$C$276+'Cálculos'!$C$125*(1+2.78*('Cálculos'!$C$200+(($C21)-$A$6:$A$51)*'Cálculos'!$C$98)/(('Cálculos'!$C$200+(($C21)-$A$6:$A$51)*'Cálculos'!$C$98)+1400)+'Cálculos'!$C$123)*'Cálculos'!$C$281)+('Cálculos'!$C$204*(1+'Cálculos'!$C$205+$A$6:$A$51*('Cálculos'!$C$290=3)*'Cálculos'!$C$103)+'Cálculos'!$C$206)*('Cálculos'!$C$272+'Cálculos'!$C$124*(1+2.78*('Cálculos'!$C$200+(($C21)-$A$6:$A$51)*'Cálculos'!$C$98)/(('Cálculos'!$C$200+(($C21)-$A$6:$A$51)*'Cálculos'!$C$98)+1400)+'Cálculos'!$C$122)*'Cálculos'!$C$277+'Cálculos'!$C$125*(1+2.78*('Cálculos'!$C$200+(($C21)-$A$6:$A$51)*'Cálculos'!$C$98)/(('Cálculos'!$C$200+(($C21)-$A$6:$A$51)*'Cálculos'!$C$98)+1400)+'Cálculos'!$C$123)*'Cálculos'!$C$282)))))</f>
        <v>1109009.775</v>
      </c>
      <c r="E21" s="32">
        <f>IF(OR($C21&lt;0,'Cálculos'!$C$6=""),0,$B21*$D21)</f>
        <v>3579027.399</v>
      </c>
      <c r="F21" s="2"/>
      <c r="G21" s="30">
        <f>($A21&lt;=$B$53)*($A21&lt;='Cálculos'!$C$294)*(($B$53)-$A21&lt;='Cálculos'!$C$295)*(1+MIN(('Cálculos'!$C$207+$A21*'Cálculos'!$C$95),1)*('Cálculos'!$C$208+(($B$53)-$A21)*'Cálculos'!$C$96))</f>
        <v>3.054</v>
      </c>
      <c r="H21" s="31">
        <f>IF($B$54&lt;0,0,($A21&lt;=$B$54)*($A21&lt;='Cálculos'!$C$301)*(($B$54)-$A21&lt;='Cálculos'!$C$297)*(('Cálculos'!$C$185*(1+'Cálculos'!$C$186+$A21*('Cálculos'!$C$290=1)*'Cálculos'!$C$97+'Cálculos'!$C$305)+'Cálculos'!$C$191)*('Cálculos'!$C$209+'Cálculos'!$C$124*(1+2.78*('Cálculos'!$C$196+(($B$54)-$A21)*'Cálculos'!$C$98)/(('Cálculos'!$C$196+(($B$54)-$A21)*'Cálculos'!$C$98)+1400)+'Cálculos'!$C$122)*'Cálculos'!$C$214+'Cálculos'!$C$125*(1+2.78*('Cálculos'!$C$196+(($B$54)-$A21)*'Cálculos'!$C$98)/(('Cálculos'!$C$196+(($B$54)-$A21)*'Cálculos'!$C$98)+1400)+'Cálculos'!$C$123)*'Cálculos'!$C$219)+('Cálculos'!$C$196+(($B$54)-$A21)*'Cálculos'!$C$98)*('Cálculos'!$C$210+'Cálculos'!$C$124*(1+2.78*('Cálculos'!$C$196+(($B$54)-$A21)*'Cálculos'!$C$98)/(('Cálculos'!$C$196+(($B$54)-$A21)*'Cálculos'!$C$98)+1400)+'Cálculos'!$C$122)*'Cálculos'!$C$215+'Cálculos'!$C$125*(1+2.78*('Cálculos'!$C$196+(($B$54)-$A21)*'Cálculos'!$C$98)/(('Cálculos'!$C$196+(($B$54)-$A21)*'Cálculos'!$C$98)+1400)+'Cálculos'!$C$123)*'Cálculos'!$C$220)+('Cálculos'!$C$201*(1+'Cálculos'!$C$202+$A21*('Cálculos'!$C$290=2)*'Cálculos'!$C$101)+'Cálculos'!$C$203)*('Cálculos'!$C$211+'Cálculos'!$C$124*(1+2.78*('Cálculos'!$C$196+(($B$54)-$A21)*'Cálculos'!$C$98)/(('Cálculos'!$C$196+(($B$54)-$A21)*'Cálculos'!$C$98)+1400)+'Cálculos'!$C$122)*'Cálculos'!$C$216+'Cálculos'!$C$125*(1+2.78*('Cálculos'!$C$196+(($B$54)-$A21)*'Cálculos'!$C$98)/(('Cálculos'!$C$196+(($B$54)-$A21)*'Cálculos'!$C$98)+1400)+'Cálculos'!$C$123)*'Cálculos'!$C$221)+('Cálculos'!$C$204*(1+'Cálculos'!$C$205+$A21*('Cálculos'!$C$290=3)*'Cálculos'!$C$103)+'Cálculos'!$C$206)*('Cálculos'!$C$212+'Cálculos'!$C$124*(1+2.78*('Cálculos'!$C$196+(($B$54)-$A21)*'Cálculos'!$C$98)/(('Cálculos'!$C$196+(($B$54)-$A21)*'Cálculos'!$C$98)+1400)+'Cálculos'!$C$122)*'Cálculos'!$C$217+'Cálculos'!$C$125*(1+2.78*('Cálculos'!$C$196+(($B$54)-$A21)*'Cálculos'!$C$98)/(('Cálculos'!$C$196+(($B$54)-$A21)*'Cálculos'!$C$98)+1400)+'Cálculos'!$C$123)*'Cálculos'!$C$222)+('Cálculos'!$C$185*(1+'Cálculos'!$C$187+$A21*('Cálculos'!$C$290=1)*'Cálculos'!$C$97+'Cálculos'!$C$305)+'Cálculos'!$C$192)*('Cálculos'!$C$224+'Cálculos'!$C$124*(1+2.78*('Cálculos'!$C$197+(($B$54)-$A21)*'Cálculos'!$C$98)/(('Cálculos'!$C$197+(($B$54)-$A21)*'Cálculos'!$C$98)+1400)+'Cálculos'!$C$122)*'Cálculos'!$C$229+'Cálculos'!$C$125*(1+2.78*('Cálculos'!$C$197+(($B$54)-$A21)*'Cálculos'!$C$98)/(('Cálculos'!$C$197+(($B$54)-$A21)*'Cálculos'!$C$98)+1400)+'Cálculos'!$C$123)*'Cálculos'!$C$234)+('Cálculos'!$C$197+(($B$54)-$A21)*'Cálculos'!$C$98)*('Cálculos'!$C$225+'Cálculos'!$C$124*(1+2.78*('Cálculos'!$C$197+(($B$54)-$A21)*'Cálculos'!$C$98)/(('Cálculos'!$C$197+(($B$54)-$A21)*'Cálculos'!$C$98)+1400)+'Cálculos'!$C$122)*'Cálculos'!$C$230+'Cálculos'!$C$125*(1+2.78*('Cálculos'!$C$197+(($B$54)-$A21)*'Cálculos'!$C$98)/(('Cálculos'!$C$197+(($B$54)-$A21)*'Cálculos'!$C$98)+1400)+'Cálculos'!$C$123)*'Cálculos'!$C$235)+('Cálculos'!$C$201*(1+'Cálculos'!$C$202+$A21*('Cálculos'!$C$290=2)*'Cálculos'!$C$101)+'Cálculos'!$C$203)*('Cálculos'!$C$226+'Cálculos'!$C$124*(1+2.78*('Cálculos'!$C$197+(($B$54)-$A21)*'Cálculos'!$C$98)/(('Cálculos'!$C$197+(($B$54)-$A21)*'Cálculos'!$C$98)+1400)+'Cálculos'!$C$122)*'Cálculos'!$C$231+'Cálculos'!$C$125*(1+2.78*('Cálculos'!$C$197+(($B$54)-$A21)*'Cálculos'!$C$98)/(('Cálculos'!$C$197+(($B$54)-$A21)*'Cálculos'!$C$98)+1400)+'Cálculos'!$C$123)*'Cálculos'!$C$236)+('Cálculos'!$C$204*(1+'Cálculos'!$C$205+$A21*('Cálculos'!$C$290=3)*'Cálculos'!$C$103)+'Cálculos'!$C$206)*('Cálculos'!$C$227+'Cálculos'!$C$124*(1+2.78*('Cálculos'!$C$197+(($B$54)-$A21)*'Cálculos'!$C$98)/(('Cálculos'!$C$197+(($B$54)-$A21)*'Cálculos'!$C$98)+1400)+'Cálculos'!$C$122)*'Cálculos'!$C$232+'Cálculos'!$C$125*(1+2.78*('Cálculos'!$C$197+(($B$54)-$A21)*'Cálculos'!$C$98)/(('Cálculos'!$C$197+(($B$54)-$A21)*'Cálculos'!$C$98)+1400)+'Cálculos'!$C$123)*'Cálculos'!$C$237)+('Cálculos'!$C$185*(1+'Cálculos'!$C$188+$A21*('Cálculos'!$C$290=1)*'Cálculos'!$C$97+'Cálculos'!$C$305)+'Cálculos'!$C$193)*('Cálculos'!$C$239+'Cálculos'!$C$124*(1+2.78*('Cálculos'!$C$198+(($B$54)-$A21)*'Cálculos'!$C$98)/(('Cálculos'!$C$198+(($B$54)-$A21)*'Cálculos'!$C$98)+1400)+'Cálculos'!$C$122)*'Cálculos'!$C$244+'Cálculos'!$C$125*(1+2.78*('Cálculos'!$C$198+(($B$54)-$A21)*'Cálculos'!$C$98)/(('Cálculos'!$C$198+(($B$54)-$A21)*'Cálculos'!$C$98)+1400)+'Cálculos'!$C$123)*'Cálculos'!$C$249)+('Cálculos'!$C$198+(($B$54)-$A21)*'Cálculos'!$C$98)*('Cálculos'!$C$240+'Cálculos'!$C$124*(1+2.78*('Cálculos'!$C$198+(($B$54)-$A21)*'Cálculos'!$C$98)/(('Cálculos'!$C$198+(($B$54)-$A21)*'Cálculos'!$C$98)+1400)+'Cálculos'!$C$122)*'Cálculos'!$C$245+'Cálculos'!$C$125*(1+2.78*('Cálculos'!$C$198+(($B$54)-$A21)*'Cálculos'!$C$98)/(('Cálculos'!$C$198+(($B$54)-$A21)*'Cálculos'!$C$98)+1400)+'Cálculos'!$C$123)*'Cálculos'!$C$250)+('Cálculos'!$C$201*(1+'Cálculos'!$C$202+$A21*('Cálculos'!$C$290=2)*'Cálculos'!$C$101)+'Cálculos'!$C$203)*('Cálculos'!$C$241+'Cálculos'!$C$124*(1+2.78*('Cálculos'!$C$198+(($B$54)-$A21)*'Cálculos'!$C$98)/(('Cálculos'!$C$198+(($B$54)-$A21)*'Cálculos'!$C$98)+1400)+'Cálculos'!$C$122)*'Cálculos'!$C$246+'Cálculos'!$C$125*(1+2.78*('Cálculos'!$C$198+(($B$54)-$A21)*'Cálculos'!$C$98)/(('Cálculos'!$C$198+(($B$54)-$A21)*'Cálculos'!$C$98)+1400)+'Cálculos'!$C$123)*'Cálculos'!$C$251)+('Cálculos'!$C$204*(1+'Cálculos'!$C$205+$A21*('Cálculos'!$C$290=3)*'Cálculos'!$C$103)+'Cálculos'!$C$206)*('Cálculos'!$C$242+'Cálculos'!$C$124*(1+2.78*('Cálculos'!$C$198+(($B$54)-$A21)*'Cálculos'!$C$98)/(('Cálculos'!$C$198+(($B$54)-$A21)*'Cálculos'!$C$98)+1400)+'Cálculos'!$C$122)*'Cálculos'!$C$247+'Cálculos'!$C$125*(1+2.78*('Cálculos'!$C$198+(($B$54)-$A21)*'Cálculos'!$C$98)/(('Cálculos'!$C$198+(($B$54)-$A21)*'Cálculos'!$C$98)+1400)+'Cálculos'!$C$123)*'Cálculos'!$C$252)+('Cálculos'!$C$185*(1+'Cálculos'!$C$189+$A21*('Cálculos'!$C$290=1)*'Cálculos'!$C$97+'Cálculos'!$C$305)+'Cálculos'!$C$194)*('Cálculos'!$C$254+'Cálculos'!$C$124*(1+2.78*('Cálculos'!$C$199+(($B$54)-$A21)*'Cálculos'!$C$98)/(('Cálculos'!$C$199+(($B$54)-$A21)*'Cálculos'!$C$98)+1400)+'Cálculos'!$C$122)*'Cálculos'!$C$259+'Cálculos'!$C$125*(1+2.78*('Cálculos'!$C$199+(($B$54)-$A21)*'Cálculos'!$C$98)/(('Cálculos'!$C$199+(($B$54)-$A21)*'Cálculos'!$C$98)+1400)+'Cálculos'!$C$123)*'Cálculos'!$C$264)+('Cálculos'!$C$199+(($B$54)-$A21)*'Cálculos'!$C$98)*('Cálculos'!$C$255+'Cálculos'!$C$124*(1+2.78*('Cálculos'!$C$199+(($B$54)-$A21)*'Cálculos'!$C$98)/(('Cálculos'!$C$199+(($B$54)-$A21)*'Cálculos'!$C$98)+1400)+'Cálculos'!$C$122)*'Cálculos'!$C$260+'Cálculos'!$C$125*(1+2.78*('Cálculos'!$C$199+(($B$54)-$A21)*'Cálculos'!$C$98)/(('Cálculos'!$C$199+(($B$54)-$A21)*'Cálculos'!$C$98)+1400)+'Cálculos'!$C$123)*'Cálculos'!$C$265)+('Cálculos'!$C$201*(1+'Cálculos'!$C$202+$A21*('Cálculos'!$C$290=2)*'Cálculos'!$C$101)+'Cálculos'!$C$203)*('Cálculos'!$C$256+'Cálculos'!$C$124*(1+2.78*('Cálculos'!$C$199+(($B$54)-$A21)*'Cálculos'!$C$98)/(('Cálculos'!$C$199+(($B$54)-$A21)*'Cálculos'!$C$98)+1400)+'Cálculos'!$C$122)*'Cálculos'!$C$261+'Cálculos'!$C$125*(1+2.78*('Cálculos'!$C$199+(($B$54)-$A21)*'Cálculos'!$C$98)/(('Cálculos'!$C$199+(($B$54)-$A21)*'Cálculos'!$C$98)+1400)+'Cálculos'!$C$123)*'Cálculos'!$C$266)+('Cálculos'!$C$204*(1+'Cálculos'!$C$205+$A21*('Cálculos'!$C$290=3)*'Cálculos'!$C$103)+'Cálculos'!$C$206)*('Cálculos'!$C$257+'Cálculos'!$C$124*(1+2.78*('Cálculos'!$C$199+(($B$54)-$A21)*'Cálculos'!$C$98)/(('Cálculos'!$C$199+(($B$54)-$A21)*'Cálculos'!$C$98)+1400)+'Cálculos'!$C$122)*'Cálculos'!$C$262+'Cálculos'!$C$125*(1+2.78*('Cálculos'!$C$199+(($B$54)-$A21)*'Cálculos'!$C$98)/(('Cálculos'!$C$199+(($B$54)-$A21)*'Cálculos'!$C$98)+1400)+'Cálculos'!$C$123)*'Cálculos'!$C$267)+('Cálculos'!$C$185*(1+'Cálculos'!$C$190+$A21*('Cálculos'!$C$290=1)*'Cálculos'!$C$97+'Cálculos'!$C$305)+'Cálculos'!$C$195)*('Cálculos'!$C$269+'Cálculos'!$C$124*(1+2.78*('Cálculos'!$C$200+(($B$54)-$A21)*'Cálculos'!$C$98)/(('Cálculos'!$C$200+(($B$54)-$A21)*'Cálculos'!$C$98)+1400)+'Cálculos'!$C$122)*'Cálculos'!$C$274+'Cálculos'!$C$125*(1+2.78*('Cálculos'!$C$200+(($B$54)-$A21)*'Cálculos'!$C$98)/(('Cálculos'!$C$200+(($B$54)-$A21)*'Cálculos'!$C$98)+1400)+'Cálculos'!$C$123)*'Cálculos'!$C$279)+('Cálculos'!$C$200+(($B$54)-$A21)*'Cálculos'!$C$98)*('Cálculos'!$C$270+'Cálculos'!$C$124*(1+2.78*('Cálculos'!$C$200+(($B$54)-$A21)*'Cálculos'!$C$98)/(('Cálculos'!$C$200+(($B$54)-$A21)*'Cálculos'!$C$98)+1400)+'Cálculos'!$C$122)*'Cálculos'!$C$275+'Cálculos'!$C$125*(1+2.78*('Cálculos'!$C$200+(($B$54)-$A21)*'Cálculos'!$C$98)/(('Cálculos'!$C$200+(($B$54)-$A21)*'Cálculos'!$C$98)+1400)+'Cálculos'!$C$123)*'Cálculos'!$C$280)+('Cálculos'!$C$201*(1+'Cálculos'!$C$202+$A21*('Cálculos'!$C$290=2)*'Cálculos'!$C$101)+'Cálculos'!$C$203)*('Cálculos'!$C$271+'Cálculos'!$C$124*(1+2.78*('Cálculos'!$C$200+(($B$54)-$A21)*'Cálculos'!$C$98)/(('Cálculos'!$C$200+(($B$54)-$A21)*'Cálculos'!$C$98)+1400)+'Cálculos'!$C$122)*'Cálculos'!$C$276+'Cálculos'!$C$125*(1+2.78*('Cálculos'!$C$200+(($B$54)-$A21)*'Cálculos'!$C$98)/(('Cálculos'!$C$200+(($B$54)-$A21)*'Cálculos'!$C$98)+1400)+'Cálculos'!$C$123)*'Cálculos'!$C$281)+('Cálculos'!$C$204*(1+'Cálculos'!$C$205+$A21*('Cálculos'!$C$290=3)*'Cálculos'!$C$103)+'Cálculos'!$C$206)*('Cálculos'!$C$272+'Cálculos'!$C$124*(1+2.78*('Cálculos'!$C$200+(($B$54)-$A21)*'Cálculos'!$C$98)/(('Cálculos'!$C$200+(($B$54)-$A21)*'Cálculos'!$C$98)+1400)+'Cálculos'!$C$122)*'Cálculos'!$C$277+'Cálculos'!$C$125*(1+2.78*('Cálculos'!$C$200+(($B$54)-$A21)*'Cálculos'!$C$98)/(('Cálculos'!$C$200+(($B$54)-$A21)*'Cálculos'!$C$98)+1400)+'Cálculos'!$C$123)*'Cálculos'!$C$282)))</f>
        <v>0</v>
      </c>
    </row>
    <row r="22" ht="15.75" customHeight="1">
      <c r="A22" s="2">
        <v>16.0</v>
      </c>
      <c r="B22" s="30">
        <f>SUMPRODUCT(MAX(($A$6:$A$51&lt;=$A22)*($A$6:$A$51&lt;='Cálculos'!$C$294)*(($A22)-$A$6:$A$51&lt;='Cálculos'!$C$295)*(1+(('Cálculos'!$C$207+$A$6:$A$51*'Cálculos'!$C$95)-(('Cálculos'!$C$207+$A$6:$A$51*'Cálculos'!$C$95)&gt;1)*(('Cálculos'!$C$207+$A$6:$A$51*'Cálculos'!$C$95)-1))*('Cálculos'!$C$208+(($A22)-$A$6:$A$51)*'Cálculos'!$C$96))))</f>
        <v>3.292502</v>
      </c>
      <c r="C22" s="2">
        <f>'Cálculos'!$C$303-$A22</f>
        <v>4</v>
      </c>
      <c r="D22" s="31">
        <f>IF($C22&lt;0,0,SUMPRODUCT(MAX(($A$6:$A$51&lt;=$C22)*($A$6:$A$51&lt;='Cálculos'!$C$301)*(($C22)-$A$6:$A$51&lt;='Cálculos'!$C$297)*(('Cálculos'!$C$185*(1+'Cálculos'!$C$186+$A$6:$A$51*('Cálculos'!$C$290=1)*'Cálculos'!$C$97+'Cálculos'!$C$305)+'Cálculos'!$C$191)*('Cálculos'!$C$209+'Cálculos'!$C$124*(1+2.78*('Cálculos'!$C$196+(($C22)-$A$6:$A$51)*'Cálculos'!$C$98)/(('Cálculos'!$C$196+(($C22)-$A$6:$A$51)*'Cálculos'!$C$98)+1400)+'Cálculos'!$C$122)*'Cálculos'!$C$214+'Cálculos'!$C$125*(1+2.78*('Cálculos'!$C$196+(($C22)-$A$6:$A$51)*'Cálculos'!$C$98)/(('Cálculos'!$C$196+(($C22)-$A$6:$A$51)*'Cálculos'!$C$98)+1400)+'Cálculos'!$C$123)*'Cálculos'!$C$219)+('Cálculos'!$C$196+(($C22)-$A$6:$A$51)*'Cálculos'!$C$98)*('Cálculos'!$C$210+'Cálculos'!$C$124*(1+2.78*('Cálculos'!$C$196+(($C22)-$A$6:$A$51)*'Cálculos'!$C$98)/(('Cálculos'!$C$196+(($C22)-$A$6:$A$51)*'Cálculos'!$C$98)+1400)+'Cálculos'!$C$122)*'Cálculos'!$C$215+'Cálculos'!$C$125*(1+2.78*('Cálculos'!$C$196+(($C22)-$A$6:$A$51)*'Cálculos'!$C$98)/(('Cálculos'!$C$196+(($C22)-$A$6:$A$51)*'Cálculos'!$C$98)+1400)+'Cálculos'!$C$123)*'Cálculos'!$C$220)+('Cálculos'!$C$201*(1+'Cálculos'!$C$202+$A$6:$A$51*('Cálculos'!$C$290=2)*'Cálculos'!$C$101)+'Cálculos'!$C$203)*('Cálculos'!$C$211+'Cálculos'!$C$124*(1+2.78*('Cálculos'!$C$196+(($C22)-$A$6:$A$51)*'Cálculos'!$C$98)/(('Cálculos'!$C$196+(($C22)-$A$6:$A$51)*'Cálculos'!$C$98)+1400)+'Cálculos'!$C$122)*'Cálculos'!$C$216+'Cálculos'!$C$125*(1+2.78*('Cálculos'!$C$196+(($C22)-$A$6:$A$51)*'Cálculos'!$C$98)/(('Cálculos'!$C$196+(($C22)-$A$6:$A$51)*'Cálculos'!$C$98)+1400)+'Cálculos'!$C$123)*'Cálculos'!$C$221)+('Cálculos'!$C$204*(1+'Cálculos'!$C$205+$A$6:$A$51*('Cálculos'!$C$290=3)*'Cálculos'!$C$103)+'Cálculos'!$C$206)*('Cálculos'!$C$212+'Cálculos'!$C$124*(1+2.78*('Cálculos'!$C$196+(($C22)-$A$6:$A$51)*'Cálculos'!$C$98)/(('Cálculos'!$C$196+(($C22)-$A$6:$A$51)*'Cálculos'!$C$98)+1400)+'Cálculos'!$C$122)*'Cálculos'!$C$217+'Cálculos'!$C$125*(1+2.78*('Cálculos'!$C$196+(($C22)-$A$6:$A$51)*'Cálculos'!$C$98)/(('Cálculos'!$C$196+(($C22)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22)-$A$6:$A$51)*'Cálculos'!$C$98)/(('Cálculos'!$C$197+(($C22)-$A$6:$A$51)*'Cálculos'!$C$98)+1400)+'Cálculos'!$C$122)*'Cálculos'!$C$229+'Cálculos'!$C$125*(1+2.78*('Cálculos'!$C$197+(($C22)-$A$6:$A$51)*'Cálculos'!$C$98)/(('Cálculos'!$C$197+(($C22)-$A$6:$A$51)*'Cálculos'!$C$98)+1400)+'Cálculos'!$C$123)*'Cálculos'!$C$234)+('Cálculos'!$C$197+(($C22)-$A$6:$A$51)*'Cálculos'!$C$98)*('Cálculos'!$C$225+'Cálculos'!$C$124*(1+2.78*('Cálculos'!$C$197+(($C22)-$A$6:$A$51)*'Cálculos'!$C$98)/(('Cálculos'!$C$197+(($C22)-$A$6:$A$51)*'Cálculos'!$C$98)+1400)+'Cálculos'!$C$122)*'Cálculos'!$C$230+'Cálculos'!$C$125*(1+2.78*('Cálculos'!$C$197+(($C22)-$A$6:$A$51)*'Cálculos'!$C$98)/(('Cálculos'!$C$197+(($C22)-$A$6:$A$51)*'Cálculos'!$C$98)+1400)+'Cálculos'!$C$123)*'Cálculos'!$C$235)+('Cálculos'!$C$201*(1+'Cálculos'!$C$202+$A$6:$A$51*('Cálculos'!$C$290=2)*'Cálculos'!$C$101)+'Cálculos'!$C$203)*('Cálculos'!$C$226+'Cálculos'!$C$124*(1+2.78*('Cálculos'!$C$197+(($C22)-$A$6:$A$51)*'Cálculos'!$C$98)/(('Cálculos'!$C$197+(($C22)-$A$6:$A$51)*'Cálculos'!$C$98)+1400)+'Cálculos'!$C$122)*'Cálculos'!$C$231+'Cálculos'!$C$125*(1+2.78*('Cálculos'!$C$197+(($C22)-$A$6:$A$51)*'Cálculos'!$C$98)/(('Cálculos'!$C$197+(($C22)-$A$6:$A$51)*'Cálculos'!$C$98)+1400)+'Cálculos'!$C$123)*'Cálculos'!$C$236)+('Cálculos'!$C$204*(1+'Cálculos'!$C$205+$A$6:$A$51*('Cálculos'!$C$290=3)*'Cálculos'!$C$103)+'Cálculos'!$C$206)*('Cálculos'!$C$227+'Cálculos'!$C$124*(1+2.78*('Cálculos'!$C$197+(($C22)-$A$6:$A$51)*'Cálculos'!$C$98)/(('Cálculos'!$C$197+(($C22)-$A$6:$A$51)*'Cálculos'!$C$98)+1400)+'Cálculos'!$C$122)*'Cálculos'!$C$232+'Cálculos'!$C$125*(1+2.78*('Cálculos'!$C$197+(($C22)-$A$6:$A$51)*'Cálculos'!$C$98)/(('Cálculos'!$C$197+(($C22)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22)-$A$6:$A$51)*'Cálculos'!$C$98)/(('Cálculos'!$C$198+(($C22)-$A$6:$A$51)*'Cálculos'!$C$98)+1400)+'Cálculos'!$C$122)*'Cálculos'!$C$244+'Cálculos'!$C$125*(1+2.78*('Cálculos'!$C$198+(($C22)-$A$6:$A$51)*'Cálculos'!$C$98)/(('Cálculos'!$C$198+(($C22)-$A$6:$A$51)*'Cálculos'!$C$98)+1400)+'Cálculos'!$C$123)*'Cálculos'!$C$249)+('Cálculos'!$C$198+(($C22)-$A$6:$A$51)*'Cálculos'!$C$98)*('Cálculos'!$C$240+'Cálculos'!$C$124*(1+2.78*('Cálculos'!$C$198+(($C22)-$A$6:$A$51)*'Cálculos'!$C$98)/(('Cálculos'!$C$198+(($C22)-$A$6:$A$51)*'Cálculos'!$C$98)+1400)+'Cálculos'!$C$122)*'Cálculos'!$C$245+'Cálculos'!$C$125*(1+2.78*('Cálculos'!$C$198+(($C22)-$A$6:$A$51)*'Cálculos'!$C$98)/(('Cálculos'!$C$198+(($C22)-$A$6:$A$51)*'Cálculos'!$C$98)+1400)+'Cálculos'!$C$123)*'Cálculos'!$C$250)+('Cálculos'!$C$201*(1+'Cálculos'!$C$202+$A$6:$A$51*('Cálculos'!$C$290=2)*'Cálculos'!$C$101)+'Cálculos'!$C$203)*('Cálculos'!$C$241+'Cálculos'!$C$124*(1+2.78*('Cálculos'!$C$198+(($C22)-$A$6:$A$51)*'Cálculos'!$C$98)/(('Cálculos'!$C$198+(($C22)-$A$6:$A$51)*'Cálculos'!$C$98)+1400)+'Cálculos'!$C$122)*'Cálculos'!$C$246+'Cálculos'!$C$125*(1+2.78*('Cálculos'!$C$198+(($C22)-$A$6:$A$51)*'Cálculos'!$C$98)/(('Cálculos'!$C$198+(($C22)-$A$6:$A$51)*'Cálculos'!$C$98)+1400)+'Cálculos'!$C$123)*'Cálculos'!$C$251)+('Cálculos'!$C$204*(1+'Cálculos'!$C$205+$A$6:$A$51*('Cálculos'!$C$290=3)*'Cálculos'!$C$103)+'Cálculos'!$C$206)*('Cálculos'!$C$242+'Cálculos'!$C$124*(1+2.78*('Cálculos'!$C$198+(($C22)-$A$6:$A$51)*'Cálculos'!$C$98)/(('Cálculos'!$C$198+(($C22)-$A$6:$A$51)*'Cálculos'!$C$98)+1400)+'Cálculos'!$C$122)*'Cálculos'!$C$247+'Cálculos'!$C$125*(1+2.78*('Cálculos'!$C$198+(($C22)-$A$6:$A$51)*'Cálculos'!$C$98)/(('Cálculos'!$C$198+(($C22)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22)-$A$6:$A$51)*'Cálculos'!$C$98)/(('Cálculos'!$C$199+(($C22)-$A$6:$A$51)*'Cálculos'!$C$98)+1400)+'Cálculos'!$C$122)*'Cálculos'!$C$259+'Cálculos'!$C$125*(1+2.78*('Cálculos'!$C$199+(($C22)-$A$6:$A$51)*'Cálculos'!$C$98)/(('Cálculos'!$C$199+(($C22)-$A$6:$A$51)*'Cálculos'!$C$98)+1400)+'Cálculos'!$C$123)*'Cálculos'!$C$264)+('Cálculos'!$C$199+(($C22)-$A$6:$A$51)*'Cálculos'!$C$98)*('Cálculos'!$C$255+'Cálculos'!$C$124*(1+2.78*('Cálculos'!$C$199+(($C22)-$A$6:$A$51)*'Cálculos'!$C$98)/(('Cálculos'!$C$199+(($C22)-$A$6:$A$51)*'Cálculos'!$C$98)+1400)+'Cálculos'!$C$122)*'Cálculos'!$C$260+'Cálculos'!$C$125*(1+2.78*('Cálculos'!$C$199+(($C22)-$A$6:$A$51)*'Cálculos'!$C$98)/(('Cálculos'!$C$199+(($C22)-$A$6:$A$51)*'Cálculos'!$C$98)+1400)+'Cálculos'!$C$123)*'Cálculos'!$C$265)+('Cálculos'!$C$201*(1+'Cálculos'!$C$202+$A$6:$A$51*('Cálculos'!$C$290=2)*'Cálculos'!$C$101)+'Cálculos'!$C$203)*('Cálculos'!$C$256+'Cálculos'!$C$124*(1+2.78*('Cálculos'!$C$199+(($C22)-$A$6:$A$51)*'Cálculos'!$C$98)/(('Cálculos'!$C$199+(($C22)-$A$6:$A$51)*'Cálculos'!$C$98)+1400)+'Cálculos'!$C$122)*'Cálculos'!$C$261+'Cálculos'!$C$125*(1+2.78*('Cálculos'!$C$199+(($C22)-$A$6:$A$51)*'Cálculos'!$C$98)/(('Cálculos'!$C$199+(($C22)-$A$6:$A$51)*'Cálculos'!$C$98)+1400)+'Cálculos'!$C$123)*'Cálculos'!$C$266)+('Cálculos'!$C$204*(1+'Cálculos'!$C$205+$A$6:$A$51*('Cálculos'!$C$290=3)*'Cálculos'!$C$103)+'Cálculos'!$C$206)*('Cálculos'!$C$257+'Cálculos'!$C$124*(1+2.78*('Cálculos'!$C$199+(($C22)-$A$6:$A$51)*'Cálculos'!$C$98)/(('Cálculos'!$C$199+(($C22)-$A$6:$A$51)*'Cálculos'!$C$98)+1400)+'Cálculos'!$C$122)*'Cálculos'!$C$262+'Cálculos'!$C$125*(1+2.78*('Cálculos'!$C$199+(($C22)-$A$6:$A$51)*'Cálculos'!$C$98)/(('Cálculos'!$C$199+(($C22)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22)-$A$6:$A$51)*'Cálculos'!$C$98)/(('Cálculos'!$C$200+(($C22)-$A$6:$A$51)*'Cálculos'!$C$98)+1400)+'Cálculos'!$C$122)*'Cálculos'!$C$274+'Cálculos'!$C$125*(1+2.78*('Cálculos'!$C$200+(($C22)-$A$6:$A$51)*'Cálculos'!$C$98)/(('Cálculos'!$C$200+(($C22)-$A$6:$A$51)*'Cálculos'!$C$98)+1400)+'Cálculos'!$C$123)*'Cálculos'!$C$279)+('Cálculos'!$C$200+(($C22)-$A$6:$A$51)*'Cálculos'!$C$98)*('Cálculos'!$C$270+'Cálculos'!$C$124*(1+2.78*('Cálculos'!$C$200+(($C22)-$A$6:$A$51)*'Cálculos'!$C$98)/(('Cálculos'!$C$200+(($C22)-$A$6:$A$51)*'Cálculos'!$C$98)+1400)+'Cálculos'!$C$122)*'Cálculos'!$C$275+'Cálculos'!$C$125*(1+2.78*('Cálculos'!$C$200+(($C22)-$A$6:$A$51)*'Cálculos'!$C$98)/(('Cálculos'!$C$200+(($C22)-$A$6:$A$51)*'Cálculos'!$C$98)+1400)+'Cálculos'!$C$123)*'Cálculos'!$C$280)+('Cálculos'!$C$201*(1+'Cálculos'!$C$202+$A$6:$A$51*('Cálculos'!$C$290=2)*'Cálculos'!$C$101)+'Cálculos'!$C$203)*('Cálculos'!$C$271+'Cálculos'!$C$124*(1+2.78*('Cálculos'!$C$200+(($C22)-$A$6:$A$51)*'Cálculos'!$C$98)/(('Cálculos'!$C$200+(($C22)-$A$6:$A$51)*'Cálculos'!$C$98)+1400)+'Cálculos'!$C$122)*'Cálculos'!$C$276+'Cálculos'!$C$125*(1+2.78*('Cálculos'!$C$200+(($C22)-$A$6:$A$51)*'Cálculos'!$C$98)/(('Cálculos'!$C$200+(($C22)-$A$6:$A$51)*'Cálculos'!$C$98)+1400)+'Cálculos'!$C$123)*'Cálculos'!$C$281)+('Cálculos'!$C$204*(1+'Cálculos'!$C$205+$A$6:$A$51*('Cálculos'!$C$290=3)*'Cálculos'!$C$103)+'Cálculos'!$C$206)*('Cálculos'!$C$272+'Cálculos'!$C$124*(1+2.78*('Cálculos'!$C$200+(($C22)-$A$6:$A$51)*'Cálculos'!$C$98)/(('Cálculos'!$C$200+(($C22)-$A$6:$A$51)*'Cálculos'!$C$98)+1400)+'Cálculos'!$C$122)*'Cálculos'!$C$277+'Cálculos'!$C$125*(1+2.78*('Cálculos'!$C$200+(($C22)-$A$6:$A$51)*'Cálculos'!$C$98)/(('Cálculos'!$C$200+(($C22)-$A$6:$A$51)*'Cálculos'!$C$98)+1400)+'Cálculos'!$C$123)*'Cálculos'!$C$282)))))</f>
        <v>1096752.166</v>
      </c>
      <c r="E22" s="32">
        <f>IF(OR($C22&lt;0,'Cálculos'!$C$6=""),0,$B22*$D22)</f>
        <v>3611058.7</v>
      </c>
      <c r="F22" s="2"/>
      <c r="G22" s="30">
        <f>($A22&lt;=$B$53)*($A22&lt;='Cálculos'!$C$294)*(($B$53)-$A22&lt;='Cálculos'!$C$295)*(1+MIN(('Cálculos'!$C$207+$A22*'Cálculos'!$C$95),1)*('Cálculos'!$C$208+(($B$53)-$A22)*'Cálculos'!$C$96))</f>
        <v>2.988</v>
      </c>
      <c r="H22" s="31">
        <f>IF($B$54&lt;0,0,($A22&lt;=$B$54)*($A22&lt;='Cálculos'!$C$301)*(($B$54)-$A22&lt;='Cálculos'!$C$297)*(('Cálculos'!$C$185*(1+'Cálculos'!$C$186+$A22*('Cálculos'!$C$290=1)*'Cálculos'!$C$97+'Cálculos'!$C$305)+'Cálculos'!$C$191)*('Cálculos'!$C$209+'Cálculos'!$C$124*(1+2.78*('Cálculos'!$C$196+(($B$54)-$A22)*'Cálculos'!$C$98)/(('Cálculos'!$C$196+(($B$54)-$A22)*'Cálculos'!$C$98)+1400)+'Cálculos'!$C$122)*'Cálculos'!$C$214+'Cálculos'!$C$125*(1+2.78*('Cálculos'!$C$196+(($B$54)-$A22)*'Cálculos'!$C$98)/(('Cálculos'!$C$196+(($B$54)-$A22)*'Cálculos'!$C$98)+1400)+'Cálculos'!$C$123)*'Cálculos'!$C$219)+('Cálculos'!$C$196+(($B$54)-$A22)*'Cálculos'!$C$98)*('Cálculos'!$C$210+'Cálculos'!$C$124*(1+2.78*('Cálculos'!$C$196+(($B$54)-$A22)*'Cálculos'!$C$98)/(('Cálculos'!$C$196+(($B$54)-$A22)*'Cálculos'!$C$98)+1400)+'Cálculos'!$C$122)*'Cálculos'!$C$215+'Cálculos'!$C$125*(1+2.78*('Cálculos'!$C$196+(($B$54)-$A22)*'Cálculos'!$C$98)/(('Cálculos'!$C$196+(($B$54)-$A22)*'Cálculos'!$C$98)+1400)+'Cálculos'!$C$123)*'Cálculos'!$C$220)+('Cálculos'!$C$201*(1+'Cálculos'!$C$202+$A22*('Cálculos'!$C$290=2)*'Cálculos'!$C$101)+'Cálculos'!$C$203)*('Cálculos'!$C$211+'Cálculos'!$C$124*(1+2.78*('Cálculos'!$C$196+(($B$54)-$A22)*'Cálculos'!$C$98)/(('Cálculos'!$C$196+(($B$54)-$A22)*'Cálculos'!$C$98)+1400)+'Cálculos'!$C$122)*'Cálculos'!$C$216+'Cálculos'!$C$125*(1+2.78*('Cálculos'!$C$196+(($B$54)-$A22)*'Cálculos'!$C$98)/(('Cálculos'!$C$196+(($B$54)-$A22)*'Cálculos'!$C$98)+1400)+'Cálculos'!$C$123)*'Cálculos'!$C$221)+('Cálculos'!$C$204*(1+'Cálculos'!$C$205+$A22*('Cálculos'!$C$290=3)*'Cálculos'!$C$103)+'Cálculos'!$C$206)*('Cálculos'!$C$212+'Cálculos'!$C$124*(1+2.78*('Cálculos'!$C$196+(($B$54)-$A22)*'Cálculos'!$C$98)/(('Cálculos'!$C$196+(($B$54)-$A22)*'Cálculos'!$C$98)+1400)+'Cálculos'!$C$122)*'Cálculos'!$C$217+'Cálculos'!$C$125*(1+2.78*('Cálculos'!$C$196+(($B$54)-$A22)*'Cálculos'!$C$98)/(('Cálculos'!$C$196+(($B$54)-$A22)*'Cálculos'!$C$98)+1400)+'Cálculos'!$C$123)*'Cálculos'!$C$222)+('Cálculos'!$C$185*(1+'Cálculos'!$C$187+$A22*('Cálculos'!$C$290=1)*'Cálculos'!$C$97+'Cálculos'!$C$305)+'Cálculos'!$C$192)*('Cálculos'!$C$224+'Cálculos'!$C$124*(1+2.78*('Cálculos'!$C$197+(($B$54)-$A22)*'Cálculos'!$C$98)/(('Cálculos'!$C$197+(($B$54)-$A22)*'Cálculos'!$C$98)+1400)+'Cálculos'!$C$122)*'Cálculos'!$C$229+'Cálculos'!$C$125*(1+2.78*('Cálculos'!$C$197+(($B$54)-$A22)*'Cálculos'!$C$98)/(('Cálculos'!$C$197+(($B$54)-$A22)*'Cálculos'!$C$98)+1400)+'Cálculos'!$C$123)*'Cálculos'!$C$234)+('Cálculos'!$C$197+(($B$54)-$A22)*'Cálculos'!$C$98)*('Cálculos'!$C$225+'Cálculos'!$C$124*(1+2.78*('Cálculos'!$C$197+(($B$54)-$A22)*'Cálculos'!$C$98)/(('Cálculos'!$C$197+(($B$54)-$A22)*'Cálculos'!$C$98)+1400)+'Cálculos'!$C$122)*'Cálculos'!$C$230+'Cálculos'!$C$125*(1+2.78*('Cálculos'!$C$197+(($B$54)-$A22)*'Cálculos'!$C$98)/(('Cálculos'!$C$197+(($B$54)-$A22)*'Cálculos'!$C$98)+1400)+'Cálculos'!$C$123)*'Cálculos'!$C$235)+('Cálculos'!$C$201*(1+'Cálculos'!$C$202+$A22*('Cálculos'!$C$290=2)*'Cálculos'!$C$101)+'Cálculos'!$C$203)*('Cálculos'!$C$226+'Cálculos'!$C$124*(1+2.78*('Cálculos'!$C$197+(($B$54)-$A22)*'Cálculos'!$C$98)/(('Cálculos'!$C$197+(($B$54)-$A22)*'Cálculos'!$C$98)+1400)+'Cálculos'!$C$122)*'Cálculos'!$C$231+'Cálculos'!$C$125*(1+2.78*('Cálculos'!$C$197+(($B$54)-$A22)*'Cálculos'!$C$98)/(('Cálculos'!$C$197+(($B$54)-$A22)*'Cálculos'!$C$98)+1400)+'Cálculos'!$C$123)*'Cálculos'!$C$236)+('Cálculos'!$C$204*(1+'Cálculos'!$C$205+$A22*('Cálculos'!$C$290=3)*'Cálculos'!$C$103)+'Cálculos'!$C$206)*('Cálculos'!$C$227+'Cálculos'!$C$124*(1+2.78*('Cálculos'!$C$197+(($B$54)-$A22)*'Cálculos'!$C$98)/(('Cálculos'!$C$197+(($B$54)-$A22)*'Cálculos'!$C$98)+1400)+'Cálculos'!$C$122)*'Cálculos'!$C$232+'Cálculos'!$C$125*(1+2.78*('Cálculos'!$C$197+(($B$54)-$A22)*'Cálculos'!$C$98)/(('Cálculos'!$C$197+(($B$54)-$A22)*'Cálculos'!$C$98)+1400)+'Cálculos'!$C$123)*'Cálculos'!$C$237)+('Cálculos'!$C$185*(1+'Cálculos'!$C$188+$A22*('Cálculos'!$C$290=1)*'Cálculos'!$C$97+'Cálculos'!$C$305)+'Cálculos'!$C$193)*('Cálculos'!$C$239+'Cálculos'!$C$124*(1+2.78*('Cálculos'!$C$198+(($B$54)-$A22)*'Cálculos'!$C$98)/(('Cálculos'!$C$198+(($B$54)-$A22)*'Cálculos'!$C$98)+1400)+'Cálculos'!$C$122)*'Cálculos'!$C$244+'Cálculos'!$C$125*(1+2.78*('Cálculos'!$C$198+(($B$54)-$A22)*'Cálculos'!$C$98)/(('Cálculos'!$C$198+(($B$54)-$A22)*'Cálculos'!$C$98)+1400)+'Cálculos'!$C$123)*'Cálculos'!$C$249)+('Cálculos'!$C$198+(($B$54)-$A22)*'Cálculos'!$C$98)*('Cálculos'!$C$240+'Cálculos'!$C$124*(1+2.78*('Cálculos'!$C$198+(($B$54)-$A22)*'Cálculos'!$C$98)/(('Cálculos'!$C$198+(($B$54)-$A22)*'Cálculos'!$C$98)+1400)+'Cálculos'!$C$122)*'Cálculos'!$C$245+'Cálculos'!$C$125*(1+2.78*('Cálculos'!$C$198+(($B$54)-$A22)*'Cálculos'!$C$98)/(('Cálculos'!$C$198+(($B$54)-$A22)*'Cálculos'!$C$98)+1400)+'Cálculos'!$C$123)*'Cálculos'!$C$250)+('Cálculos'!$C$201*(1+'Cálculos'!$C$202+$A22*('Cálculos'!$C$290=2)*'Cálculos'!$C$101)+'Cálculos'!$C$203)*('Cálculos'!$C$241+'Cálculos'!$C$124*(1+2.78*('Cálculos'!$C$198+(($B$54)-$A22)*'Cálculos'!$C$98)/(('Cálculos'!$C$198+(($B$54)-$A22)*'Cálculos'!$C$98)+1400)+'Cálculos'!$C$122)*'Cálculos'!$C$246+'Cálculos'!$C$125*(1+2.78*('Cálculos'!$C$198+(($B$54)-$A22)*'Cálculos'!$C$98)/(('Cálculos'!$C$198+(($B$54)-$A22)*'Cálculos'!$C$98)+1400)+'Cálculos'!$C$123)*'Cálculos'!$C$251)+('Cálculos'!$C$204*(1+'Cálculos'!$C$205+$A22*('Cálculos'!$C$290=3)*'Cálculos'!$C$103)+'Cálculos'!$C$206)*('Cálculos'!$C$242+'Cálculos'!$C$124*(1+2.78*('Cálculos'!$C$198+(($B$54)-$A22)*'Cálculos'!$C$98)/(('Cálculos'!$C$198+(($B$54)-$A22)*'Cálculos'!$C$98)+1400)+'Cálculos'!$C$122)*'Cálculos'!$C$247+'Cálculos'!$C$125*(1+2.78*('Cálculos'!$C$198+(($B$54)-$A22)*'Cálculos'!$C$98)/(('Cálculos'!$C$198+(($B$54)-$A22)*'Cálculos'!$C$98)+1400)+'Cálculos'!$C$123)*'Cálculos'!$C$252)+('Cálculos'!$C$185*(1+'Cálculos'!$C$189+$A22*('Cálculos'!$C$290=1)*'Cálculos'!$C$97+'Cálculos'!$C$305)+'Cálculos'!$C$194)*('Cálculos'!$C$254+'Cálculos'!$C$124*(1+2.78*('Cálculos'!$C$199+(($B$54)-$A22)*'Cálculos'!$C$98)/(('Cálculos'!$C$199+(($B$54)-$A22)*'Cálculos'!$C$98)+1400)+'Cálculos'!$C$122)*'Cálculos'!$C$259+'Cálculos'!$C$125*(1+2.78*('Cálculos'!$C$199+(($B$54)-$A22)*'Cálculos'!$C$98)/(('Cálculos'!$C$199+(($B$54)-$A22)*'Cálculos'!$C$98)+1400)+'Cálculos'!$C$123)*'Cálculos'!$C$264)+('Cálculos'!$C$199+(($B$54)-$A22)*'Cálculos'!$C$98)*('Cálculos'!$C$255+'Cálculos'!$C$124*(1+2.78*('Cálculos'!$C$199+(($B$54)-$A22)*'Cálculos'!$C$98)/(('Cálculos'!$C$199+(($B$54)-$A22)*'Cálculos'!$C$98)+1400)+'Cálculos'!$C$122)*'Cálculos'!$C$260+'Cálculos'!$C$125*(1+2.78*('Cálculos'!$C$199+(($B$54)-$A22)*'Cálculos'!$C$98)/(('Cálculos'!$C$199+(($B$54)-$A22)*'Cálculos'!$C$98)+1400)+'Cálculos'!$C$123)*'Cálculos'!$C$265)+('Cálculos'!$C$201*(1+'Cálculos'!$C$202+$A22*('Cálculos'!$C$290=2)*'Cálculos'!$C$101)+'Cálculos'!$C$203)*('Cálculos'!$C$256+'Cálculos'!$C$124*(1+2.78*('Cálculos'!$C$199+(($B$54)-$A22)*'Cálculos'!$C$98)/(('Cálculos'!$C$199+(($B$54)-$A22)*'Cálculos'!$C$98)+1400)+'Cálculos'!$C$122)*'Cálculos'!$C$261+'Cálculos'!$C$125*(1+2.78*('Cálculos'!$C$199+(($B$54)-$A22)*'Cálculos'!$C$98)/(('Cálculos'!$C$199+(($B$54)-$A22)*'Cálculos'!$C$98)+1400)+'Cálculos'!$C$123)*'Cálculos'!$C$266)+('Cálculos'!$C$204*(1+'Cálculos'!$C$205+$A22*('Cálculos'!$C$290=3)*'Cálculos'!$C$103)+'Cálculos'!$C$206)*('Cálculos'!$C$257+'Cálculos'!$C$124*(1+2.78*('Cálculos'!$C$199+(($B$54)-$A22)*'Cálculos'!$C$98)/(('Cálculos'!$C$199+(($B$54)-$A22)*'Cálculos'!$C$98)+1400)+'Cálculos'!$C$122)*'Cálculos'!$C$262+'Cálculos'!$C$125*(1+2.78*('Cálculos'!$C$199+(($B$54)-$A22)*'Cálculos'!$C$98)/(('Cálculos'!$C$199+(($B$54)-$A22)*'Cálculos'!$C$98)+1400)+'Cálculos'!$C$123)*'Cálculos'!$C$267)+('Cálculos'!$C$185*(1+'Cálculos'!$C$190+$A22*('Cálculos'!$C$290=1)*'Cálculos'!$C$97+'Cálculos'!$C$305)+'Cálculos'!$C$195)*('Cálculos'!$C$269+'Cálculos'!$C$124*(1+2.78*('Cálculos'!$C$200+(($B$54)-$A22)*'Cálculos'!$C$98)/(('Cálculos'!$C$200+(($B$54)-$A22)*'Cálculos'!$C$98)+1400)+'Cálculos'!$C$122)*'Cálculos'!$C$274+'Cálculos'!$C$125*(1+2.78*('Cálculos'!$C$200+(($B$54)-$A22)*'Cálculos'!$C$98)/(('Cálculos'!$C$200+(($B$54)-$A22)*'Cálculos'!$C$98)+1400)+'Cálculos'!$C$123)*'Cálculos'!$C$279)+('Cálculos'!$C$200+(($B$54)-$A22)*'Cálculos'!$C$98)*('Cálculos'!$C$270+'Cálculos'!$C$124*(1+2.78*('Cálculos'!$C$200+(($B$54)-$A22)*'Cálculos'!$C$98)/(('Cálculos'!$C$200+(($B$54)-$A22)*'Cálculos'!$C$98)+1400)+'Cálculos'!$C$122)*'Cálculos'!$C$275+'Cálculos'!$C$125*(1+2.78*('Cálculos'!$C$200+(($B$54)-$A22)*'Cálculos'!$C$98)/(('Cálculos'!$C$200+(($B$54)-$A22)*'Cálculos'!$C$98)+1400)+'Cálculos'!$C$123)*'Cálculos'!$C$280)+('Cálculos'!$C$201*(1+'Cálculos'!$C$202+$A22*('Cálculos'!$C$290=2)*'Cálculos'!$C$101)+'Cálculos'!$C$203)*('Cálculos'!$C$271+'Cálculos'!$C$124*(1+2.78*('Cálculos'!$C$200+(($B$54)-$A22)*'Cálculos'!$C$98)/(('Cálculos'!$C$200+(($B$54)-$A22)*'Cálculos'!$C$98)+1400)+'Cálculos'!$C$122)*'Cálculos'!$C$276+'Cálculos'!$C$125*(1+2.78*('Cálculos'!$C$200+(($B$54)-$A22)*'Cálculos'!$C$98)/(('Cálculos'!$C$200+(($B$54)-$A22)*'Cálculos'!$C$98)+1400)+'Cálculos'!$C$123)*'Cálculos'!$C$281)+('Cálculos'!$C$204*(1+'Cálculos'!$C$205+$A22*('Cálculos'!$C$290=3)*'Cálculos'!$C$103)+'Cálculos'!$C$206)*('Cálculos'!$C$272+'Cálculos'!$C$124*(1+2.78*('Cálculos'!$C$200+(($B$54)-$A22)*'Cálculos'!$C$98)/(('Cálculos'!$C$200+(($B$54)-$A22)*'Cálculos'!$C$98)+1400)+'Cálculos'!$C$122)*'Cálculos'!$C$277+'Cálculos'!$C$125*(1+2.78*('Cálculos'!$C$200+(($B$54)-$A22)*'Cálculos'!$C$98)/(('Cálculos'!$C$200+(($B$54)-$A22)*'Cálculos'!$C$98)+1400)+'Cálculos'!$C$123)*'Cálculos'!$C$282)))</f>
        <v>0</v>
      </c>
    </row>
    <row r="23" ht="15.75" customHeight="1">
      <c r="A23" s="2">
        <v>17.0</v>
      </c>
      <c r="B23" s="30">
        <f>SUMPRODUCT(MAX(($A$6:$A$51&lt;=$A23)*($A$6:$A$51&lt;='Cálculos'!$C$294)*(($A23)-$A$6:$A$51&lt;='Cálculos'!$C$295)*(1+(('Cálculos'!$C$207+$A$6:$A$51*'Cálculos'!$C$95)-(('Cálculos'!$C$207+$A$6:$A$51*'Cálculos'!$C$95)&gt;1)*(('Cálculos'!$C$207+$A$6:$A$51*'Cálculos'!$C$95)-1))*('Cálculos'!$C$208+(($A23)-$A$6:$A$51)*'Cálculos'!$C$96))))</f>
        <v>3.357776</v>
      </c>
      <c r="C23" s="2">
        <f>'Cálculos'!$C$303-$A23</f>
        <v>3</v>
      </c>
      <c r="D23" s="31">
        <f>IF($C23&lt;0,0,SUMPRODUCT(MAX(($A$6:$A$51&lt;=$C23)*($A$6:$A$51&lt;='Cálculos'!$C$301)*(($C23)-$A$6:$A$51&lt;='Cálculos'!$C$297)*(('Cálculos'!$C$185*(1+'Cálculos'!$C$186+$A$6:$A$51*('Cálculos'!$C$290=1)*'Cálculos'!$C$97+'Cálculos'!$C$305)+'Cálculos'!$C$191)*('Cálculos'!$C$209+'Cálculos'!$C$124*(1+2.78*('Cálculos'!$C$196+(($C23)-$A$6:$A$51)*'Cálculos'!$C$98)/(('Cálculos'!$C$196+(($C23)-$A$6:$A$51)*'Cálculos'!$C$98)+1400)+'Cálculos'!$C$122)*'Cálculos'!$C$214+'Cálculos'!$C$125*(1+2.78*('Cálculos'!$C$196+(($C23)-$A$6:$A$51)*'Cálculos'!$C$98)/(('Cálculos'!$C$196+(($C23)-$A$6:$A$51)*'Cálculos'!$C$98)+1400)+'Cálculos'!$C$123)*'Cálculos'!$C$219)+('Cálculos'!$C$196+(($C23)-$A$6:$A$51)*'Cálculos'!$C$98)*('Cálculos'!$C$210+'Cálculos'!$C$124*(1+2.78*('Cálculos'!$C$196+(($C23)-$A$6:$A$51)*'Cálculos'!$C$98)/(('Cálculos'!$C$196+(($C23)-$A$6:$A$51)*'Cálculos'!$C$98)+1400)+'Cálculos'!$C$122)*'Cálculos'!$C$215+'Cálculos'!$C$125*(1+2.78*('Cálculos'!$C$196+(($C23)-$A$6:$A$51)*'Cálculos'!$C$98)/(('Cálculos'!$C$196+(($C23)-$A$6:$A$51)*'Cálculos'!$C$98)+1400)+'Cálculos'!$C$123)*'Cálculos'!$C$220)+('Cálculos'!$C$201*(1+'Cálculos'!$C$202+$A$6:$A$51*('Cálculos'!$C$290=2)*'Cálculos'!$C$101)+'Cálculos'!$C$203)*('Cálculos'!$C$211+'Cálculos'!$C$124*(1+2.78*('Cálculos'!$C$196+(($C23)-$A$6:$A$51)*'Cálculos'!$C$98)/(('Cálculos'!$C$196+(($C23)-$A$6:$A$51)*'Cálculos'!$C$98)+1400)+'Cálculos'!$C$122)*'Cálculos'!$C$216+'Cálculos'!$C$125*(1+2.78*('Cálculos'!$C$196+(($C23)-$A$6:$A$51)*'Cálculos'!$C$98)/(('Cálculos'!$C$196+(($C23)-$A$6:$A$51)*'Cálculos'!$C$98)+1400)+'Cálculos'!$C$123)*'Cálculos'!$C$221)+('Cálculos'!$C$204*(1+'Cálculos'!$C$205+$A$6:$A$51*('Cálculos'!$C$290=3)*'Cálculos'!$C$103)+'Cálculos'!$C$206)*('Cálculos'!$C$212+'Cálculos'!$C$124*(1+2.78*('Cálculos'!$C$196+(($C23)-$A$6:$A$51)*'Cálculos'!$C$98)/(('Cálculos'!$C$196+(($C23)-$A$6:$A$51)*'Cálculos'!$C$98)+1400)+'Cálculos'!$C$122)*'Cálculos'!$C$217+'Cálculos'!$C$125*(1+2.78*('Cálculos'!$C$196+(($C23)-$A$6:$A$51)*'Cálculos'!$C$98)/(('Cálculos'!$C$196+(($C23)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23)-$A$6:$A$51)*'Cálculos'!$C$98)/(('Cálculos'!$C$197+(($C23)-$A$6:$A$51)*'Cálculos'!$C$98)+1400)+'Cálculos'!$C$122)*'Cálculos'!$C$229+'Cálculos'!$C$125*(1+2.78*('Cálculos'!$C$197+(($C23)-$A$6:$A$51)*'Cálculos'!$C$98)/(('Cálculos'!$C$197+(($C23)-$A$6:$A$51)*'Cálculos'!$C$98)+1400)+'Cálculos'!$C$123)*'Cálculos'!$C$234)+('Cálculos'!$C$197+(($C23)-$A$6:$A$51)*'Cálculos'!$C$98)*('Cálculos'!$C$225+'Cálculos'!$C$124*(1+2.78*('Cálculos'!$C$197+(($C23)-$A$6:$A$51)*'Cálculos'!$C$98)/(('Cálculos'!$C$197+(($C23)-$A$6:$A$51)*'Cálculos'!$C$98)+1400)+'Cálculos'!$C$122)*'Cálculos'!$C$230+'Cálculos'!$C$125*(1+2.78*('Cálculos'!$C$197+(($C23)-$A$6:$A$51)*'Cálculos'!$C$98)/(('Cálculos'!$C$197+(($C23)-$A$6:$A$51)*'Cálculos'!$C$98)+1400)+'Cálculos'!$C$123)*'Cálculos'!$C$235)+('Cálculos'!$C$201*(1+'Cálculos'!$C$202+$A$6:$A$51*('Cálculos'!$C$290=2)*'Cálculos'!$C$101)+'Cálculos'!$C$203)*('Cálculos'!$C$226+'Cálculos'!$C$124*(1+2.78*('Cálculos'!$C$197+(($C23)-$A$6:$A$51)*'Cálculos'!$C$98)/(('Cálculos'!$C$197+(($C23)-$A$6:$A$51)*'Cálculos'!$C$98)+1400)+'Cálculos'!$C$122)*'Cálculos'!$C$231+'Cálculos'!$C$125*(1+2.78*('Cálculos'!$C$197+(($C23)-$A$6:$A$51)*'Cálculos'!$C$98)/(('Cálculos'!$C$197+(($C23)-$A$6:$A$51)*'Cálculos'!$C$98)+1400)+'Cálculos'!$C$123)*'Cálculos'!$C$236)+('Cálculos'!$C$204*(1+'Cálculos'!$C$205+$A$6:$A$51*('Cálculos'!$C$290=3)*'Cálculos'!$C$103)+'Cálculos'!$C$206)*('Cálculos'!$C$227+'Cálculos'!$C$124*(1+2.78*('Cálculos'!$C$197+(($C23)-$A$6:$A$51)*'Cálculos'!$C$98)/(('Cálculos'!$C$197+(($C23)-$A$6:$A$51)*'Cálculos'!$C$98)+1400)+'Cálculos'!$C$122)*'Cálculos'!$C$232+'Cálculos'!$C$125*(1+2.78*('Cálculos'!$C$197+(($C23)-$A$6:$A$51)*'Cálculos'!$C$98)/(('Cálculos'!$C$197+(($C23)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23)-$A$6:$A$51)*'Cálculos'!$C$98)/(('Cálculos'!$C$198+(($C23)-$A$6:$A$51)*'Cálculos'!$C$98)+1400)+'Cálculos'!$C$122)*'Cálculos'!$C$244+'Cálculos'!$C$125*(1+2.78*('Cálculos'!$C$198+(($C23)-$A$6:$A$51)*'Cálculos'!$C$98)/(('Cálculos'!$C$198+(($C23)-$A$6:$A$51)*'Cálculos'!$C$98)+1400)+'Cálculos'!$C$123)*'Cálculos'!$C$249)+('Cálculos'!$C$198+(($C23)-$A$6:$A$51)*'Cálculos'!$C$98)*('Cálculos'!$C$240+'Cálculos'!$C$124*(1+2.78*('Cálculos'!$C$198+(($C23)-$A$6:$A$51)*'Cálculos'!$C$98)/(('Cálculos'!$C$198+(($C23)-$A$6:$A$51)*'Cálculos'!$C$98)+1400)+'Cálculos'!$C$122)*'Cálculos'!$C$245+'Cálculos'!$C$125*(1+2.78*('Cálculos'!$C$198+(($C23)-$A$6:$A$51)*'Cálculos'!$C$98)/(('Cálculos'!$C$198+(($C23)-$A$6:$A$51)*'Cálculos'!$C$98)+1400)+'Cálculos'!$C$123)*'Cálculos'!$C$250)+('Cálculos'!$C$201*(1+'Cálculos'!$C$202+$A$6:$A$51*('Cálculos'!$C$290=2)*'Cálculos'!$C$101)+'Cálculos'!$C$203)*('Cálculos'!$C$241+'Cálculos'!$C$124*(1+2.78*('Cálculos'!$C$198+(($C23)-$A$6:$A$51)*'Cálculos'!$C$98)/(('Cálculos'!$C$198+(($C23)-$A$6:$A$51)*'Cálculos'!$C$98)+1400)+'Cálculos'!$C$122)*'Cálculos'!$C$246+'Cálculos'!$C$125*(1+2.78*('Cálculos'!$C$198+(($C23)-$A$6:$A$51)*'Cálculos'!$C$98)/(('Cálculos'!$C$198+(($C23)-$A$6:$A$51)*'Cálculos'!$C$98)+1400)+'Cálculos'!$C$123)*'Cálculos'!$C$251)+('Cálculos'!$C$204*(1+'Cálculos'!$C$205+$A$6:$A$51*('Cálculos'!$C$290=3)*'Cálculos'!$C$103)+'Cálculos'!$C$206)*('Cálculos'!$C$242+'Cálculos'!$C$124*(1+2.78*('Cálculos'!$C$198+(($C23)-$A$6:$A$51)*'Cálculos'!$C$98)/(('Cálculos'!$C$198+(($C23)-$A$6:$A$51)*'Cálculos'!$C$98)+1400)+'Cálculos'!$C$122)*'Cálculos'!$C$247+'Cálculos'!$C$125*(1+2.78*('Cálculos'!$C$198+(($C23)-$A$6:$A$51)*'Cálculos'!$C$98)/(('Cálculos'!$C$198+(($C23)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23)-$A$6:$A$51)*'Cálculos'!$C$98)/(('Cálculos'!$C$199+(($C23)-$A$6:$A$51)*'Cálculos'!$C$98)+1400)+'Cálculos'!$C$122)*'Cálculos'!$C$259+'Cálculos'!$C$125*(1+2.78*('Cálculos'!$C$199+(($C23)-$A$6:$A$51)*'Cálculos'!$C$98)/(('Cálculos'!$C$199+(($C23)-$A$6:$A$51)*'Cálculos'!$C$98)+1400)+'Cálculos'!$C$123)*'Cálculos'!$C$264)+('Cálculos'!$C$199+(($C23)-$A$6:$A$51)*'Cálculos'!$C$98)*('Cálculos'!$C$255+'Cálculos'!$C$124*(1+2.78*('Cálculos'!$C$199+(($C23)-$A$6:$A$51)*'Cálculos'!$C$98)/(('Cálculos'!$C$199+(($C23)-$A$6:$A$51)*'Cálculos'!$C$98)+1400)+'Cálculos'!$C$122)*'Cálculos'!$C$260+'Cálculos'!$C$125*(1+2.78*('Cálculos'!$C$199+(($C23)-$A$6:$A$51)*'Cálculos'!$C$98)/(('Cálculos'!$C$199+(($C23)-$A$6:$A$51)*'Cálculos'!$C$98)+1400)+'Cálculos'!$C$123)*'Cálculos'!$C$265)+('Cálculos'!$C$201*(1+'Cálculos'!$C$202+$A$6:$A$51*('Cálculos'!$C$290=2)*'Cálculos'!$C$101)+'Cálculos'!$C$203)*('Cálculos'!$C$256+'Cálculos'!$C$124*(1+2.78*('Cálculos'!$C$199+(($C23)-$A$6:$A$51)*'Cálculos'!$C$98)/(('Cálculos'!$C$199+(($C23)-$A$6:$A$51)*'Cálculos'!$C$98)+1400)+'Cálculos'!$C$122)*'Cálculos'!$C$261+'Cálculos'!$C$125*(1+2.78*('Cálculos'!$C$199+(($C23)-$A$6:$A$51)*'Cálculos'!$C$98)/(('Cálculos'!$C$199+(($C23)-$A$6:$A$51)*'Cálculos'!$C$98)+1400)+'Cálculos'!$C$123)*'Cálculos'!$C$266)+('Cálculos'!$C$204*(1+'Cálculos'!$C$205+$A$6:$A$51*('Cálculos'!$C$290=3)*'Cálculos'!$C$103)+'Cálculos'!$C$206)*('Cálculos'!$C$257+'Cálculos'!$C$124*(1+2.78*('Cálculos'!$C$199+(($C23)-$A$6:$A$51)*'Cálculos'!$C$98)/(('Cálculos'!$C$199+(($C23)-$A$6:$A$51)*'Cálculos'!$C$98)+1400)+'Cálculos'!$C$122)*'Cálculos'!$C$262+'Cálculos'!$C$125*(1+2.78*('Cálculos'!$C$199+(($C23)-$A$6:$A$51)*'Cálculos'!$C$98)/(('Cálculos'!$C$199+(($C23)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23)-$A$6:$A$51)*'Cálculos'!$C$98)/(('Cálculos'!$C$200+(($C23)-$A$6:$A$51)*'Cálculos'!$C$98)+1400)+'Cálculos'!$C$122)*'Cálculos'!$C$274+'Cálculos'!$C$125*(1+2.78*('Cálculos'!$C$200+(($C23)-$A$6:$A$51)*'Cálculos'!$C$98)/(('Cálculos'!$C$200+(($C23)-$A$6:$A$51)*'Cálculos'!$C$98)+1400)+'Cálculos'!$C$123)*'Cálculos'!$C$279)+('Cálculos'!$C$200+(($C23)-$A$6:$A$51)*'Cálculos'!$C$98)*('Cálculos'!$C$270+'Cálculos'!$C$124*(1+2.78*('Cálculos'!$C$200+(($C23)-$A$6:$A$51)*'Cálculos'!$C$98)/(('Cálculos'!$C$200+(($C23)-$A$6:$A$51)*'Cálculos'!$C$98)+1400)+'Cálculos'!$C$122)*'Cálculos'!$C$275+'Cálculos'!$C$125*(1+2.78*('Cálculos'!$C$200+(($C23)-$A$6:$A$51)*'Cálculos'!$C$98)/(('Cálculos'!$C$200+(($C23)-$A$6:$A$51)*'Cálculos'!$C$98)+1400)+'Cálculos'!$C$123)*'Cálculos'!$C$280)+('Cálculos'!$C$201*(1+'Cálculos'!$C$202+$A$6:$A$51*('Cálculos'!$C$290=2)*'Cálculos'!$C$101)+'Cálculos'!$C$203)*('Cálculos'!$C$271+'Cálculos'!$C$124*(1+2.78*('Cálculos'!$C$200+(($C23)-$A$6:$A$51)*'Cálculos'!$C$98)/(('Cálculos'!$C$200+(($C23)-$A$6:$A$51)*'Cálculos'!$C$98)+1400)+'Cálculos'!$C$122)*'Cálculos'!$C$276+'Cálculos'!$C$125*(1+2.78*('Cálculos'!$C$200+(($C23)-$A$6:$A$51)*'Cálculos'!$C$98)/(('Cálculos'!$C$200+(($C23)-$A$6:$A$51)*'Cálculos'!$C$98)+1400)+'Cálculos'!$C$123)*'Cálculos'!$C$281)+('Cálculos'!$C$204*(1+'Cálculos'!$C$205+$A$6:$A$51*('Cálculos'!$C$290=3)*'Cálculos'!$C$103)+'Cálculos'!$C$206)*('Cálculos'!$C$272+'Cálculos'!$C$124*(1+2.78*('Cálculos'!$C$200+(($C23)-$A$6:$A$51)*'Cálculos'!$C$98)/(('Cálculos'!$C$200+(($C23)-$A$6:$A$51)*'Cálculos'!$C$98)+1400)+'Cálculos'!$C$122)*'Cálculos'!$C$277+'Cálculos'!$C$125*(1+2.78*('Cálculos'!$C$200+(($C23)-$A$6:$A$51)*'Cálculos'!$C$98)/(('Cálculos'!$C$200+(($C23)-$A$6:$A$51)*'Cálculos'!$C$98)+1400)+'Cálculos'!$C$123)*'Cálculos'!$C$282)))))</f>
        <v>1084229.638</v>
      </c>
      <c r="E23" s="32">
        <f>IF(OR($C23&lt;0,'Cálculos'!$C$6=""),0,$B23*$D23)</f>
        <v>3640600.256</v>
      </c>
      <c r="F23" s="2"/>
      <c r="G23" s="30">
        <f>($A23&lt;=$B$53)*($A23&lt;='Cálculos'!$C$294)*(($B$53)-$A23&lt;='Cálculos'!$C$295)*(1+MIN(('Cálculos'!$C$207+$A23*'Cálculos'!$C$95),1)*('Cálculos'!$C$208+(($B$53)-$A23)*'Cálculos'!$C$96))</f>
        <v>0</v>
      </c>
      <c r="H23" s="31">
        <f>IF($B$54&lt;0,0,($A23&lt;=$B$54)*($A23&lt;='Cálculos'!$C$301)*(($B$54)-$A23&lt;='Cálculos'!$C$297)*(('Cálculos'!$C$185*(1+'Cálculos'!$C$186+$A23*('Cálculos'!$C$290=1)*'Cálculos'!$C$97+'Cálculos'!$C$305)+'Cálculos'!$C$191)*('Cálculos'!$C$209+'Cálculos'!$C$124*(1+2.78*('Cálculos'!$C$196+(($B$54)-$A23)*'Cálculos'!$C$98)/(('Cálculos'!$C$196+(($B$54)-$A23)*'Cálculos'!$C$98)+1400)+'Cálculos'!$C$122)*'Cálculos'!$C$214+'Cálculos'!$C$125*(1+2.78*('Cálculos'!$C$196+(($B$54)-$A23)*'Cálculos'!$C$98)/(('Cálculos'!$C$196+(($B$54)-$A23)*'Cálculos'!$C$98)+1400)+'Cálculos'!$C$123)*'Cálculos'!$C$219)+('Cálculos'!$C$196+(($B$54)-$A23)*'Cálculos'!$C$98)*('Cálculos'!$C$210+'Cálculos'!$C$124*(1+2.78*('Cálculos'!$C$196+(($B$54)-$A23)*'Cálculos'!$C$98)/(('Cálculos'!$C$196+(($B$54)-$A23)*'Cálculos'!$C$98)+1400)+'Cálculos'!$C$122)*'Cálculos'!$C$215+'Cálculos'!$C$125*(1+2.78*('Cálculos'!$C$196+(($B$54)-$A23)*'Cálculos'!$C$98)/(('Cálculos'!$C$196+(($B$54)-$A23)*'Cálculos'!$C$98)+1400)+'Cálculos'!$C$123)*'Cálculos'!$C$220)+('Cálculos'!$C$201*(1+'Cálculos'!$C$202+$A23*('Cálculos'!$C$290=2)*'Cálculos'!$C$101)+'Cálculos'!$C$203)*('Cálculos'!$C$211+'Cálculos'!$C$124*(1+2.78*('Cálculos'!$C$196+(($B$54)-$A23)*'Cálculos'!$C$98)/(('Cálculos'!$C$196+(($B$54)-$A23)*'Cálculos'!$C$98)+1400)+'Cálculos'!$C$122)*'Cálculos'!$C$216+'Cálculos'!$C$125*(1+2.78*('Cálculos'!$C$196+(($B$54)-$A23)*'Cálculos'!$C$98)/(('Cálculos'!$C$196+(($B$54)-$A23)*'Cálculos'!$C$98)+1400)+'Cálculos'!$C$123)*'Cálculos'!$C$221)+('Cálculos'!$C$204*(1+'Cálculos'!$C$205+$A23*('Cálculos'!$C$290=3)*'Cálculos'!$C$103)+'Cálculos'!$C$206)*('Cálculos'!$C$212+'Cálculos'!$C$124*(1+2.78*('Cálculos'!$C$196+(($B$54)-$A23)*'Cálculos'!$C$98)/(('Cálculos'!$C$196+(($B$54)-$A23)*'Cálculos'!$C$98)+1400)+'Cálculos'!$C$122)*'Cálculos'!$C$217+'Cálculos'!$C$125*(1+2.78*('Cálculos'!$C$196+(($B$54)-$A23)*'Cálculos'!$C$98)/(('Cálculos'!$C$196+(($B$54)-$A23)*'Cálculos'!$C$98)+1400)+'Cálculos'!$C$123)*'Cálculos'!$C$222)+('Cálculos'!$C$185*(1+'Cálculos'!$C$187+$A23*('Cálculos'!$C$290=1)*'Cálculos'!$C$97+'Cálculos'!$C$305)+'Cálculos'!$C$192)*('Cálculos'!$C$224+'Cálculos'!$C$124*(1+2.78*('Cálculos'!$C$197+(($B$54)-$A23)*'Cálculos'!$C$98)/(('Cálculos'!$C$197+(($B$54)-$A23)*'Cálculos'!$C$98)+1400)+'Cálculos'!$C$122)*'Cálculos'!$C$229+'Cálculos'!$C$125*(1+2.78*('Cálculos'!$C$197+(($B$54)-$A23)*'Cálculos'!$C$98)/(('Cálculos'!$C$197+(($B$54)-$A23)*'Cálculos'!$C$98)+1400)+'Cálculos'!$C$123)*'Cálculos'!$C$234)+('Cálculos'!$C$197+(($B$54)-$A23)*'Cálculos'!$C$98)*('Cálculos'!$C$225+'Cálculos'!$C$124*(1+2.78*('Cálculos'!$C$197+(($B$54)-$A23)*'Cálculos'!$C$98)/(('Cálculos'!$C$197+(($B$54)-$A23)*'Cálculos'!$C$98)+1400)+'Cálculos'!$C$122)*'Cálculos'!$C$230+'Cálculos'!$C$125*(1+2.78*('Cálculos'!$C$197+(($B$54)-$A23)*'Cálculos'!$C$98)/(('Cálculos'!$C$197+(($B$54)-$A23)*'Cálculos'!$C$98)+1400)+'Cálculos'!$C$123)*'Cálculos'!$C$235)+('Cálculos'!$C$201*(1+'Cálculos'!$C$202+$A23*('Cálculos'!$C$290=2)*'Cálculos'!$C$101)+'Cálculos'!$C$203)*('Cálculos'!$C$226+'Cálculos'!$C$124*(1+2.78*('Cálculos'!$C$197+(($B$54)-$A23)*'Cálculos'!$C$98)/(('Cálculos'!$C$197+(($B$54)-$A23)*'Cálculos'!$C$98)+1400)+'Cálculos'!$C$122)*'Cálculos'!$C$231+'Cálculos'!$C$125*(1+2.78*('Cálculos'!$C$197+(($B$54)-$A23)*'Cálculos'!$C$98)/(('Cálculos'!$C$197+(($B$54)-$A23)*'Cálculos'!$C$98)+1400)+'Cálculos'!$C$123)*'Cálculos'!$C$236)+('Cálculos'!$C$204*(1+'Cálculos'!$C$205+$A23*('Cálculos'!$C$290=3)*'Cálculos'!$C$103)+'Cálculos'!$C$206)*('Cálculos'!$C$227+'Cálculos'!$C$124*(1+2.78*('Cálculos'!$C$197+(($B$54)-$A23)*'Cálculos'!$C$98)/(('Cálculos'!$C$197+(($B$54)-$A23)*'Cálculos'!$C$98)+1400)+'Cálculos'!$C$122)*'Cálculos'!$C$232+'Cálculos'!$C$125*(1+2.78*('Cálculos'!$C$197+(($B$54)-$A23)*'Cálculos'!$C$98)/(('Cálculos'!$C$197+(($B$54)-$A23)*'Cálculos'!$C$98)+1400)+'Cálculos'!$C$123)*'Cálculos'!$C$237)+('Cálculos'!$C$185*(1+'Cálculos'!$C$188+$A23*('Cálculos'!$C$290=1)*'Cálculos'!$C$97+'Cálculos'!$C$305)+'Cálculos'!$C$193)*('Cálculos'!$C$239+'Cálculos'!$C$124*(1+2.78*('Cálculos'!$C$198+(($B$54)-$A23)*'Cálculos'!$C$98)/(('Cálculos'!$C$198+(($B$54)-$A23)*'Cálculos'!$C$98)+1400)+'Cálculos'!$C$122)*'Cálculos'!$C$244+'Cálculos'!$C$125*(1+2.78*('Cálculos'!$C$198+(($B$54)-$A23)*'Cálculos'!$C$98)/(('Cálculos'!$C$198+(($B$54)-$A23)*'Cálculos'!$C$98)+1400)+'Cálculos'!$C$123)*'Cálculos'!$C$249)+('Cálculos'!$C$198+(($B$54)-$A23)*'Cálculos'!$C$98)*('Cálculos'!$C$240+'Cálculos'!$C$124*(1+2.78*('Cálculos'!$C$198+(($B$54)-$A23)*'Cálculos'!$C$98)/(('Cálculos'!$C$198+(($B$54)-$A23)*'Cálculos'!$C$98)+1400)+'Cálculos'!$C$122)*'Cálculos'!$C$245+'Cálculos'!$C$125*(1+2.78*('Cálculos'!$C$198+(($B$54)-$A23)*'Cálculos'!$C$98)/(('Cálculos'!$C$198+(($B$54)-$A23)*'Cálculos'!$C$98)+1400)+'Cálculos'!$C$123)*'Cálculos'!$C$250)+('Cálculos'!$C$201*(1+'Cálculos'!$C$202+$A23*('Cálculos'!$C$290=2)*'Cálculos'!$C$101)+'Cálculos'!$C$203)*('Cálculos'!$C$241+'Cálculos'!$C$124*(1+2.78*('Cálculos'!$C$198+(($B$54)-$A23)*'Cálculos'!$C$98)/(('Cálculos'!$C$198+(($B$54)-$A23)*'Cálculos'!$C$98)+1400)+'Cálculos'!$C$122)*'Cálculos'!$C$246+'Cálculos'!$C$125*(1+2.78*('Cálculos'!$C$198+(($B$54)-$A23)*'Cálculos'!$C$98)/(('Cálculos'!$C$198+(($B$54)-$A23)*'Cálculos'!$C$98)+1400)+'Cálculos'!$C$123)*'Cálculos'!$C$251)+('Cálculos'!$C$204*(1+'Cálculos'!$C$205+$A23*('Cálculos'!$C$290=3)*'Cálculos'!$C$103)+'Cálculos'!$C$206)*('Cálculos'!$C$242+'Cálculos'!$C$124*(1+2.78*('Cálculos'!$C$198+(($B$54)-$A23)*'Cálculos'!$C$98)/(('Cálculos'!$C$198+(($B$54)-$A23)*'Cálculos'!$C$98)+1400)+'Cálculos'!$C$122)*'Cálculos'!$C$247+'Cálculos'!$C$125*(1+2.78*('Cálculos'!$C$198+(($B$54)-$A23)*'Cálculos'!$C$98)/(('Cálculos'!$C$198+(($B$54)-$A23)*'Cálculos'!$C$98)+1400)+'Cálculos'!$C$123)*'Cálculos'!$C$252)+('Cálculos'!$C$185*(1+'Cálculos'!$C$189+$A23*('Cálculos'!$C$290=1)*'Cálculos'!$C$97+'Cálculos'!$C$305)+'Cálculos'!$C$194)*('Cálculos'!$C$254+'Cálculos'!$C$124*(1+2.78*('Cálculos'!$C$199+(($B$54)-$A23)*'Cálculos'!$C$98)/(('Cálculos'!$C$199+(($B$54)-$A23)*'Cálculos'!$C$98)+1400)+'Cálculos'!$C$122)*'Cálculos'!$C$259+'Cálculos'!$C$125*(1+2.78*('Cálculos'!$C$199+(($B$54)-$A23)*'Cálculos'!$C$98)/(('Cálculos'!$C$199+(($B$54)-$A23)*'Cálculos'!$C$98)+1400)+'Cálculos'!$C$123)*'Cálculos'!$C$264)+('Cálculos'!$C$199+(($B$54)-$A23)*'Cálculos'!$C$98)*('Cálculos'!$C$255+'Cálculos'!$C$124*(1+2.78*('Cálculos'!$C$199+(($B$54)-$A23)*'Cálculos'!$C$98)/(('Cálculos'!$C$199+(($B$54)-$A23)*'Cálculos'!$C$98)+1400)+'Cálculos'!$C$122)*'Cálculos'!$C$260+'Cálculos'!$C$125*(1+2.78*('Cálculos'!$C$199+(($B$54)-$A23)*'Cálculos'!$C$98)/(('Cálculos'!$C$199+(($B$54)-$A23)*'Cálculos'!$C$98)+1400)+'Cálculos'!$C$123)*'Cálculos'!$C$265)+('Cálculos'!$C$201*(1+'Cálculos'!$C$202+$A23*('Cálculos'!$C$290=2)*'Cálculos'!$C$101)+'Cálculos'!$C$203)*('Cálculos'!$C$256+'Cálculos'!$C$124*(1+2.78*('Cálculos'!$C$199+(($B$54)-$A23)*'Cálculos'!$C$98)/(('Cálculos'!$C$199+(($B$54)-$A23)*'Cálculos'!$C$98)+1400)+'Cálculos'!$C$122)*'Cálculos'!$C$261+'Cálculos'!$C$125*(1+2.78*('Cálculos'!$C$199+(($B$54)-$A23)*'Cálculos'!$C$98)/(('Cálculos'!$C$199+(($B$54)-$A23)*'Cálculos'!$C$98)+1400)+'Cálculos'!$C$123)*'Cálculos'!$C$266)+('Cálculos'!$C$204*(1+'Cálculos'!$C$205+$A23*('Cálculos'!$C$290=3)*'Cálculos'!$C$103)+'Cálculos'!$C$206)*('Cálculos'!$C$257+'Cálculos'!$C$124*(1+2.78*('Cálculos'!$C$199+(($B$54)-$A23)*'Cálculos'!$C$98)/(('Cálculos'!$C$199+(($B$54)-$A23)*'Cálculos'!$C$98)+1400)+'Cálculos'!$C$122)*'Cálculos'!$C$262+'Cálculos'!$C$125*(1+2.78*('Cálculos'!$C$199+(($B$54)-$A23)*'Cálculos'!$C$98)/(('Cálculos'!$C$199+(($B$54)-$A23)*'Cálculos'!$C$98)+1400)+'Cálculos'!$C$123)*'Cálculos'!$C$267)+('Cálculos'!$C$185*(1+'Cálculos'!$C$190+$A23*('Cálculos'!$C$290=1)*'Cálculos'!$C$97+'Cálculos'!$C$305)+'Cálculos'!$C$195)*('Cálculos'!$C$269+'Cálculos'!$C$124*(1+2.78*('Cálculos'!$C$200+(($B$54)-$A23)*'Cálculos'!$C$98)/(('Cálculos'!$C$200+(($B$54)-$A23)*'Cálculos'!$C$98)+1400)+'Cálculos'!$C$122)*'Cálculos'!$C$274+'Cálculos'!$C$125*(1+2.78*('Cálculos'!$C$200+(($B$54)-$A23)*'Cálculos'!$C$98)/(('Cálculos'!$C$200+(($B$54)-$A23)*'Cálculos'!$C$98)+1400)+'Cálculos'!$C$123)*'Cálculos'!$C$279)+('Cálculos'!$C$200+(($B$54)-$A23)*'Cálculos'!$C$98)*('Cálculos'!$C$270+'Cálculos'!$C$124*(1+2.78*('Cálculos'!$C$200+(($B$54)-$A23)*'Cálculos'!$C$98)/(('Cálculos'!$C$200+(($B$54)-$A23)*'Cálculos'!$C$98)+1400)+'Cálculos'!$C$122)*'Cálculos'!$C$275+'Cálculos'!$C$125*(1+2.78*('Cálculos'!$C$200+(($B$54)-$A23)*'Cálculos'!$C$98)/(('Cálculos'!$C$200+(($B$54)-$A23)*'Cálculos'!$C$98)+1400)+'Cálculos'!$C$123)*'Cálculos'!$C$280)+('Cálculos'!$C$201*(1+'Cálculos'!$C$202+$A23*('Cálculos'!$C$290=2)*'Cálculos'!$C$101)+'Cálculos'!$C$203)*('Cálculos'!$C$271+'Cálculos'!$C$124*(1+2.78*('Cálculos'!$C$200+(($B$54)-$A23)*'Cálculos'!$C$98)/(('Cálculos'!$C$200+(($B$54)-$A23)*'Cálculos'!$C$98)+1400)+'Cálculos'!$C$122)*'Cálculos'!$C$276+'Cálculos'!$C$125*(1+2.78*('Cálculos'!$C$200+(($B$54)-$A23)*'Cálculos'!$C$98)/(('Cálculos'!$C$200+(($B$54)-$A23)*'Cálculos'!$C$98)+1400)+'Cálculos'!$C$123)*'Cálculos'!$C$281)+('Cálculos'!$C$204*(1+'Cálculos'!$C$205+$A23*('Cálculos'!$C$290=3)*'Cálculos'!$C$103)+'Cálculos'!$C$206)*('Cálculos'!$C$272+'Cálculos'!$C$124*(1+2.78*('Cálculos'!$C$200+(($B$54)-$A23)*'Cálculos'!$C$98)/(('Cálculos'!$C$200+(($B$54)-$A23)*'Cálculos'!$C$98)+1400)+'Cálculos'!$C$122)*'Cálculos'!$C$277+'Cálculos'!$C$125*(1+2.78*('Cálculos'!$C$200+(($B$54)-$A23)*'Cálculos'!$C$98)/(('Cálculos'!$C$200+(($B$54)-$A23)*'Cálculos'!$C$98)+1400)+'Cálculos'!$C$123)*'Cálculos'!$C$282)))</f>
        <v>0</v>
      </c>
    </row>
    <row r="24" ht="15.75" customHeight="1">
      <c r="A24" s="2">
        <v>18.0</v>
      </c>
      <c r="B24" s="30">
        <f>SUMPRODUCT(MAX(($A$6:$A$51&lt;=$A24)*($A$6:$A$51&lt;='Cálculos'!$C$294)*(($A24)-$A$6:$A$51&lt;='Cálculos'!$C$295)*(1+(('Cálculos'!$C$207+$A$6:$A$51*'Cálculos'!$C$95)-(('Cálculos'!$C$207+$A$6:$A$51*'Cálculos'!$C$95)&gt;1)*(('Cálculos'!$C$207+$A$6:$A$51*'Cálculos'!$C$95)-1))*('Cálculos'!$C$208+(($A24)-$A$6:$A$51)*'Cálculos'!$C$96))))</f>
        <v>3.42305</v>
      </c>
      <c r="C24" s="2">
        <f>'Cálculos'!$C$303-$A24</f>
        <v>2</v>
      </c>
      <c r="D24" s="31">
        <f>IF($C24&lt;0,0,SUMPRODUCT(MAX(($A$6:$A$51&lt;=$C24)*($A$6:$A$51&lt;='Cálculos'!$C$301)*(($C24)-$A$6:$A$51&lt;='Cálculos'!$C$297)*(('Cálculos'!$C$185*(1+'Cálculos'!$C$186+$A$6:$A$51*('Cálculos'!$C$290=1)*'Cálculos'!$C$97+'Cálculos'!$C$305)+'Cálculos'!$C$191)*('Cálculos'!$C$209+'Cálculos'!$C$124*(1+2.78*('Cálculos'!$C$196+(($C24)-$A$6:$A$51)*'Cálculos'!$C$98)/(('Cálculos'!$C$196+(($C24)-$A$6:$A$51)*'Cálculos'!$C$98)+1400)+'Cálculos'!$C$122)*'Cálculos'!$C$214+'Cálculos'!$C$125*(1+2.78*('Cálculos'!$C$196+(($C24)-$A$6:$A$51)*'Cálculos'!$C$98)/(('Cálculos'!$C$196+(($C24)-$A$6:$A$51)*'Cálculos'!$C$98)+1400)+'Cálculos'!$C$123)*'Cálculos'!$C$219)+('Cálculos'!$C$196+(($C24)-$A$6:$A$51)*'Cálculos'!$C$98)*('Cálculos'!$C$210+'Cálculos'!$C$124*(1+2.78*('Cálculos'!$C$196+(($C24)-$A$6:$A$51)*'Cálculos'!$C$98)/(('Cálculos'!$C$196+(($C24)-$A$6:$A$51)*'Cálculos'!$C$98)+1400)+'Cálculos'!$C$122)*'Cálculos'!$C$215+'Cálculos'!$C$125*(1+2.78*('Cálculos'!$C$196+(($C24)-$A$6:$A$51)*'Cálculos'!$C$98)/(('Cálculos'!$C$196+(($C24)-$A$6:$A$51)*'Cálculos'!$C$98)+1400)+'Cálculos'!$C$123)*'Cálculos'!$C$220)+('Cálculos'!$C$201*(1+'Cálculos'!$C$202+$A$6:$A$51*('Cálculos'!$C$290=2)*'Cálculos'!$C$101)+'Cálculos'!$C$203)*('Cálculos'!$C$211+'Cálculos'!$C$124*(1+2.78*('Cálculos'!$C$196+(($C24)-$A$6:$A$51)*'Cálculos'!$C$98)/(('Cálculos'!$C$196+(($C24)-$A$6:$A$51)*'Cálculos'!$C$98)+1400)+'Cálculos'!$C$122)*'Cálculos'!$C$216+'Cálculos'!$C$125*(1+2.78*('Cálculos'!$C$196+(($C24)-$A$6:$A$51)*'Cálculos'!$C$98)/(('Cálculos'!$C$196+(($C24)-$A$6:$A$51)*'Cálculos'!$C$98)+1400)+'Cálculos'!$C$123)*'Cálculos'!$C$221)+('Cálculos'!$C$204*(1+'Cálculos'!$C$205+$A$6:$A$51*('Cálculos'!$C$290=3)*'Cálculos'!$C$103)+'Cálculos'!$C$206)*('Cálculos'!$C$212+'Cálculos'!$C$124*(1+2.78*('Cálculos'!$C$196+(($C24)-$A$6:$A$51)*'Cálculos'!$C$98)/(('Cálculos'!$C$196+(($C24)-$A$6:$A$51)*'Cálculos'!$C$98)+1400)+'Cálculos'!$C$122)*'Cálculos'!$C$217+'Cálculos'!$C$125*(1+2.78*('Cálculos'!$C$196+(($C24)-$A$6:$A$51)*'Cálculos'!$C$98)/(('Cálculos'!$C$196+(($C24)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24)-$A$6:$A$51)*'Cálculos'!$C$98)/(('Cálculos'!$C$197+(($C24)-$A$6:$A$51)*'Cálculos'!$C$98)+1400)+'Cálculos'!$C$122)*'Cálculos'!$C$229+'Cálculos'!$C$125*(1+2.78*('Cálculos'!$C$197+(($C24)-$A$6:$A$51)*'Cálculos'!$C$98)/(('Cálculos'!$C$197+(($C24)-$A$6:$A$51)*'Cálculos'!$C$98)+1400)+'Cálculos'!$C$123)*'Cálculos'!$C$234)+('Cálculos'!$C$197+(($C24)-$A$6:$A$51)*'Cálculos'!$C$98)*('Cálculos'!$C$225+'Cálculos'!$C$124*(1+2.78*('Cálculos'!$C$197+(($C24)-$A$6:$A$51)*'Cálculos'!$C$98)/(('Cálculos'!$C$197+(($C24)-$A$6:$A$51)*'Cálculos'!$C$98)+1400)+'Cálculos'!$C$122)*'Cálculos'!$C$230+'Cálculos'!$C$125*(1+2.78*('Cálculos'!$C$197+(($C24)-$A$6:$A$51)*'Cálculos'!$C$98)/(('Cálculos'!$C$197+(($C24)-$A$6:$A$51)*'Cálculos'!$C$98)+1400)+'Cálculos'!$C$123)*'Cálculos'!$C$235)+('Cálculos'!$C$201*(1+'Cálculos'!$C$202+$A$6:$A$51*('Cálculos'!$C$290=2)*'Cálculos'!$C$101)+'Cálculos'!$C$203)*('Cálculos'!$C$226+'Cálculos'!$C$124*(1+2.78*('Cálculos'!$C$197+(($C24)-$A$6:$A$51)*'Cálculos'!$C$98)/(('Cálculos'!$C$197+(($C24)-$A$6:$A$51)*'Cálculos'!$C$98)+1400)+'Cálculos'!$C$122)*'Cálculos'!$C$231+'Cálculos'!$C$125*(1+2.78*('Cálculos'!$C$197+(($C24)-$A$6:$A$51)*'Cálculos'!$C$98)/(('Cálculos'!$C$197+(($C24)-$A$6:$A$51)*'Cálculos'!$C$98)+1400)+'Cálculos'!$C$123)*'Cálculos'!$C$236)+('Cálculos'!$C$204*(1+'Cálculos'!$C$205+$A$6:$A$51*('Cálculos'!$C$290=3)*'Cálculos'!$C$103)+'Cálculos'!$C$206)*('Cálculos'!$C$227+'Cálculos'!$C$124*(1+2.78*('Cálculos'!$C$197+(($C24)-$A$6:$A$51)*'Cálculos'!$C$98)/(('Cálculos'!$C$197+(($C24)-$A$6:$A$51)*'Cálculos'!$C$98)+1400)+'Cálculos'!$C$122)*'Cálculos'!$C$232+'Cálculos'!$C$125*(1+2.78*('Cálculos'!$C$197+(($C24)-$A$6:$A$51)*'Cálculos'!$C$98)/(('Cálculos'!$C$197+(($C24)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24)-$A$6:$A$51)*'Cálculos'!$C$98)/(('Cálculos'!$C$198+(($C24)-$A$6:$A$51)*'Cálculos'!$C$98)+1400)+'Cálculos'!$C$122)*'Cálculos'!$C$244+'Cálculos'!$C$125*(1+2.78*('Cálculos'!$C$198+(($C24)-$A$6:$A$51)*'Cálculos'!$C$98)/(('Cálculos'!$C$198+(($C24)-$A$6:$A$51)*'Cálculos'!$C$98)+1400)+'Cálculos'!$C$123)*'Cálculos'!$C$249)+('Cálculos'!$C$198+(($C24)-$A$6:$A$51)*'Cálculos'!$C$98)*('Cálculos'!$C$240+'Cálculos'!$C$124*(1+2.78*('Cálculos'!$C$198+(($C24)-$A$6:$A$51)*'Cálculos'!$C$98)/(('Cálculos'!$C$198+(($C24)-$A$6:$A$51)*'Cálculos'!$C$98)+1400)+'Cálculos'!$C$122)*'Cálculos'!$C$245+'Cálculos'!$C$125*(1+2.78*('Cálculos'!$C$198+(($C24)-$A$6:$A$51)*'Cálculos'!$C$98)/(('Cálculos'!$C$198+(($C24)-$A$6:$A$51)*'Cálculos'!$C$98)+1400)+'Cálculos'!$C$123)*'Cálculos'!$C$250)+('Cálculos'!$C$201*(1+'Cálculos'!$C$202+$A$6:$A$51*('Cálculos'!$C$290=2)*'Cálculos'!$C$101)+'Cálculos'!$C$203)*('Cálculos'!$C$241+'Cálculos'!$C$124*(1+2.78*('Cálculos'!$C$198+(($C24)-$A$6:$A$51)*'Cálculos'!$C$98)/(('Cálculos'!$C$198+(($C24)-$A$6:$A$51)*'Cálculos'!$C$98)+1400)+'Cálculos'!$C$122)*'Cálculos'!$C$246+'Cálculos'!$C$125*(1+2.78*('Cálculos'!$C$198+(($C24)-$A$6:$A$51)*'Cálculos'!$C$98)/(('Cálculos'!$C$198+(($C24)-$A$6:$A$51)*'Cálculos'!$C$98)+1400)+'Cálculos'!$C$123)*'Cálculos'!$C$251)+('Cálculos'!$C$204*(1+'Cálculos'!$C$205+$A$6:$A$51*('Cálculos'!$C$290=3)*'Cálculos'!$C$103)+'Cálculos'!$C$206)*('Cálculos'!$C$242+'Cálculos'!$C$124*(1+2.78*('Cálculos'!$C$198+(($C24)-$A$6:$A$51)*'Cálculos'!$C$98)/(('Cálculos'!$C$198+(($C24)-$A$6:$A$51)*'Cálculos'!$C$98)+1400)+'Cálculos'!$C$122)*'Cálculos'!$C$247+'Cálculos'!$C$125*(1+2.78*('Cálculos'!$C$198+(($C24)-$A$6:$A$51)*'Cálculos'!$C$98)/(('Cálculos'!$C$198+(($C24)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24)-$A$6:$A$51)*'Cálculos'!$C$98)/(('Cálculos'!$C$199+(($C24)-$A$6:$A$51)*'Cálculos'!$C$98)+1400)+'Cálculos'!$C$122)*'Cálculos'!$C$259+'Cálculos'!$C$125*(1+2.78*('Cálculos'!$C$199+(($C24)-$A$6:$A$51)*'Cálculos'!$C$98)/(('Cálculos'!$C$199+(($C24)-$A$6:$A$51)*'Cálculos'!$C$98)+1400)+'Cálculos'!$C$123)*'Cálculos'!$C$264)+('Cálculos'!$C$199+(($C24)-$A$6:$A$51)*'Cálculos'!$C$98)*('Cálculos'!$C$255+'Cálculos'!$C$124*(1+2.78*('Cálculos'!$C$199+(($C24)-$A$6:$A$51)*'Cálculos'!$C$98)/(('Cálculos'!$C$199+(($C24)-$A$6:$A$51)*'Cálculos'!$C$98)+1400)+'Cálculos'!$C$122)*'Cálculos'!$C$260+'Cálculos'!$C$125*(1+2.78*('Cálculos'!$C$199+(($C24)-$A$6:$A$51)*'Cálculos'!$C$98)/(('Cálculos'!$C$199+(($C24)-$A$6:$A$51)*'Cálculos'!$C$98)+1400)+'Cálculos'!$C$123)*'Cálculos'!$C$265)+('Cálculos'!$C$201*(1+'Cálculos'!$C$202+$A$6:$A$51*('Cálculos'!$C$290=2)*'Cálculos'!$C$101)+'Cálculos'!$C$203)*('Cálculos'!$C$256+'Cálculos'!$C$124*(1+2.78*('Cálculos'!$C$199+(($C24)-$A$6:$A$51)*'Cálculos'!$C$98)/(('Cálculos'!$C$199+(($C24)-$A$6:$A$51)*'Cálculos'!$C$98)+1400)+'Cálculos'!$C$122)*'Cálculos'!$C$261+'Cálculos'!$C$125*(1+2.78*('Cálculos'!$C$199+(($C24)-$A$6:$A$51)*'Cálculos'!$C$98)/(('Cálculos'!$C$199+(($C24)-$A$6:$A$51)*'Cálculos'!$C$98)+1400)+'Cálculos'!$C$123)*'Cálculos'!$C$266)+('Cálculos'!$C$204*(1+'Cálculos'!$C$205+$A$6:$A$51*('Cálculos'!$C$290=3)*'Cálculos'!$C$103)+'Cálculos'!$C$206)*('Cálculos'!$C$257+'Cálculos'!$C$124*(1+2.78*('Cálculos'!$C$199+(($C24)-$A$6:$A$51)*'Cálculos'!$C$98)/(('Cálculos'!$C$199+(($C24)-$A$6:$A$51)*'Cálculos'!$C$98)+1400)+'Cálculos'!$C$122)*'Cálculos'!$C$262+'Cálculos'!$C$125*(1+2.78*('Cálculos'!$C$199+(($C24)-$A$6:$A$51)*'Cálculos'!$C$98)/(('Cálculos'!$C$199+(($C24)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24)-$A$6:$A$51)*'Cálculos'!$C$98)/(('Cálculos'!$C$200+(($C24)-$A$6:$A$51)*'Cálculos'!$C$98)+1400)+'Cálculos'!$C$122)*'Cálculos'!$C$274+'Cálculos'!$C$125*(1+2.78*('Cálculos'!$C$200+(($C24)-$A$6:$A$51)*'Cálculos'!$C$98)/(('Cálculos'!$C$200+(($C24)-$A$6:$A$51)*'Cálculos'!$C$98)+1400)+'Cálculos'!$C$123)*'Cálculos'!$C$279)+('Cálculos'!$C$200+(($C24)-$A$6:$A$51)*'Cálculos'!$C$98)*('Cálculos'!$C$270+'Cálculos'!$C$124*(1+2.78*('Cálculos'!$C$200+(($C24)-$A$6:$A$51)*'Cálculos'!$C$98)/(('Cálculos'!$C$200+(($C24)-$A$6:$A$51)*'Cálculos'!$C$98)+1400)+'Cálculos'!$C$122)*'Cálculos'!$C$275+'Cálculos'!$C$125*(1+2.78*('Cálculos'!$C$200+(($C24)-$A$6:$A$51)*'Cálculos'!$C$98)/(('Cálculos'!$C$200+(($C24)-$A$6:$A$51)*'Cálculos'!$C$98)+1400)+'Cálculos'!$C$123)*'Cálculos'!$C$280)+('Cálculos'!$C$201*(1+'Cálculos'!$C$202+$A$6:$A$51*('Cálculos'!$C$290=2)*'Cálculos'!$C$101)+'Cálculos'!$C$203)*('Cálculos'!$C$271+'Cálculos'!$C$124*(1+2.78*('Cálculos'!$C$200+(($C24)-$A$6:$A$51)*'Cálculos'!$C$98)/(('Cálculos'!$C$200+(($C24)-$A$6:$A$51)*'Cálculos'!$C$98)+1400)+'Cálculos'!$C$122)*'Cálculos'!$C$276+'Cálculos'!$C$125*(1+2.78*('Cálculos'!$C$200+(($C24)-$A$6:$A$51)*'Cálculos'!$C$98)/(('Cálculos'!$C$200+(($C24)-$A$6:$A$51)*'Cálculos'!$C$98)+1400)+'Cálculos'!$C$123)*'Cálculos'!$C$281)+('Cálculos'!$C$204*(1+'Cálculos'!$C$205+$A$6:$A$51*('Cálculos'!$C$290=3)*'Cálculos'!$C$103)+'Cálculos'!$C$206)*('Cálculos'!$C$272+'Cálculos'!$C$124*(1+2.78*('Cálculos'!$C$200+(($C24)-$A$6:$A$51)*'Cálculos'!$C$98)/(('Cálculos'!$C$200+(($C24)-$A$6:$A$51)*'Cálculos'!$C$98)+1400)+'Cálculos'!$C$122)*'Cálculos'!$C$277+'Cálculos'!$C$125*(1+2.78*('Cálculos'!$C$200+(($C24)-$A$6:$A$51)*'Cálculos'!$C$98)/(('Cálculos'!$C$200+(($C24)-$A$6:$A$51)*'Cálculos'!$C$98)+1400)+'Cálculos'!$C$123)*'Cálculos'!$C$282)))))</f>
        <v>1071433.508</v>
      </c>
      <c r="E24" s="32">
        <f>IF(OR($C24&lt;0,'Cálculos'!$C$6=""),0,$B24*$D24)</f>
        <v>3667570.469</v>
      </c>
      <c r="F24" s="2"/>
      <c r="G24" s="30">
        <f>($A24&lt;=$B$53)*($A24&lt;='Cálculos'!$C$294)*(($B$53)-$A24&lt;='Cálculos'!$C$295)*(1+MIN(('Cálculos'!$C$207+$A24*'Cálculos'!$C$95),1)*('Cálculos'!$C$208+(($B$53)-$A24)*'Cálculos'!$C$96))</f>
        <v>0</v>
      </c>
      <c r="H24" s="31">
        <f>IF($B$54&lt;0,0,($A24&lt;=$B$54)*($A24&lt;='Cálculos'!$C$301)*(($B$54)-$A24&lt;='Cálculos'!$C$297)*(('Cálculos'!$C$185*(1+'Cálculos'!$C$186+$A24*('Cálculos'!$C$290=1)*'Cálculos'!$C$97+'Cálculos'!$C$305)+'Cálculos'!$C$191)*('Cálculos'!$C$209+'Cálculos'!$C$124*(1+2.78*('Cálculos'!$C$196+(($B$54)-$A24)*'Cálculos'!$C$98)/(('Cálculos'!$C$196+(($B$54)-$A24)*'Cálculos'!$C$98)+1400)+'Cálculos'!$C$122)*'Cálculos'!$C$214+'Cálculos'!$C$125*(1+2.78*('Cálculos'!$C$196+(($B$54)-$A24)*'Cálculos'!$C$98)/(('Cálculos'!$C$196+(($B$54)-$A24)*'Cálculos'!$C$98)+1400)+'Cálculos'!$C$123)*'Cálculos'!$C$219)+('Cálculos'!$C$196+(($B$54)-$A24)*'Cálculos'!$C$98)*('Cálculos'!$C$210+'Cálculos'!$C$124*(1+2.78*('Cálculos'!$C$196+(($B$54)-$A24)*'Cálculos'!$C$98)/(('Cálculos'!$C$196+(($B$54)-$A24)*'Cálculos'!$C$98)+1400)+'Cálculos'!$C$122)*'Cálculos'!$C$215+'Cálculos'!$C$125*(1+2.78*('Cálculos'!$C$196+(($B$54)-$A24)*'Cálculos'!$C$98)/(('Cálculos'!$C$196+(($B$54)-$A24)*'Cálculos'!$C$98)+1400)+'Cálculos'!$C$123)*'Cálculos'!$C$220)+('Cálculos'!$C$201*(1+'Cálculos'!$C$202+$A24*('Cálculos'!$C$290=2)*'Cálculos'!$C$101)+'Cálculos'!$C$203)*('Cálculos'!$C$211+'Cálculos'!$C$124*(1+2.78*('Cálculos'!$C$196+(($B$54)-$A24)*'Cálculos'!$C$98)/(('Cálculos'!$C$196+(($B$54)-$A24)*'Cálculos'!$C$98)+1400)+'Cálculos'!$C$122)*'Cálculos'!$C$216+'Cálculos'!$C$125*(1+2.78*('Cálculos'!$C$196+(($B$54)-$A24)*'Cálculos'!$C$98)/(('Cálculos'!$C$196+(($B$54)-$A24)*'Cálculos'!$C$98)+1400)+'Cálculos'!$C$123)*'Cálculos'!$C$221)+('Cálculos'!$C$204*(1+'Cálculos'!$C$205+$A24*('Cálculos'!$C$290=3)*'Cálculos'!$C$103)+'Cálculos'!$C$206)*('Cálculos'!$C$212+'Cálculos'!$C$124*(1+2.78*('Cálculos'!$C$196+(($B$54)-$A24)*'Cálculos'!$C$98)/(('Cálculos'!$C$196+(($B$54)-$A24)*'Cálculos'!$C$98)+1400)+'Cálculos'!$C$122)*'Cálculos'!$C$217+'Cálculos'!$C$125*(1+2.78*('Cálculos'!$C$196+(($B$54)-$A24)*'Cálculos'!$C$98)/(('Cálculos'!$C$196+(($B$54)-$A24)*'Cálculos'!$C$98)+1400)+'Cálculos'!$C$123)*'Cálculos'!$C$222)+('Cálculos'!$C$185*(1+'Cálculos'!$C$187+$A24*('Cálculos'!$C$290=1)*'Cálculos'!$C$97+'Cálculos'!$C$305)+'Cálculos'!$C$192)*('Cálculos'!$C$224+'Cálculos'!$C$124*(1+2.78*('Cálculos'!$C$197+(($B$54)-$A24)*'Cálculos'!$C$98)/(('Cálculos'!$C$197+(($B$54)-$A24)*'Cálculos'!$C$98)+1400)+'Cálculos'!$C$122)*'Cálculos'!$C$229+'Cálculos'!$C$125*(1+2.78*('Cálculos'!$C$197+(($B$54)-$A24)*'Cálculos'!$C$98)/(('Cálculos'!$C$197+(($B$54)-$A24)*'Cálculos'!$C$98)+1400)+'Cálculos'!$C$123)*'Cálculos'!$C$234)+('Cálculos'!$C$197+(($B$54)-$A24)*'Cálculos'!$C$98)*('Cálculos'!$C$225+'Cálculos'!$C$124*(1+2.78*('Cálculos'!$C$197+(($B$54)-$A24)*'Cálculos'!$C$98)/(('Cálculos'!$C$197+(($B$54)-$A24)*'Cálculos'!$C$98)+1400)+'Cálculos'!$C$122)*'Cálculos'!$C$230+'Cálculos'!$C$125*(1+2.78*('Cálculos'!$C$197+(($B$54)-$A24)*'Cálculos'!$C$98)/(('Cálculos'!$C$197+(($B$54)-$A24)*'Cálculos'!$C$98)+1400)+'Cálculos'!$C$123)*'Cálculos'!$C$235)+('Cálculos'!$C$201*(1+'Cálculos'!$C$202+$A24*('Cálculos'!$C$290=2)*'Cálculos'!$C$101)+'Cálculos'!$C$203)*('Cálculos'!$C$226+'Cálculos'!$C$124*(1+2.78*('Cálculos'!$C$197+(($B$54)-$A24)*'Cálculos'!$C$98)/(('Cálculos'!$C$197+(($B$54)-$A24)*'Cálculos'!$C$98)+1400)+'Cálculos'!$C$122)*'Cálculos'!$C$231+'Cálculos'!$C$125*(1+2.78*('Cálculos'!$C$197+(($B$54)-$A24)*'Cálculos'!$C$98)/(('Cálculos'!$C$197+(($B$54)-$A24)*'Cálculos'!$C$98)+1400)+'Cálculos'!$C$123)*'Cálculos'!$C$236)+('Cálculos'!$C$204*(1+'Cálculos'!$C$205+$A24*('Cálculos'!$C$290=3)*'Cálculos'!$C$103)+'Cálculos'!$C$206)*('Cálculos'!$C$227+'Cálculos'!$C$124*(1+2.78*('Cálculos'!$C$197+(($B$54)-$A24)*'Cálculos'!$C$98)/(('Cálculos'!$C$197+(($B$54)-$A24)*'Cálculos'!$C$98)+1400)+'Cálculos'!$C$122)*'Cálculos'!$C$232+'Cálculos'!$C$125*(1+2.78*('Cálculos'!$C$197+(($B$54)-$A24)*'Cálculos'!$C$98)/(('Cálculos'!$C$197+(($B$54)-$A24)*'Cálculos'!$C$98)+1400)+'Cálculos'!$C$123)*'Cálculos'!$C$237)+('Cálculos'!$C$185*(1+'Cálculos'!$C$188+$A24*('Cálculos'!$C$290=1)*'Cálculos'!$C$97+'Cálculos'!$C$305)+'Cálculos'!$C$193)*('Cálculos'!$C$239+'Cálculos'!$C$124*(1+2.78*('Cálculos'!$C$198+(($B$54)-$A24)*'Cálculos'!$C$98)/(('Cálculos'!$C$198+(($B$54)-$A24)*'Cálculos'!$C$98)+1400)+'Cálculos'!$C$122)*'Cálculos'!$C$244+'Cálculos'!$C$125*(1+2.78*('Cálculos'!$C$198+(($B$54)-$A24)*'Cálculos'!$C$98)/(('Cálculos'!$C$198+(($B$54)-$A24)*'Cálculos'!$C$98)+1400)+'Cálculos'!$C$123)*'Cálculos'!$C$249)+('Cálculos'!$C$198+(($B$54)-$A24)*'Cálculos'!$C$98)*('Cálculos'!$C$240+'Cálculos'!$C$124*(1+2.78*('Cálculos'!$C$198+(($B$54)-$A24)*'Cálculos'!$C$98)/(('Cálculos'!$C$198+(($B$54)-$A24)*'Cálculos'!$C$98)+1400)+'Cálculos'!$C$122)*'Cálculos'!$C$245+'Cálculos'!$C$125*(1+2.78*('Cálculos'!$C$198+(($B$54)-$A24)*'Cálculos'!$C$98)/(('Cálculos'!$C$198+(($B$54)-$A24)*'Cálculos'!$C$98)+1400)+'Cálculos'!$C$123)*'Cálculos'!$C$250)+('Cálculos'!$C$201*(1+'Cálculos'!$C$202+$A24*('Cálculos'!$C$290=2)*'Cálculos'!$C$101)+'Cálculos'!$C$203)*('Cálculos'!$C$241+'Cálculos'!$C$124*(1+2.78*('Cálculos'!$C$198+(($B$54)-$A24)*'Cálculos'!$C$98)/(('Cálculos'!$C$198+(($B$54)-$A24)*'Cálculos'!$C$98)+1400)+'Cálculos'!$C$122)*'Cálculos'!$C$246+'Cálculos'!$C$125*(1+2.78*('Cálculos'!$C$198+(($B$54)-$A24)*'Cálculos'!$C$98)/(('Cálculos'!$C$198+(($B$54)-$A24)*'Cálculos'!$C$98)+1400)+'Cálculos'!$C$123)*'Cálculos'!$C$251)+('Cálculos'!$C$204*(1+'Cálculos'!$C$205+$A24*('Cálculos'!$C$290=3)*'Cálculos'!$C$103)+'Cálculos'!$C$206)*('Cálculos'!$C$242+'Cálculos'!$C$124*(1+2.78*('Cálculos'!$C$198+(($B$54)-$A24)*'Cálculos'!$C$98)/(('Cálculos'!$C$198+(($B$54)-$A24)*'Cálculos'!$C$98)+1400)+'Cálculos'!$C$122)*'Cálculos'!$C$247+'Cálculos'!$C$125*(1+2.78*('Cálculos'!$C$198+(($B$54)-$A24)*'Cálculos'!$C$98)/(('Cálculos'!$C$198+(($B$54)-$A24)*'Cálculos'!$C$98)+1400)+'Cálculos'!$C$123)*'Cálculos'!$C$252)+('Cálculos'!$C$185*(1+'Cálculos'!$C$189+$A24*('Cálculos'!$C$290=1)*'Cálculos'!$C$97+'Cálculos'!$C$305)+'Cálculos'!$C$194)*('Cálculos'!$C$254+'Cálculos'!$C$124*(1+2.78*('Cálculos'!$C$199+(($B$54)-$A24)*'Cálculos'!$C$98)/(('Cálculos'!$C$199+(($B$54)-$A24)*'Cálculos'!$C$98)+1400)+'Cálculos'!$C$122)*'Cálculos'!$C$259+'Cálculos'!$C$125*(1+2.78*('Cálculos'!$C$199+(($B$54)-$A24)*'Cálculos'!$C$98)/(('Cálculos'!$C$199+(($B$54)-$A24)*'Cálculos'!$C$98)+1400)+'Cálculos'!$C$123)*'Cálculos'!$C$264)+('Cálculos'!$C$199+(($B$54)-$A24)*'Cálculos'!$C$98)*('Cálculos'!$C$255+'Cálculos'!$C$124*(1+2.78*('Cálculos'!$C$199+(($B$54)-$A24)*'Cálculos'!$C$98)/(('Cálculos'!$C$199+(($B$54)-$A24)*'Cálculos'!$C$98)+1400)+'Cálculos'!$C$122)*'Cálculos'!$C$260+'Cálculos'!$C$125*(1+2.78*('Cálculos'!$C$199+(($B$54)-$A24)*'Cálculos'!$C$98)/(('Cálculos'!$C$199+(($B$54)-$A24)*'Cálculos'!$C$98)+1400)+'Cálculos'!$C$123)*'Cálculos'!$C$265)+('Cálculos'!$C$201*(1+'Cálculos'!$C$202+$A24*('Cálculos'!$C$290=2)*'Cálculos'!$C$101)+'Cálculos'!$C$203)*('Cálculos'!$C$256+'Cálculos'!$C$124*(1+2.78*('Cálculos'!$C$199+(($B$54)-$A24)*'Cálculos'!$C$98)/(('Cálculos'!$C$199+(($B$54)-$A24)*'Cálculos'!$C$98)+1400)+'Cálculos'!$C$122)*'Cálculos'!$C$261+'Cálculos'!$C$125*(1+2.78*('Cálculos'!$C$199+(($B$54)-$A24)*'Cálculos'!$C$98)/(('Cálculos'!$C$199+(($B$54)-$A24)*'Cálculos'!$C$98)+1400)+'Cálculos'!$C$123)*'Cálculos'!$C$266)+('Cálculos'!$C$204*(1+'Cálculos'!$C$205+$A24*('Cálculos'!$C$290=3)*'Cálculos'!$C$103)+'Cálculos'!$C$206)*('Cálculos'!$C$257+'Cálculos'!$C$124*(1+2.78*('Cálculos'!$C$199+(($B$54)-$A24)*'Cálculos'!$C$98)/(('Cálculos'!$C$199+(($B$54)-$A24)*'Cálculos'!$C$98)+1400)+'Cálculos'!$C$122)*'Cálculos'!$C$262+'Cálculos'!$C$125*(1+2.78*('Cálculos'!$C$199+(($B$54)-$A24)*'Cálculos'!$C$98)/(('Cálculos'!$C$199+(($B$54)-$A24)*'Cálculos'!$C$98)+1400)+'Cálculos'!$C$123)*'Cálculos'!$C$267)+('Cálculos'!$C$185*(1+'Cálculos'!$C$190+$A24*('Cálculos'!$C$290=1)*'Cálculos'!$C$97+'Cálculos'!$C$305)+'Cálculos'!$C$195)*('Cálculos'!$C$269+'Cálculos'!$C$124*(1+2.78*('Cálculos'!$C$200+(($B$54)-$A24)*'Cálculos'!$C$98)/(('Cálculos'!$C$200+(($B$54)-$A24)*'Cálculos'!$C$98)+1400)+'Cálculos'!$C$122)*'Cálculos'!$C$274+'Cálculos'!$C$125*(1+2.78*('Cálculos'!$C$200+(($B$54)-$A24)*'Cálculos'!$C$98)/(('Cálculos'!$C$200+(($B$54)-$A24)*'Cálculos'!$C$98)+1400)+'Cálculos'!$C$123)*'Cálculos'!$C$279)+('Cálculos'!$C$200+(($B$54)-$A24)*'Cálculos'!$C$98)*('Cálculos'!$C$270+'Cálculos'!$C$124*(1+2.78*('Cálculos'!$C$200+(($B$54)-$A24)*'Cálculos'!$C$98)/(('Cálculos'!$C$200+(($B$54)-$A24)*'Cálculos'!$C$98)+1400)+'Cálculos'!$C$122)*'Cálculos'!$C$275+'Cálculos'!$C$125*(1+2.78*('Cálculos'!$C$200+(($B$54)-$A24)*'Cálculos'!$C$98)/(('Cálculos'!$C$200+(($B$54)-$A24)*'Cálculos'!$C$98)+1400)+'Cálculos'!$C$123)*'Cálculos'!$C$280)+('Cálculos'!$C$201*(1+'Cálculos'!$C$202+$A24*('Cálculos'!$C$290=2)*'Cálculos'!$C$101)+'Cálculos'!$C$203)*('Cálculos'!$C$271+'Cálculos'!$C$124*(1+2.78*('Cálculos'!$C$200+(($B$54)-$A24)*'Cálculos'!$C$98)/(('Cálculos'!$C$200+(($B$54)-$A24)*'Cálculos'!$C$98)+1400)+'Cálculos'!$C$122)*'Cálculos'!$C$276+'Cálculos'!$C$125*(1+2.78*('Cálculos'!$C$200+(($B$54)-$A24)*'Cálculos'!$C$98)/(('Cálculos'!$C$200+(($B$54)-$A24)*'Cálculos'!$C$98)+1400)+'Cálculos'!$C$123)*'Cálculos'!$C$281)+('Cálculos'!$C$204*(1+'Cálculos'!$C$205+$A24*('Cálculos'!$C$290=3)*'Cálculos'!$C$103)+'Cálculos'!$C$206)*('Cálculos'!$C$272+'Cálculos'!$C$124*(1+2.78*('Cálculos'!$C$200+(($B$54)-$A24)*'Cálculos'!$C$98)/(('Cálculos'!$C$200+(($B$54)-$A24)*'Cálculos'!$C$98)+1400)+'Cálculos'!$C$122)*'Cálculos'!$C$277+'Cálculos'!$C$125*(1+2.78*('Cálculos'!$C$200+(($B$54)-$A24)*'Cálculos'!$C$98)/(('Cálculos'!$C$200+(($B$54)-$A24)*'Cálculos'!$C$98)+1400)+'Cálculos'!$C$123)*'Cálculos'!$C$282)))</f>
        <v>0</v>
      </c>
    </row>
    <row r="25" ht="15.75" customHeight="1">
      <c r="A25" s="2">
        <v>19.0</v>
      </c>
      <c r="B25" s="30">
        <f>SUMPRODUCT(MAX(($A$6:$A$51&lt;=$A25)*($A$6:$A$51&lt;='Cálculos'!$C$294)*(($A25)-$A$6:$A$51&lt;='Cálculos'!$C$295)*(1+(('Cálculos'!$C$207+$A$6:$A$51*'Cálculos'!$C$95)-(('Cálculos'!$C$207+$A$6:$A$51*'Cálculos'!$C$95)&gt;1)*(('Cálculos'!$C$207+$A$6:$A$51*'Cálculos'!$C$95)-1))*('Cálculos'!$C$208+(($A25)-$A$6:$A$51)*'Cálculos'!$C$96))))</f>
        <v>3.488324</v>
      </c>
      <c r="C25" s="2">
        <f>'Cálculos'!$C$303-$A25</f>
        <v>1</v>
      </c>
      <c r="D25" s="31">
        <f>IF($C25&lt;0,0,SUMPRODUCT(MAX(($A$6:$A$51&lt;=$C25)*($A$6:$A$51&lt;='Cálculos'!$C$301)*(($C25)-$A$6:$A$51&lt;='Cálculos'!$C$297)*(('Cálculos'!$C$185*(1+'Cálculos'!$C$186+$A$6:$A$51*('Cálculos'!$C$290=1)*'Cálculos'!$C$97+'Cálculos'!$C$305)+'Cálculos'!$C$191)*('Cálculos'!$C$209+'Cálculos'!$C$124*(1+2.78*('Cálculos'!$C$196+(($C25)-$A$6:$A$51)*'Cálculos'!$C$98)/(('Cálculos'!$C$196+(($C25)-$A$6:$A$51)*'Cálculos'!$C$98)+1400)+'Cálculos'!$C$122)*'Cálculos'!$C$214+'Cálculos'!$C$125*(1+2.78*('Cálculos'!$C$196+(($C25)-$A$6:$A$51)*'Cálculos'!$C$98)/(('Cálculos'!$C$196+(($C25)-$A$6:$A$51)*'Cálculos'!$C$98)+1400)+'Cálculos'!$C$123)*'Cálculos'!$C$219)+('Cálculos'!$C$196+(($C25)-$A$6:$A$51)*'Cálculos'!$C$98)*('Cálculos'!$C$210+'Cálculos'!$C$124*(1+2.78*('Cálculos'!$C$196+(($C25)-$A$6:$A$51)*'Cálculos'!$C$98)/(('Cálculos'!$C$196+(($C25)-$A$6:$A$51)*'Cálculos'!$C$98)+1400)+'Cálculos'!$C$122)*'Cálculos'!$C$215+'Cálculos'!$C$125*(1+2.78*('Cálculos'!$C$196+(($C25)-$A$6:$A$51)*'Cálculos'!$C$98)/(('Cálculos'!$C$196+(($C25)-$A$6:$A$51)*'Cálculos'!$C$98)+1400)+'Cálculos'!$C$123)*'Cálculos'!$C$220)+('Cálculos'!$C$201*(1+'Cálculos'!$C$202+$A$6:$A$51*('Cálculos'!$C$290=2)*'Cálculos'!$C$101)+'Cálculos'!$C$203)*('Cálculos'!$C$211+'Cálculos'!$C$124*(1+2.78*('Cálculos'!$C$196+(($C25)-$A$6:$A$51)*'Cálculos'!$C$98)/(('Cálculos'!$C$196+(($C25)-$A$6:$A$51)*'Cálculos'!$C$98)+1400)+'Cálculos'!$C$122)*'Cálculos'!$C$216+'Cálculos'!$C$125*(1+2.78*('Cálculos'!$C$196+(($C25)-$A$6:$A$51)*'Cálculos'!$C$98)/(('Cálculos'!$C$196+(($C25)-$A$6:$A$51)*'Cálculos'!$C$98)+1400)+'Cálculos'!$C$123)*'Cálculos'!$C$221)+('Cálculos'!$C$204*(1+'Cálculos'!$C$205+$A$6:$A$51*('Cálculos'!$C$290=3)*'Cálculos'!$C$103)+'Cálculos'!$C$206)*('Cálculos'!$C$212+'Cálculos'!$C$124*(1+2.78*('Cálculos'!$C$196+(($C25)-$A$6:$A$51)*'Cálculos'!$C$98)/(('Cálculos'!$C$196+(($C25)-$A$6:$A$51)*'Cálculos'!$C$98)+1400)+'Cálculos'!$C$122)*'Cálculos'!$C$217+'Cálculos'!$C$125*(1+2.78*('Cálculos'!$C$196+(($C25)-$A$6:$A$51)*'Cálculos'!$C$98)/(('Cálculos'!$C$196+(($C25)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25)-$A$6:$A$51)*'Cálculos'!$C$98)/(('Cálculos'!$C$197+(($C25)-$A$6:$A$51)*'Cálculos'!$C$98)+1400)+'Cálculos'!$C$122)*'Cálculos'!$C$229+'Cálculos'!$C$125*(1+2.78*('Cálculos'!$C$197+(($C25)-$A$6:$A$51)*'Cálculos'!$C$98)/(('Cálculos'!$C$197+(($C25)-$A$6:$A$51)*'Cálculos'!$C$98)+1400)+'Cálculos'!$C$123)*'Cálculos'!$C$234)+('Cálculos'!$C$197+(($C25)-$A$6:$A$51)*'Cálculos'!$C$98)*('Cálculos'!$C$225+'Cálculos'!$C$124*(1+2.78*('Cálculos'!$C$197+(($C25)-$A$6:$A$51)*'Cálculos'!$C$98)/(('Cálculos'!$C$197+(($C25)-$A$6:$A$51)*'Cálculos'!$C$98)+1400)+'Cálculos'!$C$122)*'Cálculos'!$C$230+'Cálculos'!$C$125*(1+2.78*('Cálculos'!$C$197+(($C25)-$A$6:$A$51)*'Cálculos'!$C$98)/(('Cálculos'!$C$197+(($C25)-$A$6:$A$51)*'Cálculos'!$C$98)+1400)+'Cálculos'!$C$123)*'Cálculos'!$C$235)+('Cálculos'!$C$201*(1+'Cálculos'!$C$202+$A$6:$A$51*('Cálculos'!$C$290=2)*'Cálculos'!$C$101)+'Cálculos'!$C$203)*('Cálculos'!$C$226+'Cálculos'!$C$124*(1+2.78*('Cálculos'!$C$197+(($C25)-$A$6:$A$51)*'Cálculos'!$C$98)/(('Cálculos'!$C$197+(($C25)-$A$6:$A$51)*'Cálculos'!$C$98)+1400)+'Cálculos'!$C$122)*'Cálculos'!$C$231+'Cálculos'!$C$125*(1+2.78*('Cálculos'!$C$197+(($C25)-$A$6:$A$51)*'Cálculos'!$C$98)/(('Cálculos'!$C$197+(($C25)-$A$6:$A$51)*'Cálculos'!$C$98)+1400)+'Cálculos'!$C$123)*'Cálculos'!$C$236)+('Cálculos'!$C$204*(1+'Cálculos'!$C$205+$A$6:$A$51*('Cálculos'!$C$290=3)*'Cálculos'!$C$103)+'Cálculos'!$C$206)*('Cálculos'!$C$227+'Cálculos'!$C$124*(1+2.78*('Cálculos'!$C$197+(($C25)-$A$6:$A$51)*'Cálculos'!$C$98)/(('Cálculos'!$C$197+(($C25)-$A$6:$A$51)*'Cálculos'!$C$98)+1400)+'Cálculos'!$C$122)*'Cálculos'!$C$232+'Cálculos'!$C$125*(1+2.78*('Cálculos'!$C$197+(($C25)-$A$6:$A$51)*'Cálculos'!$C$98)/(('Cálculos'!$C$197+(($C25)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25)-$A$6:$A$51)*'Cálculos'!$C$98)/(('Cálculos'!$C$198+(($C25)-$A$6:$A$51)*'Cálculos'!$C$98)+1400)+'Cálculos'!$C$122)*'Cálculos'!$C$244+'Cálculos'!$C$125*(1+2.78*('Cálculos'!$C$198+(($C25)-$A$6:$A$51)*'Cálculos'!$C$98)/(('Cálculos'!$C$198+(($C25)-$A$6:$A$51)*'Cálculos'!$C$98)+1400)+'Cálculos'!$C$123)*'Cálculos'!$C$249)+('Cálculos'!$C$198+(($C25)-$A$6:$A$51)*'Cálculos'!$C$98)*('Cálculos'!$C$240+'Cálculos'!$C$124*(1+2.78*('Cálculos'!$C$198+(($C25)-$A$6:$A$51)*'Cálculos'!$C$98)/(('Cálculos'!$C$198+(($C25)-$A$6:$A$51)*'Cálculos'!$C$98)+1400)+'Cálculos'!$C$122)*'Cálculos'!$C$245+'Cálculos'!$C$125*(1+2.78*('Cálculos'!$C$198+(($C25)-$A$6:$A$51)*'Cálculos'!$C$98)/(('Cálculos'!$C$198+(($C25)-$A$6:$A$51)*'Cálculos'!$C$98)+1400)+'Cálculos'!$C$123)*'Cálculos'!$C$250)+('Cálculos'!$C$201*(1+'Cálculos'!$C$202+$A$6:$A$51*('Cálculos'!$C$290=2)*'Cálculos'!$C$101)+'Cálculos'!$C$203)*('Cálculos'!$C$241+'Cálculos'!$C$124*(1+2.78*('Cálculos'!$C$198+(($C25)-$A$6:$A$51)*'Cálculos'!$C$98)/(('Cálculos'!$C$198+(($C25)-$A$6:$A$51)*'Cálculos'!$C$98)+1400)+'Cálculos'!$C$122)*'Cálculos'!$C$246+'Cálculos'!$C$125*(1+2.78*('Cálculos'!$C$198+(($C25)-$A$6:$A$51)*'Cálculos'!$C$98)/(('Cálculos'!$C$198+(($C25)-$A$6:$A$51)*'Cálculos'!$C$98)+1400)+'Cálculos'!$C$123)*'Cálculos'!$C$251)+('Cálculos'!$C$204*(1+'Cálculos'!$C$205+$A$6:$A$51*('Cálculos'!$C$290=3)*'Cálculos'!$C$103)+'Cálculos'!$C$206)*('Cálculos'!$C$242+'Cálculos'!$C$124*(1+2.78*('Cálculos'!$C$198+(($C25)-$A$6:$A$51)*'Cálculos'!$C$98)/(('Cálculos'!$C$198+(($C25)-$A$6:$A$51)*'Cálculos'!$C$98)+1400)+'Cálculos'!$C$122)*'Cálculos'!$C$247+'Cálculos'!$C$125*(1+2.78*('Cálculos'!$C$198+(($C25)-$A$6:$A$51)*'Cálculos'!$C$98)/(('Cálculos'!$C$198+(($C25)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25)-$A$6:$A$51)*'Cálculos'!$C$98)/(('Cálculos'!$C$199+(($C25)-$A$6:$A$51)*'Cálculos'!$C$98)+1400)+'Cálculos'!$C$122)*'Cálculos'!$C$259+'Cálculos'!$C$125*(1+2.78*('Cálculos'!$C$199+(($C25)-$A$6:$A$51)*'Cálculos'!$C$98)/(('Cálculos'!$C$199+(($C25)-$A$6:$A$51)*'Cálculos'!$C$98)+1400)+'Cálculos'!$C$123)*'Cálculos'!$C$264)+('Cálculos'!$C$199+(($C25)-$A$6:$A$51)*'Cálculos'!$C$98)*('Cálculos'!$C$255+'Cálculos'!$C$124*(1+2.78*('Cálculos'!$C$199+(($C25)-$A$6:$A$51)*'Cálculos'!$C$98)/(('Cálculos'!$C$199+(($C25)-$A$6:$A$51)*'Cálculos'!$C$98)+1400)+'Cálculos'!$C$122)*'Cálculos'!$C$260+'Cálculos'!$C$125*(1+2.78*('Cálculos'!$C$199+(($C25)-$A$6:$A$51)*'Cálculos'!$C$98)/(('Cálculos'!$C$199+(($C25)-$A$6:$A$51)*'Cálculos'!$C$98)+1400)+'Cálculos'!$C$123)*'Cálculos'!$C$265)+('Cálculos'!$C$201*(1+'Cálculos'!$C$202+$A$6:$A$51*('Cálculos'!$C$290=2)*'Cálculos'!$C$101)+'Cálculos'!$C$203)*('Cálculos'!$C$256+'Cálculos'!$C$124*(1+2.78*('Cálculos'!$C$199+(($C25)-$A$6:$A$51)*'Cálculos'!$C$98)/(('Cálculos'!$C$199+(($C25)-$A$6:$A$51)*'Cálculos'!$C$98)+1400)+'Cálculos'!$C$122)*'Cálculos'!$C$261+'Cálculos'!$C$125*(1+2.78*('Cálculos'!$C$199+(($C25)-$A$6:$A$51)*'Cálculos'!$C$98)/(('Cálculos'!$C$199+(($C25)-$A$6:$A$51)*'Cálculos'!$C$98)+1400)+'Cálculos'!$C$123)*'Cálculos'!$C$266)+('Cálculos'!$C$204*(1+'Cálculos'!$C$205+$A$6:$A$51*('Cálculos'!$C$290=3)*'Cálculos'!$C$103)+'Cálculos'!$C$206)*('Cálculos'!$C$257+'Cálculos'!$C$124*(1+2.78*('Cálculos'!$C$199+(($C25)-$A$6:$A$51)*'Cálculos'!$C$98)/(('Cálculos'!$C$199+(($C25)-$A$6:$A$51)*'Cálculos'!$C$98)+1400)+'Cálculos'!$C$122)*'Cálculos'!$C$262+'Cálculos'!$C$125*(1+2.78*('Cálculos'!$C$199+(($C25)-$A$6:$A$51)*'Cálculos'!$C$98)/(('Cálculos'!$C$199+(($C25)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25)-$A$6:$A$51)*'Cálculos'!$C$98)/(('Cálculos'!$C$200+(($C25)-$A$6:$A$51)*'Cálculos'!$C$98)+1400)+'Cálculos'!$C$122)*'Cálculos'!$C$274+'Cálculos'!$C$125*(1+2.78*('Cálculos'!$C$200+(($C25)-$A$6:$A$51)*'Cálculos'!$C$98)/(('Cálculos'!$C$200+(($C25)-$A$6:$A$51)*'Cálculos'!$C$98)+1400)+'Cálculos'!$C$123)*'Cálculos'!$C$279)+('Cálculos'!$C$200+(($C25)-$A$6:$A$51)*'Cálculos'!$C$98)*('Cálculos'!$C$270+'Cálculos'!$C$124*(1+2.78*('Cálculos'!$C$200+(($C25)-$A$6:$A$51)*'Cálculos'!$C$98)/(('Cálculos'!$C$200+(($C25)-$A$6:$A$51)*'Cálculos'!$C$98)+1400)+'Cálculos'!$C$122)*'Cálculos'!$C$275+'Cálculos'!$C$125*(1+2.78*('Cálculos'!$C$200+(($C25)-$A$6:$A$51)*'Cálculos'!$C$98)/(('Cálculos'!$C$200+(($C25)-$A$6:$A$51)*'Cálculos'!$C$98)+1400)+'Cálculos'!$C$123)*'Cálculos'!$C$280)+('Cálculos'!$C$201*(1+'Cálculos'!$C$202+$A$6:$A$51*('Cálculos'!$C$290=2)*'Cálculos'!$C$101)+'Cálculos'!$C$203)*('Cálculos'!$C$271+'Cálculos'!$C$124*(1+2.78*('Cálculos'!$C$200+(($C25)-$A$6:$A$51)*'Cálculos'!$C$98)/(('Cálculos'!$C$200+(($C25)-$A$6:$A$51)*'Cálculos'!$C$98)+1400)+'Cálculos'!$C$122)*'Cálculos'!$C$276+'Cálculos'!$C$125*(1+2.78*('Cálculos'!$C$200+(($C25)-$A$6:$A$51)*'Cálculos'!$C$98)/(('Cálculos'!$C$200+(($C25)-$A$6:$A$51)*'Cálculos'!$C$98)+1400)+'Cálculos'!$C$123)*'Cálculos'!$C$281)+('Cálculos'!$C$204*(1+'Cálculos'!$C$205+$A$6:$A$51*('Cálculos'!$C$290=3)*'Cálculos'!$C$103)+'Cálculos'!$C$206)*('Cálculos'!$C$272+'Cálculos'!$C$124*(1+2.78*('Cálculos'!$C$200+(($C25)-$A$6:$A$51)*'Cálculos'!$C$98)/(('Cálculos'!$C$200+(($C25)-$A$6:$A$51)*'Cálculos'!$C$98)+1400)+'Cálculos'!$C$122)*'Cálculos'!$C$277+'Cálculos'!$C$125*(1+2.78*('Cálculos'!$C$200+(($C25)-$A$6:$A$51)*'Cálculos'!$C$98)/(('Cálculos'!$C$200+(($C25)-$A$6:$A$51)*'Cálculos'!$C$98)+1400)+'Cálculos'!$C$123)*'Cálculos'!$C$282)))))</f>
        <v>1058354.711</v>
      </c>
      <c r="E25" s="32">
        <f>IF(OR($C25&lt;0,'Cálculos'!$C$6=""),0,$B25*$D25)</f>
        <v>3691884.138</v>
      </c>
      <c r="F25" s="2"/>
      <c r="G25" s="30">
        <f>($A25&lt;=$B$53)*($A25&lt;='Cálculos'!$C$294)*(($B$53)-$A25&lt;='Cálculos'!$C$295)*(1+MIN(('Cálculos'!$C$207+$A25*'Cálculos'!$C$95),1)*('Cálculos'!$C$208+(($B$53)-$A25)*'Cálculos'!$C$96))</f>
        <v>0</v>
      </c>
      <c r="H25" s="31">
        <f>IF($B$54&lt;0,0,($A25&lt;=$B$54)*($A25&lt;='Cálculos'!$C$301)*(($B$54)-$A25&lt;='Cálculos'!$C$297)*(('Cálculos'!$C$185*(1+'Cálculos'!$C$186+$A25*('Cálculos'!$C$290=1)*'Cálculos'!$C$97+'Cálculos'!$C$305)+'Cálculos'!$C$191)*('Cálculos'!$C$209+'Cálculos'!$C$124*(1+2.78*('Cálculos'!$C$196+(($B$54)-$A25)*'Cálculos'!$C$98)/(('Cálculos'!$C$196+(($B$54)-$A25)*'Cálculos'!$C$98)+1400)+'Cálculos'!$C$122)*'Cálculos'!$C$214+'Cálculos'!$C$125*(1+2.78*('Cálculos'!$C$196+(($B$54)-$A25)*'Cálculos'!$C$98)/(('Cálculos'!$C$196+(($B$54)-$A25)*'Cálculos'!$C$98)+1400)+'Cálculos'!$C$123)*'Cálculos'!$C$219)+('Cálculos'!$C$196+(($B$54)-$A25)*'Cálculos'!$C$98)*('Cálculos'!$C$210+'Cálculos'!$C$124*(1+2.78*('Cálculos'!$C$196+(($B$54)-$A25)*'Cálculos'!$C$98)/(('Cálculos'!$C$196+(($B$54)-$A25)*'Cálculos'!$C$98)+1400)+'Cálculos'!$C$122)*'Cálculos'!$C$215+'Cálculos'!$C$125*(1+2.78*('Cálculos'!$C$196+(($B$54)-$A25)*'Cálculos'!$C$98)/(('Cálculos'!$C$196+(($B$54)-$A25)*'Cálculos'!$C$98)+1400)+'Cálculos'!$C$123)*'Cálculos'!$C$220)+('Cálculos'!$C$201*(1+'Cálculos'!$C$202+$A25*('Cálculos'!$C$290=2)*'Cálculos'!$C$101)+'Cálculos'!$C$203)*('Cálculos'!$C$211+'Cálculos'!$C$124*(1+2.78*('Cálculos'!$C$196+(($B$54)-$A25)*'Cálculos'!$C$98)/(('Cálculos'!$C$196+(($B$54)-$A25)*'Cálculos'!$C$98)+1400)+'Cálculos'!$C$122)*'Cálculos'!$C$216+'Cálculos'!$C$125*(1+2.78*('Cálculos'!$C$196+(($B$54)-$A25)*'Cálculos'!$C$98)/(('Cálculos'!$C$196+(($B$54)-$A25)*'Cálculos'!$C$98)+1400)+'Cálculos'!$C$123)*'Cálculos'!$C$221)+('Cálculos'!$C$204*(1+'Cálculos'!$C$205+$A25*('Cálculos'!$C$290=3)*'Cálculos'!$C$103)+'Cálculos'!$C$206)*('Cálculos'!$C$212+'Cálculos'!$C$124*(1+2.78*('Cálculos'!$C$196+(($B$54)-$A25)*'Cálculos'!$C$98)/(('Cálculos'!$C$196+(($B$54)-$A25)*'Cálculos'!$C$98)+1400)+'Cálculos'!$C$122)*'Cálculos'!$C$217+'Cálculos'!$C$125*(1+2.78*('Cálculos'!$C$196+(($B$54)-$A25)*'Cálculos'!$C$98)/(('Cálculos'!$C$196+(($B$54)-$A25)*'Cálculos'!$C$98)+1400)+'Cálculos'!$C$123)*'Cálculos'!$C$222)+('Cálculos'!$C$185*(1+'Cálculos'!$C$187+$A25*('Cálculos'!$C$290=1)*'Cálculos'!$C$97+'Cálculos'!$C$305)+'Cálculos'!$C$192)*('Cálculos'!$C$224+'Cálculos'!$C$124*(1+2.78*('Cálculos'!$C$197+(($B$54)-$A25)*'Cálculos'!$C$98)/(('Cálculos'!$C$197+(($B$54)-$A25)*'Cálculos'!$C$98)+1400)+'Cálculos'!$C$122)*'Cálculos'!$C$229+'Cálculos'!$C$125*(1+2.78*('Cálculos'!$C$197+(($B$54)-$A25)*'Cálculos'!$C$98)/(('Cálculos'!$C$197+(($B$54)-$A25)*'Cálculos'!$C$98)+1400)+'Cálculos'!$C$123)*'Cálculos'!$C$234)+('Cálculos'!$C$197+(($B$54)-$A25)*'Cálculos'!$C$98)*('Cálculos'!$C$225+'Cálculos'!$C$124*(1+2.78*('Cálculos'!$C$197+(($B$54)-$A25)*'Cálculos'!$C$98)/(('Cálculos'!$C$197+(($B$54)-$A25)*'Cálculos'!$C$98)+1400)+'Cálculos'!$C$122)*'Cálculos'!$C$230+'Cálculos'!$C$125*(1+2.78*('Cálculos'!$C$197+(($B$54)-$A25)*'Cálculos'!$C$98)/(('Cálculos'!$C$197+(($B$54)-$A25)*'Cálculos'!$C$98)+1400)+'Cálculos'!$C$123)*'Cálculos'!$C$235)+('Cálculos'!$C$201*(1+'Cálculos'!$C$202+$A25*('Cálculos'!$C$290=2)*'Cálculos'!$C$101)+'Cálculos'!$C$203)*('Cálculos'!$C$226+'Cálculos'!$C$124*(1+2.78*('Cálculos'!$C$197+(($B$54)-$A25)*'Cálculos'!$C$98)/(('Cálculos'!$C$197+(($B$54)-$A25)*'Cálculos'!$C$98)+1400)+'Cálculos'!$C$122)*'Cálculos'!$C$231+'Cálculos'!$C$125*(1+2.78*('Cálculos'!$C$197+(($B$54)-$A25)*'Cálculos'!$C$98)/(('Cálculos'!$C$197+(($B$54)-$A25)*'Cálculos'!$C$98)+1400)+'Cálculos'!$C$123)*'Cálculos'!$C$236)+('Cálculos'!$C$204*(1+'Cálculos'!$C$205+$A25*('Cálculos'!$C$290=3)*'Cálculos'!$C$103)+'Cálculos'!$C$206)*('Cálculos'!$C$227+'Cálculos'!$C$124*(1+2.78*('Cálculos'!$C$197+(($B$54)-$A25)*'Cálculos'!$C$98)/(('Cálculos'!$C$197+(($B$54)-$A25)*'Cálculos'!$C$98)+1400)+'Cálculos'!$C$122)*'Cálculos'!$C$232+'Cálculos'!$C$125*(1+2.78*('Cálculos'!$C$197+(($B$54)-$A25)*'Cálculos'!$C$98)/(('Cálculos'!$C$197+(($B$54)-$A25)*'Cálculos'!$C$98)+1400)+'Cálculos'!$C$123)*'Cálculos'!$C$237)+('Cálculos'!$C$185*(1+'Cálculos'!$C$188+$A25*('Cálculos'!$C$290=1)*'Cálculos'!$C$97+'Cálculos'!$C$305)+'Cálculos'!$C$193)*('Cálculos'!$C$239+'Cálculos'!$C$124*(1+2.78*('Cálculos'!$C$198+(($B$54)-$A25)*'Cálculos'!$C$98)/(('Cálculos'!$C$198+(($B$54)-$A25)*'Cálculos'!$C$98)+1400)+'Cálculos'!$C$122)*'Cálculos'!$C$244+'Cálculos'!$C$125*(1+2.78*('Cálculos'!$C$198+(($B$54)-$A25)*'Cálculos'!$C$98)/(('Cálculos'!$C$198+(($B$54)-$A25)*'Cálculos'!$C$98)+1400)+'Cálculos'!$C$123)*'Cálculos'!$C$249)+('Cálculos'!$C$198+(($B$54)-$A25)*'Cálculos'!$C$98)*('Cálculos'!$C$240+'Cálculos'!$C$124*(1+2.78*('Cálculos'!$C$198+(($B$54)-$A25)*'Cálculos'!$C$98)/(('Cálculos'!$C$198+(($B$54)-$A25)*'Cálculos'!$C$98)+1400)+'Cálculos'!$C$122)*'Cálculos'!$C$245+'Cálculos'!$C$125*(1+2.78*('Cálculos'!$C$198+(($B$54)-$A25)*'Cálculos'!$C$98)/(('Cálculos'!$C$198+(($B$54)-$A25)*'Cálculos'!$C$98)+1400)+'Cálculos'!$C$123)*'Cálculos'!$C$250)+('Cálculos'!$C$201*(1+'Cálculos'!$C$202+$A25*('Cálculos'!$C$290=2)*'Cálculos'!$C$101)+'Cálculos'!$C$203)*('Cálculos'!$C$241+'Cálculos'!$C$124*(1+2.78*('Cálculos'!$C$198+(($B$54)-$A25)*'Cálculos'!$C$98)/(('Cálculos'!$C$198+(($B$54)-$A25)*'Cálculos'!$C$98)+1400)+'Cálculos'!$C$122)*'Cálculos'!$C$246+'Cálculos'!$C$125*(1+2.78*('Cálculos'!$C$198+(($B$54)-$A25)*'Cálculos'!$C$98)/(('Cálculos'!$C$198+(($B$54)-$A25)*'Cálculos'!$C$98)+1400)+'Cálculos'!$C$123)*'Cálculos'!$C$251)+('Cálculos'!$C$204*(1+'Cálculos'!$C$205+$A25*('Cálculos'!$C$290=3)*'Cálculos'!$C$103)+'Cálculos'!$C$206)*('Cálculos'!$C$242+'Cálculos'!$C$124*(1+2.78*('Cálculos'!$C$198+(($B$54)-$A25)*'Cálculos'!$C$98)/(('Cálculos'!$C$198+(($B$54)-$A25)*'Cálculos'!$C$98)+1400)+'Cálculos'!$C$122)*'Cálculos'!$C$247+'Cálculos'!$C$125*(1+2.78*('Cálculos'!$C$198+(($B$54)-$A25)*'Cálculos'!$C$98)/(('Cálculos'!$C$198+(($B$54)-$A25)*'Cálculos'!$C$98)+1400)+'Cálculos'!$C$123)*'Cálculos'!$C$252)+('Cálculos'!$C$185*(1+'Cálculos'!$C$189+$A25*('Cálculos'!$C$290=1)*'Cálculos'!$C$97+'Cálculos'!$C$305)+'Cálculos'!$C$194)*('Cálculos'!$C$254+'Cálculos'!$C$124*(1+2.78*('Cálculos'!$C$199+(($B$54)-$A25)*'Cálculos'!$C$98)/(('Cálculos'!$C$199+(($B$54)-$A25)*'Cálculos'!$C$98)+1400)+'Cálculos'!$C$122)*'Cálculos'!$C$259+'Cálculos'!$C$125*(1+2.78*('Cálculos'!$C$199+(($B$54)-$A25)*'Cálculos'!$C$98)/(('Cálculos'!$C$199+(($B$54)-$A25)*'Cálculos'!$C$98)+1400)+'Cálculos'!$C$123)*'Cálculos'!$C$264)+('Cálculos'!$C$199+(($B$54)-$A25)*'Cálculos'!$C$98)*('Cálculos'!$C$255+'Cálculos'!$C$124*(1+2.78*('Cálculos'!$C$199+(($B$54)-$A25)*'Cálculos'!$C$98)/(('Cálculos'!$C$199+(($B$54)-$A25)*'Cálculos'!$C$98)+1400)+'Cálculos'!$C$122)*'Cálculos'!$C$260+'Cálculos'!$C$125*(1+2.78*('Cálculos'!$C$199+(($B$54)-$A25)*'Cálculos'!$C$98)/(('Cálculos'!$C$199+(($B$54)-$A25)*'Cálculos'!$C$98)+1400)+'Cálculos'!$C$123)*'Cálculos'!$C$265)+('Cálculos'!$C$201*(1+'Cálculos'!$C$202+$A25*('Cálculos'!$C$290=2)*'Cálculos'!$C$101)+'Cálculos'!$C$203)*('Cálculos'!$C$256+'Cálculos'!$C$124*(1+2.78*('Cálculos'!$C$199+(($B$54)-$A25)*'Cálculos'!$C$98)/(('Cálculos'!$C$199+(($B$54)-$A25)*'Cálculos'!$C$98)+1400)+'Cálculos'!$C$122)*'Cálculos'!$C$261+'Cálculos'!$C$125*(1+2.78*('Cálculos'!$C$199+(($B$54)-$A25)*'Cálculos'!$C$98)/(('Cálculos'!$C$199+(($B$54)-$A25)*'Cálculos'!$C$98)+1400)+'Cálculos'!$C$123)*'Cálculos'!$C$266)+('Cálculos'!$C$204*(1+'Cálculos'!$C$205+$A25*('Cálculos'!$C$290=3)*'Cálculos'!$C$103)+'Cálculos'!$C$206)*('Cálculos'!$C$257+'Cálculos'!$C$124*(1+2.78*('Cálculos'!$C$199+(($B$54)-$A25)*'Cálculos'!$C$98)/(('Cálculos'!$C$199+(($B$54)-$A25)*'Cálculos'!$C$98)+1400)+'Cálculos'!$C$122)*'Cálculos'!$C$262+'Cálculos'!$C$125*(1+2.78*('Cálculos'!$C$199+(($B$54)-$A25)*'Cálculos'!$C$98)/(('Cálculos'!$C$199+(($B$54)-$A25)*'Cálculos'!$C$98)+1400)+'Cálculos'!$C$123)*'Cálculos'!$C$267)+('Cálculos'!$C$185*(1+'Cálculos'!$C$190+$A25*('Cálculos'!$C$290=1)*'Cálculos'!$C$97+'Cálculos'!$C$305)+'Cálculos'!$C$195)*('Cálculos'!$C$269+'Cálculos'!$C$124*(1+2.78*('Cálculos'!$C$200+(($B$54)-$A25)*'Cálculos'!$C$98)/(('Cálculos'!$C$200+(($B$54)-$A25)*'Cálculos'!$C$98)+1400)+'Cálculos'!$C$122)*'Cálculos'!$C$274+'Cálculos'!$C$125*(1+2.78*('Cálculos'!$C$200+(($B$54)-$A25)*'Cálculos'!$C$98)/(('Cálculos'!$C$200+(($B$54)-$A25)*'Cálculos'!$C$98)+1400)+'Cálculos'!$C$123)*'Cálculos'!$C$279)+('Cálculos'!$C$200+(($B$54)-$A25)*'Cálculos'!$C$98)*('Cálculos'!$C$270+'Cálculos'!$C$124*(1+2.78*('Cálculos'!$C$200+(($B$54)-$A25)*'Cálculos'!$C$98)/(('Cálculos'!$C$200+(($B$54)-$A25)*'Cálculos'!$C$98)+1400)+'Cálculos'!$C$122)*'Cálculos'!$C$275+'Cálculos'!$C$125*(1+2.78*('Cálculos'!$C$200+(($B$54)-$A25)*'Cálculos'!$C$98)/(('Cálculos'!$C$200+(($B$54)-$A25)*'Cálculos'!$C$98)+1400)+'Cálculos'!$C$123)*'Cálculos'!$C$280)+('Cálculos'!$C$201*(1+'Cálculos'!$C$202+$A25*('Cálculos'!$C$290=2)*'Cálculos'!$C$101)+'Cálculos'!$C$203)*('Cálculos'!$C$271+'Cálculos'!$C$124*(1+2.78*('Cálculos'!$C$200+(($B$54)-$A25)*'Cálculos'!$C$98)/(('Cálculos'!$C$200+(($B$54)-$A25)*'Cálculos'!$C$98)+1400)+'Cálculos'!$C$122)*'Cálculos'!$C$276+'Cálculos'!$C$125*(1+2.78*('Cálculos'!$C$200+(($B$54)-$A25)*'Cálculos'!$C$98)/(('Cálculos'!$C$200+(($B$54)-$A25)*'Cálculos'!$C$98)+1400)+'Cálculos'!$C$123)*'Cálculos'!$C$281)+('Cálculos'!$C$204*(1+'Cálculos'!$C$205+$A25*('Cálculos'!$C$290=3)*'Cálculos'!$C$103)+'Cálculos'!$C$206)*('Cálculos'!$C$272+'Cálculos'!$C$124*(1+2.78*('Cálculos'!$C$200+(($B$54)-$A25)*'Cálculos'!$C$98)/(('Cálculos'!$C$200+(($B$54)-$A25)*'Cálculos'!$C$98)+1400)+'Cálculos'!$C$122)*'Cálculos'!$C$277+'Cálculos'!$C$125*(1+2.78*('Cálculos'!$C$200+(($B$54)-$A25)*'Cálculos'!$C$98)/(('Cálculos'!$C$200+(($B$54)-$A25)*'Cálculos'!$C$98)+1400)+'Cálculos'!$C$123)*'Cálculos'!$C$282)))</f>
        <v>0</v>
      </c>
    </row>
    <row r="26" ht="15.75" customHeight="1">
      <c r="A26" s="2">
        <v>20.0</v>
      </c>
      <c r="B26" s="30">
        <f>SUMPRODUCT(MAX(($A$6:$A$51&lt;=$A26)*($A$6:$A$51&lt;='Cálculos'!$C$294)*(($A26)-$A$6:$A$51&lt;='Cálculos'!$C$295)*(1+(('Cálculos'!$C$207+$A$6:$A$51*'Cálculos'!$C$95)-(('Cálculos'!$C$207+$A$6:$A$51*'Cálculos'!$C$95)&gt;1)*(('Cálculos'!$C$207+$A$6:$A$51*'Cálculos'!$C$95)-1))*('Cálculos'!$C$208+(($A26)-$A$6:$A$51)*'Cálculos'!$C$96))))</f>
        <v>3.553598</v>
      </c>
      <c r="C26" s="2">
        <f>'Cálculos'!$C$303-$A26</f>
        <v>0</v>
      </c>
      <c r="D26" s="31">
        <f>IF($C26&lt;0,0,SUMPRODUCT(MAX(($A$6:$A$51&lt;=$C26)*($A$6:$A$51&lt;='Cálculos'!$C$301)*(($C26)-$A$6:$A$51&lt;='Cálculos'!$C$297)*(('Cálculos'!$C$185*(1+'Cálculos'!$C$186+$A$6:$A$51*('Cálculos'!$C$290=1)*'Cálculos'!$C$97+'Cálculos'!$C$305)+'Cálculos'!$C$191)*('Cálculos'!$C$209+'Cálculos'!$C$124*(1+2.78*('Cálculos'!$C$196+(($C26)-$A$6:$A$51)*'Cálculos'!$C$98)/(('Cálculos'!$C$196+(($C26)-$A$6:$A$51)*'Cálculos'!$C$98)+1400)+'Cálculos'!$C$122)*'Cálculos'!$C$214+'Cálculos'!$C$125*(1+2.78*('Cálculos'!$C$196+(($C26)-$A$6:$A$51)*'Cálculos'!$C$98)/(('Cálculos'!$C$196+(($C26)-$A$6:$A$51)*'Cálculos'!$C$98)+1400)+'Cálculos'!$C$123)*'Cálculos'!$C$219)+('Cálculos'!$C$196+(($C26)-$A$6:$A$51)*'Cálculos'!$C$98)*('Cálculos'!$C$210+'Cálculos'!$C$124*(1+2.78*('Cálculos'!$C$196+(($C26)-$A$6:$A$51)*'Cálculos'!$C$98)/(('Cálculos'!$C$196+(($C26)-$A$6:$A$51)*'Cálculos'!$C$98)+1400)+'Cálculos'!$C$122)*'Cálculos'!$C$215+'Cálculos'!$C$125*(1+2.78*('Cálculos'!$C$196+(($C26)-$A$6:$A$51)*'Cálculos'!$C$98)/(('Cálculos'!$C$196+(($C26)-$A$6:$A$51)*'Cálculos'!$C$98)+1400)+'Cálculos'!$C$123)*'Cálculos'!$C$220)+('Cálculos'!$C$201*(1+'Cálculos'!$C$202+$A$6:$A$51*('Cálculos'!$C$290=2)*'Cálculos'!$C$101)+'Cálculos'!$C$203)*('Cálculos'!$C$211+'Cálculos'!$C$124*(1+2.78*('Cálculos'!$C$196+(($C26)-$A$6:$A$51)*'Cálculos'!$C$98)/(('Cálculos'!$C$196+(($C26)-$A$6:$A$51)*'Cálculos'!$C$98)+1400)+'Cálculos'!$C$122)*'Cálculos'!$C$216+'Cálculos'!$C$125*(1+2.78*('Cálculos'!$C$196+(($C26)-$A$6:$A$51)*'Cálculos'!$C$98)/(('Cálculos'!$C$196+(($C26)-$A$6:$A$51)*'Cálculos'!$C$98)+1400)+'Cálculos'!$C$123)*'Cálculos'!$C$221)+('Cálculos'!$C$204*(1+'Cálculos'!$C$205+$A$6:$A$51*('Cálculos'!$C$290=3)*'Cálculos'!$C$103)+'Cálculos'!$C$206)*('Cálculos'!$C$212+'Cálculos'!$C$124*(1+2.78*('Cálculos'!$C$196+(($C26)-$A$6:$A$51)*'Cálculos'!$C$98)/(('Cálculos'!$C$196+(($C26)-$A$6:$A$51)*'Cálculos'!$C$98)+1400)+'Cálculos'!$C$122)*'Cálculos'!$C$217+'Cálculos'!$C$125*(1+2.78*('Cálculos'!$C$196+(($C26)-$A$6:$A$51)*'Cálculos'!$C$98)/(('Cálculos'!$C$196+(($C26)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26)-$A$6:$A$51)*'Cálculos'!$C$98)/(('Cálculos'!$C$197+(($C26)-$A$6:$A$51)*'Cálculos'!$C$98)+1400)+'Cálculos'!$C$122)*'Cálculos'!$C$229+'Cálculos'!$C$125*(1+2.78*('Cálculos'!$C$197+(($C26)-$A$6:$A$51)*'Cálculos'!$C$98)/(('Cálculos'!$C$197+(($C26)-$A$6:$A$51)*'Cálculos'!$C$98)+1400)+'Cálculos'!$C$123)*'Cálculos'!$C$234)+('Cálculos'!$C$197+(($C26)-$A$6:$A$51)*'Cálculos'!$C$98)*('Cálculos'!$C$225+'Cálculos'!$C$124*(1+2.78*('Cálculos'!$C$197+(($C26)-$A$6:$A$51)*'Cálculos'!$C$98)/(('Cálculos'!$C$197+(($C26)-$A$6:$A$51)*'Cálculos'!$C$98)+1400)+'Cálculos'!$C$122)*'Cálculos'!$C$230+'Cálculos'!$C$125*(1+2.78*('Cálculos'!$C$197+(($C26)-$A$6:$A$51)*'Cálculos'!$C$98)/(('Cálculos'!$C$197+(($C26)-$A$6:$A$51)*'Cálculos'!$C$98)+1400)+'Cálculos'!$C$123)*'Cálculos'!$C$235)+('Cálculos'!$C$201*(1+'Cálculos'!$C$202+$A$6:$A$51*('Cálculos'!$C$290=2)*'Cálculos'!$C$101)+'Cálculos'!$C$203)*('Cálculos'!$C$226+'Cálculos'!$C$124*(1+2.78*('Cálculos'!$C$197+(($C26)-$A$6:$A$51)*'Cálculos'!$C$98)/(('Cálculos'!$C$197+(($C26)-$A$6:$A$51)*'Cálculos'!$C$98)+1400)+'Cálculos'!$C$122)*'Cálculos'!$C$231+'Cálculos'!$C$125*(1+2.78*('Cálculos'!$C$197+(($C26)-$A$6:$A$51)*'Cálculos'!$C$98)/(('Cálculos'!$C$197+(($C26)-$A$6:$A$51)*'Cálculos'!$C$98)+1400)+'Cálculos'!$C$123)*'Cálculos'!$C$236)+('Cálculos'!$C$204*(1+'Cálculos'!$C$205+$A$6:$A$51*('Cálculos'!$C$290=3)*'Cálculos'!$C$103)+'Cálculos'!$C$206)*('Cálculos'!$C$227+'Cálculos'!$C$124*(1+2.78*('Cálculos'!$C$197+(($C26)-$A$6:$A$51)*'Cálculos'!$C$98)/(('Cálculos'!$C$197+(($C26)-$A$6:$A$51)*'Cálculos'!$C$98)+1400)+'Cálculos'!$C$122)*'Cálculos'!$C$232+'Cálculos'!$C$125*(1+2.78*('Cálculos'!$C$197+(($C26)-$A$6:$A$51)*'Cálculos'!$C$98)/(('Cálculos'!$C$197+(($C26)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26)-$A$6:$A$51)*'Cálculos'!$C$98)/(('Cálculos'!$C$198+(($C26)-$A$6:$A$51)*'Cálculos'!$C$98)+1400)+'Cálculos'!$C$122)*'Cálculos'!$C$244+'Cálculos'!$C$125*(1+2.78*('Cálculos'!$C$198+(($C26)-$A$6:$A$51)*'Cálculos'!$C$98)/(('Cálculos'!$C$198+(($C26)-$A$6:$A$51)*'Cálculos'!$C$98)+1400)+'Cálculos'!$C$123)*'Cálculos'!$C$249)+('Cálculos'!$C$198+(($C26)-$A$6:$A$51)*'Cálculos'!$C$98)*('Cálculos'!$C$240+'Cálculos'!$C$124*(1+2.78*('Cálculos'!$C$198+(($C26)-$A$6:$A$51)*'Cálculos'!$C$98)/(('Cálculos'!$C$198+(($C26)-$A$6:$A$51)*'Cálculos'!$C$98)+1400)+'Cálculos'!$C$122)*'Cálculos'!$C$245+'Cálculos'!$C$125*(1+2.78*('Cálculos'!$C$198+(($C26)-$A$6:$A$51)*'Cálculos'!$C$98)/(('Cálculos'!$C$198+(($C26)-$A$6:$A$51)*'Cálculos'!$C$98)+1400)+'Cálculos'!$C$123)*'Cálculos'!$C$250)+('Cálculos'!$C$201*(1+'Cálculos'!$C$202+$A$6:$A$51*('Cálculos'!$C$290=2)*'Cálculos'!$C$101)+'Cálculos'!$C$203)*('Cálculos'!$C$241+'Cálculos'!$C$124*(1+2.78*('Cálculos'!$C$198+(($C26)-$A$6:$A$51)*'Cálculos'!$C$98)/(('Cálculos'!$C$198+(($C26)-$A$6:$A$51)*'Cálculos'!$C$98)+1400)+'Cálculos'!$C$122)*'Cálculos'!$C$246+'Cálculos'!$C$125*(1+2.78*('Cálculos'!$C$198+(($C26)-$A$6:$A$51)*'Cálculos'!$C$98)/(('Cálculos'!$C$198+(($C26)-$A$6:$A$51)*'Cálculos'!$C$98)+1400)+'Cálculos'!$C$123)*'Cálculos'!$C$251)+('Cálculos'!$C$204*(1+'Cálculos'!$C$205+$A$6:$A$51*('Cálculos'!$C$290=3)*'Cálculos'!$C$103)+'Cálculos'!$C$206)*('Cálculos'!$C$242+'Cálculos'!$C$124*(1+2.78*('Cálculos'!$C$198+(($C26)-$A$6:$A$51)*'Cálculos'!$C$98)/(('Cálculos'!$C$198+(($C26)-$A$6:$A$51)*'Cálculos'!$C$98)+1400)+'Cálculos'!$C$122)*'Cálculos'!$C$247+'Cálculos'!$C$125*(1+2.78*('Cálculos'!$C$198+(($C26)-$A$6:$A$51)*'Cálculos'!$C$98)/(('Cálculos'!$C$198+(($C26)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26)-$A$6:$A$51)*'Cálculos'!$C$98)/(('Cálculos'!$C$199+(($C26)-$A$6:$A$51)*'Cálculos'!$C$98)+1400)+'Cálculos'!$C$122)*'Cálculos'!$C$259+'Cálculos'!$C$125*(1+2.78*('Cálculos'!$C$199+(($C26)-$A$6:$A$51)*'Cálculos'!$C$98)/(('Cálculos'!$C$199+(($C26)-$A$6:$A$51)*'Cálculos'!$C$98)+1400)+'Cálculos'!$C$123)*'Cálculos'!$C$264)+('Cálculos'!$C$199+(($C26)-$A$6:$A$51)*'Cálculos'!$C$98)*('Cálculos'!$C$255+'Cálculos'!$C$124*(1+2.78*('Cálculos'!$C$199+(($C26)-$A$6:$A$51)*'Cálculos'!$C$98)/(('Cálculos'!$C$199+(($C26)-$A$6:$A$51)*'Cálculos'!$C$98)+1400)+'Cálculos'!$C$122)*'Cálculos'!$C$260+'Cálculos'!$C$125*(1+2.78*('Cálculos'!$C$199+(($C26)-$A$6:$A$51)*'Cálculos'!$C$98)/(('Cálculos'!$C$199+(($C26)-$A$6:$A$51)*'Cálculos'!$C$98)+1400)+'Cálculos'!$C$123)*'Cálculos'!$C$265)+('Cálculos'!$C$201*(1+'Cálculos'!$C$202+$A$6:$A$51*('Cálculos'!$C$290=2)*'Cálculos'!$C$101)+'Cálculos'!$C$203)*('Cálculos'!$C$256+'Cálculos'!$C$124*(1+2.78*('Cálculos'!$C$199+(($C26)-$A$6:$A$51)*'Cálculos'!$C$98)/(('Cálculos'!$C$199+(($C26)-$A$6:$A$51)*'Cálculos'!$C$98)+1400)+'Cálculos'!$C$122)*'Cálculos'!$C$261+'Cálculos'!$C$125*(1+2.78*('Cálculos'!$C$199+(($C26)-$A$6:$A$51)*'Cálculos'!$C$98)/(('Cálculos'!$C$199+(($C26)-$A$6:$A$51)*'Cálculos'!$C$98)+1400)+'Cálculos'!$C$123)*'Cálculos'!$C$266)+('Cálculos'!$C$204*(1+'Cálculos'!$C$205+$A$6:$A$51*('Cálculos'!$C$290=3)*'Cálculos'!$C$103)+'Cálculos'!$C$206)*('Cálculos'!$C$257+'Cálculos'!$C$124*(1+2.78*('Cálculos'!$C$199+(($C26)-$A$6:$A$51)*'Cálculos'!$C$98)/(('Cálculos'!$C$199+(($C26)-$A$6:$A$51)*'Cálculos'!$C$98)+1400)+'Cálculos'!$C$122)*'Cálculos'!$C$262+'Cálculos'!$C$125*(1+2.78*('Cálculos'!$C$199+(($C26)-$A$6:$A$51)*'Cálculos'!$C$98)/(('Cálculos'!$C$199+(($C26)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26)-$A$6:$A$51)*'Cálculos'!$C$98)/(('Cálculos'!$C$200+(($C26)-$A$6:$A$51)*'Cálculos'!$C$98)+1400)+'Cálculos'!$C$122)*'Cálculos'!$C$274+'Cálculos'!$C$125*(1+2.78*('Cálculos'!$C$200+(($C26)-$A$6:$A$51)*'Cálculos'!$C$98)/(('Cálculos'!$C$200+(($C26)-$A$6:$A$51)*'Cálculos'!$C$98)+1400)+'Cálculos'!$C$123)*'Cálculos'!$C$279)+('Cálculos'!$C$200+(($C26)-$A$6:$A$51)*'Cálculos'!$C$98)*('Cálculos'!$C$270+'Cálculos'!$C$124*(1+2.78*('Cálculos'!$C$200+(($C26)-$A$6:$A$51)*'Cálculos'!$C$98)/(('Cálculos'!$C$200+(($C26)-$A$6:$A$51)*'Cálculos'!$C$98)+1400)+'Cálculos'!$C$122)*'Cálculos'!$C$275+'Cálculos'!$C$125*(1+2.78*('Cálculos'!$C$200+(($C26)-$A$6:$A$51)*'Cálculos'!$C$98)/(('Cálculos'!$C$200+(($C26)-$A$6:$A$51)*'Cálculos'!$C$98)+1400)+'Cálculos'!$C$123)*'Cálculos'!$C$280)+('Cálculos'!$C$201*(1+'Cálculos'!$C$202+$A$6:$A$51*('Cálculos'!$C$290=2)*'Cálculos'!$C$101)+'Cálculos'!$C$203)*('Cálculos'!$C$271+'Cálculos'!$C$124*(1+2.78*('Cálculos'!$C$200+(($C26)-$A$6:$A$51)*'Cálculos'!$C$98)/(('Cálculos'!$C$200+(($C26)-$A$6:$A$51)*'Cálculos'!$C$98)+1400)+'Cálculos'!$C$122)*'Cálculos'!$C$276+'Cálculos'!$C$125*(1+2.78*('Cálculos'!$C$200+(($C26)-$A$6:$A$51)*'Cálculos'!$C$98)/(('Cálculos'!$C$200+(($C26)-$A$6:$A$51)*'Cálculos'!$C$98)+1400)+'Cálculos'!$C$123)*'Cálculos'!$C$281)+('Cálculos'!$C$204*(1+'Cálculos'!$C$205+$A$6:$A$51*('Cálculos'!$C$290=3)*'Cálculos'!$C$103)+'Cálculos'!$C$206)*('Cálculos'!$C$272+'Cálculos'!$C$124*(1+2.78*('Cálculos'!$C$200+(($C26)-$A$6:$A$51)*'Cálculos'!$C$98)/(('Cálculos'!$C$200+(($C26)-$A$6:$A$51)*'Cálculos'!$C$98)+1400)+'Cálculos'!$C$122)*'Cálculos'!$C$277+'Cálculos'!$C$125*(1+2.78*('Cálculos'!$C$200+(($C26)-$A$6:$A$51)*'Cálculos'!$C$98)/(('Cálculos'!$C$200+(($C26)-$A$6:$A$51)*'Cálculos'!$C$98)+1400)+'Cálculos'!$C$123)*'Cálculos'!$C$282)))))</f>
        <v>1044983.776</v>
      </c>
      <c r="E26" s="32">
        <f>IF(OR($C26&lt;0,'Cálculos'!$C$6=""),0,$B26*$D26)</f>
        <v>3713452.255</v>
      </c>
      <c r="F26" s="2"/>
      <c r="G26" s="30">
        <f>($A26&lt;=$B$53)*($A26&lt;='Cálculos'!$C$294)*(($B$53)-$A26&lt;='Cálculos'!$C$295)*(1+MIN(('Cálculos'!$C$207+$A26*'Cálculos'!$C$95),1)*('Cálculos'!$C$208+(($B$53)-$A26)*'Cálculos'!$C$96))</f>
        <v>0</v>
      </c>
      <c r="H26" s="31">
        <f>IF($B$54&lt;0,0,($A26&lt;=$B$54)*($A26&lt;='Cálculos'!$C$301)*(($B$54)-$A26&lt;='Cálculos'!$C$297)*(('Cálculos'!$C$185*(1+'Cálculos'!$C$186+$A26*('Cálculos'!$C$290=1)*'Cálculos'!$C$97+'Cálculos'!$C$305)+'Cálculos'!$C$191)*('Cálculos'!$C$209+'Cálculos'!$C$124*(1+2.78*('Cálculos'!$C$196+(($B$54)-$A26)*'Cálculos'!$C$98)/(('Cálculos'!$C$196+(($B$54)-$A26)*'Cálculos'!$C$98)+1400)+'Cálculos'!$C$122)*'Cálculos'!$C$214+'Cálculos'!$C$125*(1+2.78*('Cálculos'!$C$196+(($B$54)-$A26)*'Cálculos'!$C$98)/(('Cálculos'!$C$196+(($B$54)-$A26)*'Cálculos'!$C$98)+1400)+'Cálculos'!$C$123)*'Cálculos'!$C$219)+('Cálculos'!$C$196+(($B$54)-$A26)*'Cálculos'!$C$98)*('Cálculos'!$C$210+'Cálculos'!$C$124*(1+2.78*('Cálculos'!$C$196+(($B$54)-$A26)*'Cálculos'!$C$98)/(('Cálculos'!$C$196+(($B$54)-$A26)*'Cálculos'!$C$98)+1400)+'Cálculos'!$C$122)*'Cálculos'!$C$215+'Cálculos'!$C$125*(1+2.78*('Cálculos'!$C$196+(($B$54)-$A26)*'Cálculos'!$C$98)/(('Cálculos'!$C$196+(($B$54)-$A26)*'Cálculos'!$C$98)+1400)+'Cálculos'!$C$123)*'Cálculos'!$C$220)+('Cálculos'!$C$201*(1+'Cálculos'!$C$202+$A26*('Cálculos'!$C$290=2)*'Cálculos'!$C$101)+'Cálculos'!$C$203)*('Cálculos'!$C$211+'Cálculos'!$C$124*(1+2.78*('Cálculos'!$C$196+(($B$54)-$A26)*'Cálculos'!$C$98)/(('Cálculos'!$C$196+(($B$54)-$A26)*'Cálculos'!$C$98)+1400)+'Cálculos'!$C$122)*'Cálculos'!$C$216+'Cálculos'!$C$125*(1+2.78*('Cálculos'!$C$196+(($B$54)-$A26)*'Cálculos'!$C$98)/(('Cálculos'!$C$196+(($B$54)-$A26)*'Cálculos'!$C$98)+1400)+'Cálculos'!$C$123)*'Cálculos'!$C$221)+('Cálculos'!$C$204*(1+'Cálculos'!$C$205+$A26*('Cálculos'!$C$290=3)*'Cálculos'!$C$103)+'Cálculos'!$C$206)*('Cálculos'!$C$212+'Cálculos'!$C$124*(1+2.78*('Cálculos'!$C$196+(($B$54)-$A26)*'Cálculos'!$C$98)/(('Cálculos'!$C$196+(($B$54)-$A26)*'Cálculos'!$C$98)+1400)+'Cálculos'!$C$122)*'Cálculos'!$C$217+'Cálculos'!$C$125*(1+2.78*('Cálculos'!$C$196+(($B$54)-$A26)*'Cálculos'!$C$98)/(('Cálculos'!$C$196+(($B$54)-$A26)*'Cálculos'!$C$98)+1400)+'Cálculos'!$C$123)*'Cálculos'!$C$222)+('Cálculos'!$C$185*(1+'Cálculos'!$C$187+$A26*('Cálculos'!$C$290=1)*'Cálculos'!$C$97+'Cálculos'!$C$305)+'Cálculos'!$C$192)*('Cálculos'!$C$224+'Cálculos'!$C$124*(1+2.78*('Cálculos'!$C$197+(($B$54)-$A26)*'Cálculos'!$C$98)/(('Cálculos'!$C$197+(($B$54)-$A26)*'Cálculos'!$C$98)+1400)+'Cálculos'!$C$122)*'Cálculos'!$C$229+'Cálculos'!$C$125*(1+2.78*('Cálculos'!$C$197+(($B$54)-$A26)*'Cálculos'!$C$98)/(('Cálculos'!$C$197+(($B$54)-$A26)*'Cálculos'!$C$98)+1400)+'Cálculos'!$C$123)*'Cálculos'!$C$234)+('Cálculos'!$C$197+(($B$54)-$A26)*'Cálculos'!$C$98)*('Cálculos'!$C$225+'Cálculos'!$C$124*(1+2.78*('Cálculos'!$C$197+(($B$54)-$A26)*'Cálculos'!$C$98)/(('Cálculos'!$C$197+(($B$54)-$A26)*'Cálculos'!$C$98)+1400)+'Cálculos'!$C$122)*'Cálculos'!$C$230+'Cálculos'!$C$125*(1+2.78*('Cálculos'!$C$197+(($B$54)-$A26)*'Cálculos'!$C$98)/(('Cálculos'!$C$197+(($B$54)-$A26)*'Cálculos'!$C$98)+1400)+'Cálculos'!$C$123)*'Cálculos'!$C$235)+('Cálculos'!$C$201*(1+'Cálculos'!$C$202+$A26*('Cálculos'!$C$290=2)*'Cálculos'!$C$101)+'Cálculos'!$C$203)*('Cálculos'!$C$226+'Cálculos'!$C$124*(1+2.78*('Cálculos'!$C$197+(($B$54)-$A26)*'Cálculos'!$C$98)/(('Cálculos'!$C$197+(($B$54)-$A26)*'Cálculos'!$C$98)+1400)+'Cálculos'!$C$122)*'Cálculos'!$C$231+'Cálculos'!$C$125*(1+2.78*('Cálculos'!$C$197+(($B$54)-$A26)*'Cálculos'!$C$98)/(('Cálculos'!$C$197+(($B$54)-$A26)*'Cálculos'!$C$98)+1400)+'Cálculos'!$C$123)*'Cálculos'!$C$236)+('Cálculos'!$C$204*(1+'Cálculos'!$C$205+$A26*('Cálculos'!$C$290=3)*'Cálculos'!$C$103)+'Cálculos'!$C$206)*('Cálculos'!$C$227+'Cálculos'!$C$124*(1+2.78*('Cálculos'!$C$197+(($B$54)-$A26)*'Cálculos'!$C$98)/(('Cálculos'!$C$197+(($B$54)-$A26)*'Cálculos'!$C$98)+1400)+'Cálculos'!$C$122)*'Cálculos'!$C$232+'Cálculos'!$C$125*(1+2.78*('Cálculos'!$C$197+(($B$54)-$A26)*'Cálculos'!$C$98)/(('Cálculos'!$C$197+(($B$54)-$A26)*'Cálculos'!$C$98)+1400)+'Cálculos'!$C$123)*'Cálculos'!$C$237)+('Cálculos'!$C$185*(1+'Cálculos'!$C$188+$A26*('Cálculos'!$C$290=1)*'Cálculos'!$C$97+'Cálculos'!$C$305)+'Cálculos'!$C$193)*('Cálculos'!$C$239+'Cálculos'!$C$124*(1+2.78*('Cálculos'!$C$198+(($B$54)-$A26)*'Cálculos'!$C$98)/(('Cálculos'!$C$198+(($B$54)-$A26)*'Cálculos'!$C$98)+1400)+'Cálculos'!$C$122)*'Cálculos'!$C$244+'Cálculos'!$C$125*(1+2.78*('Cálculos'!$C$198+(($B$54)-$A26)*'Cálculos'!$C$98)/(('Cálculos'!$C$198+(($B$54)-$A26)*'Cálculos'!$C$98)+1400)+'Cálculos'!$C$123)*'Cálculos'!$C$249)+('Cálculos'!$C$198+(($B$54)-$A26)*'Cálculos'!$C$98)*('Cálculos'!$C$240+'Cálculos'!$C$124*(1+2.78*('Cálculos'!$C$198+(($B$54)-$A26)*'Cálculos'!$C$98)/(('Cálculos'!$C$198+(($B$54)-$A26)*'Cálculos'!$C$98)+1400)+'Cálculos'!$C$122)*'Cálculos'!$C$245+'Cálculos'!$C$125*(1+2.78*('Cálculos'!$C$198+(($B$54)-$A26)*'Cálculos'!$C$98)/(('Cálculos'!$C$198+(($B$54)-$A26)*'Cálculos'!$C$98)+1400)+'Cálculos'!$C$123)*'Cálculos'!$C$250)+('Cálculos'!$C$201*(1+'Cálculos'!$C$202+$A26*('Cálculos'!$C$290=2)*'Cálculos'!$C$101)+'Cálculos'!$C$203)*('Cálculos'!$C$241+'Cálculos'!$C$124*(1+2.78*('Cálculos'!$C$198+(($B$54)-$A26)*'Cálculos'!$C$98)/(('Cálculos'!$C$198+(($B$54)-$A26)*'Cálculos'!$C$98)+1400)+'Cálculos'!$C$122)*'Cálculos'!$C$246+'Cálculos'!$C$125*(1+2.78*('Cálculos'!$C$198+(($B$54)-$A26)*'Cálculos'!$C$98)/(('Cálculos'!$C$198+(($B$54)-$A26)*'Cálculos'!$C$98)+1400)+'Cálculos'!$C$123)*'Cálculos'!$C$251)+('Cálculos'!$C$204*(1+'Cálculos'!$C$205+$A26*('Cálculos'!$C$290=3)*'Cálculos'!$C$103)+'Cálculos'!$C$206)*('Cálculos'!$C$242+'Cálculos'!$C$124*(1+2.78*('Cálculos'!$C$198+(($B$54)-$A26)*'Cálculos'!$C$98)/(('Cálculos'!$C$198+(($B$54)-$A26)*'Cálculos'!$C$98)+1400)+'Cálculos'!$C$122)*'Cálculos'!$C$247+'Cálculos'!$C$125*(1+2.78*('Cálculos'!$C$198+(($B$54)-$A26)*'Cálculos'!$C$98)/(('Cálculos'!$C$198+(($B$54)-$A26)*'Cálculos'!$C$98)+1400)+'Cálculos'!$C$123)*'Cálculos'!$C$252)+('Cálculos'!$C$185*(1+'Cálculos'!$C$189+$A26*('Cálculos'!$C$290=1)*'Cálculos'!$C$97+'Cálculos'!$C$305)+'Cálculos'!$C$194)*('Cálculos'!$C$254+'Cálculos'!$C$124*(1+2.78*('Cálculos'!$C$199+(($B$54)-$A26)*'Cálculos'!$C$98)/(('Cálculos'!$C$199+(($B$54)-$A26)*'Cálculos'!$C$98)+1400)+'Cálculos'!$C$122)*'Cálculos'!$C$259+'Cálculos'!$C$125*(1+2.78*('Cálculos'!$C$199+(($B$54)-$A26)*'Cálculos'!$C$98)/(('Cálculos'!$C$199+(($B$54)-$A26)*'Cálculos'!$C$98)+1400)+'Cálculos'!$C$123)*'Cálculos'!$C$264)+('Cálculos'!$C$199+(($B$54)-$A26)*'Cálculos'!$C$98)*('Cálculos'!$C$255+'Cálculos'!$C$124*(1+2.78*('Cálculos'!$C$199+(($B$54)-$A26)*'Cálculos'!$C$98)/(('Cálculos'!$C$199+(($B$54)-$A26)*'Cálculos'!$C$98)+1400)+'Cálculos'!$C$122)*'Cálculos'!$C$260+'Cálculos'!$C$125*(1+2.78*('Cálculos'!$C$199+(($B$54)-$A26)*'Cálculos'!$C$98)/(('Cálculos'!$C$199+(($B$54)-$A26)*'Cálculos'!$C$98)+1400)+'Cálculos'!$C$123)*'Cálculos'!$C$265)+('Cálculos'!$C$201*(1+'Cálculos'!$C$202+$A26*('Cálculos'!$C$290=2)*'Cálculos'!$C$101)+'Cálculos'!$C$203)*('Cálculos'!$C$256+'Cálculos'!$C$124*(1+2.78*('Cálculos'!$C$199+(($B$54)-$A26)*'Cálculos'!$C$98)/(('Cálculos'!$C$199+(($B$54)-$A26)*'Cálculos'!$C$98)+1400)+'Cálculos'!$C$122)*'Cálculos'!$C$261+'Cálculos'!$C$125*(1+2.78*('Cálculos'!$C$199+(($B$54)-$A26)*'Cálculos'!$C$98)/(('Cálculos'!$C$199+(($B$54)-$A26)*'Cálculos'!$C$98)+1400)+'Cálculos'!$C$123)*'Cálculos'!$C$266)+('Cálculos'!$C$204*(1+'Cálculos'!$C$205+$A26*('Cálculos'!$C$290=3)*'Cálculos'!$C$103)+'Cálculos'!$C$206)*('Cálculos'!$C$257+'Cálculos'!$C$124*(1+2.78*('Cálculos'!$C$199+(($B$54)-$A26)*'Cálculos'!$C$98)/(('Cálculos'!$C$199+(($B$54)-$A26)*'Cálculos'!$C$98)+1400)+'Cálculos'!$C$122)*'Cálculos'!$C$262+'Cálculos'!$C$125*(1+2.78*('Cálculos'!$C$199+(($B$54)-$A26)*'Cálculos'!$C$98)/(('Cálculos'!$C$199+(($B$54)-$A26)*'Cálculos'!$C$98)+1400)+'Cálculos'!$C$123)*'Cálculos'!$C$267)+('Cálculos'!$C$185*(1+'Cálculos'!$C$190+$A26*('Cálculos'!$C$290=1)*'Cálculos'!$C$97+'Cálculos'!$C$305)+'Cálculos'!$C$195)*('Cálculos'!$C$269+'Cálculos'!$C$124*(1+2.78*('Cálculos'!$C$200+(($B$54)-$A26)*'Cálculos'!$C$98)/(('Cálculos'!$C$200+(($B$54)-$A26)*'Cálculos'!$C$98)+1400)+'Cálculos'!$C$122)*'Cálculos'!$C$274+'Cálculos'!$C$125*(1+2.78*('Cálculos'!$C$200+(($B$54)-$A26)*'Cálculos'!$C$98)/(('Cálculos'!$C$200+(($B$54)-$A26)*'Cálculos'!$C$98)+1400)+'Cálculos'!$C$123)*'Cálculos'!$C$279)+('Cálculos'!$C$200+(($B$54)-$A26)*'Cálculos'!$C$98)*('Cálculos'!$C$270+'Cálculos'!$C$124*(1+2.78*('Cálculos'!$C$200+(($B$54)-$A26)*'Cálculos'!$C$98)/(('Cálculos'!$C$200+(($B$54)-$A26)*'Cálculos'!$C$98)+1400)+'Cálculos'!$C$122)*'Cálculos'!$C$275+'Cálculos'!$C$125*(1+2.78*('Cálculos'!$C$200+(($B$54)-$A26)*'Cálculos'!$C$98)/(('Cálculos'!$C$200+(($B$54)-$A26)*'Cálculos'!$C$98)+1400)+'Cálculos'!$C$123)*'Cálculos'!$C$280)+('Cálculos'!$C$201*(1+'Cálculos'!$C$202+$A26*('Cálculos'!$C$290=2)*'Cálculos'!$C$101)+'Cálculos'!$C$203)*('Cálculos'!$C$271+'Cálculos'!$C$124*(1+2.78*('Cálculos'!$C$200+(($B$54)-$A26)*'Cálculos'!$C$98)/(('Cálculos'!$C$200+(($B$54)-$A26)*'Cálculos'!$C$98)+1400)+'Cálculos'!$C$122)*'Cálculos'!$C$276+'Cálculos'!$C$125*(1+2.78*('Cálculos'!$C$200+(($B$54)-$A26)*'Cálculos'!$C$98)/(('Cálculos'!$C$200+(($B$54)-$A26)*'Cálculos'!$C$98)+1400)+'Cálculos'!$C$123)*'Cálculos'!$C$281)+('Cálculos'!$C$204*(1+'Cálculos'!$C$205+$A26*('Cálculos'!$C$290=3)*'Cálculos'!$C$103)+'Cálculos'!$C$206)*('Cálculos'!$C$272+'Cálculos'!$C$124*(1+2.78*('Cálculos'!$C$200+(($B$54)-$A26)*'Cálculos'!$C$98)/(('Cálculos'!$C$200+(($B$54)-$A26)*'Cálculos'!$C$98)+1400)+'Cálculos'!$C$122)*'Cálculos'!$C$277+'Cálculos'!$C$125*(1+2.78*('Cálculos'!$C$200+(($B$54)-$A26)*'Cálculos'!$C$98)/(('Cálculos'!$C$200+(($B$54)-$A26)*'Cálculos'!$C$98)+1400)+'Cálculos'!$C$123)*'Cálculos'!$C$282)))</f>
        <v>0</v>
      </c>
    </row>
    <row r="27" ht="15.75" customHeight="1">
      <c r="A27" s="2">
        <v>21.0</v>
      </c>
      <c r="B27" s="30">
        <f>SUMPRODUCT(MAX(($A$6:$A$51&lt;=$A27)*($A$6:$A$51&lt;='Cálculos'!$C$294)*(($A27)-$A$6:$A$51&lt;='Cálculos'!$C$295)*(1+(('Cálculos'!$C$207+$A$6:$A$51*'Cálculos'!$C$95)-(('Cálculos'!$C$207+$A$6:$A$51*'Cálculos'!$C$95)&gt;1)*(('Cálculos'!$C$207+$A$6:$A$51*'Cálculos'!$C$95)-1))*('Cálculos'!$C$208+(($A27)-$A$6:$A$51)*'Cálculos'!$C$96))))</f>
        <v>3.618872</v>
      </c>
      <c r="C27" s="2">
        <f>'Cálculos'!$C$303-$A27</f>
        <v>-1</v>
      </c>
      <c r="D27" s="31">
        <f>IF($C27&lt;0,0,SUMPRODUCT(MAX(($A$6:$A$51&lt;=$C27)*($A$6:$A$51&lt;='Cálculos'!$C$301)*(($C27)-$A$6:$A$51&lt;='Cálculos'!$C$297)*(('Cálculos'!$C$185*(1+'Cálculos'!$C$186+$A$6:$A$51*('Cálculos'!$C$290=1)*'Cálculos'!$C$97+'Cálculos'!$C$305)+'Cálculos'!$C$191)*('Cálculos'!$C$209+'Cálculos'!$C$124*(1+2.78*('Cálculos'!$C$196+(($C27)-$A$6:$A$51)*'Cálculos'!$C$98)/(('Cálculos'!$C$196+(($C27)-$A$6:$A$51)*'Cálculos'!$C$98)+1400)+'Cálculos'!$C$122)*'Cálculos'!$C$214+'Cálculos'!$C$125*(1+2.78*('Cálculos'!$C$196+(($C27)-$A$6:$A$51)*'Cálculos'!$C$98)/(('Cálculos'!$C$196+(($C27)-$A$6:$A$51)*'Cálculos'!$C$98)+1400)+'Cálculos'!$C$123)*'Cálculos'!$C$219)+('Cálculos'!$C$196+(($C27)-$A$6:$A$51)*'Cálculos'!$C$98)*('Cálculos'!$C$210+'Cálculos'!$C$124*(1+2.78*('Cálculos'!$C$196+(($C27)-$A$6:$A$51)*'Cálculos'!$C$98)/(('Cálculos'!$C$196+(($C27)-$A$6:$A$51)*'Cálculos'!$C$98)+1400)+'Cálculos'!$C$122)*'Cálculos'!$C$215+'Cálculos'!$C$125*(1+2.78*('Cálculos'!$C$196+(($C27)-$A$6:$A$51)*'Cálculos'!$C$98)/(('Cálculos'!$C$196+(($C27)-$A$6:$A$51)*'Cálculos'!$C$98)+1400)+'Cálculos'!$C$123)*'Cálculos'!$C$220)+('Cálculos'!$C$201*(1+'Cálculos'!$C$202+$A$6:$A$51*('Cálculos'!$C$290=2)*'Cálculos'!$C$101)+'Cálculos'!$C$203)*('Cálculos'!$C$211+'Cálculos'!$C$124*(1+2.78*('Cálculos'!$C$196+(($C27)-$A$6:$A$51)*'Cálculos'!$C$98)/(('Cálculos'!$C$196+(($C27)-$A$6:$A$51)*'Cálculos'!$C$98)+1400)+'Cálculos'!$C$122)*'Cálculos'!$C$216+'Cálculos'!$C$125*(1+2.78*('Cálculos'!$C$196+(($C27)-$A$6:$A$51)*'Cálculos'!$C$98)/(('Cálculos'!$C$196+(($C27)-$A$6:$A$51)*'Cálculos'!$C$98)+1400)+'Cálculos'!$C$123)*'Cálculos'!$C$221)+('Cálculos'!$C$204*(1+'Cálculos'!$C$205+$A$6:$A$51*('Cálculos'!$C$290=3)*'Cálculos'!$C$103)+'Cálculos'!$C$206)*('Cálculos'!$C$212+'Cálculos'!$C$124*(1+2.78*('Cálculos'!$C$196+(($C27)-$A$6:$A$51)*'Cálculos'!$C$98)/(('Cálculos'!$C$196+(($C27)-$A$6:$A$51)*'Cálculos'!$C$98)+1400)+'Cálculos'!$C$122)*'Cálculos'!$C$217+'Cálculos'!$C$125*(1+2.78*('Cálculos'!$C$196+(($C27)-$A$6:$A$51)*'Cálculos'!$C$98)/(('Cálculos'!$C$196+(($C27)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27)-$A$6:$A$51)*'Cálculos'!$C$98)/(('Cálculos'!$C$197+(($C27)-$A$6:$A$51)*'Cálculos'!$C$98)+1400)+'Cálculos'!$C$122)*'Cálculos'!$C$229+'Cálculos'!$C$125*(1+2.78*('Cálculos'!$C$197+(($C27)-$A$6:$A$51)*'Cálculos'!$C$98)/(('Cálculos'!$C$197+(($C27)-$A$6:$A$51)*'Cálculos'!$C$98)+1400)+'Cálculos'!$C$123)*'Cálculos'!$C$234)+('Cálculos'!$C$197+(($C27)-$A$6:$A$51)*'Cálculos'!$C$98)*('Cálculos'!$C$225+'Cálculos'!$C$124*(1+2.78*('Cálculos'!$C$197+(($C27)-$A$6:$A$51)*'Cálculos'!$C$98)/(('Cálculos'!$C$197+(($C27)-$A$6:$A$51)*'Cálculos'!$C$98)+1400)+'Cálculos'!$C$122)*'Cálculos'!$C$230+'Cálculos'!$C$125*(1+2.78*('Cálculos'!$C$197+(($C27)-$A$6:$A$51)*'Cálculos'!$C$98)/(('Cálculos'!$C$197+(($C27)-$A$6:$A$51)*'Cálculos'!$C$98)+1400)+'Cálculos'!$C$123)*'Cálculos'!$C$235)+('Cálculos'!$C$201*(1+'Cálculos'!$C$202+$A$6:$A$51*('Cálculos'!$C$290=2)*'Cálculos'!$C$101)+'Cálculos'!$C$203)*('Cálculos'!$C$226+'Cálculos'!$C$124*(1+2.78*('Cálculos'!$C$197+(($C27)-$A$6:$A$51)*'Cálculos'!$C$98)/(('Cálculos'!$C$197+(($C27)-$A$6:$A$51)*'Cálculos'!$C$98)+1400)+'Cálculos'!$C$122)*'Cálculos'!$C$231+'Cálculos'!$C$125*(1+2.78*('Cálculos'!$C$197+(($C27)-$A$6:$A$51)*'Cálculos'!$C$98)/(('Cálculos'!$C$197+(($C27)-$A$6:$A$51)*'Cálculos'!$C$98)+1400)+'Cálculos'!$C$123)*'Cálculos'!$C$236)+('Cálculos'!$C$204*(1+'Cálculos'!$C$205+$A$6:$A$51*('Cálculos'!$C$290=3)*'Cálculos'!$C$103)+'Cálculos'!$C$206)*('Cálculos'!$C$227+'Cálculos'!$C$124*(1+2.78*('Cálculos'!$C$197+(($C27)-$A$6:$A$51)*'Cálculos'!$C$98)/(('Cálculos'!$C$197+(($C27)-$A$6:$A$51)*'Cálculos'!$C$98)+1400)+'Cálculos'!$C$122)*'Cálculos'!$C$232+'Cálculos'!$C$125*(1+2.78*('Cálculos'!$C$197+(($C27)-$A$6:$A$51)*'Cálculos'!$C$98)/(('Cálculos'!$C$197+(($C27)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27)-$A$6:$A$51)*'Cálculos'!$C$98)/(('Cálculos'!$C$198+(($C27)-$A$6:$A$51)*'Cálculos'!$C$98)+1400)+'Cálculos'!$C$122)*'Cálculos'!$C$244+'Cálculos'!$C$125*(1+2.78*('Cálculos'!$C$198+(($C27)-$A$6:$A$51)*'Cálculos'!$C$98)/(('Cálculos'!$C$198+(($C27)-$A$6:$A$51)*'Cálculos'!$C$98)+1400)+'Cálculos'!$C$123)*'Cálculos'!$C$249)+('Cálculos'!$C$198+(($C27)-$A$6:$A$51)*'Cálculos'!$C$98)*('Cálculos'!$C$240+'Cálculos'!$C$124*(1+2.78*('Cálculos'!$C$198+(($C27)-$A$6:$A$51)*'Cálculos'!$C$98)/(('Cálculos'!$C$198+(($C27)-$A$6:$A$51)*'Cálculos'!$C$98)+1400)+'Cálculos'!$C$122)*'Cálculos'!$C$245+'Cálculos'!$C$125*(1+2.78*('Cálculos'!$C$198+(($C27)-$A$6:$A$51)*'Cálculos'!$C$98)/(('Cálculos'!$C$198+(($C27)-$A$6:$A$51)*'Cálculos'!$C$98)+1400)+'Cálculos'!$C$123)*'Cálculos'!$C$250)+('Cálculos'!$C$201*(1+'Cálculos'!$C$202+$A$6:$A$51*('Cálculos'!$C$290=2)*'Cálculos'!$C$101)+'Cálculos'!$C$203)*('Cálculos'!$C$241+'Cálculos'!$C$124*(1+2.78*('Cálculos'!$C$198+(($C27)-$A$6:$A$51)*'Cálculos'!$C$98)/(('Cálculos'!$C$198+(($C27)-$A$6:$A$51)*'Cálculos'!$C$98)+1400)+'Cálculos'!$C$122)*'Cálculos'!$C$246+'Cálculos'!$C$125*(1+2.78*('Cálculos'!$C$198+(($C27)-$A$6:$A$51)*'Cálculos'!$C$98)/(('Cálculos'!$C$198+(($C27)-$A$6:$A$51)*'Cálculos'!$C$98)+1400)+'Cálculos'!$C$123)*'Cálculos'!$C$251)+('Cálculos'!$C$204*(1+'Cálculos'!$C$205+$A$6:$A$51*('Cálculos'!$C$290=3)*'Cálculos'!$C$103)+'Cálculos'!$C$206)*('Cálculos'!$C$242+'Cálculos'!$C$124*(1+2.78*('Cálculos'!$C$198+(($C27)-$A$6:$A$51)*'Cálculos'!$C$98)/(('Cálculos'!$C$198+(($C27)-$A$6:$A$51)*'Cálculos'!$C$98)+1400)+'Cálculos'!$C$122)*'Cálculos'!$C$247+'Cálculos'!$C$125*(1+2.78*('Cálculos'!$C$198+(($C27)-$A$6:$A$51)*'Cálculos'!$C$98)/(('Cálculos'!$C$198+(($C27)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27)-$A$6:$A$51)*'Cálculos'!$C$98)/(('Cálculos'!$C$199+(($C27)-$A$6:$A$51)*'Cálculos'!$C$98)+1400)+'Cálculos'!$C$122)*'Cálculos'!$C$259+'Cálculos'!$C$125*(1+2.78*('Cálculos'!$C$199+(($C27)-$A$6:$A$51)*'Cálculos'!$C$98)/(('Cálculos'!$C$199+(($C27)-$A$6:$A$51)*'Cálculos'!$C$98)+1400)+'Cálculos'!$C$123)*'Cálculos'!$C$264)+('Cálculos'!$C$199+(($C27)-$A$6:$A$51)*'Cálculos'!$C$98)*('Cálculos'!$C$255+'Cálculos'!$C$124*(1+2.78*('Cálculos'!$C$199+(($C27)-$A$6:$A$51)*'Cálculos'!$C$98)/(('Cálculos'!$C$199+(($C27)-$A$6:$A$51)*'Cálculos'!$C$98)+1400)+'Cálculos'!$C$122)*'Cálculos'!$C$260+'Cálculos'!$C$125*(1+2.78*('Cálculos'!$C$199+(($C27)-$A$6:$A$51)*'Cálculos'!$C$98)/(('Cálculos'!$C$199+(($C27)-$A$6:$A$51)*'Cálculos'!$C$98)+1400)+'Cálculos'!$C$123)*'Cálculos'!$C$265)+('Cálculos'!$C$201*(1+'Cálculos'!$C$202+$A$6:$A$51*('Cálculos'!$C$290=2)*'Cálculos'!$C$101)+'Cálculos'!$C$203)*('Cálculos'!$C$256+'Cálculos'!$C$124*(1+2.78*('Cálculos'!$C$199+(($C27)-$A$6:$A$51)*'Cálculos'!$C$98)/(('Cálculos'!$C$199+(($C27)-$A$6:$A$51)*'Cálculos'!$C$98)+1400)+'Cálculos'!$C$122)*'Cálculos'!$C$261+'Cálculos'!$C$125*(1+2.78*('Cálculos'!$C$199+(($C27)-$A$6:$A$51)*'Cálculos'!$C$98)/(('Cálculos'!$C$199+(($C27)-$A$6:$A$51)*'Cálculos'!$C$98)+1400)+'Cálculos'!$C$123)*'Cálculos'!$C$266)+('Cálculos'!$C$204*(1+'Cálculos'!$C$205+$A$6:$A$51*('Cálculos'!$C$290=3)*'Cálculos'!$C$103)+'Cálculos'!$C$206)*('Cálculos'!$C$257+'Cálculos'!$C$124*(1+2.78*('Cálculos'!$C$199+(($C27)-$A$6:$A$51)*'Cálculos'!$C$98)/(('Cálculos'!$C$199+(($C27)-$A$6:$A$51)*'Cálculos'!$C$98)+1400)+'Cálculos'!$C$122)*'Cálculos'!$C$262+'Cálculos'!$C$125*(1+2.78*('Cálculos'!$C$199+(($C27)-$A$6:$A$51)*'Cálculos'!$C$98)/(('Cálculos'!$C$199+(($C27)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27)-$A$6:$A$51)*'Cálculos'!$C$98)/(('Cálculos'!$C$200+(($C27)-$A$6:$A$51)*'Cálculos'!$C$98)+1400)+'Cálculos'!$C$122)*'Cálculos'!$C$274+'Cálculos'!$C$125*(1+2.78*('Cálculos'!$C$200+(($C27)-$A$6:$A$51)*'Cálculos'!$C$98)/(('Cálculos'!$C$200+(($C27)-$A$6:$A$51)*'Cálculos'!$C$98)+1400)+'Cálculos'!$C$123)*'Cálculos'!$C$279)+('Cálculos'!$C$200+(($C27)-$A$6:$A$51)*'Cálculos'!$C$98)*('Cálculos'!$C$270+'Cálculos'!$C$124*(1+2.78*('Cálculos'!$C$200+(($C27)-$A$6:$A$51)*'Cálculos'!$C$98)/(('Cálculos'!$C$200+(($C27)-$A$6:$A$51)*'Cálculos'!$C$98)+1400)+'Cálculos'!$C$122)*'Cálculos'!$C$275+'Cálculos'!$C$125*(1+2.78*('Cálculos'!$C$200+(($C27)-$A$6:$A$51)*'Cálculos'!$C$98)/(('Cálculos'!$C$200+(($C27)-$A$6:$A$51)*'Cálculos'!$C$98)+1400)+'Cálculos'!$C$123)*'Cálculos'!$C$280)+('Cálculos'!$C$201*(1+'Cálculos'!$C$202+$A$6:$A$51*('Cálculos'!$C$290=2)*'Cálculos'!$C$101)+'Cálculos'!$C$203)*('Cálculos'!$C$271+'Cálculos'!$C$124*(1+2.78*('Cálculos'!$C$200+(($C27)-$A$6:$A$51)*'Cálculos'!$C$98)/(('Cálculos'!$C$200+(($C27)-$A$6:$A$51)*'Cálculos'!$C$98)+1400)+'Cálculos'!$C$122)*'Cálculos'!$C$276+'Cálculos'!$C$125*(1+2.78*('Cálculos'!$C$200+(($C27)-$A$6:$A$51)*'Cálculos'!$C$98)/(('Cálculos'!$C$200+(($C27)-$A$6:$A$51)*'Cálculos'!$C$98)+1400)+'Cálculos'!$C$123)*'Cálculos'!$C$281)+('Cálculos'!$C$204*(1+'Cálculos'!$C$205+$A$6:$A$51*('Cálculos'!$C$290=3)*'Cálculos'!$C$103)+'Cálculos'!$C$206)*('Cálculos'!$C$272+'Cálculos'!$C$124*(1+2.78*('Cálculos'!$C$200+(($C27)-$A$6:$A$51)*'Cálculos'!$C$98)/(('Cálculos'!$C$200+(($C27)-$A$6:$A$51)*'Cálculos'!$C$98)+1400)+'Cálculos'!$C$122)*'Cálculos'!$C$277+'Cálculos'!$C$125*(1+2.78*('Cálculos'!$C$200+(($C27)-$A$6:$A$51)*'Cálculos'!$C$98)/(('Cálculos'!$C$200+(($C27)-$A$6:$A$51)*'Cálculos'!$C$98)+1400)+'Cálculos'!$C$123)*'Cálculos'!$C$282)))))</f>
        <v>0</v>
      </c>
      <c r="E27" s="32">
        <f>IF(OR($C27&lt;0,'Cálculos'!$C$6=""),0,$B27*$D27)</f>
        <v>0</v>
      </c>
      <c r="F27" s="2"/>
      <c r="G27" s="30">
        <f>($A27&lt;=$B$53)*($A27&lt;='Cálculos'!$C$294)*(($B$53)-$A27&lt;='Cálculos'!$C$295)*(1+MIN(('Cálculos'!$C$207+$A27*'Cálculos'!$C$95),1)*('Cálculos'!$C$208+(($B$53)-$A27)*'Cálculos'!$C$96))</f>
        <v>0</v>
      </c>
      <c r="H27" s="31">
        <f>IF($B$54&lt;0,0,($A27&lt;=$B$54)*($A27&lt;='Cálculos'!$C$301)*(($B$54)-$A27&lt;='Cálculos'!$C$297)*(('Cálculos'!$C$185*(1+'Cálculos'!$C$186+$A27*('Cálculos'!$C$290=1)*'Cálculos'!$C$97+'Cálculos'!$C$305)+'Cálculos'!$C$191)*('Cálculos'!$C$209+'Cálculos'!$C$124*(1+2.78*('Cálculos'!$C$196+(($B$54)-$A27)*'Cálculos'!$C$98)/(('Cálculos'!$C$196+(($B$54)-$A27)*'Cálculos'!$C$98)+1400)+'Cálculos'!$C$122)*'Cálculos'!$C$214+'Cálculos'!$C$125*(1+2.78*('Cálculos'!$C$196+(($B$54)-$A27)*'Cálculos'!$C$98)/(('Cálculos'!$C$196+(($B$54)-$A27)*'Cálculos'!$C$98)+1400)+'Cálculos'!$C$123)*'Cálculos'!$C$219)+('Cálculos'!$C$196+(($B$54)-$A27)*'Cálculos'!$C$98)*('Cálculos'!$C$210+'Cálculos'!$C$124*(1+2.78*('Cálculos'!$C$196+(($B$54)-$A27)*'Cálculos'!$C$98)/(('Cálculos'!$C$196+(($B$54)-$A27)*'Cálculos'!$C$98)+1400)+'Cálculos'!$C$122)*'Cálculos'!$C$215+'Cálculos'!$C$125*(1+2.78*('Cálculos'!$C$196+(($B$54)-$A27)*'Cálculos'!$C$98)/(('Cálculos'!$C$196+(($B$54)-$A27)*'Cálculos'!$C$98)+1400)+'Cálculos'!$C$123)*'Cálculos'!$C$220)+('Cálculos'!$C$201*(1+'Cálculos'!$C$202+$A27*('Cálculos'!$C$290=2)*'Cálculos'!$C$101)+'Cálculos'!$C$203)*('Cálculos'!$C$211+'Cálculos'!$C$124*(1+2.78*('Cálculos'!$C$196+(($B$54)-$A27)*'Cálculos'!$C$98)/(('Cálculos'!$C$196+(($B$54)-$A27)*'Cálculos'!$C$98)+1400)+'Cálculos'!$C$122)*'Cálculos'!$C$216+'Cálculos'!$C$125*(1+2.78*('Cálculos'!$C$196+(($B$54)-$A27)*'Cálculos'!$C$98)/(('Cálculos'!$C$196+(($B$54)-$A27)*'Cálculos'!$C$98)+1400)+'Cálculos'!$C$123)*'Cálculos'!$C$221)+('Cálculos'!$C$204*(1+'Cálculos'!$C$205+$A27*('Cálculos'!$C$290=3)*'Cálculos'!$C$103)+'Cálculos'!$C$206)*('Cálculos'!$C$212+'Cálculos'!$C$124*(1+2.78*('Cálculos'!$C$196+(($B$54)-$A27)*'Cálculos'!$C$98)/(('Cálculos'!$C$196+(($B$54)-$A27)*'Cálculos'!$C$98)+1400)+'Cálculos'!$C$122)*'Cálculos'!$C$217+'Cálculos'!$C$125*(1+2.78*('Cálculos'!$C$196+(($B$54)-$A27)*'Cálculos'!$C$98)/(('Cálculos'!$C$196+(($B$54)-$A27)*'Cálculos'!$C$98)+1400)+'Cálculos'!$C$123)*'Cálculos'!$C$222)+('Cálculos'!$C$185*(1+'Cálculos'!$C$187+$A27*('Cálculos'!$C$290=1)*'Cálculos'!$C$97+'Cálculos'!$C$305)+'Cálculos'!$C$192)*('Cálculos'!$C$224+'Cálculos'!$C$124*(1+2.78*('Cálculos'!$C$197+(($B$54)-$A27)*'Cálculos'!$C$98)/(('Cálculos'!$C$197+(($B$54)-$A27)*'Cálculos'!$C$98)+1400)+'Cálculos'!$C$122)*'Cálculos'!$C$229+'Cálculos'!$C$125*(1+2.78*('Cálculos'!$C$197+(($B$54)-$A27)*'Cálculos'!$C$98)/(('Cálculos'!$C$197+(($B$54)-$A27)*'Cálculos'!$C$98)+1400)+'Cálculos'!$C$123)*'Cálculos'!$C$234)+('Cálculos'!$C$197+(($B$54)-$A27)*'Cálculos'!$C$98)*('Cálculos'!$C$225+'Cálculos'!$C$124*(1+2.78*('Cálculos'!$C$197+(($B$54)-$A27)*'Cálculos'!$C$98)/(('Cálculos'!$C$197+(($B$54)-$A27)*'Cálculos'!$C$98)+1400)+'Cálculos'!$C$122)*'Cálculos'!$C$230+'Cálculos'!$C$125*(1+2.78*('Cálculos'!$C$197+(($B$54)-$A27)*'Cálculos'!$C$98)/(('Cálculos'!$C$197+(($B$54)-$A27)*'Cálculos'!$C$98)+1400)+'Cálculos'!$C$123)*'Cálculos'!$C$235)+('Cálculos'!$C$201*(1+'Cálculos'!$C$202+$A27*('Cálculos'!$C$290=2)*'Cálculos'!$C$101)+'Cálculos'!$C$203)*('Cálculos'!$C$226+'Cálculos'!$C$124*(1+2.78*('Cálculos'!$C$197+(($B$54)-$A27)*'Cálculos'!$C$98)/(('Cálculos'!$C$197+(($B$54)-$A27)*'Cálculos'!$C$98)+1400)+'Cálculos'!$C$122)*'Cálculos'!$C$231+'Cálculos'!$C$125*(1+2.78*('Cálculos'!$C$197+(($B$54)-$A27)*'Cálculos'!$C$98)/(('Cálculos'!$C$197+(($B$54)-$A27)*'Cálculos'!$C$98)+1400)+'Cálculos'!$C$123)*'Cálculos'!$C$236)+('Cálculos'!$C$204*(1+'Cálculos'!$C$205+$A27*('Cálculos'!$C$290=3)*'Cálculos'!$C$103)+'Cálculos'!$C$206)*('Cálculos'!$C$227+'Cálculos'!$C$124*(1+2.78*('Cálculos'!$C$197+(($B$54)-$A27)*'Cálculos'!$C$98)/(('Cálculos'!$C$197+(($B$54)-$A27)*'Cálculos'!$C$98)+1400)+'Cálculos'!$C$122)*'Cálculos'!$C$232+'Cálculos'!$C$125*(1+2.78*('Cálculos'!$C$197+(($B$54)-$A27)*'Cálculos'!$C$98)/(('Cálculos'!$C$197+(($B$54)-$A27)*'Cálculos'!$C$98)+1400)+'Cálculos'!$C$123)*'Cálculos'!$C$237)+('Cálculos'!$C$185*(1+'Cálculos'!$C$188+$A27*('Cálculos'!$C$290=1)*'Cálculos'!$C$97+'Cálculos'!$C$305)+'Cálculos'!$C$193)*('Cálculos'!$C$239+'Cálculos'!$C$124*(1+2.78*('Cálculos'!$C$198+(($B$54)-$A27)*'Cálculos'!$C$98)/(('Cálculos'!$C$198+(($B$54)-$A27)*'Cálculos'!$C$98)+1400)+'Cálculos'!$C$122)*'Cálculos'!$C$244+'Cálculos'!$C$125*(1+2.78*('Cálculos'!$C$198+(($B$54)-$A27)*'Cálculos'!$C$98)/(('Cálculos'!$C$198+(($B$54)-$A27)*'Cálculos'!$C$98)+1400)+'Cálculos'!$C$123)*'Cálculos'!$C$249)+('Cálculos'!$C$198+(($B$54)-$A27)*'Cálculos'!$C$98)*('Cálculos'!$C$240+'Cálculos'!$C$124*(1+2.78*('Cálculos'!$C$198+(($B$54)-$A27)*'Cálculos'!$C$98)/(('Cálculos'!$C$198+(($B$54)-$A27)*'Cálculos'!$C$98)+1400)+'Cálculos'!$C$122)*'Cálculos'!$C$245+'Cálculos'!$C$125*(1+2.78*('Cálculos'!$C$198+(($B$54)-$A27)*'Cálculos'!$C$98)/(('Cálculos'!$C$198+(($B$54)-$A27)*'Cálculos'!$C$98)+1400)+'Cálculos'!$C$123)*'Cálculos'!$C$250)+('Cálculos'!$C$201*(1+'Cálculos'!$C$202+$A27*('Cálculos'!$C$290=2)*'Cálculos'!$C$101)+'Cálculos'!$C$203)*('Cálculos'!$C$241+'Cálculos'!$C$124*(1+2.78*('Cálculos'!$C$198+(($B$54)-$A27)*'Cálculos'!$C$98)/(('Cálculos'!$C$198+(($B$54)-$A27)*'Cálculos'!$C$98)+1400)+'Cálculos'!$C$122)*'Cálculos'!$C$246+'Cálculos'!$C$125*(1+2.78*('Cálculos'!$C$198+(($B$54)-$A27)*'Cálculos'!$C$98)/(('Cálculos'!$C$198+(($B$54)-$A27)*'Cálculos'!$C$98)+1400)+'Cálculos'!$C$123)*'Cálculos'!$C$251)+('Cálculos'!$C$204*(1+'Cálculos'!$C$205+$A27*('Cálculos'!$C$290=3)*'Cálculos'!$C$103)+'Cálculos'!$C$206)*('Cálculos'!$C$242+'Cálculos'!$C$124*(1+2.78*('Cálculos'!$C$198+(($B$54)-$A27)*'Cálculos'!$C$98)/(('Cálculos'!$C$198+(($B$54)-$A27)*'Cálculos'!$C$98)+1400)+'Cálculos'!$C$122)*'Cálculos'!$C$247+'Cálculos'!$C$125*(1+2.78*('Cálculos'!$C$198+(($B$54)-$A27)*'Cálculos'!$C$98)/(('Cálculos'!$C$198+(($B$54)-$A27)*'Cálculos'!$C$98)+1400)+'Cálculos'!$C$123)*'Cálculos'!$C$252)+('Cálculos'!$C$185*(1+'Cálculos'!$C$189+$A27*('Cálculos'!$C$290=1)*'Cálculos'!$C$97+'Cálculos'!$C$305)+'Cálculos'!$C$194)*('Cálculos'!$C$254+'Cálculos'!$C$124*(1+2.78*('Cálculos'!$C$199+(($B$54)-$A27)*'Cálculos'!$C$98)/(('Cálculos'!$C$199+(($B$54)-$A27)*'Cálculos'!$C$98)+1400)+'Cálculos'!$C$122)*'Cálculos'!$C$259+'Cálculos'!$C$125*(1+2.78*('Cálculos'!$C$199+(($B$54)-$A27)*'Cálculos'!$C$98)/(('Cálculos'!$C$199+(($B$54)-$A27)*'Cálculos'!$C$98)+1400)+'Cálculos'!$C$123)*'Cálculos'!$C$264)+('Cálculos'!$C$199+(($B$54)-$A27)*'Cálculos'!$C$98)*('Cálculos'!$C$255+'Cálculos'!$C$124*(1+2.78*('Cálculos'!$C$199+(($B$54)-$A27)*'Cálculos'!$C$98)/(('Cálculos'!$C$199+(($B$54)-$A27)*'Cálculos'!$C$98)+1400)+'Cálculos'!$C$122)*'Cálculos'!$C$260+'Cálculos'!$C$125*(1+2.78*('Cálculos'!$C$199+(($B$54)-$A27)*'Cálculos'!$C$98)/(('Cálculos'!$C$199+(($B$54)-$A27)*'Cálculos'!$C$98)+1400)+'Cálculos'!$C$123)*'Cálculos'!$C$265)+('Cálculos'!$C$201*(1+'Cálculos'!$C$202+$A27*('Cálculos'!$C$290=2)*'Cálculos'!$C$101)+'Cálculos'!$C$203)*('Cálculos'!$C$256+'Cálculos'!$C$124*(1+2.78*('Cálculos'!$C$199+(($B$54)-$A27)*'Cálculos'!$C$98)/(('Cálculos'!$C$199+(($B$54)-$A27)*'Cálculos'!$C$98)+1400)+'Cálculos'!$C$122)*'Cálculos'!$C$261+'Cálculos'!$C$125*(1+2.78*('Cálculos'!$C$199+(($B$54)-$A27)*'Cálculos'!$C$98)/(('Cálculos'!$C$199+(($B$54)-$A27)*'Cálculos'!$C$98)+1400)+'Cálculos'!$C$123)*'Cálculos'!$C$266)+('Cálculos'!$C$204*(1+'Cálculos'!$C$205+$A27*('Cálculos'!$C$290=3)*'Cálculos'!$C$103)+'Cálculos'!$C$206)*('Cálculos'!$C$257+'Cálculos'!$C$124*(1+2.78*('Cálculos'!$C$199+(($B$54)-$A27)*'Cálculos'!$C$98)/(('Cálculos'!$C$199+(($B$54)-$A27)*'Cálculos'!$C$98)+1400)+'Cálculos'!$C$122)*'Cálculos'!$C$262+'Cálculos'!$C$125*(1+2.78*('Cálculos'!$C$199+(($B$54)-$A27)*'Cálculos'!$C$98)/(('Cálculos'!$C$199+(($B$54)-$A27)*'Cálculos'!$C$98)+1400)+'Cálculos'!$C$123)*'Cálculos'!$C$267)+('Cálculos'!$C$185*(1+'Cálculos'!$C$190+$A27*('Cálculos'!$C$290=1)*'Cálculos'!$C$97+'Cálculos'!$C$305)+'Cálculos'!$C$195)*('Cálculos'!$C$269+'Cálculos'!$C$124*(1+2.78*('Cálculos'!$C$200+(($B$54)-$A27)*'Cálculos'!$C$98)/(('Cálculos'!$C$200+(($B$54)-$A27)*'Cálculos'!$C$98)+1400)+'Cálculos'!$C$122)*'Cálculos'!$C$274+'Cálculos'!$C$125*(1+2.78*('Cálculos'!$C$200+(($B$54)-$A27)*'Cálculos'!$C$98)/(('Cálculos'!$C$200+(($B$54)-$A27)*'Cálculos'!$C$98)+1400)+'Cálculos'!$C$123)*'Cálculos'!$C$279)+('Cálculos'!$C$200+(($B$54)-$A27)*'Cálculos'!$C$98)*('Cálculos'!$C$270+'Cálculos'!$C$124*(1+2.78*('Cálculos'!$C$200+(($B$54)-$A27)*'Cálculos'!$C$98)/(('Cálculos'!$C$200+(($B$54)-$A27)*'Cálculos'!$C$98)+1400)+'Cálculos'!$C$122)*'Cálculos'!$C$275+'Cálculos'!$C$125*(1+2.78*('Cálculos'!$C$200+(($B$54)-$A27)*'Cálculos'!$C$98)/(('Cálculos'!$C$200+(($B$54)-$A27)*'Cálculos'!$C$98)+1400)+'Cálculos'!$C$123)*'Cálculos'!$C$280)+('Cálculos'!$C$201*(1+'Cálculos'!$C$202+$A27*('Cálculos'!$C$290=2)*'Cálculos'!$C$101)+'Cálculos'!$C$203)*('Cálculos'!$C$271+'Cálculos'!$C$124*(1+2.78*('Cálculos'!$C$200+(($B$54)-$A27)*'Cálculos'!$C$98)/(('Cálculos'!$C$200+(($B$54)-$A27)*'Cálculos'!$C$98)+1400)+'Cálculos'!$C$122)*'Cálculos'!$C$276+'Cálculos'!$C$125*(1+2.78*('Cálculos'!$C$200+(($B$54)-$A27)*'Cálculos'!$C$98)/(('Cálculos'!$C$200+(($B$54)-$A27)*'Cálculos'!$C$98)+1400)+'Cálculos'!$C$123)*'Cálculos'!$C$281)+('Cálculos'!$C$204*(1+'Cálculos'!$C$205+$A27*('Cálculos'!$C$290=3)*'Cálculos'!$C$103)+'Cálculos'!$C$206)*('Cálculos'!$C$272+'Cálculos'!$C$124*(1+2.78*('Cálculos'!$C$200+(($B$54)-$A27)*'Cálculos'!$C$98)/(('Cálculos'!$C$200+(($B$54)-$A27)*'Cálculos'!$C$98)+1400)+'Cálculos'!$C$122)*'Cálculos'!$C$277+'Cálculos'!$C$125*(1+2.78*('Cálculos'!$C$200+(($B$54)-$A27)*'Cálculos'!$C$98)/(('Cálculos'!$C$200+(($B$54)-$A27)*'Cálculos'!$C$98)+1400)+'Cálculos'!$C$123)*'Cálculos'!$C$282)))</f>
        <v>0</v>
      </c>
    </row>
    <row r="28" ht="15.75" customHeight="1">
      <c r="A28" s="2">
        <v>22.0</v>
      </c>
      <c r="B28" s="30">
        <f>SUMPRODUCT(MAX(($A$6:$A$51&lt;=$A28)*($A$6:$A$51&lt;='Cálculos'!$C$294)*(($A28)-$A$6:$A$51&lt;='Cálculos'!$C$295)*(1+(('Cálculos'!$C$207+$A$6:$A$51*'Cálculos'!$C$95)-(('Cálculos'!$C$207+$A$6:$A$51*'Cálculos'!$C$95)&gt;1)*(('Cálculos'!$C$207+$A$6:$A$51*'Cálculos'!$C$95)-1))*('Cálculos'!$C$208+(($A28)-$A$6:$A$51)*'Cálculos'!$C$96))))</f>
        <v>3.684146</v>
      </c>
      <c r="C28" s="2">
        <f>'Cálculos'!$C$303-$A28</f>
        <v>-2</v>
      </c>
      <c r="D28" s="31">
        <f>IF($C28&lt;0,0,SUMPRODUCT(MAX(($A$6:$A$51&lt;=$C28)*($A$6:$A$51&lt;='Cálculos'!$C$301)*(($C28)-$A$6:$A$51&lt;='Cálculos'!$C$297)*(('Cálculos'!$C$185*(1+'Cálculos'!$C$186+$A$6:$A$51*('Cálculos'!$C$290=1)*'Cálculos'!$C$97+'Cálculos'!$C$305)+'Cálculos'!$C$191)*('Cálculos'!$C$209+'Cálculos'!$C$124*(1+2.78*('Cálculos'!$C$196+(($C28)-$A$6:$A$51)*'Cálculos'!$C$98)/(('Cálculos'!$C$196+(($C28)-$A$6:$A$51)*'Cálculos'!$C$98)+1400)+'Cálculos'!$C$122)*'Cálculos'!$C$214+'Cálculos'!$C$125*(1+2.78*('Cálculos'!$C$196+(($C28)-$A$6:$A$51)*'Cálculos'!$C$98)/(('Cálculos'!$C$196+(($C28)-$A$6:$A$51)*'Cálculos'!$C$98)+1400)+'Cálculos'!$C$123)*'Cálculos'!$C$219)+('Cálculos'!$C$196+(($C28)-$A$6:$A$51)*'Cálculos'!$C$98)*('Cálculos'!$C$210+'Cálculos'!$C$124*(1+2.78*('Cálculos'!$C$196+(($C28)-$A$6:$A$51)*'Cálculos'!$C$98)/(('Cálculos'!$C$196+(($C28)-$A$6:$A$51)*'Cálculos'!$C$98)+1400)+'Cálculos'!$C$122)*'Cálculos'!$C$215+'Cálculos'!$C$125*(1+2.78*('Cálculos'!$C$196+(($C28)-$A$6:$A$51)*'Cálculos'!$C$98)/(('Cálculos'!$C$196+(($C28)-$A$6:$A$51)*'Cálculos'!$C$98)+1400)+'Cálculos'!$C$123)*'Cálculos'!$C$220)+('Cálculos'!$C$201*(1+'Cálculos'!$C$202+$A$6:$A$51*('Cálculos'!$C$290=2)*'Cálculos'!$C$101)+'Cálculos'!$C$203)*('Cálculos'!$C$211+'Cálculos'!$C$124*(1+2.78*('Cálculos'!$C$196+(($C28)-$A$6:$A$51)*'Cálculos'!$C$98)/(('Cálculos'!$C$196+(($C28)-$A$6:$A$51)*'Cálculos'!$C$98)+1400)+'Cálculos'!$C$122)*'Cálculos'!$C$216+'Cálculos'!$C$125*(1+2.78*('Cálculos'!$C$196+(($C28)-$A$6:$A$51)*'Cálculos'!$C$98)/(('Cálculos'!$C$196+(($C28)-$A$6:$A$51)*'Cálculos'!$C$98)+1400)+'Cálculos'!$C$123)*'Cálculos'!$C$221)+('Cálculos'!$C$204*(1+'Cálculos'!$C$205+$A$6:$A$51*('Cálculos'!$C$290=3)*'Cálculos'!$C$103)+'Cálculos'!$C$206)*('Cálculos'!$C$212+'Cálculos'!$C$124*(1+2.78*('Cálculos'!$C$196+(($C28)-$A$6:$A$51)*'Cálculos'!$C$98)/(('Cálculos'!$C$196+(($C28)-$A$6:$A$51)*'Cálculos'!$C$98)+1400)+'Cálculos'!$C$122)*'Cálculos'!$C$217+'Cálculos'!$C$125*(1+2.78*('Cálculos'!$C$196+(($C28)-$A$6:$A$51)*'Cálculos'!$C$98)/(('Cálculos'!$C$196+(($C28)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28)-$A$6:$A$51)*'Cálculos'!$C$98)/(('Cálculos'!$C$197+(($C28)-$A$6:$A$51)*'Cálculos'!$C$98)+1400)+'Cálculos'!$C$122)*'Cálculos'!$C$229+'Cálculos'!$C$125*(1+2.78*('Cálculos'!$C$197+(($C28)-$A$6:$A$51)*'Cálculos'!$C$98)/(('Cálculos'!$C$197+(($C28)-$A$6:$A$51)*'Cálculos'!$C$98)+1400)+'Cálculos'!$C$123)*'Cálculos'!$C$234)+('Cálculos'!$C$197+(($C28)-$A$6:$A$51)*'Cálculos'!$C$98)*('Cálculos'!$C$225+'Cálculos'!$C$124*(1+2.78*('Cálculos'!$C$197+(($C28)-$A$6:$A$51)*'Cálculos'!$C$98)/(('Cálculos'!$C$197+(($C28)-$A$6:$A$51)*'Cálculos'!$C$98)+1400)+'Cálculos'!$C$122)*'Cálculos'!$C$230+'Cálculos'!$C$125*(1+2.78*('Cálculos'!$C$197+(($C28)-$A$6:$A$51)*'Cálculos'!$C$98)/(('Cálculos'!$C$197+(($C28)-$A$6:$A$51)*'Cálculos'!$C$98)+1400)+'Cálculos'!$C$123)*'Cálculos'!$C$235)+('Cálculos'!$C$201*(1+'Cálculos'!$C$202+$A$6:$A$51*('Cálculos'!$C$290=2)*'Cálculos'!$C$101)+'Cálculos'!$C$203)*('Cálculos'!$C$226+'Cálculos'!$C$124*(1+2.78*('Cálculos'!$C$197+(($C28)-$A$6:$A$51)*'Cálculos'!$C$98)/(('Cálculos'!$C$197+(($C28)-$A$6:$A$51)*'Cálculos'!$C$98)+1400)+'Cálculos'!$C$122)*'Cálculos'!$C$231+'Cálculos'!$C$125*(1+2.78*('Cálculos'!$C$197+(($C28)-$A$6:$A$51)*'Cálculos'!$C$98)/(('Cálculos'!$C$197+(($C28)-$A$6:$A$51)*'Cálculos'!$C$98)+1400)+'Cálculos'!$C$123)*'Cálculos'!$C$236)+('Cálculos'!$C$204*(1+'Cálculos'!$C$205+$A$6:$A$51*('Cálculos'!$C$290=3)*'Cálculos'!$C$103)+'Cálculos'!$C$206)*('Cálculos'!$C$227+'Cálculos'!$C$124*(1+2.78*('Cálculos'!$C$197+(($C28)-$A$6:$A$51)*'Cálculos'!$C$98)/(('Cálculos'!$C$197+(($C28)-$A$6:$A$51)*'Cálculos'!$C$98)+1400)+'Cálculos'!$C$122)*'Cálculos'!$C$232+'Cálculos'!$C$125*(1+2.78*('Cálculos'!$C$197+(($C28)-$A$6:$A$51)*'Cálculos'!$C$98)/(('Cálculos'!$C$197+(($C28)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28)-$A$6:$A$51)*'Cálculos'!$C$98)/(('Cálculos'!$C$198+(($C28)-$A$6:$A$51)*'Cálculos'!$C$98)+1400)+'Cálculos'!$C$122)*'Cálculos'!$C$244+'Cálculos'!$C$125*(1+2.78*('Cálculos'!$C$198+(($C28)-$A$6:$A$51)*'Cálculos'!$C$98)/(('Cálculos'!$C$198+(($C28)-$A$6:$A$51)*'Cálculos'!$C$98)+1400)+'Cálculos'!$C$123)*'Cálculos'!$C$249)+('Cálculos'!$C$198+(($C28)-$A$6:$A$51)*'Cálculos'!$C$98)*('Cálculos'!$C$240+'Cálculos'!$C$124*(1+2.78*('Cálculos'!$C$198+(($C28)-$A$6:$A$51)*'Cálculos'!$C$98)/(('Cálculos'!$C$198+(($C28)-$A$6:$A$51)*'Cálculos'!$C$98)+1400)+'Cálculos'!$C$122)*'Cálculos'!$C$245+'Cálculos'!$C$125*(1+2.78*('Cálculos'!$C$198+(($C28)-$A$6:$A$51)*'Cálculos'!$C$98)/(('Cálculos'!$C$198+(($C28)-$A$6:$A$51)*'Cálculos'!$C$98)+1400)+'Cálculos'!$C$123)*'Cálculos'!$C$250)+('Cálculos'!$C$201*(1+'Cálculos'!$C$202+$A$6:$A$51*('Cálculos'!$C$290=2)*'Cálculos'!$C$101)+'Cálculos'!$C$203)*('Cálculos'!$C$241+'Cálculos'!$C$124*(1+2.78*('Cálculos'!$C$198+(($C28)-$A$6:$A$51)*'Cálculos'!$C$98)/(('Cálculos'!$C$198+(($C28)-$A$6:$A$51)*'Cálculos'!$C$98)+1400)+'Cálculos'!$C$122)*'Cálculos'!$C$246+'Cálculos'!$C$125*(1+2.78*('Cálculos'!$C$198+(($C28)-$A$6:$A$51)*'Cálculos'!$C$98)/(('Cálculos'!$C$198+(($C28)-$A$6:$A$51)*'Cálculos'!$C$98)+1400)+'Cálculos'!$C$123)*'Cálculos'!$C$251)+('Cálculos'!$C$204*(1+'Cálculos'!$C$205+$A$6:$A$51*('Cálculos'!$C$290=3)*'Cálculos'!$C$103)+'Cálculos'!$C$206)*('Cálculos'!$C$242+'Cálculos'!$C$124*(1+2.78*('Cálculos'!$C$198+(($C28)-$A$6:$A$51)*'Cálculos'!$C$98)/(('Cálculos'!$C$198+(($C28)-$A$6:$A$51)*'Cálculos'!$C$98)+1400)+'Cálculos'!$C$122)*'Cálculos'!$C$247+'Cálculos'!$C$125*(1+2.78*('Cálculos'!$C$198+(($C28)-$A$6:$A$51)*'Cálculos'!$C$98)/(('Cálculos'!$C$198+(($C28)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28)-$A$6:$A$51)*'Cálculos'!$C$98)/(('Cálculos'!$C$199+(($C28)-$A$6:$A$51)*'Cálculos'!$C$98)+1400)+'Cálculos'!$C$122)*'Cálculos'!$C$259+'Cálculos'!$C$125*(1+2.78*('Cálculos'!$C$199+(($C28)-$A$6:$A$51)*'Cálculos'!$C$98)/(('Cálculos'!$C$199+(($C28)-$A$6:$A$51)*'Cálculos'!$C$98)+1400)+'Cálculos'!$C$123)*'Cálculos'!$C$264)+('Cálculos'!$C$199+(($C28)-$A$6:$A$51)*'Cálculos'!$C$98)*('Cálculos'!$C$255+'Cálculos'!$C$124*(1+2.78*('Cálculos'!$C$199+(($C28)-$A$6:$A$51)*'Cálculos'!$C$98)/(('Cálculos'!$C$199+(($C28)-$A$6:$A$51)*'Cálculos'!$C$98)+1400)+'Cálculos'!$C$122)*'Cálculos'!$C$260+'Cálculos'!$C$125*(1+2.78*('Cálculos'!$C$199+(($C28)-$A$6:$A$51)*'Cálculos'!$C$98)/(('Cálculos'!$C$199+(($C28)-$A$6:$A$51)*'Cálculos'!$C$98)+1400)+'Cálculos'!$C$123)*'Cálculos'!$C$265)+('Cálculos'!$C$201*(1+'Cálculos'!$C$202+$A$6:$A$51*('Cálculos'!$C$290=2)*'Cálculos'!$C$101)+'Cálculos'!$C$203)*('Cálculos'!$C$256+'Cálculos'!$C$124*(1+2.78*('Cálculos'!$C$199+(($C28)-$A$6:$A$51)*'Cálculos'!$C$98)/(('Cálculos'!$C$199+(($C28)-$A$6:$A$51)*'Cálculos'!$C$98)+1400)+'Cálculos'!$C$122)*'Cálculos'!$C$261+'Cálculos'!$C$125*(1+2.78*('Cálculos'!$C$199+(($C28)-$A$6:$A$51)*'Cálculos'!$C$98)/(('Cálculos'!$C$199+(($C28)-$A$6:$A$51)*'Cálculos'!$C$98)+1400)+'Cálculos'!$C$123)*'Cálculos'!$C$266)+('Cálculos'!$C$204*(1+'Cálculos'!$C$205+$A$6:$A$51*('Cálculos'!$C$290=3)*'Cálculos'!$C$103)+'Cálculos'!$C$206)*('Cálculos'!$C$257+'Cálculos'!$C$124*(1+2.78*('Cálculos'!$C$199+(($C28)-$A$6:$A$51)*'Cálculos'!$C$98)/(('Cálculos'!$C$199+(($C28)-$A$6:$A$51)*'Cálculos'!$C$98)+1400)+'Cálculos'!$C$122)*'Cálculos'!$C$262+'Cálculos'!$C$125*(1+2.78*('Cálculos'!$C$199+(($C28)-$A$6:$A$51)*'Cálculos'!$C$98)/(('Cálculos'!$C$199+(($C28)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28)-$A$6:$A$51)*'Cálculos'!$C$98)/(('Cálculos'!$C$200+(($C28)-$A$6:$A$51)*'Cálculos'!$C$98)+1400)+'Cálculos'!$C$122)*'Cálculos'!$C$274+'Cálculos'!$C$125*(1+2.78*('Cálculos'!$C$200+(($C28)-$A$6:$A$51)*'Cálculos'!$C$98)/(('Cálculos'!$C$200+(($C28)-$A$6:$A$51)*'Cálculos'!$C$98)+1400)+'Cálculos'!$C$123)*'Cálculos'!$C$279)+('Cálculos'!$C$200+(($C28)-$A$6:$A$51)*'Cálculos'!$C$98)*('Cálculos'!$C$270+'Cálculos'!$C$124*(1+2.78*('Cálculos'!$C$200+(($C28)-$A$6:$A$51)*'Cálculos'!$C$98)/(('Cálculos'!$C$200+(($C28)-$A$6:$A$51)*'Cálculos'!$C$98)+1400)+'Cálculos'!$C$122)*'Cálculos'!$C$275+'Cálculos'!$C$125*(1+2.78*('Cálculos'!$C$200+(($C28)-$A$6:$A$51)*'Cálculos'!$C$98)/(('Cálculos'!$C$200+(($C28)-$A$6:$A$51)*'Cálculos'!$C$98)+1400)+'Cálculos'!$C$123)*'Cálculos'!$C$280)+('Cálculos'!$C$201*(1+'Cálculos'!$C$202+$A$6:$A$51*('Cálculos'!$C$290=2)*'Cálculos'!$C$101)+'Cálculos'!$C$203)*('Cálculos'!$C$271+'Cálculos'!$C$124*(1+2.78*('Cálculos'!$C$200+(($C28)-$A$6:$A$51)*'Cálculos'!$C$98)/(('Cálculos'!$C$200+(($C28)-$A$6:$A$51)*'Cálculos'!$C$98)+1400)+'Cálculos'!$C$122)*'Cálculos'!$C$276+'Cálculos'!$C$125*(1+2.78*('Cálculos'!$C$200+(($C28)-$A$6:$A$51)*'Cálculos'!$C$98)/(('Cálculos'!$C$200+(($C28)-$A$6:$A$51)*'Cálculos'!$C$98)+1400)+'Cálculos'!$C$123)*'Cálculos'!$C$281)+('Cálculos'!$C$204*(1+'Cálculos'!$C$205+$A$6:$A$51*('Cálculos'!$C$290=3)*'Cálculos'!$C$103)+'Cálculos'!$C$206)*('Cálculos'!$C$272+'Cálculos'!$C$124*(1+2.78*('Cálculos'!$C$200+(($C28)-$A$6:$A$51)*'Cálculos'!$C$98)/(('Cálculos'!$C$200+(($C28)-$A$6:$A$51)*'Cálculos'!$C$98)+1400)+'Cálculos'!$C$122)*'Cálculos'!$C$277+'Cálculos'!$C$125*(1+2.78*('Cálculos'!$C$200+(($C28)-$A$6:$A$51)*'Cálculos'!$C$98)/(('Cálculos'!$C$200+(($C28)-$A$6:$A$51)*'Cálculos'!$C$98)+1400)+'Cálculos'!$C$123)*'Cálculos'!$C$282)))))</f>
        <v>0</v>
      </c>
      <c r="E28" s="32">
        <f>IF(OR($C28&lt;0,'Cálculos'!$C$6=""),0,$B28*$D28)</f>
        <v>0</v>
      </c>
      <c r="F28" s="2"/>
      <c r="G28" s="30">
        <f>($A28&lt;=$B$53)*($A28&lt;='Cálculos'!$C$294)*(($B$53)-$A28&lt;='Cálculos'!$C$295)*(1+MIN(('Cálculos'!$C$207+$A28*'Cálculos'!$C$95),1)*('Cálculos'!$C$208+(($B$53)-$A28)*'Cálculos'!$C$96))</f>
        <v>0</v>
      </c>
      <c r="H28" s="31">
        <f>IF($B$54&lt;0,0,($A28&lt;=$B$54)*($A28&lt;='Cálculos'!$C$301)*(($B$54)-$A28&lt;='Cálculos'!$C$297)*(('Cálculos'!$C$185*(1+'Cálculos'!$C$186+$A28*('Cálculos'!$C$290=1)*'Cálculos'!$C$97+'Cálculos'!$C$305)+'Cálculos'!$C$191)*('Cálculos'!$C$209+'Cálculos'!$C$124*(1+2.78*('Cálculos'!$C$196+(($B$54)-$A28)*'Cálculos'!$C$98)/(('Cálculos'!$C$196+(($B$54)-$A28)*'Cálculos'!$C$98)+1400)+'Cálculos'!$C$122)*'Cálculos'!$C$214+'Cálculos'!$C$125*(1+2.78*('Cálculos'!$C$196+(($B$54)-$A28)*'Cálculos'!$C$98)/(('Cálculos'!$C$196+(($B$54)-$A28)*'Cálculos'!$C$98)+1400)+'Cálculos'!$C$123)*'Cálculos'!$C$219)+('Cálculos'!$C$196+(($B$54)-$A28)*'Cálculos'!$C$98)*('Cálculos'!$C$210+'Cálculos'!$C$124*(1+2.78*('Cálculos'!$C$196+(($B$54)-$A28)*'Cálculos'!$C$98)/(('Cálculos'!$C$196+(($B$54)-$A28)*'Cálculos'!$C$98)+1400)+'Cálculos'!$C$122)*'Cálculos'!$C$215+'Cálculos'!$C$125*(1+2.78*('Cálculos'!$C$196+(($B$54)-$A28)*'Cálculos'!$C$98)/(('Cálculos'!$C$196+(($B$54)-$A28)*'Cálculos'!$C$98)+1400)+'Cálculos'!$C$123)*'Cálculos'!$C$220)+('Cálculos'!$C$201*(1+'Cálculos'!$C$202+$A28*('Cálculos'!$C$290=2)*'Cálculos'!$C$101)+'Cálculos'!$C$203)*('Cálculos'!$C$211+'Cálculos'!$C$124*(1+2.78*('Cálculos'!$C$196+(($B$54)-$A28)*'Cálculos'!$C$98)/(('Cálculos'!$C$196+(($B$54)-$A28)*'Cálculos'!$C$98)+1400)+'Cálculos'!$C$122)*'Cálculos'!$C$216+'Cálculos'!$C$125*(1+2.78*('Cálculos'!$C$196+(($B$54)-$A28)*'Cálculos'!$C$98)/(('Cálculos'!$C$196+(($B$54)-$A28)*'Cálculos'!$C$98)+1400)+'Cálculos'!$C$123)*'Cálculos'!$C$221)+('Cálculos'!$C$204*(1+'Cálculos'!$C$205+$A28*('Cálculos'!$C$290=3)*'Cálculos'!$C$103)+'Cálculos'!$C$206)*('Cálculos'!$C$212+'Cálculos'!$C$124*(1+2.78*('Cálculos'!$C$196+(($B$54)-$A28)*'Cálculos'!$C$98)/(('Cálculos'!$C$196+(($B$54)-$A28)*'Cálculos'!$C$98)+1400)+'Cálculos'!$C$122)*'Cálculos'!$C$217+'Cálculos'!$C$125*(1+2.78*('Cálculos'!$C$196+(($B$54)-$A28)*'Cálculos'!$C$98)/(('Cálculos'!$C$196+(($B$54)-$A28)*'Cálculos'!$C$98)+1400)+'Cálculos'!$C$123)*'Cálculos'!$C$222)+('Cálculos'!$C$185*(1+'Cálculos'!$C$187+$A28*('Cálculos'!$C$290=1)*'Cálculos'!$C$97+'Cálculos'!$C$305)+'Cálculos'!$C$192)*('Cálculos'!$C$224+'Cálculos'!$C$124*(1+2.78*('Cálculos'!$C$197+(($B$54)-$A28)*'Cálculos'!$C$98)/(('Cálculos'!$C$197+(($B$54)-$A28)*'Cálculos'!$C$98)+1400)+'Cálculos'!$C$122)*'Cálculos'!$C$229+'Cálculos'!$C$125*(1+2.78*('Cálculos'!$C$197+(($B$54)-$A28)*'Cálculos'!$C$98)/(('Cálculos'!$C$197+(($B$54)-$A28)*'Cálculos'!$C$98)+1400)+'Cálculos'!$C$123)*'Cálculos'!$C$234)+('Cálculos'!$C$197+(($B$54)-$A28)*'Cálculos'!$C$98)*('Cálculos'!$C$225+'Cálculos'!$C$124*(1+2.78*('Cálculos'!$C$197+(($B$54)-$A28)*'Cálculos'!$C$98)/(('Cálculos'!$C$197+(($B$54)-$A28)*'Cálculos'!$C$98)+1400)+'Cálculos'!$C$122)*'Cálculos'!$C$230+'Cálculos'!$C$125*(1+2.78*('Cálculos'!$C$197+(($B$54)-$A28)*'Cálculos'!$C$98)/(('Cálculos'!$C$197+(($B$54)-$A28)*'Cálculos'!$C$98)+1400)+'Cálculos'!$C$123)*'Cálculos'!$C$235)+('Cálculos'!$C$201*(1+'Cálculos'!$C$202+$A28*('Cálculos'!$C$290=2)*'Cálculos'!$C$101)+'Cálculos'!$C$203)*('Cálculos'!$C$226+'Cálculos'!$C$124*(1+2.78*('Cálculos'!$C$197+(($B$54)-$A28)*'Cálculos'!$C$98)/(('Cálculos'!$C$197+(($B$54)-$A28)*'Cálculos'!$C$98)+1400)+'Cálculos'!$C$122)*'Cálculos'!$C$231+'Cálculos'!$C$125*(1+2.78*('Cálculos'!$C$197+(($B$54)-$A28)*'Cálculos'!$C$98)/(('Cálculos'!$C$197+(($B$54)-$A28)*'Cálculos'!$C$98)+1400)+'Cálculos'!$C$123)*'Cálculos'!$C$236)+('Cálculos'!$C$204*(1+'Cálculos'!$C$205+$A28*('Cálculos'!$C$290=3)*'Cálculos'!$C$103)+'Cálculos'!$C$206)*('Cálculos'!$C$227+'Cálculos'!$C$124*(1+2.78*('Cálculos'!$C$197+(($B$54)-$A28)*'Cálculos'!$C$98)/(('Cálculos'!$C$197+(($B$54)-$A28)*'Cálculos'!$C$98)+1400)+'Cálculos'!$C$122)*'Cálculos'!$C$232+'Cálculos'!$C$125*(1+2.78*('Cálculos'!$C$197+(($B$54)-$A28)*'Cálculos'!$C$98)/(('Cálculos'!$C$197+(($B$54)-$A28)*'Cálculos'!$C$98)+1400)+'Cálculos'!$C$123)*'Cálculos'!$C$237)+('Cálculos'!$C$185*(1+'Cálculos'!$C$188+$A28*('Cálculos'!$C$290=1)*'Cálculos'!$C$97+'Cálculos'!$C$305)+'Cálculos'!$C$193)*('Cálculos'!$C$239+'Cálculos'!$C$124*(1+2.78*('Cálculos'!$C$198+(($B$54)-$A28)*'Cálculos'!$C$98)/(('Cálculos'!$C$198+(($B$54)-$A28)*'Cálculos'!$C$98)+1400)+'Cálculos'!$C$122)*'Cálculos'!$C$244+'Cálculos'!$C$125*(1+2.78*('Cálculos'!$C$198+(($B$54)-$A28)*'Cálculos'!$C$98)/(('Cálculos'!$C$198+(($B$54)-$A28)*'Cálculos'!$C$98)+1400)+'Cálculos'!$C$123)*'Cálculos'!$C$249)+('Cálculos'!$C$198+(($B$54)-$A28)*'Cálculos'!$C$98)*('Cálculos'!$C$240+'Cálculos'!$C$124*(1+2.78*('Cálculos'!$C$198+(($B$54)-$A28)*'Cálculos'!$C$98)/(('Cálculos'!$C$198+(($B$54)-$A28)*'Cálculos'!$C$98)+1400)+'Cálculos'!$C$122)*'Cálculos'!$C$245+'Cálculos'!$C$125*(1+2.78*('Cálculos'!$C$198+(($B$54)-$A28)*'Cálculos'!$C$98)/(('Cálculos'!$C$198+(($B$54)-$A28)*'Cálculos'!$C$98)+1400)+'Cálculos'!$C$123)*'Cálculos'!$C$250)+('Cálculos'!$C$201*(1+'Cálculos'!$C$202+$A28*('Cálculos'!$C$290=2)*'Cálculos'!$C$101)+'Cálculos'!$C$203)*('Cálculos'!$C$241+'Cálculos'!$C$124*(1+2.78*('Cálculos'!$C$198+(($B$54)-$A28)*'Cálculos'!$C$98)/(('Cálculos'!$C$198+(($B$54)-$A28)*'Cálculos'!$C$98)+1400)+'Cálculos'!$C$122)*'Cálculos'!$C$246+'Cálculos'!$C$125*(1+2.78*('Cálculos'!$C$198+(($B$54)-$A28)*'Cálculos'!$C$98)/(('Cálculos'!$C$198+(($B$54)-$A28)*'Cálculos'!$C$98)+1400)+'Cálculos'!$C$123)*'Cálculos'!$C$251)+('Cálculos'!$C$204*(1+'Cálculos'!$C$205+$A28*('Cálculos'!$C$290=3)*'Cálculos'!$C$103)+'Cálculos'!$C$206)*('Cálculos'!$C$242+'Cálculos'!$C$124*(1+2.78*('Cálculos'!$C$198+(($B$54)-$A28)*'Cálculos'!$C$98)/(('Cálculos'!$C$198+(($B$54)-$A28)*'Cálculos'!$C$98)+1400)+'Cálculos'!$C$122)*'Cálculos'!$C$247+'Cálculos'!$C$125*(1+2.78*('Cálculos'!$C$198+(($B$54)-$A28)*'Cálculos'!$C$98)/(('Cálculos'!$C$198+(($B$54)-$A28)*'Cálculos'!$C$98)+1400)+'Cálculos'!$C$123)*'Cálculos'!$C$252)+('Cálculos'!$C$185*(1+'Cálculos'!$C$189+$A28*('Cálculos'!$C$290=1)*'Cálculos'!$C$97+'Cálculos'!$C$305)+'Cálculos'!$C$194)*('Cálculos'!$C$254+'Cálculos'!$C$124*(1+2.78*('Cálculos'!$C$199+(($B$54)-$A28)*'Cálculos'!$C$98)/(('Cálculos'!$C$199+(($B$54)-$A28)*'Cálculos'!$C$98)+1400)+'Cálculos'!$C$122)*'Cálculos'!$C$259+'Cálculos'!$C$125*(1+2.78*('Cálculos'!$C$199+(($B$54)-$A28)*'Cálculos'!$C$98)/(('Cálculos'!$C$199+(($B$54)-$A28)*'Cálculos'!$C$98)+1400)+'Cálculos'!$C$123)*'Cálculos'!$C$264)+('Cálculos'!$C$199+(($B$54)-$A28)*'Cálculos'!$C$98)*('Cálculos'!$C$255+'Cálculos'!$C$124*(1+2.78*('Cálculos'!$C$199+(($B$54)-$A28)*'Cálculos'!$C$98)/(('Cálculos'!$C$199+(($B$54)-$A28)*'Cálculos'!$C$98)+1400)+'Cálculos'!$C$122)*'Cálculos'!$C$260+'Cálculos'!$C$125*(1+2.78*('Cálculos'!$C$199+(($B$54)-$A28)*'Cálculos'!$C$98)/(('Cálculos'!$C$199+(($B$54)-$A28)*'Cálculos'!$C$98)+1400)+'Cálculos'!$C$123)*'Cálculos'!$C$265)+('Cálculos'!$C$201*(1+'Cálculos'!$C$202+$A28*('Cálculos'!$C$290=2)*'Cálculos'!$C$101)+'Cálculos'!$C$203)*('Cálculos'!$C$256+'Cálculos'!$C$124*(1+2.78*('Cálculos'!$C$199+(($B$54)-$A28)*'Cálculos'!$C$98)/(('Cálculos'!$C$199+(($B$54)-$A28)*'Cálculos'!$C$98)+1400)+'Cálculos'!$C$122)*'Cálculos'!$C$261+'Cálculos'!$C$125*(1+2.78*('Cálculos'!$C$199+(($B$54)-$A28)*'Cálculos'!$C$98)/(('Cálculos'!$C$199+(($B$54)-$A28)*'Cálculos'!$C$98)+1400)+'Cálculos'!$C$123)*'Cálculos'!$C$266)+('Cálculos'!$C$204*(1+'Cálculos'!$C$205+$A28*('Cálculos'!$C$290=3)*'Cálculos'!$C$103)+'Cálculos'!$C$206)*('Cálculos'!$C$257+'Cálculos'!$C$124*(1+2.78*('Cálculos'!$C$199+(($B$54)-$A28)*'Cálculos'!$C$98)/(('Cálculos'!$C$199+(($B$54)-$A28)*'Cálculos'!$C$98)+1400)+'Cálculos'!$C$122)*'Cálculos'!$C$262+'Cálculos'!$C$125*(1+2.78*('Cálculos'!$C$199+(($B$54)-$A28)*'Cálculos'!$C$98)/(('Cálculos'!$C$199+(($B$54)-$A28)*'Cálculos'!$C$98)+1400)+'Cálculos'!$C$123)*'Cálculos'!$C$267)+('Cálculos'!$C$185*(1+'Cálculos'!$C$190+$A28*('Cálculos'!$C$290=1)*'Cálculos'!$C$97+'Cálculos'!$C$305)+'Cálculos'!$C$195)*('Cálculos'!$C$269+'Cálculos'!$C$124*(1+2.78*('Cálculos'!$C$200+(($B$54)-$A28)*'Cálculos'!$C$98)/(('Cálculos'!$C$200+(($B$54)-$A28)*'Cálculos'!$C$98)+1400)+'Cálculos'!$C$122)*'Cálculos'!$C$274+'Cálculos'!$C$125*(1+2.78*('Cálculos'!$C$200+(($B$54)-$A28)*'Cálculos'!$C$98)/(('Cálculos'!$C$200+(($B$54)-$A28)*'Cálculos'!$C$98)+1400)+'Cálculos'!$C$123)*'Cálculos'!$C$279)+('Cálculos'!$C$200+(($B$54)-$A28)*'Cálculos'!$C$98)*('Cálculos'!$C$270+'Cálculos'!$C$124*(1+2.78*('Cálculos'!$C$200+(($B$54)-$A28)*'Cálculos'!$C$98)/(('Cálculos'!$C$200+(($B$54)-$A28)*'Cálculos'!$C$98)+1400)+'Cálculos'!$C$122)*'Cálculos'!$C$275+'Cálculos'!$C$125*(1+2.78*('Cálculos'!$C$200+(($B$54)-$A28)*'Cálculos'!$C$98)/(('Cálculos'!$C$200+(($B$54)-$A28)*'Cálculos'!$C$98)+1400)+'Cálculos'!$C$123)*'Cálculos'!$C$280)+('Cálculos'!$C$201*(1+'Cálculos'!$C$202+$A28*('Cálculos'!$C$290=2)*'Cálculos'!$C$101)+'Cálculos'!$C$203)*('Cálculos'!$C$271+'Cálculos'!$C$124*(1+2.78*('Cálculos'!$C$200+(($B$54)-$A28)*'Cálculos'!$C$98)/(('Cálculos'!$C$200+(($B$54)-$A28)*'Cálculos'!$C$98)+1400)+'Cálculos'!$C$122)*'Cálculos'!$C$276+'Cálculos'!$C$125*(1+2.78*('Cálculos'!$C$200+(($B$54)-$A28)*'Cálculos'!$C$98)/(('Cálculos'!$C$200+(($B$54)-$A28)*'Cálculos'!$C$98)+1400)+'Cálculos'!$C$123)*'Cálculos'!$C$281)+('Cálculos'!$C$204*(1+'Cálculos'!$C$205+$A28*('Cálculos'!$C$290=3)*'Cálculos'!$C$103)+'Cálculos'!$C$206)*('Cálculos'!$C$272+'Cálculos'!$C$124*(1+2.78*('Cálculos'!$C$200+(($B$54)-$A28)*'Cálculos'!$C$98)/(('Cálculos'!$C$200+(($B$54)-$A28)*'Cálculos'!$C$98)+1400)+'Cálculos'!$C$122)*'Cálculos'!$C$277+'Cálculos'!$C$125*(1+2.78*('Cálculos'!$C$200+(($B$54)-$A28)*'Cálculos'!$C$98)/(('Cálculos'!$C$200+(($B$54)-$A28)*'Cálculos'!$C$98)+1400)+'Cálculos'!$C$123)*'Cálculos'!$C$282)))</f>
        <v>0</v>
      </c>
    </row>
    <row r="29" ht="15.75" customHeight="1">
      <c r="A29" s="2">
        <v>23.0</v>
      </c>
      <c r="B29" s="30">
        <f>SUMPRODUCT(MAX(($A$6:$A$51&lt;=$A29)*($A$6:$A$51&lt;='Cálculos'!$C$294)*(($A29)-$A$6:$A$51&lt;='Cálculos'!$C$295)*(1+(('Cálculos'!$C$207+$A$6:$A$51*'Cálculos'!$C$95)-(('Cálculos'!$C$207+$A$6:$A$51*'Cálculos'!$C$95)&gt;1)*(('Cálculos'!$C$207+$A$6:$A$51*'Cálculos'!$C$95)-1))*('Cálculos'!$C$208+(($A29)-$A$6:$A$51)*'Cálculos'!$C$96))))</f>
        <v>3.74942</v>
      </c>
      <c r="C29" s="2">
        <f>'Cálculos'!$C$303-$A29</f>
        <v>-3</v>
      </c>
      <c r="D29" s="31">
        <f>IF($C29&lt;0,0,SUMPRODUCT(MAX(($A$6:$A$51&lt;=$C29)*($A$6:$A$51&lt;='Cálculos'!$C$301)*(($C29)-$A$6:$A$51&lt;='Cálculos'!$C$297)*(('Cálculos'!$C$185*(1+'Cálculos'!$C$186+$A$6:$A$51*('Cálculos'!$C$290=1)*'Cálculos'!$C$97+'Cálculos'!$C$305)+'Cálculos'!$C$191)*('Cálculos'!$C$209+'Cálculos'!$C$124*(1+2.78*('Cálculos'!$C$196+(($C29)-$A$6:$A$51)*'Cálculos'!$C$98)/(('Cálculos'!$C$196+(($C29)-$A$6:$A$51)*'Cálculos'!$C$98)+1400)+'Cálculos'!$C$122)*'Cálculos'!$C$214+'Cálculos'!$C$125*(1+2.78*('Cálculos'!$C$196+(($C29)-$A$6:$A$51)*'Cálculos'!$C$98)/(('Cálculos'!$C$196+(($C29)-$A$6:$A$51)*'Cálculos'!$C$98)+1400)+'Cálculos'!$C$123)*'Cálculos'!$C$219)+('Cálculos'!$C$196+(($C29)-$A$6:$A$51)*'Cálculos'!$C$98)*('Cálculos'!$C$210+'Cálculos'!$C$124*(1+2.78*('Cálculos'!$C$196+(($C29)-$A$6:$A$51)*'Cálculos'!$C$98)/(('Cálculos'!$C$196+(($C29)-$A$6:$A$51)*'Cálculos'!$C$98)+1400)+'Cálculos'!$C$122)*'Cálculos'!$C$215+'Cálculos'!$C$125*(1+2.78*('Cálculos'!$C$196+(($C29)-$A$6:$A$51)*'Cálculos'!$C$98)/(('Cálculos'!$C$196+(($C29)-$A$6:$A$51)*'Cálculos'!$C$98)+1400)+'Cálculos'!$C$123)*'Cálculos'!$C$220)+('Cálculos'!$C$201*(1+'Cálculos'!$C$202+$A$6:$A$51*('Cálculos'!$C$290=2)*'Cálculos'!$C$101)+'Cálculos'!$C$203)*('Cálculos'!$C$211+'Cálculos'!$C$124*(1+2.78*('Cálculos'!$C$196+(($C29)-$A$6:$A$51)*'Cálculos'!$C$98)/(('Cálculos'!$C$196+(($C29)-$A$6:$A$51)*'Cálculos'!$C$98)+1400)+'Cálculos'!$C$122)*'Cálculos'!$C$216+'Cálculos'!$C$125*(1+2.78*('Cálculos'!$C$196+(($C29)-$A$6:$A$51)*'Cálculos'!$C$98)/(('Cálculos'!$C$196+(($C29)-$A$6:$A$51)*'Cálculos'!$C$98)+1400)+'Cálculos'!$C$123)*'Cálculos'!$C$221)+('Cálculos'!$C$204*(1+'Cálculos'!$C$205+$A$6:$A$51*('Cálculos'!$C$290=3)*'Cálculos'!$C$103)+'Cálculos'!$C$206)*('Cálculos'!$C$212+'Cálculos'!$C$124*(1+2.78*('Cálculos'!$C$196+(($C29)-$A$6:$A$51)*'Cálculos'!$C$98)/(('Cálculos'!$C$196+(($C29)-$A$6:$A$51)*'Cálculos'!$C$98)+1400)+'Cálculos'!$C$122)*'Cálculos'!$C$217+'Cálculos'!$C$125*(1+2.78*('Cálculos'!$C$196+(($C29)-$A$6:$A$51)*'Cálculos'!$C$98)/(('Cálculos'!$C$196+(($C29)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29)-$A$6:$A$51)*'Cálculos'!$C$98)/(('Cálculos'!$C$197+(($C29)-$A$6:$A$51)*'Cálculos'!$C$98)+1400)+'Cálculos'!$C$122)*'Cálculos'!$C$229+'Cálculos'!$C$125*(1+2.78*('Cálculos'!$C$197+(($C29)-$A$6:$A$51)*'Cálculos'!$C$98)/(('Cálculos'!$C$197+(($C29)-$A$6:$A$51)*'Cálculos'!$C$98)+1400)+'Cálculos'!$C$123)*'Cálculos'!$C$234)+('Cálculos'!$C$197+(($C29)-$A$6:$A$51)*'Cálculos'!$C$98)*('Cálculos'!$C$225+'Cálculos'!$C$124*(1+2.78*('Cálculos'!$C$197+(($C29)-$A$6:$A$51)*'Cálculos'!$C$98)/(('Cálculos'!$C$197+(($C29)-$A$6:$A$51)*'Cálculos'!$C$98)+1400)+'Cálculos'!$C$122)*'Cálculos'!$C$230+'Cálculos'!$C$125*(1+2.78*('Cálculos'!$C$197+(($C29)-$A$6:$A$51)*'Cálculos'!$C$98)/(('Cálculos'!$C$197+(($C29)-$A$6:$A$51)*'Cálculos'!$C$98)+1400)+'Cálculos'!$C$123)*'Cálculos'!$C$235)+('Cálculos'!$C$201*(1+'Cálculos'!$C$202+$A$6:$A$51*('Cálculos'!$C$290=2)*'Cálculos'!$C$101)+'Cálculos'!$C$203)*('Cálculos'!$C$226+'Cálculos'!$C$124*(1+2.78*('Cálculos'!$C$197+(($C29)-$A$6:$A$51)*'Cálculos'!$C$98)/(('Cálculos'!$C$197+(($C29)-$A$6:$A$51)*'Cálculos'!$C$98)+1400)+'Cálculos'!$C$122)*'Cálculos'!$C$231+'Cálculos'!$C$125*(1+2.78*('Cálculos'!$C$197+(($C29)-$A$6:$A$51)*'Cálculos'!$C$98)/(('Cálculos'!$C$197+(($C29)-$A$6:$A$51)*'Cálculos'!$C$98)+1400)+'Cálculos'!$C$123)*'Cálculos'!$C$236)+('Cálculos'!$C$204*(1+'Cálculos'!$C$205+$A$6:$A$51*('Cálculos'!$C$290=3)*'Cálculos'!$C$103)+'Cálculos'!$C$206)*('Cálculos'!$C$227+'Cálculos'!$C$124*(1+2.78*('Cálculos'!$C$197+(($C29)-$A$6:$A$51)*'Cálculos'!$C$98)/(('Cálculos'!$C$197+(($C29)-$A$6:$A$51)*'Cálculos'!$C$98)+1400)+'Cálculos'!$C$122)*'Cálculos'!$C$232+'Cálculos'!$C$125*(1+2.78*('Cálculos'!$C$197+(($C29)-$A$6:$A$51)*'Cálculos'!$C$98)/(('Cálculos'!$C$197+(($C29)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29)-$A$6:$A$51)*'Cálculos'!$C$98)/(('Cálculos'!$C$198+(($C29)-$A$6:$A$51)*'Cálculos'!$C$98)+1400)+'Cálculos'!$C$122)*'Cálculos'!$C$244+'Cálculos'!$C$125*(1+2.78*('Cálculos'!$C$198+(($C29)-$A$6:$A$51)*'Cálculos'!$C$98)/(('Cálculos'!$C$198+(($C29)-$A$6:$A$51)*'Cálculos'!$C$98)+1400)+'Cálculos'!$C$123)*'Cálculos'!$C$249)+('Cálculos'!$C$198+(($C29)-$A$6:$A$51)*'Cálculos'!$C$98)*('Cálculos'!$C$240+'Cálculos'!$C$124*(1+2.78*('Cálculos'!$C$198+(($C29)-$A$6:$A$51)*'Cálculos'!$C$98)/(('Cálculos'!$C$198+(($C29)-$A$6:$A$51)*'Cálculos'!$C$98)+1400)+'Cálculos'!$C$122)*'Cálculos'!$C$245+'Cálculos'!$C$125*(1+2.78*('Cálculos'!$C$198+(($C29)-$A$6:$A$51)*'Cálculos'!$C$98)/(('Cálculos'!$C$198+(($C29)-$A$6:$A$51)*'Cálculos'!$C$98)+1400)+'Cálculos'!$C$123)*'Cálculos'!$C$250)+('Cálculos'!$C$201*(1+'Cálculos'!$C$202+$A$6:$A$51*('Cálculos'!$C$290=2)*'Cálculos'!$C$101)+'Cálculos'!$C$203)*('Cálculos'!$C$241+'Cálculos'!$C$124*(1+2.78*('Cálculos'!$C$198+(($C29)-$A$6:$A$51)*'Cálculos'!$C$98)/(('Cálculos'!$C$198+(($C29)-$A$6:$A$51)*'Cálculos'!$C$98)+1400)+'Cálculos'!$C$122)*'Cálculos'!$C$246+'Cálculos'!$C$125*(1+2.78*('Cálculos'!$C$198+(($C29)-$A$6:$A$51)*'Cálculos'!$C$98)/(('Cálculos'!$C$198+(($C29)-$A$6:$A$51)*'Cálculos'!$C$98)+1400)+'Cálculos'!$C$123)*'Cálculos'!$C$251)+('Cálculos'!$C$204*(1+'Cálculos'!$C$205+$A$6:$A$51*('Cálculos'!$C$290=3)*'Cálculos'!$C$103)+'Cálculos'!$C$206)*('Cálculos'!$C$242+'Cálculos'!$C$124*(1+2.78*('Cálculos'!$C$198+(($C29)-$A$6:$A$51)*'Cálculos'!$C$98)/(('Cálculos'!$C$198+(($C29)-$A$6:$A$51)*'Cálculos'!$C$98)+1400)+'Cálculos'!$C$122)*'Cálculos'!$C$247+'Cálculos'!$C$125*(1+2.78*('Cálculos'!$C$198+(($C29)-$A$6:$A$51)*'Cálculos'!$C$98)/(('Cálculos'!$C$198+(($C29)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29)-$A$6:$A$51)*'Cálculos'!$C$98)/(('Cálculos'!$C$199+(($C29)-$A$6:$A$51)*'Cálculos'!$C$98)+1400)+'Cálculos'!$C$122)*'Cálculos'!$C$259+'Cálculos'!$C$125*(1+2.78*('Cálculos'!$C$199+(($C29)-$A$6:$A$51)*'Cálculos'!$C$98)/(('Cálculos'!$C$199+(($C29)-$A$6:$A$51)*'Cálculos'!$C$98)+1400)+'Cálculos'!$C$123)*'Cálculos'!$C$264)+('Cálculos'!$C$199+(($C29)-$A$6:$A$51)*'Cálculos'!$C$98)*('Cálculos'!$C$255+'Cálculos'!$C$124*(1+2.78*('Cálculos'!$C$199+(($C29)-$A$6:$A$51)*'Cálculos'!$C$98)/(('Cálculos'!$C$199+(($C29)-$A$6:$A$51)*'Cálculos'!$C$98)+1400)+'Cálculos'!$C$122)*'Cálculos'!$C$260+'Cálculos'!$C$125*(1+2.78*('Cálculos'!$C$199+(($C29)-$A$6:$A$51)*'Cálculos'!$C$98)/(('Cálculos'!$C$199+(($C29)-$A$6:$A$51)*'Cálculos'!$C$98)+1400)+'Cálculos'!$C$123)*'Cálculos'!$C$265)+('Cálculos'!$C$201*(1+'Cálculos'!$C$202+$A$6:$A$51*('Cálculos'!$C$290=2)*'Cálculos'!$C$101)+'Cálculos'!$C$203)*('Cálculos'!$C$256+'Cálculos'!$C$124*(1+2.78*('Cálculos'!$C$199+(($C29)-$A$6:$A$51)*'Cálculos'!$C$98)/(('Cálculos'!$C$199+(($C29)-$A$6:$A$51)*'Cálculos'!$C$98)+1400)+'Cálculos'!$C$122)*'Cálculos'!$C$261+'Cálculos'!$C$125*(1+2.78*('Cálculos'!$C$199+(($C29)-$A$6:$A$51)*'Cálculos'!$C$98)/(('Cálculos'!$C$199+(($C29)-$A$6:$A$51)*'Cálculos'!$C$98)+1400)+'Cálculos'!$C$123)*'Cálculos'!$C$266)+('Cálculos'!$C$204*(1+'Cálculos'!$C$205+$A$6:$A$51*('Cálculos'!$C$290=3)*'Cálculos'!$C$103)+'Cálculos'!$C$206)*('Cálculos'!$C$257+'Cálculos'!$C$124*(1+2.78*('Cálculos'!$C$199+(($C29)-$A$6:$A$51)*'Cálculos'!$C$98)/(('Cálculos'!$C$199+(($C29)-$A$6:$A$51)*'Cálculos'!$C$98)+1400)+'Cálculos'!$C$122)*'Cálculos'!$C$262+'Cálculos'!$C$125*(1+2.78*('Cálculos'!$C$199+(($C29)-$A$6:$A$51)*'Cálculos'!$C$98)/(('Cálculos'!$C$199+(($C29)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29)-$A$6:$A$51)*'Cálculos'!$C$98)/(('Cálculos'!$C$200+(($C29)-$A$6:$A$51)*'Cálculos'!$C$98)+1400)+'Cálculos'!$C$122)*'Cálculos'!$C$274+'Cálculos'!$C$125*(1+2.78*('Cálculos'!$C$200+(($C29)-$A$6:$A$51)*'Cálculos'!$C$98)/(('Cálculos'!$C$200+(($C29)-$A$6:$A$51)*'Cálculos'!$C$98)+1400)+'Cálculos'!$C$123)*'Cálculos'!$C$279)+('Cálculos'!$C$200+(($C29)-$A$6:$A$51)*'Cálculos'!$C$98)*('Cálculos'!$C$270+'Cálculos'!$C$124*(1+2.78*('Cálculos'!$C$200+(($C29)-$A$6:$A$51)*'Cálculos'!$C$98)/(('Cálculos'!$C$200+(($C29)-$A$6:$A$51)*'Cálculos'!$C$98)+1400)+'Cálculos'!$C$122)*'Cálculos'!$C$275+'Cálculos'!$C$125*(1+2.78*('Cálculos'!$C$200+(($C29)-$A$6:$A$51)*'Cálculos'!$C$98)/(('Cálculos'!$C$200+(($C29)-$A$6:$A$51)*'Cálculos'!$C$98)+1400)+'Cálculos'!$C$123)*'Cálculos'!$C$280)+('Cálculos'!$C$201*(1+'Cálculos'!$C$202+$A$6:$A$51*('Cálculos'!$C$290=2)*'Cálculos'!$C$101)+'Cálculos'!$C$203)*('Cálculos'!$C$271+'Cálculos'!$C$124*(1+2.78*('Cálculos'!$C$200+(($C29)-$A$6:$A$51)*'Cálculos'!$C$98)/(('Cálculos'!$C$200+(($C29)-$A$6:$A$51)*'Cálculos'!$C$98)+1400)+'Cálculos'!$C$122)*'Cálculos'!$C$276+'Cálculos'!$C$125*(1+2.78*('Cálculos'!$C$200+(($C29)-$A$6:$A$51)*'Cálculos'!$C$98)/(('Cálculos'!$C$200+(($C29)-$A$6:$A$51)*'Cálculos'!$C$98)+1400)+'Cálculos'!$C$123)*'Cálculos'!$C$281)+('Cálculos'!$C$204*(1+'Cálculos'!$C$205+$A$6:$A$51*('Cálculos'!$C$290=3)*'Cálculos'!$C$103)+'Cálculos'!$C$206)*('Cálculos'!$C$272+'Cálculos'!$C$124*(1+2.78*('Cálculos'!$C$200+(($C29)-$A$6:$A$51)*'Cálculos'!$C$98)/(('Cálculos'!$C$200+(($C29)-$A$6:$A$51)*'Cálculos'!$C$98)+1400)+'Cálculos'!$C$122)*'Cálculos'!$C$277+'Cálculos'!$C$125*(1+2.78*('Cálculos'!$C$200+(($C29)-$A$6:$A$51)*'Cálculos'!$C$98)/(('Cálculos'!$C$200+(($C29)-$A$6:$A$51)*'Cálculos'!$C$98)+1400)+'Cálculos'!$C$123)*'Cálculos'!$C$282)))))</f>
        <v>0</v>
      </c>
      <c r="E29" s="32">
        <f>IF(OR($C29&lt;0,'Cálculos'!$C$6=""),0,$B29*$D29)</f>
        <v>0</v>
      </c>
      <c r="F29" s="2"/>
      <c r="G29" s="30">
        <f>($A29&lt;=$B$53)*($A29&lt;='Cálculos'!$C$294)*(($B$53)-$A29&lt;='Cálculos'!$C$295)*(1+MIN(('Cálculos'!$C$207+$A29*'Cálculos'!$C$95),1)*('Cálculos'!$C$208+(($B$53)-$A29)*'Cálculos'!$C$96))</f>
        <v>0</v>
      </c>
      <c r="H29" s="31">
        <f>IF($B$54&lt;0,0,($A29&lt;=$B$54)*($A29&lt;='Cálculos'!$C$301)*(($B$54)-$A29&lt;='Cálculos'!$C$297)*(('Cálculos'!$C$185*(1+'Cálculos'!$C$186+$A29*('Cálculos'!$C$290=1)*'Cálculos'!$C$97+'Cálculos'!$C$305)+'Cálculos'!$C$191)*('Cálculos'!$C$209+'Cálculos'!$C$124*(1+2.78*('Cálculos'!$C$196+(($B$54)-$A29)*'Cálculos'!$C$98)/(('Cálculos'!$C$196+(($B$54)-$A29)*'Cálculos'!$C$98)+1400)+'Cálculos'!$C$122)*'Cálculos'!$C$214+'Cálculos'!$C$125*(1+2.78*('Cálculos'!$C$196+(($B$54)-$A29)*'Cálculos'!$C$98)/(('Cálculos'!$C$196+(($B$54)-$A29)*'Cálculos'!$C$98)+1400)+'Cálculos'!$C$123)*'Cálculos'!$C$219)+('Cálculos'!$C$196+(($B$54)-$A29)*'Cálculos'!$C$98)*('Cálculos'!$C$210+'Cálculos'!$C$124*(1+2.78*('Cálculos'!$C$196+(($B$54)-$A29)*'Cálculos'!$C$98)/(('Cálculos'!$C$196+(($B$54)-$A29)*'Cálculos'!$C$98)+1400)+'Cálculos'!$C$122)*'Cálculos'!$C$215+'Cálculos'!$C$125*(1+2.78*('Cálculos'!$C$196+(($B$54)-$A29)*'Cálculos'!$C$98)/(('Cálculos'!$C$196+(($B$54)-$A29)*'Cálculos'!$C$98)+1400)+'Cálculos'!$C$123)*'Cálculos'!$C$220)+('Cálculos'!$C$201*(1+'Cálculos'!$C$202+$A29*('Cálculos'!$C$290=2)*'Cálculos'!$C$101)+'Cálculos'!$C$203)*('Cálculos'!$C$211+'Cálculos'!$C$124*(1+2.78*('Cálculos'!$C$196+(($B$54)-$A29)*'Cálculos'!$C$98)/(('Cálculos'!$C$196+(($B$54)-$A29)*'Cálculos'!$C$98)+1400)+'Cálculos'!$C$122)*'Cálculos'!$C$216+'Cálculos'!$C$125*(1+2.78*('Cálculos'!$C$196+(($B$54)-$A29)*'Cálculos'!$C$98)/(('Cálculos'!$C$196+(($B$54)-$A29)*'Cálculos'!$C$98)+1400)+'Cálculos'!$C$123)*'Cálculos'!$C$221)+('Cálculos'!$C$204*(1+'Cálculos'!$C$205+$A29*('Cálculos'!$C$290=3)*'Cálculos'!$C$103)+'Cálculos'!$C$206)*('Cálculos'!$C$212+'Cálculos'!$C$124*(1+2.78*('Cálculos'!$C$196+(($B$54)-$A29)*'Cálculos'!$C$98)/(('Cálculos'!$C$196+(($B$54)-$A29)*'Cálculos'!$C$98)+1400)+'Cálculos'!$C$122)*'Cálculos'!$C$217+'Cálculos'!$C$125*(1+2.78*('Cálculos'!$C$196+(($B$54)-$A29)*'Cálculos'!$C$98)/(('Cálculos'!$C$196+(($B$54)-$A29)*'Cálculos'!$C$98)+1400)+'Cálculos'!$C$123)*'Cálculos'!$C$222)+('Cálculos'!$C$185*(1+'Cálculos'!$C$187+$A29*('Cálculos'!$C$290=1)*'Cálculos'!$C$97+'Cálculos'!$C$305)+'Cálculos'!$C$192)*('Cálculos'!$C$224+'Cálculos'!$C$124*(1+2.78*('Cálculos'!$C$197+(($B$54)-$A29)*'Cálculos'!$C$98)/(('Cálculos'!$C$197+(($B$54)-$A29)*'Cálculos'!$C$98)+1400)+'Cálculos'!$C$122)*'Cálculos'!$C$229+'Cálculos'!$C$125*(1+2.78*('Cálculos'!$C$197+(($B$54)-$A29)*'Cálculos'!$C$98)/(('Cálculos'!$C$197+(($B$54)-$A29)*'Cálculos'!$C$98)+1400)+'Cálculos'!$C$123)*'Cálculos'!$C$234)+('Cálculos'!$C$197+(($B$54)-$A29)*'Cálculos'!$C$98)*('Cálculos'!$C$225+'Cálculos'!$C$124*(1+2.78*('Cálculos'!$C$197+(($B$54)-$A29)*'Cálculos'!$C$98)/(('Cálculos'!$C$197+(($B$54)-$A29)*'Cálculos'!$C$98)+1400)+'Cálculos'!$C$122)*'Cálculos'!$C$230+'Cálculos'!$C$125*(1+2.78*('Cálculos'!$C$197+(($B$54)-$A29)*'Cálculos'!$C$98)/(('Cálculos'!$C$197+(($B$54)-$A29)*'Cálculos'!$C$98)+1400)+'Cálculos'!$C$123)*'Cálculos'!$C$235)+('Cálculos'!$C$201*(1+'Cálculos'!$C$202+$A29*('Cálculos'!$C$290=2)*'Cálculos'!$C$101)+'Cálculos'!$C$203)*('Cálculos'!$C$226+'Cálculos'!$C$124*(1+2.78*('Cálculos'!$C$197+(($B$54)-$A29)*'Cálculos'!$C$98)/(('Cálculos'!$C$197+(($B$54)-$A29)*'Cálculos'!$C$98)+1400)+'Cálculos'!$C$122)*'Cálculos'!$C$231+'Cálculos'!$C$125*(1+2.78*('Cálculos'!$C$197+(($B$54)-$A29)*'Cálculos'!$C$98)/(('Cálculos'!$C$197+(($B$54)-$A29)*'Cálculos'!$C$98)+1400)+'Cálculos'!$C$123)*'Cálculos'!$C$236)+('Cálculos'!$C$204*(1+'Cálculos'!$C$205+$A29*('Cálculos'!$C$290=3)*'Cálculos'!$C$103)+'Cálculos'!$C$206)*('Cálculos'!$C$227+'Cálculos'!$C$124*(1+2.78*('Cálculos'!$C$197+(($B$54)-$A29)*'Cálculos'!$C$98)/(('Cálculos'!$C$197+(($B$54)-$A29)*'Cálculos'!$C$98)+1400)+'Cálculos'!$C$122)*'Cálculos'!$C$232+'Cálculos'!$C$125*(1+2.78*('Cálculos'!$C$197+(($B$54)-$A29)*'Cálculos'!$C$98)/(('Cálculos'!$C$197+(($B$54)-$A29)*'Cálculos'!$C$98)+1400)+'Cálculos'!$C$123)*'Cálculos'!$C$237)+('Cálculos'!$C$185*(1+'Cálculos'!$C$188+$A29*('Cálculos'!$C$290=1)*'Cálculos'!$C$97+'Cálculos'!$C$305)+'Cálculos'!$C$193)*('Cálculos'!$C$239+'Cálculos'!$C$124*(1+2.78*('Cálculos'!$C$198+(($B$54)-$A29)*'Cálculos'!$C$98)/(('Cálculos'!$C$198+(($B$54)-$A29)*'Cálculos'!$C$98)+1400)+'Cálculos'!$C$122)*'Cálculos'!$C$244+'Cálculos'!$C$125*(1+2.78*('Cálculos'!$C$198+(($B$54)-$A29)*'Cálculos'!$C$98)/(('Cálculos'!$C$198+(($B$54)-$A29)*'Cálculos'!$C$98)+1400)+'Cálculos'!$C$123)*'Cálculos'!$C$249)+('Cálculos'!$C$198+(($B$54)-$A29)*'Cálculos'!$C$98)*('Cálculos'!$C$240+'Cálculos'!$C$124*(1+2.78*('Cálculos'!$C$198+(($B$54)-$A29)*'Cálculos'!$C$98)/(('Cálculos'!$C$198+(($B$54)-$A29)*'Cálculos'!$C$98)+1400)+'Cálculos'!$C$122)*'Cálculos'!$C$245+'Cálculos'!$C$125*(1+2.78*('Cálculos'!$C$198+(($B$54)-$A29)*'Cálculos'!$C$98)/(('Cálculos'!$C$198+(($B$54)-$A29)*'Cálculos'!$C$98)+1400)+'Cálculos'!$C$123)*'Cálculos'!$C$250)+('Cálculos'!$C$201*(1+'Cálculos'!$C$202+$A29*('Cálculos'!$C$290=2)*'Cálculos'!$C$101)+'Cálculos'!$C$203)*('Cálculos'!$C$241+'Cálculos'!$C$124*(1+2.78*('Cálculos'!$C$198+(($B$54)-$A29)*'Cálculos'!$C$98)/(('Cálculos'!$C$198+(($B$54)-$A29)*'Cálculos'!$C$98)+1400)+'Cálculos'!$C$122)*'Cálculos'!$C$246+'Cálculos'!$C$125*(1+2.78*('Cálculos'!$C$198+(($B$54)-$A29)*'Cálculos'!$C$98)/(('Cálculos'!$C$198+(($B$54)-$A29)*'Cálculos'!$C$98)+1400)+'Cálculos'!$C$123)*'Cálculos'!$C$251)+('Cálculos'!$C$204*(1+'Cálculos'!$C$205+$A29*('Cálculos'!$C$290=3)*'Cálculos'!$C$103)+'Cálculos'!$C$206)*('Cálculos'!$C$242+'Cálculos'!$C$124*(1+2.78*('Cálculos'!$C$198+(($B$54)-$A29)*'Cálculos'!$C$98)/(('Cálculos'!$C$198+(($B$54)-$A29)*'Cálculos'!$C$98)+1400)+'Cálculos'!$C$122)*'Cálculos'!$C$247+'Cálculos'!$C$125*(1+2.78*('Cálculos'!$C$198+(($B$54)-$A29)*'Cálculos'!$C$98)/(('Cálculos'!$C$198+(($B$54)-$A29)*'Cálculos'!$C$98)+1400)+'Cálculos'!$C$123)*'Cálculos'!$C$252)+('Cálculos'!$C$185*(1+'Cálculos'!$C$189+$A29*('Cálculos'!$C$290=1)*'Cálculos'!$C$97+'Cálculos'!$C$305)+'Cálculos'!$C$194)*('Cálculos'!$C$254+'Cálculos'!$C$124*(1+2.78*('Cálculos'!$C$199+(($B$54)-$A29)*'Cálculos'!$C$98)/(('Cálculos'!$C$199+(($B$54)-$A29)*'Cálculos'!$C$98)+1400)+'Cálculos'!$C$122)*'Cálculos'!$C$259+'Cálculos'!$C$125*(1+2.78*('Cálculos'!$C$199+(($B$54)-$A29)*'Cálculos'!$C$98)/(('Cálculos'!$C$199+(($B$54)-$A29)*'Cálculos'!$C$98)+1400)+'Cálculos'!$C$123)*'Cálculos'!$C$264)+('Cálculos'!$C$199+(($B$54)-$A29)*'Cálculos'!$C$98)*('Cálculos'!$C$255+'Cálculos'!$C$124*(1+2.78*('Cálculos'!$C$199+(($B$54)-$A29)*'Cálculos'!$C$98)/(('Cálculos'!$C$199+(($B$54)-$A29)*'Cálculos'!$C$98)+1400)+'Cálculos'!$C$122)*'Cálculos'!$C$260+'Cálculos'!$C$125*(1+2.78*('Cálculos'!$C$199+(($B$54)-$A29)*'Cálculos'!$C$98)/(('Cálculos'!$C$199+(($B$54)-$A29)*'Cálculos'!$C$98)+1400)+'Cálculos'!$C$123)*'Cálculos'!$C$265)+('Cálculos'!$C$201*(1+'Cálculos'!$C$202+$A29*('Cálculos'!$C$290=2)*'Cálculos'!$C$101)+'Cálculos'!$C$203)*('Cálculos'!$C$256+'Cálculos'!$C$124*(1+2.78*('Cálculos'!$C$199+(($B$54)-$A29)*'Cálculos'!$C$98)/(('Cálculos'!$C$199+(($B$54)-$A29)*'Cálculos'!$C$98)+1400)+'Cálculos'!$C$122)*'Cálculos'!$C$261+'Cálculos'!$C$125*(1+2.78*('Cálculos'!$C$199+(($B$54)-$A29)*'Cálculos'!$C$98)/(('Cálculos'!$C$199+(($B$54)-$A29)*'Cálculos'!$C$98)+1400)+'Cálculos'!$C$123)*'Cálculos'!$C$266)+('Cálculos'!$C$204*(1+'Cálculos'!$C$205+$A29*('Cálculos'!$C$290=3)*'Cálculos'!$C$103)+'Cálculos'!$C$206)*('Cálculos'!$C$257+'Cálculos'!$C$124*(1+2.78*('Cálculos'!$C$199+(($B$54)-$A29)*'Cálculos'!$C$98)/(('Cálculos'!$C$199+(($B$54)-$A29)*'Cálculos'!$C$98)+1400)+'Cálculos'!$C$122)*'Cálculos'!$C$262+'Cálculos'!$C$125*(1+2.78*('Cálculos'!$C$199+(($B$54)-$A29)*'Cálculos'!$C$98)/(('Cálculos'!$C$199+(($B$54)-$A29)*'Cálculos'!$C$98)+1400)+'Cálculos'!$C$123)*'Cálculos'!$C$267)+('Cálculos'!$C$185*(1+'Cálculos'!$C$190+$A29*('Cálculos'!$C$290=1)*'Cálculos'!$C$97+'Cálculos'!$C$305)+'Cálculos'!$C$195)*('Cálculos'!$C$269+'Cálculos'!$C$124*(1+2.78*('Cálculos'!$C$200+(($B$54)-$A29)*'Cálculos'!$C$98)/(('Cálculos'!$C$200+(($B$54)-$A29)*'Cálculos'!$C$98)+1400)+'Cálculos'!$C$122)*'Cálculos'!$C$274+'Cálculos'!$C$125*(1+2.78*('Cálculos'!$C$200+(($B$54)-$A29)*'Cálculos'!$C$98)/(('Cálculos'!$C$200+(($B$54)-$A29)*'Cálculos'!$C$98)+1400)+'Cálculos'!$C$123)*'Cálculos'!$C$279)+('Cálculos'!$C$200+(($B$54)-$A29)*'Cálculos'!$C$98)*('Cálculos'!$C$270+'Cálculos'!$C$124*(1+2.78*('Cálculos'!$C$200+(($B$54)-$A29)*'Cálculos'!$C$98)/(('Cálculos'!$C$200+(($B$54)-$A29)*'Cálculos'!$C$98)+1400)+'Cálculos'!$C$122)*'Cálculos'!$C$275+'Cálculos'!$C$125*(1+2.78*('Cálculos'!$C$200+(($B$54)-$A29)*'Cálculos'!$C$98)/(('Cálculos'!$C$200+(($B$54)-$A29)*'Cálculos'!$C$98)+1400)+'Cálculos'!$C$123)*'Cálculos'!$C$280)+('Cálculos'!$C$201*(1+'Cálculos'!$C$202+$A29*('Cálculos'!$C$290=2)*'Cálculos'!$C$101)+'Cálculos'!$C$203)*('Cálculos'!$C$271+'Cálculos'!$C$124*(1+2.78*('Cálculos'!$C$200+(($B$54)-$A29)*'Cálculos'!$C$98)/(('Cálculos'!$C$200+(($B$54)-$A29)*'Cálculos'!$C$98)+1400)+'Cálculos'!$C$122)*'Cálculos'!$C$276+'Cálculos'!$C$125*(1+2.78*('Cálculos'!$C$200+(($B$54)-$A29)*'Cálculos'!$C$98)/(('Cálculos'!$C$200+(($B$54)-$A29)*'Cálculos'!$C$98)+1400)+'Cálculos'!$C$123)*'Cálculos'!$C$281)+('Cálculos'!$C$204*(1+'Cálculos'!$C$205+$A29*('Cálculos'!$C$290=3)*'Cálculos'!$C$103)+'Cálculos'!$C$206)*('Cálculos'!$C$272+'Cálculos'!$C$124*(1+2.78*('Cálculos'!$C$200+(($B$54)-$A29)*'Cálculos'!$C$98)/(('Cálculos'!$C$200+(($B$54)-$A29)*'Cálculos'!$C$98)+1400)+'Cálculos'!$C$122)*'Cálculos'!$C$277+'Cálculos'!$C$125*(1+2.78*('Cálculos'!$C$200+(($B$54)-$A29)*'Cálculos'!$C$98)/(('Cálculos'!$C$200+(($B$54)-$A29)*'Cálculos'!$C$98)+1400)+'Cálculos'!$C$123)*'Cálculos'!$C$282)))</f>
        <v>0</v>
      </c>
    </row>
    <row r="30" ht="15.75" customHeight="1">
      <c r="A30" s="2">
        <v>24.0</v>
      </c>
      <c r="B30" s="30">
        <f>SUMPRODUCT(MAX(($A$6:$A$51&lt;=$A30)*($A$6:$A$51&lt;='Cálculos'!$C$294)*(($A30)-$A$6:$A$51&lt;='Cálculos'!$C$295)*(1+(('Cálculos'!$C$207+$A$6:$A$51*'Cálculos'!$C$95)-(('Cálculos'!$C$207+$A$6:$A$51*'Cálculos'!$C$95)&gt;1)*(('Cálculos'!$C$207+$A$6:$A$51*'Cálculos'!$C$95)-1))*('Cálculos'!$C$208+(($A30)-$A$6:$A$51)*'Cálculos'!$C$96))))</f>
        <v>3.814694</v>
      </c>
      <c r="C30" s="2">
        <f>'Cálculos'!$C$303-$A30</f>
        <v>-4</v>
      </c>
      <c r="D30" s="31">
        <f>IF($C30&lt;0,0,SUMPRODUCT(MAX(($A$6:$A$51&lt;=$C30)*($A$6:$A$51&lt;='Cálculos'!$C$301)*(($C30)-$A$6:$A$51&lt;='Cálculos'!$C$297)*(('Cálculos'!$C$185*(1+'Cálculos'!$C$186+$A$6:$A$51*('Cálculos'!$C$290=1)*'Cálculos'!$C$97+'Cálculos'!$C$305)+'Cálculos'!$C$191)*('Cálculos'!$C$209+'Cálculos'!$C$124*(1+2.78*('Cálculos'!$C$196+(($C30)-$A$6:$A$51)*'Cálculos'!$C$98)/(('Cálculos'!$C$196+(($C30)-$A$6:$A$51)*'Cálculos'!$C$98)+1400)+'Cálculos'!$C$122)*'Cálculos'!$C$214+'Cálculos'!$C$125*(1+2.78*('Cálculos'!$C$196+(($C30)-$A$6:$A$51)*'Cálculos'!$C$98)/(('Cálculos'!$C$196+(($C30)-$A$6:$A$51)*'Cálculos'!$C$98)+1400)+'Cálculos'!$C$123)*'Cálculos'!$C$219)+('Cálculos'!$C$196+(($C30)-$A$6:$A$51)*'Cálculos'!$C$98)*('Cálculos'!$C$210+'Cálculos'!$C$124*(1+2.78*('Cálculos'!$C$196+(($C30)-$A$6:$A$51)*'Cálculos'!$C$98)/(('Cálculos'!$C$196+(($C30)-$A$6:$A$51)*'Cálculos'!$C$98)+1400)+'Cálculos'!$C$122)*'Cálculos'!$C$215+'Cálculos'!$C$125*(1+2.78*('Cálculos'!$C$196+(($C30)-$A$6:$A$51)*'Cálculos'!$C$98)/(('Cálculos'!$C$196+(($C30)-$A$6:$A$51)*'Cálculos'!$C$98)+1400)+'Cálculos'!$C$123)*'Cálculos'!$C$220)+('Cálculos'!$C$201*(1+'Cálculos'!$C$202+$A$6:$A$51*('Cálculos'!$C$290=2)*'Cálculos'!$C$101)+'Cálculos'!$C$203)*('Cálculos'!$C$211+'Cálculos'!$C$124*(1+2.78*('Cálculos'!$C$196+(($C30)-$A$6:$A$51)*'Cálculos'!$C$98)/(('Cálculos'!$C$196+(($C30)-$A$6:$A$51)*'Cálculos'!$C$98)+1400)+'Cálculos'!$C$122)*'Cálculos'!$C$216+'Cálculos'!$C$125*(1+2.78*('Cálculos'!$C$196+(($C30)-$A$6:$A$51)*'Cálculos'!$C$98)/(('Cálculos'!$C$196+(($C30)-$A$6:$A$51)*'Cálculos'!$C$98)+1400)+'Cálculos'!$C$123)*'Cálculos'!$C$221)+('Cálculos'!$C$204*(1+'Cálculos'!$C$205+$A$6:$A$51*('Cálculos'!$C$290=3)*'Cálculos'!$C$103)+'Cálculos'!$C$206)*('Cálculos'!$C$212+'Cálculos'!$C$124*(1+2.78*('Cálculos'!$C$196+(($C30)-$A$6:$A$51)*'Cálculos'!$C$98)/(('Cálculos'!$C$196+(($C30)-$A$6:$A$51)*'Cálculos'!$C$98)+1400)+'Cálculos'!$C$122)*'Cálculos'!$C$217+'Cálculos'!$C$125*(1+2.78*('Cálculos'!$C$196+(($C30)-$A$6:$A$51)*'Cálculos'!$C$98)/(('Cálculos'!$C$196+(($C30)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30)-$A$6:$A$51)*'Cálculos'!$C$98)/(('Cálculos'!$C$197+(($C30)-$A$6:$A$51)*'Cálculos'!$C$98)+1400)+'Cálculos'!$C$122)*'Cálculos'!$C$229+'Cálculos'!$C$125*(1+2.78*('Cálculos'!$C$197+(($C30)-$A$6:$A$51)*'Cálculos'!$C$98)/(('Cálculos'!$C$197+(($C30)-$A$6:$A$51)*'Cálculos'!$C$98)+1400)+'Cálculos'!$C$123)*'Cálculos'!$C$234)+('Cálculos'!$C$197+(($C30)-$A$6:$A$51)*'Cálculos'!$C$98)*('Cálculos'!$C$225+'Cálculos'!$C$124*(1+2.78*('Cálculos'!$C$197+(($C30)-$A$6:$A$51)*'Cálculos'!$C$98)/(('Cálculos'!$C$197+(($C30)-$A$6:$A$51)*'Cálculos'!$C$98)+1400)+'Cálculos'!$C$122)*'Cálculos'!$C$230+'Cálculos'!$C$125*(1+2.78*('Cálculos'!$C$197+(($C30)-$A$6:$A$51)*'Cálculos'!$C$98)/(('Cálculos'!$C$197+(($C30)-$A$6:$A$51)*'Cálculos'!$C$98)+1400)+'Cálculos'!$C$123)*'Cálculos'!$C$235)+('Cálculos'!$C$201*(1+'Cálculos'!$C$202+$A$6:$A$51*('Cálculos'!$C$290=2)*'Cálculos'!$C$101)+'Cálculos'!$C$203)*('Cálculos'!$C$226+'Cálculos'!$C$124*(1+2.78*('Cálculos'!$C$197+(($C30)-$A$6:$A$51)*'Cálculos'!$C$98)/(('Cálculos'!$C$197+(($C30)-$A$6:$A$51)*'Cálculos'!$C$98)+1400)+'Cálculos'!$C$122)*'Cálculos'!$C$231+'Cálculos'!$C$125*(1+2.78*('Cálculos'!$C$197+(($C30)-$A$6:$A$51)*'Cálculos'!$C$98)/(('Cálculos'!$C$197+(($C30)-$A$6:$A$51)*'Cálculos'!$C$98)+1400)+'Cálculos'!$C$123)*'Cálculos'!$C$236)+('Cálculos'!$C$204*(1+'Cálculos'!$C$205+$A$6:$A$51*('Cálculos'!$C$290=3)*'Cálculos'!$C$103)+'Cálculos'!$C$206)*('Cálculos'!$C$227+'Cálculos'!$C$124*(1+2.78*('Cálculos'!$C$197+(($C30)-$A$6:$A$51)*'Cálculos'!$C$98)/(('Cálculos'!$C$197+(($C30)-$A$6:$A$51)*'Cálculos'!$C$98)+1400)+'Cálculos'!$C$122)*'Cálculos'!$C$232+'Cálculos'!$C$125*(1+2.78*('Cálculos'!$C$197+(($C30)-$A$6:$A$51)*'Cálculos'!$C$98)/(('Cálculos'!$C$197+(($C30)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30)-$A$6:$A$51)*'Cálculos'!$C$98)/(('Cálculos'!$C$198+(($C30)-$A$6:$A$51)*'Cálculos'!$C$98)+1400)+'Cálculos'!$C$122)*'Cálculos'!$C$244+'Cálculos'!$C$125*(1+2.78*('Cálculos'!$C$198+(($C30)-$A$6:$A$51)*'Cálculos'!$C$98)/(('Cálculos'!$C$198+(($C30)-$A$6:$A$51)*'Cálculos'!$C$98)+1400)+'Cálculos'!$C$123)*'Cálculos'!$C$249)+('Cálculos'!$C$198+(($C30)-$A$6:$A$51)*'Cálculos'!$C$98)*('Cálculos'!$C$240+'Cálculos'!$C$124*(1+2.78*('Cálculos'!$C$198+(($C30)-$A$6:$A$51)*'Cálculos'!$C$98)/(('Cálculos'!$C$198+(($C30)-$A$6:$A$51)*'Cálculos'!$C$98)+1400)+'Cálculos'!$C$122)*'Cálculos'!$C$245+'Cálculos'!$C$125*(1+2.78*('Cálculos'!$C$198+(($C30)-$A$6:$A$51)*'Cálculos'!$C$98)/(('Cálculos'!$C$198+(($C30)-$A$6:$A$51)*'Cálculos'!$C$98)+1400)+'Cálculos'!$C$123)*'Cálculos'!$C$250)+('Cálculos'!$C$201*(1+'Cálculos'!$C$202+$A$6:$A$51*('Cálculos'!$C$290=2)*'Cálculos'!$C$101)+'Cálculos'!$C$203)*('Cálculos'!$C$241+'Cálculos'!$C$124*(1+2.78*('Cálculos'!$C$198+(($C30)-$A$6:$A$51)*'Cálculos'!$C$98)/(('Cálculos'!$C$198+(($C30)-$A$6:$A$51)*'Cálculos'!$C$98)+1400)+'Cálculos'!$C$122)*'Cálculos'!$C$246+'Cálculos'!$C$125*(1+2.78*('Cálculos'!$C$198+(($C30)-$A$6:$A$51)*'Cálculos'!$C$98)/(('Cálculos'!$C$198+(($C30)-$A$6:$A$51)*'Cálculos'!$C$98)+1400)+'Cálculos'!$C$123)*'Cálculos'!$C$251)+('Cálculos'!$C$204*(1+'Cálculos'!$C$205+$A$6:$A$51*('Cálculos'!$C$290=3)*'Cálculos'!$C$103)+'Cálculos'!$C$206)*('Cálculos'!$C$242+'Cálculos'!$C$124*(1+2.78*('Cálculos'!$C$198+(($C30)-$A$6:$A$51)*'Cálculos'!$C$98)/(('Cálculos'!$C$198+(($C30)-$A$6:$A$51)*'Cálculos'!$C$98)+1400)+'Cálculos'!$C$122)*'Cálculos'!$C$247+'Cálculos'!$C$125*(1+2.78*('Cálculos'!$C$198+(($C30)-$A$6:$A$51)*'Cálculos'!$C$98)/(('Cálculos'!$C$198+(($C30)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30)-$A$6:$A$51)*'Cálculos'!$C$98)/(('Cálculos'!$C$199+(($C30)-$A$6:$A$51)*'Cálculos'!$C$98)+1400)+'Cálculos'!$C$122)*'Cálculos'!$C$259+'Cálculos'!$C$125*(1+2.78*('Cálculos'!$C$199+(($C30)-$A$6:$A$51)*'Cálculos'!$C$98)/(('Cálculos'!$C$199+(($C30)-$A$6:$A$51)*'Cálculos'!$C$98)+1400)+'Cálculos'!$C$123)*'Cálculos'!$C$264)+('Cálculos'!$C$199+(($C30)-$A$6:$A$51)*'Cálculos'!$C$98)*('Cálculos'!$C$255+'Cálculos'!$C$124*(1+2.78*('Cálculos'!$C$199+(($C30)-$A$6:$A$51)*'Cálculos'!$C$98)/(('Cálculos'!$C$199+(($C30)-$A$6:$A$51)*'Cálculos'!$C$98)+1400)+'Cálculos'!$C$122)*'Cálculos'!$C$260+'Cálculos'!$C$125*(1+2.78*('Cálculos'!$C$199+(($C30)-$A$6:$A$51)*'Cálculos'!$C$98)/(('Cálculos'!$C$199+(($C30)-$A$6:$A$51)*'Cálculos'!$C$98)+1400)+'Cálculos'!$C$123)*'Cálculos'!$C$265)+('Cálculos'!$C$201*(1+'Cálculos'!$C$202+$A$6:$A$51*('Cálculos'!$C$290=2)*'Cálculos'!$C$101)+'Cálculos'!$C$203)*('Cálculos'!$C$256+'Cálculos'!$C$124*(1+2.78*('Cálculos'!$C$199+(($C30)-$A$6:$A$51)*'Cálculos'!$C$98)/(('Cálculos'!$C$199+(($C30)-$A$6:$A$51)*'Cálculos'!$C$98)+1400)+'Cálculos'!$C$122)*'Cálculos'!$C$261+'Cálculos'!$C$125*(1+2.78*('Cálculos'!$C$199+(($C30)-$A$6:$A$51)*'Cálculos'!$C$98)/(('Cálculos'!$C$199+(($C30)-$A$6:$A$51)*'Cálculos'!$C$98)+1400)+'Cálculos'!$C$123)*'Cálculos'!$C$266)+('Cálculos'!$C$204*(1+'Cálculos'!$C$205+$A$6:$A$51*('Cálculos'!$C$290=3)*'Cálculos'!$C$103)+'Cálculos'!$C$206)*('Cálculos'!$C$257+'Cálculos'!$C$124*(1+2.78*('Cálculos'!$C$199+(($C30)-$A$6:$A$51)*'Cálculos'!$C$98)/(('Cálculos'!$C$199+(($C30)-$A$6:$A$51)*'Cálculos'!$C$98)+1400)+'Cálculos'!$C$122)*'Cálculos'!$C$262+'Cálculos'!$C$125*(1+2.78*('Cálculos'!$C$199+(($C30)-$A$6:$A$51)*'Cálculos'!$C$98)/(('Cálculos'!$C$199+(($C30)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30)-$A$6:$A$51)*'Cálculos'!$C$98)/(('Cálculos'!$C$200+(($C30)-$A$6:$A$51)*'Cálculos'!$C$98)+1400)+'Cálculos'!$C$122)*'Cálculos'!$C$274+'Cálculos'!$C$125*(1+2.78*('Cálculos'!$C$200+(($C30)-$A$6:$A$51)*'Cálculos'!$C$98)/(('Cálculos'!$C$200+(($C30)-$A$6:$A$51)*'Cálculos'!$C$98)+1400)+'Cálculos'!$C$123)*'Cálculos'!$C$279)+('Cálculos'!$C$200+(($C30)-$A$6:$A$51)*'Cálculos'!$C$98)*('Cálculos'!$C$270+'Cálculos'!$C$124*(1+2.78*('Cálculos'!$C$200+(($C30)-$A$6:$A$51)*'Cálculos'!$C$98)/(('Cálculos'!$C$200+(($C30)-$A$6:$A$51)*'Cálculos'!$C$98)+1400)+'Cálculos'!$C$122)*'Cálculos'!$C$275+'Cálculos'!$C$125*(1+2.78*('Cálculos'!$C$200+(($C30)-$A$6:$A$51)*'Cálculos'!$C$98)/(('Cálculos'!$C$200+(($C30)-$A$6:$A$51)*'Cálculos'!$C$98)+1400)+'Cálculos'!$C$123)*'Cálculos'!$C$280)+('Cálculos'!$C$201*(1+'Cálculos'!$C$202+$A$6:$A$51*('Cálculos'!$C$290=2)*'Cálculos'!$C$101)+'Cálculos'!$C$203)*('Cálculos'!$C$271+'Cálculos'!$C$124*(1+2.78*('Cálculos'!$C$200+(($C30)-$A$6:$A$51)*'Cálculos'!$C$98)/(('Cálculos'!$C$200+(($C30)-$A$6:$A$51)*'Cálculos'!$C$98)+1400)+'Cálculos'!$C$122)*'Cálculos'!$C$276+'Cálculos'!$C$125*(1+2.78*('Cálculos'!$C$200+(($C30)-$A$6:$A$51)*'Cálculos'!$C$98)/(('Cálculos'!$C$200+(($C30)-$A$6:$A$51)*'Cálculos'!$C$98)+1400)+'Cálculos'!$C$123)*'Cálculos'!$C$281)+('Cálculos'!$C$204*(1+'Cálculos'!$C$205+$A$6:$A$51*('Cálculos'!$C$290=3)*'Cálculos'!$C$103)+'Cálculos'!$C$206)*('Cálculos'!$C$272+'Cálculos'!$C$124*(1+2.78*('Cálculos'!$C$200+(($C30)-$A$6:$A$51)*'Cálculos'!$C$98)/(('Cálculos'!$C$200+(($C30)-$A$6:$A$51)*'Cálculos'!$C$98)+1400)+'Cálculos'!$C$122)*'Cálculos'!$C$277+'Cálculos'!$C$125*(1+2.78*('Cálculos'!$C$200+(($C30)-$A$6:$A$51)*'Cálculos'!$C$98)/(('Cálculos'!$C$200+(($C30)-$A$6:$A$51)*'Cálculos'!$C$98)+1400)+'Cálculos'!$C$123)*'Cálculos'!$C$282)))))</f>
        <v>0</v>
      </c>
      <c r="E30" s="32">
        <f>IF(OR($C30&lt;0,'Cálculos'!$C$6=""),0,$B30*$D30)</f>
        <v>0</v>
      </c>
      <c r="F30" s="2"/>
      <c r="G30" s="30">
        <f>($A30&lt;=$B$53)*($A30&lt;='Cálculos'!$C$294)*(($B$53)-$A30&lt;='Cálculos'!$C$295)*(1+MIN(('Cálculos'!$C$207+$A30*'Cálculos'!$C$95),1)*('Cálculos'!$C$208+(($B$53)-$A30)*'Cálculos'!$C$96))</f>
        <v>0</v>
      </c>
      <c r="H30" s="31">
        <f>IF($B$54&lt;0,0,($A30&lt;=$B$54)*($A30&lt;='Cálculos'!$C$301)*(($B$54)-$A30&lt;='Cálculos'!$C$297)*(('Cálculos'!$C$185*(1+'Cálculos'!$C$186+$A30*('Cálculos'!$C$290=1)*'Cálculos'!$C$97+'Cálculos'!$C$305)+'Cálculos'!$C$191)*('Cálculos'!$C$209+'Cálculos'!$C$124*(1+2.78*('Cálculos'!$C$196+(($B$54)-$A30)*'Cálculos'!$C$98)/(('Cálculos'!$C$196+(($B$54)-$A30)*'Cálculos'!$C$98)+1400)+'Cálculos'!$C$122)*'Cálculos'!$C$214+'Cálculos'!$C$125*(1+2.78*('Cálculos'!$C$196+(($B$54)-$A30)*'Cálculos'!$C$98)/(('Cálculos'!$C$196+(($B$54)-$A30)*'Cálculos'!$C$98)+1400)+'Cálculos'!$C$123)*'Cálculos'!$C$219)+('Cálculos'!$C$196+(($B$54)-$A30)*'Cálculos'!$C$98)*('Cálculos'!$C$210+'Cálculos'!$C$124*(1+2.78*('Cálculos'!$C$196+(($B$54)-$A30)*'Cálculos'!$C$98)/(('Cálculos'!$C$196+(($B$54)-$A30)*'Cálculos'!$C$98)+1400)+'Cálculos'!$C$122)*'Cálculos'!$C$215+'Cálculos'!$C$125*(1+2.78*('Cálculos'!$C$196+(($B$54)-$A30)*'Cálculos'!$C$98)/(('Cálculos'!$C$196+(($B$54)-$A30)*'Cálculos'!$C$98)+1400)+'Cálculos'!$C$123)*'Cálculos'!$C$220)+('Cálculos'!$C$201*(1+'Cálculos'!$C$202+$A30*('Cálculos'!$C$290=2)*'Cálculos'!$C$101)+'Cálculos'!$C$203)*('Cálculos'!$C$211+'Cálculos'!$C$124*(1+2.78*('Cálculos'!$C$196+(($B$54)-$A30)*'Cálculos'!$C$98)/(('Cálculos'!$C$196+(($B$54)-$A30)*'Cálculos'!$C$98)+1400)+'Cálculos'!$C$122)*'Cálculos'!$C$216+'Cálculos'!$C$125*(1+2.78*('Cálculos'!$C$196+(($B$54)-$A30)*'Cálculos'!$C$98)/(('Cálculos'!$C$196+(($B$54)-$A30)*'Cálculos'!$C$98)+1400)+'Cálculos'!$C$123)*'Cálculos'!$C$221)+('Cálculos'!$C$204*(1+'Cálculos'!$C$205+$A30*('Cálculos'!$C$290=3)*'Cálculos'!$C$103)+'Cálculos'!$C$206)*('Cálculos'!$C$212+'Cálculos'!$C$124*(1+2.78*('Cálculos'!$C$196+(($B$54)-$A30)*'Cálculos'!$C$98)/(('Cálculos'!$C$196+(($B$54)-$A30)*'Cálculos'!$C$98)+1400)+'Cálculos'!$C$122)*'Cálculos'!$C$217+'Cálculos'!$C$125*(1+2.78*('Cálculos'!$C$196+(($B$54)-$A30)*'Cálculos'!$C$98)/(('Cálculos'!$C$196+(($B$54)-$A30)*'Cálculos'!$C$98)+1400)+'Cálculos'!$C$123)*'Cálculos'!$C$222)+('Cálculos'!$C$185*(1+'Cálculos'!$C$187+$A30*('Cálculos'!$C$290=1)*'Cálculos'!$C$97+'Cálculos'!$C$305)+'Cálculos'!$C$192)*('Cálculos'!$C$224+'Cálculos'!$C$124*(1+2.78*('Cálculos'!$C$197+(($B$54)-$A30)*'Cálculos'!$C$98)/(('Cálculos'!$C$197+(($B$54)-$A30)*'Cálculos'!$C$98)+1400)+'Cálculos'!$C$122)*'Cálculos'!$C$229+'Cálculos'!$C$125*(1+2.78*('Cálculos'!$C$197+(($B$54)-$A30)*'Cálculos'!$C$98)/(('Cálculos'!$C$197+(($B$54)-$A30)*'Cálculos'!$C$98)+1400)+'Cálculos'!$C$123)*'Cálculos'!$C$234)+('Cálculos'!$C$197+(($B$54)-$A30)*'Cálculos'!$C$98)*('Cálculos'!$C$225+'Cálculos'!$C$124*(1+2.78*('Cálculos'!$C$197+(($B$54)-$A30)*'Cálculos'!$C$98)/(('Cálculos'!$C$197+(($B$54)-$A30)*'Cálculos'!$C$98)+1400)+'Cálculos'!$C$122)*'Cálculos'!$C$230+'Cálculos'!$C$125*(1+2.78*('Cálculos'!$C$197+(($B$54)-$A30)*'Cálculos'!$C$98)/(('Cálculos'!$C$197+(($B$54)-$A30)*'Cálculos'!$C$98)+1400)+'Cálculos'!$C$123)*'Cálculos'!$C$235)+('Cálculos'!$C$201*(1+'Cálculos'!$C$202+$A30*('Cálculos'!$C$290=2)*'Cálculos'!$C$101)+'Cálculos'!$C$203)*('Cálculos'!$C$226+'Cálculos'!$C$124*(1+2.78*('Cálculos'!$C$197+(($B$54)-$A30)*'Cálculos'!$C$98)/(('Cálculos'!$C$197+(($B$54)-$A30)*'Cálculos'!$C$98)+1400)+'Cálculos'!$C$122)*'Cálculos'!$C$231+'Cálculos'!$C$125*(1+2.78*('Cálculos'!$C$197+(($B$54)-$A30)*'Cálculos'!$C$98)/(('Cálculos'!$C$197+(($B$54)-$A30)*'Cálculos'!$C$98)+1400)+'Cálculos'!$C$123)*'Cálculos'!$C$236)+('Cálculos'!$C$204*(1+'Cálculos'!$C$205+$A30*('Cálculos'!$C$290=3)*'Cálculos'!$C$103)+'Cálculos'!$C$206)*('Cálculos'!$C$227+'Cálculos'!$C$124*(1+2.78*('Cálculos'!$C$197+(($B$54)-$A30)*'Cálculos'!$C$98)/(('Cálculos'!$C$197+(($B$54)-$A30)*'Cálculos'!$C$98)+1400)+'Cálculos'!$C$122)*'Cálculos'!$C$232+'Cálculos'!$C$125*(1+2.78*('Cálculos'!$C$197+(($B$54)-$A30)*'Cálculos'!$C$98)/(('Cálculos'!$C$197+(($B$54)-$A30)*'Cálculos'!$C$98)+1400)+'Cálculos'!$C$123)*'Cálculos'!$C$237)+('Cálculos'!$C$185*(1+'Cálculos'!$C$188+$A30*('Cálculos'!$C$290=1)*'Cálculos'!$C$97+'Cálculos'!$C$305)+'Cálculos'!$C$193)*('Cálculos'!$C$239+'Cálculos'!$C$124*(1+2.78*('Cálculos'!$C$198+(($B$54)-$A30)*'Cálculos'!$C$98)/(('Cálculos'!$C$198+(($B$54)-$A30)*'Cálculos'!$C$98)+1400)+'Cálculos'!$C$122)*'Cálculos'!$C$244+'Cálculos'!$C$125*(1+2.78*('Cálculos'!$C$198+(($B$54)-$A30)*'Cálculos'!$C$98)/(('Cálculos'!$C$198+(($B$54)-$A30)*'Cálculos'!$C$98)+1400)+'Cálculos'!$C$123)*'Cálculos'!$C$249)+('Cálculos'!$C$198+(($B$54)-$A30)*'Cálculos'!$C$98)*('Cálculos'!$C$240+'Cálculos'!$C$124*(1+2.78*('Cálculos'!$C$198+(($B$54)-$A30)*'Cálculos'!$C$98)/(('Cálculos'!$C$198+(($B$54)-$A30)*'Cálculos'!$C$98)+1400)+'Cálculos'!$C$122)*'Cálculos'!$C$245+'Cálculos'!$C$125*(1+2.78*('Cálculos'!$C$198+(($B$54)-$A30)*'Cálculos'!$C$98)/(('Cálculos'!$C$198+(($B$54)-$A30)*'Cálculos'!$C$98)+1400)+'Cálculos'!$C$123)*'Cálculos'!$C$250)+('Cálculos'!$C$201*(1+'Cálculos'!$C$202+$A30*('Cálculos'!$C$290=2)*'Cálculos'!$C$101)+'Cálculos'!$C$203)*('Cálculos'!$C$241+'Cálculos'!$C$124*(1+2.78*('Cálculos'!$C$198+(($B$54)-$A30)*'Cálculos'!$C$98)/(('Cálculos'!$C$198+(($B$54)-$A30)*'Cálculos'!$C$98)+1400)+'Cálculos'!$C$122)*'Cálculos'!$C$246+'Cálculos'!$C$125*(1+2.78*('Cálculos'!$C$198+(($B$54)-$A30)*'Cálculos'!$C$98)/(('Cálculos'!$C$198+(($B$54)-$A30)*'Cálculos'!$C$98)+1400)+'Cálculos'!$C$123)*'Cálculos'!$C$251)+('Cálculos'!$C$204*(1+'Cálculos'!$C$205+$A30*('Cálculos'!$C$290=3)*'Cálculos'!$C$103)+'Cálculos'!$C$206)*('Cálculos'!$C$242+'Cálculos'!$C$124*(1+2.78*('Cálculos'!$C$198+(($B$54)-$A30)*'Cálculos'!$C$98)/(('Cálculos'!$C$198+(($B$54)-$A30)*'Cálculos'!$C$98)+1400)+'Cálculos'!$C$122)*'Cálculos'!$C$247+'Cálculos'!$C$125*(1+2.78*('Cálculos'!$C$198+(($B$54)-$A30)*'Cálculos'!$C$98)/(('Cálculos'!$C$198+(($B$54)-$A30)*'Cálculos'!$C$98)+1400)+'Cálculos'!$C$123)*'Cálculos'!$C$252)+('Cálculos'!$C$185*(1+'Cálculos'!$C$189+$A30*('Cálculos'!$C$290=1)*'Cálculos'!$C$97+'Cálculos'!$C$305)+'Cálculos'!$C$194)*('Cálculos'!$C$254+'Cálculos'!$C$124*(1+2.78*('Cálculos'!$C$199+(($B$54)-$A30)*'Cálculos'!$C$98)/(('Cálculos'!$C$199+(($B$54)-$A30)*'Cálculos'!$C$98)+1400)+'Cálculos'!$C$122)*'Cálculos'!$C$259+'Cálculos'!$C$125*(1+2.78*('Cálculos'!$C$199+(($B$54)-$A30)*'Cálculos'!$C$98)/(('Cálculos'!$C$199+(($B$54)-$A30)*'Cálculos'!$C$98)+1400)+'Cálculos'!$C$123)*'Cálculos'!$C$264)+('Cálculos'!$C$199+(($B$54)-$A30)*'Cálculos'!$C$98)*('Cálculos'!$C$255+'Cálculos'!$C$124*(1+2.78*('Cálculos'!$C$199+(($B$54)-$A30)*'Cálculos'!$C$98)/(('Cálculos'!$C$199+(($B$54)-$A30)*'Cálculos'!$C$98)+1400)+'Cálculos'!$C$122)*'Cálculos'!$C$260+'Cálculos'!$C$125*(1+2.78*('Cálculos'!$C$199+(($B$54)-$A30)*'Cálculos'!$C$98)/(('Cálculos'!$C$199+(($B$54)-$A30)*'Cálculos'!$C$98)+1400)+'Cálculos'!$C$123)*'Cálculos'!$C$265)+('Cálculos'!$C$201*(1+'Cálculos'!$C$202+$A30*('Cálculos'!$C$290=2)*'Cálculos'!$C$101)+'Cálculos'!$C$203)*('Cálculos'!$C$256+'Cálculos'!$C$124*(1+2.78*('Cálculos'!$C$199+(($B$54)-$A30)*'Cálculos'!$C$98)/(('Cálculos'!$C$199+(($B$54)-$A30)*'Cálculos'!$C$98)+1400)+'Cálculos'!$C$122)*'Cálculos'!$C$261+'Cálculos'!$C$125*(1+2.78*('Cálculos'!$C$199+(($B$54)-$A30)*'Cálculos'!$C$98)/(('Cálculos'!$C$199+(($B$54)-$A30)*'Cálculos'!$C$98)+1400)+'Cálculos'!$C$123)*'Cálculos'!$C$266)+('Cálculos'!$C$204*(1+'Cálculos'!$C$205+$A30*('Cálculos'!$C$290=3)*'Cálculos'!$C$103)+'Cálculos'!$C$206)*('Cálculos'!$C$257+'Cálculos'!$C$124*(1+2.78*('Cálculos'!$C$199+(($B$54)-$A30)*'Cálculos'!$C$98)/(('Cálculos'!$C$199+(($B$54)-$A30)*'Cálculos'!$C$98)+1400)+'Cálculos'!$C$122)*'Cálculos'!$C$262+'Cálculos'!$C$125*(1+2.78*('Cálculos'!$C$199+(($B$54)-$A30)*'Cálculos'!$C$98)/(('Cálculos'!$C$199+(($B$54)-$A30)*'Cálculos'!$C$98)+1400)+'Cálculos'!$C$123)*'Cálculos'!$C$267)+('Cálculos'!$C$185*(1+'Cálculos'!$C$190+$A30*('Cálculos'!$C$290=1)*'Cálculos'!$C$97+'Cálculos'!$C$305)+'Cálculos'!$C$195)*('Cálculos'!$C$269+'Cálculos'!$C$124*(1+2.78*('Cálculos'!$C$200+(($B$54)-$A30)*'Cálculos'!$C$98)/(('Cálculos'!$C$200+(($B$54)-$A30)*'Cálculos'!$C$98)+1400)+'Cálculos'!$C$122)*'Cálculos'!$C$274+'Cálculos'!$C$125*(1+2.78*('Cálculos'!$C$200+(($B$54)-$A30)*'Cálculos'!$C$98)/(('Cálculos'!$C$200+(($B$54)-$A30)*'Cálculos'!$C$98)+1400)+'Cálculos'!$C$123)*'Cálculos'!$C$279)+('Cálculos'!$C$200+(($B$54)-$A30)*'Cálculos'!$C$98)*('Cálculos'!$C$270+'Cálculos'!$C$124*(1+2.78*('Cálculos'!$C$200+(($B$54)-$A30)*'Cálculos'!$C$98)/(('Cálculos'!$C$200+(($B$54)-$A30)*'Cálculos'!$C$98)+1400)+'Cálculos'!$C$122)*'Cálculos'!$C$275+'Cálculos'!$C$125*(1+2.78*('Cálculos'!$C$200+(($B$54)-$A30)*'Cálculos'!$C$98)/(('Cálculos'!$C$200+(($B$54)-$A30)*'Cálculos'!$C$98)+1400)+'Cálculos'!$C$123)*'Cálculos'!$C$280)+('Cálculos'!$C$201*(1+'Cálculos'!$C$202+$A30*('Cálculos'!$C$290=2)*'Cálculos'!$C$101)+'Cálculos'!$C$203)*('Cálculos'!$C$271+'Cálculos'!$C$124*(1+2.78*('Cálculos'!$C$200+(($B$54)-$A30)*'Cálculos'!$C$98)/(('Cálculos'!$C$200+(($B$54)-$A30)*'Cálculos'!$C$98)+1400)+'Cálculos'!$C$122)*'Cálculos'!$C$276+'Cálculos'!$C$125*(1+2.78*('Cálculos'!$C$200+(($B$54)-$A30)*'Cálculos'!$C$98)/(('Cálculos'!$C$200+(($B$54)-$A30)*'Cálculos'!$C$98)+1400)+'Cálculos'!$C$123)*'Cálculos'!$C$281)+('Cálculos'!$C$204*(1+'Cálculos'!$C$205+$A30*('Cálculos'!$C$290=3)*'Cálculos'!$C$103)+'Cálculos'!$C$206)*('Cálculos'!$C$272+'Cálculos'!$C$124*(1+2.78*('Cálculos'!$C$200+(($B$54)-$A30)*'Cálculos'!$C$98)/(('Cálculos'!$C$200+(($B$54)-$A30)*'Cálculos'!$C$98)+1400)+'Cálculos'!$C$122)*'Cálculos'!$C$277+'Cálculos'!$C$125*(1+2.78*('Cálculos'!$C$200+(($B$54)-$A30)*'Cálculos'!$C$98)/(('Cálculos'!$C$200+(($B$54)-$A30)*'Cálculos'!$C$98)+1400)+'Cálculos'!$C$123)*'Cálculos'!$C$282)))</f>
        <v>0</v>
      </c>
    </row>
    <row r="31" ht="15.75" customHeight="1">
      <c r="A31" s="2">
        <v>25.0</v>
      </c>
      <c r="B31" s="30">
        <f>SUMPRODUCT(MAX(($A$6:$A$51&lt;=$A31)*($A$6:$A$51&lt;='Cálculos'!$C$294)*(($A31)-$A$6:$A$51&lt;='Cálculos'!$C$295)*(1+(('Cálculos'!$C$207+$A$6:$A$51*'Cálculos'!$C$95)-(('Cálculos'!$C$207+$A$6:$A$51*'Cálculos'!$C$95)&gt;1)*(('Cálculos'!$C$207+$A$6:$A$51*'Cálculos'!$C$95)-1))*('Cálculos'!$C$208+(($A31)-$A$6:$A$51)*'Cálculos'!$C$96))))</f>
        <v>3.879968</v>
      </c>
      <c r="C31" s="2">
        <f>'Cálculos'!$C$303-$A31</f>
        <v>-5</v>
      </c>
      <c r="D31" s="31">
        <f>IF($C31&lt;0,0,SUMPRODUCT(MAX(($A$6:$A$51&lt;=$C31)*($A$6:$A$51&lt;='Cálculos'!$C$301)*(($C31)-$A$6:$A$51&lt;='Cálculos'!$C$297)*(('Cálculos'!$C$185*(1+'Cálculos'!$C$186+$A$6:$A$51*('Cálculos'!$C$290=1)*'Cálculos'!$C$97+'Cálculos'!$C$305)+'Cálculos'!$C$191)*('Cálculos'!$C$209+'Cálculos'!$C$124*(1+2.78*('Cálculos'!$C$196+(($C31)-$A$6:$A$51)*'Cálculos'!$C$98)/(('Cálculos'!$C$196+(($C31)-$A$6:$A$51)*'Cálculos'!$C$98)+1400)+'Cálculos'!$C$122)*'Cálculos'!$C$214+'Cálculos'!$C$125*(1+2.78*('Cálculos'!$C$196+(($C31)-$A$6:$A$51)*'Cálculos'!$C$98)/(('Cálculos'!$C$196+(($C31)-$A$6:$A$51)*'Cálculos'!$C$98)+1400)+'Cálculos'!$C$123)*'Cálculos'!$C$219)+('Cálculos'!$C$196+(($C31)-$A$6:$A$51)*'Cálculos'!$C$98)*('Cálculos'!$C$210+'Cálculos'!$C$124*(1+2.78*('Cálculos'!$C$196+(($C31)-$A$6:$A$51)*'Cálculos'!$C$98)/(('Cálculos'!$C$196+(($C31)-$A$6:$A$51)*'Cálculos'!$C$98)+1400)+'Cálculos'!$C$122)*'Cálculos'!$C$215+'Cálculos'!$C$125*(1+2.78*('Cálculos'!$C$196+(($C31)-$A$6:$A$51)*'Cálculos'!$C$98)/(('Cálculos'!$C$196+(($C31)-$A$6:$A$51)*'Cálculos'!$C$98)+1400)+'Cálculos'!$C$123)*'Cálculos'!$C$220)+('Cálculos'!$C$201*(1+'Cálculos'!$C$202+$A$6:$A$51*('Cálculos'!$C$290=2)*'Cálculos'!$C$101)+'Cálculos'!$C$203)*('Cálculos'!$C$211+'Cálculos'!$C$124*(1+2.78*('Cálculos'!$C$196+(($C31)-$A$6:$A$51)*'Cálculos'!$C$98)/(('Cálculos'!$C$196+(($C31)-$A$6:$A$51)*'Cálculos'!$C$98)+1400)+'Cálculos'!$C$122)*'Cálculos'!$C$216+'Cálculos'!$C$125*(1+2.78*('Cálculos'!$C$196+(($C31)-$A$6:$A$51)*'Cálculos'!$C$98)/(('Cálculos'!$C$196+(($C31)-$A$6:$A$51)*'Cálculos'!$C$98)+1400)+'Cálculos'!$C$123)*'Cálculos'!$C$221)+('Cálculos'!$C$204*(1+'Cálculos'!$C$205+$A$6:$A$51*('Cálculos'!$C$290=3)*'Cálculos'!$C$103)+'Cálculos'!$C$206)*('Cálculos'!$C$212+'Cálculos'!$C$124*(1+2.78*('Cálculos'!$C$196+(($C31)-$A$6:$A$51)*'Cálculos'!$C$98)/(('Cálculos'!$C$196+(($C31)-$A$6:$A$51)*'Cálculos'!$C$98)+1400)+'Cálculos'!$C$122)*'Cálculos'!$C$217+'Cálculos'!$C$125*(1+2.78*('Cálculos'!$C$196+(($C31)-$A$6:$A$51)*'Cálculos'!$C$98)/(('Cálculos'!$C$196+(($C31)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31)-$A$6:$A$51)*'Cálculos'!$C$98)/(('Cálculos'!$C$197+(($C31)-$A$6:$A$51)*'Cálculos'!$C$98)+1400)+'Cálculos'!$C$122)*'Cálculos'!$C$229+'Cálculos'!$C$125*(1+2.78*('Cálculos'!$C$197+(($C31)-$A$6:$A$51)*'Cálculos'!$C$98)/(('Cálculos'!$C$197+(($C31)-$A$6:$A$51)*'Cálculos'!$C$98)+1400)+'Cálculos'!$C$123)*'Cálculos'!$C$234)+('Cálculos'!$C$197+(($C31)-$A$6:$A$51)*'Cálculos'!$C$98)*('Cálculos'!$C$225+'Cálculos'!$C$124*(1+2.78*('Cálculos'!$C$197+(($C31)-$A$6:$A$51)*'Cálculos'!$C$98)/(('Cálculos'!$C$197+(($C31)-$A$6:$A$51)*'Cálculos'!$C$98)+1400)+'Cálculos'!$C$122)*'Cálculos'!$C$230+'Cálculos'!$C$125*(1+2.78*('Cálculos'!$C$197+(($C31)-$A$6:$A$51)*'Cálculos'!$C$98)/(('Cálculos'!$C$197+(($C31)-$A$6:$A$51)*'Cálculos'!$C$98)+1400)+'Cálculos'!$C$123)*'Cálculos'!$C$235)+('Cálculos'!$C$201*(1+'Cálculos'!$C$202+$A$6:$A$51*('Cálculos'!$C$290=2)*'Cálculos'!$C$101)+'Cálculos'!$C$203)*('Cálculos'!$C$226+'Cálculos'!$C$124*(1+2.78*('Cálculos'!$C$197+(($C31)-$A$6:$A$51)*'Cálculos'!$C$98)/(('Cálculos'!$C$197+(($C31)-$A$6:$A$51)*'Cálculos'!$C$98)+1400)+'Cálculos'!$C$122)*'Cálculos'!$C$231+'Cálculos'!$C$125*(1+2.78*('Cálculos'!$C$197+(($C31)-$A$6:$A$51)*'Cálculos'!$C$98)/(('Cálculos'!$C$197+(($C31)-$A$6:$A$51)*'Cálculos'!$C$98)+1400)+'Cálculos'!$C$123)*'Cálculos'!$C$236)+('Cálculos'!$C$204*(1+'Cálculos'!$C$205+$A$6:$A$51*('Cálculos'!$C$290=3)*'Cálculos'!$C$103)+'Cálculos'!$C$206)*('Cálculos'!$C$227+'Cálculos'!$C$124*(1+2.78*('Cálculos'!$C$197+(($C31)-$A$6:$A$51)*'Cálculos'!$C$98)/(('Cálculos'!$C$197+(($C31)-$A$6:$A$51)*'Cálculos'!$C$98)+1400)+'Cálculos'!$C$122)*'Cálculos'!$C$232+'Cálculos'!$C$125*(1+2.78*('Cálculos'!$C$197+(($C31)-$A$6:$A$51)*'Cálculos'!$C$98)/(('Cálculos'!$C$197+(($C31)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31)-$A$6:$A$51)*'Cálculos'!$C$98)/(('Cálculos'!$C$198+(($C31)-$A$6:$A$51)*'Cálculos'!$C$98)+1400)+'Cálculos'!$C$122)*'Cálculos'!$C$244+'Cálculos'!$C$125*(1+2.78*('Cálculos'!$C$198+(($C31)-$A$6:$A$51)*'Cálculos'!$C$98)/(('Cálculos'!$C$198+(($C31)-$A$6:$A$51)*'Cálculos'!$C$98)+1400)+'Cálculos'!$C$123)*'Cálculos'!$C$249)+('Cálculos'!$C$198+(($C31)-$A$6:$A$51)*'Cálculos'!$C$98)*('Cálculos'!$C$240+'Cálculos'!$C$124*(1+2.78*('Cálculos'!$C$198+(($C31)-$A$6:$A$51)*'Cálculos'!$C$98)/(('Cálculos'!$C$198+(($C31)-$A$6:$A$51)*'Cálculos'!$C$98)+1400)+'Cálculos'!$C$122)*'Cálculos'!$C$245+'Cálculos'!$C$125*(1+2.78*('Cálculos'!$C$198+(($C31)-$A$6:$A$51)*'Cálculos'!$C$98)/(('Cálculos'!$C$198+(($C31)-$A$6:$A$51)*'Cálculos'!$C$98)+1400)+'Cálculos'!$C$123)*'Cálculos'!$C$250)+('Cálculos'!$C$201*(1+'Cálculos'!$C$202+$A$6:$A$51*('Cálculos'!$C$290=2)*'Cálculos'!$C$101)+'Cálculos'!$C$203)*('Cálculos'!$C$241+'Cálculos'!$C$124*(1+2.78*('Cálculos'!$C$198+(($C31)-$A$6:$A$51)*'Cálculos'!$C$98)/(('Cálculos'!$C$198+(($C31)-$A$6:$A$51)*'Cálculos'!$C$98)+1400)+'Cálculos'!$C$122)*'Cálculos'!$C$246+'Cálculos'!$C$125*(1+2.78*('Cálculos'!$C$198+(($C31)-$A$6:$A$51)*'Cálculos'!$C$98)/(('Cálculos'!$C$198+(($C31)-$A$6:$A$51)*'Cálculos'!$C$98)+1400)+'Cálculos'!$C$123)*'Cálculos'!$C$251)+('Cálculos'!$C$204*(1+'Cálculos'!$C$205+$A$6:$A$51*('Cálculos'!$C$290=3)*'Cálculos'!$C$103)+'Cálculos'!$C$206)*('Cálculos'!$C$242+'Cálculos'!$C$124*(1+2.78*('Cálculos'!$C$198+(($C31)-$A$6:$A$51)*'Cálculos'!$C$98)/(('Cálculos'!$C$198+(($C31)-$A$6:$A$51)*'Cálculos'!$C$98)+1400)+'Cálculos'!$C$122)*'Cálculos'!$C$247+'Cálculos'!$C$125*(1+2.78*('Cálculos'!$C$198+(($C31)-$A$6:$A$51)*'Cálculos'!$C$98)/(('Cálculos'!$C$198+(($C31)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31)-$A$6:$A$51)*'Cálculos'!$C$98)/(('Cálculos'!$C$199+(($C31)-$A$6:$A$51)*'Cálculos'!$C$98)+1400)+'Cálculos'!$C$122)*'Cálculos'!$C$259+'Cálculos'!$C$125*(1+2.78*('Cálculos'!$C$199+(($C31)-$A$6:$A$51)*'Cálculos'!$C$98)/(('Cálculos'!$C$199+(($C31)-$A$6:$A$51)*'Cálculos'!$C$98)+1400)+'Cálculos'!$C$123)*'Cálculos'!$C$264)+('Cálculos'!$C$199+(($C31)-$A$6:$A$51)*'Cálculos'!$C$98)*('Cálculos'!$C$255+'Cálculos'!$C$124*(1+2.78*('Cálculos'!$C$199+(($C31)-$A$6:$A$51)*'Cálculos'!$C$98)/(('Cálculos'!$C$199+(($C31)-$A$6:$A$51)*'Cálculos'!$C$98)+1400)+'Cálculos'!$C$122)*'Cálculos'!$C$260+'Cálculos'!$C$125*(1+2.78*('Cálculos'!$C$199+(($C31)-$A$6:$A$51)*'Cálculos'!$C$98)/(('Cálculos'!$C$199+(($C31)-$A$6:$A$51)*'Cálculos'!$C$98)+1400)+'Cálculos'!$C$123)*'Cálculos'!$C$265)+('Cálculos'!$C$201*(1+'Cálculos'!$C$202+$A$6:$A$51*('Cálculos'!$C$290=2)*'Cálculos'!$C$101)+'Cálculos'!$C$203)*('Cálculos'!$C$256+'Cálculos'!$C$124*(1+2.78*('Cálculos'!$C$199+(($C31)-$A$6:$A$51)*'Cálculos'!$C$98)/(('Cálculos'!$C$199+(($C31)-$A$6:$A$51)*'Cálculos'!$C$98)+1400)+'Cálculos'!$C$122)*'Cálculos'!$C$261+'Cálculos'!$C$125*(1+2.78*('Cálculos'!$C$199+(($C31)-$A$6:$A$51)*'Cálculos'!$C$98)/(('Cálculos'!$C$199+(($C31)-$A$6:$A$51)*'Cálculos'!$C$98)+1400)+'Cálculos'!$C$123)*'Cálculos'!$C$266)+('Cálculos'!$C$204*(1+'Cálculos'!$C$205+$A$6:$A$51*('Cálculos'!$C$290=3)*'Cálculos'!$C$103)+'Cálculos'!$C$206)*('Cálculos'!$C$257+'Cálculos'!$C$124*(1+2.78*('Cálculos'!$C$199+(($C31)-$A$6:$A$51)*'Cálculos'!$C$98)/(('Cálculos'!$C$199+(($C31)-$A$6:$A$51)*'Cálculos'!$C$98)+1400)+'Cálculos'!$C$122)*'Cálculos'!$C$262+'Cálculos'!$C$125*(1+2.78*('Cálculos'!$C$199+(($C31)-$A$6:$A$51)*'Cálculos'!$C$98)/(('Cálculos'!$C$199+(($C31)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31)-$A$6:$A$51)*'Cálculos'!$C$98)/(('Cálculos'!$C$200+(($C31)-$A$6:$A$51)*'Cálculos'!$C$98)+1400)+'Cálculos'!$C$122)*'Cálculos'!$C$274+'Cálculos'!$C$125*(1+2.78*('Cálculos'!$C$200+(($C31)-$A$6:$A$51)*'Cálculos'!$C$98)/(('Cálculos'!$C$200+(($C31)-$A$6:$A$51)*'Cálculos'!$C$98)+1400)+'Cálculos'!$C$123)*'Cálculos'!$C$279)+('Cálculos'!$C$200+(($C31)-$A$6:$A$51)*'Cálculos'!$C$98)*('Cálculos'!$C$270+'Cálculos'!$C$124*(1+2.78*('Cálculos'!$C$200+(($C31)-$A$6:$A$51)*'Cálculos'!$C$98)/(('Cálculos'!$C$200+(($C31)-$A$6:$A$51)*'Cálculos'!$C$98)+1400)+'Cálculos'!$C$122)*'Cálculos'!$C$275+'Cálculos'!$C$125*(1+2.78*('Cálculos'!$C$200+(($C31)-$A$6:$A$51)*'Cálculos'!$C$98)/(('Cálculos'!$C$200+(($C31)-$A$6:$A$51)*'Cálculos'!$C$98)+1400)+'Cálculos'!$C$123)*'Cálculos'!$C$280)+('Cálculos'!$C$201*(1+'Cálculos'!$C$202+$A$6:$A$51*('Cálculos'!$C$290=2)*'Cálculos'!$C$101)+'Cálculos'!$C$203)*('Cálculos'!$C$271+'Cálculos'!$C$124*(1+2.78*('Cálculos'!$C$200+(($C31)-$A$6:$A$51)*'Cálculos'!$C$98)/(('Cálculos'!$C$200+(($C31)-$A$6:$A$51)*'Cálculos'!$C$98)+1400)+'Cálculos'!$C$122)*'Cálculos'!$C$276+'Cálculos'!$C$125*(1+2.78*('Cálculos'!$C$200+(($C31)-$A$6:$A$51)*'Cálculos'!$C$98)/(('Cálculos'!$C$200+(($C31)-$A$6:$A$51)*'Cálculos'!$C$98)+1400)+'Cálculos'!$C$123)*'Cálculos'!$C$281)+('Cálculos'!$C$204*(1+'Cálculos'!$C$205+$A$6:$A$51*('Cálculos'!$C$290=3)*'Cálculos'!$C$103)+'Cálculos'!$C$206)*('Cálculos'!$C$272+'Cálculos'!$C$124*(1+2.78*('Cálculos'!$C$200+(($C31)-$A$6:$A$51)*'Cálculos'!$C$98)/(('Cálculos'!$C$200+(($C31)-$A$6:$A$51)*'Cálculos'!$C$98)+1400)+'Cálculos'!$C$122)*'Cálculos'!$C$277+'Cálculos'!$C$125*(1+2.78*('Cálculos'!$C$200+(($C31)-$A$6:$A$51)*'Cálculos'!$C$98)/(('Cálculos'!$C$200+(($C31)-$A$6:$A$51)*'Cálculos'!$C$98)+1400)+'Cálculos'!$C$123)*'Cálculos'!$C$282)))))</f>
        <v>0</v>
      </c>
      <c r="E31" s="32">
        <f>IF(OR($C31&lt;0,'Cálculos'!$C$6=""),0,$B31*$D31)</f>
        <v>0</v>
      </c>
      <c r="F31" s="2"/>
      <c r="G31" s="30">
        <f>($A31&lt;=$B$53)*($A31&lt;='Cálculos'!$C$294)*(($B$53)-$A31&lt;='Cálculos'!$C$295)*(1+MIN(('Cálculos'!$C$207+$A31*'Cálculos'!$C$95),1)*('Cálculos'!$C$208+(($B$53)-$A31)*'Cálculos'!$C$96))</f>
        <v>0</v>
      </c>
      <c r="H31" s="31">
        <f>IF($B$54&lt;0,0,($A31&lt;=$B$54)*($A31&lt;='Cálculos'!$C$301)*(($B$54)-$A31&lt;='Cálculos'!$C$297)*(('Cálculos'!$C$185*(1+'Cálculos'!$C$186+$A31*('Cálculos'!$C$290=1)*'Cálculos'!$C$97+'Cálculos'!$C$305)+'Cálculos'!$C$191)*('Cálculos'!$C$209+'Cálculos'!$C$124*(1+2.78*('Cálculos'!$C$196+(($B$54)-$A31)*'Cálculos'!$C$98)/(('Cálculos'!$C$196+(($B$54)-$A31)*'Cálculos'!$C$98)+1400)+'Cálculos'!$C$122)*'Cálculos'!$C$214+'Cálculos'!$C$125*(1+2.78*('Cálculos'!$C$196+(($B$54)-$A31)*'Cálculos'!$C$98)/(('Cálculos'!$C$196+(($B$54)-$A31)*'Cálculos'!$C$98)+1400)+'Cálculos'!$C$123)*'Cálculos'!$C$219)+('Cálculos'!$C$196+(($B$54)-$A31)*'Cálculos'!$C$98)*('Cálculos'!$C$210+'Cálculos'!$C$124*(1+2.78*('Cálculos'!$C$196+(($B$54)-$A31)*'Cálculos'!$C$98)/(('Cálculos'!$C$196+(($B$54)-$A31)*'Cálculos'!$C$98)+1400)+'Cálculos'!$C$122)*'Cálculos'!$C$215+'Cálculos'!$C$125*(1+2.78*('Cálculos'!$C$196+(($B$54)-$A31)*'Cálculos'!$C$98)/(('Cálculos'!$C$196+(($B$54)-$A31)*'Cálculos'!$C$98)+1400)+'Cálculos'!$C$123)*'Cálculos'!$C$220)+('Cálculos'!$C$201*(1+'Cálculos'!$C$202+$A31*('Cálculos'!$C$290=2)*'Cálculos'!$C$101)+'Cálculos'!$C$203)*('Cálculos'!$C$211+'Cálculos'!$C$124*(1+2.78*('Cálculos'!$C$196+(($B$54)-$A31)*'Cálculos'!$C$98)/(('Cálculos'!$C$196+(($B$54)-$A31)*'Cálculos'!$C$98)+1400)+'Cálculos'!$C$122)*'Cálculos'!$C$216+'Cálculos'!$C$125*(1+2.78*('Cálculos'!$C$196+(($B$54)-$A31)*'Cálculos'!$C$98)/(('Cálculos'!$C$196+(($B$54)-$A31)*'Cálculos'!$C$98)+1400)+'Cálculos'!$C$123)*'Cálculos'!$C$221)+('Cálculos'!$C$204*(1+'Cálculos'!$C$205+$A31*('Cálculos'!$C$290=3)*'Cálculos'!$C$103)+'Cálculos'!$C$206)*('Cálculos'!$C$212+'Cálculos'!$C$124*(1+2.78*('Cálculos'!$C$196+(($B$54)-$A31)*'Cálculos'!$C$98)/(('Cálculos'!$C$196+(($B$54)-$A31)*'Cálculos'!$C$98)+1400)+'Cálculos'!$C$122)*'Cálculos'!$C$217+'Cálculos'!$C$125*(1+2.78*('Cálculos'!$C$196+(($B$54)-$A31)*'Cálculos'!$C$98)/(('Cálculos'!$C$196+(($B$54)-$A31)*'Cálculos'!$C$98)+1400)+'Cálculos'!$C$123)*'Cálculos'!$C$222)+('Cálculos'!$C$185*(1+'Cálculos'!$C$187+$A31*('Cálculos'!$C$290=1)*'Cálculos'!$C$97+'Cálculos'!$C$305)+'Cálculos'!$C$192)*('Cálculos'!$C$224+'Cálculos'!$C$124*(1+2.78*('Cálculos'!$C$197+(($B$54)-$A31)*'Cálculos'!$C$98)/(('Cálculos'!$C$197+(($B$54)-$A31)*'Cálculos'!$C$98)+1400)+'Cálculos'!$C$122)*'Cálculos'!$C$229+'Cálculos'!$C$125*(1+2.78*('Cálculos'!$C$197+(($B$54)-$A31)*'Cálculos'!$C$98)/(('Cálculos'!$C$197+(($B$54)-$A31)*'Cálculos'!$C$98)+1400)+'Cálculos'!$C$123)*'Cálculos'!$C$234)+('Cálculos'!$C$197+(($B$54)-$A31)*'Cálculos'!$C$98)*('Cálculos'!$C$225+'Cálculos'!$C$124*(1+2.78*('Cálculos'!$C$197+(($B$54)-$A31)*'Cálculos'!$C$98)/(('Cálculos'!$C$197+(($B$54)-$A31)*'Cálculos'!$C$98)+1400)+'Cálculos'!$C$122)*'Cálculos'!$C$230+'Cálculos'!$C$125*(1+2.78*('Cálculos'!$C$197+(($B$54)-$A31)*'Cálculos'!$C$98)/(('Cálculos'!$C$197+(($B$54)-$A31)*'Cálculos'!$C$98)+1400)+'Cálculos'!$C$123)*'Cálculos'!$C$235)+('Cálculos'!$C$201*(1+'Cálculos'!$C$202+$A31*('Cálculos'!$C$290=2)*'Cálculos'!$C$101)+'Cálculos'!$C$203)*('Cálculos'!$C$226+'Cálculos'!$C$124*(1+2.78*('Cálculos'!$C$197+(($B$54)-$A31)*'Cálculos'!$C$98)/(('Cálculos'!$C$197+(($B$54)-$A31)*'Cálculos'!$C$98)+1400)+'Cálculos'!$C$122)*'Cálculos'!$C$231+'Cálculos'!$C$125*(1+2.78*('Cálculos'!$C$197+(($B$54)-$A31)*'Cálculos'!$C$98)/(('Cálculos'!$C$197+(($B$54)-$A31)*'Cálculos'!$C$98)+1400)+'Cálculos'!$C$123)*'Cálculos'!$C$236)+('Cálculos'!$C$204*(1+'Cálculos'!$C$205+$A31*('Cálculos'!$C$290=3)*'Cálculos'!$C$103)+'Cálculos'!$C$206)*('Cálculos'!$C$227+'Cálculos'!$C$124*(1+2.78*('Cálculos'!$C$197+(($B$54)-$A31)*'Cálculos'!$C$98)/(('Cálculos'!$C$197+(($B$54)-$A31)*'Cálculos'!$C$98)+1400)+'Cálculos'!$C$122)*'Cálculos'!$C$232+'Cálculos'!$C$125*(1+2.78*('Cálculos'!$C$197+(($B$54)-$A31)*'Cálculos'!$C$98)/(('Cálculos'!$C$197+(($B$54)-$A31)*'Cálculos'!$C$98)+1400)+'Cálculos'!$C$123)*'Cálculos'!$C$237)+('Cálculos'!$C$185*(1+'Cálculos'!$C$188+$A31*('Cálculos'!$C$290=1)*'Cálculos'!$C$97+'Cálculos'!$C$305)+'Cálculos'!$C$193)*('Cálculos'!$C$239+'Cálculos'!$C$124*(1+2.78*('Cálculos'!$C$198+(($B$54)-$A31)*'Cálculos'!$C$98)/(('Cálculos'!$C$198+(($B$54)-$A31)*'Cálculos'!$C$98)+1400)+'Cálculos'!$C$122)*'Cálculos'!$C$244+'Cálculos'!$C$125*(1+2.78*('Cálculos'!$C$198+(($B$54)-$A31)*'Cálculos'!$C$98)/(('Cálculos'!$C$198+(($B$54)-$A31)*'Cálculos'!$C$98)+1400)+'Cálculos'!$C$123)*'Cálculos'!$C$249)+('Cálculos'!$C$198+(($B$54)-$A31)*'Cálculos'!$C$98)*('Cálculos'!$C$240+'Cálculos'!$C$124*(1+2.78*('Cálculos'!$C$198+(($B$54)-$A31)*'Cálculos'!$C$98)/(('Cálculos'!$C$198+(($B$54)-$A31)*'Cálculos'!$C$98)+1400)+'Cálculos'!$C$122)*'Cálculos'!$C$245+'Cálculos'!$C$125*(1+2.78*('Cálculos'!$C$198+(($B$54)-$A31)*'Cálculos'!$C$98)/(('Cálculos'!$C$198+(($B$54)-$A31)*'Cálculos'!$C$98)+1400)+'Cálculos'!$C$123)*'Cálculos'!$C$250)+('Cálculos'!$C$201*(1+'Cálculos'!$C$202+$A31*('Cálculos'!$C$290=2)*'Cálculos'!$C$101)+'Cálculos'!$C$203)*('Cálculos'!$C$241+'Cálculos'!$C$124*(1+2.78*('Cálculos'!$C$198+(($B$54)-$A31)*'Cálculos'!$C$98)/(('Cálculos'!$C$198+(($B$54)-$A31)*'Cálculos'!$C$98)+1400)+'Cálculos'!$C$122)*'Cálculos'!$C$246+'Cálculos'!$C$125*(1+2.78*('Cálculos'!$C$198+(($B$54)-$A31)*'Cálculos'!$C$98)/(('Cálculos'!$C$198+(($B$54)-$A31)*'Cálculos'!$C$98)+1400)+'Cálculos'!$C$123)*'Cálculos'!$C$251)+('Cálculos'!$C$204*(1+'Cálculos'!$C$205+$A31*('Cálculos'!$C$290=3)*'Cálculos'!$C$103)+'Cálculos'!$C$206)*('Cálculos'!$C$242+'Cálculos'!$C$124*(1+2.78*('Cálculos'!$C$198+(($B$54)-$A31)*'Cálculos'!$C$98)/(('Cálculos'!$C$198+(($B$54)-$A31)*'Cálculos'!$C$98)+1400)+'Cálculos'!$C$122)*'Cálculos'!$C$247+'Cálculos'!$C$125*(1+2.78*('Cálculos'!$C$198+(($B$54)-$A31)*'Cálculos'!$C$98)/(('Cálculos'!$C$198+(($B$54)-$A31)*'Cálculos'!$C$98)+1400)+'Cálculos'!$C$123)*'Cálculos'!$C$252)+('Cálculos'!$C$185*(1+'Cálculos'!$C$189+$A31*('Cálculos'!$C$290=1)*'Cálculos'!$C$97+'Cálculos'!$C$305)+'Cálculos'!$C$194)*('Cálculos'!$C$254+'Cálculos'!$C$124*(1+2.78*('Cálculos'!$C$199+(($B$54)-$A31)*'Cálculos'!$C$98)/(('Cálculos'!$C$199+(($B$54)-$A31)*'Cálculos'!$C$98)+1400)+'Cálculos'!$C$122)*'Cálculos'!$C$259+'Cálculos'!$C$125*(1+2.78*('Cálculos'!$C$199+(($B$54)-$A31)*'Cálculos'!$C$98)/(('Cálculos'!$C$199+(($B$54)-$A31)*'Cálculos'!$C$98)+1400)+'Cálculos'!$C$123)*'Cálculos'!$C$264)+('Cálculos'!$C$199+(($B$54)-$A31)*'Cálculos'!$C$98)*('Cálculos'!$C$255+'Cálculos'!$C$124*(1+2.78*('Cálculos'!$C$199+(($B$54)-$A31)*'Cálculos'!$C$98)/(('Cálculos'!$C$199+(($B$54)-$A31)*'Cálculos'!$C$98)+1400)+'Cálculos'!$C$122)*'Cálculos'!$C$260+'Cálculos'!$C$125*(1+2.78*('Cálculos'!$C$199+(($B$54)-$A31)*'Cálculos'!$C$98)/(('Cálculos'!$C$199+(($B$54)-$A31)*'Cálculos'!$C$98)+1400)+'Cálculos'!$C$123)*'Cálculos'!$C$265)+('Cálculos'!$C$201*(1+'Cálculos'!$C$202+$A31*('Cálculos'!$C$290=2)*'Cálculos'!$C$101)+'Cálculos'!$C$203)*('Cálculos'!$C$256+'Cálculos'!$C$124*(1+2.78*('Cálculos'!$C$199+(($B$54)-$A31)*'Cálculos'!$C$98)/(('Cálculos'!$C$199+(($B$54)-$A31)*'Cálculos'!$C$98)+1400)+'Cálculos'!$C$122)*'Cálculos'!$C$261+'Cálculos'!$C$125*(1+2.78*('Cálculos'!$C$199+(($B$54)-$A31)*'Cálculos'!$C$98)/(('Cálculos'!$C$199+(($B$54)-$A31)*'Cálculos'!$C$98)+1400)+'Cálculos'!$C$123)*'Cálculos'!$C$266)+('Cálculos'!$C$204*(1+'Cálculos'!$C$205+$A31*('Cálculos'!$C$290=3)*'Cálculos'!$C$103)+'Cálculos'!$C$206)*('Cálculos'!$C$257+'Cálculos'!$C$124*(1+2.78*('Cálculos'!$C$199+(($B$54)-$A31)*'Cálculos'!$C$98)/(('Cálculos'!$C$199+(($B$54)-$A31)*'Cálculos'!$C$98)+1400)+'Cálculos'!$C$122)*'Cálculos'!$C$262+'Cálculos'!$C$125*(1+2.78*('Cálculos'!$C$199+(($B$54)-$A31)*'Cálculos'!$C$98)/(('Cálculos'!$C$199+(($B$54)-$A31)*'Cálculos'!$C$98)+1400)+'Cálculos'!$C$123)*'Cálculos'!$C$267)+('Cálculos'!$C$185*(1+'Cálculos'!$C$190+$A31*('Cálculos'!$C$290=1)*'Cálculos'!$C$97+'Cálculos'!$C$305)+'Cálculos'!$C$195)*('Cálculos'!$C$269+'Cálculos'!$C$124*(1+2.78*('Cálculos'!$C$200+(($B$54)-$A31)*'Cálculos'!$C$98)/(('Cálculos'!$C$200+(($B$54)-$A31)*'Cálculos'!$C$98)+1400)+'Cálculos'!$C$122)*'Cálculos'!$C$274+'Cálculos'!$C$125*(1+2.78*('Cálculos'!$C$200+(($B$54)-$A31)*'Cálculos'!$C$98)/(('Cálculos'!$C$200+(($B$54)-$A31)*'Cálculos'!$C$98)+1400)+'Cálculos'!$C$123)*'Cálculos'!$C$279)+('Cálculos'!$C$200+(($B$54)-$A31)*'Cálculos'!$C$98)*('Cálculos'!$C$270+'Cálculos'!$C$124*(1+2.78*('Cálculos'!$C$200+(($B$54)-$A31)*'Cálculos'!$C$98)/(('Cálculos'!$C$200+(($B$54)-$A31)*'Cálculos'!$C$98)+1400)+'Cálculos'!$C$122)*'Cálculos'!$C$275+'Cálculos'!$C$125*(1+2.78*('Cálculos'!$C$200+(($B$54)-$A31)*'Cálculos'!$C$98)/(('Cálculos'!$C$200+(($B$54)-$A31)*'Cálculos'!$C$98)+1400)+'Cálculos'!$C$123)*'Cálculos'!$C$280)+('Cálculos'!$C$201*(1+'Cálculos'!$C$202+$A31*('Cálculos'!$C$290=2)*'Cálculos'!$C$101)+'Cálculos'!$C$203)*('Cálculos'!$C$271+'Cálculos'!$C$124*(1+2.78*('Cálculos'!$C$200+(($B$54)-$A31)*'Cálculos'!$C$98)/(('Cálculos'!$C$200+(($B$54)-$A31)*'Cálculos'!$C$98)+1400)+'Cálculos'!$C$122)*'Cálculos'!$C$276+'Cálculos'!$C$125*(1+2.78*('Cálculos'!$C$200+(($B$54)-$A31)*'Cálculos'!$C$98)/(('Cálculos'!$C$200+(($B$54)-$A31)*'Cálculos'!$C$98)+1400)+'Cálculos'!$C$123)*'Cálculos'!$C$281)+('Cálculos'!$C$204*(1+'Cálculos'!$C$205+$A31*('Cálculos'!$C$290=3)*'Cálculos'!$C$103)+'Cálculos'!$C$206)*('Cálculos'!$C$272+'Cálculos'!$C$124*(1+2.78*('Cálculos'!$C$200+(($B$54)-$A31)*'Cálculos'!$C$98)/(('Cálculos'!$C$200+(($B$54)-$A31)*'Cálculos'!$C$98)+1400)+'Cálculos'!$C$122)*'Cálculos'!$C$277+'Cálculos'!$C$125*(1+2.78*('Cálculos'!$C$200+(($B$54)-$A31)*'Cálculos'!$C$98)/(('Cálculos'!$C$200+(($B$54)-$A31)*'Cálculos'!$C$98)+1400)+'Cálculos'!$C$123)*'Cálculos'!$C$282)))</f>
        <v>0</v>
      </c>
    </row>
    <row r="32" ht="15.75" customHeight="1">
      <c r="A32" s="2">
        <v>26.0</v>
      </c>
      <c r="B32" s="30">
        <f>SUMPRODUCT(MAX(($A$6:$A$51&lt;=$A32)*($A$6:$A$51&lt;='Cálculos'!$C$294)*(($A32)-$A$6:$A$51&lt;='Cálculos'!$C$295)*(1+(('Cálculos'!$C$207+$A$6:$A$51*'Cálculos'!$C$95)-(('Cálculos'!$C$207+$A$6:$A$51*'Cálculos'!$C$95)&gt;1)*(('Cálculos'!$C$207+$A$6:$A$51*'Cálculos'!$C$95)-1))*('Cálculos'!$C$208+(($A32)-$A$6:$A$51)*'Cálculos'!$C$96))))</f>
        <v>3.945242</v>
      </c>
      <c r="C32" s="2">
        <f>'Cálculos'!$C$303-$A32</f>
        <v>-6</v>
      </c>
      <c r="D32" s="31">
        <f>IF($C32&lt;0,0,SUMPRODUCT(MAX(($A$6:$A$51&lt;=$C32)*($A$6:$A$51&lt;='Cálculos'!$C$301)*(($C32)-$A$6:$A$51&lt;='Cálculos'!$C$297)*(('Cálculos'!$C$185*(1+'Cálculos'!$C$186+$A$6:$A$51*('Cálculos'!$C$290=1)*'Cálculos'!$C$97+'Cálculos'!$C$305)+'Cálculos'!$C$191)*('Cálculos'!$C$209+'Cálculos'!$C$124*(1+2.78*('Cálculos'!$C$196+(($C32)-$A$6:$A$51)*'Cálculos'!$C$98)/(('Cálculos'!$C$196+(($C32)-$A$6:$A$51)*'Cálculos'!$C$98)+1400)+'Cálculos'!$C$122)*'Cálculos'!$C$214+'Cálculos'!$C$125*(1+2.78*('Cálculos'!$C$196+(($C32)-$A$6:$A$51)*'Cálculos'!$C$98)/(('Cálculos'!$C$196+(($C32)-$A$6:$A$51)*'Cálculos'!$C$98)+1400)+'Cálculos'!$C$123)*'Cálculos'!$C$219)+('Cálculos'!$C$196+(($C32)-$A$6:$A$51)*'Cálculos'!$C$98)*('Cálculos'!$C$210+'Cálculos'!$C$124*(1+2.78*('Cálculos'!$C$196+(($C32)-$A$6:$A$51)*'Cálculos'!$C$98)/(('Cálculos'!$C$196+(($C32)-$A$6:$A$51)*'Cálculos'!$C$98)+1400)+'Cálculos'!$C$122)*'Cálculos'!$C$215+'Cálculos'!$C$125*(1+2.78*('Cálculos'!$C$196+(($C32)-$A$6:$A$51)*'Cálculos'!$C$98)/(('Cálculos'!$C$196+(($C32)-$A$6:$A$51)*'Cálculos'!$C$98)+1400)+'Cálculos'!$C$123)*'Cálculos'!$C$220)+('Cálculos'!$C$201*(1+'Cálculos'!$C$202+$A$6:$A$51*('Cálculos'!$C$290=2)*'Cálculos'!$C$101)+'Cálculos'!$C$203)*('Cálculos'!$C$211+'Cálculos'!$C$124*(1+2.78*('Cálculos'!$C$196+(($C32)-$A$6:$A$51)*'Cálculos'!$C$98)/(('Cálculos'!$C$196+(($C32)-$A$6:$A$51)*'Cálculos'!$C$98)+1400)+'Cálculos'!$C$122)*'Cálculos'!$C$216+'Cálculos'!$C$125*(1+2.78*('Cálculos'!$C$196+(($C32)-$A$6:$A$51)*'Cálculos'!$C$98)/(('Cálculos'!$C$196+(($C32)-$A$6:$A$51)*'Cálculos'!$C$98)+1400)+'Cálculos'!$C$123)*'Cálculos'!$C$221)+('Cálculos'!$C$204*(1+'Cálculos'!$C$205+$A$6:$A$51*('Cálculos'!$C$290=3)*'Cálculos'!$C$103)+'Cálculos'!$C$206)*('Cálculos'!$C$212+'Cálculos'!$C$124*(1+2.78*('Cálculos'!$C$196+(($C32)-$A$6:$A$51)*'Cálculos'!$C$98)/(('Cálculos'!$C$196+(($C32)-$A$6:$A$51)*'Cálculos'!$C$98)+1400)+'Cálculos'!$C$122)*'Cálculos'!$C$217+'Cálculos'!$C$125*(1+2.78*('Cálculos'!$C$196+(($C32)-$A$6:$A$51)*'Cálculos'!$C$98)/(('Cálculos'!$C$196+(($C32)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32)-$A$6:$A$51)*'Cálculos'!$C$98)/(('Cálculos'!$C$197+(($C32)-$A$6:$A$51)*'Cálculos'!$C$98)+1400)+'Cálculos'!$C$122)*'Cálculos'!$C$229+'Cálculos'!$C$125*(1+2.78*('Cálculos'!$C$197+(($C32)-$A$6:$A$51)*'Cálculos'!$C$98)/(('Cálculos'!$C$197+(($C32)-$A$6:$A$51)*'Cálculos'!$C$98)+1400)+'Cálculos'!$C$123)*'Cálculos'!$C$234)+('Cálculos'!$C$197+(($C32)-$A$6:$A$51)*'Cálculos'!$C$98)*('Cálculos'!$C$225+'Cálculos'!$C$124*(1+2.78*('Cálculos'!$C$197+(($C32)-$A$6:$A$51)*'Cálculos'!$C$98)/(('Cálculos'!$C$197+(($C32)-$A$6:$A$51)*'Cálculos'!$C$98)+1400)+'Cálculos'!$C$122)*'Cálculos'!$C$230+'Cálculos'!$C$125*(1+2.78*('Cálculos'!$C$197+(($C32)-$A$6:$A$51)*'Cálculos'!$C$98)/(('Cálculos'!$C$197+(($C32)-$A$6:$A$51)*'Cálculos'!$C$98)+1400)+'Cálculos'!$C$123)*'Cálculos'!$C$235)+('Cálculos'!$C$201*(1+'Cálculos'!$C$202+$A$6:$A$51*('Cálculos'!$C$290=2)*'Cálculos'!$C$101)+'Cálculos'!$C$203)*('Cálculos'!$C$226+'Cálculos'!$C$124*(1+2.78*('Cálculos'!$C$197+(($C32)-$A$6:$A$51)*'Cálculos'!$C$98)/(('Cálculos'!$C$197+(($C32)-$A$6:$A$51)*'Cálculos'!$C$98)+1400)+'Cálculos'!$C$122)*'Cálculos'!$C$231+'Cálculos'!$C$125*(1+2.78*('Cálculos'!$C$197+(($C32)-$A$6:$A$51)*'Cálculos'!$C$98)/(('Cálculos'!$C$197+(($C32)-$A$6:$A$51)*'Cálculos'!$C$98)+1400)+'Cálculos'!$C$123)*'Cálculos'!$C$236)+('Cálculos'!$C$204*(1+'Cálculos'!$C$205+$A$6:$A$51*('Cálculos'!$C$290=3)*'Cálculos'!$C$103)+'Cálculos'!$C$206)*('Cálculos'!$C$227+'Cálculos'!$C$124*(1+2.78*('Cálculos'!$C$197+(($C32)-$A$6:$A$51)*'Cálculos'!$C$98)/(('Cálculos'!$C$197+(($C32)-$A$6:$A$51)*'Cálculos'!$C$98)+1400)+'Cálculos'!$C$122)*'Cálculos'!$C$232+'Cálculos'!$C$125*(1+2.78*('Cálculos'!$C$197+(($C32)-$A$6:$A$51)*'Cálculos'!$C$98)/(('Cálculos'!$C$197+(($C32)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32)-$A$6:$A$51)*'Cálculos'!$C$98)/(('Cálculos'!$C$198+(($C32)-$A$6:$A$51)*'Cálculos'!$C$98)+1400)+'Cálculos'!$C$122)*'Cálculos'!$C$244+'Cálculos'!$C$125*(1+2.78*('Cálculos'!$C$198+(($C32)-$A$6:$A$51)*'Cálculos'!$C$98)/(('Cálculos'!$C$198+(($C32)-$A$6:$A$51)*'Cálculos'!$C$98)+1400)+'Cálculos'!$C$123)*'Cálculos'!$C$249)+('Cálculos'!$C$198+(($C32)-$A$6:$A$51)*'Cálculos'!$C$98)*('Cálculos'!$C$240+'Cálculos'!$C$124*(1+2.78*('Cálculos'!$C$198+(($C32)-$A$6:$A$51)*'Cálculos'!$C$98)/(('Cálculos'!$C$198+(($C32)-$A$6:$A$51)*'Cálculos'!$C$98)+1400)+'Cálculos'!$C$122)*'Cálculos'!$C$245+'Cálculos'!$C$125*(1+2.78*('Cálculos'!$C$198+(($C32)-$A$6:$A$51)*'Cálculos'!$C$98)/(('Cálculos'!$C$198+(($C32)-$A$6:$A$51)*'Cálculos'!$C$98)+1400)+'Cálculos'!$C$123)*'Cálculos'!$C$250)+('Cálculos'!$C$201*(1+'Cálculos'!$C$202+$A$6:$A$51*('Cálculos'!$C$290=2)*'Cálculos'!$C$101)+'Cálculos'!$C$203)*('Cálculos'!$C$241+'Cálculos'!$C$124*(1+2.78*('Cálculos'!$C$198+(($C32)-$A$6:$A$51)*'Cálculos'!$C$98)/(('Cálculos'!$C$198+(($C32)-$A$6:$A$51)*'Cálculos'!$C$98)+1400)+'Cálculos'!$C$122)*'Cálculos'!$C$246+'Cálculos'!$C$125*(1+2.78*('Cálculos'!$C$198+(($C32)-$A$6:$A$51)*'Cálculos'!$C$98)/(('Cálculos'!$C$198+(($C32)-$A$6:$A$51)*'Cálculos'!$C$98)+1400)+'Cálculos'!$C$123)*'Cálculos'!$C$251)+('Cálculos'!$C$204*(1+'Cálculos'!$C$205+$A$6:$A$51*('Cálculos'!$C$290=3)*'Cálculos'!$C$103)+'Cálculos'!$C$206)*('Cálculos'!$C$242+'Cálculos'!$C$124*(1+2.78*('Cálculos'!$C$198+(($C32)-$A$6:$A$51)*'Cálculos'!$C$98)/(('Cálculos'!$C$198+(($C32)-$A$6:$A$51)*'Cálculos'!$C$98)+1400)+'Cálculos'!$C$122)*'Cálculos'!$C$247+'Cálculos'!$C$125*(1+2.78*('Cálculos'!$C$198+(($C32)-$A$6:$A$51)*'Cálculos'!$C$98)/(('Cálculos'!$C$198+(($C32)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32)-$A$6:$A$51)*'Cálculos'!$C$98)/(('Cálculos'!$C$199+(($C32)-$A$6:$A$51)*'Cálculos'!$C$98)+1400)+'Cálculos'!$C$122)*'Cálculos'!$C$259+'Cálculos'!$C$125*(1+2.78*('Cálculos'!$C$199+(($C32)-$A$6:$A$51)*'Cálculos'!$C$98)/(('Cálculos'!$C$199+(($C32)-$A$6:$A$51)*'Cálculos'!$C$98)+1400)+'Cálculos'!$C$123)*'Cálculos'!$C$264)+('Cálculos'!$C$199+(($C32)-$A$6:$A$51)*'Cálculos'!$C$98)*('Cálculos'!$C$255+'Cálculos'!$C$124*(1+2.78*('Cálculos'!$C$199+(($C32)-$A$6:$A$51)*'Cálculos'!$C$98)/(('Cálculos'!$C$199+(($C32)-$A$6:$A$51)*'Cálculos'!$C$98)+1400)+'Cálculos'!$C$122)*'Cálculos'!$C$260+'Cálculos'!$C$125*(1+2.78*('Cálculos'!$C$199+(($C32)-$A$6:$A$51)*'Cálculos'!$C$98)/(('Cálculos'!$C$199+(($C32)-$A$6:$A$51)*'Cálculos'!$C$98)+1400)+'Cálculos'!$C$123)*'Cálculos'!$C$265)+('Cálculos'!$C$201*(1+'Cálculos'!$C$202+$A$6:$A$51*('Cálculos'!$C$290=2)*'Cálculos'!$C$101)+'Cálculos'!$C$203)*('Cálculos'!$C$256+'Cálculos'!$C$124*(1+2.78*('Cálculos'!$C$199+(($C32)-$A$6:$A$51)*'Cálculos'!$C$98)/(('Cálculos'!$C$199+(($C32)-$A$6:$A$51)*'Cálculos'!$C$98)+1400)+'Cálculos'!$C$122)*'Cálculos'!$C$261+'Cálculos'!$C$125*(1+2.78*('Cálculos'!$C$199+(($C32)-$A$6:$A$51)*'Cálculos'!$C$98)/(('Cálculos'!$C$199+(($C32)-$A$6:$A$51)*'Cálculos'!$C$98)+1400)+'Cálculos'!$C$123)*'Cálculos'!$C$266)+('Cálculos'!$C$204*(1+'Cálculos'!$C$205+$A$6:$A$51*('Cálculos'!$C$290=3)*'Cálculos'!$C$103)+'Cálculos'!$C$206)*('Cálculos'!$C$257+'Cálculos'!$C$124*(1+2.78*('Cálculos'!$C$199+(($C32)-$A$6:$A$51)*'Cálculos'!$C$98)/(('Cálculos'!$C$199+(($C32)-$A$6:$A$51)*'Cálculos'!$C$98)+1400)+'Cálculos'!$C$122)*'Cálculos'!$C$262+'Cálculos'!$C$125*(1+2.78*('Cálculos'!$C$199+(($C32)-$A$6:$A$51)*'Cálculos'!$C$98)/(('Cálculos'!$C$199+(($C32)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32)-$A$6:$A$51)*'Cálculos'!$C$98)/(('Cálculos'!$C$200+(($C32)-$A$6:$A$51)*'Cálculos'!$C$98)+1400)+'Cálculos'!$C$122)*'Cálculos'!$C$274+'Cálculos'!$C$125*(1+2.78*('Cálculos'!$C$200+(($C32)-$A$6:$A$51)*'Cálculos'!$C$98)/(('Cálculos'!$C$200+(($C32)-$A$6:$A$51)*'Cálculos'!$C$98)+1400)+'Cálculos'!$C$123)*'Cálculos'!$C$279)+('Cálculos'!$C$200+(($C32)-$A$6:$A$51)*'Cálculos'!$C$98)*('Cálculos'!$C$270+'Cálculos'!$C$124*(1+2.78*('Cálculos'!$C$200+(($C32)-$A$6:$A$51)*'Cálculos'!$C$98)/(('Cálculos'!$C$200+(($C32)-$A$6:$A$51)*'Cálculos'!$C$98)+1400)+'Cálculos'!$C$122)*'Cálculos'!$C$275+'Cálculos'!$C$125*(1+2.78*('Cálculos'!$C$200+(($C32)-$A$6:$A$51)*'Cálculos'!$C$98)/(('Cálculos'!$C$200+(($C32)-$A$6:$A$51)*'Cálculos'!$C$98)+1400)+'Cálculos'!$C$123)*'Cálculos'!$C$280)+('Cálculos'!$C$201*(1+'Cálculos'!$C$202+$A$6:$A$51*('Cálculos'!$C$290=2)*'Cálculos'!$C$101)+'Cálculos'!$C$203)*('Cálculos'!$C$271+'Cálculos'!$C$124*(1+2.78*('Cálculos'!$C$200+(($C32)-$A$6:$A$51)*'Cálculos'!$C$98)/(('Cálculos'!$C$200+(($C32)-$A$6:$A$51)*'Cálculos'!$C$98)+1400)+'Cálculos'!$C$122)*'Cálculos'!$C$276+'Cálculos'!$C$125*(1+2.78*('Cálculos'!$C$200+(($C32)-$A$6:$A$51)*'Cálculos'!$C$98)/(('Cálculos'!$C$200+(($C32)-$A$6:$A$51)*'Cálculos'!$C$98)+1400)+'Cálculos'!$C$123)*'Cálculos'!$C$281)+('Cálculos'!$C$204*(1+'Cálculos'!$C$205+$A$6:$A$51*('Cálculos'!$C$290=3)*'Cálculos'!$C$103)+'Cálculos'!$C$206)*('Cálculos'!$C$272+'Cálculos'!$C$124*(1+2.78*('Cálculos'!$C$200+(($C32)-$A$6:$A$51)*'Cálculos'!$C$98)/(('Cálculos'!$C$200+(($C32)-$A$6:$A$51)*'Cálculos'!$C$98)+1400)+'Cálculos'!$C$122)*'Cálculos'!$C$277+'Cálculos'!$C$125*(1+2.78*('Cálculos'!$C$200+(($C32)-$A$6:$A$51)*'Cálculos'!$C$98)/(('Cálculos'!$C$200+(($C32)-$A$6:$A$51)*'Cálculos'!$C$98)+1400)+'Cálculos'!$C$123)*'Cálculos'!$C$282)))))</f>
        <v>0</v>
      </c>
      <c r="E32" s="32">
        <f>IF(OR($C32&lt;0,'Cálculos'!$C$6=""),0,$B32*$D32)</f>
        <v>0</v>
      </c>
      <c r="F32" s="2"/>
      <c r="G32" s="30">
        <f>($A32&lt;=$B$53)*($A32&lt;='Cálculos'!$C$294)*(($B$53)-$A32&lt;='Cálculos'!$C$295)*(1+MIN(('Cálculos'!$C$207+$A32*'Cálculos'!$C$95),1)*('Cálculos'!$C$208+(($B$53)-$A32)*'Cálculos'!$C$96))</f>
        <v>0</v>
      </c>
      <c r="H32" s="31">
        <f>IF($B$54&lt;0,0,($A32&lt;=$B$54)*($A32&lt;='Cálculos'!$C$301)*(($B$54)-$A32&lt;='Cálculos'!$C$297)*(('Cálculos'!$C$185*(1+'Cálculos'!$C$186+$A32*('Cálculos'!$C$290=1)*'Cálculos'!$C$97+'Cálculos'!$C$305)+'Cálculos'!$C$191)*('Cálculos'!$C$209+'Cálculos'!$C$124*(1+2.78*('Cálculos'!$C$196+(($B$54)-$A32)*'Cálculos'!$C$98)/(('Cálculos'!$C$196+(($B$54)-$A32)*'Cálculos'!$C$98)+1400)+'Cálculos'!$C$122)*'Cálculos'!$C$214+'Cálculos'!$C$125*(1+2.78*('Cálculos'!$C$196+(($B$54)-$A32)*'Cálculos'!$C$98)/(('Cálculos'!$C$196+(($B$54)-$A32)*'Cálculos'!$C$98)+1400)+'Cálculos'!$C$123)*'Cálculos'!$C$219)+('Cálculos'!$C$196+(($B$54)-$A32)*'Cálculos'!$C$98)*('Cálculos'!$C$210+'Cálculos'!$C$124*(1+2.78*('Cálculos'!$C$196+(($B$54)-$A32)*'Cálculos'!$C$98)/(('Cálculos'!$C$196+(($B$54)-$A32)*'Cálculos'!$C$98)+1400)+'Cálculos'!$C$122)*'Cálculos'!$C$215+'Cálculos'!$C$125*(1+2.78*('Cálculos'!$C$196+(($B$54)-$A32)*'Cálculos'!$C$98)/(('Cálculos'!$C$196+(($B$54)-$A32)*'Cálculos'!$C$98)+1400)+'Cálculos'!$C$123)*'Cálculos'!$C$220)+('Cálculos'!$C$201*(1+'Cálculos'!$C$202+$A32*('Cálculos'!$C$290=2)*'Cálculos'!$C$101)+'Cálculos'!$C$203)*('Cálculos'!$C$211+'Cálculos'!$C$124*(1+2.78*('Cálculos'!$C$196+(($B$54)-$A32)*'Cálculos'!$C$98)/(('Cálculos'!$C$196+(($B$54)-$A32)*'Cálculos'!$C$98)+1400)+'Cálculos'!$C$122)*'Cálculos'!$C$216+'Cálculos'!$C$125*(1+2.78*('Cálculos'!$C$196+(($B$54)-$A32)*'Cálculos'!$C$98)/(('Cálculos'!$C$196+(($B$54)-$A32)*'Cálculos'!$C$98)+1400)+'Cálculos'!$C$123)*'Cálculos'!$C$221)+('Cálculos'!$C$204*(1+'Cálculos'!$C$205+$A32*('Cálculos'!$C$290=3)*'Cálculos'!$C$103)+'Cálculos'!$C$206)*('Cálculos'!$C$212+'Cálculos'!$C$124*(1+2.78*('Cálculos'!$C$196+(($B$54)-$A32)*'Cálculos'!$C$98)/(('Cálculos'!$C$196+(($B$54)-$A32)*'Cálculos'!$C$98)+1400)+'Cálculos'!$C$122)*'Cálculos'!$C$217+'Cálculos'!$C$125*(1+2.78*('Cálculos'!$C$196+(($B$54)-$A32)*'Cálculos'!$C$98)/(('Cálculos'!$C$196+(($B$54)-$A32)*'Cálculos'!$C$98)+1400)+'Cálculos'!$C$123)*'Cálculos'!$C$222)+('Cálculos'!$C$185*(1+'Cálculos'!$C$187+$A32*('Cálculos'!$C$290=1)*'Cálculos'!$C$97+'Cálculos'!$C$305)+'Cálculos'!$C$192)*('Cálculos'!$C$224+'Cálculos'!$C$124*(1+2.78*('Cálculos'!$C$197+(($B$54)-$A32)*'Cálculos'!$C$98)/(('Cálculos'!$C$197+(($B$54)-$A32)*'Cálculos'!$C$98)+1400)+'Cálculos'!$C$122)*'Cálculos'!$C$229+'Cálculos'!$C$125*(1+2.78*('Cálculos'!$C$197+(($B$54)-$A32)*'Cálculos'!$C$98)/(('Cálculos'!$C$197+(($B$54)-$A32)*'Cálculos'!$C$98)+1400)+'Cálculos'!$C$123)*'Cálculos'!$C$234)+('Cálculos'!$C$197+(($B$54)-$A32)*'Cálculos'!$C$98)*('Cálculos'!$C$225+'Cálculos'!$C$124*(1+2.78*('Cálculos'!$C$197+(($B$54)-$A32)*'Cálculos'!$C$98)/(('Cálculos'!$C$197+(($B$54)-$A32)*'Cálculos'!$C$98)+1400)+'Cálculos'!$C$122)*'Cálculos'!$C$230+'Cálculos'!$C$125*(1+2.78*('Cálculos'!$C$197+(($B$54)-$A32)*'Cálculos'!$C$98)/(('Cálculos'!$C$197+(($B$54)-$A32)*'Cálculos'!$C$98)+1400)+'Cálculos'!$C$123)*'Cálculos'!$C$235)+('Cálculos'!$C$201*(1+'Cálculos'!$C$202+$A32*('Cálculos'!$C$290=2)*'Cálculos'!$C$101)+'Cálculos'!$C$203)*('Cálculos'!$C$226+'Cálculos'!$C$124*(1+2.78*('Cálculos'!$C$197+(($B$54)-$A32)*'Cálculos'!$C$98)/(('Cálculos'!$C$197+(($B$54)-$A32)*'Cálculos'!$C$98)+1400)+'Cálculos'!$C$122)*'Cálculos'!$C$231+'Cálculos'!$C$125*(1+2.78*('Cálculos'!$C$197+(($B$54)-$A32)*'Cálculos'!$C$98)/(('Cálculos'!$C$197+(($B$54)-$A32)*'Cálculos'!$C$98)+1400)+'Cálculos'!$C$123)*'Cálculos'!$C$236)+('Cálculos'!$C$204*(1+'Cálculos'!$C$205+$A32*('Cálculos'!$C$290=3)*'Cálculos'!$C$103)+'Cálculos'!$C$206)*('Cálculos'!$C$227+'Cálculos'!$C$124*(1+2.78*('Cálculos'!$C$197+(($B$54)-$A32)*'Cálculos'!$C$98)/(('Cálculos'!$C$197+(($B$54)-$A32)*'Cálculos'!$C$98)+1400)+'Cálculos'!$C$122)*'Cálculos'!$C$232+'Cálculos'!$C$125*(1+2.78*('Cálculos'!$C$197+(($B$54)-$A32)*'Cálculos'!$C$98)/(('Cálculos'!$C$197+(($B$54)-$A32)*'Cálculos'!$C$98)+1400)+'Cálculos'!$C$123)*'Cálculos'!$C$237)+('Cálculos'!$C$185*(1+'Cálculos'!$C$188+$A32*('Cálculos'!$C$290=1)*'Cálculos'!$C$97+'Cálculos'!$C$305)+'Cálculos'!$C$193)*('Cálculos'!$C$239+'Cálculos'!$C$124*(1+2.78*('Cálculos'!$C$198+(($B$54)-$A32)*'Cálculos'!$C$98)/(('Cálculos'!$C$198+(($B$54)-$A32)*'Cálculos'!$C$98)+1400)+'Cálculos'!$C$122)*'Cálculos'!$C$244+'Cálculos'!$C$125*(1+2.78*('Cálculos'!$C$198+(($B$54)-$A32)*'Cálculos'!$C$98)/(('Cálculos'!$C$198+(($B$54)-$A32)*'Cálculos'!$C$98)+1400)+'Cálculos'!$C$123)*'Cálculos'!$C$249)+('Cálculos'!$C$198+(($B$54)-$A32)*'Cálculos'!$C$98)*('Cálculos'!$C$240+'Cálculos'!$C$124*(1+2.78*('Cálculos'!$C$198+(($B$54)-$A32)*'Cálculos'!$C$98)/(('Cálculos'!$C$198+(($B$54)-$A32)*'Cálculos'!$C$98)+1400)+'Cálculos'!$C$122)*'Cálculos'!$C$245+'Cálculos'!$C$125*(1+2.78*('Cálculos'!$C$198+(($B$54)-$A32)*'Cálculos'!$C$98)/(('Cálculos'!$C$198+(($B$54)-$A32)*'Cálculos'!$C$98)+1400)+'Cálculos'!$C$123)*'Cálculos'!$C$250)+('Cálculos'!$C$201*(1+'Cálculos'!$C$202+$A32*('Cálculos'!$C$290=2)*'Cálculos'!$C$101)+'Cálculos'!$C$203)*('Cálculos'!$C$241+'Cálculos'!$C$124*(1+2.78*('Cálculos'!$C$198+(($B$54)-$A32)*'Cálculos'!$C$98)/(('Cálculos'!$C$198+(($B$54)-$A32)*'Cálculos'!$C$98)+1400)+'Cálculos'!$C$122)*'Cálculos'!$C$246+'Cálculos'!$C$125*(1+2.78*('Cálculos'!$C$198+(($B$54)-$A32)*'Cálculos'!$C$98)/(('Cálculos'!$C$198+(($B$54)-$A32)*'Cálculos'!$C$98)+1400)+'Cálculos'!$C$123)*'Cálculos'!$C$251)+('Cálculos'!$C$204*(1+'Cálculos'!$C$205+$A32*('Cálculos'!$C$290=3)*'Cálculos'!$C$103)+'Cálculos'!$C$206)*('Cálculos'!$C$242+'Cálculos'!$C$124*(1+2.78*('Cálculos'!$C$198+(($B$54)-$A32)*'Cálculos'!$C$98)/(('Cálculos'!$C$198+(($B$54)-$A32)*'Cálculos'!$C$98)+1400)+'Cálculos'!$C$122)*'Cálculos'!$C$247+'Cálculos'!$C$125*(1+2.78*('Cálculos'!$C$198+(($B$54)-$A32)*'Cálculos'!$C$98)/(('Cálculos'!$C$198+(($B$54)-$A32)*'Cálculos'!$C$98)+1400)+'Cálculos'!$C$123)*'Cálculos'!$C$252)+('Cálculos'!$C$185*(1+'Cálculos'!$C$189+$A32*('Cálculos'!$C$290=1)*'Cálculos'!$C$97+'Cálculos'!$C$305)+'Cálculos'!$C$194)*('Cálculos'!$C$254+'Cálculos'!$C$124*(1+2.78*('Cálculos'!$C$199+(($B$54)-$A32)*'Cálculos'!$C$98)/(('Cálculos'!$C$199+(($B$54)-$A32)*'Cálculos'!$C$98)+1400)+'Cálculos'!$C$122)*'Cálculos'!$C$259+'Cálculos'!$C$125*(1+2.78*('Cálculos'!$C$199+(($B$54)-$A32)*'Cálculos'!$C$98)/(('Cálculos'!$C$199+(($B$54)-$A32)*'Cálculos'!$C$98)+1400)+'Cálculos'!$C$123)*'Cálculos'!$C$264)+('Cálculos'!$C$199+(($B$54)-$A32)*'Cálculos'!$C$98)*('Cálculos'!$C$255+'Cálculos'!$C$124*(1+2.78*('Cálculos'!$C$199+(($B$54)-$A32)*'Cálculos'!$C$98)/(('Cálculos'!$C$199+(($B$54)-$A32)*'Cálculos'!$C$98)+1400)+'Cálculos'!$C$122)*'Cálculos'!$C$260+'Cálculos'!$C$125*(1+2.78*('Cálculos'!$C$199+(($B$54)-$A32)*'Cálculos'!$C$98)/(('Cálculos'!$C$199+(($B$54)-$A32)*'Cálculos'!$C$98)+1400)+'Cálculos'!$C$123)*'Cálculos'!$C$265)+('Cálculos'!$C$201*(1+'Cálculos'!$C$202+$A32*('Cálculos'!$C$290=2)*'Cálculos'!$C$101)+'Cálculos'!$C$203)*('Cálculos'!$C$256+'Cálculos'!$C$124*(1+2.78*('Cálculos'!$C$199+(($B$54)-$A32)*'Cálculos'!$C$98)/(('Cálculos'!$C$199+(($B$54)-$A32)*'Cálculos'!$C$98)+1400)+'Cálculos'!$C$122)*'Cálculos'!$C$261+'Cálculos'!$C$125*(1+2.78*('Cálculos'!$C$199+(($B$54)-$A32)*'Cálculos'!$C$98)/(('Cálculos'!$C$199+(($B$54)-$A32)*'Cálculos'!$C$98)+1400)+'Cálculos'!$C$123)*'Cálculos'!$C$266)+('Cálculos'!$C$204*(1+'Cálculos'!$C$205+$A32*('Cálculos'!$C$290=3)*'Cálculos'!$C$103)+'Cálculos'!$C$206)*('Cálculos'!$C$257+'Cálculos'!$C$124*(1+2.78*('Cálculos'!$C$199+(($B$54)-$A32)*'Cálculos'!$C$98)/(('Cálculos'!$C$199+(($B$54)-$A32)*'Cálculos'!$C$98)+1400)+'Cálculos'!$C$122)*'Cálculos'!$C$262+'Cálculos'!$C$125*(1+2.78*('Cálculos'!$C$199+(($B$54)-$A32)*'Cálculos'!$C$98)/(('Cálculos'!$C$199+(($B$54)-$A32)*'Cálculos'!$C$98)+1400)+'Cálculos'!$C$123)*'Cálculos'!$C$267)+('Cálculos'!$C$185*(1+'Cálculos'!$C$190+$A32*('Cálculos'!$C$290=1)*'Cálculos'!$C$97+'Cálculos'!$C$305)+'Cálculos'!$C$195)*('Cálculos'!$C$269+'Cálculos'!$C$124*(1+2.78*('Cálculos'!$C$200+(($B$54)-$A32)*'Cálculos'!$C$98)/(('Cálculos'!$C$200+(($B$54)-$A32)*'Cálculos'!$C$98)+1400)+'Cálculos'!$C$122)*'Cálculos'!$C$274+'Cálculos'!$C$125*(1+2.78*('Cálculos'!$C$200+(($B$54)-$A32)*'Cálculos'!$C$98)/(('Cálculos'!$C$200+(($B$54)-$A32)*'Cálculos'!$C$98)+1400)+'Cálculos'!$C$123)*'Cálculos'!$C$279)+('Cálculos'!$C$200+(($B$54)-$A32)*'Cálculos'!$C$98)*('Cálculos'!$C$270+'Cálculos'!$C$124*(1+2.78*('Cálculos'!$C$200+(($B$54)-$A32)*'Cálculos'!$C$98)/(('Cálculos'!$C$200+(($B$54)-$A32)*'Cálculos'!$C$98)+1400)+'Cálculos'!$C$122)*'Cálculos'!$C$275+'Cálculos'!$C$125*(1+2.78*('Cálculos'!$C$200+(($B$54)-$A32)*'Cálculos'!$C$98)/(('Cálculos'!$C$200+(($B$54)-$A32)*'Cálculos'!$C$98)+1400)+'Cálculos'!$C$123)*'Cálculos'!$C$280)+('Cálculos'!$C$201*(1+'Cálculos'!$C$202+$A32*('Cálculos'!$C$290=2)*'Cálculos'!$C$101)+'Cálculos'!$C$203)*('Cálculos'!$C$271+'Cálculos'!$C$124*(1+2.78*('Cálculos'!$C$200+(($B$54)-$A32)*'Cálculos'!$C$98)/(('Cálculos'!$C$200+(($B$54)-$A32)*'Cálculos'!$C$98)+1400)+'Cálculos'!$C$122)*'Cálculos'!$C$276+'Cálculos'!$C$125*(1+2.78*('Cálculos'!$C$200+(($B$54)-$A32)*'Cálculos'!$C$98)/(('Cálculos'!$C$200+(($B$54)-$A32)*'Cálculos'!$C$98)+1400)+'Cálculos'!$C$123)*'Cálculos'!$C$281)+('Cálculos'!$C$204*(1+'Cálculos'!$C$205+$A32*('Cálculos'!$C$290=3)*'Cálculos'!$C$103)+'Cálculos'!$C$206)*('Cálculos'!$C$272+'Cálculos'!$C$124*(1+2.78*('Cálculos'!$C$200+(($B$54)-$A32)*'Cálculos'!$C$98)/(('Cálculos'!$C$200+(($B$54)-$A32)*'Cálculos'!$C$98)+1400)+'Cálculos'!$C$122)*'Cálculos'!$C$277+'Cálculos'!$C$125*(1+2.78*('Cálculos'!$C$200+(($B$54)-$A32)*'Cálculos'!$C$98)/(('Cálculos'!$C$200+(($B$54)-$A32)*'Cálculos'!$C$98)+1400)+'Cálculos'!$C$123)*'Cálculos'!$C$282)))</f>
        <v>0</v>
      </c>
    </row>
    <row r="33" ht="15.75" customHeight="1">
      <c r="A33" s="2">
        <v>27.0</v>
      </c>
      <c r="B33" s="30">
        <f>SUMPRODUCT(MAX(($A$6:$A$51&lt;=$A33)*($A$6:$A$51&lt;='Cálculos'!$C$294)*(($A33)-$A$6:$A$51&lt;='Cálculos'!$C$295)*(1+(('Cálculos'!$C$207+$A$6:$A$51*'Cálculos'!$C$95)-(('Cálculos'!$C$207+$A$6:$A$51*'Cálculos'!$C$95)&gt;1)*(('Cálculos'!$C$207+$A$6:$A$51*'Cálculos'!$C$95)-1))*('Cálculos'!$C$208+(($A33)-$A$6:$A$51)*'Cálculos'!$C$96))))</f>
        <v>4.010516</v>
      </c>
      <c r="C33" s="2">
        <f>'Cálculos'!$C$303-$A33</f>
        <v>-7</v>
      </c>
      <c r="D33" s="31">
        <f>IF($C33&lt;0,0,SUMPRODUCT(MAX(($A$6:$A$51&lt;=$C33)*($A$6:$A$51&lt;='Cálculos'!$C$301)*(($C33)-$A$6:$A$51&lt;='Cálculos'!$C$297)*(('Cálculos'!$C$185*(1+'Cálculos'!$C$186+$A$6:$A$51*('Cálculos'!$C$290=1)*'Cálculos'!$C$97+'Cálculos'!$C$305)+'Cálculos'!$C$191)*('Cálculos'!$C$209+'Cálculos'!$C$124*(1+2.78*('Cálculos'!$C$196+(($C33)-$A$6:$A$51)*'Cálculos'!$C$98)/(('Cálculos'!$C$196+(($C33)-$A$6:$A$51)*'Cálculos'!$C$98)+1400)+'Cálculos'!$C$122)*'Cálculos'!$C$214+'Cálculos'!$C$125*(1+2.78*('Cálculos'!$C$196+(($C33)-$A$6:$A$51)*'Cálculos'!$C$98)/(('Cálculos'!$C$196+(($C33)-$A$6:$A$51)*'Cálculos'!$C$98)+1400)+'Cálculos'!$C$123)*'Cálculos'!$C$219)+('Cálculos'!$C$196+(($C33)-$A$6:$A$51)*'Cálculos'!$C$98)*('Cálculos'!$C$210+'Cálculos'!$C$124*(1+2.78*('Cálculos'!$C$196+(($C33)-$A$6:$A$51)*'Cálculos'!$C$98)/(('Cálculos'!$C$196+(($C33)-$A$6:$A$51)*'Cálculos'!$C$98)+1400)+'Cálculos'!$C$122)*'Cálculos'!$C$215+'Cálculos'!$C$125*(1+2.78*('Cálculos'!$C$196+(($C33)-$A$6:$A$51)*'Cálculos'!$C$98)/(('Cálculos'!$C$196+(($C33)-$A$6:$A$51)*'Cálculos'!$C$98)+1400)+'Cálculos'!$C$123)*'Cálculos'!$C$220)+('Cálculos'!$C$201*(1+'Cálculos'!$C$202+$A$6:$A$51*('Cálculos'!$C$290=2)*'Cálculos'!$C$101)+'Cálculos'!$C$203)*('Cálculos'!$C$211+'Cálculos'!$C$124*(1+2.78*('Cálculos'!$C$196+(($C33)-$A$6:$A$51)*'Cálculos'!$C$98)/(('Cálculos'!$C$196+(($C33)-$A$6:$A$51)*'Cálculos'!$C$98)+1400)+'Cálculos'!$C$122)*'Cálculos'!$C$216+'Cálculos'!$C$125*(1+2.78*('Cálculos'!$C$196+(($C33)-$A$6:$A$51)*'Cálculos'!$C$98)/(('Cálculos'!$C$196+(($C33)-$A$6:$A$51)*'Cálculos'!$C$98)+1400)+'Cálculos'!$C$123)*'Cálculos'!$C$221)+('Cálculos'!$C$204*(1+'Cálculos'!$C$205+$A$6:$A$51*('Cálculos'!$C$290=3)*'Cálculos'!$C$103)+'Cálculos'!$C$206)*('Cálculos'!$C$212+'Cálculos'!$C$124*(1+2.78*('Cálculos'!$C$196+(($C33)-$A$6:$A$51)*'Cálculos'!$C$98)/(('Cálculos'!$C$196+(($C33)-$A$6:$A$51)*'Cálculos'!$C$98)+1400)+'Cálculos'!$C$122)*'Cálculos'!$C$217+'Cálculos'!$C$125*(1+2.78*('Cálculos'!$C$196+(($C33)-$A$6:$A$51)*'Cálculos'!$C$98)/(('Cálculos'!$C$196+(($C33)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33)-$A$6:$A$51)*'Cálculos'!$C$98)/(('Cálculos'!$C$197+(($C33)-$A$6:$A$51)*'Cálculos'!$C$98)+1400)+'Cálculos'!$C$122)*'Cálculos'!$C$229+'Cálculos'!$C$125*(1+2.78*('Cálculos'!$C$197+(($C33)-$A$6:$A$51)*'Cálculos'!$C$98)/(('Cálculos'!$C$197+(($C33)-$A$6:$A$51)*'Cálculos'!$C$98)+1400)+'Cálculos'!$C$123)*'Cálculos'!$C$234)+('Cálculos'!$C$197+(($C33)-$A$6:$A$51)*'Cálculos'!$C$98)*('Cálculos'!$C$225+'Cálculos'!$C$124*(1+2.78*('Cálculos'!$C$197+(($C33)-$A$6:$A$51)*'Cálculos'!$C$98)/(('Cálculos'!$C$197+(($C33)-$A$6:$A$51)*'Cálculos'!$C$98)+1400)+'Cálculos'!$C$122)*'Cálculos'!$C$230+'Cálculos'!$C$125*(1+2.78*('Cálculos'!$C$197+(($C33)-$A$6:$A$51)*'Cálculos'!$C$98)/(('Cálculos'!$C$197+(($C33)-$A$6:$A$51)*'Cálculos'!$C$98)+1400)+'Cálculos'!$C$123)*'Cálculos'!$C$235)+('Cálculos'!$C$201*(1+'Cálculos'!$C$202+$A$6:$A$51*('Cálculos'!$C$290=2)*'Cálculos'!$C$101)+'Cálculos'!$C$203)*('Cálculos'!$C$226+'Cálculos'!$C$124*(1+2.78*('Cálculos'!$C$197+(($C33)-$A$6:$A$51)*'Cálculos'!$C$98)/(('Cálculos'!$C$197+(($C33)-$A$6:$A$51)*'Cálculos'!$C$98)+1400)+'Cálculos'!$C$122)*'Cálculos'!$C$231+'Cálculos'!$C$125*(1+2.78*('Cálculos'!$C$197+(($C33)-$A$6:$A$51)*'Cálculos'!$C$98)/(('Cálculos'!$C$197+(($C33)-$A$6:$A$51)*'Cálculos'!$C$98)+1400)+'Cálculos'!$C$123)*'Cálculos'!$C$236)+('Cálculos'!$C$204*(1+'Cálculos'!$C$205+$A$6:$A$51*('Cálculos'!$C$290=3)*'Cálculos'!$C$103)+'Cálculos'!$C$206)*('Cálculos'!$C$227+'Cálculos'!$C$124*(1+2.78*('Cálculos'!$C$197+(($C33)-$A$6:$A$51)*'Cálculos'!$C$98)/(('Cálculos'!$C$197+(($C33)-$A$6:$A$51)*'Cálculos'!$C$98)+1400)+'Cálculos'!$C$122)*'Cálculos'!$C$232+'Cálculos'!$C$125*(1+2.78*('Cálculos'!$C$197+(($C33)-$A$6:$A$51)*'Cálculos'!$C$98)/(('Cálculos'!$C$197+(($C33)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33)-$A$6:$A$51)*'Cálculos'!$C$98)/(('Cálculos'!$C$198+(($C33)-$A$6:$A$51)*'Cálculos'!$C$98)+1400)+'Cálculos'!$C$122)*'Cálculos'!$C$244+'Cálculos'!$C$125*(1+2.78*('Cálculos'!$C$198+(($C33)-$A$6:$A$51)*'Cálculos'!$C$98)/(('Cálculos'!$C$198+(($C33)-$A$6:$A$51)*'Cálculos'!$C$98)+1400)+'Cálculos'!$C$123)*'Cálculos'!$C$249)+('Cálculos'!$C$198+(($C33)-$A$6:$A$51)*'Cálculos'!$C$98)*('Cálculos'!$C$240+'Cálculos'!$C$124*(1+2.78*('Cálculos'!$C$198+(($C33)-$A$6:$A$51)*'Cálculos'!$C$98)/(('Cálculos'!$C$198+(($C33)-$A$6:$A$51)*'Cálculos'!$C$98)+1400)+'Cálculos'!$C$122)*'Cálculos'!$C$245+'Cálculos'!$C$125*(1+2.78*('Cálculos'!$C$198+(($C33)-$A$6:$A$51)*'Cálculos'!$C$98)/(('Cálculos'!$C$198+(($C33)-$A$6:$A$51)*'Cálculos'!$C$98)+1400)+'Cálculos'!$C$123)*'Cálculos'!$C$250)+('Cálculos'!$C$201*(1+'Cálculos'!$C$202+$A$6:$A$51*('Cálculos'!$C$290=2)*'Cálculos'!$C$101)+'Cálculos'!$C$203)*('Cálculos'!$C$241+'Cálculos'!$C$124*(1+2.78*('Cálculos'!$C$198+(($C33)-$A$6:$A$51)*'Cálculos'!$C$98)/(('Cálculos'!$C$198+(($C33)-$A$6:$A$51)*'Cálculos'!$C$98)+1400)+'Cálculos'!$C$122)*'Cálculos'!$C$246+'Cálculos'!$C$125*(1+2.78*('Cálculos'!$C$198+(($C33)-$A$6:$A$51)*'Cálculos'!$C$98)/(('Cálculos'!$C$198+(($C33)-$A$6:$A$51)*'Cálculos'!$C$98)+1400)+'Cálculos'!$C$123)*'Cálculos'!$C$251)+('Cálculos'!$C$204*(1+'Cálculos'!$C$205+$A$6:$A$51*('Cálculos'!$C$290=3)*'Cálculos'!$C$103)+'Cálculos'!$C$206)*('Cálculos'!$C$242+'Cálculos'!$C$124*(1+2.78*('Cálculos'!$C$198+(($C33)-$A$6:$A$51)*'Cálculos'!$C$98)/(('Cálculos'!$C$198+(($C33)-$A$6:$A$51)*'Cálculos'!$C$98)+1400)+'Cálculos'!$C$122)*'Cálculos'!$C$247+'Cálculos'!$C$125*(1+2.78*('Cálculos'!$C$198+(($C33)-$A$6:$A$51)*'Cálculos'!$C$98)/(('Cálculos'!$C$198+(($C33)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33)-$A$6:$A$51)*'Cálculos'!$C$98)/(('Cálculos'!$C$199+(($C33)-$A$6:$A$51)*'Cálculos'!$C$98)+1400)+'Cálculos'!$C$122)*'Cálculos'!$C$259+'Cálculos'!$C$125*(1+2.78*('Cálculos'!$C$199+(($C33)-$A$6:$A$51)*'Cálculos'!$C$98)/(('Cálculos'!$C$199+(($C33)-$A$6:$A$51)*'Cálculos'!$C$98)+1400)+'Cálculos'!$C$123)*'Cálculos'!$C$264)+('Cálculos'!$C$199+(($C33)-$A$6:$A$51)*'Cálculos'!$C$98)*('Cálculos'!$C$255+'Cálculos'!$C$124*(1+2.78*('Cálculos'!$C$199+(($C33)-$A$6:$A$51)*'Cálculos'!$C$98)/(('Cálculos'!$C$199+(($C33)-$A$6:$A$51)*'Cálculos'!$C$98)+1400)+'Cálculos'!$C$122)*'Cálculos'!$C$260+'Cálculos'!$C$125*(1+2.78*('Cálculos'!$C$199+(($C33)-$A$6:$A$51)*'Cálculos'!$C$98)/(('Cálculos'!$C$199+(($C33)-$A$6:$A$51)*'Cálculos'!$C$98)+1400)+'Cálculos'!$C$123)*'Cálculos'!$C$265)+('Cálculos'!$C$201*(1+'Cálculos'!$C$202+$A$6:$A$51*('Cálculos'!$C$290=2)*'Cálculos'!$C$101)+'Cálculos'!$C$203)*('Cálculos'!$C$256+'Cálculos'!$C$124*(1+2.78*('Cálculos'!$C$199+(($C33)-$A$6:$A$51)*'Cálculos'!$C$98)/(('Cálculos'!$C$199+(($C33)-$A$6:$A$51)*'Cálculos'!$C$98)+1400)+'Cálculos'!$C$122)*'Cálculos'!$C$261+'Cálculos'!$C$125*(1+2.78*('Cálculos'!$C$199+(($C33)-$A$6:$A$51)*'Cálculos'!$C$98)/(('Cálculos'!$C$199+(($C33)-$A$6:$A$51)*'Cálculos'!$C$98)+1400)+'Cálculos'!$C$123)*'Cálculos'!$C$266)+('Cálculos'!$C$204*(1+'Cálculos'!$C$205+$A$6:$A$51*('Cálculos'!$C$290=3)*'Cálculos'!$C$103)+'Cálculos'!$C$206)*('Cálculos'!$C$257+'Cálculos'!$C$124*(1+2.78*('Cálculos'!$C$199+(($C33)-$A$6:$A$51)*'Cálculos'!$C$98)/(('Cálculos'!$C$199+(($C33)-$A$6:$A$51)*'Cálculos'!$C$98)+1400)+'Cálculos'!$C$122)*'Cálculos'!$C$262+'Cálculos'!$C$125*(1+2.78*('Cálculos'!$C$199+(($C33)-$A$6:$A$51)*'Cálculos'!$C$98)/(('Cálculos'!$C$199+(($C33)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33)-$A$6:$A$51)*'Cálculos'!$C$98)/(('Cálculos'!$C$200+(($C33)-$A$6:$A$51)*'Cálculos'!$C$98)+1400)+'Cálculos'!$C$122)*'Cálculos'!$C$274+'Cálculos'!$C$125*(1+2.78*('Cálculos'!$C$200+(($C33)-$A$6:$A$51)*'Cálculos'!$C$98)/(('Cálculos'!$C$200+(($C33)-$A$6:$A$51)*'Cálculos'!$C$98)+1400)+'Cálculos'!$C$123)*'Cálculos'!$C$279)+('Cálculos'!$C$200+(($C33)-$A$6:$A$51)*'Cálculos'!$C$98)*('Cálculos'!$C$270+'Cálculos'!$C$124*(1+2.78*('Cálculos'!$C$200+(($C33)-$A$6:$A$51)*'Cálculos'!$C$98)/(('Cálculos'!$C$200+(($C33)-$A$6:$A$51)*'Cálculos'!$C$98)+1400)+'Cálculos'!$C$122)*'Cálculos'!$C$275+'Cálculos'!$C$125*(1+2.78*('Cálculos'!$C$200+(($C33)-$A$6:$A$51)*'Cálculos'!$C$98)/(('Cálculos'!$C$200+(($C33)-$A$6:$A$51)*'Cálculos'!$C$98)+1400)+'Cálculos'!$C$123)*'Cálculos'!$C$280)+('Cálculos'!$C$201*(1+'Cálculos'!$C$202+$A$6:$A$51*('Cálculos'!$C$290=2)*'Cálculos'!$C$101)+'Cálculos'!$C$203)*('Cálculos'!$C$271+'Cálculos'!$C$124*(1+2.78*('Cálculos'!$C$200+(($C33)-$A$6:$A$51)*'Cálculos'!$C$98)/(('Cálculos'!$C$200+(($C33)-$A$6:$A$51)*'Cálculos'!$C$98)+1400)+'Cálculos'!$C$122)*'Cálculos'!$C$276+'Cálculos'!$C$125*(1+2.78*('Cálculos'!$C$200+(($C33)-$A$6:$A$51)*'Cálculos'!$C$98)/(('Cálculos'!$C$200+(($C33)-$A$6:$A$51)*'Cálculos'!$C$98)+1400)+'Cálculos'!$C$123)*'Cálculos'!$C$281)+('Cálculos'!$C$204*(1+'Cálculos'!$C$205+$A$6:$A$51*('Cálculos'!$C$290=3)*'Cálculos'!$C$103)+'Cálculos'!$C$206)*('Cálculos'!$C$272+'Cálculos'!$C$124*(1+2.78*('Cálculos'!$C$200+(($C33)-$A$6:$A$51)*'Cálculos'!$C$98)/(('Cálculos'!$C$200+(($C33)-$A$6:$A$51)*'Cálculos'!$C$98)+1400)+'Cálculos'!$C$122)*'Cálculos'!$C$277+'Cálculos'!$C$125*(1+2.78*('Cálculos'!$C$200+(($C33)-$A$6:$A$51)*'Cálculos'!$C$98)/(('Cálculos'!$C$200+(($C33)-$A$6:$A$51)*'Cálculos'!$C$98)+1400)+'Cálculos'!$C$123)*'Cálculos'!$C$282)))))</f>
        <v>0</v>
      </c>
      <c r="E33" s="32">
        <f>IF(OR($C33&lt;0,'Cálculos'!$C$6=""),0,$B33*$D33)</f>
        <v>0</v>
      </c>
      <c r="F33" s="2"/>
      <c r="G33" s="30">
        <f>($A33&lt;=$B$53)*($A33&lt;='Cálculos'!$C$294)*(($B$53)-$A33&lt;='Cálculos'!$C$295)*(1+MIN(('Cálculos'!$C$207+$A33*'Cálculos'!$C$95),1)*('Cálculos'!$C$208+(($B$53)-$A33)*'Cálculos'!$C$96))</f>
        <v>0</v>
      </c>
      <c r="H33" s="31">
        <f>IF($B$54&lt;0,0,($A33&lt;=$B$54)*($A33&lt;='Cálculos'!$C$301)*(($B$54)-$A33&lt;='Cálculos'!$C$297)*(('Cálculos'!$C$185*(1+'Cálculos'!$C$186+$A33*('Cálculos'!$C$290=1)*'Cálculos'!$C$97+'Cálculos'!$C$305)+'Cálculos'!$C$191)*('Cálculos'!$C$209+'Cálculos'!$C$124*(1+2.78*('Cálculos'!$C$196+(($B$54)-$A33)*'Cálculos'!$C$98)/(('Cálculos'!$C$196+(($B$54)-$A33)*'Cálculos'!$C$98)+1400)+'Cálculos'!$C$122)*'Cálculos'!$C$214+'Cálculos'!$C$125*(1+2.78*('Cálculos'!$C$196+(($B$54)-$A33)*'Cálculos'!$C$98)/(('Cálculos'!$C$196+(($B$54)-$A33)*'Cálculos'!$C$98)+1400)+'Cálculos'!$C$123)*'Cálculos'!$C$219)+('Cálculos'!$C$196+(($B$54)-$A33)*'Cálculos'!$C$98)*('Cálculos'!$C$210+'Cálculos'!$C$124*(1+2.78*('Cálculos'!$C$196+(($B$54)-$A33)*'Cálculos'!$C$98)/(('Cálculos'!$C$196+(($B$54)-$A33)*'Cálculos'!$C$98)+1400)+'Cálculos'!$C$122)*'Cálculos'!$C$215+'Cálculos'!$C$125*(1+2.78*('Cálculos'!$C$196+(($B$54)-$A33)*'Cálculos'!$C$98)/(('Cálculos'!$C$196+(($B$54)-$A33)*'Cálculos'!$C$98)+1400)+'Cálculos'!$C$123)*'Cálculos'!$C$220)+('Cálculos'!$C$201*(1+'Cálculos'!$C$202+$A33*('Cálculos'!$C$290=2)*'Cálculos'!$C$101)+'Cálculos'!$C$203)*('Cálculos'!$C$211+'Cálculos'!$C$124*(1+2.78*('Cálculos'!$C$196+(($B$54)-$A33)*'Cálculos'!$C$98)/(('Cálculos'!$C$196+(($B$54)-$A33)*'Cálculos'!$C$98)+1400)+'Cálculos'!$C$122)*'Cálculos'!$C$216+'Cálculos'!$C$125*(1+2.78*('Cálculos'!$C$196+(($B$54)-$A33)*'Cálculos'!$C$98)/(('Cálculos'!$C$196+(($B$54)-$A33)*'Cálculos'!$C$98)+1400)+'Cálculos'!$C$123)*'Cálculos'!$C$221)+('Cálculos'!$C$204*(1+'Cálculos'!$C$205+$A33*('Cálculos'!$C$290=3)*'Cálculos'!$C$103)+'Cálculos'!$C$206)*('Cálculos'!$C$212+'Cálculos'!$C$124*(1+2.78*('Cálculos'!$C$196+(($B$54)-$A33)*'Cálculos'!$C$98)/(('Cálculos'!$C$196+(($B$54)-$A33)*'Cálculos'!$C$98)+1400)+'Cálculos'!$C$122)*'Cálculos'!$C$217+'Cálculos'!$C$125*(1+2.78*('Cálculos'!$C$196+(($B$54)-$A33)*'Cálculos'!$C$98)/(('Cálculos'!$C$196+(($B$54)-$A33)*'Cálculos'!$C$98)+1400)+'Cálculos'!$C$123)*'Cálculos'!$C$222)+('Cálculos'!$C$185*(1+'Cálculos'!$C$187+$A33*('Cálculos'!$C$290=1)*'Cálculos'!$C$97+'Cálculos'!$C$305)+'Cálculos'!$C$192)*('Cálculos'!$C$224+'Cálculos'!$C$124*(1+2.78*('Cálculos'!$C$197+(($B$54)-$A33)*'Cálculos'!$C$98)/(('Cálculos'!$C$197+(($B$54)-$A33)*'Cálculos'!$C$98)+1400)+'Cálculos'!$C$122)*'Cálculos'!$C$229+'Cálculos'!$C$125*(1+2.78*('Cálculos'!$C$197+(($B$54)-$A33)*'Cálculos'!$C$98)/(('Cálculos'!$C$197+(($B$54)-$A33)*'Cálculos'!$C$98)+1400)+'Cálculos'!$C$123)*'Cálculos'!$C$234)+('Cálculos'!$C$197+(($B$54)-$A33)*'Cálculos'!$C$98)*('Cálculos'!$C$225+'Cálculos'!$C$124*(1+2.78*('Cálculos'!$C$197+(($B$54)-$A33)*'Cálculos'!$C$98)/(('Cálculos'!$C$197+(($B$54)-$A33)*'Cálculos'!$C$98)+1400)+'Cálculos'!$C$122)*'Cálculos'!$C$230+'Cálculos'!$C$125*(1+2.78*('Cálculos'!$C$197+(($B$54)-$A33)*'Cálculos'!$C$98)/(('Cálculos'!$C$197+(($B$54)-$A33)*'Cálculos'!$C$98)+1400)+'Cálculos'!$C$123)*'Cálculos'!$C$235)+('Cálculos'!$C$201*(1+'Cálculos'!$C$202+$A33*('Cálculos'!$C$290=2)*'Cálculos'!$C$101)+'Cálculos'!$C$203)*('Cálculos'!$C$226+'Cálculos'!$C$124*(1+2.78*('Cálculos'!$C$197+(($B$54)-$A33)*'Cálculos'!$C$98)/(('Cálculos'!$C$197+(($B$54)-$A33)*'Cálculos'!$C$98)+1400)+'Cálculos'!$C$122)*'Cálculos'!$C$231+'Cálculos'!$C$125*(1+2.78*('Cálculos'!$C$197+(($B$54)-$A33)*'Cálculos'!$C$98)/(('Cálculos'!$C$197+(($B$54)-$A33)*'Cálculos'!$C$98)+1400)+'Cálculos'!$C$123)*'Cálculos'!$C$236)+('Cálculos'!$C$204*(1+'Cálculos'!$C$205+$A33*('Cálculos'!$C$290=3)*'Cálculos'!$C$103)+'Cálculos'!$C$206)*('Cálculos'!$C$227+'Cálculos'!$C$124*(1+2.78*('Cálculos'!$C$197+(($B$54)-$A33)*'Cálculos'!$C$98)/(('Cálculos'!$C$197+(($B$54)-$A33)*'Cálculos'!$C$98)+1400)+'Cálculos'!$C$122)*'Cálculos'!$C$232+'Cálculos'!$C$125*(1+2.78*('Cálculos'!$C$197+(($B$54)-$A33)*'Cálculos'!$C$98)/(('Cálculos'!$C$197+(($B$54)-$A33)*'Cálculos'!$C$98)+1400)+'Cálculos'!$C$123)*'Cálculos'!$C$237)+('Cálculos'!$C$185*(1+'Cálculos'!$C$188+$A33*('Cálculos'!$C$290=1)*'Cálculos'!$C$97+'Cálculos'!$C$305)+'Cálculos'!$C$193)*('Cálculos'!$C$239+'Cálculos'!$C$124*(1+2.78*('Cálculos'!$C$198+(($B$54)-$A33)*'Cálculos'!$C$98)/(('Cálculos'!$C$198+(($B$54)-$A33)*'Cálculos'!$C$98)+1400)+'Cálculos'!$C$122)*'Cálculos'!$C$244+'Cálculos'!$C$125*(1+2.78*('Cálculos'!$C$198+(($B$54)-$A33)*'Cálculos'!$C$98)/(('Cálculos'!$C$198+(($B$54)-$A33)*'Cálculos'!$C$98)+1400)+'Cálculos'!$C$123)*'Cálculos'!$C$249)+('Cálculos'!$C$198+(($B$54)-$A33)*'Cálculos'!$C$98)*('Cálculos'!$C$240+'Cálculos'!$C$124*(1+2.78*('Cálculos'!$C$198+(($B$54)-$A33)*'Cálculos'!$C$98)/(('Cálculos'!$C$198+(($B$54)-$A33)*'Cálculos'!$C$98)+1400)+'Cálculos'!$C$122)*'Cálculos'!$C$245+'Cálculos'!$C$125*(1+2.78*('Cálculos'!$C$198+(($B$54)-$A33)*'Cálculos'!$C$98)/(('Cálculos'!$C$198+(($B$54)-$A33)*'Cálculos'!$C$98)+1400)+'Cálculos'!$C$123)*'Cálculos'!$C$250)+('Cálculos'!$C$201*(1+'Cálculos'!$C$202+$A33*('Cálculos'!$C$290=2)*'Cálculos'!$C$101)+'Cálculos'!$C$203)*('Cálculos'!$C$241+'Cálculos'!$C$124*(1+2.78*('Cálculos'!$C$198+(($B$54)-$A33)*'Cálculos'!$C$98)/(('Cálculos'!$C$198+(($B$54)-$A33)*'Cálculos'!$C$98)+1400)+'Cálculos'!$C$122)*'Cálculos'!$C$246+'Cálculos'!$C$125*(1+2.78*('Cálculos'!$C$198+(($B$54)-$A33)*'Cálculos'!$C$98)/(('Cálculos'!$C$198+(($B$54)-$A33)*'Cálculos'!$C$98)+1400)+'Cálculos'!$C$123)*'Cálculos'!$C$251)+('Cálculos'!$C$204*(1+'Cálculos'!$C$205+$A33*('Cálculos'!$C$290=3)*'Cálculos'!$C$103)+'Cálculos'!$C$206)*('Cálculos'!$C$242+'Cálculos'!$C$124*(1+2.78*('Cálculos'!$C$198+(($B$54)-$A33)*'Cálculos'!$C$98)/(('Cálculos'!$C$198+(($B$54)-$A33)*'Cálculos'!$C$98)+1400)+'Cálculos'!$C$122)*'Cálculos'!$C$247+'Cálculos'!$C$125*(1+2.78*('Cálculos'!$C$198+(($B$54)-$A33)*'Cálculos'!$C$98)/(('Cálculos'!$C$198+(($B$54)-$A33)*'Cálculos'!$C$98)+1400)+'Cálculos'!$C$123)*'Cálculos'!$C$252)+('Cálculos'!$C$185*(1+'Cálculos'!$C$189+$A33*('Cálculos'!$C$290=1)*'Cálculos'!$C$97+'Cálculos'!$C$305)+'Cálculos'!$C$194)*('Cálculos'!$C$254+'Cálculos'!$C$124*(1+2.78*('Cálculos'!$C$199+(($B$54)-$A33)*'Cálculos'!$C$98)/(('Cálculos'!$C$199+(($B$54)-$A33)*'Cálculos'!$C$98)+1400)+'Cálculos'!$C$122)*'Cálculos'!$C$259+'Cálculos'!$C$125*(1+2.78*('Cálculos'!$C$199+(($B$54)-$A33)*'Cálculos'!$C$98)/(('Cálculos'!$C$199+(($B$54)-$A33)*'Cálculos'!$C$98)+1400)+'Cálculos'!$C$123)*'Cálculos'!$C$264)+('Cálculos'!$C$199+(($B$54)-$A33)*'Cálculos'!$C$98)*('Cálculos'!$C$255+'Cálculos'!$C$124*(1+2.78*('Cálculos'!$C$199+(($B$54)-$A33)*'Cálculos'!$C$98)/(('Cálculos'!$C$199+(($B$54)-$A33)*'Cálculos'!$C$98)+1400)+'Cálculos'!$C$122)*'Cálculos'!$C$260+'Cálculos'!$C$125*(1+2.78*('Cálculos'!$C$199+(($B$54)-$A33)*'Cálculos'!$C$98)/(('Cálculos'!$C$199+(($B$54)-$A33)*'Cálculos'!$C$98)+1400)+'Cálculos'!$C$123)*'Cálculos'!$C$265)+('Cálculos'!$C$201*(1+'Cálculos'!$C$202+$A33*('Cálculos'!$C$290=2)*'Cálculos'!$C$101)+'Cálculos'!$C$203)*('Cálculos'!$C$256+'Cálculos'!$C$124*(1+2.78*('Cálculos'!$C$199+(($B$54)-$A33)*'Cálculos'!$C$98)/(('Cálculos'!$C$199+(($B$54)-$A33)*'Cálculos'!$C$98)+1400)+'Cálculos'!$C$122)*'Cálculos'!$C$261+'Cálculos'!$C$125*(1+2.78*('Cálculos'!$C$199+(($B$54)-$A33)*'Cálculos'!$C$98)/(('Cálculos'!$C$199+(($B$54)-$A33)*'Cálculos'!$C$98)+1400)+'Cálculos'!$C$123)*'Cálculos'!$C$266)+('Cálculos'!$C$204*(1+'Cálculos'!$C$205+$A33*('Cálculos'!$C$290=3)*'Cálculos'!$C$103)+'Cálculos'!$C$206)*('Cálculos'!$C$257+'Cálculos'!$C$124*(1+2.78*('Cálculos'!$C$199+(($B$54)-$A33)*'Cálculos'!$C$98)/(('Cálculos'!$C$199+(($B$54)-$A33)*'Cálculos'!$C$98)+1400)+'Cálculos'!$C$122)*'Cálculos'!$C$262+'Cálculos'!$C$125*(1+2.78*('Cálculos'!$C$199+(($B$54)-$A33)*'Cálculos'!$C$98)/(('Cálculos'!$C$199+(($B$54)-$A33)*'Cálculos'!$C$98)+1400)+'Cálculos'!$C$123)*'Cálculos'!$C$267)+('Cálculos'!$C$185*(1+'Cálculos'!$C$190+$A33*('Cálculos'!$C$290=1)*'Cálculos'!$C$97+'Cálculos'!$C$305)+'Cálculos'!$C$195)*('Cálculos'!$C$269+'Cálculos'!$C$124*(1+2.78*('Cálculos'!$C$200+(($B$54)-$A33)*'Cálculos'!$C$98)/(('Cálculos'!$C$200+(($B$54)-$A33)*'Cálculos'!$C$98)+1400)+'Cálculos'!$C$122)*'Cálculos'!$C$274+'Cálculos'!$C$125*(1+2.78*('Cálculos'!$C$200+(($B$54)-$A33)*'Cálculos'!$C$98)/(('Cálculos'!$C$200+(($B$54)-$A33)*'Cálculos'!$C$98)+1400)+'Cálculos'!$C$123)*'Cálculos'!$C$279)+('Cálculos'!$C$200+(($B$54)-$A33)*'Cálculos'!$C$98)*('Cálculos'!$C$270+'Cálculos'!$C$124*(1+2.78*('Cálculos'!$C$200+(($B$54)-$A33)*'Cálculos'!$C$98)/(('Cálculos'!$C$200+(($B$54)-$A33)*'Cálculos'!$C$98)+1400)+'Cálculos'!$C$122)*'Cálculos'!$C$275+'Cálculos'!$C$125*(1+2.78*('Cálculos'!$C$200+(($B$54)-$A33)*'Cálculos'!$C$98)/(('Cálculos'!$C$200+(($B$54)-$A33)*'Cálculos'!$C$98)+1400)+'Cálculos'!$C$123)*'Cálculos'!$C$280)+('Cálculos'!$C$201*(1+'Cálculos'!$C$202+$A33*('Cálculos'!$C$290=2)*'Cálculos'!$C$101)+'Cálculos'!$C$203)*('Cálculos'!$C$271+'Cálculos'!$C$124*(1+2.78*('Cálculos'!$C$200+(($B$54)-$A33)*'Cálculos'!$C$98)/(('Cálculos'!$C$200+(($B$54)-$A33)*'Cálculos'!$C$98)+1400)+'Cálculos'!$C$122)*'Cálculos'!$C$276+'Cálculos'!$C$125*(1+2.78*('Cálculos'!$C$200+(($B$54)-$A33)*'Cálculos'!$C$98)/(('Cálculos'!$C$200+(($B$54)-$A33)*'Cálculos'!$C$98)+1400)+'Cálculos'!$C$123)*'Cálculos'!$C$281)+('Cálculos'!$C$204*(1+'Cálculos'!$C$205+$A33*('Cálculos'!$C$290=3)*'Cálculos'!$C$103)+'Cálculos'!$C$206)*('Cálculos'!$C$272+'Cálculos'!$C$124*(1+2.78*('Cálculos'!$C$200+(($B$54)-$A33)*'Cálculos'!$C$98)/(('Cálculos'!$C$200+(($B$54)-$A33)*'Cálculos'!$C$98)+1400)+'Cálculos'!$C$122)*'Cálculos'!$C$277+'Cálculos'!$C$125*(1+2.78*('Cálculos'!$C$200+(($B$54)-$A33)*'Cálculos'!$C$98)/(('Cálculos'!$C$200+(($B$54)-$A33)*'Cálculos'!$C$98)+1400)+'Cálculos'!$C$123)*'Cálculos'!$C$282)))</f>
        <v>0</v>
      </c>
    </row>
    <row r="34" ht="15.75" customHeight="1">
      <c r="A34" s="2">
        <v>28.0</v>
      </c>
      <c r="B34" s="30">
        <f>SUMPRODUCT(MAX(($A$6:$A$51&lt;=$A34)*($A$6:$A$51&lt;='Cálculos'!$C$294)*(($A34)-$A$6:$A$51&lt;='Cálculos'!$C$295)*(1+(('Cálculos'!$C$207+$A$6:$A$51*'Cálculos'!$C$95)-(('Cálculos'!$C$207+$A$6:$A$51*'Cálculos'!$C$95)&gt;1)*(('Cálculos'!$C$207+$A$6:$A$51*'Cálculos'!$C$95)-1))*('Cálculos'!$C$208+(($A34)-$A$6:$A$51)*'Cálculos'!$C$96))))</f>
        <v>4.07579</v>
      </c>
      <c r="C34" s="2">
        <f>'Cálculos'!$C$303-$A34</f>
        <v>-8</v>
      </c>
      <c r="D34" s="31">
        <f>IF($C34&lt;0,0,SUMPRODUCT(MAX(($A$6:$A$51&lt;=$C34)*($A$6:$A$51&lt;='Cálculos'!$C$301)*(($C34)-$A$6:$A$51&lt;='Cálculos'!$C$297)*(('Cálculos'!$C$185*(1+'Cálculos'!$C$186+$A$6:$A$51*('Cálculos'!$C$290=1)*'Cálculos'!$C$97+'Cálculos'!$C$305)+'Cálculos'!$C$191)*('Cálculos'!$C$209+'Cálculos'!$C$124*(1+2.78*('Cálculos'!$C$196+(($C34)-$A$6:$A$51)*'Cálculos'!$C$98)/(('Cálculos'!$C$196+(($C34)-$A$6:$A$51)*'Cálculos'!$C$98)+1400)+'Cálculos'!$C$122)*'Cálculos'!$C$214+'Cálculos'!$C$125*(1+2.78*('Cálculos'!$C$196+(($C34)-$A$6:$A$51)*'Cálculos'!$C$98)/(('Cálculos'!$C$196+(($C34)-$A$6:$A$51)*'Cálculos'!$C$98)+1400)+'Cálculos'!$C$123)*'Cálculos'!$C$219)+('Cálculos'!$C$196+(($C34)-$A$6:$A$51)*'Cálculos'!$C$98)*('Cálculos'!$C$210+'Cálculos'!$C$124*(1+2.78*('Cálculos'!$C$196+(($C34)-$A$6:$A$51)*'Cálculos'!$C$98)/(('Cálculos'!$C$196+(($C34)-$A$6:$A$51)*'Cálculos'!$C$98)+1400)+'Cálculos'!$C$122)*'Cálculos'!$C$215+'Cálculos'!$C$125*(1+2.78*('Cálculos'!$C$196+(($C34)-$A$6:$A$51)*'Cálculos'!$C$98)/(('Cálculos'!$C$196+(($C34)-$A$6:$A$51)*'Cálculos'!$C$98)+1400)+'Cálculos'!$C$123)*'Cálculos'!$C$220)+('Cálculos'!$C$201*(1+'Cálculos'!$C$202+$A$6:$A$51*('Cálculos'!$C$290=2)*'Cálculos'!$C$101)+'Cálculos'!$C$203)*('Cálculos'!$C$211+'Cálculos'!$C$124*(1+2.78*('Cálculos'!$C$196+(($C34)-$A$6:$A$51)*'Cálculos'!$C$98)/(('Cálculos'!$C$196+(($C34)-$A$6:$A$51)*'Cálculos'!$C$98)+1400)+'Cálculos'!$C$122)*'Cálculos'!$C$216+'Cálculos'!$C$125*(1+2.78*('Cálculos'!$C$196+(($C34)-$A$6:$A$51)*'Cálculos'!$C$98)/(('Cálculos'!$C$196+(($C34)-$A$6:$A$51)*'Cálculos'!$C$98)+1400)+'Cálculos'!$C$123)*'Cálculos'!$C$221)+('Cálculos'!$C$204*(1+'Cálculos'!$C$205+$A$6:$A$51*('Cálculos'!$C$290=3)*'Cálculos'!$C$103)+'Cálculos'!$C$206)*('Cálculos'!$C$212+'Cálculos'!$C$124*(1+2.78*('Cálculos'!$C$196+(($C34)-$A$6:$A$51)*'Cálculos'!$C$98)/(('Cálculos'!$C$196+(($C34)-$A$6:$A$51)*'Cálculos'!$C$98)+1400)+'Cálculos'!$C$122)*'Cálculos'!$C$217+'Cálculos'!$C$125*(1+2.78*('Cálculos'!$C$196+(($C34)-$A$6:$A$51)*'Cálculos'!$C$98)/(('Cálculos'!$C$196+(($C34)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34)-$A$6:$A$51)*'Cálculos'!$C$98)/(('Cálculos'!$C$197+(($C34)-$A$6:$A$51)*'Cálculos'!$C$98)+1400)+'Cálculos'!$C$122)*'Cálculos'!$C$229+'Cálculos'!$C$125*(1+2.78*('Cálculos'!$C$197+(($C34)-$A$6:$A$51)*'Cálculos'!$C$98)/(('Cálculos'!$C$197+(($C34)-$A$6:$A$51)*'Cálculos'!$C$98)+1400)+'Cálculos'!$C$123)*'Cálculos'!$C$234)+('Cálculos'!$C$197+(($C34)-$A$6:$A$51)*'Cálculos'!$C$98)*('Cálculos'!$C$225+'Cálculos'!$C$124*(1+2.78*('Cálculos'!$C$197+(($C34)-$A$6:$A$51)*'Cálculos'!$C$98)/(('Cálculos'!$C$197+(($C34)-$A$6:$A$51)*'Cálculos'!$C$98)+1400)+'Cálculos'!$C$122)*'Cálculos'!$C$230+'Cálculos'!$C$125*(1+2.78*('Cálculos'!$C$197+(($C34)-$A$6:$A$51)*'Cálculos'!$C$98)/(('Cálculos'!$C$197+(($C34)-$A$6:$A$51)*'Cálculos'!$C$98)+1400)+'Cálculos'!$C$123)*'Cálculos'!$C$235)+('Cálculos'!$C$201*(1+'Cálculos'!$C$202+$A$6:$A$51*('Cálculos'!$C$290=2)*'Cálculos'!$C$101)+'Cálculos'!$C$203)*('Cálculos'!$C$226+'Cálculos'!$C$124*(1+2.78*('Cálculos'!$C$197+(($C34)-$A$6:$A$51)*'Cálculos'!$C$98)/(('Cálculos'!$C$197+(($C34)-$A$6:$A$51)*'Cálculos'!$C$98)+1400)+'Cálculos'!$C$122)*'Cálculos'!$C$231+'Cálculos'!$C$125*(1+2.78*('Cálculos'!$C$197+(($C34)-$A$6:$A$51)*'Cálculos'!$C$98)/(('Cálculos'!$C$197+(($C34)-$A$6:$A$51)*'Cálculos'!$C$98)+1400)+'Cálculos'!$C$123)*'Cálculos'!$C$236)+('Cálculos'!$C$204*(1+'Cálculos'!$C$205+$A$6:$A$51*('Cálculos'!$C$290=3)*'Cálculos'!$C$103)+'Cálculos'!$C$206)*('Cálculos'!$C$227+'Cálculos'!$C$124*(1+2.78*('Cálculos'!$C$197+(($C34)-$A$6:$A$51)*'Cálculos'!$C$98)/(('Cálculos'!$C$197+(($C34)-$A$6:$A$51)*'Cálculos'!$C$98)+1400)+'Cálculos'!$C$122)*'Cálculos'!$C$232+'Cálculos'!$C$125*(1+2.78*('Cálculos'!$C$197+(($C34)-$A$6:$A$51)*'Cálculos'!$C$98)/(('Cálculos'!$C$197+(($C34)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34)-$A$6:$A$51)*'Cálculos'!$C$98)/(('Cálculos'!$C$198+(($C34)-$A$6:$A$51)*'Cálculos'!$C$98)+1400)+'Cálculos'!$C$122)*'Cálculos'!$C$244+'Cálculos'!$C$125*(1+2.78*('Cálculos'!$C$198+(($C34)-$A$6:$A$51)*'Cálculos'!$C$98)/(('Cálculos'!$C$198+(($C34)-$A$6:$A$51)*'Cálculos'!$C$98)+1400)+'Cálculos'!$C$123)*'Cálculos'!$C$249)+('Cálculos'!$C$198+(($C34)-$A$6:$A$51)*'Cálculos'!$C$98)*('Cálculos'!$C$240+'Cálculos'!$C$124*(1+2.78*('Cálculos'!$C$198+(($C34)-$A$6:$A$51)*'Cálculos'!$C$98)/(('Cálculos'!$C$198+(($C34)-$A$6:$A$51)*'Cálculos'!$C$98)+1400)+'Cálculos'!$C$122)*'Cálculos'!$C$245+'Cálculos'!$C$125*(1+2.78*('Cálculos'!$C$198+(($C34)-$A$6:$A$51)*'Cálculos'!$C$98)/(('Cálculos'!$C$198+(($C34)-$A$6:$A$51)*'Cálculos'!$C$98)+1400)+'Cálculos'!$C$123)*'Cálculos'!$C$250)+('Cálculos'!$C$201*(1+'Cálculos'!$C$202+$A$6:$A$51*('Cálculos'!$C$290=2)*'Cálculos'!$C$101)+'Cálculos'!$C$203)*('Cálculos'!$C$241+'Cálculos'!$C$124*(1+2.78*('Cálculos'!$C$198+(($C34)-$A$6:$A$51)*'Cálculos'!$C$98)/(('Cálculos'!$C$198+(($C34)-$A$6:$A$51)*'Cálculos'!$C$98)+1400)+'Cálculos'!$C$122)*'Cálculos'!$C$246+'Cálculos'!$C$125*(1+2.78*('Cálculos'!$C$198+(($C34)-$A$6:$A$51)*'Cálculos'!$C$98)/(('Cálculos'!$C$198+(($C34)-$A$6:$A$51)*'Cálculos'!$C$98)+1400)+'Cálculos'!$C$123)*'Cálculos'!$C$251)+('Cálculos'!$C$204*(1+'Cálculos'!$C$205+$A$6:$A$51*('Cálculos'!$C$290=3)*'Cálculos'!$C$103)+'Cálculos'!$C$206)*('Cálculos'!$C$242+'Cálculos'!$C$124*(1+2.78*('Cálculos'!$C$198+(($C34)-$A$6:$A$51)*'Cálculos'!$C$98)/(('Cálculos'!$C$198+(($C34)-$A$6:$A$51)*'Cálculos'!$C$98)+1400)+'Cálculos'!$C$122)*'Cálculos'!$C$247+'Cálculos'!$C$125*(1+2.78*('Cálculos'!$C$198+(($C34)-$A$6:$A$51)*'Cálculos'!$C$98)/(('Cálculos'!$C$198+(($C34)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34)-$A$6:$A$51)*'Cálculos'!$C$98)/(('Cálculos'!$C$199+(($C34)-$A$6:$A$51)*'Cálculos'!$C$98)+1400)+'Cálculos'!$C$122)*'Cálculos'!$C$259+'Cálculos'!$C$125*(1+2.78*('Cálculos'!$C$199+(($C34)-$A$6:$A$51)*'Cálculos'!$C$98)/(('Cálculos'!$C$199+(($C34)-$A$6:$A$51)*'Cálculos'!$C$98)+1400)+'Cálculos'!$C$123)*'Cálculos'!$C$264)+('Cálculos'!$C$199+(($C34)-$A$6:$A$51)*'Cálculos'!$C$98)*('Cálculos'!$C$255+'Cálculos'!$C$124*(1+2.78*('Cálculos'!$C$199+(($C34)-$A$6:$A$51)*'Cálculos'!$C$98)/(('Cálculos'!$C$199+(($C34)-$A$6:$A$51)*'Cálculos'!$C$98)+1400)+'Cálculos'!$C$122)*'Cálculos'!$C$260+'Cálculos'!$C$125*(1+2.78*('Cálculos'!$C$199+(($C34)-$A$6:$A$51)*'Cálculos'!$C$98)/(('Cálculos'!$C$199+(($C34)-$A$6:$A$51)*'Cálculos'!$C$98)+1400)+'Cálculos'!$C$123)*'Cálculos'!$C$265)+('Cálculos'!$C$201*(1+'Cálculos'!$C$202+$A$6:$A$51*('Cálculos'!$C$290=2)*'Cálculos'!$C$101)+'Cálculos'!$C$203)*('Cálculos'!$C$256+'Cálculos'!$C$124*(1+2.78*('Cálculos'!$C$199+(($C34)-$A$6:$A$51)*'Cálculos'!$C$98)/(('Cálculos'!$C$199+(($C34)-$A$6:$A$51)*'Cálculos'!$C$98)+1400)+'Cálculos'!$C$122)*'Cálculos'!$C$261+'Cálculos'!$C$125*(1+2.78*('Cálculos'!$C$199+(($C34)-$A$6:$A$51)*'Cálculos'!$C$98)/(('Cálculos'!$C$199+(($C34)-$A$6:$A$51)*'Cálculos'!$C$98)+1400)+'Cálculos'!$C$123)*'Cálculos'!$C$266)+('Cálculos'!$C$204*(1+'Cálculos'!$C$205+$A$6:$A$51*('Cálculos'!$C$290=3)*'Cálculos'!$C$103)+'Cálculos'!$C$206)*('Cálculos'!$C$257+'Cálculos'!$C$124*(1+2.78*('Cálculos'!$C$199+(($C34)-$A$6:$A$51)*'Cálculos'!$C$98)/(('Cálculos'!$C$199+(($C34)-$A$6:$A$51)*'Cálculos'!$C$98)+1400)+'Cálculos'!$C$122)*'Cálculos'!$C$262+'Cálculos'!$C$125*(1+2.78*('Cálculos'!$C$199+(($C34)-$A$6:$A$51)*'Cálculos'!$C$98)/(('Cálculos'!$C$199+(($C34)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34)-$A$6:$A$51)*'Cálculos'!$C$98)/(('Cálculos'!$C$200+(($C34)-$A$6:$A$51)*'Cálculos'!$C$98)+1400)+'Cálculos'!$C$122)*'Cálculos'!$C$274+'Cálculos'!$C$125*(1+2.78*('Cálculos'!$C$200+(($C34)-$A$6:$A$51)*'Cálculos'!$C$98)/(('Cálculos'!$C$200+(($C34)-$A$6:$A$51)*'Cálculos'!$C$98)+1400)+'Cálculos'!$C$123)*'Cálculos'!$C$279)+('Cálculos'!$C$200+(($C34)-$A$6:$A$51)*'Cálculos'!$C$98)*('Cálculos'!$C$270+'Cálculos'!$C$124*(1+2.78*('Cálculos'!$C$200+(($C34)-$A$6:$A$51)*'Cálculos'!$C$98)/(('Cálculos'!$C$200+(($C34)-$A$6:$A$51)*'Cálculos'!$C$98)+1400)+'Cálculos'!$C$122)*'Cálculos'!$C$275+'Cálculos'!$C$125*(1+2.78*('Cálculos'!$C$200+(($C34)-$A$6:$A$51)*'Cálculos'!$C$98)/(('Cálculos'!$C$200+(($C34)-$A$6:$A$51)*'Cálculos'!$C$98)+1400)+'Cálculos'!$C$123)*'Cálculos'!$C$280)+('Cálculos'!$C$201*(1+'Cálculos'!$C$202+$A$6:$A$51*('Cálculos'!$C$290=2)*'Cálculos'!$C$101)+'Cálculos'!$C$203)*('Cálculos'!$C$271+'Cálculos'!$C$124*(1+2.78*('Cálculos'!$C$200+(($C34)-$A$6:$A$51)*'Cálculos'!$C$98)/(('Cálculos'!$C$200+(($C34)-$A$6:$A$51)*'Cálculos'!$C$98)+1400)+'Cálculos'!$C$122)*'Cálculos'!$C$276+'Cálculos'!$C$125*(1+2.78*('Cálculos'!$C$200+(($C34)-$A$6:$A$51)*'Cálculos'!$C$98)/(('Cálculos'!$C$200+(($C34)-$A$6:$A$51)*'Cálculos'!$C$98)+1400)+'Cálculos'!$C$123)*'Cálculos'!$C$281)+('Cálculos'!$C$204*(1+'Cálculos'!$C$205+$A$6:$A$51*('Cálculos'!$C$290=3)*'Cálculos'!$C$103)+'Cálculos'!$C$206)*('Cálculos'!$C$272+'Cálculos'!$C$124*(1+2.78*('Cálculos'!$C$200+(($C34)-$A$6:$A$51)*'Cálculos'!$C$98)/(('Cálculos'!$C$200+(($C34)-$A$6:$A$51)*'Cálculos'!$C$98)+1400)+'Cálculos'!$C$122)*'Cálculos'!$C$277+'Cálculos'!$C$125*(1+2.78*('Cálculos'!$C$200+(($C34)-$A$6:$A$51)*'Cálculos'!$C$98)/(('Cálculos'!$C$200+(($C34)-$A$6:$A$51)*'Cálculos'!$C$98)+1400)+'Cálculos'!$C$123)*'Cálculos'!$C$282)))))</f>
        <v>0</v>
      </c>
      <c r="E34" s="32">
        <f>IF(OR($C34&lt;0,'Cálculos'!$C$6=""),0,$B34*$D34)</f>
        <v>0</v>
      </c>
      <c r="F34" s="2"/>
      <c r="G34" s="30">
        <f>($A34&lt;=$B$53)*($A34&lt;='Cálculos'!$C$294)*(($B$53)-$A34&lt;='Cálculos'!$C$295)*(1+MIN(('Cálculos'!$C$207+$A34*'Cálculos'!$C$95),1)*('Cálculos'!$C$208+(($B$53)-$A34)*'Cálculos'!$C$96))</f>
        <v>0</v>
      </c>
      <c r="H34" s="31">
        <f>IF($B$54&lt;0,0,($A34&lt;=$B$54)*($A34&lt;='Cálculos'!$C$301)*(($B$54)-$A34&lt;='Cálculos'!$C$297)*(('Cálculos'!$C$185*(1+'Cálculos'!$C$186+$A34*('Cálculos'!$C$290=1)*'Cálculos'!$C$97+'Cálculos'!$C$305)+'Cálculos'!$C$191)*('Cálculos'!$C$209+'Cálculos'!$C$124*(1+2.78*('Cálculos'!$C$196+(($B$54)-$A34)*'Cálculos'!$C$98)/(('Cálculos'!$C$196+(($B$54)-$A34)*'Cálculos'!$C$98)+1400)+'Cálculos'!$C$122)*'Cálculos'!$C$214+'Cálculos'!$C$125*(1+2.78*('Cálculos'!$C$196+(($B$54)-$A34)*'Cálculos'!$C$98)/(('Cálculos'!$C$196+(($B$54)-$A34)*'Cálculos'!$C$98)+1400)+'Cálculos'!$C$123)*'Cálculos'!$C$219)+('Cálculos'!$C$196+(($B$54)-$A34)*'Cálculos'!$C$98)*('Cálculos'!$C$210+'Cálculos'!$C$124*(1+2.78*('Cálculos'!$C$196+(($B$54)-$A34)*'Cálculos'!$C$98)/(('Cálculos'!$C$196+(($B$54)-$A34)*'Cálculos'!$C$98)+1400)+'Cálculos'!$C$122)*'Cálculos'!$C$215+'Cálculos'!$C$125*(1+2.78*('Cálculos'!$C$196+(($B$54)-$A34)*'Cálculos'!$C$98)/(('Cálculos'!$C$196+(($B$54)-$A34)*'Cálculos'!$C$98)+1400)+'Cálculos'!$C$123)*'Cálculos'!$C$220)+('Cálculos'!$C$201*(1+'Cálculos'!$C$202+$A34*('Cálculos'!$C$290=2)*'Cálculos'!$C$101)+'Cálculos'!$C$203)*('Cálculos'!$C$211+'Cálculos'!$C$124*(1+2.78*('Cálculos'!$C$196+(($B$54)-$A34)*'Cálculos'!$C$98)/(('Cálculos'!$C$196+(($B$54)-$A34)*'Cálculos'!$C$98)+1400)+'Cálculos'!$C$122)*'Cálculos'!$C$216+'Cálculos'!$C$125*(1+2.78*('Cálculos'!$C$196+(($B$54)-$A34)*'Cálculos'!$C$98)/(('Cálculos'!$C$196+(($B$54)-$A34)*'Cálculos'!$C$98)+1400)+'Cálculos'!$C$123)*'Cálculos'!$C$221)+('Cálculos'!$C$204*(1+'Cálculos'!$C$205+$A34*('Cálculos'!$C$290=3)*'Cálculos'!$C$103)+'Cálculos'!$C$206)*('Cálculos'!$C$212+'Cálculos'!$C$124*(1+2.78*('Cálculos'!$C$196+(($B$54)-$A34)*'Cálculos'!$C$98)/(('Cálculos'!$C$196+(($B$54)-$A34)*'Cálculos'!$C$98)+1400)+'Cálculos'!$C$122)*'Cálculos'!$C$217+'Cálculos'!$C$125*(1+2.78*('Cálculos'!$C$196+(($B$54)-$A34)*'Cálculos'!$C$98)/(('Cálculos'!$C$196+(($B$54)-$A34)*'Cálculos'!$C$98)+1400)+'Cálculos'!$C$123)*'Cálculos'!$C$222)+('Cálculos'!$C$185*(1+'Cálculos'!$C$187+$A34*('Cálculos'!$C$290=1)*'Cálculos'!$C$97+'Cálculos'!$C$305)+'Cálculos'!$C$192)*('Cálculos'!$C$224+'Cálculos'!$C$124*(1+2.78*('Cálculos'!$C$197+(($B$54)-$A34)*'Cálculos'!$C$98)/(('Cálculos'!$C$197+(($B$54)-$A34)*'Cálculos'!$C$98)+1400)+'Cálculos'!$C$122)*'Cálculos'!$C$229+'Cálculos'!$C$125*(1+2.78*('Cálculos'!$C$197+(($B$54)-$A34)*'Cálculos'!$C$98)/(('Cálculos'!$C$197+(($B$54)-$A34)*'Cálculos'!$C$98)+1400)+'Cálculos'!$C$123)*'Cálculos'!$C$234)+('Cálculos'!$C$197+(($B$54)-$A34)*'Cálculos'!$C$98)*('Cálculos'!$C$225+'Cálculos'!$C$124*(1+2.78*('Cálculos'!$C$197+(($B$54)-$A34)*'Cálculos'!$C$98)/(('Cálculos'!$C$197+(($B$54)-$A34)*'Cálculos'!$C$98)+1400)+'Cálculos'!$C$122)*'Cálculos'!$C$230+'Cálculos'!$C$125*(1+2.78*('Cálculos'!$C$197+(($B$54)-$A34)*'Cálculos'!$C$98)/(('Cálculos'!$C$197+(($B$54)-$A34)*'Cálculos'!$C$98)+1400)+'Cálculos'!$C$123)*'Cálculos'!$C$235)+('Cálculos'!$C$201*(1+'Cálculos'!$C$202+$A34*('Cálculos'!$C$290=2)*'Cálculos'!$C$101)+'Cálculos'!$C$203)*('Cálculos'!$C$226+'Cálculos'!$C$124*(1+2.78*('Cálculos'!$C$197+(($B$54)-$A34)*'Cálculos'!$C$98)/(('Cálculos'!$C$197+(($B$54)-$A34)*'Cálculos'!$C$98)+1400)+'Cálculos'!$C$122)*'Cálculos'!$C$231+'Cálculos'!$C$125*(1+2.78*('Cálculos'!$C$197+(($B$54)-$A34)*'Cálculos'!$C$98)/(('Cálculos'!$C$197+(($B$54)-$A34)*'Cálculos'!$C$98)+1400)+'Cálculos'!$C$123)*'Cálculos'!$C$236)+('Cálculos'!$C$204*(1+'Cálculos'!$C$205+$A34*('Cálculos'!$C$290=3)*'Cálculos'!$C$103)+'Cálculos'!$C$206)*('Cálculos'!$C$227+'Cálculos'!$C$124*(1+2.78*('Cálculos'!$C$197+(($B$54)-$A34)*'Cálculos'!$C$98)/(('Cálculos'!$C$197+(($B$54)-$A34)*'Cálculos'!$C$98)+1400)+'Cálculos'!$C$122)*'Cálculos'!$C$232+'Cálculos'!$C$125*(1+2.78*('Cálculos'!$C$197+(($B$54)-$A34)*'Cálculos'!$C$98)/(('Cálculos'!$C$197+(($B$54)-$A34)*'Cálculos'!$C$98)+1400)+'Cálculos'!$C$123)*'Cálculos'!$C$237)+('Cálculos'!$C$185*(1+'Cálculos'!$C$188+$A34*('Cálculos'!$C$290=1)*'Cálculos'!$C$97+'Cálculos'!$C$305)+'Cálculos'!$C$193)*('Cálculos'!$C$239+'Cálculos'!$C$124*(1+2.78*('Cálculos'!$C$198+(($B$54)-$A34)*'Cálculos'!$C$98)/(('Cálculos'!$C$198+(($B$54)-$A34)*'Cálculos'!$C$98)+1400)+'Cálculos'!$C$122)*'Cálculos'!$C$244+'Cálculos'!$C$125*(1+2.78*('Cálculos'!$C$198+(($B$54)-$A34)*'Cálculos'!$C$98)/(('Cálculos'!$C$198+(($B$54)-$A34)*'Cálculos'!$C$98)+1400)+'Cálculos'!$C$123)*'Cálculos'!$C$249)+('Cálculos'!$C$198+(($B$54)-$A34)*'Cálculos'!$C$98)*('Cálculos'!$C$240+'Cálculos'!$C$124*(1+2.78*('Cálculos'!$C$198+(($B$54)-$A34)*'Cálculos'!$C$98)/(('Cálculos'!$C$198+(($B$54)-$A34)*'Cálculos'!$C$98)+1400)+'Cálculos'!$C$122)*'Cálculos'!$C$245+'Cálculos'!$C$125*(1+2.78*('Cálculos'!$C$198+(($B$54)-$A34)*'Cálculos'!$C$98)/(('Cálculos'!$C$198+(($B$54)-$A34)*'Cálculos'!$C$98)+1400)+'Cálculos'!$C$123)*'Cálculos'!$C$250)+('Cálculos'!$C$201*(1+'Cálculos'!$C$202+$A34*('Cálculos'!$C$290=2)*'Cálculos'!$C$101)+'Cálculos'!$C$203)*('Cálculos'!$C$241+'Cálculos'!$C$124*(1+2.78*('Cálculos'!$C$198+(($B$54)-$A34)*'Cálculos'!$C$98)/(('Cálculos'!$C$198+(($B$54)-$A34)*'Cálculos'!$C$98)+1400)+'Cálculos'!$C$122)*'Cálculos'!$C$246+'Cálculos'!$C$125*(1+2.78*('Cálculos'!$C$198+(($B$54)-$A34)*'Cálculos'!$C$98)/(('Cálculos'!$C$198+(($B$54)-$A34)*'Cálculos'!$C$98)+1400)+'Cálculos'!$C$123)*'Cálculos'!$C$251)+('Cálculos'!$C$204*(1+'Cálculos'!$C$205+$A34*('Cálculos'!$C$290=3)*'Cálculos'!$C$103)+'Cálculos'!$C$206)*('Cálculos'!$C$242+'Cálculos'!$C$124*(1+2.78*('Cálculos'!$C$198+(($B$54)-$A34)*'Cálculos'!$C$98)/(('Cálculos'!$C$198+(($B$54)-$A34)*'Cálculos'!$C$98)+1400)+'Cálculos'!$C$122)*'Cálculos'!$C$247+'Cálculos'!$C$125*(1+2.78*('Cálculos'!$C$198+(($B$54)-$A34)*'Cálculos'!$C$98)/(('Cálculos'!$C$198+(($B$54)-$A34)*'Cálculos'!$C$98)+1400)+'Cálculos'!$C$123)*'Cálculos'!$C$252)+('Cálculos'!$C$185*(1+'Cálculos'!$C$189+$A34*('Cálculos'!$C$290=1)*'Cálculos'!$C$97+'Cálculos'!$C$305)+'Cálculos'!$C$194)*('Cálculos'!$C$254+'Cálculos'!$C$124*(1+2.78*('Cálculos'!$C$199+(($B$54)-$A34)*'Cálculos'!$C$98)/(('Cálculos'!$C$199+(($B$54)-$A34)*'Cálculos'!$C$98)+1400)+'Cálculos'!$C$122)*'Cálculos'!$C$259+'Cálculos'!$C$125*(1+2.78*('Cálculos'!$C$199+(($B$54)-$A34)*'Cálculos'!$C$98)/(('Cálculos'!$C$199+(($B$54)-$A34)*'Cálculos'!$C$98)+1400)+'Cálculos'!$C$123)*'Cálculos'!$C$264)+('Cálculos'!$C$199+(($B$54)-$A34)*'Cálculos'!$C$98)*('Cálculos'!$C$255+'Cálculos'!$C$124*(1+2.78*('Cálculos'!$C$199+(($B$54)-$A34)*'Cálculos'!$C$98)/(('Cálculos'!$C$199+(($B$54)-$A34)*'Cálculos'!$C$98)+1400)+'Cálculos'!$C$122)*'Cálculos'!$C$260+'Cálculos'!$C$125*(1+2.78*('Cálculos'!$C$199+(($B$54)-$A34)*'Cálculos'!$C$98)/(('Cálculos'!$C$199+(($B$54)-$A34)*'Cálculos'!$C$98)+1400)+'Cálculos'!$C$123)*'Cálculos'!$C$265)+('Cálculos'!$C$201*(1+'Cálculos'!$C$202+$A34*('Cálculos'!$C$290=2)*'Cálculos'!$C$101)+'Cálculos'!$C$203)*('Cálculos'!$C$256+'Cálculos'!$C$124*(1+2.78*('Cálculos'!$C$199+(($B$54)-$A34)*'Cálculos'!$C$98)/(('Cálculos'!$C$199+(($B$54)-$A34)*'Cálculos'!$C$98)+1400)+'Cálculos'!$C$122)*'Cálculos'!$C$261+'Cálculos'!$C$125*(1+2.78*('Cálculos'!$C$199+(($B$54)-$A34)*'Cálculos'!$C$98)/(('Cálculos'!$C$199+(($B$54)-$A34)*'Cálculos'!$C$98)+1400)+'Cálculos'!$C$123)*'Cálculos'!$C$266)+('Cálculos'!$C$204*(1+'Cálculos'!$C$205+$A34*('Cálculos'!$C$290=3)*'Cálculos'!$C$103)+'Cálculos'!$C$206)*('Cálculos'!$C$257+'Cálculos'!$C$124*(1+2.78*('Cálculos'!$C$199+(($B$54)-$A34)*'Cálculos'!$C$98)/(('Cálculos'!$C$199+(($B$54)-$A34)*'Cálculos'!$C$98)+1400)+'Cálculos'!$C$122)*'Cálculos'!$C$262+'Cálculos'!$C$125*(1+2.78*('Cálculos'!$C$199+(($B$54)-$A34)*'Cálculos'!$C$98)/(('Cálculos'!$C$199+(($B$54)-$A34)*'Cálculos'!$C$98)+1400)+'Cálculos'!$C$123)*'Cálculos'!$C$267)+('Cálculos'!$C$185*(1+'Cálculos'!$C$190+$A34*('Cálculos'!$C$290=1)*'Cálculos'!$C$97+'Cálculos'!$C$305)+'Cálculos'!$C$195)*('Cálculos'!$C$269+'Cálculos'!$C$124*(1+2.78*('Cálculos'!$C$200+(($B$54)-$A34)*'Cálculos'!$C$98)/(('Cálculos'!$C$200+(($B$54)-$A34)*'Cálculos'!$C$98)+1400)+'Cálculos'!$C$122)*'Cálculos'!$C$274+'Cálculos'!$C$125*(1+2.78*('Cálculos'!$C$200+(($B$54)-$A34)*'Cálculos'!$C$98)/(('Cálculos'!$C$200+(($B$54)-$A34)*'Cálculos'!$C$98)+1400)+'Cálculos'!$C$123)*'Cálculos'!$C$279)+('Cálculos'!$C$200+(($B$54)-$A34)*'Cálculos'!$C$98)*('Cálculos'!$C$270+'Cálculos'!$C$124*(1+2.78*('Cálculos'!$C$200+(($B$54)-$A34)*'Cálculos'!$C$98)/(('Cálculos'!$C$200+(($B$54)-$A34)*'Cálculos'!$C$98)+1400)+'Cálculos'!$C$122)*'Cálculos'!$C$275+'Cálculos'!$C$125*(1+2.78*('Cálculos'!$C$200+(($B$54)-$A34)*'Cálculos'!$C$98)/(('Cálculos'!$C$200+(($B$54)-$A34)*'Cálculos'!$C$98)+1400)+'Cálculos'!$C$123)*'Cálculos'!$C$280)+('Cálculos'!$C$201*(1+'Cálculos'!$C$202+$A34*('Cálculos'!$C$290=2)*'Cálculos'!$C$101)+'Cálculos'!$C$203)*('Cálculos'!$C$271+'Cálculos'!$C$124*(1+2.78*('Cálculos'!$C$200+(($B$54)-$A34)*'Cálculos'!$C$98)/(('Cálculos'!$C$200+(($B$54)-$A34)*'Cálculos'!$C$98)+1400)+'Cálculos'!$C$122)*'Cálculos'!$C$276+'Cálculos'!$C$125*(1+2.78*('Cálculos'!$C$200+(($B$54)-$A34)*'Cálculos'!$C$98)/(('Cálculos'!$C$200+(($B$54)-$A34)*'Cálculos'!$C$98)+1400)+'Cálculos'!$C$123)*'Cálculos'!$C$281)+('Cálculos'!$C$204*(1+'Cálculos'!$C$205+$A34*('Cálculos'!$C$290=3)*'Cálculos'!$C$103)+'Cálculos'!$C$206)*('Cálculos'!$C$272+'Cálculos'!$C$124*(1+2.78*('Cálculos'!$C$200+(($B$54)-$A34)*'Cálculos'!$C$98)/(('Cálculos'!$C$200+(($B$54)-$A34)*'Cálculos'!$C$98)+1400)+'Cálculos'!$C$122)*'Cálculos'!$C$277+'Cálculos'!$C$125*(1+2.78*('Cálculos'!$C$200+(($B$54)-$A34)*'Cálculos'!$C$98)/(('Cálculos'!$C$200+(($B$54)-$A34)*'Cálculos'!$C$98)+1400)+'Cálculos'!$C$123)*'Cálculos'!$C$282)))</f>
        <v>0</v>
      </c>
    </row>
    <row r="35" ht="15.75" customHeight="1">
      <c r="A35" s="2">
        <v>29.0</v>
      </c>
      <c r="B35" s="30">
        <f>SUMPRODUCT(MAX(($A$6:$A$51&lt;=$A35)*($A$6:$A$51&lt;='Cálculos'!$C$294)*(($A35)-$A$6:$A$51&lt;='Cálculos'!$C$295)*(1+(('Cálculos'!$C$207+$A$6:$A$51*'Cálculos'!$C$95)-(('Cálculos'!$C$207+$A$6:$A$51*'Cálculos'!$C$95)&gt;1)*(('Cálculos'!$C$207+$A$6:$A$51*'Cálculos'!$C$95)-1))*('Cálculos'!$C$208+(($A35)-$A$6:$A$51)*'Cálculos'!$C$96))))</f>
        <v>4.141064</v>
      </c>
      <c r="C35" s="2">
        <f>'Cálculos'!$C$303-$A35</f>
        <v>-9</v>
      </c>
      <c r="D35" s="31">
        <f>IF($C35&lt;0,0,SUMPRODUCT(MAX(($A$6:$A$51&lt;=$C35)*($A$6:$A$51&lt;='Cálculos'!$C$301)*(($C35)-$A$6:$A$51&lt;='Cálculos'!$C$297)*(('Cálculos'!$C$185*(1+'Cálculos'!$C$186+$A$6:$A$51*('Cálculos'!$C$290=1)*'Cálculos'!$C$97+'Cálculos'!$C$305)+'Cálculos'!$C$191)*('Cálculos'!$C$209+'Cálculos'!$C$124*(1+2.78*('Cálculos'!$C$196+(($C35)-$A$6:$A$51)*'Cálculos'!$C$98)/(('Cálculos'!$C$196+(($C35)-$A$6:$A$51)*'Cálculos'!$C$98)+1400)+'Cálculos'!$C$122)*'Cálculos'!$C$214+'Cálculos'!$C$125*(1+2.78*('Cálculos'!$C$196+(($C35)-$A$6:$A$51)*'Cálculos'!$C$98)/(('Cálculos'!$C$196+(($C35)-$A$6:$A$51)*'Cálculos'!$C$98)+1400)+'Cálculos'!$C$123)*'Cálculos'!$C$219)+('Cálculos'!$C$196+(($C35)-$A$6:$A$51)*'Cálculos'!$C$98)*('Cálculos'!$C$210+'Cálculos'!$C$124*(1+2.78*('Cálculos'!$C$196+(($C35)-$A$6:$A$51)*'Cálculos'!$C$98)/(('Cálculos'!$C$196+(($C35)-$A$6:$A$51)*'Cálculos'!$C$98)+1400)+'Cálculos'!$C$122)*'Cálculos'!$C$215+'Cálculos'!$C$125*(1+2.78*('Cálculos'!$C$196+(($C35)-$A$6:$A$51)*'Cálculos'!$C$98)/(('Cálculos'!$C$196+(($C35)-$A$6:$A$51)*'Cálculos'!$C$98)+1400)+'Cálculos'!$C$123)*'Cálculos'!$C$220)+('Cálculos'!$C$201*(1+'Cálculos'!$C$202+$A$6:$A$51*('Cálculos'!$C$290=2)*'Cálculos'!$C$101)+'Cálculos'!$C$203)*('Cálculos'!$C$211+'Cálculos'!$C$124*(1+2.78*('Cálculos'!$C$196+(($C35)-$A$6:$A$51)*'Cálculos'!$C$98)/(('Cálculos'!$C$196+(($C35)-$A$6:$A$51)*'Cálculos'!$C$98)+1400)+'Cálculos'!$C$122)*'Cálculos'!$C$216+'Cálculos'!$C$125*(1+2.78*('Cálculos'!$C$196+(($C35)-$A$6:$A$51)*'Cálculos'!$C$98)/(('Cálculos'!$C$196+(($C35)-$A$6:$A$51)*'Cálculos'!$C$98)+1400)+'Cálculos'!$C$123)*'Cálculos'!$C$221)+('Cálculos'!$C$204*(1+'Cálculos'!$C$205+$A$6:$A$51*('Cálculos'!$C$290=3)*'Cálculos'!$C$103)+'Cálculos'!$C$206)*('Cálculos'!$C$212+'Cálculos'!$C$124*(1+2.78*('Cálculos'!$C$196+(($C35)-$A$6:$A$51)*'Cálculos'!$C$98)/(('Cálculos'!$C$196+(($C35)-$A$6:$A$51)*'Cálculos'!$C$98)+1400)+'Cálculos'!$C$122)*'Cálculos'!$C$217+'Cálculos'!$C$125*(1+2.78*('Cálculos'!$C$196+(($C35)-$A$6:$A$51)*'Cálculos'!$C$98)/(('Cálculos'!$C$196+(($C35)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35)-$A$6:$A$51)*'Cálculos'!$C$98)/(('Cálculos'!$C$197+(($C35)-$A$6:$A$51)*'Cálculos'!$C$98)+1400)+'Cálculos'!$C$122)*'Cálculos'!$C$229+'Cálculos'!$C$125*(1+2.78*('Cálculos'!$C$197+(($C35)-$A$6:$A$51)*'Cálculos'!$C$98)/(('Cálculos'!$C$197+(($C35)-$A$6:$A$51)*'Cálculos'!$C$98)+1400)+'Cálculos'!$C$123)*'Cálculos'!$C$234)+('Cálculos'!$C$197+(($C35)-$A$6:$A$51)*'Cálculos'!$C$98)*('Cálculos'!$C$225+'Cálculos'!$C$124*(1+2.78*('Cálculos'!$C$197+(($C35)-$A$6:$A$51)*'Cálculos'!$C$98)/(('Cálculos'!$C$197+(($C35)-$A$6:$A$51)*'Cálculos'!$C$98)+1400)+'Cálculos'!$C$122)*'Cálculos'!$C$230+'Cálculos'!$C$125*(1+2.78*('Cálculos'!$C$197+(($C35)-$A$6:$A$51)*'Cálculos'!$C$98)/(('Cálculos'!$C$197+(($C35)-$A$6:$A$51)*'Cálculos'!$C$98)+1400)+'Cálculos'!$C$123)*'Cálculos'!$C$235)+('Cálculos'!$C$201*(1+'Cálculos'!$C$202+$A$6:$A$51*('Cálculos'!$C$290=2)*'Cálculos'!$C$101)+'Cálculos'!$C$203)*('Cálculos'!$C$226+'Cálculos'!$C$124*(1+2.78*('Cálculos'!$C$197+(($C35)-$A$6:$A$51)*'Cálculos'!$C$98)/(('Cálculos'!$C$197+(($C35)-$A$6:$A$51)*'Cálculos'!$C$98)+1400)+'Cálculos'!$C$122)*'Cálculos'!$C$231+'Cálculos'!$C$125*(1+2.78*('Cálculos'!$C$197+(($C35)-$A$6:$A$51)*'Cálculos'!$C$98)/(('Cálculos'!$C$197+(($C35)-$A$6:$A$51)*'Cálculos'!$C$98)+1400)+'Cálculos'!$C$123)*'Cálculos'!$C$236)+('Cálculos'!$C$204*(1+'Cálculos'!$C$205+$A$6:$A$51*('Cálculos'!$C$290=3)*'Cálculos'!$C$103)+'Cálculos'!$C$206)*('Cálculos'!$C$227+'Cálculos'!$C$124*(1+2.78*('Cálculos'!$C$197+(($C35)-$A$6:$A$51)*'Cálculos'!$C$98)/(('Cálculos'!$C$197+(($C35)-$A$6:$A$51)*'Cálculos'!$C$98)+1400)+'Cálculos'!$C$122)*'Cálculos'!$C$232+'Cálculos'!$C$125*(1+2.78*('Cálculos'!$C$197+(($C35)-$A$6:$A$51)*'Cálculos'!$C$98)/(('Cálculos'!$C$197+(($C35)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35)-$A$6:$A$51)*'Cálculos'!$C$98)/(('Cálculos'!$C$198+(($C35)-$A$6:$A$51)*'Cálculos'!$C$98)+1400)+'Cálculos'!$C$122)*'Cálculos'!$C$244+'Cálculos'!$C$125*(1+2.78*('Cálculos'!$C$198+(($C35)-$A$6:$A$51)*'Cálculos'!$C$98)/(('Cálculos'!$C$198+(($C35)-$A$6:$A$51)*'Cálculos'!$C$98)+1400)+'Cálculos'!$C$123)*'Cálculos'!$C$249)+('Cálculos'!$C$198+(($C35)-$A$6:$A$51)*'Cálculos'!$C$98)*('Cálculos'!$C$240+'Cálculos'!$C$124*(1+2.78*('Cálculos'!$C$198+(($C35)-$A$6:$A$51)*'Cálculos'!$C$98)/(('Cálculos'!$C$198+(($C35)-$A$6:$A$51)*'Cálculos'!$C$98)+1400)+'Cálculos'!$C$122)*'Cálculos'!$C$245+'Cálculos'!$C$125*(1+2.78*('Cálculos'!$C$198+(($C35)-$A$6:$A$51)*'Cálculos'!$C$98)/(('Cálculos'!$C$198+(($C35)-$A$6:$A$51)*'Cálculos'!$C$98)+1400)+'Cálculos'!$C$123)*'Cálculos'!$C$250)+('Cálculos'!$C$201*(1+'Cálculos'!$C$202+$A$6:$A$51*('Cálculos'!$C$290=2)*'Cálculos'!$C$101)+'Cálculos'!$C$203)*('Cálculos'!$C$241+'Cálculos'!$C$124*(1+2.78*('Cálculos'!$C$198+(($C35)-$A$6:$A$51)*'Cálculos'!$C$98)/(('Cálculos'!$C$198+(($C35)-$A$6:$A$51)*'Cálculos'!$C$98)+1400)+'Cálculos'!$C$122)*'Cálculos'!$C$246+'Cálculos'!$C$125*(1+2.78*('Cálculos'!$C$198+(($C35)-$A$6:$A$51)*'Cálculos'!$C$98)/(('Cálculos'!$C$198+(($C35)-$A$6:$A$51)*'Cálculos'!$C$98)+1400)+'Cálculos'!$C$123)*'Cálculos'!$C$251)+('Cálculos'!$C$204*(1+'Cálculos'!$C$205+$A$6:$A$51*('Cálculos'!$C$290=3)*'Cálculos'!$C$103)+'Cálculos'!$C$206)*('Cálculos'!$C$242+'Cálculos'!$C$124*(1+2.78*('Cálculos'!$C$198+(($C35)-$A$6:$A$51)*'Cálculos'!$C$98)/(('Cálculos'!$C$198+(($C35)-$A$6:$A$51)*'Cálculos'!$C$98)+1400)+'Cálculos'!$C$122)*'Cálculos'!$C$247+'Cálculos'!$C$125*(1+2.78*('Cálculos'!$C$198+(($C35)-$A$6:$A$51)*'Cálculos'!$C$98)/(('Cálculos'!$C$198+(($C35)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35)-$A$6:$A$51)*'Cálculos'!$C$98)/(('Cálculos'!$C$199+(($C35)-$A$6:$A$51)*'Cálculos'!$C$98)+1400)+'Cálculos'!$C$122)*'Cálculos'!$C$259+'Cálculos'!$C$125*(1+2.78*('Cálculos'!$C$199+(($C35)-$A$6:$A$51)*'Cálculos'!$C$98)/(('Cálculos'!$C$199+(($C35)-$A$6:$A$51)*'Cálculos'!$C$98)+1400)+'Cálculos'!$C$123)*'Cálculos'!$C$264)+('Cálculos'!$C$199+(($C35)-$A$6:$A$51)*'Cálculos'!$C$98)*('Cálculos'!$C$255+'Cálculos'!$C$124*(1+2.78*('Cálculos'!$C$199+(($C35)-$A$6:$A$51)*'Cálculos'!$C$98)/(('Cálculos'!$C$199+(($C35)-$A$6:$A$51)*'Cálculos'!$C$98)+1400)+'Cálculos'!$C$122)*'Cálculos'!$C$260+'Cálculos'!$C$125*(1+2.78*('Cálculos'!$C$199+(($C35)-$A$6:$A$51)*'Cálculos'!$C$98)/(('Cálculos'!$C$199+(($C35)-$A$6:$A$51)*'Cálculos'!$C$98)+1400)+'Cálculos'!$C$123)*'Cálculos'!$C$265)+('Cálculos'!$C$201*(1+'Cálculos'!$C$202+$A$6:$A$51*('Cálculos'!$C$290=2)*'Cálculos'!$C$101)+'Cálculos'!$C$203)*('Cálculos'!$C$256+'Cálculos'!$C$124*(1+2.78*('Cálculos'!$C$199+(($C35)-$A$6:$A$51)*'Cálculos'!$C$98)/(('Cálculos'!$C$199+(($C35)-$A$6:$A$51)*'Cálculos'!$C$98)+1400)+'Cálculos'!$C$122)*'Cálculos'!$C$261+'Cálculos'!$C$125*(1+2.78*('Cálculos'!$C$199+(($C35)-$A$6:$A$51)*'Cálculos'!$C$98)/(('Cálculos'!$C$199+(($C35)-$A$6:$A$51)*'Cálculos'!$C$98)+1400)+'Cálculos'!$C$123)*'Cálculos'!$C$266)+('Cálculos'!$C$204*(1+'Cálculos'!$C$205+$A$6:$A$51*('Cálculos'!$C$290=3)*'Cálculos'!$C$103)+'Cálculos'!$C$206)*('Cálculos'!$C$257+'Cálculos'!$C$124*(1+2.78*('Cálculos'!$C$199+(($C35)-$A$6:$A$51)*'Cálculos'!$C$98)/(('Cálculos'!$C$199+(($C35)-$A$6:$A$51)*'Cálculos'!$C$98)+1400)+'Cálculos'!$C$122)*'Cálculos'!$C$262+'Cálculos'!$C$125*(1+2.78*('Cálculos'!$C$199+(($C35)-$A$6:$A$51)*'Cálculos'!$C$98)/(('Cálculos'!$C$199+(($C35)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35)-$A$6:$A$51)*'Cálculos'!$C$98)/(('Cálculos'!$C$200+(($C35)-$A$6:$A$51)*'Cálculos'!$C$98)+1400)+'Cálculos'!$C$122)*'Cálculos'!$C$274+'Cálculos'!$C$125*(1+2.78*('Cálculos'!$C$200+(($C35)-$A$6:$A$51)*'Cálculos'!$C$98)/(('Cálculos'!$C$200+(($C35)-$A$6:$A$51)*'Cálculos'!$C$98)+1400)+'Cálculos'!$C$123)*'Cálculos'!$C$279)+('Cálculos'!$C$200+(($C35)-$A$6:$A$51)*'Cálculos'!$C$98)*('Cálculos'!$C$270+'Cálculos'!$C$124*(1+2.78*('Cálculos'!$C$200+(($C35)-$A$6:$A$51)*'Cálculos'!$C$98)/(('Cálculos'!$C$200+(($C35)-$A$6:$A$51)*'Cálculos'!$C$98)+1400)+'Cálculos'!$C$122)*'Cálculos'!$C$275+'Cálculos'!$C$125*(1+2.78*('Cálculos'!$C$200+(($C35)-$A$6:$A$51)*'Cálculos'!$C$98)/(('Cálculos'!$C$200+(($C35)-$A$6:$A$51)*'Cálculos'!$C$98)+1400)+'Cálculos'!$C$123)*'Cálculos'!$C$280)+('Cálculos'!$C$201*(1+'Cálculos'!$C$202+$A$6:$A$51*('Cálculos'!$C$290=2)*'Cálculos'!$C$101)+'Cálculos'!$C$203)*('Cálculos'!$C$271+'Cálculos'!$C$124*(1+2.78*('Cálculos'!$C$200+(($C35)-$A$6:$A$51)*'Cálculos'!$C$98)/(('Cálculos'!$C$200+(($C35)-$A$6:$A$51)*'Cálculos'!$C$98)+1400)+'Cálculos'!$C$122)*'Cálculos'!$C$276+'Cálculos'!$C$125*(1+2.78*('Cálculos'!$C$200+(($C35)-$A$6:$A$51)*'Cálculos'!$C$98)/(('Cálculos'!$C$200+(($C35)-$A$6:$A$51)*'Cálculos'!$C$98)+1400)+'Cálculos'!$C$123)*'Cálculos'!$C$281)+('Cálculos'!$C$204*(1+'Cálculos'!$C$205+$A$6:$A$51*('Cálculos'!$C$290=3)*'Cálculos'!$C$103)+'Cálculos'!$C$206)*('Cálculos'!$C$272+'Cálculos'!$C$124*(1+2.78*('Cálculos'!$C$200+(($C35)-$A$6:$A$51)*'Cálculos'!$C$98)/(('Cálculos'!$C$200+(($C35)-$A$6:$A$51)*'Cálculos'!$C$98)+1400)+'Cálculos'!$C$122)*'Cálculos'!$C$277+'Cálculos'!$C$125*(1+2.78*('Cálculos'!$C$200+(($C35)-$A$6:$A$51)*'Cálculos'!$C$98)/(('Cálculos'!$C$200+(($C35)-$A$6:$A$51)*'Cálculos'!$C$98)+1400)+'Cálculos'!$C$123)*'Cálculos'!$C$282)))))</f>
        <v>0</v>
      </c>
      <c r="E35" s="32">
        <f>IF(OR($C35&lt;0,'Cálculos'!$C$6=""),0,$B35*$D35)</f>
        <v>0</v>
      </c>
      <c r="F35" s="2"/>
      <c r="G35" s="30">
        <f>($A35&lt;=$B$53)*($A35&lt;='Cálculos'!$C$294)*(($B$53)-$A35&lt;='Cálculos'!$C$295)*(1+MIN(('Cálculos'!$C$207+$A35*'Cálculos'!$C$95),1)*('Cálculos'!$C$208+(($B$53)-$A35)*'Cálculos'!$C$96))</f>
        <v>0</v>
      </c>
      <c r="H35" s="31">
        <f>IF($B$54&lt;0,0,($A35&lt;=$B$54)*($A35&lt;='Cálculos'!$C$301)*(($B$54)-$A35&lt;='Cálculos'!$C$297)*(('Cálculos'!$C$185*(1+'Cálculos'!$C$186+$A35*('Cálculos'!$C$290=1)*'Cálculos'!$C$97+'Cálculos'!$C$305)+'Cálculos'!$C$191)*('Cálculos'!$C$209+'Cálculos'!$C$124*(1+2.78*('Cálculos'!$C$196+(($B$54)-$A35)*'Cálculos'!$C$98)/(('Cálculos'!$C$196+(($B$54)-$A35)*'Cálculos'!$C$98)+1400)+'Cálculos'!$C$122)*'Cálculos'!$C$214+'Cálculos'!$C$125*(1+2.78*('Cálculos'!$C$196+(($B$54)-$A35)*'Cálculos'!$C$98)/(('Cálculos'!$C$196+(($B$54)-$A35)*'Cálculos'!$C$98)+1400)+'Cálculos'!$C$123)*'Cálculos'!$C$219)+('Cálculos'!$C$196+(($B$54)-$A35)*'Cálculos'!$C$98)*('Cálculos'!$C$210+'Cálculos'!$C$124*(1+2.78*('Cálculos'!$C$196+(($B$54)-$A35)*'Cálculos'!$C$98)/(('Cálculos'!$C$196+(($B$54)-$A35)*'Cálculos'!$C$98)+1400)+'Cálculos'!$C$122)*'Cálculos'!$C$215+'Cálculos'!$C$125*(1+2.78*('Cálculos'!$C$196+(($B$54)-$A35)*'Cálculos'!$C$98)/(('Cálculos'!$C$196+(($B$54)-$A35)*'Cálculos'!$C$98)+1400)+'Cálculos'!$C$123)*'Cálculos'!$C$220)+('Cálculos'!$C$201*(1+'Cálculos'!$C$202+$A35*('Cálculos'!$C$290=2)*'Cálculos'!$C$101)+'Cálculos'!$C$203)*('Cálculos'!$C$211+'Cálculos'!$C$124*(1+2.78*('Cálculos'!$C$196+(($B$54)-$A35)*'Cálculos'!$C$98)/(('Cálculos'!$C$196+(($B$54)-$A35)*'Cálculos'!$C$98)+1400)+'Cálculos'!$C$122)*'Cálculos'!$C$216+'Cálculos'!$C$125*(1+2.78*('Cálculos'!$C$196+(($B$54)-$A35)*'Cálculos'!$C$98)/(('Cálculos'!$C$196+(($B$54)-$A35)*'Cálculos'!$C$98)+1400)+'Cálculos'!$C$123)*'Cálculos'!$C$221)+('Cálculos'!$C$204*(1+'Cálculos'!$C$205+$A35*('Cálculos'!$C$290=3)*'Cálculos'!$C$103)+'Cálculos'!$C$206)*('Cálculos'!$C$212+'Cálculos'!$C$124*(1+2.78*('Cálculos'!$C$196+(($B$54)-$A35)*'Cálculos'!$C$98)/(('Cálculos'!$C$196+(($B$54)-$A35)*'Cálculos'!$C$98)+1400)+'Cálculos'!$C$122)*'Cálculos'!$C$217+'Cálculos'!$C$125*(1+2.78*('Cálculos'!$C$196+(($B$54)-$A35)*'Cálculos'!$C$98)/(('Cálculos'!$C$196+(($B$54)-$A35)*'Cálculos'!$C$98)+1400)+'Cálculos'!$C$123)*'Cálculos'!$C$222)+('Cálculos'!$C$185*(1+'Cálculos'!$C$187+$A35*('Cálculos'!$C$290=1)*'Cálculos'!$C$97+'Cálculos'!$C$305)+'Cálculos'!$C$192)*('Cálculos'!$C$224+'Cálculos'!$C$124*(1+2.78*('Cálculos'!$C$197+(($B$54)-$A35)*'Cálculos'!$C$98)/(('Cálculos'!$C$197+(($B$54)-$A35)*'Cálculos'!$C$98)+1400)+'Cálculos'!$C$122)*'Cálculos'!$C$229+'Cálculos'!$C$125*(1+2.78*('Cálculos'!$C$197+(($B$54)-$A35)*'Cálculos'!$C$98)/(('Cálculos'!$C$197+(($B$54)-$A35)*'Cálculos'!$C$98)+1400)+'Cálculos'!$C$123)*'Cálculos'!$C$234)+('Cálculos'!$C$197+(($B$54)-$A35)*'Cálculos'!$C$98)*('Cálculos'!$C$225+'Cálculos'!$C$124*(1+2.78*('Cálculos'!$C$197+(($B$54)-$A35)*'Cálculos'!$C$98)/(('Cálculos'!$C$197+(($B$54)-$A35)*'Cálculos'!$C$98)+1400)+'Cálculos'!$C$122)*'Cálculos'!$C$230+'Cálculos'!$C$125*(1+2.78*('Cálculos'!$C$197+(($B$54)-$A35)*'Cálculos'!$C$98)/(('Cálculos'!$C$197+(($B$54)-$A35)*'Cálculos'!$C$98)+1400)+'Cálculos'!$C$123)*'Cálculos'!$C$235)+('Cálculos'!$C$201*(1+'Cálculos'!$C$202+$A35*('Cálculos'!$C$290=2)*'Cálculos'!$C$101)+'Cálculos'!$C$203)*('Cálculos'!$C$226+'Cálculos'!$C$124*(1+2.78*('Cálculos'!$C$197+(($B$54)-$A35)*'Cálculos'!$C$98)/(('Cálculos'!$C$197+(($B$54)-$A35)*'Cálculos'!$C$98)+1400)+'Cálculos'!$C$122)*'Cálculos'!$C$231+'Cálculos'!$C$125*(1+2.78*('Cálculos'!$C$197+(($B$54)-$A35)*'Cálculos'!$C$98)/(('Cálculos'!$C$197+(($B$54)-$A35)*'Cálculos'!$C$98)+1400)+'Cálculos'!$C$123)*'Cálculos'!$C$236)+('Cálculos'!$C$204*(1+'Cálculos'!$C$205+$A35*('Cálculos'!$C$290=3)*'Cálculos'!$C$103)+'Cálculos'!$C$206)*('Cálculos'!$C$227+'Cálculos'!$C$124*(1+2.78*('Cálculos'!$C$197+(($B$54)-$A35)*'Cálculos'!$C$98)/(('Cálculos'!$C$197+(($B$54)-$A35)*'Cálculos'!$C$98)+1400)+'Cálculos'!$C$122)*'Cálculos'!$C$232+'Cálculos'!$C$125*(1+2.78*('Cálculos'!$C$197+(($B$54)-$A35)*'Cálculos'!$C$98)/(('Cálculos'!$C$197+(($B$54)-$A35)*'Cálculos'!$C$98)+1400)+'Cálculos'!$C$123)*'Cálculos'!$C$237)+('Cálculos'!$C$185*(1+'Cálculos'!$C$188+$A35*('Cálculos'!$C$290=1)*'Cálculos'!$C$97+'Cálculos'!$C$305)+'Cálculos'!$C$193)*('Cálculos'!$C$239+'Cálculos'!$C$124*(1+2.78*('Cálculos'!$C$198+(($B$54)-$A35)*'Cálculos'!$C$98)/(('Cálculos'!$C$198+(($B$54)-$A35)*'Cálculos'!$C$98)+1400)+'Cálculos'!$C$122)*'Cálculos'!$C$244+'Cálculos'!$C$125*(1+2.78*('Cálculos'!$C$198+(($B$54)-$A35)*'Cálculos'!$C$98)/(('Cálculos'!$C$198+(($B$54)-$A35)*'Cálculos'!$C$98)+1400)+'Cálculos'!$C$123)*'Cálculos'!$C$249)+('Cálculos'!$C$198+(($B$54)-$A35)*'Cálculos'!$C$98)*('Cálculos'!$C$240+'Cálculos'!$C$124*(1+2.78*('Cálculos'!$C$198+(($B$54)-$A35)*'Cálculos'!$C$98)/(('Cálculos'!$C$198+(($B$54)-$A35)*'Cálculos'!$C$98)+1400)+'Cálculos'!$C$122)*'Cálculos'!$C$245+'Cálculos'!$C$125*(1+2.78*('Cálculos'!$C$198+(($B$54)-$A35)*'Cálculos'!$C$98)/(('Cálculos'!$C$198+(($B$54)-$A35)*'Cálculos'!$C$98)+1400)+'Cálculos'!$C$123)*'Cálculos'!$C$250)+('Cálculos'!$C$201*(1+'Cálculos'!$C$202+$A35*('Cálculos'!$C$290=2)*'Cálculos'!$C$101)+'Cálculos'!$C$203)*('Cálculos'!$C$241+'Cálculos'!$C$124*(1+2.78*('Cálculos'!$C$198+(($B$54)-$A35)*'Cálculos'!$C$98)/(('Cálculos'!$C$198+(($B$54)-$A35)*'Cálculos'!$C$98)+1400)+'Cálculos'!$C$122)*'Cálculos'!$C$246+'Cálculos'!$C$125*(1+2.78*('Cálculos'!$C$198+(($B$54)-$A35)*'Cálculos'!$C$98)/(('Cálculos'!$C$198+(($B$54)-$A35)*'Cálculos'!$C$98)+1400)+'Cálculos'!$C$123)*'Cálculos'!$C$251)+('Cálculos'!$C$204*(1+'Cálculos'!$C$205+$A35*('Cálculos'!$C$290=3)*'Cálculos'!$C$103)+'Cálculos'!$C$206)*('Cálculos'!$C$242+'Cálculos'!$C$124*(1+2.78*('Cálculos'!$C$198+(($B$54)-$A35)*'Cálculos'!$C$98)/(('Cálculos'!$C$198+(($B$54)-$A35)*'Cálculos'!$C$98)+1400)+'Cálculos'!$C$122)*'Cálculos'!$C$247+'Cálculos'!$C$125*(1+2.78*('Cálculos'!$C$198+(($B$54)-$A35)*'Cálculos'!$C$98)/(('Cálculos'!$C$198+(($B$54)-$A35)*'Cálculos'!$C$98)+1400)+'Cálculos'!$C$123)*'Cálculos'!$C$252)+('Cálculos'!$C$185*(1+'Cálculos'!$C$189+$A35*('Cálculos'!$C$290=1)*'Cálculos'!$C$97+'Cálculos'!$C$305)+'Cálculos'!$C$194)*('Cálculos'!$C$254+'Cálculos'!$C$124*(1+2.78*('Cálculos'!$C$199+(($B$54)-$A35)*'Cálculos'!$C$98)/(('Cálculos'!$C$199+(($B$54)-$A35)*'Cálculos'!$C$98)+1400)+'Cálculos'!$C$122)*'Cálculos'!$C$259+'Cálculos'!$C$125*(1+2.78*('Cálculos'!$C$199+(($B$54)-$A35)*'Cálculos'!$C$98)/(('Cálculos'!$C$199+(($B$54)-$A35)*'Cálculos'!$C$98)+1400)+'Cálculos'!$C$123)*'Cálculos'!$C$264)+('Cálculos'!$C$199+(($B$54)-$A35)*'Cálculos'!$C$98)*('Cálculos'!$C$255+'Cálculos'!$C$124*(1+2.78*('Cálculos'!$C$199+(($B$54)-$A35)*'Cálculos'!$C$98)/(('Cálculos'!$C$199+(($B$54)-$A35)*'Cálculos'!$C$98)+1400)+'Cálculos'!$C$122)*'Cálculos'!$C$260+'Cálculos'!$C$125*(1+2.78*('Cálculos'!$C$199+(($B$54)-$A35)*'Cálculos'!$C$98)/(('Cálculos'!$C$199+(($B$54)-$A35)*'Cálculos'!$C$98)+1400)+'Cálculos'!$C$123)*'Cálculos'!$C$265)+('Cálculos'!$C$201*(1+'Cálculos'!$C$202+$A35*('Cálculos'!$C$290=2)*'Cálculos'!$C$101)+'Cálculos'!$C$203)*('Cálculos'!$C$256+'Cálculos'!$C$124*(1+2.78*('Cálculos'!$C$199+(($B$54)-$A35)*'Cálculos'!$C$98)/(('Cálculos'!$C$199+(($B$54)-$A35)*'Cálculos'!$C$98)+1400)+'Cálculos'!$C$122)*'Cálculos'!$C$261+'Cálculos'!$C$125*(1+2.78*('Cálculos'!$C$199+(($B$54)-$A35)*'Cálculos'!$C$98)/(('Cálculos'!$C$199+(($B$54)-$A35)*'Cálculos'!$C$98)+1400)+'Cálculos'!$C$123)*'Cálculos'!$C$266)+('Cálculos'!$C$204*(1+'Cálculos'!$C$205+$A35*('Cálculos'!$C$290=3)*'Cálculos'!$C$103)+'Cálculos'!$C$206)*('Cálculos'!$C$257+'Cálculos'!$C$124*(1+2.78*('Cálculos'!$C$199+(($B$54)-$A35)*'Cálculos'!$C$98)/(('Cálculos'!$C$199+(($B$54)-$A35)*'Cálculos'!$C$98)+1400)+'Cálculos'!$C$122)*'Cálculos'!$C$262+'Cálculos'!$C$125*(1+2.78*('Cálculos'!$C$199+(($B$54)-$A35)*'Cálculos'!$C$98)/(('Cálculos'!$C$199+(($B$54)-$A35)*'Cálculos'!$C$98)+1400)+'Cálculos'!$C$123)*'Cálculos'!$C$267)+('Cálculos'!$C$185*(1+'Cálculos'!$C$190+$A35*('Cálculos'!$C$290=1)*'Cálculos'!$C$97+'Cálculos'!$C$305)+'Cálculos'!$C$195)*('Cálculos'!$C$269+'Cálculos'!$C$124*(1+2.78*('Cálculos'!$C$200+(($B$54)-$A35)*'Cálculos'!$C$98)/(('Cálculos'!$C$200+(($B$54)-$A35)*'Cálculos'!$C$98)+1400)+'Cálculos'!$C$122)*'Cálculos'!$C$274+'Cálculos'!$C$125*(1+2.78*('Cálculos'!$C$200+(($B$54)-$A35)*'Cálculos'!$C$98)/(('Cálculos'!$C$200+(($B$54)-$A35)*'Cálculos'!$C$98)+1400)+'Cálculos'!$C$123)*'Cálculos'!$C$279)+('Cálculos'!$C$200+(($B$54)-$A35)*'Cálculos'!$C$98)*('Cálculos'!$C$270+'Cálculos'!$C$124*(1+2.78*('Cálculos'!$C$200+(($B$54)-$A35)*'Cálculos'!$C$98)/(('Cálculos'!$C$200+(($B$54)-$A35)*'Cálculos'!$C$98)+1400)+'Cálculos'!$C$122)*'Cálculos'!$C$275+'Cálculos'!$C$125*(1+2.78*('Cálculos'!$C$200+(($B$54)-$A35)*'Cálculos'!$C$98)/(('Cálculos'!$C$200+(($B$54)-$A35)*'Cálculos'!$C$98)+1400)+'Cálculos'!$C$123)*'Cálculos'!$C$280)+('Cálculos'!$C$201*(1+'Cálculos'!$C$202+$A35*('Cálculos'!$C$290=2)*'Cálculos'!$C$101)+'Cálculos'!$C$203)*('Cálculos'!$C$271+'Cálculos'!$C$124*(1+2.78*('Cálculos'!$C$200+(($B$54)-$A35)*'Cálculos'!$C$98)/(('Cálculos'!$C$200+(($B$54)-$A35)*'Cálculos'!$C$98)+1400)+'Cálculos'!$C$122)*'Cálculos'!$C$276+'Cálculos'!$C$125*(1+2.78*('Cálculos'!$C$200+(($B$54)-$A35)*'Cálculos'!$C$98)/(('Cálculos'!$C$200+(($B$54)-$A35)*'Cálculos'!$C$98)+1400)+'Cálculos'!$C$123)*'Cálculos'!$C$281)+('Cálculos'!$C$204*(1+'Cálculos'!$C$205+$A35*('Cálculos'!$C$290=3)*'Cálculos'!$C$103)+'Cálculos'!$C$206)*('Cálculos'!$C$272+'Cálculos'!$C$124*(1+2.78*('Cálculos'!$C$200+(($B$54)-$A35)*'Cálculos'!$C$98)/(('Cálculos'!$C$200+(($B$54)-$A35)*'Cálculos'!$C$98)+1400)+'Cálculos'!$C$122)*'Cálculos'!$C$277+'Cálculos'!$C$125*(1+2.78*('Cálculos'!$C$200+(($B$54)-$A35)*'Cálculos'!$C$98)/(('Cálculos'!$C$200+(($B$54)-$A35)*'Cálculos'!$C$98)+1400)+'Cálculos'!$C$123)*'Cálculos'!$C$282)))</f>
        <v>0</v>
      </c>
    </row>
    <row r="36" ht="15.75" customHeight="1">
      <c r="A36" s="2">
        <v>30.0</v>
      </c>
      <c r="B36" s="30">
        <f>SUMPRODUCT(MAX(($A$6:$A$51&lt;=$A36)*($A$6:$A$51&lt;='Cálculos'!$C$294)*(($A36)-$A$6:$A$51&lt;='Cálculos'!$C$295)*(1+(('Cálculos'!$C$207+$A$6:$A$51*'Cálculos'!$C$95)-(('Cálculos'!$C$207+$A$6:$A$51*'Cálculos'!$C$95)&gt;1)*(('Cálculos'!$C$207+$A$6:$A$51*'Cálculos'!$C$95)-1))*('Cálculos'!$C$208+(($A36)-$A$6:$A$51)*'Cálculos'!$C$96))))</f>
        <v>4.206338</v>
      </c>
      <c r="C36" s="2">
        <f>'Cálculos'!$C$303-$A36</f>
        <v>-10</v>
      </c>
      <c r="D36" s="31">
        <f>IF($C36&lt;0,0,SUMPRODUCT(MAX(($A$6:$A$51&lt;=$C36)*($A$6:$A$51&lt;='Cálculos'!$C$301)*(($C36)-$A$6:$A$51&lt;='Cálculos'!$C$297)*(('Cálculos'!$C$185*(1+'Cálculos'!$C$186+$A$6:$A$51*('Cálculos'!$C$290=1)*'Cálculos'!$C$97+'Cálculos'!$C$305)+'Cálculos'!$C$191)*('Cálculos'!$C$209+'Cálculos'!$C$124*(1+2.78*('Cálculos'!$C$196+(($C36)-$A$6:$A$51)*'Cálculos'!$C$98)/(('Cálculos'!$C$196+(($C36)-$A$6:$A$51)*'Cálculos'!$C$98)+1400)+'Cálculos'!$C$122)*'Cálculos'!$C$214+'Cálculos'!$C$125*(1+2.78*('Cálculos'!$C$196+(($C36)-$A$6:$A$51)*'Cálculos'!$C$98)/(('Cálculos'!$C$196+(($C36)-$A$6:$A$51)*'Cálculos'!$C$98)+1400)+'Cálculos'!$C$123)*'Cálculos'!$C$219)+('Cálculos'!$C$196+(($C36)-$A$6:$A$51)*'Cálculos'!$C$98)*('Cálculos'!$C$210+'Cálculos'!$C$124*(1+2.78*('Cálculos'!$C$196+(($C36)-$A$6:$A$51)*'Cálculos'!$C$98)/(('Cálculos'!$C$196+(($C36)-$A$6:$A$51)*'Cálculos'!$C$98)+1400)+'Cálculos'!$C$122)*'Cálculos'!$C$215+'Cálculos'!$C$125*(1+2.78*('Cálculos'!$C$196+(($C36)-$A$6:$A$51)*'Cálculos'!$C$98)/(('Cálculos'!$C$196+(($C36)-$A$6:$A$51)*'Cálculos'!$C$98)+1400)+'Cálculos'!$C$123)*'Cálculos'!$C$220)+('Cálculos'!$C$201*(1+'Cálculos'!$C$202+$A$6:$A$51*('Cálculos'!$C$290=2)*'Cálculos'!$C$101)+'Cálculos'!$C$203)*('Cálculos'!$C$211+'Cálculos'!$C$124*(1+2.78*('Cálculos'!$C$196+(($C36)-$A$6:$A$51)*'Cálculos'!$C$98)/(('Cálculos'!$C$196+(($C36)-$A$6:$A$51)*'Cálculos'!$C$98)+1400)+'Cálculos'!$C$122)*'Cálculos'!$C$216+'Cálculos'!$C$125*(1+2.78*('Cálculos'!$C$196+(($C36)-$A$6:$A$51)*'Cálculos'!$C$98)/(('Cálculos'!$C$196+(($C36)-$A$6:$A$51)*'Cálculos'!$C$98)+1400)+'Cálculos'!$C$123)*'Cálculos'!$C$221)+('Cálculos'!$C$204*(1+'Cálculos'!$C$205+$A$6:$A$51*('Cálculos'!$C$290=3)*'Cálculos'!$C$103)+'Cálculos'!$C$206)*('Cálculos'!$C$212+'Cálculos'!$C$124*(1+2.78*('Cálculos'!$C$196+(($C36)-$A$6:$A$51)*'Cálculos'!$C$98)/(('Cálculos'!$C$196+(($C36)-$A$6:$A$51)*'Cálculos'!$C$98)+1400)+'Cálculos'!$C$122)*'Cálculos'!$C$217+'Cálculos'!$C$125*(1+2.78*('Cálculos'!$C$196+(($C36)-$A$6:$A$51)*'Cálculos'!$C$98)/(('Cálculos'!$C$196+(($C36)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36)-$A$6:$A$51)*'Cálculos'!$C$98)/(('Cálculos'!$C$197+(($C36)-$A$6:$A$51)*'Cálculos'!$C$98)+1400)+'Cálculos'!$C$122)*'Cálculos'!$C$229+'Cálculos'!$C$125*(1+2.78*('Cálculos'!$C$197+(($C36)-$A$6:$A$51)*'Cálculos'!$C$98)/(('Cálculos'!$C$197+(($C36)-$A$6:$A$51)*'Cálculos'!$C$98)+1400)+'Cálculos'!$C$123)*'Cálculos'!$C$234)+('Cálculos'!$C$197+(($C36)-$A$6:$A$51)*'Cálculos'!$C$98)*('Cálculos'!$C$225+'Cálculos'!$C$124*(1+2.78*('Cálculos'!$C$197+(($C36)-$A$6:$A$51)*'Cálculos'!$C$98)/(('Cálculos'!$C$197+(($C36)-$A$6:$A$51)*'Cálculos'!$C$98)+1400)+'Cálculos'!$C$122)*'Cálculos'!$C$230+'Cálculos'!$C$125*(1+2.78*('Cálculos'!$C$197+(($C36)-$A$6:$A$51)*'Cálculos'!$C$98)/(('Cálculos'!$C$197+(($C36)-$A$6:$A$51)*'Cálculos'!$C$98)+1400)+'Cálculos'!$C$123)*'Cálculos'!$C$235)+('Cálculos'!$C$201*(1+'Cálculos'!$C$202+$A$6:$A$51*('Cálculos'!$C$290=2)*'Cálculos'!$C$101)+'Cálculos'!$C$203)*('Cálculos'!$C$226+'Cálculos'!$C$124*(1+2.78*('Cálculos'!$C$197+(($C36)-$A$6:$A$51)*'Cálculos'!$C$98)/(('Cálculos'!$C$197+(($C36)-$A$6:$A$51)*'Cálculos'!$C$98)+1400)+'Cálculos'!$C$122)*'Cálculos'!$C$231+'Cálculos'!$C$125*(1+2.78*('Cálculos'!$C$197+(($C36)-$A$6:$A$51)*'Cálculos'!$C$98)/(('Cálculos'!$C$197+(($C36)-$A$6:$A$51)*'Cálculos'!$C$98)+1400)+'Cálculos'!$C$123)*'Cálculos'!$C$236)+('Cálculos'!$C$204*(1+'Cálculos'!$C$205+$A$6:$A$51*('Cálculos'!$C$290=3)*'Cálculos'!$C$103)+'Cálculos'!$C$206)*('Cálculos'!$C$227+'Cálculos'!$C$124*(1+2.78*('Cálculos'!$C$197+(($C36)-$A$6:$A$51)*'Cálculos'!$C$98)/(('Cálculos'!$C$197+(($C36)-$A$6:$A$51)*'Cálculos'!$C$98)+1400)+'Cálculos'!$C$122)*'Cálculos'!$C$232+'Cálculos'!$C$125*(1+2.78*('Cálculos'!$C$197+(($C36)-$A$6:$A$51)*'Cálculos'!$C$98)/(('Cálculos'!$C$197+(($C36)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36)-$A$6:$A$51)*'Cálculos'!$C$98)/(('Cálculos'!$C$198+(($C36)-$A$6:$A$51)*'Cálculos'!$C$98)+1400)+'Cálculos'!$C$122)*'Cálculos'!$C$244+'Cálculos'!$C$125*(1+2.78*('Cálculos'!$C$198+(($C36)-$A$6:$A$51)*'Cálculos'!$C$98)/(('Cálculos'!$C$198+(($C36)-$A$6:$A$51)*'Cálculos'!$C$98)+1400)+'Cálculos'!$C$123)*'Cálculos'!$C$249)+('Cálculos'!$C$198+(($C36)-$A$6:$A$51)*'Cálculos'!$C$98)*('Cálculos'!$C$240+'Cálculos'!$C$124*(1+2.78*('Cálculos'!$C$198+(($C36)-$A$6:$A$51)*'Cálculos'!$C$98)/(('Cálculos'!$C$198+(($C36)-$A$6:$A$51)*'Cálculos'!$C$98)+1400)+'Cálculos'!$C$122)*'Cálculos'!$C$245+'Cálculos'!$C$125*(1+2.78*('Cálculos'!$C$198+(($C36)-$A$6:$A$51)*'Cálculos'!$C$98)/(('Cálculos'!$C$198+(($C36)-$A$6:$A$51)*'Cálculos'!$C$98)+1400)+'Cálculos'!$C$123)*'Cálculos'!$C$250)+('Cálculos'!$C$201*(1+'Cálculos'!$C$202+$A$6:$A$51*('Cálculos'!$C$290=2)*'Cálculos'!$C$101)+'Cálculos'!$C$203)*('Cálculos'!$C$241+'Cálculos'!$C$124*(1+2.78*('Cálculos'!$C$198+(($C36)-$A$6:$A$51)*'Cálculos'!$C$98)/(('Cálculos'!$C$198+(($C36)-$A$6:$A$51)*'Cálculos'!$C$98)+1400)+'Cálculos'!$C$122)*'Cálculos'!$C$246+'Cálculos'!$C$125*(1+2.78*('Cálculos'!$C$198+(($C36)-$A$6:$A$51)*'Cálculos'!$C$98)/(('Cálculos'!$C$198+(($C36)-$A$6:$A$51)*'Cálculos'!$C$98)+1400)+'Cálculos'!$C$123)*'Cálculos'!$C$251)+('Cálculos'!$C$204*(1+'Cálculos'!$C$205+$A$6:$A$51*('Cálculos'!$C$290=3)*'Cálculos'!$C$103)+'Cálculos'!$C$206)*('Cálculos'!$C$242+'Cálculos'!$C$124*(1+2.78*('Cálculos'!$C$198+(($C36)-$A$6:$A$51)*'Cálculos'!$C$98)/(('Cálculos'!$C$198+(($C36)-$A$6:$A$51)*'Cálculos'!$C$98)+1400)+'Cálculos'!$C$122)*'Cálculos'!$C$247+'Cálculos'!$C$125*(1+2.78*('Cálculos'!$C$198+(($C36)-$A$6:$A$51)*'Cálculos'!$C$98)/(('Cálculos'!$C$198+(($C36)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36)-$A$6:$A$51)*'Cálculos'!$C$98)/(('Cálculos'!$C$199+(($C36)-$A$6:$A$51)*'Cálculos'!$C$98)+1400)+'Cálculos'!$C$122)*'Cálculos'!$C$259+'Cálculos'!$C$125*(1+2.78*('Cálculos'!$C$199+(($C36)-$A$6:$A$51)*'Cálculos'!$C$98)/(('Cálculos'!$C$199+(($C36)-$A$6:$A$51)*'Cálculos'!$C$98)+1400)+'Cálculos'!$C$123)*'Cálculos'!$C$264)+('Cálculos'!$C$199+(($C36)-$A$6:$A$51)*'Cálculos'!$C$98)*('Cálculos'!$C$255+'Cálculos'!$C$124*(1+2.78*('Cálculos'!$C$199+(($C36)-$A$6:$A$51)*'Cálculos'!$C$98)/(('Cálculos'!$C$199+(($C36)-$A$6:$A$51)*'Cálculos'!$C$98)+1400)+'Cálculos'!$C$122)*'Cálculos'!$C$260+'Cálculos'!$C$125*(1+2.78*('Cálculos'!$C$199+(($C36)-$A$6:$A$51)*'Cálculos'!$C$98)/(('Cálculos'!$C$199+(($C36)-$A$6:$A$51)*'Cálculos'!$C$98)+1400)+'Cálculos'!$C$123)*'Cálculos'!$C$265)+('Cálculos'!$C$201*(1+'Cálculos'!$C$202+$A$6:$A$51*('Cálculos'!$C$290=2)*'Cálculos'!$C$101)+'Cálculos'!$C$203)*('Cálculos'!$C$256+'Cálculos'!$C$124*(1+2.78*('Cálculos'!$C$199+(($C36)-$A$6:$A$51)*'Cálculos'!$C$98)/(('Cálculos'!$C$199+(($C36)-$A$6:$A$51)*'Cálculos'!$C$98)+1400)+'Cálculos'!$C$122)*'Cálculos'!$C$261+'Cálculos'!$C$125*(1+2.78*('Cálculos'!$C$199+(($C36)-$A$6:$A$51)*'Cálculos'!$C$98)/(('Cálculos'!$C$199+(($C36)-$A$6:$A$51)*'Cálculos'!$C$98)+1400)+'Cálculos'!$C$123)*'Cálculos'!$C$266)+('Cálculos'!$C$204*(1+'Cálculos'!$C$205+$A$6:$A$51*('Cálculos'!$C$290=3)*'Cálculos'!$C$103)+'Cálculos'!$C$206)*('Cálculos'!$C$257+'Cálculos'!$C$124*(1+2.78*('Cálculos'!$C$199+(($C36)-$A$6:$A$51)*'Cálculos'!$C$98)/(('Cálculos'!$C$199+(($C36)-$A$6:$A$51)*'Cálculos'!$C$98)+1400)+'Cálculos'!$C$122)*'Cálculos'!$C$262+'Cálculos'!$C$125*(1+2.78*('Cálculos'!$C$199+(($C36)-$A$6:$A$51)*'Cálculos'!$C$98)/(('Cálculos'!$C$199+(($C36)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36)-$A$6:$A$51)*'Cálculos'!$C$98)/(('Cálculos'!$C$200+(($C36)-$A$6:$A$51)*'Cálculos'!$C$98)+1400)+'Cálculos'!$C$122)*'Cálculos'!$C$274+'Cálculos'!$C$125*(1+2.78*('Cálculos'!$C$200+(($C36)-$A$6:$A$51)*'Cálculos'!$C$98)/(('Cálculos'!$C$200+(($C36)-$A$6:$A$51)*'Cálculos'!$C$98)+1400)+'Cálculos'!$C$123)*'Cálculos'!$C$279)+('Cálculos'!$C$200+(($C36)-$A$6:$A$51)*'Cálculos'!$C$98)*('Cálculos'!$C$270+'Cálculos'!$C$124*(1+2.78*('Cálculos'!$C$200+(($C36)-$A$6:$A$51)*'Cálculos'!$C$98)/(('Cálculos'!$C$200+(($C36)-$A$6:$A$51)*'Cálculos'!$C$98)+1400)+'Cálculos'!$C$122)*'Cálculos'!$C$275+'Cálculos'!$C$125*(1+2.78*('Cálculos'!$C$200+(($C36)-$A$6:$A$51)*'Cálculos'!$C$98)/(('Cálculos'!$C$200+(($C36)-$A$6:$A$51)*'Cálculos'!$C$98)+1400)+'Cálculos'!$C$123)*'Cálculos'!$C$280)+('Cálculos'!$C$201*(1+'Cálculos'!$C$202+$A$6:$A$51*('Cálculos'!$C$290=2)*'Cálculos'!$C$101)+'Cálculos'!$C$203)*('Cálculos'!$C$271+'Cálculos'!$C$124*(1+2.78*('Cálculos'!$C$200+(($C36)-$A$6:$A$51)*'Cálculos'!$C$98)/(('Cálculos'!$C$200+(($C36)-$A$6:$A$51)*'Cálculos'!$C$98)+1400)+'Cálculos'!$C$122)*'Cálculos'!$C$276+'Cálculos'!$C$125*(1+2.78*('Cálculos'!$C$200+(($C36)-$A$6:$A$51)*'Cálculos'!$C$98)/(('Cálculos'!$C$200+(($C36)-$A$6:$A$51)*'Cálculos'!$C$98)+1400)+'Cálculos'!$C$123)*'Cálculos'!$C$281)+('Cálculos'!$C$204*(1+'Cálculos'!$C$205+$A$6:$A$51*('Cálculos'!$C$290=3)*'Cálculos'!$C$103)+'Cálculos'!$C$206)*('Cálculos'!$C$272+'Cálculos'!$C$124*(1+2.78*('Cálculos'!$C$200+(($C36)-$A$6:$A$51)*'Cálculos'!$C$98)/(('Cálculos'!$C$200+(($C36)-$A$6:$A$51)*'Cálculos'!$C$98)+1400)+'Cálculos'!$C$122)*'Cálculos'!$C$277+'Cálculos'!$C$125*(1+2.78*('Cálculos'!$C$200+(($C36)-$A$6:$A$51)*'Cálculos'!$C$98)/(('Cálculos'!$C$200+(($C36)-$A$6:$A$51)*'Cálculos'!$C$98)+1400)+'Cálculos'!$C$123)*'Cálculos'!$C$282)))))</f>
        <v>0</v>
      </c>
      <c r="E36" s="32">
        <f>IF(OR($C36&lt;0,'Cálculos'!$C$6=""),0,$B36*$D36)</f>
        <v>0</v>
      </c>
      <c r="F36" s="2"/>
      <c r="G36" s="30">
        <f>($A36&lt;=$B$53)*($A36&lt;='Cálculos'!$C$294)*(($B$53)-$A36&lt;='Cálculos'!$C$295)*(1+MIN(('Cálculos'!$C$207+$A36*'Cálculos'!$C$95),1)*('Cálculos'!$C$208+(($B$53)-$A36)*'Cálculos'!$C$96))</f>
        <v>0</v>
      </c>
      <c r="H36" s="31">
        <f>IF($B$54&lt;0,0,($A36&lt;=$B$54)*($A36&lt;='Cálculos'!$C$301)*(($B$54)-$A36&lt;='Cálculos'!$C$297)*(('Cálculos'!$C$185*(1+'Cálculos'!$C$186+$A36*('Cálculos'!$C$290=1)*'Cálculos'!$C$97+'Cálculos'!$C$305)+'Cálculos'!$C$191)*('Cálculos'!$C$209+'Cálculos'!$C$124*(1+2.78*('Cálculos'!$C$196+(($B$54)-$A36)*'Cálculos'!$C$98)/(('Cálculos'!$C$196+(($B$54)-$A36)*'Cálculos'!$C$98)+1400)+'Cálculos'!$C$122)*'Cálculos'!$C$214+'Cálculos'!$C$125*(1+2.78*('Cálculos'!$C$196+(($B$54)-$A36)*'Cálculos'!$C$98)/(('Cálculos'!$C$196+(($B$54)-$A36)*'Cálculos'!$C$98)+1400)+'Cálculos'!$C$123)*'Cálculos'!$C$219)+('Cálculos'!$C$196+(($B$54)-$A36)*'Cálculos'!$C$98)*('Cálculos'!$C$210+'Cálculos'!$C$124*(1+2.78*('Cálculos'!$C$196+(($B$54)-$A36)*'Cálculos'!$C$98)/(('Cálculos'!$C$196+(($B$54)-$A36)*'Cálculos'!$C$98)+1400)+'Cálculos'!$C$122)*'Cálculos'!$C$215+'Cálculos'!$C$125*(1+2.78*('Cálculos'!$C$196+(($B$54)-$A36)*'Cálculos'!$C$98)/(('Cálculos'!$C$196+(($B$54)-$A36)*'Cálculos'!$C$98)+1400)+'Cálculos'!$C$123)*'Cálculos'!$C$220)+('Cálculos'!$C$201*(1+'Cálculos'!$C$202+$A36*('Cálculos'!$C$290=2)*'Cálculos'!$C$101)+'Cálculos'!$C$203)*('Cálculos'!$C$211+'Cálculos'!$C$124*(1+2.78*('Cálculos'!$C$196+(($B$54)-$A36)*'Cálculos'!$C$98)/(('Cálculos'!$C$196+(($B$54)-$A36)*'Cálculos'!$C$98)+1400)+'Cálculos'!$C$122)*'Cálculos'!$C$216+'Cálculos'!$C$125*(1+2.78*('Cálculos'!$C$196+(($B$54)-$A36)*'Cálculos'!$C$98)/(('Cálculos'!$C$196+(($B$54)-$A36)*'Cálculos'!$C$98)+1400)+'Cálculos'!$C$123)*'Cálculos'!$C$221)+('Cálculos'!$C$204*(1+'Cálculos'!$C$205+$A36*('Cálculos'!$C$290=3)*'Cálculos'!$C$103)+'Cálculos'!$C$206)*('Cálculos'!$C$212+'Cálculos'!$C$124*(1+2.78*('Cálculos'!$C$196+(($B$54)-$A36)*'Cálculos'!$C$98)/(('Cálculos'!$C$196+(($B$54)-$A36)*'Cálculos'!$C$98)+1400)+'Cálculos'!$C$122)*'Cálculos'!$C$217+'Cálculos'!$C$125*(1+2.78*('Cálculos'!$C$196+(($B$54)-$A36)*'Cálculos'!$C$98)/(('Cálculos'!$C$196+(($B$54)-$A36)*'Cálculos'!$C$98)+1400)+'Cálculos'!$C$123)*'Cálculos'!$C$222)+('Cálculos'!$C$185*(1+'Cálculos'!$C$187+$A36*('Cálculos'!$C$290=1)*'Cálculos'!$C$97+'Cálculos'!$C$305)+'Cálculos'!$C$192)*('Cálculos'!$C$224+'Cálculos'!$C$124*(1+2.78*('Cálculos'!$C$197+(($B$54)-$A36)*'Cálculos'!$C$98)/(('Cálculos'!$C$197+(($B$54)-$A36)*'Cálculos'!$C$98)+1400)+'Cálculos'!$C$122)*'Cálculos'!$C$229+'Cálculos'!$C$125*(1+2.78*('Cálculos'!$C$197+(($B$54)-$A36)*'Cálculos'!$C$98)/(('Cálculos'!$C$197+(($B$54)-$A36)*'Cálculos'!$C$98)+1400)+'Cálculos'!$C$123)*'Cálculos'!$C$234)+('Cálculos'!$C$197+(($B$54)-$A36)*'Cálculos'!$C$98)*('Cálculos'!$C$225+'Cálculos'!$C$124*(1+2.78*('Cálculos'!$C$197+(($B$54)-$A36)*'Cálculos'!$C$98)/(('Cálculos'!$C$197+(($B$54)-$A36)*'Cálculos'!$C$98)+1400)+'Cálculos'!$C$122)*'Cálculos'!$C$230+'Cálculos'!$C$125*(1+2.78*('Cálculos'!$C$197+(($B$54)-$A36)*'Cálculos'!$C$98)/(('Cálculos'!$C$197+(($B$54)-$A36)*'Cálculos'!$C$98)+1400)+'Cálculos'!$C$123)*'Cálculos'!$C$235)+('Cálculos'!$C$201*(1+'Cálculos'!$C$202+$A36*('Cálculos'!$C$290=2)*'Cálculos'!$C$101)+'Cálculos'!$C$203)*('Cálculos'!$C$226+'Cálculos'!$C$124*(1+2.78*('Cálculos'!$C$197+(($B$54)-$A36)*'Cálculos'!$C$98)/(('Cálculos'!$C$197+(($B$54)-$A36)*'Cálculos'!$C$98)+1400)+'Cálculos'!$C$122)*'Cálculos'!$C$231+'Cálculos'!$C$125*(1+2.78*('Cálculos'!$C$197+(($B$54)-$A36)*'Cálculos'!$C$98)/(('Cálculos'!$C$197+(($B$54)-$A36)*'Cálculos'!$C$98)+1400)+'Cálculos'!$C$123)*'Cálculos'!$C$236)+('Cálculos'!$C$204*(1+'Cálculos'!$C$205+$A36*('Cálculos'!$C$290=3)*'Cálculos'!$C$103)+'Cálculos'!$C$206)*('Cálculos'!$C$227+'Cálculos'!$C$124*(1+2.78*('Cálculos'!$C$197+(($B$54)-$A36)*'Cálculos'!$C$98)/(('Cálculos'!$C$197+(($B$54)-$A36)*'Cálculos'!$C$98)+1400)+'Cálculos'!$C$122)*'Cálculos'!$C$232+'Cálculos'!$C$125*(1+2.78*('Cálculos'!$C$197+(($B$54)-$A36)*'Cálculos'!$C$98)/(('Cálculos'!$C$197+(($B$54)-$A36)*'Cálculos'!$C$98)+1400)+'Cálculos'!$C$123)*'Cálculos'!$C$237)+('Cálculos'!$C$185*(1+'Cálculos'!$C$188+$A36*('Cálculos'!$C$290=1)*'Cálculos'!$C$97+'Cálculos'!$C$305)+'Cálculos'!$C$193)*('Cálculos'!$C$239+'Cálculos'!$C$124*(1+2.78*('Cálculos'!$C$198+(($B$54)-$A36)*'Cálculos'!$C$98)/(('Cálculos'!$C$198+(($B$54)-$A36)*'Cálculos'!$C$98)+1400)+'Cálculos'!$C$122)*'Cálculos'!$C$244+'Cálculos'!$C$125*(1+2.78*('Cálculos'!$C$198+(($B$54)-$A36)*'Cálculos'!$C$98)/(('Cálculos'!$C$198+(($B$54)-$A36)*'Cálculos'!$C$98)+1400)+'Cálculos'!$C$123)*'Cálculos'!$C$249)+('Cálculos'!$C$198+(($B$54)-$A36)*'Cálculos'!$C$98)*('Cálculos'!$C$240+'Cálculos'!$C$124*(1+2.78*('Cálculos'!$C$198+(($B$54)-$A36)*'Cálculos'!$C$98)/(('Cálculos'!$C$198+(($B$54)-$A36)*'Cálculos'!$C$98)+1400)+'Cálculos'!$C$122)*'Cálculos'!$C$245+'Cálculos'!$C$125*(1+2.78*('Cálculos'!$C$198+(($B$54)-$A36)*'Cálculos'!$C$98)/(('Cálculos'!$C$198+(($B$54)-$A36)*'Cálculos'!$C$98)+1400)+'Cálculos'!$C$123)*'Cálculos'!$C$250)+('Cálculos'!$C$201*(1+'Cálculos'!$C$202+$A36*('Cálculos'!$C$290=2)*'Cálculos'!$C$101)+'Cálculos'!$C$203)*('Cálculos'!$C$241+'Cálculos'!$C$124*(1+2.78*('Cálculos'!$C$198+(($B$54)-$A36)*'Cálculos'!$C$98)/(('Cálculos'!$C$198+(($B$54)-$A36)*'Cálculos'!$C$98)+1400)+'Cálculos'!$C$122)*'Cálculos'!$C$246+'Cálculos'!$C$125*(1+2.78*('Cálculos'!$C$198+(($B$54)-$A36)*'Cálculos'!$C$98)/(('Cálculos'!$C$198+(($B$54)-$A36)*'Cálculos'!$C$98)+1400)+'Cálculos'!$C$123)*'Cálculos'!$C$251)+('Cálculos'!$C$204*(1+'Cálculos'!$C$205+$A36*('Cálculos'!$C$290=3)*'Cálculos'!$C$103)+'Cálculos'!$C$206)*('Cálculos'!$C$242+'Cálculos'!$C$124*(1+2.78*('Cálculos'!$C$198+(($B$54)-$A36)*'Cálculos'!$C$98)/(('Cálculos'!$C$198+(($B$54)-$A36)*'Cálculos'!$C$98)+1400)+'Cálculos'!$C$122)*'Cálculos'!$C$247+'Cálculos'!$C$125*(1+2.78*('Cálculos'!$C$198+(($B$54)-$A36)*'Cálculos'!$C$98)/(('Cálculos'!$C$198+(($B$54)-$A36)*'Cálculos'!$C$98)+1400)+'Cálculos'!$C$123)*'Cálculos'!$C$252)+('Cálculos'!$C$185*(1+'Cálculos'!$C$189+$A36*('Cálculos'!$C$290=1)*'Cálculos'!$C$97+'Cálculos'!$C$305)+'Cálculos'!$C$194)*('Cálculos'!$C$254+'Cálculos'!$C$124*(1+2.78*('Cálculos'!$C$199+(($B$54)-$A36)*'Cálculos'!$C$98)/(('Cálculos'!$C$199+(($B$54)-$A36)*'Cálculos'!$C$98)+1400)+'Cálculos'!$C$122)*'Cálculos'!$C$259+'Cálculos'!$C$125*(1+2.78*('Cálculos'!$C$199+(($B$54)-$A36)*'Cálculos'!$C$98)/(('Cálculos'!$C$199+(($B$54)-$A36)*'Cálculos'!$C$98)+1400)+'Cálculos'!$C$123)*'Cálculos'!$C$264)+('Cálculos'!$C$199+(($B$54)-$A36)*'Cálculos'!$C$98)*('Cálculos'!$C$255+'Cálculos'!$C$124*(1+2.78*('Cálculos'!$C$199+(($B$54)-$A36)*'Cálculos'!$C$98)/(('Cálculos'!$C$199+(($B$54)-$A36)*'Cálculos'!$C$98)+1400)+'Cálculos'!$C$122)*'Cálculos'!$C$260+'Cálculos'!$C$125*(1+2.78*('Cálculos'!$C$199+(($B$54)-$A36)*'Cálculos'!$C$98)/(('Cálculos'!$C$199+(($B$54)-$A36)*'Cálculos'!$C$98)+1400)+'Cálculos'!$C$123)*'Cálculos'!$C$265)+('Cálculos'!$C$201*(1+'Cálculos'!$C$202+$A36*('Cálculos'!$C$290=2)*'Cálculos'!$C$101)+'Cálculos'!$C$203)*('Cálculos'!$C$256+'Cálculos'!$C$124*(1+2.78*('Cálculos'!$C$199+(($B$54)-$A36)*'Cálculos'!$C$98)/(('Cálculos'!$C$199+(($B$54)-$A36)*'Cálculos'!$C$98)+1400)+'Cálculos'!$C$122)*'Cálculos'!$C$261+'Cálculos'!$C$125*(1+2.78*('Cálculos'!$C$199+(($B$54)-$A36)*'Cálculos'!$C$98)/(('Cálculos'!$C$199+(($B$54)-$A36)*'Cálculos'!$C$98)+1400)+'Cálculos'!$C$123)*'Cálculos'!$C$266)+('Cálculos'!$C$204*(1+'Cálculos'!$C$205+$A36*('Cálculos'!$C$290=3)*'Cálculos'!$C$103)+'Cálculos'!$C$206)*('Cálculos'!$C$257+'Cálculos'!$C$124*(1+2.78*('Cálculos'!$C$199+(($B$54)-$A36)*'Cálculos'!$C$98)/(('Cálculos'!$C$199+(($B$54)-$A36)*'Cálculos'!$C$98)+1400)+'Cálculos'!$C$122)*'Cálculos'!$C$262+'Cálculos'!$C$125*(1+2.78*('Cálculos'!$C$199+(($B$54)-$A36)*'Cálculos'!$C$98)/(('Cálculos'!$C$199+(($B$54)-$A36)*'Cálculos'!$C$98)+1400)+'Cálculos'!$C$123)*'Cálculos'!$C$267)+('Cálculos'!$C$185*(1+'Cálculos'!$C$190+$A36*('Cálculos'!$C$290=1)*'Cálculos'!$C$97+'Cálculos'!$C$305)+'Cálculos'!$C$195)*('Cálculos'!$C$269+'Cálculos'!$C$124*(1+2.78*('Cálculos'!$C$200+(($B$54)-$A36)*'Cálculos'!$C$98)/(('Cálculos'!$C$200+(($B$54)-$A36)*'Cálculos'!$C$98)+1400)+'Cálculos'!$C$122)*'Cálculos'!$C$274+'Cálculos'!$C$125*(1+2.78*('Cálculos'!$C$200+(($B$54)-$A36)*'Cálculos'!$C$98)/(('Cálculos'!$C$200+(($B$54)-$A36)*'Cálculos'!$C$98)+1400)+'Cálculos'!$C$123)*'Cálculos'!$C$279)+('Cálculos'!$C$200+(($B$54)-$A36)*'Cálculos'!$C$98)*('Cálculos'!$C$270+'Cálculos'!$C$124*(1+2.78*('Cálculos'!$C$200+(($B$54)-$A36)*'Cálculos'!$C$98)/(('Cálculos'!$C$200+(($B$54)-$A36)*'Cálculos'!$C$98)+1400)+'Cálculos'!$C$122)*'Cálculos'!$C$275+'Cálculos'!$C$125*(1+2.78*('Cálculos'!$C$200+(($B$54)-$A36)*'Cálculos'!$C$98)/(('Cálculos'!$C$200+(($B$54)-$A36)*'Cálculos'!$C$98)+1400)+'Cálculos'!$C$123)*'Cálculos'!$C$280)+('Cálculos'!$C$201*(1+'Cálculos'!$C$202+$A36*('Cálculos'!$C$290=2)*'Cálculos'!$C$101)+'Cálculos'!$C$203)*('Cálculos'!$C$271+'Cálculos'!$C$124*(1+2.78*('Cálculos'!$C$200+(($B$54)-$A36)*'Cálculos'!$C$98)/(('Cálculos'!$C$200+(($B$54)-$A36)*'Cálculos'!$C$98)+1400)+'Cálculos'!$C$122)*'Cálculos'!$C$276+'Cálculos'!$C$125*(1+2.78*('Cálculos'!$C$200+(($B$54)-$A36)*'Cálculos'!$C$98)/(('Cálculos'!$C$200+(($B$54)-$A36)*'Cálculos'!$C$98)+1400)+'Cálculos'!$C$123)*'Cálculos'!$C$281)+('Cálculos'!$C$204*(1+'Cálculos'!$C$205+$A36*('Cálculos'!$C$290=3)*'Cálculos'!$C$103)+'Cálculos'!$C$206)*('Cálculos'!$C$272+'Cálculos'!$C$124*(1+2.78*('Cálculos'!$C$200+(($B$54)-$A36)*'Cálculos'!$C$98)/(('Cálculos'!$C$200+(($B$54)-$A36)*'Cálculos'!$C$98)+1400)+'Cálculos'!$C$122)*'Cálculos'!$C$277+'Cálculos'!$C$125*(1+2.78*('Cálculos'!$C$200+(($B$54)-$A36)*'Cálculos'!$C$98)/(('Cálculos'!$C$200+(($B$54)-$A36)*'Cálculos'!$C$98)+1400)+'Cálculos'!$C$123)*'Cálculos'!$C$282)))</f>
        <v>0</v>
      </c>
    </row>
    <row r="37" ht="15.75" customHeight="1">
      <c r="A37" s="2">
        <v>31.0</v>
      </c>
      <c r="B37" s="30">
        <f>SUMPRODUCT(MAX(($A$6:$A$51&lt;=$A37)*($A$6:$A$51&lt;='Cálculos'!$C$294)*(($A37)-$A$6:$A$51&lt;='Cálculos'!$C$295)*(1+(('Cálculos'!$C$207+$A$6:$A$51*'Cálculos'!$C$95)-(('Cálculos'!$C$207+$A$6:$A$51*'Cálculos'!$C$95)&gt;1)*(('Cálculos'!$C$207+$A$6:$A$51*'Cálculos'!$C$95)-1))*('Cálculos'!$C$208+(($A37)-$A$6:$A$51)*'Cálculos'!$C$96))))</f>
        <v>4.271612</v>
      </c>
      <c r="C37" s="2">
        <f>'Cálculos'!$C$303-$A37</f>
        <v>-11</v>
      </c>
      <c r="D37" s="31">
        <f>IF($C37&lt;0,0,SUMPRODUCT(MAX(($A$6:$A$51&lt;=$C37)*($A$6:$A$51&lt;='Cálculos'!$C$301)*(($C37)-$A$6:$A$51&lt;='Cálculos'!$C$297)*(('Cálculos'!$C$185*(1+'Cálculos'!$C$186+$A$6:$A$51*('Cálculos'!$C$290=1)*'Cálculos'!$C$97+'Cálculos'!$C$305)+'Cálculos'!$C$191)*('Cálculos'!$C$209+'Cálculos'!$C$124*(1+2.78*('Cálculos'!$C$196+(($C37)-$A$6:$A$51)*'Cálculos'!$C$98)/(('Cálculos'!$C$196+(($C37)-$A$6:$A$51)*'Cálculos'!$C$98)+1400)+'Cálculos'!$C$122)*'Cálculos'!$C$214+'Cálculos'!$C$125*(1+2.78*('Cálculos'!$C$196+(($C37)-$A$6:$A$51)*'Cálculos'!$C$98)/(('Cálculos'!$C$196+(($C37)-$A$6:$A$51)*'Cálculos'!$C$98)+1400)+'Cálculos'!$C$123)*'Cálculos'!$C$219)+('Cálculos'!$C$196+(($C37)-$A$6:$A$51)*'Cálculos'!$C$98)*('Cálculos'!$C$210+'Cálculos'!$C$124*(1+2.78*('Cálculos'!$C$196+(($C37)-$A$6:$A$51)*'Cálculos'!$C$98)/(('Cálculos'!$C$196+(($C37)-$A$6:$A$51)*'Cálculos'!$C$98)+1400)+'Cálculos'!$C$122)*'Cálculos'!$C$215+'Cálculos'!$C$125*(1+2.78*('Cálculos'!$C$196+(($C37)-$A$6:$A$51)*'Cálculos'!$C$98)/(('Cálculos'!$C$196+(($C37)-$A$6:$A$51)*'Cálculos'!$C$98)+1400)+'Cálculos'!$C$123)*'Cálculos'!$C$220)+('Cálculos'!$C$201*(1+'Cálculos'!$C$202+$A$6:$A$51*('Cálculos'!$C$290=2)*'Cálculos'!$C$101)+'Cálculos'!$C$203)*('Cálculos'!$C$211+'Cálculos'!$C$124*(1+2.78*('Cálculos'!$C$196+(($C37)-$A$6:$A$51)*'Cálculos'!$C$98)/(('Cálculos'!$C$196+(($C37)-$A$6:$A$51)*'Cálculos'!$C$98)+1400)+'Cálculos'!$C$122)*'Cálculos'!$C$216+'Cálculos'!$C$125*(1+2.78*('Cálculos'!$C$196+(($C37)-$A$6:$A$51)*'Cálculos'!$C$98)/(('Cálculos'!$C$196+(($C37)-$A$6:$A$51)*'Cálculos'!$C$98)+1400)+'Cálculos'!$C$123)*'Cálculos'!$C$221)+('Cálculos'!$C$204*(1+'Cálculos'!$C$205+$A$6:$A$51*('Cálculos'!$C$290=3)*'Cálculos'!$C$103)+'Cálculos'!$C$206)*('Cálculos'!$C$212+'Cálculos'!$C$124*(1+2.78*('Cálculos'!$C$196+(($C37)-$A$6:$A$51)*'Cálculos'!$C$98)/(('Cálculos'!$C$196+(($C37)-$A$6:$A$51)*'Cálculos'!$C$98)+1400)+'Cálculos'!$C$122)*'Cálculos'!$C$217+'Cálculos'!$C$125*(1+2.78*('Cálculos'!$C$196+(($C37)-$A$6:$A$51)*'Cálculos'!$C$98)/(('Cálculos'!$C$196+(($C37)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37)-$A$6:$A$51)*'Cálculos'!$C$98)/(('Cálculos'!$C$197+(($C37)-$A$6:$A$51)*'Cálculos'!$C$98)+1400)+'Cálculos'!$C$122)*'Cálculos'!$C$229+'Cálculos'!$C$125*(1+2.78*('Cálculos'!$C$197+(($C37)-$A$6:$A$51)*'Cálculos'!$C$98)/(('Cálculos'!$C$197+(($C37)-$A$6:$A$51)*'Cálculos'!$C$98)+1400)+'Cálculos'!$C$123)*'Cálculos'!$C$234)+('Cálculos'!$C$197+(($C37)-$A$6:$A$51)*'Cálculos'!$C$98)*('Cálculos'!$C$225+'Cálculos'!$C$124*(1+2.78*('Cálculos'!$C$197+(($C37)-$A$6:$A$51)*'Cálculos'!$C$98)/(('Cálculos'!$C$197+(($C37)-$A$6:$A$51)*'Cálculos'!$C$98)+1400)+'Cálculos'!$C$122)*'Cálculos'!$C$230+'Cálculos'!$C$125*(1+2.78*('Cálculos'!$C$197+(($C37)-$A$6:$A$51)*'Cálculos'!$C$98)/(('Cálculos'!$C$197+(($C37)-$A$6:$A$51)*'Cálculos'!$C$98)+1400)+'Cálculos'!$C$123)*'Cálculos'!$C$235)+('Cálculos'!$C$201*(1+'Cálculos'!$C$202+$A$6:$A$51*('Cálculos'!$C$290=2)*'Cálculos'!$C$101)+'Cálculos'!$C$203)*('Cálculos'!$C$226+'Cálculos'!$C$124*(1+2.78*('Cálculos'!$C$197+(($C37)-$A$6:$A$51)*'Cálculos'!$C$98)/(('Cálculos'!$C$197+(($C37)-$A$6:$A$51)*'Cálculos'!$C$98)+1400)+'Cálculos'!$C$122)*'Cálculos'!$C$231+'Cálculos'!$C$125*(1+2.78*('Cálculos'!$C$197+(($C37)-$A$6:$A$51)*'Cálculos'!$C$98)/(('Cálculos'!$C$197+(($C37)-$A$6:$A$51)*'Cálculos'!$C$98)+1400)+'Cálculos'!$C$123)*'Cálculos'!$C$236)+('Cálculos'!$C$204*(1+'Cálculos'!$C$205+$A$6:$A$51*('Cálculos'!$C$290=3)*'Cálculos'!$C$103)+'Cálculos'!$C$206)*('Cálculos'!$C$227+'Cálculos'!$C$124*(1+2.78*('Cálculos'!$C$197+(($C37)-$A$6:$A$51)*'Cálculos'!$C$98)/(('Cálculos'!$C$197+(($C37)-$A$6:$A$51)*'Cálculos'!$C$98)+1400)+'Cálculos'!$C$122)*'Cálculos'!$C$232+'Cálculos'!$C$125*(1+2.78*('Cálculos'!$C$197+(($C37)-$A$6:$A$51)*'Cálculos'!$C$98)/(('Cálculos'!$C$197+(($C37)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37)-$A$6:$A$51)*'Cálculos'!$C$98)/(('Cálculos'!$C$198+(($C37)-$A$6:$A$51)*'Cálculos'!$C$98)+1400)+'Cálculos'!$C$122)*'Cálculos'!$C$244+'Cálculos'!$C$125*(1+2.78*('Cálculos'!$C$198+(($C37)-$A$6:$A$51)*'Cálculos'!$C$98)/(('Cálculos'!$C$198+(($C37)-$A$6:$A$51)*'Cálculos'!$C$98)+1400)+'Cálculos'!$C$123)*'Cálculos'!$C$249)+('Cálculos'!$C$198+(($C37)-$A$6:$A$51)*'Cálculos'!$C$98)*('Cálculos'!$C$240+'Cálculos'!$C$124*(1+2.78*('Cálculos'!$C$198+(($C37)-$A$6:$A$51)*'Cálculos'!$C$98)/(('Cálculos'!$C$198+(($C37)-$A$6:$A$51)*'Cálculos'!$C$98)+1400)+'Cálculos'!$C$122)*'Cálculos'!$C$245+'Cálculos'!$C$125*(1+2.78*('Cálculos'!$C$198+(($C37)-$A$6:$A$51)*'Cálculos'!$C$98)/(('Cálculos'!$C$198+(($C37)-$A$6:$A$51)*'Cálculos'!$C$98)+1400)+'Cálculos'!$C$123)*'Cálculos'!$C$250)+('Cálculos'!$C$201*(1+'Cálculos'!$C$202+$A$6:$A$51*('Cálculos'!$C$290=2)*'Cálculos'!$C$101)+'Cálculos'!$C$203)*('Cálculos'!$C$241+'Cálculos'!$C$124*(1+2.78*('Cálculos'!$C$198+(($C37)-$A$6:$A$51)*'Cálculos'!$C$98)/(('Cálculos'!$C$198+(($C37)-$A$6:$A$51)*'Cálculos'!$C$98)+1400)+'Cálculos'!$C$122)*'Cálculos'!$C$246+'Cálculos'!$C$125*(1+2.78*('Cálculos'!$C$198+(($C37)-$A$6:$A$51)*'Cálculos'!$C$98)/(('Cálculos'!$C$198+(($C37)-$A$6:$A$51)*'Cálculos'!$C$98)+1400)+'Cálculos'!$C$123)*'Cálculos'!$C$251)+('Cálculos'!$C$204*(1+'Cálculos'!$C$205+$A$6:$A$51*('Cálculos'!$C$290=3)*'Cálculos'!$C$103)+'Cálculos'!$C$206)*('Cálculos'!$C$242+'Cálculos'!$C$124*(1+2.78*('Cálculos'!$C$198+(($C37)-$A$6:$A$51)*'Cálculos'!$C$98)/(('Cálculos'!$C$198+(($C37)-$A$6:$A$51)*'Cálculos'!$C$98)+1400)+'Cálculos'!$C$122)*'Cálculos'!$C$247+'Cálculos'!$C$125*(1+2.78*('Cálculos'!$C$198+(($C37)-$A$6:$A$51)*'Cálculos'!$C$98)/(('Cálculos'!$C$198+(($C37)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37)-$A$6:$A$51)*'Cálculos'!$C$98)/(('Cálculos'!$C$199+(($C37)-$A$6:$A$51)*'Cálculos'!$C$98)+1400)+'Cálculos'!$C$122)*'Cálculos'!$C$259+'Cálculos'!$C$125*(1+2.78*('Cálculos'!$C$199+(($C37)-$A$6:$A$51)*'Cálculos'!$C$98)/(('Cálculos'!$C$199+(($C37)-$A$6:$A$51)*'Cálculos'!$C$98)+1400)+'Cálculos'!$C$123)*'Cálculos'!$C$264)+('Cálculos'!$C$199+(($C37)-$A$6:$A$51)*'Cálculos'!$C$98)*('Cálculos'!$C$255+'Cálculos'!$C$124*(1+2.78*('Cálculos'!$C$199+(($C37)-$A$6:$A$51)*'Cálculos'!$C$98)/(('Cálculos'!$C$199+(($C37)-$A$6:$A$51)*'Cálculos'!$C$98)+1400)+'Cálculos'!$C$122)*'Cálculos'!$C$260+'Cálculos'!$C$125*(1+2.78*('Cálculos'!$C$199+(($C37)-$A$6:$A$51)*'Cálculos'!$C$98)/(('Cálculos'!$C$199+(($C37)-$A$6:$A$51)*'Cálculos'!$C$98)+1400)+'Cálculos'!$C$123)*'Cálculos'!$C$265)+('Cálculos'!$C$201*(1+'Cálculos'!$C$202+$A$6:$A$51*('Cálculos'!$C$290=2)*'Cálculos'!$C$101)+'Cálculos'!$C$203)*('Cálculos'!$C$256+'Cálculos'!$C$124*(1+2.78*('Cálculos'!$C$199+(($C37)-$A$6:$A$51)*'Cálculos'!$C$98)/(('Cálculos'!$C$199+(($C37)-$A$6:$A$51)*'Cálculos'!$C$98)+1400)+'Cálculos'!$C$122)*'Cálculos'!$C$261+'Cálculos'!$C$125*(1+2.78*('Cálculos'!$C$199+(($C37)-$A$6:$A$51)*'Cálculos'!$C$98)/(('Cálculos'!$C$199+(($C37)-$A$6:$A$51)*'Cálculos'!$C$98)+1400)+'Cálculos'!$C$123)*'Cálculos'!$C$266)+('Cálculos'!$C$204*(1+'Cálculos'!$C$205+$A$6:$A$51*('Cálculos'!$C$290=3)*'Cálculos'!$C$103)+'Cálculos'!$C$206)*('Cálculos'!$C$257+'Cálculos'!$C$124*(1+2.78*('Cálculos'!$C$199+(($C37)-$A$6:$A$51)*'Cálculos'!$C$98)/(('Cálculos'!$C$199+(($C37)-$A$6:$A$51)*'Cálculos'!$C$98)+1400)+'Cálculos'!$C$122)*'Cálculos'!$C$262+'Cálculos'!$C$125*(1+2.78*('Cálculos'!$C$199+(($C37)-$A$6:$A$51)*'Cálculos'!$C$98)/(('Cálculos'!$C$199+(($C37)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37)-$A$6:$A$51)*'Cálculos'!$C$98)/(('Cálculos'!$C$200+(($C37)-$A$6:$A$51)*'Cálculos'!$C$98)+1400)+'Cálculos'!$C$122)*'Cálculos'!$C$274+'Cálculos'!$C$125*(1+2.78*('Cálculos'!$C$200+(($C37)-$A$6:$A$51)*'Cálculos'!$C$98)/(('Cálculos'!$C$200+(($C37)-$A$6:$A$51)*'Cálculos'!$C$98)+1400)+'Cálculos'!$C$123)*'Cálculos'!$C$279)+('Cálculos'!$C$200+(($C37)-$A$6:$A$51)*'Cálculos'!$C$98)*('Cálculos'!$C$270+'Cálculos'!$C$124*(1+2.78*('Cálculos'!$C$200+(($C37)-$A$6:$A$51)*'Cálculos'!$C$98)/(('Cálculos'!$C$200+(($C37)-$A$6:$A$51)*'Cálculos'!$C$98)+1400)+'Cálculos'!$C$122)*'Cálculos'!$C$275+'Cálculos'!$C$125*(1+2.78*('Cálculos'!$C$200+(($C37)-$A$6:$A$51)*'Cálculos'!$C$98)/(('Cálculos'!$C$200+(($C37)-$A$6:$A$51)*'Cálculos'!$C$98)+1400)+'Cálculos'!$C$123)*'Cálculos'!$C$280)+('Cálculos'!$C$201*(1+'Cálculos'!$C$202+$A$6:$A$51*('Cálculos'!$C$290=2)*'Cálculos'!$C$101)+'Cálculos'!$C$203)*('Cálculos'!$C$271+'Cálculos'!$C$124*(1+2.78*('Cálculos'!$C$200+(($C37)-$A$6:$A$51)*'Cálculos'!$C$98)/(('Cálculos'!$C$200+(($C37)-$A$6:$A$51)*'Cálculos'!$C$98)+1400)+'Cálculos'!$C$122)*'Cálculos'!$C$276+'Cálculos'!$C$125*(1+2.78*('Cálculos'!$C$200+(($C37)-$A$6:$A$51)*'Cálculos'!$C$98)/(('Cálculos'!$C$200+(($C37)-$A$6:$A$51)*'Cálculos'!$C$98)+1400)+'Cálculos'!$C$123)*'Cálculos'!$C$281)+('Cálculos'!$C$204*(1+'Cálculos'!$C$205+$A$6:$A$51*('Cálculos'!$C$290=3)*'Cálculos'!$C$103)+'Cálculos'!$C$206)*('Cálculos'!$C$272+'Cálculos'!$C$124*(1+2.78*('Cálculos'!$C$200+(($C37)-$A$6:$A$51)*'Cálculos'!$C$98)/(('Cálculos'!$C$200+(($C37)-$A$6:$A$51)*'Cálculos'!$C$98)+1400)+'Cálculos'!$C$122)*'Cálculos'!$C$277+'Cálculos'!$C$125*(1+2.78*('Cálculos'!$C$200+(($C37)-$A$6:$A$51)*'Cálculos'!$C$98)/(('Cálculos'!$C$200+(($C37)-$A$6:$A$51)*'Cálculos'!$C$98)+1400)+'Cálculos'!$C$123)*'Cálculos'!$C$282)))))</f>
        <v>0</v>
      </c>
      <c r="E37" s="32">
        <f>IF(OR($C37&lt;0,'Cálculos'!$C$6=""),0,$B37*$D37)</f>
        <v>0</v>
      </c>
      <c r="F37" s="2"/>
      <c r="G37" s="30">
        <f>($A37&lt;=$B$53)*($A37&lt;='Cálculos'!$C$294)*(($B$53)-$A37&lt;='Cálculos'!$C$295)*(1+MIN(('Cálculos'!$C$207+$A37*'Cálculos'!$C$95),1)*('Cálculos'!$C$208+(($B$53)-$A37)*'Cálculos'!$C$96))</f>
        <v>0</v>
      </c>
      <c r="H37" s="31">
        <f>IF($B$54&lt;0,0,($A37&lt;=$B$54)*($A37&lt;='Cálculos'!$C$301)*(($B$54)-$A37&lt;='Cálculos'!$C$297)*(('Cálculos'!$C$185*(1+'Cálculos'!$C$186+$A37*('Cálculos'!$C$290=1)*'Cálculos'!$C$97+'Cálculos'!$C$305)+'Cálculos'!$C$191)*('Cálculos'!$C$209+'Cálculos'!$C$124*(1+2.78*('Cálculos'!$C$196+(($B$54)-$A37)*'Cálculos'!$C$98)/(('Cálculos'!$C$196+(($B$54)-$A37)*'Cálculos'!$C$98)+1400)+'Cálculos'!$C$122)*'Cálculos'!$C$214+'Cálculos'!$C$125*(1+2.78*('Cálculos'!$C$196+(($B$54)-$A37)*'Cálculos'!$C$98)/(('Cálculos'!$C$196+(($B$54)-$A37)*'Cálculos'!$C$98)+1400)+'Cálculos'!$C$123)*'Cálculos'!$C$219)+('Cálculos'!$C$196+(($B$54)-$A37)*'Cálculos'!$C$98)*('Cálculos'!$C$210+'Cálculos'!$C$124*(1+2.78*('Cálculos'!$C$196+(($B$54)-$A37)*'Cálculos'!$C$98)/(('Cálculos'!$C$196+(($B$54)-$A37)*'Cálculos'!$C$98)+1400)+'Cálculos'!$C$122)*'Cálculos'!$C$215+'Cálculos'!$C$125*(1+2.78*('Cálculos'!$C$196+(($B$54)-$A37)*'Cálculos'!$C$98)/(('Cálculos'!$C$196+(($B$54)-$A37)*'Cálculos'!$C$98)+1400)+'Cálculos'!$C$123)*'Cálculos'!$C$220)+('Cálculos'!$C$201*(1+'Cálculos'!$C$202+$A37*('Cálculos'!$C$290=2)*'Cálculos'!$C$101)+'Cálculos'!$C$203)*('Cálculos'!$C$211+'Cálculos'!$C$124*(1+2.78*('Cálculos'!$C$196+(($B$54)-$A37)*'Cálculos'!$C$98)/(('Cálculos'!$C$196+(($B$54)-$A37)*'Cálculos'!$C$98)+1400)+'Cálculos'!$C$122)*'Cálculos'!$C$216+'Cálculos'!$C$125*(1+2.78*('Cálculos'!$C$196+(($B$54)-$A37)*'Cálculos'!$C$98)/(('Cálculos'!$C$196+(($B$54)-$A37)*'Cálculos'!$C$98)+1400)+'Cálculos'!$C$123)*'Cálculos'!$C$221)+('Cálculos'!$C$204*(1+'Cálculos'!$C$205+$A37*('Cálculos'!$C$290=3)*'Cálculos'!$C$103)+'Cálculos'!$C$206)*('Cálculos'!$C$212+'Cálculos'!$C$124*(1+2.78*('Cálculos'!$C$196+(($B$54)-$A37)*'Cálculos'!$C$98)/(('Cálculos'!$C$196+(($B$54)-$A37)*'Cálculos'!$C$98)+1400)+'Cálculos'!$C$122)*'Cálculos'!$C$217+'Cálculos'!$C$125*(1+2.78*('Cálculos'!$C$196+(($B$54)-$A37)*'Cálculos'!$C$98)/(('Cálculos'!$C$196+(($B$54)-$A37)*'Cálculos'!$C$98)+1400)+'Cálculos'!$C$123)*'Cálculos'!$C$222)+('Cálculos'!$C$185*(1+'Cálculos'!$C$187+$A37*('Cálculos'!$C$290=1)*'Cálculos'!$C$97+'Cálculos'!$C$305)+'Cálculos'!$C$192)*('Cálculos'!$C$224+'Cálculos'!$C$124*(1+2.78*('Cálculos'!$C$197+(($B$54)-$A37)*'Cálculos'!$C$98)/(('Cálculos'!$C$197+(($B$54)-$A37)*'Cálculos'!$C$98)+1400)+'Cálculos'!$C$122)*'Cálculos'!$C$229+'Cálculos'!$C$125*(1+2.78*('Cálculos'!$C$197+(($B$54)-$A37)*'Cálculos'!$C$98)/(('Cálculos'!$C$197+(($B$54)-$A37)*'Cálculos'!$C$98)+1400)+'Cálculos'!$C$123)*'Cálculos'!$C$234)+('Cálculos'!$C$197+(($B$54)-$A37)*'Cálculos'!$C$98)*('Cálculos'!$C$225+'Cálculos'!$C$124*(1+2.78*('Cálculos'!$C$197+(($B$54)-$A37)*'Cálculos'!$C$98)/(('Cálculos'!$C$197+(($B$54)-$A37)*'Cálculos'!$C$98)+1400)+'Cálculos'!$C$122)*'Cálculos'!$C$230+'Cálculos'!$C$125*(1+2.78*('Cálculos'!$C$197+(($B$54)-$A37)*'Cálculos'!$C$98)/(('Cálculos'!$C$197+(($B$54)-$A37)*'Cálculos'!$C$98)+1400)+'Cálculos'!$C$123)*'Cálculos'!$C$235)+('Cálculos'!$C$201*(1+'Cálculos'!$C$202+$A37*('Cálculos'!$C$290=2)*'Cálculos'!$C$101)+'Cálculos'!$C$203)*('Cálculos'!$C$226+'Cálculos'!$C$124*(1+2.78*('Cálculos'!$C$197+(($B$54)-$A37)*'Cálculos'!$C$98)/(('Cálculos'!$C$197+(($B$54)-$A37)*'Cálculos'!$C$98)+1400)+'Cálculos'!$C$122)*'Cálculos'!$C$231+'Cálculos'!$C$125*(1+2.78*('Cálculos'!$C$197+(($B$54)-$A37)*'Cálculos'!$C$98)/(('Cálculos'!$C$197+(($B$54)-$A37)*'Cálculos'!$C$98)+1400)+'Cálculos'!$C$123)*'Cálculos'!$C$236)+('Cálculos'!$C$204*(1+'Cálculos'!$C$205+$A37*('Cálculos'!$C$290=3)*'Cálculos'!$C$103)+'Cálculos'!$C$206)*('Cálculos'!$C$227+'Cálculos'!$C$124*(1+2.78*('Cálculos'!$C$197+(($B$54)-$A37)*'Cálculos'!$C$98)/(('Cálculos'!$C$197+(($B$54)-$A37)*'Cálculos'!$C$98)+1400)+'Cálculos'!$C$122)*'Cálculos'!$C$232+'Cálculos'!$C$125*(1+2.78*('Cálculos'!$C$197+(($B$54)-$A37)*'Cálculos'!$C$98)/(('Cálculos'!$C$197+(($B$54)-$A37)*'Cálculos'!$C$98)+1400)+'Cálculos'!$C$123)*'Cálculos'!$C$237)+('Cálculos'!$C$185*(1+'Cálculos'!$C$188+$A37*('Cálculos'!$C$290=1)*'Cálculos'!$C$97+'Cálculos'!$C$305)+'Cálculos'!$C$193)*('Cálculos'!$C$239+'Cálculos'!$C$124*(1+2.78*('Cálculos'!$C$198+(($B$54)-$A37)*'Cálculos'!$C$98)/(('Cálculos'!$C$198+(($B$54)-$A37)*'Cálculos'!$C$98)+1400)+'Cálculos'!$C$122)*'Cálculos'!$C$244+'Cálculos'!$C$125*(1+2.78*('Cálculos'!$C$198+(($B$54)-$A37)*'Cálculos'!$C$98)/(('Cálculos'!$C$198+(($B$54)-$A37)*'Cálculos'!$C$98)+1400)+'Cálculos'!$C$123)*'Cálculos'!$C$249)+('Cálculos'!$C$198+(($B$54)-$A37)*'Cálculos'!$C$98)*('Cálculos'!$C$240+'Cálculos'!$C$124*(1+2.78*('Cálculos'!$C$198+(($B$54)-$A37)*'Cálculos'!$C$98)/(('Cálculos'!$C$198+(($B$54)-$A37)*'Cálculos'!$C$98)+1400)+'Cálculos'!$C$122)*'Cálculos'!$C$245+'Cálculos'!$C$125*(1+2.78*('Cálculos'!$C$198+(($B$54)-$A37)*'Cálculos'!$C$98)/(('Cálculos'!$C$198+(($B$54)-$A37)*'Cálculos'!$C$98)+1400)+'Cálculos'!$C$123)*'Cálculos'!$C$250)+('Cálculos'!$C$201*(1+'Cálculos'!$C$202+$A37*('Cálculos'!$C$290=2)*'Cálculos'!$C$101)+'Cálculos'!$C$203)*('Cálculos'!$C$241+'Cálculos'!$C$124*(1+2.78*('Cálculos'!$C$198+(($B$54)-$A37)*'Cálculos'!$C$98)/(('Cálculos'!$C$198+(($B$54)-$A37)*'Cálculos'!$C$98)+1400)+'Cálculos'!$C$122)*'Cálculos'!$C$246+'Cálculos'!$C$125*(1+2.78*('Cálculos'!$C$198+(($B$54)-$A37)*'Cálculos'!$C$98)/(('Cálculos'!$C$198+(($B$54)-$A37)*'Cálculos'!$C$98)+1400)+'Cálculos'!$C$123)*'Cálculos'!$C$251)+('Cálculos'!$C$204*(1+'Cálculos'!$C$205+$A37*('Cálculos'!$C$290=3)*'Cálculos'!$C$103)+'Cálculos'!$C$206)*('Cálculos'!$C$242+'Cálculos'!$C$124*(1+2.78*('Cálculos'!$C$198+(($B$54)-$A37)*'Cálculos'!$C$98)/(('Cálculos'!$C$198+(($B$54)-$A37)*'Cálculos'!$C$98)+1400)+'Cálculos'!$C$122)*'Cálculos'!$C$247+'Cálculos'!$C$125*(1+2.78*('Cálculos'!$C$198+(($B$54)-$A37)*'Cálculos'!$C$98)/(('Cálculos'!$C$198+(($B$54)-$A37)*'Cálculos'!$C$98)+1400)+'Cálculos'!$C$123)*'Cálculos'!$C$252)+('Cálculos'!$C$185*(1+'Cálculos'!$C$189+$A37*('Cálculos'!$C$290=1)*'Cálculos'!$C$97+'Cálculos'!$C$305)+'Cálculos'!$C$194)*('Cálculos'!$C$254+'Cálculos'!$C$124*(1+2.78*('Cálculos'!$C$199+(($B$54)-$A37)*'Cálculos'!$C$98)/(('Cálculos'!$C$199+(($B$54)-$A37)*'Cálculos'!$C$98)+1400)+'Cálculos'!$C$122)*'Cálculos'!$C$259+'Cálculos'!$C$125*(1+2.78*('Cálculos'!$C$199+(($B$54)-$A37)*'Cálculos'!$C$98)/(('Cálculos'!$C$199+(($B$54)-$A37)*'Cálculos'!$C$98)+1400)+'Cálculos'!$C$123)*'Cálculos'!$C$264)+('Cálculos'!$C$199+(($B$54)-$A37)*'Cálculos'!$C$98)*('Cálculos'!$C$255+'Cálculos'!$C$124*(1+2.78*('Cálculos'!$C$199+(($B$54)-$A37)*'Cálculos'!$C$98)/(('Cálculos'!$C$199+(($B$54)-$A37)*'Cálculos'!$C$98)+1400)+'Cálculos'!$C$122)*'Cálculos'!$C$260+'Cálculos'!$C$125*(1+2.78*('Cálculos'!$C$199+(($B$54)-$A37)*'Cálculos'!$C$98)/(('Cálculos'!$C$199+(($B$54)-$A37)*'Cálculos'!$C$98)+1400)+'Cálculos'!$C$123)*'Cálculos'!$C$265)+('Cálculos'!$C$201*(1+'Cálculos'!$C$202+$A37*('Cálculos'!$C$290=2)*'Cálculos'!$C$101)+'Cálculos'!$C$203)*('Cálculos'!$C$256+'Cálculos'!$C$124*(1+2.78*('Cálculos'!$C$199+(($B$54)-$A37)*'Cálculos'!$C$98)/(('Cálculos'!$C$199+(($B$54)-$A37)*'Cálculos'!$C$98)+1400)+'Cálculos'!$C$122)*'Cálculos'!$C$261+'Cálculos'!$C$125*(1+2.78*('Cálculos'!$C$199+(($B$54)-$A37)*'Cálculos'!$C$98)/(('Cálculos'!$C$199+(($B$54)-$A37)*'Cálculos'!$C$98)+1400)+'Cálculos'!$C$123)*'Cálculos'!$C$266)+('Cálculos'!$C$204*(1+'Cálculos'!$C$205+$A37*('Cálculos'!$C$290=3)*'Cálculos'!$C$103)+'Cálculos'!$C$206)*('Cálculos'!$C$257+'Cálculos'!$C$124*(1+2.78*('Cálculos'!$C$199+(($B$54)-$A37)*'Cálculos'!$C$98)/(('Cálculos'!$C$199+(($B$54)-$A37)*'Cálculos'!$C$98)+1400)+'Cálculos'!$C$122)*'Cálculos'!$C$262+'Cálculos'!$C$125*(1+2.78*('Cálculos'!$C$199+(($B$54)-$A37)*'Cálculos'!$C$98)/(('Cálculos'!$C$199+(($B$54)-$A37)*'Cálculos'!$C$98)+1400)+'Cálculos'!$C$123)*'Cálculos'!$C$267)+('Cálculos'!$C$185*(1+'Cálculos'!$C$190+$A37*('Cálculos'!$C$290=1)*'Cálculos'!$C$97+'Cálculos'!$C$305)+'Cálculos'!$C$195)*('Cálculos'!$C$269+'Cálculos'!$C$124*(1+2.78*('Cálculos'!$C$200+(($B$54)-$A37)*'Cálculos'!$C$98)/(('Cálculos'!$C$200+(($B$54)-$A37)*'Cálculos'!$C$98)+1400)+'Cálculos'!$C$122)*'Cálculos'!$C$274+'Cálculos'!$C$125*(1+2.78*('Cálculos'!$C$200+(($B$54)-$A37)*'Cálculos'!$C$98)/(('Cálculos'!$C$200+(($B$54)-$A37)*'Cálculos'!$C$98)+1400)+'Cálculos'!$C$123)*'Cálculos'!$C$279)+('Cálculos'!$C$200+(($B$54)-$A37)*'Cálculos'!$C$98)*('Cálculos'!$C$270+'Cálculos'!$C$124*(1+2.78*('Cálculos'!$C$200+(($B$54)-$A37)*'Cálculos'!$C$98)/(('Cálculos'!$C$200+(($B$54)-$A37)*'Cálculos'!$C$98)+1400)+'Cálculos'!$C$122)*'Cálculos'!$C$275+'Cálculos'!$C$125*(1+2.78*('Cálculos'!$C$200+(($B$54)-$A37)*'Cálculos'!$C$98)/(('Cálculos'!$C$200+(($B$54)-$A37)*'Cálculos'!$C$98)+1400)+'Cálculos'!$C$123)*'Cálculos'!$C$280)+('Cálculos'!$C$201*(1+'Cálculos'!$C$202+$A37*('Cálculos'!$C$290=2)*'Cálculos'!$C$101)+'Cálculos'!$C$203)*('Cálculos'!$C$271+'Cálculos'!$C$124*(1+2.78*('Cálculos'!$C$200+(($B$54)-$A37)*'Cálculos'!$C$98)/(('Cálculos'!$C$200+(($B$54)-$A37)*'Cálculos'!$C$98)+1400)+'Cálculos'!$C$122)*'Cálculos'!$C$276+'Cálculos'!$C$125*(1+2.78*('Cálculos'!$C$200+(($B$54)-$A37)*'Cálculos'!$C$98)/(('Cálculos'!$C$200+(($B$54)-$A37)*'Cálculos'!$C$98)+1400)+'Cálculos'!$C$123)*'Cálculos'!$C$281)+('Cálculos'!$C$204*(1+'Cálculos'!$C$205+$A37*('Cálculos'!$C$290=3)*'Cálculos'!$C$103)+'Cálculos'!$C$206)*('Cálculos'!$C$272+'Cálculos'!$C$124*(1+2.78*('Cálculos'!$C$200+(($B$54)-$A37)*'Cálculos'!$C$98)/(('Cálculos'!$C$200+(($B$54)-$A37)*'Cálculos'!$C$98)+1400)+'Cálculos'!$C$122)*'Cálculos'!$C$277+'Cálculos'!$C$125*(1+2.78*('Cálculos'!$C$200+(($B$54)-$A37)*'Cálculos'!$C$98)/(('Cálculos'!$C$200+(($B$54)-$A37)*'Cálculos'!$C$98)+1400)+'Cálculos'!$C$123)*'Cálculos'!$C$282)))</f>
        <v>0</v>
      </c>
    </row>
    <row r="38" ht="15.75" customHeight="1">
      <c r="A38" s="2">
        <v>32.0</v>
      </c>
      <c r="B38" s="30">
        <f>SUMPRODUCT(MAX(($A$6:$A$51&lt;=$A38)*($A$6:$A$51&lt;='Cálculos'!$C$294)*(($A38)-$A$6:$A$51&lt;='Cálculos'!$C$295)*(1+(('Cálculos'!$C$207+$A$6:$A$51*'Cálculos'!$C$95)-(('Cálculos'!$C$207+$A$6:$A$51*'Cálculos'!$C$95)&gt;1)*(('Cálculos'!$C$207+$A$6:$A$51*'Cálculos'!$C$95)-1))*('Cálculos'!$C$208+(($A38)-$A$6:$A$51)*'Cálculos'!$C$96))))</f>
        <v>4.336886</v>
      </c>
      <c r="C38" s="2">
        <f>'Cálculos'!$C$303-$A38</f>
        <v>-12</v>
      </c>
      <c r="D38" s="31">
        <f>IF($C38&lt;0,0,SUMPRODUCT(MAX(($A$6:$A$51&lt;=$C38)*($A$6:$A$51&lt;='Cálculos'!$C$301)*(($C38)-$A$6:$A$51&lt;='Cálculos'!$C$297)*(('Cálculos'!$C$185*(1+'Cálculos'!$C$186+$A$6:$A$51*('Cálculos'!$C$290=1)*'Cálculos'!$C$97+'Cálculos'!$C$305)+'Cálculos'!$C$191)*('Cálculos'!$C$209+'Cálculos'!$C$124*(1+2.78*('Cálculos'!$C$196+(($C38)-$A$6:$A$51)*'Cálculos'!$C$98)/(('Cálculos'!$C$196+(($C38)-$A$6:$A$51)*'Cálculos'!$C$98)+1400)+'Cálculos'!$C$122)*'Cálculos'!$C$214+'Cálculos'!$C$125*(1+2.78*('Cálculos'!$C$196+(($C38)-$A$6:$A$51)*'Cálculos'!$C$98)/(('Cálculos'!$C$196+(($C38)-$A$6:$A$51)*'Cálculos'!$C$98)+1400)+'Cálculos'!$C$123)*'Cálculos'!$C$219)+('Cálculos'!$C$196+(($C38)-$A$6:$A$51)*'Cálculos'!$C$98)*('Cálculos'!$C$210+'Cálculos'!$C$124*(1+2.78*('Cálculos'!$C$196+(($C38)-$A$6:$A$51)*'Cálculos'!$C$98)/(('Cálculos'!$C$196+(($C38)-$A$6:$A$51)*'Cálculos'!$C$98)+1400)+'Cálculos'!$C$122)*'Cálculos'!$C$215+'Cálculos'!$C$125*(1+2.78*('Cálculos'!$C$196+(($C38)-$A$6:$A$51)*'Cálculos'!$C$98)/(('Cálculos'!$C$196+(($C38)-$A$6:$A$51)*'Cálculos'!$C$98)+1400)+'Cálculos'!$C$123)*'Cálculos'!$C$220)+('Cálculos'!$C$201*(1+'Cálculos'!$C$202+$A$6:$A$51*('Cálculos'!$C$290=2)*'Cálculos'!$C$101)+'Cálculos'!$C$203)*('Cálculos'!$C$211+'Cálculos'!$C$124*(1+2.78*('Cálculos'!$C$196+(($C38)-$A$6:$A$51)*'Cálculos'!$C$98)/(('Cálculos'!$C$196+(($C38)-$A$6:$A$51)*'Cálculos'!$C$98)+1400)+'Cálculos'!$C$122)*'Cálculos'!$C$216+'Cálculos'!$C$125*(1+2.78*('Cálculos'!$C$196+(($C38)-$A$6:$A$51)*'Cálculos'!$C$98)/(('Cálculos'!$C$196+(($C38)-$A$6:$A$51)*'Cálculos'!$C$98)+1400)+'Cálculos'!$C$123)*'Cálculos'!$C$221)+('Cálculos'!$C$204*(1+'Cálculos'!$C$205+$A$6:$A$51*('Cálculos'!$C$290=3)*'Cálculos'!$C$103)+'Cálculos'!$C$206)*('Cálculos'!$C$212+'Cálculos'!$C$124*(1+2.78*('Cálculos'!$C$196+(($C38)-$A$6:$A$51)*'Cálculos'!$C$98)/(('Cálculos'!$C$196+(($C38)-$A$6:$A$51)*'Cálculos'!$C$98)+1400)+'Cálculos'!$C$122)*'Cálculos'!$C$217+'Cálculos'!$C$125*(1+2.78*('Cálculos'!$C$196+(($C38)-$A$6:$A$51)*'Cálculos'!$C$98)/(('Cálculos'!$C$196+(($C38)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38)-$A$6:$A$51)*'Cálculos'!$C$98)/(('Cálculos'!$C$197+(($C38)-$A$6:$A$51)*'Cálculos'!$C$98)+1400)+'Cálculos'!$C$122)*'Cálculos'!$C$229+'Cálculos'!$C$125*(1+2.78*('Cálculos'!$C$197+(($C38)-$A$6:$A$51)*'Cálculos'!$C$98)/(('Cálculos'!$C$197+(($C38)-$A$6:$A$51)*'Cálculos'!$C$98)+1400)+'Cálculos'!$C$123)*'Cálculos'!$C$234)+('Cálculos'!$C$197+(($C38)-$A$6:$A$51)*'Cálculos'!$C$98)*('Cálculos'!$C$225+'Cálculos'!$C$124*(1+2.78*('Cálculos'!$C$197+(($C38)-$A$6:$A$51)*'Cálculos'!$C$98)/(('Cálculos'!$C$197+(($C38)-$A$6:$A$51)*'Cálculos'!$C$98)+1400)+'Cálculos'!$C$122)*'Cálculos'!$C$230+'Cálculos'!$C$125*(1+2.78*('Cálculos'!$C$197+(($C38)-$A$6:$A$51)*'Cálculos'!$C$98)/(('Cálculos'!$C$197+(($C38)-$A$6:$A$51)*'Cálculos'!$C$98)+1400)+'Cálculos'!$C$123)*'Cálculos'!$C$235)+('Cálculos'!$C$201*(1+'Cálculos'!$C$202+$A$6:$A$51*('Cálculos'!$C$290=2)*'Cálculos'!$C$101)+'Cálculos'!$C$203)*('Cálculos'!$C$226+'Cálculos'!$C$124*(1+2.78*('Cálculos'!$C$197+(($C38)-$A$6:$A$51)*'Cálculos'!$C$98)/(('Cálculos'!$C$197+(($C38)-$A$6:$A$51)*'Cálculos'!$C$98)+1400)+'Cálculos'!$C$122)*'Cálculos'!$C$231+'Cálculos'!$C$125*(1+2.78*('Cálculos'!$C$197+(($C38)-$A$6:$A$51)*'Cálculos'!$C$98)/(('Cálculos'!$C$197+(($C38)-$A$6:$A$51)*'Cálculos'!$C$98)+1400)+'Cálculos'!$C$123)*'Cálculos'!$C$236)+('Cálculos'!$C$204*(1+'Cálculos'!$C$205+$A$6:$A$51*('Cálculos'!$C$290=3)*'Cálculos'!$C$103)+'Cálculos'!$C$206)*('Cálculos'!$C$227+'Cálculos'!$C$124*(1+2.78*('Cálculos'!$C$197+(($C38)-$A$6:$A$51)*'Cálculos'!$C$98)/(('Cálculos'!$C$197+(($C38)-$A$6:$A$51)*'Cálculos'!$C$98)+1400)+'Cálculos'!$C$122)*'Cálculos'!$C$232+'Cálculos'!$C$125*(1+2.78*('Cálculos'!$C$197+(($C38)-$A$6:$A$51)*'Cálculos'!$C$98)/(('Cálculos'!$C$197+(($C38)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38)-$A$6:$A$51)*'Cálculos'!$C$98)/(('Cálculos'!$C$198+(($C38)-$A$6:$A$51)*'Cálculos'!$C$98)+1400)+'Cálculos'!$C$122)*'Cálculos'!$C$244+'Cálculos'!$C$125*(1+2.78*('Cálculos'!$C$198+(($C38)-$A$6:$A$51)*'Cálculos'!$C$98)/(('Cálculos'!$C$198+(($C38)-$A$6:$A$51)*'Cálculos'!$C$98)+1400)+'Cálculos'!$C$123)*'Cálculos'!$C$249)+('Cálculos'!$C$198+(($C38)-$A$6:$A$51)*'Cálculos'!$C$98)*('Cálculos'!$C$240+'Cálculos'!$C$124*(1+2.78*('Cálculos'!$C$198+(($C38)-$A$6:$A$51)*'Cálculos'!$C$98)/(('Cálculos'!$C$198+(($C38)-$A$6:$A$51)*'Cálculos'!$C$98)+1400)+'Cálculos'!$C$122)*'Cálculos'!$C$245+'Cálculos'!$C$125*(1+2.78*('Cálculos'!$C$198+(($C38)-$A$6:$A$51)*'Cálculos'!$C$98)/(('Cálculos'!$C$198+(($C38)-$A$6:$A$51)*'Cálculos'!$C$98)+1400)+'Cálculos'!$C$123)*'Cálculos'!$C$250)+('Cálculos'!$C$201*(1+'Cálculos'!$C$202+$A$6:$A$51*('Cálculos'!$C$290=2)*'Cálculos'!$C$101)+'Cálculos'!$C$203)*('Cálculos'!$C$241+'Cálculos'!$C$124*(1+2.78*('Cálculos'!$C$198+(($C38)-$A$6:$A$51)*'Cálculos'!$C$98)/(('Cálculos'!$C$198+(($C38)-$A$6:$A$51)*'Cálculos'!$C$98)+1400)+'Cálculos'!$C$122)*'Cálculos'!$C$246+'Cálculos'!$C$125*(1+2.78*('Cálculos'!$C$198+(($C38)-$A$6:$A$51)*'Cálculos'!$C$98)/(('Cálculos'!$C$198+(($C38)-$A$6:$A$51)*'Cálculos'!$C$98)+1400)+'Cálculos'!$C$123)*'Cálculos'!$C$251)+('Cálculos'!$C$204*(1+'Cálculos'!$C$205+$A$6:$A$51*('Cálculos'!$C$290=3)*'Cálculos'!$C$103)+'Cálculos'!$C$206)*('Cálculos'!$C$242+'Cálculos'!$C$124*(1+2.78*('Cálculos'!$C$198+(($C38)-$A$6:$A$51)*'Cálculos'!$C$98)/(('Cálculos'!$C$198+(($C38)-$A$6:$A$51)*'Cálculos'!$C$98)+1400)+'Cálculos'!$C$122)*'Cálculos'!$C$247+'Cálculos'!$C$125*(1+2.78*('Cálculos'!$C$198+(($C38)-$A$6:$A$51)*'Cálculos'!$C$98)/(('Cálculos'!$C$198+(($C38)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38)-$A$6:$A$51)*'Cálculos'!$C$98)/(('Cálculos'!$C$199+(($C38)-$A$6:$A$51)*'Cálculos'!$C$98)+1400)+'Cálculos'!$C$122)*'Cálculos'!$C$259+'Cálculos'!$C$125*(1+2.78*('Cálculos'!$C$199+(($C38)-$A$6:$A$51)*'Cálculos'!$C$98)/(('Cálculos'!$C$199+(($C38)-$A$6:$A$51)*'Cálculos'!$C$98)+1400)+'Cálculos'!$C$123)*'Cálculos'!$C$264)+('Cálculos'!$C$199+(($C38)-$A$6:$A$51)*'Cálculos'!$C$98)*('Cálculos'!$C$255+'Cálculos'!$C$124*(1+2.78*('Cálculos'!$C$199+(($C38)-$A$6:$A$51)*'Cálculos'!$C$98)/(('Cálculos'!$C$199+(($C38)-$A$6:$A$51)*'Cálculos'!$C$98)+1400)+'Cálculos'!$C$122)*'Cálculos'!$C$260+'Cálculos'!$C$125*(1+2.78*('Cálculos'!$C$199+(($C38)-$A$6:$A$51)*'Cálculos'!$C$98)/(('Cálculos'!$C$199+(($C38)-$A$6:$A$51)*'Cálculos'!$C$98)+1400)+'Cálculos'!$C$123)*'Cálculos'!$C$265)+('Cálculos'!$C$201*(1+'Cálculos'!$C$202+$A$6:$A$51*('Cálculos'!$C$290=2)*'Cálculos'!$C$101)+'Cálculos'!$C$203)*('Cálculos'!$C$256+'Cálculos'!$C$124*(1+2.78*('Cálculos'!$C$199+(($C38)-$A$6:$A$51)*'Cálculos'!$C$98)/(('Cálculos'!$C$199+(($C38)-$A$6:$A$51)*'Cálculos'!$C$98)+1400)+'Cálculos'!$C$122)*'Cálculos'!$C$261+'Cálculos'!$C$125*(1+2.78*('Cálculos'!$C$199+(($C38)-$A$6:$A$51)*'Cálculos'!$C$98)/(('Cálculos'!$C$199+(($C38)-$A$6:$A$51)*'Cálculos'!$C$98)+1400)+'Cálculos'!$C$123)*'Cálculos'!$C$266)+('Cálculos'!$C$204*(1+'Cálculos'!$C$205+$A$6:$A$51*('Cálculos'!$C$290=3)*'Cálculos'!$C$103)+'Cálculos'!$C$206)*('Cálculos'!$C$257+'Cálculos'!$C$124*(1+2.78*('Cálculos'!$C$199+(($C38)-$A$6:$A$51)*'Cálculos'!$C$98)/(('Cálculos'!$C$199+(($C38)-$A$6:$A$51)*'Cálculos'!$C$98)+1400)+'Cálculos'!$C$122)*'Cálculos'!$C$262+'Cálculos'!$C$125*(1+2.78*('Cálculos'!$C$199+(($C38)-$A$6:$A$51)*'Cálculos'!$C$98)/(('Cálculos'!$C$199+(($C38)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38)-$A$6:$A$51)*'Cálculos'!$C$98)/(('Cálculos'!$C$200+(($C38)-$A$6:$A$51)*'Cálculos'!$C$98)+1400)+'Cálculos'!$C$122)*'Cálculos'!$C$274+'Cálculos'!$C$125*(1+2.78*('Cálculos'!$C$200+(($C38)-$A$6:$A$51)*'Cálculos'!$C$98)/(('Cálculos'!$C$200+(($C38)-$A$6:$A$51)*'Cálculos'!$C$98)+1400)+'Cálculos'!$C$123)*'Cálculos'!$C$279)+('Cálculos'!$C$200+(($C38)-$A$6:$A$51)*'Cálculos'!$C$98)*('Cálculos'!$C$270+'Cálculos'!$C$124*(1+2.78*('Cálculos'!$C$200+(($C38)-$A$6:$A$51)*'Cálculos'!$C$98)/(('Cálculos'!$C$200+(($C38)-$A$6:$A$51)*'Cálculos'!$C$98)+1400)+'Cálculos'!$C$122)*'Cálculos'!$C$275+'Cálculos'!$C$125*(1+2.78*('Cálculos'!$C$200+(($C38)-$A$6:$A$51)*'Cálculos'!$C$98)/(('Cálculos'!$C$200+(($C38)-$A$6:$A$51)*'Cálculos'!$C$98)+1400)+'Cálculos'!$C$123)*'Cálculos'!$C$280)+('Cálculos'!$C$201*(1+'Cálculos'!$C$202+$A$6:$A$51*('Cálculos'!$C$290=2)*'Cálculos'!$C$101)+'Cálculos'!$C$203)*('Cálculos'!$C$271+'Cálculos'!$C$124*(1+2.78*('Cálculos'!$C$200+(($C38)-$A$6:$A$51)*'Cálculos'!$C$98)/(('Cálculos'!$C$200+(($C38)-$A$6:$A$51)*'Cálculos'!$C$98)+1400)+'Cálculos'!$C$122)*'Cálculos'!$C$276+'Cálculos'!$C$125*(1+2.78*('Cálculos'!$C$200+(($C38)-$A$6:$A$51)*'Cálculos'!$C$98)/(('Cálculos'!$C$200+(($C38)-$A$6:$A$51)*'Cálculos'!$C$98)+1400)+'Cálculos'!$C$123)*'Cálculos'!$C$281)+('Cálculos'!$C$204*(1+'Cálculos'!$C$205+$A$6:$A$51*('Cálculos'!$C$290=3)*'Cálculos'!$C$103)+'Cálculos'!$C$206)*('Cálculos'!$C$272+'Cálculos'!$C$124*(1+2.78*('Cálculos'!$C$200+(($C38)-$A$6:$A$51)*'Cálculos'!$C$98)/(('Cálculos'!$C$200+(($C38)-$A$6:$A$51)*'Cálculos'!$C$98)+1400)+'Cálculos'!$C$122)*'Cálculos'!$C$277+'Cálculos'!$C$125*(1+2.78*('Cálculos'!$C$200+(($C38)-$A$6:$A$51)*'Cálculos'!$C$98)/(('Cálculos'!$C$200+(($C38)-$A$6:$A$51)*'Cálculos'!$C$98)+1400)+'Cálculos'!$C$123)*'Cálculos'!$C$282)))))</f>
        <v>0</v>
      </c>
      <c r="E38" s="32">
        <f>IF(OR($C38&lt;0,'Cálculos'!$C$6=""),0,$B38*$D38)</f>
        <v>0</v>
      </c>
      <c r="F38" s="2"/>
      <c r="G38" s="30">
        <f>($A38&lt;=$B$53)*($A38&lt;='Cálculos'!$C$294)*(($B$53)-$A38&lt;='Cálculos'!$C$295)*(1+MIN(('Cálculos'!$C$207+$A38*'Cálculos'!$C$95),1)*('Cálculos'!$C$208+(($B$53)-$A38)*'Cálculos'!$C$96))</f>
        <v>0</v>
      </c>
      <c r="H38" s="31">
        <f>IF($B$54&lt;0,0,($A38&lt;=$B$54)*($A38&lt;='Cálculos'!$C$301)*(($B$54)-$A38&lt;='Cálculos'!$C$297)*(('Cálculos'!$C$185*(1+'Cálculos'!$C$186+$A38*('Cálculos'!$C$290=1)*'Cálculos'!$C$97+'Cálculos'!$C$305)+'Cálculos'!$C$191)*('Cálculos'!$C$209+'Cálculos'!$C$124*(1+2.78*('Cálculos'!$C$196+(($B$54)-$A38)*'Cálculos'!$C$98)/(('Cálculos'!$C$196+(($B$54)-$A38)*'Cálculos'!$C$98)+1400)+'Cálculos'!$C$122)*'Cálculos'!$C$214+'Cálculos'!$C$125*(1+2.78*('Cálculos'!$C$196+(($B$54)-$A38)*'Cálculos'!$C$98)/(('Cálculos'!$C$196+(($B$54)-$A38)*'Cálculos'!$C$98)+1400)+'Cálculos'!$C$123)*'Cálculos'!$C$219)+('Cálculos'!$C$196+(($B$54)-$A38)*'Cálculos'!$C$98)*('Cálculos'!$C$210+'Cálculos'!$C$124*(1+2.78*('Cálculos'!$C$196+(($B$54)-$A38)*'Cálculos'!$C$98)/(('Cálculos'!$C$196+(($B$54)-$A38)*'Cálculos'!$C$98)+1400)+'Cálculos'!$C$122)*'Cálculos'!$C$215+'Cálculos'!$C$125*(1+2.78*('Cálculos'!$C$196+(($B$54)-$A38)*'Cálculos'!$C$98)/(('Cálculos'!$C$196+(($B$54)-$A38)*'Cálculos'!$C$98)+1400)+'Cálculos'!$C$123)*'Cálculos'!$C$220)+('Cálculos'!$C$201*(1+'Cálculos'!$C$202+$A38*('Cálculos'!$C$290=2)*'Cálculos'!$C$101)+'Cálculos'!$C$203)*('Cálculos'!$C$211+'Cálculos'!$C$124*(1+2.78*('Cálculos'!$C$196+(($B$54)-$A38)*'Cálculos'!$C$98)/(('Cálculos'!$C$196+(($B$54)-$A38)*'Cálculos'!$C$98)+1400)+'Cálculos'!$C$122)*'Cálculos'!$C$216+'Cálculos'!$C$125*(1+2.78*('Cálculos'!$C$196+(($B$54)-$A38)*'Cálculos'!$C$98)/(('Cálculos'!$C$196+(($B$54)-$A38)*'Cálculos'!$C$98)+1400)+'Cálculos'!$C$123)*'Cálculos'!$C$221)+('Cálculos'!$C$204*(1+'Cálculos'!$C$205+$A38*('Cálculos'!$C$290=3)*'Cálculos'!$C$103)+'Cálculos'!$C$206)*('Cálculos'!$C$212+'Cálculos'!$C$124*(1+2.78*('Cálculos'!$C$196+(($B$54)-$A38)*'Cálculos'!$C$98)/(('Cálculos'!$C$196+(($B$54)-$A38)*'Cálculos'!$C$98)+1400)+'Cálculos'!$C$122)*'Cálculos'!$C$217+'Cálculos'!$C$125*(1+2.78*('Cálculos'!$C$196+(($B$54)-$A38)*'Cálculos'!$C$98)/(('Cálculos'!$C$196+(($B$54)-$A38)*'Cálculos'!$C$98)+1400)+'Cálculos'!$C$123)*'Cálculos'!$C$222)+('Cálculos'!$C$185*(1+'Cálculos'!$C$187+$A38*('Cálculos'!$C$290=1)*'Cálculos'!$C$97+'Cálculos'!$C$305)+'Cálculos'!$C$192)*('Cálculos'!$C$224+'Cálculos'!$C$124*(1+2.78*('Cálculos'!$C$197+(($B$54)-$A38)*'Cálculos'!$C$98)/(('Cálculos'!$C$197+(($B$54)-$A38)*'Cálculos'!$C$98)+1400)+'Cálculos'!$C$122)*'Cálculos'!$C$229+'Cálculos'!$C$125*(1+2.78*('Cálculos'!$C$197+(($B$54)-$A38)*'Cálculos'!$C$98)/(('Cálculos'!$C$197+(($B$54)-$A38)*'Cálculos'!$C$98)+1400)+'Cálculos'!$C$123)*'Cálculos'!$C$234)+('Cálculos'!$C$197+(($B$54)-$A38)*'Cálculos'!$C$98)*('Cálculos'!$C$225+'Cálculos'!$C$124*(1+2.78*('Cálculos'!$C$197+(($B$54)-$A38)*'Cálculos'!$C$98)/(('Cálculos'!$C$197+(($B$54)-$A38)*'Cálculos'!$C$98)+1400)+'Cálculos'!$C$122)*'Cálculos'!$C$230+'Cálculos'!$C$125*(1+2.78*('Cálculos'!$C$197+(($B$54)-$A38)*'Cálculos'!$C$98)/(('Cálculos'!$C$197+(($B$54)-$A38)*'Cálculos'!$C$98)+1400)+'Cálculos'!$C$123)*'Cálculos'!$C$235)+('Cálculos'!$C$201*(1+'Cálculos'!$C$202+$A38*('Cálculos'!$C$290=2)*'Cálculos'!$C$101)+'Cálculos'!$C$203)*('Cálculos'!$C$226+'Cálculos'!$C$124*(1+2.78*('Cálculos'!$C$197+(($B$54)-$A38)*'Cálculos'!$C$98)/(('Cálculos'!$C$197+(($B$54)-$A38)*'Cálculos'!$C$98)+1400)+'Cálculos'!$C$122)*'Cálculos'!$C$231+'Cálculos'!$C$125*(1+2.78*('Cálculos'!$C$197+(($B$54)-$A38)*'Cálculos'!$C$98)/(('Cálculos'!$C$197+(($B$54)-$A38)*'Cálculos'!$C$98)+1400)+'Cálculos'!$C$123)*'Cálculos'!$C$236)+('Cálculos'!$C$204*(1+'Cálculos'!$C$205+$A38*('Cálculos'!$C$290=3)*'Cálculos'!$C$103)+'Cálculos'!$C$206)*('Cálculos'!$C$227+'Cálculos'!$C$124*(1+2.78*('Cálculos'!$C$197+(($B$54)-$A38)*'Cálculos'!$C$98)/(('Cálculos'!$C$197+(($B$54)-$A38)*'Cálculos'!$C$98)+1400)+'Cálculos'!$C$122)*'Cálculos'!$C$232+'Cálculos'!$C$125*(1+2.78*('Cálculos'!$C$197+(($B$54)-$A38)*'Cálculos'!$C$98)/(('Cálculos'!$C$197+(($B$54)-$A38)*'Cálculos'!$C$98)+1400)+'Cálculos'!$C$123)*'Cálculos'!$C$237)+('Cálculos'!$C$185*(1+'Cálculos'!$C$188+$A38*('Cálculos'!$C$290=1)*'Cálculos'!$C$97+'Cálculos'!$C$305)+'Cálculos'!$C$193)*('Cálculos'!$C$239+'Cálculos'!$C$124*(1+2.78*('Cálculos'!$C$198+(($B$54)-$A38)*'Cálculos'!$C$98)/(('Cálculos'!$C$198+(($B$54)-$A38)*'Cálculos'!$C$98)+1400)+'Cálculos'!$C$122)*'Cálculos'!$C$244+'Cálculos'!$C$125*(1+2.78*('Cálculos'!$C$198+(($B$54)-$A38)*'Cálculos'!$C$98)/(('Cálculos'!$C$198+(($B$54)-$A38)*'Cálculos'!$C$98)+1400)+'Cálculos'!$C$123)*'Cálculos'!$C$249)+('Cálculos'!$C$198+(($B$54)-$A38)*'Cálculos'!$C$98)*('Cálculos'!$C$240+'Cálculos'!$C$124*(1+2.78*('Cálculos'!$C$198+(($B$54)-$A38)*'Cálculos'!$C$98)/(('Cálculos'!$C$198+(($B$54)-$A38)*'Cálculos'!$C$98)+1400)+'Cálculos'!$C$122)*'Cálculos'!$C$245+'Cálculos'!$C$125*(1+2.78*('Cálculos'!$C$198+(($B$54)-$A38)*'Cálculos'!$C$98)/(('Cálculos'!$C$198+(($B$54)-$A38)*'Cálculos'!$C$98)+1400)+'Cálculos'!$C$123)*'Cálculos'!$C$250)+('Cálculos'!$C$201*(1+'Cálculos'!$C$202+$A38*('Cálculos'!$C$290=2)*'Cálculos'!$C$101)+'Cálculos'!$C$203)*('Cálculos'!$C$241+'Cálculos'!$C$124*(1+2.78*('Cálculos'!$C$198+(($B$54)-$A38)*'Cálculos'!$C$98)/(('Cálculos'!$C$198+(($B$54)-$A38)*'Cálculos'!$C$98)+1400)+'Cálculos'!$C$122)*'Cálculos'!$C$246+'Cálculos'!$C$125*(1+2.78*('Cálculos'!$C$198+(($B$54)-$A38)*'Cálculos'!$C$98)/(('Cálculos'!$C$198+(($B$54)-$A38)*'Cálculos'!$C$98)+1400)+'Cálculos'!$C$123)*'Cálculos'!$C$251)+('Cálculos'!$C$204*(1+'Cálculos'!$C$205+$A38*('Cálculos'!$C$290=3)*'Cálculos'!$C$103)+'Cálculos'!$C$206)*('Cálculos'!$C$242+'Cálculos'!$C$124*(1+2.78*('Cálculos'!$C$198+(($B$54)-$A38)*'Cálculos'!$C$98)/(('Cálculos'!$C$198+(($B$54)-$A38)*'Cálculos'!$C$98)+1400)+'Cálculos'!$C$122)*'Cálculos'!$C$247+'Cálculos'!$C$125*(1+2.78*('Cálculos'!$C$198+(($B$54)-$A38)*'Cálculos'!$C$98)/(('Cálculos'!$C$198+(($B$54)-$A38)*'Cálculos'!$C$98)+1400)+'Cálculos'!$C$123)*'Cálculos'!$C$252)+('Cálculos'!$C$185*(1+'Cálculos'!$C$189+$A38*('Cálculos'!$C$290=1)*'Cálculos'!$C$97+'Cálculos'!$C$305)+'Cálculos'!$C$194)*('Cálculos'!$C$254+'Cálculos'!$C$124*(1+2.78*('Cálculos'!$C$199+(($B$54)-$A38)*'Cálculos'!$C$98)/(('Cálculos'!$C$199+(($B$54)-$A38)*'Cálculos'!$C$98)+1400)+'Cálculos'!$C$122)*'Cálculos'!$C$259+'Cálculos'!$C$125*(1+2.78*('Cálculos'!$C$199+(($B$54)-$A38)*'Cálculos'!$C$98)/(('Cálculos'!$C$199+(($B$54)-$A38)*'Cálculos'!$C$98)+1400)+'Cálculos'!$C$123)*'Cálculos'!$C$264)+('Cálculos'!$C$199+(($B$54)-$A38)*'Cálculos'!$C$98)*('Cálculos'!$C$255+'Cálculos'!$C$124*(1+2.78*('Cálculos'!$C$199+(($B$54)-$A38)*'Cálculos'!$C$98)/(('Cálculos'!$C$199+(($B$54)-$A38)*'Cálculos'!$C$98)+1400)+'Cálculos'!$C$122)*'Cálculos'!$C$260+'Cálculos'!$C$125*(1+2.78*('Cálculos'!$C$199+(($B$54)-$A38)*'Cálculos'!$C$98)/(('Cálculos'!$C$199+(($B$54)-$A38)*'Cálculos'!$C$98)+1400)+'Cálculos'!$C$123)*'Cálculos'!$C$265)+('Cálculos'!$C$201*(1+'Cálculos'!$C$202+$A38*('Cálculos'!$C$290=2)*'Cálculos'!$C$101)+'Cálculos'!$C$203)*('Cálculos'!$C$256+'Cálculos'!$C$124*(1+2.78*('Cálculos'!$C$199+(($B$54)-$A38)*'Cálculos'!$C$98)/(('Cálculos'!$C$199+(($B$54)-$A38)*'Cálculos'!$C$98)+1400)+'Cálculos'!$C$122)*'Cálculos'!$C$261+'Cálculos'!$C$125*(1+2.78*('Cálculos'!$C$199+(($B$54)-$A38)*'Cálculos'!$C$98)/(('Cálculos'!$C$199+(($B$54)-$A38)*'Cálculos'!$C$98)+1400)+'Cálculos'!$C$123)*'Cálculos'!$C$266)+('Cálculos'!$C$204*(1+'Cálculos'!$C$205+$A38*('Cálculos'!$C$290=3)*'Cálculos'!$C$103)+'Cálculos'!$C$206)*('Cálculos'!$C$257+'Cálculos'!$C$124*(1+2.78*('Cálculos'!$C$199+(($B$54)-$A38)*'Cálculos'!$C$98)/(('Cálculos'!$C$199+(($B$54)-$A38)*'Cálculos'!$C$98)+1400)+'Cálculos'!$C$122)*'Cálculos'!$C$262+'Cálculos'!$C$125*(1+2.78*('Cálculos'!$C$199+(($B$54)-$A38)*'Cálculos'!$C$98)/(('Cálculos'!$C$199+(($B$54)-$A38)*'Cálculos'!$C$98)+1400)+'Cálculos'!$C$123)*'Cálculos'!$C$267)+('Cálculos'!$C$185*(1+'Cálculos'!$C$190+$A38*('Cálculos'!$C$290=1)*'Cálculos'!$C$97+'Cálculos'!$C$305)+'Cálculos'!$C$195)*('Cálculos'!$C$269+'Cálculos'!$C$124*(1+2.78*('Cálculos'!$C$200+(($B$54)-$A38)*'Cálculos'!$C$98)/(('Cálculos'!$C$200+(($B$54)-$A38)*'Cálculos'!$C$98)+1400)+'Cálculos'!$C$122)*'Cálculos'!$C$274+'Cálculos'!$C$125*(1+2.78*('Cálculos'!$C$200+(($B$54)-$A38)*'Cálculos'!$C$98)/(('Cálculos'!$C$200+(($B$54)-$A38)*'Cálculos'!$C$98)+1400)+'Cálculos'!$C$123)*'Cálculos'!$C$279)+('Cálculos'!$C$200+(($B$54)-$A38)*'Cálculos'!$C$98)*('Cálculos'!$C$270+'Cálculos'!$C$124*(1+2.78*('Cálculos'!$C$200+(($B$54)-$A38)*'Cálculos'!$C$98)/(('Cálculos'!$C$200+(($B$54)-$A38)*'Cálculos'!$C$98)+1400)+'Cálculos'!$C$122)*'Cálculos'!$C$275+'Cálculos'!$C$125*(1+2.78*('Cálculos'!$C$200+(($B$54)-$A38)*'Cálculos'!$C$98)/(('Cálculos'!$C$200+(($B$54)-$A38)*'Cálculos'!$C$98)+1400)+'Cálculos'!$C$123)*'Cálculos'!$C$280)+('Cálculos'!$C$201*(1+'Cálculos'!$C$202+$A38*('Cálculos'!$C$290=2)*'Cálculos'!$C$101)+'Cálculos'!$C$203)*('Cálculos'!$C$271+'Cálculos'!$C$124*(1+2.78*('Cálculos'!$C$200+(($B$54)-$A38)*'Cálculos'!$C$98)/(('Cálculos'!$C$200+(($B$54)-$A38)*'Cálculos'!$C$98)+1400)+'Cálculos'!$C$122)*'Cálculos'!$C$276+'Cálculos'!$C$125*(1+2.78*('Cálculos'!$C$200+(($B$54)-$A38)*'Cálculos'!$C$98)/(('Cálculos'!$C$200+(($B$54)-$A38)*'Cálculos'!$C$98)+1400)+'Cálculos'!$C$123)*'Cálculos'!$C$281)+('Cálculos'!$C$204*(1+'Cálculos'!$C$205+$A38*('Cálculos'!$C$290=3)*'Cálculos'!$C$103)+'Cálculos'!$C$206)*('Cálculos'!$C$272+'Cálculos'!$C$124*(1+2.78*('Cálculos'!$C$200+(($B$54)-$A38)*'Cálculos'!$C$98)/(('Cálculos'!$C$200+(($B$54)-$A38)*'Cálculos'!$C$98)+1400)+'Cálculos'!$C$122)*'Cálculos'!$C$277+'Cálculos'!$C$125*(1+2.78*('Cálculos'!$C$200+(($B$54)-$A38)*'Cálculos'!$C$98)/(('Cálculos'!$C$200+(($B$54)-$A38)*'Cálculos'!$C$98)+1400)+'Cálculos'!$C$123)*'Cálculos'!$C$282)))</f>
        <v>0</v>
      </c>
    </row>
    <row r="39" ht="15.75" customHeight="1">
      <c r="A39" s="2">
        <v>33.0</v>
      </c>
      <c r="B39" s="30">
        <f>SUMPRODUCT(MAX(($A$6:$A$51&lt;=$A39)*($A$6:$A$51&lt;='Cálculos'!$C$294)*(($A39)-$A$6:$A$51&lt;='Cálculos'!$C$295)*(1+(('Cálculos'!$C$207+$A$6:$A$51*'Cálculos'!$C$95)-(('Cálculos'!$C$207+$A$6:$A$51*'Cálculos'!$C$95)&gt;1)*(('Cálculos'!$C$207+$A$6:$A$51*'Cálculos'!$C$95)-1))*('Cálculos'!$C$208+(($A39)-$A$6:$A$51)*'Cálculos'!$C$96))))</f>
        <v>4.40216</v>
      </c>
      <c r="C39" s="2">
        <f>'Cálculos'!$C$303-$A39</f>
        <v>-13</v>
      </c>
      <c r="D39" s="31">
        <f>IF($C39&lt;0,0,SUMPRODUCT(MAX(($A$6:$A$51&lt;=$C39)*($A$6:$A$51&lt;='Cálculos'!$C$301)*(($C39)-$A$6:$A$51&lt;='Cálculos'!$C$297)*(('Cálculos'!$C$185*(1+'Cálculos'!$C$186+$A$6:$A$51*('Cálculos'!$C$290=1)*'Cálculos'!$C$97+'Cálculos'!$C$305)+'Cálculos'!$C$191)*('Cálculos'!$C$209+'Cálculos'!$C$124*(1+2.78*('Cálculos'!$C$196+(($C39)-$A$6:$A$51)*'Cálculos'!$C$98)/(('Cálculos'!$C$196+(($C39)-$A$6:$A$51)*'Cálculos'!$C$98)+1400)+'Cálculos'!$C$122)*'Cálculos'!$C$214+'Cálculos'!$C$125*(1+2.78*('Cálculos'!$C$196+(($C39)-$A$6:$A$51)*'Cálculos'!$C$98)/(('Cálculos'!$C$196+(($C39)-$A$6:$A$51)*'Cálculos'!$C$98)+1400)+'Cálculos'!$C$123)*'Cálculos'!$C$219)+('Cálculos'!$C$196+(($C39)-$A$6:$A$51)*'Cálculos'!$C$98)*('Cálculos'!$C$210+'Cálculos'!$C$124*(1+2.78*('Cálculos'!$C$196+(($C39)-$A$6:$A$51)*'Cálculos'!$C$98)/(('Cálculos'!$C$196+(($C39)-$A$6:$A$51)*'Cálculos'!$C$98)+1400)+'Cálculos'!$C$122)*'Cálculos'!$C$215+'Cálculos'!$C$125*(1+2.78*('Cálculos'!$C$196+(($C39)-$A$6:$A$51)*'Cálculos'!$C$98)/(('Cálculos'!$C$196+(($C39)-$A$6:$A$51)*'Cálculos'!$C$98)+1400)+'Cálculos'!$C$123)*'Cálculos'!$C$220)+('Cálculos'!$C$201*(1+'Cálculos'!$C$202+$A$6:$A$51*('Cálculos'!$C$290=2)*'Cálculos'!$C$101)+'Cálculos'!$C$203)*('Cálculos'!$C$211+'Cálculos'!$C$124*(1+2.78*('Cálculos'!$C$196+(($C39)-$A$6:$A$51)*'Cálculos'!$C$98)/(('Cálculos'!$C$196+(($C39)-$A$6:$A$51)*'Cálculos'!$C$98)+1400)+'Cálculos'!$C$122)*'Cálculos'!$C$216+'Cálculos'!$C$125*(1+2.78*('Cálculos'!$C$196+(($C39)-$A$6:$A$51)*'Cálculos'!$C$98)/(('Cálculos'!$C$196+(($C39)-$A$6:$A$51)*'Cálculos'!$C$98)+1400)+'Cálculos'!$C$123)*'Cálculos'!$C$221)+('Cálculos'!$C$204*(1+'Cálculos'!$C$205+$A$6:$A$51*('Cálculos'!$C$290=3)*'Cálculos'!$C$103)+'Cálculos'!$C$206)*('Cálculos'!$C$212+'Cálculos'!$C$124*(1+2.78*('Cálculos'!$C$196+(($C39)-$A$6:$A$51)*'Cálculos'!$C$98)/(('Cálculos'!$C$196+(($C39)-$A$6:$A$51)*'Cálculos'!$C$98)+1400)+'Cálculos'!$C$122)*'Cálculos'!$C$217+'Cálculos'!$C$125*(1+2.78*('Cálculos'!$C$196+(($C39)-$A$6:$A$51)*'Cálculos'!$C$98)/(('Cálculos'!$C$196+(($C39)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39)-$A$6:$A$51)*'Cálculos'!$C$98)/(('Cálculos'!$C$197+(($C39)-$A$6:$A$51)*'Cálculos'!$C$98)+1400)+'Cálculos'!$C$122)*'Cálculos'!$C$229+'Cálculos'!$C$125*(1+2.78*('Cálculos'!$C$197+(($C39)-$A$6:$A$51)*'Cálculos'!$C$98)/(('Cálculos'!$C$197+(($C39)-$A$6:$A$51)*'Cálculos'!$C$98)+1400)+'Cálculos'!$C$123)*'Cálculos'!$C$234)+('Cálculos'!$C$197+(($C39)-$A$6:$A$51)*'Cálculos'!$C$98)*('Cálculos'!$C$225+'Cálculos'!$C$124*(1+2.78*('Cálculos'!$C$197+(($C39)-$A$6:$A$51)*'Cálculos'!$C$98)/(('Cálculos'!$C$197+(($C39)-$A$6:$A$51)*'Cálculos'!$C$98)+1400)+'Cálculos'!$C$122)*'Cálculos'!$C$230+'Cálculos'!$C$125*(1+2.78*('Cálculos'!$C$197+(($C39)-$A$6:$A$51)*'Cálculos'!$C$98)/(('Cálculos'!$C$197+(($C39)-$A$6:$A$51)*'Cálculos'!$C$98)+1400)+'Cálculos'!$C$123)*'Cálculos'!$C$235)+('Cálculos'!$C$201*(1+'Cálculos'!$C$202+$A$6:$A$51*('Cálculos'!$C$290=2)*'Cálculos'!$C$101)+'Cálculos'!$C$203)*('Cálculos'!$C$226+'Cálculos'!$C$124*(1+2.78*('Cálculos'!$C$197+(($C39)-$A$6:$A$51)*'Cálculos'!$C$98)/(('Cálculos'!$C$197+(($C39)-$A$6:$A$51)*'Cálculos'!$C$98)+1400)+'Cálculos'!$C$122)*'Cálculos'!$C$231+'Cálculos'!$C$125*(1+2.78*('Cálculos'!$C$197+(($C39)-$A$6:$A$51)*'Cálculos'!$C$98)/(('Cálculos'!$C$197+(($C39)-$A$6:$A$51)*'Cálculos'!$C$98)+1400)+'Cálculos'!$C$123)*'Cálculos'!$C$236)+('Cálculos'!$C$204*(1+'Cálculos'!$C$205+$A$6:$A$51*('Cálculos'!$C$290=3)*'Cálculos'!$C$103)+'Cálculos'!$C$206)*('Cálculos'!$C$227+'Cálculos'!$C$124*(1+2.78*('Cálculos'!$C$197+(($C39)-$A$6:$A$51)*'Cálculos'!$C$98)/(('Cálculos'!$C$197+(($C39)-$A$6:$A$51)*'Cálculos'!$C$98)+1400)+'Cálculos'!$C$122)*'Cálculos'!$C$232+'Cálculos'!$C$125*(1+2.78*('Cálculos'!$C$197+(($C39)-$A$6:$A$51)*'Cálculos'!$C$98)/(('Cálculos'!$C$197+(($C39)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39)-$A$6:$A$51)*'Cálculos'!$C$98)/(('Cálculos'!$C$198+(($C39)-$A$6:$A$51)*'Cálculos'!$C$98)+1400)+'Cálculos'!$C$122)*'Cálculos'!$C$244+'Cálculos'!$C$125*(1+2.78*('Cálculos'!$C$198+(($C39)-$A$6:$A$51)*'Cálculos'!$C$98)/(('Cálculos'!$C$198+(($C39)-$A$6:$A$51)*'Cálculos'!$C$98)+1400)+'Cálculos'!$C$123)*'Cálculos'!$C$249)+('Cálculos'!$C$198+(($C39)-$A$6:$A$51)*'Cálculos'!$C$98)*('Cálculos'!$C$240+'Cálculos'!$C$124*(1+2.78*('Cálculos'!$C$198+(($C39)-$A$6:$A$51)*'Cálculos'!$C$98)/(('Cálculos'!$C$198+(($C39)-$A$6:$A$51)*'Cálculos'!$C$98)+1400)+'Cálculos'!$C$122)*'Cálculos'!$C$245+'Cálculos'!$C$125*(1+2.78*('Cálculos'!$C$198+(($C39)-$A$6:$A$51)*'Cálculos'!$C$98)/(('Cálculos'!$C$198+(($C39)-$A$6:$A$51)*'Cálculos'!$C$98)+1400)+'Cálculos'!$C$123)*'Cálculos'!$C$250)+('Cálculos'!$C$201*(1+'Cálculos'!$C$202+$A$6:$A$51*('Cálculos'!$C$290=2)*'Cálculos'!$C$101)+'Cálculos'!$C$203)*('Cálculos'!$C$241+'Cálculos'!$C$124*(1+2.78*('Cálculos'!$C$198+(($C39)-$A$6:$A$51)*'Cálculos'!$C$98)/(('Cálculos'!$C$198+(($C39)-$A$6:$A$51)*'Cálculos'!$C$98)+1400)+'Cálculos'!$C$122)*'Cálculos'!$C$246+'Cálculos'!$C$125*(1+2.78*('Cálculos'!$C$198+(($C39)-$A$6:$A$51)*'Cálculos'!$C$98)/(('Cálculos'!$C$198+(($C39)-$A$6:$A$51)*'Cálculos'!$C$98)+1400)+'Cálculos'!$C$123)*'Cálculos'!$C$251)+('Cálculos'!$C$204*(1+'Cálculos'!$C$205+$A$6:$A$51*('Cálculos'!$C$290=3)*'Cálculos'!$C$103)+'Cálculos'!$C$206)*('Cálculos'!$C$242+'Cálculos'!$C$124*(1+2.78*('Cálculos'!$C$198+(($C39)-$A$6:$A$51)*'Cálculos'!$C$98)/(('Cálculos'!$C$198+(($C39)-$A$6:$A$51)*'Cálculos'!$C$98)+1400)+'Cálculos'!$C$122)*'Cálculos'!$C$247+'Cálculos'!$C$125*(1+2.78*('Cálculos'!$C$198+(($C39)-$A$6:$A$51)*'Cálculos'!$C$98)/(('Cálculos'!$C$198+(($C39)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39)-$A$6:$A$51)*'Cálculos'!$C$98)/(('Cálculos'!$C$199+(($C39)-$A$6:$A$51)*'Cálculos'!$C$98)+1400)+'Cálculos'!$C$122)*'Cálculos'!$C$259+'Cálculos'!$C$125*(1+2.78*('Cálculos'!$C$199+(($C39)-$A$6:$A$51)*'Cálculos'!$C$98)/(('Cálculos'!$C$199+(($C39)-$A$6:$A$51)*'Cálculos'!$C$98)+1400)+'Cálculos'!$C$123)*'Cálculos'!$C$264)+('Cálculos'!$C$199+(($C39)-$A$6:$A$51)*'Cálculos'!$C$98)*('Cálculos'!$C$255+'Cálculos'!$C$124*(1+2.78*('Cálculos'!$C$199+(($C39)-$A$6:$A$51)*'Cálculos'!$C$98)/(('Cálculos'!$C$199+(($C39)-$A$6:$A$51)*'Cálculos'!$C$98)+1400)+'Cálculos'!$C$122)*'Cálculos'!$C$260+'Cálculos'!$C$125*(1+2.78*('Cálculos'!$C$199+(($C39)-$A$6:$A$51)*'Cálculos'!$C$98)/(('Cálculos'!$C$199+(($C39)-$A$6:$A$51)*'Cálculos'!$C$98)+1400)+'Cálculos'!$C$123)*'Cálculos'!$C$265)+('Cálculos'!$C$201*(1+'Cálculos'!$C$202+$A$6:$A$51*('Cálculos'!$C$290=2)*'Cálculos'!$C$101)+'Cálculos'!$C$203)*('Cálculos'!$C$256+'Cálculos'!$C$124*(1+2.78*('Cálculos'!$C$199+(($C39)-$A$6:$A$51)*'Cálculos'!$C$98)/(('Cálculos'!$C$199+(($C39)-$A$6:$A$51)*'Cálculos'!$C$98)+1400)+'Cálculos'!$C$122)*'Cálculos'!$C$261+'Cálculos'!$C$125*(1+2.78*('Cálculos'!$C$199+(($C39)-$A$6:$A$51)*'Cálculos'!$C$98)/(('Cálculos'!$C$199+(($C39)-$A$6:$A$51)*'Cálculos'!$C$98)+1400)+'Cálculos'!$C$123)*'Cálculos'!$C$266)+('Cálculos'!$C$204*(1+'Cálculos'!$C$205+$A$6:$A$51*('Cálculos'!$C$290=3)*'Cálculos'!$C$103)+'Cálculos'!$C$206)*('Cálculos'!$C$257+'Cálculos'!$C$124*(1+2.78*('Cálculos'!$C$199+(($C39)-$A$6:$A$51)*'Cálculos'!$C$98)/(('Cálculos'!$C$199+(($C39)-$A$6:$A$51)*'Cálculos'!$C$98)+1400)+'Cálculos'!$C$122)*'Cálculos'!$C$262+'Cálculos'!$C$125*(1+2.78*('Cálculos'!$C$199+(($C39)-$A$6:$A$51)*'Cálculos'!$C$98)/(('Cálculos'!$C$199+(($C39)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39)-$A$6:$A$51)*'Cálculos'!$C$98)/(('Cálculos'!$C$200+(($C39)-$A$6:$A$51)*'Cálculos'!$C$98)+1400)+'Cálculos'!$C$122)*'Cálculos'!$C$274+'Cálculos'!$C$125*(1+2.78*('Cálculos'!$C$200+(($C39)-$A$6:$A$51)*'Cálculos'!$C$98)/(('Cálculos'!$C$200+(($C39)-$A$6:$A$51)*'Cálculos'!$C$98)+1400)+'Cálculos'!$C$123)*'Cálculos'!$C$279)+('Cálculos'!$C$200+(($C39)-$A$6:$A$51)*'Cálculos'!$C$98)*('Cálculos'!$C$270+'Cálculos'!$C$124*(1+2.78*('Cálculos'!$C$200+(($C39)-$A$6:$A$51)*'Cálculos'!$C$98)/(('Cálculos'!$C$200+(($C39)-$A$6:$A$51)*'Cálculos'!$C$98)+1400)+'Cálculos'!$C$122)*'Cálculos'!$C$275+'Cálculos'!$C$125*(1+2.78*('Cálculos'!$C$200+(($C39)-$A$6:$A$51)*'Cálculos'!$C$98)/(('Cálculos'!$C$200+(($C39)-$A$6:$A$51)*'Cálculos'!$C$98)+1400)+'Cálculos'!$C$123)*'Cálculos'!$C$280)+('Cálculos'!$C$201*(1+'Cálculos'!$C$202+$A$6:$A$51*('Cálculos'!$C$290=2)*'Cálculos'!$C$101)+'Cálculos'!$C$203)*('Cálculos'!$C$271+'Cálculos'!$C$124*(1+2.78*('Cálculos'!$C$200+(($C39)-$A$6:$A$51)*'Cálculos'!$C$98)/(('Cálculos'!$C$200+(($C39)-$A$6:$A$51)*'Cálculos'!$C$98)+1400)+'Cálculos'!$C$122)*'Cálculos'!$C$276+'Cálculos'!$C$125*(1+2.78*('Cálculos'!$C$200+(($C39)-$A$6:$A$51)*'Cálculos'!$C$98)/(('Cálculos'!$C$200+(($C39)-$A$6:$A$51)*'Cálculos'!$C$98)+1400)+'Cálculos'!$C$123)*'Cálculos'!$C$281)+('Cálculos'!$C$204*(1+'Cálculos'!$C$205+$A$6:$A$51*('Cálculos'!$C$290=3)*'Cálculos'!$C$103)+'Cálculos'!$C$206)*('Cálculos'!$C$272+'Cálculos'!$C$124*(1+2.78*('Cálculos'!$C$200+(($C39)-$A$6:$A$51)*'Cálculos'!$C$98)/(('Cálculos'!$C$200+(($C39)-$A$6:$A$51)*'Cálculos'!$C$98)+1400)+'Cálculos'!$C$122)*'Cálculos'!$C$277+'Cálculos'!$C$125*(1+2.78*('Cálculos'!$C$200+(($C39)-$A$6:$A$51)*'Cálculos'!$C$98)/(('Cálculos'!$C$200+(($C39)-$A$6:$A$51)*'Cálculos'!$C$98)+1400)+'Cálculos'!$C$123)*'Cálculos'!$C$282)))))</f>
        <v>0</v>
      </c>
      <c r="E39" s="32">
        <f>IF(OR($C39&lt;0,'Cálculos'!$C$6=""),0,$B39*$D39)</f>
        <v>0</v>
      </c>
      <c r="F39" s="2"/>
      <c r="G39" s="30">
        <f>($A39&lt;=$B$53)*($A39&lt;='Cálculos'!$C$294)*(($B$53)-$A39&lt;='Cálculos'!$C$295)*(1+MIN(('Cálculos'!$C$207+$A39*'Cálculos'!$C$95),1)*('Cálculos'!$C$208+(($B$53)-$A39)*'Cálculos'!$C$96))</f>
        <v>0</v>
      </c>
      <c r="H39" s="31">
        <f>IF($B$54&lt;0,0,($A39&lt;=$B$54)*($A39&lt;='Cálculos'!$C$301)*(($B$54)-$A39&lt;='Cálculos'!$C$297)*(('Cálculos'!$C$185*(1+'Cálculos'!$C$186+$A39*('Cálculos'!$C$290=1)*'Cálculos'!$C$97+'Cálculos'!$C$305)+'Cálculos'!$C$191)*('Cálculos'!$C$209+'Cálculos'!$C$124*(1+2.78*('Cálculos'!$C$196+(($B$54)-$A39)*'Cálculos'!$C$98)/(('Cálculos'!$C$196+(($B$54)-$A39)*'Cálculos'!$C$98)+1400)+'Cálculos'!$C$122)*'Cálculos'!$C$214+'Cálculos'!$C$125*(1+2.78*('Cálculos'!$C$196+(($B$54)-$A39)*'Cálculos'!$C$98)/(('Cálculos'!$C$196+(($B$54)-$A39)*'Cálculos'!$C$98)+1400)+'Cálculos'!$C$123)*'Cálculos'!$C$219)+('Cálculos'!$C$196+(($B$54)-$A39)*'Cálculos'!$C$98)*('Cálculos'!$C$210+'Cálculos'!$C$124*(1+2.78*('Cálculos'!$C$196+(($B$54)-$A39)*'Cálculos'!$C$98)/(('Cálculos'!$C$196+(($B$54)-$A39)*'Cálculos'!$C$98)+1400)+'Cálculos'!$C$122)*'Cálculos'!$C$215+'Cálculos'!$C$125*(1+2.78*('Cálculos'!$C$196+(($B$54)-$A39)*'Cálculos'!$C$98)/(('Cálculos'!$C$196+(($B$54)-$A39)*'Cálculos'!$C$98)+1400)+'Cálculos'!$C$123)*'Cálculos'!$C$220)+('Cálculos'!$C$201*(1+'Cálculos'!$C$202+$A39*('Cálculos'!$C$290=2)*'Cálculos'!$C$101)+'Cálculos'!$C$203)*('Cálculos'!$C$211+'Cálculos'!$C$124*(1+2.78*('Cálculos'!$C$196+(($B$54)-$A39)*'Cálculos'!$C$98)/(('Cálculos'!$C$196+(($B$54)-$A39)*'Cálculos'!$C$98)+1400)+'Cálculos'!$C$122)*'Cálculos'!$C$216+'Cálculos'!$C$125*(1+2.78*('Cálculos'!$C$196+(($B$54)-$A39)*'Cálculos'!$C$98)/(('Cálculos'!$C$196+(($B$54)-$A39)*'Cálculos'!$C$98)+1400)+'Cálculos'!$C$123)*'Cálculos'!$C$221)+('Cálculos'!$C$204*(1+'Cálculos'!$C$205+$A39*('Cálculos'!$C$290=3)*'Cálculos'!$C$103)+'Cálculos'!$C$206)*('Cálculos'!$C$212+'Cálculos'!$C$124*(1+2.78*('Cálculos'!$C$196+(($B$54)-$A39)*'Cálculos'!$C$98)/(('Cálculos'!$C$196+(($B$54)-$A39)*'Cálculos'!$C$98)+1400)+'Cálculos'!$C$122)*'Cálculos'!$C$217+'Cálculos'!$C$125*(1+2.78*('Cálculos'!$C$196+(($B$54)-$A39)*'Cálculos'!$C$98)/(('Cálculos'!$C$196+(($B$54)-$A39)*'Cálculos'!$C$98)+1400)+'Cálculos'!$C$123)*'Cálculos'!$C$222)+('Cálculos'!$C$185*(1+'Cálculos'!$C$187+$A39*('Cálculos'!$C$290=1)*'Cálculos'!$C$97+'Cálculos'!$C$305)+'Cálculos'!$C$192)*('Cálculos'!$C$224+'Cálculos'!$C$124*(1+2.78*('Cálculos'!$C$197+(($B$54)-$A39)*'Cálculos'!$C$98)/(('Cálculos'!$C$197+(($B$54)-$A39)*'Cálculos'!$C$98)+1400)+'Cálculos'!$C$122)*'Cálculos'!$C$229+'Cálculos'!$C$125*(1+2.78*('Cálculos'!$C$197+(($B$54)-$A39)*'Cálculos'!$C$98)/(('Cálculos'!$C$197+(($B$54)-$A39)*'Cálculos'!$C$98)+1400)+'Cálculos'!$C$123)*'Cálculos'!$C$234)+('Cálculos'!$C$197+(($B$54)-$A39)*'Cálculos'!$C$98)*('Cálculos'!$C$225+'Cálculos'!$C$124*(1+2.78*('Cálculos'!$C$197+(($B$54)-$A39)*'Cálculos'!$C$98)/(('Cálculos'!$C$197+(($B$54)-$A39)*'Cálculos'!$C$98)+1400)+'Cálculos'!$C$122)*'Cálculos'!$C$230+'Cálculos'!$C$125*(1+2.78*('Cálculos'!$C$197+(($B$54)-$A39)*'Cálculos'!$C$98)/(('Cálculos'!$C$197+(($B$54)-$A39)*'Cálculos'!$C$98)+1400)+'Cálculos'!$C$123)*'Cálculos'!$C$235)+('Cálculos'!$C$201*(1+'Cálculos'!$C$202+$A39*('Cálculos'!$C$290=2)*'Cálculos'!$C$101)+'Cálculos'!$C$203)*('Cálculos'!$C$226+'Cálculos'!$C$124*(1+2.78*('Cálculos'!$C$197+(($B$54)-$A39)*'Cálculos'!$C$98)/(('Cálculos'!$C$197+(($B$54)-$A39)*'Cálculos'!$C$98)+1400)+'Cálculos'!$C$122)*'Cálculos'!$C$231+'Cálculos'!$C$125*(1+2.78*('Cálculos'!$C$197+(($B$54)-$A39)*'Cálculos'!$C$98)/(('Cálculos'!$C$197+(($B$54)-$A39)*'Cálculos'!$C$98)+1400)+'Cálculos'!$C$123)*'Cálculos'!$C$236)+('Cálculos'!$C$204*(1+'Cálculos'!$C$205+$A39*('Cálculos'!$C$290=3)*'Cálculos'!$C$103)+'Cálculos'!$C$206)*('Cálculos'!$C$227+'Cálculos'!$C$124*(1+2.78*('Cálculos'!$C$197+(($B$54)-$A39)*'Cálculos'!$C$98)/(('Cálculos'!$C$197+(($B$54)-$A39)*'Cálculos'!$C$98)+1400)+'Cálculos'!$C$122)*'Cálculos'!$C$232+'Cálculos'!$C$125*(1+2.78*('Cálculos'!$C$197+(($B$54)-$A39)*'Cálculos'!$C$98)/(('Cálculos'!$C$197+(($B$54)-$A39)*'Cálculos'!$C$98)+1400)+'Cálculos'!$C$123)*'Cálculos'!$C$237)+('Cálculos'!$C$185*(1+'Cálculos'!$C$188+$A39*('Cálculos'!$C$290=1)*'Cálculos'!$C$97+'Cálculos'!$C$305)+'Cálculos'!$C$193)*('Cálculos'!$C$239+'Cálculos'!$C$124*(1+2.78*('Cálculos'!$C$198+(($B$54)-$A39)*'Cálculos'!$C$98)/(('Cálculos'!$C$198+(($B$54)-$A39)*'Cálculos'!$C$98)+1400)+'Cálculos'!$C$122)*'Cálculos'!$C$244+'Cálculos'!$C$125*(1+2.78*('Cálculos'!$C$198+(($B$54)-$A39)*'Cálculos'!$C$98)/(('Cálculos'!$C$198+(($B$54)-$A39)*'Cálculos'!$C$98)+1400)+'Cálculos'!$C$123)*'Cálculos'!$C$249)+('Cálculos'!$C$198+(($B$54)-$A39)*'Cálculos'!$C$98)*('Cálculos'!$C$240+'Cálculos'!$C$124*(1+2.78*('Cálculos'!$C$198+(($B$54)-$A39)*'Cálculos'!$C$98)/(('Cálculos'!$C$198+(($B$54)-$A39)*'Cálculos'!$C$98)+1400)+'Cálculos'!$C$122)*'Cálculos'!$C$245+'Cálculos'!$C$125*(1+2.78*('Cálculos'!$C$198+(($B$54)-$A39)*'Cálculos'!$C$98)/(('Cálculos'!$C$198+(($B$54)-$A39)*'Cálculos'!$C$98)+1400)+'Cálculos'!$C$123)*'Cálculos'!$C$250)+('Cálculos'!$C$201*(1+'Cálculos'!$C$202+$A39*('Cálculos'!$C$290=2)*'Cálculos'!$C$101)+'Cálculos'!$C$203)*('Cálculos'!$C$241+'Cálculos'!$C$124*(1+2.78*('Cálculos'!$C$198+(($B$54)-$A39)*'Cálculos'!$C$98)/(('Cálculos'!$C$198+(($B$54)-$A39)*'Cálculos'!$C$98)+1400)+'Cálculos'!$C$122)*'Cálculos'!$C$246+'Cálculos'!$C$125*(1+2.78*('Cálculos'!$C$198+(($B$54)-$A39)*'Cálculos'!$C$98)/(('Cálculos'!$C$198+(($B$54)-$A39)*'Cálculos'!$C$98)+1400)+'Cálculos'!$C$123)*'Cálculos'!$C$251)+('Cálculos'!$C$204*(1+'Cálculos'!$C$205+$A39*('Cálculos'!$C$290=3)*'Cálculos'!$C$103)+'Cálculos'!$C$206)*('Cálculos'!$C$242+'Cálculos'!$C$124*(1+2.78*('Cálculos'!$C$198+(($B$54)-$A39)*'Cálculos'!$C$98)/(('Cálculos'!$C$198+(($B$54)-$A39)*'Cálculos'!$C$98)+1400)+'Cálculos'!$C$122)*'Cálculos'!$C$247+'Cálculos'!$C$125*(1+2.78*('Cálculos'!$C$198+(($B$54)-$A39)*'Cálculos'!$C$98)/(('Cálculos'!$C$198+(($B$54)-$A39)*'Cálculos'!$C$98)+1400)+'Cálculos'!$C$123)*'Cálculos'!$C$252)+('Cálculos'!$C$185*(1+'Cálculos'!$C$189+$A39*('Cálculos'!$C$290=1)*'Cálculos'!$C$97+'Cálculos'!$C$305)+'Cálculos'!$C$194)*('Cálculos'!$C$254+'Cálculos'!$C$124*(1+2.78*('Cálculos'!$C$199+(($B$54)-$A39)*'Cálculos'!$C$98)/(('Cálculos'!$C$199+(($B$54)-$A39)*'Cálculos'!$C$98)+1400)+'Cálculos'!$C$122)*'Cálculos'!$C$259+'Cálculos'!$C$125*(1+2.78*('Cálculos'!$C$199+(($B$54)-$A39)*'Cálculos'!$C$98)/(('Cálculos'!$C$199+(($B$54)-$A39)*'Cálculos'!$C$98)+1400)+'Cálculos'!$C$123)*'Cálculos'!$C$264)+('Cálculos'!$C$199+(($B$54)-$A39)*'Cálculos'!$C$98)*('Cálculos'!$C$255+'Cálculos'!$C$124*(1+2.78*('Cálculos'!$C$199+(($B$54)-$A39)*'Cálculos'!$C$98)/(('Cálculos'!$C$199+(($B$54)-$A39)*'Cálculos'!$C$98)+1400)+'Cálculos'!$C$122)*'Cálculos'!$C$260+'Cálculos'!$C$125*(1+2.78*('Cálculos'!$C$199+(($B$54)-$A39)*'Cálculos'!$C$98)/(('Cálculos'!$C$199+(($B$54)-$A39)*'Cálculos'!$C$98)+1400)+'Cálculos'!$C$123)*'Cálculos'!$C$265)+('Cálculos'!$C$201*(1+'Cálculos'!$C$202+$A39*('Cálculos'!$C$290=2)*'Cálculos'!$C$101)+'Cálculos'!$C$203)*('Cálculos'!$C$256+'Cálculos'!$C$124*(1+2.78*('Cálculos'!$C$199+(($B$54)-$A39)*'Cálculos'!$C$98)/(('Cálculos'!$C$199+(($B$54)-$A39)*'Cálculos'!$C$98)+1400)+'Cálculos'!$C$122)*'Cálculos'!$C$261+'Cálculos'!$C$125*(1+2.78*('Cálculos'!$C$199+(($B$54)-$A39)*'Cálculos'!$C$98)/(('Cálculos'!$C$199+(($B$54)-$A39)*'Cálculos'!$C$98)+1400)+'Cálculos'!$C$123)*'Cálculos'!$C$266)+('Cálculos'!$C$204*(1+'Cálculos'!$C$205+$A39*('Cálculos'!$C$290=3)*'Cálculos'!$C$103)+'Cálculos'!$C$206)*('Cálculos'!$C$257+'Cálculos'!$C$124*(1+2.78*('Cálculos'!$C$199+(($B$54)-$A39)*'Cálculos'!$C$98)/(('Cálculos'!$C$199+(($B$54)-$A39)*'Cálculos'!$C$98)+1400)+'Cálculos'!$C$122)*'Cálculos'!$C$262+'Cálculos'!$C$125*(1+2.78*('Cálculos'!$C$199+(($B$54)-$A39)*'Cálculos'!$C$98)/(('Cálculos'!$C$199+(($B$54)-$A39)*'Cálculos'!$C$98)+1400)+'Cálculos'!$C$123)*'Cálculos'!$C$267)+('Cálculos'!$C$185*(1+'Cálculos'!$C$190+$A39*('Cálculos'!$C$290=1)*'Cálculos'!$C$97+'Cálculos'!$C$305)+'Cálculos'!$C$195)*('Cálculos'!$C$269+'Cálculos'!$C$124*(1+2.78*('Cálculos'!$C$200+(($B$54)-$A39)*'Cálculos'!$C$98)/(('Cálculos'!$C$200+(($B$54)-$A39)*'Cálculos'!$C$98)+1400)+'Cálculos'!$C$122)*'Cálculos'!$C$274+'Cálculos'!$C$125*(1+2.78*('Cálculos'!$C$200+(($B$54)-$A39)*'Cálculos'!$C$98)/(('Cálculos'!$C$200+(($B$54)-$A39)*'Cálculos'!$C$98)+1400)+'Cálculos'!$C$123)*'Cálculos'!$C$279)+('Cálculos'!$C$200+(($B$54)-$A39)*'Cálculos'!$C$98)*('Cálculos'!$C$270+'Cálculos'!$C$124*(1+2.78*('Cálculos'!$C$200+(($B$54)-$A39)*'Cálculos'!$C$98)/(('Cálculos'!$C$200+(($B$54)-$A39)*'Cálculos'!$C$98)+1400)+'Cálculos'!$C$122)*'Cálculos'!$C$275+'Cálculos'!$C$125*(1+2.78*('Cálculos'!$C$200+(($B$54)-$A39)*'Cálculos'!$C$98)/(('Cálculos'!$C$200+(($B$54)-$A39)*'Cálculos'!$C$98)+1400)+'Cálculos'!$C$123)*'Cálculos'!$C$280)+('Cálculos'!$C$201*(1+'Cálculos'!$C$202+$A39*('Cálculos'!$C$290=2)*'Cálculos'!$C$101)+'Cálculos'!$C$203)*('Cálculos'!$C$271+'Cálculos'!$C$124*(1+2.78*('Cálculos'!$C$200+(($B$54)-$A39)*'Cálculos'!$C$98)/(('Cálculos'!$C$200+(($B$54)-$A39)*'Cálculos'!$C$98)+1400)+'Cálculos'!$C$122)*'Cálculos'!$C$276+'Cálculos'!$C$125*(1+2.78*('Cálculos'!$C$200+(($B$54)-$A39)*'Cálculos'!$C$98)/(('Cálculos'!$C$200+(($B$54)-$A39)*'Cálculos'!$C$98)+1400)+'Cálculos'!$C$123)*'Cálculos'!$C$281)+('Cálculos'!$C$204*(1+'Cálculos'!$C$205+$A39*('Cálculos'!$C$290=3)*'Cálculos'!$C$103)+'Cálculos'!$C$206)*('Cálculos'!$C$272+'Cálculos'!$C$124*(1+2.78*('Cálculos'!$C$200+(($B$54)-$A39)*'Cálculos'!$C$98)/(('Cálculos'!$C$200+(($B$54)-$A39)*'Cálculos'!$C$98)+1400)+'Cálculos'!$C$122)*'Cálculos'!$C$277+'Cálculos'!$C$125*(1+2.78*('Cálculos'!$C$200+(($B$54)-$A39)*'Cálculos'!$C$98)/(('Cálculos'!$C$200+(($B$54)-$A39)*'Cálculos'!$C$98)+1400)+'Cálculos'!$C$123)*'Cálculos'!$C$282)))</f>
        <v>0</v>
      </c>
    </row>
    <row r="40" ht="15.75" customHeight="1">
      <c r="A40" s="2">
        <v>34.0</v>
      </c>
      <c r="B40" s="30">
        <f>SUMPRODUCT(MAX(($A$6:$A$51&lt;=$A40)*($A$6:$A$51&lt;='Cálculos'!$C$294)*(($A40)-$A$6:$A$51&lt;='Cálculos'!$C$295)*(1+(('Cálculos'!$C$207+$A$6:$A$51*'Cálculos'!$C$95)-(('Cálculos'!$C$207+$A$6:$A$51*'Cálculos'!$C$95)&gt;1)*(('Cálculos'!$C$207+$A$6:$A$51*'Cálculos'!$C$95)-1))*('Cálculos'!$C$208+(($A40)-$A$6:$A$51)*'Cálculos'!$C$96))))</f>
        <v>4.44</v>
      </c>
      <c r="C40" s="2">
        <f>'Cálculos'!$C$303-$A40</f>
        <v>-14</v>
      </c>
      <c r="D40" s="31">
        <f>IF($C40&lt;0,0,SUMPRODUCT(MAX(($A$6:$A$51&lt;=$C40)*($A$6:$A$51&lt;='Cálculos'!$C$301)*(($C40)-$A$6:$A$51&lt;='Cálculos'!$C$297)*(('Cálculos'!$C$185*(1+'Cálculos'!$C$186+$A$6:$A$51*('Cálculos'!$C$290=1)*'Cálculos'!$C$97+'Cálculos'!$C$305)+'Cálculos'!$C$191)*('Cálculos'!$C$209+'Cálculos'!$C$124*(1+2.78*('Cálculos'!$C$196+(($C40)-$A$6:$A$51)*'Cálculos'!$C$98)/(('Cálculos'!$C$196+(($C40)-$A$6:$A$51)*'Cálculos'!$C$98)+1400)+'Cálculos'!$C$122)*'Cálculos'!$C$214+'Cálculos'!$C$125*(1+2.78*('Cálculos'!$C$196+(($C40)-$A$6:$A$51)*'Cálculos'!$C$98)/(('Cálculos'!$C$196+(($C40)-$A$6:$A$51)*'Cálculos'!$C$98)+1400)+'Cálculos'!$C$123)*'Cálculos'!$C$219)+('Cálculos'!$C$196+(($C40)-$A$6:$A$51)*'Cálculos'!$C$98)*('Cálculos'!$C$210+'Cálculos'!$C$124*(1+2.78*('Cálculos'!$C$196+(($C40)-$A$6:$A$51)*'Cálculos'!$C$98)/(('Cálculos'!$C$196+(($C40)-$A$6:$A$51)*'Cálculos'!$C$98)+1400)+'Cálculos'!$C$122)*'Cálculos'!$C$215+'Cálculos'!$C$125*(1+2.78*('Cálculos'!$C$196+(($C40)-$A$6:$A$51)*'Cálculos'!$C$98)/(('Cálculos'!$C$196+(($C40)-$A$6:$A$51)*'Cálculos'!$C$98)+1400)+'Cálculos'!$C$123)*'Cálculos'!$C$220)+('Cálculos'!$C$201*(1+'Cálculos'!$C$202+$A$6:$A$51*('Cálculos'!$C$290=2)*'Cálculos'!$C$101)+'Cálculos'!$C$203)*('Cálculos'!$C$211+'Cálculos'!$C$124*(1+2.78*('Cálculos'!$C$196+(($C40)-$A$6:$A$51)*'Cálculos'!$C$98)/(('Cálculos'!$C$196+(($C40)-$A$6:$A$51)*'Cálculos'!$C$98)+1400)+'Cálculos'!$C$122)*'Cálculos'!$C$216+'Cálculos'!$C$125*(1+2.78*('Cálculos'!$C$196+(($C40)-$A$6:$A$51)*'Cálculos'!$C$98)/(('Cálculos'!$C$196+(($C40)-$A$6:$A$51)*'Cálculos'!$C$98)+1400)+'Cálculos'!$C$123)*'Cálculos'!$C$221)+('Cálculos'!$C$204*(1+'Cálculos'!$C$205+$A$6:$A$51*('Cálculos'!$C$290=3)*'Cálculos'!$C$103)+'Cálculos'!$C$206)*('Cálculos'!$C$212+'Cálculos'!$C$124*(1+2.78*('Cálculos'!$C$196+(($C40)-$A$6:$A$51)*'Cálculos'!$C$98)/(('Cálculos'!$C$196+(($C40)-$A$6:$A$51)*'Cálculos'!$C$98)+1400)+'Cálculos'!$C$122)*'Cálculos'!$C$217+'Cálculos'!$C$125*(1+2.78*('Cálculos'!$C$196+(($C40)-$A$6:$A$51)*'Cálculos'!$C$98)/(('Cálculos'!$C$196+(($C40)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40)-$A$6:$A$51)*'Cálculos'!$C$98)/(('Cálculos'!$C$197+(($C40)-$A$6:$A$51)*'Cálculos'!$C$98)+1400)+'Cálculos'!$C$122)*'Cálculos'!$C$229+'Cálculos'!$C$125*(1+2.78*('Cálculos'!$C$197+(($C40)-$A$6:$A$51)*'Cálculos'!$C$98)/(('Cálculos'!$C$197+(($C40)-$A$6:$A$51)*'Cálculos'!$C$98)+1400)+'Cálculos'!$C$123)*'Cálculos'!$C$234)+('Cálculos'!$C$197+(($C40)-$A$6:$A$51)*'Cálculos'!$C$98)*('Cálculos'!$C$225+'Cálculos'!$C$124*(1+2.78*('Cálculos'!$C$197+(($C40)-$A$6:$A$51)*'Cálculos'!$C$98)/(('Cálculos'!$C$197+(($C40)-$A$6:$A$51)*'Cálculos'!$C$98)+1400)+'Cálculos'!$C$122)*'Cálculos'!$C$230+'Cálculos'!$C$125*(1+2.78*('Cálculos'!$C$197+(($C40)-$A$6:$A$51)*'Cálculos'!$C$98)/(('Cálculos'!$C$197+(($C40)-$A$6:$A$51)*'Cálculos'!$C$98)+1400)+'Cálculos'!$C$123)*'Cálculos'!$C$235)+('Cálculos'!$C$201*(1+'Cálculos'!$C$202+$A$6:$A$51*('Cálculos'!$C$290=2)*'Cálculos'!$C$101)+'Cálculos'!$C$203)*('Cálculos'!$C$226+'Cálculos'!$C$124*(1+2.78*('Cálculos'!$C$197+(($C40)-$A$6:$A$51)*'Cálculos'!$C$98)/(('Cálculos'!$C$197+(($C40)-$A$6:$A$51)*'Cálculos'!$C$98)+1400)+'Cálculos'!$C$122)*'Cálculos'!$C$231+'Cálculos'!$C$125*(1+2.78*('Cálculos'!$C$197+(($C40)-$A$6:$A$51)*'Cálculos'!$C$98)/(('Cálculos'!$C$197+(($C40)-$A$6:$A$51)*'Cálculos'!$C$98)+1400)+'Cálculos'!$C$123)*'Cálculos'!$C$236)+('Cálculos'!$C$204*(1+'Cálculos'!$C$205+$A$6:$A$51*('Cálculos'!$C$290=3)*'Cálculos'!$C$103)+'Cálculos'!$C$206)*('Cálculos'!$C$227+'Cálculos'!$C$124*(1+2.78*('Cálculos'!$C$197+(($C40)-$A$6:$A$51)*'Cálculos'!$C$98)/(('Cálculos'!$C$197+(($C40)-$A$6:$A$51)*'Cálculos'!$C$98)+1400)+'Cálculos'!$C$122)*'Cálculos'!$C$232+'Cálculos'!$C$125*(1+2.78*('Cálculos'!$C$197+(($C40)-$A$6:$A$51)*'Cálculos'!$C$98)/(('Cálculos'!$C$197+(($C40)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40)-$A$6:$A$51)*'Cálculos'!$C$98)/(('Cálculos'!$C$198+(($C40)-$A$6:$A$51)*'Cálculos'!$C$98)+1400)+'Cálculos'!$C$122)*'Cálculos'!$C$244+'Cálculos'!$C$125*(1+2.78*('Cálculos'!$C$198+(($C40)-$A$6:$A$51)*'Cálculos'!$C$98)/(('Cálculos'!$C$198+(($C40)-$A$6:$A$51)*'Cálculos'!$C$98)+1400)+'Cálculos'!$C$123)*'Cálculos'!$C$249)+('Cálculos'!$C$198+(($C40)-$A$6:$A$51)*'Cálculos'!$C$98)*('Cálculos'!$C$240+'Cálculos'!$C$124*(1+2.78*('Cálculos'!$C$198+(($C40)-$A$6:$A$51)*'Cálculos'!$C$98)/(('Cálculos'!$C$198+(($C40)-$A$6:$A$51)*'Cálculos'!$C$98)+1400)+'Cálculos'!$C$122)*'Cálculos'!$C$245+'Cálculos'!$C$125*(1+2.78*('Cálculos'!$C$198+(($C40)-$A$6:$A$51)*'Cálculos'!$C$98)/(('Cálculos'!$C$198+(($C40)-$A$6:$A$51)*'Cálculos'!$C$98)+1400)+'Cálculos'!$C$123)*'Cálculos'!$C$250)+('Cálculos'!$C$201*(1+'Cálculos'!$C$202+$A$6:$A$51*('Cálculos'!$C$290=2)*'Cálculos'!$C$101)+'Cálculos'!$C$203)*('Cálculos'!$C$241+'Cálculos'!$C$124*(1+2.78*('Cálculos'!$C$198+(($C40)-$A$6:$A$51)*'Cálculos'!$C$98)/(('Cálculos'!$C$198+(($C40)-$A$6:$A$51)*'Cálculos'!$C$98)+1400)+'Cálculos'!$C$122)*'Cálculos'!$C$246+'Cálculos'!$C$125*(1+2.78*('Cálculos'!$C$198+(($C40)-$A$6:$A$51)*'Cálculos'!$C$98)/(('Cálculos'!$C$198+(($C40)-$A$6:$A$51)*'Cálculos'!$C$98)+1400)+'Cálculos'!$C$123)*'Cálculos'!$C$251)+('Cálculos'!$C$204*(1+'Cálculos'!$C$205+$A$6:$A$51*('Cálculos'!$C$290=3)*'Cálculos'!$C$103)+'Cálculos'!$C$206)*('Cálculos'!$C$242+'Cálculos'!$C$124*(1+2.78*('Cálculos'!$C$198+(($C40)-$A$6:$A$51)*'Cálculos'!$C$98)/(('Cálculos'!$C$198+(($C40)-$A$6:$A$51)*'Cálculos'!$C$98)+1400)+'Cálculos'!$C$122)*'Cálculos'!$C$247+'Cálculos'!$C$125*(1+2.78*('Cálculos'!$C$198+(($C40)-$A$6:$A$51)*'Cálculos'!$C$98)/(('Cálculos'!$C$198+(($C40)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40)-$A$6:$A$51)*'Cálculos'!$C$98)/(('Cálculos'!$C$199+(($C40)-$A$6:$A$51)*'Cálculos'!$C$98)+1400)+'Cálculos'!$C$122)*'Cálculos'!$C$259+'Cálculos'!$C$125*(1+2.78*('Cálculos'!$C$199+(($C40)-$A$6:$A$51)*'Cálculos'!$C$98)/(('Cálculos'!$C$199+(($C40)-$A$6:$A$51)*'Cálculos'!$C$98)+1400)+'Cálculos'!$C$123)*'Cálculos'!$C$264)+('Cálculos'!$C$199+(($C40)-$A$6:$A$51)*'Cálculos'!$C$98)*('Cálculos'!$C$255+'Cálculos'!$C$124*(1+2.78*('Cálculos'!$C$199+(($C40)-$A$6:$A$51)*'Cálculos'!$C$98)/(('Cálculos'!$C$199+(($C40)-$A$6:$A$51)*'Cálculos'!$C$98)+1400)+'Cálculos'!$C$122)*'Cálculos'!$C$260+'Cálculos'!$C$125*(1+2.78*('Cálculos'!$C$199+(($C40)-$A$6:$A$51)*'Cálculos'!$C$98)/(('Cálculos'!$C$199+(($C40)-$A$6:$A$51)*'Cálculos'!$C$98)+1400)+'Cálculos'!$C$123)*'Cálculos'!$C$265)+('Cálculos'!$C$201*(1+'Cálculos'!$C$202+$A$6:$A$51*('Cálculos'!$C$290=2)*'Cálculos'!$C$101)+'Cálculos'!$C$203)*('Cálculos'!$C$256+'Cálculos'!$C$124*(1+2.78*('Cálculos'!$C$199+(($C40)-$A$6:$A$51)*'Cálculos'!$C$98)/(('Cálculos'!$C$199+(($C40)-$A$6:$A$51)*'Cálculos'!$C$98)+1400)+'Cálculos'!$C$122)*'Cálculos'!$C$261+'Cálculos'!$C$125*(1+2.78*('Cálculos'!$C$199+(($C40)-$A$6:$A$51)*'Cálculos'!$C$98)/(('Cálculos'!$C$199+(($C40)-$A$6:$A$51)*'Cálculos'!$C$98)+1400)+'Cálculos'!$C$123)*'Cálculos'!$C$266)+('Cálculos'!$C$204*(1+'Cálculos'!$C$205+$A$6:$A$51*('Cálculos'!$C$290=3)*'Cálculos'!$C$103)+'Cálculos'!$C$206)*('Cálculos'!$C$257+'Cálculos'!$C$124*(1+2.78*('Cálculos'!$C$199+(($C40)-$A$6:$A$51)*'Cálculos'!$C$98)/(('Cálculos'!$C$199+(($C40)-$A$6:$A$51)*'Cálculos'!$C$98)+1400)+'Cálculos'!$C$122)*'Cálculos'!$C$262+'Cálculos'!$C$125*(1+2.78*('Cálculos'!$C$199+(($C40)-$A$6:$A$51)*'Cálculos'!$C$98)/(('Cálculos'!$C$199+(($C40)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40)-$A$6:$A$51)*'Cálculos'!$C$98)/(('Cálculos'!$C$200+(($C40)-$A$6:$A$51)*'Cálculos'!$C$98)+1400)+'Cálculos'!$C$122)*'Cálculos'!$C$274+'Cálculos'!$C$125*(1+2.78*('Cálculos'!$C$200+(($C40)-$A$6:$A$51)*'Cálculos'!$C$98)/(('Cálculos'!$C$200+(($C40)-$A$6:$A$51)*'Cálculos'!$C$98)+1400)+'Cálculos'!$C$123)*'Cálculos'!$C$279)+('Cálculos'!$C$200+(($C40)-$A$6:$A$51)*'Cálculos'!$C$98)*('Cálculos'!$C$270+'Cálculos'!$C$124*(1+2.78*('Cálculos'!$C$200+(($C40)-$A$6:$A$51)*'Cálculos'!$C$98)/(('Cálculos'!$C$200+(($C40)-$A$6:$A$51)*'Cálculos'!$C$98)+1400)+'Cálculos'!$C$122)*'Cálculos'!$C$275+'Cálculos'!$C$125*(1+2.78*('Cálculos'!$C$200+(($C40)-$A$6:$A$51)*'Cálculos'!$C$98)/(('Cálculos'!$C$200+(($C40)-$A$6:$A$51)*'Cálculos'!$C$98)+1400)+'Cálculos'!$C$123)*'Cálculos'!$C$280)+('Cálculos'!$C$201*(1+'Cálculos'!$C$202+$A$6:$A$51*('Cálculos'!$C$290=2)*'Cálculos'!$C$101)+'Cálculos'!$C$203)*('Cálculos'!$C$271+'Cálculos'!$C$124*(1+2.78*('Cálculos'!$C$200+(($C40)-$A$6:$A$51)*'Cálculos'!$C$98)/(('Cálculos'!$C$200+(($C40)-$A$6:$A$51)*'Cálculos'!$C$98)+1400)+'Cálculos'!$C$122)*'Cálculos'!$C$276+'Cálculos'!$C$125*(1+2.78*('Cálculos'!$C$200+(($C40)-$A$6:$A$51)*'Cálculos'!$C$98)/(('Cálculos'!$C$200+(($C40)-$A$6:$A$51)*'Cálculos'!$C$98)+1400)+'Cálculos'!$C$123)*'Cálculos'!$C$281)+('Cálculos'!$C$204*(1+'Cálculos'!$C$205+$A$6:$A$51*('Cálculos'!$C$290=3)*'Cálculos'!$C$103)+'Cálculos'!$C$206)*('Cálculos'!$C$272+'Cálculos'!$C$124*(1+2.78*('Cálculos'!$C$200+(($C40)-$A$6:$A$51)*'Cálculos'!$C$98)/(('Cálculos'!$C$200+(($C40)-$A$6:$A$51)*'Cálculos'!$C$98)+1400)+'Cálculos'!$C$122)*'Cálculos'!$C$277+'Cálculos'!$C$125*(1+2.78*('Cálculos'!$C$200+(($C40)-$A$6:$A$51)*'Cálculos'!$C$98)/(('Cálculos'!$C$200+(($C40)-$A$6:$A$51)*'Cálculos'!$C$98)+1400)+'Cálculos'!$C$123)*'Cálculos'!$C$282)))))</f>
        <v>0</v>
      </c>
      <c r="E40" s="32">
        <f>IF(OR($C40&lt;0,'Cálculos'!$C$6=""),0,$B40*$D40)</f>
        <v>0</v>
      </c>
      <c r="F40" s="2"/>
      <c r="G40" s="30">
        <f>($A40&lt;=$B$53)*($A40&lt;='Cálculos'!$C$294)*(($B$53)-$A40&lt;='Cálculos'!$C$295)*(1+MIN(('Cálculos'!$C$207+$A40*'Cálculos'!$C$95),1)*('Cálculos'!$C$208+(($B$53)-$A40)*'Cálculos'!$C$96))</f>
        <v>0</v>
      </c>
      <c r="H40" s="31">
        <f>IF($B$54&lt;0,0,($A40&lt;=$B$54)*($A40&lt;='Cálculos'!$C$301)*(($B$54)-$A40&lt;='Cálculos'!$C$297)*(('Cálculos'!$C$185*(1+'Cálculos'!$C$186+$A40*('Cálculos'!$C$290=1)*'Cálculos'!$C$97+'Cálculos'!$C$305)+'Cálculos'!$C$191)*('Cálculos'!$C$209+'Cálculos'!$C$124*(1+2.78*('Cálculos'!$C$196+(($B$54)-$A40)*'Cálculos'!$C$98)/(('Cálculos'!$C$196+(($B$54)-$A40)*'Cálculos'!$C$98)+1400)+'Cálculos'!$C$122)*'Cálculos'!$C$214+'Cálculos'!$C$125*(1+2.78*('Cálculos'!$C$196+(($B$54)-$A40)*'Cálculos'!$C$98)/(('Cálculos'!$C$196+(($B$54)-$A40)*'Cálculos'!$C$98)+1400)+'Cálculos'!$C$123)*'Cálculos'!$C$219)+('Cálculos'!$C$196+(($B$54)-$A40)*'Cálculos'!$C$98)*('Cálculos'!$C$210+'Cálculos'!$C$124*(1+2.78*('Cálculos'!$C$196+(($B$54)-$A40)*'Cálculos'!$C$98)/(('Cálculos'!$C$196+(($B$54)-$A40)*'Cálculos'!$C$98)+1400)+'Cálculos'!$C$122)*'Cálculos'!$C$215+'Cálculos'!$C$125*(1+2.78*('Cálculos'!$C$196+(($B$54)-$A40)*'Cálculos'!$C$98)/(('Cálculos'!$C$196+(($B$54)-$A40)*'Cálculos'!$C$98)+1400)+'Cálculos'!$C$123)*'Cálculos'!$C$220)+('Cálculos'!$C$201*(1+'Cálculos'!$C$202+$A40*('Cálculos'!$C$290=2)*'Cálculos'!$C$101)+'Cálculos'!$C$203)*('Cálculos'!$C$211+'Cálculos'!$C$124*(1+2.78*('Cálculos'!$C$196+(($B$54)-$A40)*'Cálculos'!$C$98)/(('Cálculos'!$C$196+(($B$54)-$A40)*'Cálculos'!$C$98)+1400)+'Cálculos'!$C$122)*'Cálculos'!$C$216+'Cálculos'!$C$125*(1+2.78*('Cálculos'!$C$196+(($B$54)-$A40)*'Cálculos'!$C$98)/(('Cálculos'!$C$196+(($B$54)-$A40)*'Cálculos'!$C$98)+1400)+'Cálculos'!$C$123)*'Cálculos'!$C$221)+('Cálculos'!$C$204*(1+'Cálculos'!$C$205+$A40*('Cálculos'!$C$290=3)*'Cálculos'!$C$103)+'Cálculos'!$C$206)*('Cálculos'!$C$212+'Cálculos'!$C$124*(1+2.78*('Cálculos'!$C$196+(($B$54)-$A40)*'Cálculos'!$C$98)/(('Cálculos'!$C$196+(($B$54)-$A40)*'Cálculos'!$C$98)+1400)+'Cálculos'!$C$122)*'Cálculos'!$C$217+'Cálculos'!$C$125*(1+2.78*('Cálculos'!$C$196+(($B$54)-$A40)*'Cálculos'!$C$98)/(('Cálculos'!$C$196+(($B$54)-$A40)*'Cálculos'!$C$98)+1400)+'Cálculos'!$C$123)*'Cálculos'!$C$222)+('Cálculos'!$C$185*(1+'Cálculos'!$C$187+$A40*('Cálculos'!$C$290=1)*'Cálculos'!$C$97+'Cálculos'!$C$305)+'Cálculos'!$C$192)*('Cálculos'!$C$224+'Cálculos'!$C$124*(1+2.78*('Cálculos'!$C$197+(($B$54)-$A40)*'Cálculos'!$C$98)/(('Cálculos'!$C$197+(($B$54)-$A40)*'Cálculos'!$C$98)+1400)+'Cálculos'!$C$122)*'Cálculos'!$C$229+'Cálculos'!$C$125*(1+2.78*('Cálculos'!$C$197+(($B$54)-$A40)*'Cálculos'!$C$98)/(('Cálculos'!$C$197+(($B$54)-$A40)*'Cálculos'!$C$98)+1400)+'Cálculos'!$C$123)*'Cálculos'!$C$234)+('Cálculos'!$C$197+(($B$54)-$A40)*'Cálculos'!$C$98)*('Cálculos'!$C$225+'Cálculos'!$C$124*(1+2.78*('Cálculos'!$C$197+(($B$54)-$A40)*'Cálculos'!$C$98)/(('Cálculos'!$C$197+(($B$54)-$A40)*'Cálculos'!$C$98)+1400)+'Cálculos'!$C$122)*'Cálculos'!$C$230+'Cálculos'!$C$125*(1+2.78*('Cálculos'!$C$197+(($B$54)-$A40)*'Cálculos'!$C$98)/(('Cálculos'!$C$197+(($B$54)-$A40)*'Cálculos'!$C$98)+1400)+'Cálculos'!$C$123)*'Cálculos'!$C$235)+('Cálculos'!$C$201*(1+'Cálculos'!$C$202+$A40*('Cálculos'!$C$290=2)*'Cálculos'!$C$101)+'Cálculos'!$C$203)*('Cálculos'!$C$226+'Cálculos'!$C$124*(1+2.78*('Cálculos'!$C$197+(($B$54)-$A40)*'Cálculos'!$C$98)/(('Cálculos'!$C$197+(($B$54)-$A40)*'Cálculos'!$C$98)+1400)+'Cálculos'!$C$122)*'Cálculos'!$C$231+'Cálculos'!$C$125*(1+2.78*('Cálculos'!$C$197+(($B$54)-$A40)*'Cálculos'!$C$98)/(('Cálculos'!$C$197+(($B$54)-$A40)*'Cálculos'!$C$98)+1400)+'Cálculos'!$C$123)*'Cálculos'!$C$236)+('Cálculos'!$C$204*(1+'Cálculos'!$C$205+$A40*('Cálculos'!$C$290=3)*'Cálculos'!$C$103)+'Cálculos'!$C$206)*('Cálculos'!$C$227+'Cálculos'!$C$124*(1+2.78*('Cálculos'!$C$197+(($B$54)-$A40)*'Cálculos'!$C$98)/(('Cálculos'!$C$197+(($B$54)-$A40)*'Cálculos'!$C$98)+1400)+'Cálculos'!$C$122)*'Cálculos'!$C$232+'Cálculos'!$C$125*(1+2.78*('Cálculos'!$C$197+(($B$54)-$A40)*'Cálculos'!$C$98)/(('Cálculos'!$C$197+(($B$54)-$A40)*'Cálculos'!$C$98)+1400)+'Cálculos'!$C$123)*'Cálculos'!$C$237)+('Cálculos'!$C$185*(1+'Cálculos'!$C$188+$A40*('Cálculos'!$C$290=1)*'Cálculos'!$C$97+'Cálculos'!$C$305)+'Cálculos'!$C$193)*('Cálculos'!$C$239+'Cálculos'!$C$124*(1+2.78*('Cálculos'!$C$198+(($B$54)-$A40)*'Cálculos'!$C$98)/(('Cálculos'!$C$198+(($B$54)-$A40)*'Cálculos'!$C$98)+1400)+'Cálculos'!$C$122)*'Cálculos'!$C$244+'Cálculos'!$C$125*(1+2.78*('Cálculos'!$C$198+(($B$54)-$A40)*'Cálculos'!$C$98)/(('Cálculos'!$C$198+(($B$54)-$A40)*'Cálculos'!$C$98)+1400)+'Cálculos'!$C$123)*'Cálculos'!$C$249)+('Cálculos'!$C$198+(($B$54)-$A40)*'Cálculos'!$C$98)*('Cálculos'!$C$240+'Cálculos'!$C$124*(1+2.78*('Cálculos'!$C$198+(($B$54)-$A40)*'Cálculos'!$C$98)/(('Cálculos'!$C$198+(($B$54)-$A40)*'Cálculos'!$C$98)+1400)+'Cálculos'!$C$122)*'Cálculos'!$C$245+'Cálculos'!$C$125*(1+2.78*('Cálculos'!$C$198+(($B$54)-$A40)*'Cálculos'!$C$98)/(('Cálculos'!$C$198+(($B$54)-$A40)*'Cálculos'!$C$98)+1400)+'Cálculos'!$C$123)*'Cálculos'!$C$250)+('Cálculos'!$C$201*(1+'Cálculos'!$C$202+$A40*('Cálculos'!$C$290=2)*'Cálculos'!$C$101)+'Cálculos'!$C$203)*('Cálculos'!$C$241+'Cálculos'!$C$124*(1+2.78*('Cálculos'!$C$198+(($B$54)-$A40)*'Cálculos'!$C$98)/(('Cálculos'!$C$198+(($B$54)-$A40)*'Cálculos'!$C$98)+1400)+'Cálculos'!$C$122)*'Cálculos'!$C$246+'Cálculos'!$C$125*(1+2.78*('Cálculos'!$C$198+(($B$54)-$A40)*'Cálculos'!$C$98)/(('Cálculos'!$C$198+(($B$54)-$A40)*'Cálculos'!$C$98)+1400)+'Cálculos'!$C$123)*'Cálculos'!$C$251)+('Cálculos'!$C$204*(1+'Cálculos'!$C$205+$A40*('Cálculos'!$C$290=3)*'Cálculos'!$C$103)+'Cálculos'!$C$206)*('Cálculos'!$C$242+'Cálculos'!$C$124*(1+2.78*('Cálculos'!$C$198+(($B$54)-$A40)*'Cálculos'!$C$98)/(('Cálculos'!$C$198+(($B$54)-$A40)*'Cálculos'!$C$98)+1400)+'Cálculos'!$C$122)*'Cálculos'!$C$247+'Cálculos'!$C$125*(1+2.78*('Cálculos'!$C$198+(($B$54)-$A40)*'Cálculos'!$C$98)/(('Cálculos'!$C$198+(($B$54)-$A40)*'Cálculos'!$C$98)+1400)+'Cálculos'!$C$123)*'Cálculos'!$C$252)+('Cálculos'!$C$185*(1+'Cálculos'!$C$189+$A40*('Cálculos'!$C$290=1)*'Cálculos'!$C$97+'Cálculos'!$C$305)+'Cálculos'!$C$194)*('Cálculos'!$C$254+'Cálculos'!$C$124*(1+2.78*('Cálculos'!$C$199+(($B$54)-$A40)*'Cálculos'!$C$98)/(('Cálculos'!$C$199+(($B$54)-$A40)*'Cálculos'!$C$98)+1400)+'Cálculos'!$C$122)*'Cálculos'!$C$259+'Cálculos'!$C$125*(1+2.78*('Cálculos'!$C$199+(($B$54)-$A40)*'Cálculos'!$C$98)/(('Cálculos'!$C$199+(($B$54)-$A40)*'Cálculos'!$C$98)+1400)+'Cálculos'!$C$123)*'Cálculos'!$C$264)+('Cálculos'!$C$199+(($B$54)-$A40)*'Cálculos'!$C$98)*('Cálculos'!$C$255+'Cálculos'!$C$124*(1+2.78*('Cálculos'!$C$199+(($B$54)-$A40)*'Cálculos'!$C$98)/(('Cálculos'!$C$199+(($B$54)-$A40)*'Cálculos'!$C$98)+1400)+'Cálculos'!$C$122)*'Cálculos'!$C$260+'Cálculos'!$C$125*(1+2.78*('Cálculos'!$C$199+(($B$54)-$A40)*'Cálculos'!$C$98)/(('Cálculos'!$C$199+(($B$54)-$A40)*'Cálculos'!$C$98)+1400)+'Cálculos'!$C$123)*'Cálculos'!$C$265)+('Cálculos'!$C$201*(1+'Cálculos'!$C$202+$A40*('Cálculos'!$C$290=2)*'Cálculos'!$C$101)+'Cálculos'!$C$203)*('Cálculos'!$C$256+'Cálculos'!$C$124*(1+2.78*('Cálculos'!$C$199+(($B$54)-$A40)*'Cálculos'!$C$98)/(('Cálculos'!$C$199+(($B$54)-$A40)*'Cálculos'!$C$98)+1400)+'Cálculos'!$C$122)*'Cálculos'!$C$261+'Cálculos'!$C$125*(1+2.78*('Cálculos'!$C$199+(($B$54)-$A40)*'Cálculos'!$C$98)/(('Cálculos'!$C$199+(($B$54)-$A40)*'Cálculos'!$C$98)+1400)+'Cálculos'!$C$123)*'Cálculos'!$C$266)+('Cálculos'!$C$204*(1+'Cálculos'!$C$205+$A40*('Cálculos'!$C$290=3)*'Cálculos'!$C$103)+'Cálculos'!$C$206)*('Cálculos'!$C$257+'Cálculos'!$C$124*(1+2.78*('Cálculos'!$C$199+(($B$54)-$A40)*'Cálculos'!$C$98)/(('Cálculos'!$C$199+(($B$54)-$A40)*'Cálculos'!$C$98)+1400)+'Cálculos'!$C$122)*'Cálculos'!$C$262+'Cálculos'!$C$125*(1+2.78*('Cálculos'!$C$199+(($B$54)-$A40)*'Cálculos'!$C$98)/(('Cálculos'!$C$199+(($B$54)-$A40)*'Cálculos'!$C$98)+1400)+'Cálculos'!$C$123)*'Cálculos'!$C$267)+('Cálculos'!$C$185*(1+'Cálculos'!$C$190+$A40*('Cálculos'!$C$290=1)*'Cálculos'!$C$97+'Cálculos'!$C$305)+'Cálculos'!$C$195)*('Cálculos'!$C$269+'Cálculos'!$C$124*(1+2.78*('Cálculos'!$C$200+(($B$54)-$A40)*'Cálculos'!$C$98)/(('Cálculos'!$C$200+(($B$54)-$A40)*'Cálculos'!$C$98)+1400)+'Cálculos'!$C$122)*'Cálculos'!$C$274+'Cálculos'!$C$125*(1+2.78*('Cálculos'!$C$200+(($B$54)-$A40)*'Cálculos'!$C$98)/(('Cálculos'!$C$200+(($B$54)-$A40)*'Cálculos'!$C$98)+1400)+'Cálculos'!$C$123)*'Cálculos'!$C$279)+('Cálculos'!$C$200+(($B$54)-$A40)*'Cálculos'!$C$98)*('Cálculos'!$C$270+'Cálculos'!$C$124*(1+2.78*('Cálculos'!$C$200+(($B$54)-$A40)*'Cálculos'!$C$98)/(('Cálculos'!$C$200+(($B$54)-$A40)*'Cálculos'!$C$98)+1400)+'Cálculos'!$C$122)*'Cálculos'!$C$275+'Cálculos'!$C$125*(1+2.78*('Cálculos'!$C$200+(($B$54)-$A40)*'Cálculos'!$C$98)/(('Cálculos'!$C$200+(($B$54)-$A40)*'Cálculos'!$C$98)+1400)+'Cálculos'!$C$123)*'Cálculos'!$C$280)+('Cálculos'!$C$201*(1+'Cálculos'!$C$202+$A40*('Cálculos'!$C$290=2)*'Cálculos'!$C$101)+'Cálculos'!$C$203)*('Cálculos'!$C$271+'Cálculos'!$C$124*(1+2.78*('Cálculos'!$C$200+(($B$54)-$A40)*'Cálculos'!$C$98)/(('Cálculos'!$C$200+(($B$54)-$A40)*'Cálculos'!$C$98)+1400)+'Cálculos'!$C$122)*'Cálculos'!$C$276+'Cálculos'!$C$125*(1+2.78*('Cálculos'!$C$200+(($B$54)-$A40)*'Cálculos'!$C$98)/(('Cálculos'!$C$200+(($B$54)-$A40)*'Cálculos'!$C$98)+1400)+'Cálculos'!$C$123)*'Cálculos'!$C$281)+('Cálculos'!$C$204*(1+'Cálculos'!$C$205+$A40*('Cálculos'!$C$290=3)*'Cálculos'!$C$103)+'Cálculos'!$C$206)*('Cálculos'!$C$272+'Cálculos'!$C$124*(1+2.78*('Cálculos'!$C$200+(($B$54)-$A40)*'Cálculos'!$C$98)/(('Cálculos'!$C$200+(($B$54)-$A40)*'Cálculos'!$C$98)+1400)+'Cálculos'!$C$122)*'Cálculos'!$C$277+'Cálculos'!$C$125*(1+2.78*('Cálculos'!$C$200+(($B$54)-$A40)*'Cálculos'!$C$98)/(('Cálculos'!$C$200+(($B$54)-$A40)*'Cálculos'!$C$98)+1400)+'Cálculos'!$C$123)*'Cálculos'!$C$282)))</f>
        <v>0</v>
      </c>
    </row>
    <row r="41" ht="15.75" customHeight="1">
      <c r="A41" s="2">
        <v>35.0</v>
      </c>
      <c r="B41" s="30">
        <f>SUMPRODUCT(MAX(($A$6:$A$51&lt;=$A41)*($A$6:$A$51&lt;='Cálculos'!$C$294)*(($A41)-$A$6:$A$51&lt;='Cálculos'!$C$295)*(1+(('Cálculos'!$C$207+$A$6:$A$51*'Cálculos'!$C$95)-(('Cálculos'!$C$207+$A$6:$A$51*'Cálculos'!$C$95)&gt;1)*(('Cálculos'!$C$207+$A$6:$A$51*'Cálculos'!$C$95)-1))*('Cálculos'!$C$208+(($A41)-$A$6:$A$51)*'Cálculos'!$C$96))))</f>
        <v>4.44</v>
      </c>
      <c r="C41" s="2">
        <f>'Cálculos'!$C$303-$A41</f>
        <v>-15</v>
      </c>
      <c r="D41" s="31">
        <f>IF($C41&lt;0,0,SUMPRODUCT(MAX(($A$6:$A$51&lt;=$C41)*($A$6:$A$51&lt;='Cálculos'!$C$301)*(($C41)-$A$6:$A$51&lt;='Cálculos'!$C$297)*(('Cálculos'!$C$185*(1+'Cálculos'!$C$186+$A$6:$A$51*('Cálculos'!$C$290=1)*'Cálculos'!$C$97+'Cálculos'!$C$305)+'Cálculos'!$C$191)*('Cálculos'!$C$209+'Cálculos'!$C$124*(1+2.78*('Cálculos'!$C$196+(($C41)-$A$6:$A$51)*'Cálculos'!$C$98)/(('Cálculos'!$C$196+(($C41)-$A$6:$A$51)*'Cálculos'!$C$98)+1400)+'Cálculos'!$C$122)*'Cálculos'!$C$214+'Cálculos'!$C$125*(1+2.78*('Cálculos'!$C$196+(($C41)-$A$6:$A$51)*'Cálculos'!$C$98)/(('Cálculos'!$C$196+(($C41)-$A$6:$A$51)*'Cálculos'!$C$98)+1400)+'Cálculos'!$C$123)*'Cálculos'!$C$219)+('Cálculos'!$C$196+(($C41)-$A$6:$A$51)*'Cálculos'!$C$98)*('Cálculos'!$C$210+'Cálculos'!$C$124*(1+2.78*('Cálculos'!$C$196+(($C41)-$A$6:$A$51)*'Cálculos'!$C$98)/(('Cálculos'!$C$196+(($C41)-$A$6:$A$51)*'Cálculos'!$C$98)+1400)+'Cálculos'!$C$122)*'Cálculos'!$C$215+'Cálculos'!$C$125*(1+2.78*('Cálculos'!$C$196+(($C41)-$A$6:$A$51)*'Cálculos'!$C$98)/(('Cálculos'!$C$196+(($C41)-$A$6:$A$51)*'Cálculos'!$C$98)+1400)+'Cálculos'!$C$123)*'Cálculos'!$C$220)+('Cálculos'!$C$201*(1+'Cálculos'!$C$202+$A$6:$A$51*('Cálculos'!$C$290=2)*'Cálculos'!$C$101)+'Cálculos'!$C$203)*('Cálculos'!$C$211+'Cálculos'!$C$124*(1+2.78*('Cálculos'!$C$196+(($C41)-$A$6:$A$51)*'Cálculos'!$C$98)/(('Cálculos'!$C$196+(($C41)-$A$6:$A$51)*'Cálculos'!$C$98)+1400)+'Cálculos'!$C$122)*'Cálculos'!$C$216+'Cálculos'!$C$125*(1+2.78*('Cálculos'!$C$196+(($C41)-$A$6:$A$51)*'Cálculos'!$C$98)/(('Cálculos'!$C$196+(($C41)-$A$6:$A$51)*'Cálculos'!$C$98)+1400)+'Cálculos'!$C$123)*'Cálculos'!$C$221)+('Cálculos'!$C$204*(1+'Cálculos'!$C$205+$A$6:$A$51*('Cálculos'!$C$290=3)*'Cálculos'!$C$103)+'Cálculos'!$C$206)*('Cálculos'!$C$212+'Cálculos'!$C$124*(1+2.78*('Cálculos'!$C$196+(($C41)-$A$6:$A$51)*'Cálculos'!$C$98)/(('Cálculos'!$C$196+(($C41)-$A$6:$A$51)*'Cálculos'!$C$98)+1400)+'Cálculos'!$C$122)*'Cálculos'!$C$217+'Cálculos'!$C$125*(1+2.78*('Cálculos'!$C$196+(($C41)-$A$6:$A$51)*'Cálculos'!$C$98)/(('Cálculos'!$C$196+(($C41)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41)-$A$6:$A$51)*'Cálculos'!$C$98)/(('Cálculos'!$C$197+(($C41)-$A$6:$A$51)*'Cálculos'!$C$98)+1400)+'Cálculos'!$C$122)*'Cálculos'!$C$229+'Cálculos'!$C$125*(1+2.78*('Cálculos'!$C$197+(($C41)-$A$6:$A$51)*'Cálculos'!$C$98)/(('Cálculos'!$C$197+(($C41)-$A$6:$A$51)*'Cálculos'!$C$98)+1400)+'Cálculos'!$C$123)*'Cálculos'!$C$234)+('Cálculos'!$C$197+(($C41)-$A$6:$A$51)*'Cálculos'!$C$98)*('Cálculos'!$C$225+'Cálculos'!$C$124*(1+2.78*('Cálculos'!$C$197+(($C41)-$A$6:$A$51)*'Cálculos'!$C$98)/(('Cálculos'!$C$197+(($C41)-$A$6:$A$51)*'Cálculos'!$C$98)+1400)+'Cálculos'!$C$122)*'Cálculos'!$C$230+'Cálculos'!$C$125*(1+2.78*('Cálculos'!$C$197+(($C41)-$A$6:$A$51)*'Cálculos'!$C$98)/(('Cálculos'!$C$197+(($C41)-$A$6:$A$51)*'Cálculos'!$C$98)+1400)+'Cálculos'!$C$123)*'Cálculos'!$C$235)+('Cálculos'!$C$201*(1+'Cálculos'!$C$202+$A$6:$A$51*('Cálculos'!$C$290=2)*'Cálculos'!$C$101)+'Cálculos'!$C$203)*('Cálculos'!$C$226+'Cálculos'!$C$124*(1+2.78*('Cálculos'!$C$197+(($C41)-$A$6:$A$51)*'Cálculos'!$C$98)/(('Cálculos'!$C$197+(($C41)-$A$6:$A$51)*'Cálculos'!$C$98)+1400)+'Cálculos'!$C$122)*'Cálculos'!$C$231+'Cálculos'!$C$125*(1+2.78*('Cálculos'!$C$197+(($C41)-$A$6:$A$51)*'Cálculos'!$C$98)/(('Cálculos'!$C$197+(($C41)-$A$6:$A$51)*'Cálculos'!$C$98)+1400)+'Cálculos'!$C$123)*'Cálculos'!$C$236)+('Cálculos'!$C$204*(1+'Cálculos'!$C$205+$A$6:$A$51*('Cálculos'!$C$290=3)*'Cálculos'!$C$103)+'Cálculos'!$C$206)*('Cálculos'!$C$227+'Cálculos'!$C$124*(1+2.78*('Cálculos'!$C$197+(($C41)-$A$6:$A$51)*'Cálculos'!$C$98)/(('Cálculos'!$C$197+(($C41)-$A$6:$A$51)*'Cálculos'!$C$98)+1400)+'Cálculos'!$C$122)*'Cálculos'!$C$232+'Cálculos'!$C$125*(1+2.78*('Cálculos'!$C$197+(($C41)-$A$6:$A$51)*'Cálculos'!$C$98)/(('Cálculos'!$C$197+(($C41)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41)-$A$6:$A$51)*'Cálculos'!$C$98)/(('Cálculos'!$C$198+(($C41)-$A$6:$A$51)*'Cálculos'!$C$98)+1400)+'Cálculos'!$C$122)*'Cálculos'!$C$244+'Cálculos'!$C$125*(1+2.78*('Cálculos'!$C$198+(($C41)-$A$6:$A$51)*'Cálculos'!$C$98)/(('Cálculos'!$C$198+(($C41)-$A$6:$A$51)*'Cálculos'!$C$98)+1400)+'Cálculos'!$C$123)*'Cálculos'!$C$249)+('Cálculos'!$C$198+(($C41)-$A$6:$A$51)*'Cálculos'!$C$98)*('Cálculos'!$C$240+'Cálculos'!$C$124*(1+2.78*('Cálculos'!$C$198+(($C41)-$A$6:$A$51)*'Cálculos'!$C$98)/(('Cálculos'!$C$198+(($C41)-$A$6:$A$51)*'Cálculos'!$C$98)+1400)+'Cálculos'!$C$122)*'Cálculos'!$C$245+'Cálculos'!$C$125*(1+2.78*('Cálculos'!$C$198+(($C41)-$A$6:$A$51)*'Cálculos'!$C$98)/(('Cálculos'!$C$198+(($C41)-$A$6:$A$51)*'Cálculos'!$C$98)+1400)+'Cálculos'!$C$123)*'Cálculos'!$C$250)+('Cálculos'!$C$201*(1+'Cálculos'!$C$202+$A$6:$A$51*('Cálculos'!$C$290=2)*'Cálculos'!$C$101)+'Cálculos'!$C$203)*('Cálculos'!$C$241+'Cálculos'!$C$124*(1+2.78*('Cálculos'!$C$198+(($C41)-$A$6:$A$51)*'Cálculos'!$C$98)/(('Cálculos'!$C$198+(($C41)-$A$6:$A$51)*'Cálculos'!$C$98)+1400)+'Cálculos'!$C$122)*'Cálculos'!$C$246+'Cálculos'!$C$125*(1+2.78*('Cálculos'!$C$198+(($C41)-$A$6:$A$51)*'Cálculos'!$C$98)/(('Cálculos'!$C$198+(($C41)-$A$6:$A$51)*'Cálculos'!$C$98)+1400)+'Cálculos'!$C$123)*'Cálculos'!$C$251)+('Cálculos'!$C$204*(1+'Cálculos'!$C$205+$A$6:$A$51*('Cálculos'!$C$290=3)*'Cálculos'!$C$103)+'Cálculos'!$C$206)*('Cálculos'!$C$242+'Cálculos'!$C$124*(1+2.78*('Cálculos'!$C$198+(($C41)-$A$6:$A$51)*'Cálculos'!$C$98)/(('Cálculos'!$C$198+(($C41)-$A$6:$A$51)*'Cálculos'!$C$98)+1400)+'Cálculos'!$C$122)*'Cálculos'!$C$247+'Cálculos'!$C$125*(1+2.78*('Cálculos'!$C$198+(($C41)-$A$6:$A$51)*'Cálculos'!$C$98)/(('Cálculos'!$C$198+(($C41)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41)-$A$6:$A$51)*'Cálculos'!$C$98)/(('Cálculos'!$C$199+(($C41)-$A$6:$A$51)*'Cálculos'!$C$98)+1400)+'Cálculos'!$C$122)*'Cálculos'!$C$259+'Cálculos'!$C$125*(1+2.78*('Cálculos'!$C$199+(($C41)-$A$6:$A$51)*'Cálculos'!$C$98)/(('Cálculos'!$C$199+(($C41)-$A$6:$A$51)*'Cálculos'!$C$98)+1400)+'Cálculos'!$C$123)*'Cálculos'!$C$264)+('Cálculos'!$C$199+(($C41)-$A$6:$A$51)*'Cálculos'!$C$98)*('Cálculos'!$C$255+'Cálculos'!$C$124*(1+2.78*('Cálculos'!$C$199+(($C41)-$A$6:$A$51)*'Cálculos'!$C$98)/(('Cálculos'!$C$199+(($C41)-$A$6:$A$51)*'Cálculos'!$C$98)+1400)+'Cálculos'!$C$122)*'Cálculos'!$C$260+'Cálculos'!$C$125*(1+2.78*('Cálculos'!$C$199+(($C41)-$A$6:$A$51)*'Cálculos'!$C$98)/(('Cálculos'!$C$199+(($C41)-$A$6:$A$51)*'Cálculos'!$C$98)+1400)+'Cálculos'!$C$123)*'Cálculos'!$C$265)+('Cálculos'!$C$201*(1+'Cálculos'!$C$202+$A$6:$A$51*('Cálculos'!$C$290=2)*'Cálculos'!$C$101)+'Cálculos'!$C$203)*('Cálculos'!$C$256+'Cálculos'!$C$124*(1+2.78*('Cálculos'!$C$199+(($C41)-$A$6:$A$51)*'Cálculos'!$C$98)/(('Cálculos'!$C$199+(($C41)-$A$6:$A$51)*'Cálculos'!$C$98)+1400)+'Cálculos'!$C$122)*'Cálculos'!$C$261+'Cálculos'!$C$125*(1+2.78*('Cálculos'!$C$199+(($C41)-$A$6:$A$51)*'Cálculos'!$C$98)/(('Cálculos'!$C$199+(($C41)-$A$6:$A$51)*'Cálculos'!$C$98)+1400)+'Cálculos'!$C$123)*'Cálculos'!$C$266)+('Cálculos'!$C$204*(1+'Cálculos'!$C$205+$A$6:$A$51*('Cálculos'!$C$290=3)*'Cálculos'!$C$103)+'Cálculos'!$C$206)*('Cálculos'!$C$257+'Cálculos'!$C$124*(1+2.78*('Cálculos'!$C$199+(($C41)-$A$6:$A$51)*'Cálculos'!$C$98)/(('Cálculos'!$C$199+(($C41)-$A$6:$A$51)*'Cálculos'!$C$98)+1400)+'Cálculos'!$C$122)*'Cálculos'!$C$262+'Cálculos'!$C$125*(1+2.78*('Cálculos'!$C$199+(($C41)-$A$6:$A$51)*'Cálculos'!$C$98)/(('Cálculos'!$C$199+(($C41)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41)-$A$6:$A$51)*'Cálculos'!$C$98)/(('Cálculos'!$C$200+(($C41)-$A$6:$A$51)*'Cálculos'!$C$98)+1400)+'Cálculos'!$C$122)*'Cálculos'!$C$274+'Cálculos'!$C$125*(1+2.78*('Cálculos'!$C$200+(($C41)-$A$6:$A$51)*'Cálculos'!$C$98)/(('Cálculos'!$C$200+(($C41)-$A$6:$A$51)*'Cálculos'!$C$98)+1400)+'Cálculos'!$C$123)*'Cálculos'!$C$279)+('Cálculos'!$C$200+(($C41)-$A$6:$A$51)*'Cálculos'!$C$98)*('Cálculos'!$C$270+'Cálculos'!$C$124*(1+2.78*('Cálculos'!$C$200+(($C41)-$A$6:$A$51)*'Cálculos'!$C$98)/(('Cálculos'!$C$200+(($C41)-$A$6:$A$51)*'Cálculos'!$C$98)+1400)+'Cálculos'!$C$122)*'Cálculos'!$C$275+'Cálculos'!$C$125*(1+2.78*('Cálculos'!$C$200+(($C41)-$A$6:$A$51)*'Cálculos'!$C$98)/(('Cálculos'!$C$200+(($C41)-$A$6:$A$51)*'Cálculos'!$C$98)+1400)+'Cálculos'!$C$123)*'Cálculos'!$C$280)+('Cálculos'!$C$201*(1+'Cálculos'!$C$202+$A$6:$A$51*('Cálculos'!$C$290=2)*'Cálculos'!$C$101)+'Cálculos'!$C$203)*('Cálculos'!$C$271+'Cálculos'!$C$124*(1+2.78*('Cálculos'!$C$200+(($C41)-$A$6:$A$51)*'Cálculos'!$C$98)/(('Cálculos'!$C$200+(($C41)-$A$6:$A$51)*'Cálculos'!$C$98)+1400)+'Cálculos'!$C$122)*'Cálculos'!$C$276+'Cálculos'!$C$125*(1+2.78*('Cálculos'!$C$200+(($C41)-$A$6:$A$51)*'Cálculos'!$C$98)/(('Cálculos'!$C$200+(($C41)-$A$6:$A$51)*'Cálculos'!$C$98)+1400)+'Cálculos'!$C$123)*'Cálculos'!$C$281)+('Cálculos'!$C$204*(1+'Cálculos'!$C$205+$A$6:$A$51*('Cálculos'!$C$290=3)*'Cálculos'!$C$103)+'Cálculos'!$C$206)*('Cálculos'!$C$272+'Cálculos'!$C$124*(1+2.78*('Cálculos'!$C$200+(($C41)-$A$6:$A$51)*'Cálculos'!$C$98)/(('Cálculos'!$C$200+(($C41)-$A$6:$A$51)*'Cálculos'!$C$98)+1400)+'Cálculos'!$C$122)*'Cálculos'!$C$277+'Cálculos'!$C$125*(1+2.78*('Cálculos'!$C$200+(($C41)-$A$6:$A$51)*'Cálculos'!$C$98)/(('Cálculos'!$C$200+(($C41)-$A$6:$A$51)*'Cálculos'!$C$98)+1400)+'Cálculos'!$C$123)*'Cálculos'!$C$282)))))</f>
        <v>0</v>
      </c>
      <c r="E41" s="32">
        <f>IF(OR($C41&lt;0,'Cálculos'!$C$6=""),0,$B41*$D41)</f>
        <v>0</v>
      </c>
      <c r="F41" s="2"/>
      <c r="G41" s="30">
        <f>($A41&lt;=$B$53)*($A41&lt;='Cálculos'!$C$294)*(($B$53)-$A41&lt;='Cálculos'!$C$295)*(1+MIN(('Cálculos'!$C$207+$A41*'Cálculos'!$C$95),1)*('Cálculos'!$C$208+(($B$53)-$A41)*'Cálculos'!$C$96))</f>
        <v>0</v>
      </c>
      <c r="H41" s="31">
        <f>IF($B$54&lt;0,0,($A41&lt;=$B$54)*($A41&lt;='Cálculos'!$C$301)*(($B$54)-$A41&lt;='Cálculos'!$C$297)*(('Cálculos'!$C$185*(1+'Cálculos'!$C$186+$A41*('Cálculos'!$C$290=1)*'Cálculos'!$C$97+'Cálculos'!$C$305)+'Cálculos'!$C$191)*('Cálculos'!$C$209+'Cálculos'!$C$124*(1+2.78*('Cálculos'!$C$196+(($B$54)-$A41)*'Cálculos'!$C$98)/(('Cálculos'!$C$196+(($B$54)-$A41)*'Cálculos'!$C$98)+1400)+'Cálculos'!$C$122)*'Cálculos'!$C$214+'Cálculos'!$C$125*(1+2.78*('Cálculos'!$C$196+(($B$54)-$A41)*'Cálculos'!$C$98)/(('Cálculos'!$C$196+(($B$54)-$A41)*'Cálculos'!$C$98)+1400)+'Cálculos'!$C$123)*'Cálculos'!$C$219)+('Cálculos'!$C$196+(($B$54)-$A41)*'Cálculos'!$C$98)*('Cálculos'!$C$210+'Cálculos'!$C$124*(1+2.78*('Cálculos'!$C$196+(($B$54)-$A41)*'Cálculos'!$C$98)/(('Cálculos'!$C$196+(($B$54)-$A41)*'Cálculos'!$C$98)+1400)+'Cálculos'!$C$122)*'Cálculos'!$C$215+'Cálculos'!$C$125*(1+2.78*('Cálculos'!$C$196+(($B$54)-$A41)*'Cálculos'!$C$98)/(('Cálculos'!$C$196+(($B$54)-$A41)*'Cálculos'!$C$98)+1400)+'Cálculos'!$C$123)*'Cálculos'!$C$220)+('Cálculos'!$C$201*(1+'Cálculos'!$C$202+$A41*('Cálculos'!$C$290=2)*'Cálculos'!$C$101)+'Cálculos'!$C$203)*('Cálculos'!$C$211+'Cálculos'!$C$124*(1+2.78*('Cálculos'!$C$196+(($B$54)-$A41)*'Cálculos'!$C$98)/(('Cálculos'!$C$196+(($B$54)-$A41)*'Cálculos'!$C$98)+1400)+'Cálculos'!$C$122)*'Cálculos'!$C$216+'Cálculos'!$C$125*(1+2.78*('Cálculos'!$C$196+(($B$54)-$A41)*'Cálculos'!$C$98)/(('Cálculos'!$C$196+(($B$54)-$A41)*'Cálculos'!$C$98)+1400)+'Cálculos'!$C$123)*'Cálculos'!$C$221)+('Cálculos'!$C$204*(1+'Cálculos'!$C$205+$A41*('Cálculos'!$C$290=3)*'Cálculos'!$C$103)+'Cálculos'!$C$206)*('Cálculos'!$C$212+'Cálculos'!$C$124*(1+2.78*('Cálculos'!$C$196+(($B$54)-$A41)*'Cálculos'!$C$98)/(('Cálculos'!$C$196+(($B$54)-$A41)*'Cálculos'!$C$98)+1400)+'Cálculos'!$C$122)*'Cálculos'!$C$217+'Cálculos'!$C$125*(1+2.78*('Cálculos'!$C$196+(($B$54)-$A41)*'Cálculos'!$C$98)/(('Cálculos'!$C$196+(($B$54)-$A41)*'Cálculos'!$C$98)+1400)+'Cálculos'!$C$123)*'Cálculos'!$C$222)+('Cálculos'!$C$185*(1+'Cálculos'!$C$187+$A41*('Cálculos'!$C$290=1)*'Cálculos'!$C$97+'Cálculos'!$C$305)+'Cálculos'!$C$192)*('Cálculos'!$C$224+'Cálculos'!$C$124*(1+2.78*('Cálculos'!$C$197+(($B$54)-$A41)*'Cálculos'!$C$98)/(('Cálculos'!$C$197+(($B$54)-$A41)*'Cálculos'!$C$98)+1400)+'Cálculos'!$C$122)*'Cálculos'!$C$229+'Cálculos'!$C$125*(1+2.78*('Cálculos'!$C$197+(($B$54)-$A41)*'Cálculos'!$C$98)/(('Cálculos'!$C$197+(($B$54)-$A41)*'Cálculos'!$C$98)+1400)+'Cálculos'!$C$123)*'Cálculos'!$C$234)+('Cálculos'!$C$197+(($B$54)-$A41)*'Cálculos'!$C$98)*('Cálculos'!$C$225+'Cálculos'!$C$124*(1+2.78*('Cálculos'!$C$197+(($B$54)-$A41)*'Cálculos'!$C$98)/(('Cálculos'!$C$197+(($B$54)-$A41)*'Cálculos'!$C$98)+1400)+'Cálculos'!$C$122)*'Cálculos'!$C$230+'Cálculos'!$C$125*(1+2.78*('Cálculos'!$C$197+(($B$54)-$A41)*'Cálculos'!$C$98)/(('Cálculos'!$C$197+(($B$54)-$A41)*'Cálculos'!$C$98)+1400)+'Cálculos'!$C$123)*'Cálculos'!$C$235)+('Cálculos'!$C$201*(1+'Cálculos'!$C$202+$A41*('Cálculos'!$C$290=2)*'Cálculos'!$C$101)+'Cálculos'!$C$203)*('Cálculos'!$C$226+'Cálculos'!$C$124*(1+2.78*('Cálculos'!$C$197+(($B$54)-$A41)*'Cálculos'!$C$98)/(('Cálculos'!$C$197+(($B$54)-$A41)*'Cálculos'!$C$98)+1400)+'Cálculos'!$C$122)*'Cálculos'!$C$231+'Cálculos'!$C$125*(1+2.78*('Cálculos'!$C$197+(($B$54)-$A41)*'Cálculos'!$C$98)/(('Cálculos'!$C$197+(($B$54)-$A41)*'Cálculos'!$C$98)+1400)+'Cálculos'!$C$123)*'Cálculos'!$C$236)+('Cálculos'!$C$204*(1+'Cálculos'!$C$205+$A41*('Cálculos'!$C$290=3)*'Cálculos'!$C$103)+'Cálculos'!$C$206)*('Cálculos'!$C$227+'Cálculos'!$C$124*(1+2.78*('Cálculos'!$C$197+(($B$54)-$A41)*'Cálculos'!$C$98)/(('Cálculos'!$C$197+(($B$54)-$A41)*'Cálculos'!$C$98)+1400)+'Cálculos'!$C$122)*'Cálculos'!$C$232+'Cálculos'!$C$125*(1+2.78*('Cálculos'!$C$197+(($B$54)-$A41)*'Cálculos'!$C$98)/(('Cálculos'!$C$197+(($B$54)-$A41)*'Cálculos'!$C$98)+1400)+'Cálculos'!$C$123)*'Cálculos'!$C$237)+('Cálculos'!$C$185*(1+'Cálculos'!$C$188+$A41*('Cálculos'!$C$290=1)*'Cálculos'!$C$97+'Cálculos'!$C$305)+'Cálculos'!$C$193)*('Cálculos'!$C$239+'Cálculos'!$C$124*(1+2.78*('Cálculos'!$C$198+(($B$54)-$A41)*'Cálculos'!$C$98)/(('Cálculos'!$C$198+(($B$54)-$A41)*'Cálculos'!$C$98)+1400)+'Cálculos'!$C$122)*'Cálculos'!$C$244+'Cálculos'!$C$125*(1+2.78*('Cálculos'!$C$198+(($B$54)-$A41)*'Cálculos'!$C$98)/(('Cálculos'!$C$198+(($B$54)-$A41)*'Cálculos'!$C$98)+1400)+'Cálculos'!$C$123)*'Cálculos'!$C$249)+('Cálculos'!$C$198+(($B$54)-$A41)*'Cálculos'!$C$98)*('Cálculos'!$C$240+'Cálculos'!$C$124*(1+2.78*('Cálculos'!$C$198+(($B$54)-$A41)*'Cálculos'!$C$98)/(('Cálculos'!$C$198+(($B$54)-$A41)*'Cálculos'!$C$98)+1400)+'Cálculos'!$C$122)*'Cálculos'!$C$245+'Cálculos'!$C$125*(1+2.78*('Cálculos'!$C$198+(($B$54)-$A41)*'Cálculos'!$C$98)/(('Cálculos'!$C$198+(($B$54)-$A41)*'Cálculos'!$C$98)+1400)+'Cálculos'!$C$123)*'Cálculos'!$C$250)+('Cálculos'!$C$201*(1+'Cálculos'!$C$202+$A41*('Cálculos'!$C$290=2)*'Cálculos'!$C$101)+'Cálculos'!$C$203)*('Cálculos'!$C$241+'Cálculos'!$C$124*(1+2.78*('Cálculos'!$C$198+(($B$54)-$A41)*'Cálculos'!$C$98)/(('Cálculos'!$C$198+(($B$54)-$A41)*'Cálculos'!$C$98)+1400)+'Cálculos'!$C$122)*'Cálculos'!$C$246+'Cálculos'!$C$125*(1+2.78*('Cálculos'!$C$198+(($B$54)-$A41)*'Cálculos'!$C$98)/(('Cálculos'!$C$198+(($B$54)-$A41)*'Cálculos'!$C$98)+1400)+'Cálculos'!$C$123)*'Cálculos'!$C$251)+('Cálculos'!$C$204*(1+'Cálculos'!$C$205+$A41*('Cálculos'!$C$290=3)*'Cálculos'!$C$103)+'Cálculos'!$C$206)*('Cálculos'!$C$242+'Cálculos'!$C$124*(1+2.78*('Cálculos'!$C$198+(($B$54)-$A41)*'Cálculos'!$C$98)/(('Cálculos'!$C$198+(($B$54)-$A41)*'Cálculos'!$C$98)+1400)+'Cálculos'!$C$122)*'Cálculos'!$C$247+'Cálculos'!$C$125*(1+2.78*('Cálculos'!$C$198+(($B$54)-$A41)*'Cálculos'!$C$98)/(('Cálculos'!$C$198+(($B$54)-$A41)*'Cálculos'!$C$98)+1400)+'Cálculos'!$C$123)*'Cálculos'!$C$252)+('Cálculos'!$C$185*(1+'Cálculos'!$C$189+$A41*('Cálculos'!$C$290=1)*'Cálculos'!$C$97+'Cálculos'!$C$305)+'Cálculos'!$C$194)*('Cálculos'!$C$254+'Cálculos'!$C$124*(1+2.78*('Cálculos'!$C$199+(($B$54)-$A41)*'Cálculos'!$C$98)/(('Cálculos'!$C$199+(($B$54)-$A41)*'Cálculos'!$C$98)+1400)+'Cálculos'!$C$122)*'Cálculos'!$C$259+'Cálculos'!$C$125*(1+2.78*('Cálculos'!$C$199+(($B$54)-$A41)*'Cálculos'!$C$98)/(('Cálculos'!$C$199+(($B$54)-$A41)*'Cálculos'!$C$98)+1400)+'Cálculos'!$C$123)*'Cálculos'!$C$264)+('Cálculos'!$C$199+(($B$54)-$A41)*'Cálculos'!$C$98)*('Cálculos'!$C$255+'Cálculos'!$C$124*(1+2.78*('Cálculos'!$C$199+(($B$54)-$A41)*'Cálculos'!$C$98)/(('Cálculos'!$C$199+(($B$54)-$A41)*'Cálculos'!$C$98)+1400)+'Cálculos'!$C$122)*'Cálculos'!$C$260+'Cálculos'!$C$125*(1+2.78*('Cálculos'!$C$199+(($B$54)-$A41)*'Cálculos'!$C$98)/(('Cálculos'!$C$199+(($B$54)-$A41)*'Cálculos'!$C$98)+1400)+'Cálculos'!$C$123)*'Cálculos'!$C$265)+('Cálculos'!$C$201*(1+'Cálculos'!$C$202+$A41*('Cálculos'!$C$290=2)*'Cálculos'!$C$101)+'Cálculos'!$C$203)*('Cálculos'!$C$256+'Cálculos'!$C$124*(1+2.78*('Cálculos'!$C$199+(($B$54)-$A41)*'Cálculos'!$C$98)/(('Cálculos'!$C$199+(($B$54)-$A41)*'Cálculos'!$C$98)+1400)+'Cálculos'!$C$122)*'Cálculos'!$C$261+'Cálculos'!$C$125*(1+2.78*('Cálculos'!$C$199+(($B$54)-$A41)*'Cálculos'!$C$98)/(('Cálculos'!$C$199+(($B$54)-$A41)*'Cálculos'!$C$98)+1400)+'Cálculos'!$C$123)*'Cálculos'!$C$266)+('Cálculos'!$C$204*(1+'Cálculos'!$C$205+$A41*('Cálculos'!$C$290=3)*'Cálculos'!$C$103)+'Cálculos'!$C$206)*('Cálculos'!$C$257+'Cálculos'!$C$124*(1+2.78*('Cálculos'!$C$199+(($B$54)-$A41)*'Cálculos'!$C$98)/(('Cálculos'!$C$199+(($B$54)-$A41)*'Cálculos'!$C$98)+1400)+'Cálculos'!$C$122)*'Cálculos'!$C$262+'Cálculos'!$C$125*(1+2.78*('Cálculos'!$C$199+(($B$54)-$A41)*'Cálculos'!$C$98)/(('Cálculos'!$C$199+(($B$54)-$A41)*'Cálculos'!$C$98)+1400)+'Cálculos'!$C$123)*'Cálculos'!$C$267)+('Cálculos'!$C$185*(1+'Cálculos'!$C$190+$A41*('Cálculos'!$C$290=1)*'Cálculos'!$C$97+'Cálculos'!$C$305)+'Cálculos'!$C$195)*('Cálculos'!$C$269+'Cálculos'!$C$124*(1+2.78*('Cálculos'!$C$200+(($B$54)-$A41)*'Cálculos'!$C$98)/(('Cálculos'!$C$200+(($B$54)-$A41)*'Cálculos'!$C$98)+1400)+'Cálculos'!$C$122)*'Cálculos'!$C$274+'Cálculos'!$C$125*(1+2.78*('Cálculos'!$C$200+(($B$54)-$A41)*'Cálculos'!$C$98)/(('Cálculos'!$C$200+(($B$54)-$A41)*'Cálculos'!$C$98)+1400)+'Cálculos'!$C$123)*'Cálculos'!$C$279)+('Cálculos'!$C$200+(($B$54)-$A41)*'Cálculos'!$C$98)*('Cálculos'!$C$270+'Cálculos'!$C$124*(1+2.78*('Cálculos'!$C$200+(($B$54)-$A41)*'Cálculos'!$C$98)/(('Cálculos'!$C$200+(($B$54)-$A41)*'Cálculos'!$C$98)+1400)+'Cálculos'!$C$122)*'Cálculos'!$C$275+'Cálculos'!$C$125*(1+2.78*('Cálculos'!$C$200+(($B$54)-$A41)*'Cálculos'!$C$98)/(('Cálculos'!$C$200+(($B$54)-$A41)*'Cálculos'!$C$98)+1400)+'Cálculos'!$C$123)*'Cálculos'!$C$280)+('Cálculos'!$C$201*(1+'Cálculos'!$C$202+$A41*('Cálculos'!$C$290=2)*'Cálculos'!$C$101)+'Cálculos'!$C$203)*('Cálculos'!$C$271+'Cálculos'!$C$124*(1+2.78*('Cálculos'!$C$200+(($B$54)-$A41)*'Cálculos'!$C$98)/(('Cálculos'!$C$200+(($B$54)-$A41)*'Cálculos'!$C$98)+1400)+'Cálculos'!$C$122)*'Cálculos'!$C$276+'Cálculos'!$C$125*(1+2.78*('Cálculos'!$C$200+(($B$54)-$A41)*'Cálculos'!$C$98)/(('Cálculos'!$C$200+(($B$54)-$A41)*'Cálculos'!$C$98)+1400)+'Cálculos'!$C$123)*'Cálculos'!$C$281)+('Cálculos'!$C$204*(1+'Cálculos'!$C$205+$A41*('Cálculos'!$C$290=3)*'Cálculos'!$C$103)+'Cálculos'!$C$206)*('Cálculos'!$C$272+'Cálculos'!$C$124*(1+2.78*('Cálculos'!$C$200+(($B$54)-$A41)*'Cálculos'!$C$98)/(('Cálculos'!$C$200+(($B$54)-$A41)*'Cálculos'!$C$98)+1400)+'Cálculos'!$C$122)*'Cálculos'!$C$277+'Cálculos'!$C$125*(1+2.78*('Cálculos'!$C$200+(($B$54)-$A41)*'Cálculos'!$C$98)/(('Cálculos'!$C$200+(($B$54)-$A41)*'Cálculos'!$C$98)+1400)+'Cálculos'!$C$123)*'Cálculos'!$C$282)))</f>
        <v>0</v>
      </c>
    </row>
    <row r="42" ht="15.75" customHeight="1">
      <c r="A42" s="2">
        <v>36.0</v>
      </c>
      <c r="B42" s="30">
        <f>SUMPRODUCT(MAX(($A$6:$A$51&lt;=$A42)*($A$6:$A$51&lt;='Cálculos'!$C$294)*(($A42)-$A$6:$A$51&lt;='Cálculos'!$C$295)*(1+(('Cálculos'!$C$207+$A$6:$A$51*'Cálculos'!$C$95)-(('Cálculos'!$C$207+$A$6:$A$51*'Cálculos'!$C$95)&gt;1)*(('Cálculos'!$C$207+$A$6:$A$51*'Cálculos'!$C$95)-1))*('Cálculos'!$C$208+(($A42)-$A$6:$A$51)*'Cálculos'!$C$96))))</f>
        <v>4.44</v>
      </c>
      <c r="C42" s="2">
        <f>'Cálculos'!$C$303-$A42</f>
        <v>-16</v>
      </c>
      <c r="D42" s="31">
        <f>IF($C42&lt;0,0,SUMPRODUCT(MAX(($A$6:$A$51&lt;=$C42)*($A$6:$A$51&lt;='Cálculos'!$C$301)*(($C42)-$A$6:$A$51&lt;='Cálculos'!$C$297)*(('Cálculos'!$C$185*(1+'Cálculos'!$C$186+$A$6:$A$51*('Cálculos'!$C$290=1)*'Cálculos'!$C$97+'Cálculos'!$C$305)+'Cálculos'!$C$191)*('Cálculos'!$C$209+'Cálculos'!$C$124*(1+2.78*('Cálculos'!$C$196+(($C42)-$A$6:$A$51)*'Cálculos'!$C$98)/(('Cálculos'!$C$196+(($C42)-$A$6:$A$51)*'Cálculos'!$C$98)+1400)+'Cálculos'!$C$122)*'Cálculos'!$C$214+'Cálculos'!$C$125*(1+2.78*('Cálculos'!$C$196+(($C42)-$A$6:$A$51)*'Cálculos'!$C$98)/(('Cálculos'!$C$196+(($C42)-$A$6:$A$51)*'Cálculos'!$C$98)+1400)+'Cálculos'!$C$123)*'Cálculos'!$C$219)+('Cálculos'!$C$196+(($C42)-$A$6:$A$51)*'Cálculos'!$C$98)*('Cálculos'!$C$210+'Cálculos'!$C$124*(1+2.78*('Cálculos'!$C$196+(($C42)-$A$6:$A$51)*'Cálculos'!$C$98)/(('Cálculos'!$C$196+(($C42)-$A$6:$A$51)*'Cálculos'!$C$98)+1400)+'Cálculos'!$C$122)*'Cálculos'!$C$215+'Cálculos'!$C$125*(1+2.78*('Cálculos'!$C$196+(($C42)-$A$6:$A$51)*'Cálculos'!$C$98)/(('Cálculos'!$C$196+(($C42)-$A$6:$A$51)*'Cálculos'!$C$98)+1400)+'Cálculos'!$C$123)*'Cálculos'!$C$220)+('Cálculos'!$C$201*(1+'Cálculos'!$C$202+$A$6:$A$51*('Cálculos'!$C$290=2)*'Cálculos'!$C$101)+'Cálculos'!$C$203)*('Cálculos'!$C$211+'Cálculos'!$C$124*(1+2.78*('Cálculos'!$C$196+(($C42)-$A$6:$A$51)*'Cálculos'!$C$98)/(('Cálculos'!$C$196+(($C42)-$A$6:$A$51)*'Cálculos'!$C$98)+1400)+'Cálculos'!$C$122)*'Cálculos'!$C$216+'Cálculos'!$C$125*(1+2.78*('Cálculos'!$C$196+(($C42)-$A$6:$A$51)*'Cálculos'!$C$98)/(('Cálculos'!$C$196+(($C42)-$A$6:$A$51)*'Cálculos'!$C$98)+1400)+'Cálculos'!$C$123)*'Cálculos'!$C$221)+('Cálculos'!$C$204*(1+'Cálculos'!$C$205+$A$6:$A$51*('Cálculos'!$C$290=3)*'Cálculos'!$C$103)+'Cálculos'!$C$206)*('Cálculos'!$C$212+'Cálculos'!$C$124*(1+2.78*('Cálculos'!$C$196+(($C42)-$A$6:$A$51)*'Cálculos'!$C$98)/(('Cálculos'!$C$196+(($C42)-$A$6:$A$51)*'Cálculos'!$C$98)+1400)+'Cálculos'!$C$122)*'Cálculos'!$C$217+'Cálculos'!$C$125*(1+2.78*('Cálculos'!$C$196+(($C42)-$A$6:$A$51)*'Cálculos'!$C$98)/(('Cálculos'!$C$196+(($C42)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42)-$A$6:$A$51)*'Cálculos'!$C$98)/(('Cálculos'!$C$197+(($C42)-$A$6:$A$51)*'Cálculos'!$C$98)+1400)+'Cálculos'!$C$122)*'Cálculos'!$C$229+'Cálculos'!$C$125*(1+2.78*('Cálculos'!$C$197+(($C42)-$A$6:$A$51)*'Cálculos'!$C$98)/(('Cálculos'!$C$197+(($C42)-$A$6:$A$51)*'Cálculos'!$C$98)+1400)+'Cálculos'!$C$123)*'Cálculos'!$C$234)+('Cálculos'!$C$197+(($C42)-$A$6:$A$51)*'Cálculos'!$C$98)*('Cálculos'!$C$225+'Cálculos'!$C$124*(1+2.78*('Cálculos'!$C$197+(($C42)-$A$6:$A$51)*'Cálculos'!$C$98)/(('Cálculos'!$C$197+(($C42)-$A$6:$A$51)*'Cálculos'!$C$98)+1400)+'Cálculos'!$C$122)*'Cálculos'!$C$230+'Cálculos'!$C$125*(1+2.78*('Cálculos'!$C$197+(($C42)-$A$6:$A$51)*'Cálculos'!$C$98)/(('Cálculos'!$C$197+(($C42)-$A$6:$A$51)*'Cálculos'!$C$98)+1400)+'Cálculos'!$C$123)*'Cálculos'!$C$235)+('Cálculos'!$C$201*(1+'Cálculos'!$C$202+$A$6:$A$51*('Cálculos'!$C$290=2)*'Cálculos'!$C$101)+'Cálculos'!$C$203)*('Cálculos'!$C$226+'Cálculos'!$C$124*(1+2.78*('Cálculos'!$C$197+(($C42)-$A$6:$A$51)*'Cálculos'!$C$98)/(('Cálculos'!$C$197+(($C42)-$A$6:$A$51)*'Cálculos'!$C$98)+1400)+'Cálculos'!$C$122)*'Cálculos'!$C$231+'Cálculos'!$C$125*(1+2.78*('Cálculos'!$C$197+(($C42)-$A$6:$A$51)*'Cálculos'!$C$98)/(('Cálculos'!$C$197+(($C42)-$A$6:$A$51)*'Cálculos'!$C$98)+1400)+'Cálculos'!$C$123)*'Cálculos'!$C$236)+('Cálculos'!$C$204*(1+'Cálculos'!$C$205+$A$6:$A$51*('Cálculos'!$C$290=3)*'Cálculos'!$C$103)+'Cálculos'!$C$206)*('Cálculos'!$C$227+'Cálculos'!$C$124*(1+2.78*('Cálculos'!$C$197+(($C42)-$A$6:$A$51)*'Cálculos'!$C$98)/(('Cálculos'!$C$197+(($C42)-$A$6:$A$51)*'Cálculos'!$C$98)+1400)+'Cálculos'!$C$122)*'Cálculos'!$C$232+'Cálculos'!$C$125*(1+2.78*('Cálculos'!$C$197+(($C42)-$A$6:$A$51)*'Cálculos'!$C$98)/(('Cálculos'!$C$197+(($C42)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42)-$A$6:$A$51)*'Cálculos'!$C$98)/(('Cálculos'!$C$198+(($C42)-$A$6:$A$51)*'Cálculos'!$C$98)+1400)+'Cálculos'!$C$122)*'Cálculos'!$C$244+'Cálculos'!$C$125*(1+2.78*('Cálculos'!$C$198+(($C42)-$A$6:$A$51)*'Cálculos'!$C$98)/(('Cálculos'!$C$198+(($C42)-$A$6:$A$51)*'Cálculos'!$C$98)+1400)+'Cálculos'!$C$123)*'Cálculos'!$C$249)+('Cálculos'!$C$198+(($C42)-$A$6:$A$51)*'Cálculos'!$C$98)*('Cálculos'!$C$240+'Cálculos'!$C$124*(1+2.78*('Cálculos'!$C$198+(($C42)-$A$6:$A$51)*'Cálculos'!$C$98)/(('Cálculos'!$C$198+(($C42)-$A$6:$A$51)*'Cálculos'!$C$98)+1400)+'Cálculos'!$C$122)*'Cálculos'!$C$245+'Cálculos'!$C$125*(1+2.78*('Cálculos'!$C$198+(($C42)-$A$6:$A$51)*'Cálculos'!$C$98)/(('Cálculos'!$C$198+(($C42)-$A$6:$A$51)*'Cálculos'!$C$98)+1400)+'Cálculos'!$C$123)*'Cálculos'!$C$250)+('Cálculos'!$C$201*(1+'Cálculos'!$C$202+$A$6:$A$51*('Cálculos'!$C$290=2)*'Cálculos'!$C$101)+'Cálculos'!$C$203)*('Cálculos'!$C$241+'Cálculos'!$C$124*(1+2.78*('Cálculos'!$C$198+(($C42)-$A$6:$A$51)*'Cálculos'!$C$98)/(('Cálculos'!$C$198+(($C42)-$A$6:$A$51)*'Cálculos'!$C$98)+1400)+'Cálculos'!$C$122)*'Cálculos'!$C$246+'Cálculos'!$C$125*(1+2.78*('Cálculos'!$C$198+(($C42)-$A$6:$A$51)*'Cálculos'!$C$98)/(('Cálculos'!$C$198+(($C42)-$A$6:$A$51)*'Cálculos'!$C$98)+1400)+'Cálculos'!$C$123)*'Cálculos'!$C$251)+('Cálculos'!$C$204*(1+'Cálculos'!$C$205+$A$6:$A$51*('Cálculos'!$C$290=3)*'Cálculos'!$C$103)+'Cálculos'!$C$206)*('Cálculos'!$C$242+'Cálculos'!$C$124*(1+2.78*('Cálculos'!$C$198+(($C42)-$A$6:$A$51)*'Cálculos'!$C$98)/(('Cálculos'!$C$198+(($C42)-$A$6:$A$51)*'Cálculos'!$C$98)+1400)+'Cálculos'!$C$122)*'Cálculos'!$C$247+'Cálculos'!$C$125*(1+2.78*('Cálculos'!$C$198+(($C42)-$A$6:$A$51)*'Cálculos'!$C$98)/(('Cálculos'!$C$198+(($C42)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42)-$A$6:$A$51)*'Cálculos'!$C$98)/(('Cálculos'!$C$199+(($C42)-$A$6:$A$51)*'Cálculos'!$C$98)+1400)+'Cálculos'!$C$122)*'Cálculos'!$C$259+'Cálculos'!$C$125*(1+2.78*('Cálculos'!$C$199+(($C42)-$A$6:$A$51)*'Cálculos'!$C$98)/(('Cálculos'!$C$199+(($C42)-$A$6:$A$51)*'Cálculos'!$C$98)+1400)+'Cálculos'!$C$123)*'Cálculos'!$C$264)+('Cálculos'!$C$199+(($C42)-$A$6:$A$51)*'Cálculos'!$C$98)*('Cálculos'!$C$255+'Cálculos'!$C$124*(1+2.78*('Cálculos'!$C$199+(($C42)-$A$6:$A$51)*'Cálculos'!$C$98)/(('Cálculos'!$C$199+(($C42)-$A$6:$A$51)*'Cálculos'!$C$98)+1400)+'Cálculos'!$C$122)*'Cálculos'!$C$260+'Cálculos'!$C$125*(1+2.78*('Cálculos'!$C$199+(($C42)-$A$6:$A$51)*'Cálculos'!$C$98)/(('Cálculos'!$C$199+(($C42)-$A$6:$A$51)*'Cálculos'!$C$98)+1400)+'Cálculos'!$C$123)*'Cálculos'!$C$265)+('Cálculos'!$C$201*(1+'Cálculos'!$C$202+$A$6:$A$51*('Cálculos'!$C$290=2)*'Cálculos'!$C$101)+'Cálculos'!$C$203)*('Cálculos'!$C$256+'Cálculos'!$C$124*(1+2.78*('Cálculos'!$C$199+(($C42)-$A$6:$A$51)*'Cálculos'!$C$98)/(('Cálculos'!$C$199+(($C42)-$A$6:$A$51)*'Cálculos'!$C$98)+1400)+'Cálculos'!$C$122)*'Cálculos'!$C$261+'Cálculos'!$C$125*(1+2.78*('Cálculos'!$C$199+(($C42)-$A$6:$A$51)*'Cálculos'!$C$98)/(('Cálculos'!$C$199+(($C42)-$A$6:$A$51)*'Cálculos'!$C$98)+1400)+'Cálculos'!$C$123)*'Cálculos'!$C$266)+('Cálculos'!$C$204*(1+'Cálculos'!$C$205+$A$6:$A$51*('Cálculos'!$C$290=3)*'Cálculos'!$C$103)+'Cálculos'!$C$206)*('Cálculos'!$C$257+'Cálculos'!$C$124*(1+2.78*('Cálculos'!$C$199+(($C42)-$A$6:$A$51)*'Cálculos'!$C$98)/(('Cálculos'!$C$199+(($C42)-$A$6:$A$51)*'Cálculos'!$C$98)+1400)+'Cálculos'!$C$122)*'Cálculos'!$C$262+'Cálculos'!$C$125*(1+2.78*('Cálculos'!$C$199+(($C42)-$A$6:$A$51)*'Cálculos'!$C$98)/(('Cálculos'!$C$199+(($C42)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42)-$A$6:$A$51)*'Cálculos'!$C$98)/(('Cálculos'!$C$200+(($C42)-$A$6:$A$51)*'Cálculos'!$C$98)+1400)+'Cálculos'!$C$122)*'Cálculos'!$C$274+'Cálculos'!$C$125*(1+2.78*('Cálculos'!$C$200+(($C42)-$A$6:$A$51)*'Cálculos'!$C$98)/(('Cálculos'!$C$200+(($C42)-$A$6:$A$51)*'Cálculos'!$C$98)+1400)+'Cálculos'!$C$123)*'Cálculos'!$C$279)+('Cálculos'!$C$200+(($C42)-$A$6:$A$51)*'Cálculos'!$C$98)*('Cálculos'!$C$270+'Cálculos'!$C$124*(1+2.78*('Cálculos'!$C$200+(($C42)-$A$6:$A$51)*'Cálculos'!$C$98)/(('Cálculos'!$C$200+(($C42)-$A$6:$A$51)*'Cálculos'!$C$98)+1400)+'Cálculos'!$C$122)*'Cálculos'!$C$275+'Cálculos'!$C$125*(1+2.78*('Cálculos'!$C$200+(($C42)-$A$6:$A$51)*'Cálculos'!$C$98)/(('Cálculos'!$C$200+(($C42)-$A$6:$A$51)*'Cálculos'!$C$98)+1400)+'Cálculos'!$C$123)*'Cálculos'!$C$280)+('Cálculos'!$C$201*(1+'Cálculos'!$C$202+$A$6:$A$51*('Cálculos'!$C$290=2)*'Cálculos'!$C$101)+'Cálculos'!$C$203)*('Cálculos'!$C$271+'Cálculos'!$C$124*(1+2.78*('Cálculos'!$C$200+(($C42)-$A$6:$A$51)*'Cálculos'!$C$98)/(('Cálculos'!$C$200+(($C42)-$A$6:$A$51)*'Cálculos'!$C$98)+1400)+'Cálculos'!$C$122)*'Cálculos'!$C$276+'Cálculos'!$C$125*(1+2.78*('Cálculos'!$C$200+(($C42)-$A$6:$A$51)*'Cálculos'!$C$98)/(('Cálculos'!$C$200+(($C42)-$A$6:$A$51)*'Cálculos'!$C$98)+1400)+'Cálculos'!$C$123)*'Cálculos'!$C$281)+('Cálculos'!$C$204*(1+'Cálculos'!$C$205+$A$6:$A$51*('Cálculos'!$C$290=3)*'Cálculos'!$C$103)+'Cálculos'!$C$206)*('Cálculos'!$C$272+'Cálculos'!$C$124*(1+2.78*('Cálculos'!$C$200+(($C42)-$A$6:$A$51)*'Cálculos'!$C$98)/(('Cálculos'!$C$200+(($C42)-$A$6:$A$51)*'Cálculos'!$C$98)+1400)+'Cálculos'!$C$122)*'Cálculos'!$C$277+'Cálculos'!$C$125*(1+2.78*('Cálculos'!$C$200+(($C42)-$A$6:$A$51)*'Cálculos'!$C$98)/(('Cálculos'!$C$200+(($C42)-$A$6:$A$51)*'Cálculos'!$C$98)+1400)+'Cálculos'!$C$123)*'Cálculos'!$C$282)))))</f>
        <v>0</v>
      </c>
      <c r="E42" s="32">
        <f>IF(OR($C42&lt;0,'Cálculos'!$C$6=""),0,$B42*$D42)</f>
        <v>0</v>
      </c>
      <c r="F42" s="2"/>
      <c r="G42" s="30">
        <f>($A42&lt;=$B$53)*($A42&lt;='Cálculos'!$C$294)*(($B$53)-$A42&lt;='Cálculos'!$C$295)*(1+MIN(('Cálculos'!$C$207+$A42*'Cálculos'!$C$95),1)*('Cálculos'!$C$208+(($B$53)-$A42)*'Cálculos'!$C$96))</f>
        <v>0</v>
      </c>
      <c r="H42" s="31">
        <f>IF($B$54&lt;0,0,($A42&lt;=$B$54)*($A42&lt;='Cálculos'!$C$301)*(($B$54)-$A42&lt;='Cálculos'!$C$297)*(('Cálculos'!$C$185*(1+'Cálculos'!$C$186+$A42*('Cálculos'!$C$290=1)*'Cálculos'!$C$97+'Cálculos'!$C$305)+'Cálculos'!$C$191)*('Cálculos'!$C$209+'Cálculos'!$C$124*(1+2.78*('Cálculos'!$C$196+(($B$54)-$A42)*'Cálculos'!$C$98)/(('Cálculos'!$C$196+(($B$54)-$A42)*'Cálculos'!$C$98)+1400)+'Cálculos'!$C$122)*'Cálculos'!$C$214+'Cálculos'!$C$125*(1+2.78*('Cálculos'!$C$196+(($B$54)-$A42)*'Cálculos'!$C$98)/(('Cálculos'!$C$196+(($B$54)-$A42)*'Cálculos'!$C$98)+1400)+'Cálculos'!$C$123)*'Cálculos'!$C$219)+('Cálculos'!$C$196+(($B$54)-$A42)*'Cálculos'!$C$98)*('Cálculos'!$C$210+'Cálculos'!$C$124*(1+2.78*('Cálculos'!$C$196+(($B$54)-$A42)*'Cálculos'!$C$98)/(('Cálculos'!$C$196+(($B$54)-$A42)*'Cálculos'!$C$98)+1400)+'Cálculos'!$C$122)*'Cálculos'!$C$215+'Cálculos'!$C$125*(1+2.78*('Cálculos'!$C$196+(($B$54)-$A42)*'Cálculos'!$C$98)/(('Cálculos'!$C$196+(($B$54)-$A42)*'Cálculos'!$C$98)+1400)+'Cálculos'!$C$123)*'Cálculos'!$C$220)+('Cálculos'!$C$201*(1+'Cálculos'!$C$202+$A42*('Cálculos'!$C$290=2)*'Cálculos'!$C$101)+'Cálculos'!$C$203)*('Cálculos'!$C$211+'Cálculos'!$C$124*(1+2.78*('Cálculos'!$C$196+(($B$54)-$A42)*'Cálculos'!$C$98)/(('Cálculos'!$C$196+(($B$54)-$A42)*'Cálculos'!$C$98)+1400)+'Cálculos'!$C$122)*'Cálculos'!$C$216+'Cálculos'!$C$125*(1+2.78*('Cálculos'!$C$196+(($B$54)-$A42)*'Cálculos'!$C$98)/(('Cálculos'!$C$196+(($B$54)-$A42)*'Cálculos'!$C$98)+1400)+'Cálculos'!$C$123)*'Cálculos'!$C$221)+('Cálculos'!$C$204*(1+'Cálculos'!$C$205+$A42*('Cálculos'!$C$290=3)*'Cálculos'!$C$103)+'Cálculos'!$C$206)*('Cálculos'!$C$212+'Cálculos'!$C$124*(1+2.78*('Cálculos'!$C$196+(($B$54)-$A42)*'Cálculos'!$C$98)/(('Cálculos'!$C$196+(($B$54)-$A42)*'Cálculos'!$C$98)+1400)+'Cálculos'!$C$122)*'Cálculos'!$C$217+'Cálculos'!$C$125*(1+2.78*('Cálculos'!$C$196+(($B$54)-$A42)*'Cálculos'!$C$98)/(('Cálculos'!$C$196+(($B$54)-$A42)*'Cálculos'!$C$98)+1400)+'Cálculos'!$C$123)*'Cálculos'!$C$222)+('Cálculos'!$C$185*(1+'Cálculos'!$C$187+$A42*('Cálculos'!$C$290=1)*'Cálculos'!$C$97+'Cálculos'!$C$305)+'Cálculos'!$C$192)*('Cálculos'!$C$224+'Cálculos'!$C$124*(1+2.78*('Cálculos'!$C$197+(($B$54)-$A42)*'Cálculos'!$C$98)/(('Cálculos'!$C$197+(($B$54)-$A42)*'Cálculos'!$C$98)+1400)+'Cálculos'!$C$122)*'Cálculos'!$C$229+'Cálculos'!$C$125*(1+2.78*('Cálculos'!$C$197+(($B$54)-$A42)*'Cálculos'!$C$98)/(('Cálculos'!$C$197+(($B$54)-$A42)*'Cálculos'!$C$98)+1400)+'Cálculos'!$C$123)*'Cálculos'!$C$234)+('Cálculos'!$C$197+(($B$54)-$A42)*'Cálculos'!$C$98)*('Cálculos'!$C$225+'Cálculos'!$C$124*(1+2.78*('Cálculos'!$C$197+(($B$54)-$A42)*'Cálculos'!$C$98)/(('Cálculos'!$C$197+(($B$54)-$A42)*'Cálculos'!$C$98)+1400)+'Cálculos'!$C$122)*'Cálculos'!$C$230+'Cálculos'!$C$125*(1+2.78*('Cálculos'!$C$197+(($B$54)-$A42)*'Cálculos'!$C$98)/(('Cálculos'!$C$197+(($B$54)-$A42)*'Cálculos'!$C$98)+1400)+'Cálculos'!$C$123)*'Cálculos'!$C$235)+('Cálculos'!$C$201*(1+'Cálculos'!$C$202+$A42*('Cálculos'!$C$290=2)*'Cálculos'!$C$101)+'Cálculos'!$C$203)*('Cálculos'!$C$226+'Cálculos'!$C$124*(1+2.78*('Cálculos'!$C$197+(($B$54)-$A42)*'Cálculos'!$C$98)/(('Cálculos'!$C$197+(($B$54)-$A42)*'Cálculos'!$C$98)+1400)+'Cálculos'!$C$122)*'Cálculos'!$C$231+'Cálculos'!$C$125*(1+2.78*('Cálculos'!$C$197+(($B$54)-$A42)*'Cálculos'!$C$98)/(('Cálculos'!$C$197+(($B$54)-$A42)*'Cálculos'!$C$98)+1400)+'Cálculos'!$C$123)*'Cálculos'!$C$236)+('Cálculos'!$C$204*(1+'Cálculos'!$C$205+$A42*('Cálculos'!$C$290=3)*'Cálculos'!$C$103)+'Cálculos'!$C$206)*('Cálculos'!$C$227+'Cálculos'!$C$124*(1+2.78*('Cálculos'!$C$197+(($B$54)-$A42)*'Cálculos'!$C$98)/(('Cálculos'!$C$197+(($B$54)-$A42)*'Cálculos'!$C$98)+1400)+'Cálculos'!$C$122)*'Cálculos'!$C$232+'Cálculos'!$C$125*(1+2.78*('Cálculos'!$C$197+(($B$54)-$A42)*'Cálculos'!$C$98)/(('Cálculos'!$C$197+(($B$54)-$A42)*'Cálculos'!$C$98)+1400)+'Cálculos'!$C$123)*'Cálculos'!$C$237)+('Cálculos'!$C$185*(1+'Cálculos'!$C$188+$A42*('Cálculos'!$C$290=1)*'Cálculos'!$C$97+'Cálculos'!$C$305)+'Cálculos'!$C$193)*('Cálculos'!$C$239+'Cálculos'!$C$124*(1+2.78*('Cálculos'!$C$198+(($B$54)-$A42)*'Cálculos'!$C$98)/(('Cálculos'!$C$198+(($B$54)-$A42)*'Cálculos'!$C$98)+1400)+'Cálculos'!$C$122)*'Cálculos'!$C$244+'Cálculos'!$C$125*(1+2.78*('Cálculos'!$C$198+(($B$54)-$A42)*'Cálculos'!$C$98)/(('Cálculos'!$C$198+(($B$54)-$A42)*'Cálculos'!$C$98)+1400)+'Cálculos'!$C$123)*'Cálculos'!$C$249)+('Cálculos'!$C$198+(($B$54)-$A42)*'Cálculos'!$C$98)*('Cálculos'!$C$240+'Cálculos'!$C$124*(1+2.78*('Cálculos'!$C$198+(($B$54)-$A42)*'Cálculos'!$C$98)/(('Cálculos'!$C$198+(($B$54)-$A42)*'Cálculos'!$C$98)+1400)+'Cálculos'!$C$122)*'Cálculos'!$C$245+'Cálculos'!$C$125*(1+2.78*('Cálculos'!$C$198+(($B$54)-$A42)*'Cálculos'!$C$98)/(('Cálculos'!$C$198+(($B$54)-$A42)*'Cálculos'!$C$98)+1400)+'Cálculos'!$C$123)*'Cálculos'!$C$250)+('Cálculos'!$C$201*(1+'Cálculos'!$C$202+$A42*('Cálculos'!$C$290=2)*'Cálculos'!$C$101)+'Cálculos'!$C$203)*('Cálculos'!$C$241+'Cálculos'!$C$124*(1+2.78*('Cálculos'!$C$198+(($B$54)-$A42)*'Cálculos'!$C$98)/(('Cálculos'!$C$198+(($B$54)-$A42)*'Cálculos'!$C$98)+1400)+'Cálculos'!$C$122)*'Cálculos'!$C$246+'Cálculos'!$C$125*(1+2.78*('Cálculos'!$C$198+(($B$54)-$A42)*'Cálculos'!$C$98)/(('Cálculos'!$C$198+(($B$54)-$A42)*'Cálculos'!$C$98)+1400)+'Cálculos'!$C$123)*'Cálculos'!$C$251)+('Cálculos'!$C$204*(1+'Cálculos'!$C$205+$A42*('Cálculos'!$C$290=3)*'Cálculos'!$C$103)+'Cálculos'!$C$206)*('Cálculos'!$C$242+'Cálculos'!$C$124*(1+2.78*('Cálculos'!$C$198+(($B$54)-$A42)*'Cálculos'!$C$98)/(('Cálculos'!$C$198+(($B$54)-$A42)*'Cálculos'!$C$98)+1400)+'Cálculos'!$C$122)*'Cálculos'!$C$247+'Cálculos'!$C$125*(1+2.78*('Cálculos'!$C$198+(($B$54)-$A42)*'Cálculos'!$C$98)/(('Cálculos'!$C$198+(($B$54)-$A42)*'Cálculos'!$C$98)+1400)+'Cálculos'!$C$123)*'Cálculos'!$C$252)+('Cálculos'!$C$185*(1+'Cálculos'!$C$189+$A42*('Cálculos'!$C$290=1)*'Cálculos'!$C$97+'Cálculos'!$C$305)+'Cálculos'!$C$194)*('Cálculos'!$C$254+'Cálculos'!$C$124*(1+2.78*('Cálculos'!$C$199+(($B$54)-$A42)*'Cálculos'!$C$98)/(('Cálculos'!$C$199+(($B$54)-$A42)*'Cálculos'!$C$98)+1400)+'Cálculos'!$C$122)*'Cálculos'!$C$259+'Cálculos'!$C$125*(1+2.78*('Cálculos'!$C$199+(($B$54)-$A42)*'Cálculos'!$C$98)/(('Cálculos'!$C$199+(($B$54)-$A42)*'Cálculos'!$C$98)+1400)+'Cálculos'!$C$123)*'Cálculos'!$C$264)+('Cálculos'!$C$199+(($B$54)-$A42)*'Cálculos'!$C$98)*('Cálculos'!$C$255+'Cálculos'!$C$124*(1+2.78*('Cálculos'!$C$199+(($B$54)-$A42)*'Cálculos'!$C$98)/(('Cálculos'!$C$199+(($B$54)-$A42)*'Cálculos'!$C$98)+1400)+'Cálculos'!$C$122)*'Cálculos'!$C$260+'Cálculos'!$C$125*(1+2.78*('Cálculos'!$C$199+(($B$54)-$A42)*'Cálculos'!$C$98)/(('Cálculos'!$C$199+(($B$54)-$A42)*'Cálculos'!$C$98)+1400)+'Cálculos'!$C$123)*'Cálculos'!$C$265)+('Cálculos'!$C$201*(1+'Cálculos'!$C$202+$A42*('Cálculos'!$C$290=2)*'Cálculos'!$C$101)+'Cálculos'!$C$203)*('Cálculos'!$C$256+'Cálculos'!$C$124*(1+2.78*('Cálculos'!$C$199+(($B$54)-$A42)*'Cálculos'!$C$98)/(('Cálculos'!$C$199+(($B$54)-$A42)*'Cálculos'!$C$98)+1400)+'Cálculos'!$C$122)*'Cálculos'!$C$261+'Cálculos'!$C$125*(1+2.78*('Cálculos'!$C$199+(($B$54)-$A42)*'Cálculos'!$C$98)/(('Cálculos'!$C$199+(($B$54)-$A42)*'Cálculos'!$C$98)+1400)+'Cálculos'!$C$123)*'Cálculos'!$C$266)+('Cálculos'!$C$204*(1+'Cálculos'!$C$205+$A42*('Cálculos'!$C$290=3)*'Cálculos'!$C$103)+'Cálculos'!$C$206)*('Cálculos'!$C$257+'Cálculos'!$C$124*(1+2.78*('Cálculos'!$C$199+(($B$54)-$A42)*'Cálculos'!$C$98)/(('Cálculos'!$C$199+(($B$54)-$A42)*'Cálculos'!$C$98)+1400)+'Cálculos'!$C$122)*'Cálculos'!$C$262+'Cálculos'!$C$125*(1+2.78*('Cálculos'!$C$199+(($B$54)-$A42)*'Cálculos'!$C$98)/(('Cálculos'!$C$199+(($B$54)-$A42)*'Cálculos'!$C$98)+1400)+'Cálculos'!$C$123)*'Cálculos'!$C$267)+('Cálculos'!$C$185*(1+'Cálculos'!$C$190+$A42*('Cálculos'!$C$290=1)*'Cálculos'!$C$97+'Cálculos'!$C$305)+'Cálculos'!$C$195)*('Cálculos'!$C$269+'Cálculos'!$C$124*(1+2.78*('Cálculos'!$C$200+(($B$54)-$A42)*'Cálculos'!$C$98)/(('Cálculos'!$C$200+(($B$54)-$A42)*'Cálculos'!$C$98)+1400)+'Cálculos'!$C$122)*'Cálculos'!$C$274+'Cálculos'!$C$125*(1+2.78*('Cálculos'!$C$200+(($B$54)-$A42)*'Cálculos'!$C$98)/(('Cálculos'!$C$200+(($B$54)-$A42)*'Cálculos'!$C$98)+1400)+'Cálculos'!$C$123)*'Cálculos'!$C$279)+('Cálculos'!$C$200+(($B$54)-$A42)*'Cálculos'!$C$98)*('Cálculos'!$C$270+'Cálculos'!$C$124*(1+2.78*('Cálculos'!$C$200+(($B$54)-$A42)*'Cálculos'!$C$98)/(('Cálculos'!$C$200+(($B$54)-$A42)*'Cálculos'!$C$98)+1400)+'Cálculos'!$C$122)*'Cálculos'!$C$275+'Cálculos'!$C$125*(1+2.78*('Cálculos'!$C$200+(($B$54)-$A42)*'Cálculos'!$C$98)/(('Cálculos'!$C$200+(($B$54)-$A42)*'Cálculos'!$C$98)+1400)+'Cálculos'!$C$123)*'Cálculos'!$C$280)+('Cálculos'!$C$201*(1+'Cálculos'!$C$202+$A42*('Cálculos'!$C$290=2)*'Cálculos'!$C$101)+'Cálculos'!$C$203)*('Cálculos'!$C$271+'Cálculos'!$C$124*(1+2.78*('Cálculos'!$C$200+(($B$54)-$A42)*'Cálculos'!$C$98)/(('Cálculos'!$C$200+(($B$54)-$A42)*'Cálculos'!$C$98)+1400)+'Cálculos'!$C$122)*'Cálculos'!$C$276+'Cálculos'!$C$125*(1+2.78*('Cálculos'!$C$200+(($B$54)-$A42)*'Cálculos'!$C$98)/(('Cálculos'!$C$200+(($B$54)-$A42)*'Cálculos'!$C$98)+1400)+'Cálculos'!$C$123)*'Cálculos'!$C$281)+('Cálculos'!$C$204*(1+'Cálculos'!$C$205+$A42*('Cálculos'!$C$290=3)*'Cálculos'!$C$103)+'Cálculos'!$C$206)*('Cálculos'!$C$272+'Cálculos'!$C$124*(1+2.78*('Cálculos'!$C$200+(($B$54)-$A42)*'Cálculos'!$C$98)/(('Cálculos'!$C$200+(($B$54)-$A42)*'Cálculos'!$C$98)+1400)+'Cálculos'!$C$122)*'Cálculos'!$C$277+'Cálculos'!$C$125*(1+2.78*('Cálculos'!$C$200+(($B$54)-$A42)*'Cálculos'!$C$98)/(('Cálculos'!$C$200+(($B$54)-$A42)*'Cálculos'!$C$98)+1400)+'Cálculos'!$C$123)*'Cálculos'!$C$282)))</f>
        <v>0</v>
      </c>
    </row>
    <row r="43" ht="15.75" customHeight="1">
      <c r="A43" s="2">
        <v>37.0</v>
      </c>
      <c r="B43" s="30">
        <f>SUMPRODUCT(MAX(($A$6:$A$51&lt;=$A43)*($A$6:$A$51&lt;='Cálculos'!$C$294)*(($A43)-$A$6:$A$51&lt;='Cálculos'!$C$295)*(1+(('Cálculos'!$C$207+$A$6:$A$51*'Cálculos'!$C$95)-(('Cálculos'!$C$207+$A$6:$A$51*'Cálculos'!$C$95)&gt;1)*(('Cálculos'!$C$207+$A$6:$A$51*'Cálculos'!$C$95)-1))*('Cálculos'!$C$208+(($A43)-$A$6:$A$51)*'Cálculos'!$C$96))))</f>
        <v>4.44</v>
      </c>
      <c r="C43" s="2">
        <f>'Cálculos'!$C$303-$A43</f>
        <v>-17</v>
      </c>
      <c r="D43" s="31">
        <f>IF($C43&lt;0,0,SUMPRODUCT(MAX(($A$6:$A$51&lt;=$C43)*($A$6:$A$51&lt;='Cálculos'!$C$301)*(($C43)-$A$6:$A$51&lt;='Cálculos'!$C$297)*(('Cálculos'!$C$185*(1+'Cálculos'!$C$186+$A$6:$A$51*('Cálculos'!$C$290=1)*'Cálculos'!$C$97+'Cálculos'!$C$305)+'Cálculos'!$C$191)*('Cálculos'!$C$209+'Cálculos'!$C$124*(1+2.78*('Cálculos'!$C$196+(($C43)-$A$6:$A$51)*'Cálculos'!$C$98)/(('Cálculos'!$C$196+(($C43)-$A$6:$A$51)*'Cálculos'!$C$98)+1400)+'Cálculos'!$C$122)*'Cálculos'!$C$214+'Cálculos'!$C$125*(1+2.78*('Cálculos'!$C$196+(($C43)-$A$6:$A$51)*'Cálculos'!$C$98)/(('Cálculos'!$C$196+(($C43)-$A$6:$A$51)*'Cálculos'!$C$98)+1400)+'Cálculos'!$C$123)*'Cálculos'!$C$219)+('Cálculos'!$C$196+(($C43)-$A$6:$A$51)*'Cálculos'!$C$98)*('Cálculos'!$C$210+'Cálculos'!$C$124*(1+2.78*('Cálculos'!$C$196+(($C43)-$A$6:$A$51)*'Cálculos'!$C$98)/(('Cálculos'!$C$196+(($C43)-$A$6:$A$51)*'Cálculos'!$C$98)+1400)+'Cálculos'!$C$122)*'Cálculos'!$C$215+'Cálculos'!$C$125*(1+2.78*('Cálculos'!$C$196+(($C43)-$A$6:$A$51)*'Cálculos'!$C$98)/(('Cálculos'!$C$196+(($C43)-$A$6:$A$51)*'Cálculos'!$C$98)+1400)+'Cálculos'!$C$123)*'Cálculos'!$C$220)+('Cálculos'!$C$201*(1+'Cálculos'!$C$202+$A$6:$A$51*('Cálculos'!$C$290=2)*'Cálculos'!$C$101)+'Cálculos'!$C$203)*('Cálculos'!$C$211+'Cálculos'!$C$124*(1+2.78*('Cálculos'!$C$196+(($C43)-$A$6:$A$51)*'Cálculos'!$C$98)/(('Cálculos'!$C$196+(($C43)-$A$6:$A$51)*'Cálculos'!$C$98)+1400)+'Cálculos'!$C$122)*'Cálculos'!$C$216+'Cálculos'!$C$125*(1+2.78*('Cálculos'!$C$196+(($C43)-$A$6:$A$51)*'Cálculos'!$C$98)/(('Cálculos'!$C$196+(($C43)-$A$6:$A$51)*'Cálculos'!$C$98)+1400)+'Cálculos'!$C$123)*'Cálculos'!$C$221)+('Cálculos'!$C$204*(1+'Cálculos'!$C$205+$A$6:$A$51*('Cálculos'!$C$290=3)*'Cálculos'!$C$103)+'Cálculos'!$C$206)*('Cálculos'!$C$212+'Cálculos'!$C$124*(1+2.78*('Cálculos'!$C$196+(($C43)-$A$6:$A$51)*'Cálculos'!$C$98)/(('Cálculos'!$C$196+(($C43)-$A$6:$A$51)*'Cálculos'!$C$98)+1400)+'Cálculos'!$C$122)*'Cálculos'!$C$217+'Cálculos'!$C$125*(1+2.78*('Cálculos'!$C$196+(($C43)-$A$6:$A$51)*'Cálculos'!$C$98)/(('Cálculos'!$C$196+(($C43)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43)-$A$6:$A$51)*'Cálculos'!$C$98)/(('Cálculos'!$C$197+(($C43)-$A$6:$A$51)*'Cálculos'!$C$98)+1400)+'Cálculos'!$C$122)*'Cálculos'!$C$229+'Cálculos'!$C$125*(1+2.78*('Cálculos'!$C$197+(($C43)-$A$6:$A$51)*'Cálculos'!$C$98)/(('Cálculos'!$C$197+(($C43)-$A$6:$A$51)*'Cálculos'!$C$98)+1400)+'Cálculos'!$C$123)*'Cálculos'!$C$234)+('Cálculos'!$C$197+(($C43)-$A$6:$A$51)*'Cálculos'!$C$98)*('Cálculos'!$C$225+'Cálculos'!$C$124*(1+2.78*('Cálculos'!$C$197+(($C43)-$A$6:$A$51)*'Cálculos'!$C$98)/(('Cálculos'!$C$197+(($C43)-$A$6:$A$51)*'Cálculos'!$C$98)+1400)+'Cálculos'!$C$122)*'Cálculos'!$C$230+'Cálculos'!$C$125*(1+2.78*('Cálculos'!$C$197+(($C43)-$A$6:$A$51)*'Cálculos'!$C$98)/(('Cálculos'!$C$197+(($C43)-$A$6:$A$51)*'Cálculos'!$C$98)+1400)+'Cálculos'!$C$123)*'Cálculos'!$C$235)+('Cálculos'!$C$201*(1+'Cálculos'!$C$202+$A$6:$A$51*('Cálculos'!$C$290=2)*'Cálculos'!$C$101)+'Cálculos'!$C$203)*('Cálculos'!$C$226+'Cálculos'!$C$124*(1+2.78*('Cálculos'!$C$197+(($C43)-$A$6:$A$51)*'Cálculos'!$C$98)/(('Cálculos'!$C$197+(($C43)-$A$6:$A$51)*'Cálculos'!$C$98)+1400)+'Cálculos'!$C$122)*'Cálculos'!$C$231+'Cálculos'!$C$125*(1+2.78*('Cálculos'!$C$197+(($C43)-$A$6:$A$51)*'Cálculos'!$C$98)/(('Cálculos'!$C$197+(($C43)-$A$6:$A$51)*'Cálculos'!$C$98)+1400)+'Cálculos'!$C$123)*'Cálculos'!$C$236)+('Cálculos'!$C$204*(1+'Cálculos'!$C$205+$A$6:$A$51*('Cálculos'!$C$290=3)*'Cálculos'!$C$103)+'Cálculos'!$C$206)*('Cálculos'!$C$227+'Cálculos'!$C$124*(1+2.78*('Cálculos'!$C$197+(($C43)-$A$6:$A$51)*'Cálculos'!$C$98)/(('Cálculos'!$C$197+(($C43)-$A$6:$A$51)*'Cálculos'!$C$98)+1400)+'Cálculos'!$C$122)*'Cálculos'!$C$232+'Cálculos'!$C$125*(1+2.78*('Cálculos'!$C$197+(($C43)-$A$6:$A$51)*'Cálculos'!$C$98)/(('Cálculos'!$C$197+(($C43)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43)-$A$6:$A$51)*'Cálculos'!$C$98)/(('Cálculos'!$C$198+(($C43)-$A$6:$A$51)*'Cálculos'!$C$98)+1400)+'Cálculos'!$C$122)*'Cálculos'!$C$244+'Cálculos'!$C$125*(1+2.78*('Cálculos'!$C$198+(($C43)-$A$6:$A$51)*'Cálculos'!$C$98)/(('Cálculos'!$C$198+(($C43)-$A$6:$A$51)*'Cálculos'!$C$98)+1400)+'Cálculos'!$C$123)*'Cálculos'!$C$249)+('Cálculos'!$C$198+(($C43)-$A$6:$A$51)*'Cálculos'!$C$98)*('Cálculos'!$C$240+'Cálculos'!$C$124*(1+2.78*('Cálculos'!$C$198+(($C43)-$A$6:$A$51)*'Cálculos'!$C$98)/(('Cálculos'!$C$198+(($C43)-$A$6:$A$51)*'Cálculos'!$C$98)+1400)+'Cálculos'!$C$122)*'Cálculos'!$C$245+'Cálculos'!$C$125*(1+2.78*('Cálculos'!$C$198+(($C43)-$A$6:$A$51)*'Cálculos'!$C$98)/(('Cálculos'!$C$198+(($C43)-$A$6:$A$51)*'Cálculos'!$C$98)+1400)+'Cálculos'!$C$123)*'Cálculos'!$C$250)+('Cálculos'!$C$201*(1+'Cálculos'!$C$202+$A$6:$A$51*('Cálculos'!$C$290=2)*'Cálculos'!$C$101)+'Cálculos'!$C$203)*('Cálculos'!$C$241+'Cálculos'!$C$124*(1+2.78*('Cálculos'!$C$198+(($C43)-$A$6:$A$51)*'Cálculos'!$C$98)/(('Cálculos'!$C$198+(($C43)-$A$6:$A$51)*'Cálculos'!$C$98)+1400)+'Cálculos'!$C$122)*'Cálculos'!$C$246+'Cálculos'!$C$125*(1+2.78*('Cálculos'!$C$198+(($C43)-$A$6:$A$51)*'Cálculos'!$C$98)/(('Cálculos'!$C$198+(($C43)-$A$6:$A$51)*'Cálculos'!$C$98)+1400)+'Cálculos'!$C$123)*'Cálculos'!$C$251)+('Cálculos'!$C$204*(1+'Cálculos'!$C$205+$A$6:$A$51*('Cálculos'!$C$290=3)*'Cálculos'!$C$103)+'Cálculos'!$C$206)*('Cálculos'!$C$242+'Cálculos'!$C$124*(1+2.78*('Cálculos'!$C$198+(($C43)-$A$6:$A$51)*'Cálculos'!$C$98)/(('Cálculos'!$C$198+(($C43)-$A$6:$A$51)*'Cálculos'!$C$98)+1400)+'Cálculos'!$C$122)*'Cálculos'!$C$247+'Cálculos'!$C$125*(1+2.78*('Cálculos'!$C$198+(($C43)-$A$6:$A$51)*'Cálculos'!$C$98)/(('Cálculos'!$C$198+(($C43)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43)-$A$6:$A$51)*'Cálculos'!$C$98)/(('Cálculos'!$C$199+(($C43)-$A$6:$A$51)*'Cálculos'!$C$98)+1400)+'Cálculos'!$C$122)*'Cálculos'!$C$259+'Cálculos'!$C$125*(1+2.78*('Cálculos'!$C$199+(($C43)-$A$6:$A$51)*'Cálculos'!$C$98)/(('Cálculos'!$C$199+(($C43)-$A$6:$A$51)*'Cálculos'!$C$98)+1400)+'Cálculos'!$C$123)*'Cálculos'!$C$264)+('Cálculos'!$C$199+(($C43)-$A$6:$A$51)*'Cálculos'!$C$98)*('Cálculos'!$C$255+'Cálculos'!$C$124*(1+2.78*('Cálculos'!$C$199+(($C43)-$A$6:$A$51)*'Cálculos'!$C$98)/(('Cálculos'!$C$199+(($C43)-$A$6:$A$51)*'Cálculos'!$C$98)+1400)+'Cálculos'!$C$122)*'Cálculos'!$C$260+'Cálculos'!$C$125*(1+2.78*('Cálculos'!$C$199+(($C43)-$A$6:$A$51)*'Cálculos'!$C$98)/(('Cálculos'!$C$199+(($C43)-$A$6:$A$51)*'Cálculos'!$C$98)+1400)+'Cálculos'!$C$123)*'Cálculos'!$C$265)+('Cálculos'!$C$201*(1+'Cálculos'!$C$202+$A$6:$A$51*('Cálculos'!$C$290=2)*'Cálculos'!$C$101)+'Cálculos'!$C$203)*('Cálculos'!$C$256+'Cálculos'!$C$124*(1+2.78*('Cálculos'!$C$199+(($C43)-$A$6:$A$51)*'Cálculos'!$C$98)/(('Cálculos'!$C$199+(($C43)-$A$6:$A$51)*'Cálculos'!$C$98)+1400)+'Cálculos'!$C$122)*'Cálculos'!$C$261+'Cálculos'!$C$125*(1+2.78*('Cálculos'!$C$199+(($C43)-$A$6:$A$51)*'Cálculos'!$C$98)/(('Cálculos'!$C$199+(($C43)-$A$6:$A$51)*'Cálculos'!$C$98)+1400)+'Cálculos'!$C$123)*'Cálculos'!$C$266)+('Cálculos'!$C$204*(1+'Cálculos'!$C$205+$A$6:$A$51*('Cálculos'!$C$290=3)*'Cálculos'!$C$103)+'Cálculos'!$C$206)*('Cálculos'!$C$257+'Cálculos'!$C$124*(1+2.78*('Cálculos'!$C$199+(($C43)-$A$6:$A$51)*'Cálculos'!$C$98)/(('Cálculos'!$C$199+(($C43)-$A$6:$A$51)*'Cálculos'!$C$98)+1400)+'Cálculos'!$C$122)*'Cálculos'!$C$262+'Cálculos'!$C$125*(1+2.78*('Cálculos'!$C$199+(($C43)-$A$6:$A$51)*'Cálculos'!$C$98)/(('Cálculos'!$C$199+(($C43)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43)-$A$6:$A$51)*'Cálculos'!$C$98)/(('Cálculos'!$C$200+(($C43)-$A$6:$A$51)*'Cálculos'!$C$98)+1400)+'Cálculos'!$C$122)*'Cálculos'!$C$274+'Cálculos'!$C$125*(1+2.78*('Cálculos'!$C$200+(($C43)-$A$6:$A$51)*'Cálculos'!$C$98)/(('Cálculos'!$C$200+(($C43)-$A$6:$A$51)*'Cálculos'!$C$98)+1400)+'Cálculos'!$C$123)*'Cálculos'!$C$279)+('Cálculos'!$C$200+(($C43)-$A$6:$A$51)*'Cálculos'!$C$98)*('Cálculos'!$C$270+'Cálculos'!$C$124*(1+2.78*('Cálculos'!$C$200+(($C43)-$A$6:$A$51)*'Cálculos'!$C$98)/(('Cálculos'!$C$200+(($C43)-$A$6:$A$51)*'Cálculos'!$C$98)+1400)+'Cálculos'!$C$122)*'Cálculos'!$C$275+'Cálculos'!$C$125*(1+2.78*('Cálculos'!$C$200+(($C43)-$A$6:$A$51)*'Cálculos'!$C$98)/(('Cálculos'!$C$200+(($C43)-$A$6:$A$51)*'Cálculos'!$C$98)+1400)+'Cálculos'!$C$123)*'Cálculos'!$C$280)+('Cálculos'!$C$201*(1+'Cálculos'!$C$202+$A$6:$A$51*('Cálculos'!$C$290=2)*'Cálculos'!$C$101)+'Cálculos'!$C$203)*('Cálculos'!$C$271+'Cálculos'!$C$124*(1+2.78*('Cálculos'!$C$200+(($C43)-$A$6:$A$51)*'Cálculos'!$C$98)/(('Cálculos'!$C$200+(($C43)-$A$6:$A$51)*'Cálculos'!$C$98)+1400)+'Cálculos'!$C$122)*'Cálculos'!$C$276+'Cálculos'!$C$125*(1+2.78*('Cálculos'!$C$200+(($C43)-$A$6:$A$51)*'Cálculos'!$C$98)/(('Cálculos'!$C$200+(($C43)-$A$6:$A$51)*'Cálculos'!$C$98)+1400)+'Cálculos'!$C$123)*'Cálculos'!$C$281)+('Cálculos'!$C$204*(1+'Cálculos'!$C$205+$A$6:$A$51*('Cálculos'!$C$290=3)*'Cálculos'!$C$103)+'Cálculos'!$C$206)*('Cálculos'!$C$272+'Cálculos'!$C$124*(1+2.78*('Cálculos'!$C$200+(($C43)-$A$6:$A$51)*'Cálculos'!$C$98)/(('Cálculos'!$C$200+(($C43)-$A$6:$A$51)*'Cálculos'!$C$98)+1400)+'Cálculos'!$C$122)*'Cálculos'!$C$277+'Cálculos'!$C$125*(1+2.78*('Cálculos'!$C$200+(($C43)-$A$6:$A$51)*'Cálculos'!$C$98)/(('Cálculos'!$C$200+(($C43)-$A$6:$A$51)*'Cálculos'!$C$98)+1400)+'Cálculos'!$C$123)*'Cálculos'!$C$282)))))</f>
        <v>0</v>
      </c>
      <c r="E43" s="32">
        <f>IF(OR($C43&lt;0,'Cálculos'!$C$6=""),0,$B43*$D43)</f>
        <v>0</v>
      </c>
      <c r="F43" s="2"/>
      <c r="G43" s="30">
        <f>($A43&lt;=$B$53)*($A43&lt;='Cálculos'!$C$294)*(($B$53)-$A43&lt;='Cálculos'!$C$295)*(1+MIN(('Cálculos'!$C$207+$A43*'Cálculos'!$C$95),1)*('Cálculos'!$C$208+(($B$53)-$A43)*'Cálculos'!$C$96))</f>
        <v>0</v>
      </c>
      <c r="H43" s="31">
        <f>IF($B$54&lt;0,0,($A43&lt;=$B$54)*($A43&lt;='Cálculos'!$C$301)*(($B$54)-$A43&lt;='Cálculos'!$C$297)*(('Cálculos'!$C$185*(1+'Cálculos'!$C$186+$A43*('Cálculos'!$C$290=1)*'Cálculos'!$C$97+'Cálculos'!$C$305)+'Cálculos'!$C$191)*('Cálculos'!$C$209+'Cálculos'!$C$124*(1+2.78*('Cálculos'!$C$196+(($B$54)-$A43)*'Cálculos'!$C$98)/(('Cálculos'!$C$196+(($B$54)-$A43)*'Cálculos'!$C$98)+1400)+'Cálculos'!$C$122)*'Cálculos'!$C$214+'Cálculos'!$C$125*(1+2.78*('Cálculos'!$C$196+(($B$54)-$A43)*'Cálculos'!$C$98)/(('Cálculos'!$C$196+(($B$54)-$A43)*'Cálculos'!$C$98)+1400)+'Cálculos'!$C$123)*'Cálculos'!$C$219)+('Cálculos'!$C$196+(($B$54)-$A43)*'Cálculos'!$C$98)*('Cálculos'!$C$210+'Cálculos'!$C$124*(1+2.78*('Cálculos'!$C$196+(($B$54)-$A43)*'Cálculos'!$C$98)/(('Cálculos'!$C$196+(($B$54)-$A43)*'Cálculos'!$C$98)+1400)+'Cálculos'!$C$122)*'Cálculos'!$C$215+'Cálculos'!$C$125*(1+2.78*('Cálculos'!$C$196+(($B$54)-$A43)*'Cálculos'!$C$98)/(('Cálculos'!$C$196+(($B$54)-$A43)*'Cálculos'!$C$98)+1400)+'Cálculos'!$C$123)*'Cálculos'!$C$220)+('Cálculos'!$C$201*(1+'Cálculos'!$C$202+$A43*('Cálculos'!$C$290=2)*'Cálculos'!$C$101)+'Cálculos'!$C$203)*('Cálculos'!$C$211+'Cálculos'!$C$124*(1+2.78*('Cálculos'!$C$196+(($B$54)-$A43)*'Cálculos'!$C$98)/(('Cálculos'!$C$196+(($B$54)-$A43)*'Cálculos'!$C$98)+1400)+'Cálculos'!$C$122)*'Cálculos'!$C$216+'Cálculos'!$C$125*(1+2.78*('Cálculos'!$C$196+(($B$54)-$A43)*'Cálculos'!$C$98)/(('Cálculos'!$C$196+(($B$54)-$A43)*'Cálculos'!$C$98)+1400)+'Cálculos'!$C$123)*'Cálculos'!$C$221)+('Cálculos'!$C$204*(1+'Cálculos'!$C$205+$A43*('Cálculos'!$C$290=3)*'Cálculos'!$C$103)+'Cálculos'!$C$206)*('Cálculos'!$C$212+'Cálculos'!$C$124*(1+2.78*('Cálculos'!$C$196+(($B$54)-$A43)*'Cálculos'!$C$98)/(('Cálculos'!$C$196+(($B$54)-$A43)*'Cálculos'!$C$98)+1400)+'Cálculos'!$C$122)*'Cálculos'!$C$217+'Cálculos'!$C$125*(1+2.78*('Cálculos'!$C$196+(($B$54)-$A43)*'Cálculos'!$C$98)/(('Cálculos'!$C$196+(($B$54)-$A43)*'Cálculos'!$C$98)+1400)+'Cálculos'!$C$123)*'Cálculos'!$C$222)+('Cálculos'!$C$185*(1+'Cálculos'!$C$187+$A43*('Cálculos'!$C$290=1)*'Cálculos'!$C$97+'Cálculos'!$C$305)+'Cálculos'!$C$192)*('Cálculos'!$C$224+'Cálculos'!$C$124*(1+2.78*('Cálculos'!$C$197+(($B$54)-$A43)*'Cálculos'!$C$98)/(('Cálculos'!$C$197+(($B$54)-$A43)*'Cálculos'!$C$98)+1400)+'Cálculos'!$C$122)*'Cálculos'!$C$229+'Cálculos'!$C$125*(1+2.78*('Cálculos'!$C$197+(($B$54)-$A43)*'Cálculos'!$C$98)/(('Cálculos'!$C$197+(($B$54)-$A43)*'Cálculos'!$C$98)+1400)+'Cálculos'!$C$123)*'Cálculos'!$C$234)+('Cálculos'!$C$197+(($B$54)-$A43)*'Cálculos'!$C$98)*('Cálculos'!$C$225+'Cálculos'!$C$124*(1+2.78*('Cálculos'!$C$197+(($B$54)-$A43)*'Cálculos'!$C$98)/(('Cálculos'!$C$197+(($B$54)-$A43)*'Cálculos'!$C$98)+1400)+'Cálculos'!$C$122)*'Cálculos'!$C$230+'Cálculos'!$C$125*(1+2.78*('Cálculos'!$C$197+(($B$54)-$A43)*'Cálculos'!$C$98)/(('Cálculos'!$C$197+(($B$54)-$A43)*'Cálculos'!$C$98)+1400)+'Cálculos'!$C$123)*'Cálculos'!$C$235)+('Cálculos'!$C$201*(1+'Cálculos'!$C$202+$A43*('Cálculos'!$C$290=2)*'Cálculos'!$C$101)+'Cálculos'!$C$203)*('Cálculos'!$C$226+'Cálculos'!$C$124*(1+2.78*('Cálculos'!$C$197+(($B$54)-$A43)*'Cálculos'!$C$98)/(('Cálculos'!$C$197+(($B$54)-$A43)*'Cálculos'!$C$98)+1400)+'Cálculos'!$C$122)*'Cálculos'!$C$231+'Cálculos'!$C$125*(1+2.78*('Cálculos'!$C$197+(($B$54)-$A43)*'Cálculos'!$C$98)/(('Cálculos'!$C$197+(($B$54)-$A43)*'Cálculos'!$C$98)+1400)+'Cálculos'!$C$123)*'Cálculos'!$C$236)+('Cálculos'!$C$204*(1+'Cálculos'!$C$205+$A43*('Cálculos'!$C$290=3)*'Cálculos'!$C$103)+'Cálculos'!$C$206)*('Cálculos'!$C$227+'Cálculos'!$C$124*(1+2.78*('Cálculos'!$C$197+(($B$54)-$A43)*'Cálculos'!$C$98)/(('Cálculos'!$C$197+(($B$54)-$A43)*'Cálculos'!$C$98)+1400)+'Cálculos'!$C$122)*'Cálculos'!$C$232+'Cálculos'!$C$125*(1+2.78*('Cálculos'!$C$197+(($B$54)-$A43)*'Cálculos'!$C$98)/(('Cálculos'!$C$197+(($B$54)-$A43)*'Cálculos'!$C$98)+1400)+'Cálculos'!$C$123)*'Cálculos'!$C$237)+('Cálculos'!$C$185*(1+'Cálculos'!$C$188+$A43*('Cálculos'!$C$290=1)*'Cálculos'!$C$97+'Cálculos'!$C$305)+'Cálculos'!$C$193)*('Cálculos'!$C$239+'Cálculos'!$C$124*(1+2.78*('Cálculos'!$C$198+(($B$54)-$A43)*'Cálculos'!$C$98)/(('Cálculos'!$C$198+(($B$54)-$A43)*'Cálculos'!$C$98)+1400)+'Cálculos'!$C$122)*'Cálculos'!$C$244+'Cálculos'!$C$125*(1+2.78*('Cálculos'!$C$198+(($B$54)-$A43)*'Cálculos'!$C$98)/(('Cálculos'!$C$198+(($B$54)-$A43)*'Cálculos'!$C$98)+1400)+'Cálculos'!$C$123)*'Cálculos'!$C$249)+('Cálculos'!$C$198+(($B$54)-$A43)*'Cálculos'!$C$98)*('Cálculos'!$C$240+'Cálculos'!$C$124*(1+2.78*('Cálculos'!$C$198+(($B$54)-$A43)*'Cálculos'!$C$98)/(('Cálculos'!$C$198+(($B$54)-$A43)*'Cálculos'!$C$98)+1400)+'Cálculos'!$C$122)*'Cálculos'!$C$245+'Cálculos'!$C$125*(1+2.78*('Cálculos'!$C$198+(($B$54)-$A43)*'Cálculos'!$C$98)/(('Cálculos'!$C$198+(($B$54)-$A43)*'Cálculos'!$C$98)+1400)+'Cálculos'!$C$123)*'Cálculos'!$C$250)+('Cálculos'!$C$201*(1+'Cálculos'!$C$202+$A43*('Cálculos'!$C$290=2)*'Cálculos'!$C$101)+'Cálculos'!$C$203)*('Cálculos'!$C$241+'Cálculos'!$C$124*(1+2.78*('Cálculos'!$C$198+(($B$54)-$A43)*'Cálculos'!$C$98)/(('Cálculos'!$C$198+(($B$54)-$A43)*'Cálculos'!$C$98)+1400)+'Cálculos'!$C$122)*'Cálculos'!$C$246+'Cálculos'!$C$125*(1+2.78*('Cálculos'!$C$198+(($B$54)-$A43)*'Cálculos'!$C$98)/(('Cálculos'!$C$198+(($B$54)-$A43)*'Cálculos'!$C$98)+1400)+'Cálculos'!$C$123)*'Cálculos'!$C$251)+('Cálculos'!$C$204*(1+'Cálculos'!$C$205+$A43*('Cálculos'!$C$290=3)*'Cálculos'!$C$103)+'Cálculos'!$C$206)*('Cálculos'!$C$242+'Cálculos'!$C$124*(1+2.78*('Cálculos'!$C$198+(($B$54)-$A43)*'Cálculos'!$C$98)/(('Cálculos'!$C$198+(($B$54)-$A43)*'Cálculos'!$C$98)+1400)+'Cálculos'!$C$122)*'Cálculos'!$C$247+'Cálculos'!$C$125*(1+2.78*('Cálculos'!$C$198+(($B$54)-$A43)*'Cálculos'!$C$98)/(('Cálculos'!$C$198+(($B$54)-$A43)*'Cálculos'!$C$98)+1400)+'Cálculos'!$C$123)*'Cálculos'!$C$252)+('Cálculos'!$C$185*(1+'Cálculos'!$C$189+$A43*('Cálculos'!$C$290=1)*'Cálculos'!$C$97+'Cálculos'!$C$305)+'Cálculos'!$C$194)*('Cálculos'!$C$254+'Cálculos'!$C$124*(1+2.78*('Cálculos'!$C$199+(($B$54)-$A43)*'Cálculos'!$C$98)/(('Cálculos'!$C$199+(($B$54)-$A43)*'Cálculos'!$C$98)+1400)+'Cálculos'!$C$122)*'Cálculos'!$C$259+'Cálculos'!$C$125*(1+2.78*('Cálculos'!$C$199+(($B$54)-$A43)*'Cálculos'!$C$98)/(('Cálculos'!$C$199+(($B$54)-$A43)*'Cálculos'!$C$98)+1400)+'Cálculos'!$C$123)*'Cálculos'!$C$264)+('Cálculos'!$C$199+(($B$54)-$A43)*'Cálculos'!$C$98)*('Cálculos'!$C$255+'Cálculos'!$C$124*(1+2.78*('Cálculos'!$C$199+(($B$54)-$A43)*'Cálculos'!$C$98)/(('Cálculos'!$C$199+(($B$54)-$A43)*'Cálculos'!$C$98)+1400)+'Cálculos'!$C$122)*'Cálculos'!$C$260+'Cálculos'!$C$125*(1+2.78*('Cálculos'!$C$199+(($B$54)-$A43)*'Cálculos'!$C$98)/(('Cálculos'!$C$199+(($B$54)-$A43)*'Cálculos'!$C$98)+1400)+'Cálculos'!$C$123)*'Cálculos'!$C$265)+('Cálculos'!$C$201*(1+'Cálculos'!$C$202+$A43*('Cálculos'!$C$290=2)*'Cálculos'!$C$101)+'Cálculos'!$C$203)*('Cálculos'!$C$256+'Cálculos'!$C$124*(1+2.78*('Cálculos'!$C$199+(($B$54)-$A43)*'Cálculos'!$C$98)/(('Cálculos'!$C$199+(($B$54)-$A43)*'Cálculos'!$C$98)+1400)+'Cálculos'!$C$122)*'Cálculos'!$C$261+'Cálculos'!$C$125*(1+2.78*('Cálculos'!$C$199+(($B$54)-$A43)*'Cálculos'!$C$98)/(('Cálculos'!$C$199+(($B$54)-$A43)*'Cálculos'!$C$98)+1400)+'Cálculos'!$C$123)*'Cálculos'!$C$266)+('Cálculos'!$C$204*(1+'Cálculos'!$C$205+$A43*('Cálculos'!$C$290=3)*'Cálculos'!$C$103)+'Cálculos'!$C$206)*('Cálculos'!$C$257+'Cálculos'!$C$124*(1+2.78*('Cálculos'!$C$199+(($B$54)-$A43)*'Cálculos'!$C$98)/(('Cálculos'!$C$199+(($B$54)-$A43)*'Cálculos'!$C$98)+1400)+'Cálculos'!$C$122)*'Cálculos'!$C$262+'Cálculos'!$C$125*(1+2.78*('Cálculos'!$C$199+(($B$54)-$A43)*'Cálculos'!$C$98)/(('Cálculos'!$C$199+(($B$54)-$A43)*'Cálculos'!$C$98)+1400)+'Cálculos'!$C$123)*'Cálculos'!$C$267)+('Cálculos'!$C$185*(1+'Cálculos'!$C$190+$A43*('Cálculos'!$C$290=1)*'Cálculos'!$C$97+'Cálculos'!$C$305)+'Cálculos'!$C$195)*('Cálculos'!$C$269+'Cálculos'!$C$124*(1+2.78*('Cálculos'!$C$200+(($B$54)-$A43)*'Cálculos'!$C$98)/(('Cálculos'!$C$200+(($B$54)-$A43)*'Cálculos'!$C$98)+1400)+'Cálculos'!$C$122)*'Cálculos'!$C$274+'Cálculos'!$C$125*(1+2.78*('Cálculos'!$C$200+(($B$54)-$A43)*'Cálculos'!$C$98)/(('Cálculos'!$C$200+(($B$54)-$A43)*'Cálculos'!$C$98)+1400)+'Cálculos'!$C$123)*'Cálculos'!$C$279)+('Cálculos'!$C$200+(($B$54)-$A43)*'Cálculos'!$C$98)*('Cálculos'!$C$270+'Cálculos'!$C$124*(1+2.78*('Cálculos'!$C$200+(($B$54)-$A43)*'Cálculos'!$C$98)/(('Cálculos'!$C$200+(($B$54)-$A43)*'Cálculos'!$C$98)+1400)+'Cálculos'!$C$122)*'Cálculos'!$C$275+'Cálculos'!$C$125*(1+2.78*('Cálculos'!$C$200+(($B$54)-$A43)*'Cálculos'!$C$98)/(('Cálculos'!$C$200+(($B$54)-$A43)*'Cálculos'!$C$98)+1400)+'Cálculos'!$C$123)*'Cálculos'!$C$280)+('Cálculos'!$C$201*(1+'Cálculos'!$C$202+$A43*('Cálculos'!$C$290=2)*'Cálculos'!$C$101)+'Cálculos'!$C$203)*('Cálculos'!$C$271+'Cálculos'!$C$124*(1+2.78*('Cálculos'!$C$200+(($B$54)-$A43)*'Cálculos'!$C$98)/(('Cálculos'!$C$200+(($B$54)-$A43)*'Cálculos'!$C$98)+1400)+'Cálculos'!$C$122)*'Cálculos'!$C$276+'Cálculos'!$C$125*(1+2.78*('Cálculos'!$C$200+(($B$54)-$A43)*'Cálculos'!$C$98)/(('Cálculos'!$C$200+(($B$54)-$A43)*'Cálculos'!$C$98)+1400)+'Cálculos'!$C$123)*'Cálculos'!$C$281)+('Cálculos'!$C$204*(1+'Cálculos'!$C$205+$A43*('Cálculos'!$C$290=3)*'Cálculos'!$C$103)+'Cálculos'!$C$206)*('Cálculos'!$C$272+'Cálculos'!$C$124*(1+2.78*('Cálculos'!$C$200+(($B$54)-$A43)*'Cálculos'!$C$98)/(('Cálculos'!$C$200+(($B$54)-$A43)*'Cálculos'!$C$98)+1400)+'Cálculos'!$C$122)*'Cálculos'!$C$277+'Cálculos'!$C$125*(1+2.78*('Cálculos'!$C$200+(($B$54)-$A43)*'Cálculos'!$C$98)/(('Cálculos'!$C$200+(($B$54)-$A43)*'Cálculos'!$C$98)+1400)+'Cálculos'!$C$123)*'Cálculos'!$C$282)))</f>
        <v>0</v>
      </c>
    </row>
    <row r="44" ht="15.75" customHeight="1">
      <c r="A44" s="2">
        <v>38.0</v>
      </c>
      <c r="B44" s="30">
        <f>SUMPRODUCT(MAX(($A$6:$A$51&lt;=$A44)*($A$6:$A$51&lt;='Cálculos'!$C$294)*(($A44)-$A$6:$A$51&lt;='Cálculos'!$C$295)*(1+(('Cálculos'!$C$207+$A$6:$A$51*'Cálculos'!$C$95)-(('Cálculos'!$C$207+$A$6:$A$51*'Cálculos'!$C$95)&gt;1)*(('Cálculos'!$C$207+$A$6:$A$51*'Cálculos'!$C$95)-1))*('Cálculos'!$C$208+(($A44)-$A$6:$A$51)*'Cálculos'!$C$96))))</f>
        <v>4.44</v>
      </c>
      <c r="C44" s="2">
        <f>'Cálculos'!$C$303-$A44</f>
        <v>-18</v>
      </c>
      <c r="D44" s="31">
        <f>IF($C44&lt;0,0,SUMPRODUCT(MAX(($A$6:$A$51&lt;=$C44)*($A$6:$A$51&lt;='Cálculos'!$C$301)*(($C44)-$A$6:$A$51&lt;='Cálculos'!$C$297)*(('Cálculos'!$C$185*(1+'Cálculos'!$C$186+$A$6:$A$51*('Cálculos'!$C$290=1)*'Cálculos'!$C$97+'Cálculos'!$C$305)+'Cálculos'!$C$191)*('Cálculos'!$C$209+'Cálculos'!$C$124*(1+2.78*('Cálculos'!$C$196+(($C44)-$A$6:$A$51)*'Cálculos'!$C$98)/(('Cálculos'!$C$196+(($C44)-$A$6:$A$51)*'Cálculos'!$C$98)+1400)+'Cálculos'!$C$122)*'Cálculos'!$C$214+'Cálculos'!$C$125*(1+2.78*('Cálculos'!$C$196+(($C44)-$A$6:$A$51)*'Cálculos'!$C$98)/(('Cálculos'!$C$196+(($C44)-$A$6:$A$51)*'Cálculos'!$C$98)+1400)+'Cálculos'!$C$123)*'Cálculos'!$C$219)+('Cálculos'!$C$196+(($C44)-$A$6:$A$51)*'Cálculos'!$C$98)*('Cálculos'!$C$210+'Cálculos'!$C$124*(1+2.78*('Cálculos'!$C$196+(($C44)-$A$6:$A$51)*'Cálculos'!$C$98)/(('Cálculos'!$C$196+(($C44)-$A$6:$A$51)*'Cálculos'!$C$98)+1400)+'Cálculos'!$C$122)*'Cálculos'!$C$215+'Cálculos'!$C$125*(1+2.78*('Cálculos'!$C$196+(($C44)-$A$6:$A$51)*'Cálculos'!$C$98)/(('Cálculos'!$C$196+(($C44)-$A$6:$A$51)*'Cálculos'!$C$98)+1400)+'Cálculos'!$C$123)*'Cálculos'!$C$220)+('Cálculos'!$C$201*(1+'Cálculos'!$C$202+$A$6:$A$51*('Cálculos'!$C$290=2)*'Cálculos'!$C$101)+'Cálculos'!$C$203)*('Cálculos'!$C$211+'Cálculos'!$C$124*(1+2.78*('Cálculos'!$C$196+(($C44)-$A$6:$A$51)*'Cálculos'!$C$98)/(('Cálculos'!$C$196+(($C44)-$A$6:$A$51)*'Cálculos'!$C$98)+1400)+'Cálculos'!$C$122)*'Cálculos'!$C$216+'Cálculos'!$C$125*(1+2.78*('Cálculos'!$C$196+(($C44)-$A$6:$A$51)*'Cálculos'!$C$98)/(('Cálculos'!$C$196+(($C44)-$A$6:$A$51)*'Cálculos'!$C$98)+1400)+'Cálculos'!$C$123)*'Cálculos'!$C$221)+('Cálculos'!$C$204*(1+'Cálculos'!$C$205+$A$6:$A$51*('Cálculos'!$C$290=3)*'Cálculos'!$C$103)+'Cálculos'!$C$206)*('Cálculos'!$C$212+'Cálculos'!$C$124*(1+2.78*('Cálculos'!$C$196+(($C44)-$A$6:$A$51)*'Cálculos'!$C$98)/(('Cálculos'!$C$196+(($C44)-$A$6:$A$51)*'Cálculos'!$C$98)+1400)+'Cálculos'!$C$122)*'Cálculos'!$C$217+'Cálculos'!$C$125*(1+2.78*('Cálculos'!$C$196+(($C44)-$A$6:$A$51)*'Cálculos'!$C$98)/(('Cálculos'!$C$196+(($C44)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44)-$A$6:$A$51)*'Cálculos'!$C$98)/(('Cálculos'!$C$197+(($C44)-$A$6:$A$51)*'Cálculos'!$C$98)+1400)+'Cálculos'!$C$122)*'Cálculos'!$C$229+'Cálculos'!$C$125*(1+2.78*('Cálculos'!$C$197+(($C44)-$A$6:$A$51)*'Cálculos'!$C$98)/(('Cálculos'!$C$197+(($C44)-$A$6:$A$51)*'Cálculos'!$C$98)+1400)+'Cálculos'!$C$123)*'Cálculos'!$C$234)+('Cálculos'!$C$197+(($C44)-$A$6:$A$51)*'Cálculos'!$C$98)*('Cálculos'!$C$225+'Cálculos'!$C$124*(1+2.78*('Cálculos'!$C$197+(($C44)-$A$6:$A$51)*'Cálculos'!$C$98)/(('Cálculos'!$C$197+(($C44)-$A$6:$A$51)*'Cálculos'!$C$98)+1400)+'Cálculos'!$C$122)*'Cálculos'!$C$230+'Cálculos'!$C$125*(1+2.78*('Cálculos'!$C$197+(($C44)-$A$6:$A$51)*'Cálculos'!$C$98)/(('Cálculos'!$C$197+(($C44)-$A$6:$A$51)*'Cálculos'!$C$98)+1400)+'Cálculos'!$C$123)*'Cálculos'!$C$235)+('Cálculos'!$C$201*(1+'Cálculos'!$C$202+$A$6:$A$51*('Cálculos'!$C$290=2)*'Cálculos'!$C$101)+'Cálculos'!$C$203)*('Cálculos'!$C$226+'Cálculos'!$C$124*(1+2.78*('Cálculos'!$C$197+(($C44)-$A$6:$A$51)*'Cálculos'!$C$98)/(('Cálculos'!$C$197+(($C44)-$A$6:$A$51)*'Cálculos'!$C$98)+1400)+'Cálculos'!$C$122)*'Cálculos'!$C$231+'Cálculos'!$C$125*(1+2.78*('Cálculos'!$C$197+(($C44)-$A$6:$A$51)*'Cálculos'!$C$98)/(('Cálculos'!$C$197+(($C44)-$A$6:$A$51)*'Cálculos'!$C$98)+1400)+'Cálculos'!$C$123)*'Cálculos'!$C$236)+('Cálculos'!$C$204*(1+'Cálculos'!$C$205+$A$6:$A$51*('Cálculos'!$C$290=3)*'Cálculos'!$C$103)+'Cálculos'!$C$206)*('Cálculos'!$C$227+'Cálculos'!$C$124*(1+2.78*('Cálculos'!$C$197+(($C44)-$A$6:$A$51)*'Cálculos'!$C$98)/(('Cálculos'!$C$197+(($C44)-$A$6:$A$51)*'Cálculos'!$C$98)+1400)+'Cálculos'!$C$122)*'Cálculos'!$C$232+'Cálculos'!$C$125*(1+2.78*('Cálculos'!$C$197+(($C44)-$A$6:$A$51)*'Cálculos'!$C$98)/(('Cálculos'!$C$197+(($C44)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44)-$A$6:$A$51)*'Cálculos'!$C$98)/(('Cálculos'!$C$198+(($C44)-$A$6:$A$51)*'Cálculos'!$C$98)+1400)+'Cálculos'!$C$122)*'Cálculos'!$C$244+'Cálculos'!$C$125*(1+2.78*('Cálculos'!$C$198+(($C44)-$A$6:$A$51)*'Cálculos'!$C$98)/(('Cálculos'!$C$198+(($C44)-$A$6:$A$51)*'Cálculos'!$C$98)+1400)+'Cálculos'!$C$123)*'Cálculos'!$C$249)+('Cálculos'!$C$198+(($C44)-$A$6:$A$51)*'Cálculos'!$C$98)*('Cálculos'!$C$240+'Cálculos'!$C$124*(1+2.78*('Cálculos'!$C$198+(($C44)-$A$6:$A$51)*'Cálculos'!$C$98)/(('Cálculos'!$C$198+(($C44)-$A$6:$A$51)*'Cálculos'!$C$98)+1400)+'Cálculos'!$C$122)*'Cálculos'!$C$245+'Cálculos'!$C$125*(1+2.78*('Cálculos'!$C$198+(($C44)-$A$6:$A$51)*'Cálculos'!$C$98)/(('Cálculos'!$C$198+(($C44)-$A$6:$A$51)*'Cálculos'!$C$98)+1400)+'Cálculos'!$C$123)*'Cálculos'!$C$250)+('Cálculos'!$C$201*(1+'Cálculos'!$C$202+$A$6:$A$51*('Cálculos'!$C$290=2)*'Cálculos'!$C$101)+'Cálculos'!$C$203)*('Cálculos'!$C$241+'Cálculos'!$C$124*(1+2.78*('Cálculos'!$C$198+(($C44)-$A$6:$A$51)*'Cálculos'!$C$98)/(('Cálculos'!$C$198+(($C44)-$A$6:$A$51)*'Cálculos'!$C$98)+1400)+'Cálculos'!$C$122)*'Cálculos'!$C$246+'Cálculos'!$C$125*(1+2.78*('Cálculos'!$C$198+(($C44)-$A$6:$A$51)*'Cálculos'!$C$98)/(('Cálculos'!$C$198+(($C44)-$A$6:$A$51)*'Cálculos'!$C$98)+1400)+'Cálculos'!$C$123)*'Cálculos'!$C$251)+('Cálculos'!$C$204*(1+'Cálculos'!$C$205+$A$6:$A$51*('Cálculos'!$C$290=3)*'Cálculos'!$C$103)+'Cálculos'!$C$206)*('Cálculos'!$C$242+'Cálculos'!$C$124*(1+2.78*('Cálculos'!$C$198+(($C44)-$A$6:$A$51)*'Cálculos'!$C$98)/(('Cálculos'!$C$198+(($C44)-$A$6:$A$51)*'Cálculos'!$C$98)+1400)+'Cálculos'!$C$122)*'Cálculos'!$C$247+'Cálculos'!$C$125*(1+2.78*('Cálculos'!$C$198+(($C44)-$A$6:$A$51)*'Cálculos'!$C$98)/(('Cálculos'!$C$198+(($C44)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44)-$A$6:$A$51)*'Cálculos'!$C$98)/(('Cálculos'!$C$199+(($C44)-$A$6:$A$51)*'Cálculos'!$C$98)+1400)+'Cálculos'!$C$122)*'Cálculos'!$C$259+'Cálculos'!$C$125*(1+2.78*('Cálculos'!$C$199+(($C44)-$A$6:$A$51)*'Cálculos'!$C$98)/(('Cálculos'!$C$199+(($C44)-$A$6:$A$51)*'Cálculos'!$C$98)+1400)+'Cálculos'!$C$123)*'Cálculos'!$C$264)+('Cálculos'!$C$199+(($C44)-$A$6:$A$51)*'Cálculos'!$C$98)*('Cálculos'!$C$255+'Cálculos'!$C$124*(1+2.78*('Cálculos'!$C$199+(($C44)-$A$6:$A$51)*'Cálculos'!$C$98)/(('Cálculos'!$C$199+(($C44)-$A$6:$A$51)*'Cálculos'!$C$98)+1400)+'Cálculos'!$C$122)*'Cálculos'!$C$260+'Cálculos'!$C$125*(1+2.78*('Cálculos'!$C$199+(($C44)-$A$6:$A$51)*'Cálculos'!$C$98)/(('Cálculos'!$C$199+(($C44)-$A$6:$A$51)*'Cálculos'!$C$98)+1400)+'Cálculos'!$C$123)*'Cálculos'!$C$265)+('Cálculos'!$C$201*(1+'Cálculos'!$C$202+$A$6:$A$51*('Cálculos'!$C$290=2)*'Cálculos'!$C$101)+'Cálculos'!$C$203)*('Cálculos'!$C$256+'Cálculos'!$C$124*(1+2.78*('Cálculos'!$C$199+(($C44)-$A$6:$A$51)*'Cálculos'!$C$98)/(('Cálculos'!$C$199+(($C44)-$A$6:$A$51)*'Cálculos'!$C$98)+1400)+'Cálculos'!$C$122)*'Cálculos'!$C$261+'Cálculos'!$C$125*(1+2.78*('Cálculos'!$C$199+(($C44)-$A$6:$A$51)*'Cálculos'!$C$98)/(('Cálculos'!$C$199+(($C44)-$A$6:$A$51)*'Cálculos'!$C$98)+1400)+'Cálculos'!$C$123)*'Cálculos'!$C$266)+('Cálculos'!$C$204*(1+'Cálculos'!$C$205+$A$6:$A$51*('Cálculos'!$C$290=3)*'Cálculos'!$C$103)+'Cálculos'!$C$206)*('Cálculos'!$C$257+'Cálculos'!$C$124*(1+2.78*('Cálculos'!$C$199+(($C44)-$A$6:$A$51)*'Cálculos'!$C$98)/(('Cálculos'!$C$199+(($C44)-$A$6:$A$51)*'Cálculos'!$C$98)+1400)+'Cálculos'!$C$122)*'Cálculos'!$C$262+'Cálculos'!$C$125*(1+2.78*('Cálculos'!$C$199+(($C44)-$A$6:$A$51)*'Cálculos'!$C$98)/(('Cálculos'!$C$199+(($C44)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44)-$A$6:$A$51)*'Cálculos'!$C$98)/(('Cálculos'!$C$200+(($C44)-$A$6:$A$51)*'Cálculos'!$C$98)+1400)+'Cálculos'!$C$122)*'Cálculos'!$C$274+'Cálculos'!$C$125*(1+2.78*('Cálculos'!$C$200+(($C44)-$A$6:$A$51)*'Cálculos'!$C$98)/(('Cálculos'!$C$200+(($C44)-$A$6:$A$51)*'Cálculos'!$C$98)+1400)+'Cálculos'!$C$123)*'Cálculos'!$C$279)+('Cálculos'!$C$200+(($C44)-$A$6:$A$51)*'Cálculos'!$C$98)*('Cálculos'!$C$270+'Cálculos'!$C$124*(1+2.78*('Cálculos'!$C$200+(($C44)-$A$6:$A$51)*'Cálculos'!$C$98)/(('Cálculos'!$C$200+(($C44)-$A$6:$A$51)*'Cálculos'!$C$98)+1400)+'Cálculos'!$C$122)*'Cálculos'!$C$275+'Cálculos'!$C$125*(1+2.78*('Cálculos'!$C$200+(($C44)-$A$6:$A$51)*'Cálculos'!$C$98)/(('Cálculos'!$C$200+(($C44)-$A$6:$A$51)*'Cálculos'!$C$98)+1400)+'Cálculos'!$C$123)*'Cálculos'!$C$280)+('Cálculos'!$C$201*(1+'Cálculos'!$C$202+$A$6:$A$51*('Cálculos'!$C$290=2)*'Cálculos'!$C$101)+'Cálculos'!$C$203)*('Cálculos'!$C$271+'Cálculos'!$C$124*(1+2.78*('Cálculos'!$C$200+(($C44)-$A$6:$A$51)*'Cálculos'!$C$98)/(('Cálculos'!$C$200+(($C44)-$A$6:$A$51)*'Cálculos'!$C$98)+1400)+'Cálculos'!$C$122)*'Cálculos'!$C$276+'Cálculos'!$C$125*(1+2.78*('Cálculos'!$C$200+(($C44)-$A$6:$A$51)*'Cálculos'!$C$98)/(('Cálculos'!$C$200+(($C44)-$A$6:$A$51)*'Cálculos'!$C$98)+1400)+'Cálculos'!$C$123)*'Cálculos'!$C$281)+('Cálculos'!$C$204*(1+'Cálculos'!$C$205+$A$6:$A$51*('Cálculos'!$C$290=3)*'Cálculos'!$C$103)+'Cálculos'!$C$206)*('Cálculos'!$C$272+'Cálculos'!$C$124*(1+2.78*('Cálculos'!$C$200+(($C44)-$A$6:$A$51)*'Cálculos'!$C$98)/(('Cálculos'!$C$200+(($C44)-$A$6:$A$51)*'Cálculos'!$C$98)+1400)+'Cálculos'!$C$122)*'Cálculos'!$C$277+'Cálculos'!$C$125*(1+2.78*('Cálculos'!$C$200+(($C44)-$A$6:$A$51)*'Cálculos'!$C$98)/(('Cálculos'!$C$200+(($C44)-$A$6:$A$51)*'Cálculos'!$C$98)+1400)+'Cálculos'!$C$123)*'Cálculos'!$C$282)))))</f>
        <v>0</v>
      </c>
      <c r="E44" s="32">
        <f>IF(OR($C44&lt;0,'Cálculos'!$C$6=""),0,$B44*$D44)</f>
        <v>0</v>
      </c>
      <c r="F44" s="2"/>
      <c r="G44" s="30">
        <f>($A44&lt;=$B$53)*($A44&lt;='Cálculos'!$C$294)*(($B$53)-$A44&lt;='Cálculos'!$C$295)*(1+MIN(('Cálculos'!$C$207+$A44*'Cálculos'!$C$95),1)*('Cálculos'!$C$208+(($B$53)-$A44)*'Cálculos'!$C$96))</f>
        <v>0</v>
      </c>
      <c r="H44" s="31">
        <f>IF($B$54&lt;0,0,($A44&lt;=$B$54)*($A44&lt;='Cálculos'!$C$301)*(($B$54)-$A44&lt;='Cálculos'!$C$297)*(('Cálculos'!$C$185*(1+'Cálculos'!$C$186+$A44*('Cálculos'!$C$290=1)*'Cálculos'!$C$97+'Cálculos'!$C$305)+'Cálculos'!$C$191)*('Cálculos'!$C$209+'Cálculos'!$C$124*(1+2.78*('Cálculos'!$C$196+(($B$54)-$A44)*'Cálculos'!$C$98)/(('Cálculos'!$C$196+(($B$54)-$A44)*'Cálculos'!$C$98)+1400)+'Cálculos'!$C$122)*'Cálculos'!$C$214+'Cálculos'!$C$125*(1+2.78*('Cálculos'!$C$196+(($B$54)-$A44)*'Cálculos'!$C$98)/(('Cálculos'!$C$196+(($B$54)-$A44)*'Cálculos'!$C$98)+1400)+'Cálculos'!$C$123)*'Cálculos'!$C$219)+('Cálculos'!$C$196+(($B$54)-$A44)*'Cálculos'!$C$98)*('Cálculos'!$C$210+'Cálculos'!$C$124*(1+2.78*('Cálculos'!$C$196+(($B$54)-$A44)*'Cálculos'!$C$98)/(('Cálculos'!$C$196+(($B$54)-$A44)*'Cálculos'!$C$98)+1400)+'Cálculos'!$C$122)*'Cálculos'!$C$215+'Cálculos'!$C$125*(1+2.78*('Cálculos'!$C$196+(($B$54)-$A44)*'Cálculos'!$C$98)/(('Cálculos'!$C$196+(($B$54)-$A44)*'Cálculos'!$C$98)+1400)+'Cálculos'!$C$123)*'Cálculos'!$C$220)+('Cálculos'!$C$201*(1+'Cálculos'!$C$202+$A44*('Cálculos'!$C$290=2)*'Cálculos'!$C$101)+'Cálculos'!$C$203)*('Cálculos'!$C$211+'Cálculos'!$C$124*(1+2.78*('Cálculos'!$C$196+(($B$54)-$A44)*'Cálculos'!$C$98)/(('Cálculos'!$C$196+(($B$54)-$A44)*'Cálculos'!$C$98)+1400)+'Cálculos'!$C$122)*'Cálculos'!$C$216+'Cálculos'!$C$125*(1+2.78*('Cálculos'!$C$196+(($B$54)-$A44)*'Cálculos'!$C$98)/(('Cálculos'!$C$196+(($B$54)-$A44)*'Cálculos'!$C$98)+1400)+'Cálculos'!$C$123)*'Cálculos'!$C$221)+('Cálculos'!$C$204*(1+'Cálculos'!$C$205+$A44*('Cálculos'!$C$290=3)*'Cálculos'!$C$103)+'Cálculos'!$C$206)*('Cálculos'!$C$212+'Cálculos'!$C$124*(1+2.78*('Cálculos'!$C$196+(($B$54)-$A44)*'Cálculos'!$C$98)/(('Cálculos'!$C$196+(($B$54)-$A44)*'Cálculos'!$C$98)+1400)+'Cálculos'!$C$122)*'Cálculos'!$C$217+'Cálculos'!$C$125*(1+2.78*('Cálculos'!$C$196+(($B$54)-$A44)*'Cálculos'!$C$98)/(('Cálculos'!$C$196+(($B$54)-$A44)*'Cálculos'!$C$98)+1400)+'Cálculos'!$C$123)*'Cálculos'!$C$222)+('Cálculos'!$C$185*(1+'Cálculos'!$C$187+$A44*('Cálculos'!$C$290=1)*'Cálculos'!$C$97+'Cálculos'!$C$305)+'Cálculos'!$C$192)*('Cálculos'!$C$224+'Cálculos'!$C$124*(1+2.78*('Cálculos'!$C$197+(($B$54)-$A44)*'Cálculos'!$C$98)/(('Cálculos'!$C$197+(($B$54)-$A44)*'Cálculos'!$C$98)+1400)+'Cálculos'!$C$122)*'Cálculos'!$C$229+'Cálculos'!$C$125*(1+2.78*('Cálculos'!$C$197+(($B$54)-$A44)*'Cálculos'!$C$98)/(('Cálculos'!$C$197+(($B$54)-$A44)*'Cálculos'!$C$98)+1400)+'Cálculos'!$C$123)*'Cálculos'!$C$234)+('Cálculos'!$C$197+(($B$54)-$A44)*'Cálculos'!$C$98)*('Cálculos'!$C$225+'Cálculos'!$C$124*(1+2.78*('Cálculos'!$C$197+(($B$54)-$A44)*'Cálculos'!$C$98)/(('Cálculos'!$C$197+(($B$54)-$A44)*'Cálculos'!$C$98)+1400)+'Cálculos'!$C$122)*'Cálculos'!$C$230+'Cálculos'!$C$125*(1+2.78*('Cálculos'!$C$197+(($B$54)-$A44)*'Cálculos'!$C$98)/(('Cálculos'!$C$197+(($B$54)-$A44)*'Cálculos'!$C$98)+1400)+'Cálculos'!$C$123)*'Cálculos'!$C$235)+('Cálculos'!$C$201*(1+'Cálculos'!$C$202+$A44*('Cálculos'!$C$290=2)*'Cálculos'!$C$101)+'Cálculos'!$C$203)*('Cálculos'!$C$226+'Cálculos'!$C$124*(1+2.78*('Cálculos'!$C$197+(($B$54)-$A44)*'Cálculos'!$C$98)/(('Cálculos'!$C$197+(($B$54)-$A44)*'Cálculos'!$C$98)+1400)+'Cálculos'!$C$122)*'Cálculos'!$C$231+'Cálculos'!$C$125*(1+2.78*('Cálculos'!$C$197+(($B$54)-$A44)*'Cálculos'!$C$98)/(('Cálculos'!$C$197+(($B$54)-$A44)*'Cálculos'!$C$98)+1400)+'Cálculos'!$C$123)*'Cálculos'!$C$236)+('Cálculos'!$C$204*(1+'Cálculos'!$C$205+$A44*('Cálculos'!$C$290=3)*'Cálculos'!$C$103)+'Cálculos'!$C$206)*('Cálculos'!$C$227+'Cálculos'!$C$124*(1+2.78*('Cálculos'!$C$197+(($B$54)-$A44)*'Cálculos'!$C$98)/(('Cálculos'!$C$197+(($B$54)-$A44)*'Cálculos'!$C$98)+1400)+'Cálculos'!$C$122)*'Cálculos'!$C$232+'Cálculos'!$C$125*(1+2.78*('Cálculos'!$C$197+(($B$54)-$A44)*'Cálculos'!$C$98)/(('Cálculos'!$C$197+(($B$54)-$A44)*'Cálculos'!$C$98)+1400)+'Cálculos'!$C$123)*'Cálculos'!$C$237)+('Cálculos'!$C$185*(1+'Cálculos'!$C$188+$A44*('Cálculos'!$C$290=1)*'Cálculos'!$C$97+'Cálculos'!$C$305)+'Cálculos'!$C$193)*('Cálculos'!$C$239+'Cálculos'!$C$124*(1+2.78*('Cálculos'!$C$198+(($B$54)-$A44)*'Cálculos'!$C$98)/(('Cálculos'!$C$198+(($B$54)-$A44)*'Cálculos'!$C$98)+1400)+'Cálculos'!$C$122)*'Cálculos'!$C$244+'Cálculos'!$C$125*(1+2.78*('Cálculos'!$C$198+(($B$54)-$A44)*'Cálculos'!$C$98)/(('Cálculos'!$C$198+(($B$54)-$A44)*'Cálculos'!$C$98)+1400)+'Cálculos'!$C$123)*'Cálculos'!$C$249)+('Cálculos'!$C$198+(($B$54)-$A44)*'Cálculos'!$C$98)*('Cálculos'!$C$240+'Cálculos'!$C$124*(1+2.78*('Cálculos'!$C$198+(($B$54)-$A44)*'Cálculos'!$C$98)/(('Cálculos'!$C$198+(($B$54)-$A44)*'Cálculos'!$C$98)+1400)+'Cálculos'!$C$122)*'Cálculos'!$C$245+'Cálculos'!$C$125*(1+2.78*('Cálculos'!$C$198+(($B$54)-$A44)*'Cálculos'!$C$98)/(('Cálculos'!$C$198+(($B$54)-$A44)*'Cálculos'!$C$98)+1400)+'Cálculos'!$C$123)*'Cálculos'!$C$250)+('Cálculos'!$C$201*(1+'Cálculos'!$C$202+$A44*('Cálculos'!$C$290=2)*'Cálculos'!$C$101)+'Cálculos'!$C$203)*('Cálculos'!$C$241+'Cálculos'!$C$124*(1+2.78*('Cálculos'!$C$198+(($B$54)-$A44)*'Cálculos'!$C$98)/(('Cálculos'!$C$198+(($B$54)-$A44)*'Cálculos'!$C$98)+1400)+'Cálculos'!$C$122)*'Cálculos'!$C$246+'Cálculos'!$C$125*(1+2.78*('Cálculos'!$C$198+(($B$54)-$A44)*'Cálculos'!$C$98)/(('Cálculos'!$C$198+(($B$54)-$A44)*'Cálculos'!$C$98)+1400)+'Cálculos'!$C$123)*'Cálculos'!$C$251)+('Cálculos'!$C$204*(1+'Cálculos'!$C$205+$A44*('Cálculos'!$C$290=3)*'Cálculos'!$C$103)+'Cálculos'!$C$206)*('Cálculos'!$C$242+'Cálculos'!$C$124*(1+2.78*('Cálculos'!$C$198+(($B$54)-$A44)*'Cálculos'!$C$98)/(('Cálculos'!$C$198+(($B$54)-$A44)*'Cálculos'!$C$98)+1400)+'Cálculos'!$C$122)*'Cálculos'!$C$247+'Cálculos'!$C$125*(1+2.78*('Cálculos'!$C$198+(($B$54)-$A44)*'Cálculos'!$C$98)/(('Cálculos'!$C$198+(($B$54)-$A44)*'Cálculos'!$C$98)+1400)+'Cálculos'!$C$123)*'Cálculos'!$C$252)+('Cálculos'!$C$185*(1+'Cálculos'!$C$189+$A44*('Cálculos'!$C$290=1)*'Cálculos'!$C$97+'Cálculos'!$C$305)+'Cálculos'!$C$194)*('Cálculos'!$C$254+'Cálculos'!$C$124*(1+2.78*('Cálculos'!$C$199+(($B$54)-$A44)*'Cálculos'!$C$98)/(('Cálculos'!$C$199+(($B$54)-$A44)*'Cálculos'!$C$98)+1400)+'Cálculos'!$C$122)*'Cálculos'!$C$259+'Cálculos'!$C$125*(1+2.78*('Cálculos'!$C$199+(($B$54)-$A44)*'Cálculos'!$C$98)/(('Cálculos'!$C$199+(($B$54)-$A44)*'Cálculos'!$C$98)+1400)+'Cálculos'!$C$123)*'Cálculos'!$C$264)+('Cálculos'!$C$199+(($B$54)-$A44)*'Cálculos'!$C$98)*('Cálculos'!$C$255+'Cálculos'!$C$124*(1+2.78*('Cálculos'!$C$199+(($B$54)-$A44)*'Cálculos'!$C$98)/(('Cálculos'!$C$199+(($B$54)-$A44)*'Cálculos'!$C$98)+1400)+'Cálculos'!$C$122)*'Cálculos'!$C$260+'Cálculos'!$C$125*(1+2.78*('Cálculos'!$C$199+(($B$54)-$A44)*'Cálculos'!$C$98)/(('Cálculos'!$C$199+(($B$54)-$A44)*'Cálculos'!$C$98)+1400)+'Cálculos'!$C$123)*'Cálculos'!$C$265)+('Cálculos'!$C$201*(1+'Cálculos'!$C$202+$A44*('Cálculos'!$C$290=2)*'Cálculos'!$C$101)+'Cálculos'!$C$203)*('Cálculos'!$C$256+'Cálculos'!$C$124*(1+2.78*('Cálculos'!$C$199+(($B$54)-$A44)*'Cálculos'!$C$98)/(('Cálculos'!$C$199+(($B$54)-$A44)*'Cálculos'!$C$98)+1400)+'Cálculos'!$C$122)*'Cálculos'!$C$261+'Cálculos'!$C$125*(1+2.78*('Cálculos'!$C$199+(($B$54)-$A44)*'Cálculos'!$C$98)/(('Cálculos'!$C$199+(($B$54)-$A44)*'Cálculos'!$C$98)+1400)+'Cálculos'!$C$123)*'Cálculos'!$C$266)+('Cálculos'!$C$204*(1+'Cálculos'!$C$205+$A44*('Cálculos'!$C$290=3)*'Cálculos'!$C$103)+'Cálculos'!$C$206)*('Cálculos'!$C$257+'Cálculos'!$C$124*(1+2.78*('Cálculos'!$C$199+(($B$54)-$A44)*'Cálculos'!$C$98)/(('Cálculos'!$C$199+(($B$54)-$A44)*'Cálculos'!$C$98)+1400)+'Cálculos'!$C$122)*'Cálculos'!$C$262+'Cálculos'!$C$125*(1+2.78*('Cálculos'!$C$199+(($B$54)-$A44)*'Cálculos'!$C$98)/(('Cálculos'!$C$199+(($B$54)-$A44)*'Cálculos'!$C$98)+1400)+'Cálculos'!$C$123)*'Cálculos'!$C$267)+('Cálculos'!$C$185*(1+'Cálculos'!$C$190+$A44*('Cálculos'!$C$290=1)*'Cálculos'!$C$97+'Cálculos'!$C$305)+'Cálculos'!$C$195)*('Cálculos'!$C$269+'Cálculos'!$C$124*(1+2.78*('Cálculos'!$C$200+(($B$54)-$A44)*'Cálculos'!$C$98)/(('Cálculos'!$C$200+(($B$54)-$A44)*'Cálculos'!$C$98)+1400)+'Cálculos'!$C$122)*'Cálculos'!$C$274+'Cálculos'!$C$125*(1+2.78*('Cálculos'!$C$200+(($B$54)-$A44)*'Cálculos'!$C$98)/(('Cálculos'!$C$200+(($B$54)-$A44)*'Cálculos'!$C$98)+1400)+'Cálculos'!$C$123)*'Cálculos'!$C$279)+('Cálculos'!$C$200+(($B$54)-$A44)*'Cálculos'!$C$98)*('Cálculos'!$C$270+'Cálculos'!$C$124*(1+2.78*('Cálculos'!$C$200+(($B$54)-$A44)*'Cálculos'!$C$98)/(('Cálculos'!$C$200+(($B$54)-$A44)*'Cálculos'!$C$98)+1400)+'Cálculos'!$C$122)*'Cálculos'!$C$275+'Cálculos'!$C$125*(1+2.78*('Cálculos'!$C$200+(($B$54)-$A44)*'Cálculos'!$C$98)/(('Cálculos'!$C$200+(($B$54)-$A44)*'Cálculos'!$C$98)+1400)+'Cálculos'!$C$123)*'Cálculos'!$C$280)+('Cálculos'!$C$201*(1+'Cálculos'!$C$202+$A44*('Cálculos'!$C$290=2)*'Cálculos'!$C$101)+'Cálculos'!$C$203)*('Cálculos'!$C$271+'Cálculos'!$C$124*(1+2.78*('Cálculos'!$C$200+(($B$54)-$A44)*'Cálculos'!$C$98)/(('Cálculos'!$C$200+(($B$54)-$A44)*'Cálculos'!$C$98)+1400)+'Cálculos'!$C$122)*'Cálculos'!$C$276+'Cálculos'!$C$125*(1+2.78*('Cálculos'!$C$200+(($B$54)-$A44)*'Cálculos'!$C$98)/(('Cálculos'!$C$200+(($B$54)-$A44)*'Cálculos'!$C$98)+1400)+'Cálculos'!$C$123)*'Cálculos'!$C$281)+('Cálculos'!$C$204*(1+'Cálculos'!$C$205+$A44*('Cálculos'!$C$290=3)*'Cálculos'!$C$103)+'Cálculos'!$C$206)*('Cálculos'!$C$272+'Cálculos'!$C$124*(1+2.78*('Cálculos'!$C$200+(($B$54)-$A44)*'Cálculos'!$C$98)/(('Cálculos'!$C$200+(($B$54)-$A44)*'Cálculos'!$C$98)+1400)+'Cálculos'!$C$122)*'Cálculos'!$C$277+'Cálculos'!$C$125*(1+2.78*('Cálculos'!$C$200+(($B$54)-$A44)*'Cálculos'!$C$98)/(('Cálculos'!$C$200+(($B$54)-$A44)*'Cálculos'!$C$98)+1400)+'Cálculos'!$C$123)*'Cálculos'!$C$282)))</f>
        <v>0</v>
      </c>
    </row>
    <row r="45" ht="15.75" customHeight="1">
      <c r="A45" s="2">
        <v>39.0</v>
      </c>
      <c r="B45" s="30">
        <f>SUMPRODUCT(MAX(($A$6:$A$51&lt;=$A45)*($A$6:$A$51&lt;='Cálculos'!$C$294)*(($A45)-$A$6:$A$51&lt;='Cálculos'!$C$295)*(1+(('Cálculos'!$C$207+$A$6:$A$51*'Cálculos'!$C$95)-(('Cálculos'!$C$207+$A$6:$A$51*'Cálculos'!$C$95)&gt;1)*(('Cálculos'!$C$207+$A$6:$A$51*'Cálculos'!$C$95)-1))*('Cálculos'!$C$208+(($A45)-$A$6:$A$51)*'Cálculos'!$C$96))))</f>
        <v>4.44</v>
      </c>
      <c r="C45" s="2">
        <f>'Cálculos'!$C$303-$A45</f>
        <v>-19</v>
      </c>
      <c r="D45" s="31">
        <f>IF($C45&lt;0,0,SUMPRODUCT(MAX(($A$6:$A$51&lt;=$C45)*($A$6:$A$51&lt;='Cálculos'!$C$301)*(($C45)-$A$6:$A$51&lt;='Cálculos'!$C$297)*(('Cálculos'!$C$185*(1+'Cálculos'!$C$186+$A$6:$A$51*('Cálculos'!$C$290=1)*'Cálculos'!$C$97+'Cálculos'!$C$305)+'Cálculos'!$C$191)*('Cálculos'!$C$209+'Cálculos'!$C$124*(1+2.78*('Cálculos'!$C$196+(($C45)-$A$6:$A$51)*'Cálculos'!$C$98)/(('Cálculos'!$C$196+(($C45)-$A$6:$A$51)*'Cálculos'!$C$98)+1400)+'Cálculos'!$C$122)*'Cálculos'!$C$214+'Cálculos'!$C$125*(1+2.78*('Cálculos'!$C$196+(($C45)-$A$6:$A$51)*'Cálculos'!$C$98)/(('Cálculos'!$C$196+(($C45)-$A$6:$A$51)*'Cálculos'!$C$98)+1400)+'Cálculos'!$C$123)*'Cálculos'!$C$219)+('Cálculos'!$C$196+(($C45)-$A$6:$A$51)*'Cálculos'!$C$98)*('Cálculos'!$C$210+'Cálculos'!$C$124*(1+2.78*('Cálculos'!$C$196+(($C45)-$A$6:$A$51)*'Cálculos'!$C$98)/(('Cálculos'!$C$196+(($C45)-$A$6:$A$51)*'Cálculos'!$C$98)+1400)+'Cálculos'!$C$122)*'Cálculos'!$C$215+'Cálculos'!$C$125*(1+2.78*('Cálculos'!$C$196+(($C45)-$A$6:$A$51)*'Cálculos'!$C$98)/(('Cálculos'!$C$196+(($C45)-$A$6:$A$51)*'Cálculos'!$C$98)+1400)+'Cálculos'!$C$123)*'Cálculos'!$C$220)+('Cálculos'!$C$201*(1+'Cálculos'!$C$202+$A$6:$A$51*('Cálculos'!$C$290=2)*'Cálculos'!$C$101)+'Cálculos'!$C$203)*('Cálculos'!$C$211+'Cálculos'!$C$124*(1+2.78*('Cálculos'!$C$196+(($C45)-$A$6:$A$51)*'Cálculos'!$C$98)/(('Cálculos'!$C$196+(($C45)-$A$6:$A$51)*'Cálculos'!$C$98)+1400)+'Cálculos'!$C$122)*'Cálculos'!$C$216+'Cálculos'!$C$125*(1+2.78*('Cálculos'!$C$196+(($C45)-$A$6:$A$51)*'Cálculos'!$C$98)/(('Cálculos'!$C$196+(($C45)-$A$6:$A$51)*'Cálculos'!$C$98)+1400)+'Cálculos'!$C$123)*'Cálculos'!$C$221)+('Cálculos'!$C$204*(1+'Cálculos'!$C$205+$A$6:$A$51*('Cálculos'!$C$290=3)*'Cálculos'!$C$103)+'Cálculos'!$C$206)*('Cálculos'!$C$212+'Cálculos'!$C$124*(1+2.78*('Cálculos'!$C$196+(($C45)-$A$6:$A$51)*'Cálculos'!$C$98)/(('Cálculos'!$C$196+(($C45)-$A$6:$A$51)*'Cálculos'!$C$98)+1400)+'Cálculos'!$C$122)*'Cálculos'!$C$217+'Cálculos'!$C$125*(1+2.78*('Cálculos'!$C$196+(($C45)-$A$6:$A$51)*'Cálculos'!$C$98)/(('Cálculos'!$C$196+(($C45)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45)-$A$6:$A$51)*'Cálculos'!$C$98)/(('Cálculos'!$C$197+(($C45)-$A$6:$A$51)*'Cálculos'!$C$98)+1400)+'Cálculos'!$C$122)*'Cálculos'!$C$229+'Cálculos'!$C$125*(1+2.78*('Cálculos'!$C$197+(($C45)-$A$6:$A$51)*'Cálculos'!$C$98)/(('Cálculos'!$C$197+(($C45)-$A$6:$A$51)*'Cálculos'!$C$98)+1400)+'Cálculos'!$C$123)*'Cálculos'!$C$234)+('Cálculos'!$C$197+(($C45)-$A$6:$A$51)*'Cálculos'!$C$98)*('Cálculos'!$C$225+'Cálculos'!$C$124*(1+2.78*('Cálculos'!$C$197+(($C45)-$A$6:$A$51)*'Cálculos'!$C$98)/(('Cálculos'!$C$197+(($C45)-$A$6:$A$51)*'Cálculos'!$C$98)+1400)+'Cálculos'!$C$122)*'Cálculos'!$C$230+'Cálculos'!$C$125*(1+2.78*('Cálculos'!$C$197+(($C45)-$A$6:$A$51)*'Cálculos'!$C$98)/(('Cálculos'!$C$197+(($C45)-$A$6:$A$51)*'Cálculos'!$C$98)+1400)+'Cálculos'!$C$123)*'Cálculos'!$C$235)+('Cálculos'!$C$201*(1+'Cálculos'!$C$202+$A$6:$A$51*('Cálculos'!$C$290=2)*'Cálculos'!$C$101)+'Cálculos'!$C$203)*('Cálculos'!$C$226+'Cálculos'!$C$124*(1+2.78*('Cálculos'!$C$197+(($C45)-$A$6:$A$51)*'Cálculos'!$C$98)/(('Cálculos'!$C$197+(($C45)-$A$6:$A$51)*'Cálculos'!$C$98)+1400)+'Cálculos'!$C$122)*'Cálculos'!$C$231+'Cálculos'!$C$125*(1+2.78*('Cálculos'!$C$197+(($C45)-$A$6:$A$51)*'Cálculos'!$C$98)/(('Cálculos'!$C$197+(($C45)-$A$6:$A$51)*'Cálculos'!$C$98)+1400)+'Cálculos'!$C$123)*'Cálculos'!$C$236)+('Cálculos'!$C$204*(1+'Cálculos'!$C$205+$A$6:$A$51*('Cálculos'!$C$290=3)*'Cálculos'!$C$103)+'Cálculos'!$C$206)*('Cálculos'!$C$227+'Cálculos'!$C$124*(1+2.78*('Cálculos'!$C$197+(($C45)-$A$6:$A$51)*'Cálculos'!$C$98)/(('Cálculos'!$C$197+(($C45)-$A$6:$A$51)*'Cálculos'!$C$98)+1400)+'Cálculos'!$C$122)*'Cálculos'!$C$232+'Cálculos'!$C$125*(1+2.78*('Cálculos'!$C$197+(($C45)-$A$6:$A$51)*'Cálculos'!$C$98)/(('Cálculos'!$C$197+(($C45)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45)-$A$6:$A$51)*'Cálculos'!$C$98)/(('Cálculos'!$C$198+(($C45)-$A$6:$A$51)*'Cálculos'!$C$98)+1400)+'Cálculos'!$C$122)*'Cálculos'!$C$244+'Cálculos'!$C$125*(1+2.78*('Cálculos'!$C$198+(($C45)-$A$6:$A$51)*'Cálculos'!$C$98)/(('Cálculos'!$C$198+(($C45)-$A$6:$A$51)*'Cálculos'!$C$98)+1400)+'Cálculos'!$C$123)*'Cálculos'!$C$249)+('Cálculos'!$C$198+(($C45)-$A$6:$A$51)*'Cálculos'!$C$98)*('Cálculos'!$C$240+'Cálculos'!$C$124*(1+2.78*('Cálculos'!$C$198+(($C45)-$A$6:$A$51)*'Cálculos'!$C$98)/(('Cálculos'!$C$198+(($C45)-$A$6:$A$51)*'Cálculos'!$C$98)+1400)+'Cálculos'!$C$122)*'Cálculos'!$C$245+'Cálculos'!$C$125*(1+2.78*('Cálculos'!$C$198+(($C45)-$A$6:$A$51)*'Cálculos'!$C$98)/(('Cálculos'!$C$198+(($C45)-$A$6:$A$51)*'Cálculos'!$C$98)+1400)+'Cálculos'!$C$123)*'Cálculos'!$C$250)+('Cálculos'!$C$201*(1+'Cálculos'!$C$202+$A$6:$A$51*('Cálculos'!$C$290=2)*'Cálculos'!$C$101)+'Cálculos'!$C$203)*('Cálculos'!$C$241+'Cálculos'!$C$124*(1+2.78*('Cálculos'!$C$198+(($C45)-$A$6:$A$51)*'Cálculos'!$C$98)/(('Cálculos'!$C$198+(($C45)-$A$6:$A$51)*'Cálculos'!$C$98)+1400)+'Cálculos'!$C$122)*'Cálculos'!$C$246+'Cálculos'!$C$125*(1+2.78*('Cálculos'!$C$198+(($C45)-$A$6:$A$51)*'Cálculos'!$C$98)/(('Cálculos'!$C$198+(($C45)-$A$6:$A$51)*'Cálculos'!$C$98)+1400)+'Cálculos'!$C$123)*'Cálculos'!$C$251)+('Cálculos'!$C$204*(1+'Cálculos'!$C$205+$A$6:$A$51*('Cálculos'!$C$290=3)*'Cálculos'!$C$103)+'Cálculos'!$C$206)*('Cálculos'!$C$242+'Cálculos'!$C$124*(1+2.78*('Cálculos'!$C$198+(($C45)-$A$6:$A$51)*'Cálculos'!$C$98)/(('Cálculos'!$C$198+(($C45)-$A$6:$A$51)*'Cálculos'!$C$98)+1400)+'Cálculos'!$C$122)*'Cálculos'!$C$247+'Cálculos'!$C$125*(1+2.78*('Cálculos'!$C$198+(($C45)-$A$6:$A$51)*'Cálculos'!$C$98)/(('Cálculos'!$C$198+(($C45)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45)-$A$6:$A$51)*'Cálculos'!$C$98)/(('Cálculos'!$C$199+(($C45)-$A$6:$A$51)*'Cálculos'!$C$98)+1400)+'Cálculos'!$C$122)*'Cálculos'!$C$259+'Cálculos'!$C$125*(1+2.78*('Cálculos'!$C$199+(($C45)-$A$6:$A$51)*'Cálculos'!$C$98)/(('Cálculos'!$C$199+(($C45)-$A$6:$A$51)*'Cálculos'!$C$98)+1400)+'Cálculos'!$C$123)*'Cálculos'!$C$264)+('Cálculos'!$C$199+(($C45)-$A$6:$A$51)*'Cálculos'!$C$98)*('Cálculos'!$C$255+'Cálculos'!$C$124*(1+2.78*('Cálculos'!$C$199+(($C45)-$A$6:$A$51)*'Cálculos'!$C$98)/(('Cálculos'!$C$199+(($C45)-$A$6:$A$51)*'Cálculos'!$C$98)+1400)+'Cálculos'!$C$122)*'Cálculos'!$C$260+'Cálculos'!$C$125*(1+2.78*('Cálculos'!$C$199+(($C45)-$A$6:$A$51)*'Cálculos'!$C$98)/(('Cálculos'!$C$199+(($C45)-$A$6:$A$51)*'Cálculos'!$C$98)+1400)+'Cálculos'!$C$123)*'Cálculos'!$C$265)+('Cálculos'!$C$201*(1+'Cálculos'!$C$202+$A$6:$A$51*('Cálculos'!$C$290=2)*'Cálculos'!$C$101)+'Cálculos'!$C$203)*('Cálculos'!$C$256+'Cálculos'!$C$124*(1+2.78*('Cálculos'!$C$199+(($C45)-$A$6:$A$51)*'Cálculos'!$C$98)/(('Cálculos'!$C$199+(($C45)-$A$6:$A$51)*'Cálculos'!$C$98)+1400)+'Cálculos'!$C$122)*'Cálculos'!$C$261+'Cálculos'!$C$125*(1+2.78*('Cálculos'!$C$199+(($C45)-$A$6:$A$51)*'Cálculos'!$C$98)/(('Cálculos'!$C$199+(($C45)-$A$6:$A$51)*'Cálculos'!$C$98)+1400)+'Cálculos'!$C$123)*'Cálculos'!$C$266)+('Cálculos'!$C$204*(1+'Cálculos'!$C$205+$A$6:$A$51*('Cálculos'!$C$290=3)*'Cálculos'!$C$103)+'Cálculos'!$C$206)*('Cálculos'!$C$257+'Cálculos'!$C$124*(1+2.78*('Cálculos'!$C$199+(($C45)-$A$6:$A$51)*'Cálculos'!$C$98)/(('Cálculos'!$C$199+(($C45)-$A$6:$A$51)*'Cálculos'!$C$98)+1400)+'Cálculos'!$C$122)*'Cálculos'!$C$262+'Cálculos'!$C$125*(1+2.78*('Cálculos'!$C$199+(($C45)-$A$6:$A$51)*'Cálculos'!$C$98)/(('Cálculos'!$C$199+(($C45)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45)-$A$6:$A$51)*'Cálculos'!$C$98)/(('Cálculos'!$C$200+(($C45)-$A$6:$A$51)*'Cálculos'!$C$98)+1400)+'Cálculos'!$C$122)*'Cálculos'!$C$274+'Cálculos'!$C$125*(1+2.78*('Cálculos'!$C$200+(($C45)-$A$6:$A$51)*'Cálculos'!$C$98)/(('Cálculos'!$C$200+(($C45)-$A$6:$A$51)*'Cálculos'!$C$98)+1400)+'Cálculos'!$C$123)*'Cálculos'!$C$279)+('Cálculos'!$C$200+(($C45)-$A$6:$A$51)*'Cálculos'!$C$98)*('Cálculos'!$C$270+'Cálculos'!$C$124*(1+2.78*('Cálculos'!$C$200+(($C45)-$A$6:$A$51)*'Cálculos'!$C$98)/(('Cálculos'!$C$200+(($C45)-$A$6:$A$51)*'Cálculos'!$C$98)+1400)+'Cálculos'!$C$122)*'Cálculos'!$C$275+'Cálculos'!$C$125*(1+2.78*('Cálculos'!$C$200+(($C45)-$A$6:$A$51)*'Cálculos'!$C$98)/(('Cálculos'!$C$200+(($C45)-$A$6:$A$51)*'Cálculos'!$C$98)+1400)+'Cálculos'!$C$123)*'Cálculos'!$C$280)+('Cálculos'!$C$201*(1+'Cálculos'!$C$202+$A$6:$A$51*('Cálculos'!$C$290=2)*'Cálculos'!$C$101)+'Cálculos'!$C$203)*('Cálculos'!$C$271+'Cálculos'!$C$124*(1+2.78*('Cálculos'!$C$200+(($C45)-$A$6:$A$51)*'Cálculos'!$C$98)/(('Cálculos'!$C$200+(($C45)-$A$6:$A$51)*'Cálculos'!$C$98)+1400)+'Cálculos'!$C$122)*'Cálculos'!$C$276+'Cálculos'!$C$125*(1+2.78*('Cálculos'!$C$200+(($C45)-$A$6:$A$51)*'Cálculos'!$C$98)/(('Cálculos'!$C$200+(($C45)-$A$6:$A$51)*'Cálculos'!$C$98)+1400)+'Cálculos'!$C$123)*'Cálculos'!$C$281)+('Cálculos'!$C$204*(1+'Cálculos'!$C$205+$A$6:$A$51*('Cálculos'!$C$290=3)*'Cálculos'!$C$103)+'Cálculos'!$C$206)*('Cálculos'!$C$272+'Cálculos'!$C$124*(1+2.78*('Cálculos'!$C$200+(($C45)-$A$6:$A$51)*'Cálculos'!$C$98)/(('Cálculos'!$C$200+(($C45)-$A$6:$A$51)*'Cálculos'!$C$98)+1400)+'Cálculos'!$C$122)*'Cálculos'!$C$277+'Cálculos'!$C$125*(1+2.78*('Cálculos'!$C$200+(($C45)-$A$6:$A$51)*'Cálculos'!$C$98)/(('Cálculos'!$C$200+(($C45)-$A$6:$A$51)*'Cálculos'!$C$98)+1400)+'Cálculos'!$C$123)*'Cálculos'!$C$282)))))</f>
        <v>0</v>
      </c>
      <c r="E45" s="32">
        <f>IF(OR($C45&lt;0,'Cálculos'!$C$6=""),0,$B45*$D45)</f>
        <v>0</v>
      </c>
      <c r="F45" s="2"/>
      <c r="G45" s="30">
        <f>($A45&lt;=$B$53)*($A45&lt;='Cálculos'!$C$294)*(($B$53)-$A45&lt;='Cálculos'!$C$295)*(1+MIN(('Cálculos'!$C$207+$A45*'Cálculos'!$C$95),1)*('Cálculos'!$C$208+(($B$53)-$A45)*'Cálculos'!$C$96))</f>
        <v>0</v>
      </c>
      <c r="H45" s="31">
        <f>IF($B$54&lt;0,0,($A45&lt;=$B$54)*($A45&lt;='Cálculos'!$C$301)*(($B$54)-$A45&lt;='Cálculos'!$C$297)*(('Cálculos'!$C$185*(1+'Cálculos'!$C$186+$A45*('Cálculos'!$C$290=1)*'Cálculos'!$C$97+'Cálculos'!$C$305)+'Cálculos'!$C$191)*('Cálculos'!$C$209+'Cálculos'!$C$124*(1+2.78*('Cálculos'!$C$196+(($B$54)-$A45)*'Cálculos'!$C$98)/(('Cálculos'!$C$196+(($B$54)-$A45)*'Cálculos'!$C$98)+1400)+'Cálculos'!$C$122)*'Cálculos'!$C$214+'Cálculos'!$C$125*(1+2.78*('Cálculos'!$C$196+(($B$54)-$A45)*'Cálculos'!$C$98)/(('Cálculos'!$C$196+(($B$54)-$A45)*'Cálculos'!$C$98)+1400)+'Cálculos'!$C$123)*'Cálculos'!$C$219)+('Cálculos'!$C$196+(($B$54)-$A45)*'Cálculos'!$C$98)*('Cálculos'!$C$210+'Cálculos'!$C$124*(1+2.78*('Cálculos'!$C$196+(($B$54)-$A45)*'Cálculos'!$C$98)/(('Cálculos'!$C$196+(($B$54)-$A45)*'Cálculos'!$C$98)+1400)+'Cálculos'!$C$122)*'Cálculos'!$C$215+'Cálculos'!$C$125*(1+2.78*('Cálculos'!$C$196+(($B$54)-$A45)*'Cálculos'!$C$98)/(('Cálculos'!$C$196+(($B$54)-$A45)*'Cálculos'!$C$98)+1400)+'Cálculos'!$C$123)*'Cálculos'!$C$220)+('Cálculos'!$C$201*(1+'Cálculos'!$C$202+$A45*('Cálculos'!$C$290=2)*'Cálculos'!$C$101)+'Cálculos'!$C$203)*('Cálculos'!$C$211+'Cálculos'!$C$124*(1+2.78*('Cálculos'!$C$196+(($B$54)-$A45)*'Cálculos'!$C$98)/(('Cálculos'!$C$196+(($B$54)-$A45)*'Cálculos'!$C$98)+1400)+'Cálculos'!$C$122)*'Cálculos'!$C$216+'Cálculos'!$C$125*(1+2.78*('Cálculos'!$C$196+(($B$54)-$A45)*'Cálculos'!$C$98)/(('Cálculos'!$C$196+(($B$54)-$A45)*'Cálculos'!$C$98)+1400)+'Cálculos'!$C$123)*'Cálculos'!$C$221)+('Cálculos'!$C$204*(1+'Cálculos'!$C$205+$A45*('Cálculos'!$C$290=3)*'Cálculos'!$C$103)+'Cálculos'!$C$206)*('Cálculos'!$C$212+'Cálculos'!$C$124*(1+2.78*('Cálculos'!$C$196+(($B$54)-$A45)*'Cálculos'!$C$98)/(('Cálculos'!$C$196+(($B$54)-$A45)*'Cálculos'!$C$98)+1400)+'Cálculos'!$C$122)*'Cálculos'!$C$217+'Cálculos'!$C$125*(1+2.78*('Cálculos'!$C$196+(($B$54)-$A45)*'Cálculos'!$C$98)/(('Cálculos'!$C$196+(($B$54)-$A45)*'Cálculos'!$C$98)+1400)+'Cálculos'!$C$123)*'Cálculos'!$C$222)+('Cálculos'!$C$185*(1+'Cálculos'!$C$187+$A45*('Cálculos'!$C$290=1)*'Cálculos'!$C$97+'Cálculos'!$C$305)+'Cálculos'!$C$192)*('Cálculos'!$C$224+'Cálculos'!$C$124*(1+2.78*('Cálculos'!$C$197+(($B$54)-$A45)*'Cálculos'!$C$98)/(('Cálculos'!$C$197+(($B$54)-$A45)*'Cálculos'!$C$98)+1400)+'Cálculos'!$C$122)*'Cálculos'!$C$229+'Cálculos'!$C$125*(1+2.78*('Cálculos'!$C$197+(($B$54)-$A45)*'Cálculos'!$C$98)/(('Cálculos'!$C$197+(($B$54)-$A45)*'Cálculos'!$C$98)+1400)+'Cálculos'!$C$123)*'Cálculos'!$C$234)+('Cálculos'!$C$197+(($B$54)-$A45)*'Cálculos'!$C$98)*('Cálculos'!$C$225+'Cálculos'!$C$124*(1+2.78*('Cálculos'!$C$197+(($B$54)-$A45)*'Cálculos'!$C$98)/(('Cálculos'!$C$197+(($B$54)-$A45)*'Cálculos'!$C$98)+1400)+'Cálculos'!$C$122)*'Cálculos'!$C$230+'Cálculos'!$C$125*(1+2.78*('Cálculos'!$C$197+(($B$54)-$A45)*'Cálculos'!$C$98)/(('Cálculos'!$C$197+(($B$54)-$A45)*'Cálculos'!$C$98)+1400)+'Cálculos'!$C$123)*'Cálculos'!$C$235)+('Cálculos'!$C$201*(1+'Cálculos'!$C$202+$A45*('Cálculos'!$C$290=2)*'Cálculos'!$C$101)+'Cálculos'!$C$203)*('Cálculos'!$C$226+'Cálculos'!$C$124*(1+2.78*('Cálculos'!$C$197+(($B$54)-$A45)*'Cálculos'!$C$98)/(('Cálculos'!$C$197+(($B$54)-$A45)*'Cálculos'!$C$98)+1400)+'Cálculos'!$C$122)*'Cálculos'!$C$231+'Cálculos'!$C$125*(1+2.78*('Cálculos'!$C$197+(($B$54)-$A45)*'Cálculos'!$C$98)/(('Cálculos'!$C$197+(($B$54)-$A45)*'Cálculos'!$C$98)+1400)+'Cálculos'!$C$123)*'Cálculos'!$C$236)+('Cálculos'!$C$204*(1+'Cálculos'!$C$205+$A45*('Cálculos'!$C$290=3)*'Cálculos'!$C$103)+'Cálculos'!$C$206)*('Cálculos'!$C$227+'Cálculos'!$C$124*(1+2.78*('Cálculos'!$C$197+(($B$54)-$A45)*'Cálculos'!$C$98)/(('Cálculos'!$C$197+(($B$54)-$A45)*'Cálculos'!$C$98)+1400)+'Cálculos'!$C$122)*'Cálculos'!$C$232+'Cálculos'!$C$125*(1+2.78*('Cálculos'!$C$197+(($B$54)-$A45)*'Cálculos'!$C$98)/(('Cálculos'!$C$197+(($B$54)-$A45)*'Cálculos'!$C$98)+1400)+'Cálculos'!$C$123)*'Cálculos'!$C$237)+('Cálculos'!$C$185*(1+'Cálculos'!$C$188+$A45*('Cálculos'!$C$290=1)*'Cálculos'!$C$97+'Cálculos'!$C$305)+'Cálculos'!$C$193)*('Cálculos'!$C$239+'Cálculos'!$C$124*(1+2.78*('Cálculos'!$C$198+(($B$54)-$A45)*'Cálculos'!$C$98)/(('Cálculos'!$C$198+(($B$54)-$A45)*'Cálculos'!$C$98)+1400)+'Cálculos'!$C$122)*'Cálculos'!$C$244+'Cálculos'!$C$125*(1+2.78*('Cálculos'!$C$198+(($B$54)-$A45)*'Cálculos'!$C$98)/(('Cálculos'!$C$198+(($B$54)-$A45)*'Cálculos'!$C$98)+1400)+'Cálculos'!$C$123)*'Cálculos'!$C$249)+('Cálculos'!$C$198+(($B$54)-$A45)*'Cálculos'!$C$98)*('Cálculos'!$C$240+'Cálculos'!$C$124*(1+2.78*('Cálculos'!$C$198+(($B$54)-$A45)*'Cálculos'!$C$98)/(('Cálculos'!$C$198+(($B$54)-$A45)*'Cálculos'!$C$98)+1400)+'Cálculos'!$C$122)*'Cálculos'!$C$245+'Cálculos'!$C$125*(1+2.78*('Cálculos'!$C$198+(($B$54)-$A45)*'Cálculos'!$C$98)/(('Cálculos'!$C$198+(($B$54)-$A45)*'Cálculos'!$C$98)+1400)+'Cálculos'!$C$123)*'Cálculos'!$C$250)+('Cálculos'!$C$201*(1+'Cálculos'!$C$202+$A45*('Cálculos'!$C$290=2)*'Cálculos'!$C$101)+'Cálculos'!$C$203)*('Cálculos'!$C$241+'Cálculos'!$C$124*(1+2.78*('Cálculos'!$C$198+(($B$54)-$A45)*'Cálculos'!$C$98)/(('Cálculos'!$C$198+(($B$54)-$A45)*'Cálculos'!$C$98)+1400)+'Cálculos'!$C$122)*'Cálculos'!$C$246+'Cálculos'!$C$125*(1+2.78*('Cálculos'!$C$198+(($B$54)-$A45)*'Cálculos'!$C$98)/(('Cálculos'!$C$198+(($B$54)-$A45)*'Cálculos'!$C$98)+1400)+'Cálculos'!$C$123)*'Cálculos'!$C$251)+('Cálculos'!$C$204*(1+'Cálculos'!$C$205+$A45*('Cálculos'!$C$290=3)*'Cálculos'!$C$103)+'Cálculos'!$C$206)*('Cálculos'!$C$242+'Cálculos'!$C$124*(1+2.78*('Cálculos'!$C$198+(($B$54)-$A45)*'Cálculos'!$C$98)/(('Cálculos'!$C$198+(($B$54)-$A45)*'Cálculos'!$C$98)+1400)+'Cálculos'!$C$122)*'Cálculos'!$C$247+'Cálculos'!$C$125*(1+2.78*('Cálculos'!$C$198+(($B$54)-$A45)*'Cálculos'!$C$98)/(('Cálculos'!$C$198+(($B$54)-$A45)*'Cálculos'!$C$98)+1400)+'Cálculos'!$C$123)*'Cálculos'!$C$252)+('Cálculos'!$C$185*(1+'Cálculos'!$C$189+$A45*('Cálculos'!$C$290=1)*'Cálculos'!$C$97+'Cálculos'!$C$305)+'Cálculos'!$C$194)*('Cálculos'!$C$254+'Cálculos'!$C$124*(1+2.78*('Cálculos'!$C$199+(($B$54)-$A45)*'Cálculos'!$C$98)/(('Cálculos'!$C$199+(($B$54)-$A45)*'Cálculos'!$C$98)+1400)+'Cálculos'!$C$122)*'Cálculos'!$C$259+'Cálculos'!$C$125*(1+2.78*('Cálculos'!$C$199+(($B$54)-$A45)*'Cálculos'!$C$98)/(('Cálculos'!$C$199+(($B$54)-$A45)*'Cálculos'!$C$98)+1400)+'Cálculos'!$C$123)*'Cálculos'!$C$264)+('Cálculos'!$C$199+(($B$54)-$A45)*'Cálculos'!$C$98)*('Cálculos'!$C$255+'Cálculos'!$C$124*(1+2.78*('Cálculos'!$C$199+(($B$54)-$A45)*'Cálculos'!$C$98)/(('Cálculos'!$C$199+(($B$54)-$A45)*'Cálculos'!$C$98)+1400)+'Cálculos'!$C$122)*'Cálculos'!$C$260+'Cálculos'!$C$125*(1+2.78*('Cálculos'!$C$199+(($B$54)-$A45)*'Cálculos'!$C$98)/(('Cálculos'!$C$199+(($B$54)-$A45)*'Cálculos'!$C$98)+1400)+'Cálculos'!$C$123)*'Cálculos'!$C$265)+('Cálculos'!$C$201*(1+'Cálculos'!$C$202+$A45*('Cálculos'!$C$290=2)*'Cálculos'!$C$101)+'Cálculos'!$C$203)*('Cálculos'!$C$256+'Cálculos'!$C$124*(1+2.78*('Cálculos'!$C$199+(($B$54)-$A45)*'Cálculos'!$C$98)/(('Cálculos'!$C$199+(($B$54)-$A45)*'Cálculos'!$C$98)+1400)+'Cálculos'!$C$122)*'Cálculos'!$C$261+'Cálculos'!$C$125*(1+2.78*('Cálculos'!$C$199+(($B$54)-$A45)*'Cálculos'!$C$98)/(('Cálculos'!$C$199+(($B$54)-$A45)*'Cálculos'!$C$98)+1400)+'Cálculos'!$C$123)*'Cálculos'!$C$266)+('Cálculos'!$C$204*(1+'Cálculos'!$C$205+$A45*('Cálculos'!$C$290=3)*'Cálculos'!$C$103)+'Cálculos'!$C$206)*('Cálculos'!$C$257+'Cálculos'!$C$124*(1+2.78*('Cálculos'!$C$199+(($B$54)-$A45)*'Cálculos'!$C$98)/(('Cálculos'!$C$199+(($B$54)-$A45)*'Cálculos'!$C$98)+1400)+'Cálculos'!$C$122)*'Cálculos'!$C$262+'Cálculos'!$C$125*(1+2.78*('Cálculos'!$C$199+(($B$54)-$A45)*'Cálculos'!$C$98)/(('Cálculos'!$C$199+(($B$54)-$A45)*'Cálculos'!$C$98)+1400)+'Cálculos'!$C$123)*'Cálculos'!$C$267)+('Cálculos'!$C$185*(1+'Cálculos'!$C$190+$A45*('Cálculos'!$C$290=1)*'Cálculos'!$C$97+'Cálculos'!$C$305)+'Cálculos'!$C$195)*('Cálculos'!$C$269+'Cálculos'!$C$124*(1+2.78*('Cálculos'!$C$200+(($B$54)-$A45)*'Cálculos'!$C$98)/(('Cálculos'!$C$200+(($B$54)-$A45)*'Cálculos'!$C$98)+1400)+'Cálculos'!$C$122)*'Cálculos'!$C$274+'Cálculos'!$C$125*(1+2.78*('Cálculos'!$C$200+(($B$54)-$A45)*'Cálculos'!$C$98)/(('Cálculos'!$C$200+(($B$54)-$A45)*'Cálculos'!$C$98)+1400)+'Cálculos'!$C$123)*'Cálculos'!$C$279)+('Cálculos'!$C$200+(($B$54)-$A45)*'Cálculos'!$C$98)*('Cálculos'!$C$270+'Cálculos'!$C$124*(1+2.78*('Cálculos'!$C$200+(($B$54)-$A45)*'Cálculos'!$C$98)/(('Cálculos'!$C$200+(($B$54)-$A45)*'Cálculos'!$C$98)+1400)+'Cálculos'!$C$122)*'Cálculos'!$C$275+'Cálculos'!$C$125*(1+2.78*('Cálculos'!$C$200+(($B$54)-$A45)*'Cálculos'!$C$98)/(('Cálculos'!$C$200+(($B$54)-$A45)*'Cálculos'!$C$98)+1400)+'Cálculos'!$C$123)*'Cálculos'!$C$280)+('Cálculos'!$C$201*(1+'Cálculos'!$C$202+$A45*('Cálculos'!$C$290=2)*'Cálculos'!$C$101)+'Cálculos'!$C$203)*('Cálculos'!$C$271+'Cálculos'!$C$124*(1+2.78*('Cálculos'!$C$200+(($B$54)-$A45)*'Cálculos'!$C$98)/(('Cálculos'!$C$200+(($B$54)-$A45)*'Cálculos'!$C$98)+1400)+'Cálculos'!$C$122)*'Cálculos'!$C$276+'Cálculos'!$C$125*(1+2.78*('Cálculos'!$C$200+(($B$54)-$A45)*'Cálculos'!$C$98)/(('Cálculos'!$C$200+(($B$54)-$A45)*'Cálculos'!$C$98)+1400)+'Cálculos'!$C$123)*'Cálculos'!$C$281)+('Cálculos'!$C$204*(1+'Cálculos'!$C$205+$A45*('Cálculos'!$C$290=3)*'Cálculos'!$C$103)+'Cálculos'!$C$206)*('Cálculos'!$C$272+'Cálculos'!$C$124*(1+2.78*('Cálculos'!$C$200+(($B$54)-$A45)*'Cálculos'!$C$98)/(('Cálculos'!$C$200+(($B$54)-$A45)*'Cálculos'!$C$98)+1400)+'Cálculos'!$C$122)*'Cálculos'!$C$277+'Cálculos'!$C$125*(1+2.78*('Cálculos'!$C$200+(($B$54)-$A45)*'Cálculos'!$C$98)/(('Cálculos'!$C$200+(($B$54)-$A45)*'Cálculos'!$C$98)+1400)+'Cálculos'!$C$123)*'Cálculos'!$C$282)))</f>
        <v>0</v>
      </c>
    </row>
    <row r="46" ht="15.75" customHeight="1">
      <c r="A46" s="2">
        <v>40.0</v>
      </c>
      <c r="B46" s="30">
        <f>SUMPRODUCT(MAX(($A$6:$A$51&lt;=$A46)*($A$6:$A$51&lt;='Cálculos'!$C$294)*(($A46)-$A$6:$A$51&lt;='Cálculos'!$C$295)*(1+(('Cálculos'!$C$207+$A$6:$A$51*'Cálculos'!$C$95)-(('Cálculos'!$C$207+$A$6:$A$51*'Cálculos'!$C$95)&gt;1)*(('Cálculos'!$C$207+$A$6:$A$51*'Cálculos'!$C$95)-1))*('Cálculos'!$C$208+(($A46)-$A$6:$A$51)*'Cálculos'!$C$96))))</f>
        <v>4.44</v>
      </c>
      <c r="C46" s="2">
        <f>'Cálculos'!$C$303-$A46</f>
        <v>-20</v>
      </c>
      <c r="D46" s="31">
        <f>IF($C46&lt;0,0,SUMPRODUCT(MAX(($A$6:$A$51&lt;=$C46)*($A$6:$A$51&lt;='Cálculos'!$C$301)*(($C46)-$A$6:$A$51&lt;='Cálculos'!$C$297)*(('Cálculos'!$C$185*(1+'Cálculos'!$C$186+$A$6:$A$51*('Cálculos'!$C$290=1)*'Cálculos'!$C$97+'Cálculos'!$C$305)+'Cálculos'!$C$191)*('Cálculos'!$C$209+'Cálculos'!$C$124*(1+2.78*('Cálculos'!$C$196+(($C46)-$A$6:$A$51)*'Cálculos'!$C$98)/(('Cálculos'!$C$196+(($C46)-$A$6:$A$51)*'Cálculos'!$C$98)+1400)+'Cálculos'!$C$122)*'Cálculos'!$C$214+'Cálculos'!$C$125*(1+2.78*('Cálculos'!$C$196+(($C46)-$A$6:$A$51)*'Cálculos'!$C$98)/(('Cálculos'!$C$196+(($C46)-$A$6:$A$51)*'Cálculos'!$C$98)+1400)+'Cálculos'!$C$123)*'Cálculos'!$C$219)+('Cálculos'!$C$196+(($C46)-$A$6:$A$51)*'Cálculos'!$C$98)*('Cálculos'!$C$210+'Cálculos'!$C$124*(1+2.78*('Cálculos'!$C$196+(($C46)-$A$6:$A$51)*'Cálculos'!$C$98)/(('Cálculos'!$C$196+(($C46)-$A$6:$A$51)*'Cálculos'!$C$98)+1400)+'Cálculos'!$C$122)*'Cálculos'!$C$215+'Cálculos'!$C$125*(1+2.78*('Cálculos'!$C$196+(($C46)-$A$6:$A$51)*'Cálculos'!$C$98)/(('Cálculos'!$C$196+(($C46)-$A$6:$A$51)*'Cálculos'!$C$98)+1400)+'Cálculos'!$C$123)*'Cálculos'!$C$220)+('Cálculos'!$C$201*(1+'Cálculos'!$C$202+$A$6:$A$51*('Cálculos'!$C$290=2)*'Cálculos'!$C$101)+'Cálculos'!$C$203)*('Cálculos'!$C$211+'Cálculos'!$C$124*(1+2.78*('Cálculos'!$C$196+(($C46)-$A$6:$A$51)*'Cálculos'!$C$98)/(('Cálculos'!$C$196+(($C46)-$A$6:$A$51)*'Cálculos'!$C$98)+1400)+'Cálculos'!$C$122)*'Cálculos'!$C$216+'Cálculos'!$C$125*(1+2.78*('Cálculos'!$C$196+(($C46)-$A$6:$A$51)*'Cálculos'!$C$98)/(('Cálculos'!$C$196+(($C46)-$A$6:$A$51)*'Cálculos'!$C$98)+1400)+'Cálculos'!$C$123)*'Cálculos'!$C$221)+('Cálculos'!$C$204*(1+'Cálculos'!$C$205+$A$6:$A$51*('Cálculos'!$C$290=3)*'Cálculos'!$C$103)+'Cálculos'!$C$206)*('Cálculos'!$C$212+'Cálculos'!$C$124*(1+2.78*('Cálculos'!$C$196+(($C46)-$A$6:$A$51)*'Cálculos'!$C$98)/(('Cálculos'!$C$196+(($C46)-$A$6:$A$51)*'Cálculos'!$C$98)+1400)+'Cálculos'!$C$122)*'Cálculos'!$C$217+'Cálculos'!$C$125*(1+2.78*('Cálculos'!$C$196+(($C46)-$A$6:$A$51)*'Cálculos'!$C$98)/(('Cálculos'!$C$196+(($C46)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46)-$A$6:$A$51)*'Cálculos'!$C$98)/(('Cálculos'!$C$197+(($C46)-$A$6:$A$51)*'Cálculos'!$C$98)+1400)+'Cálculos'!$C$122)*'Cálculos'!$C$229+'Cálculos'!$C$125*(1+2.78*('Cálculos'!$C$197+(($C46)-$A$6:$A$51)*'Cálculos'!$C$98)/(('Cálculos'!$C$197+(($C46)-$A$6:$A$51)*'Cálculos'!$C$98)+1400)+'Cálculos'!$C$123)*'Cálculos'!$C$234)+('Cálculos'!$C$197+(($C46)-$A$6:$A$51)*'Cálculos'!$C$98)*('Cálculos'!$C$225+'Cálculos'!$C$124*(1+2.78*('Cálculos'!$C$197+(($C46)-$A$6:$A$51)*'Cálculos'!$C$98)/(('Cálculos'!$C$197+(($C46)-$A$6:$A$51)*'Cálculos'!$C$98)+1400)+'Cálculos'!$C$122)*'Cálculos'!$C$230+'Cálculos'!$C$125*(1+2.78*('Cálculos'!$C$197+(($C46)-$A$6:$A$51)*'Cálculos'!$C$98)/(('Cálculos'!$C$197+(($C46)-$A$6:$A$51)*'Cálculos'!$C$98)+1400)+'Cálculos'!$C$123)*'Cálculos'!$C$235)+('Cálculos'!$C$201*(1+'Cálculos'!$C$202+$A$6:$A$51*('Cálculos'!$C$290=2)*'Cálculos'!$C$101)+'Cálculos'!$C$203)*('Cálculos'!$C$226+'Cálculos'!$C$124*(1+2.78*('Cálculos'!$C$197+(($C46)-$A$6:$A$51)*'Cálculos'!$C$98)/(('Cálculos'!$C$197+(($C46)-$A$6:$A$51)*'Cálculos'!$C$98)+1400)+'Cálculos'!$C$122)*'Cálculos'!$C$231+'Cálculos'!$C$125*(1+2.78*('Cálculos'!$C$197+(($C46)-$A$6:$A$51)*'Cálculos'!$C$98)/(('Cálculos'!$C$197+(($C46)-$A$6:$A$51)*'Cálculos'!$C$98)+1400)+'Cálculos'!$C$123)*'Cálculos'!$C$236)+('Cálculos'!$C$204*(1+'Cálculos'!$C$205+$A$6:$A$51*('Cálculos'!$C$290=3)*'Cálculos'!$C$103)+'Cálculos'!$C$206)*('Cálculos'!$C$227+'Cálculos'!$C$124*(1+2.78*('Cálculos'!$C$197+(($C46)-$A$6:$A$51)*'Cálculos'!$C$98)/(('Cálculos'!$C$197+(($C46)-$A$6:$A$51)*'Cálculos'!$C$98)+1400)+'Cálculos'!$C$122)*'Cálculos'!$C$232+'Cálculos'!$C$125*(1+2.78*('Cálculos'!$C$197+(($C46)-$A$6:$A$51)*'Cálculos'!$C$98)/(('Cálculos'!$C$197+(($C46)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46)-$A$6:$A$51)*'Cálculos'!$C$98)/(('Cálculos'!$C$198+(($C46)-$A$6:$A$51)*'Cálculos'!$C$98)+1400)+'Cálculos'!$C$122)*'Cálculos'!$C$244+'Cálculos'!$C$125*(1+2.78*('Cálculos'!$C$198+(($C46)-$A$6:$A$51)*'Cálculos'!$C$98)/(('Cálculos'!$C$198+(($C46)-$A$6:$A$51)*'Cálculos'!$C$98)+1400)+'Cálculos'!$C$123)*'Cálculos'!$C$249)+('Cálculos'!$C$198+(($C46)-$A$6:$A$51)*'Cálculos'!$C$98)*('Cálculos'!$C$240+'Cálculos'!$C$124*(1+2.78*('Cálculos'!$C$198+(($C46)-$A$6:$A$51)*'Cálculos'!$C$98)/(('Cálculos'!$C$198+(($C46)-$A$6:$A$51)*'Cálculos'!$C$98)+1400)+'Cálculos'!$C$122)*'Cálculos'!$C$245+'Cálculos'!$C$125*(1+2.78*('Cálculos'!$C$198+(($C46)-$A$6:$A$51)*'Cálculos'!$C$98)/(('Cálculos'!$C$198+(($C46)-$A$6:$A$51)*'Cálculos'!$C$98)+1400)+'Cálculos'!$C$123)*'Cálculos'!$C$250)+('Cálculos'!$C$201*(1+'Cálculos'!$C$202+$A$6:$A$51*('Cálculos'!$C$290=2)*'Cálculos'!$C$101)+'Cálculos'!$C$203)*('Cálculos'!$C$241+'Cálculos'!$C$124*(1+2.78*('Cálculos'!$C$198+(($C46)-$A$6:$A$51)*'Cálculos'!$C$98)/(('Cálculos'!$C$198+(($C46)-$A$6:$A$51)*'Cálculos'!$C$98)+1400)+'Cálculos'!$C$122)*'Cálculos'!$C$246+'Cálculos'!$C$125*(1+2.78*('Cálculos'!$C$198+(($C46)-$A$6:$A$51)*'Cálculos'!$C$98)/(('Cálculos'!$C$198+(($C46)-$A$6:$A$51)*'Cálculos'!$C$98)+1400)+'Cálculos'!$C$123)*'Cálculos'!$C$251)+('Cálculos'!$C$204*(1+'Cálculos'!$C$205+$A$6:$A$51*('Cálculos'!$C$290=3)*'Cálculos'!$C$103)+'Cálculos'!$C$206)*('Cálculos'!$C$242+'Cálculos'!$C$124*(1+2.78*('Cálculos'!$C$198+(($C46)-$A$6:$A$51)*'Cálculos'!$C$98)/(('Cálculos'!$C$198+(($C46)-$A$6:$A$51)*'Cálculos'!$C$98)+1400)+'Cálculos'!$C$122)*'Cálculos'!$C$247+'Cálculos'!$C$125*(1+2.78*('Cálculos'!$C$198+(($C46)-$A$6:$A$51)*'Cálculos'!$C$98)/(('Cálculos'!$C$198+(($C46)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46)-$A$6:$A$51)*'Cálculos'!$C$98)/(('Cálculos'!$C$199+(($C46)-$A$6:$A$51)*'Cálculos'!$C$98)+1400)+'Cálculos'!$C$122)*'Cálculos'!$C$259+'Cálculos'!$C$125*(1+2.78*('Cálculos'!$C$199+(($C46)-$A$6:$A$51)*'Cálculos'!$C$98)/(('Cálculos'!$C$199+(($C46)-$A$6:$A$51)*'Cálculos'!$C$98)+1400)+'Cálculos'!$C$123)*'Cálculos'!$C$264)+('Cálculos'!$C$199+(($C46)-$A$6:$A$51)*'Cálculos'!$C$98)*('Cálculos'!$C$255+'Cálculos'!$C$124*(1+2.78*('Cálculos'!$C$199+(($C46)-$A$6:$A$51)*'Cálculos'!$C$98)/(('Cálculos'!$C$199+(($C46)-$A$6:$A$51)*'Cálculos'!$C$98)+1400)+'Cálculos'!$C$122)*'Cálculos'!$C$260+'Cálculos'!$C$125*(1+2.78*('Cálculos'!$C$199+(($C46)-$A$6:$A$51)*'Cálculos'!$C$98)/(('Cálculos'!$C$199+(($C46)-$A$6:$A$51)*'Cálculos'!$C$98)+1400)+'Cálculos'!$C$123)*'Cálculos'!$C$265)+('Cálculos'!$C$201*(1+'Cálculos'!$C$202+$A$6:$A$51*('Cálculos'!$C$290=2)*'Cálculos'!$C$101)+'Cálculos'!$C$203)*('Cálculos'!$C$256+'Cálculos'!$C$124*(1+2.78*('Cálculos'!$C$199+(($C46)-$A$6:$A$51)*'Cálculos'!$C$98)/(('Cálculos'!$C$199+(($C46)-$A$6:$A$51)*'Cálculos'!$C$98)+1400)+'Cálculos'!$C$122)*'Cálculos'!$C$261+'Cálculos'!$C$125*(1+2.78*('Cálculos'!$C$199+(($C46)-$A$6:$A$51)*'Cálculos'!$C$98)/(('Cálculos'!$C$199+(($C46)-$A$6:$A$51)*'Cálculos'!$C$98)+1400)+'Cálculos'!$C$123)*'Cálculos'!$C$266)+('Cálculos'!$C$204*(1+'Cálculos'!$C$205+$A$6:$A$51*('Cálculos'!$C$290=3)*'Cálculos'!$C$103)+'Cálculos'!$C$206)*('Cálculos'!$C$257+'Cálculos'!$C$124*(1+2.78*('Cálculos'!$C$199+(($C46)-$A$6:$A$51)*'Cálculos'!$C$98)/(('Cálculos'!$C$199+(($C46)-$A$6:$A$51)*'Cálculos'!$C$98)+1400)+'Cálculos'!$C$122)*'Cálculos'!$C$262+'Cálculos'!$C$125*(1+2.78*('Cálculos'!$C$199+(($C46)-$A$6:$A$51)*'Cálculos'!$C$98)/(('Cálculos'!$C$199+(($C46)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46)-$A$6:$A$51)*'Cálculos'!$C$98)/(('Cálculos'!$C$200+(($C46)-$A$6:$A$51)*'Cálculos'!$C$98)+1400)+'Cálculos'!$C$122)*'Cálculos'!$C$274+'Cálculos'!$C$125*(1+2.78*('Cálculos'!$C$200+(($C46)-$A$6:$A$51)*'Cálculos'!$C$98)/(('Cálculos'!$C$200+(($C46)-$A$6:$A$51)*'Cálculos'!$C$98)+1400)+'Cálculos'!$C$123)*'Cálculos'!$C$279)+('Cálculos'!$C$200+(($C46)-$A$6:$A$51)*'Cálculos'!$C$98)*('Cálculos'!$C$270+'Cálculos'!$C$124*(1+2.78*('Cálculos'!$C$200+(($C46)-$A$6:$A$51)*'Cálculos'!$C$98)/(('Cálculos'!$C$200+(($C46)-$A$6:$A$51)*'Cálculos'!$C$98)+1400)+'Cálculos'!$C$122)*'Cálculos'!$C$275+'Cálculos'!$C$125*(1+2.78*('Cálculos'!$C$200+(($C46)-$A$6:$A$51)*'Cálculos'!$C$98)/(('Cálculos'!$C$200+(($C46)-$A$6:$A$51)*'Cálculos'!$C$98)+1400)+'Cálculos'!$C$123)*'Cálculos'!$C$280)+('Cálculos'!$C$201*(1+'Cálculos'!$C$202+$A$6:$A$51*('Cálculos'!$C$290=2)*'Cálculos'!$C$101)+'Cálculos'!$C$203)*('Cálculos'!$C$271+'Cálculos'!$C$124*(1+2.78*('Cálculos'!$C$200+(($C46)-$A$6:$A$51)*'Cálculos'!$C$98)/(('Cálculos'!$C$200+(($C46)-$A$6:$A$51)*'Cálculos'!$C$98)+1400)+'Cálculos'!$C$122)*'Cálculos'!$C$276+'Cálculos'!$C$125*(1+2.78*('Cálculos'!$C$200+(($C46)-$A$6:$A$51)*'Cálculos'!$C$98)/(('Cálculos'!$C$200+(($C46)-$A$6:$A$51)*'Cálculos'!$C$98)+1400)+'Cálculos'!$C$123)*'Cálculos'!$C$281)+('Cálculos'!$C$204*(1+'Cálculos'!$C$205+$A$6:$A$51*('Cálculos'!$C$290=3)*'Cálculos'!$C$103)+'Cálculos'!$C$206)*('Cálculos'!$C$272+'Cálculos'!$C$124*(1+2.78*('Cálculos'!$C$200+(($C46)-$A$6:$A$51)*'Cálculos'!$C$98)/(('Cálculos'!$C$200+(($C46)-$A$6:$A$51)*'Cálculos'!$C$98)+1400)+'Cálculos'!$C$122)*'Cálculos'!$C$277+'Cálculos'!$C$125*(1+2.78*('Cálculos'!$C$200+(($C46)-$A$6:$A$51)*'Cálculos'!$C$98)/(('Cálculos'!$C$200+(($C46)-$A$6:$A$51)*'Cálculos'!$C$98)+1400)+'Cálculos'!$C$123)*'Cálculos'!$C$282)))))</f>
        <v>0</v>
      </c>
      <c r="E46" s="32">
        <f>IF(OR($C46&lt;0,'Cálculos'!$C$6=""),0,$B46*$D46)</f>
        <v>0</v>
      </c>
      <c r="F46" s="2"/>
      <c r="G46" s="30">
        <f>($A46&lt;=$B$53)*($A46&lt;='Cálculos'!$C$294)*(($B$53)-$A46&lt;='Cálculos'!$C$295)*(1+MIN(('Cálculos'!$C$207+$A46*'Cálculos'!$C$95),1)*('Cálculos'!$C$208+(($B$53)-$A46)*'Cálculos'!$C$96))</f>
        <v>0</v>
      </c>
      <c r="H46" s="31">
        <f>IF($B$54&lt;0,0,($A46&lt;=$B$54)*($A46&lt;='Cálculos'!$C$301)*(($B$54)-$A46&lt;='Cálculos'!$C$297)*(('Cálculos'!$C$185*(1+'Cálculos'!$C$186+$A46*('Cálculos'!$C$290=1)*'Cálculos'!$C$97+'Cálculos'!$C$305)+'Cálculos'!$C$191)*('Cálculos'!$C$209+'Cálculos'!$C$124*(1+2.78*('Cálculos'!$C$196+(($B$54)-$A46)*'Cálculos'!$C$98)/(('Cálculos'!$C$196+(($B$54)-$A46)*'Cálculos'!$C$98)+1400)+'Cálculos'!$C$122)*'Cálculos'!$C$214+'Cálculos'!$C$125*(1+2.78*('Cálculos'!$C$196+(($B$54)-$A46)*'Cálculos'!$C$98)/(('Cálculos'!$C$196+(($B$54)-$A46)*'Cálculos'!$C$98)+1400)+'Cálculos'!$C$123)*'Cálculos'!$C$219)+('Cálculos'!$C$196+(($B$54)-$A46)*'Cálculos'!$C$98)*('Cálculos'!$C$210+'Cálculos'!$C$124*(1+2.78*('Cálculos'!$C$196+(($B$54)-$A46)*'Cálculos'!$C$98)/(('Cálculos'!$C$196+(($B$54)-$A46)*'Cálculos'!$C$98)+1400)+'Cálculos'!$C$122)*'Cálculos'!$C$215+'Cálculos'!$C$125*(1+2.78*('Cálculos'!$C$196+(($B$54)-$A46)*'Cálculos'!$C$98)/(('Cálculos'!$C$196+(($B$54)-$A46)*'Cálculos'!$C$98)+1400)+'Cálculos'!$C$123)*'Cálculos'!$C$220)+('Cálculos'!$C$201*(1+'Cálculos'!$C$202+$A46*('Cálculos'!$C$290=2)*'Cálculos'!$C$101)+'Cálculos'!$C$203)*('Cálculos'!$C$211+'Cálculos'!$C$124*(1+2.78*('Cálculos'!$C$196+(($B$54)-$A46)*'Cálculos'!$C$98)/(('Cálculos'!$C$196+(($B$54)-$A46)*'Cálculos'!$C$98)+1400)+'Cálculos'!$C$122)*'Cálculos'!$C$216+'Cálculos'!$C$125*(1+2.78*('Cálculos'!$C$196+(($B$54)-$A46)*'Cálculos'!$C$98)/(('Cálculos'!$C$196+(($B$54)-$A46)*'Cálculos'!$C$98)+1400)+'Cálculos'!$C$123)*'Cálculos'!$C$221)+('Cálculos'!$C$204*(1+'Cálculos'!$C$205+$A46*('Cálculos'!$C$290=3)*'Cálculos'!$C$103)+'Cálculos'!$C$206)*('Cálculos'!$C$212+'Cálculos'!$C$124*(1+2.78*('Cálculos'!$C$196+(($B$54)-$A46)*'Cálculos'!$C$98)/(('Cálculos'!$C$196+(($B$54)-$A46)*'Cálculos'!$C$98)+1400)+'Cálculos'!$C$122)*'Cálculos'!$C$217+'Cálculos'!$C$125*(1+2.78*('Cálculos'!$C$196+(($B$54)-$A46)*'Cálculos'!$C$98)/(('Cálculos'!$C$196+(($B$54)-$A46)*'Cálculos'!$C$98)+1400)+'Cálculos'!$C$123)*'Cálculos'!$C$222)+('Cálculos'!$C$185*(1+'Cálculos'!$C$187+$A46*('Cálculos'!$C$290=1)*'Cálculos'!$C$97+'Cálculos'!$C$305)+'Cálculos'!$C$192)*('Cálculos'!$C$224+'Cálculos'!$C$124*(1+2.78*('Cálculos'!$C$197+(($B$54)-$A46)*'Cálculos'!$C$98)/(('Cálculos'!$C$197+(($B$54)-$A46)*'Cálculos'!$C$98)+1400)+'Cálculos'!$C$122)*'Cálculos'!$C$229+'Cálculos'!$C$125*(1+2.78*('Cálculos'!$C$197+(($B$54)-$A46)*'Cálculos'!$C$98)/(('Cálculos'!$C$197+(($B$54)-$A46)*'Cálculos'!$C$98)+1400)+'Cálculos'!$C$123)*'Cálculos'!$C$234)+('Cálculos'!$C$197+(($B$54)-$A46)*'Cálculos'!$C$98)*('Cálculos'!$C$225+'Cálculos'!$C$124*(1+2.78*('Cálculos'!$C$197+(($B$54)-$A46)*'Cálculos'!$C$98)/(('Cálculos'!$C$197+(($B$54)-$A46)*'Cálculos'!$C$98)+1400)+'Cálculos'!$C$122)*'Cálculos'!$C$230+'Cálculos'!$C$125*(1+2.78*('Cálculos'!$C$197+(($B$54)-$A46)*'Cálculos'!$C$98)/(('Cálculos'!$C$197+(($B$54)-$A46)*'Cálculos'!$C$98)+1400)+'Cálculos'!$C$123)*'Cálculos'!$C$235)+('Cálculos'!$C$201*(1+'Cálculos'!$C$202+$A46*('Cálculos'!$C$290=2)*'Cálculos'!$C$101)+'Cálculos'!$C$203)*('Cálculos'!$C$226+'Cálculos'!$C$124*(1+2.78*('Cálculos'!$C$197+(($B$54)-$A46)*'Cálculos'!$C$98)/(('Cálculos'!$C$197+(($B$54)-$A46)*'Cálculos'!$C$98)+1400)+'Cálculos'!$C$122)*'Cálculos'!$C$231+'Cálculos'!$C$125*(1+2.78*('Cálculos'!$C$197+(($B$54)-$A46)*'Cálculos'!$C$98)/(('Cálculos'!$C$197+(($B$54)-$A46)*'Cálculos'!$C$98)+1400)+'Cálculos'!$C$123)*'Cálculos'!$C$236)+('Cálculos'!$C$204*(1+'Cálculos'!$C$205+$A46*('Cálculos'!$C$290=3)*'Cálculos'!$C$103)+'Cálculos'!$C$206)*('Cálculos'!$C$227+'Cálculos'!$C$124*(1+2.78*('Cálculos'!$C$197+(($B$54)-$A46)*'Cálculos'!$C$98)/(('Cálculos'!$C$197+(($B$54)-$A46)*'Cálculos'!$C$98)+1400)+'Cálculos'!$C$122)*'Cálculos'!$C$232+'Cálculos'!$C$125*(1+2.78*('Cálculos'!$C$197+(($B$54)-$A46)*'Cálculos'!$C$98)/(('Cálculos'!$C$197+(($B$54)-$A46)*'Cálculos'!$C$98)+1400)+'Cálculos'!$C$123)*'Cálculos'!$C$237)+('Cálculos'!$C$185*(1+'Cálculos'!$C$188+$A46*('Cálculos'!$C$290=1)*'Cálculos'!$C$97+'Cálculos'!$C$305)+'Cálculos'!$C$193)*('Cálculos'!$C$239+'Cálculos'!$C$124*(1+2.78*('Cálculos'!$C$198+(($B$54)-$A46)*'Cálculos'!$C$98)/(('Cálculos'!$C$198+(($B$54)-$A46)*'Cálculos'!$C$98)+1400)+'Cálculos'!$C$122)*'Cálculos'!$C$244+'Cálculos'!$C$125*(1+2.78*('Cálculos'!$C$198+(($B$54)-$A46)*'Cálculos'!$C$98)/(('Cálculos'!$C$198+(($B$54)-$A46)*'Cálculos'!$C$98)+1400)+'Cálculos'!$C$123)*'Cálculos'!$C$249)+('Cálculos'!$C$198+(($B$54)-$A46)*'Cálculos'!$C$98)*('Cálculos'!$C$240+'Cálculos'!$C$124*(1+2.78*('Cálculos'!$C$198+(($B$54)-$A46)*'Cálculos'!$C$98)/(('Cálculos'!$C$198+(($B$54)-$A46)*'Cálculos'!$C$98)+1400)+'Cálculos'!$C$122)*'Cálculos'!$C$245+'Cálculos'!$C$125*(1+2.78*('Cálculos'!$C$198+(($B$54)-$A46)*'Cálculos'!$C$98)/(('Cálculos'!$C$198+(($B$54)-$A46)*'Cálculos'!$C$98)+1400)+'Cálculos'!$C$123)*'Cálculos'!$C$250)+('Cálculos'!$C$201*(1+'Cálculos'!$C$202+$A46*('Cálculos'!$C$290=2)*'Cálculos'!$C$101)+'Cálculos'!$C$203)*('Cálculos'!$C$241+'Cálculos'!$C$124*(1+2.78*('Cálculos'!$C$198+(($B$54)-$A46)*'Cálculos'!$C$98)/(('Cálculos'!$C$198+(($B$54)-$A46)*'Cálculos'!$C$98)+1400)+'Cálculos'!$C$122)*'Cálculos'!$C$246+'Cálculos'!$C$125*(1+2.78*('Cálculos'!$C$198+(($B$54)-$A46)*'Cálculos'!$C$98)/(('Cálculos'!$C$198+(($B$54)-$A46)*'Cálculos'!$C$98)+1400)+'Cálculos'!$C$123)*'Cálculos'!$C$251)+('Cálculos'!$C$204*(1+'Cálculos'!$C$205+$A46*('Cálculos'!$C$290=3)*'Cálculos'!$C$103)+'Cálculos'!$C$206)*('Cálculos'!$C$242+'Cálculos'!$C$124*(1+2.78*('Cálculos'!$C$198+(($B$54)-$A46)*'Cálculos'!$C$98)/(('Cálculos'!$C$198+(($B$54)-$A46)*'Cálculos'!$C$98)+1400)+'Cálculos'!$C$122)*'Cálculos'!$C$247+'Cálculos'!$C$125*(1+2.78*('Cálculos'!$C$198+(($B$54)-$A46)*'Cálculos'!$C$98)/(('Cálculos'!$C$198+(($B$54)-$A46)*'Cálculos'!$C$98)+1400)+'Cálculos'!$C$123)*'Cálculos'!$C$252)+('Cálculos'!$C$185*(1+'Cálculos'!$C$189+$A46*('Cálculos'!$C$290=1)*'Cálculos'!$C$97+'Cálculos'!$C$305)+'Cálculos'!$C$194)*('Cálculos'!$C$254+'Cálculos'!$C$124*(1+2.78*('Cálculos'!$C$199+(($B$54)-$A46)*'Cálculos'!$C$98)/(('Cálculos'!$C$199+(($B$54)-$A46)*'Cálculos'!$C$98)+1400)+'Cálculos'!$C$122)*'Cálculos'!$C$259+'Cálculos'!$C$125*(1+2.78*('Cálculos'!$C$199+(($B$54)-$A46)*'Cálculos'!$C$98)/(('Cálculos'!$C$199+(($B$54)-$A46)*'Cálculos'!$C$98)+1400)+'Cálculos'!$C$123)*'Cálculos'!$C$264)+('Cálculos'!$C$199+(($B$54)-$A46)*'Cálculos'!$C$98)*('Cálculos'!$C$255+'Cálculos'!$C$124*(1+2.78*('Cálculos'!$C$199+(($B$54)-$A46)*'Cálculos'!$C$98)/(('Cálculos'!$C$199+(($B$54)-$A46)*'Cálculos'!$C$98)+1400)+'Cálculos'!$C$122)*'Cálculos'!$C$260+'Cálculos'!$C$125*(1+2.78*('Cálculos'!$C$199+(($B$54)-$A46)*'Cálculos'!$C$98)/(('Cálculos'!$C$199+(($B$54)-$A46)*'Cálculos'!$C$98)+1400)+'Cálculos'!$C$123)*'Cálculos'!$C$265)+('Cálculos'!$C$201*(1+'Cálculos'!$C$202+$A46*('Cálculos'!$C$290=2)*'Cálculos'!$C$101)+'Cálculos'!$C$203)*('Cálculos'!$C$256+'Cálculos'!$C$124*(1+2.78*('Cálculos'!$C$199+(($B$54)-$A46)*'Cálculos'!$C$98)/(('Cálculos'!$C$199+(($B$54)-$A46)*'Cálculos'!$C$98)+1400)+'Cálculos'!$C$122)*'Cálculos'!$C$261+'Cálculos'!$C$125*(1+2.78*('Cálculos'!$C$199+(($B$54)-$A46)*'Cálculos'!$C$98)/(('Cálculos'!$C$199+(($B$54)-$A46)*'Cálculos'!$C$98)+1400)+'Cálculos'!$C$123)*'Cálculos'!$C$266)+('Cálculos'!$C$204*(1+'Cálculos'!$C$205+$A46*('Cálculos'!$C$290=3)*'Cálculos'!$C$103)+'Cálculos'!$C$206)*('Cálculos'!$C$257+'Cálculos'!$C$124*(1+2.78*('Cálculos'!$C$199+(($B$54)-$A46)*'Cálculos'!$C$98)/(('Cálculos'!$C$199+(($B$54)-$A46)*'Cálculos'!$C$98)+1400)+'Cálculos'!$C$122)*'Cálculos'!$C$262+'Cálculos'!$C$125*(1+2.78*('Cálculos'!$C$199+(($B$54)-$A46)*'Cálculos'!$C$98)/(('Cálculos'!$C$199+(($B$54)-$A46)*'Cálculos'!$C$98)+1400)+'Cálculos'!$C$123)*'Cálculos'!$C$267)+('Cálculos'!$C$185*(1+'Cálculos'!$C$190+$A46*('Cálculos'!$C$290=1)*'Cálculos'!$C$97+'Cálculos'!$C$305)+'Cálculos'!$C$195)*('Cálculos'!$C$269+'Cálculos'!$C$124*(1+2.78*('Cálculos'!$C$200+(($B$54)-$A46)*'Cálculos'!$C$98)/(('Cálculos'!$C$200+(($B$54)-$A46)*'Cálculos'!$C$98)+1400)+'Cálculos'!$C$122)*'Cálculos'!$C$274+'Cálculos'!$C$125*(1+2.78*('Cálculos'!$C$200+(($B$54)-$A46)*'Cálculos'!$C$98)/(('Cálculos'!$C$200+(($B$54)-$A46)*'Cálculos'!$C$98)+1400)+'Cálculos'!$C$123)*'Cálculos'!$C$279)+('Cálculos'!$C$200+(($B$54)-$A46)*'Cálculos'!$C$98)*('Cálculos'!$C$270+'Cálculos'!$C$124*(1+2.78*('Cálculos'!$C$200+(($B$54)-$A46)*'Cálculos'!$C$98)/(('Cálculos'!$C$200+(($B$54)-$A46)*'Cálculos'!$C$98)+1400)+'Cálculos'!$C$122)*'Cálculos'!$C$275+'Cálculos'!$C$125*(1+2.78*('Cálculos'!$C$200+(($B$54)-$A46)*'Cálculos'!$C$98)/(('Cálculos'!$C$200+(($B$54)-$A46)*'Cálculos'!$C$98)+1400)+'Cálculos'!$C$123)*'Cálculos'!$C$280)+('Cálculos'!$C$201*(1+'Cálculos'!$C$202+$A46*('Cálculos'!$C$290=2)*'Cálculos'!$C$101)+'Cálculos'!$C$203)*('Cálculos'!$C$271+'Cálculos'!$C$124*(1+2.78*('Cálculos'!$C$200+(($B$54)-$A46)*'Cálculos'!$C$98)/(('Cálculos'!$C$200+(($B$54)-$A46)*'Cálculos'!$C$98)+1400)+'Cálculos'!$C$122)*'Cálculos'!$C$276+'Cálculos'!$C$125*(1+2.78*('Cálculos'!$C$200+(($B$54)-$A46)*'Cálculos'!$C$98)/(('Cálculos'!$C$200+(($B$54)-$A46)*'Cálculos'!$C$98)+1400)+'Cálculos'!$C$123)*'Cálculos'!$C$281)+('Cálculos'!$C$204*(1+'Cálculos'!$C$205+$A46*('Cálculos'!$C$290=3)*'Cálculos'!$C$103)+'Cálculos'!$C$206)*('Cálculos'!$C$272+'Cálculos'!$C$124*(1+2.78*('Cálculos'!$C$200+(($B$54)-$A46)*'Cálculos'!$C$98)/(('Cálculos'!$C$200+(($B$54)-$A46)*'Cálculos'!$C$98)+1400)+'Cálculos'!$C$122)*'Cálculos'!$C$277+'Cálculos'!$C$125*(1+2.78*('Cálculos'!$C$200+(($B$54)-$A46)*'Cálculos'!$C$98)/(('Cálculos'!$C$200+(($B$54)-$A46)*'Cálculos'!$C$98)+1400)+'Cálculos'!$C$123)*'Cálculos'!$C$282)))</f>
        <v>0</v>
      </c>
    </row>
    <row r="47" ht="15.75" customHeight="1">
      <c r="A47" s="2">
        <v>41.0</v>
      </c>
      <c r="B47" s="30">
        <f>SUMPRODUCT(MAX(($A$6:$A$51&lt;=$A47)*($A$6:$A$51&lt;='Cálculos'!$C$294)*(($A47)-$A$6:$A$51&lt;='Cálculos'!$C$295)*(1+(('Cálculos'!$C$207+$A$6:$A$51*'Cálculos'!$C$95)-(('Cálculos'!$C$207+$A$6:$A$51*'Cálculos'!$C$95)&gt;1)*(('Cálculos'!$C$207+$A$6:$A$51*'Cálculos'!$C$95)-1))*('Cálculos'!$C$208+(($A47)-$A$6:$A$51)*'Cálculos'!$C$96))))</f>
        <v>4.44</v>
      </c>
      <c r="C47" s="2">
        <f>'Cálculos'!$C$303-$A47</f>
        <v>-21</v>
      </c>
      <c r="D47" s="31">
        <f>IF($C47&lt;0,0,SUMPRODUCT(MAX(($A$6:$A$51&lt;=$C47)*($A$6:$A$51&lt;='Cálculos'!$C$301)*(($C47)-$A$6:$A$51&lt;='Cálculos'!$C$297)*(('Cálculos'!$C$185*(1+'Cálculos'!$C$186+$A$6:$A$51*('Cálculos'!$C$290=1)*'Cálculos'!$C$97+'Cálculos'!$C$305)+'Cálculos'!$C$191)*('Cálculos'!$C$209+'Cálculos'!$C$124*(1+2.78*('Cálculos'!$C$196+(($C47)-$A$6:$A$51)*'Cálculos'!$C$98)/(('Cálculos'!$C$196+(($C47)-$A$6:$A$51)*'Cálculos'!$C$98)+1400)+'Cálculos'!$C$122)*'Cálculos'!$C$214+'Cálculos'!$C$125*(1+2.78*('Cálculos'!$C$196+(($C47)-$A$6:$A$51)*'Cálculos'!$C$98)/(('Cálculos'!$C$196+(($C47)-$A$6:$A$51)*'Cálculos'!$C$98)+1400)+'Cálculos'!$C$123)*'Cálculos'!$C$219)+('Cálculos'!$C$196+(($C47)-$A$6:$A$51)*'Cálculos'!$C$98)*('Cálculos'!$C$210+'Cálculos'!$C$124*(1+2.78*('Cálculos'!$C$196+(($C47)-$A$6:$A$51)*'Cálculos'!$C$98)/(('Cálculos'!$C$196+(($C47)-$A$6:$A$51)*'Cálculos'!$C$98)+1400)+'Cálculos'!$C$122)*'Cálculos'!$C$215+'Cálculos'!$C$125*(1+2.78*('Cálculos'!$C$196+(($C47)-$A$6:$A$51)*'Cálculos'!$C$98)/(('Cálculos'!$C$196+(($C47)-$A$6:$A$51)*'Cálculos'!$C$98)+1400)+'Cálculos'!$C$123)*'Cálculos'!$C$220)+('Cálculos'!$C$201*(1+'Cálculos'!$C$202+$A$6:$A$51*('Cálculos'!$C$290=2)*'Cálculos'!$C$101)+'Cálculos'!$C$203)*('Cálculos'!$C$211+'Cálculos'!$C$124*(1+2.78*('Cálculos'!$C$196+(($C47)-$A$6:$A$51)*'Cálculos'!$C$98)/(('Cálculos'!$C$196+(($C47)-$A$6:$A$51)*'Cálculos'!$C$98)+1400)+'Cálculos'!$C$122)*'Cálculos'!$C$216+'Cálculos'!$C$125*(1+2.78*('Cálculos'!$C$196+(($C47)-$A$6:$A$51)*'Cálculos'!$C$98)/(('Cálculos'!$C$196+(($C47)-$A$6:$A$51)*'Cálculos'!$C$98)+1400)+'Cálculos'!$C$123)*'Cálculos'!$C$221)+('Cálculos'!$C$204*(1+'Cálculos'!$C$205+$A$6:$A$51*('Cálculos'!$C$290=3)*'Cálculos'!$C$103)+'Cálculos'!$C$206)*('Cálculos'!$C$212+'Cálculos'!$C$124*(1+2.78*('Cálculos'!$C$196+(($C47)-$A$6:$A$51)*'Cálculos'!$C$98)/(('Cálculos'!$C$196+(($C47)-$A$6:$A$51)*'Cálculos'!$C$98)+1400)+'Cálculos'!$C$122)*'Cálculos'!$C$217+'Cálculos'!$C$125*(1+2.78*('Cálculos'!$C$196+(($C47)-$A$6:$A$51)*'Cálculos'!$C$98)/(('Cálculos'!$C$196+(($C47)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47)-$A$6:$A$51)*'Cálculos'!$C$98)/(('Cálculos'!$C$197+(($C47)-$A$6:$A$51)*'Cálculos'!$C$98)+1400)+'Cálculos'!$C$122)*'Cálculos'!$C$229+'Cálculos'!$C$125*(1+2.78*('Cálculos'!$C$197+(($C47)-$A$6:$A$51)*'Cálculos'!$C$98)/(('Cálculos'!$C$197+(($C47)-$A$6:$A$51)*'Cálculos'!$C$98)+1400)+'Cálculos'!$C$123)*'Cálculos'!$C$234)+('Cálculos'!$C$197+(($C47)-$A$6:$A$51)*'Cálculos'!$C$98)*('Cálculos'!$C$225+'Cálculos'!$C$124*(1+2.78*('Cálculos'!$C$197+(($C47)-$A$6:$A$51)*'Cálculos'!$C$98)/(('Cálculos'!$C$197+(($C47)-$A$6:$A$51)*'Cálculos'!$C$98)+1400)+'Cálculos'!$C$122)*'Cálculos'!$C$230+'Cálculos'!$C$125*(1+2.78*('Cálculos'!$C$197+(($C47)-$A$6:$A$51)*'Cálculos'!$C$98)/(('Cálculos'!$C$197+(($C47)-$A$6:$A$51)*'Cálculos'!$C$98)+1400)+'Cálculos'!$C$123)*'Cálculos'!$C$235)+('Cálculos'!$C$201*(1+'Cálculos'!$C$202+$A$6:$A$51*('Cálculos'!$C$290=2)*'Cálculos'!$C$101)+'Cálculos'!$C$203)*('Cálculos'!$C$226+'Cálculos'!$C$124*(1+2.78*('Cálculos'!$C$197+(($C47)-$A$6:$A$51)*'Cálculos'!$C$98)/(('Cálculos'!$C$197+(($C47)-$A$6:$A$51)*'Cálculos'!$C$98)+1400)+'Cálculos'!$C$122)*'Cálculos'!$C$231+'Cálculos'!$C$125*(1+2.78*('Cálculos'!$C$197+(($C47)-$A$6:$A$51)*'Cálculos'!$C$98)/(('Cálculos'!$C$197+(($C47)-$A$6:$A$51)*'Cálculos'!$C$98)+1400)+'Cálculos'!$C$123)*'Cálculos'!$C$236)+('Cálculos'!$C$204*(1+'Cálculos'!$C$205+$A$6:$A$51*('Cálculos'!$C$290=3)*'Cálculos'!$C$103)+'Cálculos'!$C$206)*('Cálculos'!$C$227+'Cálculos'!$C$124*(1+2.78*('Cálculos'!$C$197+(($C47)-$A$6:$A$51)*'Cálculos'!$C$98)/(('Cálculos'!$C$197+(($C47)-$A$6:$A$51)*'Cálculos'!$C$98)+1400)+'Cálculos'!$C$122)*'Cálculos'!$C$232+'Cálculos'!$C$125*(1+2.78*('Cálculos'!$C$197+(($C47)-$A$6:$A$51)*'Cálculos'!$C$98)/(('Cálculos'!$C$197+(($C47)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47)-$A$6:$A$51)*'Cálculos'!$C$98)/(('Cálculos'!$C$198+(($C47)-$A$6:$A$51)*'Cálculos'!$C$98)+1400)+'Cálculos'!$C$122)*'Cálculos'!$C$244+'Cálculos'!$C$125*(1+2.78*('Cálculos'!$C$198+(($C47)-$A$6:$A$51)*'Cálculos'!$C$98)/(('Cálculos'!$C$198+(($C47)-$A$6:$A$51)*'Cálculos'!$C$98)+1400)+'Cálculos'!$C$123)*'Cálculos'!$C$249)+('Cálculos'!$C$198+(($C47)-$A$6:$A$51)*'Cálculos'!$C$98)*('Cálculos'!$C$240+'Cálculos'!$C$124*(1+2.78*('Cálculos'!$C$198+(($C47)-$A$6:$A$51)*'Cálculos'!$C$98)/(('Cálculos'!$C$198+(($C47)-$A$6:$A$51)*'Cálculos'!$C$98)+1400)+'Cálculos'!$C$122)*'Cálculos'!$C$245+'Cálculos'!$C$125*(1+2.78*('Cálculos'!$C$198+(($C47)-$A$6:$A$51)*'Cálculos'!$C$98)/(('Cálculos'!$C$198+(($C47)-$A$6:$A$51)*'Cálculos'!$C$98)+1400)+'Cálculos'!$C$123)*'Cálculos'!$C$250)+('Cálculos'!$C$201*(1+'Cálculos'!$C$202+$A$6:$A$51*('Cálculos'!$C$290=2)*'Cálculos'!$C$101)+'Cálculos'!$C$203)*('Cálculos'!$C$241+'Cálculos'!$C$124*(1+2.78*('Cálculos'!$C$198+(($C47)-$A$6:$A$51)*'Cálculos'!$C$98)/(('Cálculos'!$C$198+(($C47)-$A$6:$A$51)*'Cálculos'!$C$98)+1400)+'Cálculos'!$C$122)*'Cálculos'!$C$246+'Cálculos'!$C$125*(1+2.78*('Cálculos'!$C$198+(($C47)-$A$6:$A$51)*'Cálculos'!$C$98)/(('Cálculos'!$C$198+(($C47)-$A$6:$A$51)*'Cálculos'!$C$98)+1400)+'Cálculos'!$C$123)*'Cálculos'!$C$251)+('Cálculos'!$C$204*(1+'Cálculos'!$C$205+$A$6:$A$51*('Cálculos'!$C$290=3)*'Cálculos'!$C$103)+'Cálculos'!$C$206)*('Cálculos'!$C$242+'Cálculos'!$C$124*(1+2.78*('Cálculos'!$C$198+(($C47)-$A$6:$A$51)*'Cálculos'!$C$98)/(('Cálculos'!$C$198+(($C47)-$A$6:$A$51)*'Cálculos'!$C$98)+1400)+'Cálculos'!$C$122)*'Cálculos'!$C$247+'Cálculos'!$C$125*(1+2.78*('Cálculos'!$C$198+(($C47)-$A$6:$A$51)*'Cálculos'!$C$98)/(('Cálculos'!$C$198+(($C47)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47)-$A$6:$A$51)*'Cálculos'!$C$98)/(('Cálculos'!$C$199+(($C47)-$A$6:$A$51)*'Cálculos'!$C$98)+1400)+'Cálculos'!$C$122)*'Cálculos'!$C$259+'Cálculos'!$C$125*(1+2.78*('Cálculos'!$C$199+(($C47)-$A$6:$A$51)*'Cálculos'!$C$98)/(('Cálculos'!$C$199+(($C47)-$A$6:$A$51)*'Cálculos'!$C$98)+1400)+'Cálculos'!$C$123)*'Cálculos'!$C$264)+('Cálculos'!$C$199+(($C47)-$A$6:$A$51)*'Cálculos'!$C$98)*('Cálculos'!$C$255+'Cálculos'!$C$124*(1+2.78*('Cálculos'!$C$199+(($C47)-$A$6:$A$51)*'Cálculos'!$C$98)/(('Cálculos'!$C$199+(($C47)-$A$6:$A$51)*'Cálculos'!$C$98)+1400)+'Cálculos'!$C$122)*'Cálculos'!$C$260+'Cálculos'!$C$125*(1+2.78*('Cálculos'!$C$199+(($C47)-$A$6:$A$51)*'Cálculos'!$C$98)/(('Cálculos'!$C$199+(($C47)-$A$6:$A$51)*'Cálculos'!$C$98)+1400)+'Cálculos'!$C$123)*'Cálculos'!$C$265)+('Cálculos'!$C$201*(1+'Cálculos'!$C$202+$A$6:$A$51*('Cálculos'!$C$290=2)*'Cálculos'!$C$101)+'Cálculos'!$C$203)*('Cálculos'!$C$256+'Cálculos'!$C$124*(1+2.78*('Cálculos'!$C$199+(($C47)-$A$6:$A$51)*'Cálculos'!$C$98)/(('Cálculos'!$C$199+(($C47)-$A$6:$A$51)*'Cálculos'!$C$98)+1400)+'Cálculos'!$C$122)*'Cálculos'!$C$261+'Cálculos'!$C$125*(1+2.78*('Cálculos'!$C$199+(($C47)-$A$6:$A$51)*'Cálculos'!$C$98)/(('Cálculos'!$C$199+(($C47)-$A$6:$A$51)*'Cálculos'!$C$98)+1400)+'Cálculos'!$C$123)*'Cálculos'!$C$266)+('Cálculos'!$C$204*(1+'Cálculos'!$C$205+$A$6:$A$51*('Cálculos'!$C$290=3)*'Cálculos'!$C$103)+'Cálculos'!$C$206)*('Cálculos'!$C$257+'Cálculos'!$C$124*(1+2.78*('Cálculos'!$C$199+(($C47)-$A$6:$A$51)*'Cálculos'!$C$98)/(('Cálculos'!$C$199+(($C47)-$A$6:$A$51)*'Cálculos'!$C$98)+1400)+'Cálculos'!$C$122)*'Cálculos'!$C$262+'Cálculos'!$C$125*(1+2.78*('Cálculos'!$C$199+(($C47)-$A$6:$A$51)*'Cálculos'!$C$98)/(('Cálculos'!$C$199+(($C47)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47)-$A$6:$A$51)*'Cálculos'!$C$98)/(('Cálculos'!$C$200+(($C47)-$A$6:$A$51)*'Cálculos'!$C$98)+1400)+'Cálculos'!$C$122)*'Cálculos'!$C$274+'Cálculos'!$C$125*(1+2.78*('Cálculos'!$C$200+(($C47)-$A$6:$A$51)*'Cálculos'!$C$98)/(('Cálculos'!$C$200+(($C47)-$A$6:$A$51)*'Cálculos'!$C$98)+1400)+'Cálculos'!$C$123)*'Cálculos'!$C$279)+('Cálculos'!$C$200+(($C47)-$A$6:$A$51)*'Cálculos'!$C$98)*('Cálculos'!$C$270+'Cálculos'!$C$124*(1+2.78*('Cálculos'!$C$200+(($C47)-$A$6:$A$51)*'Cálculos'!$C$98)/(('Cálculos'!$C$200+(($C47)-$A$6:$A$51)*'Cálculos'!$C$98)+1400)+'Cálculos'!$C$122)*'Cálculos'!$C$275+'Cálculos'!$C$125*(1+2.78*('Cálculos'!$C$200+(($C47)-$A$6:$A$51)*'Cálculos'!$C$98)/(('Cálculos'!$C$200+(($C47)-$A$6:$A$51)*'Cálculos'!$C$98)+1400)+'Cálculos'!$C$123)*'Cálculos'!$C$280)+('Cálculos'!$C$201*(1+'Cálculos'!$C$202+$A$6:$A$51*('Cálculos'!$C$290=2)*'Cálculos'!$C$101)+'Cálculos'!$C$203)*('Cálculos'!$C$271+'Cálculos'!$C$124*(1+2.78*('Cálculos'!$C$200+(($C47)-$A$6:$A$51)*'Cálculos'!$C$98)/(('Cálculos'!$C$200+(($C47)-$A$6:$A$51)*'Cálculos'!$C$98)+1400)+'Cálculos'!$C$122)*'Cálculos'!$C$276+'Cálculos'!$C$125*(1+2.78*('Cálculos'!$C$200+(($C47)-$A$6:$A$51)*'Cálculos'!$C$98)/(('Cálculos'!$C$200+(($C47)-$A$6:$A$51)*'Cálculos'!$C$98)+1400)+'Cálculos'!$C$123)*'Cálculos'!$C$281)+('Cálculos'!$C$204*(1+'Cálculos'!$C$205+$A$6:$A$51*('Cálculos'!$C$290=3)*'Cálculos'!$C$103)+'Cálculos'!$C$206)*('Cálculos'!$C$272+'Cálculos'!$C$124*(1+2.78*('Cálculos'!$C$200+(($C47)-$A$6:$A$51)*'Cálculos'!$C$98)/(('Cálculos'!$C$200+(($C47)-$A$6:$A$51)*'Cálculos'!$C$98)+1400)+'Cálculos'!$C$122)*'Cálculos'!$C$277+'Cálculos'!$C$125*(1+2.78*('Cálculos'!$C$200+(($C47)-$A$6:$A$51)*'Cálculos'!$C$98)/(('Cálculos'!$C$200+(($C47)-$A$6:$A$51)*'Cálculos'!$C$98)+1400)+'Cálculos'!$C$123)*'Cálculos'!$C$282)))))</f>
        <v>0</v>
      </c>
      <c r="E47" s="32">
        <f>IF(OR($C47&lt;0,'Cálculos'!$C$6=""),0,$B47*$D47)</f>
        <v>0</v>
      </c>
      <c r="F47" s="2"/>
      <c r="G47" s="30">
        <f>($A47&lt;=$B$53)*($A47&lt;='Cálculos'!$C$294)*(($B$53)-$A47&lt;='Cálculos'!$C$295)*(1+MIN(('Cálculos'!$C$207+$A47*'Cálculos'!$C$95),1)*('Cálculos'!$C$208+(($B$53)-$A47)*'Cálculos'!$C$96))</f>
        <v>0</v>
      </c>
      <c r="H47" s="31">
        <f>IF($B$54&lt;0,0,($A47&lt;=$B$54)*($A47&lt;='Cálculos'!$C$301)*(($B$54)-$A47&lt;='Cálculos'!$C$297)*(('Cálculos'!$C$185*(1+'Cálculos'!$C$186+$A47*('Cálculos'!$C$290=1)*'Cálculos'!$C$97+'Cálculos'!$C$305)+'Cálculos'!$C$191)*('Cálculos'!$C$209+'Cálculos'!$C$124*(1+2.78*('Cálculos'!$C$196+(($B$54)-$A47)*'Cálculos'!$C$98)/(('Cálculos'!$C$196+(($B$54)-$A47)*'Cálculos'!$C$98)+1400)+'Cálculos'!$C$122)*'Cálculos'!$C$214+'Cálculos'!$C$125*(1+2.78*('Cálculos'!$C$196+(($B$54)-$A47)*'Cálculos'!$C$98)/(('Cálculos'!$C$196+(($B$54)-$A47)*'Cálculos'!$C$98)+1400)+'Cálculos'!$C$123)*'Cálculos'!$C$219)+('Cálculos'!$C$196+(($B$54)-$A47)*'Cálculos'!$C$98)*('Cálculos'!$C$210+'Cálculos'!$C$124*(1+2.78*('Cálculos'!$C$196+(($B$54)-$A47)*'Cálculos'!$C$98)/(('Cálculos'!$C$196+(($B$54)-$A47)*'Cálculos'!$C$98)+1400)+'Cálculos'!$C$122)*'Cálculos'!$C$215+'Cálculos'!$C$125*(1+2.78*('Cálculos'!$C$196+(($B$54)-$A47)*'Cálculos'!$C$98)/(('Cálculos'!$C$196+(($B$54)-$A47)*'Cálculos'!$C$98)+1400)+'Cálculos'!$C$123)*'Cálculos'!$C$220)+('Cálculos'!$C$201*(1+'Cálculos'!$C$202+$A47*('Cálculos'!$C$290=2)*'Cálculos'!$C$101)+'Cálculos'!$C$203)*('Cálculos'!$C$211+'Cálculos'!$C$124*(1+2.78*('Cálculos'!$C$196+(($B$54)-$A47)*'Cálculos'!$C$98)/(('Cálculos'!$C$196+(($B$54)-$A47)*'Cálculos'!$C$98)+1400)+'Cálculos'!$C$122)*'Cálculos'!$C$216+'Cálculos'!$C$125*(1+2.78*('Cálculos'!$C$196+(($B$54)-$A47)*'Cálculos'!$C$98)/(('Cálculos'!$C$196+(($B$54)-$A47)*'Cálculos'!$C$98)+1400)+'Cálculos'!$C$123)*'Cálculos'!$C$221)+('Cálculos'!$C$204*(1+'Cálculos'!$C$205+$A47*('Cálculos'!$C$290=3)*'Cálculos'!$C$103)+'Cálculos'!$C$206)*('Cálculos'!$C$212+'Cálculos'!$C$124*(1+2.78*('Cálculos'!$C$196+(($B$54)-$A47)*'Cálculos'!$C$98)/(('Cálculos'!$C$196+(($B$54)-$A47)*'Cálculos'!$C$98)+1400)+'Cálculos'!$C$122)*'Cálculos'!$C$217+'Cálculos'!$C$125*(1+2.78*('Cálculos'!$C$196+(($B$54)-$A47)*'Cálculos'!$C$98)/(('Cálculos'!$C$196+(($B$54)-$A47)*'Cálculos'!$C$98)+1400)+'Cálculos'!$C$123)*'Cálculos'!$C$222)+('Cálculos'!$C$185*(1+'Cálculos'!$C$187+$A47*('Cálculos'!$C$290=1)*'Cálculos'!$C$97+'Cálculos'!$C$305)+'Cálculos'!$C$192)*('Cálculos'!$C$224+'Cálculos'!$C$124*(1+2.78*('Cálculos'!$C$197+(($B$54)-$A47)*'Cálculos'!$C$98)/(('Cálculos'!$C$197+(($B$54)-$A47)*'Cálculos'!$C$98)+1400)+'Cálculos'!$C$122)*'Cálculos'!$C$229+'Cálculos'!$C$125*(1+2.78*('Cálculos'!$C$197+(($B$54)-$A47)*'Cálculos'!$C$98)/(('Cálculos'!$C$197+(($B$54)-$A47)*'Cálculos'!$C$98)+1400)+'Cálculos'!$C$123)*'Cálculos'!$C$234)+('Cálculos'!$C$197+(($B$54)-$A47)*'Cálculos'!$C$98)*('Cálculos'!$C$225+'Cálculos'!$C$124*(1+2.78*('Cálculos'!$C$197+(($B$54)-$A47)*'Cálculos'!$C$98)/(('Cálculos'!$C$197+(($B$54)-$A47)*'Cálculos'!$C$98)+1400)+'Cálculos'!$C$122)*'Cálculos'!$C$230+'Cálculos'!$C$125*(1+2.78*('Cálculos'!$C$197+(($B$54)-$A47)*'Cálculos'!$C$98)/(('Cálculos'!$C$197+(($B$54)-$A47)*'Cálculos'!$C$98)+1400)+'Cálculos'!$C$123)*'Cálculos'!$C$235)+('Cálculos'!$C$201*(1+'Cálculos'!$C$202+$A47*('Cálculos'!$C$290=2)*'Cálculos'!$C$101)+'Cálculos'!$C$203)*('Cálculos'!$C$226+'Cálculos'!$C$124*(1+2.78*('Cálculos'!$C$197+(($B$54)-$A47)*'Cálculos'!$C$98)/(('Cálculos'!$C$197+(($B$54)-$A47)*'Cálculos'!$C$98)+1400)+'Cálculos'!$C$122)*'Cálculos'!$C$231+'Cálculos'!$C$125*(1+2.78*('Cálculos'!$C$197+(($B$54)-$A47)*'Cálculos'!$C$98)/(('Cálculos'!$C$197+(($B$54)-$A47)*'Cálculos'!$C$98)+1400)+'Cálculos'!$C$123)*'Cálculos'!$C$236)+('Cálculos'!$C$204*(1+'Cálculos'!$C$205+$A47*('Cálculos'!$C$290=3)*'Cálculos'!$C$103)+'Cálculos'!$C$206)*('Cálculos'!$C$227+'Cálculos'!$C$124*(1+2.78*('Cálculos'!$C$197+(($B$54)-$A47)*'Cálculos'!$C$98)/(('Cálculos'!$C$197+(($B$54)-$A47)*'Cálculos'!$C$98)+1400)+'Cálculos'!$C$122)*'Cálculos'!$C$232+'Cálculos'!$C$125*(1+2.78*('Cálculos'!$C$197+(($B$54)-$A47)*'Cálculos'!$C$98)/(('Cálculos'!$C$197+(($B$54)-$A47)*'Cálculos'!$C$98)+1400)+'Cálculos'!$C$123)*'Cálculos'!$C$237)+('Cálculos'!$C$185*(1+'Cálculos'!$C$188+$A47*('Cálculos'!$C$290=1)*'Cálculos'!$C$97+'Cálculos'!$C$305)+'Cálculos'!$C$193)*('Cálculos'!$C$239+'Cálculos'!$C$124*(1+2.78*('Cálculos'!$C$198+(($B$54)-$A47)*'Cálculos'!$C$98)/(('Cálculos'!$C$198+(($B$54)-$A47)*'Cálculos'!$C$98)+1400)+'Cálculos'!$C$122)*'Cálculos'!$C$244+'Cálculos'!$C$125*(1+2.78*('Cálculos'!$C$198+(($B$54)-$A47)*'Cálculos'!$C$98)/(('Cálculos'!$C$198+(($B$54)-$A47)*'Cálculos'!$C$98)+1400)+'Cálculos'!$C$123)*'Cálculos'!$C$249)+('Cálculos'!$C$198+(($B$54)-$A47)*'Cálculos'!$C$98)*('Cálculos'!$C$240+'Cálculos'!$C$124*(1+2.78*('Cálculos'!$C$198+(($B$54)-$A47)*'Cálculos'!$C$98)/(('Cálculos'!$C$198+(($B$54)-$A47)*'Cálculos'!$C$98)+1400)+'Cálculos'!$C$122)*'Cálculos'!$C$245+'Cálculos'!$C$125*(1+2.78*('Cálculos'!$C$198+(($B$54)-$A47)*'Cálculos'!$C$98)/(('Cálculos'!$C$198+(($B$54)-$A47)*'Cálculos'!$C$98)+1400)+'Cálculos'!$C$123)*'Cálculos'!$C$250)+('Cálculos'!$C$201*(1+'Cálculos'!$C$202+$A47*('Cálculos'!$C$290=2)*'Cálculos'!$C$101)+'Cálculos'!$C$203)*('Cálculos'!$C$241+'Cálculos'!$C$124*(1+2.78*('Cálculos'!$C$198+(($B$54)-$A47)*'Cálculos'!$C$98)/(('Cálculos'!$C$198+(($B$54)-$A47)*'Cálculos'!$C$98)+1400)+'Cálculos'!$C$122)*'Cálculos'!$C$246+'Cálculos'!$C$125*(1+2.78*('Cálculos'!$C$198+(($B$54)-$A47)*'Cálculos'!$C$98)/(('Cálculos'!$C$198+(($B$54)-$A47)*'Cálculos'!$C$98)+1400)+'Cálculos'!$C$123)*'Cálculos'!$C$251)+('Cálculos'!$C$204*(1+'Cálculos'!$C$205+$A47*('Cálculos'!$C$290=3)*'Cálculos'!$C$103)+'Cálculos'!$C$206)*('Cálculos'!$C$242+'Cálculos'!$C$124*(1+2.78*('Cálculos'!$C$198+(($B$54)-$A47)*'Cálculos'!$C$98)/(('Cálculos'!$C$198+(($B$54)-$A47)*'Cálculos'!$C$98)+1400)+'Cálculos'!$C$122)*'Cálculos'!$C$247+'Cálculos'!$C$125*(1+2.78*('Cálculos'!$C$198+(($B$54)-$A47)*'Cálculos'!$C$98)/(('Cálculos'!$C$198+(($B$54)-$A47)*'Cálculos'!$C$98)+1400)+'Cálculos'!$C$123)*'Cálculos'!$C$252)+('Cálculos'!$C$185*(1+'Cálculos'!$C$189+$A47*('Cálculos'!$C$290=1)*'Cálculos'!$C$97+'Cálculos'!$C$305)+'Cálculos'!$C$194)*('Cálculos'!$C$254+'Cálculos'!$C$124*(1+2.78*('Cálculos'!$C$199+(($B$54)-$A47)*'Cálculos'!$C$98)/(('Cálculos'!$C$199+(($B$54)-$A47)*'Cálculos'!$C$98)+1400)+'Cálculos'!$C$122)*'Cálculos'!$C$259+'Cálculos'!$C$125*(1+2.78*('Cálculos'!$C$199+(($B$54)-$A47)*'Cálculos'!$C$98)/(('Cálculos'!$C$199+(($B$54)-$A47)*'Cálculos'!$C$98)+1400)+'Cálculos'!$C$123)*'Cálculos'!$C$264)+('Cálculos'!$C$199+(($B$54)-$A47)*'Cálculos'!$C$98)*('Cálculos'!$C$255+'Cálculos'!$C$124*(1+2.78*('Cálculos'!$C$199+(($B$54)-$A47)*'Cálculos'!$C$98)/(('Cálculos'!$C$199+(($B$54)-$A47)*'Cálculos'!$C$98)+1400)+'Cálculos'!$C$122)*'Cálculos'!$C$260+'Cálculos'!$C$125*(1+2.78*('Cálculos'!$C$199+(($B$54)-$A47)*'Cálculos'!$C$98)/(('Cálculos'!$C$199+(($B$54)-$A47)*'Cálculos'!$C$98)+1400)+'Cálculos'!$C$123)*'Cálculos'!$C$265)+('Cálculos'!$C$201*(1+'Cálculos'!$C$202+$A47*('Cálculos'!$C$290=2)*'Cálculos'!$C$101)+'Cálculos'!$C$203)*('Cálculos'!$C$256+'Cálculos'!$C$124*(1+2.78*('Cálculos'!$C$199+(($B$54)-$A47)*'Cálculos'!$C$98)/(('Cálculos'!$C$199+(($B$54)-$A47)*'Cálculos'!$C$98)+1400)+'Cálculos'!$C$122)*'Cálculos'!$C$261+'Cálculos'!$C$125*(1+2.78*('Cálculos'!$C$199+(($B$54)-$A47)*'Cálculos'!$C$98)/(('Cálculos'!$C$199+(($B$54)-$A47)*'Cálculos'!$C$98)+1400)+'Cálculos'!$C$123)*'Cálculos'!$C$266)+('Cálculos'!$C$204*(1+'Cálculos'!$C$205+$A47*('Cálculos'!$C$290=3)*'Cálculos'!$C$103)+'Cálculos'!$C$206)*('Cálculos'!$C$257+'Cálculos'!$C$124*(1+2.78*('Cálculos'!$C$199+(($B$54)-$A47)*'Cálculos'!$C$98)/(('Cálculos'!$C$199+(($B$54)-$A47)*'Cálculos'!$C$98)+1400)+'Cálculos'!$C$122)*'Cálculos'!$C$262+'Cálculos'!$C$125*(1+2.78*('Cálculos'!$C$199+(($B$54)-$A47)*'Cálculos'!$C$98)/(('Cálculos'!$C$199+(($B$54)-$A47)*'Cálculos'!$C$98)+1400)+'Cálculos'!$C$123)*'Cálculos'!$C$267)+('Cálculos'!$C$185*(1+'Cálculos'!$C$190+$A47*('Cálculos'!$C$290=1)*'Cálculos'!$C$97+'Cálculos'!$C$305)+'Cálculos'!$C$195)*('Cálculos'!$C$269+'Cálculos'!$C$124*(1+2.78*('Cálculos'!$C$200+(($B$54)-$A47)*'Cálculos'!$C$98)/(('Cálculos'!$C$200+(($B$54)-$A47)*'Cálculos'!$C$98)+1400)+'Cálculos'!$C$122)*'Cálculos'!$C$274+'Cálculos'!$C$125*(1+2.78*('Cálculos'!$C$200+(($B$54)-$A47)*'Cálculos'!$C$98)/(('Cálculos'!$C$200+(($B$54)-$A47)*'Cálculos'!$C$98)+1400)+'Cálculos'!$C$123)*'Cálculos'!$C$279)+('Cálculos'!$C$200+(($B$54)-$A47)*'Cálculos'!$C$98)*('Cálculos'!$C$270+'Cálculos'!$C$124*(1+2.78*('Cálculos'!$C$200+(($B$54)-$A47)*'Cálculos'!$C$98)/(('Cálculos'!$C$200+(($B$54)-$A47)*'Cálculos'!$C$98)+1400)+'Cálculos'!$C$122)*'Cálculos'!$C$275+'Cálculos'!$C$125*(1+2.78*('Cálculos'!$C$200+(($B$54)-$A47)*'Cálculos'!$C$98)/(('Cálculos'!$C$200+(($B$54)-$A47)*'Cálculos'!$C$98)+1400)+'Cálculos'!$C$123)*'Cálculos'!$C$280)+('Cálculos'!$C$201*(1+'Cálculos'!$C$202+$A47*('Cálculos'!$C$290=2)*'Cálculos'!$C$101)+'Cálculos'!$C$203)*('Cálculos'!$C$271+'Cálculos'!$C$124*(1+2.78*('Cálculos'!$C$200+(($B$54)-$A47)*'Cálculos'!$C$98)/(('Cálculos'!$C$200+(($B$54)-$A47)*'Cálculos'!$C$98)+1400)+'Cálculos'!$C$122)*'Cálculos'!$C$276+'Cálculos'!$C$125*(1+2.78*('Cálculos'!$C$200+(($B$54)-$A47)*'Cálculos'!$C$98)/(('Cálculos'!$C$200+(($B$54)-$A47)*'Cálculos'!$C$98)+1400)+'Cálculos'!$C$123)*'Cálculos'!$C$281)+('Cálculos'!$C$204*(1+'Cálculos'!$C$205+$A47*('Cálculos'!$C$290=3)*'Cálculos'!$C$103)+'Cálculos'!$C$206)*('Cálculos'!$C$272+'Cálculos'!$C$124*(1+2.78*('Cálculos'!$C$200+(($B$54)-$A47)*'Cálculos'!$C$98)/(('Cálculos'!$C$200+(($B$54)-$A47)*'Cálculos'!$C$98)+1400)+'Cálculos'!$C$122)*'Cálculos'!$C$277+'Cálculos'!$C$125*(1+2.78*('Cálculos'!$C$200+(($B$54)-$A47)*'Cálculos'!$C$98)/(('Cálculos'!$C$200+(($B$54)-$A47)*'Cálculos'!$C$98)+1400)+'Cálculos'!$C$123)*'Cálculos'!$C$282)))</f>
        <v>0</v>
      </c>
    </row>
    <row r="48" ht="15.75" customHeight="1">
      <c r="A48" s="2">
        <v>42.0</v>
      </c>
      <c r="B48" s="30">
        <f>SUMPRODUCT(MAX(($A$6:$A$51&lt;=$A48)*($A$6:$A$51&lt;='Cálculos'!$C$294)*(($A48)-$A$6:$A$51&lt;='Cálculos'!$C$295)*(1+(('Cálculos'!$C$207+$A$6:$A$51*'Cálculos'!$C$95)-(('Cálculos'!$C$207+$A$6:$A$51*'Cálculos'!$C$95)&gt;1)*(('Cálculos'!$C$207+$A$6:$A$51*'Cálculos'!$C$95)-1))*('Cálculos'!$C$208+(($A48)-$A$6:$A$51)*'Cálculos'!$C$96))))</f>
        <v>4.44</v>
      </c>
      <c r="C48" s="2">
        <f>'Cálculos'!$C$303-$A48</f>
        <v>-22</v>
      </c>
      <c r="D48" s="31">
        <f>IF($C48&lt;0,0,SUMPRODUCT(MAX(($A$6:$A$51&lt;=$C48)*($A$6:$A$51&lt;='Cálculos'!$C$301)*(($C48)-$A$6:$A$51&lt;='Cálculos'!$C$297)*(('Cálculos'!$C$185*(1+'Cálculos'!$C$186+$A$6:$A$51*('Cálculos'!$C$290=1)*'Cálculos'!$C$97+'Cálculos'!$C$305)+'Cálculos'!$C$191)*('Cálculos'!$C$209+'Cálculos'!$C$124*(1+2.78*('Cálculos'!$C$196+(($C48)-$A$6:$A$51)*'Cálculos'!$C$98)/(('Cálculos'!$C$196+(($C48)-$A$6:$A$51)*'Cálculos'!$C$98)+1400)+'Cálculos'!$C$122)*'Cálculos'!$C$214+'Cálculos'!$C$125*(1+2.78*('Cálculos'!$C$196+(($C48)-$A$6:$A$51)*'Cálculos'!$C$98)/(('Cálculos'!$C$196+(($C48)-$A$6:$A$51)*'Cálculos'!$C$98)+1400)+'Cálculos'!$C$123)*'Cálculos'!$C$219)+('Cálculos'!$C$196+(($C48)-$A$6:$A$51)*'Cálculos'!$C$98)*('Cálculos'!$C$210+'Cálculos'!$C$124*(1+2.78*('Cálculos'!$C$196+(($C48)-$A$6:$A$51)*'Cálculos'!$C$98)/(('Cálculos'!$C$196+(($C48)-$A$6:$A$51)*'Cálculos'!$C$98)+1400)+'Cálculos'!$C$122)*'Cálculos'!$C$215+'Cálculos'!$C$125*(1+2.78*('Cálculos'!$C$196+(($C48)-$A$6:$A$51)*'Cálculos'!$C$98)/(('Cálculos'!$C$196+(($C48)-$A$6:$A$51)*'Cálculos'!$C$98)+1400)+'Cálculos'!$C$123)*'Cálculos'!$C$220)+('Cálculos'!$C$201*(1+'Cálculos'!$C$202+$A$6:$A$51*('Cálculos'!$C$290=2)*'Cálculos'!$C$101)+'Cálculos'!$C$203)*('Cálculos'!$C$211+'Cálculos'!$C$124*(1+2.78*('Cálculos'!$C$196+(($C48)-$A$6:$A$51)*'Cálculos'!$C$98)/(('Cálculos'!$C$196+(($C48)-$A$6:$A$51)*'Cálculos'!$C$98)+1400)+'Cálculos'!$C$122)*'Cálculos'!$C$216+'Cálculos'!$C$125*(1+2.78*('Cálculos'!$C$196+(($C48)-$A$6:$A$51)*'Cálculos'!$C$98)/(('Cálculos'!$C$196+(($C48)-$A$6:$A$51)*'Cálculos'!$C$98)+1400)+'Cálculos'!$C$123)*'Cálculos'!$C$221)+('Cálculos'!$C$204*(1+'Cálculos'!$C$205+$A$6:$A$51*('Cálculos'!$C$290=3)*'Cálculos'!$C$103)+'Cálculos'!$C$206)*('Cálculos'!$C$212+'Cálculos'!$C$124*(1+2.78*('Cálculos'!$C$196+(($C48)-$A$6:$A$51)*'Cálculos'!$C$98)/(('Cálculos'!$C$196+(($C48)-$A$6:$A$51)*'Cálculos'!$C$98)+1400)+'Cálculos'!$C$122)*'Cálculos'!$C$217+'Cálculos'!$C$125*(1+2.78*('Cálculos'!$C$196+(($C48)-$A$6:$A$51)*'Cálculos'!$C$98)/(('Cálculos'!$C$196+(($C48)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48)-$A$6:$A$51)*'Cálculos'!$C$98)/(('Cálculos'!$C$197+(($C48)-$A$6:$A$51)*'Cálculos'!$C$98)+1400)+'Cálculos'!$C$122)*'Cálculos'!$C$229+'Cálculos'!$C$125*(1+2.78*('Cálculos'!$C$197+(($C48)-$A$6:$A$51)*'Cálculos'!$C$98)/(('Cálculos'!$C$197+(($C48)-$A$6:$A$51)*'Cálculos'!$C$98)+1400)+'Cálculos'!$C$123)*'Cálculos'!$C$234)+('Cálculos'!$C$197+(($C48)-$A$6:$A$51)*'Cálculos'!$C$98)*('Cálculos'!$C$225+'Cálculos'!$C$124*(1+2.78*('Cálculos'!$C$197+(($C48)-$A$6:$A$51)*'Cálculos'!$C$98)/(('Cálculos'!$C$197+(($C48)-$A$6:$A$51)*'Cálculos'!$C$98)+1400)+'Cálculos'!$C$122)*'Cálculos'!$C$230+'Cálculos'!$C$125*(1+2.78*('Cálculos'!$C$197+(($C48)-$A$6:$A$51)*'Cálculos'!$C$98)/(('Cálculos'!$C$197+(($C48)-$A$6:$A$51)*'Cálculos'!$C$98)+1400)+'Cálculos'!$C$123)*'Cálculos'!$C$235)+('Cálculos'!$C$201*(1+'Cálculos'!$C$202+$A$6:$A$51*('Cálculos'!$C$290=2)*'Cálculos'!$C$101)+'Cálculos'!$C$203)*('Cálculos'!$C$226+'Cálculos'!$C$124*(1+2.78*('Cálculos'!$C$197+(($C48)-$A$6:$A$51)*'Cálculos'!$C$98)/(('Cálculos'!$C$197+(($C48)-$A$6:$A$51)*'Cálculos'!$C$98)+1400)+'Cálculos'!$C$122)*'Cálculos'!$C$231+'Cálculos'!$C$125*(1+2.78*('Cálculos'!$C$197+(($C48)-$A$6:$A$51)*'Cálculos'!$C$98)/(('Cálculos'!$C$197+(($C48)-$A$6:$A$51)*'Cálculos'!$C$98)+1400)+'Cálculos'!$C$123)*'Cálculos'!$C$236)+('Cálculos'!$C$204*(1+'Cálculos'!$C$205+$A$6:$A$51*('Cálculos'!$C$290=3)*'Cálculos'!$C$103)+'Cálculos'!$C$206)*('Cálculos'!$C$227+'Cálculos'!$C$124*(1+2.78*('Cálculos'!$C$197+(($C48)-$A$6:$A$51)*'Cálculos'!$C$98)/(('Cálculos'!$C$197+(($C48)-$A$6:$A$51)*'Cálculos'!$C$98)+1400)+'Cálculos'!$C$122)*'Cálculos'!$C$232+'Cálculos'!$C$125*(1+2.78*('Cálculos'!$C$197+(($C48)-$A$6:$A$51)*'Cálculos'!$C$98)/(('Cálculos'!$C$197+(($C48)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48)-$A$6:$A$51)*'Cálculos'!$C$98)/(('Cálculos'!$C$198+(($C48)-$A$6:$A$51)*'Cálculos'!$C$98)+1400)+'Cálculos'!$C$122)*'Cálculos'!$C$244+'Cálculos'!$C$125*(1+2.78*('Cálculos'!$C$198+(($C48)-$A$6:$A$51)*'Cálculos'!$C$98)/(('Cálculos'!$C$198+(($C48)-$A$6:$A$51)*'Cálculos'!$C$98)+1400)+'Cálculos'!$C$123)*'Cálculos'!$C$249)+('Cálculos'!$C$198+(($C48)-$A$6:$A$51)*'Cálculos'!$C$98)*('Cálculos'!$C$240+'Cálculos'!$C$124*(1+2.78*('Cálculos'!$C$198+(($C48)-$A$6:$A$51)*'Cálculos'!$C$98)/(('Cálculos'!$C$198+(($C48)-$A$6:$A$51)*'Cálculos'!$C$98)+1400)+'Cálculos'!$C$122)*'Cálculos'!$C$245+'Cálculos'!$C$125*(1+2.78*('Cálculos'!$C$198+(($C48)-$A$6:$A$51)*'Cálculos'!$C$98)/(('Cálculos'!$C$198+(($C48)-$A$6:$A$51)*'Cálculos'!$C$98)+1400)+'Cálculos'!$C$123)*'Cálculos'!$C$250)+('Cálculos'!$C$201*(1+'Cálculos'!$C$202+$A$6:$A$51*('Cálculos'!$C$290=2)*'Cálculos'!$C$101)+'Cálculos'!$C$203)*('Cálculos'!$C$241+'Cálculos'!$C$124*(1+2.78*('Cálculos'!$C$198+(($C48)-$A$6:$A$51)*'Cálculos'!$C$98)/(('Cálculos'!$C$198+(($C48)-$A$6:$A$51)*'Cálculos'!$C$98)+1400)+'Cálculos'!$C$122)*'Cálculos'!$C$246+'Cálculos'!$C$125*(1+2.78*('Cálculos'!$C$198+(($C48)-$A$6:$A$51)*'Cálculos'!$C$98)/(('Cálculos'!$C$198+(($C48)-$A$6:$A$51)*'Cálculos'!$C$98)+1400)+'Cálculos'!$C$123)*'Cálculos'!$C$251)+('Cálculos'!$C$204*(1+'Cálculos'!$C$205+$A$6:$A$51*('Cálculos'!$C$290=3)*'Cálculos'!$C$103)+'Cálculos'!$C$206)*('Cálculos'!$C$242+'Cálculos'!$C$124*(1+2.78*('Cálculos'!$C$198+(($C48)-$A$6:$A$51)*'Cálculos'!$C$98)/(('Cálculos'!$C$198+(($C48)-$A$6:$A$51)*'Cálculos'!$C$98)+1400)+'Cálculos'!$C$122)*'Cálculos'!$C$247+'Cálculos'!$C$125*(1+2.78*('Cálculos'!$C$198+(($C48)-$A$6:$A$51)*'Cálculos'!$C$98)/(('Cálculos'!$C$198+(($C48)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48)-$A$6:$A$51)*'Cálculos'!$C$98)/(('Cálculos'!$C$199+(($C48)-$A$6:$A$51)*'Cálculos'!$C$98)+1400)+'Cálculos'!$C$122)*'Cálculos'!$C$259+'Cálculos'!$C$125*(1+2.78*('Cálculos'!$C$199+(($C48)-$A$6:$A$51)*'Cálculos'!$C$98)/(('Cálculos'!$C$199+(($C48)-$A$6:$A$51)*'Cálculos'!$C$98)+1400)+'Cálculos'!$C$123)*'Cálculos'!$C$264)+('Cálculos'!$C$199+(($C48)-$A$6:$A$51)*'Cálculos'!$C$98)*('Cálculos'!$C$255+'Cálculos'!$C$124*(1+2.78*('Cálculos'!$C$199+(($C48)-$A$6:$A$51)*'Cálculos'!$C$98)/(('Cálculos'!$C$199+(($C48)-$A$6:$A$51)*'Cálculos'!$C$98)+1400)+'Cálculos'!$C$122)*'Cálculos'!$C$260+'Cálculos'!$C$125*(1+2.78*('Cálculos'!$C$199+(($C48)-$A$6:$A$51)*'Cálculos'!$C$98)/(('Cálculos'!$C$199+(($C48)-$A$6:$A$51)*'Cálculos'!$C$98)+1400)+'Cálculos'!$C$123)*'Cálculos'!$C$265)+('Cálculos'!$C$201*(1+'Cálculos'!$C$202+$A$6:$A$51*('Cálculos'!$C$290=2)*'Cálculos'!$C$101)+'Cálculos'!$C$203)*('Cálculos'!$C$256+'Cálculos'!$C$124*(1+2.78*('Cálculos'!$C$199+(($C48)-$A$6:$A$51)*'Cálculos'!$C$98)/(('Cálculos'!$C$199+(($C48)-$A$6:$A$51)*'Cálculos'!$C$98)+1400)+'Cálculos'!$C$122)*'Cálculos'!$C$261+'Cálculos'!$C$125*(1+2.78*('Cálculos'!$C$199+(($C48)-$A$6:$A$51)*'Cálculos'!$C$98)/(('Cálculos'!$C$199+(($C48)-$A$6:$A$51)*'Cálculos'!$C$98)+1400)+'Cálculos'!$C$123)*'Cálculos'!$C$266)+('Cálculos'!$C$204*(1+'Cálculos'!$C$205+$A$6:$A$51*('Cálculos'!$C$290=3)*'Cálculos'!$C$103)+'Cálculos'!$C$206)*('Cálculos'!$C$257+'Cálculos'!$C$124*(1+2.78*('Cálculos'!$C$199+(($C48)-$A$6:$A$51)*'Cálculos'!$C$98)/(('Cálculos'!$C$199+(($C48)-$A$6:$A$51)*'Cálculos'!$C$98)+1400)+'Cálculos'!$C$122)*'Cálculos'!$C$262+'Cálculos'!$C$125*(1+2.78*('Cálculos'!$C$199+(($C48)-$A$6:$A$51)*'Cálculos'!$C$98)/(('Cálculos'!$C$199+(($C48)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48)-$A$6:$A$51)*'Cálculos'!$C$98)/(('Cálculos'!$C$200+(($C48)-$A$6:$A$51)*'Cálculos'!$C$98)+1400)+'Cálculos'!$C$122)*'Cálculos'!$C$274+'Cálculos'!$C$125*(1+2.78*('Cálculos'!$C$200+(($C48)-$A$6:$A$51)*'Cálculos'!$C$98)/(('Cálculos'!$C$200+(($C48)-$A$6:$A$51)*'Cálculos'!$C$98)+1400)+'Cálculos'!$C$123)*'Cálculos'!$C$279)+('Cálculos'!$C$200+(($C48)-$A$6:$A$51)*'Cálculos'!$C$98)*('Cálculos'!$C$270+'Cálculos'!$C$124*(1+2.78*('Cálculos'!$C$200+(($C48)-$A$6:$A$51)*'Cálculos'!$C$98)/(('Cálculos'!$C$200+(($C48)-$A$6:$A$51)*'Cálculos'!$C$98)+1400)+'Cálculos'!$C$122)*'Cálculos'!$C$275+'Cálculos'!$C$125*(1+2.78*('Cálculos'!$C$200+(($C48)-$A$6:$A$51)*'Cálculos'!$C$98)/(('Cálculos'!$C$200+(($C48)-$A$6:$A$51)*'Cálculos'!$C$98)+1400)+'Cálculos'!$C$123)*'Cálculos'!$C$280)+('Cálculos'!$C$201*(1+'Cálculos'!$C$202+$A$6:$A$51*('Cálculos'!$C$290=2)*'Cálculos'!$C$101)+'Cálculos'!$C$203)*('Cálculos'!$C$271+'Cálculos'!$C$124*(1+2.78*('Cálculos'!$C$200+(($C48)-$A$6:$A$51)*'Cálculos'!$C$98)/(('Cálculos'!$C$200+(($C48)-$A$6:$A$51)*'Cálculos'!$C$98)+1400)+'Cálculos'!$C$122)*'Cálculos'!$C$276+'Cálculos'!$C$125*(1+2.78*('Cálculos'!$C$200+(($C48)-$A$6:$A$51)*'Cálculos'!$C$98)/(('Cálculos'!$C$200+(($C48)-$A$6:$A$51)*'Cálculos'!$C$98)+1400)+'Cálculos'!$C$123)*'Cálculos'!$C$281)+('Cálculos'!$C$204*(1+'Cálculos'!$C$205+$A$6:$A$51*('Cálculos'!$C$290=3)*'Cálculos'!$C$103)+'Cálculos'!$C$206)*('Cálculos'!$C$272+'Cálculos'!$C$124*(1+2.78*('Cálculos'!$C$200+(($C48)-$A$6:$A$51)*'Cálculos'!$C$98)/(('Cálculos'!$C$200+(($C48)-$A$6:$A$51)*'Cálculos'!$C$98)+1400)+'Cálculos'!$C$122)*'Cálculos'!$C$277+'Cálculos'!$C$125*(1+2.78*('Cálculos'!$C$200+(($C48)-$A$6:$A$51)*'Cálculos'!$C$98)/(('Cálculos'!$C$200+(($C48)-$A$6:$A$51)*'Cálculos'!$C$98)+1400)+'Cálculos'!$C$123)*'Cálculos'!$C$282)))))</f>
        <v>0</v>
      </c>
      <c r="E48" s="32">
        <f>IF(OR($C48&lt;0,'Cálculos'!$C$6=""),0,$B48*$D48)</f>
        <v>0</v>
      </c>
      <c r="F48" s="2"/>
      <c r="G48" s="30">
        <f>($A48&lt;=$B$53)*($A48&lt;='Cálculos'!$C$294)*(($B$53)-$A48&lt;='Cálculos'!$C$295)*(1+MIN(('Cálculos'!$C$207+$A48*'Cálculos'!$C$95),1)*('Cálculos'!$C$208+(($B$53)-$A48)*'Cálculos'!$C$96))</f>
        <v>0</v>
      </c>
      <c r="H48" s="31">
        <f>IF($B$54&lt;0,0,($A48&lt;=$B$54)*($A48&lt;='Cálculos'!$C$301)*(($B$54)-$A48&lt;='Cálculos'!$C$297)*(('Cálculos'!$C$185*(1+'Cálculos'!$C$186+$A48*('Cálculos'!$C$290=1)*'Cálculos'!$C$97+'Cálculos'!$C$305)+'Cálculos'!$C$191)*('Cálculos'!$C$209+'Cálculos'!$C$124*(1+2.78*('Cálculos'!$C$196+(($B$54)-$A48)*'Cálculos'!$C$98)/(('Cálculos'!$C$196+(($B$54)-$A48)*'Cálculos'!$C$98)+1400)+'Cálculos'!$C$122)*'Cálculos'!$C$214+'Cálculos'!$C$125*(1+2.78*('Cálculos'!$C$196+(($B$54)-$A48)*'Cálculos'!$C$98)/(('Cálculos'!$C$196+(($B$54)-$A48)*'Cálculos'!$C$98)+1400)+'Cálculos'!$C$123)*'Cálculos'!$C$219)+('Cálculos'!$C$196+(($B$54)-$A48)*'Cálculos'!$C$98)*('Cálculos'!$C$210+'Cálculos'!$C$124*(1+2.78*('Cálculos'!$C$196+(($B$54)-$A48)*'Cálculos'!$C$98)/(('Cálculos'!$C$196+(($B$54)-$A48)*'Cálculos'!$C$98)+1400)+'Cálculos'!$C$122)*'Cálculos'!$C$215+'Cálculos'!$C$125*(1+2.78*('Cálculos'!$C$196+(($B$54)-$A48)*'Cálculos'!$C$98)/(('Cálculos'!$C$196+(($B$54)-$A48)*'Cálculos'!$C$98)+1400)+'Cálculos'!$C$123)*'Cálculos'!$C$220)+('Cálculos'!$C$201*(1+'Cálculos'!$C$202+$A48*('Cálculos'!$C$290=2)*'Cálculos'!$C$101)+'Cálculos'!$C$203)*('Cálculos'!$C$211+'Cálculos'!$C$124*(1+2.78*('Cálculos'!$C$196+(($B$54)-$A48)*'Cálculos'!$C$98)/(('Cálculos'!$C$196+(($B$54)-$A48)*'Cálculos'!$C$98)+1400)+'Cálculos'!$C$122)*'Cálculos'!$C$216+'Cálculos'!$C$125*(1+2.78*('Cálculos'!$C$196+(($B$54)-$A48)*'Cálculos'!$C$98)/(('Cálculos'!$C$196+(($B$54)-$A48)*'Cálculos'!$C$98)+1400)+'Cálculos'!$C$123)*'Cálculos'!$C$221)+('Cálculos'!$C$204*(1+'Cálculos'!$C$205+$A48*('Cálculos'!$C$290=3)*'Cálculos'!$C$103)+'Cálculos'!$C$206)*('Cálculos'!$C$212+'Cálculos'!$C$124*(1+2.78*('Cálculos'!$C$196+(($B$54)-$A48)*'Cálculos'!$C$98)/(('Cálculos'!$C$196+(($B$54)-$A48)*'Cálculos'!$C$98)+1400)+'Cálculos'!$C$122)*'Cálculos'!$C$217+'Cálculos'!$C$125*(1+2.78*('Cálculos'!$C$196+(($B$54)-$A48)*'Cálculos'!$C$98)/(('Cálculos'!$C$196+(($B$54)-$A48)*'Cálculos'!$C$98)+1400)+'Cálculos'!$C$123)*'Cálculos'!$C$222)+('Cálculos'!$C$185*(1+'Cálculos'!$C$187+$A48*('Cálculos'!$C$290=1)*'Cálculos'!$C$97+'Cálculos'!$C$305)+'Cálculos'!$C$192)*('Cálculos'!$C$224+'Cálculos'!$C$124*(1+2.78*('Cálculos'!$C$197+(($B$54)-$A48)*'Cálculos'!$C$98)/(('Cálculos'!$C$197+(($B$54)-$A48)*'Cálculos'!$C$98)+1400)+'Cálculos'!$C$122)*'Cálculos'!$C$229+'Cálculos'!$C$125*(1+2.78*('Cálculos'!$C$197+(($B$54)-$A48)*'Cálculos'!$C$98)/(('Cálculos'!$C$197+(($B$54)-$A48)*'Cálculos'!$C$98)+1400)+'Cálculos'!$C$123)*'Cálculos'!$C$234)+('Cálculos'!$C$197+(($B$54)-$A48)*'Cálculos'!$C$98)*('Cálculos'!$C$225+'Cálculos'!$C$124*(1+2.78*('Cálculos'!$C$197+(($B$54)-$A48)*'Cálculos'!$C$98)/(('Cálculos'!$C$197+(($B$54)-$A48)*'Cálculos'!$C$98)+1400)+'Cálculos'!$C$122)*'Cálculos'!$C$230+'Cálculos'!$C$125*(1+2.78*('Cálculos'!$C$197+(($B$54)-$A48)*'Cálculos'!$C$98)/(('Cálculos'!$C$197+(($B$54)-$A48)*'Cálculos'!$C$98)+1400)+'Cálculos'!$C$123)*'Cálculos'!$C$235)+('Cálculos'!$C$201*(1+'Cálculos'!$C$202+$A48*('Cálculos'!$C$290=2)*'Cálculos'!$C$101)+'Cálculos'!$C$203)*('Cálculos'!$C$226+'Cálculos'!$C$124*(1+2.78*('Cálculos'!$C$197+(($B$54)-$A48)*'Cálculos'!$C$98)/(('Cálculos'!$C$197+(($B$54)-$A48)*'Cálculos'!$C$98)+1400)+'Cálculos'!$C$122)*'Cálculos'!$C$231+'Cálculos'!$C$125*(1+2.78*('Cálculos'!$C$197+(($B$54)-$A48)*'Cálculos'!$C$98)/(('Cálculos'!$C$197+(($B$54)-$A48)*'Cálculos'!$C$98)+1400)+'Cálculos'!$C$123)*'Cálculos'!$C$236)+('Cálculos'!$C$204*(1+'Cálculos'!$C$205+$A48*('Cálculos'!$C$290=3)*'Cálculos'!$C$103)+'Cálculos'!$C$206)*('Cálculos'!$C$227+'Cálculos'!$C$124*(1+2.78*('Cálculos'!$C$197+(($B$54)-$A48)*'Cálculos'!$C$98)/(('Cálculos'!$C$197+(($B$54)-$A48)*'Cálculos'!$C$98)+1400)+'Cálculos'!$C$122)*'Cálculos'!$C$232+'Cálculos'!$C$125*(1+2.78*('Cálculos'!$C$197+(($B$54)-$A48)*'Cálculos'!$C$98)/(('Cálculos'!$C$197+(($B$54)-$A48)*'Cálculos'!$C$98)+1400)+'Cálculos'!$C$123)*'Cálculos'!$C$237)+('Cálculos'!$C$185*(1+'Cálculos'!$C$188+$A48*('Cálculos'!$C$290=1)*'Cálculos'!$C$97+'Cálculos'!$C$305)+'Cálculos'!$C$193)*('Cálculos'!$C$239+'Cálculos'!$C$124*(1+2.78*('Cálculos'!$C$198+(($B$54)-$A48)*'Cálculos'!$C$98)/(('Cálculos'!$C$198+(($B$54)-$A48)*'Cálculos'!$C$98)+1400)+'Cálculos'!$C$122)*'Cálculos'!$C$244+'Cálculos'!$C$125*(1+2.78*('Cálculos'!$C$198+(($B$54)-$A48)*'Cálculos'!$C$98)/(('Cálculos'!$C$198+(($B$54)-$A48)*'Cálculos'!$C$98)+1400)+'Cálculos'!$C$123)*'Cálculos'!$C$249)+('Cálculos'!$C$198+(($B$54)-$A48)*'Cálculos'!$C$98)*('Cálculos'!$C$240+'Cálculos'!$C$124*(1+2.78*('Cálculos'!$C$198+(($B$54)-$A48)*'Cálculos'!$C$98)/(('Cálculos'!$C$198+(($B$54)-$A48)*'Cálculos'!$C$98)+1400)+'Cálculos'!$C$122)*'Cálculos'!$C$245+'Cálculos'!$C$125*(1+2.78*('Cálculos'!$C$198+(($B$54)-$A48)*'Cálculos'!$C$98)/(('Cálculos'!$C$198+(($B$54)-$A48)*'Cálculos'!$C$98)+1400)+'Cálculos'!$C$123)*'Cálculos'!$C$250)+('Cálculos'!$C$201*(1+'Cálculos'!$C$202+$A48*('Cálculos'!$C$290=2)*'Cálculos'!$C$101)+'Cálculos'!$C$203)*('Cálculos'!$C$241+'Cálculos'!$C$124*(1+2.78*('Cálculos'!$C$198+(($B$54)-$A48)*'Cálculos'!$C$98)/(('Cálculos'!$C$198+(($B$54)-$A48)*'Cálculos'!$C$98)+1400)+'Cálculos'!$C$122)*'Cálculos'!$C$246+'Cálculos'!$C$125*(1+2.78*('Cálculos'!$C$198+(($B$54)-$A48)*'Cálculos'!$C$98)/(('Cálculos'!$C$198+(($B$54)-$A48)*'Cálculos'!$C$98)+1400)+'Cálculos'!$C$123)*'Cálculos'!$C$251)+('Cálculos'!$C$204*(1+'Cálculos'!$C$205+$A48*('Cálculos'!$C$290=3)*'Cálculos'!$C$103)+'Cálculos'!$C$206)*('Cálculos'!$C$242+'Cálculos'!$C$124*(1+2.78*('Cálculos'!$C$198+(($B$54)-$A48)*'Cálculos'!$C$98)/(('Cálculos'!$C$198+(($B$54)-$A48)*'Cálculos'!$C$98)+1400)+'Cálculos'!$C$122)*'Cálculos'!$C$247+'Cálculos'!$C$125*(1+2.78*('Cálculos'!$C$198+(($B$54)-$A48)*'Cálculos'!$C$98)/(('Cálculos'!$C$198+(($B$54)-$A48)*'Cálculos'!$C$98)+1400)+'Cálculos'!$C$123)*'Cálculos'!$C$252)+('Cálculos'!$C$185*(1+'Cálculos'!$C$189+$A48*('Cálculos'!$C$290=1)*'Cálculos'!$C$97+'Cálculos'!$C$305)+'Cálculos'!$C$194)*('Cálculos'!$C$254+'Cálculos'!$C$124*(1+2.78*('Cálculos'!$C$199+(($B$54)-$A48)*'Cálculos'!$C$98)/(('Cálculos'!$C$199+(($B$54)-$A48)*'Cálculos'!$C$98)+1400)+'Cálculos'!$C$122)*'Cálculos'!$C$259+'Cálculos'!$C$125*(1+2.78*('Cálculos'!$C$199+(($B$54)-$A48)*'Cálculos'!$C$98)/(('Cálculos'!$C$199+(($B$54)-$A48)*'Cálculos'!$C$98)+1400)+'Cálculos'!$C$123)*'Cálculos'!$C$264)+('Cálculos'!$C$199+(($B$54)-$A48)*'Cálculos'!$C$98)*('Cálculos'!$C$255+'Cálculos'!$C$124*(1+2.78*('Cálculos'!$C$199+(($B$54)-$A48)*'Cálculos'!$C$98)/(('Cálculos'!$C$199+(($B$54)-$A48)*'Cálculos'!$C$98)+1400)+'Cálculos'!$C$122)*'Cálculos'!$C$260+'Cálculos'!$C$125*(1+2.78*('Cálculos'!$C$199+(($B$54)-$A48)*'Cálculos'!$C$98)/(('Cálculos'!$C$199+(($B$54)-$A48)*'Cálculos'!$C$98)+1400)+'Cálculos'!$C$123)*'Cálculos'!$C$265)+('Cálculos'!$C$201*(1+'Cálculos'!$C$202+$A48*('Cálculos'!$C$290=2)*'Cálculos'!$C$101)+'Cálculos'!$C$203)*('Cálculos'!$C$256+'Cálculos'!$C$124*(1+2.78*('Cálculos'!$C$199+(($B$54)-$A48)*'Cálculos'!$C$98)/(('Cálculos'!$C$199+(($B$54)-$A48)*'Cálculos'!$C$98)+1400)+'Cálculos'!$C$122)*'Cálculos'!$C$261+'Cálculos'!$C$125*(1+2.78*('Cálculos'!$C$199+(($B$54)-$A48)*'Cálculos'!$C$98)/(('Cálculos'!$C$199+(($B$54)-$A48)*'Cálculos'!$C$98)+1400)+'Cálculos'!$C$123)*'Cálculos'!$C$266)+('Cálculos'!$C$204*(1+'Cálculos'!$C$205+$A48*('Cálculos'!$C$290=3)*'Cálculos'!$C$103)+'Cálculos'!$C$206)*('Cálculos'!$C$257+'Cálculos'!$C$124*(1+2.78*('Cálculos'!$C$199+(($B$54)-$A48)*'Cálculos'!$C$98)/(('Cálculos'!$C$199+(($B$54)-$A48)*'Cálculos'!$C$98)+1400)+'Cálculos'!$C$122)*'Cálculos'!$C$262+'Cálculos'!$C$125*(1+2.78*('Cálculos'!$C$199+(($B$54)-$A48)*'Cálculos'!$C$98)/(('Cálculos'!$C$199+(($B$54)-$A48)*'Cálculos'!$C$98)+1400)+'Cálculos'!$C$123)*'Cálculos'!$C$267)+('Cálculos'!$C$185*(1+'Cálculos'!$C$190+$A48*('Cálculos'!$C$290=1)*'Cálculos'!$C$97+'Cálculos'!$C$305)+'Cálculos'!$C$195)*('Cálculos'!$C$269+'Cálculos'!$C$124*(1+2.78*('Cálculos'!$C$200+(($B$54)-$A48)*'Cálculos'!$C$98)/(('Cálculos'!$C$200+(($B$54)-$A48)*'Cálculos'!$C$98)+1400)+'Cálculos'!$C$122)*'Cálculos'!$C$274+'Cálculos'!$C$125*(1+2.78*('Cálculos'!$C$200+(($B$54)-$A48)*'Cálculos'!$C$98)/(('Cálculos'!$C$200+(($B$54)-$A48)*'Cálculos'!$C$98)+1400)+'Cálculos'!$C$123)*'Cálculos'!$C$279)+('Cálculos'!$C$200+(($B$54)-$A48)*'Cálculos'!$C$98)*('Cálculos'!$C$270+'Cálculos'!$C$124*(1+2.78*('Cálculos'!$C$200+(($B$54)-$A48)*'Cálculos'!$C$98)/(('Cálculos'!$C$200+(($B$54)-$A48)*'Cálculos'!$C$98)+1400)+'Cálculos'!$C$122)*'Cálculos'!$C$275+'Cálculos'!$C$125*(1+2.78*('Cálculos'!$C$200+(($B$54)-$A48)*'Cálculos'!$C$98)/(('Cálculos'!$C$200+(($B$54)-$A48)*'Cálculos'!$C$98)+1400)+'Cálculos'!$C$123)*'Cálculos'!$C$280)+('Cálculos'!$C$201*(1+'Cálculos'!$C$202+$A48*('Cálculos'!$C$290=2)*'Cálculos'!$C$101)+'Cálculos'!$C$203)*('Cálculos'!$C$271+'Cálculos'!$C$124*(1+2.78*('Cálculos'!$C$200+(($B$54)-$A48)*'Cálculos'!$C$98)/(('Cálculos'!$C$200+(($B$54)-$A48)*'Cálculos'!$C$98)+1400)+'Cálculos'!$C$122)*'Cálculos'!$C$276+'Cálculos'!$C$125*(1+2.78*('Cálculos'!$C$200+(($B$54)-$A48)*'Cálculos'!$C$98)/(('Cálculos'!$C$200+(($B$54)-$A48)*'Cálculos'!$C$98)+1400)+'Cálculos'!$C$123)*'Cálculos'!$C$281)+('Cálculos'!$C$204*(1+'Cálculos'!$C$205+$A48*('Cálculos'!$C$290=3)*'Cálculos'!$C$103)+'Cálculos'!$C$206)*('Cálculos'!$C$272+'Cálculos'!$C$124*(1+2.78*('Cálculos'!$C$200+(($B$54)-$A48)*'Cálculos'!$C$98)/(('Cálculos'!$C$200+(($B$54)-$A48)*'Cálculos'!$C$98)+1400)+'Cálculos'!$C$122)*'Cálculos'!$C$277+'Cálculos'!$C$125*(1+2.78*('Cálculos'!$C$200+(($B$54)-$A48)*'Cálculos'!$C$98)/(('Cálculos'!$C$200+(($B$54)-$A48)*'Cálculos'!$C$98)+1400)+'Cálculos'!$C$123)*'Cálculos'!$C$282)))</f>
        <v>0</v>
      </c>
    </row>
    <row r="49" ht="15.75" customHeight="1">
      <c r="A49" s="2">
        <v>43.0</v>
      </c>
      <c r="B49" s="30">
        <f>SUMPRODUCT(MAX(($A$6:$A$51&lt;=$A49)*($A$6:$A$51&lt;='Cálculos'!$C$294)*(($A49)-$A$6:$A$51&lt;='Cálculos'!$C$295)*(1+(('Cálculos'!$C$207+$A$6:$A$51*'Cálculos'!$C$95)-(('Cálculos'!$C$207+$A$6:$A$51*'Cálculos'!$C$95)&gt;1)*(('Cálculos'!$C$207+$A$6:$A$51*'Cálculos'!$C$95)-1))*('Cálculos'!$C$208+(($A49)-$A$6:$A$51)*'Cálculos'!$C$96))))</f>
        <v>4.44</v>
      </c>
      <c r="C49" s="2">
        <f>'Cálculos'!$C$303-$A49</f>
        <v>-23</v>
      </c>
      <c r="D49" s="31">
        <f>IF($C49&lt;0,0,SUMPRODUCT(MAX(($A$6:$A$51&lt;=$C49)*($A$6:$A$51&lt;='Cálculos'!$C$301)*(($C49)-$A$6:$A$51&lt;='Cálculos'!$C$297)*(('Cálculos'!$C$185*(1+'Cálculos'!$C$186+$A$6:$A$51*('Cálculos'!$C$290=1)*'Cálculos'!$C$97+'Cálculos'!$C$305)+'Cálculos'!$C$191)*('Cálculos'!$C$209+'Cálculos'!$C$124*(1+2.78*('Cálculos'!$C$196+(($C49)-$A$6:$A$51)*'Cálculos'!$C$98)/(('Cálculos'!$C$196+(($C49)-$A$6:$A$51)*'Cálculos'!$C$98)+1400)+'Cálculos'!$C$122)*'Cálculos'!$C$214+'Cálculos'!$C$125*(1+2.78*('Cálculos'!$C$196+(($C49)-$A$6:$A$51)*'Cálculos'!$C$98)/(('Cálculos'!$C$196+(($C49)-$A$6:$A$51)*'Cálculos'!$C$98)+1400)+'Cálculos'!$C$123)*'Cálculos'!$C$219)+('Cálculos'!$C$196+(($C49)-$A$6:$A$51)*'Cálculos'!$C$98)*('Cálculos'!$C$210+'Cálculos'!$C$124*(1+2.78*('Cálculos'!$C$196+(($C49)-$A$6:$A$51)*'Cálculos'!$C$98)/(('Cálculos'!$C$196+(($C49)-$A$6:$A$51)*'Cálculos'!$C$98)+1400)+'Cálculos'!$C$122)*'Cálculos'!$C$215+'Cálculos'!$C$125*(1+2.78*('Cálculos'!$C$196+(($C49)-$A$6:$A$51)*'Cálculos'!$C$98)/(('Cálculos'!$C$196+(($C49)-$A$6:$A$51)*'Cálculos'!$C$98)+1400)+'Cálculos'!$C$123)*'Cálculos'!$C$220)+('Cálculos'!$C$201*(1+'Cálculos'!$C$202+$A$6:$A$51*('Cálculos'!$C$290=2)*'Cálculos'!$C$101)+'Cálculos'!$C$203)*('Cálculos'!$C$211+'Cálculos'!$C$124*(1+2.78*('Cálculos'!$C$196+(($C49)-$A$6:$A$51)*'Cálculos'!$C$98)/(('Cálculos'!$C$196+(($C49)-$A$6:$A$51)*'Cálculos'!$C$98)+1400)+'Cálculos'!$C$122)*'Cálculos'!$C$216+'Cálculos'!$C$125*(1+2.78*('Cálculos'!$C$196+(($C49)-$A$6:$A$51)*'Cálculos'!$C$98)/(('Cálculos'!$C$196+(($C49)-$A$6:$A$51)*'Cálculos'!$C$98)+1400)+'Cálculos'!$C$123)*'Cálculos'!$C$221)+('Cálculos'!$C$204*(1+'Cálculos'!$C$205+$A$6:$A$51*('Cálculos'!$C$290=3)*'Cálculos'!$C$103)+'Cálculos'!$C$206)*('Cálculos'!$C$212+'Cálculos'!$C$124*(1+2.78*('Cálculos'!$C$196+(($C49)-$A$6:$A$51)*'Cálculos'!$C$98)/(('Cálculos'!$C$196+(($C49)-$A$6:$A$51)*'Cálculos'!$C$98)+1400)+'Cálculos'!$C$122)*'Cálculos'!$C$217+'Cálculos'!$C$125*(1+2.78*('Cálculos'!$C$196+(($C49)-$A$6:$A$51)*'Cálculos'!$C$98)/(('Cálculos'!$C$196+(($C49)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49)-$A$6:$A$51)*'Cálculos'!$C$98)/(('Cálculos'!$C$197+(($C49)-$A$6:$A$51)*'Cálculos'!$C$98)+1400)+'Cálculos'!$C$122)*'Cálculos'!$C$229+'Cálculos'!$C$125*(1+2.78*('Cálculos'!$C$197+(($C49)-$A$6:$A$51)*'Cálculos'!$C$98)/(('Cálculos'!$C$197+(($C49)-$A$6:$A$51)*'Cálculos'!$C$98)+1400)+'Cálculos'!$C$123)*'Cálculos'!$C$234)+('Cálculos'!$C$197+(($C49)-$A$6:$A$51)*'Cálculos'!$C$98)*('Cálculos'!$C$225+'Cálculos'!$C$124*(1+2.78*('Cálculos'!$C$197+(($C49)-$A$6:$A$51)*'Cálculos'!$C$98)/(('Cálculos'!$C$197+(($C49)-$A$6:$A$51)*'Cálculos'!$C$98)+1400)+'Cálculos'!$C$122)*'Cálculos'!$C$230+'Cálculos'!$C$125*(1+2.78*('Cálculos'!$C$197+(($C49)-$A$6:$A$51)*'Cálculos'!$C$98)/(('Cálculos'!$C$197+(($C49)-$A$6:$A$51)*'Cálculos'!$C$98)+1400)+'Cálculos'!$C$123)*'Cálculos'!$C$235)+('Cálculos'!$C$201*(1+'Cálculos'!$C$202+$A$6:$A$51*('Cálculos'!$C$290=2)*'Cálculos'!$C$101)+'Cálculos'!$C$203)*('Cálculos'!$C$226+'Cálculos'!$C$124*(1+2.78*('Cálculos'!$C$197+(($C49)-$A$6:$A$51)*'Cálculos'!$C$98)/(('Cálculos'!$C$197+(($C49)-$A$6:$A$51)*'Cálculos'!$C$98)+1400)+'Cálculos'!$C$122)*'Cálculos'!$C$231+'Cálculos'!$C$125*(1+2.78*('Cálculos'!$C$197+(($C49)-$A$6:$A$51)*'Cálculos'!$C$98)/(('Cálculos'!$C$197+(($C49)-$A$6:$A$51)*'Cálculos'!$C$98)+1400)+'Cálculos'!$C$123)*'Cálculos'!$C$236)+('Cálculos'!$C$204*(1+'Cálculos'!$C$205+$A$6:$A$51*('Cálculos'!$C$290=3)*'Cálculos'!$C$103)+'Cálculos'!$C$206)*('Cálculos'!$C$227+'Cálculos'!$C$124*(1+2.78*('Cálculos'!$C$197+(($C49)-$A$6:$A$51)*'Cálculos'!$C$98)/(('Cálculos'!$C$197+(($C49)-$A$6:$A$51)*'Cálculos'!$C$98)+1400)+'Cálculos'!$C$122)*'Cálculos'!$C$232+'Cálculos'!$C$125*(1+2.78*('Cálculos'!$C$197+(($C49)-$A$6:$A$51)*'Cálculos'!$C$98)/(('Cálculos'!$C$197+(($C49)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49)-$A$6:$A$51)*'Cálculos'!$C$98)/(('Cálculos'!$C$198+(($C49)-$A$6:$A$51)*'Cálculos'!$C$98)+1400)+'Cálculos'!$C$122)*'Cálculos'!$C$244+'Cálculos'!$C$125*(1+2.78*('Cálculos'!$C$198+(($C49)-$A$6:$A$51)*'Cálculos'!$C$98)/(('Cálculos'!$C$198+(($C49)-$A$6:$A$51)*'Cálculos'!$C$98)+1400)+'Cálculos'!$C$123)*'Cálculos'!$C$249)+('Cálculos'!$C$198+(($C49)-$A$6:$A$51)*'Cálculos'!$C$98)*('Cálculos'!$C$240+'Cálculos'!$C$124*(1+2.78*('Cálculos'!$C$198+(($C49)-$A$6:$A$51)*'Cálculos'!$C$98)/(('Cálculos'!$C$198+(($C49)-$A$6:$A$51)*'Cálculos'!$C$98)+1400)+'Cálculos'!$C$122)*'Cálculos'!$C$245+'Cálculos'!$C$125*(1+2.78*('Cálculos'!$C$198+(($C49)-$A$6:$A$51)*'Cálculos'!$C$98)/(('Cálculos'!$C$198+(($C49)-$A$6:$A$51)*'Cálculos'!$C$98)+1400)+'Cálculos'!$C$123)*'Cálculos'!$C$250)+('Cálculos'!$C$201*(1+'Cálculos'!$C$202+$A$6:$A$51*('Cálculos'!$C$290=2)*'Cálculos'!$C$101)+'Cálculos'!$C$203)*('Cálculos'!$C$241+'Cálculos'!$C$124*(1+2.78*('Cálculos'!$C$198+(($C49)-$A$6:$A$51)*'Cálculos'!$C$98)/(('Cálculos'!$C$198+(($C49)-$A$6:$A$51)*'Cálculos'!$C$98)+1400)+'Cálculos'!$C$122)*'Cálculos'!$C$246+'Cálculos'!$C$125*(1+2.78*('Cálculos'!$C$198+(($C49)-$A$6:$A$51)*'Cálculos'!$C$98)/(('Cálculos'!$C$198+(($C49)-$A$6:$A$51)*'Cálculos'!$C$98)+1400)+'Cálculos'!$C$123)*'Cálculos'!$C$251)+('Cálculos'!$C$204*(1+'Cálculos'!$C$205+$A$6:$A$51*('Cálculos'!$C$290=3)*'Cálculos'!$C$103)+'Cálculos'!$C$206)*('Cálculos'!$C$242+'Cálculos'!$C$124*(1+2.78*('Cálculos'!$C$198+(($C49)-$A$6:$A$51)*'Cálculos'!$C$98)/(('Cálculos'!$C$198+(($C49)-$A$6:$A$51)*'Cálculos'!$C$98)+1400)+'Cálculos'!$C$122)*'Cálculos'!$C$247+'Cálculos'!$C$125*(1+2.78*('Cálculos'!$C$198+(($C49)-$A$6:$A$51)*'Cálculos'!$C$98)/(('Cálculos'!$C$198+(($C49)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49)-$A$6:$A$51)*'Cálculos'!$C$98)/(('Cálculos'!$C$199+(($C49)-$A$6:$A$51)*'Cálculos'!$C$98)+1400)+'Cálculos'!$C$122)*'Cálculos'!$C$259+'Cálculos'!$C$125*(1+2.78*('Cálculos'!$C$199+(($C49)-$A$6:$A$51)*'Cálculos'!$C$98)/(('Cálculos'!$C$199+(($C49)-$A$6:$A$51)*'Cálculos'!$C$98)+1400)+'Cálculos'!$C$123)*'Cálculos'!$C$264)+('Cálculos'!$C$199+(($C49)-$A$6:$A$51)*'Cálculos'!$C$98)*('Cálculos'!$C$255+'Cálculos'!$C$124*(1+2.78*('Cálculos'!$C$199+(($C49)-$A$6:$A$51)*'Cálculos'!$C$98)/(('Cálculos'!$C$199+(($C49)-$A$6:$A$51)*'Cálculos'!$C$98)+1400)+'Cálculos'!$C$122)*'Cálculos'!$C$260+'Cálculos'!$C$125*(1+2.78*('Cálculos'!$C$199+(($C49)-$A$6:$A$51)*'Cálculos'!$C$98)/(('Cálculos'!$C$199+(($C49)-$A$6:$A$51)*'Cálculos'!$C$98)+1400)+'Cálculos'!$C$123)*'Cálculos'!$C$265)+('Cálculos'!$C$201*(1+'Cálculos'!$C$202+$A$6:$A$51*('Cálculos'!$C$290=2)*'Cálculos'!$C$101)+'Cálculos'!$C$203)*('Cálculos'!$C$256+'Cálculos'!$C$124*(1+2.78*('Cálculos'!$C$199+(($C49)-$A$6:$A$51)*'Cálculos'!$C$98)/(('Cálculos'!$C$199+(($C49)-$A$6:$A$51)*'Cálculos'!$C$98)+1400)+'Cálculos'!$C$122)*'Cálculos'!$C$261+'Cálculos'!$C$125*(1+2.78*('Cálculos'!$C$199+(($C49)-$A$6:$A$51)*'Cálculos'!$C$98)/(('Cálculos'!$C$199+(($C49)-$A$6:$A$51)*'Cálculos'!$C$98)+1400)+'Cálculos'!$C$123)*'Cálculos'!$C$266)+('Cálculos'!$C$204*(1+'Cálculos'!$C$205+$A$6:$A$51*('Cálculos'!$C$290=3)*'Cálculos'!$C$103)+'Cálculos'!$C$206)*('Cálculos'!$C$257+'Cálculos'!$C$124*(1+2.78*('Cálculos'!$C$199+(($C49)-$A$6:$A$51)*'Cálculos'!$C$98)/(('Cálculos'!$C$199+(($C49)-$A$6:$A$51)*'Cálculos'!$C$98)+1400)+'Cálculos'!$C$122)*'Cálculos'!$C$262+'Cálculos'!$C$125*(1+2.78*('Cálculos'!$C$199+(($C49)-$A$6:$A$51)*'Cálculos'!$C$98)/(('Cálculos'!$C$199+(($C49)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49)-$A$6:$A$51)*'Cálculos'!$C$98)/(('Cálculos'!$C$200+(($C49)-$A$6:$A$51)*'Cálculos'!$C$98)+1400)+'Cálculos'!$C$122)*'Cálculos'!$C$274+'Cálculos'!$C$125*(1+2.78*('Cálculos'!$C$200+(($C49)-$A$6:$A$51)*'Cálculos'!$C$98)/(('Cálculos'!$C$200+(($C49)-$A$6:$A$51)*'Cálculos'!$C$98)+1400)+'Cálculos'!$C$123)*'Cálculos'!$C$279)+('Cálculos'!$C$200+(($C49)-$A$6:$A$51)*'Cálculos'!$C$98)*('Cálculos'!$C$270+'Cálculos'!$C$124*(1+2.78*('Cálculos'!$C$200+(($C49)-$A$6:$A$51)*'Cálculos'!$C$98)/(('Cálculos'!$C$200+(($C49)-$A$6:$A$51)*'Cálculos'!$C$98)+1400)+'Cálculos'!$C$122)*'Cálculos'!$C$275+'Cálculos'!$C$125*(1+2.78*('Cálculos'!$C$200+(($C49)-$A$6:$A$51)*'Cálculos'!$C$98)/(('Cálculos'!$C$200+(($C49)-$A$6:$A$51)*'Cálculos'!$C$98)+1400)+'Cálculos'!$C$123)*'Cálculos'!$C$280)+('Cálculos'!$C$201*(1+'Cálculos'!$C$202+$A$6:$A$51*('Cálculos'!$C$290=2)*'Cálculos'!$C$101)+'Cálculos'!$C$203)*('Cálculos'!$C$271+'Cálculos'!$C$124*(1+2.78*('Cálculos'!$C$200+(($C49)-$A$6:$A$51)*'Cálculos'!$C$98)/(('Cálculos'!$C$200+(($C49)-$A$6:$A$51)*'Cálculos'!$C$98)+1400)+'Cálculos'!$C$122)*'Cálculos'!$C$276+'Cálculos'!$C$125*(1+2.78*('Cálculos'!$C$200+(($C49)-$A$6:$A$51)*'Cálculos'!$C$98)/(('Cálculos'!$C$200+(($C49)-$A$6:$A$51)*'Cálculos'!$C$98)+1400)+'Cálculos'!$C$123)*'Cálculos'!$C$281)+('Cálculos'!$C$204*(1+'Cálculos'!$C$205+$A$6:$A$51*('Cálculos'!$C$290=3)*'Cálculos'!$C$103)+'Cálculos'!$C$206)*('Cálculos'!$C$272+'Cálculos'!$C$124*(1+2.78*('Cálculos'!$C$200+(($C49)-$A$6:$A$51)*'Cálculos'!$C$98)/(('Cálculos'!$C$200+(($C49)-$A$6:$A$51)*'Cálculos'!$C$98)+1400)+'Cálculos'!$C$122)*'Cálculos'!$C$277+'Cálculos'!$C$125*(1+2.78*('Cálculos'!$C$200+(($C49)-$A$6:$A$51)*'Cálculos'!$C$98)/(('Cálculos'!$C$200+(($C49)-$A$6:$A$51)*'Cálculos'!$C$98)+1400)+'Cálculos'!$C$123)*'Cálculos'!$C$282)))))</f>
        <v>0</v>
      </c>
      <c r="E49" s="32">
        <f>IF(OR($C49&lt;0,'Cálculos'!$C$6=""),0,$B49*$D49)</f>
        <v>0</v>
      </c>
      <c r="F49" s="2"/>
      <c r="G49" s="30">
        <f>($A49&lt;=$B$53)*($A49&lt;='Cálculos'!$C$294)*(($B$53)-$A49&lt;='Cálculos'!$C$295)*(1+MIN(('Cálculos'!$C$207+$A49*'Cálculos'!$C$95),1)*('Cálculos'!$C$208+(($B$53)-$A49)*'Cálculos'!$C$96))</f>
        <v>0</v>
      </c>
      <c r="H49" s="31">
        <f>IF($B$54&lt;0,0,($A49&lt;=$B$54)*($A49&lt;='Cálculos'!$C$301)*(($B$54)-$A49&lt;='Cálculos'!$C$297)*(('Cálculos'!$C$185*(1+'Cálculos'!$C$186+$A49*('Cálculos'!$C$290=1)*'Cálculos'!$C$97+'Cálculos'!$C$305)+'Cálculos'!$C$191)*('Cálculos'!$C$209+'Cálculos'!$C$124*(1+2.78*('Cálculos'!$C$196+(($B$54)-$A49)*'Cálculos'!$C$98)/(('Cálculos'!$C$196+(($B$54)-$A49)*'Cálculos'!$C$98)+1400)+'Cálculos'!$C$122)*'Cálculos'!$C$214+'Cálculos'!$C$125*(1+2.78*('Cálculos'!$C$196+(($B$54)-$A49)*'Cálculos'!$C$98)/(('Cálculos'!$C$196+(($B$54)-$A49)*'Cálculos'!$C$98)+1400)+'Cálculos'!$C$123)*'Cálculos'!$C$219)+('Cálculos'!$C$196+(($B$54)-$A49)*'Cálculos'!$C$98)*('Cálculos'!$C$210+'Cálculos'!$C$124*(1+2.78*('Cálculos'!$C$196+(($B$54)-$A49)*'Cálculos'!$C$98)/(('Cálculos'!$C$196+(($B$54)-$A49)*'Cálculos'!$C$98)+1400)+'Cálculos'!$C$122)*'Cálculos'!$C$215+'Cálculos'!$C$125*(1+2.78*('Cálculos'!$C$196+(($B$54)-$A49)*'Cálculos'!$C$98)/(('Cálculos'!$C$196+(($B$54)-$A49)*'Cálculos'!$C$98)+1400)+'Cálculos'!$C$123)*'Cálculos'!$C$220)+('Cálculos'!$C$201*(1+'Cálculos'!$C$202+$A49*('Cálculos'!$C$290=2)*'Cálculos'!$C$101)+'Cálculos'!$C$203)*('Cálculos'!$C$211+'Cálculos'!$C$124*(1+2.78*('Cálculos'!$C$196+(($B$54)-$A49)*'Cálculos'!$C$98)/(('Cálculos'!$C$196+(($B$54)-$A49)*'Cálculos'!$C$98)+1400)+'Cálculos'!$C$122)*'Cálculos'!$C$216+'Cálculos'!$C$125*(1+2.78*('Cálculos'!$C$196+(($B$54)-$A49)*'Cálculos'!$C$98)/(('Cálculos'!$C$196+(($B$54)-$A49)*'Cálculos'!$C$98)+1400)+'Cálculos'!$C$123)*'Cálculos'!$C$221)+('Cálculos'!$C$204*(1+'Cálculos'!$C$205+$A49*('Cálculos'!$C$290=3)*'Cálculos'!$C$103)+'Cálculos'!$C$206)*('Cálculos'!$C$212+'Cálculos'!$C$124*(1+2.78*('Cálculos'!$C$196+(($B$54)-$A49)*'Cálculos'!$C$98)/(('Cálculos'!$C$196+(($B$54)-$A49)*'Cálculos'!$C$98)+1400)+'Cálculos'!$C$122)*'Cálculos'!$C$217+'Cálculos'!$C$125*(1+2.78*('Cálculos'!$C$196+(($B$54)-$A49)*'Cálculos'!$C$98)/(('Cálculos'!$C$196+(($B$54)-$A49)*'Cálculos'!$C$98)+1400)+'Cálculos'!$C$123)*'Cálculos'!$C$222)+('Cálculos'!$C$185*(1+'Cálculos'!$C$187+$A49*('Cálculos'!$C$290=1)*'Cálculos'!$C$97+'Cálculos'!$C$305)+'Cálculos'!$C$192)*('Cálculos'!$C$224+'Cálculos'!$C$124*(1+2.78*('Cálculos'!$C$197+(($B$54)-$A49)*'Cálculos'!$C$98)/(('Cálculos'!$C$197+(($B$54)-$A49)*'Cálculos'!$C$98)+1400)+'Cálculos'!$C$122)*'Cálculos'!$C$229+'Cálculos'!$C$125*(1+2.78*('Cálculos'!$C$197+(($B$54)-$A49)*'Cálculos'!$C$98)/(('Cálculos'!$C$197+(($B$54)-$A49)*'Cálculos'!$C$98)+1400)+'Cálculos'!$C$123)*'Cálculos'!$C$234)+('Cálculos'!$C$197+(($B$54)-$A49)*'Cálculos'!$C$98)*('Cálculos'!$C$225+'Cálculos'!$C$124*(1+2.78*('Cálculos'!$C$197+(($B$54)-$A49)*'Cálculos'!$C$98)/(('Cálculos'!$C$197+(($B$54)-$A49)*'Cálculos'!$C$98)+1400)+'Cálculos'!$C$122)*'Cálculos'!$C$230+'Cálculos'!$C$125*(1+2.78*('Cálculos'!$C$197+(($B$54)-$A49)*'Cálculos'!$C$98)/(('Cálculos'!$C$197+(($B$54)-$A49)*'Cálculos'!$C$98)+1400)+'Cálculos'!$C$123)*'Cálculos'!$C$235)+('Cálculos'!$C$201*(1+'Cálculos'!$C$202+$A49*('Cálculos'!$C$290=2)*'Cálculos'!$C$101)+'Cálculos'!$C$203)*('Cálculos'!$C$226+'Cálculos'!$C$124*(1+2.78*('Cálculos'!$C$197+(($B$54)-$A49)*'Cálculos'!$C$98)/(('Cálculos'!$C$197+(($B$54)-$A49)*'Cálculos'!$C$98)+1400)+'Cálculos'!$C$122)*'Cálculos'!$C$231+'Cálculos'!$C$125*(1+2.78*('Cálculos'!$C$197+(($B$54)-$A49)*'Cálculos'!$C$98)/(('Cálculos'!$C$197+(($B$54)-$A49)*'Cálculos'!$C$98)+1400)+'Cálculos'!$C$123)*'Cálculos'!$C$236)+('Cálculos'!$C$204*(1+'Cálculos'!$C$205+$A49*('Cálculos'!$C$290=3)*'Cálculos'!$C$103)+'Cálculos'!$C$206)*('Cálculos'!$C$227+'Cálculos'!$C$124*(1+2.78*('Cálculos'!$C$197+(($B$54)-$A49)*'Cálculos'!$C$98)/(('Cálculos'!$C$197+(($B$54)-$A49)*'Cálculos'!$C$98)+1400)+'Cálculos'!$C$122)*'Cálculos'!$C$232+'Cálculos'!$C$125*(1+2.78*('Cálculos'!$C$197+(($B$54)-$A49)*'Cálculos'!$C$98)/(('Cálculos'!$C$197+(($B$54)-$A49)*'Cálculos'!$C$98)+1400)+'Cálculos'!$C$123)*'Cálculos'!$C$237)+('Cálculos'!$C$185*(1+'Cálculos'!$C$188+$A49*('Cálculos'!$C$290=1)*'Cálculos'!$C$97+'Cálculos'!$C$305)+'Cálculos'!$C$193)*('Cálculos'!$C$239+'Cálculos'!$C$124*(1+2.78*('Cálculos'!$C$198+(($B$54)-$A49)*'Cálculos'!$C$98)/(('Cálculos'!$C$198+(($B$54)-$A49)*'Cálculos'!$C$98)+1400)+'Cálculos'!$C$122)*'Cálculos'!$C$244+'Cálculos'!$C$125*(1+2.78*('Cálculos'!$C$198+(($B$54)-$A49)*'Cálculos'!$C$98)/(('Cálculos'!$C$198+(($B$54)-$A49)*'Cálculos'!$C$98)+1400)+'Cálculos'!$C$123)*'Cálculos'!$C$249)+('Cálculos'!$C$198+(($B$54)-$A49)*'Cálculos'!$C$98)*('Cálculos'!$C$240+'Cálculos'!$C$124*(1+2.78*('Cálculos'!$C$198+(($B$54)-$A49)*'Cálculos'!$C$98)/(('Cálculos'!$C$198+(($B$54)-$A49)*'Cálculos'!$C$98)+1400)+'Cálculos'!$C$122)*'Cálculos'!$C$245+'Cálculos'!$C$125*(1+2.78*('Cálculos'!$C$198+(($B$54)-$A49)*'Cálculos'!$C$98)/(('Cálculos'!$C$198+(($B$54)-$A49)*'Cálculos'!$C$98)+1400)+'Cálculos'!$C$123)*'Cálculos'!$C$250)+('Cálculos'!$C$201*(1+'Cálculos'!$C$202+$A49*('Cálculos'!$C$290=2)*'Cálculos'!$C$101)+'Cálculos'!$C$203)*('Cálculos'!$C$241+'Cálculos'!$C$124*(1+2.78*('Cálculos'!$C$198+(($B$54)-$A49)*'Cálculos'!$C$98)/(('Cálculos'!$C$198+(($B$54)-$A49)*'Cálculos'!$C$98)+1400)+'Cálculos'!$C$122)*'Cálculos'!$C$246+'Cálculos'!$C$125*(1+2.78*('Cálculos'!$C$198+(($B$54)-$A49)*'Cálculos'!$C$98)/(('Cálculos'!$C$198+(($B$54)-$A49)*'Cálculos'!$C$98)+1400)+'Cálculos'!$C$123)*'Cálculos'!$C$251)+('Cálculos'!$C$204*(1+'Cálculos'!$C$205+$A49*('Cálculos'!$C$290=3)*'Cálculos'!$C$103)+'Cálculos'!$C$206)*('Cálculos'!$C$242+'Cálculos'!$C$124*(1+2.78*('Cálculos'!$C$198+(($B$54)-$A49)*'Cálculos'!$C$98)/(('Cálculos'!$C$198+(($B$54)-$A49)*'Cálculos'!$C$98)+1400)+'Cálculos'!$C$122)*'Cálculos'!$C$247+'Cálculos'!$C$125*(1+2.78*('Cálculos'!$C$198+(($B$54)-$A49)*'Cálculos'!$C$98)/(('Cálculos'!$C$198+(($B$54)-$A49)*'Cálculos'!$C$98)+1400)+'Cálculos'!$C$123)*'Cálculos'!$C$252)+('Cálculos'!$C$185*(1+'Cálculos'!$C$189+$A49*('Cálculos'!$C$290=1)*'Cálculos'!$C$97+'Cálculos'!$C$305)+'Cálculos'!$C$194)*('Cálculos'!$C$254+'Cálculos'!$C$124*(1+2.78*('Cálculos'!$C$199+(($B$54)-$A49)*'Cálculos'!$C$98)/(('Cálculos'!$C$199+(($B$54)-$A49)*'Cálculos'!$C$98)+1400)+'Cálculos'!$C$122)*'Cálculos'!$C$259+'Cálculos'!$C$125*(1+2.78*('Cálculos'!$C$199+(($B$54)-$A49)*'Cálculos'!$C$98)/(('Cálculos'!$C$199+(($B$54)-$A49)*'Cálculos'!$C$98)+1400)+'Cálculos'!$C$123)*'Cálculos'!$C$264)+('Cálculos'!$C$199+(($B$54)-$A49)*'Cálculos'!$C$98)*('Cálculos'!$C$255+'Cálculos'!$C$124*(1+2.78*('Cálculos'!$C$199+(($B$54)-$A49)*'Cálculos'!$C$98)/(('Cálculos'!$C$199+(($B$54)-$A49)*'Cálculos'!$C$98)+1400)+'Cálculos'!$C$122)*'Cálculos'!$C$260+'Cálculos'!$C$125*(1+2.78*('Cálculos'!$C$199+(($B$54)-$A49)*'Cálculos'!$C$98)/(('Cálculos'!$C$199+(($B$54)-$A49)*'Cálculos'!$C$98)+1400)+'Cálculos'!$C$123)*'Cálculos'!$C$265)+('Cálculos'!$C$201*(1+'Cálculos'!$C$202+$A49*('Cálculos'!$C$290=2)*'Cálculos'!$C$101)+'Cálculos'!$C$203)*('Cálculos'!$C$256+'Cálculos'!$C$124*(1+2.78*('Cálculos'!$C$199+(($B$54)-$A49)*'Cálculos'!$C$98)/(('Cálculos'!$C$199+(($B$54)-$A49)*'Cálculos'!$C$98)+1400)+'Cálculos'!$C$122)*'Cálculos'!$C$261+'Cálculos'!$C$125*(1+2.78*('Cálculos'!$C$199+(($B$54)-$A49)*'Cálculos'!$C$98)/(('Cálculos'!$C$199+(($B$54)-$A49)*'Cálculos'!$C$98)+1400)+'Cálculos'!$C$123)*'Cálculos'!$C$266)+('Cálculos'!$C$204*(1+'Cálculos'!$C$205+$A49*('Cálculos'!$C$290=3)*'Cálculos'!$C$103)+'Cálculos'!$C$206)*('Cálculos'!$C$257+'Cálculos'!$C$124*(1+2.78*('Cálculos'!$C$199+(($B$54)-$A49)*'Cálculos'!$C$98)/(('Cálculos'!$C$199+(($B$54)-$A49)*'Cálculos'!$C$98)+1400)+'Cálculos'!$C$122)*'Cálculos'!$C$262+'Cálculos'!$C$125*(1+2.78*('Cálculos'!$C$199+(($B$54)-$A49)*'Cálculos'!$C$98)/(('Cálculos'!$C$199+(($B$54)-$A49)*'Cálculos'!$C$98)+1400)+'Cálculos'!$C$123)*'Cálculos'!$C$267)+('Cálculos'!$C$185*(1+'Cálculos'!$C$190+$A49*('Cálculos'!$C$290=1)*'Cálculos'!$C$97+'Cálculos'!$C$305)+'Cálculos'!$C$195)*('Cálculos'!$C$269+'Cálculos'!$C$124*(1+2.78*('Cálculos'!$C$200+(($B$54)-$A49)*'Cálculos'!$C$98)/(('Cálculos'!$C$200+(($B$54)-$A49)*'Cálculos'!$C$98)+1400)+'Cálculos'!$C$122)*'Cálculos'!$C$274+'Cálculos'!$C$125*(1+2.78*('Cálculos'!$C$200+(($B$54)-$A49)*'Cálculos'!$C$98)/(('Cálculos'!$C$200+(($B$54)-$A49)*'Cálculos'!$C$98)+1400)+'Cálculos'!$C$123)*'Cálculos'!$C$279)+('Cálculos'!$C$200+(($B$54)-$A49)*'Cálculos'!$C$98)*('Cálculos'!$C$270+'Cálculos'!$C$124*(1+2.78*('Cálculos'!$C$200+(($B$54)-$A49)*'Cálculos'!$C$98)/(('Cálculos'!$C$200+(($B$54)-$A49)*'Cálculos'!$C$98)+1400)+'Cálculos'!$C$122)*'Cálculos'!$C$275+'Cálculos'!$C$125*(1+2.78*('Cálculos'!$C$200+(($B$54)-$A49)*'Cálculos'!$C$98)/(('Cálculos'!$C$200+(($B$54)-$A49)*'Cálculos'!$C$98)+1400)+'Cálculos'!$C$123)*'Cálculos'!$C$280)+('Cálculos'!$C$201*(1+'Cálculos'!$C$202+$A49*('Cálculos'!$C$290=2)*'Cálculos'!$C$101)+'Cálculos'!$C$203)*('Cálculos'!$C$271+'Cálculos'!$C$124*(1+2.78*('Cálculos'!$C$200+(($B$54)-$A49)*'Cálculos'!$C$98)/(('Cálculos'!$C$200+(($B$54)-$A49)*'Cálculos'!$C$98)+1400)+'Cálculos'!$C$122)*'Cálculos'!$C$276+'Cálculos'!$C$125*(1+2.78*('Cálculos'!$C$200+(($B$54)-$A49)*'Cálculos'!$C$98)/(('Cálculos'!$C$200+(($B$54)-$A49)*'Cálculos'!$C$98)+1400)+'Cálculos'!$C$123)*'Cálculos'!$C$281)+('Cálculos'!$C$204*(1+'Cálculos'!$C$205+$A49*('Cálculos'!$C$290=3)*'Cálculos'!$C$103)+'Cálculos'!$C$206)*('Cálculos'!$C$272+'Cálculos'!$C$124*(1+2.78*('Cálculos'!$C$200+(($B$54)-$A49)*'Cálculos'!$C$98)/(('Cálculos'!$C$200+(($B$54)-$A49)*'Cálculos'!$C$98)+1400)+'Cálculos'!$C$122)*'Cálculos'!$C$277+'Cálculos'!$C$125*(1+2.78*('Cálculos'!$C$200+(($B$54)-$A49)*'Cálculos'!$C$98)/(('Cálculos'!$C$200+(($B$54)-$A49)*'Cálculos'!$C$98)+1400)+'Cálculos'!$C$123)*'Cálculos'!$C$282)))</f>
        <v>0</v>
      </c>
    </row>
    <row r="50" ht="15.75" customHeight="1">
      <c r="A50" s="2">
        <v>44.0</v>
      </c>
      <c r="B50" s="30">
        <f>SUMPRODUCT(MAX(($A$6:$A$51&lt;=$A50)*($A$6:$A$51&lt;='Cálculos'!$C$294)*(($A50)-$A$6:$A$51&lt;='Cálculos'!$C$295)*(1+(('Cálculos'!$C$207+$A$6:$A$51*'Cálculos'!$C$95)-(('Cálculos'!$C$207+$A$6:$A$51*'Cálculos'!$C$95)&gt;1)*(('Cálculos'!$C$207+$A$6:$A$51*'Cálculos'!$C$95)-1))*('Cálculos'!$C$208+(($A50)-$A$6:$A$51)*'Cálculos'!$C$96))))</f>
        <v>4.44</v>
      </c>
      <c r="C50" s="2">
        <f>'Cálculos'!$C$303-$A50</f>
        <v>-24</v>
      </c>
      <c r="D50" s="31">
        <f>IF($C50&lt;0,0,SUMPRODUCT(MAX(($A$6:$A$51&lt;=$C50)*($A$6:$A$51&lt;='Cálculos'!$C$301)*(($C50)-$A$6:$A$51&lt;='Cálculos'!$C$297)*(('Cálculos'!$C$185*(1+'Cálculos'!$C$186+$A$6:$A$51*('Cálculos'!$C$290=1)*'Cálculos'!$C$97+'Cálculos'!$C$305)+'Cálculos'!$C$191)*('Cálculos'!$C$209+'Cálculos'!$C$124*(1+2.78*('Cálculos'!$C$196+(($C50)-$A$6:$A$51)*'Cálculos'!$C$98)/(('Cálculos'!$C$196+(($C50)-$A$6:$A$51)*'Cálculos'!$C$98)+1400)+'Cálculos'!$C$122)*'Cálculos'!$C$214+'Cálculos'!$C$125*(1+2.78*('Cálculos'!$C$196+(($C50)-$A$6:$A$51)*'Cálculos'!$C$98)/(('Cálculos'!$C$196+(($C50)-$A$6:$A$51)*'Cálculos'!$C$98)+1400)+'Cálculos'!$C$123)*'Cálculos'!$C$219)+('Cálculos'!$C$196+(($C50)-$A$6:$A$51)*'Cálculos'!$C$98)*('Cálculos'!$C$210+'Cálculos'!$C$124*(1+2.78*('Cálculos'!$C$196+(($C50)-$A$6:$A$51)*'Cálculos'!$C$98)/(('Cálculos'!$C$196+(($C50)-$A$6:$A$51)*'Cálculos'!$C$98)+1400)+'Cálculos'!$C$122)*'Cálculos'!$C$215+'Cálculos'!$C$125*(1+2.78*('Cálculos'!$C$196+(($C50)-$A$6:$A$51)*'Cálculos'!$C$98)/(('Cálculos'!$C$196+(($C50)-$A$6:$A$51)*'Cálculos'!$C$98)+1400)+'Cálculos'!$C$123)*'Cálculos'!$C$220)+('Cálculos'!$C$201*(1+'Cálculos'!$C$202+$A$6:$A$51*('Cálculos'!$C$290=2)*'Cálculos'!$C$101)+'Cálculos'!$C$203)*('Cálculos'!$C$211+'Cálculos'!$C$124*(1+2.78*('Cálculos'!$C$196+(($C50)-$A$6:$A$51)*'Cálculos'!$C$98)/(('Cálculos'!$C$196+(($C50)-$A$6:$A$51)*'Cálculos'!$C$98)+1400)+'Cálculos'!$C$122)*'Cálculos'!$C$216+'Cálculos'!$C$125*(1+2.78*('Cálculos'!$C$196+(($C50)-$A$6:$A$51)*'Cálculos'!$C$98)/(('Cálculos'!$C$196+(($C50)-$A$6:$A$51)*'Cálculos'!$C$98)+1400)+'Cálculos'!$C$123)*'Cálculos'!$C$221)+('Cálculos'!$C$204*(1+'Cálculos'!$C$205+$A$6:$A$51*('Cálculos'!$C$290=3)*'Cálculos'!$C$103)+'Cálculos'!$C$206)*('Cálculos'!$C$212+'Cálculos'!$C$124*(1+2.78*('Cálculos'!$C$196+(($C50)-$A$6:$A$51)*'Cálculos'!$C$98)/(('Cálculos'!$C$196+(($C50)-$A$6:$A$51)*'Cálculos'!$C$98)+1400)+'Cálculos'!$C$122)*'Cálculos'!$C$217+'Cálculos'!$C$125*(1+2.78*('Cálculos'!$C$196+(($C50)-$A$6:$A$51)*'Cálculos'!$C$98)/(('Cálculos'!$C$196+(($C50)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50)-$A$6:$A$51)*'Cálculos'!$C$98)/(('Cálculos'!$C$197+(($C50)-$A$6:$A$51)*'Cálculos'!$C$98)+1400)+'Cálculos'!$C$122)*'Cálculos'!$C$229+'Cálculos'!$C$125*(1+2.78*('Cálculos'!$C$197+(($C50)-$A$6:$A$51)*'Cálculos'!$C$98)/(('Cálculos'!$C$197+(($C50)-$A$6:$A$51)*'Cálculos'!$C$98)+1400)+'Cálculos'!$C$123)*'Cálculos'!$C$234)+('Cálculos'!$C$197+(($C50)-$A$6:$A$51)*'Cálculos'!$C$98)*('Cálculos'!$C$225+'Cálculos'!$C$124*(1+2.78*('Cálculos'!$C$197+(($C50)-$A$6:$A$51)*'Cálculos'!$C$98)/(('Cálculos'!$C$197+(($C50)-$A$6:$A$51)*'Cálculos'!$C$98)+1400)+'Cálculos'!$C$122)*'Cálculos'!$C$230+'Cálculos'!$C$125*(1+2.78*('Cálculos'!$C$197+(($C50)-$A$6:$A$51)*'Cálculos'!$C$98)/(('Cálculos'!$C$197+(($C50)-$A$6:$A$51)*'Cálculos'!$C$98)+1400)+'Cálculos'!$C$123)*'Cálculos'!$C$235)+('Cálculos'!$C$201*(1+'Cálculos'!$C$202+$A$6:$A$51*('Cálculos'!$C$290=2)*'Cálculos'!$C$101)+'Cálculos'!$C$203)*('Cálculos'!$C$226+'Cálculos'!$C$124*(1+2.78*('Cálculos'!$C$197+(($C50)-$A$6:$A$51)*'Cálculos'!$C$98)/(('Cálculos'!$C$197+(($C50)-$A$6:$A$51)*'Cálculos'!$C$98)+1400)+'Cálculos'!$C$122)*'Cálculos'!$C$231+'Cálculos'!$C$125*(1+2.78*('Cálculos'!$C$197+(($C50)-$A$6:$A$51)*'Cálculos'!$C$98)/(('Cálculos'!$C$197+(($C50)-$A$6:$A$51)*'Cálculos'!$C$98)+1400)+'Cálculos'!$C$123)*'Cálculos'!$C$236)+('Cálculos'!$C$204*(1+'Cálculos'!$C$205+$A$6:$A$51*('Cálculos'!$C$290=3)*'Cálculos'!$C$103)+'Cálculos'!$C$206)*('Cálculos'!$C$227+'Cálculos'!$C$124*(1+2.78*('Cálculos'!$C$197+(($C50)-$A$6:$A$51)*'Cálculos'!$C$98)/(('Cálculos'!$C$197+(($C50)-$A$6:$A$51)*'Cálculos'!$C$98)+1400)+'Cálculos'!$C$122)*'Cálculos'!$C$232+'Cálculos'!$C$125*(1+2.78*('Cálculos'!$C$197+(($C50)-$A$6:$A$51)*'Cálculos'!$C$98)/(('Cálculos'!$C$197+(($C50)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50)-$A$6:$A$51)*'Cálculos'!$C$98)/(('Cálculos'!$C$198+(($C50)-$A$6:$A$51)*'Cálculos'!$C$98)+1400)+'Cálculos'!$C$122)*'Cálculos'!$C$244+'Cálculos'!$C$125*(1+2.78*('Cálculos'!$C$198+(($C50)-$A$6:$A$51)*'Cálculos'!$C$98)/(('Cálculos'!$C$198+(($C50)-$A$6:$A$51)*'Cálculos'!$C$98)+1400)+'Cálculos'!$C$123)*'Cálculos'!$C$249)+('Cálculos'!$C$198+(($C50)-$A$6:$A$51)*'Cálculos'!$C$98)*('Cálculos'!$C$240+'Cálculos'!$C$124*(1+2.78*('Cálculos'!$C$198+(($C50)-$A$6:$A$51)*'Cálculos'!$C$98)/(('Cálculos'!$C$198+(($C50)-$A$6:$A$51)*'Cálculos'!$C$98)+1400)+'Cálculos'!$C$122)*'Cálculos'!$C$245+'Cálculos'!$C$125*(1+2.78*('Cálculos'!$C$198+(($C50)-$A$6:$A$51)*'Cálculos'!$C$98)/(('Cálculos'!$C$198+(($C50)-$A$6:$A$51)*'Cálculos'!$C$98)+1400)+'Cálculos'!$C$123)*'Cálculos'!$C$250)+('Cálculos'!$C$201*(1+'Cálculos'!$C$202+$A$6:$A$51*('Cálculos'!$C$290=2)*'Cálculos'!$C$101)+'Cálculos'!$C$203)*('Cálculos'!$C$241+'Cálculos'!$C$124*(1+2.78*('Cálculos'!$C$198+(($C50)-$A$6:$A$51)*'Cálculos'!$C$98)/(('Cálculos'!$C$198+(($C50)-$A$6:$A$51)*'Cálculos'!$C$98)+1400)+'Cálculos'!$C$122)*'Cálculos'!$C$246+'Cálculos'!$C$125*(1+2.78*('Cálculos'!$C$198+(($C50)-$A$6:$A$51)*'Cálculos'!$C$98)/(('Cálculos'!$C$198+(($C50)-$A$6:$A$51)*'Cálculos'!$C$98)+1400)+'Cálculos'!$C$123)*'Cálculos'!$C$251)+('Cálculos'!$C$204*(1+'Cálculos'!$C$205+$A$6:$A$51*('Cálculos'!$C$290=3)*'Cálculos'!$C$103)+'Cálculos'!$C$206)*('Cálculos'!$C$242+'Cálculos'!$C$124*(1+2.78*('Cálculos'!$C$198+(($C50)-$A$6:$A$51)*'Cálculos'!$C$98)/(('Cálculos'!$C$198+(($C50)-$A$6:$A$51)*'Cálculos'!$C$98)+1400)+'Cálculos'!$C$122)*'Cálculos'!$C$247+'Cálculos'!$C$125*(1+2.78*('Cálculos'!$C$198+(($C50)-$A$6:$A$51)*'Cálculos'!$C$98)/(('Cálculos'!$C$198+(($C50)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50)-$A$6:$A$51)*'Cálculos'!$C$98)/(('Cálculos'!$C$199+(($C50)-$A$6:$A$51)*'Cálculos'!$C$98)+1400)+'Cálculos'!$C$122)*'Cálculos'!$C$259+'Cálculos'!$C$125*(1+2.78*('Cálculos'!$C$199+(($C50)-$A$6:$A$51)*'Cálculos'!$C$98)/(('Cálculos'!$C$199+(($C50)-$A$6:$A$51)*'Cálculos'!$C$98)+1400)+'Cálculos'!$C$123)*'Cálculos'!$C$264)+('Cálculos'!$C$199+(($C50)-$A$6:$A$51)*'Cálculos'!$C$98)*('Cálculos'!$C$255+'Cálculos'!$C$124*(1+2.78*('Cálculos'!$C$199+(($C50)-$A$6:$A$51)*'Cálculos'!$C$98)/(('Cálculos'!$C$199+(($C50)-$A$6:$A$51)*'Cálculos'!$C$98)+1400)+'Cálculos'!$C$122)*'Cálculos'!$C$260+'Cálculos'!$C$125*(1+2.78*('Cálculos'!$C$199+(($C50)-$A$6:$A$51)*'Cálculos'!$C$98)/(('Cálculos'!$C$199+(($C50)-$A$6:$A$51)*'Cálculos'!$C$98)+1400)+'Cálculos'!$C$123)*'Cálculos'!$C$265)+('Cálculos'!$C$201*(1+'Cálculos'!$C$202+$A$6:$A$51*('Cálculos'!$C$290=2)*'Cálculos'!$C$101)+'Cálculos'!$C$203)*('Cálculos'!$C$256+'Cálculos'!$C$124*(1+2.78*('Cálculos'!$C$199+(($C50)-$A$6:$A$51)*'Cálculos'!$C$98)/(('Cálculos'!$C$199+(($C50)-$A$6:$A$51)*'Cálculos'!$C$98)+1400)+'Cálculos'!$C$122)*'Cálculos'!$C$261+'Cálculos'!$C$125*(1+2.78*('Cálculos'!$C$199+(($C50)-$A$6:$A$51)*'Cálculos'!$C$98)/(('Cálculos'!$C$199+(($C50)-$A$6:$A$51)*'Cálculos'!$C$98)+1400)+'Cálculos'!$C$123)*'Cálculos'!$C$266)+('Cálculos'!$C$204*(1+'Cálculos'!$C$205+$A$6:$A$51*('Cálculos'!$C$290=3)*'Cálculos'!$C$103)+'Cálculos'!$C$206)*('Cálculos'!$C$257+'Cálculos'!$C$124*(1+2.78*('Cálculos'!$C$199+(($C50)-$A$6:$A$51)*'Cálculos'!$C$98)/(('Cálculos'!$C$199+(($C50)-$A$6:$A$51)*'Cálculos'!$C$98)+1400)+'Cálculos'!$C$122)*'Cálculos'!$C$262+'Cálculos'!$C$125*(1+2.78*('Cálculos'!$C$199+(($C50)-$A$6:$A$51)*'Cálculos'!$C$98)/(('Cálculos'!$C$199+(($C50)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50)-$A$6:$A$51)*'Cálculos'!$C$98)/(('Cálculos'!$C$200+(($C50)-$A$6:$A$51)*'Cálculos'!$C$98)+1400)+'Cálculos'!$C$122)*'Cálculos'!$C$274+'Cálculos'!$C$125*(1+2.78*('Cálculos'!$C$200+(($C50)-$A$6:$A$51)*'Cálculos'!$C$98)/(('Cálculos'!$C$200+(($C50)-$A$6:$A$51)*'Cálculos'!$C$98)+1400)+'Cálculos'!$C$123)*'Cálculos'!$C$279)+('Cálculos'!$C$200+(($C50)-$A$6:$A$51)*'Cálculos'!$C$98)*('Cálculos'!$C$270+'Cálculos'!$C$124*(1+2.78*('Cálculos'!$C$200+(($C50)-$A$6:$A$51)*'Cálculos'!$C$98)/(('Cálculos'!$C$200+(($C50)-$A$6:$A$51)*'Cálculos'!$C$98)+1400)+'Cálculos'!$C$122)*'Cálculos'!$C$275+'Cálculos'!$C$125*(1+2.78*('Cálculos'!$C$200+(($C50)-$A$6:$A$51)*'Cálculos'!$C$98)/(('Cálculos'!$C$200+(($C50)-$A$6:$A$51)*'Cálculos'!$C$98)+1400)+'Cálculos'!$C$123)*'Cálculos'!$C$280)+('Cálculos'!$C$201*(1+'Cálculos'!$C$202+$A$6:$A$51*('Cálculos'!$C$290=2)*'Cálculos'!$C$101)+'Cálculos'!$C$203)*('Cálculos'!$C$271+'Cálculos'!$C$124*(1+2.78*('Cálculos'!$C$200+(($C50)-$A$6:$A$51)*'Cálculos'!$C$98)/(('Cálculos'!$C$200+(($C50)-$A$6:$A$51)*'Cálculos'!$C$98)+1400)+'Cálculos'!$C$122)*'Cálculos'!$C$276+'Cálculos'!$C$125*(1+2.78*('Cálculos'!$C$200+(($C50)-$A$6:$A$51)*'Cálculos'!$C$98)/(('Cálculos'!$C$200+(($C50)-$A$6:$A$51)*'Cálculos'!$C$98)+1400)+'Cálculos'!$C$123)*'Cálculos'!$C$281)+('Cálculos'!$C$204*(1+'Cálculos'!$C$205+$A$6:$A$51*('Cálculos'!$C$290=3)*'Cálculos'!$C$103)+'Cálculos'!$C$206)*('Cálculos'!$C$272+'Cálculos'!$C$124*(1+2.78*('Cálculos'!$C$200+(($C50)-$A$6:$A$51)*'Cálculos'!$C$98)/(('Cálculos'!$C$200+(($C50)-$A$6:$A$51)*'Cálculos'!$C$98)+1400)+'Cálculos'!$C$122)*'Cálculos'!$C$277+'Cálculos'!$C$125*(1+2.78*('Cálculos'!$C$200+(($C50)-$A$6:$A$51)*'Cálculos'!$C$98)/(('Cálculos'!$C$200+(($C50)-$A$6:$A$51)*'Cálculos'!$C$98)+1400)+'Cálculos'!$C$123)*'Cálculos'!$C$282)))))</f>
        <v>0</v>
      </c>
      <c r="E50" s="32">
        <f>IF(OR($C50&lt;0,'Cálculos'!$C$6=""),0,$B50*$D50)</f>
        <v>0</v>
      </c>
      <c r="F50" s="2"/>
      <c r="G50" s="30">
        <f>($A50&lt;=$B$53)*($A50&lt;='Cálculos'!$C$294)*(($B$53)-$A50&lt;='Cálculos'!$C$295)*(1+MIN(('Cálculos'!$C$207+$A50*'Cálculos'!$C$95),1)*('Cálculos'!$C$208+(($B$53)-$A50)*'Cálculos'!$C$96))</f>
        <v>0</v>
      </c>
      <c r="H50" s="31">
        <f>IF($B$54&lt;0,0,($A50&lt;=$B$54)*($A50&lt;='Cálculos'!$C$301)*(($B$54)-$A50&lt;='Cálculos'!$C$297)*(('Cálculos'!$C$185*(1+'Cálculos'!$C$186+$A50*('Cálculos'!$C$290=1)*'Cálculos'!$C$97+'Cálculos'!$C$305)+'Cálculos'!$C$191)*('Cálculos'!$C$209+'Cálculos'!$C$124*(1+2.78*('Cálculos'!$C$196+(($B$54)-$A50)*'Cálculos'!$C$98)/(('Cálculos'!$C$196+(($B$54)-$A50)*'Cálculos'!$C$98)+1400)+'Cálculos'!$C$122)*'Cálculos'!$C$214+'Cálculos'!$C$125*(1+2.78*('Cálculos'!$C$196+(($B$54)-$A50)*'Cálculos'!$C$98)/(('Cálculos'!$C$196+(($B$54)-$A50)*'Cálculos'!$C$98)+1400)+'Cálculos'!$C$123)*'Cálculos'!$C$219)+('Cálculos'!$C$196+(($B$54)-$A50)*'Cálculos'!$C$98)*('Cálculos'!$C$210+'Cálculos'!$C$124*(1+2.78*('Cálculos'!$C$196+(($B$54)-$A50)*'Cálculos'!$C$98)/(('Cálculos'!$C$196+(($B$54)-$A50)*'Cálculos'!$C$98)+1400)+'Cálculos'!$C$122)*'Cálculos'!$C$215+'Cálculos'!$C$125*(1+2.78*('Cálculos'!$C$196+(($B$54)-$A50)*'Cálculos'!$C$98)/(('Cálculos'!$C$196+(($B$54)-$A50)*'Cálculos'!$C$98)+1400)+'Cálculos'!$C$123)*'Cálculos'!$C$220)+('Cálculos'!$C$201*(1+'Cálculos'!$C$202+$A50*('Cálculos'!$C$290=2)*'Cálculos'!$C$101)+'Cálculos'!$C$203)*('Cálculos'!$C$211+'Cálculos'!$C$124*(1+2.78*('Cálculos'!$C$196+(($B$54)-$A50)*'Cálculos'!$C$98)/(('Cálculos'!$C$196+(($B$54)-$A50)*'Cálculos'!$C$98)+1400)+'Cálculos'!$C$122)*'Cálculos'!$C$216+'Cálculos'!$C$125*(1+2.78*('Cálculos'!$C$196+(($B$54)-$A50)*'Cálculos'!$C$98)/(('Cálculos'!$C$196+(($B$54)-$A50)*'Cálculos'!$C$98)+1400)+'Cálculos'!$C$123)*'Cálculos'!$C$221)+('Cálculos'!$C$204*(1+'Cálculos'!$C$205+$A50*('Cálculos'!$C$290=3)*'Cálculos'!$C$103)+'Cálculos'!$C$206)*('Cálculos'!$C$212+'Cálculos'!$C$124*(1+2.78*('Cálculos'!$C$196+(($B$54)-$A50)*'Cálculos'!$C$98)/(('Cálculos'!$C$196+(($B$54)-$A50)*'Cálculos'!$C$98)+1400)+'Cálculos'!$C$122)*'Cálculos'!$C$217+'Cálculos'!$C$125*(1+2.78*('Cálculos'!$C$196+(($B$54)-$A50)*'Cálculos'!$C$98)/(('Cálculos'!$C$196+(($B$54)-$A50)*'Cálculos'!$C$98)+1400)+'Cálculos'!$C$123)*'Cálculos'!$C$222)+('Cálculos'!$C$185*(1+'Cálculos'!$C$187+$A50*('Cálculos'!$C$290=1)*'Cálculos'!$C$97+'Cálculos'!$C$305)+'Cálculos'!$C$192)*('Cálculos'!$C$224+'Cálculos'!$C$124*(1+2.78*('Cálculos'!$C$197+(($B$54)-$A50)*'Cálculos'!$C$98)/(('Cálculos'!$C$197+(($B$54)-$A50)*'Cálculos'!$C$98)+1400)+'Cálculos'!$C$122)*'Cálculos'!$C$229+'Cálculos'!$C$125*(1+2.78*('Cálculos'!$C$197+(($B$54)-$A50)*'Cálculos'!$C$98)/(('Cálculos'!$C$197+(($B$54)-$A50)*'Cálculos'!$C$98)+1400)+'Cálculos'!$C$123)*'Cálculos'!$C$234)+('Cálculos'!$C$197+(($B$54)-$A50)*'Cálculos'!$C$98)*('Cálculos'!$C$225+'Cálculos'!$C$124*(1+2.78*('Cálculos'!$C$197+(($B$54)-$A50)*'Cálculos'!$C$98)/(('Cálculos'!$C$197+(($B$54)-$A50)*'Cálculos'!$C$98)+1400)+'Cálculos'!$C$122)*'Cálculos'!$C$230+'Cálculos'!$C$125*(1+2.78*('Cálculos'!$C$197+(($B$54)-$A50)*'Cálculos'!$C$98)/(('Cálculos'!$C$197+(($B$54)-$A50)*'Cálculos'!$C$98)+1400)+'Cálculos'!$C$123)*'Cálculos'!$C$235)+('Cálculos'!$C$201*(1+'Cálculos'!$C$202+$A50*('Cálculos'!$C$290=2)*'Cálculos'!$C$101)+'Cálculos'!$C$203)*('Cálculos'!$C$226+'Cálculos'!$C$124*(1+2.78*('Cálculos'!$C$197+(($B$54)-$A50)*'Cálculos'!$C$98)/(('Cálculos'!$C$197+(($B$54)-$A50)*'Cálculos'!$C$98)+1400)+'Cálculos'!$C$122)*'Cálculos'!$C$231+'Cálculos'!$C$125*(1+2.78*('Cálculos'!$C$197+(($B$54)-$A50)*'Cálculos'!$C$98)/(('Cálculos'!$C$197+(($B$54)-$A50)*'Cálculos'!$C$98)+1400)+'Cálculos'!$C$123)*'Cálculos'!$C$236)+('Cálculos'!$C$204*(1+'Cálculos'!$C$205+$A50*('Cálculos'!$C$290=3)*'Cálculos'!$C$103)+'Cálculos'!$C$206)*('Cálculos'!$C$227+'Cálculos'!$C$124*(1+2.78*('Cálculos'!$C$197+(($B$54)-$A50)*'Cálculos'!$C$98)/(('Cálculos'!$C$197+(($B$54)-$A50)*'Cálculos'!$C$98)+1400)+'Cálculos'!$C$122)*'Cálculos'!$C$232+'Cálculos'!$C$125*(1+2.78*('Cálculos'!$C$197+(($B$54)-$A50)*'Cálculos'!$C$98)/(('Cálculos'!$C$197+(($B$54)-$A50)*'Cálculos'!$C$98)+1400)+'Cálculos'!$C$123)*'Cálculos'!$C$237)+('Cálculos'!$C$185*(1+'Cálculos'!$C$188+$A50*('Cálculos'!$C$290=1)*'Cálculos'!$C$97+'Cálculos'!$C$305)+'Cálculos'!$C$193)*('Cálculos'!$C$239+'Cálculos'!$C$124*(1+2.78*('Cálculos'!$C$198+(($B$54)-$A50)*'Cálculos'!$C$98)/(('Cálculos'!$C$198+(($B$54)-$A50)*'Cálculos'!$C$98)+1400)+'Cálculos'!$C$122)*'Cálculos'!$C$244+'Cálculos'!$C$125*(1+2.78*('Cálculos'!$C$198+(($B$54)-$A50)*'Cálculos'!$C$98)/(('Cálculos'!$C$198+(($B$54)-$A50)*'Cálculos'!$C$98)+1400)+'Cálculos'!$C$123)*'Cálculos'!$C$249)+('Cálculos'!$C$198+(($B$54)-$A50)*'Cálculos'!$C$98)*('Cálculos'!$C$240+'Cálculos'!$C$124*(1+2.78*('Cálculos'!$C$198+(($B$54)-$A50)*'Cálculos'!$C$98)/(('Cálculos'!$C$198+(($B$54)-$A50)*'Cálculos'!$C$98)+1400)+'Cálculos'!$C$122)*'Cálculos'!$C$245+'Cálculos'!$C$125*(1+2.78*('Cálculos'!$C$198+(($B$54)-$A50)*'Cálculos'!$C$98)/(('Cálculos'!$C$198+(($B$54)-$A50)*'Cálculos'!$C$98)+1400)+'Cálculos'!$C$123)*'Cálculos'!$C$250)+('Cálculos'!$C$201*(1+'Cálculos'!$C$202+$A50*('Cálculos'!$C$290=2)*'Cálculos'!$C$101)+'Cálculos'!$C$203)*('Cálculos'!$C$241+'Cálculos'!$C$124*(1+2.78*('Cálculos'!$C$198+(($B$54)-$A50)*'Cálculos'!$C$98)/(('Cálculos'!$C$198+(($B$54)-$A50)*'Cálculos'!$C$98)+1400)+'Cálculos'!$C$122)*'Cálculos'!$C$246+'Cálculos'!$C$125*(1+2.78*('Cálculos'!$C$198+(($B$54)-$A50)*'Cálculos'!$C$98)/(('Cálculos'!$C$198+(($B$54)-$A50)*'Cálculos'!$C$98)+1400)+'Cálculos'!$C$123)*'Cálculos'!$C$251)+('Cálculos'!$C$204*(1+'Cálculos'!$C$205+$A50*('Cálculos'!$C$290=3)*'Cálculos'!$C$103)+'Cálculos'!$C$206)*('Cálculos'!$C$242+'Cálculos'!$C$124*(1+2.78*('Cálculos'!$C$198+(($B$54)-$A50)*'Cálculos'!$C$98)/(('Cálculos'!$C$198+(($B$54)-$A50)*'Cálculos'!$C$98)+1400)+'Cálculos'!$C$122)*'Cálculos'!$C$247+'Cálculos'!$C$125*(1+2.78*('Cálculos'!$C$198+(($B$54)-$A50)*'Cálculos'!$C$98)/(('Cálculos'!$C$198+(($B$54)-$A50)*'Cálculos'!$C$98)+1400)+'Cálculos'!$C$123)*'Cálculos'!$C$252)+('Cálculos'!$C$185*(1+'Cálculos'!$C$189+$A50*('Cálculos'!$C$290=1)*'Cálculos'!$C$97+'Cálculos'!$C$305)+'Cálculos'!$C$194)*('Cálculos'!$C$254+'Cálculos'!$C$124*(1+2.78*('Cálculos'!$C$199+(($B$54)-$A50)*'Cálculos'!$C$98)/(('Cálculos'!$C$199+(($B$54)-$A50)*'Cálculos'!$C$98)+1400)+'Cálculos'!$C$122)*'Cálculos'!$C$259+'Cálculos'!$C$125*(1+2.78*('Cálculos'!$C$199+(($B$54)-$A50)*'Cálculos'!$C$98)/(('Cálculos'!$C$199+(($B$54)-$A50)*'Cálculos'!$C$98)+1400)+'Cálculos'!$C$123)*'Cálculos'!$C$264)+('Cálculos'!$C$199+(($B$54)-$A50)*'Cálculos'!$C$98)*('Cálculos'!$C$255+'Cálculos'!$C$124*(1+2.78*('Cálculos'!$C$199+(($B$54)-$A50)*'Cálculos'!$C$98)/(('Cálculos'!$C$199+(($B$54)-$A50)*'Cálculos'!$C$98)+1400)+'Cálculos'!$C$122)*'Cálculos'!$C$260+'Cálculos'!$C$125*(1+2.78*('Cálculos'!$C$199+(($B$54)-$A50)*'Cálculos'!$C$98)/(('Cálculos'!$C$199+(($B$54)-$A50)*'Cálculos'!$C$98)+1400)+'Cálculos'!$C$123)*'Cálculos'!$C$265)+('Cálculos'!$C$201*(1+'Cálculos'!$C$202+$A50*('Cálculos'!$C$290=2)*'Cálculos'!$C$101)+'Cálculos'!$C$203)*('Cálculos'!$C$256+'Cálculos'!$C$124*(1+2.78*('Cálculos'!$C$199+(($B$54)-$A50)*'Cálculos'!$C$98)/(('Cálculos'!$C$199+(($B$54)-$A50)*'Cálculos'!$C$98)+1400)+'Cálculos'!$C$122)*'Cálculos'!$C$261+'Cálculos'!$C$125*(1+2.78*('Cálculos'!$C$199+(($B$54)-$A50)*'Cálculos'!$C$98)/(('Cálculos'!$C$199+(($B$54)-$A50)*'Cálculos'!$C$98)+1400)+'Cálculos'!$C$123)*'Cálculos'!$C$266)+('Cálculos'!$C$204*(1+'Cálculos'!$C$205+$A50*('Cálculos'!$C$290=3)*'Cálculos'!$C$103)+'Cálculos'!$C$206)*('Cálculos'!$C$257+'Cálculos'!$C$124*(1+2.78*('Cálculos'!$C$199+(($B$54)-$A50)*'Cálculos'!$C$98)/(('Cálculos'!$C$199+(($B$54)-$A50)*'Cálculos'!$C$98)+1400)+'Cálculos'!$C$122)*'Cálculos'!$C$262+'Cálculos'!$C$125*(1+2.78*('Cálculos'!$C$199+(($B$54)-$A50)*'Cálculos'!$C$98)/(('Cálculos'!$C$199+(($B$54)-$A50)*'Cálculos'!$C$98)+1400)+'Cálculos'!$C$123)*'Cálculos'!$C$267)+('Cálculos'!$C$185*(1+'Cálculos'!$C$190+$A50*('Cálculos'!$C$290=1)*'Cálculos'!$C$97+'Cálculos'!$C$305)+'Cálculos'!$C$195)*('Cálculos'!$C$269+'Cálculos'!$C$124*(1+2.78*('Cálculos'!$C$200+(($B$54)-$A50)*'Cálculos'!$C$98)/(('Cálculos'!$C$200+(($B$54)-$A50)*'Cálculos'!$C$98)+1400)+'Cálculos'!$C$122)*'Cálculos'!$C$274+'Cálculos'!$C$125*(1+2.78*('Cálculos'!$C$200+(($B$54)-$A50)*'Cálculos'!$C$98)/(('Cálculos'!$C$200+(($B$54)-$A50)*'Cálculos'!$C$98)+1400)+'Cálculos'!$C$123)*'Cálculos'!$C$279)+('Cálculos'!$C$200+(($B$54)-$A50)*'Cálculos'!$C$98)*('Cálculos'!$C$270+'Cálculos'!$C$124*(1+2.78*('Cálculos'!$C$200+(($B$54)-$A50)*'Cálculos'!$C$98)/(('Cálculos'!$C$200+(($B$54)-$A50)*'Cálculos'!$C$98)+1400)+'Cálculos'!$C$122)*'Cálculos'!$C$275+'Cálculos'!$C$125*(1+2.78*('Cálculos'!$C$200+(($B$54)-$A50)*'Cálculos'!$C$98)/(('Cálculos'!$C$200+(($B$54)-$A50)*'Cálculos'!$C$98)+1400)+'Cálculos'!$C$123)*'Cálculos'!$C$280)+('Cálculos'!$C$201*(1+'Cálculos'!$C$202+$A50*('Cálculos'!$C$290=2)*'Cálculos'!$C$101)+'Cálculos'!$C$203)*('Cálculos'!$C$271+'Cálculos'!$C$124*(1+2.78*('Cálculos'!$C$200+(($B$54)-$A50)*'Cálculos'!$C$98)/(('Cálculos'!$C$200+(($B$54)-$A50)*'Cálculos'!$C$98)+1400)+'Cálculos'!$C$122)*'Cálculos'!$C$276+'Cálculos'!$C$125*(1+2.78*('Cálculos'!$C$200+(($B$54)-$A50)*'Cálculos'!$C$98)/(('Cálculos'!$C$200+(($B$54)-$A50)*'Cálculos'!$C$98)+1400)+'Cálculos'!$C$123)*'Cálculos'!$C$281)+('Cálculos'!$C$204*(1+'Cálculos'!$C$205+$A50*('Cálculos'!$C$290=3)*'Cálculos'!$C$103)+'Cálculos'!$C$206)*('Cálculos'!$C$272+'Cálculos'!$C$124*(1+2.78*('Cálculos'!$C$200+(($B$54)-$A50)*'Cálculos'!$C$98)/(('Cálculos'!$C$200+(($B$54)-$A50)*'Cálculos'!$C$98)+1400)+'Cálculos'!$C$122)*'Cálculos'!$C$277+'Cálculos'!$C$125*(1+2.78*('Cálculos'!$C$200+(($B$54)-$A50)*'Cálculos'!$C$98)/(('Cálculos'!$C$200+(($B$54)-$A50)*'Cálculos'!$C$98)+1400)+'Cálculos'!$C$123)*'Cálculos'!$C$282)))</f>
        <v>0</v>
      </c>
    </row>
    <row r="51" ht="15.75" customHeight="1">
      <c r="A51" s="2">
        <v>45.0</v>
      </c>
      <c r="B51" s="30">
        <f>SUMPRODUCT(MAX(($A$6:$A$51&lt;=$A51)*($A$6:$A$51&lt;='Cálculos'!$C$294)*(($A51)-$A$6:$A$51&lt;='Cálculos'!$C$295)*(1+(('Cálculos'!$C$207+$A$6:$A$51*'Cálculos'!$C$95)-(('Cálculos'!$C$207+$A$6:$A$51*'Cálculos'!$C$95)&gt;1)*(('Cálculos'!$C$207+$A$6:$A$51*'Cálculos'!$C$95)-1))*('Cálculos'!$C$208+(($A51)-$A$6:$A$51)*'Cálculos'!$C$96))))</f>
        <v>4.44</v>
      </c>
      <c r="C51" s="2">
        <f>'Cálculos'!$C$303-$A51</f>
        <v>-25</v>
      </c>
      <c r="D51" s="31">
        <f>IF($C51&lt;0,0,SUMPRODUCT(MAX(($A$6:$A$51&lt;=$C51)*($A$6:$A$51&lt;='Cálculos'!$C$301)*(($C51)-$A$6:$A$51&lt;='Cálculos'!$C$297)*(('Cálculos'!$C$185*(1+'Cálculos'!$C$186+$A$6:$A$51*('Cálculos'!$C$290=1)*'Cálculos'!$C$97+'Cálculos'!$C$305)+'Cálculos'!$C$191)*('Cálculos'!$C$209+'Cálculos'!$C$124*(1+2.78*('Cálculos'!$C$196+(($C51)-$A$6:$A$51)*'Cálculos'!$C$98)/(('Cálculos'!$C$196+(($C51)-$A$6:$A$51)*'Cálculos'!$C$98)+1400)+'Cálculos'!$C$122)*'Cálculos'!$C$214+'Cálculos'!$C$125*(1+2.78*('Cálculos'!$C$196+(($C51)-$A$6:$A$51)*'Cálculos'!$C$98)/(('Cálculos'!$C$196+(($C51)-$A$6:$A$51)*'Cálculos'!$C$98)+1400)+'Cálculos'!$C$123)*'Cálculos'!$C$219)+('Cálculos'!$C$196+(($C51)-$A$6:$A$51)*'Cálculos'!$C$98)*('Cálculos'!$C$210+'Cálculos'!$C$124*(1+2.78*('Cálculos'!$C$196+(($C51)-$A$6:$A$51)*'Cálculos'!$C$98)/(('Cálculos'!$C$196+(($C51)-$A$6:$A$51)*'Cálculos'!$C$98)+1400)+'Cálculos'!$C$122)*'Cálculos'!$C$215+'Cálculos'!$C$125*(1+2.78*('Cálculos'!$C$196+(($C51)-$A$6:$A$51)*'Cálculos'!$C$98)/(('Cálculos'!$C$196+(($C51)-$A$6:$A$51)*'Cálculos'!$C$98)+1400)+'Cálculos'!$C$123)*'Cálculos'!$C$220)+('Cálculos'!$C$201*(1+'Cálculos'!$C$202+$A$6:$A$51*('Cálculos'!$C$290=2)*'Cálculos'!$C$101)+'Cálculos'!$C$203)*('Cálculos'!$C$211+'Cálculos'!$C$124*(1+2.78*('Cálculos'!$C$196+(($C51)-$A$6:$A$51)*'Cálculos'!$C$98)/(('Cálculos'!$C$196+(($C51)-$A$6:$A$51)*'Cálculos'!$C$98)+1400)+'Cálculos'!$C$122)*'Cálculos'!$C$216+'Cálculos'!$C$125*(1+2.78*('Cálculos'!$C$196+(($C51)-$A$6:$A$51)*'Cálculos'!$C$98)/(('Cálculos'!$C$196+(($C51)-$A$6:$A$51)*'Cálculos'!$C$98)+1400)+'Cálculos'!$C$123)*'Cálculos'!$C$221)+('Cálculos'!$C$204*(1+'Cálculos'!$C$205+$A$6:$A$51*('Cálculos'!$C$290=3)*'Cálculos'!$C$103)+'Cálculos'!$C$206)*('Cálculos'!$C$212+'Cálculos'!$C$124*(1+2.78*('Cálculos'!$C$196+(($C51)-$A$6:$A$51)*'Cálculos'!$C$98)/(('Cálculos'!$C$196+(($C51)-$A$6:$A$51)*'Cálculos'!$C$98)+1400)+'Cálculos'!$C$122)*'Cálculos'!$C$217+'Cálculos'!$C$125*(1+2.78*('Cálculos'!$C$196+(($C51)-$A$6:$A$51)*'Cálculos'!$C$98)/(('Cálculos'!$C$196+(($C51)-$A$6:$A$51)*'Cálculos'!$C$98)+1400)+'Cálculos'!$C$123)*'Cálculos'!$C$222)+('Cálculos'!$C$185*(1+'Cálculos'!$C$187+$A$6:$A$51*('Cálculos'!$C$290=1)*'Cálculos'!$C$97+'Cálculos'!$C$305)+'Cálculos'!$C$192)*('Cálculos'!$C$224+'Cálculos'!$C$124*(1+2.78*('Cálculos'!$C$197+(($C51)-$A$6:$A$51)*'Cálculos'!$C$98)/(('Cálculos'!$C$197+(($C51)-$A$6:$A$51)*'Cálculos'!$C$98)+1400)+'Cálculos'!$C$122)*'Cálculos'!$C$229+'Cálculos'!$C$125*(1+2.78*('Cálculos'!$C$197+(($C51)-$A$6:$A$51)*'Cálculos'!$C$98)/(('Cálculos'!$C$197+(($C51)-$A$6:$A$51)*'Cálculos'!$C$98)+1400)+'Cálculos'!$C$123)*'Cálculos'!$C$234)+('Cálculos'!$C$197+(($C51)-$A$6:$A$51)*'Cálculos'!$C$98)*('Cálculos'!$C$225+'Cálculos'!$C$124*(1+2.78*('Cálculos'!$C$197+(($C51)-$A$6:$A$51)*'Cálculos'!$C$98)/(('Cálculos'!$C$197+(($C51)-$A$6:$A$51)*'Cálculos'!$C$98)+1400)+'Cálculos'!$C$122)*'Cálculos'!$C$230+'Cálculos'!$C$125*(1+2.78*('Cálculos'!$C$197+(($C51)-$A$6:$A$51)*'Cálculos'!$C$98)/(('Cálculos'!$C$197+(($C51)-$A$6:$A$51)*'Cálculos'!$C$98)+1400)+'Cálculos'!$C$123)*'Cálculos'!$C$235)+('Cálculos'!$C$201*(1+'Cálculos'!$C$202+$A$6:$A$51*('Cálculos'!$C$290=2)*'Cálculos'!$C$101)+'Cálculos'!$C$203)*('Cálculos'!$C$226+'Cálculos'!$C$124*(1+2.78*('Cálculos'!$C$197+(($C51)-$A$6:$A$51)*'Cálculos'!$C$98)/(('Cálculos'!$C$197+(($C51)-$A$6:$A$51)*'Cálculos'!$C$98)+1400)+'Cálculos'!$C$122)*'Cálculos'!$C$231+'Cálculos'!$C$125*(1+2.78*('Cálculos'!$C$197+(($C51)-$A$6:$A$51)*'Cálculos'!$C$98)/(('Cálculos'!$C$197+(($C51)-$A$6:$A$51)*'Cálculos'!$C$98)+1400)+'Cálculos'!$C$123)*'Cálculos'!$C$236)+('Cálculos'!$C$204*(1+'Cálculos'!$C$205+$A$6:$A$51*('Cálculos'!$C$290=3)*'Cálculos'!$C$103)+'Cálculos'!$C$206)*('Cálculos'!$C$227+'Cálculos'!$C$124*(1+2.78*('Cálculos'!$C$197+(($C51)-$A$6:$A$51)*'Cálculos'!$C$98)/(('Cálculos'!$C$197+(($C51)-$A$6:$A$51)*'Cálculos'!$C$98)+1400)+'Cálculos'!$C$122)*'Cálculos'!$C$232+'Cálculos'!$C$125*(1+2.78*('Cálculos'!$C$197+(($C51)-$A$6:$A$51)*'Cálculos'!$C$98)/(('Cálculos'!$C$197+(($C51)-$A$6:$A$51)*'Cálculos'!$C$98)+1400)+'Cálculos'!$C$123)*'Cálculos'!$C$237)+('Cálculos'!$C$185*(1+'Cálculos'!$C$188+$A$6:$A$51*('Cálculos'!$C$290=1)*'Cálculos'!$C$97+'Cálculos'!$C$305)+'Cálculos'!$C$193)*('Cálculos'!$C$239+'Cálculos'!$C$124*(1+2.78*('Cálculos'!$C$198+(($C51)-$A$6:$A$51)*'Cálculos'!$C$98)/(('Cálculos'!$C$198+(($C51)-$A$6:$A$51)*'Cálculos'!$C$98)+1400)+'Cálculos'!$C$122)*'Cálculos'!$C$244+'Cálculos'!$C$125*(1+2.78*('Cálculos'!$C$198+(($C51)-$A$6:$A$51)*'Cálculos'!$C$98)/(('Cálculos'!$C$198+(($C51)-$A$6:$A$51)*'Cálculos'!$C$98)+1400)+'Cálculos'!$C$123)*'Cálculos'!$C$249)+('Cálculos'!$C$198+(($C51)-$A$6:$A$51)*'Cálculos'!$C$98)*('Cálculos'!$C$240+'Cálculos'!$C$124*(1+2.78*('Cálculos'!$C$198+(($C51)-$A$6:$A$51)*'Cálculos'!$C$98)/(('Cálculos'!$C$198+(($C51)-$A$6:$A$51)*'Cálculos'!$C$98)+1400)+'Cálculos'!$C$122)*'Cálculos'!$C$245+'Cálculos'!$C$125*(1+2.78*('Cálculos'!$C$198+(($C51)-$A$6:$A$51)*'Cálculos'!$C$98)/(('Cálculos'!$C$198+(($C51)-$A$6:$A$51)*'Cálculos'!$C$98)+1400)+'Cálculos'!$C$123)*'Cálculos'!$C$250)+('Cálculos'!$C$201*(1+'Cálculos'!$C$202+$A$6:$A$51*('Cálculos'!$C$290=2)*'Cálculos'!$C$101)+'Cálculos'!$C$203)*('Cálculos'!$C$241+'Cálculos'!$C$124*(1+2.78*('Cálculos'!$C$198+(($C51)-$A$6:$A$51)*'Cálculos'!$C$98)/(('Cálculos'!$C$198+(($C51)-$A$6:$A$51)*'Cálculos'!$C$98)+1400)+'Cálculos'!$C$122)*'Cálculos'!$C$246+'Cálculos'!$C$125*(1+2.78*('Cálculos'!$C$198+(($C51)-$A$6:$A$51)*'Cálculos'!$C$98)/(('Cálculos'!$C$198+(($C51)-$A$6:$A$51)*'Cálculos'!$C$98)+1400)+'Cálculos'!$C$123)*'Cálculos'!$C$251)+('Cálculos'!$C$204*(1+'Cálculos'!$C$205+$A$6:$A$51*('Cálculos'!$C$290=3)*'Cálculos'!$C$103)+'Cálculos'!$C$206)*('Cálculos'!$C$242+'Cálculos'!$C$124*(1+2.78*('Cálculos'!$C$198+(($C51)-$A$6:$A$51)*'Cálculos'!$C$98)/(('Cálculos'!$C$198+(($C51)-$A$6:$A$51)*'Cálculos'!$C$98)+1400)+'Cálculos'!$C$122)*'Cálculos'!$C$247+'Cálculos'!$C$125*(1+2.78*('Cálculos'!$C$198+(($C51)-$A$6:$A$51)*'Cálculos'!$C$98)/(('Cálculos'!$C$198+(($C51)-$A$6:$A$51)*'Cálculos'!$C$98)+1400)+'Cálculos'!$C$123)*'Cálculos'!$C$252)+('Cálculos'!$C$185*(1+'Cálculos'!$C$189+$A$6:$A$51*('Cálculos'!$C$290=1)*'Cálculos'!$C$97+'Cálculos'!$C$305)+'Cálculos'!$C$194)*('Cálculos'!$C$254+'Cálculos'!$C$124*(1+2.78*('Cálculos'!$C$199+(($C51)-$A$6:$A$51)*'Cálculos'!$C$98)/(('Cálculos'!$C$199+(($C51)-$A$6:$A$51)*'Cálculos'!$C$98)+1400)+'Cálculos'!$C$122)*'Cálculos'!$C$259+'Cálculos'!$C$125*(1+2.78*('Cálculos'!$C$199+(($C51)-$A$6:$A$51)*'Cálculos'!$C$98)/(('Cálculos'!$C$199+(($C51)-$A$6:$A$51)*'Cálculos'!$C$98)+1400)+'Cálculos'!$C$123)*'Cálculos'!$C$264)+('Cálculos'!$C$199+(($C51)-$A$6:$A$51)*'Cálculos'!$C$98)*('Cálculos'!$C$255+'Cálculos'!$C$124*(1+2.78*('Cálculos'!$C$199+(($C51)-$A$6:$A$51)*'Cálculos'!$C$98)/(('Cálculos'!$C$199+(($C51)-$A$6:$A$51)*'Cálculos'!$C$98)+1400)+'Cálculos'!$C$122)*'Cálculos'!$C$260+'Cálculos'!$C$125*(1+2.78*('Cálculos'!$C$199+(($C51)-$A$6:$A$51)*'Cálculos'!$C$98)/(('Cálculos'!$C$199+(($C51)-$A$6:$A$51)*'Cálculos'!$C$98)+1400)+'Cálculos'!$C$123)*'Cálculos'!$C$265)+('Cálculos'!$C$201*(1+'Cálculos'!$C$202+$A$6:$A$51*('Cálculos'!$C$290=2)*'Cálculos'!$C$101)+'Cálculos'!$C$203)*('Cálculos'!$C$256+'Cálculos'!$C$124*(1+2.78*('Cálculos'!$C$199+(($C51)-$A$6:$A$51)*'Cálculos'!$C$98)/(('Cálculos'!$C$199+(($C51)-$A$6:$A$51)*'Cálculos'!$C$98)+1400)+'Cálculos'!$C$122)*'Cálculos'!$C$261+'Cálculos'!$C$125*(1+2.78*('Cálculos'!$C$199+(($C51)-$A$6:$A$51)*'Cálculos'!$C$98)/(('Cálculos'!$C$199+(($C51)-$A$6:$A$51)*'Cálculos'!$C$98)+1400)+'Cálculos'!$C$123)*'Cálculos'!$C$266)+('Cálculos'!$C$204*(1+'Cálculos'!$C$205+$A$6:$A$51*('Cálculos'!$C$290=3)*'Cálculos'!$C$103)+'Cálculos'!$C$206)*('Cálculos'!$C$257+'Cálculos'!$C$124*(1+2.78*('Cálculos'!$C$199+(($C51)-$A$6:$A$51)*'Cálculos'!$C$98)/(('Cálculos'!$C$199+(($C51)-$A$6:$A$51)*'Cálculos'!$C$98)+1400)+'Cálculos'!$C$122)*'Cálculos'!$C$262+'Cálculos'!$C$125*(1+2.78*('Cálculos'!$C$199+(($C51)-$A$6:$A$51)*'Cálculos'!$C$98)/(('Cálculos'!$C$199+(($C51)-$A$6:$A$51)*'Cálculos'!$C$98)+1400)+'Cálculos'!$C$123)*'Cálculos'!$C$267)+('Cálculos'!$C$185*(1+'Cálculos'!$C$190+$A$6:$A$51*('Cálculos'!$C$290=1)*'Cálculos'!$C$97+'Cálculos'!$C$305)+'Cálculos'!$C$195)*('Cálculos'!$C$269+'Cálculos'!$C$124*(1+2.78*('Cálculos'!$C$200+(($C51)-$A$6:$A$51)*'Cálculos'!$C$98)/(('Cálculos'!$C$200+(($C51)-$A$6:$A$51)*'Cálculos'!$C$98)+1400)+'Cálculos'!$C$122)*'Cálculos'!$C$274+'Cálculos'!$C$125*(1+2.78*('Cálculos'!$C$200+(($C51)-$A$6:$A$51)*'Cálculos'!$C$98)/(('Cálculos'!$C$200+(($C51)-$A$6:$A$51)*'Cálculos'!$C$98)+1400)+'Cálculos'!$C$123)*'Cálculos'!$C$279)+('Cálculos'!$C$200+(($C51)-$A$6:$A$51)*'Cálculos'!$C$98)*('Cálculos'!$C$270+'Cálculos'!$C$124*(1+2.78*('Cálculos'!$C$200+(($C51)-$A$6:$A$51)*'Cálculos'!$C$98)/(('Cálculos'!$C$200+(($C51)-$A$6:$A$51)*'Cálculos'!$C$98)+1400)+'Cálculos'!$C$122)*'Cálculos'!$C$275+'Cálculos'!$C$125*(1+2.78*('Cálculos'!$C$200+(($C51)-$A$6:$A$51)*'Cálculos'!$C$98)/(('Cálculos'!$C$200+(($C51)-$A$6:$A$51)*'Cálculos'!$C$98)+1400)+'Cálculos'!$C$123)*'Cálculos'!$C$280)+('Cálculos'!$C$201*(1+'Cálculos'!$C$202+$A$6:$A$51*('Cálculos'!$C$290=2)*'Cálculos'!$C$101)+'Cálculos'!$C$203)*('Cálculos'!$C$271+'Cálculos'!$C$124*(1+2.78*('Cálculos'!$C$200+(($C51)-$A$6:$A$51)*'Cálculos'!$C$98)/(('Cálculos'!$C$200+(($C51)-$A$6:$A$51)*'Cálculos'!$C$98)+1400)+'Cálculos'!$C$122)*'Cálculos'!$C$276+'Cálculos'!$C$125*(1+2.78*('Cálculos'!$C$200+(($C51)-$A$6:$A$51)*'Cálculos'!$C$98)/(('Cálculos'!$C$200+(($C51)-$A$6:$A$51)*'Cálculos'!$C$98)+1400)+'Cálculos'!$C$123)*'Cálculos'!$C$281)+('Cálculos'!$C$204*(1+'Cálculos'!$C$205+$A$6:$A$51*('Cálculos'!$C$290=3)*'Cálculos'!$C$103)+'Cálculos'!$C$206)*('Cálculos'!$C$272+'Cálculos'!$C$124*(1+2.78*('Cálculos'!$C$200+(($C51)-$A$6:$A$51)*'Cálculos'!$C$98)/(('Cálculos'!$C$200+(($C51)-$A$6:$A$51)*'Cálculos'!$C$98)+1400)+'Cálculos'!$C$122)*'Cálculos'!$C$277+'Cálculos'!$C$125*(1+2.78*('Cálculos'!$C$200+(($C51)-$A$6:$A$51)*'Cálculos'!$C$98)/(('Cálculos'!$C$200+(($C51)-$A$6:$A$51)*'Cálculos'!$C$98)+1400)+'Cálculos'!$C$123)*'Cálculos'!$C$282)))))</f>
        <v>0</v>
      </c>
      <c r="E51" s="32">
        <f>IF(OR($C51&lt;0,'Cálculos'!$C$6=""),0,$B51*$D51)</f>
        <v>0</v>
      </c>
      <c r="F51" s="2"/>
      <c r="G51" s="30">
        <f>($A51&lt;=$B$53)*($A51&lt;='Cálculos'!$C$294)*(($B$53)-$A51&lt;='Cálculos'!$C$295)*(1+MIN(('Cálculos'!$C$207+$A51*'Cálculos'!$C$95),1)*('Cálculos'!$C$208+(($B$53)-$A51)*'Cálculos'!$C$96))</f>
        <v>0</v>
      </c>
      <c r="H51" s="31">
        <f>IF($B$54&lt;0,0,($A51&lt;=$B$54)*($A51&lt;='Cálculos'!$C$301)*(($B$54)-$A51&lt;='Cálculos'!$C$297)*(('Cálculos'!$C$185*(1+'Cálculos'!$C$186+$A51*('Cálculos'!$C$290=1)*'Cálculos'!$C$97+'Cálculos'!$C$305)+'Cálculos'!$C$191)*('Cálculos'!$C$209+'Cálculos'!$C$124*(1+2.78*('Cálculos'!$C$196+(($B$54)-$A51)*'Cálculos'!$C$98)/(('Cálculos'!$C$196+(($B$54)-$A51)*'Cálculos'!$C$98)+1400)+'Cálculos'!$C$122)*'Cálculos'!$C$214+'Cálculos'!$C$125*(1+2.78*('Cálculos'!$C$196+(($B$54)-$A51)*'Cálculos'!$C$98)/(('Cálculos'!$C$196+(($B$54)-$A51)*'Cálculos'!$C$98)+1400)+'Cálculos'!$C$123)*'Cálculos'!$C$219)+('Cálculos'!$C$196+(($B$54)-$A51)*'Cálculos'!$C$98)*('Cálculos'!$C$210+'Cálculos'!$C$124*(1+2.78*('Cálculos'!$C$196+(($B$54)-$A51)*'Cálculos'!$C$98)/(('Cálculos'!$C$196+(($B$54)-$A51)*'Cálculos'!$C$98)+1400)+'Cálculos'!$C$122)*'Cálculos'!$C$215+'Cálculos'!$C$125*(1+2.78*('Cálculos'!$C$196+(($B$54)-$A51)*'Cálculos'!$C$98)/(('Cálculos'!$C$196+(($B$54)-$A51)*'Cálculos'!$C$98)+1400)+'Cálculos'!$C$123)*'Cálculos'!$C$220)+('Cálculos'!$C$201*(1+'Cálculos'!$C$202+$A51*('Cálculos'!$C$290=2)*'Cálculos'!$C$101)+'Cálculos'!$C$203)*('Cálculos'!$C$211+'Cálculos'!$C$124*(1+2.78*('Cálculos'!$C$196+(($B$54)-$A51)*'Cálculos'!$C$98)/(('Cálculos'!$C$196+(($B$54)-$A51)*'Cálculos'!$C$98)+1400)+'Cálculos'!$C$122)*'Cálculos'!$C$216+'Cálculos'!$C$125*(1+2.78*('Cálculos'!$C$196+(($B$54)-$A51)*'Cálculos'!$C$98)/(('Cálculos'!$C$196+(($B$54)-$A51)*'Cálculos'!$C$98)+1400)+'Cálculos'!$C$123)*'Cálculos'!$C$221)+('Cálculos'!$C$204*(1+'Cálculos'!$C$205+$A51*('Cálculos'!$C$290=3)*'Cálculos'!$C$103)+'Cálculos'!$C$206)*('Cálculos'!$C$212+'Cálculos'!$C$124*(1+2.78*('Cálculos'!$C$196+(($B$54)-$A51)*'Cálculos'!$C$98)/(('Cálculos'!$C$196+(($B$54)-$A51)*'Cálculos'!$C$98)+1400)+'Cálculos'!$C$122)*'Cálculos'!$C$217+'Cálculos'!$C$125*(1+2.78*('Cálculos'!$C$196+(($B$54)-$A51)*'Cálculos'!$C$98)/(('Cálculos'!$C$196+(($B$54)-$A51)*'Cálculos'!$C$98)+1400)+'Cálculos'!$C$123)*'Cálculos'!$C$222)+('Cálculos'!$C$185*(1+'Cálculos'!$C$187+$A51*('Cálculos'!$C$290=1)*'Cálculos'!$C$97+'Cálculos'!$C$305)+'Cálculos'!$C$192)*('Cálculos'!$C$224+'Cálculos'!$C$124*(1+2.78*('Cálculos'!$C$197+(($B$54)-$A51)*'Cálculos'!$C$98)/(('Cálculos'!$C$197+(($B$54)-$A51)*'Cálculos'!$C$98)+1400)+'Cálculos'!$C$122)*'Cálculos'!$C$229+'Cálculos'!$C$125*(1+2.78*('Cálculos'!$C$197+(($B$54)-$A51)*'Cálculos'!$C$98)/(('Cálculos'!$C$197+(($B$54)-$A51)*'Cálculos'!$C$98)+1400)+'Cálculos'!$C$123)*'Cálculos'!$C$234)+('Cálculos'!$C$197+(($B$54)-$A51)*'Cálculos'!$C$98)*('Cálculos'!$C$225+'Cálculos'!$C$124*(1+2.78*('Cálculos'!$C$197+(($B$54)-$A51)*'Cálculos'!$C$98)/(('Cálculos'!$C$197+(($B$54)-$A51)*'Cálculos'!$C$98)+1400)+'Cálculos'!$C$122)*'Cálculos'!$C$230+'Cálculos'!$C$125*(1+2.78*('Cálculos'!$C$197+(($B$54)-$A51)*'Cálculos'!$C$98)/(('Cálculos'!$C$197+(($B$54)-$A51)*'Cálculos'!$C$98)+1400)+'Cálculos'!$C$123)*'Cálculos'!$C$235)+('Cálculos'!$C$201*(1+'Cálculos'!$C$202+$A51*('Cálculos'!$C$290=2)*'Cálculos'!$C$101)+'Cálculos'!$C$203)*('Cálculos'!$C$226+'Cálculos'!$C$124*(1+2.78*('Cálculos'!$C$197+(($B$54)-$A51)*'Cálculos'!$C$98)/(('Cálculos'!$C$197+(($B$54)-$A51)*'Cálculos'!$C$98)+1400)+'Cálculos'!$C$122)*'Cálculos'!$C$231+'Cálculos'!$C$125*(1+2.78*('Cálculos'!$C$197+(($B$54)-$A51)*'Cálculos'!$C$98)/(('Cálculos'!$C$197+(($B$54)-$A51)*'Cálculos'!$C$98)+1400)+'Cálculos'!$C$123)*'Cálculos'!$C$236)+('Cálculos'!$C$204*(1+'Cálculos'!$C$205+$A51*('Cálculos'!$C$290=3)*'Cálculos'!$C$103)+'Cálculos'!$C$206)*('Cálculos'!$C$227+'Cálculos'!$C$124*(1+2.78*('Cálculos'!$C$197+(($B$54)-$A51)*'Cálculos'!$C$98)/(('Cálculos'!$C$197+(($B$54)-$A51)*'Cálculos'!$C$98)+1400)+'Cálculos'!$C$122)*'Cálculos'!$C$232+'Cálculos'!$C$125*(1+2.78*('Cálculos'!$C$197+(($B$54)-$A51)*'Cálculos'!$C$98)/(('Cálculos'!$C$197+(($B$54)-$A51)*'Cálculos'!$C$98)+1400)+'Cálculos'!$C$123)*'Cálculos'!$C$237)+('Cálculos'!$C$185*(1+'Cálculos'!$C$188+$A51*('Cálculos'!$C$290=1)*'Cálculos'!$C$97+'Cálculos'!$C$305)+'Cálculos'!$C$193)*('Cálculos'!$C$239+'Cálculos'!$C$124*(1+2.78*('Cálculos'!$C$198+(($B$54)-$A51)*'Cálculos'!$C$98)/(('Cálculos'!$C$198+(($B$54)-$A51)*'Cálculos'!$C$98)+1400)+'Cálculos'!$C$122)*'Cálculos'!$C$244+'Cálculos'!$C$125*(1+2.78*('Cálculos'!$C$198+(($B$54)-$A51)*'Cálculos'!$C$98)/(('Cálculos'!$C$198+(($B$54)-$A51)*'Cálculos'!$C$98)+1400)+'Cálculos'!$C$123)*'Cálculos'!$C$249)+('Cálculos'!$C$198+(($B$54)-$A51)*'Cálculos'!$C$98)*('Cálculos'!$C$240+'Cálculos'!$C$124*(1+2.78*('Cálculos'!$C$198+(($B$54)-$A51)*'Cálculos'!$C$98)/(('Cálculos'!$C$198+(($B$54)-$A51)*'Cálculos'!$C$98)+1400)+'Cálculos'!$C$122)*'Cálculos'!$C$245+'Cálculos'!$C$125*(1+2.78*('Cálculos'!$C$198+(($B$54)-$A51)*'Cálculos'!$C$98)/(('Cálculos'!$C$198+(($B$54)-$A51)*'Cálculos'!$C$98)+1400)+'Cálculos'!$C$123)*'Cálculos'!$C$250)+('Cálculos'!$C$201*(1+'Cálculos'!$C$202+$A51*('Cálculos'!$C$290=2)*'Cálculos'!$C$101)+'Cálculos'!$C$203)*('Cálculos'!$C$241+'Cálculos'!$C$124*(1+2.78*('Cálculos'!$C$198+(($B$54)-$A51)*'Cálculos'!$C$98)/(('Cálculos'!$C$198+(($B$54)-$A51)*'Cálculos'!$C$98)+1400)+'Cálculos'!$C$122)*'Cálculos'!$C$246+'Cálculos'!$C$125*(1+2.78*('Cálculos'!$C$198+(($B$54)-$A51)*'Cálculos'!$C$98)/(('Cálculos'!$C$198+(($B$54)-$A51)*'Cálculos'!$C$98)+1400)+'Cálculos'!$C$123)*'Cálculos'!$C$251)+('Cálculos'!$C$204*(1+'Cálculos'!$C$205+$A51*('Cálculos'!$C$290=3)*'Cálculos'!$C$103)+'Cálculos'!$C$206)*('Cálculos'!$C$242+'Cálculos'!$C$124*(1+2.78*('Cálculos'!$C$198+(($B$54)-$A51)*'Cálculos'!$C$98)/(('Cálculos'!$C$198+(($B$54)-$A51)*'Cálculos'!$C$98)+1400)+'Cálculos'!$C$122)*'Cálculos'!$C$247+'Cálculos'!$C$125*(1+2.78*('Cálculos'!$C$198+(($B$54)-$A51)*'Cálculos'!$C$98)/(('Cálculos'!$C$198+(($B$54)-$A51)*'Cálculos'!$C$98)+1400)+'Cálculos'!$C$123)*'Cálculos'!$C$252)+('Cálculos'!$C$185*(1+'Cálculos'!$C$189+$A51*('Cálculos'!$C$290=1)*'Cálculos'!$C$97+'Cálculos'!$C$305)+'Cálculos'!$C$194)*('Cálculos'!$C$254+'Cálculos'!$C$124*(1+2.78*('Cálculos'!$C$199+(($B$54)-$A51)*'Cálculos'!$C$98)/(('Cálculos'!$C$199+(($B$54)-$A51)*'Cálculos'!$C$98)+1400)+'Cálculos'!$C$122)*'Cálculos'!$C$259+'Cálculos'!$C$125*(1+2.78*('Cálculos'!$C$199+(($B$54)-$A51)*'Cálculos'!$C$98)/(('Cálculos'!$C$199+(($B$54)-$A51)*'Cálculos'!$C$98)+1400)+'Cálculos'!$C$123)*'Cálculos'!$C$264)+('Cálculos'!$C$199+(($B$54)-$A51)*'Cálculos'!$C$98)*('Cálculos'!$C$255+'Cálculos'!$C$124*(1+2.78*('Cálculos'!$C$199+(($B$54)-$A51)*'Cálculos'!$C$98)/(('Cálculos'!$C$199+(($B$54)-$A51)*'Cálculos'!$C$98)+1400)+'Cálculos'!$C$122)*'Cálculos'!$C$260+'Cálculos'!$C$125*(1+2.78*('Cálculos'!$C$199+(($B$54)-$A51)*'Cálculos'!$C$98)/(('Cálculos'!$C$199+(($B$54)-$A51)*'Cálculos'!$C$98)+1400)+'Cálculos'!$C$123)*'Cálculos'!$C$265)+('Cálculos'!$C$201*(1+'Cálculos'!$C$202+$A51*('Cálculos'!$C$290=2)*'Cálculos'!$C$101)+'Cálculos'!$C$203)*('Cálculos'!$C$256+'Cálculos'!$C$124*(1+2.78*('Cálculos'!$C$199+(($B$54)-$A51)*'Cálculos'!$C$98)/(('Cálculos'!$C$199+(($B$54)-$A51)*'Cálculos'!$C$98)+1400)+'Cálculos'!$C$122)*'Cálculos'!$C$261+'Cálculos'!$C$125*(1+2.78*('Cálculos'!$C$199+(($B$54)-$A51)*'Cálculos'!$C$98)/(('Cálculos'!$C$199+(($B$54)-$A51)*'Cálculos'!$C$98)+1400)+'Cálculos'!$C$123)*'Cálculos'!$C$266)+('Cálculos'!$C$204*(1+'Cálculos'!$C$205+$A51*('Cálculos'!$C$290=3)*'Cálculos'!$C$103)+'Cálculos'!$C$206)*('Cálculos'!$C$257+'Cálculos'!$C$124*(1+2.78*('Cálculos'!$C$199+(($B$54)-$A51)*'Cálculos'!$C$98)/(('Cálculos'!$C$199+(($B$54)-$A51)*'Cálculos'!$C$98)+1400)+'Cálculos'!$C$122)*'Cálculos'!$C$262+'Cálculos'!$C$125*(1+2.78*('Cálculos'!$C$199+(($B$54)-$A51)*'Cálculos'!$C$98)/(('Cálculos'!$C$199+(($B$54)-$A51)*'Cálculos'!$C$98)+1400)+'Cálculos'!$C$123)*'Cálculos'!$C$267)+('Cálculos'!$C$185*(1+'Cálculos'!$C$190+$A51*('Cálculos'!$C$290=1)*'Cálculos'!$C$97+'Cálculos'!$C$305)+'Cálculos'!$C$195)*('Cálculos'!$C$269+'Cálculos'!$C$124*(1+2.78*('Cálculos'!$C$200+(($B$54)-$A51)*'Cálculos'!$C$98)/(('Cálculos'!$C$200+(($B$54)-$A51)*'Cálculos'!$C$98)+1400)+'Cálculos'!$C$122)*'Cálculos'!$C$274+'Cálculos'!$C$125*(1+2.78*('Cálculos'!$C$200+(($B$54)-$A51)*'Cálculos'!$C$98)/(('Cálculos'!$C$200+(($B$54)-$A51)*'Cálculos'!$C$98)+1400)+'Cálculos'!$C$123)*'Cálculos'!$C$279)+('Cálculos'!$C$200+(($B$54)-$A51)*'Cálculos'!$C$98)*('Cálculos'!$C$270+'Cálculos'!$C$124*(1+2.78*('Cálculos'!$C$200+(($B$54)-$A51)*'Cálculos'!$C$98)/(('Cálculos'!$C$200+(($B$54)-$A51)*'Cálculos'!$C$98)+1400)+'Cálculos'!$C$122)*'Cálculos'!$C$275+'Cálculos'!$C$125*(1+2.78*('Cálculos'!$C$200+(($B$54)-$A51)*'Cálculos'!$C$98)/(('Cálculos'!$C$200+(($B$54)-$A51)*'Cálculos'!$C$98)+1400)+'Cálculos'!$C$123)*'Cálculos'!$C$280)+('Cálculos'!$C$201*(1+'Cálculos'!$C$202+$A51*('Cálculos'!$C$290=2)*'Cálculos'!$C$101)+'Cálculos'!$C$203)*('Cálculos'!$C$271+'Cálculos'!$C$124*(1+2.78*('Cálculos'!$C$200+(($B$54)-$A51)*'Cálculos'!$C$98)/(('Cálculos'!$C$200+(($B$54)-$A51)*'Cálculos'!$C$98)+1400)+'Cálculos'!$C$122)*'Cálculos'!$C$276+'Cálculos'!$C$125*(1+2.78*('Cálculos'!$C$200+(($B$54)-$A51)*'Cálculos'!$C$98)/(('Cálculos'!$C$200+(($B$54)-$A51)*'Cálculos'!$C$98)+1400)+'Cálculos'!$C$123)*'Cálculos'!$C$281)+('Cálculos'!$C$204*(1+'Cálculos'!$C$205+$A51*('Cálculos'!$C$290=3)*'Cálculos'!$C$103)+'Cálculos'!$C$206)*('Cálculos'!$C$272+'Cálculos'!$C$124*(1+2.78*('Cálculos'!$C$200+(($B$54)-$A51)*'Cálculos'!$C$98)/(('Cálculos'!$C$200+(($B$54)-$A51)*'Cálculos'!$C$98)+1400)+'Cálculos'!$C$122)*'Cálculos'!$C$277+'Cálculos'!$C$125*(1+2.78*('Cálculos'!$C$200+(($B$54)-$A51)*'Cálculos'!$C$98)/(('Cálculos'!$C$200+(($B$54)-$A51)*'Cálculos'!$C$98)+1400)+'Cálculos'!$C$123)*'Cálculos'!$C$282)))</f>
        <v>0</v>
      </c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3" t="s">
        <v>888</v>
      </c>
      <c r="B53" s="2">
        <f>IF('Cálculos'!$C$304="",MATCH(MAX($E$6:$E$51),$E$6:$E$51,0)-1,'Cálculos'!$C$304)</f>
        <v>16</v>
      </c>
      <c r="C53" s="2"/>
      <c r="D53" s="2"/>
      <c r="E53" s="2"/>
      <c r="F53" s="2"/>
      <c r="G53" s="2"/>
      <c r="H53" s="2"/>
    </row>
    <row r="54" ht="15.75" customHeight="1">
      <c r="A54" s="3" t="s">
        <v>889</v>
      </c>
      <c r="B54" s="2">
        <f>'Cálculos'!$C$303-$B$53</f>
        <v>4</v>
      </c>
      <c r="C54" s="2"/>
      <c r="D54" s="2"/>
      <c r="E54" s="2"/>
      <c r="F54" s="2"/>
      <c r="G54" s="2"/>
      <c r="H54" s="2"/>
    </row>
    <row r="55" ht="15.75" customHeight="1">
      <c r="A55" s="3" t="s">
        <v>637</v>
      </c>
      <c r="B55" s="37">
        <f>MATCH(MAX($G$6:$G$51),$G$6:$G$51,0)-1</f>
        <v>11</v>
      </c>
      <c r="C55" s="2"/>
      <c r="D55" s="2"/>
      <c r="E55" s="2"/>
      <c r="F55" s="2"/>
      <c r="G55" s="2"/>
      <c r="H55" s="2"/>
    </row>
    <row r="56" ht="15.75" customHeight="1">
      <c r="A56" s="3" t="s">
        <v>638</v>
      </c>
      <c r="B56" s="37">
        <f>$B$53-$B$55</f>
        <v>5</v>
      </c>
      <c r="C56" s="2"/>
      <c r="D56" s="2"/>
      <c r="E56" s="2"/>
      <c r="F56" s="2"/>
      <c r="G56" s="2"/>
      <c r="H56" s="2"/>
    </row>
    <row r="57" ht="15.75" customHeight="1">
      <c r="A57" s="3" t="s">
        <v>890</v>
      </c>
      <c r="B57" s="37">
        <f>MATCH(MAX($H$6:$H$51),$H$6:$H$51,0)-1</f>
        <v>0</v>
      </c>
      <c r="C57" s="2"/>
      <c r="D57" s="2"/>
      <c r="E57" s="2"/>
      <c r="F57" s="2"/>
      <c r="G57" s="2"/>
      <c r="H57" s="2"/>
    </row>
    <row r="58" ht="15.75" customHeight="1">
      <c r="A58" s="3" t="s">
        <v>640</v>
      </c>
      <c r="B58" s="37">
        <f>$B$54-$B$57</f>
        <v>4</v>
      </c>
      <c r="C58" s="2"/>
      <c r="D58" s="2"/>
      <c r="E58" s="2"/>
      <c r="F58" s="2"/>
      <c r="G58" s="2"/>
      <c r="H58" s="2"/>
    </row>
    <row r="59" ht="15.75" customHeight="1">
      <c r="A59" s="3" t="s">
        <v>641</v>
      </c>
      <c r="B59" s="37">
        <f>'Cálculos'!$C$302</f>
        <v>0</v>
      </c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3" t="str">
        <f>"Slot 2: "&amp;'Cálculos'!D6</f>
        <v>Slot 2: Citlali</v>
      </c>
      <c r="B61" s="2"/>
      <c r="C61" s="2"/>
      <c r="D61" s="2"/>
      <c r="E61" s="2"/>
      <c r="F61" s="2"/>
      <c r="G61" s="2"/>
      <c r="H61" s="2"/>
    </row>
    <row r="62" ht="15.75" customHeight="1">
      <c r="A62" s="6" t="s">
        <v>329</v>
      </c>
      <c r="B62" s="6" t="s">
        <v>330</v>
      </c>
      <c r="C62" s="6" t="s">
        <v>331</v>
      </c>
      <c r="D62" s="6" t="s">
        <v>332</v>
      </c>
      <c r="E62" s="6" t="s">
        <v>333</v>
      </c>
      <c r="F62" s="6"/>
      <c r="G62" s="6" t="s">
        <v>334</v>
      </c>
      <c r="H62" s="6" t="s">
        <v>335</v>
      </c>
    </row>
    <row r="63" ht="15.75" customHeight="1">
      <c r="A63" s="2">
        <v>0.0</v>
      </c>
      <c r="B63" s="30">
        <f>SUMPRODUCT(MAX(($A$63:$A$108&lt;=$A63)*($A$63:$A$108&lt;='Cálculos'!$D$294)*(($A63)-$A$63:$A$108&lt;='Cálculos'!$D$295)*(1+(('Cálculos'!$D$207+$A$63:$A$108*'Cálculos'!$D$95)-(('Cálculos'!$D$207+$A$63:$A$108*'Cálculos'!$D$95)&gt;1)*(('Cálculos'!$D$207+$A$63:$A$108*'Cálculos'!$D$95)-1))*('Cálculos'!$D$208+(($A63)-$A$63:$A$108)*'Cálculos'!$D$96))))</f>
        <v>1.206921083</v>
      </c>
      <c r="C63" s="2">
        <f>'Cálculos'!$D$303-$A63</f>
        <v>11</v>
      </c>
      <c r="D63" s="31">
        <f>IF($C63&lt;0,0,SUMPRODUCT(MAX(($A$63:$A$108&lt;=$C63)*($A$63:$A$108&lt;='Cálculos'!$D$301)*(($C63)-$A$63:$A$108&lt;='Cálculos'!$D$297)*(('Cálculos'!$D$185*(1+'Cálculos'!$D$186+$A$63:$A$108*('Cálculos'!$D$290=1)*'Cálculos'!$D$97+'Cálculos'!$D$305)+'Cálculos'!$D$191)*('Cálculos'!$D$209+'Cálculos'!$D$124*(1+2.78*('Cálculos'!$D$196+(($C63)-$A$63:$A$108)*'Cálculos'!$D$98)/(('Cálculos'!$D$196+(($C63)-$A$63:$A$108)*'Cálculos'!$D$98)+1400)+'Cálculos'!$D$122)*'Cálculos'!$D$214+'Cálculos'!$D$125*(1+2.78*('Cálculos'!$D$196+(($C63)-$A$63:$A$108)*'Cálculos'!$D$98)/(('Cálculos'!$D$196+(($C63)-$A$63:$A$108)*'Cálculos'!$D$98)+1400)+'Cálculos'!$D$123)*'Cálculos'!$D$219)+('Cálculos'!$D$196+(($C63)-$A$63:$A$108)*'Cálculos'!$D$98)*('Cálculos'!$D$210+'Cálculos'!$D$124*(1+2.78*('Cálculos'!$D$196+(($C63)-$A$63:$A$108)*'Cálculos'!$D$98)/(('Cálculos'!$D$196+(($C63)-$A$63:$A$108)*'Cálculos'!$D$98)+1400)+'Cálculos'!$D$122)*'Cálculos'!$D$215+'Cálculos'!$D$125*(1+2.78*('Cálculos'!$D$196+(($C63)-$A$63:$A$108)*'Cálculos'!$D$98)/(('Cálculos'!$D$196+(($C63)-$A$63:$A$108)*'Cálculos'!$D$98)+1400)+'Cálculos'!$D$123)*'Cálculos'!$D$220)+('Cálculos'!$D$201*(1+'Cálculos'!$D$202+$A$63:$A$108*('Cálculos'!$D$290=2)*'Cálculos'!$D$101)+'Cálculos'!$D$203)*('Cálculos'!$D$211+'Cálculos'!$D$124*(1+2.78*('Cálculos'!$D$196+(($C63)-$A$63:$A$108)*'Cálculos'!$D$98)/(('Cálculos'!$D$196+(($C63)-$A$63:$A$108)*'Cálculos'!$D$98)+1400)+'Cálculos'!$D$122)*'Cálculos'!$D$216+'Cálculos'!$D$125*(1+2.78*('Cálculos'!$D$196+(($C63)-$A$63:$A$108)*'Cálculos'!$D$98)/(('Cálculos'!$D$196+(($C63)-$A$63:$A$108)*'Cálculos'!$D$98)+1400)+'Cálculos'!$D$123)*'Cálculos'!$D$221)+('Cálculos'!$D$204*(1+'Cálculos'!$D$205+$A$63:$A$108*('Cálculos'!$D$290=3)*'Cálculos'!$D$103)+'Cálculos'!$D$206)*('Cálculos'!$D$212+'Cálculos'!$D$124*(1+2.78*('Cálculos'!$D$196+(($C63)-$A$63:$A$108)*'Cálculos'!$D$98)/(('Cálculos'!$D$196+(($C63)-$A$63:$A$108)*'Cálculos'!$D$98)+1400)+'Cálculos'!$D$122)*'Cálculos'!$D$217+'Cálculos'!$D$125*(1+2.78*('Cálculos'!$D$196+(($C63)-$A$63:$A$108)*'Cálculos'!$D$98)/(('Cálculos'!$D$196+(($C63)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63)-$A$63:$A$108)*'Cálculos'!$D$98)/(('Cálculos'!$D$197+(($C63)-$A$63:$A$108)*'Cálculos'!$D$98)+1400)+'Cálculos'!$D$122)*'Cálculos'!$D$229+'Cálculos'!$D$125*(1+2.78*('Cálculos'!$D$197+(($C63)-$A$63:$A$108)*'Cálculos'!$D$98)/(('Cálculos'!$D$197+(($C63)-$A$63:$A$108)*'Cálculos'!$D$98)+1400)+'Cálculos'!$D$123)*'Cálculos'!$D$234)+('Cálculos'!$D$197+(($C63)-$A$63:$A$108)*'Cálculos'!$D$98)*('Cálculos'!$D$225+'Cálculos'!$D$124*(1+2.78*('Cálculos'!$D$197+(($C63)-$A$63:$A$108)*'Cálculos'!$D$98)/(('Cálculos'!$D$197+(($C63)-$A$63:$A$108)*'Cálculos'!$D$98)+1400)+'Cálculos'!$D$122)*'Cálculos'!$D$230+'Cálculos'!$D$125*(1+2.78*('Cálculos'!$D$197+(($C63)-$A$63:$A$108)*'Cálculos'!$D$98)/(('Cálculos'!$D$197+(($C63)-$A$63:$A$108)*'Cálculos'!$D$98)+1400)+'Cálculos'!$D$123)*'Cálculos'!$D$235)+('Cálculos'!$D$201*(1+'Cálculos'!$D$202+$A$63:$A$108*('Cálculos'!$D$290=2)*'Cálculos'!$D$101)+'Cálculos'!$D$203)*('Cálculos'!$D$226+'Cálculos'!$D$124*(1+2.78*('Cálculos'!$D$197+(($C63)-$A$63:$A$108)*'Cálculos'!$D$98)/(('Cálculos'!$D$197+(($C63)-$A$63:$A$108)*'Cálculos'!$D$98)+1400)+'Cálculos'!$D$122)*'Cálculos'!$D$231+'Cálculos'!$D$125*(1+2.78*('Cálculos'!$D$197+(($C63)-$A$63:$A$108)*'Cálculos'!$D$98)/(('Cálculos'!$D$197+(($C63)-$A$63:$A$108)*'Cálculos'!$D$98)+1400)+'Cálculos'!$D$123)*'Cálculos'!$D$236)+('Cálculos'!$D$204*(1+'Cálculos'!$D$205+$A$63:$A$108*('Cálculos'!$D$290=3)*'Cálculos'!$D$103)+'Cálculos'!$D$206)*('Cálculos'!$D$227+'Cálculos'!$D$124*(1+2.78*('Cálculos'!$D$197+(($C63)-$A$63:$A$108)*'Cálculos'!$D$98)/(('Cálculos'!$D$197+(($C63)-$A$63:$A$108)*'Cálculos'!$D$98)+1400)+'Cálculos'!$D$122)*'Cálculos'!$D$232+'Cálculos'!$D$125*(1+2.78*('Cálculos'!$D$197+(($C63)-$A$63:$A$108)*'Cálculos'!$D$98)/(('Cálculos'!$D$197+(($C63)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63)-$A$63:$A$108)*'Cálculos'!$D$98)/(('Cálculos'!$D$198+(($C63)-$A$63:$A$108)*'Cálculos'!$D$98)+1400)+'Cálculos'!$D$122)*'Cálculos'!$D$244+'Cálculos'!$D$125*(1+2.78*('Cálculos'!$D$198+(($C63)-$A$63:$A$108)*'Cálculos'!$D$98)/(('Cálculos'!$D$198+(($C63)-$A$63:$A$108)*'Cálculos'!$D$98)+1400)+'Cálculos'!$D$123)*'Cálculos'!$D$249)+('Cálculos'!$D$198+(($C63)-$A$63:$A$108)*'Cálculos'!$D$98)*('Cálculos'!$D$240+'Cálculos'!$D$124*(1+2.78*('Cálculos'!$D$198+(($C63)-$A$63:$A$108)*'Cálculos'!$D$98)/(('Cálculos'!$D$198+(($C63)-$A$63:$A$108)*'Cálculos'!$D$98)+1400)+'Cálculos'!$D$122)*'Cálculos'!$D$245+'Cálculos'!$D$125*(1+2.78*('Cálculos'!$D$198+(($C63)-$A$63:$A$108)*'Cálculos'!$D$98)/(('Cálculos'!$D$198+(($C63)-$A$63:$A$108)*'Cálculos'!$D$98)+1400)+'Cálculos'!$D$123)*'Cálculos'!$D$250)+('Cálculos'!$D$201*(1+'Cálculos'!$D$202+$A$63:$A$108*('Cálculos'!$D$290=2)*'Cálculos'!$D$101)+'Cálculos'!$D$203)*('Cálculos'!$D$241+'Cálculos'!$D$124*(1+2.78*('Cálculos'!$D$198+(($C63)-$A$63:$A$108)*'Cálculos'!$D$98)/(('Cálculos'!$D$198+(($C63)-$A$63:$A$108)*'Cálculos'!$D$98)+1400)+'Cálculos'!$D$122)*'Cálculos'!$D$246+'Cálculos'!$D$125*(1+2.78*('Cálculos'!$D$198+(($C63)-$A$63:$A$108)*'Cálculos'!$D$98)/(('Cálculos'!$D$198+(($C63)-$A$63:$A$108)*'Cálculos'!$D$98)+1400)+'Cálculos'!$D$123)*'Cálculos'!$D$251)+('Cálculos'!$D$204*(1+'Cálculos'!$D$205+$A$63:$A$108*('Cálculos'!$D$290=3)*'Cálculos'!$D$103)+'Cálculos'!$D$206)*('Cálculos'!$D$242+'Cálculos'!$D$124*(1+2.78*('Cálculos'!$D$198+(($C63)-$A$63:$A$108)*'Cálculos'!$D$98)/(('Cálculos'!$D$198+(($C63)-$A$63:$A$108)*'Cálculos'!$D$98)+1400)+'Cálculos'!$D$122)*'Cálculos'!$D$247+'Cálculos'!$D$125*(1+2.78*('Cálculos'!$D$198+(($C63)-$A$63:$A$108)*'Cálculos'!$D$98)/(('Cálculos'!$D$198+(($C63)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63)-$A$63:$A$108)*'Cálculos'!$D$98)/(('Cálculos'!$D$199+(($C63)-$A$63:$A$108)*'Cálculos'!$D$98)+1400)+'Cálculos'!$D$122)*'Cálculos'!$D$259+'Cálculos'!$D$125*(1+2.78*('Cálculos'!$D$199+(($C63)-$A$63:$A$108)*'Cálculos'!$D$98)/(('Cálculos'!$D$199+(($C63)-$A$63:$A$108)*'Cálculos'!$D$98)+1400)+'Cálculos'!$D$123)*'Cálculos'!$D$264)+('Cálculos'!$D$199+(($C63)-$A$63:$A$108)*'Cálculos'!$D$98)*('Cálculos'!$D$255+'Cálculos'!$D$124*(1+2.78*('Cálculos'!$D$199+(($C63)-$A$63:$A$108)*'Cálculos'!$D$98)/(('Cálculos'!$D$199+(($C63)-$A$63:$A$108)*'Cálculos'!$D$98)+1400)+'Cálculos'!$D$122)*'Cálculos'!$D$260+'Cálculos'!$D$125*(1+2.78*('Cálculos'!$D$199+(($C63)-$A$63:$A$108)*'Cálculos'!$D$98)/(('Cálculos'!$D$199+(($C63)-$A$63:$A$108)*'Cálculos'!$D$98)+1400)+'Cálculos'!$D$123)*'Cálculos'!$D$265)+('Cálculos'!$D$201*(1+'Cálculos'!$D$202+$A$63:$A$108*('Cálculos'!$D$290=2)*'Cálculos'!$D$101)+'Cálculos'!$D$203)*('Cálculos'!$D$256+'Cálculos'!$D$124*(1+2.78*('Cálculos'!$D$199+(($C63)-$A$63:$A$108)*'Cálculos'!$D$98)/(('Cálculos'!$D$199+(($C63)-$A$63:$A$108)*'Cálculos'!$D$98)+1400)+'Cálculos'!$D$122)*'Cálculos'!$D$261+'Cálculos'!$D$125*(1+2.78*('Cálculos'!$D$199+(($C63)-$A$63:$A$108)*'Cálculos'!$D$98)/(('Cálculos'!$D$199+(($C63)-$A$63:$A$108)*'Cálculos'!$D$98)+1400)+'Cálculos'!$D$123)*'Cálculos'!$D$266)+('Cálculos'!$D$204*(1+'Cálculos'!$D$205+$A$63:$A$108*('Cálculos'!$D$290=3)*'Cálculos'!$D$103)+'Cálculos'!$D$206)*('Cálculos'!$D$257+'Cálculos'!$D$124*(1+2.78*('Cálculos'!$D$199+(($C63)-$A$63:$A$108)*'Cálculos'!$D$98)/(('Cálculos'!$D$199+(($C63)-$A$63:$A$108)*'Cálculos'!$D$98)+1400)+'Cálculos'!$D$122)*'Cálculos'!$D$262+'Cálculos'!$D$125*(1+2.78*('Cálculos'!$D$199+(($C63)-$A$63:$A$108)*'Cálculos'!$D$98)/(('Cálculos'!$D$199+(($C63)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63)-$A$63:$A$108)*'Cálculos'!$D$98)/(('Cálculos'!$D$200+(($C63)-$A$63:$A$108)*'Cálculos'!$D$98)+1400)+'Cálculos'!$D$122)*'Cálculos'!$D$274+'Cálculos'!$D$125*(1+2.78*('Cálculos'!$D$200+(($C63)-$A$63:$A$108)*'Cálculos'!$D$98)/(('Cálculos'!$D$200+(($C63)-$A$63:$A$108)*'Cálculos'!$D$98)+1400)+'Cálculos'!$D$123)*'Cálculos'!$D$279)+('Cálculos'!$D$200+(($C63)-$A$63:$A$108)*'Cálculos'!$D$98)*('Cálculos'!$D$270+'Cálculos'!$D$124*(1+2.78*('Cálculos'!$D$200+(($C63)-$A$63:$A$108)*'Cálculos'!$D$98)/(('Cálculos'!$D$200+(($C63)-$A$63:$A$108)*'Cálculos'!$D$98)+1400)+'Cálculos'!$D$122)*'Cálculos'!$D$275+'Cálculos'!$D$125*(1+2.78*('Cálculos'!$D$200+(($C63)-$A$63:$A$108)*'Cálculos'!$D$98)/(('Cálculos'!$D$200+(($C63)-$A$63:$A$108)*'Cálculos'!$D$98)+1400)+'Cálculos'!$D$123)*'Cálculos'!$D$280)+('Cálculos'!$D$201*(1+'Cálculos'!$D$202+$A$63:$A$108*('Cálculos'!$D$290=2)*'Cálculos'!$D$101)+'Cálculos'!$D$203)*('Cálculos'!$D$271+'Cálculos'!$D$124*(1+2.78*('Cálculos'!$D$200+(($C63)-$A$63:$A$108)*'Cálculos'!$D$98)/(('Cálculos'!$D$200+(($C63)-$A$63:$A$108)*'Cálculos'!$D$98)+1400)+'Cálculos'!$D$122)*'Cálculos'!$D$276+'Cálculos'!$D$125*(1+2.78*('Cálculos'!$D$200+(($C63)-$A$63:$A$108)*'Cálculos'!$D$98)/(('Cálculos'!$D$200+(($C63)-$A$63:$A$108)*'Cálculos'!$D$98)+1400)+'Cálculos'!$D$123)*'Cálculos'!$D$281)+('Cálculos'!$D$204*(1+'Cálculos'!$D$205+$A$63:$A$108*('Cálculos'!$D$290=3)*'Cálculos'!$D$103)+'Cálculos'!$D$206)*('Cálculos'!$D$272+'Cálculos'!$D$124*(1+2.78*('Cálculos'!$D$200+(($C63)-$A$63:$A$108)*'Cálculos'!$D$98)/(('Cálculos'!$D$200+(($C63)-$A$63:$A$108)*'Cálculos'!$D$98)+1400)+'Cálculos'!$D$122)*'Cálculos'!$D$277+'Cálculos'!$D$125*(1+2.78*('Cálculos'!$D$200+(($C63)-$A$63:$A$108)*'Cálculos'!$D$98)/(('Cálculos'!$D$200+(($C63)-$A$63:$A$108)*'Cálculos'!$D$98)+1400)+'Cálculos'!$D$123)*'Cálculos'!$D$282)))))</f>
        <v>82031.08762</v>
      </c>
      <c r="E63" s="32">
        <f>IF(OR($C63&lt;0,'Cálculos'!$D$6=""),0,$B63*$D63)</f>
        <v>99005.04911</v>
      </c>
      <c r="F63" s="2"/>
      <c r="G63" s="30">
        <f>($A63&lt;=$B$110)*($A63&lt;='Cálculos'!$D$294)*(($B$110)-$A63&lt;='Cálculos'!$D$295)*(1+MIN(('Cálculos'!$D$207+$A63*'Cálculos'!$D$95),1)*('Cálculos'!$D$208+(($B$110)-$A63)*'Cálculos'!$D$96))</f>
        <v>1.415457309</v>
      </c>
      <c r="H63" s="31">
        <f>IF($B$111&lt;0,0,($A63&lt;=$B$111)*($A63&lt;='Cálculos'!$D$301)*(($B$111)-$A63&lt;='Cálculos'!$D$297)*(('Cálculos'!$D$185*(1+'Cálculos'!$D$186+$A63*('Cálculos'!$D$290=1)*'Cálculos'!$D$97+'Cálculos'!$D$305)+'Cálculos'!$D$191)*('Cálculos'!$D$209+'Cálculos'!$D$124*(1+2.78*('Cálculos'!$D$196+(($B$111)-$A63)*'Cálculos'!$D$98)/(('Cálculos'!$D$196+(($B$111)-$A63)*'Cálculos'!$D$98)+1400)+'Cálculos'!$D$122)*'Cálculos'!$D$214+'Cálculos'!$D$125*(1+2.78*('Cálculos'!$D$196+(($B$111)-$A63)*'Cálculos'!$D$98)/(('Cálculos'!$D$196+(($B$111)-$A63)*'Cálculos'!$D$98)+1400)+'Cálculos'!$D$123)*'Cálculos'!$D$219)+('Cálculos'!$D$196+(($B$111)-$A63)*'Cálculos'!$D$98)*('Cálculos'!$D$210+'Cálculos'!$D$124*(1+2.78*('Cálculos'!$D$196+(($B$111)-$A63)*'Cálculos'!$D$98)/(('Cálculos'!$D$196+(($B$111)-$A63)*'Cálculos'!$D$98)+1400)+'Cálculos'!$D$122)*'Cálculos'!$D$215+'Cálculos'!$D$125*(1+2.78*('Cálculos'!$D$196+(($B$111)-$A63)*'Cálculos'!$D$98)/(('Cálculos'!$D$196+(($B$111)-$A63)*'Cálculos'!$D$98)+1400)+'Cálculos'!$D$123)*'Cálculos'!$D$220)+('Cálculos'!$D$201*(1+'Cálculos'!$D$202+$A63*('Cálculos'!$D$290=2)*'Cálculos'!$D$101)+'Cálculos'!$D$203)*('Cálculos'!$D$211+'Cálculos'!$D$124*(1+2.78*('Cálculos'!$D$196+(($B$111)-$A63)*'Cálculos'!$D$98)/(('Cálculos'!$D$196+(($B$111)-$A63)*'Cálculos'!$D$98)+1400)+'Cálculos'!$D$122)*'Cálculos'!$D$216+'Cálculos'!$D$125*(1+2.78*('Cálculos'!$D$196+(($B$111)-$A63)*'Cálculos'!$D$98)/(('Cálculos'!$D$196+(($B$111)-$A63)*'Cálculos'!$D$98)+1400)+'Cálculos'!$D$123)*'Cálculos'!$D$221)+('Cálculos'!$D$204*(1+'Cálculos'!$D$205+$A63*('Cálculos'!$D$290=3)*'Cálculos'!$D$103)+'Cálculos'!$D$206)*('Cálculos'!$D$212+'Cálculos'!$D$124*(1+2.78*('Cálculos'!$D$196+(($B$111)-$A63)*'Cálculos'!$D$98)/(('Cálculos'!$D$196+(($B$111)-$A63)*'Cálculos'!$D$98)+1400)+'Cálculos'!$D$122)*'Cálculos'!$D$217+'Cálculos'!$D$125*(1+2.78*('Cálculos'!$D$196+(($B$111)-$A63)*'Cálculos'!$D$98)/(('Cálculos'!$D$196+(($B$111)-$A63)*'Cálculos'!$D$98)+1400)+'Cálculos'!$D$123)*'Cálculos'!$D$222)+('Cálculos'!$D$185*(1+'Cálculos'!$D$187+$A63*('Cálculos'!$D$290=1)*'Cálculos'!$D$97+'Cálculos'!$D$305)+'Cálculos'!$D$192)*('Cálculos'!$D$224+'Cálculos'!$D$124*(1+2.78*('Cálculos'!$D$197+(($B$111)-$A63)*'Cálculos'!$D$98)/(('Cálculos'!$D$197+(($B$111)-$A63)*'Cálculos'!$D$98)+1400)+'Cálculos'!$D$122)*'Cálculos'!$D$229+'Cálculos'!$D$125*(1+2.78*('Cálculos'!$D$197+(($B$111)-$A63)*'Cálculos'!$D$98)/(('Cálculos'!$D$197+(($B$111)-$A63)*'Cálculos'!$D$98)+1400)+'Cálculos'!$D$123)*'Cálculos'!$D$234)+('Cálculos'!$D$197+(($B$111)-$A63)*'Cálculos'!$D$98)*('Cálculos'!$D$225+'Cálculos'!$D$124*(1+2.78*('Cálculos'!$D$197+(($B$111)-$A63)*'Cálculos'!$D$98)/(('Cálculos'!$D$197+(($B$111)-$A63)*'Cálculos'!$D$98)+1400)+'Cálculos'!$D$122)*'Cálculos'!$D$230+'Cálculos'!$D$125*(1+2.78*('Cálculos'!$D$197+(($B$111)-$A63)*'Cálculos'!$D$98)/(('Cálculos'!$D$197+(($B$111)-$A63)*'Cálculos'!$D$98)+1400)+'Cálculos'!$D$123)*'Cálculos'!$D$235)+('Cálculos'!$D$201*(1+'Cálculos'!$D$202+$A63*('Cálculos'!$D$290=2)*'Cálculos'!$D$101)+'Cálculos'!$D$203)*('Cálculos'!$D$226+'Cálculos'!$D$124*(1+2.78*('Cálculos'!$D$197+(($B$111)-$A63)*'Cálculos'!$D$98)/(('Cálculos'!$D$197+(($B$111)-$A63)*'Cálculos'!$D$98)+1400)+'Cálculos'!$D$122)*'Cálculos'!$D$231+'Cálculos'!$D$125*(1+2.78*('Cálculos'!$D$197+(($B$111)-$A63)*'Cálculos'!$D$98)/(('Cálculos'!$D$197+(($B$111)-$A63)*'Cálculos'!$D$98)+1400)+'Cálculos'!$D$123)*'Cálculos'!$D$236)+('Cálculos'!$D$204*(1+'Cálculos'!$D$205+$A63*('Cálculos'!$D$290=3)*'Cálculos'!$D$103)+'Cálculos'!$D$206)*('Cálculos'!$D$227+'Cálculos'!$D$124*(1+2.78*('Cálculos'!$D$197+(($B$111)-$A63)*'Cálculos'!$D$98)/(('Cálculos'!$D$197+(($B$111)-$A63)*'Cálculos'!$D$98)+1400)+'Cálculos'!$D$122)*'Cálculos'!$D$232+'Cálculos'!$D$125*(1+2.78*('Cálculos'!$D$197+(($B$111)-$A63)*'Cálculos'!$D$98)/(('Cálculos'!$D$197+(($B$111)-$A63)*'Cálculos'!$D$98)+1400)+'Cálculos'!$D$123)*'Cálculos'!$D$237)+('Cálculos'!$D$185*(1+'Cálculos'!$D$188+$A63*('Cálculos'!$D$290=1)*'Cálculos'!$D$97+'Cálculos'!$D$305)+'Cálculos'!$D$193)*('Cálculos'!$D$239+'Cálculos'!$D$124*(1+2.78*('Cálculos'!$D$198+(($B$111)-$A63)*'Cálculos'!$D$98)/(('Cálculos'!$D$198+(($B$111)-$A63)*'Cálculos'!$D$98)+1400)+'Cálculos'!$D$122)*'Cálculos'!$D$244+'Cálculos'!$D$125*(1+2.78*('Cálculos'!$D$198+(($B$111)-$A63)*'Cálculos'!$D$98)/(('Cálculos'!$D$198+(($B$111)-$A63)*'Cálculos'!$D$98)+1400)+'Cálculos'!$D$123)*'Cálculos'!$D$249)+('Cálculos'!$D$198+(($B$111)-$A63)*'Cálculos'!$D$98)*('Cálculos'!$D$240+'Cálculos'!$D$124*(1+2.78*('Cálculos'!$D$198+(($B$111)-$A63)*'Cálculos'!$D$98)/(('Cálculos'!$D$198+(($B$111)-$A63)*'Cálculos'!$D$98)+1400)+'Cálculos'!$D$122)*'Cálculos'!$D$245+'Cálculos'!$D$125*(1+2.78*('Cálculos'!$D$198+(($B$111)-$A63)*'Cálculos'!$D$98)/(('Cálculos'!$D$198+(($B$111)-$A63)*'Cálculos'!$D$98)+1400)+'Cálculos'!$D$123)*'Cálculos'!$D$250)+('Cálculos'!$D$201*(1+'Cálculos'!$D$202+$A63*('Cálculos'!$D$290=2)*'Cálculos'!$D$101)+'Cálculos'!$D$203)*('Cálculos'!$D$241+'Cálculos'!$D$124*(1+2.78*('Cálculos'!$D$198+(($B$111)-$A63)*'Cálculos'!$D$98)/(('Cálculos'!$D$198+(($B$111)-$A63)*'Cálculos'!$D$98)+1400)+'Cálculos'!$D$122)*'Cálculos'!$D$246+'Cálculos'!$D$125*(1+2.78*('Cálculos'!$D$198+(($B$111)-$A63)*'Cálculos'!$D$98)/(('Cálculos'!$D$198+(($B$111)-$A63)*'Cálculos'!$D$98)+1400)+'Cálculos'!$D$123)*'Cálculos'!$D$251)+('Cálculos'!$D$204*(1+'Cálculos'!$D$205+$A63*('Cálculos'!$D$290=3)*'Cálculos'!$D$103)+'Cálculos'!$D$206)*('Cálculos'!$D$242+'Cálculos'!$D$124*(1+2.78*('Cálculos'!$D$198+(($B$111)-$A63)*'Cálculos'!$D$98)/(('Cálculos'!$D$198+(($B$111)-$A63)*'Cálculos'!$D$98)+1400)+'Cálculos'!$D$122)*'Cálculos'!$D$247+'Cálculos'!$D$125*(1+2.78*('Cálculos'!$D$198+(($B$111)-$A63)*'Cálculos'!$D$98)/(('Cálculos'!$D$198+(($B$111)-$A63)*'Cálculos'!$D$98)+1400)+'Cálculos'!$D$123)*'Cálculos'!$D$252)+('Cálculos'!$D$185*(1+'Cálculos'!$D$189+$A63*('Cálculos'!$D$290=1)*'Cálculos'!$D$97+'Cálculos'!$D$305)+'Cálculos'!$D$194)*('Cálculos'!$D$254+'Cálculos'!$D$124*(1+2.78*('Cálculos'!$D$199+(($B$111)-$A63)*'Cálculos'!$D$98)/(('Cálculos'!$D$199+(($B$111)-$A63)*'Cálculos'!$D$98)+1400)+'Cálculos'!$D$122)*'Cálculos'!$D$259+'Cálculos'!$D$125*(1+2.78*('Cálculos'!$D$199+(($B$111)-$A63)*'Cálculos'!$D$98)/(('Cálculos'!$D$199+(($B$111)-$A63)*'Cálculos'!$D$98)+1400)+'Cálculos'!$D$123)*'Cálculos'!$D$264)+('Cálculos'!$D$199+(($B$111)-$A63)*'Cálculos'!$D$98)*('Cálculos'!$D$255+'Cálculos'!$D$124*(1+2.78*('Cálculos'!$D$199+(($B$111)-$A63)*'Cálculos'!$D$98)/(('Cálculos'!$D$199+(($B$111)-$A63)*'Cálculos'!$D$98)+1400)+'Cálculos'!$D$122)*'Cálculos'!$D$260+'Cálculos'!$D$125*(1+2.78*('Cálculos'!$D$199+(($B$111)-$A63)*'Cálculos'!$D$98)/(('Cálculos'!$D$199+(($B$111)-$A63)*'Cálculos'!$D$98)+1400)+'Cálculos'!$D$123)*'Cálculos'!$D$265)+('Cálculos'!$D$201*(1+'Cálculos'!$D$202+$A63*('Cálculos'!$D$290=2)*'Cálculos'!$D$101)+'Cálculos'!$D$203)*('Cálculos'!$D$256+'Cálculos'!$D$124*(1+2.78*('Cálculos'!$D$199+(($B$111)-$A63)*'Cálculos'!$D$98)/(('Cálculos'!$D$199+(($B$111)-$A63)*'Cálculos'!$D$98)+1400)+'Cálculos'!$D$122)*'Cálculos'!$D$261+'Cálculos'!$D$125*(1+2.78*('Cálculos'!$D$199+(($B$111)-$A63)*'Cálculos'!$D$98)/(('Cálculos'!$D$199+(($B$111)-$A63)*'Cálculos'!$D$98)+1400)+'Cálculos'!$D$123)*'Cálculos'!$D$266)+('Cálculos'!$D$204*(1+'Cálculos'!$D$205+$A63*('Cálculos'!$D$290=3)*'Cálculos'!$D$103)+'Cálculos'!$D$206)*('Cálculos'!$D$257+'Cálculos'!$D$124*(1+2.78*('Cálculos'!$D$199+(($B$111)-$A63)*'Cálculos'!$D$98)/(('Cálculos'!$D$199+(($B$111)-$A63)*'Cálculos'!$D$98)+1400)+'Cálculos'!$D$122)*'Cálculos'!$D$262+'Cálculos'!$D$125*(1+2.78*('Cálculos'!$D$199+(($B$111)-$A63)*'Cálculos'!$D$98)/(('Cálculos'!$D$199+(($B$111)-$A63)*'Cálculos'!$D$98)+1400)+'Cálculos'!$D$123)*'Cálculos'!$D$267)+('Cálculos'!$D$185*(1+'Cálculos'!$D$190+$A63*('Cálculos'!$D$290=1)*'Cálculos'!$D$97+'Cálculos'!$D$305)+'Cálculos'!$D$195)*('Cálculos'!$D$269+'Cálculos'!$D$124*(1+2.78*('Cálculos'!$D$200+(($B$111)-$A63)*'Cálculos'!$D$98)/(('Cálculos'!$D$200+(($B$111)-$A63)*'Cálculos'!$D$98)+1400)+'Cálculos'!$D$122)*'Cálculos'!$D$274+'Cálculos'!$D$125*(1+2.78*('Cálculos'!$D$200+(($B$111)-$A63)*'Cálculos'!$D$98)/(('Cálculos'!$D$200+(($B$111)-$A63)*'Cálculos'!$D$98)+1400)+'Cálculos'!$D$123)*'Cálculos'!$D$279)+('Cálculos'!$D$200+(($B$111)-$A63)*'Cálculos'!$D$98)*('Cálculos'!$D$270+'Cálculos'!$D$124*(1+2.78*('Cálculos'!$D$200+(($B$111)-$A63)*'Cálculos'!$D$98)/(('Cálculos'!$D$200+(($B$111)-$A63)*'Cálculos'!$D$98)+1400)+'Cálculos'!$D$122)*'Cálculos'!$D$275+'Cálculos'!$D$125*(1+2.78*('Cálculos'!$D$200+(($B$111)-$A63)*'Cálculos'!$D$98)/(('Cálculos'!$D$200+(($B$111)-$A63)*'Cálculos'!$D$98)+1400)+'Cálculos'!$D$123)*'Cálculos'!$D$280)+('Cálculos'!$D$201*(1+'Cálculos'!$D$202+$A63*('Cálculos'!$D$290=2)*'Cálculos'!$D$101)+'Cálculos'!$D$203)*('Cálculos'!$D$271+'Cálculos'!$D$124*(1+2.78*('Cálculos'!$D$200+(($B$111)-$A63)*'Cálculos'!$D$98)/(('Cálculos'!$D$200+(($B$111)-$A63)*'Cálculos'!$D$98)+1400)+'Cálculos'!$D$122)*'Cálculos'!$D$276+'Cálculos'!$D$125*(1+2.78*('Cálculos'!$D$200+(($B$111)-$A63)*'Cálculos'!$D$98)/(('Cálculos'!$D$200+(($B$111)-$A63)*'Cálculos'!$D$98)+1400)+'Cálculos'!$D$123)*'Cálculos'!$D$281)+('Cálculos'!$D$204*(1+'Cálculos'!$D$205+$A63*('Cálculos'!$D$290=3)*'Cálculos'!$D$103)+'Cálculos'!$D$206)*('Cálculos'!$D$272+'Cálculos'!$D$124*(1+2.78*('Cálculos'!$D$200+(($B$111)-$A63)*'Cálculos'!$D$98)/(('Cálculos'!$D$200+(($B$111)-$A63)*'Cálculos'!$D$98)+1400)+'Cálculos'!$D$122)*'Cálculos'!$D$277+'Cálculos'!$D$125*(1+2.78*('Cálculos'!$D$200+(($B$111)-$A63)*'Cálculos'!$D$98)/(('Cálculos'!$D$200+(($B$111)-$A63)*'Cálculos'!$D$98)+1400)+'Cálculos'!$D$123)*'Cálculos'!$D$282)))</f>
        <v>70298.65509</v>
      </c>
    </row>
    <row r="64" ht="15.75" customHeight="1">
      <c r="A64" s="2">
        <v>1.0</v>
      </c>
      <c r="B64" s="30">
        <f>SUMPRODUCT(MAX(($A$63:$A$108&lt;=$A64)*($A$63:$A$108&lt;='Cálculos'!$D$294)*(($A64)-$A$63:$A$108&lt;='Cálculos'!$D$295)*(1+(('Cálculos'!$D$207+$A$63:$A$108*'Cálculos'!$D$95)-(('Cálculos'!$D$207+$A$63:$A$108*'Cálculos'!$D$95)&gt;1)*(('Cálculos'!$D$207+$A$63:$A$108*'Cálculos'!$D$95)-1))*('Cálculos'!$D$208+(($A64)-$A$63:$A$108)*'Cálculos'!$D$96))))</f>
        <v>1.225878922</v>
      </c>
      <c r="C64" s="2">
        <f>'Cálculos'!$D$303-$A64</f>
        <v>10</v>
      </c>
      <c r="D64" s="31">
        <f>IF($C64&lt;0,0,SUMPRODUCT(MAX(($A$63:$A$108&lt;=$C64)*($A$63:$A$108&lt;='Cálculos'!$D$301)*(($C64)-$A$63:$A$108&lt;='Cálculos'!$D$297)*(('Cálculos'!$D$185*(1+'Cálculos'!$D$186+$A$63:$A$108*('Cálculos'!$D$290=1)*'Cálculos'!$D$97+'Cálculos'!$D$305)+'Cálculos'!$D$191)*('Cálculos'!$D$209+'Cálculos'!$D$124*(1+2.78*('Cálculos'!$D$196+(($C64)-$A$63:$A$108)*'Cálculos'!$D$98)/(('Cálculos'!$D$196+(($C64)-$A$63:$A$108)*'Cálculos'!$D$98)+1400)+'Cálculos'!$D$122)*'Cálculos'!$D$214+'Cálculos'!$D$125*(1+2.78*('Cálculos'!$D$196+(($C64)-$A$63:$A$108)*'Cálculos'!$D$98)/(('Cálculos'!$D$196+(($C64)-$A$63:$A$108)*'Cálculos'!$D$98)+1400)+'Cálculos'!$D$123)*'Cálculos'!$D$219)+('Cálculos'!$D$196+(($C64)-$A$63:$A$108)*'Cálculos'!$D$98)*('Cálculos'!$D$210+'Cálculos'!$D$124*(1+2.78*('Cálculos'!$D$196+(($C64)-$A$63:$A$108)*'Cálculos'!$D$98)/(('Cálculos'!$D$196+(($C64)-$A$63:$A$108)*'Cálculos'!$D$98)+1400)+'Cálculos'!$D$122)*'Cálculos'!$D$215+'Cálculos'!$D$125*(1+2.78*('Cálculos'!$D$196+(($C64)-$A$63:$A$108)*'Cálculos'!$D$98)/(('Cálculos'!$D$196+(($C64)-$A$63:$A$108)*'Cálculos'!$D$98)+1400)+'Cálculos'!$D$123)*'Cálculos'!$D$220)+('Cálculos'!$D$201*(1+'Cálculos'!$D$202+$A$63:$A$108*('Cálculos'!$D$290=2)*'Cálculos'!$D$101)+'Cálculos'!$D$203)*('Cálculos'!$D$211+'Cálculos'!$D$124*(1+2.78*('Cálculos'!$D$196+(($C64)-$A$63:$A$108)*'Cálculos'!$D$98)/(('Cálculos'!$D$196+(($C64)-$A$63:$A$108)*'Cálculos'!$D$98)+1400)+'Cálculos'!$D$122)*'Cálculos'!$D$216+'Cálculos'!$D$125*(1+2.78*('Cálculos'!$D$196+(($C64)-$A$63:$A$108)*'Cálculos'!$D$98)/(('Cálculos'!$D$196+(($C64)-$A$63:$A$108)*'Cálculos'!$D$98)+1400)+'Cálculos'!$D$123)*'Cálculos'!$D$221)+('Cálculos'!$D$204*(1+'Cálculos'!$D$205+$A$63:$A$108*('Cálculos'!$D$290=3)*'Cálculos'!$D$103)+'Cálculos'!$D$206)*('Cálculos'!$D$212+'Cálculos'!$D$124*(1+2.78*('Cálculos'!$D$196+(($C64)-$A$63:$A$108)*'Cálculos'!$D$98)/(('Cálculos'!$D$196+(($C64)-$A$63:$A$108)*'Cálculos'!$D$98)+1400)+'Cálculos'!$D$122)*'Cálculos'!$D$217+'Cálculos'!$D$125*(1+2.78*('Cálculos'!$D$196+(($C64)-$A$63:$A$108)*'Cálculos'!$D$98)/(('Cálculos'!$D$196+(($C64)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64)-$A$63:$A$108)*'Cálculos'!$D$98)/(('Cálculos'!$D$197+(($C64)-$A$63:$A$108)*'Cálculos'!$D$98)+1400)+'Cálculos'!$D$122)*'Cálculos'!$D$229+'Cálculos'!$D$125*(1+2.78*('Cálculos'!$D$197+(($C64)-$A$63:$A$108)*'Cálculos'!$D$98)/(('Cálculos'!$D$197+(($C64)-$A$63:$A$108)*'Cálculos'!$D$98)+1400)+'Cálculos'!$D$123)*'Cálculos'!$D$234)+('Cálculos'!$D$197+(($C64)-$A$63:$A$108)*'Cálculos'!$D$98)*('Cálculos'!$D$225+'Cálculos'!$D$124*(1+2.78*('Cálculos'!$D$197+(($C64)-$A$63:$A$108)*'Cálculos'!$D$98)/(('Cálculos'!$D$197+(($C64)-$A$63:$A$108)*'Cálculos'!$D$98)+1400)+'Cálculos'!$D$122)*'Cálculos'!$D$230+'Cálculos'!$D$125*(1+2.78*('Cálculos'!$D$197+(($C64)-$A$63:$A$108)*'Cálculos'!$D$98)/(('Cálculos'!$D$197+(($C64)-$A$63:$A$108)*'Cálculos'!$D$98)+1400)+'Cálculos'!$D$123)*'Cálculos'!$D$235)+('Cálculos'!$D$201*(1+'Cálculos'!$D$202+$A$63:$A$108*('Cálculos'!$D$290=2)*'Cálculos'!$D$101)+'Cálculos'!$D$203)*('Cálculos'!$D$226+'Cálculos'!$D$124*(1+2.78*('Cálculos'!$D$197+(($C64)-$A$63:$A$108)*'Cálculos'!$D$98)/(('Cálculos'!$D$197+(($C64)-$A$63:$A$108)*'Cálculos'!$D$98)+1400)+'Cálculos'!$D$122)*'Cálculos'!$D$231+'Cálculos'!$D$125*(1+2.78*('Cálculos'!$D$197+(($C64)-$A$63:$A$108)*'Cálculos'!$D$98)/(('Cálculos'!$D$197+(($C64)-$A$63:$A$108)*'Cálculos'!$D$98)+1400)+'Cálculos'!$D$123)*'Cálculos'!$D$236)+('Cálculos'!$D$204*(1+'Cálculos'!$D$205+$A$63:$A$108*('Cálculos'!$D$290=3)*'Cálculos'!$D$103)+'Cálculos'!$D$206)*('Cálculos'!$D$227+'Cálculos'!$D$124*(1+2.78*('Cálculos'!$D$197+(($C64)-$A$63:$A$108)*'Cálculos'!$D$98)/(('Cálculos'!$D$197+(($C64)-$A$63:$A$108)*'Cálculos'!$D$98)+1400)+'Cálculos'!$D$122)*'Cálculos'!$D$232+'Cálculos'!$D$125*(1+2.78*('Cálculos'!$D$197+(($C64)-$A$63:$A$108)*'Cálculos'!$D$98)/(('Cálculos'!$D$197+(($C64)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64)-$A$63:$A$108)*'Cálculos'!$D$98)/(('Cálculos'!$D$198+(($C64)-$A$63:$A$108)*'Cálculos'!$D$98)+1400)+'Cálculos'!$D$122)*'Cálculos'!$D$244+'Cálculos'!$D$125*(1+2.78*('Cálculos'!$D$198+(($C64)-$A$63:$A$108)*'Cálculos'!$D$98)/(('Cálculos'!$D$198+(($C64)-$A$63:$A$108)*'Cálculos'!$D$98)+1400)+'Cálculos'!$D$123)*'Cálculos'!$D$249)+('Cálculos'!$D$198+(($C64)-$A$63:$A$108)*'Cálculos'!$D$98)*('Cálculos'!$D$240+'Cálculos'!$D$124*(1+2.78*('Cálculos'!$D$198+(($C64)-$A$63:$A$108)*'Cálculos'!$D$98)/(('Cálculos'!$D$198+(($C64)-$A$63:$A$108)*'Cálculos'!$D$98)+1400)+'Cálculos'!$D$122)*'Cálculos'!$D$245+'Cálculos'!$D$125*(1+2.78*('Cálculos'!$D$198+(($C64)-$A$63:$A$108)*'Cálculos'!$D$98)/(('Cálculos'!$D$198+(($C64)-$A$63:$A$108)*'Cálculos'!$D$98)+1400)+'Cálculos'!$D$123)*'Cálculos'!$D$250)+('Cálculos'!$D$201*(1+'Cálculos'!$D$202+$A$63:$A$108*('Cálculos'!$D$290=2)*'Cálculos'!$D$101)+'Cálculos'!$D$203)*('Cálculos'!$D$241+'Cálculos'!$D$124*(1+2.78*('Cálculos'!$D$198+(($C64)-$A$63:$A$108)*'Cálculos'!$D$98)/(('Cálculos'!$D$198+(($C64)-$A$63:$A$108)*'Cálculos'!$D$98)+1400)+'Cálculos'!$D$122)*'Cálculos'!$D$246+'Cálculos'!$D$125*(1+2.78*('Cálculos'!$D$198+(($C64)-$A$63:$A$108)*'Cálculos'!$D$98)/(('Cálculos'!$D$198+(($C64)-$A$63:$A$108)*'Cálculos'!$D$98)+1400)+'Cálculos'!$D$123)*'Cálculos'!$D$251)+('Cálculos'!$D$204*(1+'Cálculos'!$D$205+$A$63:$A$108*('Cálculos'!$D$290=3)*'Cálculos'!$D$103)+'Cálculos'!$D$206)*('Cálculos'!$D$242+'Cálculos'!$D$124*(1+2.78*('Cálculos'!$D$198+(($C64)-$A$63:$A$108)*'Cálculos'!$D$98)/(('Cálculos'!$D$198+(($C64)-$A$63:$A$108)*'Cálculos'!$D$98)+1400)+'Cálculos'!$D$122)*'Cálculos'!$D$247+'Cálculos'!$D$125*(1+2.78*('Cálculos'!$D$198+(($C64)-$A$63:$A$108)*'Cálculos'!$D$98)/(('Cálculos'!$D$198+(($C64)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64)-$A$63:$A$108)*'Cálculos'!$D$98)/(('Cálculos'!$D$199+(($C64)-$A$63:$A$108)*'Cálculos'!$D$98)+1400)+'Cálculos'!$D$122)*'Cálculos'!$D$259+'Cálculos'!$D$125*(1+2.78*('Cálculos'!$D$199+(($C64)-$A$63:$A$108)*'Cálculos'!$D$98)/(('Cálculos'!$D$199+(($C64)-$A$63:$A$108)*'Cálculos'!$D$98)+1400)+'Cálculos'!$D$123)*'Cálculos'!$D$264)+('Cálculos'!$D$199+(($C64)-$A$63:$A$108)*'Cálculos'!$D$98)*('Cálculos'!$D$255+'Cálculos'!$D$124*(1+2.78*('Cálculos'!$D$199+(($C64)-$A$63:$A$108)*'Cálculos'!$D$98)/(('Cálculos'!$D$199+(($C64)-$A$63:$A$108)*'Cálculos'!$D$98)+1400)+'Cálculos'!$D$122)*'Cálculos'!$D$260+'Cálculos'!$D$125*(1+2.78*('Cálculos'!$D$199+(($C64)-$A$63:$A$108)*'Cálculos'!$D$98)/(('Cálculos'!$D$199+(($C64)-$A$63:$A$108)*'Cálculos'!$D$98)+1400)+'Cálculos'!$D$123)*'Cálculos'!$D$265)+('Cálculos'!$D$201*(1+'Cálculos'!$D$202+$A$63:$A$108*('Cálculos'!$D$290=2)*'Cálculos'!$D$101)+'Cálculos'!$D$203)*('Cálculos'!$D$256+'Cálculos'!$D$124*(1+2.78*('Cálculos'!$D$199+(($C64)-$A$63:$A$108)*'Cálculos'!$D$98)/(('Cálculos'!$D$199+(($C64)-$A$63:$A$108)*'Cálculos'!$D$98)+1400)+'Cálculos'!$D$122)*'Cálculos'!$D$261+'Cálculos'!$D$125*(1+2.78*('Cálculos'!$D$199+(($C64)-$A$63:$A$108)*'Cálculos'!$D$98)/(('Cálculos'!$D$199+(($C64)-$A$63:$A$108)*'Cálculos'!$D$98)+1400)+'Cálculos'!$D$123)*'Cálculos'!$D$266)+('Cálculos'!$D$204*(1+'Cálculos'!$D$205+$A$63:$A$108*('Cálculos'!$D$290=3)*'Cálculos'!$D$103)+'Cálculos'!$D$206)*('Cálculos'!$D$257+'Cálculos'!$D$124*(1+2.78*('Cálculos'!$D$199+(($C64)-$A$63:$A$108)*'Cálculos'!$D$98)/(('Cálculos'!$D$199+(($C64)-$A$63:$A$108)*'Cálculos'!$D$98)+1400)+'Cálculos'!$D$122)*'Cálculos'!$D$262+'Cálculos'!$D$125*(1+2.78*('Cálculos'!$D$199+(($C64)-$A$63:$A$108)*'Cálculos'!$D$98)/(('Cálculos'!$D$199+(($C64)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64)-$A$63:$A$108)*'Cálculos'!$D$98)/(('Cálculos'!$D$200+(($C64)-$A$63:$A$108)*'Cálculos'!$D$98)+1400)+'Cálculos'!$D$122)*'Cálculos'!$D$274+'Cálculos'!$D$125*(1+2.78*('Cálculos'!$D$200+(($C64)-$A$63:$A$108)*'Cálculos'!$D$98)/(('Cálculos'!$D$200+(($C64)-$A$63:$A$108)*'Cálculos'!$D$98)+1400)+'Cálculos'!$D$123)*'Cálculos'!$D$279)+('Cálculos'!$D$200+(($C64)-$A$63:$A$108)*'Cálculos'!$D$98)*('Cálculos'!$D$270+'Cálculos'!$D$124*(1+2.78*('Cálculos'!$D$200+(($C64)-$A$63:$A$108)*'Cálculos'!$D$98)/(('Cálculos'!$D$200+(($C64)-$A$63:$A$108)*'Cálculos'!$D$98)+1400)+'Cálculos'!$D$122)*'Cálculos'!$D$275+'Cálculos'!$D$125*(1+2.78*('Cálculos'!$D$200+(($C64)-$A$63:$A$108)*'Cálculos'!$D$98)/(('Cálculos'!$D$200+(($C64)-$A$63:$A$108)*'Cálculos'!$D$98)+1400)+'Cálculos'!$D$123)*'Cálculos'!$D$280)+('Cálculos'!$D$201*(1+'Cálculos'!$D$202+$A$63:$A$108*('Cálculos'!$D$290=2)*'Cálculos'!$D$101)+'Cálculos'!$D$203)*('Cálculos'!$D$271+'Cálculos'!$D$124*(1+2.78*('Cálculos'!$D$200+(($C64)-$A$63:$A$108)*'Cálculos'!$D$98)/(('Cálculos'!$D$200+(($C64)-$A$63:$A$108)*'Cálculos'!$D$98)+1400)+'Cálculos'!$D$122)*'Cálculos'!$D$276+'Cálculos'!$D$125*(1+2.78*('Cálculos'!$D$200+(($C64)-$A$63:$A$108)*'Cálculos'!$D$98)/(('Cálculos'!$D$200+(($C64)-$A$63:$A$108)*'Cálculos'!$D$98)+1400)+'Cálculos'!$D$123)*'Cálculos'!$D$281)+('Cálculos'!$D$204*(1+'Cálculos'!$D$205+$A$63:$A$108*('Cálculos'!$D$290=3)*'Cálculos'!$D$103)+'Cálculos'!$D$206)*('Cálculos'!$D$272+'Cálculos'!$D$124*(1+2.78*('Cálculos'!$D$200+(($C64)-$A$63:$A$108)*'Cálculos'!$D$98)/(('Cálculos'!$D$200+(($C64)-$A$63:$A$108)*'Cálculos'!$D$98)+1400)+'Cálculos'!$D$122)*'Cálculos'!$D$277+'Cálculos'!$D$125*(1+2.78*('Cálculos'!$D$200+(($C64)-$A$63:$A$108)*'Cálculos'!$D$98)/(('Cálculos'!$D$200+(($C64)-$A$63:$A$108)*'Cálculos'!$D$98)+1400)+'Cálculos'!$D$123)*'Cálculos'!$D$282)))))</f>
        <v>80992.63798</v>
      </c>
      <c r="E64" s="32">
        <f>IF(OR($C64&lt;0,'Cálculos'!$D$6=""),0,$B64*$D64)</f>
        <v>99287.16772</v>
      </c>
      <c r="F64" s="2"/>
      <c r="G64" s="30">
        <f>($A64&lt;=$B$110)*($A64&lt;='Cálculos'!$D$294)*(($B$110)-$A64&lt;='Cálculos'!$D$295)*(1+MIN(('Cálculos'!$D$207+$A64*'Cálculos'!$D$95),1)*('Cálculos'!$D$208+(($B$110)-$A64)*'Cálculos'!$D$96))</f>
        <v>1.429350871</v>
      </c>
      <c r="H64" s="31">
        <f>IF($B$111&lt;0,0,($A64&lt;=$B$111)*($A64&lt;='Cálculos'!$D$301)*(($B$111)-$A64&lt;='Cálculos'!$D$297)*(('Cálculos'!$D$185*(1+'Cálculos'!$D$186+$A64*('Cálculos'!$D$290=1)*'Cálculos'!$D$97+'Cálculos'!$D$305)+'Cálculos'!$D$191)*('Cálculos'!$D$209+'Cálculos'!$D$124*(1+2.78*('Cálculos'!$D$196+(($B$111)-$A64)*'Cálculos'!$D$98)/(('Cálculos'!$D$196+(($B$111)-$A64)*'Cálculos'!$D$98)+1400)+'Cálculos'!$D$122)*'Cálculos'!$D$214+'Cálculos'!$D$125*(1+2.78*('Cálculos'!$D$196+(($B$111)-$A64)*'Cálculos'!$D$98)/(('Cálculos'!$D$196+(($B$111)-$A64)*'Cálculos'!$D$98)+1400)+'Cálculos'!$D$123)*'Cálculos'!$D$219)+('Cálculos'!$D$196+(($B$111)-$A64)*'Cálculos'!$D$98)*('Cálculos'!$D$210+'Cálculos'!$D$124*(1+2.78*('Cálculos'!$D$196+(($B$111)-$A64)*'Cálculos'!$D$98)/(('Cálculos'!$D$196+(($B$111)-$A64)*'Cálculos'!$D$98)+1400)+'Cálculos'!$D$122)*'Cálculos'!$D$215+'Cálculos'!$D$125*(1+2.78*('Cálculos'!$D$196+(($B$111)-$A64)*'Cálculos'!$D$98)/(('Cálculos'!$D$196+(($B$111)-$A64)*'Cálculos'!$D$98)+1400)+'Cálculos'!$D$123)*'Cálculos'!$D$220)+('Cálculos'!$D$201*(1+'Cálculos'!$D$202+$A64*('Cálculos'!$D$290=2)*'Cálculos'!$D$101)+'Cálculos'!$D$203)*('Cálculos'!$D$211+'Cálculos'!$D$124*(1+2.78*('Cálculos'!$D$196+(($B$111)-$A64)*'Cálculos'!$D$98)/(('Cálculos'!$D$196+(($B$111)-$A64)*'Cálculos'!$D$98)+1400)+'Cálculos'!$D$122)*'Cálculos'!$D$216+'Cálculos'!$D$125*(1+2.78*('Cálculos'!$D$196+(($B$111)-$A64)*'Cálculos'!$D$98)/(('Cálculos'!$D$196+(($B$111)-$A64)*'Cálculos'!$D$98)+1400)+'Cálculos'!$D$123)*'Cálculos'!$D$221)+('Cálculos'!$D$204*(1+'Cálculos'!$D$205+$A64*('Cálculos'!$D$290=3)*'Cálculos'!$D$103)+'Cálculos'!$D$206)*('Cálculos'!$D$212+'Cálculos'!$D$124*(1+2.78*('Cálculos'!$D$196+(($B$111)-$A64)*'Cálculos'!$D$98)/(('Cálculos'!$D$196+(($B$111)-$A64)*'Cálculos'!$D$98)+1400)+'Cálculos'!$D$122)*'Cálculos'!$D$217+'Cálculos'!$D$125*(1+2.78*('Cálculos'!$D$196+(($B$111)-$A64)*'Cálculos'!$D$98)/(('Cálculos'!$D$196+(($B$111)-$A64)*'Cálculos'!$D$98)+1400)+'Cálculos'!$D$123)*'Cálculos'!$D$222)+('Cálculos'!$D$185*(1+'Cálculos'!$D$187+$A64*('Cálculos'!$D$290=1)*'Cálculos'!$D$97+'Cálculos'!$D$305)+'Cálculos'!$D$192)*('Cálculos'!$D$224+'Cálculos'!$D$124*(1+2.78*('Cálculos'!$D$197+(($B$111)-$A64)*'Cálculos'!$D$98)/(('Cálculos'!$D$197+(($B$111)-$A64)*'Cálculos'!$D$98)+1400)+'Cálculos'!$D$122)*'Cálculos'!$D$229+'Cálculos'!$D$125*(1+2.78*('Cálculos'!$D$197+(($B$111)-$A64)*'Cálculos'!$D$98)/(('Cálculos'!$D$197+(($B$111)-$A64)*'Cálculos'!$D$98)+1400)+'Cálculos'!$D$123)*'Cálculos'!$D$234)+('Cálculos'!$D$197+(($B$111)-$A64)*'Cálculos'!$D$98)*('Cálculos'!$D$225+'Cálculos'!$D$124*(1+2.78*('Cálculos'!$D$197+(($B$111)-$A64)*'Cálculos'!$D$98)/(('Cálculos'!$D$197+(($B$111)-$A64)*'Cálculos'!$D$98)+1400)+'Cálculos'!$D$122)*'Cálculos'!$D$230+'Cálculos'!$D$125*(1+2.78*('Cálculos'!$D$197+(($B$111)-$A64)*'Cálculos'!$D$98)/(('Cálculos'!$D$197+(($B$111)-$A64)*'Cálculos'!$D$98)+1400)+'Cálculos'!$D$123)*'Cálculos'!$D$235)+('Cálculos'!$D$201*(1+'Cálculos'!$D$202+$A64*('Cálculos'!$D$290=2)*'Cálculos'!$D$101)+'Cálculos'!$D$203)*('Cálculos'!$D$226+'Cálculos'!$D$124*(1+2.78*('Cálculos'!$D$197+(($B$111)-$A64)*'Cálculos'!$D$98)/(('Cálculos'!$D$197+(($B$111)-$A64)*'Cálculos'!$D$98)+1400)+'Cálculos'!$D$122)*'Cálculos'!$D$231+'Cálculos'!$D$125*(1+2.78*('Cálculos'!$D$197+(($B$111)-$A64)*'Cálculos'!$D$98)/(('Cálculos'!$D$197+(($B$111)-$A64)*'Cálculos'!$D$98)+1400)+'Cálculos'!$D$123)*'Cálculos'!$D$236)+('Cálculos'!$D$204*(1+'Cálculos'!$D$205+$A64*('Cálculos'!$D$290=3)*'Cálculos'!$D$103)+'Cálculos'!$D$206)*('Cálculos'!$D$227+'Cálculos'!$D$124*(1+2.78*('Cálculos'!$D$197+(($B$111)-$A64)*'Cálculos'!$D$98)/(('Cálculos'!$D$197+(($B$111)-$A64)*'Cálculos'!$D$98)+1400)+'Cálculos'!$D$122)*'Cálculos'!$D$232+'Cálculos'!$D$125*(1+2.78*('Cálculos'!$D$197+(($B$111)-$A64)*'Cálculos'!$D$98)/(('Cálculos'!$D$197+(($B$111)-$A64)*'Cálculos'!$D$98)+1400)+'Cálculos'!$D$123)*'Cálculos'!$D$237)+('Cálculos'!$D$185*(1+'Cálculos'!$D$188+$A64*('Cálculos'!$D$290=1)*'Cálculos'!$D$97+'Cálculos'!$D$305)+'Cálculos'!$D$193)*('Cálculos'!$D$239+'Cálculos'!$D$124*(1+2.78*('Cálculos'!$D$198+(($B$111)-$A64)*'Cálculos'!$D$98)/(('Cálculos'!$D$198+(($B$111)-$A64)*'Cálculos'!$D$98)+1400)+'Cálculos'!$D$122)*'Cálculos'!$D$244+'Cálculos'!$D$125*(1+2.78*('Cálculos'!$D$198+(($B$111)-$A64)*'Cálculos'!$D$98)/(('Cálculos'!$D$198+(($B$111)-$A64)*'Cálculos'!$D$98)+1400)+'Cálculos'!$D$123)*'Cálculos'!$D$249)+('Cálculos'!$D$198+(($B$111)-$A64)*'Cálculos'!$D$98)*('Cálculos'!$D$240+'Cálculos'!$D$124*(1+2.78*('Cálculos'!$D$198+(($B$111)-$A64)*'Cálculos'!$D$98)/(('Cálculos'!$D$198+(($B$111)-$A64)*'Cálculos'!$D$98)+1400)+'Cálculos'!$D$122)*'Cálculos'!$D$245+'Cálculos'!$D$125*(1+2.78*('Cálculos'!$D$198+(($B$111)-$A64)*'Cálculos'!$D$98)/(('Cálculos'!$D$198+(($B$111)-$A64)*'Cálculos'!$D$98)+1400)+'Cálculos'!$D$123)*'Cálculos'!$D$250)+('Cálculos'!$D$201*(1+'Cálculos'!$D$202+$A64*('Cálculos'!$D$290=2)*'Cálculos'!$D$101)+'Cálculos'!$D$203)*('Cálculos'!$D$241+'Cálculos'!$D$124*(1+2.78*('Cálculos'!$D$198+(($B$111)-$A64)*'Cálculos'!$D$98)/(('Cálculos'!$D$198+(($B$111)-$A64)*'Cálculos'!$D$98)+1400)+'Cálculos'!$D$122)*'Cálculos'!$D$246+'Cálculos'!$D$125*(1+2.78*('Cálculos'!$D$198+(($B$111)-$A64)*'Cálculos'!$D$98)/(('Cálculos'!$D$198+(($B$111)-$A64)*'Cálculos'!$D$98)+1400)+'Cálculos'!$D$123)*'Cálculos'!$D$251)+('Cálculos'!$D$204*(1+'Cálculos'!$D$205+$A64*('Cálculos'!$D$290=3)*'Cálculos'!$D$103)+'Cálculos'!$D$206)*('Cálculos'!$D$242+'Cálculos'!$D$124*(1+2.78*('Cálculos'!$D$198+(($B$111)-$A64)*'Cálculos'!$D$98)/(('Cálculos'!$D$198+(($B$111)-$A64)*'Cálculos'!$D$98)+1400)+'Cálculos'!$D$122)*'Cálculos'!$D$247+'Cálculos'!$D$125*(1+2.78*('Cálculos'!$D$198+(($B$111)-$A64)*'Cálculos'!$D$98)/(('Cálculos'!$D$198+(($B$111)-$A64)*'Cálculos'!$D$98)+1400)+'Cálculos'!$D$123)*'Cálculos'!$D$252)+('Cálculos'!$D$185*(1+'Cálculos'!$D$189+$A64*('Cálculos'!$D$290=1)*'Cálculos'!$D$97+'Cálculos'!$D$305)+'Cálculos'!$D$194)*('Cálculos'!$D$254+'Cálculos'!$D$124*(1+2.78*('Cálculos'!$D$199+(($B$111)-$A64)*'Cálculos'!$D$98)/(('Cálculos'!$D$199+(($B$111)-$A64)*'Cálculos'!$D$98)+1400)+'Cálculos'!$D$122)*'Cálculos'!$D$259+'Cálculos'!$D$125*(1+2.78*('Cálculos'!$D$199+(($B$111)-$A64)*'Cálculos'!$D$98)/(('Cálculos'!$D$199+(($B$111)-$A64)*'Cálculos'!$D$98)+1400)+'Cálculos'!$D$123)*'Cálculos'!$D$264)+('Cálculos'!$D$199+(($B$111)-$A64)*'Cálculos'!$D$98)*('Cálculos'!$D$255+'Cálculos'!$D$124*(1+2.78*('Cálculos'!$D$199+(($B$111)-$A64)*'Cálculos'!$D$98)/(('Cálculos'!$D$199+(($B$111)-$A64)*'Cálculos'!$D$98)+1400)+'Cálculos'!$D$122)*'Cálculos'!$D$260+'Cálculos'!$D$125*(1+2.78*('Cálculos'!$D$199+(($B$111)-$A64)*'Cálculos'!$D$98)/(('Cálculos'!$D$199+(($B$111)-$A64)*'Cálculos'!$D$98)+1400)+'Cálculos'!$D$123)*'Cálculos'!$D$265)+('Cálculos'!$D$201*(1+'Cálculos'!$D$202+$A64*('Cálculos'!$D$290=2)*'Cálculos'!$D$101)+'Cálculos'!$D$203)*('Cálculos'!$D$256+'Cálculos'!$D$124*(1+2.78*('Cálculos'!$D$199+(($B$111)-$A64)*'Cálculos'!$D$98)/(('Cálculos'!$D$199+(($B$111)-$A64)*'Cálculos'!$D$98)+1400)+'Cálculos'!$D$122)*'Cálculos'!$D$261+'Cálculos'!$D$125*(1+2.78*('Cálculos'!$D$199+(($B$111)-$A64)*'Cálculos'!$D$98)/(('Cálculos'!$D$199+(($B$111)-$A64)*'Cálculos'!$D$98)+1400)+'Cálculos'!$D$123)*'Cálculos'!$D$266)+('Cálculos'!$D$204*(1+'Cálculos'!$D$205+$A64*('Cálculos'!$D$290=3)*'Cálculos'!$D$103)+'Cálculos'!$D$206)*('Cálculos'!$D$257+'Cálculos'!$D$124*(1+2.78*('Cálculos'!$D$199+(($B$111)-$A64)*'Cálculos'!$D$98)/(('Cálculos'!$D$199+(($B$111)-$A64)*'Cálculos'!$D$98)+1400)+'Cálculos'!$D$122)*'Cálculos'!$D$262+'Cálculos'!$D$125*(1+2.78*('Cálculos'!$D$199+(($B$111)-$A64)*'Cálculos'!$D$98)/(('Cálculos'!$D$199+(($B$111)-$A64)*'Cálculos'!$D$98)+1400)+'Cálculos'!$D$123)*'Cálculos'!$D$267)+('Cálculos'!$D$185*(1+'Cálculos'!$D$190+$A64*('Cálculos'!$D$290=1)*'Cálculos'!$D$97+'Cálculos'!$D$305)+'Cálculos'!$D$195)*('Cálculos'!$D$269+'Cálculos'!$D$124*(1+2.78*('Cálculos'!$D$200+(($B$111)-$A64)*'Cálculos'!$D$98)/(('Cálculos'!$D$200+(($B$111)-$A64)*'Cálculos'!$D$98)+1400)+'Cálculos'!$D$122)*'Cálculos'!$D$274+'Cálculos'!$D$125*(1+2.78*('Cálculos'!$D$200+(($B$111)-$A64)*'Cálculos'!$D$98)/(('Cálculos'!$D$200+(($B$111)-$A64)*'Cálculos'!$D$98)+1400)+'Cálculos'!$D$123)*'Cálculos'!$D$279)+('Cálculos'!$D$200+(($B$111)-$A64)*'Cálculos'!$D$98)*('Cálculos'!$D$270+'Cálculos'!$D$124*(1+2.78*('Cálculos'!$D$200+(($B$111)-$A64)*'Cálculos'!$D$98)/(('Cálculos'!$D$200+(($B$111)-$A64)*'Cálculos'!$D$98)+1400)+'Cálculos'!$D$122)*'Cálculos'!$D$275+'Cálculos'!$D$125*(1+2.78*('Cálculos'!$D$200+(($B$111)-$A64)*'Cálculos'!$D$98)/(('Cálculos'!$D$200+(($B$111)-$A64)*'Cálculos'!$D$98)+1400)+'Cálculos'!$D$123)*'Cálculos'!$D$280)+('Cálculos'!$D$201*(1+'Cálculos'!$D$202+$A64*('Cálculos'!$D$290=2)*'Cálculos'!$D$101)+'Cálculos'!$D$203)*('Cálculos'!$D$271+'Cálculos'!$D$124*(1+2.78*('Cálculos'!$D$200+(($B$111)-$A64)*'Cálculos'!$D$98)/(('Cálculos'!$D$200+(($B$111)-$A64)*'Cálculos'!$D$98)+1400)+'Cálculos'!$D$122)*'Cálculos'!$D$276+'Cálculos'!$D$125*(1+2.78*('Cálculos'!$D$200+(($B$111)-$A64)*'Cálculos'!$D$98)/(('Cálculos'!$D$200+(($B$111)-$A64)*'Cálculos'!$D$98)+1400)+'Cálculos'!$D$123)*'Cálculos'!$D$281)+('Cálculos'!$D$204*(1+'Cálculos'!$D$205+$A64*('Cálculos'!$D$290=3)*'Cálculos'!$D$103)+'Cálculos'!$D$206)*('Cálculos'!$D$272+'Cálculos'!$D$124*(1+2.78*('Cálculos'!$D$200+(($B$111)-$A64)*'Cálculos'!$D$98)/(('Cálculos'!$D$200+(($B$111)-$A64)*'Cálculos'!$D$98)+1400)+'Cálculos'!$D$122)*'Cálculos'!$D$277+'Cálculos'!$D$125*(1+2.78*('Cálculos'!$D$200+(($B$111)-$A64)*'Cálculos'!$D$98)/(('Cálculos'!$D$200+(($B$111)-$A64)*'Cálculos'!$D$98)+1400)+'Cálculos'!$D$123)*'Cálculos'!$D$282)))</f>
        <v>0</v>
      </c>
    </row>
    <row r="65" ht="15.75" customHeight="1">
      <c r="A65" s="2">
        <v>2.0</v>
      </c>
      <c r="B65" s="30">
        <f>SUMPRODUCT(MAX(($A$63:$A$108&lt;=$A65)*($A$63:$A$108&lt;='Cálculos'!$D$294)*(($A65)-$A$63:$A$108&lt;='Cálculos'!$D$295)*(1+(('Cálculos'!$D$207+$A$63:$A$108*'Cálculos'!$D$95)-(('Cálculos'!$D$207+$A$63:$A$108*'Cálculos'!$D$95)&gt;1)*(('Cálculos'!$D$207+$A$63:$A$108*'Cálculos'!$D$95)-1))*('Cálculos'!$D$208+(($A65)-$A$63:$A$108)*'Cálculos'!$D$96))))</f>
        <v>1.24483676</v>
      </c>
      <c r="C65" s="2">
        <f>'Cálculos'!$D$303-$A65</f>
        <v>9</v>
      </c>
      <c r="D65" s="31">
        <f>IF($C65&lt;0,0,SUMPRODUCT(MAX(($A$63:$A$108&lt;=$C65)*($A$63:$A$108&lt;='Cálculos'!$D$301)*(($C65)-$A$63:$A$108&lt;='Cálculos'!$D$297)*(('Cálculos'!$D$185*(1+'Cálculos'!$D$186+$A$63:$A$108*('Cálculos'!$D$290=1)*'Cálculos'!$D$97+'Cálculos'!$D$305)+'Cálculos'!$D$191)*('Cálculos'!$D$209+'Cálculos'!$D$124*(1+2.78*('Cálculos'!$D$196+(($C65)-$A$63:$A$108)*'Cálculos'!$D$98)/(('Cálculos'!$D$196+(($C65)-$A$63:$A$108)*'Cálculos'!$D$98)+1400)+'Cálculos'!$D$122)*'Cálculos'!$D$214+'Cálculos'!$D$125*(1+2.78*('Cálculos'!$D$196+(($C65)-$A$63:$A$108)*'Cálculos'!$D$98)/(('Cálculos'!$D$196+(($C65)-$A$63:$A$108)*'Cálculos'!$D$98)+1400)+'Cálculos'!$D$123)*'Cálculos'!$D$219)+('Cálculos'!$D$196+(($C65)-$A$63:$A$108)*'Cálculos'!$D$98)*('Cálculos'!$D$210+'Cálculos'!$D$124*(1+2.78*('Cálculos'!$D$196+(($C65)-$A$63:$A$108)*'Cálculos'!$D$98)/(('Cálculos'!$D$196+(($C65)-$A$63:$A$108)*'Cálculos'!$D$98)+1400)+'Cálculos'!$D$122)*'Cálculos'!$D$215+'Cálculos'!$D$125*(1+2.78*('Cálculos'!$D$196+(($C65)-$A$63:$A$108)*'Cálculos'!$D$98)/(('Cálculos'!$D$196+(($C65)-$A$63:$A$108)*'Cálculos'!$D$98)+1400)+'Cálculos'!$D$123)*'Cálculos'!$D$220)+('Cálculos'!$D$201*(1+'Cálculos'!$D$202+$A$63:$A$108*('Cálculos'!$D$290=2)*'Cálculos'!$D$101)+'Cálculos'!$D$203)*('Cálculos'!$D$211+'Cálculos'!$D$124*(1+2.78*('Cálculos'!$D$196+(($C65)-$A$63:$A$108)*'Cálculos'!$D$98)/(('Cálculos'!$D$196+(($C65)-$A$63:$A$108)*'Cálculos'!$D$98)+1400)+'Cálculos'!$D$122)*'Cálculos'!$D$216+'Cálculos'!$D$125*(1+2.78*('Cálculos'!$D$196+(($C65)-$A$63:$A$108)*'Cálculos'!$D$98)/(('Cálculos'!$D$196+(($C65)-$A$63:$A$108)*'Cálculos'!$D$98)+1400)+'Cálculos'!$D$123)*'Cálculos'!$D$221)+('Cálculos'!$D$204*(1+'Cálculos'!$D$205+$A$63:$A$108*('Cálculos'!$D$290=3)*'Cálculos'!$D$103)+'Cálculos'!$D$206)*('Cálculos'!$D$212+'Cálculos'!$D$124*(1+2.78*('Cálculos'!$D$196+(($C65)-$A$63:$A$108)*'Cálculos'!$D$98)/(('Cálculos'!$D$196+(($C65)-$A$63:$A$108)*'Cálculos'!$D$98)+1400)+'Cálculos'!$D$122)*'Cálculos'!$D$217+'Cálculos'!$D$125*(1+2.78*('Cálculos'!$D$196+(($C65)-$A$63:$A$108)*'Cálculos'!$D$98)/(('Cálculos'!$D$196+(($C65)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65)-$A$63:$A$108)*'Cálculos'!$D$98)/(('Cálculos'!$D$197+(($C65)-$A$63:$A$108)*'Cálculos'!$D$98)+1400)+'Cálculos'!$D$122)*'Cálculos'!$D$229+'Cálculos'!$D$125*(1+2.78*('Cálculos'!$D$197+(($C65)-$A$63:$A$108)*'Cálculos'!$D$98)/(('Cálculos'!$D$197+(($C65)-$A$63:$A$108)*'Cálculos'!$D$98)+1400)+'Cálculos'!$D$123)*'Cálculos'!$D$234)+('Cálculos'!$D$197+(($C65)-$A$63:$A$108)*'Cálculos'!$D$98)*('Cálculos'!$D$225+'Cálculos'!$D$124*(1+2.78*('Cálculos'!$D$197+(($C65)-$A$63:$A$108)*'Cálculos'!$D$98)/(('Cálculos'!$D$197+(($C65)-$A$63:$A$108)*'Cálculos'!$D$98)+1400)+'Cálculos'!$D$122)*'Cálculos'!$D$230+'Cálculos'!$D$125*(1+2.78*('Cálculos'!$D$197+(($C65)-$A$63:$A$108)*'Cálculos'!$D$98)/(('Cálculos'!$D$197+(($C65)-$A$63:$A$108)*'Cálculos'!$D$98)+1400)+'Cálculos'!$D$123)*'Cálculos'!$D$235)+('Cálculos'!$D$201*(1+'Cálculos'!$D$202+$A$63:$A$108*('Cálculos'!$D$290=2)*'Cálculos'!$D$101)+'Cálculos'!$D$203)*('Cálculos'!$D$226+'Cálculos'!$D$124*(1+2.78*('Cálculos'!$D$197+(($C65)-$A$63:$A$108)*'Cálculos'!$D$98)/(('Cálculos'!$D$197+(($C65)-$A$63:$A$108)*'Cálculos'!$D$98)+1400)+'Cálculos'!$D$122)*'Cálculos'!$D$231+'Cálculos'!$D$125*(1+2.78*('Cálculos'!$D$197+(($C65)-$A$63:$A$108)*'Cálculos'!$D$98)/(('Cálculos'!$D$197+(($C65)-$A$63:$A$108)*'Cálculos'!$D$98)+1400)+'Cálculos'!$D$123)*'Cálculos'!$D$236)+('Cálculos'!$D$204*(1+'Cálculos'!$D$205+$A$63:$A$108*('Cálculos'!$D$290=3)*'Cálculos'!$D$103)+'Cálculos'!$D$206)*('Cálculos'!$D$227+'Cálculos'!$D$124*(1+2.78*('Cálculos'!$D$197+(($C65)-$A$63:$A$108)*'Cálculos'!$D$98)/(('Cálculos'!$D$197+(($C65)-$A$63:$A$108)*'Cálculos'!$D$98)+1400)+'Cálculos'!$D$122)*'Cálculos'!$D$232+'Cálculos'!$D$125*(1+2.78*('Cálculos'!$D$197+(($C65)-$A$63:$A$108)*'Cálculos'!$D$98)/(('Cálculos'!$D$197+(($C65)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65)-$A$63:$A$108)*'Cálculos'!$D$98)/(('Cálculos'!$D$198+(($C65)-$A$63:$A$108)*'Cálculos'!$D$98)+1400)+'Cálculos'!$D$122)*'Cálculos'!$D$244+'Cálculos'!$D$125*(1+2.78*('Cálculos'!$D$198+(($C65)-$A$63:$A$108)*'Cálculos'!$D$98)/(('Cálculos'!$D$198+(($C65)-$A$63:$A$108)*'Cálculos'!$D$98)+1400)+'Cálculos'!$D$123)*'Cálculos'!$D$249)+('Cálculos'!$D$198+(($C65)-$A$63:$A$108)*'Cálculos'!$D$98)*('Cálculos'!$D$240+'Cálculos'!$D$124*(1+2.78*('Cálculos'!$D$198+(($C65)-$A$63:$A$108)*'Cálculos'!$D$98)/(('Cálculos'!$D$198+(($C65)-$A$63:$A$108)*'Cálculos'!$D$98)+1400)+'Cálculos'!$D$122)*'Cálculos'!$D$245+'Cálculos'!$D$125*(1+2.78*('Cálculos'!$D$198+(($C65)-$A$63:$A$108)*'Cálculos'!$D$98)/(('Cálculos'!$D$198+(($C65)-$A$63:$A$108)*'Cálculos'!$D$98)+1400)+'Cálculos'!$D$123)*'Cálculos'!$D$250)+('Cálculos'!$D$201*(1+'Cálculos'!$D$202+$A$63:$A$108*('Cálculos'!$D$290=2)*'Cálculos'!$D$101)+'Cálculos'!$D$203)*('Cálculos'!$D$241+'Cálculos'!$D$124*(1+2.78*('Cálculos'!$D$198+(($C65)-$A$63:$A$108)*'Cálculos'!$D$98)/(('Cálculos'!$D$198+(($C65)-$A$63:$A$108)*'Cálculos'!$D$98)+1400)+'Cálculos'!$D$122)*'Cálculos'!$D$246+'Cálculos'!$D$125*(1+2.78*('Cálculos'!$D$198+(($C65)-$A$63:$A$108)*'Cálculos'!$D$98)/(('Cálculos'!$D$198+(($C65)-$A$63:$A$108)*'Cálculos'!$D$98)+1400)+'Cálculos'!$D$123)*'Cálculos'!$D$251)+('Cálculos'!$D$204*(1+'Cálculos'!$D$205+$A$63:$A$108*('Cálculos'!$D$290=3)*'Cálculos'!$D$103)+'Cálculos'!$D$206)*('Cálculos'!$D$242+'Cálculos'!$D$124*(1+2.78*('Cálculos'!$D$198+(($C65)-$A$63:$A$108)*'Cálculos'!$D$98)/(('Cálculos'!$D$198+(($C65)-$A$63:$A$108)*'Cálculos'!$D$98)+1400)+'Cálculos'!$D$122)*'Cálculos'!$D$247+'Cálculos'!$D$125*(1+2.78*('Cálculos'!$D$198+(($C65)-$A$63:$A$108)*'Cálculos'!$D$98)/(('Cálculos'!$D$198+(($C65)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65)-$A$63:$A$108)*'Cálculos'!$D$98)/(('Cálculos'!$D$199+(($C65)-$A$63:$A$108)*'Cálculos'!$D$98)+1400)+'Cálculos'!$D$122)*'Cálculos'!$D$259+'Cálculos'!$D$125*(1+2.78*('Cálculos'!$D$199+(($C65)-$A$63:$A$108)*'Cálculos'!$D$98)/(('Cálculos'!$D$199+(($C65)-$A$63:$A$108)*'Cálculos'!$D$98)+1400)+'Cálculos'!$D$123)*'Cálculos'!$D$264)+('Cálculos'!$D$199+(($C65)-$A$63:$A$108)*'Cálculos'!$D$98)*('Cálculos'!$D$255+'Cálculos'!$D$124*(1+2.78*('Cálculos'!$D$199+(($C65)-$A$63:$A$108)*'Cálculos'!$D$98)/(('Cálculos'!$D$199+(($C65)-$A$63:$A$108)*'Cálculos'!$D$98)+1400)+'Cálculos'!$D$122)*'Cálculos'!$D$260+'Cálculos'!$D$125*(1+2.78*('Cálculos'!$D$199+(($C65)-$A$63:$A$108)*'Cálculos'!$D$98)/(('Cálculos'!$D$199+(($C65)-$A$63:$A$108)*'Cálculos'!$D$98)+1400)+'Cálculos'!$D$123)*'Cálculos'!$D$265)+('Cálculos'!$D$201*(1+'Cálculos'!$D$202+$A$63:$A$108*('Cálculos'!$D$290=2)*'Cálculos'!$D$101)+'Cálculos'!$D$203)*('Cálculos'!$D$256+'Cálculos'!$D$124*(1+2.78*('Cálculos'!$D$199+(($C65)-$A$63:$A$108)*'Cálculos'!$D$98)/(('Cálculos'!$D$199+(($C65)-$A$63:$A$108)*'Cálculos'!$D$98)+1400)+'Cálculos'!$D$122)*'Cálculos'!$D$261+'Cálculos'!$D$125*(1+2.78*('Cálculos'!$D$199+(($C65)-$A$63:$A$108)*'Cálculos'!$D$98)/(('Cálculos'!$D$199+(($C65)-$A$63:$A$108)*'Cálculos'!$D$98)+1400)+'Cálculos'!$D$123)*'Cálculos'!$D$266)+('Cálculos'!$D$204*(1+'Cálculos'!$D$205+$A$63:$A$108*('Cálculos'!$D$290=3)*'Cálculos'!$D$103)+'Cálculos'!$D$206)*('Cálculos'!$D$257+'Cálculos'!$D$124*(1+2.78*('Cálculos'!$D$199+(($C65)-$A$63:$A$108)*'Cálculos'!$D$98)/(('Cálculos'!$D$199+(($C65)-$A$63:$A$108)*'Cálculos'!$D$98)+1400)+'Cálculos'!$D$122)*'Cálculos'!$D$262+'Cálculos'!$D$125*(1+2.78*('Cálculos'!$D$199+(($C65)-$A$63:$A$108)*'Cálculos'!$D$98)/(('Cálculos'!$D$199+(($C65)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65)-$A$63:$A$108)*'Cálculos'!$D$98)/(('Cálculos'!$D$200+(($C65)-$A$63:$A$108)*'Cálculos'!$D$98)+1400)+'Cálculos'!$D$122)*'Cálculos'!$D$274+'Cálculos'!$D$125*(1+2.78*('Cálculos'!$D$200+(($C65)-$A$63:$A$108)*'Cálculos'!$D$98)/(('Cálculos'!$D$200+(($C65)-$A$63:$A$108)*'Cálculos'!$D$98)+1400)+'Cálculos'!$D$123)*'Cálculos'!$D$279)+('Cálculos'!$D$200+(($C65)-$A$63:$A$108)*'Cálculos'!$D$98)*('Cálculos'!$D$270+'Cálculos'!$D$124*(1+2.78*('Cálculos'!$D$200+(($C65)-$A$63:$A$108)*'Cálculos'!$D$98)/(('Cálculos'!$D$200+(($C65)-$A$63:$A$108)*'Cálculos'!$D$98)+1400)+'Cálculos'!$D$122)*'Cálculos'!$D$275+'Cálculos'!$D$125*(1+2.78*('Cálculos'!$D$200+(($C65)-$A$63:$A$108)*'Cálculos'!$D$98)/(('Cálculos'!$D$200+(($C65)-$A$63:$A$108)*'Cálculos'!$D$98)+1400)+'Cálculos'!$D$123)*'Cálculos'!$D$280)+('Cálculos'!$D$201*(1+'Cálculos'!$D$202+$A$63:$A$108*('Cálculos'!$D$290=2)*'Cálculos'!$D$101)+'Cálculos'!$D$203)*('Cálculos'!$D$271+'Cálculos'!$D$124*(1+2.78*('Cálculos'!$D$200+(($C65)-$A$63:$A$108)*'Cálculos'!$D$98)/(('Cálculos'!$D$200+(($C65)-$A$63:$A$108)*'Cálculos'!$D$98)+1400)+'Cálculos'!$D$122)*'Cálculos'!$D$276+'Cálculos'!$D$125*(1+2.78*('Cálculos'!$D$200+(($C65)-$A$63:$A$108)*'Cálculos'!$D$98)/(('Cálculos'!$D$200+(($C65)-$A$63:$A$108)*'Cálculos'!$D$98)+1400)+'Cálculos'!$D$123)*'Cálculos'!$D$281)+('Cálculos'!$D$204*(1+'Cálculos'!$D$205+$A$63:$A$108*('Cálculos'!$D$290=3)*'Cálculos'!$D$103)+'Cálculos'!$D$206)*('Cálculos'!$D$272+'Cálculos'!$D$124*(1+2.78*('Cálculos'!$D$200+(($C65)-$A$63:$A$108)*'Cálculos'!$D$98)/(('Cálculos'!$D$200+(($C65)-$A$63:$A$108)*'Cálculos'!$D$98)+1400)+'Cálculos'!$D$122)*'Cálculos'!$D$277+'Cálculos'!$D$125*(1+2.78*('Cálculos'!$D$200+(($C65)-$A$63:$A$108)*'Cálculos'!$D$98)/(('Cálculos'!$D$200+(($C65)-$A$63:$A$108)*'Cálculos'!$D$98)+1400)+'Cálculos'!$D$123)*'Cálculos'!$D$282)))))</f>
        <v>79949.00784</v>
      </c>
      <c r="E65" s="32">
        <f>IF(OR($C65&lt;0,'Cálculos'!$D$6=""),0,$B65*$D65)</f>
        <v>99523.46392</v>
      </c>
      <c r="F65" s="2"/>
      <c r="G65" s="30">
        <f>($A65&lt;=$B$110)*($A65&lt;='Cálculos'!$D$294)*(($B$110)-$A65&lt;='Cálculos'!$D$295)*(1+MIN(('Cálculos'!$D$207+$A65*'Cálculos'!$D$95),1)*('Cálculos'!$D$208+(($B$110)-$A65)*'Cálculos'!$D$96))</f>
        <v>1.440102983</v>
      </c>
      <c r="H65" s="31">
        <f>IF($B$111&lt;0,0,($A65&lt;=$B$111)*($A65&lt;='Cálculos'!$D$301)*(($B$111)-$A65&lt;='Cálculos'!$D$297)*(('Cálculos'!$D$185*(1+'Cálculos'!$D$186+$A65*('Cálculos'!$D$290=1)*'Cálculos'!$D$97+'Cálculos'!$D$305)+'Cálculos'!$D$191)*('Cálculos'!$D$209+'Cálculos'!$D$124*(1+2.78*('Cálculos'!$D$196+(($B$111)-$A65)*'Cálculos'!$D$98)/(('Cálculos'!$D$196+(($B$111)-$A65)*'Cálculos'!$D$98)+1400)+'Cálculos'!$D$122)*'Cálculos'!$D$214+'Cálculos'!$D$125*(1+2.78*('Cálculos'!$D$196+(($B$111)-$A65)*'Cálculos'!$D$98)/(('Cálculos'!$D$196+(($B$111)-$A65)*'Cálculos'!$D$98)+1400)+'Cálculos'!$D$123)*'Cálculos'!$D$219)+('Cálculos'!$D$196+(($B$111)-$A65)*'Cálculos'!$D$98)*('Cálculos'!$D$210+'Cálculos'!$D$124*(1+2.78*('Cálculos'!$D$196+(($B$111)-$A65)*'Cálculos'!$D$98)/(('Cálculos'!$D$196+(($B$111)-$A65)*'Cálculos'!$D$98)+1400)+'Cálculos'!$D$122)*'Cálculos'!$D$215+'Cálculos'!$D$125*(1+2.78*('Cálculos'!$D$196+(($B$111)-$A65)*'Cálculos'!$D$98)/(('Cálculos'!$D$196+(($B$111)-$A65)*'Cálculos'!$D$98)+1400)+'Cálculos'!$D$123)*'Cálculos'!$D$220)+('Cálculos'!$D$201*(1+'Cálculos'!$D$202+$A65*('Cálculos'!$D$290=2)*'Cálculos'!$D$101)+'Cálculos'!$D$203)*('Cálculos'!$D$211+'Cálculos'!$D$124*(1+2.78*('Cálculos'!$D$196+(($B$111)-$A65)*'Cálculos'!$D$98)/(('Cálculos'!$D$196+(($B$111)-$A65)*'Cálculos'!$D$98)+1400)+'Cálculos'!$D$122)*'Cálculos'!$D$216+'Cálculos'!$D$125*(1+2.78*('Cálculos'!$D$196+(($B$111)-$A65)*'Cálculos'!$D$98)/(('Cálculos'!$D$196+(($B$111)-$A65)*'Cálculos'!$D$98)+1400)+'Cálculos'!$D$123)*'Cálculos'!$D$221)+('Cálculos'!$D$204*(1+'Cálculos'!$D$205+$A65*('Cálculos'!$D$290=3)*'Cálculos'!$D$103)+'Cálculos'!$D$206)*('Cálculos'!$D$212+'Cálculos'!$D$124*(1+2.78*('Cálculos'!$D$196+(($B$111)-$A65)*'Cálculos'!$D$98)/(('Cálculos'!$D$196+(($B$111)-$A65)*'Cálculos'!$D$98)+1400)+'Cálculos'!$D$122)*'Cálculos'!$D$217+'Cálculos'!$D$125*(1+2.78*('Cálculos'!$D$196+(($B$111)-$A65)*'Cálculos'!$D$98)/(('Cálculos'!$D$196+(($B$111)-$A65)*'Cálculos'!$D$98)+1400)+'Cálculos'!$D$123)*'Cálculos'!$D$222)+('Cálculos'!$D$185*(1+'Cálculos'!$D$187+$A65*('Cálculos'!$D$290=1)*'Cálculos'!$D$97+'Cálculos'!$D$305)+'Cálculos'!$D$192)*('Cálculos'!$D$224+'Cálculos'!$D$124*(1+2.78*('Cálculos'!$D$197+(($B$111)-$A65)*'Cálculos'!$D$98)/(('Cálculos'!$D$197+(($B$111)-$A65)*'Cálculos'!$D$98)+1400)+'Cálculos'!$D$122)*'Cálculos'!$D$229+'Cálculos'!$D$125*(1+2.78*('Cálculos'!$D$197+(($B$111)-$A65)*'Cálculos'!$D$98)/(('Cálculos'!$D$197+(($B$111)-$A65)*'Cálculos'!$D$98)+1400)+'Cálculos'!$D$123)*'Cálculos'!$D$234)+('Cálculos'!$D$197+(($B$111)-$A65)*'Cálculos'!$D$98)*('Cálculos'!$D$225+'Cálculos'!$D$124*(1+2.78*('Cálculos'!$D$197+(($B$111)-$A65)*'Cálculos'!$D$98)/(('Cálculos'!$D$197+(($B$111)-$A65)*'Cálculos'!$D$98)+1400)+'Cálculos'!$D$122)*'Cálculos'!$D$230+'Cálculos'!$D$125*(1+2.78*('Cálculos'!$D$197+(($B$111)-$A65)*'Cálculos'!$D$98)/(('Cálculos'!$D$197+(($B$111)-$A65)*'Cálculos'!$D$98)+1400)+'Cálculos'!$D$123)*'Cálculos'!$D$235)+('Cálculos'!$D$201*(1+'Cálculos'!$D$202+$A65*('Cálculos'!$D$290=2)*'Cálculos'!$D$101)+'Cálculos'!$D$203)*('Cálculos'!$D$226+'Cálculos'!$D$124*(1+2.78*('Cálculos'!$D$197+(($B$111)-$A65)*'Cálculos'!$D$98)/(('Cálculos'!$D$197+(($B$111)-$A65)*'Cálculos'!$D$98)+1400)+'Cálculos'!$D$122)*'Cálculos'!$D$231+'Cálculos'!$D$125*(1+2.78*('Cálculos'!$D$197+(($B$111)-$A65)*'Cálculos'!$D$98)/(('Cálculos'!$D$197+(($B$111)-$A65)*'Cálculos'!$D$98)+1400)+'Cálculos'!$D$123)*'Cálculos'!$D$236)+('Cálculos'!$D$204*(1+'Cálculos'!$D$205+$A65*('Cálculos'!$D$290=3)*'Cálculos'!$D$103)+'Cálculos'!$D$206)*('Cálculos'!$D$227+'Cálculos'!$D$124*(1+2.78*('Cálculos'!$D$197+(($B$111)-$A65)*'Cálculos'!$D$98)/(('Cálculos'!$D$197+(($B$111)-$A65)*'Cálculos'!$D$98)+1400)+'Cálculos'!$D$122)*'Cálculos'!$D$232+'Cálculos'!$D$125*(1+2.78*('Cálculos'!$D$197+(($B$111)-$A65)*'Cálculos'!$D$98)/(('Cálculos'!$D$197+(($B$111)-$A65)*'Cálculos'!$D$98)+1400)+'Cálculos'!$D$123)*'Cálculos'!$D$237)+('Cálculos'!$D$185*(1+'Cálculos'!$D$188+$A65*('Cálculos'!$D$290=1)*'Cálculos'!$D$97+'Cálculos'!$D$305)+'Cálculos'!$D$193)*('Cálculos'!$D$239+'Cálculos'!$D$124*(1+2.78*('Cálculos'!$D$198+(($B$111)-$A65)*'Cálculos'!$D$98)/(('Cálculos'!$D$198+(($B$111)-$A65)*'Cálculos'!$D$98)+1400)+'Cálculos'!$D$122)*'Cálculos'!$D$244+'Cálculos'!$D$125*(1+2.78*('Cálculos'!$D$198+(($B$111)-$A65)*'Cálculos'!$D$98)/(('Cálculos'!$D$198+(($B$111)-$A65)*'Cálculos'!$D$98)+1400)+'Cálculos'!$D$123)*'Cálculos'!$D$249)+('Cálculos'!$D$198+(($B$111)-$A65)*'Cálculos'!$D$98)*('Cálculos'!$D$240+'Cálculos'!$D$124*(1+2.78*('Cálculos'!$D$198+(($B$111)-$A65)*'Cálculos'!$D$98)/(('Cálculos'!$D$198+(($B$111)-$A65)*'Cálculos'!$D$98)+1400)+'Cálculos'!$D$122)*'Cálculos'!$D$245+'Cálculos'!$D$125*(1+2.78*('Cálculos'!$D$198+(($B$111)-$A65)*'Cálculos'!$D$98)/(('Cálculos'!$D$198+(($B$111)-$A65)*'Cálculos'!$D$98)+1400)+'Cálculos'!$D$123)*'Cálculos'!$D$250)+('Cálculos'!$D$201*(1+'Cálculos'!$D$202+$A65*('Cálculos'!$D$290=2)*'Cálculos'!$D$101)+'Cálculos'!$D$203)*('Cálculos'!$D$241+'Cálculos'!$D$124*(1+2.78*('Cálculos'!$D$198+(($B$111)-$A65)*'Cálculos'!$D$98)/(('Cálculos'!$D$198+(($B$111)-$A65)*'Cálculos'!$D$98)+1400)+'Cálculos'!$D$122)*'Cálculos'!$D$246+'Cálculos'!$D$125*(1+2.78*('Cálculos'!$D$198+(($B$111)-$A65)*'Cálculos'!$D$98)/(('Cálculos'!$D$198+(($B$111)-$A65)*'Cálculos'!$D$98)+1400)+'Cálculos'!$D$123)*'Cálculos'!$D$251)+('Cálculos'!$D$204*(1+'Cálculos'!$D$205+$A65*('Cálculos'!$D$290=3)*'Cálculos'!$D$103)+'Cálculos'!$D$206)*('Cálculos'!$D$242+'Cálculos'!$D$124*(1+2.78*('Cálculos'!$D$198+(($B$111)-$A65)*'Cálculos'!$D$98)/(('Cálculos'!$D$198+(($B$111)-$A65)*'Cálculos'!$D$98)+1400)+'Cálculos'!$D$122)*'Cálculos'!$D$247+'Cálculos'!$D$125*(1+2.78*('Cálculos'!$D$198+(($B$111)-$A65)*'Cálculos'!$D$98)/(('Cálculos'!$D$198+(($B$111)-$A65)*'Cálculos'!$D$98)+1400)+'Cálculos'!$D$123)*'Cálculos'!$D$252)+('Cálculos'!$D$185*(1+'Cálculos'!$D$189+$A65*('Cálculos'!$D$290=1)*'Cálculos'!$D$97+'Cálculos'!$D$305)+'Cálculos'!$D$194)*('Cálculos'!$D$254+'Cálculos'!$D$124*(1+2.78*('Cálculos'!$D$199+(($B$111)-$A65)*'Cálculos'!$D$98)/(('Cálculos'!$D$199+(($B$111)-$A65)*'Cálculos'!$D$98)+1400)+'Cálculos'!$D$122)*'Cálculos'!$D$259+'Cálculos'!$D$125*(1+2.78*('Cálculos'!$D$199+(($B$111)-$A65)*'Cálculos'!$D$98)/(('Cálculos'!$D$199+(($B$111)-$A65)*'Cálculos'!$D$98)+1400)+'Cálculos'!$D$123)*'Cálculos'!$D$264)+('Cálculos'!$D$199+(($B$111)-$A65)*'Cálculos'!$D$98)*('Cálculos'!$D$255+'Cálculos'!$D$124*(1+2.78*('Cálculos'!$D$199+(($B$111)-$A65)*'Cálculos'!$D$98)/(('Cálculos'!$D$199+(($B$111)-$A65)*'Cálculos'!$D$98)+1400)+'Cálculos'!$D$122)*'Cálculos'!$D$260+'Cálculos'!$D$125*(1+2.78*('Cálculos'!$D$199+(($B$111)-$A65)*'Cálculos'!$D$98)/(('Cálculos'!$D$199+(($B$111)-$A65)*'Cálculos'!$D$98)+1400)+'Cálculos'!$D$123)*'Cálculos'!$D$265)+('Cálculos'!$D$201*(1+'Cálculos'!$D$202+$A65*('Cálculos'!$D$290=2)*'Cálculos'!$D$101)+'Cálculos'!$D$203)*('Cálculos'!$D$256+'Cálculos'!$D$124*(1+2.78*('Cálculos'!$D$199+(($B$111)-$A65)*'Cálculos'!$D$98)/(('Cálculos'!$D$199+(($B$111)-$A65)*'Cálculos'!$D$98)+1400)+'Cálculos'!$D$122)*'Cálculos'!$D$261+'Cálculos'!$D$125*(1+2.78*('Cálculos'!$D$199+(($B$111)-$A65)*'Cálculos'!$D$98)/(('Cálculos'!$D$199+(($B$111)-$A65)*'Cálculos'!$D$98)+1400)+'Cálculos'!$D$123)*'Cálculos'!$D$266)+('Cálculos'!$D$204*(1+'Cálculos'!$D$205+$A65*('Cálculos'!$D$290=3)*'Cálculos'!$D$103)+'Cálculos'!$D$206)*('Cálculos'!$D$257+'Cálculos'!$D$124*(1+2.78*('Cálculos'!$D$199+(($B$111)-$A65)*'Cálculos'!$D$98)/(('Cálculos'!$D$199+(($B$111)-$A65)*'Cálculos'!$D$98)+1400)+'Cálculos'!$D$122)*'Cálculos'!$D$262+'Cálculos'!$D$125*(1+2.78*('Cálculos'!$D$199+(($B$111)-$A65)*'Cálculos'!$D$98)/(('Cálculos'!$D$199+(($B$111)-$A65)*'Cálculos'!$D$98)+1400)+'Cálculos'!$D$123)*'Cálculos'!$D$267)+('Cálculos'!$D$185*(1+'Cálculos'!$D$190+$A65*('Cálculos'!$D$290=1)*'Cálculos'!$D$97+'Cálculos'!$D$305)+'Cálculos'!$D$195)*('Cálculos'!$D$269+'Cálculos'!$D$124*(1+2.78*('Cálculos'!$D$200+(($B$111)-$A65)*'Cálculos'!$D$98)/(('Cálculos'!$D$200+(($B$111)-$A65)*'Cálculos'!$D$98)+1400)+'Cálculos'!$D$122)*'Cálculos'!$D$274+'Cálculos'!$D$125*(1+2.78*('Cálculos'!$D$200+(($B$111)-$A65)*'Cálculos'!$D$98)/(('Cálculos'!$D$200+(($B$111)-$A65)*'Cálculos'!$D$98)+1400)+'Cálculos'!$D$123)*'Cálculos'!$D$279)+('Cálculos'!$D$200+(($B$111)-$A65)*'Cálculos'!$D$98)*('Cálculos'!$D$270+'Cálculos'!$D$124*(1+2.78*('Cálculos'!$D$200+(($B$111)-$A65)*'Cálculos'!$D$98)/(('Cálculos'!$D$200+(($B$111)-$A65)*'Cálculos'!$D$98)+1400)+'Cálculos'!$D$122)*'Cálculos'!$D$275+'Cálculos'!$D$125*(1+2.78*('Cálculos'!$D$200+(($B$111)-$A65)*'Cálculos'!$D$98)/(('Cálculos'!$D$200+(($B$111)-$A65)*'Cálculos'!$D$98)+1400)+'Cálculos'!$D$123)*'Cálculos'!$D$280)+('Cálculos'!$D$201*(1+'Cálculos'!$D$202+$A65*('Cálculos'!$D$290=2)*'Cálculos'!$D$101)+'Cálculos'!$D$203)*('Cálculos'!$D$271+'Cálculos'!$D$124*(1+2.78*('Cálculos'!$D$200+(($B$111)-$A65)*'Cálculos'!$D$98)/(('Cálculos'!$D$200+(($B$111)-$A65)*'Cálculos'!$D$98)+1400)+'Cálculos'!$D$122)*'Cálculos'!$D$276+'Cálculos'!$D$125*(1+2.78*('Cálculos'!$D$200+(($B$111)-$A65)*'Cálculos'!$D$98)/(('Cálculos'!$D$200+(($B$111)-$A65)*'Cálculos'!$D$98)+1400)+'Cálculos'!$D$123)*'Cálculos'!$D$281)+('Cálculos'!$D$204*(1+'Cálculos'!$D$205+$A65*('Cálculos'!$D$290=3)*'Cálculos'!$D$103)+'Cálculos'!$D$206)*('Cálculos'!$D$272+'Cálculos'!$D$124*(1+2.78*('Cálculos'!$D$200+(($B$111)-$A65)*'Cálculos'!$D$98)/(('Cálculos'!$D$200+(($B$111)-$A65)*'Cálculos'!$D$98)+1400)+'Cálculos'!$D$122)*'Cálculos'!$D$277+'Cálculos'!$D$125*(1+2.78*('Cálculos'!$D$200+(($B$111)-$A65)*'Cálculos'!$D$98)/(('Cálculos'!$D$200+(($B$111)-$A65)*'Cálculos'!$D$98)+1400)+'Cálculos'!$D$123)*'Cálculos'!$D$282)))</f>
        <v>0</v>
      </c>
    </row>
    <row r="66" ht="15.75" customHeight="1">
      <c r="A66" s="2">
        <v>3.0</v>
      </c>
      <c r="B66" s="30">
        <f>SUMPRODUCT(MAX(($A$63:$A$108&lt;=$A66)*($A$63:$A$108&lt;='Cálculos'!$D$294)*(($A66)-$A$63:$A$108&lt;='Cálculos'!$D$295)*(1+(('Cálculos'!$D$207+$A$63:$A$108*'Cálculos'!$D$95)-(('Cálculos'!$D$207+$A$63:$A$108*'Cálculos'!$D$95)&gt;1)*(('Cálculos'!$D$207+$A$63:$A$108*'Cálculos'!$D$95)-1))*('Cálculos'!$D$208+(($A66)-$A$63:$A$108)*'Cálculos'!$D$96))))</f>
        <v>1.265122362</v>
      </c>
      <c r="C66" s="2">
        <f>'Cálculos'!$D$303-$A66</f>
        <v>8</v>
      </c>
      <c r="D66" s="31">
        <f>IF($C66&lt;0,0,SUMPRODUCT(MAX(($A$63:$A$108&lt;=$C66)*($A$63:$A$108&lt;='Cálculos'!$D$301)*(($C66)-$A$63:$A$108&lt;='Cálculos'!$D$297)*(('Cálculos'!$D$185*(1+'Cálculos'!$D$186+$A$63:$A$108*('Cálculos'!$D$290=1)*'Cálculos'!$D$97+'Cálculos'!$D$305)+'Cálculos'!$D$191)*('Cálculos'!$D$209+'Cálculos'!$D$124*(1+2.78*('Cálculos'!$D$196+(($C66)-$A$63:$A$108)*'Cálculos'!$D$98)/(('Cálculos'!$D$196+(($C66)-$A$63:$A$108)*'Cálculos'!$D$98)+1400)+'Cálculos'!$D$122)*'Cálculos'!$D$214+'Cálculos'!$D$125*(1+2.78*('Cálculos'!$D$196+(($C66)-$A$63:$A$108)*'Cálculos'!$D$98)/(('Cálculos'!$D$196+(($C66)-$A$63:$A$108)*'Cálculos'!$D$98)+1400)+'Cálculos'!$D$123)*'Cálculos'!$D$219)+('Cálculos'!$D$196+(($C66)-$A$63:$A$108)*'Cálculos'!$D$98)*('Cálculos'!$D$210+'Cálculos'!$D$124*(1+2.78*('Cálculos'!$D$196+(($C66)-$A$63:$A$108)*'Cálculos'!$D$98)/(('Cálculos'!$D$196+(($C66)-$A$63:$A$108)*'Cálculos'!$D$98)+1400)+'Cálculos'!$D$122)*'Cálculos'!$D$215+'Cálculos'!$D$125*(1+2.78*('Cálculos'!$D$196+(($C66)-$A$63:$A$108)*'Cálculos'!$D$98)/(('Cálculos'!$D$196+(($C66)-$A$63:$A$108)*'Cálculos'!$D$98)+1400)+'Cálculos'!$D$123)*'Cálculos'!$D$220)+('Cálculos'!$D$201*(1+'Cálculos'!$D$202+$A$63:$A$108*('Cálculos'!$D$290=2)*'Cálculos'!$D$101)+'Cálculos'!$D$203)*('Cálculos'!$D$211+'Cálculos'!$D$124*(1+2.78*('Cálculos'!$D$196+(($C66)-$A$63:$A$108)*'Cálculos'!$D$98)/(('Cálculos'!$D$196+(($C66)-$A$63:$A$108)*'Cálculos'!$D$98)+1400)+'Cálculos'!$D$122)*'Cálculos'!$D$216+'Cálculos'!$D$125*(1+2.78*('Cálculos'!$D$196+(($C66)-$A$63:$A$108)*'Cálculos'!$D$98)/(('Cálculos'!$D$196+(($C66)-$A$63:$A$108)*'Cálculos'!$D$98)+1400)+'Cálculos'!$D$123)*'Cálculos'!$D$221)+('Cálculos'!$D$204*(1+'Cálculos'!$D$205+$A$63:$A$108*('Cálculos'!$D$290=3)*'Cálculos'!$D$103)+'Cálculos'!$D$206)*('Cálculos'!$D$212+'Cálculos'!$D$124*(1+2.78*('Cálculos'!$D$196+(($C66)-$A$63:$A$108)*'Cálculos'!$D$98)/(('Cálculos'!$D$196+(($C66)-$A$63:$A$108)*'Cálculos'!$D$98)+1400)+'Cálculos'!$D$122)*'Cálculos'!$D$217+'Cálculos'!$D$125*(1+2.78*('Cálculos'!$D$196+(($C66)-$A$63:$A$108)*'Cálculos'!$D$98)/(('Cálculos'!$D$196+(($C66)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66)-$A$63:$A$108)*'Cálculos'!$D$98)/(('Cálculos'!$D$197+(($C66)-$A$63:$A$108)*'Cálculos'!$D$98)+1400)+'Cálculos'!$D$122)*'Cálculos'!$D$229+'Cálculos'!$D$125*(1+2.78*('Cálculos'!$D$197+(($C66)-$A$63:$A$108)*'Cálculos'!$D$98)/(('Cálculos'!$D$197+(($C66)-$A$63:$A$108)*'Cálculos'!$D$98)+1400)+'Cálculos'!$D$123)*'Cálculos'!$D$234)+('Cálculos'!$D$197+(($C66)-$A$63:$A$108)*'Cálculos'!$D$98)*('Cálculos'!$D$225+'Cálculos'!$D$124*(1+2.78*('Cálculos'!$D$197+(($C66)-$A$63:$A$108)*'Cálculos'!$D$98)/(('Cálculos'!$D$197+(($C66)-$A$63:$A$108)*'Cálculos'!$D$98)+1400)+'Cálculos'!$D$122)*'Cálculos'!$D$230+'Cálculos'!$D$125*(1+2.78*('Cálculos'!$D$197+(($C66)-$A$63:$A$108)*'Cálculos'!$D$98)/(('Cálculos'!$D$197+(($C66)-$A$63:$A$108)*'Cálculos'!$D$98)+1400)+'Cálculos'!$D$123)*'Cálculos'!$D$235)+('Cálculos'!$D$201*(1+'Cálculos'!$D$202+$A$63:$A$108*('Cálculos'!$D$290=2)*'Cálculos'!$D$101)+'Cálculos'!$D$203)*('Cálculos'!$D$226+'Cálculos'!$D$124*(1+2.78*('Cálculos'!$D$197+(($C66)-$A$63:$A$108)*'Cálculos'!$D$98)/(('Cálculos'!$D$197+(($C66)-$A$63:$A$108)*'Cálculos'!$D$98)+1400)+'Cálculos'!$D$122)*'Cálculos'!$D$231+'Cálculos'!$D$125*(1+2.78*('Cálculos'!$D$197+(($C66)-$A$63:$A$108)*'Cálculos'!$D$98)/(('Cálculos'!$D$197+(($C66)-$A$63:$A$108)*'Cálculos'!$D$98)+1400)+'Cálculos'!$D$123)*'Cálculos'!$D$236)+('Cálculos'!$D$204*(1+'Cálculos'!$D$205+$A$63:$A$108*('Cálculos'!$D$290=3)*'Cálculos'!$D$103)+'Cálculos'!$D$206)*('Cálculos'!$D$227+'Cálculos'!$D$124*(1+2.78*('Cálculos'!$D$197+(($C66)-$A$63:$A$108)*'Cálculos'!$D$98)/(('Cálculos'!$D$197+(($C66)-$A$63:$A$108)*'Cálculos'!$D$98)+1400)+'Cálculos'!$D$122)*'Cálculos'!$D$232+'Cálculos'!$D$125*(1+2.78*('Cálculos'!$D$197+(($C66)-$A$63:$A$108)*'Cálculos'!$D$98)/(('Cálculos'!$D$197+(($C66)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66)-$A$63:$A$108)*'Cálculos'!$D$98)/(('Cálculos'!$D$198+(($C66)-$A$63:$A$108)*'Cálculos'!$D$98)+1400)+'Cálculos'!$D$122)*'Cálculos'!$D$244+'Cálculos'!$D$125*(1+2.78*('Cálculos'!$D$198+(($C66)-$A$63:$A$108)*'Cálculos'!$D$98)/(('Cálculos'!$D$198+(($C66)-$A$63:$A$108)*'Cálculos'!$D$98)+1400)+'Cálculos'!$D$123)*'Cálculos'!$D$249)+('Cálculos'!$D$198+(($C66)-$A$63:$A$108)*'Cálculos'!$D$98)*('Cálculos'!$D$240+'Cálculos'!$D$124*(1+2.78*('Cálculos'!$D$198+(($C66)-$A$63:$A$108)*'Cálculos'!$D$98)/(('Cálculos'!$D$198+(($C66)-$A$63:$A$108)*'Cálculos'!$D$98)+1400)+'Cálculos'!$D$122)*'Cálculos'!$D$245+'Cálculos'!$D$125*(1+2.78*('Cálculos'!$D$198+(($C66)-$A$63:$A$108)*'Cálculos'!$D$98)/(('Cálculos'!$D$198+(($C66)-$A$63:$A$108)*'Cálculos'!$D$98)+1400)+'Cálculos'!$D$123)*'Cálculos'!$D$250)+('Cálculos'!$D$201*(1+'Cálculos'!$D$202+$A$63:$A$108*('Cálculos'!$D$290=2)*'Cálculos'!$D$101)+'Cálculos'!$D$203)*('Cálculos'!$D$241+'Cálculos'!$D$124*(1+2.78*('Cálculos'!$D$198+(($C66)-$A$63:$A$108)*'Cálculos'!$D$98)/(('Cálculos'!$D$198+(($C66)-$A$63:$A$108)*'Cálculos'!$D$98)+1400)+'Cálculos'!$D$122)*'Cálculos'!$D$246+'Cálculos'!$D$125*(1+2.78*('Cálculos'!$D$198+(($C66)-$A$63:$A$108)*'Cálculos'!$D$98)/(('Cálculos'!$D$198+(($C66)-$A$63:$A$108)*'Cálculos'!$D$98)+1400)+'Cálculos'!$D$123)*'Cálculos'!$D$251)+('Cálculos'!$D$204*(1+'Cálculos'!$D$205+$A$63:$A$108*('Cálculos'!$D$290=3)*'Cálculos'!$D$103)+'Cálculos'!$D$206)*('Cálculos'!$D$242+'Cálculos'!$D$124*(1+2.78*('Cálculos'!$D$198+(($C66)-$A$63:$A$108)*'Cálculos'!$D$98)/(('Cálculos'!$D$198+(($C66)-$A$63:$A$108)*'Cálculos'!$D$98)+1400)+'Cálculos'!$D$122)*'Cálculos'!$D$247+'Cálculos'!$D$125*(1+2.78*('Cálculos'!$D$198+(($C66)-$A$63:$A$108)*'Cálculos'!$D$98)/(('Cálculos'!$D$198+(($C66)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66)-$A$63:$A$108)*'Cálculos'!$D$98)/(('Cálculos'!$D$199+(($C66)-$A$63:$A$108)*'Cálculos'!$D$98)+1400)+'Cálculos'!$D$122)*'Cálculos'!$D$259+'Cálculos'!$D$125*(1+2.78*('Cálculos'!$D$199+(($C66)-$A$63:$A$108)*'Cálculos'!$D$98)/(('Cálculos'!$D$199+(($C66)-$A$63:$A$108)*'Cálculos'!$D$98)+1400)+'Cálculos'!$D$123)*'Cálculos'!$D$264)+('Cálculos'!$D$199+(($C66)-$A$63:$A$108)*'Cálculos'!$D$98)*('Cálculos'!$D$255+'Cálculos'!$D$124*(1+2.78*('Cálculos'!$D$199+(($C66)-$A$63:$A$108)*'Cálculos'!$D$98)/(('Cálculos'!$D$199+(($C66)-$A$63:$A$108)*'Cálculos'!$D$98)+1400)+'Cálculos'!$D$122)*'Cálculos'!$D$260+'Cálculos'!$D$125*(1+2.78*('Cálculos'!$D$199+(($C66)-$A$63:$A$108)*'Cálculos'!$D$98)/(('Cálculos'!$D$199+(($C66)-$A$63:$A$108)*'Cálculos'!$D$98)+1400)+'Cálculos'!$D$123)*'Cálculos'!$D$265)+('Cálculos'!$D$201*(1+'Cálculos'!$D$202+$A$63:$A$108*('Cálculos'!$D$290=2)*'Cálculos'!$D$101)+'Cálculos'!$D$203)*('Cálculos'!$D$256+'Cálculos'!$D$124*(1+2.78*('Cálculos'!$D$199+(($C66)-$A$63:$A$108)*'Cálculos'!$D$98)/(('Cálculos'!$D$199+(($C66)-$A$63:$A$108)*'Cálculos'!$D$98)+1400)+'Cálculos'!$D$122)*'Cálculos'!$D$261+'Cálculos'!$D$125*(1+2.78*('Cálculos'!$D$199+(($C66)-$A$63:$A$108)*'Cálculos'!$D$98)/(('Cálculos'!$D$199+(($C66)-$A$63:$A$108)*'Cálculos'!$D$98)+1400)+'Cálculos'!$D$123)*'Cálculos'!$D$266)+('Cálculos'!$D$204*(1+'Cálculos'!$D$205+$A$63:$A$108*('Cálculos'!$D$290=3)*'Cálculos'!$D$103)+'Cálculos'!$D$206)*('Cálculos'!$D$257+'Cálculos'!$D$124*(1+2.78*('Cálculos'!$D$199+(($C66)-$A$63:$A$108)*'Cálculos'!$D$98)/(('Cálculos'!$D$199+(($C66)-$A$63:$A$108)*'Cálculos'!$D$98)+1400)+'Cálculos'!$D$122)*'Cálculos'!$D$262+'Cálculos'!$D$125*(1+2.78*('Cálculos'!$D$199+(($C66)-$A$63:$A$108)*'Cálculos'!$D$98)/(('Cálculos'!$D$199+(($C66)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66)-$A$63:$A$108)*'Cálculos'!$D$98)/(('Cálculos'!$D$200+(($C66)-$A$63:$A$108)*'Cálculos'!$D$98)+1400)+'Cálculos'!$D$122)*'Cálculos'!$D$274+'Cálculos'!$D$125*(1+2.78*('Cálculos'!$D$200+(($C66)-$A$63:$A$108)*'Cálculos'!$D$98)/(('Cálculos'!$D$200+(($C66)-$A$63:$A$108)*'Cálculos'!$D$98)+1400)+'Cálculos'!$D$123)*'Cálculos'!$D$279)+('Cálculos'!$D$200+(($C66)-$A$63:$A$108)*'Cálculos'!$D$98)*('Cálculos'!$D$270+'Cálculos'!$D$124*(1+2.78*('Cálculos'!$D$200+(($C66)-$A$63:$A$108)*'Cálculos'!$D$98)/(('Cálculos'!$D$200+(($C66)-$A$63:$A$108)*'Cálculos'!$D$98)+1400)+'Cálculos'!$D$122)*'Cálculos'!$D$275+'Cálculos'!$D$125*(1+2.78*('Cálculos'!$D$200+(($C66)-$A$63:$A$108)*'Cálculos'!$D$98)/(('Cálculos'!$D$200+(($C66)-$A$63:$A$108)*'Cálculos'!$D$98)+1400)+'Cálculos'!$D$123)*'Cálculos'!$D$280)+('Cálculos'!$D$201*(1+'Cálculos'!$D$202+$A$63:$A$108*('Cálculos'!$D$290=2)*'Cálculos'!$D$101)+'Cálculos'!$D$203)*('Cálculos'!$D$271+'Cálculos'!$D$124*(1+2.78*('Cálculos'!$D$200+(($C66)-$A$63:$A$108)*'Cálculos'!$D$98)/(('Cálculos'!$D$200+(($C66)-$A$63:$A$108)*'Cálculos'!$D$98)+1400)+'Cálculos'!$D$122)*'Cálculos'!$D$276+'Cálculos'!$D$125*(1+2.78*('Cálculos'!$D$200+(($C66)-$A$63:$A$108)*'Cálculos'!$D$98)/(('Cálculos'!$D$200+(($C66)-$A$63:$A$108)*'Cálculos'!$D$98)+1400)+'Cálculos'!$D$123)*'Cálculos'!$D$281)+('Cálculos'!$D$204*(1+'Cálculos'!$D$205+$A$63:$A$108*('Cálculos'!$D$290=3)*'Cálculos'!$D$103)+'Cálculos'!$D$206)*('Cálculos'!$D$272+'Cálculos'!$D$124*(1+2.78*('Cálculos'!$D$200+(($C66)-$A$63:$A$108)*'Cálculos'!$D$98)/(('Cálculos'!$D$200+(($C66)-$A$63:$A$108)*'Cálculos'!$D$98)+1400)+'Cálculos'!$D$122)*'Cálculos'!$D$277+'Cálculos'!$D$125*(1+2.78*('Cálculos'!$D$200+(($C66)-$A$63:$A$108)*'Cálculos'!$D$98)/(('Cálculos'!$D$200+(($C66)-$A$63:$A$108)*'Cálculos'!$D$98)+1400)+'Cálculos'!$D$123)*'Cálculos'!$D$282)))))</f>
        <v>78900.05894</v>
      </c>
      <c r="E66" s="32">
        <f>IF(OR($C66&lt;0,'Cálculos'!$D$6=""),0,$B66*$D66)</f>
        <v>99818.22896</v>
      </c>
      <c r="F66" s="2"/>
      <c r="G66" s="30">
        <f>($A66&lt;=$B$110)*($A66&lt;='Cálculos'!$D$294)*(($B$110)-$A66&lt;='Cálculos'!$D$295)*(1+MIN(('Cálculos'!$D$207+$A66*'Cálculos'!$D$95),1)*('Cálculos'!$D$208+(($B$110)-$A66)*'Cálculos'!$D$96))</f>
        <v>1.447713645</v>
      </c>
      <c r="H66" s="31">
        <f>IF($B$111&lt;0,0,($A66&lt;=$B$111)*($A66&lt;='Cálculos'!$D$301)*(($B$111)-$A66&lt;='Cálculos'!$D$297)*(('Cálculos'!$D$185*(1+'Cálculos'!$D$186+$A66*('Cálculos'!$D$290=1)*'Cálculos'!$D$97+'Cálculos'!$D$305)+'Cálculos'!$D$191)*('Cálculos'!$D$209+'Cálculos'!$D$124*(1+2.78*('Cálculos'!$D$196+(($B$111)-$A66)*'Cálculos'!$D$98)/(('Cálculos'!$D$196+(($B$111)-$A66)*'Cálculos'!$D$98)+1400)+'Cálculos'!$D$122)*'Cálculos'!$D$214+'Cálculos'!$D$125*(1+2.78*('Cálculos'!$D$196+(($B$111)-$A66)*'Cálculos'!$D$98)/(('Cálculos'!$D$196+(($B$111)-$A66)*'Cálculos'!$D$98)+1400)+'Cálculos'!$D$123)*'Cálculos'!$D$219)+('Cálculos'!$D$196+(($B$111)-$A66)*'Cálculos'!$D$98)*('Cálculos'!$D$210+'Cálculos'!$D$124*(1+2.78*('Cálculos'!$D$196+(($B$111)-$A66)*'Cálculos'!$D$98)/(('Cálculos'!$D$196+(($B$111)-$A66)*'Cálculos'!$D$98)+1400)+'Cálculos'!$D$122)*'Cálculos'!$D$215+'Cálculos'!$D$125*(1+2.78*('Cálculos'!$D$196+(($B$111)-$A66)*'Cálculos'!$D$98)/(('Cálculos'!$D$196+(($B$111)-$A66)*'Cálculos'!$D$98)+1400)+'Cálculos'!$D$123)*'Cálculos'!$D$220)+('Cálculos'!$D$201*(1+'Cálculos'!$D$202+$A66*('Cálculos'!$D$290=2)*'Cálculos'!$D$101)+'Cálculos'!$D$203)*('Cálculos'!$D$211+'Cálculos'!$D$124*(1+2.78*('Cálculos'!$D$196+(($B$111)-$A66)*'Cálculos'!$D$98)/(('Cálculos'!$D$196+(($B$111)-$A66)*'Cálculos'!$D$98)+1400)+'Cálculos'!$D$122)*'Cálculos'!$D$216+'Cálculos'!$D$125*(1+2.78*('Cálculos'!$D$196+(($B$111)-$A66)*'Cálculos'!$D$98)/(('Cálculos'!$D$196+(($B$111)-$A66)*'Cálculos'!$D$98)+1400)+'Cálculos'!$D$123)*'Cálculos'!$D$221)+('Cálculos'!$D$204*(1+'Cálculos'!$D$205+$A66*('Cálculos'!$D$290=3)*'Cálculos'!$D$103)+'Cálculos'!$D$206)*('Cálculos'!$D$212+'Cálculos'!$D$124*(1+2.78*('Cálculos'!$D$196+(($B$111)-$A66)*'Cálculos'!$D$98)/(('Cálculos'!$D$196+(($B$111)-$A66)*'Cálculos'!$D$98)+1400)+'Cálculos'!$D$122)*'Cálculos'!$D$217+'Cálculos'!$D$125*(1+2.78*('Cálculos'!$D$196+(($B$111)-$A66)*'Cálculos'!$D$98)/(('Cálculos'!$D$196+(($B$111)-$A66)*'Cálculos'!$D$98)+1400)+'Cálculos'!$D$123)*'Cálculos'!$D$222)+('Cálculos'!$D$185*(1+'Cálculos'!$D$187+$A66*('Cálculos'!$D$290=1)*'Cálculos'!$D$97+'Cálculos'!$D$305)+'Cálculos'!$D$192)*('Cálculos'!$D$224+'Cálculos'!$D$124*(1+2.78*('Cálculos'!$D$197+(($B$111)-$A66)*'Cálculos'!$D$98)/(('Cálculos'!$D$197+(($B$111)-$A66)*'Cálculos'!$D$98)+1400)+'Cálculos'!$D$122)*'Cálculos'!$D$229+'Cálculos'!$D$125*(1+2.78*('Cálculos'!$D$197+(($B$111)-$A66)*'Cálculos'!$D$98)/(('Cálculos'!$D$197+(($B$111)-$A66)*'Cálculos'!$D$98)+1400)+'Cálculos'!$D$123)*'Cálculos'!$D$234)+('Cálculos'!$D$197+(($B$111)-$A66)*'Cálculos'!$D$98)*('Cálculos'!$D$225+'Cálculos'!$D$124*(1+2.78*('Cálculos'!$D$197+(($B$111)-$A66)*'Cálculos'!$D$98)/(('Cálculos'!$D$197+(($B$111)-$A66)*'Cálculos'!$D$98)+1400)+'Cálculos'!$D$122)*'Cálculos'!$D$230+'Cálculos'!$D$125*(1+2.78*('Cálculos'!$D$197+(($B$111)-$A66)*'Cálculos'!$D$98)/(('Cálculos'!$D$197+(($B$111)-$A66)*'Cálculos'!$D$98)+1400)+'Cálculos'!$D$123)*'Cálculos'!$D$235)+('Cálculos'!$D$201*(1+'Cálculos'!$D$202+$A66*('Cálculos'!$D$290=2)*'Cálculos'!$D$101)+'Cálculos'!$D$203)*('Cálculos'!$D$226+'Cálculos'!$D$124*(1+2.78*('Cálculos'!$D$197+(($B$111)-$A66)*'Cálculos'!$D$98)/(('Cálculos'!$D$197+(($B$111)-$A66)*'Cálculos'!$D$98)+1400)+'Cálculos'!$D$122)*'Cálculos'!$D$231+'Cálculos'!$D$125*(1+2.78*('Cálculos'!$D$197+(($B$111)-$A66)*'Cálculos'!$D$98)/(('Cálculos'!$D$197+(($B$111)-$A66)*'Cálculos'!$D$98)+1400)+'Cálculos'!$D$123)*'Cálculos'!$D$236)+('Cálculos'!$D$204*(1+'Cálculos'!$D$205+$A66*('Cálculos'!$D$290=3)*'Cálculos'!$D$103)+'Cálculos'!$D$206)*('Cálculos'!$D$227+'Cálculos'!$D$124*(1+2.78*('Cálculos'!$D$197+(($B$111)-$A66)*'Cálculos'!$D$98)/(('Cálculos'!$D$197+(($B$111)-$A66)*'Cálculos'!$D$98)+1400)+'Cálculos'!$D$122)*'Cálculos'!$D$232+'Cálculos'!$D$125*(1+2.78*('Cálculos'!$D$197+(($B$111)-$A66)*'Cálculos'!$D$98)/(('Cálculos'!$D$197+(($B$111)-$A66)*'Cálculos'!$D$98)+1400)+'Cálculos'!$D$123)*'Cálculos'!$D$237)+('Cálculos'!$D$185*(1+'Cálculos'!$D$188+$A66*('Cálculos'!$D$290=1)*'Cálculos'!$D$97+'Cálculos'!$D$305)+'Cálculos'!$D$193)*('Cálculos'!$D$239+'Cálculos'!$D$124*(1+2.78*('Cálculos'!$D$198+(($B$111)-$A66)*'Cálculos'!$D$98)/(('Cálculos'!$D$198+(($B$111)-$A66)*'Cálculos'!$D$98)+1400)+'Cálculos'!$D$122)*'Cálculos'!$D$244+'Cálculos'!$D$125*(1+2.78*('Cálculos'!$D$198+(($B$111)-$A66)*'Cálculos'!$D$98)/(('Cálculos'!$D$198+(($B$111)-$A66)*'Cálculos'!$D$98)+1400)+'Cálculos'!$D$123)*'Cálculos'!$D$249)+('Cálculos'!$D$198+(($B$111)-$A66)*'Cálculos'!$D$98)*('Cálculos'!$D$240+'Cálculos'!$D$124*(1+2.78*('Cálculos'!$D$198+(($B$111)-$A66)*'Cálculos'!$D$98)/(('Cálculos'!$D$198+(($B$111)-$A66)*'Cálculos'!$D$98)+1400)+'Cálculos'!$D$122)*'Cálculos'!$D$245+'Cálculos'!$D$125*(1+2.78*('Cálculos'!$D$198+(($B$111)-$A66)*'Cálculos'!$D$98)/(('Cálculos'!$D$198+(($B$111)-$A66)*'Cálculos'!$D$98)+1400)+'Cálculos'!$D$123)*'Cálculos'!$D$250)+('Cálculos'!$D$201*(1+'Cálculos'!$D$202+$A66*('Cálculos'!$D$290=2)*'Cálculos'!$D$101)+'Cálculos'!$D$203)*('Cálculos'!$D$241+'Cálculos'!$D$124*(1+2.78*('Cálculos'!$D$198+(($B$111)-$A66)*'Cálculos'!$D$98)/(('Cálculos'!$D$198+(($B$111)-$A66)*'Cálculos'!$D$98)+1400)+'Cálculos'!$D$122)*'Cálculos'!$D$246+'Cálculos'!$D$125*(1+2.78*('Cálculos'!$D$198+(($B$111)-$A66)*'Cálculos'!$D$98)/(('Cálculos'!$D$198+(($B$111)-$A66)*'Cálculos'!$D$98)+1400)+'Cálculos'!$D$123)*'Cálculos'!$D$251)+('Cálculos'!$D$204*(1+'Cálculos'!$D$205+$A66*('Cálculos'!$D$290=3)*'Cálculos'!$D$103)+'Cálculos'!$D$206)*('Cálculos'!$D$242+'Cálculos'!$D$124*(1+2.78*('Cálculos'!$D$198+(($B$111)-$A66)*'Cálculos'!$D$98)/(('Cálculos'!$D$198+(($B$111)-$A66)*'Cálculos'!$D$98)+1400)+'Cálculos'!$D$122)*'Cálculos'!$D$247+'Cálculos'!$D$125*(1+2.78*('Cálculos'!$D$198+(($B$111)-$A66)*'Cálculos'!$D$98)/(('Cálculos'!$D$198+(($B$111)-$A66)*'Cálculos'!$D$98)+1400)+'Cálculos'!$D$123)*'Cálculos'!$D$252)+('Cálculos'!$D$185*(1+'Cálculos'!$D$189+$A66*('Cálculos'!$D$290=1)*'Cálculos'!$D$97+'Cálculos'!$D$305)+'Cálculos'!$D$194)*('Cálculos'!$D$254+'Cálculos'!$D$124*(1+2.78*('Cálculos'!$D$199+(($B$111)-$A66)*'Cálculos'!$D$98)/(('Cálculos'!$D$199+(($B$111)-$A66)*'Cálculos'!$D$98)+1400)+'Cálculos'!$D$122)*'Cálculos'!$D$259+'Cálculos'!$D$125*(1+2.78*('Cálculos'!$D$199+(($B$111)-$A66)*'Cálculos'!$D$98)/(('Cálculos'!$D$199+(($B$111)-$A66)*'Cálculos'!$D$98)+1400)+'Cálculos'!$D$123)*'Cálculos'!$D$264)+('Cálculos'!$D$199+(($B$111)-$A66)*'Cálculos'!$D$98)*('Cálculos'!$D$255+'Cálculos'!$D$124*(1+2.78*('Cálculos'!$D$199+(($B$111)-$A66)*'Cálculos'!$D$98)/(('Cálculos'!$D$199+(($B$111)-$A66)*'Cálculos'!$D$98)+1400)+'Cálculos'!$D$122)*'Cálculos'!$D$260+'Cálculos'!$D$125*(1+2.78*('Cálculos'!$D$199+(($B$111)-$A66)*'Cálculos'!$D$98)/(('Cálculos'!$D$199+(($B$111)-$A66)*'Cálculos'!$D$98)+1400)+'Cálculos'!$D$123)*'Cálculos'!$D$265)+('Cálculos'!$D$201*(1+'Cálculos'!$D$202+$A66*('Cálculos'!$D$290=2)*'Cálculos'!$D$101)+'Cálculos'!$D$203)*('Cálculos'!$D$256+'Cálculos'!$D$124*(1+2.78*('Cálculos'!$D$199+(($B$111)-$A66)*'Cálculos'!$D$98)/(('Cálculos'!$D$199+(($B$111)-$A66)*'Cálculos'!$D$98)+1400)+'Cálculos'!$D$122)*'Cálculos'!$D$261+'Cálculos'!$D$125*(1+2.78*('Cálculos'!$D$199+(($B$111)-$A66)*'Cálculos'!$D$98)/(('Cálculos'!$D$199+(($B$111)-$A66)*'Cálculos'!$D$98)+1400)+'Cálculos'!$D$123)*'Cálculos'!$D$266)+('Cálculos'!$D$204*(1+'Cálculos'!$D$205+$A66*('Cálculos'!$D$290=3)*'Cálculos'!$D$103)+'Cálculos'!$D$206)*('Cálculos'!$D$257+'Cálculos'!$D$124*(1+2.78*('Cálculos'!$D$199+(($B$111)-$A66)*'Cálculos'!$D$98)/(('Cálculos'!$D$199+(($B$111)-$A66)*'Cálculos'!$D$98)+1400)+'Cálculos'!$D$122)*'Cálculos'!$D$262+'Cálculos'!$D$125*(1+2.78*('Cálculos'!$D$199+(($B$111)-$A66)*'Cálculos'!$D$98)/(('Cálculos'!$D$199+(($B$111)-$A66)*'Cálculos'!$D$98)+1400)+'Cálculos'!$D$123)*'Cálculos'!$D$267)+('Cálculos'!$D$185*(1+'Cálculos'!$D$190+$A66*('Cálculos'!$D$290=1)*'Cálculos'!$D$97+'Cálculos'!$D$305)+'Cálculos'!$D$195)*('Cálculos'!$D$269+'Cálculos'!$D$124*(1+2.78*('Cálculos'!$D$200+(($B$111)-$A66)*'Cálculos'!$D$98)/(('Cálculos'!$D$200+(($B$111)-$A66)*'Cálculos'!$D$98)+1400)+'Cálculos'!$D$122)*'Cálculos'!$D$274+'Cálculos'!$D$125*(1+2.78*('Cálculos'!$D$200+(($B$111)-$A66)*'Cálculos'!$D$98)/(('Cálculos'!$D$200+(($B$111)-$A66)*'Cálculos'!$D$98)+1400)+'Cálculos'!$D$123)*'Cálculos'!$D$279)+('Cálculos'!$D$200+(($B$111)-$A66)*'Cálculos'!$D$98)*('Cálculos'!$D$270+'Cálculos'!$D$124*(1+2.78*('Cálculos'!$D$200+(($B$111)-$A66)*'Cálculos'!$D$98)/(('Cálculos'!$D$200+(($B$111)-$A66)*'Cálculos'!$D$98)+1400)+'Cálculos'!$D$122)*'Cálculos'!$D$275+'Cálculos'!$D$125*(1+2.78*('Cálculos'!$D$200+(($B$111)-$A66)*'Cálculos'!$D$98)/(('Cálculos'!$D$200+(($B$111)-$A66)*'Cálculos'!$D$98)+1400)+'Cálculos'!$D$123)*'Cálculos'!$D$280)+('Cálculos'!$D$201*(1+'Cálculos'!$D$202+$A66*('Cálculos'!$D$290=2)*'Cálculos'!$D$101)+'Cálculos'!$D$203)*('Cálculos'!$D$271+'Cálculos'!$D$124*(1+2.78*('Cálculos'!$D$200+(($B$111)-$A66)*'Cálculos'!$D$98)/(('Cálculos'!$D$200+(($B$111)-$A66)*'Cálculos'!$D$98)+1400)+'Cálculos'!$D$122)*'Cálculos'!$D$276+'Cálculos'!$D$125*(1+2.78*('Cálculos'!$D$200+(($B$111)-$A66)*'Cálculos'!$D$98)/(('Cálculos'!$D$200+(($B$111)-$A66)*'Cálculos'!$D$98)+1400)+'Cálculos'!$D$123)*'Cálculos'!$D$281)+('Cálculos'!$D$204*(1+'Cálculos'!$D$205+$A66*('Cálculos'!$D$290=3)*'Cálculos'!$D$103)+'Cálculos'!$D$206)*('Cálculos'!$D$272+'Cálculos'!$D$124*(1+2.78*('Cálculos'!$D$200+(($B$111)-$A66)*'Cálculos'!$D$98)/(('Cálculos'!$D$200+(($B$111)-$A66)*'Cálculos'!$D$98)+1400)+'Cálculos'!$D$122)*'Cálculos'!$D$277+'Cálculos'!$D$125*(1+2.78*('Cálculos'!$D$200+(($B$111)-$A66)*'Cálculos'!$D$98)/(('Cálculos'!$D$200+(($B$111)-$A66)*'Cálculos'!$D$98)+1400)+'Cálculos'!$D$123)*'Cálculos'!$D$282)))</f>
        <v>0</v>
      </c>
    </row>
    <row r="67" ht="15.75" customHeight="1">
      <c r="A67" s="2">
        <v>4.0</v>
      </c>
      <c r="B67" s="30">
        <f>SUMPRODUCT(MAX(($A$63:$A$108&lt;=$A67)*($A$63:$A$108&lt;='Cálculos'!$D$294)*(($A67)-$A$63:$A$108&lt;='Cálculos'!$D$295)*(1+(('Cálculos'!$D$207+$A$63:$A$108*'Cálculos'!$D$95)-(('Cálculos'!$D$207+$A$63:$A$108*'Cálculos'!$D$95)&gt;1)*(('Cálculos'!$D$207+$A$63:$A$108*'Cálculos'!$D$95)-1))*('Cálculos'!$D$208+(($A67)-$A$63:$A$108)*'Cálculos'!$D$96))))</f>
        <v>1.285650926</v>
      </c>
      <c r="C67" s="2">
        <f>'Cálculos'!$D$303-$A67</f>
        <v>7</v>
      </c>
      <c r="D67" s="31">
        <f>IF($C67&lt;0,0,SUMPRODUCT(MAX(($A$63:$A$108&lt;=$C67)*($A$63:$A$108&lt;='Cálculos'!$D$301)*(($C67)-$A$63:$A$108&lt;='Cálculos'!$D$297)*(('Cálculos'!$D$185*(1+'Cálculos'!$D$186+$A$63:$A$108*('Cálculos'!$D$290=1)*'Cálculos'!$D$97+'Cálculos'!$D$305)+'Cálculos'!$D$191)*('Cálculos'!$D$209+'Cálculos'!$D$124*(1+2.78*('Cálculos'!$D$196+(($C67)-$A$63:$A$108)*'Cálculos'!$D$98)/(('Cálculos'!$D$196+(($C67)-$A$63:$A$108)*'Cálculos'!$D$98)+1400)+'Cálculos'!$D$122)*'Cálculos'!$D$214+'Cálculos'!$D$125*(1+2.78*('Cálculos'!$D$196+(($C67)-$A$63:$A$108)*'Cálculos'!$D$98)/(('Cálculos'!$D$196+(($C67)-$A$63:$A$108)*'Cálculos'!$D$98)+1400)+'Cálculos'!$D$123)*'Cálculos'!$D$219)+('Cálculos'!$D$196+(($C67)-$A$63:$A$108)*'Cálculos'!$D$98)*('Cálculos'!$D$210+'Cálculos'!$D$124*(1+2.78*('Cálculos'!$D$196+(($C67)-$A$63:$A$108)*'Cálculos'!$D$98)/(('Cálculos'!$D$196+(($C67)-$A$63:$A$108)*'Cálculos'!$D$98)+1400)+'Cálculos'!$D$122)*'Cálculos'!$D$215+'Cálculos'!$D$125*(1+2.78*('Cálculos'!$D$196+(($C67)-$A$63:$A$108)*'Cálculos'!$D$98)/(('Cálculos'!$D$196+(($C67)-$A$63:$A$108)*'Cálculos'!$D$98)+1400)+'Cálculos'!$D$123)*'Cálculos'!$D$220)+('Cálculos'!$D$201*(1+'Cálculos'!$D$202+$A$63:$A$108*('Cálculos'!$D$290=2)*'Cálculos'!$D$101)+'Cálculos'!$D$203)*('Cálculos'!$D$211+'Cálculos'!$D$124*(1+2.78*('Cálculos'!$D$196+(($C67)-$A$63:$A$108)*'Cálculos'!$D$98)/(('Cálculos'!$D$196+(($C67)-$A$63:$A$108)*'Cálculos'!$D$98)+1400)+'Cálculos'!$D$122)*'Cálculos'!$D$216+'Cálculos'!$D$125*(1+2.78*('Cálculos'!$D$196+(($C67)-$A$63:$A$108)*'Cálculos'!$D$98)/(('Cálculos'!$D$196+(($C67)-$A$63:$A$108)*'Cálculos'!$D$98)+1400)+'Cálculos'!$D$123)*'Cálculos'!$D$221)+('Cálculos'!$D$204*(1+'Cálculos'!$D$205+$A$63:$A$108*('Cálculos'!$D$290=3)*'Cálculos'!$D$103)+'Cálculos'!$D$206)*('Cálculos'!$D$212+'Cálculos'!$D$124*(1+2.78*('Cálculos'!$D$196+(($C67)-$A$63:$A$108)*'Cálculos'!$D$98)/(('Cálculos'!$D$196+(($C67)-$A$63:$A$108)*'Cálculos'!$D$98)+1400)+'Cálculos'!$D$122)*'Cálculos'!$D$217+'Cálculos'!$D$125*(1+2.78*('Cálculos'!$D$196+(($C67)-$A$63:$A$108)*'Cálculos'!$D$98)/(('Cálculos'!$D$196+(($C67)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67)-$A$63:$A$108)*'Cálculos'!$D$98)/(('Cálculos'!$D$197+(($C67)-$A$63:$A$108)*'Cálculos'!$D$98)+1400)+'Cálculos'!$D$122)*'Cálculos'!$D$229+'Cálculos'!$D$125*(1+2.78*('Cálculos'!$D$197+(($C67)-$A$63:$A$108)*'Cálculos'!$D$98)/(('Cálculos'!$D$197+(($C67)-$A$63:$A$108)*'Cálculos'!$D$98)+1400)+'Cálculos'!$D$123)*'Cálculos'!$D$234)+('Cálculos'!$D$197+(($C67)-$A$63:$A$108)*'Cálculos'!$D$98)*('Cálculos'!$D$225+'Cálculos'!$D$124*(1+2.78*('Cálculos'!$D$197+(($C67)-$A$63:$A$108)*'Cálculos'!$D$98)/(('Cálculos'!$D$197+(($C67)-$A$63:$A$108)*'Cálculos'!$D$98)+1400)+'Cálculos'!$D$122)*'Cálculos'!$D$230+'Cálculos'!$D$125*(1+2.78*('Cálculos'!$D$197+(($C67)-$A$63:$A$108)*'Cálculos'!$D$98)/(('Cálculos'!$D$197+(($C67)-$A$63:$A$108)*'Cálculos'!$D$98)+1400)+'Cálculos'!$D$123)*'Cálculos'!$D$235)+('Cálculos'!$D$201*(1+'Cálculos'!$D$202+$A$63:$A$108*('Cálculos'!$D$290=2)*'Cálculos'!$D$101)+'Cálculos'!$D$203)*('Cálculos'!$D$226+'Cálculos'!$D$124*(1+2.78*('Cálculos'!$D$197+(($C67)-$A$63:$A$108)*'Cálculos'!$D$98)/(('Cálculos'!$D$197+(($C67)-$A$63:$A$108)*'Cálculos'!$D$98)+1400)+'Cálculos'!$D$122)*'Cálculos'!$D$231+'Cálculos'!$D$125*(1+2.78*('Cálculos'!$D$197+(($C67)-$A$63:$A$108)*'Cálculos'!$D$98)/(('Cálculos'!$D$197+(($C67)-$A$63:$A$108)*'Cálculos'!$D$98)+1400)+'Cálculos'!$D$123)*'Cálculos'!$D$236)+('Cálculos'!$D$204*(1+'Cálculos'!$D$205+$A$63:$A$108*('Cálculos'!$D$290=3)*'Cálculos'!$D$103)+'Cálculos'!$D$206)*('Cálculos'!$D$227+'Cálculos'!$D$124*(1+2.78*('Cálculos'!$D$197+(($C67)-$A$63:$A$108)*'Cálculos'!$D$98)/(('Cálculos'!$D$197+(($C67)-$A$63:$A$108)*'Cálculos'!$D$98)+1400)+'Cálculos'!$D$122)*'Cálculos'!$D$232+'Cálculos'!$D$125*(1+2.78*('Cálculos'!$D$197+(($C67)-$A$63:$A$108)*'Cálculos'!$D$98)/(('Cálculos'!$D$197+(($C67)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67)-$A$63:$A$108)*'Cálculos'!$D$98)/(('Cálculos'!$D$198+(($C67)-$A$63:$A$108)*'Cálculos'!$D$98)+1400)+'Cálculos'!$D$122)*'Cálculos'!$D$244+'Cálculos'!$D$125*(1+2.78*('Cálculos'!$D$198+(($C67)-$A$63:$A$108)*'Cálculos'!$D$98)/(('Cálculos'!$D$198+(($C67)-$A$63:$A$108)*'Cálculos'!$D$98)+1400)+'Cálculos'!$D$123)*'Cálculos'!$D$249)+('Cálculos'!$D$198+(($C67)-$A$63:$A$108)*'Cálculos'!$D$98)*('Cálculos'!$D$240+'Cálculos'!$D$124*(1+2.78*('Cálculos'!$D$198+(($C67)-$A$63:$A$108)*'Cálculos'!$D$98)/(('Cálculos'!$D$198+(($C67)-$A$63:$A$108)*'Cálculos'!$D$98)+1400)+'Cálculos'!$D$122)*'Cálculos'!$D$245+'Cálculos'!$D$125*(1+2.78*('Cálculos'!$D$198+(($C67)-$A$63:$A$108)*'Cálculos'!$D$98)/(('Cálculos'!$D$198+(($C67)-$A$63:$A$108)*'Cálculos'!$D$98)+1400)+'Cálculos'!$D$123)*'Cálculos'!$D$250)+('Cálculos'!$D$201*(1+'Cálculos'!$D$202+$A$63:$A$108*('Cálculos'!$D$290=2)*'Cálculos'!$D$101)+'Cálculos'!$D$203)*('Cálculos'!$D$241+'Cálculos'!$D$124*(1+2.78*('Cálculos'!$D$198+(($C67)-$A$63:$A$108)*'Cálculos'!$D$98)/(('Cálculos'!$D$198+(($C67)-$A$63:$A$108)*'Cálculos'!$D$98)+1400)+'Cálculos'!$D$122)*'Cálculos'!$D$246+'Cálculos'!$D$125*(1+2.78*('Cálculos'!$D$198+(($C67)-$A$63:$A$108)*'Cálculos'!$D$98)/(('Cálculos'!$D$198+(($C67)-$A$63:$A$108)*'Cálculos'!$D$98)+1400)+'Cálculos'!$D$123)*'Cálculos'!$D$251)+('Cálculos'!$D$204*(1+'Cálculos'!$D$205+$A$63:$A$108*('Cálculos'!$D$290=3)*'Cálculos'!$D$103)+'Cálculos'!$D$206)*('Cálculos'!$D$242+'Cálculos'!$D$124*(1+2.78*('Cálculos'!$D$198+(($C67)-$A$63:$A$108)*'Cálculos'!$D$98)/(('Cálculos'!$D$198+(($C67)-$A$63:$A$108)*'Cálculos'!$D$98)+1400)+'Cálculos'!$D$122)*'Cálculos'!$D$247+'Cálculos'!$D$125*(1+2.78*('Cálculos'!$D$198+(($C67)-$A$63:$A$108)*'Cálculos'!$D$98)/(('Cálculos'!$D$198+(($C67)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67)-$A$63:$A$108)*'Cálculos'!$D$98)/(('Cálculos'!$D$199+(($C67)-$A$63:$A$108)*'Cálculos'!$D$98)+1400)+'Cálculos'!$D$122)*'Cálculos'!$D$259+'Cálculos'!$D$125*(1+2.78*('Cálculos'!$D$199+(($C67)-$A$63:$A$108)*'Cálculos'!$D$98)/(('Cálculos'!$D$199+(($C67)-$A$63:$A$108)*'Cálculos'!$D$98)+1400)+'Cálculos'!$D$123)*'Cálculos'!$D$264)+('Cálculos'!$D$199+(($C67)-$A$63:$A$108)*'Cálculos'!$D$98)*('Cálculos'!$D$255+'Cálculos'!$D$124*(1+2.78*('Cálculos'!$D$199+(($C67)-$A$63:$A$108)*'Cálculos'!$D$98)/(('Cálculos'!$D$199+(($C67)-$A$63:$A$108)*'Cálculos'!$D$98)+1400)+'Cálculos'!$D$122)*'Cálculos'!$D$260+'Cálculos'!$D$125*(1+2.78*('Cálculos'!$D$199+(($C67)-$A$63:$A$108)*'Cálculos'!$D$98)/(('Cálculos'!$D$199+(($C67)-$A$63:$A$108)*'Cálculos'!$D$98)+1400)+'Cálculos'!$D$123)*'Cálculos'!$D$265)+('Cálculos'!$D$201*(1+'Cálculos'!$D$202+$A$63:$A$108*('Cálculos'!$D$290=2)*'Cálculos'!$D$101)+'Cálculos'!$D$203)*('Cálculos'!$D$256+'Cálculos'!$D$124*(1+2.78*('Cálculos'!$D$199+(($C67)-$A$63:$A$108)*'Cálculos'!$D$98)/(('Cálculos'!$D$199+(($C67)-$A$63:$A$108)*'Cálculos'!$D$98)+1400)+'Cálculos'!$D$122)*'Cálculos'!$D$261+'Cálculos'!$D$125*(1+2.78*('Cálculos'!$D$199+(($C67)-$A$63:$A$108)*'Cálculos'!$D$98)/(('Cálculos'!$D$199+(($C67)-$A$63:$A$108)*'Cálculos'!$D$98)+1400)+'Cálculos'!$D$123)*'Cálculos'!$D$266)+('Cálculos'!$D$204*(1+'Cálculos'!$D$205+$A$63:$A$108*('Cálculos'!$D$290=3)*'Cálculos'!$D$103)+'Cálculos'!$D$206)*('Cálculos'!$D$257+'Cálculos'!$D$124*(1+2.78*('Cálculos'!$D$199+(($C67)-$A$63:$A$108)*'Cálculos'!$D$98)/(('Cálculos'!$D$199+(($C67)-$A$63:$A$108)*'Cálculos'!$D$98)+1400)+'Cálculos'!$D$122)*'Cálculos'!$D$262+'Cálculos'!$D$125*(1+2.78*('Cálculos'!$D$199+(($C67)-$A$63:$A$108)*'Cálculos'!$D$98)/(('Cálculos'!$D$199+(($C67)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67)-$A$63:$A$108)*'Cálculos'!$D$98)/(('Cálculos'!$D$200+(($C67)-$A$63:$A$108)*'Cálculos'!$D$98)+1400)+'Cálculos'!$D$122)*'Cálculos'!$D$274+'Cálculos'!$D$125*(1+2.78*('Cálculos'!$D$200+(($C67)-$A$63:$A$108)*'Cálculos'!$D$98)/(('Cálculos'!$D$200+(($C67)-$A$63:$A$108)*'Cálculos'!$D$98)+1400)+'Cálculos'!$D$123)*'Cálculos'!$D$279)+('Cálculos'!$D$200+(($C67)-$A$63:$A$108)*'Cálculos'!$D$98)*('Cálculos'!$D$270+'Cálculos'!$D$124*(1+2.78*('Cálculos'!$D$200+(($C67)-$A$63:$A$108)*'Cálculos'!$D$98)/(('Cálculos'!$D$200+(($C67)-$A$63:$A$108)*'Cálculos'!$D$98)+1400)+'Cálculos'!$D$122)*'Cálculos'!$D$275+'Cálculos'!$D$125*(1+2.78*('Cálculos'!$D$200+(($C67)-$A$63:$A$108)*'Cálculos'!$D$98)/(('Cálculos'!$D$200+(($C67)-$A$63:$A$108)*'Cálculos'!$D$98)+1400)+'Cálculos'!$D$123)*'Cálculos'!$D$280)+('Cálculos'!$D$201*(1+'Cálculos'!$D$202+$A$63:$A$108*('Cálculos'!$D$290=2)*'Cálculos'!$D$101)+'Cálculos'!$D$203)*('Cálculos'!$D$271+'Cálculos'!$D$124*(1+2.78*('Cálculos'!$D$200+(($C67)-$A$63:$A$108)*'Cálculos'!$D$98)/(('Cálculos'!$D$200+(($C67)-$A$63:$A$108)*'Cálculos'!$D$98)+1400)+'Cálculos'!$D$122)*'Cálculos'!$D$276+'Cálculos'!$D$125*(1+2.78*('Cálculos'!$D$200+(($C67)-$A$63:$A$108)*'Cálculos'!$D$98)/(('Cálculos'!$D$200+(($C67)-$A$63:$A$108)*'Cálculos'!$D$98)+1400)+'Cálculos'!$D$123)*'Cálculos'!$D$281)+('Cálculos'!$D$204*(1+'Cálculos'!$D$205+$A$63:$A$108*('Cálculos'!$D$290=3)*'Cálculos'!$D$103)+'Cálculos'!$D$206)*('Cálculos'!$D$272+'Cálculos'!$D$124*(1+2.78*('Cálculos'!$D$200+(($C67)-$A$63:$A$108)*'Cálculos'!$D$98)/(('Cálculos'!$D$200+(($C67)-$A$63:$A$108)*'Cálculos'!$D$98)+1400)+'Cálculos'!$D$122)*'Cálculos'!$D$277+'Cálculos'!$D$125*(1+2.78*('Cálculos'!$D$200+(($C67)-$A$63:$A$108)*'Cálculos'!$D$98)/(('Cálculos'!$D$200+(($C67)-$A$63:$A$108)*'Cálculos'!$D$98)+1400)+'Cálculos'!$D$123)*'Cálculos'!$D$282)))))</f>
        <v>77845.64808</v>
      </c>
      <c r="E67" s="32">
        <f>IF(OR($C67&lt;0,'Cálculos'!$D$6=""),0,$B67*$D67)</f>
        <v>100082.3295</v>
      </c>
      <c r="F67" s="2"/>
      <c r="G67" s="30">
        <f>($A67&lt;=$B$110)*($A67&lt;='Cálculos'!$D$294)*(($B$110)-$A67&lt;='Cálculos'!$D$295)*(1+MIN(('Cálculos'!$D$207+$A67*'Cálculos'!$D$95),1)*('Cálculos'!$D$208+(($B$110)-$A67)*'Cálculos'!$D$96))</f>
        <v>1.452182858</v>
      </c>
      <c r="H67" s="31">
        <f>IF($B$111&lt;0,0,($A67&lt;=$B$111)*($A67&lt;='Cálculos'!$D$301)*(($B$111)-$A67&lt;='Cálculos'!$D$297)*(('Cálculos'!$D$185*(1+'Cálculos'!$D$186+$A67*('Cálculos'!$D$290=1)*'Cálculos'!$D$97+'Cálculos'!$D$305)+'Cálculos'!$D$191)*('Cálculos'!$D$209+'Cálculos'!$D$124*(1+2.78*('Cálculos'!$D$196+(($B$111)-$A67)*'Cálculos'!$D$98)/(('Cálculos'!$D$196+(($B$111)-$A67)*'Cálculos'!$D$98)+1400)+'Cálculos'!$D$122)*'Cálculos'!$D$214+'Cálculos'!$D$125*(1+2.78*('Cálculos'!$D$196+(($B$111)-$A67)*'Cálculos'!$D$98)/(('Cálculos'!$D$196+(($B$111)-$A67)*'Cálculos'!$D$98)+1400)+'Cálculos'!$D$123)*'Cálculos'!$D$219)+('Cálculos'!$D$196+(($B$111)-$A67)*'Cálculos'!$D$98)*('Cálculos'!$D$210+'Cálculos'!$D$124*(1+2.78*('Cálculos'!$D$196+(($B$111)-$A67)*'Cálculos'!$D$98)/(('Cálculos'!$D$196+(($B$111)-$A67)*'Cálculos'!$D$98)+1400)+'Cálculos'!$D$122)*'Cálculos'!$D$215+'Cálculos'!$D$125*(1+2.78*('Cálculos'!$D$196+(($B$111)-$A67)*'Cálculos'!$D$98)/(('Cálculos'!$D$196+(($B$111)-$A67)*'Cálculos'!$D$98)+1400)+'Cálculos'!$D$123)*'Cálculos'!$D$220)+('Cálculos'!$D$201*(1+'Cálculos'!$D$202+$A67*('Cálculos'!$D$290=2)*'Cálculos'!$D$101)+'Cálculos'!$D$203)*('Cálculos'!$D$211+'Cálculos'!$D$124*(1+2.78*('Cálculos'!$D$196+(($B$111)-$A67)*'Cálculos'!$D$98)/(('Cálculos'!$D$196+(($B$111)-$A67)*'Cálculos'!$D$98)+1400)+'Cálculos'!$D$122)*'Cálculos'!$D$216+'Cálculos'!$D$125*(1+2.78*('Cálculos'!$D$196+(($B$111)-$A67)*'Cálculos'!$D$98)/(('Cálculos'!$D$196+(($B$111)-$A67)*'Cálculos'!$D$98)+1400)+'Cálculos'!$D$123)*'Cálculos'!$D$221)+('Cálculos'!$D$204*(1+'Cálculos'!$D$205+$A67*('Cálculos'!$D$290=3)*'Cálculos'!$D$103)+'Cálculos'!$D$206)*('Cálculos'!$D$212+'Cálculos'!$D$124*(1+2.78*('Cálculos'!$D$196+(($B$111)-$A67)*'Cálculos'!$D$98)/(('Cálculos'!$D$196+(($B$111)-$A67)*'Cálculos'!$D$98)+1400)+'Cálculos'!$D$122)*'Cálculos'!$D$217+'Cálculos'!$D$125*(1+2.78*('Cálculos'!$D$196+(($B$111)-$A67)*'Cálculos'!$D$98)/(('Cálculos'!$D$196+(($B$111)-$A67)*'Cálculos'!$D$98)+1400)+'Cálculos'!$D$123)*'Cálculos'!$D$222)+('Cálculos'!$D$185*(1+'Cálculos'!$D$187+$A67*('Cálculos'!$D$290=1)*'Cálculos'!$D$97+'Cálculos'!$D$305)+'Cálculos'!$D$192)*('Cálculos'!$D$224+'Cálculos'!$D$124*(1+2.78*('Cálculos'!$D$197+(($B$111)-$A67)*'Cálculos'!$D$98)/(('Cálculos'!$D$197+(($B$111)-$A67)*'Cálculos'!$D$98)+1400)+'Cálculos'!$D$122)*'Cálculos'!$D$229+'Cálculos'!$D$125*(1+2.78*('Cálculos'!$D$197+(($B$111)-$A67)*'Cálculos'!$D$98)/(('Cálculos'!$D$197+(($B$111)-$A67)*'Cálculos'!$D$98)+1400)+'Cálculos'!$D$123)*'Cálculos'!$D$234)+('Cálculos'!$D$197+(($B$111)-$A67)*'Cálculos'!$D$98)*('Cálculos'!$D$225+'Cálculos'!$D$124*(1+2.78*('Cálculos'!$D$197+(($B$111)-$A67)*'Cálculos'!$D$98)/(('Cálculos'!$D$197+(($B$111)-$A67)*'Cálculos'!$D$98)+1400)+'Cálculos'!$D$122)*'Cálculos'!$D$230+'Cálculos'!$D$125*(1+2.78*('Cálculos'!$D$197+(($B$111)-$A67)*'Cálculos'!$D$98)/(('Cálculos'!$D$197+(($B$111)-$A67)*'Cálculos'!$D$98)+1400)+'Cálculos'!$D$123)*'Cálculos'!$D$235)+('Cálculos'!$D$201*(1+'Cálculos'!$D$202+$A67*('Cálculos'!$D$290=2)*'Cálculos'!$D$101)+'Cálculos'!$D$203)*('Cálculos'!$D$226+'Cálculos'!$D$124*(1+2.78*('Cálculos'!$D$197+(($B$111)-$A67)*'Cálculos'!$D$98)/(('Cálculos'!$D$197+(($B$111)-$A67)*'Cálculos'!$D$98)+1400)+'Cálculos'!$D$122)*'Cálculos'!$D$231+'Cálculos'!$D$125*(1+2.78*('Cálculos'!$D$197+(($B$111)-$A67)*'Cálculos'!$D$98)/(('Cálculos'!$D$197+(($B$111)-$A67)*'Cálculos'!$D$98)+1400)+'Cálculos'!$D$123)*'Cálculos'!$D$236)+('Cálculos'!$D$204*(1+'Cálculos'!$D$205+$A67*('Cálculos'!$D$290=3)*'Cálculos'!$D$103)+'Cálculos'!$D$206)*('Cálculos'!$D$227+'Cálculos'!$D$124*(1+2.78*('Cálculos'!$D$197+(($B$111)-$A67)*'Cálculos'!$D$98)/(('Cálculos'!$D$197+(($B$111)-$A67)*'Cálculos'!$D$98)+1400)+'Cálculos'!$D$122)*'Cálculos'!$D$232+'Cálculos'!$D$125*(1+2.78*('Cálculos'!$D$197+(($B$111)-$A67)*'Cálculos'!$D$98)/(('Cálculos'!$D$197+(($B$111)-$A67)*'Cálculos'!$D$98)+1400)+'Cálculos'!$D$123)*'Cálculos'!$D$237)+('Cálculos'!$D$185*(1+'Cálculos'!$D$188+$A67*('Cálculos'!$D$290=1)*'Cálculos'!$D$97+'Cálculos'!$D$305)+'Cálculos'!$D$193)*('Cálculos'!$D$239+'Cálculos'!$D$124*(1+2.78*('Cálculos'!$D$198+(($B$111)-$A67)*'Cálculos'!$D$98)/(('Cálculos'!$D$198+(($B$111)-$A67)*'Cálculos'!$D$98)+1400)+'Cálculos'!$D$122)*'Cálculos'!$D$244+'Cálculos'!$D$125*(1+2.78*('Cálculos'!$D$198+(($B$111)-$A67)*'Cálculos'!$D$98)/(('Cálculos'!$D$198+(($B$111)-$A67)*'Cálculos'!$D$98)+1400)+'Cálculos'!$D$123)*'Cálculos'!$D$249)+('Cálculos'!$D$198+(($B$111)-$A67)*'Cálculos'!$D$98)*('Cálculos'!$D$240+'Cálculos'!$D$124*(1+2.78*('Cálculos'!$D$198+(($B$111)-$A67)*'Cálculos'!$D$98)/(('Cálculos'!$D$198+(($B$111)-$A67)*'Cálculos'!$D$98)+1400)+'Cálculos'!$D$122)*'Cálculos'!$D$245+'Cálculos'!$D$125*(1+2.78*('Cálculos'!$D$198+(($B$111)-$A67)*'Cálculos'!$D$98)/(('Cálculos'!$D$198+(($B$111)-$A67)*'Cálculos'!$D$98)+1400)+'Cálculos'!$D$123)*'Cálculos'!$D$250)+('Cálculos'!$D$201*(1+'Cálculos'!$D$202+$A67*('Cálculos'!$D$290=2)*'Cálculos'!$D$101)+'Cálculos'!$D$203)*('Cálculos'!$D$241+'Cálculos'!$D$124*(1+2.78*('Cálculos'!$D$198+(($B$111)-$A67)*'Cálculos'!$D$98)/(('Cálculos'!$D$198+(($B$111)-$A67)*'Cálculos'!$D$98)+1400)+'Cálculos'!$D$122)*'Cálculos'!$D$246+'Cálculos'!$D$125*(1+2.78*('Cálculos'!$D$198+(($B$111)-$A67)*'Cálculos'!$D$98)/(('Cálculos'!$D$198+(($B$111)-$A67)*'Cálculos'!$D$98)+1400)+'Cálculos'!$D$123)*'Cálculos'!$D$251)+('Cálculos'!$D$204*(1+'Cálculos'!$D$205+$A67*('Cálculos'!$D$290=3)*'Cálculos'!$D$103)+'Cálculos'!$D$206)*('Cálculos'!$D$242+'Cálculos'!$D$124*(1+2.78*('Cálculos'!$D$198+(($B$111)-$A67)*'Cálculos'!$D$98)/(('Cálculos'!$D$198+(($B$111)-$A67)*'Cálculos'!$D$98)+1400)+'Cálculos'!$D$122)*'Cálculos'!$D$247+'Cálculos'!$D$125*(1+2.78*('Cálculos'!$D$198+(($B$111)-$A67)*'Cálculos'!$D$98)/(('Cálculos'!$D$198+(($B$111)-$A67)*'Cálculos'!$D$98)+1400)+'Cálculos'!$D$123)*'Cálculos'!$D$252)+('Cálculos'!$D$185*(1+'Cálculos'!$D$189+$A67*('Cálculos'!$D$290=1)*'Cálculos'!$D$97+'Cálculos'!$D$305)+'Cálculos'!$D$194)*('Cálculos'!$D$254+'Cálculos'!$D$124*(1+2.78*('Cálculos'!$D$199+(($B$111)-$A67)*'Cálculos'!$D$98)/(('Cálculos'!$D$199+(($B$111)-$A67)*'Cálculos'!$D$98)+1400)+'Cálculos'!$D$122)*'Cálculos'!$D$259+'Cálculos'!$D$125*(1+2.78*('Cálculos'!$D$199+(($B$111)-$A67)*'Cálculos'!$D$98)/(('Cálculos'!$D$199+(($B$111)-$A67)*'Cálculos'!$D$98)+1400)+'Cálculos'!$D$123)*'Cálculos'!$D$264)+('Cálculos'!$D$199+(($B$111)-$A67)*'Cálculos'!$D$98)*('Cálculos'!$D$255+'Cálculos'!$D$124*(1+2.78*('Cálculos'!$D$199+(($B$111)-$A67)*'Cálculos'!$D$98)/(('Cálculos'!$D$199+(($B$111)-$A67)*'Cálculos'!$D$98)+1400)+'Cálculos'!$D$122)*'Cálculos'!$D$260+'Cálculos'!$D$125*(1+2.78*('Cálculos'!$D$199+(($B$111)-$A67)*'Cálculos'!$D$98)/(('Cálculos'!$D$199+(($B$111)-$A67)*'Cálculos'!$D$98)+1400)+'Cálculos'!$D$123)*'Cálculos'!$D$265)+('Cálculos'!$D$201*(1+'Cálculos'!$D$202+$A67*('Cálculos'!$D$290=2)*'Cálculos'!$D$101)+'Cálculos'!$D$203)*('Cálculos'!$D$256+'Cálculos'!$D$124*(1+2.78*('Cálculos'!$D$199+(($B$111)-$A67)*'Cálculos'!$D$98)/(('Cálculos'!$D$199+(($B$111)-$A67)*'Cálculos'!$D$98)+1400)+'Cálculos'!$D$122)*'Cálculos'!$D$261+'Cálculos'!$D$125*(1+2.78*('Cálculos'!$D$199+(($B$111)-$A67)*'Cálculos'!$D$98)/(('Cálculos'!$D$199+(($B$111)-$A67)*'Cálculos'!$D$98)+1400)+'Cálculos'!$D$123)*'Cálculos'!$D$266)+('Cálculos'!$D$204*(1+'Cálculos'!$D$205+$A67*('Cálculos'!$D$290=3)*'Cálculos'!$D$103)+'Cálculos'!$D$206)*('Cálculos'!$D$257+'Cálculos'!$D$124*(1+2.78*('Cálculos'!$D$199+(($B$111)-$A67)*'Cálculos'!$D$98)/(('Cálculos'!$D$199+(($B$111)-$A67)*'Cálculos'!$D$98)+1400)+'Cálculos'!$D$122)*'Cálculos'!$D$262+'Cálculos'!$D$125*(1+2.78*('Cálculos'!$D$199+(($B$111)-$A67)*'Cálculos'!$D$98)/(('Cálculos'!$D$199+(($B$111)-$A67)*'Cálculos'!$D$98)+1400)+'Cálculos'!$D$123)*'Cálculos'!$D$267)+('Cálculos'!$D$185*(1+'Cálculos'!$D$190+$A67*('Cálculos'!$D$290=1)*'Cálculos'!$D$97+'Cálculos'!$D$305)+'Cálculos'!$D$195)*('Cálculos'!$D$269+'Cálculos'!$D$124*(1+2.78*('Cálculos'!$D$200+(($B$111)-$A67)*'Cálculos'!$D$98)/(('Cálculos'!$D$200+(($B$111)-$A67)*'Cálculos'!$D$98)+1400)+'Cálculos'!$D$122)*'Cálculos'!$D$274+'Cálculos'!$D$125*(1+2.78*('Cálculos'!$D$200+(($B$111)-$A67)*'Cálculos'!$D$98)/(('Cálculos'!$D$200+(($B$111)-$A67)*'Cálculos'!$D$98)+1400)+'Cálculos'!$D$123)*'Cálculos'!$D$279)+('Cálculos'!$D$200+(($B$111)-$A67)*'Cálculos'!$D$98)*('Cálculos'!$D$270+'Cálculos'!$D$124*(1+2.78*('Cálculos'!$D$200+(($B$111)-$A67)*'Cálculos'!$D$98)/(('Cálculos'!$D$200+(($B$111)-$A67)*'Cálculos'!$D$98)+1400)+'Cálculos'!$D$122)*'Cálculos'!$D$275+'Cálculos'!$D$125*(1+2.78*('Cálculos'!$D$200+(($B$111)-$A67)*'Cálculos'!$D$98)/(('Cálculos'!$D$200+(($B$111)-$A67)*'Cálculos'!$D$98)+1400)+'Cálculos'!$D$123)*'Cálculos'!$D$280)+('Cálculos'!$D$201*(1+'Cálculos'!$D$202+$A67*('Cálculos'!$D$290=2)*'Cálculos'!$D$101)+'Cálculos'!$D$203)*('Cálculos'!$D$271+'Cálculos'!$D$124*(1+2.78*('Cálculos'!$D$200+(($B$111)-$A67)*'Cálculos'!$D$98)/(('Cálculos'!$D$200+(($B$111)-$A67)*'Cálculos'!$D$98)+1400)+'Cálculos'!$D$122)*'Cálculos'!$D$276+'Cálculos'!$D$125*(1+2.78*('Cálculos'!$D$200+(($B$111)-$A67)*'Cálculos'!$D$98)/(('Cálculos'!$D$200+(($B$111)-$A67)*'Cálculos'!$D$98)+1400)+'Cálculos'!$D$123)*'Cálculos'!$D$281)+('Cálculos'!$D$204*(1+'Cálculos'!$D$205+$A67*('Cálculos'!$D$290=3)*'Cálculos'!$D$103)+'Cálculos'!$D$206)*('Cálculos'!$D$272+'Cálculos'!$D$124*(1+2.78*('Cálculos'!$D$200+(($B$111)-$A67)*'Cálculos'!$D$98)/(('Cálculos'!$D$200+(($B$111)-$A67)*'Cálculos'!$D$98)+1400)+'Cálculos'!$D$122)*'Cálculos'!$D$277+'Cálculos'!$D$125*(1+2.78*('Cálculos'!$D$200+(($B$111)-$A67)*'Cálculos'!$D$98)/(('Cálculos'!$D$200+(($B$111)-$A67)*'Cálculos'!$D$98)+1400)+'Cálculos'!$D$123)*'Cálculos'!$D$282)))</f>
        <v>0</v>
      </c>
    </row>
    <row r="68" ht="15.75" customHeight="1">
      <c r="A68" s="2">
        <v>5.0</v>
      </c>
      <c r="B68" s="30">
        <f>SUMPRODUCT(MAX(($A$63:$A$108&lt;=$A68)*($A$63:$A$108&lt;='Cálculos'!$D$294)*(($A68)-$A$63:$A$108&lt;='Cálculos'!$D$295)*(1+(('Cálculos'!$D$207+$A$63:$A$108*'Cálculos'!$D$95)-(('Cálculos'!$D$207+$A$63:$A$108*'Cálculos'!$D$95)&gt;1)*(('Cálculos'!$D$207+$A$63:$A$108*'Cálculos'!$D$95)-1))*('Cálculos'!$D$208+(($A68)-$A$63:$A$108)*'Cálculos'!$D$96))))</f>
        <v>1.307507253</v>
      </c>
      <c r="C68" s="2">
        <f>'Cálculos'!$D$303-$A68</f>
        <v>6</v>
      </c>
      <c r="D68" s="31">
        <f>IF($C68&lt;0,0,SUMPRODUCT(MAX(($A$63:$A$108&lt;=$C68)*($A$63:$A$108&lt;='Cálculos'!$D$301)*(($C68)-$A$63:$A$108&lt;='Cálculos'!$D$297)*(('Cálculos'!$D$185*(1+'Cálculos'!$D$186+$A$63:$A$108*('Cálculos'!$D$290=1)*'Cálculos'!$D$97+'Cálculos'!$D$305)+'Cálculos'!$D$191)*('Cálculos'!$D$209+'Cálculos'!$D$124*(1+2.78*('Cálculos'!$D$196+(($C68)-$A$63:$A$108)*'Cálculos'!$D$98)/(('Cálculos'!$D$196+(($C68)-$A$63:$A$108)*'Cálculos'!$D$98)+1400)+'Cálculos'!$D$122)*'Cálculos'!$D$214+'Cálculos'!$D$125*(1+2.78*('Cálculos'!$D$196+(($C68)-$A$63:$A$108)*'Cálculos'!$D$98)/(('Cálculos'!$D$196+(($C68)-$A$63:$A$108)*'Cálculos'!$D$98)+1400)+'Cálculos'!$D$123)*'Cálculos'!$D$219)+('Cálculos'!$D$196+(($C68)-$A$63:$A$108)*'Cálculos'!$D$98)*('Cálculos'!$D$210+'Cálculos'!$D$124*(1+2.78*('Cálculos'!$D$196+(($C68)-$A$63:$A$108)*'Cálculos'!$D$98)/(('Cálculos'!$D$196+(($C68)-$A$63:$A$108)*'Cálculos'!$D$98)+1400)+'Cálculos'!$D$122)*'Cálculos'!$D$215+'Cálculos'!$D$125*(1+2.78*('Cálculos'!$D$196+(($C68)-$A$63:$A$108)*'Cálculos'!$D$98)/(('Cálculos'!$D$196+(($C68)-$A$63:$A$108)*'Cálculos'!$D$98)+1400)+'Cálculos'!$D$123)*'Cálculos'!$D$220)+('Cálculos'!$D$201*(1+'Cálculos'!$D$202+$A$63:$A$108*('Cálculos'!$D$290=2)*'Cálculos'!$D$101)+'Cálculos'!$D$203)*('Cálculos'!$D$211+'Cálculos'!$D$124*(1+2.78*('Cálculos'!$D$196+(($C68)-$A$63:$A$108)*'Cálculos'!$D$98)/(('Cálculos'!$D$196+(($C68)-$A$63:$A$108)*'Cálculos'!$D$98)+1400)+'Cálculos'!$D$122)*'Cálculos'!$D$216+'Cálculos'!$D$125*(1+2.78*('Cálculos'!$D$196+(($C68)-$A$63:$A$108)*'Cálculos'!$D$98)/(('Cálculos'!$D$196+(($C68)-$A$63:$A$108)*'Cálculos'!$D$98)+1400)+'Cálculos'!$D$123)*'Cálculos'!$D$221)+('Cálculos'!$D$204*(1+'Cálculos'!$D$205+$A$63:$A$108*('Cálculos'!$D$290=3)*'Cálculos'!$D$103)+'Cálculos'!$D$206)*('Cálculos'!$D$212+'Cálculos'!$D$124*(1+2.78*('Cálculos'!$D$196+(($C68)-$A$63:$A$108)*'Cálculos'!$D$98)/(('Cálculos'!$D$196+(($C68)-$A$63:$A$108)*'Cálculos'!$D$98)+1400)+'Cálculos'!$D$122)*'Cálculos'!$D$217+'Cálculos'!$D$125*(1+2.78*('Cálculos'!$D$196+(($C68)-$A$63:$A$108)*'Cálculos'!$D$98)/(('Cálculos'!$D$196+(($C68)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68)-$A$63:$A$108)*'Cálculos'!$D$98)/(('Cálculos'!$D$197+(($C68)-$A$63:$A$108)*'Cálculos'!$D$98)+1400)+'Cálculos'!$D$122)*'Cálculos'!$D$229+'Cálculos'!$D$125*(1+2.78*('Cálculos'!$D$197+(($C68)-$A$63:$A$108)*'Cálculos'!$D$98)/(('Cálculos'!$D$197+(($C68)-$A$63:$A$108)*'Cálculos'!$D$98)+1400)+'Cálculos'!$D$123)*'Cálculos'!$D$234)+('Cálculos'!$D$197+(($C68)-$A$63:$A$108)*'Cálculos'!$D$98)*('Cálculos'!$D$225+'Cálculos'!$D$124*(1+2.78*('Cálculos'!$D$197+(($C68)-$A$63:$A$108)*'Cálculos'!$D$98)/(('Cálculos'!$D$197+(($C68)-$A$63:$A$108)*'Cálculos'!$D$98)+1400)+'Cálculos'!$D$122)*'Cálculos'!$D$230+'Cálculos'!$D$125*(1+2.78*('Cálculos'!$D$197+(($C68)-$A$63:$A$108)*'Cálculos'!$D$98)/(('Cálculos'!$D$197+(($C68)-$A$63:$A$108)*'Cálculos'!$D$98)+1400)+'Cálculos'!$D$123)*'Cálculos'!$D$235)+('Cálculos'!$D$201*(1+'Cálculos'!$D$202+$A$63:$A$108*('Cálculos'!$D$290=2)*'Cálculos'!$D$101)+'Cálculos'!$D$203)*('Cálculos'!$D$226+'Cálculos'!$D$124*(1+2.78*('Cálculos'!$D$197+(($C68)-$A$63:$A$108)*'Cálculos'!$D$98)/(('Cálculos'!$D$197+(($C68)-$A$63:$A$108)*'Cálculos'!$D$98)+1400)+'Cálculos'!$D$122)*'Cálculos'!$D$231+'Cálculos'!$D$125*(1+2.78*('Cálculos'!$D$197+(($C68)-$A$63:$A$108)*'Cálculos'!$D$98)/(('Cálculos'!$D$197+(($C68)-$A$63:$A$108)*'Cálculos'!$D$98)+1400)+'Cálculos'!$D$123)*'Cálculos'!$D$236)+('Cálculos'!$D$204*(1+'Cálculos'!$D$205+$A$63:$A$108*('Cálculos'!$D$290=3)*'Cálculos'!$D$103)+'Cálculos'!$D$206)*('Cálculos'!$D$227+'Cálculos'!$D$124*(1+2.78*('Cálculos'!$D$197+(($C68)-$A$63:$A$108)*'Cálculos'!$D$98)/(('Cálculos'!$D$197+(($C68)-$A$63:$A$108)*'Cálculos'!$D$98)+1400)+'Cálculos'!$D$122)*'Cálculos'!$D$232+'Cálculos'!$D$125*(1+2.78*('Cálculos'!$D$197+(($C68)-$A$63:$A$108)*'Cálculos'!$D$98)/(('Cálculos'!$D$197+(($C68)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68)-$A$63:$A$108)*'Cálculos'!$D$98)/(('Cálculos'!$D$198+(($C68)-$A$63:$A$108)*'Cálculos'!$D$98)+1400)+'Cálculos'!$D$122)*'Cálculos'!$D$244+'Cálculos'!$D$125*(1+2.78*('Cálculos'!$D$198+(($C68)-$A$63:$A$108)*'Cálculos'!$D$98)/(('Cálculos'!$D$198+(($C68)-$A$63:$A$108)*'Cálculos'!$D$98)+1400)+'Cálculos'!$D$123)*'Cálculos'!$D$249)+('Cálculos'!$D$198+(($C68)-$A$63:$A$108)*'Cálculos'!$D$98)*('Cálculos'!$D$240+'Cálculos'!$D$124*(1+2.78*('Cálculos'!$D$198+(($C68)-$A$63:$A$108)*'Cálculos'!$D$98)/(('Cálculos'!$D$198+(($C68)-$A$63:$A$108)*'Cálculos'!$D$98)+1400)+'Cálculos'!$D$122)*'Cálculos'!$D$245+'Cálculos'!$D$125*(1+2.78*('Cálculos'!$D$198+(($C68)-$A$63:$A$108)*'Cálculos'!$D$98)/(('Cálculos'!$D$198+(($C68)-$A$63:$A$108)*'Cálculos'!$D$98)+1400)+'Cálculos'!$D$123)*'Cálculos'!$D$250)+('Cálculos'!$D$201*(1+'Cálculos'!$D$202+$A$63:$A$108*('Cálculos'!$D$290=2)*'Cálculos'!$D$101)+'Cálculos'!$D$203)*('Cálculos'!$D$241+'Cálculos'!$D$124*(1+2.78*('Cálculos'!$D$198+(($C68)-$A$63:$A$108)*'Cálculos'!$D$98)/(('Cálculos'!$D$198+(($C68)-$A$63:$A$108)*'Cálculos'!$D$98)+1400)+'Cálculos'!$D$122)*'Cálculos'!$D$246+'Cálculos'!$D$125*(1+2.78*('Cálculos'!$D$198+(($C68)-$A$63:$A$108)*'Cálculos'!$D$98)/(('Cálculos'!$D$198+(($C68)-$A$63:$A$108)*'Cálculos'!$D$98)+1400)+'Cálculos'!$D$123)*'Cálculos'!$D$251)+('Cálculos'!$D$204*(1+'Cálculos'!$D$205+$A$63:$A$108*('Cálculos'!$D$290=3)*'Cálculos'!$D$103)+'Cálculos'!$D$206)*('Cálculos'!$D$242+'Cálculos'!$D$124*(1+2.78*('Cálculos'!$D$198+(($C68)-$A$63:$A$108)*'Cálculos'!$D$98)/(('Cálculos'!$D$198+(($C68)-$A$63:$A$108)*'Cálculos'!$D$98)+1400)+'Cálculos'!$D$122)*'Cálculos'!$D$247+'Cálculos'!$D$125*(1+2.78*('Cálculos'!$D$198+(($C68)-$A$63:$A$108)*'Cálculos'!$D$98)/(('Cálculos'!$D$198+(($C68)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68)-$A$63:$A$108)*'Cálculos'!$D$98)/(('Cálculos'!$D$199+(($C68)-$A$63:$A$108)*'Cálculos'!$D$98)+1400)+'Cálculos'!$D$122)*'Cálculos'!$D$259+'Cálculos'!$D$125*(1+2.78*('Cálculos'!$D$199+(($C68)-$A$63:$A$108)*'Cálculos'!$D$98)/(('Cálculos'!$D$199+(($C68)-$A$63:$A$108)*'Cálculos'!$D$98)+1400)+'Cálculos'!$D$123)*'Cálculos'!$D$264)+('Cálculos'!$D$199+(($C68)-$A$63:$A$108)*'Cálculos'!$D$98)*('Cálculos'!$D$255+'Cálculos'!$D$124*(1+2.78*('Cálculos'!$D$199+(($C68)-$A$63:$A$108)*'Cálculos'!$D$98)/(('Cálculos'!$D$199+(($C68)-$A$63:$A$108)*'Cálculos'!$D$98)+1400)+'Cálculos'!$D$122)*'Cálculos'!$D$260+'Cálculos'!$D$125*(1+2.78*('Cálculos'!$D$199+(($C68)-$A$63:$A$108)*'Cálculos'!$D$98)/(('Cálculos'!$D$199+(($C68)-$A$63:$A$108)*'Cálculos'!$D$98)+1400)+'Cálculos'!$D$123)*'Cálculos'!$D$265)+('Cálculos'!$D$201*(1+'Cálculos'!$D$202+$A$63:$A$108*('Cálculos'!$D$290=2)*'Cálculos'!$D$101)+'Cálculos'!$D$203)*('Cálculos'!$D$256+'Cálculos'!$D$124*(1+2.78*('Cálculos'!$D$199+(($C68)-$A$63:$A$108)*'Cálculos'!$D$98)/(('Cálculos'!$D$199+(($C68)-$A$63:$A$108)*'Cálculos'!$D$98)+1400)+'Cálculos'!$D$122)*'Cálculos'!$D$261+'Cálculos'!$D$125*(1+2.78*('Cálculos'!$D$199+(($C68)-$A$63:$A$108)*'Cálculos'!$D$98)/(('Cálculos'!$D$199+(($C68)-$A$63:$A$108)*'Cálculos'!$D$98)+1400)+'Cálculos'!$D$123)*'Cálculos'!$D$266)+('Cálculos'!$D$204*(1+'Cálculos'!$D$205+$A$63:$A$108*('Cálculos'!$D$290=3)*'Cálculos'!$D$103)+'Cálculos'!$D$206)*('Cálculos'!$D$257+'Cálculos'!$D$124*(1+2.78*('Cálculos'!$D$199+(($C68)-$A$63:$A$108)*'Cálculos'!$D$98)/(('Cálculos'!$D$199+(($C68)-$A$63:$A$108)*'Cálculos'!$D$98)+1400)+'Cálculos'!$D$122)*'Cálculos'!$D$262+'Cálculos'!$D$125*(1+2.78*('Cálculos'!$D$199+(($C68)-$A$63:$A$108)*'Cálculos'!$D$98)/(('Cálculos'!$D$199+(($C68)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68)-$A$63:$A$108)*'Cálculos'!$D$98)/(('Cálculos'!$D$200+(($C68)-$A$63:$A$108)*'Cálculos'!$D$98)+1400)+'Cálculos'!$D$122)*'Cálculos'!$D$274+'Cálculos'!$D$125*(1+2.78*('Cálculos'!$D$200+(($C68)-$A$63:$A$108)*'Cálculos'!$D$98)/(('Cálculos'!$D$200+(($C68)-$A$63:$A$108)*'Cálculos'!$D$98)+1400)+'Cálculos'!$D$123)*'Cálculos'!$D$279)+('Cálculos'!$D$200+(($C68)-$A$63:$A$108)*'Cálculos'!$D$98)*('Cálculos'!$D$270+'Cálculos'!$D$124*(1+2.78*('Cálculos'!$D$200+(($C68)-$A$63:$A$108)*'Cálculos'!$D$98)/(('Cálculos'!$D$200+(($C68)-$A$63:$A$108)*'Cálculos'!$D$98)+1400)+'Cálculos'!$D$122)*'Cálculos'!$D$275+'Cálculos'!$D$125*(1+2.78*('Cálculos'!$D$200+(($C68)-$A$63:$A$108)*'Cálculos'!$D$98)/(('Cálculos'!$D$200+(($C68)-$A$63:$A$108)*'Cálculos'!$D$98)+1400)+'Cálculos'!$D$123)*'Cálculos'!$D$280)+('Cálculos'!$D$201*(1+'Cálculos'!$D$202+$A$63:$A$108*('Cálculos'!$D$290=2)*'Cálculos'!$D$101)+'Cálculos'!$D$203)*('Cálculos'!$D$271+'Cálculos'!$D$124*(1+2.78*('Cálculos'!$D$200+(($C68)-$A$63:$A$108)*'Cálculos'!$D$98)/(('Cálculos'!$D$200+(($C68)-$A$63:$A$108)*'Cálculos'!$D$98)+1400)+'Cálculos'!$D$122)*'Cálculos'!$D$276+'Cálculos'!$D$125*(1+2.78*('Cálculos'!$D$200+(($C68)-$A$63:$A$108)*'Cálculos'!$D$98)/(('Cálculos'!$D$200+(($C68)-$A$63:$A$108)*'Cálculos'!$D$98)+1400)+'Cálculos'!$D$123)*'Cálculos'!$D$281)+('Cálculos'!$D$204*(1+'Cálculos'!$D$205+$A$63:$A$108*('Cálculos'!$D$290=3)*'Cálculos'!$D$103)+'Cálculos'!$D$206)*('Cálculos'!$D$272+'Cálculos'!$D$124*(1+2.78*('Cálculos'!$D$200+(($C68)-$A$63:$A$108)*'Cálculos'!$D$98)/(('Cálculos'!$D$200+(($C68)-$A$63:$A$108)*'Cálculos'!$D$98)+1400)+'Cálculos'!$D$122)*'Cálculos'!$D$277+'Cálculos'!$D$125*(1+2.78*('Cálculos'!$D$200+(($C68)-$A$63:$A$108)*'Cálculos'!$D$98)/(('Cálculos'!$D$200+(($C68)-$A$63:$A$108)*'Cálculos'!$D$98)+1400)+'Cálculos'!$D$123)*'Cálculos'!$D$282)))))</f>
        <v>76785.62686</v>
      </c>
      <c r="E68" s="32">
        <f>IF(OR($C68&lt;0,'Cálculos'!$D$6=""),0,$B68*$D68)</f>
        <v>100397.764</v>
      </c>
      <c r="F68" s="2"/>
      <c r="G68" s="30">
        <f>($A68&lt;=$B$110)*($A68&lt;='Cálculos'!$D$294)*(($B$110)-$A68&lt;='Cálculos'!$D$295)*(1+MIN(('Cálculos'!$D$207+$A68*'Cálculos'!$D$95),1)*('Cálculos'!$D$208+(($B$110)-$A68)*'Cálculos'!$D$96))</f>
        <v>1.453510621</v>
      </c>
      <c r="H68" s="31">
        <f>IF($B$111&lt;0,0,($A68&lt;=$B$111)*($A68&lt;='Cálculos'!$D$301)*(($B$111)-$A68&lt;='Cálculos'!$D$297)*(('Cálculos'!$D$185*(1+'Cálculos'!$D$186+$A68*('Cálculos'!$D$290=1)*'Cálculos'!$D$97+'Cálculos'!$D$305)+'Cálculos'!$D$191)*('Cálculos'!$D$209+'Cálculos'!$D$124*(1+2.78*('Cálculos'!$D$196+(($B$111)-$A68)*'Cálculos'!$D$98)/(('Cálculos'!$D$196+(($B$111)-$A68)*'Cálculos'!$D$98)+1400)+'Cálculos'!$D$122)*'Cálculos'!$D$214+'Cálculos'!$D$125*(1+2.78*('Cálculos'!$D$196+(($B$111)-$A68)*'Cálculos'!$D$98)/(('Cálculos'!$D$196+(($B$111)-$A68)*'Cálculos'!$D$98)+1400)+'Cálculos'!$D$123)*'Cálculos'!$D$219)+('Cálculos'!$D$196+(($B$111)-$A68)*'Cálculos'!$D$98)*('Cálculos'!$D$210+'Cálculos'!$D$124*(1+2.78*('Cálculos'!$D$196+(($B$111)-$A68)*'Cálculos'!$D$98)/(('Cálculos'!$D$196+(($B$111)-$A68)*'Cálculos'!$D$98)+1400)+'Cálculos'!$D$122)*'Cálculos'!$D$215+'Cálculos'!$D$125*(1+2.78*('Cálculos'!$D$196+(($B$111)-$A68)*'Cálculos'!$D$98)/(('Cálculos'!$D$196+(($B$111)-$A68)*'Cálculos'!$D$98)+1400)+'Cálculos'!$D$123)*'Cálculos'!$D$220)+('Cálculos'!$D$201*(1+'Cálculos'!$D$202+$A68*('Cálculos'!$D$290=2)*'Cálculos'!$D$101)+'Cálculos'!$D$203)*('Cálculos'!$D$211+'Cálculos'!$D$124*(1+2.78*('Cálculos'!$D$196+(($B$111)-$A68)*'Cálculos'!$D$98)/(('Cálculos'!$D$196+(($B$111)-$A68)*'Cálculos'!$D$98)+1400)+'Cálculos'!$D$122)*'Cálculos'!$D$216+'Cálculos'!$D$125*(1+2.78*('Cálculos'!$D$196+(($B$111)-$A68)*'Cálculos'!$D$98)/(('Cálculos'!$D$196+(($B$111)-$A68)*'Cálculos'!$D$98)+1400)+'Cálculos'!$D$123)*'Cálculos'!$D$221)+('Cálculos'!$D$204*(1+'Cálculos'!$D$205+$A68*('Cálculos'!$D$290=3)*'Cálculos'!$D$103)+'Cálculos'!$D$206)*('Cálculos'!$D$212+'Cálculos'!$D$124*(1+2.78*('Cálculos'!$D$196+(($B$111)-$A68)*'Cálculos'!$D$98)/(('Cálculos'!$D$196+(($B$111)-$A68)*'Cálculos'!$D$98)+1400)+'Cálculos'!$D$122)*'Cálculos'!$D$217+'Cálculos'!$D$125*(1+2.78*('Cálculos'!$D$196+(($B$111)-$A68)*'Cálculos'!$D$98)/(('Cálculos'!$D$196+(($B$111)-$A68)*'Cálculos'!$D$98)+1400)+'Cálculos'!$D$123)*'Cálculos'!$D$222)+('Cálculos'!$D$185*(1+'Cálculos'!$D$187+$A68*('Cálculos'!$D$290=1)*'Cálculos'!$D$97+'Cálculos'!$D$305)+'Cálculos'!$D$192)*('Cálculos'!$D$224+'Cálculos'!$D$124*(1+2.78*('Cálculos'!$D$197+(($B$111)-$A68)*'Cálculos'!$D$98)/(('Cálculos'!$D$197+(($B$111)-$A68)*'Cálculos'!$D$98)+1400)+'Cálculos'!$D$122)*'Cálculos'!$D$229+'Cálculos'!$D$125*(1+2.78*('Cálculos'!$D$197+(($B$111)-$A68)*'Cálculos'!$D$98)/(('Cálculos'!$D$197+(($B$111)-$A68)*'Cálculos'!$D$98)+1400)+'Cálculos'!$D$123)*'Cálculos'!$D$234)+('Cálculos'!$D$197+(($B$111)-$A68)*'Cálculos'!$D$98)*('Cálculos'!$D$225+'Cálculos'!$D$124*(1+2.78*('Cálculos'!$D$197+(($B$111)-$A68)*'Cálculos'!$D$98)/(('Cálculos'!$D$197+(($B$111)-$A68)*'Cálculos'!$D$98)+1400)+'Cálculos'!$D$122)*'Cálculos'!$D$230+'Cálculos'!$D$125*(1+2.78*('Cálculos'!$D$197+(($B$111)-$A68)*'Cálculos'!$D$98)/(('Cálculos'!$D$197+(($B$111)-$A68)*'Cálculos'!$D$98)+1400)+'Cálculos'!$D$123)*'Cálculos'!$D$235)+('Cálculos'!$D$201*(1+'Cálculos'!$D$202+$A68*('Cálculos'!$D$290=2)*'Cálculos'!$D$101)+'Cálculos'!$D$203)*('Cálculos'!$D$226+'Cálculos'!$D$124*(1+2.78*('Cálculos'!$D$197+(($B$111)-$A68)*'Cálculos'!$D$98)/(('Cálculos'!$D$197+(($B$111)-$A68)*'Cálculos'!$D$98)+1400)+'Cálculos'!$D$122)*'Cálculos'!$D$231+'Cálculos'!$D$125*(1+2.78*('Cálculos'!$D$197+(($B$111)-$A68)*'Cálculos'!$D$98)/(('Cálculos'!$D$197+(($B$111)-$A68)*'Cálculos'!$D$98)+1400)+'Cálculos'!$D$123)*'Cálculos'!$D$236)+('Cálculos'!$D$204*(1+'Cálculos'!$D$205+$A68*('Cálculos'!$D$290=3)*'Cálculos'!$D$103)+'Cálculos'!$D$206)*('Cálculos'!$D$227+'Cálculos'!$D$124*(1+2.78*('Cálculos'!$D$197+(($B$111)-$A68)*'Cálculos'!$D$98)/(('Cálculos'!$D$197+(($B$111)-$A68)*'Cálculos'!$D$98)+1400)+'Cálculos'!$D$122)*'Cálculos'!$D$232+'Cálculos'!$D$125*(1+2.78*('Cálculos'!$D$197+(($B$111)-$A68)*'Cálculos'!$D$98)/(('Cálculos'!$D$197+(($B$111)-$A68)*'Cálculos'!$D$98)+1400)+'Cálculos'!$D$123)*'Cálculos'!$D$237)+('Cálculos'!$D$185*(1+'Cálculos'!$D$188+$A68*('Cálculos'!$D$290=1)*'Cálculos'!$D$97+'Cálculos'!$D$305)+'Cálculos'!$D$193)*('Cálculos'!$D$239+'Cálculos'!$D$124*(1+2.78*('Cálculos'!$D$198+(($B$111)-$A68)*'Cálculos'!$D$98)/(('Cálculos'!$D$198+(($B$111)-$A68)*'Cálculos'!$D$98)+1400)+'Cálculos'!$D$122)*'Cálculos'!$D$244+'Cálculos'!$D$125*(1+2.78*('Cálculos'!$D$198+(($B$111)-$A68)*'Cálculos'!$D$98)/(('Cálculos'!$D$198+(($B$111)-$A68)*'Cálculos'!$D$98)+1400)+'Cálculos'!$D$123)*'Cálculos'!$D$249)+('Cálculos'!$D$198+(($B$111)-$A68)*'Cálculos'!$D$98)*('Cálculos'!$D$240+'Cálculos'!$D$124*(1+2.78*('Cálculos'!$D$198+(($B$111)-$A68)*'Cálculos'!$D$98)/(('Cálculos'!$D$198+(($B$111)-$A68)*'Cálculos'!$D$98)+1400)+'Cálculos'!$D$122)*'Cálculos'!$D$245+'Cálculos'!$D$125*(1+2.78*('Cálculos'!$D$198+(($B$111)-$A68)*'Cálculos'!$D$98)/(('Cálculos'!$D$198+(($B$111)-$A68)*'Cálculos'!$D$98)+1400)+'Cálculos'!$D$123)*'Cálculos'!$D$250)+('Cálculos'!$D$201*(1+'Cálculos'!$D$202+$A68*('Cálculos'!$D$290=2)*'Cálculos'!$D$101)+'Cálculos'!$D$203)*('Cálculos'!$D$241+'Cálculos'!$D$124*(1+2.78*('Cálculos'!$D$198+(($B$111)-$A68)*'Cálculos'!$D$98)/(('Cálculos'!$D$198+(($B$111)-$A68)*'Cálculos'!$D$98)+1400)+'Cálculos'!$D$122)*'Cálculos'!$D$246+'Cálculos'!$D$125*(1+2.78*('Cálculos'!$D$198+(($B$111)-$A68)*'Cálculos'!$D$98)/(('Cálculos'!$D$198+(($B$111)-$A68)*'Cálculos'!$D$98)+1400)+'Cálculos'!$D$123)*'Cálculos'!$D$251)+('Cálculos'!$D$204*(1+'Cálculos'!$D$205+$A68*('Cálculos'!$D$290=3)*'Cálculos'!$D$103)+'Cálculos'!$D$206)*('Cálculos'!$D$242+'Cálculos'!$D$124*(1+2.78*('Cálculos'!$D$198+(($B$111)-$A68)*'Cálculos'!$D$98)/(('Cálculos'!$D$198+(($B$111)-$A68)*'Cálculos'!$D$98)+1400)+'Cálculos'!$D$122)*'Cálculos'!$D$247+'Cálculos'!$D$125*(1+2.78*('Cálculos'!$D$198+(($B$111)-$A68)*'Cálculos'!$D$98)/(('Cálculos'!$D$198+(($B$111)-$A68)*'Cálculos'!$D$98)+1400)+'Cálculos'!$D$123)*'Cálculos'!$D$252)+('Cálculos'!$D$185*(1+'Cálculos'!$D$189+$A68*('Cálculos'!$D$290=1)*'Cálculos'!$D$97+'Cálculos'!$D$305)+'Cálculos'!$D$194)*('Cálculos'!$D$254+'Cálculos'!$D$124*(1+2.78*('Cálculos'!$D$199+(($B$111)-$A68)*'Cálculos'!$D$98)/(('Cálculos'!$D$199+(($B$111)-$A68)*'Cálculos'!$D$98)+1400)+'Cálculos'!$D$122)*'Cálculos'!$D$259+'Cálculos'!$D$125*(1+2.78*('Cálculos'!$D$199+(($B$111)-$A68)*'Cálculos'!$D$98)/(('Cálculos'!$D$199+(($B$111)-$A68)*'Cálculos'!$D$98)+1400)+'Cálculos'!$D$123)*'Cálculos'!$D$264)+('Cálculos'!$D$199+(($B$111)-$A68)*'Cálculos'!$D$98)*('Cálculos'!$D$255+'Cálculos'!$D$124*(1+2.78*('Cálculos'!$D$199+(($B$111)-$A68)*'Cálculos'!$D$98)/(('Cálculos'!$D$199+(($B$111)-$A68)*'Cálculos'!$D$98)+1400)+'Cálculos'!$D$122)*'Cálculos'!$D$260+'Cálculos'!$D$125*(1+2.78*('Cálculos'!$D$199+(($B$111)-$A68)*'Cálculos'!$D$98)/(('Cálculos'!$D$199+(($B$111)-$A68)*'Cálculos'!$D$98)+1400)+'Cálculos'!$D$123)*'Cálculos'!$D$265)+('Cálculos'!$D$201*(1+'Cálculos'!$D$202+$A68*('Cálculos'!$D$290=2)*'Cálculos'!$D$101)+'Cálculos'!$D$203)*('Cálculos'!$D$256+'Cálculos'!$D$124*(1+2.78*('Cálculos'!$D$199+(($B$111)-$A68)*'Cálculos'!$D$98)/(('Cálculos'!$D$199+(($B$111)-$A68)*'Cálculos'!$D$98)+1400)+'Cálculos'!$D$122)*'Cálculos'!$D$261+'Cálculos'!$D$125*(1+2.78*('Cálculos'!$D$199+(($B$111)-$A68)*'Cálculos'!$D$98)/(('Cálculos'!$D$199+(($B$111)-$A68)*'Cálculos'!$D$98)+1400)+'Cálculos'!$D$123)*'Cálculos'!$D$266)+('Cálculos'!$D$204*(1+'Cálculos'!$D$205+$A68*('Cálculos'!$D$290=3)*'Cálculos'!$D$103)+'Cálculos'!$D$206)*('Cálculos'!$D$257+'Cálculos'!$D$124*(1+2.78*('Cálculos'!$D$199+(($B$111)-$A68)*'Cálculos'!$D$98)/(('Cálculos'!$D$199+(($B$111)-$A68)*'Cálculos'!$D$98)+1400)+'Cálculos'!$D$122)*'Cálculos'!$D$262+'Cálculos'!$D$125*(1+2.78*('Cálculos'!$D$199+(($B$111)-$A68)*'Cálculos'!$D$98)/(('Cálculos'!$D$199+(($B$111)-$A68)*'Cálculos'!$D$98)+1400)+'Cálculos'!$D$123)*'Cálculos'!$D$267)+('Cálculos'!$D$185*(1+'Cálculos'!$D$190+$A68*('Cálculos'!$D$290=1)*'Cálculos'!$D$97+'Cálculos'!$D$305)+'Cálculos'!$D$195)*('Cálculos'!$D$269+'Cálculos'!$D$124*(1+2.78*('Cálculos'!$D$200+(($B$111)-$A68)*'Cálculos'!$D$98)/(('Cálculos'!$D$200+(($B$111)-$A68)*'Cálculos'!$D$98)+1400)+'Cálculos'!$D$122)*'Cálculos'!$D$274+'Cálculos'!$D$125*(1+2.78*('Cálculos'!$D$200+(($B$111)-$A68)*'Cálculos'!$D$98)/(('Cálculos'!$D$200+(($B$111)-$A68)*'Cálculos'!$D$98)+1400)+'Cálculos'!$D$123)*'Cálculos'!$D$279)+('Cálculos'!$D$200+(($B$111)-$A68)*'Cálculos'!$D$98)*('Cálculos'!$D$270+'Cálculos'!$D$124*(1+2.78*('Cálculos'!$D$200+(($B$111)-$A68)*'Cálculos'!$D$98)/(('Cálculos'!$D$200+(($B$111)-$A68)*'Cálculos'!$D$98)+1400)+'Cálculos'!$D$122)*'Cálculos'!$D$275+'Cálculos'!$D$125*(1+2.78*('Cálculos'!$D$200+(($B$111)-$A68)*'Cálculos'!$D$98)/(('Cálculos'!$D$200+(($B$111)-$A68)*'Cálculos'!$D$98)+1400)+'Cálculos'!$D$123)*'Cálculos'!$D$280)+('Cálculos'!$D$201*(1+'Cálculos'!$D$202+$A68*('Cálculos'!$D$290=2)*'Cálculos'!$D$101)+'Cálculos'!$D$203)*('Cálculos'!$D$271+'Cálculos'!$D$124*(1+2.78*('Cálculos'!$D$200+(($B$111)-$A68)*'Cálculos'!$D$98)/(('Cálculos'!$D$200+(($B$111)-$A68)*'Cálculos'!$D$98)+1400)+'Cálculos'!$D$122)*'Cálculos'!$D$276+'Cálculos'!$D$125*(1+2.78*('Cálculos'!$D$200+(($B$111)-$A68)*'Cálculos'!$D$98)/(('Cálculos'!$D$200+(($B$111)-$A68)*'Cálculos'!$D$98)+1400)+'Cálculos'!$D$123)*'Cálculos'!$D$281)+('Cálculos'!$D$204*(1+'Cálculos'!$D$205+$A68*('Cálculos'!$D$290=3)*'Cálculos'!$D$103)+'Cálculos'!$D$206)*('Cálculos'!$D$272+'Cálculos'!$D$124*(1+2.78*('Cálculos'!$D$200+(($B$111)-$A68)*'Cálculos'!$D$98)/(('Cálculos'!$D$200+(($B$111)-$A68)*'Cálculos'!$D$98)+1400)+'Cálculos'!$D$122)*'Cálculos'!$D$277+'Cálculos'!$D$125*(1+2.78*('Cálculos'!$D$200+(($B$111)-$A68)*'Cálculos'!$D$98)/(('Cálculos'!$D$200+(($B$111)-$A68)*'Cálculos'!$D$98)+1400)+'Cálculos'!$D$123)*'Cálculos'!$D$282)))</f>
        <v>0</v>
      </c>
    </row>
    <row r="69" ht="15.75" customHeight="1">
      <c r="A69" s="2">
        <v>6.0</v>
      </c>
      <c r="B69" s="30">
        <f>SUMPRODUCT(MAX(($A$63:$A$108&lt;=$A69)*($A$63:$A$108&lt;='Cálculos'!$D$294)*(($A69)-$A$63:$A$108&lt;='Cálculos'!$D$295)*(1+(('Cálculos'!$D$207+$A$63:$A$108*'Cálculos'!$D$95)-(('Cálculos'!$D$207+$A$63:$A$108*'Cálculos'!$D$95)&gt;1)*(('Cálculos'!$D$207+$A$63:$A$108*'Cálculos'!$D$95)-1))*('Cálculos'!$D$208+(($A69)-$A$63:$A$108)*'Cálculos'!$D$96))))</f>
        <v>1.329606541</v>
      </c>
      <c r="C69" s="2">
        <f>'Cálculos'!$D$303-$A69</f>
        <v>5</v>
      </c>
      <c r="D69" s="31">
        <f>IF($C69&lt;0,0,SUMPRODUCT(MAX(($A$63:$A$108&lt;=$C69)*($A$63:$A$108&lt;='Cálculos'!$D$301)*(($C69)-$A$63:$A$108&lt;='Cálculos'!$D$297)*(('Cálculos'!$D$185*(1+'Cálculos'!$D$186+$A$63:$A$108*('Cálculos'!$D$290=1)*'Cálculos'!$D$97+'Cálculos'!$D$305)+'Cálculos'!$D$191)*('Cálculos'!$D$209+'Cálculos'!$D$124*(1+2.78*('Cálculos'!$D$196+(($C69)-$A$63:$A$108)*'Cálculos'!$D$98)/(('Cálculos'!$D$196+(($C69)-$A$63:$A$108)*'Cálculos'!$D$98)+1400)+'Cálculos'!$D$122)*'Cálculos'!$D$214+'Cálculos'!$D$125*(1+2.78*('Cálculos'!$D$196+(($C69)-$A$63:$A$108)*'Cálculos'!$D$98)/(('Cálculos'!$D$196+(($C69)-$A$63:$A$108)*'Cálculos'!$D$98)+1400)+'Cálculos'!$D$123)*'Cálculos'!$D$219)+('Cálculos'!$D$196+(($C69)-$A$63:$A$108)*'Cálculos'!$D$98)*('Cálculos'!$D$210+'Cálculos'!$D$124*(1+2.78*('Cálculos'!$D$196+(($C69)-$A$63:$A$108)*'Cálculos'!$D$98)/(('Cálculos'!$D$196+(($C69)-$A$63:$A$108)*'Cálculos'!$D$98)+1400)+'Cálculos'!$D$122)*'Cálculos'!$D$215+'Cálculos'!$D$125*(1+2.78*('Cálculos'!$D$196+(($C69)-$A$63:$A$108)*'Cálculos'!$D$98)/(('Cálculos'!$D$196+(($C69)-$A$63:$A$108)*'Cálculos'!$D$98)+1400)+'Cálculos'!$D$123)*'Cálculos'!$D$220)+('Cálculos'!$D$201*(1+'Cálculos'!$D$202+$A$63:$A$108*('Cálculos'!$D$290=2)*'Cálculos'!$D$101)+'Cálculos'!$D$203)*('Cálculos'!$D$211+'Cálculos'!$D$124*(1+2.78*('Cálculos'!$D$196+(($C69)-$A$63:$A$108)*'Cálculos'!$D$98)/(('Cálculos'!$D$196+(($C69)-$A$63:$A$108)*'Cálculos'!$D$98)+1400)+'Cálculos'!$D$122)*'Cálculos'!$D$216+'Cálculos'!$D$125*(1+2.78*('Cálculos'!$D$196+(($C69)-$A$63:$A$108)*'Cálculos'!$D$98)/(('Cálculos'!$D$196+(($C69)-$A$63:$A$108)*'Cálculos'!$D$98)+1400)+'Cálculos'!$D$123)*'Cálculos'!$D$221)+('Cálculos'!$D$204*(1+'Cálculos'!$D$205+$A$63:$A$108*('Cálculos'!$D$290=3)*'Cálculos'!$D$103)+'Cálculos'!$D$206)*('Cálculos'!$D$212+'Cálculos'!$D$124*(1+2.78*('Cálculos'!$D$196+(($C69)-$A$63:$A$108)*'Cálculos'!$D$98)/(('Cálculos'!$D$196+(($C69)-$A$63:$A$108)*'Cálculos'!$D$98)+1400)+'Cálculos'!$D$122)*'Cálculos'!$D$217+'Cálculos'!$D$125*(1+2.78*('Cálculos'!$D$196+(($C69)-$A$63:$A$108)*'Cálculos'!$D$98)/(('Cálculos'!$D$196+(($C69)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69)-$A$63:$A$108)*'Cálculos'!$D$98)/(('Cálculos'!$D$197+(($C69)-$A$63:$A$108)*'Cálculos'!$D$98)+1400)+'Cálculos'!$D$122)*'Cálculos'!$D$229+'Cálculos'!$D$125*(1+2.78*('Cálculos'!$D$197+(($C69)-$A$63:$A$108)*'Cálculos'!$D$98)/(('Cálculos'!$D$197+(($C69)-$A$63:$A$108)*'Cálculos'!$D$98)+1400)+'Cálculos'!$D$123)*'Cálculos'!$D$234)+('Cálculos'!$D$197+(($C69)-$A$63:$A$108)*'Cálculos'!$D$98)*('Cálculos'!$D$225+'Cálculos'!$D$124*(1+2.78*('Cálculos'!$D$197+(($C69)-$A$63:$A$108)*'Cálculos'!$D$98)/(('Cálculos'!$D$197+(($C69)-$A$63:$A$108)*'Cálculos'!$D$98)+1400)+'Cálculos'!$D$122)*'Cálculos'!$D$230+'Cálculos'!$D$125*(1+2.78*('Cálculos'!$D$197+(($C69)-$A$63:$A$108)*'Cálculos'!$D$98)/(('Cálculos'!$D$197+(($C69)-$A$63:$A$108)*'Cálculos'!$D$98)+1400)+'Cálculos'!$D$123)*'Cálculos'!$D$235)+('Cálculos'!$D$201*(1+'Cálculos'!$D$202+$A$63:$A$108*('Cálculos'!$D$290=2)*'Cálculos'!$D$101)+'Cálculos'!$D$203)*('Cálculos'!$D$226+'Cálculos'!$D$124*(1+2.78*('Cálculos'!$D$197+(($C69)-$A$63:$A$108)*'Cálculos'!$D$98)/(('Cálculos'!$D$197+(($C69)-$A$63:$A$108)*'Cálculos'!$D$98)+1400)+'Cálculos'!$D$122)*'Cálculos'!$D$231+'Cálculos'!$D$125*(1+2.78*('Cálculos'!$D$197+(($C69)-$A$63:$A$108)*'Cálculos'!$D$98)/(('Cálculos'!$D$197+(($C69)-$A$63:$A$108)*'Cálculos'!$D$98)+1400)+'Cálculos'!$D$123)*'Cálculos'!$D$236)+('Cálculos'!$D$204*(1+'Cálculos'!$D$205+$A$63:$A$108*('Cálculos'!$D$290=3)*'Cálculos'!$D$103)+'Cálculos'!$D$206)*('Cálculos'!$D$227+'Cálculos'!$D$124*(1+2.78*('Cálculos'!$D$197+(($C69)-$A$63:$A$108)*'Cálculos'!$D$98)/(('Cálculos'!$D$197+(($C69)-$A$63:$A$108)*'Cálculos'!$D$98)+1400)+'Cálculos'!$D$122)*'Cálculos'!$D$232+'Cálculos'!$D$125*(1+2.78*('Cálculos'!$D$197+(($C69)-$A$63:$A$108)*'Cálculos'!$D$98)/(('Cálculos'!$D$197+(($C69)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69)-$A$63:$A$108)*'Cálculos'!$D$98)/(('Cálculos'!$D$198+(($C69)-$A$63:$A$108)*'Cálculos'!$D$98)+1400)+'Cálculos'!$D$122)*'Cálculos'!$D$244+'Cálculos'!$D$125*(1+2.78*('Cálculos'!$D$198+(($C69)-$A$63:$A$108)*'Cálculos'!$D$98)/(('Cálculos'!$D$198+(($C69)-$A$63:$A$108)*'Cálculos'!$D$98)+1400)+'Cálculos'!$D$123)*'Cálculos'!$D$249)+('Cálculos'!$D$198+(($C69)-$A$63:$A$108)*'Cálculos'!$D$98)*('Cálculos'!$D$240+'Cálculos'!$D$124*(1+2.78*('Cálculos'!$D$198+(($C69)-$A$63:$A$108)*'Cálculos'!$D$98)/(('Cálculos'!$D$198+(($C69)-$A$63:$A$108)*'Cálculos'!$D$98)+1400)+'Cálculos'!$D$122)*'Cálculos'!$D$245+'Cálculos'!$D$125*(1+2.78*('Cálculos'!$D$198+(($C69)-$A$63:$A$108)*'Cálculos'!$D$98)/(('Cálculos'!$D$198+(($C69)-$A$63:$A$108)*'Cálculos'!$D$98)+1400)+'Cálculos'!$D$123)*'Cálculos'!$D$250)+('Cálculos'!$D$201*(1+'Cálculos'!$D$202+$A$63:$A$108*('Cálculos'!$D$290=2)*'Cálculos'!$D$101)+'Cálculos'!$D$203)*('Cálculos'!$D$241+'Cálculos'!$D$124*(1+2.78*('Cálculos'!$D$198+(($C69)-$A$63:$A$108)*'Cálculos'!$D$98)/(('Cálculos'!$D$198+(($C69)-$A$63:$A$108)*'Cálculos'!$D$98)+1400)+'Cálculos'!$D$122)*'Cálculos'!$D$246+'Cálculos'!$D$125*(1+2.78*('Cálculos'!$D$198+(($C69)-$A$63:$A$108)*'Cálculos'!$D$98)/(('Cálculos'!$D$198+(($C69)-$A$63:$A$108)*'Cálculos'!$D$98)+1400)+'Cálculos'!$D$123)*'Cálculos'!$D$251)+('Cálculos'!$D$204*(1+'Cálculos'!$D$205+$A$63:$A$108*('Cálculos'!$D$290=3)*'Cálculos'!$D$103)+'Cálculos'!$D$206)*('Cálculos'!$D$242+'Cálculos'!$D$124*(1+2.78*('Cálculos'!$D$198+(($C69)-$A$63:$A$108)*'Cálculos'!$D$98)/(('Cálculos'!$D$198+(($C69)-$A$63:$A$108)*'Cálculos'!$D$98)+1400)+'Cálculos'!$D$122)*'Cálculos'!$D$247+'Cálculos'!$D$125*(1+2.78*('Cálculos'!$D$198+(($C69)-$A$63:$A$108)*'Cálculos'!$D$98)/(('Cálculos'!$D$198+(($C69)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69)-$A$63:$A$108)*'Cálculos'!$D$98)/(('Cálculos'!$D$199+(($C69)-$A$63:$A$108)*'Cálculos'!$D$98)+1400)+'Cálculos'!$D$122)*'Cálculos'!$D$259+'Cálculos'!$D$125*(1+2.78*('Cálculos'!$D$199+(($C69)-$A$63:$A$108)*'Cálculos'!$D$98)/(('Cálculos'!$D$199+(($C69)-$A$63:$A$108)*'Cálculos'!$D$98)+1400)+'Cálculos'!$D$123)*'Cálculos'!$D$264)+('Cálculos'!$D$199+(($C69)-$A$63:$A$108)*'Cálculos'!$D$98)*('Cálculos'!$D$255+'Cálculos'!$D$124*(1+2.78*('Cálculos'!$D$199+(($C69)-$A$63:$A$108)*'Cálculos'!$D$98)/(('Cálculos'!$D$199+(($C69)-$A$63:$A$108)*'Cálculos'!$D$98)+1400)+'Cálculos'!$D$122)*'Cálculos'!$D$260+'Cálculos'!$D$125*(1+2.78*('Cálculos'!$D$199+(($C69)-$A$63:$A$108)*'Cálculos'!$D$98)/(('Cálculos'!$D$199+(($C69)-$A$63:$A$108)*'Cálculos'!$D$98)+1400)+'Cálculos'!$D$123)*'Cálculos'!$D$265)+('Cálculos'!$D$201*(1+'Cálculos'!$D$202+$A$63:$A$108*('Cálculos'!$D$290=2)*'Cálculos'!$D$101)+'Cálculos'!$D$203)*('Cálculos'!$D$256+'Cálculos'!$D$124*(1+2.78*('Cálculos'!$D$199+(($C69)-$A$63:$A$108)*'Cálculos'!$D$98)/(('Cálculos'!$D$199+(($C69)-$A$63:$A$108)*'Cálculos'!$D$98)+1400)+'Cálculos'!$D$122)*'Cálculos'!$D$261+'Cálculos'!$D$125*(1+2.78*('Cálculos'!$D$199+(($C69)-$A$63:$A$108)*'Cálculos'!$D$98)/(('Cálculos'!$D$199+(($C69)-$A$63:$A$108)*'Cálculos'!$D$98)+1400)+'Cálculos'!$D$123)*'Cálculos'!$D$266)+('Cálculos'!$D$204*(1+'Cálculos'!$D$205+$A$63:$A$108*('Cálculos'!$D$290=3)*'Cálculos'!$D$103)+'Cálculos'!$D$206)*('Cálculos'!$D$257+'Cálculos'!$D$124*(1+2.78*('Cálculos'!$D$199+(($C69)-$A$63:$A$108)*'Cálculos'!$D$98)/(('Cálculos'!$D$199+(($C69)-$A$63:$A$108)*'Cálculos'!$D$98)+1400)+'Cálculos'!$D$122)*'Cálculos'!$D$262+'Cálculos'!$D$125*(1+2.78*('Cálculos'!$D$199+(($C69)-$A$63:$A$108)*'Cálculos'!$D$98)/(('Cálculos'!$D$199+(($C69)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69)-$A$63:$A$108)*'Cálculos'!$D$98)/(('Cálculos'!$D$200+(($C69)-$A$63:$A$108)*'Cálculos'!$D$98)+1400)+'Cálculos'!$D$122)*'Cálculos'!$D$274+'Cálculos'!$D$125*(1+2.78*('Cálculos'!$D$200+(($C69)-$A$63:$A$108)*'Cálculos'!$D$98)/(('Cálculos'!$D$200+(($C69)-$A$63:$A$108)*'Cálculos'!$D$98)+1400)+'Cálculos'!$D$123)*'Cálculos'!$D$279)+('Cálculos'!$D$200+(($C69)-$A$63:$A$108)*'Cálculos'!$D$98)*('Cálculos'!$D$270+'Cálculos'!$D$124*(1+2.78*('Cálculos'!$D$200+(($C69)-$A$63:$A$108)*'Cálculos'!$D$98)/(('Cálculos'!$D$200+(($C69)-$A$63:$A$108)*'Cálculos'!$D$98)+1400)+'Cálculos'!$D$122)*'Cálculos'!$D$275+'Cálculos'!$D$125*(1+2.78*('Cálculos'!$D$200+(($C69)-$A$63:$A$108)*'Cálculos'!$D$98)/(('Cálculos'!$D$200+(($C69)-$A$63:$A$108)*'Cálculos'!$D$98)+1400)+'Cálculos'!$D$123)*'Cálculos'!$D$280)+('Cálculos'!$D$201*(1+'Cálculos'!$D$202+$A$63:$A$108*('Cálculos'!$D$290=2)*'Cálculos'!$D$101)+'Cálculos'!$D$203)*('Cálculos'!$D$271+'Cálculos'!$D$124*(1+2.78*('Cálculos'!$D$200+(($C69)-$A$63:$A$108)*'Cálculos'!$D$98)/(('Cálculos'!$D$200+(($C69)-$A$63:$A$108)*'Cálculos'!$D$98)+1400)+'Cálculos'!$D$122)*'Cálculos'!$D$276+'Cálculos'!$D$125*(1+2.78*('Cálculos'!$D$200+(($C69)-$A$63:$A$108)*'Cálculos'!$D$98)/(('Cálculos'!$D$200+(($C69)-$A$63:$A$108)*'Cálculos'!$D$98)+1400)+'Cálculos'!$D$123)*'Cálculos'!$D$281)+('Cálculos'!$D$204*(1+'Cálculos'!$D$205+$A$63:$A$108*('Cálculos'!$D$290=3)*'Cálculos'!$D$103)+'Cálculos'!$D$206)*('Cálculos'!$D$272+'Cálculos'!$D$124*(1+2.78*('Cálculos'!$D$200+(($C69)-$A$63:$A$108)*'Cálculos'!$D$98)/(('Cálculos'!$D$200+(($C69)-$A$63:$A$108)*'Cálculos'!$D$98)+1400)+'Cálculos'!$D$122)*'Cálculos'!$D$277+'Cálculos'!$D$125*(1+2.78*('Cálculos'!$D$200+(($C69)-$A$63:$A$108)*'Cálculos'!$D$98)/(('Cálculos'!$D$200+(($C69)-$A$63:$A$108)*'Cálculos'!$D$98)+1400)+'Cálculos'!$D$123)*'Cálculos'!$D$282)))))</f>
        <v>75719.84145</v>
      </c>
      <c r="E69" s="32">
        <f>IF(OR($C69&lt;0,'Cálculos'!$D$6=""),0,$B69*$D69)</f>
        <v>100677.5965</v>
      </c>
      <c r="F69" s="2"/>
      <c r="G69" s="30">
        <f>($A69&lt;=$B$110)*($A69&lt;='Cálculos'!$D$294)*(($B$110)-$A69&lt;='Cálculos'!$D$295)*(1+MIN(('Cálculos'!$D$207+$A69*'Cálculos'!$D$95),1)*('Cálculos'!$D$208+(($B$110)-$A69)*'Cálculos'!$D$96))</f>
        <v>1.451696934</v>
      </c>
      <c r="H69" s="31">
        <f>IF($B$111&lt;0,0,($A69&lt;=$B$111)*($A69&lt;='Cálculos'!$D$301)*(($B$111)-$A69&lt;='Cálculos'!$D$297)*(('Cálculos'!$D$185*(1+'Cálculos'!$D$186+$A69*('Cálculos'!$D$290=1)*'Cálculos'!$D$97+'Cálculos'!$D$305)+'Cálculos'!$D$191)*('Cálculos'!$D$209+'Cálculos'!$D$124*(1+2.78*('Cálculos'!$D$196+(($B$111)-$A69)*'Cálculos'!$D$98)/(('Cálculos'!$D$196+(($B$111)-$A69)*'Cálculos'!$D$98)+1400)+'Cálculos'!$D$122)*'Cálculos'!$D$214+'Cálculos'!$D$125*(1+2.78*('Cálculos'!$D$196+(($B$111)-$A69)*'Cálculos'!$D$98)/(('Cálculos'!$D$196+(($B$111)-$A69)*'Cálculos'!$D$98)+1400)+'Cálculos'!$D$123)*'Cálculos'!$D$219)+('Cálculos'!$D$196+(($B$111)-$A69)*'Cálculos'!$D$98)*('Cálculos'!$D$210+'Cálculos'!$D$124*(1+2.78*('Cálculos'!$D$196+(($B$111)-$A69)*'Cálculos'!$D$98)/(('Cálculos'!$D$196+(($B$111)-$A69)*'Cálculos'!$D$98)+1400)+'Cálculos'!$D$122)*'Cálculos'!$D$215+'Cálculos'!$D$125*(1+2.78*('Cálculos'!$D$196+(($B$111)-$A69)*'Cálculos'!$D$98)/(('Cálculos'!$D$196+(($B$111)-$A69)*'Cálculos'!$D$98)+1400)+'Cálculos'!$D$123)*'Cálculos'!$D$220)+('Cálculos'!$D$201*(1+'Cálculos'!$D$202+$A69*('Cálculos'!$D$290=2)*'Cálculos'!$D$101)+'Cálculos'!$D$203)*('Cálculos'!$D$211+'Cálculos'!$D$124*(1+2.78*('Cálculos'!$D$196+(($B$111)-$A69)*'Cálculos'!$D$98)/(('Cálculos'!$D$196+(($B$111)-$A69)*'Cálculos'!$D$98)+1400)+'Cálculos'!$D$122)*'Cálculos'!$D$216+'Cálculos'!$D$125*(1+2.78*('Cálculos'!$D$196+(($B$111)-$A69)*'Cálculos'!$D$98)/(('Cálculos'!$D$196+(($B$111)-$A69)*'Cálculos'!$D$98)+1400)+'Cálculos'!$D$123)*'Cálculos'!$D$221)+('Cálculos'!$D$204*(1+'Cálculos'!$D$205+$A69*('Cálculos'!$D$290=3)*'Cálculos'!$D$103)+'Cálculos'!$D$206)*('Cálculos'!$D$212+'Cálculos'!$D$124*(1+2.78*('Cálculos'!$D$196+(($B$111)-$A69)*'Cálculos'!$D$98)/(('Cálculos'!$D$196+(($B$111)-$A69)*'Cálculos'!$D$98)+1400)+'Cálculos'!$D$122)*'Cálculos'!$D$217+'Cálculos'!$D$125*(1+2.78*('Cálculos'!$D$196+(($B$111)-$A69)*'Cálculos'!$D$98)/(('Cálculos'!$D$196+(($B$111)-$A69)*'Cálculos'!$D$98)+1400)+'Cálculos'!$D$123)*'Cálculos'!$D$222)+('Cálculos'!$D$185*(1+'Cálculos'!$D$187+$A69*('Cálculos'!$D$290=1)*'Cálculos'!$D$97+'Cálculos'!$D$305)+'Cálculos'!$D$192)*('Cálculos'!$D$224+'Cálculos'!$D$124*(1+2.78*('Cálculos'!$D$197+(($B$111)-$A69)*'Cálculos'!$D$98)/(('Cálculos'!$D$197+(($B$111)-$A69)*'Cálculos'!$D$98)+1400)+'Cálculos'!$D$122)*'Cálculos'!$D$229+'Cálculos'!$D$125*(1+2.78*('Cálculos'!$D$197+(($B$111)-$A69)*'Cálculos'!$D$98)/(('Cálculos'!$D$197+(($B$111)-$A69)*'Cálculos'!$D$98)+1400)+'Cálculos'!$D$123)*'Cálculos'!$D$234)+('Cálculos'!$D$197+(($B$111)-$A69)*'Cálculos'!$D$98)*('Cálculos'!$D$225+'Cálculos'!$D$124*(1+2.78*('Cálculos'!$D$197+(($B$111)-$A69)*'Cálculos'!$D$98)/(('Cálculos'!$D$197+(($B$111)-$A69)*'Cálculos'!$D$98)+1400)+'Cálculos'!$D$122)*'Cálculos'!$D$230+'Cálculos'!$D$125*(1+2.78*('Cálculos'!$D$197+(($B$111)-$A69)*'Cálculos'!$D$98)/(('Cálculos'!$D$197+(($B$111)-$A69)*'Cálculos'!$D$98)+1400)+'Cálculos'!$D$123)*'Cálculos'!$D$235)+('Cálculos'!$D$201*(1+'Cálculos'!$D$202+$A69*('Cálculos'!$D$290=2)*'Cálculos'!$D$101)+'Cálculos'!$D$203)*('Cálculos'!$D$226+'Cálculos'!$D$124*(1+2.78*('Cálculos'!$D$197+(($B$111)-$A69)*'Cálculos'!$D$98)/(('Cálculos'!$D$197+(($B$111)-$A69)*'Cálculos'!$D$98)+1400)+'Cálculos'!$D$122)*'Cálculos'!$D$231+'Cálculos'!$D$125*(1+2.78*('Cálculos'!$D$197+(($B$111)-$A69)*'Cálculos'!$D$98)/(('Cálculos'!$D$197+(($B$111)-$A69)*'Cálculos'!$D$98)+1400)+'Cálculos'!$D$123)*'Cálculos'!$D$236)+('Cálculos'!$D$204*(1+'Cálculos'!$D$205+$A69*('Cálculos'!$D$290=3)*'Cálculos'!$D$103)+'Cálculos'!$D$206)*('Cálculos'!$D$227+'Cálculos'!$D$124*(1+2.78*('Cálculos'!$D$197+(($B$111)-$A69)*'Cálculos'!$D$98)/(('Cálculos'!$D$197+(($B$111)-$A69)*'Cálculos'!$D$98)+1400)+'Cálculos'!$D$122)*'Cálculos'!$D$232+'Cálculos'!$D$125*(1+2.78*('Cálculos'!$D$197+(($B$111)-$A69)*'Cálculos'!$D$98)/(('Cálculos'!$D$197+(($B$111)-$A69)*'Cálculos'!$D$98)+1400)+'Cálculos'!$D$123)*'Cálculos'!$D$237)+('Cálculos'!$D$185*(1+'Cálculos'!$D$188+$A69*('Cálculos'!$D$290=1)*'Cálculos'!$D$97+'Cálculos'!$D$305)+'Cálculos'!$D$193)*('Cálculos'!$D$239+'Cálculos'!$D$124*(1+2.78*('Cálculos'!$D$198+(($B$111)-$A69)*'Cálculos'!$D$98)/(('Cálculos'!$D$198+(($B$111)-$A69)*'Cálculos'!$D$98)+1400)+'Cálculos'!$D$122)*'Cálculos'!$D$244+'Cálculos'!$D$125*(1+2.78*('Cálculos'!$D$198+(($B$111)-$A69)*'Cálculos'!$D$98)/(('Cálculos'!$D$198+(($B$111)-$A69)*'Cálculos'!$D$98)+1400)+'Cálculos'!$D$123)*'Cálculos'!$D$249)+('Cálculos'!$D$198+(($B$111)-$A69)*'Cálculos'!$D$98)*('Cálculos'!$D$240+'Cálculos'!$D$124*(1+2.78*('Cálculos'!$D$198+(($B$111)-$A69)*'Cálculos'!$D$98)/(('Cálculos'!$D$198+(($B$111)-$A69)*'Cálculos'!$D$98)+1400)+'Cálculos'!$D$122)*'Cálculos'!$D$245+'Cálculos'!$D$125*(1+2.78*('Cálculos'!$D$198+(($B$111)-$A69)*'Cálculos'!$D$98)/(('Cálculos'!$D$198+(($B$111)-$A69)*'Cálculos'!$D$98)+1400)+'Cálculos'!$D$123)*'Cálculos'!$D$250)+('Cálculos'!$D$201*(1+'Cálculos'!$D$202+$A69*('Cálculos'!$D$290=2)*'Cálculos'!$D$101)+'Cálculos'!$D$203)*('Cálculos'!$D$241+'Cálculos'!$D$124*(1+2.78*('Cálculos'!$D$198+(($B$111)-$A69)*'Cálculos'!$D$98)/(('Cálculos'!$D$198+(($B$111)-$A69)*'Cálculos'!$D$98)+1400)+'Cálculos'!$D$122)*'Cálculos'!$D$246+'Cálculos'!$D$125*(1+2.78*('Cálculos'!$D$198+(($B$111)-$A69)*'Cálculos'!$D$98)/(('Cálculos'!$D$198+(($B$111)-$A69)*'Cálculos'!$D$98)+1400)+'Cálculos'!$D$123)*'Cálculos'!$D$251)+('Cálculos'!$D$204*(1+'Cálculos'!$D$205+$A69*('Cálculos'!$D$290=3)*'Cálculos'!$D$103)+'Cálculos'!$D$206)*('Cálculos'!$D$242+'Cálculos'!$D$124*(1+2.78*('Cálculos'!$D$198+(($B$111)-$A69)*'Cálculos'!$D$98)/(('Cálculos'!$D$198+(($B$111)-$A69)*'Cálculos'!$D$98)+1400)+'Cálculos'!$D$122)*'Cálculos'!$D$247+'Cálculos'!$D$125*(1+2.78*('Cálculos'!$D$198+(($B$111)-$A69)*'Cálculos'!$D$98)/(('Cálculos'!$D$198+(($B$111)-$A69)*'Cálculos'!$D$98)+1400)+'Cálculos'!$D$123)*'Cálculos'!$D$252)+('Cálculos'!$D$185*(1+'Cálculos'!$D$189+$A69*('Cálculos'!$D$290=1)*'Cálculos'!$D$97+'Cálculos'!$D$305)+'Cálculos'!$D$194)*('Cálculos'!$D$254+'Cálculos'!$D$124*(1+2.78*('Cálculos'!$D$199+(($B$111)-$A69)*'Cálculos'!$D$98)/(('Cálculos'!$D$199+(($B$111)-$A69)*'Cálculos'!$D$98)+1400)+'Cálculos'!$D$122)*'Cálculos'!$D$259+'Cálculos'!$D$125*(1+2.78*('Cálculos'!$D$199+(($B$111)-$A69)*'Cálculos'!$D$98)/(('Cálculos'!$D$199+(($B$111)-$A69)*'Cálculos'!$D$98)+1400)+'Cálculos'!$D$123)*'Cálculos'!$D$264)+('Cálculos'!$D$199+(($B$111)-$A69)*'Cálculos'!$D$98)*('Cálculos'!$D$255+'Cálculos'!$D$124*(1+2.78*('Cálculos'!$D$199+(($B$111)-$A69)*'Cálculos'!$D$98)/(('Cálculos'!$D$199+(($B$111)-$A69)*'Cálculos'!$D$98)+1400)+'Cálculos'!$D$122)*'Cálculos'!$D$260+'Cálculos'!$D$125*(1+2.78*('Cálculos'!$D$199+(($B$111)-$A69)*'Cálculos'!$D$98)/(('Cálculos'!$D$199+(($B$111)-$A69)*'Cálculos'!$D$98)+1400)+'Cálculos'!$D$123)*'Cálculos'!$D$265)+('Cálculos'!$D$201*(1+'Cálculos'!$D$202+$A69*('Cálculos'!$D$290=2)*'Cálculos'!$D$101)+'Cálculos'!$D$203)*('Cálculos'!$D$256+'Cálculos'!$D$124*(1+2.78*('Cálculos'!$D$199+(($B$111)-$A69)*'Cálculos'!$D$98)/(('Cálculos'!$D$199+(($B$111)-$A69)*'Cálculos'!$D$98)+1400)+'Cálculos'!$D$122)*'Cálculos'!$D$261+'Cálculos'!$D$125*(1+2.78*('Cálculos'!$D$199+(($B$111)-$A69)*'Cálculos'!$D$98)/(('Cálculos'!$D$199+(($B$111)-$A69)*'Cálculos'!$D$98)+1400)+'Cálculos'!$D$123)*'Cálculos'!$D$266)+('Cálculos'!$D$204*(1+'Cálculos'!$D$205+$A69*('Cálculos'!$D$290=3)*'Cálculos'!$D$103)+'Cálculos'!$D$206)*('Cálculos'!$D$257+'Cálculos'!$D$124*(1+2.78*('Cálculos'!$D$199+(($B$111)-$A69)*'Cálculos'!$D$98)/(('Cálculos'!$D$199+(($B$111)-$A69)*'Cálculos'!$D$98)+1400)+'Cálculos'!$D$122)*'Cálculos'!$D$262+'Cálculos'!$D$125*(1+2.78*('Cálculos'!$D$199+(($B$111)-$A69)*'Cálculos'!$D$98)/(('Cálculos'!$D$199+(($B$111)-$A69)*'Cálculos'!$D$98)+1400)+'Cálculos'!$D$123)*'Cálculos'!$D$267)+('Cálculos'!$D$185*(1+'Cálculos'!$D$190+$A69*('Cálculos'!$D$290=1)*'Cálculos'!$D$97+'Cálculos'!$D$305)+'Cálculos'!$D$195)*('Cálculos'!$D$269+'Cálculos'!$D$124*(1+2.78*('Cálculos'!$D$200+(($B$111)-$A69)*'Cálculos'!$D$98)/(('Cálculos'!$D$200+(($B$111)-$A69)*'Cálculos'!$D$98)+1400)+'Cálculos'!$D$122)*'Cálculos'!$D$274+'Cálculos'!$D$125*(1+2.78*('Cálculos'!$D$200+(($B$111)-$A69)*'Cálculos'!$D$98)/(('Cálculos'!$D$200+(($B$111)-$A69)*'Cálculos'!$D$98)+1400)+'Cálculos'!$D$123)*'Cálculos'!$D$279)+('Cálculos'!$D$200+(($B$111)-$A69)*'Cálculos'!$D$98)*('Cálculos'!$D$270+'Cálculos'!$D$124*(1+2.78*('Cálculos'!$D$200+(($B$111)-$A69)*'Cálculos'!$D$98)/(('Cálculos'!$D$200+(($B$111)-$A69)*'Cálculos'!$D$98)+1400)+'Cálculos'!$D$122)*'Cálculos'!$D$275+'Cálculos'!$D$125*(1+2.78*('Cálculos'!$D$200+(($B$111)-$A69)*'Cálculos'!$D$98)/(('Cálculos'!$D$200+(($B$111)-$A69)*'Cálculos'!$D$98)+1400)+'Cálculos'!$D$123)*'Cálculos'!$D$280)+('Cálculos'!$D$201*(1+'Cálculos'!$D$202+$A69*('Cálculos'!$D$290=2)*'Cálculos'!$D$101)+'Cálculos'!$D$203)*('Cálculos'!$D$271+'Cálculos'!$D$124*(1+2.78*('Cálculos'!$D$200+(($B$111)-$A69)*'Cálculos'!$D$98)/(('Cálculos'!$D$200+(($B$111)-$A69)*'Cálculos'!$D$98)+1400)+'Cálculos'!$D$122)*'Cálculos'!$D$276+'Cálculos'!$D$125*(1+2.78*('Cálculos'!$D$200+(($B$111)-$A69)*'Cálculos'!$D$98)/(('Cálculos'!$D$200+(($B$111)-$A69)*'Cálculos'!$D$98)+1400)+'Cálculos'!$D$123)*'Cálculos'!$D$281)+('Cálculos'!$D$204*(1+'Cálculos'!$D$205+$A69*('Cálculos'!$D$290=3)*'Cálculos'!$D$103)+'Cálculos'!$D$206)*('Cálculos'!$D$272+'Cálculos'!$D$124*(1+2.78*('Cálculos'!$D$200+(($B$111)-$A69)*'Cálculos'!$D$98)/(('Cálculos'!$D$200+(($B$111)-$A69)*'Cálculos'!$D$98)+1400)+'Cálculos'!$D$122)*'Cálculos'!$D$277+'Cálculos'!$D$125*(1+2.78*('Cálculos'!$D$200+(($B$111)-$A69)*'Cálculos'!$D$98)/(('Cálculos'!$D$200+(($B$111)-$A69)*'Cálculos'!$D$98)+1400)+'Cálculos'!$D$123)*'Cálculos'!$D$282)))</f>
        <v>0</v>
      </c>
    </row>
    <row r="70" ht="15.75" customHeight="1">
      <c r="A70" s="2">
        <v>7.0</v>
      </c>
      <c r="B70" s="30">
        <f>SUMPRODUCT(MAX(($A$63:$A$108&lt;=$A70)*($A$63:$A$108&lt;='Cálculos'!$D$294)*(($A70)-$A$63:$A$108&lt;='Cálculos'!$D$295)*(1+(('Cálculos'!$D$207+$A$63:$A$108*'Cálculos'!$D$95)-(('Cálculos'!$D$207+$A$63:$A$108*'Cálculos'!$D$95)&gt;1)*(('Cálculos'!$D$207+$A$63:$A$108*'Cálculos'!$D$95)-1))*('Cálculos'!$D$208+(($A70)-$A$63:$A$108)*'Cálculos'!$D$96))))</f>
        <v>1.353033592</v>
      </c>
      <c r="C70" s="2">
        <f>'Cálculos'!$D$303-$A70</f>
        <v>4</v>
      </c>
      <c r="D70" s="31">
        <f>IF($C70&lt;0,0,SUMPRODUCT(MAX(($A$63:$A$108&lt;=$C70)*($A$63:$A$108&lt;='Cálculos'!$D$301)*(($C70)-$A$63:$A$108&lt;='Cálculos'!$D$297)*(('Cálculos'!$D$185*(1+'Cálculos'!$D$186+$A$63:$A$108*('Cálculos'!$D$290=1)*'Cálculos'!$D$97+'Cálculos'!$D$305)+'Cálculos'!$D$191)*('Cálculos'!$D$209+'Cálculos'!$D$124*(1+2.78*('Cálculos'!$D$196+(($C70)-$A$63:$A$108)*'Cálculos'!$D$98)/(('Cálculos'!$D$196+(($C70)-$A$63:$A$108)*'Cálculos'!$D$98)+1400)+'Cálculos'!$D$122)*'Cálculos'!$D$214+'Cálculos'!$D$125*(1+2.78*('Cálculos'!$D$196+(($C70)-$A$63:$A$108)*'Cálculos'!$D$98)/(('Cálculos'!$D$196+(($C70)-$A$63:$A$108)*'Cálculos'!$D$98)+1400)+'Cálculos'!$D$123)*'Cálculos'!$D$219)+('Cálculos'!$D$196+(($C70)-$A$63:$A$108)*'Cálculos'!$D$98)*('Cálculos'!$D$210+'Cálculos'!$D$124*(1+2.78*('Cálculos'!$D$196+(($C70)-$A$63:$A$108)*'Cálculos'!$D$98)/(('Cálculos'!$D$196+(($C70)-$A$63:$A$108)*'Cálculos'!$D$98)+1400)+'Cálculos'!$D$122)*'Cálculos'!$D$215+'Cálculos'!$D$125*(1+2.78*('Cálculos'!$D$196+(($C70)-$A$63:$A$108)*'Cálculos'!$D$98)/(('Cálculos'!$D$196+(($C70)-$A$63:$A$108)*'Cálculos'!$D$98)+1400)+'Cálculos'!$D$123)*'Cálculos'!$D$220)+('Cálculos'!$D$201*(1+'Cálculos'!$D$202+$A$63:$A$108*('Cálculos'!$D$290=2)*'Cálculos'!$D$101)+'Cálculos'!$D$203)*('Cálculos'!$D$211+'Cálculos'!$D$124*(1+2.78*('Cálculos'!$D$196+(($C70)-$A$63:$A$108)*'Cálculos'!$D$98)/(('Cálculos'!$D$196+(($C70)-$A$63:$A$108)*'Cálculos'!$D$98)+1400)+'Cálculos'!$D$122)*'Cálculos'!$D$216+'Cálculos'!$D$125*(1+2.78*('Cálculos'!$D$196+(($C70)-$A$63:$A$108)*'Cálculos'!$D$98)/(('Cálculos'!$D$196+(($C70)-$A$63:$A$108)*'Cálculos'!$D$98)+1400)+'Cálculos'!$D$123)*'Cálculos'!$D$221)+('Cálculos'!$D$204*(1+'Cálculos'!$D$205+$A$63:$A$108*('Cálculos'!$D$290=3)*'Cálculos'!$D$103)+'Cálculos'!$D$206)*('Cálculos'!$D$212+'Cálculos'!$D$124*(1+2.78*('Cálculos'!$D$196+(($C70)-$A$63:$A$108)*'Cálculos'!$D$98)/(('Cálculos'!$D$196+(($C70)-$A$63:$A$108)*'Cálculos'!$D$98)+1400)+'Cálculos'!$D$122)*'Cálculos'!$D$217+'Cálculos'!$D$125*(1+2.78*('Cálculos'!$D$196+(($C70)-$A$63:$A$108)*'Cálculos'!$D$98)/(('Cálculos'!$D$196+(($C70)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70)-$A$63:$A$108)*'Cálculos'!$D$98)/(('Cálculos'!$D$197+(($C70)-$A$63:$A$108)*'Cálculos'!$D$98)+1400)+'Cálculos'!$D$122)*'Cálculos'!$D$229+'Cálculos'!$D$125*(1+2.78*('Cálculos'!$D$197+(($C70)-$A$63:$A$108)*'Cálculos'!$D$98)/(('Cálculos'!$D$197+(($C70)-$A$63:$A$108)*'Cálculos'!$D$98)+1400)+'Cálculos'!$D$123)*'Cálculos'!$D$234)+('Cálculos'!$D$197+(($C70)-$A$63:$A$108)*'Cálculos'!$D$98)*('Cálculos'!$D$225+'Cálculos'!$D$124*(1+2.78*('Cálculos'!$D$197+(($C70)-$A$63:$A$108)*'Cálculos'!$D$98)/(('Cálculos'!$D$197+(($C70)-$A$63:$A$108)*'Cálculos'!$D$98)+1400)+'Cálculos'!$D$122)*'Cálculos'!$D$230+'Cálculos'!$D$125*(1+2.78*('Cálculos'!$D$197+(($C70)-$A$63:$A$108)*'Cálculos'!$D$98)/(('Cálculos'!$D$197+(($C70)-$A$63:$A$108)*'Cálculos'!$D$98)+1400)+'Cálculos'!$D$123)*'Cálculos'!$D$235)+('Cálculos'!$D$201*(1+'Cálculos'!$D$202+$A$63:$A$108*('Cálculos'!$D$290=2)*'Cálculos'!$D$101)+'Cálculos'!$D$203)*('Cálculos'!$D$226+'Cálculos'!$D$124*(1+2.78*('Cálculos'!$D$197+(($C70)-$A$63:$A$108)*'Cálculos'!$D$98)/(('Cálculos'!$D$197+(($C70)-$A$63:$A$108)*'Cálculos'!$D$98)+1400)+'Cálculos'!$D$122)*'Cálculos'!$D$231+'Cálculos'!$D$125*(1+2.78*('Cálculos'!$D$197+(($C70)-$A$63:$A$108)*'Cálculos'!$D$98)/(('Cálculos'!$D$197+(($C70)-$A$63:$A$108)*'Cálculos'!$D$98)+1400)+'Cálculos'!$D$123)*'Cálculos'!$D$236)+('Cálculos'!$D$204*(1+'Cálculos'!$D$205+$A$63:$A$108*('Cálculos'!$D$290=3)*'Cálculos'!$D$103)+'Cálculos'!$D$206)*('Cálculos'!$D$227+'Cálculos'!$D$124*(1+2.78*('Cálculos'!$D$197+(($C70)-$A$63:$A$108)*'Cálculos'!$D$98)/(('Cálculos'!$D$197+(($C70)-$A$63:$A$108)*'Cálculos'!$D$98)+1400)+'Cálculos'!$D$122)*'Cálculos'!$D$232+'Cálculos'!$D$125*(1+2.78*('Cálculos'!$D$197+(($C70)-$A$63:$A$108)*'Cálculos'!$D$98)/(('Cálculos'!$D$197+(($C70)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70)-$A$63:$A$108)*'Cálculos'!$D$98)/(('Cálculos'!$D$198+(($C70)-$A$63:$A$108)*'Cálculos'!$D$98)+1400)+'Cálculos'!$D$122)*'Cálculos'!$D$244+'Cálculos'!$D$125*(1+2.78*('Cálculos'!$D$198+(($C70)-$A$63:$A$108)*'Cálculos'!$D$98)/(('Cálculos'!$D$198+(($C70)-$A$63:$A$108)*'Cálculos'!$D$98)+1400)+'Cálculos'!$D$123)*'Cálculos'!$D$249)+('Cálculos'!$D$198+(($C70)-$A$63:$A$108)*'Cálculos'!$D$98)*('Cálculos'!$D$240+'Cálculos'!$D$124*(1+2.78*('Cálculos'!$D$198+(($C70)-$A$63:$A$108)*'Cálculos'!$D$98)/(('Cálculos'!$D$198+(($C70)-$A$63:$A$108)*'Cálculos'!$D$98)+1400)+'Cálculos'!$D$122)*'Cálculos'!$D$245+'Cálculos'!$D$125*(1+2.78*('Cálculos'!$D$198+(($C70)-$A$63:$A$108)*'Cálculos'!$D$98)/(('Cálculos'!$D$198+(($C70)-$A$63:$A$108)*'Cálculos'!$D$98)+1400)+'Cálculos'!$D$123)*'Cálculos'!$D$250)+('Cálculos'!$D$201*(1+'Cálculos'!$D$202+$A$63:$A$108*('Cálculos'!$D$290=2)*'Cálculos'!$D$101)+'Cálculos'!$D$203)*('Cálculos'!$D$241+'Cálculos'!$D$124*(1+2.78*('Cálculos'!$D$198+(($C70)-$A$63:$A$108)*'Cálculos'!$D$98)/(('Cálculos'!$D$198+(($C70)-$A$63:$A$108)*'Cálculos'!$D$98)+1400)+'Cálculos'!$D$122)*'Cálculos'!$D$246+'Cálculos'!$D$125*(1+2.78*('Cálculos'!$D$198+(($C70)-$A$63:$A$108)*'Cálculos'!$D$98)/(('Cálculos'!$D$198+(($C70)-$A$63:$A$108)*'Cálculos'!$D$98)+1400)+'Cálculos'!$D$123)*'Cálculos'!$D$251)+('Cálculos'!$D$204*(1+'Cálculos'!$D$205+$A$63:$A$108*('Cálculos'!$D$290=3)*'Cálculos'!$D$103)+'Cálculos'!$D$206)*('Cálculos'!$D$242+'Cálculos'!$D$124*(1+2.78*('Cálculos'!$D$198+(($C70)-$A$63:$A$108)*'Cálculos'!$D$98)/(('Cálculos'!$D$198+(($C70)-$A$63:$A$108)*'Cálculos'!$D$98)+1400)+'Cálculos'!$D$122)*'Cálculos'!$D$247+'Cálculos'!$D$125*(1+2.78*('Cálculos'!$D$198+(($C70)-$A$63:$A$108)*'Cálculos'!$D$98)/(('Cálculos'!$D$198+(($C70)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70)-$A$63:$A$108)*'Cálculos'!$D$98)/(('Cálculos'!$D$199+(($C70)-$A$63:$A$108)*'Cálculos'!$D$98)+1400)+'Cálculos'!$D$122)*'Cálculos'!$D$259+'Cálculos'!$D$125*(1+2.78*('Cálculos'!$D$199+(($C70)-$A$63:$A$108)*'Cálculos'!$D$98)/(('Cálculos'!$D$199+(($C70)-$A$63:$A$108)*'Cálculos'!$D$98)+1400)+'Cálculos'!$D$123)*'Cálculos'!$D$264)+('Cálculos'!$D$199+(($C70)-$A$63:$A$108)*'Cálculos'!$D$98)*('Cálculos'!$D$255+'Cálculos'!$D$124*(1+2.78*('Cálculos'!$D$199+(($C70)-$A$63:$A$108)*'Cálculos'!$D$98)/(('Cálculos'!$D$199+(($C70)-$A$63:$A$108)*'Cálculos'!$D$98)+1400)+'Cálculos'!$D$122)*'Cálculos'!$D$260+'Cálculos'!$D$125*(1+2.78*('Cálculos'!$D$199+(($C70)-$A$63:$A$108)*'Cálculos'!$D$98)/(('Cálculos'!$D$199+(($C70)-$A$63:$A$108)*'Cálculos'!$D$98)+1400)+'Cálculos'!$D$123)*'Cálculos'!$D$265)+('Cálculos'!$D$201*(1+'Cálculos'!$D$202+$A$63:$A$108*('Cálculos'!$D$290=2)*'Cálculos'!$D$101)+'Cálculos'!$D$203)*('Cálculos'!$D$256+'Cálculos'!$D$124*(1+2.78*('Cálculos'!$D$199+(($C70)-$A$63:$A$108)*'Cálculos'!$D$98)/(('Cálculos'!$D$199+(($C70)-$A$63:$A$108)*'Cálculos'!$D$98)+1400)+'Cálculos'!$D$122)*'Cálculos'!$D$261+'Cálculos'!$D$125*(1+2.78*('Cálculos'!$D$199+(($C70)-$A$63:$A$108)*'Cálculos'!$D$98)/(('Cálculos'!$D$199+(($C70)-$A$63:$A$108)*'Cálculos'!$D$98)+1400)+'Cálculos'!$D$123)*'Cálculos'!$D$266)+('Cálculos'!$D$204*(1+'Cálculos'!$D$205+$A$63:$A$108*('Cálculos'!$D$290=3)*'Cálculos'!$D$103)+'Cálculos'!$D$206)*('Cálculos'!$D$257+'Cálculos'!$D$124*(1+2.78*('Cálculos'!$D$199+(($C70)-$A$63:$A$108)*'Cálculos'!$D$98)/(('Cálculos'!$D$199+(($C70)-$A$63:$A$108)*'Cálculos'!$D$98)+1400)+'Cálculos'!$D$122)*'Cálculos'!$D$262+'Cálculos'!$D$125*(1+2.78*('Cálculos'!$D$199+(($C70)-$A$63:$A$108)*'Cálculos'!$D$98)/(('Cálculos'!$D$199+(($C70)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70)-$A$63:$A$108)*'Cálculos'!$D$98)/(('Cálculos'!$D$200+(($C70)-$A$63:$A$108)*'Cálculos'!$D$98)+1400)+'Cálculos'!$D$122)*'Cálculos'!$D$274+'Cálculos'!$D$125*(1+2.78*('Cálculos'!$D$200+(($C70)-$A$63:$A$108)*'Cálculos'!$D$98)/(('Cálculos'!$D$200+(($C70)-$A$63:$A$108)*'Cálculos'!$D$98)+1400)+'Cálculos'!$D$123)*'Cálculos'!$D$279)+('Cálculos'!$D$200+(($C70)-$A$63:$A$108)*'Cálculos'!$D$98)*('Cálculos'!$D$270+'Cálculos'!$D$124*(1+2.78*('Cálculos'!$D$200+(($C70)-$A$63:$A$108)*'Cálculos'!$D$98)/(('Cálculos'!$D$200+(($C70)-$A$63:$A$108)*'Cálculos'!$D$98)+1400)+'Cálculos'!$D$122)*'Cálculos'!$D$275+'Cálculos'!$D$125*(1+2.78*('Cálculos'!$D$200+(($C70)-$A$63:$A$108)*'Cálculos'!$D$98)/(('Cálculos'!$D$200+(($C70)-$A$63:$A$108)*'Cálculos'!$D$98)+1400)+'Cálculos'!$D$123)*'Cálculos'!$D$280)+('Cálculos'!$D$201*(1+'Cálculos'!$D$202+$A$63:$A$108*('Cálculos'!$D$290=2)*'Cálculos'!$D$101)+'Cálculos'!$D$203)*('Cálculos'!$D$271+'Cálculos'!$D$124*(1+2.78*('Cálculos'!$D$200+(($C70)-$A$63:$A$108)*'Cálculos'!$D$98)/(('Cálculos'!$D$200+(($C70)-$A$63:$A$108)*'Cálculos'!$D$98)+1400)+'Cálculos'!$D$122)*'Cálculos'!$D$276+'Cálculos'!$D$125*(1+2.78*('Cálculos'!$D$200+(($C70)-$A$63:$A$108)*'Cálculos'!$D$98)/(('Cálculos'!$D$200+(($C70)-$A$63:$A$108)*'Cálculos'!$D$98)+1400)+'Cálculos'!$D$123)*'Cálculos'!$D$281)+('Cálculos'!$D$204*(1+'Cálculos'!$D$205+$A$63:$A$108*('Cálculos'!$D$290=3)*'Cálculos'!$D$103)+'Cálculos'!$D$206)*('Cálculos'!$D$272+'Cálculos'!$D$124*(1+2.78*('Cálculos'!$D$200+(($C70)-$A$63:$A$108)*'Cálculos'!$D$98)/(('Cálculos'!$D$200+(($C70)-$A$63:$A$108)*'Cálculos'!$D$98)+1400)+'Cálculos'!$D$122)*'Cálculos'!$D$277+'Cálculos'!$D$125*(1+2.78*('Cálculos'!$D$200+(($C70)-$A$63:$A$108)*'Cálculos'!$D$98)/(('Cálculos'!$D$200+(($C70)-$A$63:$A$108)*'Cálculos'!$D$98)+1400)+'Cálculos'!$D$123)*'Cálculos'!$D$282)))))</f>
        <v>74648.13234</v>
      </c>
      <c r="E70" s="32">
        <f>IF(OR($C70&lt;0,'Cálculos'!$D$6=""),0,$B70*$D70)</f>
        <v>101001.4307</v>
      </c>
      <c r="F70" s="2"/>
      <c r="G70" s="30">
        <f>($A70&lt;=$B$110)*($A70&lt;='Cálculos'!$D$294)*(($B$110)-$A70&lt;='Cálculos'!$D$295)*(1+MIN(('Cálculos'!$D$207+$A70*'Cálculos'!$D$95),1)*('Cálculos'!$D$208+(($B$110)-$A70)*'Cálculos'!$D$96))</f>
        <v>1.446741798</v>
      </c>
      <c r="H70" s="31">
        <f>IF($B$111&lt;0,0,($A70&lt;=$B$111)*($A70&lt;='Cálculos'!$D$301)*(($B$111)-$A70&lt;='Cálculos'!$D$297)*(('Cálculos'!$D$185*(1+'Cálculos'!$D$186+$A70*('Cálculos'!$D$290=1)*'Cálculos'!$D$97+'Cálculos'!$D$305)+'Cálculos'!$D$191)*('Cálculos'!$D$209+'Cálculos'!$D$124*(1+2.78*('Cálculos'!$D$196+(($B$111)-$A70)*'Cálculos'!$D$98)/(('Cálculos'!$D$196+(($B$111)-$A70)*'Cálculos'!$D$98)+1400)+'Cálculos'!$D$122)*'Cálculos'!$D$214+'Cálculos'!$D$125*(1+2.78*('Cálculos'!$D$196+(($B$111)-$A70)*'Cálculos'!$D$98)/(('Cálculos'!$D$196+(($B$111)-$A70)*'Cálculos'!$D$98)+1400)+'Cálculos'!$D$123)*'Cálculos'!$D$219)+('Cálculos'!$D$196+(($B$111)-$A70)*'Cálculos'!$D$98)*('Cálculos'!$D$210+'Cálculos'!$D$124*(1+2.78*('Cálculos'!$D$196+(($B$111)-$A70)*'Cálculos'!$D$98)/(('Cálculos'!$D$196+(($B$111)-$A70)*'Cálculos'!$D$98)+1400)+'Cálculos'!$D$122)*'Cálculos'!$D$215+'Cálculos'!$D$125*(1+2.78*('Cálculos'!$D$196+(($B$111)-$A70)*'Cálculos'!$D$98)/(('Cálculos'!$D$196+(($B$111)-$A70)*'Cálculos'!$D$98)+1400)+'Cálculos'!$D$123)*'Cálculos'!$D$220)+('Cálculos'!$D$201*(1+'Cálculos'!$D$202+$A70*('Cálculos'!$D$290=2)*'Cálculos'!$D$101)+'Cálculos'!$D$203)*('Cálculos'!$D$211+'Cálculos'!$D$124*(1+2.78*('Cálculos'!$D$196+(($B$111)-$A70)*'Cálculos'!$D$98)/(('Cálculos'!$D$196+(($B$111)-$A70)*'Cálculos'!$D$98)+1400)+'Cálculos'!$D$122)*'Cálculos'!$D$216+'Cálculos'!$D$125*(1+2.78*('Cálculos'!$D$196+(($B$111)-$A70)*'Cálculos'!$D$98)/(('Cálculos'!$D$196+(($B$111)-$A70)*'Cálculos'!$D$98)+1400)+'Cálculos'!$D$123)*'Cálculos'!$D$221)+('Cálculos'!$D$204*(1+'Cálculos'!$D$205+$A70*('Cálculos'!$D$290=3)*'Cálculos'!$D$103)+'Cálculos'!$D$206)*('Cálculos'!$D$212+'Cálculos'!$D$124*(1+2.78*('Cálculos'!$D$196+(($B$111)-$A70)*'Cálculos'!$D$98)/(('Cálculos'!$D$196+(($B$111)-$A70)*'Cálculos'!$D$98)+1400)+'Cálculos'!$D$122)*'Cálculos'!$D$217+'Cálculos'!$D$125*(1+2.78*('Cálculos'!$D$196+(($B$111)-$A70)*'Cálculos'!$D$98)/(('Cálculos'!$D$196+(($B$111)-$A70)*'Cálculos'!$D$98)+1400)+'Cálculos'!$D$123)*'Cálculos'!$D$222)+('Cálculos'!$D$185*(1+'Cálculos'!$D$187+$A70*('Cálculos'!$D$290=1)*'Cálculos'!$D$97+'Cálculos'!$D$305)+'Cálculos'!$D$192)*('Cálculos'!$D$224+'Cálculos'!$D$124*(1+2.78*('Cálculos'!$D$197+(($B$111)-$A70)*'Cálculos'!$D$98)/(('Cálculos'!$D$197+(($B$111)-$A70)*'Cálculos'!$D$98)+1400)+'Cálculos'!$D$122)*'Cálculos'!$D$229+'Cálculos'!$D$125*(1+2.78*('Cálculos'!$D$197+(($B$111)-$A70)*'Cálculos'!$D$98)/(('Cálculos'!$D$197+(($B$111)-$A70)*'Cálculos'!$D$98)+1400)+'Cálculos'!$D$123)*'Cálculos'!$D$234)+('Cálculos'!$D$197+(($B$111)-$A70)*'Cálculos'!$D$98)*('Cálculos'!$D$225+'Cálculos'!$D$124*(1+2.78*('Cálculos'!$D$197+(($B$111)-$A70)*'Cálculos'!$D$98)/(('Cálculos'!$D$197+(($B$111)-$A70)*'Cálculos'!$D$98)+1400)+'Cálculos'!$D$122)*'Cálculos'!$D$230+'Cálculos'!$D$125*(1+2.78*('Cálculos'!$D$197+(($B$111)-$A70)*'Cálculos'!$D$98)/(('Cálculos'!$D$197+(($B$111)-$A70)*'Cálculos'!$D$98)+1400)+'Cálculos'!$D$123)*'Cálculos'!$D$235)+('Cálculos'!$D$201*(1+'Cálculos'!$D$202+$A70*('Cálculos'!$D$290=2)*'Cálculos'!$D$101)+'Cálculos'!$D$203)*('Cálculos'!$D$226+'Cálculos'!$D$124*(1+2.78*('Cálculos'!$D$197+(($B$111)-$A70)*'Cálculos'!$D$98)/(('Cálculos'!$D$197+(($B$111)-$A70)*'Cálculos'!$D$98)+1400)+'Cálculos'!$D$122)*'Cálculos'!$D$231+'Cálculos'!$D$125*(1+2.78*('Cálculos'!$D$197+(($B$111)-$A70)*'Cálculos'!$D$98)/(('Cálculos'!$D$197+(($B$111)-$A70)*'Cálculos'!$D$98)+1400)+'Cálculos'!$D$123)*'Cálculos'!$D$236)+('Cálculos'!$D$204*(1+'Cálculos'!$D$205+$A70*('Cálculos'!$D$290=3)*'Cálculos'!$D$103)+'Cálculos'!$D$206)*('Cálculos'!$D$227+'Cálculos'!$D$124*(1+2.78*('Cálculos'!$D$197+(($B$111)-$A70)*'Cálculos'!$D$98)/(('Cálculos'!$D$197+(($B$111)-$A70)*'Cálculos'!$D$98)+1400)+'Cálculos'!$D$122)*'Cálculos'!$D$232+'Cálculos'!$D$125*(1+2.78*('Cálculos'!$D$197+(($B$111)-$A70)*'Cálculos'!$D$98)/(('Cálculos'!$D$197+(($B$111)-$A70)*'Cálculos'!$D$98)+1400)+'Cálculos'!$D$123)*'Cálculos'!$D$237)+('Cálculos'!$D$185*(1+'Cálculos'!$D$188+$A70*('Cálculos'!$D$290=1)*'Cálculos'!$D$97+'Cálculos'!$D$305)+'Cálculos'!$D$193)*('Cálculos'!$D$239+'Cálculos'!$D$124*(1+2.78*('Cálculos'!$D$198+(($B$111)-$A70)*'Cálculos'!$D$98)/(('Cálculos'!$D$198+(($B$111)-$A70)*'Cálculos'!$D$98)+1400)+'Cálculos'!$D$122)*'Cálculos'!$D$244+'Cálculos'!$D$125*(1+2.78*('Cálculos'!$D$198+(($B$111)-$A70)*'Cálculos'!$D$98)/(('Cálculos'!$D$198+(($B$111)-$A70)*'Cálculos'!$D$98)+1400)+'Cálculos'!$D$123)*'Cálculos'!$D$249)+('Cálculos'!$D$198+(($B$111)-$A70)*'Cálculos'!$D$98)*('Cálculos'!$D$240+'Cálculos'!$D$124*(1+2.78*('Cálculos'!$D$198+(($B$111)-$A70)*'Cálculos'!$D$98)/(('Cálculos'!$D$198+(($B$111)-$A70)*'Cálculos'!$D$98)+1400)+'Cálculos'!$D$122)*'Cálculos'!$D$245+'Cálculos'!$D$125*(1+2.78*('Cálculos'!$D$198+(($B$111)-$A70)*'Cálculos'!$D$98)/(('Cálculos'!$D$198+(($B$111)-$A70)*'Cálculos'!$D$98)+1400)+'Cálculos'!$D$123)*'Cálculos'!$D$250)+('Cálculos'!$D$201*(1+'Cálculos'!$D$202+$A70*('Cálculos'!$D$290=2)*'Cálculos'!$D$101)+'Cálculos'!$D$203)*('Cálculos'!$D$241+'Cálculos'!$D$124*(1+2.78*('Cálculos'!$D$198+(($B$111)-$A70)*'Cálculos'!$D$98)/(('Cálculos'!$D$198+(($B$111)-$A70)*'Cálculos'!$D$98)+1400)+'Cálculos'!$D$122)*'Cálculos'!$D$246+'Cálculos'!$D$125*(1+2.78*('Cálculos'!$D$198+(($B$111)-$A70)*'Cálculos'!$D$98)/(('Cálculos'!$D$198+(($B$111)-$A70)*'Cálculos'!$D$98)+1400)+'Cálculos'!$D$123)*'Cálculos'!$D$251)+('Cálculos'!$D$204*(1+'Cálculos'!$D$205+$A70*('Cálculos'!$D$290=3)*'Cálculos'!$D$103)+'Cálculos'!$D$206)*('Cálculos'!$D$242+'Cálculos'!$D$124*(1+2.78*('Cálculos'!$D$198+(($B$111)-$A70)*'Cálculos'!$D$98)/(('Cálculos'!$D$198+(($B$111)-$A70)*'Cálculos'!$D$98)+1400)+'Cálculos'!$D$122)*'Cálculos'!$D$247+'Cálculos'!$D$125*(1+2.78*('Cálculos'!$D$198+(($B$111)-$A70)*'Cálculos'!$D$98)/(('Cálculos'!$D$198+(($B$111)-$A70)*'Cálculos'!$D$98)+1400)+'Cálculos'!$D$123)*'Cálculos'!$D$252)+('Cálculos'!$D$185*(1+'Cálculos'!$D$189+$A70*('Cálculos'!$D$290=1)*'Cálculos'!$D$97+'Cálculos'!$D$305)+'Cálculos'!$D$194)*('Cálculos'!$D$254+'Cálculos'!$D$124*(1+2.78*('Cálculos'!$D$199+(($B$111)-$A70)*'Cálculos'!$D$98)/(('Cálculos'!$D$199+(($B$111)-$A70)*'Cálculos'!$D$98)+1400)+'Cálculos'!$D$122)*'Cálculos'!$D$259+'Cálculos'!$D$125*(1+2.78*('Cálculos'!$D$199+(($B$111)-$A70)*'Cálculos'!$D$98)/(('Cálculos'!$D$199+(($B$111)-$A70)*'Cálculos'!$D$98)+1400)+'Cálculos'!$D$123)*'Cálculos'!$D$264)+('Cálculos'!$D$199+(($B$111)-$A70)*'Cálculos'!$D$98)*('Cálculos'!$D$255+'Cálculos'!$D$124*(1+2.78*('Cálculos'!$D$199+(($B$111)-$A70)*'Cálculos'!$D$98)/(('Cálculos'!$D$199+(($B$111)-$A70)*'Cálculos'!$D$98)+1400)+'Cálculos'!$D$122)*'Cálculos'!$D$260+'Cálculos'!$D$125*(1+2.78*('Cálculos'!$D$199+(($B$111)-$A70)*'Cálculos'!$D$98)/(('Cálculos'!$D$199+(($B$111)-$A70)*'Cálculos'!$D$98)+1400)+'Cálculos'!$D$123)*'Cálculos'!$D$265)+('Cálculos'!$D$201*(1+'Cálculos'!$D$202+$A70*('Cálculos'!$D$290=2)*'Cálculos'!$D$101)+'Cálculos'!$D$203)*('Cálculos'!$D$256+'Cálculos'!$D$124*(1+2.78*('Cálculos'!$D$199+(($B$111)-$A70)*'Cálculos'!$D$98)/(('Cálculos'!$D$199+(($B$111)-$A70)*'Cálculos'!$D$98)+1400)+'Cálculos'!$D$122)*'Cálculos'!$D$261+'Cálculos'!$D$125*(1+2.78*('Cálculos'!$D$199+(($B$111)-$A70)*'Cálculos'!$D$98)/(('Cálculos'!$D$199+(($B$111)-$A70)*'Cálculos'!$D$98)+1400)+'Cálculos'!$D$123)*'Cálculos'!$D$266)+('Cálculos'!$D$204*(1+'Cálculos'!$D$205+$A70*('Cálculos'!$D$290=3)*'Cálculos'!$D$103)+'Cálculos'!$D$206)*('Cálculos'!$D$257+'Cálculos'!$D$124*(1+2.78*('Cálculos'!$D$199+(($B$111)-$A70)*'Cálculos'!$D$98)/(('Cálculos'!$D$199+(($B$111)-$A70)*'Cálculos'!$D$98)+1400)+'Cálculos'!$D$122)*'Cálculos'!$D$262+'Cálculos'!$D$125*(1+2.78*('Cálculos'!$D$199+(($B$111)-$A70)*'Cálculos'!$D$98)/(('Cálculos'!$D$199+(($B$111)-$A70)*'Cálculos'!$D$98)+1400)+'Cálculos'!$D$123)*'Cálculos'!$D$267)+('Cálculos'!$D$185*(1+'Cálculos'!$D$190+$A70*('Cálculos'!$D$290=1)*'Cálculos'!$D$97+'Cálculos'!$D$305)+'Cálculos'!$D$195)*('Cálculos'!$D$269+'Cálculos'!$D$124*(1+2.78*('Cálculos'!$D$200+(($B$111)-$A70)*'Cálculos'!$D$98)/(('Cálculos'!$D$200+(($B$111)-$A70)*'Cálculos'!$D$98)+1400)+'Cálculos'!$D$122)*'Cálculos'!$D$274+'Cálculos'!$D$125*(1+2.78*('Cálculos'!$D$200+(($B$111)-$A70)*'Cálculos'!$D$98)/(('Cálculos'!$D$200+(($B$111)-$A70)*'Cálculos'!$D$98)+1400)+'Cálculos'!$D$123)*'Cálculos'!$D$279)+('Cálculos'!$D$200+(($B$111)-$A70)*'Cálculos'!$D$98)*('Cálculos'!$D$270+'Cálculos'!$D$124*(1+2.78*('Cálculos'!$D$200+(($B$111)-$A70)*'Cálculos'!$D$98)/(('Cálculos'!$D$200+(($B$111)-$A70)*'Cálculos'!$D$98)+1400)+'Cálculos'!$D$122)*'Cálculos'!$D$275+'Cálculos'!$D$125*(1+2.78*('Cálculos'!$D$200+(($B$111)-$A70)*'Cálculos'!$D$98)/(('Cálculos'!$D$200+(($B$111)-$A70)*'Cálculos'!$D$98)+1400)+'Cálculos'!$D$123)*'Cálculos'!$D$280)+('Cálculos'!$D$201*(1+'Cálculos'!$D$202+$A70*('Cálculos'!$D$290=2)*'Cálculos'!$D$101)+'Cálculos'!$D$203)*('Cálculos'!$D$271+'Cálculos'!$D$124*(1+2.78*('Cálculos'!$D$200+(($B$111)-$A70)*'Cálculos'!$D$98)/(('Cálculos'!$D$200+(($B$111)-$A70)*'Cálculos'!$D$98)+1400)+'Cálculos'!$D$122)*'Cálculos'!$D$276+'Cálculos'!$D$125*(1+2.78*('Cálculos'!$D$200+(($B$111)-$A70)*'Cálculos'!$D$98)/(('Cálculos'!$D$200+(($B$111)-$A70)*'Cálculos'!$D$98)+1400)+'Cálculos'!$D$123)*'Cálculos'!$D$281)+('Cálculos'!$D$204*(1+'Cálculos'!$D$205+$A70*('Cálculos'!$D$290=3)*'Cálculos'!$D$103)+'Cálculos'!$D$206)*('Cálculos'!$D$272+'Cálculos'!$D$124*(1+2.78*('Cálculos'!$D$200+(($B$111)-$A70)*'Cálculos'!$D$98)/(('Cálculos'!$D$200+(($B$111)-$A70)*'Cálculos'!$D$98)+1400)+'Cálculos'!$D$122)*'Cálculos'!$D$277+'Cálculos'!$D$125*(1+2.78*('Cálculos'!$D$200+(($B$111)-$A70)*'Cálculos'!$D$98)/(('Cálculos'!$D$200+(($B$111)-$A70)*'Cálculos'!$D$98)+1400)+'Cálculos'!$D$123)*'Cálculos'!$D$282)))</f>
        <v>0</v>
      </c>
    </row>
    <row r="71" ht="15.75" customHeight="1">
      <c r="A71" s="2">
        <v>8.0</v>
      </c>
      <c r="B71" s="30">
        <f>SUMPRODUCT(MAX(($A$63:$A$108&lt;=$A71)*($A$63:$A$108&lt;='Cálculos'!$D$294)*(($A71)-$A$63:$A$108&lt;='Cálculos'!$D$295)*(1+(('Cálculos'!$D$207+$A$63:$A$108*'Cálculos'!$D$95)-(('Cálculos'!$D$207+$A$63:$A$108*'Cálculos'!$D$95)&gt;1)*(('Cálculos'!$D$207+$A$63:$A$108*'Cálculos'!$D$95)-1))*('Cálculos'!$D$208+(($A71)-$A$63:$A$108)*'Cálculos'!$D$96))))</f>
        <v>1.376703606</v>
      </c>
      <c r="C71" s="2">
        <f>'Cálculos'!$D$303-$A71</f>
        <v>3</v>
      </c>
      <c r="D71" s="31">
        <f>IF($C71&lt;0,0,SUMPRODUCT(MAX(($A$63:$A$108&lt;=$C71)*($A$63:$A$108&lt;='Cálculos'!$D$301)*(($C71)-$A$63:$A$108&lt;='Cálculos'!$D$297)*(('Cálculos'!$D$185*(1+'Cálculos'!$D$186+$A$63:$A$108*('Cálculos'!$D$290=1)*'Cálculos'!$D$97+'Cálculos'!$D$305)+'Cálculos'!$D$191)*('Cálculos'!$D$209+'Cálculos'!$D$124*(1+2.78*('Cálculos'!$D$196+(($C71)-$A$63:$A$108)*'Cálculos'!$D$98)/(('Cálculos'!$D$196+(($C71)-$A$63:$A$108)*'Cálculos'!$D$98)+1400)+'Cálculos'!$D$122)*'Cálculos'!$D$214+'Cálculos'!$D$125*(1+2.78*('Cálculos'!$D$196+(($C71)-$A$63:$A$108)*'Cálculos'!$D$98)/(('Cálculos'!$D$196+(($C71)-$A$63:$A$108)*'Cálculos'!$D$98)+1400)+'Cálculos'!$D$123)*'Cálculos'!$D$219)+('Cálculos'!$D$196+(($C71)-$A$63:$A$108)*'Cálculos'!$D$98)*('Cálculos'!$D$210+'Cálculos'!$D$124*(1+2.78*('Cálculos'!$D$196+(($C71)-$A$63:$A$108)*'Cálculos'!$D$98)/(('Cálculos'!$D$196+(($C71)-$A$63:$A$108)*'Cálculos'!$D$98)+1400)+'Cálculos'!$D$122)*'Cálculos'!$D$215+'Cálculos'!$D$125*(1+2.78*('Cálculos'!$D$196+(($C71)-$A$63:$A$108)*'Cálculos'!$D$98)/(('Cálculos'!$D$196+(($C71)-$A$63:$A$108)*'Cálculos'!$D$98)+1400)+'Cálculos'!$D$123)*'Cálculos'!$D$220)+('Cálculos'!$D$201*(1+'Cálculos'!$D$202+$A$63:$A$108*('Cálculos'!$D$290=2)*'Cálculos'!$D$101)+'Cálculos'!$D$203)*('Cálculos'!$D$211+'Cálculos'!$D$124*(1+2.78*('Cálculos'!$D$196+(($C71)-$A$63:$A$108)*'Cálculos'!$D$98)/(('Cálculos'!$D$196+(($C71)-$A$63:$A$108)*'Cálculos'!$D$98)+1400)+'Cálculos'!$D$122)*'Cálculos'!$D$216+'Cálculos'!$D$125*(1+2.78*('Cálculos'!$D$196+(($C71)-$A$63:$A$108)*'Cálculos'!$D$98)/(('Cálculos'!$D$196+(($C71)-$A$63:$A$108)*'Cálculos'!$D$98)+1400)+'Cálculos'!$D$123)*'Cálculos'!$D$221)+('Cálculos'!$D$204*(1+'Cálculos'!$D$205+$A$63:$A$108*('Cálculos'!$D$290=3)*'Cálculos'!$D$103)+'Cálculos'!$D$206)*('Cálculos'!$D$212+'Cálculos'!$D$124*(1+2.78*('Cálculos'!$D$196+(($C71)-$A$63:$A$108)*'Cálculos'!$D$98)/(('Cálculos'!$D$196+(($C71)-$A$63:$A$108)*'Cálculos'!$D$98)+1400)+'Cálculos'!$D$122)*'Cálculos'!$D$217+'Cálculos'!$D$125*(1+2.78*('Cálculos'!$D$196+(($C71)-$A$63:$A$108)*'Cálculos'!$D$98)/(('Cálculos'!$D$196+(($C71)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71)-$A$63:$A$108)*'Cálculos'!$D$98)/(('Cálculos'!$D$197+(($C71)-$A$63:$A$108)*'Cálculos'!$D$98)+1400)+'Cálculos'!$D$122)*'Cálculos'!$D$229+'Cálculos'!$D$125*(1+2.78*('Cálculos'!$D$197+(($C71)-$A$63:$A$108)*'Cálculos'!$D$98)/(('Cálculos'!$D$197+(($C71)-$A$63:$A$108)*'Cálculos'!$D$98)+1400)+'Cálculos'!$D$123)*'Cálculos'!$D$234)+('Cálculos'!$D$197+(($C71)-$A$63:$A$108)*'Cálculos'!$D$98)*('Cálculos'!$D$225+'Cálculos'!$D$124*(1+2.78*('Cálculos'!$D$197+(($C71)-$A$63:$A$108)*'Cálculos'!$D$98)/(('Cálculos'!$D$197+(($C71)-$A$63:$A$108)*'Cálculos'!$D$98)+1400)+'Cálculos'!$D$122)*'Cálculos'!$D$230+'Cálculos'!$D$125*(1+2.78*('Cálculos'!$D$197+(($C71)-$A$63:$A$108)*'Cálculos'!$D$98)/(('Cálculos'!$D$197+(($C71)-$A$63:$A$108)*'Cálculos'!$D$98)+1400)+'Cálculos'!$D$123)*'Cálculos'!$D$235)+('Cálculos'!$D$201*(1+'Cálculos'!$D$202+$A$63:$A$108*('Cálculos'!$D$290=2)*'Cálculos'!$D$101)+'Cálculos'!$D$203)*('Cálculos'!$D$226+'Cálculos'!$D$124*(1+2.78*('Cálculos'!$D$197+(($C71)-$A$63:$A$108)*'Cálculos'!$D$98)/(('Cálculos'!$D$197+(($C71)-$A$63:$A$108)*'Cálculos'!$D$98)+1400)+'Cálculos'!$D$122)*'Cálculos'!$D$231+'Cálculos'!$D$125*(1+2.78*('Cálculos'!$D$197+(($C71)-$A$63:$A$108)*'Cálculos'!$D$98)/(('Cálculos'!$D$197+(($C71)-$A$63:$A$108)*'Cálculos'!$D$98)+1400)+'Cálculos'!$D$123)*'Cálculos'!$D$236)+('Cálculos'!$D$204*(1+'Cálculos'!$D$205+$A$63:$A$108*('Cálculos'!$D$290=3)*'Cálculos'!$D$103)+'Cálculos'!$D$206)*('Cálculos'!$D$227+'Cálculos'!$D$124*(1+2.78*('Cálculos'!$D$197+(($C71)-$A$63:$A$108)*'Cálculos'!$D$98)/(('Cálculos'!$D$197+(($C71)-$A$63:$A$108)*'Cálculos'!$D$98)+1400)+'Cálculos'!$D$122)*'Cálculos'!$D$232+'Cálculos'!$D$125*(1+2.78*('Cálculos'!$D$197+(($C71)-$A$63:$A$108)*'Cálculos'!$D$98)/(('Cálculos'!$D$197+(($C71)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71)-$A$63:$A$108)*'Cálculos'!$D$98)/(('Cálculos'!$D$198+(($C71)-$A$63:$A$108)*'Cálculos'!$D$98)+1400)+'Cálculos'!$D$122)*'Cálculos'!$D$244+'Cálculos'!$D$125*(1+2.78*('Cálculos'!$D$198+(($C71)-$A$63:$A$108)*'Cálculos'!$D$98)/(('Cálculos'!$D$198+(($C71)-$A$63:$A$108)*'Cálculos'!$D$98)+1400)+'Cálculos'!$D$123)*'Cálculos'!$D$249)+('Cálculos'!$D$198+(($C71)-$A$63:$A$108)*'Cálculos'!$D$98)*('Cálculos'!$D$240+'Cálculos'!$D$124*(1+2.78*('Cálculos'!$D$198+(($C71)-$A$63:$A$108)*'Cálculos'!$D$98)/(('Cálculos'!$D$198+(($C71)-$A$63:$A$108)*'Cálculos'!$D$98)+1400)+'Cálculos'!$D$122)*'Cálculos'!$D$245+'Cálculos'!$D$125*(1+2.78*('Cálculos'!$D$198+(($C71)-$A$63:$A$108)*'Cálculos'!$D$98)/(('Cálculos'!$D$198+(($C71)-$A$63:$A$108)*'Cálculos'!$D$98)+1400)+'Cálculos'!$D$123)*'Cálculos'!$D$250)+('Cálculos'!$D$201*(1+'Cálculos'!$D$202+$A$63:$A$108*('Cálculos'!$D$290=2)*'Cálculos'!$D$101)+'Cálculos'!$D$203)*('Cálculos'!$D$241+'Cálculos'!$D$124*(1+2.78*('Cálculos'!$D$198+(($C71)-$A$63:$A$108)*'Cálculos'!$D$98)/(('Cálculos'!$D$198+(($C71)-$A$63:$A$108)*'Cálculos'!$D$98)+1400)+'Cálculos'!$D$122)*'Cálculos'!$D$246+'Cálculos'!$D$125*(1+2.78*('Cálculos'!$D$198+(($C71)-$A$63:$A$108)*'Cálculos'!$D$98)/(('Cálculos'!$D$198+(($C71)-$A$63:$A$108)*'Cálculos'!$D$98)+1400)+'Cálculos'!$D$123)*'Cálculos'!$D$251)+('Cálculos'!$D$204*(1+'Cálculos'!$D$205+$A$63:$A$108*('Cálculos'!$D$290=3)*'Cálculos'!$D$103)+'Cálculos'!$D$206)*('Cálculos'!$D$242+'Cálculos'!$D$124*(1+2.78*('Cálculos'!$D$198+(($C71)-$A$63:$A$108)*'Cálculos'!$D$98)/(('Cálculos'!$D$198+(($C71)-$A$63:$A$108)*'Cálculos'!$D$98)+1400)+'Cálculos'!$D$122)*'Cálculos'!$D$247+'Cálculos'!$D$125*(1+2.78*('Cálculos'!$D$198+(($C71)-$A$63:$A$108)*'Cálculos'!$D$98)/(('Cálculos'!$D$198+(($C71)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71)-$A$63:$A$108)*'Cálculos'!$D$98)/(('Cálculos'!$D$199+(($C71)-$A$63:$A$108)*'Cálculos'!$D$98)+1400)+'Cálculos'!$D$122)*'Cálculos'!$D$259+'Cálculos'!$D$125*(1+2.78*('Cálculos'!$D$199+(($C71)-$A$63:$A$108)*'Cálculos'!$D$98)/(('Cálculos'!$D$199+(($C71)-$A$63:$A$108)*'Cálculos'!$D$98)+1400)+'Cálculos'!$D$123)*'Cálculos'!$D$264)+('Cálculos'!$D$199+(($C71)-$A$63:$A$108)*'Cálculos'!$D$98)*('Cálculos'!$D$255+'Cálculos'!$D$124*(1+2.78*('Cálculos'!$D$199+(($C71)-$A$63:$A$108)*'Cálculos'!$D$98)/(('Cálculos'!$D$199+(($C71)-$A$63:$A$108)*'Cálculos'!$D$98)+1400)+'Cálculos'!$D$122)*'Cálculos'!$D$260+'Cálculos'!$D$125*(1+2.78*('Cálculos'!$D$199+(($C71)-$A$63:$A$108)*'Cálculos'!$D$98)/(('Cálculos'!$D$199+(($C71)-$A$63:$A$108)*'Cálculos'!$D$98)+1400)+'Cálculos'!$D$123)*'Cálculos'!$D$265)+('Cálculos'!$D$201*(1+'Cálculos'!$D$202+$A$63:$A$108*('Cálculos'!$D$290=2)*'Cálculos'!$D$101)+'Cálculos'!$D$203)*('Cálculos'!$D$256+'Cálculos'!$D$124*(1+2.78*('Cálculos'!$D$199+(($C71)-$A$63:$A$108)*'Cálculos'!$D$98)/(('Cálculos'!$D$199+(($C71)-$A$63:$A$108)*'Cálculos'!$D$98)+1400)+'Cálculos'!$D$122)*'Cálculos'!$D$261+'Cálculos'!$D$125*(1+2.78*('Cálculos'!$D$199+(($C71)-$A$63:$A$108)*'Cálculos'!$D$98)/(('Cálculos'!$D$199+(($C71)-$A$63:$A$108)*'Cálculos'!$D$98)+1400)+'Cálculos'!$D$123)*'Cálculos'!$D$266)+('Cálculos'!$D$204*(1+'Cálculos'!$D$205+$A$63:$A$108*('Cálculos'!$D$290=3)*'Cálculos'!$D$103)+'Cálculos'!$D$206)*('Cálculos'!$D$257+'Cálculos'!$D$124*(1+2.78*('Cálculos'!$D$199+(($C71)-$A$63:$A$108)*'Cálculos'!$D$98)/(('Cálculos'!$D$199+(($C71)-$A$63:$A$108)*'Cálculos'!$D$98)+1400)+'Cálculos'!$D$122)*'Cálculos'!$D$262+'Cálculos'!$D$125*(1+2.78*('Cálculos'!$D$199+(($C71)-$A$63:$A$108)*'Cálculos'!$D$98)/(('Cálculos'!$D$199+(($C71)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71)-$A$63:$A$108)*'Cálculos'!$D$98)/(('Cálculos'!$D$200+(($C71)-$A$63:$A$108)*'Cálculos'!$D$98)+1400)+'Cálculos'!$D$122)*'Cálculos'!$D$274+'Cálculos'!$D$125*(1+2.78*('Cálculos'!$D$200+(($C71)-$A$63:$A$108)*'Cálculos'!$D$98)/(('Cálculos'!$D$200+(($C71)-$A$63:$A$108)*'Cálculos'!$D$98)+1400)+'Cálculos'!$D$123)*'Cálculos'!$D$279)+('Cálculos'!$D$200+(($C71)-$A$63:$A$108)*'Cálculos'!$D$98)*('Cálculos'!$D$270+'Cálculos'!$D$124*(1+2.78*('Cálculos'!$D$200+(($C71)-$A$63:$A$108)*'Cálculos'!$D$98)/(('Cálculos'!$D$200+(($C71)-$A$63:$A$108)*'Cálculos'!$D$98)+1400)+'Cálculos'!$D$122)*'Cálculos'!$D$275+'Cálculos'!$D$125*(1+2.78*('Cálculos'!$D$200+(($C71)-$A$63:$A$108)*'Cálculos'!$D$98)/(('Cálculos'!$D$200+(($C71)-$A$63:$A$108)*'Cálculos'!$D$98)+1400)+'Cálculos'!$D$123)*'Cálculos'!$D$280)+('Cálculos'!$D$201*(1+'Cálculos'!$D$202+$A$63:$A$108*('Cálculos'!$D$290=2)*'Cálculos'!$D$101)+'Cálculos'!$D$203)*('Cálculos'!$D$271+'Cálculos'!$D$124*(1+2.78*('Cálculos'!$D$200+(($C71)-$A$63:$A$108)*'Cálculos'!$D$98)/(('Cálculos'!$D$200+(($C71)-$A$63:$A$108)*'Cálculos'!$D$98)+1400)+'Cálculos'!$D$122)*'Cálculos'!$D$276+'Cálculos'!$D$125*(1+2.78*('Cálculos'!$D$200+(($C71)-$A$63:$A$108)*'Cálculos'!$D$98)/(('Cálculos'!$D$200+(($C71)-$A$63:$A$108)*'Cálculos'!$D$98)+1400)+'Cálculos'!$D$123)*'Cálculos'!$D$281)+('Cálculos'!$D$204*(1+'Cálculos'!$D$205+$A$63:$A$108*('Cálculos'!$D$290=3)*'Cálculos'!$D$103)+'Cálculos'!$D$206)*('Cálculos'!$D$272+'Cálculos'!$D$124*(1+2.78*('Cálculos'!$D$200+(($C71)-$A$63:$A$108)*'Cálculos'!$D$98)/(('Cálculos'!$D$200+(($C71)-$A$63:$A$108)*'Cálculos'!$D$98)+1400)+'Cálculos'!$D$122)*'Cálculos'!$D$277+'Cálculos'!$D$125*(1+2.78*('Cálculos'!$D$200+(($C71)-$A$63:$A$108)*'Cálculos'!$D$98)/(('Cálculos'!$D$200+(($C71)-$A$63:$A$108)*'Cálculos'!$D$98)+1400)+'Cálculos'!$D$123)*'Cálculos'!$D$282)))))</f>
        <v>73570.3341</v>
      </c>
      <c r="E71" s="32">
        <f>IF(OR($C71&lt;0,'Cálculos'!$D$6=""),0,$B71*$D71)</f>
        <v>101284.5442</v>
      </c>
      <c r="F71" s="2"/>
      <c r="G71" s="30">
        <f>($A71&lt;=$B$110)*($A71&lt;='Cálculos'!$D$294)*(($B$110)-$A71&lt;='Cálculos'!$D$295)*(1+MIN(('Cálculos'!$D$207+$A71*'Cálculos'!$D$95),1)*('Cálculos'!$D$208+(($B$110)-$A71)*'Cálculos'!$D$96))</f>
        <v>1.438645213</v>
      </c>
      <c r="H71" s="31">
        <f>IF($B$111&lt;0,0,($A71&lt;=$B$111)*($A71&lt;='Cálculos'!$D$301)*(($B$111)-$A71&lt;='Cálculos'!$D$297)*(('Cálculos'!$D$185*(1+'Cálculos'!$D$186+$A71*('Cálculos'!$D$290=1)*'Cálculos'!$D$97+'Cálculos'!$D$305)+'Cálculos'!$D$191)*('Cálculos'!$D$209+'Cálculos'!$D$124*(1+2.78*('Cálculos'!$D$196+(($B$111)-$A71)*'Cálculos'!$D$98)/(('Cálculos'!$D$196+(($B$111)-$A71)*'Cálculos'!$D$98)+1400)+'Cálculos'!$D$122)*'Cálculos'!$D$214+'Cálculos'!$D$125*(1+2.78*('Cálculos'!$D$196+(($B$111)-$A71)*'Cálculos'!$D$98)/(('Cálculos'!$D$196+(($B$111)-$A71)*'Cálculos'!$D$98)+1400)+'Cálculos'!$D$123)*'Cálculos'!$D$219)+('Cálculos'!$D$196+(($B$111)-$A71)*'Cálculos'!$D$98)*('Cálculos'!$D$210+'Cálculos'!$D$124*(1+2.78*('Cálculos'!$D$196+(($B$111)-$A71)*'Cálculos'!$D$98)/(('Cálculos'!$D$196+(($B$111)-$A71)*'Cálculos'!$D$98)+1400)+'Cálculos'!$D$122)*'Cálculos'!$D$215+'Cálculos'!$D$125*(1+2.78*('Cálculos'!$D$196+(($B$111)-$A71)*'Cálculos'!$D$98)/(('Cálculos'!$D$196+(($B$111)-$A71)*'Cálculos'!$D$98)+1400)+'Cálculos'!$D$123)*'Cálculos'!$D$220)+('Cálculos'!$D$201*(1+'Cálculos'!$D$202+$A71*('Cálculos'!$D$290=2)*'Cálculos'!$D$101)+'Cálculos'!$D$203)*('Cálculos'!$D$211+'Cálculos'!$D$124*(1+2.78*('Cálculos'!$D$196+(($B$111)-$A71)*'Cálculos'!$D$98)/(('Cálculos'!$D$196+(($B$111)-$A71)*'Cálculos'!$D$98)+1400)+'Cálculos'!$D$122)*'Cálculos'!$D$216+'Cálculos'!$D$125*(1+2.78*('Cálculos'!$D$196+(($B$111)-$A71)*'Cálculos'!$D$98)/(('Cálculos'!$D$196+(($B$111)-$A71)*'Cálculos'!$D$98)+1400)+'Cálculos'!$D$123)*'Cálculos'!$D$221)+('Cálculos'!$D$204*(1+'Cálculos'!$D$205+$A71*('Cálculos'!$D$290=3)*'Cálculos'!$D$103)+'Cálculos'!$D$206)*('Cálculos'!$D$212+'Cálculos'!$D$124*(1+2.78*('Cálculos'!$D$196+(($B$111)-$A71)*'Cálculos'!$D$98)/(('Cálculos'!$D$196+(($B$111)-$A71)*'Cálculos'!$D$98)+1400)+'Cálculos'!$D$122)*'Cálculos'!$D$217+'Cálculos'!$D$125*(1+2.78*('Cálculos'!$D$196+(($B$111)-$A71)*'Cálculos'!$D$98)/(('Cálculos'!$D$196+(($B$111)-$A71)*'Cálculos'!$D$98)+1400)+'Cálculos'!$D$123)*'Cálculos'!$D$222)+('Cálculos'!$D$185*(1+'Cálculos'!$D$187+$A71*('Cálculos'!$D$290=1)*'Cálculos'!$D$97+'Cálculos'!$D$305)+'Cálculos'!$D$192)*('Cálculos'!$D$224+'Cálculos'!$D$124*(1+2.78*('Cálculos'!$D$197+(($B$111)-$A71)*'Cálculos'!$D$98)/(('Cálculos'!$D$197+(($B$111)-$A71)*'Cálculos'!$D$98)+1400)+'Cálculos'!$D$122)*'Cálculos'!$D$229+'Cálculos'!$D$125*(1+2.78*('Cálculos'!$D$197+(($B$111)-$A71)*'Cálculos'!$D$98)/(('Cálculos'!$D$197+(($B$111)-$A71)*'Cálculos'!$D$98)+1400)+'Cálculos'!$D$123)*'Cálculos'!$D$234)+('Cálculos'!$D$197+(($B$111)-$A71)*'Cálculos'!$D$98)*('Cálculos'!$D$225+'Cálculos'!$D$124*(1+2.78*('Cálculos'!$D$197+(($B$111)-$A71)*'Cálculos'!$D$98)/(('Cálculos'!$D$197+(($B$111)-$A71)*'Cálculos'!$D$98)+1400)+'Cálculos'!$D$122)*'Cálculos'!$D$230+'Cálculos'!$D$125*(1+2.78*('Cálculos'!$D$197+(($B$111)-$A71)*'Cálculos'!$D$98)/(('Cálculos'!$D$197+(($B$111)-$A71)*'Cálculos'!$D$98)+1400)+'Cálculos'!$D$123)*'Cálculos'!$D$235)+('Cálculos'!$D$201*(1+'Cálculos'!$D$202+$A71*('Cálculos'!$D$290=2)*'Cálculos'!$D$101)+'Cálculos'!$D$203)*('Cálculos'!$D$226+'Cálculos'!$D$124*(1+2.78*('Cálculos'!$D$197+(($B$111)-$A71)*'Cálculos'!$D$98)/(('Cálculos'!$D$197+(($B$111)-$A71)*'Cálculos'!$D$98)+1400)+'Cálculos'!$D$122)*'Cálculos'!$D$231+'Cálculos'!$D$125*(1+2.78*('Cálculos'!$D$197+(($B$111)-$A71)*'Cálculos'!$D$98)/(('Cálculos'!$D$197+(($B$111)-$A71)*'Cálculos'!$D$98)+1400)+'Cálculos'!$D$123)*'Cálculos'!$D$236)+('Cálculos'!$D$204*(1+'Cálculos'!$D$205+$A71*('Cálculos'!$D$290=3)*'Cálculos'!$D$103)+'Cálculos'!$D$206)*('Cálculos'!$D$227+'Cálculos'!$D$124*(1+2.78*('Cálculos'!$D$197+(($B$111)-$A71)*'Cálculos'!$D$98)/(('Cálculos'!$D$197+(($B$111)-$A71)*'Cálculos'!$D$98)+1400)+'Cálculos'!$D$122)*'Cálculos'!$D$232+'Cálculos'!$D$125*(1+2.78*('Cálculos'!$D$197+(($B$111)-$A71)*'Cálculos'!$D$98)/(('Cálculos'!$D$197+(($B$111)-$A71)*'Cálculos'!$D$98)+1400)+'Cálculos'!$D$123)*'Cálculos'!$D$237)+('Cálculos'!$D$185*(1+'Cálculos'!$D$188+$A71*('Cálculos'!$D$290=1)*'Cálculos'!$D$97+'Cálculos'!$D$305)+'Cálculos'!$D$193)*('Cálculos'!$D$239+'Cálculos'!$D$124*(1+2.78*('Cálculos'!$D$198+(($B$111)-$A71)*'Cálculos'!$D$98)/(('Cálculos'!$D$198+(($B$111)-$A71)*'Cálculos'!$D$98)+1400)+'Cálculos'!$D$122)*'Cálculos'!$D$244+'Cálculos'!$D$125*(1+2.78*('Cálculos'!$D$198+(($B$111)-$A71)*'Cálculos'!$D$98)/(('Cálculos'!$D$198+(($B$111)-$A71)*'Cálculos'!$D$98)+1400)+'Cálculos'!$D$123)*'Cálculos'!$D$249)+('Cálculos'!$D$198+(($B$111)-$A71)*'Cálculos'!$D$98)*('Cálculos'!$D$240+'Cálculos'!$D$124*(1+2.78*('Cálculos'!$D$198+(($B$111)-$A71)*'Cálculos'!$D$98)/(('Cálculos'!$D$198+(($B$111)-$A71)*'Cálculos'!$D$98)+1400)+'Cálculos'!$D$122)*'Cálculos'!$D$245+'Cálculos'!$D$125*(1+2.78*('Cálculos'!$D$198+(($B$111)-$A71)*'Cálculos'!$D$98)/(('Cálculos'!$D$198+(($B$111)-$A71)*'Cálculos'!$D$98)+1400)+'Cálculos'!$D$123)*'Cálculos'!$D$250)+('Cálculos'!$D$201*(1+'Cálculos'!$D$202+$A71*('Cálculos'!$D$290=2)*'Cálculos'!$D$101)+'Cálculos'!$D$203)*('Cálculos'!$D$241+'Cálculos'!$D$124*(1+2.78*('Cálculos'!$D$198+(($B$111)-$A71)*'Cálculos'!$D$98)/(('Cálculos'!$D$198+(($B$111)-$A71)*'Cálculos'!$D$98)+1400)+'Cálculos'!$D$122)*'Cálculos'!$D$246+'Cálculos'!$D$125*(1+2.78*('Cálculos'!$D$198+(($B$111)-$A71)*'Cálculos'!$D$98)/(('Cálculos'!$D$198+(($B$111)-$A71)*'Cálculos'!$D$98)+1400)+'Cálculos'!$D$123)*'Cálculos'!$D$251)+('Cálculos'!$D$204*(1+'Cálculos'!$D$205+$A71*('Cálculos'!$D$290=3)*'Cálculos'!$D$103)+'Cálculos'!$D$206)*('Cálculos'!$D$242+'Cálculos'!$D$124*(1+2.78*('Cálculos'!$D$198+(($B$111)-$A71)*'Cálculos'!$D$98)/(('Cálculos'!$D$198+(($B$111)-$A71)*'Cálculos'!$D$98)+1400)+'Cálculos'!$D$122)*'Cálculos'!$D$247+'Cálculos'!$D$125*(1+2.78*('Cálculos'!$D$198+(($B$111)-$A71)*'Cálculos'!$D$98)/(('Cálculos'!$D$198+(($B$111)-$A71)*'Cálculos'!$D$98)+1400)+'Cálculos'!$D$123)*'Cálculos'!$D$252)+('Cálculos'!$D$185*(1+'Cálculos'!$D$189+$A71*('Cálculos'!$D$290=1)*'Cálculos'!$D$97+'Cálculos'!$D$305)+'Cálculos'!$D$194)*('Cálculos'!$D$254+'Cálculos'!$D$124*(1+2.78*('Cálculos'!$D$199+(($B$111)-$A71)*'Cálculos'!$D$98)/(('Cálculos'!$D$199+(($B$111)-$A71)*'Cálculos'!$D$98)+1400)+'Cálculos'!$D$122)*'Cálculos'!$D$259+'Cálculos'!$D$125*(1+2.78*('Cálculos'!$D$199+(($B$111)-$A71)*'Cálculos'!$D$98)/(('Cálculos'!$D$199+(($B$111)-$A71)*'Cálculos'!$D$98)+1400)+'Cálculos'!$D$123)*'Cálculos'!$D$264)+('Cálculos'!$D$199+(($B$111)-$A71)*'Cálculos'!$D$98)*('Cálculos'!$D$255+'Cálculos'!$D$124*(1+2.78*('Cálculos'!$D$199+(($B$111)-$A71)*'Cálculos'!$D$98)/(('Cálculos'!$D$199+(($B$111)-$A71)*'Cálculos'!$D$98)+1400)+'Cálculos'!$D$122)*'Cálculos'!$D$260+'Cálculos'!$D$125*(1+2.78*('Cálculos'!$D$199+(($B$111)-$A71)*'Cálculos'!$D$98)/(('Cálculos'!$D$199+(($B$111)-$A71)*'Cálculos'!$D$98)+1400)+'Cálculos'!$D$123)*'Cálculos'!$D$265)+('Cálculos'!$D$201*(1+'Cálculos'!$D$202+$A71*('Cálculos'!$D$290=2)*'Cálculos'!$D$101)+'Cálculos'!$D$203)*('Cálculos'!$D$256+'Cálculos'!$D$124*(1+2.78*('Cálculos'!$D$199+(($B$111)-$A71)*'Cálculos'!$D$98)/(('Cálculos'!$D$199+(($B$111)-$A71)*'Cálculos'!$D$98)+1400)+'Cálculos'!$D$122)*'Cálculos'!$D$261+'Cálculos'!$D$125*(1+2.78*('Cálculos'!$D$199+(($B$111)-$A71)*'Cálculos'!$D$98)/(('Cálculos'!$D$199+(($B$111)-$A71)*'Cálculos'!$D$98)+1400)+'Cálculos'!$D$123)*'Cálculos'!$D$266)+('Cálculos'!$D$204*(1+'Cálculos'!$D$205+$A71*('Cálculos'!$D$290=3)*'Cálculos'!$D$103)+'Cálculos'!$D$206)*('Cálculos'!$D$257+'Cálculos'!$D$124*(1+2.78*('Cálculos'!$D$199+(($B$111)-$A71)*'Cálculos'!$D$98)/(('Cálculos'!$D$199+(($B$111)-$A71)*'Cálculos'!$D$98)+1400)+'Cálculos'!$D$122)*'Cálculos'!$D$262+'Cálculos'!$D$125*(1+2.78*('Cálculos'!$D$199+(($B$111)-$A71)*'Cálculos'!$D$98)/(('Cálculos'!$D$199+(($B$111)-$A71)*'Cálculos'!$D$98)+1400)+'Cálculos'!$D$123)*'Cálculos'!$D$267)+('Cálculos'!$D$185*(1+'Cálculos'!$D$190+$A71*('Cálculos'!$D$290=1)*'Cálculos'!$D$97+'Cálculos'!$D$305)+'Cálculos'!$D$195)*('Cálculos'!$D$269+'Cálculos'!$D$124*(1+2.78*('Cálculos'!$D$200+(($B$111)-$A71)*'Cálculos'!$D$98)/(('Cálculos'!$D$200+(($B$111)-$A71)*'Cálculos'!$D$98)+1400)+'Cálculos'!$D$122)*'Cálculos'!$D$274+'Cálculos'!$D$125*(1+2.78*('Cálculos'!$D$200+(($B$111)-$A71)*'Cálculos'!$D$98)/(('Cálculos'!$D$200+(($B$111)-$A71)*'Cálculos'!$D$98)+1400)+'Cálculos'!$D$123)*'Cálculos'!$D$279)+('Cálculos'!$D$200+(($B$111)-$A71)*'Cálculos'!$D$98)*('Cálculos'!$D$270+'Cálculos'!$D$124*(1+2.78*('Cálculos'!$D$200+(($B$111)-$A71)*'Cálculos'!$D$98)/(('Cálculos'!$D$200+(($B$111)-$A71)*'Cálculos'!$D$98)+1400)+'Cálculos'!$D$122)*'Cálculos'!$D$275+'Cálculos'!$D$125*(1+2.78*('Cálculos'!$D$200+(($B$111)-$A71)*'Cálculos'!$D$98)/(('Cálculos'!$D$200+(($B$111)-$A71)*'Cálculos'!$D$98)+1400)+'Cálculos'!$D$123)*'Cálculos'!$D$280)+('Cálculos'!$D$201*(1+'Cálculos'!$D$202+$A71*('Cálculos'!$D$290=2)*'Cálculos'!$D$101)+'Cálculos'!$D$203)*('Cálculos'!$D$271+'Cálculos'!$D$124*(1+2.78*('Cálculos'!$D$200+(($B$111)-$A71)*'Cálculos'!$D$98)/(('Cálculos'!$D$200+(($B$111)-$A71)*'Cálculos'!$D$98)+1400)+'Cálculos'!$D$122)*'Cálculos'!$D$276+'Cálculos'!$D$125*(1+2.78*('Cálculos'!$D$200+(($B$111)-$A71)*'Cálculos'!$D$98)/(('Cálculos'!$D$200+(($B$111)-$A71)*'Cálculos'!$D$98)+1400)+'Cálculos'!$D$123)*'Cálculos'!$D$281)+('Cálculos'!$D$204*(1+'Cálculos'!$D$205+$A71*('Cálculos'!$D$290=3)*'Cálculos'!$D$103)+'Cálculos'!$D$206)*('Cálculos'!$D$272+'Cálculos'!$D$124*(1+2.78*('Cálculos'!$D$200+(($B$111)-$A71)*'Cálculos'!$D$98)/(('Cálculos'!$D$200+(($B$111)-$A71)*'Cálculos'!$D$98)+1400)+'Cálculos'!$D$122)*'Cálculos'!$D$277+'Cálculos'!$D$125*(1+2.78*('Cálculos'!$D$200+(($B$111)-$A71)*'Cálculos'!$D$98)/(('Cálculos'!$D$200+(($B$111)-$A71)*'Cálculos'!$D$98)+1400)+'Cálculos'!$D$123)*'Cálculos'!$D$282)))</f>
        <v>0</v>
      </c>
    </row>
    <row r="72" ht="15.75" customHeight="1">
      <c r="A72" s="2">
        <v>9.0</v>
      </c>
      <c r="B72" s="30">
        <f>SUMPRODUCT(MAX(($A$63:$A$108&lt;=$A72)*($A$63:$A$108&lt;='Cálculos'!$D$294)*(($A72)-$A$63:$A$108&lt;='Cálculos'!$D$295)*(1+(('Cálculos'!$D$207+$A$63:$A$108*'Cálculos'!$D$95)-(('Cálculos'!$D$207+$A$63:$A$108*'Cálculos'!$D$95)&gt;1)*(('Cálculos'!$D$207+$A$63:$A$108*'Cálculos'!$D$95)-1))*('Cálculos'!$D$208+(($A72)-$A$63:$A$108)*'Cálculos'!$D$96))))</f>
        <v>1.401701382</v>
      </c>
      <c r="C72" s="2">
        <f>'Cálculos'!$D$303-$A72</f>
        <v>2</v>
      </c>
      <c r="D72" s="31">
        <f>IF($C72&lt;0,0,SUMPRODUCT(MAX(($A$63:$A$108&lt;=$C72)*($A$63:$A$108&lt;='Cálculos'!$D$301)*(($C72)-$A$63:$A$108&lt;='Cálculos'!$D$297)*(('Cálculos'!$D$185*(1+'Cálculos'!$D$186+$A$63:$A$108*('Cálculos'!$D$290=1)*'Cálculos'!$D$97+'Cálculos'!$D$305)+'Cálculos'!$D$191)*('Cálculos'!$D$209+'Cálculos'!$D$124*(1+2.78*('Cálculos'!$D$196+(($C72)-$A$63:$A$108)*'Cálculos'!$D$98)/(('Cálculos'!$D$196+(($C72)-$A$63:$A$108)*'Cálculos'!$D$98)+1400)+'Cálculos'!$D$122)*'Cálculos'!$D$214+'Cálculos'!$D$125*(1+2.78*('Cálculos'!$D$196+(($C72)-$A$63:$A$108)*'Cálculos'!$D$98)/(('Cálculos'!$D$196+(($C72)-$A$63:$A$108)*'Cálculos'!$D$98)+1400)+'Cálculos'!$D$123)*'Cálculos'!$D$219)+('Cálculos'!$D$196+(($C72)-$A$63:$A$108)*'Cálculos'!$D$98)*('Cálculos'!$D$210+'Cálculos'!$D$124*(1+2.78*('Cálculos'!$D$196+(($C72)-$A$63:$A$108)*'Cálculos'!$D$98)/(('Cálculos'!$D$196+(($C72)-$A$63:$A$108)*'Cálculos'!$D$98)+1400)+'Cálculos'!$D$122)*'Cálculos'!$D$215+'Cálculos'!$D$125*(1+2.78*('Cálculos'!$D$196+(($C72)-$A$63:$A$108)*'Cálculos'!$D$98)/(('Cálculos'!$D$196+(($C72)-$A$63:$A$108)*'Cálculos'!$D$98)+1400)+'Cálculos'!$D$123)*'Cálculos'!$D$220)+('Cálculos'!$D$201*(1+'Cálculos'!$D$202+$A$63:$A$108*('Cálculos'!$D$290=2)*'Cálculos'!$D$101)+'Cálculos'!$D$203)*('Cálculos'!$D$211+'Cálculos'!$D$124*(1+2.78*('Cálculos'!$D$196+(($C72)-$A$63:$A$108)*'Cálculos'!$D$98)/(('Cálculos'!$D$196+(($C72)-$A$63:$A$108)*'Cálculos'!$D$98)+1400)+'Cálculos'!$D$122)*'Cálculos'!$D$216+'Cálculos'!$D$125*(1+2.78*('Cálculos'!$D$196+(($C72)-$A$63:$A$108)*'Cálculos'!$D$98)/(('Cálculos'!$D$196+(($C72)-$A$63:$A$108)*'Cálculos'!$D$98)+1400)+'Cálculos'!$D$123)*'Cálculos'!$D$221)+('Cálculos'!$D$204*(1+'Cálculos'!$D$205+$A$63:$A$108*('Cálculos'!$D$290=3)*'Cálculos'!$D$103)+'Cálculos'!$D$206)*('Cálculos'!$D$212+'Cálculos'!$D$124*(1+2.78*('Cálculos'!$D$196+(($C72)-$A$63:$A$108)*'Cálculos'!$D$98)/(('Cálculos'!$D$196+(($C72)-$A$63:$A$108)*'Cálculos'!$D$98)+1400)+'Cálculos'!$D$122)*'Cálculos'!$D$217+'Cálculos'!$D$125*(1+2.78*('Cálculos'!$D$196+(($C72)-$A$63:$A$108)*'Cálculos'!$D$98)/(('Cálculos'!$D$196+(($C72)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72)-$A$63:$A$108)*'Cálculos'!$D$98)/(('Cálculos'!$D$197+(($C72)-$A$63:$A$108)*'Cálculos'!$D$98)+1400)+'Cálculos'!$D$122)*'Cálculos'!$D$229+'Cálculos'!$D$125*(1+2.78*('Cálculos'!$D$197+(($C72)-$A$63:$A$108)*'Cálculos'!$D$98)/(('Cálculos'!$D$197+(($C72)-$A$63:$A$108)*'Cálculos'!$D$98)+1400)+'Cálculos'!$D$123)*'Cálculos'!$D$234)+('Cálculos'!$D$197+(($C72)-$A$63:$A$108)*'Cálculos'!$D$98)*('Cálculos'!$D$225+'Cálculos'!$D$124*(1+2.78*('Cálculos'!$D$197+(($C72)-$A$63:$A$108)*'Cálculos'!$D$98)/(('Cálculos'!$D$197+(($C72)-$A$63:$A$108)*'Cálculos'!$D$98)+1400)+'Cálculos'!$D$122)*'Cálculos'!$D$230+'Cálculos'!$D$125*(1+2.78*('Cálculos'!$D$197+(($C72)-$A$63:$A$108)*'Cálculos'!$D$98)/(('Cálculos'!$D$197+(($C72)-$A$63:$A$108)*'Cálculos'!$D$98)+1400)+'Cálculos'!$D$123)*'Cálculos'!$D$235)+('Cálculos'!$D$201*(1+'Cálculos'!$D$202+$A$63:$A$108*('Cálculos'!$D$290=2)*'Cálculos'!$D$101)+'Cálculos'!$D$203)*('Cálculos'!$D$226+'Cálculos'!$D$124*(1+2.78*('Cálculos'!$D$197+(($C72)-$A$63:$A$108)*'Cálculos'!$D$98)/(('Cálculos'!$D$197+(($C72)-$A$63:$A$108)*'Cálculos'!$D$98)+1400)+'Cálculos'!$D$122)*'Cálculos'!$D$231+'Cálculos'!$D$125*(1+2.78*('Cálculos'!$D$197+(($C72)-$A$63:$A$108)*'Cálculos'!$D$98)/(('Cálculos'!$D$197+(($C72)-$A$63:$A$108)*'Cálculos'!$D$98)+1400)+'Cálculos'!$D$123)*'Cálculos'!$D$236)+('Cálculos'!$D$204*(1+'Cálculos'!$D$205+$A$63:$A$108*('Cálculos'!$D$290=3)*'Cálculos'!$D$103)+'Cálculos'!$D$206)*('Cálculos'!$D$227+'Cálculos'!$D$124*(1+2.78*('Cálculos'!$D$197+(($C72)-$A$63:$A$108)*'Cálculos'!$D$98)/(('Cálculos'!$D$197+(($C72)-$A$63:$A$108)*'Cálculos'!$D$98)+1400)+'Cálculos'!$D$122)*'Cálculos'!$D$232+'Cálculos'!$D$125*(1+2.78*('Cálculos'!$D$197+(($C72)-$A$63:$A$108)*'Cálculos'!$D$98)/(('Cálculos'!$D$197+(($C72)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72)-$A$63:$A$108)*'Cálculos'!$D$98)/(('Cálculos'!$D$198+(($C72)-$A$63:$A$108)*'Cálculos'!$D$98)+1400)+'Cálculos'!$D$122)*'Cálculos'!$D$244+'Cálculos'!$D$125*(1+2.78*('Cálculos'!$D$198+(($C72)-$A$63:$A$108)*'Cálculos'!$D$98)/(('Cálculos'!$D$198+(($C72)-$A$63:$A$108)*'Cálculos'!$D$98)+1400)+'Cálculos'!$D$123)*'Cálculos'!$D$249)+('Cálculos'!$D$198+(($C72)-$A$63:$A$108)*'Cálculos'!$D$98)*('Cálculos'!$D$240+'Cálculos'!$D$124*(1+2.78*('Cálculos'!$D$198+(($C72)-$A$63:$A$108)*'Cálculos'!$D$98)/(('Cálculos'!$D$198+(($C72)-$A$63:$A$108)*'Cálculos'!$D$98)+1400)+'Cálculos'!$D$122)*'Cálculos'!$D$245+'Cálculos'!$D$125*(1+2.78*('Cálculos'!$D$198+(($C72)-$A$63:$A$108)*'Cálculos'!$D$98)/(('Cálculos'!$D$198+(($C72)-$A$63:$A$108)*'Cálculos'!$D$98)+1400)+'Cálculos'!$D$123)*'Cálculos'!$D$250)+('Cálculos'!$D$201*(1+'Cálculos'!$D$202+$A$63:$A$108*('Cálculos'!$D$290=2)*'Cálculos'!$D$101)+'Cálculos'!$D$203)*('Cálculos'!$D$241+'Cálculos'!$D$124*(1+2.78*('Cálculos'!$D$198+(($C72)-$A$63:$A$108)*'Cálculos'!$D$98)/(('Cálculos'!$D$198+(($C72)-$A$63:$A$108)*'Cálculos'!$D$98)+1400)+'Cálculos'!$D$122)*'Cálculos'!$D$246+'Cálculos'!$D$125*(1+2.78*('Cálculos'!$D$198+(($C72)-$A$63:$A$108)*'Cálculos'!$D$98)/(('Cálculos'!$D$198+(($C72)-$A$63:$A$108)*'Cálculos'!$D$98)+1400)+'Cálculos'!$D$123)*'Cálculos'!$D$251)+('Cálculos'!$D$204*(1+'Cálculos'!$D$205+$A$63:$A$108*('Cálculos'!$D$290=3)*'Cálculos'!$D$103)+'Cálculos'!$D$206)*('Cálculos'!$D$242+'Cálculos'!$D$124*(1+2.78*('Cálculos'!$D$198+(($C72)-$A$63:$A$108)*'Cálculos'!$D$98)/(('Cálculos'!$D$198+(($C72)-$A$63:$A$108)*'Cálculos'!$D$98)+1400)+'Cálculos'!$D$122)*'Cálculos'!$D$247+'Cálculos'!$D$125*(1+2.78*('Cálculos'!$D$198+(($C72)-$A$63:$A$108)*'Cálculos'!$D$98)/(('Cálculos'!$D$198+(($C72)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72)-$A$63:$A$108)*'Cálculos'!$D$98)/(('Cálculos'!$D$199+(($C72)-$A$63:$A$108)*'Cálculos'!$D$98)+1400)+'Cálculos'!$D$122)*'Cálculos'!$D$259+'Cálculos'!$D$125*(1+2.78*('Cálculos'!$D$199+(($C72)-$A$63:$A$108)*'Cálculos'!$D$98)/(('Cálculos'!$D$199+(($C72)-$A$63:$A$108)*'Cálculos'!$D$98)+1400)+'Cálculos'!$D$123)*'Cálculos'!$D$264)+('Cálculos'!$D$199+(($C72)-$A$63:$A$108)*'Cálculos'!$D$98)*('Cálculos'!$D$255+'Cálculos'!$D$124*(1+2.78*('Cálculos'!$D$199+(($C72)-$A$63:$A$108)*'Cálculos'!$D$98)/(('Cálculos'!$D$199+(($C72)-$A$63:$A$108)*'Cálculos'!$D$98)+1400)+'Cálculos'!$D$122)*'Cálculos'!$D$260+'Cálculos'!$D$125*(1+2.78*('Cálculos'!$D$199+(($C72)-$A$63:$A$108)*'Cálculos'!$D$98)/(('Cálculos'!$D$199+(($C72)-$A$63:$A$108)*'Cálculos'!$D$98)+1400)+'Cálculos'!$D$123)*'Cálculos'!$D$265)+('Cálculos'!$D$201*(1+'Cálculos'!$D$202+$A$63:$A$108*('Cálculos'!$D$290=2)*'Cálculos'!$D$101)+'Cálculos'!$D$203)*('Cálculos'!$D$256+'Cálculos'!$D$124*(1+2.78*('Cálculos'!$D$199+(($C72)-$A$63:$A$108)*'Cálculos'!$D$98)/(('Cálculos'!$D$199+(($C72)-$A$63:$A$108)*'Cálculos'!$D$98)+1400)+'Cálculos'!$D$122)*'Cálculos'!$D$261+'Cálculos'!$D$125*(1+2.78*('Cálculos'!$D$199+(($C72)-$A$63:$A$108)*'Cálculos'!$D$98)/(('Cálculos'!$D$199+(($C72)-$A$63:$A$108)*'Cálculos'!$D$98)+1400)+'Cálculos'!$D$123)*'Cálculos'!$D$266)+('Cálculos'!$D$204*(1+'Cálculos'!$D$205+$A$63:$A$108*('Cálculos'!$D$290=3)*'Cálculos'!$D$103)+'Cálculos'!$D$206)*('Cálculos'!$D$257+'Cálculos'!$D$124*(1+2.78*('Cálculos'!$D$199+(($C72)-$A$63:$A$108)*'Cálculos'!$D$98)/(('Cálculos'!$D$199+(($C72)-$A$63:$A$108)*'Cálculos'!$D$98)+1400)+'Cálculos'!$D$122)*'Cálculos'!$D$262+'Cálculos'!$D$125*(1+2.78*('Cálculos'!$D$199+(($C72)-$A$63:$A$108)*'Cálculos'!$D$98)/(('Cálculos'!$D$199+(($C72)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72)-$A$63:$A$108)*'Cálculos'!$D$98)/(('Cálculos'!$D$200+(($C72)-$A$63:$A$108)*'Cálculos'!$D$98)+1400)+'Cálculos'!$D$122)*'Cálculos'!$D$274+'Cálculos'!$D$125*(1+2.78*('Cálculos'!$D$200+(($C72)-$A$63:$A$108)*'Cálculos'!$D$98)/(('Cálculos'!$D$200+(($C72)-$A$63:$A$108)*'Cálculos'!$D$98)+1400)+'Cálculos'!$D$123)*'Cálculos'!$D$279)+('Cálculos'!$D$200+(($C72)-$A$63:$A$108)*'Cálculos'!$D$98)*('Cálculos'!$D$270+'Cálculos'!$D$124*(1+2.78*('Cálculos'!$D$200+(($C72)-$A$63:$A$108)*'Cálculos'!$D$98)/(('Cálculos'!$D$200+(($C72)-$A$63:$A$108)*'Cálculos'!$D$98)+1400)+'Cálculos'!$D$122)*'Cálculos'!$D$275+'Cálculos'!$D$125*(1+2.78*('Cálculos'!$D$200+(($C72)-$A$63:$A$108)*'Cálculos'!$D$98)/(('Cálculos'!$D$200+(($C72)-$A$63:$A$108)*'Cálculos'!$D$98)+1400)+'Cálculos'!$D$123)*'Cálculos'!$D$280)+('Cálculos'!$D$201*(1+'Cálculos'!$D$202+$A$63:$A$108*('Cálculos'!$D$290=2)*'Cálculos'!$D$101)+'Cálculos'!$D$203)*('Cálculos'!$D$271+'Cálculos'!$D$124*(1+2.78*('Cálculos'!$D$200+(($C72)-$A$63:$A$108)*'Cálculos'!$D$98)/(('Cálculos'!$D$200+(($C72)-$A$63:$A$108)*'Cálculos'!$D$98)+1400)+'Cálculos'!$D$122)*'Cálculos'!$D$276+'Cálculos'!$D$125*(1+2.78*('Cálculos'!$D$200+(($C72)-$A$63:$A$108)*'Cálculos'!$D$98)/(('Cálculos'!$D$200+(($C72)-$A$63:$A$108)*'Cálculos'!$D$98)+1400)+'Cálculos'!$D$123)*'Cálculos'!$D$281)+('Cálculos'!$D$204*(1+'Cálculos'!$D$205+$A$63:$A$108*('Cálculos'!$D$290=3)*'Cálculos'!$D$103)+'Cálculos'!$D$206)*('Cálculos'!$D$272+'Cálculos'!$D$124*(1+2.78*('Cálculos'!$D$200+(($C72)-$A$63:$A$108)*'Cálculos'!$D$98)/(('Cálculos'!$D$200+(($C72)-$A$63:$A$108)*'Cálculos'!$D$98)+1400)+'Cálculos'!$D$122)*'Cálculos'!$D$277+'Cálculos'!$D$125*(1+2.78*('Cálculos'!$D$200+(($C72)-$A$63:$A$108)*'Cálculos'!$D$98)/(('Cálculos'!$D$200+(($C72)-$A$63:$A$108)*'Cálculos'!$D$98)+1400)+'Cálculos'!$D$123)*'Cálculos'!$D$282)))))</f>
        <v>72486.27507</v>
      </c>
      <c r="E72" s="32">
        <f>IF(OR($C72&lt;0,'Cálculos'!$D$6=""),0,$B72*$D72)</f>
        <v>101604.1119</v>
      </c>
      <c r="F72" s="2"/>
      <c r="G72" s="30">
        <f>($A72&lt;=$B$110)*($A72&lt;='Cálculos'!$D$294)*(($B$110)-$A72&lt;='Cálculos'!$D$295)*(1+MIN(('Cálculos'!$D$207+$A72*'Cálculos'!$D$95),1)*('Cálculos'!$D$208+(($B$110)-$A72)*'Cálculos'!$D$96))</f>
        <v>1.427407177</v>
      </c>
      <c r="H72" s="31">
        <f>IF($B$111&lt;0,0,($A72&lt;=$B$111)*($A72&lt;='Cálculos'!$D$301)*(($B$111)-$A72&lt;='Cálculos'!$D$297)*(('Cálculos'!$D$185*(1+'Cálculos'!$D$186+$A72*('Cálculos'!$D$290=1)*'Cálculos'!$D$97+'Cálculos'!$D$305)+'Cálculos'!$D$191)*('Cálculos'!$D$209+'Cálculos'!$D$124*(1+2.78*('Cálculos'!$D$196+(($B$111)-$A72)*'Cálculos'!$D$98)/(('Cálculos'!$D$196+(($B$111)-$A72)*'Cálculos'!$D$98)+1400)+'Cálculos'!$D$122)*'Cálculos'!$D$214+'Cálculos'!$D$125*(1+2.78*('Cálculos'!$D$196+(($B$111)-$A72)*'Cálculos'!$D$98)/(('Cálculos'!$D$196+(($B$111)-$A72)*'Cálculos'!$D$98)+1400)+'Cálculos'!$D$123)*'Cálculos'!$D$219)+('Cálculos'!$D$196+(($B$111)-$A72)*'Cálculos'!$D$98)*('Cálculos'!$D$210+'Cálculos'!$D$124*(1+2.78*('Cálculos'!$D$196+(($B$111)-$A72)*'Cálculos'!$D$98)/(('Cálculos'!$D$196+(($B$111)-$A72)*'Cálculos'!$D$98)+1400)+'Cálculos'!$D$122)*'Cálculos'!$D$215+'Cálculos'!$D$125*(1+2.78*('Cálculos'!$D$196+(($B$111)-$A72)*'Cálculos'!$D$98)/(('Cálculos'!$D$196+(($B$111)-$A72)*'Cálculos'!$D$98)+1400)+'Cálculos'!$D$123)*'Cálculos'!$D$220)+('Cálculos'!$D$201*(1+'Cálculos'!$D$202+$A72*('Cálculos'!$D$290=2)*'Cálculos'!$D$101)+'Cálculos'!$D$203)*('Cálculos'!$D$211+'Cálculos'!$D$124*(1+2.78*('Cálculos'!$D$196+(($B$111)-$A72)*'Cálculos'!$D$98)/(('Cálculos'!$D$196+(($B$111)-$A72)*'Cálculos'!$D$98)+1400)+'Cálculos'!$D$122)*'Cálculos'!$D$216+'Cálculos'!$D$125*(1+2.78*('Cálculos'!$D$196+(($B$111)-$A72)*'Cálculos'!$D$98)/(('Cálculos'!$D$196+(($B$111)-$A72)*'Cálculos'!$D$98)+1400)+'Cálculos'!$D$123)*'Cálculos'!$D$221)+('Cálculos'!$D$204*(1+'Cálculos'!$D$205+$A72*('Cálculos'!$D$290=3)*'Cálculos'!$D$103)+'Cálculos'!$D$206)*('Cálculos'!$D$212+'Cálculos'!$D$124*(1+2.78*('Cálculos'!$D$196+(($B$111)-$A72)*'Cálculos'!$D$98)/(('Cálculos'!$D$196+(($B$111)-$A72)*'Cálculos'!$D$98)+1400)+'Cálculos'!$D$122)*'Cálculos'!$D$217+'Cálculos'!$D$125*(1+2.78*('Cálculos'!$D$196+(($B$111)-$A72)*'Cálculos'!$D$98)/(('Cálculos'!$D$196+(($B$111)-$A72)*'Cálculos'!$D$98)+1400)+'Cálculos'!$D$123)*'Cálculos'!$D$222)+('Cálculos'!$D$185*(1+'Cálculos'!$D$187+$A72*('Cálculos'!$D$290=1)*'Cálculos'!$D$97+'Cálculos'!$D$305)+'Cálculos'!$D$192)*('Cálculos'!$D$224+'Cálculos'!$D$124*(1+2.78*('Cálculos'!$D$197+(($B$111)-$A72)*'Cálculos'!$D$98)/(('Cálculos'!$D$197+(($B$111)-$A72)*'Cálculos'!$D$98)+1400)+'Cálculos'!$D$122)*'Cálculos'!$D$229+'Cálculos'!$D$125*(1+2.78*('Cálculos'!$D$197+(($B$111)-$A72)*'Cálculos'!$D$98)/(('Cálculos'!$D$197+(($B$111)-$A72)*'Cálculos'!$D$98)+1400)+'Cálculos'!$D$123)*'Cálculos'!$D$234)+('Cálculos'!$D$197+(($B$111)-$A72)*'Cálculos'!$D$98)*('Cálculos'!$D$225+'Cálculos'!$D$124*(1+2.78*('Cálculos'!$D$197+(($B$111)-$A72)*'Cálculos'!$D$98)/(('Cálculos'!$D$197+(($B$111)-$A72)*'Cálculos'!$D$98)+1400)+'Cálculos'!$D$122)*'Cálculos'!$D$230+'Cálculos'!$D$125*(1+2.78*('Cálculos'!$D$197+(($B$111)-$A72)*'Cálculos'!$D$98)/(('Cálculos'!$D$197+(($B$111)-$A72)*'Cálculos'!$D$98)+1400)+'Cálculos'!$D$123)*'Cálculos'!$D$235)+('Cálculos'!$D$201*(1+'Cálculos'!$D$202+$A72*('Cálculos'!$D$290=2)*'Cálculos'!$D$101)+'Cálculos'!$D$203)*('Cálculos'!$D$226+'Cálculos'!$D$124*(1+2.78*('Cálculos'!$D$197+(($B$111)-$A72)*'Cálculos'!$D$98)/(('Cálculos'!$D$197+(($B$111)-$A72)*'Cálculos'!$D$98)+1400)+'Cálculos'!$D$122)*'Cálculos'!$D$231+'Cálculos'!$D$125*(1+2.78*('Cálculos'!$D$197+(($B$111)-$A72)*'Cálculos'!$D$98)/(('Cálculos'!$D$197+(($B$111)-$A72)*'Cálculos'!$D$98)+1400)+'Cálculos'!$D$123)*'Cálculos'!$D$236)+('Cálculos'!$D$204*(1+'Cálculos'!$D$205+$A72*('Cálculos'!$D$290=3)*'Cálculos'!$D$103)+'Cálculos'!$D$206)*('Cálculos'!$D$227+'Cálculos'!$D$124*(1+2.78*('Cálculos'!$D$197+(($B$111)-$A72)*'Cálculos'!$D$98)/(('Cálculos'!$D$197+(($B$111)-$A72)*'Cálculos'!$D$98)+1400)+'Cálculos'!$D$122)*'Cálculos'!$D$232+'Cálculos'!$D$125*(1+2.78*('Cálculos'!$D$197+(($B$111)-$A72)*'Cálculos'!$D$98)/(('Cálculos'!$D$197+(($B$111)-$A72)*'Cálculos'!$D$98)+1400)+'Cálculos'!$D$123)*'Cálculos'!$D$237)+('Cálculos'!$D$185*(1+'Cálculos'!$D$188+$A72*('Cálculos'!$D$290=1)*'Cálculos'!$D$97+'Cálculos'!$D$305)+'Cálculos'!$D$193)*('Cálculos'!$D$239+'Cálculos'!$D$124*(1+2.78*('Cálculos'!$D$198+(($B$111)-$A72)*'Cálculos'!$D$98)/(('Cálculos'!$D$198+(($B$111)-$A72)*'Cálculos'!$D$98)+1400)+'Cálculos'!$D$122)*'Cálculos'!$D$244+'Cálculos'!$D$125*(1+2.78*('Cálculos'!$D$198+(($B$111)-$A72)*'Cálculos'!$D$98)/(('Cálculos'!$D$198+(($B$111)-$A72)*'Cálculos'!$D$98)+1400)+'Cálculos'!$D$123)*'Cálculos'!$D$249)+('Cálculos'!$D$198+(($B$111)-$A72)*'Cálculos'!$D$98)*('Cálculos'!$D$240+'Cálculos'!$D$124*(1+2.78*('Cálculos'!$D$198+(($B$111)-$A72)*'Cálculos'!$D$98)/(('Cálculos'!$D$198+(($B$111)-$A72)*'Cálculos'!$D$98)+1400)+'Cálculos'!$D$122)*'Cálculos'!$D$245+'Cálculos'!$D$125*(1+2.78*('Cálculos'!$D$198+(($B$111)-$A72)*'Cálculos'!$D$98)/(('Cálculos'!$D$198+(($B$111)-$A72)*'Cálculos'!$D$98)+1400)+'Cálculos'!$D$123)*'Cálculos'!$D$250)+('Cálculos'!$D$201*(1+'Cálculos'!$D$202+$A72*('Cálculos'!$D$290=2)*'Cálculos'!$D$101)+'Cálculos'!$D$203)*('Cálculos'!$D$241+'Cálculos'!$D$124*(1+2.78*('Cálculos'!$D$198+(($B$111)-$A72)*'Cálculos'!$D$98)/(('Cálculos'!$D$198+(($B$111)-$A72)*'Cálculos'!$D$98)+1400)+'Cálculos'!$D$122)*'Cálculos'!$D$246+'Cálculos'!$D$125*(1+2.78*('Cálculos'!$D$198+(($B$111)-$A72)*'Cálculos'!$D$98)/(('Cálculos'!$D$198+(($B$111)-$A72)*'Cálculos'!$D$98)+1400)+'Cálculos'!$D$123)*'Cálculos'!$D$251)+('Cálculos'!$D$204*(1+'Cálculos'!$D$205+$A72*('Cálculos'!$D$290=3)*'Cálculos'!$D$103)+'Cálculos'!$D$206)*('Cálculos'!$D$242+'Cálculos'!$D$124*(1+2.78*('Cálculos'!$D$198+(($B$111)-$A72)*'Cálculos'!$D$98)/(('Cálculos'!$D$198+(($B$111)-$A72)*'Cálculos'!$D$98)+1400)+'Cálculos'!$D$122)*'Cálculos'!$D$247+'Cálculos'!$D$125*(1+2.78*('Cálculos'!$D$198+(($B$111)-$A72)*'Cálculos'!$D$98)/(('Cálculos'!$D$198+(($B$111)-$A72)*'Cálculos'!$D$98)+1400)+'Cálculos'!$D$123)*'Cálculos'!$D$252)+('Cálculos'!$D$185*(1+'Cálculos'!$D$189+$A72*('Cálculos'!$D$290=1)*'Cálculos'!$D$97+'Cálculos'!$D$305)+'Cálculos'!$D$194)*('Cálculos'!$D$254+'Cálculos'!$D$124*(1+2.78*('Cálculos'!$D$199+(($B$111)-$A72)*'Cálculos'!$D$98)/(('Cálculos'!$D$199+(($B$111)-$A72)*'Cálculos'!$D$98)+1400)+'Cálculos'!$D$122)*'Cálculos'!$D$259+'Cálculos'!$D$125*(1+2.78*('Cálculos'!$D$199+(($B$111)-$A72)*'Cálculos'!$D$98)/(('Cálculos'!$D$199+(($B$111)-$A72)*'Cálculos'!$D$98)+1400)+'Cálculos'!$D$123)*'Cálculos'!$D$264)+('Cálculos'!$D$199+(($B$111)-$A72)*'Cálculos'!$D$98)*('Cálculos'!$D$255+'Cálculos'!$D$124*(1+2.78*('Cálculos'!$D$199+(($B$111)-$A72)*'Cálculos'!$D$98)/(('Cálculos'!$D$199+(($B$111)-$A72)*'Cálculos'!$D$98)+1400)+'Cálculos'!$D$122)*'Cálculos'!$D$260+'Cálculos'!$D$125*(1+2.78*('Cálculos'!$D$199+(($B$111)-$A72)*'Cálculos'!$D$98)/(('Cálculos'!$D$199+(($B$111)-$A72)*'Cálculos'!$D$98)+1400)+'Cálculos'!$D$123)*'Cálculos'!$D$265)+('Cálculos'!$D$201*(1+'Cálculos'!$D$202+$A72*('Cálculos'!$D$290=2)*'Cálculos'!$D$101)+'Cálculos'!$D$203)*('Cálculos'!$D$256+'Cálculos'!$D$124*(1+2.78*('Cálculos'!$D$199+(($B$111)-$A72)*'Cálculos'!$D$98)/(('Cálculos'!$D$199+(($B$111)-$A72)*'Cálculos'!$D$98)+1400)+'Cálculos'!$D$122)*'Cálculos'!$D$261+'Cálculos'!$D$125*(1+2.78*('Cálculos'!$D$199+(($B$111)-$A72)*'Cálculos'!$D$98)/(('Cálculos'!$D$199+(($B$111)-$A72)*'Cálculos'!$D$98)+1400)+'Cálculos'!$D$123)*'Cálculos'!$D$266)+('Cálculos'!$D$204*(1+'Cálculos'!$D$205+$A72*('Cálculos'!$D$290=3)*'Cálculos'!$D$103)+'Cálculos'!$D$206)*('Cálculos'!$D$257+'Cálculos'!$D$124*(1+2.78*('Cálculos'!$D$199+(($B$111)-$A72)*'Cálculos'!$D$98)/(('Cálculos'!$D$199+(($B$111)-$A72)*'Cálculos'!$D$98)+1400)+'Cálculos'!$D$122)*'Cálculos'!$D$262+'Cálculos'!$D$125*(1+2.78*('Cálculos'!$D$199+(($B$111)-$A72)*'Cálculos'!$D$98)/(('Cálculos'!$D$199+(($B$111)-$A72)*'Cálculos'!$D$98)+1400)+'Cálculos'!$D$123)*'Cálculos'!$D$267)+('Cálculos'!$D$185*(1+'Cálculos'!$D$190+$A72*('Cálculos'!$D$290=1)*'Cálculos'!$D$97+'Cálculos'!$D$305)+'Cálculos'!$D$195)*('Cálculos'!$D$269+'Cálculos'!$D$124*(1+2.78*('Cálculos'!$D$200+(($B$111)-$A72)*'Cálculos'!$D$98)/(('Cálculos'!$D$200+(($B$111)-$A72)*'Cálculos'!$D$98)+1400)+'Cálculos'!$D$122)*'Cálculos'!$D$274+'Cálculos'!$D$125*(1+2.78*('Cálculos'!$D$200+(($B$111)-$A72)*'Cálculos'!$D$98)/(('Cálculos'!$D$200+(($B$111)-$A72)*'Cálculos'!$D$98)+1400)+'Cálculos'!$D$123)*'Cálculos'!$D$279)+('Cálculos'!$D$200+(($B$111)-$A72)*'Cálculos'!$D$98)*('Cálculos'!$D$270+'Cálculos'!$D$124*(1+2.78*('Cálculos'!$D$200+(($B$111)-$A72)*'Cálculos'!$D$98)/(('Cálculos'!$D$200+(($B$111)-$A72)*'Cálculos'!$D$98)+1400)+'Cálculos'!$D$122)*'Cálculos'!$D$275+'Cálculos'!$D$125*(1+2.78*('Cálculos'!$D$200+(($B$111)-$A72)*'Cálculos'!$D$98)/(('Cálculos'!$D$200+(($B$111)-$A72)*'Cálculos'!$D$98)+1400)+'Cálculos'!$D$123)*'Cálculos'!$D$280)+('Cálculos'!$D$201*(1+'Cálculos'!$D$202+$A72*('Cálculos'!$D$290=2)*'Cálculos'!$D$101)+'Cálculos'!$D$203)*('Cálculos'!$D$271+'Cálculos'!$D$124*(1+2.78*('Cálculos'!$D$200+(($B$111)-$A72)*'Cálculos'!$D$98)/(('Cálculos'!$D$200+(($B$111)-$A72)*'Cálculos'!$D$98)+1400)+'Cálculos'!$D$122)*'Cálculos'!$D$276+'Cálculos'!$D$125*(1+2.78*('Cálculos'!$D$200+(($B$111)-$A72)*'Cálculos'!$D$98)/(('Cálculos'!$D$200+(($B$111)-$A72)*'Cálculos'!$D$98)+1400)+'Cálculos'!$D$123)*'Cálculos'!$D$281)+('Cálculos'!$D$204*(1+'Cálculos'!$D$205+$A72*('Cálculos'!$D$290=3)*'Cálculos'!$D$103)+'Cálculos'!$D$206)*('Cálculos'!$D$272+'Cálculos'!$D$124*(1+2.78*('Cálculos'!$D$200+(($B$111)-$A72)*'Cálculos'!$D$98)/(('Cálculos'!$D$200+(($B$111)-$A72)*'Cálculos'!$D$98)+1400)+'Cálculos'!$D$122)*'Cálculos'!$D$277+'Cálculos'!$D$125*(1+2.78*('Cálculos'!$D$200+(($B$111)-$A72)*'Cálculos'!$D$98)/(('Cálculos'!$D$200+(($B$111)-$A72)*'Cálculos'!$D$98)+1400)+'Cálculos'!$D$123)*'Cálculos'!$D$282)))</f>
        <v>0</v>
      </c>
    </row>
    <row r="73" ht="15.75" customHeight="1">
      <c r="A73" s="2">
        <v>10.0</v>
      </c>
      <c r="B73" s="30">
        <f>SUMPRODUCT(MAX(($A$63:$A$108&lt;=$A73)*($A$63:$A$108&lt;='Cálculos'!$D$294)*(($A73)-$A$63:$A$108&lt;='Cálculos'!$D$295)*(1+(('Cálculos'!$D$207+$A$63:$A$108*'Cálculos'!$D$95)-(('Cálculos'!$D$207+$A$63:$A$108*'Cálculos'!$D$95)&gt;1)*(('Cálculos'!$D$207+$A$63:$A$108*'Cálculos'!$D$95)-1))*('Cálculos'!$D$208+(($A73)-$A$63:$A$108)*'Cálculos'!$D$96))))</f>
        <v>1.42694212</v>
      </c>
      <c r="C73" s="2">
        <f>'Cálculos'!$D$303-$A73</f>
        <v>1</v>
      </c>
      <c r="D73" s="31">
        <f>IF($C73&lt;0,0,SUMPRODUCT(MAX(($A$63:$A$108&lt;=$C73)*($A$63:$A$108&lt;='Cálculos'!$D$301)*(($C73)-$A$63:$A$108&lt;='Cálculos'!$D$297)*(('Cálculos'!$D$185*(1+'Cálculos'!$D$186+$A$63:$A$108*('Cálculos'!$D$290=1)*'Cálculos'!$D$97+'Cálculos'!$D$305)+'Cálculos'!$D$191)*('Cálculos'!$D$209+'Cálculos'!$D$124*(1+2.78*('Cálculos'!$D$196+(($C73)-$A$63:$A$108)*'Cálculos'!$D$98)/(('Cálculos'!$D$196+(($C73)-$A$63:$A$108)*'Cálculos'!$D$98)+1400)+'Cálculos'!$D$122)*'Cálculos'!$D$214+'Cálculos'!$D$125*(1+2.78*('Cálculos'!$D$196+(($C73)-$A$63:$A$108)*'Cálculos'!$D$98)/(('Cálculos'!$D$196+(($C73)-$A$63:$A$108)*'Cálculos'!$D$98)+1400)+'Cálculos'!$D$123)*'Cálculos'!$D$219)+('Cálculos'!$D$196+(($C73)-$A$63:$A$108)*'Cálculos'!$D$98)*('Cálculos'!$D$210+'Cálculos'!$D$124*(1+2.78*('Cálculos'!$D$196+(($C73)-$A$63:$A$108)*'Cálculos'!$D$98)/(('Cálculos'!$D$196+(($C73)-$A$63:$A$108)*'Cálculos'!$D$98)+1400)+'Cálculos'!$D$122)*'Cálculos'!$D$215+'Cálculos'!$D$125*(1+2.78*('Cálculos'!$D$196+(($C73)-$A$63:$A$108)*'Cálculos'!$D$98)/(('Cálculos'!$D$196+(($C73)-$A$63:$A$108)*'Cálculos'!$D$98)+1400)+'Cálculos'!$D$123)*'Cálculos'!$D$220)+('Cálculos'!$D$201*(1+'Cálculos'!$D$202+$A$63:$A$108*('Cálculos'!$D$290=2)*'Cálculos'!$D$101)+'Cálculos'!$D$203)*('Cálculos'!$D$211+'Cálculos'!$D$124*(1+2.78*('Cálculos'!$D$196+(($C73)-$A$63:$A$108)*'Cálculos'!$D$98)/(('Cálculos'!$D$196+(($C73)-$A$63:$A$108)*'Cálculos'!$D$98)+1400)+'Cálculos'!$D$122)*'Cálculos'!$D$216+'Cálculos'!$D$125*(1+2.78*('Cálculos'!$D$196+(($C73)-$A$63:$A$108)*'Cálculos'!$D$98)/(('Cálculos'!$D$196+(($C73)-$A$63:$A$108)*'Cálculos'!$D$98)+1400)+'Cálculos'!$D$123)*'Cálculos'!$D$221)+('Cálculos'!$D$204*(1+'Cálculos'!$D$205+$A$63:$A$108*('Cálculos'!$D$290=3)*'Cálculos'!$D$103)+'Cálculos'!$D$206)*('Cálculos'!$D$212+'Cálculos'!$D$124*(1+2.78*('Cálculos'!$D$196+(($C73)-$A$63:$A$108)*'Cálculos'!$D$98)/(('Cálculos'!$D$196+(($C73)-$A$63:$A$108)*'Cálculos'!$D$98)+1400)+'Cálculos'!$D$122)*'Cálculos'!$D$217+'Cálculos'!$D$125*(1+2.78*('Cálculos'!$D$196+(($C73)-$A$63:$A$108)*'Cálculos'!$D$98)/(('Cálculos'!$D$196+(($C73)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73)-$A$63:$A$108)*'Cálculos'!$D$98)/(('Cálculos'!$D$197+(($C73)-$A$63:$A$108)*'Cálculos'!$D$98)+1400)+'Cálculos'!$D$122)*'Cálculos'!$D$229+'Cálculos'!$D$125*(1+2.78*('Cálculos'!$D$197+(($C73)-$A$63:$A$108)*'Cálculos'!$D$98)/(('Cálculos'!$D$197+(($C73)-$A$63:$A$108)*'Cálculos'!$D$98)+1400)+'Cálculos'!$D$123)*'Cálculos'!$D$234)+('Cálculos'!$D$197+(($C73)-$A$63:$A$108)*'Cálculos'!$D$98)*('Cálculos'!$D$225+'Cálculos'!$D$124*(1+2.78*('Cálculos'!$D$197+(($C73)-$A$63:$A$108)*'Cálculos'!$D$98)/(('Cálculos'!$D$197+(($C73)-$A$63:$A$108)*'Cálculos'!$D$98)+1400)+'Cálculos'!$D$122)*'Cálculos'!$D$230+'Cálculos'!$D$125*(1+2.78*('Cálculos'!$D$197+(($C73)-$A$63:$A$108)*'Cálculos'!$D$98)/(('Cálculos'!$D$197+(($C73)-$A$63:$A$108)*'Cálculos'!$D$98)+1400)+'Cálculos'!$D$123)*'Cálculos'!$D$235)+('Cálculos'!$D$201*(1+'Cálculos'!$D$202+$A$63:$A$108*('Cálculos'!$D$290=2)*'Cálculos'!$D$101)+'Cálculos'!$D$203)*('Cálculos'!$D$226+'Cálculos'!$D$124*(1+2.78*('Cálculos'!$D$197+(($C73)-$A$63:$A$108)*'Cálculos'!$D$98)/(('Cálculos'!$D$197+(($C73)-$A$63:$A$108)*'Cálculos'!$D$98)+1400)+'Cálculos'!$D$122)*'Cálculos'!$D$231+'Cálculos'!$D$125*(1+2.78*('Cálculos'!$D$197+(($C73)-$A$63:$A$108)*'Cálculos'!$D$98)/(('Cálculos'!$D$197+(($C73)-$A$63:$A$108)*'Cálculos'!$D$98)+1400)+'Cálculos'!$D$123)*'Cálculos'!$D$236)+('Cálculos'!$D$204*(1+'Cálculos'!$D$205+$A$63:$A$108*('Cálculos'!$D$290=3)*'Cálculos'!$D$103)+'Cálculos'!$D$206)*('Cálculos'!$D$227+'Cálculos'!$D$124*(1+2.78*('Cálculos'!$D$197+(($C73)-$A$63:$A$108)*'Cálculos'!$D$98)/(('Cálculos'!$D$197+(($C73)-$A$63:$A$108)*'Cálculos'!$D$98)+1400)+'Cálculos'!$D$122)*'Cálculos'!$D$232+'Cálculos'!$D$125*(1+2.78*('Cálculos'!$D$197+(($C73)-$A$63:$A$108)*'Cálculos'!$D$98)/(('Cálculos'!$D$197+(($C73)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73)-$A$63:$A$108)*'Cálculos'!$D$98)/(('Cálculos'!$D$198+(($C73)-$A$63:$A$108)*'Cálculos'!$D$98)+1400)+'Cálculos'!$D$122)*'Cálculos'!$D$244+'Cálculos'!$D$125*(1+2.78*('Cálculos'!$D$198+(($C73)-$A$63:$A$108)*'Cálculos'!$D$98)/(('Cálculos'!$D$198+(($C73)-$A$63:$A$108)*'Cálculos'!$D$98)+1400)+'Cálculos'!$D$123)*'Cálculos'!$D$249)+('Cálculos'!$D$198+(($C73)-$A$63:$A$108)*'Cálculos'!$D$98)*('Cálculos'!$D$240+'Cálculos'!$D$124*(1+2.78*('Cálculos'!$D$198+(($C73)-$A$63:$A$108)*'Cálculos'!$D$98)/(('Cálculos'!$D$198+(($C73)-$A$63:$A$108)*'Cálculos'!$D$98)+1400)+'Cálculos'!$D$122)*'Cálculos'!$D$245+'Cálculos'!$D$125*(1+2.78*('Cálculos'!$D$198+(($C73)-$A$63:$A$108)*'Cálculos'!$D$98)/(('Cálculos'!$D$198+(($C73)-$A$63:$A$108)*'Cálculos'!$D$98)+1400)+'Cálculos'!$D$123)*'Cálculos'!$D$250)+('Cálculos'!$D$201*(1+'Cálculos'!$D$202+$A$63:$A$108*('Cálculos'!$D$290=2)*'Cálculos'!$D$101)+'Cálculos'!$D$203)*('Cálculos'!$D$241+'Cálculos'!$D$124*(1+2.78*('Cálculos'!$D$198+(($C73)-$A$63:$A$108)*'Cálculos'!$D$98)/(('Cálculos'!$D$198+(($C73)-$A$63:$A$108)*'Cálculos'!$D$98)+1400)+'Cálculos'!$D$122)*'Cálculos'!$D$246+'Cálculos'!$D$125*(1+2.78*('Cálculos'!$D$198+(($C73)-$A$63:$A$108)*'Cálculos'!$D$98)/(('Cálculos'!$D$198+(($C73)-$A$63:$A$108)*'Cálculos'!$D$98)+1400)+'Cálculos'!$D$123)*'Cálculos'!$D$251)+('Cálculos'!$D$204*(1+'Cálculos'!$D$205+$A$63:$A$108*('Cálculos'!$D$290=3)*'Cálculos'!$D$103)+'Cálculos'!$D$206)*('Cálculos'!$D$242+'Cálculos'!$D$124*(1+2.78*('Cálculos'!$D$198+(($C73)-$A$63:$A$108)*'Cálculos'!$D$98)/(('Cálculos'!$D$198+(($C73)-$A$63:$A$108)*'Cálculos'!$D$98)+1400)+'Cálculos'!$D$122)*'Cálculos'!$D$247+'Cálculos'!$D$125*(1+2.78*('Cálculos'!$D$198+(($C73)-$A$63:$A$108)*'Cálculos'!$D$98)/(('Cálculos'!$D$198+(($C73)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73)-$A$63:$A$108)*'Cálculos'!$D$98)/(('Cálculos'!$D$199+(($C73)-$A$63:$A$108)*'Cálculos'!$D$98)+1400)+'Cálculos'!$D$122)*'Cálculos'!$D$259+'Cálculos'!$D$125*(1+2.78*('Cálculos'!$D$199+(($C73)-$A$63:$A$108)*'Cálculos'!$D$98)/(('Cálculos'!$D$199+(($C73)-$A$63:$A$108)*'Cálculos'!$D$98)+1400)+'Cálculos'!$D$123)*'Cálculos'!$D$264)+('Cálculos'!$D$199+(($C73)-$A$63:$A$108)*'Cálculos'!$D$98)*('Cálculos'!$D$255+'Cálculos'!$D$124*(1+2.78*('Cálculos'!$D$199+(($C73)-$A$63:$A$108)*'Cálculos'!$D$98)/(('Cálculos'!$D$199+(($C73)-$A$63:$A$108)*'Cálculos'!$D$98)+1400)+'Cálculos'!$D$122)*'Cálculos'!$D$260+'Cálculos'!$D$125*(1+2.78*('Cálculos'!$D$199+(($C73)-$A$63:$A$108)*'Cálculos'!$D$98)/(('Cálculos'!$D$199+(($C73)-$A$63:$A$108)*'Cálculos'!$D$98)+1400)+'Cálculos'!$D$123)*'Cálculos'!$D$265)+('Cálculos'!$D$201*(1+'Cálculos'!$D$202+$A$63:$A$108*('Cálculos'!$D$290=2)*'Cálculos'!$D$101)+'Cálculos'!$D$203)*('Cálculos'!$D$256+'Cálculos'!$D$124*(1+2.78*('Cálculos'!$D$199+(($C73)-$A$63:$A$108)*'Cálculos'!$D$98)/(('Cálculos'!$D$199+(($C73)-$A$63:$A$108)*'Cálculos'!$D$98)+1400)+'Cálculos'!$D$122)*'Cálculos'!$D$261+'Cálculos'!$D$125*(1+2.78*('Cálculos'!$D$199+(($C73)-$A$63:$A$108)*'Cálculos'!$D$98)/(('Cálculos'!$D$199+(($C73)-$A$63:$A$108)*'Cálculos'!$D$98)+1400)+'Cálculos'!$D$123)*'Cálculos'!$D$266)+('Cálculos'!$D$204*(1+'Cálculos'!$D$205+$A$63:$A$108*('Cálculos'!$D$290=3)*'Cálculos'!$D$103)+'Cálculos'!$D$206)*('Cálculos'!$D$257+'Cálculos'!$D$124*(1+2.78*('Cálculos'!$D$199+(($C73)-$A$63:$A$108)*'Cálculos'!$D$98)/(('Cálculos'!$D$199+(($C73)-$A$63:$A$108)*'Cálculos'!$D$98)+1400)+'Cálculos'!$D$122)*'Cálculos'!$D$262+'Cálculos'!$D$125*(1+2.78*('Cálculos'!$D$199+(($C73)-$A$63:$A$108)*'Cálculos'!$D$98)/(('Cálculos'!$D$199+(($C73)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73)-$A$63:$A$108)*'Cálculos'!$D$98)/(('Cálculos'!$D$200+(($C73)-$A$63:$A$108)*'Cálculos'!$D$98)+1400)+'Cálculos'!$D$122)*'Cálculos'!$D$274+'Cálculos'!$D$125*(1+2.78*('Cálculos'!$D$200+(($C73)-$A$63:$A$108)*'Cálculos'!$D$98)/(('Cálculos'!$D$200+(($C73)-$A$63:$A$108)*'Cálculos'!$D$98)+1400)+'Cálculos'!$D$123)*'Cálculos'!$D$279)+('Cálculos'!$D$200+(($C73)-$A$63:$A$108)*'Cálculos'!$D$98)*('Cálculos'!$D$270+'Cálculos'!$D$124*(1+2.78*('Cálculos'!$D$200+(($C73)-$A$63:$A$108)*'Cálculos'!$D$98)/(('Cálculos'!$D$200+(($C73)-$A$63:$A$108)*'Cálculos'!$D$98)+1400)+'Cálculos'!$D$122)*'Cálculos'!$D$275+'Cálculos'!$D$125*(1+2.78*('Cálculos'!$D$200+(($C73)-$A$63:$A$108)*'Cálculos'!$D$98)/(('Cálculos'!$D$200+(($C73)-$A$63:$A$108)*'Cálculos'!$D$98)+1400)+'Cálculos'!$D$123)*'Cálculos'!$D$280)+('Cálculos'!$D$201*(1+'Cálculos'!$D$202+$A$63:$A$108*('Cálculos'!$D$290=2)*'Cálculos'!$D$101)+'Cálculos'!$D$203)*('Cálculos'!$D$271+'Cálculos'!$D$124*(1+2.78*('Cálculos'!$D$200+(($C73)-$A$63:$A$108)*'Cálculos'!$D$98)/(('Cálculos'!$D$200+(($C73)-$A$63:$A$108)*'Cálculos'!$D$98)+1400)+'Cálculos'!$D$122)*'Cálculos'!$D$276+'Cálculos'!$D$125*(1+2.78*('Cálculos'!$D$200+(($C73)-$A$63:$A$108)*'Cálculos'!$D$98)/(('Cálculos'!$D$200+(($C73)-$A$63:$A$108)*'Cálculos'!$D$98)+1400)+'Cálculos'!$D$123)*'Cálculos'!$D$281)+('Cálculos'!$D$204*(1+'Cálculos'!$D$205+$A$63:$A$108*('Cálculos'!$D$290=3)*'Cálculos'!$D$103)+'Cálculos'!$D$206)*('Cálculos'!$D$272+'Cálculos'!$D$124*(1+2.78*('Cálculos'!$D$200+(($C73)-$A$63:$A$108)*'Cálculos'!$D$98)/(('Cálculos'!$D$200+(($C73)-$A$63:$A$108)*'Cálculos'!$D$98)+1400)+'Cálculos'!$D$122)*'Cálculos'!$D$277+'Cálculos'!$D$125*(1+2.78*('Cálculos'!$D$200+(($C73)-$A$63:$A$108)*'Cálculos'!$D$98)/(('Cálculos'!$D$200+(($C73)-$A$63:$A$108)*'Cálculos'!$D$98)+1400)+'Cálculos'!$D$123)*'Cálculos'!$D$282)))))</f>
        <v>71395.77706</v>
      </c>
      <c r="E73" s="32">
        <f>IF(OR($C73&lt;0,'Cálculos'!$D$6=""),0,$B73*$D73)</f>
        <v>101877.6415</v>
      </c>
      <c r="F73" s="2"/>
      <c r="G73" s="30">
        <f>($A73&lt;=$B$110)*($A73&lt;='Cálculos'!$D$294)*(($B$110)-$A73&lt;='Cálculos'!$D$295)*(1+MIN(('Cálculos'!$D$207+$A73*'Cálculos'!$D$95),1)*('Cálculos'!$D$208+(($B$110)-$A73)*'Cálculos'!$D$96))</f>
        <v>1.413027693</v>
      </c>
      <c r="H73" s="31">
        <f>IF($B$111&lt;0,0,($A73&lt;=$B$111)*($A73&lt;='Cálculos'!$D$301)*(($B$111)-$A73&lt;='Cálculos'!$D$297)*(('Cálculos'!$D$185*(1+'Cálculos'!$D$186+$A73*('Cálculos'!$D$290=1)*'Cálculos'!$D$97+'Cálculos'!$D$305)+'Cálculos'!$D$191)*('Cálculos'!$D$209+'Cálculos'!$D$124*(1+2.78*('Cálculos'!$D$196+(($B$111)-$A73)*'Cálculos'!$D$98)/(('Cálculos'!$D$196+(($B$111)-$A73)*'Cálculos'!$D$98)+1400)+'Cálculos'!$D$122)*'Cálculos'!$D$214+'Cálculos'!$D$125*(1+2.78*('Cálculos'!$D$196+(($B$111)-$A73)*'Cálculos'!$D$98)/(('Cálculos'!$D$196+(($B$111)-$A73)*'Cálculos'!$D$98)+1400)+'Cálculos'!$D$123)*'Cálculos'!$D$219)+('Cálculos'!$D$196+(($B$111)-$A73)*'Cálculos'!$D$98)*('Cálculos'!$D$210+'Cálculos'!$D$124*(1+2.78*('Cálculos'!$D$196+(($B$111)-$A73)*'Cálculos'!$D$98)/(('Cálculos'!$D$196+(($B$111)-$A73)*'Cálculos'!$D$98)+1400)+'Cálculos'!$D$122)*'Cálculos'!$D$215+'Cálculos'!$D$125*(1+2.78*('Cálculos'!$D$196+(($B$111)-$A73)*'Cálculos'!$D$98)/(('Cálculos'!$D$196+(($B$111)-$A73)*'Cálculos'!$D$98)+1400)+'Cálculos'!$D$123)*'Cálculos'!$D$220)+('Cálculos'!$D$201*(1+'Cálculos'!$D$202+$A73*('Cálculos'!$D$290=2)*'Cálculos'!$D$101)+'Cálculos'!$D$203)*('Cálculos'!$D$211+'Cálculos'!$D$124*(1+2.78*('Cálculos'!$D$196+(($B$111)-$A73)*'Cálculos'!$D$98)/(('Cálculos'!$D$196+(($B$111)-$A73)*'Cálculos'!$D$98)+1400)+'Cálculos'!$D$122)*'Cálculos'!$D$216+'Cálculos'!$D$125*(1+2.78*('Cálculos'!$D$196+(($B$111)-$A73)*'Cálculos'!$D$98)/(('Cálculos'!$D$196+(($B$111)-$A73)*'Cálculos'!$D$98)+1400)+'Cálculos'!$D$123)*'Cálculos'!$D$221)+('Cálculos'!$D$204*(1+'Cálculos'!$D$205+$A73*('Cálculos'!$D$290=3)*'Cálculos'!$D$103)+'Cálculos'!$D$206)*('Cálculos'!$D$212+'Cálculos'!$D$124*(1+2.78*('Cálculos'!$D$196+(($B$111)-$A73)*'Cálculos'!$D$98)/(('Cálculos'!$D$196+(($B$111)-$A73)*'Cálculos'!$D$98)+1400)+'Cálculos'!$D$122)*'Cálculos'!$D$217+'Cálculos'!$D$125*(1+2.78*('Cálculos'!$D$196+(($B$111)-$A73)*'Cálculos'!$D$98)/(('Cálculos'!$D$196+(($B$111)-$A73)*'Cálculos'!$D$98)+1400)+'Cálculos'!$D$123)*'Cálculos'!$D$222)+('Cálculos'!$D$185*(1+'Cálculos'!$D$187+$A73*('Cálculos'!$D$290=1)*'Cálculos'!$D$97+'Cálculos'!$D$305)+'Cálculos'!$D$192)*('Cálculos'!$D$224+'Cálculos'!$D$124*(1+2.78*('Cálculos'!$D$197+(($B$111)-$A73)*'Cálculos'!$D$98)/(('Cálculos'!$D$197+(($B$111)-$A73)*'Cálculos'!$D$98)+1400)+'Cálculos'!$D$122)*'Cálculos'!$D$229+'Cálculos'!$D$125*(1+2.78*('Cálculos'!$D$197+(($B$111)-$A73)*'Cálculos'!$D$98)/(('Cálculos'!$D$197+(($B$111)-$A73)*'Cálculos'!$D$98)+1400)+'Cálculos'!$D$123)*'Cálculos'!$D$234)+('Cálculos'!$D$197+(($B$111)-$A73)*'Cálculos'!$D$98)*('Cálculos'!$D$225+'Cálculos'!$D$124*(1+2.78*('Cálculos'!$D$197+(($B$111)-$A73)*'Cálculos'!$D$98)/(('Cálculos'!$D$197+(($B$111)-$A73)*'Cálculos'!$D$98)+1400)+'Cálculos'!$D$122)*'Cálculos'!$D$230+'Cálculos'!$D$125*(1+2.78*('Cálculos'!$D$197+(($B$111)-$A73)*'Cálculos'!$D$98)/(('Cálculos'!$D$197+(($B$111)-$A73)*'Cálculos'!$D$98)+1400)+'Cálculos'!$D$123)*'Cálculos'!$D$235)+('Cálculos'!$D$201*(1+'Cálculos'!$D$202+$A73*('Cálculos'!$D$290=2)*'Cálculos'!$D$101)+'Cálculos'!$D$203)*('Cálculos'!$D$226+'Cálculos'!$D$124*(1+2.78*('Cálculos'!$D$197+(($B$111)-$A73)*'Cálculos'!$D$98)/(('Cálculos'!$D$197+(($B$111)-$A73)*'Cálculos'!$D$98)+1400)+'Cálculos'!$D$122)*'Cálculos'!$D$231+'Cálculos'!$D$125*(1+2.78*('Cálculos'!$D$197+(($B$111)-$A73)*'Cálculos'!$D$98)/(('Cálculos'!$D$197+(($B$111)-$A73)*'Cálculos'!$D$98)+1400)+'Cálculos'!$D$123)*'Cálculos'!$D$236)+('Cálculos'!$D$204*(1+'Cálculos'!$D$205+$A73*('Cálculos'!$D$290=3)*'Cálculos'!$D$103)+'Cálculos'!$D$206)*('Cálculos'!$D$227+'Cálculos'!$D$124*(1+2.78*('Cálculos'!$D$197+(($B$111)-$A73)*'Cálculos'!$D$98)/(('Cálculos'!$D$197+(($B$111)-$A73)*'Cálculos'!$D$98)+1400)+'Cálculos'!$D$122)*'Cálculos'!$D$232+'Cálculos'!$D$125*(1+2.78*('Cálculos'!$D$197+(($B$111)-$A73)*'Cálculos'!$D$98)/(('Cálculos'!$D$197+(($B$111)-$A73)*'Cálculos'!$D$98)+1400)+'Cálculos'!$D$123)*'Cálculos'!$D$237)+('Cálculos'!$D$185*(1+'Cálculos'!$D$188+$A73*('Cálculos'!$D$290=1)*'Cálculos'!$D$97+'Cálculos'!$D$305)+'Cálculos'!$D$193)*('Cálculos'!$D$239+'Cálculos'!$D$124*(1+2.78*('Cálculos'!$D$198+(($B$111)-$A73)*'Cálculos'!$D$98)/(('Cálculos'!$D$198+(($B$111)-$A73)*'Cálculos'!$D$98)+1400)+'Cálculos'!$D$122)*'Cálculos'!$D$244+'Cálculos'!$D$125*(1+2.78*('Cálculos'!$D$198+(($B$111)-$A73)*'Cálculos'!$D$98)/(('Cálculos'!$D$198+(($B$111)-$A73)*'Cálculos'!$D$98)+1400)+'Cálculos'!$D$123)*'Cálculos'!$D$249)+('Cálculos'!$D$198+(($B$111)-$A73)*'Cálculos'!$D$98)*('Cálculos'!$D$240+'Cálculos'!$D$124*(1+2.78*('Cálculos'!$D$198+(($B$111)-$A73)*'Cálculos'!$D$98)/(('Cálculos'!$D$198+(($B$111)-$A73)*'Cálculos'!$D$98)+1400)+'Cálculos'!$D$122)*'Cálculos'!$D$245+'Cálculos'!$D$125*(1+2.78*('Cálculos'!$D$198+(($B$111)-$A73)*'Cálculos'!$D$98)/(('Cálculos'!$D$198+(($B$111)-$A73)*'Cálculos'!$D$98)+1400)+'Cálculos'!$D$123)*'Cálculos'!$D$250)+('Cálculos'!$D$201*(1+'Cálculos'!$D$202+$A73*('Cálculos'!$D$290=2)*'Cálculos'!$D$101)+'Cálculos'!$D$203)*('Cálculos'!$D$241+'Cálculos'!$D$124*(1+2.78*('Cálculos'!$D$198+(($B$111)-$A73)*'Cálculos'!$D$98)/(('Cálculos'!$D$198+(($B$111)-$A73)*'Cálculos'!$D$98)+1400)+'Cálculos'!$D$122)*'Cálculos'!$D$246+'Cálculos'!$D$125*(1+2.78*('Cálculos'!$D$198+(($B$111)-$A73)*'Cálculos'!$D$98)/(('Cálculos'!$D$198+(($B$111)-$A73)*'Cálculos'!$D$98)+1400)+'Cálculos'!$D$123)*'Cálculos'!$D$251)+('Cálculos'!$D$204*(1+'Cálculos'!$D$205+$A73*('Cálculos'!$D$290=3)*'Cálculos'!$D$103)+'Cálculos'!$D$206)*('Cálculos'!$D$242+'Cálculos'!$D$124*(1+2.78*('Cálculos'!$D$198+(($B$111)-$A73)*'Cálculos'!$D$98)/(('Cálculos'!$D$198+(($B$111)-$A73)*'Cálculos'!$D$98)+1400)+'Cálculos'!$D$122)*'Cálculos'!$D$247+'Cálculos'!$D$125*(1+2.78*('Cálculos'!$D$198+(($B$111)-$A73)*'Cálculos'!$D$98)/(('Cálculos'!$D$198+(($B$111)-$A73)*'Cálculos'!$D$98)+1400)+'Cálculos'!$D$123)*'Cálculos'!$D$252)+('Cálculos'!$D$185*(1+'Cálculos'!$D$189+$A73*('Cálculos'!$D$290=1)*'Cálculos'!$D$97+'Cálculos'!$D$305)+'Cálculos'!$D$194)*('Cálculos'!$D$254+'Cálculos'!$D$124*(1+2.78*('Cálculos'!$D$199+(($B$111)-$A73)*'Cálculos'!$D$98)/(('Cálculos'!$D$199+(($B$111)-$A73)*'Cálculos'!$D$98)+1400)+'Cálculos'!$D$122)*'Cálculos'!$D$259+'Cálculos'!$D$125*(1+2.78*('Cálculos'!$D$199+(($B$111)-$A73)*'Cálculos'!$D$98)/(('Cálculos'!$D$199+(($B$111)-$A73)*'Cálculos'!$D$98)+1400)+'Cálculos'!$D$123)*'Cálculos'!$D$264)+('Cálculos'!$D$199+(($B$111)-$A73)*'Cálculos'!$D$98)*('Cálculos'!$D$255+'Cálculos'!$D$124*(1+2.78*('Cálculos'!$D$199+(($B$111)-$A73)*'Cálculos'!$D$98)/(('Cálculos'!$D$199+(($B$111)-$A73)*'Cálculos'!$D$98)+1400)+'Cálculos'!$D$122)*'Cálculos'!$D$260+'Cálculos'!$D$125*(1+2.78*('Cálculos'!$D$199+(($B$111)-$A73)*'Cálculos'!$D$98)/(('Cálculos'!$D$199+(($B$111)-$A73)*'Cálculos'!$D$98)+1400)+'Cálculos'!$D$123)*'Cálculos'!$D$265)+('Cálculos'!$D$201*(1+'Cálculos'!$D$202+$A73*('Cálculos'!$D$290=2)*'Cálculos'!$D$101)+'Cálculos'!$D$203)*('Cálculos'!$D$256+'Cálculos'!$D$124*(1+2.78*('Cálculos'!$D$199+(($B$111)-$A73)*'Cálculos'!$D$98)/(('Cálculos'!$D$199+(($B$111)-$A73)*'Cálculos'!$D$98)+1400)+'Cálculos'!$D$122)*'Cálculos'!$D$261+'Cálculos'!$D$125*(1+2.78*('Cálculos'!$D$199+(($B$111)-$A73)*'Cálculos'!$D$98)/(('Cálculos'!$D$199+(($B$111)-$A73)*'Cálculos'!$D$98)+1400)+'Cálculos'!$D$123)*'Cálculos'!$D$266)+('Cálculos'!$D$204*(1+'Cálculos'!$D$205+$A73*('Cálculos'!$D$290=3)*'Cálculos'!$D$103)+'Cálculos'!$D$206)*('Cálculos'!$D$257+'Cálculos'!$D$124*(1+2.78*('Cálculos'!$D$199+(($B$111)-$A73)*'Cálculos'!$D$98)/(('Cálculos'!$D$199+(($B$111)-$A73)*'Cálculos'!$D$98)+1400)+'Cálculos'!$D$122)*'Cálculos'!$D$262+'Cálculos'!$D$125*(1+2.78*('Cálculos'!$D$199+(($B$111)-$A73)*'Cálculos'!$D$98)/(('Cálculos'!$D$199+(($B$111)-$A73)*'Cálculos'!$D$98)+1400)+'Cálculos'!$D$123)*'Cálculos'!$D$267)+('Cálculos'!$D$185*(1+'Cálculos'!$D$190+$A73*('Cálculos'!$D$290=1)*'Cálculos'!$D$97+'Cálculos'!$D$305)+'Cálculos'!$D$195)*('Cálculos'!$D$269+'Cálculos'!$D$124*(1+2.78*('Cálculos'!$D$200+(($B$111)-$A73)*'Cálculos'!$D$98)/(('Cálculos'!$D$200+(($B$111)-$A73)*'Cálculos'!$D$98)+1400)+'Cálculos'!$D$122)*'Cálculos'!$D$274+'Cálculos'!$D$125*(1+2.78*('Cálculos'!$D$200+(($B$111)-$A73)*'Cálculos'!$D$98)/(('Cálculos'!$D$200+(($B$111)-$A73)*'Cálculos'!$D$98)+1400)+'Cálculos'!$D$123)*'Cálculos'!$D$279)+('Cálculos'!$D$200+(($B$111)-$A73)*'Cálculos'!$D$98)*('Cálculos'!$D$270+'Cálculos'!$D$124*(1+2.78*('Cálculos'!$D$200+(($B$111)-$A73)*'Cálculos'!$D$98)/(('Cálculos'!$D$200+(($B$111)-$A73)*'Cálculos'!$D$98)+1400)+'Cálculos'!$D$122)*'Cálculos'!$D$275+'Cálculos'!$D$125*(1+2.78*('Cálculos'!$D$200+(($B$111)-$A73)*'Cálculos'!$D$98)/(('Cálculos'!$D$200+(($B$111)-$A73)*'Cálculos'!$D$98)+1400)+'Cálculos'!$D$123)*'Cálculos'!$D$280)+('Cálculos'!$D$201*(1+'Cálculos'!$D$202+$A73*('Cálculos'!$D$290=2)*'Cálculos'!$D$101)+'Cálculos'!$D$203)*('Cálculos'!$D$271+'Cálculos'!$D$124*(1+2.78*('Cálculos'!$D$200+(($B$111)-$A73)*'Cálculos'!$D$98)/(('Cálculos'!$D$200+(($B$111)-$A73)*'Cálculos'!$D$98)+1400)+'Cálculos'!$D$122)*'Cálculos'!$D$276+'Cálculos'!$D$125*(1+2.78*('Cálculos'!$D$200+(($B$111)-$A73)*'Cálculos'!$D$98)/(('Cálculos'!$D$200+(($B$111)-$A73)*'Cálculos'!$D$98)+1400)+'Cálculos'!$D$123)*'Cálculos'!$D$281)+('Cálculos'!$D$204*(1+'Cálculos'!$D$205+$A73*('Cálculos'!$D$290=3)*'Cálculos'!$D$103)+'Cálculos'!$D$206)*('Cálculos'!$D$272+'Cálculos'!$D$124*(1+2.78*('Cálculos'!$D$200+(($B$111)-$A73)*'Cálculos'!$D$98)/(('Cálculos'!$D$200+(($B$111)-$A73)*'Cálculos'!$D$98)+1400)+'Cálculos'!$D$122)*'Cálculos'!$D$277+'Cálculos'!$D$125*(1+2.78*('Cálculos'!$D$200+(($B$111)-$A73)*'Cálculos'!$D$98)/(('Cálculos'!$D$200+(($B$111)-$A73)*'Cálculos'!$D$98)+1400)+'Cálculos'!$D$123)*'Cálculos'!$D$282)))</f>
        <v>0</v>
      </c>
    </row>
    <row r="74" ht="15.75" customHeight="1">
      <c r="A74" s="2">
        <v>11.0</v>
      </c>
      <c r="B74" s="30">
        <f>SUMPRODUCT(MAX(($A$63:$A$108&lt;=$A74)*($A$63:$A$108&lt;='Cálculos'!$D$294)*(($A74)-$A$63:$A$108&lt;='Cálculos'!$D$295)*(1+(('Cálculos'!$D$207+$A$63:$A$108*'Cálculos'!$D$95)-(('Cálculos'!$D$207+$A$63:$A$108*'Cálculos'!$D$95)&gt;1)*(('Cálculos'!$D$207+$A$63:$A$108*'Cálculos'!$D$95)-1))*('Cálculos'!$D$208+(($A74)-$A$63:$A$108)*'Cálculos'!$D$96))))</f>
        <v>1.453510621</v>
      </c>
      <c r="C74" s="2">
        <f>'Cálculos'!$D$303-$A74</f>
        <v>0</v>
      </c>
      <c r="D74" s="31">
        <f>IF($C74&lt;0,0,SUMPRODUCT(MAX(($A$63:$A$108&lt;=$C74)*($A$63:$A$108&lt;='Cálculos'!$D$301)*(($C74)-$A$63:$A$108&lt;='Cálculos'!$D$297)*(('Cálculos'!$D$185*(1+'Cálculos'!$D$186+$A$63:$A$108*('Cálculos'!$D$290=1)*'Cálculos'!$D$97+'Cálculos'!$D$305)+'Cálculos'!$D$191)*('Cálculos'!$D$209+'Cálculos'!$D$124*(1+2.78*('Cálculos'!$D$196+(($C74)-$A$63:$A$108)*'Cálculos'!$D$98)/(('Cálculos'!$D$196+(($C74)-$A$63:$A$108)*'Cálculos'!$D$98)+1400)+'Cálculos'!$D$122)*'Cálculos'!$D$214+'Cálculos'!$D$125*(1+2.78*('Cálculos'!$D$196+(($C74)-$A$63:$A$108)*'Cálculos'!$D$98)/(('Cálculos'!$D$196+(($C74)-$A$63:$A$108)*'Cálculos'!$D$98)+1400)+'Cálculos'!$D$123)*'Cálculos'!$D$219)+('Cálculos'!$D$196+(($C74)-$A$63:$A$108)*'Cálculos'!$D$98)*('Cálculos'!$D$210+'Cálculos'!$D$124*(1+2.78*('Cálculos'!$D$196+(($C74)-$A$63:$A$108)*'Cálculos'!$D$98)/(('Cálculos'!$D$196+(($C74)-$A$63:$A$108)*'Cálculos'!$D$98)+1400)+'Cálculos'!$D$122)*'Cálculos'!$D$215+'Cálculos'!$D$125*(1+2.78*('Cálculos'!$D$196+(($C74)-$A$63:$A$108)*'Cálculos'!$D$98)/(('Cálculos'!$D$196+(($C74)-$A$63:$A$108)*'Cálculos'!$D$98)+1400)+'Cálculos'!$D$123)*'Cálculos'!$D$220)+('Cálculos'!$D$201*(1+'Cálculos'!$D$202+$A$63:$A$108*('Cálculos'!$D$290=2)*'Cálculos'!$D$101)+'Cálculos'!$D$203)*('Cálculos'!$D$211+'Cálculos'!$D$124*(1+2.78*('Cálculos'!$D$196+(($C74)-$A$63:$A$108)*'Cálculos'!$D$98)/(('Cálculos'!$D$196+(($C74)-$A$63:$A$108)*'Cálculos'!$D$98)+1400)+'Cálculos'!$D$122)*'Cálculos'!$D$216+'Cálculos'!$D$125*(1+2.78*('Cálculos'!$D$196+(($C74)-$A$63:$A$108)*'Cálculos'!$D$98)/(('Cálculos'!$D$196+(($C74)-$A$63:$A$108)*'Cálculos'!$D$98)+1400)+'Cálculos'!$D$123)*'Cálculos'!$D$221)+('Cálculos'!$D$204*(1+'Cálculos'!$D$205+$A$63:$A$108*('Cálculos'!$D$290=3)*'Cálculos'!$D$103)+'Cálculos'!$D$206)*('Cálculos'!$D$212+'Cálculos'!$D$124*(1+2.78*('Cálculos'!$D$196+(($C74)-$A$63:$A$108)*'Cálculos'!$D$98)/(('Cálculos'!$D$196+(($C74)-$A$63:$A$108)*'Cálculos'!$D$98)+1400)+'Cálculos'!$D$122)*'Cálculos'!$D$217+'Cálculos'!$D$125*(1+2.78*('Cálculos'!$D$196+(($C74)-$A$63:$A$108)*'Cálculos'!$D$98)/(('Cálculos'!$D$196+(($C74)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74)-$A$63:$A$108)*'Cálculos'!$D$98)/(('Cálculos'!$D$197+(($C74)-$A$63:$A$108)*'Cálculos'!$D$98)+1400)+'Cálculos'!$D$122)*'Cálculos'!$D$229+'Cálculos'!$D$125*(1+2.78*('Cálculos'!$D$197+(($C74)-$A$63:$A$108)*'Cálculos'!$D$98)/(('Cálculos'!$D$197+(($C74)-$A$63:$A$108)*'Cálculos'!$D$98)+1400)+'Cálculos'!$D$123)*'Cálculos'!$D$234)+('Cálculos'!$D$197+(($C74)-$A$63:$A$108)*'Cálculos'!$D$98)*('Cálculos'!$D$225+'Cálculos'!$D$124*(1+2.78*('Cálculos'!$D$197+(($C74)-$A$63:$A$108)*'Cálculos'!$D$98)/(('Cálculos'!$D$197+(($C74)-$A$63:$A$108)*'Cálculos'!$D$98)+1400)+'Cálculos'!$D$122)*'Cálculos'!$D$230+'Cálculos'!$D$125*(1+2.78*('Cálculos'!$D$197+(($C74)-$A$63:$A$108)*'Cálculos'!$D$98)/(('Cálculos'!$D$197+(($C74)-$A$63:$A$108)*'Cálculos'!$D$98)+1400)+'Cálculos'!$D$123)*'Cálculos'!$D$235)+('Cálculos'!$D$201*(1+'Cálculos'!$D$202+$A$63:$A$108*('Cálculos'!$D$290=2)*'Cálculos'!$D$101)+'Cálculos'!$D$203)*('Cálculos'!$D$226+'Cálculos'!$D$124*(1+2.78*('Cálculos'!$D$197+(($C74)-$A$63:$A$108)*'Cálculos'!$D$98)/(('Cálculos'!$D$197+(($C74)-$A$63:$A$108)*'Cálculos'!$D$98)+1400)+'Cálculos'!$D$122)*'Cálculos'!$D$231+'Cálculos'!$D$125*(1+2.78*('Cálculos'!$D$197+(($C74)-$A$63:$A$108)*'Cálculos'!$D$98)/(('Cálculos'!$D$197+(($C74)-$A$63:$A$108)*'Cálculos'!$D$98)+1400)+'Cálculos'!$D$123)*'Cálculos'!$D$236)+('Cálculos'!$D$204*(1+'Cálculos'!$D$205+$A$63:$A$108*('Cálculos'!$D$290=3)*'Cálculos'!$D$103)+'Cálculos'!$D$206)*('Cálculos'!$D$227+'Cálculos'!$D$124*(1+2.78*('Cálculos'!$D$197+(($C74)-$A$63:$A$108)*'Cálculos'!$D$98)/(('Cálculos'!$D$197+(($C74)-$A$63:$A$108)*'Cálculos'!$D$98)+1400)+'Cálculos'!$D$122)*'Cálculos'!$D$232+'Cálculos'!$D$125*(1+2.78*('Cálculos'!$D$197+(($C74)-$A$63:$A$108)*'Cálculos'!$D$98)/(('Cálculos'!$D$197+(($C74)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74)-$A$63:$A$108)*'Cálculos'!$D$98)/(('Cálculos'!$D$198+(($C74)-$A$63:$A$108)*'Cálculos'!$D$98)+1400)+'Cálculos'!$D$122)*'Cálculos'!$D$244+'Cálculos'!$D$125*(1+2.78*('Cálculos'!$D$198+(($C74)-$A$63:$A$108)*'Cálculos'!$D$98)/(('Cálculos'!$D$198+(($C74)-$A$63:$A$108)*'Cálculos'!$D$98)+1400)+'Cálculos'!$D$123)*'Cálculos'!$D$249)+('Cálculos'!$D$198+(($C74)-$A$63:$A$108)*'Cálculos'!$D$98)*('Cálculos'!$D$240+'Cálculos'!$D$124*(1+2.78*('Cálculos'!$D$198+(($C74)-$A$63:$A$108)*'Cálculos'!$D$98)/(('Cálculos'!$D$198+(($C74)-$A$63:$A$108)*'Cálculos'!$D$98)+1400)+'Cálculos'!$D$122)*'Cálculos'!$D$245+'Cálculos'!$D$125*(1+2.78*('Cálculos'!$D$198+(($C74)-$A$63:$A$108)*'Cálculos'!$D$98)/(('Cálculos'!$D$198+(($C74)-$A$63:$A$108)*'Cálculos'!$D$98)+1400)+'Cálculos'!$D$123)*'Cálculos'!$D$250)+('Cálculos'!$D$201*(1+'Cálculos'!$D$202+$A$63:$A$108*('Cálculos'!$D$290=2)*'Cálculos'!$D$101)+'Cálculos'!$D$203)*('Cálculos'!$D$241+'Cálculos'!$D$124*(1+2.78*('Cálculos'!$D$198+(($C74)-$A$63:$A$108)*'Cálculos'!$D$98)/(('Cálculos'!$D$198+(($C74)-$A$63:$A$108)*'Cálculos'!$D$98)+1400)+'Cálculos'!$D$122)*'Cálculos'!$D$246+'Cálculos'!$D$125*(1+2.78*('Cálculos'!$D$198+(($C74)-$A$63:$A$108)*'Cálculos'!$D$98)/(('Cálculos'!$D$198+(($C74)-$A$63:$A$108)*'Cálculos'!$D$98)+1400)+'Cálculos'!$D$123)*'Cálculos'!$D$251)+('Cálculos'!$D$204*(1+'Cálculos'!$D$205+$A$63:$A$108*('Cálculos'!$D$290=3)*'Cálculos'!$D$103)+'Cálculos'!$D$206)*('Cálculos'!$D$242+'Cálculos'!$D$124*(1+2.78*('Cálculos'!$D$198+(($C74)-$A$63:$A$108)*'Cálculos'!$D$98)/(('Cálculos'!$D$198+(($C74)-$A$63:$A$108)*'Cálculos'!$D$98)+1400)+'Cálculos'!$D$122)*'Cálculos'!$D$247+'Cálculos'!$D$125*(1+2.78*('Cálculos'!$D$198+(($C74)-$A$63:$A$108)*'Cálculos'!$D$98)/(('Cálculos'!$D$198+(($C74)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74)-$A$63:$A$108)*'Cálculos'!$D$98)/(('Cálculos'!$D$199+(($C74)-$A$63:$A$108)*'Cálculos'!$D$98)+1400)+'Cálculos'!$D$122)*'Cálculos'!$D$259+'Cálculos'!$D$125*(1+2.78*('Cálculos'!$D$199+(($C74)-$A$63:$A$108)*'Cálculos'!$D$98)/(('Cálculos'!$D$199+(($C74)-$A$63:$A$108)*'Cálculos'!$D$98)+1400)+'Cálculos'!$D$123)*'Cálculos'!$D$264)+('Cálculos'!$D$199+(($C74)-$A$63:$A$108)*'Cálculos'!$D$98)*('Cálculos'!$D$255+'Cálculos'!$D$124*(1+2.78*('Cálculos'!$D$199+(($C74)-$A$63:$A$108)*'Cálculos'!$D$98)/(('Cálculos'!$D$199+(($C74)-$A$63:$A$108)*'Cálculos'!$D$98)+1400)+'Cálculos'!$D$122)*'Cálculos'!$D$260+'Cálculos'!$D$125*(1+2.78*('Cálculos'!$D$199+(($C74)-$A$63:$A$108)*'Cálculos'!$D$98)/(('Cálculos'!$D$199+(($C74)-$A$63:$A$108)*'Cálculos'!$D$98)+1400)+'Cálculos'!$D$123)*'Cálculos'!$D$265)+('Cálculos'!$D$201*(1+'Cálculos'!$D$202+$A$63:$A$108*('Cálculos'!$D$290=2)*'Cálculos'!$D$101)+'Cálculos'!$D$203)*('Cálculos'!$D$256+'Cálculos'!$D$124*(1+2.78*('Cálculos'!$D$199+(($C74)-$A$63:$A$108)*'Cálculos'!$D$98)/(('Cálculos'!$D$199+(($C74)-$A$63:$A$108)*'Cálculos'!$D$98)+1400)+'Cálculos'!$D$122)*'Cálculos'!$D$261+'Cálculos'!$D$125*(1+2.78*('Cálculos'!$D$199+(($C74)-$A$63:$A$108)*'Cálculos'!$D$98)/(('Cálculos'!$D$199+(($C74)-$A$63:$A$108)*'Cálculos'!$D$98)+1400)+'Cálculos'!$D$123)*'Cálculos'!$D$266)+('Cálculos'!$D$204*(1+'Cálculos'!$D$205+$A$63:$A$108*('Cálculos'!$D$290=3)*'Cálculos'!$D$103)+'Cálculos'!$D$206)*('Cálculos'!$D$257+'Cálculos'!$D$124*(1+2.78*('Cálculos'!$D$199+(($C74)-$A$63:$A$108)*'Cálculos'!$D$98)/(('Cálculos'!$D$199+(($C74)-$A$63:$A$108)*'Cálculos'!$D$98)+1400)+'Cálculos'!$D$122)*'Cálculos'!$D$262+'Cálculos'!$D$125*(1+2.78*('Cálculos'!$D$199+(($C74)-$A$63:$A$108)*'Cálculos'!$D$98)/(('Cálculos'!$D$199+(($C74)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74)-$A$63:$A$108)*'Cálculos'!$D$98)/(('Cálculos'!$D$200+(($C74)-$A$63:$A$108)*'Cálculos'!$D$98)+1400)+'Cálculos'!$D$122)*'Cálculos'!$D$274+'Cálculos'!$D$125*(1+2.78*('Cálculos'!$D$200+(($C74)-$A$63:$A$108)*'Cálculos'!$D$98)/(('Cálculos'!$D$200+(($C74)-$A$63:$A$108)*'Cálculos'!$D$98)+1400)+'Cálculos'!$D$123)*'Cálculos'!$D$279)+('Cálculos'!$D$200+(($C74)-$A$63:$A$108)*'Cálculos'!$D$98)*('Cálculos'!$D$270+'Cálculos'!$D$124*(1+2.78*('Cálculos'!$D$200+(($C74)-$A$63:$A$108)*'Cálculos'!$D$98)/(('Cálculos'!$D$200+(($C74)-$A$63:$A$108)*'Cálculos'!$D$98)+1400)+'Cálculos'!$D$122)*'Cálculos'!$D$275+'Cálculos'!$D$125*(1+2.78*('Cálculos'!$D$200+(($C74)-$A$63:$A$108)*'Cálculos'!$D$98)/(('Cálculos'!$D$200+(($C74)-$A$63:$A$108)*'Cálculos'!$D$98)+1400)+'Cálculos'!$D$123)*'Cálculos'!$D$280)+('Cálculos'!$D$201*(1+'Cálculos'!$D$202+$A$63:$A$108*('Cálculos'!$D$290=2)*'Cálculos'!$D$101)+'Cálculos'!$D$203)*('Cálculos'!$D$271+'Cálculos'!$D$124*(1+2.78*('Cálculos'!$D$200+(($C74)-$A$63:$A$108)*'Cálculos'!$D$98)/(('Cálculos'!$D$200+(($C74)-$A$63:$A$108)*'Cálculos'!$D$98)+1400)+'Cálculos'!$D$122)*'Cálculos'!$D$276+'Cálculos'!$D$125*(1+2.78*('Cálculos'!$D$200+(($C74)-$A$63:$A$108)*'Cálculos'!$D$98)/(('Cálculos'!$D$200+(($C74)-$A$63:$A$108)*'Cálculos'!$D$98)+1400)+'Cálculos'!$D$123)*'Cálculos'!$D$281)+('Cálculos'!$D$204*(1+'Cálculos'!$D$205+$A$63:$A$108*('Cálculos'!$D$290=3)*'Cálculos'!$D$103)+'Cálculos'!$D$206)*('Cálculos'!$D$272+'Cálculos'!$D$124*(1+2.78*('Cálculos'!$D$200+(($C74)-$A$63:$A$108)*'Cálculos'!$D$98)/(('Cálculos'!$D$200+(($C74)-$A$63:$A$108)*'Cálculos'!$D$98)+1400)+'Cálculos'!$D$122)*'Cálculos'!$D$277+'Cálculos'!$D$125*(1+2.78*('Cálculos'!$D$200+(($C74)-$A$63:$A$108)*'Cálculos'!$D$98)/(('Cálculos'!$D$200+(($C74)-$A$63:$A$108)*'Cálculos'!$D$98)+1400)+'Cálculos'!$D$123)*'Cálculos'!$D$282)))))</f>
        <v>70298.65509</v>
      </c>
      <c r="E74" s="32">
        <f>IF(OR($C74&lt;0,'Cálculos'!$D$6=""),0,$B74*$D74)</f>
        <v>102179.8418</v>
      </c>
      <c r="F74" s="2"/>
      <c r="G74" s="30">
        <f>($A74&lt;=$B$110)*($A74&lt;='Cálculos'!$D$294)*(($B$110)-$A74&lt;='Cálculos'!$D$295)*(1+MIN(('Cálculos'!$D$207+$A74*'Cálculos'!$D$95),1)*('Cálculos'!$D$208+(($B$110)-$A74)*'Cálculos'!$D$96))</f>
        <v>1.395506758</v>
      </c>
      <c r="H74" s="31">
        <f>IF($B$111&lt;0,0,($A74&lt;=$B$111)*($A74&lt;='Cálculos'!$D$301)*(($B$111)-$A74&lt;='Cálculos'!$D$297)*(('Cálculos'!$D$185*(1+'Cálculos'!$D$186+$A74*('Cálculos'!$D$290=1)*'Cálculos'!$D$97+'Cálculos'!$D$305)+'Cálculos'!$D$191)*('Cálculos'!$D$209+'Cálculos'!$D$124*(1+2.78*('Cálculos'!$D$196+(($B$111)-$A74)*'Cálculos'!$D$98)/(('Cálculos'!$D$196+(($B$111)-$A74)*'Cálculos'!$D$98)+1400)+'Cálculos'!$D$122)*'Cálculos'!$D$214+'Cálculos'!$D$125*(1+2.78*('Cálculos'!$D$196+(($B$111)-$A74)*'Cálculos'!$D$98)/(('Cálculos'!$D$196+(($B$111)-$A74)*'Cálculos'!$D$98)+1400)+'Cálculos'!$D$123)*'Cálculos'!$D$219)+('Cálculos'!$D$196+(($B$111)-$A74)*'Cálculos'!$D$98)*('Cálculos'!$D$210+'Cálculos'!$D$124*(1+2.78*('Cálculos'!$D$196+(($B$111)-$A74)*'Cálculos'!$D$98)/(('Cálculos'!$D$196+(($B$111)-$A74)*'Cálculos'!$D$98)+1400)+'Cálculos'!$D$122)*'Cálculos'!$D$215+'Cálculos'!$D$125*(1+2.78*('Cálculos'!$D$196+(($B$111)-$A74)*'Cálculos'!$D$98)/(('Cálculos'!$D$196+(($B$111)-$A74)*'Cálculos'!$D$98)+1400)+'Cálculos'!$D$123)*'Cálculos'!$D$220)+('Cálculos'!$D$201*(1+'Cálculos'!$D$202+$A74*('Cálculos'!$D$290=2)*'Cálculos'!$D$101)+'Cálculos'!$D$203)*('Cálculos'!$D$211+'Cálculos'!$D$124*(1+2.78*('Cálculos'!$D$196+(($B$111)-$A74)*'Cálculos'!$D$98)/(('Cálculos'!$D$196+(($B$111)-$A74)*'Cálculos'!$D$98)+1400)+'Cálculos'!$D$122)*'Cálculos'!$D$216+'Cálculos'!$D$125*(1+2.78*('Cálculos'!$D$196+(($B$111)-$A74)*'Cálculos'!$D$98)/(('Cálculos'!$D$196+(($B$111)-$A74)*'Cálculos'!$D$98)+1400)+'Cálculos'!$D$123)*'Cálculos'!$D$221)+('Cálculos'!$D$204*(1+'Cálculos'!$D$205+$A74*('Cálculos'!$D$290=3)*'Cálculos'!$D$103)+'Cálculos'!$D$206)*('Cálculos'!$D$212+'Cálculos'!$D$124*(1+2.78*('Cálculos'!$D$196+(($B$111)-$A74)*'Cálculos'!$D$98)/(('Cálculos'!$D$196+(($B$111)-$A74)*'Cálculos'!$D$98)+1400)+'Cálculos'!$D$122)*'Cálculos'!$D$217+'Cálculos'!$D$125*(1+2.78*('Cálculos'!$D$196+(($B$111)-$A74)*'Cálculos'!$D$98)/(('Cálculos'!$D$196+(($B$111)-$A74)*'Cálculos'!$D$98)+1400)+'Cálculos'!$D$123)*'Cálculos'!$D$222)+('Cálculos'!$D$185*(1+'Cálculos'!$D$187+$A74*('Cálculos'!$D$290=1)*'Cálculos'!$D$97+'Cálculos'!$D$305)+'Cálculos'!$D$192)*('Cálculos'!$D$224+'Cálculos'!$D$124*(1+2.78*('Cálculos'!$D$197+(($B$111)-$A74)*'Cálculos'!$D$98)/(('Cálculos'!$D$197+(($B$111)-$A74)*'Cálculos'!$D$98)+1400)+'Cálculos'!$D$122)*'Cálculos'!$D$229+'Cálculos'!$D$125*(1+2.78*('Cálculos'!$D$197+(($B$111)-$A74)*'Cálculos'!$D$98)/(('Cálculos'!$D$197+(($B$111)-$A74)*'Cálculos'!$D$98)+1400)+'Cálculos'!$D$123)*'Cálculos'!$D$234)+('Cálculos'!$D$197+(($B$111)-$A74)*'Cálculos'!$D$98)*('Cálculos'!$D$225+'Cálculos'!$D$124*(1+2.78*('Cálculos'!$D$197+(($B$111)-$A74)*'Cálculos'!$D$98)/(('Cálculos'!$D$197+(($B$111)-$A74)*'Cálculos'!$D$98)+1400)+'Cálculos'!$D$122)*'Cálculos'!$D$230+'Cálculos'!$D$125*(1+2.78*('Cálculos'!$D$197+(($B$111)-$A74)*'Cálculos'!$D$98)/(('Cálculos'!$D$197+(($B$111)-$A74)*'Cálculos'!$D$98)+1400)+'Cálculos'!$D$123)*'Cálculos'!$D$235)+('Cálculos'!$D$201*(1+'Cálculos'!$D$202+$A74*('Cálculos'!$D$290=2)*'Cálculos'!$D$101)+'Cálculos'!$D$203)*('Cálculos'!$D$226+'Cálculos'!$D$124*(1+2.78*('Cálculos'!$D$197+(($B$111)-$A74)*'Cálculos'!$D$98)/(('Cálculos'!$D$197+(($B$111)-$A74)*'Cálculos'!$D$98)+1400)+'Cálculos'!$D$122)*'Cálculos'!$D$231+'Cálculos'!$D$125*(1+2.78*('Cálculos'!$D$197+(($B$111)-$A74)*'Cálculos'!$D$98)/(('Cálculos'!$D$197+(($B$111)-$A74)*'Cálculos'!$D$98)+1400)+'Cálculos'!$D$123)*'Cálculos'!$D$236)+('Cálculos'!$D$204*(1+'Cálculos'!$D$205+$A74*('Cálculos'!$D$290=3)*'Cálculos'!$D$103)+'Cálculos'!$D$206)*('Cálculos'!$D$227+'Cálculos'!$D$124*(1+2.78*('Cálculos'!$D$197+(($B$111)-$A74)*'Cálculos'!$D$98)/(('Cálculos'!$D$197+(($B$111)-$A74)*'Cálculos'!$D$98)+1400)+'Cálculos'!$D$122)*'Cálculos'!$D$232+'Cálculos'!$D$125*(1+2.78*('Cálculos'!$D$197+(($B$111)-$A74)*'Cálculos'!$D$98)/(('Cálculos'!$D$197+(($B$111)-$A74)*'Cálculos'!$D$98)+1400)+'Cálculos'!$D$123)*'Cálculos'!$D$237)+('Cálculos'!$D$185*(1+'Cálculos'!$D$188+$A74*('Cálculos'!$D$290=1)*'Cálculos'!$D$97+'Cálculos'!$D$305)+'Cálculos'!$D$193)*('Cálculos'!$D$239+'Cálculos'!$D$124*(1+2.78*('Cálculos'!$D$198+(($B$111)-$A74)*'Cálculos'!$D$98)/(('Cálculos'!$D$198+(($B$111)-$A74)*'Cálculos'!$D$98)+1400)+'Cálculos'!$D$122)*'Cálculos'!$D$244+'Cálculos'!$D$125*(1+2.78*('Cálculos'!$D$198+(($B$111)-$A74)*'Cálculos'!$D$98)/(('Cálculos'!$D$198+(($B$111)-$A74)*'Cálculos'!$D$98)+1400)+'Cálculos'!$D$123)*'Cálculos'!$D$249)+('Cálculos'!$D$198+(($B$111)-$A74)*'Cálculos'!$D$98)*('Cálculos'!$D$240+'Cálculos'!$D$124*(1+2.78*('Cálculos'!$D$198+(($B$111)-$A74)*'Cálculos'!$D$98)/(('Cálculos'!$D$198+(($B$111)-$A74)*'Cálculos'!$D$98)+1400)+'Cálculos'!$D$122)*'Cálculos'!$D$245+'Cálculos'!$D$125*(1+2.78*('Cálculos'!$D$198+(($B$111)-$A74)*'Cálculos'!$D$98)/(('Cálculos'!$D$198+(($B$111)-$A74)*'Cálculos'!$D$98)+1400)+'Cálculos'!$D$123)*'Cálculos'!$D$250)+('Cálculos'!$D$201*(1+'Cálculos'!$D$202+$A74*('Cálculos'!$D$290=2)*'Cálculos'!$D$101)+'Cálculos'!$D$203)*('Cálculos'!$D$241+'Cálculos'!$D$124*(1+2.78*('Cálculos'!$D$198+(($B$111)-$A74)*'Cálculos'!$D$98)/(('Cálculos'!$D$198+(($B$111)-$A74)*'Cálculos'!$D$98)+1400)+'Cálculos'!$D$122)*'Cálculos'!$D$246+'Cálculos'!$D$125*(1+2.78*('Cálculos'!$D$198+(($B$111)-$A74)*'Cálculos'!$D$98)/(('Cálculos'!$D$198+(($B$111)-$A74)*'Cálculos'!$D$98)+1400)+'Cálculos'!$D$123)*'Cálculos'!$D$251)+('Cálculos'!$D$204*(1+'Cálculos'!$D$205+$A74*('Cálculos'!$D$290=3)*'Cálculos'!$D$103)+'Cálculos'!$D$206)*('Cálculos'!$D$242+'Cálculos'!$D$124*(1+2.78*('Cálculos'!$D$198+(($B$111)-$A74)*'Cálculos'!$D$98)/(('Cálculos'!$D$198+(($B$111)-$A74)*'Cálculos'!$D$98)+1400)+'Cálculos'!$D$122)*'Cálculos'!$D$247+'Cálculos'!$D$125*(1+2.78*('Cálculos'!$D$198+(($B$111)-$A74)*'Cálculos'!$D$98)/(('Cálculos'!$D$198+(($B$111)-$A74)*'Cálculos'!$D$98)+1400)+'Cálculos'!$D$123)*'Cálculos'!$D$252)+('Cálculos'!$D$185*(1+'Cálculos'!$D$189+$A74*('Cálculos'!$D$290=1)*'Cálculos'!$D$97+'Cálculos'!$D$305)+'Cálculos'!$D$194)*('Cálculos'!$D$254+'Cálculos'!$D$124*(1+2.78*('Cálculos'!$D$199+(($B$111)-$A74)*'Cálculos'!$D$98)/(('Cálculos'!$D$199+(($B$111)-$A74)*'Cálculos'!$D$98)+1400)+'Cálculos'!$D$122)*'Cálculos'!$D$259+'Cálculos'!$D$125*(1+2.78*('Cálculos'!$D$199+(($B$111)-$A74)*'Cálculos'!$D$98)/(('Cálculos'!$D$199+(($B$111)-$A74)*'Cálculos'!$D$98)+1400)+'Cálculos'!$D$123)*'Cálculos'!$D$264)+('Cálculos'!$D$199+(($B$111)-$A74)*'Cálculos'!$D$98)*('Cálculos'!$D$255+'Cálculos'!$D$124*(1+2.78*('Cálculos'!$D$199+(($B$111)-$A74)*'Cálculos'!$D$98)/(('Cálculos'!$D$199+(($B$111)-$A74)*'Cálculos'!$D$98)+1400)+'Cálculos'!$D$122)*'Cálculos'!$D$260+'Cálculos'!$D$125*(1+2.78*('Cálculos'!$D$199+(($B$111)-$A74)*'Cálculos'!$D$98)/(('Cálculos'!$D$199+(($B$111)-$A74)*'Cálculos'!$D$98)+1400)+'Cálculos'!$D$123)*'Cálculos'!$D$265)+('Cálculos'!$D$201*(1+'Cálculos'!$D$202+$A74*('Cálculos'!$D$290=2)*'Cálculos'!$D$101)+'Cálculos'!$D$203)*('Cálculos'!$D$256+'Cálculos'!$D$124*(1+2.78*('Cálculos'!$D$199+(($B$111)-$A74)*'Cálculos'!$D$98)/(('Cálculos'!$D$199+(($B$111)-$A74)*'Cálculos'!$D$98)+1400)+'Cálculos'!$D$122)*'Cálculos'!$D$261+'Cálculos'!$D$125*(1+2.78*('Cálculos'!$D$199+(($B$111)-$A74)*'Cálculos'!$D$98)/(('Cálculos'!$D$199+(($B$111)-$A74)*'Cálculos'!$D$98)+1400)+'Cálculos'!$D$123)*'Cálculos'!$D$266)+('Cálculos'!$D$204*(1+'Cálculos'!$D$205+$A74*('Cálculos'!$D$290=3)*'Cálculos'!$D$103)+'Cálculos'!$D$206)*('Cálculos'!$D$257+'Cálculos'!$D$124*(1+2.78*('Cálculos'!$D$199+(($B$111)-$A74)*'Cálculos'!$D$98)/(('Cálculos'!$D$199+(($B$111)-$A74)*'Cálculos'!$D$98)+1400)+'Cálculos'!$D$122)*'Cálculos'!$D$262+'Cálculos'!$D$125*(1+2.78*('Cálculos'!$D$199+(($B$111)-$A74)*'Cálculos'!$D$98)/(('Cálculos'!$D$199+(($B$111)-$A74)*'Cálculos'!$D$98)+1400)+'Cálculos'!$D$123)*'Cálculos'!$D$267)+('Cálculos'!$D$185*(1+'Cálculos'!$D$190+$A74*('Cálculos'!$D$290=1)*'Cálculos'!$D$97+'Cálculos'!$D$305)+'Cálculos'!$D$195)*('Cálculos'!$D$269+'Cálculos'!$D$124*(1+2.78*('Cálculos'!$D$200+(($B$111)-$A74)*'Cálculos'!$D$98)/(('Cálculos'!$D$200+(($B$111)-$A74)*'Cálculos'!$D$98)+1400)+'Cálculos'!$D$122)*'Cálculos'!$D$274+'Cálculos'!$D$125*(1+2.78*('Cálculos'!$D$200+(($B$111)-$A74)*'Cálculos'!$D$98)/(('Cálculos'!$D$200+(($B$111)-$A74)*'Cálculos'!$D$98)+1400)+'Cálculos'!$D$123)*'Cálculos'!$D$279)+('Cálculos'!$D$200+(($B$111)-$A74)*'Cálculos'!$D$98)*('Cálculos'!$D$270+'Cálculos'!$D$124*(1+2.78*('Cálculos'!$D$200+(($B$111)-$A74)*'Cálculos'!$D$98)/(('Cálculos'!$D$200+(($B$111)-$A74)*'Cálculos'!$D$98)+1400)+'Cálculos'!$D$122)*'Cálculos'!$D$275+'Cálculos'!$D$125*(1+2.78*('Cálculos'!$D$200+(($B$111)-$A74)*'Cálculos'!$D$98)/(('Cálculos'!$D$200+(($B$111)-$A74)*'Cálculos'!$D$98)+1400)+'Cálculos'!$D$123)*'Cálculos'!$D$280)+('Cálculos'!$D$201*(1+'Cálculos'!$D$202+$A74*('Cálculos'!$D$290=2)*'Cálculos'!$D$101)+'Cálculos'!$D$203)*('Cálculos'!$D$271+'Cálculos'!$D$124*(1+2.78*('Cálculos'!$D$200+(($B$111)-$A74)*'Cálculos'!$D$98)/(('Cálculos'!$D$200+(($B$111)-$A74)*'Cálculos'!$D$98)+1400)+'Cálculos'!$D$122)*'Cálculos'!$D$276+'Cálculos'!$D$125*(1+2.78*('Cálculos'!$D$200+(($B$111)-$A74)*'Cálculos'!$D$98)/(('Cálculos'!$D$200+(($B$111)-$A74)*'Cálculos'!$D$98)+1400)+'Cálculos'!$D$123)*'Cálculos'!$D$281)+('Cálculos'!$D$204*(1+'Cálculos'!$D$205+$A74*('Cálculos'!$D$290=3)*'Cálculos'!$D$103)+'Cálculos'!$D$206)*('Cálculos'!$D$272+'Cálculos'!$D$124*(1+2.78*('Cálculos'!$D$200+(($B$111)-$A74)*'Cálculos'!$D$98)/(('Cálculos'!$D$200+(($B$111)-$A74)*'Cálculos'!$D$98)+1400)+'Cálculos'!$D$122)*'Cálculos'!$D$277+'Cálculos'!$D$125*(1+2.78*('Cálculos'!$D$200+(($B$111)-$A74)*'Cálculos'!$D$98)/(('Cálculos'!$D$200+(($B$111)-$A74)*'Cálculos'!$D$98)+1400)+'Cálculos'!$D$123)*'Cálculos'!$D$282)))</f>
        <v>0</v>
      </c>
    </row>
    <row r="75" ht="15.75" customHeight="1">
      <c r="A75" s="2">
        <v>12.0</v>
      </c>
      <c r="B75" s="30">
        <f>SUMPRODUCT(MAX(($A$63:$A$108&lt;=$A75)*($A$63:$A$108&lt;='Cálculos'!$D$294)*(($A75)-$A$63:$A$108&lt;='Cálculos'!$D$295)*(1+(('Cálculos'!$D$207+$A$63:$A$108*'Cálculos'!$D$95)-(('Cálculos'!$D$207+$A$63:$A$108*'Cálculos'!$D$95)&gt;1)*(('Cálculos'!$D$207+$A$63:$A$108*'Cálculos'!$D$95)-1))*('Cálculos'!$D$208+(($A75)-$A$63:$A$108)*'Cálculos'!$D$96))))</f>
        <v>1.480322084</v>
      </c>
      <c r="C75" s="2">
        <f>'Cálculos'!$D$303-$A75</f>
        <v>-1</v>
      </c>
      <c r="D75" s="31">
        <f>IF($C75&lt;0,0,SUMPRODUCT(MAX(($A$63:$A$108&lt;=$C75)*($A$63:$A$108&lt;='Cálculos'!$D$301)*(($C75)-$A$63:$A$108&lt;='Cálculos'!$D$297)*(('Cálculos'!$D$185*(1+'Cálculos'!$D$186+$A$63:$A$108*('Cálculos'!$D$290=1)*'Cálculos'!$D$97+'Cálculos'!$D$305)+'Cálculos'!$D$191)*('Cálculos'!$D$209+'Cálculos'!$D$124*(1+2.78*('Cálculos'!$D$196+(($C75)-$A$63:$A$108)*'Cálculos'!$D$98)/(('Cálculos'!$D$196+(($C75)-$A$63:$A$108)*'Cálculos'!$D$98)+1400)+'Cálculos'!$D$122)*'Cálculos'!$D$214+'Cálculos'!$D$125*(1+2.78*('Cálculos'!$D$196+(($C75)-$A$63:$A$108)*'Cálculos'!$D$98)/(('Cálculos'!$D$196+(($C75)-$A$63:$A$108)*'Cálculos'!$D$98)+1400)+'Cálculos'!$D$123)*'Cálculos'!$D$219)+('Cálculos'!$D$196+(($C75)-$A$63:$A$108)*'Cálculos'!$D$98)*('Cálculos'!$D$210+'Cálculos'!$D$124*(1+2.78*('Cálculos'!$D$196+(($C75)-$A$63:$A$108)*'Cálculos'!$D$98)/(('Cálculos'!$D$196+(($C75)-$A$63:$A$108)*'Cálculos'!$D$98)+1400)+'Cálculos'!$D$122)*'Cálculos'!$D$215+'Cálculos'!$D$125*(1+2.78*('Cálculos'!$D$196+(($C75)-$A$63:$A$108)*'Cálculos'!$D$98)/(('Cálculos'!$D$196+(($C75)-$A$63:$A$108)*'Cálculos'!$D$98)+1400)+'Cálculos'!$D$123)*'Cálculos'!$D$220)+('Cálculos'!$D$201*(1+'Cálculos'!$D$202+$A$63:$A$108*('Cálculos'!$D$290=2)*'Cálculos'!$D$101)+'Cálculos'!$D$203)*('Cálculos'!$D$211+'Cálculos'!$D$124*(1+2.78*('Cálculos'!$D$196+(($C75)-$A$63:$A$108)*'Cálculos'!$D$98)/(('Cálculos'!$D$196+(($C75)-$A$63:$A$108)*'Cálculos'!$D$98)+1400)+'Cálculos'!$D$122)*'Cálculos'!$D$216+'Cálculos'!$D$125*(1+2.78*('Cálculos'!$D$196+(($C75)-$A$63:$A$108)*'Cálculos'!$D$98)/(('Cálculos'!$D$196+(($C75)-$A$63:$A$108)*'Cálculos'!$D$98)+1400)+'Cálculos'!$D$123)*'Cálculos'!$D$221)+('Cálculos'!$D$204*(1+'Cálculos'!$D$205+$A$63:$A$108*('Cálculos'!$D$290=3)*'Cálculos'!$D$103)+'Cálculos'!$D$206)*('Cálculos'!$D$212+'Cálculos'!$D$124*(1+2.78*('Cálculos'!$D$196+(($C75)-$A$63:$A$108)*'Cálculos'!$D$98)/(('Cálculos'!$D$196+(($C75)-$A$63:$A$108)*'Cálculos'!$D$98)+1400)+'Cálculos'!$D$122)*'Cálculos'!$D$217+'Cálculos'!$D$125*(1+2.78*('Cálculos'!$D$196+(($C75)-$A$63:$A$108)*'Cálculos'!$D$98)/(('Cálculos'!$D$196+(($C75)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75)-$A$63:$A$108)*'Cálculos'!$D$98)/(('Cálculos'!$D$197+(($C75)-$A$63:$A$108)*'Cálculos'!$D$98)+1400)+'Cálculos'!$D$122)*'Cálculos'!$D$229+'Cálculos'!$D$125*(1+2.78*('Cálculos'!$D$197+(($C75)-$A$63:$A$108)*'Cálculos'!$D$98)/(('Cálculos'!$D$197+(($C75)-$A$63:$A$108)*'Cálculos'!$D$98)+1400)+'Cálculos'!$D$123)*'Cálculos'!$D$234)+('Cálculos'!$D$197+(($C75)-$A$63:$A$108)*'Cálculos'!$D$98)*('Cálculos'!$D$225+'Cálculos'!$D$124*(1+2.78*('Cálculos'!$D$197+(($C75)-$A$63:$A$108)*'Cálculos'!$D$98)/(('Cálculos'!$D$197+(($C75)-$A$63:$A$108)*'Cálculos'!$D$98)+1400)+'Cálculos'!$D$122)*'Cálculos'!$D$230+'Cálculos'!$D$125*(1+2.78*('Cálculos'!$D$197+(($C75)-$A$63:$A$108)*'Cálculos'!$D$98)/(('Cálculos'!$D$197+(($C75)-$A$63:$A$108)*'Cálculos'!$D$98)+1400)+'Cálculos'!$D$123)*'Cálculos'!$D$235)+('Cálculos'!$D$201*(1+'Cálculos'!$D$202+$A$63:$A$108*('Cálculos'!$D$290=2)*'Cálculos'!$D$101)+'Cálculos'!$D$203)*('Cálculos'!$D$226+'Cálculos'!$D$124*(1+2.78*('Cálculos'!$D$197+(($C75)-$A$63:$A$108)*'Cálculos'!$D$98)/(('Cálculos'!$D$197+(($C75)-$A$63:$A$108)*'Cálculos'!$D$98)+1400)+'Cálculos'!$D$122)*'Cálculos'!$D$231+'Cálculos'!$D$125*(1+2.78*('Cálculos'!$D$197+(($C75)-$A$63:$A$108)*'Cálculos'!$D$98)/(('Cálculos'!$D$197+(($C75)-$A$63:$A$108)*'Cálculos'!$D$98)+1400)+'Cálculos'!$D$123)*'Cálculos'!$D$236)+('Cálculos'!$D$204*(1+'Cálculos'!$D$205+$A$63:$A$108*('Cálculos'!$D$290=3)*'Cálculos'!$D$103)+'Cálculos'!$D$206)*('Cálculos'!$D$227+'Cálculos'!$D$124*(1+2.78*('Cálculos'!$D$197+(($C75)-$A$63:$A$108)*'Cálculos'!$D$98)/(('Cálculos'!$D$197+(($C75)-$A$63:$A$108)*'Cálculos'!$D$98)+1400)+'Cálculos'!$D$122)*'Cálculos'!$D$232+'Cálculos'!$D$125*(1+2.78*('Cálculos'!$D$197+(($C75)-$A$63:$A$108)*'Cálculos'!$D$98)/(('Cálculos'!$D$197+(($C75)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75)-$A$63:$A$108)*'Cálculos'!$D$98)/(('Cálculos'!$D$198+(($C75)-$A$63:$A$108)*'Cálculos'!$D$98)+1400)+'Cálculos'!$D$122)*'Cálculos'!$D$244+'Cálculos'!$D$125*(1+2.78*('Cálculos'!$D$198+(($C75)-$A$63:$A$108)*'Cálculos'!$D$98)/(('Cálculos'!$D$198+(($C75)-$A$63:$A$108)*'Cálculos'!$D$98)+1400)+'Cálculos'!$D$123)*'Cálculos'!$D$249)+('Cálculos'!$D$198+(($C75)-$A$63:$A$108)*'Cálculos'!$D$98)*('Cálculos'!$D$240+'Cálculos'!$D$124*(1+2.78*('Cálculos'!$D$198+(($C75)-$A$63:$A$108)*'Cálculos'!$D$98)/(('Cálculos'!$D$198+(($C75)-$A$63:$A$108)*'Cálculos'!$D$98)+1400)+'Cálculos'!$D$122)*'Cálculos'!$D$245+'Cálculos'!$D$125*(1+2.78*('Cálculos'!$D$198+(($C75)-$A$63:$A$108)*'Cálculos'!$D$98)/(('Cálculos'!$D$198+(($C75)-$A$63:$A$108)*'Cálculos'!$D$98)+1400)+'Cálculos'!$D$123)*'Cálculos'!$D$250)+('Cálculos'!$D$201*(1+'Cálculos'!$D$202+$A$63:$A$108*('Cálculos'!$D$290=2)*'Cálculos'!$D$101)+'Cálculos'!$D$203)*('Cálculos'!$D$241+'Cálculos'!$D$124*(1+2.78*('Cálculos'!$D$198+(($C75)-$A$63:$A$108)*'Cálculos'!$D$98)/(('Cálculos'!$D$198+(($C75)-$A$63:$A$108)*'Cálculos'!$D$98)+1400)+'Cálculos'!$D$122)*'Cálculos'!$D$246+'Cálculos'!$D$125*(1+2.78*('Cálculos'!$D$198+(($C75)-$A$63:$A$108)*'Cálculos'!$D$98)/(('Cálculos'!$D$198+(($C75)-$A$63:$A$108)*'Cálculos'!$D$98)+1400)+'Cálculos'!$D$123)*'Cálculos'!$D$251)+('Cálculos'!$D$204*(1+'Cálculos'!$D$205+$A$63:$A$108*('Cálculos'!$D$290=3)*'Cálculos'!$D$103)+'Cálculos'!$D$206)*('Cálculos'!$D$242+'Cálculos'!$D$124*(1+2.78*('Cálculos'!$D$198+(($C75)-$A$63:$A$108)*'Cálculos'!$D$98)/(('Cálculos'!$D$198+(($C75)-$A$63:$A$108)*'Cálculos'!$D$98)+1400)+'Cálculos'!$D$122)*'Cálculos'!$D$247+'Cálculos'!$D$125*(1+2.78*('Cálculos'!$D$198+(($C75)-$A$63:$A$108)*'Cálculos'!$D$98)/(('Cálculos'!$D$198+(($C75)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75)-$A$63:$A$108)*'Cálculos'!$D$98)/(('Cálculos'!$D$199+(($C75)-$A$63:$A$108)*'Cálculos'!$D$98)+1400)+'Cálculos'!$D$122)*'Cálculos'!$D$259+'Cálculos'!$D$125*(1+2.78*('Cálculos'!$D$199+(($C75)-$A$63:$A$108)*'Cálculos'!$D$98)/(('Cálculos'!$D$199+(($C75)-$A$63:$A$108)*'Cálculos'!$D$98)+1400)+'Cálculos'!$D$123)*'Cálculos'!$D$264)+('Cálculos'!$D$199+(($C75)-$A$63:$A$108)*'Cálculos'!$D$98)*('Cálculos'!$D$255+'Cálculos'!$D$124*(1+2.78*('Cálculos'!$D$199+(($C75)-$A$63:$A$108)*'Cálculos'!$D$98)/(('Cálculos'!$D$199+(($C75)-$A$63:$A$108)*'Cálculos'!$D$98)+1400)+'Cálculos'!$D$122)*'Cálculos'!$D$260+'Cálculos'!$D$125*(1+2.78*('Cálculos'!$D$199+(($C75)-$A$63:$A$108)*'Cálculos'!$D$98)/(('Cálculos'!$D$199+(($C75)-$A$63:$A$108)*'Cálculos'!$D$98)+1400)+'Cálculos'!$D$123)*'Cálculos'!$D$265)+('Cálculos'!$D$201*(1+'Cálculos'!$D$202+$A$63:$A$108*('Cálculos'!$D$290=2)*'Cálculos'!$D$101)+'Cálculos'!$D$203)*('Cálculos'!$D$256+'Cálculos'!$D$124*(1+2.78*('Cálculos'!$D$199+(($C75)-$A$63:$A$108)*'Cálculos'!$D$98)/(('Cálculos'!$D$199+(($C75)-$A$63:$A$108)*'Cálculos'!$D$98)+1400)+'Cálculos'!$D$122)*'Cálculos'!$D$261+'Cálculos'!$D$125*(1+2.78*('Cálculos'!$D$199+(($C75)-$A$63:$A$108)*'Cálculos'!$D$98)/(('Cálculos'!$D$199+(($C75)-$A$63:$A$108)*'Cálculos'!$D$98)+1400)+'Cálculos'!$D$123)*'Cálculos'!$D$266)+('Cálculos'!$D$204*(1+'Cálculos'!$D$205+$A$63:$A$108*('Cálculos'!$D$290=3)*'Cálculos'!$D$103)+'Cálculos'!$D$206)*('Cálculos'!$D$257+'Cálculos'!$D$124*(1+2.78*('Cálculos'!$D$199+(($C75)-$A$63:$A$108)*'Cálculos'!$D$98)/(('Cálculos'!$D$199+(($C75)-$A$63:$A$108)*'Cálculos'!$D$98)+1400)+'Cálculos'!$D$122)*'Cálculos'!$D$262+'Cálculos'!$D$125*(1+2.78*('Cálculos'!$D$199+(($C75)-$A$63:$A$108)*'Cálculos'!$D$98)/(('Cálculos'!$D$199+(($C75)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75)-$A$63:$A$108)*'Cálculos'!$D$98)/(('Cálculos'!$D$200+(($C75)-$A$63:$A$108)*'Cálculos'!$D$98)+1400)+'Cálculos'!$D$122)*'Cálculos'!$D$274+'Cálculos'!$D$125*(1+2.78*('Cálculos'!$D$200+(($C75)-$A$63:$A$108)*'Cálculos'!$D$98)/(('Cálculos'!$D$200+(($C75)-$A$63:$A$108)*'Cálculos'!$D$98)+1400)+'Cálculos'!$D$123)*'Cálculos'!$D$279)+('Cálculos'!$D$200+(($C75)-$A$63:$A$108)*'Cálculos'!$D$98)*('Cálculos'!$D$270+'Cálculos'!$D$124*(1+2.78*('Cálculos'!$D$200+(($C75)-$A$63:$A$108)*'Cálculos'!$D$98)/(('Cálculos'!$D$200+(($C75)-$A$63:$A$108)*'Cálculos'!$D$98)+1400)+'Cálculos'!$D$122)*'Cálculos'!$D$275+'Cálculos'!$D$125*(1+2.78*('Cálculos'!$D$200+(($C75)-$A$63:$A$108)*'Cálculos'!$D$98)/(('Cálculos'!$D$200+(($C75)-$A$63:$A$108)*'Cálculos'!$D$98)+1400)+'Cálculos'!$D$123)*'Cálculos'!$D$280)+('Cálculos'!$D$201*(1+'Cálculos'!$D$202+$A$63:$A$108*('Cálculos'!$D$290=2)*'Cálculos'!$D$101)+'Cálculos'!$D$203)*('Cálculos'!$D$271+'Cálculos'!$D$124*(1+2.78*('Cálculos'!$D$200+(($C75)-$A$63:$A$108)*'Cálculos'!$D$98)/(('Cálculos'!$D$200+(($C75)-$A$63:$A$108)*'Cálculos'!$D$98)+1400)+'Cálculos'!$D$122)*'Cálculos'!$D$276+'Cálculos'!$D$125*(1+2.78*('Cálculos'!$D$200+(($C75)-$A$63:$A$108)*'Cálculos'!$D$98)/(('Cálculos'!$D$200+(($C75)-$A$63:$A$108)*'Cálculos'!$D$98)+1400)+'Cálculos'!$D$123)*'Cálculos'!$D$281)+('Cálculos'!$D$204*(1+'Cálculos'!$D$205+$A$63:$A$108*('Cálculos'!$D$290=3)*'Cálculos'!$D$103)+'Cálculos'!$D$206)*('Cálculos'!$D$272+'Cálculos'!$D$124*(1+2.78*('Cálculos'!$D$200+(($C75)-$A$63:$A$108)*'Cálculos'!$D$98)/(('Cálculos'!$D$200+(($C75)-$A$63:$A$108)*'Cálculos'!$D$98)+1400)+'Cálculos'!$D$122)*'Cálculos'!$D$277+'Cálculos'!$D$125*(1+2.78*('Cálculos'!$D$200+(($C75)-$A$63:$A$108)*'Cálculos'!$D$98)/(('Cálculos'!$D$200+(($C75)-$A$63:$A$108)*'Cálculos'!$D$98)+1400)+'Cálculos'!$D$123)*'Cálculos'!$D$282)))))</f>
        <v>0</v>
      </c>
      <c r="E75" s="32">
        <f>IF(OR($C75&lt;0,'Cálculos'!$D$6=""),0,$B75*$D75)</f>
        <v>0</v>
      </c>
      <c r="F75" s="2"/>
      <c r="G75" s="30">
        <f>($A75&lt;=$B$110)*($A75&lt;='Cálculos'!$D$294)*(($B$110)-$A75&lt;='Cálculos'!$D$295)*(1+MIN(('Cálculos'!$D$207+$A75*'Cálculos'!$D$95),1)*('Cálculos'!$D$208+(($B$110)-$A75)*'Cálculos'!$D$96))</f>
        <v>0</v>
      </c>
      <c r="H75" s="31">
        <f>IF($B$111&lt;0,0,($A75&lt;=$B$111)*($A75&lt;='Cálculos'!$D$301)*(($B$111)-$A75&lt;='Cálculos'!$D$297)*(('Cálculos'!$D$185*(1+'Cálculos'!$D$186+$A75*('Cálculos'!$D$290=1)*'Cálculos'!$D$97+'Cálculos'!$D$305)+'Cálculos'!$D$191)*('Cálculos'!$D$209+'Cálculos'!$D$124*(1+2.78*('Cálculos'!$D$196+(($B$111)-$A75)*'Cálculos'!$D$98)/(('Cálculos'!$D$196+(($B$111)-$A75)*'Cálculos'!$D$98)+1400)+'Cálculos'!$D$122)*'Cálculos'!$D$214+'Cálculos'!$D$125*(1+2.78*('Cálculos'!$D$196+(($B$111)-$A75)*'Cálculos'!$D$98)/(('Cálculos'!$D$196+(($B$111)-$A75)*'Cálculos'!$D$98)+1400)+'Cálculos'!$D$123)*'Cálculos'!$D$219)+('Cálculos'!$D$196+(($B$111)-$A75)*'Cálculos'!$D$98)*('Cálculos'!$D$210+'Cálculos'!$D$124*(1+2.78*('Cálculos'!$D$196+(($B$111)-$A75)*'Cálculos'!$D$98)/(('Cálculos'!$D$196+(($B$111)-$A75)*'Cálculos'!$D$98)+1400)+'Cálculos'!$D$122)*'Cálculos'!$D$215+'Cálculos'!$D$125*(1+2.78*('Cálculos'!$D$196+(($B$111)-$A75)*'Cálculos'!$D$98)/(('Cálculos'!$D$196+(($B$111)-$A75)*'Cálculos'!$D$98)+1400)+'Cálculos'!$D$123)*'Cálculos'!$D$220)+('Cálculos'!$D$201*(1+'Cálculos'!$D$202+$A75*('Cálculos'!$D$290=2)*'Cálculos'!$D$101)+'Cálculos'!$D$203)*('Cálculos'!$D$211+'Cálculos'!$D$124*(1+2.78*('Cálculos'!$D$196+(($B$111)-$A75)*'Cálculos'!$D$98)/(('Cálculos'!$D$196+(($B$111)-$A75)*'Cálculos'!$D$98)+1400)+'Cálculos'!$D$122)*'Cálculos'!$D$216+'Cálculos'!$D$125*(1+2.78*('Cálculos'!$D$196+(($B$111)-$A75)*'Cálculos'!$D$98)/(('Cálculos'!$D$196+(($B$111)-$A75)*'Cálculos'!$D$98)+1400)+'Cálculos'!$D$123)*'Cálculos'!$D$221)+('Cálculos'!$D$204*(1+'Cálculos'!$D$205+$A75*('Cálculos'!$D$290=3)*'Cálculos'!$D$103)+'Cálculos'!$D$206)*('Cálculos'!$D$212+'Cálculos'!$D$124*(1+2.78*('Cálculos'!$D$196+(($B$111)-$A75)*'Cálculos'!$D$98)/(('Cálculos'!$D$196+(($B$111)-$A75)*'Cálculos'!$D$98)+1400)+'Cálculos'!$D$122)*'Cálculos'!$D$217+'Cálculos'!$D$125*(1+2.78*('Cálculos'!$D$196+(($B$111)-$A75)*'Cálculos'!$D$98)/(('Cálculos'!$D$196+(($B$111)-$A75)*'Cálculos'!$D$98)+1400)+'Cálculos'!$D$123)*'Cálculos'!$D$222)+('Cálculos'!$D$185*(1+'Cálculos'!$D$187+$A75*('Cálculos'!$D$290=1)*'Cálculos'!$D$97+'Cálculos'!$D$305)+'Cálculos'!$D$192)*('Cálculos'!$D$224+'Cálculos'!$D$124*(1+2.78*('Cálculos'!$D$197+(($B$111)-$A75)*'Cálculos'!$D$98)/(('Cálculos'!$D$197+(($B$111)-$A75)*'Cálculos'!$D$98)+1400)+'Cálculos'!$D$122)*'Cálculos'!$D$229+'Cálculos'!$D$125*(1+2.78*('Cálculos'!$D$197+(($B$111)-$A75)*'Cálculos'!$D$98)/(('Cálculos'!$D$197+(($B$111)-$A75)*'Cálculos'!$D$98)+1400)+'Cálculos'!$D$123)*'Cálculos'!$D$234)+('Cálculos'!$D$197+(($B$111)-$A75)*'Cálculos'!$D$98)*('Cálculos'!$D$225+'Cálculos'!$D$124*(1+2.78*('Cálculos'!$D$197+(($B$111)-$A75)*'Cálculos'!$D$98)/(('Cálculos'!$D$197+(($B$111)-$A75)*'Cálculos'!$D$98)+1400)+'Cálculos'!$D$122)*'Cálculos'!$D$230+'Cálculos'!$D$125*(1+2.78*('Cálculos'!$D$197+(($B$111)-$A75)*'Cálculos'!$D$98)/(('Cálculos'!$D$197+(($B$111)-$A75)*'Cálculos'!$D$98)+1400)+'Cálculos'!$D$123)*'Cálculos'!$D$235)+('Cálculos'!$D$201*(1+'Cálculos'!$D$202+$A75*('Cálculos'!$D$290=2)*'Cálculos'!$D$101)+'Cálculos'!$D$203)*('Cálculos'!$D$226+'Cálculos'!$D$124*(1+2.78*('Cálculos'!$D$197+(($B$111)-$A75)*'Cálculos'!$D$98)/(('Cálculos'!$D$197+(($B$111)-$A75)*'Cálculos'!$D$98)+1400)+'Cálculos'!$D$122)*'Cálculos'!$D$231+'Cálculos'!$D$125*(1+2.78*('Cálculos'!$D$197+(($B$111)-$A75)*'Cálculos'!$D$98)/(('Cálculos'!$D$197+(($B$111)-$A75)*'Cálculos'!$D$98)+1400)+'Cálculos'!$D$123)*'Cálculos'!$D$236)+('Cálculos'!$D$204*(1+'Cálculos'!$D$205+$A75*('Cálculos'!$D$290=3)*'Cálculos'!$D$103)+'Cálculos'!$D$206)*('Cálculos'!$D$227+'Cálculos'!$D$124*(1+2.78*('Cálculos'!$D$197+(($B$111)-$A75)*'Cálculos'!$D$98)/(('Cálculos'!$D$197+(($B$111)-$A75)*'Cálculos'!$D$98)+1400)+'Cálculos'!$D$122)*'Cálculos'!$D$232+'Cálculos'!$D$125*(1+2.78*('Cálculos'!$D$197+(($B$111)-$A75)*'Cálculos'!$D$98)/(('Cálculos'!$D$197+(($B$111)-$A75)*'Cálculos'!$D$98)+1400)+'Cálculos'!$D$123)*'Cálculos'!$D$237)+('Cálculos'!$D$185*(1+'Cálculos'!$D$188+$A75*('Cálculos'!$D$290=1)*'Cálculos'!$D$97+'Cálculos'!$D$305)+'Cálculos'!$D$193)*('Cálculos'!$D$239+'Cálculos'!$D$124*(1+2.78*('Cálculos'!$D$198+(($B$111)-$A75)*'Cálculos'!$D$98)/(('Cálculos'!$D$198+(($B$111)-$A75)*'Cálculos'!$D$98)+1400)+'Cálculos'!$D$122)*'Cálculos'!$D$244+'Cálculos'!$D$125*(1+2.78*('Cálculos'!$D$198+(($B$111)-$A75)*'Cálculos'!$D$98)/(('Cálculos'!$D$198+(($B$111)-$A75)*'Cálculos'!$D$98)+1400)+'Cálculos'!$D$123)*'Cálculos'!$D$249)+('Cálculos'!$D$198+(($B$111)-$A75)*'Cálculos'!$D$98)*('Cálculos'!$D$240+'Cálculos'!$D$124*(1+2.78*('Cálculos'!$D$198+(($B$111)-$A75)*'Cálculos'!$D$98)/(('Cálculos'!$D$198+(($B$111)-$A75)*'Cálculos'!$D$98)+1400)+'Cálculos'!$D$122)*'Cálculos'!$D$245+'Cálculos'!$D$125*(1+2.78*('Cálculos'!$D$198+(($B$111)-$A75)*'Cálculos'!$D$98)/(('Cálculos'!$D$198+(($B$111)-$A75)*'Cálculos'!$D$98)+1400)+'Cálculos'!$D$123)*'Cálculos'!$D$250)+('Cálculos'!$D$201*(1+'Cálculos'!$D$202+$A75*('Cálculos'!$D$290=2)*'Cálculos'!$D$101)+'Cálculos'!$D$203)*('Cálculos'!$D$241+'Cálculos'!$D$124*(1+2.78*('Cálculos'!$D$198+(($B$111)-$A75)*'Cálculos'!$D$98)/(('Cálculos'!$D$198+(($B$111)-$A75)*'Cálculos'!$D$98)+1400)+'Cálculos'!$D$122)*'Cálculos'!$D$246+'Cálculos'!$D$125*(1+2.78*('Cálculos'!$D$198+(($B$111)-$A75)*'Cálculos'!$D$98)/(('Cálculos'!$D$198+(($B$111)-$A75)*'Cálculos'!$D$98)+1400)+'Cálculos'!$D$123)*'Cálculos'!$D$251)+('Cálculos'!$D$204*(1+'Cálculos'!$D$205+$A75*('Cálculos'!$D$290=3)*'Cálculos'!$D$103)+'Cálculos'!$D$206)*('Cálculos'!$D$242+'Cálculos'!$D$124*(1+2.78*('Cálculos'!$D$198+(($B$111)-$A75)*'Cálculos'!$D$98)/(('Cálculos'!$D$198+(($B$111)-$A75)*'Cálculos'!$D$98)+1400)+'Cálculos'!$D$122)*'Cálculos'!$D$247+'Cálculos'!$D$125*(1+2.78*('Cálculos'!$D$198+(($B$111)-$A75)*'Cálculos'!$D$98)/(('Cálculos'!$D$198+(($B$111)-$A75)*'Cálculos'!$D$98)+1400)+'Cálculos'!$D$123)*'Cálculos'!$D$252)+('Cálculos'!$D$185*(1+'Cálculos'!$D$189+$A75*('Cálculos'!$D$290=1)*'Cálculos'!$D$97+'Cálculos'!$D$305)+'Cálculos'!$D$194)*('Cálculos'!$D$254+'Cálculos'!$D$124*(1+2.78*('Cálculos'!$D$199+(($B$111)-$A75)*'Cálculos'!$D$98)/(('Cálculos'!$D$199+(($B$111)-$A75)*'Cálculos'!$D$98)+1400)+'Cálculos'!$D$122)*'Cálculos'!$D$259+'Cálculos'!$D$125*(1+2.78*('Cálculos'!$D$199+(($B$111)-$A75)*'Cálculos'!$D$98)/(('Cálculos'!$D$199+(($B$111)-$A75)*'Cálculos'!$D$98)+1400)+'Cálculos'!$D$123)*'Cálculos'!$D$264)+('Cálculos'!$D$199+(($B$111)-$A75)*'Cálculos'!$D$98)*('Cálculos'!$D$255+'Cálculos'!$D$124*(1+2.78*('Cálculos'!$D$199+(($B$111)-$A75)*'Cálculos'!$D$98)/(('Cálculos'!$D$199+(($B$111)-$A75)*'Cálculos'!$D$98)+1400)+'Cálculos'!$D$122)*'Cálculos'!$D$260+'Cálculos'!$D$125*(1+2.78*('Cálculos'!$D$199+(($B$111)-$A75)*'Cálculos'!$D$98)/(('Cálculos'!$D$199+(($B$111)-$A75)*'Cálculos'!$D$98)+1400)+'Cálculos'!$D$123)*'Cálculos'!$D$265)+('Cálculos'!$D$201*(1+'Cálculos'!$D$202+$A75*('Cálculos'!$D$290=2)*'Cálculos'!$D$101)+'Cálculos'!$D$203)*('Cálculos'!$D$256+'Cálculos'!$D$124*(1+2.78*('Cálculos'!$D$199+(($B$111)-$A75)*'Cálculos'!$D$98)/(('Cálculos'!$D$199+(($B$111)-$A75)*'Cálculos'!$D$98)+1400)+'Cálculos'!$D$122)*'Cálculos'!$D$261+'Cálculos'!$D$125*(1+2.78*('Cálculos'!$D$199+(($B$111)-$A75)*'Cálculos'!$D$98)/(('Cálculos'!$D$199+(($B$111)-$A75)*'Cálculos'!$D$98)+1400)+'Cálculos'!$D$123)*'Cálculos'!$D$266)+('Cálculos'!$D$204*(1+'Cálculos'!$D$205+$A75*('Cálculos'!$D$290=3)*'Cálculos'!$D$103)+'Cálculos'!$D$206)*('Cálculos'!$D$257+'Cálculos'!$D$124*(1+2.78*('Cálculos'!$D$199+(($B$111)-$A75)*'Cálculos'!$D$98)/(('Cálculos'!$D$199+(($B$111)-$A75)*'Cálculos'!$D$98)+1400)+'Cálculos'!$D$122)*'Cálculos'!$D$262+'Cálculos'!$D$125*(1+2.78*('Cálculos'!$D$199+(($B$111)-$A75)*'Cálculos'!$D$98)/(('Cálculos'!$D$199+(($B$111)-$A75)*'Cálculos'!$D$98)+1400)+'Cálculos'!$D$123)*'Cálculos'!$D$267)+('Cálculos'!$D$185*(1+'Cálculos'!$D$190+$A75*('Cálculos'!$D$290=1)*'Cálculos'!$D$97+'Cálculos'!$D$305)+'Cálculos'!$D$195)*('Cálculos'!$D$269+'Cálculos'!$D$124*(1+2.78*('Cálculos'!$D$200+(($B$111)-$A75)*'Cálculos'!$D$98)/(('Cálculos'!$D$200+(($B$111)-$A75)*'Cálculos'!$D$98)+1400)+'Cálculos'!$D$122)*'Cálculos'!$D$274+'Cálculos'!$D$125*(1+2.78*('Cálculos'!$D$200+(($B$111)-$A75)*'Cálculos'!$D$98)/(('Cálculos'!$D$200+(($B$111)-$A75)*'Cálculos'!$D$98)+1400)+'Cálculos'!$D$123)*'Cálculos'!$D$279)+('Cálculos'!$D$200+(($B$111)-$A75)*'Cálculos'!$D$98)*('Cálculos'!$D$270+'Cálculos'!$D$124*(1+2.78*('Cálculos'!$D$200+(($B$111)-$A75)*'Cálculos'!$D$98)/(('Cálculos'!$D$200+(($B$111)-$A75)*'Cálculos'!$D$98)+1400)+'Cálculos'!$D$122)*'Cálculos'!$D$275+'Cálculos'!$D$125*(1+2.78*('Cálculos'!$D$200+(($B$111)-$A75)*'Cálculos'!$D$98)/(('Cálculos'!$D$200+(($B$111)-$A75)*'Cálculos'!$D$98)+1400)+'Cálculos'!$D$123)*'Cálculos'!$D$280)+('Cálculos'!$D$201*(1+'Cálculos'!$D$202+$A75*('Cálculos'!$D$290=2)*'Cálculos'!$D$101)+'Cálculos'!$D$203)*('Cálculos'!$D$271+'Cálculos'!$D$124*(1+2.78*('Cálculos'!$D$200+(($B$111)-$A75)*'Cálculos'!$D$98)/(('Cálculos'!$D$200+(($B$111)-$A75)*'Cálculos'!$D$98)+1400)+'Cálculos'!$D$122)*'Cálculos'!$D$276+'Cálculos'!$D$125*(1+2.78*('Cálculos'!$D$200+(($B$111)-$A75)*'Cálculos'!$D$98)/(('Cálculos'!$D$200+(($B$111)-$A75)*'Cálculos'!$D$98)+1400)+'Cálculos'!$D$123)*'Cálculos'!$D$281)+('Cálculos'!$D$204*(1+'Cálculos'!$D$205+$A75*('Cálculos'!$D$290=3)*'Cálculos'!$D$103)+'Cálculos'!$D$206)*('Cálculos'!$D$272+'Cálculos'!$D$124*(1+2.78*('Cálculos'!$D$200+(($B$111)-$A75)*'Cálculos'!$D$98)/(('Cálculos'!$D$200+(($B$111)-$A75)*'Cálculos'!$D$98)+1400)+'Cálculos'!$D$122)*'Cálculos'!$D$277+'Cálculos'!$D$125*(1+2.78*('Cálculos'!$D$200+(($B$111)-$A75)*'Cálculos'!$D$98)/(('Cálculos'!$D$200+(($B$111)-$A75)*'Cálculos'!$D$98)+1400)+'Cálculos'!$D$123)*'Cálculos'!$D$282)))</f>
        <v>0</v>
      </c>
    </row>
    <row r="76" ht="15.75" customHeight="1">
      <c r="A76" s="2">
        <v>13.0</v>
      </c>
      <c r="B76" s="30">
        <f>SUMPRODUCT(MAX(($A$63:$A$108&lt;=$A76)*($A$63:$A$108&lt;='Cálculos'!$D$294)*(($A76)-$A$63:$A$108&lt;='Cálculos'!$D$295)*(1+(('Cálculos'!$D$207+$A$63:$A$108*'Cálculos'!$D$95)-(('Cálculos'!$D$207+$A$63:$A$108*'Cálculos'!$D$95)&gt;1)*(('Cálculos'!$D$207+$A$63:$A$108*'Cálculos'!$D$95)-1))*('Cálculos'!$D$208+(($A76)-$A$63:$A$108)*'Cálculos'!$D$96))))</f>
        <v>1.508461309</v>
      </c>
      <c r="C76" s="2">
        <f>'Cálculos'!$D$303-$A76</f>
        <v>-2</v>
      </c>
      <c r="D76" s="31">
        <f>IF($C76&lt;0,0,SUMPRODUCT(MAX(($A$63:$A$108&lt;=$C76)*($A$63:$A$108&lt;='Cálculos'!$D$301)*(($C76)-$A$63:$A$108&lt;='Cálculos'!$D$297)*(('Cálculos'!$D$185*(1+'Cálculos'!$D$186+$A$63:$A$108*('Cálculos'!$D$290=1)*'Cálculos'!$D$97+'Cálculos'!$D$305)+'Cálculos'!$D$191)*('Cálculos'!$D$209+'Cálculos'!$D$124*(1+2.78*('Cálculos'!$D$196+(($C76)-$A$63:$A$108)*'Cálculos'!$D$98)/(('Cálculos'!$D$196+(($C76)-$A$63:$A$108)*'Cálculos'!$D$98)+1400)+'Cálculos'!$D$122)*'Cálculos'!$D$214+'Cálculos'!$D$125*(1+2.78*('Cálculos'!$D$196+(($C76)-$A$63:$A$108)*'Cálculos'!$D$98)/(('Cálculos'!$D$196+(($C76)-$A$63:$A$108)*'Cálculos'!$D$98)+1400)+'Cálculos'!$D$123)*'Cálculos'!$D$219)+('Cálculos'!$D$196+(($C76)-$A$63:$A$108)*'Cálculos'!$D$98)*('Cálculos'!$D$210+'Cálculos'!$D$124*(1+2.78*('Cálculos'!$D$196+(($C76)-$A$63:$A$108)*'Cálculos'!$D$98)/(('Cálculos'!$D$196+(($C76)-$A$63:$A$108)*'Cálculos'!$D$98)+1400)+'Cálculos'!$D$122)*'Cálculos'!$D$215+'Cálculos'!$D$125*(1+2.78*('Cálculos'!$D$196+(($C76)-$A$63:$A$108)*'Cálculos'!$D$98)/(('Cálculos'!$D$196+(($C76)-$A$63:$A$108)*'Cálculos'!$D$98)+1400)+'Cálculos'!$D$123)*'Cálculos'!$D$220)+('Cálculos'!$D$201*(1+'Cálculos'!$D$202+$A$63:$A$108*('Cálculos'!$D$290=2)*'Cálculos'!$D$101)+'Cálculos'!$D$203)*('Cálculos'!$D$211+'Cálculos'!$D$124*(1+2.78*('Cálculos'!$D$196+(($C76)-$A$63:$A$108)*'Cálculos'!$D$98)/(('Cálculos'!$D$196+(($C76)-$A$63:$A$108)*'Cálculos'!$D$98)+1400)+'Cálculos'!$D$122)*'Cálculos'!$D$216+'Cálculos'!$D$125*(1+2.78*('Cálculos'!$D$196+(($C76)-$A$63:$A$108)*'Cálculos'!$D$98)/(('Cálculos'!$D$196+(($C76)-$A$63:$A$108)*'Cálculos'!$D$98)+1400)+'Cálculos'!$D$123)*'Cálculos'!$D$221)+('Cálculos'!$D$204*(1+'Cálculos'!$D$205+$A$63:$A$108*('Cálculos'!$D$290=3)*'Cálculos'!$D$103)+'Cálculos'!$D$206)*('Cálculos'!$D$212+'Cálculos'!$D$124*(1+2.78*('Cálculos'!$D$196+(($C76)-$A$63:$A$108)*'Cálculos'!$D$98)/(('Cálculos'!$D$196+(($C76)-$A$63:$A$108)*'Cálculos'!$D$98)+1400)+'Cálculos'!$D$122)*'Cálculos'!$D$217+'Cálculos'!$D$125*(1+2.78*('Cálculos'!$D$196+(($C76)-$A$63:$A$108)*'Cálculos'!$D$98)/(('Cálculos'!$D$196+(($C76)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76)-$A$63:$A$108)*'Cálculos'!$D$98)/(('Cálculos'!$D$197+(($C76)-$A$63:$A$108)*'Cálculos'!$D$98)+1400)+'Cálculos'!$D$122)*'Cálculos'!$D$229+'Cálculos'!$D$125*(1+2.78*('Cálculos'!$D$197+(($C76)-$A$63:$A$108)*'Cálculos'!$D$98)/(('Cálculos'!$D$197+(($C76)-$A$63:$A$108)*'Cálculos'!$D$98)+1400)+'Cálculos'!$D$123)*'Cálculos'!$D$234)+('Cálculos'!$D$197+(($C76)-$A$63:$A$108)*'Cálculos'!$D$98)*('Cálculos'!$D$225+'Cálculos'!$D$124*(1+2.78*('Cálculos'!$D$197+(($C76)-$A$63:$A$108)*'Cálculos'!$D$98)/(('Cálculos'!$D$197+(($C76)-$A$63:$A$108)*'Cálculos'!$D$98)+1400)+'Cálculos'!$D$122)*'Cálculos'!$D$230+'Cálculos'!$D$125*(1+2.78*('Cálculos'!$D$197+(($C76)-$A$63:$A$108)*'Cálculos'!$D$98)/(('Cálculos'!$D$197+(($C76)-$A$63:$A$108)*'Cálculos'!$D$98)+1400)+'Cálculos'!$D$123)*'Cálculos'!$D$235)+('Cálculos'!$D$201*(1+'Cálculos'!$D$202+$A$63:$A$108*('Cálculos'!$D$290=2)*'Cálculos'!$D$101)+'Cálculos'!$D$203)*('Cálculos'!$D$226+'Cálculos'!$D$124*(1+2.78*('Cálculos'!$D$197+(($C76)-$A$63:$A$108)*'Cálculos'!$D$98)/(('Cálculos'!$D$197+(($C76)-$A$63:$A$108)*'Cálculos'!$D$98)+1400)+'Cálculos'!$D$122)*'Cálculos'!$D$231+'Cálculos'!$D$125*(1+2.78*('Cálculos'!$D$197+(($C76)-$A$63:$A$108)*'Cálculos'!$D$98)/(('Cálculos'!$D$197+(($C76)-$A$63:$A$108)*'Cálculos'!$D$98)+1400)+'Cálculos'!$D$123)*'Cálculos'!$D$236)+('Cálculos'!$D$204*(1+'Cálculos'!$D$205+$A$63:$A$108*('Cálculos'!$D$290=3)*'Cálculos'!$D$103)+'Cálculos'!$D$206)*('Cálculos'!$D$227+'Cálculos'!$D$124*(1+2.78*('Cálculos'!$D$197+(($C76)-$A$63:$A$108)*'Cálculos'!$D$98)/(('Cálculos'!$D$197+(($C76)-$A$63:$A$108)*'Cálculos'!$D$98)+1400)+'Cálculos'!$D$122)*'Cálculos'!$D$232+'Cálculos'!$D$125*(1+2.78*('Cálculos'!$D$197+(($C76)-$A$63:$A$108)*'Cálculos'!$D$98)/(('Cálculos'!$D$197+(($C76)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76)-$A$63:$A$108)*'Cálculos'!$D$98)/(('Cálculos'!$D$198+(($C76)-$A$63:$A$108)*'Cálculos'!$D$98)+1400)+'Cálculos'!$D$122)*'Cálculos'!$D$244+'Cálculos'!$D$125*(1+2.78*('Cálculos'!$D$198+(($C76)-$A$63:$A$108)*'Cálculos'!$D$98)/(('Cálculos'!$D$198+(($C76)-$A$63:$A$108)*'Cálculos'!$D$98)+1400)+'Cálculos'!$D$123)*'Cálculos'!$D$249)+('Cálculos'!$D$198+(($C76)-$A$63:$A$108)*'Cálculos'!$D$98)*('Cálculos'!$D$240+'Cálculos'!$D$124*(1+2.78*('Cálculos'!$D$198+(($C76)-$A$63:$A$108)*'Cálculos'!$D$98)/(('Cálculos'!$D$198+(($C76)-$A$63:$A$108)*'Cálculos'!$D$98)+1400)+'Cálculos'!$D$122)*'Cálculos'!$D$245+'Cálculos'!$D$125*(1+2.78*('Cálculos'!$D$198+(($C76)-$A$63:$A$108)*'Cálculos'!$D$98)/(('Cálculos'!$D$198+(($C76)-$A$63:$A$108)*'Cálculos'!$D$98)+1400)+'Cálculos'!$D$123)*'Cálculos'!$D$250)+('Cálculos'!$D$201*(1+'Cálculos'!$D$202+$A$63:$A$108*('Cálculos'!$D$290=2)*'Cálculos'!$D$101)+'Cálculos'!$D$203)*('Cálculos'!$D$241+'Cálculos'!$D$124*(1+2.78*('Cálculos'!$D$198+(($C76)-$A$63:$A$108)*'Cálculos'!$D$98)/(('Cálculos'!$D$198+(($C76)-$A$63:$A$108)*'Cálculos'!$D$98)+1400)+'Cálculos'!$D$122)*'Cálculos'!$D$246+'Cálculos'!$D$125*(1+2.78*('Cálculos'!$D$198+(($C76)-$A$63:$A$108)*'Cálculos'!$D$98)/(('Cálculos'!$D$198+(($C76)-$A$63:$A$108)*'Cálculos'!$D$98)+1400)+'Cálculos'!$D$123)*'Cálculos'!$D$251)+('Cálculos'!$D$204*(1+'Cálculos'!$D$205+$A$63:$A$108*('Cálculos'!$D$290=3)*'Cálculos'!$D$103)+'Cálculos'!$D$206)*('Cálculos'!$D$242+'Cálculos'!$D$124*(1+2.78*('Cálculos'!$D$198+(($C76)-$A$63:$A$108)*'Cálculos'!$D$98)/(('Cálculos'!$D$198+(($C76)-$A$63:$A$108)*'Cálculos'!$D$98)+1400)+'Cálculos'!$D$122)*'Cálculos'!$D$247+'Cálculos'!$D$125*(1+2.78*('Cálculos'!$D$198+(($C76)-$A$63:$A$108)*'Cálculos'!$D$98)/(('Cálculos'!$D$198+(($C76)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76)-$A$63:$A$108)*'Cálculos'!$D$98)/(('Cálculos'!$D$199+(($C76)-$A$63:$A$108)*'Cálculos'!$D$98)+1400)+'Cálculos'!$D$122)*'Cálculos'!$D$259+'Cálculos'!$D$125*(1+2.78*('Cálculos'!$D$199+(($C76)-$A$63:$A$108)*'Cálculos'!$D$98)/(('Cálculos'!$D$199+(($C76)-$A$63:$A$108)*'Cálculos'!$D$98)+1400)+'Cálculos'!$D$123)*'Cálculos'!$D$264)+('Cálculos'!$D$199+(($C76)-$A$63:$A$108)*'Cálculos'!$D$98)*('Cálculos'!$D$255+'Cálculos'!$D$124*(1+2.78*('Cálculos'!$D$199+(($C76)-$A$63:$A$108)*'Cálculos'!$D$98)/(('Cálculos'!$D$199+(($C76)-$A$63:$A$108)*'Cálculos'!$D$98)+1400)+'Cálculos'!$D$122)*'Cálculos'!$D$260+'Cálculos'!$D$125*(1+2.78*('Cálculos'!$D$199+(($C76)-$A$63:$A$108)*'Cálculos'!$D$98)/(('Cálculos'!$D$199+(($C76)-$A$63:$A$108)*'Cálculos'!$D$98)+1400)+'Cálculos'!$D$123)*'Cálculos'!$D$265)+('Cálculos'!$D$201*(1+'Cálculos'!$D$202+$A$63:$A$108*('Cálculos'!$D$290=2)*'Cálculos'!$D$101)+'Cálculos'!$D$203)*('Cálculos'!$D$256+'Cálculos'!$D$124*(1+2.78*('Cálculos'!$D$199+(($C76)-$A$63:$A$108)*'Cálculos'!$D$98)/(('Cálculos'!$D$199+(($C76)-$A$63:$A$108)*'Cálculos'!$D$98)+1400)+'Cálculos'!$D$122)*'Cálculos'!$D$261+'Cálculos'!$D$125*(1+2.78*('Cálculos'!$D$199+(($C76)-$A$63:$A$108)*'Cálculos'!$D$98)/(('Cálculos'!$D$199+(($C76)-$A$63:$A$108)*'Cálculos'!$D$98)+1400)+'Cálculos'!$D$123)*'Cálculos'!$D$266)+('Cálculos'!$D$204*(1+'Cálculos'!$D$205+$A$63:$A$108*('Cálculos'!$D$290=3)*'Cálculos'!$D$103)+'Cálculos'!$D$206)*('Cálculos'!$D$257+'Cálculos'!$D$124*(1+2.78*('Cálculos'!$D$199+(($C76)-$A$63:$A$108)*'Cálculos'!$D$98)/(('Cálculos'!$D$199+(($C76)-$A$63:$A$108)*'Cálculos'!$D$98)+1400)+'Cálculos'!$D$122)*'Cálculos'!$D$262+'Cálculos'!$D$125*(1+2.78*('Cálculos'!$D$199+(($C76)-$A$63:$A$108)*'Cálculos'!$D$98)/(('Cálculos'!$D$199+(($C76)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76)-$A$63:$A$108)*'Cálculos'!$D$98)/(('Cálculos'!$D$200+(($C76)-$A$63:$A$108)*'Cálculos'!$D$98)+1400)+'Cálculos'!$D$122)*'Cálculos'!$D$274+'Cálculos'!$D$125*(1+2.78*('Cálculos'!$D$200+(($C76)-$A$63:$A$108)*'Cálculos'!$D$98)/(('Cálculos'!$D$200+(($C76)-$A$63:$A$108)*'Cálculos'!$D$98)+1400)+'Cálculos'!$D$123)*'Cálculos'!$D$279)+('Cálculos'!$D$200+(($C76)-$A$63:$A$108)*'Cálculos'!$D$98)*('Cálculos'!$D$270+'Cálculos'!$D$124*(1+2.78*('Cálculos'!$D$200+(($C76)-$A$63:$A$108)*'Cálculos'!$D$98)/(('Cálculos'!$D$200+(($C76)-$A$63:$A$108)*'Cálculos'!$D$98)+1400)+'Cálculos'!$D$122)*'Cálculos'!$D$275+'Cálculos'!$D$125*(1+2.78*('Cálculos'!$D$200+(($C76)-$A$63:$A$108)*'Cálculos'!$D$98)/(('Cálculos'!$D$200+(($C76)-$A$63:$A$108)*'Cálculos'!$D$98)+1400)+'Cálculos'!$D$123)*'Cálculos'!$D$280)+('Cálculos'!$D$201*(1+'Cálculos'!$D$202+$A$63:$A$108*('Cálculos'!$D$290=2)*'Cálculos'!$D$101)+'Cálculos'!$D$203)*('Cálculos'!$D$271+'Cálculos'!$D$124*(1+2.78*('Cálculos'!$D$200+(($C76)-$A$63:$A$108)*'Cálculos'!$D$98)/(('Cálculos'!$D$200+(($C76)-$A$63:$A$108)*'Cálculos'!$D$98)+1400)+'Cálculos'!$D$122)*'Cálculos'!$D$276+'Cálculos'!$D$125*(1+2.78*('Cálculos'!$D$200+(($C76)-$A$63:$A$108)*'Cálculos'!$D$98)/(('Cálculos'!$D$200+(($C76)-$A$63:$A$108)*'Cálculos'!$D$98)+1400)+'Cálculos'!$D$123)*'Cálculos'!$D$281)+('Cálculos'!$D$204*(1+'Cálculos'!$D$205+$A$63:$A$108*('Cálculos'!$D$290=3)*'Cálculos'!$D$103)+'Cálculos'!$D$206)*('Cálculos'!$D$272+'Cálculos'!$D$124*(1+2.78*('Cálculos'!$D$200+(($C76)-$A$63:$A$108)*'Cálculos'!$D$98)/(('Cálculos'!$D$200+(($C76)-$A$63:$A$108)*'Cálculos'!$D$98)+1400)+'Cálculos'!$D$122)*'Cálculos'!$D$277+'Cálculos'!$D$125*(1+2.78*('Cálculos'!$D$200+(($C76)-$A$63:$A$108)*'Cálculos'!$D$98)/(('Cálculos'!$D$200+(($C76)-$A$63:$A$108)*'Cálculos'!$D$98)+1400)+'Cálculos'!$D$123)*'Cálculos'!$D$282)))))</f>
        <v>0</v>
      </c>
      <c r="E76" s="32">
        <f>IF(OR($C76&lt;0,'Cálculos'!$D$6=""),0,$B76*$D76)</f>
        <v>0</v>
      </c>
      <c r="F76" s="2"/>
      <c r="G76" s="30">
        <f>($A76&lt;=$B$110)*($A76&lt;='Cálculos'!$D$294)*(($B$110)-$A76&lt;='Cálculos'!$D$295)*(1+MIN(('Cálculos'!$D$207+$A76*'Cálculos'!$D$95),1)*('Cálculos'!$D$208+(($B$110)-$A76)*'Cálculos'!$D$96))</f>
        <v>0</v>
      </c>
      <c r="H76" s="31">
        <f>IF($B$111&lt;0,0,($A76&lt;=$B$111)*($A76&lt;='Cálculos'!$D$301)*(($B$111)-$A76&lt;='Cálculos'!$D$297)*(('Cálculos'!$D$185*(1+'Cálculos'!$D$186+$A76*('Cálculos'!$D$290=1)*'Cálculos'!$D$97+'Cálculos'!$D$305)+'Cálculos'!$D$191)*('Cálculos'!$D$209+'Cálculos'!$D$124*(1+2.78*('Cálculos'!$D$196+(($B$111)-$A76)*'Cálculos'!$D$98)/(('Cálculos'!$D$196+(($B$111)-$A76)*'Cálculos'!$D$98)+1400)+'Cálculos'!$D$122)*'Cálculos'!$D$214+'Cálculos'!$D$125*(1+2.78*('Cálculos'!$D$196+(($B$111)-$A76)*'Cálculos'!$D$98)/(('Cálculos'!$D$196+(($B$111)-$A76)*'Cálculos'!$D$98)+1400)+'Cálculos'!$D$123)*'Cálculos'!$D$219)+('Cálculos'!$D$196+(($B$111)-$A76)*'Cálculos'!$D$98)*('Cálculos'!$D$210+'Cálculos'!$D$124*(1+2.78*('Cálculos'!$D$196+(($B$111)-$A76)*'Cálculos'!$D$98)/(('Cálculos'!$D$196+(($B$111)-$A76)*'Cálculos'!$D$98)+1400)+'Cálculos'!$D$122)*'Cálculos'!$D$215+'Cálculos'!$D$125*(1+2.78*('Cálculos'!$D$196+(($B$111)-$A76)*'Cálculos'!$D$98)/(('Cálculos'!$D$196+(($B$111)-$A76)*'Cálculos'!$D$98)+1400)+'Cálculos'!$D$123)*'Cálculos'!$D$220)+('Cálculos'!$D$201*(1+'Cálculos'!$D$202+$A76*('Cálculos'!$D$290=2)*'Cálculos'!$D$101)+'Cálculos'!$D$203)*('Cálculos'!$D$211+'Cálculos'!$D$124*(1+2.78*('Cálculos'!$D$196+(($B$111)-$A76)*'Cálculos'!$D$98)/(('Cálculos'!$D$196+(($B$111)-$A76)*'Cálculos'!$D$98)+1400)+'Cálculos'!$D$122)*'Cálculos'!$D$216+'Cálculos'!$D$125*(1+2.78*('Cálculos'!$D$196+(($B$111)-$A76)*'Cálculos'!$D$98)/(('Cálculos'!$D$196+(($B$111)-$A76)*'Cálculos'!$D$98)+1400)+'Cálculos'!$D$123)*'Cálculos'!$D$221)+('Cálculos'!$D$204*(1+'Cálculos'!$D$205+$A76*('Cálculos'!$D$290=3)*'Cálculos'!$D$103)+'Cálculos'!$D$206)*('Cálculos'!$D$212+'Cálculos'!$D$124*(1+2.78*('Cálculos'!$D$196+(($B$111)-$A76)*'Cálculos'!$D$98)/(('Cálculos'!$D$196+(($B$111)-$A76)*'Cálculos'!$D$98)+1400)+'Cálculos'!$D$122)*'Cálculos'!$D$217+'Cálculos'!$D$125*(1+2.78*('Cálculos'!$D$196+(($B$111)-$A76)*'Cálculos'!$D$98)/(('Cálculos'!$D$196+(($B$111)-$A76)*'Cálculos'!$D$98)+1400)+'Cálculos'!$D$123)*'Cálculos'!$D$222)+('Cálculos'!$D$185*(1+'Cálculos'!$D$187+$A76*('Cálculos'!$D$290=1)*'Cálculos'!$D$97+'Cálculos'!$D$305)+'Cálculos'!$D$192)*('Cálculos'!$D$224+'Cálculos'!$D$124*(1+2.78*('Cálculos'!$D$197+(($B$111)-$A76)*'Cálculos'!$D$98)/(('Cálculos'!$D$197+(($B$111)-$A76)*'Cálculos'!$D$98)+1400)+'Cálculos'!$D$122)*'Cálculos'!$D$229+'Cálculos'!$D$125*(1+2.78*('Cálculos'!$D$197+(($B$111)-$A76)*'Cálculos'!$D$98)/(('Cálculos'!$D$197+(($B$111)-$A76)*'Cálculos'!$D$98)+1400)+'Cálculos'!$D$123)*'Cálculos'!$D$234)+('Cálculos'!$D$197+(($B$111)-$A76)*'Cálculos'!$D$98)*('Cálculos'!$D$225+'Cálculos'!$D$124*(1+2.78*('Cálculos'!$D$197+(($B$111)-$A76)*'Cálculos'!$D$98)/(('Cálculos'!$D$197+(($B$111)-$A76)*'Cálculos'!$D$98)+1400)+'Cálculos'!$D$122)*'Cálculos'!$D$230+'Cálculos'!$D$125*(1+2.78*('Cálculos'!$D$197+(($B$111)-$A76)*'Cálculos'!$D$98)/(('Cálculos'!$D$197+(($B$111)-$A76)*'Cálculos'!$D$98)+1400)+'Cálculos'!$D$123)*'Cálculos'!$D$235)+('Cálculos'!$D$201*(1+'Cálculos'!$D$202+$A76*('Cálculos'!$D$290=2)*'Cálculos'!$D$101)+'Cálculos'!$D$203)*('Cálculos'!$D$226+'Cálculos'!$D$124*(1+2.78*('Cálculos'!$D$197+(($B$111)-$A76)*'Cálculos'!$D$98)/(('Cálculos'!$D$197+(($B$111)-$A76)*'Cálculos'!$D$98)+1400)+'Cálculos'!$D$122)*'Cálculos'!$D$231+'Cálculos'!$D$125*(1+2.78*('Cálculos'!$D$197+(($B$111)-$A76)*'Cálculos'!$D$98)/(('Cálculos'!$D$197+(($B$111)-$A76)*'Cálculos'!$D$98)+1400)+'Cálculos'!$D$123)*'Cálculos'!$D$236)+('Cálculos'!$D$204*(1+'Cálculos'!$D$205+$A76*('Cálculos'!$D$290=3)*'Cálculos'!$D$103)+'Cálculos'!$D$206)*('Cálculos'!$D$227+'Cálculos'!$D$124*(1+2.78*('Cálculos'!$D$197+(($B$111)-$A76)*'Cálculos'!$D$98)/(('Cálculos'!$D$197+(($B$111)-$A76)*'Cálculos'!$D$98)+1400)+'Cálculos'!$D$122)*'Cálculos'!$D$232+'Cálculos'!$D$125*(1+2.78*('Cálculos'!$D$197+(($B$111)-$A76)*'Cálculos'!$D$98)/(('Cálculos'!$D$197+(($B$111)-$A76)*'Cálculos'!$D$98)+1400)+'Cálculos'!$D$123)*'Cálculos'!$D$237)+('Cálculos'!$D$185*(1+'Cálculos'!$D$188+$A76*('Cálculos'!$D$290=1)*'Cálculos'!$D$97+'Cálculos'!$D$305)+'Cálculos'!$D$193)*('Cálculos'!$D$239+'Cálculos'!$D$124*(1+2.78*('Cálculos'!$D$198+(($B$111)-$A76)*'Cálculos'!$D$98)/(('Cálculos'!$D$198+(($B$111)-$A76)*'Cálculos'!$D$98)+1400)+'Cálculos'!$D$122)*'Cálculos'!$D$244+'Cálculos'!$D$125*(1+2.78*('Cálculos'!$D$198+(($B$111)-$A76)*'Cálculos'!$D$98)/(('Cálculos'!$D$198+(($B$111)-$A76)*'Cálculos'!$D$98)+1400)+'Cálculos'!$D$123)*'Cálculos'!$D$249)+('Cálculos'!$D$198+(($B$111)-$A76)*'Cálculos'!$D$98)*('Cálculos'!$D$240+'Cálculos'!$D$124*(1+2.78*('Cálculos'!$D$198+(($B$111)-$A76)*'Cálculos'!$D$98)/(('Cálculos'!$D$198+(($B$111)-$A76)*'Cálculos'!$D$98)+1400)+'Cálculos'!$D$122)*'Cálculos'!$D$245+'Cálculos'!$D$125*(1+2.78*('Cálculos'!$D$198+(($B$111)-$A76)*'Cálculos'!$D$98)/(('Cálculos'!$D$198+(($B$111)-$A76)*'Cálculos'!$D$98)+1400)+'Cálculos'!$D$123)*'Cálculos'!$D$250)+('Cálculos'!$D$201*(1+'Cálculos'!$D$202+$A76*('Cálculos'!$D$290=2)*'Cálculos'!$D$101)+'Cálculos'!$D$203)*('Cálculos'!$D$241+'Cálculos'!$D$124*(1+2.78*('Cálculos'!$D$198+(($B$111)-$A76)*'Cálculos'!$D$98)/(('Cálculos'!$D$198+(($B$111)-$A76)*'Cálculos'!$D$98)+1400)+'Cálculos'!$D$122)*'Cálculos'!$D$246+'Cálculos'!$D$125*(1+2.78*('Cálculos'!$D$198+(($B$111)-$A76)*'Cálculos'!$D$98)/(('Cálculos'!$D$198+(($B$111)-$A76)*'Cálculos'!$D$98)+1400)+'Cálculos'!$D$123)*'Cálculos'!$D$251)+('Cálculos'!$D$204*(1+'Cálculos'!$D$205+$A76*('Cálculos'!$D$290=3)*'Cálculos'!$D$103)+'Cálculos'!$D$206)*('Cálculos'!$D$242+'Cálculos'!$D$124*(1+2.78*('Cálculos'!$D$198+(($B$111)-$A76)*'Cálculos'!$D$98)/(('Cálculos'!$D$198+(($B$111)-$A76)*'Cálculos'!$D$98)+1400)+'Cálculos'!$D$122)*'Cálculos'!$D$247+'Cálculos'!$D$125*(1+2.78*('Cálculos'!$D$198+(($B$111)-$A76)*'Cálculos'!$D$98)/(('Cálculos'!$D$198+(($B$111)-$A76)*'Cálculos'!$D$98)+1400)+'Cálculos'!$D$123)*'Cálculos'!$D$252)+('Cálculos'!$D$185*(1+'Cálculos'!$D$189+$A76*('Cálculos'!$D$290=1)*'Cálculos'!$D$97+'Cálculos'!$D$305)+'Cálculos'!$D$194)*('Cálculos'!$D$254+'Cálculos'!$D$124*(1+2.78*('Cálculos'!$D$199+(($B$111)-$A76)*'Cálculos'!$D$98)/(('Cálculos'!$D$199+(($B$111)-$A76)*'Cálculos'!$D$98)+1400)+'Cálculos'!$D$122)*'Cálculos'!$D$259+'Cálculos'!$D$125*(1+2.78*('Cálculos'!$D$199+(($B$111)-$A76)*'Cálculos'!$D$98)/(('Cálculos'!$D$199+(($B$111)-$A76)*'Cálculos'!$D$98)+1400)+'Cálculos'!$D$123)*'Cálculos'!$D$264)+('Cálculos'!$D$199+(($B$111)-$A76)*'Cálculos'!$D$98)*('Cálculos'!$D$255+'Cálculos'!$D$124*(1+2.78*('Cálculos'!$D$199+(($B$111)-$A76)*'Cálculos'!$D$98)/(('Cálculos'!$D$199+(($B$111)-$A76)*'Cálculos'!$D$98)+1400)+'Cálculos'!$D$122)*'Cálculos'!$D$260+'Cálculos'!$D$125*(1+2.78*('Cálculos'!$D$199+(($B$111)-$A76)*'Cálculos'!$D$98)/(('Cálculos'!$D$199+(($B$111)-$A76)*'Cálculos'!$D$98)+1400)+'Cálculos'!$D$123)*'Cálculos'!$D$265)+('Cálculos'!$D$201*(1+'Cálculos'!$D$202+$A76*('Cálculos'!$D$290=2)*'Cálculos'!$D$101)+'Cálculos'!$D$203)*('Cálculos'!$D$256+'Cálculos'!$D$124*(1+2.78*('Cálculos'!$D$199+(($B$111)-$A76)*'Cálculos'!$D$98)/(('Cálculos'!$D$199+(($B$111)-$A76)*'Cálculos'!$D$98)+1400)+'Cálculos'!$D$122)*'Cálculos'!$D$261+'Cálculos'!$D$125*(1+2.78*('Cálculos'!$D$199+(($B$111)-$A76)*'Cálculos'!$D$98)/(('Cálculos'!$D$199+(($B$111)-$A76)*'Cálculos'!$D$98)+1400)+'Cálculos'!$D$123)*'Cálculos'!$D$266)+('Cálculos'!$D$204*(1+'Cálculos'!$D$205+$A76*('Cálculos'!$D$290=3)*'Cálculos'!$D$103)+'Cálculos'!$D$206)*('Cálculos'!$D$257+'Cálculos'!$D$124*(1+2.78*('Cálculos'!$D$199+(($B$111)-$A76)*'Cálculos'!$D$98)/(('Cálculos'!$D$199+(($B$111)-$A76)*'Cálculos'!$D$98)+1400)+'Cálculos'!$D$122)*'Cálculos'!$D$262+'Cálculos'!$D$125*(1+2.78*('Cálculos'!$D$199+(($B$111)-$A76)*'Cálculos'!$D$98)/(('Cálculos'!$D$199+(($B$111)-$A76)*'Cálculos'!$D$98)+1400)+'Cálculos'!$D$123)*'Cálculos'!$D$267)+('Cálculos'!$D$185*(1+'Cálculos'!$D$190+$A76*('Cálculos'!$D$290=1)*'Cálculos'!$D$97+'Cálculos'!$D$305)+'Cálculos'!$D$195)*('Cálculos'!$D$269+'Cálculos'!$D$124*(1+2.78*('Cálculos'!$D$200+(($B$111)-$A76)*'Cálculos'!$D$98)/(('Cálculos'!$D$200+(($B$111)-$A76)*'Cálculos'!$D$98)+1400)+'Cálculos'!$D$122)*'Cálculos'!$D$274+'Cálculos'!$D$125*(1+2.78*('Cálculos'!$D$200+(($B$111)-$A76)*'Cálculos'!$D$98)/(('Cálculos'!$D$200+(($B$111)-$A76)*'Cálculos'!$D$98)+1400)+'Cálculos'!$D$123)*'Cálculos'!$D$279)+('Cálculos'!$D$200+(($B$111)-$A76)*'Cálculos'!$D$98)*('Cálculos'!$D$270+'Cálculos'!$D$124*(1+2.78*('Cálculos'!$D$200+(($B$111)-$A76)*'Cálculos'!$D$98)/(('Cálculos'!$D$200+(($B$111)-$A76)*'Cálculos'!$D$98)+1400)+'Cálculos'!$D$122)*'Cálculos'!$D$275+'Cálculos'!$D$125*(1+2.78*('Cálculos'!$D$200+(($B$111)-$A76)*'Cálculos'!$D$98)/(('Cálculos'!$D$200+(($B$111)-$A76)*'Cálculos'!$D$98)+1400)+'Cálculos'!$D$123)*'Cálculos'!$D$280)+('Cálculos'!$D$201*(1+'Cálculos'!$D$202+$A76*('Cálculos'!$D$290=2)*'Cálculos'!$D$101)+'Cálculos'!$D$203)*('Cálculos'!$D$271+'Cálculos'!$D$124*(1+2.78*('Cálculos'!$D$200+(($B$111)-$A76)*'Cálculos'!$D$98)/(('Cálculos'!$D$200+(($B$111)-$A76)*'Cálculos'!$D$98)+1400)+'Cálculos'!$D$122)*'Cálculos'!$D$276+'Cálculos'!$D$125*(1+2.78*('Cálculos'!$D$200+(($B$111)-$A76)*'Cálculos'!$D$98)/(('Cálculos'!$D$200+(($B$111)-$A76)*'Cálculos'!$D$98)+1400)+'Cálculos'!$D$123)*'Cálculos'!$D$281)+('Cálculos'!$D$204*(1+'Cálculos'!$D$205+$A76*('Cálculos'!$D$290=3)*'Cálculos'!$D$103)+'Cálculos'!$D$206)*('Cálculos'!$D$272+'Cálculos'!$D$124*(1+2.78*('Cálculos'!$D$200+(($B$111)-$A76)*'Cálculos'!$D$98)/(('Cálculos'!$D$200+(($B$111)-$A76)*'Cálculos'!$D$98)+1400)+'Cálculos'!$D$122)*'Cálculos'!$D$277+'Cálculos'!$D$125*(1+2.78*('Cálculos'!$D$200+(($B$111)-$A76)*'Cálculos'!$D$98)/(('Cálculos'!$D$200+(($B$111)-$A76)*'Cálculos'!$D$98)+1400)+'Cálculos'!$D$123)*'Cálculos'!$D$282)))</f>
        <v>0</v>
      </c>
    </row>
    <row r="77" ht="15.75" customHeight="1">
      <c r="A77" s="2">
        <v>14.0</v>
      </c>
      <c r="B77" s="30">
        <f>SUMPRODUCT(MAX(($A$63:$A$108&lt;=$A77)*($A$63:$A$108&lt;='Cálculos'!$D$294)*(($A77)-$A$63:$A$108&lt;='Cálculos'!$D$295)*(1+(('Cálculos'!$D$207+$A$63:$A$108*'Cálculos'!$D$95)-(('Cálculos'!$D$207+$A$63:$A$108*'Cálculos'!$D$95)&gt;1)*(('Cálculos'!$D$207+$A$63:$A$108*'Cálculos'!$D$95)-1))*('Cálculos'!$D$208+(($A77)-$A$63:$A$108)*'Cálculos'!$D$96))))</f>
        <v>1.536843497</v>
      </c>
      <c r="C77" s="2">
        <f>'Cálculos'!$D$303-$A77</f>
        <v>-3</v>
      </c>
      <c r="D77" s="31">
        <f>IF($C77&lt;0,0,SUMPRODUCT(MAX(($A$63:$A$108&lt;=$C77)*($A$63:$A$108&lt;='Cálculos'!$D$301)*(($C77)-$A$63:$A$108&lt;='Cálculos'!$D$297)*(('Cálculos'!$D$185*(1+'Cálculos'!$D$186+$A$63:$A$108*('Cálculos'!$D$290=1)*'Cálculos'!$D$97+'Cálculos'!$D$305)+'Cálculos'!$D$191)*('Cálculos'!$D$209+'Cálculos'!$D$124*(1+2.78*('Cálculos'!$D$196+(($C77)-$A$63:$A$108)*'Cálculos'!$D$98)/(('Cálculos'!$D$196+(($C77)-$A$63:$A$108)*'Cálculos'!$D$98)+1400)+'Cálculos'!$D$122)*'Cálculos'!$D$214+'Cálculos'!$D$125*(1+2.78*('Cálculos'!$D$196+(($C77)-$A$63:$A$108)*'Cálculos'!$D$98)/(('Cálculos'!$D$196+(($C77)-$A$63:$A$108)*'Cálculos'!$D$98)+1400)+'Cálculos'!$D$123)*'Cálculos'!$D$219)+('Cálculos'!$D$196+(($C77)-$A$63:$A$108)*'Cálculos'!$D$98)*('Cálculos'!$D$210+'Cálculos'!$D$124*(1+2.78*('Cálculos'!$D$196+(($C77)-$A$63:$A$108)*'Cálculos'!$D$98)/(('Cálculos'!$D$196+(($C77)-$A$63:$A$108)*'Cálculos'!$D$98)+1400)+'Cálculos'!$D$122)*'Cálculos'!$D$215+'Cálculos'!$D$125*(1+2.78*('Cálculos'!$D$196+(($C77)-$A$63:$A$108)*'Cálculos'!$D$98)/(('Cálculos'!$D$196+(($C77)-$A$63:$A$108)*'Cálculos'!$D$98)+1400)+'Cálculos'!$D$123)*'Cálculos'!$D$220)+('Cálculos'!$D$201*(1+'Cálculos'!$D$202+$A$63:$A$108*('Cálculos'!$D$290=2)*'Cálculos'!$D$101)+'Cálculos'!$D$203)*('Cálculos'!$D$211+'Cálculos'!$D$124*(1+2.78*('Cálculos'!$D$196+(($C77)-$A$63:$A$108)*'Cálculos'!$D$98)/(('Cálculos'!$D$196+(($C77)-$A$63:$A$108)*'Cálculos'!$D$98)+1400)+'Cálculos'!$D$122)*'Cálculos'!$D$216+'Cálculos'!$D$125*(1+2.78*('Cálculos'!$D$196+(($C77)-$A$63:$A$108)*'Cálculos'!$D$98)/(('Cálculos'!$D$196+(($C77)-$A$63:$A$108)*'Cálculos'!$D$98)+1400)+'Cálculos'!$D$123)*'Cálculos'!$D$221)+('Cálculos'!$D$204*(1+'Cálculos'!$D$205+$A$63:$A$108*('Cálculos'!$D$290=3)*'Cálculos'!$D$103)+'Cálculos'!$D$206)*('Cálculos'!$D$212+'Cálculos'!$D$124*(1+2.78*('Cálculos'!$D$196+(($C77)-$A$63:$A$108)*'Cálculos'!$D$98)/(('Cálculos'!$D$196+(($C77)-$A$63:$A$108)*'Cálculos'!$D$98)+1400)+'Cálculos'!$D$122)*'Cálculos'!$D$217+'Cálculos'!$D$125*(1+2.78*('Cálculos'!$D$196+(($C77)-$A$63:$A$108)*'Cálculos'!$D$98)/(('Cálculos'!$D$196+(($C77)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77)-$A$63:$A$108)*'Cálculos'!$D$98)/(('Cálculos'!$D$197+(($C77)-$A$63:$A$108)*'Cálculos'!$D$98)+1400)+'Cálculos'!$D$122)*'Cálculos'!$D$229+'Cálculos'!$D$125*(1+2.78*('Cálculos'!$D$197+(($C77)-$A$63:$A$108)*'Cálculos'!$D$98)/(('Cálculos'!$D$197+(($C77)-$A$63:$A$108)*'Cálculos'!$D$98)+1400)+'Cálculos'!$D$123)*'Cálculos'!$D$234)+('Cálculos'!$D$197+(($C77)-$A$63:$A$108)*'Cálculos'!$D$98)*('Cálculos'!$D$225+'Cálculos'!$D$124*(1+2.78*('Cálculos'!$D$197+(($C77)-$A$63:$A$108)*'Cálculos'!$D$98)/(('Cálculos'!$D$197+(($C77)-$A$63:$A$108)*'Cálculos'!$D$98)+1400)+'Cálculos'!$D$122)*'Cálculos'!$D$230+'Cálculos'!$D$125*(1+2.78*('Cálculos'!$D$197+(($C77)-$A$63:$A$108)*'Cálculos'!$D$98)/(('Cálculos'!$D$197+(($C77)-$A$63:$A$108)*'Cálculos'!$D$98)+1400)+'Cálculos'!$D$123)*'Cálculos'!$D$235)+('Cálculos'!$D$201*(1+'Cálculos'!$D$202+$A$63:$A$108*('Cálculos'!$D$290=2)*'Cálculos'!$D$101)+'Cálculos'!$D$203)*('Cálculos'!$D$226+'Cálculos'!$D$124*(1+2.78*('Cálculos'!$D$197+(($C77)-$A$63:$A$108)*'Cálculos'!$D$98)/(('Cálculos'!$D$197+(($C77)-$A$63:$A$108)*'Cálculos'!$D$98)+1400)+'Cálculos'!$D$122)*'Cálculos'!$D$231+'Cálculos'!$D$125*(1+2.78*('Cálculos'!$D$197+(($C77)-$A$63:$A$108)*'Cálculos'!$D$98)/(('Cálculos'!$D$197+(($C77)-$A$63:$A$108)*'Cálculos'!$D$98)+1400)+'Cálculos'!$D$123)*'Cálculos'!$D$236)+('Cálculos'!$D$204*(1+'Cálculos'!$D$205+$A$63:$A$108*('Cálculos'!$D$290=3)*'Cálculos'!$D$103)+'Cálculos'!$D$206)*('Cálculos'!$D$227+'Cálculos'!$D$124*(1+2.78*('Cálculos'!$D$197+(($C77)-$A$63:$A$108)*'Cálculos'!$D$98)/(('Cálculos'!$D$197+(($C77)-$A$63:$A$108)*'Cálculos'!$D$98)+1400)+'Cálculos'!$D$122)*'Cálculos'!$D$232+'Cálculos'!$D$125*(1+2.78*('Cálculos'!$D$197+(($C77)-$A$63:$A$108)*'Cálculos'!$D$98)/(('Cálculos'!$D$197+(($C77)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77)-$A$63:$A$108)*'Cálculos'!$D$98)/(('Cálculos'!$D$198+(($C77)-$A$63:$A$108)*'Cálculos'!$D$98)+1400)+'Cálculos'!$D$122)*'Cálculos'!$D$244+'Cálculos'!$D$125*(1+2.78*('Cálculos'!$D$198+(($C77)-$A$63:$A$108)*'Cálculos'!$D$98)/(('Cálculos'!$D$198+(($C77)-$A$63:$A$108)*'Cálculos'!$D$98)+1400)+'Cálculos'!$D$123)*'Cálculos'!$D$249)+('Cálculos'!$D$198+(($C77)-$A$63:$A$108)*'Cálculos'!$D$98)*('Cálculos'!$D$240+'Cálculos'!$D$124*(1+2.78*('Cálculos'!$D$198+(($C77)-$A$63:$A$108)*'Cálculos'!$D$98)/(('Cálculos'!$D$198+(($C77)-$A$63:$A$108)*'Cálculos'!$D$98)+1400)+'Cálculos'!$D$122)*'Cálculos'!$D$245+'Cálculos'!$D$125*(1+2.78*('Cálculos'!$D$198+(($C77)-$A$63:$A$108)*'Cálculos'!$D$98)/(('Cálculos'!$D$198+(($C77)-$A$63:$A$108)*'Cálculos'!$D$98)+1400)+'Cálculos'!$D$123)*'Cálculos'!$D$250)+('Cálculos'!$D$201*(1+'Cálculos'!$D$202+$A$63:$A$108*('Cálculos'!$D$290=2)*'Cálculos'!$D$101)+'Cálculos'!$D$203)*('Cálculos'!$D$241+'Cálculos'!$D$124*(1+2.78*('Cálculos'!$D$198+(($C77)-$A$63:$A$108)*'Cálculos'!$D$98)/(('Cálculos'!$D$198+(($C77)-$A$63:$A$108)*'Cálculos'!$D$98)+1400)+'Cálculos'!$D$122)*'Cálculos'!$D$246+'Cálculos'!$D$125*(1+2.78*('Cálculos'!$D$198+(($C77)-$A$63:$A$108)*'Cálculos'!$D$98)/(('Cálculos'!$D$198+(($C77)-$A$63:$A$108)*'Cálculos'!$D$98)+1400)+'Cálculos'!$D$123)*'Cálculos'!$D$251)+('Cálculos'!$D$204*(1+'Cálculos'!$D$205+$A$63:$A$108*('Cálculos'!$D$290=3)*'Cálculos'!$D$103)+'Cálculos'!$D$206)*('Cálculos'!$D$242+'Cálculos'!$D$124*(1+2.78*('Cálculos'!$D$198+(($C77)-$A$63:$A$108)*'Cálculos'!$D$98)/(('Cálculos'!$D$198+(($C77)-$A$63:$A$108)*'Cálculos'!$D$98)+1400)+'Cálculos'!$D$122)*'Cálculos'!$D$247+'Cálculos'!$D$125*(1+2.78*('Cálculos'!$D$198+(($C77)-$A$63:$A$108)*'Cálculos'!$D$98)/(('Cálculos'!$D$198+(($C77)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77)-$A$63:$A$108)*'Cálculos'!$D$98)/(('Cálculos'!$D$199+(($C77)-$A$63:$A$108)*'Cálculos'!$D$98)+1400)+'Cálculos'!$D$122)*'Cálculos'!$D$259+'Cálculos'!$D$125*(1+2.78*('Cálculos'!$D$199+(($C77)-$A$63:$A$108)*'Cálculos'!$D$98)/(('Cálculos'!$D$199+(($C77)-$A$63:$A$108)*'Cálculos'!$D$98)+1400)+'Cálculos'!$D$123)*'Cálculos'!$D$264)+('Cálculos'!$D$199+(($C77)-$A$63:$A$108)*'Cálculos'!$D$98)*('Cálculos'!$D$255+'Cálculos'!$D$124*(1+2.78*('Cálculos'!$D$199+(($C77)-$A$63:$A$108)*'Cálculos'!$D$98)/(('Cálculos'!$D$199+(($C77)-$A$63:$A$108)*'Cálculos'!$D$98)+1400)+'Cálculos'!$D$122)*'Cálculos'!$D$260+'Cálculos'!$D$125*(1+2.78*('Cálculos'!$D$199+(($C77)-$A$63:$A$108)*'Cálculos'!$D$98)/(('Cálculos'!$D$199+(($C77)-$A$63:$A$108)*'Cálculos'!$D$98)+1400)+'Cálculos'!$D$123)*'Cálculos'!$D$265)+('Cálculos'!$D$201*(1+'Cálculos'!$D$202+$A$63:$A$108*('Cálculos'!$D$290=2)*'Cálculos'!$D$101)+'Cálculos'!$D$203)*('Cálculos'!$D$256+'Cálculos'!$D$124*(1+2.78*('Cálculos'!$D$199+(($C77)-$A$63:$A$108)*'Cálculos'!$D$98)/(('Cálculos'!$D$199+(($C77)-$A$63:$A$108)*'Cálculos'!$D$98)+1400)+'Cálculos'!$D$122)*'Cálculos'!$D$261+'Cálculos'!$D$125*(1+2.78*('Cálculos'!$D$199+(($C77)-$A$63:$A$108)*'Cálculos'!$D$98)/(('Cálculos'!$D$199+(($C77)-$A$63:$A$108)*'Cálculos'!$D$98)+1400)+'Cálculos'!$D$123)*'Cálculos'!$D$266)+('Cálculos'!$D$204*(1+'Cálculos'!$D$205+$A$63:$A$108*('Cálculos'!$D$290=3)*'Cálculos'!$D$103)+'Cálculos'!$D$206)*('Cálculos'!$D$257+'Cálculos'!$D$124*(1+2.78*('Cálculos'!$D$199+(($C77)-$A$63:$A$108)*'Cálculos'!$D$98)/(('Cálculos'!$D$199+(($C77)-$A$63:$A$108)*'Cálculos'!$D$98)+1400)+'Cálculos'!$D$122)*'Cálculos'!$D$262+'Cálculos'!$D$125*(1+2.78*('Cálculos'!$D$199+(($C77)-$A$63:$A$108)*'Cálculos'!$D$98)/(('Cálculos'!$D$199+(($C77)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77)-$A$63:$A$108)*'Cálculos'!$D$98)/(('Cálculos'!$D$200+(($C77)-$A$63:$A$108)*'Cálculos'!$D$98)+1400)+'Cálculos'!$D$122)*'Cálculos'!$D$274+'Cálculos'!$D$125*(1+2.78*('Cálculos'!$D$200+(($C77)-$A$63:$A$108)*'Cálculos'!$D$98)/(('Cálculos'!$D$200+(($C77)-$A$63:$A$108)*'Cálculos'!$D$98)+1400)+'Cálculos'!$D$123)*'Cálculos'!$D$279)+('Cálculos'!$D$200+(($C77)-$A$63:$A$108)*'Cálculos'!$D$98)*('Cálculos'!$D$270+'Cálculos'!$D$124*(1+2.78*('Cálculos'!$D$200+(($C77)-$A$63:$A$108)*'Cálculos'!$D$98)/(('Cálculos'!$D$200+(($C77)-$A$63:$A$108)*'Cálculos'!$D$98)+1400)+'Cálculos'!$D$122)*'Cálculos'!$D$275+'Cálculos'!$D$125*(1+2.78*('Cálculos'!$D$200+(($C77)-$A$63:$A$108)*'Cálculos'!$D$98)/(('Cálculos'!$D$200+(($C77)-$A$63:$A$108)*'Cálculos'!$D$98)+1400)+'Cálculos'!$D$123)*'Cálculos'!$D$280)+('Cálculos'!$D$201*(1+'Cálculos'!$D$202+$A$63:$A$108*('Cálculos'!$D$290=2)*'Cálculos'!$D$101)+'Cálculos'!$D$203)*('Cálculos'!$D$271+'Cálculos'!$D$124*(1+2.78*('Cálculos'!$D$200+(($C77)-$A$63:$A$108)*'Cálculos'!$D$98)/(('Cálculos'!$D$200+(($C77)-$A$63:$A$108)*'Cálculos'!$D$98)+1400)+'Cálculos'!$D$122)*'Cálculos'!$D$276+'Cálculos'!$D$125*(1+2.78*('Cálculos'!$D$200+(($C77)-$A$63:$A$108)*'Cálculos'!$D$98)/(('Cálculos'!$D$200+(($C77)-$A$63:$A$108)*'Cálculos'!$D$98)+1400)+'Cálculos'!$D$123)*'Cálculos'!$D$281)+('Cálculos'!$D$204*(1+'Cálculos'!$D$205+$A$63:$A$108*('Cálculos'!$D$290=3)*'Cálculos'!$D$103)+'Cálculos'!$D$206)*('Cálculos'!$D$272+'Cálculos'!$D$124*(1+2.78*('Cálculos'!$D$200+(($C77)-$A$63:$A$108)*'Cálculos'!$D$98)/(('Cálculos'!$D$200+(($C77)-$A$63:$A$108)*'Cálculos'!$D$98)+1400)+'Cálculos'!$D$122)*'Cálculos'!$D$277+'Cálculos'!$D$125*(1+2.78*('Cálculos'!$D$200+(($C77)-$A$63:$A$108)*'Cálculos'!$D$98)/(('Cálculos'!$D$200+(($C77)-$A$63:$A$108)*'Cálculos'!$D$98)+1400)+'Cálculos'!$D$123)*'Cálculos'!$D$282)))))</f>
        <v>0</v>
      </c>
      <c r="E77" s="32">
        <f>IF(OR($C77&lt;0,'Cálculos'!$D$6=""),0,$B77*$D77)</f>
        <v>0</v>
      </c>
      <c r="F77" s="2"/>
      <c r="G77" s="30">
        <f>($A77&lt;=$B$110)*($A77&lt;='Cálculos'!$D$294)*(($B$110)-$A77&lt;='Cálculos'!$D$295)*(1+MIN(('Cálculos'!$D$207+$A77*'Cálculos'!$D$95),1)*('Cálculos'!$D$208+(($B$110)-$A77)*'Cálculos'!$D$96))</f>
        <v>0</v>
      </c>
      <c r="H77" s="31">
        <f>IF($B$111&lt;0,0,($A77&lt;=$B$111)*($A77&lt;='Cálculos'!$D$301)*(($B$111)-$A77&lt;='Cálculos'!$D$297)*(('Cálculos'!$D$185*(1+'Cálculos'!$D$186+$A77*('Cálculos'!$D$290=1)*'Cálculos'!$D$97+'Cálculos'!$D$305)+'Cálculos'!$D$191)*('Cálculos'!$D$209+'Cálculos'!$D$124*(1+2.78*('Cálculos'!$D$196+(($B$111)-$A77)*'Cálculos'!$D$98)/(('Cálculos'!$D$196+(($B$111)-$A77)*'Cálculos'!$D$98)+1400)+'Cálculos'!$D$122)*'Cálculos'!$D$214+'Cálculos'!$D$125*(1+2.78*('Cálculos'!$D$196+(($B$111)-$A77)*'Cálculos'!$D$98)/(('Cálculos'!$D$196+(($B$111)-$A77)*'Cálculos'!$D$98)+1400)+'Cálculos'!$D$123)*'Cálculos'!$D$219)+('Cálculos'!$D$196+(($B$111)-$A77)*'Cálculos'!$D$98)*('Cálculos'!$D$210+'Cálculos'!$D$124*(1+2.78*('Cálculos'!$D$196+(($B$111)-$A77)*'Cálculos'!$D$98)/(('Cálculos'!$D$196+(($B$111)-$A77)*'Cálculos'!$D$98)+1400)+'Cálculos'!$D$122)*'Cálculos'!$D$215+'Cálculos'!$D$125*(1+2.78*('Cálculos'!$D$196+(($B$111)-$A77)*'Cálculos'!$D$98)/(('Cálculos'!$D$196+(($B$111)-$A77)*'Cálculos'!$D$98)+1400)+'Cálculos'!$D$123)*'Cálculos'!$D$220)+('Cálculos'!$D$201*(1+'Cálculos'!$D$202+$A77*('Cálculos'!$D$290=2)*'Cálculos'!$D$101)+'Cálculos'!$D$203)*('Cálculos'!$D$211+'Cálculos'!$D$124*(1+2.78*('Cálculos'!$D$196+(($B$111)-$A77)*'Cálculos'!$D$98)/(('Cálculos'!$D$196+(($B$111)-$A77)*'Cálculos'!$D$98)+1400)+'Cálculos'!$D$122)*'Cálculos'!$D$216+'Cálculos'!$D$125*(1+2.78*('Cálculos'!$D$196+(($B$111)-$A77)*'Cálculos'!$D$98)/(('Cálculos'!$D$196+(($B$111)-$A77)*'Cálculos'!$D$98)+1400)+'Cálculos'!$D$123)*'Cálculos'!$D$221)+('Cálculos'!$D$204*(1+'Cálculos'!$D$205+$A77*('Cálculos'!$D$290=3)*'Cálculos'!$D$103)+'Cálculos'!$D$206)*('Cálculos'!$D$212+'Cálculos'!$D$124*(1+2.78*('Cálculos'!$D$196+(($B$111)-$A77)*'Cálculos'!$D$98)/(('Cálculos'!$D$196+(($B$111)-$A77)*'Cálculos'!$D$98)+1400)+'Cálculos'!$D$122)*'Cálculos'!$D$217+'Cálculos'!$D$125*(1+2.78*('Cálculos'!$D$196+(($B$111)-$A77)*'Cálculos'!$D$98)/(('Cálculos'!$D$196+(($B$111)-$A77)*'Cálculos'!$D$98)+1400)+'Cálculos'!$D$123)*'Cálculos'!$D$222)+('Cálculos'!$D$185*(1+'Cálculos'!$D$187+$A77*('Cálculos'!$D$290=1)*'Cálculos'!$D$97+'Cálculos'!$D$305)+'Cálculos'!$D$192)*('Cálculos'!$D$224+'Cálculos'!$D$124*(1+2.78*('Cálculos'!$D$197+(($B$111)-$A77)*'Cálculos'!$D$98)/(('Cálculos'!$D$197+(($B$111)-$A77)*'Cálculos'!$D$98)+1400)+'Cálculos'!$D$122)*'Cálculos'!$D$229+'Cálculos'!$D$125*(1+2.78*('Cálculos'!$D$197+(($B$111)-$A77)*'Cálculos'!$D$98)/(('Cálculos'!$D$197+(($B$111)-$A77)*'Cálculos'!$D$98)+1400)+'Cálculos'!$D$123)*'Cálculos'!$D$234)+('Cálculos'!$D$197+(($B$111)-$A77)*'Cálculos'!$D$98)*('Cálculos'!$D$225+'Cálculos'!$D$124*(1+2.78*('Cálculos'!$D$197+(($B$111)-$A77)*'Cálculos'!$D$98)/(('Cálculos'!$D$197+(($B$111)-$A77)*'Cálculos'!$D$98)+1400)+'Cálculos'!$D$122)*'Cálculos'!$D$230+'Cálculos'!$D$125*(1+2.78*('Cálculos'!$D$197+(($B$111)-$A77)*'Cálculos'!$D$98)/(('Cálculos'!$D$197+(($B$111)-$A77)*'Cálculos'!$D$98)+1400)+'Cálculos'!$D$123)*'Cálculos'!$D$235)+('Cálculos'!$D$201*(1+'Cálculos'!$D$202+$A77*('Cálculos'!$D$290=2)*'Cálculos'!$D$101)+'Cálculos'!$D$203)*('Cálculos'!$D$226+'Cálculos'!$D$124*(1+2.78*('Cálculos'!$D$197+(($B$111)-$A77)*'Cálculos'!$D$98)/(('Cálculos'!$D$197+(($B$111)-$A77)*'Cálculos'!$D$98)+1400)+'Cálculos'!$D$122)*'Cálculos'!$D$231+'Cálculos'!$D$125*(1+2.78*('Cálculos'!$D$197+(($B$111)-$A77)*'Cálculos'!$D$98)/(('Cálculos'!$D$197+(($B$111)-$A77)*'Cálculos'!$D$98)+1400)+'Cálculos'!$D$123)*'Cálculos'!$D$236)+('Cálculos'!$D$204*(1+'Cálculos'!$D$205+$A77*('Cálculos'!$D$290=3)*'Cálculos'!$D$103)+'Cálculos'!$D$206)*('Cálculos'!$D$227+'Cálculos'!$D$124*(1+2.78*('Cálculos'!$D$197+(($B$111)-$A77)*'Cálculos'!$D$98)/(('Cálculos'!$D$197+(($B$111)-$A77)*'Cálculos'!$D$98)+1400)+'Cálculos'!$D$122)*'Cálculos'!$D$232+'Cálculos'!$D$125*(1+2.78*('Cálculos'!$D$197+(($B$111)-$A77)*'Cálculos'!$D$98)/(('Cálculos'!$D$197+(($B$111)-$A77)*'Cálculos'!$D$98)+1400)+'Cálculos'!$D$123)*'Cálculos'!$D$237)+('Cálculos'!$D$185*(1+'Cálculos'!$D$188+$A77*('Cálculos'!$D$290=1)*'Cálculos'!$D$97+'Cálculos'!$D$305)+'Cálculos'!$D$193)*('Cálculos'!$D$239+'Cálculos'!$D$124*(1+2.78*('Cálculos'!$D$198+(($B$111)-$A77)*'Cálculos'!$D$98)/(('Cálculos'!$D$198+(($B$111)-$A77)*'Cálculos'!$D$98)+1400)+'Cálculos'!$D$122)*'Cálculos'!$D$244+'Cálculos'!$D$125*(1+2.78*('Cálculos'!$D$198+(($B$111)-$A77)*'Cálculos'!$D$98)/(('Cálculos'!$D$198+(($B$111)-$A77)*'Cálculos'!$D$98)+1400)+'Cálculos'!$D$123)*'Cálculos'!$D$249)+('Cálculos'!$D$198+(($B$111)-$A77)*'Cálculos'!$D$98)*('Cálculos'!$D$240+'Cálculos'!$D$124*(1+2.78*('Cálculos'!$D$198+(($B$111)-$A77)*'Cálculos'!$D$98)/(('Cálculos'!$D$198+(($B$111)-$A77)*'Cálculos'!$D$98)+1400)+'Cálculos'!$D$122)*'Cálculos'!$D$245+'Cálculos'!$D$125*(1+2.78*('Cálculos'!$D$198+(($B$111)-$A77)*'Cálculos'!$D$98)/(('Cálculos'!$D$198+(($B$111)-$A77)*'Cálculos'!$D$98)+1400)+'Cálculos'!$D$123)*'Cálculos'!$D$250)+('Cálculos'!$D$201*(1+'Cálculos'!$D$202+$A77*('Cálculos'!$D$290=2)*'Cálculos'!$D$101)+'Cálculos'!$D$203)*('Cálculos'!$D$241+'Cálculos'!$D$124*(1+2.78*('Cálculos'!$D$198+(($B$111)-$A77)*'Cálculos'!$D$98)/(('Cálculos'!$D$198+(($B$111)-$A77)*'Cálculos'!$D$98)+1400)+'Cálculos'!$D$122)*'Cálculos'!$D$246+'Cálculos'!$D$125*(1+2.78*('Cálculos'!$D$198+(($B$111)-$A77)*'Cálculos'!$D$98)/(('Cálculos'!$D$198+(($B$111)-$A77)*'Cálculos'!$D$98)+1400)+'Cálculos'!$D$123)*'Cálculos'!$D$251)+('Cálculos'!$D$204*(1+'Cálculos'!$D$205+$A77*('Cálculos'!$D$290=3)*'Cálculos'!$D$103)+'Cálculos'!$D$206)*('Cálculos'!$D$242+'Cálculos'!$D$124*(1+2.78*('Cálculos'!$D$198+(($B$111)-$A77)*'Cálculos'!$D$98)/(('Cálculos'!$D$198+(($B$111)-$A77)*'Cálculos'!$D$98)+1400)+'Cálculos'!$D$122)*'Cálculos'!$D$247+'Cálculos'!$D$125*(1+2.78*('Cálculos'!$D$198+(($B$111)-$A77)*'Cálculos'!$D$98)/(('Cálculos'!$D$198+(($B$111)-$A77)*'Cálculos'!$D$98)+1400)+'Cálculos'!$D$123)*'Cálculos'!$D$252)+('Cálculos'!$D$185*(1+'Cálculos'!$D$189+$A77*('Cálculos'!$D$290=1)*'Cálculos'!$D$97+'Cálculos'!$D$305)+'Cálculos'!$D$194)*('Cálculos'!$D$254+'Cálculos'!$D$124*(1+2.78*('Cálculos'!$D$199+(($B$111)-$A77)*'Cálculos'!$D$98)/(('Cálculos'!$D$199+(($B$111)-$A77)*'Cálculos'!$D$98)+1400)+'Cálculos'!$D$122)*'Cálculos'!$D$259+'Cálculos'!$D$125*(1+2.78*('Cálculos'!$D$199+(($B$111)-$A77)*'Cálculos'!$D$98)/(('Cálculos'!$D$199+(($B$111)-$A77)*'Cálculos'!$D$98)+1400)+'Cálculos'!$D$123)*'Cálculos'!$D$264)+('Cálculos'!$D$199+(($B$111)-$A77)*'Cálculos'!$D$98)*('Cálculos'!$D$255+'Cálculos'!$D$124*(1+2.78*('Cálculos'!$D$199+(($B$111)-$A77)*'Cálculos'!$D$98)/(('Cálculos'!$D$199+(($B$111)-$A77)*'Cálculos'!$D$98)+1400)+'Cálculos'!$D$122)*'Cálculos'!$D$260+'Cálculos'!$D$125*(1+2.78*('Cálculos'!$D$199+(($B$111)-$A77)*'Cálculos'!$D$98)/(('Cálculos'!$D$199+(($B$111)-$A77)*'Cálculos'!$D$98)+1400)+'Cálculos'!$D$123)*'Cálculos'!$D$265)+('Cálculos'!$D$201*(1+'Cálculos'!$D$202+$A77*('Cálculos'!$D$290=2)*'Cálculos'!$D$101)+'Cálculos'!$D$203)*('Cálculos'!$D$256+'Cálculos'!$D$124*(1+2.78*('Cálculos'!$D$199+(($B$111)-$A77)*'Cálculos'!$D$98)/(('Cálculos'!$D$199+(($B$111)-$A77)*'Cálculos'!$D$98)+1400)+'Cálculos'!$D$122)*'Cálculos'!$D$261+'Cálculos'!$D$125*(1+2.78*('Cálculos'!$D$199+(($B$111)-$A77)*'Cálculos'!$D$98)/(('Cálculos'!$D$199+(($B$111)-$A77)*'Cálculos'!$D$98)+1400)+'Cálculos'!$D$123)*'Cálculos'!$D$266)+('Cálculos'!$D$204*(1+'Cálculos'!$D$205+$A77*('Cálculos'!$D$290=3)*'Cálculos'!$D$103)+'Cálculos'!$D$206)*('Cálculos'!$D$257+'Cálculos'!$D$124*(1+2.78*('Cálculos'!$D$199+(($B$111)-$A77)*'Cálculos'!$D$98)/(('Cálculos'!$D$199+(($B$111)-$A77)*'Cálculos'!$D$98)+1400)+'Cálculos'!$D$122)*'Cálculos'!$D$262+'Cálculos'!$D$125*(1+2.78*('Cálculos'!$D$199+(($B$111)-$A77)*'Cálculos'!$D$98)/(('Cálculos'!$D$199+(($B$111)-$A77)*'Cálculos'!$D$98)+1400)+'Cálculos'!$D$123)*'Cálculos'!$D$267)+('Cálculos'!$D$185*(1+'Cálculos'!$D$190+$A77*('Cálculos'!$D$290=1)*'Cálculos'!$D$97+'Cálculos'!$D$305)+'Cálculos'!$D$195)*('Cálculos'!$D$269+'Cálculos'!$D$124*(1+2.78*('Cálculos'!$D$200+(($B$111)-$A77)*'Cálculos'!$D$98)/(('Cálculos'!$D$200+(($B$111)-$A77)*'Cálculos'!$D$98)+1400)+'Cálculos'!$D$122)*'Cálculos'!$D$274+'Cálculos'!$D$125*(1+2.78*('Cálculos'!$D$200+(($B$111)-$A77)*'Cálculos'!$D$98)/(('Cálculos'!$D$200+(($B$111)-$A77)*'Cálculos'!$D$98)+1400)+'Cálculos'!$D$123)*'Cálculos'!$D$279)+('Cálculos'!$D$200+(($B$111)-$A77)*'Cálculos'!$D$98)*('Cálculos'!$D$270+'Cálculos'!$D$124*(1+2.78*('Cálculos'!$D$200+(($B$111)-$A77)*'Cálculos'!$D$98)/(('Cálculos'!$D$200+(($B$111)-$A77)*'Cálculos'!$D$98)+1400)+'Cálculos'!$D$122)*'Cálculos'!$D$275+'Cálculos'!$D$125*(1+2.78*('Cálculos'!$D$200+(($B$111)-$A77)*'Cálculos'!$D$98)/(('Cálculos'!$D$200+(($B$111)-$A77)*'Cálculos'!$D$98)+1400)+'Cálculos'!$D$123)*'Cálculos'!$D$280)+('Cálculos'!$D$201*(1+'Cálculos'!$D$202+$A77*('Cálculos'!$D$290=2)*'Cálculos'!$D$101)+'Cálculos'!$D$203)*('Cálculos'!$D$271+'Cálculos'!$D$124*(1+2.78*('Cálculos'!$D$200+(($B$111)-$A77)*'Cálculos'!$D$98)/(('Cálculos'!$D$200+(($B$111)-$A77)*'Cálculos'!$D$98)+1400)+'Cálculos'!$D$122)*'Cálculos'!$D$276+'Cálculos'!$D$125*(1+2.78*('Cálculos'!$D$200+(($B$111)-$A77)*'Cálculos'!$D$98)/(('Cálculos'!$D$200+(($B$111)-$A77)*'Cálculos'!$D$98)+1400)+'Cálculos'!$D$123)*'Cálculos'!$D$281)+('Cálculos'!$D$204*(1+'Cálculos'!$D$205+$A77*('Cálculos'!$D$290=3)*'Cálculos'!$D$103)+'Cálculos'!$D$206)*('Cálculos'!$D$272+'Cálculos'!$D$124*(1+2.78*('Cálculos'!$D$200+(($B$111)-$A77)*'Cálculos'!$D$98)/(('Cálculos'!$D$200+(($B$111)-$A77)*'Cálculos'!$D$98)+1400)+'Cálculos'!$D$122)*'Cálculos'!$D$277+'Cálculos'!$D$125*(1+2.78*('Cálculos'!$D$200+(($B$111)-$A77)*'Cálculos'!$D$98)/(('Cálculos'!$D$200+(($B$111)-$A77)*'Cálculos'!$D$98)+1400)+'Cálculos'!$D$123)*'Cálculos'!$D$282)))</f>
        <v>0</v>
      </c>
    </row>
    <row r="78" ht="15.75" customHeight="1">
      <c r="A78" s="2">
        <v>15.0</v>
      </c>
      <c r="B78" s="30">
        <f>SUMPRODUCT(MAX(($A$63:$A$108&lt;=$A78)*($A$63:$A$108&lt;='Cálculos'!$D$294)*(($A78)-$A$63:$A$108&lt;='Cálculos'!$D$295)*(1+(('Cálculos'!$D$207+$A$63:$A$108*'Cálculos'!$D$95)-(('Cálculos'!$D$207+$A$63:$A$108*'Cálculos'!$D$95)&gt;1)*(('Cálculos'!$D$207+$A$63:$A$108*'Cálculos'!$D$95)-1))*('Cálculos'!$D$208+(($A78)-$A$63:$A$108)*'Cálculos'!$D$96))))</f>
        <v>1.566553447</v>
      </c>
      <c r="C78" s="2">
        <f>'Cálculos'!$D$303-$A78</f>
        <v>-4</v>
      </c>
      <c r="D78" s="31">
        <f>IF($C78&lt;0,0,SUMPRODUCT(MAX(($A$63:$A$108&lt;=$C78)*($A$63:$A$108&lt;='Cálculos'!$D$301)*(($C78)-$A$63:$A$108&lt;='Cálculos'!$D$297)*(('Cálculos'!$D$185*(1+'Cálculos'!$D$186+$A$63:$A$108*('Cálculos'!$D$290=1)*'Cálculos'!$D$97+'Cálculos'!$D$305)+'Cálculos'!$D$191)*('Cálculos'!$D$209+'Cálculos'!$D$124*(1+2.78*('Cálculos'!$D$196+(($C78)-$A$63:$A$108)*'Cálculos'!$D$98)/(('Cálculos'!$D$196+(($C78)-$A$63:$A$108)*'Cálculos'!$D$98)+1400)+'Cálculos'!$D$122)*'Cálculos'!$D$214+'Cálculos'!$D$125*(1+2.78*('Cálculos'!$D$196+(($C78)-$A$63:$A$108)*'Cálculos'!$D$98)/(('Cálculos'!$D$196+(($C78)-$A$63:$A$108)*'Cálculos'!$D$98)+1400)+'Cálculos'!$D$123)*'Cálculos'!$D$219)+('Cálculos'!$D$196+(($C78)-$A$63:$A$108)*'Cálculos'!$D$98)*('Cálculos'!$D$210+'Cálculos'!$D$124*(1+2.78*('Cálculos'!$D$196+(($C78)-$A$63:$A$108)*'Cálculos'!$D$98)/(('Cálculos'!$D$196+(($C78)-$A$63:$A$108)*'Cálculos'!$D$98)+1400)+'Cálculos'!$D$122)*'Cálculos'!$D$215+'Cálculos'!$D$125*(1+2.78*('Cálculos'!$D$196+(($C78)-$A$63:$A$108)*'Cálculos'!$D$98)/(('Cálculos'!$D$196+(($C78)-$A$63:$A$108)*'Cálculos'!$D$98)+1400)+'Cálculos'!$D$123)*'Cálculos'!$D$220)+('Cálculos'!$D$201*(1+'Cálculos'!$D$202+$A$63:$A$108*('Cálculos'!$D$290=2)*'Cálculos'!$D$101)+'Cálculos'!$D$203)*('Cálculos'!$D$211+'Cálculos'!$D$124*(1+2.78*('Cálculos'!$D$196+(($C78)-$A$63:$A$108)*'Cálculos'!$D$98)/(('Cálculos'!$D$196+(($C78)-$A$63:$A$108)*'Cálculos'!$D$98)+1400)+'Cálculos'!$D$122)*'Cálculos'!$D$216+'Cálculos'!$D$125*(1+2.78*('Cálculos'!$D$196+(($C78)-$A$63:$A$108)*'Cálculos'!$D$98)/(('Cálculos'!$D$196+(($C78)-$A$63:$A$108)*'Cálculos'!$D$98)+1400)+'Cálculos'!$D$123)*'Cálculos'!$D$221)+('Cálculos'!$D$204*(1+'Cálculos'!$D$205+$A$63:$A$108*('Cálculos'!$D$290=3)*'Cálculos'!$D$103)+'Cálculos'!$D$206)*('Cálculos'!$D$212+'Cálculos'!$D$124*(1+2.78*('Cálculos'!$D$196+(($C78)-$A$63:$A$108)*'Cálculos'!$D$98)/(('Cálculos'!$D$196+(($C78)-$A$63:$A$108)*'Cálculos'!$D$98)+1400)+'Cálculos'!$D$122)*'Cálculos'!$D$217+'Cálculos'!$D$125*(1+2.78*('Cálculos'!$D$196+(($C78)-$A$63:$A$108)*'Cálculos'!$D$98)/(('Cálculos'!$D$196+(($C78)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78)-$A$63:$A$108)*'Cálculos'!$D$98)/(('Cálculos'!$D$197+(($C78)-$A$63:$A$108)*'Cálculos'!$D$98)+1400)+'Cálculos'!$D$122)*'Cálculos'!$D$229+'Cálculos'!$D$125*(1+2.78*('Cálculos'!$D$197+(($C78)-$A$63:$A$108)*'Cálculos'!$D$98)/(('Cálculos'!$D$197+(($C78)-$A$63:$A$108)*'Cálculos'!$D$98)+1400)+'Cálculos'!$D$123)*'Cálculos'!$D$234)+('Cálculos'!$D$197+(($C78)-$A$63:$A$108)*'Cálculos'!$D$98)*('Cálculos'!$D$225+'Cálculos'!$D$124*(1+2.78*('Cálculos'!$D$197+(($C78)-$A$63:$A$108)*'Cálculos'!$D$98)/(('Cálculos'!$D$197+(($C78)-$A$63:$A$108)*'Cálculos'!$D$98)+1400)+'Cálculos'!$D$122)*'Cálculos'!$D$230+'Cálculos'!$D$125*(1+2.78*('Cálculos'!$D$197+(($C78)-$A$63:$A$108)*'Cálculos'!$D$98)/(('Cálculos'!$D$197+(($C78)-$A$63:$A$108)*'Cálculos'!$D$98)+1400)+'Cálculos'!$D$123)*'Cálculos'!$D$235)+('Cálculos'!$D$201*(1+'Cálculos'!$D$202+$A$63:$A$108*('Cálculos'!$D$290=2)*'Cálculos'!$D$101)+'Cálculos'!$D$203)*('Cálculos'!$D$226+'Cálculos'!$D$124*(1+2.78*('Cálculos'!$D$197+(($C78)-$A$63:$A$108)*'Cálculos'!$D$98)/(('Cálculos'!$D$197+(($C78)-$A$63:$A$108)*'Cálculos'!$D$98)+1400)+'Cálculos'!$D$122)*'Cálculos'!$D$231+'Cálculos'!$D$125*(1+2.78*('Cálculos'!$D$197+(($C78)-$A$63:$A$108)*'Cálculos'!$D$98)/(('Cálculos'!$D$197+(($C78)-$A$63:$A$108)*'Cálculos'!$D$98)+1400)+'Cálculos'!$D$123)*'Cálculos'!$D$236)+('Cálculos'!$D$204*(1+'Cálculos'!$D$205+$A$63:$A$108*('Cálculos'!$D$290=3)*'Cálculos'!$D$103)+'Cálculos'!$D$206)*('Cálculos'!$D$227+'Cálculos'!$D$124*(1+2.78*('Cálculos'!$D$197+(($C78)-$A$63:$A$108)*'Cálculos'!$D$98)/(('Cálculos'!$D$197+(($C78)-$A$63:$A$108)*'Cálculos'!$D$98)+1400)+'Cálculos'!$D$122)*'Cálculos'!$D$232+'Cálculos'!$D$125*(1+2.78*('Cálculos'!$D$197+(($C78)-$A$63:$A$108)*'Cálculos'!$D$98)/(('Cálculos'!$D$197+(($C78)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78)-$A$63:$A$108)*'Cálculos'!$D$98)/(('Cálculos'!$D$198+(($C78)-$A$63:$A$108)*'Cálculos'!$D$98)+1400)+'Cálculos'!$D$122)*'Cálculos'!$D$244+'Cálculos'!$D$125*(1+2.78*('Cálculos'!$D$198+(($C78)-$A$63:$A$108)*'Cálculos'!$D$98)/(('Cálculos'!$D$198+(($C78)-$A$63:$A$108)*'Cálculos'!$D$98)+1400)+'Cálculos'!$D$123)*'Cálculos'!$D$249)+('Cálculos'!$D$198+(($C78)-$A$63:$A$108)*'Cálculos'!$D$98)*('Cálculos'!$D$240+'Cálculos'!$D$124*(1+2.78*('Cálculos'!$D$198+(($C78)-$A$63:$A$108)*'Cálculos'!$D$98)/(('Cálculos'!$D$198+(($C78)-$A$63:$A$108)*'Cálculos'!$D$98)+1400)+'Cálculos'!$D$122)*'Cálculos'!$D$245+'Cálculos'!$D$125*(1+2.78*('Cálculos'!$D$198+(($C78)-$A$63:$A$108)*'Cálculos'!$D$98)/(('Cálculos'!$D$198+(($C78)-$A$63:$A$108)*'Cálculos'!$D$98)+1400)+'Cálculos'!$D$123)*'Cálculos'!$D$250)+('Cálculos'!$D$201*(1+'Cálculos'!$D$202+$A$63:$A$108*('Cálculos'!$D$290=2)*'Cálculos'!$D$101)+'Cálculos'!$D$203)*('Cálculos'!$D$241+'Cálculos'!$D$124*(1+2.78*('Cálculos'!$D$198+(($C78)-$A$63:$A$108)*'Cálculos'!$D$98)/(('Cálculos'!$D$198+(($C78)-$A$63:$A$108)*'Cálculos'!$D$98)+1400)+'Cálculos'!$D$122)*'Cálculos'!$D$246+'Cálculos'!$D$125*(1+2.78*('Cálculos'!$D$198+(($C78)-$A$63:$A$108)*'Cálculos'!$D$98)/(('Cálculos'!$D$198+(($C78)-$A$63:$A$108)*'Cálculos'!$D$98)+1400)+'Cálculos'!$D$123)*'Cálculos'!$D$251)+('Cálculos'!$D$204*(1+'Cálculos'!$D$205+$A$63:$A$108*('Cálculos'!$D$290=3)*'Cálculos'!$D$103)+'Cálculos'!$D$206)*('Cálculos'!$D$242+'Cálculos'!$D$124*(1+2.78*('Cálculos'!$D$198+(($C78)-$A$63:$A$108)*'Cálculos'!$D$98)/(('Cálculos'!$D$198+(($C78)-$A$63:$A$108)*'Cálculos'!$D$98)+1400)+'Cálculos'!$D$122)*'Cálculos'!$D$247+'Cálculos'!$D$125*(1+2.78*('Cálculos'!$D$198+(($C78)-$A$63:$A$108)*'Cálculos'!$D$98)/(('Cálculos'!$D$198+(($C78)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78)-$A$63:$A$108)*'Cálculos'!$D$98)/(('Cálculos'!$D$199+(($C78)-$A$63:$A$108)*'Cálculos'!$D$98)+1400)+'Cálculos'!$D$122)*'Cálculos'!$D$259+'Cálculos'!$D$125*(1+2.78*('Cálculos'!$D$199+(($C78)-$A$63:$A$108)*'Cálculos'!$D$98)/(('Cálculos'!$D$199+(($C78)-$A$63:$A$108)*'Cálculos'!$D$98)+1400)+'Cálculos'!$D$123)*'Cálculos'!$D$264)+('Cálculos'!$D$199+(($C78)-$A$63:$A$108)*'Cálculos'!$D$98)*('Cálculos'!$D$255+'Cálculos'!$D$124*(1+2.78*('Cálculos'!$D$199+(($C78)-$A$63:$A$108)*'Cálculos'!$D$98)/(('Cálculos'!$D$199+(($C78)-$A$63:$A$108)*'Cálculos'!$D$98)+1400)+'Cálculos'!$D$122)*'Cálculos'!$D$260+'Cálculos'!$D$125*(1+2.78*('Cálculos'!$D$199+(($C78)-$A$63:$A$108)*'Cálculos'!$D$98)/(('Cálculos'!$D$199+(($C78)-$A$63:$A$108)*'Cálculos'!$D$98)+1400)+'Cálculos'!$D$123)*'Cálculos'!$D$265)+('Cálculos'!$D$201*(1+'Cálculos'!$D$202+$A$63:$A$108*('Cálculos'!$D$290=2)*'Cálculos'!$D$101)+'Cálculos'!$D$203)*('Cálculos'!$D$256+'Cálculos'!$D$124*(1+2.78*('Cálculos'!$D$199+(($C78)-$A$63:$A$108)*'Cálculos'!$D$98)/(('Cálculos'!$D$199+(($C78)-$A$63:$A$108)*'Cálculos'!$D$98)+1400)+'Cálculos'!$D$122)*'Cálculos'!$D$261+'Cálculos'!$D$125*(1+2.78*('Cálculos'!$D$199+(($C78)-$A$63:$A$108)*'Cálculos'!$D$98)/(('Cálculos'!$D$199+(($C78)-$A$63:$A$108)*'Cálculos'!$D$98)+1400)+'Cálculos'!$D$123)*'Cálculos'!$D$266)+('Cálculos'!$D$204*(1+'Cálculos'!$D$205+$A$63:$A$108*('Cálculos'!$D$290=3)*'Cálculos'!$D$103)+'Cálculos'!$D$206)*('Cálculos'!$D$257+'Cálculos'!$D$124*(1+2.78*('Cálculos'!$D$199+(($C78)-$A$63:$A$108)*'Cálculos'!$D$98)/(('Cálculos'!$D$199+(($C78)-$A$63:$A$108)*'Cálculos'!$D$98)+1400)+'Cálculos'!$D$122)*'Cálculos'!$D$262+'Cálculos'!$D$125*(1+2.78*('Cálculos'!$D$199+(($C78)-$A$63:$A$108)*'Cálculos'!$D$98)/(('Cálculos'!$D$199+(($C78)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78)-$A$63:$A$108)*'Cálculos'!$D$98)/(('Cálculos'!$D$200+(($C78)-$A$63:$A$108)*'Cálculos'!$D$98)+1400)+'Cálculos'!$D$122)*'Cálculos'!$D$274+'Cálculos'!$D$125*(1+2.78*('Cálculos'!$D$200+(($C78)-$A$63:$A$108)*'Cálculos'!$D$98)/(('Cálculos'!$D$200+(($C78)-$A$63:$A$108)*'Cálculos'!$D$98)+1400)+'Cálculos'!$D$123)*'Cálculos'!$D$279)+('Cálculos'!$D$200+(($C78)-$A$63:$A$108)*'Cálculos'!$D$98)*('Cálculos'!$D$270+'Cálculos'!$D$124*(1+2.78*('Cálculos'!$D$200+(($C78)-$A$63:$A$108)*'Cálculos'!$D$98)/(('Cálculos'!$D$200+(($C78)-$A$63:$A$108)*'Cálculos'!$D$98)+1400)+'Cálculos'!$D$122)*'Cálculos'!$D$275+'Cálculos'!$D$125*(1+2.78*('Cálculos'!$D$200+(($C78)-$A$63:$A$108)*'Cálculos'!$D$98)/(('Cálculos'!$D$200+(($C78)-$A$63:$A$108)*'Cálculos'!$D$98)+1400)+'Cálculos'!$D$123)*'Cálculos'!$D$280)+('Cálculos'!$D$201*(1+'Cálculos'!$D$202+$A$63:$A$108*('Cálculos'!$D$290=2)*'Cálculos'!$D$101)+'Cálculos'!$D$203)*('Cálculos'!$D$271+'Cálculos'!$D$124*(1+2.78*('Cálculos'!$D$200+(($C78)-$A$63:$A$108)*'Cálculos'!$D$98)/(('Cálculos'!$D$200+(($C78)-$A$63:$A$108)*'Cálculos'!$D$98)+1400)+'Cálculos'!$D$122)*'Cálculos'!$D$276+'Cálculos'!$D$125*(1+2.78*('Cálculos'!$D$200+(($C78)-$A$63:$A$108)*'Cálculos'!$D$98)/(('Cálculos'!$D$200+(($C78)-$A$63:$A$108)*'Cálculos'!$D$98)+1400)+'Cálculos'!$D$123)*'Cálculos'!$D$281)+('Cálculos'!$D$204*(1+'Cálculos'!$D$205+$A$63:$A$108*('Cálculos'!$D$290=3)*'Cálculos'!$D$103)+'Cálculos'!$D$206)*('Cálculos'!$D$272+'Cálculos'!$D$124*(1+2.78*('Cálculos'!$D$200+(($C78)-$A$63:$A$108)*'Cálculos'!$D$98)/(('Cálculos'!$D$200+(($C78)-$A$63:$A$108)*'Cálculos'!$D$98)+1400)+'Cálculos'!$D$122)*'Cálculos'!$D$277+'Cálculos'!$D$125*(1+2.78*('Cálculos'!$D$200+(($C78)-$A$63:$A$108)*'Cálculos'!$D$98)/(('Cálculos'!$D$200+(($C78)-$A$63:$A$108)*'Cálculos'!$D$98)+1400)+'Cálculos'!$D$123)*'Cálculos'!$D$282)))))</f>
        <v>0</v>
      </c>
      <c r="E78" s="32">
        <f>IF(OR($C78&lt;0,'Cálculos'!$D$6=""),0,$B78*$D78)</f>
        <v>0</v>
      </c>
      <c r="F78" s="2"/>
      <c r="G78" s="30">
        <f>($A78&lt;=$B$110)*($A78&lt;='Cálculos'!$D$294)*(($B$110)-$A78&lt;='Cálculos'!$D$295)*(1+MIN(('Cálculos'!$D$207+$A78*'Cálculos'!$D$95),1)*('Cálculos'!$D$208+(($B$110)-$A78)*'Cálculos'!$D$96))</f>
        <v>0</v>
      </c>
      <c r="H78" s="31">
        <f>IF($B$111&lt;0,0,($A78&lt;=$B$111)*($A78&lt;='Cálculos'!$D$301)*(($B$111)-$A78&lt;='Cálculos'!$D$297)*(('Cálculos'!$D$185*(1+'Cálculos'!$D$186+$A78*('Cálculos'!$D$290=1)*'Cálculos'!$D$97+'Cálculos'!$D$305)+'Cálculos'!$D$191)*('Cálculos'!$D$209+'Cálculos'!$D$124*(1+2.78*('Cálculos'!$D$196+(($B$111)-$A78)*'Cálculos'!$D$98)/(('Cálculos'!$D$196+(($B$111)-$A78)*'Cálculos'!$D$98)+1400)+'Cálculos'!$D$122)*'Cálculos'!$D$214+'Cálculos'!$D$125*(1+2.78*('Cálculos'!$D$196+(($B$111)-$A78)*'Cálculos'!$D$98)/(('Cálculos'!$D$196+(($B$111)-$A78)*'Cálculos'!$D$98)+1400)+'Cálculos'!$D$123)*'Cálculos'!$D$219)+('Cálculos'!$D$196+(($B$111)-$A78)*'Cálculos'!$D$98)*('Cálculos'!$D$210+'Cálculos'!$D$124*(1+2.78*('Cálculos'!$D$196+(($B$111)-$A78)*'Cálculos'!$D$98)/(('Cálculos'!$D$196+(($B$111)-$A78)*'Cálculos'!$D$98)+1400)+'Cálculos'!$D$122)*'Cálculos'!$D$215+'Cálculos'!$D$125*(1+2.78*('Cálculos'!$D$196+(($B$111)-$A78)*'Cálculos'!$D$98)/(('Cálculos'!$D$196+(($B$111)-$A78)*'Cálculos'!$D$98)+1400)+'Cálculos'!$D$123)*'Cálculos'!$D$220)+('Cálculos'!$D$201*(1+'Cálculos'!$D$202+$A78*('Cálculos'!$D$290=2)*'Cálculos'!$D$101)+'Cálculos'!$D$203)*('Cálculos'!$D$211+'Cálculos'!$D$124*(1+2.78*('Cálculos'!$D$196+(($B$111)-$A78)*'Cálculos'!$D$98)/(('Cálculos'!$D$196+(($B$111)-$A78)*'Cálculos'!$D$98)+1400)+'Cálculos'!$D$122)*'Cálculos'!$D$216+'Cálculos'!$D$125*(1+2.78*('Cálculos'!$D$196+(($B$111)-$A78)*'Cálculos'!$D$98)/(('Cálculos'!$D$196+(($B$111)-$A78)*'Cálculos'!$D$98)+1400)+'Cálculos'!$D$123)*'Cálculos'!$D$221)+('Cálculos'!$D$204*(1+'Cálculos'!$D$205+$A78*('Cálculos'!$D$290=3)*'Cálculos'!$D$103)+'Cálculos'!$D$206)*('Cálculos'!$D$212+'Cálculos'!$D$124*(1+2.78*('Cálculos'!$D$196+(($B$111)-$A78)*'Cálculos'!$D$98)/(('Cálculos'!$D$196+(($B$111)-$A78)*'Cálculos'!$D$98)+1400)+'Cálculos'!$D$122)*'Cálculos'!$D$217+'Cálculos'!$D$125*(1+2.78*('Cálculos'!$D$196+(($B$111)-$A78)*'Cálculos'!$D$98)/(('Cálculos'!$D$196+(($B$111)-$A78)*'Cálculos'!$D$98)+1400)+'Cálculos'!$D$123)*'Cálculos'!$D$222)+('Cálculos'!$D$185*(1+'Cálculos'!$D$187+$A78*('Cálculos'!$D$290=1)*'Cálculos'!$D$97+'Cálculos'!$D$305)+'Cálculos'!$D$192)*('Cálculos'!$D$224+'Cálculos'!$D$124*(1+2.78*('Cálculos'!$D$197+(($B$111)-$A78)*'Cálculos'!$D$98)/(('Cálculos'!$D$197+(($B$111)-$A78)*'Cálculos'!$D$98)+1400)+'Cálculos'!$D$122)*'Cálculos'!$D$229+'Cálculos'!$D$125*(1+2.78*('Cálculos'!$D$197+(($B$111)-$A78)*'Cálculos'!$D$98)/(('Cálculos'!$D$197+(($B$111)-$A78)*'Cálculos'!$D$98)+1400)+'Cálculos'!$D$123)*'Cálculos'!$D$234)+('Cálculos'!$D$197+(($B$111)-$A78)*'Cálculos'!$D$98)*('Cálculos'!$D$225+'Cálculos'!$D$124*(1+2.78*('Cálculos'!$D$197+(($B$111)-$A78)*'Cálculos'!$D$98)/(('Cálculos'!$D$197+(($B$111)-$A78)*'Cálculos'!$D$98)+1400)+'Cálculos'!$D$122)*'Cálculos'!$D$230+'Cálculos'!$D$125*(1+2.78*('Cálculos'!$D$197+(($B$111)-$A78)*'Cálculos'!$D$98)/(('Cálculos'!$D$197+(($B$111)-$A78)*'Cálculos'!$D$98)+1400)+'Cálculos'!$D$123)*'Cálculos'!$D$235)+('Cálculos'!$D$201*(1+'Cálculos'!$D$202+$A78*('Cálculos'!$D$290=2)*'Cálculos'!$D$101)+'Cálculos'!$D$203)*('Cálculos'!$D$226+'Cálculos'!$D$124*(1+2.78*('Cálculos'!$D$197+(($B$111)-$A78)*'Cálculos'!$D$98)/(('Cálculos'!$D$197+(($B$111)-$A78)*'Cálculos'!$D$98)+1400)+'Cálculos'!$D$122)*'Cálculos'!$D$231+'Cálculos'!$D$125*(1+2.78*('Cálculos'!$D$197+(($B$111)-$A78)*'Cálculos'!$D$98)/(('Cálculos'!$D$197+(($B$111)-$A78)*'Cálculos'!$D$98)+1400)+'Cálculos'!$D$123)*'Cálculos'!$D$236)+('Cálculos'!$D$204*(1+'Cálculos'!$D$205+$A78*('Cálculos'!$D$290=3)*'Cálculos'!$D$103)+'Cálculos'!$D$206)*('Cálculos'!$D$227+'Cálculos'!$D$124*(1+2.78*('Cálculos'!$D$197+(($B$111)-$A78)*'Cálculos'!$D$98)/(('Cálculos'!$D$197+(($B$111)-$A78)*'Cálculos'!$D$98)+1400)+'Cálculos'!$D$122)*'Cálculos'!$D$232+'Cálculos'!$D$125*(1+2.78*('Cálculos'!$D$197+(($B$111)-$A78)*'Cálculos'!$D$98)/(('Cálculos'!$D$197+(($B$111)-$A78)*'Cálculos'!$D$98)+1400)+'Cálculos'!$D$123)*'Cálculos'!$D$237)+('Cálculos'!$D$185*(1+'Cálculos'!$D$188+$A78*('Cálculos'!$D$290=1)*'Cálculos'!$D$97+'Cálculos'!$D$305)+'Cálculos'!$D$193)*('Cálculos'!$D$239+'Cálculos'!$D$124*(1+2.78*('Cálculos'!$D$198+(($B$111)-$A78)*'Cálculos'!$D$98)/(('Cálculos'!$D$198+(($B$111)-$A78)*'Cálculos'!$D$98)+1400)+'Cálculos'!$D$122)*'Cálculos'!$D$244+'Cálculos'!$D$125*(1+2.78*('Cálculos'!$D$198+(($B$111)-$A78)*'Cálculos'!$D$98)/(('Cálculos'!$D$198+(($B$111)-$A78)*'Cálculos'!$D$98)+1400)+'Cálculos'!$D$123)*'Cálculos'!$D$249)+('Cálculos'!$D$198+(($B$111)-$A78)*'Cálculos'!$D$98)*('Cálculos'!$D$240+'Cálculos'!$D$124*(1+2.78*('Cálculos'!$D$198+(($B$111)-$A78)*'Cálculos'!$D$98)/(('Cálculos'!$D$198+(($B$111)-$A78)*'Cálculos'!$D$98)+1400)+'Cálculos'!$D$122)*'Cálculos'!$D$245+'Cálculos'!$D$125*(1+2.78*('Cálculos'!$D$198+(($B$111)-$A78)*'Cálculos'!$D$98)/(('Cálculos'!$D$198+(($B$111)-$A78)*'Cálculos'!$D$98)+1400)+'Cálculos'!$D$123)*'Cálculos'!$D$250)+('Cálculos'!$D$201*(1+'Cálculos'!$D$202+$A78*('Cálculos'!$D$290=2)*'Cálculos'!$D$101)+'Cálculos'!$D$203)*('Cálculos'!$D$241+'Cálculos'!$D$124*(1+2.78*('Cálculos'!$D$198+(($B$111)-$A78)*'Cálculos'!$D$98)/(('Cálculos'!$D$198+(($B$111)-$A78)*'Cálculos'!$D$98)+1400)+'Cálculos'!$D$122)*'Cálculos'!$D$246+'Cálculos'!$D$125*(1+2.78*('Cálculos'!$D$198+(($B$111)-$A78)*'Cálculos'!$D$98)/(('Cálculos'!$D$198+(($B$111)-$A78)*'Cálculos'!$D$98)+1400)+'Cálculos'!$D$123)*'Cálculos'!$D$251)+('Cálculos'!$D$204*(1+'Cálculos'!$D$205+$A78*('Cálculos'!$D$290=3)*'Cálculos'!$D$103)+'Cálculos'!$D$206)*('Cálculos'!$D$242+'Cálculos'!$D$124*(1+2.78*('Cálculos'!$D$198+(($B$111)-$A78)*'Cálculos'!$D$98)/(('Cálculos'!$D$198+(($B$111)-$A78)*'Cálculos'!$D$98)+1400)+'Cálculos'!$D$122)*'Cálculos'!$D$247+'Cálculos'!$D$125*(1+2.78*('Cálculos'!$D$198+(($B$111)-$A78)*'Cálculos'!$D$98)/(('Cálculos'!$D$198+(($B$111)-$A78)*'Cálculos'!$D$98)+1400)+'Cálculos'!$D$123)*'Cálculos'!$D$252)+('Cálculos'!$D$185*(1+'Cálculos'!$D$189+$A78*('Cálculos'!$D$290=1)*'Cálculos'!$D$97+'Cálculos'!$D$305)+'Cálculos'!$D$194)*('Cálculos'!$D$254+'Cálculos'!$D$124*(1+2.78*('Cálculos'!$D$199+(($B$111)-$A78)*'Cálculos'!$D$98)/(('Cálculos'!$D$199+(($B$111)-$A78)*'Cálculos'!$D$98)+1400)+'Cálculos'!$D$122)*'Cálculos'!$D$259+'Cálculos'!$D$125*(1+2.78*('Cálculos'!$D$199+(($B$111)-$A78)*'Cálculos'!$D$98)/(('Cálculos'!$D$199+(($B$111)-$A78)*'Cálculos'!$D$98)+1400)+'Cálculos'!$D$123)*'Cálculos'!$D$264)+('Cálculos'!$D$199+(($B$111)-$A78)*'Cálculos'!$D$98)*('Cálculos'!$D$255+'Cálculos'!$D$124*(1+2.78*('Cálculos'!$D$199+(($B$111)-$A78)*'Cálculos'!$D$98)/(('Cálculos'!$D$199+(($B$111)-$A78)*'Cálculos'!$D$98)+1400)+'Cálculos'!$D$122)*'Cálculos'!$D$260+'Cálculos'!$D$125*(1+2.78*('Cálculos'!$D$199+(($B$111)-$A78)*'Cálculos'!$D$98)/(('Cálculos'!$D$199+(($B$111)-$A78)*'Cálculos'!$D$98)+1400)+'Cálculos'!$D$123)*'Cálculos'!$D$265)+('Cálculos'!$D$201*(1+'Cálculos'!$D$202+$A78*('Cálculos'!$D$290=2)*'Cálculos'!$D$101)+'Cálculos'!$D$203)*('Cálculos'!$D$256+'Cálculos'!$D$124*(1+2.78*('Cálculos'!$D$199+(($B$111)-$A78)*'Cálculos'!$D$98)/(('Cálculos'!$D$199+(($B$111)-$A78)*'Cálculos'!$D$98)+1400)+'Cálculos'!$D$122)*'Cálculos'!$D$261+'Cálculos'!$D$125*(1+2.78*('Cálculos'!$D$199+(($B$111)-$A78)*'Cálculos'!$D$98)/(('Cálculos'!$D$199+(($B$111)-$A78)*'Cálculos'!$D$98)+1400)+'Cálculos'!$D$123)*'Cálculos'!$D$266)+('Cálculos'!$D$204*(1+'Cálculos'!$D$205+$A78*('Cálculos'!$D$290=3)*'Cálculos'!$D$103)+'Cálculos'!$D$206)*('Cálculos'!$D$257+'Cálculos'!$D$124*(1+2.78*('Cálculos'!$D$199+(($B$111)-$A78)*'Cálculos'!$D$98)/(('Cálculos'!$D$199+(($B$111)-$A78)*'Cálculos'!$D$98)+1400)+'Cálculos'!$D$122)*'Cálculos'!$D$262+'Cálculos'!$D$125*(1+2.78*('Cálculos'!$D$199+(($B$111)-$A78)*'Cálculos'!$D$98)/(('Cálculos'!$D$199+(($B$111)-$A78)*'Cálculos'!$D$98)+1400)+'Cálculos'!$D$123)*'Cálculos'!$D$267)+('Cálculos'!$D$185*(1+'Cálculos'!$D$190+$A78*('Cálculos'!$D$290=1)*'Cálculos'!$D$97+'Cálculos'!$D$305)+'Cálculos'!$D$195)*('Cálculos'!$D$269+'Cálculos'!$D$124*(1+2.78*('Cálculos'!$D$200+(($B$111)-$A78)*'Cálculos'!$D$98)/(('Cálculos'!$D$200+(($B$111)-$A78)*'Cálculos'!$D$98)+1400)+'Cálculos'!$D$122)*'Cálculos'!$D$274+'Cálculos'!$D$125*(1+2.78*('Cálculos'!$D$200+(($B$111)-$A78)*'Cálculos'!$D$98)/(('Cálculos'!$D$200+(($B$111)-$A78)*'Cálculos'!$D$98)+1400)+'Cálculos'!$D$123)*'Cálculos'!$D$279)+('Cálculos'!$D$200+(($B$111)-$A78)*'Cálculos'!$D$98)*('Cálculos'!$D$270+'Cálculos'!$D$124*(1+2.78*('Cálculos'!$D$200+(($B$111)-$A78)*'Cálculos'!$D$98)/(('Cálculos'!$D$200+(($B$111)-$A78)*'Cálculos'!$D$98)+1400)+'Cálculos'!$D$122)*'Cálculos'!$D$275+'Cálculos'!$D$125*(1+2.78*('Cálculos'!$D$200+(($B$111)-$A78)*'Cálculos'!$D$98)/(('Cálculos'!$D$200+(($B$111)-$A78)*'Cálculos'!$D$98)+1400)+'Cálculos'!$D$123)*'Cálculos'!$D$280)+('Cálculos'!$D$201*(1+'Cálculos'!$D$202+$A78*('Cálculos'!$D$290=2)*'Cálculos'!$D$101)+'Cálculos'!$D$203)*('Cálculos'!$D$271+'Cálculos'!$D$124*(1+2.78*('Cálculos'!$D$200+(($B$111)-$A78)*'Cálculos'!$D$98)/(('Cálculos'!$D$200+(($B$111)-$A78)*'Cálculos'!$D$98)+1400)+'Cálculos'!$D$122)*'Cálculos'!$D$276+'Cálculos'!$D$125*(1+2.78*('Cálculos'!$D$200+(($B$111)-$A78)*'Cálculos'!$D$98)/(('Cálculos'!$D$200+(($B$111)-$A78)*'Cálculos'!$D$98)+1400)+'Cálculos'!$D$123)*'Cálculos'!$D$281)+('Cálculos'!$D$204*(1+'Cálculos'!$D$205+$A78*('Cálculos'!$D$290=3)*'Cálculos'!$D$103)+'Cálculos'!$D$206)*('Cálculos'!$D$272+'Cálculos'!$D$124*(1+2.78*('Cálculos'!$D$200+(($B$111)-$A78)*'Cálculos'!$D$98)/(('Cálculos'!$D$200+(($B$111)-$A78)*'Cálculos'!$D$98)+1400)+'Cálculos'!$D$122)*'Cálculos'!$D$277+'Cálculos'!$D$125*(1+2.78*('Cálculos'!$D$200+(($B$111)-$A78)*'Cálculos'!$D$98)/(('Cálculos'!$D$200+(($B$111)-$A78)*'Cálculos'!$D$98)+1400)+'Cálculos'!$D$123)*'Cálculos'!$D$282)))</f>
        <v>0</v>
      </c>
    </row>
    <row r="79" ht="15.75" customHeight="1">
      <c r="A79" s="2">
        <v>16.0</v>
      </c>
      <c r="B79" s="30">
        <f>SUMPRODUCT(MAX(($A$63:$A$108&lt;=$A79)*($A$63:$A$108&lt;='Cálculos'!$D$294)*(($A79)-$A$63:$A$108&lt;='Cálculos'!$D$295)*(1+(('Cálculos'!$D$207+$A$63:$A$108*'Cálculos'!$D$95)-(('Cálculos'!$D$207+$A$63:$A$108*'Cálculos'!$D$95)&gt;1)*(('Cálculos'!$D$207+$A$63:$A$108*'Cálculos'!$D$95)-1))*('Cálculos'!$D$208+(($A79)-$A$63:$A$108)*'Cálculos'!$D$96))))</f>
        <v>1.59650636</v>
      </c>
      <c r="C79" s="2">
        <f>'Cálculos'!$D$303-$A79</f>
        <v>-5</v>
      </c>
      <c r="D79" s="31">
        <f>IF($C79&lt;0,0,SUMPRODUCT(MAX(($A$63:$A$108&lt;=$C79)*($A$63:$A$108&lt;='Cálculos'!$D$301)*(($C79)-$A$63:$A$108&lt;='Cálculos'!$D$297)*(('Cálculos'!$D$185*(1+'Cálculos'!$D$186+$A$63:$A$108*('Cálculos'!$D$290=1)*'Cálculos'!$D$97+'Cálculos'!$D$305)+'Cálculos'!$D$191)*('Cálculos'!$D$209+'Cálculos'!$D$124*(1+2.78*('Cálculos'!$D$196+(($C79)-$A$63:$A$108)*'Cálculos'!$D$98)/(('Cálculos'!$D$196+(($C79)-$A$63:$A$108)*'Cálculos'!$D$98)+1400)+'Cálculos'!$D$122)*'Cálculos'!$D$214+'Cálculos'!$D$125*(1+2.78*('Cálculos'!$D$196+(($C79)-$A$63:$A$108)*'Cálculos'!$D$98)/(('Cálculos'!$D$196+(($C79)-$A$63:$A$108)*'Cálculos'!$D$98)+1400)+'Cálculos'!$D$123)*'Cálculos'!$D$219)+('Cálculos'!$D$196+(($C79)-$A$63:$A$108)*'Cálculos'!$D$98)*('Cálculos'!$D$210+'Cálculos'!$D$124*(1+2.78*('Cálculos'!$D$196+(($C79)-$A$63:$A$108)*'Cálculos'!$D$98)/(('Cálculos'!$D$196+(($C79)-$A$63:$A$108)*'Cálculos'!$D$98)+1400)+'Cálculos'!$D$122)*'Cálculos'!$D$215+'Cálculos'!$D$125*(1+2.78*('Cálculos'!$D$196+(($C79)-$A$63:$A$108)*'Cálculos'!$D$98)/(('Cálculos'!$D$196+(($C79)-$A$63:$A$108)*'Cálculos'!$D$98)+1400)+'Cálculos'!$D$123)*'Cálculos'!$D$220)+('Cálculos'!$D$201*(1+'Cálculos'!$D$202+$A$63:$A$108*('Cálculos'!$D$290=2)*'Cálculos'!$D$101)+'Cálculos'!$D$203)*('Cálculos'!$D$211+'Cálculos'!$D$124*(1+2.78*('Cálculos'!$D$196+(($C79)-$A$63:$A$108)*'Cálculos'!$D$98)/(('Cálculos'!$D$196+(($C79)-$A$63:$A$108)*'Cálculos'!$D$98)+1400)+'Cálculos'!$D$122)*'Cálculos'!$D$216+'Cálculos'!$D$125*(1+2.78*('Cálculos'!$D$196+(($C79)-$A$63:$A$108)*'Cálculos'!$D$98)/(('Cálculos'!$D$196+(($C79)-$A$63:$A$108)*'Cálculos'!$D$98)+1400)+'Cálculos'!$D$123)*'Cálculos'!$D$221)+('Cálculos'!$D$204*(1+'Cálculos'!$D$205+$A$63:$A$108*('Cálculos'!$D$290=3)*'Cálculos'!$D$103)+'Cálculos'!$D$206)*('Cálculos'!$D$212+'Cálculos'!$D$124*(1+2.78*('Cálculos'!$D$196+(($C79)-$A$63:$A$108)*'Cálculos'!$D$98)/(('Cálculos'!$D$196+(($C79)-$A$63:$A$108)*'Cálculos'!$D$98)+1400)+'Cálculos'!$D$122)*'Cálculos'!$D$217+'Cálculos'!$D$125*(1+2.78*('Cálculos'!$D$196+(($C79)-$A$63:$A$108)*'Cálculos'!$D$98)/(('Cálculos'!$D$196+(($C79)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79)-$A$63:$A$108)*'Cálculos'!$D$98)/(('Cálculos'!$D$197+(($C79)-$A$63:$A$108)*'Cálculos'!$D$98)+1400)+'Cálculos'!$D$122)*'Cálculos'!$D$229+'Cálculos'!$D$125*(1+2.78*('Cálculos'!$D$197+(($C79)-$A$63:$A$108)*'Cálculos'!$D$98)/(('Cálculos'!$D$197+(($C79)-$A$63:$A$108)*'Cálculos'!$D$98)+1400)+'Cálculos'!$D$123)*'Cálculos'!$D$234)+('Cálculos'!$D$197+(($C79)-$A$63:$A$108)*'Cálculos'!$D$98)*('Cálculos'!$D$225+'Cálculos'!$D$124*(1+2.78*('Cálculos'!$D$197+(($C79)-$A$63:$A$108)*'Cálculos'!$D$98)/(('Cálculos'!$D$197+(($C79)-$A$63:$A$108)*'Cálculos'!$D$98)+1400)+'Cálculos'!$D$122)*'Cálculos'!$D$230+'Cálculos'!$D$125*(1+2.78*('Cálculos'!$D$197+(($C79)-$A$63:$A$108)*'Cálculos'!$D$98)/(('Cálculos'!$D$197+(($C79)-$A$63:$A$108)*'Cálculos'!$D$98)+1400)+'Cálculos'!$D$123)*'Cálculos'!$D$235)+('Cálculos'!$D$201*(1+'Cálculos'!$D$202+$A$63:$A$108*('Cálculos'!$D$290=2)*'Cálculos'!$D$101)+'Cálculos'!$D$203)*('Cálculos'!$D$226+'Cálculos'!$D$124*(1+2.78*('Cálculos'!$D$197+(($C79)-$A$63:$A$108)*'Cálculos'!$D$98)/(('Cálculos'!$D$197+(($C79)-$A$63:$A$108)*'Cálculos'!$D$98)+1400)+'Cálculos'!$D$122)*'Cálculos'!$D$231+'Cálculos'!$D$125*(1+2.78*('Cálculos'!$D$197+(($C79)-$A$63:$A$108)*'Cálculos'!$D$98)/(('Cálculos'!$D$197+(($C79)-$A$63:$A$108)*'Cálculos'!$D$98)+1400)+'Cálculos'!$D$123)*'Cálculos'!$D$236)+('Cálculos'!$D$204*(1+'Cálculos'!$D$205+$A$63:$A$108*('Cálculos'!$D$290=3)*'Cálculos'!$D$103)+'Cálculos'!$D$206)*('Cálculos'!$D$227+'Cálculos'!$D$124*(1+2.78*('Cálculos'!$D$197+(($C79)-$A$63:$A$108)*'Cálculos'!$D$98)/(('Cálculos'!$D$197+(($C79)-$A$63:$A$108)*'Cálculos'!$D$98)+1400)+'Cálculos'!$D$122)*'Cálculos'!$D$232+'Cálculos'!$D$125*(1+2.78*('Cálculos'!$D$197+(($C79)-$A$63:$A$108)*'Cálculos'!$D$98)/(('Cálculos'!$D$197+(($C79)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79)-$A$63:$A$108)*'Cálculos'!$D$98)/(('Cálculos'!$D$198+(($C79)-$A$63:$A$108)*'Cálculos'!$D$98)+1400)+'Cálculos'!$D$122)*'Cálculos'!$D$244+'Cálculos'!$D$125*(1+2.78*('Cálculos'!$D$198+(($C79)-$A$63:$A$108)*'Cálculos'!$D$98)/(('Cálculos'!$D$198+(($C79)-$A$63:$A$108)*'Cálculos'!$D$98)+1400)+'Cálculos'!$D$123)*'Cálculos'!$D$249)+('Cálculos'!$D$198+(($C79)-$A$63:$A$108)*'Cálculos'!$D$98)*('Cálculos'!$D$240+'Cálculos'!$D$124*(1+2.78*('Cálculos'!$D$198+(($C79)-$A$63:$A$108)*'Cálculos'!$D$98)/(('Cálculos'!$D$198+(($C79)-$A$63:$A$108)*'Cálculos'!$D$98)+1400)+'Cálculos'!$D$122)*'Cálculos'!$D$245+'Cálculos'!$D$125*(1+2.78*('Cálculos'!$D$198+(($C79)-$A$63:$A$108)*'Cálculos'!$D$98)/(('Cálculos'!$D$198+(($C79)-$A$63:$A$108)*'Cálculos'!$D$98)+1400)+'Cálculos'!$D$123)*'Cálculos'!$D$250)+('Cálculos'!$D$201*(1+'Cálculos'!$D$202+$A$63:$A$108*('Cálculos'!$D$290=2)*'Cálculos'!$D$101)+'Cálculos'!$D$203)*('Cálculos'!$D$241+'Cálculos'!$D$124*(1+2.78*('Cálculos'!$D$198+(($C79)-$A$63:$A$108)*'Cálculos'!$D$98)/(('Cálculos'!$D$198+(($C79)-$A$63:$A$108)*'Cálculos'!$D$98)+1400)+'Cálculos'!$D$122)*'Cálculos'!$D$246+'Cálculos'!$D$125*(1+2.78*('Cálculos'!$D$198+(($C79)-$A$63:$A$108)*'Cálculos'!$D$98)/(('Cálculos'!$D$198+(($C79)-$A$63:$A$108)*'Cálculos'!$D$98)+1400)+'Cálculos'!$D$123)*'Cálculos'!$D$251)+('Cálculos'!$D$204*(1+'Cálculos'!$D$205+$A$63:$A$108*('Cálculos'!$D$290=3)*'Cálculos'!$D$103)+'Cálculos'!$D$206)*('Cálculos'!$D$242+'Cálculos'!$D$124*(1+2.78*('Cálculos'!$D$198+(($C79)-$A$63:$A$108)*'Cálculos'!$D$98)/(('Cálculos'!$D$198+(($C79)-$A$63:$A$108)*'Cálculos'!$D$98)+1400)+'Cálculos'!$D$122)*'Cálculos'!$D$247+'Cálculos'!$D$125*(1+2.78*('Cálculos'!$D$198+(($C79)-$A$63:$A$108)*'Cálculos'!$D$98)/(('Cálculos'!$D$198+(($C79)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79)-$A$63:$A$108)*'Cálculos'!$D$98)/(('Cálculos'!$D$199+(($C79)-$A$63:$A$108)*'Cálculos'!$D$98)+1400)+'Cálculos'!$D$122)*'Cálculos'!$D$259+'Cálculos'!$D$125*(1+2.78*('Cálculos'!$D$199+(($C79)-$A$63:$A$108)*'Cálculos'!$D$98)/(('Cálculos'!$D$199+(($C79)-$A$63:$A$108)*'Cálculos'!$D$98)+1400)+'Cálculos'!$D$123)*'Cálculos'!$D$264)+('Cálculos'!$D$199+(($C79)-$A$63:$A$108)*'Cálculos'!$D$98)*('Cálculos'!$D$255+'Cálculos'!$D$124*(1+2.78*('Cálculos'!$D$199+(($C79)-$A$63:$A$108)*'Cálculos'!$D$98)/(('Cálculos'!$D$199+(($C79)-$A$63:$A$108)*'Cálculos'!$D$98)+1400)+'Cálculos'!$D$122)*'Cálculos'!$D$260+'Cálculos'!$D$125*(1+2.78*('Cálculos'!$D$199+(($C79)-$A$63:$A$108)*'Cálculos'!$D$98)/(('Cálculos'!$D$199+(($C79)-$A$63:$A$108)*'Cálculos'!$D$98)+1400)+'Cálculos'!$D$123)*'Cálculos'!$D$265)+('Cálculos'!$D$201*(1+'Cálculos'!$D$202+$A$63:$A$108*('Cálculos'!$D$290=2)*'Cálculos'!$D$101)+'Cálculos'!$D$203)*('Cálculos'!$D$256+'Cálculos'!$D$124*(1+2.78*('Cálculos'!$D$199+(($C79)-$A$63:$A$108)*'Cálculos'!$D$98)/(('Cálculos'!$D$199+(($C79)-$A$63:$A$108)*'Cálculos'!$D$98)+1400)+'Cálculos'!$D$122)*'Cálculos'!$D$261+'Cálculos'!$D$125*(1+2.78*('Cálculos'!$D$199+(($C79)-$A$63:$A$108)*'Cálculos'!$D$98)/(('Cálculos'!$D$199+(($C79)-$A$63:$A$108)*'Cálculos'!$D$98)+1400)+'Cálculos'!$D$123)*'Cálculos'!$D$266)+('Cálculos'!$D$204*(1+'Cálculos'!$D$205+$A$63:$A$108*('Cálculos'!$D$290=3)*'Cálculos'!$D$103)+'Cálculos'!$D$206)*('Cálculos'!$D$257+'Cálculos'!$D$124*(1+2.78*('Cálculos'!$D$199+(($C79)-$A$63:$A$108)*'Cálculos'!$D$98)/(('Cálculos'!$D$199+(($C79)-$A$63:$A$108)*'Cálculos'!$D$98)+1400)+'Cálculos'!$D$122)*'Cálculos'!$D$262+'Cálculos'!$D$125*(1+2.78*('Cálculos'!$D$199+(($C79)-$A$63:$A$108)*'Cálculos'!$D$98)/(('Cálculos'!$D$199+(($C79)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79)-$A$63:$A$108)*'Cálculos'!$D$98)/(('Cálculos'!$D$200+(($C79)-$A$63:$A$108)*'Cálculos'!$D$98)+1400)+'Cálculos'!$D$122)*'Cálculos'!$D$274+'Cálculos'!$D$125*(1+2.78*('Cálculos'!$D$200+(($C79)-$A$63:$A$108)*'Cálculos'!$D$98)/(('Cálculos'!$D$200+(($C79)-$A$63:$A$108)*'Cálculos'!$D$98)+1400)+'Cálculos'!$D$123)*'Cálculos'!$D$279)+('Cálculos'!$D$200+(($C79)-$A$63:$A$108)*'Cálculos'!$D$98)*('Cálculos'!$D$270+'Cálculos'!$D$124*(1+2.78*('Cálculos'!$D$200+(($C79)-$A$63:$A$108)*'Cálculos'!$D$98)/(('Cálculos'!$D$200+(($C79)-$A$63:$A$108)*'Cálculos'!$D$98)+1400)+'Cálculos'!$D$122)*'Cálculos'!$D$275+'Cálculos'!$D$125*(1+2.78*('Cálculos'!$D$200+(($C79)-$A$63:$A$108)*'Cálculos'!$D$98)/(('Cálculos'!$D$200+(($C79)-$A$63:$A$108)*'Cálculos'!$D$98)+1400)+'Cálculos'!$D$123)*'Cálculos'!$D$280)+('Cálculos'!$D$201*(1+'Cálculos'!$D$202+$A$63:$A$108*('Cálculos'!$D$290=2)*'Cálculos'!$D$101)+'Cálculos'!$D$203)*('Cálculos'!$D$271+'Cálculos'!$D$124*(1+2.78*('Cálculos'!$D$200+(($C79)-$A$63:$A$108)*'Cálculos'!$D$98)/(('Cálculos'!$D$200+(($C79)-$A$63:$A$108)*'Cálculos'!$D$98)+1400)+'Cálculos'!$D$122)*'Cálculos'!$D$276+'Cálculos'!$D$125*(1+2.78*('Cálculos'!$D$200+(($C79)-$A$63:$A$108)*'Cálculos'!$D$98)/(('Cálculos'!$D$200+(($C79)-$A$63:$A$108)*'Cálculos'!$D$98)+1400)+'Cálculos'!$D$123)*'Cálculos'!$D$281)+('Cálculos'!$D$204*(1+'Cálculos'!$D$205+$A$63:$A$108*('Cálculos'!$D$290=3)*'Cálculos'!$D$103)+'Cálculos'!$D$206)*('Cálculos'!$D$272+'Cálculos'!$D$124*(1+2.78*('Cálculos'!$D$200+(($C79)-$A$63:$A$108)*'Cálculos'!$D$98)/(('Cálculos'!$D$200+(($C79)-$A$63:$A$108)*'Cálculos'!$D$98)+1400)+'Cálculos'!$D$122)*'Cálculos'!$D$277+'Cálculos'!$D$125*(1+2.78*('Cálculos'!$D$200+(($C79)-$A$63:$A$108)*'Cálculos'!$D$98)/(('Cálculos'!$D$200+(($C79)-$A$63:$A$108)*'Cálculos'!$D$98)+1400)+'Cálculos'!$D$123)*'Cálculos'!$D$282)))))</f>
        <v>0</v>
      </c>
      <c r="E79" s="32">
        <f>IF(OR($C79&lt;0,'Cálculos'!$D$6=""),0,$B79*$D79)</f>
        <v>0</v>
      </c>
      <c r="F79" s="2"/>
      <c r="G79" s="30">
        <f>($A79&lt;=$B$110)*($A79&lt;='Cálculos'!$D$294)*(($B$110)-$A79&lt;='Cálculos'!$D$295)*(1+MIN(('Cálculos'!$D$207+$A79*'Cálculos'!$D$95),1)*('Cálculos'!$D$208+(($B$110)-$A79)*'Cálculos'!$D$96))</f>
        <v>0</v>
      </c>
      <c r="H79" s="31">
        <f>IF($B$111&lt;0,0,($A79&lt;=$B$111)*($A79&lt;='Cálculos'!$D$301)*(($B$111)-$A79&lt;='Cálculos'!$D$297)*(('Cálculos'!$D$185*(1+'Cálculos'!$D$186+$A79*('Cálculos'!$D$290=1)*'Cálculos'!$D$97+'Cálculos'!$D$305)+'Cálculos'!$D$191)*('Cálculos'!$D$209+'Cálculos'!$D$124*(1+2.78*('Cálculos'!$D$196+(($B$111)-$A79)*'Cálculos'!$D$98)/(('Cálculos'!$D$196+(($B$111)-$A79)*'Cálculos'!$D$98)+1400)+'Cálculos'!$D$122)*'Cálculos'!$D$214+'Cálculos'!$D$125*(1+2.78*('Cálculos'!$D$196+(($B$111)-$A79)*'Cálculos'!$D$98)/(('Cálculos'!$D$196+(($B$111)-$A79)*'Cálculos'!$D$98)+1400)+'Cálculos'!$D$123)*'Cálculos'!$D$219)+('Cálculos'!$D$196+(($B$111)-$A79)*'Cálculos'!$D$98)*('Cálculos'!$D$210+'Cálculos'!$D$124*(1+2.78*('Cálculos'!$D$196+(($B$111)-$A79)*'Cálculos'!$D$98)/(('Cálculos'!$D$196+(($B$111)-$A79)*'Cálculos'!$D$98)+1400)+'Cálculos'!$D$122)*'Cálculos'!$D$215+'Cálculos'!$D$125*(1+2.78*('Cálculos'!$D$196+(($B$111)-$A79)*'Cálculos'!$D$98)/(('Cálculos'!$D$196+(($B$111)-$A79)*'Cálculos'!$D$98)+1400)+'Cálculos'!$D$123)*'Cálculos'!$D$220)+('Cálculos'!$D$201*(1+'Cálculos'!$D$202+$A79*('Cálculos'!$D$290=2)*'Cálculos'!$D$101)+'Cálculos'!$D$203)*('Cálculos'!$D$211+'Cálculos'!$D$124*(1+2.78*('Cálculos'!$D$196+(($B$111)-$A79)*'Cálculos'!$D$98)/(('Cálculos'!$D$196+(($B$111)-$A79)*'Cálculos'!$D$98)+1400)+'Cálculos'!$D$122)*'Cálculos'!$D$216+'Cálculos'!$D$125*(1+2.78*('Cálculos'!$D$196+(($B$111)-$A79)*'Cálculos'!$D$98)/(('Cálculos'!$D$196+(($B$111)-$A79)*'Cálculos'!$D$98)+1400)+'Cálculos'!$D$123)*'Cálculos'!$D$221)+('Cálculos'!$D$204*(1+'Cálculos'!$D$205+$A79*('Cálculos'!$D$290=3)*'Cálculos'!$D$103)+'Cálculos'!$D$206)*('Cálculos'!$D$212+'Cálculos'!$D$124*(1+2.78*('Cálculos'!$D$196+(($B$111)-$A79)*'Cálculos'!$D$98)/(('Cálculos'!$D$196+(($B$111)-$A79)*'Cálculos'!$D$98)+1400)+'Cálculos'!$D$122)*'Cálculos'!$D$217+'Cálculos'!$D$125*(1+2.78*('Cálculos'!$D$196+(($B$111)-$A79)*'Cálculos'!$D$98)/(('Cálculos'!$D$196+(($B$111)-$A79)*'Cálculos'!$D$98)+1400)+'Cálculos'!$D$123)*'Cálculos'!$D$222)+('Cálculos'!$D$185*(1+'Cálculos'!$D$187+$A79*('Cálculos'!$D$290=1)*'Cálculos'!$D$97+'Cálculos'!$D$305)+'Cálculos'!$D$192)*('Cálculos'!$D$224+'Cálculos'!$D$124*(1+2.78*('Cálculos'!$D$197+(($B$111)-$A79)*'Cálculos'!$D$98)/(('Cálculos'!$D$197+(($B$111)-$A79)*'Cálculos'!$D$98)+1400)+'Cálculos'!$D$122)*'Cálculos'!$D$229+'Cálculos'!$D$125*(1+2.78*('Cálculos'!$D$197+(($B$111)-$A79)*'Cálculos'!$D$98)/(('Cálculos'!$D$197+(($B$111)-$A79)*'Cálculos'!$D$98)+1400)+'Cálculos'!$D$123)*'Cálculos'!$D$234)+('Cálculos'!$D$197+(($B$111)-$A79)*'Cálculos'!$D$98)*('Cálculos'!$D$225+'Cálculos'!$D$124*(1+2.78*('Cálculos'!$D$197+(($B$111)-$A79)*'Cálculos'!$D$98)/(('Cálculos'!$D$197+(($B$111)-$A79)*'Cálculos'!$D$98)+1400)+'Cálculos'!$D$122)*'Cálculos'!$D$230+'Cálculos'!$D$125*(1+2.78*('Cálculos'!$D$197+(($B$111)-$A79)*'Cálculos'!$D$98)/(('Cálculos'!$D$197+(($B$111)-$A79)*'Cálculos'!$D$98)+1400)+'Cálculos'!$D$123)*'Cálculos'!$D$235)+('Cálculos'!$D$201*(1+'Cálculos'!$D$202+$A79*('Cálculos'!$D$290=2)*'Cálculos'!$D$101)+'Cálculos'!$D$203)*('Cálculos'!$D$226+'Cálculos'!$D$124*(1+2.78*('Cálculos'!$D$197+(($B$111)-$A79)*'Cálculos'!$D$98)/(('Cálculos'!$D$197+(($B$111)-$A79)*'Cálculos'!$D$98)+1400)+'Cálculos'!$D$122)*'Cálculos'!$D$231+'Cálculos'!$D$125*(1+2.78*('Cálculos'!$D$197+(($B$111)-$A79)*'Cálculos'!$D$98)/(('Cálculos'!$D$197+(($B$111)-$A79)*'Cálculos'!$D$98)+1400)+'Cálculos'!$D$123)*'Cálculos'!$D$236)+('Cálculos'!$D$204*(1+'Cálculos'!$D$205+$A79*('Cálculos'!$D$290=3)*'Cálculos'!$D$103)+'Cálculos'!$D$206)*('Cálculos'!$D$227+'Cálculos'!$D$124*(1+2.78*('Cálculos'!$D$197+(($B$111)-$A79)*'Cálculos'!$D$98)/(('Cálculos'!$D$197+(($B$111)-$A79)*'Cálculos'!$D$98)+1400)+'Cálculos'!$D$122)*'Cálculos'!$D$232+'Cálculos'!$D$125*(1+2.78*('Cálculos'!$D$197+(($B$111)-$A79)*'Cálculos'!$D$98)/(('Cálculos'!$D$197+(($B$111)-$A79)*'Cálculos'!$D$98)+1400)+'Cálculos'!$D$123)*'Cálculos'!$D$237)+('Cálculos'!$D$185*(1+'Cálculos'!$D$188+$A79*('Cálculos'!$D$290=1)*'Cálculos'!$D$97+'Cálculos'!$D$305)+'Cálculos'!$D$193)*('Cálculos'!$D$239+'Cálculos'!$D$124*(1+2.78*('Cálculos'!$D$198+(($B$111)-$A79)*'Cálculos'!$D$98)/(('Cálculos'!$D$198+(($B$111)-$A79)*'Cálculos'!$D$98)+1400)+'Cálculos'!$D$122)*'Cálculos'!$D$244+'Cálculos'!$D$125*(1+2.78*('Cálculos'!$D$198+(($B$111)-$A79)*'Cálculos'!$D$98)/(('Cálculos'!$D$198+(($B$111)-$A79)*'Cálculos'!$D$98)+1400)+'Cálculos'!$D$123)*'Cálculos'!$D$249)+('Cálculos'!$D$198+(($B$111)-$A79)*'Cálculos'!$D$98)*('Cálculos'!$D$240+'Cálculos'!$D$124*(1+2.78*('Cálculos'!$D$198+(($B$111)-$A79)*'Cálculos'!$D$98)/(('Cálculos'!$D$198+(($B$111)-$A79)*'Cálculos'!$D$98)+1400)+'Cálculos'!$D$122)*'Cálculos'!$D$245+'Cálculos'!$D$125*(1+2.78*('Cálculos'!$D$198+(($B$111)-$A79)*'Cálculos'!$D$98)/(('Cálculos'!$D$198+(($B$111)-$A79)*'Cálculos'!$D$98)+1400)+'Cálculos'!$D$123)*'Cálculos'!$D$250)+('Cálculos'!$D$201*(1+'Cálculos'!$D$202+$A79*('Cálculos'!$D$290=2)*'Cálculos'!$D$101)+'Cálculos'!$D$203)*('Cálculos'!$D$241+'Cálculos'!$D$124*(1+2.78*('Cálculos'!$D$198+(($B$111)-$A79)*'Cálculos'!$D$98)/(('Cálculos'!$D$198+(($B$111)-$A79)*'Cálculos'!$D$98)+1400)+'Cálculos'!$D$122)*'Cálculos'!$D$246+'Cálculos'!$D$125*(1+2.78*('Cálculos'!$D$198+(($B$111)-$A79)*'Cálculos'!$D$98)/(('Cálculos'!$D$198+(($B$111)-$A79)*'Cálculos'!$D$98)+1400)+'Cálculos'!$D$123)*'Cálculos'!$D$251)+('Cálculos'!$D$204*(1+'Cálculos'!$D$205+$A79*('Cálculos'!$D$290=3)*'Cálculos'!$D$103)+'Cálculos'!$D$206)*('Cálculos'!$D$242+'Cálculos'!$D$124*(1+2.78*('Cálculos'!$D$198+(($B$111)-$A79)*'Cálculos'!$D$98)/(('Cálculos'!$D$198+(($B$111)-$A79)*'Cálculos'!$D$98)+1400)+'Cálculos'!$D$122)*'Cálculos'!$D$247+'Cálculos'!$D$125*(1+2.78*('Cálculos'!$D$198+(($B$111)-$A79)*'Cálculos'!$D$98)/(('Cálculos'!$D$198+(($B$111)-$A79)*'Cálculos'!$D$98)+1400)+'Cálculos'!$D$123)*'Cálculos'!$D$252)+('Cálculos'!$D$185*(1+'Cálculos'!$D$189+$A79*('Cálculos'!$D$290=1)*'Cálculos'!$D$97+'Cálculos'!$D$305)+'Cálculos'!$D$194)*('Cálculos'!$D$254+'Cálculos'!$D$124*(1+2.78*('Cálculos'!$D$199+(($B$111)-$A79)*'Cálculos'!$D$98)/(('Cálculos'!$D$199+(($B$111)-$A79)*'Cálculos'!$D$98)+1400)+'Cálculos'!$D$122)*'Cálculos'!$D$259+'Cálculos'!$D$125*(1+2.78*('Cálculos'!$D$199+(($B$111)-$A79)*'Cálculos'!$D$98)/(('Cálculos'!$D$199+(($B$111)-$A79)*'Cálculos'!$D$98)+1400)+'Cálculos'!$D$123)*'Cálculos'!$D$264)+('Cálculos'!$D$199+(($B$111)-$A79)*'Cálculos'!$D$98)*('Cálculos'!$D$255+'Cálculos'!$D$124*(1+2.78*('Cálculos'!$D$199+(($B$111)-$A79)*'Cálculos'!$D$98)/(('Cálculos'!$D$199+(($B$111)-$A79)*'Cálculos'!$D$98)+1400)+'Cálculos'!$D$122)*'Cálculos'!$D$260+'Cálculos'!$D$125*(1+2.78*('Cálculos'!$D$199+(($B$111)-$A79)*'Cálculos'!$D$98)/(('Cálculos'!$D$199+(($B$111)-$A79)*'Cálculos'!$D$98)+1400)+'Cálculos'!$D$123)*'Cálculos'!$D$265)+('Cálculos'!$D$201*(1+'Cálculos'!$D$202+$A79*('Cálculos'!$D$290=2)*'Cálculos'!$D$101)+'Cálculos'!$D$203)*('Cálculos'!$D$256+'Cálculos'!$D$124*(1+2.78*('Cálculos'!$D$199+(($B$111)-$A79)*'Cálculos'!$D$98)/(('Cálculos'!$D$199+(($B$111)-$A79)*'Cálculos'!$D$98)+1400)+'Cálculos'!$D$122)*'Cálculos'!$D$261+'Cálculos'!$D$125*(1+2.78*('Cálculos'!$D$199+(($B$111)-$A79)*'Cálculos'!$D$98)/(('Cálculos'!$D$199+(($B$111)-$A79)*'Cálculos'!$D$98)+1400)+'Cálculos'!$D$123)*'Cálculos'!$D$266)+('Cálculos'!$D$204*(1+'Cálculos'!$D$205+$A79*('Cálculos'!$D$290=3)*'Cálculos'!$D$103)+'Cálculos'!$D$206)*('Cálculos'!$D$257+'Cálculos'!$D$124*(1+2.78*('Cálculos'!$D$199+(($B$111)-$A79)*'Cálculos'!$D$98)/(('Cálculos'!$D$199+(($B$111)-$A79)*'Cálculos'!$D$98)+1400)+'Cálculos'!$D$122)*'Cálculos'!$D$262+'Cálculos'!$D$125*(1+2.78*('Cálculos'!$D$199+(($B$111)-$A79)*'Cálculos'!$D$98)/(('Cálculos'!$D$199+(($B$111)-$A79)*'Cálculos'!$D$98)+1400)+'Cálculos'!$D$123)*'Cálculos'!$D$267)+('Cálculos'!$D$185*(1+'Cálculos'!$D$190+$A79*('Cálculos'!$D$290=1)*'Cálculos'!$D$97+'Cálculos'!$D$305)+'Cálculos'!$D$195)*('Cálculos'!$D$269+'Cálculos'!$D$124*(1+2.78*('Cálculos'!$D$200+(($B$111)-$A79)*'Cálculos'!$D$98)/(('Cálculos'!$D$200+(($B$111)-$A79)*'Cálculos'!$D$98)+1400)+'Cálculos'!$D$122)*'Cálculos'!$D$274+'Cálculos'!$D$125*(1+2.78*('Cálculos'!$D$200+(($B$111)-$A79)*'Cálculos'!$D$98)/(('Cálculos'!$D$200+(($B$111)-$A79)*'Cálculos'!$D$98)+1400)+'Cálculos'!$D$123)*'Cálculos'!$D$279)+('Cálculos'!$D$200+(($B$111)-$A79)*'Cálculos'!$D$98)*('Cálculos'!$D$270+'Cálculos'!$D$124*(1+2.78*('Cálculos'!$D$200+(($B$111)-$A79)*'Cálculos'!$D$98)/(('Cálculos'!$D$200+(($B$111)-$A79)*'Cálculos'!$D$98)+1400)+'Cálculos'!$D$122)*'Cálculos'!$D$275+'Cálculos'!$D$125*(1+2.78*('Cálculos'!$D$200+(($B$111)-$A79)*'Cálculos'!$D$98)/(('Cálculos'!$D$200+(($B$111)-$A79)*'Cálculos'!$D$98)+1400)+'Cálculos'!$D$123)*'Cálculos'!$D$280)+('Cálculos'!$D$201*(1+'Cálculos'!$D$202+$A79*('Cálculos'!$D$290=2)*'Cálculos'!$D$101)+'Cálculos'!$D$203)*('Cálculos'!$D$271+'Cálculos'!$D$124*(1+2.78*('Cálculos'!$D$200+(($B$111)-$A79)*'Cálculos'!$D$98)/(('Cálculos'!$D$200+(($B$111)-$A79)*'Cálculos'!$D$98)+1400)+'Cálculos'!$D$122)*'Cálculos'!$D$276+'Cálculos'!$D$125*(1+2.78*('Cálculos'!$D$200+(($B$111)-$A79)*'Cálculos'!$D$98)/(('Cálculos'!$D$200+(($B$111)-$A79)*'Cálculos'!$D$98)+1400)+'Cálculos'!$D$123)*'Cálculos'!$D$281)+('Cálculos'!$D$204*(1+'Cálculos'!$D$205+$A79*('Cálculos'!$D$290=3)*'Cálculos'!$D$103)+'Cálculos'!$D$206)*('Cálculos'!$D$272+'Cálculos'!$D$124*(1+2.78*('Cálculos'!$D$200+(($B$111)-$A79)*'Cálculos'!$D$98)/(('Cálculos'!$D$200+(($B$111)-$A79)*'Cálculos'!$D$98)+1400)+'Cálculos'!$D$122)*'Cálculos'!$D$277+'Cálculos'!$D$125*(1+2.78*('Cálculos'!$D$200+(($B$111)-$A79)*'Cálculos'!$D$98)/(('Cálculos'!$D$200+(($B$111)-$A79)*'Cálculos'!$D$98)+1400)+'Cálculos'!$D$123)*'Cálculos'!$D$282)))</f>
        <v>0</v>
      </c>
    </row>
    <row r="80" ht="15.75" customHeight="1">
      <c r="A80" s="2">
        <v>17.0</v>
      </c>
      <c r="B80" s="30">
        <f>SUMPRODUCT(MAX(($A$63:$A$108&lt;=$A80)*($A$63:$A$108&lt;='Cálculos'!$D$294)*(($A80)-$A$63:$A$108&lt;='Cálculos'!$D$295)*(1+(('Cálculos'!$D$207+$A$63:$A$108*'Cálculos'!$D$95)-(('Cálculos'!$D$207+$A$63:$A$108*'Cálculos'!$D$95)&gt;1)*(('Cálculos'!$D$207+$A$63:$A$108*'Cálculos'!$D$95)-1))*('Cálculos'!$D$208+(($A80)-$A$63:$A$108)*'Cálculos'!$D$96))))</f>
        <v>1.627787035</v>
      </c>
      <c r="C80" s="2">
        <f>'Cálculos'!$D$303-$A80</f>
        <v>-6</v>
      </c>
      <c r="D80" s="31">
        <f>IF($C80&lt;0,0,SUMPRODUCT(MAX(($A$63:$A$108&lt;=$C80)*($A$63:$A$108&lt;='Cálculos'!$D$301)*(($C80)-$A$63:$A$108&lt;='Cálculos'!$D$297)*(('Cálculos'!$D$185*(1+'Cálculos'!$D$186+$A$63:$A$108*('Cálculos'!$D$290=1)*'Cálculos'!$D$97+'Cálculos'!$D$305)+'Cálculos'!$D$191)*('Cálculos'!$D$209+'Cálculos'!$D$124*(1+2.78*('Cálculos'!$D$196+(($C80)-$A$63:$A$108)*'Cálculos'!$D$98)/(('Cálculos'!$D$196+(($C80)-$A$63:$A$108)*'Cálculos'!$D$98)+1400)+'Cálculos'!$D$122)*'Cálculos'!$D$214+'Cálculos'!$D$125*(1+2.78*('Cálculos'!$D$196+(($C80)-$A$63:$A$108)*'Cálculos'!$D$98)/(('Cálculos'!$D$196+(($C80)-$A$63:$A$108)*'Cálculos'!$D$98)+1400)+'Cálculos'!$D$123)*'Cálculos'!$D$219)+('Cálculos'!$D$196+(($C80)-$A$63:$A$108)*'Cálculos'!$D$98)*('Cálculos'!$D$210+'Cálculos'!$D$124*(1+2.78*('Cálculos'!$D$196+(($C80)-$A$63:$A$108)*'Cálculos'!$D$98)/(('Cálculos'!$D$196+(($C80)-$A$63:$A$108)*'Cálculos'!$D$98)+1400)+'Cálculos'!$D$122)*'Cálculos'!$D$215+'Cálculos'!$D$125*(1+2.78*('Cálculos'!$D$196+(($C80)-$A$63:$A$108)*'Cálculos'!$D$98)/(('Cálculos'!$D$196+(($C80)-$A$63:$A$108)*'Cálculos'!$D$98)+1400)+'Cálculos'!$D$123)*'Cálculos'!$D$220)+('Cálculos'!$D$201*(1+'Cálculos'!$D$202+$A$63:$A$108*('Cálculos'!$D$290=2)*'Cálculos'!$D$101)+'Cálculos'!$D$203)*('Cálculos'!$D$211+'Cálculos'!$D$124*(1+2.78*('Cálculos'!$D$196+(($C80)-$A$63:$A$108)*'Cálculos'!$D$98)/(('Cálculos'!$D$196+(($C80)-$A$63:$A$108)*'Cálculos'!$D$98)+1400)+'Cálculos'!$D$122)*'Cálculos'!$D$216+'Cálculos'!$D$125*(1+2.78*('Cálculos'!$D$196+(($C80)-$A$63:$A$108)*'Cálculos'!$D$98)/(('Cálculos'!$D$196+(($C80)-$A$63:$A$108)*'Cálculos'!$D$98)+1400)+'Cálculos'!$D$123)*'Cálculos'!$D$221)+('Cálculos'!$D$204*(1+'Cálculos'!$D$205+$A$63:$A$108*('Cálculos'!$D$290=3)*'Cálculos'!$D$103)+'Cálculos'!$D$206)*('Cálculos'!$D$212+'Cálculos'!$D$124*(1+2.78*('Cálculos'!$D$196+(($C80)-$A$63:$A$108)*'Cálculos'!$D$98)/(('Cálculos'!$D$196+(($C80)-$A$63:$A$108)*'Cálculos'!$D$98)+1400)+'Cálculos'!$D$122)*'Cálculos'!$D$217+'Cálculos'!$D$125*(1+2.78*('Cálculos'!$D$196+(($C80)-$A$63:$A$108)*'Cálculos'!$D$98)/(('Cálculos'!$D$196+(($C80)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80)-$A$63:$A$108)*'Cálculos'!$D$98)/(('Cálculos'!$D$197+(($C80)-$A$63:$A$108)*'Cálculos'!$D$98)+1400)+'Cálculos'!$D$122)*'Cálculos'!$D$229+'Cálculos'!$D$125*(1+2.78*('Cálculos'!$D$197+(($C80)-$A$63:$A$108)*'Cálculos'!$D$98)/(('Cálculos'!$D$197+(($C80)-$A$63:$A$108)*'Cálculos'!$D$98)+1400)+'Cálculos'!$D$123)*'Cálculos'!$D$234)+('Cálculos'!$D$197+(($C80)-$A$63:$A$108)*'Cálculos'!$D$98)*('Cálculos'!$D$225+'Cálculos'!$D$124*(1+2.78*('Cálculos'!$D$197+(($C80)-$A$63:$A$108)*'Cálculos'!$D$98)/(('Cálculos'!$D$197+(($C80)-$A$63:$A$108)*'Cálculos'!$D$98)+1400)+'Cálculos'!$D$122)*'Cálculos'!$D$230+'Cálculos'!$D$125*(1+2.78*('Cálculos'!$D$197+(($C80)-$A$63:$A$108)*'Cálculos'!$D$98)/(('Cálculos'!$D$197+(($C80)-$A$63:$A$108)*'Cálculos'!$D$98)+1400)+'Cálculos'!$D$123)*'Cálculos'!$D$235)+('Cálculos'!$D$201*(1+'Cálculos'!$D$202+$A$63:$A$108*('Cálculos'!$D$290=2)*'Cálculos'!$D$101)+'Cálculos'!$D$203)*('Cálculos'!$D$226+'Cálculos'!$D$124*(1+2.78*('Cálculos'!$D$197+(($C80)-$A$63:$A$108)*'Cálculos'!$D$98)/(('Cálculos'!$D$197+(($C80)-$A$63:$A$108)*'Cálculos'!$D$98)+1400)+'Cálculos'!$D$122)*'Cálculos'!$D$231+'Cálculos'!$D$125*(1+2.78*('Cálculos'!$D$197+(($C80)-$A$63:$A$108)*'Cálculos'!$D$98)/(('Cálculos'!$D$197+(($C80)-$A$63:$A$108)*'Cálculos'!$D$98)+1400)+'Cálculos'!$D$123)*'Cálculos'!$D$236)+('Cálculos'!$D$204*(1+'Cálculos'!$D$205+$A$63:$A$108*('Cálculos'!$D$290=3)*'Cálculos'!$D$103)+'Cálculos'!$D$206)*('Cálculos'!$D$227+'Cálculos'!$D$124*(1+2.78*('Cálculos'!$D$197+(($C80)-$A$63:$A$108)*'Cálculos'!$D$98)/(('Cálculos'!$D$197+(($C80)-$A$63:$A$108)*'Cálculos'!$D$98)+1400)+'Cálculos'!$D$122)*'Cálculos'!$D$232+'Cálculos'!$D$125*(1+2.78*('Cálculos'!$D$197+(($C80)-$A$63:$A$108)*'Cálculos'!$D$98)/(('Cálculos'!$D$197+(($C80)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80)-$A$63:$A$108)*'Cálculos'!$D$98)/(('Cálculos'!$D$198+(($C80)-$A$63:$A$108)*'Cálculos'!$D$98)+1400)+'Cálculos'!$D$122)*'Cálculos'!$D$244+'Cálculos'!$D$125*(1+2.78*('Cálculos'!$D$198+(($C80)-$A$63:$A$108)*'Cálculos'!$D$98)/(('Cálculos'!$D$198+(($C80)-$A$63:$A$108)*'Cálculos'!$D$98)+1400)+'Cálculos'!$D$123)*'Cálculos'!$D$249)+('Cálculos'!$D$198+(($C80)-$A$63:$A$108)*'Cálculos'!$D$98)*('Cálculos'!$D$240+'Cálculos'!$D$124*(1+2.78*('Cálculos'!$D$198+(($C80)-$A$63:$A$108)*'Cálculos'!$D$98)/(('Cálculos'!$D$198+(($C80)-$A$63:$A$108)*'Cálculos'!$D$98)+1400)+'Cálculos'!$D$122)*'Cálculos'!$D$245+'Cálculos'!$D$125*(1+2.78*('Cálculos'!$D$198+(($C80)-$A$63:$A$108)*'Cálculos'!$D$98)/(('Cálculos'!$D$198+(($C80)-$A$63:$A$108)*'Cálculos'!$D$98)+1400)+'Cálculos'!$D$123)*'Cálculos'!$D$250)+('Cálculos'!$D$201*(1+'Cálculos'!$D$202+$A$63:$A$108*('Cálculos'!$D$290=2)*'Cálculos'!$D$101)+'Cálculos'!$D$203)*('Cálculos'!$D$241+'Cálculos'!$D$124*(1+2.78*('Cálculos'!$D$198+(($C80)-$A$63:$A$108)*'Cálculos'!$D$98)/(('Cálculos'!$D$198+(($C80)-$A$63:$A$108)*'Cálculos'!$D$98)+1400)+'Cálculos'!$D$122)*'Cálculos'!$D$246+'Cálculos'!$D$125*(1+2.78*('Cálculos'!$D$198+(($C80)-$A$63:$A$108)*'Cálculos'!$D$98)/(('Cálculos'!$D$198+(($C80)-$A$63:$A$108)*'Cálculos'!$D$98)+1400)+'Cálculos'!$D$123)*'Cálculos'!$D$251)+('Cálculos'!$D$204*(1+'Cálculos'!$D$205+$A$63:$A$108*('Cálculos'!$D$290=3)*'Cálculos'!$D$103)+'Cálculos'!$D$206)*('Cálculos'!$D$242+'Cálculos'!$D$124*(1+2.78*('Cálculos'!$D$198+(($C80)-$A$63:$A$108)*'Cálculos'!$D$98)/(('Cálculos'!$D$198+(($C80)-$A$63:$A$108)*'Cálculos'!$D$98)+1400)+'Cálculos'!$D$122)*'Cálculos'!$D$247+'Cálculos'!$D$125*(1+2.78*('Cálculos'!$D$198+(($C80)-$A$63:$A$108)*'Cálculos'!$D$98)/(('Cálculos'!$D$198+(($C80)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80)-$A$63:$A$108)*'Cálculos'!$D$98)/(('Cálculos'!$D$199+(($C80)-$A$63:$A$108)*'Cálculos'!$D$98)+1400)+'Cálculos'!$D$122)*'Cálculos'!$D$259+'Cálculos'!$D$125*(1+2.78*('Cálculos'!$D$199+(($C80)-$A$63:$A$108)*'Cálculos'!$D$98)/(('Cálculos'!$D$199+(($C80)-$A$63:$A$108)*'Cálculos'!$D$98)+1400)+'Cálculos'!$D$123)*'Cálculos'!$D$264)+('Cálculos'!$D$199+(($C80)-$A$63:$A$108)*'Cálculos'!$D$98)*('Cálculos'!$D$255+'Cálculos'!$D$124*(1+2.78*('Cálculos'!$D$199+(($C80)-$A$63:$A$108)*'Cálculos'!$D$98)/(('Cálculos'!$D$199+(($C80)-$A$63:$A$108)*'Cálculos'!$D$98)+1400)+'Cálculos'!$D$122)*'Cálculos'!$D$260+'Cálculos'!$D$125*(1+2.78*('Cálculos'!$D$199+(($C80)-$A$63:$A$108)*'Cálculos'!$D$98)/(('Cálculos'!$D$199+(($C80)-$A$63:$A$108)*'Cálculos'!$D$98)+1400)+'Cálculos'!$D$123)*'Cálculos'!$D$265)+('Cálculos'!$D$201*(1+'Cálculos'!$D$202+$A$63:$A$108*('Cálculos'!$D$290=2)*'Cálculos'!$D$101)+'Cálculos'!$D$203)*('Cálculos'!$D$256+'Cálculos'!$D$124*(1+2.78*('Cálculos'!$D$199+(($C80)-$A$63:$A$108)*'Cálculos'!$D$98)/(('Cálculos'!$D$199+(($C80)-$A$63:$A$108)*'Cálculos'!$D$98)+1400)+'Cálculos'!$D$122)*'Cálculos'!$D$261+'Cálculos'!$D$125*(1+2.78*('Cálculos'!$D$199+(($C80)-$A$63:$A$108)*'Cálculos'!$D$98)/(('Cálculos'!$D$199+(($C80)-$A$63:$A$108)*'Cálculos'!$D$98)+1400)+'Cálculos'!$D$123)*'Cálculos'!$D$266)+('Cálculos'!$D$204*(1+'Cálculos'!$D$205+$A$63:$A$108*('Cálculos'!$D$290=3)*'Cálculos'!$D$103)+'Cálculos'!$D$206)*('Cálculos'!$D$257+'Cálculos'!$D$124*(1+2.78*('Cálculos'!$D$199+(($C80)-$A$63:$A$108)*'Cálculos'!$D$98)/(('Cálculos'!$D$199+(($C80)-$A$63:$A$108)*'Cálculos'!$D$98)+1400)+'Cálculos'!$D$122)*'Cálculos'!$D$262+'Cálculos'!$D$125*(1+2.78*('Cálculos'!$D$199+(($C80)-$A$63:$A$108)*'Cálculos'!$D$98)/(('Cálculos'!$D$199+(($C80)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80)-$A$63:$A$108)*'Cálculos'!$D$98)/(('Cálculos'!$D$200+(($C80)-$A$63:$A$108)*'Cálculos'!$D$98)+1400)+'Cálculos'!$D$122)*'Cálculos'!$D$274+'Cálculos'!$D$125*(1+2.78*('Cálculos'!$D$200+(($C80)-$A$63:$A$108)*'Cálculos'!$D$98)/(('Cálculos'!$D$200+(($C80)-$A$63:$A$108)*'Cálculos'!$D$98)+1400)+'Cálculos'!$D$123)*'Cálculos'!$D$279)+('Cálculos'!$D$200+(($C80)-$A$63:$A$108)*'Cálculos'!$D$98)*('Cálculos'!$D$270+'Cálculos'!$D$124*(1+2.78*('Cálculos'!$D$200+(($C80)-$A$63:$A$108)*'Cálculos'!$D$98)/(('Cálculos'!$D$200+(($C80)-$A$63:$A$108)*'Cálculos'!$D$98)+1400)+'Cálculos'!$D$122)*'Cálculos'!$D$275+'Cálculos'!$D$125*(1+2.78*('Cálculos'!$D$200+(($C80)-$A$63:$A$108)*'Cálculos'!$D$98)/(('Cálculos'!$D$200+(($C80)-$A$63:$A$108)*'Cálculos'!$D$98)+1400)+'Cálculos'!$D$123)*'Cálculos'!$D$280)+('Cálculos'!$D$201*(1+'Cálculos'!$D$202+$A$63:$A$108*('Cálculos'!$D$290=2)*'Cálculos'!$D$101)+'Cálculos'!$D$203)*('Cálculos'!$D$271+'Cálculos'!$D$124*(1+2.78*('Cálculos'!$D$200+(($C80)-$A$63:$A$108)*'Cálculos'!$D$98)/(('Cálculos'!$D$200+(($C80)-$A$63:$A$108)*'Cálculos'!$D$98)+1400)+'Cálculos'!$D$122)*'Cálculos'!$D$276+'Cálculos'!$D$125*(1+2.78*('Cálculos'!$D$200+(($C80)-$A$63:$A$108)*'Cálculos'!$D$98)/(('Cálculos'!$D$200+(($C80)-$A$63:$A$108)*'Cálculos'!$D$98)+1400)+'Cálculos'!$D$123)*'Cálculos'!$D$281)+('Cálculos'!$D$204*(1+'Cálculos'!$D$205+$A$63:$A$108*('Cálculos'!$D$290=3)*'Cálculos'!$D$103)+'Cálculos'!$D$206)*('Cálculos'!$D$272+'Cálculos'!$D$124*(1+2.78*('Cálculos'!$D$200+(($C80)-$A$63:$A$108)*'Cálculos'!$D$98)/(('Cálculos'!$D$200+(($C80)-$A$63:$A$108)*'Cálculos'!$D$98)+1400)+'Cálculos'!$D$122)*'Cálculos'!$D$277+'Cálculos'!$D$125*(1+2.78*('Cálculos'!$D$200+(($C80)-$A$63:$A$108)*'Cálculos'!$D$98)/(('Cálculos'!$D$200+(($C80)-$A$63:$A$108)*'Cálculos'!$D$98)+1400)+'Cálculos'!$D$123)*'Cálculos'!$D$282)))))</f>
        <v>0</v>
      </c>
      <c r="E80" s="32">
        <f>IF(OR($C80&lt;0,'Cálculos'!$D$6=""),0,$B80*$D80)</f>
        <v>0</v>
      </c>
      <c r="F80" s="2"/>
      <c r="G80" s="30">
        <f>($A80&lt;=$B$110)*($A80&lt;='Cálculos'!$D$294)*(($B$110)-$A80&lt;='Cálculos'!$D$295)*(1+MIN(('Cálculos'!$D$207+$A80*'Cálculos'!$D$95),1)*('Cálculos'!$D$208+(($B$110)-$A80)*'Cálculos'!$D$96))</f>
        <v>0</v>
      </c>
      <c r="H80" s="31">
        <f>IF($B$111&lt;0,0,($A80&lt;=$B$111)*($A80&lt;='Cálculos'!$D$301)*(($B$111)-$A80&lt;='Cálculos'!$D$297)*(('Cálculos'!$D$185*(1+'Cálculos'!$D$186+$A80*('Cálculos'!$D$290=1)*'Cálculos'!$D$97+'Cálculos'!$D$305)+'Cálculos'!$D$191)*('Cálculos'!$D$209+'Cálculos'!$D$124*(1+2.78*('Cálculos'!$D$196+(($B$111)-$A80)*'Cálculos'!$D$98)/(('Cálculos'!$D$196+(($B$111)-$A80)*'Cálculos'!$D$98)+1400)+'Cálculos'!$D$122)*'Cálculos'!$D$214+'Cálculos'!$D$125*(1+2.78*('Cálculos'!$D$196+(($B$111)-$A80)*'Cálculos'!$D$98)/(('Cálculos'!$D$196+(($B$111)-$A80)*'Cálculos'!$D$98)+1400)+'Cálculos'!$D$123)*'Cálculos'!$D$219)+('Cálculos'!$D$196+(($B$111)-$A80)*'Cálculos'!$D$98)*('Cálculos'!$D$210+'Cálculos'!$D$124*(1+2.78*('Cálculos'!$D$196+(($B$111)-$A80)*'Cálculos'!$D$98)/(('Cálculos'!$D$196+(($B$111)-$A80)*'Cálculos'!$D$98)+1400)+'Cálculos'!$D$122)*'Cálculos'!$D$215+'Cálculos'!$D$125*(1+2.78*('Cálculos'!$D$196+(($B$111)-$A80)*'Cálculos'!$D$98)/(('Cálculos'!$D$196+(($B$111)-$A80)*'Cálculos'!$D$98)+1400)+'Cálculos'!$D$123)*'Cálculos'!$D$220)+('Cálculos'!$D$201*(1+'Cálculos'!$D$202+$A80*('Cálculos'!$D$290=2)*'Cálculos'!$D$101)+'Cálculos'!$D$203)*('Cálculos'!$D$211+'Cálculos'!$D$124*(1+2.78*('Cálculos'!$D$196+(($B$111)-$A80)*'Cálculos'!$D$98)/(('Cálculos'!$D$196+(($B$111)-$A80)*'Cálculos'!$D$98)+1400)+'Cálculos'!$D$122)*'Cálculos'!$D$216+'Cálculos'!$D$125*(1+2.78*('Cálculos'!$D$196+(($B$111)-$A80)*'Cálculos'!$D$98)/(('Cálculos'!$D$196+(($B$111)-$A80)*'Cálculos'!$D$98)+1400)+'Cálculos'!$D$123)*'Cálculos'!$D$221)+('Cálculos'!$D$204*(1+'Cálculos'!$D$205+$A80*('Cálculos'!$D$290=3)*'Cálculos'!$D$103)+'Cálculos'!$D$206)*('Cálculos'!$D$212+'Cálculos'!$D$124*(1+2.78*('Cálculos'!$D$196+(($B$111)-$A80)*'Cálculos'!$D$98)/(('Cálculos'!$D$196+(($B$111)-$A80)*'Cálculos'!$D$98)+1400)+'Cálculos'!$D$122)*'Cálculos'!$D$217+'Cálculos'!$D$125*(1+2.78*('Cálculos'!$D$196+(($B$111)-$A80)*'Cálculos'!$D$98)/(('Cálculos'!$D$196+(($B$111)-$A80)*'Cálculos'!$D$98)+1400)+'Cálculos'!$D$123)*'Cálculos'!$D$222)+('Cálculos'!$D$185*(1+'Cálculos'!$D$187+$A80*('Cálculos'!$D$290=1)*'Cálculos'!$D$97+'Cálculos'!$D$305)+'Cálculos'!$D$192)*('Cálculos'!$D$224+'Cálculos'!$D$124*(1+2.78*('Cálculos'!$D$197+(($B$111)-$A80)*'Cálculos'!$D$98)/(('Cálculos'!$D$197+(($B$111)-$A80)*'Cálculos'!$D$98)+1400)+'Cálculos'!$D$122)*'Cálculos'!$D$229+'Cálculos'!$D$125*(1+2.78*('Cálculos'!$D$197+(($B$111)-$A80)*'Cálculos'!$D$98)/(('Cálculos'!$D$197+(($B$111)-$A80)*'Cálculos'!$D$98)+1400)+'Cálculos'!$D$123)*'Cálculos'!$D$234)+('Cálculos'!$D$197+(($B$111)-$A80)*'Cálculos'!$D$98)*('Cálculos'!$D$225+'Cálculos'!$D$124*(1+2.78*('Cálculos'!$D$197+(($B$111)-$A80)*'Cálculos'!$D$98)/(('Cálculos'!$D$197+(($B$111)-$A80)*'Cálculos'!$D$98)+1400)+'Cálculos'!$D$122)*'Cálculos'!$D$230+'Cálculos'!$D$125*(1+2.78*('Cálculos'!$D$197+(($B$111)-$A80)*'Cálculos'!$D$98)/(('Cálculos'!$D$197+(($B$111)-$A80)*'Cálculos'!$D$98)+1400)+'Cálculos'!$D$123)*'Cálculos'!$D$235)+('Cálculos'!$D$201*(1+'Cálculos'!$D$202+$A80*('Cálculos'!$D$290=2)*'Cálculos'!$D$101)+'Cálculos'!$D$203)*('Cálculos'!$D$226+'Cálculos'!$D$124*(1+2.78*('Cálculos'!$D$197+(($B$111)-$A80)*'Cálculos'!$D$98)/(('Cálculos'!$D$197+(($B$111)-$A80)*'Cálculos'!$D$98)+1400)+'Cálculos'!$D$122)*'Cálculos'!$D$231+'Cálculos'!$D$125*(1+2.78*('Cálculos'!$D$197+(($B$111)-$A80)*'Cálculos'!$D$98)/(('Cálculos'!$D$197+(($B$111)-$A80)*'Cálculos'!$D$98)+1400)+'Cálculos'!$D$123)*'Cálculos'!$D$236)+('Cálculos'!$D$204*(1+'Cálculos'!$D$205+$A80*('Cálculos'!$D$290=3)*'Cálculos'!$D$103)+'Cálculos'!$D$206)*('Cálculos'!$D$227+'Cálculos'!$D$124*(1+2.78*('Cálculos'!$D$197+(($B$111)-$A80)*'Cálculos'!$D$98)/(('Cálculos'!$D$197+(($B$111)-$A80)*'Cálculos'!$D$98)+1400)+'Cálculos'!$D$122)*'Cálculos'!$D$232+'Cálculos'!$D$125*(1+2.78*('Cálculos'!$D$197+(($B$111)-$A80)*'Cálculos'!$D$98)/(('Cálculos'!$D$197+(($B$111)-$A80)*'Cálculos'!$D$98)+1400)+'Cálculos'!$D$123)*'Cálculos'!$D$237)+('Cálculos'!$D$185*(1+'Cálculos'!$D$188+$A80*('Cálculos'!$D$290=1)*'Cálculos'!$D$97+'Cálculos'!$D$305)+'Cálculos'!$D$193)*('Cálculos'!$D$239+'Cálculos'!$D$124*(1+2.78*('Cálculos'!$D$198+(($B$111)-$A80)*'Cálculos'!$D$98)/(('Cálculos'!$D$198+(($B$111)-$A80)*'Cálculos'!$D$98)+1400)+'Cálculos'!$D$122)*'Cálculos'!$D$244+'Cálculos'!$D$125*(1+2.78*('Cálculos'!$D$198+(($B$111)-$A80)*'Cálculos'!$D$98)/(('Cálculos'!$D$198+(($B$111)-$A80)*'Cálculos'!$D$98)+1400)+'Cálculos'!$D$123)*'Cálculos'!$D$249)+('Cálculos'!$D$198+(($B$111)-$A80)*'Cálculos'!$D$98)*('Cálculos'!$D$240+'Cálculos'!$D$124*(1+2.78*('Cálculos'!$D$198+(($B$111)-$A80)*'Cálculos'!$D$98)/(('Cálculos'!$D$198+(($B$111)-$A80)*'Cálculos'!$D$98)+1400)+'Cálculos'!$D$122)*'Cálculos'!$D$245+'Cálculos'!$D$125*(1+2.78*('Cálculos'!$D$198+(($B$111)-$A80)*'Cálculos'!$D$98)/(('Cálculos'!$D$198+(($B$111)-$A80)*'Cálculos'!$D$98)+1400)+'Cálculos'!$D$123)*'Cálculos'!$D$250)+('Cálculos'!$D$201*(1+'Cálculos'!$D$202+$A80*('Cálculos'!$D$290=2)*'Cálculos'!$D$101)+'Cálculos'!$D$203)*('Cálculos'!$D$241+'Cálculos'!$D$124*(1+2.78*('Cálculos'!$D$198+(($B$111)-$A80)*'Cálculos'!$D$98)/(('Cálculos'!$D$198+(($B$111)-$A80)*'Cálculos'!$D$98)+1400)+'Cálculos'!$D$122)*'Cálculos'!$D$246+'Cálculos'!$D$125*(1+2.78*('Cálculos'!$D$198+(($B$111)-$A80)*'Cálculos'!$D$98)/(('Cálculos'!$D$198+(($B$111)-$A80)*'Cálculos'!$D$98)+1400)+'Cálculos'!$D$123)*'Cálculos'!$D$251)+('Cálculos'!$D$204*(1+'Cálculos'!$D$205+$A80*('Cálculos'!$D$290=3)*'Cálculos'!$D$103)+'Cálculos'!$D$206)*('Cálculos'!$D$242+'Cálculos'!$D$124*(1+2.78*('Cálculos'!$D$198+(($B$111)-$A80)*'Cálculos'!$D$98)/(('Cálculos'!$D$198+(($B$111)-$A80)*'Cálculos'!$D$98)+1400)+'Cálculos'!$D$122)*'Cálculos'!$D$247+'Cálculos'!$D$125*(1+2.78*('Cálculos'!$D$198+(($B$111)-$A80)*'Cálculos'!$D$98)/(('Cálculos'!$D$198+(($B$111)-$A80)*'Cálculos'!$D$98)+1400)+'Cálculos'!$D$123)*'Cálculos'!$D$252)+('Cálculos'!$D$185*(1+'Cálculos'!$D$189+$A80*('Cálculos'!$D$290=1)*'Cálculos'!$D$97+'Cálculos'!$D$305)+'Cálculos'!$D$194)*('Cálculos'!$D$254+'Cálculos'!$D$124*(1+2.78*('Cálculos'!$D$199+(($B$111)-$A80)*'Cálculos'!$D$98)/(('Cálculos'!$D$199+(($B$111)-$A80)*'Cálculos'!$D$98)+1400)+'Cálculos'!$D$122)*'Cálculos'!$D$259+'Cálculos'!$D$125*(1+2.78*('Cálculos'!$D$199+(($B$111)-$A80)*'Cálculos'!$D$98)/(('Cálculos'!$D$199+(($B$111)-$A80)*'Cálculos'!$D$98)+1400)+'Cálculos'!$D$123)*'Cálculos'!$D$264)+('Cálculos'!$D$199+(($B$111)-$A80)*'Cálculos'!$D$98)*('Cálculos'!$D$255+'Cálculos'!$D$124*(1+2.78*('Cálculos'!$D$199+(($B$111)-$A80)*'Cálculos'!$D$98)/(('Cálculos'!$D$199+(($B$111)-$A80)*'Cálculos'!$D$98)+1400)+'Cálculos'!$D$122)*'Cálculos'!$D$260+'Cálculos'!$D$125*(1+2.78*('Cálculos'!$D$199+(($B$111)-$A80)*'Cálculos'!$D$98)/(('Cálculos'!$D$199+(($B$111)-$A80)*'Cálculos'!$D$98)+1400)+'Cálculos'!$D$123)*'Cálculos'!$D$265)+('Cálculos'!$D$201*(1+'Cálculos'!$D$202+$A80*('Cálculos'!$D$290=2)*'Cálculos'!$D$101)+'Cálculos'!$D$203)*('Cálculos'!$D$256+'Cálculos'!$D$124*(1+2.78*('Cálculos'!$D$199+(($B$111)-$A80)*'Cálculos'!$D$98)/(('Cálculos'!$D$199+(($B$111)-$A80)*'Cálculos'!$D$98)+1400)+'Cálculos'!$D$122)*'Cálculos'!$D$261+'Cálculos'!$D$125*(1+2.78*('Cálculos'!$D$199+(($B$111)-$A80)*'Cálculos'!$D$98)/(('Cálculos'!$D$199+(($B$111)-$A80)*'Cálculos'!$D$98)+1400)+'Cálculos'!$D$123)*'Cálculos'!$D$266)+('Cálculos'!$D$204*(1+'Cálculos'!$D$205+$A80*('Cálculos'!$D$290=3)*'Cálculos'!$D$103)+'Cálculos'!$D$206)*('Cálculos'!$D$257+'Cálculos'!$D$124*(1+2.78*('Cálculos'!$D$199+(($B$111)-$A80)*'Cálculos'!$D$98)/(('Cálculos'!$D$199+(($B$111)-$A80)*'Cálculos'!$D$98)+1400)+'Cálculos'!$D$122)*'Cálculos'!$D$262+'Cálculos'!$D$125*(1+2.78*('Cálculos'!$D$199+(($B$111)-$A80)*'Cálculos'!$D$98)/(('Cálculos'!$D$199+(($B$111)-$A80)*'Cálculos'!$D$98)+1400)+'Cálculos'!$D$123)*'Cálculos'!$D$267)+('Cálculos'!$D$185*(1+'Cálculos'!$D$190+$A80*('Cálculos'!$D$290=1)*'Cálculos'!$D$97+'Cálculos'!$D$305)+'Cálculos'!$D$195)*('Cálculos'!$D$269+'Cálculos'!$D$124*(1+2.78*('Cálculos'!$D$200+(($B$111)-$A80)*'Cálculos'!$D$98)/(('Cálculos'!$D$200+(($B$111)-$A80)*'Cálculos'!$D$98)+1400)+'Cálculos'!$D$122)*'Cálculos'!$D$274+'Cálculos'!$D$125*(1+2.78*('Cálculos'!$D$200+(($B$111)-$A80)*'Cálculos'!$D$98)/(('Cálculos'!$D$200+(($B$111)-$A80)*'Cálculos'!$D$98)+1400)+'Cálculos'!$D$123)*'Cálculos'!$D$279)+('Cálculos'!$D$200+(($B$111)-$A80)*'Cálculos'!$D$98)*('Cálculos'!$D$270+'Cálculos'!$D$124*(1+2.78*('Cálculos'!$D$200+(($B$111)-$A80)*'Cálculos'!$D$98)/(('Cálculos'!$D$200+(($B$111)-$A80)*'Cálculos'!$D$98)+1400)+'Cálculos'!$D$122)*'Cálculos'!$D$275+'Cálculos'!$D$125*(1+2.78*('Cálculos'!$D$200+(($B$111)-$A80)*'Cálculos'!$D$98)/(('Cálculos'!$D$200+(($B$111)-$A80)*'Cálculos'!$D$98)+1400)+'Cálculos'!$D$123)*'Cálculos'!$D$280)+('Cálculos'!$D$201*(1+'Cálculos'!$D$202+$A80*('Cálculos'!$D$290=2)*'Cálculos'!$D$101)+'Cálculos'!$D$203)*('Cálculos'!$D$271+'Cálculos'!$D$124*(1+2.78*('Cálculos'!$D$200+(($B$111)-$A80)*'Cálculos'!$D$98)/(('Cálculos'!$D$200+(($B$111)-$A80)*'Cálculos'!$D$98)+1400)+'Cálculos'!$D$122)*'Cálculos'!$D$276+'Cálculos'!$D$125*(1+2.78*('Cálculos'!$D$200+(($B$111)-$A80)*'Cálculos'!$D$98)/(('Cálculos'!$D$200+(($B$111)-$A80)*'Cálculos'!$D$98)+1400)+'Cálculos'!$D$123)*'Cálculos'!$D$281)+('Cálculos'!$D$204*(1+'Cálculos'!$D$205+$A80*('Cálculos'!$D$290=3)*'Cálculos'!$D$103)+'Cálculos'!$D$206)*('Cálculos'!$D$272+'Cálculos'!$D$124*(1+2.78*('Cálculos'!$D$200+(($B$111)-$A80)*'Cálculos'!$D$98)/(('Cálculos'!$D$200+(($B$111)-$A80)*'Cálculos'!$D$98)+1400)+'Cálculos'!$D$122)*'Cálculos'!$D$277+'Cálculos'!$D$125*(1+2.78*('Cálculos'!$D$200+(($B$111)-$A80)*'Cálculos'!$D$98)/(('Cálculos'!$D$200+(($B$111)-$A80)*'Cálculos'!$D$98)+1400)+'Cálculos'!$D$123)*'Cálculos'!$D$282)))</f>
        <v>0</v>
      </c>
    </row>
    <row r="81" ht="15.75" customHeight="1">
      <c r="A81" s="2">
        <v>18.0</v>
      </c>
      <c r="B81" s="30">
        <f>SUMPRODUCT(MAX(($A$63:$A$108&lt;=$A81)*($A$63:$A$108&lt;='Cálculos'!$D$294)*(($A81)-$A$63:$A$108&lt;='Cálculos'!$D$295)*(1+(('Cálculos'!$D$207+$A$63:$A$108*'Cálculos'!$D$95)-(('Cálculos'!$D$207+$A$63:$A$108*'Cálculos'!$D$95)&gt;1)*(('Cálculos'!$D$207+$A$63:$A$108*'Cálculos'!$D$95)-1))*('Cálculos'!$D$208+(($A81)-$A$63:$A$108)*'Cálculos'!$D$96))))</f>
        <v>1.659310672</v>
      </c>
      <c r="C81" s="2">
        <f>'Cálculos'!$D$303-$A81</f>
        <v>-7</v>
      </c>
      <c r="D81" s="31">
        <f>IF($C81&lt;0,0,SUMPRODUCT(MAX(($A$63:$A$108&lt;=$C81)*($A$63:$A$108&lt;='Cálculos'!$D$301)*(($C81)-$A$63:$A$108&lt;='Cálculos'!$D$297)*(('Cálculos'!$D$185*(1+'Cálculos'!$D$186+$A$63:$A$108*('Cálculos'!$D$290=1)*'Cálculos'!$D$97+'Cálculos'!$D$305)+'Cálculos'!$D$191)*('Cálculos'!$D$209+'Cálculos'!$D$124*(1+2.78*('Cálculos'!$D$196+(($C81)-$A$63:$A$108)*'Cálculos'!$D$98)/(('Cálculos'!$D$196+(($C81)-$A$63:$A$108)*'Cálculos'!$D$98)+1400)+'Cálculos'!$D$122)*'Cálculos'!$D$214+'Cálculos'!$D$125*(1+2.78*('Cálculos'!$D$196+(($C81)-$A$63:$A$108)*'Cálculos'!$D$98)/(('Cálculos'!$D$196+(($C81)-$A$63:$A$108)*'Cálculos'!$D$98)+1400)+'Cálculos'!$D$123)*'Cálculos'!$D$219)+('Cálculos'!$D$196+(($C81)-$A$63:$A$108)*'Cálculos'!$D$98)*('Cálculos'!$D$210+'Cálculos'!$D$124*(1+2.78*('Cálculos'!$D$196+(($C81)-$A$63:$A$108)*'Cálculos'!$D$98)/(('Cálculos'!$D$196+(($C81)-$A$63:$A$108)*'Cálculos'!$D$98)+1400)+'Cálculos'!$D$122)*'Cálculos'!$D$215+'Cálculos'!$D$125*(1+2.78*('Cálculos'!$D$196+(($C81)-$A$63:$A$108)*'Cálculos'!$D$98)/(('Cálculos'!$D$196+(($C81)-$A$63:$A$108)*'Cálculos'!$D$98)+1400)+'Cálculos'!$D$123)*'Cálculos'!$D$220)+('Cálculos'!$D$201*(1+'Cálculos'!$D$202+$A$63:$A$108*('Cálculos'!$D$290=2)*'Cálculos'!$D$101)+'Cálculos'!$D$203)*('Cálculos'!$D$211+'Cálculos'!$D$124*(1+2.78*('Cálculos'!$D$196+(($C81)-$A$63:$A$108)*'Cálculos'!$D$98)/(('Cálculos'!$D$196+(($C81)-$A$63:$A$108)*'Cálculos'!$D$98)+1400)+'Cálculos'!$D$122)*'Cálculos'!$D$216+'Cálculos'!$D$125*(1+2.78*('Cálculos'!$D$196+(($C81)-$A$63:$A$108)*'Cálculos'!$D$98)/(('Cálculos'!$D$196+(($C81)-$A$63:$A$108)*'Cálculos'!$D$98)+1400)+'Cálculos'!$D$123)*'Cálculos'!$D$221)+('Cálculos'!$D$204*(1+'Cálculos'!$D$205+$A$63:$A$108*('Cálculos'!$D$290=3)*'Cálculos'!$D$103)+'Cálculos'!$D$206)*('Cálculos'!$D$212+'Cálculos'!$D$124*(1+2.78*('Cálculos'!$D$196+(($C81)-$A$63:$A$108)*'Cálculos'!$D$98)/(('Cálculos'!$D$196+(($C81)-$A$63:$A$108)*'Cálculos'!$D$98)+1400)+'Cálculos'!$D$122)*'Cálculos'!$D$217+'Cálculos'!$D$125*(1+2.78*('Cálculos'!$D$196+(($C81)-$A$63:$A$108)*'Cálculos'!$D$98)/(('Cálculos'!$D$196+(($C81)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81)-$A$63:$A$108)*'Cálculos'!$D$98)/(('Cálculos'!$D$197+(($C81)-$A$63:$A$108)*'Cálculos'!$D$98)+1400)+'Cálculos'!$D$122)*'Cálculos'!$D$229+'Cálculos'!$D$125*(1+2.78*('Cálculos'!$D$197+(($C81)-$A$63:$A$108)*'Cálculos'!$D$98)/(('Cálculos'!$D$197+(($C81)-$A$63:$A$108)*'Cálculos'!$D$98)+1400)+'Cálculos'!$D$123)*'Cálculos'!$D$234)+('Cálculos'!$D$197+(($C81)-$A$63:$A$108)*'Cálculos'!$D$98)*('Cálculos'!$D$225+'Cálculos'!$D$124*(1+2.78*('Cálculos'!$D$197+(($C81)-$A$63:$A$108)*'Cálculos'!$D$98)/(('Cálculos'!$D$197+(($C81)-$A$63:$A$108)*'Cálculos'!$D$98)+1400)+'Cálculos'!$D$122)*'Cálculos'!$D$230+'Cálculos'!$D$125*(1+2.78*('Cálculos'!$D$197+(($C81)-$A$63:$A$108)*'Cálculos'!$D$98)/(('Cálculos'!$D$197+(($C81)-$A$63:$A$108)*'Cálculos'!$D$98)+1400)+'Cálculos'!$D$123)*'Cálculos'!$D$235)+('Cálculos'!$D$201*(1+'Cálculos'!$D$202+$A$63:$A$108*('Cálculos'!$D$290=2)*'Cálculos'!$D$101)+'Cálculos'!$D$203)*('Cálculos'!$D$226+'Cálculos'!$D$124*(1+2.78*('Cálculos'!$D$197+(($C81)-$A$63:$A$108)*'Cálculos'!$D$98)/(('Cálculos'!$D$197+(($C81)-$A$63:$A$108)*'Cálculos'!$D$98)+1400)+'Cálculos'!$D$122)*'Cálculos'!$D$231+'Cálculos'!$D$125*(1+2.78*('Cálculos'!$D$197+(($C81)-$A$63:$A$108)*'Cálculos'!$D$98)/(('Cálculos'!$D$197+(($C81)-$A$63:$A$108)*'Cálculos'!$D$98)+1400)+'Cálculos'!$D$123)*'Cálculos'!$D$236)+('Cálculos'!$D$204*(1+'Cálculos'!$D$205+$A$63:$A$108*('Cálculos'!$D$290=3)*'Cálculos'!$D$103)+'Cálculos'!$D$206)*('Cálculos'!$D$227+'Cálculos'!$D$124*(1+2.78*('Cálculos'!$D$197+(($C81)-$A$63:$A$108)*'Cálculos'!$D$98)/(('Cálculos'!$D$197+(($C81)-$A$63:$A$108)*'Cálculos'!$D$98)+1400)+'Cálculos'!$D$122)*'Cálculos'!$D$232+'Cálculos'!$D$125*(1+2.78*('Cálculos'!$D$197+(($C81)-$A$63:$A$108)*'Cálculos'!$D$98)/(('Cálculos'!$D$197+(($C81)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81)-$A$63:$A$108)*'Cálculos'!$D$98)/(('Cálculos'!$D$198+(($C81)-$A$63:$A$108)*'Cálculos'!$D$98)+1400)+'Cálculos'!$D$122)*'Cálculos'!$D$244+'Cálculos'!$D$125*(1+2.78*('Cálculos'!$D$198+(($C81)-$A$63:$A$108)*'Cálculos'!$D$98)/(('Cálculos'!$D$198+(($C81)-$A$63:$A$108)*'Cálculos'!$D$98)+1400)+'Cálculos'!$D$123)*'Cálculos'!$D$249)+('Cálculos'!$D$198+(($C81)-$A$63:$A$108)*'Cálculos'!$D$98)*('Cálculos'!$D$240+'Cálculos'!$D$124*(1+2.78*('Cálculos'!$D$198+(($C81)-$A$63:$A$108)*'Cálculos'!$D$98)/(('Cálculos'!$D$198+(($C81)-$A$63:$A$108)*'Cálculos'!$D$98)+1400)+'Cálculos'!$D$122)*'Cálculos'!$D$245+'Cálculos'!$D$125*(1+2.78*('Cálculos'!$D$198+(($C81)-$A$63:$A$108)*'Cálculos'!$D$98)/(('Cálculos'!$D$198+(($C81)-$A$63:$A$108)*'Cálculos'!$D$98)+1400)+'Cálculos'!$D$123)*'Cálculos'!$D$250)+('Cálculos'!$D$201*(1+'Cálculos'!$D$202+$A$63:$A$108*('Cálculos'!$D$290=2)*'Cálculos'!$D$101)+'Cálculos'!$D$203)*('Cálculos'!$D$241+'Cálculos'!$D$124*(1+2.78*('Cálculos'!$D$198+(($C81)-$A$63:$A$108)*'Cálculos'!$D$98)/(('Cálculos'!$D$198+(($C81)-$A$63:$A$108)*'Cálculos'!$D$98)+1400)+'Cálculos'!$D$122)*'Cálculos'!$D$246+'Cálculos'!$D$125*(1+2.78*('Cálculos'!$D$198+(($C81)-$A$63:$A$108)*'Cálculos'!$D$98)/(('Cálculos'!$D$198+(($C81)-$A$63:$A$108)*'Cálculos'!$D$98)+1400)+'Cálculos'!$D$123)*'Cálculos'!$D$251)+('Cálculos'!$D$204*(1+'Cálculos'!$D$205+$A$63:$A$108*('Cálculos'!$D$290=3)*'Cálculos'!$D$103)+'Cálculos'!$D$206)*('Cálculos'!$D$242+'Cálculos'!$D$124*(1+2.78*('Cálculos'!$D$198+(($C81)-$A$63:$A$108)*'Cálculos'!$D$98)/(('Cálculos'!$D$198+(($C81)-$A$63:$A$108)*'Cálculos'!$D$98)+1400)+'Cálculos'!$D$122)*'Cálculos'!$D$247+'Cálculos'!$D$125*(1+2.78*('Cálculos'!$D$198+(($C81)-$A$63:$A$108)*'Cálculos'!$D$98)/(('Cálculos'!$D$198+(($C81)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81)-$A$63:$A$108)*'Cálculos'!$D$98)/(('Cálculos'!$D$199+(($C81)-$A$63:$A$108)*'Cálculos'!$D$98)+1400)+'Cálculos'!$D$122)*'Cálculos'!$D$259+'Cálculos'!$D$125*(1+2.78*('Cálculos'!$D$199+(($C81)-$A$63:$A$108)*'Cálculos'!$D$98)/(('Cálculos'!$D$199+(($C81)-$A$63:$A$108)*'Cálculos'!$D$98)+1400)+'Cálculos'!$D$123)*'Cálculos'!$D$264)+('Cálculos'!$D$199+(($C81)-$A$63:$A$108)*'Cálculos'!$D$98)*('Cálculos'!$D$255+'Cálculos'!$D$124*(1+2.78*('Cálculos'!$D$199+(($C81)-$A$63:$A$108)*'Cálculos'!$D$98)/(('Cálculos'!$D$199+(($C81)-$A$63:$A$108)*'Cálculos'!$D$98)+1400)+'Cálculos'!$D$122)*'Cálculos'!$D$260+'Cálculos'!$D$125*(1+2.78*('Cálculos'!$D$199+(($C81)-$A$63:$A$108)*'Cálculos'!$D$98)/(('Cálculos'!$D$199+(($C81)-$A$63:$A$108)*'Cálculos'!$D$98)+1400)+'Cálculos'!$D$123)*'Cálculos'!$D$265)+('Cálculos'!$D$201*(1+'Cálculos'!$D$202+$A$63:$A$108*('Cálculos'!$D$290=2)*'Cálculos'!$D$101)+'Cálculos'!$D$203)*('Cálculos'!$D$256+'Cálculos'!$D$124*(1+2.78*('Cálculos'!$D$199+(($C81)-$A$63:$A$108)*'Cálculos'!$D$98)/(('Cálculos'!$D$199+(($C81)-$A$63:$A$108)*'Cálculos'!$D$98)+1400)+'Cálculos'!$D$122)*'Cálculos'!$D$261+'Cálculos'!$D$125*(1+2.78*('Cálculos'!$D$199+(($C81)-$A$63:$A$108)*'Cálculos'!$D$98)/(('Cálculos'!$D$199+(($C81)-$A$63:$A$108)*'Cálculos'!$D$98)+1400)+'Cálculos'!$D$123)*'Cálculos'!$D$266)+('Cálculos'!$D$204*(1+'Cálculos'!$D$205+$A$63:$A$108*('Cálculos'!$D$290=3)*'Cálculos'!$D$103)+'Cálculos'!$D$206)*('Cálculos'!$D$257+'Cálculos'!$D$124*(1+2.78*('Cálculos'!$D$199+(($C81)-$A$63:$A$108)*'Cálculos'!$D$98)/(('Cálculos'!$D$199+(($C81)-$A$63:$A$108)*'Cálculos'!$D$98)+1400)+'Cálculos'!$D$122)*'Cálculos'!$D$262+'Cálculos'!$D$125*(1+2.78*('Cálculos'!$D$199+(($C81)-$A$63:$A$108)*'Cálculos'!$D$98)/(('Cálculos'!$D$199+(($C81)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81)-$A$63:$A$108)*'Cálculos'!$D$98)/(('Cálculos'!$D$200+(($C81)-$A$63:$A$108)*'Cálculos'!$D$98)+1400)+'Cálculos'!$D$122)*'Cálculos'!$D$274+'Cálculos'!$D$125*(1+2.78*('Cálculos'!$D$200+(($C81)-$A$63:$A$108)*'Cálculos'!$D$98)/(('Cálculos'!$D$200+(($C81)-$A$63:$A$108)*'Cálculos'!$D$98)+1400)+'Cálculos'!$D$123)*'Cálculos'!$D$279)+('Cálculos'!$D$200+(($C81)-$A$63:$A$108)*'Cálculos'!$D$98)*('Cálculos'!$D$270+'Cálculos'!$D$124*(1+2.78*('Cálculos'!$D$200+(($C81)-$A$63:$A$108)*'Cálculos'!$D$98)/(('Cálculos'!$D$200+(($C81)-$A$63:$A$108)*'Cálculos'!$D$98)+1400)+'Cálculos'!$D$122)*'Cálculos'!$D$275+'Cálculos'!$D$125*(1+2.78*('Cálculos'!$D$200+(($C81)-$A$63:$A$108)*'Cálculos'!$D$98)/(('Cálculos'!$D$200+(($C81)-$A$63:$A$108)*'Cálculos'!$D$98)+1400)+'Cálculos'!$D$123)*'Cálculos'!$D$280)+('Cálculos'!$D$201*(1+'Cálculos'!$D$202+$A$63:$A$108*('Cálculos'!$D$290=2)*'Cálculos'!$D$101)+'Cálculos'!$D$203)*('Cálculos'!$D$271+'Cálculos'!$D$124*(1+2.78*('Cálculos'!$D$200+(($C81)-$A$63:$A$108)*'Cálculos'!$D$98)/(('Cálculos'!$D$200+(($C81)-$A$63:$A$108)*'Cálculos'!$D$98)+1400)+'Cálculos'!$D$122)*'Cálculos'!$D$276+'Cálculos'!$D$125*(1+2.78*('Cálculos'!$D$200+(($C81)-$A$63:$A$108)*'Cálculos'!$D$98)/(('Cálculos'!$D$200+(($C81)-$A$63:$A$108)*'Cálculos'!$D$98)+1400)+'Cálculos'!$D$123)*'Cálculos'!$D$281)+('Cálculos'!$D$204*(1+'Cálculos'!$D$205+$A$63:$A$108*('Cálculos'!$D$290=3)*'Cálculos'!$D$103)+'Cálculos'!$D$206)*('Cálculos'!$D$272+'Cálculos'!$D$124*(1+2.78*('Cálculos'!$D$200+(($C81)-$A$63:$A$108)*'Cálculos'!$D$98)/(('Cálculos'!$D$200+(($C81)-$A$63:$A$108)*'Cálculos'!$D$98)+1400)+'Cálculos'!$D$122)*'Cálculos'!$D$277+'Cálculos'!$D$125*(1+2.78*('Cálculos'!$D$200+(($C81)-$A$63:$A$108)*'Cálculos'!$D$98)/(('Cálculos'!$D$200+(($C81)-$A$63:$A$108)*'Cálculos'!$D$98)+1400)+'Cálculos'!$D$123)*'Cálculos'!$D$282)))))</f>
        <v>0</v>
      </c>
      <c r="E81" s="32">
        <f>IF(OR($C81&lt;0,'Cálculos'!$D$6=""),0,$B81*$D81)</f>
        <v>0</v>
      </c>
      <c r="F81" s="2"/>
      <c r="G81" s="30">
        <f>($A81&lt;=$B$110)*($A81&lt;='Cálculos'!$D$294)*(($B$110)-$A81&lt;='Cálculos'!$D$295)*(1+MIN(('Cálculos'!$D$207+$A81*'Cálculos'!$D$95),1)*('Cálculos'!$D$208+(($B$110)-$A81)*'Cálculos'!$D$96))</f>
        <v>0</v>
      </c>
      <c r="H81" s="31">
        <f>IF($B$111&lt;0,0,($A81&lt;=$B$111)*($A81&lt;='Cálculos'!$D$301)*(($B$111)-$A81&lt;='Cálculos'!$D$297)*(('Cálculos'!$D$185*(1+'Cálculos'!$D$186+$A81*('Cálculos'!$D$290=1)*'Cálculos'!$D$97+'Cálculos'!$D$305)+'Cálculos'!$D$191)*('Cálculos'!$D$209+'Cálculos'!$D$124*(1+2.78*('Cálculos'!$D$196+(($B$111)-$A81)*'Cálculos'!$D$98)/(('Cálculos'!$D$196+(($B$111)-$A81)*'Cálculos'!$D$98)+1400)+'Cálculos'!$D$122)*'Cálculos'!$D$214+'Cálculos'!$D$125*(1+2.78*('Cálculos'!$D$196+(($B$111)-$A81)*'Cálculos'!$D$98)/(('Cálculos'!$D$196+(($B$111)-$A81)*'Cálculos'!$D$98)+1400)+'Cálculos'!$D$123)*'Cálculos'!$D$219)+('Cálculos'!$D$196+(($B$111)-$A81)*'Cálculos'!$D$98)*('Cálculos'!$D$210+'Cálculos'!$D$124*(1+2.78*('Cálculos'!$D$196+(($B$111)-$A81)*'Cálculos'!$D$98)/(('Cálculos'!$D$196+(($B$111)-$A81)*'Cálculos'!$D$98)+1400)+'Cálculos'!$D$122)*'Cálculos'!$D$215+'Cálculos'!$D$125*(1+2.78*('Cálculos'!$D$196+(($B$111)-$A81)*'Cálculos'!$D$98)/(('Cálculos'!$D$196+(($B$111)-$A81)*'Cálculos'!$D$98)+1400)+'Cálculos'!$D$123)*'Cálculos'!$D$220)+('Cálculos'!$D$201*(1+'Cálculos'!$D$202+$A81*('Cálculos'!$D$290=2)*'Cálculos'!$D$101)+'Cálculos'!$D$203)*('Cálculos'!$D$211+'Cálculos'!$D$124*(1+2.78*('Cálculos'!$D$196+(($B$111)-$A81)*'Cálculos'!$D$98)/(('Cálculos'!$D$196+(($B$111)-$A81)*'Cálculos'!$D$98)+1400)+'Cálculos'!$D$122)*'Cálculos'!$D$216+'Cálculos'!$D$125*(1+2.78*('Cálculos'!$D$196+(($B$111)-$A81)*'Cálculos'!$D$98)/(('Cálculos'!$D$196+(($B$111)-$A81)*'Cálculos'!$D$98)+1400)+'Cálculos'!$D$123)*'Cálculos'!$D$221)+('Cálculos'!$D$204*(1+'Cálculos'!$D$205+$A81*('Cálculos'!$D$290=3)*'Cálculos'!$D$103)+'Cálculos'!$D$206)*('Cálculos'!$D$212+'Cálculos'!$D$124*(1+2.78*('Cálculos'!$D$196+(($B$111)-$A81)*'Cálculos'!$D$98)/(('Cálculos'!$D$196+(($B$111)-$A81)*'Cálculos'!$D$98)+1400)+'Cálculos'!$D$122)*'Cálculos'!$D$217+'Cálculos'!$D$125*(1+2.78*('Cálculos'!$D$196+(($B$111)-$A81)*'Cálculos'!$D$98)/(('Cálculos'!$D$196+(($B$111)-$A81)*'Cálculos'!$D$98)+1400)+'Cálculos'!$D$123)*'Cálculos'!$D$222)+('Cálculos'!$D$185*(1+'Cálculos'!$D$187+$A81*('Cálculos'!$D$290=1)*'Cálculos'!$D$97+'Cálculos'!$D$305)+'Cálculos'!$D$192)*('Cálculos'!$D$224+'Cálculos'!$D$124*(1+2.78*('Cálculos'!$D$197+(($B$111)-$A81)*'Cálculos'!$D$98)/(('Cálculos'!$D$197+(($B$111)-$A81)*'Cálculos'!$D$98)+1400)+'Cálculos'!$D$122)*'Cálculos'!$D$229+'Cálculos'!$D$125*(1+2.78*('Cálculos'!$D$197+(($B$111)-$A81)*'Cálculos'!$D$98)/(('Cálculos'!$D$197+(($B$111)-$A81)*'Cálculos'!$D$98)+1400)+'Cálculos'!$D$123)*'Cálculos'!$D$234)+('Cálculos'!$D$197+(($B$111)-$A81)*'Cálculos'!$D$98)*('Cálculos'!$D$225+'Cálculos'!$D$124*(1+2.78*('Cálculos'!$D$197+(($B$111)-$A81)*'Cálculos'!$D$98)/(('Cálculos'!$D$197+(($B$111)-$A81)*'Cálculos'!$D$98)+1400)+'Cálculos'!$D$122)*'Cálculos'!$D$230+'Cálculos'!$D$125*(1+2.78*('Cálculos'!$D$197+(($B$111)-$A81)*'Cálculos'!$D$98)/(('Cálculos'!$D$197+(($B$111)-$A81)*'Cálculos'!$D$98)+1400)+'Cálculos'!$D$123)*'Cálculos'!$D$235)+('Cálculos'!$D$201*(1+'Cálculos'!$D$202+$A81*('Cálculos'!$D$290=2)*'Cálculos'!$D$101)+'Cálculos'!$D$203)*('Cálculos'!$D$226+'Cálculos'!$D$124*(1+2.78*('Cálculos'!$D$197+(($B$111)-$A81)*'Cálculos'!$D$98)/(('Cálculos'!$D$197+(($B$111)-$A81)*'Cálculos'!$D$98)+1400)+'Cálculos'!$D$122)*'Cálculos'!$D$231+'Cálculos'!$D$125*(1+2.78*('Cálculos'!$D$197+(($B$111)-$A81)*'Cálculos'!$D$98)/(('Cálculos'!$D$197+(($B$111)-$A81)*'Cálculos'!$D$98)+1400)+'Cálculos'!$D$123)*'Cálculos'!$D$236)+('Cálculos'!$D$204*(1+'Cálculos'!$D$205+$A81*('Cálculos'!$D$290=3)*'Cálculos'!$D$103)+'Cálculos'!$D$206)*('Cálculos'!$D$227+'Cálculos'!$D$124*(1+2.78*('Cálculos'!$D$197+(($B$111)-$A81)*'Cálculos'!$D$98)/(('Cálculos'!$D$197+(($B$111)-$A81)*'Cálculos'!$D$98)+1400)+'Cálculos'!$D$122)*'Cálculos'!$D$232+'Cálculos'!$D$125*(1+2.78*('Cálculos'!$D$197+(($B$111)-$A81)*'Cálculos'!$D$98)/(('Cálculos'!$D$197+(($B$111)-$A81)*'Cálculos'!$D$98)+1400)+'Cálculos'!$D$123)*'Cálculos'!$D$237)+('Cálculos'!$D$185*(1+'Cálculos'!$D$188+$A81*('Cálculos'!$D$290=1)*'Cálculos'!$D$97+'Cálculos'!$D$305)+'Cálculos'!$D$193)*('Cálculos'!$D$239+'Cálculos'!$D$124*(1+2.78*('Cálculos'!$D$198+(($B$111)-$A81)*'Cálculos'!$D$98)/(('Cálculos'!$D$198+(($B$111)-$A81)*'Cálculos'!$D$98)+1400)+'Cálculos'!$D$122)*'Cálculos'!$D$244+'Cálculos'!$D$125*(1+2.78*('Cálculos'!$D$198+(($B$111)-$A81)*'Cálculos'!$D$98)/(('Cálculos'!$D$198+(($B$111)-$A81)*'Cálculos'!$D$98)+1400)+'Cálculos'!$D$123)*'Cálculos'!$D$249)+('Cálculos'!$D$198+(($B$111)-$A81)*'Cálculos'!$D$98)*('Cálculos'!$D$240+'Cálculos'!$D$124*(1+2.78*('Cálculos'!$D$198+(($B$111)-$A81)*'Cálculos'!$D$98)/(('Cálculos'!$D$198+(($B$111)-$A81)*'Cálculos'!$D$98)+1400)+'Cálculos'!$D$122)*'Cálculos'!$D$245+'Cálculos'!$D$125*(1+2.78*('Cálculos'!$D$198+(($B$111)-$A81)*'Cálculos'!$D$98)/(('Cálculos'!$D$198+(($B$111)-$A81)*'Cálculos'!$D$98)+1400)+'Cálculos'!$D$123)*'Cálculos'!$D$250)+('Cálculos'!$D$201*(1+'Cálculos'!$D$202+$A81*('Cálculos'!$D$290=2)*'Cálculos'!$D$101)+'Cálculos'!$D$203)*('Cálculos'!$D$241+'Cálculos'!$D$124*(1+2.78*('Cálculos'!$D$198+(($B$111)-$A81)*'Cálculos'!$D$98)/(('Cálculos'!$D$198+(($B$111)-$A81)*'Cálculos'!$D$98)+1400)+'Cálculos'!$D$122)*'Cálculos'!$D$246+'Cálculos'!$D$125*(1+2.78*('Cálculos'!$D$198+(($B$111)-$A81)*'Cálculos'!$D$98)/(('Cálculos'!$D$198+(($B$111)-$A81)*'Cálculos'!$D$98)+1400)+'Cálculos'!$D$123)*'Cálculos'!$D$251)+('Cálculos'!$D$204*(1+'Cálculos'!$D$205+$A81*('Cálculos'!$D$290=3)*'Cálculos'!$D$103)+'Cálculos'!$D$206)*('Cálculos'!$D$242+'Cálculos'!$D$124*(1+2.78*('Cálculos'!$D$198+(($B$111)-$A81)*'Cálculos'!$D$98)/(('Cálculos'!$D$198+(($B$111)-$A81)*'Cálculos'!$D$98)+1400)+'Cálculos'!$D$122)*'Cálculos'!$D$247+'Cálculos'!$D$125*(1+2.78*('Cálculos'!$D$198+(($B$111)-$A81)*'Cálculos'!$D$98)/(('Cálculos'!$D$198+(($B$111)-$A81)*'Cálculos'!$D$98)+1400)+'Cálculos'!$D$123)*'Cálculos'!$D$252)+('Cálculos'!$D$185*(1+'Cálculos'!$D$189+$A81*('Cálculos'!$D$290=1)*'Cálculos'!$D$97+'Cálculos'!$D$305)+'Cálculos'!$D$194)*('Cálculos'!$D$254+'Cálculos'!$D$124*(1+2.78*('Cálculos'!$D$199+(($B$111)-$A81)*'Cálculos'!$D$98)/(('Cálculos'!$D$199+(($B$111)-$A81)*'Cálculos'!$D$98)+1400)+'Cálculos'!$D$122)*'Cálculos'!$D$259+'Cálculos'!$D$125*(1+2.78*('Cálculos'!$D$199+(($B$111)-$A81)*'Cálculos'!$D$98)/(('Cálculos'!$D$199+(($B$111)-$A81)*'Cálculos'!$D$98)+1400)+'Cálculos'!$D$123)*'Cálculos'!$D$264)+('Cálculos'!$D$199+(($B$111)-$A81)*'Cálculos'!$D$98)*('Cálculos'!$D$255+'Cálculos'!$D$124*(1+2.78*('Cálculos'!$D$199+(($B$111)-$A81)*'Cálculos'!$D$98)/(('Cálculos'!$D$199+(($B$111)-$A81)*'Cálculos'!$D$98)+1400)+'Cálculos'!$D$122)*'Cálculos'!$D$260+'Cálculos'!$D$125*(1+2.78*('Cálculos'!$D$199+(($B$111)-$A81)*'Cálculos'!$D$98)/(('Cálculos'!$D$199+(($B$111)-$A81)*'Cálculos'!$D$98)+1400)+'Cálculos'!$D$123)*'Cálculos'!$D$265)+('Cálculos'!$D$201*(1+'Cálculos'!$D$202+$A81*('Cálculos'!$D$290=2)*'Cálculos'!$D$101)+'Cálculos'!$D$203)*('Cálculos'!$D$256+'Cálculos'!$D$124*(1+2.78*('Cálculos'!$D$199+(($B$111)-$A81)*'Cálculos'!$D$98)/(('Cálculos'!$D$199+(($B$111)-$A81)*'Cálculos'!$D$98)+1400)+'Cálculos'!$D$122)*'Cálculos'!$D$261+'Cálculos'!$D$125*(1+2.78*('Cálculos'!$D$199+(($B$111)-$A81)*'Cálculos'!$D$98)/(('Cálculos'!$D$199+(($B$111)-$A81)*'Cálculos'!$D$98)+1400)+'Cálculos'!$D$123)*'Cálculos'!$D$266)+('Cálculos'!$D$204*(1+'Cálculos'!$D$205+$A81*('Cálculos'!$D$290=3)*'Cálculos'!$D$103)+'Cálculos'!$D$206)*('Cálculos'!$D$257+'Cálculos'!$D$124*(1+2.78*('Cálculos'!$D$199+(($B$111)-$A81)*'Cálculos'!$D$98)/(('Cálculos'!$D$199+(($B$111)-$A81)*'Cálculos'!$D$98)+1400)+'Cálculos'!$D$122)*'Cálculos'!$D$262+'Cálculos'!$D$125*(1+2.78*('Cálculos'!$D$199+(($B$111)-$A81)*'Cálculos'!$D$98)/(('Cálculos'!$D$199+(($B$111)-$A81)*'Cálculos'!$D$98)+1400)+'Cálculos'!$D$123)*'Cálculos'!$D$267)+('Cálculos'!$D$185*(1+'Cálculos'!$D$190+$A81*('Cálculos'!$D$290=1)*'Cálculos'!$D$97+'Cálculos'!$D$305)+'Cálculos'!$D$195)*('Cálculos'!$D$269+'Cálculos'!$D$124*(1+2.78*('Cálculos'!$D$200+(($B$111)-$A81)*'Cálculos'!$D$98)/(('Cálculos'!$D$200+(($B$111)-$A81)*'Cálculos'!$D$98)+1400)+'Cálculos'!$D$122)*'Cálculos'!$D$274+'Cálculos'!$D$125*(1+2.78*('Cálculos'!$D$200+(($B$111)-$A81)*'Cálculos'!$D$98)/(('Cálculos'!$D$200+(($B$111)-$A81)*'Cálculos'!$D$98)+1400)+'Cálculos'!$D$123)*'Cálculos'!$D$279)+('Cálculos'!$D$200+(($B$111)-$A81)*'Cálculos'!$D$98)*('Cálculos'!$D$270+'Cálculos'!$D$124*(1+2.78*('Cálculos'!$D$200+(($B$111)-$A81)*'Cálculos'!$D$98)/(('Cálculos'!$D$200+(($B$111)-$A81)*'Cálculos'!$D$98)+1400)+'Cálculos'!$D$122)*'Cálculos'!$D$275+'Cálculos'!$D$125*(1+2.78*('Cálculos'!$D$200+(($B$111)-$A81)*'Cálculos'!$D$98)/(('Cálculos'!$D$200+(($B$111)-$A81)*'Cálculos'!$D$98)+1400)+'Cálculos'!$D$123)*'Cálculos'!$D$280)+('Cálculos'!$D$201*(1+'Cálculos'!$D$202+$A81*('Cálculos'!$D$290=2)*'Cálculos'!$D$101)+'Cálculos'!$D$203)*('Cálculos'!$D$271+'Cálculos'!$D$124*(1+2.78*('Cálculos'!$D$200+(($B$111)-$A81)*'Cálculos'!$D$98)/(('Cálculos'!$D$200+(($B$111)-$A81)*'Cálculos'!$D$98)+1400)+'Cálculos'!$D$122)*'Cálculos'!$D$276+'Cálculos'!$D$125*(1+2.78*('Cálculos'!$D$200+(($B$111)-$A81)*'Cálculos'!$D$98)/(('Cálculos'!$D$200+(($B$111)-$A81)*'Cálculos'!$D$98)+1400)+'Cálculos'!$D$123)*'Cálculos'!$D$281)+('Cálculos'!$D$204*(1+'Cálculos'!$D$205+$A81*('Cálculos'!$D$290=3)*'Cálculos'!$D$103)+'Cálculos'!$D$206)*('Cálculos'!$D$272+'Cálculos'!$D$124*(1+2.78*('Cálculos'!$D$200+(($B$111)-$A81)*'Cálculos'!$D$98)/(('Cálculos'!$D$200+(($B$111)-$A81)*'Cálculos'!$D$98)+1400)+'Cálculos'!$D$122)*'Cálculos'!$D$277+'Cálculos'!$D$125*(1+2.78*('Cálculos'!$D$200+(($B$111)-$A81)*'Cálculos'!$D$98)/(('Cálculos'!$D$200+(($B$111)-$A81)*'Cálculos'!$D$98)+1400)+'Cálculos'!$D$123)*'Cálculos'!$D$282)))</f>
        <v>0</v>
      </c>
    </row>
    <row r="82" ht="15.75" customHeight="1">
      <c r="A82" s="2">
        <v>19.0</v>
      </c>
      <c r="B82" s="30">
        <f>SUMPRODUCT(MAX(($A$63:$A$108&lt;=$A82)*($A$63:$A$108&lt;='Cálculos'!$D$294)*(($A82)-$A$63:$A$108&lt;='Cálculos'!$D$295)*(1+(('Cálculos'!$D$207+$A$63:$A$108*'Cálculos'!$D$95)-(('Cálculos'!$D$207+$A$63:$A$108*'Cálculos'!$D$95)&gt;1)*(('Cálculos'!$D$207+$A$63:$A$108*'Cálculos'!$D$95)-1))*('Cálculos'!$D$208+(($A82)-$A$63:$A$108)*'Cálculos'!$D$96))))</f>
        <v>1.692162073</v>
      </c>
      <c r="C82" s="2">
        <f>'Cálculos'!$D$303-$A82</f>
        <v>-8</v>
      </c>
      <c r="D82" s="31">
        <f>IF($C82&lt;0,0,SUMPRODUCT(MAX(($A$63:$A$108&lt;=$C82)*($A$63:$A$108&lt;='Cálculos'!$D$301)*(($C82)-$A$63:$A$108&lt;='Cálculos'!$D$297)*(('Cálculos'!$D$185*(1+'Cálculos'!$D$186+$A$63:$A$108*('Cálculos'!$D$290=1)*'Cálculos'!$D$97+'Cálculos'!$D$305)+'Cálculos'!$D$191)*('Cálculos'!$D$209+'Cálculos'!$D$124*(1+2.78*('Cálculos'!$D$196+(($C82)-$A$63:$A$108)*'Cálculos'!$D$98)/(('Cálculos'!$D$196+(($C82)-$A$63:$A$108)*'Cálculos'!$D$98)+1400)+'Cálculos'!$D$122)*'Cálculos'!$D$214+'Cálculos'!$D$125*(1+2.78*('Cálculos'!$D$196+(($C82)-$A$63:$A$108)*'Cálculos'!$D$98)/(('Cálculos'!$D$196+(($C82)-$A$63:$A$108)*'Cálculos'!$D$98)+1400)+'Cálculos'!$D$123)*'Cálculos'!$D$219)+('Cálculos'!$D$196+(($C82)-$A$63:$A$108)*'Cálculos'!$D$98)*('Cálculos'!$D$210+'Cálculos'!$D$124*(1+2.78*('Cálculos'!$D$196+(($C82)-$A$63:$A$108)*'Cálculos'!$D$98)/(('Cálculos'!$D$196+(($C82)-$A$63:$A$108)*'Cálculos'!$D$98)+1400)+'Cálculos'!$D$122)*'Cálculos'!$D$215+'Cálculos'!$D$125*(1+2.78*('Cálculos'!$D$196+(($C82)-$A$63:$A$108)*'Cálculos'!$D$98)/(('Cálculos'!$D$196+(($C82)-$A$63:$A$108)*'Cálculos'!$D$98)+1400)+'Cálculos'!$D$123)*'Cálculos'!$D$220)+('Cálculos'!$D$201*(1+'Cálculos'!$D$202+$A$63:$A$108*('Cálculos'!$D$290=2)*'Cálculos'!$D$101)+'Cálculos'!$D$203)*('Cálculos'!$D$211+'Cálculos'!$D$124*(1+2.78*('Cálculos'!$D$196+(($C82)-$A$63:$A$108)*'Cálculos'!$D$98)/(('Cálculos'!$D$196+(($C82)-$A$63:$A$108)*'Cálculos'!$D$98)+1400)+'Cálculos'!$D$122)*'Cálculos'!$D$216+'Cálculos'!$D$125*(1+2.78*('Cálculos'!$D$196+(($C82)-$A$63:$A$108)*'Cálculos'!$D$98)/(('Cálculos'!$D$196+(($C82)-$A$63:$A$108)*'Cálculos'!$D$98)+1400)+'Cálculos'!$D$123)*'Cálculos'!$D$221)+('Cálculos'!$D$204*(1+'Cálculos'!$D$205+$A$63:$A$108*('Cálculos'!$D$290=3)*'Cálculos'!$D$103)+'Cálculos'!$D$206)*('Cálculos'!$D$212+'Cálculos'!$D$124*(1+2.78*('Cálculos'!$D$196+(($C82)-$A$63:$A$108)*'Cálculos'!$D$98)/(('Cálculos'!$D$196+(($C82)-$A$63:$A$108)*'Cálculos'!$D$98)+1400)+'Cálculos'!$D$122)*'Cálculos'!$D$217+'Cálculos'!$D$125*(1+2.78*('Cálculos'!$D$196+(($C82)-$A$63:$A$108)*'Cálculos'!$D$98)/(('Cálculos'!$D$196+(($C82)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82)-$A$63:$A$108)*'Cálculos'!$D$98)/(('Cálculos'!$D$197+(($C82)-$A$63:$A$108)*'Cálculos'!$D$98)+1400)+'Cálculos'!$D$122)*'Cálculos'!$D$229+'Cálculos'!$D$125*(1+2.78*('Cálculos'!$D$197+(($C82)-$A$63:$A$108)*'Cálculos'!$D$98)/(('Cálculos'!$D$197+(($C82)-$A$63:$A$108)*'Cálculos'!$D$98)+1400)+'Cálculos'!$D$123)*'Cálculos'!$D$234)+('Cálculos'!$D$197+(($C82)-$A$63:$A$108)*'Cálculos'!$D$98)*('Cálculos'!$D$225+'Cálculos'!$D$124*(1+2.78*('Cálculos'!$D$197+(($C82)-$A$63:$A$108)*'Cálculos'!$D$98)/(('Cálculos'!$D$197+(($C82)-$A$63:$A$108)*'Cálculos'!$D$98)+1400)+'Cálculos'!$D$122)*'Cálculos'!$D$230+'Cálculos'!$D$125*(1+2.78*('Cálculos'!$D$197+(($C82)-$A$63:$A$108)*'Cálculos'!$D$98)/(('Cálculos'!$D$197+(($C82)-$A$63:$A$108)*'Cálculos'!$D$98)+1400)+'Cálculos'!$D$123)*'Cálculos'!$D$235)+('Cálculos'!$D$201*(1+'Cálculos'!$D$202+$A$63:$A$108*('Cálculos'!$D$290=2)*'Cálculos'!$D$101)+'Cálculos'!$D$203)*('Cálculos'!$D$226+'Cálculos'!$D$124*(1+2.78*('Cálculos'!$D$197+(($C82)-$A$63:$A$108)*'Cálculos'!$D$98)/(('Cálculos'!$D$197+(($C82)-$A$63:$A$108)*'Cálculos'!$D$98)+1400)+'Cálculos'!$D$122)*'Cálculos'!$D$231+'Cálculos'!$D$125*(1+2.78*('Cálculos'!$D$197+(($C82)-$A$63:$A$108)*'Cálculos'!$D$98)/(('Cálculos'!$D$197+(($C82)-$A$63:$A$108)*'Cálculos'!$D$98)+1400)+'Cálculos'!$D$123)*'Cálculos'!$D$236)+('Cálculos'!$D$204*(1+'Cálculos'!$D$205+$A$63:$A$108*('Cálculos'!$D$290=3)*'Cálculos'!$D$103)+'Cálculos'!$D$206)*('Cálculos'!$D$227+'Cálculos'!$D$124*(1+2.78*('Cálculos'!$D$197+(($C82)-$A$63:$A$108)*'Cálculos'!$D$98)/(('Cálculos'!$D$197+(($C82)-$A$63:$A$108)*'Cálculos'!$D$98)+1400)+'Cálculos'!$D$122)*'Cálculos'!$D$232+'Cálculos'!$D$125*(1+2.78*('Cálculos'!$D$197+(($C82)-$A$63:$A$108)*'Cálculos'!$D$98)/(('Cálculos'!$D$197+(($C82)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82)-$A$63:$A$108)*'Cálculos'!$D$98)/(('Cálculos'!$D$198+(($C82)-$A$63:$A$108)*'Cálculos'!$D$98)+1400)+'Cálculos'!$D$122)*'Cálculos'!$D$244+'Cálculos'!$D$125*(1+2.78*('Cálculos'!$D$198+(($C82)-$A$63:$A$108)*'Cálculos'!$D$98)/(('Cálculos'!$D$198+(($C82)-$A$63:$A$108)*'Cálculos'!$D$98)+1400)+'Cálculos'!$D$123)*'Cálculos'!$D$249)+('Cálculos'!$D$198+(($C82)-$A$63:$A$108)*'Cálculos'!$D$98)*('Cálculos'!$D$240+'Cálculos'!$D$124*(1+2.78*('Cálculos'!$D$198+(($C82)-$A$63:$A$108)*'Cálculos'!$D$98)/(('Cálculos'!$D$198+(($C82)-$A$63:$A$108)*'Cálculos'!$D$98)+1400)+'Cálculos'!$D$122)*'Cálculos'!$D$245+'Cálculos'!$D$125*(1+2.78*('Cálculos'!$D$198+(($C82)-$A$63:$A$108)*'Cálculos'!$D$98)/(('Cálculos'!$D$198+(($C82)-$A$63:$A$108)*'Cálculos'!$D$98)+1400)+'Cálculos'!$D$123)*'Cálculos'!$D$250)+('Cálculos'!$D$201*(1+'Cálculos'!$D$202+$A$63:$A$108*('Cálculos'!$D$290=2)*'Cálculos'!$D$101)+'Cálculos'!$D$203)*('Cálculos'!$D$241+'Cálculos'!$D$124*(1+2.78*('Cálculos'!$D$198+(($C82)-$A$63:$A$108)*'Cálculos'!$D$98)/(('Cálculos'!$D$198+(($C82)-$A$63:$A$108)*'Cálculos'!$D$98)+1400)+'Cálculos'!$D$122)*'Cálculos'!$D$246+'Cálculos'!$D$125*(1+2.78*('Cálculos'!$D$198+(($C82)-$A$63:$A$108)*'Cálculos'!$D$98)/(('Cálculos'!$D$198+(($C82)-$A$63:$A$108)*'Cálculos'!$D$98)+1400)+'Cálculos'!$D$123)*'Cálculos'!$D$251)+('Cálculos'!$D$204*(1+'Cálculos'!$D$205+$A$63:$A$108*('Cálculos'!$D$290=3)*'Cálculos'!$D$103)+'Cálculos'!$D$206)*('Cálculos'!$D$242+'Cálculos'!$D$124*(1+2.78*('Cálculos'!$D$198+(($C82)-$A$63:$A$108)*'Cálculos'!$D$98)/(('Cálculos'!$D$198+(($C82)-$A$63:$A$108)*'Cálculos'!$D$98)+1400)+'Cálculos'!$D$122)*'Cálculos'!$D$247+'Cálculos'!$D$125*(1+2.78*('Cálculos'!$D$198+(($C82)-$A$63:$A$108)*'Cálculos'!$D$98)/(('Cálculos'!$D$198+(($C82)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82)-$A$63:$A$108)*'Cálculos'!$D$98)/(('Cálculos'!$D$199+(($C82)-$A$63:$A$108)*'Cálculos'!$D$98)+1400)+'Cálculos'!$D$122)*'Cálculos'!$D$259+'Cálculos'!$D$125*(1+2.78*('Cálculos'!$D$199+(($C82)-$A$63:$A$108)*'Cálculos'!$D$98)/(('Cálculos'!$D$199+(($C82)-$A$63:$A$108)*'Cálculos'!$D$98)+1400)+'Cálculos'!$D$123)*'Cálculos'!$D$264)+('Cálculos'!$D$199+(($C82)-$A$63:$A$108)*'Cálculos'!$D$98)*('Cálculos'!$D$255+'Cálculos'!$D$124*(1+2.78*('Cálculos'!$D$199+(($C82)-$A$63:$A$108)*'Cálculos'!$D$98)/(('Cálculos'!$D$199+(($C82)-$A$63:$A$108)*'Cálculos'!$D$98)+1400)+'Cálculos'!$D$122)*'Cálculos'!$D$260+'Cálculos'!$D$125*(1+2.78*('Cálculos'!$D$199+(($C82)-$A$63:$A$108)*'Cálculos'!$D$98)/(('Cálculos'!$D$199+(($C82)-$A$63:$A$108)*'Cálculos'!$D$98)+1400)+'Cálculos'!$D$123)*'Cálculos'!$D$265)+('Cálculos'!$D$201*(1+'Cálculos'!$D$202+$A$63:$A$108*('Cálculos'!$D$290=2)*'Cálculos'!$D$101)+'Cálculos'!$D$203)*('Cálculos'!$D$256+'Cálculos'!$D$124*(1+2.78*('Cálculos'!$D$199+(($C82)-$A$63:$A$108)*'Cálculos'!$D$98)/(('Cálculos'!$D$199+(($C82)-$A$63:$A$108)*'Cálculos'!$D$98)+1400)+'Cálculos'!$D$122)*'Cálculos'!$D$261+'Cálculos'!$D$125*(1+2.78*('Cálculos'!$D$199+(($C82)-$A$63:$A$108)*'Cálculos'!$D$98)/(('Cálculos'!$D$199+(($C82)-$A$63:$A$108)*'Cálculos'!$D$98)+1400)+'Cálculos'!$D$123)*'Cálculos'!$D$266)+('Cálculos'!$D$204*(1+'Cálculos'!$D$205+$A$63:$A$108*('Cálculos'!$D$290=3)*'Cálculos'!$D$103)+'Cálculos'!$D$206)*('Cálculos'!$D$257+'Cálculos'!$D$124*(1+2.78*('Cálculos'!$D$199+(($C82)-$A$63:$A$108)*'Cálculos'!$D$98)/(('Cálculos'!$D$199+(($C82)-$A$63:$A$108)*'Cálculos'!$D$98)+1400)+'Cálculos'!$D$122)*'Cálculos'!$D$262+'Cálculos'!$D$125*(1+2.78*('Cálculos'!$D$199+(($C82)-$A$63:$A$108)*'Cálculos'!$D$98)/(('Cálculos'!$D$199+(($C82)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82)-$A$63:$A$108)*'Cálculos'!$D$98)/(('Cálculos'!$D$200+(($C82)-$A$63:$A$108)*'Cálculos'!$D$98)+1400)+'Cálculos'!$D$122)*'Cálculos'!$D$274+'Cálculos'!$D$125*(1+2.78*('Cálculos'!$D$200+(($C82)-$A$63:$A$108)*'Cálculos'!$D$98)/(('Cálculos'!$D$200+(($C82)-$A$63:$A$108)*'Cálculos'!$D$98)+1400)+'Cálculos'!$D$123)*'Cálculos'!$D$279)+('Cálculos'!$D$200+(($C82)-$A$63:$A$108)*'Cálculos'!$D$98)*('Cálculos'!$D$270+'Cálculos'!$D$124*(1+2.78*('Cálculos'!$D$200+(($C82)-$A$63:$A$108)*'Cálculos'!$D$98)/(('Cálculos'!$D$200+(($C82)-$A$63:$A$108)*'Cálculos'!$D$98)+1400)+'Cálculos'!$D$122)*'Cálculos'!$D$275+'Cálculos'!$D$125*(1+2.78*('Cálculos'!$D$200+(($C82)-$A$63:$A$108)*'Cálculos'!$D$98)/(('Cálculos'!$D$200+(($C82)-$A$63:$A$108)*'Cálculos'!$D$98)+1400)+'Cálculos'!$D$123)*'Cálculos'!$D$280)+('Cálculos'!$D$201*(1+'Cálculos'!$D$202+$A$63:$A$108*('Cálculos'!$D$290=2)*'Cálculos'!$D$101)+'Cálculos'!$D$203)*('Cálculos'!$D$271+'Cálculos'!$D$124*(1+2.78*('Cálculos'!$D$200+(($C82)-$A$63:$A$108)*'Cálculos'!$D$98)/(('Cálculos'!$D$200+(($C82)-$A$63:$A$108)*'Cálculos'!$D$98)+1400)+'Cálculos'!$D$122)*'Cálculos'!$D$276+'Cálculos'!$D$125*(1+2.78*('Cálculos'!$D$200+(($C82)-$A$63:$A$108)*'Cálculos'!$D$98)/(('Cálculos'!$D$200+(($C82)-$A$63:$A$108)*'Cálculos'!$D$98)+1400)+'Cálculos'!$D$123)*'Cálculos'!$D$281)+('Cálculos'!$D$204*(1+'Cálculos'!$D$205+$A$63:$A$108*('Cálculos'!$D$290=3)*'Cálculos'!$D$103)+'Cálculos'!$D$206)*('Cálculos'!$D$272+'Cálculos'!$D$124*(1+2.78*('Cálculos'!$D$200+(($C82)-$A$63:$A$108)*'Cálculos'!$D$98)/(('Cálculos'!$D$200+(($C82)-$A$63:$A$108)*'Cálculos'!$D$98)+1400)+'Cálculos'!$D$122)*'Cálculos'!$D$277+'Cálculos'!$D$125*(1+2.78*('Cálculos'!$D$200+(($C82)-$A$63:$A$108)*'Cálculos'!$D$98)/(('Cálculos'!$D$200+(($C82)-$A$63:$A$108)*'Cálculos'!$D$98)+1400)+'Cálculos'!$D$123)*'Cálculos'!$D$282)))))</f>
        <v>0</v>
      </c>
      <c r="E82" s="32">
        <f>IF(OR($C82&lt;0,'Cálculos'!$D$6=""),0,$B82*$D82)</f>
        <v>0</v>
      </c>
      <c r="F82" s="2"/>
      <c r="G82" s="30">
        <f>($A82&lt;=$B$110)*($A82&lt;='Cálculos'!$D$294)*(($B$110)-$A82&lt;='Cálculos'!$D$295)*(1+MIN(('Cálculos'!$D$207+$A82*'Cálculos'!$D$95),1)*('Cálculos'!$D$208+(($B$110)-$A82)*'Cálculos'!$D$96))</f>
        <v>0</v>
      </c>
      <c r="H82" s="31">
        <f>IF($B$111&lt;0,0,($A82&lt;=$B$111)*($A82&lt;='Cálculos'!$D$301)*(($B$111)-$A82&lt;='Cálculos'!$D$297)*(('Cálculos'!$D$185*(1+'Cálculos'!$D$186+$A82*('Cálculos'!$D$290=1)*'Cálculos'!$D$97+'Cálculos'!$D$305)+'Cálculos'!$D$191)*('Cálculos'!$D$209+'Cálculos'!$D$124*(1+2.78*('Cálculos'!$D$196+(($B$111)-$A82)*'Cálculos'!$D$98)/(('Cálculos'!$D$196+(($B$111)-$A82)*'Cálculos'!$D$98)+1400)+'Cálculos'!$D$122)*'Cálculos'!$D$214+'Cálculos'!$D$125*(1+2.78*('Cálculos'!$D$196+(($B$111)-$A82)*'Cálculos'!$D$98)/(('Cálculos'!$D$196+(($B$111)-$A82)*'Cálculos'!$D$98)+1400)+'Cálculos'!$D$123)*'Cálculos'!$D$219)+('Cálculos'!$D$196+(($B$111)-$A82)*'Cálculos'!$D$98)*('Cálculos'!$D$210+'Cálculos'!$D$124*(1+2.78*('Cálculos'!$D$196+(($B$111)-$A82)*'Cálculos'!$D$98)/(('Cálculos'!$D$196+(($B$111)-$A82)*'Cálculos'!$D$98)+1400)+'Cálculos'!$D$122)*'Cálculos'!$D$215+'Cálculos'!$D$125*(1+2.78*('Cálculos'!$D$196+(($B$111)-$A82)*'Cálculos'!$D$98)/(('Cálculos'!$D$196+(($B$111)-$A82)*'Cálculos'!$D$98)+1400)+'Cálculos'!$D$123)*'Cálculos'!$D$220)+('Cálculos'!$D$201*(1+'Cálculos'!$D$202+$A82*('Cálculos'!$D$290=2)*'Cálculos'!$D$101)+'Cálculos'!$D$203)*('Cálculos'!$D$211+'Cálculos'!$D$124*(1+2.78*('Cálculos'!$D$196+(($B$111)-$A82)*'Cálculos'!$D$98)/(('Cálculos'!$D$196+(($B$111)-$A82)*'Cálculos'!$D$98)+1400)+'Cálculos'!$D$122)*'Cálculos'!$D$216+'Cálculos'!$D$125*(1+2.78*('Cálculos'!$D$196+(($B$111)-$A82)*'Cálculos'!$D$98)/(('Cálculos'!$D$196+(($B$111)-$A82)*'Cálculos'!$D$98)+1400)+'Cálculos'!$D$123)*'Cálculos'!$D$221)+('Cálculos'!$D$204*(1+'Cálculos'!$D$205+$A82*('Cálculos'!$D$290=3)*'Cálculos'!$D$103)+'Cálculos'!$D$206)*('Cálculos'!$D$212+'Cálculos'!$D$124*(1+2.78*('Cálculos'!$D$196+(($B$111)-$A82)*'Cálculos'!$D$98)/(('Cálculos'!$D$196+(($B$111)-$A82)*'Cálculos'!$D$98)+1400)+'Cálculos'!$D$122)*'Cálculos'!$D$217+'Cálculos'!$D$125*(1+2.78*('Cálculos'!$D$196+(($B$111)-$A82)*'Cálculos'!$D$98)/(('Cálculos'!$D$196+(($B$111)-$A82)*'Cálculos'!$D$98)+1400)+'Cálculos'!$D$123)*'Cálculos'!$D$222)+('Cálculos'!$D$185*(1+'Cálculos'!$D$187+$A82*('Cálculos'!$D$290=1)*'Cálculos'!$D$97+'Cálculos'!$D$305)+'Cálculos'!$D$192)*('Cálculos'!$D$224+'Cálculos'!$D$124*(1+2.78*('Cálculos'!$D$197+(($B$111)-$A82)*'Cálculos'!$D$98)/(('Cálculos'!$D$197+(($B$111)-$A82)*'Cálculos'!$D$98)+1400)+'Cálculos'!$D$122)*'Cálculos'!$D$229+'Cálculos'!$D$125*(1+2.78*('Cálculos'!$D$197+(($B$111)-$A82)*'Cálculos'!$D$98)/(('Cálculos'!$D$197+(($B$111)-$A82)*'Cálculos'!$D$98)+1400)+'Cálculos'!$D$123)*'Cálculos'!$D$234)+('Cálculos'!$D$197+(($B$111)-$A82)*'Cálculos'!$D$98)*('Cálculos'!$D$225+'Cálculos'!$D$124*(1+2.78*('Cálculos'!$D$197+(($B$111)-$A82)*'Cálculos'!$D$98)/(('Cálculos'!$D$197+(($B$111)-$A82)*'Cálculos'!$D$98)+1400)+'Cálculos'!$D$122)*'Cálculos'!$D$230+'Cálculos'!$D$125*(1+2.78*('Cálculos'!$D$197+(($B$111)-$A82)*'Cálculos'!$D$98)/(('Cálculos'!$D$197+(($B$111)-$A82)*'Cálculos'!$D$98)+1400)+'Cálculos'!$D$123)*'Cálculos'!$D$235)+('Cálculos'!$D$201*(1+'Cálculos'!$D$202+$A82*('Cálculos'!$D$290=2)*'Cálculos'!$D$101)+'Cálculos'!$D$203)*('Cálculos'!$D$226+'Cálculos'!$D$124*(1+2.78*('Cálculos'!$D$197+(($B$111)-$A82)*'Cálculos'!$D$98)/(('Cálculos'!$D$197+(($B$111)-$A82)*'Cálculos'!$D$98)+1400)+'Cálculos'!$D$122)*'Cálculos'!$D$231+'Cálculos'!$D$125*(1+2.78*('Cálculos'!$D$197+(($B$111)-$A82)*'Cálculos'!$D$98)/(('Cálculos'!$D$197+(($B$111)-$A82)*'Cálculos'!$D$98)+1400)+'Cálculos'!$D$123)*'Cálculos'!$D$236)+('Cálculos'!$D$204*(1+'Cálculos'!$D$205+$A82*('Cálculos'!$D$290=3)*'Cálculos'!$D$103)+'Cálculos'!$D$206)*('Cálculos'!$D$227+'Cálculos'!$D$124*(1+2.78*('Cálculos'!$D$197+(($B$111)-$A82)*'Cálculos'!$D$98)/(('Cálculos'!$D$197+(($B$111)-$A82)*'Cálculos'!$D$98)+1400)+'Cálculos'!$D$122)*'Cálculos'!$D$232+'Cálculos'!$D$125*(1+2.78*('Cálculos'!$D$197+(($B$111)-$A82)*'Cálculos'!$D$98)/(('Cálculos'!$D$197+(($B$111)-$A82)*'Cálculos'!$D$98)+1400)+'Cálculos'!$D$123)*'Cálculos'!$D$237)+('Cálculos'!$D$185*(1+'Cálculos'!$D$188+$A82*('Cálculos'!$D$290=1)*'Cálculos'!$D$97+'Cálculos'!$D$305)+'Cálculos'!$D$193)*('Cálculos'!$D$239+'Cálculos'!$D$124*(1+2.78*('Cálculos'!$D$198+(($B$111)-$A82)*'Cálculos'!$D$98)/(('Cálculos'!$D$198+(($B$111)-$A82)*'Cálculos'!$D$98)+1400)+'Cálculos'!$D$122)*'Cálculos'!$D$244+'Cálculos'!$D$125*(1+2.78*('Cálculos'!$D$198+(($B$111)-$A82)*'Cálculos'!$D$98)/(('Cálculos'!$D$198+(($B$111)-$A82)*'Cálculos'!$D$98)+1400)+'Cálculos'!$D$123)*'Cálculos'!$D$249)+('Cálculos'!$D$198+(($B$111)-$A82)*'Cálculos'!$D$98)*('Cálculos'!$D$240+'Cálculos'!$D$124*(1+2.78*('Cálculos'!$D$198+(($B$111)-$A82)*'Cálculos'!$D$98)/(('Cálculos'!$D$198+(($B$111)-$A82)*'Cálculos'!$D$98)+1400)+'Cálculos'!$D$122)*'Cálculos'!$D$245+'Cálculos'!$D$125*(1+2.78*('Cálculos'!$D$198+(($B$111)-$A82)*'Cálculos'!$D$98)/(('Cálculos'!$D$198+(($B$111)-$A82)*'Cálculos'!$D$98)+1400)+'Cálculos'!$D$123)*'Cálculos'!$D$250)+('Cálculos'!$D$201*(1+'Cálculos'!$D$202+$A82*('Cálculos'!$D$290=2)*'Cálculos'!$D$101)+'Cálculos'!$D$203)*('Cálculos'!$D$241+'Cálculos'!$D$124*(1+2.78*('Cálculos'!$D$198+(($B$111)-$A82)*'Cálculos'!$D$98)/(('Cálculos'!$D$198+(($B$111)-$A82)*'Cálculos'!$D$98)+1400)+'Cálculos'!$D$122)*'Cálculos'!$D$246+'Cálculos'!$D$125*(1+2.78*('Cálculos'!$D$198+(($B$111)-$A82)*'Cálculos'!$D$98)/(('Cálculos'!$D$198+(($B$111)-$A82)*'Cálculos'!$D$98)+1400)+'Cálculos'!$D$123)*'Cálculos'!$D$251)+('Cálculos'!$D$204*(1+'Cálculos'!$D$205+$A82*('Cálculos'!$D$290=3)*'Cálculos'!$D$103)+'Cálculos'!$D$206)*('Cálculos'!$D$242+'Cálculos'!$D$124*(1+2.78*('Cálculos'!$D$198+(($B$111)-$A82)*'Cálculos'!$D$98)/(('Cálculos'!$D$198+(($B$111)-$A82)*'Cálculos'!$D$98)+1400)+'Cálculos'!$D$122)*'Cálculos'!$D$247+'Cálculos'!$D$125*(1+2.78*('Cálculos'!$D$198+(($B$111)-$A82)*'Cálculos'!$D$98)/(('Cálculos'!$D$198+(($B$111)-$A82)*'Cálculos'!$D$98)+1400)+'Cálculos'!$D$123)*'Cálculos'!$D$252)+('Cálculos'!$D$185*(1+'Cálculos'!$D$189+$A82*('Cálculos'!$D$290=1)*'Cálculos'!$D$97+'Cálculos'!$D$305)+'Cálculos'!$D$194)*('Cálculos'!$D$254+'Cálculos'!$D$124*(1+2.78*('Cálculos'!$D$199+(($B$111)-$A82)*'Cálculos'!$D$98)/(('Cálculos'!$D$199+(($B$111)-$A82)*'Cálculos'!$D$98)+1400)+'Cálculos'!$D$122)*'Cálculos'!$D$259+'Cálculos'!$D$125*(1+2.78*('Cálculos'!$D$199+(($B$111)-$A82)*'Cálculos'!$D$98)/(('Cálculos'!$D$199+(($B$111)-$A82)*'Cálculos'!$D$98)+1400)+'Cálculos'!$D$123)*'Cálculos'!$D$264)+('Cálculos'!$D$199+(($B$111)-$A82)*'Cálculos'!$D$98)*('Cálculos'!$D$255+'Cálculos'!$D$124*(1+2.78*('Cálculos'!$D$199+(($B$111)-$A82)*'Cálculos'!$D$98)/(('Cálculos'!$D$199+(($B$111)-$A82)*'Cálculos'!$D$98)+1400)+'Cálculos'!$D$122)*'Cálculos'!$D$260+'Cálculos'!$D$125*(1+2.78*('Cálculos'!$D$199+(($B$111)-$A82)*'Cálculos'!$D$98)/(('Cálculos'!$D$199+(($B$111)-$A82)*'Cálculos'!$D$98)+1400)+'Cálculos'!$D$123)*'Cálculos'!$D$265)+('Cálculos'!$D$201*(1+'Cálculos'!$D$202+$A82*('Cálculos'!$D$290=2)*'Cálculos'!$D$101)+'Cálculos'!$D$203)*('Cálculos'!$D$256+'Cálculos'!$D$124*(1+2.78*('Cálculos'!$D$199+(($B$111)-$A82)*'Cálculos'!$D$98)/(('Cálculos'!$D$199+(($B$111)-$A82)*'Cálculos'!$D$98)+1400)+'Cálculos'!$D$122)*'Cálculos'!$D$261+'Cálculos'!$D$125*(1+2.78*('Cálculos'!$D$199+(($B$111)-$A82)*'Cálculos'!$D$98)/(('Cálculos'!$D$199+(($B$111)-$A82)*'Cálculos'!$D$98)+1400)+'Cálculos'!$D$123)*'Cálculos'!$D$266)+('Cálculos'!$D$204*(1+'Cálculos'!$D$205+$A82*('Cálculos'!$D$290=3)*'Cálculos'!$D$103)+'Cálculos'!$D$206)*('Cálculos'!$D$257+'Cálculos'!$D$124*(1+2.78*('Cálculos'!$D$199+(($B$111)-$A82)*'Cálculos'!$D$98)/(('Cálculos'!$D$199+(($B$111)-$A82)*'Cálculos'!$D$98)+1400)+'Cálculos'!$D$122)*'Cálculos'!$D$262+'Cálculos'!$D$125*(1+2.78*('Cálculos'!$D$199+(($B$111)-$A82)*'Cálculos'!$D$98)/(('Cálculos'!$D$199+(($B$111)-$A82)*'Cálculos'!$D$98)+1400)+'Cálculos'!$D$123)*'Cálculos'!$D$267)+('Cálculos'!$D$185*(1+'Cálculos'!$D$190+$A82*('Cálculos'!$D$290=1)*'Cálculos'!$D$97+'Cálculos'!$D$305)+'Cálculos'!$D$195)*('Cálculos'!$D$269+'Cálculos'!$D$124*(1+2.78*('Cálculos'!$D$200+(($B$111)-$A82)*'Cálculos'!$D$98)/(('Cálculos'!$D$200+(($B$111)-$A82)*'Cálculos'!$D$98)+1400)+'Cálculos'!$D$122)*'Cálculos'!$D$274+'Cálculos'!$D$125*(1+2.78*('Cálculos'!$D$200+(($B$111)-$A82)*'Cálculos'!$D$98)/(('Cálculos'!$D$200+(($B$111)-$A82)*'Cálculos'!$D$98)+1400)+'Cálculos'!$D$123)*'Cálculos'!$D$279)+('Cálculos'!$D$200+(($B$111)-$A82)*'Cálculos'!$D$98)*('Cálculos'!$D$270+'Cálculos'!$D$124*(1+2.78*('Cálculos'!$D$200+(($B$111)-$A82)*'Cálculos'!$D$98)/(('Cálculos'!$D$200+(($B$111)-$A82)*'Cálculos'!$D$98)+1400)+'Cálculos'!$D$122)*'Cálculos'!$D$275+'Cálculos'!$D$125*(1+2.78*('Cálculos'!$D$200+(($B$111)-$A82)*'Cálculos'!$D$98)/(('Cálculos'!$D$200+(($B$111)-$A82)*'Cálculos'!$D$98)+1400)+'Cálculos'!$D$123)*'Cálculos'!$D$280)+('Cálculos'!$D$201*(1+'Cálculos'!$D$202+$A82*('Cálculos'!$D$290=2)*'Cálculos'!$D$101)+'Cálculos'!$D$203)*('Cálculos'!$D$271+'Cálculos'!$D$124*(1+2.78*('Cálculos'!$D$200+(($B$111)-$A82)*'Cálculos'!$D$98)/(('Cálculos'!$D$200+(($B$111)-$A82)*'Cálculos'!$D$98)+1400)+'Cálculos'!$D$122)*'Cálculos'!$D$276+'Cálculos'!$D$125*(1+2.78*('Cálculos'!$D$200+(($B$111)-$A82)*'Cálculos'!$D$98)/(('Cálculos'!$D$200+(($B$111)-$A82)*'Cálculos'!$D$98)+1400)+'Cálculos'!$D$123)*'Cálculos'!$D$281)+('Cálculos'!$D$204*(1+'Cálculos'!$D$205+$A82*('Cálculos'!$D$290=3)*'Cálculos'!$D$103)+'Cálculos'!$D$206)*('Cálculos'!$D$272+'Cálculos'!$D$124*(1+2.78*('Cálculos'!$D$200+(($B$111)-$A82)*'Cálculos'!$D$98)/(('Cálculos'!$D$200+(($B$111)-$A82)*'Cálculos'!$D$98)+1400)+'Cálculos'!$D$122)*'Cálculos'!$D$277+'Cálculos'!$D$125*(1+2.78*('Cálculos'!$D$200+(($B$111)-$A82)*'Cálculos'!$D$98)/(('Cálculos'!$D$200+(($B$111)-$A82)*'Cálculos'!$D$98)+1400)+'Cálculos'!$D$123)*'Cálculos'!$D$282)))</f>
        <v>0</v>
      </c>
    </row>
    <row r="83" ht="15.75" customHeight="1">
      <c r="A83" s="2">
        <v>20.0</v>
      </c>
      <c r="B83" s="30">
        <f>SUMPRODUCT(MAX(($A$63:$A$108&lt;=$A83)*($A$63:$A$108&lt;='Cálculos'!$D$294)*(($A83)-$A$63:$A$108&lt;='Cálculos'!$D$295)*(1+(('Cálculos'!$D$207+$A$63:$A$108*'Cálculos'!$D$95)-(('Cálculos'!$D$207+$A$63:$A$108*'Cálculos'!$D$95)&gt;1)*(('Cálculos'!$D$207+$A$63:$A$108*'Cálculos'!$D$95)-1))*('Cálculos'!$D$208+(($A83)-$A$63:$A$108)*'Cálculos'!$D$96))))</f>
        <v>1.725256434</v>
      </c>
      <c r="C83" s="2">
        <f>'Cálculos'!$D$303-$A83</f>
        <v>-9</v>
      </c>
      <c r="D83" s="31">
        <f>IF($C83&lt;0,0,SUMPRODUCT(MAX(($A$63:$A$108&lt;=$C83)*($A$63:$A$108&lt;='Cálculos'!$D$301)*(($C83)-$A$63:$A$108&lt;='Cálculos'!$D$297)*(('Cálculos'!$D$185*(1+'Cálculos'!$D$186+$A$63:$A$108*('Cálculos'!$D$290=1)*'Cálculos'!$D$97+'Cálculos'!$D$305)+'Cálculos'!$D$191)*('Cálculos'!$D$209+'Cálculos'!$D$124*(1+2.78*('Cálculos'!$D$196+(($C83)-$A$63:$A$108)*'Cálculos'!$D$98)/(('Cálculos'!$D$196+(($C83)-$A$63:$A$108)*'Cálculos'!$D$98)+1400)+'Cálculos'!$D$122)*'Cálculos'!$D$214+'Cálculos'!$D$125*(1+2.78*('Cálculos'!$D$196+(($C83)-$A$63:$A$108)*'Cálculos'!$D$98)/(('Cálculos'!$D$196+(($C83)-$A$63:$A$108)*'Cálculos'!$D$98)+1400)+'Cálculos'!$D$123)*'Cálculos'!$D$219)+('Cálculos'!$D$196+(($C83)-$A$63:$A$108)*'Cálculos'!$D$98)*('Cálculos'!$D$210+'Cálculos'!$D$124*(1+2.78*('Cálculos'!$D$196+(($C83)-$A$63:$A$108)*'Cálculos'!$D$98)/(('Cálculos'!$D$196+(($C83)-$A$63:$A$108)*'Cálculos'!$D$98)+1400)+'Cálculos'!$D$122)*'Cálculos'!$D$215+'Cálculos'!$D$125*(1+2.78*('Cálculos'!$D$196+(($C83)-$A$63:$A$108)*'Cálculos'!$D$98)/(('Cálculos'!$D$196+(($C83)-$A$63:$A$108)*'Cálculos'!$D$98)+1400)+'Cálculos'!$D$123)*'Cálculos'!$D$220)+('Cálculos'!$D$201*(1+'Cálculos'!$D$202+$A$63:$A$108*('Cálculos'!$D$290=2)*'Cálculos'!$D$101)+'Cálculos'!$D$203)*('Cálculos'!$D$211+'Cálculos'!$D$124*(1+2.78*('Cálculos'!$D$196+(($C83)-$A$63:$A$108)*'Cálculos'!$D$98)/(('Cálculos'!$D$196+(($C83)-$A$63:$A$108)*'Cálculos'!$D$98)+1400)+'Cálculos'!$D$122)*'Cálculos'!$D$216+'Cálculos'!$D$125*(1+2.78*('Cálculos'!$D$196+(($C83)-$A$63:$A$108)*'Cálculos'!$D$98)/(('Cálculos'!$D$196+(($C83)-$A$63:$A$108)*'Cálculos'!$D$98)+1400)+'Cálculos'!$D$123)*'Cálculos'!$D$221)+('Cálculos'!$D$204*(1+'Cálculos'!$D$205+$A$63:$A$108*('Cálculos'!$D$290=3)*'Cálculos'!$D$103)+'Cálculos'!$D$206)*('Cálculos'!$D$212+'Cálculos'!$D$124*(1+2.78*('Cálculos'!$D$196+(($C83)-$A$63:$A$108)*'Cálculos'!$D$98)/(('Cálculos'!$D$196+(($C83)-$A$63:$A$108)*'Cálculos'!$D$98)+1400)+'Cálculos'!$D$122)*'Cálculos'!$D$217+'Cálculos'!$D$125*(1+2.78*('Cálculos'!$D$196+(($C83)-$A$63:$A$108)*'Cálculos'!$D$98)/(('Cálculos'!$D$196+(($C83)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83)-$A$63:$A$108)*'Cálculos'!$D$98)/(('Cálculos'!$D$197+(($C83)-$A$63:$A$108)*'Cálculos'!$D$98)+1400)+'Cálculos'!$D$122)*'Cálculos'!$D$229+'Cálculos'!$D$125*(1+2.78*('Cálculos'!$D$197+(($C83)-$A$63:$A$108)*'Cálculos'!$D$98)/(('Cálculos'!$D$197+(($C83)-$A$63:$A$108)*'Cálculos'!$D$98)+1400)+'Cálculos'!$D$123)*'Cálculos'!$D$234)+('Cálculos'!$D$197+(($C83)-$A$63:$A$108)*'Cálculos'!$D$98)*('Cálculos'!$D$225+'Cálculos'!$D$124*(1+2.78*('Cálculos'!$D$197+(($C83)-$A$63:$A$108)*'Cálculos'!$D$98)/(('Cálculos'!$D$197+(($C83)-$A$63:$A$108)*'Cálculos'!$D$98)+1400)+'Cálculos'!$D$122)*'Cálculos'!$D$230+'Cálculos'!$D$125*(1+2.78*('Cálculos'!$D$197+(($C83)-$A$63:$A$108)*'Cálculos'!$D$98)/(('Cálculos'!$D$197+(($C83)-$A$63:$A$108)*'Cálculos'!$D$98)+1400)+'Cálculos'!$D$123)*'Cálculos'!$D$235)+('Cálculos'!$D$201*(1+'Cálculos'!$D$202+$A$63:$A$108*('Cálculos'!$D$290=2)*'Cálculos'!$D$101)+'Cálculos'!$D$203)*('Cálculos'!$D$226+'Cálculos'!$D$124*(1+2.78*('Cálculos'!$D$197+(($C83)-$A$63:$A$108)*'Cálculos'!$D$98)/(('Cálculos'!$D$197+(($C83)-$A$63:$A$108)*'Cálculos'!$D$98)+1400)+'Cálculos'!$D$122)*'Cálculos'!$D$231+'Cálculos'!$D$125*(1+2.78*('Cálculos'!$D$197+(($C83)-$A$63:$A$108)*'Cálculos'!$D$98)/(('Cálculos'!$D$197+(($C83)-$A$63:$A$108)*'Cálculos'!$D$98)+1400)+'Cálculos'!$D$123)*'Cálculos'!$D$236)+('Cálculos'!$D$204*(1+'Cálculos'!$D$205+$A$63:$A$108*('Cálculos'!$D$290=3)*'Cálculos'!$D$103)+'Cálculos'!$D$206)*('Cálculos'!$D$227+'Cálculos'!$D$124*(1+2.78*('Cálculos'!$D$197+(($C83)-$A$63:$A$108)*'Cálculos'!$D$98)/(('Cálculos'!$D$197+(($C83)-$A$63:$A$108)*'Cálculos'!$D$98)+1400)+'Cálculos'!$D$122)*'Cálculos'!$D$232+'Cálculos'!$D$125*(1+2.78*('Cálculos'!$D$197+(($C83)-$A$63:$A$108)*'Cálculos'!$D$98)/(('Cálculos'!$D$197+(($C83)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83)-$A$63:$A$108)*'Cálculos'!$D$98)/(('Cálculos'!$D$198+(($C83)-$A$63:$A$108)*'Cálculos'!$D$98)+1400)+'Cálculos'!$D$122)*'Cálculos'!$D$244+'Cálculos'!$D$125*(1+2.78*('Cálculos'!$D$198+(($C83)-$A$63:$A$108)*'Cálculos'!$D$98)/(('Cálculos'!$D$198+(($C83)-$A$63:$A$108)*'Cálculos'!$D$98)+1400)+'Cálculos'!$D$123)*'Cálculos'!$D$249)+('Cálculos'!$D$198+(($C83)-$A$63:$A$108)*'Cálculos'!$D$98)*('Cálculos'!$D$240+'Cálculos'!$D$124*(1+2.78*('Cálculos'!$D$198+(($C83)-$A$63:$A$108)*'Cálculos'!$D$98)/(('Cálculos'!$D$198+(($C83)-$A$63:$A$108)*'Cálculos'!$D$98)+1400)+'Cálculos'!$D$122)*'Cálculos'!$D$245+'Cálculos'!$D$125*(1+2.78*('Cálculos'!$D$198+(($C83)-$A$63:$A$108)*'Cálculos'!$D$98)/(('Cálculos'!$D$198+(($C83)-$A$63:$A$108)*'Cálculos'!$D$98)+1400)+'Cálculos'!$D$123)*'Cálculos'!$D$250)+('Cálculos'!$D$201*(1+'Cálculos'!$D$202+$A$63:$A$108*('Cálculos'!$D$290=2)*'Cálculos'!$D$101)+'Cálculos'!$D$203)*('Cálculos'!$D$241+'Cálculos'!$D$124*(1+2.78*('Cálculos'!$D$198+(($C83)-$A$63:$A$108)*'Cálculos'!$D$98)/(('Cálculos'!$D$198+(($C83)-$A$63:$A$108)*'Cálculos'!$D$98)+1400)+'Cálculos'!$D$122)*'Cálculos'!$D$246+'Cálculos'!$D$125*(1+2.78*('Cálculos'!$D$198+(($C83)-$A$63:$A$108)*'Cálculos'!$D$98)/(('Cálculos'!$D$198+(($C83)-$A$63:$A$108)*'Cálculos'!$D$98)+1400)+'Cálculos'!$D$123)*'Cálculos'!$D$251)+('Cálculos'!$D$204*(1+'Cálculos'!$D$205+$A$63:$A$108*('Cálculos'!$D$290=3)*'Cálculos'!$D$103)+'Cálculos'!$D$206)*('Cálculos'!$D$242+'Cálculos'!$D$124*(1+2.78*('Cálculos'!$D$198+(($C83)-$A$63:$A$108)*'Cálculos'!$D$98)/(('Cálculos'!$D$198+(($C83)-$A$63:$A$108)*'Cálculos'!$D$98)+1400)+'Cálculos'!$D$122)*'Cálculos'!$D$247+'Cálculos'!$D$125*(1+2.78*('Cálculos'!$D$198+(($C83)-$A$63:$A$108)*'Cálculos'!$D$98)/(('Cálculos'!$D$198+(($C83)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83)-$A$63:$A$108)*'Cálculos'!$D$98)/(('Cálculos'!$D$199+(($C83)-$A$63:$A$108)*'Cálculos'!$D$98)+1400)+'Cálculos'!$D$122)*'Cálculos'!$D$259+'Cálculos'!$D$125*(1+2.78*('Cálculos'!$D$199+(($C83)-$A$63:$A$108)*'Cálculos'!$D$98)/(('Cálculos'!$D$199+(($C83)-$A$63:$A$108)*'Cálculos'!$D$98)+1400)+'Cálculos'!$D$123)*'Cálculos'!$D$264)+('Cálculos'!$D$199+(($C83)-$A$63:$A$108)*'Cálculos'!$D$98)*('Cálculos'!$D$255+'Cálculos'!$D$124*(1+2.78*('Cálculos'!$D$199+(($C83)-$A$63:$A$108)*'Cálculos'!$D$98)/(('Cálculos'!$D$199+(($C83)-$A$63:$A$108)*'Cálculos'!$D$98)+1400)+'Cálculos'!$D$122)*'Cálculos'!$D$260+'Cálculos'!$D$125*(1+2.78*('Cálculos'!$D$199+(($C83)-$A$63:$A$108)*'Cálculos'!$D$98)/(('Cálculos'!$D$199+(($C83)-$A$63:$A$108)*'Cálculos'!$D$98)+1400)+'Cálculos'!$D$123)*'Cálculos'!$D$265)+('Cálculos'!$D$201*(1+'Cálculos'!$D$202+$A$63:$A$108*('Cálculos'!$D$290=2)*'Cálculos'!$D$101)+'Cálculos'!$D$203)*('Cálculos'!$D$256+'Cálculos'!$D$124*(1+2.78*('Cálculos'!$D$199+(($C83)-$A$63:$A$108)*'Cálculos'!$D$98)/(('Cálculos'!$D$199+(($C83)-$A$63:$A$108)*'Cálculos'!$D$98)+1400)+'Cálculos'!$D$122)*'Cálculos'!$D$261+'Cálculos'!$D$125*(1+2.78*('Cálculos'!$D$199+(($C83)-$A$63:$A$108)*'Cálculos'!$D$98)/(('Cálculos'!$D$199+(($C83)-$A$63:$A$108)*'Cálculos'!$D$98)+1400)+'Cálculos'!$D$123)*'Cálculos'!$D$266)+('Cálculos'!$D$204*(1+'Cálculos'!$D$205+$A$63:$A$108*('Cálculos'!$D$290=3)*'Cálculos'!$D$103)+'Cálculos'!$D$206)*('Cálculos'!$D$257+'Cálculos'!$D$124*(1+2.78*('Cálculos'!$D$199+(($C83)-$A$63:$A$108)*'Cálculos'!$D$98)/(('Cálculos'!$D$199+(($C83)-$A$63:$A$108)*'Cálculos'!$D$98)+1400)+'Cálculos'!$D$122)*'Cálculos'!$D$262+'Cálculos'!$D$125*(1+2.78*('Cálculos'!$D$199+(($C83)-$A$63:$A$108)*'Cálculos'!$D$98)/(('Cálculos'!$D$199+(($C83)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83)-$A$63:$A$108)*'Cálculos'!$D$98)/(('Cálculos'!$D$200+(($C83)-$A$63:$A$108)*'Cálculos'!$D$98)+1400)+'Cálculos'!$D$122)*'Cálculos'!$D$274+'Cálculos'!$D$125*(1+2.78*('Cálculos'!$D$200+(($C83)-$A$63:$A$108)*'Cálculos'!$D$98)/(('Cálculos'!$D$200+(($C83)-$A$63:$A$108)*'Cálculos'!$D$98)+1400)+'Cálculos'!$D$123)*'Cálculos'!$D$279)+('Cálculos'!$D$200+(($C83)-$A$63:$A$108)*'Cálculos'!$D$98)*('Cálculos'!$D$270+'Cálculos'!$D$124*(1+2.78*('Cálculos'!$D$200+(($C83)-$A$63:$A$108)*'Cálculos'!$D$98)/(('Cálculos'!$D$200+(($C83)-$A$63:$A$108)*'Cálculos'!$D$98)+1400)+'Cálculos'!$D$122)*'Cálculos'!$D$275+'Cálculos'!$D$125*(1+2.78*('Cálculos'!$D$200+(($C83)-$A$63:$A$108)*'Cálculos'!$D$98)/(('Cálculos'!$D$200+(($C83)-$A$63:$A$108)*'Cálculos'!$D$98)+1400)+'Cálculos'!$D$123)*'Cálculos'!$D$280)+('Cálculos'!$D$201*(1+'Cálculos'!$D$202+$A$63:$A$108*('Cálculos'!$D$290=2)*'Cálculos'!$D$101)+'Cálculos'!$D$203)*('Cálculos'!$D$271+'Cálculos'!$D$124*(1+2.78*('Cálculos'!$D$200+(($C83)-$A$63:$A$108)*'Cálculos'!$D$98)/(('Cálculos'!$D$200+(($C83)-$A$63:$A$108)*'Cálculos'!$D$98)+1400)+'Cálculos'!$D$122)*'Cálculos'!$D$276+'Cálculos'!$D$125*(1+2.78*('Cálculos'!$D$200+(($C83)-$A$63:$A$108)*'Cálculos'!$D$98)/(('Cálculos'!$D$200+(($C83)-$A$63:$A$108)*'Cálculos'!$D$98)+1400)+'Cálculos'!$D$123)*'Cálculos'!$D$281)+('Cálculos'!$D$204*(1+'Cálculos'!$D$205+$A$63:$A$108*('Cálculos'!$D$290=3)*'Cálculos'!$D$103)+'Cálculos'!$D$206)*('Cálculos'!$D$272+'Cálculos'!$D$124*(1+2.78*('Cálculos'!$D$200+(($C83)-$A$63:$A$108)*'Cálculos'!$D$98)/(('Cálculos'!$D$200+(($C83)-$A$63:$A$108)*'Cálculos'!$D$98)+1400)+'Cálculos'!$D$122)*'Cálculos'!$D$277+'Cálculos'!$D$125*(1+2.78*('Cálculos'!$D$200+(($C83)-$A$63:$A$108)*'Cálculos'!$D$98)/(('Cálculos'!$D$200+(($C83)-$A$63:$A$108)*'Cálculos'!$D$98)+1400)+'Cálculos'!$D$123)*'Cálculos'!$D$282)))))</f>
        <v>0</v>
      </c>
      <c r="E83" s="32">
        <f>IF(OR($C83&lt;0,'Cálculos'!$D$6=""),0,$B83*$D83)</f>
        <v>0</v>
      </c>
      <c r="F83" s="2"/>
      <c r="G83" s="30">
        <f>($A83&lt;=$B$110)*($A83&lt;='Cálculos'!$D$294)*(($B$110)-$A83&lt;='Cálculos'!$D$295)*(1+MIN(('Cálculos'!$D$207+$A83*'Cálculos'!$D$95),1)*('Cálculos'!$D$208+(($B$110)-$A83)*'Cálculos'!$D$96))</f>
        <v>0</v>
      </c>
      <c r="H83" s="31">
        <f>IF($B$111&lt;0,0,($A83&lt;=$B$111)*($A83&lt;='Cálculos'!$D$301)*(($B$111)-$A83&lt;='Cálculos'!$D$297)*(('Cálculos'!$D$185*(1+'Cálculos'!$D$186+$A83*('Cálculos'!$D$290=1)*'Cálculos'!$D$97+'Cálculos'!$D$305)+'Cálculos'!$D$191)*('Cálculos'!$D$209+'Cálculos'!$D$124*(1+2.78*('Cálculos'!$D$196+(($B$111)-$A83)*'Cálculos'!$D$98)/(('Cálculos'!$D$196+(($B$111)-$A83)*'Cálculos'!$D$98)+1400)+'Cálculos'!$D$122)*'Cálculos'!$D$214+'Cálculos'!$D$125*(1+2.78*('Cálculos'!$D$196+(($B$111)-$A83)*'Cálculos'!$D$98)/(('Cálculos'!$D$196+(($B$111)-$A83)*'Cálculos'!$D$98)+1400)+'Cálculos'!$D$123)*'Cálculos'!$D$219)+('Cálculos'!$D$196+(($B$111)-$A83)*'Cálculos'!$D$98)*('Cálculos'!$D$210+'Cálculos'!$D$124*(1+2.78*('Cálculos'!$D$196+(($B$111)-$A83)*'Cálculos'!$D$98)/(('Cálculos'!$D$196+(($B$111)-$A83)*'Cálculos'!$D$98)+1400)+'Cálculos'!$D$122)*'Cálculos'!$D$215+'Cálculos'!$D$125*(1+2.78*('Cálculos'!$D$196+(($B$111)-$A83)*'Cálculos'!$D$98)/(('Cálculos'!$D$196+(($B$111)-$A83)*'Cálculos'!$D$98)+1400)+'Cálculos'!$D$123)*'Cálculos'!$D$220)+('Cálculos'!$D$201*(1+'Cálculos'!$D$202+$A83*('Cálculos'!$D$290=2)*'Cálculos'!$D$101)+'Cálculos'!$D$203)*('Cálculos'!$D$211+'Cálculos'!$D$124*(1+2.78*('Cálculos'!$D$196+(($B$111)-$A83)*'Cálculos'!$D$98)/(('Cálculos'!$D$196+(($B$111)-$A83)*'Cálculos'!$D$98)+1400)+'Cálculos'!$D$122)*'Cálculos'!$D$216+'Cálculos'!$D$125*(1+2.78*('Cálculos'!$D$196+(($B$111)-$A83)*'Cálculos'!$D$98)/(('Cálculos'!$D$196+(($B$111)-$A83)*'Cálculos'!$D$98)+1400)+'Cálculos'!$D$123)*'Cálculos'!$D$221)+('Cálculos'!$D$204*(1+'Cálculos'!$D$205+$A83*('Cálculos'!$D$290=3)*'Cálculos'!$D$103)+'Cálculos'!$D$206)*('Cálculos'!$D$212+'Cálculos'!$D$124*(1+2.78*('Cálculos'!$D$196+(($B$111)-$A83)*'Cálculos'!$D$98)/(('Cálculos'!$D$196+(($B$111)-$A83)*'Cálculos'!$D$98)+1400)+'Cálculos'!$D$122)*'Cálculos'!$D$217+'Cálculos'!$D$125*(1+2.78*('Cálculos'!$D$196+(($B$111)-$A83)*'Cálculos'!$D$98)/(('Cálculos'!$D$196+(($B$111)-$A83)*'Cálculos'!$D$98)+1400)+'Cálculos'!$D$123)*'Cálculos'!$D$222)+('Cálculos'!$D$185*(1+'Cálculos'!$D$187+$A83*('Cálculos'!$D$290=1)*'Cálculos'!$D$97+'Cálculos'!$D$305)+'Cálculos'!$D$192)*('Cálculos'!$D$224+'Cálculos'!$D$124*(1+2.78*('Cálculos'!$D$197+(($B$111)-$A83)*'Cálculos'!$D$98)/(('Cálculos'!$D$197+(($B$111)-$A83)*'Cálculos'!$D$98)+1400)+'Cálculos'!$D$122)*'Cálculos'!$D$229+'Cálculos'!$D$125*(1+2.78*('Cálculos'!$D$197+(($B$111)-$A83)*'Cálculos'!$D$98)/(('Cálculos'!$D$197+(($B$111)-$A83)*'Cálculos'!$D$98)+1400)+'Cálculos'!$D$123)*'Cálculos'!$D$234)+('Cálculos'!$D$197+(($B$111)-$A83)*'Cálculos'!$D$98)*('Cálculos'!$D$225+'Cálculos'!$D$124*(1+2.78*('Cálculos'!$D$197+(($B$111)-$A83)*'Cálculos'!$D$98)/(('Cálculos'!$D$197+(($B$111)-$A83)*'Cálculos'!$D$98)+1400)+'Cálculos'!$D$122)*'Cálculos'!$D$230+'Cálculos'!$D$125*(1+2.78*('Cálculos'!$D$197+(($B$111)-$A83)*'Cálculos'!$D$98)/(('Cálculos'!$D$197+(($B$111)-$A83)*'Cálculos'!$D$98)+1400)+'Cálculos'!$D$123)*'Cálculos'!$D$235)+('Cálculos'!$D$201*(1+'Cálculos'!$D$202+$A83*('Cálculos'!$D$290=2)*'Cálculos'!$D$101)+'Cálculos'!$D$203)*('Cálculos'!$D$226+'Cálculos'!$D$124*(1+2.78*('Cálculos'!$D$197+(($B$111)-$A83)*'Cálculos'!$D$98)/(('Cálculos'!$D$197+(($B$111)-$A83)*'Cálculos'!$D$98)+1400)+'Cálculos'!$D$122)*'Cálculos'!$D$231+'Cálculos'!$D$125*(1+2.78*('Cálculos'!$D$197+(($B$111)-$A83)*'Cálculos'!$D$98)/(('Cálculos'!$D$197+(($B$111)-$A83)*'Cálculos'!$D$98)+1400)+'Cálculos'!$D$123)*'Cálculos'!$D$236)+('Cálculos'!$D$204*(1+'Cálculos'!$D$205+$A83*('Cálculos'!$D$290=3)*'Cálculos'!$D$103)+'Cálculos'!$D$206)*('Cálculos'!$D$227+'Cálculos'!$D$124*(1+2.78*('Cálculos'!$D$197+(($B$111)-$A83)*'Cálculos'!$D$98)/(('Cálculos'!$D$197+(($B$111)-$A83)*'Cálculos'!$D$98)+1400)+'Cálculos'!$D$122)*'Cálculos'!$D$232+'Cálculos'!$D$125*(1+2.78*('Cálculos'!$D$197+(($B$111)-$A83)*'Cálculos'!$D$98)/(('Cálculos'!$D$197+(($B$111)-$A83)*'Cálculos'!$D$98)+1400)+'Cálculos'!$D$123)*'Cálculos'!$D$237)+('Cálculos'!$D$185*(1+'Cálculos'!$D$188+$A83*('Cálculos'!$D$290=1)*'Cálculos'!$D$97+'Cálculos'!$D$305)+'Cálculos'!$D$193)*('Cálculos'!$D$239+'Cálculos'!$D$124*(1+2.78*('Cálculos'!$D$198+(($B$111)-$A83)*'Cálculos'!$D$98)/(('Cálculos'!$D$198+(($B$111)-$A83)*'Cálculos'!$D$98)+1400)+'Cálculos'!$D$122)*'Cálculos'!$D$244+'Cálculos'!$D$125*(1+2.78*('Cálculos'!$D$198+(($B$111)-$A83)*'Cálculos'!$D$98)/(('Cálculos'!$D$198+(($B$111)-$A83)*'Cálculos'!$D$98)+1400)+'Cálculos'!$D$123)*'Cálculos'!$D$249)+('Cálculos'!$D$198+(($B$111)-$A83)*'Cálculos'!$D$98)*('Cálculos'!$D$240+'Cálculos'!$D$124*(1+2.78*('Cálculos'!$D$198+(($B$111)-$A83)*'Cálculos'!$D$98)/(('Cálculos'!$D$198+(($B$111)-$A83)*'Cálculos'!$D$98)+1400)+'Cálculos'!$D$122)*'Cálculos'!$D$245+'Cálculos'!$D$125*(1+2.78*('Cálculos'!$D$198+(($B$111)-$A83)*'Cálculos'!$D$98)/(('Cálculos'!$D$198+(($B$111)-$A83)*'Cálculos'!$D$98)+1400)+'Cálculos'!$D$123)*'Cálculos'!$D$250)+('Cálculos'!$D$201*(1+'Cálculos'!$D$202+$A83*('Cálculos'!$D$290=2)*'Cálculos'!$D$101)+'Cálculos'!$D$203)*('Cálculos'!$D$241+'Cálculos'!$D$124*(1+2.78*('Cálculos'!$D$198+(($B$111)-$A83)*'Cálculos'!$D$98)/(('Cálculos'!$D$198+(($B$111)-$A83)*'Cálculos'!$D$98)+1400)+'Cálculos'!$D$122)*'Cálculos'!$D$246+'Cálculos'!$D$125*(1+2.78*('Cálculos'!$D$198+(($B$111)-$A83)*'Cálculos'!$D$98)/(('Cálculos'!$D$198+(($B$111)-$A83)*'Cálculos'!$D$98)+1400)+'Cálculos'!$D$123)*'Cálculos'!$D$251)+('Cálculos'!$D$204*(1+'Cálculos'!$D$205+$A83*('Cálculos'!$D$290=3)*'Cálculos'!$D$103)+'Cálculos'!$D$206)*('Cálculos'!$D$242+'Cálculos'!$D$124*(1+2.78*('Cálculos'!$D$198+(($B$111)-$A83)*'Cálculos'!$D$98)/(('Cálculos'!$D$198+(($B$111)-$A83)*'Cálculos'!$D$98)+1400)+'Cálculos'!$D$122)*'Cálculos'!$D$247+'Cálculos'!$D$125*(1+2.78*('Cálculos'!$D$198+(($B$111)-$A83)*'Cálculos'!$D$98)/(('Cálculos'!$D$198+(($B$111)-$A83)*'Cálculos'!$D$98)+1400)+'Cálculos'!$D$123)*'Cálculos'!$D$252)+('Cálculos'!$D$185*(1+'Cálculos'!$D$189+$A83*('Cálculos'!$D$290=1)*'Cálculos'!$D$97+'Cálculos'!$D$305)+'Cálculos'!$D$194)*('Cálculos'!$D$254+'Cálculos'!$D$124*(1+2.78*('Cálculos'!$D$199+(($B$111)-$A83)*'Cálculos'!$D$98)/(('Cálculos'!$D$199+(($B$111)-$A83)*'Cálculos'!$D$98)+1400)+'Cálculos'!$D$122)*'Cálculos'!$D$259+'Cálculos'!$D$125*(1+2.78*('Cálculos'!$D$199+(($B$111)-$A83)*'Cálculos'!$D$98)/(('Cálculos'!$D$199+(($B$111)-$A83)*'Cálculos'!$D$98)+1400)+'Cálculos'!$D$123)*'Cálculos'!$D$264)+('Cálculos'!$D$199+(($B$111)-$A83)*'Cálculos'!$D$98)*('Cálculos'!$D$255+'Cálculos'!$D$124*(1+2.78*('Cálculos'!$D$199+(($B$111)-$A83)*'Cálculos'!$D$98)/(('Cálculos'!$D$199+(($B$111)-$A83)*'Cálculos'!$D$98)+1400)+'Cálculos'!$D$122)*'Cálculos'!$D$260+'Cálculos'!$D$125*(1+2.78*('Cálculos'!$D$199+(($B$111)-$A83)*'Cálculos'!$D$98)/(('Cálculos'!$D$199+(($B$111)-$A83)*'Cálculos'!$D$98)+1400)+'Cálculos'!$D$123)*'Cálculos'!$D$265)+('Cálculos'!$D$201*(1+'Cálculos'!$D$202+$A83*('Cálculos'!$D$290=2)*'Cálculos'!$D$101)+'Cálculos'!$D$203)*('Cálculos'!$D$256+'Cálculos'!$D$124*(1+2.78*('Cálculos'!$D$199+(($B$111)-$A83)*'Cálculos'!$D$98)/(('Cálculos'!$D$199+(($B$111)-$A83)*'Cálculos'!$D$98)+1400)+'Cálculos'!$D$122)*'Cálculos'!$D$261+'Cálculos'!$D$125*(1+2.78*('Cálculos'!$D$199+(($B$111)-$A83)*'Cálculos'!$D$98)/(('Cálculos'!$D$199+(($B$111)-$A83)*'Cálculos'!$D$98)+1400)+'Cálculos'!$D$123)*'Cálculos'!$D$266)+('Cálculos'!$D$204*(1+'Cálculos'!$D$205+$A83*('Cálculos'!$D$290=3)*'Cálculos'!$D$103)+'Cálculos'!$D$206)*('Cálculos'!$D$257+'Cálculos'!$D$124*(1+2.78*('Cálculos'!$D$199+(($B$111)-$A83)*'Cálculos'!$D$98)/(('Cálculos'!$D$199+(($B$111)-$A83)*'Cálculos'!$D$98)+1400)+'Cálculos'!$D$122)*'Cálculos'!$D$262+'Cálculos'!$D$125*(1+2.78*('Cálculos'!$D$199+(($B$111)-$A83)*'Cálculos'!$D$98)/(('Cálculos'!$D$199+(($B$111)-$A83)*'Cálculos'!$D$98)+1400)+'Cálculos'!$D$123)*'Cálculos'!$D$267)+('Cálculos'!$D$185*(1+'Cálculos'!$D$190+$A83*('Cálculos'!$D$290=1)*'Cálculos'!$D$97+'Cálculos'!$D$305)+'Cálculos'!$D$195)*('Cálculos'!$D$269+'Cálculos'!$D$124*(1+2.78*('Cálculos'!$D$200+(($B$111)-$A83)*'Cálculos'!$D$98)/(('Cálculos'!$D$200+(($B$111)-$A83)*'Cálculos'!$D$98)+1400)+'Cálculos'!$D$122)*'Cálculos'!$D$274+'Cálculos'!$D$125*(1+2.78*('Cálculos'!$D$200+(($B$111)-$A83)*'Cálculos'!$D$98)/(('Cálculos'!$D$200+(($B$111)-$A83)*'Cálculos'!$D$98)+1400)+'Cálculos'!$D$123)*'Cálculos'!$D$279)+('Cálculos'!$D$200+(($B$111)-$A83)*'Cálculos'!$D$98)*('Cálculos'!$D$270+'Cálculos'!$D$124*(1+2.78*('Cálculos'!$D$200+(($B$111)-$A83)*'Cálculos'!$D$98)/(('Cálculos'!$D$200+(($B$111)-$A83)*'Cálculos'!$D$98)+1400)+'Cálculos'!$D$122)*'Cálculos'!$D$275+'Cálculos'!$D$125*(1+2.78*('Cálculos'!$D$200+(($B$111)-$A83)*'Cálculos'!$D$98)/(('Cálculos'!$D$200+(($B$111)-$A83)*'Cálculos'!$D$98)+1400)+'Cálculos'!$D$123)*'Cálculos'!$D$280)+('Cálculos'!$D$201*(1+'Cálculos'!$D$202+$A83*('Cálculos'!$D$290=2)*'Cálculos'!$D$101)+'Cálculos'!$D$203)*('Cálculos'!$D$271+'Cálculos'!$D$124*(1+2.78*('Cálculos'!$D$200+(($B$111)-$A83)*'Cálculos'!$D$98)/(('Cálculos'!$D$200+(($B$111)-$A83)*'Cálculos'!$D$98)+1400)+'Cálculos'!$D$122)*'Cálculos'!$D$276+'Cálculos'!$D$125*(1+2.78*('Cálculos'!$D$200+(($B$111)-$A83)*'Cálculos'!$D$98)/(('Cálculos'!$D$200+(($B$111)-$A83)*'Cálculos'!$D$98)+1400)+'Cálculos'!$D$123)*'Cálculos'!$D$281)+('Cálculos'!$D$204*(1+'Cálculos'!$D$205+$A83*('Cálculos'!$D$290=3)*'Cálculos'!$D$103)+'Cálculos'!$D$206)*('Cálculos'!$D$272+'Cálculos'!$D$124*(1+2.78*('Cálculos'!$D$200+(($B$111)-$A83)*'Cálculos'!$D$98)/(('Cálculos'!$D$200+(($B$111)-$A83)*'Cálculos'!$D$98)+1400)+'Cálculos'!$D$122)*'Cálculos'!$D$277+'Cálculos'!$D$125*(1+2.78*('Cálculos'!$D$200+(($B$111)-$A83)*'Cálculos'!$D$98)/(('Cálculos'!$D$200+(($B$111)-$A83)*'Cálculos'!$D$98)+1400)+'Cálculos'!$D$123)*'Cálculos'!$D$282)))</f>
        <v>0</v>
      </c>
    </row>
    <row r="84" ht="15.75" customHeight="1">
      <c r="A84" s="2">
        <v>21.0</v>
      </c>
      <c r="B84" s="30">
        <f>SUMPRODUCT(MAX(($A$63:$A$108&lt;=$A84)*($A$63:$A$108&lt;='Cálculos'!$D$294)*(($A84)-$A$63:$A$108&lt;='Cálculos'!$D$295)*(1+(('Cálculos'!$D$207+$A$63:$A$108*'Cálculos'!$D$95)-(('Cálculos'!$D$207+$A$63:$A$108*'Cálculos'!$D$95)&gt;1)*(('Cálculos'!$D$207+$A$63:$A$108*'Cálculos'!$D$95)-1))*('Cálculos'!$D$208+(($A84)-$A$63:$A$108)*'Cálculos'!$D$96))))</f>
        <v>1.759678559</v>
      </c>
      <c r="C84" s="2">
        <f>'Cálculos'!$D$303-$A84</f>
        <v>-10</v>
      </c>
      <c r="D84" s="31">
        <f>IF($C84&lt;0,0,SUMPRODUCT(MAX(($A$63:$A$108&lt;=$C84)*($A$63:$A$108&lt;='Cálculos'!$D$301)*(($C84)-$A$63:$A$108&lt;='Cálculos'!$D$297)*(('Cálculos'!$D$185*(1+'Cálculos'!$D$186+$A$63:$A$108*('Cálculos'!$D$290=1)*'Cálculos'!$D$97+'Cálculos'!$D$305)+'Cálculos'!$D$191)*('Cálculos'!$D$209+'Cálculos'!$D$124*(1+2.78*('Cálculos'!$D$196+(($C84)-$A$63:$A$108)*'Cálculos'!$D$98)/(('Cálculos'!$D$196+(($C84)-$A$63:$A$108)*'Cálculos'!$D$98)+1400)+'Cálculos'!$D$122)*'Cálculos'!$D$214+'Cálculos'!$D$125*(1+2.78*('Cálculos'!$D$196+(($C84)-$A$63:$A$108)*'Cálculos'!$D$98)/(('Cálculos'!$D$196+(($C84)-$A$63:$A$108)*'Cálculos'!$D$98)+1400)+'Cálculos'!$D$123)*'Cálculos'!$D$219)+('Cálculos'!$D$196+(($C84)-$A$63:$A$108)*'Cálculos'!$D$98)*('Cálculos'!$D$210+'Cálculos'!$D$124*(1+2.78*('Cálculos'!$D$196+(($C84)-$A$63:$A$108)*'Cálculos'!$D$98)/(('Cálculos'!$D$196+(($C84)-$A$63:$A$108)*'Cálculos'!$D$98)+1400)+'Cálculos'!$D$122)*'Cálculos'!$D$215+'Cálculos'!$D$125*(1+2.78*('Cálculos'!$D$196+(($C84)-$A$63:$A$108)*'Cálculos'!$D$98)/(('Cálculos'!$D$196+(($C84)-$A$63:$A$108)*'Cálculos'!$D$98)+1400)+'Cálculos'!$D$123)*'Cálculos'!$D$220)+('Cálculos'!$D$201*(1+'Cálculos'!$D$202+$A$63:$A$108*('Cálculos'!$D$290=2)*'Cálculos'!$D$101)+'Cálculos'!$D$203)*('Cálculos'!$D$211+'Cálculos'!$D$124*(1+2.78*('Cálculos'!$D$196+(($C84)-$A$63:$A$108)*'Cálculos'!$D$98)/(('Cálculos'!$D$196+(($C84)-$A$63:$A$108)*'Cálculos'!$D$98)+1400)+'Cálculos'!$D$122)*'Cálculos'!$D$216+'Cálculos'!$D$125*(1+2.78*('Cálculos'!$D$196+(($C84)-$A$63:$A$108)*'Cálculos'!$D$98)/(('Cálculos'!$D$196+(($C84)-$A$63:$A$108)*'Cálculos'!$D$98)+1400)+'Cálculos'!$D$123)*'Cálculos'!$D$221)+('Cálculos'!$D$204*(1+'Cálculos'!$D$205+$A$63:$A$108*('Cálculos'!$D$290=3)*'Cálculos'!$D$103)+'Cálculos'!$D$206)*('Cálculos'!$D$212+'Cálculos'!$D$124*(1+2.78*('Cálculos'!$D$196+(($C84)-$A$63:$A$108)*'Cálculos'!$D$98)/(('Cálculos'!$D$196+(($C84)-$A$63:$A$108)*'Cálculos'!$D$98)+1400)+'Cálculos'!$D$122)*'Cálculos'!$D$217+'Cálculos'!$D$125*(1+2.78*('Cálculos'!$D$196+(($C84)-$A$63:$A$108)*'Cálculos'!$D$98)/(('Cálculos'!$D$196+(($C84)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84)-$A$63:$A$108)*'Cálculos'!$D$98)/(('Cálculos'!$D$197+(($C84)-$A$63:$A$108)*'Cálculos'!$D$98)+1400)+'Cálculos'!$D$122)*'Cálculos'!$D$229+'Cálculos'!$D$125*(1+2.78*('Cálculos'!$D$197+(($C84)-$A$63:$A$108)*'Cálculos'!$D$98)/(('Cálculos'!$D$197+(($C84)-$A$63:$A$108)*'Cálculos'!$D$98)+1400)+'Cálculos'!$D$123)*'Cálculos'!$D$234)+('Cálculos'!$D$197+(($C84)-$A$63:$A$108)*'Cálculos'!$D$98)*('Cálculos'!$D$225+'Cálculos'!$D$124*(1+2.78*('Cálculos'!$D$197+(($C84)-$A$63:$A$108)*'Cálculos'!$D$98)/(('Cálculos'!$D$197+(($C84)-$A$63:$A$108)*'Cálculos'!$D$98)+1400)+'Cálculos'!$D$122)*'Cálculos'!$D$230+'Cálculos'!$D$125*(1+2.78*('Cálculos'!$D$197+(($C84)-$A$63:$A$108)*'Cálculos'!$D$98)/(('Cálculos'!$D$197+(($C84)-$A$63:$A$108)*'Cálculos'!$D$98)+1400)+'Cálculos'!$D$123)*'Cálculos'!$D$235)+('Cálculos'!$D$201*(1+'Cálculos'!$D$202+$A$63:$A$108*('Cálculos'!$D$290=2)*'Cálculos'!$D$101)+'Cálculos'!$D$203)*('Cálculos'!$D$226+'Cálculos'!$D$124*(1+2.78*('Cálculos'!$D$197+(($C84)-$A$63:$A$108)*'Cálculos'!$D$98)/(('Cálculos'!$D$197+(($C84)-$A$63:$A$108)*'Cálculos'!$D$98)+1400)+'Cálculos'!$D$122)*'Cálculos'!$D$231+'Cálculos'!$D$125*(1+2.78*('Cálculos'!$D$197+(($C84)-$A$63:$A$108)*'Cálculos'!$D$98)/(('Cálculos'!$D$197+(($C84)-$A$63:$A$108)*'Cálculos'!$D$98)+1400)+'Cálculos'!$D$123)*'Cálculos'!$D$236)+('Cálculos'!$D$204*(1+'Cálculos'!$D$205+$A$63:$A$108*('Cálculos'!$D$290=3)*'Cálculos'!$D$103)+'Cálculos'!$D$206)*('Cálculos'!$D$227+'Cálculos'!$D$124*(1+2.78*('Cálculos'!$D$197+(($C84)-$A$63:$A$108)*'Cálculos'!$D$98)/(('Cálculos'!$D$197+(($C84)-$A$63:$A$108)*'Cálculos'!$D$98)+1400)+'Cálculos'!$D$122)*'Cálculos'!$D$232+'Cálculos'!$D$125*(1+2.78*('Cálculos'!$D$197+(($C84)-$A$63:$A$108)*'Cálculos'!$D$98)/(('Cálculos'!$D$197+(($C84)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84)-$A$63:$A$108)*'Cálculos'!$D$98)/(('Cálculos'!$D$198+(($C84)-$A$63:$A$108)*'Cálculos'!$D$98)+1400)+'Cálculos'!$D$122)*'Cálculos'!$D$244+'Cálculos'!$D$125*(1+2.78*('Cálculos'!$D$198+(($C84)-$A$63:$A$108)*'Cálculos'!$D$98)/(('Cálculos'!$D$198+(($C84)-$A$63:$A$108)*'Cálculos'!$D$98)+1400)+'Cálculos'!$D$123)*'Cálculos'!$D$249)+('Cálculos'!$D$198+(($C84)-$A$63:$A$108)*'Cálculos'!$D$98)*('Cálculos'!$D$240+'Cálculos'!$D$124*(1+2.78*('Cálculos'!$D$198+(($C84)-$A$63:$A$108)*'Cálculos'!$D$98)/(('Cálculos'!$D$198+(($C84)-$A$63:$A$108)*'Cálculos'!$D$98)+1400)+'Cálculos'!$D$122)*'Cálculos'!$D$245+'Cálculos'!$D$125*(1+2.78*('Cálculos'!$D$198+(($C84)-$A$63:$A$108)*'Cálculos'!$D$98)/(('Cálculos'!$D$198+(($C84)-$A$63:$A$108)*'Cálculos'!$D$98)+1400)+'Cálculos'!$D$123)*'Cálculos'!$D$250)+('Cálculos'!$D$201*(1+'Cálculos'!$D$202+$A$63:$A$108*('Cálculos'!$D$290=2)*'Cálculos'!$D$101)+'Cálculos'!$D$203)*('Cálculos'!$D$241+'Cálculos'!$D$124*(1+2.78*('Cálculos'!$D$198+(($C84)-$A$63:$A$108)*'Cálculos'!$D$98)/(('Cálculos'!$D$198+(($C84)-$A$63:$A$108)*'Cálculos'!$D$98)+1400)+'Cálculos'!$D$122)*'Cálculos'!$D$246+'Cálculos'!$D$125*(1+2.78*('Cálculos'!$D$198+(($C84)-$A$63:$A$108)*'Cálculos'!$D$98)/(('Cálculos'!$D$198+(($C84)-$A$63:$A$108)*'Cálculos'!$D$98)+1400)+'Cálculos'!$D$123)*'Cálculos'!$D$251)+('Cálculos'!$D$204*(1+'Cálculos'!$D$205+$A$63:$A$108*('Cálculos'!$D$290=3)*'Cálculos'!$D$103)+'Cálculos'!$D$206)*('Cálculos'!$D$242+'Cálculos'!$D$124*(1+2.78*('Cálculos'!$D$198+(($C84)-$A$63:$A$108)*'Cálculos'!$D$98)/(('Cálculos'!$D$198+(($C84)-$A$63:$A$108)*'Cálculos'!$D$98)+1400)+'Cálculos'!$D$122)*'Cálculos'!$D$247+'Cálculos'!$D$125*(1+2.78*('Cálculos'!$D$198+(($C84)-$A$63:$A$108)*'Cálculos'!$D$98)/(('Cálculos'!$D$198+(($C84)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84)-$A$63:$A$108)*'Cálculos'!$D$98)/(('Cálculos'!$D$199+(($C84)-$A$63:$A$108)*'Cálculos'!$D$98)+1400)+'Cálculos'!$D$122)*'Cálculos'!$D$259+'Cálculos'!$D$125*(1+2.78*('Cálculos'!$D$199+(($C84)-$A$63:$A$108)*'Cálculos'!$D$98)/(('Cálculos'!$D$199+(($C84)-$A$63:$A$108)*'Cálculos'!$D$98)+1400)+'Cálculos'!$D$123)*'Cálculos'!$D$264)+('Cálculos'!$D$199+(($C84)-$A$63:$A$108)*'Cálculos'!$D$98)*('Cálculos'!$D$255+'Cálculos'!$D$124*(1+2.78*('Cálculos'!$D$199+(($C84)-$A$63:$A$108)*'Cálculos'!$D$98)/(('Cálculos'!$D$199+(($C84)-$A$63:$A$108)*'Cálculos'!$D$98)+1400)+'Cálculos'!$D$122)*'Cálculos'!$D$260+'Cálculos'!$D$125*(1+2.78*('Cálculos'!$D$199+(($C84)-$A$63:$A$108)*'Cálculos'!$D$98)/(('Cálculos'!$D$199+(($C84)-$A$63:$A$108)*'Cálculos'!$D$98)+1400)+'Cálculos'!$D$123)*'Cálculos'!$D$265)+('Cálculos'!$D$201*(1+'Cálculos'!$D$202+$A$63:$A$108*('Cálculos'!$D$290=2)*'Cálculos'!$D$101)+'Cálculos'!$D$203)*('Cálculos'!$D$256+'Cálculos'!$D$124*(1+2.78*('Cálculos'!$D$199+(($C84)-$A$63:$A$108)*'Cálculos'!$D$98)/(('Cálculos'!$D$199+(($C84)-$A$63:$A$108)*'Cálculos'!$D$98)+1400)+'Cálculos'!$D$122)*'Cálculos'!$D$261+'Cálculos'!$D$125*(1+2.78*('Cálculos'!$D$199+(($C84)-$A$63:$A$108)*'Cálculos'!$D$98)/(('Cálculos'!$D$199+(($C84)-$A$63:$A$108)*'Cálculos'!$D$98)+1400)+'Cálculos'!$D$123)*'Cálculos'!$D$266)+('Cálculos'!$D$204*(1+'Cálculos'!$D$205+$A$63:$A$108*('Cálculos'!$D$290=3)*'Cálculos'!$D$103)+'Cálculos'!$D$206)*('Cálculos'!$D$257+'Cálculos'!$D$124*(1+2.78*('Cálculos'!$D$199+(($C84)-$A$63:$A$108)*'Cálculos'!$D$98)/(('Cálculos'!$D$199+(($C84)-$A$63:$A$108)*'Cálculos'!$D$98)+1400)+'Cálculos'!$D$122)*'Cálculos'!$D$262+'Cálculos'!$D$125*(1+2.78*('Cálculos'!$D$199+(($C84)-$A$63:$A$108)*'Cálculos'!$D$98)/(('Cálculos'!$D$199+(($C84)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84)-$A$63:$A$108)*'Cálculos'!$D$98)/(('Cálculos'!$D$200+(($C84)-$A$63:$A$108)*'Cálculos'!$D$98)+1400)+'Cálculos'!$D$122)*'Cálculos'!$D$274+'Cálculos'!$D$125*(1+2.78*('Cálculos'!$D$200+(($C84)-$A$63:$A$108)*'Cálculos'!$D$98)/(('Cálculos'!$D$200+(($C84)-$A$63:$A$108)*'Cálculos'!$D$98)+1400)+'Cálculos'!$D$123)*'Cálculos'!$D$279)+('Cálculos'!$D$200+(($C84)-$A$63:$A$108)*'Cálculos'!$D$98)*('Cálculos'!$D$270+'Cálculos'!$D$124*(1+2.78*('Cálculos'!$D$200+(($C84)-$A$63:$A$108)*'Cálculos'!$D$98)/(('Cálculos'!$D$200+(($C84)-$A$63:$A$108)*'Cálculos'!$D$98)+1400)+'Cálculos'!$D$122)*'Cálculos'!$D$275+'Cálculos'!$D$125*(1+2.78*('Cálculos'!$D$200+(($C84)-$A$63:$A$108)*'Cálculos'!$D$98)/(('Cálculos'!$D$200+(($C84)-$A$63:$A$108)*'Cálculos'!$D$98)+1400)+'Cálculos'!$D$123)*'Cálculos'!$D$280)+('Cálculos'!$D$201*(1+'Cálculos'!$D$202+$A$63:$A$108*('Cálculos'!$D$290=2)*'Cálculos'!$D$101)+'Cálculos'!$D$203)*('Cálculos'!$D$271+'Cálculos'!$D$124*(1+2.78*('Cálculos'!$D$200+(($C84)-$A$63:$A$108)*'Cálculos'!$D$98)/(('Cálculos'!$D$200+(($C84)-$A$63:$A$108)*'Cálculos'!$D$98)+1400)+'Cálculos'!$D$122)*'Cálculos'!$D$276+'Cálculos'!$D$125*(1+2.78*('Cálculos'!$D$200+(($C84)-$A$63:$A$108)*'Cálculos'!$D$98)/(('Cálculos'!$D$200+(($C84)-$A$63:$A$108)*'Cálculos'!$D$98)+1400)+'Cálculos'!$D$123)*'Cálculos'!$D$281)+('Cálculos'!$D$204*(1+'Cálculos'!$D$205+$A$63:$A$108*('Cálculos'!$D$290=3)*'Cálculos'!$D$103)+'Cálculos'!$D$206)*('Cálculos'!$D$272+'Cálculos'!$D$124*(1+2.78*('Cálculos'!$D$200+(($C84)-$A$63:$A$108)*'Cálculos'!$D$98)/(('Cálculos'!$D$200+(($C84)-$A$63:$A$108)*'Cálculos'!$D$98)+1400)+'Cálculos'!$D$122)*'Cálculos'!$D$277+'Cálculos'!$D$125*(1+2.78*('Cálculos'!$D$200+(($C84)-$A$63:$A$108)*'Cálculos'!$D$98)/(('Cálculos'!$D$200+(($C84)-$A$63:$A$108)*'Cálculos'!$D$98)+1400)+'Cálculos'!$D$123)*'Cálculos'!$D$282)))))</f>
        <v>0</v>
      </c>
      <c r="E84" s="32">
        <f>IF(OR($C84&lt;0,'Cálculos'!$D$6=""),0,$B84*$D84)</f>
        <v>0</v>
      </c>
      <c r="F84" s="2"/>
      <c r="G84" s="30">
        <f>($A84&lt;=$B$110)*($A84&lt;='Cálculos'!$D$294)*(($B$110)-$A84&lt;='Cálculos'!$D$295)*(1+MIN(('Cálculos'!$D$207+$A84*'Cálculos'!$D$95),1)*('Cálculos'!$D$208+(($B$110)-$A84)*'Cálculos'!$D$96))</f>
        <v>0</v>
      </c>
      <c r="H84" s="31">
        <f>IF($B$111&lt;0,0,($A84&lt;=$B$111)*($A84&lt;='Cálculos'!$D$301)*(($B$111)-$A84&lt;='Cálculos'!$D$297)*(('Cálculos'!$D$185*(1+'Cálculos'!$D$186+$A84*('Cálculos'!$D$290=1)*'Cálculos'!$D$97+'Cálculos'!$D$305)+'Cálculos'!$D$191)*('Cálculos'!$D$209+'Cálculos'!$D$124*(1+2.78*('Cálculos'!$D$196+(($B$111)-$A84)*'Cálculos'!$D$98)/(('Cálculos'!$D$196+(($B$111)-$A84)*'Cálculos'!$D$98)+1400)+'Cálculos'!$D$122)*'Cálculos'!$D$214+'Cálculos'!$D$125*(1+2.78*('Cálculos'!$D$196+(($B$111)-$A84)*'Cálculos'!$D$98)/(('Cálculos'!$D$196+(($B$111)-$A84)*'Cálculos'!$D$98)+1400)+'Cálculos'!$D$123)*'Cálculos'!$D$219)+('Cálculos'!$D$196+(($B$111)-$A84)*'Cálculos'!$D$98)*('Cálculos'!$D$210+'Cálculos'!$D$124*(1+2.78*('Cálculos'!$D$196+(($B$111)-$A84)*'Cálculos'!$D$98)/(('Cálculos'!$D$196+(($B$111)-$A84)*'Cálculos'!$D$98)+1400)+'Cálculos'!$D$122)*'Cálculos'!$D$215+'Cálculos'!$D$125*(1+2.78*('Cálculos'!$D$196+(($B$111)-$A84)*'Cálculos'!$D$98)/(('Cálculos'!$D$196+(($B$111)-$A84)*'Cálculos'!$D$98)+1400)+'Cálculos'!$D$123)*'Cálculos'!$D$220)+('Cálculos'!$D$201*(1+'Cálculos'!$D$202+$A84*('Cálculos'!$D$290=2)*'Cálculos'!$D$101)+'Cálculos'!$D$203)*('Cálculos'!$D$211+'Cálculos'!$D$124*(1+2.78*('Cálculos'!$D$196+(($B$111)-$A84)*'Cálculos'!$D$98)/(('Cálculos'!$D$196+(($B$111)-$A84)*'Cálculos'!$D$98)+1400)+'Cálculos'!$D$122)*'Cálculos'!$D$216+'Cálculos'!$D$125*(1+2.78*('Cálculos'!$D$196+(($B$111)-$A84)*'Cálculos'!$D$98)/(('Cálculos'!$D$196+(($B$111)-$A84)*'Cálculos'!$D$98)+1400)+'Cálculos'!$D$123)*'Cálculos'!$D$221)+('Cálculos'!$D$204*(1+'Cálculos'!$D$205+$A84*('Cálculos'!$D$290=3)*'Cálculos'!$D$103)+'Cálculos'!$D$206)*('Cálculos'!$D$212+'Cálculos'!$D$124*(1+2.78*('Cálculos'!$D$196+(($B$111)-$A84)*'Cálculos'!$D$98)/(('Cálculos'!$D$196+(($B$111)-$A84)*'Cálculos'!$D$98)+1400)+'Cálculos'!$D$122)*'Cálculos'!$D$217+'Cálculos'!$D$125*(1+2.78*('Cálculos'!$D$196+(($B$111)-$A84)*'Cálculos'!$D$98)/(('Cálculos'!$D$196+(($B$111)-$A84)*'Cálculos'!$D$98)+1400)+'Cálculos'!$D$123)*'Cálculos'!$D$222)+('Cálculos'!$D$185*(1+'Cálculos'!$D$187+$A84*('Cálculos'!$D$290=1)*'Cálculos'!$D$97+'Cálculos'!$D$305)+'Cálculos'!$D$192)*('Cálculos'!$D$224+'Cálculos'!$D$124*(1+2.78*('Cálculos'!$D$197+(($B$111)-$A84)*'Cálculos'!$D$98)/(('Cálculos'!$D$197+(($B$111)-$A84)*'Cálculos'!$D$98)+1400)+'Cálculos'!$D$122)*'Cálculos'!$D$229+'Cálculos'!$D$125*(1+2.78*('Cálculos'!$D$197+(($B$111)-$A84)*'Cálculos'!$D$98)/(('Cálculos'!$D$197+(($B$111)-$A84)*'Cálculos'!$D$98)+1400)+'Cálculos'!$D$123)*'Cálculos'!$D$234)+('Cálculos'!$D$197+(($B$111)-$A84)*'Cálculos'!$D$98)*('Cálculos'!$D$225+'Cálculos'!$D$124*(1+2.78*('Cálculos'!$D$197+(($B$111)-$A84)*'Cálculos'!$D$98)/(('Cálculos'!$D$197+(($B$111)-$A84)*'Cálculos'!$D$98)+1400)+'Cálculos'!$D$122)*'Cálculos'!$D$230+'Cálculos'!$D$125*(1+2.78*('Cálculos'!$D$197+(($B$111)-$A84)*'Cálculos'!$D$98)/(('Cálculos'!$D$197+(($B$111)-$A84)*'Cálculos'!$D$98)+1400)+'Cálculos'!$D$123)*'Cálculos'!$D$235)+('Cálculos'!$D$201*(1+'Cálculos'!$D$202+$A84*('Cálculos'!$D$290=2)*'Cálculos'!$D$101)+'Cálculos'!$D$203)*('Cálculos'!$D$226+'Cálculos'!$D$124*(1+2.78*('Cálculos'!$D$197+(($B$111)-$A84)*'Cálculos'!$D$98)/(('Cálculos'!$D$197+(($B$111)-$A84)*'Cálculos'!$D$98)+1400)+'Cálculos'!$D$122)*'Cálculos'!$D$231+'Cálculos'!$D$125*(1+2.78*('Cálculos'!$D$197+(($B$111)-$A84)*'Cálculos'!$D$98)/(('Cálculos'!$D$197+(($B$111)-$A84)*'Cálculos'!$D$98)+1400)+'Cálculos'!$D$123)*'Cálculos'!$D$236)+('Cálculos'!$D$204*(1+'Cálculos'!$D$205+$A84*('Cálculos'!$D$290=3)*'Cálculos'!$D$103)+'Cálculos'!$D$206)*('Cálculos'!$D$227+'Cálculos'!$D$124*(1+2.78*('Cálculos'!$D$197+(($B$111)-$A84)*'Cálculos'!$D$98)/(('Cálculos'!$D$197+(($B$111)-$A84)*'Cálculos'!$D$98)+1400)+'Cálculos'!$D$122)*'Cálculos'!$D$232+'Cálculos'!$D$125*(1+2.78*('Cálculos'!$D$197+(($B$111)-$A84)*'Cálculos'!$D$98)/(('Cálculos'!$D$197+(($B$111)-$A84)*'Cálculos'!$D$98)+1400)+'Cálculos'!$D$123)*'Cálculos'!$D$237)+('Cálculos'!$D$185*(1+'Cálculos'!$D$188+$A84*('Cálculos'!$D$290=1)*'Cálculos'!$D$97+'Cálculos'!$D$305)+'Cálculos'!$D$193)*('Cálculos'!$D$239+'Cálculos'!$D$124*(1+2.78*('Cálculos'!$D$198+(($B$111)-$A84)*'Cálculos'!$D$98)/(('Cálculos'!$D$198+(($B$111)-$A84)*'Cálculos'!$D$98)+1400)+'Cálculos'!$D$122)*'Cálculos'!$D$244+'Cálculos'!$D$125*(1+2.78*('Cálculos'!$D$198+(($B$111)-$A84)*'Cálculos'!$D$98)/(('Cálculos'!$D$198+(($B$111)-$A84)*'Cálculos'!$D$98)+1400)+'Cálculos'!$D$123)*'Cálculos'!$D$249)+('Cálculos'!$D$198+(($B$111)-$A84)*'Cálculos'!$D$98)*('Cálculos'!$D$240+'Cálculos'!$D$124*(1+2.78*('Cálculos'!$D$198+(($B$111)-$A84)*'Cálculos'!$D$98)/(('Cálculos'!$D$198+(($B$111)-$A84)*'Cálculos'!$D$98)+1400)+'Cálculos'!$D$122)*'Cálculos'!$D$245+'Cálculos'!$D$125*(1+2.78*('Cálculos'!$D$198+(($B$111)-$A84)*'Cálculos'!$D$98)/(('Cálculos'!$D$198+(($B$111)-$A84)*'Cálculos'!$D$98)+1400)+'Cálculos'!$D$123)*'Cálculos'!$D$250)+('Cálculos'!$D$201*(1+'Cálculos'!$D$202+$A84*('Cálculos'!$D$290=2)*'Cálculos'!$D$101)+'Cálculos'!$D$203)*('Cálculos'!$D$241+'Cálculos'!$D$124*(1+2.78*('Cálculos'!$D$198+(($B$111)-$A84)*'Cálculos'!$D$98)/(('Cálculos'!$D$198+(($B$111)-$A84)*'Cálculos'!$D$98)+1400)+'Cálculos'!$D$122)*'Cálculos'!$D$246+'Cálculos'!$D$125*(1+2.78*('Cálculos'!$D$198+(($B$111)-$A84)*'Cálculos'!$D$98)/(('Cálculos'!$D$198+(($B$111)-$A84)*'Cálculos'!$D$98)+1400)+'Cálculos'!$D$123)*'Cálculos'!$D$251)+('Cálculos'!$D$204*(1+'Cálculos'!$D$205+$A84*('Cálculos'!$D$290=3)*'Cálculos'!$D$103)+'Cálculos'!$D$206)*('Cálculos'!$D$242+'Cálculos'!$D$124*(1+2.78*('Cálculos'!$D$198+(($B$111)-$A84)*'Cálculos'!$D$98)/(('Cálculos'!$D$198+(($B$111)-$A84)*'Cálculos'!$D$98)+1400)+'Cálculos'!$D$122)*'Cálculos'!$D$247+'Cálculos'!$D$125*(1+2.78*('Cálculos'!$D$198+(($B$111)-$A84)*'Cálculos'!$D$98)/(('Cálculos'!$D$198+(($B$111)-$A84)*'Cálculos'!$D$98)+1400)+'Cálculos'!$D$123)*'Cálculos'!$D$252)+('Cálculos'!$D$185*(1+'Cálculos'!$D$189+$A84*('Cálculos'!$D$290=1)*'Cálculos'!$D$97+'Cálculos'!$D$305)+'Cálculos'!$D$194)*('Cálculos'!$D$254+'Cálculos'!$D$124*(1+2.78*('Cálculos'!$D$199+(($B$111)-$A84)*'Cálculos'!$D$98)/(('Cálculos'!$D$199+(($B$111)-$A84)*'Cálculos'!$D$98)+1400)+'Cálculos'!$D$122)*'Cálculos'!$D$259+'Cálculos'!$D$125*(1+2.78*('Cálculos'!$D$199+(($B$111)-$A84)*'Cálculos'!$D$98)/(('Cálculos'!$D$199+(($B$111)-$A84)*'Cálculos'!$D$98)+1400)+'Cálculos'!$D$123)*'Cálculos'!$D$264)+('Cálculos'!$D$199+(($B$111)-$A84)*'Cálculos'!$D$98)*('Cálculos'!$D$255+'Cálculos'!$D$124*(1+2.78*('Cálculos'!$D$199+(($B$111)-$A84)*'Cálculos'!$D$98)/(('Cálculos'!$D$199+(($B$111)-$A84)*'Cálculos'!$D$98)+1400)+'Cálculos'!$D$122)*'Cálculos'!$D$260+'Cálculos'!$D$125*(1+2.78*('Cálculos'!$D$199+(($B$111)-$A84)*'Cálculos'!$D$98)/(('Cálculos'!$D$199+(($B$111)-$A84)*'Cálculos'!$D$98)+1400)+'Cálculos'!$D$123)*'Cálculos'!$D$265)+('Cálculos'!$D$201*(1+'Cálculos'!$D$202+$A84*('Cálculos'!$D$290=2)*'Cálculos'!$D$101)+'Cálculos'!$D$203)*('Cálculos'!$D$256+'Cálculos'!$D$124*(1+2.78*('Cálculos'!$D$199+(($B$111)-$A84)*'Cálculos'!$D$98)/(('Cálculos'!$D$199+(($B$111)-$A84)*'Cálculos'!$D$98)+1400)+'Cálculos'!$D$122)*'Cálculos'!$D$261+'Cálculos'!$D$125*(1+2.78*('Cálculos'!$D$199+(($B$111)-$A84)*'Cálculos'!$D$98)/(('Cálculos'!$D$199+(($B$111)-$A84)*'Cálculos'!$D$98)+1400)+'Cálculos'!$D$123)*'Cálculos'!$D$266)+('Cálculos'!$D$204*(1+'Cálculos'!$D$205+$A84*('Cálculos'!$D$290=3)*'Cálculos'!$D$103)+'Cálculos'!$D$206)*('Cálculos'!$D$257+'Cálculos'!$D$124*(1+2.78*('Cálculos'!$D$199+(($B$111)-$A84)*'Cálculos'!$D$98)/(('Cálculos'!$D$199+(($B$111)-$A84)*'Cálculos'!$D$98)+1400)+'Cálculos'!$D$122)*'Cálculos'!$D$262+'Cálculos'!$D$125*(1+2.78*('Cálculos'!$D$199+(($B$111)-$A84)*'Cálculos'!$D$98)/(('Cálculos'!$D$199+(($B$111)-$A84)*'Cálculos'!$D$98)+1400)+'Cálculos'!$D$123)*'Cálculos'!$D$267)+('Cálculos'!$D$185*(1+'Cálculos'!$D$190+$A84*('Cálculos'!$D$290=1)*'Cálculos'!$D$97+'Cálculos'!$D$305)+'Cálculos'!$D$195)*('Cálculos'!$D$269+'Cálculos'!$D$124*(1+2.78*('Cálculos'!$D$200+(($B$111)-$A84)*'Cálculos'!$D$98)/(('Cálculos'!$D$200+(($B$111)-$A84)*'Cálculos'!$D$98)+1400)+'Cálculos'!$D$122)*'Cálculos'!$D$274+'Cálculos'!$D$125*(1+2.78*('Cálculos'!$D$200+(($B$111)-$A84)*'Cálculos'!$D$98)/(('Cálculos'!$D$200+(($B$111)-$A84)*'Cálculos'!$D$98)+1400)+'Cálculos'!$D$123)*'Cálculos'!$D$279)+('Cálculos'!$D$200+(($B$111)-$A84)*'Cálculos'!$D$98)*('Cálculos'!$D$270+'Cálculos'!$D$124*(1+2.78*('Cálculos'!$D$200+(($B$111)-$A84)*'Cálculos'!$D$98)/(('Cálculos'!$D$200+(($B$111)-$A84)*'Cálculos'!$D$98)+1400)+'Cálculos'!$D$122)*'Cálculos'!$D$275+'Cálculos'!$D$125*(1+2.78*('Cálculos'!$D$200+(($B$111)-$A84)*'Cálculos'!$D$98)/(('Cálculos'!$D$200+(($B$111)-$A84)*'Cálculos'!$D$98)+1400)+'Cálculos'!$D$123)*'Cálculos'!$D$280)+('Cálculos'!$D$201*(1+'Cálculos'!$D$202+$A84*('Cálculos'!$D$290=2)*'Cálculos'!$D$101)+'Cálculos'!$D$203)*('Cálculos'!$D$271+'Cálculos'!$D$124*(1+2.78*('Cálculos'!$D$200+(($B$111)-$A84)*'Cálculos'!$D$98)/(('Cálculos'!$D$200+(($B$111)-$A84)*'Cálculos'!$D$98)+1400)+'Cálculos'!$D$122)*'Cálculos'!$D$276+'Cálculos'!$D$125*(1+2.78*('Cálculos'!$D$200+(($B$111)-$A84)*'Cálculos'!$D$98)/(('Cálculos'!$D$200+(($B$111)-$A84)*'Cálculos'!$D$98)+1400)+'Cálculos'!$D$123)*'Cálculos'!$D$281)+('Cálculos'!$D$204*(1+'Cálculos'!$D$205+$A84*('Cálculos'!$D$290=3)*'Cálculos'!$D$103)+'Cálculos'!$D$206)*('Cálculos'!$D$272+'Cálculos'!$D$124*(1+2.78*('Cálculos'!$D$200+(($B$111)-$A84)*'Cálculos'!$D$98)/(('Cálculos'!$D$200+(($B$111)-$A84)*'Cálculos'!$D$98)+1400)+'Cálculos'!$D$122)*'Cálculos'!$D$277+'Cálculos'!$D$125*(1+2.78*('Cálculos'!$D$200+(($B$111)-$A84)*'Cálculos'!$D$98)/(('Cálculos'!$D$200+(($B$111)-$A84)*'Cálculos'!$D$98)+1400)+'Cálculos'!$D$123)*'Cálculos'!$D$282)))</f>
        <v>0</v>
      </c>
    </row>
    <row r="85" ht="15.75" customHeight="1">
      <c r="A85" s="2">
        <v>22.0</v>
      </c>
      <c r="B85" s="30">
        <f>SUMPRODUCT(MAX(($A$63:$A$108&lt;=$A85)*($A$63:$A$108&lt;='Cálculos'!$D$294)*(($A85)-$A$63:$A$108&lt;='Cálculos'!$D$295)*(1+(('Cálculos'!$D$207+$A$63:$A$108*'Cálculos'!$D$95)-(('Cálculos'!$D$207+$A$63:$A$108*'Cálculos'!$D$95)&gt;1)*(('Cálculos'!$D$207+$A$63:$A$108*'Cálculos'!$D$95)-1))*('Cálculos'!$D$208+(($A85)-$A$63:$A$108)*'Cálculos'!$D$96))))</f>
        <v>1.794343646</v>
      </c>
      <c r="C85" s="2">
        <f>'Cálculos'!$D$303-$A85</f>
        <v>-11</v>
      </c>
      <c r="D85" s="31">
        <f>IF($C85&lt;0,0,SUMPRODUCT(MAX(($A$63:$A$108&lt;=$C85)*($A$63:$A$108&lt;='Cálculos'!$D$301)*(($C85)-$A$63:$A$108&lt;='Cálculos'!$D$297)*(('Cálculos'!$D$185*(1+'Cálculos'!$D$186+$A$63:$A$108*('Cálculos'!$D$290=1)*'Cálculos'!$D$97+'Cálculos'!$D$305)+'Cálculos'!$D$191)*('Cálculos'!$D$209+'Cálculos'!$D$124*(1+2.78*('Cálculos'!$D$196+(($C85)-$A$63:$A$108)*'Cálculos'!$D$98)/(('Cálculos'!$D$196+(($C85)-$A$63:$A$108)*'Cálculos'!$D$98)+1400)+'Cálculos'!$D$122)*'Cálculos'!$D$214+'Cálculos'!$D$125*(1+2.78*('Cálculos'!$D$196+(($C85)-$A$63:$A$108)*'Cálculos'!$D$98)/(('Cálculos'!$D$196+(($C85)-$A$63:$A$108)*'Cálculos'!$D$98)+1400)+'Cálculos'!$D$123)*'Cálculos'!$D$219)+('Cálculos'!$D$196+(($C85)-$A$63:$A$108)*'Cálculos'!$D$98)*('Cálculos'!$D$210+'Cálculos'!$D$124*(1+2.78*('Cálculos'!$D$196+(($C85)-$A$63:$A$108)*'Cálculos'!$D$98)/(('Cálculos'!$D$196+(($C85)-$A$63:$A$108)*'Cálculos'!$D$98)+1400)+'Cálculos'!$D$122)*'Cálculos'!$D$215+'Cálculos'!$D$125*(1+2.78*('Cálculos'!$D$196+(($C85)-$A$63:$A$108)*'Cálculos'!$D$98)/(('Cálculos'!$D$196+(($C85)-$A$63:$A$108)*'Cálculos'!$D$98)+1400)+'Cálculos'!$D$123)*'Cálculos'!$D$220)+('Cálculos'!$D$201*(1+'Cálculos'!$D$202+$A$63:$A$108*('Cálculos'!$D$290=2)*'Cálculos'!$D$101)+'Cálculos'!$D$203)*('Cálculos'!$D$211+'Cálculos'!$D$124*(1+2.78*('Cálculos'!$D$196+(($C85)-$A$63:$A$108)*'Cálculos'!$D$98)/(('Cálculos'!$D$196+(($C85)-$A$63:$A$108)*'Cálculos'!$D$98)+1400)+'Cálculos'!$D$122)*'Cálculos'!$D$216+'Cálculos'!$D$125*(1+2.78*('Cálculos'!$D$196+(($C85)-$A$63:$A$108)*'Cálculos'!$D$98)/(('Cálculos'!$D$196+(($C85)-$A$63:$A$108)*'Cálculos'!$D$98)+1400)+'Cálculos'!$D$123)*'Cálculos'!$D$221)+('Cálculos'!$D$204*(1+'Cálculos'!$D$205+$A$63:$A$108*('Cálculos'!$D$290=3)*'Cálculos'!$D$103)+'Cálculos'!$D$206)*('Cálculos'!$D$212+'Cálculos'!$D$124*(1+2.78*('Cálculos'!$D$196+(($C85)-$A$63:$A$108)*'Cálculos'!$D$98)/(('Cálculos'!$D$196+(($C85)-$A$63:$A$108)*'Cálculos'!$D$98)+1400)+'Cálculos'!$D$122)*'Cálculos'!$D$217+'Cálculos'!$D$125*(1+2.78*('Cálculos'!$D$196+(($C85)-$A$63:$A$108)*'Cálculos'!$D$98)/(('Cálculos'!$D$196+(($C85)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85)-$A$63:$A$108)*'Cálculos'!$D$98)/(('Cálculos'!$D$197+(($C85)-$A$63:$A$108)*'Cálculos'!$D$98)+1400)+'Cálculos'!$D$122)*'Cálculos'!$D$229+'Cálculos'!$D$125*(1+2.78*('Cálculos'!$D$197+(($C85)-$A$63:$A$108)*'Cálculos'!$D$98)/(('Cálculos'!$D$197+(($C85)-$A$63:$A$108)*'Cálculos'!$D$98)+1400)+'Cálculos'!$D$123)*'Cálculos'!$D$234)+('Cálculos'!$D$197+(($C85)-$A$63:$A$108)*'Cálculos'!$D$98)*('Cálculos'!$D$225+'Cálculos'!$D$124*(1+2.78*('Cálculos'!$D$197+(($C85)-$A$63:$A$108)*'Cálculos'!$D$98)/(('Cálculos'!$D$197+(($C85)-$A$63:$A$108)*'Cálculos'!$D$98)+1400)+'Cálculos'!$D$122)*'Cálculos'!$D$230+'Cálculos'!$D$125*(1+2.78*('Cálculos'!$D$197+(($C85)-$A$63:$A$108)*'Cálculos'!$D$98)/(('Cálculos'!$D$197+(($C85)-$A$63:$A$108)*'Cálculos'!$D$98)+1400)+'Cálculos'!$D$123)*'Cálculos'!$D$235)+('Cálculos'!$D$201*(1+'Cálculos'!$D$202+$A$63:$A$108*('Cálculos'!$D$290=2)*'Cálculos'!$D$101)+'Cálculos'!$D$203)*('Cálculos'!$D$226+'Cálculos'!$D$124*(1+2.78*('Cálculos'!$D$197+(($C85)-$A$63:$A$108)*'Cálculos'!$D$98)/(('Cálculos'!$D$197+(($C85)-$A$63:$A$108)*'Cálculos'!$D$98)+1400)+'Cálculos'!$D$122)*'Cálculos'!$D$231+'Cálculos'!$D$125*(1+2.78*('Cálculos'!$D$197+(($C85)-$A$63:$A$108)*'Cálculos'!$D$98)/(('Cálculos'!$D$197+(($C85)-$A$63:$A$108)*'Cálculos'!$D$98)+1400)+'Cálculos'!$D$123)*'Cálculos'!$D$236)+('Cálculos'!$D$204*(1+'Cálculos'!$D$205+$A$63:$A$108*('Cálculos'!$D$290=3)*'Cálculos'!$D$103)+'Cálculos'!$D$206)*('Cálculos'!$D$227+'Cálculos'!$D$124*(1+2.78*('Cálculos'!$D$197+(($C85)-$A$63:$A$108)*'Cálculos'!$D$98)/(('Cálculos'!$D$197+(($C85)-$A$63:$A$108)*'Cálculos'!$D$98)+1400)+'Cálculos'!$D$122)*'Cálculos'!$D$232+'Cálculos'!$D$125*(1+2.78*('Cálculos'!$D$197+(($C85)-$A$63:$A$108)*'Cálculos'!$D$98)/(('Cálculos'!$D$197+(($C85)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85)-$A$63:$A$108)*'Cálculos'!$D$98)/(('Cálculos'!$D$198+(($C85)-$A$63:$A$108)*'Cálculos'!$D$98)+1400)+'Cálculos'!$D$122)*'Cálculos'!$D$244+'Cálculos'!$D$125*(1+2.78*('Cálculos'!$D$198+(($C85)-$A$63:$A$108)*'Cálculos'!$D$98)/(('Cálculos'!$D$198+(($C85)-$A$63:$A$108)*'Cálculos'!$D$98)+1400)+'Cálculos'!$D$123)*'Cálculos'!$D$249)+('Cálculos'!$D$198+(($C85)-$A$63:$A$108)*'Cálculos'!$D$98)*('Cálculos'!$D$240+'Cálculos'!$D$124*(1+2.78*('Cálculos'!$D$198+(($C85)-$A$63:$A$108)*'Cálculos'!$D$98)/(('Cálculos'!$D$198+(($C85)-$A$63:$A$108)*'Cálculos'!$D$98)+1400)+'Cálculos'!$D$122)*'Cálculos'!$D$245+'Cálculos'!$D$125*(1+2.78*('Cálculos'!$D$198+(($C85)-$A$63:$A$108)*'Cálculos'!$D$98)/(('Cálculos'!$D$198+(($C85)-$A$63:$A$108)*'Cálculos'!$D$98)+1400)+'Cálculos'!$D$123)*'Cálculos'!$D$250)+('Cálculos'!$D$201*(1+'Cálculos'!$D$202+$A$63:$A$108*('Cálculos'!$D$290=2)*'Cálculos'!$D$101)+'Cálculos'!$D$203)*('Cálculos'!$D$241+'Cálculos'!$D$124*(1+2.78*('Cálculos'!$D$198+(($C85)-$A$63:$A$108)*'Cálculos'!$D$98)/(('Cálculos'!$D$198+(($C85)-$A$63:$A$108)*'Cálculos'!$D$98)+1400)+'Cálculos'!$D$122)*'Cálculos'!$D$246+'Cálculos'!$D$125*(1+2.78*('Cálculos'!$D$198+(($C85)-$A$63:$A$108)*'Cálculos'!$D$98)/(('Cálculos'!$D$198+(($C85)-$A$63:$A$108)*'Cálculos'!$D$98)+1400)+'Cálculos'!$D$123)*'Cálculos'!$D$251)+('Cálculos'!$D$204*(1+'Cálculos'!$D$205+$A$63:$A$108*('Cálculos'!$D$290=3)*'Cálculos'!$D$103)+'Cálculos'!$D$206)*('Cálculos'!$D$242+'Cálculos'!$D$124*(1+2.78*('Cálculos'!$D$198+(($C85)-$A$63:$A$108)*'Cálculos'!$D$98)/(('Cálculos'!$D$198+(($C85)-$A$63:$A$108)*'Cálculos'!$D$98)+1400)+'Cálculos'!$D$122)*'Cálculos'!$D$247+'Cálculos'!$D$125*(1+2.78*('Cálculos'!$D$198+(($C85)-$A$63:$A$108)*'Cálculos'!$D$98)/(('Cálculos'!$D$198+(($C85)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85)-$A$63:$A$108)*'Cálculos'!$D$98)/(('Cálculos'!$D$199+(($C85)-$A$63:$A$108)*'Cálculos'!$D$98)+1400)+'Cálculos'!$D$122)*'Cálculos'!$D$259+'Cálculos'!$D$125*(1+2.78*('Cálculos'!$D$199+(($C85)-$A$63:$A$108)*'Cálculos'!$D$98)/(('Cálculos'!$D$199+(($C85)-$A$63:$A$108)*'Cálculos'!$D$98)+1400)+'Cálculos'!$D$123)*'Cálculos'!$D$264)+('Cálculos'!$D$199+(($C85)-$A$63:$A$108)*'Cálculos'!$D$98)*('Cálculos'!$D$255+'Cálculos'!$D$124*(1+2.78*('Cálculos'!$D$199+(($C85)-$A$63:$A$108)*'Cálculos'!$D$98)/(('Cálculos'!$D$199+(($C85)-$A$63:$A$108)*'Cálculos'!$D$98)+1400)+'Cálculos'!$D$122)*'Cálculos'!$D$260+'Cálculos'!$D$125*(1+2.78*('Cálculos'!$D$199+(($C85)-$A$63:$A$108)*'Cálculos'!$D$98)/(('Cálculos'!$D$199+(($C85)-$A$63:$A$108)*'Cálculos'!$D$98)+1400)+'Cálculos'!$D$123)*'Cálculos'!$D$265)+('Cálculos'!$D$201*(1+'Cálculos'!$D$202+$A$63:$A$108*('Cálculos'!$D$290=2)*'Cálculos'!$D$101)+'Cálculos'!$D$203)*('Cálculos'!$D$256+'Cálculos'!$D$124*(1+2.78*('Cálculos'!$D$199+(($C85)-$A$63:$A$108)*'Cálculos'!$D$98)/(('Cálculos'!$D$199+(($C85)-$A$63:$A$108)*'Cálculos'!$D$98)+1400)+'Cálculos'!$D$122)*'Cálculos'!$D$261+'Cálculos'!$D$125*(1+2.78*('Cálculos'!$D$199+(($C85)-$A$63:$A$108)*'Cálculos'!$D$98)/(('Cálculos'!$D$199+(($C85)-$A$63:$A$108)*'Cálculos'!$D$98)+1400)+'Cálculos'!$D$123)*'Cálculos'!$D$266)+('Cálculos'!$D$204*(1+'Cálculos'!$D$205+$A$63:$A$108*('Cálculos'!$D$290=3)*'Cálculos'!$D$103)+'Cálculos'!$D$206)*('Cálculos'!$D$257+'Cálculos'!$D$124*(1+2.78*('Cálculos'!$D$199+(($C85)-$A$63:$A$108)*'Cálculos'!$D$98)/(('Cálculos'!$D$199+(($C85)-$A$63:$A$108)*'Cálculos'!$D$98)+1400)+'Cálculos'!$D$122)*'Cálculos'!$D$262+'Cálculos'!$D$125*(1+2.78*('Cálculos'!$D$199+(($C85)-$A$63:$A$108)*'Cálculos'!$D$98)/(('Cálculos'!$D$199+(($C85)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85)-$A$63:$A$108)*'Cálculos'!$D$98)/(('Cálculos'!$D$200+(($C85)-$A$63:$A$108)*'Cálculos'!$D$98)+1400)+'Cálculos'!$D$122)*'Cálculos'!$D$274+'Cálculos'!$D$125*(1+2.78*('Cálculos'!$D$200+(($C85)-$A$63:$A$108)*'Cálculos'!$D$98)/(('Cálculos'!$D$200+(($C85)-$A$63:$A$108)*'Cálculos'!$D$98)+1400)+'Cálculos'!$D$123)*'Cálculos'!$D$279)+('Cálculos'!$D$200+(($C85)-$A$63:$A$108)*'Cálculos'!$D$98)*('Cálculos'!$D$270+'Cálculos'!$D$124*(1+2.78*('Cálculos'!$D$200+(($C85)-$A$63:$A$108)*'Cálculos'!$D$98)/(('Cálculos'!$D$200+(($C85)-$A$63:$A$108)*'Cálculos'!$D$98)+1400)+'Cálculos'!$D$122)*'Cálculos'!$D$275+'Cálculos'!$D$125*(1+2.78*('Cálculos'!$D$200+(($C85)-$A$63:$A$108)*'Cálculos'!$D$98)/(('Cálculos'!$D$200+(($C85)-$A$63:$A$108)*'Cálculos'!$D$98)+1400)+'Cálculos'!$D$123)*'Cálculos'!$D$280)+('Cálculos'!$D$201*(1+'Cálculos'!$D$202+$A$63:$A$108*('Cálculos'!$D$290=2)*'Cálculos'!$D$101)+'Cálculos'!$D$203)*('Cálculos'!$D$271+'Cálculos'!$D$124*(1+2.78*('Cálculos'!$D$200+(($C85)-$A$63:$A$108)*'Cálculos'!$D$98)/(('Cálculos'!$D$200+(($C85)-$A$63:$A$108)*'Cálculos'!$D$98)+1400)+'Cálculos'!$D$122)*'Cálculos'!$D$276+'Cálculos'!$D$125*(1+2.78*('Cálculos'!$D$200+(($C85)-$A$63:$A$108)*'Cálculos'!$D$98)/(('Cálculos'!$D$200+(($C85)-$A$63:$A$108)*'Cálculos'!$D$98)+1400)+'Cálculos'!$D$123)*'Cálculos'!$D$281)+('Cálculos'!$D$204*(1+'Cálculos'!$D$205+$A$63:$A$108*('Cálculos'!$D$290=3)*'Cálculos'!$D$103)+'Cálculos'!$D$206)*('Cálculos'!$D$272+'Cálculos'!$D$124*(1+2.78*('Cálculos'!$D$200+(($C85)-$A$63:$A$108)*'Cálculos'!$D$98)/(('Cálculos'!$D$200+(($C85)-$A$63:$A$108)*'Cálculos'!$D$98)+1400)+'Cálculos'!$D$122)*'Cálculos'!$D$277+'Cálculos'!$D$125*(1+2.78*('Cálculos'!$D$200+(($C85)-$A$63:$A$108)*'Cálculos'!$D$98)/(('Cálculos'!$D$200+(($C85)-$A$63:$A$108)*'Cálculos'!$D$98)+1400)+'Cálculos'!$D$123)*'Cálculos'!$D$282)))))</f>
        <v>0</v>
      </c>
      <c r="E85" s="32">
        <f>IF(OR($C85&lt;0,'Cálculos'!$D$6=""),0,$B85*$D85)</f>
        <v>0</v>
      </c>
      <c r="F85" s="2"/>
      <c r="G85" s="30">
        <f>($A85&lt;=$B$110)*($A85&lt;='Cálculos'!$D$294)*(($B$110)-$A85&lt;='Cálculos'!$D$295)*(1+MIN(('Cálculos'!$D$207+$A85*'Cálculos'!$D$95),1)*('Cálculos'!$D$208+(($B$110)-$A85)*'Cálculos'!$D$96))</f>
        <v>0</v>
      </c>
      <c r="H85" s="31">
        <f>IF($B$111&lt;0,0,($A85&lt;=$B$111)*($A85&lt;='Cálculos'!$D$301)*(($B$111)-$A85&lt;='Cálculos'!$D$297)*(('Cálculos'!$D$185*(1+'Cálculos'!$D$186+$A85*('Cálculos'!$D$290=1)*'Cálculos'!$D$97+'Cálculos'!$D$305)+'Cálculos'!$D$191)*('Cálculos'!$D$209+'Cálculos'!$D$124*(1+2.78*('Cálculos'!$D$196+(($B$111)-$A85)*'Cálculos'!$D$98)/(('Cálculos'!$D$196+(($B$111)-$A85)*'Cálculos'!$D$98)+1400)+'Cálculos'!$D$122)*'Cálculos'!$D$214+'Cálculos'!$D$125*(1+2.78*('Cálculos'!$D$196+(($B$111)-$A85)*'Cálculos'!$D$98)/(('Cálculos'!$D$196+(($B$111)-$A85)*'Cálculos'!$D$98)+1400)+'Cálculos'!$D$123)*'Cálculos'!$D$219)+('Cálculos'!$D$196+(($B$111)-$A85)*'Cálculos'!$D$98)*('Cálculos'!$D$210+'Cálculos'!$D$124*(1+2.78*('Cálculos'!$D$196+(($B$111)-$A85)*'Cálculos'!$D$98)/(('Cálculos'!$D$196+(($B$111)-$A85)*'Cálculos'!$D$98)+1400)+'Cálculos'!$D$122)*'Cálculos'!$D$215+'Cálculos'!$D$125*(1+2.78*('Cálculos'!$D$196+(($B$111)-$A85)*'Cálculos'!$D$98)/(('Cálculos'!$D$196+(($B$111)-$A85)*'Cálculos'!$D$98)+1400)+'Cálculos'!$D$123)*'Cálculos'!$D$220)+('Cálculos'!$D$201*(1+'Cálculos'!$D$202+$A85*('Cálculos'!$D$290=2)*'Cálculos'!$D$101)+'Cálculos'!$D$203)*('Cálculos'!$D$211+'Cálculos'!$D$124*(1+2.78*('Cálculos'!$D$196+(($B$111)-$A85)*'Cálculos'!$D$98)/(('Cálculos'!$D$196+(($B$111)-$A85)*'Cálculos'!$D$98)+1400)+'Cálculos'!$D$122)*'Cálculos'!$D$216+'Cálculos'!$D$125*(1+2.78*('Cálculos'!$D$196+(($B$111)-$A85)*'Cálculos'!$D$98)/(('Cálculos'!$D$196+(($B$111)-$A85)*'Cálculos'!$D$98)+1400)+'Cálculos'!$D$123)*'Cálculos'!$D$221)+('Cálculos'!$D$204*(1+'Cálculos'!$D$205+$A85*('Cálculos'!$D$290=3)*'Cálculos'!$D$103)+'Cálculos'!$D$206)*('Cálculos'!$D$212+'Cálculos'!$D$124*(1+2.78*('Cálculos'!$D$196+(($B$111)-$A85)*'Cálculos'!$D$98)/(('Cálculos'!$D$196+(($B$111)-$A85)*'Cálculos'!$D$98)+1400)+'Cálculos'!$D$122)*'Cálculos'!$D$217+'Cálculos'!$D$125*(1+2.78*('Cálculos'!$D$196+(($B$111)-$A85)*'Cálculos'!$D$98)/(('Cálculos'!$D$196+(($B$111)-$A85)*'Cálculos'!$D$98)+1400)+'Cálculos'!$D$123)*'Cálculos'!$D$222)+('Cálculos'!$D$185*(1+'Cálculos'!$D$187+$A85*('Cálculos'!$D$290=1)*'Cálculos'!$D$97+'Cálculos'!$D$305)+'Cálculos'!$D$192)*('Cálculos'!$D$224+'Cálculos'!$D$124*(1+2.78*('Cálculos'!$D$197+(($B$111)-$A85)*'Cálculos'!$D$98)/(('Cálculos'!$D$197+(($B$111)-$A85)*'Cálculos'!$D$98)+1400)+'Cálculos'!$D$122)*'Cálculos'!$D$229+'Cálculos'!$D$125*(1+2.78*('Cálculos'!$D$197+(($B$111)-$A85)*'Cálculos'!$D$98)/(('Cálculos'!$D$197+(($B$111)-$A85)*'Cálculos'!$D$98)+1400)+'Cálculos'!$D$123)*'Cálculos'!$D$234)+('Cálculos'!$D$197+(($B$111)-$A85)*'Cálculos'!$D$98)*('Cálculos'!$D$225+'Cálculos'!$D$124*(1+2.78*('Cálculos'!$D$197+(($B$111)-$A85)*'Cálculos'!$D$98)/(('Cálculos'!$D$197+(($B$111)-$A85)*'Cálculos'!$D$98)+1400)+'Cálculos'!$D$122)*'Cálculos'!$D$230+'Cálculos'!$D$125*(1+2.78*('Cálculos'!$D$197+(($B$111)-$A85)*'Cálculos'!$D$98)/(('Cálculos'!$D$197+(($B$111)-$A85)*'Cálculos'!$D$98)+1400)+'Cálculos'!$D$123)*'Cálculos'!$D$235)+('Cálculos'!$D$201*(1+'Cálculos'!$D$202+$A85*('Cálculos'!$D$290=2)*'Cálculos'!$D$101)+'Cálculos'!$D$203)*('Cálculos'!$D$226+'Cálculos'!$D$124*(1+2.78*('Cálculos'!$D$197+(($B$111)-$A85)*'Cálculos'!$D$98)/(('Cálculos'!$D$197+(($B$111)-$A85)*'Cálculos'!$D$98)+1400)+'Cálculos'!$D$122)*'Cálculos'!$D$231+'Cálculos'!$D$125*(1+2.78*('Cálculos'!$D$197+(($B$111)-$A85)*'Cálculos'!$D$98)/(('Cálculos'!$D$197+(($B$111)-$A85)*'Cálculos'!$D$98)+1400)+'Cálculos'!$D$123)*'Cálculos'!$D$236)+('Cálculos'!$D$204*(1+'Cálculos'!$D$205+$A85*('Cálculos'!$D$290=3)*'Cálculos'!$D$103)+'Cálculos'!$D$206)*('Cálculos'!$D$227+'Cálculos'!$D$124*(1+2.78*('Cálculos'!$D$197+(($B$111)-$A85)*'Cálculos'!$D$98)/(('Cálculos'!$D$197+(($B$111)-$A85)*'Cálculos'!$D$98)+1400)+'Cálculos'!$D$122)*'Cálculos'!$D$232+'Cálculos'!$D$125*(1+2.78*('Cálculos'!$D$197+(($B$111)-$A85)*'Cálculos'!$D$98)/(('Cálculos'!$D$197+(($B$111)-$A85)*'Cálculos'!$D$98)+1400)+'Cálculos'!$D$123)*'Cálculos'!$D$237)+('Cálculos'!$D$185*(1+'Cálculos'!$D$188+$A85*('Cálculos'!$D$290=1)*'Cálculos'!$D$97+'Cálculos'!$D$305)+'Cálculos'!$D$193)*('Cálculos'!$D$239+'Cálculos'!$D$124*(1+2.78*('Cálculos'!$D$198+(($B$111)-$A85)*'Cálculos'!$D$98)/(('Cálculos'!$D$198+(($B$111)-$A85)*'Cálculos'!$D$98)+1400)+'Cálculos'!$D$122)*'Cálculos'!$D$244+'Cálculos'!$D$125*(1+2.78*('Cálculos'!$D$198+(($B$111)-$A85)*'Cálculos'!$D$98)/(('Cálculos'!$D$198+(($B$111)-$A85)*'Cálculos'!$D$98)+1400)+'Cálculos'!$D$123)*'Cálculos'!$D$249)+('Cálculos'!$D$198+(($B$111)-$A85)*'Cálculos'!$D$98)*('Cálculos'!$D$240+'Cálculos'!$D$124*(1+2.78*('Cálculos'!$D$198+(($B$111)-$A85)*'Cálculos'!$D$98)/(('Cálculos'!$D$198+(($B$111)-$A85)*'Cálculos'!$D$98)+1400)+'Cálculos'!$D$122)*'Cálculos'!$D$245+'Cálculos'!$D$125*(1+2.78*('Cálculos'!$D$198+(($B$111)-$A85)*'Cálculos'!$D$98)/(('Cálculos'!$D$198+(($B$111)-$A85)*'Cálculos'!$D$98)+1400)+'Cálculos'!$D$123)*'Cálculos'!$D$250)+('Cálculos'!$D$201*(1+'Cálculos'!$D$202+$A85*('Cálculos'!$D$290=2)*'Cálculos'!$D$101)+'Cálculos'!$D$203)*('Cálculos'!$D$241+'Cálculos'!$D$124*(1+2.78*('Cálculos'!$D$198+(($B$111)-$A85)*'Cálculos'!$D$98)/(('Cálculos'!$D$198+(($B$111)-$A85)*'Cálculos'!$D$98)+1400)+'Cálculos'!$D$122)*'Cálculos'!$D$246+'Cálculos'!$D$125*(1+2.78*('Cálculos'!$D$198+(($B$111)-$A85)*'Cálculos'!$D$98)/(('Cálculos'!$D$198+(($B$111)-$A85)*'Cálculos'!$D$98)+1400)+'Cálculos'!$D$123)*'Cálculos'!$D$251)+('Cálculos'!$D$204*(1+'Cálculos'!$D$205+$A85*('Cálculos'!$D$290=3)*'Cálculos'!$D$103)+'Cálculos'!$D$206)*('Cálculos'!$D$242+'Cálculos'!$D$124*(1+2.78*('Cálculos'!$D$198+(($B$111)-$A85)*'Cálculos'!$D$98)/(('Cálculos'!$D$198+(($B$111)-$A85)*'Cálculos'!$D$98)+1400)+'Cálculos'!$D$122)*'Cálculos'!$D$247+'Cálculos'!$D$125*(1+2.78*('Cálculos'!$D$198+(($B$111)-$A85)*'Cálculos'!$D$98)/(('Cálculos'!$D$198+(($B$111)-$A85)*'Cálculos'!$D$98)+1400)+'Cálculos'!$D$123)*'Cálculos'!$D$252)+('Cálculos'!$D$185*(1+'Cálculos'!$D$189+$A85*('Cálculos'!$D$290=1)*'Cálculos'!$D$97+'Cálculos'!$D$305)+'Cálculos'!$D$194)*('Cálculos'!$D$254+'Cálculos'!$D$124*(1+2.78*('Cálculos'!$D$199+(($B$111)-$A85)*'Cálculos'!$D$98)/(('Cálculos'!$D$199+(($B$111)-$A85)*'Cálculos'!$D$98)+1400)+'Cálculos'!$D$122)*'Cálculos'!$D$259+'Cálculos'!$D$125*(1+2.78*('Cálculos'!$D$199+(($B$111)-$A85)*'Cálculos'!$D$98)/(('Cálculos'!$D$199+(($B$111)-$A85)*'Cálculos'!$D$98)+1400)+'Cálculos'!$D$123)*'Cálculos'!$D$264)+('Cálculos'!$D$199+(($B$111)-$A85)*'Cálculos'!$D$98)*('Cálculos'!$D$255+'Cálculos'!$D$124*(1+2.78*('Cálculos'!$D$199+(($B$111)-$A85)*'Cálculos'!$D$98)/(('Cálculos'!$D$199+(($B$111)-$A85)*'Cálculos'!$D$98)+1400)+'Cálculos'!$D$122)*'Cálculos'!$D$260+'Cálculos'!$D$125*(1+2.78*('Cálculos'!$D$199+(($B$111)-$A85)*'Cálculos'!$D$98)/(('Cálculos'!$D$199+(($B$111)-$A85)*'Cálculos'!$D$98)+1400)+'Cálculos'!$D$123)*'Cálculos'!$D$265)+('Cálculos'!$D$201*(1+'Cálculos'!$D$202+$A85*('Cálculos'!$D$290=2)*'Cálculos'!$D$101)+'Cálculos'!$D$203)*('Cálculos'!$D$256+'Cálculos'!$D$124*(1+2.78*('Cálculos'!$D$199+(($B$111)-$A85)*'Cálculos'!$D$98)/(('Cálculos'!$D$199+(($B$111)-$A85)*'Cálculos'!$D$98)+1400)+'Cálculos'!$D$122)*'Cálculos'!$D$261+'Cálculos'!$D$125*(1+2.78*('Cálculos'!$D$199+(($B$111)-$A85)*'Cálculos'!$D$98)/(('Cálculos'!$D$199+(($B$111)-$A85)*'Cálculos'!$D$98)+1400)+'Cálculos'!$D$123)*'Cálculos'!$D$266)+('Cálculos'!$D$204*(1+'Cálculos'!$D$205+$A85*('Cálculos'!$D$290=3)*'Cálculos'!$D$103)+'Cálculos'!$D$206)*('Cálculos'!$D$257+'Cálculos'!$D$124*(1+2.78*('Cálculos'!$D$199+(($B$111)-$A85)*'Cálculos'!$D$98)/(('Cálculos'!$D$199+(($B$111)-$A85)*'Cálculos'!$D$98)+1400)+'Cálculos'!$D$122)*'Cálculos'!$D$262+'Cálculos'!$D$125*(1+2.78*('Cálculos'!$D$199+(($B$111)-$A85)*'Cálculos'!$D$98)/(('Cálculos'!$D$199+(($B$111)-$A85)*'Cálculos'!$D$98)+1400)+'Cálculos'!$D$123)*'Cálculos'!$D$267)+('Cálculos'!$D$185*(1+'Cálculos'!$D$190+$A85*('Cálculos'!$D$290=1)*'Cálculos'!$D$97+'Cálculos'!$D$305)+'Cálculos'!$D$195)*('Cálculos'!$D$269+'Cálculos'!$D$124*(1+2.78*('Cálculos'!$D$200+(($B$111)-$A85)*'Cálculos'!$D$98)/(('Cálculos'!$D$200+(($B$111)-$A85)*'Cálculos'!$D$98)+1400)+'Cálculos'!$D$122)*'Cálculos'!$D$274+'Cálculos'!$D$125*(1+2.78*('Cálculos'!$D$200+(($B$111)-$A85)*'Cálculos'!$D$98)/(('Cálculos'!$D$200+(($B$111)-$A85)*'Cálculos'!$D$98)+1400)+'Cálculos'!$D$123)*'Cálculos'!$D$279)+('Cálculos'!$D$200+(($B$111)-$A85)*'Cálculos'!$D$98)*('Cálculos'!$D$270+'Cálculos'!$D$124*(1+2.78*('Cálculos'!$D$200+(($B$111)-$A85)*'Cálculos'!$D$98)/(('Cálculos'!$D$200+(($B$111)-$A85)*'Cálculos'!$D$98)+1400)+'Cálculos'!$D$122)*'Cálculos'!$D$275+'Cálculos'!$D$125*(1+2.78*('Cálculos'!$D$200+(($B$111)-$A85)*'Cálculos'!$D$98)/(('Cálculos'!$D$200+(($B$111)-$A85)*'Cálculos'!$D$98)+1400)+'Cálculos'!$D$123)*'Cálculos'!$D$280)+('Cálculos'!$D$201*(1+'Cálculos'!$D$202+$A85*('Cálculos'!$D$290=2)*'Cálculos'!$D$101)+'Cálculos'!$D$203)*('Cálculos'!$D$271+'Cálculos'!$D$124*(1+2.78*('Cálculos'!$D$200+(($B$111)-$A85)*'Cálculos'!$D$98)/(('Cálculos'!$D$200+(($B$111)-$A85)*'Cálculos'!$D$98)+1400)+'Cálculos'!$D$122)*'Cálculos'!$D$276+'Cálculos'!$D$125*(1+2.78*('Cálculos'!$D$200+(($B$111)-$A85)*'Cálculos'!$D$98)/(('Cálculos'!$D$200+(($B$111)-$A85)*'Cálculos'!$D$98)+1400)+'Cálculos'!$D$123)*'Cálculos'!$D$281)+('Cálculos'!$D$204*(1+'Cálculos'!$D$205+$A85*('Cálculos'!$D$290=3)*'Cálculos'!$D$103)+'Cálculos'!$D$206)*('Cálculos'!$D$272+'Cálculos'!$D$124*(1+2.78*('Cálculos'!$D$200+(($B$111)-$A85)*'Cálculos'!$D$98)/(('Cálculos'!$D$200+(($B$111)-$A85)*'Cálculos'!$D$98)+1400)+'Cálculos'!$D$122)*'Cálculos'!$D$277+'Cálculos'!$D$125*(1+2.78*('Cálculos'!$D$200+(($B$111)-$A85)*'Cálculos'!$D$98)/(('Cálculos'!$D$200+(($B$111)-$A85)*'Cálculos'!$D$98)+1400)+'Cálculos'!$D$123)*'Cálculos'!$D$282)))</f>
        <v>0</v>
      </c>
    </row>
    <row r="86" ht="15.75" customHeight="1">
      <c r="A86" s="2">
        <v>23.0</v>
      </c>
      <c r="B86" s="30">
        <f>SUMPRODUCT(MAX(($A$63:$A$108&lt;=$A86)*($A$63:$A$108&lt;='Cálculos'!$D$294)*(($A86)-$A$63:$A$108&lt;='Cálculos'!$D$295)*(1+(('Cálculos'!$D$207+$A$63:$A$108*'Cálculos'!$D$95)-(('Cálculos'!$D$207+$A$63:$A$108*'Cálculos'!$D$95)&gt;1)*(('Cálculos'!$D$207+$A$63:$A$108*'Cálculos'!$D$95)-1))*('Cálculos'!$D$208+(($A86)-$A$63:$A$108)*'Cálculos'!$D$96))))</f>
        <v>1.830336496</v>
      </c>
      <c r="C86" s="2">
        <f>'Cálculos'!$D$303-$A86</f>
        <v>-12</v>
      </c>
      <c r="D86" s="31">
        <f>IF($C86&lt;0,0,SUMPRODUCT(MAX(($A$63:$A$108&lt;=$C86)*($A$63:$A$108&lt;='Cálculos'!$D$301)*(($C86)-$A$63:$A$108&lt;='Cálculos'!$D$297)*(('Cálculos'!$D$185*(1+'Cálculos'!$D$186+$A$63:$A$108*('Cálculos'!$D$290=1)*'Cálculos'!$D$97+'Cálculos'!$D$305)+'Cálculos'!$D$191)*('Cálculos'!$D$209+'Cálculos'!$D$124*(1+2.78*('Cálculos'!$D$196+(($C86)-$A$63:$A$108)*'Cálculos'!$D$98)/(('Cálculos'!$D$196+(($C86)-$A$63:$A$108)*'Cálculos'!$D$98)+1400)+'Cálculos'!$D$122)*'Cálculos'!$D$214+'Cálculos'!$D$125*(1+2.78*('Cálculos'!$D$196+(($C86)-$A$63:$A$108)*'Cálculos'!$D$98)/(('Cálculos'!$D$196+(($C86)-$A$63:$A$108)*'Cálculos'!$D$98)+1400)+'Cálculos'!$D$123)*'Cálculos'!$D$219)+('Cálculos'!$D$196+(($C86)-$A$63:$A$108)*'Cálculos'!$D$98)*('Cálculos'!$D$210+'Cálculos'!$D$124*(1+2.78*('Cálculos'!$D$196+(($C86)-$A$63:$A$108)*'Cálculos'!$D$98)/(('Cálculos'!$D$196+(($C86)-$A$63:$A$108)*'Cálculos'!$D$98)+1400)+'Cálculos'!$D$122)*'Cálculos'!$D$215+'Cálculos'!$D$125*(1+2.78*('Cálculos'!$D$196+(($C86)-$A$63:$A$108)*'Cálculos'!$D$98)/(('Cálculos'!$D$196+(($C86)-$A$63:$A$108)*'Cálculos'!$D$98)+1400)+'Cálculos'!$D$123)*'Cálculos'!$D$220)+('Cálculos'!$D$201*(1+'Cálculos'!$D$202+$A$63:$A$108*('Cálculos'!$D$290=2)*'Cálculos'!$D$101)+'Cálculos'!$D$203)*('Cálculos'!$D$211+'Cálculos'!$D$124*(1+2.78*('Cálculos'!$D$196+(($C86)-$A$63:$A$108)*'Cálculos'!$D$98)/(('Cálculos'!$D$196+(($C86)-$A$63:$A$108)*'Cálculos'!$D$98)+1400)+'Cálculos'!$D$122)*'Cálculos'!$D$216+'Cálculos'!$D$125*(1+2.78*('Cálculos'!$D$196+(($C86)-$A$63:$A$108)*'Cálculos'!$D$98)/(('Cálculos'!$D$196+(($C86)-$A$63:$A$108)*'Cálculos'!$D$98)+1400)+'Cálculos'!$D$123)*'Cálculos'!$D$221)+('Cálculos'!$D$204*(1+'Cálculos'!$D$205+$A$63:$A$108*('Cálculos'!$D$290=3)*'Cálculos'!$D$103)+'Cálculos'!$D$206)*('Cálculos'!$D$212+'Cálculos'!$D$124*(1+2.78*('Cálculos'!$D$196+(($C86)-$A$63:$A$108)*'Cálculos'!$D$98)/(('Cálculos'!$D$196+(($C86)-$A$63:$A$108)*'Cálculos'!$D$98)+1400)+'Cálculos'!$D$122)*'Cálculos'!$D$217+'Cálculos'!$D$125*(1+2.78*('Cálculos'!$D$196+(($C86)-$A$63:$A$108)*'Cálculos'!$D$98)/(('Cálculos'!$D$196+(($C86)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86)-$A$63:$A$108)*'Cálculos'!$D$98)/(('Cálculos'!$D$197+(($C86)-$A$63:$A$108)*'Cálculos'!$D$98)+1400)+'Cálculos'!$D$122)*'Cálculos'!$D$229+'Cálculos'!$D$125*(1+2.78*('Cálculos'!$D$197+(($C86)-$A$63:$A$108)*'Cálculos'!$D$98)/(('Cálculos'!$D$197+(($C86)-$A$63:$A$108)*'Cálculos'!$D$98)+1400)+'Cálculos'!$D$123)*'Cálculos'!$D$234)+('Cálculos'!$D$197+(($C86)-$A$63:$A$108)*'Cálculos'!$D$98)*('Cálculos'!$D$225+'Cálculos'!$D$124*(1+2.78*('Cálculos'!$D$197+(($C86)-$A$63:$A$108)*'Cálculos'!$D$98)/(('Cálculos'!$D$197+(($C86)-$A$63:$A$108)*'Cálculos'!$D$98)+1400)+'Cálculos'!$D$122)*'Cálculos'!$D$230+'Cálculos'!$D$125*(1+2.78*('Cálculos'!$D$197+(($C86)-$A$63:$A$108)*'Cálculos'!$D$98)/(('Cálculos'!$D$197+(($C86)-$A$63:$A$108)*'Cálculos'!$D$98)+1400)+'Cálculos'!$D$123)*'Cálculos'!$D$235)+('Cálculos'!$D$201*(1+'Cálculos'!$D$202+$A$63:$A$108*('Cálculos'!$D$290=2)*'Cálculos'!$D$101)+'Cálculos'!$D$203)*('Cálculos'!$D$226+'Cálculos'!$D$124*(1+2.78*('Cálculos'!$D$197+(($C86)-$A$63:$A$108)*'Cálculos'!$D$98)/(('Cálculos'!$D$197+(($C86)-$A$63:$A$108)*'Cálculos'!$D$98)+1400)+'Cálculos'!$D$122)*'Cálculos'!$D$231+'Cálculos'!$D$125*(1+2.78*('Cálculos'!$D$197+(($C86)-$A$63:$A$108)*'Cálculos'!$D$98)/(('Cálculos'!$D$197+(($C86)-$A$63:$A$108)*'Cálculos'!$D$98)+1400)+'Cálculos'!$D$123)*'Cálculos'!$D$236)+('Cálculos'!$D$204*(1+'Cálculos'!$D$205+$A$63:$A$108*('Cálculos'!$D$290=3)*'Cálculos'!$D$103)+'Cálculos'!$D$206)*('Cálculos'!$D$227+'Cálculos'!$D$124*(1+2.78*('Cálculos'!$D$197+(($C86)-$A$63:$A$108)*'Cálculos'!$D$98)/(('Cálculos'!$D$197+(($C86)-$A$63:$A$108)*'Cálculos'!$D$98)+1400)+'Cálculos'!$D$122)*'Cálculos'!$D$232+'Cálculos'!$D$125*(1+2.78*('Cálculos'!$D$197+(($C86)-$A$63:$A$108)*'Cálculos'!$D$98)/(('Cálculos'!$D$197+(($C86)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86)-$A$63:$A$108)*'Cálculos'!$D$98)/(('Cálculos'!$D$198+(($C86)-$A$63:$A$108)*'Cálculos'!$D$98)+1400)+'Cálculos'!$D$122)*'Cálculos'!$D$244+'Cálculos'!$D$125*(1+2.78*('Cálculos'!$D$198+(($C86)-$A$63:$A$108)*'Cálculos'!$D$98)/(('Cálculos'!$D$198+(($C86)-$A$63:$A$108)*'Cálculos'!$D$98)+1400)+'Cálculos'!$D$123)*'Cálculos'!$D$249)+('Cálculos'!$D$198+(($C86)-$A$63:$A$108)*'Cálculos'!$D$98)*('Cálculos'!$D$240+'Cálculos'!$D$124*(1+2.78*('Cálculos'!$D$198+(($C86)-$A$63:$A$108)*'Cálculos'!$D$98)/(('Cálculos'!$D$198+(($C86)-$A$63:$A$108)*'Cálculos'!$D$98)+1400)+'Cálculos'!$D$122)*'Cálculos'!$D$245+'Cálculos'!$D$125*(1+2.78*('Cálculos'!$D$198+(($C86)-$A$63:$A$108)*'Cálculos'!$D$98)/(('Cálculos'!$D$198+(($C86)-$A$63:$A$108)*'Cálculos'!$D$98)+1400)+'Cálculos'!$D$123)*'Cálculos'!$D$250)+('Cálculos'!$D$201*(1+'Cálculos'!$D$202+$A$63:$A$108*('Cálculos'!$D$290=2)*'Cálculos'!$D$101)+'Cálculos'!$D$203)*('Cálculos'!$D$241+'Cálculos'!$D$124*(1+2.78*('Cálculos'!$D$198+(($C86)-$A$63:$A$108)*'Cálculos'!$D$98)/(('Cálculos'!$D$198+(($C86)-$A$63:$A$108)*'Cálculos'!$D$98)+1400)+'Cálculos'!$D$122)*'Cálculos'!$D$246+'Cálculos'!$D$125*(1+2.78*('Cálculos'!$D$198+(($C86)-$A$63:$A$108)*'Cálculos'!$D$98)/(('Cálculos'!$D$198+(($C86)-$A$63:$A$108)*'Cálculos'!$D$98)+1400)+'Cálculos'!$D$123)*'Cálculos'!$D$251)+('Cálculos'!$D$204*(1+'Cálculos'!$D$205+$A$63:$A$108*('Cálculos'!$D$290=3)*'Cálculos'!$D$103)+'Cálculos'!$D$206)*('Cálculos'!$D$242+'Cálculos'!$D$124*(1+2.78*('Cálculos'!$D$198+(($C86)-$A$63:$A$108)*'Cálculos'!$D$98)/(('Cálculos'!$D$198+(($C86)-$A$63:$A$108)*'Cálculos'!$D$98)+1400)+'Cálculos'!$D$122)*'Cálculos'!$D$247+'Cálculos'!$D$125*(1+2.78*('Cálculos'!$D$198+(($C86)-$A$63:$A$108)*'Cálculos'!$D$98)/(('Cálculos'!$D$198+(($C86)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86)-$A$63:$A$108)*'Cálculos'!$D$98)/(('Cálculos'!$D$199+(($C86)-$A$63:$A$108)*'Cálculos'!$D$98)+1400)+'Cálculos'!$D$122)*'Cálculos'!$D$259+'Cálculos'!$D$125*(1+2.78*('Cálculos'!$D$199+(($C86)-$A$63:$A$108)*'Cálculos'!$D$98)/(('Cálculos'!$D$199+(($C86)-$A$63:$A$108)*'Cálculos'!$D$98)+1400)+'Cálculos'!$D$123)*'Cálculos'!$D$264)+('Cálculos'!$D$199+(($C86)-$A$63:$A$108)*'Cálculos'!$D$98)*('Cálculos'!$D$255+'Cálculos'!$D$124*(1+2.78*('Cálculos'!$D$199+(($C86)-$A$63:$A$108)*'Cálculos'!$D$98)/(('Cálculos'!$D$199+(($C86)-$A$63:$A$108)*'Cálculos'!$D$98)+1400)+'Cálculos'!$D$122)*'Cálculos'!$D$260+'Cálculos'!$D$125*(1+2.78*('Cálculos'!$D$199+(($C86)-$A$63:$A$108)*'Cálculos'!$D$98)/(('Cálculos'!$D$199+(($C86)-$A$63:$A$108)*'Cálculos'!$D$98)+1400)+'Cálculos'!$D$123)*'Cálculos'!$D$265)+('Cálculos'!$D$201*(1+'Cálculos'!$D$202+$A$63:$A$108*('Cálculos'!$D$290=2)*'Cálculos'!$D$101)+'Cálculos'!$D$203)*('Cálculos'!$D$256+'Cálculos'!$D$124*(1+2.78*('Cálculos'!$D$199+(($C86)-$A$63:$A$108)*'Cálculos'!$D$98)/(('Cálculos'!$D$199+(($C86)-$A$63:$A$108)*'Cálculos'!$D$98)+1400)+'Cálculos'!$D$122)*'Cálculos'!$D$261+'Cálculos'!$D$125*(1+2.78*('Cálculos'!$D$199+(($C86)-$A$63:$A$108)*'Cálculos'!$D$98)/(('Cálculos'!$D$199+(($C86)-$A$63:$A$108)*'Cálculos'!$D$98)+1400)+'Cálculos'!$D$123)*'Cálculos'!$D$266)+('Cálculos'!$D$204*(1+'Cálculos'!$D$205+$A$63:$A$108*('Cálculos'!$D$290=3)*'Cálculos'!$D$103)+'Cálculos'!$D$206)*('Cálculos'!$D$257+'Cálculos'!$D$124*(1+2.78*('Cálculos'!$D$199+(($C86)-$A$63:$A$108)*'Cálculos'!$D$98)/(('Cálculos'!$D$199+(($C86)-$A$63:$A$108)*'Cálculos'!$D$98)+1400)+'Cálculos'!$D$122)*'Cálculos'!$D$262+'Cálculos'!$D$125*(1+2.78*('Cálculos'!$D$199+(($C86)-$A$63:$A$108)*'Cálculos'!$D$98)/(('Cálculos'!$D$199+(($C86)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86)-$A$63:$A$108)*'Cálculos'!$D$98)/(('Cálculos'!$D$200+(($C86)-$A$63:$A$108)*'Cálculos'!$D$98)+1400)+'Cálculos'!$D$122)*'Cálculos'!$D$274+'Cálculos'!$D$125*(1+2.78*('Cálculos'!$D$200+(($C86)-$A$63:$A$108)*'Cálculos'!$D$98)/(('Cálculos'!$D$200+(($C86)-$A$63:$A$108)*'Cálculos'!$D$98)+1400)+'Cálculos'!$D$123)*'Cálculos'!$D$279)+('Cálculos'!$D$200+(($C86)-$A$63:$A$108)*'Cálculos'!$D$98)*('Cálculos'!$D$270+'Cálculos'!$D$124*(1+2.78*('Cálculos'!$D$200+(($C86)-$A$63:$A$108)*'Cálculos'!$D$98)/(('Cálculos'!$D$200+(($C86)-$A$63:$A$108)*'Cálculos'!$D$98)+1400)+'Cálculos'!$D$122)*'Cálculos'!$D$275+'Cálculos'!$D$125*(1+2.78*('Cálculos'!$D$200+(($C86)-$A$63:$A$108)*'Cálculos'!$D$98)/(('Cálculos'!$D$200+(($C86)-$A$63:$A$108)*'Cálculos'!$D$98)+1400)+'Cálculos'!$D$123)*'Cálculos'!$D$280)+('Cálculos'!$D$201*(1+'Cálculos'!$D$202+$A$63:$A$108*('Cálculos'!$D$290=2)*'Cálculos'!$D$101)+'Cálculos'!$D$203)*('Cálculos'!$D$271+'Cálculos'!$D$124*(1+2.78*('Cálculos'!$D$200+(($C86)-$A$63:$A$108)*'Cálculos'!$D$98)/(('Cálculos'!$D$200+(($C86)-$A$63:$A$108)*'Cálculos'!$D$98)+1400)+'Cálculos'!$D$122)*'Cálculos'!$D$276+'Cálculos'!$D$125*(1+2.78*('Cálculos'!$D$200+(($C86)-$A$63:$A$108)*'Cálculos'!$D$98)/(('Cálculos'!$D$200+(($C86)-$A$63:$A$108)*'Cálculos'!$D$98)+1400)+'Cálculos'!$D$123)*'Cálculos'!$D$281)+('Cálculos'!$D$204*(1+'Cálculos'!$D$205+$A$63:$A$108*('Cálculos'!$D$290=3)*'Cálculos'!$D$103)+'Cálculos'!$D$206)*('Cálculos'!$D$272+'Cálculos'!$D$124*(1+2.78*('Cálculos'!$D$200+(($C86)-$A$63:$A$108)*'Cálculos'!$D$98)/(('Cálculos'!$D$200+(($C86)-$A$63:$A$108)*'Cálculos'!$D$98)+1400)+'Cálculos'!$D$122)*'Cálculos'!$D$277+'Cálculos'!$D$125*(1+2.78*('Cálculos'!$D$200+(($C86)-$A$63:$A$108)*'Cálculos'!$D$98)/(('Cálculos'!$D$200+(($C86)-$A$63:$A$108)*'Cálculos'!$D$98)+1400)+'Cálculos'!$D$123)*'Cálculos'!$D$282)))))</f>
        <v>0</v>
      </c>
      <c r="E86" s="32">
        <f>IF(OR($C86&lt;0,'Cálculos'!$D$6=""),0,$B86*$D86)</f>
        <v>0</v>
      </c>
      <c r="F86" s="2"/>
      <c r="G86" s="30">
        <f>($A86&lt;=$B$110)*($A86&lt;='Cálculos'!$D$294)*(($B$110)-$A86&lt;='Cálculos'!$D$295)*(1+MIN(('Cálculos'!$D$207+$A86*'Cálculos'!$D$95),1)*('Cálculos'!$D$208+(($B$110)-$A86)*'Cálculos'!$D$96))</f>
        <v>0</v>
      </c>
      <c r="H86" s="31">
        <f>IF($B$111&lt;0,0,($A86&lt;=$B$111)*($A86&lt;='Cálculos'!$D$301)*(($B$111)-$A86&lt;='Cálculos'!$D$297)*(('Cálculos'!$D$185*(1+'Cálculos'!$D$186+$A86*('Cálculos'!$D$290=1)*'Cálculos'!$D$97+'Cálculos'!$D$305)+'Cálculos'!$D$191)*('Cálculos'!$D$209+'Cálculos'!$D$124*(1+2.78*('Cálculos'!$D$196+(($B$111)-$A86)*'Cálculos'!$D$98)/(('Cálculos'!$D$196+(($B$111)-$A86)*'Cálculos'!$D$98)+1400)+'Cálculos'!$D$122)*'Cálculos'!$D$214+'Cálculos'!$D$125*(1+2.78*('Cálculos'!$D$196+(($B$111)-$A86)*'Cálculos'!$D$98)/(('Cálculos'!$D$196+(($B$111)-$A86)*'Cálculos'!$D$98)+1400)+'Cálculos'!$D$123)*'Cálculos'!$D$219)+('Cálculos'!$D$196+(($B$111)-$A86)*'Cálculos'!$D$98)*('Cálculos'!$D$210+'Cálculos'!$D$124*(1+2.78*('Cálculos'!$D$196+(($B$111)-$A86)*'Cálculos'!$D$98)/(('Cálculos'!$D$196+(($B$111)-$A86)*'Cálculos'!$D$98)+1400)+'Cálculos'!$D$122)*'Cálculos'!$D$215+'Cálculos'!$D$125*(1+2.78*('Cálculos'!$D$196+(($B$111)-$A86)*'Cálculos'!$D$98)/(('Cálculos'!$D$196+(($B$111)-$A86)*'Cálculos'!$D$98)+1400)+'Cálculos'!$D$123)*'Cálculos'!$D$220)+('Cálculos'!$D$201*(1+'Cálculos'!$D$202+$A86*('Cálculos'!$D$290=2)*'Cálculos'!$D$101)+'Cálculos'!$D$203)*('Cálculos'!$D$211+'Cálculos'!$D$124*(1+2.78*('Cálculos'!$D$196+(($B$111)-$A86)*'Cálculos'!$D$98)/(('Cálculos'!$D$196+(($B$111)-$A86)*'Cálculos'!$D$98)+1400)+'Cálculos'!$D$122)*'Cálculos'!$D$216+'Cálculos'!$D$125*(1+2.78*('Cálculos'!$D$196+(($B$111)-$A86)*'Cálculos'!$D$98)/(('Cálculos'!$D$196+(($B$111)-$A86)*'Cálculos'!$D$98)+1400)+'Cálculos'!$D$123)*'Cálculos'!$D$221)+('Cálculos'!$D$204*(1+'Cálculos'!$D$205+$A86*('Cálculos'!$D$290=3)*'Cálculos'!$D$103)+'Cálculos'!$D$206)*('Cálculos'!$D$212+'Cálculos'!$D$124*(1+2.78*('Cálculos'!$D$196+(($B$111)-$A86)*'Cálculos'!$D$98)/(('Cálculos'!$D$196+(($B$111)-$A86)*'Cálculos'!$D$98)+1400)+'Cálculos'!$D$122)*'Cálculos'!$D$217+'Cálculos'!$D$125*(1+2.78*('Cálculos'!$D$196+(($B$111)-$A86)*'Cálculos'!$D$98)/(('Cálculos'!$D$196+(($B$111)-$A86)*'Cálculos'!$D$98)+1400)+'Cálculos'!$D$123)*'Cálculos'!$D$222)+('Cálculos'!$D$185*(1+'Cálculos'!$D$187+$A86*('Cálculos'!$D$290=1)*'Cálculos'!$D$97+'Cálculos'!$D$305)+'Cálculos'!$D$192)*('Cálculos'!$D$224+'Cálculos'!$D$124*(1+2.78*('Cálculos'!$D$197+(($B$111)-$A86)*'Cálculos'!$D$98)/(('Cálculos'!$D$197+(($B$111)-$A86)*'Cálculos'!$D$98)+1400)+'Cálculos'!$D$122)*'Cálculos'!$D$229+'Cálculos'!$D$125*(1+2.78*('Cálculos'!$D$197+(($B$111)-$A86)*'Cálculos'!$D$98)/(('Cálculos'!$D$197+(($B$111)-$A86)*'Cálculos'!$D$98)+1400)+'Cálculos'!$D$123)*'Cálculos'!$D$234)+('Cálculos'!$D$197+(($B$111)-$A86)*'Cálculos'!$D$98)*('Cálculos'!$D$225+'Cálculos'!$D$124*(1+2.78*('Cálculos'!$D$197+(($B$111)-$A86)*'Cálculos'!$D$98)/(('Cálculos'!$D$197+(($B$111)-$A86)*'Cálculos'!$D$98)+1400)+'Cálculos'!$D$122)*'Cálculos'!$D$230+'Cálculos'!$D$125*(1+2.78*('Cálculos'!$D$197+(($B$111)-$A86)*'Cálculos'!$D$98)/(('Cálculos'!$D$197+(($B$111)-$A86)*'Cálculos'!$D$98)+1400)+'Cálculos'!$D$123)*'Cálculos'!$D$235)+('Cálculos'!$D$201*(1+'Cálculos'!$D$202+$A86*('Cálculos'!$D$290=2)*'Cálculos'!$D$101)+'Cálculos'!$D$203)*('Cálculos'!$D$226+'Cálculos'!$D$124*(1+2.78*('Cálculos'!$D$197+(($B$111)-$A86)*'Cálculos'!$D$98)/(('Cálculos'!$D$197+(($B$111)-$A86)*'Cálculos'!$D$98)+1400)+'Cálculos'!$D$122)*'Cálculos'!$D$231+'Cálculos'!$D$125*(1+2.78*('Cálculos'!$D$197+(($B$111)-$A86)*'Cálculos'!$D$98)/(('Cálculos'!$D$197+(($B$111)-$A86)*'Cálculos'!$D$98)+1400)+'Cálculos'!$D$123)*'Cálculos'!$D$236)+('Cálculos'!$D$204*(1+'Cálculos'!$D$205+$A86*('Cálculos'!$D$290=3)*'Cálculos'!$D$103)+'Cálculos'!$D$206)*('Cálculos'!$D$227+'Cálculos'!$D$124*(1+2.78*('Cálculos'!$D$197+(($B$111)-$A86)*'Cálculos'!$D$98)/(('Cálculos'!$D$197+(($B$111)-$A86)*'Cálculos'!$D$98)+1400)+'Cálculos'!$D$122)*'Cálculos'!$D$232+'Cálculos'!$D$125*(1+2.78*('Cálculos'!$D$197+(($B$111)-$A86)*'Cálculos'!$D$98)/(('Cálculos'!$D$197+(($B$111)-$A86)*'Cálculos'!$D$98)+1400)+'Cálculos'!$D$123)*'Cálculos'!$D$237)+('Cálculos'!$D$185*(1+'Cálculos'!$D$188+$A86*('Cálculos'!$D$290=1)*'Cálculos'!$D$97+'Cálculos'!$D$305)+'Cálculos'!$D$193)*('Cálculos'!$D$239+'Cálculos'!$D$124*(1+2.78*('Cálculos'!$D$198+(($B$111)-$A86)*'Cálculos'!$D$98)/(('Cálculos'!$D$198+(($B$111)-$A86)*'Cálculos'!$D$98)+1400)+'Cálculos'!$D$122)*'Cálculos'!$D$244+'Cálculos'!$D$125*(1+2.78*('Cálculos'!$D$198+(($B$111)-$A86)*'Cálculos'!$D$98)/(('Cálculos'!$D$198+(($B$111)-$A86)*'Cálculos'!$D$98)+1400)+'Cálculos'!$D$123)*'Cálculos'!$D$249)+('Cálculos'!$D$198+(($B$111)-$A86)*'Cálculos'!$D$98)*('Cálculos'!$D$240+'Cálculos'!$D$124*(1+2.78*('Cálculos'!$D$198+(($B$111)-$A86)*'Cálculos'!$D$98)/(('Cálculos'!$D$198+(($B$111)-$A86)*'Cálculos'!$D$98)+1400)+'Cálculos'!$D$122)*'Cálculos'!$D$245+'Cálculos'!$D$125*(1+2.78*('Cálculos'!$D$198+(($B$111)-$A86)*'Cálculos'!$D$98)/(('Cálculos'!$D$198+(($B$111)-$A86)*'Cálculos'!$D$98)+1400)+'Cálculos'!$D$123)*'Cálculos'!$D$250)+('Cálculos'!$D$201*(1+'Cálculos'!$D$202+$A86*('Cálculos'!$D$290=2)*'Cálculos'!$D$101)+'Cálculos'!$D$203)*('Cálculos'!$D$241+'Cálculos'!$D$124*(1+2.78*('Cálculos'!$D$198+(($B$111)-$A86)*'Cálculos'!$D$98)/(('Cálculos'!$D$198+(($B$111)-$A86)*'Cálculos'!$D$98)+1400)+'Cálculos'!$D$122)*'Cálculos'!$D$246+'Cálculos'!$D$125*(1+2.78*('Cálculos'!$D$198+(($B$111)-$A86)*'Cálculos'!$D$98)/(('Cálculos'!$D$198+(($B$111)-$A86)*'Cálculos'!$D$98)+1400)+'Cálculos'!$D$123)*'Cálculos'!$D$251)+('Cálculos'!$D$204*(1+'Cálculos'!$D$205+$A86*('Cálculos'!$D$290=3)*'Cálculos'!$D$103)+'Cálculos'!$D$206)*('Cálculos'!$D$242+'Cálculos'!$D$124*(1+2.78*('Cálculos'!$D$198+(($B$111)-$A86)*'Cálculos'!$D$98)/(('Cálculos'!$D$198+(($B$111)-$A86)*'Cálculos'!$D$98)+1400)+'Cálculos'!$D$122)*'Cálculos'!$D$247+'Cálculos'!$D$125*(1+2.78*('Cálculos'!$D$198+(($B$111)-$A86)*'Cálculos'!$D$98)/(('Cálculos'!$D$198+(($B$111)-$A86)*'Cálculos'!$D$98)+1400)+'Cálculos'!$D$123)*'Cálculos'!$D$252)+('Cálculos'!$D$185*(1+'Cálculos'!$D$189+$A86*('Cálculos'!$D$290=1)*'Cálculos'!$D$97+'Cálculos'!$D$305)+'Cálculos'!$D$194)*('Cálculos'!$D$254+'Cálculos'!$D$124*(1+2.78*('Cálculos'!$D$199+(($B$111)-$A86)*'Cálculos'!$D$98)/(('Cálculos'!$D$199+(($B$111)-$A86)*'Cálculos'!$D$98)+1400)+'Cálculos'!$D$122)*'Cálculos'!$D$259+'Cálculos'!$D$125*(1+2.78*('Cálculos'!$D$199+(($B$111)-$A86)*'Cálculos'!$D$98)/(('Cálculos'!$D$199+(($B$111)-$A86)*'Cálculos'!$D$98)+1400)+'Cálculos'!$D$123)*'Cálculos'!$D$264)+('Cálculos'!$D$199+(($B$111)-$A86)*'Cálculos'!$D$98)*('Cálculos'!$D$255+'Cálculos'!$D$124*(1+2.78*('Cálculos'!$D$199+(($B$111)-$A86)*'Cálculos'!$D$98)/(('Cálculos'!$D$199+(($B$111)-$A86)*'Cálculos'!$D$98)+1400)+'Cálculos'!$D$122)*'Cálculos'!$D$260+'Cálculos'!$D$125*(1+2.78*('Cálculos'!$D$199+(($B$111)-$A86)*'Cálculos'!$D$98)/(('Cálculos'!$D$199+(($B$111)-$A86)*'Cálculos'!$D$98)+1400)+'Cálculos'!$D$123)*'Cálculos'!$D$265)+('Cálculos'!$D$201*(1+'Cálculos'!$D$202+$A86*('Cálculos'!$D$290=2)*'Cálculos'!$D$101)+'Cálculos'!$D$203)*('Cálculos'!$D$256+'Cálculos'!$D$124*(1+2.78*('Cálculos'!$D$199+(($B$111)-$A86)*'Cálculos'!$D$98)/(('Cálculos'!$D$199+(($B$111)-$A86)*'Cálculos'!$D$98)+1400)+'Cálculos'!$D$122)*'Cálculos'!$D$261+'Cálculos'!$D$125*(1+2.78*('Cálculos'!$D$199+(($B$111)-$A86)*'Cálculos'!$D$98)/(('Cálculos'!$D$199+(($B$111)-$A86)*'Cálculos'!$D$98)+1400)+'Cálculos'!$D$123)*'Cálculos'!$D$266)+('Cálculos'!$D$204*(1+'Cálculos'!$D$205+$A86*('Cálculos'!$D$290=3)*'Cálculos'!$D$103)+'Cálculos'!$D$206)*('Cálculos'!$D$257+'Cálculos'!$D$124*(1+2.78*('Cálculos'!$D$199+(($B$111)-$A86)*'Cálculos'!$D$98)/(('Cálculos'!$D$199+(($B$111)-$A86)*'Cálculos'!$D$98)+1400)+'Cálculos'!$D$122)*'Cálculos'!$D$262+'Cálculos'!$D$125*(1+2.78*('Cálculos'!$D$199+(($B$111)-$A86)*'Cálculos'!$D$98)/(('Cálculos'!$D$199+(($B$111)-$A86)*'Cálculos'!$D$98)+1400)+'Cálculos'!$D$123)*'Cálculos'!$D$267)+('Cálculos'!$D$185*(1+'Cálculos'!$D$190+$A86*('Cálculos'!$D$290=1)*'Cálculos'!$D$97+'Cálculos'!$D$305)+'Cálculos'!$D$195)*('Cálculos'!$D$269+'Cálculos'!$D$124*(1+2.78*('Cálculos'!$D$200+(($B$111)-$A86)*'Cálculos'!$D$98)/(('Cálculos'!$D$200+(($B$111)-$A86)*'Cálculos'!$D$98)+1400)+'Cálculos'!$D$122)*'Cálculos'!$D$274+'Cálculos'!$D$125*(1+2.78*('Cálculos'!$D$200+(($B$111)-$A86)*'Cálculos'!$D$98)/(('Cálculos'!$D$200+(($B$111)-$A86)*'Cálculos'!$D$98)+1400)+'Cálculos'!$D$123)*'Cálculos'!$D$279)+('Cálculos'!$D$200+(($B$111)-$A86)*'Cálculos'!$D$98)*('Cálculos'!$D$270+'Cálculos'!$D$124*(1+2.78*('Cálculos'!$D$200+(($B$111)-$A86)*'Cálculos'!$D$98)/(('Cálculos'!$D$200+(($B$111)-$A86)*'Cálculos'!$D$98)+1400)+'Cálculos'!$D$122)*'Cálculos'!$D$275+'Cálculos'!$D$125*(1+2.78*('Cálculos'!$D$200+(($B$111)-$A86)*'Cálculos'!$D$98)/(('Cálculos'!$D$200+(($B$111)-$A86)*'Cálculos'!$D$98)+1400)+'Cálculos'!$D$123)*'Cálculos'!$D$280)+('Cálculos'!$D$201*(1+'Cálculos'!$D$202+$A86*('Cálculos'!$D$290=2)*'Cálculos'!$D$101)+'Cálculos'!$D$203)*('Cálculos'!$D$271+'Cálculos'!$D$124*(1+2.78*('Cálculos'!$D$200+(($B$111)-$A86)*'Cálculos'!$D$98)/(('Cálculos'!$D$200+(($B$111)-$A86)*'Cálculos'!$D$98)+1400)+'Cálculos'!$D$122)*'Cálculos'!$D$276+'Cálculos'!$D$125*(1+2.78*('Cálculos'!$D$200+(($B$111)-$A86)*'Cálculos'!$D$98)/(('Cálculos'!$D$200+(($B$111)-$A86)*'Cálculos'!$D$98)+1400)+'Cálculos'!$D$123)*'Cálculos'!$D$281)+('Cálculos'!$D$204*(1+'Cálculos'!$D$205+$A86*('Cálculos'!$D$290=3)*'Cálculos'!$D$103)+'Cálculos'!$D$206)*('Cálculos'!$D$272+'Cálculos'!$D$124*(1+2.78*('Cálculos'!$D$200+(($B$111)-$A86)*'Cálculos'!$D$98)/(('Cálculos'!$D$200+(($B$111)-$A86)*'Cálculos'!$D$98)+1400)+'Cálculos'!$D$122)*'Cálculos'!$D$277+'Cálculos'!$D$125*(1+2.78*('Cálculos'!$D$200+(($B$111)-$A86)*'Cálculos'!$D$98)/(('Cálculos'!$D$200+(($B$111)-$A86)*'Cálculos'!$D$98)+1400)+'Cálculos'!$D$123)*'Cálculos'!$D$282)))</f>
        <v>0</v>
      </c>
    </row>
    <row r="87" ht="15.75" customHeight="1">
      <c r="A87" s="2">
        <v>24.0</v>
      </c>
      <c r="B87" s="30">
        <f>SUMPRODUCT(MAX(($A$63:$A$108&lt;=$A87)*($A$63:$A$108&lt;='Cálculos'!$D$294)*(($A87)-$A$63:$A$108&lt;='Cálculos'!$D$295)*(1+(('Cálculos'!$D$207+$A$63:$A$108*'Cálculos'!$D$95)-(('Cálculos'!$D$207+$A$63:$A$108*'Cálculos'!$D$95)&gt;1)*(('Cálculos'!$D$207+$A$63:$A$108*'Cálculos'!$D$95)-1))*('Cálculos'!$D$208+(($A87)-$A$63:$A$108)*'Cálculos'!$D$96))))</f>
        <v>1.866572307</v>
      </c>
      <c r="C87" s="2">
        <f>'Cálculos'!$D$303-$A87</f>
        <v>-13</v>
      </c>
      <c r="D87" s="31">
        <f>IF($C87&lt;0,0,SUMPRODUCT(MAX(($A$63:$A$108&lt;=$C87)*($A$63:$A$108&lt;='Cálculos'!$D$301)*(($C87)-$A$63:$A$108&lt;='Cálculos'!$D$297)*(('Cálculos'!$D$185*(1+'Cálculos'!$D$186+$A$63:$A$108*('Cálculos'!$D$290=1)*'Cálculos'!$D$97+'Cálculos'!$D$305)+'Cálculos'!$D$191)*('Cálculos'!$D$209+'Cálculos'!$D$124*(1+2.78*('Cálculos'!$D$196+(($C87)-$A$63:$A$108)*'Cálculos'!$D$98)/(('Cálculos'!$D$196+(($C87)-$A$63:$A$108)*'Cálculos'!$D$98)+1400)+'Cálculos'!$D$122)*'Cálculos'!$D$214+'Cálculos'!$D$125*(1+2.78*('Cálculos'!$D$196+(($C87)-$A$63:$A$108)*'Cálculos'!$D$98)/(('Cálculos'!$D$196+(($C87)-$A$63:$A$108)*'Cálculos'!$D$98)+1400)+'Cálculos'!$D$123)*'Cálculos'!$D$219)+('Cálculos'!$D$196+(($C87)-$A$63:$A$108)*'Cálculos'!$D$98)*('Cálculos'!$D$210+'Cálculos'!$D$124*(1+2.78*('Cálculos'!$D$196+(($C87)-$A$63:$A$108)*'Cálculos'!$D$98)/(('Cálculos'!$D$196+(($C87)-$A$63:$A$108)*'Cálculos'!$D$98)+1400)+'Cálculos'!$D$122)*'Cálculos'!$D$215+'Cálculos'!$D$125*(1+2.78*('Cálculos'!$D$196+(($C87)-$A$63:$A$108)*'Cálculos'!$D$98)/(('Cálculos'!$D$196+(($C87)-$A$63:$A$108)*'Cálculos'!$D$98)+1400)+'Cálculos'!$D$123)*'Cálculos'!$D$220)+('Cálculos'!$D$201*(1+'Cálculos'!$D$202+$A$63:$A$108*('Cálculos'!$D$290=2)*'Cálculos'!$D$101)+'Cálculos'!$D$203)*('Cálculos'!$D$211+'Cálculos'!$D$124*(1+2.78*('Cálculos'!$D$196+(($C87)-$A$63:$A$108)*'Cálculos'!$D$98)/(('Cálculos'!$D$196+(($C87)-$A$63:$A$108)*'Cálculos'!$D$98)+1400)+'Cálculos'!$D$122)*'Cálculos'!$D$216+'Cálculos'!$D$125*(1+2.78*('Cálculos'!$D$196+(($C87)-$A$63:$A$108)*'Cálculos'!$D$98)/(('Cálculos'!$D$196+(($C87)-$A$63:$A$108)*'Cálculos'!$D$98)+1400)+'Cálculos'!$D$123)*'Cálculos'!$D$221)+('Cálculos'!$D$204*(1+'Cálculos'!$D$205+$A$63:$A$108*('Cálculos'!$D$290=3)*'Cálculos'!$D$103)+'Cálculos'!$D$206)*('Cálculos'!$D$212+'Cálculos'!$D$124*(1+2.78*('Cálculos'!$D$196+(($C87)-$A$63:$A$108)*'Cálculos'!$D$98)/(('Cálculos'!$D$196+(($C87)-$A$63:$A$108)*'Cálculos'!$D$98)+1400)+'Cálculos'!$D$122)*'Cálculos'!$D$217+'Cálculos'!$D$125*(1+2.78*('Cálculos'!$D$196+(($C87)-$A$63:$A$108)*'Cálculos'!$D$98)/(('Cálculos'!$D$196+(($C87)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87)-$A$63:$A$108)*'Cálculos'!$D$98)/(('Cálculos'!$D$197+(($C87)-$A$63:$A$108)*'Cálculos'!$D$98)+1400)+'Cálculos'!$D$122)*'Cálculos'!$D$229+'Cálculos'!$D$125*(1+2.78*('Cálculos'!$D$197+(($C87)-$A$63:$A$108)*'Cálculos'!$D$98)/(('Cálculos'!$D$197+(($C87)-$A$63:$A$108)*'Cálculos'!$D$98)+1400)+'Cálculos'!$D$123)*'Cálculos'!$D$234)+('Cálculos'!$D$197+(($C87)-$A$63:$A$108)*'Cálculos'!$D$98)*('Cálculos'!$D$225+'Cálculos'!$D$124*(1+2.78*('Cálculos'!$D$197+(($C87)-$A$63:$A$108)*'Cálculos'!$D$98)/(('Cálculos'!$D$197+(($C87)-$A$63:$A$108)*'Cálculos'!$D$98)+1400)+'Cálculos'!$D$122)*'Cálculos'!$D$230+'Cálculos'!$D$125*(1+2.78*('Cálculos'!$D$197+(($C87)-$A$63:$A$108)*'Cálculos'!$D$98)/(('Cálculos'!$D$197+(($C87)-$A$63:$A$108)*'Cálculos'!$D$98)+1400)+'Cálculos'!$D$123)*'Cálculos'!$D$235)+('Cálculos'!$D$201*(1+'Cálculos'!$D$202+$A$63:$A$108*('Cálculos'!$D$290=2)*'Cálculos'!$D$101)+'Cálculos'!$D$203)*('Cálculos'!$D$226+'Cálculos'!$D$124*(1+2.78*('Cálculos'!$D$197+(($C87)-$A$63:$A$108)*'Cálculos'!$D$98)/(('Cálculos'!$D$197+(($C87)-$A$63:$A$108)*'Cálculos'!$D$98)+1400)+'Cálculos'!$D$122)*'Cálculos'!$D$231+'Cálculos'!$D$125*(1+2.78*('Cálculos'!$D$197+(($C87)-$A$63:$A$108)*'Cálculos'!$D$98)/(('Cálculos'!$D$197+(($C87)-$A$63:$A$108)*'Cálculos'!$D$98)+1400)+'Cálculos'!$D$123)*'Cálculos'!$D$236)+('Cálculos'!$D$204*(1+'Cálculos'!$D$205+$A$63:$A$108*('Cálculos'!$D$290=3)*'Cálculos'!$D$103)+'Cálculos'!$D$206)*('Cálculos'!$D$227+'Cálculos'!$D$124*(1+2.78*('Cálculos'!$D$197+(($C87)-$A$63:$A$108)*'Cálculos'!$D$98)/(('Cálculos'!$D$197+(($C87)-$A$63:$A$108)*'Cálculos'!$D$98)+1400)+'Cálculos'!$D$122)*'Cálculos'!$D$232+'Cálculos'!$D$125*(1+2.78*('Cálculos'!$D$197+(($C87)-$A$63:$A$108)*'Cálculos'!$D$98)/(('Cálculos'!$D$197+(($C87)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87)-$A$63:$A$108)*'Cálculos'!$D$98)/(('Cálculos'!$D$198+(($C87)-$A$63:$A$108)*'Cálculos'!$D$98)+1400)+'Cálculos'!$D$122)*'Cálculos'!$D$244+'Cálculos'!$D$125*(1+2.78*('Cálculos'!$D$198+(($C87)-$A$63:$A$108)*'Cálculos'!$D$98)/(('Cálculos'!$D$198+(($C87)-$A$63:$A$108)*'Cálculos'!$D$98)+1400)+'Cálculos'!$D$123)*'Cálculos'!$D$249)+('Cálculos'!$D$198+(($C87)-$A$63:$A$108)*'Cálculos'!$D$98)*('Cálculos'!$D$240+'Cálculos'!$D$124*(1+2.78*('Cálculos'!$D$198+(($C87)-$A$63:$A$108)*'Cálculos'!$D$98)/(('Cálculos'!$D$198+(($C87)-$A$63:$A$108)*'Cálculos'!$D$98)+1400)+'Cálculos'!$D$122)*'Cálculos'!$D$245+'Cálculos'!$D$125*(1+2.78*('Cálculos'!$D$198+(($C87)-$A$63:$A$108)*'Cálculos'!$D$98)/(('Cálculos'!$D$198+(($C87)-$A$63:$A$108)*'Cálculos'!$D$98)+1400)+'Cálculos'!$D$123)*'Cálculos'!$D$250)+('Cálculos'!$D$201*(1+'Cálculos'!$D$202+$A$63:$A$108*('Cálculos'!$D$290=2)*'Cálculos'!$D$101)+'Cálculos'!$D$203)*('Cálculos'!$D$241+'Cálculos'!$D$124*(1+2.78*('Cálculos'!$D$198+(($C87)-$A$63:$A$108)*'Cálculos'!$D$98)/(('Cálculos'!$D$198+(($C87)-$A$63:$A$108)*'Cálculos'!$D$98)+1400)+'Cálculos'!$D$122)*'Cálculos'!$D$246+'Cálculos'!$D$125*(1+2.78*('Cálculos'!$D$198+(($C87)-$A$63:$A$108)*'Cálculos'!$D$98)/(('Cálculos'!$D$198+(($C87)-$A$63:$A$108)*'Cálculos'!$D$98)+1400)+'Cálculos'!$D$123)*'Cálculos'!$D$251)+('Cálculos'!$D$204*(1+'Cálculos'!$D$205+$A$63:$A$108*('Cálculos'!$D$290=3)*'Cálculos'!$D$103)+'Cálculos'!$D$206)*('Cálculos'!$D$242+'Cálculos'!$D$124*(1+2.78*('Cálculos'!$D$198+(($C87)-$A$63:$A$108)*'Cálculos'!$D$98)/(('Cálculos'!$D$198+(($C87)-$A$63:$A$108)*'Cálculos'!$D$98)+1400)+'Cálculos'!$D$122)*'Cálculos'!$D$247+'Cálculos'!$D$125*(1+2.78*('Cálculos'!$D$198+(($C87)-$A$63:$A$108)*'Cálculos'!$D$98)/(('Cálculos'!$D$198+(($C87)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87)-$A$63:$A$108)*'Cálculos'!$D$98)/(('Cálculos'!$D$199+(($C87)-$A$63:$A$108)*'Cálculos'!$D$98)+1400)+'Cálculos'!$D$122)*'Cálculos'!$D$259+'Cálculos'!$D$125*(1+2.78*('Cálculos'!$D$199+(($C87)-$A$63:$A$108)*'Cálculos'!$D$98)/(('Cálculos'!$D$199+(($C87)-$A$63:$A$108)*'Cálculos'!$D$98)+1400)+'Cálculos'!$D$123)*'Cálculos'!$D$264)+('Cálculos'!$D$199+(($C87)-$A$63:$A$108)*'Cálculos'!$D$98)*('Cálculos'!$D$255+'Cálculos'!$D$124*(1+2.78*('Cálculos'!$D$199+(($C87)-$A$63:$A$108)*'Cálculos'!$D$98)/(('Cálculos'!$D$199+(($C87)-$A$63:$A$108)*'Cálculos'!$D$98)+1400)+'Cálculos'!$D$122)*'Cálculos'!$D$260+'Cálculos'!$D$125*(1+2.78*('Cálculos'!$D$199+(($C87)-$A$63:$A$108)*'Cálculos'!$D$98)/(('Cálculos'!$D$199+(($C87)-$A$63:$A$108)*'Cálculos'!$D$98)+1400)+'Cálculos'!$D$123)*'Cálculos'!$D$265)+('Cálculos'!$D$201*(1+'Cálculos'!$D$202+$A$63:$A$108*('Cálculos'!$D$290=2)*'Cálculos'!$D$101)+'Cálculos'!$D$203)*('Cálculos'!$D$256+'Cálculos'!$D$124*(1+2.78*('Cálculos'!$D$199+(($C87)-$A$63:$A$108)*'Cálculos'!$D$98)/(('Cálculos'!$D$199+(($C87)-$A$63:$A$108)*'Cálculos'!$D$98)+1400)+'Cálculos'!$D$122)*'Cálculos'!$D$261+'Cálculos'!$D$125*(1+2.78*('Cálculos'!$D$199+(($C87)-$A$63:$A$108)*'Cálculos'!$D$98)/(('Cálculos'!$D$199+(($C87)-$A$63:$A$108)*'Cálculos'!$D$98)+1400)+'Cálculos'!$D$123)*'Cálculos'!$D$266)+('Cálculos'!$D$204*(1+'Cálculos'!$D$205+$A$63:$A$108*('Cálculos'!$D$290=3)*'Cálculos'!$D$103)+'Cálculos'!$D$206)*('Cálculos'!$D$257+'Cálculos'!$D$124*(1+2.78*('Cálculos'!$D$199+(($C87)-$A$63:$A$108)*'Cálculos'!$D$98)/(('Cálculos'!$D$199+(($C87)-$A$63:$A$108)*'Cálculos'!$D$98)+1400)+'Cálculos'!$D$122)*'Cálculos'!$D$262+'Cálculos'!$D$125*(1+2.78*('Cálculos'!$D$199+(($C87)-$A$63:$A$108)*'Cálculos'!$D$98)/(('Cálculos'!$D$199+(($C87)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87)-$A$63:$A$108)*'Cálculos'!$D$98)/(('Cálculos'!$D$200+(($C87)-$A$63:$A$108)*'Cálculos'!$D$98)+1400)+'Cálculos'!$D$122)*'Cálculos'!$D$274+'Cálculos'!$D$125*(1+2.78*('Cálculos'!$D$200+(($C87)-$A$63:$A$108)*'Cálculos'!$D$98)/(('Cálculos'!$D$200+(($C87)-$A$63:$A$108)*'Cálculos'!$D$98)+1400)+'Cálculos'!$D$123)*'Cálculos'!$D$279)+('Cálculos'!$D$200+(($C87)-$A$63:$A$108)*'Cálculos'!$D$98)*('Cálculos'!$D$270+'Cálculos'!$D$124*(1+2.78*('Cálculos'!$D$200+(($C87)-$A$63:$A$108)*'Cálculos'!$D$98)/(('Cálculos'!$D$200+(($C87)-$A$63:$A$108)*'Cálculos'!$D$98)+1400)+'Cálculos'!$D$122)*'Cálculos'!$D$275+'Cálculos'!$D$125*(1+2.78*('Cálculos'!$D$200+(($C87)-$A$63:$A$108)*'Cálculos'!$D$98)/(('Cálculos'!$D$200+(($C87)-$A$63:$A$108)*'Cálculos'!$D$98)+1400)+'Cálculos'!$D$123)*'Cálculos'!$D$280)+('Cálculos'!$D$201*(1+'Cálculos'!$D$202+$A$63:$A$108*('Cálculos'!$D$290=2)*'Cálculos'!$D$101)+'Cálculos'!$D$203)*('Cálculos'!$D$271+'Cálculos'!$D$124*(1+2.78*('Cálculos'!$D$200+(($C87)-$A$63:$A$108)*'Cálculos'!$D$98)/(('Cálculos'!$D$200+(($C87)-$A$63:$A$108)*'Cálculos'!$D$98)+1400)+'Cálculos'!$D$122)*'Cálculos'!$D$276+'Cálculos'!$D$125*(1+2.78*('Cálculos'!$D$200+(($C87)-$A$63:$A$108)*'Cálculos'!$D$98)/(('Cálculos'!$D$200+(($C87)-$A$63:$A$108)*'Cálculos'!$D$98)+1400)+'Cálculos'!$D$123)*'Cálculos'!$D$281)+('Cálculos'!$D$204*(1+'Cálculos'!$D$205+$A$63:$A$108*('Cálculos'!$D$290=3)*'Cálculos'!$D$103)+'Cálculos'!$D$206)*('Cálculos'!$D$272+'Cálculos'!$D$124*(1+2.78*('Cálculos'!$D$200+(($C87)-$A$63:$A$108)*'Cálculos'!$D$98)/(('Cálculos'!$D$200+(($C87)-$A$63:$A$108)*'Cálculos'!$D$98)+1400)+'Cálculos'!$D$122)*'Cálculos'!$D$277+'Cálculos'!$D$125*(1+2.78*('Cálculos'!$D$200+(($C87)-$A$63:$A$108)*'Cálculos'!$D$98)/(('Cálculos'!$D$200+(($C87)-$A$63:$A$108)*'Cálculos'!$D$98)+1400)+'Cálculos'!$D$123)*'Cálculos'!$D$282)))))</f>
        <v>0</v>
      </c>
      <c r="E87" s="32">
        <f>IF(OR($C87&lt;0,'Cálculos'!$D$6=""),0,$B87*$D87)</f>
        <v>0</v>
      </c>
      <c r="F87" s="2"/>
      <c r="G87" s="30">
        <f>($A87&lt;=$B$110)*($A87&lt;='Cálculos'!$D$294)*(($B$110)-$A87&lt;='Cálculos'!$D$295)*(1+MIN(('Cálculos'!$D$207+$A87*'Cálculos'!$D$95),1)*('Cálculos'!$D$208+(($B$110)-$A87)*'Cálculos'!$D$96))</f>
        <v>0</v>
      </c>
      <c r="H87" s="31">
        <f>IF($B$111&lt;0,0,($A87&lt;=$B$111)*($A87&lt;='Cálculos'!$D$301)*(($B$111)-$A87&lt;='Cálculos'!$D$297)*(('Cálculos'!$D$185*(1+'Cálculos'!$D$186+$A87*('Cálculos'!$D$290=1)*'Cálculos'!$D$97+'Cálculos'!$D$305)+'Cálculos'!$D$191)*('Cálculos'!$D$209+'Cálculos'!$D$124*(1+2.78*('Cálculos'!$D$196+(($B$111)-$A87)*'Cálculos'!$D$98)/(('Cálculos'!$D$196+(($B$111)-$A87)*'Cálculos'!$D$98)+1400)+'Cálculos'!$D$122)*'Cálculos'!$D$214+'Cálculos'!$D$125*(1+2.78*('Cálculos'!$D$196+(($B$111)-$A87)*'Cálculos'!$D$98)/(('Cálculos'!$D$196+(($B$111)-$A87)*'Cálculos'!$D$98)+1400)+'Cálculos'!$D$123)*'Cálculos'!$D$219)+('Cálculos'!$D$196+(($B$111)-$A87)*'Cálculos'!$D$98)*('Cálculos'!$D$210+'Cálculos'!$D$124*(1+2.78*('Cálculos'!$D$196+(($B$111)-$A87)*'Cálculos'!$D$98)/(('Cálculos'!$D$196+(($B$111)-$A87)*'Cálculos'!$D$98)+1400)+'Cálculos'!$D$122)*'Cálculos'!$D$215+'Cálculos'!$D$125*(1+2.78*('Cálculos'!$D$196+(($B$111)-$A87)*'Cálculos'!$D$98)/(('Cálculos'!$D$196+(($B$111)-$A87)*'Cálculos'!$D$98)+1400)+'Cálculos'!$D$123)*'Cálculos'!$D$220)+('Cálculos'!$D$201*(1+'Cálculos'!$D$202+$A87*('Cálculos'!$D$290=2)*'Cálculos'!$D$101)+'Cálculos'!$D$203)*('Cálculos'!$D$211+'Cálculos'!$D$124*(1+2.78*('Cálculos'!$D$196+(($B$111)-$A87)*'Cálculos'!$D$98)/(('Cálculos'!$D$196+(($B$111)-$A87)*'Cálculos'!$D$98)+1400)+'Cálculos'!$D$122)*'Cálculos'!$D$216+'Cálculos'!$D$125*(1+2.78*('Cálculos'!$D$196+(($B$111)-$A87)*'Cálculos'!$D$98)/(('Cálculos'!$D$196+(($B$111)-$A87)*'Cálculos'!$D$98)+1400)+'Cálculos'!$D$123)*'Cálculos'!$D$221)+('Cálculos'!$D$204*(1+'Cálculos'!$D$205+$A87*('Cálculos'!$D$290=3)*'Cálculos'!$D$103)+'Cálculos'!$D$206)*('Cálculos'!$D$212+'Cálculos'!$D$124*(1+2.78*('Cálculos'!$D$196+(($B$111)-$A87)*'Cálculos'!$D$98)/(('Cálculos'!$D$196+(($B$111)-$A87)*'Cálculos'!$D$98)+1400)+'Cálculos'!$D$122)*'Cálculos'!$D$217+'Cálculos'!$D$125*(1+2.78*('Cálculos'!$D$196+(($B$111)-$A87)*'Cálculos'!$D$98)/(('Cálculos'!$D$196+(($B$111)-$A87)*'Cálculos'!$D$98)+1400)+'Cálculos'!$D$123)*'Cálculos'!$D$222)+('Cálculos'!$D$185*(1+'Cálculos'!$D$187+$A87*('Cálculos'!$D$290=1)*'Cálculos'!$D$97+'Cálculos'!$D$305)+'Cálculos'!$D$192)*('Cálculos'!$D$224+'Cálculos'!$D$124*(1+2.78*('Cálculos'!$D$197+(($B$111)-$A87)*'Cálculos'!$D$98)/(('Cálculos'!$D$197+(($B$111)-$A87)*'Cálculos'!$D$98)+1400)+'Cálculos'!$D$122)*'Cálculos'!$D$229+'Cálculos'!$D$125*(1+2.78*('Cálculos'!$D$197+(($B$111)-$A87)*'Cálculos'!$D$98)/(('Cálculos'!$D$197+(($B$111)-$A87)*'Cálculos'!$D$98)+1400)+'Cálculos'!$D$123)*'Cálculos'!$D$234)+('Cálculos'!$D$197+(($B$111)-$A87)*'Cálculos'!$D$98)*('Cálculos'!$D$225+'Cálculos'!$D$124*(1+2.78*('Cálculos'!$D$197+(($B$111)-$A87)*'Cálculos'!$D$98)/(('Cálculos'!$D$197+(($B$111)-$A87)*'Cálculos'!$D$98)+1400)+'Cálculos'!$D$122)*'Cálculos'!$D$230+'Cálculos'!$D$125*(1+2.78*('Cálculos'!$D$197+(($B$111)-$A87)*'Cálculos'!$D$98)/(('Cálculos'!$D$197+(($B$111)-$A87)*'Cálculos'!$D$98)+1400)+'Cálculos'!$D$123)*'Cálculos'!$D$235)+('Cálculos'!$D$201*(1+'Cálculos'!$D$202+$A87*('Cálculos'!$D$290=2)*'Cálculos'!$D$101)+'Cálculos'!$D$203)*('Cálculos'!$D$226+'Cálculos'!$D$124*(1+2.78*('Cálculos'!$D$197+(($B$111)-$A87)*'Cálculos'!$D$98)/(('Cálculos'!$D$197+(($B$111)-$A87)*'Cálculos'!$D$98)+1400)+'Cálculos'!$D$122)*'Cálculos'!$D$231+'Cálculos'!$D$125*(1+2.78*('Cálculos'!$D$197+(($B$111)-$A87)*'Cálculos'!$D$98)/(('Cálculos'!$D$197+(($B$111)-$A87)*'Cálculos'!$D$98)+1400)+'Cálculos'!$D$123)*'Cálculos'!$D$236)+('Cálculos'!$D$204*(1+'Cálculos'!$D$205+$A87*('Cálculos'!$D$290=3)*'Cálculos'!$D$103)+'Cálculos'!$D$206)*('Cálculos'!$D$227+'Cálculos'!$D$124*(1+2.78*('Cálculos'!$D$197+(($B$111)-$A87)*'Cálculos'!$D$98)/(('Cálculos'!$D$197+(($B$111)-$A87)*'Cálculos'!$D$98)+1400)+'Cálculos'!$D$122)*'Cálculos'!$D$232+'Cálculos'!$D$125*(1+2.78*('Cálculos'!$D$197+(($B$111)-$A87)*'Cálculos'!$D$98)/(('Cálculos'!$D$197+(($B$111)-$A87)*'Cálculos'!$D$98)+1400)+'Cálculos'!$D$123)*'Cálculos'!$D$237)+('Cálculos'!$D$185*(1+'Cálculos'!$D$188+$A87*('Cálculos'!$D$290=1)*'Cálculos'!$D$97+'Cálculos'!$D$305)+'Cálculos'!$D$193)*('Cálculos'!$D$239+'Cálculos'!$D$124*(1+2.78*('Cálculos'!$D$198+(($B$111)-$A87)*'Cálculos'!$D$98)/(('Cálculos'!$D$198+(($B$111)-$A87)*'Cálculos'!$D$98)+1400)+'Cálculos'!$D$122)*'Cálculos'!$D$244+'Cálculos'!$D$125*(1+2.78*('Cálculos'!$D$198+(($B$111)-$A87)*'Cálculos'!$D$98)/(('Cálculos'!$D$198+(($B$111)-$A87)*'Cálculos'!$D$98)+1400)+'Cálculos'!$D$123)*'Cálculos'!$D$249)+('Cálculos'!$D$198+(($B$111)-$A87)*'Cálculos'!$D$98)*('Cálculos'!$D$240+'Cálculos'!$D$124*(1+2.78*('Cálculos'!$D$198+(($B$111)-$A87)*'Cálculos'!$D$98)/(('Cálculos'!$D$198+(($B$111)-$A87)*'Cálculos'!$D$98)+1400)+'Cálculos'!$D$122)*'Cálculos'!$D$245+'Cálculos'!$D$125*(1+2.78*('Cálculos'!$D$198+(($B$111)-$A87)*'Cálculos'!$D$98)/(('Cálculos'!$D$198+(($B$111)-$A87)*'Cálculos'!$D$98)+1400)+'Cálculos'!$D$123)*'Cálculos'!$D$250)+('Cálculos'!$D$201*(1+'Cálculos'!$D$202+$A87*('Cálculos'!$D$290=2)*'Cálculos'!$D$101)+'Cálculos'!$D$203)*('Cálculos'!$D$241+'Cálculos'!$D$124*(1+2.78*('Cálculos'!$D$198+(($B$111)-$A87)*'Cálculos'!$D$98)/(('Cálculos'!$D$198+(($B$111)-$A87)*'Cálculos'!$D$98)+1400)+'Cálculos'!$D$122)*'Cálculos'!$D$246+'Cálculos'!$D$125*(1+2.78*('Cálculos'!$D$198+(($B$111)-$A87)*'Cálculos'!$D$98)/(('Cálculos'!$D$198+(($B$111)-$A87)*'Cálculos'!$D$98)+1400)+'Cálculos'!$D$123)*'Cálculos'!$D$251)+('Cálculos'!$D$204*(1+'Cálculos'!$D$205+$A87*('Cálculos'!$D$290=3)*'Cálculos'!$D$103)+'Cálculos'!$D$206)*('Cálculos'!$D$242+'Cálculos'!$D$124*(1+2.78*('Cálculos'!$D$198+(($B$111)-$A87)*'Cálculos'!$D$98)/(('Cálculos'!$D$198+(($B$111)-$A87)*'Cálculos'!$D$98)+1400)+'Cálculos'!$D$122)*'Cálculos'!$D$247+'Cálculos'!$D$125*(1+2.78*('Cálculos'!$D$198+(($B$111)-$A87)*'Cálculos'!$D$98)/(('Cálculos'!$D$198+(($B$111)-$A87)*'Cálculos'!$D$98)+1400)+'Cálculos'!$D$123)*'Cálculos'!$D$252)+('Cálculos'!$D$185*(1+'Cálculos'!$D$189+$A87*('Cálculos'!$D$290=1)*'Cálculos'!$D$97+'Cálculos'!$D$305)+'Cálculos'!$D$194)*('Cálculos'!$D$254+'Cálculos'!$D$124*(1+2.78*('Cálculos'!$D$199+(($B$111)-$A87)*'Cálculos'!$D$98)/(('Cálculos'!$D$199+(($B$111)-$A87)*'Cálculos'!$D$98)+1400)+'Cálculos'!$D$122)*'Cálculos'!$D$259+'Cálculos'!$D$125*(1+2.78*('Cálculos'!$D$199+(($B$111)-$A87)*'Cálculos'!$D$98)/(('Cálculos'!$D$199+(($B$111)-$A87)*'Cálculos'!$D$98)+1400)+'Cálculos'!$D$123)*'Cálculos'!$D$264)+('Cálculos'!$D$199+(($B$111)-$A87)*'Cálculos'!$D$98)*('Cálculos'!$D$255+'Cálculos'!$D$124*(1+2.78*('Cálculos'!$D$199+(($B$111)-$A87)*'Cálculos'!$D$98)/(('Cálculos'!$D$199+(($B$111)-$A87)*'Cálculos'!$D$98)+1400)+'Cálculos'!$D$122)*'Cálculos'!$D$260+'Cálculos'!$D$125*(1+2.78*('Cálculos'!$D$199+(($B$111)-$A87)*'Cálculos'!$D$98)/(('Cálculos'!$D$199+(($B$111)-$A87)*'Cálculos'!$D$98)+1400)+'Cálculos'!$D$123)*'Cálculos'!$D$265)+('Cálculos'!$D$201*(1+'Cálculos'!$D$202+$A87*('Cálculos'!$D$290=2)*'Cálculos'!$D$101)+'Cálculos'!$D$203)*('Cálculos'!$D$256+'Cálculos'!$D$124*(1+2.78*('Cálculos'!$D$199+(($B$111)-$A87)*'Cálculos'!$D$98)/(('Cálculos'!$D$199+(($B$111)-$A87)*'Cálculos'!$D$98)+1400)+'Cálculos'!$D$122)*'Cálculos'!$D$261+'Cálculos'!$D$125*(1+2.78*('Cálculos'!$D$199+(($B$111)-$A87)*'Cálculos'!$D$98)/(('Cálculos'!$D$199+(($B$111)-$A87)*'Cálculos'!$D$98)+1400)+'Cálculos'!$D$123)*'Cálculos'!$D$266)+('Cálculos'!$D$204*(1+'Cálculos'!$D$205+$A87*('Cálculos'!$D$290=3)*'Cálculos'!$D$103)+'Cálculos'!$D$206)*('Cálculos'!$D$257+'Cálculos'!$D$124*(1+2.78*('Cálculos'!$D$199+(($B$111)-$A87)*'Cálculos'!$D$98)/(('Cálculos'!$D$199+(($B$111)-$A87)*'Cálculos'!$D$98)+1400)+'Cálculos'!$D$122)*'Cálculos'!$D$262+'Cálculos'!$D$125*(1+2.78*('Cálculos'!$D$199+(($B$111)-$A87)*'Cálculos'!$D$98)/(('Cálculos'!$D$199+(($B$111)-$A87)*'Cálculos'!$D$98)+1400)+'Cálculos'!$D$123)*'Cálculos'!$D$267)+('Cálculos'!$D$185*(1+'Cálculos'!$D$190+$A87*('Cálculos'!$D$290=1)*'Cálculos'!$D$97+'Cálculos'!$D$305)+'Cálculos'!$D$195)*('Cálculos'!$D$269+'Cálculos'!$D$124*(1+2.78*('Cálculos'!$D$200+(($B$111)-$A87)*'Cálculos'!$D$98)/(('Cálculos'!$D$200+(($B$111)-$A87)*'Cálculos'!$D$98)+1400)+'Cálculos'!$D$122)*'Cálculos'!$D$274+'Cálculos'!$D$125*(1+2.78*('Cálculos'!$D$200+(($B$111)-$A87)*'Cálculos'!$D$98)/(('Cálculos'!$D$200+(($B$111)-$A87)*'Cálculos'!$D$98)+1400)+'Cálculos'!$D$123)*'Cálculos'!$D$279)+('Cálculos'!$D$200+(($B$111)-$A87)*'Cálculos'!$D$98)*('Cálculos'!$D$270+'Cálculos'!$D$124*(1+2.78*('Cálculos'!$D$200+(($B$111)-$A87)*'Cálculos'!$D$98)/(('Cálculos'!$D$200+(($B$111)-$A87)*'Cálculos'!$D$98)+1400)+'Cálculos'!$D$122)*'Cálculos'!$D$275+'Cálculos'!$D$125*(1+2.78*('Cálculos'!$D$200+(($B$111)-$A87)*'Cálculos'!$D$98)/(('Cálculos'!$D$200+(($B$111)-$A87)*'Cálculos'!$D$98)+1400)+'Cálculos'!$D$123)*'Cálculos'!$D$280)+('Cálculos'!$D$201*(1+'Cálculos'!$D$202+$A87*('Cálculos'!$D$290=2)*'Cálculos'!$D$101)+'Cálculos'!$D$203)*('Cálculos'!$D$271+'Cálculos'!$D$124*(1+2.78*('Cálculos'!$D$200+(($B$111)-$A87)*'Cálculos'!$D$98)/(('Cálculos'!$D$200+(($B$111)-$A87)*'Cálculos'!$D$98)+1400)+'Cálculos'!$D$122)*'Cálculos'!$D$276+'Cálculos'!$D$125*(1+2.78*('Cálculos'!$D$200+(($B$111)-$A87)*'Cálculos'!$D$98)/(('Cálculos'!$D$200+(($B$111)-$A87)*'Cálculos'!$D$98)+1400)+'Cálculos'!$D$123)*'Cálculos'!$D$281)+('Cálculos'!$D$204*(1+'Cálculos'!$D$205+$A87*('Cálculos'!$D$290=3)*'Cálculos'!$D$103)+'Cálculos'!$D$206)*('Cálculos'!$D$272+'Cálculos'!$D$124*(1+2.78*('Cálculos'!$D$200+(($B$111)-$A87)*'Cálculos'!$D$98)/(('Cálculos'!$D$200+(($B$111)-$A87)*'Cálculos'!$D$98)+1400)+'Cálculos'!$D$122)*'Cálculos'!$D$277+'Cálculos'!$D$125*(1+2.78*('Cálculos'!$D$200+(($B$111)-$A87)*'Cálculos'!$D$98)/(('Cálculos'!$D$200+(($B$111)-$A87)*'Cálculos'!$D$98)+1400)+'Cálculos'!$D$123)*'Cálculos'!$D$282)))</f>
        <v>0</v>
      </c>
    </row>
    <row r="88" ht="15.75" customHeight="1">
      <c r="A88" s="2">
        <v>25.0</v>
      </c>
      <c r="B88" s="30">
        <f>SUMPRODUCT(MAX(($A$63:$A$108&lt;=$A88)*($A$63:$A$108&lt;='Cálculos'!$D$294)*(($A88)-$A$63:$A$108&lt;='Cálculos'!$D$295)*(1+(('Cálculos'!$D$207+$A$63:$A$108*'Cálculos'!$D$95)-(('Cálculos'!$D$207+$A$63:$A$108*'Cálculos'!$D$95)&gt;1)*(('Cálculos'!$D$207+$A$63:$A$108*'Cálculos'!$D$95)-1))*('Cálculos'!$D$208+(($A88)-$A$63:$A$108)*'Cálculos'!$D$96))))</f>
        <v>1.904135882</v>
      </c>
      <c r="C88" s="2">
        <f>'Cálculos'!$D$303-$A88</f>
        <v>-14</v>
      </c>
      <c r="D88" s="31">
        <f>IF($C88&lt;0,0,SUMPRODUCT(MAX(($A$63:$A$108&lt;=$C88)*($A$63:$A$108&lt;='Cálculos'!$D$301)*(($C88)-$A$63:$A$108&lt;='Cálculos'!$D$297)*(('Cálculos'!$D$185*(1+'Cálculos'!$D$186+$A$63:$A$108*('Cálculos'!$D$290=1)*'Cálculos'!$D$97+'Cálculos'!$D$305)+'Cálculos'!$D$191)*('Cálculos'!$D$209+'Cálculos'!$D$124*(1+2.78*('Cálculos'!$D$196+(($C88)-$A$63:$A$108)*'Cálculos'!$D$98)/(('Cálculos'!$D$196+(($C88)-$A$63:$A$108)*'Cálculos'!$D$98)+1400)+'Cálculos'!$D$122)*'Cálculos'!$D$214+'Cálculos'!$D$125*(1+2.78*('Cálculos'!$D$196+(($C88)-$A$63:$A$108)*'Cálculos'!$D$98)/(('Cálculos'!$D$196+(($C88)-$A$63:$A$108)*'Cálculos'!$D$98)+1400)+'Cálculos'!$D$123)*'Cálculos'!$D$219)+('Cálculos'!$D$196+(($C88)-$A$63:$A$108)*'Cálculos'!$D$98)*('Cálculos'!$D$210+'Cálculos'!$D$124*(1+2.78*('Cálculos'!$D$196+(($C88)-$A$63:$A$108)*'Cálculos'!$D$98)/(('Cálculos'!$D$196+(($C88)-$A$63:$A$108)*'Cálculos'!$D$98)+1400)+'Cálculos'!$D$122)*'Cálculos'!$D$215+'Cálculos'!$D$125*(1+2.78*('Cálculos'!$D$196+(($C88)-$A$63:$A$108)*'Cálculos'!$D$98)/(('Cálculos'!$D$196+(($C88)-$A$63:$A$108)*'Cálculos'!$D$98)+1400)+'Cálculos'!$D$123)*'Cálculos'!$D$220)+('Cálculos'!$D$201*(1+'Cálculos'!$D$202+$A$63:$A$108*('Cálculos'!$D$290=2)*'Cálculos'!$D$101)+'Cálculos'!$D$203)*('Cálculos'!$D$211+'Cálculos'!$D$124*(1+2.78*('Cálculos'!$D$196+(($C88)-$A$63:$A$108)*'Cálculos'!$D$98)/(('Cálculos'!$D$196+(($C88)-$A$63:$A$108)*'Cálculos'!$D$98)+1400)+'Cálculos'!$D$122)*'Cálculos'!$D$216+'Cálculos'!$D$125*(1+2.78*('Cálculos'!$D$196+(($C88)-$A$63:$A$108)*'Cálculos'!$D$98)/(('Cálculos'!$D$196+(($C88)-$A$63:$A$108)*'Cálculos'!$D$98)+1400)+'Cálculos'!$D$123)*'Cálculos'!$D$221)+('Cálculos'!$D$204*(1+'Cálculos'!$D$205+$A$63:$A$108*('Cálculos'!$D$290=3)*'Cálculos'!$D$103)+'Cálculos'!$D$206)*('Cálculos'!$D$212+'Cálculos'!$D$124*(1+2.78*('Cálculos'!$D$196+(($C88)-$A$63:$A$108)*'Cálculos'!$D$98)/(('Cálculos'!$D$196+(($C88)-$A$63:$A$108)*'Cálculos'!$D$98)+1400)+'Cálculos'!$D$122)*'Cálculos'!$D$217+'Cálculos'!$D$125*(1+2.78*('Cálculos'!$D$196+(($C88)-$A$63:$A$108)*'Cálculos'!$D$98)/(('Cálculos'!$D$196+(($C88)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88)-$A$63:$A$108)*'Cálculos'!$D$98)/(('Cálculos'!$D$197+(($C88)-$A$63:$A$108)*'Cálculos'!$D$98)+1400)+'Cálculos'!$D$122)*'Cálculos'!$D$229+'Cálculos'!$D$125*(1+2.78*('Cálculos'!$D$197+(($C88)-$A$63:$A$108)*'Cálculos'!$D$98)/(('Cálculos'!$D$197+(($C88)-$A$63:$A$108)*'Cálculos'!$D$98)+1400)+'Cálculos'!$D$123)*'Cálculos'!$D$234)+('Cálculos'!$D$197+(($C88)-$A$63:$A$108)*'Cálculos'!$D$98)*('Cálculos'!$D$225+'Cálculos'!$D$124*(1+2.78*('Cálculos'!$D$197+(($C88)-$A$63:$A$108)*'Cálculos'!$D$98)/(('Cálculos'!$D$197+(($C88)-$A$63:$A$108)*'Cálculos'!$D$98)+1400)+'Cálculos'!$D$122)*'Cálculos'!$D$230+'Cálculos'!$D$125*(1+2.78*('Cálculos'!$D$197+(($C88)-$A$63:$A$108)*'Cálculos'!$D$98)/(('Cálculos'!$D$197+(($C88)-$A$63:$A$108)*'Cálculos'!$D$98)+1400)+'Cálculos'!$D$123)*'Cálculos'!$D$235)+('Cálculos'!$D$201*(1+'Cálculos'!$D$202+$A$63:$A$108*('Cálculos'!$D$290=2)*'Cálculos'!$D$101)+'Cálculos'!$D$203)*('Cálculos'!$D$226+'Cálculos'!$D$124*(1+2.78*('Cálculos'!$D$197+(($C88)-$A$63:$A$108)*'Cálculos'!$D$98)/(('Cálculos'!$D$197+(($C88)-$A$63:$A$108)*'Cálculos'!$D$98)+1400)+'Cálculos'!$D$122)*'Cálculos'!$D$231+'Cálculos'!$D$125*(1+2.78*('Cálculos'!$D$197+(($C88)-$A$63:$A$108)*'Cálculos'!$D$98)/(('Cálculos'!$D$197+(($C88)-$A$63:$A$108)*'Cálculos'!$D$98)+1400)+'Cálculos'!$D$123)*'Cálculos'!$D$236)+('Cálculos'!$D$204*(1+'Cálculos'!$D$205+$A$63:$A$108*('Cálculos'!$D$290=3)*'Cálculos'!$D$103)+'Cálculos'!$D$206)*('Cálculos'!$D$227+'Cálculos'!$D$124*(1+2.78*('Cálculos'!$D$197+(($C88)-$A$63:$A$108)*'Cálculos'!$D$98)/(('Cálculos'!$D$197+(($C88)-$A$63:$A$108)*'Cálculos'!$D$98)+1400)+'Cálculos'!$D$122)*'Cálculos'!$D$232+'Cálculos'!$D$125*(1+2.78*('Cálculos'!$D$197+(($C88)-$A$63:$A$108)*'Cálculos'!$D$98)/(('Cálculos'!$D$197+(($C88)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88)-$A$63:$A$108)*'Cálculos'!$D$98)/(('Cálculos'!$D$198+(($C88)-$A$63:$A$108)*'Cálculos'!$D$98)+1400)+'Cálculos'!$D$122)*'Cálculos'!$D$244+'Cálculos'!$D$125*(1+2.78*('Cálculos'!$D$198+(($C88)-$A$63:$A$108)*'Cálculos'!$D$98)/(('Cálculos'!$D$198+(($C88)-$A$63:$A$108)*'Cálculos'!$D$98)+1400)+'Cálculos'!$D$123)*'Cálculos'!$D$249)+('Cálculos'!$D$198+(($C88)-$A$63:$A$108)*'Cálculos'!$D$98)*('Cálculos'!$D$240+'Cálculos'!$D$124*(1+2.78*('Cálculos'!$D$198+(($C88)-$A$63:$A$108)*'Cálculos'!$D$98)/(('Cálculos'!$D$198+(($C88)-$A$63:$A$108)*'Cálculos'!$D$98)+1400)+'Cálculos'!$D$122)*'Cálculos'!$D$245+'Cálculos'!$D$125*(1+2.78*('Cálculos'!$D$198+(($C88)-$A$63:$A$108)*'Cálculos'!$D$98)/(('Cálculos'!$D$198+(($C88)-$A$63:$A$108)*'Cálculos'!$D$98)+1400)+'Cálculos'!$D$123)*'Cálculos'!$D$250)+('Cálculos'!$D$201*(1+'Cálculos'!$D$202+$A$63:$A$108*('Cálculos'!$D$290=2)*'Cálculos'!$D$101)+'Cálculos'!$D$203)*('Cálculos'!$D$241+'Cálculos'!$D$124*(1+2.78*('Cálculos'!$D$198+(($C88)-$A$63:$A$108)*'Cálculos'!$D$98)/(('Cálculos'!$D$198+(($C88)-$A$63:$A$108)*'Cálculos'!$D$98)+1400)+'Cálculos'!$D$122)*'Cálculos'!$D$246+'Cálculos'!$D$125*(1+2.78*('Cálculos'!$D$198+(($C88)-$A$63:$A$108)*'Cálculos'!$D$98)/(('Cálculos'!$D$198+(($C88)-$A$63:$A$108)*'Cálculos'!$D$98)+1400)+'Cálculos'!$D$123)*'Cálculos'!$D$251)+('Cálculos'!$D$204*(1+'Cálculos'!$D$205+$A$63:$A$108*('Cálculos'!$D$290=3)*'Cálculos'!$D$103)+'Cálculos'!$D$206)*('Cálculos'!$D$242+'Cálculos'!$D$124*(1+2.78*('Cálculos'!$D$198+(($C88)-$A$63:$A$108)*'Cálculos'!$D$98)/(('Cálculos'!$D$198+(($C88)-$A$63:$A$108)*'Cálculos'!$D$98)+1400)+'Cálculos'!$D$122)*'Cálculos'!$D$247+'Cálculos'!$D$125*(1+2.78*('Cálculos'!$D$198+(($C88)-$A$63:$A$108)*'Cálculos'!$D$98)/(('Cálculos'!$D$198+(($C88)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88)-$A$63:$A$108)*'Cálculos'!$D$98)/(('Cálculos'!$D$199+(($C88)-$A$63:$A$108)*'Cálculos'!$D$98)+1400)+'Cálculos'!$D$122)*'Cálculos'!$D$259+'Cálculos'!$D$125*(1+2.78*('Cálculos'!$D$199+(($C88)-$A$63:$A$108)*'Cálculos'!$D$98)/(('Cálculos'!$D$199+(($C88)-$A$63:$A$108)*'Cálculos'!$D$98)+1400)+'Cálculos'!$D$123)*'Cálculos'!$D$264)+('Cálculos'!$D$199+(($C88)-$A$63:$A$108)*'Cálculos'!$D$98)*('Cálculos'!$D$255+'Cálculos'!$D$124*(1+2.78*('Cálculos'!$D$199+(($C88)-$A$63:$A$108)*'Cálculos'!$D$98)/(('Cálculos'!$D$199+(($C88)-$A$63:$A$108)*'Cálculos'!$D$98)+1400)+'Cálculos'!$D$122)*'Cálculos'!$D$260+'Cálculos'!$D$125*(1+2.78*('Cálculos'!$D$199+(($C88)-$A$63:$A$108)*'Cálculos'!$D$98)/(('Cálculos'!$D$199+(($C88)-$A$63:$A$108)*'Cálculos'!$D$98)+1400)+'Cálculos'!$D$123)*'Cálculos'!$D$265)+('Cálculos'!$D$201*(1+'Cálculos'!$D$202+$A$63:$A$108*('Cálculos'!$D$290=2)*'Cálculos'!$D$101)+'Cálculos'!$D$203)*('Cálculos'!$D$256+'Cálculos'!$D$124*(1+2.78*('Cálculos'!$D$199+(($C88)-$A$63:$A$108)*'Cálculos'!$D$98)/(('Cálculos'!$D$199+(($C88)-$A$63:$A$108)*'Cálculos'!$D$98)+1400)+'Cálculos'!$D$122)*'Cálculos'!$D$261+'Cálculos'!$D$125*(1+2.78*('Cálculos'!$D$199+(($C88)-$A$63:$A$108)*'Cálculos'!$D$98)/(('Cálculos'!$D$199+(($C88)-$A$63:$A$108)*'Cálculos'!$D$98)+1400)+'Cálculos'!$D$123)*'Cálculos'!$D$266)+('Cálculos'!$D$204*(1+'Cálculos'!$D$205+$A$63:$A$108*('Cálculos'!$D$290=3)*'Cálculos'!$D$103)+'Cálculos'!$D$206)*('Cálculos'!$D$257+'Cálculos'!$D$124*(1+2.78*('Cálculos'!$D$199+(($C88)-$A$63:$A$108)*'Cálculos'!$D$98)/(('Cálculos'!$D$199+(($C88)-$A$63:$A$108)*'Cálculos'!$D$98)+1400)+'Cálculos'!$D$122)*'Cálculos'!$D$262+'Cálculos'!$D$125*(1+2.78*('Cálculos'!$D$199+(($C88)-$A$63:$A$108)*'Cálculos'!$D$98)/(('Cálculos'!$D$199+(($C88)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88)-$A$63:$A$108)*'Cálculos'!$D$98)/(('Cálculos'!$D$200+(($C88)-$A$63:$A$108)*'Cálculos'!$D$98)+1400)+'Cálculos'!$D$122)*'Cálculos'!$D$274+'Cálculos'!$D$125*(1+2.78*('Cálculos'!$D$200+(($C88)-$A$63:$A$108)*'Cálculos'!$D$98)/(('Cálculos'!$D$200+(($C88)-$A$63:$A$108)*'Cálculos'!$D$98)+1400)+'Cálculos'!$D$123)*'Cálculos'!$D$279)+('Cálculos'!$D$200+(($C88)-$A$63:$A$108)*'Cálculos'!$D$98)*('Cálculos'!$D$270+'Cálculos'!$D$124*(1+2.78*('Cálculos'!$D$200+(($C88)-$A$63:$A$108)*'Cálculos'!$D$98)/(('Cálculos'!$D$200+(($C88)-$A$63:$A$108)*'Cálculos'!$D$98)+1400)+'Cálculos'!$D$122)*'Cálculos'!$D$275+'Cálculos'!$D$125*(1+2.78*('Cálculos'!$D$200+(($C88)-$A$63:$A$108)*'Cálculos'!$D$98)/(('Cálculos'!$D$200+(($C88)-$A$63:$A$108)*'Cálculos'!$D$98)+1400)+'Cálculos'!$D$123)*'Cálculos'!$D$280)+('Cálculos'!$D$201*(1+'Cálculos'!$D$202+$A$63:$A$108*('Cálculos'!$D$290=2)*'Cálculos'!$D$101)+'Cálculos'!$D$203)*('Cálculos'!$D$271+'Cálculos'!$D$124*(1+2.78*('Cálculos'!$D$200+(($C88)-$A$63:$A$108)*'Cálculos'!$D$98)/(('Cálculos'!$D$200+(($C88)-$A$63:$A$108)*'Cálculos'!$D$98)+1400)+'Cálculos'!$D$122)*'Cálculos'!$D$276+'Cálculos'!$D$125*(1+2.78*('Cálculos'!$D$200+(($C88)-$A$63:$A$108)*'Cálculos'!$D$98)/(('Cálculos'!$D$200+(($C88)-$A$63:$A$108)*'Cálculos'!$D$98)+1400)+'Cálculos'!$D$123)*'Cálculos'!$D$281)+('Cálculos'!$D$204*(1+'Cálculos'!$D$205+$A$63:$A$108*('Cálculos'!$D$290=3)*'Cálculos'!$D$103)+'Cálculos'!$D$206)*('Cálculos'!$D$272+'Cálculos'!$D$124*(1+2.78*('Cálculos'!$D$200+(($C88)-$A$63:$A$108)*'Cálculos'!$D$98)/(('Cálculos'!$D$200+(($C88)-$A$63:$A$108)*'Cálculos'!$D$98)+1400)+'Cálculos'!$D$122)*'Cálculos'!$D$277+'Cálculos'!$D$125*(1+2.78*('Cálculos'!$D$200+(($C88)-$A$63:$A$108)*'Cálculos'!$D$98)/(('Cálculos'!$D$200+(($C88)-$A$63:$A$108)*'Cálculos'!$D$98)+1400)+'Cálculos'!$D$123)*'Cálculos'!$D$282)))))</f>
        <v>0</v>
      </c>
      <c r="E88" s="32">
        <f>IF(OR($C88&lt;0,'Cálculos'!$D$6=""),0,$B88*$D88)</f>
        <v>0</v>
      </c>
      <c r="F88" s="2"/>
      <c r="G88" s="30">
        <f>($A88&lt;=$B$110)*($A88&lt;='Cálculos'!$D$294)*(($B$110)-$A88&lt;='Cálculos'!$D$295)*(1+MIN(('Cálculos'!$D$207+$A88*'Cálculos'!$D$95),1)*('Cálculos'!$D$208+(($B$110)-$A88)*'Cálculos'!$D$96))</f>
        <v>0</v>
      </c>
      <c r="H88" s="31">
        <f>IF($B$111&lt;0,0,($A88&lt;=$B$111)*($A88&lt;='Cálculos'!$D$301)*(($B$111)-$A88&lt;='Cálculos'!$D$297)*(('Cálculos'!$D$185*(1+'Cálculos'!$D$186+$A88*('Cálculos'!$D$290=1)*'Cálculos'!$D$97+'Cálculos'!$D$305)+'Cálculos'!$D$191)*('Cálculos'!$D$209+'Cálculos'!$D$124*(1+2.78*('Cálculos'!$D$196+(($B$111)-$A88)*'Cálculos'!$D$98)/(('Cálculos'!$D$196+(($B$111)-$A88)*'Cálculos'!$D$98)+1400)+'Cálculos'!$D$122)*'Cálculos'!$D$214+'Cálculos'!$D$125*(1+2.78*('Cálculos'!$D$196+(($B$111)-$A88)*'Cálculos'!$D$98)/(('Cálculos'!$D$196+(($B$111)-$A88)*'Cálculos'!$D$98)+1400)+'Cálculos'!$D$123)*'Cálculos'!$D$219)+('Cálculos'!$D$196+(($B$111)-$A88)*'Cálculos'!$D$98)*('Cálculos'!$D$210+'Cálculos'!$D$124*(1+2.78*('Cálculos'!$D$196+(($B$111)-$A88)*'Cálculos'!$D$98)/(('Cálculos'!$D$196+(($B$111)-$A88)*'Cálculos'!$D$98)+1400)+'Cálculos'!$D$122)*'Cálculos'!$D$215+'Cálculos'!$D$125*(1+2.78*('Cálculos'!$D$196+(($B$111)-$A88)*'Cálculos'!$D$98)/(('Cálculos'!$D$196+(($B$111)-$A88)*'Cálculos'!$D$98)+1400)+'Cálculos'!$D$123)*'Cálculos'!$D$220)+('Cálculos'!$D$201*(1+'Cálculos'!$D$202+$A88*('Cálculos'!$D$290=2)*'Cálculos'!$D$101)+'Cálculos'!$D$203)*('Cálculos'!$D$211+'Cálculos'!$D$124*(1+2.78*('Cálculos'!$D$196+(($B$111)-$A88)*'Cálculos'!$D$98)/(('Cálculos'!$D$196+(($B$111)-$A88)*'Cálculos'!$D$98)+1400)+'Cálculos'!$D$122)*'Cálculos'!$D$216+'Cálculos'!$D$125*(1+2.78*('Cálculos'!$D$196+(($B$111)-$A88)*'Cálculos'!$D$98)/(('Cálculos'!$D$196+(($B$111)-$A88)*'Cálculos'!$D$98)+1400)+'Cálculos'!$D$123)*'Cálculos'!$D$221)+('Cálculos'!$D$204*(1+'Cálculos'!$D$205+$A88*('Cálculos'!$D$290=3)*'Cálculos'!$D$103)+'Cálculos'!$D$206)*('Cálculos'!$D$212+'Cálculos'!$D$124*(1+2.78*('Cálculos'!$D$196+(($B$111)-$A88)*'Cálculos'!$D$98)/(('Cálculos'!$D$196+(($B$111)-$A88)*'Cálculos'!$D$98)+1400)+'Cálculos'!$D$122)*'Cálculos'!$D$217+'Cálculos'!$D$125*(1+2.78*('Cálculos'!$D$196+(($B$111)-$A88)*'Cálculos'!$D$98)/(('Cálculos'!$D$196+(($B$111)-$A88)*'Cálculos'!$D$98)+1400)+'Cálculos'!$D$123)*'Cálculos'!$D$222)+('Cálculos'!$D$185*(1+'Cálculos'!$D$187+$A88*('Cálculos'!$D$290=1)*'Cálculos'!$D$97+'Cálculos'!$D$305)+'Cálculos'!$D$192)*('Cálculos'!$D$224+'Cálculos'!$D$124*(1+2.78*('Cálculos'!$D$197+(($B$111)-$A88)*'Cálculos'!$D$98)/(('Cálculos'!$D$197+(($B$111)-$A88)*'Cálculos'!$D$98)+1400)+'Cálculos'!$D$122)*'Cálculos'!$D$229+'Cálculos'!$D$125*(1+2.78*('Cálculos'!$D$197+(($B$111)-$A88)*'Cálculos'!$D$98)/(('Cálculos'!$D$197+(($B$111)-$A88)*'Cálculos'!$D$98)+1400)+'Cálculos'!$D$123)*'Cálculos'!$D$234)+('Cálculos'!$D$197+(($B$111)-$A88)*'Cálculos'!$D$98)*('Cálculos'!$D$225+'Cálculos'!$D$124*(1+2.78*('Cálculos'!$D$197+(($B$111)-$A88)*'Cálculos'!$D$98)/(('Cálculos'!$D$197+(($B$111)-$A88)*'Cálculos'!$D$98)+1400)+'Cálculos'!$D$122)*'Cálculos'!$D$230+'Cálculos'!$D$125*(1+2.78*('Cálculos'!$D$197+(($B$111)-$A88)*'Cálculos'!$D$98)/(('Cálculos'!$D$197+(($B$111)-$A88)*'Cálculos'!$D$98)+1400)+'Cálculos'!$D$123)*'Cálculos'!$D$235)+('Cálculos'!$D$201*(1+'Cálculos'!$D$202+$A88*('Cálculos'!$D$290=2)*'Cálculos'!$D$101)+'Cálculos'!$D$203)*('Cálculos'!$D$226+'Cálculos'!$D$124*(1+2.78*('Cálculos'!$D$197+(($B$111)-$A88)*'Cálculos'!$D$98)/(('Cálculos'!$D$197+(($B$111)-$A88)*'Cálculos'!$D$98)+1400)+'Cálculos'!$D$122)*'Cálculos'!$D$231+'Cálculos'!$D$125*(1+2.78*('Cálculos'!$D$197+(($B$111)-$A88)*'Cálculos'!$D$98)/(('Cálculos'!$D$197+(($B$111)-$A88)*'Cálculos'!$D$98)+1400)+'Cálculos'!$D$123)*'Cálculos'!$D$236)+('Cálculos'!$D$204*(1+'Cálculos'!$D$205+$A88*('Cálculos'!$D$290=3)*'Cálculos'!$D$103)+'Cálculos'!$D$206)*('Cálculos'!$D$227+'Cálculos'!$D$124*(1+2.78*('Cálculos'!$D$197+(($B$111)-$A88)*'Cálculos'!$D$98)/(('Cálculos'!$D$197+(($B$111)-$A88)*'Cálculos'!$D$98)+1400)+'Cálculos'!$D$122)*'Cálculos'!$D$232+'Cálculos'!$D$125*(1+2.78*('Cálculos'!$D$197+(($B$111)-$A88)*'Cálculos'!$D$98)/(('Cálculos'!$D$197+(($B$111)-$A88)*'Cálculos'!$D$98)+1400)+'Cálculos'!$D$123)*'Cálculos'!$D$237)+('Cálculos'!$D$185*(1+'Cálculos'!$D$188+$A88*('Cálculos'!$D$290=1)*'Cálculos'!$D$97+'Cálculos'!$D$305)+'Cálculos'!$D$193)*('Cálculos'!$D$239+'Cálculos'!$D$124*(1+2.78*('Cálculos'!$D$198+(($B$111)-$A88)*'Cálculos'!$D$98)/(('Cálculos'!$D$198+(($B$111)-$A88)*'Cálculos'!$D$98)+1400)+'Cálculos'!$D$122)*'Cálculos'!$D$244+'Cálculos'!$D$125*(1+2.78*('Cálculos'!$D$198+(($B$111)-$A88)*'Cálculos'!$D$98)/(('Cálculos'!$D$198+(($B$111)-$A88)*'Cálculos'!$D$98)+1400)+'Cálculos'!$D$123)*'Cálculos'!$D$249)+('Cálculos'!$D$198+(($B$111)-$A88)*'Cálculos'!$D$98)*('Cálculos'!$D$240+'Cálculos'!$D$124*(1+2.78*('Cálculos'!$D$198+(($B$111)-$A88)*'Cálculos'!$D$98)/(('Cálculos'!$D$198+(($B$111)-$A88)*'Cálculos'!$D$98)+1400)+'Cálculos'!$D$122)*'Cálculos'!$D$245+'Cálculos'!$D$125*(1+2.78*('Cálculos'!$D$198+(($B$111)-$A88)*'Cálculos'!$D$98)/(('Cálculos'!$D$198+(($B$111)-$A88)*'Cálculos'!$D$98)+1400)+'Cálculos'!$D$123)*'Cálculos'!$D$250)+('Cálculos'!$D$201*(1+'Cálculos'!$D$202+$A88*('Cálculos'!$D$290=2)*'Cálculos'!$D$101)+'Cálculos'!$D$203)*('Cálculos'!$D$241+'Cálculos'!$D$124*(1+2.78*('Cálculos'!$D$198+(($B$111)-$A88)*'Cálculos'!$D$98)/(('Cálculos'!$D$198+(($B$111)-$A88)*'Cálculos'!$D$98)+1400)+'Cálculos'!$D$122)*'Cálculos'!$D$246+'Cálculos'!$D$125*(1+2.78*('Cálculos'!$D$198+(($B$111)-$A88)*'Cálculos'!$D$98)/(('Cálculos'!$D$198+(($B$111)-$A88)*'Cálculos'!$D$98)+1400)+'Cálculos'!$D$123)*'Cálculos'!$D$251)+('Cálculos'!$D$204*(1+'Cálculos'!$D$205+$A88*('Cálculos'!$D$290=3)*'Cálculos'!$D$103)+'Cálculos'!$D$206)*('Cálculos'!$D$242+'Cálculos'!$D$124*(1+2.78*('Cálculos'!$D$198+(($B$111)-$A88)*'Cálculos'!$D$98)/(('Cálculos'!$D$198+(($B$111)-$A88)*'Cálculos'!$D$98)+1400)+'Cálculos'!$D$122)*'Cálculos'!$D$247+'Cálculos'!$D$125*(1+2.78*('Cálculos'!$D$198+(($B$111)-$A88)*'Cálculos'!$D$98)/(('Cálculos'!$D$198+(($B$111)-$A88)*'Cálculos'!$D$98)+1400)+'Cálculos'!$D$123)*'Cálculos'!$D$252)+('Cálculos'!$D$185*(1+'Cálculos'!$D$189+$A88*('Cálculos'!$D$290=1)*'Cálculos'!$D$97+'Cálculos'!$D$305)+'Cálculos'!$D$194)*('Cálculos'!$D$254+'Cálculos'!$D$124*(1+2.78*('Cálculos'!$D$199+(($B$111)-$A88)*'Cálculos'!$D$98)/(('Cálculos'!$D$199+(($B$111)-$A88)*'Cálculos'!$D$98)+1400)+'Cálculos'!$D$122)*'Cálculos'!$D$259+'Cálculos'!$D$125*(1+2.78*('Cálculos'!$D$199+(($B$111)-$A88)*'Cálculos'!$D$98)/(('Cálculos'!$D$199+(($B$111)-$A88)*'Cálculos'!$D$98)+1400)+'Cálculos'!$D$123)*'Cálculos'!$D$264)+('Cálculos'!$D$199+(($B$111)-$A88)*'Cálculos'!$D$98)*('Cálculos'!$D$255+'Cálculos'!$D$124*(1+2.78*('Cálculos'!$D$199+(($B$111)-$A88)*'Cálculos'!$D$98)/(('Cálculos'!$D$199+(($B$111)-$A88)*'Cálculos'!$D$98)+1400)+'Cálculos'!$D$122)*'Cálculos'!$D$260+'Cálculos'!$D$125*(1+2.78*('Cálculos'!$D$199+(($B$111)-$A88)*'Cálculos'!$D$98)/(('Cálculos'!$D$199+(($B$111)-$A88)*'Cálculos'!$D$98)+1400)+'Cálculos'!$D$123)*'Cálculos'!$D$265)+('Cálculos'!$D$201*(1+'Cálculos'!$D$202+$A88*('Cálculos'!$D$290=2)*'Cálculos'!$D$101)+'Cálculos'!$D$203)*('Cálculos'!$D$256+'Cálculos'!$D$124*(1+2.78*('Cálculos'!$D$199+(($B$111)-$A88)*'Cálculos'!$D$98)/(('Cálculos'!$D$199+(($B$111)-$A88)*'Cálculos'!$D$98)+1400)+'Cálculos'!$D$122)*'Cálculos'!$D$261+'Cálculos'!$D$125*(1+2.78*('Cálculos'!$D$199+(($B$111)-$A88)*'Cálculos'!$D$98)/(('Cálculos'!$D$199+(($B$111)-$A88)*'Cálculos'!$D$98)+1400)+'Cálculos'!$D$123)*'Cálculos'!$D$266)+('Cálculos'!$D$204*(1+'Cálculos'!$D$205+$A88*('Cálculos'!$D$290=3)*'Cálculos'!$D$103)+'Cálculos'!$D$206)*('Cálculos'!$D$257+'Cálculos'!$D$124*(1+2.78*('Cálculos'!$D$199+(($B$111)-$A88)*'Cálculos'!$D$98)/(('Cálculos'!$D$199+(($B$111)-$A88)*'Cálculos'!$D$98)+1400)+'Cálculos'!$D$122)*'Cálculos'!$D$262+'Cálculos'!$D$125*(1+2.78*('Cálculos'!$D$199+(($B$111)-$A88)*'Cálculos'!$D$98)/(('Cálculos'!$D$199+(($B$111)-$A88)*'Cálculos'!$D$98)+1400)+'Cálculos'!$D$123)*'Cálculos'!$D$267)+('Cálculos'!$D$185*(1+'Cálculos'!$D$190+$A88*('Cálculos'!$D$290=1)*'Cálculos'!$D$97+'Cálculos'!$D$305)+'Cálculos'!$D$195)*('Cálculos'!$D$269+'Cálculos'!$D$124*(1+2.78*('Cálculos'!$D$200+(($B$111)-$A88)*'Cálculos'!$D$98)/(('Cálculos'!$D$200+(($B$111)-$A88)*'Cálculos'!$D$98)+1400)+'Cálculos'!$D$122)*'Cálculos'!$D$274+'Cálculos'!$D$125*(1+2.78*('Cálculos'!$D$200+(($B$111)-$A88)*'Cálculos'!$D$98)/(('Cálculos'!$D$200+(($B$111)-$A88)*'Cálculos'!$D$98)+1400)+'Cálculos'!$D$123)*'Cálculos'!$D$279)+('Cálculos'!$D$200+(($B$111)-$A88)*'Cálculos'!$D$98)*('Cálculos'!$D$270+'Cálculos'!$D$124*(1+2.78*('Cálculos'!$D$200+(($B$111)-$A88)*'Cálculos'!$D$98)/(('Cálculos'!$D$200+(($B$111)-$A88)*'Cálculos'!$D$98)+1400)+'Cálculos'!$D$122)*'Cálculos'!$D$275+'Cálculos'!$D$125*(1+2.78*('Cálculos'!$D$200+(($B$111)-$A88)*'Cálculos'!$D$98)/(('Cálculos'!$D$200+(($B$111)-$A88)*'Cálculos'!$D$98)+1400)+'Cálculos'!$D$123)*'Cálculos'!$D$280)+('Cálculos'!$D$201*(1+'Cálculos'!$D$202+$A88*('Cálculos'!$D$290=2)*'Cálculos'!$D$101)+'Cálculos'!$D$203)*('Cálculos'!$D$271+'Cálculos'!$D$124*(1+2.78*('Cálculos'!$D$200+(($B$111)-$A88)*'Cálculos'!$D$98)/(('Cálculos'!$D$200+(($B$111)-$A88)*'Cálculos'!$D$98)+1400)+'Cálculos'!$D$122)*'Cálculos'!$D$276+'Cálculos'!$D$125*(1+2.78*('Cálculos'!$D$200+(($B$111)-$A88)*'Cálculos'!$D$98)/(('Cálculos'!$D$200+(($B$111)-$A88)*'Cálculos'!$D$98)+1400)+'Cálculos'!$D$123)*'Cálculos'!$D$281)+('Cálculos'!$D$204*(1+'Cálculos'!$D$205+$A88*('Cálculos'!$D$290=3)*'Cálculos'!$D$103)+'Cálculos'!$D$206)*('Cálculos'!$D$272+'Cálculos'!$D$124*(1+2.78*('Cálculos'!$D$200+(($B$111)-$A88)*'Cálculos'!$D$98)/(('Cálculos'!$D$200+(($B$111)-$A88)*'Cálculos'!$D$98)+1400)+'Cálculos'!$D$122)*'Cálculos'!$D$277+'Cálculos'!$D$125*(1+2.78*('Cálculos'!$D$200+(($B$111)-$A88)*'Cálculos'!$D$98)/(('Cálculos'!$D$200+(($B$111)-$A88)*'Cálculos'!$D$98)+1400)+'Cálculos'!$D$123)*'Cálculos'!$D$282)))</f>
        <v>0</v>
      </c>
    </row>
    <row r="89" ht="15.75" customHeight="1">
      <c r="A89" s="2">
        <v>26.0</v>
      </c>
      <c r="B89" s="30">
        <f>SUMPRODUCT(MAX(($A$63:$A$108&lt;=$A89)*($A$63:$A$108&lt;='Cálculos'!$D$294)*(($A89)-$A$63:$A$108&lt;='Cálculos'!$D$295)*(1+(('Cálculos'!$D$207+$A$63:$A$108*'Cálculos'!$D$95)-(('Cálculos'!$D$207+$A$63:$A$108*'Cálculos'!$D$95)&gt;1)*(('Cálculos'!$D$207+$A$63:$A$108*'Cálculos'!$D$95)-1))*('Cálculos'!$D$208+(($A89)-$A$63:$A$108)*'Cálculos'!$D$96))))</f>
        <v>1.941942418</v>
      </c>
      <c r="C89" s="2">
        <f>'Cálculos'!$D$303-$A89</f>
        <v>-15</v>
      </c>
      <c r="D89" s="31">
        <f>IF($C89&lt;0,0,SUMPRODUCT(MAX(($A$63:$A$108&lt;=$C89)*($A$63:$A$108&lt;='Cálculos'!$D$301)*(($C89)-$A$63:$A$108&lt;='Cálculos'!$D$297)*(('Cálculos'!$D$185*(1+'Cálculos'!$D$186+$A$63:$A$108*('Cálculos'!$D$290=1)*'Cálculos'!$D$97+'Cálculos'!$D$305)+'Cálculos'!$D$191)*('Cálculos'!$D$209+'Cálculos'!$D$124*(1+2.78*('Cálculos'!$D$196+(($C89)-$A$63:$A$108)*'Cálculos'!$D$98)/(('Cálculos'!$D$196+(($C89)-$A$63:$A$108)*'Cálculos'!$D$98)+1400)+'Cálculos'!$D$122)*'Cálculos'!$D$214+'Cálculos'!$D$125*(1+2.78*('Cálculos'!$D$196+(($C89)-$A$63:$A$108)*'Cálculos'!$D$98)/(('Cálculos'!$D$196+(($C89)-$A$63:$A$108)*'Cálculos'!$D$98)+1400)+'Cálculos'!$D$123)*'Cálculos'!$D$219)+('Cálculos'!$D$196+(($C89)-$A$63:$A$108)*'Cálculos'!$D$98)*('Cálculos'!$D$210+'Cálculos'!$D$124*(1+2.78*('Cálculos'!$D$196+(($C89)-$A$63:$A$108)*'Cálculos'!$D$98)/(('Cálculos'!$D$196+(($C89)-$A$63:$A$108)*'Cálculos'!$D$98)+1400)+'Cálculos'!$D$122)*'Cálculos'!$D$215+'Cálculos'!$D$125*(1+2.78*('Cálculos'!$D$196+(($C89)-$A$63:$A$108)*'Cálculos'!$D$98)/(('Cálculos'!$D$196+(($C89)-$A$63:$A$108)*'Cálculos'!$D$98)+1400)+'Cálculos'!$D$123)*'Cálculos'!$D$220)+('Cálculos'!$D$201*(1+'Cálculos'!$D$202+$A$63:$A$108*('Cálculos'!$D$290=2)*'Cálculos'!$D$101)+'Cálculos'!$D$203)*('Cálculos'!$D$211+'Cálculos'!$D$124*(1+2.78*('Cálculos'!$D$196+(($C89)-$A$63:$A$108)*'Cálculos'!$D$98)/(('Cálculos'!$D$196+(($C89)-$A$63:$A$108)*'Cálculos'!$D$98)+1400)+'Cálculos'!$D$122)*'Cálculos'!$D$216+'Cálculos'!$D$125*(1+2.78*('Cálculos'!$D$196+(($C89)-$A$63:$A$108)*'Cálculos'!$D$98)/(('Cálculos'!$D$196+(($C89)-$A$63:$A$108)*'Cálculos'!$D$98)+1400)+'Cálculos'!$D$123)*'Cálculos'!$D$221)+('Cálculos'!$D$204*(1+'Cálculos'!$D$205+$A$63:$A$108*('Cálculos'!$D$290=3)*'Cálculos'!$D$103)+'Cálculos'!$D$206)*('Cálculos'!$D$212+'Cálculos'!$D$124*(1+2.78*('Cálculos'!$D$196+(($C89)-$A$63:$A$108)*'Cálculos'!$D$98)/(('Cálculos'!$D$196+(($C89)-$A$63:$A$108)*'Cálculos'!$D$98)+1400)+'Cálculos'!$D$122)*'Cálculos'!$D$217+'Cálculos'!$D$125*(1+2.78*('Cálculos'!$D$196+(($C89)-$A$63:$A$108)*'Cálculos'!$D$98)/(('Cálculos'!$D$196+(($C89)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89)-$A$63:$A$108)*'Cálculos'!$D$98)/(('Cálculos'!$D$197+(($C89)-$A$63:$A$108)*'Cálculos'!$D$98)+1400)+'Cálculos'!$D$122)*'Cálculos'!$D$229+'Cálculos'!$D$125*(1+2.78*('Cálculos'!$D$197+(($C89)-$A$63:$A$108)*'Cálculos'!$D$98)/(('Cálculos'!$D$197+(($C89)-$A$63:$A$108)*'Cálculos'!$D$98)+1400)+'Cálculos'!$D$123)*'Cálculos'!$D$234)+('Cálculos'!$D$197+(($C89)-$A$63:$A$108)*'Cálculos'!$D$98)*('Cálculos'!$D$225+'Cálculos'!$D$124*(1+2.78*('Cálculos'!$D$197+(($C89)-$A$63:$A$108)*'Cálculos'!$D$98)/(('Cálculos'!$D$197+(($C89)-$A$63:$A$108)*'Cálculos'!$D$98)+1400)+'Cálculos'!$D$122)*'Cálculos'!$D$230+'Cálculos'!$D$125*(1+2.78*('Cálculos'!$D$197+(($C89)-$A$63:$A$108)*'Cálculos'!$D$98)/(('Cálculos'!$D$197+(($C89)-$A$63:$A$108)*'Cálculos'!$D$98)+1400)+'Cálculos'!$D$123)*'Cálculos'!$D$235)+('Cálculos'!$D$201*(1+'Cálculos'!$D$202+$A$63:$A$108*('Cálculos'!$D$290=2)*'Cálculos'!$D$101)+'Cálculos'!$D$203)*('Cálculos'!$D$226+'Cálculos'!$D$124*(1+2.78*('Cálculos'!$D$197+(($C89)-$A$63:$A$108)*'Cálculos'!$D$98)/(('Cálculos'!$D$197+(($C89)-$A$63:$A$108)*'Cálculos'!$D$98)+1400)+'Cálculos'!$D$122)*'Cálculos'!$D$231+'Cálculos'!$D$125*(1+2.78*('Cálculos'!$D$197+(($C89)-$A$63:$A$108)*'Cálculos'!$D$98)/(('Cálculos'!$D$197+(($C89)-$A$63:$A$108)*'Cálculos'!$D$98)+1400)+'Cálculos'!$D$123)*'Cálculos'!$D$236)+('Cálculos'!$D$204*(1+'Cálculos'!$D$205+$A$63:$A$108*('Cálculos'!$D$290=3)*'Cálculos'!$D$103)+'Cálculos'!$D$206)*('Cálculos'!$D$227+'Cálculos'!$D$124*(1+2.78*('Cálculos'!$D$197+(($C89)-$A$63:$A$108)*'Cálculos'!$D$98)/(('Cálculos'!$D$197+(($C89)-$A$63:$A$108)*'Cálculos'!$D$98)+1400)+'Cálculos'!$D$122)*'Cálculos'!$D$232+'Cálculos'!$D$125*(1+2.78*('Cálculos'!$D$197+(($C89)-$A$63:$A$108)*'Cálculos'!$D$98)/(('Cálculos'!$D$197+(($C89)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89)-$A$63:$A$108)*'Cálculos'!$D$98)/(('Cálculos'!$D$198+(($C89)-$A$63:$A$108)*'Cálculos'!$D$98)+1400)+'Cálculos'!$D$122)*'Cálculos'!$D$244+'Cálculos'!$D$125*(1+2.78*('Cálculos'!$D$198+(($C89)-$A$63:$A$108)*'Cálculos'!$D$98)/(('Cálculos'!$D$198+(($C89)-$A$63:$A$108)*'Cálculos'!$D$98)+1400)+'Cálculos'!$D$123)*'Cálculos'!$D$249)+('Cálculos'!$D$198+(($C89)-$A$63:$A$108)*'Cálculos'!$D$98)*('Cálculos'!$D$240+'Cálculos'!$D$124*(1+2.78*('Cálculos'!$D$198+(($C89)-$A$63:$A$108)*'Cálculos'!$D$98)/(('Cálculos'!$D$198+(($C89)-$A$63:$A$108)*'Cálculos'!$D$98)+1400)+'Cálculos'!$D$122)*'Cálculos'!$D$245+'Cálculos'!$D$125*(1+2.78*('Cálculos'!$D$198+(($C89)-$A$63:$A$108)*'Cálculos'!$D$98)/(('Cálculos'!$D$198+(($C89)-$A$63:$A$108)*'Cálculos'!$D$98)+1400)+'Cálculos'!$D$123)*'Cálculos'!$D$250)+('Cálculos'!$D$201*(1+'Cálculos'!$D$202+$A$63:$A$108*('Cálculos'!$D$290=2)*'Cálculos'!$D$101)+'Cálculos'!$D$203)*('Cálculos'!$D$241+'Cálculos'!$D$124*(1+2.78*('Cálculos'!$D$198+(($C89)-$A$63:$A$108)*'Cálculos'!$D$98)/(('Cálculos'!$D$198+(($C89)-$A$63:$A$108)*'Cálculos'!$D$98)+1400)+'Cálculos'!$D$122)*'Cálculos'!$D$246+'Cálculos'!$D$125*(1+2.78*('Cálculos'!$D$198+(($C89)-$A$63:$A$108)*'Cálculos'!$D$98)/(('Cálculos'!$D$198+(($C89)-$A$63:$A$108)*'Cálculos'!$D$98)+1400)+'Cálculos'!$D$123)*'Cálculos'!$D$251)+('Cálculos'!$D$204*(1+'Cálculos'!$D$205+$A$63:$A$108*('Cálculos'!$D$290=3)*'Cálculos'!$D$103)+'Cálculos'!$D$206)*('Cálculos'!$D$242+'Cálculos'!$D$124*(1+2.78*('Cálculos'!$D$198+(($C89)-$A$63:$A$108)*'Cálculos'!$D$98)/(('Cálculos'!$D$198+(($C89)-$A$63:$A$108)*'Cálculos'!$D$98)+1400)+'Cálculos'!$D$122)*'Cálculos'!$D$247+'Cálculos'!$D$125*(1+2.78*('Cálculos'!$D$198+(($C89)-$A$63:$A$108)*'Cálculos'!$D$98)/(('Cálculos'!$D$198+(($C89)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89)-$A$63:$A$108)*'Cálculos'!$D$98)/(('Cálculos'!$D$199+(($C89)-$A$63:$A$108)*'Cálculos'!$D$98)+1400)+'Cálculos'!$D$122)*'Cálculos'!$D$259+'Cálculos'!$D$125*(1+2.78*('Cálculos'!$D$199+(($C89)-$A$63:$A$108)*'Cálculos'!$D$98)/(('Cálculos'!$D$199+(($C89)-$A$63:$A$108)*'Cálculos'!$D$98)+1400)+'Cálculos'!$D$123)*'Cálculos'!$D$264)+('Cálculos'!$D$199+(($C89)-$A$63:$A$108)*'Cálculos'!$D$98)*('Cálculos'!$D$255+'Cálculos'!$D$124*(1+2.78*('Cálculos'!$D$199+(($C89)-$A$63:$A$108)*'Cálculos'!$D$98)/(('Cálculos'!$D$199+(($C89)-$A$63:$A$108)*'Cálculos'!$D$98)+1400)+'Cálculos'!$D$122)*'Cálculos'!$D$260+'Cálculos'!$D$125*(1+2.78*('Cálculos'!$D$199+(($C89)-$A$63:$A$108)*'Cálculos'!$D$98)/(('Cálculos'!$D$199+(($C89)-$A$63:$A$108)*'Cálculos'!$D$98)+1400)+'Cálculos'!$D$123)*'Cálculos'!$D$265)+('Cálculos'!$D$201*(1+'Cálculos'!$D$202+$A$63:$A$108*('Cálculos'!$D$290=2)*'Cálculos'!$D$101)+'Cálculos'!$D$203)*('Cálculos'!$D$256+'Cálculos'!$D$124*(1+2.78*('Cálculos'!$D$199+(($C89)-$A$63:$A$108)*'Cálculos'!$D$98)/(('Cálculos'!$D$199+(($C89)-$A$63:$A$108)*'Cálculos'!$D$98)+1400)+'Cálculos'!$D$122)*'Cálculos'!$D$261+'Cálculos'!$D$125*(1+2.78*('Cálculos'!$D$199+(($C89)-$A$63:$A$108)*'Cálculos'!$D$98)/(('Cálculos'!$D$199+(($C89)-$A$63:$A$108)*'Cálculos'!$D$98)+1400)+'Cálculos'!$D$123)*'Cálculos'!$D$266)+('Cálculos'!$D$204*(1+'Cálculos'!$D$205+$A$63:$A$108*('Cálculos'!$D$290=3)*'Cálculos'!$D$103)+'Cálculos'!$D$206)*('Cálculos'!$D$257+'Cálculos'!$D$124*(1+2.78*('Cálculos'!$D$199+(($C89)-$A$63:$A$108)*'Cálculos'!$D$98)/(('Cálculos'!$D$199+(($C89)-$A$63:$A$108)*'Cálculos'!$D$98)+1400)+'Cálculos'!$D$122)*'Cálculos'!$D$262+'Cálculos'!$D$125*(1+2.78*('Cálculos'!$D$199+(($C89)-$A$63:$A$108)*'Cálculos'!$D$98)/(('Cálculos'!$D$199+(($C89)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89)-$A$63:$A$108)*'Cálculos'!$D$98)/(('Cálculos'!$D$200+(($C89)-$A$63:$A$108)*'Cálculos'!$D$98)+1400)+'Cálculos'!$D$122)*'Cálculos'!$D$274+'Cálculos'!$D$125*(1+2.78*('Cálculos'!$D$200+(($C89)-$A$63:$A$108)*'Cálculos'!$D$98)/(('Cálculos'!$D$200+(($C89)-$A$63:$A$108)*'Cálculos'!$D$98)+1400)+'Cálculos'!$D$123)*'Cálculos'!$D$279)+('Cálculos'!$D$200+(($C89)-$A$63:$A$108)*'Cálculos'!$D$98)*('Cálculos'!$D$270+'Cálculos'!$D$124*(1+2.78*('Cálculos'!$D$200+(($C89)-$A$63:$A$108)*'Cálculos'!$D$98)/(('Cálculos'!$D$200+(($C89)-$A$63:$A$108)*'Cálculos'!$D$98)+1400)+'Cálculos'!$D$122)*'Cálculos'!$D$275+'Cálculos'!$D$125*(1+2.78*('Cálculos'!$D$200+(($C89)-$A$63:$A$108)*'Cálculos'!$D$98)/(('Cálculos'!$D$200+(($C89)-$A$63:$A$108)*'Cálculos'!$D$98)+1400)+'Cálculos'!$D$123)*'Cálculos'!$D$280)+('Cálculos'!$D$201*(1+'Cálculos'!$D$202+$A$63:$A$108*('Cálculos'!$D$290=2)*'Cálculos'!$D$101)+'Cálculos'!$D$203)*('Cálculos'!$D$271+'Cálculos'!$D$124*(1+2.78*('Cálculos'!$D$200+(($C89)-$A$63:$A$108)*'Cálculos'!$D$98)/(('Cálculos'!$D$200+(($C89)-$A$63:$A$108)*'Cálculos'!$D$98)+1400)+'Cálculos'!$D$122)*'Cálculos'!$D$276+'Cálculos'!$D$125*(1+2.78*('Cálculos'!$D$200+(($C89)-$A$63:$A$108)*'Cálculos'!$D$98)/(('Cálculos'!$D$200+(($C89)-$A$63:$A$108)*'Cálculos'!$D$98)+1400)+'Cálculos'!$D$123)*'Cálculos'!$D$281)+('Cálculos'!$D$204*(1+'Cálculos'!$D$205+$A$63:$A$108*('Cálculos'!$D$290=3)*'Cálculos'!$D$103)+'Cálculos'!$D$206)*('Cálculos'!$D$272+'Cálculos'!$D$124*(1+2.78*('Cálculos'!$D$200+(($C89)-$A$63:$A$108)*'Cálculos'!$D$98)/(('Cálculos'!$D$200+(($C89)-$A$63:$A$108)*'Cálculos'!$D$98)+1400)+'Cálculos'!$D$122)*'Cálculos'!$D$277+'Cálculos'!$D$125*(1+2.78*('Cálculos'!$D$200+(($C89)-$A$63:$A$108)*'Cálculos'!$D$98)/(('Cálculos'!$D$200+(($C89)-$A$63:$A$108)*'Cálculos'!$D$98)+1400)+'Cálculos'!$D$123)*'Cálculos'!$D$282)))))</f>
        <v>0</v>
      </c>
      <c r="E89" s="32">
        <f>IF(OR($C89&lt;0,'Cálculos'!$D$6=""),0,$B89*$D89)</f>
        <v>0</v>
      </c>
      <c r="F89" s="2"/>
      <c r="G89" s="30">
        <f>($A89&lt;=$B$110)*($A89&lt;='Cálculos'!$D$294)*(($B$110)-$A89&lt;='Cálculos'!$D$295)*(1+MIN(('Cálculos'!$D$207+$A89*'Cálculos'!$D$95),1)*('Cálculos'!$D$208+(($B$110)-$A89)*'Cálculos'!$D$96))</f>
        <v>0</v>
      </c>
      <c r="H89" s="31">
        <f>IF($B$111&lt;0,0,($A89&lt;=$B$111)*($A89&lt;='Cálculos'!$D$301)*(($B$111)-$A89&lt;='Cálculos'!$D$297)*(('Cálculos'!$D$185*(1+'Cálculos'!$D$186+$A89*('Cálculos'!$D$290=1)*'Cálculos'!$D$97+'Cálculos'!$D$305)+'Cálculos'!$D$191)*('Cálculos'!$D$209+'Cálculos'!$D$124*(1+2.78*('Cálculos'!$D$196+(($B$111)-$A89)*'Cálculos'!$D$98)/(('Cálculos'!$D$196+(($B$111)-$A89)*'Cálculos'!$D$98)+1400)+'Cálculos'!$D$122)*'Cálculos'!$D$214+'Cálculos'!$D$125*(1+2.78*('Cálculos'!$D$196+(($B$111)-$A89)*'Cálculos'!$D$98)/(('Cálculos'!$D$196+(($B$111)-$A89)*'Cálculos'!$D$98)+1400)+'Cálculos'!$D$123)*'Cálculos'!$D$219)+('Cálculos'!$D$196+(($B$111)-$A89)*'Cálculos'!$D$98)*('Cálculos'!$D$210+'Cálculos'!$D$124*(1+2.78*('Cálculos'!$D$196+(($B$111)-$A89)*'Cálculos'!$D$98)/(('Cálculos'!$D$196+(($B$111)-$A89)*'Cálculos'!$D$98)+1400)+'Cálculos'!$D$122)*'Cálculos'!$D$215+'Cálculos'!$D$125*(1+2.78*('Cálculos'!$D$196+(($B$111)-$A89)*'Cálculos'!$D$98)/(('Cálculos'!$D$196+(($B$111)-$A89)*'Cálculos'!$D$98)+1400)+'Cálculos'!$D$123)*'Cálculos'!$D$220)+('Cálculos'!$D$201*(1+'Cálculos'!$D$202+$A89*('Cálculos'!$D$290=2)*'Cálculos'!$D$101)+'Cálculos'!$D$203)*('Cálculos'!$D$211+'Cálculos'!$D$124*(1+2.78*('Cálculos'!$D$196+(($B$111)-$A89)*'Cálculos'!$D$98)/(('Cálculos'!$D$196+(($B$111)-$A89)*'Cálculos'!$D$98)+1400)+'Cálculos'!$D$122)*'Cálculos'!$D$216+'Cálculos'!$D$125*(1+2.78*('Cálculos'!$D$196+(($B$111)-$A89)*'Cálculos'!$D$98)/(('Cálculos'!$D$196+(($B$111)-$A89)*'Cálculos'!$D$98)+1400)+'Cálculos'!$D$123)*'Cálculos'!$D$221)+('Cálculos'!$D$204*(1+'Cálculos'!$D$205+$A89*('Cálculos'!$D$290=3)*'Cálculos'!$D$103)+'Cálculos'!$D$206)*('Cálculos'!$D$212+'Cálculos'!$D$124*(1+2.78*('Cálculos'!$D$196+(($B$111)-$A89)*'Cálculos'!$D$98)/(('Cálculos'!$D$196+(($B$111)-$A89)*'Cálculos'!$D$98)+1400)+'Cálculos'!$D$122)*'Cálculos'!$D$217+'Cálculos'!$D$125*(1+2.78*('Cálculos'!$D$196+(($B$111)-$A89)*'Cálculos'!$D$98)/(('Cálculos'!$D$196+(($B$111)-$A89)*'Cálculos'!$D$98)+1400)+'Cálculos'!$D$123)*'Cálculos'!$D$222)+('Cálculos'!$D$185*(1+'Cálculos'!$D$187+$A89*('Cálculos'!$D$290=1)*'Cálculos'!$D$97+'Cálculos'!$D$305)+'Cálculos'!$D$192)*('Cálculos'!$D$224+'Cálculos'!$D$124*(1+2.78*('Cálculos'!$D$197+(($B$111)-$A89)*'Cálculos'!$D$98)/(('Cálculos'!$D$197+(($B$111)-$A89)*'Cálculos'!$D$98)+1400)+'Cálculos'!$D$122)*'Cálculos'!$D$229+'Cálculos'!$D$125*(1+2.78*('Cálculos'!$D$197+(($B$111)-$A89)*'Cálculos'!$D$98)/(('Cálculos'!$D$197+(($B$111)-$A89)*'Cálculos'!$D$98)+1400)+'Cálculos'!$D$123)*'Cálculos'!$D$234)+('Cálculos'!$D$197+(($B$111)-$A89)*'Cálculos'!$D$98)*('Cálculos'!$D$225+'Cálculos'!$D$124*(1+2.78*('Cálculos'!$D$197+(($B$111)-$A89)*'Cálculos'!$D$98)/(('Cálculos'!$D$197+(($B$111)-$A89)*'Cálculos'!$D$98)+1400)+'Cálculos'!$D$122)*'Cálculos'!$D$230+'Cálculos'!$D$125*(1+2.78*('Cálculos'!$D$197+(($B$111)-$A89)*'Cálculos'!$D$98)/(('Cálculos'!$D$197+(($B$111)-$A89)*'Cálculos'!$D$98)+1400)+'Cálculos'!$D$123)*'Cálculos'!$D$235)+('Cálculos'!$D$201*(1+'Cálculos'!$D$202+$A89*('Cálculos'!$D$290=2)*'Cálculos'!$D$101)+'Cálculos'!$D$203)*('Cálculos'!$D$226+'Cálculos'!$D$124*(1+2.78*('Cálculos'!$D$197+(($B$111)-$A89)*'Cálculos'!$D$98)/(('Cálculos'!$D$197+(($B$111)-$A89)*'Cálculos'!$D$98)+1400)+'Cálculos'!$D$122)*'Cálculos'!$D$231+'Cálculos'!$D$125*(1+2.78*('Cálculos'!$D$197+(($B$111)-$A89)*'Cálculos'!$D$98)/(('Cálculos'!$D$197+(($B$111)-$A89)*'Cálculos'!$D$98)+1400)+'Cálculos'!$D$123)*'Cálculos'!$D$236)+('Cálculos'!$D$204*(1+'Cálculos'!$D$205+$A89*('Cálculos'!$D$290=3)*'Cálculos'!$D$103)+'Cálculos'!$D$206)*('Cálculos'!$D$227+'Cálculos'!$D$124*(1+2.78*('Cálculos'!$D$197+(($B$111)-$A89)*'Cálculos'!$D$98)/(('Cálculos'!$D$197+(($B$111)-$A89)*'Cálculos'!$D$98)+1400)+'Cálculos'!$D$122)*'Cálculos'!$D$232+'Cálculos'!$D$125*(1+2.78*('Cálculos'!$D$197+(($B$111)-$A89)*'Cálculos'!$D$98)/(('Cálculos'!$D$197+(($B$111)-$A89)*'Cálculos'!$D$98)+1400)+'Cálculos'!$D$123)*'Cálculos'!$D$237)+('Cálculos'!$D$185*(1+'Cálculos'!$D$188+$A89*('Cálculos'!$D$290=1)*'Cálculos'!$D$97+'Cálculos'!$D$305)+'Cálculos'!$D$193)*('Cálculos'!$D$239+'Cálculos'!$D$124*(1+2.78*('Cálculos'!$D$198+(($B$111)-$A89)*'Cálculos'!$D$98)/(('Cálculos'!$D$198+(($B$111)-$A89)*'Cálculos'!$D$98)+1400)+'Cálculos'!$D$122)*'Cálculos'!$D$244+'Cálculos'!$D$125*(1+2.78*('Cálculos'!$D$198+(($B$111)-$A89)*'Cálculos'!$D$98)/(('Cálculos'!$D$198+(($B$111)-$A89)*'Cálculos'!$D$98)+1400)+'Cálculos'!$D$123)*'Cálculos'!$D$249)+('Cálculos'!$D$198+(($B$111)-$A89)*'Cálculos'!$D$98)*('Cálculos'!$D$240+'Cálculos'!$D$124*(1+2.78*('Cálculos'!$D$198+(($B$111)-$A89)*'Cálculos'!$D$98)/(('Cálculos'!$D$198+(($B$111)-$A89)*'Cálculos'!$D$98)+1400)+'Cálculos'!$D$122)*'Cálculos'!$D$245+'Cálculos'!$D$125*(1+2.78*('Cálculos'!$D$198+(($B$111)-$A89)*'Cálculos'!$D$98)/(('Cálculos'!$D$198+(($B$111)-$A89)*'Cálculos'!$D$98)+1400)+'Cálculos'!$D$123)*'Cálculos'!$D$250)+('Cálculos'!$D$201*(1+'Cálculos'!$D$202+$A89*('Cálculos'!$D$290=2)*'Cálculos'!$D$101)+'Cálculos'!$D$203)*('Cálculos'!$D$241+'Cálculos'!$D$124*(1+2.78*('Cálculos'!$D$198+(($B$111)-$A89)*'Cálculos'!$D$98)/(('Cálculos'!$D$198+(($B$111)-$A89)*'Cálculos'!$D$98)+1400)+'Cálculos'!$D$122)*'Cálculos'!$D$246+'Cálculos'!$D$125*(1+2.78*('Cálculos'!$D$198+(($B$111)-$A89)*'Cálculos'!$D$98)/(('Cálculos'!$D$198+(($B$111)-$A89)*'Cálculos'!$D$98)+1400)+'Cálculos'!$D$123)*'Cálculos'!$D$251)+('Cálculos'!$D$204*(1+'Cálculos'!$D$205+$A89*('Cálculos'!$D$290=3)*'Cálculos'!$D$103)+'Cálculos'!$D$206)*('Cálculos'!$D$242+'Cálculos'!$D$124*(1+2.78*('Cálculos'!$D$198+(($B$111)-$A89)*'Cálculos'!$D$98)/(('Cálculos'!$D$198+(($B$111)-$A89)*'Cálculos'!$D$98)+1400)+'Cálculos'!$D$122)*'Cálculos'!$D$247+'Cálculos'!$D$125*(1+2.78*('Cálculos'!$D$198+(($B$111)-$A89)*'Cálculos'!$D$98)/(('Cálculos'!$D$198+(($B$111)-$A89)*'Cálculos'!$D$98)+1400)+'Cálculos'!$D$123)*'Cálculos'!$D$252)+('Cálculos'!$D$185*(1+'Cálculos'!$D$189+$A89*('Cálculos'!$D$290=1)*'Cálculos'!$D$97+'Cálculos'!$D$305)+'Cálculos'!$D$194)*('Cálculos'!$D$254+'Cálculos'!$D$124*(1+2.78*('Cálculos'!$D$199+(($B$111)-$A89)*'Cálculos'!$D$98)/(('Cálculos'!$D$199+(($B$111)-$A89)*'Cálculos'!$D$98)+1400)+'Cálculos'!$D$122)*'Cálculos'!$D$259+'Cálculos'!$D$125*(1+2.78*('Cálculos'!$D$199+(($B$111)-$A89)*'Cálculos'!$D$98)/(('Cálculos'!$D$199+(($B$111)-$A89)*'Cálculos'!$D$98)+1400)+'Cálculos'!$D$123)*'Cálculos'!$D$264)+('Cálculos'!$D$199+(($B$111)-$A89)*'Cálculos'!$D$98)*('Cálculos'!$D$255+'Cálculos'!$D$124*(1+2.78*('Cálculos'!$D$199+(($B$111)-$A89)*'Cálculos'!$D$98)/(('Cálculos'!$D$199+(($B$111)-$A89)*'Cálculos'!$D$98)+1400)+'Cálculos'!$D$122)*'Cálculos'!$D$260+'Cálculos'!$D$125*(1+2.78*('Cálculos'!$D$199+(($B$111)-$A89)*'Cálculos'!$D$98)/(('Cálculos'!$D$199+(($B$111)-$A89)*'Cálculos'!$D$98)+1400)+'Cálculos'!$D$123)*'Cálculos'!$D$265)+('Cálculos'!$D$201*(1+'Cálculos'!$D$202+$A89*('Cálculos'!$D$290=2)*'Cálculos'!$D$101)+'Cálculos'!$D$203)*('Cálculos'!$D$256+'Cálculos'!$D$124*(1+2.78*('Cálculos'!$D$199+(($B$111)-$A89)*'Cálculos'!$D$98)/(('Cálculos'!$D$199+(($B$111)-$A89)*'Cálculos'!$D$98)+1400)+'Cálculos'!$D$122)*'Cálculos'!$D$261+'Cálculos'!$D$125*(1+2.78*('Cálculos'!$D$199+(($B$111)-$A89)*'Cálculos'!$D$98)/(('Cálculos'!$D$199+(($B$111)-$A89)*'Cálculos'!$D$98)+1400)+'Cálculos'!$D$123)*'Cálculos'!$D$266)+('Cálculos'!$D$204*(1+'Cálculos'!$D$205+$A89*('Cálculos'!$D$290=3)*'Cálculos'!$D$103)+'Cálculos'!$D$206)*('Cálculos'!$D$257+'Cálculos'!$D$124*(1+2.78*('Cálculos'!$D$199+(($B$111)-$A89)*'Cálculos'!$D$98)/(('Cálculos'!$D$199+(($B$111)-$A89)*'Cálculos'!$D$98)+1400)+'Cálculos'!$D$122)*'Cálculos'!$D$262+'Cálculos'!$D$125*(1+2.78*('Cálculos'!$D$199+(($B$111)-$A89)*'Cálculos'!$D$98)/(('Cálculos'!$D$199+(($B$111)-$A89)*'Cálculos'!$D$98)+1400)+'Cálculos'!$D$123)*'Cálculos'!$D$267)+('Cálculos'!$D$185*(1+'Cálculos'!$D$190+$A89*('Cálculos'!$D$290=1)*'Cálculos'!$D$97+'Cálculos'!$D$305)+'Cálculos'!$D$195)*('Cálculos'!$D$269+'Cálculos'!$D$124*(1+2.78*('Cálculos'!$D$200+(($B$111)-$A89)*'Cálculos'!$D$98)/(('Cálculos'!$D$200+(($B$111)-$A89)*'Cálculos'!$D$98)+1400)+'Cálculos'!$D$122)*'Cálculos'!$D$274+'Cálculos'!$D$125*(1+2.78*('Cálculos'!$D$200+(($B$111)-$A89)*'Cálculos'!$D$98)/(('Cálculos'!$D$200+(($B$111)-$A89)*'Cálculos'!$D$98)+1400)+'Cálculos'!$D$123)*'Cálculos'!$D$279)+('Cálculos'!$D$200+(($B$111)-$A89)*'Cálculos'!$D$98)*('Cálculos'!$D$270+'Cálculos'!$D$124*(1+2.78*('Cálculos'!$D$200+(($B$111)-$A89)*'Cálculos'!$D$98)/(('Cálculos'!$D$200+(($B$111)-$A89)*'Cálculos'!$D$98)+1400)+'Cálculos'!$D$122)*'Cálculos'!$D$275+'Cálculos'!$D$125*(1+2.78*('Cálculos'!$D$200+(($B$111)-$A89)*'Cálculos'!$D$98)/(('Cálculos'!$D$200+(($B$111)-$A89)*'Cálculos'!$D$98)+1400)+'Cálculos'!$D$123)*'Cálculos'!$D$280)+('Cálculos'!$D$201*(1+'Cálculos'!$D$202+$A89*('Cálculos'!$D$290=2)*'Cálculos'!$D$101)+'Cálculos'!$D$203)*('Cálculos'!$D$271+'Cálculos'!$D$124*(1+2.78*('Cálculos'!$D$200+(($B$111)-$A89)*'Cálculos'!$D$98)/(('Cálculos'!$D$200+(($B$111)-$A89)*'Cálculos'!$D$98)+1400)+'Cálculos'!$D$122)*'Cálculos'!$D$276+'Cálculos'!$D$125*(1+2.78*('Cálculos'!$D$200+(($B$111)-$A89)*'Cálculos'!$D$98)/(('Cálculos'!$D$200+(($B$111)-$A89)*'Cálculos'!$D$98)+1400)+'Cálculos'!$D$123)*'Cálculos'!$D$281)+('Cálculos'!$D$204*(1+'Cálculos'!$D$205+$A89*('Cálculos'!$D$290=3)*'Cálculos'!$D$103)+'Cálculos'!$D$206)*('Cálculos'!$D$272+'Cálculos'!$D$124*(1+2.78*('Cálculos'!$D$200+(($B$111)-$A89)*'Cálculos'!$D$98)/(('Cálculos'!$D$200+(($B$111)-$A89)*'Cálculos'!$D$98)+1400)+'Cálculos'!$D$122)*'Cálculos'!$D$277+'Cálculos'!$D$125*(1+2.78*('Cálculos'!$D$200+(($B$111)-$A89)*'Cálculos'!$D$98)/(('Cálculos'!$D$200+(($B$111)-$A89)*'Cálculos'!$D$98)+1400)+'Cálculos'!$D$123)*'Cálculos'!$D$282)))</f>
        <v>0</v>
      </c>
    </row>
    <row r="90" ht="15.75" customHeight="1">
      <c r="A90" s="2">
        <v>27.0</v>
      </c>
      <c r="B90" s="30">
        <f>SUMPRODUCT(MAX(($A$63:$A$108&lt;=$A90)*($A$63:$A$108&lt;='Cálculos'!$D$294)*(($A90)-$A$63:$A$108&lt;='Cálculos'!$D$295)*(1+(('Cálculos'!$D$207+$A$63:$A$108*'Cálculos'!$D$95)-(('Cálculos'!$D$207+$A$63:$A$108*'Cálculos'!$D$95)&gt;1)*(('Cálculos'!$D$207+$A$63:$A$108*'Cálculos'!$D$95)-1))*('Cálculos'!$D$208+(($A90)-$A$63:$A$108)*'Cálculos'!$D$96))))</f>
        <v>1.981076718</v>
      </c>
      <c r="C90" s="2">
        <f>'Cálculos'!$D$303-$A90</f>
        <v>-16</v>
      </c>
      <c r="D90" s="31">
        <f>IF($C90&lt;0,0,SUMPRODUCT(MAX(($A$63:$A$108&lt;=$C90)*($A$63:$A$108&lt;='Cálculos'!$D$301)*(($C90)-$A$63:$A$108&lt;='Cálculos'!$D$297)*(('Cálculos'!$D$185*(1+'Cálculos'!$D$186+$A$63:$A$108*('Cálculos'!$D$290=1)*'Cálculos'!$D$97+'Cálculos'!$D$305)+'Cálculos'!$D$191)*('Cálculos'!$D$209+'Cálculos'!$D$124*(1+2.78*('Cálculos'!$D$196+(($C90)-$A$63:$A$108)*'Cálculos'!$D$98)/(('Cálculos'!$D$196+(($C90)-$A$63:$A$108)*'Cálculos'!$D$98)+1400)+'Cálculos'!$D$122)*'Cálculos'!$D$214+'Cálculos'!$D$125*(1+2.78*('Cálculos'!$D$196+(($C90)-$A$63:$A$108)*'Cálculos'!$D$98)/(('Cálculos'!$D$196+(($C90)-$A$63:$A$108)*'Cálculos'!$D$98)+1400)+'Cálculos'!$D$123)*'Cálculos'!$D$219)+('Cálculos'!$D$196+(($C90)-$A$63:$A$108)*'Cálculos'!$D$98)*('Cálculos'!$D$210+'Cálculos'!$D$124*(1+2.78*('Cálculos'!$D$196+(($C90)-$A$63:$A$108)*'Cálculos'!$D$98)/(('Cálculos'!$D$196+(($C90)-$A$63:$A$108)*'Cálculos'!$D$98)+1400)+'Cálculos'!$D$122)*'Cálculos'!$D$215+'Cálculos'!$D$125*(1+2.78*('Cálculos'!$D$196+(($C90)-$A$63:$A$108)*'Cálculos'!$D$98)/(('Cálculos'!$D$196+(($C90)-$A$63:$A$108)*'Cálculos'!$D$98)+1400)+'Cálculos'!$D$123)*'Cálculos'!$D$220)+('Cálculos'!$D$201*(1+'Cálculos'!$D$202+$A$63:$A$108*('Cálculos'!$D$290=2)*'Cálculos'!$D$101)+'Cálculos'!$D$203)*('Cálculos'!$D$211+'Cálculos'!$D$124*(1+2.78*('Cálculos'!$D$196+(($C90)-$A$63:$A$108)*'Cálculos'!$D$98)/(('Cálculos'!$D$196+(($C90)-$A$63:$A$108)*'Cálculos'!$D$98)+1400)+'Cálculos'!$D$122)*'Cálculos'!$D$216+'Cálculos'!$D$125*(1+2.78*('Cálculos'!$D$196+(($C90)-$A$63:$A$108)*'Cálculos'!$D$98)/(('Cálculos'!$D$196+(($C90)-$A$63:$A$108)*'Cálculos'!$D$98)+1400)+'Cálculos'!$D$123)*'Cálculos'!$D$221)+('Cálculos'!$D$204*(1+'Cálculos'!$D$205+$A$63:$A$108*('Cálculos'!$D$290=3)*'Cálculos'!$D$103)+'Cálculos'!$D$206)*('Cálculos'!$D$212+'Cálculos'!$D$124*(1+2.78*('Cálculos'!$D$196+(($C90)-$A$63:$A$108)*'Cálculos'!$D$98)/(('Cálculos'!$D$196+(($C90)-$A$63:$A$108)*'Cálculos'!$D$98)+1400)+'Cálculos'!$D$122)*'Cálculos'!$D$217+'Cálculos'!$D$125*(1+2.78*('Cálculos'!$D$196+(($C90)-$A$63:$A$108)*'Cálculos'!$D$98)/(('Cálculos'!$D$196+(($C90)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90)-$A$63:$A$108)*'Cálculos'!$D$98)/(('Cálculos'!$D$197+(($C90)-$A$63:$A$108)*'Cálculos'!$D$98)+1400)+'Cálculos'!$D$122)*'Cálculos'!$D$229+'Cálculos'!$D$125*(1+2.78*('Cálculos'!$D$197+(($C90)-$A$63:$A$108)*'Cálculos'!$D$98)/(('Cálculos'!$D$197+(($C90)-$A$63:$A$108)*'Cálculos'!$D$98)+1400)+'Cálculos'!$D$123)*'Cálculos'!$D$234)+('Cálculos'!$D$197+(($C90)-$A$63:$A$108)*'Cálculos'!$D$98)*('Cálculos'!$D$225+'Cálculos'!$D$124*(1+2.78*('Cálculos'!$D$197+(($C90)-$A$63:$A$108)*'Cálculos'!$D$98)/(('Cálculos'!$D$197+(($C90)-$A$63:$A$108)*'Cálculos'!$D$98)+1400)+'Cálculos'!$D$122)*'Cálculos'!$D$230+'Cálculos'!$D$125*(1+2.78*('Cálculos'!$D$197+(($C90)-$A$63:$A$108)*'Cálculos'!$D$98)/(('Cálculos'!$D$197+(($C90)-$A$63:$A$108)*'Cálculos'!$D$98)+1400)+'Cálculos'!$D$123)*'Cálculos'!$D$235)+('Cálculos'!$D$201*(1+'Cálculos'!$D$202+$A$63:$A$108*('Cálculos'!$D$290=2)*'Cálculos'!$D$101)+'Cálculos'!$D$203)*('Cálculos'!$D$226+'Cálculos'!$D$124*(1+2.78*('Cálculos'!$D$197+(($C90)-$A$63:$A$108)*'Cálculos'!$D$98)/(('Cálculos'!$D$197+(($C90)-$A$63:$A$108)*'Cálculos'!$D$98)+1400)+'Cálculos'!$D$122)*'Cálculos'!$D$231+'Cálculos'!$D$125*(1+2.78*('Cálculos'!$D$197+(($C90)-$A$63:$A$108)*'Cálculos'!$D$98)/(('Cálculos'!$D$197+(($C90)-$A$63:$A$108)*'Cálculos'!$D$98)+1400)+'Cálculos'!$D$123)*'Cálculos'!$D$236)+('Cálculos'!$D$204*(1+'Cálculos'!$D$205+$A$63:$A$108*('Cálculos'!$D$290=3)*'Cálculos'!$D$103)+'Cálculos'!$D$206)*('Cálculos'!$D$227+'Cálculos'!$D$124*(1+2.78*('Cálculos'!$D$197+(($C90)-$A$63:$A$108)*'Cálculos'!$D$98)/(('Cálculos'!$D$197+(($C90)-$A$63:$A$108)*'Cálculos'!$D$98)+1400)+'Cálculos'!$D$122)*'Cálculos'!$D$232+'Cálculos'!$D$125*(1+2.78*('Cálculos'!$D$197+(($C90)-$A$63:$A$108)*'Cálculos'!$D$98)/(('Cálculos'!$D$197+(($C90)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90)-$A$63:$A$108)*'Cálculos'!$D$98)/(('Cálculos'!$D$198+(($C90)-$A$63:$A$108)*'Cálculos'!$D$98)+1400)+'Cálculos'!$D$122)*'Cálculos'!$D$244+'Cálculos'!$D$125*(1+2.78*('Cálculos'!$D$198+(($C90)-$A$63:$A$108)*'Cálculos'!$D$98)/(('Cálculos'!$D$198+(($C90)-$A$63:$A$108)*'Cálculos'!$D$98)+1400)+'Cálculos'!$D$123)*'Cálculos'!$D$249)+('Cálculos'!$D$198+(($C90)-$A$63:$A$108)*'Cálculos'!$D$98)*('Cálculos'!$D$240+'Cálculos'!$D$124*(1+2.78*('Cálculos'!$D$198+(($C90)-$A$63:$A$108)*'Cálculos'!$D$98)/(('Cálculos'!$D$198+(($C90)-$A$63:$A$108)*'Cálculos'!$D$98)+1400)+'Cálculos'!$D$122)*'Cálculos'!$D$245+'Cálculos'!$D$125*(1+2.78*('Cálculos'!$D$198+(($C90)-$A$63:$A$108)*'Cálculos'!$D$98)/(('Cálculos'!$D$198+(($C90)-$A$63:$A$108)*'Cálculos'!$D$98)+1400)+'Cálculos'!$D$123)*'Cálculos'!$D$250)+('Cálculos'!$D$201*(1+'Cálculos'!$D$202+$A$63:$A$108*('Cálculos'!$D$290=2)*'Cálculos'!$D$101)+'Cálculos'!$D$203)*('Cálculos'!$D$241+'Cálculos'!$D$124*(1+2.78*('Cálculos'!$D$198+(($C90)-$A$63:$A$108)*'Cálculos'!$D$98)/(('Cálculos'!$D$198+(($C90)-$A$63:$A$108)*'Cálculos'!$D$98)+1400)+'Cálculos'!$D$122)*'Cálculos'!$D$246+'Cálculos'!$D$125*(1+2.78*('Cálculos'!$D$198+(($C90)-$A$63:$A$108)*'Cálculos'!$D$98)/(('Cálculos'!$D$198+(($C90)-$A$63:$A$108)*'Cálculos'!$D$98)+1400)+'Cálculos'!$D$123)*'Cálculos'!$D$251)+('Cálculos'!$D$204*(1+'Cálculos'!$D$205+$A$63:$A$108*('Cálculos'!$D$290=3)*'Cálculos'!$D$103)+'Cálculos'!$D$206)*('Cálculos'!$D$242+'Cálculos'!$D$124*(1+2.78*('Cálculos'!$D$198+(($C90)-$A$63:$A$108)*'Cálculos'!$D$98)/(('Cálculos'!$D$198+(($C90)-$A$63:$A$108)*'Cálculos'!$D$98)+1400)+'Cálculos'!$D$122)*'Cálculos'!$D$247+'Cálculos'!$D$125*(1+2.78*('Cálculos'!$D$198+(($C90)-$A$63:$A$108)*'Cálculos'!$D$98)/(('Cálculos'!$D$198+(($C90)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90)-$A$63:$A$108)*'Cálculos'!$D$98)/(('Cálculos'!$D$199+(($C90)-$A$63:$A$108)*'Cálculos'!$D$98)+1400)+'Cálculos'!$D$122)*'Cálculos'!$D$259+'Cálculos'!$D$125*(1+2.78*('Cálculos'!$D$199+(($C90)-$A$63:$A$108)*'Cálculos'!$D$98)/(('Cálculos'!$D$199+(($C90)-$A$63:$A$108)*'Cálculos'!$D$98)+1400)+'Cálculos'!$D$123)*'Cálculos'!$D$264)+('Cálculos'!$D$199+(($C90)-$A$63:$A$108)*'Cálculos'!$D$98)*('Cálculos'!$D$255+'Cálculos'!$D$124*(1+2.78*('Cálculos'!$D$199+(($C90)-$A$63:$A$108)*'Cálculos'!$D$98)/(('Cálculos'!$D$199+(($C90)-$A$63:$A$108)*'Cálculos'!$D$98)+1400)+'Cálculos'!$D$122)*'Cálculos'!$D$260+'Cálculos'!$D$125*(1+2.78*('Cálculos'!$D$199+(($C90)-$A$63:$A$108)*'Cálculos'!$D$98)/(('Cálculos'!$D$199+(($C90)-$A$63:$A$108)*'Cálculos'!$D$98)+1400)+'Cálculos'!$D$123)*'Cálculos'!$D$265)+('Cálculos'!$D$201*(1+'Cálculos'!$D$202+$A$63:$A$108*('Cálculos'!$D$290=2)*'Cálculos'!$D$101)+'Cálculos'!$D$203)*('Cálculos'!$D$256+'Cálculos'!$D$124*(1+2.78*('Cálculos'!$D$199+(($C90)-$A$63:$A$108)*'Cálculos'!$D$98)/(('Cálculos'!$D$199+(($C90)-$A$63:$A$108)*'Cálculos'!$D$98)+1400)+'Cálculos'!$D$122)*'Cálculos'!$D$261+'Cálculos'!$D$125*(1+2.78*('Cálculos'!$D$199+(($C90)-$A$63:$A$108)*'Cálculos'!$D$98)/(('Cálculos'!$D$199+(($C90)-$A$63:$A$108)*'Cálculos'!$D$98)+1400)+'Cálculos'!$D$123)*'Cálculos'!$D$266)+('Cálculos'!$D$204*(1+'Cálculos'!$D$205+$A$63:$A$108*('Cálculos'!$D$290=3)*'Cálculos'!$D$103)+'Cálculos'!$D$206)*('Cálculos'!$D$257+'Cálculos'!$D$124*(1+2.78*('Cálculos'!$D$199+(($C90)-$A$63:$A$108)*'Cálculos'!$D$98)/(('Cálculos'!$D$199+(($C90)-$A$63:$A$108)*'Cálculos'!$D$98)+1400)+'Cálculos'!$D$122)*'Cálculos'!$D$262+'Cálculos'!$D$125*(1+2.78*('Cálculos'!$D$199+(($C90)-$A$63:$A$108)*'Cálculos'!$D$98)/(('Cálculos'!$D$199+(($C90)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90)-$A$63:$A$108)*'Cálculos'!$D$98)/(('Cálculos'!$D$200+(($C90)-$A$63:$A$108)*'Cálculos'!$D$98)+1400)+'Cálculos'!$D$122)*'Cálculos'!$D$274+'Cálculos'!$D$125*(1+2.78*('Cálculos'!$D$200+(($C90)-$A$63:$A$108)*'Cálculos'!$D$98)/(('Cálculos'!$D$200+(($C90)-$A$63:$A$108)*'Cálculos'!$D$98)+1400)+'Cálculos'!$D$123)*'Cálculos'!$D$279)+('Cálculos'!$D$200+(($C90)-$A$63:$A$108)*'Cálculos'!$D$98)*('Cálculos'!$D$270+'Cálculos'!$D$124*(1+2.78*('Cálculos'!$D$200+(($C90)-$A$63:$A$108)*'Cálculos'!$D$98)/(('Cálculos'!$D$200+(($C90)-$A$63:$A$108)*'Cálculos'!$D$98)+1400)+'Cálculos'!$D$122)*'Cálculos'!$D$275+'Cálculos'!$D$125*(1+2.78*('Cálculos'!$D$200+(($C90)-$A$63:$A$108)*'Cálculos'!$D$98)/(('Cálculos'!$D$200+(($C90)-$A$63:$A$108)*'Cálculos'!$D$98)+1400)+'Cálculos'!$D$123)*'Cálculos'!$D$280)+('Cálculos'!$D$201*(1+'Cálculos'!$D$202+$A$63:$A$108*('Cálculos'!$D$290=2)*'Cálculos'!$D$101)+'Cálculos'!$D$203)*('Cálculos'!$D$271+'Cálculos'!$D$124*(1+2.78*('Cálculos'!$D$200+(($C90)-$A$63:$A$108)*'Cálculos'!$D$98)/(('Cálculos'!$D$200+(($C90)-$A$63:$A$108)*'Cálculos'!$D$98)+1400)+'Cálculos'!$D$122)*'Cálculos'!$D$276+'Cálculos'!$D$125*(1+2.78*('Cálculos'!$D$200+(($C90)-$A$63:$A$108)*'Cálculos'!$D$98)/(('Cálculos'!$D$200+(($C90)-$A$63:$A$108)*'Cálculos'!$D$98)+1400)+'Cálculos'!$D$123)*'Cálculos'!$D$281)+('Cálculos'!$D$204*(1+'Cálculos'!$D$205+$A$63:$A$108*('Cálculos'!$D$290=3)*'Cálculos'!$D$103)+'Cálculos'!$D$206)*('Cálculos'!$D$272+'Cálculos'!$D$124*(1+2.78*('Cálculos'!$D$200+(($C90)-$A$63:$A$108)*'Cálculos'!$D$98)/(('Cálculos'!$D$200+(($C90)-$A$63:$A$108)*'Cálculos'!$D$98)+1400)+'Cálculos'!$D$122)*'Cálculos'!$D$277+'Cálculos'!$D$125*(1+2.78*('Cálculos'!$D$200+(($C90)-$A$63:$A$108)*'Cálculos'!$D$98)/(('Cálculos'!$D$200+(($C90)-$A$63:$A$108)*'Cálculos'!$D$98)+1400)+'Cálculos'!$D$123)*'Cálculos'!$D$282)))))</f>
        <v>0</v>
      </c>
      <c r="E90" s="32">
        <f>IF(OR($C90&lt;0,'Cálculos'!$D$6=""),0,$B90*$D90)</f>
        <v>0</v>
      </c>
      <c r="F90" s="2"/>
      <c r="G90" s="30">
        <f>($A90&lt;=$B$110)*($A90&lt;='Cálculos'!$D$294)*(($B$110)-$A90&lt;='Cálculos'!$D$295)*(1+MIN(('Cálculos'!$D$207+$A90*'Cálculos'!$D$95),1)*('Cálculos'!$D$208+(($B$110)-$A90)*'Cálculos'!$D$96))</f>
        <v>0</v>
      </c>
      <c r="H90" s="31">
        <f>IF($B$111&lt;0,0,($A90&lt;=$B$111)*($A90&lt;='Cálculos'!$D$301)*(($B$111)-$A90&lt;='Cálculos'!$D$297)*(('Cálculos'!$D$185*(1+'Cálculos'!$D$186+$A90*('Cálculos'!$D$290=1)*'Cálculos'!$D$97+'Cálculos'!$D$305)+'Cálculos'!$D$191)*('Cálculos'!$D$209+'Cálculos'!$D$124*(1+2.78*('Cálculos'!$D$196+(($B$111)-$A90)*'Cálculos'!$D$98)/(('Cálculos'!$D$196+(($B$111)-$A90)*'Cálculos'!$D$98)+1400)+'Cálculos'!$D$122)*'Cálculos'!$D$214+'Cálculos'!$D$125*(1+2.78*('Cálculos'!$D$196+(($B$111)-$A90)*'Cálculos'!$D$98)/(('Cálculos'!$D$196+(($B$111)-$A90)*'Cálculos'!$D$98)+1400)+'Cálculos'!$D$123)*'Cálculos'!$D$219)+('Cálculos'!$D$196+(($B$111)-$A90)*'Cálculos'!$D$98)*('Cálculos'!$D$210+'Cálculos'!$D$124*(1+2.78*('Cálculos'!$D$196+(($B$111)-$A90)*'Cálculos'!$D$98)/(('Cálculos'!$D$196+(($B$111)-$A90)*'Cálculos'!$D$98)+1400)+'Cálculos'!$D$122)*'Cálculos'!$D$215+'Cálculos'!$D$125*(1+2.78*('Cálculos'!$D$196+(($B$111)-$A90)*'Cálculos'!$D$98)/(('Cálculos'!$D$196+(($B$111)-$A90)*'Cálculos'!$D$98)+1400)+'Cálculos'!$D$123)*'Cálculos'!$D$220)+('Cálculos'!$D$201*(1+'Cálculos'!$D$202+$A90*('Cálculos'!$D$290=2)*'Cálculos'!$D$101)+'Cálculos'!$D$203)*('Cálculos'!$D$211+'Cálculos'!$D$124*(1+2.78*('Cálculos'!$D$196+(($B$111)-$A90)*'Cálculos'!$D$98)/(('Cálculos'!$D$196+(($B$111)-$A90)*'Cálculos'!$D$98)+1400)+'Cálculos'!$D$122)*'Cálculos'!$D$216+'Cálculos'!$D$125*(1+2.78*('Cálculos'!$D$196+(($B$111)-$A90)*'Cálculos'!$D$98)/(('Cálculos'!$D$196+(($B$111)-$A90)*'Cálculos'!$D$98)+1400)+'Cálculos'!$D$123)*'Cálculos'!$D$221)+('Cálculos'!$D$204*(1+'Cálculos'!$D$205+$A90*('Cálculos'!$D$290=3)*'Cálculos'!$D$103)+'Cálculos'!$D$206)*('Cálculos'!$D$212+'Cálculos'!$D$124*(1+2.78*('Cálculos'!$D$196+(($B$111)-$A90)*'Cálculos'!$D$98)/(('Cálculos'!$D$196+(($B$111)-$A90)*'Cálculos'!$D$98)+1400)+'Cálculos'!$D$122)*'Cálculos'!$D$217+'Cálculos'!$D$125*(1+2.78*('Cálculos'!$D$196+(($B$111)-$A90)*'Cálculos'!$D$98)/(('Cálculos'!$D$196+(($B$111)-$A90)*'Cálculos'!$D$98)+1400)+'Cálculos'!$D$123)*'Cálculos'!$D$222)+('Cálculos'!$D$185*(1+'Cálculos'!$D$187+$A90*('Cálculos'!$D$290=1)*'Cálculos'!$D$97+'Cálculos'!$D$305)+'Cálculos'!$D$192)*('Cálculos'!$D$224+'Cálculos'!$D$124*(1+2.78*('Cálculos'!$D$197+(($B$111)-$A90)*'Cálculos'!$D$98)/(('Cálculos'!$D$197+(($B$111)-$A90)*'Cálculos'!$D$98)+1400)+'Cálculos'!$D$122)*'Cálculos'!$D$229+'Cálculos'!$D$125*(1+2.78*('Cálculos'!$D$197+(($B$111)-$A90)*'Cálculos'!$D$98)/(('Cálculos'!$D$197+(($B$111)-$A90)*'Cálculos'!$D$98)+1400)+'Cálculos'!$D$123)*'Cálculos'!$D$234)+('Cálculos'!$D$197+(($B$111)-$A90)*'Cálculos'!$D$98)*('Cálculos'!$D$225+'Cálculos'!$D$124*(1+2.78*('Cálculos'!$D$197+(($B$111)-$A90)*'Cálculos'!$D$98)/(('Cálculos'!$D$197+(($B$111)-$A90)*'Cálculos'!$D$98)+1400)+'Cálculos'!$D$122)*'Cálculos'!$D$230+'Cálculos'!$D$125*(1+2.78*('Cálculos'!$D$197+(($B$111)-$A90)*'Cálculos'!$D$98)/(('Cálculos'!$D$197+(($B$111)-$A90)*'Cálculos'!$D$98)+1400)+'Cálculos'!$D$123)*'Cálculos'!$D$235)+('Cálculos'!$D$201*(1+'Cálculos'!$D$202+$A90*('Cálculos'!$D$290=2)*'Cálculos'!$D$101)+'Cálculos'!$D$203)*('Cálculos'!$D$226+'Cálculos'!$D$124*(1+2.78*('Cálculos'!$D$197+(($B$111)-$A90)*'Cálculos'!$D$98)/(('Cálculos'!$D$197+(($B$111)-$A90)*'Cálculos'!$D$98)+1400)+'Cálculos'!$D$122)*'Cálculos'!$D$231+'Cálculos'!$D$125*(1+2.78*('Cálculos'!$D$197+(($B$111)-$A90)*'Cálculos'!$D$98)/(('Cálculos'!$D$197+(($B$111)-$A90)*'Cálculos'!$D$98)+1400)+'Cálculos'!$D$123)*'Cálculos'!$D$236)+('Cálculos'!$D$204*(1+'Cálculos'!$D$205+$A90*('Cálculos'!$D$290=3)*'Cálculos'!$D$103)+'Cálculos'!$D$206)*('Cálculos'!$D$227+'Cálculos'!$D$124*(1+2.78*('Cálculos'!$D$197+(($B$111)-$A90)*'Cálculos'!$D$98)/(('Cálculos'!$D$197+(($B$111)-$A90)*'Cálculos'!$D$98)+1400)+'Cálculos'!$D$122)*'Cálculos'!$D$232+'Cálculos'!$D$125*(1+2.78*('Cálculos'!$D$197+(($B$111)-$A90)*'Cálculos'!$D$98)/(('Cálculos'!$D$197+(($B$111)-$A90)*'Cálculos'!$D$98)+1400)+'Cálculos'!$D$123)*'Cálculos'!$D$237)+('Cálculos'!$D$185*(1+'Cálculos'!$D$188+$A90*('Cálculos'!$D$290=1)*'Cálculos'!$D$97+'Cálculos'!$D$305)+'Cálculos'!$D$193)*('Cálculos'!$D$239+'Cálculos'!$D$124*(1+2.78*('Cálculos'!$D$198+(($B$111)-$A90)*'Cálculos'!$D$98)/(('Cálculos'!$D$198+(($B$111)-$A90)*'Cálculos'!$D$98)+1400)+'Cálculos'!$D$122)*'Cálculos'!$D$244+'Cálculos'!$D$125*(1+2.78*('Cálculos'!$D$198+(($B$111)-$A90)*'Cálculos'!$D$98)/(('Cálculos'!$D$198+(($B$111)-$A90)*'Cálculos'!$D$98)+1400)+'Cálculos'!$D$123)*'Cálculos'!$D$249)+('Cálculos'!$D$198+(($B$111)-$A90)*'Cálculos'!$D$98)*('Cálculos'!$D$240+'Cálculos'!$D$124*(1+2.78*('Cálculos'!$D$198+(($B$111)-$A90)*'Cálculos'!$D$98)/(('Cálculos'!$D$198+(($B$111)-$A90)*'Cálculos'!$D$98)+1400)+'Cálculos'!$D$122)*'Cálculos'!$D$245+'Cálculos'!$D$125*(1+2.78*('Cálculos'!$D$198+(($B$111)-$A90)*'Cálculos'!$D$98)/(('Cálculos'!$D$198+(($B$111)-$A90)*'Cálculos'!$D$98)+1400)+'Cálculos'!$D$123)*'Cálculos'!$D$250)+('Cálculos'!$D$201*(1+'Cálculos'!$D$202+$A90*('Cálculos'!$D$290=2)*'Cálculos'!$D$101)+'Cálculos'!$D$203)*('Cálculos'!$D$241+'Cálculos'!$D$124*(1+2.78*('Cálculos'!$D$198+(($B$111)-$A90)*'Cálculos'!$D$98)/(('Cálculos'!$D$198+(($B$111)-$A90)*'Cálculos'!$D$98)+1400)+'Cálculos'!$D$122)*'Cálculos'!$D$246+'Cálculos'!$D$125*(1+2.78*('Cálculos'!$D$198+(($B$111)-$A90)*'Cálculos'!$D$98)/(('Cálculos'!$D$198+(($B$111)-$A90)*'Cálculos'!$D$98)+1400)+'Cálculos'!$D$123)*'Cálculos'!$D$251)+('Cálculos'!$D$204*(1+'Cálculos'!$D$205+$A90*('Cálculos'!$D$290=3)*'Cálculos'!$D$103)+'Cálculos'!$D$206)*('Cálculos'!$D$242+'Cálculos'!$D$124*(1+2.78*('Cálculos'!$D$198+(($B$111)-$A90)*'Cálculos'!$D$98)/(('Cálculos'!$D$198+(($B$111)-$A90)*'Cálculos'!$D$98)+1400)+'Cálculos'!$D$122)*'Cálculos'!$D$247+'Cálculos'!$D$125*(1+2.78*('Cálculos'!$D$198+(($B$111)-$A90)*'Cálculos'!$D$98)/(('Cálculos'!$D$198+(($B$111)-$A90)*'Cálculos'!$D$98)+1400)+'Cálculos'!$D$123)*'Cálculos'!$D$252)+('Cálculos'!$D$185*(1+'Cálculos'!$D$189+$A90*('Cálculos'!$D$290=1)*'Cálculos'!$D$97+'Cálculos'!$D$305)+'Cálculos'!$D$194)*('Cálculos'!$D$254+'Cálculos'!$D$124*(1+2.78*('Cálculos'!$D$199+(($B$111)-$A90)*'Cálculos'!$D$98)/(('Cálculos'!$D$199+(($B$111)-$A90)*'Cálculos'!$D$98)+1400)+'Cálculos'!$D$122)*'Cálculos'!$D$259+'Cálculos'!$D$125*(1+2.78*('Cálculos'!$D$199+(($B$111)-$A90)*'Cálculos'!$D$98)/(('Cálculos'!$D$199+(($B$111)-$A90)*'Cálculos'!$D$98)+1400)+'Cálculos'!$D$123)*'Cálculos'!$D$264)+('Cálculos'!$D$199+(($B$111)-$A90)*'Cálculos'!$D$98)*('Cálculos'!$D$255+'Cálculos'!$D$124*(1+2.78*('Cálculos'!$D$199+(($B$111)-$A90)*'Cálculos'!$D$98)/(('Cálculos'!$D$199+(($B$111)-$A90)*'Cálculos'!$D$98)+1400)+'Cálculos'!$D$122)*'Cálculos'!$D$260+'Cálculos'!$D$125*(1+2.78*('Cálculos'!$D$199+(($B$111)-$A90)*'Cálculos'!$D$98)/(('Cálculos'!$D$199+(($B$111)-$A90)*'Cálculos'!$D$98)+1400)+'Cálculos'!$D$123)*'Cálculos'!$D$265)+('Cálculos'!$D$201*(1+'Cálculos'!$D$202+$A90*('Cálculos'!$D$290=2)*'Cálculos'!$D$101)+'Cálculos'!$D$203)*('Cálculos'!$D$256+'Cálculos'!$D$124*(1+2.78*('Cálculos'!$D$199+(($B$111)-$A90)*'Cálculos'!$D$98)/(('Cálculos'!$D$199+(($B$111)-$A90)*'Cálculos'!$D$98)+1400)+'Cálculos'!$D$122)*'Cálculos'!$D$261+'Cálculos'!$D$125*(1+2.78*('Cálculos'!$D$199+(($B$111)-$A90)*'Cálculos'!$D$98)/(('Cálculos'!$D$199+(($B$111)-$A90)*'Cálculos'!$D$98)+1400)+'Cálculos'!$D$123)*'Cálculos'!$D$266)+('Cálculos'!$D$204*(1+'Cálculos'!$D$205+$A90*('Cálculos'!$D$290=3)*'Cálculos'!$D$103)+'Cálculos'!$D$206)*('Cálculos'!$D$257+'Cálculos'!$D$124*(1+2.78*('Cálculos'!$D$199+(($B$111)-$A90)*'Cálculos'!$D$98)/(('Cálculos'!$D$199+(($B$111)-$A90)*'Cálculos'!$D$98)+1400)+'Cálculos'!$D$122)*'Cálculos'!$D$262+'Cálculos'!$D$125*(1+2.78*('Cálculos'!$D$199+(($B$111)-$A90)*'Cálculos'!$D$98)/(('Cálculos'!$D$199+(($B$111)-$A90)*'Cálculos'!$D$98)+1400)+'Cálculos'!$D$123)*'Cálculos'!$D$267)+('Cálculos'!$D$185*(1+'Cálculos'!$D$190+$A90*('Cálculos'!$D$290=1)*'Cálculos'!$D$97+'Cálculos'!$D$305)+'Cálculos'!$D$195)*('Cálculos'!$D$269+'Cálculos'!$D$124*(1+2.78*('Cálculos'!$D$200+(($B$111)-$A90)*'Cálculos'!$D$98)/(('Cálculos'!$D$200+(($B$111)-$A90)*'Cálculos'!$D$98)+1400)+'Cálculos'!$D$122)*'Cálculos'!$D$274+'Cálculos'!$D$125*(1+2.78*('Cálculos'!$D$200+(($B$111)-$A90)*'Cálculos'!$D$98)/(('Cálculos'!$D$200+(($B$111)-$A90)*'Cálculos'!$D$98)+1400)+'Cálculos'!$D$123)*'Cálculos'!$D$279)+('Cálculos'!$D$200+(($B$111)-$A90)*'Cálculos'!$D$98)*('Cálculos'!$D$270+'Cálculos'!$D$124*(1+2.78*('Cálculos'!$D$200+(($B$111)-$A90)*'Cálculos'!$D$98)/(('Cálculos'!$D$200+(($B$111)-$A90)*'Cálculos'!$D$98)+1400)+'Cálculos'!$D$122)*'Cálculos'!$D$275+'Cálculos'!$D$125*(1+2.78*('Cálculos'!$D$200+(($B$111)-$A90)*'Cálculos'!$D$98)/(('Cálculos'!$D$200+(($B$111)-$A90)*'Cálculos'!$D$98)+1400)+'Cálculos'!$D$123)*'Cálculos'!$D$280)+('Cálculos'!$D$201*(1+'Cálculos'!$D$202+$A90*('Cálculos'!$D$290=2)*'Cálculos'!$D$101)+'Cálculos'!$D$203)*('Cálculos'!$D$271+'Cálculos'!$D$124*(1+2.78*('Cálculos'!$D$200+(($B$111)-$A90)*'Cálculos'!$D$98)/(('Cálculos'!$D$200+(($B$111)-$A90)*'Cálculos'!$D$98)+1400)+'Cálculos'!$D$122)*'Cálculos'!$D$276+'Cálculos'!$D$125*(1+2.78*('Cálculos'!$D$200+(($B$111)-$A90)*'Cálculos'!$D$98)/(('Cálculos'!$D$200+(($B$111)-$A90)*'Cálculos'!$D$98)+1400)+'Cálculos'!$D$123)*'Cálculos'!$D$281)+('Cálculos'!$D$204*(1+'Cálculos'!$D$205+$A90*('Cálculos'!$D$290=3)*'Cálculos'!$D$103)+'Cálculos'!$D$206)*('Cálculos'!$D$272+'Cálculos'!$D$124*(1+2.78*('Cálculos'!$D$200+(($B$111)-$A90)*'Cálculos'!$D$98)/(('Cálculos'!$D$200+(($B$111)-$A90)*'Cálculos'!$D$98)+1400)+'Cálculos'!$D$122)*'Cálculos'!$D$277+'Cálculos'!$D$125*(1+2.78*('Cálculos'!$D$200+(($B$111)-$A90)*'Cálculos'!$D$98)/(('Cálculos'!$D$200+(($B$111)-$A90)*'Cálculos'!$D$98)+1400)+'Cálculos'!$D$123)*'Cálculos'!$D$282)))</f>
        <v>0</v>
      </c>
    </row>
    <row r="91" ht="15.75" customHeight="1">
      <c r="A91" s="2">
        <v>28.0</v>
      </c>
      <c r="B91" s="30">
        <f>SUMPRODUCT(MAX(($A$63:$A$108&lt;=$A91)*($A$63:$A$108&lt;='Cálculos'!$D$294)*(($A91)-$A$63:$A$108&lt;='Cálculos'!$D$295)*(1+(('Cálculos'!$D$207+$A$63:$A$108*'Cálculos'!$D$95)-(('Cálculos'!$D$207+$A$63:$A$108*'Cálculos'!$D$95)&gt;1)*(('Cálculos'!$D$207+$A$63:$A$108*'Cálculos'!$D$95)-1))*('Cálculos'!$D$208+(($A91)-$A$63:$A$108)*'Cálculos'!$D$96))))</f>
        <v>2.020453979</v>
      </c>
      <c r="C91" s="2">
        <f>'Cálculos'!$D$303-$A91</f>
        <v>-17</v>
      </c>
      <c r="D91" s="31">
        <f>IF($C91&lt;0,0,SUMPRODUCT(MAX(($A$63:$A$108&lt;=$C91)*($A$63:$A$108&lt;='Cálculos'!$D$301)*(($C91)-$A$63:$A$108&lt;='Cálculos'!$D$297)*(('Cálculos'!$D$185*(1+'Cálculos'!$D$186+$A$63:$A$108*('Cálculos'!$D$290=1)*'Cálculos'!$D$97+'Cálculos'!$D$305)+'Cálculos'!$D$191)*('Cálculos'!$D$209+'Cálculos'!$D$124*(1+2.78*('Cálculos'!$D$196+(($C91)-$A$63:$A$108)*'Cálculos'!$D$98)/(('Cálculos'!$D$196+(($C91)-$A$63:$A$108)*'Cálculos'!$D$98)+1400)+'Cálculos'!$D$122)*'Cálculos'!$D$214+'Cálculos'!$D$125*(1+2.78*('Cálculos'!$D$196+(($C91)-$A$63:$A$108)*'Cálculos'!$D$98)/(('Cálculos'!$D$196+(($C91)-$A$63:$A$108)*'Cálculos'!$D$98)+1400)+'Cálculos'!$D$123)*'Cálculos'!$D$219)+('Cálculos'!$D$196+(($C91)-$A$63:$A$108)*'Cálculos'!$D$98)*('Cálculos'!$D$210+'Cálculos'!$D$124*(1+2.78*('Cálculos'!$D$196+(($C91)-$A$63:$A$108)*'Cálculos'!$D$98)/(('Cálculos'!$D$196+(($C91)-$A$63:$A$108)*'Cálculos'!$D$98)+1400)+'Cálculos'!$D$122)*'Cálculos'!$D$215+'Cálculos'!$D$125*(1+2.78*('Cálculos'!$D$196+(($C91)-$A$63:$A$108)*'Cálculos'!$D$98)/(('Cálculos'!$D$196+(($C91)-$A$63:$A$108)*'Cálculos'!$D$98)+1400)+'Cálculos'!$D$123)*'Cálculos'!$D$220)+('Cálculos'!$D$201*(1+'Cálculos'!$D$202+$A$63:$A$108*('Cálculos'!$D$290=2)*'Cálculos'!$D$101)+'Cálculos'!$D$203)*('Cálculos'!$D$211+'Cálculos'!$D$124*(1+2.78*('Cálculos'!$D$196+(($C91)-$A$63:$A$108)*'Cálculos'!$D$98)/(('Cálculos'!$D$196+(($C91)-$A$63:$A$108)*'Cálculos'!$D$98)+1400)+'Cálculos'!$D$122)*'Cálculos'!$D$216+'Cálculos'!$D$125*(1+2.78*('Cálculos'!$D$196+(($C91)-$A$63:$A$108)*'Cálculos'!$D$98)/(('Cálculos'!$D$196+(($C91)-$A$63:$A$108)*'Cálculos'!$D$98)+1400)+'Cálculos'!$D$123)*'Cálculos'!$D$221)+('Cálculos'!$D$204*(1+'Cálculos'!$D$205+$A$63:$A$108*('Cálculos'!$D$290=3)*'Cálculos'!$D$103)+'Cálculos'!$D$206)*('Cálculos'!$D$212+'Cálculos'!$D$124*(1+2.78*('Cálculos'!$D$196+(($C91)-$A$63:$A$108)*'Cálculos'!$D$98)/(('Cálculos'!$D$196+(($C91)-$A$63:$A$108)*'Cálculos'!$D$98)+1400)+'Cálculos'!$D$122)*'Cálculos'!$D$217+'Cálculos'!$D$125*(1+2.78*('Cálculos'!$D$196+(($C91)-$A$63:$A$108)*'Cálculos'!$D$98)/(('Cálculos'!$D$196+(($C91)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91)-$A$63:$A$108)*'Cálculos'!$D$98)/(('Cálculos'!$D$197+(($C91)-$A$63:$A$108)*'Cálculos'!$D$98)+1400)+'Cálculos'!$D$122)*'Cálculos'!$D$229+'Cálculos'!$D$125*(1+2.78*('Cálculos'!$D$197+(($C91)-$A$63:$A$108)*'Cálculos'!$D$98)/(('Cálculos'!$D$197+(($C91)-$A$63:$A$108)*'Cálculos'!$D$98)+1400)+'Cálculos'!$D$123)*'Cálculos'!$D$234)+('Cálculos'!$D$197+(($C91)-$A$63:$A$108)*'Cálculos'!$D$98)*('Cálculos'!$D$225+'Cálculos'!$D$124*(1+2.78*('Cálculos'!$D$197+(($C91)-$A$63:$A$108)*'Cálculos'!$D$98)/(('Cálculos'!$D$197+(($C91)-$A$63:$A$108)*'Cálculos'!$D$98)+1400)+'Cálculos'!$D$122)*'Cálculos'!$D$230+'Cálculos'!$D$125*(1+2.78*('Cálculos'!$D$197+(($C91)-$A$63:$A$108)*'Cálculos'!$D$98)/(('Cálculos'!$D$197+(($C91)-$A$63:$A$108)*'Cálculos'!$D$98)+1400)+'Cálculos'!$D$123)*'Cálculos'!$D$235)+('Cálculos'!$D$201*(1+'Cálculos'!$D$202+$A$63:$A$108*('Cálculos'!$D$290=2)*'Cálculos'!$D$101)+'Cálculos'!$D$203)*('Cálculos'!$D$226+'Cálculos'!$D$124*(1+2.78*('Cálculos'!$D$197+(($C91)-$A$63:$A$108)*'Cálculos'!$D$98)/(('Cálculos'!$D$197+(($C91)-$A$63:$A$108)*'Cálculos'!$D$98)+1400)+'Cálculos'!$D$122)*'Cálculos'!$D$231+'Cálculos'!$D$125*(1+2.78*('Cálculos'!$D$197+(($C91)-$A$63:$A$108)*'Cálculos'!$D$98)/(('Cálculos'!$D$197+(($C91)-$A$63:$A$108)*'Cálculos'!$D$98)+1400)+'Cálculos'!$D$123)*'Cálculos'!$D$236)+('Cálculos'!$D$204*(1+'Cálculos'!$D$205+$A$63:$A$108*('Cálculos'!$D$290=3)*'Cálculos'!$D$103)+'Cálculos'!$D$206)*('Cálculos'!$D$227+'Cálculos'!$D$124*(1+2.78*('Cálculos'!$D$197+(($C91)-$A$63:$A$108)*'Cálculos'!$D$98)/(('Cálculos'!$D$197+(($C91)-$A$63:$A$108)*'Cálculos'!$D$98)+1400)+'Cálculos'!$D$122)*'Cálculos'!$D$232+'Cálculos'!$D$125*(1+2.78*('Cálculos'!$D$197+(($C91)-$A$63:$A$108)*'Cálculos'!$D$98)/(('Cálculos'!$D$197+(($C91)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91)-$A$63:$A$108)*'Cálculos'!$D$98)/(('Cálculos'!$D$198+(($C91)-$A$63:$A$108)*'Cálculos'!$D$98)+1400)+'Cálculos'!$D$122)*'Cálculos'!$D$244+'Cálculos'!$D$125*(1+2.78*('Cálculos'!$D$198+(($C91)-$A$63:$A$108)*'Cálculos'!$D$98)/(('Cálculos'!$D$198+(($C91)-$A$63:$A$108)*'Cálculos'!$D$98)+1400)+'Cálculos'!$D$123)*'Cálculos'!$D$249)+('Cálculos'!$D$198+(($C91)-$A$63:$A$108)*'Cálculos'!$D$98)*('Cálculos'!$D$240+'Cálculos'!$D$124*(1+2.78*('Cálculos'!$D$198+(($C91)-$A$63:$A$108)*'Cálculos'!$D$98)/(('Cálculos'!$D$198+(($C91)-$A$63:$A$108)*'Cálculos'!$D$98)+1400)+'Cálculos'!$D$122)*'Cálculos'!$D$245+'Cálculos'!$D$125*(1+2.78*('Cálculos'!$D$198+(($C91)-$A$63:$A$108)*'Cálculos'!$D$98)/(('Cálculos'!$D$198+(($C91)-$A$63:$A$108)*'Cálculos'!$D$98)+1400)+'Cálculos'!$D$123)*'Cálculos'!$D$250)+('Cálculos'!$D$201*(1+'Cálculos'!$D$202+$A$63:$A$108*('Cálculos'!$D$290=2)*'Cálculos'!$D$101)+'Cálculos'!$D$203)*('Cálculos'!$D$241+'Cálculos'!$D$124*(1+2.78*('Cálculos'!$D$198+(($C91)-$A$63:$A$108)*'Cálculos'!$D$98)/(('Cálculos'!$D$198+(($C91)-$A$63:$A$108)*'Cálculos'!$D$98)+1400)+'Cálculos'!$D$122)*'Cálculos'!$D$246+'Cálculos'!$D$125*(1+2.78*('Cálculos'!$D$198+(($C91)-$A$63:$A$108)*'Cálculos'!$D$98)/(('Cálculos'!$D$198+(($C91)-$A$63:$A$108)*'Cálculos'!$D$98)+1400)+'Cálculos'!$D$123)*'Cálculos'!$D$251)+('Cálculos'!$D$204*(1+'Cálculos'!$D$205+$A$63:$A$108*('Cálculos'!$D$290=3)*'Cálculos'!$D$103)+'Cálculos'!$D$206)*('Cálculos'!$D$242+'Cálculos'!$D$124*(1+2.78*('Cálculos'!$D$198+(($C91)-$A$63:$A$108)*'Cálculos'!$D$98)/(('Cálculos'!$D$198+(($C91)-$A$63:$A$108)*'Cálculos'!$D$98)+1400)+'Cálculos'!$D$122)*'Cálculos'!$D$247+'Cálculos'!$D$125*(1+2.78*('Cálculos'!$D$198+(($C91)-$A$63:$A$108)*'Cálculos'!$D$98)/(('Cálculos'!$D$198+(($C91)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91)-$A$63:$A$108)*'Cálculos'!$D$98)/(('Cálculos'!$D$199+(($C91)-$A$63:$A$108)*'Cálculos'!$D$98)+1400)+'Cálculos'!$D$122)*'Cálculos'!$D$259+'Cálculos'!$D$125*(1+2.78*('Cálculos'!$D$199+(($C91)-$A$63:$A$108)*'Cálculos'!$D$98)/(('Cálculos'!$D$199+(($C91)-$A$63:$A$108)*'Cálculos'!$D$98)+1400)+'Cálculos'!$D$123)*'Cálculos'!$D$264)+('Cálculos'!$D$199+(($C91)-$A$63:$A$108)*'Cálculos'!$D$98)*('Cálculos'!$D$255+'Cálculos'!$D$124*(1+2.78*('Cálculos'!$D$199+(($C91)-$A$63:$A$108)*'Cálculos'!$D$98)/(('Cálculos'!$D$199+(($C91)-$A$63:$A$108)*'Cálculos'!$D$98)+1400)+'Cálculos'!$D$122)*'Cálculos'!$D$260+'Cálculos'!$D$125*(1+2.78*('Cálculos'!$D$199+(($C91)-$A$63:$A$108)*'Cálculos'!$D$98)/(('Cálculos'!$D$199+(($C91)-$A$63:$A$108)*'Cálculos'!$D$98)+1400)+'Cálculos'!$D$123)*'Cálculos'!$D$265)+('Cálculos'!$D$201*(1+'Cálculos'!$D$202+$A$63:$A$108*('Cálculos'!$D$290=2)*'Cálculos'!$D$101)+'Cálculos'!$D$203)*('Cálculos'!$D$256+'Cálculos'!$D$124*(1+2.78*('Cálculos'!$D$199+(($C91)-$A$63:$A$108)*'Cálculos'!$D$98)/(('Cálculos'!$D$199+(($C91)-$A$63:$A$108)*'Cálculos'!$D$98)+1400)+'Cálculos'!$D$122)*'Cálculos'!$D$261+'Cálculos'!$D$125*(1+2.78*('Cálculos'!$D$199+(($C91)-$A$63:$A$108)*'Cálculos'!$D$98)/(('Cálculos'!$D$199+(($C91)-$A$63:$A$108)*'Cálculos'!$D$98)+1400)+'Cálculos'!$D$123)*'Cálculos'!$D$266)+('Cálculos'!$D$204*(1+'Cálculos'!$D$205+$A$63:$A$108*('Cálculos'!$D$290=3)*'Cálculos'!$D$103)+'Cálculos'!$D$206)*('Cálculos'!$D$257+'Cálculos'!$D$124*(1+2.78*('Cálculos'!$D$199+(($C91)-$A$63:$A$108)*'Cálculos'!$D$98)/(('Cálculos'!$D$199+(($C91)-$A$63:$A$108)*'Cálculos'!$D$98)+1400)+'Cálculos'!$D$122)*'Cálculos'!$D$262+'Cálculos'!$D$125*(1+2.78*('Cálculos'!$D$199+(($C91)-$A$63:$A$108)*'Cálculos'!$D$98)/(('Cálculos'!$D$199+(($C91)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91)-$A$63:$A$108)*'Cálculos'!$D$98)/(('Cálculos'!$D$200+(($C91)-$A$63:$A$108)*'Cálculos'!$D$98)+1400)+'Cálculos'!$D$122)*'Cálculos'!$D$274+'Cálculos'!$D$125*(1+2.78*('Cálculos'!$D$200+(($C91)-$A$63:$A$108)*'Cálculos'!$D$98)/(('Cálculos'!$D$200+(($C91)-$A$63:$A$108)*'Cálculos'!$D$98)+1400)+'Cálculos'!$D$123)*'Cálculos'!$D$279)+('Cálculos'!$D$200+(($C91)-$A$63:$A$108)*'Cálculos'!$D$98)*('Cálculos'!$D$270+'Cálculos'!$D$124*(1+2.78*('Cálculos'!$D$200+(($C91)-$A$63:$A$108)*'Cálculos'!$D$98)/(('Cálculos'!$D$200+(($C91)-$A$63:$A$108)*'Cálculos'!$D$98)+1400)+'Cálculos'!$D$122)*'Cálculos'!$D$275+'Cálculos'!$D$125*(1+2.78*('Cálculos'!$D$200+(($C91)-$A$63:$A$108)*'Cálculos'!$D$98)/(('Cálculos'!$D$200+(($C91)-$A$63:$A$108)*'Cálculos'!$D$98)+1400)+'Cálculos'!$D$123)*'Cálculos'!$D$280)+('Cálculos'!$D$201*(1+'Cálculos'!$D$202+$A$63:$A$108*('Cálculos'!$D$290=2)*'Cálculos'!$D$101)+'Cálculos'!$D$203)*('Cálculos'!$D$271+'Cálculos'!$D$124*(1+2.78*('Cálculos'!$D$200+(($C91)-$A$63:$A$108)*'Cálculos'!$D$98)/(('Cálculos'!$D$200+(($C91)-$A$63:$A$108)*'Cálculos'!$D$98)+1400)+'Cálculos'!$D$122)*'Cálculos'!$D$276+'Cálculos'!$D$125*(1+2.78*('Cálculos'!$D$200+(($C91)-$A$63:$A$108)*'Cálculos'!$D$98)/(('Cálculos'!$D$200+(($C91)-$A$63:$A$108)*'Cálculos'!$D$98)+1400)+'Cálculos'!$D$123)*'Cálculos'!$D$281)+('Cálculos'!$D$204*(1+'Cálculos'!$D$205+$A$63:$A$108*('Cálculos'!$D$290=3)*'Cálculos'!$D$103)+'Cálculos'!$D$206)*('Cálculos'!$D$272+'Cálculos'!$D$124*(1+2.78*('Cálculos'!$D$200+(($C91)-$A$63:$A$108)*'Cálculos'!$D$98)/(('Cálculos'!$D$200+(($C91)-$A$63:$A$108)*'Cálculos'!$D$98)+1400)+'Cálculos'!$D$122)*'Cálculos'!$D$277+'Cálculos'!$D$125*(1+2.78*('Cálculos'!$D$200+(($C91)-$A$63:$A$108)*'Cálculos'!$D$98)/(('Cálculos'!$D$200+(($C91)-$A$63:$A$108)*'Cálculos'!$D$98)+1400)+'Cálculos'!$D$123)*'Cálculos'!$D$282)))))</f>
        <v>0</v>
      </c>
      <c r="E91" s="32">
        <f>IF(OR($C91&lt;0,'Cálculos'!$D$6=""),0,$B91*$D91)</f>
        <v>0</v>
      </c>
      <c r="F91" s="2"/>
      <c r="G91" s="30">
        <f>($A91&lt;=$B$110)*($A91&lt;='Cálculos'!$D$294)*(($B$110)-$A91&lt;='Cálculos'!$D$295)*(1+MIN(('Cálculos'!$D$207+$A91*'Cálculos'!$D$95),1)*('Cálculos'!$D$208+(($B$110)-$A91)*'Cálculos'!$D$96))</f>
        <v>0</v>
      </c>
      <c r="H91" s="31">
        <f>IF($B$111&lt;0,0,($A91&lt;=$B$111)*($A91&lt;='Cálculos'!$D$301)*(($B$111)-$A91&lt;='Cálculos'!$D$297)*(('Cálculos'!$D$185*(1+'Cálculos'!$D$186+$A91*('Cálculos'!$D$290=1)*'Cálculos'!$D$97+'Cálculos'!$D$305)+'Cálculos'!$D$191)*('Cálculos'!$D$209+'Cálculos'!$D$124*(1+2.78*('Cálculos'!$D$196+(($B$111)-$A91)*'Cálculos'!$D$98)/(('Cálculos'!$D$196+(($B$111)-$A91)*'Cálculos'!$D$98)+1400)+'Cálculos'!$D$122)*'Cálculos'!$D$214+'Cálculos'!$D$125*(1+2.78*('Cálculos'!$D$196+(($B$111)-$A91)*'Cálculos'!$D$98)/(('Cálculos'!$D$196+(($B$111)-$A91)*'Cálculos'!$D$98)+1400)+'Cálculos'!$D$123)*'Cálculos'!$D$219)+('Cálculos'!$D$196+(($B$111)-$A91)*'Cálculos'!$D$98)*('Cálculos'!$D$210+'Cálculos'!$D$124*(1+2.78*('Cálculos'!$D$196+(($B$111)-$A91)*'Cálculos'!$D$98)/(('Cálculos'!$D$196+(($B$111)-$A91)*'Cálculos'!$D$98)+1400)+'Cálculos'!$D$122)*'Cálculos'!$D$215+'Cálculos'!$D$125*(1+2.78*('Cálculos'!$D$196+(($B$111)-$A91)*'Cálculos'!$D$98)/(('Cálculos'!$D$196+(($B$111)-$A91)*'Cálculos'!$D$98)+1400)+'Cálculos'!$D$123)*'Cálculos'!$D$220)+('Cálculos'!$D$201*(1+'Cálculos'!$D$202+$A91*('Cálculos'!$D$290=2)*'Cálculos'!$D$101)+'Cálculos'!$D$203)*('Cálculos'!$D$211+'Cálculos'!$D$124*(1+2.78*('Cálculos'!$D$196+(($B$111)-$A91)*'Cálculos'!$D$98)/(('Cálculos'!$D$196+(($B$111)-$A91)*'Cálculos'!$D$98)+1400)+'Cálculos'!$D$122)*'Cálculos'!$D$216+'Cálculos'!$D$125*(1+2.78*('Cálculos'!$D$196+(($B$111)-$A91)*'Cálculos'!$D$98)/(('Cálculos'!$D$196+(($B$111)-$A91)*'Cálculos'!$D$98)+1400)+'Cálculos'!$D$123)*'Cálculos'!$D$221)+('Cálculos'!$D$204*(1+'Cálculos'!$D$205+$A91*('Cálculos'!$D$290=3)*'Cálculos'!$D$103)+'Cálculos'!$D$206)*('Cálculos'!$D$212+'Cálculos'!$D$124*(1+2.78*('Cálculos'!$D$196+(($B$111)-$A91)*'Cálculos'!$D$98)/(('Cálculos'!$D$196+(($B$111)-$A91)*'Cálculos'!$D$98)+1400)+'Cálculos'!$D$122)*'Cálculos'!$D$217+'Cálculos'!$D$125*(1+2.78*('Cálculos'!$D$196+(($B$111)-$A91)*'Cálculos'!$D$98)/(('Cálculos'!$D$196+(($B$111)-$A91)*'Cálculos'!$D$98)+1400)+'Cálculos'!$D$123)*'Cálculos'!$D$222)+('Cálculos'!$D$185*(1+'Cálculos'!$D$187+$A91*('Cálculos'!$D$290=1)*'Cálculos'!$D$97+'Cálculos'!$D$305)+'Cálculos'!$D$192)*('Cálculos'!$D$224+'Cálculos'!$D$124*(1+2.78*('Cálculos'!$D$197+(($B$111)-$A91)*'Cálculos'!$D$98)/(('Cálculos'!$D$197+(($B$111)-$A91)*'Cálculos'!$D$98)+1400)+'Cálculos'!$D$122)*'Cálculos'!$D$229+'Cálculos'!$D$125*(1+2.78*('Cálculos'!$D$197+(($B$111)-$A91)*'Cálculos'!$D$98)/(('Cálculos'!$D$197+(($B$111)-$A91)*'Cálculos'!$D$98)+1400)+'Cálculos'!$D$123)*'Cálculos'!$D$234)+('Cálculos'!$D$197+(($B$111)-$A91)*'Cálculos'!$D$98)*('Cálculos'!$D$225+'Cálculos'!$D$124*(1+2.78*('Cálculos'!$D$197+(($B$111)-$A91)*'Cálculos'!$D$98)/(('Cálculos'!$D$197+(($B$111)-$A91)*'Cálculos'!$D$98)+1400)+'Cálculos'!$D$122)*'Cálculos'!$D$230+'Cálculos'!$D$125*(1+2.78*('Cálculos'!$D$197+(($B$111)-$A91)*'Cálculos'!$D$98)/(('Cálculos'!$D$197+(($B$111)-$A91)*'Cálculos'!$D$98)+1400)+'Cálculos'!$D$123)*'Cálculos'!$D$235)+('Cálculos'!$D$201*(1+'Cálculos'!$D$202+$A91*('Cálculos'!$D$290=2)*'Cálculos'!$D$101)+'Cálculos'!$D$203)*('Cálculos'!$D$226+'Cálculos'!$D$124*(1+2.78*('Cálculos'!$D$197+(($B$111)-$A91)*'Cálculos'!$D$98)/(('Cálculos'!$D$197+(($B$111)-$A91)*'Cálculos'!$D$98)+1400)+'Cálculos'!$D$122)*'Cálculos'!$D$231+'Cálculos'!$D$125*(1+2.78*('Cálculos'!$D$197+(($B$111)-$A91)*'Cálculos'!$D$98)/(('Cálculos'!$D$197+(($B$111)-$A91)*'Cálculos'!$D$98)+1400)+'Cálculos'!$D$123)*'Cálculos'!$D$236)+('Cálculos'!$D$204*(1+'Cálculos'!$D$205+$A91*('Cálculos'!$D$290=3)*'Cálculos'!$D$103)+'Cálculos'!$D$206)*('Cálculos'!$D$227+'Cálculos'!$D$124*(1+2.78*('Cálculos'!$D$197+(($B$111)-$A91)*'Cálculos'!$D$98)/(('Cálculos'!$D$197+(($B$111)-$A91)*'Cálculos'!$D$98)+1400)+'Cálculos'!$D$122)*'Cálculos'!$D$232+'Cálculos'!$D$125*(1+2.78*('Cálculos'!$D$197+(($B$111)-$A91)*'Cálculos'!$D$98)/(('Cálculos'!$D$197+(($B$111)-$A91)*'Cálculos'!$D$98)+1400)+'Cálculos'!$D$123)*'Cálculos'!$D$237)+('Cálculos'!$D$185*(1+'Cálculos'!$D$188+$A91*('Cálculos'!$D$290=1)*'Cálculos'!$D$97+'Cálculos'!$D$305)+'Cálculos'!$D$193)*('Cálculos'!$D$239+'Cálculos'!$D$124*(1+2.78*('Cálculos'!$D$198+(($B$111)-$A91)*'Cálculos'!$D$98)/(('Cálculos'!$D$198+(($B$111)-$A91)*'Cálculos'!$D$98)+1400)+'Cálculos'!$D$122)*'Cálculos'!$D$244+'Cálculos'!$D$125*(1+2.78*('Cálculos'!$D$198+(($B$111)-$A91)*'Cálculos'!$D$98)/(('Cálculos'!$D$198+(($B$111)-$A91)*'Cálculos'!$D$98)+1400)+'Cálculos'!$D$123)*'Cálculos'!$D$249)+('Cálculos'!$D$198+(($B$111)-$A91)*'Cálculos'!$D$98)*('Cálculos'!$D$240+'Cálculos'!$D$124*(1+2.78*('Cálculos'!$D$198+(($B$111)-$A91)*'Cálculos'!$D$98)/(('Cálculos'!$D$198+(($B$111)-$A91)*'Cálculos'!$D$98)+1400)+'Cálculos'!$D$122)*'Cálculos'!$D$245+'Cálculos'!$D$125*(1+2.78*('Cálculos'!$D$198+(($B$111)-$A91)*'Cálculos'!$D$98)/(('Cálculos'!$D$198+(($B$111)-$A91)*'Cálculos'!$D$98)+1400)+'Cálculos'!$D$123)*'Cálculos'!$D$250)+('Cálculos'!$D$201*(1+'Cálculos'!$D$202+$A91*('Cálculos'!$D$290=2)*'Cálculos'!$D$101)+'Cálculos'!$D$203)*('Cálculos'!$D$241+'Cálculos'!$D$124*(1+2.78*('Cálculos'!$D$198+(($B$111)-$A91)*'Cálculos'!$D$98)/(('Cálculos'!$D$198+(($B$111)-$A91)*'Cálculos'!$D$98)+1400)+'Cálculos'!$D$122)*'Cálculos'!$D$246+'Cálculos'!$D$125*(1+2.78*('Cálculos'!$D$198+(($B$111)-$A91)*'Cálculos'!$D$98)/(('Cálculos'!$D$198+(($B$111)-$A91)*'Cálculos'!$D$98)+1400)+'Cálculos'!$D$123)*'Cálculos'!$D$251)+('Cálculos'!$D$204*(1+'Cálculos'!$D$205+$A91*('Cálculos'!$D$290=3)*'Cálculos'!$D$103)+'Cálculos'!$D$206)*('Cálculos'!$D$242+'Cálculos'!$D$124*(1+2.78*('Cálculos'!$D$198+(($B$111)-$A91)*'Cálculos'!$D$98)/(('Cálculos'!$D$198+(($B$111)-$A91)*'Cálculos'!$D$98)+1400)+'Cálculos'!$D$122)*'Cálculos'!$D$247+'Cálculos'!$D$125*(1+2.78*('Cálculos'!$D$198+(($B$111)-$A91)*'Cálculos'!$D$98)/(('Cálculos'!$D$198+(($B$111)-$A91)*'Cálculos'!$D$98)+1400)+'Cálculos'!$D$123)*'Cálculos'!$D$252)+('Cálculos'!$D$185*(1+'Cálculos'!$D$189+$A91*('Cálculos'!$D$290=1)*'Cálculos'!$D$97+'Cálculos'!$D$305)+'Cálculos'!$D$194)*('Cálculos'!$D$254+'Cálculos'!$D$124*(1+2.78*('Cálculos'!$D$199+(($B$111)-$A91)*'Cálculos'!$D$98)/(('Cálculos'!$D$199+(($B$111)-$A91)*'Cálculos'!$D$98)+1400)+'Cálculos'!$D$122)*'Cálculos'!$D$259+'Cálculos'!$D$125*(1+2.78*('Cálculos'!$D$199+(($B$111)-$A91)*'Cálculos'!$D$98)/(('Cálculos'!$D$199+(($B$111)-$A91)*'Cálculos'!$D$98)+1400)+'Cálculos'!$D$123)*'Cálculos'!$D$264)+('Cálculos'!$D$199+(($B$111)-$A91)*'Cálculos'!$D$98)*('Cálculos'!$D$255+'Cálculos'!$D$124*(1+2.78*('Cálculos'!$D$199+(($B$111)-$A91)*'Cálculos'!$D$98)/(('Cálculos'!$D$199+(($B$111)-$A91)*'Cálculos'!$D$98)+1400)+'Cálculos'!$D$122)*'Cálculos'!$D$260+'Cálculos'!$D$125*(1+2.78*('Cálculos'!$D$199+(($B$111)-$A91)*'Cálculos'!$D$98)/(('Cálculos'!$D$199+(($B$111)-$A91)*'Cálculos'!$D$98)+1400)+'Cálculos'!$D$123)*'Cálculos'!$D$265)+('Cálculos'!$D$201*(1+'Cálculos'!$D$202+$A91*('Cálculos'!$D$290=2)*'Cálculos'!$D$101)+'Cálculos'!$D$203)*('Cálculos'!$D$256+'Cálculos'!$D$124*(1+2.78*('Cálculos'!$D$199+(($B$111)-$A91)*'Cálculos'!$D$98)/(('Cálculos'!$D$199+(($B$111)-$A91)*'Cálculos'!$D$98)+1400)+'Cálculos'!$D$122)*'Cálculos'!$D$261+'Cálculos'!$D$125*(1+2.78*('Cálculos'!$D$199+(($B$111)-$A91)*'Cálculos'!$D$98)/(('Cálculos'!$D$199+(($B$111)-$A91)*'Cálculos'!$D$98)+1400)+'Cálculos'!$D$123)*'Cálculos'!$D$266)+('Cálculos'!$D$204*(1+'Cálculos'!$D$205+$A91*('Cálculos'!$D$290=3)*'Cálculos'!$D$103)+'Cálculos'!$D$206)*('Cálculos'!$D$257+'Cálculos'!$D$124*(1+2.78*('Cálculos'!$D$199+(($B$111)-$A91)*'Cálculos'!$D$98)/(('Cálculos'!$D$199+(($B$111)-$A91)*'Cálculos'!$D$98)+1400)+'Cálculos'!$D$122)*'Cálculos'!$D$262+'Cálculos'!$D$125*(1+2.78*('Cálculos'!$D$199+(($B$111)-$A91)*'Cálculos'!$D$98)/(('Cálculos'!$D$199+(($B$111)-$A91)*'Cálculos'!$D$98)+1400)+'Cálculos'!$D$123)*'Cálculos'!$D$267)+('Cálculos'!$D$185*(1+'Cálculos'!$D$190+$A91*('Cálculos'!$D$290=1)*'Cálculos'!$D$97+'Cálculos'!$D$305)+'Cálculos'!$D$195)*('Cálculos'!$D$269+'Cálculos'!$D$124*(1+2.78*('Cálculos'!$D$200+(($B$111)-$A91)*'Cálculos'!$D$98)/(('Cálculos'!$D$200+(($B$111)-$A91)*'Cálculos'!$D$98)+1400)+'Cálculos'!$D$122)*'Cálculos'!$D$274+'Cálculos'!$D$125*(1+2.78*('Cálculos'!$D$200+(($B$111)-$A91)*'Cálculos'!$D$98)/(('Cálculos'!$D$200+(($B$111)-$A91)*'Cálculos'!$D$98)+1400)+'Cálculos'!$D$123)*'Cálculos'!$D$279)+('Cálculos'!$D$200+(($B$111)-$A91)*'Cálculos'!$D$98)*('Cálculos'!$D$270+'Cálculos'!$D$124*(1+2.78*('Cálculos'!$D$200+(($B$111)-$A91)*'Cálculos'!$D$98)/(('Cálculos'!$D$200+(($B$111)-$A91)*'Cálculos'!$D$98)+1400)+'Cálculos'!$D$122)*'Cálculos'!$D$275+'Cálculos'!$D$125*(1+2.78*('Cálculos'!$D$200+(($B$111)-$A91)*'Cálculos'!$D$98)/(('Cálculos'!$D$200+(($B$111)-$A91)*'Cálculos'!$D$98)+1400)+'Cálculos'!$D$123)*'Cálculos'!$D$280)+('Cálculos'!$D$201*(1+'Cálculos'!$D$202+$A91*('Cálculos'!$D$290=2)*'Cálculos'!$D$101)+'Cálculos'!$D$203)*('Cálculos'!$D$271+'Cálculos'!$D$124*(1+2.78*('Cálculos'!$D$200+(($B$111)-$A91)*'Cálculos'!$D$98)/(('Cálculos'!$D$200+(($B$111)-$A91)*'Cálculos'!$D$98)+1400)+'Cálculos'!$D$122)*'Cálculos'!$D$276+'Cálculos'!$D$125*(1+2.78*('Cálculos'!$D$200+(($B$111)-$A91)*'Cálculos'!$D$98)/(('Cálculos'!$D$200+(($B$111)-$A91)*'Cálculos'!$D$98)+1400)+'Cálculos'!$D$123)*'Cálculos'!$D$281)+('Cálculos'!$D$204*(1+'Cálculos'!$D$205+$A91*('Cálculos'!$D$290=3)*'Cálculos'!$D$103)+'Cálculos'!$D$206)*('Cálculos'!$D$272+'Cálculos'!$D$124*(1+2.78*('Cálculos'!$D$200+(($B$111)-$A91)*'Cálculos'!$D$98)/(('Cálculos'!$D$200+(($B$111)-$A91)*'Cálculos'!$D$98)+1400)+'Cálculos'!$D$122)*'Cálculos'!$D$277+'Cálculos'!$D$125*(1+2.78*('Cálculos'!$D$200+(($B$111)-$A91)*'Cálculos'!$D$98)/(('Cálculos'!$D$200+(($B$111)-$A91)*'Cálculos'!$D$98)+1400)+'Cálculos'!$D$123)*'Cálculos'!$D$282)))</f>
        <v>0</v>
      </c>
    </row>
    <row r="92" ht="15.75" customHeight="1">
      <c r="A92" s="2">
        <v>29.0</v>
      </c>
      <c r="B92" s="30">
        <f>SUMPRODUCT(MAX(($A$63:$A$108&lt;=$A92)*($A$63:$A$108&lt;='Cálculos'!$D$294)*(($A92)-$A$63:$A$108&lt;='Cálculos'!$D$295)*(1+(('Cálculos'!$D$207+$A$63:$A$108*'Cálculos'!$D$95)-(('Cálculos'!$D$207+$A$63:$A$108*'Cálculos'!$D$95)&gt;1)*(('Cálculos'!$D$207+$A$63:$A$108*'Cálculos'!$D$95)-1))*('Cálculos'!$D$208+(($A92)-$A$63:$A$108)*'Cálculos'!$D$96))))</f>
        <v>2.061159003</v>
      </c>
      <c r="C92" s="2">
        <f>'Cálculos'!$D$303-$A92</f>
        <v>-18</v>
      </c>
      <c r="D92" s="31">
        <f>IF($C92&lt;0,0,SUMPRODUCT(MAX(($A$63:$A$108&lt;=$C92)*($A$63:$A$108&lt;='Cálculos'!$D$301)*(($C92)-$A$63:$A$108&lt;='Cálculos'!$D$297)*(('Cálculos'!$D$185*(1+'Cálculos'!$D$186+$A$63:$A$108*('Cálculos'!$D$290=1)*'Cálculos'!$D$97+'Cálculos'!$D$305)+'Cálculos'!$D$191)*('Cálculos'!$D$209+'Cálculos'!$D$124*(1+2.78*('Cálculos'!$D$196+(($C92)-$A$63:$A$108)*'Cálculos'!$D$98)/(('Cálculos'!$D$196+(($C92)-$A$63:$A$108)*'Cálculos'!$D$98)+1400)+'Cálculos'!$D$122)*'Cálculos'!$D$214+'Cálculos'!$D$125*(1+2.78*('Cálculos'!$D$196+(($C92)-$A$63:$A$108)*'Cálculos'!$D$98)/(('Cálculos'!$D$196+(($C92)-$A$63:$A$108)*'Cálculos'!$D$98)+1400)+'Cálculos'!$D$123)*'Cálculos'!$D$219)+('Cálculos'!$D$196+(($C92)-$A$63:$A$108)*'Cálculos'!$D$98)*('Cálculos'!$D$210+'Cálculos'!$D$124*(1+2.78*('Cálculos'!$D$196+(($C92)-$A$63:$A$108)*'Cálculos'!$D$98)/(('Cálculos'!$D$196+(($C92)-$A$63:$A$108)*'Cálculos'!$D$98)+1400)+'Cálculos'!$D$122)*'Cálculos'!$D$215+'Cálculos'!$D$125*(1+2.78*('Cálculos'!$D$196+(($C92)-$A$63:$A$108)*'Cálculos'!$D$98)/(('Cálculos'!$D$196+(($C92)-$A$63:$A$108)*'Cálculos'!$D$98)+1400)+'Cálculos'!$D$123)*'Cálculos'!$D$220)+('Cálculos'!$D$201*(1+'Cálculos'!$D$202+$A$63:$A$108*('Cálculos'!$D$290=2)*'Cálculos'!$D$101)+'Cálculos'!$D$203)*('Cálculos'!$D$211+'Cálculos'!$D$124*(1+2.78*('Cálculos'!$D$196+(($C92)-$A$63:$A$108)*'Cálculos'!$D$98)/(('Cálculos'!$D$196+(($C92)-$A$63:$A$108)*'Cálculos'!$D$98)+1400)+'Cálculos'!$D$122)*'Cálculos'!$D$216+'Cálculos'!$D$125*(1+2.78*('Cálculos'!$D$196+(($C92)-$A$63:$A$108)*'Cálculos'!$D$98)/(('Cálculos'!$D$196+(($C92)-$A$63:$A$108)*'Cálculos'!$D$98)+1400)+'Cálculos'!$D$123)*'Cálculos'!$D$221)+('Cálculos'!$D$204*(1+'Cálculos'!$D$205+$A$63:$A$108*('Cálculos'!$D$290=3)*'Cálculos'!$D$103)+'Cálculos'!$D$206)*('Cálculos'!$D$212+'Cálculos'!$D$124*(1+2.78*('Cálculos'!$D$196+(($C92)-$A$63:$A$108)*'Cálculos'!$D$98)/(('Cálculos'!$D$196+(($C92)-$A$63:$A$108)*'Cálculos'!$D$98)+1400)+'Cálculos'!$D$122)*'Cálculos'!$D$217+'Cálculos'!$D$125*(1+2.78*('Cálculos'!$D$196+(($C92)-$A$63:$A$108)*'Cálculos'!$D$98)/(('Cálculos'!$D$196+(($C92)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92)-$A$63:$A$108)*'Cálculos'!$D$98)/(('Cálculos'!$D$197+(($C92)-$A$63:$A$108)*'Cálculos'!$D$98)+1400)+'Cálculos'!$D$122)*'Cálculos'!$D$229+'Cálculos'!$D$125*(1+2.78*('Cálculos'!$D$197+(($C92)-$A$63:$A$108)*'Cálculos'!$D$98)/(('Cálculos'!$D$197+(($C92)-$A$63:$A$108)*'Cálculos'!$D$98)+1400)+'Cálculos'!$D$123)*'Cálculos'!$D$234)+('Cálculos'!$D$197+(($C92)-$A$63:$A$108)*'Cálculos'!$D$98)*('Cálculos'!$D$225+'Cálculos'!$D$124*(1+2.78*('Cálculos'!$D$197+(($C92)-$A$63:$A$108)*'Cálculos'!$D$98)/(('Cálculos'!$D$197+(($C92)-$A$63:$A$108)*'Cálculos'!$D$98)+1400)+'Cálculos'!$D$122)*'Cálculos'!$D$230+'Cálculos'!$D$125*(1+2.78*('Cálculos'!$D$197+(($C92)-$A$63:$A$108)*'Cálculos'!$D$98)/(('Cálculos'!$D$197+(($C92)-$A$63:$A$108)*'Cálculos'!$D$98)+1400)+'Cálculos'!$D$123)*'Cálculos'!$D$235)+('Cálculos'!$D$201*(1+'Cálculos'!$D$202+$A$63:$A$108*('Cálculos'!$D$290=2)*'Cálculos'!$D$101)+'Cálculos'!$D$203)*('Cálculos'!$D$226+'Cálculos'!$D$124*(1+2.78*('Cálculos'!$D$197+(($C92)-$A$63:$A$108)*'Cálculos'!$D$98)/(('Cálculos'!$D$197+(($C92)-$A$63:$A$108)*'Cálculos'!$D$98)+1400)+'Cálculos'!$D$122)*'Cálculos'!$D$231+'Cálculos'!$D$125*(1+2.78*('Cálculos'!$D$197+(($C92)-$A$63:$A$108)*'Cálculos'!$D$98)/(('Cálculos'!$D$197+(($C92)-$A$63:$A$108)*'Cálculos'!$D$98)+1400)+'Cálculos'!$D$123)*'Cálculos'!$D$236)+('Cálculos'!$D$204*(1+'Cálculos'!$D$205+$A$63:$A$108*('Cálculos'!$D$290=3)*'Cálculos'!$D$103)+'Cálculos'!$D$206)*('Cálculos'!$D$227+'Cálculos'!$D$124*(1+2.78*('Cálculos'!$D$197+(($C92)-$A$63:$A$108)*'Cálculos'!$D$98)/(('Cálculos'!$D$197+(($C92)-$A$63:$A$108)*'Cálculos'!$D$98)+1400)+'Cálculos'!$D$122)*'Cálculos'!$D$232+'Cálculos'!$D$125*(1+2.78*('Cálculos'!$D$197+(($C92)-$A$63:$A$108)*'Cálculos'!$D$98)/(('Cálculos'!$D$197+(($C92)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92)-$A$63:$A$108)*'Cálculos'!$D$98)/(('Cálculos'!$D$198+(($C92)-$A$63:$A$108)*'Cálculos'!$D$98)+1400)+'Cálculos'!$D$122)*'Cálculos'!$D$244+'Cálculos'!$D$125*(1+2.78*('Cálculos'!$D$198+(($C92)-$A$63:$A$108)*'Cálculos'!$D$98)/(('Cálculos'!$D$198+(($C92)-$A$63:$A$108)*'Cálculos'!$D$98)+1400)+'Cálculos'!$D$123)*'Cálculos'!$D$249)+('Cálculos'!$D$198+(($C92)-$A$63:$A$108)*'Cálculos'!$D$98)*('Cálculos'!$D$240+'Cálculos'!$D$124*(1+2.78*('Cálculos'!$D$198+(($C92)-$A$63:$A$108)*'Cálculos'!$D$98)/(('Cálculos'!$D$198+(($C92)-$A$63:$A$108)*'Cálculos'!$D$98)+1400)+'Cálculos'!$D$122)*'Cálculos'!$D$245+'Cálculos'!$D$125*(1+2.78*('Cálculos'!$D$198+(($C92)-$A$63:$A$108)*'Cálculos'!$D$98)/(('Cálculos'!$D$198+(($C92)-$A$63:$A$108)*'Cálculos'!$D$98)+1400)+'Cálculos'!$D$123)*'Cálculos'!$D$250)+('Cálculos'!$D$201*(1+'Cálculos'!$D$202+$A$63:$A$108*('Cálculos'!$D$290=2)*'Cálculos'!$D$101)+'Cálculos'!$D$203)*('Cálculos'!$D$241+'Cálculos'!$D$124*(1+2.78*('Cálculos'!$D$198+(($C92)-$A$63:$A$108)*'Cálculos'!$D$98)/(('Cálculos'!$D$198+(($C92)-$A$63:$A$108)*'Cálculos'!$D$98)+1400)+'Cálculos'!$D$122)*'Cálculos'!$D$246+'Cálculos'!$D$125*(1+2.78*('Cálculos'!$D$198+(($C92)-$A$63:$A$108)*'Cálculos'!$D$98)/(('Cálculos'!$D$198+(($C92)-$A$63:$A$108)*'Cálculos'!$D$98)+1400)+'Cálculos'!$D$123)*'Cálculos'!$D$251)+('Cálculos'!$D$204*(1+'Cálculos'!$D$205+$A$63:$A$108*('Cálculos'!$D$290=3)*'Cálculos'!$D$103)+'Cálculos'!$D$206)*('Cálculos'!$D$242+'Cálculos'!$D$124*(1+2.78*('Cálculos'!$D$198+(($C92)-$A$63:$A$108)*'Cálculos'!$D$98)/(('Cálculos'!$D$198+(($C92)-$A$63:$A$108)*'Cálculos'!$D$98)+1400)+'Cálculos'!$D$122)*'Cálculos'!$D$247+'Cálculos'!$D$125*(1+2.78*('Cálculos'!$D$198+(($C92)-$A$63:$A$108)*'Cálculos'!$D$98)/(('Cálculos'!$D$198+(($C92)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92)-$A$63:$A$108)*'Cálculos'!$D$98)/(('Cálculos'!$D$199+(($C92)-$A$63:$A$108)*'Cálculos'!$D$98)+1400)+'Cálculos'!$D$122)*'Cálculos'!$D$259+'Cálculos'!$D$125*(1+2.78*('Cálculos'!$D$199+(($C92)-$A$63:$A$108)*'Cálculos'!$D$98)/(('Cálculos'!$D$199+(($C92)-$A$63:$A$108)*'Cálculos'!$D$98)+1400)+'Cálculos'!$D$123)*'Cálculos'!$D$264)+('Cálculos'!$D$199+(($C92)-$A$63:$A$108)*'Cálculos'!$D$98)*('Cálculos'!$D$255+'Cálculos'!$D$124*(1+2.78*('Cálculos'!$D$199+(($C92)-$A$63:$A$108)*'Cálculos'!$D$98)/(('Cálculos'!$D$199+(($C92)-$A$63:$A$108)*'Cálculos'!$D$98)+1400)+'Cálculos'!$D$122)*'Cálculos'!$D$260+'Cálculos'!$D$125*(1+2.78*('Cálculos'!$D$199+(($C92)-$A$63:$A$108)*'Cálculos'!$D$98)/(('Cálculos'!$D$199+(($C92)-$A$63:$A$108)*'Cálculos'!$D$98)+1400)+'Cálculos'!$D$123)*'Cálculos'!$D$265)+('Cálculos'!$D$201*(1+'Cálculos'!$D$202+$A$63:$A$108*('Cálculos'!$D$290=2)*'Cálculos'!$D$101)+'Cálculos'!$D$203)*('Cálculos'!$D$256+'Cálculos'!$D$124*(1+2.78*('Cálculos'!$D$199+(($C92)-$A$63:$A$108)*'Cálculos'!$D$98)/(('Cálculos'!$D$199+(($C92)-$A$63:$A$108)*'Cálculos'!$D$98)+1400)+'Cálculos'!$D$122)*'Cálculos'!$D$261+'Cálculos'!$D$125*(1+2.78*('Cálculos'!$D$199+(($C92)-$A$63:$A$108)*'Cálculos'!$D$98)/(('Cálculos'!$D$199+(($C92)-$A$63:$A$108)*'Cálculos'!$D$98)+1400)+'Cálculos'!$D$123)*'Cálculos'!$D$266)+('Cálculos'!$D$204*(1+'Cálculos'!$D$205+$A$63:$A$108*('Cálculos'!$D$290=3)*'Cálculos'!$D$103)+'Cálculos'!$D$206)*('Cálculos'!$D$257+'Cálculos'!$D$124*(1+2.78*('Cálculos'!$D$199+(($C92)-$A$63:$A$108)*'Cálculos'!$D$98)/(('Cálculos'!$D$199+(($C92)-$A$63:$A$108)*'Cálculos'!$D$98)+1400)+'Cálculos'!$D$122)*'Cálculos'!$D$262+'Cálculos'!$D$125*(1+2.78*('Cálculos'!$D$199+(($C92)-$A$63:$A$108)*'Cálculos'!$D$98)/(('Cálculos'!$D$199+(($C92)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92)-$A$63:$A$108)*'Cálculos'!$D$98)/(('Cálculos'!$D$200+(($C92)-$A$63:$A$108)*'Cálculos'!$D$98)+1400)+'Cálculos'!$D$122)*'Cálculos'!$D$274+'Cálculos'!$D$125*(1+2.78*('Cálculos'!$D$200+(($C92)-$A$63:$A$108)*'Cálculos'!$D$98)/(('Cálculos'!$D$200+(($C92)-$A$63:$A$108)*'Cálculos'!$D$98)+1400)+'Cálculos'!$D$123)*'Cálculos'!$D$279)+('Cálculos'!$D$200+(($C92)-$A$63:$A$108)*'Cálculos'!$D$98)*('Cálculos'!$D$270+'Cálculos'!$D$124*(1+2.78*('Cálculos'!$D$200+(($C92)-$A$63:$A$108)*'Cálculos'!$D$98)/(('Cálculos'!$D$200+(($C92)-$A$63:$A$108)*'Cálculos'!$D$98)+1400)+'Cálculos'!$D$122)*'Cálculos'!$D$275+'Cálculos'!$D$125*(1+2.78*('Cálculos'!$D$200+(($C92)-$A$63:$A$108)*'Cálculos'!$D$98)/(('Cálculos'!$D$200+(($C92)-$A$63:$A$108)*'Cálculos'!$D$98)+1400)+'Cálculos'!$D$123)*'Cálculos'!$D$280)+('Cálculos'!$D$201*(1+'Cálculos'!$D$202+$A$63:$A$108*('Cálculos'!$D$290=2)*'Cálculos'!$D$101)+'Cálculos'!$D$203)*('Cálculos'!$D$271+'Cálculos'!$D$124*(1+2.78*('Cálculos'!$D$200+(($C92)-$A$63:$A$108)*'Cálculos'!$D$98)/(('Cálculos'!$D$200+(($C92)-$A$63:$A$108)*'Cálculos'!$D$98)+1400)+'Cálculos'!$D$122)*'Cálculos'!$D$276+'Cálculos'!$D$125*(1+2.78*('Cálculos'!$D$200+(($C92)-$A$63:$A$108)*'Cálculos'!$D$98)/(('Cálculos'!$D$200+(($C92)-$A$63:$A$108)*'Cálculos'!$D$98)+1400)+'Cálculos'!$D$123)*'Cálculos'!$D$281)+('Cálculos'!$D$204*(1+'Cálculos'!$D$205+$A$63:$A$108*('Cálculos'!$D$290=3)*'Cálculos'!$D$103)+'Cálculos'!$D$206)*('Cálculos'!$D$272+'Cálculos'!$D$124*(1+2.78*('Cálculos'!$D$200+(($C92)-$A$63:$A$108)*'Cálculos'!$D$98)/(('Cálculos'!$D$200+(($C92)-$A$63:$A$108)*'Cálculos'!$D$98)+1400)+'Cálculos'!$D$122)*'Cálculos'!$D$277+'Cálculos'!$D$125*(1+2.78*('Cálculos'!$D$200+(($C92)-$A$63:$A$108)*'Cálculos'!$D$98)/(('Cálculos'!$D$200+(($C92)-$A$63:$A$108)*'Cálculos'!$D$98)+1400)+'Cálculos'!$D$123)*'Cálculos'!$D$282)))))</f>
        <v>0</v>
      </c>
      <c r="E92" s="32">
        <f>IF(OR($C92&lt;0,'Cálculos'!$D$6=""),0,$B92*$D92)</f>
        <v>0</v>
      </c>
      <c r="F92" s="2"/>
      <c r="G92" s="30">
        <f>($A92&lt;=$B$110)*($A92&lt;='Cálculos'!$D$294)*(($B$110)-$A92&lt;='Cálculos'!$D$295)*(1+MIN(('Cálculos'!$D$207+$A92*'Cálculos'!$D$95),1)*('Cálculos'!$D$208+(($B$110)-$A92)*'Cálculos'!$D$96))</f>
        <v>0</v>
      </c>
      <c r="H92" s="31">
        <f>IF($B$111&lt;0,0,($A92&lt;=$B$111)*($A92&lt;='Cálculos'!$D$301)*(($B$111)-$A92&lt;='Cálculos'!$D$297)*(('Cálculos'!$D$185*(1+'Cálculos'!$D$186+$A92*('Cálculos'!$D$290=1)*'Cálculos'!$D$97+'Cálculos'!$D$305)+'Cálculos'!$D$191)*('Cálculos'!$D$209+'Cálculos'!$D$124*(1+2.78*('Cálculos'!$D$196+(($B$111)-$A92)*'Cálculos'!$D$98)/(('Cálculos'!$D$196+(($B$111)-$A92)*'Cálculos'!$D$98)+1400)+'Cálculos'!$D$122)*'Cálculos'!$D$214+'Cálculos'!$D$125*(1+2.78*('Cálculos'!$D$196+(($B$111)-$A92)*'Cálculos'!$D$98)/(('Cálculos'!$D$196+(($B$111)-$A92)*'Cálculos'!$D$98)+1400)+'Cálculos'!$D$123)*'Cálculos'!$D$219)+('Cálculos'!$D$196+(($B$111)-$A92)*'Cálculos'!$D$98)*('Cálculos'!$D$210+'Cálculos'!$D$124*(1+2.78*('Cálculos'!$D$196+(($B$111)-$A92)*'Cálculos'!$D$98)/(('Cálculos'!$D$196+(($B$111)-$A92)*'Cálculos'!$D$98)+1400)+'Cálculos'!$D$122)*'Cálculos'!$D$215+'Cálculos'!$D$125*(1+2.78*('Cálculos'!$D$196+(($B$111)-$A92)*'Cálculos'!$D$98)/(('Cálculos'!$D$196+(($B$111)-$A92)*'Cálculos'!$D$98)+1400)+'Cálculos'!$D$123)*'Cálculos'!$D$220)+('Cálculos'!$D$201*(1+'Cálculos'!$D$202+$A92*('Cálculos'!$D$290=2)*'Cálculos'!$D$101)+'Cálculos'!$D$203)*('Cálculos'!$D$211+'Cálculos'!$D$124*(1+2.78*('Cálculos'!$D$196+(($B$111)-$A92)*'Cálculos'!$D$98)/(('Cálculos'!$D$196+(($B$111)-$A92)*'Cálculos'!$D$98)+1400)+'Cálculos'!$D$122)*'Cálculos'!$D$216+'Cálculos'!$D$125*(1+2.78*('Cálculos'!$D$196+(($B$111)-$A92)*'Cálculos'!$D$98)/(('Cálculos'!$D$196+(($B$111)-$A92)*'Cálculos'!$D$98)+1400)+'Cálculos'!$D$123)*'Cálculos'!$D$221)+('Cálculos'!$D$204*(1+'Cálculos'!$D$205+$A92*('Cálculos'!$D$290=3)*'Cálculos'!$D$103)+'Cálculos'!$D$206)*('Cálculos'!$D$212+'Cálculos'!$D$124*(1+2.78*('Cálculos'!$D$196+(($B$111)-$A92)*'Cálculos'!$D$98)/(('Cálculos'!$D$196+(($B$111)-$A92)*'Cálculos'!$D$98)+1400)+'Cálculos'!$D$122)*'Cálculos'!$D$217+'Cálculos'!$D$125*(1+2.78*('Cálculos'!$D$196+(($B$111)-$A92)*'Cálculos'!$D$98)/(('Cálculos'!$D$196+(($B$111)-$A92)*'Cálculos'!$D$98)+1400)+'Cálculos'!$D$123)*'Cálculos'!$D$222)+('Cálculos'!$D$185*(1+'Cálculos'!$D$187+$A92*('Cálculos'!$D$290=1)*'Cálculos'!$D$97+'Cálculos'!$D$305)+'Cálculos'!$D$192)*('Cálculos'!$D$224+'Cálculos'!$D$124*(1+2.78*('Cálculos'!$D$197+(($B$111)-$A92)*'Cálculos'!$D$98)/(('Cálculos'!$D$197+(($B$111)-$A92)*'Cálculos'!$D$98)+1400)+'Cálculos'!$D$122)*'Cálculos'!$D$229+'Cálculos'!$D$125*(1+2.78*('Cálculos'!$D$197+(($B$111)-$A92)*'Cálculos'!$D$98)/(('Cálculos'!$D$197+(($B$111)-$A92)*'Cálculos'!$D$98)+1400)+'Cálculos'!$D$123)*'Cálculos'!$D$234)+('Cálculos'!$D$197+(($B$111)-$A92)*'Cálculos'!$D$98)*('Cálculos'!$D$225+'Cálculos'!$D$124*(1+2.78*('Cálculos'!$D$197+(($B$111)-$A92)*'Cálculos'!$D$98)/(('Cálculos'!$D$197+(($B$111)-$A92)*'Cálculos'!$D$98)+1400)+'Cálculos'!$D$122)*'Cálculos'!$D$230+'Cálculos'!$D$125*(1+2.78*('Cálculos'!$D$197+(($B$111)-$A92)*'Cálculos'!$D$98)/(('Cálculos'!$D$197+(($B$111)-$A92)*'Cálculos'!$D$98)+1400)+'Cálculos'!$D$123)*'Cálculos'!$D$235)+('Cálculos'!$D$201*(1+'Cálculos'!$D$202+$A92*('Cálculos'!$D$290=2)*'Cálculos'!$D$101)+'Cálculos'!$D$203)*('Cálculos'!$D$226+'Cálculos'!$D$124*(1+2.78*('Cálculos'!$D$197+(($B$111)-$A92)*'Cálculos'!$D$98)/(('Cálculos'!$D$197+(($B$111)-$A92)*'Cálculos'!$D$98)+1400)+'Cálculos'!$D$122)*'Cálculos'!$D$231+'Cálculos'!$D$125*(1+2.78*('Cálculos'!$D$197+(($B$111)-$A92)*'Cálculos'!$D$98)/(('Cálculos'!$D$197+(($B$111)-$A92)*'Cálculos'!$D$98)+1400)+'Cálculos'!$D$123)*'Cálculos'!$D$236)+('Cálculos'!$D$204*(1+'Cálculos'!$D$205+$A92*('Cálculos'!$D$290=3)*'Cálculos'!$D$103)+'Cálculos'!$D$206)*('Cálculos'!$D$227+'Cálculos'!$D$124*(1+2.78*('Cálculos'!$D$197+(($B$111)-$A92)*'Cálculos'!$D$98)/(('Cálculos'!$D$197+(($B$111)-$A92)*'Cálculos'!$D$98)+1400)+'Cálculos'!$D$122)*'Cálculos'!$D$232+'Cálculos'!$D$125*(1+2.78*('Cálculos'!$D$197+(($B$111)-$A92)*'Cálculos'!$D$98)/(('Cálculos'!$D$197+(($B$111)-$A92)*'Cálculos'!$D$98)+1400)+'Cálculos'!$D$123)*'Cálculos'!$D$237)+('Cálculos'!$D$185*(1+'Cálculos'!$D$188+$A92*('Cálculos'!$D$290=1)*'Cálculos'!$D$97+'Cálculos'!$D$305)+'Cálculos'!$D$193)*('Cálculos'!$D$239+'Cálculos'!$D$124*(1+2.78*('Cálculos'!$D$198+(($B$111)-$A92)*'Cálculos'!$D$98)/(('Cálculos'!$D$198+(($B$111)-$A92)*'Cálculos'!$D$98)+1400)+'Cálculos'!$D$122)*'Cálculos'!$D$244+'Cálculos'!$D$125*(1+2.78*('Cálculos'!$D$198+(($B$111)-$A92)*'Cálculos'!$D$98)/(('Cálculos'!$D$198+(($B$111)-$A92)*'Cálculos'!$D$98)+1400)+'Cálculos'!$D$123)*'Cálculos'!$D$249)+('Cálculos'!$D$198+(($B$111)-$A92)*'Cálculos'!$D$98)*('Cálculos'!$D$240+'Cálculos'!$D$124*(1+2.78*('Cálculos'!$D$198+(($B$111)-$A92)*'Cálculos'!$D$98)/(('Cálculos'!$D$198+(($B$111)-$A92)*'Cálculos'!$D$98)+1400)+'Cálculos'!$D$122)*'Cálculos'!$D$245+'Cálculos'!$D$125*(1+2.78*('Cálculos'!$D$198+(($B$111)-$A92)*'Cálculos'!$D$98)/(('Cálculos'!$D$198+(($B$111)-$A92)*'Cálculos'!$D$98)+1400)+'Cálculos'!$D$123)*'Cálculos'!$D$250)+('Cálculos'!$D$201*(1+'Cálculos'!$D$202+$A92*('Cálculos'!$D$290=2)*'Cálculos'!$D$101)+'Cálculos'!$D$203)*('Cálculos'!$D$241+'Cálculos'!$D$124*(1+2.78*('Cálculos'!$D$198+(($B$111)-$A92)*'Cálculos'!$D$98)/(('Cálculos'!$D$198+(($B$111)-$A92)*'Cálculos'!$D$98)+1400)+'Cálculos'!$D$122)*'Cálculos'!$D$246+'Cálculos'!$D$125*(1+2.78*('Cálculos'!$D$198+(($B$111)-$A92)*'Cálculos'!$D$98)/(('Cálculos'!$D$198+(($B$111)-$A92)*'Cálculos'!$D$98)+1400)+'Cálculos'!$D$123)*'Cálculos'!$D$251)+('Cálculos'!$D$204*(1+'Cálculos'!$D$205+$A92*('Cálculos'!$D$290=3)*'Cálculos'!$D$103)+'Cálculos'!$D$206)*('Cálculos'!$D$242+'Cálculos'!$D$124*(1+2.78*('Cálculos'!$D$198+(($B$111)-$A92)*'Cálculos'!$D$98)/(('Cálculos'!$D$198+(($B$111)-$A92)*'Cálculos'!$D$98)+1400)+'Cálculos'!$D$122)*'Cálculos'!$D$247+'Cálculos'!$D$125*(1+2.78*('Cálculos'!$D$198+(($B$111)-$A92)*'Cálculos'!$D$98)/(('Cálculos'!$D$198+(($B$111)-$A92)*'Cálculos'!$D$98)+1400)+'Cálculos'!$D$123)*'Cálculos'!$D$252)+('Cálculos'!$D$185*(1+'Cálculos'!$D$189+$A92*('Cálculos'!$D$290=1)*'Cálculos'!$D$97+'Cálculos'!$D$305)+'Cálculos'!$D$194)*('Cálculos'!$D$254+'Cálculos'!$D$124*(1+2.78*('Cálculos'!$D$199+(($B$111)-$A92)*'Cálculos'!$D$98)/(('Cálculos'!$D$199+(($B$111)-$A92)*'Cálculos'!$D$98)+1400)+'Cálculos'!$D$122)*'Cálculos'!$D$259+'Cálculos'!$D$125*(1+2.78*('Cálculos'!$D$199+(($B$111)-$A92)*'Cálculos'!$D$98)/(('Cálculos'!$D$199+(($B$111)-$A92)*'Cálculos'!$D$98)+1400)+'Cálculos'!$D$123)*'Cálculos'!$D$264)+('Cálculos'!$D$199+(($B$111)-$A92)*'Cálculos'!$D$98)*('Cálculos'!$D$255+'Cálculos'!$D$124*(1+2.78*('Cálculos'!$D$199+(($B$111)-$A92)*'Cálculos'!$D$98)/(('Cálculos'!$D$199+(($B$111)-$A92)*'Cálculos'!$D$98)+1400)+'Cálculos'!$D$122)*'Cálculos'!$D$260+'Cálculos'!$D$125*(1+2.78*('Cálculos'!$D$199+(($B$111)-$A92)*'Cálculos'!$D$98)/(('Cálculos'!$D$199+(($B$111)-$A92)*'Cálculos'!$D$98)+1400)+'Cálculos'!$D$123)*'Cálculos'!$D$265)+('Cálculos'!$D$201*(1+'Cálculos'!$D$202+$A92*('Cálculos'!$D$290=2)*'Cálculos'!$D$101)+'Cálculos'!$D$203)*('Cálculos'!$D$256+'Cálculos'!$D$124*(1+2.78*('Cálculos'!$D$199+(($B$111)-$A92)*'Cálculos'!$D$98)/(('Cálculos'!$D$199+(($B$111)-$A92)*'Cálculos'!$D$98)+1400)+'Cálculos'!$D$122)*'Cálculos'!$D$261+'Cálculos'!$D$125*(1+2.78*('Cálculos'!$D$199+(($B$111)-$A92)*'Cálculos'!$D$98)/(('Cálculos'!$D$199+(($B$111)-$A92)*'Cálculos'!$D$98)+1400)+'Cálculos'!$D$123)*'Cálculos'!$D$266)+('Cálculos'!$D$204*(1+'Cálculos'!$D$205+$A92*('Cálculos'!$D$290=3)*'Cálculos'!$D$103)+'Cálculos'!$D$206)*('Cálculos'!$D$257+'Cálculos'!$D$124*(1+2.78*('Cálculos'!$D$199+(($B$111)-$A92)*'Cálculos'!$D$98)/(('Cálculos'!$D$199+(($B$111)-$A92)*'Cálculos'!$D$98)+1400)+'Cálculos'!$D$122)*'Cálculos'!$D$262+'Cálculos'!$D$125*(1+2.78*('Cálculos'!$D$199+(($B$111)-$A92)*'Cálculos'!$D$98)/(('Cálculos'!$D$199+(($B$111)-$A92)*'Cálculos'!$D$98)+1400)+'Cálculos'!$D$123)*'Cálculos'!$D$267)+('Cálculos'!$D$185*(1+'Cálculos'!$D$190+$A92*('Cálculos'!$D$290=1)*'Cálculos'!$D$97+'Cálculos'!$D$305)+'Cálculos'!$D$195)*('Cálculos'!$D$269+'Cálculos'!$D$124*(1+2.78*('Cálculos'!$D$200+(($B$111)-$A92)*'Cálculos'!$D$98)/(('Cálculos'!$D$200+(($B$111)-$A92)*'Cálculos'!$D$98)+1400)+'Cálculos'!$D$122)*'Cálculos'!$D$274+'Cálculos'!$D$125*(1+2.78*('Cálculos'!$D$200+(($B$111)-$A92)*'Cálculos'!$D$98)/(('Cálculos'!$D$200+(($B$111)-$A92)*'Cálculos'!$D$98)+1400)+'Cálculos'!$D$123)*'Cálculos'!$D$279)+('Cálculos'!$D$200+(($B$111)-$A92)*'Cálculos'!$D$98)*('Cálculos'!$D$270+'Cálculos'!$D$124*(1+2.78*('Cálculos'!$D$200+(($B$111)-$A92)*'Cálculos'!$D$98)/(('Cálculos'!$D$200+(($B$111)-$A92)*'Cálculos'!$D$98)+1400)+'Cálculos'!$D$122)*'Cálculos'!$D$275+'Cálculos'!$D$125*(1+2.78*('Cálculos'!$D$200+(($B$111)-$A92)*'Cálculos'!$D$98)/(('Cálculos'!$D$200+(($B$111)-$A92)*'Cálculos'!$D$98)+1400)+'Cálculos'!$D$123)*'Cálculos'!$D$280)+('Cálculos'!$D$201*(1+'Cálculos'!$D$202+$A92*('Cálculos'!$D$290=2)*'Cálculos'!$D$101)+'Cálculos'!$D$203)*('Cálculos'!$D$271+'Cálculos'!$D$124*(1+2.78*('Cálculos'!$D$200+(($B$111)-$A92)*'Cálculos'!$D$98)/(('Cálculos'!$D$200+(($B$111)-$A92)*'Cálculos'!$D$98)+1400)+'Cálculos'!$D$122)*'Cálculos'!$D$276+'Cálculos'!$D$125*(1+2.78*('Cálculos'!$D$200+(($B$111)-$A92)*'Cálculos'!$D$98)/(('Cálculos'!$D$200+(($B$111)-$A92)*'Cálculos'!$D$98)+1400)+'Cálculos'!$D$123)*'Cálculos'!$D$281)+('Cálculos'!$D$204*(1+'Cálculos'!$D$205+$A92*('Cálculos'!$D$290=3)*'Cálculos'!$D$103)+'Cálculos'!$D$206)*('Cálculos'!$D$272+'Cálculos'!$D$124*(1+2.78*('Cálculos'!$D$200+(($B$111)-$A92)*'Cálculos'!$D$98)/(('Cálculos'!$D$200+(($B$111)-$A92)*'Cálculos'!$D$98)+1400)+'Cálculos'!$D$122)*'Cálculos'!$D$277+'Cálculos'!$D$125*(1+2.78*('Cálculos'!$D$200+(($B$111)-$A92)*'Cálculos'!$D$98)/(('Cálculos'!$D$200+(($B$111)-$A92)*'Cálculos'!$D$98)+1400)+'Cálculos'!$D$123)*'Cálculos'!$D$282)))</f>
        <v>0</v>
      </c>
    </row>
    <row r="93" ht="15.75" customHeight="1">
      <c r="A93" s="2">
        <v>30.0</v>
      </c>
      <c r="B93" s="30">
        <f>SUMPRODUCT(MAX(($A$63:$A$108&lt;=$A93)*($A$63:$A$108&lt;='Cálculos'!$D$294)*(($A93)-$A$63:$A$108&lt;='Cálculos'!$D$295)*(1+(('Cálculos'!$D$207+$A$63:$A$108*'Cálculos'!$D$95)-(('Cálculos'!$D$207+$A$63:$A$108*'Cálculos'!$D$95)&gt;1)*(('Cálculos'!$D$207+$A$63:$A$108*'Cálculos'!$D$95)-1))*('Cálculos'!$D$208+(($A93)-$A$63:$A$108)*'Cálculos'!$D$96))))</f>
        <v>2.102106989</v>
      </c>
      <c r="C93" s="2">
        <f>'Cálculos'!$D$303-$A93</f>
        <v>-19</v>
      </c>
      <c r="D93" s="31">
        <f>IF($C93&lt;0,0,SUMPRODUCT(MAX(($A$63:$A$108&lt;=$C93)*($A$63:$A$108&lt;='Cálculos'!$D$301)*(($C93)-$A$63:$A$108&lt;='Cálculos'!$D$297)*(('Cálculos'!$D$185*(1+'Cálculos'!$D$186+$A$63:$A$108*('Cálculos'!$D$290=1)*'Cálculos'!$D$97+'Cálculos'!$D$305)+'Cálculos'!$D$191)*('Cálculos'!$D$209+'Cálculos'!$D$124*(1+2.78*('Cálculos'!$D$196+(($C93)-$A$63:$A$108)*'Cálculos'!$D$98)/(('Cálculos'!$D$196+(($C93)-$A$63:$A$108)*'Cálculos'!$D$98)+1400)+'Cálculos'!$D$122)*'Cálculos'!$D$214+'Cálculos'!$D$125*(1+2.78*('Cálculos'!$D$196+(($C93)-$A$63:$A$108)*'Cálculos'!$D$98)/(('Cálculos'!$D$196+(($C93)-$A$63:$A$108)*'Cálculos'!$D$98)+1400)+'Cálculos'!$D$123)*'Cálculos'!$D$219)+('Cálculos'!$D$196+(($C93)-$A$63:$A$108)*'Cálculos'!$D$98)*('Cálculos'!$D$210+'Cálculos'!$D$124*(1+2.78*('Cálculos'!$D$196+(($C93)-$A$63:$A$108)*'Cálculos'!$D$98)/(('Cálculos'!$D$196+(($C93)-$A$63:$A$108)*'Cálculos'!$D$98)+1400)+'Cálculos'!$D$122)*'Cálculos'!$D$215+'Cálculos'!$D$125*(1+2.78*('Cálculos'!$D$196+(($C93)-$A$63:$A$108)*'Cálculos'!$D$98)/(('Cálculos'!$D$196+(($C93)-$A$63:$A$108)*'Cálculos'!$D$98)+1400)+'Cálculos'!$D$123)*'Cálculos'!$D$220)+('Cálculos'!$D$201*(1+'Cálculos'!$D$202+$A$63:$A$108*('Cálculos'!$D$290=2)*'Cálculos'!$D$101)+'Cálculos'!$D$203)*('Cálculos'!$D$211+'Cálculos'!$D$124*(1+2.78*('Cálculos'!$D$196+(($C93)-$A$63:$A$108)*'Cálculos'!$D$98)/(('Cálculos'!$D$196+(($C93)-$A$63:$A$108)*'Cálculos'!$D$98)+1400)+'Cálculos'!$D$122)*'Cálculos'!$D$216+'Cálculos'!$D$125*(1+2.78*('Cálculos'!$D$196+(($C93)-$A$63:$A$108)*'Cálculos'!$D$98)/(('Cálculos'!$D$196+(($C93)-$A$63:$A$108)*'Cálculos'!$D$98)+1400)+'Cálculos'!$D$123)*'Cálculos'!$D$221)+('Cálculos'!$D$204*(1+'Cálculos'!$D$205+$A$63:$A$108*('Cálculos'!$D$290=3)*'Cálculos'!$D$103)+'Cálculos'!$D$206)*('Cálculos'!$D$212+'Cálculos'!$D$124*(1+2.78*('Cálculos'!$D$196+(($C93)-$A$63:$A$108)*'Cálculos'!$D$98)/(('Cálculos'!$D$196+(($C93)-$A$63:$A$108)*'Cálculos'!$D$98)+1400)+'Cálculos'!$D$122)*'Cálculos'!$D$217+'Cálculos'!$D$125*(1+2.78*('Cálculos'!$D$196+(($C93)-$A$63:$A$108)*'Cálculos'!$D$98)/(('Cálculos'!$D$196+(($C93)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93)-$A$63:$A$108)*'Cálculos'!$D$98)/(('Cálculos'!$D$197+(($C93)-$A$63:$A$108)*'Cálculos'!$D$98)+1400)+'Cálculos'!$D$122)*'Cálculos'!$D$229+'Cálculos'!$D$125*(1+2.78*('Cálculos'!$D$197+(($C93)-$A$63:$A$108)*'Cálculos'!$D$98)/(('Cálculos'!$D$197+(($C93)-$A$63:$A$108)*'Cálculos'!$D$98)+1400)+'Cálculos'!$D$123)*'Cálculos'!$D$234)+('Cálculos'!$D$197+(($C93)-$A$63:$A$108)*'Cálculos'!$D$98)*('Cálculos'!$D$225+'Cálculos'!$D$124*(1+2.78*('Cálculos'!$D$197+(($C93)-$A$63:$A$108)*'Cálculos'!$D$98)/(('Cálculos'!$D$197+(($C93)-$A$63:$A$108)*'Cálculos'!$D$98)+1400)+'Cálculos'!$D$122)*'Cálculos'!$D$230+'Cálculos'!$D$125*(1+2.78*('Cálculos'!$D$197+(($C93)-$A$63:$A$108)*'Cálculos'!$D$98)/(('Cálculos'!$D$197+(($C93)-$A$63:$A$108)*'Cálculos'!$D$98)+1400)+'Cálculos'!$D$123)*'Cálculos'!$D$235)+('Cálculos'!$D$201*(1+'Cálculos'!$D$202+$A$63:$A$108*('Cálculos'!$D$290=2)*'Cálculos'!$D$101)+'Cálculos'!$D$203)*('Cálculos'!$D$226+'Cálculos'!$D$124*(1+2.78*('Cálculos'!$D$197+(($C93)-$A$63:$A$108)*'Cálculos'!$D$98)/(('Cálculos'!$D$197+(($C93)-$A$63:$A$108)*'Cálculos'!$D$98)+1400)+'Cálculos'!$D$122)*'Cálculos'!$D$231+'Cálculos'!$D$125*(1+2.78*('Cálculos'!$D$197+(($C93)-$A$63:$A$108)*'Cálculos'!$D$98)/(('Cálculos'!$D$197+(($C93)-$A$63:$A$108)*'Cálculos'!$D$98)+1400)+'Cálculos'!$D$123)*'Cálculos'!$D$236)+('Cálculos'!$D$204*(1+'Cálculos'!$D$205+$A$63:$A$108*('Cálculos'!$D$290=3)*'Cálculos'!$D$103)+'Cálculos'!$D$206)*('Cálculos'!$D$227+'Cálculos'!$D$124*(1+2.78*('Cálculos'!$D$197+(($C93)-$A$63:$A$108)*'Cálculos'!$D$98)/(('Cálculos'!$D$197+(($C93)-$A$63:$A$108)*'Cálculos'!$D$98)+1400)+'Cálculos'!$D$122)*'Cálculos'!$D$232+'Cálculos'!$D$125*(1+2.78*('Cálculos'!$D$197+(($C93)-$A$63:$A$108)*'Cálculos'!$D$98)/(('Cálculos'!$D$197+(($C93)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93)-$A$63:$A$108)*'Cálculos'!$D$98)/(('Cálculos'!$D$198+(($C93)-$A$63:$A$108)*'Cálculos'!$D$98)+1400)+'Cálculos'!$D$122)*'Cálculos'!$D$244+'Cálculos'!$D$125*(1+2.78*('Cálculos'!$D$198+(($C93)-$A$63:$A$108)*'Cálculos'!$D$98)/(('Cálculos'!$D$198+(($C93)-$A$63:$A$108)*'Cálculos'!$D$98)+1400)+'Cálculos'!$D$123)*'Cálculos'!$D$249)+('Cálculos'!$D$198+(($C93)-$A$63:$A$108)*'Cálculos'!$D$98)*('Cálculos'!$D$240+'Cálculos'!$D$124*(1+2.78*('Cálculos'!$D$198+(($C93)-$A$63:$A$108)*'Cálculos'!$D$98)/(('Cálculos'!$D$198+(($C93)-$A$63:$A$108)*'Cálculos'!$D$98)+1400)+'Cálculos'!$D$122)*'Cálculos'!$D$245+'Cálculos'!$D$125*(1+2.78*('Cálculos'!$D$198+(($C93)-$A$63:$A$108)*'Cálculos'!$D$98)/(('Cálculos'!$D$198+(($C93)-$A$63:$A$108)*'Cálculos'!$D$98)+1400)+'Cálculos'!$D$123)*'Cálculos'!$D$250)+('Cálculos'!$D$201*(1+'Cálculos'!$D$202+$A$63:$A$108*('Cálculos'!$D$290=2)*'Cálculos'!$D$101)+'Cálculos'!$D$203)*('Cálculos'!$D$241+'Cálculos'!$D$124*(1+2.78*('Cálculos'!$D$198+(($C93)-$A$63:$A$108)*'Cálculos'!$D$98)/(('Cálculos'!$D$198+(($C93)-$A$63:$A$108)*'Cálculos'!$D$98)+1400)+'Cálculos'!$D$122)*'Cálculos'!$D$246+'Cálculos'!$D$125*(1+2.78*('Cálculos'!$D$198+(($C93)-$A$63:$A$108)*'Cálculos'!$D$98)/(('Cálculos'!$D$198+(($C93)-$A$63:$A$108)*'Cálculos'!$D$98)+1400)+'Cálculos'!$D$123)*'Cálculos'!$D$251)+('Cálculos'!$D$204*(1+'Cálculos'!$D$205+$A$63:$A$108*('Cálculos'!$D$290=3)*'Cálculos'!$D$103)+'Cálculos'!$D$206)*('Cálculos'!$D$242+'Cálculos'!$D$124*(1+2.78*('Cálculos'!$D$198+(($C93)-$A$63:$A$108)*'Cálculos'!$D$98)/(('Cálculos'!$D$198+(($C93)-$A$63:$A$108)*'Cálculos'!$D$98)+1400)+'Cálculos'!$D$122)*'Cálculos'!$D$247+'Cálculos'!$D$125*(1+2.78*('Cálculos'!$D$198+(($C93)-$A$63:$A$108)*'Cálculos'!$D$98)/(('Cálculos'!$D$198+(($C93)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93)-$A$63:$A$108)*'Cálculos'!$D$98)/(('Cálculos'!$D$199+(($C93)-$A$63:$A$108)*'Cálculos'!$D$98)+1400)+'Cálculos'!$D$122)*'Cálculos'!$D$259+'Cálculos'!$D$125*(1+2.78*('Cálculos'!$D$199+(($C93)-$A$63:$A$108)*'Cálculos'!$D$98)/(('Cálculos'!$D$199+(($C93)-$A$63:$A$108)*'Cálculos'!$D$98)+1400)+'Cálculos'!$D$123)*'Cálculos'!$D$264)+('Cálculos'!$D$199+(($C93)-$A$63:$A$108)*'Cálculos'!$D$98)*('Cálculos'!$D$255+'Cálculos'!$D$124*(1+2.78*('Cálculos'!$D$199+(($C93)-$A$63:$A$108)*'Cálculos'!$D$98)/(('Cálculos'!$D$199+(($C93)-$A$63:$A$108)*'Cálculos'!$D$98)+1400)+'Cálculos'!$D$122)*'Cálculos'!$D$260+'Cálculos'!$D$125*(1+2.78*('Cálculos'!$D$199+(($C93)-$A$63:$A$108)*'Cálculos'!$D$98)/(('Cálculos'!$D$199+(($C93)-$A$63:$A$108)*'Cálculos'!$D$98)+1400)+'Cálculos'!$D$123)*'Cálculos'!$D$265)+('Cálculos'!$D$201*(1+'Cálculos'!$D$202+$A$63:$A$108*('Cálculos'!$D$290=2)*'Cálculos'!$D$101)+'Cálculos'!$D$203)*('Cálculos'!$D$256+'Cálculos'!$D$124*(1+2.78*('Cálculos'!$D$199+(($C93)-$A$63:$A$108)*'Cálculos'!$D$98)/(('Cálculos'!$D$199+(($C93)-$A$63:$A$108)*'Cálculos'!$D$98)+1400)+'Cálculos'!$D$122)*'Cálculos'!$D$261+'Cálculos'!$D$125*(1+2.78*('Cálculos'!$D$199+(($C93)-$A$63:$A$108)*'Cálculos'!$D$98)/(('Cálculos'!$D$199+(($C93)-$A$63:$A$108)*'Cálculos'!$D$98)+1400)+'Cálculos'!$D$123)*'Cálculos'!$D$266)+('Cálculos'!$D$204*(1+'Cálculos'!$D$205+$A$63:$A$108*('Cálculos'!$D$290=3)*'Cálculos'!$D$103)+'Cálculos'!$D$206)*('Cálculos'!$D$257+'Cálculos'!$D$124*(1+2.78*('Cálculos'!$D$199+(($C93)-$A$63:$A$108)*'Cálculos'!$D$98)/(('Cálculos'!$D$199+(($C93)-$A$63:$A$108)*'Cálculos'!$D$98)+1400)+'Cálculos'!$D$122)*'Cálculos'!$D$262+'Cálculos'!$D$125*(1+2.78*('Cálculos'!$D$199+(($C93)-$A$63:$A$108)*'Cálculos'!$D$98)/(('Cálculos'!$D$199+(($C93)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93)-$A$63:$A$108)*'Cálculos'!$D$98)/(('Cálculos'!$D$200+(($C93)-$A$63:$A$108)*'Cálculos'!$D$98)+1400)+'Cálculos'!$D$122)*'Cálculos'!$D$274+'Cálculos'!$D$125*(1+2.78*('Cálculos'!$D$200+(($C93)-$A$63:$A$108)*'Cálculos'!$D$98)/(('Cálculos'!$D$200+(($C93)-$A$63:$A$108)*'Cálculos'!$D$98)+1400)+'Cálculos'!$D$123)*'Cálculos'!$D$279)+('Cálculos'!$D$200+(($C93)-$A$63:$A$108)*'Cálculos'!$D$98)*('Cálculos'!$D$270+'Cálculos'!$D$124*(1+2.78*('Cálculos'!$D$200+(($C93)-$A$63:$A$108)*'Cálculos'!$D$98)/(('Cálculos'!$D$200+(($C93)-$A$63:$A$108)*'Cálculos'!$D$98)+1400)+'Cálculos'!$D$122)*'Cálculos'!$D$275+'Cálculos'!$D$125*(1+2.78*('Cálculos'!$D$200+(($C93)-$A$63:$A$108)*'Cálculos'!$D$98)/(('Cálculos'!$D$200+(($C93)-$A$63:$A$108)*'Cálculos'!$D$98)+1400)+'Cálculos'!$D$123)*'Cálculos'!$D$280)+('Cálculos'!$D$201*(1+'Cálculos'!$D$202+$A$63:$A$108*('Cálculos'!$D$290=2)*'Cálculos'!$D$101)+'Cálculos'!$D$203)*('Cálculos'!$D$271+'Cálculos'!$D$124*(1+2.78*('Cálculos'!$D$200+(($C93)-$A$63:$A$108)*'Cálculos'!$D$98)/(('Cálculos'!$D$200+(($C93)-$A$63:$A$108)*'Cálculos'!$D$98)+1400)+'Cálculos'!$D$122)*'Cálculos'!$D$276+'Cálculos'!$D$125*(1+2.78*('Cálculos'!$D$200+(($C93)-$A$63:$A$108)*'Cálculos'!$D$98)/(('Cálculos'!$D$200+(($C93)-$A$63:$A$108)*'Cálculos'!$D$98)+1400)+'Cálculos'!$D$123)*'Cálculos'!$D$281)+('Cálculos'!$D$204*(1+'Cálculos'!$D$205+$A$63:$A$108*('Cálculos'!$D$290=3)*'Cálculos'!$D$103)+'Cálculos'!$D$206)*('Cálculos'!$D$272+'Cálculos'!$D$124*(1+2.78*('Cálculos'!$D$200+(($C93)-$A$63:$A$108)*'Cálculos'!$D$98)/(('Cálculos'!$D$200+(($C93)-$A$63:$A$108)*'Cálculos'!$D$98)+1400)+'Cálculos'!$D$122)*'Cálculos'!$D$277+'Cálculos'!$D$125*(1+2.78*('Cálculos'!$D$200+(($C93)-$A$63:$A$108)*'Cálculos'!$D$98)/(('Cálculos'!$D$200+(($C93)-$A$63:$A$108)*'Cálculos'!$D$98)+1400)+'Cálculos'!$D$123)*'Cálculos'!$D$282)))))</f>
        <v>0</v>
      </c>
      <c r="E93" s="32">
        <f>IF(OR($C93&lt;0,'Cálculos'!$D$6=""),0,$B93*$D93)</f>
        <v>0</v>
      </c>
      <c r="F93" s="2"/>
      <c r="G93" s="30">
        <f>($A93&lt;=$B$110)*($A93&lt;='Cálculos'!$D$294)*(($B$110)-$A93&lt;='Cálculos'!$D$295)*(1+MIN(('Cálculos'!$D$207+$A93*'Cálculos'!$D$95),1)*('Cálculos'!$D$208+(($B$110)-$A93)*'Cálculos'!$D$96))</f>
        <v>0</v>
      </c>
      <c r="H93" s="31">
        <f>IF($B$111&lt;0,0,($A93&lt;=$B$111)*($A93&lt;='Cálculos'!$D$301)*(($B$111)-$A93&lt;='Cálculos'!$D$297)*(('Cálculos'!$D$185*(1+'Cálculos'!$D$186+$A93*('Cálculos'!$D$290=1)*'Cálculos'!$D$97+'Cálculos'!$D$305)+'Cálculos'!$D$191)*('Cálculos'!$D$209+'Cálculos'!$D$124*(1+2.78*('Cálculos'!$D$196+(($B$111)-$A93)*'Cálculos'!$D$98)/(('Cálculos'!$D$196+(($B$111)-$A93)*'Cálculos'!$D$98)+1400)+'Cálculos'!$D$122)*'Cálculos'!$D$214+'Cálculos'!$D$125*(1+2.78*('Cálculos'!$D$196+(($B$111)-$A93)*'Cálculos'!$D$98)/(('Cálculos'!$D$196+(($B$111)-$A93)*'Cálculos'!$D$98)+1400)+'Cálculos'!$D$123)*'Cálculos'!$D$219)+('Cálculos'!$D$196+(($B$111)-$A93)*'Cálculos'!$D$98)*('Cálculos'!$D$210+'Cálculos'!$D$124*(1+2.78*('Cálculos'!$D$196+(($B$111)-$A93)*'Cálculos'!$D$98)/(('Cálculos'!$D$196+(($B$111)-$A93)*'Cálculos'!$D$98)+1400)+'Cálculos'!$D$122)*'Cálculos'!$D$215+'Cálculos'!$D$125*(1+2.78*('Cálculos'!$D$196+(($B$111)-$A93)*'Cálculos'!$D$98)/(('Cálculos'!$D$196+(($B$111)-$A93)*'Cálculos'!$D$98)+1400)+'Cálculos'!$D$123)*'Cálculos'!$D$220)+('Cálculos'!$D$201*(1+'Cálculos'!$D$202+$A93*('Cálculos'!$D$290=2)*'Cálculos'!$D$101)+'Cálculos'!$D$203)*('Cálculos'!$D$211+'Cálculos'!$D$124*(1+2.78*('Cálculos'!$D$196+(($B$111)-$A93)*'Cálculos'!$D$98)/(('Cálculos'!$D$196+(($B$111)-$A93)*'Cálculos'!$D$98)+1400)+'Cálculos'!$D$122)*'Cálculos'!$D$216+'Cálculos'!$D$125*(1+2.78*('Cálculos'!$D$196+(($B$111)-$A93)*'Cálculos'!$D$98)/(('Cálculos'!$D$196+(($B$111)-$A93)*'Cálculos'!$D$98)+1400)+'Cálculos'!$D$123)*'Cálculos'!$D$221)+('Cálculos'!$D$204*(1+'Cálculos'!$D$205+$A93*('Cálculos'!$D$290=3)*'Cálculos'!$D$103)+'Cálculos'!$D$206)*('Cálculos'!$D$212+'Cálculos'!$D$124*(1+2.78*('Cálculos'!$D$196+(($B$111)-$A93)*'Cálculos'!$D$98)/(('Cálculos'!$D$196+(($B$111)-$A93)*'Cálculos'!$D$98)+1400)+'Cálculos'!$D$122)*'Cálculos'!$D$217+'Cálculos'!$D$125*(1+2.78*('Cálculos'!$D$196+(($B$111)-$A93)*'Cálculos'!$D$98)/(('Cálculos'!$D$196+(($B$111)-$A93)*'Cálculos'!$D$98)+1400)+'Cálculos'!$D$123)*'Cálculos'!$D$222)+('Cálculos'!$D$185*(1+'Cálculos'!$D$187+$A93*('Cálculos'!$D$290=1)*'Cálculos'!$D$97+'Cálculos'!$D$305)+'Cálculos'!$D$192)*('Cálculos'!$D$224+'Cálculos'!$D$124*(1+2.78*('Cálculos'!$D$197+(($B$111)-$A93)*'Cálculos'!$D$98)/(('Cálculos'!$D$197+(($B$111)-$A93)*'Cálculos'!$D$98)+1400)+'Cálculos'!$D$122)*'Cálculos'!$D$229+'Cálculos'!$D$125*(1+2.78*('Cálculos'!$D$197+(($B$111)-$A93)*'Cálculos'!$D$98)/(('Cálculos'!$D$197+(($B$111)-$A93)*'Cálculos'!$D$98)+1400)+'Cálculos'!$D$123)*'Cálculos'!$D$234)+('Cálculos'!$D$197+(($B$111)-$A93)*'Cálculos'!$D$98)*('Cálculos'!$D$225+'Cálculos'!$D$124*(1+2.78*('Cálculos'!$D$197+(($B$111)-$A93)*'Cálculos'!$D$98)/(('Cálculos'!$D$197+(($B$111)-$A93)*'Cálculos'!$D$98)+1400)+'Cálculos'!$D$122)*'Cálculos'!$D$230+'Cálculos'!$D$125*(1+2.78*('Cálculos'!$D$197+(($B$111)-$A93)*'Cálculos'!$D$98)/(('Cálculos'!$D$197+(($B$111)-$A93)*'Cálculos'!$D$98)+1400)+'Cálculos'!$D$123)*'Cálculos'!$D$235)+('Cálculos'!$D$201*(1+'Cálculos'!$D$202+$A93*('Cálculos'!$D$290=2)*'Cálculos'!$D$101)+'Cálculos'!$D$203)*('Cálculos'!$D$226+'Cálculos'!$D$124*(1+2.78*('Cálculos'!$D$197+(($B$111)-$A93)*'Cálculos'!$D$98)/(('Cálculos'!$D$197+(($B$111)-$A93)*'Cálculos'!$D$98)+1400)+'Cálculos'!$D$122)*'Cálculos'!$D$231+'Cálculos'!$D$125*(1+2.78*('Cálculos'!$D$197+(($B$111)-$A93)*'Cálculos'!$D$98)/(('Cálculos'!$D$197+(($B$111)-$A93)*'Cálculos'!$D$98)+1400)+'Cálculos'!$D$123)*'Cálculos'!$D$236)+('Cálculos'!$D$204*(1+'Cálculos'!$D$205+$A93*('Cálculos'!$D$290=3)*'Cálculos'!$D$103)+'Cálculos'!$D$206)*('Cálculos'!$D$227+'Cálculos'!$D$124*(1+2.78*('Cálculos'!$D$197+(($B$111)-$A93)*'Cálculos'!$D$98)/(('Cálculos'!$D$197+(($B$111)-$A93)*'Cálculos'!$D$98)+1400)+'Cálculos'!$D$122)*'Cálculos'!$D$232+'Cálculos'!$D$125*(1+2.78*('Cálculos'!$D$197+(($B$111)-$A93)*'Cálculos'!$D$98)/(('Cálculos'!$D$197+(($B$111)-$A93)*'Cálculos'!$D$98)+1400)+'Cálculos'!$D$123)*'Cálculos'!$D$237)+('Cálculos'!$D$185*(1+'Cálculos'!$D$188+$A93*('Cálculos'!$D$290=1)*'Cálculos'!$D$97+'Cálculos'!$D$305)+'Cálculos'!$D$193)*('Cálculos'!$D$239+'Cálculos'!$D$124*(1+2.78*('Cálculos'!$D$198+(($B$111)-$A93)*'Cálculos'!$D$98)/(('Cálculos'!$D$198+(($B$111)-$A93)*'Cálculos'!$D$98)+1400)+'Cálculos'!$D$122)*'Cálculos'!$D$244+'Cálculos'!$D$125*(1+2.78*('Cálculos'!$D$198+(($B$111)-$A93)*'Cálculos'!$D$98)/(('Cálculos'!$D$198+(($B$111)-$A93)*'Cálculos'!$D$98)+1400)+'Cálculos'!$D$123)*'Cálculos'!$D$249)+('Cálculos'!$D$198+(($B$111)-$A93)*'Cálculos'!$D$98)*('Cálculos'!$D$240+'Cálculos'!$D$124*(1+2.78*('Cálculos'!$D$198+(($B$111)-$A93)*'Cálculos'!$D$98)/(('Cálculos'!$D$198+(($B$111)-$A93)*'Cálculos'!$D$98)+1400)+'Cálculos'!$D$122)*'Cálculos'!$D$245+'Cálculos'!$D$125*(1+2.78*('Cálculos'!$D$198+(($B$111)-$A93)*'Cálculos'!$D$98)/(('Cálculos'!$D$198+(($B$111)-$A93)*'Cálculos'!$D$98)+1400)+'Cálculos'!$D$123)*'Cálculos'!$D$250)+('Cálculos'!$D$201*(1+'Cálculos'!$D$202+$A93*('Cálculos'!$D$290=2)*'Cálculos'!$D$101)+'Cálculos'!$D$203)*('Cálculos'!$D$241+'Cálculos'!$D$124*(1+2.78*('Cálculos'!$D$198+(($B$111)-$A93)*'Cálculos'!$D$98)/(('Cálculos'!$D$198+(($B$111)-$A93)*'Cálculos'!$D$98)+1400)+'Cálculos'!$D$122)*'Cálculos'!$D$246+'Cálculos'!$D$125*(1+2.78*('Cálculos'!$D$198+(($B$111)-$A93)*'Cálculos'!$D$98)/(('Cálculos'!$D$198+(($B$111)-$A93)*'Cálculos'!$D$98)+1400)+'Cálculos'!$D$123)*'Cálculos'!$D$251)+('Cálculos'!$D$204*(1+'Cálculos'!$D$205+$A93*('Cálculos'!$D$290=3)*'Cálculos'!$D$103)+'Cálculos'!$D$206)*('Cálculos'!$D$242+'Cálculos'!$D$124*(1+2.78*('Cálculos'!$D$198+(($B$111)-$A93)*'Cálculos'!$D$98)/(('Cálculos'!$D$198+(($B$111)-$A93)*'Cálculos'!$D$98)+1400)+'Cálculos'!$D$122)*'Cálculos'!$D$247+'Cálculos'!$D$125*(1+2.78*('Cálculos'!$D$198+(($B$111)-$A93)*'Cálculos'!$D$98)/(('Cálculos'!$D$198+(($B$111)-$A93)*'Cálculos'!$D$98)+1400)+'Cálculos'!$D$123)*'Cálculos'!$D$252)+('Cálculos'!$D$185*(1+'Cálculos'!$D$189+$A93*('Cálculos'!$D$290=1)*'Cálculos'!$D$97+'Cálculos'!$D$305)+'Cálculos'!$D$194)*('Cálculos'!$D$254+'Cálculos'!$D$124*(1+2.78*('Cálculos'!$D$199+(($B$111)-$A93)*'Cálculos'!$D$98)/(('Cálculos'!$D$199+(($B$111)-$A93)*'Cálculos'!$D$98)+1400)+'Cálculos'!$D$122)*'Cálculos'!$D$259+'Cálculos'!$D$125*(1+2.78*('Cálculos'!$D$199+(($B$111)-$A93)*'Cálculos'!$D$98)/(('Cálculos'!$D$199+(($B$111)-$A93)*'Cálculos'!$D$98)+1400)+'Cálculos'!$D$123)*'Cálculos'!$D$264)+('Cálculos'!$D$199+(($B$111)-$A93)*'Cálculos'!$D$98)*('Cálculos'!$D$255+'Cálculos'!$D$124*(1+2.78*('Cálculos'!$D$199+(($B$111)-$A93)*'Cálculos'!$D$98)/(('Cálculos'!$D$199+(($B$111)-$A93)*'Cálculos'!$D$98)+1400)+'Cálculos'!$D$122)*'Cálculos'!$D$260+'Cálculos'!$D$125*(1+2.78*('Cálculos'!$D$199+(($B$111)-$A93)*'Cálculos'!$D$98)/(('Cálculos'!$D$199+(($B$111)-$A93)*'Cálculos'!$D$98)+1400)+'Cálculos'!$D$123)*'Cálculos'!$D$265)+('Cálculos'!$D$201*(1+'Cálculos'!$D$202+$A93*('Cálculos'!$D$290=2)*'Cálculos'!$D$101)+'Cálculos'!$D$203)*('Cálculos'!$D$256+'Cálculos'!$D$124*(1+2.78*('Cálculos'!$D$199+(($B$111)-$A93)*'Cálculos'!$D$98)/(('Cálculos'!$D$199+(($B$111)-$A93)*'Cálculos'!$D$98)+1400)+'Cálculos'!$D$122)*'Cálculos'!$D$261+'Cálculos'!$D$125*(1+2.78*('Cálculos'!$D$199+(($B$111)-$A93)*'Cálculos'!$D$98)/(('Cálculos'!$D$199+(($B$111)-$A93)*'Cálculos'!$D$98)+1400)+'Cálculos'!$D$123)*'Cálculos'!$D$266)+('Cálculos'!$D$204*(1+'Cálculos'!$D$205+$A93*('Cálculos'!$D$290=3)*'Cálculos'!$D$103)+'Cálculos'!$D$206)*('Cálculos'!$D$257+'Cálculos'!$D$124*(1+2.78*('Cálculos'!$D$199+(($B$111)-$A93)*'Cálculos'!$D$98)/(('Cálculos'!$D$199+(($B$111)-$A93)*'Cálculos'!$D$98)+1400)+'Cálculos'!$D$122)*'Cálculos'!$D$262+'Cálculos'!$D$125*(1+2.78*('Cálculos'!$D$199+(($B$111)-$A93)*'Cálculos'!$D$98)/(('Cálculos'!$D$199+(($B$111)-$A93)*'Cálculos'!$D$98)+1400)+'Cálculos'!$D$123)*'Cálculos'!$D$267)+('Cálculos'!$D$185*(1+'Cálculos'!$D$190+$A93*('Cálculos'!$D$290=1)*'Cálculos'!$D$97+'Cálculos'!$D$305)+'Cálculos'!$D$195)*('Cálculos'!$D$269+'Cálculos'!$D$124*(1+2.78*('Cálculos'!$D$200+(($B$111)-$A93)*'Cálculos'!$D$98)/(('Cálculos'!$D$200+(($B$111)-$A93)*'Cálculos'!$D$98)+1400)+'Cálculos'!$D$122)*'Cálculos'!$D$274+'Cálculos'!$D$125*(1+2.78*('Cálculos'!$D$200+(($B$111)-$A93)*'Cálculos'!$D$98)/(('Cálculos'!$D$200+(($B$111)-$A93)*'Cálculos'!$D$98)+1400)+'Cálculos'!$D$123)*'Cálculos'!$D$279)+('Cálculos'!$D$200+(($B$111)-$A93)*'Cálculos'!$D$98)*('Cálculos'!$D$270+'Cálculos'!$D$124*(1+2.78*('Cálculos'!$D$200+(($B$111)-$A93)*'Cálculos'!$D$98)/(('Cálculos'!$D$200+(($B$111)-$A93)*'Cálculos'!$D$98)+1400)+'Cálculos'!$D$122)*'Cálculos'!$D$275+'Cálculos'!$D$125*(1+2.78*('Cálculos'!$D$200+(($B$111)-$A93)*'Cálculos'!$D$98)/(('Cálculos'!$D$200+(($B$111)-$A93)*'Cálculos'!$D$98)+1400)+'Cálculos'!$D$123)*'Cálculos'!$D$280)+('Cálculos'!$D$201*(1+'Cálculos'!$D$202+$A93*('Cálculos'!$D$290=2)*'Cálculos'!$D$101)+'Cálculos'!$D$203)*('Cálculos'!$D$271+'Cálculos'!$D$124*(1+2.78*('Cálculos'!$D$200+(($B$111)-$A93)*'Cálculos'!$D$98)/(('Cálculos'!$D$200+(($B$111)-$A93)*'Cálculos'!$D$98)+1400)+'Cálculos'!$D$122)*'Cálculos'!$D$276+'Cálculos'!$D$125*(1+2.78*('Cálculos'!$D$200+(($B$111)-$A93)*'Cálculos'!$D$98)/(('Cálculos'!$D$200+(($B$111)-$A93)*'Cálculos'!$D$98)+1400)+'Cálculos'!$D$123)*'Cálculos'!$D$281)+('Cálculos'!$D$204*(1+'Cálculos'!$D$205+$A93*('Cálculos'!$D$290=3)*'Cálculos'!$D$103)+'Cálculos'!$D$206)*('Cálculos'!$D$272+'Cálculos'!$D$124*(1+2.78*('Cálculos'!$D$200+(($B$111)-$A93)*'Cálculos'!$D$98)/(('Cálculos'!$D$200+(($B$111)-$A93)*'Cálculos'!$D$98)+1400)+'Cálculos'!$D$122)*'Cálculos'!$D$277+'Cálculos'!$D$125*(1+2.78*('Cálculos'!$D$200+(($B$111)-$A93)*'Cálculos'!$D$98)/(('Cálculos'!$D$200+(($B$111)-$A93)*'Cálculos'!$D$98)+1400)+'Cálculos'!$D$123)*'Cálculos'!$D$282)))</f>
        <v>0</v>
      </c>
    </row>
    <row r="94" ht="15.75" customHeight="1">
      <c r="A94" s="2">
        <v>31.0</v>
      </c>
      <c r="B94" s="30">
        <f>SUMPRODUCT(MAX(($A$63:$A$108&lt;=$A94)*($A$63:$A$108&lt;='Cálculos'!$D$294)*(($A94)-$A$63:$A$108&lt;='Cálculos'!$D$295)*(1+(('Cálculos'!$D$207+$A$63:$A$108*'Cálculos'!$D$95)-(('Cálculos'!$D$207+$A$63:$A$108*'Cálculos'!$D$95)&gt;1)*(('Cálculos'!$D$207+$A$63:$A$108*'Cálculos'!$D$95)-1))*('Cálculos'!$D$208+(($A94)-$A$63:$A$108)*'Cálculos'!$D$96))))</f>
        <v>2.144382738</v>
      </c>
      <c r="C94" s="2">
        <f>'Cálculos'!$D$303-$A94</f>
        <v>-20</v>
      </c>
      <c r="D94" s="31">
        <f>IF($C94&lt;0,0,SUMPRODUCT(MAX(($A$63:$A$108&lt;=$C94)*($A$63:$A$108&lt;='Cálculos'!$D$301)*(($C94)-$A$63:$A$108&lt;='Cálculos'!$D$297)*(('Cálculos'!$D$185*(1+'Cálculos'!$D$186+$A$63:$A$108*('Cálculos'!$D$290=1)*'Cálculos'!$D$97+'Cálculos'!$D$305)+'Cálculos'!$D$191)*('Cálculos'!$D$209+'Cálculos'!$D$124*(1+2.78*('Cálculos'!$D$196+(($C94)-$A$63:$A$108)*'Cálculos'!$D$98)/(('Cálculos'!$D$196+(($C94)-$A$63:$A$108)*'Cálculos'!$D$98)+1400)+'Cálculos'!$D$122)*'Cálculos'!$D$214+'Cálculos'!$D$125*(1+2.78*('Cálculos'!$D$196+(($C94)-$A$63:$A$108)*'Cálculos'!$D$98)/(('Cálculos'!$D$196+(($C94)-$A$63:$A$108)*'Cálculos'!$D$98)+1400)+'Cálculos'!$D$123)*'Cálculos'!$D$219)+('Cálculos'!$D$196+(($C94)-$A$63:$A$108)*'Cálculos'!$D$98)*('Cálculos'!$D$210+'Cálculos'!$D$124*(1+2.78*('Cálculos'!$D$196+(($C94)-$A$63:$A$108)*'Cálculos'!$D$98)/(('Cálculos'!$D$196+(($C94)-$A$63:$A$108)*'Cálculos'!$D$98)+1400)+'Cálculos'!$D$122)*'Cálculos'!$D$215+'Cálculos'!$D$125*(1+2.78*('Cálculos'!$D$196+(($C94)-$A$63:$A$108)*'Cálculos'!$D$98)/(('Cálculos'!$D$196+(($C94)-$A$63:$A$108)*'Cálculos'!$D$98)+1400)+'Cálculos'!$D$123)*'Cálculos'!$D$220)+('Cálculos'!$D$201*(1+'Cálculos'!$D$202+$A$63:$A$108*('Cálculos'!$D$290=2)*'Cálculos'!$D$101)+'Cálculos'!$D$203)*('Cálculos'!$D$211+'Cálculos'!$D$124*(1+2.78*('Cálculos'!$D$196+(($C94)-$A$63:$A$108)*'Cálculos'!$D$98)/(('Cálculos'!$D$196+(($C94)-$A$63:$A$108)*'Cálculos'!$D$98)+1400)+'Cálculos'!$D$122)*'Cálculos'!$D$216+'Cálculos'!$D$125*(1+2.78*('Cálculos'!$D$196+(($C94)-$A$63:$A$108)*'Cálculos'!$D$98)/(('Cálculos'!$D$196+(($C94)-$A$63:$A$108)*'Cálculos'!$D$98)+1400)+'Cálculos'!$D$123)*'Cálculos'!$D$221)+('Cálculos'!$D$204*(1+'Cálculos'!$D$205+$A$63:$A$108*('Cálculos'!$D$290=3)*'Cálculos'!$D$103)+'Cálculos'!$D$206)*('Cálculos'!$D$212+'Cálculos'!$D$124*(1+2.78*('Cálculos'!$D$196+(($C94)-$A$63:$A$108)*'Cálculos'!$D$98)/(('Cálculos'!$D$196+(($C94)-$A$63:$A$108)*'Cálculos'!$D$98)+1400)+'Cálculos'!$D$122)*'Cálculos'!$D$217+'Cálculos'!$D$125*(1+2.78*('Cálculos'!$D$196+(($C94)-$A$63:$A$108)*'Cálculos'!$D$98)/(('Cálculos'!$D$196+(($C94)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94)-$A$63:$A$108)*'Cálculos'!$D$98)/(('Cálculos'!$D$197+(($C94)-$A$63:$A$108)*'Cálculos'!$D$98)+1400)+'Cálculos'!$D$122)*'Cálculos'!$D$229+'Cálculos'!$D$125*(1+2.78*('Cálculos'!$D$197+(($C94)-$A$63:$A$108)*'Cálculos'!$D$98)/(('Cálculos'!$D$197+(($C94)-$A$63:$A$108)*'Cálculos'!$D$98)+1400)+'Cálculos'!$D$123)*'Cálculos'!$D$234)+('Cálculos'!$D$197+(($C94)-$A$63:$A$108)*'Cálculos'!$D$98)*('Cálculos'!$D$225+'Cálculos'!$D$124*(1+2.78*('Cálculos'!$D$197+(($C94)-$A$63:$A$108)*'Cálculos'!$D$98)/(('Cálculos'!$D$197+(($C94)-$A$63:$A$108)*'Cálculos'!$D$98)+1400)+'Cálculos'!$D$122)*'Cálculos'!$D$230+'Cálculos'!$D$125*(1+2.78*('Cálculos'!$D$197+(($C94)-$A$63:$A$108)*'Cálculos'!$D$98)/(('Cálculos'!$D$197+(($C94)-$A$63:$A$108)*'Cálculos'!$D$98)+1400)+'Cálculos'!$D$123)*'Cálculos'!$D$235)+('Cálculos'!$D$201*(1+'Cálculos'!$D$202+$A$63:$A$108*('Cálculos'!$D$290=2)*'Cálculos'!$D$101)+'Cálculos'!$D$203)*('Cálculos'!$D$226+'Cálculos'!$D$124*(1+2.78*('Cálculos'!$D$197+(($C94)-$A$63:$A$108)*'Cálculos'!$D$98)/(('Cálculos'!$D$197+(($C94)-$A$63:$A$108)*'Cálculos'!$D$98)+1400)+'Cálculos'!$D$122)*'Cálculos'!$D$231+'Cálculos'!$D$125*(1+2.78*('Cálculos'!$D$197+(($C94)-$A$63:$A$108)*'Cálculos'!$D$98)/(('Cálculos'!$D$197+(($C94)-$A$63:$A$108)*'Cálculos'!$D$98)+1400)+'Cálculos'!$D$123)*'Cálculos'!$D$236)+('Cálculos'!$D$204*(1+'Cálculos'!$D$205+$A$63:$A$108*('Cálculos'!$D$290=3)*'Cálculos'!$D$103)+'Cálculos'!$D$206)*('Cálculos'!$D$227+'Cálculos'!$D$124*(1+2.78*('Cálculos'!$D$197+(($C94)-$A$63:$A$108)*'Cálculos'!$D$98)/(('Cálculos'!$D$197+(($C94)-$A$63:$A$108)*'Cálculos'!$D$98)+1400)+'Cálculos'!$D$122)*'Cálculos'!$D$232+'Cálculos'!$D$125*(1+2.78*('Cálculos'!$D$197+(($C94)-$A$63:$A$108)*'Cálculos'!$D$98)/(('Cálculos'!$D$197+(($C94)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94)-$A$63:$A$108)*'Cálculos'!$D$98)/(('Cálculos'!$D$198+(($C94)-$A$63:$A$108)*'Cálculos'!$D$98)+1400)+'Cálculos'!$D$122)*'Cálculos'!$D$244+'Cálculos'!$D$125*(1+2.78*('Cálculos'!$D$198+(($C94)-$A$63:$A$108)*'Cálculos'!$D$98)/(('Cálculos'!$D$198+(($C94)-$A$63:$A$108)*'Cálculos'!$D$98)+1400)+'Cálculos'!$D$123)*'Cálculos'!$D$249)+('Cálculos'!$D$198+(($C94)-$A$63:$A$108)*'Cálculos'!$D$98)*('Cálculos'!$D$240+'Cálculos'!$D$124*(1+2.78*('Cálculos'!$D$198+(($C94)-$A$63:$A$108)*'Cálculos'!$D$98)/(('Cálculos'!$D$198+(($C94)-$A$63:$A$108)*'Cálculos'!$D$98)+1400)+'Cálculos'!$D$122)*'Cálculos'!$D$245+'Cálculos'!$D$125*(1+2.78*('Cálculos'!$D$198+(($C94)-$A$63:$A$108)*'Cálculos'!$D$98)/(('Cálculos'!$D$198+(($C94)-$A$63:$A$108)*'Cálculos'!$D$98)+1400)+'Cálculos'!$D$123)*'Cálculos'!$D$250)+('Cálculos'!$D$201*(1+'Cálculos'!$D$202+$A$63:$A$108*('Cálculos'!$D$290=2)*'Cálculos'!$D$101)+'Cálculos'!$D$203)*('Cálculos'!$D$241+'Cálculos'!$D$124*(1+2.78*('Cálculos'!$D$198+(($C94)-$A$63:$A$108)*'Cálculos'!$D$98)/(('Cálculos'!$D$198+(($C94)-$A$63:$A$108)*'Cálculos'!$D$98)+1400)+'Cálculos'!$D$122)*'Cálculos'!$D$246+'Cálculos'!$D$125*(1+2.78*('Cálculos'!$D$198+(($C94)-$A$63:$A$108)*'Cálculos'!$D$98)/(('Cálculos'!$D$198+(($C94)-$A$63:$A$108)*'Cálculos'!$D$98)+1400)+'Cálculos'!$D$123)*'Cálculos'!$D$251)+('Cálculos'!$D$204*(1+'Cálculos'!$D$205+$A$63:$A$108*('Cálculos'!$D$290=3)*'Cálculos'!$D$103)+'Cálculos'!$D$206)*('Cálculos'!$D$242+'Cálculos'!$D$124*(1+2.78*('Cálculos'!$D$198+(($C94)-$A$63:$A$108)*'Cálculos'!$D$98)/(('Cálculos'!$D$198+(($C94)-$A$63:$A$108)*'Cálculos'!$D$98)+1400)+'Cálculos'!$D$122)*'Cálculos'!$D$247+'Cálculos'!$D$125*(1+2.78*('Cálculos'!$D$198+(($C94)-$A$63:$A$108)*'Cálculos'!$D$98)/(('Cálculos'!$D$198+(($C94)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94)-$A$63:$A$108)*'Cálculos'!$D$98)/(('Cálculos'!$D$199+(($C94)-$A$63:$A$108)*'Cálculos'!$D$98)+1400)+'Cálculos'!$D$122)*'Cálculos'!$D$259+'Cálculos'!$D$125*(1+2.78*('Cálculos'!$D$199+(($C94)-$A$63:$A$108)*'Cálculos'!$D$98)/(('Cálculos'!$D$199+(($C94)-$A$63:$A$108)*'Cálculos'!$D$98)+1400)+'Cálculos'!$D$123)*'Cálculos'!$D$264)+('Cálculos'!$D$199+(($C94)-$A$63:$A$108)*'Cálculos'!$D$98)*('Cálculos'!$D$255+'Cálculos'!$D$124*(1+2.78*('Cálculos'!$D$199+(($C94)-$A$63:$A$108)*'Cálculos'!$D$98)/(('Cálculos'!$D$199+(($C94)-$A$63:$A$108)*'Cálculos'!$D$98)+1400)+'Cálculos'!$D$122)*'Cálculos'!$D$260+'Cálculos'!$D$125*(1+2.78*('Cálculos'!$D$199+(($C94)-$A$63:$A$108)*'Cálculos'!$D$98)/(('Cálculos'!$D$199+(($C94)-$A$63:$A$108)*'Cálculos'!$D$98)+1400)+'Cálculos'!$D$123)*'Cálculos'!$D$265)+('Cálculos'!$D$201*(1+'Cálculos'!$D$202+$A$63:$A$108*('Cálculos'!$D$290=2)*'Cálculos'!$D$101)+'Cálculos'!$D$203)*('Cálculos'!$D$256+'Cálculos'!$D$124*(1+2.78*('Cálculos'!$D$199+(($C94)-$A$63:$A$108)*'Cálculos'!$D$98)/(('Cálculos'!$D$199+(($C94)-$A$63:$A$108)*'Cálculos'!$D$98)+1400)+'Cálculos'!$D$122)*'Cálculos'!$D$261+'Cálculos'!$D$125*(1+2.78*('Cálculos'!$D$199+(($C94)-$A$63:$A$108)*'Cálculos'!$D$98)/(('Cálculos'!$D$199+(($C94)-$A$63:$A$108)*'Cálculos'!$D$98)+1400)+'Cálculos'!$D$123)*'Cálculos'!$D$266)+('Cálculos'!$D$204*(1+'Cálculos'!$D$205+$A$63:$A$108*('Cálculos'!$D$290=3)*'Cálculos'!$D$103)+'Cálculos'!$D$206)*('Cálculos'!$D$257+'Cálculos'!$D$124*(1+2.78*('Cálculos'!$D$199+(($C94)-$A$63:$A$108)*'Cálculos'!$D$98)/(('Cálculos'!$D$199+(($C94)-$A$63:$A$108)*'Cálculos'!$D$98)+1400)+'Cálculos'!$D$122)*'Cálculos'!$D$262+'Cálculos'!$D$125*(1+2.78*('Cálculos'!$D$199+(($C94)-$A$63:$A$108)*'Cálculos'!$D$98)/(('Cálculos'!$D$199+(($C94)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94)-$A$63:$A$108)*'Cálculos'!$D$98)/(('Cálculos'!$D$200+(($C94)-$A$63:$A$108)*'Cálculos'!$D$98)+1400)+'Cálculos'!$D$122)*'Cálculos'!$D$274+'Cálculos'!$D$125*(1+2.78*('Cálculos'!$D$200+(($C94)-$A$63:$A$108)*'Cálculos'!$D$98)/(('Cálculos'!$D$200+(($C94)-$A$63:$A$108)*'Cálculos'!$D$98)+1400)+'Cálculos'!$D$123)*'Cálculos'!$D$279)+('Cálculos'!$D$200+(($C94)-$A$63:$A$108)*'Cálculos'!$D$98)*('Cálculos'!$D$270+'Cálculos'!$D$124*(1+2.78*('Cálculos'!$D$200+(($C94)-$A$63:$A$108)*'Cálculos'!$D$98)/(('Cálculos'!$D$200+(($C94)-$A$63:$A$108)*'Cálculos'!$D$98)+1400)+'Cálculos'!$D$122)*'Cálculos'!$D$275+'Cálculos'!$D$125*(1+2.78*('Cálculos'!$D$200+(($C94)-$A$63:$A$108)*'Cálculos'!$D$98)/(('Cálculos'!$D$200+(($C94)-$A$63:$A$108)*'Cálculos'!$D$98)+1400)+'Cálculos'!$D$123)*'Cálculos'!$D$280)+('Cálculos'!$D$201*(1+'Cálculos'!$D$202+$A$63:$A$108*('Cálculos'!$D$290=2)*'Cálculos'!$D$101)+'Cálculos'!$D$203)*('Cálculos'!$D$271+'Cálculos'!$D$124*(1+2.78*('Cálculos'!$D$200+(($C94)-$A$63:$A$108)*'Cálculos'!$D$98)/(('Cálculos'!$D$200+(($C94)-$A$63:$A$108)*'Cálculos'!$D$98)+1400)+'Cálculos'!$D$122)*'Cálculos'!$D$276+'Cálculos'!$D$125*(1+2.78*('Cálculos'!$D$200+(($C94)-$A$63:$A$108)*'Cálculos'!$D$98)/(('Cálculos'!$D$200+(($C94)-$A$63:$A$108)*'Cálculos'!$D$98)+1400)+'Cálculos'!$D$123)*'Cálculos'!$D$281)+('Cálculos'!$D$204*(1+'Cálculos'!$D$205+$A$63:$A$108*('Cálculos'!$D$290=3)*'Cálculos'!$D$103)+'Cálculos'!$D$206)*('Cálculos'!$D$272+'Cálculos'!$D$124*(1+2.78*('Cálculos'!$D$200+(($C94)-$A$63:$A$108)*'Cálculos'!$D$98)/(('Cálculos'!$D$200+(($C94)-$A$63:$A$108)*'Cálculos'!$D$98)+1400)+'Cálculos'!$D$122)*'Cálculos'!$D$277+'Cálculos'!$D$125*(1+2.78*('Cálculos'!$D$200+(($C94)-$A$63:$A$108)*'Cálculos'!$D$98)/(('Cálculos'!$D$200+(($C94)-$A$63:$A$108)*'Cálculos'!$D$98)+1400)+'Cálculos'!$D$123)*'Cálculos'!$D$282)))))</f>
        <v>0</v>
      </c>
      <c r="E94" s="32">
        <f>IF(OR($C94&lt;0,'Cálculos'!$D$6=""),0,$B94*$D94)</f>
        <v>0</v>
      </c>
      <c r="F94" s="2"/>
      <c r="G94" s="30">
        <f>($A94&lt;=$B$110)*($A94&lt;='Cálculos'!$D$294)*(($B$110)-$A94&lt;='Cálculos'!$D$295)*(1+MIN(('Cálculos'!$D$207+$A94*'Cálculos'!$D$95),1)*('Cálculos'!$D$208+(($B$110)-$A94)*'Cálculos'!$D$96))</f>
        <v>0</v>
      </c>
      <c r="H94" s="31">
        <f>IF($B$111&lt;0,0,($A94&lt;=$B$111)*($A94&lt;='Cálculos'!$D$301)*(($B$111)-$A94&lt;='Cálculos'!$D$297)*(('Cálculos'!$D$185*(1+'Cálculos'!$D$186+$A94*('Cálculos'!$D$290=1)*'Cálculos'!$D$97+'Cálculos'!$D$305)+'Cálculos'!$D$191)*('Cálculos'!$D$209+'Cálculos'!$D$124*(1+2.78*('Cálculos'!$D$196+(($B$111)-$A94)*'Cálculos'!$D$98)/(('Cálculos'!$D$196+(($B$111)-$A94)*'Cálculos'!$D$98)+1400)+'Cálculos'!$D$122)*'Cálculos'!$D$214+'Cálculos'!$D$125*(1+2.78*('Cálculos'!$D$196+(($B$111)-$A94)*'Cálculos'!$D$98)/(('Cálculos'!$D$196+(($B$111)-$A94)*'Cálculos'!$D$98)+1400)+'Cálculos'!$D$123)*'Cálculos'!$D$219)+('Cálculos'!$D$196+(($B$111)-$A94)*'Cálculos'!$D$98)*('Cálculos'!$D$210+'Cálculos'!$D$124*(1+2.78*('Cálculos'!$D$196+(($B$111)-$A94)*'Cálculos'!$D$98)/(('Cálculos'!$D$196+(($B$111)-$A94)*'Cálculos'!$D$98)+1400)+'Cálculos'!$D$122)*'Cálculos'!$D$215+'Cálculos'!$D$125*(1+2.78*('Cálculos'!$D$196+(($B$111)-$A94)*'Cálculos'!$D$98)/(('Cálculos'!$D$196+(($B$111)-$A94)*'Cálculos'!$D$98)+1400)+'Cálculos'!$D$123)*'Cálculos'!$D$220)+('Cálculos'!$D$201*(1+'Cálculos'!$D$202+$A94*('Cálculos'!$D$290=2)*'Cálculos'!$D$101)+'Cálculos'!$D$203)*('Cálculos'!$D$211+'Cálculos'!$D$124*(1+2.78*('Cálculos'!$D$196+(($B$111)-$A94)*'Cálculos'!$D$98)/(('Cálculos'!$D$196+(($B$111)-$A94)*'Cálculos'!$D$98)+1400)+'Cálculos'!$D$122)*'Cálculos'!$D$216+'Cálculos'!$D$125*(1+2.78*('Cálculos'!$D$196+(($B$111)-$A94)*'Cálculos'!$D$98)/(('Cálculos'!$D$196+(($B$111)-$A94)*'Cálculos'!$D$98)+1400)+'Cálculos'!$D$123)*'Cálculos'!$D$221)+('Cálculos'!$D$204*(1+'Cálculos'!$D$205+$A94*('Cálculos'!$D$290=3)*'Cálculos'!$D$103)+'Cálculos'!$D$206)*('Cálculos'!$D$212+'Cálculos'!$D$124*(1+2.78*('Cálculos'!$D$196+(($B$111)-$A94)*'Cálculos'!$D$98)/(('Cálculos'!$D$196+(($B$111)-$A94)*'Cálculos'!$D$98)+1400)+'Cálculos'!$D$122)*'Cálculos'!$D$217+'Cálculos'!$D$125*(1+2.78*('Cálculos'!$D$196+(($B$111)-$A94)*'Cálculos'!$D$98)/(('Cálculos'!$D$196+(($B$111)-$A94)*'Cálculos'!$D$98)+1400)+'Cálculos'!$D$123)*'Cálculos'!$D$222)+('Cálculos'!$D$185*(1+'Cálculos'!$D$187+$A94*('Cálculos'!$D$290=1)*'Cálculos'!$D$97+'Cálculos'!$D$305)+'Cálculos'!$D$192)*('Cálculos'!$D$224+'Cálculos'!$D$124*(1+2.78*('Cálculos'!$D$197+(($B$111)-$A94)*'Cálculos'!$D$98)/(('Cálculos'!$D$197+(($B$111)-$A94)*'Cálculos'!$D$98)+1400)+'Cálculos'!$D$122)*'Cálculos'!$D$229+'Cálculos'!$D$125*(1+2.78*('Cálculos'!$D$197+(($B$111)-$A94)*'Cálculos'!$D$98)/(('Cálculos'!$D$197+(($B$111)-$A94)*'Cálculos'!$D$98)+1400)+'Cálculos'!$D$123)*'Cálculos'!$D$234)+('Cálculos'!$D$197+(($B$111)-$A94)*'Cálculos'!$D$98)*('Cálculos'!$D$225+'Cálculos'!$D$124*(1+2.78*('Cálculos'!$D$197+(($B$111)-$A94)*'Cálculos'!$D$98)/(('Cálculos'!$D$197+(($B$111)-$A94)*'Cálculos'!$D$98)+1400)+'Cálculos'!$D$122)*'Cálculos'!$D$230+'Cálculos'!$D$125*(1+2.78*('Cálculos'!$D$197+(($B$111)-$A94)*'Cálculos'!$D$98)/(('Cálculos'!$D$197+(($B$111)-$A94)*'Cálculos'!$D$98)+1400)+'Cálculos'!$D$123)*'Cálculos'!$D$235)+('Cálculos'!$D$201*(1+'Cálculos'!$D$202+$A94*('Cálculos'!$D$290=2)*'Cálculos'!$D$101)+'Cálculos'!$D$203)*('Cálculos'!$D$226+'Cálculos'!$D$124*(1+2.78*('Cálculos'!$D$197+(($B$111)-$A94)*'Cálculos'!$D$98)/(('Cálculos'!$D$197+(($B$111)-$A94)*'Cálculos'!$D$98)+1400)+'Cálculos'!$D$122)*'Cálculos'!$D$231+'Cálculos'!$D$125*(1+2.78*('Cálculos'!$D$197+(($B$111)-$A94)*'Cálculos'!$D$98)/(('Cálculos'!$D$197+(($B$111)-$A94)*'Cálculos'!$D$98)+1400)+'Cálculos'!$D$123)*'Cálculos'!$D$236)+('Cálculos'!$D$204*(1+'Cálculos'!$D$205+$A94*('Cálculos'!$D$290=3)*'Cálculos'!$D$103)+'Cálculos'!$D$206)*('Cálculos'!$D$227+'Cálculos'!$D$124*(1+2.78*('Cálculos'!$D$197+(($B$111)-$A94)*'Cálculos'!$D$98)/(('Cálculos'!$D$197+(($B$111)-$A94)*'Cálculos'!$D$98)+1400)+'Cálculos'!$D$122)*'Cálculos'!$D$232+'Cálculos'!$D$125*(1+2.78*('Cálculos'!$D$197+(($B$111)-$A94)*'Cálculos'!$D$98)/(('Cálculos'!$D$197+(($B$111)-$A94)*'Cálculos'!$D$98)+1400)+'Cálculos'!$D$123)*'Cálculos'!$D$237)+('Cálculos'!$D$185*(1+'Cálculos'!$D$188+$A94*('Cálculos'!$D$290=1)*'Cálculos'!$D$97+'Cálculos'!$D$305)+'Cálculos'!$D$193)*('Cálculos'!$D$239+'Cálculos'!$D$124*(1+2.78*('Cálculos'!$D$198+(($B$111)-$A94)*'Cálculos'!$D$98)/(('Cálculos'!$D$198+(($B$111)-$A94)*'Cálculos'!$D$98)+1400)+'Cálculos'!$D$122)*'Cálculos'!$D$244+'Cálculos'!$D$125*(1+2.78*('Cálculos'!$D$198+(($B$111)-$A94)*'Cálculos'!$D$98)/(('Cálculos'!$D$198+(($B$111)-$A94)*'Cálculos'!$D$98)+1400)+'Cálculos'!$D$123)*'Cálculos'!$D$249)+('Cálculos'!$D$198+(($B$111)-$A94)*'Cálculos'!$D$98)*('Cálculos'!$D$240+'Cálculos'!$D$124*(1+2.78*('Cálculos'!$D$198+(($B$111)-$A94)*'Cálculos'!$D$98)/(('Cálculos'!$D$198+(($B$111)-$A94)*'Cálculos'!$D$98)+1400)+'Cálculos'!$D$122)*'Cálculos'!$D$245+'Cálculos'!$D$125*(1+2.78*('Cálculos'!$D$198+(($B$111)-$A94)*'Cálculos'!$D$98)/(('Cálculos'!$D$198+(($B$111)-$A94)*'Cálculos'!$D$98)+1400)+'Cálculos'!$D$123)*'Cálculos'!$D$250)+('Cálculos'!$D$201*(1+'Cálculos'!$D$202+$A94*('Cálculos'!$D$290=2)*'Cálculos'!$D$101)+'Cálculos'!$D$203)*('Cálculos'!$D$241+'Cálculos'!$D$124*(1+2.78*('Cálculos'!$D$198+(($B$111)-$A94)*'Cálculos'!$D$98)/(('Cálculos'!$D$198+(($B$111)-$A94)*'Cálculos'!$D$98)+1400)+'Cálculos'!$D$122)*'Cálculos'!$D$246+'Cálculos'!$D$125*(1+2.78*('Cálculos'!$D$198+(($B$111)-$A94)*'Cálculos'!$D$98)/(('Cálculos'!$D$198+(($B$111)-$A94)*'Cálculos'!$D$98)+1400)+'Cálculos'!$D$123)*'Cálculos'!$D$251)+('Cálculos'!$D$204*(1+'Cálculos'!$D$205+$A94*('Cálculos'!$D$290=3)*'Cálculos'!$D$103)+'Cálculos'!$D$206)*('Cálculos'!$D$242+'Cálculos'!$D$124*(1+2.78*('Cálculos'!$D$198+(($B$111)-$A94)*'Cálculos'!$D$98)/(('Cálculos'!$D$198+(($B$111)-$A94)*'Cálculos'!$D$98)+1400)+'Cálculos'!$D$122)*'Cálculos'!$D$247+'Cálculos'!$D$125*(1+2.78*('Cálculos'!$D$198+(($B$111)-$A94)*'Cálculos'!$D$98)/(('Cálculos'!$D$198+(($B$111)-$A94)*'Cálculos'!$D$98)+1400)+'Cálculos'!$D$123)*'Cálculos'!$D$252)+('Cálculos'!$D$185*(1+'Cálculos'!$D$189+$A94*('Cálculos'!$D$290=1)*'Cálculos'!$D$97+'Cálculos'!$D$305)+'Cálculos'!$D$194)*('Cálculos'!$D$254+'Cálculos'!$D$124*(1+2.78*('Cálculos'!$D$199+(($B$111)-$A94)*'Cálculos'!$D$98)/(('Cálculos'!$D$199+(($B$111)-$A94)*'Cálculos'!$D$98)+1400)+'Cálculos'!$D$122)*'Cálculos'!$D$259+'Cálculos'!$D$125*(1+2.78*('Cálculos'!$D$199+(($B$111)-$A94)*'Cálculos'!$D$98)/(('Cálculos'!$D$199+(($B$111)-$A94)*'Cálculos'!$D$98)+1400)+'Cálculos'!$D$123)*'Cálculos'!$D$264)+('Cálculos'!$D$199+(($B$111)-$A94)*'Cálculos'!$D$98)*('Cálculos'!$D$255+'Cálculos'!$D$124*(1+2.78*('Cálculos'!$D$199+(($B$111)-$A94)*'Cálculos'!$D$98)/(('Cálculos'!$D$199+(($B$111)-$A94)*'Cálculos'!$D$98)+1400)+'Cálculos'!$D$122)*'Cálculos'!$D$260+'Cálculos'!$D$125*(1+2.78*('Cálculos'!$D$199+(($B$111)-$A94)*'Cálculos'!$D$98)/(('Cálculos'!$D$199+(($B$111)-$A94)*'Cálculos'!$D$98)+1400)+'Cálculos'!$D$123)*'Cálculos'!$D$265)+('Cálculos'!$D$201*(1+'Cálculos'!$D$202+$A94*('Cálculos'!$D$290=2)*'Cálculos'!$D$101)+'Cálculos'!$D$203)*('Cálculos'!$D$256+'Cálculos'!$D$124*(1+2.78*('Cálculos'!$D$199+(($B$111)-$A94)*'Cálculos'!$D$98)/(('Cálculos'!$D$199+(($B$111)-$A94)*'Cálculos'!$D$98)+1400)+'Cálculos'!$D$122)*'Cálculos'!$D$261+'Cálculos'!$D$125*(1+2.78*('Cálculos'!$D$199+(($B$111)-$A94)*'Cálculos'!$D$98)/(('Cálculos'!$D$199+(($B$111)-$A94)*'Cálculos'!$D$98)+1400)+'Cálculos'!$D$123)*'Cálculos'!$D$266)+('Cálculos'!$D$204*(1+'Cálculos'!$D$205+$A94*('Cálculos'!$D$290=3)*'Cálculos'!$D$103)+'Cálculos'!$D$206)*('Cálculos'!$D$257+'Cálculos'!$D$124*(1+2.78*('Cálculos'!$D$199+(($B$111)-$A94)*'Cálculos'!$D$98)/(('Cálculos'!$D$199+(($B$111)-$A94)*'Cálculos'!$D$98)+1400)+'Cálculos'!$D$122)*'Cálculos'!$D$262+'Cálculos'!$D$125*(1+2.78*('Cálculos'!$D$199+(($B$111)-$A94)*'Cálculos'!$D$98)/(('Cálculos'!$D$199+(($B$111)-$A94)*'Cálculos'!$D$98)+1400)+'Cálculos'!$D$123)*'Cálculos'!$D$267)+('Cálculos'!$D$185*(1+'Cálculos'!$D$190+$A94*('Cálculos'!$D$290=1)*'Cálculos'!$D$97+'Cálculos'!$D$305)+'Cálculos'!$D$195)*('Cálculos'!$D$269+'Cálculos'!$D$124*(1+2.78*('Cálculos'!$D$200+(($B$111)-$A94)*'Cálculos'!$D$98)/(('Cálculos'!$D$200+(($B$111)-$A94)*'Cálculos'!$D$98)+1400)+'Cálculos'!$D$122)*'Cálculos'!$D$274+'Cálculos'!$D$125*(1+2.78*('Cálculos'!$D$200+(($B$111)-$A94)*'Cálculos'!$D$98)/(('Cálculos'!$D$200+(($B$111)-$A94)*'Cálculos'!$D$98)+1400)+'Cálculos'!$D$123)*'Cálculos'!$D$279)+('Cálculos'!$D$200+(($B$111)-$A94)*'Cálculos'!$D$98)*('Cálculos'!$D$270+'Cálculos'!$D$124*(1+2.78*('Cálculos'!$D$200+(($B$111)-$A94)*'Cálculos'!$D$98)/(('Cálculos'!$D$200+(($B$111)-$A94)*'Cálculos'!$D$98)+1400)+'Cálculos'!$D$122)*'Cálculos'!$D$275+'Cálculos'!$D$125*(1+2.78*('Cálculos'!$D$200+(($B$111)-$A94)*'Cálculos'!$D$98)/(('Cálculos'!$D$200+(($B$111)-$A94)*'Cálculos'!$D$98)+1400)+'Cálculos'!$D$123)*'Cálculos'!$D$280)+('Cálculos'!$D$201*(1+'Cálculos'!$D$202+$A94*('Cálculos'!$D$290=2)*'Cálculos'!$D$101)+'Cálculos'!$D$203)*('Cálculos'!$D$271+'Cálculos'!$D$124*(1+2.78*('Cálculos'!$D$200+(($B$111)-$A94)*'Cálculos'!$D$98)/(('Cálculos'!$D$200+(($B$111)-$A94)*'Cálculos'!$D$98)+1400)+'Cálculos'!$D$122)*'Cálculos'!$D$276+'Cálculos'!$D$125*(1+2.78*('Cálculos'!$D$200+(($B$111)-$A94)*'Cálculos'!$D$98)/(('Cálculos'!$D$200+(($B$111)-$A94)*'Cálculos'!$D$98)+1400)+'Cálculos'!$D$123)*'Cálculos'!$D$281)+('Cálculos'!$D$204*(1+'Cálculos'!$D$205+$A94*('Cálculos'!$D$290=3)*'Cálculos'!$D$103)+'Cálculos'!$D$206)*('Cálculos'!$D$272+'Cálculos'!$D$124*(1+2.78*('Cálculos'!$D$200+(($B$111)-$A94)*'Cálculos'!$D$98)/(('Cálculos'!$D$200+(($B$111)-$A94)*'Cálculos'!$D$98)+1400)+'Cálculos'!$D$122)*'Cálculos'!$D$277+'Cálculos'!$D$125*(1+2.78*('Cálculos'!$D$200+(($B$111)-$A94)*'Cálculos'!$D$98)/(('Cálculos'!$D$200+(($B$111)-$A94)*'Cálculos'!$D$98)+1400)+'Cálculos'!$D$123)*'Cálculos'!$D$282)))</f>
        <v>0</v>
      </c>
    </row>
    <row r="95" ht="15.75" customHeight="1">
      <c r="A95" s="2">
        <v>32.0</v>
      </c>
      <c r="B95" s="30">
        <f>SUMPRODUCT(MAX(($A$63:$A$108&lt;=$A95)*($A$63:$A$108&lt;='Cálculos'!$D$294)*(($A95)-$A$63:$A$108&lt;='Cálculos'!$D$295)*(1+(('Cálculos'!$D$207+$A$63:$A$108*'Cálculos'!$D$95)-(('Cálculos'!$D$207+$A$63:$A$108*'Cálculos'!$D$95)&gt;1)*(('Cálculos'!$D$207+$A$63:$A$108*'Cálculos'!$D$95)-1))*('Cálculos'!$D$208+(($A95)-$A$63:$A$108)*'Cálculos'!$D$96))))</f>
        <v>2.186901448</v>
      </c>
      <c r="C95" s="2">
        <f>'Cálculos'!$D$303-$A95</f>
        <v>-21</v>
      </c>
      <c r="D95" s="31">
        <f>IF($C95&lt;0,0,SUMPRODUCT(MAX(($A$63:$A$108&lt;=$C95)*($A$63:$A$108&lt;='Cálculos'!$D$301)*(($C95)-$A$63:$A$108&lt;='Cálculos'!$D$297)*(('Cálculos'!$D$185*(1+'Cálculos'!$D$186+$A$63:$A$108*('Cálculos'!$D$290=1)*'Cálculos'!$D$97+'Cálculos'!$D$305)+'Cálculos'!$D$191)*('Cálculos'!$D$209+'Cálculos'!$D$124*(1+2.78*('Cálculos'!$D$196+(($C95)-$A$63:$A$108)*'Cálculos'!$D$98)/(('Cálculos'!$D$196+(($C95)-$A$63:$A$108)*'Cálculos'!$D$98)+1400)+'Cálculos'!$D$122)*'Cálculos'!$D$214+'Cálculos'!$D$125*(1+2.78*('Cálculos'!$D$196+(($C95)-$A$63:$A$108)*'Cálculos'!$D$98)/(('Cálculos'!$D$196+(($C95)-$A$63:$A$108)*'Cálculos'!$D$98)+1400)+'Cálculos'!$D$123)*'Cálculos'!$D$219)+('Cálculos'!$D$196+(($C95)-$A$63:$A$108)*'Cálculos'!$D$98)*('Cálculos'!$D$210+'Cálculos'!$D$124*(1+2.78*('Cálculos'!$D$196+(($C95)-$A$63:$A$108)*'Cálculos'!$D$98)/(('Cálculos'!$D$196+(($C95)-$A$63:$A$108)*'Cálculos'!$D$98)+1400)+'Cálculos'!$D$122)*'Cálculos'!$D$215+'Cálculos'!$D$125*(1+2.78*('Cálculos'!$D$196+(($C95)-$A$63:$A$108)*'Cálculos'!$D$98)/(('Cálculos'!$D$196+(($C95)-$A$63:$A$108)*'Cálculos'!$D$98)+1400)+'Cálculos'!$D$123)*'Cálculos'!$D$220)+('Cálculos'!$D$201*(1+'Cálculos'!$D$202+$A$63:$A$108*('Cálculos'!$D$290=2)*'Cálculos'!$D$101)+'Cálculos'!$D$203)*('Cálculos'!$D$211+'Cálculos'!$D$124*(1+2.78*('Cálculos'!$D$196+(($C95)-$A$63:$A$108)*'Cálculos'!$D$98)/(('Cálculos'!$D$196+(($C95)-$A$63:$A$108)*'Cálculos'!$D$98)+1400)+'Cálculos'!$D$122)*'Cálculos'!$D$216+'Cálculos'!$D$125*(1+2.78*('Cálculos'!$D$196+(($C95)-$A$63:$A$108)*'Cálculos'!$D$98)/(('Cálculos'!$D$196+(($C95)-$A$63:$A$108)*'Cálculos'!$D$98)+1400)+'Cálculos'!$D$123)*'Cálculos'!$D$221)+('Cálculos'!$D$204*(1+'Cálculos'!$D$205+$A$63:$A$108*('Cálculos'!$D$290=3)*'Cálculos'!$D$103)+'Cálculos'!$D$206)*('Cálculos'!$D$212+'Cálculos'!$D$124*(1+2.78*('Cálculos'!$D$196+(($C95)-$A$63:$A$108)*'Cálculos'!$D$98)/(('Cálculos'!$D$196+(($C95)-$A$63:$A$108)*'Cálculos'!$D$98)+1400)+'Cálculos'!$D$122)*'Cálculos'!$D$217+'Cálculos'!$D$125*(1+2.78*('Cálculos'!$D$196+(($C95)-$A$63:$A$108)*'Cálculos'!$D$98)/(('Cálculos'!$D$196+(($C95)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95)-$A$63:$A$108)*'Cálculos'!$D$98)/(('Cálculos'!$D$197+(($C95)-$A$63:$A$108)*'Cálculos'!$D$98)+1400)+'Cálculos'!$D$122)*'Cálculos'!$D$229+'Cálculos'!$D$125*(1+2.78*('Cálculos'!$D$197+(($C95)-$A$63:$A$108)*'Cálculos'!$D$98)/(('Cálculos'!$D$197+(($C95)-$A$63:$A$108)*'Cálculos'!$D$98)+1400)+'Cálculos'!$D$123)*'Cálculos'!$D$234)+('Cálculos'!$D$197+(($C95)-$A$63:$A$108)*'Cálculos'!$D$98)*('Cálculos'!$D$225+'Cálculos'!$D$124*(1+2.78*('Cálculos'!$D$197+(($C95)-$A$63:$A$108)*'Cálculos'!$D$98)/(('Cálculos'!$D$197+(($C95)-$A$63:$A$108)*'Cálculos'!$D$98)+1400)+'Cálculos'!$D$122)*'Cálculos'!$D$230+'Cálculos'!$D$125*(1+2.78*('Cálculos'!$D$197+(($C95)-$A$63:$A$108)*'Cálculos'!$D$98)/(('Cálculos'!$D$197+(($C95)-$A$63:$A$108)*'Cálculos'!$D$98)+1400)+'Cálculos'!$D$123)*'Cálculos'!$D$235)+('Cálculos'!$D$201*(1+'Cálculos'!$D$202+$A$63:$A$108*('Cálculos'!$D$290=2)*'Cálculos'!$D$101)+'Cálculos'!$D$203)*('Cálculos'!$D$226+'Cálculos'!$D$124*(1+2.78*('Cálculos'!$D$197+(($C95)-$A$63:$A$108)*'Cálculos'!$D$98)/(('Cálculos'!$D$197+(($C95)-$A$63:$A$108)*'Cálculos'!$D$98)+1400)+'Cálculos'!$D$122)*'Cálculos'!$D$231+'Cálculos'!$D$125*(1+2.78*('Cálculos'!$D$197+(($C95)-$A$63:$A$108)*'Cálculos'!$D$98)/(('Cálculos'!$D$197+(($C95)-$A$63:$A$108)*'Cálculos'!$D$98)+1400)+'Cálculos'!$D$123)*'Cálculos'!$D$236)+('Cálculos'!$D$204*(1+'Cálculos'!$D$205+$A$63:$A$108*('Cálculos'!$D$290=3)*'Cálculos'!$D$103)+'Cálculos'!$D$206)*('Cálculos'!$D$227+'Cálculos'!$D$124*(1+2.78*('Cálculos'!$D$197+(($C95)-$A$63:$A$108)*'Cálculos'!$D$98)/(('Cálculos'!$D$197+(($C95)-$A$63:$A$108)*'Cálculos'!$D$98)+1400)+'Cálculos'!$D$122)*'Cálculos'!$D$232+'Cálculos'!$D$125*(1+2.78*('Cálculos'!$D$197+(($C95)-$A$63:$A$108)*'Cálculos'!$D$98)/(('Cálculos'!$D$197+(($C95)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95)-$A$63:$A$108)*'Cálculos'!$D$98)/(('Cálculos'!$D$198+(($C95)-$A$63:$A$108)*'Cálculos'!$D$98)+1400)+'Cálculos'!$D$122)*'Cálculos'!$D$244+'Cálculos'!$D$125*(1+2.78*('Cálculos'!$D$198+(($C95)-$A$63:$A$108)*'Cálculos'!$D$98)/(('Cálculos'!$D$198+(($C95)-$A$63:$A$108)*'Cálculos'!$D$98)+1400)+'Cálculos'!$D$123)*'Cálculos'!$D$249)+('Cálculos'!$D$198+(($C95)-$A$63:$A$108)*'Cálculos'!$D$98)*('Cálculos'!$D$240+'Cálculos'!$D$124*(1+2.78*('Cálculos'!$D$198+(($C95)-$A$63:$A$108)*'Cálculos'!$D$98)/(('Cálculos'!$D$198+(($C95)-$A$63:$A$108)*'Cálculos'!$D$98)+1400)+'Cálculos'!$D$122)*'Cálculos'!$D$245+'Cálculos'!$D$125*(1+2.78*('Cálculos'!$D$198+(($C95)-$A$63:$A$108)*'Cálculos'!$D$98)/(('Cálculos'!$D$198+(($C95)-$A$63:$A$108)*'Cálculos'!$D$98)+1400)+'Cálculos'!$D$123)*'Cálculos'!$D$250)+('Cálculos'!$D$201*(1+'Cálculos'!$D$202+$A$63:$A$108*('Cálculos'!$D$290=2)*'Cálculos'!$D$101)+'Cálculos'!$D$203)*('Cálculos'!$D$241+'Cálculos'!$D$124*(1+2.78*('Cálculos'!$D$198+(($C95)-$A$63:$A$108)*'Cálculos'!$D$98)/(('Cálculos'!$D$198+(($C95)-$A$63:$A$108)*'Cálculos'!$D$98)+1400)+'Cálculos'!$D$122)*'Cálculos'!$D$246+'Cálculos'!$D$125*(1+2.78*('Cálculos'!$D$198+(($C95)-$A$63:$A$108)*'Cálculos'!$D$98)/(('Cálculos'!$D$198+(($C95)-$A$63:$A$108)*'Cálculos'!$D$98)+1400)+'Cálculos'!$D$123)*'Cálculos'!$D$251)+('Cálculos'!$D$204*(1+'Cálculos'!$D$205+$A$63:$A$108*('Cálculos'!$D$290=3)*'Cálculos'!$D$103)+'Cálculos'!$D$206)*('Cálculos'!$D$242+'Cálculos'!$D$124*(1+2.78*('Cálculos'!$D$198+(($C95)-$A$63:$A$108)*'Cálculos'!$D$98)/(('Cálculos'!$D$198+(($C95)-$A$63:$A$108)*'Cálculos'!$D$98)+1400)+'Cálculos'!$D$122)*'Cálculos'!$D$247+'Cálculos'!$D$125*(1+2.78*('Cálculos'!$D$198+(($C95)-$A$63:$A$108)*'Cálculos'!$D$98)/(('Cálculos'!$D$198+(($C95)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95)-$A$63:$A$108)*'Cálculos'!$D$98)/(('Cálculos'!$D$199+(($C95)-$A$63:$A$108)*'Cálculos'!$D$98)+1400)+'Cálculos'!$D$122)*'Cálculos'!$D$259+'Cálculos'!$D$125*(1+2.78*('Cálculos'!$D$199+(($C95)-$A$63:$A$108)*'Cálculos'!$D$98)/(('Cálculos'!$D$199+(($C95)-$A$63:$A$108)*'Cálculos'!$D$98)+1400)+'Cálculos'!$D$123)*'Cálculos'!$D$264)+('Cálculos'!$D$199+(($C95)-$A$63:$A$108)*'Cálculos'!$D$98)*('Cálculos'!$D$255+'Cálculos'!$D$124*(1+2.78*('Cálculos'!$D$199+(($C95)-$A$63:$A$108)*'Cálculos'!$D$98)/(('Cálculos'!$D$199+(($C95)-$A$63:$A$108)*'Cálculos'!$D$98)+1400)+'Cálculos'!$D$122)*'Cálculos'!$D$260+'Cálculos'!$D$125*(1+2.78*('Cálculos'!$D$199+(($C95)-$A$63:$A$108)*'Cálculos'!$D$98)/(('Cálculos'!$D$199+(($C95)-$A$63:$A$108)*'Cálculos'!$D$98)+1400)+'Cálculos'!$D$123)*'Cálculos'!$D$265)+('Cálculos'!$D$201*(1+'Cálculos'!$D$202+$A$63:$A$108*('Cálculos'!$D$290=2)*'Cálculos'!$D$101)+'Cálculos'!$D$203)*('Cálculos'!$D$256+'Cálculos'!$D$124*(1+2.78*('Cálculos'!$D$199+(($C95)-$A$63:$A$108)*'Cálculos'!$D$98)/(('Cálculos'!$D$199+(($C95)-$A$63:$A$108)*'Cálculos'!$D$98)+1400)+'Cálculos'!$D$122)*'Cálculos'!$D$261+'Cálculos'!$D$125*(1+2.78*('Cálculos'!$D$199+(($C95)-$A$63:$A$108)*'Cálculos'!$D$98)/(('Cálculos'!$D$199+(($C95)-$A$63:$A$108)*'Cálculos'!$D$98)+1400)+'Cálculos'!$D$123)*'Cálculos'!$D$266)+('Cálculos'!$D$204*(1+'Cálculos'!$D$205+$A$63:$A$108*('Cálculos'!$D$290=3)*'Cálculos'!$D$103)+'Cálculos'!$D$206)*('Cálculos'!$D$257+'Cálculos'!$D$124*(1+2.78*('Cálculos'!$D$199+(($C95)-$A$63:$A$108)*'Cálculos'!$D$98)/(('Cálculos'!$D$199+(($C95)-$A$63:$A$108)*'Cálculos'!$D$98)+1400)+'Cálculos'!$D$122)*'Cálculos'!$D$262+'Cálculos'!$D$125*(1+2.78*('Cálculos'!$D$199+(($C95)-$A$63:$A$108)*'Cálculos'!$D$98)/(('Cálculos'!$D$199+(($C95)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95)-$A$63:$A$108)*'Cálculos'!$D$98)/(('Cálculos'!$D$200+(($C95)-$A$63:$A$108)*'Cálculos'!$D$98)+1400)+'Cálculos'!$D$122)*'Cálculos'!$D$274+'Cálculos'!$D$125*(1+2.78*('Cálculos'!$D$200+(($C95)-$A$63:$A$108)*'Cálculos'!$D$98)/(('Cálculos'!$D$200+(($C95)-$A$63:$A$108)*'Cálculos'!$D$98)+1400)+'Cálculos'!$D$123)*'Cálculos'!$D$279)+('Cálculos'!$D$200+(($C95)-$A$63:$A$108)*'Cálculos'!$D$98)*('Cálculos'!$D$270+'Cálculos'!$D$124*(1+2.78*('Cálculos'!$D$200+(($C95)-$A$63:$A$108)*'Cálculos'!$D$98)/(('Cálculos'!$D$200+(($C95)-$A$63:$A$108)*'Cálculos'!$D$98)+1400)+'Cálculos'!$D$122)*'Cálculos'!$D$275+'Cálculos'!$D$125*(1+2.78*('Cálculos'!$D$200+(($C95)-$A$63:$A$108)*'Cálculos'!$D$98)/(('Cálculos'!$D$200+(($C95)-$A$63:$A$108)*'Cálculos'!$D$98)+1400)+'Cálculos'!$D$123)*'Cálculos'!$D$280)+('Cálculos'!$D$201*(1+'Cálculos'!$D$202+$A$63:$A$108*('Cálculos'!$D$290=2)*'Cálculos'!$D$101)+'Cálculos'!$D$203)*('Cálculos'!$D$271+'Cálculos'!$D$124*(1+2.78*('Cálculos'!$D$200+(($C95)-$A$63:$A$108)*'Cálculos'!$D$98)/(('Cálculos'!$D$200+(($C95)-$A$63:$A$108)*'Cálculos'!$D$98)+1400)+'Cálculos'!$D$122)*'Cálculos'!$D$276+'Cálculos'!$D$125*(1+2.78*('Cálculos'!$D$200+(($C95)-$A$63:$A$108)*'Cálculos'!$D$98)/(('Cálculos'!$D$200+(($C95)-$A$63:$A$108)*'Cálculos'!$D$98)+1400)+'Cálculos'!$D$123)*'Cálculos'!$D$281)+('Cálculos'!$D$204*(1+'Cálculos'!$D$205+$A$63:$A$108*('Cálculos'!$D$290=3)*'Cálculos'!$D$103)+'Cálculos'!$D$206)*('Cálculos'!$D$272+'Cálculos'!$D$124*(1+2.78*('Cálculos'!$D$200+(($C95)-$A$63:$A$108)*'Cálculos'!$D$98)/(('Cálculos'!$D$200+(($C95)-$A$63:$A$108)*'Cálculos'!$D$98)+1400)+'Cálculos'!$D$122)*'Cálculos'!$D$277+'Cálculos'!$D$125*(1+2.78*('Cálculos'!$D$200+(($C95)-$A$63:$A$108)*'Cálculos'!$D$98)/(('Cálculos'!$D$200+(($C95)-$A$63:$A$108)*'Cálculos'!$D$98)+1400)+'Cálculos'!$D$123)*'Cálculos'!$D$282)))))</f>
        <v>0</v>
      </c>
      <c r="E95" s="32">
        <f>IF(OR($C95&lt;0,'Cálculos'!$D$6=""),0,$B95*$D95)</f>
        <v>0</v>
      </c>
      <c r="F95" s="2"/>
      <c r="G95" s="30">
        <f>($A95&lt;=$B$110)*($A95&lt;='Cálculos'!$D$294)*(($B$110)-$A95&lt;='Cálculos'!$D$295)*(1+MIN(('Cálculos'!$D$207+$A95*'Cálculos'!$D$95),1)*('Cálculos'!$D$208+(($B$110)-$A95)*'Cálculos'!$D$96))</f>
        <v>0</v>
      </c>
      <c r="H95" s="31">
        <f>IF($B$111&lt;0,0,($A95&lt;=$B$111)*($A95&lt;='Cálculos'!$D$301)*(($B$111)-$A95&lt;='Cálculos'!$D$297)*(('Cálculos'!$D$185*(1+'Cálculos'!$D$186+$A95*('Cálculos'!$D$290=1)*'Cálculos'!$D$97+'Cálculos'!$D$305)+'Cálculos'!$D$191)*('Cálculos'!$D$209+'Cálculos'!$D$124*(1+2.78*('Cálculos'!$D$196+(($B$111)-$A95)*'Cálculos'!$D$98)/(('Cálculos'!$D$196+(($B$111)-$A95)*'Cálculos'!$D$98)+1400)+'Cálculos'!$D$122)*'Cálculos'!$D$214+'Cálculos'!$D$125*(1+2.78*('Cálculos'!$D$196+(($B$111)-$A95)*'Cálculos'!$D$98)/(('Cálculos'!$D$196+(($B$111)-$A95)*'Cálculos'!$D$98)+1400)+'Cálculos'!$D$123)*'Cálculos'!$D$219)+('Cálculos'!$D$196+(($B$111)-$A95)*'Cálculos'!$D$98)*('Cálculos'!$D$210+'Cálculos'!$D$124*(1+2.78*('Cálculos'!$D$196+(($B$111)-$A95)*'Cálculos'!$D$98)/(('Cálculos'!$D$196+(($B$111)-$A95)*'Cálculos'!$D$98)+1400)+'Cálculos'!$D$122)*'Cálculos'!$D$215+'Cálculos'!$D$125*(1+2.78*('Cálculos'!$D$196+(($B$111)-$A95)*'Cálculos'!$D$98)/(('Cálculos'!$D$196+(($B$111)-$A95)*'Cálculos'!$D$98)+1400)+'Cálculos'!$D$123)*'Cálculos'!$D$220)+('Cálculos'!$D$201*(1+'Cálculos'!$D$202+$A95*('Cálculos'!$D$290=2)*'Cálculos'!$D$101)+'Cálculos'!$D$203)*('Cálculos'!$D$211+'Cálculos'!$D$124*(1+2.78*('Cálculos'!$D$196+(($B$111)-$A95)*'Cálculos'!$D$98)/(('Cálculos'!$D$196+(($B$111)-$A95)*'Cálculos'!$D$98)+1400)+'Cálculos'!$D$122)*'Cálculos'!$D$216+'Cálculos'!$D$125*(1+2.78*('Cálculos'!$D$196+(($B$111)-$A95)*'Cálculos'!$D$98)/(('Cálculos'!$D$196+(($B$111)-$A95)*'Cálculos'!$D$98)+1400)+'Cálculos'!$D$123)*'Cálculos'!$D$221)+('Cálculos'!$D$204*(1+'Cálculos'!$D$205+$A95*('Cálculos'!$D$290=3)*'Cálculos'!$D$103)+'Cálculos'!$D$206)*('Cálculos'!$D$212+'Cálculos'!$D$124*(1+2.78*('Cálculos'!$D$196+(($B$111)-$A95)*'Cálculos'!$D$98)/(('Cálculos'!$D$196+(($B$111)-$A95)*'Cálculos'!$D$98)+1400)+'Cálculos'!$D$122)*'Cálculos'!$D$217+'Cálculos'!$D$125*(1+2.78*('Cálculos'!$D$196+(($B$111)-$A95)*'Cálculos'!$D$98)/(('Cálculos'!$D$196+(($B$111)-$A95)*'Cálculos'!$D$98)+1400)+'Cálculos'!$D$123)*'Cálculos'!$D$222)+('Cálculos'!$D$185*(1+'Cálculos'!$D$187+$A95*('Cálculos'!$D$290=1)*'Cálculos'!$D$97+'Cálculos'!$D$305)+'Cálculos'!$D$192)*('Cálculos'!$D$224+'Cálculos'!$D$124*(1+2.78*('Cálculos'!$D$197+(($B$111)-$A95)*'Cálculos'!$D$98)/(('Cálculos'!$D$197+(($B$111)-$A95)*'Cálculos'!$D$98)+1400)+'Cálculos'!$D$122)*'Cálculos'!$D$229+'Cálculos'!$D$125*(1+2.78*('Cálculos'!$D$197+(($B$111)-$A95)*'Cálculos'!$D$98)/(('Cálculos'!$D$197+(($B$111)-$A95)*'Cálculos'!$D$98)+1400)+'Cálculos'!$D$123)*'Cálculos'!$D$234)+('Cálculos'!$D$197+(($B$111)-$A95)*'Cálculos'!$D$98)*('Cálculos'!$D$225+'Cálculos'!$D$124*(1+2.78*('Cálculos'!$D$197+(($B$111)-$A95)*'Cálculos'!$D$98)/(('Cálculos'!$D$197+(($B$111)-$A95)*'Cálculos'!$D$98)+1400)+'Cálculos'!$D$122)*'Cálculos'!$D$230+'Cálculos'!$D$125*(1+2.78*('Cálculos'!$D$197+(($B$111)-$A95)*'Cálculos'!$D$98)/(('Cálculos'!$D$197+(($B$111)-$A95)*'Cálculos'!$D$98)+1400)+'Cálculos'!$D$123)*'Cálculos'!$D$235)+('Cálculos'!$D$201*(1+'Cálculos'!$D$202+$A95*('Cálculos'!$D$290=2)*'Cálculos'!$D$101)+'Cálculos'!$D$203)*('Cálculos'!$D$226+'Cálculos'!$D$124*(1+2.78*('Cálculos'!$D$197+(($B$111)-$A95)*'Cálculos'!$D$98)/(('Cálculos'!$D$197+(($B$111)-$A95)*'Cálculos'!$D$98)+1400)+'Cálculos'!$D$122)*'Cálculos'!$D$231+'Cálculos'!$D$125*(1+2.78*('Cálculos'!$D$197+(($B$111)-$A95)*'Cálculos'!$D$98)/(('Cálculos'!$D$197+(($B$111)-$A95)*'Cálculos'!$D$98)+1400)+'Cálculos'!$D$123)*'Cálculos'!$D$236)+('Cálculos'!$D$204*(1+'Cálculos'!$D$205+$A95*('Cálculos'!$D$290=3)*'Cálculos'!$D$103)+'Cálculos'!$D$206)*('Cálculos'!$D$227+'Cálculos'!$D$124*(1+2.78*('Cálculos'!$D$197+(($B$111)-$A95)*'Cálculos'!$D$98)/(('Cálculos'!$D$197+(($B$111)-$A95)*'Cálculos'!$D$98)+1400)+'Cálculos'!$D$122)*'Cálculos'!$D$232+'Cálculos'!$D$125*(1+2.78*('Cálculos'!$D$197+(($B$111)-$A95)*'Cálculos'!$D$98)/(('Cálculos'!$D$197+(($B$111)-$A95)*'Cálculos'!$D$98)+1400)+'Cálculos'!$D$123)*'Cálculos'!$D$237)+('Cálculos'!$D$185*(1+'Cálculos'!$D$188+$A95*('Cálculos'!$D$290=1)*'Cálculos'!$D$97+'Cálculos'!$D$305)+'Cálculos'!$D$193)*('Cálculos'!$D$239+'Cálculos'!$D$124*(1+2.78*('Cálculos'!$D$198+(($B$111)-$A95)*'Cálculos'!$D$98)/(('Cálculos'!$D$198+(($B$111)-$A95)*'Cálculos'!$D$98)+1400)+'Cálculos'!$D$122)*'Cálculos'!$D$244+'Cálculos'!$D$125*(1+2.78*('Cálculos'!$D$198+(($B$111)-$A95)*'Cálculos'!$D$98)/(('Cálculos'!$D$198+(($B$111)-$A95)*'Cálculos'!$D$98)+1400)+'Cálculos'!$D$123)*'Cálculos'!$D$249)+('Cálculos'!$D$198+(($B$111)-$A95)*'Cálculos'!$D$98)*('Cálculos'!$D$240+'Cálculos'!$D$124*(1+2.78*('Cálculos'!$D$198+(($B$111)-$A95)*'Cálculos'!$D$98)/(('Cálculos'!$D$198+(($B$111)-$A95)*'Cálculos'!$D$98)+1400)+'Cálculos'!$D$122)*'Cálculos'!$D$245+'Cálculos'!$D$125*(1+2.78*('Cálculos'!$D$198+(($B$111)-$A95)*'Cálculos'!$D$98)/(('Cálculos'!$D$198+(($B$111)-$A95)*'Cálculos'!$D$98)+1400)+'Cálculos'!$D$123)*'Cálculos'!$D$250)+('Cálculos'!$D$201*(1+'Cálculos'!$D$202+$A95*('Cálculos'!$D$290=2)*'Cálculos'!$D$101)+'Cálculos'!$D$203)*('Cálculos'!$D$241+'Cálculos'!$D$124*(1+2.78*('Cálculos'!$D$198+(($B$111)-$A95)*'Cálculos'!$D$98)/(('Cálculos'!$D$198+(($B$111)-$A95)*'Cálculos'!$D$98)+1400)+'Cálculos'!$D$122)*'Cálculos'!$D$246+'Cálculos'!$D$125*(1+2.78*('Cálculos'!$D$198+(($B$111)-$A95)*'Cálculos'!$D$98)/(('Cálculos'!$D$198+(($B$111)-$A95)*'Cálculos'!$D$98)+1400)+'Cálculos'!$D$123)*'Cálculos'!$D$251)+('Cálculos'!$D$204*(1+'Cálculos'!$D$205+$A95*('Cálculos'!$D$290=3)*'Cálculos'!$D$103)+'Cálculos'!$D$206)*('Cálculos'!$D$242+'Cálculos'!$D$124*(1+2.78*('Cálculos'!$D$198+(($B$111)-$A95)*'Cálculos'!$D$98)/(('Cálculos'!$D$198+(($B$111)-$A95)*'Cálculos'!$D$98)+1400)+'Cálculos'!$D$122)*'Cálculos'!$D$247+'Cálculos'!$D$125*(1+2.78*('Cálculos'!$D$198+(($B$111)-$A95)*'Cálculos'!$D$98)/(('Cálculos'!$D$198+(($B$111)-$A95)*'Cálculos'!$D$98)+1400)+'Cálculos'!$D$123)*'Cálculos'!$D$252)+('Cálculos'!$D$185*(1+'Cálculos'!$D$189+$A95*('Cálculos'!$D$290=1)*'Cálculos'!$D$97+'Cálculos'!$D$305)+'Cálculos'!$D$194)*('Cálculos'!$D$254+'Cálculos'!$D$124*(1+2.78*('Cálculos'!$D$199+(($B$111)-$A95)*'Cálculos'!$D$98)/(('Cálculos'!$D$199+(($B$111)-$A95)*'Cálculos'!$D$98)+1400)+'Cálculos'!$D$122)*'Cálculos'!$D$259+'Cálculos'!$D$125*(1+2.78*('Cálculos'!$D$199+(($B$111)-$A95)*'Cálculos'!$D$98)/(('Cálculos'!$D$199+(($B$111)-$A95)*'Cálculos'!$D$98)+1400)+'Cálculos'!$D$123)*'Cálculos'!$D$264)+('Cálculos'!$D$199+(($B$111)-$A95)*'Cálculos'!$D$98)*('Cálculos'!$D$255+'Cálculos'!$D$124*(1+2.78*('Cálculos'!$D$199+(($B$111)-$A95)*'Cálculos'!$D$98)/(('Cálculos'!$D$199+(($B$111)-$A95)*'Cálculos'!$D$98)+1400)+'Cálculos'!$D$122)*'Cálculos'!$D$260+'Cálculos'!$D$125*(1+2.78*('Cálculos'!$D$199+(($B$111)-$A95)*'Cálculos'!$D$98)/(('Cálculos'!$D$199+(($B$111)-$A95)*'Cálculos'!$D$98)+1400)+'Cálculos'!$D$123)*'Cálculos'!$D$265)+('Cálculos'!$D$201*(1+'Cálculos'!$D$202+$A95*('Cálculos'!$D$290=2)*'Cálculos'!$D$101)+'Cálculos'!$D$203)*('Cálculos'!$D$256+'Cálculos'!$D$124*(1+2.78*('Cálculos'!$D$199+(($B$111)-$A95)*'Cálculos'!$D$98)/(('Cálculos'!$D$199+(($B$111)-$A95)*'Cálculos'!$D$98)+1400)+'Cálculos'!$D$122)*'Cálculos'!$D$261+'Cálculos'!$D$125*(1+2.78*('Cálculos'!$D$199+(($B$111)-$A95)*'Cálculos'!$D$98)/(('Cálculos'!$D$199+(($B$111)-$A95)*'Cálculos'!$D$98)+1400)+'Cálculos'!$D$123)*'Cálculos'!$D$266)+('Cálculos'!$D$204*(1+'Cálculos'!$D$205+$A95*('Cálculos'!$D$290=3)*'Cálculos'!$D$103)+'Cálculos'!$D$206)*('Cálculos'!$D$257+'Cálculos'!$D$124*(1+2.78*('Cálculos'!$D$199+(($B$111)-$A95)*'Cálculos'!$D$98)/(('Cálculos'!$D$199+(($B$111)-$A95)*'Cálculos'!$D$98)+1400)+'Cálculos'!$D$122)*'Cálculos'!$D$262+'Cálculos'!$D$125*(1+2.78*('Cálculos'!$D$199+(($B$111)-$A95)*'Cálculos'!$D$98)/(('Cálculos'!$D$199+(($B$111)-$A95)*'Cálculos'!$D$98)+1400)+'Cálculos'!$D$123)*'Cálculos'!$D$267)+('Cálculos'!$D$185*(1+'Cálculos'!$D$190+$A95*('Cálculos'!$D$290=1)*'Cálculos'!$D$97+'Cálculos'!$D$305)+'Cálculos'!$D$195)*('Cálculos'!$D$269+'Cálculos'!$D$124*(1+2.78*('Cálculos'!$D$200+(($B$111)-$A95)*'Cálculos'!$D$98)/(('Cálculos'!$D$200+(($B$111)-$A95)*'Cálculos'!$D$98)+1400)+'Cálculos'!$D$122)*'Cálculos'!$D$274+'Cálculos'!$D$125*(1+2.78*('Cálculos'!$D$200+(($B$111)-$A95)*'Cálculos'!$D$98)/(('Cálculos'!$D$200+(($B$111)-$A95)*'Cálculos'!$D$98)+1400)+'Cálculos'!$D$123)*'Cálculos'!$D$279)+('Cálculos'!$D$200+(($B$111)-$A95)*'Cálculos'!$D$98)*('Cálculos'!$D$270+'Cálculos'!$D$124*(1+2.78*('Cálculos'!$D$200+(($B$111)-$A95)*'Cálculos'!$D$98)/(('Cálculos'!$D$200+(($B$111)-$A95)*'Cálculos'!$D$98)+1400)+'Cálculos'!$D$122)*'Cálculos'!$D$275+'Cálculos'!$D$125*(1+2.78*('Cálculos'!$D$200+(($B$111)-$A95)*'Cálculos'!$D$98)/(('Cálculos'!$D$200+(($B$111)-$A95)*'Cálculos'!$D$98)+1400)+'Cálculos'!$D$123)*'Cálculos'!$D$280)+('Cálculos'!$D$201*(1+'Cálculos'!$D$202+$A95*('Cálculos'!$D$290=2)*'Cálculos'!$D$101)+'Cálculos'!$D$203)*('Cálculos'!$D$271+'Cálculos'!$D$124*(1+2.78*('Cálculos'!$D$200+(($B$111)-$A95)*'Cálculos'!$D$98)/(('Cálculos'!$D$200+(($B$111)-$A95)*'Cálculos'!$D$98)+1400)+'Cálculos'!$D$122)*'Cálculos'!$D$276+'Cálculos'!$D$125*(1+2.78*('Cálculos'!$D$200+(($B$111)-$A95)*'Cálculos'!$D$98)/(('Cálculos'!$D$200+(($B$111)-$A95)*'Cálculos'!$D$98)+1400)+'Cálculos'!$D$123)*'Cálculos'!$D$281)+('Cálculos'!$D$204*(1+'Cálculos'!$D$205+$A95*('Cálculos'!$D$290=3)*'Cálculos'!$D$103)+'Cálculos'!$D$206)*('Cálculos'!$D$272+'Cálculos'!$D$124*(1+2.78*('Cálculos'!$D$200+(($B$111)-$A95)*'Cálculos'!$D$98)/(('Cálculos'!$D$200+(($B$111)-$A95)*'Cálculos'!$D$98)+1400)+'Cálculos'!$D$122)*'Cálculos'!$D$277+'Cálculos'!$D$125*(1+2.78*('Cálculos'!$D$200+(($B$111)-$A95)*'Cálculos'!$D$98)/(('Cálculos'!$D$200+(($B$111)-$A95)*'Cálculos'!$D$98)+1400)+'Cálculos'!$D$123)*'Cálculos'!$D$282)))</f>
        <v>0</v>
      </c>
    </row>
    <row r="96" ht="15.75" customHeight="1">
      <c r="A96" s="2">
        <v>33.0</v>
      </c>
      <c r="B96" s="30">
        <f>SUMPRODUCT(MAX(($A$63:$A$108&lt;=$A96)*($A$63:$A$108&lt;='Cálculos'!$D$294)*(($A96)-$A$63:$A$108&lt;='Cálculos'!$D$295)*(1+(('Cálculos'!$D$207+$A$63:$A$108*'Cálculos'!$D$95)-(('Cálculos'!$D$207+$A$63:$A$108*'Cálculos'!$D$95)&gt;1)*(('Cálculos'!$D$207+$A$63:$A$108*'Cálculos'!$D$95)-1))*('Cálculos'!$D$208+(($A96)-$A$63:$A$108)*'Cálculos'!$D$96))))</f>
        <v>2.230747922</v>
      </c>
      <c r="C96" s="2">
        <f>'Cálculos'!$D$303-$A96</f>
        <v>-22</v>
      </c>
      <c r="D96" s="31">
        <f>IF($C96&lt;0,0,SUMPRODUCT(MAX(($A$63:$A$108&lt;=$C96)*($A$63:$A$108&lt;='Cálculos'!$D$301)*(($C96)-$A$63:$A$108&lt;='Cálculos'!$D$297)*(('Cálculos'!$D$185*(1+'Cálculos'!$D$186+$A$63:$A$108*('Cálculos'!$D$290=1)*'Cálculos'!$D$97+'Cálculos'!$D$305)+'Cálculos'!$D$191)*('Cálculos'!$D$209+'Cálculos'!$D$124*(1+2.78*('Cálculos'!$D$196+(($C96)-$A$63:$A$108)*'Cálculos'!$D$98)/(('Cálculos'!$D$196+(($C96)-$A$63:$A$108)*'Cálculos'!$D$98)+1400)+'Cálculos'!$D$122)*'Cálculos'!$D$214+'Cálculos'!$D$125*(1+2.78*('Cálculos'!$D$196+(($C96)-$A$63:$A$108)*'Cálculos'!$D$98)/(('Cálculos'!$D$196+(($C96)-$A$63:$A$108)*'Cálculos'!$D$98)+1400)+'Cálculos'!$D$123)*'Cálculos'!$D$219)+('Cálculos'!$D$196+(($C96)-$A$63:$A$108)*'Cálculos'!$D$98)*('Cálculos'!$D$210+'Cálculos'!$D$124*(1+2.78*('Cálculos'!$D$196+(($C96)-$A$63:$A$108)*'Cálculos'!$D$98)/(('Cálculos'!$D$196+(($C96)-$A$63:$A$108)*'Cálculos'!$D$98)+1400)+'Cálculos'!$D$122)*'Cálculos'!$D$215+'Cálculos'!$D$125*(1+2.78*('Cálculos'!$D$196+(($C96)-$A$63:$A$108)*'Cálculos'!$D$98)/(('Cálculos'!$D$196+(($C96)-$A$63:$A$108)*'Cálculos'!$D$98)+1400)+'Cálculos'!$D$123)*'Cálculos'!$D$220)+('Cálculos'!$D$201*(1+'Cálculos'!$D$202+$A$63:$A$108*('Cálculos'!$D$290=2)*'Cálculos'!$D$101)+'Cálculos'!$D$203)*('Cálculos'!$D$211+'Cálculos'!$D$124*(1+2.78*('Cálculos'!$D$196+(($C96)-$A$63:$A$108)*'Cálculos'!$D$98)/(('Cálculos'!$D$196+(($C96)-$A$63:$A$108)*'Cálculos'!$D$98)+1400)+'Cálculos'!$D$122)*'Cálculos'!$D$216+'Cálculos'!$D$125*(1+2.78*('Cálculos'!$D$196+(($C96)-$A$63:$A$108)*'Cálculos'!$D$98)/(('Cálculos'!$D$196+(($C96)-$A$63:$A$108)*'Cálculos'!$D$98)+1400)+'Cálculos'!$D$123)*'Cálculos'!$D$221)+('Cálculos'!$D$204*(1+'Cálculos'!$D$205+$A$63:$A$108*('Cálculos'!$D$290=3)*'Cálculos'!$D$103)+'Cálculos'!$D$206)*('Cálculos'!$D$212+'Cálculos'!$D$124*(1+2.78*('Cálculos'!$D$196+(($C96)-$A$63:$A$108)*'Cálculos'!$D$98)/(('Cálculos'!$D$196+(($C96)-$A$63:$A$108)*'Cálculos'!$D$98)+1400)+'Cálculos'!$D$122)*'Cálculos'!$D$217+'Cálculos'!$D$125*(1+2.78*('Cálculos'!$D$196+(($C96)-$A$63:$A$108)*'Cálculos'!$D$98)/(('Cálculos'!$D$196+(($C96)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96)-$A$63:$A$108)*'Cálculos'!$D$98)/(('Cálculos'!$D$197+(($C96)-$A$63:$A$108)*'Cálculos'!$D$98)+1400)+'Cálculos'!$D$122)*'Cálculos'!$D$229+'Cálculos'!$D$125*(1+2.78*('Cálculos'!$D$197+(($C96)-$A$63:$A$108)*'Cálculos'!$D$98)/(('Cálculos'!$D$197+(($C96)-$A$63:$A$108)*'Cálculos'!$D$98)+1400)+'Cálculos'!$D$123)*'Cálculos'!$D$234)+('Cálculos'!$D$197+(($C96)-$A$63:$A$108)*'Cálculos'!$D$98)*('Cálculos'!$D$225+'Cálculos'!$D$124*(1+2.78*('Cálculos'!$D$197+(($C96)-$A$63:$A$108)*'Cálculos'!$D$98)/(('Cálculos'!$D$197+(($C96)-$A$63:$A$108)*'Cálculos'!$D$98)+1400)+'Cálculos'!$D$122)*'Cálculos'!$D$230+'Cálculos'!$D$125*(1+2.78*('Cálculos'!$D$197+(($C96)-$A$63:$A$108)*'Cálculos'!$D$98)/(('Cálculos'!$D$197+(($C96)-$A$63:$A$108)*'Cálculos'!$D$98)+1400)+'Cálculos'!$D$123)*'Cálculos'!$D$235)+('Cálculos'!$D$201*(1+'Cálculos'!$D$202+$A$63:$A$108*('Cálculos'!$D$290=2)*'Cálculos'!$D$101)+'Cálculos'!$D$203)*('Cálculos'!$D$226+'Cálculos'!$D$124*(1+2.78*('Cálculos'!$D$197+(($C96)-$A$63:$A$108)*'Cálculos'!$D$98)/(('Cálculos'!$D$197+(($C96)-$A$63:$A$108)*'Cálculos'!$D$98)+1400)+'Cálculos'!$D$122)*'Cálculos'!$D$231+'Cálculos'!$D$125*(1+2.78*('Cálculos'!$D$197+(($C96)-$A$63:$A$108)*'Cálculos'!$D$98)/(('Cálculos'!$D$197+(($C96)-$A$63:$A$108)*'Cálculos'!$D$98)+1400)+'Cálculos'!$D$123)*'Cálculos'!$D$236)+('Cálculos'!$D$204*(1+'Cálculos'!$D$205+$A$63:$A$108*('Cálculos'!$D$290=3)*'Cálculos'!$D$103)+'Cálculos'!$D$206)*('Cálculos'!$D$227+'Cálculos'!$D$124*(1+2.78*('Cálculos'!$D$197+(($C96)-$A$63:$A$108)*'Cálculos'!$D$98)/(('Cálculos'!$D$197+(($C96)-$A$63:$A$108)*'Cálculos'!$D$98)+1400)+'Cálculos'!$D$122)*'Cálculos'!$D$232+'Cálculos'!$D$125*(1+2.78*('Cálculos'!$D$197+(($C96)-$A$63:$A$108)*'Cálculos'!$D$98)/(('Cálculos'!$D$197+(($C96)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96)-$A$63:$A$108)*'Cálculos'!$D$98)/(('Cálculos'!$D$198+(($C96)-$A$63:$A$108)*'Cálculos'!$D$98)+1400)+'Cálculos'!$D$122)*'Cálculos'!$D$244+'Cálculos'!$D$125*(1+2.78*('Cálculos'!$D$198+(($C96)-$A$63:$A$108)*'Cálculos'!$D$98)/(('Cálculos'!$D$198+(($C96)-$A$63:$A$108)*'Cálculos'!$D$98)+1400)+'Cálculos'!$D$123)*'Cálculos'!$D$249)+('Cálculos'!$D$198+(($C96)-$A$63:$A$108)*'Cálculos'!$D$98)*('Cálculos'!$D$240+'Cálculos'!$D$124*(1+2.78*('Cálculos'!$D$198+(($C96)-$A$63:$A$108)*'Cálculos'!$D$98)/(('Cálculos'!$D$198+(($C96)-$A$63:$A$108)*'Cálculos'!$D$98)+1400)+'Cálculos'!$D$122)*'Cálculos'!$D$245+'Cálculos'!$D$125*(1+2.78*('Cálculos'!$D$198+(($C96)-$A$63:$A$108)*'Cálculos'!$D$98)/(('Cálculos'!$D$198+(($C96)-$A$63:$A$108)*'Cálculos'!$D$98)+1400)+'Cálculos'!$D$123)*'Cálculos'!$D$250)+('Cálculos'!$D$201*(1+'Cálculos'!$D$202+$A$63:$A$108*('Cálculos'!$D$290=2)*'Cálculos'!$D$101)+'Cálculos'!$D$203)*('Cálculos'!$D$241+'Cálculos'!$D$124*(1+2.78*('Cálculos'!$D$198+(($C96)-$A$63:$A$108)*'Cálculos'!$D$98)/(('Cálculos'!$D$198+(($C96)-$A$63:$A$108)*'Cálculos'!$D$98)+1400)+'Cálculos'!$D$122)*'Cálculos'!$D$246+'Cálculos'!$D$125*(1+2.78*('Cálculos'!$D$198+(($C96)-$A$63:$A$108)*'Cálculos'!$D$98)/(('Cálculos'!$D$198+(($C96)-$A$63:$A$108)*'Cálculos'!$D$98)+1400)+'Cálculos'!$D$123)*'Cálculos'!$D$251)+('Cálculos'!$D$204*(1+'Cálculos'!$D$205+$A$63:$A$108*('Cálculos'!$D$290=3)*'Cálculos'!$D$103)+'Cálculos'!$D$206)*('Cálculos'!$D$242+'Cálculos'!$D$124*(1+2.78*('Cálculos'!$D$198+(($C96)-$A$63:$A$108)*'Cálculos'!$D$98)/(('Cálculos'!$D$198+(($C96)-$A$63:$A$108)*'Cálculos'!$D$98)+1400)+'Cálculos'!$D$122)*'Cálculos'!$D$247+'Cálculos'!$D$125*(1+2.78*('Cálculos'!$D$198+(($C96)-$A$63:$A$108)*'Cálculos'!$D$98)/(('Cálculos'!$D$198+(($C96)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96)-$A$63:$A$108)*'Cálculos'!$D$98)/(('Cálculos'!$D$199+(($C96)-$A$63:$A$108)*'Cálculos'!$D$98)+1400)+'Cálculos'!$D$122)*'Cálculos'!$D$259+'Cálculos'!$D$125*(1+2.78*('Cálculos'!$D$199+(($C96)-$A$63:$A$108)*'Cálculos'!$D$98)/(('Cálculos'!$D$199+(($C96)-$A$63:$A$108)*'Cálculos'!$D$98)+1400)+'Cálculos'!$D$123)*'Cálculos'!$D$264)+('Cálculos'!$D$199+(($C96)-$A$63:$A$108)*'Cálculos'!$D$98)*('Cálculos'!$D$255+'Cálculos'!$D$124*(1+2.78*('Cálculos'!$D$199+(($C96)-$A$63:$A$108)*'Cálculos'!$D$98)/(('Cálculos'!$D$199+(($C96)-$A$63:$A$108)*'Cálculos'!$D$98)+1400)+'Cálculos'!$D$122)*'Cálculos'!$D$260+'Cálculos'!$D$125*(1+2.78*('Cálculos'!$D$199+(($C96)-$A$63:$A$108)*'Cálculos'!$D$98)/(('Cálculos'!$D$199+(($C96)-$A$63:$A$108)*'Cálculos'!$D$98)+1400)+'Cálculos'!$D$123)*'Cálculos'!$D$265)+('Cálculos'!$D$201*(1+'Cálculos'!$D$202+$A$63:$A$108*('Cálculos'!$D$290=2)*'Cálculos'!$D$101)+'Cálculos'!$D$203)*('Cálculos'!$D$256+'Cálculos'!$D$124*(1+2.78*('Cálculos'!$D$199+(($C96)-$A$63:$A$108)*'Cálculos'!$D$98)/(('Cálculos'!$D$199+(($C96)-$A$63:$A$108)*'Cálculos'!$D$98)+1400)+'Cálculos'!$D$122)*'Cálculos'!$D$261+'Cálculos'!$D$125*(1+2.78*('Cálculos'!$D$199+(($C96)-$A$63:$A$108)*'Cálculos'!$D$98)/(('Cálculos'!$D$199+(($C96)-$A$63:$A$108)*'Cálculos'!$D$98)+1400)+'Cálculos'!$D$123)*'Cálculos'!$D$266)+('Cálculos'!$D$204*(1+'Cálculos'!$D$205+$A$63:$A$108*('Cálculos'!$D$290=3)*'Cálculos'!$D$103)+'Cálculos'!$D$206)*('Cálculos'!$D$257+'Cálculos'!$D$124*(1+2.78*('Cálculos'!$D$199+(($C96)-$A$63:$A$108)*'Cálculos'!$D$98)/(('Cálculos'!$D$199+(($C96)-$A$63:$A$108)*'Cálculos'!$D$98)+1400)+'Cálculos'!$D$122)*'Cálculos'!$D$262+'Cálculos'!$D$125*(1+2.78*('Cálculos'!$D$199+(($C96)-$A$63:$A$108)*'Cálculos'!$D$98)/(('Cálculos'!$D$199+(($C96)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96)-$A$63:$A$108)*'Cálculos'!$D$98)/(('Cálculos'!$D$200+(($C96)-$A$63:$A$108)*'Cálculos'!$D$98)+1400)+'Cálculos'!$D$122)*'Cálculos'!$D$274+'Cálculos'!$D$125*(1+2.78*('Cálculos'!$D$200+(($C96)-$A$63:$A$108)*'Cálculos'!$D$98)/(('Cálculos'!$D$200+(($C96)-$A$63:$A$108)*'Cálculos'!$D$98)+1400)+'Cálculos'!$D$123)*'Cálculos'!$D$279)+('Cálculos'!$D$200+(($C96)-$A$63:$A$108)*'Cálculos'!$D$98)*('Cálculos'!$D$270+'Cálculos'!$D$124*(1+2.78*('Cálculos'!$D$200+(($C96)-$A$63:$A$108)*'Cálculos'!$D$98)/(('Cálculos'!$D$200+(($C96)-$A$63:$A$108)*'Cálculos'!$D$98)+1400)+'Cálculos'!$D$122)*'Cálculos'!$D$275+'Cálculos'!$D$125*(1+2.78*('Cálculos'!$D$200+(($C96)-$A$63:$A$108)*'Cálculos'!$D$98)/(('Cálculos'!$D$200+(($C96)-$A$63:$A$108)*'Cálculos'!$D$98)+1400)+'Cálculos'!$D$123)*'Cálculos'!$D$280)+('Cálculos'!$D$201*(1+'Cálculos'!$D$202+$A$63:$A$108*('Cálculos'!$D$290=2)*'Cálculos'!$D$101)+'Cálculos'!$D$203)*('Cálculos'!$D$271+'Cálculos'!$D$124*(1+2.78*('Cálculos'!$D$200+(($C96)-$A$63:$A$108)*'Cálculos'!$D$98)/(('Cálculos'!$D$200+(($C96)-$A$63:$A$108)*'Cálculos'!$D$98)+1400)+'Cálculos'!$D$122)*'Cálculos'!$D$276+'Cálculos'!$D$125*(1+2.78*('Cálculos'!$D$200+(($C96)-$A$63:$A$108)*'Cálculos'!$D$98)/(('Cálculos'!$D$200+(($C96)-$A$63:$A$108)*'Cálculos'!$D$98)+1400)+'Cálculos'!$D$123)*'Cálculos'!$D$281)+('Cálculos'!$D$204*(1+'Cálculos'!$D$205+$A$63:$A$108*('Cálculos'!$D$290=3)*'Cálculos'!$D$103)+'Cálculos'!$D$206)*('Cálculos'!$D$272+'Cálculos'!$D$124*(1+2.78*('Cálculos'!$D$200+(($C96)-$A$63:$A$108)*'Cálculos'!$D$98)/(('Cálculos'!$D$200+(($C96)-$A$63:$A$108)*'Cálculos'!$D$98)+1400)+'Cálculos'!$D$122)*'Cálculos'!$D$277+'Cálculos'!$D$125*(1+2.78*('Cálculos'!$D$200+(($C96)-$A$63:$A$108)*'Cálculos'!$D$98)/(('Cálculos'!$D$200+(($C96)-$A$63:$A$108)*'Cálculos'!$D$98)+1400)+'Cálculos'!$D$123)*'Cálculos'!$D$282)))))</f>
        <v>0</v>
      </c>
      <c r="E96" s="32">
        <f>IF(OR($C96&lt;0,'Cálculos'!$D$6=""),0,$B96*$D96)</f>
        <v>0</v>
      </c>
      <c r="F96" s="2"/>
      <c r="G96" s="30">
        <f>($A96&lt;=$B$110)*($A96&lt;='Cálculos'!$D$294)*(($B$110)-$A96&lt;='Cálculos'!$D$295)*(1+MIN(('Cálculos'!$D$207+$A96*'Cálculos'!$D$95),1)*('Cálculos'!$D$208+(($B$110)-$A96)*'Cálculos'!$D$96))</f>
        <v>0</v>
      </c>
      <c r="H96" s="31">
        <f>IF($B$111&lt;0,0,($A96&lt;=$B$111)*($A96&lt;='Cálculos'!$D$301)*(($B$111)-$A96&lt;='Cálculos'!$D$297)*(('Cálculos'!$D$185*(1+'Cálculos'!$D$186+$A96*('Cálculos'!$D$290=1)*'Cálculos'!$D$97+'Cálculos'!$D$305)+'Cálculos'!$D$191)*('Cálculos'!$D$209+'Cálculos'!$D$124*(1+2.78*('Cálculos'!$D$196+(($B$111)-$A96)*'Cálculos'!$D$98)/(('Cálculos'!$D$196+(($B$111)-$A96)*'Cálculos'!$D$98)+1400)+'Cálculos'!$D$122)*'Cálculos'!$D$214+'Cálculos'!$D$125*(1+2.78*('Cálculos'!$D$196+(($B$111)-$A96)*'Cálculos'!$D$98)/(('Cálculos'!$D$196+(($B$111)-$A96)*'Cálculos'!$D$98)+1400)+'Cálculos'!$D$123)*'Cálculos'!$D$219)+('Cálculos'!$D$196+(($B$111)-$A96)*'Cálculos'!$D$98)*('Cálculos'!$D$210+'Cálculos'!$D$124*(1+2.78*('Cálculos'!$D$196+(($B$111)-$A96)*'Cálculos'!$D$98)/(('Cálculos'!$D$196+(($B$111)-$A96)*'Cálculos'!$D$98)+1400)+'Cálculos'!$D$122)*'Cálculos'!$D$215+'Cálculos'!$D$125*(1+2.78*('Cálculos'!$D$196+(($B$111)-$A96)*'Cálculos'!$D$98)/(('Cálculos'!$D$196+(($B$111)-$A96)*'Cálculos'!$D$98)+1400)+'Cálculos'!$D$123)*'Cálculos'!$D$220)+('Cálculos'!$D$201*(1+'Cálculos'!$D$202+$A96*('Cálculos'!$D$290=2)*'Cálculos'!$D$101)+'Cálculos'!$D$203)*('Cálculos'!$D$211+'Cálculos'!$D$124*(1+2.78*('Cálculos'!$D$196+(($B$111)-$A96)*'Cálculos'!$D$98)/(('Cálculos'!$D$196+(($B$111)-$A96)*'Cálculos'!$D$98)+1400)+'Cálculos'!$D$122)*'Cálculos'!$D$216+'Cálculos'!$D$125*(1+2.78*('Cálculos'!$D$196+(($B$111)-$A96)*'Cálculos'!$D$98)/(('Cálculos'!$D$196+(($B$111)-$A96)*'Cálculos'!$D$98)+1400)+'Cálculos'!$D$123)*'Cálculos'!$D$221)+('Cálculos'!$D$204*(1+'Cálculos'!$D$205+$A96*('Cálculos'!$D$290=3)*'Cálculos'!$D$103)+'Cálculos'!$D$206)*('Cálculos'!$D$212+'Cálculos'!$D$124*(1+2.78*('Cálculos'!$D$196+(($B$111)-$A96)*'Cálculos'!$D$98)/(('Cálculos'!$D$196+(($B$111)-$A96)*'Cálculos'!$D$98)+1400)+'Cálculos'!$D$122)*'Cálculos'!$D$217+'Cálculos'!$D$125*(1+2.78*('Cálculos'!$D$196+(($B$111)-$A96)*'Cálculos'!$D$98)/(('Cálculos'!$D$196+(($B$111)-$A96)*'Cálculos'!$D$98)+1400)+'Cálculos'!$D$123)*'Cálculos'!$D$222)+('Cálculos'!$D$185*(1+'Cálculos'!$D$187+$A96*('Cálculos'!$D$290=1)*'Cálculos'!$D$97+'Cálculos'!$D$305)+'Cálculos'!$D$192)*('Cálculos'!$D$224+'Cálculos'!$D$124*(1+2.78*('Cálculos'!$D$197+(($B$111)-$A96)*'Cálculos'!$D$98)/(('Cálculos'!$D$197+(($B$111)-$A96)*'Cálculos'!$D$98)+1400)+'Cálculos'!$D$122)*'Cálculos'!$D$229+'Cálculos'!$D$125*(1+2.78*('Cálculos'!$D$197+(($B$111)-$A96)*'Cálculos'!$D$98)/(('Cálculos'!$D$197+(($B$111)-$A96)*'Cálculos'!$D$98)+1400)+'Cálculos'!$D$123)*'Cálculos'!$D$234)+('Cálculos'!$D$197+(($B$111)-$A96)*'Cálculos'!$D$98)*('Cálculos'!$D$225+'Cálculos'!$D$124*(1+2.78*('Cálculos'!$D$197+(($B$111)-$A96)*'Cálculos'!$D$98)/(('Cálculos'!$D$197+(($B$111)-$A96)*'Cálculos'!$D$98)+1400)+'Cálculos'!$D$122)*'Cálculos'!$D$230+'Cálculos'!$D$125*(1+2.78*('Cálculos'!$D$197+(($B$111)-$A96)*'Cálculos'!$D$98)/(('Cálculos'!$D$197+(($B$111)-$A96)*'Cálculos'!$D$98)+1400)+'Cálculos'!$D$123)*'Cálculos'!$D$235)+('Cálculos'!$D$201*(1+'Cálculos'!$D$202+$A96*('Cálculos'!$D$290=2)*'Cálculos'!$D$101)+'Cálculos'!$D$203)*('Cálculos'!$D$226+'Cálculos'!$D$124*(1+2.78*('Cálculos'!$D$197+(($B$111)-$A96)*'Cálculos'!$D$98)/(('Cálculos'!$D$197+(($B$111)-$A96)*'Cálculos'!$D$98)+1400)+'Cálculos'!$D$122)*'Cálculos'!$D$231+'Cálculos'!$D$125*(1+2.78*('Cálculos'!$D$197+(($B$111)-$A96)*'Cálculos'!$D$98)/(('Cálculos'!$D$197+(($B$111)-$A96)*'Cálculos'!$D$98)+1400)+'Cálculos'!$D$123)*'Cálculos'!$D$236)+('Cálculos'!$D$204*(1+'Cálculos'!$D$205+$A96*('Cálculos'!$D$290=3)*'Cálculos'!$D$103)+'Cálculos'!$D$206)*('Cálculos'!$D$227+'Cálculos'!$D$124*(1+2.78*('Cálculos'!$D$197+(($B$111)-$A96)*'Cálculos'!$D$98)/(('Cálculos'!$D$197+(($B$111)-$A96)*'Cálculos'!$D$98)+1400)+'Cálculos'!$D$122)*'Cálculos'!$D$232+'Cálculos'!$D$125*(1+2.78*('Cálculos'!$D$197+(($B$111)-$A96)*'Cálculos'!$D$98)/(('Cálculos'!$D$197+(($B$111)-$A96)*'Cálculos'!$D$98)+1400)+'Cálculos'!$D$123)*'Cálculos'!$D$237)+('Cálculos'!$D$185*(1+'Cálculos'!$D$188+$A96*('Cálculos'!$D$290=1)*'Cálculos'!$D$97+'Cálculos'!$D$305)+'Cálculos'!$D$193)*('Cálculos'!$D$239+'Cálculos'!$D$124*(1+2.78*('Cálculos'!$D$198+(($B$111)-$A96)*'Cálculos'!$D$98)/(('Cálculos'!$D$198+(($B$111)-$A96)*'Cálculos'!$D$98)+1400)+'Cálculos'!$D$122)*'Cálculos'!$D$244+'Cálculos'!$D$125*(1+2.78*('Cálculos'!$D$198+(($B$111)-$A96)*'Cálculos'!$D$98)/(('Cálculos'!$D$198+(($B$111)-$A96)*'Cálculos'!$D$98)+1400)+'Cálculos'!$D$123)*'Cálculos'!$D$249)+('Cálculos'!$D$198+(($B$111)-$A96)*'Cálculos'!$D$98)*('Cálculos'!$D$240+'Cálculos'!$D$124*(1+2.78*('Cálculos'!$D$198+(($B$111)-$A96)*'Cálculos'!$D$98)/(('Cálculos'!$D$198+(($B$111)-$A96)*'Cálculos'!$D$98)+1400)+'Cálculos'!$D$122)*'Cálculos'!$D$245+'Cálculos'!$D$125*(1+2.78*('Cálculos'!$D$198+(($B$111)-$A96)*'Cálculos'!$D$98)/(('Cálculos'!$D$198+(($B$111)-$A96)*'Cálculos'!$D$98)+1400)+'Cálculos'!$D$123)*'Cálculos'!$D$250)+('Cálculos'!$D$201*(1+'Cálculos'!$D$202+$A96*('Cálculos'!$D$290=2)*'Cálculos'!$D$101)+'Cálculos'!$D$203)*('Cálculos'!$D$241+'Cálculos'!$D$124*(1+2.78*('Cálculos'!$D$198+(($B$111)-$A96)*'Cálculos'!$D$98)/(('Cálculos'!$D$198+(($B$111)-$A96)*'Cálculos'!$D$98)+1400)+'Cálculos'!$D$122)*'Cálculos'!$D$246+'Cálculos'!$D$125*(1+2.78*('Cálculos'!$D$198+(($B$111)-$A96)*'Cálculos'!$D$98)/(('Cálculos'!$D$198+(($B$111)-$A96)*'Cálculos'!$D$98)+1400)+'Cálculos'!$D$123)*'Cálculos'!$D$251)+('Cálculos'!$D$204*(1+'Cálculos'!$D$205+$A96*('Cálculos'!$D$290=3)*'Cálculos'!$D$103)+'Cálculos'!$D$206)*('Cálculos'!$D$242+'Cálculos'!$D$124*(1+2.78*('Cálculos'!$D$198+(($B$111)-$A96)*'Cálculos'!$D$98)/(('Cálculos'!$D$198+(($B$111)-$A96)*'Cálculos'!$D$98)+1400)+'Cálculos'!$D$122)*'Cálculos'!$D$247+'Cálculos'!$D$125*(1+2.78*('Cálculos'!$D$198+(($B$111)-$A96)*'Cálculos'!$D$98)/(('Cálculos'!$D$198+(($B$111)-$A96)*'Cálculos'!$D$98)+1400)+'Cálculos'!$D$123)*'Cálculos'!$D$252)+('Cálculos'!$D$185*(1+'Cálculos'!$D$189+$A96*('Cálculos'!$D$290=1)*'Cálculos'!$D$97+'Cálculos'!$D$305)+'Cálculos'!$D$194)*('Cálculos'!$D$254+'Cálculos'!$D$124*(1+2.78*('Cálculos'!$D$199+(($B$111)-$A96)*'Cálculos'!$D$98)/(('Cálculos'!$D$199+(($B$111)-$A96)*'Cálculos'!$D$98)+1400)+'Cálculos'!$D$122)*'Cálculos'!$D$259+'Cálculos'!$D$125*(1+2.78*('Cálculos'!$D$199+(($B$111)-$A96)*'Cálculos'!$D$98)/(('Cálculos'!$D$199+(($B$111)-$A96)*'Cálculos'!$D$98)+1400)+'Cálculos'!$D$123)*'Cálculos'!$D$264)+('Cálculos'!$D$199+(($B$111)-$A96)*'Cálculos'!$D$98)*('Cálculos'!$D$255+'Cálculos'!$D$124*(1+2.78*('Cálculos'!$D$199+(($B$111)-$A96)*'Cálculos'!$D$98)/(('Cálculos'!$D$199+(($B$111)-$A96)*'Cálculos'!$D$98)+1400)+'Cálculos'!$D$122)*'Cálculos'!$D$260+'Cálculos'!$D$125*(1+2.78*('Cálculos'!$D$199+(($B$111)-$A96)*'Cálculos'!$D$98)/(('Cálculos'!$D$199+(($B$111)-$A96)*'Cálculos'!$D$98)+1400)+'Cálculos'!$D$123)*'Cálculos'!$D$265)+('Cálculos'!$D$201*(1+'Cálculos'!$D$202+$A96*('Cálculos'!$D$290=2)*'Cálculos'!$D$101)+'Cálculos'!$D$203)*('Cálculos'!$D$256+'Cálculos'!$D$124*(1+2.78*('Cálculos'!$D$199+(($B$111)-$A96)*'Cálculos'!$D$98)/(('Cálculos'!$D$199+(($B$111)-$A96)*'Cálculos'!$D$98)+1400)+'Cálculos'!$D$122)*'Cálculos'!$D$261+'Cálculos'!$D$125*(1+2.78*('Cálculos'!$D$199+(($B$111)-$A96)*'Cálculos'!$D$98)/(('Cálculos'!$D$199+(($B$111)-$A96)*'Cálculos'!$D$98)+1400)+'Cálculos'!$D$123)*'Cálculos'!$D$266)+('Cálculos'!$D$204*(1+'Cálculos'!$D$205+$A96*('Cálculos'!$D$290=3)*'Cálculos'!$D$103)+'Cálculos'!$D$206)*('Cálculos'!$D$257+'Cálculos'!$D$124*(1+2.78*('Cálculos'!$D$199+(($B$111)-$A96)*'Cálculos'!$D$98)/(('Cálculos'!$D$199+(($B$111)-$A96)*'Cálculos'!$D$98)+1400)+'Cálculos'!$D$122)*'Cálculos'!$D$262+'Cálculos'!$D$125*(1+2.78*('Cálculos'!$D$199+(($B$111)-$A96)*'Cálculos'!$D$98)/(('Cálculos'!$D$199+(($B$111)-$A96)*'Cálculos'!$D$98)+1400)+'Cálculos'!$D$123)*'Cálculos'!$D$267)+('Cálculos'!$D$185*(1+'Cálculos'!$D$190+$A96*('Cálculos'!$D$290=1)*'Cálculos'!$D$97+'Cálculos'!$D$305)+'Cálculos'!$D$195)*('Cálculos'!$D$269+'Cálculos'!$D$124*(1+2.78*('Cálculos'!$D$200+(($B$111)-$A96)*'Cálculos'!$D$98)/(('Cálculos'!$D$200+(($B$111)-$A96)*'Cálculos'!$D$98)+1400)+'Cálculos'!$D$122)*'Cálculos'!$D$274+'Cálculos'!$D$125*(1+2.78*('Cálculos'!$D$200+(($B$111)-$A96)*'Cálculos'!$D$98)/(('Cálculos'!$D$200+(($B$111)-$A96)*'Cálculos'!$D$98)+1400)+'Cálculos'!$D$123)*'Cálculos'!$D$279)+('Cálculos'!$D$200+(($B$111)-$A96)*'Cálculos'!$D$98)*('Cálculos'!$D$270+'Cálculos'!$D$124*(1+2.78*('Cálculos'!$D$200+(($B$111)-$A96)*'Cálculos'!$D$98)/(('Cálculos'!$D$200+(($B$111)-$A96)*'Cálculos'!$D$98)+1400)+'Cálculos'!$D$122)*'Cálculos'!$D$275+'Cálculos'!$D$125*(1+2.78*('Cálculos'!$D$200+(($B$111)-$A96)*'Cálculos'!$D$98)/(('Cálculos'!$D$200+(($B$111)-$A96)*'Cálculos'!$D$98)+1400)+'Cálculos'!$D$123)*'Cálculos'!$D$280)+('Cálculos'!$D$201*(1+'Cálculos'!$D$202+$A96*('Cálculos'!$D$290=2)*'Cálculos'!$D$101)+'Cálculos'!$D$203)*('Cálculos'!$D$271+'Cálculos'!$D$124*(1+2.78*('Cálculos'!$D$200+(($B$111)-$A96)*'Cálculos'!$D$98)/(('Cálculos'!$D$200+(($B$111)-$A96)*'Cálculos'!$D$98)+1400)+'Cálculos'!$D$122)*'Cálculos'!$D$276+'Cálculos'!$D$125*(1+2.78*('Cálculos'!$D$200+(($B$111)-$A96)*'Cálculos'!$D$98)/(('Cálculos'!$D$200+(($B$111)-$A96)*'Cálculos'!$D$98)+1400)+'Cálculos'!$D$123)*'Cálculos'!$D$281)+('Cálculos'!$D$204*(1+'Cálculos'!$D$205+$A96*('Cálculos'!$D$290=3)*'Cálculos'!$D$103)+'Cálculos'!$D$206)*('Cálculos'!$D$272+'Cálculos'!$D$124*(1+2.78*('Cálculos'!$D$200+(($B$111)-$A96)*'Cálculos'!$D$98)/(('Cálculos'!$D$200+(($B$111)-$A96)*'Cálculos'!$D$98)+1400)+'Cálculos'!$D$122)*'Cálculos'!$D$277+'Cálculos'!$D$125*(1+2.78*('Cálculos'!$D$200+(($B$111)-$A96)*'Cálculos'!$D$98)/(('Cálculos'!$D$200+(($B$111)-$A96)*'Cálculos'!$D$98)+1400)+'Cálculos'!$D$123)*'Cálculos'!$D$282)))</f>
        <v>0</v>
      </c>
    </row>
    <row r="97" ht="15.75" customHeight="1">
      <c r="A97" s="2">
        <v>34.0</v>
      </c>
      <c r="B97" s="30">
        <f>SUMPRODUCT(MAX(($A$63:$A$108&lt;=$A97)*($A$63:$A$108&lt;='Cálculos'!$D$294)*(($A97)-$A$63:$A$108&lt;='Cálculos'!$D$295)*(1+(('Cálculos'!$D$207+$A$63:$A$108*'Cálculos'!$D$95)-(('Cálculos'!$D$207+$A$63:$A$108*'Cálculos'!$D$95)&gt;1)*(('Cálculos'!$D$207+$A$63:$A$108*'Cálculos'!$D$95)-1))*('Cálculos'!$D$208+(($A97)-$A$63:$A$108)*'Cálculos'!$D$96))))</f>
        <v>2.274837357</v>
      </c>
      <c r="C97" s="2">
        <f>'Cálculos'!$D$303-$A97</f>
        <v>-23</v>
      </c>
      <c r="D97" s="31">
        <f>IF($C97&lt;0,0,SUMPRODUCT(MAX(($A$63:$A$108&lt;=$C97)*($A$63:$A$108&lt;='Cálculos'!$D$301)*(($C97)-$A$63:$A$108&lt;='Cálculos'!$D$297)*(('Cálculos'!$D$185*(1+'Cálculos'!$D$186+$A$63:$A$108*('Cálculos'!$D$290=1)*'Cálculos'!$D$97+'Cálculos'!$D$305)+'Cálculos'!$D$191)*('Cálculos'!$D$209+'Cálculos'!$D$124*(1+2.78*('Cálculos'!$D$196+(($C97)-$A$63:$A$108)*'Cálculos'!$D$98)/(('Cálculos'!$D$196+(($C97)-$A$63:$A$108)*'Cálculos'!$D$98)+1400)+'Cálculos'!$D$122)*'Cálculos'!$D$214+'Cálculos'!$D$125*(1+2.78*('Cálculos'!$D$196+(($C97)-$A$63:$A$108)*'Cálculos'!$D$98)/(('Cálculos'!$D$196+(($C97)-$A$63:$A$108)*'Cálculos'!$D$98)+1400)+'Cálculos'!$D$123)*'Cálculos'!$D$219)+('Cálculos'!$D$196+(($C97)-$A$63:$A$108)*'Cálculos'!$D$98)*('Cálculos'!$D$210+'Cálculos'!$D$124*(1+2.78*('Cálculos'!$D$196+(($C97)-$A$63:$A$108)*'Cálculos'!$D$98)/(('Cálculos'!$D$196+(($C97)-$A$63:$A$108)*'Cálculos'!$D$98)+1400)+'Cálculos'!$D$122)*'Cálculos'!$D$215+'Cálculos'!$D$125*(1+2.78*('Cálculos'!$D$196+(($C97)-$A$63:$A$108)*'Cálculos'!$D$98)/(('Cálculos'!$D$196+(($C97)-$A$63:$A$108)*'Cálculos'!$D$98)+1400)+'Cálculos'!$D$123)*'Cálculos'!$D$220)+('Cálculos'!$D$201*(1+'Cálculos'!$D$202+$A$63:$A$108*('Cálculos'!$D$290=2)*'Cálculos'!$D$101)+'Cálculos'!$D$203)*('Cálculos'!$D$211+'Cálculos'!$D$124*(1+2.78*('Cálculos'!$D$196+(($C97)-$A$63:$A$108)*'Cálculos'!$D$98)/(('Cálculos'!$D$196+(($C97)-$A$63:$A$108)*'Cálculos'!$D$98)+1400)+'Cálculos'!$D$122)*'Cálculos'!$D$216+'Cálculos'!$D$125*(1+2.78*('Cálculos'!$D$196+(($C97)-$A$63:$A$108)*'Cálculos'!$D$98)/(('Cálculos'!$D$196+(($C97)-$A$63:$A$108)*'Cálculos'!$D$98)+1400)+'Cálculos'!$D$123)*'Cálculos'!$D$221)+('Cálculos'!$D$204*(1+'Cálculos'!$D$205+$A$63:$A$108*('Cálculos'!$D$290=3)*'Cálculos'!$D$103)+'Cálculos'!$D$206)*('Cálculos'!$D$212+'Cálculos'!$D$124*(1+2.78*('Cálculos'!$D$196+(($C97)-$A$63:$A$108)*'Cálculos'!$D$98)/(('Cálculos'!$D$196+(($C97)-$A$63:$A$108)*'Cálculos'!$D$98)+1400)+'Cálculos'!$D$122)*'Cálculos'!$D$217+'Cálculos'!$D$125*(1+2.78*('Cálculos'!$D$196+(($C97)-$A$63:$A$108)*'Cálculos'!$D$98)/(('Cálculos'!$D$196+(($C97)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97)-$A$63:$A$108)*'Cálculos'!$D$98)/(('Cálculos'!$D$197+(($C97)-$A$63:$A$108)*'Cálculos'!$D$98)+1400)+'Cálculos'!$D$122)*'Cálculos'!$D$229+'Cálculos'!$D$125*(1+2.78*('Cálculos'!$D$197+(($C97)-$A$63:$A$108)*'Cálculos'!$D$98)/(('Cálculos'!$D$197+(($C97)-$A$63:$A$108)*'Cálculos'!$D$98)+1400)+'Cálculos'!$D$123)*'Cálculos'!$D$234)+('Cálculos'!$D$197+(($C97)-$A$63:$A$108)*'Cálculos'!$D$98)*('Cálculos'!$D$225+'Cálculos'!$D$124*(1+2.78*('Cálculos'!$D$197+(($C97)-$A$63:$A$108)*'Cálculos'!$D$98)/(('Cálculos'!$D$197+(($C97)-$A$63:$A$108)*'Cálculos'!$D$98)+1400)+'Cálculos'!$D$122)*'Cálculos'!$D$230+'Cálculos'!$D$125*(1+2.78*('Cálculos'!$D$197+(($C97)-$A$63:$A$108)*'Cálculos'!$D$98)/(('Cálculos'!$D$197+(($C97)-$A$63:$A$108)*'Cálculos'!$D$98)+1400)+'Cálculos'!$D$123)*'Cálculos'!$D$235)+('Cálculos'!$D$201*(1+'Cálculos'!$D$202+$A$63:$A$108*('Cálculos'!$D$290=2)*'Cálculos'!$D$101)+'Cálculos'!$D$203)*('Cálculos'!$D$226+'Cálculos'!$D$124*(1+2.78*('Cálculos'!$D$197+(($C97)-$A$63:$A$108)*'Cálculos'!$D$98)/(('Cálculos'!$D$197+(($C97)-$A$63:$A$108)*'Cálculos'!$D$98)+1400)+'Cálculos'!$D$122)*'Cálculos'!$D$231+'Cálculos'!$D$125*(1+2.78*('Cálculos'!$D$197+(($C97)-$A$63:$A$108)*'Cálculos'!$D$98)/(('Cálculos'!$D$197+(($C97)-$A$63:$A$108)*'Cálculos'!$D$98)+1400)+'Cálculos'!$D$123)*'Cálculos'!$D$236)+('Cálculos'!$D$204*(1+'Cálculos'!$D$205+$A$63:$A$108*('Cálculos'!$D$290=3)*'Cálculos'!$D$103)+'Cálculos'!$D$206)*('Cálculos'!$D$227+'Cálculos'!$D$124*(1+2.78*('Cálculos'!$D$197+(($C97)-$A$63:$A$108)*'Cálculos'!$D$98)/(('Cálculos'!$D$197+(($C97)-$A$63:$A$108)*'Cálculos'!$D$98)+1400)+'Cálculos'!$D$122)*'Cálculos'!$D$232+'Cálculos'!$D$125*(1+2.78*('Cálculos'!$D$197+(($C97)-$A$63:$A$108)*'Cálculos'!$D$98)/(('Cálculos'!$D$197+(($C97)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97)-$A$63:$A$108)*'Cálculos'!$D$98)/(('Cálculos'!$D$198+(($C97)-$A$63:$A$108)*'Cálculos'!$D$98)+1400)+'Cálculos'!$D$122)*'Cálculos'!$D$244+'Cálculos'!$D$125*(1+2.78*('Cálculos'!$D$198+(($C97)-$A$63:$A$108)*'Cálculos'!$D$98)/(('Cálculos'!$D$198+(($C97)-$A$63:$A$108)*'Cálculos'!$D$98)+1400)+'Cálculos'!$D$123)*'Cálculos'!$D$249)+('Cálculos'!$D$198+(($C97)-$A$63:$A$108)*'Cálculos'!$D$98)*('Cálculos'!$D$240+'Cálculos'!$D$124*(1+2.78*('Cálculos'!$D$198+(($C97)-$A$63:$A$108)*'Cálculos'!$D$98)/(('Cálculos'!$D$198+(($C97)-$A$63:$A$108)*'Cálculos'!$D$98)+1400)+'Cálculos'!$D$122)*'Cálculos'!$D$245+'Cálculos'!$D$125*(1+2.78*('Cálculos'!$D$198+(($C97)-$A$63:$A$108)*'Cálculos'!$D$98)/(('Cálculos'!$D$198+(($C97)-$A$63:$A$108)*'Cálculos'!$D$98)+1400)+'Cálculos'!$D$123)*'Cálculos'!$D$250)+('Cálculos'!$D$201*(1+'Cálculos'!$D$202+$A$63:$A$108*('Cálculos'!$D$290=2)*'Cálculos'!$D$101)+'Cálculos'!$D$203)*('Cálculos'!$D$241+'Cálculos'!$D$124*(1+2.78*('Cálculos'!$D$198+(($C97)-$A$63:$A$108)*'Cálculos'!$D$98)/(('Cálculos'!$D$198+(($C97)-$A$63:$A$108)*'Cálculos'!$D$98)+1400)+'Cálculos'!$D$122)*'Cálculos'!$D$246+'Cálculos'!$D$125*(1+2.78*('Cálculos'!$D$198+(($C97)-$A$63:$A$108)*'Cálculos'!$D$98)/(('Cálculos'!$D$198+(($C97)-$A$63:$A$108)*'Cálculos'!$D$98)+1400)+'Cálculos'!$D$123)*'Cálculos'!$D$251)+('Cálculos'!$D$204*(1+'Cálculos'!$D$205+$A$63:$A$108*('Cálculos'!$D$290=3)*'Cálculos'!$D$103)+'Cálculos'!$D$206)*('Cálculos'!$D$242+'Cálculos'!$D$124*(1+2.78*('Cálculos'!$D$198+(($C97)-$A$63:$A$108)*'Cálculos'!$D$98)/(('Cálculos'!$D$198+(($C97)-$A$63:$A$108)*'Cálculos'!$D$98)+1400)+'Cálculos'!$D$122)*'Cálculos'!$D$247+'Cálculos'!$D$125*(1+2.78*('Cálculos'!$D$198+(($C97)-$A$63:$A$108)*'Cálculos'!$D$98)/(('Cálculos'!$D$198+(($C97)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97)-$A$63:$A$108)*'Cálculos'!$D$98)/(('Cálculos'!$D$199+(($C97)-$A$63:$A$108)*'Cálculos'!$D$98)+1400)+'Cálculos'!$D$122)*'Cálculos'!$D$259+'Cálculos'!$D$125*(1+2.78*('Cálculos'!$D$199+(($C97)-$A$63:$A$108)*'Cálculos'!$D$98)/(('Cálculos'!$D$199+(($C97)-$A$63:$A$108)*'Cálculos'!$D$98)+1400)+'Cálculos'!$D$123)*'Cálculos'!$D$264)+('Cálculos'!$D$199+(($C97)-$A$63:$A$108)*'Cálculos'!$D$98)*('Cálculos'!$D$255+'Cálculos'!$D$124*(1+2.78*('Cálculos'!$D$199+(($C97)-$A$63:$A$108)*'Cálculos'!$D$98)/(('Cálculos'!$D$199+(($C97)-$A$63:$A$108)*'Cálculos'!$D$98)+1400)+'Cálculos'!$D$122)*'Cálculos'!$D$260+'Cálculos'!$D$125*(1+2.78*('Cálculos'!$D$199+(($C97)-$A$63:$A$108)*'Cálculos'!$D$98)/(('Cálculos'!$D$199+(($C97)-$A$63:$A$108)*'Cálculos'!$D$98)+1400)+'Cálculos'!$D$123)*'Cálculos'!$D$265)+('Cálculos'!$D$201*(1+'Cálculos'!$D$202+$A$63:$A$108*('Cálculos'!$D$290=2)*'Cálculos'!$D$101)+'Cálculos'!$D$203)*('Cálculos'!$D$256+'Cálculos'!$D$124*(1+2.78*('Cálculos'!$D$199+(($C97)-$A$63:$A$108)*'Cálculos'!$D$98)/(('Cálculos'!$D$199+(($C97)-$A$63:$A$108)*'Cálculos'!$D$98)+1400)+'Cálculos'!$D$122)*'Cálculos'!$D$261+'Cálculos'!$D$125*(1+2.78*('Cálculos'!$D$199+(($C97)-$A$63:$A$108)*'Cálculos'!$D$98)/(('Cálculos'!$D$199+(($C97)-$A$63:$A$108)*'Cálculos'!$D$98)+1400)+'Cálculos'!$D$123)*'Cálculos'!$D$266)+('Cálculos'!$D$204*(1+'Cálculos'!$D$205+$A$63:$A$108*('Cálculos'!$D$290=3)*'Cálculos'!$D$103)+'Cálculos'!$D$206)*('Cálculos'!$D$257+'Cálculos'!$D$124*(1+2.78*('Cálculos'!$D$199+(($C97)-$A$63:$A$108)*'Cálculos'!$D$98)/(('Cálculos'!$D$199+(($C97)-$A$63:$A$108)*'Cálculos'!$D$98)+1400)+'Cálculos'!$D$122)*'Cálculos'!$D$262+'Cálculos'!$D$125*(1+2.78*('Cálculos'!$D$199+(($C97)-$A$63:$A$108)*'Cálculos'!$D$98)/(('Cálculos'!$D$199+(($C97)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97)-$A$63:$A$108)*'Cálculos'!$D$98)/(('Cálculos'!$D$200+(($C97)-$A$63:$A$108)*'Cálculos'!$D$98)+1400)+'Cálculos'!$D$122)*'Cálculos'!$D$274+'Cálculos'!$D$125*(1+2.78*('Cálculos'!$D$200+(($C97)-$A$63:$A$108)*'Cálculos'!$D$98)/(('Cálculos'!$D$200+(($C97)-$A$63:$A$108)*'Cálculos'!$D$98)+1400)+'Cálculos'!$D$123)*'Cálculos'!$D$279)+('Cálculos'!$D$200+(($C97)-$A$63:$A$108)*'Cálculos'!$D$98)*('Cálculos'!$D$270+'Cálculos'!$D$124*(1+2.78*('Cálculos'!$D$200+(($C97)-$A$63:$A$108)*'Cálculos'!$D$98)/(('Cálculos'!$D$200+(($C97)-$A$63:$A$108)*'Cálculos'!$D$98)+1400)+'Cálculos'!$D$122)*'Cálculos'!$D$275+'Cálculos'!$D$125*(1+2.78*('Cálculos'!$D$200+(($C97)-$A$63:$A$108)*'Cálculos'!$D$98)/(('Cálculos'!$D$200+(($C97)-$A$63:$A$108)*'Cálculos'!$D$98)+1400)+'Cálculos'!$D$123)*'Cálculos'!$D$280)+('Cálculos'!$D$201*(1+'Cálculos'!$D$202+$A$63:$A$108*('Cálculos'!$D$290=2)*'Cálculos'!$D$101)+'Cálculos'!$D$203)*('Cálculos'!$D$271+'Cálculos'!$D$124*(1+2.78*('Cálculos'!$D$200+(($C97)-$A$63:$A$108)*'Cálculos'!$D$98)/(('Cálculos'!$D$200+(($C97)-$A$63:$A$108)*'Cálculos'!$D$98)+1400)+'Cálculos'!$D$122)*'Cálculos'!$D$276+'Cálculos'!$D$125*(1+2.78*('Cálculos'!$D$200+(($C97)-$A$63:$A$108)*'Cálculos'!$D$98)/(('Cálculos'!$D$200+(($C97)-$A$63:$A$108)*'Cálculos'!$D$98)+1400)+'Cálculos'!$D$123)*'Cálculos'!$D$281)+('Cálculos'!$D$204*(1+'Cálculos'!$D$205+$A$63:$A$108*('Cálculos'!$D$290=3)*'Cálculos'!$D$103)+'Cálculos'!$D$206)*('Cálculos'!$D$272+'Cálculos'!$D$124*(1+2.78*('Cálculos'!$D$200+(($C97)-$A$63:$A$108)*'Cálculos'!$D$98)/(('Cálculos'!$D$200+(($C97)-$A$63:$A$108)*'Cálculos'!$D$98)+1400)+'Cálculos'!$D$122)*'Cálculos'!$D$277+'Cálculos'!$D$125*(1+2.78*('Cálculos'!$D$200+(($C97)-$A$63:$A$108)*'Cálculos'!$D$98)/(('Cálculos'!$D$200+(($C97)-$A$63:$A$108)*'Cálculos'!$D$98)+1400)+'Cálculos'!$D$123)*'Cálculos'!$D$282)))))</f>
        <v>0</v>
      </c>
      <c r="E97" s="32">
        <f>IF(OR($C97&lt;0,'Cálculos'!$D$6=""),0,$B97*$D97)</f>
        <v>0</v>
      </c>
      <c r="F97" s="2"/>
      <c r="G97" s="30">
        <f>($A97&lt;=$B$110)*($A97&lt;='Cálculos'!$D$294)*(($B$110)-$A97&lt;='Cálculos'!$D$295)*(1+MIN(('Cálculos'!$D$207+$A97*'Cálculos'!$D$95),1)*('Cálculos'!$D$208+(($B$110)-$A97)*'Cálculos'!$D$96))</f>
        <v>0</v>
      </c>
      <c r="H97" s="31">
        <f>IF($B$111&lt;0,0,($A97&lt;=$B$111)*($A97&lt;='Cálculos'!$D$301)*(($B$111)-$A97&lt;='Cálculos'!$D$297)*(('Cálculos'!$D$185*(1+'Cálculos'!$D$186+$A97*('Cálculos'!$D$290=1)*'Cálculos'!$D$97+'Cálculos'!$D$305)+'Cálculos'!$D$191)*('Cálculos'!$D$209+'Cálculos'!$D$124*(1+2.78*('Cálculos'!$D$196+(($B$111)-$A97)*'Cálculos'!$D$98)/(('Cálculos'!$D$196+(($B$111)-$A97)*'Cálculos'!$D$98)+1400)+'Cálculos'!$D$122)*'Cálculos'!$D$214+'Cálculos'!$D$125*(1+2.78*('Cálculos'!$D$196+(($B$111)-$A97)*'Cálculos'!$D$98)/(('Cálculos'!$D$196+(($B$111)-$A97)*'Cálculos'!$D$98)+1400)+'Cálculos'!$D$123)*'Cálculos'!$D$219)+('Cálculos'!$D$196+(($B$111)-$A97)*'Cálculos'!$D$98)*('Cálculos'!$D$210+'Cálculos'!$D$124*(1+2.78*('Cálculos'!$D$196+(($B$111)-$A97)*'Cálculos'!$D$98)/(('Cálculos'!$D$196+(($B$111)-$A97)*'Cálculos'!$D$98)+1400)+'Cálculos'!$D$122)*'Cálculos'!$D$215+'Cálculos'!$D$125*(1+2.78*('Cálculos'!$D$196+(($B$111)-$A97)*'Cálculos'!$D$98)/(('Cálculos'!$D$196+(($B$111)-$A97)*'Cálculos'!$D$98)+1400)+'Cálculos'!$D$123)*'Cálculos'!$D$220)+('Cálculos'!$D$201*(1+'Cálculos'!$D$202+$A97*('Cálculos'!$D$290=2)*'Cálculos'!$D$101)+'Cálculos'!$D$203)*('Cálculos'!$D$211+'Cálculos'!$D$124*(1+2.78*('Cálculos'!$D$196+(($B$111)-$A97)*'Cálculos'!$D$98)/(('Cálculos'!$D$196+(($B$111)-$A97)*'Cálculos'!$D$98)+1400)+'Cálculos'!$D$122)*'Cálculos'!$D$216+'Cálculos'!$D$125*(1+2.78*('Cálculos'!$D$196+(($B$111)-$A97)*'Cálculos'!$D$98)/(('Cálculos'!$D$196+(($B$111)-$A97)*'Cálculos'!$D$98)+1400)+'Cálculos'!$D$123)*'Cálculos'!$D$221)+('Cálculos'!$D$204*(1+'Cálculos'!$D$205+$A97*('Cálculos'!$D$290=3)*'Cálculos'!$D$103)+'Cálculos'!$D$206)*('Cálculos'!$D$212+'Cálculos'!$D$124*(1+2.78*('Cálculos'!$D$196+(($B$111)-$A97)*'Cálculos'!$D$98)/(('Cálculos'!$D$196+(($B$111)-$A97)*'Cálculos'!$D$98)+1400)+'Cálculos'!$D$122)*'Cálculos'!$D$217+'Cálculos'!$D$125*(1+2.78*('Cálculos'!$D$196+(($B$111)-$A97)*'Cálculos'!$D$98)/(('Cálculos'!$D$196+(($B$111)-$A97)*'Cálculos'!$D$98)+1400)+'Cálculos'!$D$123)*'Cálculos'!$D$222)+('Cálculos'!$D$185*(1+'Cálculos'!$D$187+$A97*('Cálculos'!$D$290=1)*'Cálculos'!$D$97+'Cálculos'!$D$305)+'Cálculos'!$D$192)*('Cálculos'!$D$224+'Cálculos'!$D$124*(1+2.78*('Cálculos'!$D$197+(($B$111)-$A97)*'Cálculos'!$D$98)/(('Cálculos'!$D$197+(($B$111)-$A97)*'Cálculos'!$D$98)+1400)+'Cálculos'!$D$122)*'Cálculos'!$D$229+'Cálculos'!$D$125*(1+2.78*('Cálculos'!$D$197+(($B$111)-$A97)*'Cálculos'!$D$98)/(('Cálculos'!$D$197+(($B$111)-$A97)*'Cálculos'!$D$98)+1400)+'Cálculos'!$D$123)*'Cálculos'!$D$234)+('Cálculos'!$D$197+(($B$111)-$A97)*'Cálculos'!$D$98)*('Cálculos'!$D$225+'Cálculos'!$D$124*(1+2.78*('Cálculos'!$D$197+(($B$111)-$A97)*'Cálculos'!$D$98)/(('Cálculos'!$D$197+(($B$111)-$A97)*'Cálculos'!$D$98)+1400)+'Cálculos'!$D$122)*'Cálculos'!$D$230+'Cálculos'!$D$125*(1+2.78*('Cálculos'!$D$197+(($B$111)-$A97)*'Cálculos'!$D$98)/(('Cálculos'!$D$197+(($B$111)-$A97)*'Cálculos'!$D$98)+1400)+'Cálculos'!$D$123)*'Cálculos'!$D$235)+('Cálculos'!$D$201*(1+'Cálculos'!$D$202+$A97*('Cálculos'!$D$290=2)*'Cálculos'!$D$101)+'Cálculos'!$D$203)*('Cálculos'!$D$226+'Cálculos'!$D$124*(1+2.78*('Cálculos'!$D$197+(($B$111)-$A97)*'Cálculos'!$D$98)/(('Cálculos'!$D$197+(($B$111)-$A97)*'Cálculos'!$D$98)+1400)+'Cálculos'!$D$122)*'Cálculos'!$D$231+'Cálculos'!$D$125*(1+2.78*('Cálculos'!$D$197+(($B$111)-$A97)*'Cálculos'!$D$98)/(('Cálculos'!$D$197+(($B$111)-$A97)*'Cálculos'!$D$98)+1400)+'Cálculos'!$D$123)*'Cálculos'!$D$236)+('Cálculos'!$D$204*(1+'Cálculos'!$D$205+$A97*('Cálculos'!$D$290=3)*'Cálculos'!$D$103)+'Cálculos'!$D$206)*('Cálculos'!$D$227+'Cálculos'!$D$124*(1+2.78*('Cálculos'!$D$197+(($B$111)-$A97)*'Cálculos'!$D$98)/(('Cálculos'!$D$197+(($B$111)-$A97)*'Cálculos'!$D$98)+1400)+'Cálculos'!$D$122)*'Cálculos'!$D$232+'Cálculos'!$D$125*(1+2.78*('Cálculos'!$D$197+(($B$111)-$A97)*'Cálculos'!$D$98)/(('Cálculos'!$D$197+(($B$111)-$A97)*'Cálculos'!$D$98)+1400)+'Cálculos'!$D$123)*'Cálculos'!$D$237)+('Cálculos'!$D$185*(1+'Cálculos'!$D$188+$A97*('Cálculos'!$D$290=1)*'Cálculos'!$D$97+'Cálculos'!$D$305)+'Cálculos'!$D$193)*('Cálculos'!$D$239+'Cálculos'!$D$124*(1+2.78*('Cálculos'!$D$198+(($B$111)-$A97)*'Cálculos'!$D$98)/(('Cálculos'!$D$198+(($B$111)-$A97)*'Cálculos'!$D$98)+1400)+'Cálculos'!$D$122)*'Cálculos'!$D$244+'Cálculos'!$D$125*(1+2.78*('Cálculos'!$D$198+(($B$111)-$A97)*'Cálculos'!$D$98)/(('Cálculos'!$D$198+(($B$111)-$A97)*'Cálculos'!$D$98)+1400)+'Cálculos'!$D$123)*'Cálculos'!$D$249)+('Cálculos'!$D$198+(($B$111)-$A97)*'Cálculos'!$D$98)*('Cálculos'!$D$240+'Cálculos'!$D$124*(1+2.78*('Cálculos'!$D$198+(($B$111)-$A97)*'Cálculos'!$D$98)/(('Cálculos'!$D$198+(($B$111)-$A97)*'Cálculos'!$D$98)+1400)+'Cálculos'!$D$122)*'Cálculos'!$D$245+'Cálculos'!$D$125*(1+2.78*('Cálculos'!$D$198+(($B$111)-$A97)*'Cálculos'!$D$98)/(('Cálculos'!$D$198+(($B$111)-$A97)*'Cálculos'!$D$98)+1400)+'Cálculos'!$D$123)*'Cálculos'!$D$250)+('Cálculos'!$D$201*(1+'Cálculos'!$D$202+$A97*('Cálculos'!$D$290=2)*'Cálculos'!$D$101)+'Cálculos'!$D$203)*('Cálculos'!$D$241+'Cálculos'!$D$124*(1+2.78*('Cálculos'!$D$198+(($B$111)-$A97)*'Cálculos'!$D$98)/(('Cálculos'!$D$198+(($B$111)-$A97)*'Cálculos'!$D$98)+1400)+'Cálculos'!$D$122)*'Cálculos'!$D$246+'Cálculos'!$D$125*(1+2.78*('Cálculos'!$D$198+(($B$111)-$A97)*'Cálculos'!$D$98)/(('Cálculos'!$D$198+(($B$111)-$A97)*'Cálculos'!$D$98)+1400)+'Cálculos'!$D$123)*'Cálculos'!$D$251)+('Cálculos'!$D$204*(1+'Cálculos'!$D$205+$A97*('Cálculos'!$D$290=3)*'Cálculos'!$D$103)+'Cálculos'!$D$206)*('Cálculos'!$D$242+'Cálculos'!$D$124*(1+2.78*('Cálculos'!$D$198+(($B$111)-$A97)*'Cálculos'!$D$98)/(('Cálculos'!$D$198+(($B$111)-$A97)*'Cálculos'!$D$98)+1400)+'Cálculos'!$D$122)*'Cálculos'!$D$247+'Cálculos'!$D$125*(1+2.78*('Cálculos'!$D$198+(($B$111)-$A97)*'Cálculos'!$D$98)/(('Cálculos'!$D$198+(($B$111)-$A97)*'Cálculos'!$D$98)+1400)+'Cálculos'!$D$123)*'Cálculos'!$D$252)+('Cálculos'!$D$185*(1+'Cálculos'!$D$189+$A97*('Cálculos'!$D$290=1)*'Cálculos'!$D$97+'Cálculos'!$D$305)+'Cálculos'!$D$194)*('Cálculos'!$D$254+'Cálculos'!$D$124*(1+2.78*('Cálculos'!$D$199+(($B$111)-$A97)*'Cálculos'!$D$98)/(('Cálculos'!$D$199+(($B$111)-$A97)*'Cálculos'!$D$98)+1400)+'Cálculos'!$D$122)*'Cálculos'!$D$259+'Cálculos'!$D$125*(1+2.78*('Cálculos'!$D$199+(($B$111)-$A97)*'Cálculos'!$D$98)/(('Cálculos'!$D$199+(($B$111)-$A97)*'Cálculos'!$D$98)+1400)+'Cálculos'!$D$123)*'Cálculos'!$D$264)+('Cálculos'!$D$199+(($B$111)-$A97)*'Cálculos'!$D$98)*('Cálculos'!$D$255+'Cálculos'!$D$124*(1+2.78*('Cálculos'!$D$199+(($B$111)-$A97)*'Cálculos'!$D$98)/(('Cálculos'!$D$199+(($B$111)-$A97)*'Cálculos'!$D$98)+1400)+'Cálculos'!$D$122)*'Cálculos'!$D$260+'Cálculos'!$D$125*(1+2.78*('Cálculos'!$D$199+(($B$111)-$A97)*'Cálculos'!$D$98)/(('Cálculos'!$D$199+(($B$111)-$A97)*'Cálculos'!$D$98)+1400)+'Cálculos'!$D$123)*'Cálculos'!$D$265)+('Cálculos'!$D$201*(1+'Cálculos'!$D$202+$A97*('Cálculos'!$D$290=2)*'Cálculos'!$D$101)+'Cálculos'!$D$203)*('Cálculos'!$D$256+'Cálculos'!$D$124*(1+2.78*('Cálculos'!$D$199+(($B$111)-$A97)*'Cálculos'!$D$98)/(('Cálculos'!$D$199+(($B$111)-$A97)*'Cálculos'!$D$98)+1400)+'Cálculos'!$D$122)*'Cálculos'!$D$261+'Cálculos'!$D$125*(1+2.78*('Cálculos'!$D$199+(($B$111)-$A97)*'Cálculos'!$D$98)/(('Cálculos'!$D$199+(($B$111)-$A97)*'Cálculos'!$D$98)+1400)+'Cálculos'!$D$123)*'Cálculos'!$D$266)+('Cálculos'!$D$204*(1+'Cálculos'!$D$205+$A97*('Cálculos'!$D$290=3)*'Cálculos'!$D$103)+'Cálculos'!$D$206)*('Cálculos'!$D$257+'Cálculos'!$D$124*(1+2.78*('Cálculos'!$D$199+(($B$111)-$A97)*'Cálculos'!$D$98)/(('Cálculos'!$D$199+(($B$111)-$A97)*'Cálculos'!$D$98)+1400)+'Cálculos'!$D$122)*'Cálculos'!$D$262+'Cálculos'!$D$125*(1+2.78*('Cálculos'!$D$199+(($B$111)-$A97)*'Cálculos'!$D$98)/(('Cálculos'!$D$199+(($B$111)-$A97)*'Cálculos'!$D$98)+1400)+'Cálculos'!$D$123)*'Cálculos'!$D$267)+('Cálculos'!$D$185*(1+'Cálculos'!$D$190+$A97*('Cálculos'!$D$290=1)*'Cálculos'!$D$97+'Cálculos'!$D$305)+'Cálculos'!$D$195)*('Cálculos'!$D$269+'Cálculos'!$D$124*(1+2.78*('Cálculos'!$D$200+(($B$111)-$A97)*'Cálculos'!$D$98)/(('Cálculos'!$D$200+(($B$111)-$A97)*'Cálculos'!$D$98)+1400)+'Cálculos'!$D$122)*'Cálculos'!$D$274+'Cálculos'!$D$125*(1+2.78*('Cálculos'!$D$200+(($B$111)-$A97)*'Cálculos'!$D$98)/(('Cálculos'!$D$200+(($B$111)-$A97)*'Cálculos'!$D$98)+1400)+'Cálculos'!$D$123)*'Cálculos'!$D$279)+('Cálculos'!$D$200+(($B$111)-$A97)*'Cálculos'!$D$98)*('Cálculos'!$D$270+'Cálculos'!$D$124*(1+2.78*('Cálculos'!$D$200+(($B$111)-$A97)*'Cálculos'!$D$98)/(('Cálculos'!$D$200+(($B$111)-$A97)*'Cálculos'!$D$98)+1400)+'Cálculos'!$D$122)*'Cálculos'!$D$275+'Cálculos'!$D$125*(1+2.78*('Cálculos'!$D$200+(($B$111)-$A97)*'Cálculos'!$D$98)/(('Cálculos'!$D$200+(($B$111)-$A97)*'Cálculos'!$D$98)+1400)+'Cálculos'!$D$123)*'Cálculos'!$D$280)+('Cálculos'!$D$201*(1+'Cálculos'!$D$202+$A97*('Cálculos'!$D$290=2)*'Cálculos'!$D$101)+'Cálculos'!$D$203)*('Cálculos'!$D$271+'Cálculos'!$D$124*(1+2.78*('Cálculos'!$D$200+(($B$111)-$A97)*'Cálculos'!$D$98)/(('Cálculos'!$D$200+(($B$111)-$A97)*'Cálculos'!$D$98)+1400)+'Cálculos'!$D$122)*'Cálculos'!$D$276+'Cálculos'!$D$125*(1+2.78*('Cálculos'!$D$200+(($B$111)-$A97)*'Cálculos'!$D$98)/(('Cálculos'!$D$200+(($B$111)-$A97)*'Cálculos'!$D$98)+1400)+'Cálculos'!$D$123)*'Cálculos'!$D$281)+('Cálculos'!$D$204*(1+'Cálculos'!$D$205+$A97*('Cálculos'!$D$290=3)*'Cálculos'!$D$103)+'Cálculos'!$D$206)*('Cálculos'!$D$272+'Cálculos'!$D$124*(1+2.78*('Cálculos'!$D$200+(($B$111)-$A97)*'Cálculos'!$D$98)/(('Cálculos'!$D$200+(($B$111)-$A97)*'Cálculos'!$D$98)+1400)+'Cálculos'!$D$122)*'Cálculos'!$D$277+'Cálculos'!$D$125*(1+2.78*('Cálculos'!$D$200+(($B$111)-$A97)*'Cálculos'!$D$98)/(('Cálculos'!$D$200+(($B$111)-$A97)*'Cálculos'!$D$98)+1400)+'Cálculos'!$D$123)*'Cálculos'!$D$282)))</f>
        <v>0</v>
      </c>
    </row>
    <row r="98" ht="15.75" customHeight="1">
      <c r="A98" s="2">
        <v>35.0</v>
      </c>
      <c r="B98" s="30">
        <f>SUMPRODUCT(MAX(($A$63:$A$108&lt;=$A98)*($A$63:$A$108&lt;='Cálculos'!$D$294)*(($A98)-$A$63:$A$108&lt;='Cálculos'!$D$295)*(1+(('Cálculos'!$D$207+$A$63:$A$108*'Cálculos'!$D$95)-(('Cálculos'!$D$207+$A$63:$A$108*'Cálculos'!$D$95)&gt;1)*(('Cálculos'!$D$207+$A$63:$A$108*'Cálculos'!$D$95)-1))*('Cálculos'!$D$208+(($A98)-$A$63:$A$108)*'Cálculos'!$D$96))))</f>
        <v>2.320254556</v>
      </c>
      <c r="C98" s="2">
        <f>'Cálculos'!$D$303-$A98</f>
        <v>-24</v>
      </c>
      <c r="D98" s="31">
        <f>IF($C98&lt;0,0,SUMPRODUCT(MAX(($A$63:$A$108&lt;=$C98)*($A$63:$A$108&lt;='Cálculos'!$D$301)*(($C98)-$A$63:$A$108&lt;='Cálculos'!$D$297)*(('Cálculos'!$D$185*(1+'Cálculos'!$D$186+$A$63:$A$108*('Cálculos'!$D$290=1)*'Cálculos'!$D$97+'Cálculos'!$D$305)+'Cálculos'!$D$191)*('Cálculos'!$D$209+'Cálculos'!$D$124*(1+2.78*('Cálculos'!$D$196+(($C98)-$A$63:$A$108)*'Cálculos'!$D$98)/(('Cálculos'!$D$196+(($C98)-$A$63:$A$108)*'Cálculos'!$D$98)+1400)+'Cálculos'!$D$122)*'Cálculos'!$D$214+'Cálculos'!$D$125*(1+2.78*('Cálculos'!$D$196+(($C98)-$A$63:$A$108)*'Cálculos'!$D$98)/(('Cálculos'!$D$196+(($C98)-$A$63:$A$108)*'Cálculos'!$D$98)+1400)+'Cálculos'!$D$123)*'Cálculos'!$D$219)+('Cálculos'!$D$196+(($C98)-$A$63:$A$108)*'Cálculos'!$D$98)*('Cálculos'!$D$210+'Cálculos'!$D$124*(1+2.78*('Cálculos'!$D$196+(($C98)-$A$63:$A$108)*'Cálculos'!$D$98)/(('Cálculos'!$D$196+(($C98)-$A$63:$A$108)*'Cálculos'!$D$98)+1400)+'Cálculos'!$D$122)*'Cálculos'!$D$215+'Cálculos'!$D$125*(1+2.78*('Cálculos'!$D$196+(($C98)-$A$63:$A$108)*'Cálculos'!$D$98)/(('Cálculos'!$D$196+(($C98)-$A$63:$A$108)*'Cálculos'!$D$98)+1400)+'Cálculos'!$D$123)*'Cálculos'!$D$220)+('Cálculos'!$D$201*(1+'Cálculos'!$D$202+$A$63:$A$108*('Cálculos'!$D$290=2)*'Cálculos'!$D$101)+'Cálculos'!$D$203)*('Cálculos'!$D$211+'Cálculos'!$D$124*(1+2.78*('Cálculos'!$D$196+(($C98)-$A$63:$A$108)*'Cálculos'!$D$98)/(('Cálculos'!$D$196+(($C98)-$A$63:$A$108)*'Cálculos'!$D$98)+1400)+'Cálculos'!$D$122)*'Cálculos'!$D$216+'Cálculos'!$D$125*(1+2.78*('Cálculos'!$D$196+(($C98)-$A$63:$A$108)*'Cálculos'!$D$98)/(('Cálculos'!$D$196+(($C98)-$A$63:$A$108)*'Cálculos'!$D$98)+1400)+'Cálculos'!$D$123)*'Cálculos'!$D$221)+('Cálculos'!$D$204*(1+'Cálculos'!$D$205+$A$63:$A$108*('Cálculos'!$D$290=3)*'Cálculos'!$D$103)+'Cálculos'!$D$206)*('Cálculos'!$D$212+'Cálculos'!$D$124*(1+2.78*('Cálculos'!$D$196+(($C98)-$A$63:$A$108)*'Cálculos'!$D$98)/(('Cálculos'!$D$196+(($C98)-$A$63:$A$108)*'Cálculos'!$D$98)+1400)+'Cálculos'!$D$122)*'Cálculos'!$D$217+'Cálculos'!$D$125*(1+2.78*('Cálculos'!$D$196+(($C98)-$A$63:$A$108)*'Cálculos'!$D$98)/(('Cálculos'!$D$196+(($C98)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98)-$A$63:$A$108)*'Cálculos'!$D$98)/(('Cálculos'!$D$197+(($C98)-$A$63:$A$108)*'Cálculos'!$D$98)+1400)+'Cálculos'!$D$122)*'Cálculos'!$D$229+'Cálculos'!$D$125*(1+2.78*('Cálculos'!$D$197+(($C98)-$A$63:$A$108)*'Cálculos'!$D$98)/(('Cálculos'!$D$197+(($C98)-$A$63:$A$108)*'Cálculos'!$D$98)+1400)+'Cálculos'!$D$123)*'Cálculos'!$D$234)+('Cálculos'!$D$197+(($C98)-$A$63:$A$108)*'Cálculos'!$D$98)*('Cálculos'!$D$225+'Cálculos'!$D$124*(1+2.78*('Cálculos'!$D$197+(($C98)-$A$63:$A$108)*'Cálculos'!$D$98)/(('Cálculos'!$D$197+(($C98)-$A$63:$A$108)*'Cálculos'!$D$98)+1400)+'Cálculos'!$D$122)*'Cálculos'!$D$230+'Cálculos'!$D$125*(1+2.78*('Cálculos'!$D$197+(($C98)-$A$63:$A$108)*'Cálculos'!$D$98)/(('Cálculos'!$D$197+(($C98)-$A$63:$A$108)*'Cálculos'!$D$98)+1400)+'Cálculos'!$D$123)*'Cálculos'!$D$235)+('Cálculos'!$D$201*(1+'Cálculos'!$D$202+$A$63:$A$108*('Cálculos'!$D$290=2)*'Cálculos'!$D$101)+'Cálculos'!$D$203)*('Cálculos'!$D$226+'Cálculos'!$D$124*(1+2.78*('Cálculos'!$D$197+(($C98)-$A$63:$A$108)*'Cálculos'!$D$98)/(('Cálculos'!$D$197+(($C98)-$A$63:$A$108)*'Cálculos'!$D$98)+1400)+'Cálculos'!$D$122)*'Cálculos'!$D$231+'Cálculos'!$D$125*(1+2.78*('Cálculos'!$D$197+(($C98)-$A$63:$A$108)*'Cálculos'!$D$98)/(('Cálculos'!$D$197+(($C98)-$A$63:$A$108)*'Cálculos'!$D$98)+1400)+'Cálculos'!$D$123)*'Cálculos'!$D$236)+('Cálculos'!$D$204*(1+'Cálculos'!$D$205+$A$63:$A$108*('Cálculos'!$D$290=3)*'Cálculos'!$D$103)+'Cálculos'!$D$206)*('Cálculos'!$D$227+'Cálculos'!$D$124*(1+2.78*('Cálculos'!$D$197+(($C98)-$A$63:$A$108)*'Cálculos'!$D$98)/(('Cálculos'!$D$197+(($C98)-$A$63:$A$108)*'Cálculos'!$D$98)+1400)+'Cálculos'!$D$122)*'Cálculos'!$D$232+'Cálculos'!$D$125*(1+2.78*('Cálculos'!$D$197+(($C98)-$A$63:$A$108)*'Cálculos'!$D$98)/(('Cálculos'!$D$197+(($C98)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98)-$A$63:$A$108)*'Cálculos'!$D$98)/(('Cálculos'!$D$198+(($C98)-$A$63:$A$108)*'Cálculos'!$D$98)+1400)+'Cálculos'!$D$122)*'Cálculos'!$D$244+'Cálculos'!$D$125*(1+2.78*('Cálculos'!$D$198+(($C98)-$A$63:$A$108)*'Cálculos'!$D$98)/(('Cálculos'!$D$198+(($C98)-$A$63:$A$108)*'Cálculos'!$D$98)+1400)+'Cálculos'!$D$123)*'Cálculos'!$D$249)+('Cálculos'!$D$198+(($C98)-$A$63:$A$108)*'Cálculos'!$D$98)*('Cálculos'!$D$240+'Cálculos'!$D$124*(1+2.78*('Cálculos'!$D$198+(($C98)-$A$63:$A$108)*'Cálculos'!$D$98)/(('Cálculos'!$D$198+(($C98)-$A$63:$A$108)*'Cálculos'!$D$98)+1400)+'Cálculos'!$D$122)*'Cálculos'!$D$245+'Cálculos'!$D$125*(1+2.78*('Cálculos'!$D$198+(($C98)-$A$63:$A$108)*'Cálculos'!$D$98)/(('Cálculos'!$D$198+(($C98)-$A$63:$A$108)*'Cálculos'!$D$98)+1400)+'Cálculos'!$D$123)*'Cálculos'!$D$250)+('Cálculos'!$D$201*(1+'Cálculos'!$D$202+$A$63:$A$108*('Cálculos'!$D$290=2)*'Cálculos'!$D$101)+'Cálculos'!$D$203)*('Cálculos'!$D$241+'Cálculos'!$D$124*(1+2.78*('Cálculos'!$D$198+(($C98)-$A$63:$A$108)*'Cálculos'!$D$98)/(('Cálculos'!$D$198+(($C98)-$A$63:$A$108)*'Cálculos'!$D$98)+1400)+'Cálculos'!$D$122)*'Cálculos'!$D$246+'Cálculos'!$D$125*(1+2.78*('Cálculos'!$D$198+(($C98)-$A$63:$A$108)*'Cálculos'!$D$98)/(('Cálculos'!$D$198+(($C98)-$A$63:$A$108)*'Cálculos'!$D$98)+1400)+'Cálculos'!$D$123)*'Cálculos'!$D$251)+('Cálculos'!$D$204*(1+'Cálculos'!$D$205+$A$63:$A$108*('Cálculos'!$D$290=3)*'Cálculos'!$D$103)+'Cálculos'!$D$206)*('Cálculos'!$D$242+'Cálculos'!$D$124*(1+2.78*('Cálculos'!$D$198+(($C98)-$A$63:$A$108)*'Cálculos'!$D$98)/(('Cálculos'!$D$198+(($C98)-$A$63:$A$108)*'Cálculos'!$D$98)+1400)+'Cálculos'!$D$122)*'Cálculos'!$D$247+'Cálculos'!$D$125*(1+2.78*('Cálculos'!$D$198+(($C98)-$A$63:$A$108)*'Cálculos'!$D$98)/(('Cálculos'!$D$198+(($C98)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98)-$A$63:$A$108)*'Cálculos'!$D$98)/(('Cálculos'!$D$199+(($C98)-$A$63:$A$108)*'Cálculos'!$D$98)+1400)+'Cálculos'!$D$122)*'Cálculos'!$D$259+'Cálculos'!$D$125*(1+2.78*('Cálculos'!$D$199+(($C98)-$A$63:$A$108)*'Cálculos'!$D$98)/(('Cálculos'!$D$199+(($C98)-$A$63:$A$108)*'Cálculos'!$D$98)+1400)+'Cálculos'!$D$123)*'Cálculos'!$D$264)+('Cálculos'!$D$199+(($C98)-$A$63:$A$108)*'Cálculos'!$D$98)*('Cálculos'!$D$255+'Cálculos'!$D$124*(1+2.78*('Cálculos'!$D$199+(($C98)-$A$63:$A$108)*'Cálculos'!$D$98)/(('Cálculos'!$D$199+(($C98)-$A$63:$A$108)*'Cálculos'!$D$98)+1400)+'Cálculos'!$D$122)*'Cálculos'!$D$260+'Cálculos'!$D$125*(1+2.78*('Cálculos'!$D$199+(($C98)-$A$63:$A$108)*'Cálculos'!$D$98)/(('Cálculos'!$D$199+(($C98)-$A$63:$A$108)*'Cálculos'!$D$98)+1400)+'Cálculos'!$D$123)*'Cálculos'!$D$265)+('Cálculos'!$D$201*(1+'Cálculos'!$D$202+$A$63:$A$108*('Cálculos'!$D$290=2)*'Cálculos'!$D$101)+'Cálculos'!$D$203)*('Cálculos'!$D$256+'Cálculos'!$D$124*(1+2.78*('Cálculos'!$D$199+(($C98)-$A$63:$A$108)*'Cálculos'!$D$98)/(('Cálculos'!$D$199+(($C98)-$A$63:$A$108)*'Cálculos'!$D$98)+1400)+'Cálculos'!$D$122)*'Cálculos'!$D$261+'Cálculos'!$D$125*(1+2.78*('Cálculos'!$D$199+(($C98)-$A$63:$A$108)*'Cálculos'!$D$98)/(('Cálculos'!$D$199+(($C98)-$A$63:$A$108)*'Cálculos'!$D$98)+1400)+'Cálculos'!$D$123)*'Cálculos'!$D$266)+('Cálculos'!$D$204*(1+'Cálculos'!$D$205+$A$63:$A$108*('Cálculos'!$D$290=3)*'Cálculos'!$D$103)+'Cálculos'!$D$206)*('Cálculos'!$D$257+'Cálculos'!$D$124*(1+2.78*('Cálculos'!$D$199+(($C98)-$A$63:$A$108)*'Cálculos'!$D$98)/(('Cálculos'!$D$199+(($C98)-$A$63:$A$108)*'Cálculos'!$D$98)+1400)+'Cálculos'!$D$122)*'Cálculos'!$D$262+'Cálculos'!$D$125*(1+2.78*('Cálculos'!$D$199+(($C98)-$A$63:$A$108)*'Cálculos'!$D$98)/(('Cálculos'!$D$199+(($C98)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98)-$A$63:$A$108)*'Cálculos'!$D$98)/(('Cálculos'!$D$200+(($C98)-$A$63:$A$108)*'Cálculos'!$D$98)+1400)+'Cálculos'!$D$122)*'Cálculos'!$D$274+'Cálculos'!$D$125*(1+2.78*('Cálculos'!$D$200+(($C98)-$A$63:$A$108)*'Cálculos'!$D$98)/(('Cálculos'!$D$200+(($C98)-$A$63:$A$108)*'Cálculos'!$D$98)+1400)+'Cálculos'!$D$123)*'Cálculos'!$D$279)+('Cálculos'!$D$200+(($C98)-$A$63:$A$108)*'Cálculos'!$D$98)*('Cálculos'!$D$270+'Cálculos'!$D$124*(1+2.78*('Cálculos'!$D$200+(($C98)-$A$63:$A$108)*'Cálculos'!$D$98)/(('Cálculos'!$D$200+(($C98)-$A$63:$A$108)*'Cálculos'!$D$98)+1400)+'Cálculos'!$D$122)*'Cálculos'!$D$275+'Cálculos'!$D$125*(1+2.78*('Cálculos'!$D$200+(($C98)-$A$63:$A$108)*'Cálculos'!$D$98)/(('Cálculos'!$D$200+(($C98)-$A$63:$A$108)*'Cálculos'!$D$98)+1400)+'Cálculos'!$D$123)*'Cálculos'!$D$280)+('Cálculos'!$D$201*(1+'Cálculos'!$D$202+$A$63:$A$108*('Cálculos'!$D$290=2)*'Cálculos'!$D$101)+'Cálculos'!$D$203)*('Cálculos'!$D$271+'Cálculos'!$D$124*(1+2.78*('Cálculos'!$D$200+(($C98)-$A$63:$A$108)*'Cálculos'!$D$98)/(('Cálculos'!$D$200+(($C98)-$A$63:$A$108)*'Cálculos'!$D$98)+1400)+'Cálculos'!$D$122)*'Cálculos'!$D$276+'Cálculos'!$D$125*(1+2.78*('Cálculos'!$D$200+(($C98)-$A$63:$A$108)*'Cálculos'!$D$98)/(('Cálculos'!$D$200+(($C98)-$A$63:$A$108)*'Cálculos'!$D$98)+1400)+'Cálculos'!$D$123)*'Cálculos'!$D$281)+('Cálculos'!$D$204*(1+'Cálculos'!$D$205+$A$63:$A$108*('Cálculos'!$D$290=3)*'Cálculos'!$D$103)+'Cálculos'!$D$206)*('Cálculos'!$D$272+'Cálculos'!$D$124*(1+2.78*('Cálculos'!$D$200+(($C98)-$A$63:$A$108)*'Cálculos'!$D$98)/(('Cálculos'!$D$200+(($C98)-$A$63:$A$108)*'Cálculos'!$D$98)+1400)+'Cálculos'!$D$122)*'Cálculos'!$D$277+'Cálculos'!$D$125*(1+2.78*('Cálculos'!$D$200+(($C98)-$A$63:$A$108)*'Cálculos'!$D$98)/(('Cálculos'!$D$200+(($C98)-$A$63:$A$108)*'Cálculos'!$D$98)+1400)+'Cálculos'!$D$123)*'Cálculos'!$D$282)))))</f>
        <v>0</v>
      </c>
      <c r="E98" s="32">
        <f>IF(OR($C98&lt;0,'Cálculos'!$D$6=""),0,$B98*$D98)</f>
        <v>0</v>
      </c>
      <c r="F98" s="2"/>
      <c r="G98" s="30">
        <f>($A98&lt;=$B$110)*($A98&lt;='Cálculos'!$D$294)*(($B$110)-$A98&lt;='Cálculos'!$D$295)*(1+MIN(('Cálculos'!$D$207+$A98*'Cálculos'!$D$95),1)*('Cálculos'!$D$208+(($B$110)-$A98)*'Cálculos'!$D$96))</f>
        <v>0</v>
      </c>
      <c r="H98" s="31">
        <f>IF($B$111&lt;0,0,($A98&lt;=$B$111)*($A98&lt;='Cálculos'!$D$301)*(($B$111)-$A98&lt;='Cálculos'!$D$297)*(('Cálculos'!$D$185*(1+'Cálculos'!$D$186+$A98*('Cálculos'!$D$290=1)*'Cálculos'!$D$97+'Cálculos'!$D$305)+'Cálculos'!$D$191)*('Cálculos'!$D$209+'Cálculos'!$D$124*(1+2.78*('Cálculos'!$D$196+(($B$111)-$A98)*'Cálculos'!$D$98)/(('Cálculos'!$D$196+(($B$111)-$A98)*'Cálculos'!$D$98)+1400)+'Cálculos'!$D$122)*'Cálculos'!$D$214+'Cálculos'!$D$125*(1+2.78*('Cálculos'!$D$196+(($B$111)-$A98)*'Cálculos'!$D$98)/(('Cálculos'!$D$196+(($B$111)-$A98)*'Cálculos'!$D$98)+1400)+'Cálculos'!$D$123)*'Cálculos'!$D$219)+('Cálculos'!$D$196+(($B$111)-$A98)*'Cálculos'!$D$98)*('Cálculos'!$D$210+'Cálculos'!$D$124*(1+2.78*('Cálculos'!$D$196+(($B$111)-$A98)*'Cálculos'!$D$98)/(('Cálculos'!$D$196+(($B$111)-$A98)*'Cálculos'!$D$98)+1400)+'Cálculos'!$D$122)*'Cálculos'!$D$215+'Cálculos'!$D$125*(1+2.78*('Cálculos'!$D$196+(($B$111)-$A98)*'Cálculos'!$D$98)/(('Cálculos'!$D$196+(($B$111)-$A98)*'Cálculos'!$D$98)+1400)+'Cálculos'!$D$123)*'Cálculos'!$D$220)+('Cálculos'!$D$201*(1+'Cálculos'!$D$202+$A98*('Cálculos'!$D$290=2)*'Cálculos'!$D$101)+'Cálculos'!$D$203)*('Cálculos'!$D$211+'Cálculos'!$D$124*(1+2.78*('Cálculos'!$D$196+(($B$111)-$A98)*'Cálculos'!$D$98)/(('Cálculos'!$D$196+(($B$111)-$A98)*'Cálculos'!$D$98)+1400)+'Cálculos'!$D$122)*'Cálculos'!$D$216+'Cálculos'!$D$125*(1+2.78*('Cálculos'!$D$196+(($B$111)-$A98)*'Cálculos'!$D$98)/(('Cálculos'!$D$196+(($B$111)-$A98)*'Cálculos'!$D$98)+1400)+'Cálculos'!$D$123)*'Cálculos'!$D$221)+('Cálculos'!$D$204*(1+'Cálculos'!$D$205+$A98*('Cálculos'!$D$290=3)*'Cálculos'!$D$103)+'Cálculos'!$D$206)*('Cálculos'!$D$212+'Cálculos'!$D$124*(1+2.78*('Cálculos'!$D$196+(($B$111)-$A98)*'Cálculos'!$D$98)/(('Cálculos'!$D$196+(($B$111)-$A98)*'Cálculos'!$D$98)+1400)+'Cálculos'!$D$122)*'Cálculos'!$D$217+'Cálculos'!$D$125*(1+2.78*('Cálculos'!$D$196+(($B$111)-$A98)*'Cálculos'!$D$98)/(('Cálculos'!$D$196+(($B$111)-$A98)*'Cálculos'!$D$98)+1400)+'Cálculos'!$D$123)*'Cálculos'!$D$222)+('Cálculos'!$D$185*(1+'Cálculos'!$D$187+$A98*('Cálculos'!$D$290=1)*'Cálculos'!$D$97+'Cálculos'!$D$305)+'Cálculos'!$D$192)*('Cálculos'!$D$224+'Cálculos'!$D$124*(1+2.78*('Cálculos'!$D$197+(($B$111)-$A98)*'Cálculos'!$D$98)/(('Cálculos'!$D$197+(($B$111)-$A98)*'Cálculos'!$D$98)+1400)+'Cálculos'!$D$122)*'Cálculos'!$D$229+'Cálculos'!$D$125*(1+2.78*('Cálculos'!$D$197+(($B$111)-$A98)*'Cálculos'!$D$98)/(('Cálculos'!$D$197+(($B$111)-$A98)*'Cálculos'!$D$98)+1400)+'Cálculos'!$D$123)*'Cálculos'!$D$234)+('Cálculos'!$D$197+(($B$111)-$A98)*'Cálculos'!$D$98)*('Cálculos'!$D$225+'Cálculos'!$D$124*(1+2.78*('Cálculos'!$D$197+(($B$111)-$A98)*'Cálculos'!$D$98)/(('Cálculos'!$D$197+(($B$111)-$A98)*'Cálculos'!$D$98)+1400)+'Cálculos'!$D$122)*'Cálculos'!$D$230+'Cálculos'!$D$125*(1+2.78*('Cálculos'!$D$197+(($B$111)-$A98)*'Cálculos'!$D$98)/(('Cálculos'!$D$197+(($B$111)-$A98)*'Cálculos'!$D$98)+1400)+'Cálculos'!$D$123)*'Cálculos'!$D$235)+('Cálculos'!$D$201*(1+'Cálculos'!$D$202+$A98*('Cálculos'!$D$290=2)*'Cálculos'!$D$101)+'Cálculos'!$D$203)*('Cálculos'!$D$226+'Cálculos'!$D$124*(1+2.78*('Cálculos'!$D$197+(($B$111)-$A98)*'Cálculos'!$D$98)/(('Cálculos'!$D$197+(($B$111)-$A98)*'Cálculos'!$D$98)+1400)+'Cálculos'!$D$122)*'Cálculos'!$D$231+'Cálculos'!$D$125*(1+2.78*('Cálculos'!$D$197+(($B$111)-$A98)*'Cálculos'!$D$98)/(('Cálculos'!$D$197+(($B$111)-$A98)*'Cálculos'!$D$98)+1400)+'Cálculos'!$D$123)*'Cálculos'!$D$236)+('Cálculos'!$D$204*(1+'Cálculos'!$D$205+$A98*('Cálculos'!$D$290=3)*'Cálculos'!$D$103)+'Cálculos'!$D$206)*('Cálculos'!$D$227+'Cálculos'!$D$124*(1+2.78*('Cálculos'!$D$197+(($B$111)-$A98)*'Cálculos'!$D$98)/(('Cálculos'!$D$197+(($B$111)-$A98)*'Cálculos'!$D$98)+1400)+'Cálculos'!$D$122)*'Cálculos'!$D$232+'Cálculos'!$D$125*(1+2.78*('Cálculos'!$D$197+(($B$111)-$A98)*'Cálculos'!$D$98)/(('Cálculos'!$D$197+(($B$111)-$A98)*'Cálculos'!$D$98)+1400)+'Cálculos'!$D$123)*'Cálculos'!$D$237)+('Cálculos'!$D$185*(1+'Cálculos'!$D$188+$A98*('Cálculos'!$D$290=1)*'Cálculos'!$D$97+'Cálculos'!$D$305)+'Cálculos'!$D$193)*('Cálculos'!$D$239+'Cálculos'!$D$124*(1+2.78*('Cálculos'!$D$198+(($B$111)-$A98)*'Cálculos'!$D$98)/(('Cálculos'!$D$198+(($B$111)-$A98)*'Cálculos'!$D$98)+1400)+'Cálculos'!$D$122)*'Cálculos'!$D$244+'Cálculos'!$D$125*(1+2.78*('Cálculos'!$D$198+(($B$111)-$A98)*'Cálculos'!$D$98)/(('Cálculos'!$D$198+(($B$111)-$A98)*'Cálculos'!$D$98)+1400)+'Cálculos'!$D$123)*'Cálculos'!$D$249)+('Cálculos'!$D$198+(($B$111)-$A98)*'Cálculos'!$D$98)*('Cálculos'!$D$240+'Cálculos'!$D$124*(1+2.78*('Cálculos'!$D$198+(($B$111)-$A98)*'Cálculos'!$D$98)/(('Cálculos'!$D$198+(($B$111)-$A98)*'Cálculos'!$D$98)+1400)+'Cálculos'!$D$122)*'Cálculos'!$D$245+'Cálculos'!$D$125*(1+2.78*('Cálculos'!$D$198+(($B$111)-$A98)*'Cálculos'!$D$98)/(('Cálculos'!$D$198+(($B$111)-$A98)*'Cálculos'!$D$98)+1400)+'Cálculos'!$D$123)*'Cálculos'!$D$250)+('Cálculos'!$D$201*(1+'Cálculos'!$D$202+$A98*('Cálculos'!$D$290=2)*'Cálculos'!$D$101)+'Cálculos'!$D$203)*('Cálculos'!$D$241+'Cálculos'!$D$124*(1+2.78*('Cálculos'!$D$198+(($B$111)-$A98)*'Cálculos'!$D$98)/(('Cálculos'!$D$198+(($B$111)-$A98)*'Cálculos'!$D$98)+1400)+'Cálculos'!$D$122)*'Cálculos'!$D$246+'Cálculos'!$D$125*(1+2.78*('Cálculos'!$D$198+(($B$111)-$A98)*'Cálculos'!$D$98)/(('Cálculos'!$D$198+(($B$111)-$A98)*'Cálculos'!$D$98)+1400)+'Cálculos'!$D$123)*'Cálculos'!$D$251)+('Cálculos'!$D$204*(1+'Cálculos'!$D$205+$A98*('Cálculos'!$D$290=3)*'Cálculos'!$D$103)+'Cálculos'!$D$206)*('Cálculos'!$D$242+'Cálculos'!$D$124*(1+2.78*('Cálculos'!$D$198+(($B$111)-$A98)*'Cálculos'!$D$98)/(('Cálculos'!$D$198+(($B$111)-$A98)*'Cálculos'!$D$98)+1400)+'Cálculos'!$D$122)*'Cálculos'!$D$247+'Cálculos'!$D$125*(1+2.78*('Cálculos'!$D$198+(($B$111)-$A98)*'Cálculos'!$D$98)/(('Cálculos'!$D$198+(($B$111)-$A98)*'Cálculos'!$D$98)+1400)+'Cálculos'!$D$123)*'Cálculos'!$D$252)+('Cálculos'!$D$185*(1+'Cálculos'!$D$189+$A98*('Cálculos'!$D$290=1)*'Cálculos'!$D$97+'Cálculos'!$D$305)+'Cálculos'!$D$194)*('Cálculos'!$D$254+'Cálculos'!$D$124*(1+2.78*('Cálculos'!$D$199+(($B$111)-$A98)*'Cálculos'!$D$98)/(('Cálculos'!$D$199+(($B$111)-$A98)*'Cálculos'!$D$98)+1400)+'Cálculos'!$D$122)*'Cálculos'!$D$259+'Cálculos'!$D$125*(1+2.78*('Cálculos'!$D$199+(($B$111)-$A98)*'Cálculos'!$D$98)/(('Cálculos'!$D$199+(($B$111)-$A98)*'Cálculos'!$D$98)+1400)+'Cálculos'!$D$123)*'Cálculos'!$D$264)+('Cálculos'!$D$199+(($B$111)-$A98)*'Cálculos'!$D$98)*('Cálculos'!$D$255+'Cálculos'!$D$124*(1+2.78*('Cálculos'!$D$199+(($B$111)-$A98)*'Cálculos'!$D$98)/(('Cálculos'!$D$199+(($B$111)-$A98)*'Cálculos'!$D$98)+1400)+'Cálculos'!$D$122)*'Cálculos'!$D$260+'Cálculos'!$D$125*(1+2.78*('Cálculos'!$D$199+(($B$111)-$A98)*'Cálculos'!$D$98)/(('Cálculos'!$D$199+(($B$111)-$A98)*'Cálculos'!$D$98)+1400)+'Cálculos'!$D$123)*'Cálculos'!$D$265)+('Cálculos'!$D$201*(1+'Cálculos'!$D$202+$A98*('Cálculos'!$D$290=2)*'Cálculos'!$D$101)+'Cálculos'!$D$203)*('Cálculos'!$D$256+'Cálculos'!$D$124*(1+2.78*('Cálculos'!$D$199+(($B$111)-$A98)*'Cálculos'!$D$98)/(('Cálculos'!$D$199+(($B$111)-$A98)*'Cálculos'!$D$98)+1400)+'Cálculos'!$D$122)*'Cálculos'!$D$261+'Cálculos'!$D$125*(1+2.78*('Cálculos'!$D$199+(($B$111)-$A98)*'Cálculos'!$D$98)/(('Cálculos'!$D$199+(($B$111)-$A98)*'Cálculos'!$D$98)+1400)+'Cálculos'!$D$123)*'Cálculos'!$D$266)+('Cálculos'!$D$204*(1+'Cálculos'!$D$205+$A98*('Cálculos'!$D$290=3)*'Cálculos'!$D$103)+'Cálculos'!$D$206)*('Cálculos'!$D$257+'Cálculos'!$D$124*(1+2.78*('Cálculos'!$D$199+(($B$111)-$A98)*'Cálculos'!$D$98)/(('Cálculos'!$D$199+(($B$111)-$A98)*'Cálculos'!$D$98)+1400)+'Cálculos'!$D$122)*'Cálculos'!$D$262+'Cálculos'!$D$125*(1+2.78*('Cálculos'!$D$199+(($B$111)-$A98)*'Cálculos'!$D$98)/(('Cálculos'!$D$199+(($B$111)-$A98)*'Cálculos'!$D$98)+1400)+'Cálculos'!$D$123)*'Cálculos'!$D$267)+('Cálculos'!$D$185*(1+'Cálculos'!$D$190+$A98*('Cálculos'!$D$290=1)*'Cálculos'!$D$97+'Cálculos'!$D$305)+'Cálculos'!$D$195)*('Cálculos'!$D$269+'Cálculos'!$D$124*(1+2.78*('Cálculos'!$D$200+(($B$111)-$A98)*'Cálculos'!$D$98)/(('Cálculos'!$D$200+(($B$111)-$A98)*'Cálculos'!$D$98)+1400)+'Cálculos'!$D$122)*'Cálculos'!$D$274+'Cálculos'!$D$125*(1+2.78*('Cálculos'!$D$200+(($B$111)-$A98)*'Cálculos'!$D$98)/(('Cálculos'!$D$200+(($B$111)-$A98)*'Cálculos'!$D$98)+1400)+'Cálculos'!$D$123)*'Cálculos'!$D$279)+('Cálculos'!$D$200+(($B$111)-$A98)*'Cálculos'!$D$98)*('Cálculos'!$D$270+'Cálculos'!$D$124*(1+2.78*('Cálculos'!$D$200+(($B$111)-$A98)*'Cálculos'!$D$98)/(('Cálculos'!$D$200+(($B$111)-$A98)*'Cálculos'!$D$98)+1400)+'Cálculos'!$D$122)*'Cálculos'!$D$275+'Cálculos'!$D$125*(1+2.78*('Cálculos'!$D$200+(($B$111)-$A98)*'Cálculos'!$D$98)/(('Cálculos'!$D$200+(($B$111)-$A98)*'Cálculos'!$D$98)+1400)+'Cálculos'!$D$123)*'Cálculos'!$D$280)+('Cálculos'!$D$201*(1+'Cálculos'!$D$202+$A98*('Cálculos'!$D$290=2)*'Cálculos'!$D$101)+'Cálculos'!$D$203)*('Cálculos'!$D$271+'Cálculos'!$D$124*(1+2.78*('Cálculos'!$D$200+(($B$111)-$A98)*'Cálculos'!$D$98)/(('Cálculos'!$D$200+(($B$111)-$A98)*'Cálculos'!$D$98)+1400)+'Cálculos'!$D$122)*'Cálculos'!$D$276+'Cálculos'!$D$125*(1+2.78*('Cálculos'!$D$200+(($B$111)-$A98)*'Cálculos'!$D$98)/(('Cálculos'!$D$200+(($B$111)-$A98)*'Cálculos'!$D$98)+1400)+'Cálculos'!$D$123)*'Cálculos'!$D$281)+('Cálculos'!$D$204*(1+'Cálculos'!$D$205+$A98*('Cálculos'!$D$290=3)*'Cálculos'!$D$103)+'Cálculos'!$D$206)*('Cálculos'!$D$272+'Cálculos'!$D$124*(1+2.78*('Cálculos'!$D$200+(($B$111)-$A98)*'Cálculos'!$D$98)/(('Cálculos'!$D$200+(($B$111)-$A98)*'Cálculos'!$D$98)+1400)+'Cálculos'!$D$122)*'Cálculos'!$D$277+'Cálculos'!$D$125*(1+2.78*('Cálculos'!$D$200+(($B$111)-$A98)*'Cálculos'!$D$98)/(('Cálculos'!$D$200+(($B$111)-$A98)*'Cálculos'!$D$98)+1400)+'Cálculos'!$D$123)*'Cálculos'!$D$282)))</f>
        <v>0</v>
      </c>
    </row>
    <row r="99" ht="15.75" customHeight="1">
      <c r="A99" s="2">
        <v>36.0</v>
      </c>
      <c r="B99" s="30">
        <f>SUMPRODUCT(MAX(($A$63:$A$108&lt;=$A99)*($A$63:$A$108&lt;='Cálculos'!$D$294)*(($A99)-$A$63:$A$108&lt;='Cálculos'!$D$295)*(1+(('Cálculos'!$D$207+$A$63:$A$108*'Cálculos'!$D$95)-(('Cálculos'!$D$207+$A$63:$A$108*'Cálculos'!$D$95)&gt;1)*(('Cálculos'!$D$207+$A$63:$A$108*'Cálculos'!$D$95)-1))*('Cálculos'!$D$208+(($A99)-$A$63:$A$108)*'Cálculos'!$D$96))))</f>
        <v>2.365914716</v>
      </c>
      <c r="C99" s="2">
        <f>'Cálculos'!$D$303-$A99</f>
        <v>-25</v>
      </c>
      <c r="D99" s="31">
        <f>IF($C99&lt;0,0,SUMPRODUCT(MAX(($A$63:$A$108&lt;=$C99)*($A$63:$A$108&lt;='Cálculos'!$D$301)*(($C99)-$A$63:$A$108&lt;='Cálculos'!$D$297)*(('Cálculos'!$D$185*(1+'Cálculos'!$D$186+$A$63:$A$108*('Cálculos'!$D$290=1)*'Cálculos'!$D$97+'Cálculos'!$D$305)+'Cálculos'!$D$191)*('Cálculos'!$D$209+'Cálculos'!$D$124*(1+2.78*('Cálculos'!$D$196+(($C99)-$A$63:$A$108)*'Cálculos'!$D$98)/(('Cálculos'!$D$196+(($C99)-$A$63:$A$108)*'Cálculos'!$D$98)+1400)+'Cálculos'!$D$122)*'Cálculos'!$D$214+'Cálculos'!$D$125*(1+2.78*('Cálculos'!$D$196+(($C99)-$A$63:$A$108)*'Cálculos'!$D$98)/(('Cálculos'!$D$196+(($C99)-$A$63:$A$108)*'Cálculos'!$D$98)+1400)+'Cálculos'!$D$123)*'Cálculos'!$D$219)+('Cálculos'!$D$196+(($C99)-$A$63:$A$108)*'Cálculos'!$D$98)*('Cálculos'!$D$210+'Cálculos'!$D$124*(1+2.78*('Cálculos'!$D$196+(($C99)-$A$63:$A$108)*'Cálculos'!$D$98)/(('Cálculos'!$D$196+(($C99)-$A$63:$A$108)*'Cálculos'!$D$98)+1400)+'Cálculos'!$D$122)*'Cálculos'!$D$215+'Cálculos'!$D$125*(1+2.78*('Cálculos'!$D$196+(($C99)-$A$63:$A$108)*'Cálculos'!$D$98)/(('Cálculos'!$D$196+(($C99)-$A$63:$A$108)*'Cálculos'!$D$98)+1400)+'Cálculos'!$D$123)*'Cálculos'!$D$220)+('Cálculos'!$D$201*(1+'Cálculos'!$D$202+$A$63:$A$108*('Cálculos'!$D$290=2)*'Cálculos'!$D$101)+'Cálculos'!$D$203)*('Cálculos'!$D$211+'Cálculos'!$D$124*(1+2.78*('Cálculos'!$D$196+(($C99)-$A$63:$A$108)*'Cálculos'!$D$98)/(('Cálculos'!$D$196+(($C99)-$A$63:$A$108)*'Cálculos'!$D$98)+1400)+'Cálculos'!$D$122)*'Cálculos'!$D$216+'Cálculos'!$D$125*(1+2.78*('Cálculos'!$D$196+(($C99)-$A$63:$A$108)*'Cálculos'!$D$98)/(('Cálculos'!$D$196+(($C99)-$A$63:$A$108)*'Cálculos'!$D$98)+1400)+'Cálculos'!$D$123)*'Cálculos'!$D$221)+('Cálculos'!$D$204*(1+'Cálculos'!$D$205+$A$63:$A$108*('Cálculos'!$D$290=3)*'Cálculos'!$D$103)+'Cálculos'!$D$206)*('Cálculos'!$D$212+'Cálculos'!$D$124*(1+2.78*('Cálculos'!$D$196+(($C99)-$A$63:$A$108)*'Cálculos'!$D$98)/(('Cálculos'!$D$196+(($C99)-$A$63:$A$108)*'Cálculos'!$D$98)+1400)+'Cálculos'!$D$122)*'Cálculos'!$D$217+'Cálculos'!$D$125*(1+2.78*('Cálculos'!$D$196+(($C99)-$A$63:$A$108)*'Cálculos'!$D$98)/(('Cálculos'!$D$196+(($C99)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99)-$A$63:$A$108)*'Cálculos'!$D$98)/(('Cálculos'!$D$197+(($C99)-$A$63:$A$108)*'Cálculos'!$D$98)+1400)+'Cálculos'!$D$122)*'Cálculos'!$D$229+'Cálculos'!$D$125*(1+2.78*('Cálculos'!$D$197+(($C99)-$A$63:$A$108)*'Cálculos'!$D$98)/(('Cálculos'!$D$197+(($C99)-$A$63:$A$108)*'Cálculos'!$D$98)+1400)+'Cálculos'!$D$123)*'Cálculos'!$D$234)+('Cálculos'!$D$197+(($C99)-$A$63:$A$108)*'Cálculos'!$D$98)*('Cálculos'!$D$225+'Cálculos'!$D$124*(1+2.78*('Cálculos'!$D$197+(($C99)-$A$63:$A$108)*'Cálculos'!$D$98)/(('Cálculos'!$D$197+(($C99)-$A$63:$A$108)*'Cálculos'!$D$98)+1400)+'Cálculos'!$D$122)*'Cálculos'!$D$230+'Cálculos'!$D$125*(1+2.78*('Cálculos'!$D$197+(($C99)-$A$63:$A$108)*'Cálculos'!$D$98)/(('Cálculos'!$D$197+(($C99)-$A$63:$A$108)*'Cálculos'!$D$98)+1400)+'Cálculos'!$D$123)*'Cálculos'!$D$235)+('Cálculos'!$D$201*(1+'Cálculos'!$D$202+$A$63:$A$108*('Cálculos'!$D$290=2)*'Cálculos'!$D$101)+'Cálculos'!$D$203)*('Cálculos'!$D$226+'Cálculos'!$D$124*(1+2.78*('Cálculos'!$D$197+(($C99)-$A$63:$A$108)*'Cálculos'!$D$98)/(('Cálculos'!$D$197+(($C99)-$A$63:$A$108)*'Cálculos'!$D$98)+1400)+'Cálculos'!$D$122)*'Cálculos'!$D$231+'Cálculos'!$D$125*(1+2.78*('Cálculos'!$D$197+(($C99)-$A$63:$A$108)*'Cálculos'!$D$98)/(('Cálculos'!$D$197+(($C99)-$A$63:$A$108)*'Cálculos'!$D$98)+1400)+'Cálculos'!$D$123)*'Cálculos'!$D$236)+('Cálculos'!$D$204*(1+'Cálculos'!$D$205+$A$63:$A$108*('Cálculos'!$D$290=3)*'Cálculos'!$D$103)+'Cálculos'!$D$206)*('Cálculos'!$D$227+'Cálculos'!$D$124*(1+2.78*('Cálculos'!$D$197+(($C99)-$A$63:$A$108)*'Cálculos'!$D$98)/(('Cálculos'!$D$197+(($C99)-$A$63:$A$108)*'Cálculos'!$D$98)+1400)+'Cálculos'!$D$122)*'Cálculos'!$D$232+'Cálculos'!$D$125*(1+2.78*('Cálculos'!$D$197+(($C99)-$A$63:$A$108)*'Cálculos'!$D$98)/(('Cálculos'!$D$197+(($C99)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99)-$A$63:$A$108)*'Cálculos'!$D$98)/(('Cálculos'!$D$198+(($C99)-$A$63:$A$108)*'Cálculos'!$D$98)+1400)+'Cálculos'!$D$122)*'Cálculos'!$D$244+'Cálculos'!$D$125*(1+2.78*('Cálculos'!$D$198+(($C99)-$A$63:$A$108)*'Cálculos'!$D$98)/(('Cálculos'!$D$198+(($C99)-$A$63:$A$108)*'Cálculos'!$D$98)+1400)+'Cálculos'!$D$123)*'Cálculos'!$D$249)+('Cálculos'!$D$198+(($C99)-$A$63:$A$108)*'Cálculos'!$D$98)*('Cálculos'!$D$240+'Cálculos'!$D$124*(1+2.78*('Cálculos'!$D$198+(($C99)-$A$63:$A$108)*'Cálculos'!$D$98)/(('Cálculos'!$D$198+(($C99)-$A$63:$A$108)*'Cálculos'!$D$98)+1400)+'Cálculos'!$D$122)*'Cálculos'!$D$245+'Cálculos'!$D$125*(1+2.78*('Cálculos'!$D$198+(($C99)-$A$63:$A$108)*'Cálculos'!$D$98)/(('Cálculos'!$D$198+(($C99)-$A$63:$A$108)*'Cálculos'!$D$98)+1400)+'Cálculos'!$D$123)*'Cálculos'!$D$250)+('Cálculos'!$D$201*(1+'Cálculos'!$D$202+$A$63:$A$108*('Cálculos'!$D$290=2)*'Cálculos'!$D$101)+'Cálculos'!$D$203)*('Cálculos'!$D$241+'Cálculos'!$D$124*(1+2.78*('Cálculos'!$D$198+(($C99)-$A$63:$A$108)*'Cálculos'!$D$98)/(('Cálculos'!$D$198+(($C99)-$A$63:$A$108)*'Cálculos'!$D$98)+1400)+'Cálculos'!$D$122)*'Cálculos'!$D$246+'Cálculos'!$D$125*(1+2.78*('Cálculos'!$D$198+(($C99)-$A$63:$A$108)*'Cálculos'!$D$98)/(('Cálculos'!$D$198+(($C99)-$A$63:$A$108)*'Cálculos'!$D$98)+1400)+'Cálculos'!$D$123)*'Cálculos'!$D$251)+('Cálculos'!$D$204*(1+'Cálculos'!$D$205+$A$63:$A$108*('Cálculos'!$D$290=3)*'Cálculos'!$D$103)+'Cálculos'!$D$206)*('Cálculos'!$D$242+'Cálculos'!$D$124*(1+2.78*('Cálculos'!$D$198+(($C99)-$A$63:$A$108)*'Cálculos'!$D$98)/(('Cálculos'!$D$198+(($C99)-$A$63:$A$108)*'Cálculos'!$D$98)+1400)+'Cálculos'!$D$122)*'Cálculos'!$D$247+'Cálculos'!$D$125*(1+2.78*('Cálculos'!$D$198+(($C99)-$A$63:$A$108)*'Cálculos'!$D$98)/(('Cálculos'!$D$198+(($C99)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99)-$A$63:$A$108)*'Cálculos'!$D$98)/(('Cálculos'!$D$199+(($C99)-$A$63:$A$108)*'Cálculos'!$D$98)+1400)+'Cálculos'!$D$122)*'Cálculos'!$D$259+'Cálculos'!$D$125*(1+2.78*('Cálculos'!$D$199+(($C99)-$A$63:$A$108)*'Cálculos'!$D$98)/(('Cálculos'!$D$199+(($C99)-$A$63:$A$108)*'Cálculos'!$D$98)+1400)+'Cálculos'!$D$123)*'Cálculos'!$D$264)+('Cálculos'!$D$199+(($C99)-$A$63:$A$108)*'Cálculos'!$D$98)*('Cálculos'!$D$255+'Cálculos'!$D$124*(1+2.78*('Cálculos'!$D$199+(($C99)-$A$63:$A$108)*'Cálculos'!$D$98)/(('Cálculos'!$D$199+(($C99)-$A$63:$A$108)*'Cálculos'!$D$98)+1400)+'Cálculos'!$D$122)*'Cálculos'!$D$260+'Cálculos'!$D$125*(1+2.78*('Cálculos'!$D$199+(($C99)-$A$63:$A$108)*'Cálculos'!$D$98)/(('Cálculos'!$D$199+(($C99)-$A$63:$A$108)*'Cálculos'!$D$98)+1400)+'Cálculos'!$D$123)*'Cálculos'!$D$265)+('Cálculos'!$D$201*(1+'Cálculos'!$D$202+$A$63:$A$108*('Cálculos'!$D$290=2)*'Cálculos'!$D$101)+'Cálculos'!$D$203)*('Cálculos'!$D$256+'Cálculos'!$D$124*(1+2.78*('Cálculos'!$D$199+(($C99)-$A$63:$A$108)*'Cálculos'!$D$98)/(('Cálculos'!$D$199+(($C99)-$A$63:$A$108)*'Cálculos'!$D$98)+1400)+'Cálculos'!$D$122)*'Cálculos'!$D$261+'Cálculos'!$D$125*(1+2.78*('Cálculos'!$D$199+(($C99)-$A$63:$A$108)*'Cálculos'!$D$98)/(('Cálculos'!$D$199+(($C99)-$A$63:$A$108)*'Cálculos'!$D$98)+1400)+'Cálculos'!$D$123)*'Cálculos'!$D$266)+('Cálculos'!$D$204*(1+'Cálculos'!$D$205+$A$63:$A$108*('Cálculos'!$D$290=3)*'Cálculos'!$D$103)+'Cálculos'!$D$206)*('Cálculos'!$D$257+'Cálculos'!$D$124*(1+2.78*('Cálculos'!$D$199+(($C99)-$A$63:$A$108)*'Cálculos'!$D$98)/(('Cálculos'!$D$199+(($C99)-$A$63:$A$108)*'Cálculos'!$D$98)+1400)+'Cálculos'!$D$122)*'Cálculos'!$D$262+'Cálculos'!$D$125*(1+2.78*('Cálculos'!$D$199+(($C99)-$A$63:$A$108)*'Cálculos'!$D$98)/(('Cálculos'!$D$199+(($C99)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99)-$A$63:$A$108)*'Cálculos'!$D$98)/(('Cálculos'!$D$200+(($C99)-$A$63:$A$108)*'Cálculos'!$D$98)+1400)+'Cálculos'!$D$122)*'Cálculos'!$D$274+'Cálculos'!$D$125*(1+2.78*('Cálculos'!$D$200+(($C99)-$A$63:$A$108)*'Cálculos'!$D$98)/(('Cálculos'!$D$200+(($C99)-$A$63:$A$108)*'Cálculos'!$D$98)+1400)+'Cálculos'!$D$123)*'Cálculos'!$D$279)+('Cálculos'!$D$200+(($C99)-$A$63:$A$108)*'Cálculos'!$D$98)*('Cálculos'!$D$270+'Cálculos'!$D$124*(1+2.78*('Cálculos'!$D$200+(($C99)-$A$63:$A$108)*'Cálculos'!$D$98)/(('Cálculos'!$D$200+(($C99)-$A$63:$A$108)*'Cálculos'!$D$98)+1400)+'Cálculos'!$D$122)*'Cálculos'!$D$275+'Cálculos'!$D$125*(1+2.78*('Cálculos'!$D$200+(($C99)-$A$63:$A$108)*'Cálculos'!$D$98)/(('Cálculos'!$D$200+(($C99)-$A$63:$A$108)*'Cálculos'!$D$98)+1400)+'Cálculos'!$D$123)*'Cálculos'!$D$280)+('Cálculos'!$D$201*(1+'Cálculos'!$D$202+$A$63:$A$108*('Cálculos'!$D$290=2)*'Cálculos'!$D$101)+'Cálculos'!$D$203)*('Cálculos'!$D$271+'Cálculos'!$D$124*(1+2.78*('Cálculos'!$D$200+(($C99)-$A$63:$A$108)*'Cálculos'!$D$98)/(('Cálculos'!$D$200+(($C99)-$A$63:$A$108)*'Cálculos'!$D$98)+1400)+'Cálculos'!$D$122)*'Cálculos'!$D$276+'Cálculos'!$D$125*(1+2.78*('Cálculos'!$D$200+(($C99)-$A$63:$A$108)*'Cálculos'!$D$98)/(('Cálculos'!$D$200+(($C99)-$A$63:$A$108)*'Cálculos'!$D$98)+1400)+'Cálculos'!$D$123)*'Cálculos'!$D$281)+('Cálculos'!$D$204*(1+'Cálculos'!$D$205+$A$63:$A$108*('Cálculos'!$D$290=3)*'Cálculos'!$D$103)+'Cálculos'!$D$206)*('Cálculos'!$D$272+'Cálculos'!$D$124*(1+2.78*('Cálculos'!$D$200+(($C99)-$A$63:$A$108)*'Cálculos'!$D$98)/(('Cálculos'!$D$200+(($C99)-$A$63:$A$108)*'Cálculos'!$D$98)+1400)+'Cálculos'!$D$122)*'Cálculos'!$D$277+'Cálculos'!$D$125*(1+2.78*('Cálculos'!$D$200+(($C99)-$A$63:$A$108)*'Cálculos'!$D$98)/(('Cálculos'!$D$200+(($C99)-$A$63:$A$108)*'Cálculos'!$D$98)+1400)+'Cálculos'!$D$123)*'Cálculos'!$D$282)))))</f>
        <v>0</v>
      </c>
      <c r="E99" s="32">
        <f>IF(OR($C99&lt;0,'Cálculos'!$D$6=""),0,$B99*$D99)</f>
        <v>0</v>
      </c>
      <c r="F99" s="2"/>
      <c r="G99" s="30">
        <f>($A99&lt;=$B$110)*($A99&lt;='Cálculos'!$D$294)*(($B$110)-$A99&lt;='Cálculos'!$D$295)*(1+MIN(('Cálculos'!$D$207+$A99*'Cálculos'!$D$95),1)*('Cálculos'!$D$208+(($B$110)-$A99)*'Cálculos'!$D$96))</f>
        <v>0</v>
      </c>
      <c r="H99" s="31">
        <f>IF($B$111&lt;0,0,($A99&lt;=$B$111)*($A99&lt;='Cálculos'!$D$301)*(($B$111)-$A99&lt;='Cálculos'!$D$297)*(('Cálculos'!$D$185*(1+'Cálculos'!$D$186+$A99*('Cálculos'!$D$290=1)*'Cálculos'!$D$97+'Cálculos'!$D$305)+'Cálculos'!$D$191)*('Cálculos'!$D$209+'Cálculos'!$D$124*(1+2.78*('Cálculos'!$D$196+(($B$111)-$A99)*'Cálculos'!$D$98)/(('Cálculos'!$D$196+(($B$111)-$A99)*'Cálculos'!$D$98)+1400)+'Cálculos'!$D$122)*'Cálculos'!$D$214+'Cálculos'!$D$125*(1+2.78*('Cálculos'!$D$196+(($B$111)-$A99)*'Cálculos'!$D$98)/(('Cálculos'!$D$196+(($B$111)-$A99)*'Cálculos'!$D$98)+1400)+'Cálculos'!$D$123)*'Cálculos'!$D$219)+('Cálculos'!$D$196+(($B$111)-$A99)*'Cálculos'!$D$98)*('Cálculos'!$D$210+'Cálculos'!$D$124*(1+2.78*('Cálculos'!$D$196+(($B$111)-$A99)*'Cálculos'!$D$98)/(('Cálculos'!$D$196+(($B$111)-$A99)*'Cálculos'!$D$98)+1400)+'Cálculos'!$D$122)*'Cálculos'!$D$215+'Cálculos'!$D$125*(1+2.78*('Cálculos'!$D$196+(($B$111)-$A99)*'Cálculos'!$D$98)/(('Cálculos'!$D$196+(($B$111)-$A99)*'Cálculos'!$D$98)+1400)+'Cálculos'!$D$123)*'Cálculos'!$D$220)+('Cálculos'!$D$201*(1+'Cálculos'!$D$202+$A99*('Cálculos'!$D$290=2)*'Cálculos'!$D$101)+'Cálculos'!$D$203)*('Cálculos'!$D$211+'Cálculos'!$D$124*(1+2.78*('Cálculos'!$D$196+(($B$111)-$A99)*'Cálculos'!$D$98)/(('Cálculos'!$D$196+(($B$111)-$A99)*'Cálculos'!$D$98)+1400)+'Cálculos'!$D$122)*'Cálculos'!$D$216+'Cálculos'!$D$125*(1+2.78*('Cálculos'!$D$196+(($B$111)-$A99)*'Cálculos'!$D$98)/(('Cálculos'!$D$196+(($B$111)-$A99)*'Cálculos'!$D$98)+1400)+'Cálculos'!$D$123)*'Cálculos'!$D$221)+('Cálculos'!$D$204*(1+'Cálculos'!$D$205+$A99*('Cálculos'!$D$290=3)*'Cálculos'!$D$103)+'Cálculos'!$D$206)*('Cálculos'!$D$212+'Cálculos'!$D$124*(1+2.78*('Cálculos'!$D$196+(($B$111)-$A99)*'Cálculos'!$D$98)/(('Cálculos'!$D$196+(($B$111)-$A99)*'Cálculos'!$D$98)+1400)+'Cálculos'!$D$122)*'Cálculos'!$D$217+'Cálculos'!$D$125*(1+2.78*('Cálculos'!$D$196+(($B$111)-$A99)*'Cálculos'!$D$98)/(('Cálculos'!$D$196+(($B$111)-$A99)*'Cálculos'!$D$98)+1400)+'Cálculos'!$D$123)*'Cálculos'!$D$222)+('Cálculos'!$D$185*(1+'Cálculos'!$D$187+$A99*('Cálculos'!$D$290=1)*'Cálculos'!$D$97+'Cálculos'!$D$305)+'Cálculos'!$D$192)*('Cálculos'!$D$224+'Cálculos'!$D$124*(1+2.78*('Cálculos'!$D$197+(($B$111)-$A99)*'Cálculos'!$D$98)/(('Cálculos'!$D$197+(($B$111)-$A99)*'Cálculos'!$D$98)+1400)+'Cálculos'!$D$122)*'Cálculos'!$D$229+'Cálculos'!$D$125*(1+2.78*('Cálculos'!$D$197+(($B$111)-$A99)*'Cálculos'!$D$98)/(('Cálculos'!$D$197+(($B$111)-$A99)*'Cálculos'!$D$98)+1400)+'Cálculos'!$D$123)*'Cálculos'!$D$234)+('Cálculos'!$D$197+(($B$111)-$A99)*'Cálculos'!$D$98)*('Cálculos'!$D$225+'Cálculos'!$D$124*(1+2.78*('Cálculos'!$D$197+(($B$111)-$A99)*'Cálculos'!$D$98)/(('Cálculos'!$D$197+(($B$111)-$A99)*'Cálculos'!$D$98)+1400)+'Cálculos'!$D$122)*'Cálculos'!$D$230+'Cálculos'!$D$125*(1+2.78*('Cálculos'!$D$197+(($B$111)-$A99)*'Cálculos'!$D$98)/(('Cálculos'!$D$197+(($B$111)-$A99)*'Cálculos'!$D$98)+1400)+'Cálculos'!$D$123)*'Cálculos'!$D$235)+('Cálculos'!$D$201*(1+'Cálculos'!$D$202+$A99*('Cálculos'!$D$290=2)*'Cálculos'!$D$101)+'Cálculos'!$D$203)*('Cálculos'!$D$226+'Cálculos'!$D$124*(1+2.78*('Cálculos'!$D$197+(($B$111)-$A99)*'Cálculos'!$D$98)/(('Cálculos'!$D$197+(($B$111)-$A99)*'Cálculos'!$D$98)+1400)+'Cálculos'!$D$122)*'Cálculos'!$D$231+'Cálculos'!$D$125*(1+2.78*('Cálculos'!$D$197+(($B$111)-$A99)*'Cálculos'!$D$98)/(('Cálculos'!$D$197+(($B$111)-$A99)*'Cálculos'!$D$98)+1400)+'Cálculos'!$D$123)*'Cálculos'!$D$236)+('Cálculos'!$D$204*(1+'Cálculos'!$D$205+$A99*('Cálculos'!$D$290=3)*'Cálculos'!$D$103)+'Cálculos'!$D$206)*('Cálculos'!$D$227+'Cálculos'!$D$124*(1+2.78*('Cálculos'!$D$197+(($B$111)-$A99)*'Cálculos'!$D$98)/(('Cálculos'!$D$197+(($B$111)-$A99)*'Cálculos'!$D$98)+1400)+'Cálculos'!$D$122)*'Cálculos'!$D$232+'Cálculos'!$D$125*(1+2.78*('Cálculos'!$D$197+(($B$111)-$A99)*'Cálculos'!$D$98)/(('Cálculos'!$D$197+(($B$111)-$A99)*'Cálculos'!$D$98)+1400)+'Cálculos'!$D$123)*'Cálculos'!$D$237)+('Cálculos'!$D$185*(1+'Cálculos'!$D$188+$A99*('Cálculos'!$D$290=1)*'Cálculos'!$D$97+'Cálculos'!$D$305)+'Cálculos'!$D$193)*('Cálculos'!$D$239+'Cálculos'!$D$124*(1+2.78*('Cálculos'!$D$198+(($B$111)-$A99)*'Cálculos'!$D$98)/(('Cálculos'!$D$198+(($B$111)-$A99)*'Cálculos'!$D$98)+1400)+'Cálculos'!$D$122)*'Cálculos'!$D$244+'Cálculos'!$D$125*(1+2.78*('Cálculos'!$D$198+(($B$111)-$A99)*'Cálculos'!$D$98)/(('Cálculos'!$D$198+(($B$111)-$A99)*'Cálculos'!$D$98)+1400)+'Cálculos'!$D$123)*'Cálculos'!$D$249)+('Cálculos'!$D$198+(($B$111)-$A99)*'Cálculos'!$D$98)*('Cálculos'!$D$240+'Cálculos'!$D$124*(1+2.78*('Cálculos'!$D$198+(($B$111)-$A99)*'Cálculos'!$D$98)/(('Cálculos'!$D$198+(($B$111)-$A99)*'Cálculos'!$D$98)+1400)+'Cálculos'!$D$122)*'Cálculos'!$D$245+'Cálculos'!$D$125*(1+2.78*('Cálculos'!$D$198+(($B$111)-$A99)*'Cálculos'!$D$98)/(('Cálculos'!$D$198+(($B$111)-$A99)*'Cálculos'!$D$98)+1400)+'Cálculos'!$D$123)*'Cálculos'!$D$250)+('Cálculos'!$D$201*(1+'Cálculos'!$D$202+$A99*('Cálculos'!$D$290=2)*'Cálculos'!$D$101)+'Cálculos'!$D$203)*('Cálculos'!$D$241+'Cálculos'!$D$124*(1+2.78*('Cálculos'!$D$198+(($B$111)-$A99)*'Cálculos'!$D$98)/(('Cálculos'!$D$198+(($B$111)-$A99)*'Cálculos'!$D$98)+1400)+'Cálculos'!$D$122)*'Cálculos'!$D$246+'Cálculos'!$D$125*(1+2.78*('Cálculos'!$D$198+(($B$111)-$A99)*'Cálculos'!$D$98)/(('Cálculos'!$D$198+(($B$111)-$A99)*'Cálculos'!$D$98)+1400)+'Cálculos'!$D$123)*'Cálculos'!$D$251)+('Cálculos'!$D$204*(1+'Cálculos'!$D$205+$A99*('Cálculos'!$D$290=3)*'Cálculos'!$D$103)+'Cálculos'!$D$206)*('Cálculos'!$D$242+'Cálculos'!$D$124*(1+2.78*('Cálculos'!$D$198+(($B$111)-$A99)*'Cálculos'!$D$98)/(('Cálculos'!$D$198+(($B$111)-$A99)*'Cálculos'!$D$98)+1400)+'Cálculos'!$D$122)*'Cálculos'!$D$247+'Cálculos'!$D$125*(1+2.78*('Cálculos'!$D$198+(($B$111)-$A99)*'Cálculos'!$D$98)/(('Cálculos'!$D$198+(($B$111)-$A99)*'Cálculos'!$D$98)+1400)+'Cálculos'!$D$123)*'Cálculos'!$D$252)+('Cálculos'!$D$185*(1+'Cálculos'!$D$189+$A99*('Cálculos'!$D$290=1)*'Cálculos'!$D$97+'Cálculos'!$D$305)+'Cálculos'!$D$194)*('Cálculos'!$D$254+'Cálculos'!$D$124*(1+2.78*('Cálculos'!$D$199+(($B$111)-$A99)*'Cálculos'!$D$98)/(('Cálculos'!$D$199+(($B$111)-$A99)*'Cálculos'!$D$98)+1400)+'Cálculos'!$D$122)*'Cálculos'!$D$259+'Cálculos'!$D$125*(1+2.78*('Cálculos'!$D$199+(($B$111)-$A99)*'Cálculos'!$D$98)/(('Cálculos'!$D$199+(($B$111)-$A99)*'Cálculos'!$D$98)+1400)+'Cálculos'!$D$123)*'Cálculos'!$D$264)+('Cálculos'!$D$199+(($B$111)-$A99)*'Cálculos'!$D$98)*('Cálculos'!$D$255+'Cálculos'!$D$124*(1+2.78*('Cálculos'!$D$199+(($B$111)-$A99)*'Cálculos'!$D$98)/(('Cálculos'!$D$199+(($B$111)-$A99)*'Cálculos'!$D$98)+1400)+'Cálculos'!$D$122)*'Cálculos'!$D$260+'Cálculos'!$D$125*(1+2.78*('Cálculos'!$D$199+(($B$111)-$A99)*'Cálculos'!$D$98)/(('Cálculos'!$D$199+(($B$111)-$A99)*'Cálculos'!$D$98)+1400)+'Cálculos'!$D$123)*'Cálculos'!$D$265)+('Cálculos'!$D$201*(1+'Cálculos'!$D$202+$A99*('Cálculos'!$D$290=2)*'Cálculos'!$D$101)+'Cálculos'!$D$203)*('Cálculos'!$D$256+'Cálculos'!$D$124*(1+2.78*('Cálculos'!$D$199+(($B$111)-$A99)*'Cálculos'!$D$98)/(('Cálculos'!$D$199+(($B$111)-$A99)*'Cálculos'!$D$98)+1400)+'Cálculos'!$D$122)*'Cálculos'!$D$261+'Cálculos'!$D$125*(1+2.78*('Cálculos'!$D$199+(($B$111)-$A99)*'Cálculos'!$D$98)/(('Cálculos'!$D$199+(($B$111)-$A99)*'Cálculos'!$D$98)+1400)+'Cálculos'!$D$123)*'Cálculos'!$D$266)+('Cálculos'!$D$204*(1+'Cálculos'!$D$205+$A99*('Cálculos'!$D$290=3)*'Cálculos'!$D$103)+'Cálculos'!$D$206)*('Cálculos'!$D$257+'Cálculos'!$D$124*(1+2.78*('Cálculos'!$D$199+(($B$111)-$A99)*'Cálculos'!$D$98)/(('Cálculos'!$D$199+(($B$111)-$A99)*'Cálculos'!$D$98)+1400)+'Cálculos'!$D$122)*'Cálculos'!$D$262+'Cálculos'!$D$125*(1+2.78*('Cálculos'!$D$199+(($B$111)-$A99)*'Cálculos'!$D$98)/(('Cálculos'!$D$199+(($B$111)-$A99)*'Cálculos'!$D$98)+1400)+'Cálculos'!$D$123)*'Cálculos'!$D$267)+('Cálculos'!$D$185*(1+'Cálculos'!$D$190+$A99*('Cálculos'!$D$290=1)*'Cálculos'!$D$97+'Cálculos'!$D$305)+'Cálculos'!$D$195)*('Cálculos'!$D$269+'Cálculos'!$D$124*(1+2.78*('Cálculos'!$D$200+(($B$111)-$A99)*'Cálculos'!$D$98)/(('Cálculos'!$D$200+(($B$111)-$A99)*'Cálculos'!$D$98)+1400)+'Cálculos'!$D$122)*'Cálculos'!$D$274+'Cálculos'!$D$125*(1+2.78*('Cálculos'!$D$200+(($B$111)-$A99)*'Cálculos'!$D$98)/(('Cálculos'!$D$200+(($B$111)-$A99)*'Cálculos'!$D$98)+1400)+'Cálculos'!$D$123)*'Cálculos'!$D$279)+('Cálculos'!$D$200+(($B$111)-$A99)*'Cálculos'!$D$98)*('Cálculos'!$D$270+'Cálculos'!$D$124*(1+2.78*('Cálculos'!$D$200+(($B$111)-$A99)*'Cálculos'!$D$98)/(('Cálculos'!$D$200+(($B$111)-$A99)*'Cálculos'!$D$98)+1400)+'Cálculos'!$D$122)*'Cálculos'!$D$275+'Cálculos'!$D$125*(1+2.78*('Cálculos'!$D$200+(($B$111)-$A99)*'Cálculos'!$D$98)/(('Cálculos'!$D$200+(($B$111)-$A99)*'Cálculos'!$D$98)+1400)+'Cálculos'!$D$123)*'Cálculos'!$D$280)+('Cálculos'!$D$201*(1+'Cálculos'!$D$202+$A99*('Cálculos'!$D$290=2)*'Cálculos'!$D$101)+'Cálculos'!$D$203)*('Cálculos'!$D$271+'Cálculos'!$D$124*(1+2.78*('Cálculos'!$D$200+(($B$111)-$A99)*'Cálculos'!$D$98)/(('Cálculos'!$D$200+(($B$111)-$A99)*'Cálculos'!$D$98)+1400)+'Cálculos'!$D$122)*'Cálculos'!$D$276+'Cálculos'!$D$125*(1+2.78*('Cálculos'!$D$200+(($B$111)-$A99)*'Cálculos'!$D$98)/(('Cálculos'!$D$200+(($B$111)-$A99)*'Cálculos'!$D$98)+1400)+'Cálculos'!$D$123)*'Cálculos'!$D$281)+('Cálculos'!$D$204*(1+'Cálculos'!$D$205+$A99*('Cálculos'!$D$290=3)*'Cálculos'!$D$103)+'Cálculos'!$D$206)*('Cálculos'!$D$272+'Cálculos'!$D$124*(1+2.78*('Cálculos'!$D$200+(($B$111)-$A99)*'Cálculos'!$D$98)/(('Cálculos'!$D$200+(($B$111)-$A99)*'Cálculos'!$D$98)+1400)+'Cálculos'!$D$122)*'Cálculos'!$D$277+'Cálculos'!$D$125*(1+2.78*('Cálculos'!$D$200+(($B$111)-$A99)*'Cálculos'!$D$98)/(('Cálculos'!$D$200+(($B$111)-$A99)*'Cálculos'!$D$98)+1400)+'Cálculos'!$D$123)*'Cálculos'!$D$282)))</f>
        <v>0</v>
      </c>
    </row>
    <row r="100" ht="15.75" customHeight="1">
      <c r="A100" s="2">
        <v>37.0</v>
      </c>
      <c r="B100" s="30">
        <f>SUMPRODUCT(MAX(($A$63:$A$108&lt;=$A100)*($A$63:$A$108&lt;='Cálculos'!$D$294)*(($A100)-$A$63:$A$108&lt;='Cálculos'!$D$295)*(1+(('Cálculos'!$D$207+$A$63:$A$108*'Cálculos'!$D$95)-(('Cálculos'!$D$207+$A$63:$A$108*'Cálculos'!$D$95)&gt;1)*(('Cálculos'!$D$207+$A$63:$A$108*'Cálculos'!$D$95)-1))*('Cálculos'!$D$208+(($A100)-$A$63:$A$108)*'Cálculos'!$D$96))))</f>
        <v>2.41290264</v>
      </c>
      <c r="C100" s="2">
        <f>'Cálculos'!$D$303-$A100</f>
        <v>-26</v>
      </c>
      <c r="D100" s="31">
        <f>IF($C100&lt;0,0,SUMPRODUCT(MAX(($A$63:$A$108&lt;=$C100)*($A$63:$A$108&lt;='Cálculos'!$D$301)*(($C100)-$A$63:$A$108&lt;='Cálculos'!$D$297)*(('Cálculos'!$D$185*(1+'Cálculos'!$D$186+$A$63:$A$108*('Cálculos'!$D$290=1)*'Cálculos'!$D$97+'Cálculos'!$D$305)+'Cálculos'!$D$191)*('Cálculos'!$D$209+'Cálculos'!$D$124*(1+2.78*('Cálculos'!$D$196+(($C100)-$A$63:$A$108)*'Cálculos'!$D$98)/(('Cálculos'!$D$196+(($C100)-$A$63:$A$108)*'Cálculos'!$D$98)+1400)+'Cálculos'!$D$122)*'Cálculos'!$D$214+'Cálculos'!$D$125*(1+2.78*('Cálculos'!$D$196+(($C100)-$A$63:$A$108)*'Cálculos'!$D$98)/(('Cálculos'!$D$196+(($C100)-$A$63:$A$108)*'Cálculos'!$D$98)+1400)+'Cálculos'!$D$123)*'Cálculos'!$D$219)+('Cálculos'!$D$196+(($C100)-$A$63:$A$108)*'Cálculos'!$D$98)*('Cálculos'!$D$210+'Cálculos'!$D$124*(1+2.78*('Cálculos'!$D$196+(($C100)-$A$63:$A$108)*'Cálculos'!$D$98)/(('Cálculos'!$D$196+(($C100)-$A$63:$A$108)*'Cálculos'!$D$98)+1400)+'Cálculos'!$D$122)*'Cálculos'!$D$215+'Cálculos'!$D$125*(1+2.78*('Cálculos'!$D$196+(($C100)-$A$63:$A$108)*'Cálculos'!$D$98)/(('Cálculos'!$D$196+(($C100)-$A$63:$A$108)*'Cálculos'!$D$98)+1400)+'Cálculos'!$D$123)*'Cálculos'!$D$220)+('Cálculos'!$D$201*(1+'Cálculos'!$D$202+$A$63:$A$108*('Cálculos'!$D$290=2)*'Cálculos'!$D$101)+'Cálculos'!$D$203)*('Cálculos'!$D$211+'Cálculos'!$D$124*(1+2.78*('Cálculos'!$D$196+(($C100)-$A$63:$A$108)*'Cálculos'!$D$98)/(('Cálculos'!$D$196+(($C100)-$A$63:$A$108)*'Cálculos'!$D$98)+1400)+'Cálculos'!$D$122)*'Cálculos'!$D$216+'Cálculos'!$D$125*(1+2.78*('Cálculos'!$D$196+(($C100)-$A$63:$A$108)*'Cálculos'!$D$98)/(('Cálculos'!$D$196+(($C100)-$A$63:$A$108)*'Cálculos'!$D$98)+1400)+'Cálculos'!$D$123)*'Cálculos'!$D$221)+('Cálculos'!$D$204*(1+'Cálculos'!$D$205+$A$63:$A$108*('Cálculos'!$D$290=3)*'Cálculos'!$D$103)+'Cálculos'!$D$206)*('Cálculos'!$D$212+'Cálculos'!$D$124*(1+2.78*('Cálculos'!$D$196+(($C100)-$A$63:$A$108)*'Cálculos'!$D$98)/(('Cálculos'!$D$196+(($C100)-$A$63:$A$108)*'Cálculos'!$D$98)+1400)+'Cálculos'!$D$122)*'Cálculos'!$D$217+'Cálculos'!$D$125*(1+2.78*('Cálculos'!$D$196+(($C100)-$A$63:$A$108)*'Cálculos'!$D$98)/(('Cálculos'!$D$196+(($C100)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100)-$A$63:$A$108)*'Cálculos'!$D$98)/(('Cálculos'!$D$197+(($C100)-$A$63:$A$108)*'Cálculos'!$D$98)+1400)+'Cálculos'!$D$122)*'Cálculos'!$D$229+'Cálculos'!$D$125*(1+2.78*('Cálculos'!$D$197+(($C100)-$A$63:$A$108)*'Cálculos'!$D$98)/(('Cálculos'!$D$197+(($C100)-$A$63:$A$108)*'Cálculos'!$D$98)+1400)+'Cálculos'!$D$123)*'Cálculos'!$D$234)+('Cálculos'!$D$197+(($C100)-$A$63:$A$108)*'Cálculos'!$D$98)*('Cálculos'!$D$225+'Cálculos'!$D$124*(1+2.78*('Cálculos'!$D$197+(($C100)-$A$63:$A$108)*'Cálculos'!$D$98)/(('Cálculos'!$D$197+(($C100)-$A$63:$A$108)*'Cálculos'!$D$98)+1400)+'Cálculos'!$D$122)*'Cálculos'!$D$230+'Cálculos'!$D$125*(1+2.78*('Cálculos'!$D$197+(($C100)-$A$63:$A$108)*'Cálculos'!$D$98)/(('Cálculos'!$D$197+(($C100)-$A$63:$A$108)*'Cálculos'!$D$98)+1400)+'Cálculos'!$D$123)*'Cálculos'!$D$235)+('Cálculos'!$D$201*(1+'Cálculos'!$D$202+$A$63:$A$108*('Cálculos'!$D$290=2)*'Cálculos'!$D$101)+'Cálculos'!$D$203)*('Cálculos'!$D$226+'Cálculos'!$D$124*(1+2.78*('Cálculos'!$D$197+(($C100)-$A$63:$A$108)*'Cálculos'!$D$98)/(('Cálculos'!$D$197+(($C100)-$A$63:$A$108)*'Cálculos'!$D$98)+1400)+'Cálculos'!$D$122)*'Cálculos'!$D$231+'Cálculos'!$D$125*(1+2.78*('Cálculos'!$D$197+(($C100)-$A$63:$A$108)*'Cálculos'!$D$98)/(('Cálculos'!$D$197+(($C100)-$A$63:$A$108)*'Cálculos'!$D$98)+1400)+'Cálculos'!$D$123)*'Cálculos'!$D$236)+('Cálculos'!$D$204*(1+'Cálculos'!$D$205+$A$63:$A$108*('Cálculos'!$D$290=3)*'Cálculos'!$D$103)+'Cálculos'!$D$206)*('Cálculos'!$D$227+'Cálculos'!$D$124*(1+2.78*('Cálculos'!$D$197+(($C100)-$A$63:$A$108)*'Cálculos'!$D$98)/(('Cálculos'!$D$197+(($C100)-$A$63:$A$108)*'Cálculos'!$D$98)+1400)+'Cálculos'!$D$122)*'Cálculos'!$D$232+'Cálculos'!$D$125*(1+2.78*('Cálculos'!$D$197+(($C100)-$A$63:$A$108)*'Cálculos'!$D$98)/(('Cálculos'!$D$197+(($C100)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100)-$A$63:$A$108)*'Cálculos'!$D$98)/(('Cálculos'!$D$198+(($C100)-$A$63:$A$108)*'Cálculos'!$D$98)+1400)+'Cálculos'!$D$122)*'Cálculos'!$D$244+'Cálculos'!$D$125*(1+2.78*('Cálculos'!$D$198+(($C100)-$A$63:$A$108)*'Cálculos'!$D$98)/(('Cálculos'!$D$198+(($C100)-$A$63:$A$108)*'Cálculos'!$D$98)+1400)+'Cálculos'!$D$123)*'Cálculos'!$D$249)+('Cálculos'!$D$198+(($C100)-$A$63:$A$108)*'Cálculos'!$D$98)*('Cálculos'!$D$240+'Cálculos'!$D$124*(1+2.78*('Cálculos'!$D$198+(($C100)-$A$63:$A$108)*'Cálculos'!$D$98)/(('Cálculos'!$D$198+(($C100)-$A$63:$A$108)*'Cálculos'!$D$98)+1400)+'Cálculos'!$D$122)*'Cálculos'!$D$245+'Cálculos'!$D$125*(1+2.78*('Cálculos'!$D$198+(($C100)-$A$63:$A$108)*'Cálculos'!$D$98)/(('Cálculos'!$D$198+(($C100)-$A$63:$A$108)*'Cálculos'!$D$98)+1400)+'Cálculos'!$D$123)*'Cálculos'!$D$250)+('Cálculos'!$D$201*(1+'Cálculos'!$D$202+$A$63:$A$108*('Cálculos'!$D$290=2)*'Cálculos'!$D$101)+'Cálculos'!$D$203)*('Cálculos'!$D$241+'Cálculos'!$D$124*(1+2.78*('Cálculos'!$D$198+(($C100)-$A$63:$A$108)*'Cálculos'!$D$98)/(('Cálculos'!$D$198+(($C100)-$A$63:$A$108)*'Cálculos'!$D$98)+1400)+'Cálculos'!$D$122)*'Cálculos'!$D$246+'Cálculos'!$D$125*(1+2.78*('Cálculos'!$D$198+(($C100)-$A$63:$A$108)*'Cálculos'!$D$98)/(('Cálculos'!$D$198+(($C100)-$A$63:$A$108)*'Cálculos'!$D$98)+1400)+'Cálculos'!$D$123)*'Cálculos'!$D$251)+('Cálculos'!$D$204*(1+'Cálculos'!$D$205+$A$63:$A$108*('Cálculos'!$D$290=3)*'Cálculos'!$D$103)+'Cálculos'!$D$206)*('Cálculos'!$D$242+'Cálculos'!$D$124*(1+2.78*('Cálculos'!$D$198+(($C100)-$A$63:$A$108)*'Cálculos'!$D$98)/(('Cálculos'!$D$198+(($C100)-$A$63:$A$108)*'Cálculos'!$D$98)+1400)+'Cálculos'!$D$122)*'Cálculos'!$D$247+'Cálculos'!$D$125*(1+2.78*('Cálculos'!$D$198+(($C100)-$A$63:$A$108)*'Cálculos'!$D$98)/(('Cálculos'!$D$198+(($C100)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100)-$A$63:$A$108)*'Cálculos'!$D$98)/(('Cálculos'!$D$199+(($C100)-$A$63:$A$108)*'Cálculos'!$D$98)+1400)+'Cálculos'!$D$122)*'Cálculos'!$D$259+'Cálculos'!$D$125*(1+2.78*('Cálculos'!$D$199+(($C100)-$A$63:$A$108)*'Cálculos'!$D$98)/(('Cálculos'!$D$199+(($C100)-$A$63:$A$108)*'Cálculos'!$D$98)+1400)+'Cálculos'!$D$123)*'Cálculos'!$D$264)+('Cálculos'!$D$199+(($C100)-$A$63:$A$108)*'Cálculos'!$D$98)*('Cálculos'!$D$255+'Cálculos'!$D$124*(1+2.78*('Cálculos'!$D$199+(($C100)-$A$63:$A$108)*'Cálculos'!$D$98)/(('Cálculos'!$D$199+(($C100)-$A$63:$A$108)*'Cálculos'!$D$98)+1400)+'Cálculos'!$D$122)*'Cálculos'!$D$260+'Cálculos'!$D$125*(1+2.78*('Cálculos'!$D$199+(($C100)-$A$63:$A$108)*'Cálculos'!$D$98)/(('Cálculos'!$D$199+(($C100)-$A$63:$A$108)*'Cálculos'!$D$98)+1400)+'Cálculos'!$D$123)*'Cálculos'!$D$265)+('Cálculos'!$D$201*(1+'Cálculos'!$D$202+$A$63:$A$108*('Cálculos'!$D$290=2)*'Cálculos'!$D$101)+'Cálculos'!$D$203)*('Cálculos'!$D$256+'Cálculos'!$D$124*(1+2.78*('Cálculos'!$D$199+(($C100)-$A$63:$A$108)*'Cálculos'!$D$98)/(('Cálculos'!$D$199+(($C100)-$A$63:$A$108)*'Cálculos'!$D$98)+1400)+'Cálculos'!$D$122)*'Cálculos'!$D$261+'Cálculos'!$D$125*(1+2.78*('Cálculos'!$D$199+(($C100)-$A$63:$A$108)*'Cálculos'!$D$98)/(('Cálculos'!$D$199+(($C100)-$A$63:$A$108)*'Cálculos'!$D$98)+1400)+'Cálculos'!$D$123)*'Cálculos'!$D$266)+('Cálculos'!$D$204*(1+'Cálculos'!$D$205+$A$63:$A$108*('Cálculos'!$D$290=3)*'Cálculos'!$D$103)+'Cálculos'!$D$206)*('Cálculos'!$D$257+'Cálculos'!$D$124*(1+2.78*('Cálculos'!$D$199+(($C100)-$A$63:$A$108)*'Cálculos'!$D$98)/(('Cálculos'!$D$199+(($C100)-$A$63:$A$108)*'Cálculos'!$D$98)+1400)+'Cálculos'!$D$122)*'Cálculos'!$D$262+'Cálculos'!$D$125*(1+2.78*('Cálculos'!$D$199+(($C100)-$A$63:$A$108)*'Cálculos'!$D$98)/(('Cálculos'!$D$199+(($C100)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100)-$A$63:$A$108)*'Cálculos'!$D$98)/(('Cálculos'!$D$200+(($C100)-$A$63:$A$108)*'Cálculos'!$D$98)+1400)+'Cálculos'!$D$122)*'Cálculos'!$D$274+'Cálculos'!$D$125*(1+2.78*('Cálculos'!$D$200+(($C100)-$A$63:$A$108)*'Cálculos'!$D$98)/(('Cálculos'!$D$200+(($C100)-$A$63:$A$108)*'Cálculos'!$D$98)+1400)+'Cálculos'!$D$123)*'Cálculos'!$D$279)+('Cálculos'!$D$200+(($C100)-$A$63:$A$108)*'Cálculos'!$D$98)*('Cálculos'!$D$270+'Cálculos'!$D$124*(1+2.78*('Cálculos'!$D$200+(($C100)-$A$63:$A$108)*'Cálculos'!$D$98)/(('Cálculos'!$D$200+(($C100)-$A$63:$A$108)*'Cálculos'!$D$98)+1400)+'Cálculos'!$D$122)*'Cálculos'!$D$275+'Cálculos'!$D$125*(1+2.78*('Cálculos'!$D$200+(($C100)-$A$63:$A$108)*'Cálculos'!$D$98)/(('Cálculos'!$D$200+(($C100)-$A$63:$A$108)*'Cálculos'!$D$98)+1400)+'Cálculos'!$D$123)*'Cálculos'!$D$280)+('Cálculos'!$D$201*(1+'Cálculos'!$D$202+$A$63:$A$108*('Cálculos'!$D$290=2)*'Cálculos'!$D$101)+'Cálculos'!$D$203)*('Cálculos'!$D$271+'Cálculos'!$D$124*(1+2.78*('Cálculos'!$D$200+(($C100)-$A$63:$A$108)*'Cálculos'!$D$98)/(('Cálculos'!$D$200+(($C100)-$A$63:$A$108)*'Cálculos'!$D$98)+1400)+'Cálculos'!$D$122)*'Cálculos'!$D$276+'Cálculos'!$D$125*(1+2.78*('Cálculos'!$D$200+(($C100)-$A$63:$A$108)*'Cálculos'!$D$98)/(('Cálculos'!$D$200+(($C100)-$A$63:$A$108)*'Cálculos'!$D$98)+1400)+'Cálculos'!$D$123)*'Cálculos'!$D$281)+('Cálculos'!$D$204*(1+'Cálculos'!$D$205+$A$63:$A$108*('Cálculos'!$D$290=3)*'Cálculos'!$D$103)+'Cálculos'!$D$206)*('Cálculos'!$D$272+'Cálculos'!$D$124*(1+2.78*('Cálculos'!$D$200+(($C100)-$A$63:$A$108)*'Cálculos'!$D$98)/(('Cálculos'!$D$200+(($C100)-$A$63:$A$108)*'Cálculos'!$D$98)+1400)+'Cálculos'!$D$122)*'Cálculos'!$D$277+'Cálculos'!$D$125*(1+2.78*('Cálculos'!$D$200+(($C100)-$A$63:$A$108)*'Cálculos'!$D$98)/(('Cálculos'!$D$200+(($C100)-$A$63:$A$108)*'Cálculos'!$D$98)+1400)+'Cálculos'!$D$123)*'Cálculos'!$D$282)))))</f>
        <v>0</v>
      </c>
      <c r="E100" s="32">
        <f>IF(OR($C100&lt;0,'Cálculos'!$D$6=""),0,$B100*$D100)</f>
        <v>0</v>
      </c>
      <c r="F100" s="2"/>
      <c r="G100" s="30">
        <f>($A100&lt;=$B$110)*($A100&lt;='Cálculos'!$D$294)*(($B$110)-$A100&lt;='Cálculos'!$D$295)*(1+MIN(('Cálculos'!$D$207+$A100*'Cálculos'!$D$95),1)*('Cálculos'!$D$208+(($B$110)-$A100)*'Cálculos'!$D$96))</f>
        <v>0</v>
      </c>
      <c r="H100" s="31">
        <f>IF($B$111&lt;0,0,($A100&lt;=$B$111)*($A100&lt;='Cálculos'!$D$301)*(($B$111)-$A100&lt;='Cálculos'!$D$297)*(('Cálculos'!$D$185*(1+'Cálculos'!$D$186+$A100*('Cálculos'!$D$290=1)*'Cálculos'!$D$97+'Cálculos'!$D$305)+'Cálculos'!$D$191)*('Cálculos'!$D$209+'Cálculos'!$D$124*(1+2.78*('Cálculos'!$D$196+(($B$111)-$A100)*'Cálculos'!$D$98)/(('Cálculos'!$D$196+(($B$111)-$A100)*'Cálculos'!$D$98)+1400)+'Cálculos'!$D$122)*'Cálculos'!$D$214+'Cálculos'!$D$125*(1+2.78*('Cálculos'!$D$196+(($B$111)-$A100)*'Cálculos'!$D$98)/(('Cálculos'!$D$196+(($B$111)-$A100)*'Cálculos'!$D$98)+1400)+'Cálculos'!$D$123)*'Cálculos'!$D$219)+('Cálculos'!$D$196+(($B$111)-$A100)*'Cálculos'!$D$98)*('Cálculos'!$D$210+'Cálculos'!$D$124*(1+2.78*('Cálculos'!$D$196+(($B$111)-$A100)*'Cálculos'!$D$98)/(('Cálculos'!$D$196+(($B$111)-$A100)*'Cálculos'!$D$98)+1400)+'Cálculos'!$D$122)*'Cálculos'!$D$215+'Cálculos'!$D$125*(1+2.78*('Cálculos'!$D$196+(($B$111)-$A100)*'Cálculos'!$D$98)/(('Cálculos'!$D$196+(($B$111)-$A100)*'Cálculos'!$D$98)+1400)+'Cálculos'!$D$123)*'Cálculos'!$D$220)+('Cálculos'!$D$201*(1+'Cálculos'!$D$202+$A100*('Cálculos'!$D$290=2)*'Cálculos'!$D$101)+'Cálculos'!$D$203)*('Cálculos'!$D$211+'Cálculos'!$D$124*(1+2.78*('Cálculos'!$D$196+(($B$111)-$A100)*'Cálculos'!$D$98)/(('Cálculos'!$D$196+(($B$111)-$A100)*'Cálculos'!$D$98)+1400)+'Cálculos'!$D$122)*'Cálculos'!$D$216+'Cálculos'!$D$125*(1+2.78*('Cálculos'!$D$196+(($B$111)-$A100)*'Cálculos'!$D$98)/(('Cálculos'!$D$196+(($B$111)-$A100)*'Cálculos'!$D$98)+1400)+'Cálculos'!$D$123)*'Cálculos'!$D$221)+('Cálculos'!$D$204*(1+'Cálculos'!$D$205+$A100*('Cálculos'!$D$290=3)*'Cálculos'!$D$103)+'Cálculos'!$D$206)*('Cálculos'!$D$212+'Cálculos'!$D$124*(1+2.78*('Cálculos'!$D$196+(($B$111)-$A100)*'Cálculos'!$D$98)/(('Cálculos'!$D$196+(($B$111)-$A100)*'Cálculos'!$D$98)+1400)+'Cálculos'!$D$122)*'Cálculos'!$D$217+'Cálculos'!$D$125*(1+2.78*('Cálculos'!$D$196+(($B$111)-$A100)*'Cálculos'!$D$98)/(('Cálculos'!$D$196+(($B$111)-$A100)*'Cálculos'!$D$98)+1400)+'Cálculos'!$D$123)*'Cálculos'!$D$222)+('Cálculos'!$D$185*(1+'Cálculos'!$D$187+$A100*('Cálculos'!$D$290=1)*'Cálculos'!$D$97+'Cálculos'!$D$305)+'Cálculos'!$D$192)*('Cálculos'!$D$224+'Cálculos'!$D$124*(1+2.78*('Cálculos'!$D$197+(($B$111)-$A100)*'Cálculos'!$D$98)/(('Cálculos'!$D$197+(($B$111)-$A100)*'Cálculos'!$D$98)+1400)+'Cálculos'!$D$122)*'Cálculos'!$D$229+'Cálculos'!$D$125*(1+2.78*('Cálculos'!$D$197+(($B$111)-$A100)*'Cálculos'!$D$98)/(('Cálculos'!$D$197+(($B$111)-$A100)*'Cálculos'!$D$98)+1400)+'Cálculos'!$D$123)*'Cálculos'!$D$234)+('Cálculos'!$D$197+(($B$111)-$A100)*'Cálculos'!$D$98)*('Cálculos'!$D$225+'Cálculos'!$D$124*(1+2.78*('Cálculos'!$D$197+(($B$111)-$A100)*'Cálculos'!$D$98)/(('Cálculos'!$D$197+(($B$111)-$A100)*'Cálculos'!$D$98)+1400)+'Cálculos'!$D$122)*'Cálculos'!$D$230+'Cálculos'!$D$125*(1+2.78*('Cálculos'!$D$197+(($B$111)-$A100)*'Cálculos'!$D$98)/(('Cálculos'!$D$197+(($B$111)-$A100)*'Cálculos'!$D$98)+1400)+'Cálculos'!$D$123)*'Cálculos'!$D$235)+('Cálculos'!$D$201*(1+'Cálculos'!$D$202+$A100*('Cálculos'!$D$290=2)*'Cálculos'!$D$101)+'Cálculos'!$D$203)*('Cálculos'!$D$226+'Cálculos'!$D$124*(1+2.78*('Cálculos'!$D$197+(($B$111)-$A100)*'Cálculos'!$D$98)/(('Cálculos'!$D$197+(($B$111)-$A100)*'Cálculos'!$D$98)+1400)+'Cálculos'!$D$122)*'Cálculos'!$D$231+'Cálculos'!$D$125*(1+2.78*('Cálculos'!$D$197+(($B$111)-$A100)*'Cálculos'!$D$98)/(('Cálculos'!$D$197+(($B$111)-$A100)*'Cálculos'!$D$98)+1400)+'Cálculos'!$D$123)*'Cálculos'!$D$236)+('Cálculos'!$D$204*(1+'Cálculos'!$D$205+$A100*('Cálculos'!$D$290=3)*'Cálculos'!$D$103)+'Cálculos'!$D$206)*('Cálculos'!$D$227+'Cálculos'!$D$124*(1+2.78*('Cálculos'!$D$197+(($B$111)-$A100)*'Cálculos'!$D$98)/(('Cálculos'!$D$197+(($B$111)-$A100)*'Cálculos'!$D$98)+1400)+'Cálculos'!$D$122)*'Cálculos'!$D$232+'Cálculos'!$D$125*(1+2.78*('Cálculos'!$D$197+(($B$111)-$A100)*'Cálculos'!$D$98)/(('Cálculos'!$D$197+(($B$111)-$A100)*'Cálculos'!$D$98)+1400)+'Cálculos'!$D$123)*'Cálculos'!$D$237)+('Cálculos'!$D$185*(1+'Cálculos'!$D$188+$A100*('Cálculos'!$D$290=1)*'Cálculos'!$D$97+'Cálculos'!$D$305)+'Cálculos'!$D$193)*('Cálculos'!$D$239+'Cálculos'!$D$124*(1+2.78*('Cálculos'!$D$198+(($B$111)-$A100)*'Cálculos'!$D$98)/(('Cálculos'!$D$198+(($B$111)-$A100)*'Cálculos'!$D$98)+1400)+'Cálculos'!$D$122)*'Cálculos'!$D$244+'Cálculos'!$D$125*(1+2.78*('Cálculos'!$D$198+(($B$111)-$A100)*'Cálculos'!$D$98)/(('Cálculos'!$D$198+(($B$111)-$A100)*'Cálculos'!$D$98)+1400)+'Cálculos'!$D$123)*'Cálculos'!$D$249)+('Cálculos'!$D$198+(($B$111)-$A100)*'Cálculos'!$D$98)*('Cálculos'!$D$240+'Cálculos'!$D$124*(1+2.78*('Cálculos'!$D$198+(($B$111)-$A100)*'Cálculos'!$D$98)/(('Cálculos'!$D$198+(($B$111)-$A100)*'Cálculos'!$D$98)+1400)+'Cálculos'!$D$122)*'Cálculos'!$D$245+'Cálculos'!$D$125*(1+2.78*('Cálculos'!$D$198+(($B$111)-$A100)*'Cálculos'!$D$98)/(('Cálculos'!$D$198+(($B$111)-$A100)*'Cálculos'!$D$98)+1400)+'Cálculos'!$D$123)*'Cálculos'!$D$250)+('Cálculos'!$D$201*(1+'Cálculos'!$D$202+$A100*('Cálculos'!$D$290=2)*'Cálculos'!$D$101)+'Cálculos'!$D$203)*('Cálculos'!$D$241+'Cálculos'!$D$124*(1+2.78*('Cálculos'!$D$198+(($B$111)-$A100)*'Cálculos'!$D$98)/(('Cálculos'!$D$198+(($B$111)-$A100)*'Cálculos'!$D$98)+1400)+'Cálculos'!$D$122)*'Cálculos'!$D$246+'Cálculos'!$D$125*(1+2.78*('Cálculos'!$D$198+(($B$111)-$A100)*'Cálculos'!$D$98)/(('Cálculos'!$D$198+(($B$111)-$A100)*'Cálculos'!$D$98)+1400)+'Cálculos'!$D$123)*'Cálculos'!$D$251)+('Cálculos'!$D$204*(1+'Cálculos'!$D$205+$A100*('Cálculos'!$D$290=3)*'Cálculos'!$D$103)+'Cálculos'!$D$206)*('Cálculos'!$D$242+'Cálculos'!$D$124*(1+2.78*('Cálculos'!$D$198+(($B$111)-$A100)*'Cálculos'!$D$98)/(('Cálculos'!$D$198+(($B$111)-$A100)*'Cálculos'!$D$98)+1400)+'Cálculos'!$D$122)*'Cálculos'!$D$247+'Cálculos'!$D$125*(1+2.78*('Cálculos'!$D$198+(($B$111)-$A100)*'Cálculos'!$D$98)/(('Cálculos'!$D$198+(($B$111)-$A100)*'Cálculos'!$D$98)+1400)+'Cálculos'!$D$123)*'Cálculos'!$D$252)+('Cálculos'!$D$185*(1+'Cálculos'!$D$189+$A100*('Cálculos'!$D$290=1)*'Cálculos'!$D$97+'Cálculos'!$D$305)+'Cálculos'!$D$194)*('Cálculos'!$D$254+'Cálculos'!$D$124*(1+2.78*('Cálculos'!$D$199+(($B$111)-$A100)*'Cálculos'!$D$98)/(('Cálculos'!$D$199+(($B$111)-$A100)*'Cálculos'!$D$98)+1400)+'Cálculos'!$D$122)*'Cálculos'!$D$259+'Cálculos'!$D$125*(1+2.78*('Cálculos'!$D$199+(($B$111)-$A100)*'Cálculos'!$D$98)/(('Cálculos'!$D$199+(($B$111)-$A100)*'Cálculos'!$D$98)+1400)+'Cálculos'!$D$123)*'Cálculos'!$D$264)+('Cálculos'!$D$199+(($B$111)-$A100)*'Cálculos'!$D$98)*('Cálculos'!$D$255+'Cálculos'!$D$124*(1+2.78*('Cálculos'!$D$199+(($B$111)-$A100)*'Cálculos'!$D$98)/(('Cálculos'!$D$199+(($B$111)-$A100)*'Cálculos'!$D$98)+1400)+'Cálculos'!$D$122)*'Cálculos'!$D$260+'Cálculos'!$D$125*(1+2.78*('Cálculos'!$D$199+(($B$111)-$A100)*'Cálculos'!$D$98)/(('Cálculos'!$D$199+(($B$111)-$A100)*'Cálculos'!$D$98)+1400)+'Cálculos'!$D$123)*'Cálculos'!$D$265)+('Cálculos'!$D$201*(1+'Cálculos'!$D$202+$A100*('Cálculos'!$D$290=2)*'Cálculos'!$D$101)+'Cálculos'!$D$203)*('Cálculos'!$D$256+'Cálculos'!$D$124*(1+2.78*('Cálculos'!$D$199+(($B$111)-$A100)*'Cálculos'!$D$98)/(('Cálculos'!$D$199+(($B$111)-$A100)*'Cálculos'!$D$98)+1400)+'Cálculos'!$D$122)*'Cálculos'!$D$261+'Cálculos'!$D$125*(1+2.78*('Cálculos'!$D$199+(($B$111)-$A100)*'Cálculos'!$D$98)/(('Cálculos'!$D$199+(($B$111)-$A100)*'Cálculos'!$D$98)+1400)+'Cálculos'!$D$123)*'Cálculos'!$D$266)+('Cálculos'!$D$204*(1+'Cálculos'!$D$205+$A100*('Cálculos'!$D$290=3)*'Cálculos'!$D$103)+'Cálculos'!$D$206)*('Cálculos'!$D$257+'Cálculos'!$D$124*(1+2.78*('Cálculos'!$D$199+(($B$111)-$A100)*'Cálculos'!$D$98)/(('Cálculos'!$D$199+(($B$111)-$A100)*'Cálculos'!$D$98)+1400)+'Cálculos'!$D$122)*'Cálculos'!$D$262+'Cálculos'!$D$125*(1+2.78*('Cálculos'!$D$199+(($B$111)-$A100)*'Cálculos'!$D$98)/(('Cálculos'!$D$199+(($B$111)-$A100)*'Cálculos'!$D$98)+1400)+'Cálculos'!$D$123)*'Cálculos'!$D$267)+('Cálculos'!$D$185*(1+'Cálculos'!$D$190+$A100*('Cálculos'!$D$290=1)*'Cálculos'!$D$97+'Cálculos'!$D$305)+'Cálculos'!$D$195)*('Cálculos'!$D$269+'Cálculos'!$D$124*(1+2.78*('Cálculos'!$D$200+(($B$111)-$A100)*'Cálculos'!$D$98)/(('Cálculos'!$D$200+(($B$111)-$A100)*'Cálculos'!$D$98)+1400)+'Cálculos'!$D$122)*'Cálculos'!$D$274+'Cálculos'!$D$125*(1+2.78*('Cálculos'!$D$200+(($B$111)-$A100)*'Cálculos'!$D$98)/(('Cálculos'!$D$200+(($B$111)-$A100)*'Cálculos'!$D$98)+1400)+'Cálculos'!$D$123)*'Cálculos'!$D$279)+('Cálculos'!$D$200+(($B$111)-$A100)*'Cálculos'!$D$98)*('Cálculos'!$D$270+'Cálculos'!$D$124*(1+2.78*('Cálculos'!$D$200+(($B$111)-$A100)*'Cálculos'!$D$98)/(('Cálculos'!$D$200+(($B$111)-$A100)*'Cálculos'!$D$98)+1400)+'Cálculos'!$D$122)*'Cálculos'!$D$275+'Cálculos'!$D$125*(1+2.78*('Cálculos'!$D$200+(($B$111)-$A100)*'Cálculos'!$D$98)/(('Cálculos'!$D$200+(($B$111)-$A100)*'Cálculos'!$D$98)+1400)+'Cálculos'!$D$123)*'Cálculos'!$D$280)+('Cálculos'!$D$201*(1+'Cálculos'!$D$202+$A100*('Cálculos'!$D$290=2)*'Cálculos'!$D$101)+'Cálculos'!$D$203)*('Cálculos'!$D$271+'Cálculos'!$D$124*(1+2.78*('Cálculos'!$D$200+(($B$111)-$A100)*'Cálculos'!$D$98)/(('Cálculos'!$D$200+(($B$111)-$A100)*'Cálculos'!$D$98)+1400)+'Cálculos'!$D$122)*'Cálculos'!$D$276+'Cálculos'!$D$125*(1+2.78*('Cálculos'!$D$200+(($B$111)-$A100)*'Cálculos'!$D$98)/(('Cálculos'!$D$200+(($B$111)-$A100)*'Cálculos'!$D$98)+1400)+'Cálculos'!$D$123)*'Cálculos'!$D$281)+('Cálculos'!$D$204*(1+'Cálculos'!$D$205+$A100*('Cálculos'!$D$290=3)*'Cálculos'!$D$103)+'Cálculos'!$D$206)*('Cálculos'!$D$272+'Cálculos'!$D$124*(1+2.78*('Cálculos'!$D$200+(($B$111)-$A100)*'Cálculos'!$D$98)/(('Cálculos'!$D$200+(($B$111)-$A100)*'Cálculos'!$D$98)+1400)+'Cálculos'!$D$122)*'Cálculos'!$D$277+'Cálculos'!$D$125*(1+2.78*('Cálculos'!$D$200+(($B$111)-$A100)*'Cálculos'!$D$98)/(('Cálculos'!$D$200+(($B$111)-$A100)*'Cálculos'!$D$98)+1400)+'Cálculos'!$D$123)*'Cálculos'!$D$282)))</f>
        <v>0</v>
      </c>
    </row>
    <row r="101" ht="15.75" customHeight="1">
      <c r="A101" s="2">
        <v>38.0</v>
      </c>
      <c r="B101" s="30">
        <f>SUMPRODUCT(MAX(($A$63:$A$108&lt;=$A101)*($A$63:$A$108&lt;='Cálculos'!$D$294)*(($A101)-$A$63:$A$108&lt;='Cálculos'!$D$295)*(1+(('Cálculos'!$D$207+$A$63:$A$108*'Cálculos'!$D$95)-(('Cálculos'!$D$207+$A$63:$A$108*'Cálculos'!$D$95)&gt;1)*(('Cálculos'!$D$207+$A$63:$A$108*'Cálculos'!$D$95)-1))*('Cálculos'!$D$208+(($A101)-$A$63:$A$108)*'Cálculos'!$D$96))))</f>
        <v>2.460133525</v>
      </c>
      <c r="C101" s="2">
        <f>'Cálculos'!$D$303-$A101</f>
        <v>-27</v>
      </c>
      <c r="D101" s="31">
        <f>IF($C101&lt;0,0,SUMPRODUCT(MAX(($A$63:$A$108&lt;=$C101)*($A$63:$A$108&lt;='Cálculos'!$D$301)*(($C101)-$A$63:$A$108&lt;='Cálculos'!$D$297)*(('Cálculos'!$D$185*(1+'Cálculos'!$D$186+$A$63:$A$108*('Cálculos'!$D$290=1)*'Cálculos'!$D$97+'Cálculos'!$D$305)+'Cálculos'!$D$191)*('Cálculos'!$D$209+'Cálculos'!$D$124*(1+2.78*('Cálculos'!$D$196+(($C101)-$A$63:$A$108)*'Cálculos'!$D$98)/(('Cálculos'!$D$196+(($C101)-$A$63:$A$108)*'Cálculos'!$D$98)+1400)+'Cálculos'!$D$122)*'Cálculos'!$D$214+'Cálculos'!$D$125*(1+2.78*('Cálculos'!$D$196+(($C101)-$A$63:$A$108)*'Cálculos'!$D$98)/(('Cálculos'!$D$196+(($C101)-$A$63:$A$108)*'Cálculos'!$D$98)+1400)+'Cálculos'!$D$123)*'Cálculos'!$D$219)+('Cálculos'!$D$196+(($C101)-$A$63:$A$108)*'Cálculos'!$D$98)*('Cálculos'!$D$210+'Cálculos'!$D$124*(1+2.78*('Cálculos'!$D$196+(($C101)-$A$63:$A$108)*'Cálculos'!$D$98)/(('Cálculos'!$D$196+(($C101)-$A$63:$A$108)*'Cálculos'!$D$98)+1400)+'Cálculos'!$D$122)*'Cálculos'!$D$215+'Cálculos'!$D$125*(1+2.78*('Cálculos'!$D$196+(($C101)-$A$63:$A$108)*'Cálculos'!$D$98)/(('Cálculos'!$D$196+(($C101)-$A$63:$A$108)*'Cálculos'!$D$98)+1400)+'Cálculos'!$D$123)*'Cálculos'!$D$220)+('Cálculos'!$D$201*(1+'Cálculos'!$D$202+$A$63:$A$108*('Cálculos'!$D$290=2)*'Cálculos'!$D$101)+'Cálculos'!$D$203)*('Cálculos'!$D$211+'Cálculos'!$D$124*(1+2.78*('Cálculos'!$D$196+(($C101)-$A$63:$A$108)*'Cálculos'!$D$98)/(('Cálculos'!$D$196+(($C101)-$A$63:$A$108)*'Cálculos'!$D$98)+1400)+'Cálculos'!$D$122)*'Cálculos'!$D$216+'Cálculos'!$D$125*(1+2.78*('Cálculos'!$D$196+(($C101)-$A$63:$A$108)*'Cálculos'!$D$98)/(('Cálculos'!$D$196+(($C101)-$A$63:$A$108)*'Cálculos'!$D$98)+1400)+'Cálculos'!$D$123)*'Cálculos'!$D$221)+('Cálculos'!$D$204*(1+'Cálculos'!$D$205+$A$63:$A$108*('Cálculos'!$D$290=3)*'Cálculos'!$D$103)+'Cálculos'!$D$206)*('Cálculos'!$D$212+'Cálculos'!$D$124*(1+2.78*('Cálculos'!$D$196+(($C101)-$A$63:$A$108)*'Cálculos'!$D$98)/(('Cálculos'!$D$196+(($C101)-$A$63:$A$108)*'Cálculos'!$D$98)+1400)+'Cálculos'!$D$122)*'Cálculos'!$D$217+'Cálculos'!$D$125*(1+2.78*('Cálculos'!$D$196+(($C101)-$A$63:$A$108)*'Cálculos'!$D$98)/(('Cálculos'!$D$196+(($C101)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101)-$A$63:$A$108)*'Cálculos'!$D$98)/(('Cálculos'!$D$197+(($C101)-$A$63:$A$108)*'Cálculos'!$D$98)+1400)+'Cálculos'!$D$122)*'Cálculos'!$D$229+'Cálculos'!$D$125*(1+2.78*('Cálculos'!$D$197+(($C101)-$A$63:$A$108)*'Cálculos'!$D$98)/(('Cálculos'!$D$197+(($C101)-$A$63:$A$108)*'Cálculos'!$D$98)+1400)+'Cálculos'!$D$123)*'Cálculos'!$D$234)+('Cálculos'!$D$197+(($C101)-$A$63:$A$108)*'Cálculos'!$D$98)*('Cálculos'!$D$225+'Cálculos'!$D$124*(1+2.78*('Cálculos'!$D$197+(($C101)-$A$63:$A$108)*'Cálculos'!$D$98)/(('Cálculos'!$D$197+(($C101)-$A$63:$A$108)*'Cálculos'!$D$98)+1400)+'Cálculos'!$D$122)*'Cálculos'!$D$230+'Cálculos'!$D$125*(1+2.78*('Cálculos'!$D$197+(($C101)-$A$63:$A$108)*'Cálculos'!$D$98)/(('Cálculos'!$D$197+(($C101)-$A$63:$A$108)*'Cálculos'!$D$98)+1400)+'Cálculos'!$D$123)*'Cálculos'!$D$235)+('Cálculos'!$D$201*(1+'Cálculos'!$D$202+$A$63:$A$108*('Cálculos'!$D$290=2)*'Cálculos'!$D$101)+'Cálculos'!$D$203)*('Cálculos'!$D$226+'Cálculos'!$D$124*(1+2.78*('Cálculos'!$D$197+(($C101)-$A$63:$A$108)*'Cálculos'!$D$98)/(('Cálculos'!$D$197+(($C101)-$A$63:$A$108)*'Cálculos'!$D$98)+1400)+'Cálculos'!$D$122)*'Cálculos'!$D$231+'Cálculos'!$D$125*(1+2.78*('Cálculos'!$D$197+(($C101)-$A$63:$A$108)*'Cálculos'!$D$98)/(('Cálculos'!$D$197+(($C101)-$A$63:$A$108)*'Cálculos'!$D$98)+1400)+'Cálculos'!$D$123)*'Cálculos'!$D$236)+('Cálculos'!$D$204*(1+'Cálculos'!$D$205+$A$63:$A$108*('Cálculos'!$D$290=3)*'Cálculos'!$D$103)+'Cálculos'!$D$206)*('Cálculos'!$D$227+'Cálculos'!$D$124*(1+2.78*('Cálculos'!$D$197+(($C101)-$A$63:$A$108)*'Cálculos'!$D$98)/(('Cálculos'!$D$197+(($C101)-$A$63:$A$108)*'Cálculos'!$D$98)+1400)+'Cálculos'!$D$122)*'Cálculos'!$D$232+'Cálculos'!$D$125*(1+2.78*('Cálculos'!$D$197+(($C101)-$A$63:$A$108)*'Cálculos'!$D$98)/(('Cálculos'!$D$197+(($C101)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101)-$A$63:$A$108)*'Cálculos'!$D$98)/(('Cálculos'!$D$198+(($C101)-$A$63:$A$108)*'Cálculos'!$D$98)+1400)+'Cálculos'!$D$122)*'Cálculos'!$D$244+'Cálculos'!$D$125*(1+2.78*('Cálculos'!$D$198+(($C101)-$A$63:$A$108)*'Cálculos'!$D$98)/(('Cálculos'!$D$198+(($C101)-$A$63:$A$108)*'Cálculos'!$D$98)+1400)+'Cálculos'!$D$123)*'Cálculos'!$D$249)+('Cálculos'!$D$198+(($C101)-$A$63:$A$108)*'Cálculos'!$D$98)*('Cálculos'!$D$240+'Cálculos'!$D$124*(1+2.78*('Cálculos'!$D$198+(($C101)-$A$63:$A$108)*'Cálculos'!$D$98)/(('Cálculos'!$D$198+(($C101)-$A$63:$A$108)*'Cálculos'!$D$98)+1400)+'Cálculos'!$D$122)*'Cálculos'!$D$245+'Cálculos'!$D$125*(1+2.78*('Cálculos'!$D$198+(($C101)-$A$63:$A$108)*'Cálculos'!$D$98)/(('Cálculos'!$D$198+(($C101)-$A$63:$A$108)*'Cálculos'!$D$98)+1400)+'Cálculos'!$D$123)*'Cálculos'!$D$250)+('Cálculos'!$D$201*(1+'Cálculos'!$D$202+$A$63:$A$108*('Cálculos'!$D$290=2)*'Cálculos'!$D$101)+'Cálculos'!$D$203)*('Cálculos'!$D$241+'Cálculos'!$D$124*(1+2.78*('Cálculos'!$D$198+(($C101)-$A$63:$A$108)*'Cálculos'!$D$98)/(('Cálculos'!$D$198+(($C101)-$A$63:$A$108)*'Cálculos'!$D$98)+1400)+'Cálculos'!$D$122)*'Cálculos'!$D$246+'Cálculos'!$D$125*(1+2.78*('Cálculos'!$D$198+(($C101)-$A$63:$A$108)*'Cálculos'!$D$98)/(('Cálculos'!$D$198+(($C101)-$A$63:$A$108)*'Cálculos'!$D$98)+1400)+'Cálculos'!$D$123)*'Cálculos'!$D$251)+('Cálculos'!$D$204*(1+'Cálculos'!$D$205+$A$63:$A$108*('Cálculos'!$D$290=3)*'Cálculos'!$D$103)+'Cálculos'!$D$206)*('Cálculos'!$D$242+'Cálculos'!$D$124*(1+2.78*('Cálculos'!$D$198+(($C101)-$A$63:$A$108)*'Cálculos'!$D$98)/(('Cálculos'!$D$198+(($C101)-$A$63:$A$108)*'Cálculos'!$D$98)+1400)+'Cálculos'!$D$122)*'Cálculos'!$D$247+'Cálculos'!$D$125*(1+2.78*('Cálculos'!$D$198+(($C101)-$A$63:$A$108)*'Cálculos'!$D$98)/(('Cálculos'!$D$198+(($C101)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101)-$A$63:$A$108)*'Cálculos'!$D$98)/(('Cálculos'!$D$199+(($C101)-$A$63:$A$108)*'Cálculos'!$D$98)+1400)+'Cálculos'!$D$122)*'Cálculos'!$D$259+'Cálculos'!$D$125*(1+2.78*('Cálculos'!$D$199+(($C101)-$A$63:$A$108)*'Cálculos'!$D$98)/(('Cálculos'!$D$199+(($C101)-$A$63:$A$108)*'Cálculos'!$D$98)+1400)+'Cálculos'!$D$123)*'Cálculos'!$D$264)+('Cálculos'!$D$199+(($C101)-$A$63:$A$108)*'Cálculos'!$D$98)*('Cálculos'!$D$255+'Cálculos'!$D$124*(1+2.78*('Cálculos'!$D$199+(($C101)-$A$63:$A$108)*'Cálculos'!$D$98)/(('Cálculos'!$D$199+(($C101)-$A$63:$A$108)*'Cálculos'!$D$98)+1400)+'Cálculos'!$D$122)*'Cálculos'!$D$260+'Cálculos'!$D$125*(1+2.78*('Cálculos'!$D$199+(($C101)-$A$63:$A$108)*'Cálculos'!$D$98)/(('Cálculos'!$D$199+(($C101)-$A$63:$A$108)*'Cálculos'!$D$98)+1400)+'Cálculos'!$D$123)*'Cálculos'!$D$265)+('Cálculos'!$D$201*(1+'Cálculos'!$D$202+$A$63:$A$108*('Cálculos'!$D$290=2)*'Cálculos'!$D$101)+'Cálculos'!$D$203)*('Cálculos'!$D$256+'Cálculos'!$D$124*(1+2.78*('Cálculos'!$D$199+(($C101)-$A$63:$A$108)*'Cálculos'!$D$98)/(('Cálculos'!$D$199+(($C101)-$A$63:$A$108)*'Cálculos'!$D$98)+1400)+'Cálculos'!$D$122)*'Cálculos'!$D$261+'Cálculos'!$D$125*(1+2.78*('Cálculos'!$D$199+(($C101)-$A$63:$A$108)*'Cálculos'!$D$98)/(('Cálculos'!$D$199+(($C101)-$A$63:$A$108)*'Cálculos'!$D$98)+1400)+'Cálculos'!$D$123)*'Cálculos'!$D$266)+('Cálculos'!$D$204*(1+'Cálculos'!$D$205+$A$63:$A$108*('Cálculos'!$D$290=3)*'Cálculos'!$D$103)+'Cálculos'!$D$206)*('Cálculos'!$D$257+'Cálculos'!$D$124*(1+2.78*('Cálculos'!$D$199+(($C101)-$A$63:$A$108)*'Cálculos'!$D$98)/(('Cálculos'!$D$199+(($C101)-$A$63:$A$108)*'Cálculos'!$D$98)+1400)+'Cálculos'!$D$122)*'Cálculos'!$D$262+'Cálculos'!$D$125*(1+2.78*('Cálculos'!$D$199+(($C101)-$A$63:$A$108)*'Cálculos'!$D$98)/(('Cálculos'!$D$199+(($C101)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101)-$A$63:$A$108)*'Cálculos'!$D$98)/(('Cálculos'!$D$200+(($C101)-$A$63:$A$108)*'Cálculos'!$D$98)+1400)+'Cálculos'!$D$122)*'Cálculos'!$D$274+'Cálculos'!$D$125*(1+2.78*('Cálculos'!$D$200+(($C101)-$A$63:$A$108)*'Cálculos'!$D$98)/(('Cálculos'!$D$200+(($C101)-$A$63:$A$108)*'Cálculos'!$D$98)+1400)+'Cálculos'!$D$123)*'Cálculos'!$D$279)+('Cálculos'!$D$200+(($C101)-$A$63:$A$108)*'Cálculos'!$D$98)*('Cálculos'!$D$270+'Cálculos'!$D$124*(1+2.78*('Cálculos'!$D$200+(($C101)-$A$63:$A$108)*'Cálculos'!$D$98)/(('Cálculos'!$D$200+(($C101)-$A$63:$A$108)*'Cálculos'!$D$98)+1400)+'Cálculos'!$D$122)*'Cálculos'!$D$275+'Cálculos'!$D$125*(1+2.78*('Cálculos'!$D$200+(($C101)-$A$63:$A$108)*'Cálculos'!$D$98)/(('Cálculos'!$D$200+(($C101)-$A$63:$A$108)*'Cálculos'!$D$98)+1400)+'Cálculos'!$D$123)*'Cálculos'!$D$280)+('Cálculos'!$D$201*(1+'Cálculos'!$D$202+$A$63:$A$108*('Cálculos'!$D$290=2)*'Cálculos'!$D$101)+'Cálculos'!$D$203)*('Cálculos'!$D$271+'Cálculos'!$D$124*(1+2.78*('Cálculos'!$D$200+(($C101)-$A$63:$A$108)*'Cálculos'!$D$98)/(('Cálculos'!$D$200+(($C101)-$A$63:$A$108)*'Cálculos'!$D$98)+1400)+'Cálculos'!$D$122)*'Cálculos'!$D$276+'Cálculos'!$D$125*(1+2.78*('Cálculos'!$D$200+(($C101)-$A$63:$A$108)*'Cálculos'!$D$98)/(('Cálculos'!$D$200+(($C101)-$A$63:$A$108)*'Cálculos'!$D$98)+1400)+'Cálculos'!$D$123)*'Cálculos'!$D$281)+('Cálculos'!$D$204*(1+'Cálculos'!$D$205+$A$63:$A$108*('Cálculos'!$D$290=3)*'Cálculos'!$D$103)+'Cálculos'!$D$206)*('Cálculos'!$D$272+'Cálculos'!$D$124*(1+2.78*('Cálculos'!$D$200+(($C101)-$A$63:$A$108)*'Cálculos'!$D$98)/(('Cálculos'!$D$200+(($C101)-$A$63:$A$108)*'Cálculos'!$D$98)+1400)+'Cálculos'!$D$122)*'Cálculos'!$D$277+'Cálculos'!$D$125*(1+2.78*('Cálculos'!$D$200+(($C101)-$A$63:$A$108)*'Cálculos'!$D$98)/(('Cálculos'!$D$200+(($C101)-$A$63:$A$108)*'Cálculos'!$D$98)+1400)+'Cálculos'!$D$123)*'Cálculos'!$D$282)))))</f>
        <v>0</v>
      </c>
      <c r="E101" s="32">
        <f>IF(OR($C101&lt;0,'Cálculos'!$D$6=""),0,$B101*$D101)</f>
        <v>0</v>
      </c>
      <c r="F101" s="2"/>
      <c r="G101" s="30">
        <f>($A101&lt;=$B$110)*($A101&lt;='Cálculos'!$D$294)*(($B$110)-$A101&lt;='Cálculos'!$D$295)*(1+MIN(('Cálculos'!$D$207+$A101*'Cálculos'!$D$95),1)*('Cálculos'!$D$208+(($B$110)-$A101)*'Cálculos'!$D$96))</f>
        <v>0</v>
      </c>
      <c r="H101" s="31">
        <f>IF($B$111&lt;0,0,($A101&lt;=$B$111)*($A101&lt;='Cálculos'!$D$301)*(($B$111)-$A101&lt;='Cálculos'!$D$297)*(('Cálculos'!$D$185*(1+'Cálculos'!$D$186+$A101*('Cálculos'!$D$290=1)*'Cálculos'!$D$97+'Cálculos'!$D$305)+'Cálculos'!$D$191)*('Cálculos'!$D$209+'Cálculos'!$D$124*(1+2.78*('Cálculos'!$D$196+(($B$111)-$A101)*'Cálculos'!$D$98)/(('Cálculos'!$D$196+(($B$111)-$A101)*'Cálculos'!$D$98)+1400)+'Cálculos'!$D$122)*'Cálculos'!$D$214+'Cálculos'!$D$125*(1+2.78*('Cálculos'!$D$196+(($B$111)-$A101)*'Cálculos'!$D$98)/(('Cálculos'!$D$196+(($B$111)-$A101)*'Cálculos'!$D$98)+1400)+'Cálculos'!$D$123)*'Cálculos'!$D$219)+('Cálculos'!$D$196+(($B$111)-$A101)*'Cálculos'!$D$98)*('Cálculos'!$D$210+'Cálculos'!$D$124*(1+2.78*('Cálculos'!$D$196+(($B$111)-$A101)*'Cálculos'!$D$98)/(('Cálculos'!$D$196+(($B$111)-$A101)*'Cálculos'!$D$98)+1400)+'Cálculos'!$D$122)*'Cálculos'!$D$215+'Cálculos'!$D$125*(1+2.78*('Cálculos'!$D$196+(($B$111)-$A101)*'Cálculos'!$D$98)/(('Cálculos'!$D$196+(($B$111)-$A101)*'Cálculos'!$D$98)+1400)+'Cálculos'!$D$123)*'Cálculos'!$D$220)+('Cálculos'!$D$201*(1+'Cálculos'!$D$202+$A101*('Cálculos'!$D$290=2)*'Cálculos'!$D$101)+'Cálculos'!$D$203)*('Cálculos'!$D$211+'Cálculos'!$D$124*(1+2.78*('Cálculos'!$D$196+(($B$111)-$A101)*'Cálculos'!$D$98)/(('Cálculos'!$D$196+(($B$111)-$A101)*'Cálculos'!$D$98)+1400)+'Cálculos'!$D$122)*'Cálculos'!$D$216+'Cálculos'!$D$125*(1+2.78*('Cálculos'!$D$196+(($B$111)-$A101)*'Cálculos'!$D$98)/(('Cálculos'!$D$196+(($B$111)-$A101)*'Cálculos'!$D$98)+1400)+'Cálculos'!$D$123)*'Cálculos'!$D$221)+('Cálculos'!$D$204*(1+'Cálculos'!$D$205+$A101*('Cálculos'!$D$290=3)*'Cálculos'!$D$103)+'Cálculos'!$D$206)*('Cálculos'!$D$212+'Cálculos'!$D$124*(1+2.78*('Cálculos'!$D$196+(($B$111)-$A101)*'Cálculos'!$D$98)/(('Cálculos'!$D$196+(($B$111)-$A101)*'Cálculos'!$D$98)+1400)+'Cálculos'!$D$122)*'Cálculos'!$D$217+'Cálculos'!$D$125*(1+2.78*('Cálculos'!$D$196+(($B$111)-$A101)*'Cálculos'!$D$98)/(('Cálculos'!$D$196+(($B$111)-$A101)*'Cálculos'!$D$98)+1400)+'Cálculos'!$D$123)*'Cálculos'!$D$222)+('Cálculos'!$D$185*(1+'Cálculos'!$D$187+$A101*('Cálculos'!$D$290=1)*'Cálculos'!$D$97+'Cálculos'!$D$305)+'Cálculos'!$D$192)*('Cálculos'!$D$224+'Cálculos'!$D$124*(1+2.78*('Cálculos'!$D$197+(($B$111)-$A101)*'Cálculos'!$D$98)/(('Cálculos'!$D$197+(($B$111)-$A101)*'Cálculos'!$D$98)+1400)+'Cálculos'!$D$122)*'Cálculos'!$D$229+'Cálculos'!$D$125*(1+2.78*('Cálculos'!$D$197+(($B$111)-$A101)*'Cálculos'!$D$98)/(('Cálculos'!$D$197+(($B$111)-$A101)*'Cálculos'!$D$98)+1400)+'Cálculos'!$D$123)*'Cálculos'!$D$234)+('Cálculos'!$D$197+(($B$111)-$A101)*'Cálculos'!$D$98)*('Cálculos'!$D$225+'Cálculos'!$D$124*(1+2.78*('Cálculos'!$D$197+(($B$111)-$A101)*'Cálculos'!$D$98)/(('Cálculos'!$D$197+(($B$111)-$A101)*'Cálculos'!$D$98)+1400)+'Cálculos'!$D$122)*'Cálculos'!$D$230+'Cálculos'!$D$125*(1+2.78*('Cálculos'!$D$197+(($B$111)-$A101)*'Cálculos'!$D$98)/(('Cálculos'!$D$197+(($B$111)-$A101)*'Cálculos'!$D$98)+1400)+'Cálculos'!$D$123)*'Cálculos'!$D$235)+('Cálculos'!$D$201*(1+'Cálculos'!$D$202+$A101*('Cálculos'!$D$290=2)*'Cálculos'!$D$101)+'Cálculos'!$D$203)*('Cálculos'!$D$226+'Cálculos'!$D$124*(1+2.78*('Cálculos'!$D$197+(($B$111)-$A101)*'Cálculos'!$D$98)/(('Cálculos'!$D$197+(($B$111)-$A101)*'Cálculos'!$D$98)+1400)+'Cálculos'!$D$122)*'Cálculos'!$D$231+'Cálculos'!$D$125*(1+2.78*('Cálculos'!$D$197+(($B$111)-$A101)*'Cálculos'!$D$98)/(('Cálculos'!$D$197+(($B$111)-$A101)*'Cálculos'!$D$98)+1400)+'Cálculos'!$D$123)*'Cálculos'!$D$236)+('Cálculos'!$D$204*(1+'Cálculos'!$D$205+$A101*('Cálculos'!$D$290=3)*'Cálculos'!$D$103)+'Cálculos'!$D$206)*('Cálculos'!$D$227+'Cálculos'!$D$124*(1+2.78*('Cálculos'!$D$197+(($B$111)-$A101)*'Cálculos'!$D$98)/(('Cálculos'!$D$197+(($B$111)-$A101)*'Cálculos'!$D$98)+1400)+'Cálculos'!$D$122)*'Cálculos'!$D$232+'Cálculos'!$D$125*(1+2.78*('Cálculos'!$D$197+(($B$111)-$A101)*'Cálculos'!$D$98)/(('Cálculos'!$D$197+(($B$111)-$A101)*'Cálculos'!$D$98)+1400)+'Cálculos'!$D$123)*'Cálculos'!$D$237)+('Cálculos'!$D$185*(1+'Cálculos'!$D$188+$A101*('Cálculos'!$D$290=1)*'Cálculos'!$D$97+'Cálculos'!$D$305)+'Cálculos'!$D$193)*('Cálculos'!$D$239+'Cálculos'!$D$124*(1+2.78*('Cálculos'!$D$198+(($B$111)-$A101)*'Cálculos'!$D$98)/(('Cálculos'!$D$198+(($B$111)-$A101)*'Cálculos'!$D$98)+1400)+'Cálculos'!$D$122)*'Cálculos'!$D$244+'Cálculos'!$D$125*(1+2.78*('Cálculos'!$D$198+(($B$111)-$A101)*'Cálculos'!$D$98)/(('Cálculos'!$D$198+(($B$111)-$A101)*'Cálculos'!$D$98)+1400)+'Cálculos'!$D$123)*'Cálculos'!$D$249)+('Cálculos'!$D$198+(($B$111)-$A101)*'Cálculos'!$D$98)*('Cálculos'!$D$240+'Cálculos'!$D$124*(1+2.78*('Cálculos'!$D$198+(($B$111)-$A101)*'Cálculos'!$D$98)/(('Cálculos'!$D$198+(($B$111)-$A101)*'Cálculos'!$D$98)+1400)+'Cálculos'!$D$122)*'Cálculos'!$D$245+'Cálculos'!$D$125*(1+2.78*('Cálculos'!$D$198+(($B$111)-$A101)*'Cálculos'!$D$98)/(('Cálculos'!$D$198+(($B$111)-$A101)*'Cálculos'!$D$98)+1400)+'Cálculos'!$D$123)*'Cálculos'!$D$250)+('Cálculos'!$D$201*(1+'Cálculos'!$D$202+$A101*('Cálculos'!$D$290=2)*'Cálculos'!$D$101)+'Cálculos'!$D$203)*('Cálculos'!$D$241+'Cálculos'!$D$124*(1+2.78*('Cálculos'!$D$198+(($B$111)-$A101)*'Cálculos'!$D$98)/(('Cálculos'!$D$198+(($B$111)-$A101)*'Cálculos'!$D$98)+1400)+'Cálculos'!$D$122)*'Cálculos'!$D$246+'Cálculos'!$D$125*(1+2.78*('Cálculos'!$D$198+(($B$111)-$A101)*'Cálculos'!$D$98)/(('Cálculos'!$D$198+(($B$111)-$A101)*'Cálculos'!$D$98)+1400)+'Cálculos'!$D$123)*'Cálculos'!$D$251)+('Cálculos'!$D$204*(1+'Cálculos'!$D$205+$A101*('Cálculos'!$D$290=3)*'Cálculos'!$D$103)+'Cálculos'!$D$206)*('Cálculos'!$D$242+'Cálculos'!$D$124*(1+2.78*('Cálculos'!$D$198+(($B$111)-$A101)*'Cálculos'!$D$98)/(('Cálculos'!$D$198+(($B$111)-$A101)*'Cálculos'!$D$98)+1400)+'Cálculos'!$D$122)*'Cálculos'!$D$247+'Cálculos'!$D$125*(1+2.78*('Cálculos'!$D$198+(($B$111)-$A101)*'Cálculos'!$D$98)/(('Cálculos'!$D$198+(($B$111)-$A101)*'Cálculos'!$D$98)+1400)+'Cálculos'!$D$123)*'Cálculos'!$D$252)+('Cálculos'!$D$185*(1+'Cálculos'!$D$189+$A101*('Cálculos'!$D$290=1)*'Cálculos'!$D$97+'Cálculos'!$D$305)+'Cálculos'!$D$194)*('Cálculos'!$D$254+'Cálculos'!$D$124*(1+2.78*('Cálculos'!$D$199+(($B$111)-$A101)*'Cálculos'!$D$98)/(('Cálculos'!$D$199+(($B$111)-$A101)*'Cálculos'!$D$98)+1400)+'Cálculos'!$D$122)*'Cálculos'!$D$259+'Cálculos'!$D$125*(1+2.78*('Cálculos'!$D$199+(($B$111)-$A101)*'Cálculos'!$D$98)/(('Cálculos'!$D$199+(($B$111)-$A101)*'Cálculos'!$D$98)+1400)+'Cálculos'!$D$123)*'Cálculos'!$D$264)+('Cálculos'!$D$199+(($B$111)-$A101)*'Cálculos'!$D$98)*('Cálculos'!$D$255+'Cálculos'!$D$124*(1+2.78*('Cálculos'!$D$199+(($B$111)-$A101)*'Cálculos'!$D$98)/(('Cálculos'!$D$199+(($B$111)-$A101)*'Cálculos'!$D$98)+1400)+'Cálculos'!$D$122)*'Cálculos'!$D$260+'Cálculos'!$D$125*(1+2.78*('Cálculos'!$D$199+(($B$111)-$A101)*'Cálculos'!$D$98)/(('Cálculos'!$D$199+(($B$111)-$A101)*'Cálculos'!$D$98)+1400)+'Cálculos'!$D$123)*'Cálculos'!$D$265)+('Cálculos'!$D$201*(1+'Cálculos'!$D$202+$A101*('Cálculos'!$D$290=2)*'Cálculos'!$D$101)+'Cálculos'!$D$203)*('Cálculos'!$D$256+'Cálculos'!$D$124*(1+2.78*('Cálculos'!$D$199+(($B$111)-$A101)*'Cálculos'!$D$98)/(('Cálculos'!$D$199+(($B$111)-$A101)*'Cálculos'!$D$98)+1400)+'Cálculos'!$D$122)*'Cálculos'!$D$261+'Cálculos'!$D$125*(1+2.78*('Cálculos'!$D$199+(($B$111)-$A101)*'Cálculos'!$D$98)/(('Cálculos'!$D$199+(($B$111)-$A101)*'Cálculos'!$D$98)+1400)+'Cálculos'!$D$123)*'Cálculos'!$D$266)+('Cálculos'!$D$204*(1+'Cálculos'!$D$205+$A101*('Cálculos'!$D$290=3)*'Cálculos'!$D$103)+'Cálculos'!$D$206)*('Cálculos'!$D$257+'Cálculos'!$D$124*(1+2.78*('Cálculos'!$D$199+(($B$111)-$A101)*'Cálculos'!$D$98)/(('Cálculos'!$D$199+(($B$111)-$A101)*'Cálculos'!$D$98)+1400)+'Cálculos'!$D$122)*'Cálculos'!$D$262+'Cálculos'!$D$125*(1+2.78*('Cálculos'!$D$199+(($B$111)-$A101)*'Cálculos'!$D$98)/(('Cálculos'!$D$199+(($B$111)-$A101)*'Cálculos'!$D$98)+1400)+'Cálculos'!$D$123)*'Cálculos'!$D$267)+('Cálculos'!$D$185*(1+'Cálculos'!$D$190+$A101*('Cálculos'!$D$290=1)*'Cálculos'!$D$97+'Cálculos'!$D$305)+'Cálculos'!$D$195)*('Cálculos'!$D$269+'Cálculos'!$D$124*(1+2.78*('Cálculos'!$D$200+(($B$111)-$A101)*'Cálculos'!$D$98)/(('Cálculos'!$D$200+(($B$111)-$A101)*'Cálculos'!$D$98)+1400)+'Cálculos'!$D$122)*'Cálculos'!$D$274+'Cálculos'!$D$125*(1+2.78*('Cálculos'!$D$200+(($B$111)-$A101)*'Cálculos'!$D$98)/(('Cálculos'!$D$200+(($B$111)-$A101)*'Cálculos'!$D$98)+1400)+'Cálculos'!$D$123)*'Cálculos'!$D$279)+('Cálculos'!$D$200+(($B$111)-$A101)*'Cálculos'!$D$98)*('Cálculos'!$D$270+'Cálculos'!$D$124*(1+2.78*('Cálculos'!$D$200+(($B$111)-$A101)*'Cálculos'!$D$98)/(('Cálculos'!$D$200+(($B$111)-$A101)*'Cálculos'!$D$98)+1400)+'Cálculos'!$D$122)*'Cálculos'!$D$275+'Cálculos'!$D$125*(1+2.78*('Cálculos'!$D$200+(($B$111)-$A101)*'Cálculos'!$D$98)/(('Cálculos'!$D$200+(($B$111)-$A101)*'Cálculos'!$D$98)+1400)+'Cálculos'!$D$123)*'Cálculos'!$D$280)+('Cálculos'!$D$201*(1+'Cálculos'!$D$202+$A101*('Cálculos'!$D$290=2)*'Cálculos'!$D$101)+'Cálculos'!$D$203)*('Cálculos'!$D$271+'Cálculos'!$D$124*(1+2.78*('Cálculos'!$D$200+(($B$111)-$A101)*'Cálculos'!$D$98)/(('Cálculos'!$D$200+(($B$111)-$A101)*'Cálculos'!$D$98)+1400)+'Cálculos'!$D$122)*'Cálculos'!$D$276+'Cálculos'!$D$125*(1+2.78*('Cálculos'!$D$200+(($B$111)-$A101)*'Cálculos'!$D$98)/(('Cálculos'!$D$200+(($B$111)-$A101)*'Cálculos'!$D$98)+1400)+'Cálculos'!$D$123)*'Cálculos'!$D$281)+('Cálculos'!$D$204*(1+'Cálculos'!$D$205+$A101*('Cálculos'!$D$290=3)*'Cálculos'!$D$103)+'Cálculos'!$D$206)*('Cálculos'!$D$272+'Cálculos'!$D$124*(1+2.78*('Cálculos'!$D$200+(($B$111)-$A101)*'Cálculos'!$D$98)/(('Cálculos'!$D$200+(($B$111)-$A101)*'Cálculos'!$D$98)+1400)+'Cálculos'!$D$122)*'Cálculos'!$D$277+'Cálculos'!$D$125*(1+2.78*('Cálculos'!$D$200+(($B$111)-$A101)*'Cálculos'!$D$98)/(('Cálculos'!$D$200+(($B$111)-$A101)*'Cálculos'!$D$98)+1400)+'Cálculos'!$D$123)*'Cálculos'!$D$282)))</f>
        <v>0</v>
      </c>
    </row>
    <row r="102" ht="15.75" customHeight="1">
      <c r="A102" s="2">
        <v>39.0</v>
      </c>
      <c r="B102" s="30">
        <f>SUMPRODUCT(MAX(($A$63:$A$108&lt;=$A102)*($A$63:$A$108&lt;='Cálculos'!$D$294)*(($A102)-$A$63:$A$108&lt;='Cálculos'!$D$295)*(1+(('Cálculos'!$D$207+$A$63:$A$108*'Cálculos'!$D$95)-(('Cálculos'!$D$207+$A$63:$A$108*'Cálculos'!$D$95)&gt;1)*(('Cálculos'!$D$207+$A$63:$A$108*'Cálculos'!$D$95)-1))*('Cálculos'!$D$208+(($A102)-$A$63:$A$108)*'Cálculos'!$D$96))))</f>
        <v>2.508692173</v>
      </c>
      <c r="C102" s="2">
        <f>'Cálculos'!$D$303-$A102</f>
        <v>-28</v>
      </c>
      <c r="D102" s="31">
        <f>IF($C102&lt;0,0,SUMPRODUCT(MAX(($A$63:$A$108&lt;=$C102)*($A$63:$A$108&lt;='Cálculos'!$D$301)*(($C102)-$A$63:$A$108&lt;='Cálculos'!$D$297)*(('Cálculos'!$D$185*(1+'Cálculos'!$D$186+$A$63:$A$108*('Cálculos'!$D$290=1)*'Cálculos'!$D$97+'Cálculos'!$D$305)+'Cálculos'!$D$191)*('Cálculos'!$D$209+'Cálculos'!$D$124*(1+2.78*('Cálculos'!$D$196+(($C102)-$A$63:$A$108)*'Cálculos'!$D$98)/(('Cálculos'!$D$196+(($C102)-$A$63:$A$108)*'Cálculos'!$D$98)+1400)+'Cálculos'!$D$122)*'Cálculos'!$D$214+'Cálculos'!$D$125*(1+2.78*('Cálculos'!$D$196+(($C102)-$A$63:$A$108)*'Cálculos'!$D$98)/(('Cálculos'!$D$196+(($C102)-$A$63:$A$108)*'Cálculos'!$D$98)+1400)+'Cálculos'!$D$123)*'Cálculos'!$D$219)+('Cálculos'!$D$196+(($C102)-$A$63:$A$108)*'Cálculos'!$D$98)*('Cálculos'!$D$210+'Cálculos'!$D$124*(1+2.78*('Cálculos'!$D$196+(($C102)-$A$63:$A$108)*'Cálculos'!$D$98)/(('Cálculos'!$D$196+(($C102)-$A$63:$A$108)*'Cálculos'!$D$98)+1400)+'Cálculos'!$D$122)*'Cálculos'!$D$215+'Cálculos'!$D$125*(1+2.78*('Cálculos'!$D$196+(($C102)-$A$63:$A$108)*'Cálculos'!$D$98)/(('Cálculos'!$D$196+(($C102)-$A$63:$A$108)*'Cálculos'!$D$98)+1400)+'Cálculos'!$D$123)*'Cálculos'!$D$220)+('Cálculos'!$D$201*(1+'Cálculos'!$D$202+$A$63:$A$108*('Cálculos'!$D$290=2)*'Cálculos'!$D$101)+'Cálculos'!$D$203)*('Cálculos'!$D$211+'Cálculos'!$D$124*(1+2.78*('Cálculos'!$D$196+(($C102)-$A$63:$A$108)*'Cálculos'!$D$98)/(('Cálculos'!$D$196+(($C102)-$A$63:$A$108)*'Cálculos'!$D$98)+1400)+'Cálculos'!$D$122)*'Cálculos'!$D$216+'Cálculos'!$D$125*(1+2.78*('Cálculos'!$D$196+(($C102)-$A$63:$A$108)*'Cálculos'!$D$98)/(('Cálculos'!$D$196+(($C102)-$A$63:$A$108)*'Cálculos'!$D$98)+1400)+'Cálculos'!$D$123)*'Cálculos'!$D$221)+('Cálculos'!$D$204*(1+'Cálculos'!$D$205+$A$63:$A$108*('Cálculos'!$D$290=3)*'Cálculos'!$D$103)+'Cálculos'!$D$206)*('Cálculos'!$D$212+'Cálculos'!$D$124*(1+2.78*('Cálculos'!$D$196+(($C102)-$A$63:$A$108)*'Cálculos'!$D$98)/(('Cálculos'!$D$196+(($C102)-$A$63:$A$108)*'Cálculos'!$D$98)+1400)+'Cálculos'!$D$122)*'Cálculos'!$D$217+'Cálculos'!$D$125*(1+2.78*('Cálculos'!$D$196+(($C102)-$A$63:$A$108)*'Cálculos'!$D$98)/(('Cálculos'!$D$196+(($C102)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102)-$A$63:$A$108)*'Cálculos'!$D$98)/(('Cálculos'!$D$197+(($C102)-$A$63:$A$108)*'Cálculos'!$D$98)+1400)+'Cálculos'!$D$122)*'Cálculos'!$D$229+'Cálculos'!$D$125*(1+2.78*('Cálculos'!$D$197+(($C102)-$A$63:$A$108)*'Cálculos'!$D$98)/(('Cálculos'!$D$197+(($C102)-$A$63:$A$108)*'Cálculos'!$D$98)+1400)+'Cálculos'!$D$123)*'Cálculos'!$D$234)+('Cálculos'!$D$197+(($C102)-$A$63:$A$108)*'Cálculos'!$D$98)*('Cálculos'!$D$225+'Cálculos'!$D$124*(1+2.78*('Cálculos'!$D$197+(($C102)-$A$63:$A$108)*'Cálculos'!$D$98)/(('Cálculos'!$D$197+(($C102)-$A$63:$A$108)*'Cálculos'!$D$98)+1400)+'Cálculos'!$D$122)*'Cálculos'!$D$230+'Cálculos'!$D$125*(1+2.78*('Cálculos'!$D$197+(($C102)-$A$63:$A$108)*'Cálculos'!$D$98)/(('Cálculos'!$D$197+(($C102)-$A$63:$A$108)*'Cálculos'!$D$98)+1400)+'Cálculos'!$D$123)*'Cálculos'!$D$235)+('Cálculos'!$D$201*(1+'Cálculos'!$D$202+$A$63:$A$108*('Cálculos'!$D$290=2)*'Cálculos'!$D$101)+'Cálculos'!$D$203)*('Cálculos'!$D$226+'Cálculos'!$D$124*(1+2.78*('Cálculos'!$D$197+(($C102)-$A$63:$A$108)*'Cálculos'!$D$98)/(('Cálculos'!$D$197+(($C102)-$A$63:$A$108)*'Cálculos'!$D$98)+1400)+'Cálculos'!$D$122)*'Cálculos'!$D$231+'Cálculos'!$D$125*(1+2.78*('Cálculos'!$D$197+(($C102)-$A$63:$A$108)*'Cálculos'!$D$98)/(('Cálculos'!$D$197+(($C102)-$A$63:$A$108)*'Cálculos'!$D$98)+1400)+'Cálculos'!$D$123)*'Cálculos'!$D$236)+('Cálculos'!$D$204*(1+'Cálculos'!$D$205+$A$63:$A$108*('Cálculos'!$D$290=3)*'Cálculos'!$D$103)+'Cálculos'!$D$206)*('Cálculos'!$D$227+'Cálculos'!$D$124*(1+2.78*('Cálculos'!$D$197+(($C102)-$A$63:$A$108)*'Cálculos'!$D$98)/(('Cálculos'!$D$197+(($C102)-$A$63:$A$108)*'Cálculos'!$D$98)+1400)+'Cálculos'!$D$122)*'Cálculos'!$D$232+'Cálculos'!$D$125*(1+2.78*('Cálculos'!$D$197+(($C102)-$A$63:$A$108)*'Cálculos'!$D$98)/(('Cálculos'!$D$197+(($C102)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102)-$A$63:$A$108)*'Cálculos'!$D$98)/(('Cálculos'!$D$198+(($C102)-$A$63:$A$108)*'Cálculos'!$D$98)+1400)+'Cálculos'!$D$122)*'Cálculos'!$D$244+'Cálculos'!$D$125*(1+2.78*('Cálculos'!$D$198+(($C102)-$A$63:$A$108)*'Cálculos'!$D$98)/(('Cálculos'!$D$198+(($C102)-$A$63:$A$108)*'Cálculos'!$D$98)+1400)+'Cálculos'!$D$123)*'Cálculos'!$D$249)+('Cálculos'!$D$198+(($C102)-$A$63:$A$108)*'Cálculos'!$D$98)*('Cálculos'!$D$240+'Cálculos'!$D$124*(1+2.78*('Cálculos'!$D$198+(($C102)-$A$63:$A$108)*'Cálculos'!$D$98)/(('Cálculos'!$D$198+(($C102)-$A$63:$A$108)*'Cálculos'!$D$98)+1400)+'Cálculos'!$D$122)*'Cálculos'!$D$245+'Cálculos'!$D$125*(1+2.78*('Cálculos'!$D$198+(($C102)-$A$63:$A$108)*'Cálculos'!$D$98)/(('Cálculos'!$D$198+(($C102)-$A$63:$A$108)*'Cálculos'!$D$98)+1400)+'Cálculos'!$D$123)*'Cálculos'!$D$250)+('Cálculos'!$D$201*(1+'Cálculos'!$D$202+$A$63:$A$108*('Cálculos'!$D$290=2)*'Cálculos'!$D$101)+'Cálculos'!$D$203)*('Cálculos'!$D$241+'Cálculos'!$D$124*(1+2.78*('Cálculos'!$D$198+(($C102)-$A$63:$A$108)*'Cálculos'!$D$98)/(('Cálculos'!$D$198+(($C102)-$A$63:$A$108)*'Cálculos'!$D$98)+1400)+'Cálculos'!$D$122)*'Cálculos'!$D$246+'Cálculos'!$D$125*(1+2.78*('Cálculos'!$D$198+(($C102)-$A$63:$A$108)*'Cálculos'!$D$98)/(('Cálculos'!$D$198+(($C102)-$A$63:$A$108)*'Cálculos'!$D$98)+1400)+'Cálculos'!$D$123)*'Cálculos'!$D$251)+('Cálculos'!$D$204*(1+'Cálculos'!$D$205+$A$63:$A$108*('Cálculos'!$D$290=3)*'Cálculos'!$D$103)+'Cálculos'!$D$206)*('Cálculos'!$D$242+'Cálculos'!$D$124*(1+2.78*('Cálculos'!$D$198+(($C102)-$A$63:$A$108)*'Cálculos'!$D$98)/(('Cálculos'!$D$198+(($C102)-$A$63:$A$108)*'Cálculos'!$D$98)+1400)+'Cálculos'!$D$122)*'Cálculos'!$D$247+'Cálculos'!$D$125*(1+2.78*('Cálculos'!$D$198+(($C102)-$A$63:$A$108)*'Cálculos'!$D$98)/(('Cálculos'!$D$198+(($C102)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102)-$A$63:$A$108)*'Cálculos'!$D$98)/(('Cálculos'!$D$199+(($C102)-$A$63:$A$108)*'Cálculos'!$D$98)+1400)+'Cálculos'!$D$122)*'Cálculos'!$D$259+'Cálculos'!$D$125*(1+2.78*('Cálculos'!$D$199+(($C102)-$A$63:$A$108)*'Cálculos'!$D$98)/(('Cálculos'!$D$199+(($C102)-$A$63:$A$108)*'Cálculos'!$D$98)+1400)+'Cálculos'!$D$123)*'Cálculos'!$D$264)+('Cálculos'!$D$199+(($C102)-$A$63:$A$108)*'Cálculos'!$D$98)*('Cálculos'!$D$255+'Cálculos'!$D$124*(1+2.78*('Cálculos'!$D$199+(($C102)-$A$63:$A$108)*'Cálculos'!$D$98)/(('Cálculos'!$D$199+(($C102)-$A$63:$A$108)*'Cálculos'!$D$98)+1400)+'Cálculos'!$D$122)*'Cálculos'!$D$260+'Cálculos'!$D$125*(1+2.78*('Cálculos'!$D$199+(($C102)-$A$63:$A$108)*'Cálculos'!$D$98)/(('Cálculos'!$D$199+(($C102)-$A$63:$A$108)*'Cálculos'!$D$98)+1400)+'Cálculos'!$D$123)*'Cálculos'!$D$265)+('Cálculos'!$D$201*(1+'Cálculos'!$D$202+$A$63:$A$108*('Cálculos'!$D$290=2)*'Cálculos'!$D$101)+'Cálculos'!$D$203)*('Cálculos'!$D$256+'Cálculos'!$D$124*(1+2.78*('Cálculos'!$D$199+(($C102)-$A$63:$A$108)*'Cálculos'!$D$98)/(('Cálculos'!$D$199+(($C102)-$A$63:$A$108)*'Cálculos'!$D$98)+1400)+'Cálculos'!$D$122)*'Cálculos'!$D$261+'Cálculos'!$D$125*(1+2.78*('Cálculos'!$D$199+(($C102)-$A$63:$A$108)*'Cálculos'!$D$98)/(('Cálculos'!$D$199+(($C102)-$A$63:$A$108)*'Cálculos'!$D$98)+1400)+'Cálculos'!$D$123)*'Cálculos'!$D$266)+('Cálculos'!$D$204*(1+'Cálculos'!$D$205+$A$63:$A$108*('Cálculos'!$D$290=3)*'Cálculos'!$D$103)+'Cálculos'!$D$206)*('Cálculos'!$D$257+'Cálculos'!$D$124*(1+2.78*('Cálculos'!$D$199+(($C102)-$A$63:$A$108)*'Cálculos'!$D$98)/(('Cálculos'!$D$199+(($C102)-$A$63:$A$108)*'Cálculos'!$D$98)+1400)+'Cálculos'!$D$122)*'Cálculos'!$D$262+'Cálculos'!$D$125*(1+2.78*('Cálculos'!$D$199+(($C102)-$A$63:$A$108)*'Cálculos'!$D$98)/(('Cálculos'!$D$199+(($C102)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102)-$A$63:$A$108)*'Cálculos'!$D$98)/(('Cálculos'!$D$200+(($C102)-$A$63:$A$108)*'Cálculos'!$D$98)+1400)+'Cálculos'!$D$122)*'Cálculos'!$D$274+'Cálculos'!$D$125*(1+2.78*('Cálculos'!$D$200+(($C102)-$A$63:$A$108)*'Cálculos'!$D$98)/(('Cálculos'!$D$200+(($C102)-$A$63:$A$108)*'Cálculos'!$D$98)+1400)+'Cálculos'!$D$123)*'Cálculos'!$D$279)+('Cálculos'!$D$200+(($C102)-$A$63:$A$108)*'Cálculos'!$D$98)*('Cálculos'!$D$270+'Cálculos'!$D$124*(1+2.78*('Cálculos'!$D$200+(($C102)-$A$63:$A$108)*'Cálculos'!$D$98)/(('Cálculos'!$D$200+(($C102)-$A$63:$A$108)*'Cálculos'!$D$98)+1400)+'Cálculos'!$D$122)*'Cálculos'!$D$275+'Cálculos'!$D$125*(1+2.78*('Cálculos'!$D$200+(($C102)-$A$63:$A$108)*'Cálculos'!$D$98)/(('Cálculos'!$D$200+(($C102)-$A$63:$A$108)*'Cálculos'!$D$98)+1400)+'Cálculos'!$D$123)*'Cálculos'!$D$280)+('Cálculos'!$D$201*(1+'Cálculos'!$D$202+$A$63:$A$108*('Cálculos'!$D$290=2)*'Cálculos'!$D$101)+'Cálculos'!$D$203)*('Cálculos'!$D$271+'Cálculos'!$D$124*(1+2.78*('Cálculos'!$D$200+(($C102)-$A$63:$A$108)*'Cálculos'!$D$98)/(('Cálculos'!$D$200+(($C102)-$A$63:$A$108)*'Cálculos'!$D$98)+1400)+'Cálculos'!$D$122)*'Cálculos'!$D$276+'Cálculos'!$D$125*(1+2.78*('Cálculos'!$D$200+(($C102)-$A$63:$A$108)*'Cálculos'!$D$98)/(('Cálculos'!$D$200+(($C102)-$A$63:$A$108)*'Cálculos'!$D$98)+1400)+'Cálculos'!$D$123)*'Cálculos'!$D$281)+('Cálculos'!$D$204*(1+'Cálculos'!$D$205+$A$63:$A$108*('Cálculos'!$D$290=3)*'Cálculos'!$D$103)+'Cálculos'!$D$206)*('Cálculos'!$D$272+'Cálculos'!$D$124*(1+2.78*('Cálculos'!$D$200+(($C102)-$A$63:$A$108)*'Cálculos'!$D$98)/(('Cálculos'!$D$200+(($C102)-$A$63:$A$108)*'Cálculos'!$D$98)+1400)+'Cálculos'!$D$122)*'Cálculos'!$D$277+'Cálculos'!$D$125*(1+2.78*('Cálculos'!$D$200+(($C102)-$A$63:$A$108)*'Cálculos'!$D$98)/(('Cálculos'!$D$200+(($C102)-$A$63:$A$108)*'Cálculos'!$D$98)+1400)+'Cálculos'!$D$123)*'Cálculos'!$D$282)))))</f>
        <v>0</v>
      </c>
      <c r="E102" s="32">
        <f>IF(OR($C102&lt;0,'Cálculos'!$D$6=""),0,$B102*$D102)</f>
        <v>0</v>
      </c>
      <c r="F102" s="2"/>
      <c r="G102" s="30">
        <f>($A102&lt;=$B$110)*($A102&lt;='Cálculos'!$D$294)*(($B$110)-$A102&lt;='Cálculos'!$D$295)*(1+MIN(('Cálculos'!$D$207+$A102*'Cálculos'!$D$95),1)*('Cálculos'!$D$208+(($B$110)-$A102)*'Cálculos'!$D$96))</f>
        <v>0</v>
      </c>
      <c r="H102" s="31">
        <f>IF($B$111&lt;0,0,($A102&lt;=$B$111)*($A102&lt;='Cálculos'!$D$301)*(($B$111)-$A102&lt;='Cálculos'!$D$297)*(('Cálculos'!$D$185*(1+'Cálculos'!$D$186+$A102*('Cálculos'!$D$290=1)*'Cálculos'!$D$97+'Cálculos'!$D$305)+'Cálculos'!$D$191)*('Cálculos'!$D$209+'Cálculos'!$D$124*(1+2.78*('Cálculos'!$D$196+(($B$111)-$A102)*'Cálculos'!$D$98)/(('Cálculos'!$D$196+(($B$111)-$A102)*'Cálculos'!$D$98)+1400)+'Cálculos'!$D$122)*'Cálculos'!$D$214+'Cálculos'!$D$125*(1+2.78*('Cálculos'!$D$196+(($B$111)-$A102)*'Cálculos'!$D$98)/(('Cálculos'!$D$196+(($B$111)-$A102)*'Cálculos'!$D$98)+1400)+'Cálculos'!$D$123)*'Cálculos'!$D$219)+('Cálculos'!$D$196+(($B$111)-$A102)*'Cálculos'!$D$98)*('Cálculos'!$D$210+'Cálculos'!$D$124*(1+2.78*('Cálculos'!$D$196+(($B$111)-$A102)*'Cálculos'!$D$98)/(('Cálculos'!$D$196+(($B$111)-$A102)*'Cálculos'!$D$98)+1400)+'Cálculos'!$D$122)*'Cálculos'!$D$215+'Cálculos'!$D$125*(1+2.78*('Cálculos'!$D$196+(($B$111)-$A102)*'Cálculos'!$D$98)/(('Cálculos'!$D$196+(($B$111)-$A102)*'Cálculos'!$D$98)+1400)+'Cálculos'!$D$123)*'Cálculos'!$D$220)+('Cálculos'!$D$201*(1+'Cálculos'!$D$202+$A102*('Cálculos'!$D$290=2)*'Cálculos'!$D$101)+'Cálculos'!$D$203)*('Cálculos'!$D$211+'Cálculos'!$D$124*(1+2.78*('Cálculos'!$D$196+(($B$111)-$A102)*'Cálculos'!$D$98)/(('Cálculos'!$D$196+(($B$111)-$A102)*'Cálculos'!$D$98)+1400)+'Cálculos'!$D$122)*'Cálculos'!$D$216+'Cálculos'!$D$125*(1+2.78*('Cálculos'!$D$196+(($B$111)-$A102)*'Cálculos'!$D$98)/(('Cálculos'!$D$196+(($B$111)-$A102)*'Cálculos'!$D$98)+1400)+'Cálculos'!$D$123)*'Cálculos'!$D$221)+('Cálculos'!$D$204*(1+'Cálculos'!$D$205+$A102*('Cálculos'!$D$290=3)*'Cálculos'!$D$103)+'Cálculos'!$D$206)*('Cálculos'!$D$212+'Cálculos'!$D$124*(1+2.78*('Cálculos'!$D$196+(($B$111)-$A102)*'Cálculos'!$D$98)/(('Cálculos'!$D$196+(($B$111)-$A102)*'Cálculos'!$D$98)+1400)+'Cálculos'!$D$122)*'Cálculos'!$D$217+'Cálculos'!$D$125*(1+2.78*('Cálculos'!$D$196+(($B$111)-$A102)*'Cálculos'!$D$98)/(('Cálculos'!$D$196+(($B$111)-$A102)*'Cálculos'!$D$98)+1400)+'Cálculos'!$D$123)*'Cálculos'!$D$222)+('Cálculos'!$D$185*(1+'Cálculos'!$D$187+$A102*('Cálculos'!$D$290=1)*'Cálculos'!$D$97+'Cálculos'!$D$305)+'Cálculos'!$D$192)*('Cálculos'!$D$224+'Cálculos'!$D$124*(1+2.78*('Cálculos'!$D$197+(($B$111)-$A102)*'Cálculos'!$D$98)/(('Cálculos'!$D$197+(($B$111)-$A102)*'Cálculos'!$D$98)+1400)+'Cálculos'!$D$122)*'Cálculos'!$D$229+'Cálculos'!$D$125*(1+2.78*('Cálculos'!$D$197+(($B$111)-$A102)*'Cálculos'!$D$98)/(('Cálculos'!$D$197+(($B$111)-$A102)*'Cálculos'!$D$98)+1400)+'Cálculos'!$D$123)*'Cálculos'!$D$234)+('Cálculos'!$D$197+(($B$111)-$A102)*'Cálculos'!$D$98)*('Cálculos'!$D$225+'Cálculos'!$D$124*(1+2.78*('Cálculos'!$D$197+(($B$111)-$A102)*'Cálculos'!$D$98)/(('Cálculos'!$D$197+(($B$111)-$A102)*'Cálculos'!$D$98)+1400)+'Cálculos'!$D$122)*'Cálculos'!$D$230+'Cálculos'!$D$125*(1+2.78*('Cálculos'!$D$197+(($B$111)-$A102)*'Cálculos'!$D$98)/(('Cálculos'!$D$197+(($B$111)-$A102)*'Cálculos'!$D$98)+1400)+'Cálculos'!$D$123)*'Cálculos'!$D$235)+('Cálculos'!$D$201*(1+'Cálculos'!$D$202+$A102*('Cálculos'!$D$290=2)*'Cálculos'!$D$101)+'Cálculos'!$D$203)*('Cálculos'!$D$226+'Cálculos'!$D$124*(1+2.78*('Cálculos'!$D$197+(($B$111)-$A102)*'Cálculos'!$D$98)/(('Cálculos'!$D$197+(($B$111)-$A102)*'Cálculos'!$D$98)+1400)+'Cálculos'!$D$122)*'Cálculos'!$D$231+'Cálculos'!$D$125*(1+2.78*('Cálculos'!$D$197+(($B$111)-$A102)*'Cálculos'!$D$98)/(('Cálculos'!$D$197+(($B$111)-$A102)*'Cálculos'!$D$98)+1400)+'Cálculos'!$D$123)*'Cálculos'!$D$236)+('Cálculos'!$D$204*(1+'Cálculos'!$D$205+$A102*('Cálculos'!$D$290=3)*'Cálculos'!$D$103)+'Cálculos'!$D$206)*('Cálculos'!$D$227+'Cálculos'!$D$124*(1+2.78*('Cálculos'!$D$197+(($B$111)-$A102)*'Cálculos'!$D$98)/(('Cálculos'!$D$197+(($B$111)-$A102)*'Cálculos'!$D$98)+1400)+'Cálculos'!$D$122)*'Cálculos'!$D$232+'Cálculos'!$D$125*(1+2.78*('Cálculos'!$D$197+(($B$111)-$A102)*'Cálculos'!$D$98)/(('Cálculos'!$D$197+(($B$111)-$A102)*'Cálculos'!$D$98)+1400)+'Cálculos'!$D$123)*'Cálculos'!$D$237)+('Cálculos'!$D$185*(1+'Cálculos'!$D$188+$A102*('Cálculos'!$D$290=1)*'Cálculos'!$D$97+'Cálculos'!$D$305)+'Cálculos'!$D$193)*('Cálculos'!$D$239+'Cálculos'!$D$124*(1+2.78*('Cálculos'!$D$198+(($B$111)-$A102)*'Cálculos'!$D$98)/(('Cálculos'!$D$198+(($B$111)-$A102)*'Cálculos'!$D$98)+1400)+'Cálculos'!$D$122)*'Cálculos'!$D$244+'Cálculos'!$D$125*(1+2.78*('Cálculos'!$D$198+(($B$111)-$A102)*'Cálculos'!$D$98)/(('Cálculos'!$D$198+(($B$111)-$A102)*'Cálculos'!$D$98)+1400)+'Cálculos'!$D$123)*'Cálculos'!$D$249)+('Cálculos'!$D$198+(($B$111)-$A102)*'Cálculos'!$D$98)*('Cálculos'!$D$240+'Cálculos'!$D$124*(1+2.78*('Cálculos'!$D$198+(($B$111)-$A102)*'Cálculos'!$D$98)/(('Cálculos'!$D$198+(($B$111)-$A102)*'Cálculos'!$D$98)+1400)+'Cálculos'!$D$122)*'Cálculos'!$D$245+'Cálculos'!$D$125*(1+2.78*('Cálculos'!$D$198+(($B$111)-$A102)*'Cálculos'!$D$98)/(('Cálculos'!$D$198+(($B$111)-$A102)*'Cálculos'!$D$98)+1400)+'Cálculos'!$D$123)*'Cálculos'!$D$250)+('Cálculos'!$D$201*(1+'Cálculos'!$D$202+$A102*('Cálculos'!$D$290=2)*'Cálculos'!$D$101)+'Cálculos'!$D$203)*('Cálculos'!$D$241+'Cálculos'!$D$124*(1+2.78*('Cálculos'!$D$198+(($B$111)-$A102)*'Cálculos'!$D$98)/(('Cálculos'!$D$198+(($B$111)-$A102)*'Cálculos'!$D$98)+1400)+'Cálculos'!$D$122)*'Cálculos'!$D$246+'Cálculos'!$D$125*(1+2.78*('Cálculos'!$D$198+(($B$111)-$A102)*'Cálculos'!$D$98)/(('Cálculos'!$D$198+(($B$111)-$A102)*'Cálculos'!$D$98)+1400)+'Cálculos'!$D$123)*'Cálculos'!$D$251)+('Cálculos'!$D$204*(1+'Cálculos'!$D$205+$A102*('Cálculos'!$D$290=3)*'Cálculos'!$D$103)+'Cálculos'!$D$206)*('Cálculos'!$D$242+'Cálculos'!$D$124*(1+2.78*('Cálculos'!$D$198+(($B$111)-$A102)*'Cálculos'!$D$98)/(('Cálculos'!$D$198+(($B$111)-$A102)*'Cálculos'!$D$98)+1400)+'Cálculos'!$D$122)*'Cálculos'!$D$247+'Cálculos'!$D$125*(1+2.78*('Cálculos'!$D$198+(($B$111)-$A102)*'Cálculos'!$D$98)/(('Cálculos'!$D$198+(($B$111)-$A102)*'Cálculos'!$D$98)+1400)+'Cálculos'!$D$123)*'Cálculos'!$D$252)+('Cálculos'!$D$185*(1+'Cálculos'!$D$189+$A102*('Cálculos'!$D$290=1)*'Cálculos'!$D$97+'Cálculos'!$D$305)+'Cálculos'!$D$194)*('Cálculos'!$D$254+'Cálculos'!$D$124*(1+2.78*('Cálculos'!$D$199+(($B$111)-$A102)*'Cálculos'!$D$98)/(('Cálculos'!$D$199+(($B$111)-$A102)*'Cálculos'!$D$98)+1400)+'Cálculos'!$D$122)*'Cálculos'!$D$259+'Cálculos'!$D$125*(1+2.78*('Cálculos'!$D$199+(($B$111)-$A102)*'Cálculos'!$D$98)/(('Cálculos'!$D$199+(($B$111)-$A102)*'Cálculos'!$D$98)+1400)+'Cálculos'!$D$123)*'Cálculos'!$D$264)+('Cálculos'!$D$199+(($B$111)-$A102)*'Cálculos'!$D$98)*('Cálculos'!$D$255+'Cálculos'!$D$124*(1+2.78*('Cálculos'!$D$199+(($B$111)-$A102)*'Cálculos'!$D$98)/(('Cálculos'!$D$199+(($B$111)-$A102)*'Cálculos'!$D$98)+1400)+'Cálculos'!$D$122)*'Cálculos'!$D$260+'Cálculos'!$D$125*(1+2.78*('Cálculos'!$D$199+(($B$111)-$A102)*'Cálculos'!$D$98)/(('Cálculos'!$D$199+(($B$111)-$A102)*'Cálculos'!$D$98)+1400)+'Cálculos'!$D$123)*'Cálculos'!$D$265)+('Cálculos'!$D$201*(1+'Cálculos'!$D$202+$A102*('Cálculos'!$D$290=2)*'Cálculos'!$D$101)+'Cálculos'!$D$203)*('Cálculos'!$D$256+'Cálculos'!$D$124*(1+2.78*('Cálculos'!$D$199+(($B$111)-$A102)*'Cálculos'!$D$98)/(('Cálculos'!$D$199+(($B$111)-$A102)*'Cálculos'!$D$98)+1400)+'Cálculos'!$D$122)*'Cálculos'!$D$261+'Cálculos'!$D$125*(1+2.78*('Cálculos'!$D$199+(($B$111)-$A102)*'Cálculos'!$D$98)/(('Cálculos'!$D$199+(($B$111)-$A102)*'Cálculos'!$D$98)+1400)+'Cálculos'!$D$123)*'Cálculos'!$D$266)+('Cálculos'!$D$204*(1+'Cálculos'!$D$205+$A102*('Cálculos'!$D$290=3)*'Cálculos'!$D$103)+'Cálculos'!$D$206)*('Cálculos'!$D$257+'Cálculos'!$D$124*(1+2.78*('Cálculos'!$D$199+(($B$111)-$A102)*'Cálculos'!$D$98)/(('Cálculos'!$D$199+(($B$111)-$A102)*'Cálculos'!$D$98)+1400)+'Cálculos'!$D$122)*'Cálculos'!$D$262+'Cálculos'!$D$125*(1+2.78*('Cálculos'!$D$199+(($B$111)-$A102)*'Cálculos'!$D$98)/(('Cálculos'!$D$199+(($B$111)-$A102)*'Cálculos'!$D$98)+1400)+'Cálculos'!$D$123)*'Cálculos'!$D$267)+('Cálculos'!$D$185*(1+'Cálculos'!$D$190+$A102*('Cálculos'!$D$290=1)*'Cálculos'!$D$97+'Cálculos'!$D$305)+'Cálculos'!$D$195)*('Cálculos'!$D$269+'Cálculos'!$D$124*(1+2.78*('Cálculos'!$D$200+(($B$111)-$A102)*'Cálculos'!$D$98)/(('Cálculos'!$D$200+(($B$111)-$A102)*'Cálculos'!$D$98)+1400)+'Cálculos'!$D$122)*'Cálculos'!$D$274+'Cálculos'!$D$125*(1+2.78*('Cálculos'!$D$200+(($B$111)-$A102)*'Cálculos'!$D$98)/(('Cálculos'!$D$200+(($B$111)-$A102)*'Cálculos'!$D$98)+1400)+'Cálculos'!$D$123)*'Cálculos'!$D$279)+('Cálculos'!$D$200+(($B$111)-$A102)*'Cálculos'!$D$98)*('Cálculos'!$D$270+'Cálculos'!$D$124*(1+2.78*('Cálculos'!$D$200+(($B$111)-$A102)*'Cálculos'!$D$98)/(('Cálculos'!$D$200+(($B$111)-$A102)*'Cálculos'!$D$98)+1400)+'Cálculos'!$D$122)*'Cálculos'!$D$275+'Cálculos'!$D$125*(1+2.78*('Cálculos'!$D$200+(($B$111)-$A102)*'Cálculos'!$D$98)/(('Cálculos'!$D$200+(($B$111)-$A102)*'Cálculos'!$D$98)+1400)+'Cálculos'!$D$123)*'Cálculos'!$D$280)+('Cálculos'!$D$201*(1+'Cálculos'!$D$202+$A102*('Cálculos'!$D$290=2)*'Cálculos'!$D$101)+'Cálculos'!$D$203)*('Cálculos'!$D$271+'Cálculos'!$D$124*(1+2.78*('Cálculos'!$D$200+(($B$111)-$A102)*'Cálculos'!$D$98)/(('Cálculos'!$D$200+(($B$111)-$A102)*'Cálculos'!$D$98)+1400)+'Cálculos'!$D$122)*'Cálculos'!$D$276+'Cálculos'!$D$125*(1+2.78*('Cálculos'!$D$200+(($B$111)-$A102)*'Cálculos'!$D$98)/(('Cálculos'!$D$200+(($B$111)-$A102)*'Cálculos'!$D$98)+1400)+'Cálculos'!$D$123)*'Cálculos'!$D$281)+('Cálculos'!$D$204*(1+'Cálculos'!$D$205+$A102*('Cálculos'!$D$290=3)*'Cálculos'!$D$103)+'Cálculos'!$D$206)*('Cálculos'!$D$272+'Cálculos'!$D$124*(1+2.78*('Cálculos'!$D$200+(($B$111)-$A102)*'Cálculos'!$D$98)/(('Cálculos'!$D$200+(($B$111)-$A102)*'Cálculos'!$D$98)+1400)+'Cálculos'!$D$122)*'Cálculos'!$D$277+'Cálculos'!$D$125*(1+2.78*('Cálculos'!$D$200+(($B$111)-$A102)*'Cálculos'!$D$98)/(('Cálculos'!$D$200+(($B$111)-$A102)*'Cálculos'!$D$98)+1400)+'Cálculos'!$D$123)*'Cálculos'!$D$282)))</f>
        <v>0</v>
      </c>
    </row>
    <row r="103" ht="15.75" customHeight="1">
      <c r="A103" s="2">
        <v>40.0</v>
      </c>
      <c r="B103" s="30">
        <f>SUMPRODUCT(MAX(($A$63:$A$108&lt;=$A103)*($A$63:$A$108&lt;='Cálculos'!$D$294)*(($A103)-$A$63:$A$108&lt;='Cálculos'!$D$295)*(1+(('Cálculos'!$D$207+$A$63:$A$108*'Cálculos'!$D$95)-(('Cálculos'!$D$207+$A$63:$A$108*'Cálculos'!$D$95)&gt;1)*(('Cálculos'!$D$207+$A$63:$A$108*'Cálculos'!$D$95)-1))*('Cálculos'!$D$208+(($A103)-$A$63:$A$108)*'Cálculos'!$D$96))))</f>
        <v>2.557493783</v>
      </c>
      <c r="C103" s="2">
        <f>'Cálculos'!$D$303-$A103</f>
        <v>-29</v>
      </c>
      <c r="D103" s="31">
        <f>IF($C103&lt;0,0,SUMPRODUCT(MAX(($A$63:$A$108&lt;=$C103)*($A$63:$A$108&lt;='Cálculos'!$D$301)*(($C103)-$A$63:$A$108&lt;='Cálculos'!$D$297)*(('Cálculos'!$D$185*(1+'Cálculos'!$D$186+$A$63:$A$108*('Cálculos'!$D$290=1)*'Cálculos'!$D$97+'Cálculos'!$D$305)+'Cálculos'!$D$191)*('Cálculos'!$D$209+'Cálculos'!$D$124*(1+2.78*('Cálculos'!$D$196+(($C103)-$A$63:$A$108)*'Cálculos'!$D$98)/(('Cálculos'!$D$196+(($C103)-$A$63:$A$108)*'Cálculos'!$D$98)+1400)+'Cálculos'!$D$122)*'Cálculos'!$D$214+'Cálculos'!$D$125*(1+2.78*('Cálculos'!$D$196+(($C103)-$A$63:$A$108)*'Cálculos'!$D$98)/(('Cálculos'!$D$196+(($C103)-$A$63:$A$108)*'Cálculos'!$D$98)+1400)+'Cálculos'!$D$123)*'Cálculos'!$D$219)+('Cálculos'!$D$196+(($C103)-$A$63:$A$108)*'Cálculos'!$D$98)*('Cálculos'!$D$210+'Cálculos'!$D$124*(1+2.78*('Cálculos'!$D$196+(($C103)-$A$63:$A$108)*'Cálculos'!$D$98)/(('Cálculos'!$D$196+(($C103)-$A$63:$A$108)*'Cálculos'!$D$98)+1400)+'Cálculos'!$D$122)*'Cálculos'!$D$215+'Cálculos'!$D$125*(1+2.78*('Cálculos'!$D$196+(($C103)-$A$63:$A$108)*'Cálculos'!$D$98)/(('Cálculos'!$D$196+(($C103)-$A$63:$A$108)*'Cálculos'!$D$98)+1400)+'Cálculos'!$D$123)*'Cálculos'!$D$220)+('Cálculos'!$D$201*(1+'Cálculos'!$D$202+$A$63:$A$108*('Cálculos'!$D$290=2)*'Cálculos'!$D$101)+'Cálculos'!$D$203)*('Cálculos'!$D$211+'Cálculos'!$D$124*(1+2.78*('Cálculos'!$D$196+(($C103)-$A$63:$A$108)*'Cálculos'!$D$98)/(('Cálculos'!$D$196+(($C103)-$A$63:$A$108)*'Cálculos'!$D$98)+1400)+'Cálculos'!$D$122)*'Cálculos'!$D$216+'Cálculos'!$D$125*(1+2.78*('Cálculos'!$D$196+(($C103)-$A$63:$A$108)*'Cálculos'!$D$98)/(('Cálculos'!$D$196+(($C103)-$A$63:$A$108)*'Cálculos'!$D$98)+1400)+'Cálculos'!$D$123)*'Cálculos'!$D$221)+('Cálculos'!$D$204*(1+'Cálculos'!$D$205+$A$63:$A$108*('Cálculos'!$D$290=3)*'Cálculos'!$D$103)+'Cálculos'!$D$206)*('Cálculos'!$D$212+'Cálculos'!$D$124*(1+2.78*('Cálculos'!$D$196+(($C103)-$A$63:$A$108)*'Cálculos'!$D$98)/(('Cálculos'!$D$196+(($C103)-$A$63:$A$108)*'Cálculos'!$D$98)+1400)+'Cálculos'!$D$122)*'Cálculos'!$D$217+'Cálculos'!$D$125*(1+2.78*('Cálculos'!$D$196+(($C103)-$A$63:$A$108)*'Cálculos'!$D$98)/(('Cálculos'!$D$196+(($C103)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103)-$A$63:$A$108)*'Cálculos'!$D$98)/(('Cálculos'!$D$197+(($C103)-$A$63:$A$108)*'Cálculos'!$D$98)+1400)+'Cálculos'!$D$122)*'Cálculos'!$D$229+'Cálculos'!$D$125*(1+2.78*('Cálculos'!$D$197+(($C103)-$A$63:$A$108)*'Cálculos'!$D$98)/(('Cálculos'!$D$197+(($C103)-$A$63:$A$108)*'Cálculos'!$D$98)+1400)+'Cálculos'!$D$123)*'Cálculos'!$D$234)+('Cálculos'!$D$197+(($C103)-$A$63:$A$108)*'Cálculos'!$D$98)*('Cálculos'!$D$225+'Cálculos'!$D$124*(1+2.78*('Cálculos'!$D$197+(($C103)-$A$63:$A$108)*'Cálculos'!$D$98)/(('Cálculos'!$D$197+(($C103)-$A$63:$A$108)*'Cálculos'!$D$98)+1400)+'Cálculos'!$D$122)*'Cálculos'!$D$230+'Cálculos'!$D$125*(1+2.78*('Cálculos'!$D$197+(($C103)-$A$63:$A$108)*'Cálculos'!$D$98)/(('Cálculos'!$D$197+(($C103)-$A$63:$A$108)*'Cálculos'!$D$98)+1400)+'Cálculos'!$D$123)*'Cálculos'!$D$235)+('Cálculos'!$D$201*(1+'Cálculos'!$D$202+$A$63:$A$108*('Cálculos'!$D$290=2)*'Cálculos'!$D$101)+'Cálculos'!$D$203)*('Cálculos'!$D$226+'Cálculos'!$D$124*(1+2.78*('Cálculos'!$D$197+(($C103)-$A$63:$A$108)*'Cálculos'!$D$98)/(('Cálculos'!$D$197+(($C103)-$A$63:$A$108)*'Cálculos'!$D$98)+1400)+'Cálculos'!$D$122)*'Cálculos'!$D$231+'Cálculos'!$D$125*(1+2.78*('Cálculos'!$D$197+(($C103)-$A$63:$A$108)*'Cálculos'!$D$98)/(('Cálculos'!$D$197+(($C103)-$A$63:$A$108)*'Cálculos'!$D$98)+1400)+'Cálculos'!$D$123)*'Cálculos'!$D$236)+('Cálculos'!$D$204*(1+'Cálculos'!$D$205+$A$63:$A$108*('Cálculos'!$D$290=3)*'Cálculos'!$D$103)+'Cálculos'!$D$206)*('Cálculos'!$D$227+'Cálculos'!$D$124*(1+2.78*('Cálculos'!$D$197+(($C103)-$A$63:$A$108)*'Cálculos'!$D$98)/(('Cálculos'!$D$197+(($C103)-$A$63:$A$108)*'Cálculos'!$D$98)+1400)+'Cálculos'!$D$122)*'Cálculos'!$D$232+'Cálculos'!$D$125*(1+2.78*('Cálculos'!$D$197+(($C103)-$A$63:$A$108)*'Cálculos'!$D$98)/(('Cálculos'!$D$197+(($C103)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103)-$A$63:$A$108)*'Cálculos'!$D$98)/(('Cálculos'!$D$198+(($C103)-$A$63:$A$108)*'Cálculos'!$D$98)+1400)+'Cálculos'!$D$122)*'Cálculos'!$D$244+'Cálculos'!$D$125*(1+2.78*('Cálculos'!$D$198+(($C103)-$A$63:$A$108)*'Cálculos'!$D$98)/(('Cálculos'!$D$198+(($C103)-$A$63:$A$108)*'Cálculos'!$D$98)+1400)+'Cálculos'!$D$123)*'Cálculos'!$D$249)+('Cálculos'!$D$198+(($C103)-$A$63:$A$108)*'Cálculos'!$D$98)*('Cálculos'!$D$240+'Cálculos'!$D$124*(1+2.78*('Cálculos'!$D$198+(($C103)-$A$63:$A$108)*'Cálculos'!$D$98)/(('Cálculos'!$D$198+(($C103)-$A$63:$A$108)*'Cálculos'!$D$98)+1400)+'Cálculos'!$D$122)*'Cálculos'!$D$245+'Cálculos'!$D$125*(1+2.78*('Cálculos'!$D$198+(($C103)-$A$63:$A$108)*'Cálculos'!$D$98)/(('Cálculos'!$D$198+(($C103)-$A$63:$A$108)*'Cálculos'!$D$98)+1400)+'Cálculos'!$D$123)*'Cálculos'!$D$250)+('Cálculos'!$D$201*(1+'Cálculos'!$D$202+$A$63:$A$108*('Cálculos'!$D$290=2)*'Cálculos'!$D$101)+'Cálculos'!$D$203)*('Cálculos'!$D$241+'Cálculos'!$D$124*(1+2.78*('Cálculos'!$D$198+(($C103)-$A$63:$A$108)*'Cálculos'!$D$98)/(('Cálculos'!$D$198+(($C103)-$A$63:$A$108)*'Cálculos'!$D$98)+1400)+'Cálculos'!$D$122)*'Cálculos'!$D$246+'Cálculos'!$D$125*(1+2.78*('Cálculos'!$D$198+(($C103)-$A$63:$A$108)*'Cálculos'!$D$98)/(('Cálculos'!$D$198+(($C103)-$A$63:$A$108)*'Cálculos'!$D$98)+1400)+'Cálculos'!$D$123)*'Cálculos'!$D$251)+('Cálculos'!$D$204*(1+'Cálculos'!$D$205+$A$63:$A$108*('Cálculos'!$D$290=3)*'Cálculos'!$D$103)+'Cálculos'!$D$206)*('Cálculos'!$D$242+'Cálculos'!$D$124*(1+2.78*('Cálculos'!$D$198+(($C103)-$A$63:$A$108)*'Cálculos'!$D$98)/(('Cálculos'!$D$198+(($C103)-$A$63:$A$108)*'Cálculos'!$D$98)+1400)+'Cálculos'!$D$122)*'Cálculos'!$D$247+'Cálculos'!$D$125*(1+2.78*('Cálculos'!$D$198+(($C103)-$A$63:$A$108)*'Cálculos'!$D$98)/(('Cálculos'!$D$198+(($C103)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103)-$A$63:$A$108)*'Cálculos'!$D$98)/(('Cálculos'!$D$199+(($C103)-$A$63:$A$108)*'Cálculos'!$D$98)+1400)+'Cálculos'!$D$122)*'Cálculos'!$D$259+'Cálculos'!$D$125*(1+2.78*('Cálculos'!$D$199+(($C103)-$A$63:$A$108)*'Cálculos'!$D$98)/(('Cálculos'!$D$199+(($C103)-$A$63:$A$108)*'Cálculos'!$D$98)+1400)+'Cálculos'!$D$123)*'Cálculos'!$D$264)+('Cálculos'!$D$199+(($C103)-$A$63:$A$108)*'Cálculos'!$D$98)*('Cálculos'!$D$255+'Cálculos'!$D$124*(1+2.78*('Cálculos'!$D$199+(($C103)-$A$63:$A$108)*'Cálculos'!$D$98)/(('Cálculos'!$D$199+(($C103)-$A$63:$A$108)*'Cálculos'!$D$98)+1400)+'Cálculos'!$D$122)*'Cálculos'!$D$260+'Cálculos'!$D$125*(1+2.78*('Cálculos'!$D$199+(($C103)-$A$63:$A$108)*'Cálculos'!$D$98)/(('Cálculos'!$D$199+(($C103)-$A$63:$A$108)*'Cálculos'!$D$98)+1400)+'Cálculos'!$D$123)*'Cálculos'!$D$265)+('Cálculos'!$D$201*(1+'Cálculos'!$D$202+$A$63:$A$108*('Cálculos'!$D$290=2)*'Cálculos'!$D$101)+'Cálculos'!$D$203)*('Cálculos'!$D$256+'Cálculos'!$D$124*(1+2.78*('Cálculos'!$D$199+(($C103)-$A$63:$A$108)*'Cálculos'!$D$98)/(('Cálculos'!$D$199+(($C103)-$A$63:$A$108)*'Cálculos'!$D$98)+1400)+'Cálculos'!$D$122)*'Cálculos'!$D$261+'Cálculos'!$D$125*(1+2.78*('Cálculos'!$D$199+(($C103)-$A$63:$A$108)*'Cálculos'!$D$98)/(('Cálculos'!$D$199+(($C103)-$A$63:$A$108)*'Cálculos'!$D$98)+1400)+'Cálculos'!$D$123)*'Cálculos'!$D$266)+('Cálculos'!$D$204*(1+'Cálculos'!$D$205+$A$63:$A$108*('Cálculos'!$D$290=3)*'Cálculos'!$D$103)+'Cálculos'!$D$206)*('Cálculos'!$D$257+'Cálculos'!$D$124*(1+2.78*('Cálculos'!$D$199+(($C103)-$A$63:$A$108)*'Cálculos'!$D$98)/(('Cálculos'!$D$199+(($C103)-$A$63:$A$108)*'Cálculos'!$D$98)+1400)+'Cálculos'!$D$122)*'Cálculos'!$D$262+'Cálculos'!$D$125*(1+2.78*('Cálculos'!$D$199+(($C103)-$A$63:$A$108)*'Cálculos'!$D$98)/(('Cálculos'!$D$199+(($C103)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103)-$A$63:$A$108)*'Cálculos'!$D$98)/(('Cálculos'!$D$200+(($C103)-$A$63:$A$108)*'Cálculos'!$D$98)+1400)+'Cálculos'!$D$122)*'Cálculos'!$D$274+'Cálculos'!$D$125*(1+2.78*('Cálculos'!$D$200+(($C103)-$A$63:$A$108)*'Cálculos'!$D$98)/(('Cálculos'!$D$200+(($C103)-$A$63:$A$108)*'Cálculos'!$D$98)+1400)+'Cálculos'!$D$123)*'Cálculos'!$D$279)+('Cálculos'!$D$200+(($C103)-$A$63:$A$108)*'Cálculos'!$D$98)*('Cálculos'!$D$270+'Cálculos'!$D$124*(1+2.78*('Cálculos'!$D$200+(($C103)-$A$63:$A$108)*'Cálculos'!$D$98)/(('Cálculos'!$D$200+(($C103)-$A$63:$A$108)*'Cálculos'!$D$98)+1400)+'Cálculos'!$D$122)*'Cálculos'!$D$275+'Cálculos'!$D$125*(1+2.78*('Cálculos'!$D$200+(($C103)-$A$63:$A$108)*'Cálculos'!$D$98)/(('Cálculos'!$D$200+(($C103)-$A$63:$A$108)*'Cálculos'!$D$98)+1400)+'Cálculos'!$D$123)*'Cálculos'!$D$280)+('Cálculos'!$D$201*(1+'Cálculos'!$D$202+$A$63:$A$108*('Cálculos'!$D$290=2)*'Cálculos'!$D$101)+'Cálculos'!$D$203)*('Cálculos'!$D$271+'Cálculos'!$D$124*(1+2.78*('Cálculos'!$D$200+(($C103)-$A$63:$A$108)*'Cálculos'!$D$98)/(('Cálculos'!$D$200+(($C103)-$A$63:$A$108)*'Cálculos'!$D$98)+1400)+'Cálculos'!$D$122)*'Cálculos'!$D$276+'Cálculos'!$D$125*(1+2.78*('Cálculos'!$D$200+(($C103)-$A$63:$A$108)*'Cálculos'!$D$98)/(('Cálculos'!$D$200+(($C103)-$A$63:$A$108)*'Cálculos'!$D$98)+1400)+'Cálculos'!$D$123)*'Cálculos'!$D$281)+('Cálculos'!$D$204*(1+'Cálculos'!$D$205+$A$63:$A$108*('Cálculos'!$D$290=3)*'Cálculos'!$D$103)+'Cálculos'!$D$206)*('Cálculos'!$D$272+'Cálculos'!$D$124*(1+2.78*('Cálculos'!$D$200+(($C103)-$A$63:$A$108)*'Cálculos'!$D$98)/(('Cálculos'!$D$200+(($C103)-$A$63:$A$108)*'Cálculos'!$D$98)+1400)+'Cálculos'!$D$122)*'Cálculos'!$D$277+'Cálculos'!$D$125*(1+2.78*('Cálculos'!$D$200+(($C103)-$A$63:$A$108)*'Cálculos'!$D$98)/(('Cálculos'!$D$200+(($C103)-$A$63:$A$108)*'Cálculos'!$D$98)+1400)+'Cálculos'!$D$123)*'Cálculos'!$D$282)))))</f>
        <v>0</v>
      </c>
      <c r="E103" s="32">
        <f>IF(OR($C103&lt;0,'Cálculos'!$D$6=""),0,$B103*$D103)</f>
        <v>0</v>
      </c>
      <c r="F103" s="2"/>
      <c r="G103" s="30">
        <f>($A103&lt;=$B$110)*($A103&lt;='Cálculos'!$D$294)*(($B$110)-$A103&lt;='Cálculos'!$D$295)*(1+MIN(('Cálculos'!$D$207+$A103*'Cálculos'!$D$95),1)*('Cálculos'!$D$208+(($B$110)-$A103)*'Cálculos'!$D$96))</f>
        <v>0</v>
      </c>
      <c r="H103" s="31">
        <f>IF($B$111&lt;0,0,($A103&lt;=$B$111)*($A103&lt;='Cálculos'!$D$301)*(($B$111)-$A103&lt;='Cálculos'!$D$297)*(('Cálculos'!$D$185*(1+'Cálculos'!$D$186+$A103*('Cálculos'!$D$290=1)*'Cálculos'!$D$97+'Cálculos'!$D$305)+'Cálculos'!$D$191)*('Cálculos'!$D$209+'Cálculos'!$D$124*(1+2.78*('Cálculos'!$D$196+(($B$111)-$A103)*'Cálculos'!$D$98)/(('Cálculos'!$D$196+(($B$111)-$A103)*'Cálculos'!$D$98)+1400)+'Cálculos'!$D$122)*'Cálculos'!$D$214+'Cálculos'!$D$125*(1+2.78*('Cálculos'!$D$196+(($B$111)-$A103)*'Cálculos'!$D$98)/(('Cálculos'!$D$196+(($B$111)-$A103)*'Cálculos'!$D$98)+1400)+'Cálculos'!$D$123)*'Cálculos'!$D$219)+('Cálculos'!$D$196+(($B$111)-$A103)*'Cálculos'!$D$98)*('Cálculos'!$D$210+'Cálculos'!$D$124*(1+2.78*('Cálculos'!$D$196+(($B$111)-$A103)*'Cálculos'!$D$98)/(('Cálculos'!$D$196+(($B$111)-$A103)*'Cálculos'!$D$98)+1400)+'Cálculos'!$D$122)*'Cálculos'!$D$215+'Cálculos'!$D$125*(1+2.78*('Cálculos'!$D$196+(($B$111)-$A103)*'Cálculos'!$D$98)/(('Cálculos'!$D$196+(($B$111)-$A103)*'Cálculos'!$D$98)+1400)+'Cálculos'!$D$123)*'Cálculos'!$D$220)+('Cálculos'!$D$201*(1+'Cálculos'!$D$202+$A103*('Cálculos'!$D$290=2)*'Cálculos'!$D$101)+'Cálculos'!$D$203)*('Cálculos'!$D$211+'Cálculos'!$D$124*(1+2.78*('Cálculos'!$D$196+(($B$111)-$A103)*'Cálculos'!$D$98)/(('Cálculos'!$D$196+(($B$111)-$A103)*'Cálculos'!$D$98)+1400)+'Cálculos'!$D$122)*'Cálculos'!$D$216+'Cálculos'!$D$125*(1+2.78*('Cálculos'!$D$196+(($B$111)-$A103)*'Cálculos'!$D$98)/(('Cálculos'!$D$196+(($B$111)-$A103)*'Cálculos'!$D$98)+1400)+'Cálculos'!$D$123)*'Cálculos'!$D$221)+('Cálculos'!$D$204*(1+'Cálculos'!$D$205+$A103*('Cálculos'!$D$290=3)*'Cálculos'!$D$103)+'Cálculos'!$D$206)*('Cálculos'!$D$212+'Cálculos'!$D$124*(1+2.78*('Cálculos'!$D$196+(($B$111)-$A103)*'Cálculos'!$D$98)/(('Cálculos'!$D$196+(($B$111)-$A103)*'Cálculos'!$D$98)+1400)+'Cálculos'!$D$122)*'Cálculos'!$D$217+'Cálculos'!$D$125*(1+2.78*('Cálculos'!$D$196+(($B$111)-$A103)*'Cálculos'!$D$98)/(('Cálculos'!$D$196+(($B$111)-$A103)*'Cálculos'!$D$98)+1400)+'Cálculos'!$D$123)*'Cálculos'!$D$222)+('Cálculos'!$D$185*(1+'Cálculos'!$D$187+$A103*('Cálculos'!$D$290=1)*'Cálculos'!$D$97+'Cálculos'!$D$305)+'Cálculos'!$D$192)*('Cálculos'!$D$224+'Cálculos'!$D$124*(1+2.78*('Cálculos'!$D$197+(($B$111)-$A103)*'Cálculos'!$D$98)/(('Cálculos'!$D$197+(($B$111)-$A103)*'Cálculos'!$D$98)+1400)+'Cálculos'!$D$122)*'Cálculos'!$D$229+'Cálculos'!$D$125*(1+2.78*('Cálculos'!$D$197+(($B$111)-$A103)*'Cálculos'!$D$98)/(('Cálculos'!$D$197+(($B$111)-$A103)*'Cálculos'!$D$98)+1400)+'Cálculos'!$D$123)*'Cálculos'!$D$234)+('Cálculos'!$D$197+(($B$111)-$A103)*'Cálculos'!$D$98)*('Cálculos'!$D$225+'Cálculos'!$D$124*(1+2.78*('Cálculos'!$D$197+(($B$111)-$A103)*'Cálculos'!$D$98)/(('Cálculos'!$D$197+(($B$111)-$A103)*'Cálculos'!$D$98)+1400)+'Cálculos'!$D$122)*'Cálculos'!$D$230+'Cálculos'!$D$125*(1+2.78*('Cálculos'!$D$197+(($B$111)-$A103)*'Cálculos'!$D$98)/(('Cálculos'!$D$197+(($B$111)-$A103)*'Cálculos'!$D$98)+1400)+'Cálculos'!$D$123)*'Cálculos'!$D$235)+('Cálculos'!$D$201*(1+'Cálculos'!$D$202+$A103*('Cálculos'!$D$290=2)*'Cálculos'!$D$101)+'Cálculos'!$D$203)*('Cálculos'!$D$226+'Cálculos'!$D$124*(1+2.78*('Cálculos'!$D$197+(($B$111)-$A103)*'Cálculos'!$D$98)/(('Cálculos'!$D$197+(($B$111)-$A103)*'Cálculos'!$D$98)+1400)+'Cálculos'!$D$122)*'Cálculos'!$D$231+'Cálculos'!$D$125*(1+2.78*('Cálculos'!$D$197+(($B$111)-$A103)*'Cálculos'!$D$98)/(('Cálculos'!$D$197+(($B$111)-$A103)*'Cálculos'!$D$98)+1400)+'Cálculos'!$D$123)*'Cálculos'!$D$236)+('Cálculos'!$D$204*(1+'Cálculos'!$D$205+$A103*('Cálculos'!$D$290=3)*'Cálculos'!$D$103)+'Cálculos'!$D$206)*('Cálculos'!$D$227+'Cálculos'!$D$124*(1+2.78*('Cálculos'!$D$197+(($B$111)-$A103)*'Cálculos'!$D$98)/(('Cálculos'!$D$197+(($B$111)-$A103)*'Cálculos'!$D$98)+1400)+'Cálculos'!$D$122)*'Cálculos'!$D$232+'Cálculos'!$D$125*(1+2.78*('Cálculos'!$D$197+(($B$111)-$A103)*'Cálculos'!$D$98)/(('Cálculos'!$D$197+(($B$111)-$A103)*'Cálculos'!$D$98)+1400)+'Cálculos'!$D$123)*'Cálculos'!$D$237)+('Cálculos'!$D$185*(1+'Cálculos'!$D$188+$A103*('Cálculos'!$D$290=1)*'Cálculos'!$D$97+'Cálculos'!$D$305)+'Cálculos'!$D$193)*('Cálculos'!$D$239+'Cálculos'!$D$124*(1+2.78*('Cálculos'!$D$198+(($B$111)-$A103)*'Cálculos'!$D$98)/(('Cálculos'!$D$198+(($B$111)-$A103)*'Cálculos'!$D$98)+1400)+'Cálculos'!$D$122)*'Cálculos'!$D$244+'Cálculos'!$D$125*(1+2.78*('Cálculos'!$D$198+(($B$111)-$A103)*'Cálculos'!$D$98)/(('Cálculos'!$D$198+(($B$111)-$A103)*'Cálculos'!$D$98)+1400)+'Cálculos'!$D$123)*'Cálculos'!$D$249)+('Cálculos'!$D$198+(($B$111)-$A103)*'Cálculos'!$D$98)*('Cálculos'!$D$240+'Cálculos'!$D$124*(1+2.78*('Cálculos'!$D$198+(($B$111)-$A103)*'Cálculos'!$D$98)/(('Cálculos'!$D$198+(($B$111)-$A103)*'Cálculos'!$D$98)+1400)+'Cálculos'!$D$122)*'Cálculos'!$D$245+'Cálculos'!$D$125*(1+2.78*('Cálculos'!$D$198+(($B$111)-$A103)*'Cálculos'!$D$98)/(('Cálculos'!$D$198+(($B$111)-$A103)*'Cálculos'!$D$98)+1400)+'Cálculos'!$D$123)*'Cálculos'!$D$250)+('Cálculos'!$D$201*(1+'Cálculos'!$D$202+$A103*('Cálculos'!$D$290=2)*'Cálculos'!$D$101)+'Cálculos'!$D$203)*('Cálculos'!$D$241+'Cálculos'!$D$124*(1+2.78*('Cálculos'!$D$198+(($B$111)-$A103)*'Cálculos'!$D$98)/(('Cálculos'!$D$198+(($B$111)-$A103)*'Cálculos'!$D$98)+1400)+'Cálculos'!$D$122)*'Cálculos'!$D$246+'Cálculos'!$D$125*(1+2.78*('Cálculos'!$D$198+(($B$111)-$A103)*'Cálculos'!$D$98)/(('Cálculos'!$D$198+(($B$111)-$A103)*'Cálculos'!$D$98)+1400)+'Cálculos'!$D$123)*'Cálculos'!$D$251)+('Cálculos'!$D$204*(1+'Cálculos'!$D$205+$A103*('Cálculos'!$D$290=3)*'Cálculos'!$D$103)+'Cálculos'!$D$206)*('Cálculos'!$D$242+'Cálculos'!$D$124*(1+2.78*('Cálculos'!$D$198+(($B$111)-$A103)*'Cálculos'!$D$98)/(('Cálculos'!$D$198+(($B$111)-$A103)*'Cálculos'!$D$98)+1400)+'Cálculos'!$D$122)*'Cálculos'!$D$247+'Cálculos'!$D$125*(1+2.78*('Cálculos'!$D$198+(($B$111)-$A103)*'Cálculos'!$D$98)/(('Cálculos'!$D$198+(($B$111)-$A103)*'Cálculos'!$D$98)+1400)+'Cálculos'!$D$123)*'Cálculos'!$D$252)+('Cálculos'!$D$185*(1+'Cálculos'!$D$189+$A103*('Cálculos'!$D$290=1)*'Cálculos'!$D$97+'Cálculos'!$D$305)+'Cálculos'!$D$194)*('Cálculos'!$D$254+'Cálculos'!$D$124*(1+2.78*('Cálculos'!$D$199+(($B$111)-$A103)*'Cálculos'!$D$98)/(('Cálculos'!$D$199+(($B$111)-$A103)*'Cálculos'!$D$98)+1400)+'Cálculos'!$D$122)*'Cálculos'!$D$259+'Cálculos'!$D$125*(1+2.78*('Cálculos'!$D$199+(($B$111)-$A103)*'Cálculos'!$D$98)/(('Cálculos'!$D$199+(($B$111)-$A103)*'Cálculos'!$D$98)+1400)+'Cálculos'!$D$123)*'Cálculos'!$D$264)+('Cálculos'!$D$199+(($B$111)-$A103)*'Cálculos'!$D$98)*('Cálculos'!$D$255+'Cálculos'!$D$124*(1+2.78*('Cálculos'!$D$199+(($B$111)-$A103)*'Cálculos'!$D$98)/(('Cálculos'!$D$199+(($B$111)-$A103)*'Cálculos'!$D$98)+1400)+'Cálculos'!$D$122)*'Cálculos'!$D$260+'Cálculos'!$D$125*(1+2.78*('Cálculos'!$D$199+(($B$111)-$A103)*'Cálculos'!$D$98)/(('Cálculos'!$D$199+(($B$111)-$A103)*'Cálculos'!$D$98)+1400)+'Cálculos'!$D$123)*'Cálculos'!$D$265)+('Cálculos'!$D$201*(1+'Cálculos'!$D$202+$A103*('Cálculos'!$D$290=2)*'Cálculos'!$D$101)+'Cálculos'!$D$203)*('Cálculos'!$D$256+'Cálculos'!$D$124*(1+2.78*('Cálculos'!$D$199+(($B$111)-$A103)*'Cálculos'!$D$98)/(('Cálculos'!$D$199+(($B$111)-$A103)*'Cálculos'!$D$98)+1400)+'Cálculos'!$D$122)*'Cálculos'!$D$261+'Cálculos'!$D$125*(1+2.78*('Cálculos'!$D$199+(($B$111)-$A103)*'Cálculos'!$D$98)/(('Cálculos'!$D$199+(($B$111)-$A103)*'Cálculos'!$D$98)+1400)+'Cálculos'!$D$123)*'Cálculos'!$D$266)+('Cálculos'!$D$204*(1+'Cálculos'!$D$205+$A103*('Cálculos'!$D$290=3)*'Cálculos'!$D$103)+'Cálculos'!$D$206)*('Cálculos'!$D$257+'Cálculos'!$D$124*(1+2.78*('Cálculos'!$D$199+(($B$111)-$A103)*'Cálculos'!$D$98)/(('Cálculos'!$D$199+(($B$111)-$A103)*'Cálculos'!$D$98)+1400)+'Cálculos'!$D$122)*'Cálculos'!$D$262+'Cálculos'!$D$125*(1+2.78*('Cálculos'!$D$199+(($B$111)-$A103)*'Cálculos'!$D$98)/(('Cálculos'!$D$199+(($B$111)-$A103)*'Cálculos'!$D$98)+1400)+'Cálculos'!$D$123)*'Cálculos'!$D$267)+('Cálculos'!$D$185*(1+'Cálculos'!$D$190+$A103*('Cálculos'!$D$290=1)*'Cálculos'!$D$97+'Cálculos'!$D$305)+'Cálculos'!$D$195)*('Cálculos'!$D$269+'Cálculos'!$D$124*(1+2.78*('Cálculos'!$D$200+(($B$111)-$A103)*'Cálculos'!$D$98)/(('Cálculos'!$D$200+(($B$111)-$A103)*'Cálculos'!$D$98)+1400)+'Cálculos'!$D$122)*'Cálculos'!$D$274+'Cálculos'!$D$125*(1+2.78*('Cálculos'!$D$200+(($B$111)-$A103)*'Cálculos'!$D$98)/(('Cálculos'!$D$200+(($B$111)-$A103)*'Cálculos'!$D$98)+1400)+'Cálculos'!$D$123)*'Cálculos'!$D$279)+('Cálculos'!$D$200+(($B$111)-$A103)*'Cálculos'!$D$98)*('Cálculos'!$D$270+'Cálculos'!$D$124*(1+2.78*('Cálculos'!$D$200+(($B$111)-$A103)*'Cálculos'!$D$98)/(('Cálculos'!$D$200+(($B$111)-$A103)*'Cálculos'!$D$98)+1400)+'Cálculos'!$D$122)*'Cálculos'!$D$275+'Cálculos'!$D$125*(1+2.78*('Cálculos'!$D$200+(($B$111)-$A103)*'Cálculos'!$D$98)/(('Cálculos'!$D$200+(($B$111)-$A103)*'Cálculos'!$D$98)+1400)+'Cálculos'!$D$123)*'Cálculos'!$D$280)+('Cálculos'!$D$201*(1+'Cálculos'!$D$202+$A103*('Cálculos'!$D$290=2)*'Cálculos'!$D$101)+'Cálculos'!$D$203)*('Cálculos'!$D$271+'Cálculos'!$D$124*(1+2.78*('Cálculos'!$D$200+(($B$111)-$A103)*'Cálculos'!$D$98)/(('Cálculos'!$D$200+(($B$111)-$A103)*'Cálculos'!$D$98)+1400)+'Cálculos'!$D$122)*'Cálculos'!$D$276+'Cálculos'!$D$125*(1+2.78*('Cálculos'!$D$200+(($B$111)-$A103)*'Cálculos'!$D$98)/(('Cálculos'!$D$200+(($B$111)-$A103)*'Cálculos'!$D$98)+1400)+'Cálculos'!$D$123)*'Cálculos'!$D$281)+('Cálculos'!$D$204*(1+'Cálculos'!$D$205+$A103*('Cálculos'!$D$290=3)*'Cálculos'!$D$103)+'Cálculos'!$D$206)*('Cálculos'!$D$272+'Cálculos'!$D$124*(1+2.78*('Cálculos'!$D$200+(($B$111)-$A103)*'Cálculos'!$D$98)/(('Cálculos'!$D$200+(($B$111)-$A103)*'Cálculos'!$D$98)+1400)+'Cálculos'!$D$122)*'Cálculos'!$D$277+'Cálculos'!$D$125*(1+2.78*('Cálculos'!$D$200+(($B$111)-$A103)*'Cálculos'!$D$98)/(('Cálculos'!$D$200+(($B$111)-$A103)*'Cálculos'!$D$98)+1400)+'Cálculos'!$D$123)*'Cálculos'!$D$282)))</f>
        <v>0</v>
      </c>
    </row>
    <row r="104" ht="15.75" customHeight="1">
      <c r="A104" s="2">
        <v>41.0</v>
      </c>
      <c r="B104" s="30">
        <f>SUMPRODUCT(MAX(($A$63:$A$108&lt;=$A104)*($A$63:$A$108&lt;='Cálculos'!$D$294)*(($A104)-$A$63:$A$108&lt;='Cálculos'!$D$295)*(1+(('Cálculos'!$D$207+$A$63:$A$108*'Cálculos'!$D$95)-(('Cálculos'!$D$207+$A$63:$A$108*'Cálculos'!$D$95)&gt;1)*(('Cálculos'!$D$207+$A$63:$A$108*'Cálculos'!$D$95)-1))*('Cálculos'!$D$208+(($A104)-$A$63:$A$108)*'Cálculos'!$D$96))))</f>
        <v>2.606295392</v>
      </c>
      <c r="C104" s="2">
        <f>'Cálculos'!$D$303-$A104</f>
        <v>-30</v>
      </c>
      <c r="D104" s="31">
        <f>IF($C104&lt;0,0,SUMPRODUCT(MAX(($A$63:$A$108&lt;=$C104)*($A$63:$A$108&lt;='Cálculos'!$D$301)*(($C104)-$A$63:$A$108&lt;='Cálculos'!$D$297)*(('Cálculos'!$D$185*(1+'Cálculos'!$D$186+$A$63:$A$108*('Cálculos'!$D$290=1)*'Cálculos'!$D$97+'Cálculos'!$D$305)+'Cálculos'!$D$191)*('Cálculos'!$D$209+'Cálculos'!$D$124*(1+2.78*('Cálculos'!$D$196+(($C104)-$A$63:$A$108)*'Cálculos'!$D$98)/(('Cálculos'!$D$196+(($C104)-$A$63:$A$108)*'Cálculos'!$D$98)+1400)+'Cálculos'!$D$122)*'Cálculos'!$D$214+'Cálculos'!$D$125*(1+2.78*('Cálculos'!$D$196+(($C104)-$A$63:$A$108)*'Cálculos'!$D$98)/(('Cálculos'!$D$196+(($C104)-$A$63:$A$108)*'Cálculos'!$D$98)+1400)+'Cálculos'!$D$123)*'Cálculos'!$D$219)+('Cálculos'!$D$196+(($C104)-$A$63:$A$108)*'Cálculos'!$D$98)*('Cálculos'!$D$210+'Cálculos'!$D$124*(1+2.78*('Cálculos'!$D$196+(($C104)-$A$63:$A$108)*'Cálculos'!$D$98)/(('Cálculos'!$D$196+(($C104)-$A$63:$A$108)*'Cálculos'!$D$98)+1400)+'Cálculos'!$D$122)*'Cálculos'!$D$215+'Cálculos'!$D$125*(1+2.78*('Cálculos'!$D$196+(($C104)-$A$63:$A$108)*'Cálculos'!$D$98)/(('Cálculos'!$D$196+(($C104)-$A$63:$A$108)*'Cálculos'!$D$98)+1400)+'Cálculos'!$D$123)*'Cálculos'!$D$220)+('Cálculos'!$D$201*(1+'Cálculos'!$D$202+$A$63:$A$108*('Cálculos'!$D$290=2)*'Cálculos'!$D$101)+'Cálculos'!$D$203)*('Cálculos'!$D$211+'Cálculos'!$D$124*(1+2.78*('Cálculos'!$D$196+(($C104)-$A$63:$A$108)*'Cálculos'!$D$98)/(('Cálculos'!$D$196+(($C104)-$A$63:$A$108)*'Cálculos'!$D$98)+1400)+'Cálculos'!$D$122)*'Cálculos'!$D$216+'Cálculos'!$D$125*(1+2.78*('Cálculos'!$D$196+(($C104)-$A$63:$A$108)*'Cálculos'!$D$98)/(('Cálculos'!$D$196+(($C104)-$A$63:$A$108)*'Cálculos'!$D$98)+1400)+'Cálculos'!$D$123)*'Cálculos'!$D$221)+('Cálculos'!$D$204*(1+'Cálculos'!$D$205+$A$63:$A$108*('Cálculos'!$D$290=3)*'Cálculos'!$D$103)+'Cálculos'!$D$206)*('Cálculos'!$D$212+'Cálculos'!$D$124*(1+2.78*('Cálculos'!$D$196+(($C104)-$A$63:$A$108)*'Cálculos'!$D$98)/(('Cálculos'!$D$196+(($C104)-$A$63:$A$108)*'Cálculos'!$D$98)+1400)+'Cálculos'!$D$122)*'Cálculos'!$D$217+'Cálculos'!$D$125*(1+2.78*('Cálculos'!$D$196+(($C104)-$A$63:$A$108)*'Cálculos'!$D$98)/(('Cálculos'!$D$196+(($C104)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104)-$A$63:$A$108)*'Cálculos'!$D$98)/(('Cálculos'!$D$197+(($C104)-$A$63:$A$108)*'Cálculos'!$D$98)+1400)+'Cálculos'!$D$122)*'Cálculos'!$D$229+'Cálculos'!$D$125*(1+2.78*('Cálculos'!$D$197+(($C104)-$A$63:$A$108)*'Cálculos'!$D$98)/(('Cálculos'!$D$197+(($C104)-$A$63:$A$108)*'Cálculos'!$D$98)+1400)+'Cálculos'!$D$123)*'Cálculos'!$D$234)+('Cálculos'!$D$197+(($C104)-$A$63:$A$108)*'Cálculos'!$D$98)*('Cálculos'!$D$225+'Cálculos'!$D$124*(1+2.78*('Cálculos'!$D$197+(($C104)-$A$63:$A$108)*'Cálculos'!$D$98)/(('Cálculos'!$D$197+(($C104)-$A$63:$A$108)*'Cálculos'!$D$98)+1400)+'Cálculos'!$D$122)*'Cálculos'!$D$230+'Cálculos'!$D$125*(1+2.78*('Cálculos'!$D$197+(($C104)-$A$63:$A$108)*'Cálculos'!$D$98)/(('Cálculos'!$D$197+(($C104)-$A$63:$A$108)*'Cálculos'!$D$98)+1400)+'Cálculos'!$D$123)*'Cálculos'!$D$235)+('Cálculos'!$D$201*(1+'Cálculos'!$D$202+$A$63:$A$108*('Cálculos'!$D$290=2)*'Cálculos'!$D$101)+'Cálculos'!$D$203)*('Cálculos'!$D$226+'Cálculos'!$D$124*(1+2.78*('Cálculos'!$D$197+(($C104)-$A$63:$A$108)*'Cálculos'!$D$98)/(('Cálculos'!$D$197+(($C104)-$A$63:$A$108)*'Cálculos'!$D$98)+1400)+'Cálculos'!$D$122)*'Cálculos'!$D$231+'Cálculos'!$D$125*(1+2.78*('Cálculos'!$D$197+(($C104)-$A$63:$A$108)*'Cálculos'!$D$98)/(('Cálculos'!$D$197+(($C104)-$A$63:$A$108)*'Cálculos'!$D$98)+1400)+'Cálculos'!$D$123)*'Cálculos'!$D$236)+('Cálculos'!$D$204*(1+'Cálculos'!$D$205+$A$63:$A$108*('Cálculos'!$D$290=3)*'Cálculos'!$D$103)+'Cálculos'!$D$206)*('Cálculos'!$D$227+'Cálculos'!$D$124*(1+2.78*('Cálculos'!$D$197+(($C104)-$A$63:$A$108)*'Cálculos'!$D$98)/(('Cálculos'!$D$197+(($C104)-$A$63:$A$108)*'Cálculos'!$D$98)+1400)+'Cálculos'!$D$122)*'Cálculos'!$D$232+'Cálculos'!$D$125*(1+2.78*('Cálculos'!$D$197+(($C104)-$A$63:$A$108)*'Cálculos'!$D$98)/(('Cálculos'!$D$197+(($C104)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104)-$A$63:$A$108)*'Cálculos'!$D$98)/(('Cálculos'!$D$198+(($C104)-$A$63:$A$108)*'Cálculos'!$D$98)+1400)+'Cálculos'!$D$122)*'Cálculos'!$D$244+'Cálculos'!$D$125*(1+2.78*('Cálculos'!$D$198+(($C104)-$A$63:$A$108)*'Cálculos'!$D$98)/(('Cálculos'!$D$198+(($C104)-$A$63:$A$108)*'Cálculos'!$D$98)+1400)+'Cálculos'!$D$123)*'Cálculos'!$D$249)+('Cálculos'!$D$198+(($C104)-$A$63:$A$108)*'Cálculos'!$D$98)*('Cálculos'!$D$240+'Cálculos'!$D$124*(1+2.78*('Cálculos'!$D$198+(($C104)-$A$63:$A$108)*'Cálculos'!$D$98)/(('Cálculos'!$D$198+(($C104)-$A$63:$A$108)*'Cálculos'!$D$98)+1400)+'Cálculos'!$D$122)*'Cálculos'!$D$245+'Cálculos'!$D$125*(1+2.78*('Cálculos'!$D$198+(($C104)-$A$63:$A$108)*'Cálculos'!$D$98)/(('Cálculos'!$D$198+(($C104)-$A$63:$A$108)*'Cálculos'!$D$98)+1400)+'Cálculos'!$D$123)*'Cálculos'!$D$250)+('Cálculos'!$D$201*(1+'Cálculos'!$D$202+$A$63:$A$108*('Cálculos'!$D$290=2)*'Cálculos'!$D$101)+'Cálculos'!$D$203)*('Cálculos'!$D$241+'Cálculos'!$D$124*(1+2.78*('Cálculos'!$D$198+(($C104)-$A$63:$A$108)*'Cálculos'!$D$98)/(('Cálculos'!$D$198+(($C104)-$A$63:$A$108)*'Cálculos'!$D$98)+1400)+'Cálculos'!$D$122)*'Cálculos'!$D$246+'Cálculos'!$D$125*(1+2.78*('Cálculos'!$D$198+(($C104)-$A$63:$A$108)*'Cálculos'!$D$98)/(('Cálculos'!$D$198+(($C104)-$A$63:$A$108)*'Cálculos'!$D$98)+1400)+'Cálculos'!$D$123)*'Cálculos'!$D$251)+('Cálculos'!$D$204*(1+'Cálculos'!$D$205+$A$63:$A$108*('Cálculos'!$D$290=3)*'Cálculos'!$D$103)+'Cálculos'!$D$206)*('Cálculos'!$D$242+'Cálculos'!$D$124*(1+2.78*('Cálculos'!$D$198+(($C104)-$A$63:$A$108)*'Cálculos'!$D$98)/(('Cálculos'!$D$198+(($C104)-$A$63:$A$108)*'Cálculos'!$D$98)+1400)+'Cálculos'!$D$122)*'Cálculos'!$D$247+'Cálculos'!$D$125*(1+2.78*('Cálculos'!$D$198+(($C104)-$A$63:$A$108)*'Cálculos'!$D$98)/(('Cálculos'!$D$198+(($C104)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104)-$A$63:$A$108)*'Cálculos'!$D$98)/(('Cálculos'!$D$199+(($C104)-$A$63:$A$108)*'Cálculos'!$D$98)+1400)+'Cálculos'!$D$122)*'Cálculos'!$D$259+'Cálculos'!$D$125*(1+2.78*('Cálculos'!$D$199+(($C104)-$A$63:$A$108)*'Cálculos'!$D$98)/(('Cálculos'!$D$199+(($C104)-$A$63:$A$108)*'Cálculos'!$D$98)+1400)+'Cálculos'!$D$123)*'Cálculos'!$D$264)+('Cálculos'!$D$199+(($C104)-$A$63:$A$108)*'Cálculos'!$D$98)*('Cálculos'!$D$255+'Cálculos'!$D$124*(1+2.78*('Cálculos'!$D$199+(($C104)-$A$63:$A$108)*'Cálculos'!$D$98)/(('Cálculos'!$D$199+(($C104)-$A$63:$A$108)*'Cálculos'!$D$98)+1400)+'Cálculos'!$D$122)*'Cálculos'!$D$260+'Cálculos'!$D$125*(1+2.78*('Cálculos'!$D$199+(($C104)-$A$63:$A$108)*'Cálculos'!$D$98)/(('Cálculos'!$D$199+(($C104)-$A$63:$A$108)*'Cálculos'!$D$98)+1400)+'Cálculos'!$D$123)*'Cálculos'!$D$265)+('Cálculos'!$D$201*(1+'Cálculos'!$D$202+$A$63:$A$108*('Cálculos'!$D$290=2)*'Cálculos'!$D$101)+'Cálculos'!$D$203)*('Cálculos'!$D$256+'Cálculos'!$D$124*(1+2.78*('Cálculos'!$D$199+(($C104)-$A$63:$A$108)*'Cálculos'!$D$98)/(('Cálculos'!$D$199+(($C104)-$A$63:$A$108)*'Cálculos'!$D$98)+1400)+'Cálculos'!$D$122)*'Cálculos'!$D$261+'Cálculos'!$D$125*(1+2.78*('Cálculos'!$D$199+(($C104)-$A$63:$A$108)*'Cálculos'!$D$98)/(('Cálculos'!$D$199+(($C104)-$A$63:$A$108)*'Cálculos'!$D$98)+1400)+'Cálculos'!$D$123)*'Cálculos'!$D$266)+('Cálculos'!$D$204*(1+'Cálculos'!$D$205+$A$63:$A$108*('Cálculos'!$D$290=3)*'Cálculos'!$D$103)+'Cálculos'!$D$206)*('Cálculos'!$D$257+'Cálculos'!$D$124*(1+2.78*('Cálculos'!$D$199+(($C104)-$A$63:$A$108)*'Cálculos'!$D$98)/(('Cálculos'!$D$199+(($C104)-$A$63:$A$108)*'Cálculos'!$D$98)+1400)+'Cálculos'!$D$122)*'Cálculos'!$D$262+'Cálculos'!$D$125*(1+2.78*('Cálculos'!$D$199+(($C104)-$A$63:$A$108)*'Cálculos'!$D$98)/(('Cálculos'!$D$199+(($C104)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104)-$A$63:$A$108)*'Cálculos'!$D$98)/(('Cálculos'!$D$200+(($C104)-$A$63:$A$108)*'Cálculos'!$D$98)+1400)+'Cálculos'!$D$122)*'Cálculos'!$D$274+'Cálculos'!$D$125*(1+2.78*('Cálculos'!$D$200+(($C104)-$A$63:$A$108)*'Cálculos'!$D$98)/(('Cálculos'!$D$200+(($C104)-$A$63:$A$108)*'Cálculos'!$D$98)+1400)+'Cálculos'!$D$123)*'Cálculos'!$D$279)+('Cálculos'!$D$200+(($C104)-$A$63:$A$108)*'Cálculos'!$D$98)*('Cálculos'!$D$270+'Cálculos'!$D$124*(1+2.78*('Cálculos'!$D$200+(($C104)-$A$63:$A$108)*'Cálculos'!$D$98)/(('Cálculos'!$D$200+(($C104)-$A$63:$A$108)*'Cálculos'!$D$98)+1400)+'Cálculos'!$D$122)*'Cálculos'!$D$275+'Cálculos'!$D$125*(1+2.78*('Cálculos'!$D$200+(($C104)-$A$63:$A$108)*'Cálculos'!$D$98)/(('Cálculos'!$D$200+(($C104)-$A$63:$A$108)*'Cálculos'!$D$98)+1400)+'Cálculos'!$D$123)*'Cálculos'!$D$280)+('Cálculos'!$D$201*(1+'Cálculos'!$D$202+$A$63:$A$108*('Cálculos'!$D$290=2)*'Cálculos'!$D$101)+'Cálculos'!$D$203)*('Cálculos'!$D$271+'Cálculos'!$D$124*(1+2.78*('Cálculos'!$D$200+(($C104)-$A$63:$A$108)*'Cálculos'!$D$98)/(('Cálculos'!$D$200+(($C104)-$A$63:$A$108)*'Cálculos'!$D$98)+1400)+'Cálculos'!$D$122)*'Cálculos'!$D$276+'Cálculos'!$D$125*(1+2.78*('Cálculos'!$D$200+(($C104)-$A$63:$A$108)*'Cálculos'!$D$98)/(('Cálculos'!$D$200+(($C104)-$A$63:$A$108)*'Cálculos'!$D$98)+1400)+'Cálculos'!$D$123)*'Cálculos'!$D$281)+('Cálculos'!$D$204*(1+'Cálculos'!$D$205+$A$63:$A$108*('Cálculos'!$D$290=3)*'Cálculos'!$D$103)+'Cálculos'!$D$206)*('Cálculos'!$D$272+'Cálculos'!$D$124*(1+2.78*('Cálculos'!$D$200+(($C104)-$A$63:$A$108)*'Cálculos'!$D$98)/(('Cálculos'!$D$200+(($C104)-$A$63:$A$108)*'Cálculos'!$D$98)+1400)+'Cálculos'!$D$122)*'Cálculos'!$D$277+'Cálculos'!$D$125*(1+2.78*('Cálculos'!$D$200+(($C104)-$A$63:$A$108)*'Cálculos'!$D$98)/(('Cálculos'!$D$200+(($C104)-$A$63:$A$108)*'Cálculos'!$D$98)+1400)+'Cálculos'!$D$123)*'Cálculos'!$D$282)))))</f>
        <v>0</v>
      </c>
      <c r="E104" s="32">
        <f>IF(OR($C104&lt;0,'Cálculos'!$D$6=""),0,$B104*$D104)</f>
        <v>0</v>
      </c>
      <c r="F104" s="2"/>
      <c r="G104" s="30">
        <f>($A104&lt;=$B$110)*($A104&lt;='Cálculos'!$D$294)*(($B$110)-$A104&lt;='Cálculos'!$D$295)*(1+MIN(('Cálculos'!$D$207+$A104*'Cálculos'!$D$95),1)*('Cálculos'!$D$208+(($B$110)-$A104)*'Cálculos'!$D$96))</f>
        <v>0</v>
      </c>
      <c r="H104" s="31">
        <f>IF($B$111&lt;0,0,($A104&lt;=$B$111)*($A104&lt;='Cálculos'!$D$301)*(($B$111)-$A104&lt;='Cálculos'!$D$297)*(('Cálculos'!$D$185*(1+'Cálculos'!$D$186+$A104*('Cálculos'!$D$290=1)*'Cálculos'!$D$97+'Cálculos'!$D$305)+'Cálculos'!$D$191)*('Cálculos'!$D$209+'Cálculos'!$D$124*(1+2.78*('Cálculos'!$D$196+(($B$111)-$A104)*'Cálculos'!$D$98)/(('Cálculos'!$D$196+(($B$111)-$A104)*'Cálculos'!$D$98)+1400)+'Cálculos'!$D$122)*'Cálculos'!$D$214+'Cálculos'!$D$125*(1+2.78*('Cálculos'!$D$196+(($B$111)-$A104)*'Cálculos'!$D$98)/(('Cálculos'!$D$196+(($B$111)-$A104)*'Cálculos'!$D$98)+1400)+'Cálculos'!$D$123)*'Cálculos'!$D$219)+('Cálculos'!$D$196+(($B$111)-$A104)*'Cálculos'!$D$98)*('Cálculos'!$D$210+'Cálculos'!$D$124*(1+2.78*('Cálculos'!$D$196+(($B$111)-$A104)*'Cálculos'!$D$98)/(('Cálculos'!$D$196+(($B$111)-$A104)*'Cálculos'!$D$98)+1400)+'Cálculos'!$D$122)*'Cálculos'!$D$215+'Cálculos'!$D$125*(1+2.78*('Cálculos'!$D$196+(($B$111)-$A104)*'Cálculos'!$D$98)/(('Cálculos'!$D$196+(($B$111)-$A104)*'Cálculos'!$D$98)+1400)+'Cálculos'!$D$123)*'Cálculos'!$D$220)+('Cálculos'!$D$201*(1+'Cálculos'!$D$202+$A104*('Cálculos'!$D$290=2)*'Cálculos'!$D$101)+'Cálculos'!$D$203)*('Cálculos'!$D$211+'Cálculos'!$D$124*(1+2.78*('Cálculos'!$D$196+(($B$111)-$A104)*'Cálculos'!$D$98)/(('Cálculos'!$D$196+(($B$111)-$A104)*'Cálculos'!$D$98)+1400)+'Cálculos'!$D$122)*'Cálculos'!$D$216+'Cálculos'!$D$125*(1+2.78*('Cálculos'!$D$196+(($B$111)-$A104)*'Cálculos'!$D$98)/(('Cálculos'!$D$196+(($B$111)-$A104)*'Cálculos'!$D$98)+1400)+'Cálculos'!$D$123)*'Cálculos'!$D$221)+('Cálculos'!$D$204*(1+'Cálculos'!$D$205+$A104*('Cálculos'!$D$290=3)*'Cálculos'!$D$103)+'Cálculos'!$D$206)*('Cálculos'!$D$212+'Cálculos'!$D$124*(1+2.78*('Cálculos'!$D$196+(($B$111)-$A104)*'Cálculos'!$D$98)/(('Cálculos'!$D$196+(($B$111)-$A104)*'Cálculos'!$D$98)+1400)+'Cálculos'!$D$122)*'Cálculos'!$D$217+'Cálculos'!$D$125*(1+2.78*('Cálculos'!$D$196+(($B$111)-$A104)*'Cálculos'!$D$98)/(('Cálculos'!$D$196+(($B$111)-$A104)*'Cálculos'!$D$98)+1400)+'Cálculos'!$D$123)*'Cálculos'!$D$222)+('Cálculos'!$D$185*(1+'Cálculos'!$D$187+$A104*('Cálculos'!$D$290=1)*'Cálculos'!$D$97+'Cálculos'!$D$305)+'Cálculos'!$D$192)*('Cálculos'!$D$224+'Cálculos'!$D$124*(1+2.78*('Cálculos'!$D$197+(($B$111)-$A104)*'Cálculos'!$D$98)/(('Cálculos'!$D$197+(($B$111)-$A104)*'Cálculos'!$D$98)+1400)+'Cálculos'!$D$122)*'Cálculos'!$D$229+'Cálculos'!$D$125*(1+2.78*('Cálculos'!$D$197+(($B$111)-$A104)*'Cálculos'!$D$98)/(('Cálculos'!$D$197+(($B$111)-$A104)*'Cálculos'!$D$98)+1400)+'Cálculos'!$D$123)*'Cálculos'!$D$234)+('Cálculos'!$D$197+(($B$111)-$A104)*'Cálculos'!$D$98)*('Cálculos'!$D$225+'Cálculos'!$D$124*(1+2.78*('Cálculos'!$D$197+(($B$111)-$A104)*'Cálculos'!$D$98)/(('Cálculos'!$D$197+(($B$111)-$A104)*'Cálculos'!$D$98)+1400)+'Cálculos'!$D$122)*'Cálculos'!$D$230+'Cálculos'!$D$125*(1+2.78*('Cálculos'!$D$197+(($B$111)-$A104)*'Cálculos'!$D$98)/(('Cálculos'!$D$197+(($B$111)-$A104)*'Cálculos'!$D$98)+1400)+'Cálculos'!$D$123)*'Cálculos'!$D$235)+('Cálculos'!$D$201*(1+'Cálculos'!$D$202+$A104*('Cálculos'!$D$290=2)*'Cálculos'!$D$101)+'Cálculos'!$D$203)*('Cálculos'!$D$226+'Cálculos'!$D$124*(1+2.78*('Cálculos'!$D$197+(($B$111)-$A104)*'Cálculos'!$D$98)/(('Cálculos'!$D$197+(($B$111)-$A104)*'Cálculos'!$D$98)+1400)+'Cálculos'!$D$122)*'Cálculos'!$D$231+'Cálculos'!$D$125*(1+2.78*('Cálculos'!$D$197+(($B$111)-$A104)*'Cálculos'!$D$98)/(('Cálculos'!$D$197+(($B$111)-$A104)*'Cálculos'!$D$98)+1400)+'Cálculos'!$D$123)*'Cálculos'!$D$236)+('Cálculos'!$D$204*(1+'Cálculos'!$D$205+$A104*('Cálculos'!$D$290=3)*'Cálculos'!$D$103)+'Cálculos'!$D$206)*('Cálculos'!$D$227+'Cálculos'!$D$124*(1+2.78*('Cálculos'!$D$197+(($B$111)-$A104)*'Cálculos'!$D$98)/(('Cálculos'!$D$197+(($B$111)-$A104)*'Cálculos'!$D$98)+1400)+'Cálculos'!$D$122)*'Cálculos'!$D$232+'Cálculos'!$D$125*(1+2.78*('Cálculos'!$D$197+(($B$111)-$A104)*'Cálculos'!$D$98)/(('Cálculos'!$D$197+(($B$111)-$A104)*'Cálculos'!$D$98)+1400)+'Cálculos'!$D$123)*'Cálculos'!$D$237)+('Cálculos'!$D$185*(1+'Cálculos'!$D$188+$A104*('Cálculos'!$D$290=1)*'Cálculos'!$D$97+'Cálculos'!$D$305)+'Cálculos'!$D$193)*('Cálculos'!$D$239+'Cálculos'!$D$124*(1+2.78*('Cálculos'!$D$198+(($B$111)-$A104)*'Cálculos'!$D$98)/(('Cálculos'!$D$198+(($B$111)-$A104)*'Cálculos'!$D$98)+1400)+'Cálculos'!$D$122)*'Cálculos'!$D$244+'Cálculos'!$D$125*(1+2.78*('Cálculos'!$D$198+(($B$111)-$A104)*'Cálculos'!$D$98)/(('Cálculos'!$D$198+(($B$111)-$A104)*'Cálculos'!$D$98)+1400)+'Cálculos'!$D$123)*'Cálculos'!$D$249)+('Cálculos'!$D$198+(($B$111)-$A104)*'Cálculos'!$D$98)*('Cálculos'!$D$240+'Cálculos'!$D$124*(1+2.78*('Cálculos'!$D$198+(($B$111)-$A104)*'Cálculos'!$D$98)/(('Cálculos'!$D$198+(($B$111)-$A104)*'Cálculos'!$D$98)+1400)+'Cálculos'!$D$122)*'Cálculos'!$D$245+'Cálculos'!$D$125*(1+2.78*('Cálculos'!$D$198+(($B$111)-$A104)*'Cálculos'!$D$98)/(('Cálculos'!$D$198+(($B$111)-$A104)*'Cálculos'!$D$98)+1400)+'Cálculos'!$D$123)*'Cálculos'!$D$250)+('Cálculos'!$D$201*(1+'Cálculos'!$D$202+$A104*('Cálculos'!$D$290=2)*'Cálculos'!$D$101)+'Cálculos'!$D$203)*('Cálculos'!$D$241+'Cálculos'!$D$124*(1+2.78*('Cálculos'!$D$198+(($B$111)-$A104)*'Cálculos'!$D$98)/(('Cálculos'!$D$198+(($B$111)-$A104)*'Cálculos'!$D$98)+1400)+'Cálculos'!$D$122)*'Cálculos'!$D$246+'Cálculos'!$D$125*(1+2.78*('Cálculos'!$D$198+(($B$111)-$A104)*'Cálculos'!$D$98)/(('Cálculos'!$D$198+(($B$111)-$A104)*'Cálculos'!$D$98)+1400)+'Cálculos'!$D$123)*'Cálculos'!$D$251)+('Cálculos'!$D$204*(1+'Cálculos'!$D$205+$A104*('Cálculos'!$D$290=3)*'Cálculos'!$D$103)+'Cálculos'!$D$206)*('Cálculos'!$D$242+'Cálculos'!$D$124*(1+2.78*('Cálculos'!$D$198+(($B$111)-$A104)*'Cálculos'!$D$98)/(('Cálculos'!$D$198+(($B$111)-$A104)*'Cálculos'!$D$98)+1400)+'Cálculos'!$D$122)*'Cálculos'!$D$247+'Cálculos'!$D$125*(1+2.78*('Cálculos'!$D$198+(($B$111)-$A104)*'Cálculos'!$D$98)/(('Cálculos'!$D$198+(($B$111)-$A104)*'Cálculos'!$D$98)+1400)+'Cálculos'!$D$123)*'Cálculos'!$D$252)+('Cálculos'!$D$185*(1+'Cálculos'!$D$189+$A104*('Cálculos'!$D$290=1)*'Cálculos'!$D$97+'Cálculos'!$D$305)+'Cálculos'!$D$194)*('Cálculos'!$D$254+'Cálculos'!$D$124*(1+2.78*('Cálculos'!$D$199+(($B$111)-$A104)*'Cálculos'!$D$98)/(('Cálculos'!$D$199+(($B$111)-$A104)*'Cálculos'!$D$98)+1400)+'Cálculos'!$D$122)*'Cálculos'!$D$259+'Cálculos'!$D$125*(1+2.78*('Cálculos'!$D$199+(($B$111)-$A104)*'Cálculos'!$D$98)/(('Cálculos'!$D$199+(($B$111)-$A104)*'Cálculos'!$D$98)+1400)+'Cálculos'!$D$123)*'Cálculos'!$D$264)+('Cálculos'!$D$199+(($B$111)-$A104)*'Cálculos'!$D$98)*('Cálculos'!$D$255+'Cálculos'!$D$124*(1+2.78*('Cálculos'!$D$199+(($B$111)-$A104)*'Cálculos'!$D$98)/(('Cálculos'!$D$199+(($B$111)-$A104)*'Cálculos'!$D$98)+1400)+'Cálculos'!$D$122)*'Cálculos'!$D$260+'Cálculos'!$D$125*(1+2.78*('Cálculos'!$D$199+(($B$111)-$A104)*'Cálculos'!$D$98)/(('Cálculos'!$D$199+(($B$111)-$A104)*'Cálculos'!$D$98)+1400)+'Cálculos'!$D$123)*'Cálculos'!$D$265)+('Cálculos'!$D$201*(1+'Cálculos'!$D$202+$A104*('Cálculos'!$D$290=2)*'Cálculos'!$D$101)+'Cálculos'!$D$203)*('Cálculos'!$D$256+'Cálculos'!$D$124*(1+2.78*('Cálculos'!$D$199+(($B$111)-$A104)*'Cálculos'!$D$98)/(('Cálculos'!$D$199+(($B$111)-$A104)*'Cálculos'!$D$98)+1400)+'Cálculos'!$D$122)*'Cálculos'!$D$261+'Cálculos'!$D$125*(1+2.78*('Cálculos'!$D$199+(($B$111)-$A104)*'Cálculos'!$D$98)/(('Cálculos'!$D$199+(($B$111)-$A104)*'Cálculos'!$D$98)+1400)+'Cálculos'!$D$123)*'Cálculos'!$D$266)+('Cálculos'!$D$204*(1+'Cálculos'!$D$205+$A104*('Cálculos'!$D$290=3)*'Cálculos'!$D$103)+'Cálculos'!$D$206)*('Cálculos'!$D$257+'Cálculos'!$D$124*(1+2.78*('Cálculos'!$D$199+(($B$111)-$A104)*'Cálculos'!$D$98)/(('Cálculos'!$D$199+(($B$111)-$A104)*'Cálculos'!$D$98)+1400)+'Cálculos'!$D$122)*'Cálculos'!$D$262+'Cálculos'!$D$125*(1+2.78*('Cálculos'!$D$199+(($B$111)-$A104)*'Cálculos'!$D$98)/(('Cálculos'!$D$199+(($B$111)-$A104)*'Cálculos'!$D$98)+1400)+'Cálculos'!$D$123)*'Cálculos'!$D$267)+('Cálculos'!$D$185*(1+'Cálculos'!$D$190+$A104*('Cálculos'!$D$290=1)*'Cálculos'!$D$97+'Cálculos'!$D$305)+'Cálculos'!$D$195)*('Cálculos'!$D$269+'Cálculos'!$D$124*(1+2.78*('Cálculos'!$D$200+(($B$111)-$A104)*'Cálculos'!$D$98)/(('Cálculos'!$D$200+(($B$111)-$A104)*'Cálculos'!$D$98)+1400)+'Cálculos'!$D$122)*'Cálculos'!$D$274+'Cálculos'!$D$125*(1+2.78*('Cálculos'!$D$200+(($B$111)-$A104)*'Cálculos'!$D$98)/(('Cálculos'!$D$200+(($B$111)-$A104)*'Cálculos'!$D$98)+1400)+'Cálculos'!$D$123)*'Cálculos'!$D$279)+('Cálculos'!$D$200+(($B$111)-$A104)*'Cálculos'!$D$98)*('Cálculos'!$D$270+'Cálculos'!$D$124*(1+2.78*('Cálculos'!$D$200+(($B$111)-$A104)*'Cálculos'!$D$98)/(('Cálculos'!$D$200+(($B$111)-$A104)*'Cálculos'!$D$98)+1400)+'Cálculos'!$D$122)*'Cálculos'!$D$275+'Cálculos'!$D$125*(1+2.78*('Cálculos'!$D$200+(($B$111)-$A104)*'Cálculos'!$D$98)/(('Cálculos'!$D$200+(($B$111)-$A104)*'Cálculos'!$D$98)+1400)+'Cálculos'!$D$123)*'Cálculos'!$D$280)+('Cálculos'!$D$201*(1+'Cálculos'!$D$202+$A104*('Cálculos'!$D$290=2)*'Cálculos'!$D$101)+'Cálculos'!$D$203)*('Cálculos'!$D$271+'Cálculos'!$D$124*(1+2.78*('Cálculos'!$D$200+(($B$111)-$A104)*'Cálculos'!$D$98)/(('Cálculos'!$D$200+(($B$111)-$A104)*'Cálculos'!$D$98)+1400)+'Cálculos'!$D$122)*'Cálculos'!$D$276+'Cálculos'!$D$125*(1+2.78*('Cálculos'!$D$200+(($B$111)-$A104)*'Cálculos'!$D$98)/(('Cálculos'!$D$200+(($B$111)-$A104)*'Cálculos'!$D$98)+1400)+'Cálculos'!$D$123)*'Cálculos'!$D$281)+('Cálculos'!$D$204*(1+'Cálculos'!$D$205+$A104*('Cálculos'!$D$290=3)*'Cálculos'!$D$103)+'Cálculos'!$D$206)*('Cálculos'!$D$272+'Cálculos'!$D$124*(1+2.78*('Cálculos'!$D$200+(($B$111)-$A104)*'Cálculos'!$D$98)/(('Cálculos'!$D$200+(($B$111)-$A104)*'Cálculos'!$D$98)+1400)+'Cálculos'!$D$122)*'Cálculos'!$D$277+'Cálculos'!$D$125*(1+2.78*('Cálculos'!$D$200+(($B$111)-$A104)*'Cálculos'!$D$98)/(('Cálculos'!$D$200+(($B$111)-$A104)*'Cálculos'!$D$98)+1400)+'Cálculos'!$D$123)*'Cálculos'!$D$282)))</f>
        <v>0</v>
      </c>
    </row>
    <row r="105" ht="15.75" customHeight="1">
      <c r="A105" s="2">
        <v>42.0</v>
      </c>
      <c r="B105" s="30">
        <f>SUMPRODUCT(MAX(($A$63:$A$108&lt;=$A105)*($A$63:$A$108&lt;='Cálculos'!$D$294)*(($A105)-$A$63:$A$108&lt;='Cálculos'!$D$295)*(1+(('Cálculos'!$D$207+$A$63:$A$108*'Cálculos'!$D$95)-(('Cálculos'!$D$207+$A$63:$A$108*'Cálculos'!$D$95)&gt;1)*(('Cálculos'!$D$207+$A$63:$A$108*'Cálculos'!$D$95)-1))*('Cálculos'!$D$208+(($A105)-$A$63:$A$108)*'Cálculos'!$D$96))))</f>
        <v>2.655097002</v>
      </c>
      <c r="C105" s="2">
        <f>'Cálculos'!$D$303-$A105</f>
        <v>-31</v>
      </c>
      <c r="D105" s="31">
        <f>IF($C105&lt;0,0,SUMPRODUCT(MAX(($A$63:$A$108&lt;=$C105)*($A$63:$A$108&lt;='Cálculos'!$D$301)*(($C105)-$A$63:$A$108&lt;='Cálculos'!$D$297)*(('Cálculos'!$D$185*(1+'Cálculos'!$D$186+$A$63:$A$108*('Cálculos'!$D$290=1)*'Cálculos'!$D$97+'Cálculos'!$D$305)+'Cálculos'!$D$191)*('Cálculos'!$D$209+'Cálculos'!$D$124*(1+2.78*('Cálculos'!$D$196+(($C105)-$A$63:$A$108)*'Cálculos'!$D$98)/(('Cálculos'!$D$196+(($C105)-$A$63:$A$108)*'Cálculos'!$D$98)+1400)+'Cálculos'!$D$122)*'Cálculos'!$D$214+'Cálculos'!$D$125*(1+2.78*('Cálculos'!$D$196+(($C105)-$A$63:$A$108)*'Cálculos'!$D$98)/(('Cálculos'!$D$196+(($C105)-$A$63:$A$108)*'Cálculos'!$D$98)+1400)+'Cálculos'!$D$123)*'Cálculos'!$D$219)+('Cálculos'!$D$196+(($C105)-$A$63:$A$108)*'Cálculos'!$D$98)*('Cálculos'!$D$210+'Cálculos'!$D$124*(1+2.78*('Cálculos'!$D$196+(($C105)-$A$63:$A$108)*'Cálculos'!$D$98)/(('Cálculos'!$D$196+(($C105)-$A$63:$A$108)*'Cálculos'!$D$98)+1400)+'Cálculos'!$D$122)*'Cálculos'!$D$215+'Cálculos'!$D$125*(1+2.78*('Cálculos'!$D$196+(($C105)-$A$63:$A$108)*'Cálculos'!$D$98)/(('Cálculos'!$D$196+(($C105)-$A$63:$A$108)*'Cálculos'!$D$98)+1400)+'Cálculos'!$D$123)*'Cálculos'!$D$220)+('Cálculos'!$D$201*(1+'Cálculos'!$D$202+$A$63:$A$108*('Cálculos'!$D$290=2)*'Cálculos'!$D$101)+'Cálculos'!$D$203)*('Cálculos'!$D$211+'Cálculos'!$D$124*(1+2.78*('Cálculos'!$D$196+(($C105)-$A$63:$A$108)*'Cálculos'!$D$98)/(('Cálculos'!$D$196+(($C105)-$A$63:$A$108)*'Cálculos'!$D$98)+1400)+'Cálculos'!$D$122)*'Cálculos'!$D$216+'Cálculos'!$D$125*(1+2.78*('Cálculos'!$D$196+(($C105)-$A$63:$A$108)*'Cálculos'!$D$98)/(('Cálculos'!$D$196+(($C105)-$A$63:$A$108)*'Cálculos'!$D$98)+1400)+'Cálculos'!$D$123)*'Cálculos'!$D$221)+('Cálculos'!$D$204*(1+'Cálculos'!$D$205+$A$63:$A$108*('Cálculos'!$D$290=3)*'Cálculos'!$D$103)+'Cálculos'!$D$206)*('Cálculos'!$D$212+'Cálculos'!$D$124*(1+2.78*('Cálculos'!$D$196+(($C105)-$A$63:$A$108)*'Cálculos'!$D$98)/(('Cálculos'!$D$196+(($C105)-$A$63:$A$108)*'Cálculos'!$D$98)+1400)+'Cálculos'!$D$122)*'Cálculos'!$D$217+'Cálculos'!$D$125*(1+2.78*('Cálculos'!$D$196+(($C105)-$A$63:$A$108)*'Cálculos'!$D$98)/(('Cálculos'!$D$196+(($C105)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105)-$A$63:$A$108)*'Cálculos'!$D$98)/(('Cálculos'!$D$197+(($C105)-$A$63:$A$108)*'Cálculos'!$D$98)+1400)+'Cálculos'!$D$122)*'Cálculos'!$D$229+'Cálculos'!$D$125*(1+2.78*('Cálculos'!$D$197+(($C105)-$A$63:$A$108)*'Cálculos'!$D$98)/(('Cálculos'!$D$197+(($C105)-$A$63:$A$108)*'Cálculos'!$D$98)+1400)+'Cálculos'!$D$123)*'Cálculos'!$D$234)+('Cálculos'!$D$197+(($C105)-$A$63:$A$108)*'Cálculos'!$D$98)*('Cálculos'!$D$225+'Cálculos'!$D$124*(1+2.78*('Cálculos'!$D$197+(($C105)-$A$63:$A$108)*'Cálculos'!$D$98)/(('Cálculos'!$D$197+(($C105)-$A$63:$A$108)*'Cálculos'!$D$98)+1400)+'Cálculos'!$D$122)*'Cálculos'!$D$230+'Cálculos'!$D$125*(1+2.78*('Cálculos'!$D$197+(($C105)-$A$63:$A$108)*'Cálculos'!$D$98)/(('Cálculos'!$D$197+(($C105)-$A$63:$A$108)*'Cálculos'!$D$98)+1400)+'Cálculos'!$D$123)*'Cálculos'!$D$235)+('Cálculos'!$D$201*(1+'Cálculos'!$D$202+$A$63:$A$108*('Cálculos'!$D$290=2)*'Cálculos'!$D$101)+'Cálculos'!$D$203)*('Cálculos'!$D$226+'Cálculos'!$D$124*(1+2.78*('Cálculos'!$D$197+(($C105)-$A$63:$A$108)*'Cálculos'!$D$98)/(('Cálculos'!$D$197+(($C105)-$A$63:$A$108)*'Cálculos'!$D$98)+1400)+'Cálculos'!$D$122)*'Cálculos'!$D$231+'Cálculos'!$D$125*(1+2.78*('Cálculos'!$D$197+(($C105)-$A$63:$A$108)*'Cálculos'!$D$98)/(('Cálculos'!$D$197+(($C105)-$A$63:$A$108)*'Cálculos'!$D$98)+1400)+'Cálculos'!$D$123)*'Cálculos'!$D$236)+('Cálculos'!$D$204*(1+'Cálculos'!$D$205+$A$63:$A$108*('Cálculos'!$D$290=3)*'Cálculos'!$D$103)+'Cálculos'!$D$206)*('Cálculos'!$D$227+'Cálculos'!$D$124*(1+2.78*('Cálculos'!$D$197+(($C105)-$A$63:$A$108)*'Cálculos'!$D$98)/(('Cálculos'!$D$197+(($C105)-$A$63:$A$108)*'Cálculos'!$D$98)+1400)+'Cálculos'!$D$122)*'Cálculos'!$D$232+'Cálculos'!$D$125*(1+2.78*('Cálculos'!$D$197+(($C105)-$A$63:$A$108)*'Cálculos'!$D$98)/(('Cálculos'!$D$197+(($C105)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105)-$A$63:$A$108)*'Cálculos'!$D$98)/(('Cálculos'!$D$198+(($C105)-$A$63:$A$108)*'Cálculos'!$D$98)+1400)+'Cálculos'!$D$122)*'Cálculos'!$D$244+'Cálculos'!$D$125*(1+2.78*('Cálculos'!$D$198+(($C105)-$A$63:$A$108)*'Cálculos'!$D$98)/(('Cálculos'!$D$198+(($C105)-$A$63:$A$108)*'Cálculos'!$D$98)+1400)+'Cálculos'!$D$123)*'Cálculos'!$D$249)+('Cálculos'!$D$198+(($C105)-$A$63:$A$108)*'Cálculos'!$D$98)*('Cálculos'!$D$240+'Cálculos'!$D$124*(1+2.78*('Cálculos'!$D$198+(($C105)-$A$63:$A$108)*'Cálculos'!$D$98)/(('Cálculos'!$D$198+(($C105)-$A$63:$A$108)*'Cálculos'!$D$98)+1400)+'Cálculos'!$D$122)*'Cálculos'!$D$245+'Cálculos'!$D$125*(1+2.78*('Cálculos'!$D$198+(($C105)-$A$63:$A$108)*'Cálculos'!$D$98)/(('Cálculos'!$D$198+(($C105)-$A$63:$A$108)*'Cálculos'!$D$98)+1400)+'Cálculos'!$D$123)*'Cálculos'!$D$250)+('Cálculos'!$D$201*(1+'Cálculos'!$D$202+$A$63:$A$108*('Cálculos'!$D$290=2)*'Cálculos'!$D$101)+'Cálculos'!$D$203)*('Cálculos'!$D$241+'Cálculos'!$D$124*(1+2.78*('Cálculos'!$D$198+(($C105)-$A$63:$A$108)*'Cálculos'!$D$98)/(('Cálculos'!$D$198+(($C105)-$A$63:$A$108)*'Cálculos'!$D$98)+1400)+'Cálculos'!$D$122)*'Cálculos'!$D$246+'Cálculos'!$D$125*(1+2.78*('Cálculos'!$D$198+(($C105)-$A$63:$A$108)*'Cálculos'!$D$98)/(('Cálculos'!$D$198+(($C105)-$A$63:$A$108)*'Cálculos'!$D$98)+1400)+'Cálculos'!$D$123)*'Cálculos'!$D$251)+('Cálculos'!$D$204*(1+'Cálculos'!$D$205+$A$63:$A$108*('Cálculos'!$D$290=3)*'Cálculos'!$D$103)+'Cálculos'!$D$206)*('Cálculos'!$D$242+'Cálculos'!$D$124*(1+2.78*('Cálculos'!$D$198+(($C105)-$A$63:$A$108)*'Cálculos'!$D$98)/(('Cálculos'!$D$198+(($C105)-$A$63:$A$108)*'Cálculos'!$D$98)+1400)+'Cálculos'!$D$122)*'Cálculos'!$D$247+'Cálculos'!$D$125*(1+2.78*('Cálculos'!$D$198+(($C105)-$A$63:$A$108)*'Cálculos'!$D$98)/(('Cálculos'!$D$198+(($C105)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105)-$A$63:$A$108)*'Cálculos'!$D$98)/(('Cálculos'!$D$199+(($C105)-$A$63:$A$108)*'Cálculos'!$D$98)+1400)+'Cálculos'!$D$122)*'Cálculos'!$D$259+'Cálculos'!$D$125*(1+2.78*('Cálculos'!$D$199+(($C105)-$A$63:$A$108)*'Cálculos'!$D$98)/(('Cálculos'!$D$199+(($C105)-$A$63:$A$108)*'Cálculos'!$D$98)+1400)+'Cálculos'!$D$123)*'Cálculos'!$D$264)+('Cálculos'!$D$199+(($C105)-$A$63:$A$108)*'Cálculos'!$D$98)*('Cálculos'!$D$255+'Cálculos'!$D$124*(1+2.78*('Cálculos'!$D$199+(($C105)-$A$63:$A$108)*'Cálculos'!$D$98)/(('Cálculos'!$D$199+(($C105)-$A$63:$A$108)*'Cálculos'!$D$98)+1400)+'Cálculos'!$D$122)*'Cálculos'!$D$260+'Cálculos'!$D$125*(1+2.78*('Cálculos'!$D$199+(($C105)-$A$63:$A$108)*'Cálculos'!$D$98)/(('Cálculos'!$D$199+(($C105)-$A$63:$A$108)*'Cálculos'!$D$98)+1400)+'Cálculos'!$D$123)*'Cálculos'!$D$265)+('Cálculos'!$D$201*(1+'Cálculos'!$D$202+$A$63:$A$108*('Cálculos'!$D$290=2)*'Cálculos'!$D$101)+'Cálculos'!$D$203)*('Cálculos'!$D$256+'Cálculos'!$D$124*(1+2.78*('Cálculos'!$D$199+(($C105)-$A$63:$A$108)*'Cálculos'!$D$98)/(('Cálculos'!$D$199+(($C105)-$A$63:$A$108)*'Cálculos'!$D$98)+1400)+'Cálculos'!$D$122)*'Cálculos'!$D$261+'Cálculos'!$D$125*(1+2.78*('Cálculos'!$D$199+(($C105)-$A$63:$A$108)*'Cálculos'!$D$98)/(('Cálculos'!$D$199+(($C105)-$A$63:$A$108)*'Cálculos'!$D$98)+1400)+'Cálculos'!$D$123)*'Cálculos'!$D$266)+('Cálculos'!$D$204*(1+'Cálculos'!$D$205+$A$63:$A$108*('Cálculos'!$D$290=3)*'Cálculos'!$D$103)+'Cálculos'!$D$206)*('Cálculos'!$D$257+'Cálculos'!$D$124*(1+2.78*('Cálculos'!$D$199+(($C105)-$A$63:$A$108)*'Cálculos'!$D$98)/(('Cálculos'!$D$199+(($C105)-$A$63:$A$108)*'Cálculos'!$D$98)+1400)+'Cálculos'!$D$122)*'Cálculos'!$D$262+'Cálculos'!$D$125*(1+2.78*('Cálculos'!$D$199+(($C105)-$A$63:$A$108)*'Cálculos'!$D$98)/(('Cálculos'!$D$199+(($C105)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105)-$A$63:$A$108)*'Cálculos'!$D$98)/(('Cálculos'!$D$200+(($C105)-$A$63:$A$108)*'Cálculos'!$D$98)+1400)+'Cálculos'!$D$122)*'Cálculos'!$D$274+'Cálculos'!$D$125*(1+2.78*('Cálculos'!$D$200+(($C105)-$A$63:$A$108)*'Cálculos'!$D$98)/(('Cálculos'!$D$200+(($C105)-$A$63:$A$108)*'Cálculos'!$D$98)+1400)+'Cálculos'!$D$123)*'Cálculos'!$D$279)+('Cálculos'!$D$200+(($C105)-$A$63:$A$108)*'Cálculos'!$D$98)*('Cálculos'!$D$270+'Cálculos'!$D$124*(1+2.78*('Cálculos'!$D$200+(($C105)-$A$63:$A$108)*'Cálculos'!$D$98)/(('Cálculos'!$D$200+(($C105)-$A$63:$A$108)*'Cálculos'!$D$98)+1400)+'Cálculos'!$D$122)*'Cálculos'!$D$275+'Cálculos'!$D$125*(1+2.78*('Cálculos'!$D$200+(($C105)-$A$63:$A$108)*'Cálculos'!$D$98)/(('Cálculos'!$D$200+(($C105)-$A$63:$A$108)*'Cálculos'!$D$98)+1400)+'Cálculos'!$D$123)*'Cálculos'!$D$280)+('Cálculos'!$D$201*(1+'Cálculos'!$D$202+$A$63:$A$108*('Cálculos'!$D$290=2)*'Cálculos'!$D$101)+'Cálculos'!$D$203)*('Cálculos'!$D$271+'Cálculos'!$D$124*(1+2.78*('Cálculos'!$D$200+(($C105)-$A$63:$A$108)*'Cálculos'!$D$98)/(('Cálculos'!$D$200+(($C105)-$A$63:$A$108)*'Cálculos'!$D$98)+1400)+'Cálculos'!$D$122)*'Cálculos'!$D$276+'Cálculos'!$D$125*(1+2.78*('Cálculos'!$D$200+(($C105)-$A$63:$A$108)*'Cálculos'!$D$98)/(('Cálculos'!$D$200+(($C105)-$A$63:$A$108)*'Cálculos'!$D$98)+1400)+'Cálculos'!$D$123)*'Cálculos'!$D$281)+('Cálculos'!$D$204*(1+'Cálculos'!$D$205+$A$63:$A$108*('Cálculos'!$D$290=3)*'Cálculos'!$D$103)+'Cálculos'!$D$206)*('Cálculos'!$D$272+'Cálculos'!$D$124*(1+2.78*('Cálculos'!$D$200+(($C105)-$A$63:$A$108)*'Cálculos'!$D$98)/(('Cálculos'!$D$200+(($C105)-$A$63:$A$108)*'Cálculos'!$D$98)+1400)+'Cálculos'!$D$122)*'Cálculos'!$D$277+'Cálculos'!$D$125*(1+2.78*('Cálculos'!$D$200+(($C105)-$A$63:$A$108)*'Cálculos'!$D$98)/(('Cálculos'!$D$200+(($C105)-$A$63:$A$108)*'Cálculos'!$D$98)+1400)+'Cálculos'!$D$123)*'Cálculos'!$D$282)))))</f>
        <v>0</v>
      </c>
      <c r="E105" s="32">
        <f>IF(OR($C105&lt;0,'Cálculos'!$D$6=""),0,$B105*$D105)</f>
        <v>0</v>
      </c>
      <c r="F105" s="2"/>
      <c r="G105" s="30">
        <f>($A105&lt;=$B$110)*($A105&lt;='Cálculos'!$D$294)*(($B$110)-$A105&lt;='Cálculos'!$D$295)*(1+MIN(('Cálculos'!$D$207+$A105*'Cálculos'!$D$95),1)*('Cálculos'!$D$208+(($B$110)-$A105)*'Cálculos'!$D$96))</f>
        <v>0</v>
      </c>
      <c r="H105" s="31">
        <f>IF($B$111&lt;0,0,($A105&lt;=$B$111)*($A105&lt;='Cálculos'!$D$301)*(($B$111)-$A105&lt;='Cálculos'!$D$297)*(('Cálculos'!$D$185*(1+'Cálculos'!$D$186+$A105*('Cálculos'!$D$290=1)*'Cálculos'!$D$97+'Cálculos'!$D$305)+'Cálculos'!$D$191)*('Cálculos'!$D$209+'Cálculos'!$D$124*(1+2.78*('Cálculos'!$D$196+(($B$111)-$A105)*'Cálculos'!$D$98)/(('Cálculos'!$D$196+(($B$111)-$A105)*'Cálculos'!$D$98)+1400)+'Cálculos'!$D$122)*'Cálculos'!$D$214+'Cálculos'!$D$125*(1+2.78*('Cálculos'!$D$196+(($B$111)-$A105)*'Cálculos'!$D$98)/(('Cálculos'!$D$196+(($B$111)-$A105)*'Cálculos'!$D$98)+1400)+'Cálculos'!$D$123)*'Cálculos'!$D$219)+('Cálculos'!$D$196+(($B$111)-$A105)*'Cálculos'!$D$98)*('Cálculos'!$D$210+'Cálculos'!$D$124*(1+2.78*('Cálculos'!$D$196+(($B$111)-$A105)*'Cálculos'!$D$98)/(('Cálculos'!$D$196+(($B$111)-$A105)*'Cálculos'!$D$98)+1400)+'Cálculos'!$D$122)*'Cálculos'!$D$215+'Cálculos'!$D$125*(1+2.78*('Cálculos'!$D$196+(($B$111)-$A105)*'Cálculos'!$D$98)/(('Cálculos'!$D$196+(($B$111)-$A105)*'Cálculos'!$D$98)+1400)+'Cálculos'!$D$123)*'Cálculos'!$D$220)+('Cálculos'!$D$201*(1+'Cálculos'!$D$202+$A105*('Cálculos'!$D$290=2)*'Cálculos'!$D$101)+'Cálculos'!$D$203)*('Cálculos'!$D$211+'Cálculos'!$D$124*(1+2.78*('Cálculos'!$D$196+(($B$111)-$A105)*'Cálculos'!$D$98)/(('Cálculos'!$D$196+(($B$111)-$A105)*'Cálculos'!$D$98)+1400)+'Cálculos'!$D$122)*'Cálculos'!$D$216+'Cálculos'!$D$125*(1+2.78*('Cálculos'!$D$196+(($B$111)-$A105)*'Cálculos'!$D$98)/(('Cálculos'!$D$196+(($B$111)-$A105)*'Cálculos'!$D$98)+1400)+'Cálculos'!$D$123)*'Cálculos'!$D$221)+('Cálculos'!$D$204*(1+'Cálculos'!$D$205+$A105*('Cálculos'!$D$290=3)*'Cálculos'!$D$103)+'Cálculos'!$D$206)*('Cálculos'!$D$212+'Cálculos'!$D$124*(1+2.78*('Cálculos'!$D$196+(($B$111)-$A105)*'Cálculos'!$D$98)/(('Cálculos'!$D$196+(($B$111)-$A105)*'Cálculos'!$D$98)+1400)+'Cálculos'!$D$122)*'Cálculos'!$D$217+'Cálculos'!$D$125*(1+2.78*('Cálculos'!$D$196+(($B$111)-$A105)*'Cálculos'!$D$98)/(('Cálculos'!$D$196+(($B$111)-$A105)*'Cálculos'!$D$98)+1400)+'Cálculos'!$D$123)*'Cálculos'!$D$222)+('Cálculos'!$D$185*(1+'Cálculos'!$D$187+$A105*('Cálculos'!$D$290=1)*'Cálculos'!$D$97+'Cálculos'!$D$305)+'Cálculos'!$D$192)*('Cálculos'!$D$224+'Cálculos'!$D$124*(1+2.78*('Cálculos'!$D$197+(($B$111)-$A105)*'Cálculos'!$D$98)/(('Cálculos'!$D$197+(($B$111)-$A105)*'Cálculos'!$D$98)+1400)+'Cálculos'!$D$122)*'Cálculos'!$D$229+'Cálculos'!$D$125*(1+2.78*('Cálculos'!$D$197+(($B$111)-$A105)*'Cálculos'!$D$98)/(('Cálculos'!$D$197+(($B$111)-$A105)*'Cálculos'!$D$98)+1400)+'Cálculos'!$D$123)*'Cálculos'!$D$234)+('Cálculos'!$D$197+(($B$111)-$A105)*'Cálculos'!$D$98)*('Cálculos'!$D$225+'Cálculos'!$D$124*(1+2.78*('Cálculos'!$D$197+(($B$111)-$A105)*'Cálculos'!$D$98)/(('Cálculos'!$D$197+(($B$111)-$A105)*'Cálculos'!$D$98)+1400)+'Cálculos'!$D$122)*'Cálculos'!$D$230+'Cálculos'!$D$125*(1+2.78*('Cálculos'!$D$197+(($B$111)-$A105)*'Cálculos'!$D$98)/(('Cálculos'!$D$197+(($B$111)-$A105)*'Cálculos'!$D$98)+1400)+'Cálculos'!$D$123)*'Cálculos'!$D$235)+('Cálculos'!$D$201*(1+'Cálculos'!$D$202+$A105*('Cálculos'!$D$290=2)*'Cálculos'!$D$101)+'Cálculos'!$D$203)*('Cálculos'!$D$226+'Cálculos'!$D$124*(1+2.78*('Cálculos'!$D$197+(($B$111)-$A105)*'Cálculos'!$D$98)/(('Cálculos'!$D$197+(($B$111)-$A105)*'Cálculos'!$D$98)+1400)+'Cálculos'!$D$122)*'Cálculos'!$D$231+'Cálculos'!$D$125*(1+2.78*('Cálculos'!$D$197+(($B$111)-$A105)*'Cálculos'!$D$98)/(('Cálculos'!$D$197+(($B$111)-$A105)*'Cálculos'!$D$98)+1400)+'Cálculos'!$D$123)*'Cálculos'!$D$236)+('Cálculos'!$D$204*(1+'Cálculos'!$D$205+$A105*('Cálculos'!$D$290=3)*'Cálculos'!$D$103)+'Cálculos'!$D$206)*('Cálculos'!$D$227+'Cálculos'!$D$124*(1+2.78*('Cálculos'!$D$197+(($B$111)-$A105)*'Cálculos'!$D$98)/(('Cálculos'!$D$197+(($B$111)-$A105)*'Cálculos'!$D$98)+1400)+'Cálculos'!$D$122)*'Cálculos'!$D$232+'Cálculos'!$D$125*(1+2.78*('Cálculos'!$D$197+(($B$111)-$A105)*'Cálculos'!$D$98)/(('Cálculos'!$D$197+(($B$111)-$A105)*'Cálculos'!$D$98)+1400)+'Cálculos'!$D$123)*'Cálculos'!$D$237)+('Cálculos'!$D$185*(1+'Cálculos'!$D$188+$A105*('Cálculos'!$D$290=1)*'Cálculos'!$D$97+'Cálculos'!$D$305)+'Cálculos'!$D$193)*('Cálculos'!$D$239+'Cálculos'!$D$124*(1+2.78*('Cálculos'!$D$198+(($B$111)-$A105)*'Cálculos'!$D$98)/(('Cálculos'!$D$198+(($B$111)-$A105)*'Cálculos'!$D$98)+1400)+'Cálculos'!$D$122)*'Cálculos'!$D$244+'Cálculos'!$D$125*(1+2.78*('Cálculos'!$D$198+(($B$111)-$A105)*'Cálculos'!$D$98)/(('Cálculos'!$D$198+(($B$111)-$A105)*'Cálculos'!$D$98)+1400)+'Cálculos'!$D$123)*'Cálculos'!$D$249)+('Cálculos'!$D$198+(($B$111)-$A105)*'Cálculos'!$D$98)*('Cálculos'!$D$240+'Cálculos'!$D$124*(1+2.78*('Cálculos'!$D$198+(($B$111)-$A105)*'Cálculos'!$D$98)/(('Cálculos'!$D$198+(($B$111)-$A105)*'Cálculos'!$D$98)+1400)+'Cálculos'!$D$122)*'Cálculos'!$D$245+'Cálculos'!$D$125*(1+2.78*('Cálculos'!$D$198+(($B$111)-$A105)*'Cálculos'!$D$98)/(('Cálculos'!$D$198+(($B$111)-$A105)*'Cálculos'!$D$98)+1400)+'Cálculos'!$D$123)*'Cálculos'!$D$250)+('Cálculos'!$D$201*(1+'Cálculos'!$D$202+$A105*('Cálculos'!$D$290=2)*'Cálculos'!$D$101)+'Cálculos'!$D$203)*('Cálculos'!$D$241+'Cálculos'!$D$124*(1+2.78*('Cálculos'!$D$198+(($B$111)-$A105)*'Cálculos'!$D$98)/(('Cálculos'!$D$198+(($B$111)-$A105)*'Cálculos'!$D$98)+1400)+'Cálculos'!$D$122)*'Cálculos'!$D$246+'Cálculos'!$D$125*(1+2.78*('Cálculos'!$D$198+(($B$111)-$A105)*'Cálculos'!$D$98)/(('Cálculos'!$D$198+(($B$111)-$A105)*'Cálculos'!$D$98)+1400)+'Cálculos'!$D$123)*'Cálculos'!$D$251)+('Cálculos'!$D$204*(1+'Cálculos'!$D$205+$A105*('Cálculos'!$D$290=3)*'Cálculos'!$D$103)+'Cálculos'!$D$206)*('Cálculos'!$D$242+'Cálculos'!$D$124*(1+2.78*('Cálculos'!$D$198+(($B$111)-$A105)*'Cálculos'!$D$98)/(('Cálculos'!$D$198+(($B$111)-$A105)*'Cálculos'!$D$98)+1400)+'Cálculos'!$D$122)*'Cálculos'!$D$247+'Cálculos'!$D$125*(1+2.78*('Cálculos'!$D$198+(($B$111)-$A105)*'Cálculos'!$D$98)/(('Cálculos'!$D$198+(($B$111)-$A105)*'Cálculos'!$D$98)+1400)+'Cálculos'!$D$123)*'Cálculos'!$D$252)+('Cálculos'!$D$185*(1+'Cálculos'!$D$189+$A105*('Cálculos'!$D$290=1)*'Cálculos'!$D$97+'Cálculos'!$D$305)+'Cálculos'!$D$194)*('Cálculos'!$D$254+'Cálculos'!$D$124*(1+2.78*('Cálculos'!$D$199+(($B$111)-$A105)*'Cálculos'!$D$98)/(('Cálculos'!$D$199+(($B$111)-$A105)*'Cálculos'!$D$98)+1400)+'Cálculos'!$D$122)*'Cálculos'!$D$259+'Cálculos'!$D$125*(1+2.78*('Cálculos'!$D$199+(($B$111)-$A105)*'Cálculos'!$D$98)/(('Cálculos'!$D$199+(($B$111)-$A105)*'Cálculos'!$D$98)+1400)+'Cálculos'!$D$123)*'Cálculos'!$D$264)+('Cálculos'!$D$199+(($B$111)-$A105)*'Cálculos'!$D$98)*('Cálculos'!$D$255+'Cálculos'!$D$124*(1+2.78*('Cálculos'!$D$199+(($B$111)-$A105)*'Cálculos'!$D$98)/(('Cálculos'!$D$199+(($B$111)-$A105)*'Cálculos'!$D$98)+1400)+'Cálculos'!$D$122)*'Cálculos'!$D$260+'Cálculos'!$D$125*(1+2.78*('Cálculos'!$D$199+(($B$111)-$A105)*'Cálculos'!$D$98)/(('Cálculos'!$D$199+(($B$111)-$A105)*'Cálculos'!$D$98)+1400)+'Cálculos'!$D$123)*'Cálculos'!$D$265)+('Cálculos'!$D$201*(1+'Cálculos'!$D$202+$A105*('Cálculos'!$D$290=2)*'Cálculos'!$D$101)+'Cálculos'!$D$203)*('Cálculos'!$D$256+'Cálculos'!$D$124*(1+2.78*('Cálculos'!$D$199+(($B$111)-$A105)*'Cálculos'!$D$98)/(('Cálculos'!$D$199+(($B$111)-$A105)*'Cálculos'!$D$98)+1400)+'Cálculos'!$D$122)*'Cálculos'!$D$261+'Cálculos'!$D$125*(1+2.78*('Cálculos'!$D$199+(($B$111)-$A105)*'Cálculos'!$D$98)/(('Cálculos'!$D$199+(($B$111)-$A105)*'Cálculos'!$D$98)+1400)+'Cálculos'!$D$123)*'Cálculos'!$D$266)+('Cálculos'!$D$204*(1+'Cálculos'!$D$205+$A105*('Cálculos'!$D$290=3)*'Cálculos'!$D$103)+'Cálculos'!$D$206)*('Cálculos'!$D$257+'Cálculos'!$D$124*(1+2.78*('Cálculos'!$D$199+(($B$111)-$A105)*'Cálculos'!$D$98)/(('Cálculos'!$D$199+(($B$111)-$A105)*'Cálculos'!$D$98)+1400)+'Cálculos'!$D$122)*'Cálculos'!$D$262+'Cálculos'!$D$125*(1+2.78*('Cálculos'!$D$199+(($B$111)-$A105)*'Cálculos'!$D$98)/(('Cálculos'!$D$199+(($B$111)-$A105)*'Cálculos'!$D$98)+1400)+'Cálculos'!$D$123)*'Cálculos'!$D$267)+('Cálculos'!$D$185*(1+'Cálculos'!$D$190+$A105*('Cálculos'!$D$290=1)*'Cálculos'!$D$97+'Cálculos'!$D$305)+'Cálculos'!$D$195)*('Cálculos'!$D$269+'Cálculos'!$D$124*(1+2.78*('Cálculos'!$D$200+(($B$111)-$A105)*'Cálculos'!$D$98)/(('Cálculos'!$D$200+(($B$111)-$A105)*'Cálculos'!$D$98)+1400)+'Cálculos'!$D$122)*'Cálculos'!$D$274+'Cálculos'!$D$125*(1+2.78*('Cálculos'!$D$200+(($B$111)-$A105)*'Cálculos'!$D$98)/(('Cálculos'!$D$200+(($B$111)-$A105)*'Cálculos'!$D$98)+1400)+'Cálculos'!$D$123)*'Cálculos'!$D$279)+('Cálculos'!$D$200+(($B$111)-$A105)*'Cálculos'!$D$98)*('Cálculos'!$D$270+'Cálculos'!$D$124*(1+2.78*('Cálculos'!$D$200+(($B$111)-$A105)*'Cálculos'!$D$98)/(('Cálculos'!$D$200+(($B$111)-$A105)*'Cálculos'!$D$98)+1400)+'Cálculos'!$D$122)*'Cálculos'!$D$275+'Cálculos'!$D$125*(1+2.78*('Cálculos'!$D$200+(($B$111)-$A105)*'Cálculos'!$D$98)/(('Cálculos'!$D$200+(($B$111)-$A105)*'Cálculos'!$D$98)+1400)+'Cálculos'!$D$123)*'Cálculos'!$D$280)+('Cálculos'!$D$201*(1+'Cálculos'!$D$202+$A105*('Cálculos'!$D$290=2)*'Cálculos'!$D$101)+'Cálculos'!$D$203)*('Cálculos'!$D$271+'Cálculos'!$D$124*(1+2.78*('Cálculos'!$D$200+(($B$111)-$A105)*'Cálculos'!$D$98)/(('Cálculos'!$D$200+(($B$111)-$A105)*'Cálculos'!$D$98)+1400)+'Cálculos'!$D$122)*'Cálculos'!$D$276+'Cálculos'!$D$125*(1+2.78*('Cálculos'!$D$200+(($B$111)-$A105)*'Cálculos'!$D$98)/(('Cálculos'!$D$200+(($B$111)-$A105)*'Cálculos'!$D$98)+1400)+'Cálculos'!$D$123)*'Cálculos'!$D$281)+('Cálculos'!$D$204*(1+'Cálculos'!$D$205+$A105*('Cálculos'!$D$290=3)*'Cálculos'!$D$103)+'Cálculos'!$D$206)*('Cálculos'!$D$272+'Cálculos'!$D$124*(1+2.78*('Cálculos'!$D$200+(($B$111)-$A105)*'Cálculos'!$D$98)/(('Cálculos'!$D$200+(($B$111)-$A105)*'Cálculos'!$D$98)+1400)+'Cálculos'!$D$122)*'Cálculos'!$D$277+'Cálculos'!$D$125*(1+2.78*('Cálculos'!$D$200+(($B$111)-$A105)*'Cálculos'!$D$98)/(('Cálculos'!$D$200+(($B$111)-$A105)*'Cálculos'!$D$98)+1400)+'Cálculos'!$D$123)*'Cálculos'!$D$282)))</f>
        <v>0</v>
      </c>
    </row>
    <row r="106" ht="15.75" customHeight="1">
      <c r="A106" s="2">
        <v>43.0</v>
      </c>
      <c r="B106" s="30">
        <f>SUMPRODUCT(MAX(($A$63:$A$108&lt;=$A106)*($A$63:$A$108&lt;='Cálculos'!$D$294)*(($A106)-$A$63:$A$108&lt;='Cálculos'!$D$295)*(1+(('Cálculos'!$D$207+$A$63:$A$108*'Cálculos'!$D$95)-(('Cálculos'!$D$207+$A$63:$A$108*'Cálculos'!$D$95)&gt;1)*(('Cálculos'!$D$207+$A$63:$A$108*'Cálculos'!$D$95)-1))*('Cálculos'!$D$208+(($A106)-$A$63:$A$108)*'Cálculos'!$D$96))))</f>
        <v>2.703898612</v>
      </c>
      <c r="C106" s="2">
        <f>'Cálculos'!$D$303-$A106</f>
        <v>-32</v>
      </c>
      <c r="D106" s="31">
        <f>IF($C106&lt;0,0,SUMPRODUCT(MAX(($A$63:$A$108&lt;=$C106)*($A$63:$A$108&lt;='Cálculos'!$D$301)*(($C106)-$A$63:$A$108&lt;='Cálculos'!$D$297)*(('Cálculos'!$D$185*(1+'Cálculos'!$D$186+$A$63:$A$108*('Cálculos'!$D$290=1)*'Cálculos'!$D$97+'Cálculos'!$D$305)+'Cálculos'!$D$191)*('Cálculos'!$D$209+'Cálculos'!$D$124*(1+2.78*('Cálculos'!$D$196+(($C106)-$A$63:$A$108)*'Cálculos'!$D$98)/(('Cálculos'!$D$196+(($C106)-$A$63:$A$108)*'Cálculos'!$D$98)+1400)+'Cálculos'!$D$122)*'Cálculos'!$D$214+'Cálculos'!$D$125*(1+2.78*('Cálculos'!$D$196+(($C106)-$A$63:$A$108)*'Cálculos'!$D$98)/(('Cálculos'!$D$196+(($C106)-$A$63:$A$108)*'Cálculos'!$D$98)+1400)+'Cálculos'!$D$123)*'Cálculos'!$D$219)+('Cálculos'!$D$196+(($C106)-$A$63:$A$108)*'Cálculos'!$D$98)*('Cálculos'!$D$210+'Cálculos'!$D$124*(1+2.78*('Cálculos'!$D$196+(($C106)-$A$63:$A$108)*'Cálculos'!$D$98)/(('Cálculos'!$D$196+(($C106)-$A$63:$A$108)*'Cálculos'!$D$98)+1400)+'Cálculos'!$D$122)*'Cálculos'!$D$215+'Cálculos'!$D$125*(1+2.78*('Cálculos'!$D$196+(($C106)-$A$63:$A$108)*'Cálculos'!$D$98)/(('Cálculos'!$D$196+(($C106)-$A$63:$A$108)*'Cálculos'!$D$98)+1400)+'Cálculos'!$D$123)*'Cálculos'!$D$220)+('Cálculos'!$D$201*(1+'Cálculos'!$D$202+$A$63:$A$108*('Cálculos'!$D$290=2)*'Cálculos'!$D$101)+'Cálculos'!$D$203)*('Cálculos'!$D$211+'Cálculos'!$D$124*(1+2.78*('Cálculos'!$D$196+(($C106)-$A$63:$A$108)*'Cálculos'!$D$98)/(('Cálculos'!$D$196+(($C106)-$A$63:$A$108)*'Cálculos'!$D$98)+1400)+'Cálculos'!$D$122)*'Cálculos'!$D$216+'Cálculos'!$D$125*(1+2.78*('Cálculos'!$D$196+(($C106)-$A$63:$A$108)*'Cálculos'!$D$98)/(('Cálculos'!$D$196+(($C106)-$A$63:$A$108)*'Cálculos'!$D$98)+1400)+'Cálculos'!$D$123)*'Cálculos'!$D$221)+('Cálculos'!$D$204*(1+'Cálculos'!$D$205+$A$63:$A$108*('Cálculos'!$D$290=3)*'Cálculos'!$D$103)+'Cálculos'!$D$206)*('Cálculos'!$D$212+'Cálculos'!$D$124*(1+2.78*('Cálculos'!$D$196+(($C106)-$A$63:$A$108)*'Cálculos'!$D$98)/(('Cálculos'!$D$196+(($C106)-$A$63:$A$108)*'Cálculos'!$D$98)+1400)+'Cálculos'!$D$122)*'Cálculos'!$D$217+'Cálculos'!$D$125*(1+2.78*('Cálculos'!$D$196+(($C106)-$A$63:$A$108)*'Cálculos'!$D$98)/(('Cálculos'!$D$196+(($C106)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106)-$A$63:$A$108)*'Cálculos'!$D$98)/(('Cálculos'!$D$197+(($C106)-$A$63:$A$108)*'Cálculos'!$D$98)+1400)+'Cálculos'!$D$122)*'Cálculos'!$D$229+'Cálculos'!$D$125*(1+2.78*('Cálculos'!$D$197+(($C106)-$A$63:$A$108)*'Cálculos'!$D$98)/(('Cálculos'!$D$197+(($C106)-$A$63:$A$108)*'Cálculos'!$D$98)+1400)+'Cálculos'!$D$123)*'Cálculos'!$D$234)+('Cálculos'!$D$197+(($C106)-$A$63:$A$108)*'Cálculos'!$D$98)*('Cálculos'!$D$225+'Cálculos'!$D$124*(1+2.78*('Cálculos'!$D$197+(($C106)-$A$63:$A$108)*'Cálculos'!$D$98)/(('Cálculos'!$D$197+(($C106)-$A$63:$A$108)*'Cálculos'!$D$98)+1400)+'Cálculos'!$D$122)*'Cálculos'!$D$230+'Cálculos'!$D$125*(1+2.78*('Cálculos'!$D$197+(($C106)-$A$63:$A$108)*'Cálculos'!$D$98)/(('Cálculos'!$D$197+(($C106)-$A$63:$A$108)*'Cálculos'!$D$98)+1400)+'Cálculos'!$D$123)*'Cálculos'!$D$235)+('Cálculos'!$D$201*(1+'Cálculos'!$D$202+$A$63:$A$108*('Cálculos'!$D$290=2)*'Cálculos'!$D$101)+'Cálculos'!$D$203)*('Cálculos'!$D$226+'Cálculos'!$D$124*(1+2.78*('Cálculos'!$D$197+(($C106)-$A$63:$A$108)*'Cálculos'!$D$98)/(('Cálculos'!$D$197+(($C106)-$A$63:$A$108)*'Cálculos'!$D$98)+1400)+'Cálculos'!$D$122)*'Cálculos'!$D$231+'Cálculos'!$D$125*(1+2.78*('Cálculos'!$D$197+(($C106)-$A$63:$A$108)*'Cálculos'!$D$98)/(('Cálculos'!$D$197+(($C106)-$A$63:$A$108)*'Cálculos'!$D$98)+1400)+'Cálculos'!$D$123)*'Cálculos'!$D$236)+('Cálculos'!$D$204*(1+'Cálculos'!$D$205+$A$63:$A$108*('Cálculos'!$D$290=3)*'Cálculos'!$D$103)+'Cálculos'!$D$206)*('Cálculos'!$D$227+'Cálculos'!$D$124*(1+2.78*('Cálculos'!$D$197+(($C106)-$A$63:$A$108)*'Cálculos'!$D$98)/(('Cálculos'!$D$197+(($C106)-$A$63:$A$108)*'Cálculos'!$D$98)+1400)+'Cálculos'!$D$122)*'Cálculos'!$D$232+'Cálculos'!$D$125*(1+2.78*('Cálculos'!$D$197+(($C106)-$A$63:$A$108)*'Cálculos'!$D$98)/(('Cálculos'!$D$197+(($C106)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106)-$A$63:$A$108)*'Cálculos'!$D$98)/(('Cálculos'!$D$198+(($C106)-$A$63:$A$108)*'Cálculos'!$D$98)+1400)+'Cálculos'!$D$122)*'Cálculos'!$D$244+'Cálculos'!$D$125*(1+2.78*('Cálculos'!$D$198+(($C106)-$A$63:$A$108)*'Cálculos'!$D$98)/(('Cálculos'!$D$198+(($C106)-$A$63:$A$108)*'Cálculos'!$D$98)+1400)+'Cálculos'!$D$123)*'Cálculos'!$D$249)+('Cálculos'!$D$198+(($C106)-$A$63:$A$108)*'Cálculos'!$D$98)*('Cálculos'!$D$240+'Cálculos'!$D$124*(1+2.78*('Cálculos'!$D$198+(($C106)-$A$63:$A$108)*'Cálculos'!$D$98)/(('Cálculos'!$D$198+(($C106)-$A$63:$A$108)*'Cálculos'!$D$98)+1400)+'Cálculos'!$D$122)*'Cálculos'!$D$245+'Cálculos'!$D$125*(1+2.78*('Cálculos'!$D$198+(($C106)-$A$63:$A$108)*'Cálculos'!$D$98)/(('Cálculos'!$D$198+(($C106)-$A$63:$A$108)*'Cálculos'!$D$98)+1400)+'Cálculos'!$D$123)*'Cálculos'!$D$250)+('Cálculos'!$D$201*(1+'Cálculos'!$D$202+$A$63:$A$108*('Cálculos'!$D$290=2)*'Cálculos'!$D$101)+'Cálculos'!$D$203)*('Cálculos'!$D$241+'Cálculos'!$D$124*(1+2.78*('Cálculos'!$D$198+(($C106)-$A$63:$A$108)*'Cálculos'!$D$98)/(('Cálculos'!$D$198+(($C106)-$A$63:$A$108)*'Cálculos'!$D$98)+1400)+'Cálculos'!$D$122)*'Cálculos'!$D$246+'Cálculos'!$D$125*(1+2.78*('Cálculos'!$D$198+(($C106)-$A$63:$A$108)*'Cálculos'!$D$98)/(('Cálculos'!$D$198+(($C106)-$A$63:$A$108)*'Cálculos'!$D$98)+1400)+'Cálculos'!$D$123)*'Cálculos'!$D$251)+('Cálculos'!$D$204*(1+'Cálculos'!$D$205+$A$63:$A$108*('Cálculos'!$D$290=3)*'Cálculos'!$D$103)+'Cálculos'!$D$206)*('Cálculos'!$D$242+'Cálculos'!$D$124*(1+2.78*('Cálculos'!$D$198+(($C106)-$A$63:$A$108)*'Cálculos'!$D$98)/(('Cálculos'!$D$198+(($C106)-$A$63:$A$108)*'Cálculos'!$D$98)+1400)+'Cálculos'!$D$122)*'Cálculos'!$D$247+'Cálculos'!$D$125*(1+2.78*('Cálculos'!$D$198+(($C106)-$A$63:$A$108)*'Cálculos'!$D$98)/(('Cálculos'!$D$198+(($C106)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106)-$A$63:$A$108)*'Cálculos'!$D$98)/(('Cálculos'!$D$199+(($C106)-$A$63:$A$108)*'Cálculos'!$D$98)+1400)+'Cálculos'!$D$122)*'Cálculos'!$D$259+'Cálculos'!$D$125*(1+2.78*('Cálculos'!$D$199+(($C106)-$A$63:$A$108)*'Cálculos'!$D$98)/(('Cálculos'!$D$199+(($C106)-$A$63:$A$108)*'Cálculos'!$D$98)+1400)+'Cálculos'!$D$123)*'Cálculos'!$D$264)+('Cálculos'!$D$199+(($C106)-$A$63:$A$108)*'Cálculos'!$D$98)*('Cálculos'!$D$255+'Cálculos'!$D$124*(1+2.78*('Cálculos'!$D$199+(($C106)-$A$63:$A$108)*'Cálculos'!$D$98)/(('Cálculos'!$D$199+(($C106)-$A$63:$A$108)*'Cálculos'!$D$98)+1400)+'Cálculos'!$D$122)*'Cálculos'!$D$260+'Cálculos'!$D$125*(1+2.78*('Cálculos'!$D$199+(($C106)-$A$63:$A$108)*'Cálculos'!$D$98)/(('Cálculos'!$D$199+(($C106)-$A$63:$A$108)*'Cálculos'!$D$98)+1400)+'Cálculos'!$D$123)*'Cálculos'!$D$265)+('Cálculos'!$D$201*(1+'Cálculos'!$D$202+$A$63:$A$108*('Cálculos'!$D$290=2)*'Cálculos'!$D$101)+'Cálculos'!$D$203)*('Cálculos'!$D$256+'Cálculos'!$D$124*(1+2.78*('Cálculos'!$D$199+(($C106)-$A$63:$A$108)*'Cálculos'!$D$98)/(('Cálculos'!$D$199+(($C106)-$A$63:$A$108)*'Cálculos'!$D$98)+1400)+'Cálculos'!$D$122)*'Cálculos'!$D$261+'Cálculos'!$D$125*(1+2.78*('Cálculos'!$D$199+(($C106)-$A$63:$A$108)*'Cálculos'!$D$98)/(('Cálculos'!$D$199+(($C106)-$A$63:$A$108)*'Cálculos'!$D$98)+1400)+'Cálculos'!$D$123)*'Cálculos'!$D$266)+('Cálculos'!$D$204*(1+'Cálculos'!$D$205+$A$63:$A$108*('Cálculos'!$D$290=3)*'Cálculos'!$D$103)+'Cálculos'!$D$206)*('Cálculos'!$D$257+'Cálculos'!$D$124*(1+2.78*('Cálculos'!$D$199+(($C106)-$A$63:$A$108)*'Cálculos'!$D$98)/(('Cálculos'!$D$199+(($C106)-$A$63:$A$108)*'Cálculos'!$D$98)+1400)+'Cálculos'!$D$122)*'Cálculos'!$D$262+'Cálculos'!$D$125*(1+2.78*('Cálculos'!$D$199+(($C106)-$A$63:$A$108)*'Cálculos'!$D$98)/(('Cálculos'!$D$199+(($C106)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106)-$A$63:$A$108)*'Cálculos'!$D$98)/(('Cálculos'!$D$200+(($C106)-$A$63:$A$108)*'Cálculos'!$D$98)+1400)+'Cálculos'!$D$122)*'Cálculos'!$D$274+'Cálculos'!$D$125*(1+2.78*('Cálculos'!$D$200+(($C106)-$A$63:$A$108)*'Cálculos'!$D$98)/(('Cálculos'!$D$200+(($C106)-$A$63:$A$108)*'Cálculos'!$D$98)+1400)+'Cálculos'!$D$123)*'Cálculos'!$D$279)+('Cálculos'!$D$200+(($C106)-$A$63:$A$108)*'Cálculos'!$D$98)*('Cálculos'!$D$270+'Cálculos'!$D$124*(1+2.78*('Cálculos'!$D$200+(($C106)-$A$63:$A$108)*'Cálculos'!$D$98)/(('Cálculos'!$D$200+(($C106)-$A$63:$A$108)*'Cálculos'!$D$98)+1400)+'Cálculos'!$D$122)*'Cálculos'!$D$275+'Cálculos'!$D$125*(1+2.78*('Cálculos'!$D$200+(($C106)-$A$63:$A$108)*'Cálculos'!$D$98)/(('Cálculos'!$D$200+(($C106)-$A$63:$A$108)*'Cálculos'!$D$98)+1400)+'Cálculos'!$D$123)*'Cálculos'!$D$280)+('Cálculos'!$D$201*(1+'Cálculos'!$D$202+$A$63:$A$108*('Cálculos'!$D$290=2)*'Cálculos'!$D$101)+'Cálculos'!$D$203)*('Cálculos'!$D$271+'Cálculos'!$D$124*(1+2.78*('Cálculos'!$D$200+(($C106)-$A$63:$A$108)*'Cálculos'!$D$98)/(('Cálculos'!$D$200+(($C106)-$A$63:$A$108)*'Cálculos'!$D$98)+1400)+'Cálculos'!$D$122)*'Cálculos'!$D$276+'Cálculos'!$D$125*(1+2.78*('Cálculos'!$D$200+(($C106)-$A$63:$A$108)*'Cálculos'!$D$98)/(('Cálculos'!$D$200+(($C106)-$A$63:$A$108)*'Cálculos'!$D$98)+1400)+'Cálculos'!$D$123)*'Cálculos'!$D$281)+('Cálculos'!$D$204*(1+'Cálculos'!$D$205+$A$63:$A$108*('Cálculos'!$D$290=3)*'Cálculos'!$D$103)+'Cálculos'!$D$206)*('Cálculos'!$D$272+'Cálculos'!$D$124*(1+2.78*('Cálculos'!$D$200+(($C106)-$A$63:$A$108)*'Cálculos'!$D$98)/(('Cálculos'!$D$200+(($C106)-$A$63:$A$108)*'Cálculos'!$D$98)+1400)+'Cálculos'!$D$122)*'Cálculos'!$D$277+'Cálculos'!$D$125*(1+2.78*('Cálculos'!$D$200+(($C106)-$A$63:$A$108)*'Cálculos'!$D$98)/(('Cálculos'!$D$200+(($C106)-$A$63:$A$108)*'Cálculos'!$D$98)+1400)+'Cálculos'!$D$123)*'Cálculos'!$D$282)))))</f>
        <v>0</v>
      </c>
      <c r="E106" s="32">
        <f>IF(OR($C106&lt;0,'Cálculos'!$D$6=""),0,$B106*$D106)</f>
        <v>0</v>
      </c>
      <c r="F106" s="2"/>
      <c r="G106" s="30">
        <f>($A106&lt;=$B$110)*($A106&lt;='Cálculos'!$D$294)*(($B$110)-$A106&lt;='Cálculos'!$D$295)*(1+MIN(('Cálculos'!$D$207+$A106*'Cálculos'!$D$95),1)*('Cálculos'!$D$208+(($B$110)-$A106)*'Cálculos'!$D$96))</f>
        <v>0</v>
      </c>
      <c r="H106" s="31">
        <f>IF($B$111&lt;0,0,($A106&lt;=$B$111)*($A106&lt;='Cálculos'!$D$301)*(($B$111)-$A106&lt;='Cálculos'!$D$297)*(('Cálculos'!$D$185*(1+'Cálculos'!$D$186+$A106*('Cálculos'!$D$290=1)*'Cálculos'!$D$97+'Cálculos'!$D$305)+'Cálculos'!$D$191)*('Cálculos'!$D$209+'Cálculos'!$D$124*(1+2.78*('Cálculos'!$D$196+(($B$111)-$A106)*'Cálculos'!$D$98)/(('Cálculos'!$D$196+(($B$111)-$A106)*'Cálculos'!$D$98)+1400)+'Cálculos'!$D$122)*'Cálculos'!$D$214+'Cálculos'!$D$125*(1+2.78*('Cálculos'!$D$196+(($B$111)-$A106)*'Cálculos'!$D$98)/(('Cálculos'!$D$196+(($B$111)-$A106)*'Cálculos'!$D$98)+1400)+'Cálculos'!$D$123)*'Cálculos'!$D$219)+('Cálculos'!$D$196+(($B$111)-$A106)*'Cálculos'!$D$98)*('Cálculos'!$D$210+'Cálculos'!$D$124*(1+2.78*('Cálculos'!$D$196+(($B$111)-$A106)*'Cálculos'!$D$98)/(('Cálculos'!$D$196+(($B$111)-$A106)*'Cálculos'!$D$98)+1400)+'Cálculos'!$D$122)*'Cálculos'!$D$215+'Cálculos'!$D$125*(1+2.78*('Cálculos'!$D$196+(($B$111)-$A106)*'Cálculos'!$D$98)/(('Cálculos'!$D$196+(($B$111)-$A106)*'Cálculos'!$D$98)+1400)+'Cálculos'!$D$123)*'Cálculos'!$D$220)+('Cálculos'!$D$201*(1+'Cálculos'!$D$202+$A106*('Cálculos'!$D$290=2)*'Cálculos'!$D$101)+'Cálculos'!$D$203)*('Cálculos'!$D$211+'Cálculos'!$D$124*(1+2.78*('Cálculos'!$D$196+(($B$111)-$A106)*'Cálculos'!$D$98)/(('Cálculos'!$D$196+(($B$111)-$A106)*'Cálculos'!$D$98)+1400)+'Cálculos'!$D$122)*'Cálculos'!$D$216+'Cálculos'!$D$125*(1+2.78*('Cálculos'!$D$196+(($B$111)-$A106)*'Cálculos'!$D$98)/(('Cálculos'!$D$196+(($B$111)-$A106)*'Cálculos'!$D$98)+1400)+'Cálculos'!$D$123)*'Cálculos'!$D$221)+('Cálculos'!$D$204*(1+'Cálculos'!$D$205+$A106*('Cálculos'!$D$290=3)*'Cálculos'!$D$103)+'Cálculos'!$D$206)*('Cálculos'!$D$212+'Cálculos'!$D$124*(1+2.78*('Cálculos'!$D$196+(($B$111)-$A106)*'Cálculos'!$D$98)/(('Cálculos'!$D$196+(($B$111)-$A106)*'Cálculos'!$D$98)+1400)+'Cálculos'!$D$122)*'Cálculos'!$D$217+'Cálculos'!$D$125*(1+2.78*('Cálculos'!$D$196+(($B$111)-$A106)*'Cálculos'!$D$98)/(('Cálculos'!$D$196+(($B$111)-$A106)*'Cálculos'!$D$98)+1400)+'Cálculos'!$D$123)*'Cálculos'!$D$222)+('Cálculos'!$D$185*(1+'Cálculos'!$D$187+$A106*('Cálculos'!$D$290=1)*'Cálculos'!$D$97+'Cálculos'!$D$305)+'Cálculos'!$D$192)*('Cálculos'!$D$224+'Cálculos'!$D$124*(1+2.78*('Cálculos'!$D$197+(($B$111)-$A106)*'Cálculos'!$D$98)/(('Cálculos'!$D$197+(($B$111)-$A106)*'Cálculos'!$D$98)+1400)+'Cálculos'!$D$122)*'Cálculos'!$D$229+'Cálculos'!$D$125*(1+2.78*('Cálculos'!$D$197+(($B$111)-$A106)*'Cálculos'!$D$98)/(('Cálculos'!$D$197+(($B$111)-$A106)*'Cálculos'!$D$98)+1400)+'Cálculos'!$D$123)*'Cálculos'!$D$234)+('Cálculos'!$D$197+(($B$111)-$A106)*'Cálculos'!$D$98)*('Cálculos'!$D$225+'Cálculos'!$D$124*(1+2.78*('Cálculos'!$D$197+(($B$111)-$A106)*'Cálculos'!$D$98)/(('Cálculos'!$D$197+(($B$111)-$A106)*'Cálculos'!$D$98)+1400)+'Cálculos'!$D$122)*'Cálculos'!$D$230+'Cálculos'!$D$125*(1+2.78*('Cálculos'!$D$197+(($B$111)-$A106)*'Cálculos'!$D$98)/(('Cálculos'!$D$197+(($B$111)-$A106)*'Cálculos'!$D$98)+1400)+'Cálculos'!$D$123)*'Cálculos'!$D$235)+('Cálculos'!$D$201*(1+'Cálculos'!$D$202+$A106*('Cálculos'!$D$290=2)*'Cálculos'!$D$101)+'Cálculos'!$D$203)*('Cálculos'!$D$226+'Cálculos'!$D$124*(1+2.78*('Cálculos'!$D$197+(($B$111)-$A106)*'Cálculos'!$D$98)/(('Cálculos'!$D$197+(($B$111)-$A106)*'Cálculos'!$D$98)+1400)+'Cálculos'!$D$122)*'Cálculos'!$D$231+'Cálculos'!$D$125*(1+2.78*('Cálculos'!$D$197+(($B$111)-$A106)*'Cálculos'!$D$98)/(('Cálculos'!$D$197+(($B$111)-$A106)*'Cálculos'!$D$98)+1400)+'Cálculos'!$D$123)*'Cálculos'!$D$236)+('Cálculos'!$D$204*(1+'Cálculos'!$D$205+$A106*('Cálculos'!$D$290=3)*'Cálculos'!$D$103)+'Cálculos'!$D$206)*('Cálculos'!$D$227+'Cálculos'!$D$124*(1+2.78*('Cálculos'!$D$197+(($B$111)-$A106)*'Cálculos'!$D$98)/(('Cálculos'!$D$197+(($B$111)-$A106)*'Cálculos'!$D$98)+1400)+'Cálculos'!$D$122)*'Cálculos'!$D$232+'Cálculos'!$D$125*(1+2.78*('Cálculos'!$D$197+(($B$111)-$A106)*'Cálculos'!$D$98)/(('Cálculos'!$D$197+(($B$111)-$A106)*'Cálculos'!$D$98)+1400)+'Cálculos'!$D$123)*'Cálculos'!$D$237)+('Cálculos'!$D$185*(1+'Cálculos'!$D$188+$A106*('Cálculos'!$D$290=1)*'Cálculos'!$D$97+'Cálculos'!$D$305)+'Cálculos'!$D$193)*('Cálculos'!$D$239+'Cálculos'!$D$124*(1+2.78*('Cálculos'!$D$198+(($B$111)-$A106)*'Cálculos'!$D$98)/(('Cálculos'!$D$198+(($B$111)-$A106)*'Cálculos'!$D$98)+1400)+'Cálculos'!$D$122)*'Cálculos'!$D$244+'Cálculos'!$D$125*(1+2.78*('Cálculos'!$D$198+(($B$111)-$A106)*'Cálculos'!$D$98)/(('Cálculos'!$D$198+(($B$111)-$A106)*'Cálculos'!$D$98)+1400)+'Cálculos'!$D$123)*'Cálculos'!$D$249)+('Cálculos'!$D$198+(($B$111)-$A106)*'Cálculos'!$D$98)*('Cálculos'!$D$240+'Cálculos'!$D$124*(1+2.78*('Cálculos'!$D$198+(($B$111)-$A106)*'Cálculos'!$D$98)/(('Cálculos'!$D$198+(($B$111)-$A106)*'Cálculos'!$D$98)+1400)+'Cálculos'!$D$122)*'Cálculos'!$D$245+'Cálculos'!$D$125*(1+2.78*('Cálculos'!$D$198+(($B$111)-$A106)*'Cálculos'!$D$98)/(('Cálculos'!$D$198+(($B$111)-$A106)*'Cálculos'!$D$98)+1400)+'Cálculos'!$D$123)*'Cálculos'!$D$250)+('Cálculos'!$D$201*(1+'Cálculos'!$D$202+$A106*('Cálculos'!$D$290=2)*'Cálculos'!$D$101)+'Cálculos'!$D$203)*('Cálculos'!$D$241+'Cálculos'!$D$124*(1+2.78*('Cálculos'!$D$198+(($B$111)-$A106)*'Cálculos'!$D$98)/(('Cálculos'!$D$198+(($B$111)-$A106)*'Cálculos'!$D$98)+1400)+'Cálculos'!$D$122)*'Cálculos'!$D$246+'Cálculos'!$D$125*(1+2.78*('Cálculos'!$D$198+(($B$111)-$A106)*'Cálculos'!$D$98)/(('Cálculos'!$D$198+(($B$111)-$A106)*'Cálculos'!$D$98)+1400)+'Cálculos'!$D$123)*'Cálculos'!$D$251)+('Cálculos'!$D$204*(1+'Cálculos'!$D$205+$A106*('Cálculos'!$D$290=3)*'Cálculos'!$D$103)+'Cálculos'!$D$206)*('Cálculos'!$D$242+'Cálculos'!$D$124*(1+2.78*('Cálculos'!$D$198+(($B$111)-$A106)*'Cálculos'!$D$98)/(('Cálculos'!$D$198+(($B$111)-$A106)*'Cálculos'!$D$98)+1400)+'Cálculos'!$D$122)*'Cálculos'!$D$247+'Cálculos'!$D$125*(1+2.78*('Cálculos'!$D$198+(($B$111)-$A106)*'Cálculos'!$D$98)/(('Cálculos'!$D$198+(($B$111)-$A106)*'Cálculos'!$D$98)+1400)+'Cálculos'!$D$123)*'Cálculos'!$D$252)+('Cálculos'!$D$185*(1+'Cálculos'!$D$189+$A106*('Cálculos'!$D$290=1)*'Cálculos'!$D$97+'Cálculos'!$D$305)+'Cálculos'!$D$194)*('Cálculos'!$D$254+'Cálculos'!$D$124*(1+2.78*('Cálculos'!$D$199+(($B$111)-$A106)*'Cálculos'!$D$98)/(('Cálculos'!$D$199+(($B$111)-$A106)*'Cálculos'!$D$98)+1400)+'Cálculos'!$D$122)*'Cálculos'!$D$259+'Cálculos'!$D$125*(1+2.78*('Cálculos'!$D$199+(($B$111)-$A106)*'Cálculos'!$D$98)/(('Cálculos'!$D$199+(($B$111)-$A106)*'Cálculos'!$D$98)+1400)+'Cálculos'!$D$123)*'Cálculos'!$D$264)+('Cálculos'!$D$199+(($B$111)-$A106)*'Cálculos'!$D$98)*('Cálculos'!$D$255+'Cálculos'!$D$124*(1+2.78*('Cálculos'!$D$199+(($B$111)-$A106)*'Cálculos'!$D$98)/(('Cálculos'!$D$199+(($B$111)-$A106)*'Cálculos'!$D$98)+1400)+'Cálculos'!$D$122)*'Cálculos'!$D$260+'Cálculos'!$D$125*(1+2.78*('Cálculos'!$D$199+(($B$111)-$A106)*'Cálculos'!$D$98)/(('Cálculos'!$D$199+(($B$111)-$A106)*'Cálculos'!$D$98)+1400)+'Cálculos'!$D$123)*'Cálculos'!$D$265)+('Cálculos'!$D$201*(1+'Cálculos'!$D$202+$A106*('Cálculos'!$D$290=2)*'Cálculos'!$D$101)+'Cálculos'!$D$203)*('Cálculos'!$D$256+'Cálculos'!$D$124*(1+2.78*('Cálculos'!$D$199+(($B$111)-$A106)*'Cálculos'!$D$98)/(('Cálculos'!$D$199+(($B$111)-$A106)*'Cálculos'!$D$98)+1400)+'Cálculos'!$D$122)*'Cálculos'!$D$261+'Cálculos'!$D$125*(1+2.78*('Cálculos'!$D$199+(($B$111)-$A106)*'Cálculos'!$D$98)/(('Cálculos'!$D$199+(($B$111)-$A106)*'Cálculos'!$D$98)+1400)+'Cálculos'!$D$123)*'Cálculos'!$D$266)+('Cálculos'!$D$204*(1+'Cálculos'!$D$205+$A106*('Cálculos'!$D$290=3)*'Cálculos'!$D$103)+'Cálculos'!$D$206)*('Cálculos'!$D$257+'Cálculos'!$D$124*(1+2.78*('Cálculos'!$D$199+(($B$111)-$A106)*'Cálculos'!$D$98)/(('Cálculos'!$D$199+(($B$111)-$A106)*'Cálculos'!$D$98)+1400)+'Cálculos'!$D$122)*'Cálculos'!$D$262+'Cálculos'!$D$125*(1+2.78*('Cálculos'!$D$199+(($B$111)-$A106)*'Cálculos'!$D$98)/(('Cálculos'!$D$199+(($B$111)-$A106)*'Cálculos'!$D$98)+1400)+'Cálculos'!$D$123)*'Cálculos'!$D$267)+('Cálculos'!$D$185*(1+'Cálculos'!$D$190+$A106*('Cálculos'!$D$290=1)*'Cálculos'!$D$97+'Cálculos'!$D$305)+'Cálculos'!$D$195)*('Cálculos'!$D$269+'Cálculos'!$D$124*(1+2.78*('Cálculos'!$D$200+(($B$111)-$A106)*'Cálculos'!$D$98)/(('Cálculos'!$D$200+(($B$111)-$A106)*'Cálculos'!$D$98)+1400)+'Cálculos'!$D$122)*'Cálculos'!$D$274+'Cálculos'!$D$125*(1+2.78*('Cálculos'!$D$200+(($B$111)-$A106)*'Cálculos'!$D$98)/(('Cálculos'!$D$200+(($B$111)-$A106)*'Cálculos'!$D$98)+1400)+'Cálculos'!$D$123)*'Cálculos'!$D$279)+('Cálculos'!$D$200+(($B$111)-$A106)*'Cálculos'!$D$98)*('Cálculos'!$D$270+'Cálculos'!$D$124*(1+2.78*('Cálculos'!$D$200+(($B$111)-$A106)*'Cálculos'!$D$98)/(('Cálculos'!$D$200+(($B$111)-$A106)*'Cálculos'!$D$98)+1400)+'Cálculos'!$D$122)*'Cálculos'!$D$275+'Cálculos'!$D$125*(1+2.78*('Cálculos'!$D$200+(($B$111)-$A106)*'Cálculos'!$D$98)/(('Cálculos'!$D$200+(($B$111)-$A106)*'Cálculos'!$D$98)+1400)+'Cálculos'!$D$123)*'Cálculos'!$D$280)+('Cálculos'!$D$201*(1+'Cálculos'!$D$202+$A106*('Cálculos'!$D$290=2)*'Cálculos'!$D$101)+'Cálculos'!$D$203)*('Cálculos'!$D$271+'Cálculos'!$D$124*(1+2.78*('Cálculos'!$D$200+(($B$111)-$A106)*'Cálculos'!$D$98)/(('Cálculos'!$D$200+(($B$111)-$A106)*'Cálculos'!$D$98)+1400)+'Cálculos'!$D$122)*'Cálculos'!$D$276+'Cálculos'!$D$125*(1+2.78*('Cálculos'!$D$200+(($B$111)-$A106)*'Cálculos'!$D$98)/(('Cálculos'!$D$200+(($B$111)-$A106)*'Cálculos'!$D$98)+1400)+'Cálculos'!$D$123)*'Cálculos'!$D$281)+('Cálculos'!$D$204*(1+'Cálculos'!$D$205+$A106*('Cálculos'!$D$290=3)*'Cálculos'!$D$103)+'Cálculos'!$D$206)*('Cálculos'!$D$272+'Cálculos'!$D$124*(1+2.78*('Cálculos'!$D$200+(($B$111)-$A106)*'Cálculos'!$D$98)/(('Cálculos'!$D$200+(($B$111)-$A106)*'Cálculos'!$D$98)+1400)+'Cálculos'!$D$122)*'Cálculos'!$D$277+'Cálculos'!$D$125*(1+2.78*('Cálculos'!$D$200+(($B$111)-$A106)*'Cálculos'!$D$98)/(('Cálculos'!$D$200+(($B$111)-$A106)*'Cálculos'!$D$98)+1400)+'Cálculos'!$D$123)*'Cálculos'!$D$282)))</f>
        <v>0</v>
      </c>
    </row>
    <row r="107" ht="15.75" customHeight="1">
      <c r="A107" s="2">
        <v>44.0</v>
      </c>
      <c r="B107" s="30">
        <f>SUMPRODUCT(MAX(($A$63:$A$108&lt;=$A107)*($A$63:$A$108&lt;='Cálculos'!$D$294)*(($A107)-$A$63:$A$108&lt;='Cálculos'!$D$295)*(1+(('Cálculos'!$D$207+$A$63:$A$108*'Cálculos'!$D$95)-(('Cálculos'!$D$207+$A$63:$A$108*'Cálculos'!$D$95)&gt;1)*(('Cálculos'!$D$207+$A$63:$A$108*'Cálculos'!$D$95)-1))*('Cálculos'!$D$208+(($A107)-$A$63:$A$108)*'Cálculos'!$D$96))))</f>
        <v>0</v>
      </c>
      <c r="C107" s="2">
        <f>'Cálculos'!$D$303-$A107</f>
        <v>-33</v>
      </c>
      <c r="D107" s="31">
        <f>IF($C107&lt;0,0,SUMPRODUCT(MAX(($A$63:$A$108&lt;=$C107)*($A$63:$A$108&lt;='Cálculos'!$D$301)*(($C107)-$A$63:$A$108&lt;='Cálculos'!$D$297)*(('Cálculos'!$D$185*(1+'Cálculos'!$D$186+$A$63:$A$108*('Cálculos'!$D$290=1)*'Cálculos'!$D$97+'Cálculos'!$D$305)+'Cálculos'!$D$191)*('Cálculos'!$D$209+'Cálculos'!$D$124*(1+2.78*('Cálculos'!$D$196+(($C107)-$A$63:$A$108)*'Cálculos'!$D$98)/(('Cálculos'!$D$196+(($C107)-$A$63:$A$108)*'Cálculos'!$D$98)+1400)+'Cálculos'!$D$122)*'Cálculos'!$D$214+'Cálculos'!$D$125*(1+2.78*('Cálculos'!$D$196+(($C107)-$A$63:$A$108)*'Cálculos'!$D$98)/(('Cálculos'!$D$196+(($C107)-$A$63:$A$108)*'Cálculos'!$D$98)+1400)+'Cálculos'!$D$123)*'Cálculos'!$D$219)+('Cálculos'!$D$196+(($C107)-$A$63:$A$108)*'Cálculos'!$D$98)*('Cálculos'!$D$210+'Cálculos'!$D$124*(1+2.78*('Cálculos'!$D$196+(($C107)-$A$63:$A$108)*'Cálculos'!$D$98)/(('Cálculos'!$D$196+(($C107)-$A$63:$A$108)*'Cálculos'!$D$98)+1400)+'Cálculos'!$D$122)*'Cálculos'!$D$215+'Cálculos'!$D$125*(1+2.78*('Cálculos'!$D$196+(($C107)-$A$63:$A$108)*'Cálculos'!$D$98)/(('Cálculos'!$D$196+(($C107)-$A$63:$A$108)*'Cálculos'!$D$98)+1400)+'Cálculos'!$D$123)*'Cálculos'!$D$220)+('Cálculos'!$D$201*(1+'Cálculos'!$D$202+$A$63:$A$108*('Cálculos'!$D$290=2)*'Cálculos'!$D$101)+'Cálculos'!$D$203)*('Cálculos'!$D$211+'Cálculos'!$D$124*(1+2.78*('Cálculos'!$D$196+(($C107)-$A$63:$A$108)*'Cálculos'!$D$98)/(('Cálculos'!$D$196+(($C107)-$A$63:$A$108)*'Cálculos'!$D$98)+1400)+'Cálculos'!$D$122)*'Cálculos'!$D$216+'Cálculos'!$D$125*(1+2.78*('Cálculos'!$D$196+(($C107)-$A$63:$A$108)*'Cálculos'!$D$98)/(('Cálculos'!$D$196+(($C107)-$A$63:$A$108)*'Cálculos'!$D$98)+1400)+'Cálculos'!$D$123)*'Cálculos'!$D$221)+('Cálculos'!$D$204*(1+'Cálculos'!$D$205+$A$63:$A$108*('Cálculos'!$D$290=3)*'Cálculos'!$D$103)+'Cálculos'!$D$206)*('Cálculos'!$D$212+'Cálculos'!$D$124*(1+2.78*('Cálculos'!$D$196+(($C107)-$A$63:$A$108)*'Cálculos'!$D$98)/(('Cálculos'!$D$196+(($C107)-$A$63:$A$108)*'Cálculos'!$D$98)+1400)+'Cálculos'!$D$122)*'Cálculos'!$D$217+'Cálculos'!$D$125*(1+2.78*('Cálculos'!$D$196+(($C107)-$A$63:$A$108)*'Cálculos'!$D$98)/(('Cálculos'!$D$196+(($C107)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107)-$A$63:$A$108)*'Cálculos'!$D$98)/(('Cálculos'!$D$197+(($C107)-$A$63:$A$108)*'Cálculos'!$D$98)+1400)+'Cálculos'!$D$122)*'Cálculos'!$D$229+'Cálculos'!$D$125*(1+2.78*('Cálculos'!$D$197+(($C107)-$A$63:$A$108)*'Cálculos'!$D$98)/(('Cálculos'!$D$197+(($C107)-$A$63:$A$108)*'Cálculos'!$D$98)+1400)+'Cálculos'!$D$123)*'Cálculos'!$D$234)+('Cálculos'!$D$197+(($C107)-$A$63:$A$108)*'Cálculos'!$D$98)*('Cálculos'!$D$225+'Cálculos'!$D$124*(1+2.78*('Cálculos'!$D$197+(($C107)-$A$63:$A$108)*'Cálculos'!$D$98)/(('Cálculos'!$D$197+(($C107)-$A$63:$A$108)*'Cálculos'!$D$98)+1400)+'Cálculos'!$D$122)*'Cálculos'!$D$230+'Cálculos'!$D$125*(1+2.78*('Cálculos'!$D$197+(($C107)-$A$63:$A$108)*'Cálculos'!$D$98)/(('Cálculos'!$D$197+(($C107)-$A$63:$A$108)*'Cálculos'!$D$98)+1400)+'Cálculos'!$D$123)*'Cálculos'!$D$235)+('Cálculos'!$D$201*(1+'Cálculos'!$D$202+$A$63:$A$108*('Cálculos'!$D$290=2)*'Cálculos'!$D$101)+'Cálculos'!$D$203)*('Cálculos'!$D$226+'Cálculos'!$D$124*(1+2.78*('Cálculos'!$D$197+(($C107)-$A$63:$A$108)*'Cálculos'!$D$98)/(('Cálculos'!$D$197+(($C107)-$A$63:$A$108)*'Cálculos'!$D$98)+1400)+'Cálculos'!$D$122)*'Cálculos'!$D$231+'Cálculos'!$D$125*(1+2.78*('Cálculos'!$D$197+(($C107)-$A$63:$A$108)*'Cálculos'!$D$98)/(('Cálculos'!$D$197+(($C107)-$A$63:$A$108)*'Cálculos'!$D$98)+1400)+'Cálculos'!$D$123)*'Cálculos'!$D$236)+('Cálculos'!$D$204*(1+'Cálculos'!$D$205+$A$63:$A$108*('Cálculos'!$D$290=3)*'Cálculos'!$D$103)+'Cálculos'!$D$206)*('Cálculos'!$D$227+'Cálculos'!$D$124*(1+2.78*('Cálculos'!$D$197+(($C107)-$A$63:$A$108)*'Cálculos'!$D$98)/(('Cálculos'!$D$197+(($C107)-$A$63:$A$108)*'Cálculos'!$D$98)+1400)+'Cálculos'!$D$122)*'Cálculos'!$D$232+'Cálculos'!$D$125*(1+2.78*('Cálculos'!$D$197+(($C107)-$A$63:$A$108)*'Cálculos'!$D$98)/(('Cálculos'!$D$197+(($C107)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107)-$A$63:$A$108)*'Cálculos'!$D$98)/(('Cálculos'!$D$198+(($C107)-$A$63:$A$108)*'Cálculos'!$D$98)+1400)+'Cálculos'!$D$122)*'Cálculos'!$D$244+'Cálculos'!$D$125*(1+2.78*('Cálculos'!$D$198+(($C107)-$A$63:$A$108)*'Cálculos'!$D$98)/(('Cálculos'!$D$198+(($C107)-$A$63:$A$108)*'Cálculos'!$D$98)+1400)+'Cálculos'!$D$123)*'Cálculos'!$D$249)+('Cálculos'!$D$198+(($C107)-$A$63:$A$108)*'Cálculos'!$D$98)*('Cálculos'!$D$240+'Cálculos'!$D$124*(1+2.78*('Cálculos'!$D$198+(($C107)-$A$63:$A$108)*'Cálculos'!$D$98)/(('Cálculos'!$D$198+(($C107)-$A$63:$A$108)*'Cálculos'!$D$98)+1400)+'Cálculos'!$D$122)*'Cálculos'!$D$245+'Cálculos'!$D$125*(1+2.78*('Cálculos'!$D$198+(($C107)-$A$63:$A$108)*'Cálculos'!$D$98)/(('Cálculos'!$D$198+(($C107)-$A$63:$A$108)*'Cálculos'!$D$98)+1400)+'Cálculos'!$D$123)*'Cálculos'!$D$250)+('Cálculos'!$D$201*(1+'Cálculos'!$D$202+$A$63:$A$108*('Cálculos'!$D$290=2)*'Cálculos'!$D$101)+'Cálculos'!$D$203)*('Cálculos'!$D$241+'Cálculos'!$D$124*(1+2.78*('Cálculos'!$D$198+(($C107)-$A$63:$A$108)*'Cálculos'!$D$98)/(('Cálculos'!$D$198+(($C107)-$A$63:$A$108)*'Cálculos'!$D$98)+1400)+'Cálculos'!$D$122)*'Cálculos'!$D$246+'Cálculos'!$D$125*(1+2.78*('Cálculos'!$D$198+(($C107)-$A$63:$A$108)*'Cálculos'!$D$98)/(('Cálculos'!$D$198+(($C107)-$A$63:$A$108)*'Cálculos'!$D$98)+1400)+'Cálculos'!$D$123)*'Cálculos'!$D$251)+('Cálculos'!$D$204*(1+'Cálculos'!$D$205+$A$63:$A$108*('Cálculos'!$D$290=3)*'Cálculos'!$D$103)+'Cálculos'!$D$206)*('Cálculos'!$D$242+'Cálculos'!$D$124*(1+2.78*('Cálculos'!$D$198+(($C107)-$A$63:$A$108)*'Cálculos'!$D$98)/(('Cálculos'!$D$198+(($C107)-$A$63:$A$108)*'Cálculos'!$D$98)+1400)+'Cálculos'!$D$122)*'Cálculos'!$D$247+'Cálculos'!$D$125*(1+2.78*('Cálculos'!$D$198+(($C107)-$A$63:$A$108)*'Cálculos'!$D$98)/(('Cálculos'!$D$198+(($C107)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107)-$A$63:$A$108)*'Cálculos'!$D$98)/(('Cálculos'!$D$199+(($C107)-$A$63:$A$108)*'Cálculos'!$D$98)+1400)+'Cálculos'!$D$122)*'Cálculos'!$D$259+'Cálculos'!$D$125*(1+2.78*('Cálculos'!$D$199+(($C107)-$A$63:$A$108)*'Cálculos'!$D$98)/(('Cálculos'!$D$199+(($C107)-$A$63:$A$108)*'Cálculos'!$D$98)+1400)+'Cálculos'!$D$123)*'Cálculos'!$D$264)+('Cálculos'!$D$199+(($C107)-$A$63:$A$108)*'Cálculos'!$D$98)*('Cálculos'!$D$255+'Cálculos'!$D$124*(1+2.78*('Cálculos'!$D$199+(($C107)-$A$63:$A$108)*'Cálculos'!$D$98)/(('Cálculos'!$D$199+(($C107)-$A$63:$A$108)*'Cálculos'!$D$98)+1400)+'Cálculos'!$D$122)*'Cálculos'!$D$260+'Cálculos'!$D$125*(1+2.78*('Cálculos'!$D$199+(($C107)-$A$63:$A$108)*'Cálculos'!$D$98)/(('Cálculos'!$D$199+(($C107)-$A$63:$A$108)*'Cálculos'!$D$98)+1400)+'Cálculos'!$D$123)*'Cálculos'!$D$265)+('Cálculos'!$D$201*(1+'Cálculos'!$D$202+$A$63:$A$108*('Cálculos'!$D$290=2)*'Cálculos'!$D$101)+'Cálculos'!$D$203)*('Cálculos'!$D$256+'Cálculos'!$D$124*(1+2.78*('Cálculos'!$D$199+(($C107)-$A$63:$A$108)*'Cálculos'!$D$98)/(('Cálculos'!$D$199+(($C107)-$A$63:$A$108)*'Cálculos'!$D$98)+1400)+'Cálculos'!$D$122)*'Cálculos'!$D$261+'Cálculos'!$D$125*(1+2.78*('Cálculos'!$D$199+(($C107)-$A$63:$A$108)*'Cálculos'!$D$98)/(('Cálculos'!$D$199+(($C107)-$A$63:$A$108)*'Cálculos'!$D$98)+1400)+'Cálculos'!$D$123)*'Cálculos'!$D$266)+('Cálculos'!$D$204*(1+'Cálculos'!$D$205+$A$63:$A$108*('Cálculos'!$D$290=3)*'Cálculos'!$D$103)+'Cálculos'!$D$206)*('Cálculos'!$D$257+'Cálculos'!$D$124*(1+2.78*('Cálculos'!$D$199+(($C107)-$A$63:$A$108)*'Cálculos'!$D$98)/(('Cálculos'!$D$199+(($C107)-$A$63:$A$108)*'Cálculos'!$D$98)+1400)+'Cálculos'!$D$122)*'Cálculos'!$D$262+'Cálculos'!$D$125*(1+2.78*('Cálculos'!$D$199+(($C107)-$A$63:$A$108)*'Cálculos'!$D$98)/(('Cálculos'!$D$199+(($C107)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107)-$A$63:$A$108)*'Cálculos'!$D$98)/(('Cálculos'!$D$200+(($C107)-$A$63:$A$108)*'Cálculos'!$D$98)+1400)+'Cálculos'!$D$122)*'Cálculos'!$D$274+'Cálculos'!$D$125*(1+2.78*('Cálculos'!$D$200+(($C107)-$A$63:$A$108)*'Cálculos'!$D$98)/(('Cálculos'!$D$200+(($C107)-$A$63:$A$108)*'Cálculos'!$D$98)+1400)+'Cálculos'!$D$123)*'Cálculos'!$D$279)+('Cálculos'!$D$200+(($C107)-$A$63:$A$108)*'Cálculos'!$D$98)*('Cálculos'!$D$270+'Cálculos'!$D$124*(1+2.78*('Cálculos'!$D$200+(($C107)-$A$63:$A$108)*'Cálculos'!$D$98)/(('Cálculos'!$D$200+(($C107)-$A$63:$A$108)*'Cálculos'!$D$98)+1400)+'Cálculos'!$D$122)*'Cálculos'!$D$275+'Cálculos'!$D$125*(1+2.78*('Cálculos'!$D$200+(($C107)-$A$63:$A$108)*'Cálculos'!$D$98)/(('Cálculos'!$D$200+(($C107)-$A$63:$A$108)*'Cálculos'!$D$98)+1400)+'Cálculos'!$D$123)*'Cálculos'!$D$280)+('Cálculos'!$D$201*(1+'Cálculos'!$D$202+$A$63:$A$108*('Cálculos'!$D$290=2)*'Cálculos'!$D$101)+'Cálculos'!$D$203)*('Cálculos'!$D$271+'Cálculos'!$D$124*(1+2.78*('Cálculos'!$D$200+(($C107)-$A$63:$A$108)*'Cálculos'!$D$98)/(('Cálculos'!$D$200+(($C107)-$A$63:$A$108)*'Cálculos'!$D$98)+1400)+'Cálculos'!$D$122)*'Cálculos'!$D$276+'Cálculos'!$D$125*(1+2.78*('Cálculos'!$D$200+(($C107)-$A$63:$A$108)*'Cálculos'!$D$98)/(('Cálculos'!$D$200+(($C107)-$A$63:$A$108)*'Cálculos'!$D$98)+1400)+'Cálculos'!$D$123)*'Cálculos'!$D$281)+('Cálculos'!$D$204*(1+'Cálculos'!$D$205+$A$63:$A$108*('Cálculos'!$D$290=3)*'Cálculos'!$D$103)+'Cálculos'!$D$206)*('Cálculos'!$D$272+'Cálculos'!$D$124*(1+2.78*('Cálculos'!$D$200+(($C107)-$A$63:$A$108)*'Cálculos'!$D$98)/(('Cálculos'!$D$200+(($C107)-$A$63:$A$108)*'Cálculos'!$D$98)+1400)+'Cálculos'!$D$122)*'Cálculos'!$D$277+'Cálculos'!$D$125*(1+2.78*('Cálculos'!$D$200+(($C107)-$A$63:$A$108)*'Cálculos'!$D$98)/(('Cálculos'!$D$200+(($C107)-$A$63:$A$108)*'Cálculos'!$D$98)+1400)+'Cálculos'!$D$123)*'Cálculos'!$D$282)))))</f>
        <v>0</v>
      </c>
      <c r="E107" s="32">
        <f>IF(OR($C107&lt;0,'Cálculos'!$D$6=""),0,$B107*$D107)</f>
        <v>0</v>
      </c>
      <c r="F107" s="2"/>
      <c r="G107" s="30">
        <f>($A107&lt;=$B$110)*($A107&lt;='Cálculos'!$D$294)*(($B$110)-$A107&lt;='Cálculos'!$D$295)*(1+MIN(('Cálculos'!$D$207+$A107*'Cálculos'!$D$95),1)*('Cálculos'!$D$208+(($B$110)-$A107)*'Cálculos'!$D$96))</f>
        <v>0</v>
      </c>
      <c r="H107" s="31">
        <f>IF($B$111&lt;0,0,($A107&lt;=$B$111)*($A107&lt;='Cálculos'!$D$301)*(($B$111)-$A107&lt;='Cálculos'!$D$297)*(('Cálculos'!$D$185*(1+'Cálculos'!$D$186+$A107*('Cálculos'!$D$290=1)*'Cálculos'!$D$97+'Cálculos'!$D$305)+'Cálculos'!$D$191)*('Cálculos'!$D$209+'Cálculos'!$D$124*(1+2.78*('Cálculos'!$D$196+(($B$111)-$A107)*'Cálculos'!$D$98)/(('Cálculos'!$D$196+(($B$111)-$A107)*'Cálculos'!$D$98)+1400)+'Cálculos'!$D$122)*'Cálculos'!$D$214+'Cálculos'!$D$125*(1+2.78*('Cálculos'!$D$196+(($B$111)-$A107)*'Cálculos'!$D$98)/(('Cálculos'!$D$196+(($B$111)-$A107)*'Cálculos'!$D$98)+1400)+'Cálculos'!$D$123)*'Cálculos'!$D$219)+('Cálculos'!$D$196+(($B$111)-$A107)*'Cálculos'!$D$98)*('Cálculos'!$D$210+'Cálculos'!$D$124*(1+2.78*('Cálculos'!$D$196+(($B$111)-$A107)*'Cálculos'!$D$98)/(('Cálculos'!$D$196+(($B$111)-$A107)*'Cálculos'!$D$98)+1400)+'Cálculos'!$D$122)*'Cálculos'!$D$215+'Cálculos'!$D$125*(1+2.78*('Cálculos'!$D$196+(($B$111)-$A107)*'Cálculos'!$D$98)/(('Cálculos'!$D$196+(($B$111)-$A107)*'Cálculos'!$D$98)+1400)+'Cálculos'!$D$123)*'Cálculos'!$D$220)+('Cálculos'!$D$201*(1+'Cálculos'!$D$202+$A107*('Cálculos'!$D$290=2)*'Cálculos'!$D$101)+'Cálculos'!$D$203)*('Cálculos'!$D$211+'Cálculos'!$D$124*(1+2.78*('Cálculos'!$D$196+(($B$111)-$A107)*'Cálculos'!$D$98)/(('Cálculos'!$D$196+(($B$111)-$A107)*'Cálculos'!$D$98)+1400)+'Cálculos'!$D$122)*'Cálculos'!$D$216+'Cálculos'!$D$125*(1+2.78*('Cálculos'!$D$196+(($B$111)-$A107)*'Cálculos'!$D$98)/(('Cálculos'!$D$196+(($B$111)-$A107)*'Cálculos'!$D$98)+1400)+'Cálculos'!$D$123)*'Cálculos'!$D$221)+('Cálculos'!$D$204*(1+'Cálculos'!$D$205+$A107*('Cálculos'!$D$290=3)*'Cálculos'!$D$103)+'Cálculos'!$D$206)*('Cálculos'!$D$212+'Cálculos'!$D$124*(1+2.78*('Cálculos'!$D$196+(($B$111)-$A107)*'Cálculos'!$D$98)/(('Cálculos'!$D$196+(($B$111)-$A107)*'Cálculos'!$D$98)+1400)+'Cálculos'!$D$122)*'Cálculos'!$D$217+'Cálculos'!$D$125*(1+2.78*('Cálculos'!$D$196+(($B$111)-$A107)*'Cálculos'!$D$98)/(('Cálculos'!$D$196+(($B$111)-$A107)*'Cálculos'!$D$98)+1400)+'Cálculos'!$D$123)*'Cálculos'!$D$222)+('Cálculos'!$D$185*(1+'Cálculos'!$D$187+$A107*('Cálculos'!$D$290=1)*'Cálculos'!$D$97+'Cálculos'!$D$305)+'Cálculos'!$D$192)*('Cálculos'!$D$224+'Cálculos'!$D$124*(1+2.78*('Cálculos'!$D$197+(($B$111)-$A107)*'Cálculos'!$D$98)/(('Cálculos'!$D$197+(($B$111)-$A107)*'Cálculos'!$D$98)+1400)+'Cálculos'!$D$122)*'Cálculos'!$D$229+'Cálculos'!$D$125*(1+2.78*('Cálculos'!$D$197+(($B$111)-$A107)*'Cálculos'!$D$98)/(('Cálculos'!$D$197+(($B$111)-$A107)*'Cálculos'!$D$98)+1400)+'Cálculos'!$D$123)*'Cálculos'!$D$234)+('Cálculos'!$D$197+(($B$111)-$A107)*'Cálculos'!$D$98)*('Cálculos'!$D$225+'Cálculos'!$D$124*(1+2.78*('Cálculos'!$D$197+(($B$111)-$A107)*'Cálculos'!$D$98)/(('Cálculos'!$D$197+(($B$111)-$A107)*'Cálculos'!$D$98)+1400)+'Cálculos'!$D$122)*'Cálculos'!$D$230+'Cálculos'!$D$125*(1+2.78*('Cálculos'!$D$197+(($B$111)-$A107)*'Cálculos'!$D$98)/(('Cálculos'!$D$197+(($B$111)-$A107)*'Cálculos'!$D$98)+1400)+'Cálculos'!$D$123)*'Cálculos'!$D$235)+('Cálculos'!$D$201*(1+'Cálculos'!$D$202+$A107*('Cálculos'!$D$290=2)*'Cálculos'!$D$101)+'Cálculos'!$D$203)*('Cálculos'!$D$226+'Cálculos'!$D$124*(1+2.78*('Cálculos'!$D$197+(($B$111)-$A107)*'Cálculos'!$D$98)/(('Cálculos'!$D$197+(($B$111)-$A107)*'Cálculos'!$D$98)+1400)+'Cálculos'!$D$122)*'Cálculos'!$D$231+'Cálculos'!$D$125*(1+2.78*('Cálculos'!$D$197+(($B$111)-$A107)*'Cálculos'!$D$98)/(('Cálculos'!$D$197+(($B$111)-$A107)*'Cálculos'!$D$98)+1400)+'Cálculos'!$D$123)*'Cálculos'!$D$236)+('Cálculos'!$D$204*(1+'Cálculos'!$D$205+$A107*('Cálculos'!$D$290=3)*'Cálculos'!$D$103)+'Cálculos'!$D$206)*('Cálculos'!$D$227+'Cálculos'!$D$124*(1+2.78*('Cálculos'!$D$197+(($B$111)-$A107)*'Cálculos'!$D$98)/(('Cálculos'!$D$197+(($B$111)-$A107)*'Cálculos'!$D$98)+1400)+'Cálculos'!$D$122)*'Cálculos'!$D$232+'Cálculos'!$D$125*(1+2.78*('Cálculos'!$D$197+(($B$111)-$A107)*'Cálculos'!$D$98)/(('Cálculos'!$D$197+(($B$111)-$A107)*'Cálculos'!$D$98)+1400)+'Cálculos'!$D$123)*'Cálculos'!$D$237)+('Cálculos'!$D$185*(1+'Cálculos'!$D$188+$A107*('Cálculos'!$D$290=1)*'Cálculos'!$D$97+'Cálculos'!$D$305)+'Cálculos'!$D$193)*('Cálculos'!$D$239+'Cálculos'!$D$124*(1+2.78*('Cálculos'!$D$198+(($B$111)-$A107)*'Cálculos'!$D$98)/(('Cálculos'!$D$198+(($B$111)-$A107)*'Cálculos'!$D$98)+1400)+'Cálculos'!$D$122)*'Cálculos'!$D$244+'Cálculos'!$D$125*(1+2.78*('Cálculos'!$D$198+(($B$111)-$A107)*'Cálculos'!$D$98)/(('Cálculos'!$D$198+(($B$111)-$A107)*'Cálculos'!$D$98)+1400)+'Cálculos'!$D$123)*'Cálculos'!$D$249)+('Cálculos'!$D$198+(($B$111)-$A107)*'Cálculos'!$D$98)*('Cálculos'!$D$240+'Cálculos'!$D$124*(1+2.78*('Cálculos'!$D$198+(($B$111)-$A107)*'Cálculos'!$D$98)/(('Cálculos'!$D$198+(($B$111)-$A107)*'Cálculos'!$D$98)+1400)+'Cálculos'!$D$122)*'Cálculos'!$D$245+'Cálculos'!$D$125*(1+2.78*('Cálculos'!$D$198+(($B$111)-$A107)*'Cálculos'!$D$98)/(('Cálculos'!$D$198+(($B$111)-$A107)*'Cálculos'!$D$98)+1400)+'Cálculos'!$D$123)*'Cálculos'!$D$250)+('Cálculos'!$D$201*(1+'Cálculos'!$D$202+$A107*('Cálculos'!$D$290=2)*'Cálculos'!$D$101)+'Cálculos'!$D$203)*('Cálculos'!$D$241+'Cálculos'!$D$124*(1+2.78*('Cálculos'!$D$198+(($B$111)-$A107)*'Cálculos'!$D$98)/(('Cálculos'!$D$198+(($B$111)-$A107)*'Cálculos'!$D$98)+1400)+'Cálculos'!$D$122)*'Cálculos'!$D$246+'Cálculos'!$D$125*(1+2.78*('Cálculos'!$D$198+(($B$111)-$A107)*'Cálculos'!$D$98)/(('Cálculos'!$D$198+(($B$111)-$A107)*'Cálculos'!$D$98)+1400)+'Cálculos'!$D$123)*'Cálculos'!$D$251)+('Cálculos'!$D$204*(1+'Cálculos'!$D$205+$A107*('Cálculos'!$D$290=3)*'Cálculos'!$D$103)+'Cálculos'!$D$206)*('Cálculos'!$D$242+'Cálculos'!$D$124*(1+2.78*('Cálculos'!$D$198+(($B$111)-$A107)*'Cálculos'!$D$98)/(('Cálculos'!$D$198+(($B$111)-$A107)*'Cálculos'!$D$98)+1400)+'Cálculos'!$D$122)*'Cálculos'!$D$247+'Cálculos'!$D$125*(1+2.78*('Cálculos'!$D$198+(($B$111)-$A107)*'Cálculos'!$D$98)/(('Cálculos'!$D$198+(($B$111)-$A107)*'Cálculos'!$D$98)+1400)+'Cálculos'!$D$123)*'Cálculos'!$D$252)+('Cálculos'!$D$185*(1+'Cálculos'!$D$189+$A107*('Cálculos'!$D$290=1)*'Cálculos'!$D$97+'Cálculos'!$D$305)+'Cálculos'!$D$194)*('Cálculos'!$D$254+'Cálculos'!$D$124*(1+2.78*('Cálculos'!$D$199+(($B$111)-$A107)*'Cálculos'!$D$98)/(('Cálculos'!$D$199+(($B$111)-$A107)*'Cálculos'!$D$98)+1400)+'Cálculos'!$D$122)*'Cálculos'!$D$259+'Cálculos'!$D$125*(1+2.78*('Cálculos'!$D$199+(($B$111)-$A107)*'Cálculos'!$D$98)/(('Cálculos'!$D$199+(($B$111)-$A107)*'Cálculos'!$D$98)+1400)+'Cálculos'!$D$123)*'Cálculos'!$D$264)+('Cálculos'!$D$199+(($B$111)-$A107)*'Cálculos'!$D$98)*('Cálculos'!$D$255+'Cálculos'!$D$124*(1+2.78*('Cálculos'!$D$199+(($B$111)-$A107)*'Cálculos'!$D$98)/(('Cálculos'!$D$199+(($B$111)-$A107)*'Cálculos'!$D$98)+1400)+'Cálculos'!$D$122)*'Cálculos'!$D$260+'Cálculos'!$D$125*(1+2.78*('Cálculos'!$D$199+(($B$111)-$A107)*'Cálculos'!$D$98)/(('Cálculos'!$D$199+(($B$111)-$A107)*'Cálculos'!$D$98)+1400)+'Cálculos'!$D$123)*'Cálculos'!$D$265)+('Cálculos'!$D$201*(1+'Cálculos'!$D$202+$A107*('Cálculos'!$D$290=2)*'Cálculos'!$D$101)+'Cálculos'!$D$203)*('Cálculos'!$D$256+'Cálculos'!$D$124*(1+2.78*('Cálculos'!$D$199+(($B$111)-$A107)*'Cálculos'!$D$98)/(('Cálculos'!$D$199+(($B$111)-$A107)*'Cálculos'!$D$98)+1400)+'Cálculos'!$D$122)*'Cálculos'!$D$261+'Cálculos'!$D$125*(1+2.78*('Cálculos'!$D$199+(($B$111)-$A107)*'Cálculos'!$D$98)/(('Cálculos'!$D$199+(($B$111)-$A107)*'Cálculos'!$D$98)+1400)+'Cálculos'!$D$123)*'Cálculos'!$D$266)+('Cálculos'!$D$204*(1+'Cálculos'!$D$205+$A107*('Cálculos'!$D$290=3)*'Cálculos'!$D$103)+'Cálculos'!$D$206)*('Cálculos'!$D$257+'Cálculos'!$D$124*(1+2.78*('Cálculos'!$D$199+(($B$111)-$A107)*'Cálculos'!$D$98)/(('Cálculos'!$D$199+(($B$111)-$A107)*'Cálculos'!$D$98)+1400)+'Cálculos'!$D$122)*'Cálculos'!$D$262+'Cálculos'!$D$125*(1+2.78*('Cálculos'!$D$199+(($B$111)-$A107)*'Cálculos'!$D$98)/(('Cálculos'!$D$199+(($B$111)-$A107)*'Cálculos'!$D$98)+1400)+'Cálculos'!$D$123)*'Cálculos'!$D$267)+('Cálculos'!$D$185*(1+'Cálculos'!$D$190+$A107*('Cálculos'!$D$290=1)*'Cálculos'!$D$97+'Cálculos'!$D$305)+'Cálculos'!$D$195)*('Cálculos'!$D$269+'Cálculos'!$D$124*(1+2.78*('Cálculos'!$D$200+(($B$111)-$A107)*'Cálculos'!$D$98)/(('Cálculos'!$D$200+(($B$111)-$A107)*'Cálculos'!$D$98)+1400)+'Cálculos'!$D$122)*'Cálculos'!$D$274+'Cálculos'!$D$125*(1+2.78*('Cálculos'!$D$200+(($B$111)-$A107)*'Cálculos'!$D$98)/(('Cálculos'!$D$200+(($B$111)-$A107)*'Cálculos'!$D$98)+1400)+'Cálculos'!$D$123)*'Cálculos'!$D$279)+('Cálculos'!$D$200+(($B$111)-$A107)*'Cálculos'!$D$98)*('Cálculos'!$D$270+'Cálculos'!$D$124*(1+2.78*('Cálculos'!$D$200+(($B$111)-$A107)*'Cálculos'!$D$98)/(('Cálculos'!$D$200+(($B$111)-$A107)*'Cálculos'!$D$98)+1400)+'Cálculos'!$D$122)*'Cálculos'!$D$275+'Cálculos'!$D$125*(1+2.78*('Cálculos'!$D$200+(($B$111)-$A107)*'Cálculos'!$D$98)/(('Cálculos'!$D$200+(($B$111)-$A107)*'Cálculos'!$D$98)+1400)+'Cálculos'!$D$123)*'Cálculos'!$D$280)+('Cálculos'!$D$201*(1+'Cálculos'!$D$202+$A107*('Cálculos'!$D$290=2)*'Cálculos'!$D$101)+'Cálculos'!$D$203)*('Cálculos'!$D$271+'Cálculos'!$D$124*(1+2.78*('Cálculos'!$D$200+(($B$111)-$A107)*'Cálculos'!$D$98)/(('Cálculos'!$D$200+(($B$111)-$A107)*'Cálculos'!$D$98)+1400)+'Cálculos'!$D$122)*'Cálculos'!$D$276+'Cálculos'!$D$125*(1+2.78*('Cálculos'!$D$200+(($B$111)-$A107)*'Cálculos'!$D$98)/(('Cálculos'!$D$200+(($B$111)-$A107)*'Cálculos'!$D$98)+1400)+'Cálculos'!$D$123)*'Cálculos'!$D$281)+('Cálculos'!$D$204*(1+'Cálculos'!$D$205+$A107*('Cálculos'!$D$290=3)*'Cálculos'!$D$103)+'Cálculos'!$D$206)*('Cálculos'!$D$272+'Cálculos'!$D$124*(1+2.78*('Cálculos'!$D$200+(($B$111)-$A107)*'Cálculos'!$D$98)/(('Cálculos'!$D$200+(($B$111)-$A107)*'Cálculos'!$D$98)+1400)+'Cálculos'!$D$122)*'Cálculos'!$D$277+'Cálculos'!$D$125*(1+2.78*('Cálculos'!$D$200+(($B$111)-$A107)*'Cálculos'!$D$98)/(('Cálculos'!$D$200+(($B$111)-$A107)*'Cálculos'!$D$98)+1400)+'Cálculos'!$D$123)*'Cálculos'!$D$282)))</f>
        <v>0</v>
      </c>
    </row>
    <row r="108" ht="15.75" customHeight="1">
      <c r="A108" s="2">
        <v>45.0</v>
      </c>
      <c r="B108" s="30">
        <f>SUMPRODUCT(MAX(($A$63:$A$108&lt;=$A108)*($A$63:$A$108&lt;='Cálculos'!$D$294)*(($A108)-$A$63:$A$108&lt;='Cálculos'!$D$295)*(1+(('Cálculos'!$D$207+$A$63:$A$108*'Cálculos'!$D$95)-(('Cálculos'!$D$207+$A$63:$A$108*'Cálculos'!$D$95)&gt;1)*(('Cálculos'!$D$207+$A$63:$A$108*'Cálculos'!$D$95)-1))*('Cálculos'!$D$208+(($A108)-$A$63:$A$108)*'Cálculos'!$D$96))))</f>
        <v>0</v>
      </c>
      <c r="C108" s="2">
        <f>'Cálculos'!$D$303-$A108</f>
        <v>-34</v>
      </c>
      <c r="D108" s="31">
        <f>IF($C108&lt;0,0,SUMPRODUCT(MAX(($A$63:$A$108&lt;=$C108)*($A$63:$A$108&lt;='Cálculos'!$D$301)*(($C108)-$A$63:$A$108&lt;='Cálculos'!$D$297)*(('Cálculos'!$D$185*(1+'Cálculos'!$D$186+$A$63:$A$108*('Cálculos'!$D$290=1)*'Cálculos'!$D$97+'Cálculos'!$D$305)+'Cálculos'!$D$191)*('Cálculos'!$D$209+'Cálculos'!$D$124*(1+2.78*('Cálculos'!$D$196+(($C108)-$A$63:$A$108)*'Cálculos'!$D$98)/(('Cálculos'!$D$196+(($C108)-$A$63:$A$108)*'Cálculos'!$D$98)+1400)+'Cálculos'!$D$122)*'Cálculos'!$D$214+'Cálculos'!$D$125*(1+2.78*('Cálculos'!$D$196+(($C108)-$A$63:$A$108)*'Cálculos'!$D$98)/(('Cálculos'!$D$196+(($C108)-$A$63:$A$108)*'Cálculos'!$D$98)+1400)+'Cálculos'!$D$123)*'Cálculos'!$D$219)+('Cálculos'!$D$196+(($C108)-$A$63:$A$108)*'Cálculos'!$D$98)*('Cálculos'!$D$210+'Cálculos'!$D$124*(1+2.78*('Cálculos'!$D$196+(($C108)-$A$63:$A$108)*'Cálculos'!$D$98)/(('Cálculos'!$D$196+(($C108)-$A$63:$A$108)*'Cálculos'!$D$98)+1400)+'Cálculos'!$D$122)*'Cálculos'!$D$215+'Cálculos'!$D$125*(1+2.78*('Cálculos'!$D$196+(($C108)-$A$63:$A$108)*'Cálculos'!$D$98)/(('Cálculos'!$D$196+(($C108)-$A$63:$A$108)*'Cálculos'!$D$98)+1400)+'Cálculos'!$D$123)*'Cálculos'!$D$220)+('Cálculos'!$D$201*(1+'Cálculos'!$D$202+$A$63:$A$108*('Cálculos'!$D$290=2)*'Cálculos'!$D$101)+'Cálculos'!$D$203)*('Cálculos'!$D$211+'Cálculos'!$D$124*(1+2.78*('Cálculos'!$D$196+(($C108)-$A$63:$A$108)*'Cálculos'!$D$98)/(('Cálculos'!$D$196+(($C108)-$A$63:$A$108)*'Cálculos'!$D$98)+1400)+'Cálculos'!$D$122)*'Cálculos'!$D$216+'Cálculos'!$D$125*(1+2.78*('Cálculos'!$D$196+(($C108)-$A$63:$A$108)*'Cálculos'!$D$98)/(('Cálculos'!$D$196+(($C108)-$A$63:$A$108)*'Cálculos'!$D$98)+1400)+'Cálculos'!$D$123)*'Cálculos'!$D$221)+('Cálculos'!$D$204*(1+'Cálculos'!$D$205+$A$63:$A$108*('Cálculos'!$D$290=3)*'Cálculos'!$D$103)+'Cálculos'!$D$206)*('Cálculos'!$D$212+'Cálculos'!$D$124*(1+2.78*('Cálculos'!$D$196+(($C108)-$A$63:$A$108)*'Cálculos'!$D$98)/(('Cálculos'!$D$196+(($C108)-$A$63:$A$108)*'Cálculos'!$D$98)+1400)+'Cálculos'!$D$122)*'Cálculos'!$D$217+'Cálculos'!$D$125*(1+2.78*('Cálculos'!$D$196+(($C108)-$A$63:$A$108)*'Cálculos'!$D$98)/(('Cálculos'!$D$196+(($C108)-$A$63:$A$108)*'Cálculos'!$D$98)+1400)+'Cálculos'!$D$123)*'Cálculos'!$D$222)+('Cálculos'!$D$185*(1+'Cálculos'!$D$187+$A$63:$A$108*('Cálculos'!$D$290=1)*'Cálculos'!$D$97+'Cálculos'!$D$305)+'Cálculos'!$D$192)*('Cálculos'!$D$224+'Cálculos'!$D$124*(1+2.78*('Cálculos'!$D$197+(($C108)-$A$63:$A$108)*'Cálculos'!$D$98)/(('Cálculos'!$D$197+(($C108)-$A$63:$A$108)*'Cálculos'!$D$98)+1400)+'Cálculos'!$D$122)*'Cálculos'!$D$229+'Cálculos'!$D$125*(1+2.78*('Cálculos'!$D$197+(($C108)-$A$63:$A$108)*'Cálculos'!$D$98)/(('Cálculos'!$D$197+(($C108)-$A$63:$A$108)*'Cálculos'!$D$98)+1400)+'Cálculos'!$D$123)*'Cálculos'!$D$234)+('Cálculos'!$D$197+(($C108)-$A$63:$A$108)*'Cálculos'!$D$98)*('Cálculos'!$D$225+'Cálculos'!$D$124*(1+2.78*('Cálculos'!$D$197+(($C108)-$A$63:$A$108)*'Cálculos'!$D$98)/(('Cálculos'!$D$197+(($C108)-$A$63:$A$108)*'Cálculos'!$D$98)+1400)+'Cálculos'!$D$122)*'Cálculos'!$D$230+'Cálculos'!$D$125*(1+2.78*('Cálculos'!$D$197+(($C108)-$A$63:$A$108)*'Cálculos'!$D$98)/(('Cálculos'!$D$197+(($C108)-$A$63:$A$108)*'Cálculos'!$D$98)+1400)+'Cálculos'!$D$123)*'Cálculos'!$D$235)+('Cálculos'!$D$201*(1+'Cálculos'!$D$202+$A$63:$A$108*('Cálculos'!$D$290=2)*'Cálculos'!$D$101)+'Cálculos'!$D$203)*('Cálculos'!$D$226+'Cálculos'!$D$124*(1+2.78*('Cálculos'!$D$197+(($C108)-$A$63:$A$108)*'Cálculos'!$D$98)/(('Cálculos'!$D$197+(($C108)-$A$63:$A$108)*'Cálculos'!$D$98)+1400)+'Cálculos'!$D$122)*'Cálculos'!$D$231+'Cálculos'!$D$125*(1+2.78*('Cálculos'!$D$197+(($C108)-$A$63:$A$108)*'Cálculos'!$D$98)/(('Cálculos'!$D$197+(($C108)-$A$63:$A$108)*'Cálculos'!$D$98)+1400)+'Cálculos'!$D$123)*'Cálculos'!$D$236)+('Cálculos'!$D$204*(1+'Cálculos'!$D$205+$A$63:$A$108*('Cálculos'!$D$290=3)*'Cálculos'!$D$103)+'Cálculos'!$D$206)*('Cálculos'!$D$227+'Cálculos'!$D$124*(1+2.78*('Cálculos'!$D$197+(($C108)-$A$63:$A$108)*'Cálculos'!$D$98)/(('Cálculos'!$D$197+(($C108)-$A$63:$A$108)*'Cálculos'!$D$98)+1400)+'Cálculos'!$D$122)*'Cálculos'!$D$232+'Cálculos'!$D$125*(1+2.78*('Cálculos'!$D$197+(($C108)-$A$63:$A$108)*'Cálculos'!$D$98)/(('Cálculos'!$D$197+(($C108)-$A$63:$A$108)*'Cálculos'!$D$98)+1400)+'Cálculos'!$D$123)*'Cálculos'!$D$237)+('Cálculos'!$D$185*(1+'Cálculos'!$D$188+$A$63:$A$108*('Cálculos'!$D$290=1)*'Cálculos'!$D$97+'Cálculos'!$D$305)+'Cálculos'!$D$193)*('Cálculos'!$D$239+'Cálculos'!$D$124*(1+2.78*('Cálculos'!$D$198+(($C108)-$A$63:$A$108)*'Cálculos'!$D$98)/(('Cálculos'!$D$198+(($C108)-$A$63:$A$108)*'Cálculos'!$D$98)+1400)+'Cálculos'!$D$122)*'Cálculos'!$D$244+'Cálculos'!$D$125*(1+2.78*('Cálculos'!$D$198+(($C108)-$A$63:$A$108)*'Cálculos'!$D$98)/(('Cálculos'!$D$198+(($C108)-$A$63:$A$108)*'Cálculos'!$D$98)+1400)+'Cálculos'!$D$123)*'Cálculos'!$D$249)+('Cálculos'!$D$198+(($C108)-$A$63:$A$108)*'Cálculos'!$D$98)*('Cálculos'!$D$240+'Cálculos'!$D$124*(1+2.78*('Cálculos'!$D$198+(($C108)-$A$63:$A$108)*'Cálculos'!$D$98)/(('Cálculos'!$D$198+(($C108)-$A$63:$A$108)*'Cálculos'!$D$98)+1400)+'Cálculos'!$D$122)*'Cálculos'!$D$245+'Cálculos'!$D$125*(1+2.78*('Cálculos'!$D$198+(($C108)-$A$63:$A$108)*'Cálculos'!$D$98)/(('Cálculos'!$D$198+(($C108)-$A$63:$A$108)*'Cálculos'!$D$98)+1400)+'Cálculos'!$D$123)*'Cálculos'!$D$250)+('Cálculos'!$D$201*(1+'Cálculos'!$D$202+$A$63:$A$108*('Cálculos'!$D$290=2)*'Cálculos'!$D$101)+'Cálculos'!$D$203)*('Cálculos'!$D$241+'Cálculos'!$D$124*(1+2.78*('Cálculos'!$D$198+(($C108)-$A$63:$A$108)*'Cálculos'!$D$98)/(('Cálculos'!$D$198+(($C108)-$A$63:$A$108)*'Cálculos'!$D$98)+1400)+'Cálculos'!$D$122)*'Cálculos'!$D$246+'Cálculos'!$D$125*(1+2.78*('Cálculos'!$D$198+(($C108)-$A$63:$A$108)*'Cálculos'!$D$98)/(('Cálculos'!$D$198+(($C108)-$A$63:$A$108)*'Cálculos'!$D$98)+1400)+'Cálculos'!$D$123)*'Cálculos'!$D$251)+('Cálculos'!$D$204*(1+'Cálculos'!$D$205+$A$63:$A$108*('Cálculos'!$D$290=3)*'Cálculos'!$D$103)+'Cálculos'!$D$206)*('Cálculos'!$D$242+'Cálculos'!$D$124*(1+2.78*('Cálculos'!$D$198+(($C108)-$A$63:$A$108)*'Cálculos'!$D$98)/(('Cálculos'!$D$198+(($C108)-$A$63:$A$108)*'Cálculos'!$D$98)+1400)+'Cálculos'!$D$122)*'Cálculos'!$D$247+'Cálculos'!$D$125*(1+2.78*('Cálculos'!$D$198+(($C108)-$A$63:$A$108)*'Cálculos'!$D$98)/(('Cálculos'!$D$198+(($C108)-$A$63:$A$108)*'Cálculos'!$D$98)+1400)+'Cálculos'!$D$123)*'Cálculos'!$D$252)+('Cálculos'!$D$185*(1+'Cálculos'!$D$189+$A$63:$A$108*('Cálculos'!$D$290=1)*'Cálculos'!$D$97+'Cálculos'!$D$305)+'Cálculos'!$D$194)*('Cálculos'!$D$254+'Cálculos'!$D$124*(1+2.78*('Cálculos'!$D$199+(($C108)-$A$63:$A$108)*'Cálculos'!$D$98)/(('Cálculos'!$D$199+(($C108)-$A$63:$A$108)*'Cálculos'!$D$98)+1400)+'Cálculos'!$D$122)*'Cálculos'!$D$259+'Cálculos'!$D$125*(1+2.78*('Cálculos'!$D$199+(($C108)-$A$63:$A$108)*'Cálculos'!$D$98)/(('Cálculos'!$D$199+(($C108)-$A$63:$A$108)*'Cálculos'!$D$98)+1400)+'Cálculos'!$D$123)*'Cálculos'!$D$264)+('Cálculos'!$D$199+(($C108)-$A$63:$A$108)*'Cálculos'!$D$98)*('Cálculos'!$D$255+'Cálculos'!$D$124*(1+2.78*('Cálculos'!$D$199+(($C108)-$A$63:$A$108)*'Cálculos'!$D$98)/(('Cálculos'!$D$199+(($C108)-$A$63:$A$108)*'Cálculos'!$D$98)+1400)+'Cálculos'!$D$122)*'Cálculos'!$D$260+'Cálculos'!$D$125*(1+2.78*('Cálculos'!$D$199+(($C108)-$A$63:$A$108)*'Cálculos'!$D$98)/(('Cálculos'!$D$199+(($C108)-$A$63:$A$108)*'Cálculos'!$D$98)+1400)+'Cálculos'!$D$123)*'Cálculos'!$D$265)+('Cálculos'!$D$201*(1+'Cálculos'!$D$202+$A$63:$A$108*('Cálculos'!$D$290=2)*'Cálculos'!$D$101)+'Cálculos'!$D$203)*('Cálculos'!$D$256+'Cálculos'!$D$124*(1+2.78*('Cálculos'!$D$199+(($C108)-$A$63:$A$108)*'Cálculos'!$D$98)/(('Cálculos'!$D$199+(($C108)-$A$63:$A$108)*'Cálculos'!$D$98)+1400)+'Cálculos'!$D$122)*'Cálculos'!$D$261+'Cálculos'!$D$125*(1+2.78*('Cálculos'!$D$199+(($C108)-$A$63:$A$108)*'Cálculos'!$D$98)/(('Cálculos'!$D$199+(($C108)-$A$63:$A$108)*'Cálculos'!$D$98)+1400)+'Cálculos'!$D$123)*'Cálculos'!$D$266)+('Cálculos'!$D$204*(1+'Cálculos'!$D$205+$A$63:$A$108*('Cálculos'!$D$290=3)*'Cálculos'!$D$103)+'Cálculos'!$D$206)*('Cálculos'!$D$257+'Cálculos'!$D$124*(1+2.78*('Cálculos'!$D$199+(($C108)-$A$63:$A$108)*'Cálculos'!$D$98)/(('Cálculos'!$D$199+(($C108)-$A$63:$A$108)*'Cálculos'!$D$98)+1400)+'Cálculos'!$D$122)*'Cálculos'!$D$262+'Cálculos'!$D$125*(1+2.78*('Cálculos'!$D$199+(($C108)-$A$63:$A$108)*'Cálculos'!$D$98)/(('Cálculos'!$D$199+(($C108)-$A$63:$A$108)*'Cálculos'!$D$98)+1400)+'Cálculos'!$D$123)*'Cálculos'!$D$267)+('Cálculos'!$D$185*(1+'Cálculos'!$D$190+$A$63:$A$108*('Cálculos'!$D$290=1)*'Cálculos'!$D$97+'Cálculos'!$D$305)+'Cálculos'!$D$195)*('Cálculos'!$D$269+'Cálculos'!$D$124*(1+2.78*('Cálculos'!$D$200+(($C108)-$A$63:$A$108)*'Cálculos'!$D$98)/(('Cálculos'!$D$200+(($C108)-$A$63:$A$108)*'Cálculos'!$D$98)+1400)+'Cálculos'!$D$122)*'Cálculos'!$D$274+'Cálculos'!$D$125*(1+2.78*('Cálculos'!$D$200+(($C108)-$A$63:$A$108)*'Cálculos'!$D$98)/(('Cálculos'!$D$200+(($C108)-$A$63:$A$108)*'Cálculos'!$D$98)+1400)+'Cálculos'!$D$123)*'Cálculos'!$D$279)+('Cálculos'!$D$200+(($C108)-$A$63:$A$108)*'Cálculos'!$D$98)*('Cálculos'!$D$270+'Cálculos'!$D$124*(1+2.78*('Cálculos'!$D$200+(($C108)-$A$63:$A$108)*'Cálculos'!$D$98)/(('Cálculos'!$D$200+(($C108)-$A$63:$A$108)*'Cálculos'!$D$98)+1400)+'Cálculos'!$D$122)*'Cálculos'!$D$275+'Cálculos'!$D$125*(1+2.78*('Cálculos'!$D$200+(($C108)-$A$63:$A$108)*'Cálculos'!$D$98)/(('Cálculos'!$D$200+(($C108)-$A$63:$A$108)*'Cálculos'!$D$98)+1400)+'Cálculos'!$D$123)*'Cálculos'!$D$280)+('Cálculos'!$D$201*(1+'Cálculos'!$D$202+$A$63:$A$108*('Cálculos'!$D$290=2)*'Cálculos'!$D$101)+'Cálculos'!$D$203)*('Cálculos'!$D$271+'Cálculos'!$D$124*(1+2.78*('Cálculos'!$D$200+(($C108)-$A$63:$A$108)*'Cálculos'!$D$98)/(('Cálculos'!$D$200+(($C108)-$A$63:$A$108)*'Cálculos'!$D$98)+1400)+'Cálculos'!$D$122)*'Cálculos'!$D$276+'Cálculos'!$D$125*(1+2.78*('Cálculos'!$D$200+(($C108)-$A$63:$A$108)*'Cálculos'!$D$98)/(('Cálculos'!$D$200+(($C108)-$A$63:$A$108)*'Cálculos'!$D$98)+1400)+'Cálculos'!$D$123)*'Cálculos'!$D$281)+('Cálculos'!$D$204*(1+'Cálculos'!$D$205+$A$63:$A$108*('Cálculos'!$D$290=3)*'Cálculos'!$D$103)+'Cálculos'!$D$206)*('Cálculos'!$D$272+'Cálculos'!$D$124*(1+2.78*('Cálculos'!$D$200+(($C108)-$A$63:$A$108)*'Cálculos'!$D$98)/(('Cálculos'!$D$200+(($C108)-$A$63:$A$108)*'Cálculos'!$D$98)+1400)+'Cálculos'!$D$122)*'Cálculos'!$D$277+'Cálculos'!$D$125*(1+2.78*('Cálculos'!$D$200+(($C108)-$A$63:$A$108)*'Cálculos'!$D$98)/(('Cálculos'!$D$200+(($C108)-$A$63:$A$108)*'Cálculos'!$D$98)+1400)+'Cálculos'!$D$123)*'Cálculos'!$D$282)))))</f>
        <v>0</v>
      </c>
      <c r="E108" s="32">
        <f>IF(OR($C108&lt;0,'Cálculos'!$D$6=""),0,$B108*$D108)</f>
        <v>0</v>
      </c>
      <c r="F108" s="2"/>
      <c r="G108" s="30">
        <f>($A108&lt;=$B$110)*($A108&lt;='Cálculos'!$D$294)*(($B$110)-$A108&lt;='Cálculos'!$D$295)*(1+MIN(('Cálculos'!$D$207+$A108*'Cálculos'!$D$95),1)*('Cálculos'!$D$208+(($B$110)-$A108)*'Cálculos'!$D$96))</f>
        <v>0</v>
      </c>
      <c r="H108" s="31">
        <f>IF($B$111&lt;0,0,($A108&lt;=$B$111)*($A108&lt;='Cálculos'!$D$301)*(($B$111)-$A108&lt;='Cálculos'!$D$297)*(('Cálculos'!$D$185*(1+'Cálculos'!$D$186+$A108*('Cálculos'!$D$290=1)*'Cálculos'!$D$97+'Cálculos'!$D$305)+'Cálculos'!$D$191)*('Cálculos'!$D$209+'Cálculos'!$D$124*(1+2.78*('Cálculos'!$D$196+(($B$111)-$A108)*'Cálculos'!$D$98)/(('Cálculos'!$D$196+(($B$111)-$A108)*'Cálculos'!$D$98)+1400)+'Cálculos'!$D$122)*'Cálculos'!$D$214+'Cálculos'!$D$125*(1+2.78*('Cálculos'!$D$196+(($B$111)-$A108)*'Cálculos'!$D$98)/(('Cálculos'!$D$196+(($B$111)-$A108)*'Cálculos'!$D$98)+1400)+'Cálculos'!$D$123)*'Cálculos'!$D$219)+('Cálculos'!$D$196+(($B$111)-$A108)*'Cálculos'!$D$98)*('Cálculos'!$D$210+'Cálculos'!$D$124*(1+2.78*('Cálculos'!$D$196+(($B$111)-$A108)*'Cálculos'!$D$98)/(('Cálculos'!$D$196+(($B$111)-$A108)*'Cálculos'!$D$98)+1400)+'Cálculos'!$D$122)*'Cálculos'!$D$215+'Cálculos'!$D$125*(1+2.78*('Cálculos'!$D$196+(($B$111)-$A108)*'Cálculos'!$D$98)/(('Cálculos'!$D$196+(($B$111)-$A108)*'Cálculos'!$D$98)+1400)+'Cálculos'!$D$123)*'Cálculos'!$D$220)+('Cálculos'!$D$201*(1+'Cálculos'!$D$202+$A108*('Cálculos'!$D$290=2)*'Cálculos'!$D$101)+'Cálculos'!$D$203)*('Cálculos'!$D$211+'Cálculos'!$D$124*(1+2.78*('Cálculos'!$D$196+(($B$111)-$A108)*'Cálculos'!$D$98)/(('Cálculos'!$D$196+(($B$111)-$A108)*'Cálculos'!$D$98)+1400)+'Cálculos'!$D$122)*'Cálculos'!$D$216+'Cálculos'!$D$125*(1+2.78*('Cálculos'!$D$196+(($B$111)-$A108)*'Cálculos'!$D$98)/(('Cálculos'!$D$196+(($B$111)-$A108)*'Cálculos'!$D$98)+1400)+'Cálculos'!$D$123)*'Cálculos'!$D$221)+('Cálculos'!$D$204*(1+'Cálculos'!$D$205+$A108*('Cálculos'!$D$290=3)*'Cálculos'!$D$103)+'Cálculos'!$D$206)*('Cálculos'!$D$212+'Cálculos'!$D$124*(1+2.78*('Cálculos'!$D$196+(($B$111)-$A108)*'Cálculos'!$D$98)/(('Cálculos'!$D$196+(($B$111)-$A108)*'Cálculos'!$D$98)+1400)+'Cálculos'!$D$122)*'Cálculos'!$D$217+'Cálculos'!$D$125*(1+2.78*('Cálculos'!$D$196+(($B$111)-$A108)*'Cálculos'!$D$98)/(('Cálculos'!$D$196+(($B$111)-$A108)*'Cálculos'!$D$98)+1400)+'Cálculos'!$D$123)*'Cálculos'!$D$222)+('Cálculos'!$D$185*(1+'Cálculos'!$D$187+$A108*('Cálculos'!$D$290=1)*'Cálculos'!$D$97+'Cálculos'!$D$305)+'Cálculos'!$D$192)*('Cálculos'!$D$224+'Cálculos'!$D$124*(1+2.78*('Cálculos'!$D$197+(($B$111)-$A108)*'Cálculos'!$D$98)/(('Cálculos'!$D$197+(($B$111)-$A108)*'Cálculos'!$D$98)+1400)+'Cálculos'!$D$122)*'Cálculos'!$D$229+'Cálculos'!$D$125*(1+2.78*('Cálculos'!$D$197+(($B$111)-$A108)*'Cálculos'!$D$98)/(('Cálculos'!$D$197+(($B$111)-$A108)*'Cálculos'!$D$98)+1400)+'Cálculos'!$D$123)*'Cálculos'!$D$234)+('Cálculos'!$D$197+(($B$111)-$A108)*'Cálculos'!$D$98)*('Cálculos'!$D$225+'Cálculos'!$D$124*(1+2.78*('Cálculos'!$D$197+(($B$111)-$A108)*'Cálculos'!$D$98)/(('Cálculos'!$D$197+(($B$111)-$A108)*'Cálculos'!$D$98)+1400)+'Cálculos'!$D$122)*'Cálculos'!$D$230+'Cálculos'!$D$125*(1+2.78*('Cálculos'!$D$197+(($B$111)-$A108)*'Cálculos'!$D$98)/(('Cálculos'!$D$197+(($B$111)-$A108)*'Cálculos'!$D$98)+1400)+'Cálculos'!$D$123)*'Cálculos'!$D$235)+('Cálculos'!$D$201*(1+'Cálculos'!$D$202+$A108*('Cálculos'!$D$290=2)*'Cálculos'!$D$101)+'Cálculos'!$D$203)*('Cálculos'!$D$226+'Cálculos'!$D$124*(1+2.78*('Cálculos'!$D$197+(($B$111)-$A108)*'Cálculos'!$D$98)/(('Cálculos'!$D$197+(($B$111)-$A108)*'Cálculos'!$D$98)+1400)+'Cálculos'!$D$122)*'Cálculos'!$D$231+'Cálculos'!$D$125*(1+2.78*('Cálculos'!$D$197+(($B$111)-$A108)*'Cálculos'!$D$98)/(('Cálculos'!$D$197+(($B$111)-$A108)*'Cálculos'!$D$98)+1400)+'Cálculos'!$D$123)*'Cálculos'!$D$236)+('Cálculos'!$D$204*(1+'Cálculos'!$D$205+$A108*('Cálculos'!$D$290=3)*'Cálculos'!$D$103)+'Cálculos'!$D$206)*('Cálculos'!$D$227+'Cálculos'!$D$124*(1+2.78*('Cálculos'!$D$197+(($B$111)-$A108)*'Cálculos'!$D$98)/(('Cálculos'!$D$197+(($B$111)-$A108)*'Cálculos'!$D$98)+1400)+'Cálculos'!$D$122)*'Cálculos'!$D$232+'Cálculos'!$D$125*(1+2.78*('Cálculos'!$D$197+(($B$111)-$A108)*'Cálculos'!$D$98)/(('Cálculos'!$D$197+(($B$111)-$A108)*'Cálculos'!$D$98)+1400)+'Cálculos'!$D$123)*'Cálculos'!$D$237)+('Cálculos'!$D$185*(1+'Cálculos'!$D$188+$A108*('Cálculos'!$D$290=1)*'Cálculos'!$D$97+'Cálculos'!$D$305)+'Cálculos'!$D$193)*('Cálculos'!$D$239+'Cálculos'!$D$124*(1+2.78*('Cálculos'!$D$198+(($B$111)-$A108)*'Cálculos'!$D$98)/(('Cálculos'!$D$198+(($B$111)-$A108)*'Cálculos'!$D$98)+1400)+'Cálculos'!$D$122)*'Cálculos'!$D$244+'Cálculos'!$D$125*(1+2.78*('Cálculos'!$D$198+(($B$111)-$A108)*'Cálculos'!$D$98)/(('Cálculos'!$D$198+(($B$111)-$A108)*'Cálculos'!$D$98)+1400)+'Cálculos'!$D$123)*'Cálculos'!$D$249)+('Cálculos'!$D$198+(($B$111)-$A108)*'Cálculos'!$D$98)*('Cálculos'!$D$240+'Cálculos'!$D$124*(1+2.78*('Cálculos'!$D$198+(($B$111)-$A108)*'Cálculos'!$D$98)/(('Cálculos'!$D$198+(($B$111)-$A108)*'Cálculos'!$D$98)+1400)+'Cálculos'!$D$122)*'Cálculos'!$D$245+'Cálculos'!$D$125*(1+2.78*('Cálculos'!$D$198+(($B$111)-$A108)*'Cálculos'!$D$98)/(('Cálculos'!$D$198+(($B$111)-$A108)*'Cálculos'!$D$98)+1400)+'Cálculos'!$D$123)*'Cálculos'!$D$250)+('Cálculos'!$D$201*(1+'Cálculos'!$D$202+$A108*('Cálculos'!$D$290=2)*'Cálculos'!$D$101)+'Cálculos'!$D$203)*('Cálculos'!$D$241+'Cálculos'!$D$124*(1+2.78*('Cálculos'!$D$198+(($B$111)-$A108)*'Cálculos'!$D$98)/(('Cálculos'!$D$198+(($B$111)-$A108)*'Cálculos'!$D$98)+1400)+'Cálculos'!$D$122)*'Cálculos'!$D$246+'Cálculos'!$D$125*(1+2.78*('Cálculos'!$D$198+(($B$111)-$A108)*'Cálculos'!$D$98)/(('Cálculos'!$D$198+(($B$111)-$A108)*'Cálculos'!$D$98)+1400)+'Cálculos'!$D$123)*'Cálculos'!$D$251)+('Cálculos'!$D$204*(1+'Cálculos'!$D$205+$A108*('Cálculos'!$D$290=3)*'Cálculos'!$D$103)+'Cálculos'!$D$206)*('Cálculos'!$D$242+'Cálculos'!$D$124*(1+2.78*('Cálculos'!$D$198+(($B$111)-$A108)*'Cálculos'!$D$98)/(('Cálculos'!$D$198+(($B$111)-$A108)*'Cálculos'!$D$98)+1400)+'Cálculos'!$D$122)*'Cálculos'!$D$247+'Cálculos'!$D$125*(1+2.78*('Cálculos'!$D$198+(($B$111)-$A108)*'Cálculos'!$D$98)/(('Cálculos'!$D$198+(($B$111)-$A108)*'Cálculos'!$D$98)+1400)+'Cálculos'!$D$123)*'Cálculos'!$D$252)+('Cálculos'!$D$185*(1+'Cálculos'!$D$189+$A108*('Cálculos'!$D$290=1)*'Cálculos'!$D$97+'Cálculos'!$D$305)+'Cálculos'!$D$194)*('Cálculos'!$D$254+'Cálculos'!$D$124*(1+2.78*('Cálculos'!$D$199+(($B$111)-$A108)*'Cálculos'!$D$98)/(('Cálculos'!$D$199+(($B$111)-$A108)*'Cálculos'!$D$98)+1400)+'Cálculos'!$D$122)*'Cálculos'!$D$259+'Cálculos'!$D$125*(1+2.78*('Cálculos'!$D$199+(($B$111)-$A108)*'Cálculos'!$D$98)/(('Cálculos'!$D$199+(($B$111)-$A108)*'Cálculos'!$D$98)+1400)+'Cálculos'!$D$123)*'Cálculos'!$D$264)+('Cálculos'!$D$199+(($B$111)-$A108)*'Cálculos'!$D$98)*('Cálculos'!$D$255+'Cálculos'!$D$124*(1+2.78*('Cálculos'!$D$199+(($B$111)-$A108)*'Cálculos'!$D$98)/(('Cálculos'!$D$199+(($B$111)-$A108)*'Cálculos'!$D$98)+1400)+'Cálculos'!$D$122)*'Cálculos'!$D$260+'Cálculos'!$D$125*(1+2.78*('Cálculos'!$D$199+(($B$111)-$A108)*'Cálculos'!$D$98)/(('Cálculos'!$D$199+(($B$111)-$A108)*'Cálculos'!$D$98)+1400)+'Cálculos'!$D$123)*'Cálculos'!$D$265)+('Cálculos'!$D$201*(1+'Cálculos'!$D$202+$A108*('Cálculos'!$D$290=2)*'Cálculos'!$D$101)+'Cálculos'!$D$203)*('Cálculos'!$D$256+'Cálculos'!$D$124*(1+2.78*('Cálculos'!$D$199+(($B$111)-$A108)*'Cálculos'!$D$98)/(('Cálculos'!$D$199+(($B$111)-$A108)*'Cálculos'!$D$98)+1400)+'Cálculos'!$D$122)*'Cálculos'!$D$261+'Cálculos'!$D$125*(1+2.78*('Cálculos'!$D$199+(($B$111)-$A108)*'Cálculos'!$D$98)/(('Cálculos'!$D$199+(($B$111)-$A108)*'Cálculos'!$D$98)+1400)+'Cálculos'!$D$123)*'Cálculos'!$D$266)+('Cálculos'!$D$204*(1+'Cálculos'!$D$205+$A108*('Cálculos'!$D$290=3)*'Cálculos'!$D$103)+'Cálculos'!$D$206)*('Cálculos'!$D$257+'Cálculos'!$D$124*(1+2.78*('Cálculos'!$D$199+(($B$111)-$A108)*'Cálculos'!$D$98)/(('Cálculos'!$D$199+(($B$111)-$A108)*'Cálculos'!$D$98)+1400)+'Cálculos'!$D$122)*'Cálculos'!$D$262+'Cálculos'!$D$125*(1+2.78*('Cálculos'!$D$199+(($B$111)-$A108)*'Cálculos'!$D$98)/(('Cálculos'!$D$199+(($B$111)-$A108)*'Cálculos'!$D$98)+1400)+'Cálculos'!$D$123)*'Cálculos'!$D$267)+('Cálculos'!$D$185*(1+'Cálculos'!$D$190+$A108*('Cálculos'!$D$290=1)*'Cálculos'!$D$97+'Cálculos'!$D$305)+'Cálculos'!$D$195)*('Cálculos'!$D$269+'Cálculos'!$D$124*(1+2.78*('Cálculos'!$D$200+(($B$111)-$A108)*'Cálculos'!$D$98)/(('Cálculos'!$D$200+(($B$111)-$A108)*'Cálculos'!$D$98)+1400)+'Cálculos'!$D$122)*'Cálculos'!$D$274+'Cálculos'!$D$125*(1+2.78*('Cálculos'!$D$200+(($B$111)-$A108)*'Cálculos'!$D$98)/(('Cálculos'!$D$200+(($B$111)-$A108)*'Cálculos'!$D$98)+1400)+'Cálculos'!$D$123)*'Cálculos'!$D$279)+('Cálculos'!$D$200+(($B$111)-$A108)*'Cálculos'!$D$98)*('Cálculos'!$D$270+'Cálculos'!$D$124*(1+2.78*('Cálculos'!$D$200+(($B$111)-$A108)*'Cálculos'!$D$98)/(('Cálculos'!$D$200+(($B$111)-$A108)*'Cálculos'!$D$98)+1400)+'Cálculos'!$D$122)*'Cálculos'!$D$275+'Cálculos'!$D$125*(1+2.78*('Cálculos'!$D$200+(($B$111)-$A108)*'Cálculos'!$D$98)/(('Cálculos'!$D$200+(($B$111)-$A108)*'Cálculos'!$D$98)+1400)+'Cálculos'!$D$123)*'Cálculos'!$D$280)+('Cálculos'!$D$201*(1+'Cálculos'!$D$202+$A108*('Cálculos'!$D$290=2)*'Cálculos'!$D$101)+'Cálculos'!$D$203)*('Cálculos'!$D$271+'Cálculos'!$D$124*(1+2.78*('Cálculos'!$D$200+(($B$111)-$A108)*'Cálculos'!$D$98)/(('Cálculos'!$D$200+(($B$111)-$A108)*'Cálculos'!$D$98)+1400)+'Cálculos'!$D$122)*'Cálculos'!$D$276+'Cálculos'!$D$125*(1+2.78*('Cálculos'!$D$200+(($B$111)-$A108)*'Cálculos'!$D$98)/(('Cálculos'!$D$200+(($B$111)-$A108)*'Cálculos'!$D$98)+1400)+'Cálculos'!$D$123)*'Cálculos'!$D$281)+('Cálculos'!$D$204*(1+'Cálculos'!$D$205+$A108*('Cálculos'!$D$290=3)*'Cálculos'!$D$103)+'Cálculos'!$D$206)*('Cálculos'!$D$272+'Cálculos'!$D$124*(1+2.78*('Cálculos'!$D$200+(($B$111)-$A108)*'Cálculos'!$D$98)/(('Cálculos'!$D$200+(($B$111)-$A108)*'Cálculos'!$D$98)+1400)+'Cálculos'!$D$122)*'Cálculos'!$D$277+'Cálculos'!$D$125*(1+2.78*('Cálculos'!$D$200+(($B$111)-$A108)*'Cálculos'!$D$98)/(('Cálculos'!$D$200+(($B$111)-$A108)*'Cálculos'!$D$98)+1400)+'Cálculos'!$D$123)*'Cálculos'!$D$282)))</f>
        <v>0</v>
      </c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3" t="s">
        <v>888</v>
      </c>
      <c r="B110" s="2">
        <f>IF('Cálculos'!$D$304="",MATCH(MAX($E$63:$E$108),$E$63:$E$108,0)-1,'Cálculos'!$D$304)</f>
        <v>11</v>
      </c>
      <c r="C110" s="2"/>
      <c r="D110" s="2"/>
      <c r="E110" s="2"/>
      <c r="F110" s="2"/>
      <c r="G110" s="2"/>
      <c r="H110" s="2"/>
    </row>
    <row r="111" ht="15.75" customHeight="1">
      <c r="A111" s="3" t="s">
        <v>889</v>
      </c>
      <c r="B111" s="2">
        <f>'Cálculos'!$D$303-$B$110</f>
        <v>0</v>
      </c>
      <c r="C111" s="2"/>
      <c r="D111" s="2"/>
      <c r="E111" s="2"/>
      <c r="F111" s="2"/>
      <c r="G111" s="2"/>
      <c r="H111" s="2"/>
    </row>
    <row r="112" ht="15.75" customHeight="1">
      <c r="A112" s="3" t="s">
        <v>637</v>
      </c>
      <c r="B112" s="37">
        <f>MATCH(MAX($G$63:$G$108),$G$63:$G$108,0)-1</f>
        <v>5</v>
      </c>
      <c r="C112" s="2"/>
      <c r="D112" s="2"/>
      <c r="E112" s="2"/>
      <c r="F112" s="2"/>
      <c r="G112" s="2"/>
      <c r="H112" s="2"/>
    </row>
    <row r="113" ht="15.75" customHeight="1">
      <c r="A113" s="3" t="s">
        <v>638</v>
      </c>
      <c r="B113" s="37">
        <f>$B$110-$B$112</f>
        <v>6</v>
      </c>
      <c r="C113" s="2"/>
      <c r="D113" s="2"/>
      <c r="E113" s="2"/>
      <c r="F113" s="2"/>
      <c r="G113" s="2"/>
      <c r="H113" s="2"/>
    </row>
    <row r="114" ht="15.75" customHeight="1">
      <c r="A114" s="3" t="s">
        <v>890</v>
      </c>
      <c r="B114" s="37">
        <f>MATCH(MAX($H$63:$H$108),$H$63:$H$108,0)-1</f>
        <v>0</v>
      </c>
      <c r="C114" s="2"/>
      <c r="D114" s="2"/>
      <c r="E114" s="2"/>
      <c r="F114" s="2"/>
      <c r="G114" s="2"/>
      <c r="H114" s="2"/>
    </row>
    <row r="115" ht="15.75" customHeight="1">
      <c r="A115" s="3" t="s">
        <v>640</v>
      </c>
      <c r="B115" s="37">
        <f>$B$111-$B$114</f>
        <v>0</v>
      </c>
      <c r="C115" s="2"/>
      <c r="D115" s="2"/>
      <c r="E115" s="2"/>
      <c r="F115" s="2"/>
      <c r="G115" s="2"/>
      <c r="H115" s="2"/>
    </row>
    <row r="116" ht="15.75" customHeight="1">
      <c r="A116" s="3" t="s">
        <v>641</v>
      </c>
      <c r="B116" s="37">
        <f>'Cálculos'!$D$302</f>
        <v>9</v>
      </c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3" t="str">
        <f>"Slot 3: "&amp;'Cálculos'!E6</f>
        <v>Slot 3: Iansan</v>
      </c>
      <c r="B118" s="2"/>
      <c r="C118" s="2"/>
      <c r="D118" s="2"/>
      <c r="E118" s="2"/>
      <c r="F118" s="2"/>
      <c r="G118" s="2"/>
      <c r="H118" s="2"/>
    </row>
    <row r="119" ht="15.75" customHeight="1">
      <c r="A119" s="6" t="s">
        <v>329</v>
      </c>
      <c r="B119" s="6" t="s">
        <v>330</v>
      </c>
      <c r="C119" s="6" t="s">
        <v>331</v>
      </c>
      <c r="D119" s="6" t="s">
        <v>332</v>
      </c>
      <c r="E119" s="6" t="s">
        <v>333</v>
      </c>
      <c r="F119" s="6"/>
      <c r="G119" s="6" t="s">
        <v>334</v>
      </c>
      <c r="H119" s="6" t="s">
        <v>335</v>
      </c>
    </row>
    <row r="120" ht="15.75" customHeight="1">
      <c r="A120" s="2">
        <v>0.0</v>
      </c>
      <c r="B120" s="30">
        <f>SUMPRODUCT(MAX(($A$120:$A$165&lt;=$A120)*($A$120:$A$165&lt;='Cálculos'!$E$294)*(($A120)-$A$120:$A$165&lt;='Cálculos'!$E$295)*(1+(('Cálculos'!$E$207+$A$120:$A$165*'Cálculos'!$E$95)-(('Cálculos'!$E$207+$A$120:$A$165*'Cálculos'!$E$95)&gt;1)*(('Cálculos'!$E$207+$A$120:$A$165*'Cálculos'!$E$95)-1))*('Cálculos'!$E$208+(($A120)-$A$120:$A$165)*'Cálculos'!$E$96))))</f>
        <v>1.269864</v>
      </c>
      <c r="C120" s="2">
        <f>'Cálculos'!$E$303-$A120</f>
        <v>13</v>
      </c>
      <c r="D120" s="31">
        <f>IF($C120&lt;0,0,SUMPRODUCT(MAX(($A$120:$A$165&lt;=$C120)*($A$120:$A$165&lt;='Cálculos'!$E$301)*(($C120)-$A$120:$A$165&lt;='Cálculos'!$E$297)*(('Cálculos'!$E$185*(1+'Cálculos'!$E$186+$A$120:$A$165*('Cálculos'!$E$290=1)*'Cálculos'!$E$97+'Cálculos'!$E$305)+'Cálculos'!$E$191)*('Cálculos'!$E$209+'Cálculos'!$E$124*(1+2.78*('Cálculos'!$E$196+(($C120)-$A$120:$A$165)*'Cálculos'!$E$98)/(('Cálculos'!$E$196+(($C120)-$A$120:$A$165)*'Cálculos'!$E$98)+1400)+'Cálculos'!$E$122)*'Cálculos'!$E$214+'Cálculos'!$E$125*(1+2.78*('Cálculos'!$E$196+(($C120)-$A$120:$A$165)*'Cálculos'!$E$98)/(('Cálculos'!$E$196+(($C120)-$A$120:$A$165)*'Cálculos'!$E$98)+1400)+'Cálculos'!$E$123)*'Cálculos'!$E$219)+('Cálculos'!$E$196+(($C120)-$A$120:$A$165)*'Cálculos'!$E$98)*('Cálculos'!$E$210+'Cálculos'!$E$124*(1+2.78*('Cálculos'!$E$196+(($C120)-$A$120:$A$165)*'Cálculos'!$E$98)/(('Cálculos'!$E$196+(($C120)-$A$120:$A$165)*'Cálculos'!$E$98)+1400)+'Cálculos'!$E$122)*'Cálculos'!$E$215+'Cálculos'!$E$125*(1+2.78*('Cálculos'!$E$196+(($C120)-$A$120:$A$165)*'Cálculos'!$E$98)/(('Cálculos'!$E$196+(($C120)-$A$120:$A$165)*'Cálculos'!$E$98)+1400)+'Cálculos'!$E$123)*'Cálculos'!$E$220)+('Cálculos'!$E$201*(1+'Cálculos'!$E$202+$A$120:$A$165*('Cálculos'!$E$290=2)*'Cálculos'!$E$101)+'Cálculos'!$E$203)*('Cálculos'!$E$211+'Cálculos'!$E$124*(1+2.78*('Cálculos'!$E$196+(($C120)-$A$120:$A$165)*'Cálculos'!$E$98)/(('Cálculos'!$E$196+(($C120)-$A$120:$A$165)*'Cálculos'!$E$98)+1400)+'Cálculos'!$E$122)*'Cálculos'!$E$216+'Cálculos'!$E$125*(1+2.78*('Cálculos'!$E$196+(($C120)-$A$120:$A$165)*'Cálculos'!$E$98)/(('Cálculos'!$E$196+(($C120)-$A$120:$A$165)*'Cálculos'!$E$98)+1400)+'Cálculos'!$E$123)*'Cálculos'!$E$221)+('Cálculos'!$E$204*(1+'Cálculos'!$E$205+$A$120:$A$165*('Cálculos'!$E$290=3)*'Cálculos'!$E$103)+'Cálculos'!$E$206)*('Cálculos'!$E$212+'Cálculos'!$E$124*(1+2.78*('Cálculos'!$E$196+(($C120)-$A$120:$A$165)*'Cálculos'!$E$98)/(('Cálculos'!$E$196+(($C120)-$A$120:$A$165)*'Cálculos'!$E$98)+1400)+'Cálculos'!$E$122)*'Cálculos'!$E$217+'Cálculos'!$E$125*(1+2.78*('Cálculos'!$E$196+(($C120)-$A$120:$A$165)*'Cálculos'!$E$98)/(('Cálculos'!$E$196+(($C120)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120)-$A$120:$A$165)*'Cálculos'!$E$98)/(('Cálculos'!$E$197+(($C120)-$A$120:$A$165)*'Cálculos'!$E$98)+1400)+'Cálculos'!$E$122)*'Cálculos'!$E$229+'Cálculos'!$E$125*(1+2.78*('Cálculos'!$E$197+(($C120)-$A$120:$A$165)*'Cálculos'!$E$98)/(('Cálculos'!$E$197+(($C120)-$A$120:$A$165)*'Cálculos'!$E$98)+1400)+'Cálculos'!$E$123)*'Cálculos'!$E$234)+('Cálculos'!$E$197+(($C120)-$A$120:$A$165)*'Cálculos'!$E$98)*('Cálculos'!$E$225+'Cálculos'!$E$124*(1+2.78*('Cálculos'!$E$197+(($C120)-$A$120:$A$165)*'Cálculos'!$E$98)/(('Cálculos'!$E$197+(($C120)-$A$120:$A$165)*'Cálculos'!$E$98)+1400)+'Cálculos'!$E$122)*'Cálculos'!$E$230+'Cálculos'!$E$125*(1+2.78*('Cálculos'!$E$197+(($C120)-$A$120:$A$165)*'Cálculos'!$E$98)/(('Cálculos'!$E$197+(($C120)-$A$120:$A$165)*'Cálculos'!$E$98)+1400)+'Cálculos'!$E$123)*'Cálculos'!$E$235)+('Cálculos'!$E$201*(1+'Cálculos'!$E$202+$A$120:$A$165*('Cálculos'!$E$290=2)*'Cálculos'!$E$101)+'Cálculos'!$E$203)*('Cálculos'!$E$226+'Cálculos'!$E$124*(1+2.78*('Cálculos'!$E$197+(($C120)-$A$120:$A$165)*'Cálculos'!$E$98)/(('Cálculos'!$E$197+(($C120)-$A$120:$A$165)*'Cálculos'!$E$98)+1400)+'Cálculos'!$E$122)*'Cálculos'!$E$231+'Cálculos'!$E$125*(1+2.78*('Cálculos'!$E$197+(($C120)-$A$120:$A$165)*'Cálculos'!$E$98)/(('Cálculos'!$E$197+(($C120)-$A$120:$A$165)*'Cálculos'!$E$98)+1400)+'Cálculos'!$E$123)*'Cálculos'!$E$236)+('Cálculos'!$E$204*(1+'Cálculos'!$E$205+$A$120:$A$165*('Cálculos'!$E$290=3)*'Cálculos'!$E$103)+'Cálculos'!$E$206)*('Cálculos'!$E$227+'Cálculos'!$E$124*(1+2.78*('Cálculos'!$E$197+(($C120)-$A$120:$A$165)*'Cálculos'!$E$98)/(('Cálculos'!$E$197+(($C120)-$A$120:$A$165)*'Cálculos'!$E$98)+1400)+'Cálculos'!$E$122)*'Cálculos'!$E$232+'Cálculos'!$E$125*(1+2.78*('Cálculos'!$E$197+(($C120)-$A$120:$A$165)*'Cálculos'!$E$98)/(('Cálculos'!$E$197+(($C120)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120)-$A$120:$A$165)*'Cálculos'!$E$98)/(('Cálculos'!$E$198+(($C120)-$A$120:$A$165)*'Cálculos'!$E$98)+1400)+'Cálculos'!$E$122)*'Cálculos'!$E$244+'Cálculos'!$E$125*(1+2.78*('Cálculos'!$E$198+(($C120)-$A$120:$A$165)*'Cálculos'!$E$98)/(('Cálculos'!$E$198+(($C120)-$A$120:$A$165)*'Cálculos'!$E$98)+1400)+'Cálculos'!$E$123)*'Cálculos'!$E$249)+('Cálculos'!$E$198+(($C120)-$A$120:$A$165)*'Cálculos'!$E$98)*('Cálculos'!$E$240+'Cálculos'!$E$124*(1+2.78*('Cálculos'!$E$198+(($C120)-$A$120:$A$165)*'Cálculos'!$E$98)/(('Cálculos'!$E$198+(($C120)-$A$120:$A$165)*'Cálculos'!$E$98)+1400)+'Cálculos'!$E$122)*'Cálculos'!$E$245+'Cálculos'!$E$125*(1+2.78*('Cálculos'!$E$198+(($C120)-$A$120:$A$165)*'Cálculos'!$E$98)/(('Cálculos'!$E$198+(($C120)-$A$120:$A$165)*'Cálculos'!$E$98)+1400)+'Cálculos'!$E$123)*'Cálculos'!$E$250)+('Cálculos'!$E$201*(1+'Cálculos'!$E$202+$A$120:$A$165*('Cálculos'!$E$290=2)*'Cálculos'!$E$101)+'Cálculos'!$E$203)*('Cálculos'!$E$241+'Cálculos'!$E$124*(1+2.78*('Cálculos'!$E$198+(($C120)-$A$120:$A$165)*'Cálculos'!$E$98)/(('Cálculos'!$E$198+(($C120)-$A$120:$A$165)*'Cálculos'!$E$98)+1400)+'Cálculos'!$E$122)*'Cálculos'!$E$246+'Cálculos'!$E$125*(1+2.78*('Cálculos'!$E$198+(($C120)-$A$120:$A$165)*'Cálculos'!$E$98)/(('Cálculos'!$E$198+(($C120)-$A$120:$A$165)*'Cálculos'!$E$98)+1400)+'Cálculos'!$E$123)*'Cálculos'!$E$251)+('Cálculos'!$E$204*(1+'Cálculos'!$E$205+$A$120:$A$165*('Cálculos'!$E$290=3)*'Cálculos'!$E$103)+'Cálculos'!$E$206)*('Cálculos'!$E$242+'Cálculos'!$E$124*(1+2.78*('Cálculos'!$E$198+(($C120)-$A$120:$A$165)*'Cálculos'!$E$98)/(('Cálculos'!$E$198+(($C120)-$A$120:$A$165)*'Cálculos'!$E$98)+1400)+'Cálculos'!$E$122)*'Cálculos'!$E$247+'Cálculos'!$E$125*(1+2.78*('Cálculos'!$E$198+(($C120)-$A$120:$A$165)*'Cálculos'!$E$98)/(('Cálculos'!$E$198+(($C120)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120)-$A$120:$A$165)*'Cálculos'!$E$98)/(('Cálculos'!$E$199+(($C120)-$A$120:$A$165)*'Cálculos'!$E$98)+1400)+'Cálculos'!$E$122)*'Cálculos'!$E$259+'Cálculos'!$E$125*(1+2.78*('Cálculos'!$E$199+(($C120)-$A$120:$A$165)*'Cálculos'!$E$98)/(('Cálculos'!$E$199+(($C120)-$A$120:$A$165)*'Cálculos'!$E$98)+1400)+'Cálculos'!$E$123)*'Cálculos'!$E$264)+('Cálculos'!$E$199+(($C120)-$A$120:$A$165)*'Cálculos'!$E$98)*('Cálculos'!$E$255+'Cálculos'!$E$124*(1+2.78*('Cálculos'!$E$199+(($C120)-$A$120:$A$165)*'Cálculos'!$E$98)/(('Cálculos'!$E$199+(($C120)-$A$120:$A$165)*'Cálculos'!$E$98)+1400)+'Cálculos'!$E$122)*'Cálculos'!$E$260+'Cálculos'!$E$125*(1+2.78*('Cálculos'!$E$199+(($C120)-$A$120:$A$165)*'Cálculos'!$E$98)/(('Cálculos'!$E$199+(($C120)-$A$120:$A$165)*'Cálculos'!$E$98)+1400)+'Cálculos'!$E$123)*'Cálculos'!$E$265)+('Cálculos'!$E$201*(1+'Cálculos'!$E$202+$A$120:$A$165*('Cálculos'!$E$290=2)*'Cálculos'!$E$101)+'Cálculos'!$E$203)*('Cálculos'!$E$256+'Cálculos'!$E$124*(1+2.78*('Cálculos'!$E$199+(($C120)-$A$120:$A$165)*'Cálculos'!$E$98)/(('Cálculos'!$E$199+(($C120)-$A$120:$A$165)*'Cálculos'!$E$98)+1400)+'Cálculos'!$E$122)*'Cálculos'!$E$261+'Cálculos'!$E$125*(1+2.78*('Cálculos'!$E$199+(($C120)-$A$120:$A$165)*'Cálculos'!$E$98)/(('Cálculos'!$E$199+(($C120)-$A$120:$A$165)*'Cálculos'!$E$98)+1400)+'Cálculos'!$E$123)*'Cálculos'!$E$266)+('Cálculos'!$E$204*(1+'Cálculos'!$E$205+$A$120:$A$165*('Cálculos'!$E$290=3)*'Cálculos'!$E$103)+'Cálculos'!$E$206)*('Cálculos'!$E$257+'Cálculos'!$E$124*(1+2.78*('Cálculos'!$E$199+(($C120)-$A$120:$A$165)*'Cálculos'!$E$98)/(('Cálculos'!$E$199+(($C120)-$A$120:$A$165)*'Cálculos'!$E$98)+1400)+'Cálculos'!$E$122)*'Cálculos'!$E$262+'Cálculos'!$E$125*(1+2.78*('Cálculos'!$E$199+(($C120)-$A$120:$A$165)*'Cálculos'!$E$98)/(('Cálculos'!$E$199+(($C120)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120)-$A$120:$A$165)*'Cálculos'!$E$98)/(('Cálculos'!$E$200+(($C120)-$A$120:$A$165)*'Cálculos'!$E$98)+1400)+'Cálculos'!$E$122)*'Cálculos'!$E$274+'Cálculos'!$E$125*(1+2.78*('Cálculos'!$E$200+(($C120)-$A$120:$A$165)*'Cálculos'!$E$98)/(('Cálculos'!$E$200+(($C120)-$A$120:$A$165)*'Cálculos'!$E$98)+1400)+'Cálculos'!$E$123)*'Cálculos'!$E$279)+('Cálculos'!$E$200+(($C120)-$A$120:$A$165)*'Cálculos'!$E$98)*('Cálculos'!$E$270+'Cálculos'!$E$124*(1+2.78*('Cálculos'!$E$200+(($C120)-$A$120:$A$165)*'Cálculos'!$E$98)/(('Cálculos'!$E$200+(($C120)-$A$120:$A$165)*'Cálculos'!$E$98)+1400)+'Cálculos'!$E$122)*'Cálculos'!$E$275+'Cálculos'!$E$125*(1+2.78*('Cálculos'!$E$200+(($C120)-$A$120:$A$165)*'Cálculos'!$E$98)/(('Cálculos'!$E$200+(($C120)-$A$120:$A$165)*'Cálculos'!$E$98)+1400)+'Cálculos'!$E$123)*'Cálculos'!$E$280)+('Cálculos'!$E$201*(1+'Cálculos'!$E$202+$A$120:$A$165*('Cálculos'!$E$290=2)*'Cálculos'!$E$101)+'Cálculos'!$E$203)*('Cálculos'!$E$271+'Cálculos'!$E$124*(1+2.78*('Cálculos'!$E$200+(($C120)-$A$120:$A$165)*'Cálculos'!$E$98)/(('Cálculos'!$E$200+(($C120)-$A$120:$A$165)*'Cálculos'!$E$98)+1400)+'Cálculos'!$E$122)*'Cálculos'!$E$276+'Cálculos'!$E$125*(1+2.78*('Cálculos'!$E$200+(($C120)-$A$120:$A$165)*'Cálculos'!$E$98)/(('Cálculos'!$E$200+(($C120)-$A$120:$A$165)*'Cálculos'!$E$98)+1400)+'Cálculos'!$E$123)*'Cálculos'!$E$281)+('Cálculos'!$E$204*(1+'Cálculos'!$E$205+$A$120:$A$165*('Cálculos'!$E$290=3)*'Cálculos'!$E$103)+'Cálculos'!$E$206)*('Cálculos'!$E$272+'Cálculos'!$E$124*(1+2.78*('Cálculos'!$E$200+(($C120)-$A$120:$A$165)*'Cálculos'!$E$98)/(('Cálculos'!$E$200+(($C120)-$A$120:$A$165)*'Cálculos'!$E$98)+1400)+'Cálculos'!$E$122)*'Cálculos'!$E$277+'Cálculos'!$E$125*(1+2.78*('Cálculos'!$E$200+(($C120)-$A$120:$A$165)*'Cálculos'!$E$98)/(('Cálculos'!$E$200+(($C120)-$A$120:$A$165)*'Cálculos'!$E$98)+1400)+'Cálculos'!$E$123)*'Cálculos'!$E$282)))))</f>
        <v>22297.55312</v>
      </c>
      <c r="E120" s="32">
        <f>IF(OR($C120&lt;0,'Cálculos'!$E$6=""),0,$B120*$D120)</f>
        <v>28314.85999</v>
      </c>
      <c r="F120" s="2"/>
      <c r="G120" s="30">
        <f>($A120&lt;=$B$167)*($A120&lt;='Cálculos'!$E$294)*(($B$167)-$A120&lt;='Cálculos'!$E$295)*(1+MIN(('Cálculos'!$E$207+$A120*'Cálculos'!$E$95),1)*('Cálculos'!$E$208+(($B$167)-$A120)*'Cálculos'!$E$96))</f>
        <v>1.63623</v>
      </c>
      <c r="H120" s="31">
        <f>IF($B$168&lt;0,0,($A120&lt;=$B$168)*($A120&lt;='Cálculos'!$E$301)*(($B$168)-$A120&lt;='Cálculos'!$E$297)*(('Cálculos'!$E$185*(1+'Cálculos'!$E$186+$A120*('Cálculos'!$E$290=1)*'Cálculos'!$E$97+'Cálculos'!$E$305)+'Cálculos'!$E$191)*('Cálculos'!$E$209+'Cálculos'!$E$124*(1+2.78*('Cálculos'!$E$196+(($B$168)-$A120)*'Cálculos'!$E$98)/(('Cálculos'!$E$196+(($B$168)-$A120)*'Cálculos'!$E$98)+1400)+'Cálculos'!$E$122)*'Cálculos'!$E$214+'Cálculos'!$E$125*(1+2.78*('Cálculos'!$E$196+(($B$168)-$A120)*'Cálculos'!$E$98)/(('Cálculos'!$E$196+(($B$168)-$A120)*'Cálculos'!$E$98)+1400)+'Cálculos'!$E$123)*'Cálculos'!$E$219)+('Cálculos'!$E$196+(($B$168)-$A120)*'Cálculos'!$E$98)*('Cálculos'!$E$210+'Cálculos'!$E$124*(1+2.78*('Cálculos'!$E$196+(($B$168)-$A120)*'Cálculos'!$E$98)/(('Cálculos'!$E$196+(($B$168)-$A120)*'Cálculos'!$E$98)+1400)+'Cálculos'!$E$122)*'Cálculos'!$E$215+'Cálculos'!$E$125*(1+2.78*('Cálculos'!$E$196+(($B$168)-$A120)*'Cálculos'!$E$98)/(('Cálculos'!$E$196+(($B$168)-$A120)*'Cálculos'!$E$98)+1400)+'Cálculos'!$E$123)*'Cálculos'!$E$220)+('Cálculos'!$E$201*(1+'Cálculos'!$E$202+$A120*('Cálculos'!$E$290=2)*'Cálculos'!$E$101)+'Cálculos'!$E$203)*('Cálculos'!$E$211+'Cálculos'!$E$124*(1+2.78*('Cálculos'!$E$196+(($B$168)-$A120)*'Cálculos'!$E$98)/(('Cálculos'!$E$196+(($B$168)-$A120)*'Cálculos'!$E$98)+1400)+'Cálculos'!$E$122)*'Cálculos'!$E$216+'Cálculos'!$E$125*(1+2.78*('Cálculos'!$E$196+(($B$168)-$A120)*'Cálculos'!$E$98)/(('Cálculos'!$E$196+(($B$168)-$A120)*'Cálculos'!$E$98)+1400)+'Cálculos'!$E$123)*'Cálculos'!$E$221)+('Cálculos'!$E$204*(1+'Cálculos'!$E$205+$A120*('Cálculos'!$E$290=3)*'Cálculos'!$E$103)+'Cálculos'!$E$206)*('Cálculos'!$E$212+'Cálculos'!$E$124*(1+2.78*('Cálculos'!$E$196+(($B$168)-$A120)*'Cálculos'!$E$98)/(('Cálculos'!$E$196+(($B$168)-$A120)*'Cálculos'!$E$98)+1400)+'Cálculos'!$E$122)*'Cálculos'!$E$217+'Cálculos'!$E$125*(1+2.78*('Cálculos'!$E$196+(($B$168)-$A120)*'Cálculos'!$E$98)/(('Cálculos'!$E$196+(($B$168)-$A120)*'Cálculos'!$E$98)+1400)+'Cálculos'!$E$123)*'Cálculos'!$E$222)+('Cálculos'!$E$185*(1+'Cálculos'!$E$187+$A120*('Cálculos'!$E$290=1)*'Cálculos'!$E$97+'Cálculos'!$E$305)+'Cálculos'!$E$192)*('Cálculos'!$E$224+'Cálculos'!$E$124*(1+2.78*('Cálculos'!$E$197+(($B$168)-$A120)*'Cálculos'!$E$98)/(('Cálculos'!$E$197+(($B$168)-$A120)*'Cálculos'!$E$98)+1400)+'Cálculos'!$E$122)*'Cálculos'!$E$229+'Cálculos'!$E$125*(1+2.78*('Cálculos'!$E$197+(($B$168)-$A120)*'Cálculos'!$E$98)/(('Cálculos'!$E$197+(($B$168)-$A120)*'Cálculos'!$E$98)+1400)+'Cálculos'!$E$123)*'Cálculos'!$E$234)+('Cálculos'!$E$197+(($B$168)-$A120)*'Cálculos'!$E$98)*('Cálculos'!$E$225+'Cálculos'!$E$124*(1+2.78*('Cálculos'!$E$197+(($B$168)-$A120)*'Cálculos'!$E$98)/(('Cálculos'!$E$197+(($B$168)-$A120)*'Cálculos'!$E$98)+1400)+'Cálculos'!$E$122)*'Cálculos'!$E$230+'Cálculos'!$E$125*(1+2.78*('Cálculos'!$E$197+(($B$168)-$A120)*'Cálculos'!$E$98)/(('Cálculos'!$E$197+(($B$168)-$A120)*'Cálculos'!$E$98)+1400)+'Cálculos'!$E$123)*'Cálculos'!$E$235)+('Cálculos'!$E$201*(1+'Cálculos'!$E$202+$A120*('Cálculos'!$E$290=2)*'Cálculos'!$E$101)+'Cálculos'!$E$203)*('Cálculos'!$E$226+'Cálculos'!$E$124*(1+2.78*('Cálculos'!$E$197+(($B$168)-$A120)*'Cálculos'!$E$98)/(('Cálculos'!$E$197+(($B$168)-$A120)*'Cálculos'!$E$98)+1400)+'Cálculos'!$E$122)*'Cálculos'!$E$231+'Cálculos'!$E$125*(1+2.78*('Cálculos'!$E$197+(($B$168)-$A120)*'Cálculos'!$E$98)/(('Cálculos'!$E$197+(($B$168)-$A120)*'Cálculos'!$E$98)+1400)+'Cálculos'!$E$123)*'Cálculos'!$E$236)+('Cálculos'!$E$204*(1+'Cálculos'!$E$205+$A120*('Cálculos'!$E$290=3)*'Cálculos'!$E$103)+'Cálculos'!$E$206)*('Cálculos'!$E$227+'Cálculos'!$E$124*(1+2.78*('Cálculos'!$E$197+(($B$168)-$A120)*'Cálculos'!$E$98)/(('Cálculos'!$E$197+(($B$168)-$A120)*'Cálculos'!$E$98)+1400)+'Cálculos'!$E$122)*'Cálculos'!$E$232+'Cálculos'!$E$125*(1+2.78*('Cálculos'!$E$197+(($B$168)-$A120)*'Cálculos'!$E$98)/(('Cálculos'!$E$197+(($B$168)-$A120)*'Cálculos'!$E$98)+1400)+'Cálculos'!$E$123)*'Cálculos'!$E$237)+('Cálculos'!$E$185*(1+'Cálculos'!$E$188+$A120*('Cálculos'!$E$290=1)*'Cálculos'!$E$97+'Cálculos'!$E$305)+'Cálculos'!$E$193)*('Cálculos'!$E$239+'Cálculos'!$E$124*(1+2.78*('Cálculos'!$E$198+(($B$168)-$A120)*'Cálculos'!$E$98)/(('Cálculos'!$E$198+(($B$168)-$A120)*'Cálculos'!$E$98)+1400)+'Cálculos'!$E$122)*'Cálculos'!$E$244+'Cálculos'!$E$125*(1+2.78*('Cálculos'!$E$198+(($B$168)-$A120)*'Cálculos'!$E$98)/(('Cálculos'!$E$198+(($B$168)-$A120)*'Cálculos'!$E$98)+1400)+'Cálculos'!$E$123)*'Cálculos'!$E$249)+('Cálculos'!$E$198+(($B$168)-$A120)*'Cálculos'!$E$98)*('Cálculos'!$E$240+'Cálculos'!$E$124*(1+2.78*('Cálculos'!$E$198+(($B$168)-$A120)*'Cálculos'!$E$98)/(('Cálculos'!$E$198+(($B$168)-$A120)*'Cálculos'!$E$98)+1400)+'Cálculos'!$E$122)*'Cálculos'!$E$245+'Cálculos'!$E$125*(1+2.78*('Cálculos'!$E$198+(($B$168)-$A120)*'Cálculos'!$E$98)/(('Cálculos'!$E$198+(($B$168)-$A120)*'Cálculos'!$E$98)+1400)+'Cálculos'!$E$123)*'Cálculos'!$E$250)+('Cálculos'!$E$201*(1+'Cálculos'!$E$202+$A120*('Cálculos'!$E$290=2)*'Cálculos'!$E$101)+'Cálculos'!$E$203)*('Cálculos'!$E$241+'Cálculos'!$E$124*(1+2.78*('Cálculos'!$E$198+(($B$168)-$A120)*'Cálculos'!$E$98)/(('Cálculos'!$E$198+(($B$168)-$A120)*'Cálculos'!$E$98)+1400)+'Cálculos'!$E$122)*'Cálculos'!$E$246+'Cálculos'!$E$125*(1+2.78*('Cálculos'!$E$198+(($B$168)-$A120)*'Cálculos'!$E$98)/(('Cálculos'!$E$198+(($B$168)-$A120)*'Cálculos'!$E$98)+1400)+'Cálculos'!$E$123)*'Cálculos'!$E$251)+('Cálculos'!$E$204*(1+'Cálculos'!$E$205+$A120*('Cálculos'!$E$290=3)*'Cálculos'!$E$103)+'Cálculos'!$E$206)*('Cálculos'!$E$242+'Cálculos'!$E$124*(1+2.78*('Cálculos'!$E$198+(($B$168)-$A120)*'Cálculos'!$E$98)/(('Cálculos'!$E$198+(($B$168)-$A120)*'Cálculos'!$E$98)+1400)+'Cálculos'!$E$122)*'Cálculos'!$E$247+'Cálculos'!$E$125*(1+2.78*('Cálculos'!$E$198+(($B$168)-$A120)*'Cálculos'!$E$98)/(('Cálculos'!$E$198+(($B$168)-$A120)*'Cálculos'!$E$98)+1400)+'Cálculos'!$E$123)*'Cálculos'!$E$252)+('Cálculos'!$E$185*(1+'Cálculos'!$E$189+$A120*('Cálculos'!$E$290=1)*'Cálculos'!$E$97+'Cálculos'!$E$305)+'Cálculos'!$E$194)*('Cálculos'!$E$254+'Cálculos'!$E$124*(1+2.78*('Cálculos'!$E$199+(($B$168)-$A120)*'Cálculos'!$E$98)/(('Cálculos'!$E$199+(($B$168)-$A120)*'Cálculos'!$E$98)+1400)+'Cálculos'!$E$122)*'Cálculos'!$E$259+'Cálculos'!$E$125*(1+2.78*('Cálculos'!$E$199+(($B$168)-$A120)*'Cálculos'!$E$98)/(('Cálculos'!$E$199+(($B$168)-$A120)*'Cálculos'!$E$98)+1400)+'Cálculos'!$E$123)*'Cálculos'!$E$264)+('Cálculos'!$E$199+(($B$168)-$A120)*'Cálculos'!$E$98)*('Cálculos'!$E$255+'Cálculos'!$E$124*(1+2.78*('Cálculos'!$E$199+(($B$168)-$A120)*'Cálculos'!$E$98)/(('Cálculos'!$E$199+(($B$168)-$A120)*'Cálculos'!$E$98)+1400)+'Cálculos'!$E$122)*'Cálculos'!$E$260+'Cálculos'!$E$125*(1+2.78*('Cálculos'!$E$199+(($B$168)-$A120)*'Cálculos'!$E$98)/(('Cálculos'!$E$199+(($B$168)-$A120)*'Cálculos'!$E$98)+1400)+'Cálculos'!$E$123)*'Cálculos'!$E$265)+('Cálculos'!$E$201*(1+'Cálculos'!$E$202+$A120*('Cálculos'!$E$290=2)*'Cálculos'!$E$101)+'Cálculos'!$E$203)*('Cálculos'!$E$256+'Cálculos'!$E$124*(1+2.78*('Cálculos'!$E$199+(($B$168)-$A120)*'Cálculos'!$E$98)/(('Cálculos'!$E$199+(($B$168)-$A120)*'Cálculos'!$E$98)+1400)+'Cálculos'!$E$122)*'Cálculos'!$E$261+'Cálculos'!$E$125*(1+2.78*('Cálculos'!$E$199+(($B$168)-$A120)*'Cálculos'!$E$98)/(('Cálculos'!$E$199+(($B$168)-$A120)*'Cálculos'!$E$98)+1400)+'Cálculos'!$E$123)*'Cálculos'!$E$266)+('Cálculos'!$E$204*(1+'Cálculos'!$E$205+$A120*('Cálculos'!$E$290=3)*'Cálculos'!$E$103)+'Cálculos'!$E$206)*('Cálculos'!$E$257+'Cálculos'!$E$124*(1+2.78*('Cálculos'!$E$199+(($B$168)-$A120)*'Cálculos'!$E$98)/(('Cálculos'!$E$199+(($B$168)-$A120)*'Cálculos'!$E$98)+1400)+'Cálculos'!$E$122)*'Cálculos'!$E$262+'Cálculos'!$E$125*(1+2.78*('Cálculos'!$E$199+(($B$168)-$A120)*'Cálculos'!$E$98)/(('Cálculos'!$E$199+(($B$168)-$A120)*'Cálculos'!$E$98)+1400)+'Cálculos'!$E$123)*'Cálculos'!$E$267)+('Cálculos'!$E$185*(1+'Cálculos'!$E$190+$A120*('Cálculos'!$E$290=1)*'Cálculos'!$E$97+'Cálculos'!$E$305)+'Cálculos'!$E$195)*('Cálculos'!$E$269+'Cálculos'!$E$124*(1+2.78*('Cálculos'!$E$200+(($B$168)-$A120)*'Cálculos'!$E$98)/(('Cálculos'!$E$200+(($B$168)-$A120)*'Cálculos'!$E$98)+1400)+'Cálculos'!$E$122)*'Cálculos'!$E$274+'Cálculos'!$E$125*(1+2.78*('Cálculos'!$E$200+(($B$168)-$A120)*'Cálculos'!$E$98)/(('Cálculos'!$E$200+(($B$168)-$A120)*'Cálculos'!$E$98)+1400)+'Cálculos'!$E$123)*'Cálculos'!$E$279)+('Cálculos'!$E$200+(($B$168)-$A120)*'Cálculos'!$E$98)*('Cálculos'!$E$270+'Cálculos'!$E$124*(1+2.78*('Cálculos'!$E$200+(($B$168)-$A120)*'Cálculos'!$E$98)/(('Cálculos'!$E$200+(($B$168)-$A120)*'Cálculos'!$E$98)+1400)+'Cálculos'!$E$122)*'Cálculos'!$E$275+'Cálculos'!$E$125*(1+2.78*('Cálculos'!$E$200+(($B$168)-$A120)*'Cálculos'!$E$98)/(('Cálculos'!$E$200+(($B$168)-$A120)*'Cálculos'!$E$98)+1400)+'Cálculos'!$E$123)*'Cálculos'!$E$280)+('Cálculos'!$E$201*(1+'Cálculos'!$E$202+$A120*('Cálculos'!$E$290=2)*'Cálculos'!$E$101)+'Cálculos'!$E$203)*('Cálculos'!$E$271+'Cálculos'!$E$124*(1+2.78*('Cálculos'!$E$200+(($B$168)-$A120)*'Cálculos'!$E$98)/(('Cálculos'!$E$200+(($B$168)-$A120)*'Cálculos'!$E$98)+1400)+'Cálculos'!$E$122)*'Cálculos'!$E$276+'Cálculos'!$E$125*(1+2.78*('Cálculos'!$E$200+(($B$168)-$A120)*'Cálculos'!$E$98)/(('Cálculos'!$E$200+(($B$168)-$A120)*'Cálculos'!$E$98)+1400)+'Cálculos'!$E$123)*'Cálculos'!$E$281)+('Cálculos'!$E$204*(1+'Cálculos'!$E$205+$A120*('Cálculos'!$E$290=3)*'Cálculos'!$E$103)+'Cálculos'!$E$206)*('Cálculos'!$E$272+'Cálculos'!$E$124*(1+2.78*('Cálculos'!$E$200+(($B$168)-$A120)*'Cálculos'!$E$98)/(('Cálculos'!$E$200+(($B$168)-$A120)*'Cálculos'!$E$98)+1400)+'Cálculos'!$E$122)*'Cálculos'!$E$277+'Cálculos'!$E$125*(1+2.78*('Cálculos'!$E$200+(($B$168)-$A120)*'Cálculos'!$E$98)/(('Cálculos'!$E$200+(($B$168)-$A120)*'Cálculos'!$E$98)+1400)+'Cálculos'!$E$123)*'Cálculos'!$E$282)))</f>
        <v>18580.03501</v>
      </c>
    </row>
    <row r="121" ht="15.75" customHeight="1">
      <c r="A121" s="2">
        <v>1.0</v>
      </c>
      <c r="B121" s="30">
        <f>SUMPRODUCT(MAX(($A$120:$A$165&lt;=$A121)*($A$120:$A$165&lt;='Cálculos'!$E$294)*(($A121)-$A$120:$A$165&lt;='Cálculos'!$E$295)*(1+(('Cálculos'!$E$207+$A$120:$A$165*'Cálculos'!$E$95)-(('Cálculos'!$E$207+$A$120:$A$165*'Cálculos'!$E$95)&gt;1)*(('Cálculos'!$E$207+$A$120:$A$165*'Cálculos'!$E$95)-1))*('Cálculos'!$E$208+(($A121)-$A$120:$A$165)*'Cálculos'!$E$96))))</f>
        <v>1.298046</v>
      </c>
      <c r="C121" s="2">
        <f>'Cálculos'!$E$303-$A121</f>
        <v>12</v>
      </c>
      <c r="D121" s="31">
        <f>IF($C121&lt;0,0,SUMPRODUCT(MAX(($A$120:$A$165&lt;=$C121)*($A$120:$A$165&lt;='Cálculos'!$E$301)*(($C121)-$A$120:$A$165&lt;='Cálculos'!$E$297)*(('Cálculos'!$E$185*(1+'Cálculos'!$E$186+$A$120:$A$165*('Cálculos'!$E$290=1)*'Cálculos'!$E$97+'Cálculos'!$E$305)+'Cálculos'!$E$191)*('Cálculos'!$E$209+'Cálculos'!$E$124*(1+2.78*('Cálculos'!$E$196+(($C121)-$A$120:$A$165)*'Cálculos'!$E$98)/(('Cálculos'!$E$196+(($C121)-$A$120:$A$165)*'Cálculos'!$E$98)+1400)+'Cálculos'!$E$122)*'Cálculos'!$E$214+'Cálculos'!$E$125*(1+2.78*('Cálculos'!$E$196+(($C121)-$A$120:$A$165)*'Cálculos'!$E$98)/(('Cálculos'!$E$196+(($C121)-$A$120:$A$165)*'Cálculos'!$E$98)+1400)+'Cálculos'!$E$123)*'Cálculos'!$E$219)+('Cálculos'!$E$196+(($C121)-$A$120:$A$165)*'Cálculos'!$E$98)*('Cálculos'!$E$210+'Cálculos'!$E$124*(1+2.78*('Cálculos'!$E$196+(($C121)-$A$120:$A$165)*'Cálculos'!$E$98)/(('Cálculos'!$E$196+(($C121)-$A$120:$A$165)*'Cálculos'!$E$98)+1400)+'Cálculos'!$E$122)*'Cálculos'!$E$215+'Cálculos'!$E$125*(1+2.78*('Cálculos'!$E$196+(($C121)-$A$120:$A$165)*'Cálculos'!$E$98)/(('Cálculos'!$E$196+(($C121)-$A$120:$A$165)*'Cálculos'!$E$98)+1400)+'Cálculos'!$E$123)*'Cálculos'!$E$220)+('Cálculos'!$E$201*(1+'Cálculos'!$E$202+$A$120:$A$165*('Cálculos'!$E$290=2)*'Cálculos'!$E$101)+'Cálculos'!$E$203)*('Cálculos'!$E$211+'Cálculos'!$E$124*(1+2.78*('Cálculos'!$E$196+(($C121)-$A$120:$A$165)*'Cálculos'!$E$98)/(('Cálculos'!$E$196+(($C121)-$A$120:$A$165)*'Cálculos'!$E$98)+1400)+'Cálculos'!$E$122)*'Cálculos'!$E$216+'Cálculos'!$E$125*(1+2.78*('Cálculos'!$E$196+(($C121)-$A$120:$A$165)*'Cálculos'!$E$98)/(('Cálculos'!$E$196+(($C121)-$A$120:$A$165)*'Cálculos'!$E$98)+1400)+'Cálculos'!$E$123)*'Cálculos'!$E$221)+('Cálculos'!$E$204*(1+'Cálculos'!$E$205+$A$120:$A$165*('Cálculos'!$E$290=3)*'Cálculos'!$E$103)+'Cálculos'!$E$206)*('Cálculos'!$E$212+'Cálculos'!$E$124*(1+2.78*('Cálculos'!$E$196+(($C121)-$A$120:$A$165)*'Cálculos'!$E$98)/(('Cálculos'!$E$196+(($C121)-$A$120:$A$165)*'Cálculos'!$E$98)+1400)+'Cálculos'!$E$122)*'Cálculos'!$E$217+'Cálculos'!$E$125*(1+2.78*('Cálculos'!$E$196+(($C121)-$A$120:$A$165)*'Cálculos'!$E$98)/(('Cálculos'!$E$196+(($C121)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121)-$A$120:$A$165)*'Cálculos'!$E$98)/(('Cálculos'!$E$197+(($C121)-$A$120:$A$165)*'Cálculos'!$E$98)+1400)+'Cálculos'!$E$122)*'Cálculos'!$E$229+'Cálculos'!$E$125*(1+2.78*('Cálculos'!$E$197+(($C121)-$A$120:$A$165)*'Cálculos'!$E$98)/(('Cálculos'!$E$197+(($C121)-$A$120:$A$165)*'Cálculos'!$E$98)+1400)+'Cálculos'!$E$123)*'Cálculos'!$E$234)+('Cálculos'!$E$197+(($C121)-$A$120:$A$165)*'Cálculos'!$E$98)*('Cálculos'!$E$225+'Cálculos'!$E$124*(1+2.78*('Cálculos'!$E$197+(($C121)-$A$120:$A$165)*'Cálculos'!$E$98)/(('Cálculos'!$E$197+(($C121)-$A$120:$A$165)*'Cálculos'!$E$98)+1400)+'Cálculos'!$E$122)*'Cálculos'!$E$230+'Cálculos'!$E$125*(1+2.78*('Cálculos'!$E$197+(($C121)-$A$120:$A$165)*'Cálculos'!$E$98)/(('Cálculos'!$E$197+(($C121)-$A$120:$A$165)*'Cálculos'!$E$98)+1400)+'Cálculos'!$E$123)*'Cálculos'!$E$235)+('Cálculos'!$E$201*(1+'Cálculos'!$E$202+$A$120:$A$165*('Cálculos'!$E$290=2)*'Cálculos'!$E$101)+'Cálculos'!$E$203)*('Cálculos'!$E$226+'Cálculos'!$E$124*(1+2.78*('Cálculos'!$E$197+(($C121)-$A$120:$A$165)*'Cálculos'!$E$98)/(('Cálculos'!$E$197+(($C121)-$A$120:$A$165)*'Cálculos'!$E$98)+1400)+'Cálculos'!$E$122)*'Cálculos'!$E$231+'Cálculos'!$E$125*(1+2.78*('Cálculos'!$E$197+(($C121)-$A$120:$A$165)*'Cálculos'!$E$98)/(('Cálculos'!$E$197+(($C121)-$A$120:$A$165)*'Cálculos'!$E$98)+1400)+'Cálculos'!$E$123)*'Cálculos'!$E$236)+('Cálculos'!$E$204*(1+'Cálculos'!$E$205+$A$120:$A$165*('Cálculos'!$E$290=3)*'Cálculos'!$E$103)+'Cálculos'!$E$206)*('Cálculos'!$E$227+'Cálculos'!$E$124*(1+2.78*('Cálculos'!$E$197+(($C121)-$A$120:$A$165)*'Cálculos'!$E$98)/(('Cálculos'!$E$197+(($C121)-$A$120:$A$165)*'Cálculos'!$E$98)+1400)+'Cálculos'!$E$122)*'Cálculos'!$E$232+'Cálculos'!$E$125*(1+2.78*('Cálculos'!$E$197+(($C121)-$A$120:$A$165)*'Cálculos'!$E$98)/(('Cálculos'!$E$197+(($C121)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121)-$A$120:$A$165)*'Cálculos'!$E$98)/(('Cálculos'!$E$198+(($C121)-$A$120:$A$165)*'Cálculos'!$E$98)+1400)+'Cálculos'!$E$122)*'Cálculos'!$E$244+'Cálculos'!$E$125*(1+2.78*('Cálculos'!$E$198+(($C121)-$A$120:$A$165)*'Cálculos'!$E$98)/(('Cálculos'!$E$198+(($C121)-$A$120:$A$165)*'Cálculos'!$E$98)+1400)+'Cálculos'!$E$123)*'Cálculos'!$E$249)+('Cálculos'!$E$198+(($C121)-$A$120:$A$165)*'Cálculos'!$E$98)*('Cálculos'!$E$240+'Cálculos'!$E$124*(1+2.78*('Cálculos'!$E$198+(($C121)-$A$120:$A$165)*'Cálculos'!$E$98)/(('Cálculos'!$E$198+(($C121)-$A$120:$A$165)*'Cálculos'!$E$98)+1400)+'Cálculos'!$E$122)*'Cálculos'!$E$245+'Cálculos'!$E$125*(1+2.78*('Cálculos'!$E$198+(($C121)-$A$120:$A$165)*'Cálculos'!$E$98)/(('Cálculos'!$E$198+(($C121)-$A$120:$A$165)*'Cálculos'!$E$98)+1400)+'Cálculos'!$E$123)*'Cálculos'!$E$250)+('Cálculos'!$E$201*(1+'Cálculos'!$E$202+$A$120:$A$165*('Cálculos'!$E$290=2)*'Cálculos'!$E$101)+'Cálculos'!$E$203)*('Cálculos'!$E$241+'Cálculos'!$E$124*(1+2.78*('Cálculos'!$E$198+(($C121)-$A$120:$A$165)*'Cálculos'!$E$98)/(('Cálculos'!$E$198+(($C121)-$A$120:$A$165)*'Cálculos'!$E$98)+1400)+'Cálculos'!$E$122)*'Cálculos'!$E$246+'Cálculos'!$E$125*(1+2.78*('Cálculos'!$E$198+(($C121)-$A$120:$A$165)*'Cálculos'!$E$98)/(('Cálculos'!$E$198+(($C121)-$A$120:$A$165)*'Cálculos'!$E$98)+1400)+'Cálculos'!$E$123)*'Cálculos'!$E$251)+('Cálculos'!$E$204*(1+'Cálculos'!$E$205+$A$120:$A$165*('Cálculos'!$E$290=3)*'Cálculos'!$E$103)+'Cálculos'!$E$206)*('Cálculos'!$E$242+'Cálculos'!$E$124*(1+2.78*('Cálculos'!$E$198+(($C121)-$A$120:$A$165)*'Cálculos'!$E$98)/(('Cálculos'!$E$198+(($C121)-$A$120:$A$165)*'Cálculos'!$E$98)+1400)+'Cálculos'!$E$122)*'Cálculos'!$E$247+'Cálculos'!$E$125*(1+2.78*('Cálculos'!$E$198+(($C121)-$A$120:$A$165)*'Cálculos'!$E$98)/(('Cálculos'!$E$198+(($C121)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121)-$A$120:$A$165)*'Cálculos'!$E$98)/(('Cálculos'!$E$199+(($C121)-$A$120:$A$165)*'Cálculos'!$E$98)+1400)+'Cálculos'!$E$122)*'Cálculos'!$E$259+'Cálculos'!$E$125*(1+2.78*('Cálculos'!$E$199+(($C121)-$A$120:$A$165)*'Cálculos'!$E$98)/(('Cálculos'!$E$199+(($C121)-$A$120:$A$165)*'Cálculos'!$E$98)+1400)+'Cálculos'!$E$123)*'Cálculos'!$E$264)+('Cálculos'!$E$199+(($C121)-$A$120:$A$165)*'Cálculos'!$E$98)*('Cálculos'!$E$255+'Cálculos'!$E$124*(1+2.78*('Cálculos'!$E$199+(($C121)-$A$120:$A$165)*'Cálculos'!$E$98)/(('Cálculos'!$E$199+(($C121)-$A$120:$A$165)*'Cálculos'!$E$98)+1400)+'Cálculos'!$E$122)*'Cálculos'!$E$260+'Cálculos'!$E$125*(1+2.78*('Cálculos'!$E$199+(($C121)-$A$120:$A$165)*'Cálculos'!$E$98)/(('Cálculos'!$E$199+(($C121)-$A$120:$A$165)*'Cálculos'!$E$98)+1400)+'Cálculos'!$E$123)*'Cálculos'!$E$265)+('Cálculos'!$E$201*(1+'Cálculos'!$E$202+$A$120:$A$165*('Cálculos'!$E$290=2)*'Cálculos'!$E$101)+'Cálculos'!$E$203)*('Cálculos'!$E$256+'Cálculos'!$E$124*(1+2.78*('Cálculos'!$E$199+(($C121)-$A$120:$A$165)*'Cálculos'!$E$98)/(('Cálculos'!$E$199+(($C121)-$A$120:$A$165)*'Cálculos'!$E$98)+1400)+'Cálculos'!$E$122)*'Cálculos'!$E$261+'Cálculos'!$E$125*(1+2.78*('Cálculos'!$E$199+(($C121)-$A$120:$A$165)*'Cálculos'!$E$98)/(('Cálculos'!$E$199+(($C121)-$A$120:$A$165)*'Cálculos'!$E$98)+1400)+'Cálculos'!$E$123)*'Cálculos'!$E$266)+('Cálculos'!$E$204*(1+'Cálculos'!$E$205+$A$120:$A$165*('Cálculos'!$E$290=3)*'Cálculos'!$E$103)+'Cálculos'!$E$206)*('Cálculos'!$E$257+'Cálculos'!$E$124*(1+2.78*('Cálculos'!$E$199+(($C121)-$A$120:$A$165)*'Cálculos'!$E$98)/(('Cálculos'!$E$199+(($C121)-$A$120:$A$165)*'Cálculos'!$E$98)+1400)+'Cálculos'!$E$122)*'Cálculos'!$E$262+'Cálculos'!$E$125*(1+2.78*('Cálculos'!$E$199+(($C121)-$A$120:$A$165)*'Cálculos'!$E$98)/(('Cálculos'!$E$199+(($C121)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121)-$A$120:$A$165)*'Cálculos'!$E$98)/(('Cálculos'!$E$200+(($C121)-$A$120:$A$165)*'Cálculos'!$E$98)+1400)+'Cálculos'!$E$122)*'Cálculos'!$E$274+'Cálculos'!$E$125*(1+2.78*('Cálculos'!$E$200+(($C121)-$A$120:$A$165)*'Cálculos'!$E$98)/(('Cálculos'!$E$200+(($C121)-$A$120:$A$165)*'Cálculos'!$E$98)+1400)+'Cálculos'!$E$123)*'Cálculos'!$E$279)+('Cálculos'!$E$200+(($C121)-$A$120:$A$165)*'Cálculos'!$E$98)*('Cálculos'!$E$270+'Cálculos'!$E$124*(1+2.78*('Cálculos'!$E$200+(($C121)-$A$120:$A$165)*'Cálculos'!$E$98)/(('Cálculos'!$E$200+(($C121)-$A$120:$A$165)*'Cálculos'!$E$98)+1400)+'Cálculos'!$E$122)*'Cálculos'!$E$275+'Cálculos'!$E$125*(1+2.78*('Cálculos'!$E$200+(($C121)-$A$120:$A$165)*'Cálculos'!$E$98)/(('Cálculos'!$E$200+(($C121)-$A$120:$A$165)*'Cálculos'!$E$98)+1400)+'Cálculos'!$E$123)*'Cálculos'!$E$280)+('Cálculos'!$E$201*(1+'Cálculos'!$E$202+$A$120:$A$165*('Cálculos'!$E$290=2)*'Cálculos'!$E$101)+'Cálculos'!$E$203)*('Cálculos'!$E$271+'Cálculos'!$E$124*(1+2.78*('Cálculos'!$E$200+(($C121)-$A$120:$A$165)*'Cálculos'!$E$98)/(('Cálculos'!$E$200+(($C121)-$A$120:$A$165)*'Cálculos'!$E$98)+1400)+'Cálculos'!$E$122)*'Cálculos'!$E$276+'Cálculos'!$E$125*(1+2.78*('Cálculos'!$E$200+(($C121)-$A$120:$A$165)*'Cálculos'!$E$98)/(('Cálculos'!$E$200+(($C121)-$A$120:$A$165)*'Cálculos'!$E$98)+1400)+'Cálculos'!$E$123)*'Cálculos'!$E$281)+('Cálculos'!$E$204*(1+'Cálculos'!$E$205+$A$120:$A$165*('Cálculos'!$E$290=3)*'Cálculos'!$E$103)+'Cálculos'!$E$206)*('Cálculos'!$E$272+'Cálculos'!$E$124*(1+2.78*('Cálculos'!$E$200+(($C121)-$A$120:$A$165)*'Cálculos'!$E$98)/(('Cálculos'!$E$200+(($C121)-$A$120:$A$165)*'Cálculos'!$E$98)+1400)+'Cálculos'!$E$122)*'Cálculos'!$E$277+'Cálculos'!$E$125*(1+2.78*('Cálculos'!$E$200+(($C121)-$A$120:$A$165)*'Cálculos'!$E$98)/(('Cálculos'!$E$200+(($C121)-$A$120:$A$165)*'Cálculos'!$E$98)+1400)+'Cálculos'!$E$123)*'Cálculos'!$E$282)))))</f>
        <v>22011.59019</v>
      </c>
      <c r="E121" s="32">
        <f>IF(OR($C121&lt;0,'Cálculos'!$E$6=""),0,$B121*$D121)</f>
        <v>28572.0566</v>
      </c>
      <c r="F121" s="2"/>
      <c r="G121" s="30">
        <f>($A121&lt;=$B$167)*($A121&lt;='Cálculos'!$E$294)*(($B$167)-$A121&lt;='Cálculos'!$E$295)*(1+MIN(('Cálculos'!$E$207+$A121*'Cálculos'!$E$95),1)*('Cálculos'!$E$208+(($B$167)-$A121)*'Cálculos'!$E$96))</f>
        <v>1.65504</v>
      </c>
      <c r="H121" s="31">
        <f>IF($B$168&lt;0,0,($A121&lt;=$B$168)*($A121&lt;='Cálculos'!$E$301)*(($B$168)-$A121&lt;='Cálculos'!$E$297)*(('Cálculos'!$E$185*(1+'Cálculos'!$E$186+$A121*('Cálculos'!$E$290=1)*'Cálculos'!$E$97+'Cálculos'!$E$305)+'Cálculos'!$E$191)*('Cálculos'!$E$209+'Cálculos'!$E$124*(1+2.78*('Cálculos'!$E$196+(($B$168)-$A121)*'Cálculos'!$E$98)/(('Cálculos'!$E$196+(($B$168)-$A121)*'Cálculos'!$E$98)+1400)+'Cálculos'!$E$122)*'Cálculos'!$E$214+'Cálculos'!$E$125*(1+2.78*('Cálculos'!$E$196+(($B$168)-$A121)*'Cálculos'!$E$98)/(('Cálculos'!$E$196+(($B$168)-$A121)*'Cálculos'!$E$98)+1400)+'Cálculos'!$E$123)*'Cálculos'!$E$219)+('Cálculos'!$E$196+(($B$168)-$A121)*'Cálculos'!$E$98)*('Cálculos'!$E$210+'Cálculos'!$E$124*(1+2.78*('Cálculos'!$E$196+(($B$168)-$A121)*'Cálculos'!$E$98)/(('Cálculos'!$E$196+(($B$168)-$A121)*'Cálculos'!$E$98)+1400)+'Cálculos'!$E$122)*'Cálculos'!$E$215+'Cálculos'!$E$125*(1+2.78*('Cálculos'!$E$196+(($B$168)-$A121)*'Cálculos'!$E$98)/(('Cálculos'!$E$196+(($B$168)-$A121)*'Cálculos'!$E$98)+1400)+'Cálculos'!$E$123)*'Cálculos'!$E$220)+('Cálculos'!$E$201*(1+'Cálculos'!$E$202+$A121*('Cálculos'!$E$290=2)*'Cálculos'!$E$101)+'Cálculos'!$E$203)*('Cálculos'!$E$211+'Cálculos'!$E$124*(1+2.78*('Cálculos'!$E$196+(($B$168)-$A121)*'Cálculos'!$E$98)/(('Cálculos'!$E$196+(($B$168)-$A121)*'Cálculos'!$E$98)+1400)+'Cálculos'!$E$122)*'Cálculos'!$E$216+'Cálculos'!$E$125*(1+2.78*('Cálculos'!$E$196+(($B$168)-$A121)*'Cálculos'!$E$98)/(('Cálculos'!$E$196+(($B$168)-$A121)*'Cálculos'!$E$98)+1400)+'Cálculos'!$E$123)*'Cálculos'!$E$221)+('Cálculos'!$E$204*(1+'Cálculos'!$E$205+$A121*('Cálculos'!$E$290=3)*'Cálculos'!$E$103)+'Cálculos'!$E$206)*('Cálculos'!$E$212+'Cálculos'!$E$124*(1+2.78*('Cálculos'!$E$196+(($B$168)-$A121)*'Cálculos'!$E$98)/(('Cálculos'!$E$196+(($B$168)-$A121)*'Cálculos'!$E$98)+1400)+'Cálculos'!$E$122)*'Cálculos'!$E$217+'Cálculos'!$E$125*(1+2.78*('Cálculos'!$E$196+(($B$168)-$A121)*'Cálculos'!$E$98)/(('Cálculos'!$E$196+(($B$168)-$A121)*'Cálculos'!$E$98)+1400)+'Cálculos'!$E$123)*'Cálculos'!$E$222)+('Cálculos'!$E$185*(1+'Cálculos'!$E$187+$A121*('Cálculos'!$E$290=1)*'Cálculos'!$E$97+'Cálculos'!$E$305)+'Cálculos'!$E$192)*('Cálculos'!$E$224+'Cálculos'!$E$124*(1+2.78*('Cálculos'!$E$197+(($B$168)-$A121)*'Cálculos'!$E$98)/(('Cálculos'!$E$197+(($B$168)-$A121)*'Cálculos'!$E$98)+1400)+'Cálculos'!$E$122)*'Cálculos'!$E$229+'Cálculos'!$E$125*(1+2.78*('Cálculos'!$E$197+(($B$168)-$A121)*'Cálculos'!$E$98)/(('Cálculos'!$E$197+(($B$168)-$A121)*'Cálculos'!$E$98)+1400)+'Cálculos'!$E$123)*'Cálculos'!$E$234)+('Cálculos'!$E$197+(($B$168)-$A121)*'Cálculos'!$E$98)*('Cálculos'!$E$225+'Cálculos'!$E$124*(1+2.78*('Cálculos'!$E$197+(($B$168)-$A121)*'Cálculos'!$E$98)/(('Cálculos'!$E$197+(($B$168)-$A121)*'Cálculos'!$E$98)+1400)+'Cálculos'!$E$122)*'Cálculos'!$E$230+'Cálculos'!$E$125*(1+2.78*('Cálculos'!$E$197+(($B$168)-$A121)*'Cálculos'!$E$98)/(('Cálculos'!$E$197+(($B$168)-$A121)*'Cálculos'!$E$98)+1400)+'Cálculos'!$E$123)*'Cálculos'!$E$235)+('Cálculos'!$E$201*(1+'Cálculos'!$E$202+$A121*('Cálculos'!$E$290=2)*'Cálculos'!$E$101)+'Cálculos'!$E$203)*('Cálculos'!$E$226+'Cálculos'!$E$124*(1+2.78*('Cálculos'!$E$197+(($B$168)-$A121)*'Cálculos'!$E$98)/(('Cálculos'!$E$197+(($B$168)-$A121)*'Cálculos'!$E$98)+1400)+'Cálculos'!$E$122)*'Cálculos'!$E$231+'Cálculos'!$E$125*(1+2.78*('Cálculos'!$E$197+(($B$168)-$A121)*'Cálculos'!$E$98)/(('Cálculos'!$E$197+(($B$168)-$A121)*'Cálculos'!$E$98)+1400)+'Cálculos'!$E$123)*'Cálculos'!$E$236)+('Cálculos'!$E$204*(1+'Cálculos'!$E$205+$A121*('Cálculos'!$E$290=3)*'Cálculos'!$E$103)+'Cálculos'!$E$206)*('Cálculos'!$E$227+'Cálculos'!$E$124*(1+2.78*('Cálculos'!$E$197+(($B$168)-$A121)*'Cálculos'!$E$98)/(('Cálculos'!$E$197+(($B$168)-$A121)*'Cálculos'!$E$98)+1400)+'Cálculos'!$E$122)*'Cálculos'!$E$232+'Cálculos'!$E$125*(1+2.78*('Cálculos'!$E$197+(($B$168)-$A121)*'Cálculos'!$E$98)/(('Cálculos'!$E$197+(($B$168)-$A121)*'Cálculos'!$E$98)+1400)+'Cálculos'!$E$123)*'Cálculos'!$E$237)+('Cálculos'!$E$185*(1+'Cálculos'!$E$188+$A121*('Cálculos'!$E$290=1)*'Cálculos'!$E$97+'Cálculos'!$E$305)+'Cálculos'!$E$193)*('Cálculos'!$E$239+'Cálculos'!$E$124*(1+2.78*('Cálculos'!$E$198+(($B$168)-$A121)*'Cálculos'!$E$98)/(('Cálculos'!$E$198+(($B$168)-$A121)*'Cálculos'!$E$98)+1400)+'Cálculos'!$E$122)*'Cálculos'!$E$244+'Cálculos'!$E$125*(1+2.78*('Cálculos'!$E$198+(($B$168)-$A121)*'Cálculos'!$E$98)/(('Cálculos'!$E$198+(($B$168)-$A121)*'Cálculos'!$E$98)+1400)+'Cálculos'!$E$123)*'Cálculos'!$E$249)+('Cálculos'!$E$198+(($B$168)-$A121)*'Cálculos'!$E$98)*('Cálculos'!$E$240+'Cálculos'!$E$124*(1+2.78*('Cálculos'!$E$198+(($B$168)-$A121)*'Cálculos'!$E$98)/(('Cálculos'!$E$198+(($B$168)-$A121)*'Cálculos'!$E$98)+1400)+'Cálculos'!$E$122)*'Cálculos'!$E$245+'Cálculos'!$E$125*(1+2.78*('Cálculos'!$E$198+(($B$168)-$A121)*'Cálculos'!$E$98)/(('Cálculos'!$E$198+(($B$168)-$A121)*'Cálculos'!$E$98)+1400)+'Cálculos'!$E$123)*'Cálculos'!$E$250)+('Cálculos'!$E$201*(1+'Cálculos'!$E$202+$A121*('Cálculos'!$E$290=2)*'Cálculos'!$E$101)+'Cálculos'!$E$203)*('Cálculos'!$E$241+'Cálculos'!$E$124*(1+2.78*('Cálculos'!$E$198+(($B$168)-$A121)*'Cálculos'!$E$98)/(('Cálculos'!$E$198+(($B$168)-$A121)*'Cálculos'!$E$98)+1400)+'Cálculos'!$E$122)*'Cálculos'!$E$246+'Cálculos'!$E$125*(1+2.78*('Cálculos'!$E$198+(($B$168)-$A121)*'Cálculos'!$E$98)/(('Cálculos'!$E$198+(($B$168)-$A121)*'Cálculos'!$E$98)+1400)+'Cálculos'!$E$123)*'Cálculos'!$E$251)+('Cálculos'!$E$204*(1+'Cálculos'!$E$205+$A121*('Cálculos'!$E$290=3)*'Cálculos'!$E$103)+'Cálculos'!$E$206)*('Cálculos'!$E$242+'Cálculos'!$E$124*(1+2.78*('Cálculos'!$E$198+(($B$168)-$A121)*'Cálculos'!$E$98)/(('Cálculos'!$E$198+(($B$168)-$A121)*'Cálculos'!$E$98)+1400)+'Cálculos'!$E$122)*'Cálculos'!$E$247+'Cálculos'!$E$125*(1+2.78*('Cálculos'!$E$198+(($B$168)-$A121)*'Cálculos'!$E$98)/(('Cálculos'!$E$198+(($B$168)-$A121)*'Cálculos'!$E$98)+1400)+'Cálculos'!$E$123)*'Cálculos'!$E$252)+('Cálculos'!$E$185*(1+'Cálculos'!$E$189+$A121*('Cálculos'!$E$290=1)*'Cálculos'!$E$97+'Cálculos'!$E$305)+'Cálculos'!$E$194)*('Cálculos'!$E$254+'Cálculos'!$E$124*(1+2.78*('Cálculos'!$E$199+(($B$168)-$A121)*'Cálculos'!$E$98)/(('Cálculos'!$E$199+(($B$168)-$A121)*'Cálculos'!$E$98)+1400)+'Cálculos'!$E$122)*'Cálculos'!$E$259+'Cálculos'!$E$125*(1+2.78*('Cálculos'!$E$199+(($B$168)-$A121)*'Cálculos'!$E$98)/(('Cálculos'!$E$199+(($B$168)-$A121)*'Cálculos'!$E$98)+1400)+'Cálculos'!$E$123)*'Cálculos'!$E$264)+('Cálculos'!$E$199+(($B$168)-$A121)*'Cálculos'!$E$98)*('Cálculos'!$E$255+'Cálculos'!$E$124*(1+2.78*('Cálculos'!$E$199+(($B$168)-$A121)*'Cálculos'!$E$98)/(('Cálculos'!$E$199+(($B$168)-$A121)*'Cálculos'!$E$98)+1400)+'Cálculos'!$E$122)*'Cálculos'!$E$260+'Cálculos'!$E$125*(1+2.78*('Cálculos'!$E$199+(($B$168)-$A121)*'Cálculos'!$E$98)/(('Cálculos'!$E$199+(($B$168)-$A121)*'Cálculos'!$E$98)+1400)+'Cálculos'!$E$123)*'Cálculos'!$E$265)+('Cálculos'!$E$201*(1+'Cálculos'!$E$202+$A121*('Cálculos'!$E$290=2)*'Cálculos'!$E$101)+'Cálculos'!$E$203)*('Cálculos'!$E$256+'Cálculos'!$E$124*(1+2.78*('Cálculos'!$E$199+(($B$168)-$A121)*'Cálculos'!$E$98)/(('Cálculos'!$E$199+(($B$168)-$A121)*'Cálculos'!$E$98)+1400)+'Cálculos'!$E$122)*'Cálculos'!$E$261+'Cálculos'!$E$125*(1+2.78*('Cálculos'!$E$199+(($B$168)-$A121)*'Cálculos'!$E$98)/(('Cálculos'!$E$199+(($B$168)-$A121)*'Cálculos'!$E$98)+1400)+'Cálculos'!$E$123)*'Cálculos'!$E$266)+('Cálculos'!$E$204*(1+'Cálculos'!$E$205+$A121*('Cálculos'!$E$290=3)*'Cálculos'!$E$103)+'Cálculos'!$E$206)*('Cálculos'!$E$257+'Cálculos'!$E$124*(1+2.78*('Cálculos'!$E$199+(($B$168)-$A121)*'Cálculos'!$E$98)/(('Cálculos'!$E$199+(($B$168)-$A121)*'Cálculos'!$E$98)+1400)+'Cálculos'!$E$122)*'Cálculos'!$E$262+'Cálculos'!$E$125*(1+2.78*('Cálculos'!$E$199+(($B$168)-$A121)*'Cálculos'!$E$98)/(('Cálculos'!$E$199+(($B$168)-$A121)*'Cálculos'!$E$98)+1400)+'Cálculos'!$E$123)*'Cálculos'!$E$267)+('Cálculos'!$E$185*(1+'Cálculos'!$E$190+$A121*('Cálculos'!$E$290=1)*'Cálculos'!$E$97+'Cálculos'!$E$305)+'Cálculos'!$E$195)*('Cálculos'!$E$269+'Cálculos'!$E$124*(1+2.78*('Cálculos'!$E$200+(($B$168)-$A121)*'Cálculos'!$E$98)/(('Cálculos'!$E$200+(($B$168)-$A121)*'Cálculos'!$E$98)+1400)+'Cálculos'!$E$122)*'Cálculos'!$E$274+'Cálculos'!$E$125*(1+2.78*('Cálculos'!$E$200+(($B$168)-$A121)*'Cálculos'!$E$98)/(('Cálculos'!$E$200+(($B$168)-$A121)*'Cálculos'!$E$98)+1400)+'Cálculos'!$E$123)*'Cálculos'!$E$279)+('Cálculos'!$E$200+(($B$168)-$A121)*'Cálculos'!$E$98)*('Cálculos'!$E$270+'Cálculos'!$E$124*(1+2.78*('Cálculos'!$E$200+(($B$168)-$A121)*'Cálculos'!$E$98)/(('Cálculos'!$E$200+(($B$168)-$A121)*'Cálculos'!$E$98)+1400)+'Cálculos'!$E$122)*'Cálculos'!$E$275+'Cálculos'!$E$125*(1+2.78*('Cálculos'!$E$200+(($B$168)-$A121)*'Cálculos'!$E$98)/(('Cálculos'!$E$200+(($B$168)-$A121)*'Cálculos'!$E$98)+1400)+'Cálculos'!$E$123)*'Cálculos'!$E$280)+('Cálculos'!$E$201*(1+'Cálculos'!$E$202+$A121*('Cálculos'!$E$290=2)*'Cálculos'!$E$101)+'Cálculos'!$E$203)*('Cálculos'!$E$271+'Cálculos'!$E$124*(1+2.78*('Cálculos'!$E$200+(($B$168)-$A121)*'Cálculos'!$E$98)/(('Cálculos'!$E$200+(($B$168)-$A121)*'Cálculos'!$E$98)+1400)+'Cálculos'!$E$122)*'Cálculos'!$E$276+'Cálculos'!$E$125*(1+2.78*('Cálculos'!$E$200+(($B$168)-$A121)*'Cálculos'!$E$98)/(('Cálculos'!$E$200+(($B$168)-$A121)*'Cálculos'!$E$98)+1400)+'Cálculos'!$E$123)*'Cálculos'!$E$281)+('Cálculos'!$E$204*(1+'Cálculos'!$E$205+$A121*('Cálculos'!$E$290=3)*'Cálculos'!$E$103)+'Cálculos'!$E$206)*('Cálculos'!$E$272+'Cálculos'!$E$124*(1+2.78*('Cálculos'!$E$200+(($B$168)-$A121)*'Cálculos'!$E$98)/(('Cálculos'!$E$200+(($B$168)-$A121)*'Cálculos'!$E$98)+1400)+'Cálculos'!$E$122)*'Cálculos'!$E$277+'Cálculos'!$E$125*(1+2.78*('Cálculos'!$E$200+(($B$168)-$A121)*'Cálculos'!$E$98)/(('Cálculos'!$E$200+(($B$168)-$A121)*'Cálculos'!$E$98)+1400)+'Cálculos'!$E$123)*'Cálculos'!$E$282)))</f>
        <v>0</v>
      </c>
    </row>
    <row r="122" ht="15.75" customHeight="1">
      <c r="A122" s="2">
        <v>2.0</v>
      </c>
      <c r="B122" s="30">
        <f>SUMPRODUCT(MAX(($A$120:$A$165&lt;=$A122)*($A$120:$A$165&lt;='Cálculos'!$E$294)*(($A122)-$A$120:$A$165&lt;='Cálculos'!$E$295)*(1+(('Cálculos'!$E$207+$A$120:$A$165*'Cálculos'!$E$95)-(('Cálculos'!$E$207+$A$120:$A$165*'Cálculos'!$E$95)&gt;1)*(('Cálculos'!$E$207+$A$120:$A$165*'Cálculos'!$E$95)-1))*('Cálculos'!$E$208+(($A122)-$A$120:$A$165)*'Cálculos'!$E$96))))</f>
        <v>1.326228</v>
      </c>
      <c r="C122" s="2">
        <f>'Cálculos'!$E$303-$A122</f>
        <v>11</v>
      </c>
      <c r="D122" s="31">
        <f>IF($C122&lt;0,0,SUMPRODUCT(MAX(($A$120:$A$165&lt;=$C122)*($A$120:$A$165&lt;='Cálculos'!$E$301)*(($C122)-$A$120:$A$165&lt;='Cálculos'!$E$297)*(('Cálculos'!$E$185*(1+'Cálculos'!$E$186+$A$120:$A$165*('Cálculos'!$E$290=1)*'Cálculos'!$E$97+'Cálculos'!$E$305)+'Cálculos'!$E$191)*('Cálculos'!$E$209+'Cálculos'!$E$124*(1+2.78*('Cálculos'!$E$196+(($C122)-$A$120:$A$165)*'Cálculos'!$E$98)/(('Cálculos'!$E$196+(($C122)-$A$120:$A$165)*'Cálculos'!$E$98)+1400)+'Cálculos'!$E$122)*'Cálculos'!$E$214+'Cálculos'!$E$125*(1+2.78*('Cálculos'!$E$196+(($C122)-$A$120:$A$165)*'Cálculos'!$E$98)/(('Cálculos'!$E$196+(($C122)-$A$120:$A$165)*'Cálculos'!$E$98)+1400)+'Cálculos'!$E$123)*'Cálculos'!$E$219)+('Cálculos'!$E$196+(($C122)-$A$120:$A$165)*'Cálculos'!$E$98)*('Cálculos'!$E$210+'Cálculos'!$E$124*(1+2.78*('Cálculos'!$E$196+(($C122)-$A$120:$A$165)*'Cálculos'!$E$98)/(('Cálculos'!$E$196+(($C122)-$A$120:$A$165)*'Cálculos'!$E$98)+1400)+'Cálculos'!$E$122)*'Cálculos'!$E$215+'Cálculos'!$E$125*(1+2.78*('Cálculos'!$E$196+(($C122)-$A$120:$A$165)*'Cálculos'!$E$98)/(('Cálculos'!$E$196+(($C122)-$A$120:$A$165)*'Cálculos'!$E$98)+1400)+'Cálculos'!$E$123)*'Cálculos'!$E$220)+('Cálculos'!$E$201*(1+'Cálculos'!$E$202+$A$120:$A$165*('Cálculos'!$E$290=2)*'Cálculos'!$E$101)+'Cálculos'!$E$203)*('Cálculos'!$E$211+'Cálculos'!$E$124*(1+2.78*('Cálculos'!$E$196+(($C122)-$A$120:$A$165)*'Cálculos'!$E$98)/(('Cálculos'!$E$196+(($C122)-$A$120:$A$165)*'Cálculos'!$E$98)+1400)+'Cálculos'!$E$122)*'Cálculos'!$E$216+'Cálculos'!$E$125*(1+2.78*('Cálculos'!$E$196+(($C122)-$A$120:$A$165)*'Cálculos'!$E$98)/(('Cálculos'!$E$196+(($C122)-$A$120:$A$165)*'Cálculos'!$E$98)+1400)+'Cálculos'!$E$123)*'Cálculos'!$E$221)+('Cálculos'!$E$204*(1+'Cálculos'!$E$205+$A$120:$A$165*('Cálculos'!$E$290=3)*'Cálculos'!$E$103)+'Cálculos'!$E$206)*('Cálculos'!$E$212+'Cálculos'!$E$124*(1+2.78*('Cálculos'!$E$196+(($C122)-$A$120:$A$165)*'Cálculos'!$E$98)/(('Cálculos'!$E$196+(($C122)-$A$120:$A$165)*'Cálculos'!$E$98)+1400)+'Cálculos'!$E$122)*'Cálculos'!$E$217+'Cálculos'!$E$125*(1+2.78*('Cálculos'!$E$196+(($C122)-$A$120:$A$165)*'Cálculos'!$E$98)/(('Cálculos'!$E$196+(($C122)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122)-$A$120:$A$165)*'Cálculos'!$E$98)/(('Cálculos'!$E$197+(($C122)-$A$120:$A$165)*'Cálculos'!$E$98)+1400)+'Cálculos'!$E$122)*'Cálculos'!$E$229+'Cálculos'!$E$125*(1+2.78*('Cálculos'!$E$197+(($C122)-$A$120:$A$165)*'Cálculos'!$E$98)/(('Cálculos'!$E$197+(($C122)-$A$120:$A$165)*'Cálculos'!$E$98)+1400)+'Cálculos'!$E$123)*'Cálculos'!$E$234)+('Cálculos'!$E$197+(($C122)-$A$120:$A$165)*'Cálculos'!$E$98)*('Cálculos'!$E$225+'Cálculos'!$E$124*(1+2.78*('Cálculos'!$E$197+(($C122)-$A$120:$A$165)*'Cálculos'!$E$98)/(('Cálculos'!$E$197+(($C122)-$A$120:$A$165)*'Cálculos'!$E$98)+1400)+'Cálculos'!$E$122)*'Cálculos'!$E$230+'Cálculos'!$E$125*(1+2.78*('Cálculos'!$E$197+(($C122)-$A$120:$A$165)*'Cálculos'!$E$98)/(('Cálculos'!$E$197+(($C122)-$A$120:$A$165)*'Cálculos'!$E$98)+1400)+'Cálculos'!$E$123)*'Cálculos'!$E$235)+('Cálculos'!$E$201*(1+'Cálculos'!$E$202+$A$120:$A$165*('Cálculos'!$E$290=2)*'Cálculos'!$E$101)+'Cálculos'!$E$203)*('Cálculos'!$E$226+'Cálculos'!$E$124*(1+2.78*('Cálculos'!$E$197+(($C122)-$A$120:$A$165)*'Cálculos'!$E$98)/(('Cálculos'!$E$197+(($C122)-$A$120:$A$165)*'Cálculos'!$E$98)+1400)+'Cálculos'!$E$122)*'Cálculos'!$E$231+'Cálculos'!$E$125*(1+2.78*('Cálculos'!$E$197+(($C122)-$A$120:$A$165)*'Cálculos'!$E$98)/(('Cálculos'!$E$197+(($C122)-$A$120:$A$165)*'Cálculos'!$E$98)+1400)+'Cálculos'!$E$123)*'Cálculos'!$E$236)+('Cálculos'!$E$204*(1+'Cálculos'!$E$205+$A$120:$A$165*('Cálculos'!$E$290=3)*'Cálculos'!$E$103)+'Cálculos'!$E$206)*('Cálculos'!$E$227+'Cálculos'!$E$124*(1+2.78*('Cálculos'!$E$197+(($C122)-$A$120:$A$165)*'Cálculos'!$E$98)/(('Cálculos'!$E$197+(($C122)-$A$120:$A$165)*'Cálculos'!$E$98)+1400)+'Cálculos'!$E$122)*'Cálculos'!$E$232+'Cálculos'!$E$125*(1+2.78*('Cálculos'!$E$197+(($C122)-$A$120:$A$165)*'Cálculos'!$E$98)/(('Cálculos'!$E$197+(($C122)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122)-$A$120:$A$165)*'Cálculos'!$E$98)/(('Cálculos'!$E$198+(($C122)-$A$120:$A$165)*'Cálculos'!$E$98)+1400)+'Cálculos'!$E$122)*'Cálculos'!$E$244+'Cálculos'!$E$125*(1+2.78*('Cálculos'!$E$198+(($C122)-$A$120:$A$165)*'Cálculos'!$E$98)/(('Cálculos'!$E$198+(($C122)-$A$120:$A$165)*'Cálculos'!$E$98)+1400)+'Cálculos'!$E$123)*'Cálculos'!$E$249)+('Cálculos'!$E$198+(($C122)-$A$120:$A$165)*'Cálculos'!$E$98)*('Cálculos'!$E$240+'Cálculos'!$E$124*(1+2.78*('Cálculos'!$E$198+(($C122)-$A$120:$A$165)*'Cálculos'!$E$98)/(('Cálculos'!$E$198+(($C122)-$A$120:$A$165)*'Cálculos'!$E$98)+1400)+'Cálculos'!$E$122)*'Cálculos'!$E$245+'Cálculos'!$E$125*(1+2.78*('Cálculos'!$E$198+(($C122)-$A$120:$A$165)*'Cálculos'!$E$98)/(('Cálculos'!$E$198+(($C122)-$A$120:$A$165)*'Cálculos'!$E$98)+1400)+'Cálculos'!$E$123)*'Cálculos'!$E$250)+('Cálculos'!$E$201*(1+'Cálculos'!$E$202+$A$120:$A$165*('Cálculos'!$E$290=2)*'Cálculos'!$E$101)+'Cálculos'!$E$203)*('Cálculos'!$E$241+'Cálculos'!$E$124*(1+2.78*('Cálculos'!$E$198+(($C122)-$A$120:$A$165)*'Cálculos'!$E$98)/(('Cálculos'!$E$198+(($C122)-$A$120:$A$165)*'Cálculos'!$E$98)+1400)+'Cálculos'!$E$122)*'Cálculos'!$E$246+'Cálculos'!$E$125*(1+2.78*('Cálculos'!$E$198+(($C122)-$A$120:$A$165)*'Cálculos'!$E$98)/(('Cálculos'!$E$198+(($C122)-$A$120:$A$165)*'Cálculos'!$E$98)+1400)+'Cálculos'!$E$123)*'Cálculos'!$E$251)+('Cálculos'!$E$204*(1+'Cálculos'!$E$205+$A$120:$A$165*('Cálculos'!$E$290=3)*'Cálculos'!$E$103)+'Cálculos'!$E$206)*('Cálculos'!$E$242+'Cálculos'!$E$124*(1+2.78*('Cálculos'!$E$198+(($C122)-$A$120:$A$165)*'Cálculos'!$E$98)/(('Cálculos'!$E$198+(($C122)-$A$120:$A$165)*'Cálculos'!$E$98)+1400)+'Cálculos'!$E$122)*'Cálculos'!$E$247+'Cálculos'!$E$125*(1+2.78*('Cálculos'!$E$198+(($C122)-$A$120:$A$165)*'Cálculos'!$E$98)/(('Cálculos'!$E$198+(($C122)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122)-$A$120:$A$165)*'Cálculos'!$E$98)/(('Cálculos'!$E$199+(($C122)-$A$120:$A$165)*'Cálculos'!$E$98)+1400)+'Cálculos'!$E$122)*'Cálculos'!$E$259+'Cálculos'!$E$125*(1+2.78*('Cálculos'!$E$199+(($C122)-$A$120:$A$165)*'Cálculos'!$E$98)/(('Cálculos'!$E$199+(($C122)-$A$120:$A$165)*'Cálculos'!$E$98)+1400)+'Cálculos'!$E$123)*'Cálculos'!$E$264)+('Cálculos'!$E$199+(($C122)-$A$120:$A$165)*'Cálculos'!$E$98)*('Cálculos'!$E$255+'Cálculos'!$E$124*(1+2.78*('Cálculos'!$E$199+(($C122)-$A$120:$A$165)*'Cálculos'!$E$98)/(('Cálculos'!$E$199+(($C122)-$A$120:$A$165)*'Cálculos'!$E$98)+1400)+'Cálculos'!$E$122)*'Cálculos'!$E$260+'Cálculos'!$E$125*(1+2.78*('Cálculos'!$E$199+(($C122)-$A$120:$A$165)*'Cálculos'!$E$98)/(('Cálculos'!$E$199+(($C122)-$A$120:$A$165)*'Cálculos'!$E$98)+1400)+'Cálculos'!$E$123)*'Cálculos'!$E$265)+('Cálculos'!$E$201*(1+'Cálculos'!$E$202+$A$120:$A$165*('Cálculos'!$E$290=2)*'Cálculos'!$E$101)+'Cálculos'!$E$203)*('Cálculos'!$E$256+'Cálculos'!$E$124*(1+2.78*('Cálculos'!$E$199+(($C122)-$A$120:$A$165)*'Cálculos'!$E$98)/(('Cálculos'!$E$199+(($C122)-$A$120:$A$165)*'Cálculos'!$E$98)+1400)+'Cálculos'!$E$122)*'Cálculos'!$E$261+'Cálculos'!$E$125*(1+2.78*('Cálculos'!$E$199+(($C122)-$A$120:$A$165)*'Cálculos'!$E$98)/(('Cálculos'!$E$199+(($C122)-$A$120:$A$165)*'Cálculos'!$E$98)+1400)+'Cálculos'!$E$123)*'Cálculos'!$E$266)+('Cálculos'!$E$204*(1+'Cálculos'!$E$205+$A$120:$A$165*('Cálculos'!$E$290=3)*'Cálculos'!$E$103)+'Cálculos'!$E$206)*('Cálculos'!$E$257+'Cálculos'!$E$124*(1+2.78*('Cálculos'!$E$199+(($C122)-$A$120:$A$165)*'Cálculos'!$E$98)/(('Cálculos'!$E$199+(($C122)-$A$120:$A$165)*'Cálculos'!$E$98)+1400)+'Cálculos'!$E$122)*'Cálculos'!$E$262+'Cálculos'!$E$125*(1+2.78*('Cálculos'!$E$199+(($C122)-$A$120:$A$165)*'Cálculos'!$E$98)/(('Cálculos'!$E$199+(($C122)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122)-$A$120:$A$165)*'Cálculos'!$E$98)/(('Cálculos'!$E$200+(($C122)-$A$120:$A$165)*'Cálculos'!$E$98)+1400)+'Cálculos'!$E$122)*'Cálculos'!$E$274+'Cálculos'!$E$125*(1+2.78*('Cálculos'!$E$200+(($C122)-$A$120:$A$165)*'Cálculos'!$E$98)/(('Cálculos'!$E$200+(($C122)-$A$120:$A$165)*'Cálculos'!$E$98)+1400)+'Cálculos'!$E$123)*'Cálculos'!$E$279)+('Cálculos'!$E$200+(($C122)-$A$120:$A$165)*'Cálculos'!$E$98)*('Cálculos'!$E$270+'Cálculos'!$E$124*(1+2.78*('Cálculos'!$E$200+(($C122)-$A$120:$A$165)*'Cálculos'!$E$98)/(('Cálculos'!$E$200+(($C122)-$A$120:$A$165)*'Cálculos'!$E$98)+1400)+'Cálculos'!$E$122)*'Cálculos'!$E$275+'Cálculos'!$E$125*(1+2.78*('Cálculos'!$E$200+(($C122)-$A$120:$A$165)*'Cálculos'!$E$98)/(('Cálculos'!$E$200+(($C122)-$A$120:$A$165)*'Cálculos'!$E$98)+1400)+'Cálculos'!$E$123)*'Cálculos'!$E$280)+('Cálculos'!$E$201*(1+'Cálculos'!$E$202+$A$120:$A$165*('Cálculos'!$E$290=2)*'Cálculos'!$E$101)+'Cálculos'!$E$203)*('Cálculos'!$E$271+'Cálculos'!$E$124*(1+2.78*('Cálculos'!$E$200+(($C122)-$A$120:$A$165)*'Cálculos'!$E$98)/(('Cálculos'!$E$200+(($C122)-$A$120:$A$165)*'Cálculos'!$E$98)+1400)+'Cálculos'!$E$122)*'Cálculos'!$E$276+'Cálculos'!$E$125*(1+2.78*('Cálculos'!$E$200+(($C122)-$A$120:$A$165)*'Cálculos'!$E$98)/(('Cálculos'!$E$200+(($C122)-$A$120:$A$165)*'Cálculos'!$E$98)+1400)+'Cálculos'!$E$123)*'Cálculos'!$E$281)+('Cálculos'!$E$204*(1+'Cálculos'!$E$205+$A$120:$A$165*('Cálculos'!$E$290=3)*'Cálculos'!$E$103)+'Cálculos'!$E$206)*('Cálculos'!$E$272+'Cálculos'!$E$124*(1+2.78*('Cálculos'!$E$200+(($C122)-$A$120:$A$165)*'Cálculos'!$E$98)/(('Cálculos'!$E$200+(($C122)-$A$120:$A$165)*'Cálculos'!$E$98)+1400)+'Cálculos'!$E$122)*'Cálculos'!$E$277+'Cálculos'!$E$125*(1+2.78*('Cálculos'!$E$200+(($C122)-$A$120:$A$165)*'Cálculos'!$E$98)/(('Cálculos'!$E$200+(($C122)-$A$120:$A$165)*'Cálculos'!$E$98)+1400)+'Cálculos'!$E$123)*'Cálculos'!$E$282)))))</f>
        <v>21725.62726</v>
      </c>
      <c r="E122" s="32">
        <f>IF(OR($C122&lt;0,'Cálculos'!$E$6=""),0,$B122*$D122)</f>
        <v>28813.13518</v>
      </c>
      <c r="F122" s="2"/>
      <c r="G122" s="30">
        <f>($A122&lt;=$B$167)*($A122&lt;='Cálculos'!$E$294)*(($B$167)-$A122&lt;='Cálculos'!$E$295)*(1+MIN(('Cálculos'!$E$207+$A122*'Cálculos'!$E$95),1)*('Cálculos'!$E$208+(($B$167)-$A122)*'Cálculos'!$E$96))</f>
        <v>1.669494</v>
      </c>
      <c r="H122" s="31">
        <f>IF($B$168&lt;0,0,($A122&lt;=$B$168)*($A122&lt;='Cálculos'!$E$301)*(($B$168)-$A122&lt;='Cálculos'!$E$297)*(('Cálculos'!$E$185*(1+'Cálculos'!$E$186+$A122*('Cálculos'!$E$290=1)*'Cálculos'!$E$97+'Cálculos'!$E$305)+'Cálculos'!$E$191)*('Cálculos'!$E$209+'Cálculos'!$E$124*(1+2.78*('Cálculos'!$E$196+(($B$168)-$A122)*'Cálculos'!$E$98)/(('Cálculos'!$E$196+(($B$168)-$A122)*'Cálculos'!$E$98)+1400)+'Cálculos'!$E$122)*'Cálculos'!$E$214+'Cálculos'!$E$125*(1+2.78*('Cálculos'!$E$196+(($B$168)-$A122)*'Cálculos'!$E$98)/(('Cálculos'!$E$196+(($B$168)-$A122)*'Cálculos'!$E$98)+1400)+'Cálculos'!$E$123)*'Cálculos'!$E$219)+('Cálculos'!$E$196+(($B$168)-$A122)*'Cálculos'!$E$98)*('Cálculos'!$E$210+'Cálculos'!$E$124*(1+2.78*('Cálculos'!$E$196+(($B$168)-$A122)*'Cálculos'!$E$98)/(('Cálculos'!$E$196+(($B$168)-$A122)*'Cálculos'!$E$98)+1400)+'Cálculos'!$E$122)*'Cálculos'!$E$215+'Cálculos'!$E$125*(1+2.78*('Cálculos'!$E$196+(($B$168)-$A122)*'Cálculos'!$E$98)/(('Cálculos'!$E$196+(($B$168)-$A122)*'Cálculos'!$E$98)+1400)+'Cálculos'!$E$123)*'Cálculos'!$E$220)+('Cálculos'!$E$201*(1+'Cálculos'!$E$202+$A122*('Cálculos'!$E$290=2)*'Cálculos'!$E$101)+'Cálculos'!$E$203)*('Cálculos'!$E$211+'Cálculos'!$E$124*(1+2.78*('Cálculos'!$E$196+(($B$168)-$A122)*'Cálculos'!$E$98)/(('Cálculos'!$E$196+(($B$168)-$A122)*'Cálculos'!$E$98)+1400)+'Cálculos'!$E$122)*'Cálculos'!$E$216+'Cálculos'!$E$125*(1+2.78*('Cálculos'!$E$196+(($B$168)-$A122)*'Cálculos'!$E$98)/(('Cálculos'!$E$196+(($B$168)-$A122)*'Cálculos'!$E$98)+1400)+'Cálculos'!$E$123)*'Cálculos'!$E$221)+('Cálculos'!$E$204*(1+'Cálculos'!$E$205+$A122*('Cálculos'!$E$290=3)*'Cálculos'!$E$103)+'Cálculos'!$E$206)*('Cálculos'!$E$212+'Cálculos'!$E$124*(1+2.78*('Cálculos'!$E$196+(($B$168)-$A122)*'Cálculos'!$E$98)/(('Cálculos'!$E$196+(($B$168)-$A122)*'Cálculos'!$E$98)+1400)+'Cálculos'!$E$122)*'Cálculos'!$E$217+'Cálculos'!$E$125*(1+2.78*('Cálculos'!$E$196+(($B$168)-$A122)*'Cálculos'!$E$98)/(('Cálculos'!$E$196+(($B$168)-$A122)*'Cálculos'!$E$98)+1400)+'Cálculos'!$E$123)*'Cálculos'!$E$222)+('Cálculos'!$E$185*(1+'Cálculos'!$E$187+$A122*('Cálculos'!$E$290=1)*'Cálculos'!$E$97+'Cálculos'!$E$305)+'Cálculos'!$E$192)*('Cálculos'!$E$224+'Cálculos'!$E$124*(1+2.78*('Cálculos'!$E$197+(($B$168)-$A122)*'Cálculos'!$E$98)/(('Cálculos'!$E$197+(($B$168)-$A122)*'Cálculos'!$E$98)+1400)+'Cálculos'!$E$122)*'Cálculos'!$E$229+'Cálculos'!$E$125*(1+2.78*('Cálculos'!$E$197+(($B$168)-$A122)*'Cálculos'!$E$98)/(('Cálculos'!$E$197+(($B$168)-$A122)*'Cálculos'!$E$98)+1400)+'Cálculos'!$E$123)*'Cálculos'!$E$234)+('Cálculos'!$E$197+(($B$168)-$A122)*'Cálculos'!$E$98)*('Cálculos'!$E$225+'Cálculos'!$E$124*(1+2.78*('Cálculos'!$E$197+(($B$168)-$A122)*'Cálculos'!$E$98)/(('Cálculos'!$E$197+(($B$168)-$A122)*'Cálculos'!$E$98)+1400)+'Cálculos'!$E$122)*'Cálculos'!$E$230+'Cálculos'!$E$125*(1+2.78*('Cálculos'!$E$197+(($B$168)-$A122)*'Cálculos'!$E$98)/(('Cálculos'!$E$197+(($B$168)-$A122)*'Cálculos'!$E$98)+1400)+'Cálculos'!$E$123)*'Cálculos'!$E$235)+('Cálculos'!$E$201*(1+'Cálculos'!$E$202+$A122*('Cálculos'!$E$290=2)*'Cálculos'!$E$101)+'Cálculos'!$E$203)*('Cálculos'!$E$226+'Cálculos'!$E$124*(1+2.78*('Cálculos'!$E$197+(($B$168)-$A122)*'Cálculos'!$E$98)/(('Cálculos'!$E$197+(($B$168)-$A122)*'Cálculos'!$E$98)+1400)+'Cálculos'!$E$122)*'Cálculos'!$E$231+'Cálculos'!$E$125*(1+2.78*('Cálculos'!$E$197+(($B$168)-$A122)*'Cálculos'!$E$98)/(('Cálculos'!$E$197+(($B$168)-$A122)*'Cálculos'!$E$98)+1400)+'Cálculos'!$E$123)*'Cálculos'!$E$236)+('Cálculos'!$E$204*(1+'Cálculos'!$E$205+$A122*('Cálculos'!$E$290=3)*'Cálculos'!$E$103)+'Cálculos'!$E$206)*('Cálculos'!$E$227+'Cálculos'!$E$124*(1+2.78*('Cálculos'!$E$197+(($B$168)-$A122)*'Cálculos'!$E$98)/(('Cálculos'!$E$197+(($B$168)-$A122)*'Cálculos'!$E$98)+1400)+'Cálculos'!$E$122)*'Cálculos'!$E$232+'Cálculos'!$E$125*(1+2.78*('Cálculos'!$E$197+(($B$168)-$A122)*'Cálculos'!$E$98)/(('Cálculos'!$E$197+(($B$168)-$A122)*'Cálculos'!$E$98)+1400)+'Cálculos'!$E$123)*'Cálculos'!$E$237)+('Cálculos'!$E$185*(1+'Cálculos'!$E$188+$A122*('Cálculos'!$E$290=1)*'Cálculos'!$E$97+'Cálculos'!$E$305)+'Cálculos'!$E$193)*('Cálculos'!$E$239+'Cálculos'!$E$124*(1+2.78*('Cálculos'!$E$198+(($B$168)-$A122)*'Cálculos'!$E$98)/(('Cálculos'!$E$198+(($B$168)-$A122)*'Cálculos'!$E$98)+1400)+'Cálculos'!$E$122)*'Cálculos'!$E$244+'Cálculos'!$E$125*(1+2.78*('Cálculos'!$E$198+(($B$168)-$A122)*'Cálculos'!$E$98)/(('Cálculos'!$E$198+(($B$168)-$A122)*'Cálculos'!$E$98)+1400)+'Cálculos'!$E$123)*'Cálculos'!$E$249)+('Cálculos'!$E$198+(($B$168)-$A122)*'Cálculos'!$E$98)*('Cálculos'!$E$240+'Cálculos'!$E$124*(1+2.78*('Cálculos'!$E$198+(($B$168)-$A122)*'Cálculos'!$E$98)/(('Cálculos'!$E$198+(($B$168)-$A122)*'Cálculos'!$E$98)+1400)+'Cálculos'!$E$122)*'Cálculos'!$E$245+'Cálculos'!$E$125*(1+2.78*('Cálculos'!$E$198+(($B$168)-$A122)*'Cálculos'!$E$98)/(('Cálculos'!$E$198+(($B$168)-$A122)*'Cálculos'!$E$98)+1400)+'Cálculos'!$E$123)*'Cálculos'!$E$250)+('Cálculos'!$E$201*(1+'Cálculos'!$E$202+$A122*('Cálculos'!$E$290=2)*'Cálculos'!$E$101)+'Cálculos'!$E$203)*('Cálculos'!$E$241+'Cálculos'!$E$124*(1+2.78*('Cálculos'!$E$198+(($B$168)-$A122)*'Cálculos'!$E$98)/(('Cálculos'!$E$198+(($B$168)-$A122)*'Cálculos'!$E$98)+1400)+'Cálculos'!$E$122)*'Cálculos'!$E$246+'Cálculos'!$E$125*(1+2.78*('Cálculos'!$E$198+(($B$168)-$A122)*'Cálculos'!$E$98)/(('Cálculos'!$E$198+(($B$168)-$A122)*'Cálculos'!$E$98)+1400)+'Cálculos'!$E$123)*'Cálculos'!$E$251)+('Cálculos'!$E$204*(1+'Cálculos'!$E$205+$A122*('Cálculos'!$E$290=3)*'Cálculos'!$E$103)+'Cálculos'!$E$206)*('Cálculos'!$E$242+'Cálculos'!$E$124*(1+2.78*('Cálculos'!$E$198+(($B$168)-$A122)*'Cálculos'!$E$98)/(('Cálculos'!$E$198+(($B$168)-$A122)*'Cálculos'!$E$98)+1400)+'Cálculos'!$E$122)*'Cálculos'!$E$247+'Cálculos'!$E$125*(1+2.78*('Cálculos'!$E$198+(($B$168)-$A122)*'Cálculos'!$E$98)/(('Cálculos'!$E$198+(($B$168)-$A122)*'Cálculos'!$E$98)+1400)+'Cálculos'!$E$123)*'Cálculos'!$E$252)+('Cálculos'!$E$185*(1+'Cálculos'!$E$189+$A122*('Cálculos'!$E$290=1)*'Cálculos'!$E$97+'Cálculos'!$E$305)+'Cálculos'!$E$194)*('Cálculos'!$E$254+'Cálculos'!$E$124*(1+2.78*('Cálculos'!$E$199+(($B$168)-$A122)*'Cálculos'!$E$98)/(('Cálculos'!$E$199+(($B$168)-$A122)*'Cálculos'!$E$98)+1400)+'Cálculos'!$E$122)*'Cálculos'!$E$259+'Cálculos'!$E$125*(1+2.78*('Cálculos'!$E$199+(($B$168)-$A122)*'Cálculos'!$E$98)/(('Cálculos'!$E$199+(($B$168)-$A122)*'Cálculos'!$E$98)+1400)+'Cálculos'!$E$123)*'Cálculos'!$E$264)+('Cálculos'!$E$199+(($B$168)-$A122)*'Cálculos'!$E$98)*('Cálculos'!$E$255+'Cálculos'!$E$124*(1+2.78*('Cálculos'!$E$199+(($B$168)-$A122)*'Cálculos'!$E$98)/(('Cálculos'!$E$199+(($B$168)-$A122)*'Cálculos'!$E$98)+1400)+'Cálculos'!$E$122)*'Cálculos'!$E$260+'Cálculos'!$E$125*(1+2.78*('Cálculos'!$E$199+(($B$168)-$A122)*'Cálculos'!$E$98)/(('Cálculos'!$E$199+(($B$168)-$A122)*'Cálculos'!$E$98)+1400)+'Cálculos'!$E$123)*'Cálculos'!$E$265)+('Cálculos'!$E$201*(1+'Cálculos'!$E$202+$A122*('Cálculos'!$E$290=2)*'Cálculos'!$E$101)+'Cálculos'!$E$203)*('Cálculos'!$E$256+'Cálculos'!$E$124*(1+2.78*('Cálculos'!$E$199+(($B$168)-$A122)*'Cálculos'!$E$98)/(('Cálculos'!$E$199+(($B$168)-$A122)*'Cálculos'!$E$98)+1400)+'Cálculos'!$E$122)*'Cálculos'!$E$261+'Cálculos'!$E$125*(1+2.78*('Cálculos'!$E$199+(($B$168)-$A122)*'Cálculos'!$E$98)/(('Cálculos'!$E$199+(($B$168)-$A122)*'Cálculos'!$E$98)+1400)+'Cálculos'!$E$123)*'Cálculos'!$E$266)+('Cálculos'!$E$204*(1+'Cálculos'!$E$205+$A122*('Cálculos'!$E$290=3)*'Cálculos'!$E$103)+'Cálculos'!$E$206)*('Cálculos'!$E$257+'Cálculos'!$E$124*(1+2.78*('Cálculos'!$E$199+(($B$168)-$A122)*'Cálculos'!$E$98)/(('Cálculos'!$E$199+(($B$168)-$A122)*'Cálculos'!$E$98)+1400)+'Cálculos'!$E$122)*'Cálculos'!$E$262+'Cálculos'!$E$125*(1+2.78*('Cálculos'!$E$199+(($B$168)-$A122)*'Cálculos'!$E$98)/(('Cálculos'!$E$199+(($B$168)-$A122)*'Cálculos'!$E$98)+1400)+'Cálculos'!$E$123)*'Cálculos'!$E$267)+('Cálculos'!$E$185*(1+'Cálculos'!$E$190+$A122*('Cálculos'!$E$290=1)*'Cálculos'!$E$97+'Cálculos'!$E$305)+'Cálculos'!$E$195)*('Cálculos'!$E$269+'Cálculos'!$E$124*(1+2.78*('Cálculos'!$E$200+(($B$168)-$A122)*'Cálculos'!$E$98)/(('Cálculos'!$E$200+(($B$168)-$A122)*'Cálculos'!$E$98)+1400)+'Cálculos'!$E$122)*'Cálculos'!$E$274+'Cálculos'!$E$125*(1+2.78*('Cálculos'!$E$200+(($B$168)-$A122)*'Cálculos'!$E$98)/(('Cálculos'!$E$200+(($B$168)-$A122)*'Cálculos'!$E$98)+1400)+'Cálculos'!$E$123)*'Cálculos'!$E$279)+('Cálculos'!$E$200+(($B$168)-$A122)*'Cálculos'!$E$98)*('Cálculos'!$E$270+'Cálculos'!$E$124*(1+2.78*('Cálculos'!$E$200+(($B$168)-$A122)*'Cálculos'!$E$98)/(('Cálculos'!$E$200+(($B$168)-$A122)*'Cálculos'!$E$98)+1400)+'Cálculos'!$E$122)*'Cálculos'!$E$275+'Cálculos'!$E$125*(1+2.78*('Cálculos'!$E$200+(($B$168)-$A122)*'Cálculos'!$E$98)/(('Cálculos'!$E$200+(($B$168)-$A122)*'Cálculos'!$E$98)+1400)+'Cálculos'!$E$123)*'Cálculos'!$E$280)+('Cálculos'!$E$201*(1+'Cálculos'!$E$202+$A122*('Cálculos'!$E$290=2)*'Cálculos'!$E$101)+'Cálculos'!$E$203)*('Cálculos'!$E$271+'Cálculos'!$E$124*(1+2.78*('Cálculos'!$E$200+(($B$168)-$A122)*'Cálculos'!$E$98)/(('Cálculos'!$E$200+(($B$168)-$A122)*'Cálculos'!$E$98)+1400)+'Cálculos'!$E$122)*'Cálculos'!$E$276+'Cálculos'!$E$125*(1+2.78*('Cálculos'!$E$200+(($B$168)-$A122)*'Cálculos'!$E$98)/(('Cálculos'!$E$200+(($B$168)-$A122)*'Cálculos'!$E$98)+1400)+'Cálculos'!$E$123)*'Cálculos'!$E$281)+('Cálculos'!$E$204*(1+'Cálculos'!$E$205+$A122*('Cálculos'!$E$290=3)*'Cálculos'!$E$103)+'Cálculos'!$E$206)*('Cálculos'!$E$272+'Cálculos'!$E$124*(1+2.78*('Cálculos'!$E$200+(($B$168)-$A122)*'Cálculos'!$E$98)/(('Cálculos'!$E$200+(($B$168)-$A122)*'Cálculos'!$E$98)+1400)+'Cálculos'!$E$122)*'Cálculos'!$E$277+'Cálculos'!$E$125*(1+2.78*('Cálculos'!$E$200+(($B$168)-$A122)*'Cálculos'!$E$98)/(('Cálculos'!$E$200+(($B$168)-$A122)*'Cálculos'!$E$98)+1400)+'Cálculos'!$E$123)*'Cálculos'!$E$282)))</f>
        <v>0</v>
      </c>
    </row>
    <row r="123" ht="15.75" customHeight="1">
      <c r="A123" s="2">
        <v>3.0</v>
      </c>
      <c r="B123" s="30">
        <f>SUMPRODUCT(MAX(($A$120:$A$165&lt;=$A123)*($A$120:$A$165&lt;='Cálculos'!$E$294)*(($A123)-$A$120:$A$165&lt;='Cálculos'!$E$295)*(1+(('Cálculos'!$E$207+$A$120:$A$165*'Cálculos'!$E$95)-(('Cálculos'!$E$207+$A$120:$A$165*'Cálculos'!$E$95)&gt;1)*(('Cálculos'!$E$207+$A$120:$A$165*'Cálculos'!$E$95)-1))*('Cálculos'!$E$208+(($A123)-$A$120:$A$165)*'Cálculos'!$E$96))))</f>
        <v>1.35441</v>
      </c>
      <c r="C123" s="2">
        <f>'Cálculos'!$E$303-$A123</f>
        <v>10</v>
      </c>
      <c r="D123" s="31">
        <f>IF($C123&lt;0,0,SUMPRODUCT(MAX(($A$120:$A$165&lt;=$C123)*($A$120:$A$165&lt;='Cálculos'!$E$301)*(($C123)-$A$120:$A$165&lt;='Cálculos'!$E$297)*(('Cálculos'!$E$185*(1+'Cálculos'!$E$186+$A$120:$A$165*('Cálculos'!$E$290=1)*'Cálculos'!$E$97+'Cálculos'!$E$305)+'Cálculos'!$E$191)*('Cálculos'!$E$209+'Cálculos'!$E$124*(1+2.78*('Cálculos'!$E$196+(($C123)-$A$120:$A$165)*'Cálculos'!$E$98)/(('Cálculos'!$E$196+(($C123)-$A$120:$A$165)*'Cálculos'!$E$98)+1400)+'Cálculos'!$E$122)*'Cálculos'!$E$214+'Cálculos'!$E$125*(1+2.78*('Cálculos'!$E$196+(($C123)-$A$120:$A$165)*'Cálculos'!$E$98)/(('Cálculos'!$E$196+(($C123)-$A$120:$A$165)*'Cálculos'!$E$98)+1400)+'Cálculos'!$E$123)*'Cálculos'!$E$219)+('Cálculos'!$E$196+(($C123)-$A$120:$A$165)*'Cálculos'!$E$98)*('Cálculos'!$E$210+'Cálculos'!$E$124*(1+2.78*('Cálculos'!$E$196+(($C123)-$A$120:$A$165)*'Cálculos'!$E$98)/(('Cálculos'!$E$196+(($C123)-$A$120:$A$165)*'Cálculos'!$E$98)+1400)+'Cálculos'!$E$122)*'Cálculos'!$E$215+'Cálculos'!$E$125*(1+2.78*('Cálculos'!$E$196+(($C123)-$A$120:$A$165)*'Cálculos'!$E$98)/(('Cálculos'!$E$196+(($C123)-$A$120:$A$165)*'Cálculos'!$E$98)+1400)+'Cálculos'!$E$123)*'Cálculos'!$E$220)+('Cálculos'!$E$201*(1+'Cálculos'!$E$202+$A$120:$A$165*('Cálculos'!$E$290=2)*'Cálculos'!$E$101)+'Cálculos'!$E$203)*('Cálculos'!$E$211+'Cálculos'!$E$124*(1+2.78*('Cálculos'!$E$196+(($C123)-$A$120:$A$165)*'Cálculos'!$E$98)/(('Cálculos'!$E$196+(($C123)-$A$120:$A$165)*'Cálculos'!$E$98)+1400)+'Cálculos'!$E$122)*'Cálculos'!$E$216+'Cálculos'!$E$125*(1+2.78*('Cálculos'!$E$196+(($C123)-$A$120:$A$165)*'Cálculos'!$E$98)/(('Cálculos'!$E$196+(($C123)-$A$120:$A$165)*'Cálculos'!$E$98)+1400)+'Cálculos'!$E$123)*'Cálculos'!$E$221)+('Cálculos'!$E$204*(1+'Cálculos'!$E$205+$A$120:$A$165*('Cálculos'!$E$290=3)*'Cálculos'!$E$103)+'Cálculos'!$E$206)*('Cálculos'!$E$212+'Cálculos'!$E$124*(1+2.78*('Cálculos'!$E$196+(($C123)-$A$120:$A$165)*'Cálculos'!$E$98)/(('Cálculos'!$E$196+(($C123)-$A$120:$A$165)*'Cálculos'!$E$98)+1400)+'Cálculos'!$E$122)*'Cálculos'!$E$217+'Cálculos'!$E$125*(1+2.78*('Cálculos'!$E$196+(($C123)-$A$120:$A$165)*'Cálculos'!$E$98)/(('Cálculos'!$E$196+(($C123)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123)-$A$120:$A$165)*'Cálculos'!$E$98)/(('Cálculos'!$E$197+(($C123)-$A$120:$A$165)*'Cálculos'!$E$98)+1400)+'Cálculos'!$E$122)*'Cálculos'!$E$229+'Cálculos'!$E$125*(1+2.78*('Cálculos'!$E$197+(($C123)-$A$120:$A$165)*'Cálculos'!$E$98)/(('Cálculos'!$E$197+(($C123)-$A$120:$A$165)*'Cálculos'!$E$98)+1400)+'Cálculos'!$E$123)*'Cálculos'!$E$234)+('Cálculos'!$E$197+(($C123)-$A$120:$A$165)*'Cálculos'!$E$98)*('Cálculos'!$E$225+'Cálculos'!$E$124*(1+2.78*('Cálculos'!$E$197+(($C123)-$A$120:$A$165)*'Cálculos'!$E$98)/(('Cálculos'!$E$197+(($C123)-$A$120:$A$165)*'Cálculos'!$E$98)+1400)+'Cálculos'!$E$122)*'Cálculos'!$E$230+'Cálculos'!$E$125*(1+2.78*('Cálculos'!$E$197+(($C123)-$A$120:$A$165)*'Cálculos'!$E$98)/(('Cálculos'!$E$197+(($C123)-$A$120:$A$165)*'Cálculos'!$E$98)+1400)+'Cálculos'!$E$123)*'Cálculos'!$E$235)+('Cálculos'!$E$201*(1+'Cálculos'!$E$202+$A$120:$A$165*('Cálculos'!$E$290=2)*'Cálculos'!$E$101)+'Cálculos'!$E$203)*('Cálculos'!$E$226+'Cálculos'!$E$124*(1+2.78*('Cálculos'!$E$197+(($C123)-$A$120:$A$165)*'Cálculos'!$E$98)/(('Cálculos'!$E$197+(($C123)-$A$120:$A$165)*'Cálculos'!$E$98)+1400)+'Cálculos'!$E$122)*'Cálculos'!$E$231+'Cálculos'!$E$125*(1+2.78*('Cálculos'!$E$197+(($C123)-$A$120:$A$165)*'Cálculos'!$E$98)/(('Cálculos'!$E$197+(($C123)-$A$120:$A$165)*'Cálculos'!$E$98)+1400)+'Cálculos'!$E$123)*'Cálculos'!$E$236)+('Cálculos'!$E$204*(1+'Cálculos'!$E$205+$A$120:$A$165*('Cálculos'!$E$290=3)*'Cálculos'!$E$103)+'Cálculos'!$E$206)*('Cálculos'!$E$227+'Cálculos'!$E$124*(1+2.78*('Cálculos'!$E$197+(($C123)-$A$120:$A$165)*'Cálculos'!$E$98)/(('Cálculos'!$E$197+(($C123)-$A$120:$A$165)*'Cálculos'!$E$98)+1400)+'Cálculos'!$E$122)*'Cálculos'!$E$232+'Cálculos'!$E$125*(1+2.78*('Cálculos'!$E$197+(($C123)-$A$120:$A$165)*'Cálculos'!$E$98)/(('Cálculos'!$E$197+(($C123)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123)-$A$120:$A$165)*'Cálculos'!$E$98)/(('Cálculos'!$E$198+(($C123)-$A$120:$A$165)*'Cálculos'!$E$98)+1400)+'Cálculos'!$E$122)*'Cálculos'!$E$244+'Cálculos'!$E$125*(1+2.78*('Cálculos'!$E$198+(($C123)-$A$120:$A$165)*'Cálculos'!$E$98)/(('Cálculos'!$E$198+(($C123)-$A$120:$A$165)*'Cálculos'!$E$98)+1400)+'Cálculos'!$E$123)*'Cálculos'!$E$249)+('Cálculos'!$E$198+(($C123)-$A$120:$A$165)*'Cálculos'!$E$98)*('Cálculos'!$E$240+'Cálculos'!$E$124*(1+2.78*('Cálculos'!$E$198+(($C123)-$A$120:$A$165)*'Cálculos'!$E$98)/(('Cálculos'!$E$198+(($C123)-$A$120:$A$165)*'Cálculos'!$E$98)+1400)+'Cálculos'!$E$122)*'Cálculos'!$E$245+'Cálculos'!$E$125*(1+2.78*('Cálculos'!$E$198+(($C123)-$A$120:$A$165)*'Cálculos'!$E$98)/(('Cálculos'!$E$198+(($C123)-$A$120:$A$165)*'Cálculos'!$E$98)+1400)+'Cálculos'!$E$123)*'Cálculos'!$E$250)+('Cálculos'!$E$201*(1+'Cálculos'!$E$202+$A$120:$A$165*('Cálculos'!$E$290=2)*'Cálculos'!$E$101)+'Cálculos'!$E$203)*('Cálculos'!$E$241+'Cálculos'!$E$124*(1+2.78*('Cálculos'!$E$198+(($C123)-$A$120:$A$165)*'Cálculos'!$E$98)/(('Cálculos'!$E$198+(($C123)-$A$120:$A$165)*'Cálculos'!$E$98)+1400)+'Cálculos'!$E$122)*'Cálculos'!$E$246+'Cálculos'!$E$125*(1+2.78*('Cálculos'!$E$198+(($C123)-$A$120:$A$165)*'Cálculos'!$E$98)/(('Cálculos'!$E$198+(($C123)-$A$120:$A$165)*'Cálculos'!$E$98)+1400)+'Cálculos'!$E$123)*'Cálculos'!$E$251)+('Cálculos'!$E$204*(1+'Cálculos'!$E$205+$A$120:$A$165*('Cálculos'!$E$290=3)*'Cálculos'!$E$103)+'Cálculos'!$E$206)*('Cálculos'!$E$242+'Cálculos'!$E$124*(1+2.78*('Cálculos'!$E$198+(($C123)-$A$120:$A$165)*'Cálculos'!$E$98)/(('Cálculos'!$E$198+(($C123)-$A$120:$A$165)*'Cálculos'!$E$98)+1400)+'Cálculos'!$E$122)*'Cálculos'!$E$247+'Cálculos'!$E$125*(1+2.78*('Cálculos'!$E$198+(($C123)-$A$120:$A$165)*'Cálculos'!$E$98)/(('Cálculos'!$E$198+(($C123)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123)-$A$120:$A$165)*'Cálculos'!$E$98)/(('Cálculos'!$E$199+(($C123)-$A$120:$A$165)*'Cálculos'!$E$98)+1400)+'Cálculos'!$E$122)*'Cálculos'!$E$259+'Cálculos'!$E$125*(1+2.78*('Cálculos'!$E$199+(($C123)-$A$120:$A$165)*'Cálculos'!$E$98)/(('Cálculos'!$E$199+(($C123)-$A$120:$A$165)*'Cálculos'!$E$98)+1400)+'Cálculos'!$E$123)*'Cálculos'!$E$264)+('Cálculos'!$E$199+(($C123)-$A$120:$A$165)*'Cálculos'!$E$98)*('Cálculos'!$E$255+'Cálculos'!$E$124*(1+2.78*('Cálculos'!$E$199+(($C123)-$A$120:$A$165)*'Cálculos'!$E$98)/(('Cálculos'!$E$199+(($C123)-$A$120:$A$165)*'Cálculos'!$E$98)+1400)+'Cálculos'!$E$122)*'Cálculos'!$E$260+'Cálculos'!$E$125*(1+2.78*('Cálculos'!$E$199+(($C123)-$A$120:$A$165)*'Cálculos'!$E$98)/(('Cálculos'!$E$199+(($C123)-$A$120:$A$165)*'Cálculos'!$E$98)+1400)+'Cálculos'!$E$123)*'Cálculos'!$E$265)+('Cálculos'!$E$201*(1+'Cálculos'!$E$202+$A$120:$A$165*('Cálculos'!$E$290=2)*'Cálculos'!$E$101)+'Cálculos'!$E$203)*('Cálculos'!$E$256+'Cálculos'!$E$124*(1+2.78*('Cálculos'!$E$199+(($C123)-$A$120:$A$165)*'Cálculos'!$E$98)/(('Cálculos'!$E$199+(($C123)-$A$120:$A$165)*'Cálculos'!$E$98)+1400)+'Cálculos'!$E$122)*'Cálculos'!$E$261+'Cálculos'!$E$125*(1+2.78*('Cálculos'!$E$199+(($C123)-$A$120:$A$165)*'Cálculos'!$E$98)/(('Cálculos'!$E$199+(($C123)-$A$120:$A$165)*'Cálculos'!$E$98)+1400)+'Cálculos'!$E$123)*'Cálculos'!$E$266)+('Cálculos'!$E$204*(1+'Cálculos'!$E$205+$A$120:$A$165*('Cálculos'!$E$290=3)*'Cálculos'!$E$103)+'Cálculos'!$E$206)*('Cálculos'!$E$257+'Cálculos'!$E$124*(1+2.78*('Cálculos'!$E$199+(($C123)-$A$120:$A$165)*'Cálculos'!$E$98)/(('Cálculos'!$E$199+(($C123)-$A$120:$A$165)*'Cálculos'!$E$98)+1400)+'Cálculos'!$E$122)*'Cálculos'!$E$262+'Cálculos'!$E$125*(1+2.78*('Cálculos'!$E$199+(($C123)-$A$120:$A$165)*'Cálculos'!$E$98)/(('Cálculos'!$E$199+(($C123)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123)-$A$120:$A$165)*'Cálculos'!$E$98)/(('Cálculos'!$E$200+(($C123)-$A$120:$A$165)*'Cálculos'!$E$98)+1400)+'Cálculos'!$E$122)*'Cálculos'!$E$274+'Cálculos'!$E$125*(1+2.78*('Cálculos'!$E$200+(($C123)-$A$120:$A$165)*'Cálculos'!$E$98)/(('Cálculos'!$E$200+(($C123)-$A$120:$A$165)*'Cálculos'!$E$98)+1400)+'Cálculos'!$E$123)*'Cálculos'!$E$279)+('Cálculos'!$E$200+(($C123)-$A$120:$A$165)*'Cálculos'!$E$98)*('Cálculos'!$E$270+'Cálculos'!$E$124*(1+2.78*('Cálculos'!$E$200+(($C123)-$A$120:$A$165)*'Cálculos'!$E$98)/(('Cálculos'!$E$200+(($C123)-$A$120:$A$165)*'Cálculos'!$E$98)+1400)+'Cálculos'!$E$122)*'Cálculos'!$E$275+'Cálculos'!$E$125*(1+2.78*('Cálculos'!$E$200+(($C123)-$A$120:$A$165)*'Cálculos'!$E$98)/(('Cálculos'!$E$200+(($C123)-$A$120:$A$165)*'Cálculos'!$E$98)+1400)+'Cálculos'!$E$123)*'Cálculos'!$E$280)+('Cálculos'!$E$201*(1+'Cálculos'!$E$202+$A$120:$A$165*('Cálculos'!$E$290=2)*'Cálculos'!$E$101)+'Cálculos'!$E$203)*('Cálculos'!$E$271+'Cálculos'!$E$124*(1+2.78*('Cálculos'!$E$200+(($C123)-$A$120:$A$165)*'Cálculos'!$E$98)/(('Cálculos'!$E$200+(($C123)-$A$120:$A$165)*'Cálculos'!$E$98)+1400)+'Cálculos'!$E$122)*'Cálculos'!$E$276+'Cálculos'!$E$125*(1+2.78*('Cálculos'!$E$200+(($C123)-$A$120:$A$165)*'Cálculos'!$E$98)/(('Cálculos'!$E$200+(($C123)-$A$120:$A$165)*'Cálculos'!$E$98)+1400)+'Cálculos'!$E$123)*'Cálculos'!$E$281)+('Cálculos'!$E$204*(1+'Cálculos'!$E$205+$A$120:$A$165*('Cálculos'!$E$290=3)*'Cálculos'!$E$103)+'Cálculos'!$E$206)*('Cálculos'!$E$272+'Cálculos'!$E$124*(1+2.78*('Cálculos'!$E$200+(($C123)-$A$120:$A$165)*'Cálculos'!$E$98)/(('Cálculos'!$E$200+(($C123)-$A$120:$A$165)*'Cálculos'!$E$98)+1400)+'Cálculos'!$E$122)*'Cálculos'!$E$277+'Cálculos'!$E$125*(1+2.78*('Cálculos'!$E$200+(($C123)-$A$120:$A$165)*'Cálculos'!$E$98)/(('Cálculos'!$E$200+(($C123)-$A$120:$A$165)*'Cálculos'!$E$98)+1400)+'Cálculos'!$E$123)*'Cálculos'!$E$282)))))</f>
        <v>21439.66432</v>
      </c>
      <c r="E123" s="32">
        <f>IF(OR($C123&lt;0,'Cálculos'!$E$6=""),0,$B123*$D123)</f>
        <v>29038.09576</v>
      </c>
      <c r="F123" s="2"/>
      <c r="G123" s="30">
        <f>($A123&lt;=$B$167)*($A123&lt;='Cálculos'!$E$294)*(($B$167)-$A123&lt;='Cálculos'!$E$295)*(1+MIN(('Cálculos'!$E$207+$A123*'Cálculos'!$E$95),1)*('Cálculos'!$E$208+(($B$167)-$A123)*'Cálculos'!$E$96))</f>
        <v>1.679592</v>
      </c>
      <c r="H123" s="31">
        <f>IF($B$168&lt;0,0,($A123&lt;=$B$168)*($A123&lt;='Cálculos'!$E$301)*(($B$168)-$A123&lt;='Cálculos'!$E$297)*(('Cálculos'!$E$185*(1+'Cálculos'!$E$186+$A123*('Cálculos'!$E$290=1)*'Cálculos'!$E$97+'Cálculos'!$E$305)+'Cálculos'!$E$191)*('Cálculos'!$E$209+'Cálculos'!$E$124*(1+2.78*('Cálculos'!$E$196+(($B$168)-$A123)*'Cálculos'!$E$98)/(('Cálculos'!$E$196+(($B$168)-$A123)*'Cálculos'!$E$98)+1400)+'Cálculos'!$E$122)*'Cálculos'!$E$214+'Cálculos'!$E$125*(1+2.78*('Cálculos'!$E$196+(($B$168)-$A123)*'Cálculos'!$E$98)/(('Cálculos'!$E$196+(($B$168)-$A123)*'Cálculos'!$E$98)+1400)+'Cálculos'!$E$123)*'Cálculos'!$E$219)+('Cálculos'!$E$196+(($B$168)-$A123)*'Cálculos'!$E$98)*('Cálculos'!$E$210+'Cálculos'!$E$124*(1+2.78*('Cálculos'!$E$196+(($B$168)-$A123)*'Cálculos'!$E$98)/(('Cálculos'!$E$196+(($B$168)-$A123)*'Cálculos'!$E$98)+1400)+'Cálculos'!$E$122)*'Cálculos'!$E$215+'Cálculos'!$E$125*(1+2.78*('Cálculos'!$E$196+(($B$168)-$A123)*'Cálculos'!$E$98)/(('Cálculos'!$E$196+(($B$168)-$A123)*'Cálculos'!$E$98)+1400)+'Cálculos'!$E$123)*'Cálculos'!$E$220)+('Cálculos'!$E$201*(1+'Cálculos'!$E$202+$A123*('Cálculos'!$E$290=2)*'Cálculos'!$E$101)+'Cálculos'!$E$203)*('Cálculos'!$E$211+'Cálculos'!$E$124*(1+2.78*('Cálculos'!$E$196+(($B$168)-$A123)*'Cálculos'!$E$98)/(('Cálculos'!$E$196+(($B$168)-$A123)*'Cálculos'!$E$98)+1400)+'Cálculos'!$E$122)*'Cálculos'!$E$216+'Cálculos'!$E$125*(1+2.78*('Cálculos'!$E$196+(($B$168)-$A123)*'Cálculos'!$E$98)/(('Cálculos'!$E$196+(($B$168)-$A123)*'Cálculos'!$E$98)+1400)+'Cálculos'!$E$123)*'Cálculos'!$E$221)+('Cálculos'!$E$204*(1+'Cálculos'!$E$205+$A123*('Cálculos'!$E$290=3)*'Cálculos'!$E$103)+'Cálculos'!$E$206)*('Cálculos'!$E$212+'Cálculos'!$E$124*(1+2.78*('Cálculos'!$E$196+(($B$168)-$A123)*'Cálculos'!$E$98)/(('Cálculos'!$E$196+(($B$168)-$A123)*'Cálculos'!$E$98)+1400)+'Cálculos'!$E$122)*'Cálculos'!$E$217+'Cálculos'!$E$125*(1+2.78*('Cálculos'!$E$196+(($B$168)-$A123)*'Cálculos'!$E$98)/(('Cálculos'!$E$196+(($B$168)-$A123)*'Cálculos'!$E$98)+1400)+'Cálculos'!$E$123)*'Cálculos'!$E$222)+('Cálculos'!$E$185*(1+'Cálculos'!$E$187+$A123*('Cálculos'!$E$290=1)*'Cálculos'!$E$97+'Cálculos'!$E$305)+'Cálculos'!$E$192)*('Cálculos'!$E$224+'Cálculos'!$E$124*(1+2.78*('Cálculos'!$E$197+(($B$168)-$A123)*'Cálculos'!$E$98)/(('Cálculos'!$E$197+(($B$168)-$A123)*'Cálculos'!$E$98)+1400)+'Cálculos'!$E$122)*'Cálculos'!$E$229+'Cálculos'!$E$125*(1+2.78*('Cálculos'!$E$197+(($B$168)-$A123)*'Cálculos'!$E$98)/(('Cálculos'!$E$197+(($B$168)-$A123)*'Cálculos'!$E$98)+1400)+'Cálculos'!$E$123)*'Cálculos'!$E$234)+('Cálculos'!$E$197+(($B$168)-$A123)*'Cálculos'!$E$98)*('Cálculos'!$E$225+'Cálculos'!$E$124*(1+2.78*('Cálculos'!$E$197+(($B$168)-$A123)*'Cálculos'!$E$98)/(('Cálculos'!$E$197+(($B$168)-$A123)*'Cálculos'!$E$98)+1400)+'Cálculos'!$E$122)*'Cálculos'!$E$230+'Cálculos'!$E$125*(1+2.78*('Cálculos'!$E$197+(($B$168)-$A123)*'Cálculos'!$E$98)/(('Cálculos'!$E$197+(($B$168)-$A123)*'Cálculos'!$E$98)+1400)+'Cálculos'!$E$123)*'Cálculos'!$E$235)+('Cálculos'!$E$201*(1+'Cálculos'!$E$202+$A123*('Cálculos'!$E$290=2)*'Cálculos'!$E$101)+'Cálculos'!$E$203)*('Cálculos'!$E$226+'Cálculos'!$E$124*(1+2.78*('Cálculos'!$E$197+(($B$168)-$A123)*'Cálculos'!$E$98)/(('Cálculos'!$E$197+(($B$168)-$A123)*'Cálculos'!$E$98)+1400)+'Cálculos'!$E$122)*'Cálculos'!$E$231+'Cálculos'!$E$125*(1+2.78*('Cálculos'!$E$197+(($B$168)-$A123)*'Cálculos'!$E$98)/(('Cálculos'!$E$197+(($B$168)-$A123)*'Cálculos'!$E$98)+1400)+'Cálculos'!$E$123)*'Cálculos'!$E$236)+('Cálculos'!$E$204*(1+'Cálculos'!$E$205+$A123*('Cálculos'!$E$290=3)*'Cálculos'!$E$103)+'Cálculos'!$E$206)*('Cálculos'!$E$227+'Cálculos'!$E$124*(1+2.78*('Cálculos'!$E$197+(($B$168)-$A123)*'Cálculos'!$E$98)/(('Cálculos'!$E$197+(($B$168)-$A123)*'Cálculos'!$E$98)+1400)+'Cálculos'!$E$122)*'Cálculos'!$E$232+'Cálculos'!$E$125*(1+2.78*('Cálculos'!$E$197+(($B$168)-$A123)*'Cálculos'!$E$98)/(('Cálculos'!$E$197+(($B$168)-$A123)*'Cálculos'!$E$98)+1400)+'Cálculos'!$E$123)*'Cálculos'!$E$237)+('Cálculos'!$E$185*(1+'Cálculos'!$E$188+$A123*('Cálculos'!$E$290=1)*'Cálculos'!$E$97+'Cálculos'!$E$305)+'Cálculos'!$E$193)*('Cálculos'!$E$239+'Cálculos'!$E$124*(1+2.78*('Cálculos'!$E$198+(($B$168)-$A123)*'Cálculos'!$E$98)/(('Cálculos'!$E$198+(($B$168)-$A123)*'Cálculos'!$E$98)+1400)+'Cálculos'!$E$122)*'Cálculos'!$E$244+'Cálculos'!$E$125*(1+2.78*('Cálculos'!$E$198+(($B$168)-$A123)*'Cálculos'!$E$98)/(('Cálculos'!$E$198+(($B$168)-$A123)*'Cálculos'!$E$98)+1400)+'Cálculos'!$E$123)*'Cálculos'!$E$249)+('Cálculos'!$E$198+(($B$168)-$A123)*'Cálculos'!$E$98)*('Cálculos'!$E$240+'Cálculos'!$E$124*(1+2.78*('Cálculos'!$E$198+(($B$168)-$A123)*'Cálculos'!$E$98)/(('Cálculos'!$E$198+(($B$168)-$A123)*'Cálculos'!$E$98)+1400)+'Cálculos'!$E$122)*'Cálculos'!$E$245+'Cálculos'!$E$125*(1+2.78*('Cálculos'!$E$198+(($B$168)-$A123)*'Cálculos'!$E$98)/(('Cálculos'!$E$198+(($B$168)-$A123)*'Cálculos'!$E$98)+1400)+'Cálculos'!$E$123)*'Cálculos'!$E$250)+('Cálculos'!$E$201*(1+'Cálculos'!$E$202+$A123*('Cálculos'!$E$290=2)*'Cálculos'!$E$101)+'Cálculos'!$E$203)*('Cálculos'!$E$241+'Cálculos'!$E$124*(1+2.78*('Cálculos'!$E$198+(($B$168)-$A123)*'Cálculos'!$E$98)/(('Cálculos'!$E$198+(($B$168)-$A123)*'Cálculos'!$E$98)+1400)+'Cálculos'!$E$122)*'Cálculos'!$E$246+'Cálculos'!$E$125*(1+2.78*('Cálculos'!$E$198+(($B$168)-$A123)*'Cálculos'!$E$98)/(('Cálculos'!$E$198+(($B$168)-$A123)*'Cálculos'!$E$98)+1400)+'Cálculos'!$E$123)*'Cálculos'!$E$251)+('Cálculos'!$E$204*(1+'Cálculos'!$E$205+$A123*('Cálculos'!$E$290=3)*'Cálculos'!$E$103)+'Cálculos'!$E$206)*('Cálculos'!$E$242+'Cálculos'!$E$124*(1+2.78*('Cálculos'!$E$198+(($B$168)-$A123)*'Cálculos'!$E$98)/(('Cálculos'!$E$198+(($B$168)-$A123)*'Cálculos'!$E$98)+1400)+'Cálculos'!$E$122)*'Cálculos'!$E$247+'Cálculos'!$E$125*(1+2.78*('Cálculos'!$E$198+(($B$168)-$A123)*'Cálculos'!$E$98)/(('Cálculos'!$E$198+(($B$168)-$A123)*'Cálculos'!$E$98)+1400)+'Cálculos'!$E$123)*'Cálculos'!$E$252)+('Cálculos'!$E$185*(1+'Cálculos'!$E$189+$A123*('Cálculos'!$E$290=1)*'Cálculos'!$E$97+'Cálculos'!$E$305)+'Cálculos'!$E$194)*('Cálculos'!$E$254+'Cálculos'!$E$124*(1+2.78*('Cálculos'!$E$199+(($B$168)-$A123)*'Cálculos'!$E$98)/(('Cálculos'!$E$199+(($B$168)-$A123)*'Cálculos'!$E$98)+1400)+'Cálculos'!$E$122)*'Cálculos'!$E$259+'Cálculos'!$E$125*(1+2.78*('Cálculos'!$E$199+(($B$168)-$A123)*'Cálculos'!$E$98)/(('Cálculos'!$E$199+(($B$168)-$A123)*'Cálculos'!$E$98)+1400)+'Cálculos'!$E$123)*'Cálculos'!$E$264)+('Cálculos'!$E$199+(($B$168)-$A123)*'Cálculos'!$E$98)*('Cálculos'!$E$255+'Cálculos'!$E$124*(1+2.78*('Cálculos'!$E$199+(($B$168)-$A123)*'Cálculos'!$E$98)/(('Cálculos'!$E$199+(($B$168)-$A123)*'Cálculos'!$E$98)+1400)+'Cálculos'!$E$122)*'Cálculos'!$E$260+'Cálculos'!$E$125*(1+2.78*('Cálculos'!$E$199+(($B$168)-$A123)*'Cálculos'!$E$98)/(('Cálculos'!$E$199+(($B$168)-$A123)*'Cálculos'!$E$98)+1400)+'Cálculos'!$E$123)*'Cálculos'!$E$265)+('Cálculos'!$E$201*(1+'Cálculos'!$E$202+$A123*('Cálculos'!$E$290=2)*'Cálculos'!$E$101)+'Cálculos'!$E$203)*('Cálculos'!$E$256+'Cálculos'!$E$124*(1+2.78*('Cálculos'!$E$199+(($B$168)-$A123)*'Cálculos'!$E$98)/(('Cálculos'!$E$199+(($B$168)-$A123)*'Cálculos'!$E$98)+1400)+'Cálculos'!$E$122)*'Cálculos'!$E$261+'Cálculos'!$E$125*(1+2.78*('Cálculos'!$E$199+(($B$168)-$A123)*'Cálculos'!$E$98)/(('Cálculos'!$E$199+(($B$168)-$A123)*'Cálculos'!$E$98)+1400)+'Cálculos'!$E$123)*'Cálculos'!$E$266)+('Cálculos'!$E$204*(1+'Cálculos'!$E$205+$A123*('Cálculos'!$E$290=3)*'Cálculos'!$E$103)+'Cálculos'!$E$206)*('Cálculos'!$E$257+'Cálculos'!$E$124*(1+2.78*('Cálculos'!$E$199+(($B$168)-$A123)*'Cálculos'!$E$98)/(('Cálculos'!$E$199+(($B$168)-$A123)*'Cálculos'!$E$98)+1400)+'Cálculos'!$E$122)*'Cálculos'!$E$262+'Cálculos'!$E$125*(1+2.78*('Cálculos'!$E$199+(($B$168)-$A123)*'Cálculos'!$E$98)/(('Cálculos'!$E$199+(($B$168)-$A123)*'Cálculos'!$E$98)+1400)+'Cálculos'!$E$123)*'Cálculos'!$E$267)+('Cálculos'!$E$185*(1+'Cálculos'!$E$190+$A123*('Cálculos'!$E$290=1)*'Cálculos'!$E$97+'Cálculos'!$E$305)+'Cálculos'!$E$195)*('Cálculos'!$E$269+'Cálculos'!$E$124*(1+2.78*('Cálculos'!$E$200+(($B$168)-$A123)*'Cálculos'!$E$98)/(('Cálculos'!$E$200+(($B$168)-$A123)*'Cálculos'!$E$98)+1400)+'Cálculos'!$E$122)*'Cálculos'!$E$274+'Cálculos'!$E$125*(1+2.78*('Cálculos'!$E$200+(($B$168)-$A123)*'Cálculos'!$E$98)/(('Cálculos'!$E$200+(($B$168)-$A123)*'Cálculos'!$E$98)+1400)+'Cálculos'!$E$123)*'Cálculos'!$E$279)+('Cálculos'!$E$200+(($B$168)-$A123)*'Cálculos'!$E$98)*('Cálculos'!$E$270+'Cálculos'!$E$124*(1+2.78*('Cálculos'!$E$200+(($B$168)-$A123)*'Cálculos'!$E$98)/(('Cálculos'!$E$200+(($B$168)-$A123)*'Cálculos'!$E$98)+1400)+'Cálculos'!$E$122)*'Cálculos'!$E$275+'Cálculos'!$E$125*(1+2.78*('Cálculos'!$E$200+(($B$168)-$A123)*'Cálculos'!$E$98)/(('Cálculos'!$E$200+(($B$168)-$A123)*'Cálculos'!$E$98)+1400)+'Cálculos'!$E$123)*'Cálculos'!$E$280)+('Cálculos'!$E$201*(1+'Cálculos'!$E$202+$A123*('Cálculos'!$E$290=2)*'Cálculos'!$E$101)+'Cálculos'!$E$203)*('Cálculos'!$E$271+'Cálculos'!$E$124*(1+2.78*('Cálculos'!$E$200+(($B$168)-$A123)*'Cálculos'!$E$98)/(('Cálculos'!$E$200+(($B$168)-$A123)*'Cálculos'!$E$98)+1400)+'Cálculos'!$E$122)*'Cálculos'!$E$276+'Cálculos'!$E$125*(1+2.78*('Cálculos'!$E$200+(($B$168)-$A123)*'Cálculos'!$E$98)/(('Cálculos'!$E$200+(($B$168)-$A123)*'Cálculos'!$E$98)+1400)+'Cálculos'!$E$123)*'Cálculos'!$E$281)+('Cálculos'!$E$204*(1+'Cálculos'!$E$205+$A123*('Cálculos'!$E$290=3)*'Cálculos'!$E$103)+'Cálculos'!$E$206)*('Cálculos'!$E$272+'Cálculos'!$E$124*(1+2.78*('Cálculos'!$E$200+(($B$168)-$A123)*'Cálculos'!$E$98)/(('Cálculos'!$E$200+(($B$168)-$A123)*'Cálculos'!$E$98)+1400)+'Cálculos'!$E$122)*'Cálculos'!$E$277+'Cálculos'!$E$125*(1+2.78*('Cálculos'!$E$200+(($B$168)-$A123)*'Cálculos'!$E$98)/(('Cálculos'!$E$200+(($B$168)-$A123)*'Cálculos'!$E$98)+1400)+'Cálculos'!$E$123)*'Cálculos'!$E$282)))</f>
        <v>0</v>
      </c>
    </row>
    <row r="124" ht="15.75" customHeight="1">
      <c r="A124" s="2">
        <v>4.0</v>
      </c>
      <c r="B124" s="30">
        <f>SUMPRODUCT(MAX(($A$120:$A$165&lt;=$A124)*($A$120:$A$165&lt;='Cálculos'!$E$294)*(($A124)-$A$120:$A$165&lt;='Cálculos'!$E$295)*(1+(('Cálculos'!$E$207+$A$120:$A$165*'Cálculos'!$E$95)-(('Cálculos'!$E$207+$A$120:$A$165*'Cálculos'!$E$95)&gt;1)*(('Cálculos'!$E$207+$A$120:$A$165*'Cálculos'!$E$95)-1))*('Cálculos'!$E$208+(($A124)-$A$120:$A$165)*'Cálculos'!$E$96))))</f>
        <v>1.382592</v>
      </c>
      <c r="C124" s="2">
        <f>'Cálculos'!$E$303-$A124</f>
        <v>9</v>
      </c>
      <c r="D124" s="31">
        <f>IF($C124&lt;0,0,SUMPRODUCT(MAX(($A$120:$A$165&lt;=$C124)*($A$120:$A$165&lt;='Cálculos'!$E$301)*(($C124)-$A$120:$A$165&lt;='Cálculos'!$E$297)*(('Cálculos'!$E$185*(1+'Cálculos'!$E$186+$A$120:$A$165*('Cálculos'!$E$290=1)*'Cálculos'!$E$97+'Cálculos'!$E$305)+'Cálculos'!$E$191)*('Cálculos'!$E$209+'Cálculos'!$E$124*(1+2.78*('Cálculos'!$E$196+(($C124)-$A$120:$A$165)*'Cálculos'!$E$98)/(('Cálculos'!$E$196+(($C124)-$A$120:$A$165)*'Cálculos'!$E$98)+1400)+'Cálculos'!$E$122)*'Cálculos'!$E$214+'Cálculos'!$E$125*(1+2.78*('Cálculos'!$E$196+(($C124)-$A$120:$A$165)*'Cálculos'!$E$98)/(('Cálculos'!$E$196+(($C124)-$A$120:$A$165)*'Cálculos'!$E$98)+1400)+'Cálculos'!$E$123)*'Cálculos'!$E$219)+('Cálculos'!$E$196+(($C124)-$A$120:$A$165)*'Cálculos'!$E$98)*('Cálculos'!$E$210+'Cálculos'!$E$124*(1+2.78*('Cálculos'!$E$196+(($C124)-$A$120:$A$165)*'Cálculos'!$E$98)/(('Cálculos'!$E$196+(($C124)-$A$120:$A$165)*'Cálculos'!$E$98)+1400)+'Cálculos'!$E$122)*'Cálculos'!$E$215+'Cálculos'!$E$125*(1+2.78*('Cálculos'!$E$196+(($C124)-$A$120:$A$165)*'Cálculos'!$E$98)/(('Cálculos'!$E$196+(($C124)-$A$120:$A$165)*'Cálculos'!$E$98)+1400)+'Cálculos'!$E$123)*'Cálculos'!$E$220)+('Cálculos'!$E$201*(1+'Cálculos'!$E$202+$A$120:$A$165*('Cálculos'!$E$290=2)*'Cálculos'!$E$101)+'Cálculos'!$E$203)*('Cálculos'!$E$211+'Cálculos'!$E$124*(1+2.78*('Cálculos'!$E$196+(($C124)-$A$120:$A$165)*'Cálculos'!$E$98)/(('Cálculos'!$E$196+(($C124)-$A$120:$A$165)*'Cálculos'!$E$98)+1400)+'Cálculos'!$E$122)*'Cálculos'!$E$216+'Cálculos'!$E$125*(1+2.78*('Cálculos'!$E$196+(($C124)-$A$120:$A$165)*'Cálculos'!$E$98)/(('Cálculos'!$E$196+(($C124)-$A$120:$A$165)*'Cálculos'!$E$98)+1400)+'Cálculos'!$E$123)*'Cálculos'!$E$221)+('Cálculos'!$E$204*(1+'Cálculos'!$E$205+$A$120:$A$165*('Cálculos'!$E$290=3)*'Cálculos'!$E$103)+'Cálculos'!$E$206)*('Cálculos'!$E$212+'Cálculos'!$E$124*(1+2.78*('Cálculos'!$E$196+(($C124)-$A$120:$A$165)*'Cálculos'!$E$98)/(('Cálculos'!$E$196+(($C124)-$A$120:$A$165)*'Cálculos'!$E$98)+1400)+'Cálculos'!$E$122)*'Cálculos'!$E$217+'Cálculos'!$E$125*(1+2.78*('Cálculos'!$E$196+(($C124)-$A$120:$A$165)*'Cálculos'!$E$98)/(('Cálculos'!$E$196+(($C124)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124)-$A$120:$A$165)*'Cálculos'!$E$98)/(('Cálculos'!$E$197+(($C124)-$A$120:$A$165)*'Cálculos'!$E$98)+1400)+'Cálculos'!$E$122)*'Cálculos'!$E$229+'Cálculos'!$E$125*(1+2.78*('Cálculos'!$E$197+(($C124)-$A$120:$A$165)*'Cálculos'!$E$98)/(('Cálculos'!$E$197+(($C124)-$A$120:$A$165)*'Cálculos'!$E$98)+1400)+'Cálculos'!$E$123)*'Cálculos'!$E$234)+('Cálculos'!$E$197+(($C124)-$A$120:$A$165)*'Cálculos'!$E$98)*('Cálculos'!$E$225+'Cálculos'!$E$124*(1+2.78*('Cálculos'!$E$197+(($C124)-$A$120:$A$165)*'Cálculos'!$E$98)/(('Cálculos'!$E$197+(($C124)-$A$120:$A$165)*'Cálculos'!$E$98)+1400)+'Cálculos'!$E$122)*'Cálculos'!$E$230+'Cálculos'!$E$125*(1+2.78*('Cálculos'!$E$197+(($C124)-$A$120:$A$165)*'Cálculos'!$E$98)/(('Cálculos'!$E$197+(($C124)-$A$120:$A$165)*'Cálculos'!$E$98)+1400)+'Cálculos'!$E$123)*'Cálculos'!$E$235)+('Cálculos'!$E$201*(1+'Cálculos'!$E$202+$A$120:$A$165*('Cálculos'!$E$290=2)*'Cálculos'!$E$101)+'Cálculos'!$E$203)*('Cálculos'!$E$226+'Cálculos'!$E$124*(1+2.78*('Cálculos'!$E$197+(($C124)-$A$120:$A$165)*'Cálculos'!$E$98)/(('Cálculos'!$E$197+(($C124)-$A$120:$A$165)*'Cálculos'!$E$98)+1400)+'Cálculos'!$E$122)*'Cálculos'!$E$231+'Cálculos'!$E$125*(1+2.78*('Cálculos'!$E$197+(($C124)-$A$120:$A$165)*'Cálculos'!$E$98)/(('Cálculos'!$E$197+(($C124)-$A$120:$A$165)*'Cálculos'!$E$98)+1400)+'Cálculos'!$E$123)*'Cálculos'!$E$236)+('Cálculos'!$E$204*(1+'Cálculos'!$E$205+$A$120:$A$165*('Cálculos'!$E$290=3)*'Cálculos'!$E$103)+'Cálculos'!$E$206)*('Cálculos'!$E$227+'Cálculos'!$E$124*(1+2.78*('Cálculos'!$E$197+(($C124)-$A$120:$A$165)*'Cálculos'!$E$98)/(('Cálculos'!$E$197+(($C124)-$A$120:$A$165)*'Cálculos'!$E$98)+1400)+'Cálculos'!$E$122)*'Cálculos'!$E$232+'Cálculos'!$E$125*(1+2.78*('Cálculos'!$E$197+(($C124)-$A$120:$A$165)*'Cálculos'!$E$98)/(('Cálculos'!$E$197+(($C124)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124)-$A$120:$A$165)*'Cálculos'!$E$98)/(('Cálculos'!$E$198+(($C124)-$A$120:$A$165)*'Cálculos'!$E$98)+1400)+'Cálculos'!$E$122)*'Cálculos'!$E$244+'Cálculos'!$E$125*(1+2.78*('Cálculos'!$E$198+(($C124)-$A$120:$A$165)*'Cálculos'!$E$98)/(('Cálculos'!$E$198+(($C124)-$A$120:$A$165)*'Cálculos'!$E$98)+1400)+'Cálculos'!$E$123)*'Cálculos'!$E$249)+('Cálculos'!$E$198+(($C124)-$A$120:$A$165)*'Cálculos'!$E$98)*('Cálculos'!$E$240+'Cálculos'!$E$124*(1+2.78*('Cálculos'!$E$198+(($C124)-$A$120:$A$165)*'Cálculos'!$E$98)/(('Cálculos'!$E$198+(($C124)-$A$120:$A$165)*'Cálculos'!$E$98)+1400)+'Cálculos'!$E$122)*'Cálculos'!$E$245+'Cálculos'!$E$125*(1+2.78*('Cálculos'!$E$198+(($C124)-$A$120:$A$165)*'Cálculos'!$E$98)/(('Cálculos'!$E$198+(($C124)-$A$120:$A$165)*'Cálculos'!$E$98)+1400)+'Cálculos'!$E$123)*'Cálculos'!$E$250)+('Cálculos'!$E$201*(1+'Cálculos'!$E$202+$A$120:$A$165*('Cálculos'!$E$290=2)*'Cálculos'!$E$101)+'Cálculos'!$E$203)*('Cálculos'!$E$241+'Cálculos'!$E$124*(1+2.78*('Cálculos'!$E$198+(($C124)-$A$120:$A$165)*'Cálculos'!$E$98)/(('Cálculos'!$E$198+(($C124)-$A$120:$A$165)*'Cálculos'!$E$98)+1400)+'Cálculos'!$E$122)*'Cálculos'!$E$246+'Cálculos'!$E$125*(1+2.78*('Cálculos'!$E$198+(($C124)-$A$120:$A$165)*'Cálculos'!$E$98)/(('Cálculos'!$E$198+(($C124)-$A$120:$A$165)*'Cálculos'!$E$98)+1400)+'Cálculos'!$E$123)*'Cálculos'!$E$251)+('Cálculos'!$E$204*(1+'Cálculos'!$E$205+$A$120:$A$165*('Cálculos'!$E$290=3)*'Cálculos'!$E$103)+'Cálculos'!$E$206)*('Cálculos'!$E$242+'Cálculos'!$E$124*(1+2.78*('Cálculos'!$E$198+(($C124)-$A$120:$A$165)*'Cálculos'!$E$98)/(('Cálculos'!$E$198+(($C124)-$A$120:$A$165)*'Cálculos'!$E$98)+1400)+'Cálculos'!$E$122)*'Cálculos'!$E$247+'Cálculos'!$E$125*(1+2.78*('Cálculos'!$E$198+(($C124)-$A$120:$A$165)*'Cálculos'!$E$98)/(('Cálculos'!$E$198+(($C124)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124)-$A$120:$A$165)*'Cálculos'!$E$98)/(('Cálculos'!$E$199+(($C124)-$A$120:$A$165)*'Cálculos'!$E$98)+1400)+'Cálculos'!$E$122)*'Cálculos'!$E$259+'Cálculos'!$E$125*(1+2.78*('Cálculos'!$E$199+(($C124)-$A$120:$A$165)*'Cálculos'!$E$98)/(('Cálculos'!$E$199+(($C124)-$A$120:$A$165)*'Cálculos'!$E$98)+1400)+'Cálculos'!$E$123)*'Cálculos'!$E$264)+('Cálculos'!$E$199+(($C124)-$A$120:$A$165)*'Cálculos'!$E$98)*('Cálculos'!$E$255+'Cálculos'!$E$124*(1+2.78*('Cálculos'!$E$199+(($C124)-$A$120:$A$165)*'Cálculos'!$E$98)/(('Cálculos'!$E$199+(($C124)-$A$120:$A$165)*'Cálculos'!$E$98)+1400)+'Cálculos'!$E$122)*'Cálculos'!$E$260+'Cálculos'!$E$125*(1+2.78*('Cálculos'!$E$199+(($C124)-$A$120:$A$165)*'Cálculos'!$E$98)/(('Cálculos'!$E$199+(($C124)-$A$120:$A$165)*'Cálculos'!$E$98)+1400)+'Cálculos'!$E$123)*'Cálculos'!$E$265)+('Cálculos'!$E$201*(1+'Cálculos'!$E$202+$A$120:$A$165*('Cálculos'!$E$290=2)*'Cálculos'!$E$101)+'Cálculos'!$E$203)*('Cálculos'!$E$256+'Cálculos'!$E$124*(1+2.78*('Cálculos'!$E$199+(($C124)-$A$120:$A$165)*'Cálculos'!$E$98)/(('Cálculos'!$E$199+(($C124)-$A$120:$A$165)*'Cálculos'!$E$98)+1400)+'Cálculos'!$E$122)*'Cálculos'!$E$261+'Cálculos'!$E$125*(1+2.78*('Cálculos'!$E$199+(($C124)-$A$120:$A$165)*'Cálculos'!$E$98)/(('Cálculos'!$E$199+(($C124)-$A$120:$A$165)*'Cálculos'!$E$98)+1400)+'Cálculos'!$E$123)*'Cálculos'!$E$266)+('Cálculos'!$E$204*(1+'Cálculos'!$E$205+$A$120:$A$165*('Cálculos'!$E$290=3)*'Cálculos'!$E$103)+'Cálculos'!$E$206)*('Cálculos'!$E$257+'Cálculos'!$E$124*(1+2.78*('Cálculos'!$E$199+(($C124)-$A$120:$A$165)*'Cálculos'!$E$98)/(('Cálculos'!$E$199+(($C124)-$A$120:$A$165)*'Cálculos'!$E$98)+1400)+'Cálculos'!$E$122)*'Cálculos'!$E$262+'Cálculos'!$E$125*(1+2.78*('Cálculos'!$E$199+(($C124)-$A$120:$A$165)*'Cálculos'!$E$98)/(('Cálculos'!$E$199+(($C124)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124)-$A$120:$A$165)*'Cálculos'!$E$98)/(('Cálculos'!$E$200+(($C124)-$A$120:$A$165)*'Cálculos'!$E$98)+1400)+'Cálculos'!$E$122)*'Cálculos'!$E$274+'Cálculos'!$E$125*(1+2.78*('Cálculos'!$E$200+(($C124)-$A$120:$A$165)*'Cálculos'!$E$98)/(('Cálculos'!$E$200+(($C124)-$A$120:$A$165)*'Cálculos'!$E$98)+1400)+'Cálculos'!$E$123)*'Cálculos'!$E$279)+('Cálculos'!$E$200+(($C124)-$A$120:$A$165)*'Cálculos'!$E$98)*('Cálculos'!$E$270+'Cálculos'!$E$124*(1+2.78*('Cálculos'!$E$200+(($C124)-$A$120:$A$165)*'Cálculos'!$E$98)/(('Cálculos'!$E$200+(($C124)-$A$120:$A$165)*'Cálculos'!$E$98)+1400)+'Cálculos'!$E$122)*'Cálculos'!$E$275+'Cálculos'!$E$125*(1+2.78*('Cálculos'!$E$200+(($C124)-$A$120:$A$165)*'Cálculos'!$E$98)/(('Cálculos'!$E$200+(($C124)-$A$120:$A$165)*'Cálculos'!$E$98)+1400)+'Cálculos'!$E$123)*'Cálculos'!$E$280)+('Cálculos'!$E$201*(1+'Cálculos'!$E$202+$A$120:$A$165*('Cálculos'!$E$290=2)*'Cálculos'!$E$101)+'Cálculos'!$E$203)*('Cálculos'!$E$271+'Cálculos'!$E$124*(1+2.78*('Cálculos'!$E$200+(($C124)-$A$120:$A$165)*'Cálculos'!$E$98)/(('Cálculos'!$E$200+(($C124)-$A$120:$A$165)*'Cálculos'!$E$98)+1400)+'Cálculos'!$E$122)*'Cálculos'!$E$276+'Cálculos'!$E$125*(1+2.78*('Cálculos'!$E$200+(($C124)-$A$120:$A$165)*'Cálculos'!$E$98)/(('Cálculos'!$E$200+(($C124)-$A$120:$A$165)*'Cálculos'!$E$98)+1400)+'Cálculos'!$E$123)*'Cálculos'!$E$281)+('Cálculos'!$E$204*(1+'Cálculos'!$E$205+$A$120:$A$165*('Cálculos'!$E$290=3)*'Cálculos'!$E$103)+'Cálculos'!$E$206)*('Cálculos'!$E$272+'Cálculos'!$E$124*(1+2.78*('Cálculos'!$E$200+(($C124)-$A$120:$A$165)*'Cálculos'!$E$98)/(('Cálculos'!$E$200+(($C124)-$A$120:$A$165)*'Cálculos'!$E$98)+1400)+'Cálculos'!$E$122)*'Cálculos'!$E$277+'Cálculos'!$E$125*(1+2.78*('Cálculos'!$E$200+(($C124)-$A$120:$A$165)*'Cálculos'!$E$98)/(('Cálculos'!$E$200+(($C124)-$A$120:$A$165)*'Cálculos'!$E$98)+1400)+'Cálculos'!$E$123)*'Cálculos'!$E$282)))))</f>
        <v>21153.70139</v>
      </c>
      <c r="E124" s="32">
        <f>IF(OR($C124&lt;0,'Cálculos'!$E$6=""),0,$B124*$D124)</f>
        <v>29246.93832</v>
      </c>
      <c r="F124" s="2"/>
      <c r="G124" s="30">
        <f>($A124&lt;=$B$167)*($A124&lt;='Cálculos'!$E$294)*(($B$167)-$A124&lt;='Cálculos'!$E$295)*(1+MIN(('Cálculos'!$E$207+$A124*'Cálculos'!$E$95),1)*('Cálculos'!$E$208+(($B$167)-$A124)*'Cálculos'!$E$96))</f>
        <v>1.685334</v>
      </c>
      <c r="H124" s="31">
        <f>IF($B$168&lt;0,0,($A124&lt;=$B$168)*($A124&lt;='Cálculos'!$E$301)*(($B$168)-$A124&lt;='Cálculos'!$E$297)*(('Cálculos'!$E$185*(1+'Cálculos'!$E$186+$A124*('Cálculos'!$E$290=1)*'Cálculos'!$E$97+'Cálculos'!$E$305)+'Cálculos'!$E$191)*('Cálculos'!$E$209+'Cálculos'!$E$124*(1+2.78*('Cálculos'!$E$196+(($B$168)-$A124)*'Cálculos'!$E$98)/(('Cálculos'!$E$196+(($B$168)-$A124)*'Cálculos'!$E$98)+1400)+'Cálculos'!$E$122)*'Cálculos'!$E$214+'Cálculos'!$E$125*(1+2.78*('Cálculos'!$E$196+(($B$168)-$A124)*'Cálculos'!$E$98)/(('Cálculos'!$E$196+(($B$168)-$A124)*'Cálculos'!$E$98)+1400)+'Cálculos'!$E$123)*'Cálculos'!$E$219)+('Cálculos'!$E$196+(($B$168)-$A124)*'Cálculos'!$E$98)*('Cálculos'!$E$210+'Cálculos'!$E$124*(1+2.78*('Cálculos'!$E$196+(($B$168)-$A124)*'Cálculos'!$E$98)/(('Cálculos'!$E$196+(($B$168)-$A124)*'Cálculos'!$E$98)+1400)+'Cálculos'!$E$122)*'Cálculos'!$E$215+'Cálculos'!$E$125*(1+2.78*('Cálculos'!$E$196+(($B$168)-$A124)*'Cálculos'!$E$98)/(('Cálculos'!$E$196+(($B$168)-$A124)*'Cálculos'!$E$98)+1400)+'Cálculos'!$E$123)*'Cálculos'!$E$220)+('Cálculos'!$E$201*(1+'Cálculos'!$E$202+$A124*('Cálculos'!$E$290=2)*'Cálculos'!$E$101)+'Cálculos'!$E$203)*('Cálculos'!$E$211+'Cálculos'!$E$124*(1+2.78*('Cálculos'!$E$196+(($B$168)-$A124)*'Cálculos'!$E$98)/(('Cálculos'!$E$196+(($B$168)-$A124)*'Cálculos'!$E$98)+1400)+'Cálculos'!$E$122)*'Cálculos'!$E$216+'Cálculos'!$E$125*(1+2.78*('Cálculos'!$E$196+(($B$168)-$A124)*'Cálculos'!$E$98)/(('Cálculos'!$E$196+(($B$168)-$A124)*'Cálculos'!$E$98)+1400)+'Cálculos'!$E$123)*'Cálculos'!$E$221)+('Cálculos'!$E$204*(1+'Cálculos'!$E$205+$A124*('Cálculos'!$E$290=3)*'Cálculos'!$E$103)+'Cálculos'!$E$206)*('Cálculos'!$E$212+'Cálculos'!$E$124*(1+2.78*('Cálculos'!$E$196+(($B$168)-$A124)*'Cálculos'!$E$98)/(('Cálculos'!$E$196+(($B$168)-$A124)*'Cálculos'!$E$98)+1400)+'Cálculos'!$E$122)*'Cálculos'!$E$217+'Cálculos'!$E$125*(1+2.78*('Cálculos'!$E$196+(($B$168)-$A124)*'Cálculos'!$E$98)/(('Cálculos'!$E$196+(($B$168)-$A124)*'Cálculos'!$E$98)+1400)+'Cálculos'!$E$123)*'Cálculos'!$E$222)+('Cálculos'!$E$185*(1+'Cálculos'!$E$187+$A124*('Cálculos'!$E$290=1)*'Cálculos'!$E$97+'Cálculos'!$E$305)+'Cálculos'!$E$192)*('Cálculos'!$E$224+'Cálculos'!$E$124*(1+2.78*('Cálculos'!$E$197+(($B$168)-$A124)*'Cálculos'!$E$98)/(('Cálculos'!$E$197+(($B$168)-$A124)*'Cálculos'!$E$98)+1400)+'Cálculos'!$E$122)*'Cálculos'!$E$229+'Cálculos'!$E$125*(1+2.78*('Cálculos'!$E$197+(($B$168)-$A124)*'Cálculos'!$E$98)/(('Cálculos'!$E$197+(($B$168)-$A124)*'Cálculos'!$E$98)+1400)+'Cálculos'!$E$123)*'Cálculos'!$E$234)+('Cálculos'!$E$197+(($B$168)-$A124)*'Cálculos'!$E$98)*('Cálculos'!$E$225+'Cálculos'!$E$124*(1+2.78*('Cálculos'!$E$197+(($B$168)-$A124)*'Cálculos'!$E$98)/(('Cálculos'!$E$197+(($B$168)-$A124)*'Cálculos'!$E$98)+1400)+'Cálculos'!$E$122)*'Cálculos'!$E$230+'Cálculos'!$E$125*(1+2.78*('Cálculos'!$E$197+(($B$168)-$A124)*'Cálculos'!$E$98)/(('Cálculos'!$E$197+(($B$168)-$A124)*'Cálculos'!$E$98)+1400)+'Cálculos'!$E$123)*'Cálculos'!$E$235)+('Cálculos'!$E$201*(1+'Cálculos'!$E$202+$A124*('Cálculos'!$E$290=2)*'Cálculos'!$E$101)+'Cálculos'!$E$203)*('Cálculos'!$E$226+'Cálculos'!$E$124*(1+2.78*('Cálculos'!$E$197+(($B$168)-$A124)*'Cálculos'!$E$98)/(('Cálculos'!$E$197+(($B$168)-$A124)*'Cálculos'!$E$98)+1400)+'Cálculos'!$E$122)*'Cálculos'!$E$231+'Cálculos'!$E$125*(1+2.78*('Cálculos'!$E$197+(($B$168)-$A124)*'Cálculos'!$E$98)/(('Cálculos'!$E$197+(($B$168)-$A124)*'Cálculos'!$E$98)+1400)+'Cálculos'!$E$123)*'Cálculos'!$E$236)+('Cálculos'!$E$204*(1+'Cálculos'!$E$205+$A124*('Cálculos'!$E$290=3)*'Cálculos'!$E$103)+'Cálculos'!$E$206)*('Cálculos'!$E$227+'Cálculos'!$E$124*(1+2.78*('Cálculos'!$E$197+(($B$168)-$A124)*'Cálculos'!$E$98)/(('Cálculos'!$E$197+(($B$168)-$A124)*'Cálculos'!$E$98)+1400)+'Cálculos'!$E$122)*'Cálculos'!$E$232+'Cálculos'!$E$125*(1+2.78*('Cálculos'!$E$197+(($B$168)-$A124)*'Cálculos'!$E$98)/(('Cálculos'!$E$197+(($B$168)-$A124)*'Cálculos'!$E$98)+1400)+'Cálculos'!$E$123)*'Cálculos'!$E$237)+('Cálculos'!$E$185*(1+'Cálculos'!$E$188+$A124*('Cálculos'!$E$290=1)*'Cálculos'!$E$97+'Cálculos'!$E$305)+'Cálculos'!$E$193)*('Cálculos'!$E$239+'Cálculos'!$E$124*(1+2.78*('Cálculos'!$E$198+(($B$168)-$A124)*'Cálculos'!$E$98)/(('Cálculos'!$E$198+(($B$168)-$A124)*'Cálculos'!$E$98)+1400)+'Cálculos'!$E$122)*'Cálculos'!$E$244+'Cálculos'!$E$125*(1+2.78*('Cálculos'!$E$198+(($B$168)-$A124)*'Cálculos'!$E$98)/(('Cálculos'!$E$198+(($B$168)-$A124)*'Cálculos'!$E$98)+1400)+'Cálculos'!$E$123)*'Cálculos'!$E$249)+('Cálculos'!$E$198+(($B$168)-$A124)*'Cálculos'!$E$98)*('Cálculos'!$E$240+'Cálculos'!$E$124*(1+2.78*('Cálculos'!$E$198+(($B$168)-$A124)*'Cálculos'!$E$98)/(('Cálculos'!$E$198+(($B$168)-$A124)*'Cálculos'!$E$98)+1400)+'Cálculos'!$E$122)*'Cálculos'!$E$245+'Cálculos'!$E$125*(1+2.78*('Cálculos'!$E$198+(($B$168)-$A124)*'Cálculos'!$E$98)/(('Cálculos'!$E$198+(($B$168)-$A124)*'Cálculos'!$E$98)+1400)+'Cálculos'!$E$123)*'Cálculos'!$E$250)+('Cálculos'!$E$201*(1+'Cálculos'!$E$202+$A124*('Cálculos'!$E$290=2)*'Cálculos'!$E$101)+'Cálculos'!$E$203)*('Cálculos'!$E$241+'Cálculos'!$E$124*(1+2.78*('Cálculos'!$E$198+(($B$168)-$A124)*'Cálculos'!$E$98)/(('Cálculos'!$E$198+(($B$168)-$A124)*'Cálculos'!$E$98)+1400)+'Cálculos'!$E$122)*'Cálculos'!$E$246+'Cálculos'!$E$125*(1+2.78*('Cálculos'!$E$198+(($B$168)-$A124)*'Cálculos'!$E$98)/(('Cálculos'!$E$198+(($B$168)-$A124)*'Cálculos'!$E$98)+1400)+'Cálculos'!$E$123)*'Cálculos'!$E$251)+('Cálculos'!$E$204*(1+'Cálculos'!$E$205+$A124*('Cálculos'!$E$290=3)*'Cálculos'!$E$103)+'Cálculos'!$E$206)*('Cálculos'!$E$242+'Cálculos'!$E$124*(1+2.78*('Cálculos'!$E$198+(($B$168)-$A124)*'Cálculos'!$E$98)/(('Cálculos'!$E$198+(($B$168)-$A124)*'Cálculos'!$E$98)+1400)+'Cálculos'!$E$122)*'Cálculos'!$E$247+'Cálculos'!$E$125*(1+2.78*('Cálculos'!$E$198+(($B$168)-$A124)*'Cálculos'!$E$98)/(('Cálculos'!$E$198+(($B$168)-$A124)*'Cálculos'!$E$98)+1400)+'Cálculos'!$E$123)*'Cálculos'!$E$252)+('Cálculos'!$E$185*(1+'Cálculos'!$E$189+$A124*('Cálculos'!$E$290=1)*'Cálculos'!$E$97+'Cálculos'!$E$305)+'Cálculos'!$E$194)*('Cálculos'!$E$254+'Cálculos'!$E$124*(1+2.78*('Cálculos'!$E$199+(($B$168)-$A124)*'Cálculos'!$E$98)/(('Cálculos'!$E$199+(($B$168)-$A124)*'Cálculos'!$E$98)+1400)+'Cálculos'!$E$122)*'Cálculos'!$E$259+'Cálculos'!$E$125*(1+2.78*('Cálculos'!$E$199+(($B$168)-$A124)*'Cálculos'!$E$98)/(('Cálculos'!$E$199+(($B$168)-$A124)*'Cálculos'!$E$98)+1400)+'Cálculos'!$E$123)*'Cálculos'!$E$264)+('Cálculos'!$E$199+(($B$168)-$A124)*'Cálculos'!$E$98)*('Cálculos'!$E$255+'Cálculos'!$E$124*(1+2.78*('Cálculos'!$E$199+(($B$168)-$A124)*'Cálculos'!$E$98)/(('Cálculos'!$E$199+(($B$168)-$A124)*'Cálculos'!$E$98)+1400)+'Cálculos'!$E$122)*'Cálculos'!$E$260+'Cálculos'!$E$125*(1+2.78*('Cálculos'!$E$199+(($B$168)-$A124)*'Cálculos'!$E$98)/(('Cálculos'!$E$199+(($B$168)-$A124)*'Cálculos'!$E$98)+1400)+'Cálculos'!$E$123)*'Cálculos'!$E$265)+('Cálculos'!$E$201*(1+'Cálculos'!$E$202+$A124*('Cálculos'!$E$290=2)*'Cálculos'!$E$101)+'Cálculos'!$E$203)*('Cálculos'!$E$256+'Cálculos'!$E$124*(1+2.78*('Cálculos'!$E$199+(($B$168)-$A124)*'Cálculos'!$E$98)/(('Cálculos'!$E$199+(($B$168)-$A124)*'Cálculos'!$E$98)+1400)+'Cálculos'!$E$122)*'Cálculos'!$E$261+'Cálculos'!$E$125*(1+2.78*('Cálculos'!$E$199+(($B$168)-$A124)*'Cálculos'!$E$98)/(('Cálculos'!$E$199+(($B$168)-$A124)*'Cálculos'!$E$98)+1400)+'Cálculos'!$E$123)*'Cálculos'!$E$266)+('Cálculos'!$E$204*(1+'Cálculos'!$E$205+$A124*('Cálculos'!$E$290=3)*'Cálculos'!$E$103)+'Cálculos'!$E$206)*('Cálculos'!$E$257+'Cálculos'!$E$124*(1+2.78*('Cálculos'!$E$199+(($B$168)-$A124)*'Cálculos'!$E$98)/(('Cálculos'!$E$199+(($B$168)-$A124)*'Cálculos'!$E$98)+1400)+'Cálculos'!$E$122)*'Cálculos'!$E$262+'Cálculos'!$E$125*(1+2.78*('Cálculos'!$E$199+(($B$168)-$A124)*'Cálculos'!$E$98)/(('Cálculos'!$E$199+(($B$168)-$A124)*'Cálculos'!$E$98)+1400)+'Cálculos'!$E$123)*'Cálculos'!$E$267)+('Cálculos'!$E$185*(1+'Cálculos'!$E$190+$A124*('Cálculos'!$E$290=1)*'Cálculos'!$E$97+'Cálculos'!$E$305)+'Cálculos'!$E$195)*('Cálculos'!$E$269+'Cálculos'!$E$124*(1+2.78*('Cálculos'!$E$200+(($B$168)-$A124)*'Cálculos'!$E$98)/(('Cálculos'!$E$200+(($B$168)-$A124)*'Cálculos'!$E$98)+1400)+'Cálculos'!$E$122)*'Cálculos'!$E$274+'Cálculos'!$E$125*(1+2.78*('Cálculos'!$E$200+(($B$168)-$A124)*'Cálculos'!$E$98)/(('Cálculos'!$E$200+(($B$168)-$A124)*'Cálculos'!$E$98)+1400)+'Cálculos'!$E$123)*'Cálculos'!$E$279)+('Cálculos'!$E$200+(($B$168)-$A124)*'Cálculos'!$E$98)*('Cálculos'!$E$270+'Cálculos'!$E$124*(1+2.78*('Cálculos'!$E$200+(($B$168)-$A124)*'Cálculos'!$E$98)/(('Cálculos'!$E$200+(($B$168)-$A124)*'Cálculos'!$E$98)+1400)+'Cálculos'!$E$122)*'Cálculos'!$E$275+'Cálculos'!$E$125*(1+2.78*('Cálculos'!$E$200+(($B$168)-$A124)*'Cálculos'!$E$98)/(('Cálculos'!$E$200+(($B$168)-$A124)*'Cálculos'!$E$98)+1400)+'Cálculos'!$E$123)*'Cálculos'!$E$280)+('Cálculos'!$E$201*(1+'Cálculos'!$E$202+$A124*('Cálculos'!$E$290=2)*'Cálculos'!$E$101)+'Cálculos'!$E$203)*('Cálculos'!$E$271+'Cálculos'!$E$124*(1+2.78*('Cálculos'!$E$200+(($B$168)-$A124)*'Cálculos'!$E$98)/(('Cálculos'!$E$200+(($B$168)-$A124)*'Cálculos'!$E$98)+1400)+'Cálculos'!$E$122)*'Cálculos'!$E$276+'Cálculos'!$E$125*(1+2.78*('Cálculos'!$E$200+(($B$168)-$A124)*'Cálculos'!$E$98)/(('Cálculos'!$E$200+(($B$168)-$A124)*'Cálculos'!$E$98)+1400)+'Cálculos'!$E$123)*'Cálculos'!$E$281)+('Cálculos'!$E$204*(1+'Cálculos'!$E$205+$A124*('Cálculos'!$E$290=3)*'Cálculos'!$E$103)+'Cálculos'!$E$206)*('Cálculos'!$E$272+'Cálculos'!$E$124*(1+2.78*('Cálculos'!$E$200+(($B$168)-$A124)*'Cálculos'!$E$98)/(('Cálculos'!$E$200+(($B$168)-$A124)*'Cálculos'!$E$98)+1400)+'Cálculos'!$E$122)*'Cálculos'!$E$277+'Cálculos'!$E$125*(1+2.78*('Cálculos'!$E$200+(($B$168)-$A124)*'Cálculos'!$E$98)/(('Cálculos'!$E$200+(($B$168)-$A124)*'Cálculos'!$E$98)+1400)+'Cálculos'!$E$123)*'Cálculos'!$E$282)))</f>
        <v>0</v>
      </c>
    </row>
    <row r="125" ht="15.75" customHeight="1">
      <c r="A125" s="2">
        <v>5.0</v>
      </c>
      <c r="B125" s="30">
        <f>SUMPRODUCT(MAX(($A$120:$A$165&lt;=$A125)*($A$120:$A$165&lt;='Cálculos'!$E$294)*(($A125)-$A$120:$A$165&lt;='Cálculos'!$E$295)*(1+(('Cálculos'!$E$207+$A$120:$A$165*'Cálculos'!$E$95)-(('Cálculos'!$E$207+$A$120:$A$165*'Cálculos'!$E$95)&gt;1)*(('Cálculos'!$E$207+$A$120:$A$165*'Cálculos'!$E$95)-1))*('Cálculos'!$E$208+(($A125)-$A$120:$A$165)*'Cálculos'!$E$96))))</f>
        <v>1.41216</v>
      </c>
      <c r="C125" s="2">
        <f>'Cálculos'!$E$303-$A125</f>
        <v>8</v>
      </c>
      <c r="D125" s="31">
        <f>IF($C125&lt;0,0,SUMPRODUCT(MAX(($A$120:$A$165&lt;=$C125)*($A$120:$A$165&lt;='Cálculos'!$E$301)*(($C125)-$A$120:$A$165&lt;='Cálculos'!$E$297)*(('Cálculos'!$E$185*(1+'Cálculos'!$E$186+$A$120:$A$165*('Cálculos'!$E$290=1)*'Cálculos'!$E$97+'Cálculos'!$E$305)+'Cálculos'!$E$191)*('Cálculos'!$E$209+'Cálculos'!$E$124*(1+2.78*('Cálculos'!$E$196+(($C125)-$A$120:$A$165)*'Cálculos'!$E$98)/(('Cálculos'!$E$196+(($C125)-$A$120:$A$165)*'Cálculos'!$E$98)+1400)+'Cálculos'!$E$122)*'Cálculos'!$E$214+'Cálculos'!$E$125*(1+2.78*('Cálculos'!$E$196+(($C125)-$A$120:$A$165)*'Cálculos'!$E$98)/(('Cálculos'!$E$196+(($C125)-$A$120:$A$165)*'Cálculos'!$E$98)+1400)+'Cálculos'!$E$123)*'Cálculos'!$E$219)+('Cálculos'!$E$196+(($C125)-$A$120:$A$165)*'Cálculos'!$E$98)*('Cálculos'!$E$210+'Cálculos'!$E$124*(1+2.78*('Cálculos'!$E$196+(($C125)-$A$120:$A$165)*'Cálculos'!$E$98)/(('Cálculos'!$E$196+(($C125)-$A$120:$A$165)*'Cálculos'!$E$98)+1400)+'Cálculos'!$E$122)*'Cálculos'!$E$215+'Cálculos'!$E$125*(1+2.78*('Cálculos'!$E$196+(($C125)-$A$120:$A$165)*'Cálculos'!$E$98)/(('Cálculos'!$E$196+(($C125)-$A$120:$A$165)*'Cálculos'!$E$98)+1400)+'Cálculos'!$E$123)*'Cálculos'!$E$220)+('Cálculos'!$E$201*(1+'Cálculos'!$E$202+$A$120:$A$165*('Cálculos'!$E$290=2)*'Cálculos'!$E$101)+'Cálculos'!$E$203)*('Cálculos'!$E$211+'Cálculos'!$E$124*(1+2.78*('Cálculos'!$E$196+(($C125)-$A$120:$A$165)*'Cálculos'!$E$98)/(('Cálculos'!$E$196+(($C125)-$A$120:$A$165)*'Cálculos'!$E$98)+1400)+'Cálculos'!$E$122)*'Cálculos'!$E$216+'Cálculos'!$E$125*(1+2.78*('Cálculos'!$E$196+(($C125)-$A$120:$A$165)*'Cálculos'!$E$98)/(('Cálculos'!$E$196+(($C125)-$A$120:$A$165)*'Cálculos'!$E$98)+1400)+'Cálculos'!$E$123)*'Cálculos'!$E$221)+('Cálculos'!$E$204*(1+'Cálculos'!$E$205+$A$120:$A$165*('Cálculos'!$E$290=3)*'Cálculos'!$E$103)+'Cálculos'!$E$206)*('Cálculos'!$E$212+'Cálculos'!$E$124*(1+2.78*('Cálculos'!$E$196+(($C125)-$A$120:$A$165)*'Cálculos'!$E$98)/(('Cálculos'!$E$196+(($C125)-$A$120:$A$165)*'Cálculos'!$E$98)+1400)+'Cálculos'!$E$122)*'Cálculos'!$E$217+'Cálculos'!$E$125*(1+2.78*('Cálculos'!$E$196+(($C125)-$A$120:$A$165)*'Cálculos'!$E$98)/(('Cálculos'!$E$196+(($C125)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125)-$A$120:$A$165)*'Cálculos'!$E$98)/(('Cálculos'!$E$197+(($C125)-$A$120:$A$165)*'Cálculos'!$E$98)+1400)+'Cálculos'!$E$122)*'Cálculos'!$E$229+'Cálculos'!$E$125*(1+2.78*('Cálculos'!$E$197+(($C125)-$A$120:$A$165)*'Cálculos'!$E$98)/(('Cálculos'!$E$197+(($C125)-$A$120:$A$165)*'Cálculos'!$E$98)+1400)+'Cálculos'!$E$123)*'Cálculos'!$E$234)+('Cálculos'!$E$197+(($C125)-$A$120:$A$165)*'Cálculos'!$E$98)*('Cálculos'!$E$225+'Cálculos'!$E$124*(1+2.78*('Cálculos'!$E$197+(($C125)-$A$120:$A$165)*'Cálculos'!$E$98)/(('Cálculos'!$E$197+(($C125)-$A$120:$A$165)*'Cálculos'!$E$98)+1400)+'Cálculos'!$E$122)*'Cálculos'!$E$230+'Cálculos'!$E$125*(1+2.78*('Cálculos'!$E$197+(($C125)-$A$120:$A$165)*'Cálculos'!$E$98)/(('Cálculos'!$E$197+(($C125)-$A$120:$A$165)*'Cálculos'!$E$98)+1400)+'Cálculos'!$E$123)*'Cálculos'!$E$235)+('Cálculos'!$E$201*(1+'Cálculos'!$E$202+$A$120:$A$165*('Cálculos'!$E$290=2)*'Cálculos'!$E$101)+'Cálculos'!$E$203)*('Cálculos'!$E$226+'Cálculos'!$E$124*(1+2.78*('Cálculos'!$E$197+(($C125)-$A$120:$A$165)*'Cálculos'!$E$98)/(('Cálculos'!$E$197+(($C125)-$A$120:$A$165)*'Cálculos'!$E$98)+1400)+'Cálculos'!$E$122)*'Cálculos'!$E$231+'Cálculos'!$E$125*(1+2.78*('Cálculos'!$E$197+(($C125)-$A$120:$A$165)*'Cálculos'!$E$98)/(('Cálculos'!$E$197+(($C125)-$A$120:$A$165)*'Cálculos'!$E$98)+1400)+'Cálculos'!$E$123)*'Cálculos'!$E$236)+('Cálculos'!$E$204*(1+'Cálculos'!$E$205+$A$120:$A$165*('Cálculos'!$E$290=3)*'Cálculos'!$E$103)+'Cálculos'!$E$206)*('Cálculos'!$E$227+'Cálculos'!$E$124*(1+2.78*('Cálculos'!$E$197+(($C125)-$A$120:$A$165)*'Cálculos'!$E$98)/(('Cálculos'!$E$197+(($C125)-$A$120:$A$165)*'Cálculos'!$E$98)+1400)+'Cálculos'!$E$122)*'Cálculos'!$E$232+'Cálculos'!$E$125*(1+2.78*('Cálculos'!$E$197+(($C125)-$A$120:$A$165)*'Cálculos'!$E$98)/(('Cálculos'!$E$197+(($C125)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125)-$A$120:$A$165)*'Cálculos'!$E$98)/(('Cálculos'!$E$198+(($C125)-$A$120:$A$165)*'Cálculos'!$E$98)+1400)+'Cálculos'!$E$122)*'Cálculos'!$E$244+'Cálculos'!$E$125*(1+2.78*('Cálculos'!$E$198+(($C125)-$A$120:$A$165)*'Cálculos'!$E$98)/(('Cálculos'!$E$198+(($C125)-$A$120:$A$165)*'Cálculos'!$E$98)+1400)+'Cálculos'!$E$123)*'Cálculos'!$E$249)+('Cálculos'!$E$198+(($C125)-$A$120:$A$165)*'Cálculos'!$E$98)*('Cálculos'!$E$240+'Cálculos'!$E$124*(1+2.78*('Cálculos'!$E$198+(($C125)-$A$120:$A$165)*'Cálculos'!$E$98)/(('Cálculos'!$E$198+(($C125)-$A$120:$A$165)*'Cálculos'!$E$98)+1400)+'Cálculos'!$E$122)*'Cálculos'!$E$245+'Cálculos'!$E$125*(1+2.78*('Cálculos'!$E$198+(($C125)-$A$120:$A$165)*'Cálculos'!$E$98)/(('Cálculos'!$E$198+(($C125)-$A$120:$A$165)*'Cálculos'!$E$98)+1400)+'Cálculos'!$E$123)*'Cálculos'!$E$250)+('Cálculos'!$E$201*(1+'Cálculos'!$E$202+$A$120:$A$165*('Cálculos'!$E$290=2)*'Cálculos'!$E$101)+'Cálculos'!$E$203)*('Cálculos'!$E$241+'Cálculos'!$E$124*(1+2.78*('Cálculos'!$E$198+(($C125)-$A$120:$A$165)*'Cálculos'!$E$98)/(('Cálculos'!$E$198+(($C125)-$A$120:$A$165)*'Cálculos'!$E$98)+1400)+'Cálculos'!$E$122)*'Cálculos'!$E$246+'Cálculos'!$E$125*(1+2.78*('Cálculos'!$E$198+(($C125)-$A$120:$A$165)*'Cálculos'!$E$98)/(('Cálculos'!$E$198+(($C125)-$A$120:$A$165)*'Cálculos'!$E$98)+1400)+'Cálculos'!$E$123)*'Cálculos'!$E$251)+('Cálculos'!$E$204*(1+'Cálculos'!$E$205+$A$120:$A$165*('Cálculos'!$E$290=3)*'Cálculos'!$E$103)+'Cálculos'!$E$206)*('Cálculos'!$E$242+'Cálculos'!$E$124*(1+2.78*('Cálculos'!$E$198+(($C125)-$A$120:$A$165)*'Cálculos'!$E$98)/(('Cálculos'!$E$198+(($C125)-$A$120:$A$165)*'Cálculos'!$E$98)+1400)+'Cálculos'!$E$122)*'Cálculos'!$E$247+'Cálculos'!$E$125*(1+2.78*('Cálculos'!$E$198+(($C125)-$A$120:$A$165)*'Cálculos'!$E$98)/(('Cálculos'!$E$198+(($C125)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125)-$A$120:$A$165)*'Cálculos'!$E$98)/(('Cálculos'!$E$199+(($C125)-$A$120:$A$165)*'Cálculos'!$E$98)+1400)+'Cálculos'!$E$122)*'Cálculos'!$E$259+'Cálculos'!$E$125*(1+2.78*('Cálculos'!$E$199+(($C125)-$A$120:$A$165)*'Cálculos'!$E$98)/(('Cálculos'!$E$199+(($C125)-$A$120:$A$165)*'Cálculos'!$E$98)+1400)+'Cálculos'!$E$123)*'Cálculos'!$E$264)+('Cálculos'!$E$199+(($C125)-$A$120:$A$165)*'Cálculos'!$E$98)*('Cálculos'!$E$255+'Cálculos'!$E$124*(1+2.78*('Cálculos'!$E$199+(($C125)-$A$120:$A$165)*'Cálculos'!$E$98)/(('Cálculos'!$E$199+(($C125)-$A$120:$A$165)*'Cálculos'!$E$98)+1400)+'Cálculos'!$E$122)*'Cálculos'!$E$260+'Cálculos'!$E$125*(1+2.78*('Cálculos'!$E$199+(($C125)-$A$120:$A$165)*'Cálculos'!$E$98)/(('Cálculos'!$E$199+(($C125)-$A$120:$A$165)*'Cálculos'!$E$98)+1400)+'Cálculos'!$E$123)*'Cálculos'!$E$265)+('Cálculos'!$E$201*(1+'Cálculos'!$E$202+$A$120:$A$165*('Cálculos'!$E$290=2)*'Cálculos'!$E$101)+'Cálculos'!$E$203)*('Cálculos'!$E$256+'Cálculos'!$E$124*(1+2.78*('Cálculos'!$E$199+(($C125)-$A$120:$A$165)*'Cálculos'!$E$98)/(('Cálculos'!$E$199+(($C125)-$A$120:$A$165)*'Cálculos'!$E$98)+1400)+'Cálculos'!$E$122)*'Cálculos'!$E$261+'Cálculos'!$E$125*(1+2.78*('Cálculos'!$E$199+(($C125)-$A$120:$A$165)*'Cálculos'!$E$98)/(('Cálculos'!$E$199+(($C125)-$A$120:$A$165)*'Cálculos'!$E$98)+1400)+'Cálculos'!$E$123)*'Cálculos'!$E$266)+('Cálculos'!$E$204*(1+'Cálculos'!$E$205+$A$120:$A$165*('Cálculos'!$E$290=3)*'Cálculos'!$E$103)+'Cálculos'!$E$206)*('Cálculos'!$E$257+'Cálculos'!$E$124*(1+2.78*('Cálculos'!$E$199+(($C125)-$A$120:$A$165)*'Cálculos'!$E$98)/(('Cálculos'!$E$199+(($C125)-$A$120:$A$165)*'Cálculos'!$E$98)+1400)+'Cálculos'!$E$122)*'Cálculos'!$E$262+'Cálculos'!$E$125*(1+2.78*('Cálculos'!$E$199+(($C125)-$A$120:$A$165)*'Cálculos'!$E$98)/(('Cálculos'!$E$199+(($C125)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125)-$A$120:$A$165)*'Cálculos'!$E$98)/(('Cálculos'!$E$200+(($C125)-$A$120:$A$165)*'Cálculos'!$E$98)+1400)+'Cálculos'!$E$122)*'Cálculos'!$E$274+'Cálculos'!$E$125*(1+2.78*('Cálculos'!$E$200+(($C125)-$A$120:$A$165)*'Cálculos'!$E$98)/(('Cálculos'!$E$200+(($C125)-$A$120:$A$165)*'Cálculos'!$E$98)+1400)+'Cálculos'!$E$123)*'Cálculos'!$E$279)+('Cálculos'!$E$200+(($C125)-$A$120:$A$165)*'Cálculos'!$E$98)*('Cálculos'!$E$270+'Cálculos'!$E$124*(1+2.78*('Cálculos'!$E$200+(($C125)-$A$120:$A$165)*'Cálculos'!$E$98)/(('Cálculos'!$E$200+(($C125)-$A$120:$A$165)*'Cálculos'!$E$98)+1400)+'Cálculos'!$E$122)*'Cálculos'!$E$275+'Cálculos'!$E$125*(1+2.78*('Cálculos'!$E$200+(($C125)-$A$120:$A$165)*'Cálculos'!$E$98)/(('Cálculos'!$E$200+(($C125)-$A$120:$A$165)*'Cálculos'!$E$98)+1400)+'Cálculos'!$E$123)*'Cálculos'!$E$280)+('Cálculos'!$E$201*(1+'Cálculos'!$E$202+$A$120:$A$165*('Cálculos'!$E$290=2)*'Cálculos'!$E$101)+'Cálculos'!$E$203)*('Cálculos'!$E$271+'Cálculos'!$E$124*(1+2.78*('Cálculos'!$E$200+(($C125)-$A$120:$A$165)*'Cálculos'!$E$98)/(('Cálculos'!$E$200+(($C125)-$A$120:$A$165)*'Cálculos'!$E$98)+1400)+'Cálculos'!$E$122)*'Cálculos'!$E$276+'Cálculos'!$E$125*(1+2.78*('Cálculos'!$E$200+(($C125)-$A$120:$A$165)*'Cálculos'!$E$98)/(('Cálculos'!$E$200+(($C125)-$A$120:$A$165)*'Cálculos'!$E$98)+1400)+'Cálculos'!$E$123)*'Cálculos'!$E$281)+('Cálculos'!$E$204*(1+'Cálculos'!$E$205+$A$120:$A$165*('Cálculos'!$E$290=3)*'Cálculos'!$E$103)+'Cálculos'!$E$206)*('Cálculos'!$E$272+'Cálculos'!$E$124*(1+2.78*('Cálculos'!$E$200+(($C125)-$A$120:$A$165)*'Cálculos'!$E$98)/(('Cálculos'!$E$200+(($C125)-$A$120:$A$165)*'Cálculos'!$E$98)+1400)+'Cálculos'!$E$122)*'Cálculos'!$E$277+'Cálculos'!$E$125*(1+2.78*('Cálculos'!$E$200+(($C125)-$A$120:$A$165)*'Cálculos'!$E$98)/(('Cálculos'!$E$200+(($C125)-$A$120:$A$165)*'Cálculos'!$E$98)+1400)+'Cálculos'!$E$123)*'Cálculos'!$E$282)))))</f>
        <v>20867.73846</v>
      </c>
      <c r="E125" s="32">
        <f>IF(OR($C125&lt;0,'Cálculos'!$E$6=""),0,$B125*$D125)</f>
        <v>29468.58555</v>
      </c>
      <c r="F125" s="2"/>
      <c r="G125" s="30">
        <f>($A125&lt;=$B$167)*($A125&lt;='Cálculos'!$E$294)*(($B$167)-$A125&lt;='Cálculos'!$E$295)*(1+MIN(('Cálculos'!$E$207+$A125*'Cálculos'!$E$95),1)*('Cálculos'!$E$208+(($B$167)-$A125)*'Cálculos'!$E$96))</f>
        <v>1.68672</v>
      </c>
      <c r="H125" s="31">
        <f>IF($B$168&lt;0,0,($A125&lt;=$B$168)*($A125&lt;='Cálculos'!$E$301)*(($B$168)-$A125&lt;='Cálculos'!$E$297)*(('Cálculos'!$E$185*(1+'Cálculos'!$E$186+$A125*('Cálculos'!$E$290=1)*'Cálculos'!$E$97+'Cálculos'!$E$305)+'Cálculos'!$E$191)*('Cálculos'!$E$209+'Cálculos'!$E$124*(1+2.78*('Cálculos'!$E$196+(($B$168)-$A125)*'Cálculos'!$E$98)/(('Cálculos'!$E$196+(($B$168)-$A125)*'Cálculos'!$E$98)+1400)+'Cálculos'!$E$122)*'Cálculos'!$E$214+'Cálculos'!$E$125*(1+2.78*('Cálculos'!$E$196+(($B$168)-$A125)*'Cálculos'!$E$98)/(('Cálculos'!$E$196+(($B$168)-$A125)*'Cálculos'!$E$98)+1400)+'Cálculos'!$E$123)*'Cálculos'!$E$219)+('Cálculos'!$E$196+(($B$168)-$A125)*'Cálculos'!$E$98)*('Cálculos'!$E$210+'Cálculos'!$E$124*(1+2.78*('Cálculos'!$E$196+(($B$168)-$A125)*'Cálculos'!$E$98)/(('Cálculos'!$E$196+(($B$168)-$A125)*'Cálculos'!$E$98)+1400)+'Cálculos'!$E$122)*'Cálculos'!$E$215+'Cálculos'!$E$125*(1+2.78*('Cálculos'!$E$196+(($B$168)-$A125)*'Cálculos'!$E$98)/(('Cálculos'!$E$196+(($B$168)-$A125)*'Cálculos'!$E$98)+1400)+'Cálculos'!$E$123)*'Cálculos'!$E$220)+('Cálculos'!$E$201*(1+'Cálculos'!$E$202+$A125*('Cálculos'!$E$290=2)*'Cálculos'!$E$101)+'Cálculos'!$E$203)*('Cálculos'!$E$211+'Cálculos'!$E$124*(1+2.78*('Cálculos'!$E$196+(($B$168)-$A125)*'Cálculos'!$E$98)/(('Cálculos'!$E$196+(($B$168)-$A125)*'Cálculos'!$E$98)+1400)+'Cálculos'!$E$122)*'Cálculos'!$E$216+'Cálculos'!$E$125*(1+2.78*('Cálculos'!$E$196+(($B$168)-$A125)*'Cálculos'!$E$98)/(('Cálculos'!$E$196+(($B$168)-$A125)*'Cálculos'!$E$98)+1400)+'Cálculos'!$E$123)*'Cálculos'!$E$221)+('Cálculos'!$E$204*(1+'Cálculos'!$E$205+$A125*('Cálculos'!$E$290=3)*'Cálculos'!$E$103)+'Cálculos'!$E$206)*('Cálculos'!$E$212+'Cálculos'!$E$124*(1+2.78*('Cálculos'!$E$196+(($B$168)-$A125)*'Cálculos'!$E$98)/(('Cálculos'!$E$196+(($B$168)-$A125)*'Cálculos'!$E$98)+1400)+'Cálculos'!$E$122)*'Cálculos'!$E$217+'Cálculos'!$E$125*(1+2.78*('Cálculos'!$E$196+(($B$168)-$A125)*'Cálculos'!$E$98)/(('Cálculos'!$E$196+(($B$168)-$A125)*'Cálculos'!$E$98)+1400)+'Cálculos'!$E$123)*'Cálculos'!$E$222)+('Cálculos'!$E$185*(1+'Cálculos'!$E$187+$A125*('Cálculos'!$E$290=1)*'Cálculos'!$E$97+'Cálculos'!$E$305)+'Cálculos'!$E$192)*('Cálculos'!$E$224+'Cálculos'!$E$124*(1+2.78*('Cálculos'!$E$197+(($B$168)-$A125)*'Cálculos'!$E$98)/(('Cálculos'!$E$197+(($B$168)-$A125)*'Cálculos'!$E$98)+1400)+'Cálculos'!$E$122)*'Cálculos'!$E$229+'Cálculos'!$E$125*(1+2.78*('Cálculos'!$E$197+(($B$168)-$A125)*'Cálculos'!$E$98)/(('Cálculos'!$E$197+(($B$168)-$A125)*'Cálculos'!$E$98)+1400)+'Cálculos'!$E$123)*'Cálculos'!$E$234)+('Cálculos'!$E$197+(($B$168)-$A125)*'Cálculos'!$E$98)*('Cálculos'!$E$225+'Cálculos'!$E$124*(1+2.78*('Cálculos'!$E$197+(($B$168)-$A125)*'Cálculos'!$E$98)/(('Cálculos'!$E$197+(($B$168)-$A125)*'Cálculos'!$E$98)+1400)+'Cálculos'!$E$122)*'Cálculos'!$E$230+'Cálculos'!$E$125*(1+2.78*('Cálculos'!$E$197+(($B$168)-$A125)*'Cálculos'!$E$98)/(('Cálculos'!$E$197+(($B$168)-$A125)*'Cálculos'!$E$98)+1400)+'Cálculos'!$E$123)*'Cálculos'!$E$235)+('Cálculos'!$E$201*(1+'Cálculos'!$E$202+$A125*('Cálculos'!$E$290=2)*'Cálculos'!$E$101)+'Cálculos'!$E$203)*('Cálculos'!$E$226+'Cálculos'!$E$124*(1+2.78*('Cálculos'!$E$197+(($B$168)-$A125)*'Cálculos'!$E$98)/(('Cálculos'!$E$197+(($B$168)-$A125)*'Cálculos'!$E$98)+1400)+'Cálculos'!$E$122)*'Cálculos'!$E$231+'Cálculos'!$E$125*(1+2.78*('Cálculos'!$E$197+(($B$168)-$A125)*'Cálculos'!$E$98)/(('Cálculos'!$E$197+(($B$168)-$A125)*'Cálculos'!$E$98)+1400)+'Cálculos'!$E$123)*'Cálculos'!$E$236)+('Cálculos'!$E$204*(1+'Cálculos'!$E$205+$A125*('Cálculos'!$E$290=3)*'Cálculos'!$E$103)+'Cálculos'!$E$206)*('Cálculos'!$E$227+'Cálculos'!$E$124*(1+2.78*('Cálculos'!$E$197+(($B$168)-$A125)*'Cálculos'!$E$98)/(('Cálculos'!$E$197+(($B$168)-$A125)*'Cálculos'!$E$98)+1400)+'Cálculos'!$E$122)*'Cálculos'!$E$232+'Cálculos'!$E$125*(1+2.78*('Cálculos'!$E$197+(($B$168)-$A125)*'Cálculos'!$E$98)/(('Cálculos'!$E$197+(($B$168)-$A125)*'Cálculos'!$E$98)+1400)+'Cálculos'!$E$123)*'Cálculos'!$E$237)+('Cálculos'!$E$185*(1+'Cálculos'!$E$188+$A125*('Cálculos'!$E$290=1)*'Cálculos'!$E$97+'Cálculos'!$E$305)+'Cálculos'!$E$193)*('Cálculos'!$E$239+'Cálculos'!$E$124*(1+2.78*('Cálculos'!$E$198+(($B$168)-$A125)*'Cálculos'!$E$98)/(('Cálculos'!$E$198+(($B$168)-$A125)*'Cálculos'!$E$98)+1400)+'Cálculos'!$E$122)*'Cálculos'!$E$244+'Cálculos'!$E$125*(1+2.78*('Cálculos'!$E$198+(($B$168)-$A125)*'Cálculos'!$E$98)/(('Cálculos'!$E$198+(($B$168)-$A125)*'Cálculos'!$E$98)+1400)+'Cálculos'!$E$123)*'Cálculos'!$E$249)+('Cálculos'!$E$198+(($B$168)-$A125)*'Cálculos'!$E$98)*('Cálculos'!$E$240+'Cálculos'!$E$124*(1+2.78*('Cálculos'!$E$198+(($B$168)-$A125)*'Cálculos'!$E$98)/(('Cálculos'!$E$198+(($B$168)-$A125)*'Cálculos'!$E$98)+1400)+'Cálculos'!$E$122)*'Cálculos'!$E$245+'Cálculos'!$E$125*(1+2.78*('Cálculos'!$E$198+(($B$168)-$A125)*'Cálculos'!$E$98)/(('Cálculos'!$E$198+(($B$168)-$A125)*'Cálculos'!$E$98)+1400)+'Cálculos'!$E$123)*'Cálculos'!$E$250)+('Cálculos'!$E$201*(1+'Cálculos'!$E$202+$A125*('Cálculos'!$E$290=2)*'Cálculos'!$E$101)+'Cálculos'!$E$203)*('Cálculos'!$E$241+'Cálculos'!$E$124*(1+2.78*('Cálculos'!$E$198+(($B$168)-$A125)*'Cálculos'!$E$98)/(('Cálculos'!$E$198+(($B$168)-$A125)*'Cálculos'!$E$98)+1400)+'Cálculos'!$E$122)*'Cálculos'!$E$246+'Cálculos'!$E$125*(1+2.78*('Cálculos'!$E$198+(($B$168)-$A125)*'Cálculos'!$E$98)/(('Cálculos'!$E$198+(($B$168)-$A125)*'Cálculos'!$E$98)+1400)+'Cálculos'!$E$123)*'Cálculos'!$E$251)+('Cálculos'!$E$204*(1+'Cálculos'!$E$205+$A125*('Cálculos'!$E$290=3)*'Cálculos'!$E$103)+'Cálculos'!$E$206)*('Cálculos'!$E$242+'Cálculos'!$E$124*(1+2.78*('Cálculos'!$E$198+(($B$168)-$A125)*'Cálculos'!$E$98)/(('Cálculos'!$E$198+(($B$168)-$A125)*'Cálculos'!$E$98)+1400)+'Cálculos'!$E$122)*'Cálculos'!$E$247+'Cálculos'!$E$125*(1+2.78*('Cálculos'!$E$198+(($B$168)-$A125)*'Cálculos'!$E$98)/(('Cálculos'!$E$198+(($B$168)-$A125)*'Cálculos'!$E$98)+1400)+'Cálculos'!$E$123)*'Cálculos'!$E$252)+('Cálculos'!$E$185*(1+'Cálculos'!$E$189+$A125*('Cálculos'!$E$290=1)*'Cálculos'!$E$97+'Cálculos'!$E$305)+'Cálculos'!$E$194)*('Cálculos'!$E$254+'Cálculos'!$E$124*(1+2.78*('Cálculos'!$E$199+(($B$168)-$A125)*'Cálculos'!$E$98)/(('Cálculos'!$E$199+(($B$168)-$A125)*'Cálculos'!$E$98)+1400)+'Cálculos'!$E$122)*'Cálculos'!$E$259+'Cálculos'!$E$125*(1+2.78*('Cálculos'!$E$199+(($B$168)-$A125)*'Cálculos'!$E$98)/(('Cálculos'!$E$199+(($B$168)-$A125)*'Cálculos'!$E$98)+1400)+'Cálculos'!$E$123)*'Cálculos'!$E$264)+('Cálculos'!$E$199+(($B$168)-$A125)*'Cálculos'!$E$98)*('Cálculos'!$E$255+'Cálculos'!$E$124*(1+2.78*('Cálculos'!$E$199+(($B$168)-$A125)*'Cálculos'!$E$98)/(('Cálculos'!$E$199+(($B$168)-$A125)*'Cálculos'!$E$98)+1400)+'Cálculos'!$E$122)*'Cálculos'!$E$260+'Cálculos'!$E$125*(1+2.78*('Cálculos'!$E$199+(($B$168)-$A125)*'Cálculos'!$E$98)/(('Cálculos'!$E$199+(($B$168)-$A125)*'Cálculos'!$E$98)+1400)+'Cálculos'!$E$123)*'Cálculos'!$E$265)+('Cálculos'!$E$201*(1+'Cálculos'!$E$202+$A125*('Cálculos'!$E$290=2)*'Cálculos'!$E$101)+'Cálculos'!$E$203)*('Cálculos'!$E$256+'Cálculos'!$E$124*(1+2.78*('Cálculos'!$E$199+(($B$168)-$A125)*'Cálculos'!$E$98)/(('Cálculos'!$E$199+(($B$168)-$A125)*'Cálculos'!$E$98)+1400)+'Cálculos'!$E$122)*'Cálculos'!$E$261+'Cálculos'!$E$125*(1+2.78*('Cálculos'!$E$199+(($B$168)-$A125)*'Cálculos'!$E$98)/(('Cálculos'!$E$199+(($B$168)-$A125)*'Cálculos'!$E$98)+1400)+'Cálculos'!$E$123)*'Cálculos'!$E$266)+('Cálculos'!$E$204*(1+'Cálculos'!$E$205+$A125*('Cálculos'!$E$290=3)*'Cálculos'!$E$103)+'Cálculos'!$E$206)*('Cálculos'!$E$257+'Cálculos'!$E$124*(1+2.78*('Cálculos'!$E$199+(($B$168)-$A125)*'Cálculos'!$E$98)/(('Cálculos'!$E$199+(($B$168)-$A125)*'Cálculos'!$E$98)+1400)+'Cálculos'!$E$122)*'Cálculos'!$E$262+'Cálculos'!$E$125*(1+2.78*('Cálculos'!$E$199+(($B$168)-$A125)*'Cálculos'!$E$98)/(('Cálculos'!$E$199+(($B$168)-$A125)*'Cálculos'!$E$98)+1400)+'Cálculos'!$E$123)*'Cálculos'!$E$267)+('Cálculos'!$E$185*(1+'Cálculos'!$E$190+$A125*('Cálculos'!$E$290=1)*'Cálculos'!$E$97+'Cálculos'!$E$305)+'Cálculos'!$E$195)*('Cálculos'!$E$269+'Cálculos'!$E$124*(1+2.78*('Cálculos'!$E$200+(($B$168)-$A125)*'Cálculos'!$E$98)/(('Cálculos'!$E$200+(($B$168)-$A125)*'Cálculos'!$E$98)+1400)+'Cálculos'!$E$122)*'Cálculos'!$E$274+'Cálculos'!$E$125*(1+2.78*('Cálculos'!$E$200+(($B$168)-$A125)*'Cálculos'!$E$98)/(('Cálculos'!$E$200+(($B$168)-$A125)*'Cálculos'!$E$98)+1400)+'Cálculos'!$E$123)*'Cálculos'!$E$279)+('Cálculos'!$E$200+(($B$168)-$A125)*'Cálculos'!$E$98)*('Cálculos'!$E$270+'Cálculos'!$E$124*(1+2.78*('Cálculos'!$E$200+(($B$168)-$A125)*'Cálculos'!$E$98)/(('Cálculos'!$E$200+(($B$168)-$A125)*'Cálculos'!$E$98)+1400)+'Cálculos'!$E$122)*'Cálculos'!$E$275+'Cálculos'!$E$125*(1+2.78*('Cálculos'!$E$200+(($B$168)-$A125)*'Cálculos'!$E$98)/(('Cálculos'!$E$200+(($B$168)-$A125)*'Cálculos'!$E$98)+1400)+'Cálculos'!$E$123)*'Cálculos'!$E$280)+('Cálculos'!$E$201*(1+'Cálculos'!$E$202+$A125*('Cálculos'!$E$290=2)*'Cálculos'!$E$101)+'Cálculos'!$E$203)*('Cálculos'!$E$271+'Cálculos'!$E$124*(1+2.78*('Cálculos'!$E$200+(($B$168)-$A125)*'Cálculos'!$E$98)/(('Cálculos'!$E$200+(($B$168)-$A125)*'Cálculos'!$E$98)+1400)+'Cálculos'!$E$122)*'Cálculos'!$E$276+'Cálculos'!$E$125*(1+2.78*('Cálculos'!$E$200+(($B$168)-$A125)*'Cálculos'!$E$98)/(('Cálculos'!$E$200+(($B$168)-$A125)*'Cálculos'!$E$98)+1400)+'Cálculos'!$E$123)*'Cálculos'!$E$281)+('Cálculos'!$E$204*(1+'Cálculos'!$E$205+$A125*('Cálculos'!$E$290=3)*'Cálculos'!$E$103)+'Cálculos'!$E$206)*('Cálculos'!$E$272+'Cálculos'!$E$124*(1+2.78*('Cálculos'!$E$200+(($B$168)-$A125)*'Cálculos'!$E$98)/(('Cálculos'!$E$200+(($B$168)-$A125)*'Cálculos'!$E$98)+1400)+'Cálculos'!$E$122)*'Cálculos'!$E$277+'Cálculos'!$E$125*(1+2.78*('Cálculos'!$E$200+(($B$168)-$A125)*'Cálculos'!$E$98)/(('Cálculos'!$E$200+(($B$168)-$A125)*'Cálculos'!$E$98)+1400)+'Cálculos'!$E$123)*'Cálculos'!$E$282)))</f>
        <v>0</v>
      </c>
    </row>
    <row r="126" ht="15.75" customHeight="1">
      <c r="A126" s="2">
        <v>6.0</v>
      </c>
      <c r="B126" s="30">
        <f>SUMPRODUCT(MAX(($A$120:$A$165&lt;=$A126)*($A$120:$A$165&lt;='Cálculos'!$E$294)*(($A126)-$A$120:$A$165&lt;='Cálculos'!$E$295)*(1+(('Cálculos'!$E$207+$A$120:$A$165*'Cálculos'!$E$95)-(('Cálculos'!$E$207+$A$120:$A$165*'Cálculos'!$E$95)&gt;1)*(('Cálculos'!$E$207+$A$120:$A$165*'Cálculos'!$E$95)-1))*('Cálculos'!$E$208+(($A126)-$A$120:$A$165)*'Cálculos'!$E$96))))</f>
        <v>1.44252</v>
      </c>
      <c r="C126" s="2">
        <f>'Cálculos'!$E$303-$A126</f>
        <v>7</v>
      </c>
      <c r="D126" s="31">
        <f>IF($C126&lt;0,0,SUMPRODUCT(MAX(($A$120:$A$165&lt;=$C126)*($A$120:$A$165&lt;='Cálculos'!$E$301)*(($C126)-$A$120:$A$165&lt;='Cálculos'!$E$297)*(('Cálculos'!$E$185*(1+'Cálculos'!$E$186+$A$120:$A$165*('Cálculos'!$E$290=1)*'Cálculos'!$E$97+'Cálculos'!$E$305)+'Cálculos'!$E$191)*('Cálculos'!$E$209+'Cálculos'!$E$124*(1+2.78*('Cálculos'!$E$196+(($C126)-$A$120:$A$165)*'Cálculos'!$E$98)/(('Cálculos'!$E$196+(($C126)-$A$120:$A$165)*'Cálculos'!$E$98)+1400)+'Cálculos'!$E$122)*'Cálculos'!$E$214+'Cálculos'!$E$125*(1+2.78*('Cálculos'!$E$196+(($C126)-$A$120:$A$165)*'Cálculos'!$E$98)/(('Cálculos'!$E$196+(($C126)-$A$120:$A$165)*'Cálculos'!$E$98)+1400)+'Cálculos'!$E$123)*'Cálculos'!$E$219)+('Cálculos'!$E$196+(($C126)-$A$120:$A$165)*'Cálculos'!$E$98)*('Cálculos'!$E$210+'Cálculos'!$E$124*(1+2.78*('Cálculos'!$E$196+(($C126)-$A$120:$A$165)*'Cálculos'!$E$98)/(('Cálculos'!$E$196+(($C126)-$A$120:$A$165)*'Cálculos'!$E$98)+1400)+'Cálculos'!$E$122)*'Cálculos'!$E$215+'Cálculos'!$E$125*(1+2.78*('Cálculos'!$E$196+(($C126)-$A$120:$A$165)*'Cálculos'!$E$98)/(('Cálculos'!$E$196+(($C126)-$A$120:$A$165)*'Cálculos'!$E$98)+1400)+'Cálculos'!$E$123)*'Cálculos'!$E$220)+('Cálculos'!$E$201*(1+'Cálculos'!$E$202+$A$120:$A$165*('Cálculos'!$E$290=2)*'Cálculos'!$E$101)+'Cálculos'!$E$203)*('Cálculos'!$E$211+'Cálculos'!$E$124*(1+2.78*('Cálculos'!$E$196+(($C126)-$A$120:$A$165)*'Cálculos'!$E$98)/(('Cálculos'!$E$196+(($C126)-$A$120:$A$165)*'Cálculos'!$E$98)+1400)+'Cálculos'!$E$122)*'Cálculos'!$E$216+'Cálculos'!$E$125*(1+2.78*('Cálculos'!$E$196+(($C126)-$A$120:$A$165)*'Cálculos'!$E$98)/(('Cálculos'!$E$196+(($C126)-$A$120:$A$165)*'Cálculos'!$E$98)+1400)+'Cálculos'!$E$123)*'Cálculos'!$E$221)+('Cálculos'!$E$204*(1+'Cálculos'!$E$205+$A$120:$A$165*('Cálculos'!$E$290=3)*'Cálculos'!$E$103)+'Cálculos'!$E$206)*('Cálculos'!$E$212+'Cálculos'!$E$124*(1+2.78*('Cálculos'!$E$196+(($C126)-$A$120:$A$165)*'Cálculos'!$E$98)/(('Cálculos'!$E$196+(($C126)-$A$120:$A$165)*'Cálculos'!$E$98)+1400)+'Cálculos'!$E$122)*'Cálculos'!$E$217+'Cálculos'!$E$125*(1+2.78*('Cálculos'!$E$196+(($C126)-$A$120:$A$165)*'Cálculos'!$E$98)/(('Cálculos'!$E$196+(($C126)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126)-$A$120:$A$165)*'Cálculos'!$E$98)/(('Cálculos'!$E$197+(($C126)-$A$120:$A$165)*'Cálculos'!$E$98)+1400)+'Cálculos'!$E$122)*'Cálculos'!$E$229+'Cálculos'!$E$125*(1+2.78*('Cálculos'!$E$197+(($C126)-$A$120:$A$165)*'Cálculos'!$E$98)/(('Cálculos'!$E$197+(($C126)-$A$120:$A$165)*'Cálculos'!$E$98)+1400)+'Cálculos'!$E$123)*'Cálculos'!$E$234)+('Cálculos'!$E$197+(($C126)-$A$120:$A$165)*'Cálculos'!$E$98)*('Cálculos'!$E$225+'Cálculos'!$E$124*(1+2.78*('Cálculos'!$E$197+(($C126)-$A$120:$A$165)*'Cálculos'!$E$98)/(('Cálculos'!$E$197+(($C126)-$A$120:$A$165)*'Cálculos'!$E$98)+1400)+'Cálculos'!$E$122)*'Cálculos'!$E$230+'Cálculos'!$E$125*(1+2.78*('Cálculos'!$E$197+(($C126)-$A$120:$A$165)*'Cálculos'!$E$98)/(('Cálculos'!$E$197+(($C126)-$A$120:$A$165)*'Cálculos'!$E$98)+1400)+'Cálculos'!$E$123)*'Cálculos'!$E$235)+('Cálculos'!$E$201*(1+'Cálculos'!$E$202+$A$120:$A$165*('Cálculos'!$E$290=2)*'Cálculos'!$E$101)+'Cálculos'!$E$203)*('Cálculos'!$E$226+'Cálculos'!$E$124*(1+2.78*('Cálculos'!$E$197+(($C126)-$A$120:$A$165)*'Cálculos'!$E$98)/(('Cálculos'!$E$197+(($C126)-$A$120:$A$165)*'Cálculos'!$E$98)+1400)+'Cálculos'!$E$122)*'Cálculos'!$E$231+'Cálculos'!$E$125*(1+2.78*('Cálculos'!$E$197+(($C126)-$A$120:$A$165)*'Cálculos'!$E$98)/(('Cálculos'!$E$197+(($C126)-$A$120:$A$165)*'Cálculos'!$E$98)+1400)+'Cálculos'!$E$123)*'Cálculos'!$E$236)+('Cálculos'!$E$204*(1+'Cálculos'!$E$205+$A$120:$A$165*('Cálculos'!$E$290=3)*'Cálculos'!$E$103)+'Cálculos'!$E$206)*('Cálculos'!$E$227+'Cálculos'!$E$124*(1+2.78*('Cálculos'!$E$197+(($C126)-$A$120:$A$165)*'Cálculos'!$E$98)/(('Cálculos'!$E$197+(($C126)-$A$120:$A$165)*'Cálculos'!$E$98)+1400)+'Cálculos'!$E$122)*'Cálculos'!$E$232+'Cálculos'!$E$125*(1+2.78*('Cálculos'!$E$197+(($C126)-$A$120:$A$165)*'Cálculos'!$E$98)/(('Cálculos'!$E$197+(($C126)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126)-$A$120:$A$165)*'Cálculos'!$E$98)/(('Cálculos'!$E$198+(($C126)-$A$120:$A$165)*'Cálculos'!$E$98)+1400)+'Cálculos'!$E$122)*'Cálculos'!$E$244+'Cálculos'!$E$125*(1+2.78*('Cálculos'!$E$198+(($C126)-$A$120:$A$165)*'Cálculos'!$E$98)/(('Cálculos'!$E$198+(($C126)-$A$120:$A$165)*'Cálculos'!$E$98)+1400)+'Cálculos'!$E$123)*'Cálculos'!$E$249)+('Cálculos'!$E$198+(($C126)-$A$120:$A$165)*'Cálculos'!$E$98)*('Cálculos'!$E$240+'Cálculos'!$E$124*(1+2.78*('Cálculos'!$E$198+(($C126)-$A$120:$A$165)*'Cálculos'!$E$98)/(('Cálculos'!$E$198+(($C126)-$A$120:$A$165)*'Cálculos'!$E$98)+1400)+'Cálculos'!$E$122)*'Cálculos'!$E$245+'Cálculos'!$E$125*(1+2.78*('Cálculos'!$E$198+(($C126)-$A$120:$A$165)*'Cálculos'!$E$98)/(('Cálculos'!$E$198+(($C126)-$A$120:$A$165)*'Cálculos'!$E$98)+1400)+'Cálculos'!$E$123)*'Cálculos'!$E$250)+('Cálculos'!$E$201*(1+'Cálculos'!$E$202+$A$120:$A$165*('Cálculos'!$E$290=2)*'Cálculos'!$E$101)+'Cálculos'!$E$203)*('Cálculos'!$E$241+'Cálculos'!$E$124*(1+2.78*('Cálculos'!$E$198+(($C126)-$A$120:$A$165)*'Cálculos'!$E$98)/(('Cálculos'!$E$198+(($C126)-$A$120:$A$165)*'Cálculos'!$E$98)+1400)+'Cálculos'!$E$122)*'Cálculos'!$E$246+'Cálculos'!$E$125*(1+2.78*('Cálculos'!$E$198+(($C126)-$A$120:$A$165)*'Cálculos'!$E$98)/(('Cálculos'!$E$198+(($C126)-$A$120:$A$165)*'Cálculos'!$E$98)+1400)+'Cálculos'!$E$123)*'Cálculos'!$E$251)+('Cálculos'!$E$204*(1+'Cálculos'!$E$205+$A$120:$A$165*('Cálculos'!$E$290=3)*'Cálculos'!$E$103)+'Cálculos'!$E$206)*('Cálculos'!$E$242+'Cálculos'!$E$124*(1+2.78*('Cálculos'!$E$198+(($C126)-$A$120:$A$165)*'Cálculos'!$E$98)/(('Cálculos'!$E$198+(($C126)-$A$120:$A$165)*'Cálculos'!$E$98)+1400)+'Cálculos'!$E$122)*'Cálculos'!$E$247+'Cálculos'!$E$125*(1+2.78*('Cálculos'!$E$198+(($C126)-$A$120:$A$165)*'Cálculos'!$E$98)/(('Cálculos'!$E$198+(($C126)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126)-$A$120:$A$165)*'Cálculos'!$E$98)/(('Cálculos'!$E$199+(($C126)-$A$120:$A$165)*'Cálculos'!$E$98)+1400)+'Cálculos'!$E$122)*'Cálculos'!$E$259+'Cálculos'!$E$125*(1+2.78*('Cálculos'!$E$199+(($C126)-$A$120:$A$165)*'Cálculos'!$E$98)/(('Cálculos'!$E$199+(($C126)-$A$120:$A$165)*'Cálculos'!$E$98)+1400)+'Cálculos'!$E$123)*'Cálculos'!$E$264)+('Cálculos'!$E$199+(($C126)-$A$120:$A$165)*'Cálculos'!$E$98)*('Cálculos'!$E$255+'Cálculos'!$E$124*(1+2.78*('Cálculos'!$E$199+(($C126)-$A$120:$A$165)*'Cálculos'!$E$98)/(('Cálculos'!$E$199+(($C126)-$A$120:$A$165)*'Cálculos'!$E$98)+1400)+'Cálculos'!$E$122)*'Cálculos'!$E$260+'Cálculos'!$E$125*(1+2.78*('Cálculos'!$E$199+(($C126)-$A$120:$A$165)*'Cálculos'!$E$98)/(('Cálculos'!$E$199+(($C126)-$A$120:$A$165)*'Cálculos'!$E$98)+1400)+'Cálculos'!$E$123)*'Cálculos'!$E$265)+('Cálculos'!$E$201*(1+'Cálculos'!$E$202+$A$120:$A$165*('Cálculos'!$E$290=2)*'Cálculos'!$E$101)+'Cálculos'!$E$203)*('Cálculos'!$E$256+'Cálculos'!$E$124*(1+2.78*('Cálculos'!$E$199+(($C126)-$A$120:$A$165)*'Cálculos'!$E$98)/(('Cálculos'!$E$199+(($C126)-$A$120:$A$165)*'Cálculos'!$E$98)+1400)+'Cálculos'!$E$122)*'Cálculos'!$E$261+'Cálculos'!$E$125*(1+2.78*('Cálculos'!$E$199+(($C126)-$A$120:$A$165)*'Cálculos'!$E$98)/(('Cálculos'!$E$199+(($C126)-$A$120:$A$165)*'Cálculos'!$E$98)+1400)+'Cálculos'!$E$123)*'Cálculos'!$E$266)+('Cálculos'!$E$204*(1+'Cálculos'!$E$205+$A$120:$A$165*('Cálculos'!$E$290=3)*'Cálculos'!$E$103)+'Cálculos'!$E$206)*('Cálculos'!$E$257+'Cálculos'!$E$124*(1+2.78*('Cálculos'!$E$199+(($C126)-$A$120:$A$165)*'Cálculos'!$E$98)/(('Cálculos'!$E$199+(($C126)-$A$120:$A$165)*'Cálculos'!$E$98)+1400)+'Cálculos'!$E$122)*'Cálculos'!$E$262+'Cálculos'!$E$125*(1+2.78*('Cálculos'!$E$199+(($C126)-$A$120:$A$165)*'Cálculos'!$E$98)/(('Cálculos'!$E$199+(($C126)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126)-$A$120:$A$165)*'Cálculos'!$E$98)/(('Cálculos'!$E$200+(($C126)-$A$120:$A$165)*'Cálculos'!$E$98)+1400)+'Cálculos'!$E$122)*'Cálculos'!$E$274+'Cálculos'!$E$125*(1+2.78*('Cálculos'!$E$200+(($C126)-$A$120:$A$165)*'Cálculos'!$E$98)/(('Cálculos'!$E$200+(($C126)-$A$120:$A$165)*'Cálculos'!$E$98)+1400)+'Cálculos'!$E$123)*'Cálculos'!$E$279)+('Cálculos'!$E$200+(($C126)-$A$120:$A$165)*'Cálculos'!$E$98)*('Cálculos'!$E$270+'Cálculos'!$E$124*(1+2.78*('Cálculos'!$E$200+(($C126)-$A$120:$A$165)*'Cálculos'!$E$98)/(('Cálculos'!$E$200+(($C126)-$A$120:$A$165)*'Cálculos'!$E$98)+1400)+'Cálculos'!$E$122)*'Cálculos'!$E$275+'Cálculos'!$E$125*(1+2.78*('Cálculos'!$E$200+(($C126)-$A$120:$A$165)*'Cálculos'!$E$98)/(('Cálculos'!$E$200+(($C126)-$A$120:$A$165)*'Cálculos'!$E$98)+1400)+'Cálculos'!$E$123)*'Cálculos'!$E$280)+('Cálculos'!$E$201*(1+'Cálculos'!$E$202+$A$120:$A$165*('Cálculos'!$E$290=2)*'Cálculos'!$E$101)+'Cálculos'!$E$203)*('Cálculos'!$E$271+'Cálculos'!$E$124*(1+2.78*('Cálculos'!$E$200+(($C126)-$A$120:$A$165)*'Cálculos'!$E$98)/(('Cálculos'!$E$200+(($C126)-$A$120:$A$165)*'Cálculos'!$E$98)+1400)+'Cálculos'!$E$122)*'Cálculos'!$E$276+'Cálculos'!$E$125*(1+2.78*('Cálculos'!$E$200+(($C126)-$A$120:$A$165)*'Cálculos'!$E$98)/(('Cálculos'!$E$200+(($C126)-$A$120:$A$165)*'Cálculos'!$E$98)+1400)+'Cálculos'!$E$123)*'Cálculos'!$E$281)+('Cálculos'!$E$204*(1+'Cálculos'!$E$205+$A$120:$A$165*('Cálculos'!$E$290=3)*'Cálculos'!$E$103)+'Cálculos'!$E$206)*('Cálculos'!$E$272+'Cálculos'!$E$124*(1+2.78*('Cálculos'!$E$200+(($C126)-$A$120:$A$165)*'Cálculos'!$E$98)/(('Cálculos'!$E$200+(($C126)-$A$120:$A$165)*'Cálculos'!$E$98)+1400)+'Cálculos'!$E$122)*'Cálculos'!$E$277+'Cálculos'!$E$125*(1+2.78*('Cálculos'!$E$200+(($C126)-$A$120:$A$165)*'Cálculos'!$E$98)/(('Cálculos'!$E$200+(($C126)-$A$120:$A$165)*'Cálculos'!$E$98)+1400)+'Cálculos'!$E$123)*'Cálculos'!$E$282)))))</f>
        <v>20581.77553</v>
      </c>
      <c r="E126" s="32">
        <f>IF(OR($C126&lt;0,'Cálculos'!$E$6=""),0,$B126*$D126)</f>
        <v>29689.62284</v>
      </c>
      <c r="F126" s="2"/>
      <c r="G126" s="30">
        <f>($A126&lt;=$B$167)*($A126&lt;='Cálculos'!$E$294)*(($B$167)-$A126&lt;='Cálculos'!$E$295)*(1+MIN(('Cálculos'!$E$207+$A126*'Cálculos'!$E$95),1)*('Cálculos'!$E$208+(($B$167)-$A126)*'Cálculos'!$E$96))</f>
        <v>1.68375</v>
      </c>
      <c r="H126" s="31">
        <f>IF($B$168&lt;0,0,($A126&lt;=$B$168)*($A126&lt;='Cálculos'!$E$301)*(($B$168)-$A126&lt;='Cálculos'!$E$297)*(('Cálculos'!$E$185*(1+'Cálculos'!$E$186+$A126*('Cálculos'!$E$290=1)*'Cálculos'!$E$97+'Cálculos'!$E$305)+'Cálculos'!$E$191)*('Cálculos'!$E$209+'Cálculos'!$E$124*(1+2.78*('Cálculos'!$E$196+(($B$168)-$A126)*'Cálculos'!$E$98)/(('Cálculos'!$E$196+(($B$168)-$A126)*'Cálculos'!$E$98)+1400)+'Cálculos'!$E$122)*'Cálculos'!$E$214+'Cálculos'!$E$125*(1+2.78*('Cálculos'!$E$196+(($B$168)-$A126)*'Cálculos'!$E$98)/(('Cálculos'!$E$196+(($B$168)-$A126)*'Cálculos'!$E$98)+1400)+'Cálculos'!$E$123)*'Cálculos'!$E$219)+('Cálculos'!$E$196+(($B$168)-$A126)*'Cálculos'!$E$98)*('Cálculos'!$E$210+'Cálculos'!$E$124*(1+2.78*('Cálculos'!$E$196+(($B$168)-$A126)*'Cálculos'!$E$98)/(('Cálculos'!$E$196+(($B$168)-$A126)*'Cálculos'!$E$98)+1400)+'Cálculos'!$E$122)*'Cálculos'!$E$215+'Cálculos'!$E$125*(1+2.78*('Cálculos'!$E$196+(($B$168)-$A126)*'Cálculos'!$E$98)/(('Cálculos'!$E$196+(($B$168)-$A126)*'Cálculos'!$E$98)+1400)+'Cálculos'!$E$123)*'Cálculos'!$E$220)+('Cálculos'!$E$201*(1+'Cálculos'!$E$202+$A126*('Cálculos'!$E$290=2)*'Cálculos'!$E$101)+'Cálculos'!$E$203)*('Cálculos'!$E$211+'Cálculos'!$E$124*(1+2.78*('Cálculos'!$E$196+(($B$168)-$A126)*'Cálculos'!$E$98)/(('Cálculos'!$E$196+(($B$168)-$A126)*'Cálculos'!$E$98)+1400)+'Cálculos'!$E$122)*'Cálculos'!$E$216+'Cálculos'!$E$125*(1+2.78*('Cálculos'!$E$196+(($B$168)-$A126)*'Cálculos'!$E$98)/(('Cálculos'!$E$196+(($B$168)-$A126)*'Cálculos'!$E$98)+1400)+'Cálculos'!$E$123)*'Cálculos'!$E$221)+('Cálculos'!$E$204*(1+'Cálculos'!$E$205+$A126*('Cálculos'!$E$290=3)*'Cálculos'!$E$103)+'Cálculos'!$E$206)*('Cálculos'!$E$212+'Cálculos'!$E$124*(1+2.78*('Cálculos'!$E$196+(($B$168)-$A126)*'Cálculos'!$E$98)/(('Cálculos'!$E$196+(($B$168)-$A126)*'Cálculos'!$E$98)+1400)+'Cálculos'!$E$122)*'Cálculos'!$E$217+'Cálculos'!$E$125*(1+2.78*('Cálculos'!$E$196+(($B$168)-$A126)*'Cálculos'!$E$98)/(('Cálculos'!$E$196+(($B$168)-$A126)*'Cálculos'!$E$98)+1400)+'Cálculos'!$E$123)*'Cálculos'!$E$222)+('Cálculos'!$E$185*(1+'Cálculos'!$E$187+$A126*('Cálculos'!$E$290=1)*'Cálculos'!$E$97+'Cálculos'!$E$305)+'Cálculos'!$E$192)*('Cálculos'!$E$224+'Cálculos'!$E$124*(1+2.78*('Cálculos'!$E$197+(($B$168)-$A126)*'Cálculos'!$E$98)/(('Cálculos'!$E$197+(($B$168)-$A126)*'Cálculos'!$E$98)+1400)+'Cálculos'!$E$122)*'Cálculos'!$E$229+'Cálculos'!$E$125*(1+2.78*('Cálculos'!$E$197+(($B$168)-$A126)*'Cálculos'!$E$98)/(('Cálculos'!$E$197+(($B$168)-$A126)*'Cálculos'!$E$98)+1400)+'Cálculos'!$E$123)*'Cálculos'!$E$234)+('Cálculos'!$E$197+(($B$168)-$A126)*'Cálculos'!$E$98)*('Cálculos'!$E$225+'Cálculos'!$E$124*(1+2.78*('Cálculos'!$E$197+(($B$168)-$A126)*'Cálculos'!$E$98)/(('Cálculos'!$E$197+(($B$168)-$A126)*'Cálculos'!$E$98)+1400)+'Cálculos'!$E$122)*'Cálculos'!$E$230+'Cálculos'!$E$125*(1+2.78*('Cálculos'!$E$197+(($B$168)-$A126)*'Cálculos'!$E$98)/(('Cálculos'!$E$197+(($B$168)-$A126)*'Cálculos'!$E$98)+1400)+'Cálculos'!$E$123)*'Cálculos'!$E$235)+('Cálculos'!$E$201*(1+'Cálculos'!$E$202+$A126*('Cálculos'!$E$290=2)*'Cálculos'!$E$101)+'Cálculos'!$E$203)*('Cálculos'!$E$226+'Cálculos'!$E$124*(1+2.78*('Cálculos'!$E$197+(($B$168)-$A126)*'Cálculos'!$E$98)/(('Cálculos'!$E$197+(($B$168)-$A126)*'Cálculos'!$E$98)+1400)+'Cálculos'!$E$122)*'Cálculos'!$E$231+'Cálculos'!$E$125*(1+2.78*('Cálculos'!$E$197+(($B$168)-$A126)*'Cálculos'!$E$98)/(('Cálculos'!$E$197+(($B$168)-$A126)*'Cálculos'!$E$98)+1400)+'Cálculos'!$E$123)*'Cálculos'!$E$236)+('Cálculos'!$E$204*(1+'Cálculos'!$E$205+$A126*('Cálculos'!$E$290=3)*'Cálculos'!$E$103)+'Cálculos'!$E$206)*('Cálculos'!$E$227+'Cálculos'!$E$124*(1+2.78*('Cálculos'!$E$197+(($B$168)-$A126)*'Cálculos'!$E$98)/(('Cálculos'!$E$197+(($B$168)-$A126)*'Cálculos'!$E$98)+1400)+'Cálculos'!$E$122)*'Cálculos'!$E$232+'Cálculos'!$E$125*(1+2.78*('Cálculos'!$E$197+(($B$168)-$A126)*'Cálculos'!$E$98)/(('Cálculos'!$E$197+(($B$168)-$A126)*'Cálculos'!$E$98)+1400)+'Cálculos'!$E$123)*'Cálculos'!$E$237)+('Cálculos'!$E$185*(1+'Cálculos'!$E$188+$A126*('Cálculos'!$E$290=1)*'Cálculos'!$E$97+'Cálculos'!$E$305)+'Cálculos'!$E$193)*('Cálculos'!$E$239+'Cálculos'!$E$124*(1+2.78*('Cálculos'!$E$198+(($B$168)-$A126)*'Cálculos'!$E$98)/(('Cálculos'!$E$198+(($B$168)-$A126)*'Cálculos'!$E$98)+1400)+'Cálculos'!$E$122)*'Cálculos'!$E$244+'Cálculos'!$E$125*(1+2.78*('Cálculos'!$E$198+(($B$168)-$A126)*'Cálculos'!$E$98)/(('Cálculos'!$E$198+(($B$168)-$A126)*'Cálculos'!$E$98)+1400)+'Cálculos'!$E$123)*'Cálculos'!$E$249)+('Cálculos'!$E$198+(($B$168)-$A126)*'Cálculos'!$E$98)*('Cálculos'!$E$240+'Cálculos'!$E$124*(1+2.78*('Cálculos'!$E$198+(($B$168)-$A126)*'Cálculos'!$E$98)/(('Cálculos'!$E$198+(($B$168)-$A126)*'Cálculos'!$E$98)+1400)+'Cálculos'!$E$122)*'Cálculos'!$E$245+'Cálculos'!$E$125*(1+2.78*('Cálculos'!$E$198+(($B$168)-$A126)*'Cálculos'!$E$98)/(('Cálculos'!$E$198+(($B$168)-$A126)*'Cálculos'!$E$98)+1400)+'Cálculos'!$E$123)*'Cálculos'!$E$250)+('Cálculos'!$E$201*(1+'Cálculos'!$E$202+$A126*('Cálculos'!$E$290=2)*'Cálculos'!$E$101)+'Cálculos'!$E$203)*('Cálculos'!$E$241+'Cálculos'!$E$124*(1+2.78*('Cálculos'!$E$198+(($B$168)-$A126)*'Cálculos'!$E$98)/(('Cálculos'!$E$198+(($B$168)-$A126)*'Cálculos'!$E$98)+1400)+'Cálculos'!$E$122)*'Cálculos'!$E$246+'Cálculos'!$E$125*(1+2.78*('Cálculos'!$E$198+(($B$168)-$A126)*'Cálculos'!$E$98)/(('Cálculos'!$E$198+(($B$168)-$A126)*'Cálculos'!$E$98)+1400)+'Cálculos'!$E$123)*'Cálculos'!$E$251)+('Cálculos'!$E$204*(1+'Cálculos'!$E$205+$A126*('Cálculos'!$E$290=3)*'Cálculos'!$E$103)+'Cálculos'!$E$206)*('Cálculos'!$E$242+'Cálculos'!$E$124*(1+2.78*('Cálculos'!$E$198+(($B$168)-$A126)*'Cálculos'!$E$98)/(('Cálculos'!$E$198+(($B$168)-$A126)*'Cálculos'!$E$98)+1400)+'Cálculos'!$E$122)*'Cálculos'!$E$247+'Cálculos'!$E$125*(1+2.78*('Cálculos'!$E$198+(($B$168)-$A126)*'Cálculos'!$E$98)/(('Cálculos'!$E$198+(($B$168)-$A126)*'Cálculos'!$E$98)+1400)+'Cálculos'!$E$123)*'Cálculos'!$E$252)+('Cálculos'!$E$185*(1+'Cálculos'!$E$189+$A126*('Cálculos'!$E$290=1)*'Cálculos'!$E$97+'Cálculos'!$E$305)+'Cálculos'!$E$194)*('Cálculos'!$E$254+'Cálculos'!$E$124*(1+2.78*('Cálculos'!$E$199+(($B$168)-$A126)*'Cálculos'!$E$98)/(('Cálculos'!$E$199+(($B$168)-$A126)*'Cálculos'!$E$98)+1400)+'Cálculos'!$E$122)*'Cálculos'!$E$259+'Cálculos'!$E$125*(1+2.78*('Cálculos'!$E$199+(($B$168)-$A126)*'Cálculos'!$E$98)/(('Cálculos'!$E$199+(($B$168)-$A126)*'Cálculos'!$E$98)+1400)+'Cálculos'!$E$123)*'Cálculos'!$E$264)+('Cálculos'!$E$199+(($B$168)-$A126)*'Cálculos'!$E$98)*('Cálculos'!$E$255+'Cálculos'!$E$124*(1+2.78*('Cálculos'!$E$199+(($B$168)-$A126)*'Cálculos'!$E$98)/(('Cálculos'!$E$199+(($B$168)-$A126)*'Cálculos'!$E$98)+1400)+'Cálculos'!$E$122)*'Cálculos'!$E$260+'Cálculos'!$E$125*(1+2.78*('Cálculos'!$E$199+(($B$168)-$A126)*'Cálculos'!$E$98)/(('Cálculos'!$E$199+(($B$168)-$A126)*'Cálculos'!$E$98)+1400)+'Cálculos'!$E$123)*'Cálculos'!$E$265)+('Cálculos'!$E$201*(1+'Cálculos'!$E$202+$A126*('Cálculos'!$E$290=2)*'Cálculos'!$E$101)+'Cálculos'!$E$203)*('Cálculos'!$E$256+'Cálculos'!$E$124*(1+2.78*('Cálculos'!$E$199+(($B$168)-$A126)*'Cálculos'!$E$98)/(('Cálculos'!$E$199+(($B$168)-$A126)*'Cálculos'!$E$98)+1400)+'Cálculos'!$E$122)*'Cálculos'!$E$261+'Cálculos'!$E$125*(1+2.78*('Cálculos'!$E$199+(($B$168)-$A126)*'Cálculos'!$E$98)/(('Cálculos'!$E$199+(($B$168)-$A126)*'Cálculos'!$E$98)+1400)+'Cálculos'!$E$123)*'Cálculos'!$E$266)+('Cálculos'!$E$204*(1+'Cálculos'!$E$205+$A126*('Cálculos'!$E$290=3)*'Cálculos'!$E$103)+'Cálculos'!$E$206)*('Cálculos'!$E$257+'Cálculos'!$E$124*(1+2.78*('Cálculos'!$E$199+(($B$168)-$A126)*'Cálculos'!$E$98)/(('Cálculos'!$E$199+(($B$168)-$A126)*'Cálculos'!$E$98)+1400)+'Cálculos'!$E$122)*'Cálculos'!$E$262+'Cálculos'!$E$125*(1+2.78*('Cálculos'!$E$199+(($B$168)-$A126)*'Cálculos'!$E$98)/(('Cálculos'!$E$199+(($B$168)-$A126)*'Cálculos'!$E$98)+1400)+'Cálculos'!$E$123)*'Cálculos'!$E$267)+('Cálculos'!$E$185*(1+'Cálculos'!$E$190+$A126*('Cálculos'!$E$290=1)*'Cálculos'!$E$97+'Cálculos'!$E$305)+'Cálculos'!$E$195)*('Cálculos'!$E$269+'Cálculos'!$E$124*(1+2.78*('Cálculos'!$E$200+(($B$168)-$A126)*'Cálculos'!$E$98)/(('Cálculos'!$E$200+(($B$168)-$A126)*'Cálculos'!$E$98)+1400)+'Cálculos'!$E$122)*'Cálculos'!$E$274+'Cálculos'!$E$125*(1+2.78*('Cálculos'!$E$200+(($B$168)-$A126)*'Cálculos'!$E$98)/(('Cálculos'!$E$200+(($B$168)-$A126)*'Cálculos'!$E$98)+1400)+'Cálculos'!$E$123)*'Cálculos'!$E$279)+('Cálculos'!$E$200+(($B$168)-$A126)*'Cálculos'!$E$98)*('Cálculos'!$E$270+'Cálculos'!$E$124*(1+2.78*('Cálculos'!$E$200+(($B$168)-$A126)*'Cálculos'!$E$98)/(('Cálculos'!$E$200+(($B$168)-$A126)*'Cálculos'!$E$98)+1400)+'Cálculos'!$E$122)*'Cálculos'!$E$275+'Cálculos'!$E$125*(1+2.78*('Cálculos'!$E$200+(($B$168)-$A126)*'Cálculos'!$E$98)/(('Cálculos'!$E$200+(($B$168)-$A126)*'Cálculos'!$E$98)+1400)+'Cálculos'!$E$123)*'Cálculos'!$E$280)+('Cálculos'!$E$201*(1+'Cálculos'!$E$202+$A126*('Cálculos'!$E$290=2)*'Cálculos'!$E$101)+'Cálculos'!$E$203)*('Cálculos'!$E$271+'Cálculos'!$E$124*(1+2.78*('Cálculos'!$E$200+(($B$168)-$A126)*'Cálculos'!$E$98)/(('Cálculos'!$E$200+(($B$168)-$A126)*'Cálculos'!$E$98)+1400)+'Cálculos'!$E$122)*'Cálculos'!$E$276+'Cálculos'!$E$125*(1+2.78*('Cálculos'!$E$200+(($B$168)-$A126)*'Cálculos'!$E$98)/(('Cálculos'!$E$200+(($B$168)-$A126)*'Cálculos'!$E$98)+1400)+'Cálculos'!$E$123)*'Cálculos'!$E$281)+('Cálculos'!$E$204*(1+'Cálculos'!$E$205+$A126*('Cálculos'!$E$290=3)*'Cálculos'!$E$103)+'Cálculos'!$E$206)*('Cálculos'!$E$272+'Cálculos'!$E$124*(1+2.78*('Cálculos'!$E$200+(($B$168)-$A126)*'Cálculos'!$E$98)/(('Cálculos'!$E$200+(($B$168)-$A126)*'Cálculos'!$E$98)+1400)+'Cálculos'!$E$122)*'Cálculos'!$E$277+'Cálculos'!$E$125*(1+2.78*('Cálculos'!$E$200+(($B$168)-$A126)*'Cálculos'!$E$98)/(('Cálculos'!$E$200+(($B$168)-$A126)*'Cálculos'!$E$98)+1400)+'Cálculos'!$E$123)*'Cálculos'!$E$282)))</f>
        <v>0</v>
      </c>
    </row>
    <row r="127" ht="15.75" customHeight="1">
      <c r="A127" s="2">
        <v>7.0</v>
      </c>
      <c r="B127" s="30">
        <f>SUMPRODUCT(MAX(($A$120:$A$165&lt;=$A127)*($A$120:$A$165&lt;='Cálculos'!$E$294)*(($A127)-$A$120:$A$165&lt;='Cálculos'!$E$295)*(1+(('Cálculos'!$E$207+$A$120:$A$165*'Cálculos'!$E$95)-(('Cálculos'!$E$207+$A$120:$A$165*'Cálculos'!$E$95)&gt;1)*(('Cálculos'!$E$207+$A$120:$A$165*'Cálculos'!$E$95)-1))*('Cálculos'!$E$208+(($A127)-$A$120:$A$165)*'Cálculos'!$E$96))))</f>
        <v>1.474266</v>
      </c>
      <c r="C127" s="2">
        <f>'Cálculos'!$E$303-$A127</f>
        <v>6</v>
      </c>
      <c r="D127" s="31">
        <f>IF($C127&lt;0,0,SUMPRODUCT(MAX(($A$120:$A$165&lt;=$C127)*($A$120:$A$165&lt;='Cálculos'!$E$301)*(($C127)-$A$120:$A$165&lt;='Cálculos'!$E$297)*(('Cálculos'!$E$185*(1+'Cálculos'!$E$186+$A$120:$A$165*('Cálculos'!$E$290=1)*'Cálculos'!$E$97+'Cálculos'!$E$305)+'Cálculos'!$E$191)*('Cálculos'!$E$209+'Cálculos'!$E$124*(1+2.78*('Cálculos'!$E$196+(($C127)-$A$120:$A$165)*'Cálculos'!$E$98)/(('Cálculos'!$E$196+(($C127)-$A$120:$A$165)*'Cálculos'!$E$98)+1400)+'Cálculos'!$E$122)*'Cálculos'!$E$214+'Cálculos'!$E$125*(1+2.78*('Cálculos'!$E$196+(($C127)-$A$120:$A$165)*'Cálculos'!$E$98)/(('Cálculos'!$E$196+(($C127)-$A$120:$A$165)*'Cálculos'!$E$98)+1400)+'Cálculos'!$E$123)*'Cálculos'!$E$219)+('Cálculos'!$E$196+(($C127)-$A$120:$A$165)*'Cálculos'!$E$98)*('Cálculos'!$E$210+'Cálculos'!$E$124*(1+2.78*('Cálculos'!$E$196+(($C127)-$A$120:$A$165)*'Cálculos'!$E$98)/(('Cálculos'!$E$196+(($C127)-$A$120:$A$165)*'Cálculos'!$E$98)+1400)+'Cálculos'!$E$122)*'Cálculos'!$E$215+'Cálculos'!$E$125*(1+2.78*('Cálculos'!$E$196+(($C127)-$A$120:$A$165)*'Cálculos'!$E$98)/(('Cálculos'!$E$196+(($C127)-$A$120:$A$165)*'Cálculos'!$E$98)+1400)+'Cálculos'!$E$123)*'Cálculos'!$E$220)+('Cálculos'!$E$201*(1+'Cálculos'!$E$202+$A$120:$A$165*('Cálculos'!$E$290=2)*'Cálculos'!$E$101)+'Cálculos'!$E$203)*('Cálculos'!$E$211+'Cálculos'!$E$124*(1+2.78*('Cálculos'!$E$196+(($C127)-$A$120:$A$165)*'Cálculos'!$E$98)/(('Cálculos'!$E$196+(($C127)-$A$120:$A$165)*'Cálculos'!$E$98)+1400)+'Cálculos'!$E$122)*'Cálculos'!$E$216+'Cálculos'!$E$125*(1+2.78*('Cálculos'!$E$196+(($C127)-$A$120:$A$165)*'Cálculos'!$E$98)/(('Cálculos'!$E$196+(($C127)-$A$120:$A$165)*'Cálculos'!$E$98)+1400)+'Cálculos'!$E$123)*'Cálculos'!$E$221)+('Cálculos'!$E$204*(1+'Cálculos'!$E$205+$A$120:$A$165*('Cálculos'!$E$290=3)*'Cálculos'!$E$103)+'Cálculos'!$E$206)*('Cálculos'!$E$212+'Cálculos'!$E$124*(1+2.78*('Cálculos'!$E$196+(($C127)-$A$120:$A$165)*'Cálculos'!$E$98)/(('Cálculos'!$E$196+(($C127)-$A$120:$A$165)*'Cálculos'!$E$98)+1400)+'Cálculos'!$E$122)*'Cálculos'!$E$217+'Cálculos'!$E$125*(1+2.78*('Cálculos'!$E$196+(($C127)-$A$120:$A$165)*'Cálculos'!$E$98)/(('Cálculos'!$E$196+(($C127)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127)-$A$120:$A$165)*'Cálculos'!$E$98)/(('Cálculos'!$E$197+(($C127)-$A$120:$A$165)*'Cálculos'!$E$98)+1400)+'Cálculos'!$E$122)*'Cálculos'!$E$229+'Cálculos'!$E$125*(1+2.78*('Cálculos'!$E$197+(($C127)-$A$120:$A$165)*'Cálculos'!$E$98)/(('Cálculos'!$E$197+(($C127)-$A$120:$A$165)*'Cálculos'!$E$98)+1400)+'Cálculos'!$E$123)*'Cálculos'!$E$234)+('Cálculos'!$E$197+(($C127)-$A$120:$A$165)*'Cálculos'!$E$98)*('Cálculos'!$E$225+'Cálculos'!$E$124*(1+2.78*('Cálculos'!$E$197+(($C127)-$A$120:$A$165)*'Cálculos'!$E$98)/(('Cálculos'!$E$197+(($C127)-$A$120:$A$165)*'Cálculos'!$E$98)+1400)+'Cálculos'!$E$122)*'Cálculos'!$E$230+'Cálculos'!$E$125*(1+2.78*('Cálculos'!$E$197+(($C127)-$A$120:$A$165)*'Cálculos'!$E$98)/(('Cálculos'!$E$197+(($C127)-$A$120:$A$165)*'Cálculos'!$E$98)+1400)+'Cálculos'!$E$123)*'Cálculos'!$E$235)+('Cálculos'!$E$201*(1+'Cálculos'!$E$202+$A$120:$A$165*('Cálculos'!$E$290=2)*'Cálculos'!$E$101)+'Cálculos'!$E$203)*('Cálculos'!$E$226+'Cálculos'!$E$124*(1+2.78*('Cálculos'!$E$197+(($C127)-$A$120:$A$165)*'Cálculos'!$E$98)/(('Cálculos'!$E$197+(($C127)-$A$120:$A$165)*'Cálculos'!$E$98)+1400)+'Cálculos'!$E$122)*'Cálculos'!$E$231+'Cálculos'!$E$125*(1+2.78*('Cálculos'!$E$197+(($C127)-$A$120:$A$165)*'Cálculos'!$E$98)/(('Cálculos'!$E$197+(($C127)-$A$120:$A$165)*'Cálculos'!$E$98)+1400)+'Cálculos'!$E$123)*'Cálculos'!$E$236)+('Cálculos'!$E$204*(1+'Cálculos'!$E$205+$A$120:$A$165*('Cálculos'!$E$290=3)*'Cálculos'!$E$103)+'Cálculos'!$E$206)*('Cálculos'!$E$227+'Cálculos'!$E$124*(1+2.78*('Cálculos'!$E$197+(($C127)-$A$120:$A$165)*'Cálculos'!$E$98)/(('Cálculos'!$E$197+(($C127)-$A$120:$A$165)*'Cálculos'!$E$98)+1400)+'Cálculos'!$E$122)*'Cálculos'!$E$232+'Cálculos'!$E$125*(1+2.78*('Cálculos'!$E$197+(($C127)-$A$120:$A$165)*'Cálculos'!$E$98)/(('Cálculos'!$E$197+(($C127)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127)-$A$120:$A$165)*'Cálculos'!$E$98)/(('Cálculos'!$E$198+(($C127)-$A$120:$A$165)*'Cálculos'!$E$98)+1400)+'Cálculos'!$E$122)*'Cálculos'!$E$244+'Cálculos'!$E$125*(1+2.78*('Cálculos'!$E$198+(($C127)-$A$120:$A$165)*'Cálculos'!$E$98)/(('Cálculos'!$E$198+(($C127)-$A$120:$A$165)*'Cálculos'!$E$98)+1400)+'Cálculos'!$E$123)*'Cálculos'!$E$249)+('Cálculos'!$E$198+(($C127)-$A$120:$A$165)*'Cálculos'!$E$98)*('Cálculos'!$E$240+'Cálculos'!$E$124*(1+2.78*('Cálculos'!$E$198+(($C127)-$A$120:$A$165)*'Cálculos'!$E$98)/(('Cálculos'!$E$198+(($C127)-$A$120:$A$165)*'Cálculos'!$E$98)+1400)+'Cálculos'!$E$122)*'Cálculos'!$E$245+'Cálculos'!$E$125*(1+2.78*('Cálculos'!$E$198+(($C127)-$A$120:$A$165)*'Cálculos'!$E$98)/(('Cálculos'!$E$198+(($C127)-$A$120:$A$165)*'Cálculos'!$E$98)+1400)+'Cálculos'!$E$123)*'Cálculos'!$E$250)+('Cálculos'!$E$201*(1+'Cálculos'!$E$202+$A$120:$A$165*('Cálculos'!$E$290=2)*'Cálculos'!$E$101)+'Cálculos'!$E$203)*('Cálculos'!$E$241+'Cálculos'!$E$124*(1+2.78*('Cálculos'!$E$198+(($C127)-$A$120:$A$165)*'Cálculos'!$E$98)/(('Cálculos'!$E$198+(($C127)-$A$120:$A$165)*'Cálculos'!$E$98)+1400)+'Cálculos'!$E$122)*'Cálculos'!$E$246+'Cálculos'!$E$125*(1+2.78*('Cálculos'!$E$198+(($C127)-$A$120:$A$165)*'Cálculos'!$E$98)/(('Cálculos'!$E$198+(($C127)-$A$120:$A$165)*'Cálculos'!$E$98)+1400)+'Cálculos'!$E$123)*'Cálculos'!$E$251)+('Cálculos'!$E$204*(1+'Cálculos'!$E$205+$A$120:$A$165*('Cálculos'!$E$290=3)*'Cálculos'!$E$103)+'Cálculos'!$E$206)*('Cálculos'!$E$242+'Cálculos'!$E$124*(1+2.78*('Cálculos'!$E$198+(($C127)-$A$120:$A$165)*'Cálculos'!$E$98)/(('Cálculos'!$E$198+(($C127)-$A$120:$A$165)*'Cálculos'!$E$98)+1400)+'Cálculos'!$E$122)*'Cálculos'!$E$247+'Cálculos'!$E$125*(1+2.78*('Cálculos'!$E$198+(($C127)-$A$120:$A$165)*'Cálculos'!$E$98)/(('Cálculos'!$E$198+(($C127)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127)-$A$120:$A$165)*'Cálculos'!$E$98)/(('Cálculos'!$E$199+(($C127)-$A$120:$A$165)*'Cálculos'!$E$98)+1400)+'Cálculos'!$E$122)*'Cálculos'!$E$259+'Cálculos'!$E$125*(1+2.78*('Cálculos'!$E$199+(($C127)-$A$120:$A$165)*'Cálculos'!$E$98)/(('Cálculos'!$E$199+(($C127)-$A$120:$A$165)*'Cálculos'!$E$98)+1400)+'Cálculos'!$E$123)*'Cálculos'!$E$264)+('Cálculos'!$E$199+(($C127)-$A$120:$A$165)*'Cálculos'!$E$98)*('Cálculos'!$E$255+'Cálculos'!$E$124*(1+2.78*('Cálculos'!$E$199+(($C127)-$A$120:$A$165)*'Cálculos'!$E$98)/(('Cálculos'!$E$199+(($C127)-$A$120:$A$165)*'Cálculos'!$E$98)+1400)+'Cálculos'!$E$122)*'Cálculos'!$E$260+'Cálculos'!$E$125*(1+2.78*('Cálculos'!$E$199+(($C127)-$A$120:$A$165)*'Cálculos'!$E$98)/(('Cálculos'!$E$199+(($C127)-$A$120:$A$165)*'Cálculos'!$E$98)+1400)+'Cálculos'!$E$123)*'Cálculos'!$E$265)+('Cálculos'!$E$201*(1+'Cálculos'!$E$202+$A$120:$A$165*('Cálculos'!$E$290=2)*'Cálculos'!$E$101)+'Cálculos'!$E$203)*('Cálculos'!$E$256+'Cálculos'!$E$124*(1+2.78*('Cálculos'!$E$199+(($C127)-$A$120:$A$165)*'Cálculos'!$E$98)/(('Cálculos'!$E$199+(($C127)-$A$120:$A$165)*'Cálculos'!$E$98)+1400)+'Cálculos'!$E$122)*'Cálculos'!$E$261+'Cálculos'!$E$125*(1+2.78*('Cálculos'!$E$199+(($C127)-$A$120:$A$165)*'Cálculos'!$E$98)/(('Cálculos'!$E$199+(($C127)-$A$120:$A$165)*'Cálculos'!$E$98)+1400)+'Cálculos'!$E$123)*'Cálculos'!$E$266)+('Cálculos'!$E$204*(1+'Cálculos'!$E$205+$A$120:$A$165*('Cálculos'!$E$290=3)*'Cálculos'!$E$103)+'Cálculos'!$E$206)*('Cálculos'!$E$257+'Cálculos'!$E$124*(1+2.78*('Cálculos'!$E$199+(($C127)-$A$120:$A$165)*'Cálculos'!$E$98)/(('Cálculos'!$E$199+(($C127)-$A$120:$A$165)*'Cálculos'!$E$98)+1400)+'Cálculos'!$E$122)*'Cálculos'!$E$262+'Cálculos'!$E$125*(1+2.78*('Cálculos'!$E$199+(($C127)-$A$120:$A$165)*'Cálculos'!$E$98)/(('Cálculos'!$E$199+(($C127)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127)-$A$120:$A$165)*'Cálculos'!$E$98)/(('Cálculos'!$E$200+(($C127)-$A$120:$A$165)*'Cálculos'!$E$98)+1400)+'Cálculos'!$E$122)*'Cálculos'!$E$274+'Cálculos'!$E$125*(1+2.78*('Cálculos'!$E$200+(($C127)-$A$120:$A$165)*'Cálculos'!$E$98)/(('Cálculos'!$E$200+(($C127)-$A$120:$A$165)*'Cálculos'!$E$98)+1400)+'Cálculos'!$E$123)*'Cálculos'!$E$279)+('Cálculos'!$E$200+(($C127)-$A$120:$A$165)*'Cálculos'!$E$98)*('Cálculos'!$E$270+'Cálculos'!$E$124*(1+2.78*('Cálculos'!$E$200+(($C127)-$A$120:$A$165)*'Cálculos'!$E$98)/(('Cálculos'!$E$200+(($C127)-$A$120:$A$165)*'Cálculos'!$E$98)+1400)+'Cálculos'!$E$122)*'Cálculos'!$E$275+'Cálculos'!$E$125*(1+2.78*('Cálculos'!$E$200+(($C127)-$A$120:$A$165)*'Cálculos'!$E$98)/(('Cálculos'!$E$200+(($C127)-$A$120:$A$165)*'Cálculos'!$E$98)+1400)+'Cálculos'!$E$123)*'Cálculos'!$E$280)+('Cálculos'!$E$201*(1+'Cálculos'!$E$202+$A$120:$A$165*('Cálculos'!$E$290=2)*'Cálculos'!$E$101)+'Cálculos'!$E$203)*('Cálculos'!$E$271+'Cálculos'!$E$124*(1+2.78*('Cálculos'!$E$200+(($C127)-$A$120:$A$165)*'Cálculos'!$E$98)/(('Cálculos'!$E$200+(($C127)-$A$120:$A$165)*'Cálculos'!$E$98)+1400)+'Cálculos'!$E$122)*'Cálculos'!$E$276+'Cálculos'!$E$125*(1+2.78*('Cálculos'!$E$200+(($C127)-$A$120:$A$165)*'Cálculos'!$E$98)/(('Cálculos'!$E$200+(($C127)-$A$120:$A$165)*'Cálculos'!$E$98)+1400)+'Cálculos'!$E$123)*'Cálculos'!$E$281)+('Cálculos'!$E$204*(1+'Cálculos'!$E$205+$A$120:$A$165*('Cálculos'!$E$290=3)*'Cálculos'!$E$103)+'Cálculos'!$E$206)*('Cálculos'!$E$272+'Cálculos'!$E$124*(1+2.78*('Cálculos'!$E$200+(($C127)-$A$120:$A$165)*'Cálculos'!$E$98)/(('Cálculos'!$E$200+(($C127)-$A$120:$A$165)*'Cálculos'!$E$98)+1400)+'Cálculos'!$E$122)*'Cálculos'!$E$277+'Cálculos'!$E$125*(1+2.78*('Cálculos'!$E$200+(($C127)-$A$120:$A$165)*'Cálculos'!$E$98)/(('Cálculos'!$E$200+(($C127)-$A$120:$A$165)*'Cálculos'!$E$98)+1400)+'Cálculos'!$E$123)*'Cálculos'!$E$282)))))</f>
        <v>20295.8126</v>
      </c>
      <c r="E127" s="32">
        <f>IF(OR($C127&lt;0,'Cálculos'!$E$6=""),0,$B127*$D127)</f>
        <v>29921.42646</v>
      </c>
      <c r="F127" s="2"/>
      <c r="G127" s="30">
        <f>($A127&lt;=$B$167)*($A127&lt;='Cálculos'!$E$294)*(($B$167)-$A127&lt;='Cálculos'!$E$295)*(1+MIN(('Cálculos'!$E$207+$A127*'Cálculos'!$E$95),1)*('Cálculos'!$E$208+(($B$167)-$A127)*'Cálculos'!$E$96))</f>
        <v>1.676424</v>
      </c>
      <c r="H127" s="31">
        <f>IF($B$168&lt;0,0,($A127&lt;=$B$168)*($A127&lt;='Cálculos'!$E$301)*(($B$168)-$A127&lt;='Cálculos'!$E$297)*(('Cálculos'!$E$185*(1+'Cálculos'!$E$186+$A127*('Cálculos'!$E$290=1)*'Cálculos'!$E$97+'Cálculos'!$E$305)+'Cálculos'!$E$191)*('Cálculos'!$E$209+'Cálculos'!$E$124*(1+2.78*('Cálculos'!$E$196+(($B$168)-$A127)*'Cálculos'!$E$98)/(('Cálculos'!$E$196+(($B$168)-$A127)*'Cálculos'!$E$98)+1400)+'Cálculos'!$E$122)*'Cálculos'!$E$214+'Cálculos'!$E$125*(1+2.78*('Cálculos'!$E$196+(($B$168)-$A127)*'Cálculos'!$E$98)/(('Cálculos'!$E$196+(($B$168)-$A127)*'Cálculos'!$E$98)+1400)+'Cálculos'!$E$123)*'Cálculos'!$E$219)+('Cálculos'!$E$196+(($B$168)-$A127)*'Cálculos'!$E$98)*('Cálculos'!$E$210+'Cálculos'!$E$124*(1+2.78*('Cálculos'!$E$196+(($B$168)-$A127)*'Cálculos'!$E$98)/(('Cálculos'!$E$196+(($B$168)-$A127)*'Cálculos'!$E$98)+1400)+'Cálculos'!$E$122)*'Cálculos'!$E$215+'Cálculos'!$E$125*(1+2.78*('Cálculos'!$E$196+(($B$168)-$A127)*'Cálculos'!$E$98)/(('Cálculos'!$E$196+(($B$168)-$A127)*'Cálculos'!$E$98)+1400)+'Cálculos'!$E$123)*'Cálculos'!$E$220)+('Cálculos'!$E$201*(1+'Cálculos'!$E$202+$A127*('Cálculos'!$E$290=2)*'Cálculos'!$E$101)+'Cálculos'!$E$203)*('Cálculos'!$E$211+'Cálculos'!$E$124*(1+2.78*('Cálculos'!$E$196+(($B$168)-$A127)*'Cálculos'!$E$98)/(('Cálculos'!$E$196+(($B$168)-$A127)*'Cálculos'!$E$98)+1400)+'Cálculos'!$E$122)*'Cálculos'!$E$216+'Cálculos'!$E$125*(1+2.78*('Cálculos'!$E$196+(($B$168)-$A127)*'Cálculos'!$E$98)/(('Cálculos'!$E$196+(($B$168)-$A127)*'Cálculos'!$E$98)+1400)+'Cálculos'!$E$123)*'Cálculos'!$E$221)+('Cálculos'!$E$204*(1+'Cálculos'!$E$205+$A127*('Cálculos'!$E$290=3)*'Cálculos'!$E$103)+'Cálculos'!$E$206)*('Cálculos'!$E$212+'Cálculos'!$E$124*(1+2.78*('Cálculos'!$E$196+(($B$168)-$A127)*'Cálculos'!$E$98)/(('Cálculos'!$E$196+(($B$168)-$A127)*'Cálculos'!$E$98)+1400)+'Cálculos'!$E$122)*'Cálculos'!$E$217+'Cálculos'!$E$125*(1+2.78*('Cálculos'!$E$196+(($B$168)-$A127)*'Cálculos'!$E$98)/(('Cálculos'!$E$196+(($B$168)-$A127)*'Cálculos'!$E$98)+1400)+'Cálculos'!$E$123)*'Cálculos'!$E$222)+('Cálculos'!$E$185*(1+'Cálculos'!$E$187+$A127*('Cálculos'!$E$290=1)*'Cálculos'!$E$97+'Cálculos'!$E$305)+'Cálculos'!$E$192)*('Cálculos'!$E$224+'Cálculos'!$E$124*(1+2.78*('Cálculos'!$E$197+(($B$168)-$A127)*'Cálculos'!$E$98)/(('Cálculos'!$E$197+(($B$168)-$A127)*'Cálculos'!$E$98)+1400)+'Cálculos'!$E$122)*'Cálculos'!$E$229+'Cálculos'!$E$125*(1+2.78*('Cálculos'!$E$197+(($B$168)-$A127)*'Cálculos'!$E$98)/(('Cálculos'!$E$197+(($B$168)-$A127)*'Cálculos'!$E$98)+1400)+'Cálculos'!$E$123)*'Cálculos'!$E$234)+('Cálculos'!$E$197+(($B$168)-$A127)*'Cálculos'!$E$98)*('Cálculos'!$E$225+'Cálculos'!$E$124*(1+2.78*('Cálculos'!$E$197+(($B$168)-$A127)*'Cálculos'!$E$98)/(('Cálculos'!$E$197+(($B$168)-$A127)*'Cálculos'!$E$98)+1400)+'Cálculos'!$E$122)*'Cálculos'!$E$230+'Cálculos'!$E$125*(1+2.78*('Cálculos'!$E$197+(($B$168)-$A127)*'Cálculos'!$E$98)/(('Cálculos'!$E$197+(($B$168)-$A127)*'Cálculos'!$E$98)+1400)+'Cálculos'!$E$123)*'Cálculos'!$E$235)+('Cálculos'!$E$201*(1+'Cálculos'!$E$202+$A127*('Cálculos'!$E$290=2)*'Cálculos'!$E$101)+'Cálculos'!$E$203)*('Cálculos'!$E$226+'Cálculos'!$E$124*(1+2.78*('Cálculos'!$E$197+(($B$168)-$A127)*'Cálculos'!$E$98)/(('Cálculos'!$E$197+(($B$168)-$A127)*'Cálculos'!$E$98)+1400)+'Cálculos'!$E$122)*'Cálculos'!$E$231+'Cálculos'!$E$125*(1+2.78*('Cálculos'!$E$197+(($B$168)-$A127)*'Cálculos'!$E$98)/(('Cálculos'!$E$197+(($B$168)-$A127)*'Cálculos'!$E$98)+1400)+'Cálculos'!$E$123)*'Cálculos'!$E$236)+('Cálculos'!$E$204*(1+'Cálculos'!$E$205+$A127*('Cálculos'!$E$290=3)*'Cálculos'!$E$103)+'Cálculos'!$E$206)*('Cálculos'!$E$227+'Cálculos'!$E$124*(1+2.78*('Cálculos'!$E$197+(($B$168)-$A127)*'Cálculos'!$E$98)/(('Cálculos'!$E$197+(($B$168)-$A127)*'Cálculos'!$E$98)+1400)+'Cálculos'!$E$122)*'Cálculos'!$E$232+'Cálculos'!$E$125*(1+2.78*('Cálculos'!$E$197+(($B$168)-$A127)*'Cálculos'!$E$98)/(('Cálculos'!$E$197+(($B$168)-$A127)*'Cálculos'!$E$98)+1400)+'Cálculos'!$E$123)*'Cálculos'!$E$237)+('Cálculos'!$E$185*(1+'Cálculos'!$E$188+$A127*('Cálculos'!$E$290=1)*'Cálculos'!$E$97+'Cálculos'!$E$305)+'Cálculos'!$E$193)*('Cálculos'!$E$239+'Cálculos'!$E$124*(1+2.78*('Cálculos'!$E$198+(($B$168)-$A127)*'Cálculos'!$E$98)/(('Cálculos'!$E$198+(($B$168)-$A127)*'Cálculos'!$E$98)+1400)+'Cálculos'!$E$122)*'Cálculos'!$E$244+'Cálculos'!$E$125*(1+2.78*('Cálculos'!$E$198+(($B$168)-$A127)*'Cálculos'!$E$98)/(('Cálculos'!$E$198+(($B$168)-$A127)*'Cálculos'!$E$98)+1400)+'Cálculos'!$E$123)*'Cálculos'!$E$249)+('Cálculos'!$E$198+(($B$168)-$A127)*'Cálculos'!$E$98)*('Cálculos'!$E$240+'Cálculos'!$E$124*(1+2.78*('Cálculos'!$E$198+(($B$168)-$A127)*'Cálculos'!$E$98)/(('Cálculos'!$E$198+(($B$168)-$A127)*'Cálculos'!$E$98)+1400)+'Cálculos'!$E$122)*'Cálculos'!$E$245+'Cálculos'!$E$125*(1+2.78*('Cálculos'!$E$198+(($B$168)-$A127)*'Cálculos'!$E$98)/(('Cálculos'!$E$198+(($B$168)-$A127)*'Cálculos'!$E$98)+1400)+'Cálculos'!$E$123)*'Cálculos'!$E$250)+('Cálculos'!$E$201*(1+'Cálculos'!$E$202+$A127*('Cálculos'!$E$290=2)*'Cálculos'!$E$101)+'Cálculos'!$E$203)*('Cálculos'!$E$241+'Cálculos'!$E$124*(1+2.78*('Cálculos'!$E$198+(($B$168)-$A127)*'Cálculos'!$E$98)/(('Cálculos'!$E$198+(($B$168)-$A127)*'Cálculos'!$E$98)+1400)+'Cálculos'!$E$122)*'Cálculos'!$E$246+'Cálculos'!$E$125*(1+2.78*('Cálculos'!$E$198+(($B$168)-$A127)*'Cálculos'!$E$98)/(('Cálculos'!$E$198+(($B$168)-$A127)*'Cálculos'!$E$98)+1400)+'Cálculos'!$E$123)*'Cálculos'!$E$251)+('Cálculos'!$E$204*(1+'Cálculos'!$E$205+$A127*('Cálculos'!$E$290=3)*'Cálculos'!$E$103)+'Cálculos'!$E$206)*('Cálculos'!$E$242+'Cálculos'!$E$124*(1+2.78*('Cálculos'!$E$198+(($B$168)-$A127)*'Cálculos'!$E$98)/(('Cálculos'!$E$198+(($B$168)-$A127)*'Cálculos'!$E$98)+1400)+'Cálculos'!$E$122)*'Cálculos'!$E$247+'Cálculos'!$E$125*(1+2.78*('Cálculos'!$E$198+(($B$168)-$A127)*'Cálculos'!$E$98)/(('Cálculos'!$E$198+(($B$168)-$A127)*'Cálculos'!$E$98)+1400)+'Cálculos'!$E$123)*'Cálculos'!$E$252)+('Cálculos'!$E$185*(1+'Cálculos'!$E$189+$A127*('Cálculos'!$E$290=1)*'Cálculos'!$E$97+'Cálculos'!$E$305)+'Cálculos'!$E$194)*('Cálculos'!$E$254+'Cálculos'!$E$124*(1+2.78*('Cálculos'!$E$199+(($B$168)-$A127)*'Cálculos'!$E$98)/(('Cálculos'!$E$199+(($B$168)-$A127)*'Cálculos'!$E$98)+1400)+'Cálculos'!$E$122)*'Cálculos'!$E$259+'Cálculos'!$E$125*(1+2.78*('Cálculos'!$E$199+(($B$168)-$A127)*'Cálculos'!$E$98)/(('Cálculos'!$E$199+(($B$168)-$A127)*'Cálculos'!$E$98)+1400)+'Cálculos'!$E$123)*'Cálculos'!$E$264)+('Cálculos'!$E$199+(($B$168)-$A127)*'Cálculos'!$E$98)*('Cálculos'!$E$255+'Cálculos'!$E$124*(1+2.78*('Cálculos'!$E$199+(($B$168)-$A127)*'Cálculos'!$E$98)/(('Cálculos'!$E$199+(($B$168)-$A127)*'Cálculos'!$E$98)+1400)+'Cálculos'!$E$122)*'Cálculos'!$E$260+'Cálculos'!$E$125*(1+2.78*('Cálculos'!$E$199+(($B$168)-$A127)*'Cálculos'!$E$98)/(('Cálculos'!$E$199+(($B$168)-$A127)*'Cálculos'!$E$98)+1400)+'Cálculos'!$E$123)*'Cálculos'!$E$265)+('Cálculos'!$E$201*(1+'Cálculos'!$E$202+$A127*('Cálculos'!$E$290=2)*'Cálculos'!$E$101)+'Cálculos'!$E$203)*('Cálculos'!$E$256+'Cálculos'!$E$124*(1+2.78*('Cálculos'!$E$199+(($B$168)-$A127)*'Cálculos'!$E$98)/(('Cálculos'!$E$199+(($B$168)-$A127)*'Cálculos'!$E$98)+1400)+'Cálculos'!$E$122)*'Cálculos'!$E$261+'Cálculos'!$E$125*(1+2.78*('Cálculos'!$E$199+(($B$168)-$A127)*'Cálculos'!$E$98)/(('Cálculos'!$E$199+(($B$168)-$A127)*'Cálculos'!$E$98)+1400)+'Cálculos'!$E$123)*'Cálculos'!$E$266)+('Cálculos'!$E$204*(1+'Cálculos'!$E$205+$A127*('Cálculos'!$E$290=3)*'Cálculos'!$E$103)+'Cálculos'!$E$206)*('Cálculos'!$E$257+'Cálculos'!$E$124*(1+2.78*('Cálculos'!$E$199+(($B$168)-$A127)*'Cálculos'!$E$98)/(('Cálculos'!$E$199+(($B$168)-$A127)*'Cálculos'!$E$98)+1400)+'Cálculos'!$E$122)*'Cálculos'!$E$262+'Cálculos'!$E$125*(1+2.78*('Cálculos'!$E$199+(($B$168)-$A127)*'Cálculos'!$E$98)/(('Cálculos'!$E$199+(($B$168)-$A127)*'Cálculos'!$E$98)+1400)+'Cálculos'!$E$123)*'Cálculos'!$E$267)+('Cálculos'!$E$185*(1+'Cálculos'!$E$190+$A127*('Cálculos'!$E$290=1)*'Cálculos'!$E$97+'Cálculos'!$E$305)+'Cálculos'!$E$195)*('Cálculos'!$E$269+'Cálculos'!$E$124*(1+2.78*('Cálculos'!$E$200+(($B$168)-$A127)*'Cálculos'!$E$98)/(('Cálculos'!$E$200+(($B$168)-$A127)*'Cálculos'!$E$98)+1400)+'Cálculos'!$E$122)*'Cálculos'!$E$274+'Cálculos'!$E$125*(1+2.78*('Cálculos'!$E$200+(($B$168)-$A127)*'Cálculos'!$E$98)/(('Cálculos'!$E$200+(($B$168)-$A127)*'Cálculos'!$E$98)+1400)+'Cálculos'!$E$123)*'Cálculos'!$E$279)+('Cálculos'!$E$200+(($B$168)-$A127)*'Cálculos'!$E$98)*('Cálculos'!$E$270+'Cálculos'!$E$124*(1+2.78*('Cálculos'!$E$200+(($B$168)-$A127)*'Cálculos'!$E$98)/(('Cálculos'!$E$200+(($B$168)-$A127)*'Cálculos'!$E$98)+1400)+'Cálculos'!$E$122)*'Cálculos'!$E$275+'Cálculos'!$E$125*(1+2.78*('Cálculos'!$E$200+(($B$168)-$A127)*'Cálculos'!$E$98)/(('Cálculos'!$E$200+(($B$168)-$A127)*'Cálculos'!$E$98)+1400)+'Cálculos'!$E$123)*'Cálculos'!$E$280)+('Cálculos'!$E$201*(1+'Cálculos'!$E$202+$A127*('Cálculos'!$E$290=2)*'Cálculos'!$E$101)+'Cálculos'!$E$203)*('Cálculos'!$E$271+'Cálculos'!$E$124*(1+2.78*('Cálculos'!$E$200+(($B$168)-$A127)*'Cálculos'!$E$98)/(('Cálculos'!$E$200+(($B$168)-$A127)*'Cálculos'!$E$98)+1400)+'Cálculos'!$E$122)*'Cálculos'!$E$276+'Cálculos'!$E$125*(1+2.78*('Cálculos'!$E$200+(($B$168)-$A127)*'Cálculos'!$E$98)/(('Cálculos'!$E$200+(($B$168)-$A127)*'Cálculos'!$E$98)+1400)+'Cálculos'!$E$123)*'Cálculos'!$E$281)+('Cálculos'!$E$204*(1+'Cálculos'!$E$205+$A127*('Cálculos'!$E$290=3)*'Cálculos'!$E$103)+'Cálculos'!$E$206)*('Cálculos'!$E$272+'Cálculos'!$E$124*(1+2.78*('Cálculos'!$E$200+(($B$168)-$A127)*'Cálculos'!$E$98)/(('Cálculos'!$E$200+(($B$168)-$A127)*'Cálculos'!$E$98)+1400)+'Cálculos'!$E$122)*'Cálculos'!$E$277+'Cálculos'!$E$125*(1+2.78*('Cálculos'!$E$200+(($B$168)-$A127)*'Cálculos'!$E$98)/(('Cálculos'!$E$200+(($B$168)-$A127)*'Cálculos'!$E$98)+1400)+'Cálculos'!$E$123)*'Cálculos'!$E$282)))</f>
        <v>0</v>
      </c>
    </row>
    <row r="128" ht="15.75" customHeight="1">
      <c r="A128" s="2">
        <v>8.0</v>
      </c>
      <c r="B128" s="30">
        <f>SUMPRODUCT(MAX(($A$120:$A$165&lt;=$A128)*($A$120:$A$165&lt;='Cálculos'!$E$294)*(($A128)-$A$120:$A$165&lt;='Cálculos'!$E$295)*(1+(('Cálculos'!$E$207+$A$120:$A$165*'Cálculos'!$E$95)-(('Cálculos'!$E$207+$A$120:$A$165*'Cálculos'!$E$95)&gt;1)*(('Cálculos'!$E$207+$A$120:$A$165*'Cálculos'!$E$95)-1))*('Cálculos'!$E$208+(($A128)-$A$120:$A$165)*'Cálculos'!$E$96))))</f>
        <v>1.506804</v>
      </c>
      <c r="C128" s="2">
        <f>'Cálculos'!$E$303-$A128</f>
        <v>5</v>
      </c>
      <c r="D128" s="31">
        <f>IF($C128&lt;0,0,SUMPRODUCT(MAX(($A$120:$A$165&lt;=$C128)*($A$120:$A$165&lt;='Cálculos'!$E$301)*(($C128)-$A$120:$A$165&lt;='Cálculos'!$E$297)*(('Cálculos'!$E$185*(1+'Cálculos'!$E$186+$A$120:$A$165*('Cálculos'!$E$290=1)*'Cálculos'!$E$97+'Cálculos'!$E$305)+'Cálculos'!$E$191)*('Cálculos'!$E$209+'Cálculos'!$E$124*(1+2.78*('Cálculos'!$E$196+(($C128)-$A$120:$A$165)*'Cálculos'!$E$98)/(('Cálculos'!$E$196+(($C128)-$A$120:$A$165)*'Cálculos'!$E$98)+1400)+'Cálculos'!$E$122)*'Cálculos'!$E$214+'Cálculos'!$E$125*(1+2.78*('Cálculos'!$E$196+(($C128)-$A$120:$A$165)*'Cálculos'!$E$98)/(('Cálculos'!$E$196+(($C128)-$A$120:$A$165)*'Cálculos'!$E$98)+1400)+'Cálculos'!$E$123)*'Cálculos'!$E$219)+('Cálculos'!$E$196+(($C128)-$A$120:$A$165)*'Cálculos'!$E$98)*('Cálculos'!$E$210+'Cálculos'!$E$124*(1+2.78*('Cálculos'!$E$196+(($C128)-$A$120:$A$165)*'Cálculos'!$E$98)/(('Cálculos'!$E$196+(($C128)-$A$120:$A$165)*'Cálculos'!$E$98)+1400)+'Cálculos'!$E$122)*'Cálculos'!$E$215+'Cálculos'!$E$125*(1+2.78*('Cálculos'!$E$196+(($C128)-$A$120:$A$165)*'Cálculos'!$E$98)/(('Cálculos'!$E$196+(($C128)-$A$120:$A$165)*'Cálculos'!$E$98)+1400)+'Cálculos'!$E$123)*'Cálculos'!$E$220)+('Cálculos'!$E$201*(1+'Cálculos'!$E$202+$A$120:$A$165*('Cálculos'!$E$290=2)*'Cálculos'!$E$101)+'Cálculos'!$E$203)*('Cálculos'!$E$211+'Cálculos'!$E$124*(1+2.78*('Cálculos'!$E$196+(($C128)-$A$120:$A$165)*'Cálculos'!$E$98)/(('Cálculos'!$E$196+(($C128)-$A$120:$A$165)*'Cálculos'!$E$98)+1400)+'Cálculos'!$E$122)*'Cálculos'!$E$216+'Cálculos'!$E$125*(1+2.78*('Cálculos'!$E$196+(($C128)-$A$120:$A$165)*'Cálculos'!$E$98)/(('Cálculos'!$E$196+(($C128)-$A$120:$A$165)*'Cálculos'!$E$98)+1400)+'Cálculos'!$E$123)*'Cálculos'!$E$221)+('Cálculos'!$E$204*(1+'Cálculos'!$E$205+$A$120:$A$165*('Cálculos'!$E$290=3)*'Cálculos'!$E$103)+'Cálculos'!$E$206)*('Cálculos'!$E$212+'Cálculos'!$E$124*(1+2.78*('Cálculos'!$E$196+(($C128)-$A$120:$A$165)*'Cálculos'!$E$98)/(('Cálculos'!$E$196+(($C128)-$A$120:$A$165)*'Cálculos'!$E$98)+1400)+'Cálculos'!$E$122)*'Cálculos'!$E$217+'Cálculos'!$E$125*(1+2.78*('Cálculos'!$E$196+(($C128)-$A$120:$A$165)*'Cálculos'!$E$98)/(('Cálculos'!$E$196+(($C128)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128)-$A$120:$A$165)*'Cálculos'!$E$98)/(('Cálculos'!$E$197+(($C128)-$A$120:$A$165)*'Cálculos'!$E$98)+1400)+'Cálculos'!$E$122)*'Cálculos'!$E$229+'Cálculos'!$E$125*(1+2.78*('Cálculos'!$E$197+(($C128)-$A$120:$A$165)*'Cálculos'!$E$98)/(('Cálculos'!$E$197+(($C128)-$A$120:$A$165)*'Cálculos'!$E$98)+1400)+'Cálculos'!$E$123)*'Cálculos'!$E$234)+('Cálculos'!$E$197+(($C128)-$A$120:$A$165)*'Cálculos'!$E$98)*('Cálculos'!$E$225+'Cálculos'!$E$124*(1+2.78*('Cálculos'!$E$197+(($C128)-$A$120:$A$165)*'Cálculos'!$E$98)/(('Cálculos'!$E$197+(($C128)-$A$120:$A$165)*'Cálculos'!$E$98)+1400)+'Cálculos'!$E$122)*'Cálculos'!$E$230+'Cálculos'!$E$125*(1+2.78*('Cálculos'!$E$197+(($C128)-$A$120:$A$165)*'Cálculos'!$E$98)/(('Cálculos'!$E$197+(($C128)-$A$120:$A$165)*'Cálculos'!$E$98)+1400)+'Cálculos'!$E$123)*'Cálculos'!$E$235)+('Cálculos'!$E$201*(1+'Cálculos'!$E$202+$A$120:$A$165*('Cálculos'!$E$290=2)*'Cálculos'!$E$101)+'Cálculos'!$E$203)*('Cálculos'!$E$226+'Cálculos'!$E$124*(1+2.78*('Cálculos'!$E$197+(($C128)-$A$120:$A$165)*'Cálculos'!$E$98)/(('Cálculos'!$E$197+(($C128)-$A$120:$A$165)*'Cálculos'!$E$98)+1400)+'Cálculos'!$E$122)*'Cálculos'!$E$231+'Cálculos'!$E$125*(1+2.78*('Cálculos'!$E$197+(($C128)-$A$120:$A$165)*'Cálculos'!$E$98)/(('Cálculos'!$E$197+(($C128)-$A$120:$A$165)*'Cálculos'!$E$98)+1400)+'Cálculos'!$E$123)*'Cálculos'!$E$236)+('Cálculos'!$E$204*(1+'Cálculos'!$E$205+$A$120:$A$165*('Cálculos'!$E$290=3)*'Cálculos'!$E$103)+'Cálculos'!$E$206)*('Cálculos'!$E$227+'Cálculos'!$E$124*(1+2.78*('Cálculos'!$E$197+(($C128)-$A$120:$A$165)*'Cálculos'!$E$98)/(('Cálculos'!$E$197+(($C128)-$A$120:$A$165)*'Cálculos'!$E$98)+1400)+'Cálculos'!$E$122)*'Cálculos'!$E$232+'Cálculos'!$E$125*(1+2.78*('Cálculos'!$E$197+(($C128)-$A$120:$A$165)*'Cálculos'!$E$98)/(('Cálculos'!$E$197+(($C128)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128)-$A$120:$A$165)*'Cálculos'!$E$98)/(('Cálculos'!$E$198+(($C128)-$A$120:$A$165)*'Cálculos'!$E$98)+1400)+'Cálculos'!$E$122)*'Cálculos'!$E$244+'Cálculos'!$E$125*(1+2.78*('Cálculos'!$E$198+(($C128)-$A$120:$A$165)*'Cálculos'!$E$98)/(('Cálculos'!$E$198+(($C128)-$A$120:$A$165)*'Cálculos'!$E$98)+1400)+'Cálculos'!$E$123)*'Cálculos'!$E$249)+('Cálculos'!$E$198+(($C128)-$A$120:$A$165)*'Cálculos'!$E$98)*('Cálculos'!$E$240+'Cálculos'!$E$124*(1+2.78*('Cálculos'!$E$198+(($C128)-$A$120:$A$165)*'Cálculos'!$E$98)/(('Cálculos'!$E$198+(($C128)-$A$120:$A$165)*'Cálculos'!$E$98)+1400)+'Cálculos'!$E$122)*'Cálculos'!$E$245+'Cálculos'!$E$125*(1+2.78*('Cálculos'!$E$198+(($C128)-$A$120:$A$165)*'Cálculos'!$E$98)/(('Cálculos'!$E$198+(($C128)-$A$120:$A$165)*'Cálculos'!$E$98)+1400)+'Cálculos'!$E$123)*'Cálculos'!$E$250)+('Cálculos'!$E$201*(1+'Cálculos'!$E$202+$A$120:$A$165*('Cálculos'!$E$290=2)*'Cálculos'!$E$101)+'Cálculos'!$E$203)*('Cálculos'!$E$241+'Cálculos'!$E$124*(1+2.78*('Cálculos'!$E$198+(($C128)-$A$120:$A$165)*'Cálculos'!$E$98)/(('Cálculos'!$E$198+(($C128)-$A$120:$A$165)*'Cálculos'!$E$98)+1400)+'Cálculos'!$E$122)*'Cálculos'!$E$246+'Cálculos'!$E$125*(1+2.78*('Cálculos'!$E$198+(($C128)-$A$120:$A$165)*'Cálculos'!$E$98)/(('Cálculos'!$E$198+(($C128)-$A$120:$A$165)*'Cálculos'!$E$98)+1400)+'Cálculos'!$E$123)*'Cálculos'!$E$251)+('Cálculos'!$E$204*(1+'Cálculos'!$E$205+$A$120:$A$165*('Cálculos'!$E$290=3)*'Cálculos'!$E$103)+'Cálculos'!$E$206)*('Cálculos'!$E$242+'Cálculos'!$E$124*(1+2.78*('Cálculos'!$E$198+(($C128)-$A$120:$A$165)*'Cálculos'!$E$98)/(('Cálculos'!$E$198+(($C128)-$A$120:$A$165)*'Cálculos'!$E$98)+1400)+'Cálculos'!$E$122)*'Cálculos'!$E$247+'Cálculos'!$E$125*(1+2.78*('Cálculos'!$E$198+(($C128)-$A$120:$A$165)*'Cálculos'!$E$98)/(('Cálculos'!$E$198+(($C128)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128)-$A$120:$A$165)*'Cálculos'!$E$98)/(('Cálculos'!$E$199+(($C128)-$A$120:$A$165)*'Cálculos'!$E$98)+1400)+'Cálculos'!$E$122)*'Cálculos'!$E$259+'Cálculos'!$E$125*(1+2.78*('Cálculos'!$E$199+(($C128)-$A$120:$A$165)*'Cálculos'!$E$98)/(('Cálculos'!$E$199+(($C128)-$A$120:$A$165)*'Cálculos'!$E$98)+1400)+'Cálculos'!$E$123)*'Cálculos'!$E$264)+('Cálculos'!$E$199+(($C128)-$A$120:$A$165)*'Cálculos'!$E$98)*('Cálculos'!$E$255+'Cálculos'!$E$124*(1+2.78*('Cálculos'!$E$199+(($C128)-$A$120:$A$165)*'Cálculos'!$E$98)/(('Cálculos'!$E$199+(($C128)-$A$120:$A$165)*'Cálculos'!$E$98)+1400)+'Cálculos'!$E$122)*'Cálculos'!$E$260+'Cálculos'!$E$125*(1+2.78*('Cálculos'!$E$199+(($C128)-$A$120:$A$165)*'Cálculos'!$E$98)/(('Cálculos'!$E$199+(($C128)-$A$120:$A$165)*'Cálculos'!$E$98)+1400)+'Cálculos'!$E$123)*'Cálculos'!$E$265)+('Cálculos'!$E$201*(1+'Cálculos'!$E$202+$A$120:$A$165*('Cálculos'!$E$290=2)*'Cálculos'!$E$101)+'Cálculos'!$E$203)*('Cálculos'!$E$256+'Cálculos'!$E$124*(1+2.78*('Cálculos'!$E$199+(($C128)-$A$120:$A$165)*'Cálculos'!$E$98)/(('Cálculos'!$E$199+(($C128)-$A$120:$A$165)*'Cálculos'!$E$98)+1400)+'Cálculos'!$E$122)*'Cálculos'!$E$261+'Cálculos'!$E$125*(1+2.78*('Cálculos'!$E$199+(($C128)-$A$120:$A$165)*'Cálculos'!$E$98)/(('Cálculos'!$E$199+(($C128)-$A$120:$A$165)*'Cálculos'!$E$98)+1400)+'Cálculos'!$E$123)*'Cálculos'!$E$266)+('Cálculos'!$E$204*(1+'Cálculos'!$E$205+$A$120:$A$165*('Cálculos'!$E$290=3)*'Cálculos'!$E$103)+'Cálculos'!$E$206)*('Cálculos'!$E$257+'Cálculos'!$E$124*(1+2.78*('Cálculos'!$E$199+(($C128)-$A$120:$A$165)*'Cálculos'!$E$98)/(('Cálculos'!$E$199+(($C128)-$A$120:$A$165)*'Cálculos'!$E$98)+1400)+'Cálculos'!$E$122)*'Cálculos'!$E$262+'Cálculos'!$E$125*(1+2.78*('Cálculos'!$E$199+(($C128)-$A$120:$A$165)*'Cálculos'!$E$98)/(('Cálculos'!$E$199+(($C128)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128)-$A$120:$A$165)*'Cálculos'!$E$98)/(('Cálculos'!$E$200+(($C128)-$A$120:$A$165)*'Cálculos'!$E$98)+1400)+'Cálculos'!$E$122)*'Cálculos'!$E$274+'Cálculos'!$E$125*(1+2.78*('Cálculos'!$E$200+(($C128)-$A$120:$A$165)*'Cálculos'!$E$98)/(('Cálculos'!$E$200+(($C128)-$A$120:$A$165)*'Cálculos'!$E$98)+1400)+'Cálculos'!$E$123)*'Cálculos'!$E$279)+('Cálculos'!$E$200+(($C128)-$A$120:$A$165)*'Cálculos'!$E$98)*('Cálculos'!$E$270+'Cálculos'!$E$124*(1+2.78*('Cálculos'!$E$200+(($C128)-$A$120:$A$165)*'Cálculos'!$E$98)/(('Cálculos'!$E$200+(($C128)-$A$120:$A$165)*'Cálculos'!$E$98)+1400)+'Cálculos'!$E$122)*'Cálculos'!$E$275+'Cálculos'!$E$125*(1+2.78*('Cálculos'!$E$200+(($C128)-$A$120:$A$165)*'Cálculos'!$E$98)/(('Cálculos'!$E$200+(($C128)-$A$120:$A$165)*'Cálculos'!$E$98)+1400)+'Cálculos'!$E$123)*'Cálculos'!$E$280)+('Cálculos'!$E$201*(1+'Cálculos'!$E$202+$A$120:$A$165*('Cálculos'!$E$290=2)*'Cálculos'!$E$101)+'Cálculos'!$E$203)*('Cálculos'!$E$271+'Cálculos'!$E$124*(1+2.78*('Cálculos'!$E$200+(($C128)-$A$120:$A$165)*'Cálculos'!$E$98)/(('Cálculos'!$E$200+(($C128)-$A$120:$A$165)*'Cálculos'!$E$98)+1400)+'Cálculos'!$E$122)*'Cálculos'!$E$276+'Cálculos'!$E$125*(1+2.78*('Cálculos'!$E$200+(($C128)-$A$120:$A$165)*'Cálculos'!$E$98)/(('Cálculos'!$E$200+(($C128)-$A$120:$A$165)*'Cálculos'!$E$98)+1400)+'Cálculos'!$E$123)*'Cálculos'!$E$281)+('Cálculos'!$E$204*(1+'Cálculos'!$E$205+$A$120:$A$165*('Cálculos'!$E$290=3)*'Cálculos'!$E$103)+'Cálculos'!$E$206)*('Cálculos'!$E$272+'Cálculos'!$E$124*(1+2.78*('Cálculos'!$E$200+(($C128)-$A$120:$A$165)*'Cálculos'!$E$98)/(('Cálculos'!$E$200+(($C128)-$A$120:$A$165)*'Cálculos'!$E$98)+1400)+'Cálculos'!$E$122)*'Cálculos'!$E$277+'Cálculos'!$E$125*(1+2.78*('Cálculos'!$E$200+(($C128)-$A$120:$A$165)*'Cálculos'!$E$98)/(('Cálculos'!$E$200+(($C128)-$A$120:$A$165)*'Cálculos'!$E$98)+1400)+'Cálculos'!$E$123)*'Cálculos'!$E$282)))))</f>
        <v>20009.84967</v>
      </c>
      <c r="E128" s="32">
        <f>IF(OR($C128&lt;0,'Cálculos'!$E$6=""),0,$B128*$D128)</f>
        <v>30150.92152</v>
      </c>
      <c r="F128" s="2"/>
      <c r="G128" s="30">
        <f>($A128&lt;=$B$167)*($A128&lt;='Cálculos'!$E$294)*(($B$167)-$A128&lt;='Cálculos'!$E$295)*(1+MIN(('Cálculos'!$E$207+$A128*'Cálculos'!$E$95),1)*('Cálculos'!$E$208+(($B$167)-$A128)*'Cálculos'!$E$96))</f>
        <v>1.664742</v>
      </c>
      <c r="H128" s="31">
        <f>IF($B$168&lt;0,0,($A128&lt;=$B$168)*($A128&lt;='Cálculos'!$E$301)*(($B$168)-$A128&lt;='Cálculos'!$E$297)*(('Cálculos'!$E$185*(1+'Cálculos'!$E$186+$A128*('Cálculos'!$E$290=1)*'Cálculos'!$E$97+'Cálculos'!$E$305)+'Cálculos'!$E$191)*('Cálculos'!$E$209+'Cálculos'!$E$124*(1+2.78*('Cálculos'!$E$196+(($B$168)-$A128)*'Cálculos'!$E$98)/(('Cálculos'!$E$196+(($B$168)-$A128)*'Cálculos'!$E$98)+1400)+'Cálculos'!$E$122)*'Cálculos'!$E$214+'Cálculos'!$E$125*(1+2.78*('Cálculos'!$E$196+(($B$168)-$A128)*'Cálculos'!$E$98)/(('Cálculos'!$E$196+(($B$168)-$A128)*'Cálculos'!$E$98)+1400)+'Cálculos'!$E$123)*'Cálculos'!$E$219)+('Cálculos'!$E$196+(($B$168)-$A128)*'Cálculos'!$E$98)*('Cálculos'!$E$210+'Cálculos'!$E$124*(1+2.78*('Cálculos'!$E$196+(($B$168)-$A128)*'Cálculos'!$E$98)/(('Cálculos'!$E$196+(($B$168)-$A128)*'Cálculos'!$E$98)+1400)+'Cálculos'!$E$122)*'Cálculos'!$E$215+'Cálculos'!$E$125*(1+2.78*('Cálculos'!$E$196+(($B$168)-$A128)*'Cálculos'!$E$98)/(('Cálculos'!$E$196+(($B$168)-$A128)*'Cálculos'!$E$98)+1400)+'Cálculos'!$E$123)*'Cálculos'!$E$220)+('Cálculos'!$E$201*(1+'Cálculos'!$E$202+$A128*('Cálculos'!$E$290=2)*'Cálculos'!$E$101)+'Cálculos'!$E$203)*('Cálculos'!$E$211+'Cálculos'!$E$124*(1+2.78*('Cálculos'!$E$196+(($B$168)-$A128)*'Cálculos'!$E$98)/(('Cálculos'!$E$196+(($B$168)-$A128)*'Cálculos'!$E$98)+1400)+'Cálculos'!$E$122)*'Cálculos'!$E$216+'Cálculos'!$E$125*(1+2.78*('Cálculos'!$E$196+(($B$168)-$A128)*'Cálculos'!$E$98)/(('Cálculos'!$E$196+(($B$168)-$A128)*'Cálculos'!$E$98)+1400)+'Cálculos'!$E$123)*'Cálculos'!$E$221)+('Cálculos'!$E$204*(1+'Cálculos'!$E$205+$A128*('Cálculos'!$E$290=3)*'Cálculos'!$E$103)+'Cálculos'!$E$206)*('Cálculos'!$E$212+'Cálculos'!$E$124*(1+2.78*('Cálculos'!$E$196+(($B$168)-$A128)*'Cálculos'!$E$98)/(('Cálculos'!$E$196+(($B$168)-$A128)*'Cálculos'!$E$98)+1400)+'Cálculos'!$E$122)*'Cálculos'!$E$217+'Cálculos'!$E$125*(1+2.78*('Cálculos'!$E$196+(($B$168)-$A128)*'Cálculos'!$E$98)/(('Cálculos'!$E$196+(($B$168)-$A128)*'Cálculos'!$E$98)+1400)+'Cálculos'!$E$123)*'Cálculos'!$E$222)+('Cálculos'!$E$185*(1+'Cálculos'!$E$187+$A128*('Cálculos'!$E$290=1)*'Cálculos'!$E$97+'Cálculos'!$E$305)+'Cálculos'!$E$192)*('Cálculos'!$E$224+'Cálculos'!$E$124*(1+2.78*('Cálculos'!$E$197+(($B$168)-$A128)*'Cálculos'!$E$98)/(('Cálculos'!$E$197+(($B$168)-$A128)*'Cálculos'!$E$98)+1400)+'Cálculos'!$E$122)*'Cálculos'!$E$229+'Cálculos'!$E$125*(1+2.78*('Cálculos'!$E$197+(($B$168)-$A128)*'Cálculos'!$E$98)/(('Cálculos'!$E$197+(($B$168)-$A128)*'Cálculos'!$E$98)+1400)+'Cálculos'!$E$123)*'Cálculos'!$E$234)+('Cálculos'!$E$197+(($B$168)-$A128)*'Cálculos'!$E$98)*('Cálculos'!$E$225+'Cálculos'!$E$124*(1+2.78*('Cálculos'!$E$197+(($B$168)-$A128)*'Cálculos'!$E$98)/(('Cálculos'!$E$197+(($B$168)-$A128)*'Cálculos'!$E$98)+1400)+'Cálculos'!$E$122)*'Cálculos'!$E$230+'Cálculos'!$E$125*(1+2.78*('Cálculos'!$E$197+(($B$168)-$A128)*'Cálculos'!$E$98)/(('Cálculos'!$E$197+(($B$168)-$A128)*'Cálculos'!$E$98)+1400)+'Cálculos'!$E$123)*'Cálculos'!$E$235)+('Cálculos'!$E$201*(1+'Cálculos'!$E$202+$A128*('Cálculos'!$E$290=2)*'Cálculos'!$E$101)+'Cálculos'!$E$203)*('Cálculos'!$E$226+'Cálculos'!$E$124*(1+2.78*('Cálculos'!$E$197+(($B$168)-$A128)*'Cálculos'!$E$98)/(('Cálculos'!$E$197+(($B$168)-$A128)*'Cálculos'!$E$98)+1400)+'Cálculos'!$E$122)*'Cálculos'!$E$231+'Cálculos'!$E$125*(1+2.78*('Cálculos'!$E$197+(($B$168)-$A128)*'Cálculos'!$E$98)/(('Cálculos'!$E$197+(($B$168)-$A128)*'Cálculos'!$E$98)+1400)+'Cálculos'!$E$123)*'Cálculos'!$E$236)+('Cálculos'!$E$204*(1+'Cálculos'!$E$205+$A128*('Cálculos'!$E$290=3)*'Cálculos'!$E$103)+'Cálculos'!$E$206)*('Cálculos'!$E$227+'Cálculos'!$E$124*(1+2.78*('Cálculos'!$E$197+(($B$168)-$A128)*'Cálculos'!$E$98)/(('Cálculos'!$E$197+(($B$168)-$A128)*'Cálculos'!$E$98)+1400)+'Cálculos'!$E$122)*'Cálculos'!$E$232+'Cálculos'!$E$125*(1+2.78*('Cálculos'!$E$197+(($B$168)-$A128)*'Cálculos'!$E$98)/(('Cálculos'!$E$197+(($B$168)-$A128)*'Cálculos'!$E$98)+1400)+'Cálculos'!$E$123)*'Cálculos'!$E$237)+('Cálculos'!$E$185*(1+'Cálculos'!$E$188+$A128*('Cálculos'!$E$290=1)*'Cálculos'!$E$97+'Cálculos'!$E$305)+'Cálculos'!$E$193)*('Cálculos'!$E$239+'Cálculos'!$E$124*(1+2.78*('Cálculos'!$E$198+(($B$168)-$A128)*'Cálculos'!$E$98)/(('Cálculos'!$E$198+(($B$168)-$A128)*'Cálculos'!$E$98)+1400)+'Cálculos'!$E$122)*'Cálculos'!$E$244+'Cálculos'!$E$125*(1+2.78*('Cálculos'!$E$198+(($B$168)-$A128)*'Cálculos'!$E$98)/(('Cálculos'!$E$198+(($B$168)-$A128)*'Cálculos'!$E$98)+1400)+'Cálculos'!$E$123)*'Cálculos'!$E$249)+('Cálculos'!$E$198+(($B$168)-$A128)*'Cálculos'!$E$98)*('Cálculos'!$E$240+'Cálculos'!$E$124*(1+2.78*('Cálculos'!$E$198+(($B$168)-$A128)*'Cálculos'!$E$98)/(('Cálculos'!$E$198+(($B$168)-$A128)*'Cálculos'!$E$98)+1400)+'Cálculos'!$E$122)*'Cálculos'!$E$245+'Cálculos'!$E$125*(1+2.78*('Cálculos'!$E$198+(($B$168)-$A128)*'Cálculos'!$E$98)/(('Cálculos'!$E$198+(($B$168)-$A128)*'Cálculos'!$E$98)+1400)+'Cálculos'!$E$123)*'Cálculos'!$E$250)+('Cálculos'!$E$201*(1+'Cálculos'!$E$202+$A128*('Cálculos'!$E$290=2)*'Cálculos'!$E$101)+'Cálculos'!$E$203)*('Cálculos'!$E$241+'Cálculos'!$E$124*(1+2.78*('Cálculos'!$E$198+(($B$168)-$A128)*'Cálculos'!$E$98)/(('Cálculos'!$E$198+(($B$168)-$A128)*'Cálculos'!$E$98)+1400)+'Cálculos'!$E$122)*'Cálculos'!$E$246+'Cálculos'!$E$125*(1+2.78*('Cálculos'!$E$198+(($B$168)-$A128)*'Cálculos'!$E$98)/(('Cálculos'!$E$198+(($B$168)-$A128)*'Cálculos'!$E$98)+1400)+'Cálculos'!$E$123)*'Cálculos'!$E$251)+('Cálculos'!$E$204*(1+'Cálculos'!$E$205+$A128*('Cálculos'!$E$290=3)*'Cálculos'!$E$103)+'Cálculos'!$E$206)*('Cálculos'!$E$242+'Cálculos'!$E$124*(1+2.78*('Cálculos'!$E$198+(($B$168)-$A128)*'Cálculos'!$E$98)/(('Cálculos'!$E$198+(($B$168)-$A128)*'Cálculos'!$E$98)+1400)+'Cálculos'!$E$122)*'Cálculos'!$E$247+'Cálculos'!$E$125*(1+2.78*('Cálculos'!$E$198+(($B$168)-$A128)*'Cálculos'!$E$98)/(('Cálculos'!$E$198+(($B$168)-$A128)*'Cálculos'!$E$98)+1400)+'Cálculos'!$E$123)*'Cálculos'!$E$252)+('Cálculos'!$E$185*(1+'Cálculos'!$E$189+$A128*('Cálculos'!$E$290=1)*'Cálculos'!$E$97+'Cálculos'!$E$305)+'Cálculos'!$E$194)*('Cálculos'!$E$254+'Cálculos'!$E$124*(1+2.78*('Cálculos'!$E$199+(($B$168)-$A128)*'Cálculos'!$E$98)/(('Cálculos'!$E$199+(($B$168)-$A128)*'Cálculos'!$E$98)+1400)+'Cálculos'!$E$122)*'Cálculos'!$E$259+'Cálculos'!$E$125*(1+2.78*('Cálculos'!$E$199+(($B$168)-$A128)*'Cálculos'!$E$98)/(('Cálculos'!$E$199+(($B$168)-$A128)*'Cálculos'!$E$98)+1400)+'Cálculos'!$E$123)*'Cálculos'!$E$264)+('Cálculos'!$E$199+(($B$168)-$A128)*'Cálculos'!$E$98)*('Cálculos'!$E$255+'Cálculos'!$E$124*(1+2.78*('Cálculos'!$E$199+(($B$168)-$A128)*'Cálculos'!$E$98)/(('Cálculos'!$E$199+(($B$168)-$A128)*'Cálculos'!$E$98)+1400)+'Cálculos'!$E$122)*'Cálculos'!$E$260+'Cálculos'!$E$125*(1+2.78*('Cálculos'!$E$199+(($B$168)-$A128)*'Cálculos'!$E$98)/(('Cálculos'!$E$199+(($B$168)-$A128)*'Cálculos'!$E$98)+1400)+'Cálculos'!$E$123)*'Cálculos'!$E$265)+('Cálculos'!$E$201*(1+'Cálculos'!$E$202+$A128*('Cálculos'!$E$290=2)*'Cálculos'!$E$101)+'Cálculos'!$E$203)*('Cálculos'!$E$256+'Cálculos'!$E$124*(1+2.78*('Cálculos'!$E$199+(($B$168)-$A128)*'Cálculos'!$E$98)/(('Cálculos'!$E$199+(($B$168)-$A128)*'Cálculos'!$E$98)+1400)+'Cálculos'!$E$122)*'Cálculos'!$E$261+'Cálculos'!$E$125*(1+2.78*('Cálculos'!$E$199+(($B$168)-$A128)*'Cálculos'!$E$98)/(('Cálculos'!$E$199+(($B$168)-$A128)*'Cálculos'!$E$98)+1400)+'Cálculos'!$E$123)*'Cálculos'!$E$266)+('Cálculos'!$E$204*(1+'Cálculos'!$E$205+$A128*('Cálculos'!$E$290=3)*'Cálculos'!$E$103)+'Cálculos'!$E$206)*('Cálculos'!$E$257+'Cálculos'!$E$124*(1+2.78*('Cálculos'!$E$199+(($B$168)-$A128)*'Cálculos'!$E$98)/(('Cálculos'!$E$199+(($B$168)-$A128)*'Cálculos'!$E$98)+1400)+'Cálculos'!$E$122)*'Cálculos'!$E$262+'Cálculos'!$E$125*(1+2.78*('Cálculos'!$E$199+(($B$168)-$A128)*'Cálculos'!$E$98)/(('Cálculos'!$E$199+(($B$168)-$A128)*'Cálculos'!$E$98)+1400)+'Cálculos'!$E$123)*'Cálculos'!$E$267)+('Cálculos'!$E$185*(1+'Cálculos'!$E$190+$A128*('Cálculos'!$E$290=1)*'Cálculos'!$E$97+'Cálculos'!$E$305)+'Cálculos'!$E$195)*('Cálculos'!$E$269+'Cálculos'!$E$124*(1+2.78*('Cálculos'!$E$200+(($B$168)-$A128)*'Cálculos'!$E$98)/(('Cálculos'!$E$200+(($B$168)-$A128)*'Cálculos'!$E$98)+1400)+'Cálculos'!$E$122)*'Cálculos'!$E$274+'Cálculos'!$E$125*(1+2.78*('Cálculos'!$E$200+(($B$168)-$A128)*'Cálculos'!$E$98)/(('Cálculos'!$E$200+(($B$168)-$A128)*'Cálculos'!$E$98)+1400)+'Cálculos'!$E$123)*'Cálculos'!$E$279)+('Cálculos'!$E$200+(($B$168)-$A128)*'Cálculos'!$E$98)*('Cálculos'!$E$270+'Cálculos'!$E$124*(1+2.78*('Cálculos'!$E$200+(($B$168)-$A128)*'Cálculos'!$E$98)/(('Cálculos'!$E$200+(($B$168)-$A128)*'Cálculos'!$E$98)+1400)+'Cálculos'!$E$122)*'Cálculos'!$E$275+'Cálculos'!$E$125*(1+2.78*('Cálculos'!$E$200+(($B$168)-$A128)*'Cálculos'!$E$98)/(('Cálculos'!$E$200+(($B$168)-$A128)*'Cálculos'!$E$98)+1400)+'Cálculos'!$E$123)*'Cálculos'!$E$280)+('Cálculos'!$E$201*(1+'Cálculos'!$E$202+$A128*('Cálculos'!$E$290=2)*'Cálculos'!$E$101)+'Cálculos'!$E$203)*('Cálculos'!$E$271+'Cálculos'!$E$124*(1+2.78*('Cálculos'!$E$200+(($B$168)-$A128)*'Cálculos'!$E$98)/(('Cálculos'!$E$200+(($B$168)-$A128)*'Cálculos'!$E$98)+1400)+'Cálculos'!$E$122)*'Cálculos'!$E$276+'Cálculos'!$E$125*(1+2.78*('Cálculos'!$E$200+(($B$168)-$A128)*'Cálculos'!$E$98)/(('Cálculos'!$E$200+(($B$168)-$A128)*'Cálculos'!$E$98)+1400)+'Cálculos'!$E$123)*'Cálculos'!$E$281)+('Cálculos'!$E$204*(1+'Cálculos'!$E$205+$A128*('Cálculos'!$E$290=3)*'Cálculos'!$E$103)+'Cálculos'!$E$206)*('Cálculos'!$E$272+'Cálculos'!$E$124*(1+2.78*('Cálculos'!$E$200+(($B$168)-$A128)*'Cálculos'!$E$98)/(('Cálculos'!$E$200+(($B$168)-$A128)*'Cálculos'!$E$98)+1400)+'Cálculos'!$E$122)*'Cálculos'!$E$277+'Cálculos'!$E$125*(1+2.78*('Cálculos'!$E$200+(($B$168)-$A128)*'Cálculos'!$E$98)/(('Cálculos'!$E$200+(($B$168)-$A128)*'Cálculos'!$E$98)+1400)+'Cálculos'!$E$123)*'Cálculos'!$E$282)))</f>
        <v>0</v>
      </c>
    </row>
    <row r="129" ht="15.75" customHeight="1">
      <c r="A129" s="2">
        <v>9.0</v>
      </c>
      <c r="B129" s="30">
        <f>SUMPRODUCT(MAX(($A$120:$A$165&lt;=$A129)*($A$120:$A$165&lt;='Cálculos'!$E$294)*(($A129)-$A$120:$A$165&lt;='Cálculos'!$E$295)*(1+(('Cálculos'!$E$207+$A$120:$A$165*'Cálculos'!$E$95)-(('Cálculos'!$E$207+$A$120:$A$165*'Cálculos'!$E$95)&gt;1)*(('Cálculos'!$E$207+$A$120:$A$165*'Cálculos'!$E$95)-1))*('Cálculos'!$E$208+(($A129)-$A$120:$A$165)*'Cálculos'!$E$96))))</f>
        <v>1.540728</v>
      </c>
      <c r="C129" s="2">
        <f>'Cálculos'!$E$303-$A129</f>
        <v>4</v>
      </c>
      <c r="D129" s="31">
        <f>IF($C129&lt;0,0,SUMPRODUCT(MAX(($A$120:$A$165&lt;=$C129)*($A$120:$A$165&lt;='Cálculos'!$E$301)*(($C129)-$A$120:$A$165&lt;='Cálculos'!$E$297)*(('Cálculos'!$E$185*(1+'Cálculos'!$E$186+$A$120:$A$165*('Cálculos'!$E$290=1)*'Cálculos'!$E$97+'Cálculos'!$E$305)+'Cálculos'!$E$191)*('Cálculos'!$E$209+'Cálculos'!$E$124*(1+2.78*('Cálculos'!$E$196+(($C129)-$A$120:$A$165)*'Cálculos'!$E$98)/(('Cálculos'!$E$196+(($C129)-$A$120:$A$165)*'Cálculos'!$E$98)+1400)+'Cálculos'!$E$122)*'Cálculos'!$E$214+'Cálculos'!$E$125*(1+2.78*('Cálculos'!$E$196+(($C129)-$A$120:$A$165)*'Cálculos'!$E$98)/(('Cálculos'!$E$196+(($C129)-$A$120:$A$165)*'Cálculos'!$E$98)+1400)+'Cálculos'!$E$123)*'Cálculos'!$E$219)+('Cálculos'!$E$196+(($C129)-$A$120:$A$165)*'Cálculos'!$E$98)*('Cálculos'!$E$210+'Cálculos'!$E$124*(1+2.78*('Cálculos'!$E$196+(($C129)-$A$120:$A$165)*'Cálculos'!$E$98)/(('Cálculos'!$E$196+(($C129)-$A$120:$A$165)*'Cálculos'!$E$98)+1400)+'Cálculos'!$E$122)*'Cálculos'!$E$215+'Cálculos'!$E$125*(1+2.78*('Cálculos'!$E$196+(($C129)-$A$120:$A$165)*'Cálculos'!$E$98)/(('Cálculos'!$E$196+(($C129)-$A$120:$A$165)*'Cálculos'!$E$98)+1400)+'Cálculos'!$E$123)*'Cálculos'!$E$220)+('Cálculos'!$E$201*(1+'Cálculos'!$E$202+$A$120:$A$165*('Cálculos'!$E$290=2)*'Cálculos'!$E$101)+'Cálculos'!$E$203)*('Cálculos'!$E$211+'Cálculos'!$E$124*(1+2.78*('Cálculos'!$E$196+(($C129)-$A$120:$A$165)*'Cálculos'!$E$98)/(('Cálculos'!$E$196+(($C129)-$A$120:$A$165)*'Cálculos'!$E$98)+1400)+'Cálculos'!$E$122)*'Cálculos'!$E$216+'Cálculos'!$E$125*(1+2.78*('Cálculos'!$E$196+(($C129)-$A$120:$A$165)*'Cálculos'!$E$98)/(('Cálculos'!$E$196+(($C129)-$A$120:$A$165)*'Cálculos'!$E$98)+1400)+'Cálculos'!$E$123)*'Cálculos'!$E$221)+('Cálculos'!$E$204*(1+'Cálculos'!$E$205+$A$120:$A$165*('Cálculos'!$E$290=3)*'Cálculos'!$E$103)+'Cálculos'!$E$206)*('Cálculos'!$E$212+'Cálculos'!$E$124*(1+2.78*('Cálculos'!$E$196+(($C129)-$A$120:$A$165)*'Cálculos'!$E$98)/(('Cálculos'!$E$196+(($C129)-$A$120:$A$165)*'Cálculos'!$E$98)+1400)+'Cálculos'!$E$122)*'Cálculos'!$E$217+'Cálculos'!$E$125*(1+2.78*('Cálculos'!$E$196+(($C129)-$A$120:$A$165)*'Cálculos'!$E$98)/(('Cálculos'!$E$196+(($C129)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129)-$A$120:$A$165)*'Cálculos'!$E$98)/(('Cálculos'!$E$197+(($C129)-$A$120:$A$165)*'Cálculos'!$E$98)+1400)+'Cálculos'!$E$122)*'Cálculos'!$E$229+'Cálculos'!$E$125*(1+2.78*('Cálculos'!$E$197+(($C129)-$A$120:$A$165)*'Cálculos'!$E$98)/(('Cálculos'!$E$197+(($C129)-$A$120:$A$165)*'Cálculos'!$E$98)+1400)+'Cálculos'!$E$123)*'Cálculos'!$E$234)+('Cálculos'!$E$197+(($C129)-$A$120:$A$165)*'Cálculos'!$E$98)*('Cálculos'!$E$225+'Cálculos'!$E$124*(1+2.78*('Cálculos'!$E$197+(($C129)-$A$120:$A$165)*'Cálculos'!$E$98)/(('Cálculos'!$E$197+(($C129)-$A$120:$A$165)*'Cálculos'!$E$98)+1400)+'Cálculos'!$E$122)*'Cálculos'!$E$230+'Cálculos'!$E$125*(1+2.78*('Cálculos'!$E$197+(($C129)-$A$120:$A$165)*'Cálculos'!$E$98)/(('Cálculos'!$E$197+(($C129)-$A$120:$A$165)*'Cálculos'!$E$98)+1400)+'Cálculos'!$E$123)*'Cálculos'!$E$235)+('Cálculos'!$E$201*(1+'Cálculos'!$E$202+$A$120:$A$165*('Cálculos'!$E$290=2)*'Cálculos'!$E$101)+'Cálculos'!$E$203)*('Cálculos'!$E$226+'Cálculos'!$E$124*(1+2.78*('Cálculos'!$E$197+(($C129)-$A$120:$A$165)*'Cálculos'!$E$98)/(('Cálculos'!$E$197+(($C129)-$A$120:$A$165)*'Cálculos'!$E$98)+1400)+'Cálculos'!$E$122)*'Cálculos'!$E$231+'Cálculos'!$E$125*(1+2.78*('Cálculos'!$E$197+(($C129)-$A$120:$A$165)*'Cálculos'!$E$98)/(('Cálculos'!$E$197+(($C129)-$A$120:$A$165)*'Cálculos'!$E$98)+1400)+'Cálculos'!$E$123)*'Cálculos'!$E$236)+('Cálculos'!$E$204*(1+'Cálculos'!$E$205+$A$120:$A$165*('Cálculos'!$E$290=3)*'Cálculos'!$E$103)+'Cálculos'!$E$206)*('Cálculos'!$E$227+'Cálculos'!$E$124*(1+2.78*('Cálculos'!$E$197+(($C129)-$A$120:$A$165)*'Cálculos'!$E$98)/(('Cálculos'!$E$197+(($C129)-$A$120:$A$165)*'Cálculos'!$E$98)+1400)+'Cálculos'!$E$122)*'Cálculos'!$E$232+'Cálculos'!$E$125*(1+2.78*('Cálculos'!$E$197+(($C129)-$A$120:$A$165)*'Cálculos'!$E$98)/(('Cálculos'!$E$197+(($C129)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129)-$A$120:$A$165)*'Cálculos'!$E$98)/(('Cálculos'!$E$198+(($C129)-$A$120:$A$165)*'Cálculos'!$E$98)+1400)+'Cálculos'!$E$122)*'Cálculos'!$E$244+'Cálculos'!$E$125*(1+2.78*('Cálculos'!$E$198+(($C129)-$A$120:$A$165)*'Cálculos'!$E$98)/(('Cálculos'!$E$198+(($C129)-$A$120:$A$165)*'Cálculos'!$E$98)+1400)+'Cálculos'!$E$123)*'Cálculos'!$E$249)+('Cálculos'!$E$198+(($C129)-$A$120:$A$165)*'Cálculos'!$E$98)*('Cálculos'!$E$240+'Cálculos'!$E$124*(1+2.78*('Cálculos'!$E$198+(($C129)-$A$120:$A$165)*'Cálculos'!$E$98)/(('Cálculos'!$E$198+(($C129)-$A$120:$A$165)*'Cálculos'!$E$98)+1400)+'Cálculos'!$E$122)*'Cálculos'!$E$245+'Cálculos'!$E$125*(1+2.78*('Cálculos'!$E$198+(($C129)-$A$120:$A$165)*'Cálculos'!$E$98)/(('Cálculos'!$E$198+(($C129)-$A$120:$A$165)*'Cálculos'!$E$98)+1400)+'Cálculos'!$E$123)*'Cálculos'!$E$250)+('Cálculos'!$E$201*(1+'Cálculos'!$E$202+$A$120:$A$165*('Cálculos'!$E$290=2)*'Cálculos'!$E$101)+'Cálculos'!$E$203)*('Cálculos'!$E$241+'Cálculos'!$E$124*(1+2.78*('Cálculos'!$E$198+(($C129)-$A$120:$A$165)*'Cálculos'!$E$98)/(('Cálculos'!$E$198+(($C129)-$A$120:$A$165)*'Cálculos'!$E$98)+1400)+'Cálculos'!$E$122)*'Cálculos'!$E$246+'Cálculos'!$E$125*(1+2.78*('Cálculos'!$E$198+(($C129)-$A$120:$A$165)*'Cálculos'!$E$98)/(('Cálculos'!$E$198+(($C129)-$A$120:$A$165)*'Cálculos'!$E$98)+1400)+'Cálculos'!$E$123)*'Cálculos'!$E$251)+('Cálculos'!$E$204*(1+'Cálculos'!$E$205+$A$120:$A$165*('Cálculos'!$E$290=3)*'Cálculos'!$E$103)+'Cálculos'!$E$206)*('Cálculos'!$E$242+'Cálculos'!$E$124*(1+2.78*('Cálculos'!$E$198+(($C129)-$A$120:$A$165)*'Cálculos'!$E$98)/(('Cálculos'!$E$198+(($C129)-$A$120:$A$165)*'Cálculos'!$E$98)+1400)+'Cálculos'!$E$122)*'Cálculos'!$E$247+'Cálculos'!$E$125*(1+2.78*('Cálculos'!$E$198+(($C129)-$A$120:$A$165)*'Cálculos'!$E$98)/(('Cálculos'!$E$198+(($C129)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129)-$A$120:$A$165)*'Cálculos'!$E$98)/(('Cálculos'!$E$199+(($C129)-$A$120:$A$165)*'Cálculos'!$E$98)+1400)+'Cálculos'!$E$122)*'Cálculos'!$E$259+'Cálculos'!$E$125*(1+2.78*('Cálculos'!$E$199+(($C129)-$A$120:$A$165)*'Cálculos'!$E$98)/(('Cálculos'!$E$199+(($C129)-$A$120:$A$165)*'Cálculos'!$E$98)+1400)+'Cálculos'!$E$123)*'Cálculos'!$E$264)+('Cálculos'!$E$199+(($C129)-$A$120:$A$165)*'Cálculos'!$E$98)*('Cálculos'!$E$255+'Cálculos'!$E$124*(1+2.78*('Cálculos'!$E$199+(($C129)-$A$120:$A$165)*'Cálculos'!$E$98)/(('Cálculos'!$E$199+(($C129)-$A$120:$A$165)*'Cálculos'!$E$98)+1400)+'Cálculos'!$E$122)*'Cálculos'!$E$260+'Cálculos'!$E$125*(1+2.78*('Cálculos'!$E$199+(($C129)-$A$120:$A$165)*'Cálculos'!$E$98)/(('Cálculos'!$E$199+(($C129)-$A$120:$A$165)*'Cálculos'!$E$98)+1400)+'Cálculos'!$E$123)*'Cálculos'!$E$265)+('Cálculos'!$E$201*(1+'Cálculos'!$E$202+$A$120:$A$165*('Cálculos'!$E$290=2)*'Cálculos'!$E$101)+'Cálculos'!$E$203)*('Cálculos'!$E$256+'Cálculos'!$E$124*(1+2.78*('Cálculos'!$E$199+(($C129)-$A$120:$A$165)*'Cálculos'!$E$98)/(('Cálculos'!$E$199+(($C129)-$A$120:$A$165)*'Cálculos'!$E$98)+1400)+'Cálculos'!$E$122)*'Cálculos'!$E$261+'Cálculos'!$E$125*(1+2.78*('Cálculos'!$E$199+(($C129)-$A$120:$A$165)*'Cálculos'!$E$98)/(('Cálculos'!$E$199+(($C129)-$A$120:$A$165)*'Cálculos'!$E$98)+1400)+'Cálculos'!$E$123)*'Cálculos'!$E$266)+('Cálculos'!$E$204*(1+'Cálculos'!$E$205+$A$120:$A$165*('Cálculos'!$E$290=3)*'Cálculos'!$E$103)+'Cálculos'!$E$206)*('Cálculos'!$E$257+'Cálculos'!$E$124*(1+2.78*('Cálculos'!$E$199+(($C129)-$A$120:$A$165)*'Cálculos'!$E$98)/(('Cálculos'!$E$199+(($C129)-$A$120:$A$165)*'Cálculos'!$E$98)+1400)+'Cálculos'!$E$122)*'Cálculos'!$E$262+'Cálculos'!$E$125*(1+2.78*('Cálculos'!$E$199+(($C129)-$A$120:$A$165)*'Cálculos'!$E$98)/(('Cálculos'!$E$199+(($C129)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129)-$A$120:$A$165)*'Cálculos'!$E$98)/(('Cálculos'!$E$200+(($C129)-$A$120:$A$165)*'Cálculos'!$E$98)+1400)+'Cálculos'!$E$122)*'Cálculos'!$E$274+'Cálculos'!$E$125*(1+2.78*('Cálculos'!$E$200+(($C129)-$A$120:$A$165)*'Cálculos'!$E$98)/(('Cálculos'!$E$200+(($C129)-$A$120:$A$165)*'Cálculos'!$E$98)+1400)+'Cálculos'!$E$123)*'Cálculos'!$E$279)+('Cálculos'!$E$200+(($C129)-$A$120:$A$165)*'Cálculos'!$E$98)*('Cálculos'!$E$270+'Cálculos'!$E$124*(1+2.78*('Cálculos'!$E$200+(($C129)-$A$120:$A$165)*'Cálculos'!$E$98)/(('Cálculos'!$E$200+(($C129)-$A$120:$A$165)*'Cálculos'!$E$98)+1400)+'Cálculos'!$E$122)*'Cálculos'!$E$275+'Cálculos'!$E$125*(1+2.78*('Cálculos'!$E$200+(($C129)-$A$120:$A$165)*'Cálculos'!$E$98)/(('Cálculos'!$E$200+(($C129)-$A$120:$A$165)*'Cálculos'!$E$98)+1400)+'Cálculos'!$E$123)*'Cálculos'!$E$280)+('Cálculos'!$E$201*(1+'Cálculos'!$E$202+$A$120:$A$165*('Cálculos'!$E$290=2)*'Cálculos'!$E$101)+'Cálculos'!$E$203)*('Cálculos'!$E$271+'Cálculos'!$E$124*(1+2.78*('Cálculos'!$E$200+(($C129)-$A$120:$A$165)*'Cálculos'!$E$98)/(('Cálculos'!$E$200+(($C129)-$A$120:$A$165)*'Cálculos'!$E$98)+1400)+'Cálculos'!$E$122)*'Cálculos'!$E$276+'Cálculos'!$E$125*(1+2.78*('Cálculos'!$E$200+(($C129)-$A$120:$A$165)*'Cálculos'!$E$98)/(('Cálculos'!$E$200+(($C129)-$A$120:$A$165)*'Cálculos'!$E$98)+1400)+'Cálculos'!$E$123)*'Cálculos'!$E$281)+('Cálculos'!$E$204*(1+'Cálculos'!$E$205+$A$120:$A$165*('Cálculos'!$E$290=3)*'Cálculos'!$E$103)+'Cálculos'!$E$206)*('Cálculos'!$E$272+'Cálculos'!$E$124*(1+2.78*('Cálculos'!$E$200+(($C129)-$A$120:$A$165)*'Cálculos'!$E$98)/(('Cálculos'!$E$200+(($C129)-$A$120:$A$165)*'Cálculos'!$E$98)+1400)+'Cálculos'!$E$122)*'Cálculos'!$E$277+'Cálculos'!$E$125*(1+2.78*('Cálculos'!$E$200+(($C129)-$A$120:$A$165)*'Cálculos'!$E$98)/(('Cálculos'!$E$200+(($C129)-$A$120:$A$165)*'Cálculos'!$E$98)+1400)+'Cálculos'!$E$123)*'Cálculos'!$E$282)))))</f>
        <v>19723.88673</v>
      </c>
      <c r="E129" s="32">
        <f>IF(OR($C129&lt;0,'Cálculos'!$E$6=""),0,$B129*$D129)</f>
        <v>30389.14456</v>
      </c>
      <c r="F129" s="2"/>
      <c r="G129" s="30">
        <f>($A129&lt;=$B$167)*($A129&lt;='Cálculos'!$E$294)*(($B$167)-$A129&lt;='Cálculos'!$E$295)*(1+MIN(('Cálculos'!$E$207+$A129*'Cálculos'!$E$95),1)*('Cálculos'!$E$208+(($B$167)-$A129)*'Cálculos'!$E$96))</f>
        <v>1.648704</v>
      </c>
      <c r="H129" s="31">
        <f>IF($B$168&lt;0,0,($A129&lt;=$B$168)*($A129&lt;='Cálculos'!$E$301)*(($B$168)-$A129&lt;='Cálculos'!$E$297)*(('Cálculos'!$E$185*(1+'Cálculos'!$E$186+$A129*('Cálculos'!$E$290=1)*'Cálculos'!$E$97+'Cálculos'!$E$305)+'Cálculos'!$E$191)*('Cálculos'!$E$209+'Cálculos'!$E$124*(1+2.78*('Cálculos'!$E$196+(($B$168)-$A129)*'Cálculos'!$E$98)/(('Cálculos'!$E$196+(($B$168)-$A129)*'Cálculos'!$E$98)+1400)+'Cálculos'!$E$122)*'Cálculos'!$E$214+'Cálculos'!$E$125*(1+2.78*('Cálculos'!$E$196+(($B$168)-$A129)*'Cálculos'!$E$98)/(('Cálculos'!$E$196+(($B$168)-$A129)*'Cálculos'!$E$98)+1400)+'Cálculos'!$E$123)*'Cálculos'!$E$219)+('Cálculos'!$E$196+(($B$168)-$A129)*'Cálculos'!$E$98)*('Cálculos'!$E$210+'Cálculos'!$E$124*(1+2.78*('Cálculos'!$E$196+(($B$168)-$A129)*'Cálculos'!$E$98)/(('Cálculos'!$E$196+(($B$168)-$A129)*'Cálculos'!$E$98)+1400)+'Cálculos'!$E$122)*'Cálculos'!$E$215+'Cálculos'!$E$125*(1+2.78*('Cálculos'!$E$196+(($B$168)-$A129)*'Cálculos'!$E$98)/(('Cálculos'!$E$196+(($B$168)-$A129)*'Cálculos'!$E$98)+1400)+'Cálculos'!$E$123)*'Cálculos'!$E$220)+('Cálculos'!$E$201*(1+'Cálculos'!$E$202+$A129*('Cálculos'!$E$290=2)*'Cálculos'!$E$101)+'Cálculos'!$E$203)*('Cálculos'!$E$211+'Cálculos'!$E$124*(1+2.78*('Cálculos'!$E$196+(($B$168)-$A129)*'Cálculos'!$E$98)/(('Cálculos'!$E$196+(($B$168)-$A129)*'Cálculos'!$E$98)+1400)+'Cálculos'!$E$122)*'Cálculos'!$E$216+'Cálculos'!$E$125*(1+2.78*('Cálculos'!$E$196+(($B$168)-$A129)*'Cálculos'!$E$98)/(('Cálculos'!$E$196+(($B$168)-$A129)*'Cálculos'!$E$98)+1400)+'Cálculos'!$E$123)*'Cálculos'!$E$221)+('Cálculos'!$E$204*(1+'Cálculos'!$E$205+$A129*('Cálculos'!$E$290=3)*'Cálculos'!$E$103)+'Cálculos'!$E$206)*('Cálculos'!$E$212+'Cálculos'!$E$124*(1+2.78*('Cálculos'!$E$196+(($B$168)-$A129)*'Cálculos'!$E$98)/(('Cálculos'!$E$196+(($B$168)-$A129)*'Cálculos'!$E$98)+1400)+'Cálculos'!$E$122)*'Cálculos'!$E$217+'Cálculos'!$E$125*(1+2.78*('Cálculos'!$E$196+(($B$168)-$A129)*'Cálculos'!$E$98)/(('Cálculos'!$E$196+(($B$168)-$A129)*'Cálculos'!$E$98)+1400)+'Cálculos'!$E$123)*'Cálculos'!$E$222)+('Cálculos'!$E$185*(1+'Cálculos'!$E$187+$A129*('Cálculos'!$E$290=1)*'Cálculos'!$E$97+'Cálculos'!$E$305)+'Cálculos'!$E$192)*('Cálculos'!$E$224+'Cálculos'!$E$124*(1+2.78*('Cálculos'!$E$197+(($B$168)-$A129)*'Cálculos'!$E$98)/(('Cálculos'!$E$197+(($B$168)-$A129)*'Cálculos'!$E$98)+1400)+'Cálculos'!$E$122)*'Cálculos'!$E$229+'Cálculos'!$E$125*(1+2.78*('Cálculos'!$E$197+(($B$168)-$A129)*'Cálculos'!$E$98)/(('Cálculos'!$E$197+(($B$168)-$A129)*'Cálculos'!$E$98)+1400)+'Cálculos'!$E$123)*'Cálculos'!$E$234)+('Cálculos'!$E$197+(($B$168)-$A129)*'Cálculos'!$E$98)*('Cálculos'!$E$225+'Cálculos'!$E$124*(1+2.78*('Cálculos'!$E$197+(($B$168)-$A129)*'Cálculos'!$E$98)/(('Cálculos'!$E$197+(($B$168)-$A129)*'Cálculos'!$E$98)+1400)+'Cálculos'!$E$122)*'Cálculos'!$E$230+'Cálculos'!$E$125*(1+2.78*('Cálculos'!$E$197+(($B$168)-$A129)*'Cálculos'!$E$98)/(('Cálculos'!$E$197+(($B$168)-$A129)*'Cálculos'!$E$98)+1400)+'Cálculos'!$E$123)*'Cálculos'!$E$235)+('Cálculos'!$E$201*(1+'Cálculos'!$E$202+$A129*('Cálculos'!$E$290=2)*'Cálculos'!$E$101)+'Cálculos'!$E$203)*('Cálculos'!$E$226+'Cálculos'!$E$124*(1+2.78*('Cálculos'!$E$197+(($B$168)-$A129)*'Cálculos'!$E$98)/(('Cálculos'!$E$197+(($B$168)-$A129)*'Cálculos'!$E$98)+1400)+'Cálculos'!$E$122)*'Cálculos'!$E$231+'Cálculos'!$E$125*(1+2.78*('Cálculos'!$E$197+(($B$168)-$A129)*'Cálculos'!$E$98)/(('Cálculos'!$E$197+(($B$168)-$A129)*'Cálculos'!$E$98)+1400)+'Cálculos'!$E$123)*'Cálculos'!$E$236)+('Cálculos'!$E$204*(1+'Cálculos'!$E$205+$A129*('Cálculos'!$E$290=3)*'Cálculos'!$E$103)+'Cálculos'!$E$206)*('Cálculos'!$E$227+'Cálculos'!$E$124*(1+2.78*('Cálculos'!$E$197+(($B$168)-$A129)*'Cálculos'!$E$98)/(('Cálculos'!$E$197+(($B$168)-$A129)*'Cálculos'!$E$98)+1400)+'Cálculos'!$E$122)*'Cálculos'!$E$232+'Cálculos'!$E$125*(1+2.78*('Cálculos'!$E$197+(($B$168)-$A129)*'Cálculos'!$E$98)/(('Cálculos'!$E$197+(($B$168)-$A129)*'Cálculos'!$E$98)+1400)+'Cálculos'!$E$123)*'Cálculos'!$E$237)+('Cálculos'!$E$185*(1+'Cálculos'!$E$188+$A129*('Cálculos'!$E$290=1)*'Cálculos'!$E$97+'Cálculos'!$E$305)+'Cálculos'!$E$193)*('Cálculos'!$E$239+'Cálculos'!$E$124*(1+2.78*('Cálculos'!$E$198+(($B$168)-$A129)*'Cálculos'!$E$98)/(('Cálculos'!$E$198+(($B$168)-$A129)*'Cálculos'!$E$98)+1400)+'Cálculos'!$E$122)*'Cálculos'!$E$244+'Cálculos'!$E$125*(1+2.78*('Cálculos'!$E$198+(($B$168)-$A129)*'Cálculos'!$E$98)/(('Cálculos'!$E$198+(($B$168)-$A129)*'Cálculos'!$E$98)+1400)+'Cálculos'!$E$123)*'Cálculos'!$E$249)+('Cálculos'!$E$198+(($B$168)-$A129)*'Cálculos'!$E$98)*('Cálculos'!$E$240+'Cálculos'!$E$124*(1+2.78*('Cálculos'!$E$198+(($B$168)-$A129)*'Cálculos'!$E$98)/(('Cálculos'!$E$198+(($B$168)-$A129)*'Cálculos'!$E$98)+1400)+'Cálculos'!$E$122)*'Cálculos'!$E$245+'Cálculos'!$E$125*(1+2.78*('Cálculos'!$E$198+(($B$168)-$A129)*'Cálculos'!$E$98)/(('Cálculos'!$E$198+(($B$168)-$A129)*'Cálculos'!$E$98)+1400)+'Cálculos'!$E$123)*'Cálculos'!$E$250)+('Cálculos'!$E$201*(1+'Cálculos'!$E$202+$A129*('Cálculos'!$E$290=2)*'Cálculos'!$E$101)+'Cálculos'!$E$203)*('Cálculos'!$E$241+'Cálculos'!$E$124*(1+2.78*('Cálculos'!$E$198+(($B$168)-$A129)*'Cálculos'!$E$98)/(('Cálculos'!$E$198+(($B$168)-$A129)*'Cálculos'!$E$98)+1400)+'Cálculos'!$E$122)*'Cálculos'!$E$246+'Cálculos'!$E$125*(1+2.78*('Cálculos'!$E$198+(($B$168)-$A129)*'Cálculos'!$E$98)/(('Cálculos'!$E$198+(($B$168)-$A129)*'Cálculos'!$E$98)+1400)+'Cálculos'!$E$123)*'Cálculos'!$E$251)+('Cálculos'!$E$204*(1+'Cálculos'!$E$205+$A129*('Cálculos'!$E$290=3)*'Cálculos'!$E$103)+'Cálculos'!$E$206)*('Cálculos'!$E$242+'Cálculos'!$E$124*(1+2.78*('Cálculos'!$E$198+(($B$168)-$A129)*'Cálculos'!$E$98)/(('Cálculos'!$E$198+(($B$168)-$A129)*'Cálculos'!$E$98)+1400)+'Cálculos'!$E$122)*'Cálculos'!$E$247+'Cálculos'!$E$125*(1+2.78*('Cálculos'!$E$198+(($B$168)-$A129)*'Cálculos'!$E$98)/(('Cálculos'!$E$198+(($B$168)-$A129)*'Cálculos'!$E$98)+1400)+'Cálculos'!$E$123)*'Cálculos'!$E$252)+('Cálculos'!$E$185*(1+'Cálculos'!$E$189+$A129*('Cálculos'!$E$290=1)*'Cálculos'!$E$97+'Cálculos'!$E$305)+'Cálculos'!$E$194)*('Cálculos'!$E$254+'Cálculos'!$E$124*(1+2.78*('Cálculos'!$E$199+(($B$168)-$A129)*'Cálculos'!$E$98)/(('Cálculos'!$E$199+(($B$168)-$A129)*'Cálculos'!$E$98)+1400)+'Cálculos'!$E$122)*'Cálculos'!$E$259+'Cálculos'!$E$125*(1+2.78*('Cálculos'!$E$199+(($B$168)-$A129)*'Cálculos'!$E$98)/(('Cálculos'!$E$199+(($B$168)-$A129)*'Cálculos'!$E$98)+1400)+'Cálculos'!$E$123)*'Cálculos'!$E$264)+('Cálculos'!$E$199+(($B$168)-$A129)*'Cálculos'!$E$98)*('Cálculos'!$E$255+'Cálculos'!$E$124*(1+2.78*('Cálculos'!$E$199+(($B$168)-$A129)*'Cálculos'!$E$98)/(('Cálculos'!$E$199+(($B$168)-$A129)*'Cálculos'!$E$98)+1400)+'Cálculos'!$E$122)*'Cálculos'!$E$260+'Cálculos'!$E$125*(1+2.78*('Cálculos'!$E$199+(($B$168)-$A129)*'Cálculos'!$E$98)/(('Cálculos'!$E$199+(($B$168)-$A129)*'Cálculos'!$E$98)+1400)+'Cálculos'!$E$123)*'Cálculos'!$E$265)+('Cálculos'!$E$201*(1+'Cálculos'!$E$202+$A129*('Cálculos'!$E$290=2)*'Cálculos'!$E$101)+'Cálculos'!$E$203)*('Cálculos'!$E$256+'Cálculos'!$E$124*(1+2.78*('Cálculos'!$E$199+(($B$168)-$A129)*'Cálculos'!$E$98)/(('Cálculos'!$E$199+(($B$168)-$A129)*'Cálculos'!$E$98)+1400)+'Cálculos'!$E$122)*'Cálculos'!$E$261+'Cálculos'!$E$125*(1+2.78*('Cálculos'!$E$199+(($B$168)-$A129)*'Cálculos'!$E$98)/(('Cálculos'!$E$199+(($B$168)-$A129)*'Cálculos'!$E$98)+1400)+'Cálculos'!$E$123)*'Cálculos'!$E$266)+('Cálculos'!$E$204*(1+'Cálculos'!$E$205+$A129*('Cálculos'!$E$290=3)*'Cálculos'!$E$103)+'Cálculos'!$E$206)*('Cálculos'!$E$257+'Cálculos'!$E$124*(1+2.78*('Cálculos'!$E$199+(($B$168)-$A129)*'Cálculos'!$E$98)/(('Cálculos'!$E$199+(($B$168)-$A129)*'Cálculos'!$E$98)+1400)+'Cálculos'!$E$122)*'Cálculos'!$E$262+'Cálculos'!$E$125*(1+2.78*('Cálculos'!$E$199+(($B$168)-$A129)*'Cálculos'!$E$98)/(('Cálculos'!$E$199+(($B$168)-$A129)*'Cálculos'!$E$98)+1400)+'Cálculos'!$E$123)*'Cálculos'!$E$267)+('Cálculos'!$E$185*(1+'Cálculos'!$E$190+$A129*('Cálculos'!$E$290=1)*'Cálculos'!$E$97+'Cálculos'!$E$305)+'Cálculos'!$E$195)*('Cálculos'!$E$269+'Cálculos'!$E$124*(1+2.78*('Cálculos'!$E$200+(($B$168)-$A129)*'Cálculos'!$E$98)/(('Cálculos'!$E$200+(($B$168)-$A129)*'Cálculos'!$E$98)+1400)+'Cálculos'!$E$122)*'Cálculos'!$E$274+'Cálculos'!$E$125*(1+2.78*('Cálculos'!$E$200+(($B$168)-$A129)*'Cálculos'!$E$98)/(('Cálculos'!$E$200+(($B$168)-$A129)*'Cálculos'!$E$98)+1400)+'Cálculos'!$E$123)*'Cálculos'!$E$279)+('Cálculos'!$E$200+(($B$168)-$A129)*'Cálculos'!$E$98)*('Cálculos'!$E$270+'Cálculos'!$E$124*(1+2.78*('Cálculos'!$E$200+(($B$168)-$A129)*'Cálculos'!$E$98)/(('Cálculos'!$E$200+(($B$168)-$A129)*'Cálculos'!$E$98)+1400)+'Cálculos'!$E$122)*'Cálculos'!$E$275+'Cálculos'!$E$125*(1+2.78*('Cálculos'!$E$200+(($B$168)-$A129)*'Cálculos'!$E$98)/(('Cálculos'!$E$200+(($B$168)-$A129)*'Cálculos'!$E$98)+1400)+'Cálculos'!$E$123)*'Cálculos'!$E$280)+('Cálculos'!$E$201*(1+'Cálculos'!$E$202+$A129*('Cálculos'!$E$290=2)*'Cálculos'!$E$101)+'Cálculos'!$E$203)*('Cálculos'!$E$271+'Cálculos'!$E$124*(1+2.78*('Cálculos'!$E$200+(($B$168)-$A129)*'Cálculos'!$E$98)/(('Cálculos'!$E$200+(($B$168)-$A129)*'Cálculos'!$E$98)+1400)+'Cálculos'!$E$122)*'Cálculos'!$E$276+'Cálculos'!$E$125*(1+2.78*('Cálculos'!$E$200+(($B$168)-$A129)*'Cálculos'!$E$98)/(('Cálculos'!$E$200+(($B$168)-$A129)*'Cálculos'!$E$98)+1400)+'Cálculos'!$E$123)*'Cálculos'!$E$281)+('Cálculos'!$E$204*(1+'Cálculos'!$E$205+$A129*('Cálculos'!$E$290=3)*'Cálculos'!$E$103)+'Cálculos'!$E$206)*('Cálculos'!$E$272+'Cálculos'!$E$124*(1+2.78*('Cálculos'!$E$200+(($B$168)-$A129)*'Cálculos'!$E$98)/(('Cálculos'!$E$200+(($B$168)-$A129)*'Cálculos'!$E$98)+1400)+'Cálculos'!$E$122)*'Cálculos'!$E$277+'Cálculos'!$E$125*(1+2.78*('Cálculos'!$E$200+(($B$168)-$A129)*'Cálculos'!$E$98)/(('Cálculos'!$E$200+(($B$168)-$A129)*'Cálculos'!$E$98)+1400)+'Cálculos'!$E$123)*'Cálculos'!$E$282)))</f>
        <v>0</v>
      </c>
    </row>
    <row r="130" ht="15.75" customHeight="1">
      <c r="A130" s="2">
        <v>10.0</v>
      </c>
      <c r="B130" s="30">
        <f>SUMPRODUCT(MAX(($A$120:$A$165&lt;=$A130)*($A$120:$A$165&lt;='Cálculos'!$E$294)*(($A130)-$A$120:$A$165&lt;='Cálculos'!$E$295)*(1+(('Cálculos'!$E$207+$A$120:$A$165*'Cálculos'!$E$95)-(('Cálculos'!$E$207+$A$120:$A$165*'Cálculos'!$E$95)&gt;1)*(('Cálculos'!$E$207+$A$120:$A$165*'Cálculos'!$E$95)-1))*('Cálculos'!$E$208+(($A130)-$A$120:$A$165)*'Cálculos'!$E$96))))</f>
        <v>1.575444</v>
      </c>
      <c r="C130" s="2">
        <f>'Cálculos'!$E$303-$A130</f>
        <v>3</v>
      </c>
      <c r="D130" s="31">
        <f>IF($C130&lt;0,0,SUMPRODUCT(MAX(($A$120:$A$165&lt;=$C130)*($A$120:$A$165&lt;='Cálculos'!$E$301)*(($C130)-$A$120:$A$165&lt;='Cálculos'!$E$297)*(('Cálculos'!$E$185*(1+'Cálculos'!$E$186+$A$120:$A$165*('Cálculos'!$E$290=1)*'Cálculos'!$E$97+'Cálculos'!$E$305)+'Cálculos'!$E$191)*('Cálculos'!$E$209+'Cálculos'!$E$124*(1+2.78*('Cálculos'!$E$196+(($C130)-$A$120:$A$165)*'Cálculos'!$E$98)/(('Cálculos'!$E$196+(($C130)-$A$120:$A$165)*'Cálculos'!$E$98)+1400)+'Cálculos'!$E$122)*'Cálculos'!$E$214+'Cálculos'!$E$125*(1+2.78*('Cálculos'!$E$196+(($C130)-$A$120:$A$165)*'Cálculos'!$E$98)/(('Cálculos'!$E$196+(($C130)-$A$120:$A$165)*'Cálculos'!$E$98)+1400)+'Cálculos'!$E$123)*'Cálculos'!$E$219)+('Cálculos'!$E$196+(($C130)-$A$120:$A$165)*'Cálculos'!$E$98)*('Cálculos'!$E$210+'Cálculos'!$E$124*(1+2.78*('Cálculos'!$E$196+(($C130)-$A$120:$A$165)*'Cálculos'!$E$98)/(('Cálculos'!$E$196+(($C130)-$A$120:$A$165)*'Cálculos'!$E$98)+1400)+'Cálculos'!$E$122)*'Cálculos'!$E$215+'Cálculos'!$E$125*(1+2.78*('Cálculos'!$E$196+(($C130)-$A$120:$A$165)*'Cálculos'!$E$98)/(('Cálculos'!$E$196+(($C130)-$A$120:$A$165)*'Cálculos'!$E$98)+1400)+'Cálculos'!$E$123)*'Cálculos'!$E$220)+('Cálculos'!$E$201*(1+'Cálculos'!$E$202+$A$120:$A$165*('Cálculos'!$E$290=2)*'Cálculos'!$E$101)+'Cálculos'!$E$203)*('Cálculos'!$E$211+'Cálculos'!$E$124*(1+2.78*('Cálculos'!$E$196+(($C130)-$A$120:$A$165)*'Cálculos'!$E$98)/(('Cálculos'!$E$196+(($C130)-$A$120:$A$165)*'Cálculos'!$E$98)+1400)+'Cálculos'!$E$122)*'Cálculos'!$E$216+'Cálculos'!$E$125*(1+2.78*('Cálculos'!$E$196+(($C130)-$A$120:$A$165)*'Cálculos'!$E$98)/(('Cálculos'!$E$196+(($C130)-$A$120:$A$165)*'Cálculos'!$E$98)+1400)+'Cálculos'!$E$123)*'Cálculos'!$E$221)+('Cálculos'!$E$204*(1+'Cálculos'!$E$205+$A$120:$A$165*('Cálculos'!$E$290=3)*'Cálculos'!$E$103)+'Cálculos'!$E$206)*('Cálculos'!$E$212+'Cálculos'!$E$124*(1+2.78*('Cálculos'!$E$196+(($C130)-$A$120:$A$165)*'Cálculos'!$E$98)/(('Cálculos'!$E$196+(($C130)-$A$120:$A$165)*'Cálculos'!$E$98)+1400)+'Cálculos'!$E$122)*'Cálculos'!$E$217+'Cálculos'!$E$125*(1+2.78*('Cálculos'!$E$196+(($C130)-$A$120:$A$165)*'Cálculos'!$E$98)/(('Cálculos'!$E$196+(($C130)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130)-$A$120:$A$165)*'Cálculos'!$E$98)/(('Cálculos'!$E$197+(($C130)-$A$120:$A$165)*'Cálculos'!$E$98)+1400)+'Cálculos'!$E$122)*'Cálculos'!$E$229+'Cálculos'!$E$125*(1+2.78*('Cálculos'!$E$197+(($C130)-$A$120:$A$165)*'Cálculos'!$E$98)/(('Cálculos'!$E$197+(($C130)-$A$120:$A$165)*'Cálculos'!$E$98)+1400)+'Cálculos'!$E$123)*'Cálculos'!$E$234)+('Cálculos'!$E$197+(($C130)-$A$120:$A$165)*'Cálculos'!$E$98)*('Cálculos'!$E$225+'Cálculos'!$E$124*(1+2.78*('Cálculos'!$E$197+(($C130)-$A$120:$A$165)*'Cálculos'!$E$98)/(('Cálculos'!$E$197+(($C130)-$A$120:$A$165)*'Cálculos'!$E$98)+1400)+'Cálculos'!$E$122)*'Cálculos'!$E$230+'Cálculos'!$E$125*(1+2.78*('Cálculos'!$E$197+(($C130)-$A$120:$A$165)*'Cálculos'!$E$98)/(('Cálculos'!$E$197+(($C130)-$A$120:$A$165)*'Cálculos'!$E$98)+1400)+'Cálculos'!$E$123)*'Cálculos'!$E$235)+('Cálculos'!$E$201*(1+'Cálculos'!$E$202+$A$120:$A$165*('Cálculos'!$E$290=2)*'Cálculos'!$E$101)+'Cálculos'!$E$203)*('Cálculos'!$E$226+'Cálculos'!$E$124*(1+2.78*('Cálculos'!$E$197+(($C130)-$A$120:$A$165)*'Cálculos'!$E$98)/(('Cálculos'!$E$197+(($C130)-$A$120:$A$165)*'Cálculos'!$E$98)+1400)+'Cálculos'!$E$122)*'Cálculos'!$E$231+'Cálculos'!$E$125*(1+2.78*('Cálculos'!$E$197+(($C130)-$A$120:$A$165)*'Cálculos'!$E$98)/(('Cálculos'!$E$197+(($C130)-$A$120:$A$165)*'Cálculos'!$E$98)+1400)+'Cálculos'!$E$123)*'Cálculos'!$E$236)+('Cálculos'!$E$204*(1+'Cálculos'!$E$205+$A$120:$A$165*('Cálculos'!$E$290=3)*'Cálculos'!$E$103)+'Cálculos'!$E$206)*('Cálculos'!$E$227+'Cálculos'!$E$124*(1+2.78*('Cálculos'!$E$197+(($C130)-$A$120:$A$165)*'Cálculos'!$E$98)/(('Cálculos'!$E$197+(($C130)-$A$120:$A$165)*'Cálculos'!$E$98)+1400)+'Cálculos'!$E$122)*'Cálculos'!$E$232+'Cálculos'!$E$125*(1+2.78*('Cálculos'!$E$197+(($C130)-$A$120:$A$165)*'Cálculos'!$E$98)/(('Cálculos'!$E$197+(($C130)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130)-$A$120:$A$165)*'Cálculos'!$E$98)/(('Cálculos'!$E$198+(($C130)-$A$120:$A$165)*'Cálculos'!$E$98)+1400)+'Cálculos'!$E$122)*'Cálculos'!$E$244+'Cálculos'!$E$125*(1+2.78*('Cálculos'!$E$198+(($C130)-$A$120:$A$165)*'Cálculos'!$E$98)/(('Cálculos'!$E$198+(($C130)-$A$120:$A$165)*'Cálculos'!$E$98)+1400)+'Cálculos'!$E$123)*'Cálculos'!$E$249)+('Cálculos'!$E$198+(($C130)-$A$120:$A$165)*'Cálculos'!$E$98)*('Cálculos'!$E$240+'Cálculos'!$E$124*(1+2.78*('Cálculos'!$E$198+(($C130)-$A$120:$A$165)*'Cálculos'!$E$98)/(('Cálculos'!$E$198+(($C130)-$A$120:$A$165)*'Cálculos'!$E$98)+1400)+'Cálculos'!$E$122)*'Cálculos'!$E$245+'Cálculos'!$E$125*(1+2.78*('Cálculos'!$E$198+(($C130)-$A$120:$A$165)*'Cálculos'!$E$98)/(('Cálculos'!$E$198+(($C130)-$A$120:$A$165)*'Cálculos'!$E$98)+1400)+'Cálculos'!$E$123)*'Cálculos'!$E$250)+('Cálculos'!$E$201*(1+'Cálculos'!$E$202+$A$120:$A$165*('Cálculos'!$E$290=2)*'Cálculos'!$E$101)+'Cálculos'!$E$203)*('Cálculos'!$E$241+'Cálculos'!$E$124*(1+2.78*('Cálculos'!$E$198+(($C130)-$A$120:$A$165)*'Cálculos'!$E$98)/(('Cálculos'!$E$198+(($C130)-$A$120:$A$165)*'Cálculos'!$E$98)+1400)+'Cálculos'!$E$122)*'Cálculos'!$E$246+'Cálculos'!$E$125*(1+2.78*('Cálculos'!$E$198+(($C130)-$A$120:$A$165)*'Cálculos'!$E$98)/(('Cálculos'!$E$198+(($C130)-$A$120:$A$165)*'Cálculos'!$E$98)+1400)+'Cálculos'!$E$123)*'Cálculos'!$E$251)+('Cálculos'!$E$204*(1+'Cálculos'!$E$205+$A$120:$A$165*('Cálculos'!$E$290=3)*'Cálculos'!$E$103)+'Cálculos'!$E$206)*('Cálculos'!$E$242+'Cálculos'!$E$124*(1+2.78*('Cálculos'!$E$198+(($C130)-$A$120:$A$165)*'Cálculos'!$E$98)/(('Cálculos'!$E$198+(($C130)-$A$120:$A$165)*'Cálculos'!$E$98)+1400)+'Cálculos'!$E$122)*'Cálculos'!$E$247+'Cálculos'!$E$125*(1+2.78*('Cálculos'!$E$198+(($C130)-$A$120:$A$165)*'Cálculos'!$E$98)/(('Cálculos'!$E$198+(($C130)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130)-$A$120:$A$165)*'Cálculos'!$E$98)/(('Cálculos'!$E$199+(($C130)-$A$120:$A$165)*'Cálculos'!$E$98)+1400)+'Cálculos'!$E$122)*'Cálculos'!$E$259+'Cálculos'!$E$125*(1+2.78*('Cálculos'!$E$199+(($C130)-$A$120:$A$165)*'Cálculos'!$E$98)/(('Cálculos'!$E$199+(($C130)-$A$120:$A$165)*'Cálculos'!$E$98)+1400)+'Cálculos'!$E$123)*'Cálculos'!$E$264)+('Cálculos'!$E$199+(($C130)-$A$120:$A$165)*'Cálculos'!$E$98)*('Cálculos'!$E$255+'Cálculos'!$E$124*(1+2.78*('Cálculos'!$E$199+(($C130)-$A$120:$A$165)*'Cálculos'!$E$98)/(('Cálculos'!$E$199+(($C130)-$A$120:$A$165)*'Cálculos'!$E$98)+1400)+'Cálculos'!$E$122)*'Cálculos'!$E$260+'Cálculos'!$E$125*(1+2.78*('Cálculos'!$E$199+(($C130)-$A$120:$A$165)*'Cálculos'!$E$98)/(('Cálculos'!$E$199+(($C130)-$A$120:$A$165)*'Cálculos'!$E$98)+1400)+'Cálculos'!$E$123)*'Cálculos'!$E$265)+('Cálculos'!$E$201*(1+'Cálculos'!$E$202+$A$120:$A$165*('Cálculos'!$E$290=2)*'Cálculos'!$E$101)+'Cálculos'!$E$203)*('Cálculos'!$E$256+'Cálculos'!$E$124*(1+2.78*('Cálculos'!$E$199+(($C130)-$A$120:$A$165)*'Cálculos'!$E$98)/(('Cálculos'!$E$199+(($C130)-$A$120:$A$165)*'Cálculos'!$E$98)+1400)+'Cálculos'!$E$122)*'Cálculos'!$E$261+'Cálculos'!$E$125*(1+2.78*('Cálculos'!$E$199+(($C130)-$A$120:$A$165)*'Cálculos'!$E$98)/(('Cálculos'!$E$199+(($C130)-$A$120:$A$165)*'Cálculos'!$E$98)+1400)+'Cálculos'!$E$123)*'Cálculos'!$E$266)+('Cálculos'!$E$204*(1+'Cálculos'!$E$205+$A$120:$A$165*('Cálculos'!$E$290=3)*'Cálculos'!$E$103)+'Cálculos'!$E$206)*('Cálculos'!$E$257+'Cálculos'!$E$124*(1+2.78*('Cálculos'!$E$199+(($C130)-$A$120:$A$165)*'Cálculos'!$E$98)/(('Cálculos'!$E$199+(($C130)-$A$120:$A$165)*'Cálculos'!$E$98)+1400)+'Cálculos'!$E$122)*'Cálculos'!$E$262+'Cálculos'!$E$125*(1+2.78*('Cálculos'!$E$199+(($C130)-$A$120:$A$165)*'Cálculos'!$E$98)/(('Cálculos'!$E$199+(($C130)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130)-$A$120:$A$165)*'Cálculos'!$E$98)/(('Cálculos'!$E$200+(($C130)-$A$120:$A$165)*'Cálculos'!$E$98)+1400)+'Cálculos'!$E$122)*'Cálculos'!$E$274+'Cálculos'!$E$125*(1+2.78*('Cálculos'!$E$200+(($C130)-$A$120:$A$165)*'Cálculos'!$E$98)/(('Cálculos'!$E$200+(($C130)-$A$120:$A$165)*'Cálculos'!$E$98)+1400)+'Cálculos'!$E$123)*'Cálculos'!$E$279)+('Cálculos'!$E$200+(($C130)-$A$120:$A$165)*'Cálculos'!$E$98)*('Cálculos'!$E$270+'Cálculos'!$E$124*(1+2.78*('Cálculos'!$E$200+(($C130)-$A$120:$A$165)*'Cálculos'!$E$98)/(('Cálculos'!$E$200+(($C130)-$A$120:$A$165)*'Cálculos'!$E$98)+1400)+'Cálculos'!$E$122)*'Cálculos'!$E$275+'Cálculos'!$E$125*(1+2.78*('Cálculos'!$E$200+(($C130)-$A$120:$A$165)*'Cálculos'!$E$98)/(('Cálculos'!$E$200+(($C130)-$A$120:$A$165)*'Cálculos'!$E$98)+1400)+'Cálculos'!$E$123)*'Cálculos'!$E$280)+('Cálculos'!$E$201*(1+'Cálculos'!$E$202+$A$120:$A$165*('Cálculos'!$E$290=2)*'Cálculos'!$E$101)+'Cálculos'!$E$203)*('Cálculos'!$E$271+'Cálculos'!$E$124*(1+2.78*('Cálculos'!$E$200+(($C130)-$A$120:$A$165)*'Cálculos'!$E$98)/(('Cálculos'!$E$200+(($C130)-$A$120:$A$165)*'Cálculos'!$E$98)+1400)+'Cálculos'!$E$122)*'Cálculos'!$E$276+'Cálculos'!$E$125*(1+2.78*('Cálculos'!$E$200+(($C130)-$A$120:$A$165)*'Cálculos'!$E$98)/(('Cálculos'!$E$200+(($C130)-$A$120:$A$165)*'Cálculos'!$E$98)+1400)+'Cálculos'!$E$123)*'Cálculos'!$E$281)+('Cálculos'!$E$204*(1+'Cálculos'!$E$205+$A$120:$A$165*('Cálculos'!$E$290=3)*'Cálculos'!$E$103)+'Cálculos'!$E$206)*('Cálculos'!$E$272+'Cálculos'!$E$124*(1+2.78*('Cálculos'!$E$200+(($C130)-$A$120:$A$165)*'Cálculos'!$E$98)/(('Cálculos'!$E$200+(($C130)-$A$120:$A$165)*'Cálculos'!$E$98)+1400)+'Cálculos'!$E$122)*'Cálculos'!$E$277+'Cálculos'!$E$125*(1+2.78*('Cálculos'!$E$200+(($C130)-$A$120:$A$165)*'Cálculos'!$E$98)/(('Cálculos'!$E$200+(($C130)-$A$120:$A$165)*'Cálculos'!$E$98)+1400)+'Cálculos'!$E$123)*'Cálculos'!$E$282)))))</f>
        <v>19437.9238</v>
      </c>
      <c r="E130" s="32">
        <f>IF(OR($C130&lt;0,'Cálculos'!$E$6=""),0,$B130*$D130)</f>
        <v>30623.36043</v>
      </c>
      <c r="F130" s="2"/>
      <c r="G130" s="30">
        <f>($A130&lt;=$B$167)*($A130&lt;='Cálculos'!$E$294)*(($B$167)-$A130&lt;='Cálculos'!$E$295)*(1+MIN(('Cálculos'!$E$207+$A130*'Cálculos'!$E$95),1)*('Cálculos'!$E$208+(($B$167)-$A130)*'Cálculos'!$E$96))</f>
        <v>1.62831</v>
      </c>
      <c r="H130" s="31">
        <f>IF($B$168&lt;0,0,($A130&lt;=$B$168)*($A130&lt;='Cálculos'!$E$301)*(($B$168)-$A130&lt;='Cálculos'!$E$297)*(('Cálculos'!$E$185*(1+'Cálculos'!$E$186+$A130*('Cálculos'!$E$290=1)*'Cálculos'!$E$97+'Cálculos'!$E$305)+'Cálculos'!$E$191)*('Cálculos'!$E$209+'Cálculos'!$E$124*(1+2.78*('Cálculos'!$E$196+(($B$168)-$A130)*'Cálculos'!$E$98)/(('Cálculos'!$E$196+(($B$168)-$A130)*'Cálculos'!$E$98)+1400)+'Cálculos'!$E$122)*'Cálculos'!$E$214+'Cálculos'!$E$125*(1+2.78*('Cálculos'!$E$196+(($B$168)-$A130)*'Cálculos'!$E$98)/(('Cálculos'!$E$196+(($B$168)-$A130)*'Cálculos'!$E$98)+1400)+'Cálculos'!$E$123)*'Cálculos'!$E$219)+('Cálculos'!$E$196+(($B$168)-$A130)*'Cálculos'!$E$98)*('Cálculos'!$E$210+'Cálculos'!$E$124*(1+2.78*('Cálculos'!$E$196+(($B$168)-$A130)*'Cálculos'!$E$98)/(('Cálculos'!$E$196+(($B$168)-$A130)*'Cálculos'!$E$98)+1400)+'Cálculos'!$E$122)*'Cálculos'!$E$215+'Cálculos'!$E$125*(1+2.78*('Cálculos'!$E$196+(($B$168)-$A130)*'Cálculos'!$E$98)/(('Cálculos'!$E$196+(($B$168)-$A130)*'Cálculos'!$E$98)+1400)+'Cálculos'!$E$123)*'Cálculos'!$E$220)+('Cálculos'!$E$201*(1+'Cálculos'!$E$202+$A130*('Cálculos'!$E$290=2)*'Cálculos'!$E$101)+'Cálculos'!$E$203)*('Cálculos'!$E$211+'Cálculos'!$E$124*(1+2.78*('Cálculos'!$E$196+(($B$168)-$A130)*'Cálculos'!$E$98)/(('Cálculos'!$E$196+(($B$168)-$A130)*'Cálculos'!$E$98)+1400)+'Cálculos'!$E$122)*'Cálculos'!$E$216+'Cálculos'!$E$125*(1+2.78*('Cálculos'!$E$196+(($B$168)-$A130)*'Cálculos'!$E$98)/(('Cálculos'!$E$196+(($B$168)-$A130)*'Cálculos'!$E$98)+1400)+'Cálculos'!$E$123)*'Cálculos'!$E$221)+('Cálculos'!$E$204*(1+'Cálculos'!$E$205+$A130*('Cálculos'!$E$290=3)*'Cálculos'!$E$103)+'Cálculos'!$E$206)*('Cálculos'!$E$212+'Cálculos'!$E$124*(1+2.78*('Cálculos'!$E$196+(($B$168)-$A130)*'Cálculos'!$E$98)/(('Cálculos'!$E$196+(($B$168)-$A130)*'Cálculos'!$E$98)+1400)+'Cálculos'!$E$122)*'Cálculos'!$E$217+'Cálculos'!$E$125*(1+2.78*('Cálculos'!$E$196+(($B$168)-$A130)*'Cálculos'!$E$98)/(('Cálculos'!$E$196+(($B$168)-$A130)*'Cálculos'!$E$98)+1400)+'Cálculos'!$E$123)*'Cálculos'!$E$222)+('Cálculos'!$E$185*(1+'Cálculos'!$E$187+$A130*('Cálculos'!$E$290=1)*'Cálculos'!$E$97+'Cálculos'!$E$305)+'Cálculos'!$E$192)*('Cálculos'!$E$224+'Cálculos'!$E$124*(1+2.78*('Cálculos'!$E$197+(($B$168)-$A130)*'Cálculos'!$E$98)/(('Cálculos'!$E$197+(($B$168)-$A130)*'Cálculos'!$E$98)+1400)+'Cálculos'!$E$122)*'Cálculos'!$E$229+'Cálculos'!$E$125*(1+2.78*('Cálculos'!$E$197+(($B$168)-$A130)*'Cálculos'!$E$98)/(('Cálculos'!$E$197+(($B$168)-$A130)*'Cálculos'!$E$98)+1400)+'Cálculos'!$E$123)*'Cálculos'!$E$234)+('Cálculos'!$E$197+(($B$168)-$A130)*'Cálculos'!$E$98)*('Cálculos'!$E$225+'Cálculos'!$E$124*(1+2.78*('Cálculos'!$E$197+(($B$168)-$A130)*'Cálculos'!$E$98)/(('Cálculos'!$E$197+(($B$168)-$A130)*'Cálculos'!$E$98)+1400)+'Cálculos'!$E$122)*'Cálculos'!$E$230+'Cálculos'!$E$125*(1+2.78*('Cálculos'!$E$197+(($B$168)-$A130)*'Cálculos'!$E$98)/(('Cálculos'!$E$197+(($B$168)-$A130)*'Cálculos'!$E$98)+1400)+'Cálculos'!$E$123)*'Cálculos'!$E$235)+('Cálculos'!$E$201*(1+'Cálculos'!$E$202+$A130*('Cálculos'!$E$290=2)*'Cálculos'!$E$101)+'Cálculos'!$E$203)*('Cálculos'!$E$226+'Cálculos'!$E$124*(1+2.78*('Cálculos'!$E$197+(($B$168)-$A130)*'Cálculos'!$E$98)/(('Cálculos'!$E$197+(($B$168)-$A130)*'Cálculos'!$E$98)+1400)+'Cálculos'!$E$122)*'Cálculos'!$E$231+'Cálculos'!$E$125*(1+2.78*('Cálculos'!$E$197+(($B$168)-$A130)*'Cálculos'!$E$98)/(('Cálculos'!$E$197+(($B$168)-$A130)*'Cálculos'!$E$98)+1400)+'Cálculos'!$E$123)*'Cálculos'!$E$236)+('Cálculos'!$E$204*(1+'Cálculos'!$E$205+$A130*('Cálculos'!$E$290=3)*'Cálculos'!$E$103)+'Cálculos'!$E$206)*('Cálculos'!$E$227+'Cálculos'!$E$124*(1+2.78*('Cálculos'!$E$197+(($B$168)-$A130)*'Cálculos'!$E$98)/(('Cálculos'!$E$197+(($B$168)-$A130)*'Cálculos'!$E$98)+1400)+'Cálculos'!$E$122)*'Cálculos'!$E$232+'Cálculos'!$E$125*(1+2.78*('Cálculos'!$E$197+(($B$168)-$A130)*'Cálculos'!$E$98)/(('Cálculos'!$E$197+(($B$168)-$A130)*'Cálculos'!$E$98)+1400)+'Cálculos'!$E$123)*'Cálculos'!$E$237)+('Cálculos'!$E$185*(1+'Cálculos'!$E$188+$A130*('Cálculos'!$E$290=1)*'Cálculos'!$E$97+'Cálculos'!$E$305)+'Cálculos'!$E$193)*('Cálculos'!$E$239+'Cálculos'!$E$124*(1+2.78*('Cálculos'!$E$198+(($B$168)-$A130)*'Cálculos'!$E$98)/(('Cálculos'!$E$198+(($B$168)-$A130)*'Cálculos'!$E$98)+1400)+'Cálculos'!$E$122)*'Cálculos'!$E$244+'Cálculos'!$E$125*(1+2.78*('Cálculos'!$E$198+(($B$168)-$A130)*'Cálculos'!$E$98)/(('Cálculos'!$E$198+(($B$168)-$A130)*'Cálculos'!$E$98)+1400)+'Cálculos'!$E$123)*'Cálculos'!$E$249)+('Cálculos'!$E$198+(($B$168)-$A130)*'Cálculos'!$E$98)*('Cálculos'!$E$240+'Cálculos'!$E$124*(1+2.78*('Cálculos'!$E$198+(($B$168)-$A130)*'Cálculos'!$E$98)/(('Cálculos'!$E$198+(($B$168)-$A130)*'Cálculos'!$E$98)+1400)+'Cálculos'!$E$122)*'Cálculos'!$E$245+'Cálculos'!$E$125*(1+2.78*('Cálculos'!$E$198+(($B$168)-$A130)*'Cálculos'!$E$98)/(('Cálculos'!$E$198+(($B$168)-$A130)*'Cálculos'!$E$98)+1400)+'Cálculos'!$E$123)*'Cálculos'!$E$250)+('Cálculos'!$E$201*(1+'Cálculos'!$E$202+$A130*('Cálculos'!$E$290=2)*'Cálculos'!$E$101)+'Cálculos'!$E$203)*('Cálculos'!$E$241+'Cálculos'!$E$124*(1+2.78*('Cálculos'!$E$198+(($B$168)-$A130)*'Cálculos'!$E$98)/(('Cálculos'!$E$198+(($B$168)-$A130)*'Cálculos'!$E$98)+1400)+'Cálculos'!$E$122)*'Cálculos'!$E$246+'Cálculos'!$E$125*(1+2.78*('Cálculos'!$E$198+(($B$168)-$A130)*'Cálculos'!$E$98)/(('Cálculos'!$E$198+(($B$168)-$A130)*'Cálculos'!$E$98)+1400)+'Cálculos'!$E$123)*'Cálculos'!$E$251)+('Cálculos'!$E$204*(1+'Cálculos'!$E$205+$A130*('Cálculos'!$E$290=3)*'Cálculos'!$E$103)+'Cálculos'!$E$206)*('Cálculos'!$E$242+'Cálculos'!$E$124*(1+2.78*('Cálculos'!$E$198+(($B$168)-$A130)*'Cálculos'!$E$98)/(('Cálculos'!$E$198+(($B$168)-$A130)*'Cálculos'!$E$98)+1400)+'Cálculos'!$E$122)*'Cálculos'!$E$247+'Cálculos'!$E$125*(1+2.78*('Cálculos'!$E$198+(($B$168)-$A130)*'Cálculos'!$E$98)/(('Cálculos'!$E$198+(($B$168)-$A130)*'Cálculos'!$E$98)+1400)+'Cálculos'!$E$123)*'Cálculos'!$E$252)+('Cálculos'!$E$185*(1+'Cálculos'!$E$189+$A130*('Cálculos'!$E$290=1)*'Cálculos'!$E$97+'Cálculos'!$E$305)+'Cálculos'!$E$194)*('Cálculos'!$E$254+'Cálculos'!$E$124*(1+2.78*('Cálculos'!$E$199+(($B$168)-$A130)*'Cálculos'!$E$98)/(('Cálculos'!$E$199+(($B$168)-$A130)*'Cálculos'!$E$98)+1400)+'Cálculos'!$E$122)*'Cálculos'!$E$259+'Cálculos'!$E$125*(1+2.78*('Cálculos'!$E$199+(($B$168)-$A130)*'Cálculos'!$E$98)/(('Cálculos'!$E$199+(($B$168)-$A130)*'Cálculos'!$E$98)+1400)+'Cálculos'!$E$123)*'Cálculos'!$E$264)+('Cálculos'!$E$199+(($B$168)-$A130)*'Cálculos'!$E$98)*('Cálculos'!$E$255+'Cálculos'!$E$124*(1+2.78*('Cálculos'!$E$199+(($B$168)-$A130)*'Cálculos'!$E$98)/(('Cálculos'!$E$199+(($B$168)-$A130)*'Cálculos'!$E$98)+1400)+'Cálculos'!$E$122)*'Cálculos'!$E$260+'Cálculos'!$E$125*(1+2.78*('Cálculos'!$E$199+(($B$168)-$A130)*'Cálculos'!$E$98)/(('Cálculos'!$E$199+(($B$168)-$A130)*'Cálculos'!$E$98)+1400)+'Cálculos'!$E$123)*'Cálculos'!$E$265)+('Cálculos'!$E$201*(1+'Cálculos'!$E$202+$A130*('Cálculos'!$E$290=2)*'Cálculos'!$E$101)+'Cálculos'!$E$203)*('Cálculos'!$E$256+'Cálculos'!$E$124*(1+2.78*('Cálculos'!$E$199+(($B$168)-$A130)*'Cálculos'!$E$98)/(('Cálculos'!$E$199+(($B$168)-$A130)*'Cálculos'!$E$98)+1400)+'Cálculos'!$E$122)*'Cálculos'!$E$261+'Cálculos'!$E$125*(1+2.78*('Cálculos'!$E$199+(($B$168)-$A130)*'Cálculos'!$E$98)/(('Cálculos'!$E$199+(($B$168)-$A130)*'Cálculos'!$E$98)+1400)+'Cálculos'!$E$123)*'Cálculos'!$E$266)+('Cálculos'!$E$204*(1+'Cálculos'!$E$205+$A130*('Cálculos'!$E$290=3)*'Cálculos'!$E$103)+'Cálculos'!$E$206)*('Cálculos'!$E$257+'Cálculos'!$E$124*(1+2.78*('Cálculos'!$E$199+(($B$168)-$A130)*'Cálculos'!$E$98)/(('Cálculos'!$E$199+(($B$168)-$A130)*'Cálculos'!$E$98)+1400)+'Cálculos'!$E$122)*'Cálculos'!$E$262+'Cálculos'!$E$125*(1+2.78*('Cálculos'!$E$199+(($B$168)-$A130)*'Cálculos'!$E$98)/(('Cálculos'!$E$199+(($B$168)-$A130)*'Cálculos'!$E$98)+1400)+'Cálculos'!$E$123)*'Cálculos'!$E$267)+('Cálculos'!$E$185*(1+'Cálculos'!$E$190+$A130*('Cálculos'!$E$290=1)*'Cálculos'!$E$97+'Cálculos'!$E$305)+'Cálculos'!$E$195)*('Cálculos'!$E$269+'Cálculos'!$E$124*(1+2.78*('Cálculos'!$E$200+(($B$168)-$A130)*'Cálculos'!$E$98)/(('Cálculos'!$E$200+(($B$168)-$A130)*'Cálculos'!$E$98)+1400)+'Cálculos'!$E$122)*'Cálculos'!$E$274+'Cálculos'!$E$125*(1+2.78*('Cálculos'!$E$200+(($B$168)-$A130)*'Cálculos'!$E$98)/(('Cálculos'!$E$200+(($B$168)-$A130)*'Cálculos'!$E$98)+1400)+'Cálculos'!$E$123)*'Cálculos'!$E$279)+('Cálculos'!$E$200+(($B$168)-$A130)*'Cálculos'!$E$98)*('Cálculos'!$E$270+'Cálculos'!$E$124*(1+2.78*('Cálculos'!$E$200+(($B$168)-$A130)*'Cálculos'!$E$98)/(('Cálculos'!$E$200+(($B$168)-$A130)*'Cálculos'!$E$98)+1400)+'Cálculos'!$E$122)*'Cálculos'!$E$275+'Cálculos'!$E$125*(1+2.78*('Cálculos'!$E$200+(($B$168)-$A130)*'Cálculos'!$E$98)/(('Cálculos'!$E$200+(($B$168)-$A130)*'Cálculos'!$E$98)+1400)+'Cálculos'!$E$123)*'Cálculos'!$E$280)+('Cálculos'!$E$201*(1+'Cálculos'!$E$202+$A130*('Cálculos'!$E$290=2)*'Cálculos'!$E$101)+'Cálculos'!$E$203)*('Cálculos'!$E$271+'Cálculos'!$E$124*(1+2.78*('Cálculos'!$E$200+(($B$168)-$A130)*'Cálculos'!$E$98)/(('Cálculos'!$E$200+(($B$168)-$A130)*'Cálculos'!$E$98)+1400)+'Cálculos'!$E$122)*'Cálculos'!$E$276+'Cálculos'!$E$125*(1+2.78*('Cálculos'!$E$200+(($B$168)-$A130)*'Cálculos'!$E$98)/(('Cálculos'!$E$200+(($B$168)-$A130)*'Cálculos'!$E$98)+1400)+'Cálculos'!$E$123)*'Cálculos'!$E$281)+('Cálculos'!$E$204*(1+'Cálculos'!$E$205+$A130*('Cálculos'!$E$290=3)*'Cálculos'!$E$103)+'Cálculos'!$E$206)*('Cálculos'!$E$272+'Cálculos'!$E$124*(1+2.78*('Cálculos'!$E$200+(($B$168)-$A130)*'Cálculos'!$E$98)/(('Cálculos'!$E$200+(($B$168)-$A130)*'Cálculos'!$E$98)+1400)+'Cálculos'!$E$122)*'Cálculos'!$E$277+'Cálculos'!$E$125*(1+2.78*('Cálculos'!$E$200+(($B$168)-$A130)*'Cálculos'!$E$98)/(('Cálculos'!$E$200+(($B$168)-$A130)*'Cálculos'!$E$98)+1400)+'Cálculos'!$E$123)*'Cálculos'!$E$282)))</f>
        <v>0</v>
      </c>
    </row>
    <row r="131" ht="15.75" customHeight="1">
      <c r="A131" s="2">
        <v>11.0</v>
      </c>
      <c r="B131" s="30">
        <f>SUMPRODUCT(MAX(($A$120:$A$165&lt;=$A131)*($A$120:$A$165&lt;='Cálculos'!$E$294)*(($A131)-$A$120:$A$165&lt;='Cálculos'!$E$295)*(1+(('Cálculos'!$E$207+$A$120:$A$165*'Cálculos'!$E$95)-(('Cálculos'!$E$207+$A$120:$A$165*'Cálculos'!$E$95)&gt;1)*(('Cálculos'!$E$207+$A$120:$A$165*'Cálculos'!$E$95)-1))*('Cálculos'!$E$208+(($A131)-$A$120:$A$165)*'Cálculos'!$E$96))))</f>
        <v>1.611546</v>
      </c>
      <c r="C131" s="2">
        <f>'Cálculos'!$E$303-$A131</f>
        <v>2</v>
      </c>
      <c r="D131" s="31">
        <f>IF($C131&lt;0,0,SUMPRODUCT(MAX(($A$120:$A$165&lt;=$C131)*($A$120:$A$165&lt;='Cálculos'!$E$301)*(($C131)-$A$120:$A$165&lt;='Cálculos'!$E$297)*(('Cálculos'!$E$185*(1+'Cálculos'!$E$186+$A$120:$A$165*('Cálculos'!$E$290=1)*'Cálculos'!$E$97+'Cálculos'!$E$305)+'Cálculos'!$E$191)*('Cálculos'!$E$209+'Cálculos'!$E$124*(1+2.78*('Cálculos'!$E$196+(($C131)-$A$120:$A$165)*'Cálculos'!$E$98)/(('Cálculos'!$E$196+(($C131)-$A$120:$A$165)*'Cálculos'!$E$98)+1400)+'Cálculos'!$E$122)*'Cálculos'!$E$214+'Cálculos'!$E$125*(1+2.78*('Cálculos'!$E$196+(($C131)-$A$120:$A$165)*'Cálculos'!$E$98)/(('Cálculos'!$E$196+(($C131)-$A$120:$A$165)*'Cálculos'!$E$98)+1400)+'Cálculos'!$E$123)*'Cálculos'!$E$219)+('Cálculos'!$E$196+(($C131)-$A$120:$A$165)*'Cálculos'!$E$98)*('Cálculos'!$E$210+'Cálculos'!$E$124*(1+2.78*('Cálculos'!$E$196+(($C131)-$A$120:$A$165)*'Cálculos'!$E$98)/(('Cálculos'!$E$196+(($C131)-$A$120:$A$165)*'Cálculos'!$E$98)+1400)+'Cálculos'!$E$122)*'Cálculos'!$E$215+'Cálculos'!$E$125*(1+2.78*('Cálculos'!$E$196+(($C131)-$A$120:$A$165)*'Cálculos'!$E$98)/(('Cálculos'!$E$196+(($C131)-$A$120:$A$165)*'Cálculos'!$E$98)+1400)+'Cálculos'!$E$123)*'Cálculos'!$E$220)+('Cálculos'!$E$201*(1+'Cálculos'!$E$202+$A$120:$A$165*('Cálculos'!$E$290=2)*'Cálculos'!$E$101)+'Cálculos'!$E$203)*('Cálculos'!$E$211+'Cálculos'!$E$124*(1+2.78*('Cálculos'!$E$196+(($C131)-$A$120:$A$165)*'Cálculos'!$E$98)/(('Cálculos'!$E$196+(($C131)-$A$120:$A$165)*'Cálculos'!$E$98)+1400)+'Cálculos'!$E$122)*'Cálculos'!$E$216+'Cálculos'!$E$125*(1+2.78*('Cálculos'!$E$196+(($C131)-$A$120:$A$165)*'Cálculos'!$E$98)/(('Cálculos'!$E$196+(($C131)-$A$120:$A$165)*'Cálculos'!$E$98)+1400)+'Cálculos'!$E$123)*'Cálculos'!$E$221)+('Cálculos'!$E$204*(1+'Cálculos'!$E$205+$A$120:$A$165*('Cálculos'!$E$290=3)*'Cálculos'!$E$103)+'Cálculos'!$E$206)*('Cálculos'!$E$212+'Cálculos'!$E$124*(1+2.78*('Cálculos'!$E$196+(($C131)-$A$120:$A$165)*'Cálculos'!$E$98)/(('Cálculos'!$E$196+(($C131)-$A$120:$A$165)*'Cálculos'!$E$98)+1400)+'Cálculos'!$E$122)*'Cálculos'!$E$217+'Cálculos'!$E$125*(1+2.78*('Cálculos'!$E$196+(($C131)-$A$120:$A$165)*'Cálculos'!$E$98)/(('Cálculos'!$E$196+(($C131)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131)-$A$120:$A$165)*'Cálculos'!$E$98)/(('Cálculos'!$E$197+(($C131)-$A$120:$A$165)*'Cálculos'!$E$98)+1400)+'Cálculos'!$E$122)*'Cálculos'!$E$229+'Cálculos'!$E$125*(1+2.78*('Cálculos'!$E$197+(($C131)-$A$120:$A$165)*'Cálculos'!$E$98)/(('Cálculos'!$E$197+(($C131)-$A$120:$A$165)*'Cálculos'!$E$98)+1400)+'Cálculos'!$E$123)*'Cálculos'!$E$234)+('Cálculos'!$E$197+(($C131)-$A$120:$A$165)*'Cálculos'!$E$98)*('Cálculos'!$E$225+'Cálculos'!$E$124*(1+2.78*('Cálculos'!$E$197+(($C131)-$A$120:$A$165)*'Cálculos'!$E$98)/(('Cálculos'!$E$197+(($C131)-$A$120:$A$165)*'Cálculos'!$E$98)+1400)+'Cálculos'!$E$122)*'Cálculos'!$E$230+'Cálculos'!$E$125*(1+2.78*('Cálculos'!$E$197+(($C131)-$A$120:$A$165)*'Cálculos'!$E$98)/(('Cálculos'!$E$197+(($C131)-$A$120:$A$165)*'Cálculos'!$E$98)+1400)+'Cálculos'!$E$123)*'Cálculos'!$E$235)+('Cálculos'!$E$201*(1+'Cálculos'!$E$202+$A$120:$A$165*('Cálculos'!$E$290=2)*'Cálculos'!$E$101)+'Cálculos'!$E$203)*('Cálculos'!$E$226+'Cálculos'!$E$124*(1+2.78*('Cálculos'!$E$197+(($C131)-$A$120:$A$165)*'Cálculos'!$E$98)/(('Cálculos'!$E$197+(($C131)-$A$120:$A$165)*'Cálculos'!$E$98)+1400)+'Cálculos'!$E$122)*'Cálculos'!$E$231+'Cálculos'!$E$125*(1+2.78*('Cálculos'!$E$197+(($C131)-$A$120:$A$165)*'Cálculos'!$E$98)/(('Cálculos'!$E$197+(($C131)-$A$120:$A$165)*'Cálculos'!$E$98)+1400)+'Cálculos'!$E$123)*'Cálculos'!$E$236)+('Cálculos'!$E$204*(1+'Cálculos'!$E$205+$A$120:$A$165*('Cálculos'!$E$290=3)*'Cálculos'!$E$103)+'Cálculos'!$E$206)*('Cálculos'!$E$227+'Cálculos'!$E$124*(1+2.78*('Cálculos'!$E$197+(($C131)-$A$120:$A$165)*'Cálculos'!$E$98)/(('Cálculos'!$E$197+(($C131)-$A$120:$A$165)*'Cálculos'!$E$98)+1400)+'Cálculos'!$E$122)*'Cálculos'!$E$232+'Cálculos'!$E$125*(1+2.78*('Cálculos'!$E$197+(($C131)-$A$120:$A$165)*'Cálculos'!$E$98)/(('Cálculos'!$E$197+(($C131)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131)-$A$120:$A$165)*'Cálculos'!$E$98)/(('Cálculos'!$E$198+(($C131)-$A$120:$A$165)*'Cálculos'!$E$98)+1400)+'Cálculos'!$E$122)*'Cálculos'!$E$244+'Cálculos'!$E$125*(1+2.78*('Cálculos'!$E$198+(($C131)-$A$120:$A$165)*'Cálculos'!$E$98)/(('Cálculos'!$E$198+(($C131)-$A$120:$A$165)*'Cálculos'!$E$98)+1400)+'Cálculos'!$E$123)*'Cálculos'!$E$249)+('Cálculos'!$E$198+(($C131)-$A$120:$A$165)*'Cálculos'!$E$98)*('Cálculos'!$E$240+'Cálculos'!$E$124*(1+2.78*('Cálculos'!$E$198+(($C131)-$A$120:$A$165)*'Cálculos'!$E$98)/(('Cálculos'!$E$198+(($C131)-$A$120:$A$165)*'Cálculos'!$E$98)+1400)+'Cálculos'!$E$122)*'Cálculos'!$E$245+'Cálculos'!$E$125*(1+2.78*('Cálculos'!$E$198+(($C131)-$A$120:$A$165)*'Cálculos'!$E$98)/(('Cálculos'!$E$198+(($C131)-$A$120:$A$165)*'Cálculos'!$E$98)+1400)+'Cálculos'!$E$123)*'Cálculos'!$E$250)+('Cálculos'!$E$201*(1+'Cálculos'!$E$202+$A$120:$A$165*('Cálculos'!$E$290=2)*'Cálculos'!$E$101)+'Cálculos'!$E$203)*('Cálculos'!$E$241+'Cálculos'!$E$124*(1+2.78*('Cálculos'!$E$198+(($C131)-$A$120:$A$165)*'Cálculos'!$E$98)/(('Cálculos'!$E$198+(($C131)-$A$120:$A$165)*'Cálculos'!$E$98)+1400)+'Cálculos'!$E$122)*'Cálculos'!$E$246+'Cálculos'!$E$125*(1+2.78*('Cálculos'!$E$198+(($C131)-$A$120:$A$165)*'Cálculos'!$E$98)/(('Cálculos'!$E$198+(($C131)-$A$120:$A$165)*'Cálculos'!$E$98)+1400)+'Cálculos'!$E$123)*'Cálculos'!$E$251)+('Cálculos'!$E$204*(1+'Cálculos'!$E$205+$A$120:$A$165*('Cálculos'!$E$290=3)*'Cálculos'!$E$103)+'Cálculos'!$E$206)*('Cálculos'!$E$242+'Cálculos'!$E$124*(1+2.78*('Cálculos'!$E$198+(($C131)-$A$120:$A$165)*'Cálculos'!$E$98)/(('Cálculos'!$E$198+(($C131)-$A$120:$A$165)*'Cálculos'!$E$98)+1400)+'Cálculos'!$E$122)*'Cálculos'!$E$247+'Cálculos'!$E$125*(1+2.78*('Cálculos'!$E$198+(($C131)-$A$120:$A$165)*'Cálculos'!$E$98)/(('Cálculos'!$E$198+(($C131)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131)-$A$120:$A$165)*'Cálculos'!$E$98)/(('Cálculos'!$E$199+(($C131)-$A$120:$A$165)*'Cálculos'!$E$98)+1400)+'Cálculos'!$E$122)*'Cálculos'!$E$259+'Cálculos'!$E$125*(1+2.78*('Cálculos'!$E$199+(($C131)-$A$120:$A$165)*'Cálculos'!$E$98)/(('Cálculos'!$E$199+(($C131)-$A$120:$A$165)*'Cálculos'!$E$98)+1400)+'Cálculos'!$E$123)*'Cálculos'!$E$264)+('Cálculos'!$E$199+(($C131)-$A$120:$A$165)*'Cálculos'!$E$98)*('Cálculos'!$E$255+'Cálculos'!$E$124*(1+2.78*('Cálculos'!$E$199+(($C131)-$A$120:$A$165)*'Cálculos'!$E$98)/(('Cálculos'!$E$199+(($C131)-$A$120:$A$165)*'Cálculos'!$E$98)+1400)+'Cálculos'!$E$122)*'Cálculos'!$E$260+'Cálculos'!$E$125*(1+2.78*('Cálculos'!$E$199+(($C131)-$A$120:$A$165)*'Cálculos'!$E$98)/(('Cálculos'!$E$199+(($C131)-$A$120:$A$165)*'Cálculos'!$E$98)+1400)+'Cálculos'!$E$123)*'Cálculos'!$E$265)+('Cálculos'!$E$201*(1+'Cálculos'!$E$202+$A$120:$A$165*('Cálculos'!$E$290=2)*'Cálculos'!$E$101)+'Cálculos'!$E$203)*('Cálculos'!$E$256+'Cálculos'!$E$124*(1+2.78*('Cálculos'!$E$199+(($C131)-$A$120:$A$165)*'Cálculos'!$E$98)/(('Cálculos'!$E$199+(($C131)-$A$120:$A$165)*'Cálculos'!$E$98)+1400)+'Cálculos'!$E$122)*'Cálculos'!$E$261+'Cálculos'!$E$125*(1+2.78*('Cálculos'!$E$199+(($C131)-$A$120:$A$165)*'Cálculos'!$E$98)/(('Cálculos'!$E$199+(($C131)-$A$120:$A$165)*'Cálculos'!$E$98)+1400)+'Cálculos'!$E$123)*'Cálculos'!$E$266)+('Cálculos'!$E$204*(1+'Cálculos'!$E$205+$A$120:$A$165*('Cálculos'!$E$290=3)*'Cálculos'!$E$103)+'Cálculos'!$E$206)*('Cálculos'!$E$257+'Cálculos'!$E$124*(1+2.78*('Cálculos'!$E$199+(($C131)-$A$120:$A$165)*'Cálculos'!$E$98)/(('Cálculos'!$E$199+(($C131)-$A$120:$A$165)*'Cálculos'!$E$98)+1400)+'Cálculos'!$E$122)*'Cálculos'!$E$262+'Cálculos'!$E$125*(1+2.78*('Cálculos'!$E$199+(($C131)-$A$120:$A$165)*'Cálculos'!$E$98)/(('Cálculos'!$E$199+(($C131)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131)-$A$120:$A$165)*'Cálculos'!$E$98)/(('Cálculos'!$E$200+(($C131)-$A$120:$A$165)*'Cálculos'!$E$98)+1400)+'Cálculos'!$E$122)*'Cálculos'!$E$274+'Cálculos'!$E$125*(1+2.78*('Cálculos'!$E$200+(($C131)-$A$120:$A$165)*'Cálculos'!$E$98)/(('Cálculos'!$E$200+(($C131)-$A$120:$A$165)*'Cálculos'!$E$98)+1400)+'Cálculos'!$E$123)*'Cálculos'!$E$279)+('Cálculos'!$E$200+(($C131)-$A$120:$A$165)*'Cálculos'!$E$98)*('Cálculos'!$E$270+'Cálculos'!$E$124*(1+2.78*('Cálculos'!$E$200+(($C131)-$A$120:$A$165)*'Cálculos'!$E$98)/(('Cálculos'!$E$200+(($C131)-$A$120:$A$165)*'Cálculos'!$E$98)+1400)+'Cálculos'!$E$122)*'Cálculos'!$E$275+'Cálculos'!$E$125*(1+2.78*('Cálculos'!$E$200+(($C131)-$A$120:$A$165)*'Cálculos'!$E$98)/(('Cálculos'!$E$200+(($C131)-$A$120:$A$165)*'Cálculos'!$E$98)+1400)+'Cálculos'!$E$123)*'Cálculos'!$E$280)+('Cálculos'!$E$201*(1+'Cálculos'!$E$202+$A$120:$A$165*('Cálculos'!$E$290=2)*'Cálculos'!$E$101)+'Cálculos'!$E$203)*('Cálculos'!$E$271+'Cálculos'!$E$124*(1+2.78*('Cálculos'!$E$200+(($C131)-$A$120:$A$165)*'Cálculos'!$E$98)/(('Cálculos'!$E$200+(($C131)-$A$120:$A$165)*'Cálculos'!$E$98)+1400)+'Cálculos'!$E$122)*'Cálculos'!$E$276+'Cálculos'!$E$125*(1+2.78*('Cálculos'!$E$200+(($C131)-$A$120:$A$165)*'Cálculos'!$E$98)/(('Cálculos'!$E$200+(($C131)-$A$120:$A$165)*'Cálculos'!$E$98)+1400)+'Cálculos'!$E$123)*'Cálculos'!$E$281)+('Cálculos'!$E$204*(1+'Cálculos'!$E$205+$A$120:$A$165*('Cálculos'!$E$290=3)*'Cálculos'!$E$103)+'Cálculos'!$E$206)*('Cálculos'!$E$272+'Cálculos'!$E$124*(1+2.78*('Cálculos'!$E$200+(($C131)-$A$120:$A$165)*'Cálculos'!$E$98)/(('Cálculos'!$E$200+(($C131)-$A$120:$A$165)*'Cálculos'!$E$98)+1400)+'Cálculos'!$E$122)*'Cálculos'!$E$277+'Cálculos'!$E$125*(1+2.78*('Cálculos'!$E$200+(($C131)-$A$120:$A$165)*'Cálculos'!$E$98)/(('Cálculos'!$E$200+(($C131)-$A$120:$A$165)*'Cálculos'!$E$98)+1400)+'Cálculos'!$E$123)*'Cálculos'!$E$282)))))</f>
        <v>19151.96087</v>
      </c>
      <c r="E131" s="32">
        <f>IF(OR($C131&lt;0,'Cálculos'!$E$6=""),0,$B131*$D131)</f>
        <v>30864.26593</v>
      </c>
      <c r="F131" s="2"/>
      <c r="G131" s="30">
        <f>($A131&lt;=$B$167)*($A131&lt;='Cálculos'!$E$294)*(($B$167)-$A131&lt;='Cálculos'!$E$295)*(1+MIN(('Cálculos'!$E$207+$A131*'Cálculos'!$E$95),1)*('Cálculos'!$E$208+(($B$167)-$A131)*'Cálculos'!$E$96))</f>
        <v>1.60356</v>
      </c>
      <c r="H131" s="31">
        <f>IF($B$168&lt;0,0,($A131&lt;=$B$168)*($A131&lt;='Cálculos'!$E$301)*(($B$168)-$A131&lt;='Cálculos'!$E$297)*(('Cálculos'!$E$185*(1+'Cálculos'!$E$186+$A131*('Cálculos'!$E$290=1)*'Cálculos'!$E$97+'Cálculos'!$E$305)+'Cálculos'!$E$191)*('Cálculos'!$E$209+'Cálculos'!$E$124*(1+2.78*('Cálculos'!$E$196+(($B$168)-$A131)*'Cálculos'!$E$98)/(('Cálculos'!$E$196+(($B$168)-$A131)*'Cálculos'!$E$98)+1400)+'Cálculos'!$E$122)*'Cálculos'!$E$214+'Cálculos'!$E$125*(1+2.78*('Cálculos'!$E$196+(($B$168)-$A131)*'Cálculos'!$E$98)/(('Cálculos'!$E$196+(($B$168)-$A131)*'Cálculos'!$E$98)+1400)+'Cálculos'!$E$123)*'Cálculos'!$E$219)+('Cálculos'!$E$196+(($B$168)-$A131)*'Cálculos'!$E$98)*('Cálculos'!$E$210+'Cálculos'!$E$124*(1+2.78*('Cálculos'!$E$196+(($B$168)-$A131)*'Cálculos'!$E$98)/(('Cálculos'!$E$196+(($B$168)-$A131)*'Cálculos'!$E$98)+1400)+'Cálculos'!$E$122)*'Cálculos'!$E$215+'Cálculos'!$E$125*(1+2.78*('Cálculos'!$E$196+(($B$168)-$A131)*'Cálculos'!$E$98)/(('Cálculos'!$E$196+(($B$168)-$A131)*'Cálculos'!$E$98)+1400)+'Cálculos'!$E$123)*'Cálculos'!$E$220)+('Cálculos'!$E$201*(1+'Cálculos'!$E$202+$A131*('Cálculos'!$E$290=2)*'Cálculos'!$E$101)+'Cálculos'!$E$203)*('Cálculos'!$E$211+'Cálculos'!$E$124*(1+2.78*('Cálculos'!$E$196+(($B$168)-$A131)*'Cálculos'!$E$98)/(('Cálculos'!$E$196+(($B$168)-$A131)*'Cálculos'!$E$98)+1400)+'Cálculos'!$E$122)*'Cálculos'!$E$216+'Cálculos'!$E$125*(1+2.78*('Cálculos'!$E$196+(($B$168)-$A131)*'Cálculos'!$E$98)/(('Cálculos'!$E$196+(($B$168)-$A131)*'Cálculos'!$E$98)+1400)+'Cálculos'!$E$123)*'Cálculos'!$E$221)+('Cálculos'!$E$204*(1+'Cálculos'!$E$205+$A131*('Cálculos'!$E$290=3)*'Cálculos'!$E$103)+'Cálculos'!$E$206)*('Cálculos'!$E$212+'Cálculos'!$E$124*(1+2.78*('Cálculos'!$E$196+(($B$168)-$A131)*'Cálculos'!$E$98)/(('Cálculos'!$E$196+(($B$168)-$A131)*'Cálculos'!$E$98)+1400)+'Cálculos'!$E$122)*'Cálculos'!$E$217+'Cálculos'!$E$125*(1+2.78*('Cálculos'!$E$196+(($B$168)-$A131)*'Cálculos'!$E$98)/(('Cálculos'!$E$196+(($B$168)-$A131)*'Cálculos'!$E$98)+1400)+'Cálculos'!$E$123)*'Cálculos'!$E$222)+('Cálculos'!$E$185*(1+'Cálculos'!$E$187+$A131*('Cálculos'!$E$290=1)*'Cálculos'!$E$97+'Cálculos'!$E$305)+'Cálculos'!$E$192)*('Cálculos'!$E$224+'Cálculos'!$E$124*(1+2.78*('Cálculos'!$E$197+(($B$168)-$A131)*'Cálculos'!$E$98)/(('Cálculos'!$E$197+(($B$168)-$A131)*'Cálculos'!$E$98)+1400)+'Cálculos'!$E$122)*'Cálculos'!$E$229+'Cálculos'!$E$125*(1+2.78*('Cálculos'!$E$197+(($B$168)-$A131)*'Cálculos'!$E$98)/(('Cálculos'!$E$197+(($B$168)-$A131)*'Cálculos'!$E$98)+1400)+'Cálculos'!$E$123)*'Cálculos'!$E$234)+('Cálculos'!$E$197+(($B$168)-$A131)*'Cálculos'!$E$98)*('Cálculos'!$E$225+'Cálculos'!$E$124*(1+2.78*('Cálculos'!$E$197+(($B$168)-$A131)*'Cálculos'!$E$98)/(('Cálculos'!$E$197+(($B$168)-$A131)*'Cálculos'!$E$98)+1400)+'Cálculos'!$E$122)*'Cálculos'!$E$230+'Cálculos'!$E$125*(1+2.78*('Cálculos'!$E$197+(($B$168)-$A131)*'Cálculos'!$E$98)/(('Cálculos'!$E$197+(($B$168)-$A131)*'Cálculos'!$E$98)+1400)+'Cálculos'!$E$123)*'Cálculos'!$E$235)+('Cálculos'!$E$201*(1+'Cálculos'!$E$202+$A131*('Cálculos'!$E$290=2)*'Cálculos'!$E$101)+'Cálculos'!$E$203)*('Cálculos'!$E$226+'Cálculos'!$E$124*(1+2.78*('Cálculos'!$E$197+(($B$168)-$A131)*'Cálculos'!$E$98)/(('Cálculos'!$E$197+(($B$168)-$A131)*'Cálculos'!$E$98)+1400)+'Cálculos'!$E$122)*'Cálculos'!$E$231+'Cálculos'!$E$125*(1+2.78*('Cálculos'!$E$197+(($B$168)-$A131)*'Cálculos'!$E$98)/(('Cálculos'!$E$197+(($B$168)-$A131)*'Cálculos'!$E$98)+1400)+'Cálculos'!$E$123)*'Cálculos'!$E$236)+('Cálculos'!$E$204*(1+'Cálculos'!$E$205+$A131*('Cálculos'!$E$290=3)*'Cálculos'!$E$103)+'Cálculos'!$E$206)*('Cálculos'!$E$227+'Cálculos'!$E$124*(1+2.78*('Cálculos'!$E$197+(($B$168)-$A131)*'Cálculos'!$E$98)/(('Cálculos'!$E$197+(($B$168)-$A131)*'Cálculos'!$E$98)+1400)+'Cálculos'!$E$122)*'Cálculos'!$E$232+'Cálculos'!$E$125*(1+2.78*('Cálculos'!$E$197+(($B$168)-$A131)*'Cálculos'!$E$98)/(('Cálculos'!$E$197+(($B$168)-$A131)*'Cálculos'!$E$98)+1400)+'Cálculos'!$E$123)*'Cálculos'!$E$237)+('Cálculos'!$E$185*(1+'Cálculos'!$E$188+$A131*('Cálculos'!$E$290=1)*'Cálculos'!$E$97+'Cálculos'!$E$305)+'Cálculos'!$E$193)*('Cálculos'!$E$239+'Cálculos'!$E$124*(1+2.78*('Cálculos'!$E$198+(($B$168)-$A131)*'Cálculos'!$E$98)/(('Cálculos'!$E$198+(($B$168)-$A131)*'Cálculos'!$E$98)+1400)+'Cálculos'!$E$122)*'Cálculos'!$E$244+'Cálculos'!$E$125*(1+2.78*('Cálculos'!$E$198+(($B$168)-$A131)*'Cálculos'!$E$98)/(('Cálculos'!$E$198+(($B$168)-$A131)*'Cálculos'!$E$98)+1400)+'Cálculos'!$E$123)*'Cálculos'!$E$249)+('Cálculos'!$E$198+(($B$168)-$A131)*'Cálculos'!$E$98)*('Cálculos'!$E$240+'Cálculos'!$E$124*(1+2.78*('Cálculos'!$E$198+(($B$168)-$A131)*'Cálculos'!$E$98)/(('Cálculos'!$E$198+(($B$168)-$A131)*'Cálculos'!$E$98)+1400)+'Cálculos'!$E$122)*'Cálculos'!$E$245+'Cálculos'!$E$125*(1+2.78*('Cálculos'!$E$198+(($B$168)-$A131)*'Cálculos'!$E$98)/(('Cálculos'!$E$198+(($B$168)-$A131)*'Cálculos'!$E$98)+1400)+'Cálculos'!$E$123)*'Cálculos'!$E$250)+('Cálculos'!$E$201*(1+'Cálculos'!$E$202+$A131*('Cálculos'!$E$290=2)*'Cálculos'!$E$101)+'Cálculos'!$E$203)*('Cálculos'!$E$241+'Cálculos'!$E$124*(1+2.78*('Cálculos'!$E$198+(($B$168)-$A131)*'Cálculos'!$E$98)/(('Cálculos'!$E$198+(($B$168)-$A131)*'Cálculos'!$E$98)+1400)+'Cálculos'!$E$122)*'Cálculos'!$E$246+'Cálculos'!$E$125*(1+2.78*('Cálculos'!$E$198+(($B$168)-$A131)*'Cálculos'!$E$98)/(('Cálculos'!$E$198+(($B$168)-$A131)*'Cálculos'!$E$98)+1400)+'Cálculos'!$E$123)*'Cálculos'!$E$251)+('Cálculos'!$E$204*(1+'Cálculos'!$E$205+$A131*('Cálculos'!$E$290=3)*'Cálculos'!$E$103)+'Cálculos'!$E$206)*('Cálculos'!$E$242+'Cálculos'!$E$124*(1+2.78*('Cálculos'!$E$198+(($B$168)-$A131)*'Cálculos'!$E$98)/(('Cálculos'!$E$198+(($B$168)-$A131)*'Cálculos'!$E$98)+1400)+'Cálculos'!$E$122)*'Cálculos'!$E$247+'Cálculos'!$E$125*(1+2.78*('Cálculos'!$E$198+(($B$168)-$A131)*'Cálculos'!$E$98)/(('Cálculos'!$E$198+(($B$168)-$A131)*'Cálculos'!$E$98)+1400)+'Cálculos'!$E$123)*'Cálculos'!$E$252)+('Cálculos'!$E$185*(1+'Cálculos'!$E$189+$A131*('Cálculos'!$E$290=1)*'Cálculos'!$E$97+'Cálculos'!$E$305)+'Cálculos'!$E$194)*('Cálculos'!$E$254+'Cálculos'!$E$124*(1+2.78*('Cálculos'!$E$199+(($B$168)-$A131)*'Cálculos'!$E$98)/(('Cálculos'!$E$199+(($B$168)-$A131)*'Cálculos'!$E$98)+1400)+'Cálculos'!$E$122)*'Cálculos'!$E$259+'Cálculos'!$E$125*(1+2.78*('Cálculos'!$E$199+(($B$168)-$A131)*'Cálculos'!$E$98)/(('Cálculos'!$E$199+(($B$168)-$A131)*'Cálculos'!$E$98)+1400)+'Cálculos'!$E$123)*'Cálculos'!$E$264)+('Cálculos'!$E$199+(($B$168)-$A131)*'Cálculos'!$E$98)*('Cálculos'!$E$255+'Cálculos'!$E$124*(1+2.78*('Cálculos'!$E$199+(($B$168)-$A131)*'Cálculos'!$E$98)/(('Cálculos'!$E$199+(($B$168)-$A131)*'Cálculos'!$E$98)+1400)+'Cálculos'!$E$122)*'Cálculos'!$E$260+'Cálculos'!$E$125*(1+2.78*('Cálculos'!$E$199+(($B$168)-$A131)*'Cálculos'!$E$98)/(('Cálculos'!$E$199+(($B$168)-$A131)*'Cálculos'!$E$98)+1400)+'Cálculos'!$E$123)*'Cálculos'!$E$265)+('Cálculos'!$E$201*(1+'Cálculos'!$E$202+$A131*('Cálculos'!$E$290=2)*'Cálculos'!$E$101)+'Cálculos'!$E$203)*('Cálculos'!$E$256+'Cálculos'!$E$124*(1+2.78*('Cálculos'!$E$199+(($B$168)-$A131)*'Cálculos'!$E$98)/(('Cálculos'!$E$199+(($B$168)-$A131)*'Cálculos'!$E$98)+1400)+'Cálculos'!$E$122)*'Cálculos'!$E$261+'Cálculos'!$E$125*(1+2.78*('Cálculos'!$E$199+(($B$168)-$A131)*'Cálculos'!$E$98)/(('Cálculos'!$E$199+(($B$168)-$A131)*'Cálculos'!$E$98)+1400)+'Cálculos'!$E$123)*'Cálculos'!$E$266)+('Cálculos'!$E$204*(1+'Cálculos'!$E$205+$A131*('Cálculos'!$E$290=3)*'Cálculos'!$E$103)+'Cálculos'!$E$206)*('Cálculos'!$E$257+'Cálculos'!$E$124*(1+2.78*('Cálculos'!$E$199+(($B$168)-$A131)*'Cálculos'!$E$98)/(('Cálculos'!$E$199+(($B$168)-$A131)*'Cálculos'!$E$98)+1400)+'Cálculos'!$E$122)*'Cálculos'!$E$262+'Cálculos'!$E$125*(1+2.78*('Cálculos'!$E$199+(($B$168)-$A131)*'Cálculos'!$E$98)/(('Cálculos'!$E$199+(($B$168)-$A131)*'Cálculos'!$E$98)+1400)+'Cálculos'!$E$123)*'Cálculos'!$E$267)+('Cálculos'!$E$185*(1+'Cálculos'!$E$190+$A131*('Cálculos'!$E$290=1)*'Cálculos'!$E$97+'Cálculos'!$E$305)+'Cálculos'!$E$195)*('Cálculos'!$E$269+'Cálculos'!$E$124*(1+2.78*('Cálculos'!$E$200+(($B$168)-$A131)*'Cálculos'!$E$98)/(('Cálculos'!$E$200+(($B$168)-$A131)*'Cálculos'!$E$98)+1400)+'Cálculos'!$E$122)*'Cálculos'!$E$274+'Cálculos'!$E$125*(1+2.78*('Cálculos'!$E$200+(($B$168)-$A131)*'Cálculos'!$E$98)/(('Cálculos'!$E$200+(($B$168)-$A131)*'Cálculos'!$E$98)+1400)+'Cálculos'!$E$123)*'Cálculos'!$E$279)+('Cálculos'!$E$200+(($B$168)-$A131)*'Cálculos'!$E$98)*('Cálculos'!$E$270+'Cálculos'!$E$124*(1+2.78*('Cálculos'!$E$200+(($B$168)-$A131)*'Cálculos'!$E$98)/(('Cálculos'!$E$200+(($B$168)-$A131)*'Cálculos'!$E$98)+1400)+'Cálculos'!$E$122)*'Cálculos'!$E$275+'Cálculos'!$E$125*(1+2.78*('Cálculos'!$E$200+(($B$168)-$A131)*'Cálculos'!$E$98)/(('Cálculos'!$E$200+(($B$168)-$A131)*'Cálculos'!$E$98)+1400)+'Cálculos'!$E$123)*'Cálculos'!$E$280)+('Cálculos'!$E$201*(1+'Cálculos'!$E$202+$A131*('Cálculos'!$E$290=2)*'Cálculos'!$E$101)+'Cálculos'!$E$203)*('Cálculos'!$E$271+'Cálculos'!$E$124*(1+2.78*('Cálculos'!$E$200+(($B$168)-$A131)*'Cálculos'!$E$98)/(('Cálculos'!$E$200+(($B$168)-$A131)*'Cálculos'!$E$98)+1400)+'Cálculos'!$E$122)*'Cálculos'!$E$276+'Cálculos'!$E$125*(1+2.78*('Cálculos'!$E$200+(($B$168)-$A131)*'Cálculos'!$E$98)/(('Cálculos'!$E$200+(($B$168)-$A131)*'Cálculos'!$E$98)+1400)+'Cálculos'!$E$123)*'Cálculos'!$E$281)+('Cálculos'!$E$204*(1+'Cálculos'!$E$205+$A131*('Cálculos'!$E$290=3)*'Cálculos'!$E$103)+'Cálculos'!$E$206)*('Cálculos'!$E$272+'Cálculos'!$E$124*(1+2.78*('Cálculos'!$E$200+(($B$168)-$A131)*'Cálculos'!$E$98)/(('Cálculos'!$E$200+(($B$168)-$A131)*'Cálculos'!$E$98)+1400)+'Cálculos'!$E$122)*'Cálculos'!$E$277+'Cálculos'!$E$125*(1+2.78*('Cálculos'!$E$200+(($B$168)-$A131)*'Cálculos'!$E$98)/(('Cálculos'!$E$200+(($B$168)-$A131)*'Cálculos'!$E$98)+1400)+'Cálculos'!$E$123)*'Cálculos'!$E$282)))</f>
        <v>0</v>
      </c>
    </row>
    <row r="132" ht="15.75" customHeight="1">
      <c r="A132" s="2">
        <v>12.0</v>
      </c>
      <c r="B132" s="30">
        <f>SUMPRODUCT(MAX(($A$120:$A$165&lt;=$A132)*($A$120:$A$165&lt;='Cálculos'!$E$294)*(($A132)-$A$120:$A$165&lt;='Cálculos'!$E$295)*(1+(('Cálculos'!$E$207+$A$120:$A$165*'Cálculos'!$E$95)-(('Cálculos'!$E$207+$A$120:$A$165*'Cálculos'!$E$95)&gt;1)*(('Cálculos'!$E$207+$A$120:$A$165*'Cálculos'!$E$95)-1))*('Cálculos'!$E$208+(($A132)-$A$120:$A$165)*'Cálculos'!$E$96))))</f>
        <v>1.64844</v>
      </c>
      <c r="C132" s="2">
        <f>'Cálculos'!$E$303-$A132</f>
        <v>1</v>
      </c>
      <c r="D132" s="31">
        <f>IF($C132&lt;0,0,SUMPRODUCT(MAX(($A$120:$A$165&lt;=$C132)*($A$120:$A$165&lt;='Cálculos'!$E$301)*(($C132)-$A$120:$A$165&lt;='Cálculos'!$E$297)*(('Cálculos'!$E$185*(1+'Cálculos'!$E$186+$A$120:$A$165*('Cálculos'!$E$290=1)*'Cálculos'!$E$97+'Cálculos'!$E$305)+'Cálculos'!$E$191)*('Cálculos'!$E$209+'Cálculos'!$E$124*(1+2.78*('Cálculos'!$E$196+(($C132)-$A$120:$A$165)*'Cálculos'!$E$98)/(('Cálculos'!$E$196+(($C132)-$A$120:$A$165)*'Cálculos'!$E$98)+1400)+'Cálculos'!$E$122)*'Cálculos'!$E$214+'Cálculos'!$E$125*(1+2.78*('Cálculos'!$E$196+(($C132)-$A$120:$A$165)*'Cálculos'!$E$98)/(('Cálculos'!$E$196+(($C132)-$A$120:$A$165)*'Cálculos'!$E$98)+1400)+'Cálculos'!$E$123)*'Cálculos'!$E$219)+('Cálculos'!$E$196+(($C132)-$A$120:$A$165)*'Cálculos'!$E$98)*('Cálculos'!$E$210+'Cálculos'!$E$124*(1+2.78*('Cálculos'!$E$196+(($C132)-$A$120:$A$165)*'Cálculos'!$E$98)/(('Cálculos'!$E$196+(($C132)-$A$120:$A$165)*'Cálculos'!$E$98)+1400)+'Cálculos'!$E$122)*'Cálculos'!$E$215+'Cálculos'!$E$125*(1+2.78*('Cálculos'!$E$196+(($C132)-$A$120:$A$165)*'Cálculos'!$E$98)/(('Cálculos'!$E$196+(($C132)-$A$120:$A$165)*'Cálculos'!$E$98)+1400)+'Cálculos'!$E$123)*'Cálculos'!$E$220)+('Cálculos'!$E$201*(1+'Cálculos'!$E$202+$A$120:$A$165*('Cálculos'!$E$290=2)*'Cálculos'!$E$101)+'Cálculos'!$E$203)*('Cálculos'!$E$211+'Cálculos'!$E$124*(1+2.78*('Cálculos'!$E$196+(($C132)-$A$120:$A$165)*'Cálculos'!$E$98)/(('Cálculos'!$E$196+(($C132)-$A$120:$A$165)*'Cálculos'!$E$98)+1400)+'Cálculos'!$E$122)*'Cálculos'!$E$216+'Cálculos'!$E$125*(1+2.78*('Cálculos'!$E$196+(($C132)-$A$120:$A$165)*'Cálculos'!$E$98)/(('Cálculos'!$E$196+(($C132)-$A$120:$A$165)*'Cálculos'!$E$98)+1400)+'Cálculos'!$E$123)*'Cálculos'!$E$221)+('Cálculos'!$E$204*(1+'Cálculos'!$E$205+$A$120:$A$165*('Cálculos'!$E$290=3)*'Cálculos'!$E$103)+'Cálculos'!$E$206)*('Cálculos'!$E$212+'Cálculos'!$E$124*(1+2.78*('Cálculos'!$E$196+(($C132)-$A$120:$A$165)*'Cálculos'!$E$98)/(('Cálculos'!$E$196+(($C132)-$A$120:$A$165)*'Cálculos'!$E$98)+1400)+'Cálculos'!$E$122)*'Cálculos'!$E$217+'Cálculos'!$E$125*(1+2.78*('Cálculos'!$E$196+(($C132)-$A$120:$A$165)*'Cálculos'!$E$98)/(('Cálculos'!$E$196+(($C132)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132)-$A$120:$A$165)*'Cálculos'!$E$98)/(('Cálculos'!$E$197+(($C132)-$A$120:$A$165)*'Cálculos'!$E$98)+1400)+'Cálculos'!$E$122)*'Cálculos'!$E$229+'Cálculos'!$E$125*(1+2.78*('Cálculos'!$E$197+(($C132)-$A$120:$A$165)*'Cálculos'!$E$98)/(('Cálculos'!$E$197+(($C132)-$A$120:$A$165)*'Cálculos'!$E$98)+1400)+'Cálculos'!$E$123)*'Cálculos'!$E$234)+('Cálculos'!$E$197+(($C132)-$A$120:$A$165)*'Cálculos'!$E$98)*('Cálculos'!$E$225+'Cálculos'!$E$124*(1+2.78*('Cálculos'!$E$197+(($C132)-$A$120:$A$165)*'Cálculos'!$E$98)/(('Cálculos'!$E$197+(($C132)-$A$120:$A$165)*'Cálculos'!$E$98)+1400)+'Cálculos'!$E$122)*'Cálculos'!$E$230+'Cálculos'!$E$125*(1+2.78*('Cálculos'!$E$197+(($C132)-$A$120:$A$165)*'Cálculos'!$E$98)/(('Cálculos'!$E$197+(($C132)-$A$120:$A$165)*'Cálculos'!$E$98)+1400)+'Cálculos'!$E$123)*'Cálculos'!$E$235)+('Cálculos'!$E$201*(1+'Cálculos'!$E$202+$A$120:$A$165*('Cálculos'!$E$290=2)*'Cálculos'!$E$101)+'Cálculos'!$E$203)*('Cálculos'!$E$226+'Cálculos'!$E$124*(1+2.78*('Cálculos'!$E$197+(($C132)-$A$120:$A$165)*'Cálculos'!$E$98)/(('Cálculos'!$E$197+(($C132)-$A$120:$A$165)*'Cálculos'!$E$98)+1400)+'Cálculos'!$E$122)*'Cálculos'!$E$231+'Cálculos'!$E$125*(1+2.78*('Cálculos'!$E$197+(($C132)-$A$120:$A$165)*'Cálculos'!$E$98)/(('Cálculos'!$E$197+(($C132)-$A$120:$A$165)*'Cálculos'!$E$98)+1400)+'Cálculos'!$E$123)*'Cálculos'!$E$236)+('Cálculos'!$E$204*(1+'Cálculos'!$E$205+$A$120:$A$165*('Cálculos'!$E$290=3)*'Cálculos'!$E$103)+'Cálculos'!$E$206)*('Cálculos'!$E$227+'Cálculos'!$E$124*(1+2.78*('Cálculos'!$E$197+(($C132)-$A$120:$A$165)*'Cálculos'!$E$98)/(('Cálculos'!$E$197+(($C132)-$A$120:$A$165)*'Cálculos'!$E$98)+1400)+'Cálculos'!$E$122)*'Cálculos'!$E$232+'Cálculos'!$E$125*(1+2.78*('Cálculos'!$E$197+(($C132)-$A$120:$A$165)*'Cálculos'!$E$98)/(('Cálculos'!$E$197+(($C132)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132)-$A$120:$A$165)*'Cálculos'!$E$98)/(('Cálculos'!$E$198+(($C132)-$A$120:$A$165)*'Cálculos'!$E$98)+1400)+'Cálculos'!$E$122)*'Cálculos'!$E$244+'Cálculos'!$E$125*(1+2.78*('Cálculos'!$E$198+(($C132)-$A$120:$A$165)*'Cálculos'!$E$98)/(('Cálculos'!$E$198+(($C132)-$A$120:$A$165)*'Cálculos'!$E$98)+1400)+'Cálculos'!$E$123)*'Cálculos'!$E$249)+('Cálculos'!$E$198+(($C132)-$A$120:$A$165)*'Cálculos'!$E$98)*('Cálculos'!$E$240+'Cálculos'!$E$124*(1+2.78*('Cálculos'!$E$198+(($C132)-$A$120:$A$165)*'Cálculos'!$E$98)/(('Cálculos'!$E$198+(($C132)-$A$120:$A$165)*'Cálculos'!$E$98)+1400)+'Cálculos'!$E$122)*'Cálculos'!$E$245+'Cálculos'!$E$125*(1+2.78*('Cálculos'!$E$198+(($C132)-$A$120:$A$165)*'Cálculos'!$E$98)/(('Cálculos'!$E$198+(($C132)-$A$120:$A$165)*'Cálculos'!$E$98)+1400)+'Cálculos'!$E$123)*'Cálculos'!$E$250)+('Cálculos'!$E$201*(1+'Cálculos'!$E$202+$A$120:$A$165*('Cálculos'!$E$290=2)*'Cálculos'!$E$101)+'Cálculos'!$E$203)*('Cálculos'!$E$241+'Cálculos'!$E$124*(1+2.78*('Cálculos'!$E$198+(($C132)-$A$120:$A$165)*'Cálculos'!$E$98)/(('Cálculos'!$E$198+(($C132)-$A$120:$A$165)*'Cálculos'!$E$98)+1400)+'Cálculos'!$E$122)*'Cálculos'!$E$246+'Cálculos'!$E$125*(1+2.78*('Cálculos'!$E$198+(($C132)-$A$120:$A$165)*'Cálculos'!$E$98)/(('Cálculos'!$E$198+(($C132)-$A$120:$A$165)*'Cálculos'!$E$98)+1400)+'Cálculos'!$E$123)*'Cálculos'!$E$251)+('Cálculos'!$E$204*(1+'Cálculos'!$E$205+$A$120:$A$165*('Cálculos'!$E$290=3)*'Cálculos'!$E$103)+'Cálculos'!$E$206)*('Cálculos'!$E$242+'Cálculos'!$E$124*(1+2.78*('Cálculos'!$E$198+(($C132)-$A$120:$A$165)*'Cálculos'!$E$98)/(('Cálculos'!$E$198+(($C132)-$A$120:$A$165)*'Cálculos'!$E$98)+1400)+'Cálculos'!$E$122)*'Cálculos'!$E$247+'Cálculos'!$E$125*(1+2.78*('Cálculos'!$E$198+(($C132)-$A$120:$A$165)*'Cálculos'!$E$98)/(('Cálculos'!$E$198+(($C132)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132)-$A$120:$A$165)*'Cálculos'!$E$98)/(('Cálculos'!$E$199+(($C132)-$A$120:$A$165)*'Cálculos'!$E$98)+1400)+'Cálculos'!$E$122)*'Cálculos'!$E$259+'Cálculos'!$E$125*(1+2.78*('Cálculos'!$E$199+(($C132)-$A$120:$A$165)*'Cálculos'!$E$98)/(('Cálculos'!$E$199+(($C132)-$A$120:$A$165)*'Cálculos'!$E$98)+1400)+'Cálculos'!$E$123)*'Cálculos'!$E$264)+('Cálculos'!$E$199+(($C132)-$A$120:$A$165)*'Cálculos'!$E$98)*('Cálculos'!$E$255+'Cálculos'!$E$124*(1+2.78*('Cálculos'!$E$199+(($C132)-$A$120:$A$165)*'Cálculos'!$E$98)/(('Cálculos'!$E$199+(($C132)-$A$120:$A$165)*'Cálculos'!$E$98)+1400)+'Cálculos'!$E$122)*'Cálculos'!$E$260+'Cálculos'!$E$125*(1+2.78*('Cálculos'!$E$199+(($C132)-$A$120:$A$165)*'Cálculos'!$E$98)/(('Cálculos'!$E$199+(($C132)-$A$120:$A$165)*'Cálculos'!$E$98)+1400)+'Cálculos'!$E$123)*'Cálculos'!$E$265)+('Cálculos'!$E$201*(1+'Cálculos'!$E$202+$A$120:$A$165*('Cálculos'!$E$290=2)*'Cálculos'!$E$101)+'Cálculos'!$E$203)*('Cálculos'!$E$256+'Cálculos'!$E$124*(1+2.78*('Cálculos'!$E$199+(($C132)-$A$120:$A$165)*'Cálculos'!$E$98)/(('Cálculos'!$E$199+(($C132)-$A$120:$A$165)*'Cálculos'!$E$98)+1400)+'Cálculos'!$E$122)*'Cálculos'!$E$261+'Cálculos'!$E$125*(1+2.78*('Cálculos'!$E$199+(($C132)-$A$120:$A$165)*'Cálculos'!$E$98)/(('Cálculos'!$E$199+(($C132)-$A$120:$A$165)*'Cálculos'!$E$98)+1400)+'Cálculos'!$E$123)*'Cálculos'!$E$266)+('Cálculos'!$E$204*(1+'Cálculos'!$E$205+$A$120:$A$165*('Cálculos'!$E$290=3)*'Cálculos'!$E$103)+'Cálculos'!$E$206)*('Cálculos'!$E$257+'Cálculos'!$E$124*(1+2.78*('Cálculos'!$E$199+(($C132)-$A$120:$A$165)*'Cálculos'!$E$98)/(('Cálculos'!$E$199+(($C132)-$A$120:$A$165)*'Cálculos'!$E$98)+1400)+'Cálculos'!$E$122)*'Cálculos'!$E$262+'Cálculos'!$E$125*(1+2.78*('Cálculos'!$E$199+(($C132)-$A$120:$A$165)*'Cálculos'!$E$98)/(('Cálculos'!$E$199+(($C132)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132)-$A$120:$A$165)*'Cálculos'!$E$98)/(('Cálculos'!$E$200+(($C132)-$A$120:$A$165)*'Cálculos'!$E$98)+1400)+'Cálculos'!$E$122)*'Cálculos'!$E$274+'Cálculos'!$E$125*(1+2.78*('Cálculos'!$E$200+(($C132)-$A$120:$A$165)*'Cálculos'!$E$98)/(('Cálculos'!$E$200+(($C132)-$A$120:$A$165)*'Cálculos'!$E$98)+1400)+'Cálculos'!$E$123)*'Cálculos'!$E$279)+('Cálculos'!$E$200+(($C132)-$A$120:$A$165)*'Cálculos'!$E$98)*('Cálculos'!$E$270+'Cálculos'!$E$124*(1+2.78*('Cálculos'!$E$200+(($C132)-$A$120:$A$165)*'Cálculos'!$E$98)/(('Cálculos'!$E$200+(($C132)-$A$120:$A$165)*'Cálculos'!$E$98)+1400)+'Cálculos'!$E$122)*'Cálculos'!$E$275+'Cálculos'!$E$125*(1+2.78*('Cálculos'!$E$200+(($C132)-$A$120:$A$165)*'Cálculos'!$E$98)/(('Cálculos'!$E$200+(($C132)-$A$120:$A$165)*'Cálculos'!$E$98)+1400)+'Cálculos'!$E$123)*'Cálculos'!$E$280)+('Cálculos'!$E$201*(1+'Cálculos'!$E$202+$A$120:$A$165*('Cálculos'!$E$290=2)*'Cálculos'!$E$101)+'Cálculos'!$E$203)*('Cálculos'!$E$271+'Cálculos'!$E$124*(1+2.78*('Cálculos'!$E$200+(($C132)-$A$120:$A$165)*'Cálculos'!$E$98)/(('Cálculos'!$E$200+(($C132)-$A$120:$A$165)*'Cálculos'!$E$98)+1400)+'Cálculos'!$E$122)*'Cálculos'!$E$276+'Cálculos'!$E$125*(1+2.78*('Cálculos'!$E$200+(($C132)-$A$120:$A$165)*'Cálculos'!$E$98)/(('Cálculos'!$E$200+(($C132)-$A$120:$A$165)*'Cálculos'!$E$98)+1400)+'Cálculos'!$E$123)*'Cálculos'!$E$281)+('Cálculos'!$E$204*(1+'Cálculos'!$E$205+$A$120:$A$165*('Cálculos'!$E$290=3)*'Cálculos'!$E$103)+'Cálculos'!$E$206)*('Cálculos'!$E$272+'Cálculos'!$E$124*(1+2.78*('Cálculos'!$E$200+(($C132)-$A$120:$A$165)*'Cálculos'!$E$98)/(('Cálculos'!$E$200+(($C132)-$A$120:$A$165)*'Cálculos'!$E$98)+1400)+'Cálculos'!$E$122)*'Cálculos'!$E$277+'Cálculos'!$E$125*(1+2.78*('Cálculos'!$E$200+(($C132)-$A$120:$A$165)*'Cálculos'!$E$98)/(('Cálculos'!$E$200+(($C132)-$A$120:$A$165)*'Cálculos'!$E$98)+1400)+'Cálculos'!$E$123)*'Cálculos'!$E$282)))))</f>
        <v>18865.99794</v>
      </c>
      <c r="E132" s="32">
        <f>IF(OR($C132&lt;0,'Cálculos'!$E$6=""),0,$B132*$D132)</f>
        <v>31099.46564</v>
      </c>
      <c r="F132" s="2"/>
      <c r="G132" s="30">
        <f>($A132&lt;=$B$167)*($A132&lt;='Cálculos'!$E$294)*(($B$167)-$A132&lt;='Cálculos'!$E$295)*(1+MIN(('Cálculos'!$E$207+$A132*'Cálculos'!$E$95),1)*('Cálculos'!$E$208+(($B$167)-$A132)*'Cálculos'!$E$96))</f>
        <v>1.574454</v>
      </c>
      <c r="H132" s="31">
        <f>IF($B$168&lt;0,0,($A132&lt;=$B$168)*($A132&lt;='Cálculos'!$E$301)*(($B$168)-$A132&lt;='Cálculos'!$E$297)*(('Cálculos'!$E$185*(1+'Cálculos'!$E$186+$A132*('Cálculos'!$E$290=1)*'Cálculos'!$E$97+'Cálculos'!$E$305)+'Cálculos'!$E$191)*('Cálculos'!$E$209+'Cálculos'!$E$124*(1+2.78*('Cálculos'!$E$196+(($B$168)-$A132)*'Cálculos'!$E$98)/(('Cálculos'!$E$196+(($B$168)-$A132)*'Cálculos'!$E$98)+1400)+'Cálculos'!$E$122)*'Cálculos'!$E$214+'Cálculos'!$E$125*(1+2.78*('Cálculos'!$E$196+(($B$168)-$A132)*'Cálculos'!$E$98)/(('Cálculos'!$E$196+(($B$168)-$A132)*'Cálculos'!$E$98)+1400)+'Cálculos'!$E$123)*'Cálculos'!$E$219)+('Cálculos'!$E$196+(($B$168)-$A132)*'Cálculos'!$E$98)*('Cálculos'!$E$210+'Cálculos'!$E$124*(1+2.78*('Cálculos'!$E$196+(($B$168)-$A132)*'Cálculos'!$E$98)/(('Cálculos'!$E$196+(($B$168)-$A132)*'Cálculos'!$E$98)+1400)+'Cálculos'!$E$122)*'Cálculos'!$E$215+'Cálculos'!$E$125*(1+2.78*('Cálculos'!$E$196+(($B$168)-$A132)*'Cálculos'!$E$98)/(('Cálculos'!$E$196+(($B$168)-$A132)*'Cálculos'!$E$98)+1400)+'Cálculos'!$E$123)*'Cálculos'!$E$220)+('Cálculos'!$E$201*(1+'Cálculos'!$E$202+$A132*('Cálculos'!$E$290=2)*'Cálculos'!$E$101)+'Cálculos'!$E$203)*('Cálculos'!$E$211+'Cálculos'!$E$124*(1+2.78*('Cálculos'!$E$196+(($B$168)-$A132)*'Cálculos'!$E$98)/(('Cálculos'!$E$196+(($B$168)-$A132)*'Cálculos'!$E$98)+1400)+'Cálculos'!$E$122)*'Cálculos'!$E$216+'Cálculos'!$E$125*(1+2.78*('Cálculos'!$E$196+(($B$168)-$A132)*'Cálculos'!$E$98)/(('Cálculos'!$E$196+(($B$168)-$A132)*'Cálculos'!$E$98)+1400)+'Cálculos'!$E$123)*'Cálculos'!$E$221)+('Cálculos'!$E$204*(1+'Cálculos'!$E$205+$A132*('Cálculos'!$E$290=3)*'Cálculos'!$E$103)+'Cálculos'!$E$206)*('Cálculos'!$E$212+'Cálculos'!$E$124*(1+2.78*('Cálculos'!$E$196+(($B$168)-$A132)*'Cálculos'!$E$98)/(('Cálculos'!$E$196+(($B$168)-$A132)*'Cálculos'!$E$98)+1400)+'Cálculos'!$E$122)*'Cálculos'!$E$217+'Cálculos'!$E$125*(1+2.78*('Cálculos'!$E$196+(($B$168)-$A132)*'Cálculos'!$E$98)/(('Cálculos'!$E$196+(($B$168)-$A132)*'Cálculos'!$E$98)+1400)+'Cálculos'!$E$123)*'Cálculos'!$E$222)+('Cálculos'!$E$185*(1+'Cálculos'!$E$187+$A132*('Cálculos'!$E$290=1)*'Cálculos'!$E$97+'Cálculos'!$E$305)+'Cálculos'!$E$192)*('Cálculos'!$E$224+'Cálculos'!$E$124*(1+2.78*('Cálculos'!$E$197+(($B$168)-$A132)*'Cálculos'!$E$98)/(('Cálculos'!$E$197+(($B$168)-$A132)*'Cálculos'!$E$98)+1400)+'Cálculos'!$E$122)*'Cálculos'!$E$229+'Cálculos'!$E$125*(1+2.78*('Cálculos'!$E$197+(($B$168)-$A132)*'Cálculos'!$E$98)/(('Cálculos'!$E$197+(($B$168)-$A132)*'Cálculos'!$E$98)+1400)+'Cálculos'!$E$123)*'Cálculos'!$E$234)+('Cálculos'!$E$197+(($B$168)-$A132)*'Cálculos'!$E$98)*('Cálculos'!$E$225+'Cálculos'!$E$124*(1+2.78*('Cálculos'!$E$197+(($B$168)-$A132)*'Cálculos'!$E$98)/(('Cálculos'!$E$197+(($B$168)-$A132)*'Cálculos'!$E$98)+1400)+'Cálculos'!$E$122)*'Cálculos'!$E$230+'Cálculos'!$E$125*(1+2.78*('Cálculos'!$E$197+(($B$168)-$A132)*'Cálculos'!$E$98)/(('Cálculos'!$E$197+(($B$168)-$A132)*'Cálculos'!$E$98)+1400)+'Cálculos'!$E$123)*'Cálculos'!$E$235)+('Cálculos'!$E$201*(1+'Cálculos'!$E$202+$A132*('Cálculos'!$E$290=2)*'Cálculos'!$E$101)+'Cálculos'!$E$203)*('Cálculos'!$E$226+'Cálculos'!$E$124*(1+2.78*('Cálculos'!$E$197+(($B$168)-$A132)*'Cálculos'!$E$98)/(('Cálculos'!$E$197+(($B$168)-$A132)*'Cálculos'!$E$98)+1400)+'Cálculos'!$E$122)*'Cálculos'!$E$231+'Cálculos'!$E$125*(1+2.78*('Cálculos'!$E$197+(($B$168)-$A132)*'Cálculos'!$E$98)/(('Cálculos'!$E$197+(($B$168)-$A132)*'Cálculos'!$E$98)+1400)+'Cálculos'!$E$123)*'Cálculos'!$E$236)+('Cálculos'!$E$204*(1+'Cálculos'!$E$205+$A132*('Cálculos'!$E$290=3)*'Cálculos'!$E$103)+'Cálculos'!$E$206)*('Cálculos'!$E$227+'Cálculos'!$E$124*(1+2.78*('Cálculos'!$E$197+(($B$168)-$A132)*'Cálculos'!$E$98)/(('Cálculos'!$E$197+(($B$168)-$A132)*'Cálculos'!$E$98)+1400)+'Cálculos'!$E$122)*'Cálculos'!$E$232+'Cálculos'!$E$125*(1+2.78*('Cálculos'!$E$197+(($B$168)-$A132)*'Cálculos'!$E$98)/(('Cálculos'!$E$197+(($B$168)-$A132)*'Cálculos'!$E$98)+1400)+'Cálculos'!$E$123)*'Cálculos'!$E$237)+('Cálculos'!$E$185*(1+'Cálculos'!$E$188+$A132*('Cálculos'!$E$290=1)*'Cálculos'!$E$97+'Cálculos'!$E$305)+'Cálculos'!$E$193)*('Cálculos'!$E$239+'Cálculos'!$E$124*(1+2.78*('Cálculos'!$E$198+(($B$168)-$A132)*'Cálculos'!$E$98)/(('Cálculos'!$E$198+(($B$168)-$A132)*'Cálculos'!$E$98)+1400)+'Cálculos'!$E$122)*'Cálculos'!$E$244+'Cálculos'!$E$125*(1+2.78*('Cálculos'!$E$198+(($B$168)-$A132)*'Cálculos'!$E$98)/(('Cálculos'!$E$198+(($B$168)-$A132)*'Cálculos'!$E$98)+1400)+'Cálculos'!$E$123)*'Cálculos'!$E$249)+('Cálculos'!$E$198+(($B$168)-$A132)*'Cálculos'!$E$98)*('Cálculos'!$E$240+'Cálculos'!$E$124*(1+2.78*('Cálculos'!$E$198+(($B$168)-$A132)*'Cálculos'!$E$98)/(('Cálculos'!$E$198+(($B$168)-$A132)*'Cálculos'!$E$98)+1400)+'Cálculos'!$E$122)*'Cálculos'!$E$245+'Cálculos'!$E$125*(1+2.78*('Cálculos'!$E$198+(($B$168)-$A132)*'Cálculos'!$E$98)/(('Cálculos'!$E$198+(($B$168)-$A132)*'Cálculos'!$E$98)+1400)+'Cálculos'!$E$123)*'Cálculos'!$E$250)+('Cálculos'!$E$201*(1+'Cálculos'!$E$202+$A132*('Cálculos'!$E$290=2)*'Cálculos'!$E$101)+'Cálculos'!$E$203)*('Cálculos'!$E$241+'Cálculos'!$E$124*(1+2.78*('Cálculos'!$E$198+(($B$168)-$A132)*'Cálculos'!$E$98)/(('Cálculos'!$E$198+(($B$168)-$A132)*'Cálculos'!$E$98)+1400)+'Cálculos'!$E$122)*'Cálculos'!$E$246+'Cálculos'!$E$125*(1+2.78*('Cálculos'!$E$198+(($B$168)-$A132)*'Cálculos'!$E$98)/(('Cálculos'!$E$198+(($B$168)-$A132)*'Cálculos'!$E$98)+1400)+'Cálculos'!$E$123)*'Cálculos'!$E$251)+('Cálculos'!$E$204*(1+'Cálculos'!$E$205+$A132*('Cálculos'!$E$290=3)*'Cálculos'!$E$103)+'Cálculos'!$E$206)*('Cálculos'!$E$242+'Cálculos'!$E$124*(1+2.78*('Cálculos'!$E$198+(($B$168)-$A132)*'Cálculos'!$E$98)/(('Cálculos'!$E$198+(($B$168)-$A132)*'Cálculos'!$E$98)+1400)+'Cálculos'!$E$122)*'Cálculos'!$E$247+'Cálculos'!$E$125*(1+2.78*('Cálculos'!$E$198+(($B$168)-$A132)*'Cálculos'!$E$98)/(('Cálculos'!$E$198+(($B$168)-$A132)*'Cálculos'!$E$98)+1400)+'Cálculos'!$E$123)*'Cálculos'!$E$252)+('Cálculos'!$E$185*(1+'Cálculos'!$E$189+$A132*('Cálculos'!$E$290=1)*'Cálculos'!$E$97+'Cálculos'!$E$305)+'Cálculos'!$E$194)*('Cálculos'!$E$254+'Cálculos'!$E$124*(1+2.78*('Cálculos'!$E$199+(($B$168)-$A132)*'Cálculos'!$E$98)/(('Cálculos'!$E$199+(($B$168)-$A132)*'Cálculos'!$E$98)+1400)+'Cálculos'!$E$122)*'Cálculos'!$E$259+'Cálculos'!$E$125*(1+2.78*('Cálculos'!$E$199+(($B$168)-$A132)*'Cálculos'!$E$98)/(('Cálculos'!$E$199+(($B$168)-$A132)*'Cálculos'!$E$98)+1400)+'Cálculos'!$E$123)*'Cálculos'!$E$264)+('Cálculos'!$E$199+(($B$168)-$A132)*'Cálculos'!$E$98)*('Cálculos'!$E$255+'Cálculos'!$E$124*(1+2.78*('Cálculos'!$E$199+(($B$168)-$A132)*'Cálculos'!$E$98)/(('Cálculos'!$E$199+(($B$168)-$A132)*'Cálculos'!$E$98)+1400)+'Cálculos'!$E$122)*'Cálculos'!$E$260+'Cálculos'!$E$125*(1+2.78*('Cálculos'!$E$199+(($B$168)-$A132)*'Cálculos'!$E$98)/(('Cálculos'!$E$199+(($B$168)-$A132)*'Cálculos'!$E$98)+1400)+'Cálculos'!$E$123)*'Cálculos'!$E$265)+('Cálculos'!$E$201*(1+'Cálculos'!$E$202+$A132*('Cálculos'!$E$290=2)*'Cálculos'!$E$101)+'Cálculos'!$E$203)*('Cálculos'!$E$256+'Cálculos'!$E$124*(1+2.78*('Cálculos'!$E$199+(($B$168)-$A132)*'Cálculos'!$E$98)/(('Cálculos'!$E$199+(($B$168)-$A132)*'Cálculos'!$E$98)+1400)+'Cálculos'!$E$122)*'Cálculos'!$E$261+'Cálculos'!$E$125*(1+2.78*('Cálculos'!$E$199+(($B$168)-$A132)*'Cálculos'!$E$98)/(('Cálculos'!$E$199+(($B$168)-$A132)*'Cálculos'!$E$98)+1400)+'Cálculos'!$E$123)*'Cálculos'!$E$266)+('Cálculos'!$E$204*(1+'Cálculos'!$E$205+$A132*('Cálculos'!$E$290=3)*'Cálculos'!$E$103)+'Cálculos'!$E$206)*('Cálculos'!$E$257+'Cálculos'!$E$124*(1+2.78*('Cálculos'!$E$199+(($B$168)-$A132)*'Cálculos'!$E$98)/(('Cálculos'!$E$199+(($B$168)-$A132)*'Cálculos'!$E$98)+1400)+'Cálculos'!$E$122)*'Cálculos'!$E$262+'Cálculos'!$E$125*(1+2.78*('Cálculos'!$E$199+(($B$168)-$A132)*'Cálculos'!$E$98)/(('Cálculos'!$E$199+(($B$168)-$A132)*'Cálculos'!$E$98)+1400)+'Cálculos'!$E$123)*'Cálculos'!$E$267)+('Cálculos'!$E$185*(1+'Cálculos'!$E$190+$A132*('Cálculos'!$E$290=1)*'Cálculos'!$E$97+'Cálculos'!$E$305)+'Cálculos'!$E$195)*('Cálculos'!$E$269+'Cálculos'!$E$124*(1+2.78*('Cálculos'!$E$200+(($B$168)-$A132)*'Cálculos'!$E$98)/(('Cálculos'!$E$200+(($B$168)-$A132)*'Cálculos'!$E$98)+1400)+'Cálculos'!$E$122)*'Cálculos'!$E$274+'Cálculos'!$E$125*(1+2.78*('Cálculos'!$E$200+(($B$168)-$A132)*'Cálculos'!$E$98)/(('Cálculos'!$E$200+(($B$168)-$A132)*'Cálculos'!$E$98)+1400)+'Cálculos'!$E$123)*'Cálculos'!$E$279)+('Cálculos'!$E$200+(($B$168)-$A132)*'Cálculos'!$E$98)*('Cálculos'!$E$270+'Cálculos'!$E$124*(1+2.78*('Cálculos'!$E$200+(($B$168)-$A132)*'Cálculos'!$E$98)/(('Cálculos'!$E$200+(($B$168)-$A132)*'Cálculos'!$E$98)+1400)+'Cálculos'!$E$122)*'Cálculos'!$E$275+'Cálculos'!$E$125*(1+2.78*('Cálculos'!$E$200+(($B$168)-$A132)*'Cálculos'!$E$98)/(('Cálculos'!$E$200+(($B$168)-$A132)*'Cálculos'!$E$98)+1400)+'Cálculos'!$E$123)*'Cálculos'!$E$280)+('Cálculos'!$E$201*(1+'Cálculos'!$E$202+$A132*('Cálculos'!$E$290=2)*'Cálculos'!$E$101)+'Cálculos'!$E$203)*('Cálculos'!$E$271+'Cálculos'!$E$124*(1+2.78*('Cálculos'!$E$200+(($B$168)-$A132)*'Cálculos'!$E$98)/(('Cálculos'!$E$200+(($B$168)-$A132)*'Cálculos'!$E$98)+1400)+'Cálculos'!$E$122)*'Cálculos'!$E$276+'Cálculos'!$E$125*(1+2.78*('Cálculos'!$E$200+(($B$168)-$A132)*'Cálculos'!$E$98)/(('Cálculos'!$E$200+(($B$168)-$A132)*'Cálculos'!$E$98)+1400)+'Cálculos'!$E$123)*'Cálculos'!$E$281)+('Cálculos'!$E$204*(1+'Cálculos'!$E$205+$A132*('Cálculos'!$E$290=3)*'Cálculos'!$E$103)+'Cálculos'!$E$206)*('Cálculos'!$E$272+'Cálculos'!$E$124*(1+2.78*('Cálculos'!$E$200+(($B$168)-$A132)*'Cálculos'!$E$98)/(('Cálculos'!$E$200+(($B$168)-$A132)*'Cálculos'!$E$98)+1400)+'Cálculos'!$E$122)*'Cálculos'!$E$277+'Cálculos'!$E$125*(1+2.78*('Cálculos'!$E$200+(($B$168)-$A132)*'Cálculos'!$E$98)/(('Cálculos'!$E$200+(($B$168)-$A132)*'Cálculos'!$E$98)+1400)+'Cálculos'!$E$123)*'Cálculos'!$E$282)))</f>
        <v>0</v>
      </c>
    </row>
    <row r="133" ht="15.75" customHeight="1">
      <c r="A133" s="2">
        <v>13.0</v>
      </c>
      <c r="B133" s="30">
        <f>SUMPRODUCT(MAX(($A$120:$A$165&lt;=$A133)*($A$120:$A$165&lt;='Cálculos'!$E$294)*(($A133)-$A$120:$A$165&lt;='Cálculos'!$E$295)*(1+(('Cálculos'!$E$207+$A$120:$A$165*'Cálculos'!$E$95)-(('Cálculos'!$E$207+$A$120:$A$165*'Cálculos'!$E$95)&gt;1)*(('Cálculos'!$E$207+$A$120:$A$165*'Cálculos'!$E$95)-1))*('Cálculos'!$E$208+(($A133)-$A$120:$A$165)*'Cálculos'!$E$96))))</f>
        <v>1.68672</v>
      </c>
      <c r="C133" s="2">
        <f>'Cálculos'!$E$303-$A133</f>
        <v>0</v>
      </c>
      <c r="D133" s="31">
        <f>IF($C133&lt;0,0,SUMPRODUCT(MAX(($A$120:$A$165&lt;=$C133)*($A$120:$A$165&lt;='Cálculos'!$E$301)*(($C133)-$A$120:$A$165&lt;='Cálculos'!$E$297)*(('Cálculos'!$E$185*(1+'Cálculos'!$E$186+$A$120:$A$165*('Cálculos'!$E$290=1)*'Cálculos'!$E$97+'Cálculos'!$E$305)+'Cálculos'!$E$191)*('Cálculos'!$E$209+'Cálculos'!$E$124*(1+2.78*('Cálculos'!$E$196+(($C133)-$A$120:$A$165)*'Cálculos'!$E$98)/(('Cálculos'!$E$196+(($C133)-$A$120:$A$165)*'Cálculos'!$E$98)+1400)+'Cálculos'!$E$122)*'Cálculos'!$E$214+'Cálculos'!$E$125*(1+2.78*('Cálculos'!$E$196+(($C133)-$A$120:$A$165)*'Cálculos'!$E$98)/(('Cálculos'!$E$196+(($C133)-$A$120:$A$165)*'Cálculos'!$E$98)+1400)+'Cálculos'!$E$123)*'Cálculos'!$E$219)+('Cálculos'!$E$196+(($C133)-$A$120:$A$165)*'Cálculos'!$E$98)*('Cálculos'!$E$210+'Cálculos'!$E$124*(1+2.78*('Cálculos'!$E$196+(($C133)-$A$120:$A$165)*'Cálculos'!$E$98)/(('Cálculos'!$E$196+(($C133)-$A$120:$A$165)*'Cálculos'!$E$98)+1400)+'Cálculos'!$E$122)*'Cálculos'!$E$215+'Cálculos'!$E$125*(1+2.78*('Cálculos'!$E$196+(($C133)-$A$120:$A$165)*'Cálculos'!$E$98)/(('Cálculos'!$E$196+(($C133)-$A$120:$A$165)*'Cálculos'!$E$98)+1400)+'Cálculos'!$E$123)*'Cálculos'!$E$220)+('Cálculos'!$E$201*(1+'Cálculos'!$E$202+$A$120:$A$165*('Cálculos'!$E$290=2)*'Cálculos'!$E$101)+'Cálculos'!$E$203)*('Cálculos'!$E$211+'Cálculos'!$E$124*(1+2.78*('Cálculos'!$E$196+(($C133)-$A$120:$A$165)*'Cálculos'!$E$98)/(('Cálculos'!$E$196+(($C133)-$A$120:$A$165)*'Cálculos'!$E$98)+1400)+'Cálculos'!$E$122)*'Cálculos'!$E$216+'Cálculos'!$E$125*(1+2.78*('Cálculos'!$E$196+(($C133)-$A$120:$A$165)*'Cálculos'!$E$98)/(('Cálculos'!$E$196+(($C133)-$A$120:$A$165)*'Cálculos'!$E$98)+1400)+'Cálculos'!$E$123)*'Cálculos'!$E$221)+('Cálculos'!$E$204*(1+'Cálculos'!$E$205+$A$120:$A$165*('Cálculos'!$E$290=3)*'Cálculos'!$E$103)+'Cálculos'!$E$206)*('Cálculos'!$E$212+'Cálculos'!$E$124*(1+2.78*('Cálculos'!$E$196+(($C133)-$A$120:$A$165)*'Cálculos'!$E$98)/(('Cálculos'!$E$196+(($C133)-$A$120:$A$165)*'Cálculos'!$E$98)+1400)+'Cálculos'!$E$122)*'Cálculos'!$E$217+'Cálculos'!$E$125*(1+2.78*('Cálculos'!$E$196+(($C133)-$A$120:$A$165)*'Cálculos'!$E$98)/(('Cálculos'!$E$196+(($C133)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133)-$A$120:$A$165)*'Cálculos'!$E$98)/(('Cálculos'!$E$197+(($C133)-$A$120:$A$165)*'Cálculos'!$E$98)+1400)+'Cálculos'!$E$122)*'Cálculos'!$E$229+'Cálculos'!$E$125*(1+2.78*('Cálculos'!$E$197+(($C133)-$A$120:$A$165)*'Cálculos'!$E$98)/(('Cálculos'!$E$197+(($C133)-$A$120:$A$165)*'Cálculos'!$E$98)+1400)+'Cálculos'!$E$123)*'Cálculos'!$E$234)+('Cálculos'!$E$197+(($C133)-$A$120:$A$165)*'Cálculos'!$E$98)*('Cálculos'!$E$225+'Cálculos'!$E$124*(1+2.78*('Cálculos'!$E$197+(($C133)-$A$120:$A$165)*'Cálculos'!$E$98)/(('Cálculos'!$E$197+(($C133)-$A$120:$A$165)*'Cálculos'!$E$98)+1400)+'Cálculos'!$E$122)*'Cálculos'!$E$230+'Cálculos'!$E$125*(1+2.78*('Cálculos'!$E$197+(($C133)-$A$120:$A$165)*'Cálculos'!$E$98)/(('Cálculos'!$E$197+(($C133)-$A$120:$A$165)*'Cálculos'!$E$98)+1400)+'Cálculos'!$E$123)*'Cálculos'!$E$235)+('Cálculos'!$E$201*(1+'Cálculos'!$E$202+$A$120:$A$165*('Cálculos'!$E$290=2)*'Cálculos'!$E$101)+'Cálculos'!$E$203)*('Cálculos'!$E$226+'Cálculos'!$E$124*(1+2.78*('Cálculos'!$E$197+(($C133)-$A$120:$A$165)*'Cálculos'!$E$98)/(('Cálculos'!$E$197+(($C133)-$A$120:$A$165)*'Cálculos'!$E$98)+1400)+'Cálculos'!$E$122)*'Cálculos'!$E$231+'Cálculos'!$E$125*(1+2.78*('Cálculos'!$E$197+(($C133)-$A$120:$A$165)*'Cálculos'!$E$98)/(('Cálculos'!$E$197+(($C133)-$A$120:$A$165)*'Cálculos'!$E$98)+1400)+'Cálculos'!$E$123)*'Cálculos'!$E$236)+('Cálculos'!$E$204*(1+'Cálculos'!$E$205+$A$120:$A$165*('Cálculos'!$E$290=3)*'Cálculos'!$E$103)+'Cálculos'!$E$206)*('Cálculos'!$E$227+'Cálculos'!$E$124*(1+2.78*('Cálculos'!$E$197+(($C133)-$A$120:$A$165)*'Cálculos'!$E$98)/(('Cálculos'!$E$197+(($C133)-$A$120:$A$165)*'Cálculos'!$E$98)+1400)+'Cálculos'!$E$122)*'Cálculos'!$E$232+'Cálculos'!$E$125*(1+2.78*('Cálculos'!$E$197+(($C133)-$A$120:$A$165)*'Cálculos'!$E$98)/(('Cálculos'!$E$197+(($C133)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133)-$A$120:$A$165)*'Cálculos'!$E$98)/(('Cálculos'!$E$198+(($C133)-$A$120:$A$165)*'Cálculos'!$E$98)+1400)+'Cálculos'!$E$122)*'Cálculos'!$E$244+'Cálculos'!$E$125*(1+2.78*('Cálculos'!$E$198+(($C133)-$A$120:$A$165)*'Cálculos'!$E$98)/(('Cálculos'!$E$198+(($C133)-$A$120:$A$165)*'Cálculos'!$E$98)+1400)+'Cálculos'!$E$123)*'Cálculos'!$E$249)+('Cálculos'!$E$198+(($C133)-$A$120:$A$165)*'Cálculos'!$E$98)*('Cálculos'!$E$240+'Cálculos'!$E$124*(1+2.78*('Cálculos'!$E$198+(($C133)-$A$120:$A$165)*'Cálculos'!$E$98)/(('Cálculos'!$E$198+(($C133)-$A$120:$A$165)*'Cálculos'!$E$98)+1400)+'Cálculos'!$E$122)*'Cálculos'!$E$245+'Cálculos'!$E$125*(1+2.78*('Cálculos'!$E$198+(($C133)-$A$120:$A$165)*'Cálculos'!$E$98)/(('Cálculos'!$E$198+(($C133)-$A$120:$A$165)*'Cálculos'!$E$98)+1400)+'Cálculos'!$E$123)*'Cálculos'!$E$250)+('Cálculos'!$E$201*(1+'Cálculos'!$E$202+$A$120:$A$165*('Cálculos'!$E$290=2)*'Cálculos'!$E$101)+'Cálculos'!$E$203)*('Cálculos'!$E$241+'Cálculos'!$E$124*(1+2.78*('Cálculos'!$E$198+(($C133)-$A$120:$A$165)*'Cálculos'!$E$98)/(('Cálculos'!$E$198+(($C133)-$A$120:$A$165)*'Cálculos'!$E$98)+1400)+'Cálculos'!$E$122)*'Cálculos'!$E$246+'Cálculos'!$E$125*(1+2.78*('Cálculos'!$E$198+(($C133)-$A$120:$A$165)*'Cálculos'!$E$98)/(('Cálculos'!$E$198+(($C133)-$A$120:$A$165)*'Cálculos'!$E$98)+1400)+'Cálculos'!$E$123)*'Cálculos'!$E$251)+('Cálculos'!$E$204*(1+'Cálculos'!$E$205+$A$120:$A$165*('Cálculos'!$E$290=3)*'Cálculos'!$E$103)+'Cálculos'!$E$206)*('Cálculos'!$E$242+'Cálculos'!$E$124*(1+2.78*('Cálculos'!$E$198+(($C133)-$A$120:$A$165)*'Cálculos'!$E$98)/(('Cálculos'!$E$198+(($C133)-$A$120:$A$165)*'Cálculos'!$E$98)+1400)+'Cálculos'!$E$122)*'Cálculos'!$E$247+'Cálculos'!$E$125*(1+2.78*('Cálculos'!$E$198+(($C133)-$A$120:$A$165)*'Cálculos'!$E$98)/(('Cálculos'!$E$198+(($C133)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133)-$A$120:$A$165)*'Cálculos'!$E$98)/(('Cálculos'!$E$199+(($C133)-$A$120:$A$165)*'Cálculos'!$E$98)+1400)+'Cálculos'!$E$122)*'Cálculos'!$E$259+'Cálculos'!$E$125*(1+2.78*('Cálculos'!$E$199+(($C133)-$A$120:$A$165)*'Cálculos'!$E$98)/(('Cálculos'!$E$199+(($C133)-$A$120:$A$165)*'Cálculos'!$E$98)+1400)+'Cálculos'!$E$123)*'Cálculos'!$E$264)+('Cálculos'!$E$199+(($C133)-$A$120:$A$165)*'Cálculos'!$E$98)*('Cálculos'!$E$255+'Cálculos'!$E$124*(1+2.78*('Cálculos'!$E$199+(($C133)-$A$120:$A$165)*'Cálculos'!$E$98)/(('Cálculos'!$E$199+(($C133)-$A$120:$A$165)*'Cálculos'!$E$98)+1400)+'Cálculos'!$E$122)*'Cálculos'!$E$260+'Cálculos'!$E$125*(1+2.78*('Cálculos'!$E$199+(($C133)-$A$120:$A$165)*'Cálculos'!$E$98)/(('Cálculos'!$E$199+(($C133)-$A$120:$A$165)*'Cálculos'!$E$98)+1400)+'Cálculos'!$E$123)*'Cálculos'!$E$265)+('Cálculos'!$E$201*(1+'Cálculos'!$E$202+$A$120:$A$165*('Cálculos'!$E$290=2)*'Cálculos'!$E$101)+'Cálculos'!$E$203)*('Cálculos'!$E$256+'Cálculos'!$E$124*(1+2.78*('Cálculos'!$E$199+(($C133)-$A$120:$A$165)*'Cálculos'!$E$98)/(('Cálculos'!$E$199+(($C133)-$A$120:$A$165)*'Cálculos'!$E$98)+1400)+'Cálculos'!$E$122)*'Cálculos'!$E$261+'Cálculos'!$E$125*(1+2.78*('Cálculos'!$E$199+(($C133)-$A$120:$A$165)*'Cálculos'!$E$98)/(('Cálculos'!$E$199+(($C133)-$A$120:$A$165)*'Cálculos'!$E$98)+1400)+'Cálculos'!$E$123)*'Cálculos'!$E$266)+('Cálculos'!$E$204*(1+'Cálculos'!$E$205+$A$120:$A$165*('Cálculos'!$E$290=3)*'Cálculos'!$E$103)+'Cálculos'!$E$206)*('Cálculos'!$E$257+'Cálculos'!$E$124*(1+2.78*('Cálculos'!$E$199+(($C133)-$A$120:$A$165)*'Cálculos'!$E$98)/(('Cálculos'!$E$199+(($C133)-$A$120:$A$165)*'Cálculos'!$E$98)+1400)+'Cálculos'!$E$122)*'Cálculos'!$E$262+'Cálculos'!$E$125*(1+2.78*('Cálculos'!$E$199+(($C133)-$A$120:$A$165)*'Cálculos'!$E$98)/(('Cálculos'!$E$199+(($C133)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133)-$A$120:$A$165)*'Cálculos'!$E$98)/(('Cálculos'!$E$200+(($C133)-$A$120:$A$165)*'Cálculos'!$E$98)+1400)+'Cálculos'!$E$122)*'Cálculos'!$E$274+'Cálculos'!$E$125*(1+2.78*('Cálculos'!$E$200+(($C133)-$A$120:$A$165)*'Cálculos'!$E$98)/(('Cálculos'!$E$200+(($C133)-$A$120:$A$165)*'Cálculos'!$E$98)+1400)+'Cálculos'!$E$123)*'Cálculos'!$E$279)+('Cálculos'!$E$200+(($C133)-$A$120:$A$165)*'Cálculos'!$E$98)*('Cálculos'!$E$270+'Cálculos'!$E$124*(1+2.78*('Cálculos'!$E$200+(($C133)-$A$120:$A$165)*'Cálculos'!$E$98)/(('Cálculos'!$E$200+(($C133)-$A$120:$A$165)*'Cálculos'!$E$98)+1400)+'Cálculos'!$E$122)*'Cálculos'!$E$275+'Cálculos'!$E$125*(1+2.78*('Cálculos'!$E$200+(($C133)-$A$120:$A$165)*'Cálculos'!$E$98)/(('Cálculos'!$E$200+(($C133)-$A$120:$A$165)*'Cálculos'!$E$98)+1400)+'Cálculos'!$E$123)*'Cálculos'!$E$280)+('Cálculos'!$E$201*(1+'Cálculos'!$E$202+$A$120:$A$165*('Cálculos'!$E$290=2)*'Cálculos'!$E$101)+'Cálculos'!$E$203)*('Cálculos'!$E$271+'Cálculos'!$E$124*(1+2.78*('Cálculos'!$E$200+(($C133)-$A$120:$A$165)*'Cálculos'!$E$98)/(('Cálculos'!$E$200+(($C133)-$A$120:$A$165)*'Cálculos'!$E$98)+1400)+'Cálculos'!$E$122)*'Cálculos'!$E$276+'Cálculos'!$E$125*(1+2.78*('Cálculos'!$E$200+(($C133)-$A$120:$A$165)*'Cálculos'!$E$98)/(('Cálculos'!$E$200+(($C133)-$A$120:$A$165)*'Cálculos'!$E$98)+1400)+'Cálculos'!$E$123)*'Cálculos'!$E$281)+('Cálculos'!$E$204*(1+'Cálculos'!$E$205+$A$120:$A$165*('Cálculos'!$E$290=3)*'Cálculos'!$E$103)+'Cálculos'!$E$206)*('Cálculos'!$E$272+'Cálculos'!$E$124*(1+2.78*('Cálculos'!$E$200+(($C133)-$A$120:$A$165)*'Cálculos'!$E$98)/(('Cálculos'!$E$200+(($C133)-$A$120:$A$165)*'Cálculos'!$E$98)+1400)+'Cálculos'!$E$122)*'Cálculos'!$E$277+'Cálculos'!$E$125*(1+2.78*('Cálculos'!$E$200+(($C133)-$A$120:$A$165)*'Cálculos'!$E$98)/(('Cálculos'!$E$200+(($C133)-$A$120:$A$165)*'Cálculos'!$E$98)+1400)+'Cálculos'!$E$123)*'Cálculos'!$E$282)))))</f>
        <v>18580.03501</v>
      </c>
      <c r="E133" s="32">
        <f>IF(OR($C133&lt;0,'Cálculos'!$E$6=""),0,$B133*$D133)</f>
        <v>31339.31665</v>
      </c>
      <c r="F133" s="2"/>
      <c r="G133" s="30">
        <f>($A133&lt;=$B$167)*($A133&lt;='Cálculos'!$E$294)*(($B$167)-$A133&lt;='Cálculos'!$E$295)*(1+MIN(('Cálculos'!$E$207+$A133*'Cálculos'!$E$95),1)*('Cálculos'!$E$208+(($B$167)-$A133)*'Cálculos'!$E$96))</f>
        <v>1.540992</v>
      </c>
      <c r="H133" s="31">
        <f>IF($B$168&lt;0,0,($A133&lt;=$B$168)*($A133&lt;='Cálculos'!$E$301)*(($B$168)-$A133&lt;='Cálculos'!$E$297)*(('Cálculos'!$E$185*(1+'Cálculos'!$E$186+$A133*('Cálculos'!$E$290=1)*'Cálculos'!$E$97+'Cálculos'!$E$305)+'Cálculos'!$E$191)*('Cálculos'!$E$209+'Cálculos'!$E$124*(1+2.78*('Cálculos'!$E$196+(($B$168)-$A133)*'Cálculos'!$E$98)/(('Cálculos'!$E$196+(($B$168)-$A133)*'Cálculos'!$E$98)+1400)+'Cálculos'!$E$122)*'Cálculos'!$E$214+'Cálculos'!$E$125*(1+2.78*('Cálculos'!$E$196+(($B$168)-$A133)*'Cálculos'!$E$98)/(('Cálculos'!$E$196+(($B$168)-$A133)*'Cálculos'!$E$98)+1400)+'Cálculos'!$E$123)*'Cálculos'!$E$219)+('Cálculos'!$E$196+(($B$168)-$A133)*'Cálculos'!$E$98)*('Cálculos'!$E$210+'Cálculos'!$E$124*(1+2.78*('Cálculos'!$E$196+(($B$168)-$A133)*'Cálculos'!$E$98)/(('Cálculos'!$E$196+(($B$168)-$A133)*'Cálculos'!$E$98)+1400)+'Cálculos'!$E$122)*'Cálculos'!$E$215+'Cálculos'!$E$125*(1+2.78*('Cálculos'!$E$196+(($B$168)-$A133)*'Cálculos'!$E$98)/(('Cálculos'!$E$196+(($B$168)-$A133)*'Cálculos'!$E$98)+1400)+'Cálculos'!$E$123)*'Cálculos'!$E$220)+('Cálculos'!$E$201*(1+'Cálculos'!$E$202+$A133*('Cálculos'!$E$290=2)*'Cálculos'!$E$101)+'Cálculos'!$E$203)*('Cálculos'!$E$211+'Cálculos'!$E$124*(1+2.78*('Cálculos'!$E$196+(($B$168)-$A133)*'Cálculos'!$E$98)/(('Cálculos'!$E$196+(($B$168)-$A133)*'Cálculos'!$E$98)+1400)+'Cálculos'!$E$122)*'Cálculos'!$E$216+'Cálculos'!$E$125*(1+2.78*('Cálculos'!$E$196+(($B$168)-$A133)*'Cálculos'!$E$98)/(('Cálculos'!$E$196+(($B$168)-$A133)*'Cálculos'!$E$98)+1400)+'Cálculos'!$E$123)*'Cálculos'!$E$221)+('Cálculos'!$E$204*(1+'Cálculos'!$E$205+$A133*('Cálculos'!$E$290=3)*'Cálculos'!$E$103)+'Cálculos'!$E$206)*('Cálculos'!$E$212+'Cálculos'!$E$124*(1+2.78*('Cálculos'!$E$196+(($B$168)-$A133)*'Cálculos'!$E$98)/(('Cálculos'!$E$196+(($B$168)-$A133)*'Cálculos'!$E$98)+1400)+'Cálculos'!$E$122)*'Cálculos'!$E$217+'Cálculos'!$E$125*(1+2.78*('Cálculos'!$E$196+(($B$168)-$A133)*'Cálculos'!$E$98)/(('Cálculos'!$E$196+(($B$168)-$A133)*'Cálculos'!$E$98)+1400)+'Cálculos'!$E$123)*'Cálculos'!$E$222)+('Cálculos'!$E$185*(1+'Cálculos'!$E$187+$A133*('Cálculos'!$E$290=1)*'Cálculos'!$E$97+'Cálculos'!$E$305)+'Cálculos'!$E$192)*('Cálculos'!$E$224+'Cálculos'!$E$124*(1+2.78*('Cálculos'!$E$197+(($B$168)-$A133)*'Cálculos'!$E$98)/(('Cálculos'!$E$197+(($B$168)-$A133)*'Cálculos'!$E$98)+1400)+'Cálculos'!$E$122)*'Cálculos'!$E$229+'Cálculos'!$E$125*(1+2.78*('Cálculos'!$E$197+(($B$168)-$A133)*'Cálculos'!$E$98)/(('Cálculos'!$E$197+(($B$168)-$A133)*'Cálculos'!$E$98)+1400)+'Cálculos'!$E$123)*'Cálculos'!$E$234)+('Cálculos'!$E$197+(($B$168)-$A133)*'Cálculos'!$E$98)*('Cálculos'!$E$225+'Cálculos'!$E$124*(1+2.78*('Cálculos'!$E$197+(($B$168)-$A133)*'Cálculos'!$E$98)/(('Cálculos'!$E$197+(($B$168)-$A133)*'Cálculos'!$E$98)+1400)+'Cálculos'!$E$122)*'Cálculos'!$E$230+'Cálculos'!$E$125*(1+2.78*('Cálculos'!$E$197+(($B$168)-$A133)*'Cálculos'!$E$98)/(('Cálculos'!$E$197+(($B$168)-$A133)*'Cálculos'!$E$98)+1400)+'Cálculos'!$E$123)*'Cálculos'!$E$235)+('Cálculos'!$E$201*(1+'Cálculos'!$E$202+$A133*('Cálculos'!$E$290=2)*'Cálculos'!$E$101)+'Cálculos'!$E$203)*('Cálculos'!$E$226+'Cálculos'!$E$124*(1+2.78*('Cálculos'!$E$197+(($B$168)-$A133)*'Cálculos'!$E$98)/(('Cálculos'!$E$197+(($B$168)-$A133)*'Cálculos'!$E$98)+1400)+'Cálculos'!$E$122)*'Cálculos'!$E$231+'Cálculos'!$E$125*(1+2.78*('Cálculos'!$E$197+(($B$168)-$A133)*'Cálculos'!$E$98)/(('Cálculos'!$E$197+(($B$168)-$A133)*'Cálculos'!$E$98)+1400)+'Cálculos'!$E$123)*'Cálculos'!$E$236)+('Cálculos'!$E$204*(1+'Cálculos'!$E$205+$A133*('Cálculos'!$E$290=3)*'Cálculos'!$E$103)+'Cálculos'!$E$206)*('Cálculos'!$E$227+'Cálculos'!$E$124*(1+2.78*('Cálculos'!$E$197+(($B$168)-$A133)*'Cálculos'!$E$98)/(('Cálculos'!$E$197+(($B$168)-$A133)*'Cálculos'!$E$98)+1400)+'Cálculos'!$E$122)*'Cálculos'!$E$232+'Cálculos'!$E$125*(1+2.78*('Cálculos'!$E$197+(($B$168)-$A133)*'Cálculos'!$E$98)/(('Cálculos'!$E$197+(($B$168)-$A133)*'Cálculos'!$E$98)+1400)+'Cálculos'!$E$123)*'Cálculos'!$E$237)+('Cálculos'!$E$185*(1+'Cálculos'!$E$188+$A133*('Cálculos'!$E$290=1)*'Cálculos'!$E$97+'Cálculos'!$E$305)+'Cálculos'!$E$193)*('Cálculos'!$E$239+'Cálculos'!$E$124*(1+2.78*('Cálculos'!$E$198+(($B$168)-$A133)*'Cálculos'!$E$98)/(('Cálculos'!$E$198+(($B$168)-$A133)*'Cálculos'!$E$98)+1400)+'Cálculos'!$E$122)*'Cálculos'!$E$244+'Cálculos'!$E$125*(1+2.78*('Cálculos'!$E$198+(($B$168)-$A133)*'Cálculos'!$E$98)/(('Cálculos'!$E$198+(($B$168)-$A133)*'Cálculos'!$E$98)+1400)+'Cálculos'!$E$123)*'Cálculos'!$E$249)+('Cálculos'!$E$198+(($B$168)-$A133)*'Cálculos'!$E$98)*('Cálculos'!$E$240+'Cálculos'!$E$124*(1+2.78*('Cálculos'!$E$198+(($B$168)-$A133)*'Cálculos'!$E$98)/(('Cálculos'!$E$198+(($B$168)-$A133)*'Cálculos'!$E$98)+1400)+'Cálculos'!$E$122)*'Cálculos'!$E$245+'Cálculos'!$E$125*(1+2.78*('Cálculos'!$E$198+(($B$168)-$A133)*'Cálculos'!$E$98)/(('Cálculos'!$E$198+(($B$168)-$A133)*'Cálculos'!$E$98)+1400)+'Cálculos'!$E$123)*'Cálculos'!$E$250)+('Cálculos'!$E$201*(1+'Cálculos'!$E$202+$A133*('Cálculos'!$E$290=2)*'Cálculos'!$E$101)+'Cálculos'!$E$203)*('Cálculos'!$E$241+'Cálculos'!$E$124*(1+2.78*('Cálculos'!$E$198+(($B$168)-$A133)*'Cálculos'!$E$98)/(('Cálculos'!$E$198+(($B$168)-$A133)*'Cálculos'!$E$98)+1400)+'Cálculos'!$E$122)*'Cálculos'!$E$246+'Cálculos'!$E$125*(1+2.78*('Cálculos'!$E$198+(($B$168)-$A133)*'Cálculos'!$E$98)/(('Cálculos'!$E$198+(($B$168)-$A133)*'Cálculos'!$E$98)+1400)+'Cálculos'!$E$123)*'Cálculos'!$E$251)+('Cálculos'!$E$204*(1+'Cálculos'!$E$205+$A133*('Cálculos'!$E$290=3)*'Cálculos'!$E$103)+'Cálculos'!$E$206)*('Cálculos'!$E$242+'Cálculos'!$E$124*(1+2.78*('Cálculos'!$E$198+(($B$168)-$A133)*'Cálculos'!$E$98)/(('Cálculos'!$E$198+(($B$168)-$A133)*'Cálculos'!$E$98)+1400)+'Cálculos'!$E$122)*'Cálculos'!$E$247+'Cálculos'!$E$125*(1+2.78*('Cálculos'!$E$198+(($B$168)-$A133)*'Cálculos'!$E$98)/(('Cálculos'!$E$198+(($B$168)-$A133)*'Cálculos'!$E$98)+1400)+'Cálculos'!$E$123)*'Cálculos'!$E$252)+('Cálculos'!$E$185*(1+'Cálculos'!$E$189+$A133*('Cálculos'!$E$290=1)*'Cálculos'!$E$97+'Cálculos'!$E$305)+'Cálculos'!$E$194)*('Cálculos'!$E$254+'Cálculos'!$E$124*(1+2.78*('Cálculos'!$E$199+(($B$168)-$A133)*'Cálculos'!$E$98)/(('Cálculos'!$E$199+(($B$168)-$A133)*'Cálculos'!$E$98)+1400)+'Cálculos'!$E$122)*'Cálculos'!$E$259+'Cálculos'!$E$125*(1+2.78*('Cálculos'!$E$199+(($B$168)-$A133)*'Cálculos'!$E$98)/(('Cálculos'!$E$199+(($B$168)-$A133)*'Cálculos'!$E$98)+1400)+'Cálculos'!$E$123)*'Cálculos'!$E$264)+('Cálculos'!$E$199+(($B$168)-$A133)*'Cálculos'!$E$98)*('Cálculos'!$E$255+'Cálculos'!$E$124*(1+2.78*('Cálculos'!$E$199+(($B$168)-$A133)*'Cálculos'!$E$98)/(('Cálculos'!$E$199+(($B$168)-$A133)*'Cálculos'!$E$98)+1400)+'Cálculos'!$E$122)*'Cálculos'!$E$260+'Cálculos'!$E$125*(1+2.78*('Cálculos'!$E$199+(($B$168)-$A133)*'Cálculos'!$E$98)/(('Cálculos'!$E$199+(($B$168)-$A133)*'Cálculos'!$E$98)+1400)+'Cálculos'!$E$123)*'Cálculos'!$E$265)+('Cálculos'!$E$201*(1+'Cálculos'!$E$202+$A133*('Cálculos'!$E$290=2)*'Cálculos'!$E$101)+'Cálculos'!$E$203)*('Cálculos'!$E$256+'Cálculos'!$E$124*(1+2.78*('Cálculos'!$E$199+(($B$168)-$A133)*'Cálculos'!$E$98)/(('Cálculos'!$E$199+(($B$168)-$A133)*'Cálculos'!$E$98)+1400)+'Cálculos'!$E$122)*'Cálculos'!$E$261+'Cálculos'!$E$125*(1+2.78*('Cálculos'!$E$199+(($B$168)-$A133)*'Cálculos'!$E$98)/(('Cálculos'!$E$199+(($B$168)-$A133)*'Cálculos'!$E$98)+1400)+'Cálculos'!$E$123)*'Cálculos'!$E$266)+('Cálculos'!$E$204*(1+'Cálculos'!$E$205+$A133*('Cálculos'!$E$290=3)*'Cálculos'!$E$103)+'Cálculos'!$E$206)*('Cálculos'!$E$257+'Cálculos'!$E$124*(1+2.78*('Cálculos'!$E$199+(($B$168)-$A133)*'Cálculos'!$E$98)/(('Cálculos'!$E$199+(($B$168)-$A133)*'Cálculos'!$E$98)+1400)+'Cálculos'!$E$122)*'Cálculos'!$E$262+'Cálculos'!$E$125*(1+2.78*('Cálculos'!$E$199+(($B$168)-$A133)*'Cálculos'!$E$98)/(('Cálculos'!$E$199+(($B$168)-$A133)*'Cálculos'!$E$98)+1400)+'Cálculos'!$E$123)*'Cálculos'!$E$267)+('Cálculos'!$E$185*(1+'Cálculos'!$E$190+$A133*('Cálculos'!$E$290=1)*'Cálculos'!$E$97+'Cálculos'!$E$305)+'Cálculos'!$E$195)*('Cálculos'!$E$269+'Cálculos'!$E$124*(1+2.78*('Cálculos'!$E$200+(($B$168)-$A133)*'Cálculos'!$E$98)/(('Cálculos'!$E$200+(($B$168)-$A133)*'Cálculos'!$E$98)+1400)+'Cálculos'!$E$122)*'Cálculos'!$E$274+'Cálculos'!$E$125*(1+2.78*('Cálculos'!$E$200+(($B$168)-$A133)*'Cálculos'!$E$98)/(('Cálculos'!$E$200+(($B$168)-$A133)*'Cálculos'!$E$98)+1400)+'Cálculos'!$E$123)*'Cálculos'!$E$279)+('Cálculos'!$E$200+(($B$168)-$A133)*'Cálculos'!$E$98)*('Cálculos'!$E$270+'Cálculos'!$E$124*(1+2.78*('Cálculos'!$E$200+(($B$168)-$A133)*'Cálculos'!$E$98)/(('Cálculos'!$E$200+(($B$168)-$A133)*'Cálculos'!$E$98)+1400)+'Cálculos'!$E$122)*'Cálculos'!$E$275+'Cálculos'!$E$125*(1+2.78*('Cálculos'!$E$200+(($B$168)-$A133)*'Cálculos'!$E$98)/(('Cálculos'!$E$200+(($B$168)-$A133)*'Cálculos'!$E$98)+1400)+'Cálculos'!$E$123)*'Cálculos'!$E$280)+('Cálculos'!$E$201*(1+'Cálculos'!$E$202+$A133*('Cálculos'!$E$290=2)*'Cálculos'!$E$101)+'Cálculos'!$E$203)*('Cálculos'!$E$271+'Cálculos'!$E$124*(1+2.78*('Cálculos'!$E$200+(($B$168)-$A133)*'Cálculos'!$E$98)/(('Cálculos'!$E$200+(($B$168)-$A133)*'Cálculos'!$E$98)+1400)+'Cálculos'!$E$122)*'Cálculos'!$E$276+'Cálculos'!$E$125*(1+2.78*('Cálculos'!$E$200+(($B$168)-$A133)*'Cálculos'!$E$98)/(('Cálculos'!$E$200+(($B$168)-$A133)*'Cálculos'!$E$98)+1400)+'Cálculos'!$E$123)*'Cálculos'!$E$281)+('Cálculos'!$E$204*(1+'Cálculos'!$E$205+$A133*('Cálculos'!$E$290=3)*'Cálculos'!$E$103)+'Cálculos'!$E$206)*('Cálculos'!$E$272+'Cálculos'!$E$124*(1+2.78*('Cálculos'!$E$200+(($B$168)-$A133)*'Cálculos'!$E$98)/(('Cálculos'!$E$200+(($B$168)-$A133)*'Cálculos'!$E$98)+1400)+'Cálculos'!$E$122)*'Cálculos'!$E$277+'Cálculos'!$E$125*(1+2.78*('Cálculos'!$E$200+(($B$168)-$A133)*'Cálculos'!$E$98)/(('Cálculos'!$E$200+(($B$168)-$A133)*'Cálculos'!$E$98)+1400)+'Cálculos'!$E$123)*'Cálculos'!$E$282)))</f>
        <v>0</v>
      </c>
    </row>
    <row r="134" ht="15.75" customHeight="1">
      <c r="A134" s="2">
        <v>14.0</v>
      </c>
      <c r="B134" s="30">
        <f>SUMPRODUCT(MAX(($A$120:$A$165&lt;=$A134)*($A$120:$A$165&lt;='Cálculos'!$E$294)*(($A134)-$A$120:$A$165&lt;='Cálculos'!$E$295)*(1+(('Cálculos'!$E$207+$A$120:$A$165*'Cálculos'!$E$95)-(('Cálculos'!$E$207+$A$120:$A$165*'Cálculos'!$E$95)&gt;1)*(('Cálculos'!$E$207+$A$120:$A$165*'Cálculos'!$E$95)-1))*('Cálculos'!$E$208+(($A134)-$A$120:$A$165)*'Cálculos'!$E$96))))</f>
        <v>1.725792</v>
      </c>
      <c r="C134" s="2">
        <f>'Cálculos'!$E$303-$A134</f>
        <v>-1</v>
      </c>
      <c r="D134" s="31">
        <f>IF($C134&lt;0,0,SUMPRODUCT(MAX(($A$120:$A$165&lt;=$C134)*($A$120:$A$165&lt;='Cálculos'!$E$301)*(($C134)-$A$120:$A$165&lt;='Cálculos'!$E$297)*(('Cálculos'!$E$185*(1+'Cálculos'!$E$186+$A$120:$A$165*('Cálculos'!$E$290=1)*'Cálculos'!$E$97+'Cálculos'!$E$305)+'Cálculos'!$E$191)*('Cálculos'!$E$209+'Cálculos'!$E$124*(1+2.78*('Cálculos'!$E$196+(($C134)-$A$120:$A$165)*'Cálculos'!$E$98)/(('Cálculos'!$E$196+(($C134)-$A$120:$A$165)*'Cálculos'!$E$98)+1400)+'Cálculos'!$E$122)*'Cálculos'!$E$214+'Cálculos'!$E$125*(1+2.78*('Cálculos'!$E$196+(($C134)-$A$120:$A$165)*'Cálculos'!$E$98)/(('Cálculos'!$E$196+(($C134)-$A$120:$A$165)*'Cálculos'!$E$98)+1400)+'Cálculos'!$E$123)*'Cálculos'!$E$219)+('Cálculos'!$E$196+(($C134)-$A$120:$A$165)*'Cálculos'!$E$98)*('Cálculos'!$E$210+'Cálculos'!$E$124*(1+2.78*('Cálculos'!$E$196+(($C134)-$A$120:$A$165)*'Cálculos'!$E$98)/(('Cálculos'!$E$196+(($C134)-$A$120:$A$165)*'Cálculos'!$E$98)+1400)+'Cálculos'!$E$122)*'Cálculos'!$E$215+'Cálculos'!$E$125*(1+2.78*('Cálculos'!$E$196+(($C134)-$A$120:$A$165)*'Cálculos'!$E$98)/(('Cálculos'!$E$196+(($C134)-$A$120:$A$165)*'Cálculos'!$E$98)+1400)+'Cálculos'!$E$123)*'Cálculos'!$E$220)+('Cálculos'!$E$201*(1+'Cálculos'!$E$202+$A$120:$A$165*('Cálculos'!$E$290=2)*'Cálculos'!$E$101)+'Cálculos'!$E$203)*('Cálculos'!$E$211+'Cálculos'!$E$124*(1+2.78*('Cálculos'!$E$196+(($C134)-$A$120:$A$165)*'Cálculos'!$E$98)/(('Cálculos'!$E$196+(($C134)-$A$120:$A$165)*'Cálculos'!$E$98)+1400)+'Cálculos'!$E$122)*'Cálculos'!$E$216+'Cálculos'!$E$125*(1+2.78*('Cálculos'!$E$196+(($C134)-$A$120:$A$165)*'Cálculos'!$E$98)/(('Cálculos'!$E$196+(($C134)-$A$120:$A$165)*'Cálculos'!$E$98)+1400)+'Cálculos'!$E$123)*'Cálculos'!$E$221)+('Cálculos'!$E$204*(1+'Cálculos'!$E$205+$A$120:$A$165*('Cálculos'!$E$290=3)*'Cálculos'!$E$103)+'Cálculos'!$E$206)*('Cálculos'!$E$212+'Cálculos'!$E$124*(1+2.78*('Cálculos'!$E$196+(($C134)-$A$120:$A$165)*'Cálculos'!$E$98)/(('Cálculos'!$E$196+(($C134)-$A$120:$A$165)*'Cálculos'!$E$98)+1400)+'Cálculos'!$E$122)*'Cálculos'!$E$217+'Cálculos'!$E$125*(1+2.78*('Cálculos'!$E$196+(($C134)-$A$120:$A$165)*'Cálculos'!$E$98)/(('Cálculos'!$E$196+(($C134)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134)-$A$120:$A$165)*'Cálculos'!$E$98)/(('Cálculos'!$E$197+(($C134)-$A$120:$A$165)*'Cálculos'!$E$98)+1400)+'Cálculos'!$E$122)*'Cálculos'!$E$229+'Cálculos'!$E$125*(1+2.78*('Cálculos'!$E$197+(($C134)-$A$120:$A$165)*'Cálculos'!$E$98)/(('Cálculos'!$E$197+(($C134)-$A$120:$A$165)*'Cálculos'!$E$98)+1400)+'Cálculos'!$E$123)*'Cálculos'!$E$234)+('Cálculos'!$E$197+(($C134)-$A$120:$A$165)*'Cálculos'!$E$98)*('Cálculos'!$E$225+'Cálculos'!$E$124*(1+2.78*('Cálculos'!$E$197+(($C134)-$A$120:$A$165)*'Cálculos'!$E$98)/(('Cálculos'!$E$197+(($C134)-$A$120:$A$165)*'Cálculos'!$E$98)+1400)+'Cálculos'!$E$122)*'Cálculos'!$E$230+'Cálculos'!$E$125*(1+2.78*('Cálculos'!$E$197+(($C134)-$A$120:$A$165)*'Cálculos'!$E$98)/(('Cálculos'!$E$197+(($C134)-$A$120:$A$165)*'Cálculos'!$E$98)+1400)+'Cálculos'!$E$123)*'Cálculos'!$E$235)+('Cálculos'!$E$201*(1+'Cálculos'!$E$202+$A$120:$A$165*('Cálculos'!$E$290=2)*'Cálculos'!$E$101)+'Cálculos'!$E$203)*('Cálculos'!$E$226+'Cálculos'!$E$124*(1+2.78*('Cálculos'!$E$197+(($C134)-$A$120:$A$165)*'Cálculos'!$E$98)/(('Cálculos'!$E$197+(($C134)-$A$120:$A$165)*'Cálculos'!$E$98)+1400)+'Cálculos'!$E$122)*'Cálculos'!$E$231+'Cálculos'!$E$125*(1+2.78*('Cálculos'!$E$197+(($C134)-$A$120:$A$165)*'Cálculos'!$E$98)/(('Cálculos'!$E$197+(($C134)-$A$120:$A$165)*'Cálculos'!$E$98)+1400)+'Cálculos'!$E$123)*'Cálculos'!$E$236)+('Cálculos'!$E$204*(1+'Cálculos'!$E$205+$A$120:$A$165*('Cálculos'!$E$290=3)*'Cálculos'!$E$103)+'Cálculos'!$E$206)*('Cálculos'!$E$227+'Cálculos'!$E$124*(1+2.78*('Cálculos'!$E$197+(($C134)-$A$120:$A$165)*'Cálculos'!$E$98)/(('Cálculos'!$E$197+(($C134)-$A$120:$A$165)*'Cálculos'!$E$98)+1400)+'Cálculos'!$E$122)*'Cálculos'!$E$232+'Cálculos'!$E$125*(1+2.78*('Cálculos'!$E$197+(($C134)-$A$120:$A$165)*'Cálculos'!$E$98)/(('Cálculos'!$E$197+(($C134)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134)-$A$120:$A$165)*'Cálculos'!$E$98)/(('Cálculos'!$E$198+(($C134)-$A$120:$A$165)*'Cálculos'!$E$98)+1400)+'Cálculos'!$E$122)*'Cálculos'!$E$244+'Cálculos'!$E$125*(1+2.78*('Cálculos'!$E$198+(($C134)-$A$120:$A$165)*'Cálculos'!$E$98)/(('Cálculos'!$E$198+(($C134)-$A$120:$A$165)*'Cálculos'!$E$98)+1400)+'Cálculos'!$E$123)*'Cálculos'!$E$249)+('Cálculos'!$E$198+(($C134)-$A$120:$A$165)*'Cálculos'!$E$98)*('Cálculos'!$E$240+'Cálculos'!$E$124*(1+2.78*('Cálculos'!$E$198+(($C134)-$A$120:$A$165)*'Cálculos'!$E$98)/(('Cálculos'!$E$198+(($C134)-$A$120:$A$165)*'Cálculos'!$E$98)+1400)+'Cálculos'!$E$122)*'Cálculos'!$E$245+'Cálculos'!$E$125*(1+2.78*('Cálculos'!$E$198+(($C134)-$A$120:$A$165)*'Cálculos'!$E$98)/(('Cálculos'!$E$198+(($C134)-$A$120:$A$165)*'Cálculos'!$E$98)+1400)+'Cálculos'!$E$123)*'Cálculos'!$E$250)+('Cálculos'!$E$201*(1+'Cálculos'!$E$202+$A$120:$A$165*('Cálculos'!$E$290=2)*'Cálculos'!$E$101)+'Cálculos'!$E$203)*('Cálculos'!$E$241+'Cálculos'!$E$124*(1+2.78*('Cálculos'!$E$198+(($C134)-$A$120:$A$165)*'Cálculos'!$E$98)/(('Cálculos'!$E$198+(($C134)-$A$120:$A$165)*'Cálculos'!$E$98)+1400)+'Cálculos'!$E$122)*'Cálculos'!$E$246+'Cálculos'!$E$125*(1+2.78*('Cálculos'!$E$198+(($C134)-$A$120:$A$165)*'Cálculos'!$E$98)/(('Cálculos'!$E$198+(($C134)-$A$120:$A$165)*'Cálculos'!$E$98)+1400)+'Cálculos'!$E$123)*'Cálculos'!$E$251)+('Cálculos'!$E$204*(1+'Cálculos'!$E$205+$A$120:$A$165*('Cálculos'!$E$290=3)*'Cálculos'!$E$103)+'Cálculos'!$E$206)*('Cálculos'!$E$242+'Cálculos'!$E$124*(1+2.78*('Cálculos'!$E$198+(($C134)-$A$120:$A$165)*'Cálculos'!$E$98)/(('Cálculos'!$E$198+(($C134)-$A$120:$A$165)*'Cálculos'!$E$98)+1400)+'Cálculos'!$E$122)*'Cálculos'!$E$247+'Cálculos'!$E$125*(1+2.78*('Cálculos'!$E$198+(($C134)-$A$120:$A$165)*'Cálculos'!$E$98)/(('Cálculos'!$E$198+(($C134)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134)-$A$120:$A$165)*'Cálculos'!$E$98)/(('Cálculos'!$E$199+(($C134)-$A$120:$A$165)*'Cálculos'!$E$98)+1400)+'Cálculos'!$E$122)*'Cálculos'!$E$259+'Cálculos'!$E$125*(1+2.78*('Cálculos'!$E$199+(($C134)-$A$120:$A$165)*'Cálculos'!$E$98)/(('Cálculos'!$E$199+(($C134)-$A$120:$A$165)*'Cálculos'!$E$98)+1400)+'Cálculos'!$E$123)*'Cálculos'!$E$264)+('Cálculos'!$E$199+(($C134)-$A$120:$A$165)*'Cálculos'!$E$98)*('Cálculos'!$E$255+'Cálculos'!$E$124*(1+2.78*('Cálculos'!$E$199+(($C134)-$A$120:$A$165)*'Cálculos'!$E$98)/(('Cálculos'!$E$199+(($C134)-$A$120:$A$165)*'Cálculos'!$E$98)+1400)+'Cálculos'!$E$122)*'Cálculos'!$E$260+'Cálculos'!$E$125*(1+2.78*('Cálculos'!$E$199+(($C134)-$A$120:$A$165)*'Cálculos'!$E$98)/(('Cálculos'!$E$199+(($C134)-$A$120:$A$165)*'Cálculos'!$E$98)+1400)+'Cálculos'!$E$123)*'Cálculos'!$E$265)+('Cálculos'!$E$201*(1+'Cálculos'!$E$202+$A$120:$A$165*('Cálculos'!$E$290=2)*'Cálculos'!$E$101)+'Cálculos'!$E$203)*('Cálculos'!$E$256+'Cálculos'!$E$124*(1+2.78*('Cálculos'!$E$199+(($C134)-$A$120:$A$165)*'Cálculos'!$E$98)/(('Cálculos'!$E$199+(($C134)-$A$120:$A$165)*'Cálculos'!$E$98)+1400)+'Cálculos'!$E$122)*'Cálculos'!$E$261+'Cálculos'!$E$125*(1+2.78*('Cálculos'!$E$199+(($C134)-$A$120:$A$165)*'Cálculos'!$E$98)/(('Cálculos'!$E$199+(($C134)-$A$120:$A$165)*'Cálculos'!$E$98)+1400)+'Cálculos'!$E$123)*'Cálculos'!$E$266)+('Cálculos'!$E$204*(1+'Cálculos'!$E$205+$A$120:$A$165*('Cálculos'!$E$290=3)*'Cálculos'!$E$103)+'Cálculos'!$E$206)*('Cálculos'!$E$257+'Cálculos'!$E$124*(1+2.78*('Cálculos'!$E$199+(($C134)-$A$120:$A$165)*'Cálculos'!$E$98)/(('Cálculos'!$E$199+(($C134)-$A$120:$A$165)*'Cálculos'!$E$98)+1400)+'Cálculos'!$E$122)*'Cálculos'!$E$262+'Cálculos'!$E$125*(1+2.78*('Cálculos'!$E$199+(($C134)-$A$120:$A$165)*'Cálculos'!$E$98)/(('Cálculos'!$E$199+(($C134)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134)-$A$120:$A$165)*'Cálculos'!$E$98)/(('Cálculos'!$E$200+(($C134)-$A$120:$A$165)*'Cálculos'!$E$98)+1400)+'Cálculos'!$E$122)*'Cálculos'!$E$274+'Cálculos'!$E$125*(1+2.78*('Cálculos'!$E$200+(($C134)-$A$120:$A$165)*'Cálculos'!$E$98)/(('Cálculos'!$E$200+(($C134)-$A$120:$A$165)*'Cálculos'!$E$98)+1400)+'Cálculos'!$E$123)*'Cálculos'!$E$279)+('Cálculos'!$E$200+(($C134)-$A$120:$A$165)*'Cálculos'!$E$98)*('Cálculos'!$E$270+'Cálculos'!$E$124*(1+2.78*('Cálculos'!$E$200+(($C134)-$A$120:$A$165)*'Cálculos'!$E$98)/(('Cálculos'!$E$200+(($C134)-$A$120:$A$165)*'Cálculos'!$E$98)+1400)+'Cálculos'!$E$122)*'Cálculos'!$E$275+'Cálculos'!$E$125*(1+2.78*('Cálculos'!$E$200+(($C134)-$A$120:$A$165)*'Cálculos'!$E$98)/(('Cálculos'!$E$200+(($C134)-$A$120:$A$165)*'Cálculos'!$E$98)+1400)+'Cálculos'!$E$123)*'Cálculos'!$E$280)+('Cálculos'!$E$201*(1+'Cálculos'!$E$202+$A$120:$A$165*('Cálculos'!$E$290=2)*'Cálculos'!$E$101)+'Cálculos'!$E$203)*('Cálculos'!$E$271+'Cálculos'!$E$124*(1+2.78*('Cálculos'!$E$200+(($C134)-$A$120:$A$165)*'Cálculos'!$E$98)/(('Cálculos'!$E$200+(($C134)-$A$120:$A$165)*'Cálculos'!$E$98)+1400)+'Cálculos'!$E$122)*'Cálculos'!$E$276+'Cálculos'!$E$125*(1+2.78*('Cálculos'!$E$200+(($C134)-$A$120:$A$165)*'Cálculos'!$E$98)/(('Cálculos'!$E$200+(($C134)-$A$120:$A$165)*'Cálculos'!$E$98)+1400)+'Cálculos'!$E$123)*'Cálculos'!$E$281)+('Cálculos'!$E$204*(1+'Cálculos'!$E$205+$A$120:$A$165*('Cálculos'!$E$290=3)*'Cálculos'!$E$103)+'Cálculos'!$E$206)*('Cálculos'!$E$272+'Cálculos'!$E$124*(1+2.78*('Cálculos'!$E$200+(($C134)-$A$120:$A$165)*'Cálculos'!$E$98)/(('Cálculos'!$E$200+(($C134)-$A$120:$A$165)*'Cálculos'!$E$98)+1400)+'Cálculos'!$E$122)*'Cálculos'!$E$277+'Cálculos'!$E$125*(1+2.78*('Cálculos'!$E$200+(($C134)-$A$120:$A$165)*'Cálculos'!$E$98)/(('Cálculos'!$E$200+(($C134)-$A$120:$A$165)*'Cálculos'!$E$98)+1400)+'Cálculos'!$E$123)*'Cálculos'!$E$282)))))</f>
        <v>0</v>
      </c>
      <c r="E134" s="32">
        <f>IF(OR($C134&lt;0,'Cálculos'!$E$6=""),0,$B134*$D134)</f>
        <v>0</v>
      </c>
      <c r="F134" s="2"/>
      <c r="G134" s="30">
        <f>($A134&lt;=$B$167)*($A134&lt;='Cálculos'!$E$294)*(($B$167)-$A134&lt;='Cálculos'!$E$295)*(1+MIN(('Cálculos'!$E$207+$A134*'Cálculos'!$E$95),1)*('Cálculos'!$E$208+(($B$167)-$A134)*'Cálculos'!$E$96))</f>
        <v>0</v>
      </c>
      <c r="H134" s="31">
        <f>IF($B$168&lt;0,0,($A134&lt;=$B$168)*($A134&lt;='Cálculos'!$E$301)*(($B$168)-$A134&lt;='Cálculos'!$E$297)*(('Cálculos'!$E$185*(1+'Cálculos'!$E$186+$A134*('Cálculos'!$E$290=1)*'Cálculos'!$E$97+'Cálculos'!$E$305)+'Cálculos'!$E$191)*('Cálculos'!$E$209+'Cálculos'!$E$124*(1+2.78*('Cálculos'!$E$196+(($B$168)-$A134)*'Cálculos'!$E$98)/(('Cálculos'!$E$196+(($B$168)-$A134)*'Cálculos'!$E$98)+1400)+'Cálculos'!$E$122)*'Cálculos'!$E$214+'Cálculos'!$E$125*(1+2.78*('Cálculos'!$E$196+(($B$168)-$A134)*'Cálculos'!$E$98)/(('Cálculos'!$E$196+(($B$168)-$A134)*'Cálculos'!$E$98)+1400)+'Cálculos'!$E$123)*'Cálculos'!$E$219)+('Cálculos'!$E$196+(($B$168)-$A134)*'Cálculos'!$E$98)*('Cálculos'!$E$210+'Cálculos'!$E$124*(1+2.78*('Cálculos'!$E$196+(($B$168)-$A134)*'Cálculos'!$E$98)/(('Cálculos'!$E$196+(($B$168)-$A134)*'Cálculos'!$E$98)+1400)+'Cálculos'!$E$122)*'Cálculos'!$E$215+'Cálculos'!$E$125*(1+2.78*('Cálculos'!$E$196+(($B$168)-$A134)*'Cálculos'!$E$98)/(('Cálculos'!$E$196+(($B$168)-$A134)*'Cálculos'!$E$98)+1400)+'Cálculos'!$E$123)*'Cálculos'!$E$220)+('Cálculos'!$E$201*(1+'Cálculos'!$E$202+$A134*('Cálculos'!$E$290=2)*'Cálculos'!$E$101)+'Cálculos'!$E$203)*('Cálculos'!$E$211+'Cálculos'!$E$124*(1+2.78*('Cálculos'!$E$196+(($B$168)-$A134)*'Cálculos'!$E$98)/(('Cálculos'!$E$196+(($B$168)-$A134)*'Cálculos'!$E$98)+1400)+'Cálculos'!$E$122)*'Cálculos'!$E$216+'Cálculos'!$E$125*(1+2.78*('Cálculos'!$E$196+(($B$168)-$A134)*'Cálculos'!$E$98)/(('Cálculos'!$E$196+(($B$168)-$A134)*'Cálculos'!$E$98)+1400)+'Cálculos'!$E$123)*'Cálculos'!$E$221)+('Cálculos'!$E$204*(1+'Cálculos'!$E$205+$A134*('Cálculos'!$E$290=3)*'Cálculos'!$E$103)+'Cálculos'!$E$206)*('Cálculos'!$E$212+'Cálculos'!$E$124*(1+2.78*('Cálculos'!$E$196+(($B$168)-$A134)*'Cálculos'!$E$98)/(('Cálculos'!$E$196+(($B$168)-$A134)*'Cálculos'!$E$98)+1400)+'Cálculos'!$E$122)*'Cálculos'!$E$217+'Cálculos'!$E$125*(1+2.78*('Cálculos'!$E$196+(($B$168)-$A134)*'Cálculos'!$E$98)/(('Cálculos'!$E$196+(($B$168)-$A134)*'Cálculos'!$E$98)+1400)+'Cálculos'!$E$123)*'Cálculos'!$E$222)+('Cálculos'!$E$185*(1+'Cálculos'!$E$187+$A134*('Cálculos'!$E$290=1)*'Cálculos'!$E$97+'Cálculos'!$E$305)+'Cálculos'!$E$192)*('Cálculos'!$E$224+'Cálculos'!$E$124*(1+2.78*('Cálculos'!$E$197+(($B$168)-$A134)*'Cálculos'!$E$98)/(('Cálculos'!$E$197+(($B$168)-$A134)*'Cálculos'!$E$98)+1400)+'Cálculos'!$E$122)*'Cálculos'!$E$229+'Cálculos'!$E$125*(1+2.78*('Cálculos'!$E$197+(($B$168)-$A134)*'Cálculos'!$E$98)/(('Cálculos'!$E$197+(($B$168)-$A134)*'Cálculos'!$E$98)+1400)+'Cálculos'!$E$123)*'Cálculos'!$E$234)+('Cálculos'!$E$197+(($B$168)-$A134)*'Cálculos'!$E$98)*('Cálculos'!$E$225+'Cálculos'!$E$124*(1+2.78*('Cálculos'!$E$197+(($B$168)-$A134)*'Cálculos'!$E$98)/(('Cálculos'!$E$197+(($B$168)-$A134)*'Cálculos'!$E$98)+1400)+'Cálculos'!$E$122)*'Cálculos'!$E$230+'Cálculos'!$E$125*(1+2.78*('Cálculos'!$E$197+(($B$168)-$A134)*'Cálculos'!$E$98)/(('Cálculos'!$E$197+(($B$168)-$A134)*'Cálculos'!$E$98)+1400)+'Cálculos'!$E$123)*'Cálculos'!$E$235)+('Cálculos'!$E$201*(1+'Cálculos'!$E$202+$A134*('Cálculos'!$E$290=2)*'Cálculos'!$E$101)+'Cálculos'!$E$203)*('Cálculos'!$E$226+'Cálculos'!$E$124*(1+2.78*('Cálculos'!$E$197+(($B$168)-$A134)*'Cálculos'!$E$98)/(('Cálculos'!$E$197+(($B$168)-$A134)*'Cálculos'!$E$98)+1400)+'Cálculos'!$E$122)*'Cálculos'!$E$231+'Cálculos'!$E$125*(1+2.78*('Cálculos'!$E$197+(($B$168)-$A134)*'Cálculos'!$E$98)/(('Cálculos'!$E$197+(($B$168)-$A134)*'Cálculos'!$E$98)+1400)+'Cálculos'!$E$123)*'Cálculos'!$E$236)+('Cálculos'!$E$204*(1+'Cálculos'!$E$205+$A134*('Cálculos'!$E$290=3)*'Cálculos'!$E$103)+'Cálculos'!$E$206)*('Cálculos'!$E$227+'Cálculos'!$E$124*(1+2.78*('Cálculos'!$E$197+(($B$168)-$A134)*'Cálculos'!$E$98)/(('Cálculos'!$E$197+(($B$168)-$A134)*'Cálculos'!$E$98)+1400)+'Cálculos'!$E$122)*'Cálculos'!$E$232+'Cálculos'!$E$125*(1+2.78*('Cálculos'!$E$197+(($B$168)-$A134)*'Cálculos'!$E$98)/(('Cálculos'!$E$197+(($B$168)-$A134)*'Cálculos'!$E$98)+1400)+'Cálculos'!$E$123)*'Cálculos'!$E$237)+('Cálculos'!$E$185*(1+'Cálculos'!$E$188+$A134*('Cálculos'!$E$290=1)*'Cálculos'!$E$97+'Cálculos'!$E$305)+'Cálculos'!$E$193)*('Cálculos'!$E$239+'Cálculos'!$E$124*(1+2.78*('Cálculos'!$E$198+(($B$168)-$A134)*'Cálculos'!$E$98)/(('Cálculos'!$E$198+(($B$168)-$A134)*'Cálculos'!$E$98)+1400)+'Cálculos'!$E$122)*'Cálculos'!$E$244+'Cálculos'!$E$125*(1+2.78*('Cálculos'!$E$198+(($B$168)-$A134)*'Cálculos'!$E$98)/(('Cálculos'!$E$198+(($B$168)-$A134)*'Cálculos'!$E$98)+1400)+'Cálculos'!$E$123)*'Cálculos'!$E$249)+('Cálculos'!$E$198+(($B$168)-$A134)*'Cálculos'!$E$98)*('Cálculos'!$E$240+'Cálculos'!$E$124*(1+2.78*('Cálculos'!$E$198+(($B$168)-$A134)*'Cálculos'!$E$98)/(('Cálculos'!$E$198+(($B$168)-$A134)*'Cálculos'!$E$98)+1400)+'Cálculos'!$E$122)*'Cálculos'!$E$245+'Cálculos'!$E$125*(1+2.78*('Cálculos'!$E$198+(($B$168)-$A134)*'Cálculos'!$E$98)/(('Cálculos'!$E$198+(($B$168)-$A134)*'Cálculos'!$E$98)+1400)+'Cálculos'!$E$123)*'Cálculos'!$E$250)+('Cálculos'!$E$201*(1+'Cálculos'!$E$202+$A134*('Cálculos'!$E$290=2)*'Cálculos'!$E$101)+'Cálculos'!$E$203)*('Cálculos'!$E$241+'Cálculos'!$E$124*(1+2.78*('Cálculos'!$E$198+(($B$168)-$A134)*'Cálculos'!$E$98)/(('Cálculos'!$E$198+(($B$168)-$A134)*'Cálculos'!$E$98)+1400)+'Cálculos'!$E$122)*'Cálculos'!$E$246+'Cálculos'!$E$125*(1+2.78*('Cálculos'!$E$198+(($B$168)-$A134)*'Cálculos'!$E$98)/(('Cálculos'!$E$198+(($B$168)-$A134)*'Cálculos'!$E$98)+1400)+'Cálculos'!$E$123)*'Cálculos'!$E$251)+('Cálculos'!$E$204*(1+'Cálculos'!$E$205+$A134*('Cálculos'!$E$290=3)*'Cálculos'!$E$103)+'Cálculos'!$E$206)*('Cálculos'!$E$242+'Cálculos'!$E$124*(1+2.78*('Cálculos'!$E$198+(($B$168)-$A134)*'Cálculos'!$E$98)/(('Cálculos'!$E$198+(($B$168)-$A134)*'Cálculos'!$E$98)+1400)+'Cálculos'!$E$122)*'Cálculos'!$E$247+'Cálculos'!$E$125*(1+2.78*('Cálculos'!$E$198+(($B$168)-$A134)*'Cálculos'!$E$98)/(('Cálculos'!$E$198+(($B$168)-$A134)*'Cálculos'!$E$98)+1400)+'Cálculos'!$E$123)*'Cálculos'!$E$252)+('Cálculos'!$E$185*(1+'Cálculos'!$E$189+$A134*('Cálculos'!$E$290=1)*'Cálculos'!$E$97+'Cálculos'!$E$305)+'Cálculos'!$E$194)*('Cálculos'!$E$254+'Cálculos'!$E$124*(1+2.78*('Cálculos'!$E$199+(($B$168)-$A134)*'Cálculos'!$E$98)/(('Cálculos'!$E$199+(($B$168)-$A134)*'Cálculos'!$E$98)+1400)+'Cálculos'!$E$122)*'Cálculos'!$E$259+'Cálculos'!$E$125*(1+2.78*('Cálculos'!$E$199+(($B$168)-$A134)*'Cálculos'!$E$98)/(('Cálculos'!$E$199+(($B$168)-$A134)*'Cálculos'!$E$98)+1400)+'Cálculos'!$E$123)*'Cálculos'!$E$264)+('Cálculos'!$E$199+(($B$168)-$A134)*'Cálculos'!$E$98)*('Cálculos'!$E$255+'Cálculos'!$E$124*(1+2.78*('Cálculos'!$E$199+(($B$168)-$A134)*'Cálculos'!$E$98)/(('Cálculos'!$E$199+(($B$168)-$A134)*'Cálculos'!$E$98)+1400)+'Cálculos'!$E$122)*'Cálculos'!$E$260+'Cálculos'!$E$125*(1+2.78*('Cálculos'!$E$199+(($B$168)-$A134)*'Cálculos'!$E$98)/(('Cálculos'!$E$199+(($B$168)-$A134)*'Cálculos'!$E$98)+1400)+'Cálculos'!$E$123)*'Cálculos'!$E$265)+('Cálculos'!$E$201*(1+'Cálculos'!$E$202+$A134*('Cálculos'!$E$290=2)*'Cálculos'!$E$101)+'Cálculos'!$E$203)*('Cálculos'!$E$256+'Cálculos'!$E$124*(1+2.78*('Cálculos'!$E$199+(($B$168)-$A134)*'Cálculos'!$E$98)/(('Cálculos'!$E$199+(($B$168)-$A134)*'Cálculos'!$E$98)+1400)+'Cálculos'!$E$122)*'Cálculos'!$E$261+'Cálculos'!$E$125*(1+2.78*('Cálculos'!$E$199+(($B$168)-$A134)*'Cálculos'!$E$98)/(('Cálculos'!$E$199+(($B$168)-$A134)*'Cálculos'!$E$98)+1400)+'Cálculos'!$E$123)*'Cálculos'!$E$266)+('Cálculos'!$E$204*(1+'Cálculos'!$E$205+$A134*('Cálculos'!$E$290=3)*'Cálculos'!$E$103)+'Cálculos'!$E$206)*('Cálculos'!$E$257+'Cálculos'!$E$124*(1+2.78*('Cálculos'!$E$199+(($B$168)-$A134)*'Cálculos'!$E$98)/(('Cálculos'!$E$199+(($B$168)-$A134)*'Cálculos'!$E$98)+1400)+'Cálculos'!$E$122)*'Cálculos'!$E$262+'Cálculos'!$E$125*(1+2.78*('Cálculos'!$E$199+(($B$168)-$A134)*'Cálculos'!$E$98)/(('Cálculos'!$E$199+(($B$168)-$A134)*'Cálculos'!$E$98)+1400)+'Cálculos'!$E$123)*'Cálculos'!$E$267)+('Cálculos'!$E$185*(1+'Cálculos'!$E$190+$A134*('Cálculos'!$E$290=1)*'Cálculos'!$E$97+'Cálculos'!$E$305)+'Cálculos'!$E$195)*('Cálculos'!$E$269+'Cálculos'!$E$124*(1+2.78*('Cálculos'!$E$200+(($B$168)-$A134)*'Cálculos'!$E$98)/(('Cálculos'!$E$200+(($B$168)-$A134)*'Cálculos'!$E$98)+1400)+'Cálculos'!$E$122)*'Cálculos'!$E$274+'Cálculos'!$E$125*(1+2.78*('Cálculos'!$E$200+(($B$168)-$A134)*'Cálculos'!$E$98)/(('Cálculos'!$E$200+(($B$168)-$A134)*'Cálculos'!$E$98)+1400)+'Cálculos'!$E$123)*'Cálculos'!$E$279)+('Cálculos'!$E$200+(($B$168)-$A134)*'Cálculos'!$E$98)*('Cálculos'!$E$270+'Cálculos'!$E$124*(1+2.78*('Cálculos'!$E$200+(($B$168)-$A134)*'Cálculos'!$E$98)/(('Cálculos'!$E$200+(($B$168)-$A134)*'Cálculos'!$E$98)+1400)+'Cálculos'!$E$122)*'Cálculos'!$E$275+'Cálculos'!$E$125*(1+2.78*('Cálculos'!$E$200+(($B$168)-$A134)*'Cálculos'!$E$98)/(('Cálculos'!$E$200+(($B$168)-$A134)*'Cálculos'!$E$98)+1400)+'Cálculos'!$E$123)*'Cálculos'!$E$280)+('Cálculos'!$E$201*(1+'Cálculos'!$E$202+$A134*('Cálculos'!$E$290=2)*'Cálculos'!$E$101)+'Cálculos'!$E$203)*('Cálculos'!$E$271+'Cálculos'!$E$124*(1+2.78*('Cálculos'!$E$200+(($B$168)-$A134)*'Cálculos'!$E$98)/(('Cálculos'!$E$200+(($B$168)-$A134)*'Cálculos'!$E$98)+1400)+'Cálculos'!$E$122)*'Cálculos'!$E$276+'Cálculos'!$E$125*(1+2.78*('Cálculos'!$E$200+(($B$168)-$A134)*'Cálculos'!$E$98)/(('Cálculos'!$E$200+(($B$168)-$A134)*'Cálculos'!$E$98)+1400)+'Cálculos'!$E$123)*'Cálculos'!$E$281)+('Cálculos'!$E$204*(1+'Cálculos'!$E$205+$A134*('Cálculos'!$E$290=3)*'Cálculos'!$E$103)+'Cálculos'!$E$206)*('Cálculos'!$E$272+'Cálculos'!$E$124*(1+2.78*('Cálculos'!$E$200+(($B$168)-$A134)*'Cálculos'!$E$98)/(('Cálculos'!$E$200+(($B$168)-$A134)*'Cálculos'!$E$98)+1400)+'Cálculos'!$E$122)*'Cálculos'!$E$277+'Cálculos'!$E$125*(1+2.78*('Cálculos'!$E$200+(($B$168)-$A134)*'Cálculos'!$E$98)/(('Cálculos'!$E$200+(($B$168)-$A134)*'Cálculos'!$E$98)+1400)+'Cálculos'!$E$123)*'Cálculos'!$E$282)))</f>
        <v>0</v>
      </c>
    </row>
    <row r="135" ht="15.75" customHeight="1">
      <c r="A135" s="2">
        <v>15.0</v>
      </c>
      <c r="B135" s="30">
        <f>SUMPRODUCT(MAX(($A$120:$A$165&lt;=$A135)*($A$120:$A$165&lt;='Cálculos'!$E$294)*(($A135)-$A$120:$A$165&lt;='Cálculos'!$E$295)*(1+(('Cálculos'!$E$207+$A$120:$A$165*'Cálculos'!$E$95)-(('Cálculos'!$E$207+$A$120:$A$165*'Cálculos'!$E$95)&gt;1)*(('Cálculos'!$E$207+$A$120:$A$165*'Cálculos'!$E$95)-1))*('Cálculos'!$E$208+(($A135)-$A$120:$A$165)*'Cálculos'!$E$96))))</f>
        <v>1.76625</v>
      </c>
      <c r="C135" s="2">
        <f>'Cálculos'!$E$303-$A135</f>
        <v>-2</v>
      </c>
      <c r="D135" s="31">
        <f>IF($C135&lt;0,0,SUMPRODUCT(MAX(($A$120:$A$165&lt;=$C135)*($A$120:$A$165&lt;='Cálculos'!$E$301)*(($C135)-$A$120:$A$165&lt;='Cálculos'!$E$297)*(('Cálculos'!$E$185*(1+'Cálculos'!$E$186+$A$120:$A$165*('Cálculos'!$E$290=1)*'Cálculos'!$E$97+'Cálculos'!$E$305)+'Cálculos'!$E$191)*('Cálculos'!$E$209+'Cálculos'!$E$124*(1+2.78*('Cálculos'!$E$196+(($C135)-$A$120:$A$165)*'Cálculos'!$E$98)/(('Cálculos'!$E$196+(($C135)-$A$120:$A$165)*'Cálculos'!$E$98)+1400)+'Cálculos'!$E$122)*'Cálculos'!$E$214+'Cálculos'!$E$125*(1+2.78*('Cálculos'!$E$196+(($C135)-$A$120:$A$165)*'Cálculos'!$E$98)/(('Cálculos'!$E$196+(($C135)-$A$120:$A$165)*'Cálculos'!$E$98)+1400)+'Cálculos'!$E$123)*'Cálculos'!$E$219)+('Cálculos'!$E$196+(($C135)-$A$120:$A$165)*'Cálculos'!$E$98)*('Cálculos'!$E$210+'Cálculos'!$E$124*(1+2.78*('Cálculos'!$E$196+(($C135)-$A$120:$A$165)*'Cálculos'!$E$98)/(('Cálculos'!$E$196+(($C135)-$A$120:$A$165)*'Cálculos'!$E$98)+1400)+'Cálculos'!$E$122)*'Cálculos'!$E$215+'Cálculos'!$E$125*(1+2.78*('Cálculos'!$E$196+(($C135)-$A$120:$A$165)*'Cálculos'!$E$98)/(('Cálculos'!$E$196+(($C135)-$A$120:$A$165)*'Cálculos'!$E$98)+1400)+'Cálculos'!$E$123)*'Cálculos'!$E$220)+('Cálculos'!$E$201*(1+'Cálculos'!$E$202+$A$120:$A$165*('Cálculos'!$E$290=2)*'Cálculos'!$E$101)+'Cálculos'!$E$203)*('Cálculos'!$E$211+'Cálculos'!$E$124*(1+2.78*('Cálculos'!$E$196+(($C135)-$A$120:$A$165)*'Cálculos'!$E$98)/(('Cálculos'!$E$196+(($C135)-$A$120:$A$165)*'Cálculos'!$E$98)+1400)+'Cálculos'!$E$122)*'Cálculos'!$E$216+'Cálculos'!$E$125*(1+2.78*('Cálculos'!$E$196+(($C135)-$A$120:$A$165)*'Cálculos'!$E$98)/(('Cálculos'!$E$196+(($C135)-$A$120:$A$165)*'Cálculos'!$E$98)+1400)+'Cálculos'!$E$123)*'Cálculos'!$E$221)+('Cálculos'!$E$204*(1+'Cálculos'!$E$205+$A$120:$A$165*('Cálculos'!$E$290=3)*'Cálculos'!$E$103)+'Cálculos'!$E$206)*('Cálculos'!$E$212+'Cálculos'!$E$124*(1+2.78*('Cálculos'!$E$196+(($C135)-$A$120:$A$165)*'Cálculos'!$E$98)/(('Cálculos'!$E$196+(($C135)-$A$120:$A$165)*'Cálculos'!$E$98)+1400)+'Cálculos'!$E$122)*'Cálculos'!$E$217+'Cálculos'!$E$125*(1+2.78*('Cálculos'!$E$196+(($C135)-$A$120:$A$165)*'Cálculos'!$E$98)/(('Cálculos'!$E$196+(($C135)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135)-$A$120:$A$165)*'Cálculos'!$E$98)/(('Cálculos'!$E$197+(($C135)-$A$120:$A$165)*'Cálculos'!$E$98)+1400)+'Cálculos'!$E$122)*'Cálculos'!$E$229+'Cálculos'!$E$125*(1+2.78*('Cálculos'!$E$197+(($C135)-$A$120:$A$165)*'Cálculos'!$E$98)/(('Cálculos'!$E$197+(($C135)-$A$120:$A$165)*'Cálculos'!$E$98)+1400)+'Cálculos'!$E$123)*'Cálculos'!$E$234)+('Cálculos'!$E$197+(($C135)-$A$120:$A$165)*'Cálculos'!$E$98)*('Cálculos'!$E$225+'Cálculos'!$E$124*(1+2.78*('Cálculos'!$E$197+(($C135)-$A$120:$A$165)*'Cálculos'!$E$98)/(('Cálculos'!$E$197+(($C135)-$A$120:$A$165)*'Cálculos'!$E$98)+1400)+'Cálculos'!$E$122)*'Cálculos'!$E$230+'Cálculos'!$E$125*(1+2.78*('Cálculos'!$E$197+(($C135)-$A$120:$A$165)*'Cálculos'!$E$98)/(('Cálculos'!$E$197+(($C135)-$A$120:$A$165)*'Cálculos'!$E$98)+1400)+'Cálculos'!$E$123)*'Cálculos'!$E$235)+('Cálculos'!$E$201*(1+'Cálculos'!$E$202+$A$120:$A$165*('Cálculos'!$E$290=2)*'Cálculos'!$E$101)+'Cálculos'!$E$203)*('Cálculos'!$E$226+'Cálculos'!$E$124*(1+2.78*('Cálculos'!$E$197+(($C135)-$A$120:$A$165)*'Cálculos'!$E$98)/(('Cálculos'!$E$197+(($C135)-$A$120:$A$165)*'Cálculos'!$E$98)+1400)+'Cálculos'!$E$122)*'Cálculos'!$E$231+'Cálculos'!$E$125*(1+2.78*('Cálculos'!$E$197+(($C135)-$A$120:$A$165)*'Cálculos'!$E$98)/(('Cálculos'!$E$197+(($C135)-$A$120:$A$165)*'Cálculos'!$E$98)+1400)+'Cálculos'!$E$123)*'Cálculos'!$E$236)+('Cálculos'!$E$204*(1+'Cálculos'!$E$205+$A$120:$A$165*('Cálculos'!$E$290=3)*'Cálculos'!$E$103)+'Cálculos'!$E$206)*('Cálculos'!$E$227+'Cálculos'!$E$124*(1+2.78*('Cálculos'!$E$197+(($C135)-$A$120:$A$165)*'Cálculos'!$E$98)/(('Cálculos'!$E$197+(($C135)-$A$120:$A$165)*'Cálculos'!$E$98)+1400)+'Cálculos'!$E$122)*'Cálculos'!$E$232+'Cálculos'!$E$125*(1+2.78*('Cálculos'!$E$197+(($C135)-$A$120:$A$165)*'Cálculos'!$E$98)/(('Cálculos'!$E$197+(($C135)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135)-$A$120:$A$165)*'Cálculos'!$E$98)/(('Cálculos'!$E$198+(($C135)-$A$120:$A$165)*'Cálculos'!$E$98)+1400)+'Cálculos'!$E$122)*'Cálculos'!$E$244+'Cálculos'!$E$125*(1+2.78*('Cálculos'!$E$198+(($C135)-$A$120:$A$165)*'Cálculos'!$E$98)/(('Cálculos'!$E$198+(($C135)-$A$120:$A$165)*'Cálculos'!$E$98)+1400)+'Cálculos'!$E$123)*'Cálculos'!$E$249)+('Cálculos'!$E$198+(($C135)-$A$120:$A$165)*'Cálculos'!$E$98)*('Cálculos'!$E$240+'Cálculos'!$E$124*(1+2.78*('Cálculos'!$E$198+(($C135)-$A$120:$A$165)*'Cálculos'!$E$98)/(('Cálculos'!$E$198+(($C135)-$A$120:$A$165)*'Cálculos'!$E$98)+1400)+'Cálculos'!$E$122)*'Cálculos'!$E$245+'Cálculos'!$E$125*(1+2.78*('Cálculos'!$E$198+(($C135)-$A$120:$A$165)*'Cálculos'!$E$98)/(('Cálculos'!$E$198+(($C135)-$A$120:$A$165)*'Cálculos'!$E$98)+1400)+'Cálculos'!$E$123)*'Cálculos'!$E$250)+('Cálculos'!$E$201*(1+'Cálculos'!$E$202+$A$120:$A$165*('Cálculos'!$E$290=2)*'Cálculos'!$E$101)+'Cálculos'!$E$203)*('Cálculos'!$E$241+'Cálculos'!$E$124*(1+2.78*('Cálculos'!$E$198+(($C135)-$A$120:$A$165)*'Cálculos'!$E$98)/(('Cálculos'!$E$198+(($C135)-$A$120:$A$165)*'Cálculos'!$E$98)+1400)+'Cálculos'!$E$122)*'Cálculos'!$E$246+'Cálculos'!$E$125*(1+2.78*('Cálculos'!$E$198+(($C135)-$A$120:$A$165)*'Cálculos'!$E$98)/(('Cálculos'!$E$198+(($C135)-$A$120:$A$165)*'Cálculos'!$E$98)+1400)+'Cálculos'!$E$123)*'Cálculos'!$E$251)+('Cálculos'!$E$204*(1+'Cálculos'!$E$205+$A$120:$A$165*('Cálculos'!$E$290=3)*'Cálculos'!$E$103)+'Cálculos'!$E$206)*('Cálculos'!$E$242+'Cálculos'!$E$124*(1+2.78*('Cálculos'!$E$198+(($C135)-$A$120:$A$165)*'Cálculos'!$E$98)/(('Cálculos'!$E$198+(($C135)-$A$120:$A$165)*'Cálculos'!$E$98)+1400)+'Cálculos'!$E$122)*'Cálculos'!$E$247+'Cálculos'!$E$125*(1+2.78*('Cálculos'!$E$198+(($C135)-$A$120:$A$165)*'Cálculos'!$E$98)/(('Cálculos'!$E$198+(($C135)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135)-$A$120:$A$165)*'Cálculos'!$E$98)/(('Cálculos'!$E$199+(($C135)-$A$120:$A$165)*'Cálculos'!$E$98)+1400)+'Cálculos'!$E$122)*'Cálculos'!$E$259+'Cálculos'!$E$125*(1+2.78*('Cálculos'!$E$199+(($C135)-$A$120:$A$165)*'Cálculos'!$E$98)/(('Cálculos'!$E$199+(($C135)-$A$120:$A$165)*'Cálculos'!$E$98)+1400)+'Cálculos'!$E$123)*'Cálculos'!$E$264)+('Cálculos'!$E$199+(($C135)-$A$120:$A$165)*'Cálculos'!$E$98)*('Cálculos'!$E$255+'Cálculos'!$E$124*(1+2.78*('Cálculos'!$E$199+(($C135)-$A$120:$A$165)*'Cálculos'!$E$98)/(('Cálculos'!$E$199+(($C135)-$A$120:$A$165)*'Cálculos'!$E$98)+1400)+'Cálculos'!$E$122)*'Cálculos'!$E$260+'Cálculos'!$E$125*(1+2.78*('Cálculos'!$E$199+(($C135)-$A$120:$A$165)*'Cálculos'!$E$98)/(('Cálculos'!$E$199+(($C135)-$A$120:$A$165)*'Cálculos'!$E$98)+1400)+'Cálculos'!$E$123)*'Cálculos'!$E$265)+('Cálculos'!$E$201*(1+'Cálculos'!$E$202+$A$120:$A$165*('Cálculos'!$E$290=2)*'Cálculos'!$E$101)+'Cálculos'!$E$203)*('Cálculos'!$E$256+'Cálculos'!$E$124*(1+2.78*('Cálculos'!$E$199+(($C135)-$A$120:$A$165)*'Cálculos'!$E$98)/(('Cálculos'!$E$199+(($C135)-$A$120:$A$165)*'Cálculos'!$E$98)+1400)+'Cálculos'!$E$122)*'Cálculos'!$E$261+'Cálculos'!$E$125*(1+2.78*('Cálculos'!$E$199+(($C135)-$A$120:$A$165)*'Cálculos'!$E$98)/(('Cálculos'!$E$199+(($C135)-$A$120:$A$165)*'Cálculos'!$E$98)+1400)+'Cálculos'!$E$123)*'Cálculos'!$E$266)+('Cálculos'!$E$204*(1+'Cálculos'!$E$205+$A$120:$A$165*('Cálculos'!$E$290=3)*'Cálculos'!$E$103)+'Cálculos'!$E$206)*('Cálculos'!$E$257+'Cálculos'!$E$124*(1+2.78*('Cálculos'!$E$199+(($C135)-$A$120:$A$165)*'Cálculos'!$E$98)/(('Cálculos'!$E$199+(($C135)-$A$120:$A$165)*'Cálculos'!$E$98)+1400)+'Cálculos'!$E$122)*'Cálculos'!$E$262+'Cálculos'!$E$125*(1+2.78*('Cálculos'!$E$199+(($C135)-$A$120:$A$165)*'Cálculos'!$E$98)/(('Cálculos'!$E$199+(($C135)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135)-$A$120:$A$165)*'Cálculos'!$E$98)/(('Cálculos'!$E$200+(($C135)-$A$120:$A$165)*'Cálculos'!$E$98)+1400)+'Cálculos'!$E$122)*'Cálculos'!$E$274+'Cálculos'!$E$125*(1+2.78*('Cálculos'!$E$200+(($C135)-$A$120:$A$165)*'Cálculos'!$E$98)/(('Cálculos'!$E$200+(($C135)-$A$120:$A$165)*'Cálculos'!$E$98)+1400)+'Cálculos'!$E$123)*'Cálculos'!$E$279)+('Cálculos'!$E$200+(($C135)-$A$120:$A$165)*'Cálculos'!$E$98)*('Cálculos'!$E$270+'Cálculos'!$E$124*(1+2.78*('Cálculos'!$E$200+(($C135)-$A$120:$A$165)*'Cálculos'!$E$98)/(('Cálculos'!$E$200+(($C135)-$A$120:$A$165)*'Cálculos'!$E$98)+1400)+'Cálculos'!$E$122)*'Cálculos'!$E$275+'Cálculos'!$E$125*(1+2.78*('Cálculos'!$E$200+(($C135)-$A$120:$A$165)*'Cálculos'!$E$98)/(('Cálculos'!$E$200+(($C135)-$A$120:$A$165)*'Cálculos'!$E$98)+1400)+'Cálculos'!$E$123)*'Cálculos'!$E$280)+('Cálculos'!$E$201*(1+'Cálculos'!$E$202+$A$120:$A$165*('Cálculos'!$E$290=2)*'Cálculos'!$E$101)+'Cálculos'!$E$203)*('Cálculos'!$E$271+'Cálculos'!$E$124*(1+2.78*('Cálculos'!$E$200+(($C135)-$A$120:$A$165)*'Cálculos'!$E$98)/(('Cálculos'!$E$200+(($C135)-$A$120:$A$165)*'Cálculos'!$E$98)+1400)+'Cálculos'!$E$122)*'Cálculos'!$E$276+'Cálculos'!$E$125*(1+2.78*('Cálculos'!$E$200+(($C135)-$A$120:$A$165)*'Cálculos'!$E$98)/(('Cálculos'!$E$200+(($C135)-$A$120:$A$165)*'Cálculos'!$E$98)+1400)+'Cálculos'!$E$123)*'Cálculos'!$E$281)+('Cálculos'!$E$204*(1+'Cálculos'!$E$205+$A$120:$A$165*('Cálculos'!$E$290=3)*'Cálculos'!$E$103)+'Cálculos'!$E$206)*('Cálculos'!$E$272+'Cálculos'!$E$124*(1+2.78*('Cálculos'!$E$200+(($C135)-$A$120:$A$165)*'Cálculos'!$E$98)/(('Cálculos'!$E$200+(($C135)-$A$120:$A$165)*'Cálculos'!$E$98)+1400)+'Cálculos'!$E$122)*'Cálculos'!$E$277+'Cálculos'!$E$125*(1+2.78*('Cálculos'!$E$200+(($C135)-$A$120:$A$165)*'Cálculos'!$E$98)/(('Cálculos'!$E$200+(($C135)-$A$120:$A$165)*'Cálculos'!$E$98)+1400)+'Cálculos'!$E$123)*'Cálculos'!$E$282)))))</f>
        <v>0</v>
      </c>
      <c r="E135" s="32">
        <f>IF(OR($C135&lt;0,'Cálculos'!$E$6=""),0,$B135*$D135)</f>
        <v>0</v>
      </c>
      <c r="F135" s="2"/>
      <c r="G135" s="30">
        <f>($A135&lt;=$B$167)*($A135&lt;='Cálculos'!$E$294)*(($B$167)-$A135&lt;='Cálculos'!$E$295)*(1+MIN(('Cálculos'!$E$207+$A135*'Cálculos'!$E$95),1)*('Cálculos'!$E$208+(($B$167)-$A135)*'Cálculos'!$E$96))</f>
        <v>0</v>
      </c>
      <c r="H135" s="31">
        <f>IF($B$168&lt;0,0,($A135&lt;=$B$168)*($A135&lt;='Cálculos'!$E$301)*(($B$168)-$A135&lt;='Cálculos'!$E$297)*(('Cálculos'!$E$185*(1+'Cálculos'!$E$186+$A135*('Cálculos'!$E$290=1)*'Cálculos'!$E$97+'Cálculos'!$E$305)+'Cálculos'!$E$191)*('Cálculos'!$E$209+'Cálculos'!$E$124*(1+2.78*('Cálculos'!$E$196+(($B$168)-$A135)*'Cálculos'!$E$98)/(('Cálculos'!$E$196+(($B$168)-$A135)*'Cálculos'!$E$98)+1400)+'Cálculos'!$E$122)*'Cálculos'!$E$214+'Cálculos'!$E$125*(1+2.78*('Cálculos'!$E$196+(($B$168)-$A135)*'Cálculos'!$E$98)/(('Cálculos'!$E$196+(($B$168)-$A135)*'Cálculos'!$E$98)+1400)+'Cálculos'!$E$123)*'Cálculos'!$E$219)+('Cálculos'!$E$196+(($B$168)-$A135)*'Cálculos'!$E$98)*('Cálculos'!$E$210+'Cálculos'!$E$124*(1+2.78*('Cálculos'!$E$196+(($B$168)-$A135)*'Cálculos'!$E$98)/(('Cálculos'!$E$196+(($B$168)-$A135)*'Cálculos'!$E$98)+1400)+'Cálculos'!$E$122)*'Cálculos'!$E$215+'Cálculos'!$E$125*(1+2.78*('Cálculos'!$E$196+(($B$168)-$A135)*'Cálculos'!$E$98)/(('Cálculos'!$E$196+(($B$168)-$A135)*'Cálculos'!$E$98)+1400)+'Cálculos'!$E$123)*'Cálculos'!$E$220)+('Cálculos'!$E$201*(1+'Cálculos'!$E$202+$A135*('Cálculos'!$E$290=2)*'Cálculos'!$E$101)+'Cálculos'!$E$203)*('Cálculos'!$E$211+'Cálculos'!$E$124*(1+2.78*('Cálculos'!$E$196+(($B$168)-$A135)*'Cálculos'!$E$98)/(('Cálculos'!$E$196+(($B$168)-$A135)*'Cálculos'!$E$98)+1400)+'Cálculos'!$E$122)*'Cálculos'!$E$216+'Cálculos'!$E$125*(1+2.78*('Cálculos'!$E$196+(($B$168)-$A135)*'Cálculos'!$E$98)/(('Cálculos'!$E$196+(($B$168)-$A135)*'Cálculos'!$E$98)+1400)+'Cálculos'!$E$123)*'Cálculos'!$E$221)+('Cálculos'!$E$204*(1+'Cálculos'!$E$205+$A135*('Cálculos'!$E$290=3)*'Cálculos'!$E$103)+'Cálculos'!$E$206)*('Cálculos'!$E$212+'Cálculos'!$E$124*(1+2.78*('Cálculos'!$E$196+(($B$168)-$A135)*'Cálculos'!$E$98)/(('Cálculos'!$E$196+(($B$168)-$A135)*'Cálculos'!$E$98)+1400)+'Cálculos'!$E$122)*'Cálculos'!$E$217+'Cálculos'!$E$125*(1+2.78*('Cálculos'!$E$196+(($B$168)-$A135)*'Cálculos'!$E$98)/(('Cálculos'!$E$196+(($B$168)-$A135)*'Cálculos'!$E$98)+1400)+'Cálculos'!$E$123)*'Cálculos'!$E$222)+('Cálculos'!$E$185*(1+'Cálculos'!$E$187+$A135*('Cálculos'!$E$290=1)*'Cálculos'!$E$97+'Cálculos'!$E$305)+'Cálculos'!$E$192)*('Cálculos'!$E$224+'Cálculos'!$E$124*(1+2.78*('Cálculos'!$E$197+(($B$168)-$A135)*'Cálculos'!$E$98)/(('Cálculos'!$E$197+(($B$168)-$A135)*'Cálculos'!$E$98)+1400)+'Cálculos'!$E$122)*'Cálculos'!$E$229+'Cálculos'!$E$125*(1+2.78*('Cálculos'!$E$197+(($B$168)-$A135)*'Cálculos'!$E$98)/(('Cálculos'!$E$197+(($B$168)-$A135)*'Cálculos'!$E$98)+1400)+'Cálculos'!$E$123)*'Cálculos'!$E$234)+('Cálculos'!$E$197+(($B$168)-$A135)*'Cálculos'!$E$98)*('Cálculos'!$E$225+'Cálculos'!$E$124*(1+2.78*('Cálculos'!$E$197+(($B$168)-$A135)*'Cálculos'!$E$98)/(('Cálculos'!$E$197+(($B$168)-$A135)*'Cálculos'!$E$98)+1400)+'Cálculos'!$E$122)*'Cálculos'!$E$230+'Cálculos'!$E$125*(1+2.78*('Cálculos'!$E$197+(($B$168)-$A135)*'Cálculos'!$E$98)/(('Cálculos'!$E$197+(($B$168)-$A135)*'Cálculos'!$E$98)+1400)+'Cálculos'!$E$123)*'Cálculos'!$E$235)+('Cálculos'!$E$201*(1+'Cálculos'!$E$202+$A135*('Cálculos'!$E$290=2)*'Cálculos'!$E$101)+'Cálculos'!$E$203)*('Cálculos'!$E$226+'Cálculos'!$E$124*(1+2.78*('Cálculos'!$E$197+(($B$168)-$A135)*'Cálculos'!$E$98)/(('Cálculos'!$E$197+(($B$168)-$A135)*'Cálculos'!$E$98)+1400)+'Cálculos'!$E$122)*'Cálculos'!$E$231+'Cálculos'!$E$125*(1+2.78*('Cálculos'!$E$197+(($B$168)-$A135)*'Cálculos'!$E$98)/(('Cálculos'!$E$197+(($B$168)-$A135)*'Cálculos'!$E$98)+1400)+'Cálculos'!$E$123)*'Cálculos'!$E$236)+('Cálculos'!$E$204*(1+'Cálculos'!$E$205+$A135*('Cálculos'!$E$290=3)*'Cálculos'!$E$103)+'Cálculos'!$E$206)*('Cálculos'!$E$227+'Cálculos'!$E$124*(1+2.78*('Cálculos'!$E$197+(($B$168)-$A135)*'Cálculos'!$E$98)/(('Cálculos'!$E$197+(($B$168)-$A135)*'Cálculos'!$E$98)+1400)+'Cálculos'!$E$122)*'Cálculos'!$E$232+'Cálculos'!$E$125*(1+2.78*('Cálculos'!$E$197+(($B$168)-$A135)*'Cálculos'!$E$98)/(('Cálculos'!$E$197+(($B$168)-$A135)*'Cálculos'!$E$98)+1400)+'Cálculos'!$E$123)*'Cálculos'!$E$237)+('Cálculos'!$E$185*(1+'Cálculos'!$E$188+$A135*('Cálculos'!$E$290=1)*'Cálculos'!$E$97+'Cálculos'!$E$305)+'Cálculos'!$E$193)*('Cálculos'!$E$239+'Cálculos'!$E$124*(1+2.78*('Cálculos'!$E$198+(($B$168)-$A135)*'Cálculos'!$E$98)/(('Cálculos'!$E$198+(($B$168)-$A135)*'Cálculos'!$E$98)+1400)+'Cálculos'!$E$122)*'Cálculos'!$E$244+'Cálculos'!$E$125*(1+2.78*('Cálculos'!$E$198+(($B$168)-$A135)*'Cálculos'!$E$98)/(('Cálculos'!$E$198+(($B$168)-$A135)*'Cálculos'!$E$98)+1400)+'Cálculos'!$E$123)*'Cálculos'!$E$249)+('Cálculos'!$E$198+(($B$168)-$A135)*'Cálculos'!$E$98)*('Cálculos'!$E$240+'Cálculos'!$E$124*(1+2.78*('Cálculos'!$E$198+(($B$168)-$A135)*'Cálculos'!$E$98)/(('Cálculos'!$E$198+(($B$168)-$A135)*'Cálculos'!$E$98)+1400)+'Cálculos'!$E$122)*'Cálculos'!$E$245+'Cálculos'!$E$125*(1+2.78*('Cálculos'!$E$198+(($B$168)-$A135)*'Cálculos'!$E$98)/(('Cálculos'!$E$198+(($B$168)-$A135)*'Cálculos'!$E$98)+1400)+'Cálculos'!$E$123)*'Cálculos'!$E$250)+('Cálculos'!$E$201*(1+'Cálculos'!$E$202+$A135*('Cálculos'!$E$290=2)*'Cálculos'!$E$101)+'Cálculos'!$E$203)*('Cálculos'!$E$241+'Cálculos'!$E$124*(1+2.78*('Cálculos'!$E$198+(($B$168)-$A135)*'Cálculos'!$E$98)/(('Cálculos'!$E$198+(($B$168)-$A135)*'Cálculos'!$E$98)+1400)+'Cálculos'!$E$122)*'Cálculos'!$E$246+'Cálculos'!$E$125*(1+2.78*('Cálculos'!$E$198+(($B$168)-$A135)*'Cálculos'!$E$98)/(('Cálculos'!$E$198+(($B$168)-$A135)*'Cálculos'!$E$98)+1400)+'Cálculos'!$E$123)*'Cálculos'!$E$251)+('Cálculos'!$E$204*(1+'Cálculos'!$E$205+$A135*('Cálculos'!$E$290=3)*'Cálculos'!$E$103)+'Cálculos'!$E$206)*('Cálculos'!$E$242+'Cálculos'!$E$124*(1+2.78*('Cálculos'!$E$198+(($B$168)-$A135)*'Cálculos'!$E$98)/(('Cálculos'!$E$198+(($B$168)-$A135)*'Cálculos'!$E$98)+1400)+'Cálculos'!$E$122)*'Cálculos'!$E$247+'Cálculos'!$E$125*(1+2.78*('Cálculos'!$E$198+(($B$168)-$A135)*'Cálculos'!$E$98)/(('Cálculos'!$E$198+(($B$168)-$A135)*'Cálculos'!$E$98)+1400)+'Cálculos'!$E$123)*'Cálculos'!$E$252)+('Cálculos'!$E$185*(1+'Cálculos'!$E$189+$A135*('Cálculos'!$E$290=1)*'Cálculos'!$E$97+'Cálculos'!$E$305)+'Cálculos'!$E$194)*('Cálculos'!$E$254+'Cálculos'!$E$124*(1+2.78*('Cálculos'!$E$199+(($B$168)-$A135)*'Cálculos'!$E$98)/(('Cálculos'!$E$199+(($B$168)-$A135)*'Cálculos'!$E$98)+1400)+'Cálculos'!$E$122)*'Cálculos'!$E$259+'Cálculos'!$E$125*(1+2.78*('Cálculos'!$E$199+(($B$168)-$A135)*'Cálculos'!$E$98)/(('Cálculos'!$E$199+(($B$168)-$A135)*'Cálculos'!$E$98)+1400)+'Cálculos'!$E$123)*'Cálculos'!$E$264)+('Cálculos'!$E$199+(($B$168)-$A135)*'Cálculos'!$E$98)*('Cálculos'!$E$255+'Cálculos'!$E$124*(1+2.78*('Cálculos'!$E$199+(($B$168)-$A135)*'Cálculos'!$E$98)/(('Cálculos'!$E$199+(($B$168)-$A135)*'Cálculos'!$E$98)+1400)+'Cálculos'!$E$122)*'Cálculos'!$E$260+'Cálculos'!$E$125*(1+2.78*('Cálculos'!$E$199+(($B$168)-$A135)*'Cálculos'!$E$98)/(('Cálculos'!$E$199+(($B$168)-$A135)*'Cálculos'!$E$98)+1400)+'Cálculos'!$E$123)*'Cálculos'!$E$265)+('Cálculos'!$E$201*(1+'Cálculos'!$E$202+$A135*('Cálculos'!$E$290=2)*'Cálculos'!$E$101)+'Cálculos'!$E$203)*('Cálculos'!$E$256+'Cálculos'!$E$124*(1+2.78*('Cálculos'!$E$199+(($B$168)-$A135)*'Cálculos'!$E$98)/(('Cálculos'!$E$199+(($B$168)-$A135)*'Cálculos'!$E$98)+1400)+'Cálculos'!$E$122)*'Cálculos'!$E$261+'Cálculos'!$E$125*(1+2.78*('Cálculos'!$E$199+(($B$168)-$A135)*'Cálculos'!$E$98)/(('Cálculos'!$E$199+(($B$168)-$A135)*'Cálculos'!$E$98)+1400)+'Cálculos'!$E$123)*'Cálculos'!$E$266)+('Cálculos'!$E$204*(1+'Cálculos'!$E$205+$A135*('Cálculos'!$E$290=3)*'Cálculos'!$E$103)+'Cálculos'!$E$206)*('Cálculos'!$E$257+'Cálculos'!$E$124*(1+2.78*('Cálculos'!$E$199+(($B$168)-$A135)*'Cálculos'!$E$98)/(('Cálculos'!$E$199+(($B$168)-$A135)*'Cálculos'!$E$98)+1400)+'Cálculos'!$E$122)*'Cálculos'!$E$262+'Cálculos'!$E$125*(1+2.78*('Cálculos'!$E$199+(($B$168)-$A135)*'Cálculos'!$E$98)/(('Cálculos'!$E$199+(($B$168)-$A135)*'Cálculos'!$E$98)+1400)+'Cálculos'!$E$123)*'Cálculos'!$E$267)+('Cálculos'!$E$185*(1+'Cálculos'!$E$190+$A135*('Cálculos'!$E$290=1)*'Cálculos'!$E$97+'Cálculos'!$E$305)+'Cálculos'!$E$195)*('Cálculos'!$E$269+'Cálculos'!$E$124*(1+2.78*('Cálculos'!$E$200+(($B$168)-$A135)*'Cálculos'!$E$98)/(('Cálculos'!$E$200+(($B$168)-$A135)*'Cálculos'!$E$98)+1400)+'Cálculos'!$E$122)*'Cálculos'!$E$274+'Cálculos'!$E$125*(1+2.78*('Cálculos'!$E$200+(($B$168)-$A135)*'Cálculos'!$E$98)/(('Cálculos'!$E$200+(($B$168)-$A135)*'Cálculos'!$E$98)+1400)+'Cálculos'!$E$123)*'Cálculos'!$E$279)+('Cálculos'!$E$200+(($B$168)-$A135)*'Cálculos'!$E$98)*('Cálculos'!$E$270+'Cálculos'!$E$124*(1+2.78*('Cálculos'!$E$200+(($B$168)-$A135)*'Cálculos'!$E$98)/(('Cálculos'!$E$200+(($B$168)-$A135)*'Cálculos'!$E$98)+1400)+'Cálculos'!$E$122)*'Cálculos'!$E$275+'Cálculos'!$E$125*(1+2.78*('Cálculos'!$E$200+(($B$168)-$A135)*'Cálculos'!$E$98)/(('Cálculos'!$E$200+(($B$168)-$A135)*'Cálculos'!$E$98)+1400)+'Cálculos'!$E$123)*'Cálculos'!$E$280)+('Cálculos'!$E$201*(1+'Cálculos'!$E$202+$A135*('Cálculos'!$E$290=2)*'Cálculos'!$E$101)+'Cálculos'!$E$203)*('Cálculos'!$E$271+'Cálculos'!$E$124*(1+2.78*('Cálculos'!$E$200+(($B$168)-$A135)*'Cálculos'!$E$98)/(('Cálculos'!$E$200+(($B$168)-$A135)*'Cálculos'!$E$98)+1400)+'Cálculos'!$E$122)*'Cálculos'!$E$276+'Cálculos'!$E$125*(1+2.78*('Cálculos'!$E$200+(($B$168)-$A135)*'Cálculos'!$E$98)/(('Cálculos'!$E$200+(($B$168)-$A135)*'Cálculos'!$E$98)+1400)+'Cálculos'!$E$123)*'Cálculos'!$E$281)+('Cálculos'!$E$204*(1+'Cálculos'!$E$205+$A135*('Cálculos'!$E$290=3)*'Cálculos'!$E$103)+'Cálculos'!$E$206)*('Cálculos'!$E$272+'Cálculos'!$E$124*(1+2.78*('Cálculos'!$E$200+(($B$168)-$A135)*'Cálculos'!$E$98)/(('Cálculos'!$E$200+(($B$168)-$A135)*'Cálculos'!$E$98)+1400)+'Cálculos'!$E$122)*'Cálculos'!$E$277+'Cálculos'!$E$125*(1+2.78*('Cálculos'!$E$200+(($B$168)-$A135)*'Cálculos'!$E$98)/(('Cálculos'!$E$200+(($B$168)-$A135)*'Cálculos'!$E$98)+1400)+'Cálculos'!$E$123)*'Cálculos'!$E$282)))</f>
        <v>0</v>
      </c>
    </row>
    <row r="136" ht="15.75" customHeight="1">
      <c r="A136" s="2">
        <v>16.0</v>
      </c>
      <c r="B136" s="30">
        <f>SUMPRODUCT(MAX(($A$120:$A$165&lt;=$A136)*($A$120:$A$165&lt;='Cálculos'!$E$294)*(($A136)-$A$120:$A$165&lt;='Cálculos'!$E$295)*(1+(('Cálculos'!$E$207+$A$120:$A$165*'Cálculos'!$E$95)-(('Cálculos'!$E$207+$A$120:$A$165*'Cálculos'!$E$95)&gt;1)*(('Cálculos'!$E$207+$A$120:$A$165*'Cálculos'!$E$95)-1))*('Cálculos'!$E$208+(($A136)-$A$120:$A$165)*'Cálculos'!$E$96))))</f>
        <v>1.8075</v>
      </c>
      <c r="C136" s="2">
        <f>'Cálculos'!$E$303-$A136</f>
        <v>-3</v>
      </c>
      <c r="D136" s="31">
        <f>IF($C136&lt;0,0,SUMPRODUCT(MAX(($A$120:$A$165&lt;=$C136)*($A$120:$A$165&lt;='Cálculos'!$E$301)*(($C136)-$A$120:$A$165&lt;='Cálculos'!$E$297)*(('Cálculos'!$E$185*(1+'Cálculos'!$E$186+$A$120:$A$165*('Cálculos'!$E$290=1)*'Cálculos'!$E$97+'Cálculos'!$E$305)+'Cálculos'!$E$191)*('Cálculos'!$E$209+'Cálculos'!$E$124*(1+2.78*('Cálculos'!$E$196+(($C136)-$A$120:$A$165)*'Cálculos'!$E$98)/(('Cálculos'!$E$196+(($C136)-$A$120:$A$165)*'Cálculos'!$E$98)+1400)+'Cálculos'!$E$122)*'Cálculos'!$E$214+'Cálculos'!$E$125*(1+2.78*('Cálculos'!$E$196+(($C136)-$A$120:$A$165)*'Cálculos'!$E$98)/(('Cálculos'!$E$196+(($C136)-$A$120:$A$165)*'Cálculos'!$E$98)+1400)+'Cálculos'!$E$123)*'Cálculos'!$E$219)+('Cálculos'!$E$196+(($C136)-$A$120:$A$165)*'Cálculos'!$E$98)*('Cálculos'!$E$210+'Cálculos'!$E$124*(1+2.78*('Cálculos'!$E$196+(($C136)-$A$120:$A$165)*'Cálculos'!$E$98)/(('Cálculos'!$E$196+(($C136)-$A$120:$A$165)*'Cálculos'!$E$98)+1400)+'Cálculos'!$E$122)*'Cálculos'!$E$215+'Cálculos'!$E$125*(1+2.78*('Cálculos'!$E$196+(($C136)-$A$120:$A$165)*'Cálculos'!$E$98)/(('Cálculos'!$E$196+(($C136)-$A$120:$A$165)*'Cálculos'!$E$98)+1400)+'Cálculos'!$E$123)*'Cálculos'!$E$220)+('Cálculos'!$E$201*(1+'Cálculos'!$E$202+$A$120:$A$165*('Cálculos'!$E$290=2)*'Cálculos'!$E$101)+'Cálculos'!$E$203)*('Cálculos'!$E$211+'Cálculos'!$E$124*(1+2.78*('Cálculos'!$E$196+(($C136)-$A$120:$A$165)*'Cálculos'!$E$98)/(('Cálculos'!$E$196+(($C136)-$A$120:$A$165)*'Cálculos'!$E$98)+1400)+'Cálculos'!$E$122)*'Cálculos'!$E$216+'Cálculos'!$E$125*(1+2.78*('Cálculos'!$E$196+(($C136)-$A$120:$A$165)*'Cálculos'!$E$98)/(('Cálculos'!$E$196+(($C136)-$A$120:$A$165)*'Cálculos'!$E$98)+1400)+'Cálculos'!$E$123)*'Cálculos'!$E$221)+('Cálculos'!$E$204*(1+'Cálculos'!$E$205+$A$120:$A$165*('Cálculos'!$E$290=3)*'Cálculos'!$E$103)+'Cálculos'!$E$206)*('Cálculos'!$E$212+'Cálculos'!$E$124*(1+2.78*('Cálculos'!$E$196+(($C136)-$A$120:$A$165)*'Cálculos'!$E$98)/(('Cálculos'!$E$196+(($C136)-$A$120:$A$165)*'Cálculos'!$E$98)+1400)+'Cálculos'!$E$122)*'Cálculos'!$E$217+'Cálculos'!$E$125*(1+2.78*('Cálculos'!$E$196+(($C136)-$A$120:$A$165)*'Cálculos'!$E$98)/(('Cálculos'!$E$196+(($C136)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136)-$A$120:$A$165)*'Cálculos'!$E$98)/(('Cálculos'!$E$197+(($C136)-$A$120:$A$165)*'Cálculos'!$E$98)+1400)+'Cálculos'!$E$122)*'Cálculos'!$E$229+'Cálculos'!$E$125*(1+2.78*('Cálculos'!$E$197+(($C136)-$A$120:$A$165)*'Cálculos'!$E$98)/(('Cálculos'!$E$197+(($C136)-$A$120:$A$165)*'Cálculos'!$E$98)+1400)+'Cálculos'!$E$123)*'Cálculos'!$E$234)+('Cálculos'!$E$197+(($C136)-$A$120:$A$165)*'Cálculos'!$E$98)*('Cálculos'!$E$225+'Cálculos'!$E$124*(1+2.78*('Cálculos'!$E$197+(($C136)-$A$120:$A$165)*'Cálculos'!$E$98)/(('Cálculos'!$E$197+(($C136)-$A$120:$A$165)*'Cálculos'!$E$98)+1400)+'Cálculos'!$E$122)*'Cálculos'!$E$230+'Cálculos'!$E$125*(1+2.78*('Cálculos'!$E$197+(($C136)-$A$120:$A$165)*'Cálculos'!$E$98)/(('Cálculos'!$E$197+(($C136)-$A$120:$A$165)*'Cálculos'!$E$98)+1400)+'Cálculos'!$E$123)*'Cálculos'!$E$235)+('Cálculos'!$E$201*(1+'Cálculos'!$E$202+$A$120:$A$165*('Cálculos'!$E$290=2)*'Cálculos'!$E$101)+'Cálculos'!$E$203)*('Cálculos'!$E$226+'Cálculos'!$E$124*(1+2.78*('Cálculos'!$E$197+(($C136)-$A$120:$A$165)*'Cálculos'!$E$98)/(('Cálculos'!$E$197+(($C136)-$A$120:$A$165)*'Cálculos'!$E$98)+1400)+'Cálculos'!$E$122)*'Cálculos'!$E$231+'Cálculos'!$E$125*(1+2.78*('Cálculos'!$E$197+(($C136)-$A$120:$A$165)*'Cálculos'!$E$98)/(('Cálculos'!$E$197+(($C136)-$A$120:$A$165)*'Cálculos'!$E$98)+1400)+'Cálculos'!$E$123)*'Cálculos'!$E$236)+('Cálculos'!$E$204*(1+'Cálculos'!$E$205+$A$120:$A$165*('Cálculos'!$E$290=3)*'Cálculos'!$E$103)+'Cálculos'!$E$206)*('Cálculos'!$E$227+'Cálculos'!$E$124*(1+2.78*('Cálculos'!$E$197+(($C136)-$A$120:$A$165)*'Cálculos'!$E$98)/(('Cálculos'!$E$197+(($C136)-$A$120:$A$165)*'Cálculos'!$E$98)+1400)+'Cálculos'!$E$122)*'Cálculos'!$E$232+'Cálculos'!$E$125*(1+2.78*('Cálculos'!$E$197+(($C136)-$A$120:$A$165)*'Cálculos'!$E$98)/(('Cálculos'!$E$197+(($C136)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136)-$A$120:$A$165)*'Cálculos'!$E$98)/(('Cálculos'!$E$198+(($C136)-$A$120:$A$165)*'Cálculos'!$E$98)+1400)+'Cálculos'!$E$122)*'Cálculos'!$E$244+'Cálculos'!$E$125*(1+2.78*('Cálculos'!$E$198+(($C136)-$A$120:$A$165)*'Cálculos'!$E$98)/(('Cálculos'!$E$198+(($C136)-$A$120:$A$165)*'Cálculos'!$E$98)+1400)+'Cálculos'!$E$123)*'Cálculos'!$E$249)+('Cálculos'!$E$198+(($C136)-$A$120:$A$165)*'Cálculos'!$E$98)*('Cálculos'!$E$240+'Cálculos'!$E$124*(1+2.78*('Cálculos'!$E$198+(($C136)-$A$120:$A$165)*'Cálculos'!$E$98)/(('Cálculos'!$E$198+(($C136)-$A$120:$A$165)*'Cálculos'!$E$98)+1400)+'Cálculos'!$E$122)*'Cálculos'!$E$245+'Cálculos'!$E$125*(1+2.78*('Cálculos'!$E$198+(($C136)-$A$120:$A$165)*'Cálculos'!$E$98)/(('Cálculos'!$E$198+(($C136)-$A$120:$A$165)*'Cálculos'!$E$98)+1400)+'Cálculos'!$E$123)*'Cálculos'!$E$250)+('Cálculos'!$E$201*(1+'Cálculos'!$E$202+$A$120:$A$165*('Cálculos'!$E$290=2)*'Cálculos'!$E$101)+'Cálculos'!$E$203)*('Cálculos'!$E$241+'Cálculos'!$E$124*(1+2.78*('Cálculos'!$E$198+(($C136)-$A$120:$A$165)*'Cálculos'!$E$98)/(('Cálculos'!$E$198+(($C136)-$A$120:$A$165)*'Cálculos'!$E$98)+1400)+'Cálculos'!$E$122)*'Cálculos'!$E$246+'Cálculos'!$E$125*(1+2.78*('Cálculos'!$E$198+(($C136)-$A$120:$A$165)*'Cálculos'!$E$98)/(('Cálculos'!$E$198+(($C136)-$A$120:$A$165)*'Cálculos'!$E$98)+1400)+'Cálculos'!$E$123)*'Cálculos'!$E$251)+('Cálculos'!$E$204*(1+'Cálculos'!$E$205+$A$120:$A$165*('Cálculos'!$E$290=3)*'Cálculos'!$E$103)+'Cálculos'!$E$206)*('Cálculos'!$E$242+'Cálculos'!$E$124*(1+2.78*('Cálculos'!$E$198+(($C136)-$A$120:$A$165)*'Cálculos'!$E$98)/(('Cálculos'!$E$198+(($C136)-$A$120:$A$165)*'Cálculos'!$E$98)+1400)+'Cálculos'!$E$122)*'Cálculos'!$E$247+'Cálculos'!$E$125*(1+2.78*('Cálculos'!$E$198+(($C136)-$A$120:$A$165)*'Cálculos'!$E$98)/(('Cálculos'!$E$198+(($C136)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136)-$A$120:$A$165)*'Cálculos'!$E$98)/(('Cálculos'!$E$199+(($C136)-$A$120:$A$165)*'Cálculos'!$E$98)+1400)+'Cálculos'!$E$122)*'Cálculos'!$E$259+'Cálculos'!$E$125*(1+2.78*('Cálculos'!$E$199+(($C136)-$A$120:$A$165)*'Cálculos'!$E$98)/(('Cálculos'!$E$199+(($C136)-$A$120:$A$165)*'Cálculos'!$E$98)+1400)+'Cálculos'!$E$123)*'Cálculos'!$E$264)+('Cálculos'!$E$199+(($C136)-$A$120:$A$165)*'Cálculos'!$E$98)*('Cálculos'!$E$255+'Cálculos'!$E$124*(1+2.78*('Cálculos'!$E$199+(($C136)-$A$120:$A$165)*'Cálculos'!$E$98)/(('Cálculos'!$E$199+(($C136)-$A$120:$A$165)*'Cálculos'!$E$98)+1400)+'Cálculos'!$E$122)*'Cálculos'!$E$260+'Cálculos'!$E$125*(1+2.78*('Cálculos'!$E$199+(($C136)-$A$120:$A$165)*'Cálculos'!$E$98)/(('Cálculos'!$E$199+(($C136)-$A$120:$A$165)*'Cálculos'!$E$98)+1400)+'Cálculos'!$E$123)*'Cálculos'!$E$265)+('Cálculos'!$E$201*(1+'Cálculos'!$E$202+$A$120:$A$165*('Cálculos'!$E$290=2)*'Cálculos'!$E$101)+'Cálculos'!$E$203)*('Cálculos'!$E$256+'Cálculos'!$E$124*(1+2.78*('Cálculos'!$E$199+(($C136)-$A$120:$A$165)*'Cálculos'!$E$98)/(('Cálculos'!$E$199+(($C136)-$A$120:$A$165)*'Cálculos'!$E$98)+1400)+'Cálculos'!$E$122)*'Cálculos'!$E$261+'Cálculos'!$E$125*(1+2.78*('Cálculos'!$E$199+(($C136)-$A$120:$A$165)*'Cálculos'!$E$98)/(('Cálculos'!$E$199+(($C136)-$A$120:$A$165)*'Cálculos'!$E$98)+1400)+'Cálculos'!$E$123)*'Cálculos'!$E$266)+('Cálculos'!$E$204*(1+'Cálculos'!$E$205+$A$120:$A$165*('Cálculos'!$E$290=3)*'Cálculos'!$E$103)+'Cálculos'!$E$206)*('Cálculos'!$E$257+'Cálculos'!$E$124*(1+2.78*('Cálculos'!$E$199+(($C136)-$A$120:$A$165)*'Cálculos'!$E$98)/(('Cálculos'!$E$199+(($C136)-$A$120:$A$165)*'Cálculos'!$E$98)+1400)+'Cálculos'!$E$122)*'Cálculos'!$E$262+'Cálculos'!$E$125*(1+2.78*('Cálculos'!$E$199+(($C136)-$A$120:$A$165)*'Cálculos'!$E$98)/(('Cálculos'!$E$199+(($C136)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136)-$A$120:$A$165)*'Cálculos'!$E$98)/(('Cálculos'!$E$200+(($C136)-$A$120:$A$165)*'Cálculos'!$E$98)+1400)+'Cálculos'!$E$122)*'Cálculos'!$E$274+'Cálculos'!$E$125*(1+2.78*('Cálculos'!$E$200+(($C136)-$A$120:$A$165)*'Cálculos'!$E$98)/(('Cálculos'!$E$200+(($C136)-$A$120:$A$165)*'Cálculos'!$E$98)+1400)+'Cálculos'!$E$123)*'Cálculos'!$E$279)+('Cálculos'!$E$200+(($C136)-$A$120:$A$165)*'Cálculos'!$E$98)*('Cálculos'!$E$270+'Cálculos'!$E$124*(1+2.78*('Cálculos'!$E$200+(($C136)-$A$120:$A$165)*'Cálculos'!$E$98)/(('Cálculos'!$E$200+(($C136)-$A$120:$A$165)*'Cálculos'!$E$98)+1400)+'Cálculos'!$E$122)*'Cálculos'!$E$275+'Cálculos'!$E$125*(1+2.78*('Cálculos'!$E$200+(($C136)-$A$120:$A$165)*'Cálculos'!$E$98)/(('Cálculos'!$E$200+(($C136)-$A$120:$A$165)*'Cálculos'!$E$98)+1400)+'Cálculos'!$E$123)*'Cálculos'!$E$280)+('Cálculos'!$E$201*(1+'Cálculos'!$E$202+$A$120:$A$165*('Cálculos'!$E$290=2)*'Cálculos'!$E$101)+'Cálculos'!$E$203)*('Cálculos'!$E$271+'Cálculos'!$E$124*(1+2.78*('Cálculos'!$E$200+(($C136)-$A$120:$A$165)*'Cálculos'!$E$98)/(('Cálculos'!$E$200+(($C136)-$A$120:$A$165)*'Cálculos'!$E$98)+1400)+'Cálculos'!$E$122)*'Cálculos'!$E$276+'Cálculos'!$E$125*(1+2.78*('Cálculos'!$E$200+(($C136)-$A$120:$A$165)*'Cálculos'!$E$98)/(('Cálculos'!$E$200+(($C136)-$A$120:$A$165)*'Cálculos'!$E$98)+1400)+'Cálculos'!$E$123)*'Cálculos'!$E$281)+('Cálculos'!$E$204*(1+'Cálculos'!$E$205+$A$120:$A$165*('Cálculos'!$E$290=3)*'Cálculos'!$E$103)+'Cálculos'!$E$206)*('Cálculos'!$E$272+'Cálculos'!$E$124*(1+2.78*('Cálculos'!$E$200+(($C136)-$A$120:$A$165)*'Cálculos'!$E$98)/(('Cálculos'!$E$200+(($C136)-$A$120:$A$165)*'Cálculos'!$E$98)+1400)+'Cálculos'!$E$122)*'Cálculos'!$E$277+'Cálculos'!$E$125*(1+2.78*('Cálculos'!$E$200+(($C136)-$A$120:$A$165)*'Cálculos'!$E$98)/(('Cálculos'!$E$200+(($C136)-$A$120:$A$165)*'Cálculos'!$E$98)+1400)+'Cálculos'!$E$123)*'Cálculos'!$E$282)))))</f>
        <v>0</v>
      </c>
      <c r="E136" s="32">
        <f>IF(OR($C136&lt;0,'Cálculos'!$E$6=""),0,$B136*$D136)</f>
        <v>0</v>
      </c>
      <c r="F136" s="2"/>
      <c r="G136" s="30">
        <f>($A136&lt;=$B$167)*($A136&lt;='Cálculos'!$E$294)*(($B$167)-$A136&lt;='Cálculos'!$E$295)*(1+MIN(('Cálculos'!$E$207+$A136*'Cálculos'!$E$95),1)*('Cálculos'!$E$208+(($B$167)-$A136)*'Cálculos'!$E$96))</f>
        <v>0</v>
      </c>
      <c r="H136" s="31">
        <f>IF($B$168&lt;0,0,($A136&lt;=$B$168)*($A136&lt;='Cálculos'!$E$301)*(($B$168)-$A136&lt;='Cálculos'!$E$297)*(('Cálculos'!$E$185*(1+'Cálculos'!$E$186+$A136*('Cálculos'!$E$290=1)*'Cálculos'!$E$97+'Cálculos'!$E$305)+'Cálculos'!$E$191)*('Cálculos'!$E$209+'Cálculos'!$E$124*(1+2.78*('Cálculos'!$E$196+(($B$168)-$A136)*'Cálculos'!$E$98)/(('Cálculos'!$E$196+(($B$168)-$A136)*'Cálculos'!$E$98)+1400)+'Cálculos'!$E$122)*'Cálculos'!$E$214+'Cálculos'!$E$125*(1+2.78*('Cálculos'!$E$196+(($B$168)-$A136)*'Cálculos'!$E$98)/(('Cálculos'!$E$196+(($B$168)-$A136)*'Cálculos'!$E$98)+1400)+'Cálculos'!$E$123)*'Cálculos'!$E$219)+('Cálculos'!$E$196+(($B$168)-$A136)*'Cálculos'!$E$98)*('Cálculos'!$E$210+'Cálculos'!$E$124*(1+2.78*('Cálculos'!$E$196+(($B$168)-$A136)*'Cálculos'!$E$98)/(('Cálculos'!$E$196+(($B$168)-$A136)*'Cálculos'!$E$98)+1400)+'Cálculos'!$E$122)*'Cálculos'!$E$215+'Cálculos'!$E$125*(1+2.78*('Cálculos'!$E$196+(($B$168)-$A136)*'Cálculos'!$E$98)/(('Cálculos'!$E$196+(($B$168)-$A136)*'Cálculos'!$E$98)+1400)+'Cálculos'!$E$123)*'Cálculos'!$E$220)+('Cálculos'!$E$201*(1+'Cálculos'!$E$202+$A136*('Cálculos'!$E$290=2)*'Cálculos'!$E$101)+'Cálculos'!$E$203)*('Cálculos'!$E$211+'Cálculos'!$E$124*(1+2.78*('Cálculos'!$E$196+(($B$168)-$A136)*'Cálculos'!$E$98)/(('Cálculos'!$E$196+(($B$168)-$A136)*'Cálculos'!$E$98)+1400)+'Cálculos'!$E$122)*'Cálculos'!$E$216+'Cálculos'!$E$125*(1+2.78*('Cálculos'!$E$196+(($B$168)-$A136)*'Cálculos'!$E$98)/(('Cálculos'!$E$196+(($B$168)-$A136)*'Cálculos'!$E$98)+1400)+'Cálculos'!$E$123)*'Cálculos'!$E$221)+('Cálculos'!$E$204*(1+'Cálculos'!$E$205+$A136*('Cálculos'!$E$290=3)*'Cálculos'!$E$103)+'Cálculos'!$E$206)*('Cálculos'!$E$212+'Cálculos'!$E$124*(1+2.78*('Cálculos'!$E$196+(($B$168)-$A136)*'Cálculos'!$E$98)/(('Cálculos'!$E$196+(($B$168)-$A136)*'Cálculos'!$E$98)+1400)+'Cálculos'!$E$122)*'Cálculos'!$E$217+'Cálculos'!$E$125*(1+2.78*('Cálculos'!$E$196+(($B$168)-$A136)*'Cálculos'!$E$98)/(('Cálculos'!$E$196+(($B$168)-$A136)*'Cálculos'!$E$98)+1400)+'Cálculos'!$E$123)*'Cálculos'!$E$222)+('Cálculos'!$E$185*(1+'Cálculos'!$E$187+$A136*('Cálculos'!$E$290=1)*'Cálculos'!$E$97+'Cálculos'!$E$305)+'Cálculos'!$E$192)*('Cálculos'!$E$224+'Cálculos'!$E$124*(1+2.78*('Cálculos'!$E$197+(($B$168)-$A136)*'Cálculos'!$E$98)/(('Cálculos'!$E$197+(($B$168)-$A136)*'Cálculos'!$E$98)+1400)+'Cálculos'!$E$122)*'Cálculos'!$E$229+'Cálculos'!$E$125*(1+2.78*('Cálculos'!$E$197+(($B$168)-$A136)*'Cálculos'!$E$98)/(('Cálculos'!$E$197+(($B$168)-$A136)*'Cálculos'!$E$98)+1400)+'Cálculos'!$E$123)*'Cálculos'!$E$234)+('Cálculos'!$E$197+(($B$168)-$A136)*'Cálculos'!$E$98)*('Cálculos'!$E$225+'Cálculos'!$E$124*(1+2.78*('Cálculos'!$E$197+(($B$168)-$A136)*'Cálculos'!$E$98)/(('Cálculos'!$E$197+(($B$168)-$A136)*'Cálculos'!$E$98)+1400)+'Cálculos'!$E$122)*'Cálculos'!$E$230+'Cálculos'!$E$125*(1+2.78*('Cálculos'!$E$197+(($B$168)-$A136)*'Cálculos'!$E$98)/(('Cálculos'!$E$197+(($B$168)-$A136)*'Cálculos'!$E$98)+1400)+'Cálculos'!$E$123)*'Cálculos'!$E$235)+('Cálculos'!$E$201*(1+'Cálculos'!$E$202+$A136*('Cálculos'!$E$290=2)*'Cálculos'!$E$101)+'Cálculos'!$E$203)*('Cálculos'!$E$226+'Cálculos'!$E$124*(1+2.78*('Cálculos'!$E$197+(($B$168)-$A136)*'Cálculos'!$E$98)/(('Cálculos'!$E$197+(($B$168)-$A136)*'Cálculos'!$E$98)+1400)+'Cálculos'!$E$122)*'Cálculos'!$E$231+'Cálculos'!$E$125*(1+2.78*('Cálculos'!$E$197+(($B$168)-$A136)*'Cálculos'!$E$98)/(('Cálculos'!$E$197+(($B$168)-$A136)*'Cálculos'!$E$98)+1400)+'Cálculos'!$E$123)*'Cálculos'!$E$236)+('Cálculos'!$E$204*(1+'Cálculos'!$E$205+$A136*('Cálculos'!$E$290=3)*'Cálculos'!$E$103)+'Cálculos'!$E$206)*('Cálculos'!$E$227+'Cálculos'!$E$124*(1+2.78*('Cálculos'!$E$197+(($B$168)-$A136)*'Cálculos'!$E$98)/(('Cálculos'!$E$197+(($B$168)-$A136)*'Cálculos'!$E$98)+1400)+'Cálculos'!$E$122)*'Cálculos'!$E$232+'Cálculos'!$E$125*(1+2.78*('Cálculos'!$E$197+(($B$168)-$A136)*'Cálculos'!$E$98)/(('Cálculos'!$E$197+(($B$168)-$A136)*'Cálculos'!$E$98)+1400)+'Cálculos'!$E$123)*'Cálculos'!$E$237)+('Cálculos'!$E$185*(1+'Cálculos'!$E$188+$A136*('Cálculos'!$E$290=1)*'Cálculos'!$E$97+'Cálculos'!$E$305)+'Cálculos'!$E$193)*('Cálculos'!$E$239+'Cálculos'!$E$124*(1+2.78*('Cálculos'!$E$198+(($B$168)-$A136)*'Cálculos'!$E$98)/(('Cálculos'!$E$198+(($B$168)-$A136)*'Cálculos'!$E$98)+1400)+'Cálculos'!$E$122)*'Cálculos'!$E$244+'Cálculos'!$E$125*(1+2.78*('Cálculos'!$E$198+(($B$168)-$A136)*'Cálculos'!$E$98)/(('Cálculos'!$E$198+(($B$168)-$A136)*'Cálculos'!$E$98)+1400)+'Cálculos'!$E$123)*'Cálculos'!$E$249)+('Cálculos'!$E$198+(($B$168)-$A136)*'Cálculos'!$E$98)*('Cálculos'!$E$240+'Cálculos'!$E$124*(1+2.78*('Cálculos'!$E$198+(($B$168)-$A136)*'Cálculos'!$E$98)/(('Cálculos'!$E$198+(($B$168)-$A136)*'Cálculos'!$E$98)+1400)+'Cálculos'!$E$122)*'Cálculos'!$E$245+'Cálculos'!$E$125*(1+2.78*('Cálculos'!$E$198+(($B$168)-$A136)*'Cálculos'!$E$98)/(('Cálculos'!$E$198+(($B$168)-$A136)*'Cálculos'!$E$98)+1400)+'Cálculos'!$E$123)*'Cálculos'!$E$250)+('Cálculos'!$E$201*(1+'Cálculos'!$E$202+$A136*('Cálculos'!$E$290=2)*'Cálculos'!$E$101)+'Cálculos'!$E$203)*('Cálculos'!$E$241+'Cálculos'!$E$124*(1+2.78*('Cálculos'!$E$198+(($B$168)-$A136)*'Cálculos'!$E$98)/(('Cálculos'!$E$198+(($B$168)-$A136)*'Cálculos'!$E$98)+1400)+'Cálculos'!$E$122)*'Cálculos'!$E$246+'Cálculos'!$E$125*(1+2.78*('Cálculos'!$E$198+(($B$168)-$A136)*'Cálculos'!$E$98)/(('Cálculos'!$E$198+(($B$168)-$A136)*'Cálculos'!$E$98)+1400)+'Cálculos'!$E$123)*'Cálculos'!$E$251)+('Cálculos'!$E$204*(1+'Cálculos'!$E$205+$A136*('Cálculos'!$E$290=3)*'Cálculos'!$E$103)+'Cálculos'!$E$206)*('Cálculos'!$E$242+'Cálculos'!$E$124*(1+2.78*('Cálculos'!$E$198+(($B$168)-$A136)*'Cálculos'!$E$98)/(('Cálculos'!$E$198+(($B$168)-$A136)*'Cálculos'!$E$98)+1400)+'Cálculos'!$E$122)*'Cálculos'!$E$247+'Cálculos'!$E$125*(1+2.78*('Cálculos'!$E$198+(($B$168)-$A136)*'Cálculos'!$E$98)/(('Cálculos'!$E$198+(($B$168)-$A136)*'Cálculos'!$E$98)+1400)+'Cálculos'!$E$123)*'Cálculos'!$E$252)+('Cálculos'!$E$185*(1+'Cálculos'!$E$189+$A136*('Cálculos'!$E$290=1)*'Cálculos'!$E$97+'Cálculos'!$E$305)+'Cálculos'!$E$194)*('Cálculos'!$E$254+'Cálculos'!$E$124*(1+2.78*('Cálculos'!$E$199+(($B$168)-$A136)*'Cálculos'!$E$98)/(('Cálculos'!$E$199+(($B$168)-$A136)*'Cálculos'!$E$98)+1400)+'Cálculos'!$E$122)*'Cálculos'!$E$259+'Cálculos'!$E$125*(1+2.78*('Cálculos'!$E$199+(($B$168)-$A136)*'Cálculos'!$E$98)/(('Cálculos'!$E$199+(($B$168)-$A136)*'Cálculos'!$E$98)+1400)+'Cálculos'!$E$123)*'Cálculos'!$E$264)+('Cálculos'!$E$199+(($B$168)-$A136)*'Cálculos'!$E$98)*('Cálculos'!$E$255+'Cálculos'!$E$124*(1+2.78*('Cálculos'!$E$199+(($B$168)-$A136)*'Cálculos'!$E$98)/(('Cálculos'!$E$199+(($B$168)-$A136)*'Cálculos'!$E$98)+1400)+'Cálculos'!$E$122)*'Cálculos'!$E$260+'Cálculos'!$E$125*(1+2.78*('Cálculos'!$E$199+(($B$168)-$A136)*'Cálculos'!$E$98)/(('Cálculos'!$E$199+(($B$168)-$A136)*'Cálculos'!$E$98)+1400)+'Cálculos'!$E$123)*'Cálculos'!$E$265)+('Cálculos'!$E$201*(1+'Cálculos'!$E$202+$A136*('Cálculos'!$E$290=2)*'Cálculos'!$E$101)+'Cálculos'!$E$203)*('Cálculos'!$E$256+'Cálculos'!$E$124*(1+2.78*('Cálculos'!$E$199+(($B$168)-$A136)*'Cálculos'!$E$98)/(('Cálculos'!$E$199+(($B$168)-$A136)*'Cálculos'!$E$98)+1400)+'Cálculos'!$E$122)*'Cálculos'!$E$261+'Cálculos'!$E$125*(1+2.78*('Cálculos'!$E$199+(($B$168)-$A136)*'Cálculos'!$E$98)/(('Cálculos'!$E$199+(($B$168)-$A136)*'Cálculos'!$E$98)+1400)+'Cálculos'!$E$123)*'Cálculos'!$E$266)+('Cálculos'!$E$204*(1+'Cálculos'!$E$205+$A136*('Cálculos'!$E$290=3)*'Cálculos'!$E$103)+'Cálculos'!$E$206)*('Cálculos'!$E$257+'Cálculos'!$E$124*(1+2.78*('Cálculos'!$E$199+(($B$168)-$A136)*'Cálculos'!$E$98)/(('Cálculos'!$E$199+(($B$168)-$A136)*'Cálculos'!$E$98)+1400)+'Cálculos'!$E$122)*'Cálculos'!$E$262+'Cálculos'!$E$125*(1+2.78*('Cálculos'!$E$199+(($B$168)-$A136)*'Cálculos'!$E$98)/(('Cálculos'!$E$199+(($B$168)-$A136)*'Cálculos'!$E$98)+1400)+'Cálculos'!$E$123)*'Cálculos'!$E$267)+('Cálculos'!$E$185*(1+'Cálculos'!$E$190+$A136*('Cálculos'!$E$290=1)*'Cálculos'!$E$97+'Cálculos'!$E$305)+'Cálculos'!$E$195)*('Cálculos'!$E$269+'Cálculos'!$E$124*(1+2.78*('Cálculos'!$E$200+(($B$168)-$A136)*'Cálculos'!$E$98)/(('Cálculos'!$E$200+(($B$168)-$A136)*'Cálculos'!$E$98)+1400)+'Cálculos'!$E$122)*'Cálculos'!$E$274+'Cálculos'!$E$125*(1+2.78*('Cálculos'!$E$200+(($B$168)-$A136)*'Cálculos'!$E$98)/(('Cálculos'!$E$200+(($B$168)-$A136)*'Cálculos'!$E$98)+1400)+'Cálculos'!$E$123)*'Cálculos'!$E$279)+('Cálculos'!$E$200+(($B$168)-$A136)*'Cálculos'!$E$98)*('Cálculos'!$E$270+'Cálculos'!$E$124*(1+2.78*('Cálculos'!$E$200+(($B$168)-$A136)*'Cálculos'!$E$98)/(('Cálculos'!$E$200+(($B$168)-$A136)*'Cálculos'!$E$98)+1400)+'Cálculos'!$E$122)*'Cálculos'!$E$275+'Cálculos'!$E$125*(1+2.78*('Cálculos'!$E$200+(($B$168)-$A136)*'Cálculos'!$E$98)/(('Cálculos'!$E$200+(($B$168)-$A136)*'Cálculos'!$E$98)+1400)+'Cálculos'!$E$123)*'Cálculos'!$E$280)+('Cálculos'!$E$201*(1+'Cálculos'!$E$202+$A136*('Cálculos'!$E$290=2)*'Cálculos'!$E$101)+'Cálculos'!$E$203)*('Cálculos'!$E$271+'Cálculos'!$E$124*(1+2.78*('Cálculos'!$E$200+(($B$168)-$A136)*'Cálculos'!$E$98)/(('Cálculos'!$E$200+(($B$168)-$A136)*'Cálculos'!$E$98)+1400)+'Cálculos'!$E$122)*'Cálculos'!$E$276+'Cálculos'!$E$125*(1+2.78*('Cálculos'!$E$200+(($B$168)-$A136)*'Cálculos'!$E$98)/(('Cálculos'!$E$200+(($B$168)-$A136)*'Cálculos'!$E$98)+1400)+'Cálculos'!$E$123)*'Cálculos'!$E$281)+('Cálculos'!$E$204*(1+'Cálculos'!$E$205+$A136*('Cálculos'!$E$290=3)*'Cálculos'!$E$103)+'Cálculos'!$E$206)*('Cálculos'!$E$272+'Cálculos'!$E$124*(1+2.78*('Cálculos'!$E$200+(($B$168)-$A136)*'Cálculos'!$E$98)/(('Cálculos'!$E$200+(($B$168)-$A136)*'Cálculos'!$E$98)+1400)+'Cálculos'!$E$122)*'Cálculos'!$E$277+'Cálculos'!$E$125*(1+2.78*('Cálculos'!$E$200+(($B$168)-$A136)*'Cálculos'!$E$98)/(('Cálculos'!$E$200+(($B$168)-$A136)*'Cálculos'!$E$98)+1400)+'Cálculos'!$E$123)*'Cálculos'!$E$282)))</f>
        <v>0</v>
      </c>
    </row>
    <row r="137" ht="15.75" customHeight="1">
      <c r="A137" s="2">
        <v>17.0</v>
      </c>
      <c r="B137" s="30">
        <f>SUMPRODUCT(MAX(($A$120:$A$165&lt;=$A137)*($A$120:$A$165&lt;='Cálculos'!$E$294)*(($A137)-$A$120:$A$165&lt;='Cálculos'!$E$295)*(1+(('Cálculos'!$E$207+$A$120:$A$165*'Cálculos'!$E$95)-(('Cálculos'!$E$207+$A$120:$A$165*'Cálculos'!$E$95)&gt;1)*(('Cálculos'!$E$207+$A$120:$A$165*'Cálculos'!$E$95)-1))*('Cálculos'!$E$208+(($A137)-$A$120:$A$165)*'Cálculos'!$E$96))))</f>
        <v>1.850136</v>
      </c>
      <c r="C137" s="2">
        <f>'Cálculos'!$E$303-$A137</f>
        <v>-4</v>
      </c>
      <c r="D137" s="31">
        <f>IF($C137&lt;0,0,SUMPRODUCT(MAX(($A$120:$A$165&lt;=$C137)*($A$120:$A$165&lt;='Cálculos'!$E$301)*(($C137)-$A$120:$A$165&lt;='Cálculos'!$E$297)*(('Cálculos'!$E$185*(1+'Cálculos'!$E$186+$A$120:$A$165*('Cálculos'!$E$290=1)*'Cálculos'!$E$97+'Cálculos'!$E$305)+'Cálculos'!$E$191)*('Cálculos'!$E$209+'Cálculos'!$E$124*(1+2.78*('Cálculos'!$E$196+(($C137)-$A$120:$A$165)*'Cálculos'!$E$98)/(('Cálculos'!$E$196+(($C137)-$A$120:$A$165)*'Cálculos'!$E$98)+1400)+'Cálculos'!$E$122)*'Cálculos'!$E$214+'Cálculos'!$E$125*(1+2.78*('Cálculos'!$E$196+(($C137)-$A$120:$A$165)*'Cálculos'!$E$98)/(('Cálculos'!$E$196+(($C137)-$A$120:$A$165)*'Cálculos'!$E$98)+1400)+'Cálculos'!$E$123)*'Cálculos'!$E$219)+('Cálculos'!$E$196+(($C137)-$A$120:$A$165)*'Cálculos'!$E$98)*('Cálculos'!$E$210+'Cálculos'!$E$124*(1+2.78*('Cálculos'!$E$196+(($C137)-$A$120:$A$165)*'Cálculos'!$E$98)/(('Cálculos'!$E$196+(($C137)-$A$120:$A$165)*'Cálculos'!$E$98)+1400)+'Cálculos'!$E$122)*'Cálculos'!$E$215+'Cálculos'!$E$125*(1+2.78*('Cálculos'!$E$196+(($C137)-$A$120:$A$165)*'Cálculos'!$E$98)/(('Cálculos'!$E$196+(($C137)-$A$120:$A$165)*'Cálculos'!$E$98)+1400)+'Cálculos'!$E$123)*'Cálculos'!$E$220)+('Cálculos'!$E$201*(1+'Cálculos'!$E$202+$A$120:$A$165*('Cálculos'!$E$290=2)*'Cálculos'!$E$101)+'Cálculos'!$E$203)*('Cálculos'!$E$211+'Cálculos'!$E$124*(1+2.78*('Cálculos'!$E$196+(($C137)-$A$120:$A$165)*'Cálculos'!$E$98)/(('Cálculos'!$E$196+(($C137)-$A$120:$A$165)*'Cálculos'!$E$98)+1400)+'Cálculos'!$E$122)*'Cálculos'!$E$216+'Cálculos'!$E$125*(1+2.78*('Cálculos'!$E$196+(($C137)-$A$120:$A$165)*'Cálculos'!$E$98)/(('Cálculos'!$E$196+(($C137)-$A$120:$A$165)*'Cálculos'!$E$98)+1400)+'Cálculos'!$E$123)*'Cálculos'!$E$221)+('Cálculos'!$E$204*(1+'Cálculos'!$E$205+$A$120:$A$165*('Cálculos'!$E$290=3)*'Cálculos'!$E$103)+'Cálculos'!$E$206)*('Cálculos'!$E$212+'Cálculos'!$E$124*(1+2.78*('Cálculos'!$E$196+(($C137)-$A$120:$A$165)*'Cálculos'!$E$98)/(('Cálculos'!$E$196+(($C137)-$A$120:$A$165)*'Cálculos'!$E$98)+1400)+'Cálculos'!$E$122)*'Cálculos'!$E$217+'Cálculos'!$E$125*(1+2.78*('Cálculos'!$E$196+(($C137)-$A$120:$A$165)*'Cálculos'!$E$98)/(('Cálculos'!$E$196+(($C137)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137)-$A$120:$A$165)*'Cálculos'!$E$98)/(('Cálculos'!$E$197+(($C137)-$A$120:$A$165)*'Cálculos'!$E$98)+1400)+'Cálculos'!$E$122)*'Cálculos'!$E$229+'Cálculos'!$E$125*(1+2.78*('Cálculos'!$E$197+(($C137)-$A$120:$A$165)*'Cálculos'!$E$98)/(('Cálculos'!$E$197+(($C137)-$A$120:$A$165)*'Cálculos'!$E$98)+1400)+'Cálculos'!$E$123)*'Cálculos'!$E$234)+('Cálculos'!$E$197+(($C137)-$A$120:$A$165)*'Cálculos'!$E$98)*('Cálculos'!$E$225+'Cálculos'!$E$124*(1+2.78*('Cálculos'!$E$197+(($C137)-$A$120:$A$165)*'Cálculos'!$E$98)/(('Cálculos'!$E$197+(($C137)-$A$120:$A$165)*'Cálculos'!$E$98)+1400)+'Cálculos'!$E$122)*'Cálculos'!$E$230+'Cálculos'!$E$125*(1+2.78*('Cálculos'!$E$197+(($C137)-$A$120:$A$165)*'Cálculos'!$E$98)/(('Cálculos'!$E$197+(($C137)-$A$120:$A$165)*'Cálculos'!$E$98)+1400)+'Cálculos'!$E$123)*'Cálculos'!$E$235)+('Cálculos'!$E$201*(1+'Cálculos'!$E$202+$A$120:$A$165*('Cálculos'!$E$290=2)*'Cálculos'!$E$101)+'Cálculos'!$E$203)*('Cálculos'!$E$226+'Cálculos'!$E$124*(1+2.78*('Cálculos'!$E$197+(($C137)-$A$120:$A$165)*'Cálculos'!$E$98)/(('Cálculos'!$E$197+(($C137)-$A$120:$A$165)*'Cálculos'!$E$98)+1400)+'Cálculos'!$E$122)*'Cálculos'!$E$231+'Cálculos'!$E$125*(1+2.78*('Cálculos'!$E$197+(($C137)-$A$120:$A$165)*'Cálculos'!$E$98)/(('Cálculos'!$E$197+(($C137)-$A$120:$A$165)*'Cálculos'!$E$98)+1400)+'Cálculos'!$E$123)*'Cálculos'!$E$236)+('Cálculos'!$E$204*(1+'Cálculos'!$E$205+$A$120:$A$165*('Cálculos'!$E$290=3)*'Cálculos'!$E$103)+'Cálculos'!$E$206)*('Cálculos'!$E$227+'Cálculos'!$E$124*(1+2.78*('Cálculos'!$E$197+(($C137)-$A$120:$A$165)*'Cálculos'!$E$98)/(('Cálculos'!$E$197+(($C137)-$A$120:$A$165)*'Cálculos'!$E$98)+1400)+'Cálculos'!$E$122)*'Cálculos'!$E$232+'Cálculos'!$E$125*(1+2.78*('Cálculos'!$E$197+(($C137)-$A$120:$A$165)*'Cálculos'!$E$98)/(('Cálculos'!$E$197+(($C137)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137)-$A$120:$A$165)*'Cálculos'!$E$98)/(('Cálculos'!$E$198+(($C137)-$A$120:$A$165)*'Cálculos'!$E$98)+1400)+'Cálculos'!$E$122)*'Cálculos'!$E$244+'Cálculos'!$E$125*(1+2.78*('Cálculos'!$E$198+(($C137)-$A$120:$A$165)*'Cálculos'!$E$98)/(('Cálculos'!$E$198+(($C137)-$A$120:$A$165)*'Cálculos'!$E$98)+1400)+'Cálculos'!$E$123)*'Cálculos'!$E$249)+('Cálculos'!$E$198+(($C137)-$A$120:$A$165)*'Cálculos'!$E$98)*('Cálculos'!$E$240+'Cálculos'!$E$124*(1+2.78*('Cálculos'!$E$198+(($C137)-$A$120:$A$165)*'Cálculos'!$E$98)/(('Cálculos'!$E$198+(($C137)-$A$120:$A$165)*'Cálculos'!$E$98)+1400)+'Cálculos'!$E$122)*'Cálculos'!$E$245+'Cálculos'!$E$125*(1+2.78*('Cálculos'!$E$198+(($C137)-$A$120:$A$165)*'Cálculos'!$E$98)/(('Cálculos'!$E$198+(($C137)-$A$120:$A$165)*'Cálculos'!$E$98)+1400)+'Cálculos'!$E$123)*'Cálculos'!$E$250)+('Cálculos'!$E$201*(1+'Cálculos'!$E$202+$A$120:$A$165*('Cálculos'!$E$290=2)*'Cálculos'!$E$101)+'Cálculos'!$E$203)*('Cálculos'!$E$241+'Cálculos'!$E$124*(1+2.78*('Cálculos'!$E$198+(($C137)-$A$120:$A$165)*'Cálculos'!$E$98)/(('Cálculos'!$E$198+(($C137)-$A$120:$A$165)*'Cálculos'!$E$98)+1400)+'Cálculos'!$E$122)*'Cálculos'!$E$246+'Cálculos'!$E$125*(1+2.78*('Cálculos'!$E$198+(($C137)-$A$120:$A$165)*'Cálculos'!$E$98)/(('Cálculos'!$E$198+(($C137)-$A$120:$A$165)*'Cálculos'!$E$98)+1400)+'Cálculos'!$E$123)*'Cálculos'!$E$251)+('Cálculos'!$E$204*(1+'Cálculos'!$E$205+$A$120:$A$165*('Cálculos'!$E$290=3)*'Cálculos'!$E$103)+'Cálculos'!$E$206)*('Cálculos'!$E$242+'Cálculos'!$E$124*(1+2.78*('Cálculos'!$E$198+(($C137)-$A$120:$A$165)*'Cálculos'!$E$98)/(('Cálculos'!$E$198+(($C137)-$A$120:$A$165)*'Cálculos'!$E$98)+1400)+'Cálculos'!$E$122)*'Cálculos'!$E$247+'Cálculos'!$E$125*(1+2.78*('Cálculos'!$E$198+(($C137)-$A$120:$A$165)*'Cálculos'!$E$98)/(('Cálculos'!$E$198+(($C137)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137)-$A$120:$A$165)*'Cálculos'!$E$98)/(('Cálculos'!$E$199+(($C137)-$A$120:$A$165)*'Cálculos'!$E$98)+1400)+'Cálculos'!$E$122)*'Cálculos'!$E$259+'Cálculos'!$E$125*(1+2.78*('Cálculos'!$E$199+(($C137)-$A$120:$A$165)*'Cálculos'!$E$98)/(('Cálculos'!$E$199+(($C137)-$A$120:$A$165)*'Cálculos'!$E$98)+1400)+'Cálculos'!$E$123)*'Cálculos'!$E$264)+('Cálculos'!$E$199+(($C137)-$A$120:$A$165)*'Cálculos'!$E$98)*('Cálculos'!$E$255+'Cálculos'!$E$124*(1+2.78*('Cálculos'!$E$199+(($C137)-$A$120:$A$165)*'Cálculos'!$E$98)/(('Cálculos'!$E$199+(($C137)-$A$120:$A$165)*'Cálculos'!$E$98)+1400)+'Cálculos'!$E$122)*'Cálculos'!$E$260+'Cálculos'!$E$125*(1+2.78*('Cálculos'!$E$199+(($C137)-$A$120:$A$165)*'Cálculos'!$E$98)/(('Cálculos'!$E$199+(($C137)-$A$120:$A$165)*'Cálculos'!$E$98)+1400)+'Cálculos'!$E$123)*'Cálculos'!$E$265)+('Cálculos'!$E$201*(1+'Cálculos'!$E$202+$A$120:$A$165*('Cálculos'!$E$290=2)*'Cálculos'!$E$101)+'Cálculos'!$E$203)*('Cálculos'!$E$256+'Cálculos'!$E$124*(1+2.78*('Cálculos'!$E$199+(($C137)-$A$120:$A$165)*'Cálculos'!$E$98)/(('Cálculos'!$E$199+(($C137)-$A$120:$A$165)*'Cálculos'!$E$98)+1400)+'Cálculos'!$E$122)*'Cálculos'!$E$261+'Cálculos'!$E$125*(1+2.78*('Cálculos'!$E$199+(($C137)-$A$120:$A$165)*'Cálculos'!$E$98)/(('Cálculos'!$E$199+(($C137)-$A$120:$A$165)*'Cálculos'!$E$98)+1400)+'Cálculos'!$E$123)*'Cálculos'!$E$266)+('Cálculos'!$E$204*(1+'Cálculos'!$E$205+$A$120:$A$165*('Cálculos'!$E$290=3)*'Cálculos'!$E$103)+'Cálculos'!$E$206)*('Cálculos'!$E$257+'Cálculos'!$E$124*(1+2.78*('Cálculos'!$E$199+(($C137)-$A$120:$A$165)*'Cálculos'!$E$98)/(('Cálculos'!$E$199+(($C137)-$A$120:$A$165)*'Cálculos'!$E$98)+1400)+'Cálculos'!$E$122)*'Cálculos'!$E$262+'Cálculos'!$E$125*(1+2.78*('Cálculos'!$E$199+(($C137)-$A$120:$A$165)*'Cálculos'!$E$98)/(('Cálculos'!$E$199+(($C137)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137)-$A$120:$A$165)*'Cálculos'!$E$98)/(('Cálculos'!$E$200+(($C137)-$A$120:$A$165)*'Cálculos'!$E$98)+1400)+'Cálculos'!$E$122)*'Cálculos'!$E$274+'Cálculos'!$E$125*(1+2.78*('Cálculos'!$E$200+(($C137)-$A$120:$A$165)*'Cálculos'!$E$98)/(('Cálculos'!$E$200+(($C137)-$A$120:$A$165)*'Cálculos'!$E$98)+1400)+'Cálculos'!$E$123)*'Cálculos'!$E$279)+('Cálculos'!$E$200+(($C137)-$A$120:$A$165)*'Cálculos'!$E$98)*('Cálculos'!$E$270+'Cálculos'!$E$124*(1+2.78*('Cálculos'!$E$200+(($C137)-$A$120:$A$165)*'Cálculos'!$E$98)/(('Cálculos'!$E$200+(($C137)-$A$120:$A$165)*'Cálculos'!$E$98)+1400)+'Cálculos'!$E$122)*'Cálculos'!$E$275+'Cálculos'!$E$125*(1+2.78*('Cálculos'!$E$200+(($C137)-$A$120:$A$165)*'Cálculos'!$E$98)/(('Cálculos'!$E$200+(($C137)-$A$120:$A$165)*'Cálculos'!$E$98)+1400)+'Cálculos'!$E$123)*'Cálculos'!$E$280)+('Cálculos'!$E$201*(1+'Cálculos'!$E$202+$A$120:$A$165*('Cálculos'!$E$290=2)*'Cálculos'!$E$101)+'Cálculos'!$E$203)*('Cálculos'!$E$271+'Cálculos'!$E$124*(1+2.78*('Cálculos'!$E$200+(($C137)-$A$120:$A$165)*'Cálculos'!$E$98)/(('Cálculos'!$E$200+(($C137)-$A$120:$A$165)*'Cálculos'!$E$98)+1400)+'Cálculos'!$E$122)*'Cálculos'!$E$276+'Cálculos'!$E$125*(1+2.78*('Cálculos'!$E$200+(($C137)-$A$120:$A$165)*'Cálculos'!$E$98)/(('Cálculos'!$E$200+(($C137)-$A$120:$A$165)*'Cálculos'!$E$98)+1400)+'Cálculos'!$E$123)*'Cálculos'!$E$281)+('Cálculos'!$E$204*(1+'Cálculos'!$E$205+$A$120:$A$165*('Cálculos'!$E$290=3)*'Cálculos'!$E$103)+'Cálculos'!$E$206)*('Cálculos'!$E$272+'Cálculos'!$E$124*(1+2.78*('Cálculos'!$E$200+(($C137)-$A$120:$A$165)*'Cálculos'!$E$98)/(('Cálculos'!$E$200+(($C137)-$A$120:$A$165)*'Cálculos'!$E$98)+1400)+'Cálculos'!$E$122)*'Cálculos'!$E$277+'Cálculos'!$E$125*(1+2.78*('Cálculos'!$E$200+(($C137)-$A$120:$A$165)*'Cálculos'!$E$98)/(('Cálculos'!$E$200+(($C137)-$A$120:$A$165)*'Cálculos'!$E$98)+1400)+'Cálculos'!$E$123)*'Cálculos'!$E$282)))))</f>
        <v>0</v>
      </c>
      <c r="E137" s="32">
        <f>IF(OR($C137&lt;0,'Cálculos'!$E$6=""),0,$B137*$D137)</f>
        <v>0</v>
      </c>
      <c r="F137" s="2"/>
      <c r="G137" s="30">
        <f>($A137&lt;=$B$167)*($A137&lt;='Cálculos'!$E$294)*(($B$167)-$A137&lt;='Cálculos'!$E$295)*(1+MIN(('Cálculos'!$E$207+$A137*'Cálculos'!$E$95),1)*('Cálculos'!$E$208+(($B$167)-$A137)*'Cálculos'!$E$96))</f>
        <v>0</v>
      </c>
      <c r="H137" s="31">
        <f>IF($B$168&lt;0,0,($A137&lt;=$B$168)*($A137&lt;='Cálculos'!$E$301)*(($B$168)-$A137&lt;='Cálculos'!$E$297)*(('Cálculos'!$E$185*(1+'Cálculos'!$E$186+$A137*('Cálculos'!$E$290=1)*'Cálculos'!$E$97+'Cálculos'!$E$305)+'Cálculos'!$E$191)*('Cálculos'!$E$209+'Cálculos'!$E$124*(1+2.78*('Cálculos'!$E$196+(($B$168)-$A137)*'Cálculos'!$E$98)/(('Cálculos'!$E$196+(($B$168)-$A137)*'Cálculos'!$E$98)+1400)+'Cálculos'!$E$122)*'Cálculos'!$E$214+'Cálculos'!$E$125*(1+2.78*('Cálculos'!$E$196+(($B$168)-$A137)*'Cálculos'!$E$98)/(('Cálculos'!$E$196+(($B$168)-$A137)*'Cálculos'!$E$98)+1400)+'Cálculos'!$E$123)*'Cálculos'!$E$219)+('Cálculos'!$E$196+(($B$168)-$A137)*'Cálculos'!$E$98)*('Cálculos'!$E$210+'Cálculos'!$E$124*(1+2.78*('Cálculos'!$E$196+(($B$168)-$A137)*'Cálculos'!$E$98)/(('Cálculos'!$E$196+(($B$168)-$A137)*'Cálculos'!$E$98)+1400)+'Cálculos'!$E$122)*'Cálculos'!$E$215+'Cálculos'!$E$125*(1+2.78*('Cálculos'!$E$196+(($B$168)-$A137)*'Cálculos'!$E$98)/(('Cálculos'!$E$196+(($B$168)-$A137)*'Cálculos'!$E$98)+1400)+'Cálculos'!$E$123)*'Cálculos'!$E$220)+('Cálculos'!$E$201*(1+'Cálculos'!$E$202+$A137*('Cálculos'!$E$290=2)*'Cálculos'!$E$101)+'Cálculos'!$E$203)*('Cálculos'!$E$211+'Cálculos'!$E$124*(1+2.78*('Cálculos'!$E$196+(($B$168)-$A137)*'Cálculos'!$E$98)/(('Cálculos'!$E$196+(($B$168)-$A137)*'Cálculos'!$E$98)+1400)+'Cálculos'!$E$122)*'Cálculos'!$E$216+'Cálculos'!$E$125*(1+2.78*('Cálculos'!$E$196+(($B$168)-$A137)*'Cálculos'!$E$98)/(('Cálculos'!$E$196+(($B$168)-$A137)*'Cálculos'!$E$98)+1400)+'Cálculos'!$E$123)*'Cálculos'!$E$221)+('Cálculos'!$E$204*(1+'Cálculos'!$E$205+$A137*('Cálculos'!$E$290=3)*'Cálculos'!$E$103)+'Cálculos'!$E$206)*('Cálculos'!$E$212+'Cálculos'!$E$124*(1+2.78*('Cálculos'!$E$196+(($B$168)-$A137)*'Cálculos'!$E$98)/(('Cálculos'!$E$196+(($B$168)-$A137)*'Cálculos'!$E$98)+1400)+'Cálculos'!$E$122)*'Cálculos'!$E$217+'Cálculos'!$E$125*(1+2.78*('Cálculos'!$E$196+(($B$168)-$A137)*'Cálculos'!$E$98)/(('Cálculos'!$E$196+(($B$168)-$A137)*'Cálculos'!$E$98)+1400)+'Cálculos'!$E$123)*'Cálculos'!$E$222)+('Cálculos'!$E$185*(1+'Cálculos'!$E$187+$A137*('Cálculos'!$E$290=1)*'Cálculos'!$E$97+'Cálculos'!$E$305)+'Cálculos'!$E$192)*('Cálculos'!$E$224+'Cálculos'!$E$124*(1+2.78*('Cálculos'!$E$197+(($B$168)-$A137)*'Cálculos'!$E$98)/(('Cálculos'!$E$197+(($B$168)-$A137)*'Cálculos'!$E$98)+1400)+'Cálculos'!$E$122)*'Cálculos'!$E$229+'Cálculos'!$E$125*(1+2.78*('Cálculos'!$E$197+(($B$168)-$A137)*'Cálculos'!$E$98)/(('Cálculos'!$E$197+(($B$168)-$A137)*'Cálculos'!$E$98)+1400)+'Cálculos'!$E$123)*'Cálculos'!$E$234)+('Cálculos'!$E$197+(($B$168)-$A137)*'Cálculos'!$E$98)*('Cálculos'!$E$225+'Cálculos'!$E$124*(1+2.78*('Cálculos'!$E$197+(($B$168)-$A137)*'Cálculos'!$E$98)/(('Cálculos'!$E$197+(($B$168)-$A137)*'Cálculos'!$E$98)+1400)+'Cálculos'!$E$122)*'Cálculos'!$E$230+'Cálculos'!$E$125*(1+2.78*('Cálculos'!$E$197+(($B$168)-$A137)*'Cálculos'!$E$98)/(('Cálculos'!$E$197+(($B$168)-$A137)*'Cálculos'!$E$98)+1400)+'Cálculos'!$E$123)*'Cálculos'!$E$235)+('Cálculos'!$E$201*(1+'Cálculos'!$E$202+$A137*('Cálculos'!$E$290=2)*'Cálculos'!$E$101)+'Cálculos'!$E$203)*('Cálculos'!$E$226+'Cálculos'!$E$124*(1+2.78*('Cálculos'!$E$197+(($B$168)-$A137)*'Cálculos'!$E$98)/(('Cálculos'!$E$197+(($B$168)-$A137)*'Cálculos'!$E$98)+1400)+'Cálculos'!$E$122)*'Cálculos'!$E$231+'Cálculos'!$E$125*(1+2.78*('Cálculos'!$E$197+(($B$168)-$A137)*'Cálculos'!$E$98)/(('Cálculos'!$E$197+(($B$168)-$A137)*'Cálculos'!$E$98)+1400)+'Cálculos'!$E$123)*'Cálculos'!$E$236)+('Cálculos'!$E$204*(1+'Cálculos'!$E$205+$A137*('Cálculos'!$E$290=3)*'Cálculos'!$E$103)+'Cálculos'!$E$206)*('Cálculos'!$E$227+'Cálculos'!$E$124*(1+2.78*('Cálculos'!$E$197+(($B$168)-$A137)*'Cálculos'!$E$98)/(('Cálculos'!$E$197+(($B$168)-$A137)*'Cálculos'!$E$98)+1400)+'Cálculos'!$E$122)*'Cálculos'!$E$232+'Cálculos'!$E$125*(1+2.78*('Cálculos'!$E$197+(($B$168)-$A137)*'Cálculos'!$E$98)/(('Cálculos'!$E$197+(($B$168)-$A137)*'Cálculos'!$E$98)+1400)+'Cálculos'!$E$123)*'Cálculos'!$E$237)+('Cálculos'!$E$185*(1+'Cálculos'!$E$188+$A137*('Cálculos'!$E$290=1)*'Cálculos'!$E$97+'Cálculos'!$E$305)+'Cálculos'!$E$193)*('Cálculos'!$E$239+'Cálculos'!$E$124*(1+2.78*('Cálculos'!$E$198+(($B$168)-$A137)*'Cálculos'!$E$98)/(('Cálculos'!$E$198+(($B$168)-$A137)*'Cálculos'!$E$98)+1400)+'Cálculos'!$E$122)*'Cálculos'!$E$244+'Cálculos'!$E$125*(1+2.78*('Cálculos'!$E$198+(($B$168)-$A137)*'Cálculos'!$E$98)/(('Cálculos'!$E$198+(($B$168)-$A137)*'Cálculos'!$E$98)+1400)+'Cálculos'!$E$123)*'Cálculos'!$E$249)+('Cálculos'!$E$198+(($B$168)-$A137)*'Cálculos'!$E$98)*('Cálculos'!$E$240+'Cálculos'!$E$124*(1+2.78*('Cálculos'!$E$198+(($B$168)-$A137)*'Cálculos'!$E$98)/(('Cálculos'!$E$198+(($B$168)-$A137)*'Cálculos'!$E$98)+1400)+'Cálculos'!$E$122)*'Cálculos'!$E$245+'Cálculos'!$E$125*(1+2.78*('Cálculos'!$E$198+(($B$168)-$A137)*'Cálculos'!$E$98)/(('Cálculos'!$E$198+(($B$168)-$A137)*'Cálculos'!$E$98)+1400)+'Cálculos'!$E$123)*'Cálculos'!$E$250)+('Cálculos'!$E$201*(1+'Cálculos'!$E$202+$A137*('Cálculos'!$E$290=2)*'Cálculos'!$E$101)+'Cálculos'!$E$203)*('Cálculos'!$E$241+'Cálculos'!$E$124*(1+2.78*('Cálculos'!$E$198+(($B$168)-$A137)*'Cálculos'!$E$98)/(('Cálculos'!$E$198+(($B$168)-$A137)*'Cálculos'!$E$98)+1400)+'Cálculos'!$E$122)*'Cálculos'!$E$246+'Cálculos'!$E$125*(1+2.78*('Cálculos'!$E$198+(($B$168)-$A137)*'Cálculos'!$E$98)/(('Cálculos'!$E$198+(($B$168)-$A137)*'Cálculos'!$E$98)+1400)+'Cálculos'!$E$123)*'Cálculos'!$E$251)+('Cálculos'!$E$204*(1+'Cálculos'!$E$205+$A137*('Cálculos'!$E$290=3)*'Cálculos'!$E$103)+'Cálculos'!$E$206)*('Cálculos'!$E$242+'Cálculos'!$E$124*(1+2.78*('Cálculos'!$E$198+(($B$168)-$A137)*'Cálculos'!$E$98)/(('Cálculos'!$E$198+(($B$168)-$A137)*'Cálculos'!$E$98)+1400)+'Cálculos'!$E$122)*'Cálculos'!$E$247+'Cálculos'!$E$125*(1+2.78*('Cálculos'!$E$198+(($B$168)-$A137)*'Cálculos'!$E$98)/(('Cálculos'!$E$198+(($B$168)-$A137)*'Cálculos'!$E$98)+1400)+'Cálculos'!$E$123)*'Cálculos'!$E$252)+('Cálculos'!$E$185*(1+'Cálculos'!$E$189+$A137*('Cálculos'!$E$290=1)*'Cálculos'!$E$97+'Cálculos'!$E$305)+'Cálculos'!$E$194)*('Cálculos'!$E$254+'Cálculos'!$E$124*(1+2.78*('Cálculos'!$E$199+(($B$168)-$A137)*'Cálculos'!$E$98)/(('Cálculos'!$E$199+(($B$168)-$A137)*'Cálculos'!$E$98)+1400)+'Cálculos'!$E$122)*'Cálculos'!$E$259+'Cálculos'!$E$125*(1+2.78*('Cálculos'!$E$199+(($B$168)-$A137)*'Cálculos'!$E$98)/(('Cálculos'!$E$199+(($B$168)-$A137)*'Cálculos'!$E$98)+1400)+'Cálculos'!$E$123)*'Cálculos'!$E$264)+('Cálculos'!$E$199+(($B$168)-$A137)*'Cálculos'!$E$98)*('Cálculos'!$E$255+'Cálculos'!$E$124*(1+2.78*('Cálculos'!$E$199+(($B$168)-$A137)*'Cálculos'!$E$98)/(('Cálculos'!$E$199+(($B$168)-$A137)*'Cálculos'!$E$98)+1400)+'Cálculos'!$E$122)*'Cálculos'!$E$260+'Cálculos'!$E$125*(1+2.78*('Cálculos'!$E$199+(($B$168)-$A137)*'Cálculos'!$E$98)/(('Cálculos'!$E$199+(($B$168)-$A137)*'Cálculos'!$E$98)+1400)+'Cálculos'!$E$123)*'Cálculos'!$E$265)+('Cálculos'!$E$201*(1+'Cálculos'!$E$202+$A137*('Cálculos'!$E$290=2)*'Cálculos'!$E$101)+'Cálculos'!$E$203)*('Cálculos'!$E$256+'Cálculos'!$E$124*(1+2.78*('Cálculos'!$E$199+(($B$168)-$A137)*'Cálculos'!$E$98)/(('Cálculos'!$E$199+(($B$168)-$A137)*'Cálculos'!$E$98)+1400)+'Cálculos'!$E$122)*'Cálculos'!$E$261+'Cálculos'!$E$125*(1+2.78*('Cálculos'!$E$199+(($B$168)-$A137)*'Cálculos'!$E$98)/(('Cálculos'!$E$199+(($B$168)-$A137)*'Cálculos'!$E$98)+1400)+'Cálculos'!$E$123)*'Cálculos'!$E$266)+('Cálculos'!$E$204*(1+'Cálculos'!$E$205+$A137*('Cálculos'!$E$290=3)*'Cálculos'!$E$103)+'Cálculos'!$E$206)*('Cálculos'!$E$257+'Cálculos'!$E$124*(1+2.78*('Cálculos'!$E$199+(($B$168)-$A137)*'Cálculos'!$E$98)/(('Cálculos'!$E$199+(($B$168)-$A137)*'Cálculos'!$E$98)+1400)+'Cálculos'!$E$122)*'Cálculos'!$E$262+'Cálculos'!$E$125*(1+2.78*('Cálculos'!$E$199+(($B$168)-$A137)*'Cálculos'!$E$98)/(('Cálculos'!$E$199+(($B$168)-$A137)*'Cálculos'!$E$98)+1400)+'Cálculos'!$E$123)*'Cálculos'!$E$267)+('Cálculos'!$E$185*(1+'Cálculos'!$E$190+$A137*('Cálculos'!$E$290=1)*'Cálculos'!$E$97+'Cálculos'!$E$305)+'Cálculos'!$E$195)*('Cálculos'!$E$269+'Cálculos'!$E$124*(1+2.78*('Cálculos'!$E$200+(($B$168)-$A137)*'Cálculos'!$E$98)/(('Cálculos'!$E$200+(($B$168)-$A137)*'Cálculos'!$E$98)+1400)+'Cálculos'!$E$122)*'Cálculos'!$E$274+'Cálculos'!$E$125*(1+2.78*('Cálculos'!$E$200+(($B$168)-$A137)*'Cálculos'!$E$98)/(('Cálculos'!$E$200+(($B$168)-$A137)*'Cálculos'!$E$98)+1400)+'Cálculos'!$E$123)*'Cálculos'!$E$279)+('Cálculos'!$E$200+(($B$168)-$A137)*'Cálculos'!$E$98)*('Cálculos'!$E$270+'Cálculos'!$E$124*(1+2.78*('Cálculos'!$E$200+(($B$168)-$A137)*'Cálculos'!$E$98)/(('Cálculos'!$E$200+(($B$168)-$A137)*'Cálculos'!$E$98)+1400)+'Cálculos'!$E$122)*'Cálculos'!$E$275+'Cálculos'!$E$125*(1+2.78*('Cálculos'!$E$200+(($B$168)-$A137)*'Cálculos'!$E$98)/(('Cálculos'!$E$200+(($B$168)-$A137)*'Cálculos'!$E$98)+1400)+'Cálculos'!$E$123)*'Cálculos'!$E$280)+('Cálculos'!$E$201*(1+'Cálculos'!$E$202+$A137*('Cálculos'!$E$290=2)*'Cálculos'!$E$101)+'Cálculos'!$E$203)*('Cálculos'!$E$271+'Cálculos'!$E$124*(1+2.78*('Cálculos'!$E$200+(($B$168)-$A137)*'Cálculos'!$E$98)/(('Cálculos'!$E$200+(($B$168)-$A137)*'Cálculos'!$E$98)+1400)+'Cálculos'!$E$122)*'Cálculos'!$E$276+'Cálculos'!$E$125*(1+2.78*('Cálculos'!$E$200+(($B$168)-$A137)*'Cálculos'!$E$98)/(('Cálculos'!$E$200+(($B$168)-$A137)*'Cálculos'!$E$98)+1400)+'Cálculos'!$E$123)*'Cálculos'!$E$281)+('Cálculos'!$E$204*(1+'Cálculos'!$E$205+$A137*('Cálculos'!$E$290=3)*'Cálculos'!$E$103)+'Cálculos'!$E$206)*('Cálculos'!$E$272+'Cálculos'!$E$124*(1+2.78*('Cálculos'!$E$200+(($B$168)-$A137)*'Cálculos'!$E$98)/(('Cálculos'!$E$200+(($B$168)-$A137)*'Cálculos'!$E$98)+1400)+'Cálculos'!$E$122)*'Cálculos'!$E$277+'Cálculos'!$E$125*(1+2.78*('Cálculos'!$E$200+(($B$168)-$A137)*'Cálculos'!$E$98)/(('Cálculos'!$E$200+(($B$168)-$A137)*'Cálculos'!$E$98)+1400)+'Cálculos'!$E$123)*'Cálculos'!$E$282)))</f>
        <v>0</v>
      </c>
    </row>
    <row r="138" ht="15.75" customHeight="1">
      <c r="A138" s="2">
        <v>18.0</v>
      </c>
      <c r="B138" s="30">
        <f>SUMPRODUCT(MAX(($A$120:$A$165&lt;=$A138)*($A$120:$A$165&lt;='Cálculos'!$E$294)*(($A138)-$A$120:$A$165&lt;='Cálculos'!$E$295)*(1+(('Cálculos'!$E$207+$A$120:$A$165*'Cálculos'!$E$95)-(('Cálculos'!$E$207+$A$120:$A$165*'Cálculos'!$E$95)&gt;1)*(('Cálculos'!$E$207+$A$120:$A$165*'Cálculos'!$E$95)-1))*('Cálculos'!$E$208+(($A138)-$A$120:$A$165)*'Cálculos'!$E$96))))</f>
        <v>1.893564</v>
      </c>
      <c r="C138" s="2">
        <f>'Cálculos'!$E$303-$A138</f>
        <v>-5</v>
      </c>
      <c r="D138" s="31">
        <f>IF($C138&lt;0,0,SUMPRODUCT(MAX(($A$120:$A$165&lt;=$C138)*($A$120:$A$165&lt;='Cálculos'!$E$301)*(($C138)-$A$120:$A$165&lt;='Cálculos'!$E$297)*(('Cálculos'!$E$185*(1+'Cálculos'!$E$186+$A$120:$A$165*('Cálculos'!$E$290=1)*'Cálculos'!$E$97+'Cálculos'!$E$305)+'Cálculos'!$E$191)*('Cálculos'!$E$209+'Cálculos'!$E$124*(1+2.78*('Cálculos'!$E$196+(($C138)-$A$120:$A$165)*'Cálculos'!$E$98)/(('Cálculos'!$E$196+(($C138)-$A$120:$A$165)*'Cálculos'!$E$98)+1400)+'Cálculos'!$E$122)*'Cálculos'!$E$214+'Cálculos'!$E$125*(1+2.78*('Cálculos'!$E$196+(($C138)-$A$120:$A$165)*'Cálculos'!$E$98)/(('Cálculos'!$E$196+(($C138)-$A$120:$A$165)*'Cálculos'!$E$98)+1400)+'Cálculos'!$E$123)*'Cálculos'!$E$219)+('Cálculos'!$E$196+(($C138)-$A$120:$A$165)*'Cálculos'!$E$98)*('Cálculos'!$E$210+'Cálculos'!$E$124*(1+2.78*('Cálculos'!$E$196+(($C138)-$A$120:$A$165)*'Cálculos'!$E$98)/(('Cálculos'!$E$196+(($C138)-$A$120:$A$165)*'Cálculos'!$E$98)+1400)+'Cálculos'!$E$122)*'Cálculos'!$E$215+'Cálculos'!$E$125*(1+2.78*('Cálculos'!$E$196+(($C138)-$A$120:$A$165)*'Cálculos'!$E$98)/(('Cálculos'!$E$196+(($C138)-$A$120:$A$165)*'Cálculos'!$E$98)+1400)+'Cálculos'!$E$123)*'Cálculos'!$E$220)+('Cálculos'!$E$201*(1+'Cálculos'!$E$202+$A$120:$A$165*('Cálculos'!$E$290=2)*'Cálculos'!$E$101)+'Cálculos'!$E$203)*('Cálculos'!$E$211+'Cálculos'!$E$124*(1+2.78*('Cálculos'!$E$196+(($C138)-$A$120:$A$165)*'Cálculos'!$E$98)/(('Cálculos'!$E$196+(($C138)-$A$120:$A$165)*'Cálculos'!$E$98)+1400)+'Cálculos'!$E$122)*'Cálculos'!$E$216+'Cálculos'!$E$125*(1+2.78*('Cálculos'!$E$196+(($C138)-$A$120:$A$165)*'Cálculos'!$E$98)/(('Cálculos'!$E$196+(($C138)-$A$120:$A$165)*'Cálculos'!$E$98)+1400)+'Cálculos'!$E$123)*'Cálculos'!$E$221)+('Cálculos'!$E$204*(1+'Cálculos'!$E$205+$A$120:$A$165*('Cálculos'!$E$290=3)*'Cálculos'!$E$103)+'Cálculos'!$E$206)*('Cálculos'!$E$212+'Cálculos'!$E$124*(1+2.78*('Cálculos'!$E$196+(($C138)-$A$120:$A$165)*'Cálculos'!$E$98)/(('Cálculos'!$E$196+(($C138)-$A$120:$A$165)*'Cálculos'!$E$98)+1400)+'Cálculos'!$E$122)*'Cálculos'!$E$217+'Cálculos'!$E$125*(1+2.78*('Cálculos'!$E$196+(($C138)-$A$120:$A$165)*'Cálculos'!$E$98)/(('Cálculos'!$E$196+(($C138)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138)-$A$120:$A$165)*'Cálculos'!$E$98)/(('Cálculos'!$E$197+(($C138)-$A$120:$A$165)*'Cálculos'!$E$98)+1400)+'Cálculos'!$E$122)*'Cálculos'!$E$229+'Cálculos'!$E$125*(1+2.78*('Cálculos'!$E$197+(($C138)-$A$120:$A$165)*'Cálculos'!$E$98)/(('Cálculos'!$E$197+(($C138)-$A$120:$A$165)*'Cálculos'!$E$98)+1400)+'Cálculos'!$E$123)*'Cálculos'!$E$234)+('Cálculos'!$E$197+(($C138)-$A$120:$A$165)*'Cálculos'!$E$98)*('Cálculos'!$E$225+'Cálculos'!$E$124*(1+2.78*('Cálculos'!$E$197+(($C138)-$A$120:$A$165)*'Cálculos'!$E$98)/(('Cálculos'!$E$197+(($C138)-$A$120:$A$165)*'Cálculos'!$E$98)+1400)+'Cálculos'!$E$122)*'Cálculos'!$E$230+'Cálculos'!$E$125*(1+2.78*('Cálculos'!$E$197+(($C138)-$A$120:$A$165)*'Cálculos'!$E$98)/(('Cálculos'!$E$197+(($C138)-$A$120:$A$165)*'Cálculos'!$E$98)+1400)+'Cálculos'!$E$123)*'Cálculos'!$E$235)+('Cálculos'!$E$201*(1+'Cálculos'!$E$202+$A$120:$A$165*('Cálculos'!$E$290=2)*'Cálculos'!$E$101)+'Cálculos'!$E$203)*('Cálculos'!$E$226+'Cálculos'!$E$124*(1+2.78*('Cálculos'!$E$197+(($C138)-$A$120:$A$165)*'Cálculos'!$E$98)/(('Cálculos'!$E$197+(($C138)-$A$120:$A$165)*'Cálculos'!$E$98)+1400)+'Cálculos'!$E$122)*'Cálculos'!$E$231+'Cálculos'!$E$125*(1+2.78*('Cálculos'!$E$197+(($C138)-$A$120:$A$165)*'Cálculos'!$E$98)/(('Cálculos'!$E$197+(($C138)-$A$120:$A$165)*'Cálculos'!$E$98)+1400)+'Cálculos'!$E$123)*'Cálculos'!$E$236)+('Cálculos'!$E$204*(1+'Cálculos'!$E$205+$A$120:$A$165*('Cálculos'!$E$290=3)*'Cálculos'!$E$103)+'Cálculos'!$E$206)*('Cálculos'!$E$227+'Cálculos'!$E$124*(1+2.78*('Cálculos'!$E$197+(($C138)-$A$120:$A$165)*'Cálculos'!$E$98)/(('Cálculos'!$E$197+(($C138)-$A$120:$A$165)*'Cálculos'!$E$98)+1400)+'Cálculos'!$E$122)*'Cálculos'!$E$232+'Cálculos'!$E$125*(1+2.78*('Cálculos'!$E$197+(($C138)-$A$120:$A$165)*'Cálculos'!$E$98)/(('Cálculos'!$E$197+(($C138)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138)-$A$120:$A$165)*'Cálculos'!$E$98)/(('Cálculos'!$E$198+(($C138)-$A$120:$A$165)*'Cálculos'!$E$98)+1400)+'Cálculos'!$E$122)*'Cálculos'!$E$244+'Cálculos'!$E$125*(1+2.78*('Cálculos'!$E$198+(($C138)-$A$120:$A$165)*'Cálculos'!$E$98)/(('Cálculos'!$E$198+(($C138)-$A$120:$A$165)*'Cálculos'!$E$98)+1400)+'Cálculos'!$E$123)*'Cálculos'!$E$249)+('Cálculos'!$E$198+(($C138)-$A$120:$A$165)*'Cálculos'!$E$98)*('Cálculos'!$E$240+'Cálculos'!$E$124*(1+2.78*('Cálculos'!$E$198+(($C138)-$A$120:$A$165)*'Cálculos'!$E$98)/(('Cálculos'!$E$198+(($C138)-$A$120:$A$165)*'Cálculos'!$E$98)+1400)+'Cálculos'!$E$122)*'Cálculos'!$E$245+'Cálculos'!$E$125*(1+2.78*('Cálculos'!$E$198+(($C138)-$A$120:$A$165)*'Cálculos'!$E$98)/(('Cálculos'!$E$198+(($C138)-$A$120:$A$165)*'Cálculos'!$E$98)+1400)+'Cálculos'!$E$123)*'Cálculos'!$E$250)+('Cálculos'!$E$201*(1+'Cálculos'!$E$202+$A$120:$A$165*('Cálculos'!$E$290=2)*'Cálculos'!$E$101)+'Cálculos'!$E$203)*('Cálculos'!$E$241+'Cálculos'!$E$124*(1+2.78*('Cálculos'!$E$198+(($C138)-$A$120:$A$165)*'Cálculos'!$E$98)/(('Cálculos'!$E$198+(($C138)-$A$120:$A$165)*'Cálculos'!$E$98)+1400)+'Cálculos'!$E$122)*'Cálculos'!$E$246+'Cálculos'!$E$125*(1+2.78*('Cálculos'!$E$198+(($C138)-$A$120:$A$165)*'Cálculos'!$E$98)/(('Cálculos'!$E$198+(($C138)-$A$120:$A$165)*'Cálculos'!$E$98)+1400)+'Cálculos'!$E$123)*'Cálculos'!$E$251)+('Cálculos'!$E$204*(1+'Cálculos'!$E$205+$A$120:$A$165*('Cálculos'!$E$290=3)*'Cálculos'!$E$103)+'Cálculos'!$E$206)*('Cálculos'!$E$242+'Cálculos'!$E$124*(1+2.78*('Cálculos'!$E$198+(($C138)-$A$120:$A$165)*'Cálculos'!$E$98)/(('Cálculos'!$E$198+(($C138)-$A$120:$A$165)*'Cálculos'!$E$98)+1400)+'Cálculos'!$E$122)*'Cálculos'!$E$247+'Cálculos'!$E$125*(1+2.78*('Cálculos'!$E$198+(($C138)-$A$120:$A$165)*'Cálculos'!$E$98)/(('Cálculos'!$E$198+(($C138)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138)-$A$120:$A$165)*'Cálculos'!$E$98)/(('Cálculos'!$E$199+(($C138)-$A$120:$A$165)*'Cálculos'!$E$98)+1400)+'Cálculos'!$E$122)*'Cálculos'!$E$259+'Cálculos'!$E$125*(1+2.78*('Cálculos'!$E$199+(($C138)-$A$120:$A$165)*'Cálculos'!$E$98)/(('Cálculos'!$E$199+(($C138)-$A$120:$A$165)*'Cálculos'!$E$98)+1400)+'Cálculos'!$E$123)*'Cálculos'!$E$264)+('Cálculos'!$E$199+(($C138)-$A$120:$A$165)*'Cálculos'!$E$98)*('Cálculos'!$E$255+'Cálculos'!$E$124*(1+2.78*('Cálculos'!$E$199+(($C138)-$A$120:$A$165)*'Cálculos'!$E$98)/(('Cálculos'!$E$199+(($C138)-$A$120:$A$165)*'Cálculos'!$E$98)+1400)+'Cálculos'!$E$122)*'Cálculos'!$E$260+'Cálculos'!$E$125*(1+2.78*('Cálculos'!$E$199+(($C138)-$A$120:$A$165)*'Cálculos'!$E$98)/(('Cálculos'!$E$199+(($C138)-$A$120:$A$165)*'Cálculos'!$E$98)+1400)+'Cálculos'!$E$123)*'Cálculos'!$E$265)+('Cálculos'!$E$201*(1+'Cálculos'!$E$202+$A$120:$A$165*('Cálculos'!$E$290=2)*'Cálculos'!$E$101)+'Cálculos'!$E$203)*('Cálculos'!$E$256+'Cálculos'!$E$124*(1+2.78*('Cálculos'!$E$199+(($C138)-$A$120:$A$165)*'Cálculos'!$E$98)/(('Cálculos'!$E$199+(($C138)-$A$120:$A$165)*'Cálculos'!$E$98)+1400)+'Cálculos'!$E$122)*'Cálculos'!$E$261+'Cálculos'!$E$125*(1+2.78*('Cálculos'!$E$199+(($C138)-$A$120:$A$165)*'Cálculos'!$E$98)/(('Cálculos'!$E$199+(($C138)-$A$120:$A$165)*'Cálculos'!$E$98)+1400)+'Cálculos'!$E$123)*'Cálculos'!$E$266)+('Cálculos'!$E$204*(1+'Cálculos'!$E$205+$A$120:$A$165*('Cálculos'!$E$290=3)*'Cálculos'!$E$103)+'Cálculos'!$E$206)*('Cálculos'!$E$257+'Cálculos'!$E$124*(1+2.78*('Cálculos'!$E$199+(($C138)-$A$120:$A$165)*'Cálculos'!$E$98)/(('Cálculos'!$E$199+(($C138)-$A$120:$A$165)*'Cálculos'!$E$98)+1400)+'Cálculos'!$E$122)*'Cálculos'!$E$262+'Cálculos'!$E$125*(1+2.78*('Cálculos'!$E$199+(($C138)-$A$120:$A$165)*'Cálculos'!$E$98)/(('Cálculos'!$E$199+(($C138)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138)-$A$120:$A$165)*'Cálculos'!$E$98)/(('Cálculos'!$E$200+(($C138)-$A$120:$A$165)*'Cálculos'!$E$98)+1400)+'Cálculos'!$E$122)*'Cálculos'!$E$274+'Cálculos'!$E$125*(1+2.78*('Cálculos'!$E$200+(($C138)-$A$120:$A$165)*'Cálculos'!$E$98)/(('Cálculos'!$E$200+(($C138)-$A$120:$A$165)*'Cálculos'!$E$98)+1400)+'Cálculos'!$E$123)*'Cálculos'!$E$279)+('Cálculos'!$E$200+(($C138)-$A$120:$A$165)*'Cálculos'!$E$98)*('Cálculos'!$E$270+'Cálculos'!$E$124*(1+2.78*('Cálculos'!$E$200+(($C138)-$A$120:$A$165)*'Cálculos'!$E$98)/(('Cálculos'!$E$200+(($C138)-$A$120:$A$165)*'Cálculos'!$E$98)+1400)+'Cálculos'!$E$122)*'Cálculos'!$E$275+'Cálculos'!$E$125*(1+2.78*('Cálculos'!$E$200+(($C138)-$A$120:$A$165)*'Cálculos'!$E$98)/(('Cálculos'!$E$200+(($C138)-$A$120:$A$165)*'Cálculos'!$E$98)+1400)+'Cálculos'!$E$123)*'Cálculos'!$E$280)+('Cálculos'!$E$201*(1+'Cálculos'!$E$202+$A$120:$A$165*('Cálculos'!$E$290=2)*'Cálculos'!$E$101)+'Cálculos'!$E$203)*('Cálculos'!$E$271+'Cálculos'!$E$124*(1+2.78*('Cálculos'!$E$200+(($C138)-$A$120:$A$165)*'Cálculos'!$E$98)/(('Cálculos'!$E$200+(($C138)-$A$120:$A$165)*'Cálculos'!$E$98)+1400)+'Cálculos'!$E$122)*'Cálculos'!$E$276+'Cálculos'!$E$125*(1+2.78*('Cálculos'!$E$200+(($C138)-$A$120:$A$165)*'Cálculos'!$E$98)/(('Cálculos'!$E$200+(($C138)-$A$120:$A$165)*'Cálculos'!$E$98)+1400)+'Cálculos'!$E$123)*'Cálculos'!$E$281)+('Cálculos'!$E$204*(1+'Cálculos'!$E$205+$A$120:$A$165*('Cálculos'!$E$290=3)*'Cálculos'!$E$103)+'Cálculos'!$E$206)*('Cálculos'!$E$272+'Cálculos'!$E$124*(1+2.78*('Cálculos'!$E$200+(($C138)-$A$120:$A$165)*'Cálculos'!$E$98)/(('Cálculos'!$E$200+(($C138)-$A$120:$A$165)*'Cálculos'!$E$98)+1400)+'Cálculos'!$E$122)*'Cálculos'!$E$277+'Cálculos'!$E$125*(1+2.78*('Cálculos'!$E$200+(($C138)-$A$120:$A$165)*'Cálculos'!$E$98)/(('Cálculos'!$E$200+(($C138)-$A$120:$A$165)*'Cálculos'!$E$98)+1400)+'Cálculos'!$E$123)*'Cálculos'!$E$282)))))</f>
        <v>0</v>
      </c>
      <c r="E138" s="32">
        <f>IF(OR($C138&lt;0,'Cálculos'!$E$6=""),0,$B138*$D138)</f>
        <v>0</v>
      </c>
      <c r="F138" s="2"/>
      <c r="G138" s="30">
        <f>($A138&lt;=$B$167)*($A138&lt;='Cálculos'!$E$294)*(($B$167)-$A138&lt;='Cálculos'!$E$295)*(1+MIN(('Cálculos'!$E$207+$A138*'Cálculos'!$E$95),1)*('Cálculos'!$E$208+(($B$167)-$A138)*'Cálculos'!$E$96))</f>
        <v>0</v>
      </c>
      <c r="H138" s="31">
        <f>IF($B$168&lt;0,0,($A138&lt;=$B$168)*($A138&lt;='Cálculos'!$E$301)*(($B$168)-$A138&lt;='Cálculos'!$E$297)*(('Cálculos'!$E$185*(1+'Cálculos'!$E$186+$A138*('Cálculos'!$E$290=1)*'Cálculos'!$E$97+'Cálculos'!$E$305)+'Cálculos'!$E$191)*('Cálculos'!$E$209+'Cálculos'!$E$124*(1+2.78*('Cálculos'!$E$196+(($B$168)-$A138)*'Cálculos'!$E$98)/(('Cálculos'!$E$196+(($B$168)-$A138)*'Cálculos'!$E$98)+1400)+'Cálculos'!$E$122)*'Cálculos'!$E$214+'Cálculos'!$E$125*(1+2.78*('Cálculos'!$E$196+(($B$168)-$A138)*'Cálculos'!$E$98)/(('Cálculos'!$E$196+(($B$168)-$A138)*'Cálculos'!$E$98)+1400)+'Cálculos'!$E$123)*'Cálculos'!$E$219)+('Cálculos'!$E$196+(($B$168)-$A138)*'Cálculos'!$E$98)*('Cálculos'!$E$210+'Cálculos'!$E$124*(1+2.78*('Cálculos'!$E$196+(($B$168)-$A138)*'Cálculos'!$E$98)/(('Cálculos'!$E$196+(($B$168)-$A138)*'Cálculos'!$E$98)+1400)+'Cálculos'!$E$122)*'Cálculos'!$E$215+'Cálculos'!$E$125*(1+2.78*('Cálculos'!$E$196+(($B$168)-$A138)*'Cálculos'!$E$98)/(('Cálculos'!$E$196+(($B$168)-$A138)*'Cálculos'!$E$98)+1400)+'Cálculos'!$E$123)*'Cálculos'!$E$220)+('Cálculos'!$E$201*(1+'Cálculos'!$E$202+$A138*('Cálculos'!$E$290=2)*'Cálculos'!$E$101)+'Cálculos'!$E$203)*('Cálculos'!$E$211+'Cálculos'!$E$124*(1+2.78*('Cálculos'!$E$196+(($B$168)-$A138)*'Cálculos'!$E$98)/(('Cálculos'!$E$196+(($B$168)-$A138)*'Cálculos'!$E$98)+1400)+'Cálculos'!$E$122)*'Cálculos'!$E$216+'Cálculos'!$E$125*(1+2.78*('Cálculos'!$E$196+(($B$168)-$A138)*'Cálculos'!$E$98)/(('Cálculos'!$E$196+(($B$168)-$A138)*'Cálculos'!$E$98)+1400)+'Cálculos'!$E$123)*'Cálculos'!$E$221)+('Cálculos'!$E$204*(1+'Cálculos'!$E$205+$A138*('Cálculos'!$E$290=3)*'Cálculos'!$E$103)+'Cálculos'!$E$206)*('Cálculos'!$E$212+'Cálculos'!$E$124*(1+2.78*('Cálculos'!$E$196+(($B$168)-$A138)*'Cálculos'!$E$98)/(('Cálculos'!$E$196+(($B$168)-$A138)*'Cálculos'!$E$98)+1400)+'Cálculos'!$E$122)*'Cálculos'!$E$217+'Cálculos'!$E$125*(1+2.78*('Cálculos'!$E$196+(($B$168)-$A138)*'Cálculos'!$E$98)/(('Cálculos'!$E$196+(($B$168)-$A138)*'Cálculos'!$E$98)+1400)+'Cálculos'!$E$123)*'Cálculos'!$E$222)+('Cálculos'!$E$185*(1+'Cálculos'!$E$187+$A138*('Cálculos'!$E$290=1)*'Cálculos'!$E$97+'Cálculos'!$E$305)+'Cálculos'!$E$192)*('Cálculos'!$E$224+'Cálculos'!$E$124*(1+2.78*('Cálculos'!$E$197+(($B$168)-$A138)*'Cálculos'!$E$98)/(('Cálculos'!$E$197+(($B$168)-$A138)*'Cálculos'!$E$98)+1400)+'Cálculos'!$E$122)*'Cálculos'!$E$229+'Cálculos'!$E$125*(1+2.78*('Cálculos'!$E$197+(($B$168)-$A138)*'Cálculos'!$E$98)/(('Cálculos'!$E$197+(($B$168)-$A138)*'Cálculos'!$E$98)+1400)+'Cálculos'!$E$123)*'Cálculos'!$E$234)+('Cálculos'!$E$197+(($B$168)-$A138)*'Cálculos'!$E$98)*('Cálculos'!$E$225+'Cálculos'!$E$124*(1+2.78*('Cálculos'!$E$197+(($B$168)-$A138)*'Cálculos'!$E$98)/(('Cálculos'!$E$197+(($B$168)-$A138)*'Cálculos'!$E$98)+1400)+'Cálculos'!$E$122)*'Cálculos'!$E$230+'Cálculos'!$E$125*(1+2.78*('Cálculos'!$E$197+(($B$168)-$A138)*'Cálculos'!$E$98)/(('Cálculos'!$E$197+(($B$168)-$A138)*'Cálculos'!$E$98)+1400)+'Cálculos'!$E$123)*'Cálculos'!$E$235)+('Cálculos'!$E$201*(1+'Cálculos'!$E$202+$A138*('Cálculos'!$E$290=2)*'Cálculos'!$E$101)+'Cálculos'!$E$203)*('Cálculos'!$E$226+'Cálculos'!$E$124*(1+2.78*('Cálculos'!$E$197+(($B$168)-$A138)*'Cálculos'!$E$98)/(('Cálculos'!$E$197+(($B$168)-$A138)*'Cálculos'!$E$98)+1400)+'Cálculos'!$E$122)*'Cálculos'!$E$231+'Cálculos'!$E$125*(1+2.78*('Cálculos'!$E$197+(($B$168)-$A138)*'Cálculos'!$E$98)/(('Cálculos'!$E$197+(($B$168)-$A138)*'Cálculos'!$E$98)+1400)+'Cálculos'!$E$123)*'Cálculos'!$E$236)+('Cálculos'!$E$204*(1+'Cálculos'!$E$205+$A138*('Cálculos'!$E$290=3)*'Cálculos'!$E$103)+'Cálculos'!$E$206)*('Cálculos'!$E$227+'Cálculos'!$E$124*(1+2.78*('Cálculos'!$E$197+(($B$168)-$A138)*'Cálculos'!$E$98)/(('Cálculos'!$E$197+(($B$168)-$A138)*'Cálculos'!$E$98)+1400)+'Cálculos'!$E$122)*'Cálculos'!$E$232+'Cálculos'!$E$125*(1+2.78*('Cálculos'!$E$197+(($B$168)-$A138)*'Cálculos'!$E$98)/(('Cálculos'!$E$197+(($B$168)-$A138)*'Cálculos'!$E$98)+1400)+'Cálculos'!$E$123)*'Cálculos'!$E$237)+('Cálculos'!$E$185*(1+'Cálculos'!$E$188+$A138*('Cálculos'!$E$290=1)*'Cálculos'!$E$97+'Cálculos'!$E$305)+'Cálculos'!$E$193)*('Cálculos'!$E$239+'Cálculos'!$E$124*(1+2.78*('Cálculos'!$E$198+(($B$168)-$A138)*'Cálculos'!$E$98)/(('Cálculos'!$E$198+(($B$168)-$A138)*'Cálculos'!$E$98)+1400)+'Cálculos'!$E$122)*'Cálculos'!$E$244+'Cálculos'!$E$125*(1+2.78*('Cálculos'!$E$198+(($B$168)-$A138)*'Cálculos'!$E$98)/(('Cálculos'!$E$198+(($B$168)-$A138)*'Cálculos'!$E$98)+1400)+'Cálculos'!$E$123)*'Cálculos'!$E$249)+('Cálculos'!$E$198+(($B$168)-$A138)*'Cálculos'!$E$98)*('Cálculos'!$E$240+'Cálculos'!$E$124*(1+2.78*('Cálculos'!$E$198+(($B$168)-$A138)*'Cálculos'!$E$98)/(('Cálculos'!$E$198+(($B$168)-$A138)*'Cálculos'!$E$98)+1400)+'Cálculos'!$E$122)*'Cálculos'!$E$245+'Cálculos'!$E$125*(1+2.78*('Cálculos'!$E$198+(($B$168)-$A138)*'Cálculos'!$E$98)/(('Cálculos'!$E$198+(($B$168)-$A138)*'Cálculos'!$E$98)+1400)+'Cálculos'!$E$123)*'Cálculos'!$E$250)+('Cálculos'!$E$201*(1+'Cálculos'!$E$202+$A138*('Cálculos'!$E$290=2)*'Cálculos'!$E$101)+'Cálculos'!$E$203)*('Cálculos'!$E$241+'Cálculos'!$E$124*(1+2.78*('Cálculos'!$E$198+(($B$168)-$A138)*'Cálculos'!$E$98)/(('Cálculos'!$E$198+(($B$168)-$A138)*'Cálculos'!$E$98)+1400)+'Cálculos'!$E$122)*'Cálculos'!$E$246+'Cálculos'!$E$125*(1+2.78*('Cálculos'!$E$198+(($B$168)-$A138)*'Cálculos'!$E$98)/(('Cálculos'!$E$198+(($B$168)-$A138)*'Cálculos'!$E$98)+1400)+'Cálculos'!$E$123)*'Cálculos'!$E$251)+('Cálculos'!$E$204*(1+'Cálculos'!$E$205+$A138*('Cálculos'!$E$290=3)*'Cálculos'!$E$103)+'Cálculos'!$E$206)*('Cálculos'!$E$242+'Cálculos'!$E$124*(1+2.78*('Cálculos'!$E$198+(($B$168)-$A138)*'Cálculos'!$E$98)/(('Cálculos'!$E$198+(($B$168)-$A138)*'Cálculos'!$E$98)+1400)+'Cálculos'!$E$122)*'Cálculos'!$E$247+'Cálculos'!$E$125*(1+2.78*('Cálculos'!$E$198+(($B$168)-$A138)*'Cálculos'!$E$98)/(('Cálculos'!$E$198+(($B$168)-$A138)*'Cálculos'!$E$98)+1400)+'Cálculos'!$E$123)*'Cálculos'!$E$252)+('Cálculos'!$E$185*(1+'Cálculos'!$E$189+$A138*('Cálculos'!$E$290=1)*'Cálculos'!$E$97+'Cálculos'!$E$305)+'Cálculos'!$E$194)*('Cálculos'!$E$254+'Cálculos'!$E$124*(1+2.78*('Cálculos'!$E$199+(($B$168)-$A138)*'Cálculos'!$E$98)/(('Cálculos'!$E$199+(($B$168)-$A138)*'Cálculos'!$E$98)+1400)+'Cálculos'!$E$122)*'Cálculos'!$E$259+'Cálculos'!$E$125*(1+2.78*('Cálculos'!$E$199+(($B$168)-$A138)*'Cálculos'!$E$98)/(('Cálculos'!$E$199+(($B$168)-$A138)*'Cálculos'!$E$98)+1400)+'Cálculos'!$E$123)*'Cálculos'!$E$264)+('Cálculos'!$E$199+(($B$168)-$A138)*'Cálculos'!$E$98)*('Cálculos'!$E$255+'Cálculos'!$E$124*(1+2.78*('Cálculos'!$E$199+(($B$168)-$A138)*'Cálculos'!$E$98)/(('Cálculos'!$E$199+(($B$168)-$A138)*'Cálculos'!$E$98)+1400)+'Cálculos'!$E$122)*'Cálculos'!$E$260+'Cálculos'!$E$125*(1+2.78*('Cálculos'!$E$199+(($B$168)-$A138)*'Cálculos'!$E$98)/(('Cálculos'!$E$199+(($B$168)-$A138)*'Cálculos'!$E$98)+1400)+'Cálculos'!$E$123)*'Cálculos'!$E$265)+('Cálculos'!$E$201*(1+'Cálculos'!$E$202+$A138*('Cálculos'!$E$290=2)*'Cálculos'!$E$101)+'Cálculos'!$E$203)*('Cálculos'!$E$256+'Cálculos'!$E$124*(1+2.78*('Cálculos'!$E$199+(($B$168)-$A138)*'Cálculos'!$E$98)/(('Cálculos'!$E$199+(($B$168)-$A138)*'Cálculos'!$E$98)+1400)+'Cálculos'!$E$122)*'Cálculos'!$E$261+'Cálculos'!$E$125*(1+2.78*('Cálculos'!$E$199+(($B$168)-$A138)*'Cálculos'!$E$98)/(('Cálculos'!$E$199+(($B$168)-$A138)*'Cálculos'!$E$98)+1400)+'Cálculos'!$E$123)*'Cálculos'!$E$266)+('Cálculos'!$E$204*(1+'Cálculos'!$E$205+$A138*('Cálculos'!$E$290=3)*'Cálculos'!$E$103)+'Cálculos'!$E$206)*('Cálculos'!$E$257+'Cálculos'!$E$124*(1+2.78*('Cálculos'!$E$199+(($B$168)-$A138)*'Cálculos'!$E$98)/(('Cálculos'!$E$199+(($B$168)-$A138)*'Cálculos'!$E$98)+1400)+'Cálculos'!$E$122)*'Cálculos'!$E$262+'Cálculos'!$E$125*(1+2.78*('Cálculos'!$E$199+(($B$168)-$A138)*'Cálculos'!$E$98)/(('Cálculos'!$E$199+(($B$168)-$A138)*'Cálculos'!$E$98)+1400)+'Cálculos'!$E$123)*'Cálculos'!$E$267)+('Cálculos'!$E$185*(1+'Cálculos'!$E$190+$A138*('Cálculos'!$E$290=1)*'Cálculos'!$E$97+'Cálculos'!$E$305)+'Cálculos'!$E$195)*('Cálculos'!$E$269+'Cálculos'!$E$124*(1+2.78*('Cálculos'!$E$200+(($B$168)-$A138)*'Cálculos'!$E$98)/(('Cálculos'!$E$200+(($B$168)-$A138)*'Cálculos'!$E$98)+1400)+'Cálculos'!$E$122)*'Cálculos'!$E$274+'Cálculos'!$E$125*(1+2.78*('Cálculos'!$E$200+(($B$168)-$A138)*'Cálculos'!$E$98)/(('Cálculos'!$E$200+(($B$168)-$A138)*'Cálculos'!$E$98)+1400)+'Cálculos'!$E$123)*'Cálculos'!$E$279)+('Cálculos'!$E$200+(($B$168)-$A138)*'Cálculos'!$E$98)*('Cálculos'!$E$270+'Cálculos'!$E$124*(1+2.78*('Cálculos'!$E$200+(($B$168)-$A138)*'Cálculos'!$E$98)/(('Cálculos'!$E$200+(($B$168)-$A138)*'Cálculos'!$E$98)+1400)+'Cálculos'!$E$122)*'Cálculos'!$E$275+'Cálculos'!$E$125*(1+2.78*('Cálculos'!$E$200+(($B$168)-$A138)*'Cálculos'!$E$98)/(('Cálculos'!$E$200+(($B$168)-$A138)*'Cálculos'!$E$98)+1400)+'Cálculos'!$E$123)*'Cálculos'!$E$280)+('Cálculos'!$E$201*(1+'Cálculos'!$E$202+$A138*('Cálculos'!$E$290=2)*'Cálculos'!$E$101)+'Cálculos'!$E$203)*('Cálculos'!$E$271+'Cálculos'!$E$124*(1+2.78*('Cálculos'!$E$200+(($B$168)-$A138)*'Cálculos'!$E$98)/(('Cálculos'!$E$200+(($B$168)-$A138)*'Cálculos'!$E$98)+1400)+'Cálculos'!$E$122)*'Cálculos'!$E$276+'Cálculos'!$E$125*(1+2.78*('Cálculos'!$E$200+(($B$168)-$A138)*'Cálculos'!$E$98)/(('Cálculos'!$E$200+(($B$168)-$A138)*'Cálculos'!$E$98)+1400)+'Cálculos'!$E$123)*'Cálculos'!$E$281)+('Cálculos'!$E$204*(1+'Cálculos'!$E$205+$A138*('Cálculos'!$E$290=3)*'Cálculos'!$E$103)+'Cálculos'!$E$206)*('Cálculos'!$E$272+'Cálculos'!$E$124*(1+2.78*('Cálculos'!$E$200+(($B$168)-$A138)*'Cálculos'!$E$98)/(('Cálculos'!$E$200+(($B$168)-$A138)*'Cálculos'!$E$98)+1400)+'Cálculos'!$E$122)*'Cálculos'!$E$277+'Cálculos'!$E$125*(1+2.78*('Cálculos'!$E$200+(($B$168)-$A138)*'Cálculos'!$E$98)/(('Cálculos'!$E$200+(($B$168)-$A138)*'Cálculos'!$E$98)+1400)+'Cálculos'!$E$123)*'Cálculos'!$E$282)))</f>
        <v>0</v>
      </c>
    </row>
    <row r="139" ht="15.75" customHeight="1">
      <c r="A139" s="2">
        <v>19.0</v>
      </c>
      <c r="B139" s="30">
        <f>SUMPRODUCT(MAX(($A$120:$A$165&lt;=$A139)*($A$120:$A$165&lt;='Cálculos'!$E$294)*(($A139)-$A$120:$A$165&lt;='Cálculos'!$E$295)*(1+(('Cálculos'!$E$207+$A$120:$A$165*'Cálculos'!$E$95)-(('Cálculos'!$E$207+$A$120:$A$165*'Cálculos'!$E$95)&gt;1)*(('Cálculos'!$E$207+$A$120:$A$165*'Cálculos'!$E$95)-1))*('Cálculos'!$E$208+(($A139)-$A$120:$A$165)*'Cálculos'!$E$96))))</f>
        <v>1.938378</v>
      </c>
      <c r="C139" s="2">
        <f>'Cálculos'!$E$303-$A139</f>
        <v>-6</v>
      </c>
      <c r="D139" s="31">
        <f>IF($C139&lt;0,0,SUMPRODUCT(MAX(($A$120:$A$165&lt;=$C139)*($A$120:$A$165&lt;='Cálculos'!$E$301)*(($C139)-$A$120:$A$165&lt;='Cálculos'!$E$297)*(('Cálculos'!$E$185*(1+'Cálculos'!$E$186+$A$120:$A$165*('Cálculos'!$E$290=1)*'Cálculos'!$E$97+'Cálculos'!$E$305)+'Cálculos'!$E$191)*('Cálculos'!$E$209+'Cálculos'!$E$124*(1+2.78*('Cálculos'!$E$196+(($C139)-$A$120:$A$165)*'Cálculos'!$E$98)/(('Cálculos'!$E$196+(($C139)-$A$120:$A$165)*'Cálculos'!$E$98)+1400)+'Cálculos'!$E$122)*'Cálculos'!$E$214+'Cálculos'!$E$125*(1+2.78*('Cálculos'!$E$196+(($C139)-$A$120:$A$165)*'Cálculos'!$E$98)/(('Cálculos'!$E$196+(($C139)-$A$120:$A$165)*'Cálculos'!$E$98)+1400)+'Cálculos'!$E$123)*'Cálculos'!$E$219)+('Cálculos'!$E$196+(($C139)-$A$120:$A$165)*'Cálculos'!$E$98)*('Cálculos'!$E$210+'Cálculos'!$E$124*(1+2.78*('Cálculos'!$E$196+(($C139)-$A$120:$A$165)*'Cálculos'!$E$98)/(('Cálculos'!$E$196+(($C139)-$A$120:$A$165)*'Cálculos'!$E$98)+1400)+'Cálculos'!$E$122)*'Cálculos'!$E$215+'Cálculos'!$E$125*(1+2.78*('Cálculos'!$E$196+(($C139)-$A$120:$A$165)*'Cálculos'!$E$98)/(('Cálculos'!$E$196+(($C139)-$A$120:$A$165)*'Cálculos'!$E$98)+1400)+'Cálculos'!$E$123)*'Cálculos'!$E$220)+('Cálculos'!$E$201*(1+'Cálculos'!$E$202+$A$120:$A$165*('Cálculos'!$E$290=2)*'Cálculos'!$E$101)+'Cálculos'!$E$203)*('Cálculos'!$E$211+'Cálculos'!$E$124*(1+2.78*('Cálculos'!$E$196+(($C139)-$A$120:$A$165)*'Cálculos'!$E$98)/(('Cálculos'!$E$196+(($C139)-$A$120:$A$165)*'Cálculos'!$E$98)+1400)+'Cálculos'!$E$122)*'Cálculos'!$E$216+'Cálculos'!$E$125*(1+2.78*('Cálculos'!$E$196+(($C139)-$A$120:$A$165)*'Cálculos'!$E$98)/(('Cálculos'!$E$196+(($C139)-$A$120:$A$165)*'Cálculos'!$E$98)+1400)+'Cálculos'!$E$123)*'Cálculos'!$E$221)+('Cálculos'!$E$204*(1+'Cálculos'!$E$205+$A$120:$A$165*('Cálculos'!$E$290=3)*'Cálculos'!$E$103)+'Cálculos'!$E$206)*('Cálculos'!$E$212+'Cálculos'!$E$124*(1+2.78*('Cálculos'!$E$196+(($C139)-$A$120:$A$165)*'Cálculos'!$E$98)/(('Cálculos'!$E$196+(($C139)-$A$120:$A$165)*'Cálculos'!$E$98)+1400)+'Cálculos'!$E$122)*'Cálculos'!$E$217+'Cálculos'!$E$125*(1+2.78*('Cálculos'!$E$196+(($C139)-$A$120:$A$165)*'Cálculos'!$E$98)/(('Cálculos'!$E$196+(($C139)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139)-$A$120:$A$165)*'Cálculos'!$E$98)/(('Cálculos'!$E$197+(($C139)-$A$120:$A$165)*'Cálculos'!$E$98)+1400)+'Cálculos'!$E$122)*'Cálculos'!$E$229+'Cálculos'!$E$125*(1+2.78*('Cálculos'!$E$197+(($C139)-$A$120:$A$165)*'Cálculos'!$E$98)/(('Cálculos'!$E$197+(($C139)-$A$120:$A$165)*'Cálculos'!$E$98)+1400)+'Cálculos'!$E$123)*'Cálculos'!$E$234)+('Cálculos'!$E$197+(($C139)-$A$120:$A$165)*'Cálculos'!$E$98)*('Cálculos'!$E$225+'Cálculos'!$E$124*(1+2.78*('Cálculos'!$E$197+(($C139)-$A$120:$A$165)*'Cálculos'!$E$98)/(('Cálculos'!$E$197+(($C139)-$A$120:$A$165)*'Cálculos'!$E$98)+1400)+'Cálculos'!$E$122)*'Cálculos'!$E$230+'Cálculos'!$E$125*(1+2.78*('Cálculos'!$E$197+(($C139)-$A$120:$A$165)*'Cálculos'!$E$98)/(('Cálculos'!$E$197+(($C139)-$A$120:$A$165)*'Cálculos'!$E$98)+1400)+'Cálculos'!$E$123)*'Cálculos'!$E$235)+('Cálculos'!$E$201*(1+'Cálculos'!$E$202+$A$120:$A$165*('Cálculos'!$E$290=2)*'Cálculos'!$E$101)+'Cálculos'!$E$203)*('Cálculos'!$E$226+'Cálculos'!$E$124*(1+2.78*('Cálculos'!$E$197+(($C139)-$A$120:$A$165)*'Cálculos'!$E$98)/(('Cálculos'!$E$197+(($C139)-$A$120:$A$165)*'Cálculos'!$E$98)+1400)+'Cálculos'!$E$122)*'Cálculos'!$E$231+'Cálculos'!$E$125*(1+2.78*('Cálculos'!$E$197+(($C139)-$A$120:$A$165)*'Cálculos'!$E$98)/(('Cálculos'!$E$197+(($C139)-$A$120:$A$165)*'Cálculos'!$E$98)+1400)+'Cálculos'!$E$123)*'Cálculos'!$E$236)+('Cálculos'!$E$204*(1+'Cálculos'!$E$205+$A$120:$A$165*('Cálculos'!$E$290=3)*'Cálculos'!$E$103)+'Cálculos'!$E$206)*('Cálculos'!$E$227+'Cálculos'!$E$124*(1+2.78*('Cálculos'!$E$197+(($C139)-$A$120:$A$165)*'Cálculos'!$E$98)/(('Cálculos'!$E$197+(($C139)-$A$120:$A$165)*'Cálculos'!$E$98)+1400)+'Cálculos'!$E$122)*'Cálculos'!$E$232+'Cálculos'!$E$125*(1+2.78*('Cálculos'!$E$197+(($C139)-$A$120:$A$165)*'Cálculos'!$E$98)/(('Cálculos'!$E$197+(($C139)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139)-$A$120:$A$165)*'Cálculos'!$E$98)/(('Cálculos'!$E$198+(($C139)-$A$120:$A$165)*'Cálculos'!$E$98)+1400)+'Cálculos'!$E$122)*'Cálculos'!$E$244+'Cálculos'!$E$125*(1+2.78*('Cálculos'!$E$198+(($C139)-$A$120:$A$165)*'Cálculos'!$E$98)/(('Cálculos'!$E$198+(($C139)-$A$120:$A$165)*'Cálculos'!$E$98)+1400)+'Cálculos'!$E$123)*'Cálculos'!$E$249)+('Cálculos'!$E$198+(($C139)-$A$120:$A$165)*'Cálculos'!$E$98)*('Cálculos'!$E$240+'Cálculos'!$E$124*(1+2.78*('Cálculos'!$E$198+(($C139)-$A$120:$A$165)*'Cálculos'!$E$98)/(('Cálculos'!$E$198+(($C139)-$A$120:$A$165)*'Cálculos'!$E$98)+1400)+'Cálculos'!$E$122)*'Cálculos'!$E$245+'Cálculos'!$E$125*(1+2.78*('Cálculos'!$E$198+(($C139)-$A$120:$A$165)*'Cálculos'!$E$98)/(('Cálculos'!$E$198+(($C139)-$A$120:$A$165)*'Cálculos'!$E$98)+1400)+'Cálculos'!$E$123)*'Cálculos'!$E$250)+('Cálculos'!$E$201*(1+'Cálculos'!$E$202+$A$120:$A$165*('Cálculos'!$E$290=2)*'Cálculos'!$E$101)+'Cálculos'!$E$203)*('Cálculos'!$E$241+'Cálculos'!$E$124*(1+2.78*('Cálculos'!$E$198+(($C139)-$A$120:$A$165)*'Cálculos'!$E$98)/(('Cálculos'!$E$198+(($C139)-$A$120:$A$165)*'Cálculos'!$E$98)+1400)+'Cálculos'!$E$122)*'Cálculos'!$E$246+'Cálculos'!$E$125*(1+2.78*('Cálculos'!$E$198+(($C139)-$A$120:$A$165)*'Cálculos'!$E$98)/(('Cálculos'!$E$198+(($C139)-$A$120:$A$165)*'Cálculos'!$E$98)+1400)+'Cálculos'!$E$123)*'Cálculos'!$E$251)+('Cálculos'!$E$204*(1+'Cálculos'!$E$205+$A$120:$A$165*('Cálculos'!$E$290=3)*'Cálculos'!$E$103)+'Cálculos'!$E$206)*('Cálculos'!$E$242+'Cálculos'!$E$124*(1+2.78*('Cálculos'!$E$198+(($C139)-$A$120:$A$165)*'Cálculos'!$E$98)/(('Cálculos'!$E$198+(($C139)-$A$120:$A$165)*'Cálculos'!$E$98)+1400)+'Cálculos'!$E$122)*'Cálculos'!$E$247+'Cálculos'!$E$125*(1+2.78*('Cálculos'!$E$198+(($C139)-$A$120:$A$165)*'Cálculos'!$E$98)/(('Cálculos'!$E$198+(($C139)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139)-$A$120:$A$165)*'Cálculos'!$E$98)/(('Cálculos'!$E$199+(($C139)-$A$120:$A$165)*'Cálculos'!$E$98)+1400)+'Cálculos'!$E$122)*'Cálculos'!$E$259+'Cálculos'!$E$125*(1+2.78*('Cálculos'!$E$199+(($C139)-$A$120:$A$165)*'Cálculos'!$E$98)/(('Cálculos'!$E$199+(($C139)-$A$120:$A$165)*'Cálculos'!$E$98)+1400)+'Cálculos'!$E$123)*'Cálculos'!$E$264)+('Cálculos'!$E$199+(($C139)-$A$120:$A$165)*'Cálculos'!$E$98)*('Cálculos'!$E$255+'Cálculos'!$E$124*(1+2.78*('Cálculos'!$E$199+(($C139)-$A$120:$A$165)*'Cálculos'!$E$98)/(('Cálculos'!$E$199+(($C139)-$A$120:$A$165)*'Cálculos'!$E$98)+1400)+'Cálculos'!$E$122)*'Cálculos'!$E$260+'Cálculos'!$E$125*(1+2.78*('Cálculos'!$E$199+(($C139)-$A$120:$A$165)*'Cálculos'!$E$98)/(('Cálculos'!$E$199+(($C139)-$A$120:$A$165)*'Cálculos'!$E$98)+1400)+'Cálculos'!$E$123)*'Cálculos'!$E$265)+('Cálculos'!$E$201*(1+'Cálculos'!$E$202+$A$120:$A$165*('Cálculos'!$E$290=2)*'Cálculos'!$E$101)+'Cálculos'!$E$203)*('Cálculos'!$E$256+'Cálculos'!$E$124*(1+2.78*('Cálculos'!$E$199+(($C139)-$A$120:$A$165)*'Cálculos'!$E$98)/(('Cálculos'!$E$199+(($C139)-$A$120:$A$165)*'Cálculos'!$E$98)+1400)+'Cálculos'!$E$122)*'Cálculos'!$E$261+'Cálculos'!$E$125*(1+2.78*('Cálculos'!$E$199+(($C139)-$A$120:$A$165)*'Cálculos'!$E$98)/(('Cálculos'!$E$199+(($C139)-$A$120:$A$165)*'Cálculos'!$E$98)+1400)+'Cálculos'!$E$123)*'Cálculos'!$E$266)+('Cálculos'!$E$204*(1+'Cálculos'!$E$205+$A$120:$A$165*('Cálculos'!$E$290=3)*'Cálculos'!$E$103)+'Cálculos'!$E$206)*('Cálculos'!$E$257+'Cálculos'!$E$124*(1+2.78*('Cálculos'!$E$199+(($C139)-$A$120:$A$165)*'Cálculos'!$E$98)/(('Cálculos'!$E$199+(($C139)-$A$120:$A$165)*'Cálculos'!$E$98)+1400)+'Cálculos'!$E$122)*'Cálculos'!$E$262+'Cálculos'!$E$125*(1+2.78*('Cálculos'!$E$199+(($C139)-$A$120:$A$165)*'Cálculos'!$E$98)/(('Cálculos'!$E$199+(($C139)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139)-$A$120:$A$165)*'Cálculos'!$E$98)/(('Cálculos'!$E$200+(($C139)-$A$120:$A$165)*'Cálculos'!$E$98)+1400)+'Cálculos'!$E$122)*'Cálculos'!$E$274+'Cálculos'!$E$125*(1+2.78*('Cálculos'!$E$200+(($C139)-$A$120:$A$165)*'Cálculos'!$E$98)/(('Cálculos'!$E$200+(($C139)-$A$120:$A$165)*'Cálculos'!$E$98)+1400)+'Cálculos'!$E$123)*'Cálculos'!$E$279)+('Cálculos'!$E$200+(($C139)-$A$120:$A$165)*'Cálculos'!$E$98)*('Cálculos'!$E$270+'Cálculos'!$E$124*(1+2.78*('Cálculos'!$E$200+(($C139)-$A$120:$A$165)*'Cálculos'!$E$98)/(('Cálculos'!$E$200+(($C139)-$A$120:$A$165)*'Cálculos'!$E$98)+1400)+'Cálculos'!$E$122)*'Cálculos'!$E$275+'Cálculos'!$E$125*(1+2.78*('Cálculos'!$E$200+(($C139)-$A$120:$A$165)*'Cálculos'!$E$98)/(('Cálculos'!$E$200+(($C139)-$A$120:$A$165)*'Cálculos'!$E$98)+1400)+'Cálculos'!$E$123)*'Cálculos'!$E$280)+('Cálculos'!$E$201*(1+'Cálculos'!$E$202+$A$120:$A$165*('Cálculos'!$E$290=2)*'Cálculos'!$E$101)+'Cálculos'!$E$203)*('Cálculos'!$E$271+'Cálculos'!$E$124*(1+2.78*('Cálculos'!$E$200+(($C139)-$A$120:$A$165)*'Cálculos'!$E$98)/(('Cálculos'!$E$200+(($C139)-$A$120:$A$165)*'Cálculos'!$E$98)+1400)+'Cálculos'!$E$122)*'Cálculos'!$E$276+'Cálculos'!$E$125*(1+2.78*('Cálculos'!$E$200+(($C139)-$A$120:$A$165)*'Cálculos'!$E$98)/(('Cálculos'!$E$200+(($C139)-$A$120:$A$165)*'Cálculos'!$E$98)+1400)+'Cálculos'!$E$123)*'Cálculos'!$E$281)+('Cálculos'!$E$204*(1+'Cálculos'!$E$205+$A$120:$A$165*('Cálculos'!$E$290=3)*'Cálculos'!$E$103)+'Cálculos'!$E$206)*('Cálculos'!$E$272+'Cálculos'!$E$124*(1+2.78*('Cálculos'!$E$200+(($C139)-$A$120:$A$165)*'Cálculos'!$E$98)/(('Cálculos'!$E$200+(($C139)-$A$120:$A$165)*'Cálculos'!$E$98)+1400)+'Cálculos'!$E$122)*'Cálculos'!$E$277+'Cálculos'!$E$125*(1+2.78*('Cálculos'!$E$200+(($C139)-$A$120:$A$165)*'Cálculos'!$E$98)/(('Cálculos'!$E$200+(($C139)-$A$120:$A$165)*'Cálculos'!$E$98)+1400)+'Cálculos'!$E$123)*'Cálculos'!$E$282)))))</f>
        <v>0</v>
      </c>
      <c r="E139" s="32">
        <f>IF(OR($C139&lt;0,'Cálculos'!$E$6=""),0,$B139*$D139)</f>
        <v>0</v>
      </c>
      <c r="F139" s="2"/>
      <c r="G139" s="30">
        <f>($A139&lt;=$B$167)*($A139&lt;='Cálculos'!$E$294)*(($B$167)-$A139&lt;='Cálculos'!$E$295)*(1+MIN(('Cálculos'!$E$207+$A139*'Cálculos'!$E$95),1)*('Cálculos'!$E$208+(($B$167)-$A139)*'Cálculos'!$E$96))</f>
        <v>0</v>
      </c>
      <c r="H139" s="31">
        <f>IF($B$168&lt;0,0,($A139&lt;=$B$168)*($A139&lt;='Cálculos'!$E$301)*(($B$168)-$A139&lt;='Cálculos'!$E$297)*(('Cálculos'!$E$185*(1+'Cálculos'!$E$186+$A139*('Cálculos'!$E$290=1)*'Cálculos'!$E$97+'Cálculos'!$E$305)+'Cálculos'!$E$191)*('Cálculos'!$E$209+'Cálculos'!$E$124*(1+2.78*('Cálculos'!$E$196+(($B$168)-$A139)*'Cálculos'!$E$98)/(('Cálculos'!$E$196+(($B$168)-$A139)*'Cálculos'!$E$98)+1400)+'Cálculos'!$E$122)*'Cálculos'!$E$214+'Cálculos'!$E$125*(1+2.78*('Cálculos'!$E$196+(($B$168)-$A139)*'Cálculos'!$E$98)/(('Cálculos'!$E$196+(($B$168)-$A139)*'Cálculos'!$E$98)+1400)+'Cálculos'!$E$123)*'Cálculos'!$E$219)+('Cálculos'!$E$196+(($B$168)-$A139)*'Cálculos'!$E$98)*('Cálculos'!$E$210+'Cálculos'!$E$124*(1+2.78*('Cálculos'!$E$196+(($B$168)-$A139)*'Cálculos'!$E$98)/(('Cálculos'!$E$196+(($B$168)-$A139)*'Cálculos'!$E$98)+1400)+'Cálculos'!$E$122)*'Cálculos'!$E$215+'Cálculos'!$E$125*(1+2.78*('Cálculos'!$E$196+(($B$168)-$A139)*'Cálculos'!$E$98)/(('Cálculos'!$E$196+(($B$168)-$A139)*'Cálculos'!$E$98)+1400)+'Cálculos'!$E$123)*'Cálculos'!$E$220)+('Cálculos'!$E$201*(1+'Cálculos'!$E$202+$A139*('Cálculos'!$E$290=2)*'Cálculos'!$E$101)+'Cálculos'!$E$203)*('Cálculos'!$E$211+'Cálculos'!$E$124*(1+2.78*('Cálculos'!$E$196+(($B$168)-$A139)*'Cálculos'!$E$98)/(('Cálculos'!$E$196+(($B$168)-$A139)*'Cálculos'!$E$98)+1400)+'Cálculos'!$E$122)*'Cálculos'!$E$216+'Cálculos'!$E$125*(1+2.78*('Cálculos'!$E$196+(($B$168)-$A139)*'Cálculos'!$E$98)/(('Cálculos'!$E$196+(($B$168)-$A139)*'Cálculos'!$E$98)+1400)+'Cálculos'!$E$123)*'Cálculos'!$E$221)+('Cálculos'!$E$204*(1+'Cálculos'!$E$205+$A139*('Cálculos'!$E$290=3)*'Cálculos'!$E$103)+'Cálculos'!$E$206)*('Cálculos'!$E$212+'Cálculos'!$E$124*(1+2.78*('Cálculos'!$E$196+(($B$168)-$A139)*'Cálculos'!$E$98)/(('Cálculos'!$E$196+(($B$168)-$A139)*'Cálculos'!$E$98)+1400)+'Cálculos'!$E$122)*'Cálculos'!$E$217+'Cálculos'!$E$125*(1+2.78*('Cálculos'!$E$196+(($B$168)-$A139)*'Cálculos'!$E$98)/(('Cálculos'!$E$196+(($B$168)-$A139)*'Cálculos'!$E$98)+1400)+'Cálculos'!$E$123)*'Cálculos'!$E$222)+('Cálculos'!$E$185*(1+'Cálculos'!$E$187+$A139*('Cálculos'!$E$290=1)*'Cálculos'!$E$97+'Cálculos'!$E$305)+'Cálculos'!$E$192)*('Cálculos'!$E$224+'Cálculos'!$E$124*(1+2.78*('Cálculos'!$E$197+(($B$168)-$A139)*'Cálculos'!$E$98)/(('Cálculos'!$E$197+(($B$168)-$A139)*'Cálculos'!$E$98)+1400)+'Cálculos'!$E$122)*'Cálculos'!$E$229+'Cálculos'!$E$125*(1+2.78*('Cálculos'!$E$197+(($B$168)-$A139)*'Cálculos'!$E$98)/(('Cálculos'!$E$197+(($B$168)-$A139)*'Cálculos'!$E$98)+1400)+'Cálculos'!$E$123)*'Cálculos'!$E$234)+('Cálculos'!$E$197+(($B$168)-$A139)*'Cálculos'!$E$98)*('Cálculos'!$E$225+'Cálculos'!$E$124*(1+2.78*('Cálculos'!$E$197+(($B$168)-$A139)*'Cálculos'!$E$98)/(('Cálculos'!$E$197+(($B$168)-$A139)*'Cálculos'!$E$98)+1400)+'Cálculos'!$E$122)*'Cálculos'!$E$230+'Cálculos'!$E$125*(1+2.78*('Cálculos'!$E$197+(($B$168)-$A139)*'Cálculos'!$E$98)/(('Cálculos'!$E$197+(($B$168)-$A139)*'Cálculos'!$E$98)+1400)+'Cálculos'!$E$123)*'Cálculos'!$E$235)+('Cálculos'!$E$201*(1+'Cálculos'!$E$202+$A139*('Cálculos'!$E$290=2)*'Cálculos'!$E$101)+'Cálculos'!$E$203)*('Cálculos'!$E$226+'Cálculos'!$E$124*(1+2.78*('Cálculos'!$E$197+(($B$168)-$A139)*'Cálculos'!$E$98)/(('Cálculos'!$E$197+(($B$168)-$A139)*'Cálculos'!$E$98)+1400)+'Cálculos'!$E$122)*'Cálculos'!$E$231+'Cálculos'!$E$125*(1+2.78*('Cálculos'!$E$197+(($B$168)-$A139)*'Cálculos'!$E$98)/(('Cálculos'!$E$197+(($B$168)-$A139)*'Cálculos'!$E$98)+1400)+'Cálculos'!$E$123)*'Cálculos'!$E$236)+('Cálculos'!$E$204*(1+'Cálculos'!$E$205+$A139*('Cálculos'!$E$290=3)*'Cálculos'!$E$103)+'Cálculos'!$E$206)*('Cálculos'!$E$227+'Cálculos'!$E$124*(1+2.78*('Cálculos'!$E$197+(($B$168)-$A139)*'Cálculos'!$E$98)/(('Cálculos'!$E$197+(($B$168)-$A139)*'Cálculos'!$E$98)+1400)+'Cálculos'!$E$122)*'Cálculos'!$E$232+'Cálculos'!$E$125*(1+2.78*('Cálculos'!$E$197+(($B$168)-$A139)*'Cálculos'!$E$98)/(('Cálculos'!$E$197+(($B$168)-$A139)*'Cálculos'!$E$98)+1400)+'Cálculos'!$E$123)*'Cálculos'!$E$237)+('Cálculos'!$E$185*(1+'Cálculos'!$E$188+$A139*('Cálculos'!$E$290=1)*'Cálculos'!$E$97+'Cálculos'!$E$305)+'Cálculos'!$E$193)*('Cálculos'!$E$239+'Cálculos'!$E$124*(1+2.78*('Cálculos'!$E$198+(($B$168)-$A139)*'Cálculos'!$E$98)/(('Cálculos'!$E$198+(($B$168)-$A139)*'Cálculos'!$E$98)+1400)+'Cálculos'!$E$122)*'Cálculos'!$E$244+'Cálculos'!$E$125*(1+2.78*('Cálculos'!$E$198+(($B$168)-$A139)*'Cálculos'!$E$98)/(('Cálculos'!$E$198+(($B$168)-$A139)*'Cálculos'!$E$98)+1400)+'Cálculos'!$E$123)*'Cálculos'!$E$249)+('Cálculos'!$E$198+(($B$168)-$A139)*'Cálculos'!$E$98)*('Cálculos'!$E$240+'Cálculos'!$E$124*(1+2.78*('Cálculos'!$E$198+(($B$168)-$A139)*'Cálculos'!$E$98)/(('Cálculos'!$E$198+(($B$168)-$A139)*'Cálculos'!$E$98)+1400)+'Cálculos'!$E$122)*'Cálculos'!$E$245+'Cálculos'!$E$125*(1+2.78*('Cálculos'!$E$198+(($B$168)-$A139)*'Cálculos'!$E$98)/(('Cálculos'!$E$198+(($B$168)-$A139)*'Cálculos'!$E$98)+1400)+'Cálculos'!$E$123)*'Cálculos'!$E$250)+('Cálculos'!$E$201*(1+'Cálculos'!$E$202+$A139*('Cálculos'!$E$290=2)*'Cálculos'!$E$101)+'Cálculos'!$E$203)*('Cálculos'!$E$241+'Cálculos'!$E$124*(1+2.78*('Cálculos'!$E$198+(($B$168)-$A139)*'Cálculos'!$E$98)/(('Cálculos'!$E$198+(($B$168)-$A139)*'Cálculos'!$E$98)+1400)+'Cálculos'!$E$122)*'Cálculos'!$E$246+'Cálculos'!$E$125*(1+2.78*('Cálculos'!$E$198+(($B$168)-$A139)*'Cálculos'!$E$98)/(('Cálculos'!$E$198+(($B$168)-$A139)*'Cálculos'!$E$98)+1400)+'Cálculos'!$E$123)*'Cálculos'!$E$251)+('Cálculos'!$E$204*(1+'Cálculos'!$E$205+$A139*('Cálculos'!$E$290=3)*'Cálculos'!$E$103)+'Cálculos'!$E$206)*('Cálculos'!$E$242+'Cálculos'!$E$124*(1+2.78*('Cálculos'!$E$198+(($B$168)-$A139)*'Cálculos'!$E$98)/(('Cálculos'!$E$198+(($B$168)-$A139)*'Cálculos'!$E$98)+1400)+'Cálculos'!$E$122)*'Cálculos'!$E$247+'Cálculos'!$E$125*(1+2.78*('Cálculos'!$E$198+(($B$168)-$A139)*'Cálculos'!$E$98)/(('Cálculos'!$E$198+(($B$168)-$A139)*'Cálculos'!$E$98)+1400)+'Cálculos'!$E$123)*'Cálculos'!$E$252)+('Cálculos'!$E$185*(1+'Cálculos'!$E$189+$A139*('Cálculos'!$E$290=1)*'Cálculos'!$E$97+'Cálculos'!$E$305)+'Cálculos'!$E$194)*('Cálculos'!$E$254+'Cálculos'!$E$124*(1+2.78*('Cálculos'!$E$199+(($B$168)-$A139)*'Cálculos'!$E$98)/(('Cálculos'!$E$199+(($B$168)-$A139)*'Cálculos'!$E$98)+1400)+'Cálculos'!$E$122)*'Cálculos'!$E$259+'Cálculos'!$E$125*(1+2.78*('Cálculos'!$E$199+(($B$168)-$A139)*'Cálculos'!$E$98)/(('Cálculos'!$E$199+(($B$168)-$A139)*'Cálculos'!$E$98)+1400)+'Cálculos'!$E$123)*'Cálculos'!$E$264)+('Cálculos'!$E$199+(($B$168)-$A139)*'Cálculos'!$E$98)*('Cálculos'!$E$255+'Cálculos'!$E$124*(1+2.78*('Cálculos'!$E$199+(($B$168)-$A139)*'Cálculos'!$E$98)/(('Cálculos'!$E$199+(($B$168)-$A139)*'Cálculos'!$E$98)+1400)+'Cálculos'!$E$122)*'Cálculos'!$E$260+'Cálculos'!$E$125*(1+2.78*('Cálculos'!$E$199+(($B$168)-$A139)*'Cálculos'!$E$98)/(('Cálculos'!$E$199+(($B$168)-$A139)*'Cálculos'!$E$98)+1400)+'Cálculos'!$E$123)*'Cálculos'!$E$265)+('Cálculos'!$E$201*(1+'Cálculos'!$E$202+$A139*('Cálculos'!$E$290=2)*'Cálculos'!$E$101)+'Cálculos'!$E$203)*('Cálculos'!$E$256+'Cálculos'!$E$124*(1+2.78*('Cálculos'!$E$199+(($B$168)-$A139)*'Cálculos'!$E$98)/(('Cálculos'!$E$199+(($B$168)-$A139)*'Cálculos'!$E$98)+1400)+'Cálculos'!$E$122)*'Cálculos'!$E$261+'Cálculos'!$E$125*(1+2.78*('Cálculos'!$E$199+(($B$168)-$A139)*'Cálculos'!$E$98)/(('Cálculos'!$E$199+(($B$168)-$A139)*'Cálculos'!$E$98)+1400)+'Cálculos'!$E$123)*'Cálculos'!$E$266)+('Cálculos'!$E$204*(1+'Cálculos'!$E$205+$A139*('Cálculos'!$E$290=3)*'Cálculos'!$E$103)+'Cálculos'!$E$206)*('Cálculos'!$E$257+'Cálculos'!$E$124*(1+2.78*('Cálculos'!$E$199+(($B$168)-$A139)*'Cálculos'!$E$98)/(('Cálculos'!$E$199+(($B$168)-$A139)*'Cálculos'!$E$98)+1400)+'Cálculos'!$E$122)*'Cálculos'!$E$262+'Cálculos'!$E$125*(1+2.78*('Cálculos'!$E$199+(($B$168)-$A139)*'Cálculos'!$E$98)/(('Cálculos'!$E$199+(($B$168)-$A139)*'Cálculos'!$E$98)+1400)+'Cálculos'!$E$123)*'Cálculos'!$E$267)+('Cálculos'!$E$185*(1+'Cálculos'!$E$190+$A139*('Cálculos'!$E$290=1)*'Cálculos'!$E$97+'Cálculos'!$E$305)+'Cálculos'!$E$195)*('Cálculos'!$E$269+'Cálculos'!$E$124*(1+2.78*('Cálculos'!$E$200+(($B$168)-$A139)*'Cálculos'!$E$98)/(('Cálculos'!$E$200+(($B$168)-$A139)*'Cálculos'!$E$98)+1400)+'Cálculos'!$E$122)*'Cálculos'!$E$274+'Cálculos'!$E$125*(1+2.78*('Cálculos'!$E$200+(($B$168)-$A139)*'Cálculos'!$E$98)/(('Cálculos'!$E$200+(($B$168)-$A139)*'Cálculos'!$E$98)+1400)+'Cálculos'!$E$123)*'Cálculos'!$E$279)+('Cálculos'!$E$200+(($B$168)-$A139)*'Cálculos'!$E$98)*('Cálculos'!$E$270+'Cálculos'!$E$124*(1+2.78*('Cálculos'!$E$200+(($B$168)-$A139)*'Cálculos'!$E$98)/(('Cálculos'!$E$200+(($B$168)-$A139)*'Cálculos'!$E$98)+1400)+'Cálculos'!$E$122)*'Cálculos'!$E$275+'Cálculos'!$E$125*(1+2.78*('Cálculos'!$E$200+(($B$168)-$A139)*'Cálculos'!$E$98)/(('Cálculos'!$E$200+(($B$168)-$A139)*'Cálculos'!$E$98)+1400)+'Cálculos'!$E$123)*'Cálculos'!$E$280)+('Cálculos'!$E$201*(1+'Cálculos'!$E$202+$A139*('Cálculos'!$E$290=2)*'Cálculos'!$E$101)+'Cálculos'!$E$203)*('Cálculos'!$E$271+'Cálculos'!$E$124*(1+2.78*('Cálculos'!$E$200+(($B$168)-$A139)*'Cálculos'!$E$98)/(('Cálculos'!$E$200+(($B$168)-$A139)*'Cálculos'!$E$98)+1400)+'Cálculos'!$E$122)*'Cálculos'!$E$276+'Cálculos'!$E$125*(1+2.78*('Cálculos'!$E$200+(($B$168)-$A139)*'Cálculos'!$E$98)/(('Cálculos'!$E$200+(($B$168)-$A139)*'Cálculos'!$E$98)+1400)+'Cálculos'!$E$123)*'Cálculos'!$E$281)+('Cálculos'!$E$204*(1+'Cálculos'!$E$205+$A139*('Cálculos'!$E$290=3)*'Cálculos'!$E$103)+'Cálculos'!$E$206)*('Cálculos'!$E$272+'Cálculos'!$E$124*(1+2.78*('Cálculos'!$E$200+(($B$168)-$A139)*'Cálculos'!$E$98)/(('Cálculos'!$E$200+(($B$168)-$A139)*'Cálculos'!$E$98)+1400)+'Cálculos'!$E$122)*'Cálculos'!$E$277+'Cálculos'!$E$125*(1+2.78*('Cálculos'!$E$200+(($B$168)-$A139)*'Cálculos'!$E$98)/(('Cálculos'!$E$200+(($B$168)-$A139)*'Cálculos'!$E$98)+1400)+'Cálculos'!$E$123)*'Cálculos'!$E$282)))</f>
        <v>0</v>
      </c>
    </row>
    <row r="140" ht="15.75" customHeight="1">
      <c r="A140" s="2">
        <v>20.0</v>
      </c>
      <c r="B140" s="30">
        <f>SUMPRODUCT(MAX(($A$120:$A$165&lt;=$A140)*($A$120:$A$165&lt;='Cálculos'!$E$294)*(($A140)-$A$120:$A$165&lt;='Cálculos'!$E$295)*(1+(('Cálculos'!$E$207+$A$120:$A$165*'Cálculos'!$E$95)-(('Cálculos'!$E$207+$A$120:$A$165*'Cálculos'!$E$95)&gt;1)*(('Cálculos'!$E$207+$A$120:$A$165*'Cálculos'!$E$95)-1))*('Cálculos'!$E$208+(($A140)-$A$120:$A$165)*'Cálculos'!$E$96))))</f>
        <v>1.983984</v>
      </c>
      <c r="C140" s="2">
        <f>'Cálculos'!$E$303-$A140</f>
        <v>-7</v>
      </c>
      <c r="D140" s="31">
        <f>IF($C140&lt;0,0,SUMPRODUCT(MAX(($A$120:$A$165&lt;=$C140)*($A$120:$A$165&lt;='Cálculos'!$E$301)*(($C140)-$A$120:$A$165&lt;='Cálculos'!$E$297)*(('Cálculos'!$E$185*(1+'Cálculos'!$E$186+$A$120:$A$165*('Cálculos'!$E$290=1)*'Cálculos'!$E$97+'Cálculos'!$E$305)+'Cálculos'!$E$191)*('Cálculos'!$E$209+'Cálculos'!$E$124*(1+2.78*('Cálculos'!$E$196+(($C140)-$A$120:$A$165)*'Cálculos'!$E$98)/(('Cálculos'!$E$196+(($C140)-$A$120:$A$165)*'Cálculos'!$E$98)+1400)+'Cálculos'!$E$122)*'Cálculos'!$E$214+'Cálculos'!$E$125*(1+2.78*('Cálculos'!$E$196+(($C140)-$A$120:$A$165)*'Cálculos'!$E$98)/(('Cálculos'!$E$196+(($C140)-$A$120:$A$165)*'Cálculos'!$E$98)+1400)+'Cálculos'!$E$123)*'Cálculos'!$E$219)+('Cálculos'!$E$196+(($C140)-$A$120:$A$165)*'Cálculos'!$E$98)*('Cálculos'!$E$210+'Cálculos'!$E$124*(1+2.78*('Cálculos'!$E$196+(($C140)-$A$120:$A$165)*'Cálculos'!$E$98)/(('Cálculos'!$E$196+(($C140)-$A$120:$A$165)*'Cálculos'!$E$98)+1400)+'Cálculos'!$E$122)*'Cálculos'!$E$215+'Cálculos'!$E$125*(1+2.78*('Cálculos'!$E$196+(($C140)-$A$120:$A$165)*'Cálculos'!$E$98)/(('Cálculos'!$E$196+(($C140)-$A$120:$A$165)*'Cálculos'!$E$98)+1400)+'Cálculos'!$E$123)*'Cálculos'!$E$220)+('Cálculos'!$E$201*(1+'Cálculos'!$E$202+$A$120:$A$165*('Cálculos'!$E$290=2)*'Cálculos'!$E$101)+'Cálculos'!$E$203)*('Cálculos'!$E$211+'Cálculos'!$E$124*(1+2.78*('Cálculos'!$E$196+(($C140)-$A$120:$A$165)*'Cálculos'!$E$98)/(('Cálculos'!$E$196+(($C140)-$A$120:$A$165)*'Cálculos'!$E$98)+1400)+'Cálculos'!$E$122)*'Cálculos'!$E$216+'Cálculos'!$E$125*(1+2.78*('Cálculos'!$E$196+(($C140)-$A$120:$A$165)*'Cálculos'!$E$98)/(('Cálculos'!$E$196+(($C140)-$A$120:$A$165)*'Cálculos'!$E$98)+1400)+'Cálculos'!$E$123)*'Cálculos'!$E$221)+('Cálculos'!$E$204*(1+'Cálculos'!$E$205+$A$120:$A$165*('Cálculos'!$E$290=3)*'Cálculos'!$E$103)+'Cálculos'!$E$206)*('Cálculos'!$E$212+'Cálculos'!$E$124*(1+2.78*('Cálculos'!$E$196+(($C140)-$A$120:$A$165)*'Cálculos'!$E$98)/(('Cálculos'!$E$196+(($C140)-$A$120:$A$165)*'Cálculos'!$E$98)+1400)+'Cálculos'!$E$122)*'Cálculos'!$E$217+'Cálculos'!$E$125*(1+2.78*('Cálculos'!$E$196+(($C140)-$A$120:$A$165)*'Cálculos'!$E$98)/(('Cálculos'!$E$196+(($C140)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140)-$A$120:$A$165)*'Cálculos'!$E$98)/(('Cálculos'!$E$197+(($C140)-$A$120:$A$165)*'Cálculos'!$E$98)+1400)+'Cálculos'!$E$122)*'Cálculos'!$E$229+'Cálculos'!$E$125*(1+2.78*('Cálculos'!$E$197+(($C140)-$A$120:$A$165)*'Cálculos'!$E$98)/(('Cálculos'!$E$197+(($C140)-$A$120:$A$165)*'Cálculos'!$E$98)+1400)+'Cálculos'!$E$123)*'Cálculos'!$E$234)+('Cálculos'!$E$197+(($C140)-$A$120:$A$165)*'Cálculos'!$E$98)*('Cálculos'!$E$225+'Cálculos'!$E$124*(1+2.78*('Cálculos'!$E$197+(($C140)-$A$120:$A$165)*'Cálculos'!$E$98)/(('Cálculos'!$E$197+(($C140)-$A$120:$A$165)*'Cálculos'!$E$98)+1400)+'Cálculos'!$E$122)*'Cálculos'!$E$230+'Cálculos'!$E$125*(1+2.78*('Cálculos'!$E$197+(($C140)-$A$120:$A$165)*'Cálculos'!$E$98)/(('Cálculos'!$E$197+(($C140)-$A$120:$A$165)*'Cálculos'!$E$98)+1400)+'Cálculos'!$E$123)*'Cálculos'!$E$235)+('Cálculos'!$E$201*(1+'Cálculos'!$E$202+$A$120:$A$165*('Cálculos'!$E$290=2)*'Cálculos'!$E$101)+'Cálculos'!$E$203)*('Cálculos'!$E$226+'Cálculos'!$E$124*(1+2.78*('Cálculos'!$E$197+(($C140)-$A$120:$A$165)*'Cálculos'!$E$98)/(('Cálculos'!$E$197+(($C140)-$A$120:$A$165)*'Cálculos'!$E$98)+1400)+'Cálculos'!$E$122)*'Cálculos'!$E$231+'Cálculos'!$E$125*(1+2.78*('Cálculos'!$E$197+(($C140)-$A$120:$A$165)*'Cálculos'!$E$98)/(('Cálculos'!$E$197+(($C140)-$A$120:$A$165)*'Cálculos'!$E$98)+1400)+'Cálculos'!$E$123)*'Cálculos'!$E$236)+('Cálculos'!$E$204*(1+'Cálculos'!$E$205+$A$120:$A$165*('Cálculos'!$E$290=3)*'Cálculos'!$E$103)+'Cálculos'!$E$206)*('Cálculos'!$E$227+'Cálculos'!$E$124*(1+2.78*('Cálculos'!$E$197+(($C140)-$A$120:$A$165)*'Cálculos'!$E$98)/(('Cálculos'!$E$197+(($C140)-$A$120:$A$165)*'Cálculos'!$E$98)+1400)+'Cálculos'!$E$122)*'Cálculos'!$E$232+'Cálculos'!$E$125*(1+2.78*('Cálculos'!$E$197+(($C140)-$A$120:$A$165)*'Cálculos'!$E$98)/(('Cálculos'!$E$197+(($C140)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140)-$A$120:$A$165)*'Cálculos'!$E$98)/(('Cálculos'!$E$198+(($C140)-$A$120:$A$165)*'Cálculos'!$E$98)+1400)+'Cálculos'!$E$122)*'Cálculos'!$E$244+'Cálculos'!$E$125*(1+2.78*('Cálculos'!$E$198+(($C140)-$A$120:$A$165)*'Cálculos'!$E$98)/(('Cálculos'!$E$198+(($C140)-$A$120:$A$165)*'Cálculos'!$E$98)+1400)+'Cálculos'!$E$123)*'Cálculos'!$E$249)+('Cálculos'!$E$198+(($C140)-$A$120:$A$165)*'Cálculos'!$E$98)*('Cálculos'!$E$240+'Cálculos'!$E$124*(1+2.78*('Cálculos'!$E$198+(($C140)-$A$120:$A$165)*'Cálculos'!$E$98)/(('Cálculos'!$E$198+(($C140)-$A$120:$A$165)*'Cálculos'!$E$98)+1400)+'Cálculos'!$E$122)*'Cálculos'!$E$245+'Cálculos'!$E$125*(1+2.78*('Cálculos'!$E$198+(($C140)-$A$120:$A$165)*'Cálculos'!$E$98)/(('Cálculos'!$E$198+(($C140)-$A$120:$A$165)*'Cálculos'!$E$98)+1400)+'Cálculos'!$E$123)*'Cálculos'!$E$250)+('Cálculos'!$E$201*(1+'Cálculos'!$E$202+$A$120:$A$165*('Cálculos'!$E$290=2)*'Cálculos'!$E$101)+'Cálculos'!$E$203)*('Cálculos'!$E$241+'Cálculos'!$E$124*(1+2.78*('Cálculos'!$E$198+(($C140)-$A$120:$A$165)*'Cálculos'!$E$98)/(('Cálculos'!$E$198+(($C140)-$A$120:$A$165)*'Cálculos'!$E$98)+1400)+'Cálculos'!$E$122)*'Cálculos'!$E$246+'Cálculos'!$E$125*(1+2.78*('Cálculos'!$E$198+(($C140)-$A$120:$A$165)*'Cálculos'!$E$98)/(('Cálculos'!$E$198+(($C140)-$A$120:$A$165)*'Cálculos'!$E$98)+1400)+'Cálculos'!$E$123)*'Cálculos'!$E$251)+('Cálculos'!$E$204*(1+'Cálculos'!$E$205+$A$120:$A$165*('Cálculos'!$E$290=3)*'Cálculos'!$E$103)+'Cálculos'!$E$206)*('Cálculos'!$E$242+'Cálculos'!$E$124*(1+2.78*('Cálculos'!$E$198+(($C140)-$A$120:$A$165)*'Cálculos'!$E$98)/(('Cálculos'!$E$198+(($C140)-$A$120:$A$165)*'Cálculos'!$E$98)+1400)+'Cálculos'!$E$122)*'Cálculos'!$E$247+'Cálculos'!$E$125*(1+2.78*('Cálculos'!$E$198+(($C140)-$A$120:$A$165)*'Cálculos'!$E$98)/(('Cálculos'!$E$198+(($C140)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140)-$A$120:$A$165)*'Cálculos'!$E$98)/(('Cálculos'!$E$199+(($C140)-$A$120:$A$165)*'Cálculos'!$E$98)+1400)+'Cálculos'!$E$122)*'Cálculos'!$E$259+'Cálculos'!$E$125*(1+2.78*('Cálculos'!$E$199+(($C140)-$A$120:$A$165)*'Cálculos'!$E$98)/(('Cálculos'!$E$199+(($C140)-$A$120:$A$165)*'Cálculos'!$E$98)+1400)+'Cálculos'!$E$123)*'Cálculos'!$E$264)+('Cálculos'!$E$199+(($C140)-$A$120:$A$165)*'Cálculos'!$E$98)*('Cálculos'!$E$255+'Cálculos'!$E$124*(1+2.78*('Cálculos'!$E$199+(($C140)-$A$120:$A$165)*'Cálculos'!$E$98)/(('Cálculos'!$E$199+(($C140)-$A$120:$A$165)*'Cálculos'!$E$98)+1400)+'Cálculos'!$E$122)*'Cálculos'!$E$260+'Cálculos'!$E$125*(1+2.78*('Cálculos'!$E$199+(($C140)-$A$120:$A$165)*'Cálculos'!$E$98)/(('Cálculos'!$E$199+(($C140)-$A$120:$A$165)*'Cálculos'!$E$98)+1400)+'Cálculos'!$E$123)*'Cálculos'!$E$265)+('Cálculos'!$E$201*(1+'Cálculos'!$E$202+$A$120:$A$165*('Cálculos'!$E$290=2)*'Cálculos'!$E$101)+'Cálculos'!$E$203)*('Cálculos'!$E$256+'Cálculos'!$E$124*(1+2.78*('Cálculos'!$E$199+(($C140)-$A$120:$A$165)*'Cálculos'!$E$98)/(('Cálculos'!$E$199+(($C140)-$A$120:$A$165)*'Cálculos'!$E$98)+1400)+'Cálculos'!$E$122)*'Cálculos'!$E$261+'Cálculos'!$E$125*(1+2.78*('Cálculos'!$E$199+(($C140)-$A$120:$A$165)*'Cálculos'!$E$98)/(('Cálculos'!$E$199+(($C140)-$A$120:$A$165)*'Cálculos'!$E$98)+1400)+'Cálculos'!$E$123)*'Cálculos'!$E$266)+('Cálculos'!$E$204*(1+'Cálculos'!$E$205+$A$120:$A$165*('Cálculos'!$E$290=3)*'Cálculos'!$E$103)+'Cálculos'!$E$206)*('Cálculos'!$E$257+'Cálculos'!$E$124*(1+2.78*('Cálculos'!$E$199+(($C140)-$A$120:$A$165)*'Cálculos'!$E$98)/(('Cálculos'!$E$199+(($C140)-$A$120:$A$165)*'Cálculos'!$E$98)+1400)+'Cálculos'!$E$122)*'Cálculos'!$E$262+'Cálculos'!$E$125*(1+2.78*('Cálculos'!$E$199+(($C140)-$A$120:$A$165)*'Cálculos'!$E$98)/(('Cálculos'!$E$199+(($C140)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140)-$A$120:$A$165)*'Cálculos'!$E$98)/(('Cálculos'!$E$200+(($C140)-$A$120:$A$165)*'Cálculos'!$E$98)+1400)+'Cálculos'!$E$122)*'Cálculos'!$E$274+'Cálculos'!$E$125*(1+2.78*('Cálculos'!$E$200+(($C140)-$A$120:$A$165)*'Cálculos'!$E$98)/(('Cálculos'!$E$200+(($C140)-$A$120:$A$165)*'Cálculos'!$E$98)+1400)+'Cálculos'!$E$123)*'Cálculos'!$E$279)+('Cálculos'!$E$200+(($C140)-$A$120:$A$165)*'Cálculos'!$E$98)*('Cálculos'!$E$270+'Cálculos'!$E$124*(1+2.78*('Cálculos'!$E$200+(($C140)-$A$120:$A$165)*'Cálculos'!$E$98)/(('Cálculos'!$E$200+(($C140)-$A$120:$A$165)*'Cálculos'!$E$98)+1400)+'Cálculos'!$E$122)*'Cálculos'!$E$275+'Cálculos'!$E$125*(1+2.78*('Cálculos'!$E$200+(($C140)-$A$120:$A$165)*'Cálculos'!$E$98)/(('Cálculos'!$E$200+(($C140)-$A$120:$A$165)*'Cálculos'!$E$98)+1400)+'Cálculos'!$E$123)*'Cálculos'!$E$280)+('Cálculos'!$E$201*(1+'Cálculos'!$E$202+$A$120:$A$165*('Cálculos'!$E$290=2)*'Cálculos'!$E$101)+'Cálculos'!$E$203)*('Cálculos'!$E$271+'Cálculos'!$E$124*(1+2.78*('Cálculos'!$E$200+(($C140)-$A$120:$A$165)*'Cálculos'!$E$98)/(('Cálculos'!$E$200+(($C140)-$A$120:$A$165)*'Cálculos'!$E$98)+1400)+'Cálculos'!$E$122)*'Cálculos'!$E$276+'Cálculos'!$E$125*(1+2.78*('Cálculos'!$E$200+(($C140)-$A$120:$A$165)*'Cálculos'!$E$98)/(('Cálculos'!$E$200+(($C140)-$A$120:$A$165)*'Cálculos'!$E$98)+1400)+'Cálculos'!$E$123)*'Cálculos'!$E$281)+('Cálculos'!$E$204*(1+'Cálculos'!$E$205+$A$120:$A$165*('Cálculos'!$E$290=3)*'Cálculos'!$E$103)+'Cálculos'!$E$206)*('Cálculos'!$E$272+'Cálculos'!$E$124*(1+2.78*('Cálculos'!$E$200+(($C140)-$A$120:$A$165)*'Cálculos'!$E$98)/(('Cálculos'!$E$200+(($C140)-$A$120:$A$165)*'Cálculos'!$E$98)+1400)+'Cálculos'!$E$122)*'Cálculos'!$E$277+'Cálculos'!$E$125*(1+2.78*('Cálculos'!$E$200+(($C140)-$A$120:$A$165)*'Cálculos'!$E$98)/(('Cálculos'!$E$200+(($C140)-$A$120:$A$165)*'Cálculos'!$E$98)+1400)+'Cálculos'!$E$123)*'Cálculos'!$E$282)))))</f>
        <v>0</v>
      </c>
      <c r="E140" s="32">
        <f>IF(OR($C140&lt;0,'Cálculos'!$E$6=""),0,$B140*$D140)</f>
        <v>0</v>
      </c>
      <c r="F140" s="2"/>
      <c r="G140" s="30">
        <f>($A140&lt;=$B$167)*($A140&lt;='Cálculos'!$E$294)*(($B$167)-$A140&lt;='Cálculos'!$E$295)*(1+MIN(('Cálculos'!$E$207+$A140*'Cálculos'!$E$95),1)*('Cálculos'!$E$208+(($B$167)-$A140)*'Cálculos'!$E$96))</f>
        <v>0</v>
      </c>
      <c r="H140" s="31">
        <f>IF($B$168&lt;0,0,($A140&lt;=$B$168)*($A140&lt;='Cálculos'!$E$301)*(($B$168)-$A140&lt;='Cálculos'!$E$297)*(('Cálculos'!$E$185*(1+'Cálculos'!$E$186+$A140*('Cálculos'!$E$290=1)*'Cálculos'!$E$97+'Cálculos'!$E$305)+'Cálculos'!$E$191)*('Cálculos'!$E$209+'Cálculos'!$E$124*(1+2.78*('Cálculos'!$E$196+(($B$168)-$A140)*'Cálculos'!$E$98)/(('Cálculos'!$E$196+(($B$168)-$A140)*'Cálculos'!$E$98)+1400)+'Cálculos'!$E$122)*'Cálculos'!$E$214+'Cálculos'!$E$125*(1+2.78*('Cálculos'!$E$196+(($B$168)-$A140)*'Cálculos'!$E$98)/(('Cálculos'!$E$196+(($B$168)-$A140)*'Cálculos'!$E$98)+1400)+'Cálculos'!$E$123)*'Cálculos'!$E$219)+('Cálculos'!$E$196+(($B$168)-$A140)*'Cálculos'!$E$98)*('Cálculos'!$E$210+'Cálculos'!$E$124*(1+2.78*('Cálculos'!$E$196+(($B$168)-$A140)*'Cálculos'!$E$98)/(('Cálculos'!$E$196+(($B$168)-$A140)*'Cálculos'!$E$98)+1400)+'Cálculos'!$E$122)*'Cálculos'!$E$215+'Cálculos'!$E$125*(1+2.78*('Cálculos'!$E$196+(($B$168)-$A140)*'Cálculos'!$E$98)/(('Cálculos'!$E$196+(($B$168)-$A140)*'Cálculos'!$E$98)+1400)+'Cálculos'!$E$123)*'Cálculos'!$E$220)+('Cálculos'!$E$201*(1+'Cálculos'!$E$202+$A140*('Cálculos'!$E$290=2)*'Cálculos'!$E$101)+'Cálculos'!$E$203)*('Cálculos'!$E$211+'Cálculos'!$E$124*(1+2.78*('Cálculos'!$E$196+(($B$168)-$A140)*'Cálculos'!$E$98)/(('Cálculos'!$E$196+(($B$168)-$A140)*'Cálculos'!$E$98)+1400)+'Cálculos'!$E$122)*'Cálculos'!$E$216+'Cálculos'!$E$125*(1+2.78*('Cálculos'!$E$196+(($B$168)-$A140)*'Cálculos'!$E$98)/(('Cálculos'!$E$196+(($B$168)-$A140)*'Cálculos'!$E$98)+1400)+'Cálculos'!$E$123)*'Cálculos'!$E$221)+('Cálculos'!$E$204*(1+'Cálculos'!$E$205+$A140*('Cálculos'!$E$290=3)*'Cálculos'!$E$103)+'Cálculos'!$E$206)*('Cálculos'!$E$212+'Cálculos'!$E$124*(1+2.78*('Cálculos'!$E$196+(($B$168)-$A140)*'Cálculos'!$E$98)/(('Cálculos'!$E$196+(($B$168)-$A140)*'Cálculos'!$E$98)+1400)+'Cálculos'!$E$122)*'Cálculos'!$E$217+'Cálculos'!$E$125*(1+2.78*('Cálculos'!$E$196+(($B$168)-$A140)*'Cálculos'!$E$98)/(('Cálculos'!$E$196+(($B$168)-$A140)*'Cálculos'!$E$98)+1400)+'Cálculos'!$E$123)*'Cálculos'!$E$222)+('Cálculos'!$E$185*(1+'Cálculos'!$E$187+$A140*('Cálculos'!$E$290=1)*'Cálculos'!$E$97+'Cálculos'!$E$305)+'Cálculos'!$E$192)*('Cálculos'!$E$224+'Cálculos'!$E$124*(1+2.78*('Cálculos'!$E$197+(($B$168)-$A140)*'Cálculos'!$E$98)/(('Cálculos'!$E$197+(($B$168)-$A140)*'Cálculos'!$E$98)+1400)+'Cálculos'!$E$122)*'Cálculos'!$E$229+'Cálculos'!$E$125*(1+2.78*('Cálculos'!$E$197+(($B$168)-$A140)*'Cálculos'!$E$98)/(('Cálculos'!$E$197+(($B$168)-$A140)*'Cálculos'!$E$98)+1400)+'Cálculos'!$E$123)*'Cálculos'!$E$234)+('Cálculos'!$E$197+(($B$168)-$A140)*'Cálculos'!$E$98)*('Cálculos'!$E$225+'Cálculos'!$E$124*(1+2.78*('Cálculos'!$E$197+(($B$168)-$A140)*'Cálculos'!$E$98)/(('Cálculos'!$E$197+(($B$168)-$A140)*'Cálculos'!$E$98)+1400)+'Cálculos'!$E$122)*'Cálculos'!$E$230+'Cálculos'!$E$125*(1+2.78*('Cálculos'!$E$197+(($B$168)-$A140)*'Cálculos'!$E$98)/(('Cálculos'!$E$197+(($B$168)-$A140)*'Cálculos'!$E$98)+1400)+'Cálculos'!$E$123)*'Cálculos'!$E$235)+('Cálculos'!$E$201*(1+'Cálculos'!$E$202+$A140*('Cálculos'!$E$290=2)*'Cálculos'!$E$101)+'Cálculos'!$E$203)*('Cálculos'!$E$226+'Cálculos'!$E$124*(1+2.78*('Cálculos'!$E$197+(($B$168)-$A140)*'Cálculos'!$E$98)/(('Cálculos'!$E$197+(($B$168)-$A140)*'Cálculos'!$E$98)+1400)+'Cálculos'!$E$122)*'Cálculos'!$E$231+'Cálculos'!$E$125*(1+2.78*('Cálculos'!$E$197+(($B$168)-$A140)*'Cálculos'!$E$98)/(('Cálculos'!$E$197+(($B$168)-$A140)*'Cálculos'!$E$98)+1400)+'Cálculos'!$E$123)*'Cálculos'!$E$236)+('Cálculos'!$E$204*(1+'Cálculos'!$E$205+$A140*('Cálculos'!$E$290=3)*'Cálculos'!$E$103)+'Cálculos'!$E$206)*('Cálculos'!$E$227+'Cálculos'!$E$124*(1+2.78*('Cálculos'!$E$197+(($B$168)-$A140)*'Cálculos'!$E$98)/(('Cálculos'!$E$197+(($B$168)-$A140)*'Cálculos'!$E$98)+1400)+'Cálculos'!$E$122)*'Cálculos'!$E$232+'Cálculos'!$E$125*(1+2.78*('Cálculos'!$E$197+(($B$168)-$A140)*'Cálculos'!$E$98)/(('Cálculos'!$E$197+(($B$168)-$A140)*'Cálculos'!$E$98)+1400)+'Cálculos'!$E$123)*'Cálculos'!$E$237)+('Cálculos'!$E$185*(1+'Cálculos'!$E$188+$A140*('Cálculos'!$E$290=1)*'Cálculos'!$E$97+'Cálculos'!$E$305)+'Cálculos'!$E$193)*('Cálculos'!$E$239+'Cálculos'!$E$124*(1+2.78*('Cálculos'!$E$198+(($B$168)-$A140)*'Cálculos'!$E$98)/(('Cálculos'!$E$198+(($B$168)-$A140)*'Cálculos'!$E$98)+1400)+'Cálculos'!$E$122)*'Cálculos'!$E$244+'Cálculos'!$E$125*(1+2.78*('Cálculos'!$E$198+(($B$168)-$A140)*'Cálculos'!$E$98)/(('Cálculos'!$E$198+(($B$168)-$A140)*'Cálculos'!$E$98)+1400)+'Cálculos'!$E$123)*'Cálculos'!$E$249)+('Cálculos'!$E$198+(($B$168)-$A140)*'Cálculos'!$E$98)*('Cálculos'!$E$240+'Cálculos'!$E$124*(1+2.78*('Cálculos'!$E$198+(($B$168)-$A140)*'Cálculos'!$E$98)/(('Cálculos'!$E$198+(($B$168)-$A140)*'Cálculos'!$E$98)+1400)+'Cálculos'!$E$122)*'Cálculos'!$E$245+'Cálculos'!$E$125*(1+2.78*('Cálculos'!$E$198+(($B$168)-$A140)*'Cálculos'!$E$98)/(('Cálculos'!$E$198+(($B$168)-$A140)*'Cálculos'!$E$98)+1400)+'Cálculos'!$E$123)*'Cálculos'!$E$250)+('Cálculos'!$E$201*(1+'Cálculos'!$E$202+$A140*('Cálculos'!$E$290=2)*'Cálculos'!$E$101)+'Cálculos'!$E$203)*('Cálculos'!$E$241+'Cálculos'!$E$124*(1+2.78*('Cálculos'!$E$198+(($B$168)-$A140)*'Cálculos'!$E$98)/(('Cálculos'!$E$198+(($B$168)-$A140)*'Cálculos'!$E$98)+1400)+'Cálculos'!$E$122)*'Cálculos'!$E$246+'Cálculos'!$E$125*(1+2.78*('Cálculos'!$E$198+(($B$168)-$A140)*'Cálculos'!$E$98)/(('Cálculos'!$E$198+(($B$168)-$A140)*'Cálculos'!$E$98)+1400)+'Cálculos'!$E$123)*'Cálculos'!$E$251)+('Cálculos'!$E$204*(1+'Cálculos'!$E$205+$A140*('Cálculos'!$E$290=3)*'Cálculos'!$E$103)+'Cálculos'!$E$206)*('Cálculos'!$E$242+'Cálculos'!$E$124*(1+2.78*('Cálculos'!$E$198+(($B$168)-$A140)*'Cálculos'!$E$98)/(('Cálculos'!$E$198+(($B$168)-$A140)*'Cálculos'!$E$98)+1400)+'Cálculos'!$E$122)*'Cálculos'!$E$247+'Cálculos'!$E$125*(1+2.78*('Cálculos'!$E$198+(($B$168)-$A140)*'Cálculos'!$E$98)/(('Cálculos'!$E$198+(($B$168)-$A140)*'Cálculos'!$E$98)+1400)+'Cálculos'!$E$123)*'Cálculos'!$E$252)+('Cálculos'!$E$185*(1+'Cálculos'!$E$189+$A140*('Cálculos'!$E$290=1)*'Cálculos'!$E$97+'Cálculos'!$E$305)+'Cálculos'!$E$194)*('Cálculos'!$E$254+'Cálculos'!$E$124*(1+2.78*('Cálculos'!$E$199+(($B$168)-$A140)*'Cálculos'!$E$98)/(('Cálculos'!$E$199+(($B$168)-$A140)*'Cálculos'!$E$98)+1400)+'Cálculos'!$E$122)*'Cálculos'!$E$259+'Cálculos'!$E$125*(1+2.78*('Cálculos'!$E$199+(($B$168)-$A140)*'Cálculos'!$E$98)/(('Cálculos'!$E$199+(($B$168)-$A140)*'Cálculos'!$E$98)+1400)+'Cálculos'!$E$123)*'Cálculos'!$E$264)+('Cálculos'!$E$199+(($B$168)-$A140)*'Cálculos'!$E$98)*('Cálculos'!$E$255+'Cálculos'!$E$124*(1+2.78*('Cálculos'!$E$199+(($B$168)-$A140)*'Cálculos'!$E$98)/(('Cálculos'!$E$199+(($B$168)-$A140)*'Cálculos'!$E$98)+1400)+'Cálculos'!$E$122)*'Cálculos'!$E$260+'Cálculos'!$E$125*(1+2.78*('Cálculos'!$E$199+(($B$168)-$A140)*'Cálculos'!$E$98)/(('Cálculos'!$E$199+(($B$168)-$A140)*'Cálculos'!$E$98)+1400)+'Cálculos'!$E$123)*'Cálculos'!$E$265)+('Cálculos'!$E$201*(1+'Cálculos'!$E$202+$A140*('Cálculos'!$E$290=2)*'Cálculos'!$E$101)+'Cálculos'!$E$203)*('Cálculos'!$E$256+'Cálculos'!$E$124*(1+2.78*('Cálculos'!$E$199+(($B$168)-$A140)*'Cálculos'!$E$98)/(('Cálculos'!$E$199+(($B$168)-$A140)*'Cálculos'!$E$98)+1400)+'Cálculos'!$E$122)*'Cálculos'!$E$261+'Cálculos'!$E$125*(1+2.78*('Cálculos'!$E$199+(($B$168)-$A140)*'Cálculos'!$E$98)/(('Cálculos'!$E$199+(($B$168)-$A140)*'Cálculos'!$E$98)+1400)+'Cálculos'!$E$123)*'Cálculos'!$E$266)+('Cálculos'!$E$204*(1+'Cálculos'!$E$205+$A140*('Cálculos'!$E$290=3)*'Cálculos'!$E$103)+'Cálculos'!$E$206)*('Cálculos'!$E$257+'Cálculos'!$E$124*(1+2.78*('Cálculos'!$E$199+(($B$168)-$A140)*'Cálculos'!$E$98)/(('Cálculos'!$E$199+(($B$168)-$A140)*'Cálculos'!$E$98)+1400)+'Cálculos'!$E$122)*'Cálculos'!$E$262+'Cálculos'!$E$125*(1+2.78*('Cálculos'!$E$199+(($B$168)-$A140)*'Cálculos'!$E$98)/(('Cálculos'!$E$199+(($B$168)-$A140)*'Cálculos'!$E$98)+1400)+'Cálculos'!$E$123)*'Cálculos'!$E$267)+('Cálculos'!$E$185*(1+'Cálculos'!$E$190+$A140*('Cálculos'!$E$290=1)*'Cálculos'!$E$97+'Cálculos'!$E$305)+'Cálculos'!$E$195)*('Cálculos'!$E$269+'Cálculos'!$E$124*(1+2.78*('Cálculos'!$E$200+(($B$168)-$A140)*'Cálculos'!$E$98)/(('Cálculos'!$E$200+(($B$168)-$A140)*'Cálculos'!$E$98)+1400)+'Cálculos'!$E$122)*'Cálculos'!$E$274+'Cálculos'!$E$125*(1+2.78*('Cálculos'!$E$200+(($B$168)-$A140)*'Cálculos'!$E$98)/(('Cálculos'!$E$200+(($B$168)-$A140)*'Cálculos'!$E$98)+1400)+'Cálculos'!$E$123)*'Cálculos'!$E$279)+('Cálculos'!$E$200+(($B$168)-$A140)*'Cálculos'!$E$98)*('Cálculos'!$E$270+'Cálculos'!$E$124*(1+2.78*('Cálculos'!$E$200+(($B$168)-$A140)*'Cálculos'!$E$98)/(('Cálculos'!$E$200+(($B$168)-$A140)*'Cálculos'!$E$98)+1400)+'Cálculos'!$E$122)*'Cálculos'!$E$275+'Cálculos'!$E$125*(1+2.78*('Cálculos'!$E$200+(($B$168)-$A140)*'Cálculos'!$E$98)/(('Cálculos'!$E$200+(($B$168)-$A140)*'Cálculos'!$E$98)+1400)+'Cálculos'!$E$123)*'Cálculos'!$E$280)+('Cálculos'!$E$201*(1+'Cálculos'!$E$202+$A140*('Cálculos'!$E$290=2)*'Cálculos'!$E$101)+'Cálculos'!$E$203)*('Cálculos'!$E$271+'Cálculos'!$E$124*(1+2.78*('Cálculos'!$E$200+(($B$168)-$A140)*'Cálculos'!$E$98)/(('Cálculos'!$E$200+(($B$168)-$A140)*'Cálculos'!$E$98)+1400)+'Cálculos'!$E$122)*'Cálculos'!$E$276+'Cálculos'!$E$125*(1+2.78*('Cálculos'!$E$200+(($B$168)-$A140)*'Cálculos'!$E$98)/(('Cálculos'!$E$200+(($B$168)-$A140)*'Cálculos'!$E$98)+1400)+'Cálculos'!$E$123)*'Cálculos'!$E$281)+('Cálculos'!$E$204*(1+'Cálculos'!$E$205+$A140*('Cálculos'!$E$290=3)*'Cálculos'!$E$103)+'Cálculos'!$E$206)*('Cálculos'!$E$272+'Cálculos'!$E$124*(1+2.78*('Cálculos'!$E$200+(($B$168)-$A140)*'Cálculos'!$E$98)/(('Cálculos'!$E$200+(($B$168)-$A140)*'Cálculos'!$E$98)+1400)+'Cálculos'!$E$122)*'Cálculos'!$E$277+'Cálculos'!$E$125*(1+2.78*('Cálculos'!$E$200+(($B$168)-$A140)*'Cálculos'!$E$98)/(('Cálculos'!$E$200+(($B$168)-$A140)*'Cálculos'!$E$98)+1400)+'Cálculos'!$E$123)*'Cálculos'!$E$282)))</f>
        <v>0</v>
      </c>
    </row>
    <row r="141" ht="15.75" customHeight="1">
      <c r="A141" s="2">
        <v>21.0</v>
      </c>
      <c r="B141" s="30">
        <f>SUMPRODUCT(MAX(($A$120:$A$165&lt;=$A141)*($A$120:$A$165&lt;='Cálculos'!$E$294)*(($A141)-$A$120:$A$165&lt;='Cálculos'!$E$295)*(1+(('Cálculos'!$E$207+$A$120:$A$165*'Cálculos'!$E$95)-(('Cálculos'!$E$207+$A$120:$A$165*'Cálculos'!$E$95)&gt;1)*(('Cálculos'!$E$207+$A$120:$A$165*'Cálculos'!$E$95)-1))*('Cálculos'!$E$208+(($A141)-$A$120:$A$165)*'Cálculos'!$E$96))))</f>
        <v>2.030976</v>
      </c>
      <c r="C141" s="2">
        <f>'Cálculos'!$E$303-$A141</f>
        <v>-8</v>
      </c>
      <c r="D141" s="31">
        <f>IF($C141&lt;0,0,SUMPRODUCT(MAX(($A$120:$A$165&lt;=$C141)*($A$120:$A$165&lt;='Cálculos'!$E$301)*(($C141)-$A$120:$A$165&lt;='Cálculos'!$E$297)*(('Cálculos'!$E$185*(1+'Cálculos'!$E$186+$A$120:$A$165*('Cálculos'!$E$290=1)*'Cálculos'!$E$97+'Cálculos'!$E$305)+'Cálculos'!$E$191)*('Cálculos'!$E$209+'Cálculos'!$E$124*(1+2.78*('Cálculos'!$E$196+(($C141)-$A$120:$A$165)*'Cálculos'!$E$98)/(('Cálculos'!$E$196+(($C141)-$A$120:$A$165)*'Cálculos'!$E$98)+1400)+'Cálculos'!$E$122)*'Cálculos'!$E$214+'Cálculos'!$E$125*(1+2.78*('Cálculos'!$E$196+(($C141)-$A$120:$A$165)*'Cálculos'!$E$98)/(('Cálculos'!$E$196+(($C141)-$A$120:$A$165)*'Cálculos'!$E$98)+1400)+'Cálculos'!$E$123)*'Cálculos'!$E$219)+('Cálculos'!$E$196+(($C141)-$A$120:$A$165)*'Cálculos'!$E$98)*('Cálculos'!$E$210+'Cálculos'!$E$124*(1+2.78*('Cálculos'!$E$196+(($C141)-$A$120:$A$165)*'Cálculos'!$E$98)/(('Cálculos'!$E$196+(($C141)-$A$120:$A$165)*'Cálculos'!$E$98)+1400)+'Cálculos'!$E$122)*'Cálculos'!$E$215+'Cálculos'!$E$125*(1+2.78*('Cálculos'!$E$196+(($C141)-$A$120:$A$165)*'Cálculos'!$E$98)/(('Cálculos'!$E$196+(($C141)-$A$120:$A$165)*'Cálculos'!$E$98)+1400)+'Cálculos'!$E$123)*'Cálculos'!$E$220)+('Cálculos'!$E$201*(1+'Cálculos'!$E$202+$A$120:$A$165*('Cálculos'!$E$290=2)*'Cálculos'!$E$101)+'Cálculos'!$E$203)*('Cálculos'!$E$211+'Cálculos'!$E$124*(1+2.78*('Cálculos'!$E$196+(($C141)-$A$120:$A$165)*'Cálculos'!$E$98)/(('Cálculos'!$E$196+(($C141)-$A$120:$A$165)*'Cálculos'!$E$98)+1400)+'Cálculos'!$E$122)*'Cálculos'!$E$216+'Cálculos'!$E$125*(1+2.78*('Cálculos'!$E$196+(($C141)-$A$120:$A$165)*'Cálculos'!$E$98)/(('Cálculos'!$E$196+(($C141)-$A$120:$A$165)*'Cálculos'!$E$98)+1400)+'Cálculos'!$E$123)*'Cálculos'!$E$221)+('Cálculos'!$E$204*(1+'Cálculos'!$E$205+$A$120:$A$165*('Cálculos'!$E$290=3)*'Cálculos'!$E$103)+'Cálculos'!$E$206)*('Cálculos'!$E$212+'Cálculos'!$E$124*(1+2.78*('Cálculos'!$E$196+(($C141)-$A$120:$A$165)*'Cálculos'!$E$98)/(('Cálculos'!$E$196+(($C141)-$A$120:$A$165)*'Cálculos'!$E$98)+1400)+'Cálculos'!$E$122)*'Cálculos'!$E$217+'Cálculos'!$E$125*(1+2.78*('Cálculos'!$E$196+(($C141)-$A$120:$A$165)*'Cálculos'!$E$98)/(('Cálculos'!$E$196+(($C141)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141)-$A$120:$A$165)*'Cálculos'!$E$98)/(('Cálculos'!$E$197+(($C141)-$A$120:$A$165)*'Cálculos'!$E$98)+1400)+'Cálculos'!$E$122)*'Cálculos'!$E$229+'Cálculos'!$E$125*(1+2.78*('Cálculos'!$E$197+(($C141)-$A$120:$A$165)*'Cálculos'!$E$98)/(('Cálculos'!$E$197+(($C141)-$A$120:$A$165)*'Cálculos'!$E$98)+1400)+'Cálculos'!$E$123)*'Cálculos'!$E$234)+('Cálculos'!$E$197+(($C141)-$A$120:$A$165)*'Cálculos'!$E$98)*('Cálculos'!$E$225+'Cálculos'!$E$124*(1+2.78*('Cálculos'!$E$197+(($C141)-$A$120:$A$165)*'Cálculos'!$E$98)/(('Cálculos'!$E$197+(($C141)-$A$120:$A$165)*'Cálculos'!$E$98)+1400)+'Cálculos'!$E$122)*'Cálculos'!$E$230+'Cálculos'!$E$125*(1+2.78*('Cálculos'!$E$197+(($C141)-$A$120:$A$165)*'Cálculos'!$E$98)/(('Cálculos'!$E$197+(($C141)-$A$120:$A$165)*'Cálculos'!$E$98)+1400)+'Cálculos'!$E$123)*'Cálculos'!$E$235)+('Cálculos'!$E$201*(1+'Cálculos'!$E$202+$A$120:$A$165*('Cálculos'!$E$290=2)*'Cálculos'!$E$101)+'Cálculos'!$E$203)*('Cálculos'!$E$226+'Cálculos'!$E$124*(1+2.78*('Cálculos'!$E$197+(($C141)-$A$120:$A$165)*'Cálculos'!$E$98)/(('Cálculos'!$E$197+(($C141)-$A$120:$A$165)*'Cálculos'!$E$98)+1400)+'Cálculos'!$E$122)*'Cálculos'!$E$231+'Cálculos'!$E$125*(1+2.78*('Cálculos'!$E$197+(($C141)-$A$120:$A$165)*'Cálculos'!$E$98)/(('Cálculos'!$E$197+(($C141)-$A$120:$A$165)*'Cálculos'!$E$98)+1400)+'Cálculos'!$E$123)*'Cálculos'!$E$236)+('Cálculos'!$E$204*(1+'Cálculos'!$E$205+$A$120:$A$165*('Cálculos'!$E$290=3)*'Cálculos'!$E$103)+'Cálculos'!$E$206)*('Cálculos'!$E$227+'Cálculos'!$E$124*(1+2.78*('Cálculos'!$E$197+(($C141)-$A$120:$A$165)*'Cálculos'!$E$98)/(('Cálculos'!$E$197+(($C141)-$A$120:$A$165)*'Cálculos'!$E$98)+1400)+'Cálculos'!$E$122)*'Cálculos'!$E$232+'Cálculos'!$E$125*(1+2.78*('Cálculos'!$E$197+(($C141)-$A$120:$A$165)*'Cálculos'!$E$98)/(('Cálculos'!$E$197+(($C141)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141)-$A$120:$A$165)*'Cálculos'!$E$98)/(('Cálculos'!$E$198+(($C141)-$A$120:$A$165)*'Cálculos'!$E$98)+1400)+'Cálculos'!$E$122)*'Cálculos'!$E$244+'Cálculos'!$E$125*(1+2.78*('Cálculos'!$E$198+(($C141)-$A$120:$A$165)*'Cálculos'!$E$98)/(('Cálculos'!$E$198+(($C141)-$A$120:$A$165)*'Cálculos'!$E$98)+1400)+'Cálculos'!$E$123)*'Cálculos'!$E$249)+('Cálculos'!$E$198+(($C141)-$A$120:$A$165)*'Cálculos'!$E$98)*('Cálculos'!$E$240+'Cálculos'!$E$124*(1+2.78*('Cálculos'!$E$198+(($C141)-$A$120:$A$165)*'Cálculos'!$E$98)/(('Cálculos'!$E$198+(($C141)-$A$120:$A$165)*'Cálculos'!$E$98)+1400)+'Cálculos'!$E$122)*'Cálculos'!$E$245+'Cálculos'!$E$125*(1+2.78*('Cálculos'!$E$198+(($C141)-$A$120:$A$165)*'Cálculos'!$E$98)/(('Cálculos'!$E$198+(($C141)-$A$120:$A$165)*'Cálculos'!$E$98)+1400)+'Cálculos'!$E$123)*'Cálculos'!$E$250)+('Cálculos'!$E$201*(1+'Cálculos'!$E$202+$A$120:$A$165*('Cálculos'!$E$290=2)*'Cálculos'!$E$101)+'Cálculos'!$E$203)*('Cálculos'!$E$241+'Cálculos'!$E$124*(1+2.78*('Cálculos'!$E$198+(($C141)-$A$120:$A$165)*'Cálculos'!$E$98)/(('Cálculos'!$E$198+(($C141)-$A$120:$A$165)*'Cálculos'!$E$98)+1400)+'Cálculos'!$E$122)*'Cálculos'!$E$246+'Cálculos'!$E$125*(1+2.78*('Cálculos'!$E$198+(($C141)-$A$120:$A$165)*'Cálculos'!$E$98)/(('Cálculos'!$E$198+(($C141)-$A$120:$A$165)*'Cálculos'!$E$98)+1400)+'Cálculos'!$E$123)*'Cálculos'!$E$251)+('Cálculos'!$E$204*(1+'Cálculos'!$E$205+$A$120:$A$165*('Cálculos'!$E$290=3)*'Cálculos'!$E$103)+'Cálculos'!$E$206)*('Cálculos'!$E$242+'Cálculos'!$E$124*(1+2.78*('Cálculos'!$E$198+(($C141)-$A$120:$A$165)*'Cálculos'!$E$98)/(('Cálculos'!$E$198+(($C141)-$A$120:$A$165)*'Cálculos'!$E$98)+1400)+'Cálculos'!$E$122)*'Cálculos'!$E$247+'Cálculos'!$E$125*(1+2.78*('Cálculos'!$E$198+(($C141)-$A$120:$A$165)*'Cálculos'!$E$98)/(('Cálculos'!$E$198+(($C141)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141)-$A$120:$A$165)*'Cálculos'!$E$98)/(('Cálculos'!$E$199+(($C141)-$A$120:$A$165)*'Cálculos'!$E$98)+1400)+'Cálculos'!$E$122)*'Cálculos'!$E$259+'Cálculos'!$E$125*(1+2.78*('Cálculos'!$E$199+(($C141)-$A$120:$A$165)*'Cálculos'!$E$98)/(('Cálculos'!$E$199+(($C141)-$A$120:$A$165)*'Cálculos'!$E$98)+1400)+'Cálculos'!$E$123)*'Cálculos'!$E$264)+('Cálculos'!$E$199+(($C141)-$A$120:$A$165)*'Cálculos'!$E$98)*('Cálculos'!$E$255+'Cálculos'!$E$124*(1+2.78*('Cálculos'!$E$199+(($C141)-$A$120:$A$165)*'Cálculos'!$E$98)/(('Cálculos'!$E$199+(($C141)-$A$120:$A$165)*'Cálculos'!$E$98)+1400)+'Cálculos'!$E$122)*'Cálculos'!$E$260+'Cálculos'!$E$125*(1+2.78*('Cálculos'!$E$199+(($C141)-$A$120:$A$165)*'Cálculos'!$E$98)/(('Cálculos'!$E$199+(($C141)-$A$120:$A$165)*'Cálculos'!$E$98)+1400)+'Cálculos'!$E$123)*'Cálculos'!$E$265)+('Cálculos'!$E$201*(1+'Cálculos'!$E$202+$A$120:$A$165*('Cálculos'!$E$290=2)*'Cálculos'!$E$101)+'Cálculos'!$E$203)*('Cálculos'!$E$256+'Cálculos'!$E$124*(1+2.78*('Cálculos'!$E$199+(($C141)-$A$120:$A$165)*'Cálculos'!$E$98)/(('Cálculos'!$E$199+(($C141)-$A$120:$A$165)*'Cálculos'!$E$98)+1400)+'Cálculos'!$E$122)*'Cálculos'!$E$261+'Cálculos'!$E$125*(1+2.78*('Cálculos'!$E$199+(($C141)-$A$120:$A$165)*'Cálculos'!$E$98)/(('Cálculos'!$E$199+(($C141)-$A$120:$A$165)*'Cálculos'!$E$98)+1400)+'Cálculos'!$E$123)*'Cálculos'!$E$266)+('Cálculos'!$E$204*(1+'Cálculos'!$E$205+$A$120:$A$165*('Cálculos'!$E$290=3)*'Cálculos'!$E$103)+'Cálculos'!$E$206)*('Cálculos'!$E$257+'Cálculos'!$E$124*(1+2.78*('Cálculos'!$E$199+(($C141)-$A$120:$A$165)*'Cálculos'!$E$98)/(('Cálculos'!$E$199+(($C141)-$A$120:$A$165)*'Cálculos'!$E$98)+1400)+'Cálculos'!$E$122)*'Cálculos'!$E$262+'Cálculos'!$E$125*(1+2.78*('Cálculos'!$E$199+(($C141)-$A$120:$A$165)*'Cálculos'!$E$98)/(('Cálculos'!$E$199+(($C141)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141)-$A$120:$A$165)*'Cálculos'!$E$98)/(('Cálculos'!$E$200+(($C141)-$A$120:$A$165)*'Cálculos'!$E$98)+1400)+'Cálculos'!$E$122)*'Cálculos'!$E$274+'Cálculos'!$E$125*(1+2.78*('Cálculos'!$E$200+(($C141)-$A$120:$A$165)*'Cálculos'!$E$98)/(('Cálculos'!$E$200+(($C141)-$A$120:$A$165)*'Cálculos'!$E$98)+1400)+'Cálculos'!$E$123)*'Cálculos'!$E$279)+('Cálculos'!$E$200+(($C141)-$A$120:$A$165)*'Cálculos'!$E$98)*('Cálculos'!$E$270+'Cálculos'!$E$124*(1+2.78*('Cálculos'!$E$200+(($C141)-$A$120:$A$165)*'Cálculos'!$E$98)/(('Cálculos'!$E$200+(($C141)-$A$120:$A$165)*'Cálculos'!$E$98)+1400)+'Cálculos'!$E$122)*'Cálculos'!$E$275+'Cálculos'!$E$125*(1+2.78*('Cálculos'!$E$200+(($C141)-$A$120:$A$165)*'Cálculos'!$E$98)/(('Cálculos'!$E$200+(($C141)-$A$120:$A$165)*'Cálculos'!$E$98)+1400)+'Cálculos'!$E$123)*'Cálculos'!$E$280)+('Cálculos'!$E$201*(1+'Cálculos'!$E$202+$A$120:$A$165*('Cálculos'!$E$290=2)*'Cálculos'!$E$101)+'Cálculos'!$E$203)*('Cálculos'!$E$271+'Cálculos'!$E$124*(1+2.78*('Cálculos'!$E$200+(($C141)-$A$120:$A$165)*'Cálculos'!$E$98)/(('Cálculos'!$E$200+(($C141)-$A$120:$A$165)*'Cálculos'!$E$98)+1400)+'Cálculos'!$E$122)*'Cálculos'!$E$276+'Cálculos'!$E$125*(1+2.78*('Cálculos'!$E$200+(($C141)-$A$120:$A$165)*'Cálculos'!$E$98)/(('Cálculos'!$E$200+(($C141)-$A$120:$A$165)*'Cálculos'!$E$98)+1400)+'Cálculos'!$E$123)*'Cálculos'!$E$281)+('Cálculos'!$E$204*(1+'Cálculos'!$E$205+$A$120:$A$165*('Cálculos'!$E$290=3)*'Cálculos'!$E$103)+'Cálculos'!$E$206)*('Cálculos'!$E$272+'Cálculos'!$E$124*(1+2.78*('Cálculos'!$E$200+(($C141)-$A$120:$A$165)*'Cálculos'!$E$98)/(('Cálculos'!$E$200+(($C141)-$A$120:$A$165)*'Cálculos'!$E$98)+1400)+'Cálculos'!$E$122)*'Cálculos'!$E$277+'Cálculos'!$E$125*(1+2.78*('Cálculos'!$E$200+(($C141)-$A$120:$A$165)*'Cálculos'!$E$98)/(('Cálculos'!$E$200+(($C141)-$A$120:$A$165)*'Cálculos'!$E$98)+1400)+'Cálculos'!$E$123)*'Cálculos'!$E$282)))))</f>
        <v>0</v>
      </c>
      <c r="E141" s="32">
        <f>IF(OR($C141&lt;0,'Cálculos'!$E$6=""),0,$B141*$D141)</f>
        <v>0</v>
      </c>
      <c r="F141" s="2"/>
      <c r="G141" s="30">
        <f>($A141&lt;=$B$167)*($A141&lt;='Cálculos'!$E$294)*(($B$167)-$A141&lt;='Cálculos'!$E$295)*(1+MIN(('Cálculos'!$E$207+$A141*'Cálculos'!$E$95),1)*('Cálculos'!$E$208+(($B$167)-$A141)*'Cálculos'!$E$96))</f>
        <v>0</v>
      </c>
      <c r="H141" s="31">
        <f>IF($B$168&lt;0,0,($A141&lt;=$B$168)*($A141&lt;='Cálculos'!$E$301)*(($B$168)-$A141&lt;='Cálculos'!$E$297)*(('Cálculos'!$E$185*(1+'Cálculos'!$E$186+$A141*('Cálculos'!$E$290=1)*'Cálculos'!$E$97+'Cálculos'!$E$305)+'Cálculos'!$E$191)*('Cálculos'!$E$209+'Cálculos'!$E$124*(1+2.78*('Cálculos'!$E$196+(($B$168)-$A141)*'Cálculos'!$E$98)/(('Cálculos'!$E$196+(($B$168)-$A141)*'Cálculos'!$E$98)+1400)+'Cálculos'!$E$122)*'Cálculos'!$E$214+'Cálculos'!$E$125*(1+2.78*('Cálculos'!$E$196+(($B$168)-$A141)*'Cálculos'!$E$98)/(('Cálculos'!$E$196+(($B$168)-$A141)*'Cálculos'!$E$98)+1400)+'Cálculos'!$E$123)*'Cálculos'!$E$219)+('Cálculos'!$E$196+(($B$168)-$A141)*'Cálculos'!$E$98)*('Cálculos'!$E$210+'Cálculos'!$E$124*(1+2.78*('Cálculos'!$E$196+(($B$168)-$A141)*'Cálculos'!$E$98)/(('Cálculos'!$E$196+(($B$168)-$A141)*'Cálculos'!$E$98)+1400)+'Cálculos'!$E$122)*'Cálculos'!$E$215+'Cálculos'!$E$125*(1+2.78*('Cálculos'!$E$196+(($B$168)-$A141)*'Cálculos'!$E$98)/(('Cálculos'!$E$196+(($B$168)-$A141)*'Cálculos'!$E$98)+1400)+'Cálculos'!$E$123)*'Cálculos'!$E$220)+('Cálculos'!$E$201*(1+'Cálculos'!$E$202+$A141*('Cálculos'!$E$290=2)*'Cálculos'!$E$101)+'Cálculos'!$E$203)*('Cálculos'!$E$211+'Cálculos'!$E$124*(1+2.78*('Cálculos'!$E$196+(($B$168)-$A141)*'Cálculos'!$E$98)/(('Cálculos'!$E$196+(($B$168)-$A141)*'Cálculos'!$E$98)+1400)+'Cálculos'!$E$122)*'Cálculos'!$E$216+'Cálculos'!$E$125*(1+2.78*('Cálculos'!$E$196+(($B$168)-$A141)*'Cálculos'!$E$98)/(('Cálculos'!$E$196+(($B$168)-$A141)*'Cálculos'!$E$98)+1400)+'Cálculos'!$E$123)*'Cálculos'!$E$221)+('Cálculos'!$E$204*(1+'Cálculos'!$E$205+$A141*('Cálculos'!$E$290=3)*'Cálculos'!$E$103)+'Cálculos'!$E$206)*('Cálculos'!$E$212+'Cálculos'!$E$124*(1+2.78*('Cálculos'!$E$196+(($B$168)-$A141)*'Cálculos'!$E$98)/(('Cálculos'!$E$196+(($B$168)-$A141)*'Cálculos'!$E$98)+1400)+'Cálculos'!$E$122)*'Cálculos'!$E$217+'Cálculos'!$E$125*(1+2.78*('Cálculos'!$E$196+(($B$168)-$A141)*'Cálculos'!$E$98)/(('Cálculos'!$E$196+(($B$168)-$A141)*'Cálculos'!$E$98)+1400)+'Cálculos'!$E$123)*'Cálculos'!$E$222)+('Cálculos'!$E$185*(1+'Cálculos'!$E$187+$A141*('Cálculos'!$E$290=1)*'Cálculos'!$E$97+'Cálculos'!$E$305)+'Cálculos'!$E$192)*('Cálculos'!$E$224+'Cálculos'!$E$124*(1+2.78*('Cálculos'!$E$197+(($B$168)-$A141)*'Cálculos'!$E$98)/(('Cálculos'!$E$197+(($B$168)-$A141)*'Cálculos'!$E$98)+1400)+'Cálculos'!$E$122)*'Cálculos'!$E$229+'Cálculos'!$E$125*(1+2.78*('Cálculos'!$E$197+(($B$168)-$A141)*'Cálculos'!$E$98)/(('Cálculos'!$E$197+(($B$168)-$A141)*'Cálculos'!$E$98)+1400)+'Cálculos'!$E$123)*'Cálculos'!$E$234)+('Cálculos'!$E$197+(($B$168)-$A141)*'Cálculos'!$E$98)*('Cálculos'!$E$225+'Cálculos'!$E$124*(1+2.78*('Cálculos'!$E$197+(($B$168)-$A141)*'Cálculos'!$E$98)/(('Cálculos'!$E$197+(($B$168)-$A141)*'Cálculos'!$E$98)+1400)+'Cálculos'!$E$122)*'Cálculos'!$E$230+'Cálculos'!$E$125*(1+2.78*('Cálculos'!$E$197+(($B$168)-$A141)*'Cálculos'!$E$98)/(('Cálculos'!$E$197+(($B$168)-$A141)*'Cálculos'!$E$98)+1400)+'Cálculos'!$E$123)*'Cálculos'!$E$235)+('Cálculos'!$E$201*(1+'Cálculos'!$E$202+$A141*('Cálculos'!$E$290=2)*'Cálculos'!$E$101)+'Cálculos'!$E$203)*('Cálculos'!$E$226+'Cálculos'!$E$124*(1+2.78*('Cálculos'!$E$197+(($B$168)-$A141)*'Cálculos'!$E$98)/(('Cálculos'!$E$197+(($B$168)-$A141)*'Cálculos'!$E$98)+1400)+'Cálculos'!$E$122)*'Cálculos'!$E$231+'Cálculos'!$E$125*(1+2.78*('Cálculos'!$E$197+(($B$168)-$A141)*'Cálculos'!$E$98)/(('Cálculos'!$E$197+(($B$168)-$A141)*'Cálculos'!$E$98)+1400)+'Cálculos'!$E$123)*'Cálculos'!$E$236)+('Cálculos'!$E$204*(1+'Cálculos'!$E$205+$A141*('Cálculos'!$E$290=3)*'Cálculos'!$E$103)+'Cálculos'!$E$206)*('Cálculos'!$E$227+'Cálculos'!$E$124*(1+2.78*('Cálculos'!$E$197+(($B$168)-$A141)*'Cálculos'!$E$98)/(('Cálculos'!$E$197+(($B$168)-$A141)*'Cálculos'!$E$98)+1400)+'Cálculos'!$E$122)*'Cálculos'!$E$232+'Cálculos'!$E$125*(1+2.78*('Cálculos'!$E$197+(($B$168)-$A141)*'Cálculos'!$E$98)/(('Cálculos'!$E$197+(($B$168)-$A141)*'Cálculos'!$E$98)+1400)+'Cálculos'!$E$123)*'Cálculos'!$E$237)+('Cálculos'!$E$185*(1+'Cálculos'!$E$188+$A141*('Cálculos'!$E$290=1)*'Cálculos'!$E$97+'Cálculos'!$E$305)+'Cálculos'!$E$193)*('Cálculos'!$E$239+'Cálculos'!$E$124*(1+2.78*('Cálculos'!$E$198+(($B$168)-$A141)*'Cálculos'!$E$98)/(('Cálculos'!$E$198+(($B$168)-$A141)*'Cálculos'!$E$98)+1400)+'Cálculos'!$E$122)*'Cálculos'!$E$244+'Cálculos'!$E$125*(1+2.78*('Cálculos'!$E$198+(($B$168)-$A141)*'Cálculos'!$E$98)/(('Cálculos'!$E$198+(($B$168)-$A141)*'Cálculos'!$E$98)+1400)+'Cálculos'!$E$123)*'Cálculos'!$E$249)+('Cálculos'!$E$198+(($B$168)-$A141)*'Cálculos'!$E$98)*('Cálculos'!$E$240+'Cálculos'!$E$124*(1+2.78*('Cálculos'!$E$198+(($B$168)-$A141)*'Cálculos'!$E$98)/(('Cálculos'!$E$198+(($B$168)-$A141)*'Cálculos'!$E$98)+1400)+'Cálculos'!$E$122)*'Cálculos'!$E$245+'Cálculos'!$E$125*(1+2.78*('Cálculos'!$E$198+(($B$168)-$A141)*'Cálculos'!$E$98)/(('Cálculos'!$E$198+(($B$168)-$A141)*'Cálculos'!$E$98)+1400)+'Cálculos'!$E$123)*'Cálculos'!$E$250)+('Cálculos'!$E$201*(1+'Cálculos'!$E$202+$A141*('Cálculos'!$E$290=2)*'Cálculos'!$E$101)+'Cálculos'!$E$203)*('Cálculos'!$E$241+'Cálculos'!$E$124*(1+2.78*('Cálculos'!$E$198+(($B$168)-$A141)*'Cálculos'!$E$98)/(('Cálculos'!$E$198+(($B$168)-$A141)*'Cálculos'!$E$98)+1400)+'Cálculos'!$E$122)*'Cálculos'!$E$246+'Cálculos'!$E$125*(1+2.78*('Cálculos'!$E$198+(($B$168)-$A141)*'Cálculos'!$E$98)/(('Cálculos'!$E$198+(($B$168)-$A141)*'Cálculos'!$E$98)+1400)+'Cálculos'!$E$123)*'Cálculos'!$E$251)+('Cálculos'!$E$204*(1+'Cálculos'!$E$205+$A141*('Cálculos'!$E$290=3)*'Cálculos'!$E$103)+'Cálculos'!$E$206)*('Cálculos'!$E$242+'Cálculos'!$E$124*(1+2.78*('Cálculos'!$E$198+(($B$168)-$A141)*'Cálculos'!$E$98)/(('Cálculos'!$E$198+(($B$168)-$A141)*'Cálculos'!$E$98)+1400)+'Cálculos'!$E$122)*'Cálculos'!$E$247+'Cálculos'!$E$125*(1+2.78*('Cálculos'!$E$198+(($B$168)-$A141)*'Cálculos'!$E$98)/(('Cálculos'!$E$198+(($B$168)-$A141)*'Cálculos'!$E$98)+1400)+'Cálculos'!$E$123)*'Cálculos'!$E$252)+('Cálculos'!$E$185*(1+'Cálculos'!$E$189+$A141*('Cálculos'!$E$290=1)*'Cálculos'!$E$97+'Cálculos'!$E$305)+'Cálculos'!$E$194)*('Cálculos'!$E$254+'Cálculos'!$E$124*(1+2.78*('Cálculos'!$E$199+(($B$168)-$A141)*'Cálculos'!$E$98)/(('Cálculos'!$E$199+(($B$168)-$A141)*'Cálculos'!$E$98)+1400)+'Cálculos'!$E$122)*'Cálculos'!$E$259+'Cálculos'!$E$125*(1+2.78*('Cálculos'!$E$199+(($B$168)-$A141)*'Cálculos'!$E$98)/(('Cálculos'!$E$199+(($B$168)-$A141)*'Cálculos'!$E$98)+1400)+'Cálculos'!$E$123)*'Cálculos'!$E$264)+('Cálculos'!$E$199+(($B$168)-$A141)*'Cálculos'!$E$98)*('Cálculos'!$E$255+'Cálculos'!$E$124*(1+2.78*('Cálculos'!$E$199+(($B$168)-$A141)*'Cálculos'!$E$98)/(('Cálculos'!$E$199+(($B$168)-$A141)*'Cálculos'!$E$98)+1400)+'Cálculos'!$E$122)*'Cálculos'!$E$260+'Cálculos'!$E$125*(1+2.78*('Cálculos'!$E$199+(($B$168)-$A141)*'Cálculos'!$E$98)/(('Cálculos'!$E$199+(($B$168)-$A141)*'Cálculos'!$E$98)+1400)+'Cálculos'!$E$123)*'Cálculos'!$E$265)+('Cálculos'!$E$201*(1+'Cálculos'!$E$202+$A141*('Cálculos'!$E$290=2)*'Cálculos'!$E$101)+'Cálculos'!$E$203)*('Cálculos'!$E$256+'Cálculos'!$E$124*(1+2.78*('Cálculos'!$E$199+(($B$168)-$A141)*'Cálculos'!$E$98)/(('Cálculos'!$E$199+(($B$168)-$A141)*'Cálculos'!$E$98)+1400)+'Cálculos'!$E$122)*'Cálculos'!$E$261+'Cálculos'!$E$125*(1+2.78*('Cálculos'!$E$199+(($B$168)-$A141)*'Cálculos'!$E$98)/(('Cálculos'!$E$199+(($B$168)-$A141)*'Cálculos'!$E$98)+1400)+'Cálculos'!$E$123)*'Cálculos'!$E$266)+('Cálculos'!$E$204*(1+'Cálculos'!$E$205+$A141*('Cálculos'!$E$290=3)*'Cálculos'!$E$103)+'Cálculos'!$E$206)*('Cálculos'!$E$257+'Cálculos'!$E$124*(1+2.78*('Cálculos'!$E$199+(($B$168)-$A141)*'Cálculos'!$E$98)/(('Cálculos'!$E$199+(($B$168)-$A141)*'Cálculos'!$E$98)+1400)+'Cálculos'!$E$122)*'Cálculos'!$E$262+'Cálculos'!$E$125*(1+2.78*('Cálculos'!$E$199+(($B$168)-$A141)*'Cálculos'!$E$98)/(('Cálculos'!$E$199+(($B$168)-$A141)*'Cálculos'!$E$98)+1400)+'Cálculos'!$E$123)*'Cálculos'!$E$267)+('Cálculos'!$E$185*(1+'Cálculos'!$E$190+$A141*('Cálculos'!$E$290=1)*'Cálculos'!$E$97+'Cálculos'!$E$305)+'Cálculos'!$E$195)*('Cálculos'!$E$269+'Cálculos'!$E$124*(1+2.78*('Cálculos'!$E$200+(($B$168)-$A141)*'Cálculos'!$E$98)/(('Cálculos'!$E$200+(($B$168)-$A141)*'Cálculos'!$E$98)+1400)+'Cálculos'!$E$122)*'Cálculos'!$E$274+'Cálculos'!$E$125*(1+2.78*('Cálculos'!$E$200+(($B$168)-$A141)*'Cálculos'!$E$98)/(('Cálculos'!$E$200+(($B$168)-$A141)*'Cálculos'!$E$98)+1400)+'Cálculos'!$E$123)*'Cálculos'!$E$279)+('Cálculos'!$E$200+(($B$168)-$A141)*'Cálculos'!$E$98)*('Cálculos'!$E$270+'Cálculos'!$E$124*(1+2.78*('Cálculos'!$E$200+(($B$168)-$A141)*'Cálculos'!$E$98)/(('Cálculos'!$E$200+(($B$168)-$A141)*'Cálculos'!$E$98)+1400)+'Cálculos'!$E$122)*'Cálculos'!$E$275+'Cálculos'!$E$125*(1+2.78*('Cálculos'!$E$200+(($B$168)-$A141)*'Cálculos'!$E$98)/(('Cálculos'!$E$200+(($B$168)-$A141)*'Cálculos'!$E$98)+1400)+'Cálculos'!$E$123)*'Cálculos'!$E$280)+('Cálculos'!$E$201*(1+'Cálculos'!$E$202+$A141*('Cálculos'!$E$290=2)*'Cálculos'!$E$101)+'Cálculos'!$E$203)*('Cálculos'!$E$271+'Cálculos'!$E$124*(1+2.78*('Cálculos'!$E$200+(($B$168)-$A141)*'Cálculos'!$E$98)/(('Cálculos'!$E$200+(($B$168)-$A141)*'Cálculos'!$E$98)+1400)+'Cálculos'!$E$122)*'Cálculos'!$E$276+'Cálculos'!$E$125*(1+2.78*('Cálculos'!$E$200+(($B$168)-$A141)*'Cálculos'!$E$98)/(('Cálculos'!$E$200+(($B$168)-$A141)*'Cálculos'!$E$98)+1400)+'Cálculos'!$E$123)*'Cálculos'!$E$281)+('Cálculos'!$E$204*(1+'Cálculos'!$E$205+$A141*('Cálculos'!$E$290=3)*'Cálculos'!$E$103)+'Cálculos'!$E$206)*('Cálculos'!$E$272+'Cálculos'!$E$124*(1+2.78*('Cálculos'!$E$200+(($B$168)-$A141)*'Cálculos'!$E$98)/(('Cálculos'!$E$200+(($B$168)-$A141)*'Cálculos'!$E$98)+1400)+'Cálculos'!$E$122)*'Cálculos'!$E$277+'Cálculos'!$E$125*(1+2.78*('Cálculos'!$E$200+(($B$168)-$A141)*'Cálculos'!$E$98)/(('Cálculos'!$E$200+(($B$168)-$A141)*'Cálculos'!$E$98)+1400)+'Cálculos'!$E$123)*'Cálculos'!$E$282)))</f>
        <v>0</v>
      </c>
    </row>
    <row r="142" ht="15.75" customHeight="1">
      <c r="A142" s="2">
        <v>22.0</v>
      </c>
      <c r="B142" s="30">
        <f>SUMPRODUCT(MAX(($A$120:$A$165&lt;=$A142)*($A$120:$A$165&lt;='Cálculos'!$E$294)*(($A142)-$A$120:$A$165&lt;='Cálculos'!$E$295)*(1+(('Cálculos'!$E$207+$A$120:$A$165*'Cálculos'!$E$95)-(('Cálculos'!$E$207+$A$120:$A$165*'Cálculos'!$E$95)&gt;1)*(('Cálculos'!$E$207+$A$120:$A$165*'Cálculos'!$E$95)-1))*('Cálculos'!$E$208+(($A142)-$A$120:$A$165)*'Cálculos'!$E$96))))</f>
        <v>2.07876</v>
      </c>
      <c r="C142" s="2">
        <f>'Cálculos'!$E$303-$A142</f>
        <v>-9</v>
      </c>
      <c r="D142" s="31">
        <f>IF($C142&lt;0,0,SUMPRODUCT(MAX(($A$120:$A$165&lt;=$C142)*($A$120:$A$165&lt;='Cálculos'!$E$301)*(($C142)-$A$120:$A$165&lt;='Cálculos'!$E$297)*(('Cálculos'!$E$185*(1+'Cálculos'!$E$186+$A$120:$A$165*('Cálculos'!$E$290=1)*'Cálculos'!$E$97+'Cálculos'!$E$305)+'Cálculos'!$E$191)*('Cálculos'!$E$209+'Cálculos'!$E$124*(1+2.78*('Cálculos'!$E$196+(($C142)-$A$120:$A$165)*'Cálculos'!$E$98)/(('Cálculos'!$E$196+(($C142)-$A$120:$A$165)*'Cálculos'!$E$98)+1400)+'Cálculos'!$E$122)*'Cálculos'!$E$214+'Cálculos'!$E$125*(1+2.78*('Cálculos'!$E$196+(($C142)-$A$120:$A$165)*'Cálculos'!$E$98)/(('Cálculos'!$E$196+(($C142)-$A$120:$A$165)*'Cálculos'!$E$98)+1400)+'Cálculos'!$E$123)*'Cálculos'!$E$219)+('Cálculos'!$E$196+(($C142)-$A$120:$A$165)*'Cálculos'!$E$98)*('Cálculos'!$E$210+'Cálculos'!$E$124*(1+2.78*('Cálculos'!$E$196+(($C142)-$A$120:$A$165)*'Cálculos'!$E$98)/(('Cálculos'!$E$196+(($C142)-$A$120:$A$165)*'Cálculos'!$E$98)+1400)+'Cálculos'!$E$122)*'Cálculos'!$E$215+'Cálculos'!$E$125*(1+2.78*('Cálculos'!$E$196+(($C142)-$A$120:$A$165)*'Cálculos'!$E$98)/(('Cálculos'!$E$196+(($C142)-$A$120:$A$165)*'Cálculos'!$E$98)+1400)+'Cálculos'!$E$123)*'Cálculos'!$E$220)+('Cálculos'!$E$201*(1+'Cálculos'!$E$202+$A$120:$A$165*('Cálculos'!$E$290=2)*'Cálculos'!$E$101)+'Cálculos'!$E$203)*('Cálculos'!$E$211+'Cálculos'!$E$124*(1+2.78*('Cálculos'!$E$196+(($C142)-$A$120:$A$165)*'Cálculos'!$E$98)/(('Cálculos'!$E$196+(($C142)-$A$120:$A$165)*'Cálculos'!$E$98)+1400)+'Cálculos'!$E$122)*'Cálculos'!$E$216+'Cálculos'!$E$125*(1+2.78*('Cálculos'!$E$196+(($C142)-$A$120:$A$165)*'Cálculos'!$E$98)/(('Cálculos'!$E$196+(($C142)-$A$120:$A$165)*'Cálculos'!$E$98)+1400)+'Cálculos'!$E$123)*'Cálculos'!$E$221)+('Cálculos'!$E$204*(1+'Cálculos'!$E$205+$A$120:$A$165*('Cálculos'!$E$290=3)*'Cálculos'!$E$103)+'Cálculos'!$E$206)*('Cálculos'!$E$212+'Cálculos'!$E$124*(1+2.78*('Cálculos'!$E$196+(($C142)-$A$120:$A$165)*'Cálculos'!$E$98)/(('Cálculos'!$E$196+(($C142)-$A$120:$A$165)*'Cálculos'!$E$98)+1400)+'Cálculos'!$E$122)*'Cálculos'!$E$217+'Cálculos'!$E$125*(1+2.78*('Cálculos'!$E$196+(($C142)-$A$120:$A$165)*'Cálculos'!$E$98)/(('Cálculos'!$E$196+(($C142)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142)-$A$120:$A$165)*'Cálculos'!$E$98)/(('Cálculos'!$E$197+(($C142)-$A$120:$A$165)*'Cálculos'!$E$98)+1400)+'Cálculos'!$E$122)*'Cálculos'!$E$229+'Cálculos'!$E$125*(1+2.78*('Cálculos'!$E$197+(($C142)-$A$120:$A$165)*'Cálculos'!$E$98)/(('Cálculos'!$E$197+(($C142)-$A$120:$A$165)*'Cálculos'!$E$98)+1400)+'Cálculos'!$E$123)*'Cálculos'!$E$234)+('Cálculos'!$E$197+(($C142)-$A$120:$A$165)*'Cálculos'!$E$98)*('Cálculos'!$E$225+'Cálculos'!$E$124*(1+2.78*('Cálculos'!$E$197+(($C142)-$A$120:$A$165)*'Cálculos'!$E$98)/(('Cálculos'!$E$197+(($C142)-$A$120:$A$165)*'Cálculos'!$E$98)+1400)+'Cálculos'!$E$122)*'Cálculos'!$E$230+'Cálculos'!$E$125*(1+2.78*('Cálculos'!$E$197+(($C142)-$A$120:$A$165)*'Cálculos'!$E$98)/(('Cálculos'!$E$197+(($C142)-$A$120:$A$165)*'Cálculos'!$E$98)+1400)+'Cálculos'!$E$123)*'Cálculos'!$E$235)+('Cálculos'!$E$201*(1+'Cálculos'!$E$202+$A$120:$A$165*('Cálculos'!$E$290=2)*'Cálculos'!$E$101)+'Cálculos'!$E$203)*('Cálculos'!$E$226+'Cálculos'!$E$124*(1+2.78*('Cálculos'!$E$197+(($C142)-$A$120:$A$165)*'Cálculos'!$E$98)/(('Cálculos'!$E$197+(($C142)-$A$120:$A$165)*'Cálculos'!$E$98)+1400)+'Cálculos'!$E$122)*'Cálculos'!$E$231+'Cálculos'!$E$125*(1+2.78*('Cálculos'!$E$197+(($C142)-$A$120:$A$165)*'Cálculos'!$E$98)/(('Cálculos'!$E$197+(($C142)-$A$120:$A$165)*'Cálculos'!$E$98)+1400)+'Cálculos'!$E$123)*'Cálculos'!$E$236)+('Cálculos'!$E$204*(1+'Cálculos'!$E$205+$A$120:$A$165*('Cálculos'!$E$290=3)*'Cálculos'!$E$103)+'Cálculos'!$E$206)*('Cálculos'!$E$227+'Cálculos'!$E$124*(1+2.78*('Cálculos'!$E$197+(($C142)-$A$120:$A$165)*'Cálculos'!$E$98)/(('Cálculos'!$E$197+(($C142)-$A$120:$A$165)*'Cálculos'!$E$98)+1400)+'Cálculos'!$E$122)*'Cálculos'!$E$232+'Cálculos'!$E$125*(1+2.78*('Cálculos'!$E$197+(($C142)-$A$120:$A$165)*'Cálculos'!$E$98)/(('Cálculos'!$E$197+(($C142)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142)-$A$120:$A$165)*'Cálculos'!$E$98)/(('Cálculos'!$E$198+(($C142)-$A$120:$A$165)*'Cálculos'!$E$98)+1400)+'Cálculos'!$E$122)*'Cálculos'!$E$244+'Cálculos'!$E$125*(1+2.78*('Cálculos'!$E$198+(($C142)-$A$120:$A$165)*'Cálculos'!$E$98)/(('Cálculos'!$E$198+(($C142)-$A$120:$A$165)*'Cálculos'!$E$98)+1400)+'Cálculos'!$E$123)*'Cálculos'!$E$249)+('Cálculos'!$E$198+(($C142)-$A$120:$A$165)*'Cálculos'!$E$98)*('Cálculos'!$E$240+'Cálculos'!$E$124*(1+2.78*('Cálculos'!$E$198+(($C142)-$A$120:$A$165)*'Cálculos'!$E$98)/(('Cálculos'!$E$198+(($C142)-$A$120:$A$165)*'Cálculos'!$E$98)+1400)+'Cálculos'!$E$122)*'Cálculos'!$E$245+'Cálculos'!$E$125*(1+2.78*('Cálculos'!$E$198+(($C142)-$A$120:$A$165)*'Cálculos'!$E$98)/(('Cálculos'!$E$198+(($C142)-$A$120:$A$165)*'Cálculos'!$E$98)+1400)+'Cálculos'!$E$123)*'Cálculos'!$E$250)+('Cálculos'!$E$201*(1+'Cálculos'!$E$202+$A$120:$A$165*('Cálculos'!$E$290=2)*'Cálculos'!$E$101)+'Cálculos'!$E$203)*('Cálculos'!$E$241+'Cálculos'!$E$124*(1+2.78*('Cálculos'!$E$198+(($C142)-$A$120:$A$165)*'Cálculos'!$E$98)/(('Cálculos'!$E$198+(($C142)-$A$120:$A$165)*'Cálculos'!$E$98)+1400)+'Cálculos'!$E$122)*'Cálculos'!$E$246+'Cálculos'!$E$125*(1+2.78*('Cálculos'!$E$198+(($C142)-$A$120:$A$165)*'Cálculos'!$E$98)/(('Cálculos'!$E$198+(($C142)-$A$120:$A$165)*'Cálculos'!$E$98)+1400)+'Cálculos'!$E$123)*'Cálculos'!$E$251)+('Cálculos'!$E$204*(1+'Cálculos'!$E$205+$A$120:$A$165*('Cálculos'!$E$290=3)*'Cálculos'!$E$103)+'Cálculos'!$E$206)*('Cálculos'!$E$242+'Cálculos'!$E$124*(1+2.78*('Cálculos'!$E$198+(($C142)-$A$120:$A$165)*'Cálculos'!$E$98)/(('Cálculos'!$E$198+(($C142)-$A$120:$A$165)*'Cálculos'!$E$98)+1400)+'Cálculos'!$E$122)*'Cálculos'!$E$247+'Cálculos'!$E$125*(1+2.78*('Cálculos'!$E$198+(($C142)-$A$120:$A$165)*'Cálculos'!$E$98)/(('Cálculos'!$E$198+(($C142)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142)-$A$120:$A$165)*'Cálculos'!$E$98)/(('Cálculos'!$E$199+(($C142)-$A$120:$A$165)*'Cálculos'!$E$98)+1400)+'Cálculos'!$E$122)*'Cálculos'!$E$259+'Cálculos'!$E$125*(1+2.78*('Cálculos'!$E$199+(($C142)-$A$120:$A$165)*'Cálculos'!$E$98)/(('Cálculos'!$E$199+(($C142)-$A$120:$A$165)*'Cálculos'!$E$98)+1400)+'Cálculos'!$E$123)*'Cálculos'!$E$264)+('Cálculos'!$E$199+(($C142)-$A$120:$A$165)*'Cálculos'!$E$98)*('Cálculos'!$E$255+'Cálculos'!$E$124*(1+2.78*('Cálculos'!$E$199+(($C142)-$A$120:$A$165)*'Cálculos'!$E$98)/(('Cálculos'!$E$199+(($C142)-$A$120:$A$165)*'Cálculos'!$E$98)+1400)+'Cálculos'!$E$122)*'Cálculos'!$E$260+'Cálculos'!$E$125*(1+2.78*('Cálculos'!$E$199+(($C142)-$A$120:$A$165)*'Cálculos'!$E$98)/(('Cálculos'!$E$199+(($C142)-$A$120:$A$165)*'Cálculos'!$E$98)+1400)+'Cálculos'!$E$123)*'Cálculos'!$E$265)+('Cálculos'!$E$201*(1+'Cálculos'!$E$202+$A$120:$A$165*('Cálculos'!$E$290=2)*'Cálculos'!$E$101)+'Cálculos'!$E$203)*('Cálculos'!$E$256+'Cálculos'!$E$124*(1+2.78*('Cálculos'!$E$199+(($C142)-$A$120:$A$165)*'Cálculos'!$E$98)/(('Cálculos'!$E$199+(($C142)-$A$120:$A$165)*'Cálculos'!$E$98)+1400)+'Cálculos'!$E$122)*'Cálculos'!$E$261+'Cálculos'!$E$125*(1+2.78*('Cálculos'!$E$199+(($C142)-$A$120:$A$165)*'Cálculos'!$E$98)/(('Cálculos'!$E$199+(($C142)-$A$120:$A$165)*'Cálculos'!$E$98)+1400)+'Cálculos'!$E$123)*'Cálculos'!$E$266)+('Cálculos'!$E$204*(1+'Cálculos'!$E$205+$A$120:$A$165*('Cálculos'!$E$290=3)*'Cálculos'!$E$103)+'Cálculos'!$E$206)*('Cálculos'!$E$257+'Cálculos'!$E$124*(1+2.78*('Cálculos'!$E$199+(($C142)-$A$120:$A$165)*'Cálculos'!$E$98)/(('Cálculos'!$E$199+(($C142)-$A$120:$A$165)*'Cálculos'!$E$98)+1400)+'Cálculos'!$E$122)*'Cálculos'!$E$262+'Cálculos'!$E$125*(1+2.78*('Cálculos'!$E$199+(($C142)-$A$120:$A$165)*'Cálculos'!$E$98)/(('Cálculos'!$E$199+(($C142)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142)-$A$120:$A$165)*'Cálculos'!$E$98)/(('Cálculos'!$E$200+(($C142)-$A$120:$A$165)*'Cálculos'!$E$98)+1400)+'Cálculos'!$E$122)*'Cálculos'!$E$274+'Cálculos'!$E$125*(1+2.78*('Cálculos'!$E$200+(($C142)-$A$120:$A$165)*'Cálculos'!$E$98)/(('Cálculos'!$E$200+(($C142)-$A$120:$A$165)*'Cálculos'!$E$98)+1400)+'Cálculos'!$E$123)*'Cálculos'!$E$279)+('Cálculos'!$E$200+(($C142)-$A$120:$A$165)*'Cálculos'!$E$98)*('Cálculos'!$E$270+'Cálculos'!$E$124*(1+2.78*('Cálculos'!$E$200+(($C142)-$A$120:$A$165)*'Cálculos'!$E$98)/(('Cálculos'!$E$200+(($C142)-$A$120:$A$165)*'Cálculos'!$E$98)+1400)+'Cálculos'!$E$122)*'Cálculos'!$E$275+'Cálculos'!$E$125*(1+2.78*('Cálculos'!$E$200+(($C142)-$A$120:$A$165)*'Cálculos'!$E$98)/(('Cálculos'!$E$200+(($C142)-$A$120:$A$165)*'Cálculos'!$E$98)+1400)+'Cálculos'!$E$123)*'Cálculos'!$E$280)+('Cálculos'!$E$201*(1+'Cálculos'!$E$202+$A$120:$A$165*('Cálculos'!$E$290=2)*'Cálculos'!$E$101)+'Cálculos'!$E$203)*('Cálculos'!$E$271+'Cálculos'!$E$124*(1+2.78*('Cálculos'!$E$200+(($C142)-$A$120:$A$165)*'Cálculos'!$E$98)/(('Cálculos'!$E$200+(($C142)-$A$120:$A$165)*'Cálculos'!$E$98)+1400)+'Cálculos'!$E$122)*'Cálculos'!$E$276+'Cálculos'!$E$125*(1+2.78*('Cálculos'!$E$200+(($C142)-$A$120:$A$165)*'Cálculos'!$E$98)/(('Cálculos'!$E$200+(($C142)-$A$120:$A$165)*'Cálculos'!$E$98)+1400)+'Cálculos'!$E$123)*'Cálculos'!$E$281)+('Cálculos'!$E$204*(1+'Cálculos'!$E$205+$A$120:$A$165*('Cálculos'!$E$290=3)*'Cálculos'!$E$103)+'Cálculos'!$E$206)*('Cálculos'!$E$272+'Cálculos'!$E$124*(1+2.78*('Cálculos'!$E$200+(($C142)-$A$120:$A$165)*'Cálculos'!$E$98)/(('Cálculos'!$E$200+(($C142)-$A$120:$A$165)*'Cálculos'!$E$98)+1400)+'Cálculos'!$E$122)*'Cálculos'!$E$277+'Cálculos'!$E$125*(1+2.78*('Cálculos'!$E$200+(($C142)-$A$120:$A$165)*'Cálculos'!$E$98)/(('Cálculos'!$E$200+(($C142)-$A$120:$A$165)*'Cálculos'!$E$98)+1400)+'Cálculos'!$E$123)*'Cálculos'!$E$282)))))</f>
        <v>0</v>
      </c>
      <c r="E142" s="32">
        <f>IF(OR($C142&lt;0,'Cálculos'!$E$6=""),0,$B142*$D142)</f>
        <v>0</v>
      </c>
      <c r="F142" s="2"/>
      <c r="G142" s="30">
        <f>($A142&lt;=$B$167)*($A142&lt;='Cálculos'!$E$294)*(($B$167)-$A142&lt;='Cálculos'!$E$295)*(1+MIN(('Cálculos'!$E$207+$A142*'Cálculos'!$E$95),1)*('Cálculos'!$E$208+(($B$167)-$A142)*'Cálculos'!$E$96))</f>
        <v>0</v>
      </c>
      <c r="H142" s="31">
        <f>IF($B$168&lt;0,0,($A142&lt;=$B$168)*($A142&lt;='Cálculos'!$E$301)*(($B$168)-$A142&lt;='Cálculos'!$E$297)*(('Cálculos'!$E$185*(1+'Cálculos'!$E$186+$A142*('Cálculos'!$E$290=1)*'Cálculos'!$E$97+'Cálculos'!$E$305)+'Cálculos'!$E$191)*('Cálculos'!$E$209+'Cálculos'!$E$124*(1+2.78*('Cálculos'!$E$196+(($B$168)-$A142)*'Cálculos'!$E$98)/(('Cálculos'!$E$196+(($B$168)-$A142)*'Cálculos'!$E$98)+1400)+'Cálculos'!$E$122)*'Cálculos'!$E$214+'Cálculos'!$E$125*(1+2.78*('Cálculos'!$E$196+(($B$168)-$A142)*'Cálculos'!$E$98)/(('Cálculos'!$E$196+(($B$168)-$A142)*'Cálculos'!$E$98)+1400)+'Cálculos'!$E$123)*'Cálculos'!$E$219)+('Cálculos'!$E$196+(($B$168)-$A142)*'Cálculos'!$E$98)*('Cálculos'!$E$210+'Cálculos'!$E$124*(1+2.78*('Cálculos'!$E$196+(($B$168)-$A142)*'Cálculos'!$E$98)/(('Cálculos'!$E$196+(($B$168)-$A142)*'Cálculos'!$E$98)+1400)+'Cálculos'!$E$122)*'Cálculos'!$E$215+'Cálculos'!$E$125*(1+2.78*('Cálculos'!$E$196+(($B$168)-$A142)*'Cálculos'!$E$98)/(('Cálculos'!$E$196+(($B$168)-$A142)*'Cálculos'!$E$98)+1400)+'Cálculos'!$E$123)*'Cálculos'!$E$220)+('Cálculos'!$E$201*(1+'Cálculos'!$E$202+$A142*('Cálculos'!$E$290=2)*'Cálculos'!$E$101)+'Cálculos'!$E$203)*('Cálculos'!$E$211+'Cálculos'!$E$124*(1+2.78*('Cálculos'!$E$196+(($B$168)-$A142)*'Cálculos'!$E$98)/(('Cálculos'!$E$196+(($B$168)-$A142)*'Cálculos'!$E$98)+1400)+'Cálculos'!$E$122)*'Cálculos'!$E$216+'Cálculos'!$E$125*(1+2.78*('Cálculos'!$E$196+(($B$168)-$A142)*'Cálculos'!$E$98)/(('Cálculos'!$E$196+(($B$168)-$A142)*'Cálculos'!$E$98)+1400)+'Cálculos'!$E$123)*'Cálculos'!$E$221)+('Cálculos'!$E$204*(1+'Cálculos'!$E$205+$A142*('Cálculos'!$E$290=3)*'Cálculos'!$E$103)+'Cálculos'!$E$206)*('Cálculos'!$E$212+'Cálculos'!$E$124*(1+2.78*('Cálculos'!$E$196+(($B$168)-$A142)*'Cálculos'!$E$98)/(('Cálculos'!$E$196+(($B$168)-$A142)*'Cálculos'!$E$98)+1400)+'Cálculos'!$E$122)*'Cálculos'!$E$217+'Cálculos'!$E$125*(1+2.78*('Cálculos'!$E$196+(($B$168)-$A142)*'Cálculos'!$E$98)/(('Cálculos'!$E$196+(($B$168)-$A142)*'Cálculos'!$E$98)+1400)+'Cálculos'!$E$123)*'Cálculos'!$E$222)+('Cálculos'!$E$185*(1+'Cálculos'!$E$187+$A142*('Cálculos'!$E$290=1)*'Cálculos'!$E$97+'Cálculos'!$E$305)+'Cálculos'!$E$192)*('Cálculos'!$E$224+'Cálculos'!$E$124*(1+2.78*('Cálculos'!$E$197+(($B$168)-$A142)*'Cálculos'!$E$98)/(('Cálculos'!$E$197+(($B$168)-$A142)*'Cálculos'!$E$98)+1400)+'Cálculos'!$E$122)*'Cálculos'!$E$229+'Cálculos'!$E$125*(1+2.78*('Cálculos'!$E$197+(($B$168)-$A142)*'Cálculos'!$E$98)/(('Cálculos'!$E$197+(($B$168)-$A142)*'Cálculos'!$E$98)+1400)+'Cálculos'!$E$123)*'Cálculos'!$E$234)+('Cálculos'!$E$197+(($B$168)-$A142)*'Cálculos'!$E$98)*('Cálculos'!$E$225+'Cálculos'!$E$124*(1+2.78*('Cálculos'!$E$197+(($B$168)-$A142)*'Cálculos'!$E$98)/(('Cálculos'!$E$197+(($B$168)-$A142)*'Cálculos'!$E$98)+1400)+'Cálculos'!$E$122)*'Cálculos'!$E$230+'Cálculos'!$E$125*(1+2.78*('Cálculos'!$E$197+(($B$168)-$A142)*'Cálculos'!$E$98)/(('Cálculos'!$E$197+(($B$168)-$A142)*'Cálculos'!$E$98)+1400)+'Cálculos'!$E$123)*'Cálculos'!$E$235)+('Cálculos'!$E$201*(1+'Cálculos'!$E$202+$A142*('Cálculos'!$E$290=2)*'Cálculos'!$E$101)+'Cálculos'!$E$203)*('Cálculos'!$E$226+'Cálculos'!$E$124*(1+2.78*('Cálculos'!$E$197+(($B$168)-$A142)*'Cálculos'!$E$98)/(('Cálculos'!$E$197+(($B$168)-$A142)*'Cálculos'!$E$98)+1400)+'Cálculos'!$E$122)*'Cálculos'!$E$231+'Cálculos'!$E$125*(1+2.78*('Cálculos'!$E$197+(($B$168)-$A142)*'Cálculos'!$E$98)/(('Cálculos'!$E$197+(($B$168)-$A142)*'Cálculos'!$E$98)+1400)+'Cálculos'!$E$123)*'Cálculos'!$E$236)+('Cálculos'!$E$204*(1+'Cálculos'!$E$205+$A142*('Cálculos'!$E$290=3)*'Cálculos'!$E$103)+'Cálculos'!$E$206)*('Cálculos'!$E$227+'Cálculos'!$E$124*(1+2.78*('Cálculos'!$E$197+(($B$168)-$A142)*'Cálculos'!$E$98)/(('Cálculos'!$E$197+(($B$168)-$A142)*'Cálculos'!$E$98)+1400)+'Cálculos'!$E$122)*'Cálculos'!$E$232+'Cálculos'!$E$125*(1+2.78*('Cálculos'!$E$197+(($B$168)-$A142)*'Cálculos'!$E$98)/(('Cálculos'!$E$197+(($B$168)-$A142)*'Cálculos'!$E$98)+1400)+'Cálculos'!$E$123)*'Cálculos'!$E$237)+('Cálculos'!$E$185*(1+'Cálculos'!$E$188+$A142*('Cálculos'!$E$290=1)*'Cálculos'!$E$97+'Cálculos'!$E$305)+'Cálculos'!$E$193)*('Cálculos'!$E$239+'Cálculos'!$E$124*(1+2.78*('Cálculos'!$E$198+(($B$168)-$A142)*'Cálculos'!$E$98)/(('Cálculos'!$E$198+(($B$168)-$A142)*'Cálculos'!$E$98)+1400)+'Cálculos'!$E$122)*'Cálculos'!$E$244+'Cálculos'!$E$125*(1+2.78*('Cálculos'!$E$198+(($B$168)-$A142)*'Cálculos'!$E$98)/(('Cálculos'!$E$198+(($B$168)-$A142)*'Cálculos'!$E$98)+1400)+'Cálculos'!$E$123)*'Cálculos'!$E$249)+('Cálculos'!$E$198+(($B$168)-$A142)*'Cálculos'!$E$98)*('Cálculos'!$E$240+'Cálculos'!$E$124*(1+2.78*('Cálculos'!$E$198+(($B$168)-$A142)*'Cálculos'!$E$98)/(('Cálculos'!$E$198+(($B$168)-$A142)*'Cálculos'!$E$98)+1400)+'Cálculos'!$E$122)*'Cálculos'!$E$245+'Cálculos'!$E$125*(1+2.78*('Cálculos'!$E$198+(($B$168)-$A142)*'Cálculos'!$E$98)/(('Cálculos'!$E$198+(($B$168)-$A142)*'Cálculos'!$E$98)+1400)+'Cálculos'!$E$123)*'Cálculos'!$E$250)+('Cálculos'!$E$201*(1+'Cálculos'!$E$202+$A142*('Cálculos'!$E$290=2)*'Cálculos'!$E$101)+'Cálculos'!$E$203)*('Cálculos'!$E$241+'Cálculos'!$E$124*(1+2.78*('Cálculos'!$E$198+(($B$168)-$A142)*'Cálculos'!$E$98)/(('Cálculos'!$E$198+(($B$168)-$A142)*'Cálculos'!$E$98)+1400)+'Cálculos'!$E$122)*'Cálculos'!$E$246+'Cálculos'!$E$125*(1+2.78*('Cálculos'!$E$198+(($B$168)-$A142)*'Cálculos'!$E$98)/(('Cálculos'!$E$198+(($B$168)-$A142)*'Cálculos'!$E$98)+1400)+'Cálculos'!$E$123)*'Cálculos'!$E$251)+('Cálculos'!$E$204*(1+'Cálculos'!$E$205+$A142*('Cálculos'!$E$290=3)*'Cálculos'!$E$103)+'Cálculos'!$E$206)*('Cálculos'!$E$242+'Cálculos'!$E$124*(1+2.78*('Cálculos'!$E$198+(($B$168)-$A142)*'Cálculos'!$E$98)/(('Cálculos'!$E$198+(($B$168)-$A142)*'Cálculos'!$E$98)+1400)+'Cálculos'!$E$122)*'Cálculos'!$E$247+'Cálculos'!$E$125*(1+2.78*('Cálculos'!$E$198+(($B$168)-$A142)*'Cálculos'!$E$98)/(('Cálculos'!$E$198+(($B$168)-$A142)*'Cálculos'!$E$98)+1400)+'Cálculos'!$E$123)*'Cálculos'!$E$252)+('Cálculos'!$E$185*(1+'Cálculos'!$E$189+$A142*('Cálculos'!$E$290=1)*'Cálculos'!$E$97+'Cálculos'!$E$305)+'Cálculos'!$E$194)*('Cálculos'!$E$254+'Cálculos'!$E$124*(1+2.78*('Cálculos'!$E$199+(($B$168)-$A142)*'Cálculos'!$E$98)/(('Cálculos'!$E$199+(($B$168)-$A142)*'Cálculos'!$E$98)+1400)+'Cálculos'!$E$122)*'Cálculos'!$E$259+'Cálculos'!$E$125*(1+2.78*('Cálculos'!$E$199+(($B$168)-$A142)*'Cálculos'!$E$98)/(('Cálculos'!$E$199+(($B$168)-$A142)*'Cálculos'!$E$98)+1400)+'Cálculos'!$E$123)*'Cálculos'!$E$264)+('Cálculos'!$E$199+(($B$168)-$A142)*'Cálculos'!$E$98)*('Cálculos'!$E$255+'Cálculos'!$E$124*(1+2.78*('Cálculos'!$E$199+(($B$168)-$A142)*'Cálculos'!$E$98)/(('Cálculos'!$E$199+(($B$168)-$A142)*'Cálculos'!$E$98)+1400)+'Cálculos'!$E$122)*'Cálculos'!$E$260+'Cálculos'!$E$125*(1+2.78*('Cálculos'!$E$199+(($B$168)-$A142)*'Cálculos'!$E$98)/(('Cálculos'!$E$199+(($B$168)-$A142)*'Cálculos'!$E$98)+1400)+'Cálculos'!$E$123)*'Cálculos'!$E$265)+('Cálculos'!$E$201*(1+'Cálculos'!$E$202+$A142*('Cálculos'!$E$290=2)*'Cálculos'!$E$101)+'Cálculos'!$E$203)*('Cálculos'!$E$256+'Cálculos'!$E$124*(1+2.78*('Cálculos'!$E$199+(($B$168)-$A142)*'Cálculos'!$E$98)/(('Cálculos'!$E$199+(($B$168)-$A142)*'Cálculos'!$E$98)+1400)+'Cálculos'!$E$122)*'Cálculos'!$E$261+'Cálculos'!$E$125*(1+2.78*('Cálculos'!$E$199+(($B$168)-$A142)*'Cálculos'!$E$98)/(('Cálculos'!$E$199+(($B$168)-$A142)*'Cálculos'!$E$98)+1400)+'Cálculos'!$E$123)*'Cálculos'!$E$266)+('Cálculos'!$E$204*(1+'Cálculos'!$E$205+$A142*('Cálculos'!$E$290=3)*'Cálculos'!$E$103)+'Cálculos'!$E$206)*('Cálculos'!$E$257+'Cálculos'!$E$124*(1+2.78*('Cálculos'!$E$199+(($B$168)-$A142)*'Cálculos'!$E$98)/(('Cálculos'!$E$199+(($B$168)-$A142)*'Cálculos'!$E$98)+1400)+'Cálculos'!$E$122)*'Cálculos'!$E$262+'Cálculos'!$E$125*(1+2.78*('Cálculos'!$E$199+(($B$168)-$A142)*'Cálculos'!$E$98)/(('Cálculos'!$E$199+(($B$168)-$A142)*'Cálculos'!$E$98)+1400)+'Cálculos'!$E$123)*'Cálculos'!$E$267)+('Cálculos'!$E$185*(1+'Cálculos'!$E$190+$A142*('Cálculos'!$E$290=1)*'Cálculos'!$E$97+'Cálculos'!$E$305)+'Cálculos'!$E$195)*('Cálculos'!$E$269+'Cálculos'!$E$124*(1+2.78*('Cálculos'!$E$200+(($B$168)-$A142)*'Cálculos'!$E$98)/(('Cálculos'!$E$200+(($B$168)-$A142)*'Cálculos'!$E$98)+1400)+'Cálculos'!$E$122)*'Cálculos'!$E$274+'Cálculos'!$E$125*(1+2.78*('Cálculos'!$E$200+(($B$168)-$A142)*'Cálculos'!$E$98)/(('Cálculos'!$E$200+(($B$168)-$A142)*'Cálculos'!$E$98)+1400)+'Cálculos'!$E$123)*'Cálculos'!$E$279)+('Cálculos'!$E$200+(($B$168)-$A142)*'Cálculos'!$E$98)*('Cálculos'!$E$270+'Cálculos'!$E$124*(1+2.78*('Cálculos'!$E$200+(($B$168)-$A142)*'Cálculos'!$E$98)/(('Cálculos'!$E$200+(($B$168)-$A142)*'Cálculos'!$E$98)+1400)+'Cálculos'!$E$122)*'Cálculos'!$E$275+'Cálculos'!$E$125*(1+2.78*('Cálculos'!$E$200+(($B$168)-$A142)*'Cálculos'!$E$98)/(('Cálculos'!$E$200+(($B$168)-$A142)*'Cálculos'!$E$98)+1400)+'Cálculos'!$E$123)*'Cálculos'!$E$280)+('Cálculos'!$E$201*(1+'Cálculos'!$E$202+$A142*('Cálculos'!$E$290=2)*'Cálculos'!$E$101)+'Cálculos'!$E$203)*('Cálculos'!$E$271+'Cálculos'!$E$124*(1+2.78*('Cálculos'!$E$200+(($B$168)-$A142)*'Cálculos'!$E$98)/(('Cálculos'!$E$200+(($B$168)-$A142)*'Cálculos'!$E$98)+1400)+'Cálculos'!$E$122)*'Cálculos'!$E$276+'Cálculos'!$E$125*(1+2.78*('Cálculos'!$E$200+(($B$168)-$A142)*'Cálculos'!$E$98)/(('Cálculos'!$E$200+(($B$168)-$A142)*'Cálculos'!$E$98)+1400)+'Cálculos'!$E$123)*'Cálculos'!$E$281)+('Cálculos'!$E$204*(1+'Cálculos'!$E$205+$A142*('Cálculos'!$E$290=3)*'Cálculos'!$E$103)+'Cálculos'!$E$206)*('Cálculos'!$E$272+'Cálculos'!$E$124*(1+2.78*('Cálculos'!$E$200+(($B$168)-$A142)*'Cálculos'!$E$98)/(('Cálculos'!$E$200+(($B$168)-$A142)*'Cálculos'!$E$98)+1400)+'Cálculos'!$E$122)*'Cálculos'!$E$277+'Cálculos'!$E$125*(1+2.78*('Cálculos'!$E$200+(($B$168)-$A142)*'Cálculos'!$E$98)/(('Cálculos'!$E$200+(($B$168)-$A142)*'Cálculos'!$E$98)+1400)+'Cálculos'!$E$123)*'Cálculos'!$E$282)))</f>
        <v>0</v>
      </c>
    </row>
    <row r="143" ht="15.75" customHeight="1">
      <c r="A143" s="2">
        <v>23.0</v>
      </c>
      <c r="B143" s="30">
        <f>SUMPRODUCT(MAX(($A$120:$A$165&lt;=$A143)*($A$120:$A$165&lt;='Cálculos'!$E$294)*(($A143)-$A$120:$A$165&lt;='Cálculos'!$E$295)*(1+(('Cálculos'!$E$207+$A$120:$A$165*'Cálculos'!$E$95)-(('Cálculos'!$E$207+$A$120:$A$165*'Cálculos'!$E$95)&gt;1)*(('Cálculos'!$E$207+$A$120:$A$165*'Cálculos'!$E$95)-1))*('Cálculos'!$E$208+(($A143)-$A$120:$A$165)*'Cálculos'!$E$96))))</f>
        <v>2.12793</v>
      </c>
      <c r="C143" s="2">
        <f>'Cálculos'!$E$303-$A143</f>
        <v>-10</v>
      </c>
      <c r="D143" s="31">
        <f>IF($C143&lt;0,0,SUMPRODUCT(MAX(($A$120:$A$165&lt;=$C143)*($A$120:$A$165&lt;='Cálculos'!$E$301)*(($C143)-$A$120:$A$165&lt;='Cálculos'!$E$297)*(('Cálculos'!$E$185*(1+'Cálculos'!$E$186+$A$120:$A$165*('Cálculos'!$E$290=1)*'Cálculos'!$E$97+'Cálculos'!$E$305)+'Cálculos'!$E$191)*('Cálculos'!$E$209+'Cálculos'!$E$124*(1+2.78*('Cálculos'!$E$196+(($C143)-$A$120:$A$165)*'Cálculos'!$E$98)/(('Cálculos'!$E$196+(($C143)-$A$120:$A$165)*'Cálculos'!$E$98)+1400)+'Cálculos'!$E$122)*'Cálculos'!$E$214+'Cálculos'!$E$125*(1+2.78*('Cálculos'!$E$196+(($C143)-$A$120:$A$165)*'Cálculos'!$E$98)/(('Cálculos'!$E$196+(($C143)-$A$120:$A$165)*'Cálculos'!$E$98)+1400)+'Cálculos'!$E$123)*'Cálculos'!$E$219)+('Cálculos'!$E$196+(($C143)-$A$120:$A$165)*'Cálculos'!$E$98)*('Cálculos'!$E$210+'Cálculos'!$E$124*(1+2.78*('Cálculos'!$E$196+(($C143)-$A$120:$A$165)*'Cálculos'!$E$98)/(('Cálculos'!$E$196+(($C143)-$A$120:$A$165)*'Cálculos'!$E$98)+1400)+'Cálculos'!$E$122)*'Cálculos'!$E$215+'Cálculos'!$E$125*(1+2.78*('Cálculos'!$E$196+(($C143)-$A$120:$A$165)*'Cálculos'!$E$98)/(('Cálculos'!$E$196+(($C143)-$A$120:$A$165)*'Cálculos'!$E$98)+1400)+'Cálculos'!$E$123)*'Cálculos'!$E$220)+('Cálculos'!$E$201*(1+'Cálculos'!$E$202+$A$120:$A$165*('Cálculos'!$E$290=2)*'Cálculos'!$E$101)+'Cálculos'!$E$203)*('Cálculos'!$E$211+'Cálculos'!$E$124*(1+2.78*('Cálculos'!$E$196+(($C143)-$A$120:$A$165)*'Cálculos'!$E$98)/(('Cálculos'!$E$196+(($C143)-$A$120:$A$165)*'Cálculos'!$E$98)+1400)+'Cálculos'!$E$122)*'Cálculos'!$E$216+'Cálculos'!$E$125*(1+2.78*('Cálculos'!$E$196+(($C143)-$A$120:$A$165)*'Cálculos'!$E$98)/(('Cálculos'!$E$196+(($C143)-$A$120:$A$165)*'Cálculos'!$E$98)+1400)+'Cálculos'!$E$123)*'Cálculos'!$E$221)+('Cálculos'!$E$204*(1+'Cálculos'!$E$205+$A$120:$A$165*('Cálculos'!$E$290=3)*'Cálculos'!$E$103)+'Cálculos'!$E$206)*('Cálculos'!$E$212+'Cálculos'!$E$124*(1+2.78*('Cálculos'!$E$196+(($C143)-$A$120:$A$165)*'Cálculos'!$E$98)/(('Cálculos'!$E$196+(($C143)-$A$120:$A$165)*'Cálculos'!$E$98)+1400)+'Cálculos'!$E$122)*'Cálculos'!$E$217+'Cálculos'!$E$125*(1+2.78*('Cálculos'!$E$196+(($C143)-$A$120:$A$165)*'Cálculos'!$E$98)/(('Cálculos'!$E$196+(($C143)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143)-$A$120:$A$165)*'Cálculos'!$E$98)/(('Cálculos'!$E$197+(($C143)-$A$120:$A$165)*'Cálculos'!$E$98)+1400)+'Cálculos'!$E$122)*'Cálculos'!$E$229+'Cálculos'!$E$125*(1+2.78*('Cálculos'!$E$197+(($C143)-$A$120:$A$165)*'Cálculos'!$E$98)/(('Cálculos'!$E$197+(($C143)-$A$120:$A$165)*'Cálculos'!$E$98)+1400)+'Cálculos'!$E$123)*'Cálculos'!$E$234)+('Cálculos'!$E$197+(($C143)-$A$120:$A$165)*'Cálculos'!$E$98)*('Cálculos'!$E$225+'Cálculos'!$E$124*(1+2.78*('Cálculos'!$E$197+(($C143)-$A$120:$A$165)*'Cálculos'!$E$98)/(('Cálculos'!$E$197+(($C143)-$A$120:$A$165)*'Cálculos'!$E$98)+1400)+'Cálculos'!$E$122)*'Cálculos'!$E$230+'Cálculos'!$E$125*(1+2.78*('Cálculos'!$E$197+(($C143)-$A$120:$A$165)*'Cálculos'!$E$98)/(('Cálculos'!$E$197+(($C143)-$A$120:$A$165)*'Cálculos'!$E$98)+1400)+'Cálculos'!$E$123)*'Cálculos'!$E$235)+('Cálculos'!$E$201*(1+'Cálculos'!$E$202+$A$120:$A$165*('Cálculos'!$E$290=2)*'Cálculos'!$E$101)+'Cálculos'!$E$203)*('Cálculos'!$E$226+'Cálculos'!$E$124*(1+2.78*('Cálculos'!$E$197+(($C143)-$A$120:$A$165)*'Cálculos'!$E$98)/(('Cálculos'!$E$197+(($C143)-$A$120:$A$165)*'Cálculos'!$E$98)+1400)+'Cálculos'!$E$122)*'Cálculos'!$E$231+'Cálculos'!$E$125*(1+2.78*('Cálculos'!$E$197+(($C143)-$A$120:$A$165)*'Cálculos'!$E$98)/(('Cálculos'!$E$197+(($C143)-$A$120:$A$165)*'Cálculos'!$E$98)+1400)+'Cálculos'!$E$123)*'Cálculos'!$E$236)+('Cálculos'!$E$204*(1+'Cálculos'!$E$205+$A$120:$A$165*('Cálculos'!$E$290=3)*'Cálculos'!$E$103)+'Cálculos'!$E$206)*('Cálculos'!$E$227+'Cálculos'!$E$124*(1+2.78*('Cálculos'!$E$197+(($C143)-$A$120:$A$165)*'Cálculos'!$E$98)/(('Cálculos'!$E$197+(($C143)-$A$120:$A$165)*'Cálculos'!$E$98)+1400)+'Cálculos'!$E$122)*'Cálculos'!$E$232+'Cálculos'!$E$125*(1+2.78*('Cálculos'!$E$197+(($C143)-$A$120:$A$165)*'Cálculos'!$E$98)/(('Cálculos'!$E$197+(($C143)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143)-$A$120:$A$165)*'Cálculos'!$E$98)/(('Cálculos'!$E$198+(($C143)-$A$120:$A$165)*'Cálculos'!$E$98)+1400)+'Cálculos'!$E$122)*'Cálculos'!$E$244+'Cálculos'!$E$125*(1+2.78*('Cálculos'!$E$198+(($C143)-$A$120:$A$165)*'Cálculos'!$E$98)/(('Cálculos'!$E$198+(($C143)-$A$120:$A$165)*'Cálculos'!$E$98)+1400)+'Cálculos'!$E$123)*'Cálculos'!$E$249)+('Cálculos'!$E$198+(($C143)-$A$120:$A$165)*'Cálculos'!$E$98)*('Cálculos'!$E$240+'Cálculos'!$E$124*(1+2.78*('Cálculos'!$E$198+(($C143)-$A$120:$A$165)*'Cálculos'!$E$98)/(('Cálculos'!$E$198+(($C143)-$A$120:$A$165)*'Cálculos'!$E$98)+1400)+'Cálculos'!$E$122)*'Cálculos'!$E$245+'Cálculos'!$E$125*(1+2.78*('Cálculos'!$E$198+(($C143)-$A$120:$A$165)*'Cálculos'!$E$98)/(('Cálculos'!$E$198+(($C143)-$A$120:$A$165)*'Cálculos'!$E$98)+1400)+'Cálculos'!$E$123)*'Cálculos'!$E$250)+('Cálculos'!$E$201*(1+'Cálculos'!$E$202+$A$120:$A$165*('Cálculos'!$E$290=2)*'Cálculos'!$E$101)+'Cálculos'!$E$203)*('Cálculos'!$E$241+'Cálculos'!$E$124*(1+2.78*('Cálculos'!$E$198+(($C143)-$A$120:$A$165)*'Cálculos'!$E$98)/(('Cálculos'!$E$198+(($C143)-$A$120:$A$165)*'Cálculos'!$E$98)+1400)+'Cálculos'!$E$122)*'Cálculos'!$E$246+'Cálculos'!$E$125*(1+2.78*('Cálculos'!$E$198+(($C143)-$A$120:$A$165)*'Cálculos'!$E$98)/(('Cálculos'!$E$198+(($C143)-$A$120:$A$165)*'Cálculos'!$E$98)+1400)+'Cálculos'!$E$123)*'Cálculos'!$E$251)+('Cálculos'!$E$204*(1+'Cálculos'!$E$205+$A$120:$A$165*('Cálculos'!$E$290=3)*'Cálculos'!$E$103)+'Cálculos'!$E$206)*('Cálculos'!$E$242+'Cálculos'!$E$124*(1+2.78*('Cálculos'!$E$198+(($C143)-$A$120:$A$165)*'Cálculos'!$E$98)/(('Cálculos'!$E$198+(($C143)-$A$120:$A$165)*'Cálculos'!$E$98)+1400)+'Cálculos'!$E$122)*'Cálculos'!$E$247+'Cálculos'!$E$125*(1+2.78*('Cálculos'!$E$198+(($C143)-$A$120:$A$165)*'Cálculos'!$E$98)/(('Cálculos'!$E$198+(($C143)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143)-$A$120:$A$165)*'Cálculos'!$E$98)/(('Cálculos'!$E$199+(($C143)-$A$120:$A$165)*'Cálculos'!$E$98)+1400)+'Cálculos'!$E$122)*'Cálculos'!$E$259+'Cálculos'!$E$125*(1+2.78*('Cálculos'!$E$199+(($C143)-$A$120:$A$165)*'Cálculos'!$E$98)/(('Cálculos'!$E$199+(($C143)-$A$120:$A$165)*'Cálculos'!$E$98)+1400)+'Cálculos'!$E$123)*'Cálculos'!$E$264)+('Cálculos'!$E$199+(($C143)-$A$120:$A$165)*'Cálculos'!$E$98)*('Cálculos'!$E$255+'Cálculos'!$E$124*(1+2.78*('Cálculos'!$E$199+(($C143)-$A$120:$A$165)*'Cálculos'!$E$98)/(('Cálculos'!$E$199+(($C143)-$A$120:$A$165)*'Cálculos'!$E$98)+1400)+'Cálculos'!$E$122)*'Cálculos'!$E$260+'Cálculos'!$E$125*(1+2.78*('Cálculos'!$E$199+(($C143)-$A$120:$A$165)*'Cálculos'!$E$98)/(('Cálculos'!$E$199+(($C143)-$A$120:$A$165)*'Cálculos'!$E$98)+1400)+'Cálculos'!$E$123)*'Cálculos'!$E$265)+('Cálculos'!$E$201*(1+'Cálculos'!$E$202+$A$120:$A$165*('Cálculos'!$E$290=2)*'Cálculos'!$E$101)+'Cálculos'!$E$203)*('Cálculos'!$E$256+'Cálculos'!$E$124*(1+2.78*('Cálculos'!$E$199+(($C143)-$A$120:$A$165)*'Cálculos'!$E$98)/(('Cálculos'!$E$199+(($C143)-$A$120:$A$165)*'Cálculos'!$E$98)+1400)+'Cálculos'!$E$122)*'Cálculos'!$E$261+'Cálculos'!$E$125*(1+2.78*('Cálculos'!$E$199+(($C143)-$A$120:$A$165)*'Cálculos'!$E$98)/(('Cálculos'!$E$199+(($C143)-$A$120:$A$165)*'Cálculos'!$E$98)+1400)+'Cálculos'!$E$123)*'Cálculos'!$E$266)+('Cálculos'!$E$204*(1+'Cálculos'!$E$205+$A$120:$A$165*('Cálculos'!$E$290=3)*'Cálculos'!$E$103)+'Cálculos'!$E$206)*('Cálculos'!$E$257+'Cálculos'!$E$124*(1+2.78*('Cálculos'!$E$199+(($C143)-$A$120:$A$165)*'Cálculos'!$E$98)/(('Cálculos'!$E$199+(($C143)-$A$120:$A$165)*'Cálculos'!$E$98)+1400)+'Cálculos'!$E$122)*'Cálculos'!$E$262+'Cálculos'!$E$125*(1+2.78*('Cálculos'!$E$199+(($C143)-$A$120:$A$165)*'Cálculos'!$E$98)/(('Cálculos'!$E$199+(($C143)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143)-$A$120:$A$165)*'Cálculos'!$E$98)/(('Cálculos'!$E$200+(($C143)-$A$120:$A$165)*'Cálculos'!$E$98)+1400)+'Cálculos'!$E$122)*'Cálculos'!$E$274+'Cálculos'!$E$125*(1+2.78*('Cálculos'!$E$200+(($C143)-$A$120:$A$165)*'Cálculos'!$E$98)/(('Cálculos'!$E$200+(($C143)-$A$120:$A$165)*'Cálculos'!$E$98)+1400)+'Cálculos'!$E$123)*'Cálculos'!$E$279)+('Cálculos'!$E$200+(($C143)-$A$120:$A$165)*'Cálculos'!$E$98)*('Cálculos'!$E$270+'Cálculos'!$E$124*(1+2.78*('Cálculos'!$E$200+(($C143)-$A$120:$A$165)*'Cálculos'!$E$98)/(('Cálculos'!$E$200+(($C143)-$A$120:$A$165)*'Cálculos'!$E$98)+1400)+'Cálculos'!$E$122)*'Cálculos'!$E$275+'Cálculos'!$E$125*(1+2.78*('Cálculos'!$E$200+(($C143)-$A$120:$A$165)*'Cálculos'!$E$98)/(('Cálculos'!$E$200+(($C143)-$A$120:$A$165)*'Cálculos'!$E$98)+1400)+'Cálculos'!$E$123)*'Cálculos'!$E$280)+('Cálculos'!$E$201*(1+'Cálculos'!$E$202+$A$120:$A$165*('Cálculos'!$E$290=2)*'Cálculos'!$E$101)+'Cálculos'!$E$203)*('Cálculos'!$E$271+'Cálculos'!$E$124*(1+2.78*('Cálculos'!$E$200+(($C143)-$A$120:$A$165)*'Cálculos'!$E$98)/(('Cálculos'!$E$200+(($C143)-$A$120:$A$165)*'Cálculos'!$E$98)+1400)+'Cálculos'!$E$122)*'Cálculos'!$E$276+'Cálculos'!$E$125*(1+2.78*('Cálculos'!$E$200+(($C143)-$A$120:$A$165)*'Cálculos'!$E$98)/(('Cálculos'!$E$200+(($C143)-$A$120:$A$165)*'Cálculos'!$E$98)+1400)+'Cálculos'!$E$123)*'Cálculos'!$E$281)+('Cálculos'!$E$204*(1+'Cálculos'!$E$205+$A$120:$A$165*('Cálculos'!$E$290=3)*'Cálculos'!$E$103)+'Cálculos'!$E$206)*('Cálculos'!$E$272+'Cálculos'!$E$124*(1+2.78*('Cálculos'!$E$200+(($C143)-$A$120:$A$165)*'Cálculos'!$E$98)/(('Cálculos'!$E$200+(($C143)-$A$120:$A$165)*'Cálculos'!$E$98)+1400)+'Cálculos'!$E$122)*'Cálculos'!$E$277+'Cálculos'!$E$125*(1+2.78*('Cálculos'!$E$200+(($C143)-$A$120:$A$165)*'Cálculos'!$E$98)/(('Cálculos'!$E$200+(($C143)-$A$120:$A$165)*'Cálculos'!$E$98)+1400)+'Cálculos'!$E$123)*'Cálculos'!$E$282)))))</f>
        <v>0</v>
      </c>
      <c r="E143" s="32">
        <f>IF(OR($C143&lt;0,'Cálculos'!$E$6=""),0,$B143*$D143)</f>
        <v>0</v>
      </c>
      <c r="F143" s="2"/>
      <c r="G143" s="30">
        <f>($A143&lt;=$B$167)*($A143&lt;='Cálculos'!$E$294)*(($B$167)-$A143&lt;='Cálculos'!$E$295)*(1+MIN(('Cálculos'!$E$207+$A143*'Cálculos'!$E$95),1)*('Cálculos'!$E$208+(($B$167)-$A143)*'Cálculos'!$E$96))</f>
        <v>0</v>
      </c>
      <c r="H143" s="31">
        <f>IF($B$168&lt;0,0,($A143&lt;=$B$168)*($A143&lt;='Cálculos'!$E$301)*(($B$168)-$A143&lt;='Cálculos'!$E$297)*(('Cálculos'!$E$185*(1+'Cálculos'!$E$186+$A143*('Cálculos'!$E$290=1)*'Cálculos'!$E$97+'Cálculos'!$E$305)+'Cálculos'!$E$191)*('Cálculos'!$E$209+'Cálculos'!$E$124*(1+2.78*('Cálculos'!$E$196+(($B$168)-$A143)*'Cálculos'!$E$98)/(('Cálculos'!$E$196+(($B$168)-$A143)*'Cálculos'!$E$98)+1400)+'Cálculos'!$E$122)*'Cálculos'!$E$214+'Cálculos'!$E$125*(1+2.78*('Cálculos'!$E$196+(($B$168)-$A143)*'Cálculos'!$E$98)/(('Cálculos'!$E$196+(($B$168)-$A143)*'Cálculos'!$E$98)+1400)+'Cálculos'!$E$123)*'Cálculos'!$E$219)+('Cálculos'!$E$196+(($B$168)-$A143)*'Cálculos'!$E$98)*('Cálculos'!$E$210+'Cálculos'!$E$124*(1+2.78*('Cálculos'!$E$196+(($B$168)-$A143)*'Cálculos'!$E$98)/(('Cálculos'!$E$196+(($B$168)-$A143)*'Cálculos'!$E$98)+1400)+'Cálculos'!$E$122)*'Cálculos'!$E$215+'Cálculos'!$E$125*(1+2.78*('Cálculos'!$E$196+(($B$168)-$A143)*'Cálculos'!$E$98)/(('Cálculos'!$E$196+(($B$168)-$A143)*'Cálculos'!$E$98)+1400)+'Cálculos'!$E$123)*'Cálculos'!$E$220)+('Cálculos'!$E$201*(1+'Cálculos'!$E$202+$A143*('Cálculos'!$E$290=2)*'Cálculos'!$E$101)+'Cálculos'!$E$203)*('Cálculos'!$E$211+'Cálculos'!$E$124*(1+2.78*('Cálculos'!$E$196+(($B$168)-$A143)*'Cálculos'!$E$98)/(('Cálculos'!$E$196+(($B$168)-$A143)*'Cálculos'!$E$98)+1400)+'Cálculos'!$E$122)*'Cálculos'!$E$216+'Cálculos'!$E$125*(1+2.78*('Cálculos'!$E$196+(($B$168)-$A143)*'Cálculos'!$E$98)/(('Cálculos'!$E$196+(($B$168)-$A143)*'Cálculos'!$E$98)+1400)+'Cálculos'!$E$123)*'Cálculos'!$E$221)+('Cálculos'!$E$204*(1+'Cálculos'!$E$205+$A143*('Cálculos'!$E$290=3)*'Cálculos'!$E$103)+'Cálculos'!$E$206)*('Cálculos'!$E$212+'Cálculos'!$E$124*(1+2.78*('Cálculos'!$E$196+(($B$168)-$A143)*'Cálculos'!$E$98)/(('Cálculos'!$E$196+(($B$168)-$A143)*'Cálculos'!$E$98)+1400)+'Cálculos'!$E$122)*'Cálculos'!$E$217+'Cálculos'!$E$125*(1+2.78*('Cálculos'!$E$196+(($B$168)-$A143)*'Cálculos'!$E$98)/(('Cálculos'!$E$196+(($B$168)-$A143)*'Cálculos'!$E$98)+1400)+'Cálculos'!$E$123)*'Cálculos'!$E$222)+('Cálculos'!$E$185*(1+'Cálculos'!$E$187+$A143*('Cálculos'!$E$290=1)*'Cálculos'!$E$97+'Cálculos'!$E$305)+'Cálculos'!$E$192)*('Cálculos'!$E$224+'Cálculos'!$E$124*(1+2.78*('Cálculos'!$E$197+(($B$168)-$A143)*'Cálculos'!$E$98)/(('Cálculos'!$E$197+(($B$168)-$A143)*'Cálculos'!$E$98)+1400)+'Cálculos'!$E$122)*'Cálculos'!$E$229+'Cálculos'!$E$125*(1+2.78*('Cálculos'!$E$197+(($B$168)-$A143)*'Cálculos'!$E$98)/(('Cálculos'!$E$197+(($B$168)-$A143)*'Cálculos'!$E$98)+1400)+'Cálculos'!$E$123)*'Cálculos'!$E$234)+('Cálculos'!$E$197+(($B$168)-$A143)*'Cálculos'!$E$98)*('Cálculos'!$E$225+'Cálculos'!$E$124*(1+2.78*('Cálculos'!$E$197+(($B$168)-$A143)*'Cálculos'!$E$98)/(('Cálculos'!$E$197+(($B$168)-$A143)*'Cálculos'!$E$98)+1400)+'Cálculos'!$E$122)*'Cálculos'!$E$230+'Cálculos'!$E$125*(1+2.78*('Cálculos'!$E$197+(($B$168)-$A143)*'Cálculos'!$E$98)/(('Cálculos'!$E$197+(($B$168)-$A143)*'Cálculos'!$E$98)+1400)+'Cálculos'!$E$123)*'Cálculos'!$E$235)+('Cálculos'!$E$201*(1+'Cálculos'!$E$202+$A143*('Cálculos'!$E$290=2)*'Cálculos'!$E$101)+'Cálculos'!$E$203)*('Cálculos'!$E$226+'Cálculos'!$E$124*(1+2.78*('Cálculos'!$E$197+(($B$168)-$A143)*'Cálculos'!$E$98)/(('Cálculos'!$E$197+(($B$168)-$A143)*'Cálculos'!$E$98)+1400)+'Cálculos'!$E$122)*'Cálculos'!$E$231+'Cálculos'!$E$125*(1+2.78*('Cálculos'!$E$197+(($B$168)-$A143)*'Cálculos'!$E$98)/(('Cálculos'!$E$197+(($B$168)-$A143)*'Cálculos'!$E$98)+1400)+'Cálculos'!$E$123)*'Cálculos'!$E$236)+('Cálculos'!$E$204*(1+'Cálculos'!$E$205+$A143*('Cálculos'!$E$290=3)*'Cálculos'!$E$103)+'Cálculos'!$E$206)*('Cálculos'!$E$227+'Cálculos'!$E$124*(1+2.78*('Cálculos'!$E$197+(($B$168)-$A143)*'Cálculos'!$E$98)/(('Cálculos'!$E$197+(($B$168)-$A143)*'Cálculos'!$E$98)+1400)+'Cálculos'!$E$122)*'Cálculos'!$E$232+'Cálculos'!$E$125*(1+2.78*('Cálculos'!$E$197+(($B$168)-$A143)*'Cálculos'!$E$98)/(('Cálculos'!$E$197+(($B$168)-$A143)*'Cálculos'!$E$98)+1400)+'Cálculos'!$E$123)*'Cálculos'!$E$237)+('Cálculos'!$E$185*(1+'Cálculos'!$E$188+$A143*('Cálculos'!$E$290=1)*'Cálculos'!$E$97+'Cálculos'!$E$305)+'Cálculos'!$E$193)*('Cálculos'!$E$239+'Cálculos'!$E$124*(1+2.78*('Cálculos'!$E$198+(($B$168)-$A143)*'Cálculos'!$E$98)/(('Cálculos'!$E$198+(($B$168)-$A143)*'Cálculos'!$E$98)+1400)+'Cálculos'!$E$122)*'Cálculos'!$E$244+'Cálculos'!$E$125*(1+2.78*('Cálculos'!$E$198+(($B$168)-$A143)*'Cálculos'!$E$98)/(('Cálculos'!$E$198+(($B$168)-$A143)*'Cálculos'!$E$98)+1400)+'Cálculos'!$E$123)*'Cálculos'!$E$249)+('Cálculos'!$E$198+(($B$168)-$A143)*'Cálculos'!$E$98)*('Cálculos'!$E$240+'Cálculos'!$E$124*(1+2.78*('Cálculos'!$E$198+(($B$168)-$A143)*'Cálculos'!$E$98)/(('Cálculos'!$E$198+(($B$168)-$A143)*'Cálculos'!$E$98)+1400)+'Cálculos'!$E$122)*'Cálculos'!$E$245+'Cálculos'!$E$125*(1+2.78*('Cálculos'!$E$198+(($B$168)-$A143)*'Cálculos'!$E$98)/(('Cálculos'!$E$198+(($B$168)-$A143)*'Cálculos'!$E$98)+1400)+'Cálculos'!$E$123)*'Cálculos'!$E$250)+('Cálculos'!$E$201*(1+'Cálculos'!$E$202+$A143*('Cálculos'!$E$290=2)*'Cálculos'!$E$101)+'Cálculos'!$E$203)*('Cálculos'!$E$241+'Cálculos'!$E$124*(1+2.78*('Cálculos'!$E$198+(($B$168)-$A143)*'Cálculos'!$E$98)/(('Cálculos'!$E$198+(($B$168)-$A143)*'Cálculos'!$E$98)+1400)+'Cálculos'!$E$122)*'Cálculos'!$E$246+'Cálculos'!$E$125*(1+2.78*('Cálculos'!$E$198+(($B$168)-$A143)*'Cálculos'!$E$98)/(('Cálculos'!$E$198+(($B$168)-$A143)*'Cálculos'!$E$98)+1400)+'Cálculos'!$E$123)*'Cálculos'!$E$251)+('Cálculos'!$E$204*(1+'Cálculos'!$E$205+$A143*('Cálculos'!$E$290=3)*'Cálculos'!$E$103)+'Cálculos'!$E$206)*('Cálculos'!$E$242+'Cálculos'!$E$124*(1+2.78*('Cálculos'!$E$198+(($B$168)-$A143)*'Cálculos'!$E$98)/(('Cálculos'!$E$198+(($B$168)-$A143)*'Cálculos'!$E$98)+1400)+'Cálculos'!$E$122)*'Cálculos'!$E$247+'Cálculos'!$E$125*(1+2.78*('Cálculos'!$E$198+(($B$168)-$A143)*'Cálculos'!$E$98)/(('Cálculos'!$E$198+(($B$168)-$A143)*'Cálculos'!$E$98)+1400)+'Cálculos'!$E$123)*'Cálculos'!$E$252)+('Cálculos'!$E$185*(1+'Cálculos'!$E$189+$A143*('Cálculos'!$E$290=1)*'Cálculos'!$E$97+'Cálculos'!$E$305)+'Cálculos'!$E$194)*('Cálculos'!$E$254+'Cálculos'!$E$124*(1+2.78*('Cálculos'!$E$199+(($B$168)-$A143)*'Cálculos'!$E$98)/(('Cálculos'!$E$199+(($B$168)-$A143)*'Cálculos'!$E$98)+1400)+'Cálculos'!$E$122)*'Cálculos'!$E$259+'Cálculos'!$E$125*(1+2.78*('Cálculos'!$E$199+(($B$168)-$A143)*'Cálculos'!$E$98)/(('Cálculos'!$E$199+(($B$168)-$A143)*'Cálculos'!$E$98)+1400)+'Cálculos'!$E$123)*'Cálculos'!$E$264)+('Cálculos'!$E$199+(($B$168)-$A143)*'Cálculos'!$E$98)*('Cálculos'!$E$255+'Cálculos'!$E$124*(1+2.78*('Cálculos'!$E$199+(($B$168)-$A143)*'Cálculos'!$E$98)/(('Cálculos'!$E$199+(($B$168)-$A143)*'Cálculos'!$E$98)+1400)+'Cálculos'!$E$122)*'Cálculos'!$E$260+'Cálculos'!$E$125*(1+2.78*('Cálculos'!$E$199+(($B$168)-$A143)*'Cálculos'!$E$98)/(('Cálculos'!$E$199+(($B$168)-$A143)*'Cálculos'!$E$98)+1400)+'Cálculos'!$E$123)*'Cálculos'!$E$265)+('Cálculos'!$E$201*(1+'Cálculos'!$E$202+$A143*('Cálculos'!$E$290=2)*'Cálculos'!$E$101)+'Cálculos'!$E$203)*('Cálculos'!$E$256+'Cálculos'!$E$124*(1+2.78*('Cálculos'!$E$199+(($B$168)-$A143)*'Cálculos'!$E$98)/(('Cálculos'!$E$199+(($B$168)-$A143)*'Cálculos'!$E$98)+1400)+'Cálculos'!$E$122)*'Cálculos'!$E$261+'Cálculos'!$E$125*(1+2.78*('Cálculos'!$E$199+(($B$168)-$A143)*'Cálculos'!$E$98)/(('Cálculos'!$E$199+(($B$168)-$A143)*'Cálculos'!$E$98)+1400)+'Cálculos'!$E$123)*'Cálculos'!$E$266)+('Cálculos'!$E$204*(1+'Cálculos'!$E$205+$A143*('Cálculos'!$E$290=3)*'Cálculos'!$E$103)+'Cálculos'!$E$206)*('Cálculos'!$E$257+'Cálculos'!$E$124*(1+2.78*('Cálculos'!$E$199+(($B$168)-$A143)*'Cálculos'!$E$98)/(('Cálculos'!$E$199+(($B$168)-$A143)*'Cálculos'!$E$98)+1400)+'Cálculos'!$E$122)*'Cálculos'!$E$262+'Cálculos'!$E$125*(1+2.78*('Cálculos'!$E$199+(($B$168)-$A143)*'Cálculos'!$E$98)/(('Cálculos'!$E$199+(($B$168)-$A143)*'Cálculos'!$E$98)+1400)+'Cálculos'!$E$123)*'Cálculos'!$E$267)+('Cálculos'!$E$185*(1+'Cálculos'!$E$190+$A143*('Cálculos'!$E$290=1)*'Cálculos'!$E$97+'Cálculos'!$E$305)+'Cálculos'!$E$195)*('Cálculos'!$E$269+'Cálculos'!$E$124*(1+2.78*('Cálculos'!$E$200+(($B$168)-$A143)*'Cálculos'!$E$98)/(('Cálculos'!$E$200+(($B$168)-$A143)*'Cálculos'!$E$98)+1400)+'Cálculos'!$E$122)*'Cálculos'!$E$274+'Cálculos'!$E$125*(1+2.78*('Cálculos'!$E$200+(($B$168)-$A143)*'Cálculos'!$E$98)/(('Cálculos'!$E$200+(($B$168)-$A143)*'Cálculos'!$E$98)+1400)+'Cálculos'!$E$123)*'Cálculos'!$E$279)+('Cálculos'!$E$200+(($B$168)-$A143)*'Cálculos'!$E$98)*('Cálculos'!$E$270+'Cálculos'!$E$124*(1+2.78*('Cálculos'!$E$200+(($B$168)-$A143)*'Cálculos'!$E$98)/(('Cálculos'!$E$200+(($B$168)-$A143)*'Cálculos'!$E$98)+1400)+'Cálculos'!$E$122)*'Cálculos'!$E$275+'Cálculos'!$E$125*(1+2.78*('Cálculos'!$E$200+(($B$168)-$A143)*'Cálculos'!$E$98)/(('Cálculos'!$E$200+(($B$168)-$A143)*'Cálculos'!$E$98)+1400)+'Cálculos'!$E$123)*'Cálculos'!$E$280)+('Cálculos'!$E$201*(1+'Cálculos'!$E$202+$A143*('Cálculos'!$E$290=2)*'Cálculos'!$E$101)+'Cálculos'!$E$203)*('Cálculos'!$E$271+'Cálculos'!$E$124*(1+2.78*('Cálculos'!$E$200+(($B$168)-$A143)*'Cálculos'!$E$98)/(('Cálculos'!$E$200+(($B$168)-$A143)*'Cálculos'!$E$98)+1400)+'Cálculos'!$E$122)*'Cálculos'!$E$276+'Cálculos'!$E$125*(1+2.78*('Cálculos'!$E$200+(($B$168)-$A143)*'Cálculos'!$E$98)/(('Cálculos'!$E$200+(($B$168)-$A143)*'Cálculos'!$E$98)+1400)+'Cálculos'!$E$123)*'Cálculos'!$E$281)+('Cálculos'!$E$204*(1+'Cálculos'!$E$205+$A143*('Cálculos'!$E$290=3)*'Cálculos'!$E$103)+'Cálculos'!$E$206)*('Cálculos'!$E$272+'Cálculos'!$E$124*(1+2.78*('Cálculos'!$E$200+(($B$168)-$A143)*'Cálculos'!$E$98)/(('Cálculos'!$E$200+(($B$168)-$A143)*'Cálculos'!$E$98)+1400)+'Cálculos'!$E$122)*'Cálculos'!$E$277+'Cálculos'!$E$125*(1+2.78*('Cálculos'!$E$200+(($B$168)-$A143)*'Cálculos'!$E$98)/(('Cálculos'!$E$200+(($B$168)-$A143)*'Cálculos'!$E$98)+1400)+'Cálculos'!$E$123)*'Cálculos'!$E$282)))</f>
        <v>0</v>
      </c>
    </row>
    <row r="144" ht="15.75" customHeight="1">
      <c r="A144" s="2">
        <v>24.0</v>
      </c>
      <c r="B144" s="30">
        <f>SUMPRODUCT(MAX(($A$120:$A$165&lt;=$A144)*($A$120:$A$165&lt;='Cálculos'!$E$294)*(($A144)-$A$120:$A$165&lt;='Cálculos'!$E$295)*(1+(('Cálculos'!$E$207+$A$120:$A$165*'Cálculos'!$E$95)-(('Cálculos'!$E$207+$A$120:$A$165*'Cálculos'!$E$95)&gt;1)*(('Cálculos'!$E$207+$A$120:$A$165*'Cálculos'!$E$95)-1))*('Cálculos'!$E$208+(($A144)-$A$120:$A$165)*'Cálculos'!$E$96))))</f>
        <v>2.177892</v>
      </c>
      <c r="C144" s="2">
        <f>'Cálculos'!$E$303-$A144</f>
        <v>-11</v>
      </c>
      <c r="D144" s="31">
        <f>IF($C144&lt;0,0,SUMPRODUCT(MAX(($A$120:$A$165&lt;=$C144)*($A$120:$A$165&lt;='Cálculos'!$E$301)*(($C144)-$A$120:$A$165&lt;='Cálculos'!$E$297)*(('Cálculos'!$E$185*(1+'Cálculos'!$E$186+$A$120:$A$165*('Cálculos'!$E$290=1)*'Cálculos'!$E$97+'Cálculos'!$E$305)+'Cálculos'!$E$191)*('Cálculos'!$E$209+'Cálculos'!$E$124*(1+2.78*('Cálculos'!$E$196+(($C144)-$A$120:$A$165)*'Cálculos'!$E$98)/(('Cálculos'!$E$196+(($C144)-$A$120:$A$165)*'Cálculos'!$E$98)+1400)+'Cálculos'!$E$122)*'Cálculos'!$E$214+'Cálculos'!$E$125*(1+2.78*('Cálculos'!$E$196+(($C144)-$A$120:$A$165)*'Cálculos'!$E$98)/(('Cálculos'!$E$196+(($C144)-$A$120:$A$165)*'Cálculos'!$E$98)+1400)+'Cálculos'!$E$123)*'Cálculos'!$E$219)+('Cálculos'!$E$196+(($C144)-$A$120:$A$165)*'Cálculos'!$E$98)*('Cálculos'!$E$210+'Cálculos'!$E$124*(1+2.78*('Cálculos'!$E$196+(($C144)-$A$120:$A$165)*'Cálculos'!$E$98)/(('Cálculos'!$E$196+(($C144)-$A$120:$A$165)*'Cálculos'!$E$98)+1400)+'Cálculos'!$E$122)*'Cálculos'!$E$215+'Cálculos'!$E$125*(1+2.78*('Cálculos'!$E$196+(($C144)-$A$120:$A$165)*'Cálculos'!$E$98)/(('Cálculos'!$E$196+(($C144)-$A$120:$A$165)*'Cálculos'!$E$98)+1400)+'Cálculos'!$E$123)*'Cálculos'!$E$220)+('Cálculos'!$E$201*(1+'Cálculos'!$E$202+$A$120:$A$165*('Cálculos'!$E$290=2)*'Cálculos'!$E$101)+'Cálculos'!$E$203)*('Cálculos'!$E$211+'Cálculos'!$E$124*(1+2.78*('Cálculos'!$E$196+(($C144)-$A$120:$A$165)*'Cálculos'!$E$98)/(('Cálculos'!$E$196+(($C144)-$A$120:$A$165)*'Cálculos'!$E$98)+1400)+'Cálculos'!$E$122)*'Cálculos'!$E$216+'Cálculos'!$E$125*(1+2.78*('Cálculos'!$E$196+(($C144)-$A$120:$A$165)*'Cálculos'!$E$98)/(('Cálculos'!$E$196+(($C144)-$A$120:$A$165)*'Cálculos'!$E$98)+1400)+'Cálculos'!$E$123)*'Cálculos'!$E$221)+('Cálculos'!$E$204*(1+'Cálculos'!$E$205+$A$120:$A$165*('Cálculos'!$E$290=3)*'Cálculos'!$E$103)+'Cálculos'!$E$206)*('Cálculos'!$E$212+'Cálculos'!$E$124*(1+2.78*('Cálculos'!$E$196+(($C144)-$A$120:$A$165)*'Cálculos'!$E$98)/(('Cálculos'!$E$196+(($C144)-$A$120:$A$165)*'Cálculos'!$E$98)+1400)+'Cálculos'!$E$122)*'Cálculos'!$E$217+'Cálculos'!$E$125*(1+2.78*('Cálculos'!$E$196+(($C144)-$A$120:$A$165)*'Cálculos'!$E$98)/(('Cálculos'!$E$196+(($C144)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144)-$A$120:$A$165)*'Cálculos'!$E$98)/(('Cálculos'!$E$197+(($C144)-$A$120:$A$165)*'Cálculos'!$E$98)+1400)+'Cálculos'!$E$122)*'Cálculos'!$E$229+'Cálculos'!$E$125*(1+2.78*('Cálculos'!$E$197+(($C144)-$A$120:$A$165)*'Cálculos'!$E$98)/(('Cálculos'!$E$197+(($C144)-$A$120:$A$165)*'Cálculos'!$E$98)+1400)+'Cálculos'!$E$123)*'Cálculos'!$E$234)+('Cálculos'!$E$197+(($C144)-$A$120:$A$165)*'Cálculos'!$E$98)*('Cálculos'!$E$225+'Cálculos'!$E$124*(1+2.78*('Cálculos'!$E$197+(($C144)-$A$120:$A$165)*'Cálculos'!$E$98)/(('Cálculos'!$E$197+(($C144)-$A$120:$A$165)*'Cálculos'!$E$98)+1400)+'Cálculos'!$E$122)*'Cálculos'!$E$230+'Cálculos'!$E$125*(1+2.78*('Cálculos'!$E$197+(($C144)-$A$120:$A$165)*'Cálculos'!$E$98)/(('Cálculos'!$E$197+(($C144)-$A$120:$A$165)*'Cálculos'!$E$98)+1400)+'Cálculos'!$E$123)*'Cálculos'!$E$235)+('Cálculos'!$E$201*(1+'Cálculos'!$E$202+$A$120:$A$165*('Cálculos'!$E$290=2)*'Cálculos'!$E$101)+'Cálculos'!$E$203)*('Cálculos'!$E$226+'Cálculos'!$E$124*(1+2.78*('Cálculos'!$E$197+(($C144)-$A$120:$A$165)*'Cálculos'!$E$98)/(('Cálculos'!$E$197+(($C144)-$A$120:$A$165)*'Cálculos'!$E$98)+1400)+'Cálculos'!$E$122)*'Cálculos'!$E$231+'Cálculos'!$E$125*(1+2.78*('Cálculos'!$E$197+(($C144)-$A$120:$A$165)*'Cálculos'!$E$98)/(('Cálculos'!$E$197+(($C144)-$A$120:$A$165)*'Cálculos'!$E$98)+1400)+'Cálculos'!$E$123)*'Cálculos'!$E$236)+('Cálculos'!$E$204*(1+'Cálculos'!$E$205+$A$120:$A$165*('Cálculos'!$E$290=3)*'Cálculos'!$E$103)+'Cálculos'!$E$206)*('Cálculos'!$E$227+'Cálculos'!$E$124*(1+2.78*('Cálculos'!$E$197+(($C144)-$A$120:$A$165)*'Cálculos'!$E$98)/(('Cálculos'!$E$197+(($C144)-$A$120:$A$165)*'Cálculos'!$E$98)+1400)+'Cálculos'!$E$122)*'Cálculos'!$E$232+'Cálculos'!$E$125*(1+2.78*('Cálculos'!$E$197+(($C144)-$A$120:$A$165)*'Cálculos'!$E$98)/(('Cálculos'!$E$197+(($C144)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144)-$A$120:$A$165)*'Cálculos'!$E$98)/(('Cálculos'!$E$198+(($C144)-$A$120:$A$165)*'Cálculos'!$E$98)+1400)+'Cálculos'!$E$122)*'Cálculos'!$E$244+'Cálculos'!$E$125*(1+2.78*('Cálculos'!$E$198+(($C144)-$A$120:$A$165)*'Cálculos'!$E$98)/(('Cálculos'!$E$198+(($C144)-$A$120:$A$165)*'Cálculos'!$E$98)+1400)+'Cálculos'!$E$123)*'Cálculos'!$E$249)+('Cálculos'!$E$198+(($C144)-$A$120:$A$165)*'Cálculos'!$E$98)*('Cálculos'!$E$240+'Cálculos'!$E$124*(1+2.78*('Cálculos'!$E$198+(($C144)-$A$120:$A$165)*'Cálculos'!$E$98)/(('Cálculos'!$E$198+(($C144)-$A$120:$A$165)*'Cálculos'!$E$98)+1400)+'Cálculos'!$E$122)*'Cálculos'!$E$245+'Cálculos'!$E$125*(1+2.78*('Cálculos'!$E$198+(($C144)-$A$120:$A$165)*'Cálculos'!$E$98)/(('Cálculos'!$E$198+(($C144)-$A$120:$A$165)*'Cálculos'!$E$98)+1400)+'Cálculos'!$E$123)*'Cálculos'!$E$250)+('Cálculos'!$E$201*(1+'Cálculos'!$E$202+$A$120:$A$165*('Cálculos'!$E$290=2)*'Cálculos'!$E$101)+'Cálculos'!$E$203)*('Cálculos'!$E$241+'Cálculos'!$E$124*(1+2.78*('Cálculos'!$E$198+(($C144)-$A$120:$A$165)*'Cálculos'!$E$98)/(('Cálculos'!$E$198+(($C144)-$A$120:$A$165)*'Cálculos'!$E$98)+1400)+'Cálculos'!$E$122)*'Cálculos'!$E$246+'Cálculos'!$E$125*(1+2.78*('Cálculos'!$E$198+(($C144)-$A$120:$A$165)*'Cálculos'!$E$98)/(('Cálculos'!$E$198+(($C144)-$A$120:$A$165)*'Cálculos'!$E$98)+1400)+'Cálculos'!$E$123)*'Cálculos'!$E$251)+('Cálculos'!$E$204*(1+'Cálculos'!$E$205+$A$120:$A$165*('Cálculos'!$E$290=3)*'Cálculos'!$E$103)+'Cálculos'!$E$206)*('Cálculos'!$E$242+'Cálculos'!$E$124*(1+2.78*('Cálculos'!$E$198+(($C144)-$A$120:$A$165)*'Cálculos'!$E$98)/(('Cálculos'!$E$198+(($C144)-$A$120:$A$165)*'Cálculos'!$E$98)+1400)+'Cálculos'!$E$122)*'Cálculos'!$E$247+'Cálculos'!$E$125*(1+2.78*('Cálculos'!$E$198+(($C144)-$A$120:$A$165)*'Cálculos'!$E$98)/(('Cálculos'!$E$198+(($C144)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144)-$A$120:$A$165)*'Cálculos'!$E$98)/(('Cálculos'!$E$199+(($C144)-$A$120:$A$165)*'Cálculos'!$E$98)+1400)+'Cálculos'!$E$122)*'Cálculos'!$E$259+'Cálculos'!$E$125*(1+2.78*('Cálculos'!$E$199+(($C144)-$A$120:$A$165)*'Cálculos'!$E$98)/(('Cálculos'!$E$199+(($C144)-$A$120:$A$165)*'Cálculos'!$E$98)+1400)+'Cálculos'!$E$123)*'Cálculos'!$E$264)+('Cálculos'!$E$199+(($C144)-$A$120:$A$165)*'Cálculos'!$E$98)*('Cálculos'!$E$255+'Cálculos'!$E$124*(1+2.78*('Cálculos'!$E$199+(($C144)-$A$120:$A$165)*'Cálculos'!$E$98)/(('Cálculos'!$E$199+(($C144)-$A$120:$A$165)*'Cálculos'!$E$98)+1400)+'Cálculos'!$E$122)*'Cálculos'!$E$260+'Cálculos'!$E$125*(1+2.78*('Cálculos'!$E$199+(($C144)-$A$120:$A$165)*'Cálculos'!$E$98)/(('Cálculos'!$E$199+(($C144)-$A$120:$A$165)*'Cálculos'!$E$98)+1400)+'Cálculos'!$E$123)*'Cálculos'!$E$265)+('Cálculos'!$E$201*(1+'Cálculos'!$E$202+$A$120:$A$165*('Cálculos'!$E$290=2)*'Cálculos'!$E$101)+'Cálculos'!$E$203)*('Cálculos'!$E$256+'Cálculos'!$E$124*(1+2.78*('Cálculos'!$E$199+(($C144)-$A$120:$A$165)*'Cálculos'!$E$98)/(('Cálculos'!$E$199+(($C144)-$A$120:$A$165)*'Cálculos'!$E$98)+1400)+'Cálculos'!$E$122)*'Cálculos'!$E$261+'Cálculos'!$E$125*(1+2.78*('Cálculos'!$E$199+(($C144)-$A$120:$A$165)*'Cálculos'!$E$98)/(('Cálculos'!$E$199+(($C144)-$A$120:$A$165)*'Cálculos'!$E$98)+1400)+'Cálculos'!$E$123)*'Cálculos'!$E$266)+('Cálculos'!$E$204*(1+'Cálculos'!$E$205+$A$120:$A$165*('Cálculos'!$E$290=3)*'Cálculos'!$E$103)+'Cálculos'!$E$206)*('Cálculos'!$E$257+'Cálculos'!$E$124*(1+2.78*('Cálculos'!$E$199+(($C144)-$A$120:$A$165)*'Cálculos'!$E$98)/(('Cálculos'!$E$199+(($C144)-$A$120:$A$165)*'Cálculos'!$E$98)+1400)+'Cálculos'!$E$122)*'Cálculos'!$E$262+'Cálculos'!$E$125*(1+2.78*('Cálculos'!$E$199+(($C144)-$A$120:$A$165)*'Cálculos'!$E$98)/(('Cálculos'!$E$199+(($C144)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144)-$A$120:$A$165)*'Cálculos'!$E$98)/(('Cálculos'!$E$200+(($C144)-$A$120:$A$165)*'Cálculos'!$E$98)+1400)+'Cálculos'!$E$122)*'Cálculos'!$E$274+'Cálculos'!$E$125*(1+2.78*('Cálculos'!$E$200+(($C144)-$A$120:$A$165)*'Cálculos'!$E$98)/(('Cálculos'!$E$200+(($C144)-$A$120:$A$165)*'Cálculos'!$E$98)+1400)+'Cálculos'!$E$123)*'Cálculos'!$E$279)+('Cálculos'!$E$200+(($C144)-$A$120:$A$165)*'Cálculos'!$E$98)*('Cálculos'!$E$270+'Cálculos'!$E$124*(1+2.78*('Cálculos'!$E$200+(($C144)-$A$120:$A$165)*'Cálculos'!$E$98)/(('Cálculos'!$E$200+(($C144)-$A$120:$A$165)*'Cálculos'!$E$98)+1400)+'Cálculos'!$E$122)*'Cálculos'!$E$275+'Cálculos'!$E$125*(1+2.78*('Cálculos'!$E$200+(($C144)-$A$120:$A$165)*'Cálculos'!$E$98)/(('Cálculos'!$E$200+(($C144)-$A$120:$A$165)*'Cálculos'!$E$98)+1400)+'Cálculos'!$E$123)*'Cálculos'!$E$280)+('Cálculos'!$E$201*(1+'Cálculos'!$E$202+$A$120:$A$165*('Cálculos'!$E$290=2)*'Cálculos'!$E$101)+'Cálculos'!$E$203)*('Cálculos'!$E$271+'Cálculos'!$E$124*(1+2.78*('Cálculos'!$E$200+(($C144)-$A$120:$A$165)*'Cálculos'!$E$98)/(('Cálculos'!$E$200+(($C144)-$A$120:$A$165)*'Cálculos'!$E$98)+1400)+'Cálculos'!$E$122)*'Cálculos'!$E$276+'Cálculos'!$E$125*(1+2.78*('Cálculos'!$E$200+(($C144)-$A$120:$A$165)*'Cálculos'!$E$98)/(('Cálculos'!$E$200+(($C144)-$A$120:$A$165)*'Cálculos'!$E$98)+1400)+'Cálculos'!$E$123)*'Cálculos'!$E$281)+('Cálculos'!$E$204*(1+'Cálculos'!$E$205+$A$120:$A$165*('Cálculos'!$E$290=3)*'Cálculos'!$E$103)+'Cálculos'!$E$206)*('Cálculos'!$E$272+'Cálculos'!$E$124*(1+2.78*('Cálculos'!$E$200+(($C144)-$A$120:$A$165)*'Cálculos'!$E$98)/(('Cálculos'!$E$200+(($C144)-$A$120:$A$165)*'Cálculos'!$E$98)+1400)+'Cálculos'!$E$122)*'Cálculos'!$E$277+'Cálculos'!$E$125*(1+2.78*('Cálculos'!$E$200+(($C144)-$A$120:$A$165)*'Cálculos'!$E$98)/(('Cálculos'!$E$200+(($C144)-$A$120:$A$165)*'Cálculos'!$E$98)+1400)+'Cálculos'!$E$123)*'Cálculos'!$E$282)))))</f>
        <v>0</v>
      </c>
      <c r="E144" s="32">
        <f>IF(OR($C144&lt;0,'Cálculos'!$E$6=""),0,$B144*$D144)</f>
        <v>0</v>
      </c>
      <c r="F144" s="2"/>
      <c r="G144" s="30">
        <f>($A144&lt;=$B$167)*($A144&lt;='Cálculos'!$E$294)*(($B$167)-$A144&lt;='Cálculos'!$E$295)*(1+MIN(('Cálculos'!$E$207+$A144*'Cálculos'!$E$95),1)*('Cálculos'!$E$208+(($B$167)-$A144)*'Cálculos'!$E$96))</f>
        <v>0</v>
      </c>
      <c r="H144" s="31">
        <f>IF($B$168&lt;0,0,($A144&lt;=$B$168)*($A144&lt;='Cálculos'!$E$301)*(($B$168)-$A144&lt;='Cálculos'!$E$297)*(('Cálculos'!$E$185*(1+'Cálculos'!$E$186+$A144*('Cálculos'!$E$290=1)*'Cálculos'!$E$97+'Cálculos'!$E$305)+'Cálculos'!$E$191)*('Cálculos'!$E$209+'Cálculos'!$E$124*(1+2.78*('Cálculos'!$E$196+(($B$168)-$A144)*'Cálculos'!$E$98)/(('Cálculos'!$E$196+(($B$168)-$A144)*'Cálculos'!$E$98)+1400)+'Cálculos'!$E$122)*'Cálculos'!$E$214+'Cálculos'!$E$125*(1+2.78*('Cálculos'!$E$196+(($B$168)-$A144)*'Cálculos'!$E$98)/(('Cálculos'!$E$196+(($B$168)-$A144)*'Cálculos'!$E$98)+1400)+'Cálculos'!$E$123)*'Cálculos'!$E$219)+('Cálculos'!$E$196+(($B$168)-$A144)*'Cálculos'!$E$98)*('Cálculos'!$E$210+'Cálculos'!$E$124*(1+2.78*('Cálculos'!$E$196+(($B$168)-$A144)*'Cálculos'!$E$98)/(('Cálculos'!$E$196+(($B$168)-$A144)*'Cálculos'!$E$98)+1400)+'Cálculos'!$E$122)*'Cálculos'!$E$215+'Cálculos'!$E$125*(1+2.78*('Cálculos'!$E$196+(($B$168)-$A144)*'Cálculos'!$E$98)/(('Cálculos'!$E$196+(($B$168)-$A144)*'Cálculos'!$E$98)+1400)+'Cálculos'!$E$123)*'Cálculos'!$E$220)+('Cálculos'!$E$201*(1+'Cálculos'!$E$202+$A144*('Cálculos'!$E$290=2)*'Cálculos'!$E$101)+'Cálculos'!$E$203)*('Cálculos'!$E$211+'Cálculos'!$E$124*(1+2.78*('Cálculos'!$E$196+(($B$168)-$A144)*'Cálculos'!$E$98)/(('Cálculos'!$E$196+(($B$168)-$A144)*'Cálculos'!$E$98)+1400)+'Cálculos'!$E$122)*'Cálculos'!$E$216+'Cálculos'!$E$125*(1+2.78*('Cálculos'!$E$196+(($B$168)-$A144)*'Cálculos'!$E$98)/(('Cálculos'!$E$196+(($B$168)-$A144)*'Cálculos'!$E$98)+1400)+'Cálculos'!$E$123)*'Cálculos'!$E$221)+('Cálculos'!$E$204*(1+'Cálculos'!$E$205+$A144*('Cálculos'!$E$290=3)*'Cálculos'!$E$103)+'Cálculos'!$E$206)*('Cálculos'!$E$212+'Cálculos'!$E$124*(1+2.78*('Cálculos'!$E$196+(($B$168)-$A144)*'Cálculos'!$E$98)/(('Cálculos'!$E$196+(($B$168)-$A144)*'Cálculos'!$E$98)+1400)+'Cálculos'!$E$122)*'Cálculos'!$E$217+'Cálculos'!$E$125*(1+2.78*('Cálculos'!$E$196+(($B$168)-$A144)*'Cálculos'!$E$98)/(('Cálculos'!$E$196+(($B$168)-$A144)*'Cálculos'!$E$98)+1400)+'Cálculos'!$E$123)*'Cálculos'!$E$222)+('Cálculos'!$E$185*(1+'Cálculos'!$E$187+$A144*('Cálculos'!$E$290=1)*'Cálculos'!$E$97+'Cálculos'!$E$305)+'Cálculos'!$E$192)*('Cálculos'!$E$224+'Cálculos'!$E$124*(1+2.78*('Cálculos'!$E$197+(($B$168)-$A144)*'Cálculos'!$E$98)/(('Cálculos'!$E$197+(($B$168)-$A144)*'Cálculos'!$E$98)+1400)+'Cálculos'!$E$122)*'Cálculos'!$E$229+'Cálculos'!$E$125*(1+2.78*('Cálculos'!$E$197+(($B$168)-$A144)*'Cálculos'!$E$98)/(('Cálculos'!$E$197+(($B$168)-$A144)*'Cálculos'!$E$98)+1400)+'Cálculos'!$E$123)*'Cálculos'!$E$234)+('Cálculos'!$E$197+(($B$168)-$A144)*'Cálculos'!$E$98)*('Cálculos'!$E$225+'Cálculos'!$E$124*(1+2.78*('Cálculos'!$E$197+(($B$168)-$A144)*'Cálculos'!$E$98)/(('Cálculos'!$E$197+(($B$168)-$A144)*'Cálculos'!$E$98)+1400)+'Cálculos'!$E$122)*'Cálculos'!$E$230+'Cálculos'!$E$125*(1+2.78*('Cálculos'!$E$197+(($B$168)-$A144)*'Cálculos'!$E$98)/(('Cálculos'!$E$197+(($B$168)-$A144)*'Cálculos'!$E$98)+1400)+'Cálculos'!$E$123)*'Cálculos'!$E$235)+('Cálculos'!$E$201*(1+'Cálculos'!$E$202+$A144*('Cálculos'!$E$290=2)*'Cálculos'!$E$101)+'Cálculos'!$E$203)*('Cálculos'!$E$226+'Cálculos'!$E$124*(1+2.78*('Cálculos'!$E$197+(($B$168)-$A144)*'Cálculos'!$E$98)/(('Cálculos'!$E$197+(($B$168)-$A144)*'Cálculos'!$E$98)+1400)+'Cálculos'!$E$122)*'Cálculos'!$E$231+'Cálculos'!$E$125*(1+2.78*('Cálculos'!$E$197+(($B$168)-$A144)*'Cálculos'!$E$98)/(('Cálculos'!$E$197+(($B$168)-$A144)*'Cálculos'!$E$98)+1400)+'Cálculos'!$E$123)*'Cálculos'!$E$236)+('Cálculos'!$E$204*(1+'Cálculos'!$E$205+$A144*('Cálculos'!$E$290=3)*'Cálculos'!$E$103)+'Cálculos'!$E$206)*('Cálculos'!$E$227+'Cálculos'!$E$124*(1+2.78*('Cálculos'!$E$197+(($B$168)-$A144)*'Cálculos'!$E$98)/(('Cálculos'!$E$197+(($B$168)-$A144)*'Cálculos'!$E$98)+1400)+'Cálculos'!$E$122)*'Cálculos'!$E$232+'Cálculos'!$E$125*(1+2.78*('Cálculos'!$E$197+(($B$168)-$A144)*'Cálculos'!$E$98)/(('Cálculos'!$E$197+(($B$168)-$A144)*'Cálculos'!$E$98)+1400)+'Cálculos'!$E$123)*'Cálculos'!$E$237)+('Cálculos'!$E$185*(1+'Cálculos'!$E$188+$A144*('Cálculos'!$E$290=1)*'Cálculos'!$E$97+'Cálculos'!$E$305)+'Cálculos'!$E$193)*('Cálculos'!$E$239+'Cálculos'!$E$124*(1+2.78*('Cálculos'!$E$198+(($B$168)-$A144)*'Cálculos'!$E$98)/(('Cálculos'!$E$198+(($B$168)-$A144)*'Cálculos'!$E$98)+1400)+'Cálculos'!$E$122)*'Cálculos'!$E$244+'Cálculos'!$E$125*(1+2.78*('Cálculos'!$E$198+(($B$168)-$A144)*'Cálculos'!$E$98)/(('Cálculos'!$E$198+(($B$168)-$A144)*'Cálculos'!$E$98)+1400)+'Cálculos'!$E$123)*'Cálculos'!$E$249)+('Cálculos'!$E$198+(($B$168)-$A144)*'Cálculos'!$E$98)*('Cálculos'!$E$240+'Cálculos'!$E$124*(1+2.78*('Cálculos'!$E$198+(($B$168)-$A144)*'Cálculos'!$E$98)/(('Cálculos'!$E$198+(($B$168)-$A144)*'Cálculos'!$E$98)+1400)+'Cálculos'!$E$122)*'Cálculos'!$E$245+'Cálculos'!$E$125*(1+2.78*('Cálculos'!$E$198+(($B$168)-$A144)*'Cálculos'!$E$98)/(('Cálculos'!$E$198+(($B$168)-$A144)*'Cálculos'!$E$98)+1400)+'Cálculos'!$E$123)*'Cálculos'!$E$250)+('Cálculos'!$E$201*(1+'Cálculos'!$E$202+$A144*('Cálculos'!$E$290=2)*'Cálculos'!$E$101)+'Cálculos'!$E$203)*('Cálculos'!$E$241+'Cálculos'!$E$124*(1+2.78*('Cálculos'!$E$198+(($B$168)-$A144)*'Cálculos'!$E$98)/(('Cálculos'!$E$198+(($B$168)-$A144)*'Cálculos'!$E$98)+1400)+'Cálculos'!$E$122)*'Cálculos'!$E$246+'Cálculos'!$E$125*(1+2.78*('Cálculos'!$E$198+(($B$168)-$A144)*'Cálculos'!$E$98)/(('Cálculos'!$E$198+(($B$168)-$A144)*'Cálculos'!$E$98)+1400)+'Cálculos'!$E$123)*'Cálculos'!$E$251)+('Cálculos'!$E$204*(1+'Cálculos'!$E$205+$A144*('Cálculos'!$E$290=3)*'Cálculos'!$E$103)+'Cálculos'!$E$206)*('Cálculos'!$E$242+'Cálculos'!$E$124*(1+2.78*('Cálculos'!$E$198+(($B$168)-$A144)*'Cálculos'!$E$98)/(('Cálculos'!$E$198+(($B$168)-$A144)*'Cálculos'!$E$98)+1400)+'Cálculos'!$E$122)*'Cálculos'!$E$247+'Cálculos'!$E$125*(1+2.78*('Cálculos'!$E$198+(($B$168)-$A144)*'Cálculos'!$E$98)/(('Cálculos'!$E$198+(($B$168)-$A144)*'Cálculos'!$E$98)+1400)+'Cálculos'!$E$123)*'Cálculos'!$E$252)+('Cálculos'!$E$185*(1+'Cálculos'!$E$189+$A144*('Cálculos'!$E$290=1)*'Cálculos'!$E$97+'Cálculos'!$E$305)+'Cálculos'!$E$194)*('Cálculos'!$E$254+'Cálculos'!$E$124*(1+2.78*('Cálculos'!$E$199+(($B$168)-$A144)*'Cálculos'!$E$98)/(('Cálculos'!$E$199+(($B$168)-$A144)*'Cálculos'!$E$98)+1400)+'Cálculos'!$E$122)*'Cálculos'!$E$259+'Cálculos'!$E$125*(1+2.78*('Cálculos'!$E$199+(($B$168)-$A144)*'Cálculos'!$E$98)/(('Cálculos'!$E$199+(($B$168)-$A144)*'Cálculos'!$E$98)+1400)+'Cálculos'!$E$123)*'Cálculos'!$E$264)+('Cálculos'!$E$199+(($B$168)-$A144)*'Cálculos'!$E$98)*('Cálculos'!$E$255+'Cálculos'!$E$124*(1+2.78*('Cálculos'!$E$199+(($B$168)-$A144)*'Cálculos'!$E$98)/(('Cálculos'!$E$199+(($B$168)-$A144)*'Cálculos'!$E$98)+1400)+'Cálculos'!$E$122)*'Cálculos'!$E$260+'Cálculos'!$E$125*(1+2.78*('Cálculos'!$E$199+(($B$168)-$A144)*'Cálculos'!$E$98)/(('Cálculos'!$E$199+(($B$168)-$A144)*'Cálculos'!$E$98)+1400)+'Cálculos'!$E$123)*'Cálculos'!$E$265)+('Cálculos'!$E$201*(1+'Cálculos'!$E$202+$A144*('Cálculos'!$E$290=2)*'Cálculos'!$E$101)+'Cálculos'!$E$203)*('Cálculos'!$E$256+'Cálculos'!$E$124*(1+2.78*('Cálculos'!$E$199+(($B$168)-$A144)*'Cálculos'!$E$98)/(('Cálculos'!$E$199+(($B$168)-$A144)*'Cálculos'!$E$98)+1400)+'Cálculos'!$E$122)*'Cálculos'!$E$261+'Cálculos'!$E$125*(1+2.78*('Cálculos'!$E$199+(($B$168)-$A144)*'Cálculos'!$E$98)/(('Cálculos'!$E$199+(($B$168)-$A144)*'Cálculos'!$E$98)+1400)+'Cálculos'!$E$123)*'Cálculos'!$E$266)+('Cálculos'!$E$204*(1+'Cálculos'!$E$205+$A144*('Cálculos'!$E$290=3)*'Cálculos'!$E$103)+'Cálculos'!$E$206)*('Cálculos'!$E$257+'Cálculos'!$E$124*(1+2.78*('Cálculos'!$E$199+(($B$168)-$A144)*'Cálculos'!$E$98)/(('Cálculos'!$E$199+(($B$168)-$A144)*'Cálculos'!$E$98)+1400)+'Cálculos'!$E$122)*'Cálculos'!$E$262+'Cálculos'!$E$125*(1+2.78*('Cálculos'!$E$199+(($B$168)-$A144)*'Cálculos'!$E$98)/(('Cálculos'!$E$199+(($B$168)-$A144)*'Cálculos'!$E$98)+1400)+'Cálculos'!$E$123)*'Cálculos'!$E$267)+('Cálculos'!$E$185*(1+'Cálculos'!$E$190+$A144*('Cálculos'!$E$290=1)*'Cálculos'!$E$97+'Cálculos'!$E$305)+'Cálculos'!$E$195)*('Cálculos'!$E$269+'Cálculos'!$E$124*(1+2.78*('Cálculos'!$E$200+(($B$168)-$A144)*'Cálculos'!$E$98)/(('Cálculos'!$E$200+(($B$168)-$A144)*'Cálculos'!$E$98)+1400)+'Cálculos'!$E$122)*'Cálculos'!$E$274+'Cálculos'!$E$125*(1+2.78*('Cálculos'!$E$200+(($B$168)-$A144)*'Cálculos'!$E$98)/(('Cálculos'!$E$200+(($B$168)-$A144)*'Cálculos'!$E$98)+1400)+'Cálculos'!$E$123)*'Cálculos'!$E$279)+('Cálculos'!$E$200+(($B$168)-$A144)*'Cálculos'!$E$98)*('Cálculos'!$E$270+'Cálculos'!$E$124*(1+2.78*('Cálculos'!$E$200+(($B$168)-$A144)*'Cálculos'!$E$98)/(('Cálculos'!$E$200+(($B$168)-$A144)*'Cálculos'!$E$98)+1400)+'Cálculos'!$E$122)*'Cálculos'!$E$275+'Cálculos'!$E$125*(1+2.78*('Cálculos'!$E$200+(($B$168)-$A144)*'Cálculos'!$E$98)/(('Cálculos'!$E$200+(($B$168)-$A144)*'Cálculos'!$E$98)+1400)+'Cálculos'!$E$123)*'Cálculos'!$E$280)+('Cálculos'!$E$201*(1+'Cálculos'!$E$202+$A144*('Cálculos'!$E$290=2)*'Cálculos'!$E$101)+'Cálculos'!$E$203)*('Cálculos'!$E$271+'Cálculos'!$E$124*(1+2.78*('Cálculos'!$E$200+(($B$168)-$A144)*'Cálculos'!$E$98)/(('Cálculos'!$E$200+(($B$168)-$A144)*'Cálculos'!$E$98)+1400)+'Cálculos'!$E$122)*'Cálculos'!$E$276+'Cálculos'!$E$125*(1+2.78*('Cálculos'!$E$200+(($B$168)-$A144)*'Cálculos'!$E$98)/(('Cálculos'!$E$200+(($B$168)-$A144)*'Cálculos'!$E$98)+1400)+'Cálculos'!$E$123)*'Cálculos'!$E$281)+('Cálculos'!$E$204*(1+'Cálculos'!$E$205+$A144*('Cálculos'!$E$290=3)*'Cálculos'!$E$103)+'Cálculos'!$E$206)*('Cálculos'!$E$272+'Cálculos'!$E$124*(1+2.78*('Cálculos'!$E$200+(($B$168)-$A144)*'Cálculos'!$E$98)/(('Cálculos'!$E$200+(($B$168)-$A144)*'Cálculos'!$E$98)+1400)+'Cálculos'!$E$122)*'Cálculos'!$E$277+'Cálculos'!$E$125*(1+2.78*('Cálculos'!$E$200+(($B$168)-$A144)*'Cálculos'!$E$98)/(('Cálculos'!$E$200+(($B$168)-$A144)*'Cálculos'!$E$98)+1400)+'Cálculos'!$E$123)*'Cálculos'!$E$282)))</f>
        <v>0</v>
      </c>
    </row>
    <row r="145" ht="15.75" customHeight="1">
      <c r="A145" s="2">
        <v>25.0</v>
      </c>
      <c r="B145" s="30">
        <f>SUMPRODUCT(MAX(($A$120:$A$165&lt;=$A145)*($A$120:$A$165&lt;='Cálculos'!$E$294)*(($A145)-$A$120:$A$165&lt;='Cálculos'!$E$295)*(1+(('Cálculos'!$E$207+$A$120:$A$165*'Cálculos'!$E$95)-(('Cálculos'!$E$207+$A$120:$A$165*'Cálculos'!$E$95)&gt;1)*(('Cálculos'!$E$207+$A$120:$A$165*'Cálculos'!$E$95)-1))*('Cálculos'!$E$208+(($A145)-$A$120:$A$165)*'Cálculos'!$E$96))))</f>
        <v>2.22924</v>
      </c>
      <c r="C145" s="2">
        <f>'Cálculos'!$E$303-$A145</f>
        <v>-12</v>
      </c>
      <c r="D145" s="31">
        <f>IF($C145&lt;0,0,SUMPRODUCT(MAX(($A$120:$A$165&lt;=$C145)*($A$120:$A$165&lt;='Cálculos'!$E$301)*(($C145)-$A$120:$A$165&lt;='Cálculos'!$E$297)*(('Cálculos'!$E$185*(1+'Cálculos'!$E$186+$A$120:$A$165*('Cálculos'!$E$290=1)*'Cálculos'!$E$97+'Cálculos'!$E$305)+'Cálculos'!$E$191)*('Cálculos'!$E$209+'Cálculos'!$E$124*(1+2.78*('Cálculos'!$E$196+(($C145)-$A$120:$A$165)*'Cálculos'!$E$98)/(('Cálculos'!$E$196+(($C145)-$A$120:$A$165)*'Cálculos'!$E$98)+1400)+'Cálculos'!$E$122)*'Cálculos'!$E$214+'Cálculos'!$E$125*(1+2.78*('Cálculos'!$E$196+(($C145)-$A$120:$A$165)*'Cálculos'!$E$98)/(('Cálculos'!$E$196+(($C145)-$A$120:$A$165)*'Cálculos'!$E$98)+1400)+'Cálculos'!$E$123)*'Cálculos'!$E$219)+('Cálculos'!$E$196+(($C145)-$A$120:$A$165)*'Cálculos'!$E$98)*('Cálculos'!$E$210+'Cálculos'!$E$124*(1+2.78*('Cálculos'!$E$196+(($C145)-$A$120:$A$165)*'Cálculos'!$E$98)/(('Cálculos'!$E$196+(($C145)-$A$120:$A$165)*'Cálculos'!$E$98)+1400)+'Cálculos'!$E$122)*'Cálculos'!$E$215+'Cálculos'!$E$125*(1+2.78*('Cálculos'!$E$196+(($C145)-$A$120:$A$165)*'Cálculos'!$E$98)/(('Cálculos'!$E$196+(($C145)-$A$120:$A$165)*'Cálculos'!$E$98)+1400)+'Cálculos'!$E$123)*'Cálculos'!$E$220)+('Cálculos'!$E$201*(1+'Cálculos'!$E$202+$A$120:$A$165*('Cálculos'!$E$290=2)*'Cálculos'!$E$101)+'Cálculos'!$E$203)*('Cálculos'!$E$211+'Cálculos'!$E$124*(1+2.78*('Cálculos'!$E$196+(($C145)-$A$120:$A$165)*'Cálculos'!$E$98)/(('Cálculos'!$E$196+(($C145)-$A$120:$A$165)*'Cálculos'!$E$98)+1400)+'Cálculos'!$E$122)*'Cálculos'!$E$216+'Cálculos'!$E$125*(1+2.78*('Cálculos'!$E$196+(($C145)-$A$120:$A$165)*'Cálculos'!$E$98)/(('Cálculos'!$E$196+(($C145)-$A$120:$A$165)*'Cálculos'!$E$98)+1400)+'Cálculos'!$E$123)*'Cálculos'!$E$221)+('Cálculos'!$E$204*(1+'Cálculos'!$E$205+$A$120:$A$165*('Cálculos'!$E$290=3)*'Cálculos'!$E$103)+'Cálculos'!$E$206)*('Cálculos'!$E$212+'Cálculos'!$E$124*(1+2.78*('Cálculos'!$E$196+(($C145)-$A$120:$A$165)*'Cálculos'!$E$98)/(('Cálculos'!$E$196+(($C145)-$A$120:$A$165)*'Cálculos'!$E$98)+1400)+'Cálculos'!$E$122)*'Cálculos'!$E$217+'Cálculos'!$E$125*(1+2.78*('Cálculos'!$E$196+(($C145)-$A$120:$A$165)*'Cálculos'!$E$98)/(('Cálculos'!$E$196+(($C145)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145)-$A$120:$A$165)*'Cálculos'!$E$98)/(('Cálculos'!$E$197+(($C145)-$A$120:$A$165)*'Cálculos'!$E$98)+1400)+'Cálculos'!$E$122)*'Cálculos'!$E$229+'Cálculos'!$E$125*(1+2.78*('Cálculos'!$E$197+(($C145)-$A$120:$A$165)*'Cálculos'!$E$98)/(('Cálculos'!$E$197+(($C145)-$A$120:$A$165)*'Cálculos'!$E$98)+1400)+'Cálculos'!$E$123)*'Cálculos'!$E$234)+('Cálculos'!$E$197+(($C145)-$A$120:$A$165)*'Cálculos'!$E$98)*('Cálculos'!$E$225+'Cálculos'!$E$124*(1+2.78*('Cálculos'!$E$197+(($C145)-$A$120:$A$165)*'Cálculos'!$E$98)/(('Cálculos'!$E$197+(($C145)-$A$120:$A$165)*'Cálculos'!$E$98)+1400)+'Cálculos'!$E$122)*'Cálculos'!$E$230+'Cálculos'!$E$125*(1+2.78*('Cálculos'!$E$197+(($C145)-$A$120:$A$165)*'Cálculos'!$E$98)/(('Cálculos'!$E$197+(($C145)-$A$120:$A$165)*'Cálculos'!$E$98)+1400)+'Cálculos'!$E$123)*'Cálculos'!$E$235)+('Cálculos'!$E$201*(1+'Cálculos'!$E$202+$A$120:$A$165*('Cálculos'!$E$290=2)*'Cálculos'!$E$101)+'Cálculos'!$E$203)*('Cálculos'!$E$226+'Cálculos'!$E$124*(1+2.78*('Cálculos'!$E$197+(($C145)-$A$120:$A$165)*'Cálculos'!$E$98)/(('Cálculos'!$E$197+(($C145)-$A$120:$A$165)*'Cálculos'!$E$98)+1400)+'Cálculos'!$E$122)*'Cálculos'!$E$231+'Cálculos'!$E$125*(1+2.78*('Cálculos'!$E$197+(($C145)-$A$120:$A$165)*'Cálculos'!$E$98)/(('Cálculos'!$E$197+(($C145)-$A$120:$A$165)*'Cálculos'!$E$98)+1400)+'Cálculos'!$E$123)*'Cálculos'!$E$236)+('Cálculos'!$E$204*(1+'Cálculos'!$E$205+$A$120:$A$165*('Cálculos'!$E$290=3)*'Cálculos'!$E$103)+'Cálculos'!$E$206)*('Cálculos'!$E$227+'Cálculos'!$E$124*(1+2.78*('Cálculos'!$E$197+(($C145)-$A$120:$A$165)*'Cálculos'!$E$98)/(('Cálculos'!$E$197+(($C145)-$A$120:$A$165)*'Cálculos'!$E$98)+1400)+'Cálculos'!$E$122)*'Cálculos'!$E$232+'Cálculos'!$E$125*(1+2.78*('Cálculos'!$E$197+(($C145)-$A$120:$A$165)*'Cálculos'!$E$98)/(('Cálculos'!$E$197+(($C145)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145)-$A$120:$A$165)*'Cálculos'!$E$98)/(('Cálculos'!$E$198+(($C145)-$A$120:$A$165)*'Cálculos'!$E$98)+1400)+'Cálculos'!$E$122)*'Cálculos'!$E$244+'Cálculos'!$E$125*(1+2.78*('Cálculos'!$E$198+(($C145)-$A$120:$A$165)*'Cálculos'!$E$98)/(('Cálculos'!$E$198+(($C145)-$A$120:$A$165)*'Cálculos'!$E$98)+1400)+'Cálculos'!$E$123)*'Cálculos'!$E$249)+('Cálculos'!$E$198+(($C145)-$A$120:$A$165)*'Cálculos'!$E$98)*('Cálculos'!$E$240+'Cálculos'!$E$124*(1+2.78*('Cálculos'!$E$198+(($C145)-$A$120:$A$165)*'Cálculos'!$E$98)/(('Cálculos'!$E$198+(($C145)-$A$120:$A$165)*'Cálculos'!$E$98)+1400)+'Cálculos'!$E$122)*'Cálculos'!$E$245+'Cálculos'!$E$125*(1+2.78*('Cálculos'!$E$198+(($C145)-$A$120:$A$165)*'Cálculos'!$E$98)/(('Cálculos'!$E$198+(($C145)-$A$120:$A$165)*'Cálculos'!$E$98)+1400)+'Cálculos'!$E$123)*'Cálculos'!$E$250)+('Cálculos'!$E$201*(1+'Cálculos'!$E$202+$A$120:$A$165*('Cálculos'!$E$290=2)*'Cálculos'!$E$101)+'Cálculos'!$E$203)*('Cálculos'!$E$241+'Cálculos'!$E$124*(1+2.78*('Cálculos'!$E$198+(($C145)-$A$120:$A$165)*'Cálculos'!$E$98)/(('Cálculos'!$E$198+(($C145)-$A$120:$A$165)*'Cálculos'!$E$98)+1400)+'Cálculos'!$E$122)*'Cálculos'!$E$246+'Cálculos'!$E$125*(1+2.78*('Cálculos'!$E$198+(($C145)-$A$120:$A$165)*'Cálculos'!$E$98)/(('Cálculos'!$E$198+(($C145)-$A$120:$A$165)*'Cálculos'!$E$98)+1400)+'Cálculos'!$E$123)*'Cálculos'!$E$251)+('Cálculos'!$E$204*(1+'Cálculos'!$E$205+$A$120:$A$165*('Cálculos'!$E$290=3)*'Cálculos'!$E$103)+'Cálculos'!$E$206)*('Cálculos'!$E$242+'Cálculos'!$E$124*(1+2.78*('Cálculos'!$E$198+(($C145)-$A$120:$A$165)*'Cálculos'!$E$98)/(('Cálculos'!$E$198+(($C145)-$A$120:$A$165)*'Cálculos'!$E$98)+1400)+'Cálculos'!$E$122)*'Cálculos'!$E$247+'Cálculos'!$E$125*(1+2.78*('Cálculos'!$E$198+(($C145)-$A$120:$A$165)*'Cálculos'!$E$98)/(('Cálculos'!$E$198+(($C145)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145)-$A$120:$A$165)*'Cálculos'!$E$98)/(('Cálculos'!$E$199+(($C145)-$A$120:$A$165)*'Cálculos'!$E$98)+1400)+'Cálculos'!$E$122)*'Cálculos'!$E$259+'Cálculos'!$E$125*(1+2.78*('Cálculos'!$E$199+(($C145)-$A$120:$A$165)*'Cálculos'!$E$98)/(('Cálculos'!$E$199+(($C145)-$A$120:$A$165)*'Cálculos'!$E$98)+1400)+'Cálculos'!$E$123)*'Cálculos'!$E$264)+('Cálculos'!$E$199+(($C145)-$A$120:$A$165)*'Cálculos'!$E$98)*('Cálculos'!$E$255+'Cálculos'!$E$124*(1+2.78*('Cálculos'!$E$199+(($C145)-$A$120:$A$165)*'Cálculos'!$E$98)/(('Cálculos'!$E$199+(($C145)-$A$120:$A$165)*'Cálculos'!$E$98)+1400)+'Cálculos'!$E$122)*'Cálculos'!$E$260+'Cálculos'!$E$125*(1+2.78*('Cálculos'!$E$199+(($C145)-$A$120:$A$165)*'Cálculos'!$E$98)/(('Cálculos'!$E$199+(($C145)-$A$120:$A$165)*'Cálculos'!$E$98)+1400)+'Cálculos'!$E$123)*'Cálculos'!$E$265)+('Cálculos'!$E$201*(1+'Cálculos'!$E$202+$A$120:$A$165*('Cálculos'!$E$290=2)*'Cálculos'!$E$101)+'Cálculos'!$E$203)*('Cálculos'!$E$256+'Cálculos'!$E$124*(1+2.78*('Cálculos'!$E$199+(($C145)-$A$120:$A$165)*'Cálculos'!$E$98)/(('Cálculos'!$E$199+(($C145)-$A$120:$A$165)*'Cálculos'!$E$98)+1400)+'Cálculos'!$E$122)*'Cálculos'!$E$261+'Cálculos'!$E$125*(1+2.78*('Cálculos'!$E$199+(($C145)-$A$120:$A$165)*'Cálculos'!$E$98)/(('Cálculos'!$E$199+(($C145)-$A$120:$A$165)*'Cálculos'!$E$98)+1400)+'Cálculos'!$E$123)*'Cálculos'!$E$266)+('Cálculos'!$E$204*(1+'Cálculos'!$E$205+$A$120:$A$165*('Cálculos'!$E$290=3)*'Cálculos'!$E$103)+'Cálculos'!$E$206)*('Cálculos'!$E$257+'Cálculos'!$E$124*(1+2.78*('Cálculos'!$E$199+(($C145)-$A$120:$A$165)*'Cálculos'!$E$98)/(('Cálculos'!$E$199+(($C145)-$A$120:$A$165)*'Cálculos'!$E$98)+1400)+'Cálculos'!$E$122)*'Cálculos'!$E$262+'Cálculos'!$E$125*(1+2.78*('Cálculos'!$E$199+(($C145)-$A$120:$A$165)*'Cálculos'!$E$98)/(('Cálculos'!$E$199+(($C145)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145)-$A$120:$A$165)*'Cálculos'!$E$98)/(('Cálculos'!$E$200+(($C145)-$A$120:$A$165)*'Cálculos'!$E$98)+1400)+'Cálculos'!$E$122)*'Cálculos'!$E$274+'Cálculos'!$E$125*(1+2.78*('Cálculos'!$E$200+(($C145)-$A$120:$A$165)*'Cálculos'!$E$98)/(('Cálculos'!$E$200+(($C145)-$A$120:$A$165)*'Cálculos'!$E$98)+1400)+'Cálculos'!$E$123)*'Cálculos'!$E$279)+('Cálculos'!$E$200+(($C145)-$A$120:$A$165)*'Cálculos'!$E$98)*('Cálculos'!$E$270+'Cálculos'!$E$124*(1+2.78*('Cálculos'!$E$200+(($C145)-$A$120:$A$165)*'Cálculos'!$E$98)/(('Cálculos'!$E$200+(($C145)-$A$120:$A$165)*'Cálculos'!$E$98)+1400)+'Cálculos'!$E$122)*'Cálculos'!$E$275+'Cálculos'!$E$125*(1+2.78*('Cálculos'!$E$200+(($C145)-$A$120:$A$165)*'Cálculos'!$E$98)/(('Cálculos'!$E$200+(($C145)-$A$120:$A$165)*'Cálculos'!$E$98)+1400)+'Cálculos'!$E$123)*'Cálculos'!$E$280)+('Cálculos'!$E$201*(1+'Cálculos'!$E$202+$A$120:$A$165*('Cálculos'!$E$290=2)*'Cálculos'!$E$101)+'Cálculos'!$E$203)*('Cálculos'!$E$271+'Cálculos'!$E$124*(1+2.78*('Cálculos'!$E$200+(($C145)-$A$120:$A$165)*'Cálculos'!$E$98)/(('Cálculos'!$E$200+(($C145)-$A$120:$A$165)*'Cálculos'!$E$98)+1400)+'Cálculos'!$E$122)*'Cálculos'!$E$276+'Cálculos'!$E$125*(1+2.78*('Cálculos'!$E$200+(($C145)-$A$120:$A$165)*'Cálculos'!$E$98)/(('Cálculos'!$E$200+(($C145)-$A$120:$A$165)*'Cálculos'!$E$98)+1400)+'Cálculos'!$E$123)*'Cálculos'!$E$281)+('Cálculos'!$E$204*(1+'Cálculos'!$E$205+$A$120:$A$165*('Cálculos'!$E$290=3)*'Cálculos'!$E$103)+'Cálculos'!$E$206)*('Cálculos'!$E$272+'Cálculos'!$E$124*(1+2.78*('Cálculos'!$E$200+(($C145)-$A$120:$A$165)*'Cálculos'!$E$98)/(('Cálculos'!$E$200+(($C145)-$A$120:$A$165)*'Cálculos'!$E$98)+1400)+'Cálculos'!$E$122)*'Cálculos'!$E$277+'Cálculos'!$E$125*(1+2.78*('Cálculos'!$E$200+(($C145)-$A$120:$A$165)*'Cálculos'!$E$98)/(('Cálculos'!$E$200+(($C145)-$A$120:$A$165)*'Cálculos'!$E$98)+1400)+'Cálculos'!$E$123)*'Cálculos'!$E$282)))))</f>
        <v>0</v>
      </c>
      <c r="E145" s="32">
        <f>IF(OR($C145&lt;0,'Cálculos'!$E$6=""),0,$B145*$D145)</f>
        <v>0</v>
      </c>
      <c r="F145" s="2"/>
      <c r="G145" s="30">
        <f>($A145&lt;=$B$167)*($A145&lt;='Cálculos'!$E$294)*(($B$167)-$A145&lt;='Cálculos'!$E$295)*(1+MIN(('Cálculos'!$E$207+$A145*'Cálculos'!$E$95),1)*('Cálculos'!$E$208+(($B$167)-$A145)*'Cálculos'!$E$96))</f>
        <v>0</v>
      </c>
      <c r="H145" s="31">
        <f>IF($B$168&lt;0,0,($A145&lt;=$B$168)*($A145&lt;='Cálculos'!$E$301)*(($B$168)-$A145&lt;='Cálculos'!$E$297)*(('Cálculos'!$E$185*(1+'Cálculos'!$E$186+$A145*('Cálculos'!$E$290=1)*'Cálculos'!$E$97+'Cálculos'!$E$305)+'Cálculos'!$E$191)*('Cálculos'!$E$209+'Cálculos'!$E$124*(1+2.78*('Cálculos'!$E$196+(($B$168)-$A145)*'Cálculos'!$E$98)/(('Cálculos'!$E$196+(($B$168)-$A145)*'Cálculos'!$E$98)+1400)+'Cálculos'!$E$122)*'Cálculos'!$E$214+'Cálculos'!$E$125*(1+2.78*('Cálculos'!$E$196+(($B$168)-$A145)*'Cálculos'!$E$98)/(('Cálculos'!$E$196+(($B$168)-$A145)*'Cálculos'!$E$98)+1400)+'Cálculos'!$E$123)*'Cálculos'!$E$219)+('Cálculos'!$E$196+(($B$168)-$A145)*'Cálculos'!$E$98)*('Cálculos'!$E$210+'Cálculos'!$E$124*(1+2.78*('Cálculos'!$E$196+(($B$168)-$A145)*'Cálculos'!$E$98)/(('Cálculos'!$E$196+(($B$168)-$A145)*'Cálculos'!$E$98)+1400)+'Cálculos'!$E$122)*'Cálculos'!$E$215+'Cálculos'!$E$125*(1+2.78*('Cálculos'!$E$196+(($B$168)-$A145)*'Cálculos'!$E$98)/(('Cálculos'!$E$196+(($B$168)-$A145)*'Cálculos'!$E$98)+1400)+'Cálculos'!$E$123)*'Cálculos'!$E$220)+('Cálculos'!$E$201*(1+'Cálculos'!$E$202+$A145*('Cálculos'!$E$290=2)*'Cálculos'!$E$101)+'Cálculos'!$E$203)*('Cálculos'!$E$211+'Cálculos'!$E$124*(1+2.78*('Cálculos'!$E$196+(($B$168)-$A145)*'Cálculos'!$E$98)/(('Cálculos'!$E$196+(($B$168)-$A145)*'Cálculos'!$E$98)+1400)+'Cálculos'!$E$122)*'Cálculos'!$E$216+'Cálculos'!$E$125*(1+2.78*('Cálculos'!$E$196+(($B$168)-$A145)*'Cálculos'!$E$98)/(('Cálculos'!$E$196+(($B$168)-$A145)*'Cálculos'!$E$98)+1400)+'Cálculos'!$E$123)*'Cálculos'!$E$221)+('Cálculos'!$E$204*(1+'Cálculos'!$E$205+$A145*('Cálculos'!$E$290=3)*'Cálculos'!$E$103)+'Cálculos'!$E$206)*('Cálculos'!$E$212+'Cálculos'!$E$124*(1+2.78*('Cálculos'!$E$196+(($B$168)-$A145)*'Cálculos'!$E$98)/(('Cálculos'!$E$196+(($B$168)-$A145)*'Cálculos'!$E$98)+1400)+'Cálculos'!$E$122)*'Cálculos'!$E$217+'Cálculos'!$E$125*(1+2.78*('Cálculos'!$E$196+(($B$168)-$A145)*'Cálculos'!$E$98)/(('Cálculos'!$E$196+(($B$168)-$A145)*'Cálculos'!$E$98)+1400)+'Cálculos'!$E$123)*'Cálculos'!$E$222)+('Cálculos'!$E$185*(1+'Cálculos'!$E$187+$A145*('Cálculos'!$E$290=1)*'Cálculos'!$E$97+'Cálculos'!$E$305)+'Cálculos'!$E$192)*('Cálculos'!$E$224+'Cálculos'!$E$124*(1+2.78*('Cálculos'!$E$197+(($B$168)-$A145)*'Cálculos'!$E$98)/(('Cálculos'!$E$197+(($B$168)-$A145)*'Cálculos'!$E$98)+1400)+'Cálculos'!$E$122)*'Cálculos'!$E$229+'Cálculos'!$E$125*(1+2.78*('Cálculos'!$E$197+(($B$168)-$A145)*'Cálculos'!$E$98)/(('Cálculos'!$E$197+(($B$168)-$A145)*'Cálculos'!$E$98)+1400)+'Cálculos'!$E$123)*'Cálculos'!$E$234)+('Cálculos'!$E$197+(($B$168)-$A145)*'Cálculos'!$E$98)*('Cálculos'!$E$225+'Cálculos'!$E$124*(1+2.78*('Cálculos'!$E$197+(($B$168)-$A145)*'Cálculos'!$E$98)/(('Cálculos'!$E$197+(($B$168)-$A145)*'Cálculos'!$E$98)+1400)+'Cálculos'!$E$122)*'Cálculos'!$E$230+'Cálculos'!$E$125*(1+2.78*('Cálculos'!$E$197+(($B$168)-$A145)*'Cálculos'!$E$98)/(('Cálculos'!$E$197+(($B$168)-$A145)*'Cálculos'!$E$98)+1400)+'Cálculos'!$E$123)*'Cálculos'!$E$235)+('Cálculos'!$E$201*(1+'Cálculos'!$E$202+$A145*('Cálculos'!$E$290=2)*'Cálculos'!$E$101)+'Cálculos'!$E$203)*('Cálculos'!$E$226+'Cálculos'!$E$124*(1+2.78*('Cálculos'!$E$197+(($B$168)-$A145)*'Cálculos'!$E$98)/(('Cálculos'!$E$197+(($B$168)-$A145)*'Cálculos'!$E$98)+1400)+'Cálculos'!$E$122)*'Cálculos'!$E$231+'Cálculos'!$E$125*(1+2.78*('Cálculos'!$E$197+(($B$168)-$A145)*'Cálculos'!$E$98)/(('Cálculos'!$E$197+(($B$168)-$A145)*'Cálculos'!$E$98)+1400)+'Cálculos'!$E$123)*'Cálculos'!$E$236)+('Cálculos'!$E$204*(1+'Cálculos'!$E$205+$A145*('Cálculos'!$E$290=3)*'Cálculos'!$E$103)+'Cálculos'!$E$206)*('Cálculos'!$E$227+'Cálculos'!$E$124*(1+2.78*('Cálculos'!$E$197+(($B$168)-$A145)*'Cálculos'!$E$98)/(('Cálculos'!$E$197+(($B$168)-$A145)*'Cálculos'!$E$98)+1400)+'Cálculos'!$E$122)*'Cálculos'!$E$232+'Cálculos'!$E$125*(1+2.78*('Cálculos'!$E$197+(($B$168)-$A145)*'Cálculos'!$E$98)/(('Cálculos'!$E$197+(($B$168)-$A145)*'Cálculos'!$E$98)+1400)+'Cálculos'!$E$123)*'Cálculos'!$E$237)+('Cálculos'!$E$185*(1+'Cálculos'!$E$188+$A145*('Cálculos'!$E$290=1)*'Cálculos'!$E$97+'Cálculos'!$E$305)+'Cálculos'!$E$193)*('Cálculos'!$E$239+'Cálculos'!$E$124*(1+2.78*('Cálculos'!$E$198+(($B$168)-$A145)*'Cálculos'!$E$98)/(('Cálculos'!$E$198+(($B$168)-$A145)*'Cálculos'!$E$98)+1400)+'Cálculos'!$E$122)*'Cálculos'!$E$244+'Cálculos'!$E$125*(1+2.78*('Cálculos'!$E$198+(($B$168)-$A145)*'Cálculos'!$E$98)/(('Cálculos'!$E$198+(($B$168)-$A145)*'Cálculos'!$E$98)+1400)+'Cálculos'!$E$123)*'Cálculos'!$E$249)+('Cálculos'!$E$198+(($B$168)-$A145)*'Cálculos'!$E$98)*('Cálculos'!$E$240+'Cálculos'!$E$124*(1+2.78*('Cálculos'!$E$198+(($B$168)-$A145)*'Cálculos'!$E$98)/(('Cálculos'!$E$198+(($B$168)-$A145)*'Cálculos'!$E$98)+1400)+'Cálculos'!$E$122)*'Cálculos'!$E$245+'Cálculos'!$E$125*(1+2.78*('Cálculos'!$E$198+(($B$168)-$A145)*'Cálculos'!$E$98)/(('Cálculos'!$E$198+(($B$168)-$A145)*'Cálculos'!$E$98)+1400)+'Cálculos'!$E$123)*'Cálculos'!$E$250)+('Cálculos'!$E$201*(1+'Cálculos'!$E$202+$A145*('Cálculos'!$E$290=2)*'Cálculos'!$E$101)+'Cálculos'!$E$203)*('Cálculos'!$E$241+'Cálculos'!$E$124*(1+2.78*('Cálculos'!$E$198+(($B$168)-$A145)*'Cálculos'!$E$98)/(('Cálculos'!$E$198+(($B$168)-$A145)*'Cálculos'!$E$98)+1400)+'Cálculos'!$E$122)*'Cálculos'!$E$246+'Cálculos'!$E$125*(1+2.78*('Cálculos'!$E$198+(($B$168)-$A145)*'Cálculos'!$E$98)/(('Cálculos'!$E$198+(($B$168)-$A145)*'Cálculos'!$E$98)+1400)+'Cálculos'!$E$123)*'Cálculos'!$E$251)+('Cálculos'!$E$204*(1+'Cálculos'!$E$205+$A145*('Cálculos'!$E$290=3)*'Cálculos'!$E$103)+'Cálculos'!$E$206)*('Cálculos'!$E$242+'Cálculos'!$E$124*(1+2.78*('Cálculos'!$E$198+(($B$168)-$A145)*'Cálculos'!$E$98)/(('Cálculos'!$E$198+(($B$168)-$A145)*'Cálculos'!$E$98)+1400)+'Cálculos'!$E$122)*'Cálculos'!$E$247+'Cálculos'!$E$125*(1+2.78*('Cálculos'!$E$198+(($B$168)-$A145)*'Cálculos'!$E$98)/(('Cálculos'!$E$198+(($B$168)-$A145)*'Cálculos'!$E$98)+1400)+'Cálculos'!$E$123)*'Cálculos'!$E$252)+('Cálculos'!$E$185*(1+'Cálculos'!$E$189+$A145*('Cálculos'!$E$290=1)*'Cálculos'!$E$97+'Cálculos'!$E$305)+'Cálculos'!$E$194)*('Cálculos'!$E$254+'Cálculos'!$E$124*(1+2.78*('Cálculos'!$E$199+(($B$168)-$A145)*'Cálculos'!$E$98)/(('Cálculos'!$E$199+(($B$168)-$A145)*'Cálculos'!$E$98)+1400)+'Cálculos'!$E$122)*'Cálculos'!$E$259+'Cálculos'!$E$125*(1+2.78*('Cálculos'!$E$199+(($B$168)-$A145)*'Cálculos'!$E$98)/(('Cálculos'!$E$199+(($B$168)-$A145)*'Cálculos'!$E$98)+1400)+'Cálculos'!$E$123)*'Cálculos'!$E$264)+('Cálculos'!$E$199+(($B$168)-$A145)*'Cálculos'!$E$98)*('Cálculos'!$E$255+'Cálculos'!$E$124*(1+2.78*('Cálculos'!$E$199+(($B$168)-$A145)*'Cálculos'!$E$98)/(('Cálculos'!$E$199+(($B$168)-$A145)*'Cálculos'!$E$98)+1400)+'Cálculos'!$E$122)*'Cálculos'!$E$260+'Cálculos'!$E$125*(1+2.78*('Cálculos'!$E$199+(($B$168)-$A145)*'Cálculos'!$E$98)/(('Cálculos'!$E$199+(($B$168)-$A145)*'Cálculos'!$E$98)+1400)+'Cálculos'!$E$123)*'Cálculos'!$E$265)+('Cálculos'!$E$201*(1+'Cálculos'!$E$202+$A145*('Cálculos'!$E$290=2)*'Cálculos'!$E$101)+'Cálculos'!$E$203)*('Cálculos'!$E$256+'Cálculos'!$E$124*(1+2.78*('Cálculos'!$E$199+(($B$168)-$A145)*'Cálculos'!$E$98)/(('Cálculos'!$E$199+(($B$168)-$A145)*'Cálculos'!$E$98)+1400)+'Cálculos'!$E$122)*'Cálculos'!$E$261+'Cálculos'!$E$125*(1+2.78*('Cálculos'!$E$199+(($B$168)-$A145)*'Cálculos'!$E$98)/(('Cálculos'!$E$199+(($B$168)-$A145)*'Cálculos'!$E$98)+1400)+'Cálculos'!$E$123)*'Cálculos'!$E$266)+('Cálculos'!$E$204*(1+'Cálculos'!$E$205+$A145*('Cálculos'!$E$290=3)*'Cálculos'!$E$103)+'Cálculos'!$E$206)*('Cálculos'!$E$257+'Cálculos'!$E$124*(1+2.78*('Cálculos'!$E$199+(($B$168)-$A145)*'Cálculos'!$E$98)/(('Cálculos'!$E$199+(($B$168)-$A145)*'Cálculos'!$E$98)+1400)+'Cálculos'!$E$122)*'Cálculos'!$E$262+'Cálculos'!$E$125*(1+2.78*('Cálculos'!$E$199+(($B$168)-$A145)*'Cálculos'!$E$98)/(('Cálculos'!$E$199+(($B$168)-$A145)*'Cálculos'!$E$98)+1400)+'Cálculos'!$E$123)*'Cálculos'!$E$267)+('Cálculos'!$E$185*(1+'Cálculos'!$E$190+$A145*('Cálculos'!$E$290=1)*'Cálculos'!$E$97+'Cálculos'!$E$305)+'Cálculos'!$E$195)*('Cálculos'!$E$269+'Cálculos'!$E$124*(1+2.78*('Cálculos'!$E$200+(($B$168)-$A145)*'Cálculos'!$E$98)/(('Cálculos'!$E$200+(($B$168)-$A145)*'Cálculos'!$E$98)+1400)+'Cálculos'!$E$122)*'Cálculos'!$E$274+'Cálculos'!$E$125*(1+2.78*('Cálculos'!$E$200+(($B$168)-$A145)*'Cálculos'!$E$98)/(('Cálculos'!$E$200+(($B$168)-$A145)*'Cálculos'!$E$98)+1400)+'Cálculos'!$E$123)*'Cálculos'!$E$279)+('Cálculos'!$E$200+(($B$168)-$A145)*'Cálculos'!$E$98)*('Cálculos'!$E$270+'Cálculos'!$E$124*(1+2.78*('Cálculos'!$E$200+(($B$168)-$A145)*'Cálculos'!$E$98)/(('Cálculos'!$E$200+(($B$168)-$A145)*'Cálculos'!$E$98)+1400)+'Cálculos'!$E$122)*'Cálculos'!$E$275+'Cálculos'!$E$125*(1+2.78*('Cálculos'!$E$200+(($B$168)-$A145)*'Cálculos'!$E$98)/(('Cálculos'!$E$200+(($B$168)-$A145)*'Cálculos'!$E$98)+1400)+'Cálculos'!$E$123)*'Cálculos'!$E$280)+('Cálculos'!$E$201*(1+'Cálculos'!$E$202+$A145*('Cálculos'!$E$290=2)*'Cálculos'!$E$101)+'Cálculos'!$E$203)*('Cálculos'!$E$271+'Cálculos'!$E$124*(1+2.78*('Cálculos'!$E$200+(($B$168)-$A145)*'Cálculos'!$E$98)/(('Cálculos'!$E$200+(($B$168)-$A145)*'Cálculos'!$E$98)+1400)+'Cálculos'!$E$122)*'Cálculos'!$E$276+'Cálculos'!$E$125*(1+2.78*('Cálculos'!$E$200+(($B$168)-$A145)*'Cálculos'!$E$98)/(('Cálculos'!$E$200+(($B$168)-$A145)*'Cálculos'!$E$98)+1400)+'Cálculos'!$E$123)*'Cálculos'!$E$281)+('Cálculos'!$E$204*(1+'Cálculos'!$E$205+$A145*('Cálculos'!$E$290=3)*'Cálculos'!$E$103)+'Cálculos'!$E$206)*('Cálculos'!$E$272+'Cálculos'!$E$124*(1+2.78*('Cálculos'!$E$200+(($B$168)-$A145)*'Cálculos'!$E$98)/(('Cálculos'!$E$200+(($B$168)-$A145)*'Cálculos'!$E$98)+1400)+'Cálculos'!$E$122)*'Cálculos'!$E$277+'Cálculos'!$E$125*(1+2.78*('Cálculos'!$E$200+(($B$168)-$A145)*'Cálculos'!$E$98)/(('Cálculos'!$E$200+(($B$168)-$A145)*'Cálculos'!$E$98)+1400)+'Cálculos'!$E$123)*'Cálculos'!$E$282)))</f>
        <v>0</v>
      </c>
    </row>
    <row r="146" ht="15.75" customHeight="1">
      <c r="A146" s="2">
        <v>26.0</v>
      </c>
      <c r="B146" s="30">
        <f>SUMPRODUCT(MAX(($A$120:$A$165&lt;=$A146)*($A$120:$A$165&lt;='Cálculos'!$E$294)*(($A146)-$A$120:$A$165&lt;='Cálculos'!$E$295)*(1+(('Cálculos'!$E$207+$A$120:$A$165*'Cálculos'!$E$95)-(('Cálculos'!$E$207+$A$120:$A$165*'Cálculos'!$E$95)&gt;1)*(('Cálculos'!$E$207+$A$120:$A$165*'Cálculos'!$E$95)-1))*('Cálculos'!$E$208+(($A146)-$A$120:$A$165)*'Cálculos'!$E$96))))</f>
        <v>2.28138</v>
      </c>
      <c r="C146" s="2">
        <f>'Cálculos'!$E$303-$A146</f>
        <v>-13</v>
      </c>
      <c r="D146" s="31">
        <f>IF($C146&lt;0,0,SUMPRODUCT(MAX(($A$120:$A$165&lt;=$C146)*($A$120:$A$165&lt;='Cálculos'!$E$301)*(($C146)-$A$120:$A$165&lt;='Cálculos'!$E$297)*(('Cálculos'!$E$185*(1+'Cálculos'!$E$186+$A$120:$A$165*('Cálculos'!$E$290=1)*'Cálculos'!$E$97+'Cálculos'!$E$305)+'Cálculos'!$E$191)*('Cálculos'!$E$209+'Cálculos'!$E$124*(1+2.78*('Cálculos'!$E$196+(($C146)-$A$120:$A$165)*'Cálculos'!$E$98)/(('Cálculos'!$E$196+(($C146)-$A$120:$A$165)*'Cálculos'!$E$98)+1400)+'Cálculos'!$E$122)*'Cálculos'!$E$214+'Cálculos'!$E$125*(1+2.78*('Cálculos'!$E$196+(($C146)-$A$120:$A$165)*'Cálculos'!$E$98)/(('Cálculos'!$E$196+(($C146)-$A$120:$A$165)*'Cálculos'!$E$98)+1400)+'Cálculos'!$E$123)*'Cálculos'!$E$219)+('Cálculos'!$E$196+(($C146)-$A$120:$A$165)*'Cálculos'!$E$98)*('Cálculos'!$E$210+'Cálculos'!$E$124*(1+2.78*('Cálculos'!$E$196+(($C146)-$A$120:$A$165)*'Cálculos'!$E$98)/(('Cálculos'!$E$196+(($C146)-$A$120:$A$165)*'Cálculos'!$E$98)+1400)+'Cálculos'!$E$122)*'Cálculos'!$E$215+'Cálculos'!$E$125*(1+2.78*('Cálculos'!$E$196+(($C146)-$A$120:$A$165)*'Cálculos'!$E$98)/(('Cálculos'!$E$196+(($C146)-$A$120:$A$165)*'Cálculos'!$E$98)+1400)+'Cálculos'!$E$123)*'Cálculos'!$E$220)+('Cálculos'!$E$201*(1+'Cálculos'!$E$202+$A$120:$A$165*('Cálculos'!$E$290=2)*'Cálculos'!$E$101)+'Cálculos'!$E$203)*('Cálculos'!$E$211+'Cálculos'!$E$124*(1+2.78*('Cálculos'!$E$196+(($C146)-$A$120:$A$165)*'Cálculos'!$E$98)/(('Cálculos'!$E$196+(($C146)-$A$120:$A$165)*'Cálculos'!$E$98)+1400)+'Cálculos'!$E$122)*'Cálculos'!$E$216+'Cálculos'!$E$125*(1+2.78*('Cálculos'!$E$196+(($C146)-$A$120:$A$165)*'Cálculos'!$E$98)/(('Cálculos'!$E$196+(($C146)-$A$120:$A$165)*'Cálculos'!$E$98)+1400)+'Cálculos'!$E$123)*'Cálculos'!$E$221)+('Cálculos'!$E$204*(1+'Cálculos'!$E$205+$A$120:$A$165*('Cálculos'!$E$290=3)*'Cálculos'!$E$103)+'Cálculos'!$E$206)*('Cálculos'!$E$212+'Cálculos'!$E$124*(1+2.78*('Cálculos'!$E$196+(($C146)-$A$120:$A$165)*'Cálculos'!$E$98)/(('Cálculos'!$E$196+(($C146)-$A$120:$A$165)*'Cálculos'!$E$98)+1400)+'Cálculos'!$E$122)*'Cálculos'!$E$217+'Cálculos'!$E$125*(1+2.78*('Cálculos'!$E$196+(($C146)-$A$120:$A$165)*'Cálculos'!$E$98)/(('Cálculos'!$E$196+(($C146)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146)-$A$120:$A$165)*'Cálculos'!$E$98)/(('Cálculos'!$E$197+(($C146)-$A$120:$A$165)*'Cálculos'!$E$98)+1400)+'Cálculos'!$E$122)*'Cálculos'!$E$229+'Cálculos'!$E$125*(1+2.78*('Cálculos'!$E$197+(($C146)-$A$120:$A$165)*'Cálculos'!$E$98)/(('Cálculos'!$E$197+(($C146)-$A$120:$A$165)*'Cálculos'!$E$98)+1400)+'Cálculos'!$E$123)*'Cálculos'!$E$234)+('Cálculos'!$E$197+(($C146)-$A$120:$A$165)*'Cálculos'!$E$98)*('Cálculos'!$E$225+'Cálculos'!$E$124*(1+2.78*('Cálculos'!$E$197+(($C146)-$A$120:$A$165)*'Cálculos'!$E$98)/(('Cálculos'!$E$197+(($C146)-$A$120:$A$165)*'Cálculos'!$E$98)+1400)+'Cálculos'!$E$122)*'Cálculos'!$E$230+'Cálculos'!$E$125*(1+2.78*('Cálculos'!$E$197+(($C146)-$A$120:$A$165)*'Cálculos'!$E$98)/(('Cálculos'!$E$197+(($C146)-$A$120:$A$165)*'Cálculos'!$E$98)+1400)+'Cálculos'!$E$123)*'Cálculos'!$E$235)+('Cálculos'!$E$201*(1+'Cálculos'!$E$202+$A$120:$A$165*('Cálculos'!$E$290=2)*'Cálculos'!$E$101)+'Cálculos'!$E$203)*('Cálculos'!$E$226+'Cálculos'!$E$124*(1+2.78*('Cálculos'!$E$197+(($C146)-$A$120:$A$165)*'Cálculos'!$E$98)/(('Cálculos'!$E$197+(($C146)-$A$120:$A$165)*'Cálculos'!$E$98)+1400)+'Cálculos'!$E$122)*'Cálculos'!$E$231+'Cálculos'!$E$125*(1+2.78*('Cálculos'!$E$197+(($C146)-$A$120:$A$165)*'Cálculos'!$E$98)/(('Cálculos'!$E$197+(($C146)-$A$120:$A$165)*'Cálculos'!$E$98)+1400)+'Cálculos'!$E$123)*'Cálculos'!$E$236)+('Cálculos'!$E$204*(1+'Cálculos'!$E$205+$A$120:$A$165*('Cálculos'!$E$290=3)*'Cálculos'!$E$103)+'Cálculos'!$E$206)*('Cálculos'!$E$227+'Cálculos'!$E$124*(1+2.78*('Cálculos'!$E$197+(($C146)-$A$120:$A$165)*'Cálculos'!$E$98)/(('Cálculos'!$E$197+(($C146)-$A$120:$A$165)*'Cálculos'!$E$98)+1400)+'Cálculos'!$E$122)*'Cálculos'!$E$232+'Cálculos'!$E$125*(1+2.78*('Cálculos'!$E$197+(($C146)-$A$120:$A$165)*'Cálculos'!$E$98)/(('Cálculos'!$E$197+(($C146)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146)-$A$120:$A$165)*'Cálculos'!$E$98)/(('Cálculos'!$E$198+(($C146)-$A$120:$A$165)*'Cálculos'!$E$98)+1400)+'Cálculos'!$E$122)*'Cálculos'!$E$244+'Cálculos'!$E$125*(1+2.78*('Cálculos'!$E$198+(($C146)-$A$120:$A$165)*'Cálculos'!$E$98)/(('Cálculos'!$E$198+(($C146)-$A$120:$A$165)*'Cálculos'!$E$98)+1400)+'Cálculos'!$E$123)*'Cálculos'!$E$249)+('Cálculos'!$E$198+(($C146)-$A$120:$A$165)*'Cálculos'!$E$98)*('Cálculos'!$E$240+'Cálculos'!$E$124*(1+2.78*('Cálculos'!$E$198+(($C146)-$A$120:$A$165)*'Cálculos'!$E$98)/(('Cálculos'!$E$198+(($C146)-$A$120:$A$165)*'Cálculos'!$E$98)+1400)+'Cálculos'!$E$122)*'Cálculos'!$E$245+'Cálculos'!$E$125*(1+2.78*('Cálculos'!$E$198+(($C146)-$A$120:$A$165)*'Cálculos'!$E$98)/(('Cálculos'!$E$198+(($C146)-$A$120:$A$165)*'Cálculos'!$E$98)+1400)+'Cálculos'!$E$123)*'Cálculos'!$E$250)+('Cálculos'!$E$201*(1+'Cálculos'!$E$202+$A$120:$A$165*('Cálculos'!$E$290=2)*'Cálculos'!$E$101)+'Cálculos'!$E$203)*('Cálculos'!$E$241+'Cálculos'!$E$124*(1+2.78*('Cálculos'!$E$198+(($C146)-$A$120:$A$165)*'Cálculos'!$E$98)/(('Cálculos'!$E$198+(($C146)-$A$120:$A$165)*'Cálculos'!$E$98)+1400)+'Cálculos'!$E$122)*'Cálculos'!$E$246+'Cálculos'!$E$125*(1+2.78*('Cálculos'!$E$198+(($C146)-$A$120:$A$165)*'Cálculos'!$E$98)/(('Cálculos'!$E$198+(($C146)-$A$120:$A$165)*'Cálculos'!$E$98)+1400)+'Cálculos'!$E$123)*'Cálculos'!$E$251)+('Cálculos'!$E$204*(1+'Cálculos'!$E$205+$A$120:$A$165*('Cálculos'!$E$290=3)*'Cálculos'!$E$103)+'Cálculos'!$E$206)*('Cálculos'!$E$242+'Cálculos'!$E$124*(1+2.78*('Cálculos'!$E$198+(($C146)-$A$120:$A$165)*'Cálculos'!$E$98)/(('Cálculos'!$E$198+(($C146)-$A$120:$A$165)*'Cálculos'!$E$98)+1400)+'Cálculos'!$E$122)*'Cálculos'!$E$247+'Cálculos'!$E$125*(1+2.78*('Cálculos'!$E$198+(($C146)-$A$120:$A$165)*'Cálculos'!$E$98)/(('Cálculos'!$E$198+(($C146)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146)-$A$120:$A$165)*'Cálculos'!$E$98)/(('Cálculos'!$E$199+(($C146)-$A$120:$A$165)*'Cálculos'!$E$98)+1400)+'Cálculos'!$E$122)*'Cálculos'!$E$259+'Cálculos'!$E$125*(1+2.78*('Cálculos'!$E$199+(($C146)-$A$120:$A$165)*'Cálculos'!$E$98)/(('Cálculos'!$E$199+(($C146)-$A$120:$A$165)*'Cálculos'!$E$98)+1400)+'Cálculos'!$E$123)*'Cálculos'!$E$264)+('Cálculos'!$E$199+(($C146)-$A$120:$A$165)*'Cálculos'!$E$98)*('Cálculos'!$E$255+'Cálculos'!$E$124*(1+2.78*('Cálculos'!$E$199+(($C146)-$A$120:$A$165)*'Cálculos'!$E$98)/(('Cálculos'!$E$199+(($C146)-$A$120:$A$165)*'Cálculos'!$E$98)+1400)+'Cálculos'!$E$122)*'Cálculos'!$E$260+'Cálculos'!$E$125*(1+2.78*('Cálculos'!$E$199+(($C146)-$A$120:$A$165)*'Cálculos'!$E$98)/(('Cálculos'!$E$199+(($C146)-$A$120:$A$165)*'Cálculos'!$E$98)+1400)+'Cálculos'!$E$123)*'Cálculos'!$E$265)+('Cálculos'!$E$201*(1+'Cálculos'!$E$202+$A$120:$A$165*('Cálculos'!$E$290=2)*'Cálculos'!$E$101)+'Cálculos'!$E$203)*('Cálculos'!$E$256+'Cálculos'!$E$124*(1+2.78*('Cálculos'!$E$199+(($C146)-$A$120:$A$165)*'Cálculos'!$E$98)/(('Cálculos'!$E$199+(($C146)-$A$120:$A$165)*'Cálculos'!$E$98)+1400)+'Cálculos'!$E$122)*'Cálculos'!$E$261+'Cálculos'!$E$125*(1+2.78*('Cálculos'!$E$199+(($C146)-$A$120:$A$165)*'Cálculos'!$E$98)/(('Cálculos'!$E$199+(($C146)-$A$120:$A$165)*'Cálculos'!$E$98)+1400)+'Cálculos'!$E$123)*'Cálculos'!$E$266)+('Cálculos'!$E$204*(1+'Cálculos'!$E$205+$A$120:$A$165*('Cálculos'!$E$290=3)*'Cálculos'!$E$103)+'Cálculos'!$E$206)*('Cálculos'!$E$257+'Cálculos'!$E$124*(1+2.78*('Cálculos'!$E$199+(($C146)-$A$120:$A$165)*'Cálculos'!$E$98)/(('Cálculos'!$E$199+(($C146)-$A$120:$A$165)*'Cálculos'!$E$98)+1400)+'Cálculos'!$E$122)*'Cálculos'!$E$262+'Cálculos'!$E$125*(1+2.78*('Cálculos'!$E$199+(($C146)-$A$120:$A$165)*'Cálculos'!$E$98)/(('Cálculos'!$E$199+(($C146)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146)-$A$120:$A$165)*'Cálculos'!$E$98)/(('Cálculos'!$E$200+(($C146)-$A$120:$A$165)*'Cálculos'!$E$98)+1400)+'Cálculos'!$E$122)*'Cálculos'!$E$274+'Cálculos'!$E$125*(1+2.78*('Cálculos'!$E$200+(($C146)-$A$120:$A$165)*'Cálculos'!$E$98)/(('Cálculos'!$E$200+(($C146)-$A$120:$A$165)*'Cálculos'!$E$98)+1400)+'Cálculos'!$E$123)*'Cálculos'!$E$279)+('Cálculos'!$E$200+(($C146)-$A$120:$A$165)*'Cálculos'!$E$98)*('Cálculos'!$E$270+'Cálculos'!$E$124*(1+2.78*('Cálculos'!$E$200+(($C146)-$A$120:$A$165)*'Cálculos'!$E$98)/(('Cálculos'!$E$200+(($C146)-$A$120:$A$165)*'Cálculos'!$E$98)+1400)+'Cálculos'!$E$122)*'Cálculos'!$E$275+'Cálculos'!$E$125*(1+2.78*('Cálculos'!$E$200+(($C146)-$A$120:$A$165)*'Cálculos'!$E$98)/(('Cálculos'!$E$200+(($C146)-$A$120:$A$165)*'Cálculos'!$E$98)+1400)+'Cálculos'!$E$123)*'Cálculos'!$E$280)+('Cálculos'!$E$201*(1+'Cálculos'!$E$202+$A$120:$A$165*('Cálculos'!$E$290=2)*'Cálculos'!$E$101)+'Cálculos'!$E$203)*('Cálculos'!$E$271+'Cálculos'!$E$124*(1+2.78*('Cálculos'!$E$200+(($C146)-$A$120:$A$165)*'Cálculos'!$E$98)/(('Cálculos'!$E$200+(($C146)-$A$120:$A$165)*'Cálculos'!$E$98)+1400)+'Cálculos'!$E$122)*'Cálculos'!$E$276+'Cálculos'!$E$125*(1+2.78*('Cálculos'!$E$200+(($C146)-$A$120:$A$165)*'Cálculos'!$E$98)/(('Cálculos'!$E$200+(($C146)-$A$120:$A$165)*'Cálculos'!$E$98)+1400)+'Cálculos'!$E$123)*'Cálculos'!$E$281)+('Cálculos'!$E$204*(1+'Cálculos'!$E$205+$A$120:$A$165*('Cálculos'!$E$290=3)*'Cálculos'!$E$103)+'Cálculos'!$E$206)*('Cálculos'!$E$272+'Cálculos'!$E$124*(1+2.78*('Cálculos'!$E$200+(($C146)-$A$120:$A$165)*'Cálculos'!$E$98)/(('Cálculos'!$E$200+(($C146)-$A$120:$A$165)*'Cálculos'!$E$98)+1400)+'Cálculos'!$E$122)*'Cálculos'!$E$277+'Cálculos'!$E$125*(1+2.78*('Cálculos'!$E$200+(($C146)-$A$120:$A$165)*'Cálculos'!$E$98)/(('Cálculos'!$E$200+(($C146)-$A$120:$A$165)*'Cálculos'!$E$98)+1400)+'Cálculos'!$E$123)*'Cálculos'!$E$282)))))</f>
        <v>0</v>
      </c>
      <c r="E146" s="32">
        <f>IF(OR($C146&lt;0,'Cálculos'!$E$6=""),0,$B146*$D146)</f>
        <v>0</v>
      </c>
      <c r="F146" s="2"/>
      <c r="G146" s="30">
        <f>($A146&lt;=$B$167)*($A146&lt;='Cálculos'!$E$294)*(($B$167)-$A146&lt;='Cálculos'!$E$295)*(1+MIN(('Cálculos'!$E$207+$A146*'Cálculos'!$E$95),1)*('Cálculos'!$E$208+(($B$167)-$A146)*'Cálculos'!$E$96))</f>
        <v>0</v>
      </c>
      <c r="H146" s="31">
        <f>IF($B$168&lt;0,0,($A146&lt;=$B$168)*($A146&lt;='Cálculos'!$E$301)*(($B$168)-$A146&lt;='Cálculos'!$E$297)*(('Cálculos'!$E$185*(1+'Cálculos'!$E$186+$A146*('Cálculos'!$E$290=1)*'Cálculos'!$E$97+'Cálculos'!$E$305)+'Cálculos'!$E$191)*('Cálculos'!$E$209+'Cálculos'!$E$124*(1+2.78*('Cálculos'!$E$196+(($B$168)-$A146)*'Cálculos'!$E$98)/(('Cálculos'!$E$196+(($B$168)-$A146)*'Cálculos'!$E$98)+1400)+'Cálculos'!$E$122)*'Cálculos'!$E$214+'Cálculos'!$E$125*(1+2.78*('Cálculos'!$E$196+(($B$168)-$A146)*'Cálculos'!$E$98)/(('Cálculos'!$E$196+(($B$168)-$A146)*'Cálculos'!$E$98)+1400)+'Cálculos'!$E$123)*'Cálculos'!$E$219)+('Cálculos'!$E$196+(($B$168)-$A146)*'Cálculos'!$E$98)*('Cálculos'!$E$210+'Cálculos'!$E$124*(1+2.78*('Cálculos'!$E$196+(($B$168)-$A146)*'Cálculos'!$E$98)/(('Cálculos'!$E$196+(($B$168)-$A146)*'Cálculos'!$E$98)+1400)+'Cálculos'!$E$122)*'Cálculos'!$E$215+'Cálculos'!$E$125*(1+2.78*('Cálculos'!$E$196+(($B$168)-$A146)*'Cálculos'!$E$98)/(('Cálculos'!$E$196+(($B$168)-$A146)*'Cálculos'!$E$98)+1400)+'Cálculos'!$E$123)*'Cálculos'!$E$220)+('Cálculos'!$E$201*(1+'Cálculos'!$E$202+$A146*('Cálculos'!$E$290=2)*'Cálculos'!$E$101)+'Cálculos'!$E$203)*('Cálculos'!$E$211+'Cálculos'!$E$124*(1+2.78*('Cálculos'!$E$196+(($B$168)-$A146)*'Cálculos'!$E$98)/(('Cálculos'!$E$196+(($B$168)-$A146)*'Cálculos'!$E$98)+1400)+'Cálculos'!$E$122)*'Cálculos'!$E$216+'Cálculos'!$E$125*(1+2.78*('Cálculos'!$E$196+(($B$168)-$A146)*'Cálculos'!$E$98)/(('Cálculos'!$E$196+(($B$168)-$A146)*'Cálculos'!$E$98)+1400)+'Cálculos'!$E$123)*'Cálculos'!$E$221)+('Cálculos'!$E$204*(1+'Cálculos'!$E$205+$A146*('Cálculos'!$E$290=3)*'Cálculos'!$E$103)+'Cálculos'!$E$206)*('Cálculos'!$E$212+'Cálculos'!$E$124*(1+2.78*('Cálculos'!$E$196+(($B$168)-$A146)*'Cálculos'!$E$98)/(('Cálculos'!$E$196+(($B$168)-$A146)*'Cálculos'!$E$98)+1400)+'Cálculos'!$E$122)*'Cálculos'!$E$217+'Cálculos'!$E$125*(1+2.78*('Cálculos'!$E$196+(($B$168)-$A146)*'Cálculos'!$E$98)/(('Cálculos'!$E$196+(($B$168)-$A146)*'Cálculos'!$E$98)+1400)+'Cálculos'!$E$123)*'Cálculos'!$E$222)+('Cálculos'!$E$185*(1+'Cálculos'!$E$187+$A146*('Cálculos'!$E$290=1)*'Cálculos'!$E$97+'Cálculos'!$E$305)+'Cálculos'!$E$192)*('Cálculos'!$E$224+'Cálculos'!$E$124*(1+2.78*('Cálculos'!$E$197+(($B$168)-$A146)*'Cálculos'!$E$98)/(('Cálculos'!$E$197+(($B$168)-$A146)*'Cálculos'!$E$98)+1400)+'Cálculos'!$E$122)*'Cálculos'!$E$229+'Cálculos'!$E$125*(1+2.78*('Cálculos'!$E$197+(($B$168)-$A146)*'Cálculos'!$E$98)/(('Cálculos'!$E$197+(($B$168)-$A146)*'Cálculos'!$E$98)+1400)+'Cálculos'!$E$123)*'Cálculos'!$E$234)+('Cálculos'!$E$197+(($B$168)-$A146)*'Cálculos'!$E$98)*('Cálculos'!$E$225+'Cálculos'!$E$124*(1+2.78*('Cálculos'!$E$197+(($B$168)-$A146)*'Cálculos'!$E$98)/(('Cálculos'!$E$197+(($B$168)-$A146)*'Cálculos'!$E$98)+1400)+'Cálculos'!$E$122)*'Cálculos'!$E$230+'Cálculos'!$E$125*(1+2.78*('Cálculos'!$E$197+(($B$168)-$A146)*'Cálculos'!$E$98)/(('Cálculos'!$E$197+(($B$168)-$A146)*'Cálculos'!$E$98)+1400)+'Cálculos'!$E$123)*'Cálculos'!$E$235)+('Cálculos'!$E$201*(1+'Cálculos'!$E$202+$A146*('Cálculos'!$E$290=2)*'Cálculos'!$E$101)+'Cálculos'!$E$203)*('Cálculos'!$E$226+'Cálculos'!$E$124*(1+2.78*('Cálculos'!$E$197+(($B$168)-$A146)*'Cálculos'!$E$98)/(('Cálculos'!$E$197+(($B$168)-$A146)*'Cálculos'!$E$98)+1400)+'Cálculos'!$E$122)*'Cálculos'!$E$231+'Cálculos'!$E$125*(1+2.78*('Cálculos'!$E$197+(($B$168)-$A146)*'Cálculos'!$E$98)/(('Cálculos'!$E$197+(($B$168)-$A146)*'Cálculos'!$E$98)+1400)+'Cálculos'!$E$123)*'Cálculos'!$E$236)+('Cálculos'!$E$204*(1+'Cálculos'!$E$205+$A146*('Cálculos'!$E$290=3)*'Cálculos'!$E$103)+'Cálculos'!$E$206)*('Cálculos'!$E$227+'Cálculos'!$E$124*(1+2.78*('Cálculos'!$E$197+(($B$168)-$A146)*'Cálculos'!$E$98)/(('Cálculos'!$E$197+(($B$168)-$A146)*'Cálculos'!$E$98)+1400)+'Cálculos'!$E$122)*'Cálculos'!$E$232+'Cálculos'!$E$125*(1+2.78*('Cálculos'!$E$197+(($B$168)-$A146)*'Cálculos'!$E$98)/(('Cálculos'!$E$197+(($B$168)-$A146)*'Cálculos'!$E$98)+1400)+'Cálculos'!$E$123)*'Cálculos'!$E$237)+('Cálculos'!$E$185*(1+'Cálculos'!$E$188+$A146*('Cálculos'!$E$290=1)*'Cálculos'!$E$97+'Cálculos'!$E$305)+'Cálculos'!$E$193)*('Cálculos'!$E$239+'Cálculos'!$E$124*(1+2.78*('Cálculos'!$E$198+(($B$168)-$A146)*'Cálculos'!$E$98)/(('Cálculos'!$E$198+(($B$168)-$A146)*'Cálculos'!$E$98)+1400)+'Cálculos'!$E$122)*'Cálculos'!$E$244+'Cálculos'!$E$125*(1+2.78*('Cálculos'!$E$198+(($B$168)-$A146)*'Cálculos'!$E$98)/(('Cálculos'!$E$198+(($B$168)-$A146)*'Cálculos'!$E$98)+1400)+'Cálculos'!$E$123)*'Cálculos'!$E$249)+('Cálculos'!$E$198+(($B$168)-$A146)*'Cálculos'!$E$98)*('Cálculos'!$E$240+'Cálculos'!$E$124*(1+2.78*('Cálculos'!$E$198+(($B$168)-$A146)*'Cálculos'!$E$98)/(('Cálculos'!$E$198+(($B$168)-$A146)*'Cálculos'!$E$98)+1400)+'Cálculos'!$E$122)*'Cálculos'!$E$245+'Cálculos'!$E$125*(1+2.78*('Cálculos'!$E$198+(($B$168)-$A146)*'Cálculos'!$E$98)/(('Cálculos'!$E$198+(($B$168)-$A146)*'Cálculos'!$E$98)+1400)+'Cálculos'!$E$123)*'Cálculos'!$E$250)+('Cálculos'!$E$201*(1+'Cálculos'!$E$202+$A146*('Cálculos'!$E$290=2)*'Cálculos'!$E$101)+'Cálculos'!$E$203)*('Cálculos'!$E$241+'Cálculos'!$E$124*(1+2.78*('Cálculos'!$E$198+(($B$168)-$A146)*'Cálculos'!$E$98)/(('Cálculos'!$E$198+(($B$168)-$A146)*'Cálculos'!$E$98)+1400)+'Cálculos'!$E$122)*'Cálculos'!$E$246+'Cálculos'!$E$125*(1+2.78*('Cálculos'!$E$198+(($B$168)-$A146)*'Cálculos'!$E$98)/(('Cálculos'!$E$198+(($B$168)-$A146)*'Cálculos'!$E$98)+1400)+'Cálculos'!$E$123)*'Cálculos'!$E$251)+('Cálculos'!$E$204*(1+'Cálculos'!$E$205+$A146*('Cálculos'!$E$290=3)*'Cálculos'!$E$103)+'Cálculos'!$E$206)*('Cálculos'!$E$242+'Cálculos'!$E$124*(1+2.78*('Cálculos'!$E$198+(($B$168)-$A146)*'Cálculos'!$E$98)/(('Cálculos'!$E$198+(($B$168)-$A146)*'Cálculos'!$E$98)+1400)+'Cálculos'!$E$122)*'Cálculos'!$E$247+'Cálculos'!$E$125*(1+2.78*('Cálculos'!$E$198+(($B$168)-$A146)*'Cálculos'!$E$98)/(('Cálculos'!$E$198+(($B$168)-$A146)*'Cálculos'!$E$98)+1400)+'Cálculos'!$E$123)*'Cálculos'!$E$252)+('Cálculos'!$E$185*(1+'Cálculos'!$E$189+$A146*('Cálculos'!$E$290=1)*'Cálculos'!$E$97+'Cálculos'!$E$305)+'Cálculos'!$E$194)*('Cálculos'!$E$254+'Cálculos'!$E$124*(1+2.78*('Cálculos'!$E$199+(($B$168)-$A146)*'Cálculos'!$E$98)/(('Cálculos'!$E$199+(($B$168)-$A146)*'Cálculos'!$E$98)+1400)+'Cálculos'!$E$122)*'Cálculos'!$E$259+'Cálculos'!$E$125*(1+2.78*('Cálculos'!$E$199+(($B$168)-$A146)*'Cálculos'!$E$98)/(('Cálculos'!$E$199+(($B$168)-$A146)*'Cálculos'!$E$98)+1400)+'Cálculos'!$E$123)*'Cálculos'!$E$264)+('Cálculos'!$E$199+(($B$168)-$A146)*'Cálculos'!$E$98)*('Cálculos'!$E$255+'Cálculos'!$E$124*(1+2.78*('Cálculos'!$E$199+(($B$168)-$A146)*'Cálculos'!$E$98)/(('Cálculos'!$E$199+(($B$168)-$A146)*'Cálculos'!$E$98)+1400)+'Cálculos'!$E$122)*'Cálculos'!$E$260+'Cálculos'!$E$125*(1+2.78*('Cálculos'!$E$199+(($B$168)-$A146)*'Cálculos'!$E$98)/(('Cálculos'!$E$199+(($B$168)-$A146)*'Cálculos'!$E$98)+1400)+'Cálculos'!$E$123)*'Cálculos'!$E$265)+('Cálculos'!$E$201*(1+'Cálculos'!$E$202+$A146*('Cálculos'!$E$290=2)*'Cálculos'!$E$101)+'Cálculos'!$E$203)*('Cálculos'!$E$256+'Cálculos'!$E$124*(1+2.78*('Cálculos'!$E$199+(($B$168)-$A146)*'Cálculos'!$E$98)/(('Cálculos'!$E$199+(($B$168)-$A146)*'Cálculos'!$E$98)+1400)+'Cálculos'!$E$122)*'Cálculos'!$E$261+'Cálculos'!$E$125*(1+2.78*('Cálculos'!$E$199+(($B$168)-$A146)*'Cálculos'!$E$98)/(('Cálculos'!$E$199+(($B$168)-$A146)*'Cálculos'!$E$98)+1400)+'Cálculos'!$E$123)*'Cálculos'!$E$266)+('Cálculos'!$E$204*(1+'Cálculos'!$E$205+$A146*('Cálculos'!$E$290=3)*'Cálculos'!$E$103)+'Cálculos'!$E$206)*('Cálculos'!$E$257+'Cálculos'!$E$124*(1+2.78*('Cálculos'!$E$199+(($B$168)-$A146)*'Cálculos'!$E$98)/(('Cálculos'!$E$199+(($B$168)-$A146)*'Cálculos'!$E$98)+1400)+'Cálculos'!$E$122)*'Cálculos'!$E$262+'Cálculos'!$E$125*(1+2.78*('Cálculos'!$E$199+(($B$168)-$A146)*'Cálculos'!$E$98)/(('Cálculos'!$E$199+(($B$168)-$A146)*'Cálculos'!$E$98)+1400)+'Cálculos'!$E$123)*'Cálculos'!$E$267)+('Cálculos'!$E$185*(1+'Cálculos'!$E$190+$A146*('Cálculos'!$E$290=1)*'Cálculos'!$E$97+'Cálculos'!$E$305)+'Cálculos'!$E$195)*('Cálculos'!$E$269+'Cálculos'!$E$124*(1+2.78*('Cálculos'!$E$200+(($B$168)-$A146)*'Cálculos'!$E$98)/(('Cálculos'!$E$200+(($B$168)-$A146)*'Cálculos'!$E$98)+1400)+'Cálculos'!$E$122)*'Cálculos'!$E$274+'Cálculos'!$E$125*(1+2.78*('Cálculos'!$E$200+(($B$168)-$A146)*'Cálculos'!$E$98)/(('Cálculos'!$E$200+(($B$168)-$A146)*'Cálculos'!$E$98)+1400)+'Cálculos'!$E$123)*'Cálculos'!$E$279)+('Cálculos'!$E$200+(($B$168)-$A146)*'Cálculos'!$E$98)*('Cálculos'!$E$270+'Cálculos'!$E$124*(1+2.78*('Cálculos'!$E$200+(($B$168)-$A146)*'Cálculos'!$E$98)/(('Cálculos'!$E$200+(($B$168)-$A146)*'Cálculos'!$E$98)+1400)+'Cálculos'!$E$122)*'Cálculos'!$E$275+'Cálculos'!$E$125*(1+2.78*('Cálculos'!$E$200+(($B$168)-$A146)*'Cálculos'!$E$98)/(('Cálculos'!$E$200+(($B$168)-$A146)*'Cálculos'!$E$98)+1400)+'Cálculos'!$E$123)*'Cálculos'!$E$280)+('Cálculos'!$E$201*(1+'Cálculos'!$E$202+$A146*('Cálculos'!$E$290=2)*'Cálculos'!$E$101)+'Cálculos'!$E$203)*('Cálculos'!$E$271+'Cálculos'!$E$124*(1+2.78*('Cálculos'!$E$200+(($B$168)-$A146)*'Cálculos'!$E$98)/(('Cálculos'!$E$200+(($B$168)-$A146)*'Cálculos'!$E$98)+1400)+'Cálculos'!$E$122)*'Cálculos'!$E$276+'Cálculos'!$E$125*(1+2.78*('Cálculos'!$E$200+(($B$168)-$A146)*'Cálculos'!$E$98)/(('Cálculos'!$E$200+(($B$168)-$A146)*'Cálculos'!$E$98)+1400)+'Cálculos'!$E$123)*'Cálculos'!$E$281)+('Cálculos'!$E$204*(1+'Cálculos'!$E$205+$A146*('Cálculos'!$E$290=3)*'Cálculos'!$E$103)+'Cálculos'!$E$206)*('Cálculos'!$E$272+'Cálculos'!$E$124*(1+2.78*('Cálculos'!$E$200+(($B$168)-$A146)*'Cálculos'!$E$98)/(('Cálculos'!$E$200+(($B$168)-$A146)*'Cálculos'!$E$98)+1400)+'Cálculos'!$E$122)*'Cálculos'!$E$277+'Cálculos'!$E$125*(1+2.78*('Cálculos'!$E$200+(($B$168)-$A146)*'Cálculos'!$E$98)/(('Cálculos'!$E$200+(($B$168)-$A146)*'Cálculos'!$E$98)+1400)+'Cálculos'!$E$123)*'Cálculos'!$E$282)))</f>
        <v>0</v>
      </c>
    </row>
    <row r="147" ht="15.75" customHeight="1">
      <c r="A147" s="2">
        <v>27.0</v>
      </c>
      <c r="B147" s="30">
        <f>SUMPRODUCT(MAX(($A$120:$A$165&lt;=$A147)*($A$120:$A$165&lt;='Cálculos'!$E$294)*(($A147)-$A$120:$A$165&lt;='Cálculos'!$E$295)*(1+(('Cálculos'!$E$207+$A$120:$A$165*'Cálculos'!$E$95)-(('Cálculos'!$E$207+$A$120:$A$165*'Cálculos'!$E$95)&gt;1)*(('Cálculos'!$E$207+$A$120:$A$165*'Cálculos'!$E$95)-1))*('Cálculos'!$E$208+(($A147)-$A$120:$A$165)*'Cálculos'!$E$96))))</f>
        <v>2.334906</v>
      </c>
      <c r="C147" s="2">
        <f>'Cálculos'!$E$303-$A147</f>
        <v>-14</v>
      </c>
      <c r="D147" s="31">
        <f>IF($C147&lt;0,0,SUMPRODUCT(MAX(($A$120:$A$165&lt;=$C147)*($A$120:$A$165&lt;='Cálculos'!$E$301)*(($C147)-$A$120:$A$165&lt;='Cálculos'!$E$297)*(('Cálculos'!$E$185*(1+'Cálculos'!$E$186+$A$120:$A$165*('Cálculos'!$E$290=1)*'Cálculos'!$E$97+'Cálculos'!$E$305)+'Cálculos'!$E$191)*('Cálculos'!$E$209+'Cálculos'!$E$124*(1+2.78*('Cálculos'!$E$196+(($C147)-$A$120:$A$165)*'Cálculos'!$E$98)/(('Cálculos'!$E$196+(($C147)-$A$120:$A$165)*'Cálculos'!$E$98)+1400)+'Cálculos'!$E$122)*'Cálculos'!$E$214+'Cálculos'!$E$125*(1+2.78*('Cálculos'!$E$196+(($C147)-$A$120:$A$165)*'Cálculos'!$E$98)/(('Cálculos'!$E$196+(($C147)-$A$120:$A$165)*'Cálculos'!$E$98)+1400)+'Cálculos'!$E$123)*'Cálculos'!$E$219)+('Cálculos'!$E$196+(($C147)-$A$120:$A$165)*'Cálculos'!$E$98)*('Cálculos'!$E$210+'Cálculos'!$E$124*(1+2.78*('Cálculos'!$E$196+(($C147)-$A$120:$A$165)*'Cálculos'!$E$98)/(('Cálculos'!$E$196+(($C147)-$A$120:$A$165)*'Cálculos'!$E$98)+1400)+'Cálculos'!$E$122)*'Cálculos'!$E$215+'Cálculos'!$E$125*(1+2.78*('Cálculos'!$E$196+(($C147)-$A$120:$A$165)*'Cálculos'!$E$98)/(('Cálculos'!$E$196+(($C147)-$A$120:$A$165)*'Cálculos'!$E$98)+1400)+'Cálculos'!$E$123)*'Cálculos'!$E$220)+('Cálculos'!$E$201*(1+'Cálculos'!$E$202+$A$120:$A$165*('Cálculos'!$E$290=2)*'Cálculos'!$E$101)+'Cálculos'!$E$203)*('Cálculos'!$E$211+'Cálculos'!$E$124*(1+2.78*('Cálculos'!$E$196+(($C147)-$A$120:$A$165)*'Cálculos'!$E$98)/(('Cálculos'!$E$196+(($C147)-$A$120:$A$165)*'Cálculos'!$E$98)+1400)+'Cálculos'!$E$122)*'Cálculos'!$E$216+'Cálculos'!$E$125*(1+2.78*('Cálculos'!$E$196+(($C147)-$A$120:$A$165)*'Cálculos'!$E$98)/(('Cálculos'!$E$196+(($C147)-$A$120:$A$165)*'Cálculos'!$E$98)+1400)+'Cálculos'!$E$123)*'Cálculos'!$E$221)+('Cálculos'!$E$204*(1+'Cálculos'!$E$205+$A$120:$A$165*('Cálculos'!$E$290=3)*'Cálculos'!$E$103)+'Cálculos'!$E$206)*('Cálculos'!$E$212+'Cálculos'!$E$124*(1+2.78*('Cálculos'!$E$196+(($C147)-$A$120:$A$165)*'Cálculos'!$E$98)/(('Cálculos'!$E$196+(($C147)-$A$120:$A$165)*'Cálculos'!$E$98)+1400)+'Cálculos'!$E$122)*'Cálculos'!$E$217+'Cálculos'!$E$125*(1+2.78*('Cálculos'!$E$196+(($C147)-$A$120:$A$165)*'Cálculos'!$E$98)/(('Cálculos'!$E$196+(($C147)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147)-$A$120:$A$165)*'Cálculos'!$E$98)/(('Cálculos'!$E$197+(($C147)-$A$120:$A$165)*'Cálculos'!$E$98)+1400)+'Cálculos'!$E$122)*'Cálculos'!$E$229+'Cálculos'!$E$125*(1+2.78*('Cálculos'!$E$197+(($C147)-$A$120:$A$165)*'Cálculos'!$E$98)/(('Cálculos'!$E$197+(($C147)-$A$120:$A$165)*'Cálculos'!$E$98)+1400)+'Cálculos'!$E$123)*'Cálculos'!$E$234)+('Cálculos'!$E$197+(($C147)-$A$120:$A$165)*'Cálculos'!$E$98)*('Cálculos'!$E$225+'Cálculos'!$E$124*(1+2.78*('Cálculos'!$E$197+(($C147)-$A$120:$A$165)*'Cálculos'!$E$98)/(('Cálculos'!$E$197+(($C147)-$A$120:$A$165)*'Cálculos'!$E$98)+1400)+'Cálculos'!$E$122)*'Cálculos'!$E$230+'Cálculos'!$E$125*(1+2.78*('Cálculos'!$E$197+(($C147)-$A$120:$A$165)*'Cálculos'!$E$98)/(('Cálculos'!$E$197+(($C147)-$A$120:$A$165)*'Cálculos'!$E$98)+1400)+'Cálculos'!$E$123)*'Cálculos'!$E$235)+('Cálculos'!$E$201*(1+'Cálculos'!$E$202+$A$120:$A$165*('Cálculos'!$E$290=2)*'Cálculos'!$E$101)+'Cálculos'!$E$203)*('Cálculos'!$E$226+'Cálculos'!$E$124*(1+2.78*('Cálculos'!$E$197+(($C147)-$A$120:$A$165)*'Cálculos'!$E$98)/(('Cálculos'!$E$197+(($C147)-$A$120:$A$165)*'Cálculos'!$E$98)+1400)+'Cálculos'!$E$122)*'Cálculos'!$E$231+'Cálculos'!$E$125*(1+2.78*('Cálculos'!$E$197+(($C147)-$A$120:$A$165)*'Cálculos'!$E$98)/(('Cálculos'!$E$197+(($C147)-$A$120:$A$165)*'Cálculos'!$E$98)+1400)+'Cálculos'!$E$123)*'Cálculos'!$E$236)+('Cálculos'!$E$204*(1+'Cálculos'!$E$205+$A$120:$A$165*('Cálculos'!$E$290=3)*'Cálculos'!$E$103)+'Cálculos'!$E$206)*('Cálculos'!$E$227+'Cálculos'!$E$124*(1+2.78*('Cálculos'!$E$197+(($C147)-$A$120:$A$165)*'Cálculos'!$E$98)/(('Cálculos'!$E$197+(($C147)-$A$120:$A$165)*'Cálculos'!$E$98)+1400)+'Cálculos'!$E$122)*'Cálculos'!$E$232+'Cálculos'!$E$125*(1+2.78*('Cálculos'!$E$197+(($C147)-$A$120:$A$165)*'Cálculos'!$E$98)/(('Cálculos'!$E$197+(($C147)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147)-$A$120:$A$165)*'Cálculos'!$E$98)/(('Cálculos'!$E$198+(($C147)-$A$120:$A$165)*'Cálculos'!$E$98)+1400)+'Cálculos'!$E$122)*'Cálculos'!$E$244+'Cálculos'!$E$125*(1+2.78*('Cálculos'!$E$198+(($C147)-$A$120:$A$165)*'Cálculos'!$E$98)/(('Cálculos'!$E$198+(($C147)-$A$120:$A$165)*'Cálculos'!$E$98)+1400)+'Cálculos'!$E$123)*'Cálculos'!$E$249)+('Cálculos'!$E$198+(($C147)-$A$120:$A$165)*'Cálculos'!$E$98)*('Cálculos'!$E$240+'Cálculos'!$E$124*(1+2.78*('Cálculos'!$E$198+(($C147)-$A$120:$A$165)*'Cálculos'!$E$98)/(('Cálculos'!$E$198+(($C147)-$A$120:$A$165)*'Cálculos'!$E$98)+1400)+'Cálculos'!$E$122)*'Cálculos'!$E$245+'Cálculos'!$E$125*(1+2.78*('Cálculos'!$E$198+(($C147)-$A$120:$A$165)*'Cálculos'!$E$98)/(('Cálculos'!$E$198+(($C147)-$A$120:$A$165)*'Cálculos'!$E$98)+1400)+'Cálculos'!$E$123)*'Cálculos'!$E$250)+('Cálculos'!$E$201*(1+'Cálculos'!$E$202+$A$120:$A$165*('Cálculos'!$E$290=2)*'Cálculos'!$E$101)+'Cálculos'!$E$203)*('Cálculos'!$E$241+'Cálculos'!$E$124*(1+2.78*('Cálculos'!$E$198+(($C147)-$A$120:$A$165)*'Cálculos'!$E$98)/(('Cálculos'!$E$198+(($C147)-$A$120:$A$165)*'Cálculos'!$E$98)+1400)+'Cálculos'!$E$122)*'Cálculos'!$E$246+'Cálculos'!$E$125*(1+2.78*('Cálculos'!$E$198+(($C147)-$A$120:$A$165)*'Cálculos'!$E$98)/(('Cálculos'!$E$198+(($C147)-$A$120:$A$165)*'Cálculos'!$E$98)+1400)+'Cálculos'!$E$123)*'Cálculos'!$E$251)+('Cálculos'!$E$204*(1+'Cálculos'!$E$205+$A$120:$A$165*('Cálculos'!$E$290=3)*'Cálculos'!$E$103)+'Cálculos'!$E$206)*('Cálculos'!$E$242+'Cálculos'!$E$124*(1+2.78*('Cálculos'!$E$198+(($C147)-$A$120:$A$165)*'Cálculos'!$E$98)/(('Cálculos'!$E$198+(($C147)-$A$120:$A$165)*'Cálculos'!$E$98)+1400)+'Cálculos'!$E$122)*'Cálculos'!$E$247+'Cálculos'!$E$125*(1+2.78*('Cálculos'!$E$198+(($C147)-$A$120:$A$165)*'Cálculos'!$E$98)/(('Cálculos'!$E$198+(($C147)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147)-$A$120:$A$165)*'Cálculos'!$E$98)/(('Cálculos'!$E$199+(($C147)-$A$120:$A$165)*'Cálculos'!$E$98)+1400)+'Cálculos'!$E$122)*'Cálculos'!$E$259+'Cálculos'!$E$125*(1+2.78*('Cálculos'!$E$199+(($C147)-$A$120:$A$165)*'Cálculos'!$E$98)/(('Cálculos'!$E$199+(($C147)-$A$120:$A$165)*'Cálculos'!$E$98)+1400)+'Cálculos'!$E$123)*'Cálculos'!$E$264)+('Cálculos'!$E$199+(($C147)-$A$120:$A$165)*'Cálculos'!$E$98)*('Cálculos'!$E$255+'Cálculos'!$E$124*(1+2.78*('Cálculos'!$E$199+(($C147)-$A$120:$A$165)*'Cálculos'!$E$98)/(('Cálculos'!$E$199+(($C147)-$A$120:$A$165)*'Cálculos'!$E$98)+1400)+'Cálculos'!$E$122)*'Cálculos'!$E$260+'Cálculos'!$E$125*(1+2.78*('Cálculos'!$E$199+(($C147)-$A$120:$A$165)*'Cálculos'!$E$98)/(('Cálculos'!$E$199+(($C147)-$A$120:$A$165)*'Cálculos'!$E$98)+1400)+'Cálculos'!$E$123)*'Cálculos'!$E$265)+('Cálculos'!$E$201*(1+'Cálculos'!$E$202+$A$120:$A$165*('Cálculos'!$E$290=2)*'Cálculos'!$E$101)+'Cálculos'!$E$203)*('Cálculos'!$E$256+'Cálculos'!$E$124*(1+2.78*('Cálculos'!$E$199+(($C147)-$A$120:$A$165)*'Cálculos'!$E$98)/(('Cálculos'!$E$199+(($C147)-$A$120:$A$165)*'Cálculos'!$E$98)+1400)+'Cálculos'!$E$122)*'Cálculos'!$E$261+'Cálculos'!$E$125*(1+2.78*('Cálculos'!$E$199+(($C147)-$A$120:$A$165)*'Cálculos'!$E$98)/(('Cálculos'!$E$199+(($C147)-$A$120:$A$165)*'Cálculos'!$E$98)+1400)+'Cálculos'!$E$123)*'Cálculos'!$E$266)+('Cálculos'!$E$204*(1+'Cálculos'!$E$205+$A$120:$A$165*('Cálculos'!$E$290=3)*'Cálculos'!$E$103)+'Cálculos'!$E$206)*('Cálculos'!$E$257+'Cálculos'!$E$124*(1+2.78*('Cálculos'!$E$199+(($C147)-$A$120:$A$165)*'Cálculos'!$E$98)/(('Cálculos'!$E$199+(($C147)-$A$120:$A$165)*'Cálculos'!$E$98)+1400)+'Cálculos'!$E$122)*'Cálculos'!$E$262+'Cálculos'!$E$125*(1+2.78*('Cálculos'!$E$199+(($C147)-$A$120:$A$165)*'Cálculos'!$E$98)/(('Cálculos'!$E$199+(($C147)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147)-$A$120:$A$165)*'Cálculos'!$E$98)/(('Cálculos'!$E$200+(($C147)-$A$120:$A$165)*'Cálculos'!$E$98)+1400)+'Cálculos'!$E$122)*'Cálculos'!$E$274+'Cálculos'!$E$125*(1+2.78*('Cálculos'!$E$200+(($C147)-$A$120:$A$165)*'Cálculos'!$E$98)/(('Cálculos'!$E$200+(($C147)-$A$120:$A$165)*'Cálculos'!$E$98)+1400)+'Cálculos'!$E$123)*'Cálculos'!$E$279)+('Cálculos'!$E$200+(($C147)-$A$120:$A$165)*'Cálculos'!$E$98)*('Cálculos'!$E$270+'Cálculos'!$E$124*(1+2.78*('Cálculos'!$E$200+(($C147)-$A$120:$A$165)*'Cálculos'!$E$98)/(('Cálculos'!$E$200+(($C147)-$A$120:$A$165)*'Cálculos'!$E$98)+1400)+'Cálculos'!$E$122)*'Cálculos'!$E$275+'Cálculos'!$E$125*(1+2.78*('Cálculos'!$E$200+(($C147)-$A$120:$A$165)*'Cálculos'!$E$98)/(('Cálculos'!$E$200+(($C147)-$A$120:$A$165)*'Cálculos'!$E$98)+1400)+'Cálculos'!$E$123)*'Cálculos'!$E$280)+('Cálculos'!$E$201*(1+'Cálculos'!$E$202+$A$120:$A$165*('Cálculos'!$E$290=2)*'Cálculos'!$E$101)+'Cálculos'!$E$203)*('Cálculos'!$E$271+'Cálculos'!$E$124*(1+2.78*('Cálculos'!$E$200+(($C147)-$A$120:$A$165)*'Cálculos'!$E$98)/(('Cálculos'!$E$200+(($C147)-$A$120:$A$165)*'Cálculos'!$E$98)+1400)+'Cálculos'!$E$122)*'Cálculos'!$E$276+'Cálculos'!$E$125*(1+2.78*('Cálculos'!$E$200+(($C147)-$A$120:$A$165)*'Cálculos'!$E$98)/(('Cálculos'!$E$200+(($C147)-$A$120:$A$165)*'Cálculos'!$E$98)+1400)+'Cálculos'!$E$123)*'Cálculos'!$E$281)+('Cálculos'!$E$204*(1+'Cálculos'!$E$205+$A$120:$A$165*('Cálculos'!$E$290=3)*'Cálculos'!$E$103)+'Cálculos'!$E$206)*('Cálculos'!$E$272+'Cálculos'!$E$124*(1+2.78*('Cálculos'!$E$200+(($C147)-$A$120:$A$165)*'Cálculos'!$E$98)/(('Cálculos'!$E$200+(($C147)-$A$120:$A$165)*'Cálculos'!$E$98)+1400)+'Cálculos'!$E$122)*'Cálculos'!$E$277+'Cálculos'!$E$125*(1+2.78*('Cálculos'!$E$200+(($C147)-$A$120:$A$165)*'Cálculos'!$E$98)/(('Cálculos'!$E$200+(($C147)-$A$120:$A$165)*'Cálculos'!$E$98)+1400)+'Cálculos'!$E$123)*'Cálculos'!$E$282)))))</f>
        <v>0</v>
      </c>
      <c r="E147" s="32">
        <f>IF(OR($C147&lt;0,'Cálculos'!$E$6=""),0,$B147*$D147)</f>
        <v>0</v>
      </c>
      <c r="F147" s="2"/>
      <c r="G147" s="30">
        <f>($A147&lt;=$B$167)*($A147&lt;='Cálculos'!$E$294)*(($B$167)-$A147&lt;='Cálculos'!$E$295)*(1+MIN(('Cálculos'!$E$207+$A147*'Cálculos'!$E$95),1)*('Cálculos'!$E$208+(($B$167)-$A147)*'Cálculos'!$E$96))</f>
        <v>0</v>
      </c>
      <c r="H147" s="31">
        <f>IF($B$168&lt;0,0,($A147&lt;=$B$168)*($A147&lt;='Cálculos'!$E$301)*(($B$168)-$A147&lt;='Cálculos'!$E$297)*(('Cálculos'!$E$185*(1+'Cálculos'!$E$186+$A147*('Cálculos'!$E$290=1)*'Cálculos'!$E$97+'Cálculos'!$E$305)+'Cálculos'!$E$191)*('Cálculos'!$E$209+'Cálculos'!$E$124*(1+2.78*('Cálculos'!$E$196+(($B$168)-$A147)*'Cálculos'!$E$98)/(('Cálculos'!$E$196+(($B$168)-$A147)*'Cálculos'!$E$98)+1400)+'Cálculos'!$E$122)*'Cálculos'!$E$214+'Cálculos'!$E$125*(1+2.78*('Cálculos'!$E$196+(($B$168)-$A147)*'Cálculos'!$E$98)/(('Cálculos'!$E$196+(($B$168)-$A147)*'Cálculos'!$E$98)+1400)+'Cálculos'!$E$123)*'Cálculos'!$E$219)+('Cálculos'!$E$196+(($B$168)-$A147)*'Cálculos'!$E$98)*('Cálculos'!$E$210+'Cálculos'!$E$124*(1+2.78*('Cálculos'!$E$196+(($B$168)-$A147)*'Cálculos'!$E$98)/(('Cálculos'!$E$196+(($B$168)-$A147)*'Cálculos'!$E$98)+1400)+'Cálculos'!$E$122)*'Cálculos'!$E$215+'Cálculos'!$E$125*(1+2.78*('Cálculos'!$E$196+(($B$168)-$A147)*'Cálculos'!$E$98)/(('Cálculos'!$E$196+(($B$168)-$A147)*'Cálculos'!$E$98)+1400)+'Cálculos'!$E$123)*'Cálculos'!$E$220)+('Cálculos'!$E$201*(1+'Cálculos'!$E$202+$A147*('Cálculos'!$E$290=2)*'Cálculos'!$E$101)+'Cálculos'!$E$203)*('Cálculos'!$E$211+'Cálculos'!$E$124*(1+2.78*('Cálculos'!$E$196+(($B$168)-$A147)*'Cálculos'!$E$98)/(('Cálculos'!$E$196+(($B$168)-$A147)*'Cálculos'!$E$98)+1400)+'Cálculos'!$E$122)*'Cálculos'!$E$216+'Cálculos'!$E$125*(1+2.78*('Cálculos'!$E$196+(($B$168)-$A147)*'Cálculos'!$E$98)/(('Cálculos'!$E$196+(($B$168)-$A147)*'Cálculos'!$E$98)+1400)+'Cálculos'!$E$123)*'Cálculos'!$E$221)+('Cálculos'!$E$204*(1+'Cálculos'!$E$205+$A147*('Cálculos'!$E$290=3)*'Cálculos'!$E$103)+'Cálculos'!$E$206)*('Cálculos'!$E$212+'Cálculos'!$E$124*(1+2.78*('Cálculos'!$E$196+(($B$168)-$A147)*'Cálculos'!$E$98)/(('Cálculos'!$E$196+(($B$168)-$A147)*'Cálculos'!$E$98)+1400)+'Cálculos'!$E$122)*'Cálculos'!$E$217+'Cálculos'!$E$125*(1+2.78*('Cálculos'!$E$196+(($B$168)-$A147)*'Cálculos'!$E$98)/(('Cálculos'!$E$196+(($B$168)-$A147)*'Cálculos'!$E$98)+1400)+'Cálculos'!$E$123)*'Cálculos'!$E$222)+('Cálculos'!$E$185*(1+'Cálculos'!$E$187+$A147*('Cálculos'!$E$290=1)*'Cálculos'!$E$97+'Cálculos'!$E$305)+'Cálculos'!$E$192)*('Cálculos'!$E$224+'Cálculos'!$E$124*(1+2.78*('Cálculos'!$E$197+(($B$168)-$A147)*'Cálculos'!$E$98)/(('Cálculos'!$E$197+(($B$168)-$A147)*'Cálculos'!$E$98)+1400)+'Cálculos'!$E$122)*'Cálculos'!$E$229+'Cálculos'!$E$125*(1+2.78*('Cálculos'!$E$197+(($B$168)-$A147)*'Cálculos'!$E$98)/(('Cálculos'!$E$197+(($B$168)-$A147)*'Cálculos'!$E$98)+1400)+'Cálculos'!$E$123)*'Cálculos'!$E$234)+('Cálculos'!$E$197+(($B$168)-$A147)*'Cálculos'!$E$98)*('Cálculos'!$E$225+'Cálculos'!$E$124*(1+2.78*('Cálculos'!$E$197+(($B$168)-$A147)*'Cálculos'!$E$98)/(('Cálculos'!$E$197+(($B$168)-$A147)*'Cálculos'!$E$98)+1400)+'Cálculos'!$E$122)*'Cálculos'!$E$230+'Cálculos'!$E$125*(1+2.78*('Cálculos'!$E$197+(($B$168)-$A147)*'Cálculos'!$E$98)/(('Cálculos'!$E$197+(($B$168)-$A147)*'Cálculos'!$E$98)+1400)+'Cálculos'!$E$123)*'Cálculos'!$E$235)+('Cálculos'!$E$201*(1+'Cálculos'!$E$202+$A147*('Cálculos'!$E$290=2)*'Cálculos'!$E$101)+'Cálculos'!$E$203)*('Cálculos'!$E$226+'Cálculos'!$E$124*(1+2.78*('Cálculos'!$E$197+(($B$168)-$A147)*'Cálculos'!$E$98)/(('Cálculos'!$E$197+(($B$168)-$A147)*'Cálculos'!$E$98)+1400)+'Cálculos'!$E$122)*'Cálculos'!$E$231+'Cálculos'!$E$125*(1+2.78*('Cálculos'!$E$197+(($B$168)-$A147)*'Cálculos'!$E$98)/(('Cálculos'!$E$197+(($B$168)-$A147)*'Cálculos'!$E$98)+1400)+'Cálculos'!$E$123)*'Cálculos'!$E$236)+('Cálculos'!$E$204*(1+'Cálculos'!$E$205+$A147*('Cálculos'!$E$290=3)*'Cálculos'!$E$103)+'Cálculos'!$E$206)*('Cálculos'!$E$227+'Cálculos'!$E$124*(1+2.78*('Cálculos'!$E$197+(($B$168)-$A147)*'Cálculos'!$E$98)/(('Cálculos'!$E$197+(($B$168)-$A147)*'Cálculos'!$E$98)+1400)+'Cálculos'!$E$122)*'Cálculos'!$E$232+'Cálculos'!$E$125*(1+2.78*('Cálculos'!$E$197+(($B$168)-$A147)*'Cálculos'!$E$98)/(('Cálculos'!$E$197+(($B$168)-$A147)*'Cálculos'!$E$98)+1400)+'Cálculos'!$E$123)*'Cálculos'!$E$237)+('Cálculos'!$E$185*(1+'Cálculos'!$E$188+$A147*('Cálculos'!$E$290=1)*'Cálculos'!$E$97+'Cálculos'!$E$305)+'Cálculos'!$E$193)*('Cálculos'!$E$239+'Cálculos'!$E$124*(1+2.78*('Cálculos'!$E$198+(($B$168)-$A147)*'Cálculos'!$E$98)/(('Cálculos'!$E$198+(($B$168)-$A147)*'Cálculos'!$E$98)+1400)+'Cálculos'!$E$122)*'Cálculos'!$E$244+'Cálculos'!$E$125*(1+2.78*('Cálculos'!$E$198+(($B$168)-$A147)*'Cálculos'!$E$98)/(('Cálculos'!$E$198+(($B$168)-$A147)*'Cálculos'!$E$98)+1400)+'Cálculos'!$E$123)*'Cálculos'!$E$249)+('Cálculos'!$E$198+(($B$168)-$A147)*'Cálculos'!$E$98)*('Cálculos'!$E$240+'Cálculos'!$E$124*(1+2.78*('Cálculos'!$E$198+(($B$168)-$A147)*'Cálculos'!$E$98)/(('Cálculos'!$E$198+(($B$168)-$A147)*'Cálculos'!$E$98)+1400)+'Cálculos'!$E$122)*'Cálculos'!$E$245+'Cálculos'!$E$125*(1+2.78*('Cálculos'!$E$198+(($B$168)-$A147)*'Cálculos'!$E$98)/(('Cálculos'!$E$198+(($B$168)-$A147)*'Cálculos'!$E$98)+1400)+'Cálculos'!$E$123)*'Cálculos'!$E$250)+('Cálculos'!$E$201*(1+'Cálculos'!$E$202+$A147*('Cálculos'!$E$290=2)*'Cálculos'!$E$101)+'Cálculos'!$E$203)*('Cálculos'!$E$241+'Cálculos'!$E$124*(1+2.78*('Cálculos'!$E$198+(($B$168)-$A147)*'Cálculos'!$E$98)/(('Cálculos'!$E$198+(($B$168)-$A147)*'Cálculos'!$E$98)+1400)+'Cálculos'!$E$122)*'Cálculos'!$E$246+'Cálculos'!$E$125*(1+2.78*('Cálculos'!$E$198+(($B$168)-$A147)*'Cálculos'!$E$98)/(('Cálculos'!$E$198+(($B$168)-$A147)*'Cálculos'!$E$98)+1400)+'Cálculos'!$E$123)*'Cálculos'!$E$251)+('Cálculos'!$E$204*(1+'Cálculos'!$E$205+$A147*('Cálculos'!$E$290=3)*'Cálculos'!$E$103)+'Cálculos'!$E$206)*('Cálculos'!$E$242+'Cálculos'!$E$124*(1+2.78*('Cálculos'!$E$198+(($B$168)-$A147)*'Cálculos'!$E$98)/(('Cálculos'!$E$198+(($B$168)-$A147)*'Cálculos'!$E$98)+1400)+'Cálculos'!$E$122)*'Cálculos'!$E$247+'Cálculos'!$E$125*(1+2.78*('Cálculos'!$E$198+(($B$168)-$A147)*'Cálculos'!$E$98)/(('Cálculos'!$E$198+(($B$168)-$A147)*'Cálculos'!$E$98)+1400)+'Cálculos'!$E$123)*'Cálculos'!$E$252)+('Cálculos'!$E$185*(1+'Cálculos'!$E$189+$A147*('Cálculos'!$E$290=1)*'Cálculos'!$E$97+'Cálculos'!$E$305)+'Cálculos'!$E$194)*('Cálculos'!$E$254+'Cálculos'!$E$124*(1+2.78*('Cálculos'!$E$199+(($B$168)-$A147)*'Cálculos'!$E$98)/(('Cálculos'!$E$199+(($B$168)-$A147)*'Cálculos'!$E$98)+1400)+'Cálculos'!$E$122)*'Cálculos'!$E$259+'Cálculos'!$E$125*(1+2.78*('Cálculos'!$E$199+(($B$168)-$A147)*'Cálculos'!$E$98)/(('Cálculos'!$E$199+(($B$168)-$A147)*'Cálculos'!$E$98)+1400)+'Cálculos'!$E$123)*'Cálculos'!$E$264)+('Cálculos'!$E$199+(($B$168)-$A147)*'Cálculos'!$E$98)*('Cálculos'!$E$255+'Cálculos'!$E$124*(1+2.78*('Cálculos'!$E$199+(($B$168)-$A147)*'Cálculos'!$E$98)/(('Cálculos'!$E$199+(($B$168)-$A147)*'Cálculos'!$E$98)+1400)+'Cálculos'!$E$122)*'Cálculos'!$E$260+'Cálculos'!$E$125*(1+2.78*('Cálculos'!$E$199+(($B$168)-$A147)*'Cálculos'!$E$98)/(('Cálculos'!$E$199+(($B$168)-$A147)*'Cálculos'!$E$98)+1400)+'Cálculos'!$E$123)*'Cálculos'!$E$265)+('Cálculos'!$E$201*(1+'Cálculos'!$E$202+$A147*('Cálculos'!$E$290=2)*'Cálculos'!$E$101)+'Cálculos'!$E$203)*('Cálculos'!$E$256+'Cálculos'!$E$124*(1+2.78*('Cálculos'!$E$199+(($B$168)-$A147)*'Cálculos'!$E$98)/(('Cálculos'!$E$199+(($B$168)-$A147)*'Cálculos'!$E$98)+1400)+'Cálculos'!$E$122)*'Cálculos'!$E$261+'Cálculos'!$E$125*(1+2.78*('Cálculos'!$E$199+(($B$168)-$A147)*'Cálculos'!$E$98)/(('Cálculos'!$E$199+(($B$168)-$A147)*'Cálculos'!$E$98)+1400)+'Cálculos'!$E$123)*'Cálculos'!$E$266)+('Cálculos'!$E$204*(1+'Cálculos'!$E$205+$A147*('Cálculos'!$E$290=3)*'Cálculos'!$E$103)+'Cálculos'!$E$206)*('Cálculos'!$E$257+'Cálculos'!$E$124*(1+2.78*('Cálculos'!$E$199+(($B$168)-$A147)*'Cálculos'!$E$98)/(('Cálculos'!$E$199+(($B$168)-$A147)*'Cálculos'!$E$98)+1400)+'Cálculos'!$E$122)*'Cálculos'!$E$262+'Cálculos'!$E$125*(1+2.78*('Cálculos'!$E$199+(($B$168)-$A147)*'Cálculos'!$E$98)/(('Cálculos'!$E$199+(($B$168)-$A147)*'Cálculos'!$E$98)+1400)+'Cálculos'!$E$123)*'Cálculos'!$E$267)+('Cálculos'!$E$185*(1+'Cálculos'!$E$190+$A147*('Cálculos'!$E$290=1)*'Cálculos'!$E$97+'Cálculos'!$E$305)+'Cálculos'!$E$195)*('Cálculos'!$E$269+'Cálculos'!$E$124*(1+2.78*('Cálculos'!$E$200+(($B$168)-$A147)*'Cálculos'!$E$98)/(('Cálculos'!$E$200+(($B$168)-$A147)*'Cálculos'!$E$98)+1400)+'Cálculos'!$E$122)*'Cálculos'!$E$274+'Cálculos'!$E$125*(1+2.78*('Cálculos'!$E$200+(($B$168)-$A147)*'Cálculos'!$E$98)/(('Cálculos'!$E$200+(($B$168)-$A147)*'Cálculos'!$E$98)+1400)+'Cálculos'!$E$123)*'Cálculos'!$E$279)+('Cálculos'!$E$200+(($B$168)-$A147)*'Cálculos'!$E$98)*('Cálculos'!$E$270+'Cálculos'!$E$124*(1+2.78*('Cálculos'!$E$200+(($B$168)-$A147)*'Cálculos'!$E$98)/(('Cálculos'!$E$200+(($B$168)-$A147)*'Cálculos'!$E$98)+1400)+'Cálculos'!$E$122)*'Cálculos'!$E$275+'Cálculos'!$E$125*(1+2.78*('Cálculos'!$E$200+(($B$168)-$A147)*'Cálculos'!$E$98)/(('Cálculos'!$E$200+(($B$168)-$A147)*'Cálculos'!$E$98)+1400)+'Cálculos'!$E$123)*'Cálculos'!$E$280)+('Cálculos'!$E$201*(1+'Cálculos'!$E$202+$A147*('Cálculos'!$E$290=2)*'Cálculos'!$E$101)+'Cálculos'!$E$203)*('Cálculos'!$E$271+'Cálculos'!$E$124*(1+2.78*('Cálculos'!$E$200+(($B$168)-$A147)*'Cálculos'!$E$98)/(('Cálculos'!$E$200+(($B$168)-$A147)*'Cálculos'!$E$98)+1400)+'Cálculos'!$E$122)*'Cálculos'!$E$276+'Cálculos'!$E$125*(1+2.78*('Cálculos'!$E$200+(($B$168)-$A147)*'Cálculos'!$E$98)/(('Cálculos'!$E$200+(($B$168)-$A147)*'Cálculos'!$E$98)+1400)+'Cálculos'!$E$123)*'Cálculos'!$E$281)+('Cálculos'!$E$204*(1+'Cálculos'!$E$205+$A147*('Cálculos'!$E$290=3)*'Cálculos'!$E$103)+'Cálculos'!$E$206)*('Cálculos'!$E$272+'Cálculos'!$E$124*(1+2.78*('Cálculos'!$E$200+(($B$168)-$A147)*'Cálculos'!$E$98)/(('Cálculos'!$E$200+(($B$168)-$A147)*'Cálculos'!$E$98)+1400)+'Cálculos'!$E$122)*'Cálculos'!$E$277+'Cálculos'!$E$125*(1+2.78*('Cálculos'!$E$200+(($B$168)-$A147)*'Cálculos'!$E$98)/(('Cálculos'!$E$200+(($B$168)-$A147)*'Cálculos'!$E$98)+1400)+'Cálculos'!$E$123)*'Cálculos'!$E$282)))</f>
        <v>0</v>
      </c>
    </row>
    <row r="148" ht="15.75" customHeight="1">
      <c r="A148" s="2">
        <v>28.0</v>
      </c>
      <c r="B148" s="30">
        <f>SUMPRODUCT(MAX(($A$120:$A$165&lt;=$A148)*($A$120:$A$165&lt;='Cálculos'!$E$294)*(($A148)-$A$120:$A$165&lt;='Cálculos'!$E$295)*(1+(('Cálculos'!$E$207+$A$120:$A$165*'Cálculos'!$E$95)-(('Cálculos'!$E$207+$A$120:$A$165*'Cálculos'!$E$95)&gt;1)*(('Cálculos'!$E$207+$A$120:$A$165*'Cálculos'!$E$95)-1))*('Cálculos'!$E$208+(($A148)-$A$120:$A$165)*'Cálculos'!$E$96))))</f>
        <v>2.389224</v>
      </c>
      <c r="C148" s="2">
        <f>'Cálculos'!$E$303-$A148</f>
        <v>-15</v>
      </c>
      <c r="D148" s="31">
        <f>IF($C148&lt;0,0,SUMPRODUCT(MAX(($A$120:$A$165&lt;=$C148)*($A$120:$A$165&lt;='Cálculos'!$E$301)*(($C148)-$A$120:$A$165&lt;='Cálculos'!$E$297)*(('Cálculos'!$E$185*(1+'Cálculos'!$E$186+$A$120:$A$165*('Cálculos'!$E$290=1)*'Cálculos'!$E$97+'Cálculos'!$E$305)+'Cálculos'!$E$191)*('Cálculos'!$E$209+'Cálculos'!$E$124*(1+2.78*('Cálculos'!$E$196+(($C148)-$A$120:$A$165)*'Cálculos'!$E$98)/(('Cálculos'!$E$196+(($C148)-$A$120:$A$165)*'Cálculos'!$E$98)+1400)+'Cálculos'!$E$122)*'Cálculos'!$E$214+'Cálculos'!$E$125*(1+2.78*('Cálculos'!$E$196+(($C148)-$A$120:$A$165)*'Cálculos'!$E$98)/(('Cálculos'!$E$196+(($C148)-$A$120:$A$165)*'Cálculos'!$E$98)+1400)+'Cálculos'!$E$123)*'Cálculos'!$E$219)+('Cálculos'!$E$196+(($C148)-$A$120:$A$165)*'Cálculos'!$E$98)*('Cálculos'!$E$210+'Cálculos'!$E$124*(1+2.78*('Cálculos'!$E$196+(($C148)-$A$120:$A$165)*'Cálculos'!$E$98)/(('Cálculos'!$E$196+(($C148)-$A$120:$A$165)*'Cálculos'!$E$98)+1400)+'Cálculos'!$E$122)*'Cálculos'!$E$215+'Cálculos'!$E$125*(1+2.78*('Cálculos'!$E$196+(($C148)-$A$120:$A$165)*'Cálculos'!$E$98)/(('Cálculos'!$E$196+(($C148)-$A$120:$A$165)*'Cálculos'!$E$98)+1400)+'Cálculos'!$E$123)*'Cálculos'!$E$220)+('Cálculos'!$E$201*(1+'Cálculos'!$E$202+$A$120:$A$165*('Cálculos'!$E$290=2)*'Cálculos'!$E$101)+'Cálculos'!$E$203)*('Cálculos'!$E$211+'Cálculos'!$E$124*(1+2.78*('Cálculos'!$E$196+(($C148)-$A$120:$A$165)*'Cálculos'!$E$98)/(('Cálculos'!$E$196+(($C148)-$A$120:$A$165)*'Cálculos'!$E$98)+1400)+'Cálculos'!$E$122)*'Cálculos'!$E$216+'Cálculos'!$E$125*(1+2.78*('Cálculos'!$E$196+(($C148)-$A$120:$A$165)*'Cálculos'!$E$98)/(('Cálculos'!$E$196+(($C148)-$A$120:$A$165)*'Cálculos'!$E$98)+1400)+'Cálculos'!$E$123)*'Cálculos'!$E$221)+('Cálculos'!$E$204*(1+'Cálculos'!$E$205+$A$120:$A$165*('Cálculos'!$E$290=3)*'Cálculos'!$E$103)+'Cálculos'!$E$206)*('Cálculos'!$E$212+'Cálculos'!$E$124*(1+2.78*('Cálculos'!$E$196+(($C148)-$A$120:$A$165)*'Cálculos'!$E$98)/(('Cálculos'!$E$196+(($C148)-$A$120:$A$165)*'Cálculos'!$E$98)+1400)+'Cálculos'!$E$122)*'Cálculos'!$E$217+'Cálculos'!$E$125*(1+2.78*('Cálculos'!$E$196+(($C148)-$A$120:$A$165)*'Cálculos'!$E$98)/(('Cálculos'!$E$196+(($C148)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148)-$A$120:$A$165)*'Cálculos'!$E$98)/(('Cálculos'!$E$197+(($C148)-$A$120:$A$165)*'Cálculos'!$E$98)+1400)+'Cálculos'!$E$122)*'Cálculos'!$E$229+'Cálculos'!$E$125*(1+2.78*('Cálculos'!$E$197+(($C148)-$A$120:$A$165)*'Cálculos'!$E$98)/(('Cálculos'!$E$197+(($C148)-$A$120:$A$165)*'Cálculos'!$E$98)+1400)+'Cálculos'!$E$123)*'Cálculos'!$E$234)+('Cálculos'!$E$197+(($C148)-$A$120:$A$165)*'Cálculos'!$E$98)*('Cálculos'!$E$225+'Cálculos'!$E$124*(1+2.78*('Cálculos'!$E$197+(($C148)-$A$120:$A$165)*'Cálculos'!$E$98)/(('Cálculos'!$E$197+(($C148)-$A$120:$A$165)*'Cálculos'!$E$98)+1400)+'Cálculos'!$E$122)*'Cálculos'!$E$230+'Cálculos'!$E$125*(1+2.78*('Cálculos'!$E$197+(($C148)-$A$120:$A$165)*'Cálculos'!$E$98)/(('Cálculos'!$E$197+(($C148)-$A$120:$A$165)*'Cálculos'!$E$98)+1400)+'Cálculos'!$E$123)*'Cálculos'!$E$235)+('Cálculos'!$E$201*(1+'Cálculos'!$E$202+$A$120:$A$165*('Cálculos'!$E$290=2)*'Cálculos'!$E$101)+'Cálculos'!$E$203)*('Cálculos'!$E$226+'Cálculos'!$E$124*(1+2.78*('Cálculos'!$E$197+(($C148)-$A$120:$A$165)*'Cálculos'!$E$98)/(('Cálculos'!$E$197+(($C148)-$A$120:$A$165)*'Cálculos'!$E$98)+1400)+'Cálculos'!$E$122)*'Cálculos'!$E$231+'Cálculos'!$E$125*(1+2.78*('Cálculos'!$E$197+(($C148)-$A$120:$A$165)*'Cálculos'!$E$98)/(('Cálculos'!$E$197+(($C148)-$A$120:$A$165)*'Cálculos'!$E$98)+1400)+'Cálculos'!$E$123)*'Cálculos'!$E$236)+('Cálculos'!$E$204*(1+'Cálculos'!$E$205+$A$120:$A$165*('Cálculos'!$E$290=3)*'Cálculos'!$E$103)+'Cálculos'!$E$206)*('Cálculos'!$E$227+'Cálculos'!$E$124*(1+2.78*('Cálculos'!$E$197+(($C148)-$A$120:$A$165)*'Cálculos'!$E$98)/(('Cálculos'!$E$197+(($C148)-$A$120:$A$165)*'Cálculos'!$E$98)+1400)+'Cálculos'!$E$122)*'Cálculos'!$E$232+'Cálculos'!$E$125*(1+2.78*('Cálculos'!$E$197+(($C148)-$A$120:$A$165)*'Cálculos'!$E$98)/(('Cálculos'!$E$197+(($C148)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148)-$A$120:$A$165)*'Cálculos'!$E$98)/(('Cálculos'!$E$198+(($C148)-$A$120:$A$165)*'Cálculos'!$E$98)+1400)+'Cálculos'!$E$122)*'Cálculos'!$E$244+'Cálculos'!$E$125*(1+2.78*('Cálculos'!$E$198+(($C148)-$A$120:$A$165)*'Cálculos'!$E$98)/(('Cálculos'!$E$198+(($C148)-$A$120:$A$165)*'Cálculos'!$E$98)+1400)+'Cálculos'!$E$123)*'Cálculos'!$E$249)+('Cálculos'!$E$198+(($C148)-$A$120:$A$165)*'Cálculos'!$E$98)*('Cálculos'!$E$240+'Cálculos'!$E$124*(1+2.78*('Cálculos'!$E$198+(($C148)-$A$120:$A$165)*'Cálculos'!$E$98)/(('Cálculos'!$E$198+(($C148)-$A$120:$A$165)*'Cálculos'!$E$98)+1400)+'Cálculos'!$E$122)*'Cálculos'!$E$245+'Cálculos'!$E$125*(1+2.78*('Cálculos'!$E$198+(($C148)-$A$120:$A$165)*'Cálculos'!$E$98)/(('Cálculos'!$E$198+(($C148)-$A$120:$A$165)*'Cálculos'!$E$98)+1400)+'Cálculos'!$E$123)*'Cálculos'!$E$250)+('Cálculos'!$E$201*(1+'Cálculos'!$E$202+$A$120:$A$165*('Cálculos'!$E$290=2)*'Cálculos'!$E$101)+'Cálculos'!$E$203)*('Cálculos'!$E$241+'Cálculos'!$E$124*(1+2.78*('Cálculos'!$E$198+(($C148)-$A$120:$A$165)*'Cálculos'!$E$98)/(('Cálculos'!$E$198+(($C148)-$A$120:$A$165)*'Cálculos'!$E$98)+1400)+'Cálculos'!$E$122)*'Cálculos'!$E$246+'Cálculos'!$E$125*(1+2.78*('Cálculos'!$E$198+(($C148)-$A$120:$A$165)*'Cálculos'!$E$98)/(('Cálculos'!$E$198+(($C148)-$A$120:$A$165)*'Cálculos'!$E$98)+1400)+'Cálculos'!$E$123)*'Cálculos'!$E$251)+('Cálculos'!$E$204*(1+'Cálculos'!$E$205+$A$120:$A$165*('Cálculos'!$E$290=3)*'Cálculos'!$E$103)+'Cálculos'!$E$206)*('Cálculos'!$E$242+'Cálculos'!$E$124*(1+2.78*('Cálculos'!$E$198+(($C148)-$A$120:$A$165)*'Cálculos'!$E$98)/(('Cálculos'!$E$198+(($C148)-$A$120:$A$165)*'Cálculos'!$E$98)+1400)+'Cálculos'!$E$122)*'Cálculos'!$E$247+'Cálculos'!$E$125*(1+2.78*('Cálculos'!$E$198+(($C148)-$A$120:$A$165)*'Cálculos'!$E$98)/(('Cálculos'!$E$198+(($C148)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148)-$A$120:$A$165)*'Cálculos'!$E$98)/(('Cálculos'!$E$199+(($C148)-$A$120:$A$165)*'Cálculos'!$E$98)+1400)+'Cálculos'!$E$122)*'Cálculos'!$E$259+'Cálculos'!$E$125*(1+2.78*('Cálculos'!$E$199+(($C148)-$A$120:$A$165)*'Cálculos'!$E$98)/(('Cálculos'!$E$199+(($C148)-$A$120:$A$165)*'Cálculos'!$E$98)+1400)+'Cálculos'!$E$123)*'Cálculos'!$E$264)+('Cálculos'!$E$199+(($C148)-$A$120:$A$165)*'Cálculos'!$E$98)*('Cálculos'!$E$255+'Cálculos'!$E$124*(1+2.78*('Cálculos'!$E$199+(($C148)-$A$120:$A$165)*'Cálculos'!$E$98)/(('Cálculos'!$E$199+(($C148)-$A$120:$A$165)*'Cálculos'!$E$98)+1400)+'Cálculos'!$E$122)*'Cálculos'!$E$260+'Cálculos'!$E$125*(1+2.78*('Cálculos'!$E$199+(($C148)-$A$120:$A$165)*'Cálculos'!$E$98)/(('Cálculos'!$E$199+(($C148)-$A$120:$A$165)*'Cálculos'!$E$98)+1400)+'Cálculos'!$E$123)*'Cálculos'!$E$265)+('Cálculos'!$E$201*(1+'Cálculos'!$E$202+$A$120:$A$165*('Cálculos'!$E$290=2)*'Cálculos'!$E$101)+'Cálculos'!$E$203)*('Cálculos'!$E$256+'Cálculos'!$E$124*(1+2.78*('Cálculos'!$E$199+(($C148)-$A$120:$A$165)*'Cálculos'!$E$98)/(('Cálculos'!$E$199+(($C148)-$A$120:$A$165)*'Cálculos'!$E$98)+1400)+'Cálculos'!$E$122)*'Cálculos'!$E$261+'Cálculos'!$E$125*(1+2.78*('Cálculos'!$E$199+(($C148)-$A$120:$A$165)*'Cálculos'!$E$98)/(('Cálculos'!$E$199+(($C148)-$A$120:$A$165)*'Cálculos'!$E$98)+1400)+'Cálculos'!$E$123)*'Cálculos'!$E$266)+('Cálculos'!$E$204*(1+'Cálculos'!$E$205+$A$120:$A$165*('Cálculos'!$E$290=3)*'Cálculos'!$E$103)+'Cálculos'!$E$206)*('Cálculos'!$E$257+'Cálculos'!$E$124*(1+2.78*('Cálculos'!$E$199+(($C148)-$A$120:$A$165)*'Cálculos'!$E$98)/(('Cálculos'!$E$199+(($C148)-$A$120:$A$165)*'Cálculos'!$E$98)+1400)+'Cálculos'!$E$122)*'Cálculos'!$E$262+'Cálculos'!$E$125*(1+2.78*('Cálculos'!$E$199+(($C148)-$A$120:$A$165)*'Cálculos'!$E$98)/(('Cálculos'!$E$199+(($C148)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148)-$A$120:$A$165)*'Cálculos'!$E$98)/(('Cálculos'!$E$200+(($C148)-$A$120:$A$165)*'Cálculos'!$E$98)+1400)+'Cálculos'!$E$122)*'Cálculos'!$E$274+'Cálculos'!$E$125*(1+2.78*('Cálculos'!$E$200+(($C148)-$A$120:$A$165)*'Cálculos'!$E$98)/(('Cálculos'!$E$200+(($C148)-$A$120:$A$165)*'Cálculos'!$E$98)+1400)+'Cálculos'!$E$123)*'Cálculos'!$E$279)+('Cálculos'!$E$200+(($C148)-$A$120:$A$165)*'Cálculos'!$E$98)*('Cálculos'!$E$270+'Cálculos'!$E$124*(1+2.78*('Cálculos'!$E$200+(($C148)-$A$120:$A$165)*'Cálculos'!$E$98)/(('Cálculos'!$E$200+(($C148)-$A$120:$A$165)*'Cálculos'!$E$98)+1400)+'Cálculos'!$E$122)*'Cálculos'!$E$275+'Cálculos'!$E$125*(1+2.78*('Cálculos'!$E$200+(($C148)-$A$120:$A$165)*'Cálculos'!$E$98)/(('Cálculos'!$E$200+(($C148)-$A$120:$A$165)*'Cálculos'!$E$98)+1400)+'Cálculos'!$E$123)*'Cálculos'!$E$280)+('Cálculos'!$E$201*(1+'Cálculos'!$E$202+$A$120:$A$165*('Cálculos'!$E$290=2)*'Cálculos'!$E$101)+'Cálculos'!$E$203)*('Cálculos'!$E$271+'Cálculos'!$E$124*(1+2.78*('Cálculos'!$E$200+(($C148)-$A$120:$A$165)*'Cálculos'!$E$98)/(('Cálculos'!$E$200+(($C148)-$A$120:$A$165)*'Cálculos'!$E$98)+1400)+'Cálculos'!$E$122)*'Cálculos'!$E$276+'Cálculos'!$E$125*(1+2.78*('Cálculos'!$E$200+(($C148)-$A$120:$A$165)*'Cálculos'!$E$98)/(('Cálculos'!$E$200+(($C148)-$A$120:$A$165)*'Cálculos'!$E$98)+1400)+'Cálculos'!$E$123)*'Cálculos'!$E$281)+('Cálculos'!$E$204*(1+'Cálculos'!$E$205+$A$120:$A$165*('Cálculos'!$E$290=3)*'Cálculos'!$E$103)+'Cálculos'!$E$206)*('Cálculos'!$E$272+'Cálculos'!$E$124*(1+2.78*('Cálculos'!$E$200+(($C148)-$A$120:$A$165)*'Cálculos'!$E$98)/(('Cálculos'!$E$200+(($C148)-$A$120:$A$165)*'Cálculos'!$E$98)+1400)+'Cálculos'!$E$122)*'Cálculos'!$E$277+'Cálculos'!$E$125*(1+2.78*('Cálculos'!$E$200+(($C148)-$A$120:$A$165)*'Cálculos'!$E$98)/(('Cálculos'!$E$200+(($C148)-$A$120:$A$165)*'Cálculos'!$E$98)+1400)+'Cálculos'!$E$123)*'Cálculos'!$E$282)))))</f>
        <v>0</v>
      </c>
      <c r="E148" s="32">
        <f>IF(OR($C148&lt;0,'Cálculos'!$E$6=""),0,$B148*$D148)</f>
        <v>0</v>
      </c>
      <c r="F148" s="2"/>
      <c r="G148" s="30">
        <f>($A148&lt;=$B$167)*($A148&lt;='Cálculos'!$E$294)*(($B$167)-$A148&lt;='Cálculos'!$E$295)*(1+MIN(('Cálculos'!$E$207+$A148*'Cálculos'!$E$95),1)*('Cálculos'!$E$208+(($B$167)-$A148)*'Cálculos'!$E$96))</f>
        <v>0</v>
      </c>
      <c r="H148" s="31">
        <f>IF($B$168&lt;0,0,($A148&lt;=$B$168)*($A148&lt;='Cálculos'!$E$301)*(($B$168)-$A148&lt;='Cálculos'!$E$297)*(('Cálculos'!$E$185*(1+'Cálculos'!$E$186+$A148*('Cálculos'!$E$290=1)*'Cálculos'!$E$97+'Cálculos'!$E$305)+'Cálculos'!$E$191)*('Cálculos'!$E$209+'Cálculos'!$E$124*(1+2.78*('Cálculos'!$E$196+(($B$168)-$A148)*'Cálculos'!$E$98)/(('Cálculos'!$E$196+(($B$168)-$A148)*'Cálculos'!$E$98)+1400)+'Cálculos'!$E$122)*'Cálculos'!$E$214+'Cálculos'!$E$125*(1+2.78*('Cálculos'!$E$196+(($B$168)-$A148)*'Cálculos'!$E$98)/(('Cálculos'!$E$196+(($B$168)-$A148)*'Cálculos'!$E$98)+1400)+'Cálculos'!$E$123)*'Cálculos'!$E$219)+('Cálculos'!$E$196+(($B$168)-$A148)*'Cálculos'!$E$98)*('Cálculos'!$E$210+'Cálculos'!$E$124*(1+2.78*('Cálculos'!$E$196+(($B$168)-$A148)*'Cálculos'!$E$98)/(('Cálculos'!$E$196+(($B$168)-$A148)*'Cálculos'!$E$98)+1400)+'Cálculos'!$E$122)*'Cálculos'!$E$215+'Cálculos'!$E$125*(1+2.78*('Cálculos'!$E$196+(($B$168)-$A148)*'Cálculos'!$E$98)/(('Cálculos'!$E$196+(($B$168)-$A148)*'Cálculos'!$E$98)+1400)+'Cálculos'!$E$123)*'Cálculos'!$E$220)+('Cálculos'!$E$201*(1+'Cálculos'!$E$202+$A148*('Cálculos'!$E$290=2)*'Cálculos'!$E$101)+'Cálculos'!$E$203)*('Cálculos'!$E$211+'Cálculos'!$E$124*(1+2.78*('Cálculos'!$E$196+(($B$168)-$A148)*'Cálculos'!$E$98)/(('Cálculos'!$E$196+(($B$168)-$A148)*'Cálculos'!$E$98)+1400)+'Cálculos'!$E$122)*'Cálculos'!$E$216+'Cálculos'!$E$125*(1+2.78*('Cálculos'!$E$196+(($B$168)-$A148)*'Cálculos'!$E$98)/(('Cálculos'!$E$196+(($B$168)-$A148)*'Cálculos'!$E$98)+1400)+'Cálculos'!$E$123)*'Cálculos'!$E$221)+('Cálculos'!$E$204*(1+'Cálculos'!$E$205+$A148*('Cálculos'!$E$290=3)*'Cálculos'!$E$103)+'Cálculos'!$E$206)*('Cálculos'!$E$212+'Cálculos'!$E$124*(1+2.78*('Cálculos'!$E$196+(($B$168)-$A148)*'Cálculos'!$E$98)/(('Cálculos'!$E$196+(($B$168)-$A148)*'Cálculos'!$E$98)+1400)+'Cálculos'!$E$122)*'Cálculos'!$E$217+'Cálculos'!$E$125*(1+2.78*('Cálculos'!$E$196+(($B$168)-$A148)*'Cálculos'!$E$98)/(('Cálculos'!$E$196+(($B$168)-$A148)*'Cálculos'!$E$98)+1400)+'Cálculos'!$E$123)*'Cálculos'!$E$222)+('Cálculos'!$E$185*(1+'Cálculos'!$E$187+$A148*('Cálculos'!$E$290=1)*'Cálculos'!$E$97+'Cálculos'!$E$305)+'Cálculos'!$E$192)*('Cálculos'!$E$224+'Cálculos'!$E$124*(1+2.78*('Cálculos'!$E$197+(($B$168)-$A148)*'Cálculos'!$E$98)/(('Cálculos'!$E$197+(($B$168)-$A148)*'Cálculos'!$E$98)+1400)+'Cálculos'!$E$122)*'Cálculos'!$E$229+'Cálculos'!$E$125*(1+2.78*('Cálculos'!$E$197+(($B$168)-$A148)*'Cálculos'!$E$98)/(('Cálculos'!$E$197+(($B$168)-$A148)*'Cálculos'!$E$98)+1400)+'Cálculos'!$E$123)*'Cálculos'!$E$234)+('Cálculos'!$E$197+(($B$168)-$A148)*'Cálculos'!$E$98)*('Cálculos'!$E$225+'Cálculos'!$E$124*(1+2.78*('Cálculos'!$E$197+(($B$168)-$A148)*'Cálculos'!$E$98)/(('Cálculos'!$E$197+(($B$168)-$A148)*'Cálculos'!$E$98)+1400)+'Cálculos'!$E$122)*'Cálculos'!$E$230+'Cálculos'!$E$125*(1+2.78*('Cálculos'!$E$197+(($B$168)-$A148)*'Cálculos'!$E$98)/(('Cálculos'!$E$197+(($B$168)-$A148)*'Cálculos'!$E$98)+1400)+'Cálculos'!$E$123)*'Cálculos'!$E$235)+('Cálculos'!$E$201*(1+'Cálculos'!$E$202+$A148*('Cálculos'!$E$290=2)*'Cálculos'!$E$101)+'Cálculos'!$E$203)*('Cálculos'!$E$226+'Cálculos'!$E$124*(1+2.78*('Cálculos'!$E$197+(($B$168)-$A148)*'Cálculos'!$E$98)/(('Cálculos'!$E$197+(($B$168)-$A148)*'Cálculos'!$E$98)+1400)+'Cálculos'!$E$122)*'Cálculos'!$E$231+'Cálculos'!$E$125*(1+2.78*('Cálculos'!$E$197+(($B$168)-$A148)*'Cálculos'!$E$98)/(('Cálculos'!$E$197+(($B$168)-$A148)*'Cálculos'!$E$98)+1400)+'Cálculos'!$E$123)*'Cálculos'!$E$236)+('Cálculos'!$E$204*(1+'Cálculos'!$E$205+$A148*('Cálculos'!$E$290=3)*'Cálculos'!$E$103)+'Cálculos'!$E$206)*('Cálculos'!$E$227+'Cálculos'!$E$124*(1+2.78*('Cálculos'!$E$197+(($B$168)-$A148)*'Cálculos'!$E$98)/(('Cálculos'!$E$197+(($B$168)-$A148)*'Cálculos'!$E$98)+1400)+'Cálculos'!$E$122)*'Cálculos'!$E$232+'Cálculos'!$E$125*(1+2.78*('Cálculos'!$E$197+(($B$168)-$A148)*'Cálculos'!$E$98)/(('Cálculos'!$E$197+(($B$168)-$A148)*'Cálculos'!$E$98)+1400)+'Cálculos'!$E$123)*'Cálculos'!$E$237)+('Cálculos'!$E$185*(1+'Cálculos'!$E$188+$A148*('Cálculos'!$E$290=1)*'Cálculos'!$E$97+'Cálculos'!$E$305)+'Cálculos'!$E$193)*('Cálculos'!$E$239+'Cálculos'!$E$124*(1+2.78*('Cálculos'!$E$198+(($B$168)-$A148)*'Cálculos'!$E$98)/(('Cálculos'!$E$198+(($B$168)-$A148)*'Cálculos'!$E$98)+1400)+'Cálculos'!$E$122)*'Cálculos'!$E$244+'Cálculos'!$E$125*(1+2.78*('Cálculos'!$E$198+(($B$168)-$A148)*'Cálculos'!$E$98)/(('Cálculos'!$E$198+(($B$168)-$A148)*'Cálculos'!$E$98)+1400)+'Cálculos'!$E$123)*'Cálculos'!$E$249)+('Cálculos'!$E$198+(($B$168)-$A148)*'Cálculos'!$E$98)*('Cálculos'!$E$240+'Cálculos'!$E$124*(1+2.78*('Cálculos'!$E$198+(($B$168)-$A148)*'Cálculos'!$E$98)/(('Cálculos'!$E$198+(($B$168)-$A148)*'Cálculos'!$E$98)+1400)+'Cálculos'!$E$122)*'Cálculos'!$E$245+'Cálculos'!$E$125*(1+2.78*('Cálculos'!$E$198+(($B$168)-$A148)*'Cálculos'!$E$98)/(('Cálculos'!$E$198+(($B$168)-$A148)*'Cálculos'!$E$98)+1400)+'Cálculos'!$E$123)*'Cálculos'!$E$250)+('Cálculos'!$E$201*(1+'Cálculos'!$E$202+$A148*('Cálculos'!$E$290=2)*'Cálculos'!$E$101)+'Cálculos'!$E$203)*('Cálculos'!$E$241+'Cálculos'!$E$124*(1+2.78*('Cálculos'!$E$198+(($B$168)-$A148)*'Cálculos'!$E$98)/(('Cálculos'!$E$198+(($B$168)-$A148)*'Cálculos'!$E$98)+1400)+'Cálculos'!$E$122)*'Cálculos'!$E$246+'Cálculos'!$E$125*(1+2.78*('Cálculos'!$E$198+(($B$168)-$A148)*'Cálculos'!$E$98)/(('Cálculos'!$E$198+(($B$168)-$A148)*'Cálculos'!$E$98)+1400)+'Cálculos'!$E$123)*'Cálculos'!$E$251)+('Cálculos'!$E$204*(1+'Cálculos'!$E$205+$A148*('Cálculos'!$E$290=3)*'Cálculos'!$E$103)+'Cálculos'!$E$206)*('Cálculos'!$E$242+'Cálculos'!$E$124*(1+2.78*('Cálculos'!$E$198+(($B$168)-$A148)*'Cálculos'!$E$98)/(('Cálculos'!$E$198+(($B$168)-$A148)*'Cálculos'!$E$98)+1400)+'Cálculos'!$E$122)*'Cálculos'!$E$247+'Cálculos'!$E$125*(1+2.78*('Cálculos'!$E$198+(($B$168)-$A148)*'Cálculos'!$E$98)/(('Cálculos'!$E$198+(($B$168)-$A148)*'Cálculos'!$E$98)+1400)+'Cálculos'!$E$123)*'Cálculos'!$E$252)+('Cálculos'!$E$185*(1+'Cálculos'!$E$189+$A148*('Cálculos'!$E$290=1)*'Cálculos'!$E$97+'Cálculos'!$E$305)+'Cálculos'!$E$194)*('Cálculos'!$E$254+'Cálculos'!$E$124*(1+2.78*('Cálculos'!$E$199+(($B$168)-$A148)*'Cálculos'!$E$98)/(('Cálculos'!$E$199+(($B$168)-$A148)*'Cálculos'!$E$98)+1400)+'Cálculos'!$E$122)*'Cálculos'!$E$259+'Cálculos'!$E$125*(1+2.78*('Cálculos'!$E$199+(($B$168)-$A148)*'Cálculos'!$E$98)/(('Cálculos'!$E$199+(($B$168)-$A148)*'Cálculos'!$E$98)+1400)+'Cálculos'!$E$123)*'Cálculos'!$E$264)+('Cálculos'!$E$199+(($B$168)-$A148)*'Cálculos'!$E$98)*('Cálculos'!$E$255+'Cálculos'!$E$124*(1+2.78*('Cálculos'!$E$199+(($B$168)-$A148)*'Cálculos'!$E$98)/(('Cálculos'!$E$199+(($B$168)-$A148)*'Cálculos'!$E$98)+1400)+'Cálculos'!$E$122)*'Cálculos'!$E$260+'Cálculos'!$E$125*(1+2.78*('Cálculos'!$E$199+(($B$168)-$A148)*'Cálculos'!$E$98)/(('Cálculos'!$E$199+(($B$168)-$A148)*'Cálculos'!$E$98)+1400)+'Cálculos'!$E$123)*'Cálculos'!$E$265)+('Cálculos'!$E$201*(1+'Cálculos'!$E$202+$A148*('Cálculos'!$E$290=2)*'Cálculos'!$E$101)+'Cálculos'!$E$203)*('Cálculos'!$E$256+'Cálculos'!$E$124*(1+2.78*('Cálculos'!$E$199+(($B$168)-$A148)*'Cálculos'!$E$98)/(('Cálculos'!$E$199+(($B$168)-$A148)*'Cálculos'!$E$98)+1400)+'Cálculos'!$E$122)*'Cálculos'!$E$261+'Cálculos'!$E$125*(1+2.78*('Cálculos'!$E$199+(($B$168)-$A148)*'Cálculos'!$E$98)/(('Cálculos'!$E$199+(($B$168)-$A148)*'Cálculos'!$E$98)+1400)+'Cálculos'!$E$123)*'Cálculos'!$E$266)+('Cálculos'!$E$204*(1+'Cálculos'!$E$205+$A148*('Cálculos'!$E$290=3)*'Cálculos'!$E$103)+'Cálculos'!$E$206)*('Cálculos'!$E$257+'Cálculos'!$E$124*(1+2.78*('Cálculos'!$E$199+(($B$168)-$A148)*'Cálculos'!$E$98)/(('Cálculos'!$E$199+(($B$168)-$A148)*'Cálculos'!$E$98)+1400)+'Cálculos'!$E$122)*'Cálculos'!$E$262+'Cálculos'!$E$125*(1+2.78*('Cálculos'!$E$199+(($B$168)-$A148)*'Cálculos'!$E$98)/(('Cálculos'!$E$199+(($B$168)-$A148)*'Cálculos'!$E$98)+1400)+'Cálculos'!$E$123)*'Cálculos'!$E$267)+('Cálculos'!$E$185*(1+'Cálculos'!$E$190+$A148*('Cálculos'!$E$290=1)*'Cálculos'!$E$97+'Cálculos'!$E$305)+'Cálculos'!$E$195)*('Cálculos'!$E$269+'Cálculos'!$E$124*(1+2.78*('Cálculos'!$E$200+(($B$168)-$A148)*'Cálculos'!$E$98)/(('Cálculos'!$E$200+(($B$168)-$A148)*'Cálculos'!$E$98)+1400)+'Cálculos'!$E$122)*'Cálculos'!$E$274+'Cálculos'!$E$125*(1+2.78*('Cálculos'!$E$200+(($B$168)-$A148)*'Cálculos'!$E$98)/(('Cálculos'!$E$200+(($B$168)-$A148)*'Cálculos'!$E$98)+1400)+'Cálculos'!$E$123)*'Cálculos'!$E$279)+('Cálculos'!$E$200+(($B$168)-$A148)*'Cálculos'!$E$98)*('Cálculos'!$E$270+'Cálculos'!$E$124*(1+2.78*('Cálculos'!$E$200+(($B$168)-$A148)*'Cálculos'!$E$98)/(('Cálculos'!$E$200+(($B$168)-$A148)*'Cálculos'!$E$98)+1400)+'Cálculos'!$E$122)*'Cálculos'!$E$275+'Cálculos'!$E$125*(1+2.78*('Cálculos'!$E$200+(($B$168)-$A148)*'Cálculos'!$E$98)/(('Cálculos'!$E$200+(($B$168)-$A148)*'Cálculos'!$E$98)+1400)+'Cálculos'!$E$123)*'Cálculos'!$E$280)+('Cálculos'!$E$201*(1+'Cálculos'!$E$202+$A148*('Cálculos'!$E$290=2)*'Cálculos'!$E$101)+'Cálculos'!$E$203)*('Cálculos'!$E$271+'Cálculos'!$E$124*(1+2.78*('Cálculos'!$E$200+(($B$168)-$A148)*'Cálculos'!$E$98)/(('Cálculos'!$E$200+(($B$168)-$A148)*'Cálculos'!$E$98)+1400)+'Cálculos'!$E$122)*'Cálculos'!$E$276+'Cálculos'!$E$125*(1+2.78*('Cálculos'!$E$200+(($B$168)-$A148)*'Cálculos'!$E$98)/(('Cálculos'!$E$200+(($B$168)-$A148)*'Cálculos'!$E$98)+1400)+'Cálculos'!$E$123)*'Cálculos'!$E$281)+('Cálculos'!$E$204*(1+'Cálculos'!$E$205+$A148*('Cálculos'!$E$290=3)*'Cálculos'!$E$103)+'Cálculos'!$E$206)*('Cálculos'!$E$272+'Cálculos'!$E$124*(1+2.78*('Cálculos'!$E$200+(($B$168)-$A148)*'Cálculos'!$E$98)/(('Cálculos'!$E$200+(($B$168)-$A148)*'Cálculos'!$E$98)+1400)+'Cálculos'!$E$122)*'Cálculos'!$E$277+'Cálculos'!$E$125*(1+2.78*('Cálculos'!$E$200+(($B$168)-$A148)*'Cálculos'!$E$98)/(('Cálculos'!$E$200+(($B$168)-$A148)*'Cálculos'!$E$98)+1400)+'Cálculos'!$E$123)*'Cálculos'!$E$282)))</f>
        <v>0</v>
      </c>
    </row>
    <row r="149" ht="15.75" customHeight="1">
      <c r="A149" s="2">
        <v>29.0</v>
      </c>
      <c r="B149" s="30">
        <f>SUMPRODUCT(MAX(($A$120:$A$165&lt;=$A149)*($A$120:$A$165&lt;='Cálculos'!$E$294)*(($A149)-$A$120:$A$165&lt;='Cálculos'!$E$295)*(1+(('Cálculos'!$E$207+$A$120:$A$165*'Cálculos'!$E$95)-(('Cálculos'!$E$207+$A$120:$A$165*'Cálculos'!$E$95)&gt;1)*(('Cálculos'!$E$207+$A$120:$A$165*'Cálculos'!$E$95)-1))*('Cálculos'!$E$208+(($A149)-$A$120:$A$165)*'Cálculos'!$E$96))))</f>
        <v>2.444928</v>
      </c>
      <c r="C149" s="2">
        <f>'Cálculos'!$E$303-$A149</f>
        <v>-16</v>
      </c>
      <c r="D149" s="31">
        <f>IF($C149&lt;0,0,SUMPRODUCT(MAX(($A$120:$A$165&lt;=$C149)*($A$120:$A$165&lt;='Cálculos'!$E$301)*(($C149)-$A$120:$A$165&lt;='Cálculos'!$E$297)*(('Cálculos'!$E$185*(1+'Cálculos'!$E$186+$A$120:$A$165*('Cálculos'!$E$290=1)*'Cálculos'!$E$97+'Cálculos'!$E$305)+'Cálculos'!$E$191)*('Cálculos'!$E$209+'Cálculos'!$E$124*(1+2.78*('Cálculos'!$E$196+(($C149)-$A$120:$A$165)*'Cálculos'!$E$98)/(('Cálculos'!$E$196+(($C149)-$A$120:$A$165)*'Cálculos'!$E$98)+1400)+'Cálculos'!$E$122)*'Cálculos'!$E$214+'Cálculos'!$E$125*(1+2.78*('Cálculos'!$E$196+(($C149)-$A$120:$A$165)*'Cálculos'!$E$98)/(('Cálculos'!$E$196+(($C149)-$A$120:$A$165)*'Cálculos'!$E$98)+1400)+'Cálculos'!$E$123)*'Cálculos'!$E$219)+('Cálculos'!$E$196+(($C149)-$A$120:$A$165)*'Cálculos'!$E$98)*('Cálculos'!$E$210+'Cálculos'!$E$124*(1+2.78*('Cálculos'!$E$196+(($C149)-$A$120:$A$165)*'Cálculos'!$E$98)/(('Cálculos'!$E$196+(($C149)-$A$120:$A$165)*'Cálculos'!$E$98)+1400)+'Cálculos'!$E$122)*'Cálculos'!$E$215+'Cálculos'!$E$125*(1+2.78*('Cálculos'!$E$196+(($C149)-$A$120:$A$165)*'Cálculos'!$E$98)/(('Cálculos'!$E$196+(($C149)-$A$120:$A$165)*'Cálculos'!$E$98)+1400)+'Cálculos'!$E$123)*'Cálculos'!$E$220)+('Cálculos'!$E$201*(1+'Cálculos'!$E$202+$A$120:$A$165*('Cálculos'!$E$290=2)*'Cálculos'!$E$101)+'Cálculos'!$E$203)*('Cálculos'!$E$211+'Cálculos'!$E$124*(1+2.78*('Cálculos'!$E$196+(($C149)-$A$120:$A$165)*'Cálculos'!$E$98)/(('Cálculos'!$E$196+(($C149)-$A$120:$A$165)*'Cálculos'!$E$98)+1400)+'Cálculos'!$E$122)*'Cálculos'!$E$216+'Cálculos'!$E$125*(1+2.78*('Cálculos'!$E$196+(($C149)-$A$120:$A$165)*'Cálculos'!$E$98)/(('Cálculos'!$E$196+(($C149)-$A$120:$A$165)*'Cálculos'!$E$98)+1400)+'Cálculos'!$E$123)*'Cálculos'!$E$221)+('Cálculos'!$E$204*(1+'Cálculos'!$E$205+$A$120:$A$165*('Cálculos'!$E$290=3)*'Cálculos'!$E$103)+'Cálculos'!$E$206)*('Cálculos'!$E$212+'Cálculos'!$E$124*(1+2.78*('Cálculos'!$E$196+(($C149)-$A$120:$A$165)*'Cálculos'!$E$98)/(('Cálculos'!$E$196+(($C149)-$A$120:$A$165)*'Cálculos'!$E$98)+1400)+'Cálculos'!$E$122)*'Cálculos'!$E$217+'Cálculos'!$E$125*(1+2.78*('Cálculos'!$E$196+(($C149)-$A$120:$A$165)*'Cálculos'!$E$98)/(('Cálculos'!$E$196+(($C149)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149)-$A$120:$A$165)*'Cálculos'!$E$98)/(('Cálculos'!$E$197+(($C149)-$A$120:$A$165)*'Cálculos'!$E$98)+1400)+'Cálculos'!$E$122)*'Cálculos'!$E$229+'Cálculos'!$E$125*(1+2.78*('Cálculos'!$E$197+(($C149)-$A$120:$A$165)*'Cálculos'!$E$98)/(('Cálculos'!$E$197+(($C149)-$A$120:$A$165)*'Cálculos'!$E$98)+1400)+'Cálculos'!$E$123)*'Cálculos'!$E$234)+('Cálculos'!$E$197+(($C149)-$A$120:$A$165)*'Cálculos'!$E$98)*('Cálculos'!$E$225+'Cálculos'!$E$124*(1+2.78*('Cálculos'!$E$197+(($C149)-$A$120:$A$165)*'Cálculos'!$E$98)/(('Cálculos'!$E$197+(($C149)-$A$120:$A$165)*'Cálculos'!$E$98)+1400)+'Cálculos'!$E$122)*'Cálculos'!$E$230+'Cálculos'!$E$125*(1+2.78*('Cálculos'!$E$197+(($C149)-$A$120:$A$165)*'Cálculos'!$E$98)/(('Cálculos'!$E$197+(($C149)-$A$120:$A$165)*'Cálculos'!$E$98)+1400)+'Cálculos'!$E$123)*'Cálculos'!$E$235)+('Cálculos'!$E$201*(1+'Cálculos'!$E$202+$A$120:$A$165*('Cálculos'!$E$290=2)*'Cálculos'!$E$101)+'Cálculos'!$E$203)*('Cálculos'!$E$226+'Cálculos'!$E$124*(1+2.78*('Cálculos'!$E$197+(($C149)-$A$120:$A$165)*'Cálculos'!$E$98)/(('Cálculos'!$E$197+(($C149)-$A$120:$A$165)*'Cálculos'!$E$98)+1400)+'Cálculos'!$E$122)*'Cálculos'!$E$231+'Cálculos'!$E$125*(1+2.78*('Cálculos'!$E$197+(($C149)-$A$120:$A$165)*'Cálculos'!$E$98)/(('Cálculos'!$E$197+(($C149)-$A$120:$A$165)*'Cálculos'!$E$98)+1400)+'Cálculos'!$E$123)*'Cálculos'!$E$236)+('Cálculos'!$E$204*(1+'Cálculos'!$E$205+$A$120:$A$165*('Cálculos'!$E$290=3)*'Cálculos'!$E$103)+'Cálculos'!$E$206)*('Cálculos'!$E$227+'Cálculos'!$E$124*(1+2.78*('Cálculos'!$E$197+(($C149)-$A$120:$A$165)*'Cálculos'!$E$98)/(('Cálculos'!$E$197+(($C149)-$A$120:$A$165)*'Cálculos'!$E$98)+1400)+'Cálculos'!$E$122)*'Cálculos'!$E$232+'Cálculos'!$E$125*(1+2.78*('Cálculos'!$E$197+(($C149)-$A$120:$A$165)*'Cálculos'!$E$98)/(('Cálculos'!$E$197+(($C149)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149)-$A$120:$A$165)*'Cálculos'!$E$98)/(('Cálculos'!$E$198+(($C149)-$A$120:$A$165)*'Cálculos'!$E$98)+1400)+'Cálculos'!$E$122)*'Cálculos'!$E$244+'Cálculos'!$E$125*(1+2.78*('Cálculos'!$E$198+(($C149)-$A$120:$A$165)*'Cálculos'!$E$98)/(('Cálculos'!$E$198+(($C149)-$A$120:$A$165)*'Cálculos'!$E$98)+1400)+'Cálculos'!$E$123)*'Cálculos'!$E$249)+('Cálculos'!$E$198+(($C149)-$A$120:$A$165)*'Cálculos'!$E$98)*('Cálculos'!$E$240+'Cálculos'!$E$124*(1+2.78*('Cálculos'!$E$198+(($C149)-$A$120:$A$165)*'Cálculos'!$E$98)/(('Cálculos'!$E$198+(($C149)-$A$120:$A$165)*'Cálculos'!$E$98)+1400)+'Cálculos'!$E$122)*'Cálculos'!$E$245+'Cálculos'!$E$125*(1+2.78*('Cálculos'!$E$198+(($C149)-$A$120:$A$165)*'Cálculos'!$E$98)/(('Cálculos'!$E$198+(($C149)-$A$120:$A$165)*'Cálculos'!$E$98)+1400)+'Cálculos'!$E$123)*'Cálculos'!$E$250)+('Cálculos'!$E$201*(1+'Cálculos'!$E$202+$A$120:$A$165*('Cálculos'!$E$290=2)*'Cálculos'!$E$101)+'Cálculos'!$E$203)*('Cálculos'!$E$241+'Cálculos'!$E$124*(1+2.78*('Cálculos'!$E$198+(($C149)-$A$120:$A$165)*'Cálculos'!$E$98)/(('Cálculos'!$E$198+(($C149)-$A$120:$A$165)*'Cálculos'!$E$98)+1400)+'Cálculos'!$E$122)*'Cálculos'!$E$246+'Cálculos'!$E$125*(1+2.78*('Cálculos'!$E$198+(($C149)-$A$120:$A$165)*'Cálculos'!$E$98)/(('Cálculos'!$E$198+(($C149)-$A$120:$A$165)*'Cálculos'!$E$98)+1400)+'Cálculos'!$E$123)*'Cálculos'!$E$251)+('Cálculos'!$E$204*(1+'Cálculos'!$E$205+$A$120:$A$165*('Cálculos'!$E$290=3)*'Cálculos'!$E$103)+'Cálculos'!$E$206)*('Cálculos'!$E$242+'Cálculos'!$E$124*(1+2.78*('Cálculos'!$E$198+(($C149)-$A$120:$A$165)*'Cálculos'!$E$98)/(('Cálculos'!$E$198+(($C149)-$A$120:$A$165)*'Cálculos'!$E$98)+1400)+'Cálculos'!$E$122)*'Cálculos'!$E$247+'Cálculos'!$E$125*(1+2.78*('Cálculos'!$E$198+(($C149)-$A$120:$A$165)*'Cálculos'!$E$98)/(('Cálculos'!$E$198+(($C149)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149)-$A$120:$A$165)*'Cálculos'!$E$98)/(('Cálculos'!$E$199+(($C149)-$A$120:$A$165)*'Cálculos'!$E$98)+1400)+'Cálculos'!$E$122)*'Cálculos'!$E$259+'Cálculos'!$E$125*(1+2.78*('Cálculos'!$E$199+(($C149)-$A$120:$A$165)*'Cálculos'!$E$98)/(('Cálculos'!$E$199+(($C149)-$A$120:$A$165)*'Cálculos'!$E$98)+1400)+'Cálculos'!$E$123)*'Cálculos'!$E$264)+('Cálculos'!$E$199+(($C149)-$A$120:$A$165)*'Cálculos'!$E$98)*('Cálculos'!$E$255+'Cálculos'!$E$124*(1+2.78*('Cálculos'!$E$199+(($C149)-$A$120:$A$165)*'Cálculos'!$E$98)/(('Cálculos'!$E$199+(($C149)-$A$120:$A$165)*'Cálculos'!$E$98)+1400)+'Cálculos'!$E$122)*'Cálculos'!$E$260+'Cálculos'!$E$125*(1+2.78*('Cálculos'!$E$199+(($C149)-$A$120:$A$165)*'Cálculos'!$E$98)/(('Cálculos'!$E$199+(($C149)-$A$120:$A$165)*'Cálculos'!$E$98)+1400)+'Cálculos'!$E$123)*'Cálculos'!$E$265)+('Cálculos'!$E$201*(1+'Cálculos'!$E$202+$A$120:$A$165*('Cálculos'!$E$290=2)*'Cálculos'!$E$101)+'Cálculos'!$E$203)*('Cálculos'!$E$256+'Cálculos'!$E$124*(1+2.78*('Cálculos'!$E$199+(($C149)-$A$120:$A$165)*'Cálculos'!$E$98)/(('Cálculos'!$E$199+(($C149)-$A$120:$A$165)*'Cálculos'!$E$98)+1400)+'Cálculos'!$E$122)*'Cálculos'!$E$261+'Cálculos'!$E$125*(1+2.78*('Cálculos'!$E$199+(($C149)-$A$120:$A$165)*'Cálculos'!$E$98)/(('Cálculos'!$E$199+(($C149)-$A$120:$A$165)*'Cálculos'!$E$98)+1400)+'Cálculos'!$E$123)*'Cálculos'!$E$266)+('Cálculos'!$E$204*(1+'Cálculos'!$E$205+$A$120:$A$165*('Cálculos'!$E$290=3)*'Cálculos'!$E$103)+'Cálculos'!$E$206)*('Cálculos'!$E$257+'Cálculos'!$E$124*(1+2.78*('Cálculos'!$E$199+(($C149)-$A$120:$A$165)*'Cálculos'!$E$98)/(('Cálculos'!$E$199+(($C149)-$A$120:$A$165)*'Cálculos'!$E$98)+1400)+'Cálculos'!$E$122)*'Cálculos'!$E$262+'Cálculos'!$E$125*(1+2.78*('Cálculos'!$E$199+(($C149)-$A$120:$A$165)*'Cálculos'!$E$98)/(('Cálculos'!$E$199+(($C149)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149)-$A$120:$A$165)*'Cálculos'!$E$98)/(('Cálculos'!$E$200+(($C149)-$A$120:$A$165)*'Cálculos'!$E$98)+1400)+'Cálculos'!$E$122)*'Cálculos'!$E$274+'Cálculos'!$E$125*(1+2.78*('Cálculos'!$E$200+(($C149)-$A$120:$A$165)*'Cálculos'!$E$98)/(('Cálculos'!$E$200+(($C149)-$A$120:$A$165)*'Cálculos'!$E$98)+1400)+'Cálculos'!$E$123)*'Cálculos'!$E$279)+('Cálculos'!$E$200+(($C149)-$A$120:$A$165)*'Cálculos'!$E$98)*('Cálculos'!$E$270+'Cálculos'!$E$124*(1+2.78*('Cálculos'!$E$200+(($C149)-$A$120:$A$165)*'Cálculos'!$E$98)/(('Cálculos'!$E$200+(($C149)-$A$120:$A$165)*'Cálculos'!$E$98)+1400)+'Cálculos'!$E$122)*'Cálculos'!$E$275+'Cálculos'!$E$125*(1+2.78*('Cálculos'!$E$200+(($C149)-$A$120:$A$165)*'Cálculos'!$E$98)/(('Cálculos'!$E$200+(($C149)-$A$120:$A$165)*'Cálculos'!$E$98)+1400)+'Cálculos'!$E$123)*'Cálculos'!$E$280)+('Cálculos'!$E$201*(1+'Cálculos'!$E$202+$A$120:$A$165*('Cálculos'!$E$290=2)*'Cálculos'!$E$101)+'Cálculos'!$E$203)*('Cálculos'!$E$271+'Cálculos'!$E$124*(1+2.78*('Cálculos'!$E$200+(($C149)-$A$120:$A$165)*'Cálculos'!$E$98)/(('Cálculos'!$E$200+(($C149)-$A$120:$A$165)*'Cálculos'!$E$98)+1400)+'Cálculos'!$E$122)*'Cálculos'!$E$276+'Cálculos'!$E$125*(1+2.78*('Cálculos'!$E$200+(($C149)-$A$120:$A$165)*'Cálculos'!$E$98)/(('Cálculos'!$E$200+(($C149)-$A$120:$A$165)*'Cálculos'!$E$98)+1400)+'Cálculos'!$E$123)*'Cálculos'!$E$281)+('Cálculos'!$E$204*(1+'Cálculos'!$E$205+$A$120:$A$165*('Cálculos'!$E$290=3)*'Cálculos'!$E$103)+'Cálculos'!$E$206)*('Cálculos'!$E$272+'Cálculos'!$E$124*(1+2.78*('Cálculos'!$E$200+(($C149)-$A$120:$A$165)*'Cálculos'!$E$98)/(('Cálculos'!$E$200+(($C149)-$A$120:$A$165)*'Cálculos'!$E$98)+1400)+'Cálculos'!$E$122)*'Cálculos'!$E$277+'Cálculos'!$E$125*(1+2.78*('Cálculos'!$E$200+(($C149)-$A$120:$A$165)*'Cálculos'!$E$98)/(('Cálculos'!$E$200+(($C149)-$A$120:$A$165)*'Cálculos'!$E$98)+1400)+'Cálculos'!$E$123)*'Cálculos'!$E$282)))))</f>
        <v>0</v>
      </c>
      <c r="E149" s="32">
        <f>IF(OR($C149&lt;0,'Cálculos'!$E$6=""),0,$B149*$D149)</f>
        <v>0</v>
      </c>
      <c r="F149" s="2"/>
      <c r="G149" s="30">
        <f>($A149&lt;=$B$167)*($A149&lt;='Cálculos'!$E$294)*(($B$167)-$A149&lt;='Cálculos'!$E$295)*(1+MIN(('Cálculos'!$E$207+$A149*'Cálculos'!$E$95),1)*('Cálculos'!$E$208+(($B$167)-$A149)*'Cálculos'!$E$96))</f>
        <v>0</v>
      </c>
      <c r="H149" s="31">
        <f>IF($B$168&lt;0,0,($A149&lt;=$B$168)*($A149&lt;='Cálculos'!$E$301)*(($B$168)-$A149&lt;='Cálculos'!$E$297)*(('Cálculos'!$E$185*(1+'Cálculos'!$E$186+$A149*('Cálculos'!$E$290=1)*'Cálculos'!$E$97+'Cálculos'!$E$305)+'Cálculos'!$E$191)*('Cálculos'!$E$209+'Cálculos'!$E$124*(1+2.78*('Cálculos'!$E$196+(($B$168)-$A149)*'Cálculos'!$E$98)/(('Cálculos'!$E$196+(($B$168)-$A149)*'Cálculos'!$E$98)+1400)+'Cálculos'!$E$122)*'Cálculos'!$E$214+'Cálculos'!$E$125*(1+2.78*('Cálculos'!$E$196+(($B$168)-$A149)*'Cálculos'!$E$98)/(('Cálculos'!$E$196+(($B$168)-$A149)*'Cálculos'!$E$98)+1400)+'Cálculos'!$E$123)*'Cálculos'!$E$219)+('Cálculos'!$E$196+(($B$168)-$A149)*'Cálculos'!$E$98)*('Cálculos'!$E$210+'Cálculos'!$E$124*(1+2.78*('Cálculos'!$E$196+(($B$168)-$A149)*'Cálculos'!$E$98)/(('Cálculos'!$E$196+(($B$168)-$A149)*'Cálculos'!$E$98)+1400)+'Cálculos'!$E$122)*'Cálculos'!$E$215+'Cálculos'!$E$125*(1+2.78*('Cálculos'!$E$196+(($B$168)-$A149)*'Cálculos'!$E$98)/(('Cálculos'!$E$196+(($B$168)-$A149)*'Cálculos'!$E$98)+1400)+'Cálculos'!$E$123)*'Cálculos'!$E$220)+('Cálculos'!$E$201*(1+'Cálculos'!$E$202+$A149*('Cálculos'!$E$290=2)*'Cálculos'!$E$101)+'Cálculos'!$E$203)*('Cálculos'!$E$211+'Cálculos'!$E$124*(1+2.78*('Cálculos'!$E$196+(($B$168)-$A149)*'Cálculos'!$E$98)/(('Cálculos'!$E$196+(($B$168)-$A149)*'Cálculos'!$E$98)+1400)+'Cálculos'!$E$122)*'Cálculos'!$E$216+'Cálculos'!$E$125*(1+2.78*('Cálculos'!$E$196+(($B$168)-$A149)*'Cálculos'!$E$98)/(('Cálculos'!$E$196+(($B$168)-$A149)*'Cálculos'!$E$98)+1400)+'Cálculos'!$E$123)*'Cálculos'!$E$221)+('Cálculos'!$E$204*(1+'Cálculos'!$E$205+$A149*('Cálculos'!$E$290=3)*'Cálculos'!$E$103)+'Cálculos'!$E$206)*('Cálculos'!$E$212+'Cálculos'!$E$124*(1+2.78*('Cálculos'!$E$196+(($B$168)-$A149)*'Cálculos'!$E$98)/(('Cálculos'!$E$196+(($B$168)-$A149)*'Cálculos'!$E$98)+1400)+'Cálculos'!$E$122)*'Cálculos'!$E$217+'Cálculos'!$E$125*(1+2.78*('Cálculos'!$E$196+(($B$168)-$A149)*'Cálculos'!$E$98)/(('Cálculos'!$E$196+(($B$168)-$A149)*'Cálculos'!$E$98)+1400)+'Cálculos'!$E$123)*'Cálculos'!$E$222)+('Cálculos'!$E$185*(1+'Cálculos'!$E$187+$A149*('Cálculos'!$E$290=1)*'Cálculos'!$E$97+'Cálculos'!$E$305)+'Cálculos'!$E$192)*('Cálculos'!$E$224+'Cálculos'!$E$124*(1+2.78*('Cálculos'!$E$197+(($B$168)-$A149)*'Cálculos'!$E$98)/(('Cálculos'!$E$197+(($B$168)-$A149)*'Cálculos'!$E$98)+1400)+'Cálculos'!$E$122)*'Cálculos'!$E$229+'Cálculos'!$E$125*(1+2.78*('Cálculos'!$E$197+(($B$168)-$A149)*'Cálculos'!$E$98)/(('Cálculos'!$E$197+(($B$168)-$A149)*'Cálculos'!$E$98)+1400)+'Cálculos'!$E$123)*'Cálculos'!$E$234)+('Cálculos'!$E$197+(($B$168)-$A149)*'Cálculos'!$E$98)*('Cálculos'!$E$225+'Cálculos'!$E$124*(1+2.78*('Cálculos'!$E$197+(($B$168)-$A149)*'Cálculos'!$E$98)/(('Cálculos'!$E$197+(($B$168)-$A149)*'Cálculos'!$E$98)+1400)+'Cálculos'!$E$122)*'Cálculos'!$E$230+'Cálculos'!$E$125*(1+2.78*('Cálculos'!$E$197+(($B$168)-$A149)*'Cálculos'!$E$98)/(('Cálculos'!$E$197+(($B$168)-$A149)*'Cálculos'!$E$98)+1400)+'Cálculos'!$E$123)*'Cálculos'!$E$235)+('Cálculos'!$E$201*(1+'Cálculos'!$E$202+$A149*('Cálculos'!$E$290=2)*'Cálculos'!$E$101)+'Cálculos'!$E$203)*('Cálculos'!$E$226+'Cálculos'!$E$124*(1+2.78*('Cálculos'!$E$197+(($B$168)-$A149)*'Cálculos'!$E$98)/(('Cálculos'!$E$197+(($B$168)-$A149)*'Cálculos'!$E$98)+1400)+'Cálculos'!$E$122)*'Cálculos'!$E$231+'Cálculos'!$E$125*(1+2.78*('Cálculos'!$E$197+(($B$168)-$A149)*'Cálculos'!$E$98)/(('Cálculos'!$E$197+(($B$168)-$A149)*'Cálculos'!$E$98)+1400)+'Cálculos'!$E$123)*'Cálculos'!$E$236)+('Cálculos'!$E$204*(1+'Cálculos'!$E$205+$A149*('Cálculos'!$E$290=3)*'Cálculos'!$E$103)+'Cálculos'!$E$206)*('Cálculos'!$E$227+'Cálculos'!$E$124*(1+2.78*('Cálculos'!$E$197+(($B$168)-$A149)*'Cálculos'!$E$98)/(('Cálculos'!$E$197+(($B$168)-$A149)*'Cálculos'!$E$98)+1400)+'Cálculos'!$E$122)*'Cálculos'!$E$232+'Cálculos'!$E$125*(1+2.78*('Cálculos'!$E$197+(($B$168)-$A149)*'Cálculos'!$E$98)/(('Cálculos'!$E$197+(($B$168)-$A149)*'Cálculos'!$E$98)+1400)+'Cálculos'!$E$123)*'Cálculos'!$E$237)+('Cálculos'!$E$185*(1+'Cálculos'!$E$188+$A149*('Cálculos'!$E$290=1)*'Cálculos'!$E$97+'Cálculos'!$E$305)+'Cálculos'!$E$193)*('Cálculos'!$E$239+'Cálculos'!$E$124*(1+2.78*('Cálculos'!$E$198+(($B$168)-$A149)*'Cálculos'!$E$98)/(('Cálculos'!$E$198+(($B$168)-$A149)*'Cálculos'!$E$98)+1400)+'Cálculos'!$E$122)*'Cálculos'!$E$244+'Cálculos'!$E$125*(1+2.78*('Cálculos'!$E$198+(($B$168)-$A149)*'Cálculos'!$E$98)/(('Cálculos'!$E$198+(($B$168)-$A149)*'Cálculos'!$E$98)+1400)+'Cálculos'!$E$123)*'Cálculos'!$E$249)+('Cálculos'!$E$198+(($B$168)-$A149)*'Cálculos'!$E$98)*('Cálculos'!$E$240+'Cálculos'!$E$124*(1+2.78*('Cálculos'!$E$198+(($B$168)-$A149)*'Cálculos'!$E$98)/(('Cálculos'!$E$198+(($B$168)-$A149)*'Cálculos'!$E$98)+1400)+'Cálculos'!$E$122)*'Cálculos'!$E$245+'Cálculos'!$E$125*(1+2.78*('Cálculos'!$E$198+(($B$168)-$A149)*'Cálculos'!$E$98)/(('Cálculos'!$E$198+(($B$168)-$A149)*'Cálculos'!$E$98)+1400)+'Cálculos'!$E$123)*'Cálculos'!$E$250)+('Cálculos'!$E$201*(1+'Cálculos'!$E$202+$A149*('Cálculos'!$E$290=2)*'Cálculos'!$E$101)+'Cálculos'!$E$203)*('Cálculos'!$E$241+'Cálculos'!$E$124*(1+2.78*('Cálculos'!$E$198+(($B$168)-$A149)*'Cálculos'!$E$98)/(('Cálculos'!$E$198+(($B$168)-$A149)*'Cálculos'!$E$98)+1400)+'Cálculos'!$E$122)*'Cálculos'!$E$246+'Cálculos'!$E$125*(1+2.78*('Cálculos'!$E$198+(($B$168)-$A149)*'Cálculos'!$E$98)/(('Cálculos'!$E$198+(($B$168)-$A149)*'Cálculos'!$E$98)+1400)+'Cálculos'!$E$123)*'Cálculos'!$E$251)+('Cálculos'!$E$204*(1+'Cálculos'!$E$205+$A149*('Cálculos'!$E$290=3)*'Cálculos'!$E$103)+'Cálculos'!$E$206)*('Cálculos'!$E$242+'Cálculos'!$E$124*(1+2.78*('Cálculos'!$E$198+(($B$168)-$A149)*'Cálculos'!$E$98)/(('Cálculos'!$E$198+(($B$168)-$A149)*'Cálculos'!$E$98)+1400)+'Cálculos'!$E$122)*'Cálculos'!$E$247+'Cálculos'!$E$125*(1+2.78*('Cálculos'!$E$198+(($B$168)-$A149)*'Cálculos'!$E$98)/(('Cálculos'!$E$198+(($B$168)-$A149)*'Cálculos'!$E$98)+1400)+'Cálculos'!$E$123)*'Cálculos'!$E$252)+('Cálculos'!$E$185*(1+'Cálculos'!$E$189+$A149*('Cálculos'!$E$290=1)*'Cálculos'!$E$97+'Cálculos'!$E$305)+'Cálculos'!$E$194)*('Cálculos'!$E$254+'Cálculos'!$E$124*(1+2.78*('Cálculos'!$E$199+(($B$168)-$A149)*'Cálculos'!$E$98)/(('Cálculos'!$E$199+(($B$168)-$A149)*'Cálculos'!$E$98)+1400)+'Cálculos'!$E$122)*'Cálculos'!$E$259+'Cálculos'!$E$125*(1+2.78*('Cálculos'!$E$199+(($B$168)-$A149)*'Cálculos'!$E$98)/(('Cálculos'!$E$199+(($B$168)-$A149)*'Cálculos'!$E$98)+1400)+'Cálculos'!$E$123)*'Cálculos'!$E$264)+('Cálculos'!$E$199+(($B$168)-$A149)*'Cálculos'!$E$98)*('Cálculos'!$E$255+'Cálculos'!$E$124*(1+2.78*('Cálculos'!$E$199+(($B$168)-$A149)*'Cálculos'!$E$98)/(('Cálculos'!$E$199+(($B$168)-$A149)*'Cálculos'!$E$98)+1400)+'Cálculos'!$E$122)*'Cálculos'!$E$260+'Cálculos'!$E$125*(1+2.78*('Cálculos'!$E$199+(($B$168)-$A149)*'Cálculos'!$E$98)/(('Cálculos'!$E$199+(($B$168)-$A149)*'Cálculos'!$E$98)+1400)+'Cálculos'!$E$123)*'Cálculos'!$E$265)+('Cálculos'!$E$201*(1+'Cálculos'!$E$202+$A149*('Cálculos'!$E$290=2)*'Cálculos'!$E$101)+'Cálculos'!$E$203)*('Cálculos'!$E$256+'Cálculos'!$E$124*(1+2.78*('Cálculos'!$E$199+(($B$168)-$A149)*'Cálculos'!$E$98)/(('Cálculos'!$E$199+(($B$168)-$A149)*'Cálculos'!$E$98)+1400)+'Cálculos'!$E$122)*'Cálculos'!$E$261+'Cálculos'!$E$125*(1+2.78*('Cálculos'!$E$199+(($B$168)-$A149)*'Cálculos'!$E$98)/(('Cálculos'!$E$199+(($B$168)-$A149)*'Cálculos'!$E$98)+1400)+'Cálculos'!$E$123)*'Cálculos'!$E$266)+('Cálculos'!$E$204*(1+'Cálculos'!$E$205+$A149*('Cálculos'!$E$290=3)*'Cálculos'!$E$103)+'Cálculos'!$E$206)*('Cálculos'!$E$257+'Cálculos'!$E$124*(1+2.78*('Cálculos'!$E$199+(($B$168)-$A149)*'Cálculos'!$E$98)/(('Cálculos'!$E$199+(($B$168)-$A149)*'Cálculos'!$E$98)+1400)+'Cálculos'!$E$122)*'Cálculos'!$E$262+'Cálculos'!$E$125*(1+2.78*('Cálculos'!$E$199+(($B$168)-$A149)*'Cálculos'!$E$98)/(('Cálculos'!$E$199+(($B$168)-$A149)*'Cálculos'!$E$98)+1400)+'Cálculos'!$E$123)*'Cálculos'!$E$267)+('Cálculos'!$E$185*(1+'Cálculos'!$E$190+$A149*('Cálculos'!$E$290=1)*'Cálculos'!$E$97+'Cálculos'!$E$305)+'Cálculos'!$E$195)*('Cálculos'!$E$269+'Cálculos'!$E$124*(1+2.78*('Cálculos'!$E$200+(($B$168)-$A149)*'Cálculos'!$E$98)/(('Cálculos'!$E$200+(($B$168)-$A149)*'Cálculos'!$E$98)+1400)+'Cálculos'!$E$122)*'Cálculos'!$E$274+'Cálculos'!$E$125*(1+2.78*('Cálculos'!$E$200+(($B$168)-$A149)*'Cálculos'!$E$98)/(('Cálculos'!$E$200+(($B$168)-$A149)*'Cálculos'!$E$98)+1400)+'Cálculos'!$E$123)*'Cálculos'!$E$279)+('Cálculos'!$E$200+(($B$168)-$A149)*'Cálculos'!$E$98)*('Cálculos'!$E$270+'Cálculos'!$E$124*(1+2.78*('Cálculos'!$E$200+(($B$168)-$A149)*'Cálculos'!$E$98)/(('Cálculos'!$E$200+(($B$168)-$A149)*'Cálculos'!$E$98)+1400)+'Cálculos'!$E$122)*'Cálculos'!$E$275+'Cálculos'!$E$125*(1+2.78*('Cálculos'!$E$200+(($B$168)-$A149)*'Cálculos'!$E$98)/(('Cálculos'!$E$200+(($B$168)-$A149)*'Cálculos'!$E$98)+1400)+'Cálculos'!$E$123)*'Cálculos'!$E$280)+('Cálculos'!$E$201*(1+'Cálculos'!$E$202+$A149*('Cálculos'!$E$290=2)*'Cálculos'!$E$101)+'Cálculos'!$E$203)*('Cálculos'!$E$271+'Cálculos'!$E$124*(1+2.78*('Cálculos'!$E$200+(($B$168)-$A149)*'Cálculos'!$E$98)/(('Cálculos'!$E$200+(($B$168)-$A149)*'Cálculos'!$E$98)+1400)+'Cálculos'!$E$122)*'Cálculos'!$E$276+'Cálculos'!$E$125*(1+2.78*('Cálculos'!$E$200+(($B$168)-$A149)*'Cálculos'!$E$98)/(('Cálculos'!$E$200+(($B$168)-$A149)*'Cálculos'!$E$98)+1400)+'Cálculos'!$E$123)*'Cálculos'!$E$281)+('Cálculos'!$E$204*(1+'Cálculos'!$E$205+$A149*('Cálculos'!$E$290=3)*'Cálculos'!$E$103)+'Cálculos'!$E$206)*('Cálculos'!$E$272+'Cálculos'!$E$124*(1+2.78*('Cálculos'!$E$200+(($B$168)-$A149)*'Cálculos'!$E$98)/(('Cálculos'!$E$200+(($B$168)-$A149)*'Cálculos'!$E$98)+1400)+'Cálculos'!$E$122)*'Cálculos'!$E$277+'Cálculos'!$E$125*(1+2.78*('Cálculos'!$E$200+(($B$168)-$A149)*'Cálculos'!$E$98)/(('Cálculos'!$E$200+(($B$168)-$A149)*'Cálculos'!$E$98)+1400)+'Cálculos'!$E$123)*'Cálculos'!$E$282)))</f>
        <v>0</v>
      </c>
    </row>
    <row r="150" ht="15.75" customHeight="1">
      <c r="A150" s="2">
        <v>30.0</v>
      </c>
      <c r="B150" s="30">
        <f>SUMPRODUCT(MAX(($A$120:$A$165&lt;=$A150)*($A$120:$A$165&lt;='Cálculos'!$E$294)*(($A150)-$A$120:$A$165&lt;='Cálculos'!$E$295)*(1+(('Cálculos'!$E$207+$A$120:$A$165*'Cálculos'!$E$95)-(('Cálculos'!$E$207+$A$120:$A$165*'Cálculos'!$E$95)&gt;1)*(('Cálculos'!$E$207+$A$120:$A$165*'Cálculos'!$E$95)-1))*('Cálculos'!$E$208+(($A150)-$A$120:$A$165)*'Cálculos'!$E$96))))</f>
        <v>2.501424</v>
      </c>
      <c r="C150" s="2">
        <f>'Cálculos'!$E$303-$A150</f>
        <v>-17</v>
      </c>
      <c r="D150" s="31">
        <f>IF($C150&lt;0,0,SUMPRODUCT(MAX(($A$120:$A$165&lt;=$C150)*($A$120:$A$165&lt;='Cálculos'!$E$301)*(($C150)-$A$120:$A$165&lt;='Cálculos'!$E$297)*(('Cálculos'!$E$185*(1+'Cálculos'!$E$186+$A$120:$A$165*('Cálculos'!$E$290=1)*'Cálculos'!$E$97+'Cálculos'!$E$305)+'Cálculos'!$E$191)*('Cálculos'!$E$209+'Cálculos'!$E$124*(1+2.78*('Cálculos'!$E$196+(($C150)-$A$120:$A$165)*'Cálculos'!$E$98)/(('Cálculos'!$E$196+(($C150)-$A$120:$A$165)*'Cálculos'!$E$98)+1400)+'Cálculos'!$E$122)*'Cálculos'!$E$214+'Cálculos'!$E$125*(1+2.78*('Cálculos'!$E$196+(($C150)-$A$120:$A$165)*'Cálculos'!$E$98)/(('Cálculos'!$E$196+(($C150)-$A$120:$A$165)*'Cálculos'!$E$98)+1400)+'Cálculos'!$E$123)*'Cálculos'!$E$219)+('Cálculos'!$E$196+(($C150)-$A$120:$A$165)*'Cálculos'!$E$98)*('Cálculos'!$E$210+'Cálculos'!$E$124*(1+2.78*('Cálculos'!$E$196+(($C150)-$A$120:$A$165)*'Cálculos'!$E$98)/(('Cálculos'!$E$196+(($C150)-$A$120:$A$165)*'Cálculos'!$E$98)+1400)+'Cálculos'!$E$122)*'Cálculos'!$E$215+'Cálculos'!$E$125*(1+2.78*('Cálculos'!$E$196+(($C150)-$A$120:$A$165)*'Cálculos'!$E$98)/(('Cálculos'!$E$196+(($C150)-$A$120:$A$165)*'Cálculos'!$E$98)+1400)+'Cálculos'!$E$123)*'Cálculos'!$E$220)+('Cálculos'!$E$201*(1+'Cálculos'!$E$202+$A$120:$A$165*('Cálculos'!$E$290=2)*'Cálculos'!$E$101)+'Cálculos'!$E$203)*('Cálculos'!$E$211+'Cálculos'!$E$124*(1+2.78*('Cálculos'!$E$196+(($C150)-$A$120:$A$165)*'Cálculos'!$E$98)/(('Cálculos'!$E$196+(($C150)-$A$120:$A$165)*'Cálculos'!$E$98)+1400)+'Cálculos'!$E$122)*'Cálculos'!$E$216+'Cálculos'!$E$125*(1+2.78*('Cálculos'!$E$196+(($C150)-$A$120:$A$165)*'Cálculos'!$E$98)/(('Cálculos'!$E$196+(($C150)-$A$120:$A$165)*'Cálculos'!$E$98)+1400)+'Cálculos'!$E$123)*'Cálculos'!$E$221)+('Cálculos'!$E$204*(1+'Cálculos'!$E$205+$A$120:$A$165*('Cálculos'!$E$290=3)*'Cálculos'!$E$103)+'Cálculos'!$E$206)*('Cálculos'!$E$212+'Cálculos'!$E$124*(1+2.78*('Cálculos'!$E$196+(($C150)-$A$120:$A$165)*'Cálculos'!$E$98)/(('Cálculos'!$E$196+(($C150)-$A$120:$A$165)*'Cálculos'!$E$98)+1400)+'Cálculos'!$E$122)*'Cálculos'!$E$217+'Cálculos'!$E$125*(1+2.78*('Cálculos'!$E$196+(($C150)-$A$120:$A$165)*'Cálculos'!$E$98)/(('Cálculos'!$E$196+(($C150)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150)-$A$120:$A$165)*'Cálculos'!$E$98)/(('Cálculos'!$E$197+(($C150)-$A$120:$A$165)*'Cálculos'!$E$98)+1400)+'Cálculos'!$E$122)*'Cálculos'!$E$229+'Cálculos'!$E$125*(1+2.78*('Cálculos'!$E$197+(($C150)-$A$120:$A$165)*'Cálculos'!$E$98)/(('Cálculos'!$E$197+(($C150)-$A$120:$A$165)*'Cálculos'!$E$98)+1400)+'Cálculos'!$E$123)*'Cálculos'!$E$234)+('Cálculos'!$E$197+(($C150)-$A$120:$A$165)*'Cálculos'!$E$98)*('Cálculos'!$E$225+'Cálculos'!$E$124*(1+2.78*('Cálculos'!$E$197+(($C150)-$A$120:$A$165)*'Cálculos'!$E$98)/(('Cálculos'!$E$197+(($C150)-$A$120:$A$165)*'Cálculos'!$E$98)+1400)+'Cálculos'!$E$122)*'Cálculos'!$E$230+'Cálculos'!$E$125*(1+2.78*('Cálculos'!$E$197+(($C150)-$A$120:$A$165)*'Cálculos'!$E$98)/(('Cálculos'!$E$197+(($C150)-$A$120:$A$165)*'Cálculos'!$E$98)+1400)+'Cálculos'!$E$123)*'Cálculos'!$E$235)+('Cálculos'!$E$201*(1+'Cálculos'!$E$202+$A$120:$A$165*('Cálculos'!$E$290=2)*'Cálculos'!$E$101)+'Cálculos'!$E$203)*('Cálculos'!$E$226+'Cálculos'!$E$124*(1+2.78*('Cálculos'!$E$197+(($C150)-$A$120:$A$165)*'Cálculos'!$E$98)/(('Cálculos'!$E$197+(($C150)-$A$120:$A$165)*'Cálculos'!$E$98)+1400)+'Cálculos'!$E$122)*'Cálculos'!$E$231+'Cálculos'!$E$125*(1+2.78*('Cálculos'!$E$197+(($C150)-$A$120:$A$165)*'Cálculos'!$E$98)/(('Cálculos'!$E$197+(($C150)-$A$120:$A$165)*'Cálculos'!$E$98)+1400)+'Cálculos'!$E$123)*'Cálculos'!$E$236)+('Cálculos'!$E$204*(1+'Cálculos'!$E$205+$A$120:$A$165*('Cálculos'!$E$290=3)*'Cálculos'!$E$103)+'Cálculos'!$E$206)*('Cálculos'!$E$227+'Cálculos'!$E$124*(1+2.78*('Cálculos'!$E$197+(($C150)-$A$120:$A$165)*'Cálculos'!$E$98)/(('Cálculos'!$E$197+(($C150)-$A$120:$A$165)*'Cálculos'!$E$98)+1400)+'Cálculos'!$E$122)*'Cálculos'!$E$232+'Cálculos'!$E$125*(1+2.78*('Cálculos'!$E$197+(($C150)-$A$120:$A$165)*'Cálculos'!$E$98)/(('Cálculos'!$E$197+(($C150)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150)-$A$120:$A$165)*'Cálculos'!$E$98)/(('Cálculos'!$E$198+(($C150)-$A$120:$A$165)*'Cálculos'!$E$98)+1400)+'Cálculos'!$E$122)*'Cálculos'!$E$244+'Cálculos'!$E$125*(1+2.78*('Cálculos'!$E$198+(($C150)-$A$120:$A$165)*'Cálculos'!$E$98)/(('Cálculos'!$E$198+(($C150)-$A$120:$A$165)*'Cálculos'!$E$98)+1400)+'Cálculos'!$E$123)*'Cálculos'!$E$249)+('Cálculos'!$E$198+(($C150)-$A$120:$A$165)*'Cálculos'!$E$98)*('Cálculos'!$E$240+'Cálculos'!$E$124*(1+2.78*('Cálculos'!$E$198+(($C150)-$A$120:$A$165)*'Cálculos'!$E$98)/(('Cálculos'!$E$198+(($C150)-$A$120:$A$165)*'Cálculos'!$E$98)+1400)+'Cálculos'!$E$122)*'Cálculos'!$E$245+'Cálculos'!$E$125*(1+2.78*('Cálculos'!$E$198+(($C150)-$A$120:$A$165)*'Cálculos'!$E$98)/(('Cálculos'!$E$198+(($C150)-$A$120:$A$165)*'Cálculos'!$E$98)+1400)+'Cálculos'!$E$123)*'Cálculos'!$E$250)+('Cálculos'!$E$201*(1+'Cálculos'!$E$202+$A$120:$A$165*('Cálculos'!$E$290=2)*'Cálculos'!$E$101)+'Cálculos'!$E$203)*('Cálculos'!$E$241+'Cálculos'!$E$124*(1+2.78*('Cálculos'!$E$198+(($C150)-$A$120:$A$165)*'Cálculos'!$E$98)/(('Cálculos'!$E$198+(($C150)-$A$120:$A$165)*'Cálculos'!$E$98)+1400)+'Cálculos'!$E$122)*'Cálculos'!$E$246+'Cálculos'!$E$125*(1+2.78*('Cálculos'!$E$198+(($C150)-$A$120:$A$165)*'Cálculos'!$E$98)/(('Cálculos'!$E$198+(($C150)-$A$120:$A$165)*'Cálculos'!$E$98)+1400)+'Cálculos'!$E$123)*'Cálculos'!$E$251)+('Cálculos'!$E$204*(1+'Cálculos'!$E$205+$A$120:$A$165*('Cálculos'!$E$290=3)*'Cálculos'!$E$103)+'Cálculos'!$E$206)*('Cálculos'!$E$242+'Cálculos'!$E$124*(1+2.78*('Cálculos'!$E$198+(($C150)-$A$120:$A$165)*'Cálculos'!$E$98)/(('Cálculos'!$E$198+(($C150)-$A$120:$A$165)*'Cálculos'!$E$98)+1400)+'Cálculos'!$E$122)*'Cálculos'!$E$247+'Cálculos'!$E$125*(1+2.78*('Cálculos'!$E$198+(($C150)-$A$120:$A$165)*'Cálculos'!$E$98)/(('Cálculos'!$E$198+(($C150)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150)-$A$120:$A$165)*'Cálculos'!$E$98)/(('Cálculos'!$E$199+(($C150)-$A$120:$A$165)*'Cálculos'!$E$98)+1400)+'Cálculos'!$E$122)*'Cálculos'!$E$259+'Cálculos'!$E$125*(1+2.78*('Cálculos'!$E$199+(($C150)-$A$120:$A$165)*'Cálculos'!$E$98)/(('Cálculos'!$E$199+(($C150)-$A$120:$A$165)*'Cálculos'!$E$98)+1400)+'Cálculos'!$E$123)*'Cálculos'!$E$264)+('Cálculos'!$E$199+(($C150)-$A$120:$A$165)*'Cálculos'!$E$98)*('Cálculos'!$E$255+'Cálculos'!$E$124*(1+2.78*('Cálculos'!$E$199+(($C150)-$A$120:$A$165)*'Cálculos'!$E$98)/(('Cálculos'!$E$199+(($C150)-$A$120:$A$165)*'Cálculos'!$E$98)+1400)+'Cálculos'!$E$122)*'Cálculos'!$E$260+'Cálculos'!$E$125*(1+2.78*('Cálculos'!$E$199+(($C150)-$A$120:$A$165)*'Cálculos'!$E$98)/(('Cálculos'!$E$199+(($C150)-$A$120:$A$165)*'Cálculos'!$E$98)+1400)+'Cálculos'!$E$123)*'Cálculos'!$E$265)+('Cálculos'!$E$201*(1+'Cálculos'!$E$202+$A$120:$A$165*('Cálculos'!$E$290=2)*'Cálculos'!$E$101)+'Cálculos'!$E$203)*('Cálculos'!$E$256+'Cálculos'!$E$124*(1+2.78*('Cálculos'!$E$199+(($C150)-$A$120:$A$165)*'Cálculos'!$E$98)/(('Cálculos'!$E$199+(($C150)-$A$120:$A$165)*'Cálculos'!$E$98)+1400)+'Cálculos'!$E$122)*'Cálculos'!$E$261+'Cálculos'!$E$125*(1+2.78*('Cálculos'!$E$199+(($C150)-$A$120:$A$165)*'Cálculos'!$E$98)/(('Cálculos'!$E$199+(($C150)-$A$120:$A$165)*'Cálculos'!$E$98)+1400)+'Cálculos'!$E$123)*'Cálculos'!$E$266)+('Cálculos'!$E$204*(1+'Cálculos'!$E$205+$A$120:$A$165*('Cálculos'!$E$290=3)*'Cálculos'!$E$103)+'Cálculos'!$E$206)*('Cálculos'!$E$257+'Cálculos'!$E$124*(1+2.78*('Cálculos'!$E$199+(($C150)-$A$120:$A$165)*'Cálculos'!$E$98)/(('Cálculos'!$E$199+(($C150)-$A$120:$A$165)*'Cálculos'!$E$98)+1400)+'Cálculos'!$E$122)*'Cálculos'!$E$262+'Cálculos'!$E$125*(1+2.78*('Cálculos'!$E$199+(($C150)-$A$120:$A$165)*'Cálculos'!$E$98)/(('Cálculos'!$E$199+(($C150)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150)-$A$120:$A$165)*'Cálculos'!$E$98)/(('Cálculos'!$E$200+(($C150)-$A$120:$A$165)*'Cálculos'!$E$98)+1400)+'Cálculos'!$E$122)*'Cálculos'!$E$274+'Cálculos'!$E$125*(1+2.78*('Cálculos'!$E$200+(($C150)-$A$120:$A$165)*'Cálculos'!$E$98)/(('Cálculos'!$E$200+(($C150)-$A$120:$A$165)*'Cálculos'!$E$98)+1400)+'Cálculos'!$E$123)*'Cálculos'!$E$279)+('Cálculos'!$E$200+(($C150)-$A$120:$A$165)*'Cálculos'!$E$98)*('Cálculos'!$E$270+'Cálculos'!$E$124*(1+2.78*('Cálculos'!$E$200+(($C150)-$A$120:$A$165)*'Cálculos'!$E$98)/(('Cálculos'!$E$200+(($C150)-$A$120:$A$165)*'Cálculos'!$E$98)+1400)+'Cálculos'!$E$122)*'Cálculos'!$E$275+'Cálculos'!$E$125*(1+2.78*('Cálculos'!$E$200+(($C150)-$A$120:$A$165)*'Cálculos'!$E$98)/(('Cálculos'!$E$200+(($C150)-$A$120:$A$165)*'Cálculos'!$E$98)+1400)+'Cálculos'!$E$123)*'Cálculos'!$E$280)+('Cálculos'!$E$201*(1+'Cálculos'!$E$202+$A$120:$A$165*('Cálculos'!$E$290=2)*'Cálculos'!$E$101)+'Cálculos'!$E$203)*('Cálculos'!$E$271+'Cálculos'!$E$124*(1+2.78*('Cálculos'!$E$200+(($C150)-$A$120:$A$165)*'Cálculos'!$E$98)/(('Cálculos'!$E$200+(($C150)-$A$120:$A$165)*'Cálculos'!$E$98)+1400)+'Cálculos'!$E$122)*'Cálculos'!$E$276+'Cálculos'!$E$125*(1+2.78*('Cálculos'!$E$200+(($C150)-$A$120:$A$165)*'Cálculos'!$E$98)/(('Cálculos'!$E$200+(($C150)-$A$120:$A$165)*'Cálculos'!$E$98)+1400)+'Cálculos'!$E$123)*'Cálculos'!$E$281)+('Cálculos'!$E$204*(1+'Cálculos'!$E$205+$A$120:$A$165*('Cálculos'!$E$290=3)*'Cálculos'!$E$103)+'Cálculos'!$E$206)*('Cálculos'!$E$272+'Cálculos'!$E$124*(1+2.78*('Cálculos'!$E$200+(($C150)-$A$120:$A$165)*'Cálculos'!$E$98)/(('Cálculos'!$E$200+(($C150)-$A$120:$A$165)*'Cálculos'!$E$98)+1400)+'Cálculos'!$E$122)*'Cálculos'!$E$277+'Cálculos'!$E$125*(1+2.78*('Cálculos'!$E$200+(($C150)-$A$120:$A$165)*'Cálculos'!$E$98)/(('Cálculos'!$E$200+(($C150)-$A$120:$A$165)*'Cálculos'!$E$98)+1400)+'Cálculos'!$E$123)*'Cálculos'!$E$282)))))</f>
        <v>0</v>
      </c>
      <c r="E150" s="32">
        <f>IF(OR($C150&lt;0,'Cálculos'!$E$6=""),0,$B150*$D150)</f>
        <v>0</v>
      </c>
      <c r="F150" s="2"/>
      <c r="G150" s="30">
        <f>($A150&lt;=$B$167)*($A150&lt;='Cálculos'!$E$294)*(($B$167)-$A150&lt;='Cálculos'!$E$295)*(1+MIN(('Cálculos'!$E$207+$A150*'Cálculos'!$E$95),1)*('Cálculos'!$E$208+(($B$167)-$A150)*'Cálculos'!$E$96))</f>
        <v>0</v>
      </c>
      <c r="H150" s="31">
        <f>IF($B$168&lt;0,0,($A150&lt;=$B$168)*($A150&lt;='Cálculos'!$E$301)*(($B$168)-$A150&lt;='Cálculos'!$E$297)*(('Cálculos'!$E$185*(1+'Cálculos'!$E$186+$A150*('Cálculos'!$E$290=1)*'Cálculos'!$E$97+'Cálculos'!$E$305)+'Cálculos'!$E$191)*('Cálculos'!$E$209+'Cálculos'!$E$124*(1+2.78*('Cálculos'!$E$196+(($B$168)-$A150)*'Cálculos'!$E$98)/(('Cálculos'!$E$196+(($B$168)-$A150)*'Cálculos'!$E$98)+1400)+'Cálculos'!$E$122)*'Cálculos'!$E$214+'Cálculos'!$E$125*(1+2.78*('Cálculos'!$E$196+(($B$168)-$A150)*'Cálculos'!$E$98)/(('Cálculos'!$E$196+(($B$168)-$A150)*'Cálculos'!$E$98)+1400)+'Cálculos'!$E$123)*'Cálculos'!$E$219)+('Cálculos'!$E$196+(($B$168)-$A150)*'Cálculos'!$E$98)*('Cálculos'!$E$210+'Cálculos'!$E$124*(1+2.78*('Cálculos'!$E$196+(($B$168)-$A150)*'Cálculos'!$E$98)/(('Cálculos'!$E$196+(($B$168)-$A150)*'Cálculos'!$E$98)+1400)+'Cálculos'!$E$122)*'Cálculos'!$E$215+'Cálculos'!$E$125*(1+2.78*('Cálculos'!$E$196+(($B$168)-$A150)*'Cálculos'!$E$98)/(('Cálculos'!$E$196+(($B$168)-$A150)*'Cálculos'!$E$98)+1400)+'Cálculos'!$E$123)*'Cálculos'!$E$220)+('Cálculos'!$E$201*(1+'Cálculos'!$E$202+$A150*('Cálculos'!$E$290=2)*'Cálculos'!$E$101)+'Cálculos'!$E$203)*('Cálculos'!$E$211+'Cálculos'!$E$124*(1+2.78*('Cálculos'!$E$196+(($B$168)-$A150)*'Cálculos'!$E$98)/(('Cálculos'!$E$196+(($B$168)-$A150)*'Cálculos'!$E$98)+1400)+'Cálculos'!$E$122)*'Cálculos'!$E$216+'Cálculos'!$E$125*(1+2.78*('Cálculos'!$E$196+(($B$168)-$A150)*'Cálculos'!$E$98)/(('Cálculos'!$E$196+(($B$168)-$A150)*'Cálculos'!$E$98)+1400)+'Cálculos'!$E$123)*'Cálculos'!$E$221)+('Cálculos'!$E$204*(1+'Cálculos'!$E$205+$A150*('Cálculos'!$E$290=3)*'Cálculos'!$E$103)+'Cálculos'!$E$206)*('Cálculos'!$E$212+'Cálculos'!$E$124*(1+2.78*('Cálculos'!$E$196+(($B$168)-$A150)*'Cálculos'!$E$98)/(('Cálculos'!$E$196+(($B$168)-$A150)*'Cálculos'!$E$98)+1400)+'Cálculos'!$E$122)*'Cálculos'!$E$217+'Cálculos'!$E$125*(1+2.78*('Cálculos'!$E$196+(($B$168)-$A150)*'Cálculos'!$E$98)/(('Cálculos'!$E$196+(($B$168)-$A150)*'Cálculos'!$E$98)+1400)+'Cálculos'!$E$123)*'Cálculos'!$E$222)+('Cálculos'!$E$185*(1+'Cálculos'!$E$187+$A150*('Cálculos'!$E$290=1)*'Cálculos'!$E$97+'Cálculos'!$E$305)+'Cálculos'!$E$192)*('Cálculos'!$E$224+'Cálculos'!$E$124*(1+2.78*('Cálculos'!$E$197+(($B$168)-$A150)*'Cálculos'!$E$98)/(('Cálculos'!$E$197+(($B$168)-$A150)*'Cálculos'!$E$98)+1400)+'Cálculos'!$E$122)*'Cálculos'!$E$229+'Cálculos'!$E$125*(1+2.78*('Cálculos'!$E$197+(($B$168)-$A150)*'Cálculos'!$E$98)/(('Cálculos'!$E$197+(($B$168)-$A150)*'Cálculos'!$E$98)+1400)+'Cálculos'!$E$123)*'Cálculos'!$E$234)+('Cálculos'!$E$197+(($B$168)-$A150)*'Cálculos'!$E$98)*('Cálculos'!$E$225+'Cálculos'!$E$124*(1+2.78*('Cálculos'!$E$197+(($B$168)-$A150)*'Cálculos'!$E$98)/(('Cálculos'!$E$197+(($B$168)-$A150)*'Cálculos'!$E$98)+1400)+'Cálculos'!$E$122)*'Cálculos'!$E$230+'Cálculos'!$E$125*(1+2.78*('Cálculos'!$E$197+(($B$168)-$A150)*'Cálculos'!$E$98)/(('Cálculos'!$E$197+(($B$168)-$A150)*'Cálculos'!$E$98)+1400)+'Cálculos'!$E$123)*'Cálculos'!$E$235)+('Cálculos'!$E$201*(1+'Cálculos'!$E$202+$A150*('Cálculos'!$E$290=2)*'Cálculos'!$E$101)+'Cálculos'!$E$203)*('Cálculos'!$E$226+'Cálculos'!$E$124*(1+2.78*('Cálculos'!$E$197+(($B$168)-$A150)*'Cálculos'!$E$98)/(('Cálculos'!$E$197+(($B$168)-$A150)*'Cálculos'!$E$98)+1400)+'Cálculos'!$E$122)*'Cálculos'!$E$231+'Cálculos'!$E$125*(1+2.78*('Cálculos'!$E$197+(($B$168)-$A150)*'Cálculos'!$E$98)/(('Cálculos'!$E$197+(($B$168)-$A150)*'Cálculos'!$E$98)+1400)+'Cálculos'!$E$123)*'Cálculos'!$E$236)+('Cálculos'!$E$204*(1+'Cálculos'!$E$205+$A150*('Cálculos'!$E$290=3)*'Cálculos'!$E$103)+'Cálculos'!$E$206)*('Cálculos'!$E$227+'Cálculos'!$E$124*(1+2.78*('Cálculos'!$E$197+(($B$168)-$A150)*'Cálculos'!$E$98)/(('Cálculos'!$E$197+(($B$168)-$A150)*'Cálculos'!$E$98)+1400)+'Cálculos'!$E$122)*'Cálculos'!$E$232+'Cálculos'!$E$125*(1+2.78*('Cálculos'!$E$197+(($B$168)-$A150)*'Cálculos'!$E$98)/(('Cálculos'!$E$197+(($B$168)-$A150)*'Cálculos'!$E$98)+1400)+'Cálculos'!$E$123)*'Cálculos'!$E$237)+('Cálculos'!$E$185*(1+'Cálculos'!$E$188+$A150*('Cálculos'!$E$290=1)*'Cálculos'!$E$97+'Cálculos'!$E$305)+'Cálculos'!$E$193)*('Cálculos'!$E$239+'Cálculos'!$E$124*(1+2.78*('Cálculos'!$E$198+(($B$168)-$A150)*'Cálculos'!$E$98)/(('Cálculos'!$E$198+(($B$168)-$A150)*'Cálculos'!$E$98)+1400)+'Cálculos'!$E$122)*'Cálculos'!$E$244+'Cálculos'!$E$125*(1+2.78*('Cálculos'!$E$198+(($B$168)-$A150)*'Cálculos'!$E$98)/(('Cálculos'!$E$198+(($B$168)-$A150)*'Cálculos'!$E$98)+1400)+'Cálculos'!$E$123)*'Cálculos'!$E$249)+('Cálculos'!$E$198+(($B$168)-$A150)*'Cálculos'!$E$98)*('Cálculos'!$E$240+'Cálculos'!$E$124*(1+2.78*('Cálculos'!$E$198+(($B$168)-$A150)*'Cálculos'!$E$98)/(('Cálculos'!$E$198+(($B$168)-$A150)*'Cálculos'!$E$98)+1400)+'Cálculos'!$E$122)*'Cálculos'!$E$245+'Cálculos'!$E$125*(1+2.78*('Cálculos'!$E$198+(($B$168)-$A150)*'Cálculos'!$E$98)/(('Cálculos'!$E$198+(($B$168)-$A150)*'Cálculos'!$E$98)+1400)+'Cálculos'!$E$123)*'Cálculos'!$E$250)+('Cálculos'!$E$201*(1+'Cálculos'!$E$202+$A150*('Cálculos'!$E$290=2)*'Cálculos'!$E$101)+'Cálculos'!$E$203)*('Cálculos'!$E$241+'Cálculos'!$E$124*(1+2.78*('Cálculos'!$E$198+(($B$168)-$A150)*'Cálculos'!$E$98)/(('Cálculos'!$E$198+(($B$168)-$A150)*'Cálculos'!$E$98)+1400)+'Cálculos'!$E$122)*'Cálculos'!$E$246+'Cálculos'!$E$125*(1+2.78*('Cálculos'!$E$198+(($B$168)-$A150)*'Cálculos'!$E$98)/(('Cálculos'!$E$198+(($B$168)-$A150)*'Cálculos'!$E$98)+1400)+'Cálculos'!$E$123)*'Cálculos'!$E$251)+('Cálculos'!$E$204*(1+'Cálculos'!$E$205+$A150*('Cálculos'!$E$290=3)*'Cálculos'!$E$103)+'Cálculos'!$E$206)*('Cálculos'!$E$242+'Cálculos'!$E$124*(1+2.78*('Cálculos'!$E$198+(($B$168)-$A150)*'Cálculos'!$E$98)/(('Cálculos'!$E$198+(($B$168)-$A150)*'Cálculos'!$E$98)+1400)+'Cálculos'!$E$122)*'Cálculos'!$E$247+'Cálculos'!$E$125*(1+2.78*('Cálculos'!$E$198+(($B$168)-$A150)*'Cálculos'!$E$98)/(('Cálculos'!$E$198+(($B$168)-$A150)*'Cálculos'!$E$98)+1400)+'Cálculos'!$E$123)*'Cálculos'!$E$252)+('Cálculos'!$E$185*(1+'Cálculos'!$E$189+$A150*('Cálculos'!$E$290=1)*'Cálculos'!$E$97+'Cálculos'!$E$305)+'Cálculos'!$E$194)*('Cálculos'!$E$254+'Cálculos'!$E$124*(1+2.78*('Cálculos'!$E$199+(($B$168)-$A150)*'Cálculos'!$E$98)/(('Cálculos'!$E$199+(($B$168)-$A150)*'Cálculos'!$E$98)+1400)+'Cálculos'!$E$122)*'Cálculos'!$E$259+'Cálculos'!$E$125*(1+2.78*('Cálculos'!$E$199+(($B$168)-$A150)*'Cálculos'!$E$98)/(('Cálculos'!$E$199+(($B$168)-$A150)*'Cálculos'!$E$98)+1400)+'Cálculos'!$E$123)*'Cálculos'!$E$264)+('Cálculos'!$E$199+(($B$168)-$A150)*'Cálculos'!$E$98)*('Cálculos'!$E$255+'Cálculos'!$E$124*(1+2.78*('Cálculos'!$E$199+(($B$168)-$A150)*'Cálculos'!$E$98)/(('Cálculos'!$E$199+(($B$168)-$A150)*'Cálculos'!$E$98)+1400)+'Cálculos'!$E$122)*'Cálculos'!$E$260+'Cálculos'!$E$125*(1+2.78*('Cálculos'!$E$199+(($B$168)-$A150)*'Cálculos'!$E$98)/(('Cálculos'!$E$199+(($B$168)-$A150)*'Cálculos'!$E$98)+1400)+'Cálculos'!$E$123)*'Cálculos'!$E$265)+('Cálculos'!$E$201*(1+'Cálculos'!$E$202+$A150*('Cálculos'!$E$290=2)*'Cálculos'!$E$101)+'Cálculos'!$E$203)*('Cálculos'!$E$256+'Cálculos'!$E$124*(1+2.78*('Cálculos'!$E$199+(($B$168)-$A150)*'Cálculos'!$E$98)/(('Cálculos'!$E$199+(($B$168)-$A150)*'Cálculos'!$E$98)+1400)+'Cálculos'!$E$122)*'Cálculos'!$E$261+'Cálculos'!$E$125*(1+2.78*('Cálculos'!$E$199+(($B$168)-$A150)*'Cálculos'!$E$98)/(('Cálculos'!$E$199+(($B$168)-$A150)*'Cálculos'!$E$98)+1400)+'Cálculos'!$E$123)*'Cálculos'!$E$266)+('Cálculos'!$E$204*(1+'Cálculos'!$E$205+$A150*('Cálculos'!$E$290=3)*'Cálculos'!$E$103)+'Cálculos'!$E$206)*('Cálculos'!$E$257+'Cálculos'!$E$124*(1+2.78*('Cálculos'!$E$199+(($B$168)-$A150)*'Cálculos'!$E$98)/(('Cálculos'!$E$199+(($B$168)-$A150)*'Cálculos'!$E$98)+1400)+'Cálculos'!$E$122)*'Cálculos'!$E$262+'Cálculos'!$E$125*(1+2.78*('Cálculos'!$E$199+(($B$168)-$A150)*'Cálculos'!$E$98)/(('Cálculos'!$E$199+(($B$168)-$A150)*'Cálculos'!$E$98)+1400)+'Cálculos'!$E$123)*'Cálculos'!$E$267)+('Cálculos'!$E$185*(1+'Cálculos'!$E$190+$A150*('Cálculos'!$E$290=1)*'Cálculos'!$E$97+'Cálculos'!$E$305)+'Cálculos'!$E$195)*('Cálculos'!$E$269+'Cálculos'!$E$124*(1+2.78*('Cálculos'!$E$200+(($B$168)-$A150)*'Cálculos'!$E$98)/(('Cálculos'!$E$200+(($B$168)-$A150)*'Cálculos'!$E$98)+1400)+'Cálculos'!$E$122)*'Cálculos'!$E$274+'Cálculos'!$E$125*(1+2.78*('Cálculos'!$E$200+(($B$168)-$A150)*'Cálculos'!$E$98)/(('Cálculos'!$E$200+(($B$168)-$A150)*'Cálculos'!$E$98)+1400)+'Cálculos'!$E$123)*'Cálculos'!$E$279)+('Cálculos'!$E$200+(($B$168)-$A150)*'Cálculos'!$E$98)*('Cálculos'!$E$270+'Cálculos'!$E$124*(1+2.78*('Cálculos'!$E$200+(($B$168)-$A150)*'Cálculos'!$E$98)/(('Cálculos'!$E$200+(($B$168)-$A150)*'Cálculos'!$E$98)+1400)+'Cálculos'!$E$122)*'Cálculos'!$E$275+'Cálculos'!$E$125*(1+2.78*('Cálculos'!$E$200+(($B$168)-$A150)*'Cálculos'!$E$98)/(('Cálculos'!$E$200+(($B$168)-$A150)*'Cálculos'!$E$98)+1400)+'Cálculos'!$E$123)*'Cálculos'!$E$280)+('Cálculos'!$E$201*(1+'Cálculos'!$E$202+$A150*('Cálculos'!$E$290=2)*'Cálculos'!$E$101)+'Cálculos'!$E$203)*('Cálculos'!$E$271+'Cálculos'!$E$124*(1+2.78*('Cálculos'!$E$200+(($B$168)-$A150)*'Cálculos'!$E$98)/(('Cálculos'!$E$200+(($B$168)-$A150)*'Cálculos'!$E$98)+1400)+'Cálculos'!$E$122)*'Cálculos'!$E$276+'Cálculos'!$E$125*(1+2.78*('Cálculos'!$E$200+(($B$168)-$A150)*'Cálculos'!$E$98)/(('Cálculos'!$E$200+(($B$168)-$A150)*'Cálculos'!$E$98)+1400)+'Cálculos'!$E$123)*'Cálculos'!$E$281)+('Cálculos'!$E$204*(1+'Cálculos'!$E$205+$A150*('Cálculos'!$E$290=3)*'Cálculos'!$E$103)+'Cálculos'!$E$206)*('Cálculos'!$E$272+'Cálculos'!$E$124*(1+2.78*('Cálculos'!$E$200+(($B$168)-$A150)*'Cálculos'!$E$98)/(('Cálculos'!$E$200+(($B$168)-$A150)*'Cálculos'!$E$98)+1400)+'Cálculos'!$E$122)*'Cálculos'!$E$277+'Cálculos'!$E$125*(1+2.78*('Cálculos'!$E$200+(($B$168)-$A150)*'Cálculos'!$E$98)/(('Cálculos'!$E$200+(($B$168)-$A150)*'Cálculos'!$E$98)+1400)+'Cálculos'!$E$123)*'Cálculos'!$E$282)))</f>
        <v>0</v>
      </c>
    </row>
    <row r="151" ht="15.75" customHeight="1">
      <c r="A151" s="2">
        <v>31.0</v>
      </c>
      <c r="B151" s="30">
        <f>SUMPRODUCT(MAX(($A$120:$A$165&lt;=$A151)*($A$120:$A$165&lt;='Cálculos'!$E$294)*(($A151)-$A$120:$A$165&lt;='Cálculos'!$E$295)*(1+(('Cálculos'!$E$207+$A$120:$A$165*'Cálculos'!$E$95)-(('Cálculos'!$E$207+$A$120:$A$165*'Cálculos'!$E$95)&gt;1)*(('Cálculos'!$E$207+$A$120:$A$165*'Cálculos'!$E$95)-1))*('Cálculos'!$E$208+(($A151)-$A$120:$A$165)*'Cálculos'!$E$96))))</f>
        <v>2.559306</v>
      </c>
      <c r="C151" s="2">
        <f>'Cálculos'!$E$303-$A151</f>
        <v>-18</v>
      </c>
      <c r="D151" s="31">
        <f>IF($C151&lt;0,0,SUMPRODUCT(MAX(($A$120:$A$165&lt;=$C151)*($A$120:$A$165&lt;='Cálculos'!$E$301)*(($C151)-$A$120:$A$165&lt;='Cálculos'!$E$297)*(('Cálculos'!$E$185*(1+'Cálculos'!$E$186+$A$120:$A$165*('Cálculos'!$E$290=1)*'Cálculos'!$E$97+'Cálculos'!$E$305)+'Cálculos'!$E$191)*('Cálculos'!$E$209+'Cálculos'!$E$124*(1+2.78*('Cálculos'!$E$196+(($C151)-$A$120:$A$165)*'Cálculos'!$E$98)/(('Cálculos'!$E$196+(($C151)-$A$120:$A$165)*'Cálculos'!$E$98)+1400)+'Cálculos'!$E$122)*'Cálculos'!$E$214+'Cálculos'!$E$125*(1+2.78*('Cálculos'!$E$196+(($C151)-$A$120:$A$165)*'Cálculos'!$E$98)/(('Cálculos'!$E$196+(($C151)-$A$120:$A$165)*'Cálculos'!$E$98)+1400)+'Cálculos'!$E$123)*'Cálculos'!$E$219)+('Cálculos'!$E$196+(($C151)-$A$120:$A$165)*'Cálculos'!$E$98)*('Cálculos'!$E$210+'Cálculos'!$E$124*(1+2.78*('Cálculos'!$E$196+(($C151)-$A$120:$A$165)*'Cálculos'!$E$98)/(('Cálculos'!$E$196+(($C151)-$A$120:$A$165)*'Cálculos'!$E$98)+1400)+'Cálculos'!$E$122)*'Cálculos'!$E$215+'Cálculos'!$E$125*(1+2.78*('Cálculos'!$E$196+(($C151)-$A$120:$A$165)*'Cálculos'!$E$98)/(('Cálculos'!$E$196+(($C151)-$A$120:$A$165)*'Cálculos'!$E$98)+1400)+'Cálculos'!$E$123)*'Cálculos'!$E$220)+('Cálculos'!$E$201*(1+'Cálculos'!$E$202+$A$120:$A$165*('Cálculos'!$E$290=2)*'Cálculos'!$E$101)+'Cálculos'!$E$203)*('Cálculos'!$E$211+'Cálculos'!$E$124*(1+2.78*('Cálculos'!$E$196+(($C151)-$A$120:$A$165)*'Cálculos'!$E$98)/(('Cálculos'!$E$196+(($C151)-$A$120:$A$165)*'Cálculos'!$E$98)+1400)+'Cálculos'!$E$122)*'Cálculos'!$E$216+'Cálculos'!$E$125*(1+2.78*('Cálculos'!$E$196+(($C151)-$A$120:$A$165)*'Cálculos'!$E$98)/(('Cálculos'!$E$196+(($C151)-$A$120:$A$165)*'Cálculos'!$E$98)+1400)+'Cálculos'!$E$123)*'Cálculos'!$E$221)+('Cálculos'!$E$204*(1+'Cálculos'!$E$205+$A$120:$A$165*('Cálculos'!$E$290=3)*'Cálculos'!$E$103)+'Cálculos'!$E$206)*('Cálculos'!$E$212+'Cálculos'!$E$124*(1+2.78*('Cálculos'!$E$196+(($C151)-$A$120:$A$165)*'Cálculos'!$E$98)/(('Cálculos'!$E$196+(($C151)-$A$120:$A$165)*'Cálculos'!$E$98)+1400)+'Cálculos'!$E$122)*'Cálculos'!$E$217+'Cálculos'!$E$125*(1+2.78*('Cálculos'!$E$196+(($C151)-$A$120:$A$165)*'Cálculos'!$E$98)/(('Cálculos'!$E$196+(($C151)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151)-$A$120:$A$165)*'Cálculos'!$E$98)/(('Cálculos'!$E$197+(($C151)-$A$120:$A$165)*'Cálculos'!$E$98)+1400)+'Cálculos'!$E$122)*'Cálculos'!$E$229+'Cálculos'!$E$125*(1+2.78*('Cálculos'!$E$197+(($C151)-$A$120:$A$165)*'Cálculos'!$E$98)/(('Cálculos'!$E$197+(($C151)-$A$120:$A$165)*'Cálculos'!$E$98)+1400)+'Cálculos'!$E$123)*'Cálculos'!$E$234)+('Cálculos'!$E$197+(($C151)-$A$120:$A$165)*'Cálculos'!$E$98)*('Cálculos'!$E$225+'Cálculos'!$E$124*(1+2.78*('Cálculos'!$E$197+(($C151)-$A$120:$A$165)*'Cálculos'!$E$98)/(('Cálculos'!$E$197+(($C151)-$A$120:$A$165)*'Cálculos'!$E$98)+1400)+'Cálculos'!$E$122)*'Cálculos'!$E$230+'Cálculos'!$E$125*(1+2.78*('Cálculos'!$E$197+(($C151)-$A$120:$A$165)*'Cálculos'!$E$98)/(('Cálculos'!$E$197+(($C151)-$A$120:$A$165)*'Cálculos'!$E$98)+1400)+'Cálculos'!$E$123)*'Cálculos'!$E$235)+('Cálculos'!$E$201*(1+'Cálculos'!$E$202+$A$120:$A$165*('Cálculos'!$E$290=2)*'Cálculos'!$E$101)+'Cálculos'!$E$203)*('Cálculos'!$E$226+'Cálculos'!$E$124*(1+2.78*('Cálculos'!$E$197+(($C151)-$A$120:$A$165)*'Cálculos'!$E$98)/(('Cálculos'!$E$197+(($C151)-$A$120:$A$165)*'Cálculos'!$E$98)+1400)+'Cálculos'!$E$122)*'Cálculos'!$E$231+'Cálculos'!$E$125*(1+2.78*('Cálculos'!$E$197+(($C151)-$A$120:$A$165)*'Cálculos'!$E$98)/(('Cálculos'!$E$197+(($C151)-$A$120:$A$165)*'Cálculos'!$E$98)+1400)+'Cálculos'!$E$123)*'Cálculos'!$E$236)+('Cálculos'!$E$204*(1+'Cálculos'!$E$205+$A$120:$A$165*('Cálculos'!$E$290=3)*'Cálculos'!$E$103)+'Cálculos'!$E$206)*('Cálculos'!$E$227+'Cálculos'!$E$124*(1+2.78*('Cálculos'!$E$197+(($C151)-$A$120:$A$165)*'Cálculos'!$E$98)/(('Cálculos'!$E$197+(($C151)-$A$120:$A$165)*'Cálculos'!$E$98)+1400)+'Cálculos'!$E$122)*'Cálculos'!$E$232+'Cálculos'!$E$125*(1+2.78*('Cálculos'!$E$197+(($C151)-$A$120:$A$165)*'Cálculos'!$E$98)/(('Cálculos'!$E$197+(($C151)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151)-$A$120:$A$165)*'Cálculos'!$E$98)/(('Cálculos'!$E$198+(($C151)-$A$120:$A$165)*'Cálculos'!$E$98)+1400)+'Cálculos'!$E$122)*'Cálculos'!$E$244+'Cálculos'!$E$125*(1+2.78*('Cálculos'!$E$198+(($C151)-$A$120:$A$165)*'Cálculos'!$E$98)/(('Cálculos'!$E$198+(($C151)-$A$120:$A$165)*'Cálculos'!$E$98)+1400)+'Cálculos'!$E$123)*'Cálculos'!$E$249)+('Cálculos'!$E$198+(($C151)-$A$120:$A$165)*'Cálculos'!$E$98)*('Cálculos'!$E$240+'Cálculos'!$E$124*(1+2.78*('Cálculos'!$E$198+(($C151)-$A$120:$A$165)*'Cálculos'!$E$98)/(('Cálculos'!$E$198+(($C151)-$A$120:$A$165)*'Cálculos'!$E$98)+1400)+'Cálculos'!$E$122)*'Cálculos'!$E$245+'Cálculos'!$E$125*(1+2.78*('Cálculos'!$E$198+(($C151)-$A$120:$A$165)*'Cálculos'!$E$98)/(('Cálculos'!$E$198+(($C151)-$A$120:$A$165)*'Cálculos'!$E$98)+1400)+'Cálculos'!$E$123)*'Cálculos'!$E$250)+('Cálculos'!$E$201*(1+'Cálculos'!$E$202+$A$120:$A$165*('Cálculos'!$E$290=2)*'Cálculos'!$E$101)+'Cálculos'!$E$203)*('Cálculos'!$E$241+'Cálculos'!$E$124*(1+2.78*('Cálculos'!$E$198+(($C151)-$A$120:$A$165)*'Cálculos'!$E$98)/(('Cálculos'!$E$198+(($C151)-$A$120:$A$165)*'Cálculos'!$E$98)+1400)+'Cálculos'!$E$122)*'Cálculos'!$E$246+'Cálculos'!$E$125*(1+2.78*('Cálculos'!$E$198+(($C151)-$A$120:$A$165)*'Cálculos'!$E$98)/(('Cálculos'!$E$198+(($C151)-$A$120:$A$165)*'Cálculos'!$E$98)+1400)+'Cálculos'!$E$123)*'Cálculos'!$E$251)+('Cálculos'!$E$204*(1+'Cálculos'!$E$205+$A$120:$A$165*('Cálculos'!$E$290=3)*'Cálculos'!$E$103)+'Cálculos'!$E$206)*('Cálculos'!$E$242+'Cálculos'!$E$124*(1+2.78*('Cálculos'!$E$198+(($C151)-$A$120:$A$165)*'Cálculos'!$E$98)/(('Cálculos'!$E$198+(($C151)-$A$120:$A$165)*'Cálculos'!$E$98)+1400)+'Cálculos'!$E$122)*'Cálculos'!$E$247+'Cálculos'!$E$125*(1+2.78*('Cálculos'!$E$198+(($C151)-$A$120:$A$165)*'Cálculos'!$E$98)/(('Cálculos'!$E$198+(($C151)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151)-$A$120:$A$165)*'Cálculos'!$E$98)/(('Cálculos'!$E$199+(($C151)-$A$120:$A$165)*'Cálculos'!$E$98)+1400)+'Cálculos'!$E$122)*'Cálculos'!$E$259+'Cálculos'!$E$125*(1+2.78*('Cálculos'!$E$199+(($C151)-$A$120:$A$165)*'Cálculos'!$E$98)/(('Cálculos'!$E$199+(($C151)-$A$120:$A$165)*'Cálculos'!$E$98)+1400)+'Cálculos'!$E$123)*'Cálculos'!$E$264)+('Cálculos'!$E$199+(($C151)-$A$120:$A$165)*'Cálculos'!$E$98)*('Cálculos'!$E$255+'Cálculos'!$E$124*(1+2.78*('Cálculos'!$E$199+(($C151)-$A$120:$A$165)*'Cálculos'!$E$98)/(('Cálculos'!$E$199+(($C151)-$A$120:$A$165)*'Cálculos'!$E$98)+1400)+'Cálculos'!$E$122)*'Cálculos'!$E$260+'Cálculos'!$E$125*(1+2.78*('Cálculos'!$E$199+(($C151)-$A$120:$A$165)*'Cálculos'!$E$98)/(('Cálculos'!$E$199+(($C151)-$A$120:$A$165)*'Cálculos'!$E$98)+1400)+'Cálculos'!$E$123)*'Cálculos'!$E$265)+('Cálculos'!$E$201*(1+'Cálculos'!$E$202+$A$120:$A$165*('Cálculos'!$E$290=2)*'Cálculos'!$E$101)+'Cálculos'!$E$203)*('Cálculos'!$E$256+'Cálculos'!$E$124*(1+2.78*('Cálculos'!$E$199+(($C151)-$A$120:$A$165)*'Cálculos'!$E$98)/(('Cálculos'!$E$199+(($C151)-$A$120:$A$165)*'Cálculos'!$E$98)+1400)+'Cálculos'!$E$122)*'Cálculos'!$E$261+'Cálculos'!$E$125*(1+2.78*('Cálculos'!$E$199+(($C151)-$A$120:$A$165)*'Cálculos'!$E$98)/(('Cálculos'!$E$199+(($C151)-$A$120:$A$165)*'Cálculos'!$E$98)+1400)+'Cálculos'!$E$123)*'Cálculos'!$E$266)+('Cálculos'!$E$204*(1+'Cálculos'!$E$205+$A$120:$A$165*('Cálculos'!$E$290=3)*'Cálculos'!$E$103)+'Cálculos'!$E$206)*('Cálculos'!$E$257+'Cálculos'!$E$124*(1+2.78*('Cálculos'!$E$199+(($C151)-$A$120:$A$165)*'Cálculos'!$E$98)/(('Cálculos'!$E$199+(($C151)-$A$120:$A$165)*'Cálculos'!$E$98)+1400)+'Cálculos'!$E$122)*'Cálculos'!$E$262+'Cálculos'!$E$125*(1+2.78*('Cálculos'!$E$199+(($C151)-$A$120:$A$165)*'Cálculos'!$E$98)/(('Cálculos'!$E$199+(($C151)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151)-$A$120:$A$165)*'Cálculos'!$E$98)/(('Cálculos'!$E$200+(($C151)-$A$120:$A$165)*'Cálculos'!$E$98)+1400)+'Cálculos'!$E$122)*'Cálculos'!$E$274+'Cálculos'!$E$125*(1+2.78*('Cálculos'!$E$200+(($C151)-$A$120:$A$165)*'Cálculos'!$E$98)/(('Cálculos'!$E$200+(($C151)-$A$120:$A$165)*'Cálculos'!$E$98)+1400)+'Cálculos'!$E$123)*'Cálculos'!$E$279)+('Cálculos'!$E$200+(($C151)-$A$120:$A$165)*'Cálculos'!$E$98)*('Cálculos'!$E$270+'Cálculos'!$E$124*(1+2.78*('Cálculos'!$E$200+(($C151)-$A$120:$A$165)*'Cálculos'!$E$98)/(('Cálculos'!$E$200+(($C151)-$A$120:$A$165)*'Cálculos'!$E$98)+1400)+'Cálculos'!$E$122)*'Cálculos'!$E$275+'Cálculos'!$E$125*(1+2.78*('Cálculos'!$E$200+(($C151)-$A$120:$A$165)*'Cálculos'!$E$98)/(('Cálculos'!$E$200+(($C151)-$A$120:$A$165)*'Cálculos'!$E$98)+1400)+'Cálculos'!$E$123)*'Cálculos'!$E$280)+('Cálculos'!$E$201*(1+'Cálculos'!$E$202+$A$120:$A$165*('Cálculos'!$E$290=2)*'Cálculos'!$E$101)+'Cálculos'!$E$203)*('Cálculos'!$E$271+'Cálculos'!$E$124*(1+2.78*('Cálculos'!$E$200+(($C151)-$A$120:$A$165)*'Cálculos'!$E$98)/(('Cálculos'!$E$200+(($C151)-$A$120:$A$165)*'Cálculos'!$E$98)+1400)+'Cálculos'!$E$122)*'Cálculos'!$E$276+'Cálculos'!$E$125*(1+2.78*('Cálculos'!$E$200+(($C151)-$A$120:$A$165)*'Cálculos'!$E$98)/(('Cálculos'!$E$200+(($C151)-$A$120:$A$165)*'Cálculos'!$E$98)+1400)+'Cálculos'!$E$123)*'Cálculos'!$E$281)+('Cálculos'!$E$204*(1+'Cálculos'!$E$205+$A$120:$A$165*('Cálculos'!$E$290=3)*'Cálculos'!$E$103)+'Cálculos'!$E$206)*('Cálculos'!$E$272+'Cálculos'!$E$124*(1+2.78*('Cálculos'!$E$200+(($C151)-$A$120:$A$165)*'Cálculos'!$E$98)/(('Cálculos'!$E$200+(($C151)-$A$120:$A$165)*'Cálculos'!$E$98)+1400)+'Cálculos'!$E$122)*'Cálculos'!$E$277+'Cálculos'!$E$125*(1+2.78*('Cálculos'!$E$200+(($C151)-$A$120:$A$165)*'Cálculos'!$E$98)/(('Cálculos'!$E$200+(($C151)-$A$120:$A$165)*'Cálculos'!$E$98)+1400)+'Cálculos'!$E$123)*'Cálculos'!$E$282)))))</f>
        <v>0</v>
      </c>
      <c r="E151" s="32">
        <f>IF(OR($C151&lt;0,'Cálculos'!$E$6=""),0,$B151*$D151)</f>
        <v>0</v>
      </c>
      <c r="F151" s="2"/>
      <c r="G151" s="30">
        <f>($A151&lt;=$B$167)*($A151&lt;='Cálculos'!$E$294)*(($B$167)-$A151&lt;='Cálculos'!$E$295)*(1+MIN(('Cálculos'!$E$207+$A151*'Cálculos'!$E$95),1)*('Cálculos'!$E$208+(($B$167)-$A151)*'Cálculos'!$E$96))</f>
        <v>0</v>
      </c>
      <c r="H151" s="31">
        <f>IF($B$168&lt;0,0,($A151&lt;=$B$168)*($A151&lt;='Cálculos'!$E$301)*(($B$168)-$A151&lt;='Cálculos'!$E$297)*(('Cálculos'!$E$185*(1+'Cálculos'!$E$186+$A151*('Cálculos'!$E$290=1)*'Cálculos'!$E$97+'Cálculos'!$E$305)+'Cálculos'!$E$191)*('Cálculos'!$E$209+'Cálculos'!$E$124*(1+2.78*('Cálculos'!$E$196+(($B$168)-$A151)*'Cálculos'!$E$98)/(('Cálculos'!$E$196+(($B$168)-$A151)*'Cálculos'!$E$98)+1400)+'Cálculos'!$E$122)*'Cálculos'!$E$214+'Cálculos'!$E$125*(1+2.78*('Cálculos'!$E$196+(($B$168)-$A151)*'Cálculos'!$E$98)/(('Cálculos'!$E$196+(($B$168)-$A151)*'Cálculos'!$E$98)+1400)+'Cálculos'!$E$123)*'Cálculos'!$E$219)+('Cálculos'!$E$196+(($B$168)-$A151)*'Cálculos'!$E$98)*('Cálculos'!$E$210+'Cálculos'!$E$124*(1+2.78*('Cálculos'!$E$196+(($B$168)-$A151)*'Cálculos'!$E$98)/(('Cálculos'!$E$196+(($B$168)-$A151)*'Cálculos'!$E$98)+1400)+'Cálculos'!$E$122)*'Cálculos'!$E$215+'Cálculos'!$E$125*(1+2.78*('Cálculos'!$E$196+(($B$168)-$A151)*'Cálculos'!$E$98)/(('Cálculos'!$E$196+(($B$168)-$A151)*'Cálculos'!$E$98)+1400)+'Cálculos'!$E$123)*'Cálculos'!$E$220)+('Cálculos'!$E$201*(1+'Cálculos'!$E$202+$A151*('Cálculos'!$E$290=2)*'Cálculos'!$E$101)+'Cálculos'!$E$203)*('Cálculos'!$E$211+'Cálculos'!$E$124*(1+2.78*('Cálculos'!$E$196+(($B$168)-$A151)*'Cálculos'!$E$98)/(('Cálculos'!$E$196+(($B$168)-$A151)*'Cálculos'!$E$98)+1400)+'Cálculos'!$E$122)*'Cálculos'!$E$216+'Cálculos'!$E$125*(1+2.78*('Cálculos'!$E$196+(($B$168)-$A151)*'Cálculos'!$E$98)/(('Cálculos'!$E$196+(($B$168)-$A151)*'Cálculos'!$E$98)+1400)+'Cálculos'!$E$123)*'Cálculos'!$E$221)+('Cálculos'!$E$204*(1+'Cálculos'!$E$205+$A151*('Cálculos'!$E$290=3)*'Cálculos'!$E$103)+'Cálculos'!$E$206)*('Cálculos'!$E$212+'Cálculos'!$E$124*(1+2.78*('Cálculos'!$E$196+(($B$168)-$A151)*'Cálculos'!$E$98)/(('Cálculos'!$E$196+(($B$168)-$A151)*'Cálculos'!$E$98)+1400)+'Cálculos'!$E$122)*'Cálculos'!$E$217+'Cálculos'!$E$125*(1+2.78*('Cálculos'!$E$196+(($B$168)-$A151)*'Cálculos'!$E$98)/(('Cálculos'!$E$196+(($B$168)-$A151)*'Cálculos'!$E$98)+1400)+'Cálculos'!$E$123)*'Cálculos'!$E$222)+('Cálculos'!$E$185*(1+'Cálculos'!$E$187+$A151*('Cálculos'!$E$290=1)*'Cálculos'!$E$97+'Cálculos'!$E$305)+'Cálculos'!$E$192)*('Cálculos'!$E$224+'Cálculos'!$E$124*(1+2.78*('Cálculos'!$E$197+(($B$168)-$A151)*'Cálculos'!$E$98)/(('Cálculos'!$E$197+(($B$168)-$A151)*'Cálculos'!$E$98)+1400)+'Cálculos'!$E$122)*'Cálculos'!$E$229+'Cálculos'!$E$125*(1+2.78*('Cálculos'!$E$197+(($B$168)-$A151)*'Cálculos'!$E$98)/(('Cálculos'!$E$197+(($B$168)-$A151)*'Cálculos'!$E$98)+1400)+'Cálculos'!$E$123)*'Cálculos'!$E$234)+('Cálculos'!$E$197+(($B$168)-$A151)*'Cálculos'!$E$98)*('Cálculos'!$E$225+'Cálculos'!$E$124*(1+2.78*('Cálculos'!$E$197+(($B$168)-$A151)*'Cálculos'!$E$98)/(('Cálculos'!$E$197+(($B$168)-$A151)*'Cálculos'!$E$98)+1400)+'Cálculos'!$E$122)*'Cálculos'!$E$230+'Cálculos'!$E$125*(1+2.78*('Cálculos'!$E$197+(($B$168)-$A151)*'Cálculos'!$E$98)/(('Cálculos'!$E$197+(($B$168)-$A151)*'Cálculos'!$E$98)+1400)+'Cálculos'!$E$123)*'Cálculos'!$E$235)+('Cálculos'!$E$201*(1+'Cálculos'!$E$202+$A151*('Cálculos'!$E$290=2)*'Cálculos'!$E$101)+'Cálculos'!$E$203)*('Cálculos'!$E$226+'Cálculos'!$E$124*(1+2.78*('Cálculos'!$E$197+(($B$168)-$A151)*'Cálculos'!$E$98)/(('Cálculos'!$E$197+(($B$168)-$A151)*'Cálculos'!$E$98)+1400)+'Cálculos'!$E$122)*'Cálculos'!$E$231+'Cálculos'!$E$125*(1+2.78*('Cálculos'!$E$197+(($B$168)-$A151)*'Cálculos'!$E$98)/(('Cálculos'!$E$197+(($B$168)-$A151)*'Cálculos'!$E$98)+1400)+'Cálculos'!$E$123)*'Cálculos'!$E$236)+('Cálculos'!$E$204*(1+'Cálculos'!$E$205+$A151*('Cálculos'!$E$290=3)*'Cálculos'!$E$103)+'Cálculos'!$E$206)*('Cálculos'!$E$227+'Cálculos'!$E$124*(1+2.78*('Cálculos'!$E$197+(($B$168)-$A151)*'Cálculos'!$E$98)/(('Cálculos'!$E$197+(($B$168)-$A151)*'Cálculos'!$E$98)+1400)+'Cálculos'!$E$122)*'Cálculos'!$E$232+'Cálculos'!$E$125*(1+2.78*('Cálculos'!$E$197+(($B$168)-$A151)*'Cálculos'!$E$98)/(('Cálculos'!$E$197+(($B$168)-$A151)*'Cálculos'!$E$98)+1400)+'Cálculos'!$E$123)*'Cálculos'!$E$237)+('Cálculos'!$E$185*(1+'Cálculos'!$E$188+$A151*('Cálculos'!$E$290=1)*'Cálculos'!$E$97+'Cálculos'!$E$305)+'Cálculos'!$E$193)*('Cálculos'!$E$239+'Cálculos'!$E$124*(1+2.78*('Cálculos'!$E$198+(($B$168)-$A151)*'Cálculos'!$E$98)/(('Cálculos'!$E$198+(($B$168)-$A151)*'Cálculos'!$E$98)+1400)+'Cálculos'!$E$122)*'Cálculos'!$E$244+'Cálculos'!$E$125*(1+2.78*('Cálculos'!$E$198+(($B$168)-$A151)*'Cálculos'!$E$98)/(('Cálculos'!$E$198+(($B$168)-$A151)*'Cálculos'!$E$98)+1400)+'Cálculos'!$E$123)*'Cálculos'!$E$249)+('Cálculos'!$E$198+(($B$168)-$A151)*'Cálculos'!$E$98)*('Cálculos'!$E$240+'Cálculos'!$E$124*(1+2.78*('Cálculos'!$E$198+(($B$168)-$A151)*'Cálculos'!$E$98)/(('Cálculos'!$E$198+(($B$168)-$A151)*'Cálculos'!$E$98)+1400)+'Cálculos'!$E$122)*'Cálculos'!$E$245+'Cálculos'!$E$125*(1+2.78*('Cálculos'!$E$198+(($B$168)-$A151)*'Cálculos'!$E$98)/(('Cálculos'!$E$198+(($B$168)-$A151)*'Cálculos'!$E$98)+1400)+'Cálculos'!$E$123)*'Cálculos'!$E$250)+('Cálculos'!$E$201*(1+'Cálculos'!$E$202+$A151*('Cálculos'!$E$290=2)*'Cálculos'!$E$101)+'Cálculos'!$E$203)*('Cálculos'!$E$241+'Cálculos'!$E$124*(1+2.78*('Cálculos'!$E$198+(($B$168)-$A151)*'Cálculos'!$E$98)/(('Cálculos'!$E$198+(($B$168)-$A151)*'Cálculos'!$E$98)+1400)+'Cálculos'!$E$122)*'Cálculos'!$E$246+'Cálculos'!$E$125*(1+2.78*('Cálculos'!$E$198+(($B$168)-$A151)*'Cálculos'!$E$98)/(('Cálculos'!$E$198+(($B$168)-$A151)*'Cálculos'!$E$98)+1400)+'Cálculos'!$E$123)*'Cálculos'!$E$251)+('Cálculos'!$E$204*(1+'Cálculos'!$E$205+$A151*('Cálculos'!$E$290=3)*'Cálculos'!$E$103)+'Cálculos'!$E$206)*('Cálculos'!$E$242+'Cálculos'!$E$124*(1+2.78*('Cálculos'!$E$198+(($B$168)-$A151)*'Cálculos'!$E$98)/(('Cálculos'!$E$198+(($B$168)-$A151)*'Cálculos'!$E$98)+1400)+'Cálculos'!$E$122)*'Cálculos'!$E$247+'Cálculos'!$E$125*(1+2.78*('Cálculos'!$E$198+(($B$168)-$A151)*'Cálculos'!$E$98)/(('Cálculos'!$E$198+(($B$168)-$A151)*'Cálculos'!$E$98)+1400)+'Cálculos'!$E$123)*'Cálculos'!$E$252)+('Cálculos'!$E$185*(1+'Cálculos'!$E$189+$A151*('Cálculos'!$E$290=1)*'Cálculos'!$E$97+'Cálculos'!$E$305)+'Cálculos'!$E$194)*('Cálculos'!$E$254+'Cálculos'!$E$124*(1+2.78*('Cálculos'!$E$199+(($B$168)-$A151)*'Cálculos'!$E$98)/(('Cálculos'!$E$199+(($B$168)-$A151)*'Cálculos'!$E$98)+1400)+'Cálculos'!$E$122)*'Cálculos'!$E$259+'Cálculos'!$E$125*(1+2.78*('Cálculos'!$E$199+(($B$168)-$A151)*'Cálculos'!$E$98)/(('Cálculos'!$E$199+(($B$168)-$A151)*'Cálculos'!$E$98)+1400)+'Cálculos'!$E$123)*'Cálculos'!$E$264)+('Cálculos'!$E$199+(($B$168)-$A151)*'Cálculos'!$E$98)*('Cálculos'!$E$255+'Cálculos'!$E$124*(1+2.78*('Cálculos'!$E$199+(($B$168)-$A151)*'Cálculos'!$E$98)/(('Cálculos'!$E$199+(($B$168)-$A151)*'Cálculos'!$E$98)+1400)+'Cálculos'!$E$122)*'Cálculos'!$E$260+'Cálculos'!$E$125*(1+2.78*('Cálculos'!$E$199+(($B$168)-$A151)*'Cálculos'!$E$98)/(('Cálculos'!$E$199+(($B$168)-$A151)*'Cálculos'!$E$98)+1400)+'Cálculos'!$E$123)*'Cálculos'!$E$265)+('Cálculos'!$E$201*(1+'Cálculos'!$E$202+$A151*('Cálculos'!$E$290=2)*'Cálculos'!$E$101)+'Cálculos'!$E$203)*('Cálculos'!$E$256+'Cálculos'!$E$124*(1+2.78*('Cálculos'!$E$199+(($B$168)-$A151)*'Cálculos'!$E$98)/(('Cálculos'!$E$199+(($B$168)-$A151)*'Cálculos'!$E$98)+1400)+'Cálculos'!$E$122)*'Cálculos'!$E$261+'Cálculos'!$E$125*(1+2.78*('Cálculos'!$E$199+(($B$168)-$A151)*'Cálculos'!$E$98)/(('Cálculos'!$E$199+(($B$168)-$A151)*'Cálculos'!$E$98)+1400)+'Cálculos'!$E$123)*'Cálculos'!$E$266)+('Cálculos'!$E$204*(1+'Cálculos'!$E$205+$A151*('Cálculos'!$E$290=3)*'Cálculos'!$E$103)+'Cálculos'!$E$206)*('Cálculos'!$E$257+'Cálculos'!$E$124*(1+2.78*('Cálculos'!$E$199+(($B$168)-$A151)*'Cálculos'!$E$98)/(('Cálculos'!$E$199+(($B$168)-$A151)*'Cálculos'!$E$98)+1400)+'Cálculos'!$E$122)*'Cálculos'!$E$262+'Cálculos'!$E$125*(1+2.78*('Cálculos'!$E$199+(($B$168)-$A151)*'Cálculos'!$E$98)/(('Cálculos'!$E$199+(($B$168)-$A151)*'Cálculos'!$E$98)+1400)+'Cálculos'!$E$123)*'Cálculos'!$E$267)+('Cálculos'!$E$185*(1+'Cálculos'!$E$190+$A151*('Cálculos'!$E$290=1)*'Cálculos'!$E$97+'Cálculos'!$E$305)+'Cálculos'!$E$195)*('Cálculos'!$E$269+'Cálculos'!$E$124*(1+2.78*('Cálculos'!$E$200+(($B$168)-$A151)*'Cálculos'!$E$98)/(('Cálculos'!$E$200+(($B$168)-$A151)*'Cálculos'!$E$98)+1400)+'Cálculos'!$E$122)*'Cálculos'!$E$274+'Cálculos'!$E$125*(1+2.78*('Cálculos'!$E$200+(($B$168)-$A151)*'Cálculos'!$E$98)/(('Cálculos'!$E$200+(($B$168)-$A151)*'Cálculos'!$E$98)+1400)+'Cálculos'!$E$123)*'Cálculos'!$E$279)+('Cálculos'!$E$200+(($B$168)-$A151)*'Cálculos'!$E$98)*('Cálculos'!$E$270+'Cálculos'!$E$124*(1+2.78*('Cálculos'!$E$200+(($B$168)-$A151)*'Cálculos'!$E$98)/(('Cálculos'!$E$200+(($B$168)-$A151)*'Cálculos'!$E$98)+1400)+'Cálculos'!$E$122)*'Cálculos'!$E$275+'Cálculos'!$E$125*(1+2.78*('Cálculos'!$E$200+(($B$168)-$A151)*'Cálculos'!$E$98)/(('Cálculos'!$E$200+(($B$168)-$A151)*'Cálculos'!$E$98)+1400)+'Cálculos'!$E$123)*'Cálculos'!$E$280)+('Cálculos'!$E$201*(1+'Cálculos'!$E$202+$A151*('Cálculos'!$E$290=2)*'Cálculos'!$E$101)+'Cálculos'!$E$203)*('Cálculos'!$E$271+'Cálculos'!$E$124*(1+2.78*('Cálculos'!$E$200+(($B$168)-$A151)*'Cálculos'!$E$98)/(('Cálculos'!$E$200+(($B$168)-$A151)*'Cálculos'!$E$98)+1400)+'Cálculos'!$E$122)*'Cálculos'!$E$276+'Cálculos'!$E$125*(1+2.78*('Cálculos'!$E$200+(($B$168)-$A151)*'Cálculos'!$E$98)/(('Cálculos'!$E$200+(($B$168)-$A151)*'Cálculos'!$E$98)+1400)+'Cálculos'!$E$123)*'Cálculos'!$E$281)+('Cálculos'!$E$204*(1+'Cálculos'!$E$205+$A151*('Cálculos'!$E$290=3)*'Cálculos'!$E$103)+'Cálculos'!$E$206)*('Cálculos'!$E$272+'Cálculos'!$E$124*(1+2.78*('Cálculos'!$E$200+(($B$168)-$A151)*'Cálculos'!$E$98)/(('Cálculos'!$E$200+(($B$168)-$A151)*'Cálculos'!$E$98)+1400)+'Cálculos'!$E$122)*'Cálculos'!$E$277+'Cálculos'!$E$125*(1+2.78*('Cálculos'!$E$200+(($B$168)-$A151)*'Cálculos'!$E$98)/(('Cálculos'!$E$200+(($B$168)-$A151)*'Cálculos'!$E$98)+1400)+'Cálculos'!$E$123)*'Cálculos'!$E$282)))</f>
        <v>0</v>
      </c>
    </row>
    <row r="152" ht="15.75" customHeight="1">
      <c r="A152" s="2">
        <v>32.0</v>
      </c>
      <c r="B152" s="30">
        <f>SUMPRODUCT(MAX(($A$120:$A$165&lt;=$A152)*($A$120:$A$165&lt;='Cálculos'!$E$294)*(($A152)-$A$120:$A$165&lt;='Cálculos'!$E$295)*(1+(('Cálculos'!$E$207+$A$120:$A$165*'Cálculos'!$E$95)-(('Cálculos'!$E$207+$A$120:$A$165*'Cálculos'!$E$95)&gt;1)*(('Cálculos'!$E$207+$A$120:$A$165*'Cálculos'!$E$95)-1))*('Cálculos'!$E$208+(($A152)-$A$120:$A$165)*'Cálculos'!$E$96))))</f>
        <v>2.61798</v>
      </c>
      <c r="C152" s="2">
        <f>'Cálculos'!$E$303-$A152</f>
        <v>-19</v>
      </c>
      <c r="D152" s="31">
        <f>IF($C152&lt;0,0,SUMPRODUCT(MAX(($A$120:$A$165&lt;=$C152)*($A$120:$A$165&lt;='Cálculos'!$E$301)*(($C152)-$A$120:$A$165&lt;='Cálculos'!$E$297)*(('Cálculos'!$E$185*(1+'Cálculos'!$E$186+$A$120:$A$165*('Cálculos'!$E$290=1)*'Cálculos'!$E$97+'Cálculos'!$E$305)+'Cálculos'!$E$191)*('Cálculos'!$E$209+'Cálculos'!$E$124*(1+2.78*('Cálculos'!$E$196+(($C152)-$A$120:$A$165)*'Cálculos'!$E$98)/(('Cálculos'!$E$196+(($C152)-$A$120:$A$165)*'Cálculos'!$E$98)+1400)+'Cálculos'!$E$122)*'Cálculos'!$E$214+'Cálculos'!$E$125*(1+2.78*('Cálculos'!$E$196+(($C152)-$A$120:$A$165)*'Cálculos'!$E$98)/(('Cálculos'!$E$196+(($C152)-$A$120:$A$165)*'Cálculos'!$E$98)+1400)+'Cálculos'!$E$123)*'Cálculos'!$E$219)+('Cálculos'!$E$196+(($C152)-$A$120:$A$165)*'Cálculos'!$E$98)*('Cálculos'!$E$210+'Cálculos'!$E$124*(1+2.78*('Cálculos'!$E$196+(($C152)-$A$120:$A$165)*'Cálculos'!$E$98)/(('Cálculos'!$E$196+(($C152)-$A$120:$A$165)*'Cálculos'!$E$98)+1400)+'Cálculos'!$E$122)*'Cálculos'!$E$215+'Cálculos'!$E$125*(1+2.78*('Cálculos'!$E$196+(($C152)-$A$120:$A$165)*'Cálculos'!$E$98)/(('Cálculos'!$E$196+(($C152)-$A$120:$A$165)*'Cálculos'!$E$98)+1400)+'Cálculos'!$E$123)*'Cálculos'!$E$220)+('Cálculos'!$E$201*(1+'Cálculos'!$E$202+$A$120:$A$165*('Cálculos'!$E$290=2)*'Cálculos'!$E$101)+'Cálculos'!$E$203)*('Cálculos'!$E$211+'Cálculos'!$E$124*(1+2.78*('Cálculos'!$E$196+(($C152)-$A$120:$A$165)*'Cálculos'!$E$98)/(('Cálculos'!$E$196+(($C152)-$A$120:$A$165)*'Cálculos'!$E$98)+1400)+'Cálculos'!$E$122)*'Cálculos'!$E$216+'Cálculos'!$E$125*(1+2.78*('Cálculos'!$E$196+(($C152)-$A$120:$A$165)*'Cálculos'!$E$98)/(('Cálculos'!$E$196+(($C152)-$A$120:$A$165)*'Cálculos'!$E$98)+1400)+'Cálculos'!$E$123)*'Cálculos'!$E$221)+('Cálculos'!$E$204*(1+'Cálculos'!$E$205+$A$120:$A$165*('Cálculos'!$E$290=3)*'Cálculos'!$E$103)+'Cálculos'!$E$206)*('Cálculos'!$E$212+'Cálculos'!$E$124*(1+2.78*('Cálculos'!$E$196+(($C152)-$A$120:$A$165)*'Cálculos'!$E$98)/(('Cálculos'!$E$196+(($C152)-$A$120:$A$165)*'Cálculos'!$E$98)+1400)+'Cálculos'!$E$122)*'Cálculos'!$E$217+'Cálculos'!$E$125*(1+2.78*('Cálculos'!$E$196+(($C152)-$A$120:$A$165)*'Cálculos'!$E$98)/(('Cálculos'!$E$196+(($C152)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152)-$A$120:$A$165)*'Cálculos'!$E$98)/(('Cálculos'!$E$197+(($C152)-$A$120:$A$165)*'Cálculos'!$E$98)+1400)+'Cálculos'!$E$122)*'Cálculos'!$E$229+'Cálculos'!$E$125*(1+2.78*('Cálculos'!$E$197+(($C152)-$A$120:$A$165)*'Cálculos'!$E$98)/(('Cálculos'!$E$197+(($C152)-$A$120:$A$165)*'Cálculos'!$E$98)+1400)+'Cálculos'!$E$123)*'Cálculos'!$E$234)+('Cálculos'!$E$197+(($C152)-$A$120:$A$165)*'Cálculos'!$E$98)*('Cálculos'!$E$225+'Cálculos'!$E$124*(1+2.78*('Cálculos'!$E$197+(($C152)-$A$120:$A$165)*'Cálculos'!$E$98)/(('Cálculos'!$E$197+(($C152)-$A$120:$A$165)*'Cálculos'!$E$98)+1400)+'Cálculos'!$E$122)*'Cálculos'!$E$230+'Cálculos'!$E$125*(1+2.78*('Cálculos'!$E$197+(($C152)-$A$120:$A$165)*'Cálculos'!$E$98)/(('Cálculos'!$E$197+(($C152)-$A$120:$A$165)*'Cálculos'!$E$98)+1400)+'Cálculos'!$E$123)*'Cálculos'!$E$235)+('Cálculos'!$E$201*(1+'Cálculos'!$E$202+$A$120:$A$165*('Cálculos'!$E$290=2)*'Cálculos'!$E$101)+'Cálculos'!$E$203)*('Cálculos'!$E$226+'Cálculos'!$E$124*(1+2.78*('Cálculos'!$E$197+(($C152)-$A$120:$A$165)*'Cálculos'!$E$98)/(('Cálculos'!$E$197+(($C152)-$A$120:$A$165)*'Cálculos'!$E$98)+1400)+'Cálculos'!$E$122)*'Cálculos'!$E$231+'Cálculos'!$E$125*(1+2.78*('Cálculos'!$E$197+(($C152)-$A$120:$A$165)*'Cálculos'!$E$98)/(('Cálculos'!$E$197+(($C152)-$A$120:$A$165)*'Cálculos'!$E$98)+1400)+'Cálculos'!$E$123)*'Cálculos'!$E$236)+('Cálculos'!$E$204*(1+'Cálculos'!$E$205+$A$120:$A$165*('Cálculos'!$E$290=3)*'Cálculos'!$E$103)+'Cálculos'!$E$206)*('Cálculos'!$E$227+'Cálculos'!$E$124*(1+2.78*('Cálculos'!$E$197+(($C152)-$A$120:$A$165)*'Cálculos'!$E$98)/(('Cálculos'!$E$197+(($C152)-$A$120:$A$165)*'Cálculos'!$E$98)+1400)+'Cálculos'!$E$122)*'Cálculos'!$E$232+'Cálculos'!$E$125*(1+2.78*('Cálculos'!$E$197+(($C152)-$A$120:$A$165)*'Cálculos'!$E$98)/(('Cálculos'!$E$197+(($C152)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152)-$A$120:$A$165)*'Cálculos'!$E$98)/(('Cálculos'!$E$198+(($C152)-$A$120:$A$165)*'Cálculos'!$E$98)+1400)+'Cálculos'!$E$122)*'Cálculos'!$E$244+'Cálculos'!$E$125*(1+2.78*('Cálculos'!$E$198+(($C152)-$A$120:$A$165)*'Cálculos'!$E$98)/(('Cálculos'!$E$198+(($C152)-$A$120:$A$165)*'Cálculos'!$E$98)+1400)+'Cálculos'!$E$123)*'Cálculos'!$E$249)+('Cálculos'!$E$198+(($C152)-$A$120:$A$165)*'Cálculos'!$E$98)*('Cálculos'!$E$240+'Cálculos'!$E$124*(1+2.78*('Cálculos'!$E$198+(($C152)-$A$120:$A$165)*'Cálculos'!$E$98)/(('Cálculos'!$E$198+(($C152)-$A$120:$A$165)*'Cálculos'!$E$98)+1400)+'Cálculos'!$E$122)*'Cálculos'!$E$245+'Cálculos'!$E$125*(1+2.78*('Cálculos'!$E$198+(($C152)-$A$120:$A$165)*'Cálculos'!$E$98)/(('Cálculos'!$E$198+(($C152)-$A$120:$A$165)*'Cálculos'!$E$98)+1400)+'Cálculos'!$E$123)*'Cálculos'!$E$250)+('Cálculos'!$E$201*(1+'Cálculos'!$E$202+$A$120:$A$165*('Cálculos'!$E$290=2)*'Cálculos'!$E$101)+'Cálculos'!$E$203)*('Cálculos'!$E$241+'Cálculos'!$E$124*(1+2.78*('Cálculos'!$E$198+(($C152)-$A$120:$A$165)*'Cálculos'!$E$98)/(('Cálculos'!$E$198+(($C152)-$A$120:$A$165)*'Cálculos'!$E$98)+1400)+'Cálculos'!$E$122)*'Cálculos'!$E$246+'Cálculos'!$E$125*(1+2.78*('Cálculos'!$E$198+(($C152)-$A$120:$A$165)*'Cálculos'!$E$98)/(('Cálculos'!$E$198+(($C152)-$A$120:$A$165)*'Cálculos'!$E$98)+1400)+'Cálculos'!$E$123)*'Cálculos'!$E$251)+('Cálculos'!$E$204*(1+'Cálculos'!$E$205+$A$120:$A$165*('Cálculos'!$E$290=3)*'Cálculos'!$E$103)+'Cálculos'!$E$206)*('Cálculos'!$E$242+'Cálculos'!$E$124*(1+2.78*('Cálculos'!$E$198+(($C152)-$A$120:$A$165)*'Cálculos'!$E$98)/(('Cálculos'!$E$198+(($C152)-$A$120:$A$165)*'Cálculos'!$E$98)+1400)+'Cálculos'!$E$122)*'Cálculos'!$E$247+'Cálculos'!$E$125*(1+2.78*('Cálculos'!$E$198+(($C152)-$A$120:$A$165)*'Cálculos'!$E$98)/(('Cálculos'!$E$198+(($C152)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152)-$A$120:$A$165)*'Cálculos'!$E$98)/(('Cálculos'!$E$199+(($C152)-$A$120:$A$165)*'Cálculos'!$E$98)+1400)+'Cálculos'!$E$122)*'Cálculos'!$E$259+'Cálculos'!$E$125*(1+2.78*('Cálculos'!$E$199+(($C152)-$A$120:$A$165)*'Cálculos'!$E$98)/(('Cálculos'!$E$199+(($C152)-$A$120:$A$165)*'Cálculos'!$E$98)+1400)+'Cálculos'!$E$123)*'Cálculos'!$E$264)+('Cálculos'!$E$199+(($C152)-$A$120:$A$165)*'Cálculos'!$E$98)*('Cálculos'!$E$255+'Cálculos'!$E$124*(1+2.78*('Cálculos'!$E$199+(($C152)-$A$120:$A$165)*'Cálculos'!$E$98)/(('Cálculos'!$E$199+(($C152)-$A$120:$A$165)*'Cálculos'!$E$98)+1400)+'Cálculos'!$E$122)*'Cálculos'!$E$260+'Cálculos'!$E$125*(1+2.78*('Cálculos'!$E$199+(($C152)-$A$120:$A$165)*'Cálculos'!$E$98)/(('Cálculos'!$E$199+(($C152)-$A$120:$A$165)*'Cálculos'!$E$98)+1400)+'Cálculos'!$E$123)*'Cálculos'!$E$265)+('Cálculos'!$E$201*(1+'Cálculos'!$E$202+$A$120:$A$165*('Cálculos'!$E$290=2)*'Cálculos'!$E$101)+'Cálculos'!$E$203)*('Cálculos'!$E$256+'Cálculos'!$E$124*(1+2.78*('Cálculos'!$E$199+(($C152)-$A$120:$A$165)*'Cálculos'!$E$98)/(('Cálculos'!$E$199+(($C152)-$A$120:$A$165)*'Cálculos'!$E$98)+1400)+'Cálculos'!$E$122)*'Cálculos'!$E$261+'Cálculos'!$E$125*(1+2.78*('Cálculos'!$E$199+(($C152)-$A$120:$A$165)*'Cálculos'!$E$98)/(('Cálculos'!$E$199+(($C152)-$A$120:$A$165)*'Cálculos'!$E$98)+1400)+'Cálculos'!$E$123)*'Cálculos'!$E$266)+('Cálculos'!$E$204*(1+'Cálculos'!$E$205+$A$120:$A$165*('Cálculos'!$E$290=3)*'Cálculos'!$E$103)+'Cálculos'!$E$206)*('Cálculos'!$E$257+'Cálculos'!$E$124*(1+2.78*('Cálculos'!$E$199+(($C152)-$A$120:$A$165)*'Cálculos'!$E$98)/(('Cálculos'!$E$199+(($C152)-$A$120:$A$165)*'Cálculos'!$E$98)+1400)+'Cálculos'!$E$122)*'Cálculos'!$E$262+'Cálculos'!$E$125*(1+2.78*('Cálculos'!$E$199+(($C152)-$A$120:$A$165)*'Cálculos'!$E$98)/(('Cálculos'!$E$199+(($C152)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152)-$A$120:$A$165)*'Cálculos'!$E$98)/(('Cálculos'!$E$200+(($C152)-$A$120:$A$165)*'Cálculos'!$E$98)+1400)+'Cálculos'!$E$122)*'Cálculos'!$E$274+'Cálculos'!$E$125*(1+2.78*('Cálculos'!$E$200+(($C152)-$A$120:$A$165)*'Cálculos'!$E$98)/(('Cálculos'!$E$200+(($C152)-$A$120:$A$165)*'Cálculos'!$E$98)+1400)+'Cálculos'!$E$123)*'Cálculos'!$E$279)+('Cálculos'!$E$200+(($C152)-$A$120:$A$165)*'Cálculos'!$E$98)*('Cálculos'!$E$270+'Cálculos'!$E$124*(1+2.78*('Cálculos'!$E$200+(($C152)-$A$120:$A$165)*'Cálculos'!$E$98)/(('Cálculos'!$E$200+(($C152)-$A$120:$A$165)*'Cálculos'!$E$98)+1400)+'Cálculos'!$E$122)*'Cálculos'!$E$275+'Cálculos'!$E$125*(1+2.78*('Cálculos'!$E$200+(($C152)-$A$120:$A$165)*'Cálculos'!$E$98)/(('Cálculos'!$E$200+(($C152)-$A$120:$A$165)*'Cálculos'!$E$98)+1400)+'Cálculos'!$E$123)*'Cálculos'!$E$280)+('Cálculos'!$E$201*(1+'Cálculos'!$E$202+$A$120:$A$165*('Cálculos'!$E$290=2)*'Cálculos'!$E$101)+'Cálculos'!$E$203)*('Cálculos'!$E$271+'Cálculos'!$E$124*(1+2.78*('Cálculos'!$E$200+(($C152)-$A$120:$A$165)*'Cálculos'!$E$98)/(('Cálculos'!$E$200+(($C152)-$A$120:$A$165)*'Cálculos'!$E$98)+1400)+'Cálculos'!$E$122)*'Cálculos'!$E$276+'Cálculos'!$E$125*(1+2.78*('Cálculos'!$E$200+(($C152)-$A$120:$A$165)*'Cálculos'!$E$98)/(('Cálculos'!$E$200+(($C152)-$A$120:$A$165)*'Cálculos'!$E$98)+1400)+'Cálculos'!$E$123)*'Cálculos'!$E$281)+('Cálculos'!$E$204*(1+'Cálculos'!$E$205+$A$120:$A$165*('Cálculos'!$E$290=3)*'Cálculos'!$E$103)+'Cálculos'!$E$206)*('Cálculos'!$E$272+'Cálculos'!$E$124*(1+2.78*('Cálculos'!$E$200+(($C152)-$A$120:$A$165)*'Cálculos'!$E$98)/(('Cálculos'!$E$200+(($C152)-$A$120:$A$165)*'Cálculos'!$E$98)+1400)+'Cálculos'!$E$122)*'Cálculos'!$E$277+'Cálculos'!$E$125*(1+2.78*('Cálculos'!$E$200+(($C152)-$A$120:$A$165)*'Cálculos'!$E$98)/(('Cálculos'!$E$200+(($C152)-$A$120:$A$165)*'Cálculos'!$E$98)+1400)+'Cálculos'!$E$123)*'Cálculos'!$E$282)))))</f>
        <v>0</v>
      </c>
      <c r="E152" s="32">
        <f>IF(OR($C152&lt;0,'Cálculos'!$E$6=""),0,$B152*$D152)</f>
        <v>0</v>
      </c>
      <c r="F152" s="2"/>
      <c r="G152" s="30">
        <f>($A152&lt;=$B$167)*($A152&lt;='Cálculos'!$E$294)*(($B$167)-$A152&lt;='Cálculos'!$E$295)*(1+MIN(('Cálculos'!$E$207+$A152*'Cálculos'!$E$95),1)*('Cálculos'!$E$208+(($B$167)-$A152)*'Cálculos'!$E$96))</f>
        <v>0</v>
      </c>
      <c r="H152" s="31">
        <f>IF($B$168&lt;0,0,($A152&lt;=$B$168)*($A152&lt;='Cálculos'!$E$301)*(($B$168)-$A152&lt;='Cálculos'!$E$297)*(('Cálculos'!$E$185*(1+'Cálculos'!$E$186+$A152*('Cálculos'!$E$290=1)*'Cálculos'!$E$97+'Cálculos'!$E$305)+'Cálculos'!$E$191)*('Cálculos'!$E$209+'Cálculos'!$E$124*(1+2.78*('Cálculos'!$E$196+(($B$168)-$A152)*'Cálculos'!$E$98)/(('Cálculos'!$E$196+(($B$168)-$A152)*'Cálculos'!$E$98)+1400)+'Cálculos'!$E$122)*'Cálculos'!$E$214+'Cálculos'!$E$125*(1+2.78*('Cálculos'!$E$196+(($B$168)-$A152)*'Cálculos'!$E$98)/(('Cálculos'!$E$196+(($B$168)-$A152)*'Cálculos'!$E$98)+1400)+'Cálculos'!$E$123)*'Cálculos'!$E$219)+('Cálculos'!$E$196+(($B$168)-$A152)*'Cálculos'!$E$98)*('Cálculos'!$E$210+'Cálculos'!$E$124*(1+2.78*('Cálculos'!$E$196+(($B$168)-$A152)*'Cálculos'!$E$98)/(('Cálculos'!$E$196+(($B$168)-$A152)*'Cálculos'!$E$98)+1400)+'Cálculos'!$E$122)*'Cálculos'!$E$215+'Cálculos'!$E$125*(1+2.78*('Cálculos'!$E$196+(($B$168)-$A152)*'Cálculos'!$E$98)/(('Cálculos'!$E$196+(($B$168)-$A152)*'Cálculos'!$E$98)+1400)+'Cálculos'!$E$123)*'Cálculos'!$E$220)+('Cálculos'!$E$201*(1+'Cálculos'!$E$202+$A152*('Cálculos'!$E$290=2)*'Cálculos'!$E$101)+'Cálculos'!$E$203)*('Cálculos'!$E$211+'Cálculos'!$E$124*(1+2.78*('Cálculos'!$E$196+(($B$168)-$A152)*'Cálculos'!$E$98)/(('Cálculos'!$E$196+(($B$168)-$A152)*'Cálculos'!$E$98)+1400)+'Cálculos'!$E$122)*'Cálculos'!$E$216+'Cálculos'!$E$125*(1+2.78*('Cálculos'!$E$196+(($B$168)-$A152)*'Cálculos'!$E$98)/(('Cálculos'!$E$196+(($B$168)-$A152)*'Cálculos'!$E$98)+1400)+'Cálculos'!$E$123)*'Cálculos'!$E$221)+('Cálculos'!$E$204*(1+'Cálculos'!$E$205+$A152*('Cálculos'!$E$290=3)*'Cálculos'!$E$103)+'Cálculos'!$E$206)*('Cálculos'!$E$212+'Cálculos'!$E$124*(1+2.78*('Cálculos'!$E$196+(($B$168)-$A152)*'Cálculos'!$E$98)/(('Cálculos'!$E$196+(($B$168)-$A152)*'Cálculos'!$E$98)+1400)+'Cálculos'!$E$122)*'Cálculos'!$E$217+'Cálculos'!$E$125*(1+2.78*('Cálculos'!$E$196+(($B$168)-$A152)*'Cálculos'!$E$98)/(('Cálculos'!$E$196+(($B$168)-$A152)*'Cálculos'!$E$98)+1400)+'Cálculos'!$E$123)*'Cálculos'!$E$222)+('Cálculos'!$E$185*(1+'Cálculos'!$E$187+$A152*('Cálculos'!$E$290=1)*'Cálculos'!$E$97+'Cálculos'!$E$305)+'Cálculos'!$E$192)*('Cálculos'!$E$224+'Cálculos'!$E$124*(1+2.78*('Cálculos'!$E$197+(($B$168)-$A152)*'Cálculos'!$E$98)/(('Cálculos'!$E$197+(($B$168)-$A152)*'Cálculos'!$E$98)+1400)+'Cálculos'!$E$122)*'Cálculos'!$E$229+'Cálculos'!$E$125*(1+2.78*('Cálculos'!$E$197+(($B$168)-$A152)*'Cálculos'!$E$98)/(('Cálculos'!$E$197+(($B$168)-$A152)*'Cálculos'!$E$98)+1400)+'Cálculos'!$E$123)*'Cálculos'!$E$234)+('Cálculos'!$E$197+(($B$168)-$A152)*'Cálculos'!$E$98)*('Cálculos'!$E$225+'Cálculos'!$E$124*(1+2.78*('Cálculos'!$E$197+(($B$168)-$A152)*'Cálculos'!$E$98)/(('Cálculos'!$E$197+(($B$168)-$A152)*'Cálculos'!$E$98)+1400)+'Cálculos'!$E$122)*'Cálculos'!$E$230+'Cálculos'!$E$125*(1+2.78*('Cálculos'!$E$197+(($B$168)-$A152)*'Cálculos'!$E$98)/(('Cálculos'!$E$197+(($B$168)-$A152)*'Cálculos'!$E$98)+1400)+'Cálculos'!$E$123)*'Cálculos'!$E$235)+('Cálculos'!$E$201*(1+'Cálculos'!$E$202+$A152*('Cálculos'!$E$290=2)*'Cálculos'!$E$101)+'Cálculos'!$E$203)*('Cálculos'!$E$226+'Cálculos'!$E$124*(1+2.78*('Cálculos'!$E$197+(($B$168)-$A152)*'Cálculos'!$E$98)/(('Cálculos'!$E$197+(($B$168)-$A152)*'Cálculos'!$E$98)+1400)+'Cálculos'!$E$122)*'Cálculos'!$E$231+'Cálculos'!$E$125*(1+2.78*('Cálculos'!$E$197+(($B$168)-$A152)*'Cálculos'!$E$98)/(('Cálculos'!$E$197+(($B$168)-$A152)*'Cálculos'!$E$98)+1400)+'Cálculos'!$E$123)*'Cálculos'!$E$236)+('Cálculos'!$E$204*(1+'Cálculos'!$E$205+$A152*('Cálculos'!$E$290=3)*'Cálculos'!$E$103)+'Cálculos'!$E$206)*('Cálculos'!$E$227+'Cálculos'!$E$124*(1+2.78*('Cálculos'!$E$197+(($B$168)-$A152)*'Cálculos'!$E$98)/(('Cálculos'!$E$197+(($B$168)-$A152)*'Cálculos'!$E$98)+1400)+'Cálculos'!$E$122)*'Cálculos'!$E$232+'Cálculos'!$E$125*(1+2.78*('Cálculos'!$E$197+(($B$168)-$A152)*'Cálculos'!$E$98)/(('Cálculos'!$E$197+(($B$168)-$A152)*'Cálculos'!$E$98)+1400)+'Cálculos'!$E$123)*'Cálculos'!$E$237)+('Cálculos'!$E$185*(1+'Cálculos'!$E$188+$A152*('Cálculos'!$E$290=1)*'Cálculos'!$E$97+'Cálculos'!$E$305)+'Cálculos'!$E$193)*('Cálculos'!$E$239+'Cálculos'!$E$124*(1+2.78*('Cálculos'!$E$198+(($B$168)-$A152)*'Cálculos'!$E$98)/(('Cálculos'!$E$198+(($B$168)-$A152)*'Cálculos'!$E$98)+1400)+'Cálculos'!$E$122)*'Cálculos'!$E$244+'Cálculos'!$E$125*(1+2.78*('Cálculos'!$E$198+(($B$168)-$A152)*'Cálculos'!$E$98)/(('Cálculos'!$E$198+(($B$168)-$A152)*'Cálculos'!$E$98)+1400)+'Cálculos'!$E$123)*'Cálculos'!$E$249)+('Cálculos'!$E$198+(($B$168)-$A152)*'Cálculos'!$E$98)*('Cálculos'!$E$240+'Cálculos'!$E$124*(1+2.78*('Cálculos'!$E$198+(($B$168)-$A152)*'Cálculos'!$E$98)/(('Cálculos'!$E$198+(($B$168)-$A152)*'Cálculos'!$E$98)+1400)+'Cálculos'!$E$122)*'Cálculos'!$E$245+'Cálculos'!$E$125*(1+2.78*('Cálculos'!$E$198+(($B$168)-$A152)*'Cálculos'!$E$98)/(('Cálculos'!$E$198+(($B$168)-$A152)*'Cálculos'!$E$98)+1400)+'Cálculos'!$E$123)*'Cálculos'!$E$250)+('Cálculos'!$E$201*(1+'Cálculos'!$E$202+$A152*('Cálculos'!$E$290=2)*'Cálculos'!$E$101)+'Cálculos'!$E$203)*('Cálculos'!$E$241+'Cálculos'!$E$124*(1+2.78*('Cálculos'!$E$198+(($B$168)-$A152)*'Cálculos'!$E$98)/(('Cálculos'!$E$198+(($B$168)-$A152)*'Cálculos'!$E$98)+1400)+'Cálculos'!$E$122)*'Cálculos'!$E$246+'Cálculos'!$E$125*(1+2.78*('Cálculos'!$E$198+(($B$168)-$A152)*'Cálculos'!$E$98)/(('Cálculos'!$E$198+(($B$168)-$A152)*'Cálculos'!$E$98)+1400)+'Cálculos'!$E$123)*'Cálculos'!$E$251)+('Cálculos'!$E$204*(1+'Cálculos'!$E$205+$A152*('Cálculos'!$E$290=3)*'Cálculos'!$E$103)+'Cálculos'!$E$206)*('Cálculos'!$E$242+'Cálculos'!$E$124*(1+2.78*('Cálculos'!$E$198+(($B$168)-$A152)*'Cálculos'!$E$98)/(('Cálculos'!$E$198+(($B$168)-$A152)*'Cálculos'!$E$98)+1400)+'Cálculos'!$E$122)*'Cálculos'!$E$247+'Cálculos'!$E$125*(1+2.78*('Cálculos'!$E$198+(($B$168)-$A152)*'Cálculos'!$E$98)/(('Cálculos'!$E$198+(($B$168)-$A152)*'Cálculos'!$E$98)+1400)+'Cálculos'!$E$123)*'Cálculos'!$E$252)+('Cálculos'!$E$185*(1+'Cálculos'!$E$189+$A152*('Cálculos'!$E$290=1)*'Cálculos'!$E$97+'Cálculos'!$E$305)+'Cálculos'!$E$194)*('Cálculos'!$E$254+'Cálculos'!$E$124*(1+2.78*('Cálculos'!$E$199+(($B$168)-$A152)*'Cálculos'!$E$98)/(('Cálculos'!$E$199+(($B$168)-$A152)*'Cálculos'!$E$98)+1400)+'Cálculos'!$E$122)*'Cálculos'!$E$259+'Cálculos'!$E$125*(1+2.78*('Cálculos'!$E$199+(($B$168)-$A152)*'Cálculos'!$E$98)/(('Cálculos'!$E$199+(($B$168)-$A152)*'Cálculos'!$E$98)+1400)+'Cálculos'!$E$123)*'Cálculos'!$E$264)+('Cálculos'!$E$199+(($B$168)-$A152)*'Cálculos'!$E$98)*('Cálculos'!$E$255+'Cálculos'!$E$124*(1+2.78*('Cálculos'!$E$199+(($B$168)-$A152)*'Cálculos'!$E$98)/(('Cálculos'!$E$199+(($B$168)-$A152)*'Cálculos'!$E$98)+1400)+'Cálculos'!$E$122)*'Cálculos'!$E$260+'Cálculos'!$E$125*(1+2.78*('Cálculos'!$E$199+(($B$168)-$A152)*'Cálculos'!$E$98)/(('Cálculos'!$E$199+(($B$168)-$A152)*'Cálculos'!$E$98)+1400)+'Cálculos'!$E$123)*'Cálculos'!$E$265)+('Cálculos'!$E$201*(1+'Cálculos'!$E$202+$A152*('Cálculos'!$E$290=2)*'Cálculos'!$E$101)+'Cálculos'!$E$203)*('Cálculos'!$E$256+'Cálculos'!$E$124*(1+2.78*('Cálculos'!$E$199+(($B$168)-$A152)*'Cálculos'!$E$98)/(('Cálculos'!$E$199+(($B$168)-$A152)*'Cálculos'!$E$98)+1400)+'Cálculos'!$E$122)*'Cálculos'!$E$261+'Cálculos'!$E$125*(1+2.78*('Cálculos'!$E$199+(($B$168)-$A152)*'Cálculos'!$E$98)/(('Cálculos'!$E$199+(($B$168)-$A152)*'Cálculos'!$E$98)+1400)+'Cálculos'!$E$123)*'Cálculos'!$E$266)+('Cálculos'!$E$204*(1+'Cálculos'!$E$205+$A152*('Cálculos'!$E$290=3)*'Cálculos'!$E$103)+'Cálculos'!$E$206)*('Cálculos'!$E$257+'Cálculos'!$E$124*(1+2.78*('Cálculos'!$E$199+(($B$168)-$A152)*'Cálculos'!$E$98)/(('Cálculos'!$E$199+(($B$168)-$A152)*'Cálculos'!$E$98)+1400)+'Cálculos'!$E$122)*'Cálculos'!$E$262+'Cálculos'!$E$125*(1+2.78*('Cálculos'!$E$199+(($B$168)-$A152)*'Cálculos'!$E$98)/(('Cálculos'!$E$199+(($B$168)-$A152)*'Cálculos'!$E$98)+1400)+'Cálculos'!$E$123)*'Cálculos'!$E$267)+('Cálculos'!$E$185*(1+'Cálculos'!$E$190+$A152*('Cálculos'!$E$290=1)*'Cálculos'!$E$97+'Cálculos'!$E$305)+'Cálculos'!$E$195)*('Cálculos'!$E$269+'Cálculos'!$E$124*(1+2.78*('Cálculos'!$E$200+(($B$168)-$A152)*'Cálculos'!$E$98)/(('Cálculos'!$E$200+(($B$168)-$A152)*'Cálculos'!$E$98)+1400)+'Cálculos'!$E$122)*'Cálculos'!$E$274+'Cálculos'!$E$125*(1+2.78*('Cálculos'!$E$200+(($B$168)-$A152)*'Cálculos'!$E$98)/(('Cálculos'!$E$200+(($B$168)-$A152)*'Cálculos'!$E$98)+1400)+'Cálculos'!$E$123)*'Cálculos'!$E$279)+('Cálculos'!$E$200+(($B$168)-$A152)*'Cálculos'!$E$98)*('Cálculos'!$E$270+'Cálculos'!$E$124*(1+2.78*('Cálculos'!$E$200+(($B$168)-$A152)*'Cálculos'!$E$98)/(('Cálculos'!$E$200+(($B$168)-$A152)*'Cálculos'!$E$98)+1400)+'Cálculos'!$E$122)*'Cálculos'!$E$275+'Cálculos'!$E$125*(1+2.78*('Cálculos'!$E$200+(($B$168)-$A152)*'Cálculos'!$E$98)/(('Cálculos'!$E$200+(($B$168)-$A152)*'Cálculos'!$E$98)+1400)+'Cálculos'!$E$123)*'Cálculos'!$E$280)+('Cálculos'!$E$201*(1+'Cálculos'!$E$202+$A152*('Cálculos'!$E$290=2)*'Cálculos'!$E$101)+'Cálculos'!$E$203)*('Cálculos'!$E$271+'Cálculos'!$E$124*(1+2.78*('Cálculos'!$E$200+(($B$168)-$A152)*'Cálculos'!$E$98)/(('Cálculos'!$E$200+(($B$168)-$A152)*'Cálculos'!$E$98)+1400)+'Cálculos'!$E$122)*'Cálculos'!$E$276+'Cálculos'!$E$125*(1+2.78*('Cálculos'!$E$200+(($B$168)-$A152)*'Cálculos'!$E$98)/(('Cálculos'!$E$200+(($B$168)-$A152)*'Cálculos'!$E$98)+1400)+'Cálculos'!$E$123)*'Cálculos'!$E$281)+('Cálculos'!$E$204*(1+'Cálculos'!$E$205+$A152*('Cálculos'!$E$290=3)*'Cálculos'!$E$103)+'Cálculos'!$E$206)*('Cálculos'!$E$272+'Cálculos'!$E$124*(1+2.78*('Cálculos'!$E$200+(($B$168)-$A152)*'Cálculos'!$E$98)/(('Cálculos'!$E$200+(($B$168)-$A152)*'Cálculos'!$E$98)+1400)+'Cálculos'!$E$122)*'Cálculos'!$E$277+'Cálculos'!$E$125*(1+2.78*('Cálculos'!$E$200+(($B$168)-$A152)*'Cálculos'!$E$98)/(('Cálculos'!$E$200+(($B$168)-$A152)*'Cálculos'!$E$98)+1400)+'Cálculos'!$E$123)*'Cálculos'!$E$282)))</f>
        <v>0</v>
      </c>
    </row>
    <row r="153" ht="15.75" customHeight="1">
      <c r="A153" s="2">
        <v>33.0</v>
      </c>
      <c r="B153" s="30">
        <f>SUMPRODUCT(MAX(($A$120:$A$165&lt;=$A153)*($A$120:$A$165&lt;='Cálculos'!$E$294)*(($A153)-$A$120:$A$165&lt;='Cálculos'!$E$295)*(1+(('Cálculos'!$E$207+$A$120:$A$165*'Cálculos'!$E$95)-(('Cálculos'!$E$207+$A$120:$A$165*'Cálculos'!$E$95)&gt;1)*(('Cálculos'!$E$207+$A$120:$A$165*'Cálculos'!$E$95)-1))*('Cálculos'!$E$208+(($A153)-$A$120:$A$165)*'Cálculos'!$E$96))))</f>
        <v>2.67804</v>
      </c>
      <c r="C153" s="2">
        <f>'Cálculos'!$E$303-$A153</f>
        <v>-20</v>
      </c>
      <c r="D153" s="31">
        <f>IF($C153&lt;0,0,SUMPRODUCT(MAX(($A$120:$A$165&lt;=$C153)*($A$120:$A$165&lt;='Cálculos'!$E$301)*(($C153)-$A$120:$A$165&lt;='Cálculos'!$E$297)*(('Cálculos'!$E$185*(1+'Cálculos'!$E$186+$A$120:$A$165*('Cálculos'!$E$290=1)*'Cálculos'!$E$97+'Cálculos'!$E$305)+'Cálculos'!$E$191)*('Cálculos'!$E$209+'Cálculos'!$E$124*(1+2.78*('Cálculos'!$E$196+(($C153)-$A$120:$A$165)*'Cálculos'!$E$98)/(('Cálculos'!$E$196+(($C153)-$A$120:$A$165)*'Cálculos'!$E$98)+1400)+'Cálculos'!$E$122)*'Cálculos'!$E$214+'Cálculos'!$E$125*(1+2.78*('Cálculos'!$E$196+(($C153)-$A$120:$A$165)*'Cálculos'!$E$98)/(('Cálculos'!$E$196+(($C153)-$A$120:$A$165)*'Cálculos'!$E$98)+1400)+'Cálculos'!$E$123)*'Cálculos'!$E$219)+('Cálculos'!$E$196+(($C153)-$A$120:$A$165)*'Cálculos'!$E$98)*('Cálculos'!$E$210+'Cálculos'!$E$124*(1+2.78*('Cálculos'!$E$196+(($C153)-$A$120:$A$165)*'Cálculos'!$E$98)/(('Cálculos'!$E$196+(($C153)-$A$120:$A$165)*'Cálculos'!$E$98)+1400)+'Cálculos'!$E$122)*'Cálculos'!$E$215+'Cálculos'!$E$125*(1+2.78*('Cálculos'!$E$196+(($C153)-$A$120:$A$165)*'Cálculos'!$E$98)/(('Cálculos'!$E$196+(($C153)-$A$120:$A$165)*'Cálculos'!$E$98)+1400)+'Cálculos'!$E$123)*'Cálculos'!$E$220)+('Cálculos'!$E$201*(1+'Cálculos'!$E$202+$A$120:$A$165*('Cálculos'!$E$290=2)*'Cálculos'!$E$101)+'Cálculos'!$E$203)*('Cálculos'!$E$211+'Cálculos'!$E$124*(1+2.78*('Cálculos'!$E$196+(($C153)-$A$120:$A$165)*'Cálculos'!$E$98)/(('Cálculos'!$E$196+(($C153)-$A$120:$A$165)*'Cálculos'!$E$98)+1400)+'Cálculos'!$E$122)*'Cálculos'!$E$216+'Cálculos'!$E$125*(1+2.78*('Cálculos'!$E$196+(($C153)-$A$120:$A$165)*'Cálculos'!$E$98)/(('Cálculos'!$E$196+(($C153)-$A$120:$A$165)*'Cálculos'!$E$98)+1400)+'Cálculos'!$E$123)*'Cálculos'!$E$221)+('Cálculos'!$E$204*(1+'Cálculos'!$E$205+$A$120:$A$165*('Cálculos'!$E$290=3)*'Cálculos'!$E$103)+'Cálculos'!$E$206)*('Cálculos'!$E$212+'Cálculos'!$E$124*(1+2.78*('Cálculos'!$E$196+(($C153)-$A$120:$A$165)*'Cálculos'!$E$98)/(('Cálculos'!$E$196+(($C153)-$A$120:$A$165)*'Cálculos'!$E$98)+1400)+'Cálculos'!$E$122)*'Cálculos'!$E$217+'Cálculos'!$E$125*(1+2.78*('Cálculos'!$E$196+(($C153)-$A$120:$A$165)*'Cálculos'!$E$98)/(('Cálculos'!$E$196+(($C153)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153)-$A$120:$A$165)*'Cálculos'!$E$98)/(('Cálculos'!$E$197+(($C153)-$A$120:$A$165)*'Cálculos'!$E$98)+1400)+'Cálculos'!$E$122)*'Cálculos'!$E$229+'Cálculos'!$E$125*(1+2.78*('Cálculos'!$E$197+(($C153)-$A$120:$A$165)*'Cálculos'!$E$98)/(('Cálculos'!$E$197+(($C153)-$A$120:$A$165)*'Cálculos'!$E$98)+1400)+'Cálculos'!$E$123)*'Cálculos'!$E$234)+('Cálculos'!$E$197+(($C153)-$A$120:$A$165)*'Cálculos'!$E$98)*('Cálculos'!$E$225+'Cálculos'!$E$124*(1+2.78*('Cálculos'!$E$197+(($C153)-$A$120:$A$165)*'Cálculos'!$E$98)/(('Cálculos'!$E$197+(($C153)-$A$120:$A$165)*'Cálculos'!$E$98)+1400)+'Cálculos'!$E$122)*'Cálculos'!$E$230+'Cálculos'!$E$125*(1+2.78*('Cálculos'!$E$197+(($C153)-$A$120:$A$165)*'Cálculos'!$E$98)/(('Cálculos'!$E$197+(($C153)-$A$120:$A$165)*'Cálculos'!$E$98)+1400)+'Cálculos'!$E$123)*'Cálculos'!$E$235)+('Cálculos'!$E$201*(1+'Cálculos'!$E$202+$A$120:$A$165*('Cálculos'!$E$290=2)*'Cálculos'!$E$101)+'Cálculos'!$E$203)*('Cálculos'!$E$226+'Cálculos'!$E$124*(1+2.78*('Cálculos'!$E$197+(($C153)-$A$120:$A$165)*'Cálculos'!$E$98)/(('Cálculos'!$E$197+(($C153)-$A$120:$A$165)*'Cálculos'!$E$98)+1400)+'Cálculos'!$E$122)*'Cálculos'!$E$231+'Cálculos'!$E$125*(1+2.78*('Cálculos'!$E$197+(($C153)-$A$120:$A$165)*'Cálculos'!$E$98)/(('Cálculos'!$E$197+(($C153)-$A$120:$A$165)*'Cálculos'!$E$98)+1400)+'Cálculos'!$E$123)*'Cálculos'!$E$236)+('Cálculos'!$E$204*(1+'Cálculos'!$E$205+$A$120:$A$165*('Cálculos'!$E$290=3)*'Cálculos'!$E$103)+'Cálculos'!$E$206)*('Cálculos'!$E$227+'Cálculos'!$E$124*(1+2.78*('Cálculos'!$E$197+(($C153)-$A$120:$A$165)*'Cálculos'!$E$98)/(('Cálculos'!$E$197+(($C153)-$A$120:$A$165)*'Cálculos'!$E$98)+1400)+'Cálculos'!$E$122)*'Cálculos'!$E$232+'Cálculos'!$E$125*(1+2.78*('Cálculos'!$E$197+(($C153)-$A$120:$A$165)*'Cálculos'!$E$98)/(('Cálculos'!$E$197+(($C153)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153)-$A$120:$A$165)*'Cálculos'!$E$98)/(('Cálculos'!$E$198+(($C153)-$A$120:$A$165)*'Cálculos'!$E$98)+1400)+'Cálculos'!$E$122)*'Cálculos'!$E$244+'Cálculos'!$E$125*(1+2.78*('Cálculos'!$E$198+(($C153)-$A$120:$A$165)*'Cálculos'!$E$98)/(('Cálculos'!$E$198+(($C153)-$A$120:$A$165)*'Cálculos'!$E$98)+1400)+'Cálculos'!$E$123)*'Cálculos'!$E$249)+('Cálculos'!$E$198+(($C153)-$A$120:$A$165)*'Cálculos'!$E$98)*('Cálculos'!$E$240+'Cálculos'!$E$124*(1+2.78*('Cálculos'!$E$198+(($C153)-$A$120:$A$165)*'Cálculos'!$E$98)/(('Cálculos'!$E$198+(($C153)-$A$120:$A$165)*'Cálculos'!$E$98)+1400)+'Cálculos'!$E$122)*'Cálculos'!$E$245+'Cálculos'!$E$125*(1+2.78*('Cálculos'!$E$198+(($C153)-$A$120:$A$165)*'Cálculos'!$E$98)/(('Cálculos'!$E$198+(($C153)-$A$120:$A$165)*'Cálculos'!$E$98)+1400)+'Cálculos'!$E$123)*'Cálculos'!$E$250)+('Cálculos'!$E$201*(1+'Cálculos'!$E$202+$A$120:$A$165*('Cálculos'!$E$290=2)*'Cálculos'!$E$101)+'Cálculos'!$E$203)*('Cálculos'!$E$241+'Cálculos'!$E$124*(1+2.78*('Cálculos'!$E$198+(($C153)-$A$120:$A$165)*'Cálculos'!$E$98)/(('Cálculos'!$E$198+(($C153)-$A$120:$A$165)*'Cálculos'!$E$98)+1400)+'Cálculos'!$E$122)*'Cálculos'!$E$246+'Cálculos'!$E$125*(1+2.78*('Cálculos'!$E$198+(($C153)-$A$120:$A$165)*'Cálculos'!$E$98)/(('Cálculos'!$E$198+(($C153)-$A$120:$A$165)*'Cálculos'!$E$98)+1400)+'Cálculos'!$E$123)*'Cálculos'!$E$251)+('Cálculos'!$E$204*(1+'Cálculos'!$E$205+$A$120:$A$165*('Cálculos'!$E$290=3)*'Cálculos'!$E$103)+'Cálculos'!$E$206)*('Cálculos'!$E$242+'Cálculos'!$E$124*(1+2.78*('Cálculos'!$E$198+(($C153)-$A$120:$A$165)*'Cálculos'!$E$98)/(('Cálculos'!$E$198+(($C153)-$A$120:$A$165)*'Cálculos'!$E$98)+1400)+'Cálculos'!$E$122)*'Cálculos'!$E$247+'Cálculos'!$E$125*(1+2.78*('Cálculos'!$E$198+(($C153)-$A$120:$A$165)*'Cálculos'!$E$98)/(('Cálculos'!$E$198+(($C153)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153)-$A$120:$A$165)*'Cálculos'!$E$98)/(('Cálculos'!$E$199+(($C153)-$A$120:$A$165)*'Cálculos'!$E$98)+1400)+'Cálculos'!$E$122)*'Cálculos'!$E$259+'Cálculos'!$E$125*(1+2.78*('Cálculos'!$E$199+(($C153)-$A$120:$A$165)*'Cálculos'!$E$98)/(('Cálculos'!$E$199+(($C153)-$A$120:$A$165)*'Cálculos'!$E$98)+1400)+'Cálculos'!$E$123)*'Cálculos'!$E$264)+('Cálculos'!$E$199+(($C153)-$A$120:$A$165)*'Cálculos'!$E$98)*('Cálculos'!$E$255+'Cálculos'!$E$124*(1+2.78*('Cálculos'!$E$199+(($C153)-$A$120:$A$165)*'Cálculos'!$E$98)/(('Cálculos'!$E$199+(($C153)-$A$120:$A$165)*'Cálculos'!$E$98)+1400)+'Cálculos'!$E$122)*'Cálculos'!$E$260+'Cálculos'!$E$125*(1+2.78*('Cálculos'!$E$199+(($C153)-$A$120:$A$165)*'Cálculos'!$E$98)/(('Cálculos'!$E$199+(($C153)-$A$120:$A$165)*'Cálculos'!$E$98)+1400)+'Cálculos'!$E$123)*'Cálculos'!$E$265)+('Cálculos'!$E$201*(1+'Cálculos'!$E$202+$A$120:$A$165*('Cálculos'!$E$290=2)*'Cálculos'!$E$101)+'Cálculos'!$E$203)*('Cálculos'!$E$256+'Cálculos'!$E$124*(1+2.78*('Cálculos'!$E$199+(($C153)-$A$120:$A$165)*'Cálculos'!$E$98)/(('Cálculos'!$E$199+(($C153)-$A$120:$A$165)*'Cálculos'!$E$98)+1400)+'Cálculos'!$E$122)*'Cálculos'!$E$261+'Cálculos'!$E$125*(1+2.78*('Cálculos'!$E$199+(($C153)-$A$120:$A$165)*'Cálculos'!$E$98)/(('Cálculos'!$E$199+(($C153)-$A$120:$A$165)*'Cálculos'!$E$98)+1400)+'Cálculos'!$E$123)*'Cálculos'!$E$266)+('Cálculos'!$E$204*(1+'Cálculos'!$E$205+$A$120:$A$165*('Cálculos'!$E$290=3)*'Cálculos'!$E$103)+'Cálculos'!$E$206)*('Cálculos'!$E$257+'Cálculos'!$E$124*(1+2.78*('Cálculos'!$E$199+(($C153)-$A$120:$A$165)*'Cálculos'!$E$98)/(('Cálculos'!$E$199+(($C153)-$A$120:$A$165)*'Cálculos'!$E$98)+1400)+'Cálculos'!$E$122)*'Cálculos'!$E$262+'Cálculos'!$E$125*(1+2.78*('Cálculos'!$E$199+(($C153)-$A$120:$A$165)*'Cálculos'!$E$98)/(('Cálculos'!$E$199+(($C153)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153)-$A$120:$A$165)*'Cálculos'!$E$98)/(('Cálculos'!$E$200+(($C153)-$A$120:$A$165)*'Cálculos'!$E$98)+1400)+'Cálculos'!$E$122)*'Cálculos'!$E$274+'Cálculos'!$E$125*(1+2.78*('Cálculos'!$E$200+(($C153)-$A$120:$A$165)*'Cálculos'!$E$98)/(('Cálculos'!$E$200+(($C153)-$A$120:$A$165)*'Cálculos'!$E$98)+1400)+'Cálculos'!$E$123)*'Cálculos'!$E$279)+('Cálculos'!$E$200+(($C153)-$A$120:$A$165)*'Cálculos'!$E$98)*('Cálculos'!$E$270+'Cálculos'!$E$124*(1+2.78*('Cálculos'!$E$200+(($C153)-$A$120:$A$165)*'Cálculos'!$E$98)/(('Cálculos'!$E$200+(($C153)-$A$120:$A$165)*'Cálculos'!$E$98)+1400)+'Cálculos'!$E$122)*'Cálculos'!$E$275+'Cálculos'!$E$125*(1+2.78*('Cálculos'!$E$200+(($C153)-$A$120:$A$165)*'Cálculos'!$E$98)/(('Cálculos'!$E$200+(($C153)-$A$120:$A$165)*'Cálculos'!$E$98)+1400)+'Cálculos'!$E$123)*'Cálculos'!$E$280)+('Cálculos'!$E$201*(1+'Cálculos'!$E$202+$A$120:$A$165*('Cálculos'!$E$290=2)*'Cálculos'!$E$101)+'Cálculos'!$E$203)*('Cálculos'!$E$271+'Cálculos'!$E$124*(1+2.78*('Cálculos'!$E$200+(($C153)-$A$120:$A$165)*'Cálculos'!$E$98)/(('Cálculos'!$E$200+(($C153)-$A$120:$A$165)*'Cálculos'!$E$98)+1400)+'Cálculos'!$E$122)*'Cálculos'!$E$276+'Cálculos'!$E$125*(1+2.78*('Cálculos'!$E$200+(($C153)-$A$120:$A$165)*'Cálculos'!$E$98)/(('Cálculos'!$E$200+(($C153)-$A$120:$A$165)*'Cálculos'!$E$98)+1400)+'Cálculos'!$E$123)*'Cálculos'!$E$281)+('Cálculos'!$E$204*(1+'Cálculos'!$E$205+$A$120:$A$165*('Cálculos'!$E$290=3)*'Cálculos'!$E$103)+'Cálculos'!$E$206)*('Cálculos'!$E$272+'Cálculos'!$E$124*(1+2.78*('Cálculos'!$E$200+(($C153)-$A$120:$A$165)*'Cálculos'!$E$98)/(('Cálculos'!$E$200+(($C153)-$A$120:$A$165)*'Cálculos'!$E$98)+1400)+'Cálculos'!$E$122)*'Cálculos'!$E$277+'Cálculos'!$E$125*(1+2.78*('Cálculos'!$E$200+(($C153)-$A$120:$A$165)*'Cálculos'!$E$98)/(('Cálculos'!$E$200+(($C153)-$A$120:$A$165)*'Cálculos'!$E$98)+1400)+'Cálculos'!$E$123)*'Cálculos'!$E$282)))))</f>
        <v>0</v>
      </c>
      <c r="E153" s="32">
        <f>IF(OR($C153&lt;0,'Cálculos'!$E$6=""),0,$B153*$D153)</f>
        <v>0</v>
      </c>
      <c r="F153" s="2"/>
      <c r="G153" s="30">
        <f>($A153&lt;=$B$167)*($A153&lt;='Cálculos'!$E$294)*(($B$167)-$A153&lt;='Cálculos'!$E$295)*(1+MIN(('Cálculos'!$E$207+$A153*'Cálculos'!$E$95),1)*('Cálculos'!$E$208+(($B$167)-$A153)*'Cálculos'!$E$96))</f>
        <v>0</v>
      </c>
      <c r="H153" s="31">
        <f>IF($B$168&lt;0,0,($A153&lt;=$B$168)*($A153&lt;='Cálculos'!$E$301)*(($B$168)-$A153&lt;='Cálculos'!$E$297)*(('Cálculos'!$E$185*(1+'Cálculos'!$E$186+$A153*('Cálculos'!$E$290=1)*'Cálculos'!$E$97+'Cálculos'!$E$305)+'Cálculos'!$E$191)*('Cálculos'!$E$209+'Cálculos'!$E$124*(1+2.78*('Cálculos'!$E$196+(($B$168)-$A153)*'Cálculos'!$E$98)/(('Cálculos'!$E$196+(($B$168)-$A153)*'Cálculos'!$E$98)+1400)+'Cálculos'!$E$122)*'Cálculos'!$E$214+'Cálculos'!$E$125*(1+2.78*('Cálculos'!$E$196+(($B$168)-$A153)*'Cálculos'!$E$98)/(('Cálculos'!$E$196+(($B$168)-$A153)*'Cálculos'!$E$98)+1400)+'Cálculos'!$E$123)*'Cálculos'!$E$219)+('Cálculos'!$E$196+(($B$168)-$A153)*'Cálculos'!$E$98)*('Cálculos'!$E$210+'Cálculos'!$E$124*(1+2.78*('Cálculos'!$E$196+(($B$168)-$A153)*'Cálculos'!$E$98)/(('Cálculos'!$E$196+(($B$168)-$A153)*'Cálculos'!$E$98)+1400)+'Cálculos'!$E$122)*'Cálculos'!$E$215+'Cálculos'!$E$125*(1+2.78*('Cálculos'!$E$196+(($B$168)-$A153)*'Cálculos'!$E$98)/(('Cálculos'!$E$196+(($B$168)-$A153)*'Cálculos'!$E$98)+1400)+'Cálculos'!$E$123)*'Cálculos'!$E$220)+('Cálculos'!$E$201*(1+'Cálculos'!$E$202+$A153*('Cálculos'!$E$290=2)*'Cálculos'!$E$101)+'Cálculos'!$E$203)*('Cálculos'!$E$211+'Cálculos'!$E$124*(1+2.78*('Cálculos'!$E$196+(($B$168)-$A153)*'Cálculos'!$E$98)/(('Cálculos'!$E$196+(($B$168)-$A153)*'Cálculos'!$E$98)+1400)+'Cálculos'!$E$122)*'Cálculos'!$E$216+'Cálculos'!$E$125*(1+2.78*('Cálculos'!$E$196+(($B$168)-$A153)*'Cálculos'!$E$98)/(('Cálculos'!$E$196+(($B$168)-$A153)*'Cálculos'!$E$98)+1400)+'Cálculos'!$E$123)*'Cálculos'!$E$221)+('Cálculos'!$E$204*(1+'Cálculos'!$E$205+$A153*('Cálculos'!$E$290=3)*'Cálculos'!$E$103)+'Cálculos'!$E$206)*('Cálculos'!$E$212+'Cálculos'!$E$124*(1+2.78*('Cálculos'!$E$196+(($B$168)-$A153)*'Cálculos'!$E$98)/(('Cálculos'!$E$196+(($B$168)-$A153)*'Cálculos'!$E$98)+1400)+'Cálculos'!$E$122)*'Cálculos'!$E$217+'Cálculos'!$E$125*(1+2.78*('Cálculos'!$E$196+(($B$168)-$A153)*'Cálculos'!$E$98)/(('Cálculos'!$E$196+(($B$168)-$A153)*'Cálculos'!$E$98)+1400)+'Cálculos'!$E$123)*'Cálculos'!$E$222)+('Cálculos'!$E$185*(1+'Cálculos'!$E$187+$A153*('Cálculos'!$E$290=1)*'Cálculos'!$E$97+'Cálculos'!$E$305)+'Cálculos'!$E$192)*('Cálculos'!$E$224+'Cálculos'!$E$124*(1+2.78*('Cálculos'!$E$197+(($B$168)-$A153)*'Cálculos'!$E$98)/(('Cálculos'!$E$197+(($B$168)-$A153)*'Cálculos'!$E$98)+1400)+'Cálculos'!$E$122)*'Cálculos'!$E$229+'Cálculos'!$E$125*(1+2.78*('Cálculos'!$E$197+(($B$168)-$A153)*'Cálculos'!$E$98)/(('Cálculos'!$E$197+(($B$168)-$A153)*'Cálculos'!$E$98)+1400)+'Cálculos'!$E$123)*'Cálculos'!$E$234)+('Cálculos'!$E$197+(($B$168)-$A153)*'Cálculos'!$E$98)*('Cálculos'!$E$225+'Cálculos'!$E$124*(1+2.78*('Cálculos'!$E$197+(($B$168)-$A153)*'Cálculos'!$E$98)/(('Cálculos'!$E$197+(($B$168)-$A153)*'Cálculos'!$E$98)+1400)+'Cálculos'!$E$122)*'Cálculos'!$E$230+'Cálculos'!$E$125*(1+2.78*('Cálculos'!$E$197+(($B$168)-$A153)*'Cálculos'!$E$98)/(('Cálculos'!$E$197+(($B$168)-$A153)*'Cálculos'!$E$98)+1400)+'Cálculos'!$E$123)*'Cálculos'!$E$235)+('Cálculos'!$E$201*(1+'Cálculos'!$E$202+$A153*('Cálculos'!$E$290=2)*'Cálculos'!$E$101)+'Cálculos'!$E$203)*('Cálculos'!$E$226+'Cálculos'!$E$124*(1+2.78*('Cálculos'!$E$197+(($B$168)-$A153)*'Cálculos'!$E$98)/(('Cálculos'!$E$197+(($B$168)-$A153)*'Cálculos'!$E$98)+1400)+'Cálculos'!$E$122)*'Cálculos'!$E$231+'Cálculos'!$E$125*(1+2.78*('Cálculos'!$E$197+(($B$168)-$A153)*'Cálculos'!$E$98)/(('Cálculos'!$E$197+(($B$168)-$A153)*'Cálculos'!$E$98)+1400)+'Cálculos'!$E$123)*'Cálculos'!$E$236)+('Cálculos'!$E$204*(1+'Cálculos'!$E$205+$A153*('Cálculos'!$E$290=3)*'Cálculos'!$E$103)+'Cálculos'!$E$206)*('Cálculos'!$E$227+'Cálculos'!$E$124*(1+2.78*('Cálculos'!$E$197+(($B$168)-$A153)*'Cálculos'!$E$98)/(('Cálculos'!$E$197+(($B$168)-$A153)*'Cálculos'!$E$98)+1400)+'Cálculos'!$E$122)*'Cálculos'!$E$232+'Cálculos'!$E$125*(1+2.78*('Cálculos'!$E$197+(($B$168)-$A153)*'Cálculos'!$E$98)/(('Cálculos'!$E$197+(($B$168)-$A153)*'Cálculos'!$E$98)+1400)+'Cálculos'!$E$123)*'Cálculos'!$E$237)+('Cálculos'!$E$185*(1+'Cálculos'!$E$188+$A153*('Cálculos'!$E$290=1)*'Cálculos'!$E$97+'Cálculos'!$E$305)+'Cálculos'!$E$193)*('Cálculos'!$E$239+'Cálculos'!$E$124*(1+2.78*('Cálculos'!$E$198+(($B$168)-$A153)*'Cálculos'!$E$98)/(('Cálculos'!$E$198+(($B$168)-$A153)*'Cálculos'!$E$98)+1400)+'Cálculos'!$E$122)*'Cálculos'!$E$244+'Cálculos'!$E$125*(1+2.78*('Cálculos'!$E$198+(($B$168)-$A153)*'Cálculos'!$E$98)/(('Cálculos'!$E$198+(($B$168)-$A153)*'Cálculos'!$E$98)+1400)+'Cálculos'!$E$123)*'Cálculos'!$E$249)+('Cálculos'!$E$198+(($B$168)-$A153)*'Cálculos'!$E$98)*('Cálculos'!$E$240+'Cálculos'!$E$124*(1+2.78*('Cálculos'!$E$198+(($B$168)-$A153)*'Cálculos'!$E$98)/(('Cálculos'!$E$198+(($B$168)-$A153)*'Cálculos'!$E$98)+1400)+'Cálculos'!$E$122)*'Cálculos'!$E$245+'Cálculos'!$E$125*(1+2.78*('Cálculos'!$E$198+(($B$168)-$A153)*'Cálculos'!$E$98)/(('Cálculos'!$E$198+(($B$168)-$A153)*'Cálculos'!$E$98)+1400)+'Cálculos'!$E$123)*'Cálculos'!$E$250)+('Cálculos'!$E$201*(1+'Cálculos'!$E$202+$A153*('Cálculos'!$E$290=2)*'Cálculos'!$E$101)+'Cálculos'!$E$203)*('Cálculos'!$E$241+'Cálculos'!$E$124*(1+2.78*('Cálculos'!$E$198+(($B$168)-$A153)*'Cálculos'!$E$98)/(('Cálculos'!$E$198+(($B$168)-$A153)*'Cálculos'!$E$98)+1400)+'Cálculos'!$E$122)*'Cálculos'!$E$246+'Cálculos'!$E$125*(1+2.78*('Cálculos'!$E$198+(($B$168)-$A153)*'Cálculos'!$E$98)/(('Cálculos'!$E$198+(($B$168)-$A153)*'Cálculos'!$E$98)+1400)+'Cálculos'!$E$123)*'Cálculos'!$E$251)+('Cálculos'!$E$204*(1+'Cálculos'!$E$205+$A153*('Cálculos'!$E$290=3)*'Cálculos'!$E$103)+'Cálculos'!$E$206)*('Cálculos'!$E$242+'Cálculos'!$E$124*(1+2.78*('Cálculos'!$E$198+(($B$168)-$A153)*'Cálculos'!$E$98)/(('Cálculos'!$E$198+(($B$168)-$A153)*'Cálculos'!$E$98)+1400)+'Cálculos'!$E$122)*'Cálculos'!$E$247+'Cálculos'!$E$125*(1+2.78*('Cálculos'!$E$198+(($B$168)-$A153)*'Cálculos'!$E$98)/(('Cálculos'!$E$198+(($B$168)-$A153)*'Cálculos'!$E$98)+1400)+'Cálculos'!$E$123)*'Cálculos'!$E$252)+('Cálculos'!$E$185*(1+'Cálculos'!$E$189+$A153*('Cálculos'!$E$290=1)*'Cálculos'!$E$97+'Cálculos'!$E$305)+'Cálculos'!$E$194)*('Cálculos'!$E$254+'Cálculos'!$E$124*(1+2.78*('Cálculos'!$E$199+(($B$168)-$A153)*'Cálculos'!$E$98)/(('Cálculos'!$E$199+(($B$168)-$A153)*'Cálculos'!$E$98)+1400)+'Cálculos'!$E$122)*'Cálculos'!$E$259+'Cálculos'!$E$125*(1+2.78*('Cálculos'!$E$199+(($B$168)-$A153)*'Cálculos'!$E$98)/(('Cálculos'!$E$199+(($B$168)-$A153)*'Cálculos'!$E$98)+1400)+'Cálculos'!$E$123)*'Cálculos'!$E$264)+('Cálculos'!$E$199+(($B$168)-$A153)*'Cálculos'!$E$98)*('Cálculos'!$E$255+'Cálculos'!$E$124*(1+2.78*('Cálculos'!$E$199+(($B$168)-$A153)*'Cálculos'!$E$98)/(('Cálculos'!$E$199+(($B$168)-$A153)*'Cálculos'!$E$98)+1400)+'Cálculos'!$E$122)*'Cálculos'!$E$260+'Cálculos'!$E$125*(1+2.78*('Cálculos'!$E$199+(($B$168)-$A153)*'Cálculos'!$E$98)/(('Cálculos'!$E$199+(($B$168)-$A153)*'Cálculos'!$E$98)+1400)+'Cálculos'!$E$123)*'Cálculos'!$E$265)+('Cálculos'!$E$201*(1+'Cálculos'!$E$202+$A153*('Cálculos'!$E$290=2)*'Cálculos'!$E$101)+'Cálculos'!$E$203)*('Cálculos'!$E$256+'Cálculos'!$E$124*(1+2.78*('Cálculos'!$E$199+(($B$168)-$A153)*'Cálculos'!$E$98)/(('Cálculos'!$E$199+(($B$168)-$A153)*'Cálculos'!$E$98)+1400)+'Cálculos'!$E$122)*'Cálculos'!$E$261+'Cálculos'!$E$125*(1+2.78*('Cálculos'!$E$199+(($B$168)-$A153)*'Cálculos'!$E$98)/(('Cálculos'!$E$199+(($B$168)-$A153)*'Cálculos'!$E$98)+1400)+'Cálculos'!$E$123)*'Cálculos'!$E$266)+('Cálculos'!$E$204*(1+'Cálculos'!$E$205+$A153*('Cálculos'!$E$290=3)*'Cálculos'!$E$103)+'Cálculos'!$E$206)*('Cálculos'!$E$257+'Cálculos'!$E$124*(1+2.78*('Cálculos'!$E$199+(($B$168)-$A153)*'Cálculos'!$E$98)/(('Cálculos'!$E$199+(($B$168)-$A153)*'Cálculos'!$E$98)+1400)+'Cálculos'!$E$122)*'Cálculos'!$E$262+'Cálculos'!$E$125*(1+2.78*('Cálculos'!$E$199+(($B$168)-$A153)*'Cálculos'!$E$98)/(('Cálculos'!$E$199+(($B$168)-$A153)*'Cálculos'!$E$98)+1400)+'Cálculos'!$E$123)*'Cálculos'!$E$267)+('Cálculos'!$E$185*(1+'Cálculos'!$E$190+$A153*('Cálculos'!$E$290=1)*'Cálculos'!$E$97+'Cálculos'!$E$305)+'Cálculos'!$E$195)*('Cálculos'!$E$269+'Cálculos'!$E$124*(1+2.78*('Cálculos'!$E$200+(($B$168)-$A153)*'Cálculos'!$E$98)/(('Cálculos'!$E$200+(($B$168)-$A153)*'Cálculos'!$E$98)+1400)+'Cálculos'!$E$122)*'Cálculos'!$E$274+'Cálculos'!$E$125*(1+2.78*('Cálculos'!$E$200+(($B$168)-$A153)*'Cálculos'!$E$98)/(('Cálculos'!$E$200+(($B$168)-$A153)*'Cálculos'!$E$98)+1400)+'Cálculos'!$E$123)*'Cálculos'!$E$279)+('Cálculos'!$E$200+(($B$168)-$A153)*'Cálculos'!$E$98)*('Cálculos'!$E$270+'Cálculos'!$E$124*(1+2.78*('Cálculos'!$E$200+(($B$168)-$A153)*'Cálculos'!$E$98)/(('Cálculos'!$E$200+(($B$168)-$A153)*'Cálculos'!$E$98)+1400)+'Cálculos'!$E$122)*'Cálculos'!$E$275+'Cálculos'!$E$125*(1+2.78*('Cálculos'!$E$200+(($B$168)-$A153)*'Cálculos'!$E$98)/(('Cálculos'!$E$200+(($B$168)-$A153)*'Cálculos'!$E$98)+1400)+'Cálculos'!$E$123)*'Cálculos'!$E$280)+('Cálculos'!$E$201*(1+'Cálculos'!$E$202+$A153*('Cálculos'!$E$290=2)*'Cálculos'!$E$101)+'Cálculos'!$E$203)*('Cálculos'!$E$271+'Cálculos'!$E$124*(1+2.78*('Cálculos'!$E$200+(($B$168)-$A153)*'Cálculos'!$E$98)/(('Cálculos'!$E$200+(($B$168)-$A153)*'Cálculos'!$E$98)+1400)+'Cálculos'!$E$122)*'Cálculos'!$E$276+'Cálculos'!$E$125*(1+2.78*('Cálculos'!$E$200+(($B$168)-$A153)*'Cálculos'!$E$98)/(('Cálculos'!$E$200+(($B$168)-$A153)*'Cálculos'!$E$98)+1400)+'Cálculos'!$E$123)*'Cálculos'!$E$281)+('Cálculos'!$E$204*(1+'Cálculos'!$E$205+$A153*('Cálculos'!$E$290=3)*'Cálculos'!$E$103)+'Cálculos'!$E$206)*('Cálculos'!$E$272+'Cálculos'!$E$124*(1+2.78*('Cálculos'!$E$200+(($B$168)-$A153)*'Cálculos'!$E$98)/(('Cálculos'!$E$200+(($B$168)-$A153)*'Cálculos'!$E$98)+1400)+'Cálculos'!$E$122)*'Cálculos'!$E$277+'Cálculos'!$E$125*(1+2.78*('Cálculos'!$E$200+(($B$168)-$A153)*'Cálculos'!$E$98)/(('Cálculos'!$E$200+(($B$168)-$A153)*'Cálculos'!$E$98)+1400)+'Cálculos'!$E$123)*'Cálculos'!$E$282)))</f>
        <v>0</v>
      </c>
    </row>
    <row r="154" ht="15.75" customHeight="1">
      <c r="A154" s="2">
        <v>34.0</v>
      </c>
      <c r="B154" s="30">
        <f>SUMPRODUCT(MAX(($A$120:$A$165&lt;=$A154)*($A$120:$A$165&lt;='Cálculos'!$E$294)*(($A154)-$A$120:$A$165&lt;='Cálculos'!$E$295)*(1+(('Cálculos'!$E$207+$A$120:$A$165*'Cálculos'!$E$95)-(('Cálculos'!$E$207+$A$120:$A$165*'Cálculos'!$E$95)&gt;1)*(('Cálculos'!$E$207+$A$120:$A$165*'Cálculos'!$E$95)-1))*('Cálculos'!$E$208+(($A154)-$A$120:$A$165)*'Cálculos'!$E$96))))</f>
        <v>2.738892</v>
      </c>
      <c r="C154" s="2">
        <f>'Cálculos'!$E$303-$A154</f>
        <v>-21</v>
      </c>
      <c r="D154" s="31">
        <f>IF($C154&lt;0,0,SUMPRODUCT(MAX(($A$120:$A$165&lt;=$C154)*($A$120:$A$165&lt;='Cálculos'!$E$301)*(($C154)-$A$120:$A$165&lt;='Cálculos'!$E$297)*(('Cálculos'!$E$185*(1+'Cálculos'!$E$186+$A$120:$A$165*('Cálculos'!$E$290=1)*'Cálculos'!$E$97+'Cálculos'!$E$305)+'Cálculos'!$E$191)*('Cálculos'!$E$209+'Cálculos'!$E$124*(1+2.78*('Cálculos'!$E$196+(($C154)-$A$120:$A$165)*'Cálculos'!$E$98)/(('Cálculos'!$E$196+(($C154)-$A$120:$A$165)*'Cálculos'!$E$98)+1400)+'Cálculos'!$E$122)*'Cálculos'!$E$214+'Cálculos'!$E$125*(1+2.78*('Cálculos'!$E$196+(($C154)-$A$120:$A$165)*'Cálculos'!$E$98)/(('Cálculos'!$E$196+(($C154)-$A$120:$A$165)*'Cálculos'!$E$98)+1400)+'Cálculos'!$E$123)*'Cálculos'!$E$219)+('Cálculos'!$E$196+(($C154)-$A$120:$A$165)*'Cálculos'!$E$98)*('Cálculos'!$E$210+'Cálculos'!$E$124*(1+2.78*('Cálculos'!$E$196+(($C154)-$A$120:$A$165)*'Cálculos'!$E$98)/(('Cálculos'!$E$196+(($C154)-$A$120:$A$165)*'Cálculos'!$E$98)+1400)+'Cálculos'!$E$122)*'Cálculos'!$E$215+'Cálculos'!$E$125*(1+2.78*('Cálculos'!$E$196+(($C154)-$A$120:$A$165)*'Cálculos'!$E$98)/(('Cálculos'!$E$196+(($C154)-$A$120:$A$165)*'Cálculos'!$E$98)+1400)+'Cálculos'!$E$123)*'Cálculos'!$E$220)+('Cálculos'!$E$201*(1+'Cálculos'!$E$202+$A$120:$A$165*('Cálculos'!$E$290=2)*'Cálculos'!$E$101)+'Cálculos'!$E$203)*('Cálculos'!$E$211+'Cálculos'!$E$124*(1+2.78*('Cálculos'!$E$196+(($C154)-$A$120:$A$165)*'Cálculos'!$E$98)/(('Cálculos'!$E$196+(($C154)-$A$120:$A$165)*'Cálculos'!$E$98)+1400)+'Cálculos'!$E$122)*'Cálculos'!$E$216+'Cálculos'!$E$125*(1+2.78*('Cálculos'!$E$196+(($C154)-$A$120:$A$165)*'Cálculos'!$E$98)/(('Cálculos'!$E$196+(($C154)-$A$120:$A$165)*'Cálculos'!$E$98)+1400)+'Cálculos'!$E$123)*'Cálculos'!$E$221)+('Cálculos'!$E$204*(1+'Cálculos'!$E$205+$A$120:$A$165*('Cálculos'!$E$290=3)*'Cálculos'!$E$103)+'Cálculos'!$E$206)*('Cálculos'!$E$212+'Cálculos'!$E$124*(1+2.78*('Cálculos'!$E$196+(($C154)-$A$120:$A$165)*'Cálculos'!$E$98)/(('Cálculos'!$E$196+(($C154)-$A$120:$A$165)*'Cálculos'!$E$98)+1400)+'Cálculos'!$E$122)*'Cálculos'!$E$217+'Cálculos'!$E$125*(1+2.78*('Cálculos'!$E$196+(($C154)-$A$120:$A$165)*'Cálculos'!$E$98)/(('Cálculos'!$E$196+(($C154)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154)-$A$120:$A$165)*'Cálculos'!$E$98)/(('Cálculos'!$E$197+(($C154)-$A$120:$A$165)*'Cálculos'!$E$98)+1400)+'Cálculos'!$E$122)*'Cálculos'!$E$229+'Cálculos'!$E$125*(1+2.78*('Cálculos'!$E$197+(($C154)-$A$120:$A$165)*'Cálculos'!$E$98)/(('Cálculos'!$E$197+(($C154)-$A$120:$A$165)*'Cálculos'!$E$98)+1400)+'Cálculos'!$E$123)*'Cálculos'!$E$234)+('Cálculos'!$E$197+(($C154)-$A$120:$A$165)*'Cálculos'!$E$98)*('Cálculos'!$E$225+'Cálculos'!$E$124*(1+2.78*('Cálculos'!$E$197+(($C154)-$A$120:$A$165)*'Cálculos'!$E$98)/(('Cálculos'!$E$197+(($C154)-$A$120:$A$165)*'Cálculos'!$E$98)+1400)+'Cálculos'!$E$122)*'Cálculos'!$E$230+'Cálculos'!$E$125*(1+2.78*('Cálculos'!$E$197+(($C154)-$A$120:$A$165)*'Cálculos'!$E$98)/(('Cálculos'!$E$197+(($C154)-$A$120:$A$165)*'Cálculos'!$E$98)+1400)+'Cálculos'!$E$123)*'Cálculos'!$E$235)+('Cálculos'!$E$201*(1+'Cálculos'!$E$202+$A$120:$A$165*('Cálculos'!$E$290=2)*'Cálculos'!$E$101)+'Cálculos'!$E$203)*('Cálculos'!$E$226+'Cálculos'!$E$124*(1+2.78*('Cálculos'!$E$197+(($C154)-$A$120:$A$165)*'Cálculos'!$E$98)/(('Cálculos'!$E$197+(($C154)-$A$120:$A$165)*'Cálculos'!$E$98)+1400)+'Cálculos'!$E$122)*'Cálculos'!$E$231+'Cálculos'!$E$125*(1+2.78*('Cálculos'!$E$197+(($C154)-$A$120:$A$165)*'Cálculos'!$E$98)/(('Cálculos'!$E$197+(($C154)-$A$120:$A$165)*'Cálculos'!$E$98)+1400)+'Cálculos'!$E$123)*'Cálculos'!$E$236)+('Cálculos'!$E$204*(1+'Cálculos'!$E$205+$A$120:$A$165*('Cálculos'!$E$290=3)*'Cálculos'!$E$103)+'Cálculos'!$E$206)*('Cálculos'!$E$227+'Cálculos'!$E$124*(1+2.78*('Cálculos'!$E$197+(($C154)-$A$120:$A$165)*'Cálculos'!$E$98)/(('Cálculos'!$E$197+(($C154)-$A$120:$A$165)*'Cálculos'!$E$98)+1400)+'Cálculos'!$E$122)*'Cálculos'!$E$232+'Cálculos'!$E$125*(1+2.78*('Cálculos'!$E$197+(($C154)-$A$120:$A$165)*'Cálculos'!$E$98)/(('Cálculos'!$E$197+(($C154)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154)-$A$120:$A$165)*'Cálculos'!$E$98)/(('Cálculos'!$E$198+(($C154)-$A$120:$A$165)*'Cálculos'!$E$98)+1400)+'Cálculos'!$E$122)*'Cálculos'!$E$244+'Cálculos'!$E$125*(1+2.78*('Cálculos'!$E$198+(($C154)-$A$120:$A$165)*'Cálculos'!$E$98)/(('Cálculos'!$E$198+(($C154)-$A$120:$A$165)*'Cálculos'!$E$98)+1400)+'Cálculos'!$E$123)*'Cálculos'!$E$249)+('Cálculos'!$E$198+(($C154)-$A$120:$A$165)*'Cálculos'!$E$98)*('Cálculos'!$E$240+'Cálculos'!$E$124*(1+2.78*('Cálculos'!$E$198+(($C154)-$A$120:$A$165)*'Cálculos'!$E$98)/(('Cálculos'!$E$198+(($C154)-$A$120:$A$165)*'Cálculos'!$E$98)+1400)+'Cálculos'!$E$122)*'Cálculos'!$E$245+'Cálculos'!$E$125*(1+2.78*('Cálculos'!$E$198+(($C154)-$A$120:$A$165)*'Cálculos'!$E$98)/(('Cálculos'!$E$198+(($C154)-$A$120:$A$165)*'Cálculos'!$E$98)+1400)+'Cálculos'!$E$123)*'Cálculos'!$E$250)+('Cálculos'!$E$201*(1+'Cálculos'!$E$202+$A$120:$A$165*('Cálculos'!$E$290=2)*'Cálculos'!$E$101)+'Cálculos'!$E$203)*('Cálculos'!$E$241+'Cálculos'!$E$124*(1+2.78*('Cálculos'!$E$198+(($C154)-$A$120:$A$165)*'Cálculos'!$E$98)/(('Cálculos'!$E$198+(($C154)-$A$120:$A$165)*'Cálculos'!$E$98)+1400)+'Cálculos'!$E$122)*'Cálculos'!$E$246+'Cálculos'!$E$125*(1+2.78*('Cálculos'!$E$198+(($C154)-$A$120:$A$165)*'Cálculos'!$E$98)/(('Cálculos'!$E$198+(($C154)-$A$120:$A$165)*'Cálculos'!$E$98)+1400)+'Cálculos'!$E$123)*'Cálculos'!$E$251)+('Cálculos'!$E$204*(1+'Cálculos'!$E$205+$A$120:$A$165*('Cálculos'!$E$290=3)*'Cálculos'!$E$103)+'Cálculos'!$E$206)*('Cálculos'!$E$242+'Cálculos'!$E$124*(1+2.78*('Cálculos'!$E$198+(($C154)-$A$120:$A$165)*'Cálculos'!$E$98)/(('Cálculos'!$E$198+(($C154)-$A$120:$A$165)*'Cálculos'!$E$98)+1400)+'Cálculos'!$E$122)*'Cálculos'!$E$247+'Cálculos'!$E$125*(1+2.78*('Cálculos'!$E$198+(($C154)-$A$120:$A$165)*'Cálculos'!$E$98)/(('Cálculos'!$E$198+(($C154)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154)-$A$120:$A$165)*'Cálculos'!$E$98)/(('Cálculos'!$E$199+(($C154)-$A$120:$A$165)*'Cálculos'!$E$98)+1400)+'Cálculos'!$E$122)*'Cálculos'!$E$259+'Cálculos'!$E$125*(1+2.78*('Cálculos'!$E$199+(($C154)-$A$120:$A$165)*'Cálculos'!$E$98)/(('Cálculos'!$E$199+(($C154)-$A$120:$A$165)*'Cálculos'!$E$98)+1400)+'Cálculos'!$E$123)*'Cálculos'!$E$264)+('Cálculos'!$E$199+(($C154)-$A$120:$A$165)*'Cálculos'!$E$98)*('Cálculos'!$E$255+'Cálculos'!$E$124*(1+2.78*('Cálculos'!$E$199+(($C154)-$A$120:$A$165)*'Cálculos'!$E$98)/(('Cálculos'!$E$199+(($C154)-$A$120:$A$165)*'Cálculos'!$E$98)+1400)+'Cálculos'!$E$122)*'Cálculos'!$E$260+'Cálculos'!$E$125*(1+2.78*('Cálculos'!$E$199+(($C154)-$A$120:$A$165)*'Cálculos'!$E$98)/(('Cálculos'!$E$199+(($C154)-$A$120:$A$165)*'Cálculos'!$E$98)+1400)+'Cálculos'!$E$123)*'Cálculos'!$E$265)+('Cálculos'!$E$201*(1+'Cálculos'!$E$202+$A$120:$A$165*('Cálculos'!$E$290=2)*'Cálculos'!$E$101)+'Cálculos'!$E$203)*('Cálculos'!$E$256+'Cálculos'!$E$124*(1+2.78*('Cálculos'!$E$199+(($C154)-$A$120:$A$165)*'Cálculos'!$E$98)/(('Cálculos'!$E$199+(($C154)-$A$120:$A$165)*'Cálculos'!$E$98)+1400)+'Cálculos'!$E$122)*'Cálculos'!$E$261+'Cálculos'!$E$125*(1+2.78*('Cálculos'!$E$199+(($C154)-$A$120:$A$165)*'Cálculos'!$E$98)/(('Cálculos'!$E$199+(($C154)-$A$120:$A$165)*'Cálculos'!$E$98)+1400)+'Cálculos'!$E$123)*'Cálculos'!$E$266)+('Cálculos'!$E$204*(1+'Cálculos'!$E$205+$A$120:$A$165*('Cálculos'!$E$290=3)*'Cálculos'!$E$103)+'Cálculos'!$E$206)*('Cálculos'!$E$257+'Cálculos'!$E$124*(1+2.78*('Cálculos'!$E$199+(($C154)-$A$120:$A$165)*'Cálculos'!$E$98)/(('Cálculos'!$E$199+(($C154)-$A$120:$A$165)*'Cálculos'!$E$98)+1400)+'Cálculos'!$E$122)*'Cálculos'!$E$262+'Cálculos'!$E$125*(1+2.78*('Cálculos'!$E$199+(($C154)-$A$120:$A$165)*'Cálculos'!$E$98)/(('Cálculos'!$E$199+(($C154)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154)-$A$120:$A$165)*'Cálculos'!$E$98)/(('Cálculos'!$E$200+(($C154)-$A$120:$A$165)*'Cálculos'!$E$98)+1400)+'Cálculos'!$E$122)*'Cálculos'!$E$274+'Cálculos'!$E$125*(1+2.78*('Cálculos'!$E$200+(($C154)-$A$120:$A$165)*'Cálculos'!$E$98)/(('Cálculos'!$E$200+(($C154)-$A$120:$A$165)*'Cálculos'!$E$98)+1400)+'Cálculos'!$E$123)*'Cálculos'!$E$279)+('Cálculos'!$E$200+(($C154)-$A$120:$A$165)*'Cálculos'!$E$98)*('Cálculos'!$E$270+'Cálculos'!$E$124*(1+2.78*('Cálculos'!$E$200+(($C154)-$A$120:$A$165)*'Cálculos'!$E$98)/(('Cálculos'!$E$200+(($C154)-$A$120:$A$165)*'Cálculos'!$E$98)+1400)+'Cálculos'!$E$122)*'Cálculos'!$E$275+'Cálculos'!$E$125*(1+2.78*('Cálculos'!$E$200+(($C154)-$A$120:$A$165)*'Cálculos'!$E$98)/(('Cálculos'!$E$200+(($C154)-$A$120:$A$165)*'Cálculos'!$E$98)+1400)+'Cálculos'!$E$123)*'Cálculos'!$E$280)+('Cálculos'!$E$201*(1+'Cálculos'!$E$202+$A$120:$A$165*('Cálculos'!$E$290=2)*'Cálculos'!$E$101)+'Cálculos'!$E$203)*('Cálculos'!$E$271+'Cálculos'!$E$124*(1+2.78*('Cálculos'!$E$200+(($C154)-$A$120:$A$165)*'Cálculos'!$E$98)/(('Cálculos'!$E$200+(($C154)-$A$120:$A$165)*'Cálculos'!$E$98)+1400)+'Cálculos'!$E$122)*'Cálculos'!$E$276+'Cálculos'!$E$125*(1+2.78*('Cálculos'!$E$200+(($C154)-$A$120:$A$165)*'Cálculos'!$E$98)/(('Cálculos'!$E$200+(($C154)-$A$120:$A$165)*'Cálculos'!$E$98)+1400)+'Cálculos'!$E$123)*'Cálculos'!$E$281)+('Cálculos'!$E$204*(1+'Cálculos'!$E$205+$A$120:$A$165*('Cálculos'!$E$290=3)*'Cálculos'!$E$103)+'Cálculos'!$E$206)*('Cálculos'!$E$272+'Cálculos'!$E$124*(1+2.78*('Cálculos'!$E$200+(($C154)-$A$120:$A$165)*'Cálculos'!$E$98)/(('Cálculos'!$E$200+(($C154)-$A$120:$A$165)*'Cálculos'!$E$98)+1400)+'Cálculos'!$E$122)*'Cálculos'!$E$277+'Cálculos'!$E$125*(1+2.78*('Cálculos'!$E$200+(($C154)-$A$120:$A$165)*'Cálculos'!$E$98)/(('Cálculos'!$E$200+(($C154)-$A$120:$A$165)*'Cálculos'!$E$98)+1400)+'Cálculos'!$E$123)*'Cálculos'!$E$282)))))</f>
        <v>0</v>
      </c>
      <c r="E154" s="32">
        <f>IF(OR($C154&lt;0,'Cálculos'!$E$6=""),0,$B154*$D154)</f>
        <v>0</v>
      </c>
      <c r="F154" s="2"/>
      <c r="G154" s="30">
        <f>($A154&lt;=$B$167)*($A154&lt;='Cálculos'!$E$294)*(($B$167)-$A154&lt;='Cálculos'!$E$295)*(1+MIN(('Cálculos'!$E$207+$A154*'Cálculos'!$E$95),1)*('Cálculos'!$E$208+(($B$167)-$A154)*'Cálculos'!$E$96))</f>
        <v>0</v>
      </c>
      <c r="H154" s="31">
        <f>IF($B$168&lt;0,0,($A154&lt;=$B$168)*($A154&lt;='Cálculos'!$E$301)*(($B$168)-$A154&lt;='Cálculos'!$E$297)*(('Cálculos'!$E$185*(1+'Cálculos'!$E$186+$A154*('Cálculos'!$E$290=1)*'Cálculos'!$E$97+'Cálculos'!$E$305)+'Cálculos'!$E$191)*('Cálculos'!$E$209+'Cálculos'!$E$124*(1+2.78*('Cálculos'!$E$196+(($B$168)-$A154)*'Cálculos'!$E$98)/(('Cálculos'!$E$196+(($B$168)-$A154)*'Cálculos'!$E$98)+1400)+'Cálculos'!$E$122)*'Cálculos'!$E$214+'Cálculos'!$E$125*(1+2.78*('Cálculos'!$E$196+(($B$168)-$A154)*'Cálculos'!$E$98)/(('Cálculos'!$E$196+(($B$168)-$A154)*'Cálculos'!$E$98)+1400)+'Cálculos'!$E$123)*'Cálculos'!$E$219)+('Cálculos'!$E$196+(($B$168)-$A154)*'Cálculos'!$E$98)*('Cálculos'!$E$210+'Cálculos'!$E$124*(1+2.78*('Cálculos'!$E$196+(($B$168)-$A154)*'Cálculos'!$E$98)/(('Cálculos'!$E$196+(($B$168)-$A154)*'Cálculos'!$E$98)+1400)+'Cálculos'!$E$122)*'Cálculos'!$E$215+'Cálculos'!$E$125*(1+2.78*('Cálculos'!$E$196+(($B$168)-$A154)*'Cálculos'!$E$98)/(('Cálculos'!$E$196+(($B$168)-$A154)*'Cálculos'!$E$98)+1400)+'Cálculos'!$E$123)*'Cálculos'!$E$220)+('Cálculos'!$E$201*(1+'Cálculos'!$E$202+$A154*('Cálculos'!$E$290=2)*'Cálculos'!$E$101)+'Cálculos'!$E$203)*('Cálculos'!$E$211+'Cálculos'!$E$124*(1+2.78*('Cálculos'!$E$196+(($B$168)-$A154)*'Cálculos'!$E$98)/(('Cálculos'!$E$196+(($B$168)-$A154)*'Cálculos'!$E$98)+1400)+'Cálculos'!$E$122)*'Cálculos'!$E$216+'Cálculos'!$E$125*(1+2.78*('Cálculos'!$E$196+(($B$168)-$A154)*'Cálculos'!$E$98)/(('Cálculos'!$E$196+(($B$168)-$A154)*'Cálculos'!$E$98)+1400)+'Cálculos'!$E$123)*'Cálculos'!$E$221)+('Cálculos'!$E$204*(1+'Cálculos'!$E$205+$A154*('Cálculos'!$E$290=3)*'Cálculos'!$E$103)+'Cálculos'!$E$206)*('Cálculos'!$E$212+'Cálculos'!$E$124*(1+2.78*('Cálculos'!$E$196+(($B$168)-$A154)*'Cálculos'!$E$98)/(('Cálculos'!$E$196+(($B$168)-$A154)*'Cálculos'!$E$98)+1400)+'Cálculos'!$E$122)*'Cálculos'!$E$217+'Cálculos'!$E$125*(1+2.78*('Cálculos'!$E$196+(($B$168)-$A154)*'Cálculos'!$E$98)/(('Cálculos'!$E$196+(($B$168)-$A154)*'Cálculos'!$E$98)+1400)+'Cálculos'!$E$123)*'Cálculos'!$E$222)+('Cálculos'!$E$185*(1+'Cálculos'!$E$187+$A154*('Cálculos'!$E$290=1)*'Cálculos'!$E$97+'Cálculos'!$E$305)+'Cálculos'!$E$192)*('Cálculos'!$E$224+'Cálculos'!$E$124*(1+2.78*('Cálculos'!$E$197+(($B$168)-$A154)*'Cálculos'!$E$98)/(('Cálculos'!$E$197+(($B$168)-$A154)*'Cálculos'!$E$98)+1400)+'Cálculos'!$E$122)*'Cálculos'!$E$229+'Cálculos'!$E$125*(1+2.78*('Cálculos'!$E$197+(($B$168)-$A154)*'Cálculos'!$E$98)/(('Cálculos'!$E$197+(($B$168)-$A154)*'Cálculos'!$E$98)+1400)+'Cálculos'!$E$123)*'Cálculos'!$E$234)+('Cálculos'!$E$197+(($B$168)-$A154)*'Cálculos'!$E$98)*('Cálculos'!$E$225+'Cálculos'!$E$124*(1+2.78*('Cálculos'!$E$197+(($B$168)-$A154)*'Cálculos'!$E$98)/(('Cálculos'!$E$197+(($B$168)-$A154)*'Cálculos'!$E$98)+1400)+'Cálculos'!$E$122)*'Cálculos'!$E$230+'Cálculos'!$E$125*(1+2.78*('Cálculos'!$E$197+(($B$168)-$A154)*'Cálculos'!$E$98)/(('Cálculos'!$E$197+(($B$168)-$A154)*'Cálculos'!$E$98)+1400)+'Cálculos'!$E$123)*'Cálculos'!$E$235)+('Cálculos'!$E$201*(1+'Cálculos'!$E$202+$A154*('Cálculos'!$E$290=2)*'Cálculos'!$E$101)+'Cálculos'!$E$203)*('Cálculos'!$E$226+'Cálculos'!$E$124*(1+2.78*('Cálculos'!$E$197+(($B$168)-$A154)*'Cálculos'!$E$98)/(('Cálculos'!$E$197+(($B$168)-$A154)*'Cálculos'!$E$98)+1400)+'Cálculos'!$E$122)*'Cálculos'!$E$231+'Cálculos'!$E$125*(1+2.78*('Cálculos'!$E$197+(($B$168)-$A154)*'Cálculos'!$E$98)/(('Cálculos'!$E$197+(($B$168)-$A154)*'Cálculos'!$E$98)+1400)+'Cálculos'!$E$123)*'Cálculos'!$E$236)+('Cálculos'!$E$204*(1+'Cálculos'!$E$205+$A154*('Cálculos'!$E$290=3)*'Cálculos'!$E$103)+'Cálculos'!$E$206)*('Cálculos'!$E$227+'Cálculos'!$E$124*(1+2.78*('Cálculos'!$E$197+(($B$168)-$A154)*'Cálculos'!$E$98)/(('Cálculos'!$E$197+(($B$168)-$A154)*'Cálculos'!$E$98)+1400)+'Cálculos'!$E$122)*'Cálculos'!$E$232+'Cálculos'!$E$125*(1+2.78*('Cálculos'!$E$197+(($B$168)-$A154)*'Cálculos'!$E$98)/(('Cálculos'!$E$197+(($B$168)-$A154)*'Cálculos'!$E$98)+1400)+'Cálculos'!$E$123)*'Cálculos'!$E$237)+('Cálculos'!$E$185*(1+'Cálculos'!$E$188+$A154*('Cálculos'!$E$290=1)*'Cálculos'!$E$97+'Cálculos'!$E$305)+'Cálculos'!$E$193)*('Cálculos'!$E$239+'Cálculos'!$E$124*(1+2.78*('Cálculos'!$E$198+(($B$168)-$A154)*'Cálculos'!$E$98)/(('Cálculos'!$E$198+(($B$168)-$A154)*'Cálculos'!$E$98)+1400)+'Cálculos'!$E$122)*'Cálculos'!$E$244+'Cálculos'!$E$125*(1+2.78*('Cálculos'!$E$198+(($B$168)-$A154)*'Cálculos'!$E$98)/(('Cálculos'!$E$198+(($B$168)-$A154)*'Cálculos'!$E$98)+1400)+'Cálculos'!$E$123)*'Cálculos'!$E$249)+('Cálculos'!$E$198+(($B$168)-$A154)*'Cálculos'!$E$98)*('Cálculos'!$E$240+'Cálculos'!$E$124*(1+2.78*('Cálculos'!$E$198+(($B$168)-$A154)*'Cálculos'!$E$98)/(('Cálculos'!$E$198+(($B$168)-$A154)*'Cálculos'!$E$98)+1400)+'Cálculos'!$E$122)*'Cálculos'!$E$245+'Cálculos'!$E$125*(1+2.78*('Cálculos'!$E$198+(($B$168)-$A154)*'Cálculos'!$E$98)/(('Cálculos'!$E$198+(($B$168)-$A154)*'Cálculos'!$E$98)+1400)+'Cálculos'!$E$123)*'Cálculos'!$E$250)+('Cálculos'!$E$201*(1+'Cálculos'!$E$202+$A154*('Cálculos'!$E$290=2)*'Cálculos'!$E$101)+'Cálculos'!$E$203)*('Cálculos'!$E$241+'Cálculos'!$E$124*(1+2.78*('Cálculos'!$E$198+(($B$168)-$A154)*'Cálculos'!$E$98)/(('Cálculos'!$E$198+(($B$168)-$A154)*'Cálculos'!$E$98)+1400)+'Cálculos'!$E$122)*'Cálculos'!$E$246+'Cálculos'!$E$125*(1+2.78*('Cálculos'!$E$198+(($B$168)-$A154)*'Cálculos'!$E$98)/(('Cálculos'!$E$198+(($B$168)-$A154)*'Cálculos'!$E$98)+1400)+'Cálculos'!$E$123)*'Cálculos'!$E$251)+('Cálculos'!$E$204*(1+'Cálculos'!$E$205+$A154*('Cálculos'!$E$290=3)*'Cálculos'!$E$103)+'Cálculos'!$E$206)*('Cálculos'!$E$242+'Cálculos'!$E$124*(1+2.78*('Cálculos'!$E$198+(($B$168)-$A154)*'Cálculos'!$E$98)/(('Cálculos'!$E$198+(($B$168)-$A154)*'Cálculos'!$E$98)+1400)+'Cálculos'!$E$122)*'Cálculos'!$E$247+'Cálculos'!$E$125*(1+2.78*('Cálculos'!$E$198+(($B$168)-$A154)*'Cálculos'!$E$98)/(('Cálculos'!$E$198+(($B$168)-$A154)*'Cálculos'!$E$98)+1400)+'Cálculos'!$E$123)*'Cálculos'!$E$252)+('Cálculos'!$E$185*(1+'Cálculos'!$E$189+$A154*('Cálculos'!$E$290=1)*'Cálculos'!$E$97+'Cálculos'!$E$305)+'Cálculos'!$E$194)*('Cálculos'!$E$254+'Cálculos'!$E$124*(1+2.78*('Cálculos'!$E$199+(($B$168)-$A154)*'Cálculos'!$E$98)/(('Cálculos'!$E$199+(($B$168)-$A154)*'Cálculos'!$E$98)+1400)+'Cálculos'!$E$122)*'Cálculos'!$E$259+'Cálculos'!$E$125*(1+2.78*('Cálculos'!$E$199+(($B$168)-$A154)*'Cálculos'!$E$98)/(('Cálculos'!$E$199+(($B$168)-$A154)*'Cálculos'!$E$98)+1400)+'Cálculos'!$E$123)*'Cálculos'!$E$264)+('Cálculos'!$E$199+(($B$168)-$A154)*'Cálculos'!$E$98)*('Cálculos'!$E$255+'Cálculos'!$E$124*(1+2.78*('Cálculos'!$E$199+(($B$168)-$A154)*'Cálculos'!$E$98)/(('Cálculos'!$E$199+(($B$168)-$A154)*'Cálculos'!$E$98)+1400)+'Cálculos'!$E$122)*'Cálculos'!$E$260+'Cálculos'!$E$125*(1+2.78*('Cálculos'!$E$199+(($B$168)-$A154)*'Cálculos'!$E$98)/(('Cálculos'!$E$199+(($B$168)-$A154)*'Cálculos'!$E$98)+1400)+'Cálculos'!$E$123)*'Cálculos'!$E$265)+('Cálculos'!$E$201*(1+'Cálculos'!$E$202+$A154*('Cálculos'!$E$290=2)*'Cálculos'!$E$101)+'Cálculos'!$E$203)*('Cálculos'!$E$256+'Cálculos'!$E$124*(1+2.78*('Cálculos'!$E$199+(($B$168)-$A154)*'Cálculos'!$E$98)/(('Cálculos'!$E$199+(($B$168)-$A154)*'Cálculos'!$E$98)+1400)+'Cálculos'!$E$122)*'Cálculos'!$E$261+'Cálculos'!$E$125*(1+2.78*('Cálculos'!$E$199+(($B$168)-$A154)*'Cálculos'!$E$98)/(('Cálculos'!$E$199+(($B$168)-$A154)*'Cálculos'!$E$98)+1400)+'Cálculos'!$E$123)*'Cálculos'!$E$266)+('Cálculos'!$E$204*(1+'Cálculos'!$E$205+$A154*('Cálculos'!$E$290=3)*'Cálculos'!$E$103)+'Cálculos'!$E$206)*('Cálculos'!$E$257+'Cálculos'!$E$124*(1+2.78*('Cálculos'!$E$199+(($B$168)-$A154)*'Cálculos'!$E$98)/(('Cálculos'!$E$199+(($B$168)-$A154)*'Cálculos'!$E$98)+1400)+'Cálculos'!$E$122)*'Cálculos'!$E$262+'Cálculos'!$E$125*(1+2.78*('Cálculos'!$E$199+(($B$168)-$A154)*'Cálculos'!$E$98)/(('Cálculos'!$E$199+(($B$168)-$A154)*'Cálculos'!$E$98)+1400)+'Cálculos'!$E$123)*'Cálculos'!$E$267)+('Cálculos'!$E$185*(1+'Cálculos'!$E$190+$A154*('Cálculos'!$E$290=1)*'Cálculos'!$E$97+'Cálculos'!$E$305)+'Cálculos'!$E$195)*('Cálculos'!$E$269+'Cálculos'!$E$124*(1+2.78*('Cálculos'!$E$200+(($B$168)-$A154)*'Cálculos'!$E$98)/(('Cálculos'!$E$200+(($B$168)-$A154)*'Cálculos'!$E$98)+1400)+'Cálculos'!$E$122)*'Cálculos'!$E$274+'Cálculos'!$E$125*(1+2.78*('Cálculos'!$E$200+(($B$168)-$A154)*'Cálculos'!$E$98)/(('Cálculos'!$E$200+(($B$168)-$A154)*'Cálculos'!$E$98)+1400)+'Cálculos'!$E$123)*'Cálculos'!$E$279)+('Cálculos'!$E$200+(($B$168)-$A154)*'Cálculos'!$E$98)*('Cálculos'!$E$270+'Cálculos'!$E$124*(1+2.78*('Cálculos'!$E$200+(($B$168)-$A154)*'Cálculos'!$E$98)/(('Cálculos'!$E$200+(($B$168)-$A154)*'Cálculos'!$E$98)+1400)+'Cálculos'!$E$122)*'Cálculos'!$E$275+'Cálculos'!$E$125*(1+2.78*('Cálculos'!$E$200+(($B$168)-$A154)*'Cálculos'!$E$98)/(('Cálculos'!$E$200+(($B$168)-$A154)*'Cálculos'!$E$98)+1400)+'Cálculos'!$E$123)*'Cálculos'!$E$280)+('Cálculos'!$E$201*(1+'Cálculos'!$E$202+$A154*('Cálculos'!$E$290=2)*'Cálculos'!$E$101)+'Cálculos'!$E$203)*('Cálculos'!$E$271+'Cálculos'!$E$124*(1+2.78*('Cálculos'!$E$200+(($B$168)-$A154)*'Cálculos'!$E$98)/(('Cálculos'!$E$200+(($B$168)-$A154)*'Cálculos'!$E$98)+1400)+'Cálculos'!$E$122)*'Cálculos'!$E$276+'Cálculos'!$E$125*(1+2.78*('Cálculos'!$E$200+(($B$168)-$A154)*'Cálculos'!$E$98)/(('Cálculos'!$E$200+(($B$168)-$A154)*'Cálculos'!$E$98)+1400)+'Cálculos'!$E$123)*'Cálculos'!$E$281)+('Cálculos'!$E$204*(1+'Cálculos'!$E$205+$A154*('Cálculos'!$E$290=3)*'Cálculos'!$E$103)+'Cálculos'!$E$206)*('Cálculos'!$E$272+'Cálculos'!$E$124*(1+2.78*('Cálculos'!$E$200+(($B$168)-$A154)*'Cálculos'!$E$98)/(('Cálculos'!$E$200+(($B$168)-$A154)*'Cálculos'!$E$98)+1400)+'Cálculos'!$E$122)*'Cálculos'!$E$277+'Cálculos'!$E$125*(1+2.78*('Cálculos'!$E$200+(($B$168)-$A154)*'Cálculos'!$E$98)/(('Cálculos'!$E$200+(($B$168)-$A154)*'Cálculos'!$E$98)+1400)+'Cálculos'!$E$123)*'Cálculos'!$E$282)))</f>
        <v>0</v>
      </c>
    </row>
    <row r="155" ht="15.75" customHeight="1">
      <c r="A155" s="2">
        <v>35.0</v>
      </c>
      <c r="B155" s="30">
        <f>SUMPRODUCT(MAX(($A$120:$A$165&lt;=$A155)*($A$120:$A$165&lt;='Cálculos'!$E$294)*(($A155)-$A$120:$A$165&lt;='Cálculos'!$E$295)*(1+(('Cálculos'!$E$207+$A$120:$A$165*'Cálculos'!$E$95)-(('Cálculos'!$E$207+$A$120:$A$165*'Cálculos'!$E$95)&gt;1)*(('Cálculos'!$E$207+$A$120:$A$165*'Cálculos'!$E$95)-1))*('Cálculos'!$E$208+(($A155)-$A$120:$A$165)*'Cálculos'!$E$96))))</f>
        <v>2.80113</v>
      </c>
      <c r="C155" s="2">
        <f>'Cálculos'!$E$303-$A155</f>
        <v>-22</v>
      </c>
      <c r="D155" s="31">
        <f>IF($C155&lt;0,0,SUMPRODUCT(MAX(($A$120:$A$165&lt;=$C155)*($A$120:$A$165&lt;='Cálculos'!$E$301)*(($C155)-$A$120:$A$165&lt;='Cálculos'!$E$297)*(('Cálculos'!$E$185*(1+'Cálculos'!$E$186+$A$120:$A$165*('Cálculos'!$E$290=1)*'Cálculos'!$E$97+'Cálculos'!$E$305)+'Cálculos'!$E$191)*('Cálculos'!$E$209+'Cálculos'!$E$124*(1+2.78*('Cálculos'!$E$196+(($C155)-$A$120:$A$165)*'Cálculos'!$E$98)/(('Cálculos'!$E$196+(($C155)-$A$120:$A$165)*'Cálculos'!$E$98)+1400)+'Cálculos'!$E$122)*'Cálculos'!$E$214+'Cálculos'!$E$125*(1+2.78*('Cálculos'!$E$196+(($C155)-$A$120:$A$165)*'Cálculos'!$E$98)/(('Cálculos'!$E$196+(($C155)-$A$120:$A$165)*'Cálculos'!$E$98)+1400)+'Cálculos'!$E$123)*'Cálculos'!$E$219)+('Cálculos'!$E$196+(($C155)-$A$120:$A$165)*'Cálculos'!$E$98)*('Cálculos'!$E$210+'Cálculos'!$E$124*(1+2.78*('Cálculos'!$E$196+(($C155)-$A$120:$A$165)*'Cálculos'!$E$98)/(('Cálculos'!$E$196+(($C155)-$A$120:$A$165)*'Cálculos'!$E$98)+1400)+'Cálculos'!$E$122)*'Cálculos'!$E$215+'Cálculos'!$E$125*(1+2.78*('Cálculos'!$E$196+(($C155)-$A$120:$A$165)*'Cálculos'!$E$98)/(('Cálculos'!$E$196+(($C155)-$A$120:$A$165)*'Cálculos'!$E$98)+1400)+'Cálculos'!$E$123)*'Cálculos'!$E$220)+('Cálculos'!$E$201*(1+'Cálculos'!$E$202+$A$120:$A$165*('Cálculos'!$E$290=2)*'Cálculos'!$E$101)+'Cálculos'!$E$203)*('Cálculos'!$E$211+'Cálculos'!$E$124*(1+2.78*('Cálculos'!$E$196+(($C155)-$A$120:$A$165)*'Cálculos'!$E$98)/(('Cálculos'!$E$196+(($C155)-$A$120:$A$165)*'Cálculos'!$E$98)+1400)+'Cálculos'!$E$122)*'Cálculos'!$E$216+'Cálculos'!$E$125*(1+2.78*('Cálculos'!$E$196+(($C155)-$A$120:$A$165)*'Cálculos'!$E$98)/(('Cálculos'!$E$196+(($C155)-$A$120:$A$165)*'Cálculos'!$E$98)+1400)+'Cálculos'!$E$123)*'Cálculos'!$E$221)+('Cálculos'!$E$204*(1+'Cálculos'!$E$205+$A$120:$A$165*('Cálculos'!$E$290=3)*'Cálculos'!$E$103)+'Cálculos'!$E$206)*('Cálculos'!$E$212+'Cálculos'!$E$124*(1+2.78*('Cálculos'!$E$196+(($C155)-$A$120:$A$165)*'Cálculos'!$E$98)/(('Cálculos'!$E$196+(($C155)-$A$120:$A$165)*'Cálculos'!$E$98)+1400)+'Cálculos'!$E$122)*'Cálculos'!$E$217+'Cálculos'!$E$125*(1+2.78*('Cálculos'!$E$196+(($C155)-$A$120:$A$165)*'Cálculos'!$E$98)/(('Cálculos'!$E$196+(($C155)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155)-$A$120:$A$165)*'Cálculos'!$E$98)/(('Cálculos'!$E$197+(($C155)-$A$120:$A$165)*'Cálculos'!$E$98)+1400)+'Cálculos'!$E$122)*'Cálculos'!$E$229+'Cálculos'!$E$125*(1+2.78*('Cálculos'!$E$197+(($C155)-$A$120:$A$165)*'Cálculos'!$E$98)/(('Cálculos'!$E$197+(($C155)-$A$120:$A$165)*'Cálculos'!$E$98)+1400)+'Cálculos'!$E$123)*'Cálculos'!$E$234)+('Cálculos'!$E$197+(($C155)-$A$120:$A$165)*'Cálculos'!$E$98)*('Cálculos'!$E$225+'Cálculos'!$E$124*(1+2.78*('Cálculos'!$E$197+(($C155)-$A$120:$A$165)*'Cálculos'!$E$98)/(('Cálculos'!$E$197+(($C155)-$A$120:$A$165)*'Cálculos'!$E$98)+1400)+'Cálculos'!$E$122)*'Cálculos'!$E$230+'Cálculos'!$E$125*(1+2.78*('Cálculos'!$E$197+(($C155)-$A$120:$A$165)*'Cálculos'!$E$98)/(('Cálculos'!$E$197+(($C155)-$A$120:$A$165)*'Cálculos'!$E$98)+1400)+'Cálculos'!$E$123)*'Cálculos'!$E$235)+('Cálculos'!$E$201*(1+'Cálculos'!$E$202+$A$120:$A$165*('Cálculos'!$E$290=2)*'Cálculos'!$E$101)+'Cálculos'!$E$203)*('Cálculos'!$E$226+'Cálculos'!$E$124*(1+2.78*('Cálculos'!$E$197+(($C155)-$A$120:$A$165)*'Cálculos'!$E$98)/(('Cálculos'!$E$197+(($C155)-$A$120:$A$165)*'Cálculos'!$E$98)+1400)+'Cálculos'!$E$122)*'Cálculos'!$E$231+'Cálculos'!$E$125*(1+2.78*('Cálculos'!$E$197+(($C155)-$A$120:$A$165)*'Cálculos'!$E$98)/(('Cálculos'!$E$197+(($C155)-$A$120:$A$165)*'Cálculos'!$E$98)+1400)+'Cálculos'!$E$123)*'Cálculos'!$E$236)+('Cálculos'!$E$204*(1+'Cálculos'!$E$205+$A$120:$A$165*('Cálculos'!$E$290=3)*'Cálculos'!$E$103)+'Cálculos'!$E$206)*('Cálculos'!$E$227+'Cálculos'!$E$124*(1+2.78*('Cálculos'!$E$197+(($C155)-$A$120:$A$165)*'Cálculos'!$E$98)/(('Cálculos'!$E$197+(($C155)-$A$120:$A$165)*'Cálculos'!$E$98)+1400)+'Cálculos'!$E$122)*'Cálculos'!$E$232+'Cálculos'!$E$125*(1+2.78*('Cálculos'!$E$197+(($C155)-$A$120:$A$165)*'Cálculos'!$E$98)/(('Cálculos'!$E$197+(($C155)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155)-$A$120:$A$165)*'Cálculos'!$E$98)/(('Cálculos'!$E$198+(($C155)-$A$120:$A$165)*'Cálculos'!$E$98)+1400)+'Cálculos'!$E$122)*'Cálculos'!$E$244+'Cálculos'!$E$125*(1+2.78*('Cálculos'!$E$198+(($C155)-$A$120:$A$165)*'Cálculos'!$E$98)/(('Cálculos'!$E$198+(($C155)-$A$120:$A$165)*'Cálculos'!$E$98)+1400)+'Cálculos'!$E$123)*'Cálculos'!$E$249)+('Cálculos'!$E$198+(($C155)-$A$120:$A$165)*'Cálculos'!$E$98)*('Cálculos'!$E$240+'Cálculos'!$E$124*(1+2.78*('Cálculos'!$E$198+(($C155)-$A$120:$A$165)*'Cálculos'!$E$98)/(('Cálculos'!$E$198+(($C155)-$A$120:$A$165)*'Cálculos'!$E$98)+1400)+'Cálculos'!$E$122)*'Cálculos'!$E$245+'Cálculos'!$E$125*(1+2.78*('Cálculos'!$E$198+(($C155)-$A$120:$A$165)*'Cálculos'!$E$98)/(('Cálculos'!$E$198+(($C155)-$A$120:$A$165)*'Cálculos'!$E$98)+1400)+'Cálculos'!$E$123)*'Cálculos'!$E$250)+('Cálculos'!$E$201*(1+'Cálculos'!$E$202+$A$120:$A$165*('Cálculos'!$E$290=2)*'Cálculos'!$E$101)+'Cálculos'!$E$203)*('Cálculos'!$E$241+'Cálculos'!$E$124*(1+2.78*('Cálculos'!$E$198+(($C155)-$A$120:$A$165)*'Cálculos'!$E$98)/(('Cálculos'!$E$198+(($C155)-$A$120:$A$165)*'Cálculos'!$E$98)+1400)+'Cálculos'!$E$122)*'Cálculos'!$E$246+'Cálculos'!$E$125*(1+2.78*('Cálculos'!$E$198+(($C155)-$A$120:$A$165)*'Cálculos'!$E$98)/(('Cálculos'!$E$198+(($C155)-$A$120:$A$165)*'Cálculos'!$E$98)+1400)+'Cálculos'!$E$123)*'Cálculos'!$E$251)+('Cálculos'!$E$204*(1+'Cálculos'!$E$205+$A$120:$A$165*('Cálculos'!$E$290=3)*'Cálculos'!$E$103)+'Cálculos'!$E$206)*('Cálculos'!$E$242+'Cálculos'!$E$124*(1+2.78*('Cálculos'!$E$198+(($C155)-$A$120:$A$165)*'Cálculos'!$E$98)/(('Cálculos'!$E$198+(($C155)-$A$120:$A$165)*'Cálculos'!$E$98)+1400)+'Cálculos'!$E$122)*'Cálculos'!$E$247+'Cálculos'!$E$125*(1+2.78*('Cálculos'!$E$198+(($C155)-$A$120:$A$165)*'Cálculos'!$E$98)/(('Cálculos'!$E$198+(($C155)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155)-$A$120:$A$165)*'Cálculos'!$E$98)/(('Cálculos'!$E$199+(($C155)-$A$120:$A$165)*'Cálculos'!$E$98)+1400)+'Cálculos'!$E$122)*'Cálculos'!$E$259+'Cálculos'!$E$125*(1+2.78*('Cálculos'!$E$199+(($C155)-$A$120:$A$165)*'Cálculos'!$E$98)/(('Cálculos'!$E$199+(($C155)-$A$120:$A$165)*'Cálculos'!$E$98)+1400)+'Cálculos'!$E$123)*'Cálculos'!$E$264)+('Cálculos'!$E$199+(($C155)-$A$120:$A$165)*'Cálculos'!$E$98)*('Cálculos'!$E$255+'Cálculos'!$E$124*(1+2.78*('Cálculos'!$E$199+(($C155)-$A$120:$A$165)*'Cálculos'!$E$98)/(('Cálculos'!$E$199+(($C155)-$A$120:$A$165)*'Cálculos'!$E$98)+1400)+'Cálculos'!$E$122)*'Cálculos'!$E$260+'Cálculos'!$E$125*(1+2.78*('Cálculos'!$E$199+(($C155)-$A$120:$A$165)*'Cálculos'!$E$98)/(('Cálculos'!$E$199+(($C155)-$A$120:$A$165)*'Cálculos'!$E$98)+1400)+'Cálculos'!$E$123)*'Cálculos'!$E$265)+('Cálculos'!$E$201*(1+'Cálculos'!$E$202+$A$120:$A$165*('Cálculos'!$E$290=2)*'Cálculos'!$E$101)+'Cálculos'!$E$203)*('Cálculos'!$E$256+'Cálculos'!$E$124*(1+2.78*('Cálculos'!$E$199+(($C155)-$A$120:$A$165)*'Cálculos'!$E$98)/(('Cálculos'!$E$199+(($C155)-$A$120:$A$165)*'Cálculos'!$E$98)+1400)+'Cálculos'!$E$122)*'Cálculos'!$E$261+'Cálculos'!$E$125*(1+2.78*('Cálculos'!$E$199+(($C155)-$A$120:$A$165)*'Cálculos'!$E$98)/(('Cálculos'!$E$199+(($C155)-$A$120:$A$165)*'Cálculos'!$E$98)+1400)+'Cálculos'!$E$123)*'Cálculos'!$E$266)+('Cálculos'!$E$204*(1+'Cálculos'!$E$205+$A$120:$A$165*('Cálculos'!$E$290=3)*'Cálculos'!$E$103)+'Cálculos'!$E$206)*('Cálculos'!$E$257+'Cálculos'!$E$124*(1+2.78*('Cálculos'!$E$199+(($C155)-$A$120:$A$165)*'Cálculos'!$E$98)/(('Cálculos'!$E$199+(($C155)-$A$120:$A$165)*'Cálculos'!$E$98)+1400)+'Cálculos'!$E$122)*'Cálculos'!$E$262+'Cálculos'!$E$125*(1+2.78*('Cálculos'!$E$199+(($C155)-$A$120:$A$165)*'Cálculos'!$E$98)/(('Cálculos'!$E$199+(($C155)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155)-$A$120:$A$165)*'Cálculos'!$E$98)/(('Cálculos'!$E$200+(($C155)-$A$120:$A$165)*'Cálculos'!$E$98)+1400)+'Cálculos'!$E$122)*'Cálculos'!$E$274+'Cálculos'!$E$125*(1+2.78*('Cálculos'!$E$200+(($C155)-$A$120:$A$165)*'Cálculos'!$E$98)/(('Cálculos'!$E$200+(($C155)-$A$120:$A$165)*'Cálculos'!$E$98)+1400)+'Cálculos'!$E$123)*'Cálculos'!$E$279)+('Cálculos'!$E$200+(($C155)-$A$120:$A$165)*'Cálculos'!$E$98)*('Cálculos'!$E$270+'Cálculos'!$E$124*(1+2.78*('Cálculos'!$E$200+(($C155)-$A$120:$A$165)*'Cálculos'!$E$98)/(('Cálculos'!$E$200+(($C155)-$A$120:$A$165)*'Cálculos'!$E$98)+1400)+'Cálculos'!$E$122)*'Cálculos'!$E$275+'Cálculos'!$E$125*(1+2.78*('Cálculos'!$E$200+(($C155)-$A$120:$A$165)*'Cálculos'!$E$98)/(('Cálculos'!$E$200+(($C155)-$A$120:$A$165)*'Cálculos'!$E$98)+1400)+'Cálculos'!$E$123)*'Cálculos'!$E$280)+('Cálculos'!$E$201*(1+'Cálculos'!$E$202+$A$120:$A$165*('Cálculos'!$E$290=2)*'Cálculos'!$E$101)+'Cálculos'!$E$203)*('Cálculos'!$E$271+'Cálculos'!$E$124*(1+2.78*('Cálculos'!$E$200+(($C155)-$A$120:$A$165)*'Cálculos'!$E$98)/(('Cálculos'!$E$200+(($C155)-$A$120:$A$165)*'Cálculos'!$E$98)+1400)+'Cálculos'!$E$122)*'Cálculos'!$E$276+'Cálculos'!$E$125*(1+2.78*('Cálculos'!$E$200+(($C155)-$A$120:$A$165)*'Cálculos'!$E$98)/(('Cálculos'!$E$200+(($C155)-$A$120:$A$165)*'Cálculos'!$E$98)+1400)+'Cálculos'!$E$123)*'Cálculos'!$E$281)+('Cálculos'!$E$204*(1+'Cálculos'!$E$205+$A$120:$A$165*('Cálculos'!$E$290=3)*'Cálculos'!$E$103)+'Cálculos'!$E$206)*('Cálculos'!$E$272+'Cálculos'!$E$124*(1+2.78*('Cálculos'!$E$200+(($C155)-$A$120:$A$165)*'Cálculos'!$E$98)/(('Cálculos'!$E$200+(($C155)-$A$120:$A$165)*'Cálculos'!$E$98)+1400)+'Cálculos'!$E$122)*'Cálculos'!$E$277+'Cálculos'!$E$125*(1+2.78*('Cálculos'!$E$200+(($C155)-$A$120:$A$165)*'Cálculos'!$E$98)/(('Cálculos'!$E$200+(($C155)-$A$120:$A$165)*'Cálculos'!$E$98)+1400)+'Cálculos'!$E$123)*'Cálculos'!$E$282)))))</f>
        <v>0</v>
      </c>
      <c r="E155" s="32">
        <f>IF(OR($C155&lt;0,'Cálculos'!$E$6=""),0,$B155*$D155)</f>
        <v>0</v>
      </c>
      <c r="F155" s="2"/>
      <c r="G155" s="30">
        <f>($A155&lt;=$B$167)*($A155&lt;='Cálculos'!$E$294)*(($B$167)-$A155&lt;='Cálculos'!$E$295)*(1+MIN(('Cálculos'!$E$207+$A155*'Cálculos'!$E$95),1)*('Cálculos'!$E$208+(($B$167)-$A155)*'Cálculos'!$E$96))</f>
        <v>0</v>
      </c>
      <c r="H155" s="31">
        <f>IF($B$168&lt;0,0,($A155&lt;=$B$168)*($A155&lt;='Cálculos'!$E$301)*(($B$168)-$A155&lt;='Cálculos'!$E$297)*(('Cálculos'!$E$185*(1+'Cálculos'!$E$186+$A155*('Cálculos'!$E$290=1)*'Cálculos'!$E$97+'Cálculos'!$E$305)+'Cálculos'!$E$191)*('Cálculos'!$E$209+'Cálculos'!$E$124*(1+2.78*('Cálculos'!$E$196+(($B$168)-$A155)*'Cálculos'!$E$98)/(('Cálculos'!$E$196+(($B$168)-$A155)*'Cálculos'!$E$98)+1400)+'Cálculos'!$E$122)*'Cálculos'!$E$214+'Cálculos'!$E$125*(1+2.78*('Cálculos'!$E$196+(($B$168)-$A155)*'Cálculos'!$E$98)/(('Cálculos'!$E$196+(($B$168)-$A155)*'Cálculos'!$E$98)+1400)+'Cálculos'!$E$123)*'Cálculos'!$E$219)+('Cálculos'!$E$196+(($B$168)-$A155)*'Cálculos'!$E$98)*('Cálculos'!$E$210+'Cálculos'!$E$124*(1+2.78*('Cálculos'!$E$196+(($B$168)-$A155)*'Cálculos'!$E$98)/(('Cálculos'!$E$196+(($B$168)-$A155)*'Cálculos'!$E$98)+1400)+'Cálculos'!$E$122)*'Cálculos'!$E$215+'Cálculos'!$E$125*(1+2.78*('Cálculos'!$E$196+(($B$168)-$A155)*'Cálculos'!$E$98)/(('Cálculos'!$E$196+(($B$168)-$A155)*'Cálculos'!$E$98)+1400)+'Cálculos'!$E$123)*'Cálculos'!$E$220)+('Cálculos'!$E$201*(1+'Cálculos'!$E$202+$A155*('Cálculos'!$E$290=2)*'Cálculos'!$E$101)+'Cálculos'!$E$203)*('Cálculos'!$E$211+'Cálculos'!$E$124*(1+2.78*('Cálculos'!$E$196+(($B$168)-$A155)*'Cálculos'!$E$98)/(('Cálculos'!$E$196+(($B$168)-$A155)*'Cálculos'!$E$98)+1400)+'Cálculos'!$E$122)*'Cálculos'!$E$216+'Cálculos'!$E$125*(1+2.78*('Cálculos'!$E$196+(($B$168)-$A155)*'Cálculos'!$E$98)/(('Cálculos'!$E$196+(($B$168)-$A155)*'Cálculos'!$E$98)+1400)+'Cálculos'!$E$123)*'Cálculos'!$E$221)+('Cálculos'!$E$204*(1+'Cálculos'!$E$205+$A155*('Cálculos'!$E$290=3)*'Cálculos'!$E$103)+'Cálculos'!$E$206)*('Cálculos'!$E$212+'Cálculos'!$E$124*(1+2.78*('Cálculos'!$E$196+(($B$168)-$A155)*'Cálculos'!$E$98)/(('Cálculos'!$E$196+(($B$168)-$A155)*'Cálculos'!$E$98)+1400)+'Cálculos'!$E$122)*'Cálculos'!$E$217+'Cálculos'!$E$125*(1+2.78*('Cálculos'!$E$196+(($B$168)-$A155)*'Cálculos'!$E$98)/(('Cálculos'!$E$196+(($B$168)-$A155)*'Cálculos'!$E$98)+1400)+'Cálculos'!$E$123)*'Cálculos'!$E$222)+('Cálculos'!$E$185*(1+'Cálculos'!$E$187+$A155*('Cálculos'!$E$290=1)*'Cálculos'!$E$97+'Cálculos'!$E$305)+'Cálculos'!$E$192)*('Cálculos'!$E$224+'Cálculos'!$E$124*(1+2.78*('Cálculos'!$E$197+(($B$168)-$A155)*'Cálculos'!$E$98)/(('Cálculos'!$E$197+(($B$168)-$A155)*'Cálculos'!$E$98)+1400)+'Cálculos'!$E$122)*'Cálculos'!$E$229+'Cálculos'!$E$125*(1+2.78*('Cálculos'!$E$197+(($B$168)-$A155)*'Cálculos'!$E$98)/(('Cálculos'!$E$197+(($B$168)-$A155)*'Cálculos'!$E$98)+1400)+'Cálculos'!$E$123)*'Cálculos'!$E$234)+('Cálculos'!$E$197+(($B$168)-$A155)*'Cálculos'!$E$98)*('Cálculos'!$E$225+'Cálculos'!$E$124*(1+2.78*('Cálculos'!$E$197+(($B$168)-$A155)*'Cálculos'!$E$98)/(('Cálculos'!$E$197+(($B$168)-$A155)*'Cálculos'!$E$98)+1400)+'Cálculos'!$E$122)*'Cálculos'!$E$230+'Cálculos'!$E$125*(1+2.78*('Cálculos'!$E$197+(($B$168)-$A155)*'Cálculos'!$E$98)/(('Cálculos'!$E$197+(($B$168)-$A155)*'Cálculos'!$E$98)+1400)+'Cálculos'!$E$123)*'Cálculos'!$E$235)+('Cálculos'!$E$201*(1+'Cálculos'!$E$202+$A155*('Cálculos'!$E$290=2)*'Cálculos'!$E$101)+'Cálculos'!$E$203)*('Cálculos'!$E$226+'Cálculos'!$E$124*(1+2.78*('Cálculos'!$E$197+(($B$168)-$A155)*'Cálculos'!$E$98)/(('Cálculos'!$E$197+(($B$168)-$A155)*'Cálculos'!$E$98)+1400)+'Cálculos'!$E$122)*'Cálculos'!$E$231+'Cálculos'!$E$125*(1+2.78*('Cálculos'!$E$197+(($B$168)-$A155)*'Cálculos'!$E$98)/(('Cálculos'!$E$197+(($B$168)-$A155)*'Cálculos'!$E$98)+1400)+'Cálculos'!$E$123)*'Cálculos'!$E$236)+('Cálculos'!$E$204*(1+'Cálculos'!$E$205+$A155*('Cálculos'!$E$290=3)*'Cálculos'!$E$103)+'Cálculos'!$E$206)*('Cálculos'!$E$227+'Cálculos'!$E$124*(1+2.78*('Cálculos'!$E$197+(($B$168)-$A155)*'Cálculos'!$E$98)/(('Cálculos'!$E$197+(($B$168)-$A155)*'Cálculos'!$E$98)+1400)+'Cálculos'!$E$122)*'Cálculos'!$E$232+'Cálculos'!$E$125*(1+2.78*('Cálculos'!$E$197+(($B$168)-$A155)*'Cálculos'!$E$98)/(('Cálculos'!$E$197+(($B$168)-$A155)*'Cálculos'!$E$98)+1400)+'Cálculos'!$E$123)*'Cálculos'!$E$237)+('Cálculos'!$E$185*(1+'Cálculos'!$E$188+$A155*('Cálculos'!$E$290=1)*'Cálculos'!$E$97+'Cálculos'!$E$305)+'Cálculos'!$E$193)*('Cálculos'!$E$239+'Cálculos'!$E$124*(1+2.78*('Cálculos'!$E$198+(($B$168)-$A155)*'Cálculos'!$E$98)/(('Cálculos'!$E$198+(($B$168)-$A155)*'Cálculos'!$E$98)+1400)+'Cálculos'!$E$122)*'Cálculos'!$E$244+'Cálculos'!$E$125*(1+2.78*('Cálculos'!$E$198+(($B$168)-$A155)*'Cálculos'!$E$98)/(('Cálculos'!$E$198+(($B$168)-$A155)*'Cálculos'!$E$98)+1400)+'Cálculos'!$E$123)*'Cálculos'!$E$249)+('Cálculos'!$E$198+(($B$168)-$A155)*'Cálculos'!$E$98)*('Cálculos'!$E$240+'Cálculos'!$E$124*(1+2.78*('Cálculos'!$E$198+(($B$168)-$A155)*'Cálculos'!$E$98)/(('Cálculos'!$E$198+(($B$168)-$A155)*'Cálculos'!$E$98)+1400)+'Cálculos'!$E$122)*'Cálculos'!$E$245+'Cálculos'!$E$125*(1+2.78*('Cálculos'!$E$198+(($B$168)-$A155)*'Cálculos'!$E$98)/(('Cálculos'!$E$198+(($B$168)-$A155)*'Cálculos'!$E$98)+1400)+'Cálculos'!$E$123)*'Cálculos'!$E$250)+('Cálculos'!$E$201*(1+'Cálculos'!$E$202+$A155*('Cálculos'!$E$290=2)*'Cálculos'!$E$101)+'Cálculos'!$E$203)*('Cálculos'!$E$241+'Cálculos'!$E$124*(1+2.78*('Cálculos'!$E$198+(($B$168)-$A155)*'Cálculos'!$E$98)/(('Cálculos'!$E$198+(($B$168)-$A155)*'Cálculos'!$E$98)+1400)+'Cálculos'!$E$122)*'Cálculos'!$E$246+'Cálculos'!$E$125*(1+2.78*('Cálculos'!$E$198+(($B$168)-$A155)*'Cálculos'!$E$98)/(('Cálculos'!$E$198+(($B$168)-$A155)*'Cálculos'!$E$98)+1400)+'Cálculos'!$E$123)*'Cálculos'!$E$251)+('Cálculos'!$E$204*(1+'Cálculos'!$E$205+$A155*('Cálculos'!$E$290=3)*'Cálculos'!$E$103)+'Cálculos'!$E$206)*('Cálculos'!$E$242+'Cálculos'!$E$124*(1+2.78*('Cálculos'!$E$198+(($B$168)-$A155)*'Cálculos'!$E$98)/(('Cálculos'!$E$198+(($B$168)-$A155)*'Cálculos'!$E$98)+1400)+'Cálculos'!$E$122)*'Cálculos'!$E$247+'Cálculos'!$E$125*(1+2.78*('Cálculos'!$E$198+(($B$168)-$A155)*'Cálculos'!$E$98)/(('Cálculos'!$E$198+(($B$168)-$A155)*'Cálculos'!$E$98)+1400)+'Cálculos'!$E$123)*'Cálculos'!$E$252)+('Cálculos'!$E$185*(1+'Cálculos'!$E$189+$A155*('Cálculos'!$E$290=1)*'Cálculos'!$E$97+'Cálculos'!$E$305)+'Cálculos'!$E$194)*('Cálculos'!$E$254+'Cálculos'!$E$124*(1+2.78*('Cálculos'!$E$199+(($B$168)-$A155)*'Cálculos'!$E$98)/(('Cálculos'!$E$199+(($B$168)-$A155)*'Cálculos'!$E$98)+1400)+'Cálculos'!$E$122)*'Cálculos'!$E$259+'Cálculos'!$E$125*(1+2.78*('Cálculos'!$E$199+(($B$168)-$A155)*'Cálculos'!$E$98)/(('Cálculos'!$E$199+(($B$168)-$A155)*'Cálculos'!$E$98)+1400)+'Cálculos'!$E$123)*'Cálculos'!$E$264)+('Cálculos'!$E$199+(($B$168)-$A155)*'Cálculos'!$E$98)*('Cálculos'!$E$255+'Cálculos'!$E$124*(1+2.78*('Cálculos'!$E$199+(($B$168)-$A155)*'Cálculos'!$E$98)/(('Cálculos'!$E$199+(($B$168)-$A155)*'Cálculos'!$E$98)+1400)+'Cálculos'!$E$122)*'Cálculos'!$E$260+'Cálculos'!$E$125*(1+2.78*('Cálculos'!$E$199+(($B$168)-$A155)*'Cálculos'!$E$98)/(('Cálculos'!$E$199+(($B$168)-$A155)*'Cálculos'!$E$98)+1400)+'Cálculos'!$E$123)*'Cálculos'!$E$265)+('Cálculos'!$E$201*(1+'Cálculos'!$E$202+$A155*('Cálculos'!$E$290=2)*'Cálculos'!$E$101)+'Cálculos'!$E$203)*('Cálculos'!$E$256+'Cálculos'!$E$124*(1+2.78*('Cálculos'!$E$199+(($B$168)-$A155)*'Cálculos'!$E$98)/(('Cálculos'!$E$199+(($B$168)-$A155)*'Cálculos'!$E$98)+1400)+'Cálculos'!$E$122)*'Cálculos'!$E$261+'Cálculos'!$E$125*(1+2.78*('Cálculos'!$E$199+(($B$168)-$A155)*'Cálculos'!$E$98)/(('Cálculos'!$E$199+(($B$168)-$A155)*'Cálculos'!$E$98)+1400)+'Cálculos'!$E$123)*'Cálculos'!$E$266)+('Cálculos'!$E$204*(1+'Cálculos'!$E$205+$A155*('Cálculos'!$E$290=3)*'Cálculos'!$E$103)+'Cálculos'!$E$206)*('Cálculos'!$E$257+'Cálculos'!$E$124*(1+2.78*('Cálculos'!$E$199+(($B$168)-$A155)*'Cálculos'!$E$98)/(('Cálculos'!$E$199+(($B$168)-$A155)*'Cálculos'!$E$98)+1400)+'Cálculos'!$E$122)*'Cálculos'!$E$262+'Cálculos'!$E$125*(1+2.78*('Cálculos'!$E$199+(($B$168)-$A155)*'Cálculos'!$E$98)/(('Cálculos'!$E$199+(($B$168)-$A155)*'Cálculos'!$E$98)+1400)+'Cálculos'!$E$123)*'Cálculos'!$E$267)+('Cálculos'!$E$185*(1+'Cálculos'!$E$190+$A155*('Cálculos'!$E$290=1)*'Cálculos'!$E$97+'Cálculos'!$E$305)+'Cálculos'!$E$195)*('Cálculos'!$E$269+'Cálculos'!$E$124*(1+2.78*('Cálculos'!$E$200+(($B$168)-$A155)*'Cálculos'!$E$98)/(('Cálculos'!$E$200+(($B$168)-$A155)*'Cálculos'!$E$98)+1400)+'Cálculos'!$E$122)*'Cálculos'!$E$274+'Cálculos'!$E$125*(1+2.78*('Cálculos'!$E$200+(($B$168)-$A155)*'Cálculos'!$E$98)/(('Cálculos'!$E$200+(($B$168)-$A155)*'Cálculos'!$E$98)+1400)+'Cálculos'!$E$123)*'Cálculos'!$E$279)+('Cálculos'!$E$200+(($B$168)-$A155)*'Cálculos'!$E$98)*('Cálculos'!$E$270+'Cálculos'!$E$124*(1+2.78*('Cálculos'!$E$200+(($B$168)-$A155)*'Cálculos'!$E$98)/(('Cálculos'!$E$200+(($B$168)-$A155)*'Cálculos'!$E$98)+1400)+'Cálculos'!$E$122)*'Cálculos'!$E$275+'Cálculos'!$E$125*(1+2.78*('Cálculos'!$E$200+(($B$168)-$A155)*'Cálculos'!$E$98)/(('Cálculos'!$E$200+(($B$168)-$A155)*'Cálculos'!$E$98)+1400)+'Cálculos'!$E$123)*'Cálculos'!$E$280)+('Cálculos'!$E$201*(1+'Cálculos'!$E$202+$A155*('Cálculos'!$E$290=2)*'Cálculos'!$E$101)+'Cálculos'!$E$203)*('Cálculos'!$E$271+'Cálculos'!$E$124*(1+2.78*('Cálculos'!$E$200+(($B$168)-$A155)*'Cálculos'!$E$98)/(('Cálculos'!$E$200+(($B$168)-$A155)*'Cálculos'!$E$98)+1400)+'Cálculos'!$E$122)*'Cálculos'!$E$276+'Cálculos'!$E$125*(1+2.78*('Cálculos'!$E$200+(($B$168)-$A155)*'Cálculos'!$E$98)/(('Cálculos'!$E$200+(($B$168)-$A155)*'Cálculos'!$E$98)+1400)+'Cálculos'!$E$123)*'Cálculos'!$E$281)+('Cálculos'!$E$204*(1+'Cálculos'!$E$205+$A155*('Cálculos'!$E$290=3)*'Cálculos'!$E$103)+'Cálculos'!$E$206)*('Cálculos'!$E$272+'Cálculos'!$E$124*(1+2.78*('Cálculos'!$E$200+(($B$168)-$A155)*'Cálculos'!$E$98)/(('Cálculos'!$E$200+(($B$168)-$A155)*'Cálculos'!$E$98)+1400)+'Cálculos'!$E$122)*'Cálculos'!$E$277+'Cálculos'!$E$125*(1+2.78*('Cálculos'!$E$200+(($B$168)-$A155)*'Cálculos'!$E$98)/(('Cálculos'!$E$200+(($B$168)-$A155)*'Cálculos'!$E$98)+1400)+'Cálculos'!$E$123)*'Cálculos'!$E$282)))</f>
        <v>0</v>
      </c>
    </row>
    <row r="156" ht="15.75" customHeight="1">
      <c r="A156" s="2">
        <v>36.0</v>
      </c>
      <c r="B156" s="30">
        <f>SUMPRODUCT(MAX(($A$120:$A$165&lt;=$A156)*($A$120:$A$165&lt;='Cálculos'!$E$294)*(($A156)-$A$120:$A$165&lt;='Cálculos'!$E$295)*(1+(('Cálculos'!$E$207+$A$120:$A$165*'Cálculos'!$E$95)-(('Cálculos'!$E$207+$A$120:$A$165*'Cálculos'!$E$95)&gt;1)*(('Cálculos'!$E$207+$A$120:$A$165*'Cálculos'!$E$95)-1))*('Cálculos'!$E$208+(($A156)-$A$120:$A$165)*'Cálculos'!$E$96))))</f>
        <v>2.86416</v>
      </c>
      <c r="C156" s="2">
        <f>'Cálculos'!$E$303-$A156</f>
        <v>-23</v>
      </c>
      <c r="D156" s="31">
        <f>IF($C156&lt;0,0,SUMPRODUCT(MAX(($A$120:$A$165&lt;=$C156)*($A$120:$A$165&lt;='Cálculos'!$E$301)*(($C156)-$A$120:$A$165&lt;='Cálculos'!$E$297)*(('Cálculos'!$E$185*(1+'Cálculos'!$E$186+$A$120:$A$165*('Cálculos'!$E$290=1)*'Cálculos'!$E$97+'Cálculos'!$E$305)+'Cálculos'!$E$191)*('Cálculos'!$E$209+'Cálculos'!$E$124*(1+2.78*('Cálculos'!$E$196+(($C156)-$A$120:$A$165)*'Cálculos'!$E$98)/(('Cálculos'!$E$196+(($C156)-$A$120:$A$165)*'Cálculos'!$E$98)+1400)+'Cálculos'!$E$122)*'Cálculos'!$E$214+'Cálculos'!$E$125*(1+2.78*('Cálculos'!$E$196+(($C156)-$A$120:$A$165)*'Cálculos'!$E$98)/(('Cálculos'!$E$196+(($C156)-$A$120:$A$165)*'Cálculos'!$E$98)+1400)+'Cálculos'!$E$123)*'Cálculos'!$E$219)+('Cálculos'!$E$196+(($C156)-$A$120:$A$165)*'Cálculos'!$E$98)*('Cálculos'!$E$210+'Cálculos'!$E$124*(1+2.78*('Cálculos'!$E$196+(($C156)-$A$120:$A$165)*'Cálculos'!$E$98)/(('Cálculos'!$E$196+(($C156)-$A$120:$A$165)*'Cálculos'!$E$98)+1400)+'Cálculos'!$E$122)*'Cálculos'!$E$215+'Cálculos'!$E$125*(1+2.78*('Cálculos'!$E$196+(($C156)-$A$120:$A$165)*'Cálculos'!$E$98)/(('Cálculos'!$E$196+(($C156)-$A$120:$A$165)*'Cálculos'!$E$98)+1400)+'Cálculos'!$E$123)*'Cálculos'!$E$220)+('Cálculos'!$E$201*(1+'Cálculos'!$E$202+$A$120:$A$165*('Cálculos'!$E$290=2)*'Cálculos'!$E$101)+'Cálculos'!$E$203)*('Cálculos'!$E$211+'Cálculos'!$E$124*(1+2.78*('Cálculos'!$E$196+(($C156)-$A$120:$A$165)*'Cálculos'!$E$98)/(('Cálculos'!$E$196+(($C156)-$A$120:$A$165)*'Cálculos'!$E$98)+1400)+'Cálculos'!$E$122)*'Cálculos'!$E$216+'Cálculos'!$E$125*(1+2.78*('Cálculos'!$E$196+(($C156)-$A$120:$A$165)*'Cálculos'!$E$98)/(('Cálculos'!$E$196+(($C156)-$A$120:$A$165)*'Cálculos'!$E$98)+1400)+'Cálculos'!$E$123)*'Cálculos'!$E$221)+('Cálculos'!$E$204*(1+'Cálculos'!$E$205+$A$120:$A$165*('Cálculos'!$E$290=3)*'Cálculos'!$E$103)+'Cálculos'!$E$206)*('Cálculos'!$E$212+'Cálculos'!$E$124*(1+2.78*('Cálculos'!$E$196+(($C156)-$A$120:$A$165)*'Cálculos'!$E$98)/(('Cálculos'!$E$196+(($C156)-$A$120:$A$165)*'Cálculos'!$E$98)+1400)+'Cálculos'!$E$122)*'Cálculos'!$E$217+'Cálculos'!$E$125*(1+2.78*('Cálculos'!$E$196+(($C156)-$A$120:$A$165)*'Cálculos'!$E$98)/(('Cálculos'!$E$196+(($C156)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156)-$A$120:$A$165)*'Cálculos'!$E$98)/(('Cálculos'!$E$197+(($C156)-$A$120:$A$165)*'Cálculos'!$E$98)+1400)+'Cálculos'!$E$122)*'Cálculos'!$E$229+'Cálculos'!$E$125*(1+2.78*('Cálculos'!$E$197+(($C156)-$A$120:$A$165)*'Cálculos'!$E$98)/(('Cálculos'!$E$197+(($C156)-$A$120:$A$165)*'Cálculos'!$E$98)+1400)+'Cálculos'!$E$123)*'Cálculos'!$E$234)+('Cálculos'!$E$197+(($C156)-$A$120:$A$165)*'Cálculos'!$E$98)*('Cálculos'!$E$225+'Cálculos'!$E$124*(1+2.78*('Cálculos'!$E$197+(($C156)-$A$120:$A$165)*'Cálculos'!$E$98)/(('Cálculos'!$E$197+(($C156)-$A$120:$A$165)*'Cálculos'!$E$98)+1400)+'Cálculos'!$E$122)*'Cálculos'!$E$230+'Cálculos'!$E$125*(1+2.78*('Cálculos'!$E$197+(($C156)-$A$120:$A$165)*'Cálculos'!$E$98)/(('Cálculos'!$E$197+(($C156)-$A$120:$A$165)*'Cálculos'!$E$98)+1400)+'Cálculos'!$E$123)*'Cálculos'!$E$235)+('Cálculos'!$E$201*(1+'Cálculos'!$E$202+$A$120:$A$165*('Cálculos'!$E$290=2)*'Cálculos'!$E$101)+'Cálculos'!$E$203)*('Cálculos'!$E$226+'Cálculos'!$E$124*(1+2.78*('Cálculos'!$E$197+(($C156)-$A$120:$A$165)*'Cálculos'!$E$98)/(('Cálculos'!$E$197+(($C156)-$A$120:$A$165)*'Cálculos'!$E$98)+1400)+'Cálculos'!$E$122)*'Cálculos'!$E$231+'Cálculos'!$E$125*(1+2.78*('Cálculos'!$E$197+(($C156)-$A$120:$A$165)*'Cálculos'!$E$98)/(('Cálculos'!$E$197+(($C156)-$A$120:$A$165)*'Cálculos'!$E$98)+1400)+'Cálculos'!$E$123)*'Cálculos'!$E$236)+('Cálculos'!$E$204*(1+'Cálculos'!$E$205+$A$120:$A$165*('Cálculos'!$E$290=3)*'Cálculos'!$E$103)+'Cálculos'!$E$206)*('Cálculos'!$E$227+'Cálculos'!$E$124*(1+2.78*('Cálculos'!$E$197+(($C156)-$A$120:$A$165)*'Cálculos'!$E$98)/(('Cálculos'!$E$197+(($C156)-$A$120:$A$165)*'Cálculos'!$E$98)+1400)+'Cálculos'!$E$122)*'Cálculos'!$E$232+'Cálculos'!$E$125*(1+2.78*('Cálculos'!$E$197+(($C156)-$A$120:$A$165)*'Cálculos'!$E$98)/(('Cálculos'!$E$197+(($C156)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156)-$A$120:$A$165)*'Cálculos'!$E$98)/(('Cálculos'!$E$198+(($C156)-$A$120:$A$165)*'Cálculos'!$E$98)+1400)+'Cálculos'!$E$122)*'Cálculos'!$E$244+'Cálculos'!$E$125*(1+2.78*('Cálculos'!$E$198+(($C156)-$A$120:$A$165)*'Cálculos'!$E$98)/(('Cálculos'!$E$198+(($C156)-$A$120:$A$165)*'Cálculos'!$E$98)+1400)+'Cálculos'!$E$123)*'Cálculos'!$E$249)+('Cálculos'!$E$198+(($C156)-$A$120:$A$165)*'Cálculos'!$E$98)*('Cálculos'!$E$240+'Cálculos'!$E$124*(1+2.78*('Cálculos'!$E$198+(($C156)-$A$120:$A$165)*'Cálculos'!$E$98)/(('Cálculos'!$E$198+(($C156)-$A$120:$A$165)*'Cálculos'!$E$98)+1400)+'Cálculos'!$E$122)*'Cálculos'!$E$245+'Cálculos'!$E$125*(1+2.78*('Cálculos'!$E$198+(($C156)-$A$120:$A$165)*'Cálculos'!$E$98)/(('Cálculos'!$E$198+(($C156)-$A$120:$A$165)*'Cálculos'!$E$98)+1400)+'Cálculos'!$E$123)*'Cálculos'!$E$250)+('Cálculos'!$E$201*(1+'Cálculos'!$E$202+$A$120:$A$165*('Cálculos'!$E$290=2)*'Cálculos'!$E$101)+'Cálculos'!$E$203)*('Cálculos'!$E$241+'Cálculos'!$E$124*(1+2.78*('Cálculos'!$E$198+(($C156)-$A$120:$A$165)*'Cálculos'!$E$98)/(('Cálculos'!$E$198+(($C156)-$A$120:$A$165)*'Cálculos'!$E$98)+1400)+'Cálculos'!$E$122)*'Cálculos'!$E$246+'Cálculos'!$E$125*(1+2.78*('Cálculos'!$E$198+(($C156)-$A$120:$A$165)*'Cálculos'!$E$98)/(('Cálculos'!$E$198+(($C156)-$A$120:$A$165)*'Cálculos'!$E$98)+1400)+'Cálculos'!$E$123)*'Cálculos'!$E$251)+('Cálculos'!$E$204*(1+'Cálculos'!$E$205+$A$120:$A$165*('Cálculos'!$E$290=3)*'Cálculos'!$E$103)+'Cálculos'!$E$206)*('Cálculos'!$E$242+'Cálculos'!$E$124*(1+2.78*('Cálculos'!$E$198+(($C156)-$A$120:$A$165)*'Cálculos'!$E$98)/(('Cálculos'!$E$198+(($C156)-$A$120:$A$165)*'Cálculos'!$E$98)+1400)+'Cálculos'!$E$122)*'Cálculos'!$E$247+'Cálculos'!$E$125*(1+2.78*('Cálculos'!$E$198+(($C156)-$A$120:$A$165)*'Cálculos'!$E$98)/(('Cálculos'!$E$198+(($C156)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156)-$A$120:$A$165)*'Cálculos'!$E$98)/(('Cálculos'!$E$199+(($C156)-$A$120:$A$165)*'Cálculos'!$E$98)+1400)+'Cálculos'!$E$122)*'Cálculos'!$E$259+'Cálculos'!$E$125*(1+2.78*('Cálculos'!$E$199+(($C156)-$A$120:$A$165)*'Cálculos'!$E$98)/(('Cálculos'!$E$199+(($C156)-$A$120:$A$165)*'Cálculos'!$E$98)+1400)+'Cálculos'!$E$123)*'Cálculos'!$E$264)+('Cálculos'!$E$199+(($C156)-$A$120:$A$165)*'Cálculos'!$E$98)*('Cálculos'!$E$255+'Cálculos'!$E$124*(1+2.78*('Cálculos'!$E$199+(($C156)-$A$120:$A$165)*'Cálculos'!$E$98)/(('Cálculos'!$E$199+(($C156)-$A$120:$A$165)*'Cálculos'!$E$98)+1400)+'Cálculos'!$E$122)*'Cálculos'!$E$260+'Cálculos'!$E$125*(1+2.78*('Cálculos'!$E$199+(($C156)-$A$120:$A$165)*'Cálculos'!$E$98)/(('Cálculos'!$E$199+(($C156)-$A$120:$A$165)*'Cálculos'!$E$98)+1400)+'Cálculos'!$E$123)*'Cálculos'!$E$265)+('Cálculos'!$E$201*(1+'Cálculos'!$E$202+$A$120:$A$165*('Cálculos'!$E$290=2)*'Cálculos'!$E$101)+'Cálculos'!$E$203)*('Cálculos'!$E$256+'Cálculos'!$E$124*(1+2.78*('Cálculos'!$E$199+(($C156)-$A$120:$A$165)*'Cálculos'!$E$98)/(('Cálculos'!$E$199+(($C156)-$A$120:$A$165)*'Cálculos'!$E$98)+1400)+'Cálculos'!$E$122)*'Cálculos'!$E$261+'Cálculos'!$E$125*(1+2.78*('Cálculos'!$E$199+(($C156)-$A$120:$A$165)*'Cálculos'!$E$98)/(('Cálculos'!$E$199+(($C156)-$A$120:$A$165)*'Cálculos'!$E$98)+1400)+'Cálculos'!$E$123)*'Cálculos'!$E$266)+('Cálculos'!$E$204*(1+'Cálculos'!$E$205+$A$120:$A$165*('Cálculos'!$E$290=3)*'Cálculos'!$E$103)+'Cálculos'!$E$206)*('Cálculos'!$E$257+'Cálculos'!$E$124*(1+2.78*('Cálculos'!$E$199+(($C156)-$A$120:$A$165)*'Cálculos'!$E$98)/(('Cálculos'!$E$199+(($C156)-$A$120:$A$165)*'Cálculos'!$E$98)+1400)+'Cálculos'!$E$122)*'Cálculos'!$E$262+'Cálculos'!$E$125*(1+2.78*('Cálculos'!$E$199+(($C156)-$A$120:$A$165)*'Cálculos'!$E$98)/(('Cálculos'!$E$199+(($C156)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156)-$A$120:$A$165)*'Cálculos'!$E$98)/(('Cálculos'!$E$200+(($C156)-$A$120:$A$165)*'Cálculos'!$E$98)+1400)+'Cálculos'!$E$122)*'Cálculos'!$E$274+'Cálculos'!$E$125*(1+2.78*('Cálculos'!$E$200+(($C156)-$A$120:$A$165)*'Cálculos'!$E$98)/(('Cálculos'!$E$200+(($C156)-$A$120:$A$165)*'Cálculos'!$E$98)+1400)+'Cálculos'!$E$123)*'Cálculos'!$E$279)+('Cálculos'!$E$200+(($C156)-$A$120:$A$165)*'Cálculos'!$E$98)*('Cálculos'!$E$270+'Cálculos'!$E$124*(1+2.78*('Cálculos'!$E$200+(($C156)-$A$120:$A$165)*'Cálculos'!$E$98)/(('Cálculos'!$E$200+(($C156)-$A$120:$A$165)*'Cálculos'!$E$98)+1400)+'Cálculos'!$E$122)*'Cálculos'!$E$275+'Cálculos'!$E$125*(1+2.78*('Cálculos'!$E$200+(($C156)-$A$120:$A$165)*'Cálculos'!$E$98)/(('Cálculos'!$E$200+(($C156)-$A$120:$A$165)*'Cálculos'!$E$98)+1400)+'Cálculos'!$E$123)*'Cálculos'!$E$280)+('Cálculos'!$E$201*(1+'Cálculos'!$E$202+$A$120:$A$165*('Cálculos'!$E$290=2)*'Cálculos'!$E$101)+'Cálculos'!$E$203)*('Cálculos'!$E$271+'Cálculos'!$E$124*(1+2.78*('Cálculos'!$E$200+(($C156)-$A$120:$A$165)*'Cálculos'!$E$98)/(('Cálculos'!$E$200+(($C156)-$A$120:$A$165)*'Cálculos'!$E$98)+1400)+'Cálculos'!$E$122)*'Cálculos'!$E$276+'Cálculos'!$E$125*(1+2.78*('Cálculos'!$E$200+(($C156)-$A$120:$A$165)*'Cálculos'!$E$98)/(('Cálculos'!$E$200+(($C156)-$A$120:$A$165)*'Cálculos'!$E$98)+1400)+'Cálculos'!$E$123)*'Cálculos'!$E$281)+('Cálculos'!$E$204*(1+'Cálculos'!$E$205+$A$120:$A$165*('Cálculos'!$E$290=3)*'Cálculos'!$E$103)+'Cálculos'!$E$206)*('Cálculos'!$E$272+'Cálculos'!$E$124*(1+2.78*('Cálculos'!$E$200+(($C156)-$A$120:$A$165)*'Cálculos'!$E$98)/(('Cálculos'!$E$200+(($C156)-$A$120:$A$165)*'Cálculos'!$E$98)+1400)+'Cálculos'!$E$122)*'Cálculos'!$E$277+'Cálculos'!$E$125*(1+2.78*('Cálculos'!$E$200+(($C156)-$A$120:$A$165)*'Cálculos'!$E$98)/(('Cálculos'!$E$200+(($C156)-$A$120:$A$165)*'Cálculos'!$E$98)+1400)+'Cálculos'!$E$123)*'Cálculos'!$E$282)))))</f>
        <v>0</v>
      </c>
      <c r="E156" s="32">
        <f>IF(OR($C156&lt;0,'Cálculos'!$E$6=""),0,$B156*$D156)</f>
        <v>0</v>
      </c>
      <c r="F156" s="2"/>
      <c r="G156" s="30">
        <f>($A156&lt;=$B$167)*($A156&lt;='Cálculos'!$E$294)*(($B$167)-$A156&lt;='Cálculos'!$E$295)*(1+MIN(('Cálculos'!$E$207+$A156*'Cálculos'!$E$95),1)*('Cálculos'!$E$208+(($B$167)-$A156)*'Cálculos'!$E$96))</f>
        <v>0</v>
      </c>
      <c r="H156" s="31">
        <f>IF($B$168&lt;0,0,($A156&lt;=$B$168)*($A156&lt;='Cálculos'!$E$301)*(($B$168)-$A156&lt;='Cálculos'!$E$297)*(('Cálculos'!$E$185*(1+'Cálculos'!$E$186+$A156*('Cálculos'!$E$290=1)*'Cálculos'!$E$97+'Cálculos'!$E$305)+'Cálculos'!$E$191)*('Cálculos'!$E$209+'Cálculos'!$E$124*(1+2.78*('Cálculos'!$E$196+(($B$168)-$A156)*'Cálculos'!$E$98)/(('Cálculos'!$E$196+(($B$168)-$A156)*'Cálculos'!$E$98)+1400)+'Cálculos'!$E$122)*'Cálculos'!$E$214+'Cálculos'!$E$125*(1+2.78*('Cálculos'!$E$196+(($B$168)-$A156)*'Cálculos'!$E$98)/(('Cálculos'!$E$196+(($B$168)-$A156)*'Cálculos'!$E$98)+1400)+'Cálculos'!$E$123)*'Cálculos'!$E$219)+('Cálculos'!$E$196+(($B$168)-$A156)*'Cálculos'!$E$98)*('Cálculos'!$E$210+'Cálculos'!$E$124*(1+2.78*('Cálculos'!$E$196+(($B$168)-$A156)*'Cálculos'!$E$98)/(('Cálculos'!$E$196+(($B$168)-$A156)*'Cálculos'!$E$98)+1400)+'Cálculos'!$E$122)*'Cálculos'!$E$215+'Cálculos'!$E$125*(1+2.78*('Cálculos'!$E$196+(($B$168)-$A156)*'Cálculos'!$E$98)/(('Cálculos'!$E$196+(($B$168)-$A156)*'Cálculos'!$E$98)+1400)+'Cálculos'!$E$123)*'Cálculos'!$E$220)+('Cálculos'!$E$201*(1+'Cálculos'!$E$202+$A156*('Cálculos'!$E$290=2)*'Cálculos'!$E$101)+'Cálculos'!$E$203)*('Cálculos'!$E$211+'Cálculos'!$E$124*(1+2.78*('Cálculos'!$E$196+(($B$168)-$A156)*'Cálculos'!$E$98)/(('Cálculos'!$E$196+(($B$168)-$A156)*'Cálculos'!$E$98)+1400)+'Cálculos'!$E$122)*'Cálculos'!$E$216+'Cálculos'!$E$125*(1+2.78*('Cálculos'!$E$196+(($B$168)-$A156)*'Cálculos'!$E$98)/(('Cálculos'!$E$196+(($B$168)-$A156)*'Cálculos'!$E$98)+1400)+'Cálculos'!$E$123)*'Cálculos'!$E$221)+('Cálculos'!$E$204*(1+'Cálculos'!$E$205+$A156*('Cálculos'!$E$290=3)*'Cálculos'!$E$103)+'Cálculos'!$E$206)*('Cálculos'!$E$212+'Cálculos'!$E$124*(1+2.78*('Cálculos'!$E$196+(($B$168)-$A156)*'Cálculos'!$E$98)/(('Cálculos'!$E$196+(($B$168)-$A156)*'Cálculos'!$E$98)+1400)+'Cálculos'!$E$122)*'Cálculos'!$E$217+'Cálculos'!$E$125*(1+2.78*('Cálculos'!$E$196+(($B$168)-$A156)*'Cálculos'!$E$98)/(('Cálculos'!$E$196+(($B$168)-$A156)*'Cálculos'!$E$98)+1400)+'Cálculos'!$E$123)*'Cálculos'!$E$222)+('Cálculos'!$E$185*(1+'Cálculos'!$E$187+$A156*('Cálculos'!$E$290=1)*'Cálculos'!$E$97+'Cálculos'!$E$305)+'Cálculos'!$E$192)*('Cálculos'!$E$224+'Cálculos'!$E$124*(1+2.78*('Cálculos'!$E$197+(($B$168)-$A156)*'Cálculos'!$E$98)/(('Cálculos'!$E$197+(($B$168)-$A156)*'Cálculos'!$E$98)+1400)+'Cálculos'!$E$122)*'Cálculos'!$E$229+'Cálculos'!$E$125*(1+2.78*('Cálculos'!$E$197+(($B$168)-$A156)*'Cálculos'!$E$98)/(('Cálculos'!$E$197+(($B$168)-$A156)*'Cálculos'!$E$98)+1400)+'Cálculos'!$E$123)*'Cálculos'!$E$234)+('Cálculos'!$E$197+(($B$168)-$A156)*'Cálculos'!$E$98)*('Cálculos'!$E$225+'Cálculos'!$E$124*(1+2.78*('Cálculos'!$E$197+(($B$168)-$A156)*'Cálculos'!$E$98)/(('Cálculos'!$E$197+(($B$168)-$A156)*'Cálculos'!$E$98)+1400)+'Cálculos'!$E$122)*'Cálculos'!$E$230+'Cálculos'!$E$125*(1+2.78*('Cálculos'!$E$197+(($B$168)-$A156)*'Cálculos'!$E$98)/(('Cálculos'!$E$197+(($B$168)-$A156)*'Cálculos'!$E$98)+1400)+'Cálculos'!$E$123)*'Cálculos'!$E$235)+('Cálculos'!$E$201*(1+'Cálculos'!$E$202+$A156*('Cálculos'!$E$290=2)*'Cálculos'!$E$101)+'Cálculos'!$E$203)*('Cálculos'!$E$226+'Cálculos'!$E$124*(1+2.78*('Cálculos'!$E$197+(($B$168)-$A156)*'Cálculos'!$E$98)/(('Cálculos'!$E$197+(($B$168)-$A156)*'Cálculos'!$E$98)+1400)+'Cálculos'!$E$122)*'Cálculos'!$E$231+'Cálculos'!$E$125*(1+2.78*('Cálculos'!$E$197+(($B$168)-$A156)*'Cálculos'!$E$98)/(('Cálculos'!$E$197+(($B$168)-$A156)*'Cálculos'!$E$98)+1400)+'Cálculos'!$E$123)*'Cálculos'!$E$236)+('Cálculos'!$E$204*(1+'Cálculos'!$E$205+$A156*('Cálculos'!$E$290=3)*'Cálculos'!$E$103)+'Cálculos'!$E$206)*('Cálculos'!$E$227+'Cálculos'!$E$124*(1+2.78*('Cálculos'!$E$197+(($B$168)-$A156)*'Cálculos'!$E$98)/(('Cálculos'!$E$197+(($B$168)-$A156)*'Cálculos'!$E$98)+1400)+'Cálculos'!$E$122)*'Cálculos'!$E$232+'Cálculos'!$E$125*(1+2.78*('Cálculos'!$E$197+(($B$168)-$A156)*'Cálculos'!$E$98)/(('Cálculos'!$E$197+(($B$168)-$A156)*'Cálculos'!$E$98)+1400)+'Cálculos'!$E$123)*'Cálculos'!$E$237)+('Cálculos'!$E$185*(1+'Cálculos'!$E$188+$A156*('Cálculos'!$E$290=1)*'Cálculos'!$E$97+'Cálculos'!$E$305)+'Cálculos'!$E$193)*('Cálculos'!$E$239+'Cálculos'!$E$124*(1+2.78*('Cálculos'!$E$198+(($B$168)-$A156)*'Cálculos'!$E$98)/(('Cálculos'!$E$198+(($B$168)-$A156)*'Cálculos'!$E$98)+1400)+'Cálculos'!$E$122)*'Cálculos'!$E$244+'Cálculos'!$E$125*(1+2.78*('Cálculos'!$E$198+(($B$168)-$A156)*'Cálculos'!$E$98)/(('Cálculos'!$E$198+(($B$168)-$A156)*'Cálculos'!$E$98)+1400)+'Cálculos'!$E$123)*'Cálculos'!$E$249)+('Cálculos'!$E$198+(($B$168)-$A156)*'Cálculos'!$E$98)*('Cálculos'!$E$240+'Cálculos'!$E$124*(1+2.78*('Cálculos'!$E$198+(($B$168)-$A156)*'Cálculos'!$E$98)/(('Cálculos'!$E$198+(($B$168)-$A156)*'Cálculos'!$E$98)+1400)+'Cálculos'!$E$122)*'Cálculos'!$E$245+'Cálculos'!$E$125*(1+2.78*('Cálculos'!$E$198+(($B$168)-$A156)*'Cálculos'!$E$98)/(('Cálculos'!$E$198+(($B$168)-$A156)*'Cálculos'!$E$98)+1400)+'Cálculos'!$E$123)*'Cálculos'!$E$250)+('Cálculos'!$E$201*(1+'Cálculos'!$E$202+$A156*('Cálculos'!$E$290=2)*'Cálculos'!$E$101)+'Cálculos'!$E$203)*('Cálculos'!$E$241+'Cálculos'!$E$124*(1+2.78*('Cálculos'!$E$198+(($B$168)-$A156)*'Cálculos'!$E$98)/(('Cálculos'!$E$198+(($B$168)-$A156)*'Cálculos'!$E$98)+1400)+'Cálculos'!$E$122)*'Cálculos'!$E$246+'Cálculos'!$E$125*(1+2.78*('Cálculos'!$E$198+(($B$168)-$A156)*'Cálculos'!$E$98)/(('Cálculos'!$E$198+(($B$168)-$A156)*'Cálculos'!$E$98)+1400)+'Cálculos'!$E$123)*'Cálculos'!$E$251)+('Cálculos'!$E$204*(1+'Cálculos'!$E$205+$A156*('Cálculos'!$E$290=3)*'Cálculos'!$E$103)+'Cálculos'!$E$206)*('Cálculos'!$E$242+'Cálculos'!$E$124*(1+2.78*('Cálculos'!$E$198+(($B$168)-$A156)*'Cálculos'!$E$98)/(('Cálculos'!$E$198+(($B$168)-$A156)*'Cálculos'!$E$98)+1400)+'Cálculos'!$E$122)*'Cálculos'!$E$247+'Cálculos'!$E$125*(1+2.78*('Cálculos'!$E$198+(($B$168)-$A156)*'Cálculos'!$E$98)/(('Cálculos'!$E$198+(($B$168)-$A156)*'Cálculos'!$E$98)+1400)+'Cálculos'!$E$123)*'Cálculos'!$E$252)+('Cálculos'!$E$185*(1+'Cálculos'!$E$189+$A156*('Cálculos'!$E$290=1)*'Cálculos'!$E$97+'Cálculos'!$E$305)+'Cálculos'!$E$194)*('Cálculos'!$E$254+'Cálculos'!$E$124*(1+2.78*('Cálculos'!$E$199+(($B$168)-$A156)*'Cálculos'!$E$98)/(('Cálculos'!$E$199+(($B$168)-$A156)*'Cálculos'!$E$98)+1400)+'Cálculos'!$E$122)*'Cálculos'!$E$259+'Cálculos'!$E$125*(1+2.78*('Cálculos'!$E$199+(($B$168)-$A156)*'Cálculos'!$E$98)/(('Cálculos'!$E$199+(($B$168)-$A156)*'Cálculos'!$E$98)+1400)+'Cálculos'!$E$123)*'Cálculos'!$E$264)+('Cálculos'!$E$199+(($B$168)-$A156)*'Cálculos'!$E$98)*('Cálculos'!$E$255+'Cálculos'!$E$124*(1+2.78*('Cálculos'!$E$199+(($B$168)-$A156)*'Cálculos'!$E$98)/(('Cálculos'!$E$199+(($B$168)-$A156)*'Cálculos'!$E$98)+1400)+'Cálculos'!$E$122)*'Cálculos'!$E$260+'Cálculos'!$E$125*(1+2.78*('Cálculos'!$E$199+(($B$168)-$A156)*'Cálculos'!$E$98)/(('Cálculos'!$E$199+(($B$168)-$A156)*'Cálculos'!$E$98)+1400)+'Cálculos'!$E$123)*'Cálculos'!$E$265)+('Cálculos'!$E$201*(1+'Cálculos'!$E$202+$A156*('Cálculos'!$E$290=2)*'Cálculos'!$E$101)+'Cálculos'!$E$203)*('Cálculos'!$E$256+'Cálculos'!$E$124*(1+2.78*('Cálculos'!$E$199+(($B$168)-$A156)*'Cálculos'!$E$98)/(('Cálculos'!$E$199+(($B$168)-$A156)*'Cálculos'!$E$98)+1400)+'Cálculos'!$E$122)*'Cálculos'!$E$261+'Cálculos'!$E$125*(1+2.78*('Cálculos'!$E$199+(($B$168)-$A156)*'Cálculos'!$E$98)/(('Cálculos'!$E$199+(($B$168)-$A156)*'Cálculos'!$E$98)+1400)+'Cálculos'!$E$123)*'Cálculos'!$E$266)+('Cálculos'!$E$204*(1+'Cálculos'!$E$205+$A156*('Cálculos'!$E$290=3)*'Cálculos'!$E$103)+'Cálculos'!$E$206)*('Cálculos'!$E$257+'Cálculos'!$E$124*(1+2.78*('Cálculos'!$E$199+(($B$168)-$A156)*'Cálculos'!$E$98)/(('Cálculos'!$E$199+(($B$168)-$A156)*'Cálculos'!$E$98)+1400)+'Cálculos'!$E$122)*'Cálculos'!$E$262+'Cálculos'!$E$125*(1+2.78*('Cálculos'!$E$199+(($B$168)-$A156)*'Cálculos'!$E$98)/(('Cálculos'!$E$199+(($B$168)-$A156)*'Cálculos'!$E$98)+1400)+'Cálculos'!$E$123)*'Cálculos'!$E$267)+('Cálculos'!$E$185*(1+'Cálculos'!$E$190+$A156*('Cálculos'!$E$290=1)*'Cálculos'!$E$97+'Cálculos'!$E$305)+'Cálculos'!$E$195)*('Cálculos'!$E$269+'Cálculos'!$E$124*(1+2.78*('Cálculos'!$E$200+(($B$168)-$A156)*'Cálculos'!$E$98)/(('Cálculos'!$E$200+(($B$168)-$A156)*'Cálculos'!$E$98)+1400)+'Cálculos'!$E$122)*'Cálculos'!$E$274+'Cálculos'!$E$125*(1+2.78*('Cálculos'!$E$200+(($B$168)-$A156)*'Cálculos'!$E$98)/(('Cálculos'!$E$200+(($B$168)-$A156)*'Cálculos'!$E$98)+1400)+'Cálculos'!$E$123)*'Cálculos'!$E$279)+('Cálculos'!$E$200+(($B$168)-$A156)*'Cálculos'!$E$98)*('Cálculos'!$E$270+'Cálculos'!$E$124*(1+2.78*('Cálculos'!$E$200+(($B$168)-$A156)*'Cálculos'!$E$98)/(('Cálculos'!$E$200+(($B$168)-$A156)*'Cálculos'!$E$98)+1400)+'Cálculos'!$E$122)*'Cálculos'!$E$275+'Cálculos'!$E$125*(1+2.78*('Cálculos'!$E$200+(($B$168)-$A156)*'Cálculos'!$E$98)/(('Cálculos'!$E$200+(($B$168)-$A156)*'Cálculos'!$E$98)+1400)+'Cálculos'!$E$123)*'Cálculos'!$E$280)+('Cálculos'!$E$201*(1+'Cálculos'!$E$202+$A156*('Cálculos'!$E$290=2)*'Cálculos'!$E$101)+'Cálculos'!$E$203)*('Cálculos'!$E$271+'Cálculos'!$E$124*(1+2.78*('Cálculos'!$E$200+(($B$168)-$A156)*'Cálculos'!$E$98)/(('Cálculos'!$E$200+(($B$168)-$A156)*'Cálculos'!$E$98)+1400)+'Cálculos'!$E$122)*'Cálculos'!$E$276+'Cálculos'!$E$125*(1+2.78*('Cálculos'!$E$200+(($B$168)-$A156)*'Cálculos'!$E$98)/(('Cálculos'!$E$200+(($B$168)-$A156)*'Cálculos'!$E$98)+1400)+'Cálculos'!$E$123)*'Cálculos'!$E$281)+('Cálculos'!$E$204*(1+'Cálculos'!$E$205+$A156*('Cálculos'!$E$290=3)*'Cálculos'!$E$103)+'Cálculos'!$E$206)*('Cálculos'!$E$272+'Cálculos'!$E$124*(1+2.78*('Cálculos'!$E$200+(($B$168)-$A156)*'Cálculos'!$E$98)/(('Cálculos'!$E$200+(($B$168)-$A156)*'Cálculos'!$E$98)+1400)+'Cálculos'!$E$122)*'Cálculos'!$E$277+'Cálculos'!$E$125*(1+2.78*('Cálculos'!$E$200+(($B$168)-$A156)*'Cálculos'!$E$98)/(('Cálculos'!$E$200+(($B$168)-$A156)*'Cálculos'!$E$98)+1400)+'Cálculos'!$E$123)*'Cálculos'!$E$282)))</f>
        <v>0</v>
      </c>
    </row>
    <row r="157" ht="15.75" customHeight="1">
      <c r="A157" s="2">
        <v>37.0</v>
      </c>
      <c r="B157" s="30">
        <f>SUMPRODUCT(MAX(($A$120:$A$165&lt;=$A157)*($A$120:$A$165&lt;='Cálculos'!$E$294)*(($A157)-$A$120:$A$165&lt;='Cálculos'!$E$295)*(1+(('Cálculos'!$E$207+$A$120:$A$165*'Cálculos'!$E$95)-(('Cálculos'!$E$207+$A$120:$A$165*'Cálculos'!$E$95)&gt;1)*(('Cálculos'!$E$207+$A$120:$A$165*'Cálculos'!$E$95)-1))*('Cálculos'!$E$208+(($A157)-$A$120:$A$165)*'Cálculos'!$E$96))))</f>
        <v>2.928576</v>
      </c>
      <c r="C157" s="2">
        <f>'Cálculos'!$E$303-$A157</f>
        <v>-24</v>
      </c>
      <c r="D157" s="31">
        <f>IF($C157&lt;0,0,SUMPRODUCT(MAX(($A$120:$A$165&lt;=$C157)*($A$120:$A$165&lt;='Cálculos'!$E$301)*(($C157)-$A$120:$A$165&lt;='Cálculos'!$E$297)*(('Cálculos'!$E$185*(1+'Cálculos'!$E$186+$A$120:$A$165*('Cálculos'!$E$290=1)*'Cálculos'!$E$97+'Cálculos'!$E$305)+'Cálculos'!$E$191)*('Cálculos'!$E$209+'Cálculos'!$E$124*(1+2.78*('Cálculos'!$E$196+(($C157)-$A$120:$A$165)*'Cálculos'!$E$98)/(('Cálculos'!$E$196+(($C157)-$A$120:$A$165)*'Cálculos'!$E$98)+1400)+'Cálculos'!$E$122)*'Cálculos'!$E$214+'Cálculos'!$E$125*(1+2.78*('Cálculos'!$E$196+(($C157)-$A$120:$A$165)*'Cálculos'!$E$98)/(('Cálculos'!$E$196+(($C157)-$A$120:$A$165)*'Cálculos'!$E$98)+1400)+'Cálculos'!$E$123)*'Cálculos'!$E$219)+('Cálculos'!$E$196+(($C157)-$A$120:$A$165)*'Cálculos'!$E$98)*('Cálculos'!$E$210+'Cálculos'!$E$124*(1+2.78*('Cálculos'!$E$196+(($C157)-$A$120:$A$165)*'Cálculos'!$E$98)/(('Cálculos'!$E$196+(($C157)-$A$120:$A$165)*'Cálculos'!$E$98)+1400)+'Cálculos'!$E$122)*'Cálculos'!$E$215+'Cálculos'!$E$125*(1+2.78*('Cálculos'!$E$196+(($C157)-$A$120:$A$165)*'Cálculos'!$E$98)/(('Cálculos'!$E$196+(($C157)-$A$120:$A$165)*'Cálculos'!$E$98)+1400)+'Cálculos'!$E$123)*'Cálculos'!$E$220)+('Cálculos'!$E$201*(1+'Cálculos'!$E$202+$A$120:$A$165*('Cálculos'!$E$290=2)*'Cálculos'!$E$101)+'Cálculos'!$E$203)*('Cálculos'!$E$211+'Cálculos'!$E$124*(1+2.78*('Cálculos'!$E$196+(($C157)-$A$120:$A$165)*'Cálculos'!$E$98)/(('Cálculos'!$E$196+(($C157)-$A$120:$A$165)*'Cálculos'!$E$98)+1400)+'Cálculos'!$E$122)*'Cálculos'!$E$216+'Cálculos'!$E$125*(1+2.78*('Cálculos'!$E$196+(($C157)-$A$120:$A$165)*'Cálculos'!$E$98)/(('Cálculos'!$E$196+(($C157)-$A$120:$A$165)*'Cálculos'!$E$98)+1400)+'Cálculos'!$E$123)*'Cálculos'!$E$221)+('Cálculos'!$E$204*(1+'Cálculos'!$E$205+$A$120:$A$165*('Cálculos'!$E$290=3)*'Cálculos'!$E$103)+'Cálculos'!$E$206)*('Cálculos'!$E$212+'Cálculos'!$E$124*(1+2.78*('Cálculos'!$E$196+(($C157)-$A$120:$A$165)*'Cálculos'!$E$98)/(('Cálculos'!$E$196+(($C157)-$A$120:$A$165)*'Cálculos'!$E$98)+1400)+'Cálculos'!$E$122)*'Cálculos'!$E$217+'Cálculos'!$E$125*(1+2.78*('Cálculos'!$E$196+(($C157)-$A$120:$A$165)*'Cálculos'!$E$98)/(('Cálculos'!$E$196+(($C157)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157)-$A$120:$A$165)*'Cálculos'!$E$98)/(('Cálculos'!$E$197+(($C157)-$A$120:$A$165)*'Cálculos'!$E$98)+1400)+'Cálculos'!$E$122)*'Cálculos'!$E$229+'Cálculos'!$E$125*(1+2.78*('Cálculos'!$E$197+(($C157)-$A$120:$A$165)*'Cálculos'!$E$98)/(('Cálculos'!$E$197+(($C157)-$A$120:$A$165)*'Cálculos'!$E$98)+1400)+'Cálculos'!$E$123)*'Cálculos'!$E$234)+('Cálculos'!$E$197+(($C157)-$A$120:$A$165)*'Cálculos'!$E$98)*('Cálculos'!$E$225+'Cálculos'!$E$124*(1+2.78*('Cálculos'!$E$197+(($C157)-$A$120:$A$165)*'Cálculos'!$E$98)/(('Cálculos'!$E$197+(($C157)-$A$120:$A$165)*'Cálculos'!$E$98)+1400)+'Cálculos'!$E$122)*'Cálculos'!$E$230+'Cálculos'!$E$125*(1+2.78*('Cálculos'!$E$197+(($C157)-$A$120:$A$165)*'Cálculos'!$E$98)/(('Cálculos'!$E$197+(($C157)-$A$120:$A$165)*'Cálculos'!$E$98)+1400)+'Cálculos'!$E$123)*'Cálculos'!$E$235)+('Cálculos'!$E$201*(1+'Cálculos'!$E$202+$A$120:$A$165*('Cálculos'!$E$290=2)*'Cálculos'!$E$101)+'Cálculos'!$E$203)*('Cálculos'!$E$226+'Cálculos'!$E$124*(1+2.78*('Cálculos'!$E$197+(($C157)-$A$120:$A$165)*'Cálculos'!$E$98)/(('Cálculos'!$E$197+(($C157)-$A$120:$A$165)*'Cálculos'!$E$98)+1400)+'Cálculos'!$E$122)*'Cálculos'!$E$231+'Cálculos'!$E$125*(1+2.78*('Cálculos'!$E$197+(($C157)-$A$120:$A$165)*'Cálculos'!$E$98)/(('Cálculos'!$E$197+(($C157)-$A$120:$A$165)*'Cálculos'!$E$98)+1400)+'Cálculos'!$E$123)*'Cálculos'!$E$236)+('Cálculos'!$E$204*(1+'Cálculos'!$E$205+$A$120:$A$165*('Cálculos'!$E$290=3)*'Cálculos'!$E$103)+'Cálculos'!$E$206)*('Cálculos'!$E$227+'Cálculos'!$E$124*(1+2.78*('Cálculos'!$E$197+(($C157)-$A$120:$A$165)*'Cálculos'!$E$98)/(('Cálculos'!$E$197+(($C157)-$A$120:$A$165)*'Cálculos'!$E$98)+1400)+'Cálculos'!$E$122)*'Cálculos'!$E$232+'Cálculos'!$E$125*(1+2.78*('Cálculos'!$E$197+(($C157)-$A$120:$A$165)*'Cálculos'!$E$98)/(('Cálculos'!$E$197+(($C157)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157)-$A$120:$A$165)*'Cálculos'!$E$98)/(('Cálculos'!$E$198+(($C157)-$A$120:$A$165)*'Cálculos'!$E$98)+1400)+'Cálculos'!$E$122)*'Cálculos'!$E$244+'Cálculos'!$E$125*(1+2.78*('Cálculos'!$E$198+(($C157)-$A$120:$A$165)*'Cálculos'!$E$98)/(('Cálculos'!$E$198+(($C157)-$A$120:$A$165)*'Cálculos'!$E$98)+1400)+'Cálculos'!$E$123)*'Cálculos'!$E$249)+('Cálculos'!$E$198+(($C157)-$A$120:$A$165)*'Cálculos'!$E$98)*('Cálculos'!$E$240+'Cálculos'!$E$124*(1+2.78*('Cálculos'!$E$198+(($C157)-$A$120:$A$165)*'Cálculos'!$E$98)/(('Cálculos'!$E$198+(($C157)-$A$120:$A$165)*'Cálculos'!$E$98)+1400)+'Cálculos'!$E$122)*'Cálculos'!$E$245+'Cálculos'!$E$125*(1+2.78*('Cálculos'!$E$198+(($C157)-$A$120:$A$165)*'Cálculos'!$E$98)/(('Cálculos'!$E$198+(($C157)-$A$120:$A$165)*'Cálculos'!$E$98)+1400)+'Cálculos'!$E$123)*'Cálculos'!$E$250)+('Cálculos'!$E$201*(1+'Cálculos'!$E$202+$A$120:$A$165*('Cálculos'!$E$290=2)*'Cálculos'!$E$101)+'Cálculos'!$E$203)*('Cálculos'!$E$241+'Cálculos'!$E$124*(1+2.78*('Cálculos'!$E$198+(($C157)-$A$120:$A$165)*'Cálculos'!$E$98)/(('Cálculos'!$E$198+(($C157)-$A$120:$A$165)*'Cálculos'!$E$98)+1400)+'Cálculos'!$E$122)*'Cálculos'!$E$246+'Cálculos'!$E$125*(1+2.78*('Cálculos'!$E$198+(($C157)-$A$120:$A$165)*'Cálculos'!$E$98)/(('Cálculos'!$E$198+(($C157)-$A$120:$A$165)*'Cálculos'!$E$98)+1400)+'Cálculos'!$E$123)*'Cálculos'!$E$251)+('Cálculos'!$E$204*(1+'Cálculos'!$E$205+$A$120:$A$165*('Cálculos'!$E$290=3)*'Cálculos'!$E$103)+'Cálculos'!$E$206)*('Cálculos'!$E$242+'Cálculos'!$E$124*(1+2.78*('Cálculos'!$E$198+(($C157)-$A$120:$A$165)*'Cálculos'!$E$98)/(('Cálculos'!$E$198+(($C157)-$A$120:$A$165)*'Cálculos'!$E$98)+1400)+'Cálculos'!$E$122)*'Cálculos'!$E$247+'Cálculos'!$E$125*(1+2.78*('Cálculos'!$E$198+(($C157)-$A$120:$A$165)*'Cálculos'!$E$98)/(('Cálculos'!$E$198+(($C157)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157)-$A$120:$A$165)*'Cálculos'!$E$98)/(('Cálculos'!$E$199+(($C157)-$A$120:$A$165)*'Cálculos'!$E$98)+1400)+'Cálculos'!$E$122)*'Cálculos'!$E$259+'Cálculos'!$E$125*(1+2.78*('Cálculos'!$E$199+(($C157)-$A$120:$A$165)*'Cálculos'!$E$98)/(('Cálculos'!$E$199+(($C157)-$A$120:$A$165)*'Cálculos'!$E$98)+1400)+'Cálculos'!$E$123)*'Cálculos'!$E$264)+('Cálculos'!$E$199+(($C157)-$A$120:$A$165)*'Cálculos'!$E$98)*('Cálculos'!$E$255+'Cálculos'!$E$124*(1+2.78*('Cálculos'!$E$199+(($C157)-$A$120:$A$165)*'Cálculos'!$E$98)/(('Cálculos'!$E$199+(($C157)-$A$120:$A$165)*'Cálculos'!$E$98)+1400)+'Cálculos'!$E$122)*'Cálculos'!$E$260+'Cálculos'!$E$125*(1+2.78*('Cálculos'!$E$199+(($C157)-$A$120:$A$165)*'Cálculos'!$E$98)/(('Cálculos'!$E$199+(($C157)-$A$120:$A$165)*'Cálculos'!$E$98)+1400)+'Cálculos'!$E$123)*'Cálculos'!$E$265)+('Cálculos'!$E$201*(1+'Cálculos'!$E$202+$A$120:$A$165*('Cálculos'!$E$290=2)*'Cálculos'!$E$101)+'Cálculos'!$E$203)*('Cálculos'!$E$256+'Cálculos'!$E$124*(1+2.78*('Cálculos'!$E$199+(($C157)-$A$120:$A$165)*'Cálculos'!$E$98)/(('Cálculos'!$E$199+(($C157)-$A$120:$A$165)*'Cálculos'!$E$98)+1400)+'Cálculos'!$E$122)*'Cálculos'!$E$261+'Cálculos'!$E$125*(1+2.78*('Cálculos'!$E$199+(($C157)-$A$120:$A$165)*'Cálculos'!$E$98)/(('Cálculos'!$E$199+(($C157)-$A$120:$A$165)*'Cálculos'!$E$98)+1400)+'Cálculos'!$E$123)*'Cálculos'!$E$266)+('Cálculos'!$E$204*(1+'Cálculos'!$E$205+$A$120:$A$165*('Cálculos'!$E$290=3)*'Cálculos'!$E$103)+'Cálculos'!$E$206)*('Cálculos'!$E$257+'Cálculos'!$E$124*(1+2.78*('Cálculos'!$E$199+(($C157)-$A$120:$A$165)*'Cálculos'!$E$98)/(('Cálculos'!$E$199+(($C157)-$A$120:$A$165)*'Cálculos'!$E$98)+1400)+'Cálculos'!$E$122)*'Cálculos'!$E$262+'Cálculos'!$E$125*(1+2.78*('Cálculos'!$E$199+(($C157)-$A$120:$A$165)*'Cálculos'!$E$98)/(('Cálculos'!$E$199+(($C157)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157)-$A$120:$A$165)*'Cálculos'!$E$98)/(('Cálculos'!$E$200+(($C157)-$A$120:$A$165)*'Cálculos'!$E$98)+1400)+'Cálculos'!$E$122)*'Cálculos'!$E$274+'Cálculos'!$E$125*(1+2.78*('Cálculos'!$E$200+(($C157)-$A$120:$A$165)*'Cálculos'!$E$98)/(('Cálculos'!$E$200+(($C157)-$A$120:$A$165)*'Cálculos'!$E$98)+1400)+'Cálculos'!$E$123)*'Cálculos'!$E$279)+('Cálculos'!$E$200+(($C157)-$A$120:$A$165)*'Cálculos'!$E$98)*('Cálculos'!$E$270+'Cálculos'!$E$124*(1+2.78*('Cálculos'!$E$200+(($C157)-$A$120:$A$165)*'Cálculos'!$E$98)/(('Cálculos'!$E$200+(($C157)-$A$120:$A$165)*'Cálculos'!$E$98)+1400)+'Cálculos'!$E$122)*'Cálculos'!$E$275+'Cálculos'!$E$125*(1+2.78*('Cálculos'!$E$200+(($C157)-$A$120:$A$165)*'Cálculos'!$E$98)/(('Cálculos'!$E$200+(($C157)-$A$120:$A$165)*'Cálculos'!$E$98)+1400)+'Cálculos'!$E$123)*'Cálculos'!$E$280)+('Cálculos'!$E$201*(1+'Cálculos'!$E$202+$A$120:$A$165*('Cálculos'!$E$290=2)*'Cálculos'!$E$101)+'Cálculos'!$E$203)*('Cálculos'!$E$271+'Cálculos'!$E$124*(1+2.78*('Cálculos'!$E$200+(($C157)-$A$120:$A$165)*'Cálculos'!$E$98)/(('Cálculos'!$E$200+(($C157)-$A$120:$A$165)*'Cálculos'!$E$98)+1400)+'Cálculos'!$E$122)*'Cálculos'!$E$276+'Cálculos'!$E$125*(1+2.78*('Cálculos'!$E$200+(($C157)-$A$120:$A$165)*'Cálculos'!$E$98)/(('Cálculos'!$E$200+(($C157)-$A$120:$A$165)*'Cálculos'!$E$98)+1400)+'Cálculos'!$E$123)*'Cálculos'!$E$281)+('Cálculos'!$E$204*(1+'Cálculos'!$E$205+$A$120:$A$165*('Cálculos'!$E$290=3)*'Cálculos'!$E$103)+'Cálculos'!$E$206)*('Cálculos'!$E$272+'Cálculos'!$E$124*(1+2.78*('Cálculos'!$E$200+(($C157)-$A$120:$A$165)*'Cálculos'!$E$98)/(('Cálculos'!$E$200+(($C157)-$A$120:$A$165)*'Cálculos'!$E$98)+1400)+'Cálculos'!$E$122)*'Cálculos'!$E$277+'Cálculos'!$E$125*(1+2.78*('Cálculos'!$E$200+(($C157)-$A$120:$A$165)*'Cálculos'!$E$98)/(('Cálculos'!$E$200+(($C157)-$A$120:$A$165)*'Cálculos'!$E$98)+1400)+'Cálculos'!$E$123)*'Cálculos'!$E$282)))))</f>
        <v>0</v>
      </c>
      <c r="E157" s="32">
        <f>IF(OR($C157&lt;0,'Cálculos'!$E$6=""),0,$B157*$D157)</f>
        <v>0</v>
      </c>
      <c r="F157" s="2"/>
      <c r="G157" s="30">
        <f>($A157&lt;=$B$167)*($A157&lt;='Cálculos'!$E$294)*(($B$167)-$A157&lt;='Cálculos'!$E$295)*(1+MIN(('Cálculos'!$E$207+$A157*'Cálculos'!$E$95),1)*('Cálculos'!$E$208+(($B$167)-$A157)*'Cálculos'!$E$96))</f>
        <v>0</v>
      </c>
      <c r="H157" s="31">
        <f>IF($B$168&lt;0,0,($A157&lt;=$B$168)*($A157&lt;='Cálculos'!$E$301)*(($B$168)-$A157&lt;='Cálculos'!$E$297)*(('Cálculos'!$E$185*(1+'Cálculos'!$E$186+$A157*('Cálculos'!$E$290=1)*'Cálculos'!$E$97+'Cálculos'!$E$305)+'Cálculos'!$E$191)*('Cálculos'!$E$209+'Cálculos'!$E$124*(1+2.78*('Cálculos'!$E$196+(($B$168)-$A157)*'Cálculos'!$E$98)/(('Cálculos'!$E$196+(($B$168)-$A157)*'Cálculos'!$E$98)+1400)+'Cálculos'!$E$122)*'Cálculos'!$E$214+'Cálculos'!$E$125*(1+2.78*('Cálculos'!$E$196+(($B$168)-$A157)*'Cálculos'!$E$98)/(('Cálculos'!$E$196+(($B$168)-$A157)*'Cálculos'!$E$98)+1400)+'Cálculos'!$E$123)*'Cálculos'!$E$219)+('Cálculos'!$E$196+(($B$168)-$A157)*'Cálculos'!$E$98)*('Cálculos'!$E$210+'Cálculos'!$E$124*(1+2.78*('Cálculos'!$E$196+(($B$168)-$A157)*'Cálculos'!$E$98)/(('Cálculos'!$E$196+(($B$168)-$A157)*'Cálculos'!$E$98)+1400)+'Cálculos'!$E$122)*'Cálculos'!$E$215+'Cálculos'!$E$125*(1+2.78*('Cálculos'!$E$196+(($B$168)-$A157)*'Cálculos'!$E$98)/(('Cálculos'!$E$196+(($B$168)-$A157)*'Cálculos'!$E$98)+1400)+'Cálculos'!$E$123)*'Cálculos'!$E$220)+('Cálculos'!$E$201*(1+'Cálculos'!$E$202+$A157*('Cálculos'!$E$290=2)*'Cálculos'!$E$101)+'Cálculos'!$E$203)*('Cálculos'!$E$211+'Cálculos'!$E$124*(1+2.78*('Cálculos'!$E$196+(($B$168)-$A157)*'Cálculos'!$E$98)/(('Cálculos'!$E$196+(($B$168)-$A157)*'Cálculos'!$E$98)+1400)+'Cálculos'!$E$122)*'Cálculos'!$E$216+'Cálculos'!$E$125*(1+2.78*('Cálculos'!$E$196+(($B$168)-$A157)*'Cálculos'!$E$98)/(('Cálculos'!$E$196+(($B$168)-$A157)*'Cálculos'!$E$98)+1400)+'Cálculos'!$E$123)*'Cálculos'!$E$221)+('Cálculos'!$E$204*(1+'Cálculos'!$E$205+$A157*('Cálculos'!$E$290=3)*'Cálculos'!$E$103)+'Cálculos'!$E$206)*('Cálculos'!$E$212+'Cálculos'!$E$124*(1+2.78*('Cálculos'!$E$196+(($B$168)-$A157)*'Cálculos'!$E$98)/(('Cálculos'!$E$196+(($B$168)-$A157)*'Cálculos'!$E$98)+1400)+'Cálculos'!$E$122)*'Cálculos'!$E$217+'Cálculos'!$E$125*(1+2.78*('Cálculos'!$E$196+(($B$168)-$A157)*'Cálculos'!$E$98)/(('Cálculos'!$E$196+(($B$168)-$A157)*'Cálculos'!$E$98)+1400)+'Cálculos'!$E$123)*'Cálculos'!$E$222)+('Cálculos'!$E$185*(1+'Cálculos'!$E$187+$A157*('Cálculos'!$E$290=1)*'Cálculos'!$E$97+'Cálculos'!$E$305)+'Cálculos'!$E$192)*('Cálculos'!$E$224+'Cálculos'!$E$124*(1+2.78*('Cálculos'!$E$197+(($B$168)-$A157)*'Cálculos'!$E$98)/(('Cálculos'!$E$197+(($B$168)-$A157)*'Cálculos'!$E$98)+1400)+'Cálculos'!$E$122)*'Cálculos'!$E$229+'Cálculos'!$E$125*(1+2.78*('Cálculos'!$E$197+(($B$168)-$A157)*'Cálculos'!$E$98)/(('Cálculos'!$E$197+(($B$168)-$A157)*'Cálculos'!$E$98)+1400)+'Cálculos'!$E$123)*'Cálculos'!$E$234)+('Cálculos'!$E$197+(($B$168)-$A157)*'Cálculos'!$E$98)*('Cálculos'!$E$225+'Cálculos'!$E$124*(1+2.78*('Cálculos'!$E$197+(($B$168)-$A157)*'Cálculos'!$E$98)/(('Cálculos'!$E$197+(($B$168)-$A157)*'Cálculos'!$E$98)+1400)+'Cálculos'!$E$122)*'Cálculos'!$E$230+'Cálculos'!$E$125*(1+2.78*('Cálculos'!$E$197+(($B$168)-$A157)*'Cálculos'!$E$98)/(('Cálculos'!$E$197+(($B$168)-$A157)*'Cálculos'!$E$98)+1400)+'Cálculos'!$E$123)*'Cálculos'!$E$235)+('Cálculos'!$E$201*(1+'Cálculos'!$E$202+$A157*('Cálculos'!$E$290=2)*'Cálculos'!$E$101)+'Cálculos'!$E$203)*('Cálculos'!$E$226+'Cálculos'!$E$124*(1+2.78*('Cálculos'!$E$197+(($B$168)-$A157)*'Cálculos'!$E$98)/(('Cálculos'!$E$197+(($B$168)-$A157)*'Cálculos'!$E$98)+1400)+'Cálculos'!$E$122)*'Cálculos'!$E$231+'Cálculos'!$E$125*(1+2.78*('Cálculos'!$E$197+(($B$168)-$A157)*'Cálculos'!$E$98)/(('Cálculos'!$E$197+(($B$168)-$A157)*'Cálculos'!$E$98)+1400)+'Cálculos'!$E$123)*'Cálculos'!$E$236)+('Cálculos'!$E$204*(1+'Cálculos'!$E$205+$A157*('Cálculos'!$E$290=3)*'Cálculos'!$E$103)+'Cálculos'!$E$206)*('Cálculos'!$E$227+'Cálculos'!$E$124*(1+2.78*('Cálculos'!$E$197+(($B$168)-$A157)*'Cálculos'!$E$98)/(('Cálculos'!$E$197+(($B$168)-$A157)*'Cálculos'!$E$98)+1400)+'Cálculos'!$E$122)*'Cálculos'!$E$232+'Cálculos'!$E$125*(1+2.78*('Cálculos'!$E$197+(($B$168)-$A157)*'Cálculos'!$E$98)/(('Cálculos'!$E$197+(($B$168)-$A157)*'Cálculos'!$E$98)+1400)+'Cálculos'!$E$123)*'Cálculos'!$E$237)+('Cálculos'!$E$185*(1+'Cálculos'!$E$188+$A157*('Cálculos'!$E$290=1)*'Cálculos'!$E$97+'Cálculos'!$E$305)+'Cálculos'!$E$193)*('Cálculos'!$E$239+'Cálculos'!$E$124*(1+2.78*('Cálculos'!$E$198+(($B$168)-$A157)*'Cálculos'!$E$98)/(('Cálculos'!$E$198+(($B$168)-$A157)*'Cálculos'!$E$98)+1400)+'Cálculos'!$E$122)*'Cálculos'!$E$244+'Cálculos'!$E$125*(1+2.78*('Cálculos'!$E$198+(($B$168)-$A157)*'Cálculos'!$E$98)/(('Cálculos'!$E$198+(($B$168)-$A157)*'Cálculos'!$E$98)+1400)+'Cálculos'!$E$123)*'Cálculos'!$E$249)+('Cálculos'!$E$198+(($B$168)-$A157)*'Cálculos'!$E$98)*('Cálculos'!$E$240+'Cálculos'!$E$124*(1+2.78*('Cálculos'!$E$198+(($B$168)-$A157)*'Cálculos'!$E$98)/(('Cálculos'!$E$198+(($B$168)-$A157)*'Cálculos'!$E$98)+1400)+'Cálculos'!$E$122)*'Cálculos'!$E$245+'Cálculos'!$E$125*(1+2.78*('Cálculos'!$E$198+(($B$168)-$A157)*'Cálculos'!$E$98)/(('Cálculos'!$E$198+(($B$168)-$A157)*'Cálculos'!$E$98)+1400)+'Cálculos'!$E$123)*'Cálculos'!$E$250)+('Cálculos'!$E$201*(1+'Cálculos'!$E$202+$A157*('Cálculos'!$E$290=2)*'Cálculos'!$E$101)+'Cálculos'!$E$203)*('Cálculos'!$E$241+'Cálculos'!$E$124*(1+2.78*('Cálculos'!$E$198+(($B$168)-$A157)*'Cálculos'!$E$98)/(('Cálculos'!$E$198+(($B$168)-$A157)*'Cálculos'!$E$98)+1400)+'Cálculos'!$E$122)*'Cálculos'!$E$246+'Cálculos'!$E$125*(1+2.78*('Cálculos'!$E$198+(($B$168)-$A157)*'Cálculos'!$E$98)/(('Cálculos'!$E$198+(($B$168)-$A157)*'Cálculos'!$E$98)+1400)+'Cálculos'!$E$123)*'Cálculos'!$E$251)+('Cálculos'!$E$204*(1+'Cálculos'!$E$205+$A157*('Cálculos'!$E$290=3)*'Cálculos'!$E$103)+'Cálculos'!$E$206)*('Cálculos'!$E$242+'Cálculos'!$E$124*(1+2.78*('Cálculos'!$E$198+(($B$168)-$A157)*'Cálculos'!$E$98)/(('Cálculos'!$E$198+(($B$168)-$A157)*'Cálculos'!$E$98)+1400)+'Cálculos'!$E$122)*'Cálculos'!$E$247+'Cálculos'!$E$125*(1+2.78*('Cálculos'!$E$198+(($B$168)-$A157)*'Cálculos'!$E$98)/(('Cálculos'!$E$198+(($B$168)-$A157)*'Cálculos'!$E$98)+1400)+'Cálculos'!$E$123)*'Cálculos'!$E$252)+('Cálculos'!$E$185*(1+'Cálculos'!$E$189+$A157*('Cálculos'!$E$290=1)*'Cálculos'!$E$97+'Cálculos'!$E$305)+'Cálculos'!$E$194)*('Cálculos'!$E$254+'Cálculos'!$E$124*(1+2.78*('Cálculos'!$E$199+(($B$168)-$A157)*'Cálculos'!$E$98)/(('Cálculos'!$E$199+(($B$168)-$A157)*'Cálculos'!$E$98)+1400)+'Cálculos'!$E$122)*'Cálculos'!$E$259+'Cálculos'!$E$125*(1+2.78*('Cálculos'!$E$199+(($B$168)-$A157)*'Cálculos'!$E$98)/(('Cálculos'!$E$199+(($B$168)-$A157)*'Cálculos'!$E$98)+1400)+'Cálculos'!$E$123)*'Cálculos'!$E$264)+('Cálculos'!$E$199+(($B$168)-$A157)*'Cálculos'!$E$98)*('Cálculos'!$E$255+'Cálculos'!$E$124*(1+2.78*('Cálculos'!$E$199+(($B$168)-$A157)*'Cálculos'!$E$98)/(('Cálculos'!$E$199+(($B$168)-$A157)*'Cálculos'!$E$98)+1400)+'Cálculos'!$E$122)*'Cálculos'!$E$260+'Cálculos'!$E$125*(1+2.78*('Cálculos'!$E$199+(($B$168)-$A157)*'Cálculos'!$E$98)/(('Cálculos'!$E$199+(($B$168)-$A157)*'Cálculos'!$E$98)+1400)+'Cálculos'!$E$123)*'Cálculos'!$E$265)+('Cálculos'!$E$201*(1+'Cálculos'!$E$202+$A157*('Cálculos'!$E$290=2)*'Cálculos'!$E$101)+'Cálculos'!$E$203)*('Cálculos'!$E$256+'Cálculos'!$E$124*(1+2.78*('Cálculos'!$E$199+(($B$168)-$A157)*'Cálculos'!$E$98)/(('Cálculos'!$E$199+(($B$168)-$A157)*'Cálculos'!$E$98)+1400)+'Cálculos'!$E$122)*'Cálculos'!$E$261+'Cálculos'!$E$125*(1+2.78*('Cálculos'!$E$199+(($B$168)-$A157)*'Cálculos'!$E$98)/(('Cálculos'!$E$199+(($B$168)-$A157)*'Cálculos'!$E$98)+1400)+'Cálculos'!$E$123)*'Cálculos'!$E$266)+('Cálculos'!$E$204*(1+'Cálculos'!$E$205+$A157*('Cálculos'!$E$290=3)*'Cálculos'!$E$103)+'Cálculos'!$E$206)*('Cálculos'!$E$257+'Cálculos'!$E$124*(1+2.78*('Cálculos'!$E$199+(($B$168)-$A157)*'Cálculos'!$E$98)/(('Cálculos'!$E$199+(($B$168)-$A157)*'Cálculos'!$E$98)+1400)+'Cálculos'!$E$122)*'Cálculos'!$E$262+'Cálculos'!$E$125*(1+2.78*('Cálculos'!$E$199+(($B$168)-$A157)*'Cálculos'!$E$98)/(('Cálculos'!$E$199+(($B$168)-$A157)*'Cálculos'!$E$98)+1400)+'Cálculos'!$E$123)*'Cálculos'!$E$267)+('Cálculos'!$E$185*(1+'Cálculos'!$E$190+$A157*('Cálculos'!$E$290=1)*'Cálculos'!$E$97+'Cálculos'!$E$305)+'Cálculos'!$E$195)*('Cálculos'!$E$269+'Cálculos'!$E$124*(1+2.78*('Cálculos'!$E$200+(($B$168)-$A157)*'Cálculos'!$E$98)/(('Cálculos'!$E$200+(($B$168)-$A157)*'Cálculos'!$E$98)+1400)+'Cálculos'!$E$122)*'Cálculos'!$E$274+'Cálculos'!$E$125*(1+2.78*('Cálculos'!$E$200+(($B$168)-$A157)*'Cálculos'!$E$98)/(('Cálculos'!$E$200+(($B$168)-$A157)*'Cálculos'!$E$98)+1400)+'Cálculos'!$E$123)*'Cálculos'!$E$279)+('Cálculos'!$E$200+(($B$168)-$A157)*'Cálculos'!$E$98)*('Cálculos'!$E$270+'Cálculos'!$E$124*(1+2.78*('Cálculos'!$E$200+(($B$168)-$A157)*'Cálculos'!$E$98)/(('Cálculos'!$E$200+(($B$168)-$A157)*'Cálculos'!$E$98)+1400)+'Cálculos'!$E$122)*'Cálculos'!$E$275+'Cálculos'!$E$125*(1+2.78*('Cálculos'!$E$200+(($B$168)-$A157)*'Cálculos'!$E$98)/(('Cálculos'!$E$200+(($B$168)-$A157)*'Cálculos'!$E$98)+1400)+'Cálculos'!$E$123)*'Cálculos'!$E$280)+('Cálculos'!$E$201*(1+'Cálculos'!$E$202+$A157*('Cálculos'!$E$290=2)*'Cálculos'!$E$101)+'Cálculos'!$E$203)*('Cálculos'!$E$271+'Cálculos'!$E$124*(1+2.78*('Cálculos'!$E$200+(($B$168)-$A157)*'Cálculos'!$E$98)/(('Cálculos'!$E$200+(($B$168)-$A157)*'Cálculos'!$E$98)+1400)+'Cálculos'!$E$122)*'Cálculos'!$E$276+'Cálculos'!$E$125*(1+2.78*('Cálculos'!$E$200+(($B$168)-$A157)*'Cálculos'!$E$98)/(('Cálculos'!$E$200+(($B$168)-$A157)*'Cálculos'!$E$98)+1400)+'Cálculos'!$E$123)*'Cálculos'!$E$281)+('Cálculos'!$E$204*(1+'Cálculos'!$E$205+$A157*('Cálculos'!$E$290=3)*'Cálculos'!$E$103)+'Cálculos'!$E$206)*('Cálculos'!$E$272+'Cálculos'!$E$124*(1+2.78*('Cálculos'!$E$200+(($B$168)-$A157)*'Cálculos'!$E$98)/(('Cálculos'!$E$200+(($B$168)-$A157)*'Cálculos'!$E$98)+1400)+'Cálculos'!$E$122)*'Cálculos'!$E$277+'Cálculos'!$E$125*(1+2.78*('Cálculos'!$E$200+(($B$168)-$A157)*'Cálculos'!$E$98)/(('Cálculos'!$E$200+(($B$168)-$A157)*'Cálculos'!$E$98)+1400)+'Cálculos'!$E$123)*'Cálculos'!$E$282)))</f>
        <v>0</v>
      </c>
    </row>
    <row r="158" ht="15.75" customHeight="1">
      <c r="A158" s="2">
        <v>38.0</v>
      </c>
      <c r="B158" s="30">
        <f>SUMPRODUCT(MAX(($A$120:$A$165&lt;=$A158)*($A$120:$A$165&lt;='Cálculos'!$E$294)*(($A158)-$A$120:$A$165&lt;='Cálculos'!$E$295)*(1+(('Cálculos'!$E$207+$A$120:$A$165*'Cálculos'!$E$95)-(('Cálculos'!$E$207+$A$120:$A$165*'Cálculos'!$E$95)&gt;1)*(('Cálculos'!$E$207+$A$120:$A$165*'Cálculos'!$E$95)-1))*('Cálculos'!$E$208+(($A158)-$A$120:$A$165)*'Cálculos'!$E$96))))</f>
        <v>2.993784</v>
      </c>
      <c r="C158" s="2">
        <f>'Cálculos'!$E$303-$A158</f>
        <v>-25</v>
      </c>
      <c r="D158" s="31">
        <f>IF($C158&lt;0,0,SUMPRODUCT(MAX(($A$120:$A$165&lt;=$C158)*($A$120:$A$165&lt;='Cálculos'!$E$301)*(($C158)-$A$120:$A$165&lt;='Cálculos'!$E$297)*(('Cálculos'!$E$185*(1+'Cálculos'!$E$186+$A$120:$A$165*('Cálculos'!$E$290=1)*'Cálculos'!$E$97+'Cálculos'!$E$305)+'Cálculos'!$E$191)*('Cálculos'!$E$209+'Cálculos'!$E$124*(1+2.78*('Cálculos'!$E$196+(($C158)-$A$120:$A$165)*'Cálculos'!$E$98)/(('Cálculos'!$E$196+(($C158)-$A$120:$A$165)*'Cálculos'!$E$98)+1400)+'Cálculos'!$E$122)*'Cálculos'!$E$214+'Cálculos'!$E$125*(1+2.78*('Cálculos'!$E$196+(($C158)-$A$120:$A$165)*'Cálculos'!$E$98)/(('Cálculos'!$E$196+(($C158)-$A$120:$A$165)*'Cálculos'!$E$98)+1400)+'Cálculos'!$E$123)*'Cálculos'!$E$219)+('Cálculos'!$E$196+(($C158)-$A$120:$A$165)*'Cálculos'!$E$98)*('Cálculos'!$E$210+'Cálculos'!$E$124*(1+2.78*('Cálculos'!$E$196+(($C158)-$A$120:$A$165)*'Cálculos'!$E$98)/(('Cálculos'!$E$196+(($C158)-$A$120:$A$165)*'Cálculos'!$E$98)+1400)+'Cálculos'!$E$122)*'Cálculos'!$E$215+'Cálculos'!$E$125*(1+2.78*('Cálculos'!$E$196+(($C158)-$A$120:$A$165)*'Cálculos'!$E$98)/(('Cálculos'!$E$196+(($C158)-$A$120:$A$165)*'Cálculos'!$E$98)+1400)+'Cálculos'!$E$123)*'Cálculos'!$E$220)+('Cálculos'!$E$201*(1+'Cálculos'!$E$202+$A$120:$A$165*('Cálculos'!$E$290=2)*'Cálculos'!$E$101)+'Cálculos'!$E$203)*('Cálculos'!$E$211+'Cálculos'!$E$124*(1+2.78*('Cálculos'!$E$196+(($C158)-$A$120:$A$165)*'Cálculos'!$E$98)/(('Cálculos'!$E$196+(($C158)-$A$120:$A$165)*'Cálculos'!$E$98)+1400)+'Cálculos'!$E$122)*'Cálculos'!$E$216+'Cálculos'!$E$125*(1+2.78*('Cálculos'!$E$196+(($C158)-$A$120:$A$165)*'Cálculos'!$E$98)/(('Cálculos'!$E$196+(($C158)-$A$120:$A$165)*'Cálculos'!$E$98)+1400)+'Cálculos'!$E$123)*'Cálculos'!$E$221)+('Cálculos'!$E$204*(1+'Cálculos'!$E$205+$A$120:$A$165*('Cálculos'!$E$290=3)*'Cálculos'!$E$103)+'Cálculos'!$E$206)*('Cálculos'!$E$212+'Cálculos'!$E$124*(1+2.78*('Cálculos'!$E$196+(($C158)-$A$120:$A$165)*'Cálculos'!$E$98)/(('Cálculos'!$E$196+(($C158)-$A$120:$A$165)*'Cálculos'!$E$98)+1400)+'Cálculos'!$E$122)*'Cálculos'!$E$217+'Cálculos'!$E$125*(1+2.78*('Cálculos'!$E$196+(($C158)-$A$120:$A$165)*'Cálculos'!$E$98)/(('Cálculos'!$E$196+(($C158)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158)-$A$120:$A$165)*'Cálculos'!$E$98)/(('Cálculos'!$E$197+(($C158)-$A$120:$A$165)*'Cálculos'!$E$98)+1400)+'Cálculos'!$E$122)*'Cálculos'!$E$229+'Cálculos'!$E$125*(1+2.78*('Cálculos'!$E$197+(($C158)-$A$120:$A$165)*'Cálculos'!$E$98)/(('Cálculos'!$E$197+(($C158)-$A$120:$A$165)*'Cálculos'!$E$98)+1400)+'Cálculos'!$E$123)*'Cálculos'!$E$234)+('Cálculos'!$E$197+(($C158)-$A$120:$A$165)*'Cálculos'!$E$98)*('Cálculos'!$E$225+'Cálculos'!$E$124*(1+2.78*('Cálculos'!$E$197+(($C158)-$A$120:$A$165)*'Cálculos'!$E$98)/(('Cálculos'!$E$197+(($C158)-$A$120:$A$165)*'Cálculos'!$E$98)+1400)+'Cálculos'!$E$122)*'Cálculos'!$E$230+'Cálculos'!$E$125*(1+2.78*('Cálculos'!$E$197+(($C158)-$A$120:$A$165)*'Cálculos'!$E$98)/(('Cálculos'!$E$197+(($C158)-$A$120:$A$165)*'Cálculos'!$E$98)+1400)+'Cálculos'!$E$123)*'Cálculos'!$E$235)+('Cálculos'!$E$201*(1+'Cálculos'!$E$202+$A$120:$A$165*('Cálculos'!$E$290=2)*'Cálculos'!$E$101)+'Cálculos'!$E$203)*('Cálculos'!$E$226+'Cálculos'!$E$124*(1+2.78*('Cálculos'!$E$197+(($C158)-$A$120:$A$165)*'Cálculos'!$E$98)/(('Cálculos'!$E$197+(($C158)-$A$120:$A$165)*'Cálculos'!$E$98)+1400)+'Cálculos'!$E$122)*'Cálculos'!$E$231+'Cálculos'!$E$125*(1+2.78*('Cálculos'!$E$197+(($C158)-$A$120:$A$165)*'Cálculos'!$E$98)/(('Cálculos'!$E$197+(($C158)-$A$120:$A$165)*'Cálculos'!$E$98)+1400)+'Cálculos'!$E$123)*'Cálculos'!$E$236)+('Cálculos'!$E$204*(1+'Cálculos'!$E$205+$A$120:$A$165*('Cálculos'!$E$290=3)*'Cálculos'!$E$103)+'Cálculos'!$E$206)*('Cálculos'!$E$227+'Cálculos'!$E$124*(1+2.78*('Cálculos'!$E$197+(($C158)-$A$120:$A$165)*'Cálculos'!$E$98)/(('Cálculos'!$E$197+(($C158)-$A$120:$A$165)*'Cálculos'!$E$98)+1400)+'Cálculos'!$E$122)*'Cálculos'!$E$232+'Cálculos'!$E$125*(1+2.78*('Cálculos'!$E$197+(($C158)-$A$120:$A$165)*'Cálculos'!$E$98)/(('Cálculos'!$E$197+(($C158)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158)-$A$120:$A$165)*'Cálculos'!$E$98)/(('Cálculos'!$E$198+(($C158)-$A$120:$A$165)*'Cálculos'!$E$98)+1400)+'Cálculos'!$E$122)*'Cálculos'!$E$244+'Cálculos'!$E$125*(1+2.78*('Cálculos'!$E$198+(($C158)-$A$120:$A$165)*'Cálculos'!$E$98)/(('Cálculos'!$E$198+(($C158)-$A$120:$A$165)*'Cálculos'!$E$98)+1400)+'Cálculos'!$E$123)*'Cálculos'!$E$249)+('Cálculos'!$E$198+(($C158)-$A$120:$A$165)*'Cálculos'!$E$98)*('Cálculos'!$E$240+'Cálculos'!$E$124*(1+2.78*('Cálculos'!$E$198+(($C158)-$A$120:$A$165)*'Cálculos'!$E$98)/(('Cálculos'!$E$198+(($C158)-$A$120:$A$165)*'Cálculos'!$E$98)+1400)+'Cálculos'!$E$122)*'Cálculos'!$E$245+'Cálculos'!$E$125*(1+2.78*('Cálculos'!$E$198+(($C158)-$A$120:$A$165)*'Cálculos'!$E$98)/(('Cálculos'!$E$198+(($C158)-$A$120:$A$165)*'Cálculos'!$E$98)+1400)+'Cálculos'!$E$123)*'Cálculos'!$E$250)+('Cálculos'!$E$201*(1+'Cálculos'!$E$202+$A$120:$A$165*('Cálculos'!$E$290=2)*'Cálculos'!$E$101)+'Cálculos'!$E$203)*('Cálculos'!$E$241+'Cálculos'!$E$124*(1+2.78*('Cálculos'!$E$198+(($C158)-$A$120:$A$165)*'Cálculos'!$E$98)/(('Cálculos'!$E$198+(($C158)-$A$120:$A$165)*'Cálculos'!$E$98)+1400)+'Cálculos'!$E$122)*'Cálculos'!$E$246+'Cálculos'!$E$125*(1+2.78*('Cálculos'!$E$198+(($C158)-$A$120:$A$165)*'Cálculos'!$E$98)/(('Cálculos'!$E$198+(($C158)-$A$120:$A$165)*'Cálculos'!$E$98)+1400)+'Cálculos'!$E$123)*'Cálculos'!$E$251)+('Cálculos'!$E$204*(1+'Cálculos'!$E$205+$A$120:$A$165*('Cálculos'!$E$290=3)*'Cálculos'!$E$103)+'Cálculos'!$E$206)*('Cálculos'!$E$242+'Cálculos'!$E$124*(1+2.78*('Cálculos'!$E$198+(($C158)-$A$120:$A$165)*'Cálculos'!$E$98)/(('Cálculos'!$E$198+(($C158)-$A$120:$A$165)*'Cálculos'!$E$98)+1400)+'Cálculos'!$E$122)*'Cálculos'!$E$247+'Cálculos'!$E$125*(1+2.78*('Cálculos'!$E$198+(($C158)-$A$120:$A$165)*'Cálculos'!$E$98)/(('Cálculos'!$E$198+(($C158)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158)-$A$120:$A$165)*'Cálculos'!$E$98)/(('Cálculos'!$E$199+(($C158)-$A$120:$A$165)*'Cálculos'!$E$98)+1400)+'Cálculos'!$E$122)*'Cálculos'!$E$259+'Cálculos'!$E$125*(1+2.78*('Cálculos'!$E$199+(($C158)-$A$120:$A$165)*'Cálculos'!$E$98)/(('Cálculos'!$E$199+(($C158)-$A$120:$A$165)*'Cálculos'!$E$98)+1400)+'Cálculos'!$E$123)*'Cálculos'!$E$264)+('Cálculos'!$E$199+(($C158)-$A$120:$A$165)*'Cálculos'!$E$98)*('Cálculos'!$E$255+'Cálculos'!$E$124*(1+2.78*('Cálculos'!$E$199+(($C158)-$A$120:$A$165)*'Cálculos'!$E$98)/(('Cálculos'!$E$199+(($C158)-$A$120:$A$165)*'Cálculos'!$E$98)+1400)+'Cálculos'!$E$122)*'Cálculos'!$E$260+'Cálculos'!$E$125*(1+2.78*('Cálculos'!$E$199+(($C158)-$A$120:$A$165)*'Cálculos'!$E$98)/(('Cálculos'!$E$199+(($C158)-$A$120:$A$165)*'Cálculos'!$E$98)+1400)+'Cálculos'!$E$123)*'Cálculos'!$E$265)+('Cálculos'!$E$201*(1+'Cálculos'!$E$202+$A$120:$A$165*('Cálculos'!$E$290=2)*'Cálculos'!$E$101)+'Cálculos'!$E$203)*('Cálculos'!$E$256+'Cálculos'!$E$124*(1+2.78*('Cálculos'!$E$199+(($C158)-$A$120:$A$165)*'Cálculos'!$E$98)/(('Cálculos'!$E$199+(($C158)-$A$120:$A$165)*'Cálculos'!$E$98)+1400)+'Cálculos'!$E$122)*'Cálculos'!$E$261+'Cálculos'!$E$125*(1+2.78*('Cálculos'!$E$199+(($C158)-$A$120:$A$165)*'Cálculos'!$E$98)/(('Cálculos'!$E$199+(($C158)-$A$120:$A$165)*'Cálculos'!$E$98)+1400)+'Cálculos'!$E$123)*'Cálculos'!$E$266)+('Cálculos'!$E$204*(1+'Cálculos'!$E$205+$A$120:$A$165*('Cálculos'!$E$290=3)*'Cálculos'!$E$103)+'Cálculos'!$E$206)*('Cálculos'!$E$257+'Cálculos'!$E$124*(1+2.78*('Cálculos'!$E$199+(($C158)-$A$120:$A$165)*'Cálculos'!$E$98)/(('Cálculos'!$E$199+(($C158)-$A$120:$A$165)*'Cálculos'!$E$98)+1400)+'Cálculos'!$E$122)*'Cálculos'!$E$262+'Cálculos'!$E$125*(1+2.78*('Cálculos'!$E$199+(($C158)-$A$120:$A$165)*'Cálculos'!$E$98)/(('Cálculos'!$E$199+(($C158)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158)-$A$120:$A$165)*'Cálculos'!$E$98)/(('Cálculos'!$E$200+(($C158)-$A$120:$A$165)*'Cálculos'!$E$98)+1400)+'Cálculos'!$E$122)*'Cálculos'!$E$274+'Cálculos'!$E$125*(1+2.78*('Cálculos'!$E$200+(($C158)-$A$120:$A$165)*'Cálculos'!$E$98)/(('Cálculos'!$E$200+(($C158)-$A$120:$A$165)*'Cálculos'!$E$98)+1400)+'Cálculos'!$E$123)*'Cálculos'!$E$279)+('Cálculos'!$E$200+(($C158)-$A$120:$A$165)*'Cálculos'!$E$98)*('Cálculos'!$E$270+'Cálculos'!$E$124*(1+2.78*('Cálculos'!$E$200+(($C158)-$A$120:$A$165)*'Cálculos'!$E$98)/(('Cálculos'!$E$200+(($C158)-$A$120:$A$165)*'Cálculos'!$E$98)+1400)+'Cálculos'!$E$122)*'Cálculos'!$E$275+'Cálculos'!$E$125*(1+2.78*('Cálculos'!$E$200+(($C158)-$A$120:$A$165)*'Cálculos'!$E$98)/(('Cálculos'!$E$200+(($C158)-$A$120:$A$165)*'Cálculos'!$E$98)+1400)+'Cálculos'!$E$123)*'Cálculos'!$E$280)+('Cálculos'!$E$201*(1+'Cálculos'!$E$202+$A$120:$A$165*('Cálculos'!$E$290=2)*'Cálculos'!$E$101)+'Cálculos'!$E$203)*('Cálculos'!$E$271+'Cálculos'!$E$124*(1+2.78*('Cálculos'!$E$200+(($C158)-$A$120:$A$165)*'Cálculos'!$E$98)/(('Cálculos'!$E$200+(($C158)-$A$120:$A$165)*'Cálculos'!$E$98)+1400)+'Cálculos'!$E$122)*'Cálculos'!$E$276+'Cálculos'!$E$125*(1+2.78*('Cálculos'!$E$200+(($C158)-$A$120:$A$165)*'Cálculos'!$E$98)/(('Cálculos'!$E$200+(($C158)-$A$120:$A$165)*'Cálculos'!$E$98)+1400)+'Cálculos'!$E$123)*'Cálculos'!$E$281)+('Cálculos'!$E$204*(1+'Cálculos'!$E$205+$A$120:$A$165*('Cálculos'!$E$290=3)*'Cálculos'!$E$103)+'Cálculos'!$E$206)*('Cálculos'!$E$272+'Cálculos'!$E$124*(1+2.78*('Cálculos'!$E$200+(($C158)-$A$120:$A$165)*'Cálculos'!$E$98)/(('Cálculos'!$E$200+(($C158)-$A$120:$A$165)*'Cálculos'!$E$98)+1400)+'Cálculos'!$E$122)*'Cálculos'!$E$277+'Cálculos'!$E$125*(1+2.78*('Cálculos'!$E$200+(($C158)-$A$120:$A$165)*'Cálculos'!$E$98)/(('Cálculos'!$E$200+(($C158)-$A$120:$A$165)*'Cálculos'!$E$98)+1400)+'Cálculos'!$E$123)*'Cálculos'!$E$282)))))</f>
        <v>0</v>
      </c>
      <c r="E158" s="32">
        <f>IF(OR($C158&lt;0,'Cálculos'!$E$6=""),0,$B158*$D158)</f>
        <v>0</v>
      </c>
      <c r="F158" s="2"/>
      <c r="G158" s="30">
        <f>($A158&lt;=$B$167)*($A158&lt;='Cálculos'!$E$294)*(($B$167)-$A158&lt;='Cálculos'!$E$295)*(1+MIN(('Cálculos'!$E$207+$A158*'Cálculos'!$E$95),1)*('Cálculos'!$E$208+(($B$167)-$A158)*'Cálculos'!$E$96))</f>
        <v>0</v>
      </c>
      <c r="H158" s="31">
        <f>IF($B$168&lt;0,0,($A158&lt;=$B$168)*($A158&lt;='Cálculos'!$E$301)*(($B$168)-$A158&lt;='Cálculos'!$E$297)*(('Cálculos'!$E$185*(1+'Cálculos'!$E$186+$A158*('Cálculos'!$E$290=1)*'Cálculos'!$E$97+'Cálculos'!$E$305)+'Cálculos'!$E$191)*('Cálculos'!$E$209+'Cálculos'!$E$124*(1+2.78*('Cálculos'!$E$196+(($B$168)-$A158)*'Cálculos'!$E$98)/(('Cálculos'!$E$196+(($B$168)-$A158)*'Cálculos'!$E$98)+1400)+'Cálculos'!$E$122)*'Cálculos'!$E$214+'Cálculos'!$E$125*(1+2.78*('Cálculos'!$E$196+(($B$168)-$A158)*'Cálculos'!$E$98)/(('Cálculos'!$E$196+(($B$168)-$A158)*'Cálculos'!$E$98)+1400)+'Cálculos'!$E$123)*'Cálculos'!$E$219)+('Cálculos'!$E$196+(($B$168)-$A158)*'Cálculos'!$E$98)*('Cálculos'!$E$210+'Cálculos'!$E$124*(1+2.78*('Cálculos'!$E$196+(($B$168)-$A158)*'Cálculos'!$E$98)/(('Cálculos'!$E$196+(($B$168)-$A158)*'Cálculos'!$E$98)+1400)+'Cálculos'!$E$122)*'Cálculos'!$E$215+'Cálculos'!$E$125*(1+2.78*('Cálculos'!$E$196+(($B$168)-$A158)*'Cálculos'!$E$98)/(('Cálculos'!$E$196+(($B$168)-$A158)*'Cálculos'!$E$98)+1400)+'Cálculos'!$E$123)*'Cálculos'!$E$220)+('Cálculos'!$E$201*(1+'Cálculos'!$E$202+$A158*('Cálculos'!$E$290=2)*'Cálculos'!$E$101)+'Cálculos'!$E$203)*('Cálculos'!$E$211+'Cálculos'!$E$124*(1+2.78*('Cálculos'!$E$196+(($B$168)-$A158)*'Cálculos'!$E$98)/(('Cálculos'!$E$196+(($B$168)-$A158)*'Cálculos'!$E$98)+1400)+'Cálculos'!$E$122)*'Cálculos'!$E$216+'Cálculos'!$E$125*(1+2.78*('Cálculos'!$E$196+(($B$168)-$A158)*'Cálculos'!$E$98)/(('Cálculos'!$E$196+(($B$168)-$A158)*'Cálculos'!$E$98)+1400)+'Cálculos'!$E$123)*'Cálculos'!$E$221)+('Cálculos'!$E$204*(1+'Cálculos'!$E$205+$A158*('Cálculos'!$E$290=3)*'Cálculos'!$E$103)+'Cálculos'!$E$206)*('Cálculos'!$E$212+'Cálculos'!$E$124*(1+2.78*('Cálculos'!$E$196+(($B$168)-$A158)*'Cálculos'!$E$98)/(('Cálculos'!$E$196+(($B$168)-$A158)*'Cálculos'!$E$98)+1400)+'Cálculos'!$E$122)*'Cálculos'!$E$217+'Cálculos'!$E$125*(1+2.78*('Cálculos'!$E$196+(($B$168)-$A158)*'Cálculos'!$E$98)/(('Cálculos'!$E$196+(($B$168)-$A158)*'Cálculos'!$E$98)+1400)+'Cálculos'!$E$123)*'Cálculos'!$E$222)+('Cálculos'!$E$185*(1+'Cálculos'!$E$187+$A158*('Cálculos'!$E$290=1)*'Cálculos'!$E$97+'Cálculos'!$E$305)+'Cálculos'!$E$192)*('Cálculos'!$E$224+'Cálculos'!$E$124*(1+2.78*('Cálculos'!$E$197+(($B$168)-$A158)*'Cálculos'!$E$98)/(('Cálculos'!$E$197+(($B$168)-$A158)*'Cálculos'!$E$98)+1400)+'Cálculos'!$E$122)*'Cálculos'!$E$229+'Cálculos'!$E$125*(1+2.78*('Cálculos'!$E$197+(($B$168)-$A158)*'Cálculos'!$E$98)/(('Cálculos'!$E$197+(($B$168)-$A158)*'Cálculos'!$E$98)+1400)+'Cálculos'!$E$123)*'Cálculos'!$E$234)+('Cálculos'!$E$197+(($B$168)-$A158)*'Cálculos'!$E$98)*('Cálculos'!$E$225+'Cálculos'!$E$124*(1+2.78*('Cálculos'!$E$197+(($B$168)-$A158)*'Cálculos'!$E$98)/(('Cálculos'!$E$197+(($B$168)-$A158)*'Cálculos'!$E$98)+1400)+'Cálculos'!$E$122)*'Cálculos'!$E$230+'Cálculos'!$E$125*(1+2.78*('Cálculos'!$E$197+(($B$168)-$A158)*'Cálculos'!$E$98)/(('Cálculos'!$E$197+(($B$168)-$A158)*'Cálculos'!$E$98)+1400)+'Cálculos'!$E$123)*'Cálculos'!$E$235)+('Cálculos'!$E$201*(1+'Cálculos'!$E$202+$A158*('Cálculos'!$E$290=2)*'Cálculos'!$E$101)+'Cálculos'!$E$203)*('Cálculos'!$E$226+'Cálculos'!$E$124*(1+2.78*('Cálculos'!$E$197+(($B$168)-$A158)*'Cálculos'!$E$98)/(('Cálculos'!$E$197+(($B$168)-$A158)*'Cálculos'!$E$98)+1400)+'Cálculos'!$E$122)*'Cálculos'!$E$231+'Cálculos'!$E$125*(1+2.78*('Cálculos'!$E$197+(($B$168)-$A158)*'Cálculos'!$E$98)/(('Cálculos'!$E$197+(($B$168)-$A158)*'Cálculos'!$E$98)+1400)+'Cálculos'!$E$123)*'Cálculos'!$E$236)+('Cálculos'!$E$204*(1+'Cálculos'!$E$205+$A158*('Cálculos'!$E$290=3)*'Cálculos'!$E$103)+'Cálculos'!$E$206)*('Cálculos'!$E$227+'Cálculos'!$E$124*(1+2.78*('Cálculos'!$E$197+(($B$168)-$A158)*'Cálculos'!$E$98)/(('Cálculos'!$E$197+(($B$168)-$A158)*'Cálculos'!$E$98)+1400)+'Cálculos'!$E$122)*'Cálculos'!$E$232+'Cálculos'!$E$125*(1+2.78*('Cálculos'!$E$197+(($B$168)-$A158)*'Cálculos'!$E$98)/(('Cálculos'!$E$197+(($B$168)-$A158)*'Cálculos'!$E$98)+1400)+'Cálculos'!$E$123)*'Cálculos'!$E$237)+('Cálculos'!$E$185*(1+'Cálculos'!$E$188+$A158*('Cálculos'!$E$290=1)*'Cálculos'!$E$97+'Cálculos'!$E$305)+'Cálculos'!$E$193)*('Cálculos'!$E$239+'Cálculos'!$E$124*(1+2.78*('Cálculos'!$E$198+(($B$168)-$A158)*'Cálculos'!$E$98)/(('Cálculos'!$E$198+(($B$168)-$A158)*'Cálculos'!$E$98)+1400)+'Cálculos'!$E$122)*'Cálculos'!$E$244+'Cálculos'!$E$125*(1+2.78*('Cálculos'!$E$198+(($B$168)-$A158)*'Cálculos'!$E$98)/(('Cálculos'!$E$198+(($B$168)-$A158)*'Cálculos'!$E$98)+1400)+'Cálculos'!$E$123)*'Cálculos'!$E$249)+('Cálculos'!$E$198+(($B$168)-$A158)*'Cálculos'!$E$98)*('Cálculos'!$E$240+'Cálculos'!$E$124*(1+2.78*('Cálculos'!$E$198+(($B$168)-$A158)*'Cálculos'!$E$98)/(('Cálculos'!$E$198+(($B$168)-$A158)*'Cálculos'!$E$98)+1400)+'Cálculos'!$E$122)*'Cálculos'!$E$245+'Cálculos'!$E$125*(1+2.78*('Cálculos'!$E$198+(($B$168)-$A158)*'Cálculos'!$E$98)/(('Cálculos'!$E$198+(($B$168)-$A158)*'Cálculos'!$E$98)+1400)+'Cálculos'!$E$123)*'Cálculos'!$E$250)+('Cálculos'!$E$201*(1+'Cálculos'!$E$202+$A158*('Cálculos'!$E$290=2)*'Cálculos'!$E$101)+'Cálculos'!$E$203)*('Cálculos'!$E$241+'Cálculos'!$E$124*(1+2.78*('Cálculos'!$E$198+(($B$168)-$A158)*'Cálculos'!$E$98)/(('Cálculos'!$E$198+(($B$168)-$A158)*'Cálculos'!$E$98)+1400)+'Cálculos'!$E$122)*'Cálculos'!$E$246+'Cálculos'!$E$125*(1+2.78*('Cálculos'!$E$198+(($B$168)-$A158)*'Cálculos'!$E$98)/(('Cálculos'!$E$198+(($B$168)-$A158)*'Cálculos'!$E$98)+1400)+'Cálculos'!$E$123)*'Cálculos'!$E$251)+('Cálculos'!$E$204*(1+'Cálculos'!$E$205+$A158*('Cálculos'!$E$290=3)*'Cálculos'!$E$103)+'Cálculos'!$E$206)*('Cálculos'!$E$242+'Cálculos'!$E$124*(1+2.78*('Cálculos'!$E$198+(($B$168)-$A158)*'Cálculos'!$E$98)/(('Cálculos'!$E$198+(($B$168)-$A158)*'Cálculos'!$E$98)+1400)+'Cálculos'!$E$122)*'Cálculos'!$E$247+'Cálculos'!$E$125*(1+2.78*('Cálculos'!$E$198+(($B$168)-$A158)*'Cálculos'!$E$98)/(('Cálculos'!$E$198+(($B$168)-$A158)*'Cálculos'!$E$98)+1400)+'Cálculos'!$E$123)*'Cálculos'!$E$252)+('Cálculos'!$E$185*(1+'Cálculos'!$E$189+$A158*('Cálculos'!$E$290=1)*'Cálculos'!$E$97+'Cálculos'!$E$305)+'Cálculos'!$E$194)*('Cálculos'!$E$254+'Cálculos'!$E$124*(1+2.78*('Cálculos'!$E$199+(($B$168)-$A158)*'Cálculos'!$E$98)/(('Cálculos'!$E$199+(($B$168)-$A158)*'Cálculos'!$E$98)+1400)+'Cálculos'!$E$122)*'Cálculos'!$E$259+'Cálculos'!$E$125*(1+2.78*('Cálculos'!$E$199+(($B$168)-$A158)*'Cálculos'!$E$98)/(('Cálculos'!$E$199+(($B$168)-$A158)*'Cálculos'!$E$98)+1400)+'Cálculos'!$E$123)*'Cálculos'!$E$264)+('Cálculos'!$E$199+(($B$168)-$A158)*'Cálculos'!$E$98)*('Cálculos'!$E$255+'Cálculos'!$E$124*(1+2.78*('Cálculos'!$E$199+(($B$168)-$A158)*'Cálculos'!$E$98)/(('Cálculos'!$E$199+(($B$168)-$A158)*'Cálculos'!$E$98)+1400)+'Cálculos'!$E$122)*'Cálculos'!$E$260+'Cálculos'!$E$125*(1+2.78*('Cálculos'!$E$199+(($B$168)-$A158)*'Cálculos'!$E$98)/(('Cálculos'!$E$199+(($B$168)-$A158)*'Cálculos'!$E$98)+1400)+'Cálculos'!$E$123)*'Cálculos'!$E$265)+('Cálculos'!$E$201*(1+'Cálculos'!$E$202+$A158*('Cálculos'!$E$290=2)*'Cálculos'!$E$101)+'Cálculos'!$E$203)*('Cálculos'!$E$256+'Cálculos'!$E$124*(1+2.78*('Cálculos'!$E$199+(($B$168)-$A158)*'Cálculos'!$E$98)/(('Cálculos'!$E$199+(($B$168)-$A158)*'Cálculos'!$E$98)+1400)+'Cálculos'!$E$122)*'Cálculos'!$E$261+'Cálculos'!$E$125*(1+2.78*('Cálculos'!$E$199+(($B$168)-$A158)*'Cálculos'!$E$98)/(('Cálculos'!$E$199+(($B$168)-$A158)*'Cálculos'!$E$98)+1400)+'Cálculos'!$E$123)*'Cálculos'!$E$266)+('Cálculos'!$E$204*(1+'Cálculos'!$E$205+$A158*('Cálculos'!$E$290=3)*'Cálculos'!$E$103)+'Cálculos'!$E$206)*('Cálculos'!$E$257+'Cálculos'!$E$124*(1+2.78*('Cálculos'!$E$199+(($B$168)-$A158)*'Cálculos'!$E$98)/(('Cálculos'!$E$199+(($B$168)-$A158)*'Cálculos'!$E$98)+1400)+'Cálculos'!$E$122)*'Cálculos'!$E$262+'Cálculos'!$E$125*(1+2.78*('Cálculos'!$E$199+(($B$168)-$A158)*'Cálculos'!$E$98)/(('Cálculos'!$E$199+(($B$168)-$A158)*'Cálculos'!$E$98)+1400)+'Cálculos'!$E$123)*'Cálculos'!$E$267)+('Cálculos'!$E$185*(1+'Cálculos'!$E$190+$A158*('Cálculos'!$E$290=1)*'Cálculos'!$E$97+'Cálculos'!$E$305)+'Cálculos'!$E$195)*('Cálculos'!$E$269+'Cálculos'!$E$124*(1+2.78*('Cálculos'!$E$200+(($B$168)-$A158)*'Cálculos'!$E$98)/(('Cálculos'!$E$200+(($B$168)-$A158)*'Cálculos'!$E$98)+1400)+'Cálculos'!$E$122)*'Cálculos'!$E$274+'Cálculos'!$E$125*(1+2.78*('Cálculos'!$E$200+(($B$168)-$A158)*'Cálculos'!$E$98)/(('Cálculos'!$E$200+(($B$168)-$A158)*'Cálculos'!$E$98)+1400)+'Cálculos'!$E$123)*'Cálculos'!$E$279)+('Cálculos'!$E$200+(($B$168)-$A158)*'Cálculos'!$E$98)*('Cálculos'!$E$270+'Cálculos'!$E$124*(1+2.78*('Cálculos'!$E$200+(($B$168)-$A158)*'Cálculos'!$E$98)/(('Cálculos'!$E$200+(($B$168)-$A158)*'Cálculos'!$E$98)+1400)+'Cálculos'!$E$122)*'Cálculos'!$E$275+'Cálculos'!$E$125*(1+2.78*('Cálculos'!$E$200+(($B$168)-$A158)*'Cálculos'!$E$98)/(('Cálculos'!$E$200+(($B$168)-$A158)*'Cálculos'!$E$98)+1400)+'Cálculos'!$E$123)*'Cálculos'!$E$280)+('Cálculos'!$E$201*(1+'Cálculos'!$E$202+$A158*('Cálculos'!$E$290=2)*'Cálculos'!$E$101)+'Cálculos'!$E$203)*('Cálculos'!$E$271+'Cálculos'!$E$124*(1+2.78*('Cálculos'!$E$200+(($B$168)-$A158)*'Cálculos'!$E$98)/(('Cálculos'!$E$200+(($B$168)-$A158)*'Cálculos'!$E$98)+1400)+'Cálculos'!$E$122)*'Cálculos'!$E$276+'Cálculos'!$E$125*(1+2.78*('Cálculos'!$E$200+(($B$168)-$A158)*'Cálculos'!$E$98)/(('Cálculos'!$E$200+(($B$168)-$A158)*'Cálculos'!$E$98)+1400)+'Cálculos'!$E$123)*'Cálculos'!$E$281)+('Cálculos'!$E$204*(1+'Cálculos'!$E$205+$A158*('Cálculos'!$E$290=3)*'Cálculos'!$E$103)+'Cálculos'!$E$206)*('Cálculos'!$E$272+'Cálculos'!$E$124*(1+2.78*('Cálculos'!$E$200+(($B$168)-$A158)*'Cálculos'!$E$98)/(('Cálculos'!$E$200+(($B$168)-$A158)*'Cálculos'!$E$98)+1400)+'Cálculos'!$E$122)*'Cálculos'!$E$277+'Cálculos'!$E$125*(1+2.78*('Cálculos'!$E$200+(($B$168)-$A158)*'Cálculos'!$E$98)/(('Cálculos'!$E$200+(($B$168)-$A158)*'Cálculos'!$E$98)+1400)+'Cálculos'!$E$123)*'Cálculos'!$E$282)))</f>
        <v>0</v>
      </c>
    </row>
    <row r="159" ht="15.75" customHeight="1">
      <c r="A159" s="2">
        <v>39.0</v>
      </c>
      <c r="B159" s="30">
        <f>SUMPRODUCT(MAX(($A$120:$A$165&lt;=$A159)*($A$120:$A$165&lt;='Cálculos'!$E$294)*(($A159)-$A$120:$A$165&lt;='Cálculos'!$E$295)*(1+(('Cálculos'!$E$207+$A$120:$A$165*'Cálculos'!$E$95)-(('Cálculos'!$E$207+$A$120:$A$165*'Cálculos'!$E$95)&gt;1)*(('Cálculos'!$E$207+$A$120:$A$165*'Cálculos'!$E$95)-1))*('Cálculos'!$E$208+(($A159)-$A$120:$A$165)*'Cálculos'!$E$96))))</f>
        <v>3.058992</v>
      </c>
      <c r="C159" s="2">
        <f>'Cálculos'!$E$303-$A159</f>
        <v>-26</v>
      </c>
      <c r="D159" s="31">
        <f>IF($C159&lt;0,0,SUMPRODUCT(MAX(($A$120:$A$165&lt;=$C159)*($A$120:$A$165&lt;='Cálculos'!$E$301)*(($C159)-$A$120:$A$165&lt;='Cálculos'!$E$297)*(('Cálculos'!$E$185*(1+'Cálculos'!$E$186+$A$120:$A$165*('Cálculos'!$E$290=1)*'Cálculos'!$E$97+'Cálculos'!$E$305)+'Cálculos'!$E$191)*('Cálculos'!$E$209+'Cálculos'!$E$124*(1+2.78*('Cálculos'!$E$196+(($C159)-$A$120:$A$165)*'Cálculos'!$E$98)/(('Cálculos'!$E$196+(($C159)-$A$120:$A$165)*'Cálculos'!$E$98)+1400)+'Cálculos'!$E$122)*'Cálculos'!$E$214+'Cálculos'!$E$125*(1+2.78*('Cálculos'!$E$196+(($C159)-$A$120:$A$165)*'Cálculos'!$E$98)/(('Cálculos'!$E$196+(($C159)-$A$120:$A$165)*'Cálculos'!$E$98)+1400)+'Cálculos'!$E$123)*'Cálculos'!$E$219)+('Cálculos'!$E$196+(($C159)-$A$120:$A$165)*'Cálculos'!$E$98)*('Cálculos'!$E$210+'Cálculos'!$E$124*(1+2.78*('Cálculos'!$E$196+(($C159)-$A$120:$A$165)*'Cálculos'!$E$98)/(('Cálculos'!$E$196+(($C159)-$A$120:$A$165)*'Cálculos'!$E$98)+1400)+'Cálculos'!$E$122)*'Cálculos'!$E$215+'Cálculos'!$E$125*(1+2.78*('Cálculos'!$E$196+(($C159)-$A$120:$A$165)*'Cálculos'!$E$98)/(('Cálculos'!$E$196+(($C159)-$A$120:$A$165)*'Cálculos'!$E$98)+1400)+'Cálculos'!$E$123)*'Cálculos'!$E$220)+('Cálculos'!$E$201*(1+'Cálculos'!$E$202+$A$120:$A$165*('Cálculos'!$E$290=2)*'Cálculos'!$E$101)+'Cálculos'!$E$203)*('Cálculos'!$E$211+'Cálculos'!$E$124*(1+2.78*('Cálculos'!$E$196+(($C159)-$A$120:$A$165)*'Cálculos'!$E$98)/(('Cálculos'!$E$196+(($C159)-$A$120:$A$165)*'Cálculos'!$E$98)+1400)+'Cálculos'!$E$122)*'Cálculos'!$E$216+'Cálculos'!$E$125*(1+2.78*('Cálculos'!$E$196+(($C159)-$A$120:$A$165)*'Cálculos'!$E$98)/(('Cálculos'!$E$196+(($C159)-$A$120:$A$165)*'Cálculos'!$E$98)+1400)+'Cálculos'!$E$123)*'Cálculos'!$E$221)+('Cálculos'!$E$204*(1+'Cálculos'!$E$205+$A$120:$A$165*('Cálculos'!$E$290=3)*'Cálculos'!$E$103)+'Cálculos'!$E$206)*('Cálculos'!$E$212+'Cálculos'!$E$124*(1+2.78*('Cálculos'!$E$196+(($C159)-$A$120:$A$165)*'Cálculos'!$E$98)/(('Cálculos'!$E$196+(($C159)-$A$120:$A$165)*'Cálculos'!$E$98)+1400)+'Cálculos'!$E$122)*'Cálculos'!$E$217+'Cálculos'!$E$125*(1+2.78*('Cálculos'!$E$196+(($C159)-$A$120:$A$165)*'Cálculos'!$E$98)/(('Cálculos'!$E$196+(($C159)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159)-$A$120:$A$165)*'Cálculos'!$E$98)/(('Cálculos'!$E$197+(($C159)-$A$120:$A$165)*'Cálculos'!$E$98)+1400)+'Cálculos'!$E$122)*'Cálculos'!$E$229+'Cálculos'!$E$125*(1+2.78*('Cálculos'!$E$197+(($C159)-$A$120:$A$165)*'Cálculos'!$E$98)/(('Cálculos'!$E$197+(($C159)-$A$120:$A$165)*'Cálculos'!$E$98)+1400)+'Cálculos'!$E$123)*'Cálculos'!$E$234)+('Cálculos'!$E$197+(($C159)-$A$120:$A$165)*'Cálculos'!$E$98)*('Cálculos'!$E$225+'Cálculos'!$E$124*(1+2.78*('Cálculos'!$E$197+(($C159)-$A$120:$A$165)*'Cálculos'!$E$98)/(('Cálculos'!$E$197+(($C159)-$A$120:$A$165)*'Cálculos'!$E$98)+1400)+'Cálculos'!$E$122)*'Cálculos'!$E$230+'Cálculos'!$E$125*(1+2.78*('Cálculos'!$E$197+(($C159)-$A$120:$A$165)*'Cálculos'!$E$98)/(('Cálculos'!$E$197+(($C159)-$A$120:$A$165)*'Cálculos'!$E$98)+1400)+'Cálculos'!$E$123)*'Cálculos'!$E$235)+('Cálculos'!$E$201*(1+'Cálculos'!$E$202+$A$120:$A$165*('Cálculos'!$E$290=2)*'Cálculos'!$E$101)+'Cálculos'!$E$203)*('Cálculos'!$E$226+'Cálculos'!$E$124*(1+2.78*('Cálculos'!$E$197+(($C159)-$A$120:$A$165)*'Cálculos'!$E$98)/(('Cálculos'!$E$197+(($C159)-$A$120:$A$165)*'Cálculos'!$E$98)+1400)+'Cálculos'!$E$122)*'Cálculos'!$E$231+'Cálculos'!$E$125*(1+2.78*('Cálculos'!$E$197+(($C159)-$A$120:$A$165)*'Cálculos'!$E$98)/(('Cálculos'!$E$197+(($C159)-$A$120:$A$165)*'Cálculos'!$E$98)+1400)+'Cálculos'!$E$123)*'Cálculos'!$E$236)+('Cálculos'!$E$204*(1+'Cálculos'!$E$205+$A$120:$A$165*('Cálculos'!$E$290=3)*'Cálculos'!$E$103)+'Cálculos'!$E$206)*('Cálculos'!$E$227+'Cálculos'!$E$124*(1+2.78*('Cálculos'!$E$197+(($C159)-$A$120:$A$165)*'Cálculos'!$E$98)/(('Cálculos'!$E$197+(($C159)-$A$120:$A$165)*'Cálculos'!$E$98)+1400)+'Cálculos'!$E$122)*'Cálculos'!$E$232+'Cálculos'!$E$125*(1+2.78*('Cálculos'!$E$197+(($C159)-$A$120:$A$165)*'Cálculos'!$E$98)/(('Cálculos'!$E$197+(($C159)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159)-$A$120:$A$165)*'Cálculos'!$E$98)/(('Cálculos'!$E$198+(($C159)-$A$120:$A$165)*'Cálculos'!$E$98)+1400)+'Cálculos'!$E$122)*'Cálculos'!$E$244+'Cálculos'!$E$125*(1+2.78*('Cálculos'!$E$198+(($C159)-$A$120:$A$165)*'Cálculos'!$E$98)/(('Cálculos'!$E$198+(($C159)-$A$120:$A$165)*'Cálculos'!$E$98)+1400)+'Cálculos'!$E$123)*'Cálculos'!$E$249)+('Cálculos'!$E$198+(($C159)-$A$120:$A$165)*'Cálculos'!$E$98)*('Cálculos'!$E$240+'Cálculos'!$E$124*(1+2.78*('Cálculos'!$E$198+(($C159)-$A$120:$A$165)*'Cálculos'!$E$98)/(('Cálculos'!$E$198+(($C159)-$A$120:$A$165)*'Cálculos'!$E$98)+1400)+'Cálculos'!$E$122)*'Cálculos'!$E$245+'Cálculos'!$E$125*(1+2.78*('Cálculos'!$E$198+(($C159)-$A$120:$A$165)*'Cálculos'!$E$98)/(('Cálculos'!$E$198+(($C159)-$A$120:$A$165)*'Cálculos'!$E$98)+1400)+'Cálculos'!$E$123)*'Cálculos'!$E$250)+('Cálculos'!$E$201*(1+'Cálculos'!$E$202+$A$120:$A$165*('Cálculos'!$E$290=2)*'Cálculos'!$E$101)+'Cálculos'!$E$203)*('Cálculos'!$E$241+'Cálculos'!$E$124*(1+2.78*('Cálculos'!$E$198+(($C159)-$A$120:$A$165)*'Cálculos'!$E$98)/(('Cálculos'!$E$198+(($C159)-$A$120:$A$165)*'Cálculos'!$E$98)+1400)+'Cálculos'!$E$122)*'Cálculos'!$E$246+'Cálculos'!$E$125*(1+2.78*('Cálculos'!$E$198+(($C159)-$A$120:$A$165)*'Cálculos'!$E$98)/(('Cálculos'!$E$198+(($C159)-$A$120:$A$165)*'Cálculos'!$E$98)+1400)+'Cálculos'!$E$123)*'Cálculos'!$E$251)+('Cálculos'!$E$204*(1+'Cálculos'!$E$205+$A$120:$A$165*('Cálculos'!$E$290=3)*'Cálculos'!$E$103)+'Cálculos'!$E$206)*('Cálculos'!$E$242+'Cálculos'!$E$124*(1+2.78*('Cálculos'!$E$198+(($C159)-$A$120:$A$165)*'Cálculos'!$E$98)/(('Cálculos'!$E$198+(($C159)-$A$120:$A$165)*'Cálculos'!$E$98)+1400)+'Cálculos'!$E$122)*'Cálculos'!$E$247+'Cálculos'!$E$125*(1+2.78*('Cálculos'!$E$198+(($C159)-$A$120:$A$165)*'Cálculos'!$E$98)/(('Cálculos'!$E$198+(($C159)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159)-$A$120:$A$165)*'Cálculos'!$E$98)/(('Cálculos'!$E$199+(($C159)-$A$120:$A$165)*'Cálculos'!$E$98)+1400)+'Cálculos'!$E$122)*'Cálculos'!$E$259+'Cálculos'!$E$125*(1+2.78*('Cálculos'!$E$199+(($C159)-$A$120:$A$165)*'Cálculos'!$E$98)/(('Cálculos'!$E$199+(($C159)-$A$120:$A$165)*'Cálculos'!$E$98)+1400)+'Cálculos'!$E$123)*'Cálculos'!$E$264)+('Cálculos'!$E$199+(($C159)-$A$120:$A$165)*'Cálculos'!$E$98)*('Cálculos'!$E$255+'Cálculos'!$E$124*(1+2.78*('Cálculos'!$E$199+(($C159)-$A$120:$A$165)*'Cálculos'!$E$98)/(('Cálculos'!$E$199+(($C159)-$A$120:$A$165)*'Cálculos'!$E$98)+1400)+'Cálculos'!$E$122)*'Cálculos'!$E$260+'Cálculos'!$E$125*(1+2.78*('Cálculos'!$E$199+(($C159)-$A$120:$A$165)*'Cálculos'!$E$98)/(('Cálculos'!$E$199+(($C159)-$A$120:$A$165)*'Cálculos'!$E$98)+1400)+'Cálculos'!$E$123)*'Cálculos'!$E$265)+('Cálculos'!$E$201*(1+'Cálculos'!$E$202+$A$120:$A$165*('Cálculos'!$E$290=2)*'Cálculos'!$E$101)+'Cálculos'!$E$203)*('Cálculos'!$E$256+'Cálculos'!$E$124*(1+2.78*('Cálculos'!$E$199+(($C159)-$A$120:$A$165)*'Cálculos'!$E$98)/(('Cálculos'!$E$199+(($C159)-$A$120:$A$165)*'Cálculos'!$E$98)+1400)+'Cálculos'!$E$122)*'Cálculos'!$E$261+'Cálculos'!$E$125*(1+2.78*('Cálculos'!$E$199+(($C159)-$A$120:$A$165)*'Cálculos'!$E$98)/(('Cálculos'!$E$199+(($C159)-$A$120:$A$165)*'Cálculos'!$E$98)+1400)+'Cálculos'!$E$123)*'Cálculos'!$E$266)+('Cálculos'!$E$204*(1+'Cálculos'!$E$205+$A$120:$A$165*('Cálculos'!$E$290=3)*'Cálculos'!$E$103)+'Cálculos'!$E$206)*('Cálculos'!$E$257+'Cálculos'!$E$124*(1+2.78*('Cálculos'!$E$199+(($C159)-$A$120:$A$165)*'Cálculos'!$E$98)/(('Cálculos'!$E$199+(($C159)-$A$120:$A$165)*'Cálculos'!$E$98)+1400)+'Cálculos'!$E$122)*'Cálculos'!$E$262+'Cálculos'!$E$125*(1+2.78*('Cálculos'!$E$199+(($C159)-$A$120:$A$165)*'Cálculos'!$E$98)/(('Cálculos'!$E$199+(($C159)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159)-$A$120:$A$165)*'Cálculos'!$E$98)/(('Cálculos'!$E$200+(($C159)-$A$120:$A$165)*'Cálculos'!$E$98)+1400)+'Cálculos'!$E$122)*'Cálculos'!$E$274+'Cálculos'!$E$125*(1+2.78*('Cálculos'!$E$200+(($C159)-$A$120:$A$165)*'Cálculos'!$E$98)/(('Cálculos'!$E$200+(($C159)-$A$120:$A$165)*'Cálculos'!$E$98)+1400)+'Cálculos'!$E$123)*'Cálculos'!$E$279)+('Cálculos'!$E$200+(($C159)-$A$120:$A$165)*'Cálculos'!$E$98)*('Cálculos'!$E$270+'Cálculos'!$E$124*(1+2.78*('Cálculos'!$E$200+(($C159)-$A$120:$A$165)*'Cálculos'!$E$98)/(('Cálculos'!$E$200+(($C159)-$A$120:$A$165)*'Cálculos'!$E$98)+1400)+'Cálculos'!$E$122)*'Cálculos'!$E$275+'Cálculos'!$E$125*(1+2.78*('Cálculos'!$E$200+(($C159)-$A$120:$A$165)*'Cálculos'!$E$98)/(('Cálculos'!$E$200+(($C159)-$A$120:$A$165)*'Cálculos'!$E$98)+1400)+'Cálculos'!$E$123)*'Cálculos'!$E$280)+('Cálculos'!$E$201*(1+'Cálculos'!$E$202+$A$120:$A$165*('Cálculos'!$E$290=2)*'Cálculos'!$E$101)+'Cálculos'!$E$203)*('Cálculos'!$E$271+'Cálculos'!$E$124*(1+2.78*('Cálculos'!$E$200+(($C159)-$A$120:$A$165)*'Cálculos'!$E$98)/(('Cálculos'!$E$200+(($C159)-$A$120:$A$165)*'Cálculos'!$E$98)+1400)+'Cálculos'!$E$122)*'Cálculos'!$E$276+'Cálculos'!$E$125*(1+2.78*('Cálculos'!$E$200+(($C159)-$A$120:$A$165)*'Cálculos'!$E$98)/(('Cálculos'!$E$200+(($C159)-$A$120:$A$165)*'Cálculos'!$E$98)+1400)+'Cálculos'!$E$123)*'Cálculos'!$E$281)+('Cálculos'!$E$204*(1+'Cálculos'!$E$205+$A$120:$A$165*('Cálculos'!$E$290=3)*'Cálculos'!$E$103)+'Cálculos'!$E$206)*('Cálculos'!$E$272+'Cálculos'!$E$124*(1+2.78*('Cálculos'!$E$200+(($C159)-$A$120:$A$165)*'Cálculos'!$E$98)/(('Cálculos'!$E$200+(($C159)-$A$120:$A$165)*'Cálculos'!$E$98)+1400)+'Cálculos'!$E$122)*'Cálculos'!$E$277+'Cálculos'!$E$125*(1+2.78*('Cálculos'!$E$200+(($C159)-$A$120:$A$165)*'Cálculos'!$E$98)/(('Cálculos'!$E$200+(($C159)-$A$120:$A$165)*'Cálculos'!$E$98)+1400)+'Cálculos'!$E$123)*'Cálculos'!$E$282)))))</f>
        <v>0</v>
      </c>
      <c r="E159" s="32">
        <f>IF(OR($C159&lt;0,'Cálculos'!$E$6=""),0,$B159*$D159)</f>
        <v>0</v>
      </c>
      <c r="F159" s="2"/>
      <c r="G159" s="30">
        <f>($A159&lt;=$B$167)*($A159&lt;='Cálculos'!$E$294)*(($B$167)-$A159&lt;='Cálculos'!$E$295)*(1+MIN(('Cálculos'!$E$207+$A159*'Cálculos'!$E$95),1)*('Cálculos'!$E$208+(($B$167)-$A159)*'Cálculos'!$E$96))</f>
        <v>0</v>
      </c>
      <c r="H159" s="31">
        <f>IF($B$168&lt;0,0,($A159&lt;=$B$168)*($A159&lt;='Cálculos'!$E$301)*(($B$168)-$A159&lt;='Cálculos'!$E$297)*(('Cálculos'!$E$185*(1+'Cálculos'!$E$186+$A159*('Cálculos'!$E$290=1)*'Cálculos'!$E$97+'Cálculos'!$E$305)+'Cálculos'!$E$191)*('Cálculos'!$E$209+'Cálculos'!$E$124*(1+2.78*('Cálculos'!$E$196+(($B$168)-$A159)*'Cálculos'!$E$98)/(('Cálculos'!$E$196+(($B$168)-$A159)*'Cálculos'!$E$98)+1400)+'Cálculos'!$E$122)*'Cálculos'!$E$214+'Cálculos'!$E$125*(1+2.78*('Cálculos'!$E$196+(($B$168)-$A159)*'Cálculos'!$E$98)/(('Cálculos'!$E$196+(($B$168)-$A159)*'Cálculos'!$E$98)+1400)+'Cálculos'!$E$123)*'Cálculos'!$E$219)+('Cálculos'!$E$196+(($B$168)-$A159)*'Cálculos'!$E$98)*('Cálculos'!$E$210+'Cálculos'!$E$124*(1+2.78*('Cálculos'!$E$196+(($B$168)-$A159)*'Cálculos'!$E$98)/(('Cálculos'!$E$196+(($B$168)-$A159)*'Cálculos'!$E$98)+1400)+'Cálculos'!$E$122)*'Cálculos'!$E$215+'Cálculos'!$E$125*(1+2.78*('Cálculos'!$E$196+(($B$168)-$A159)*'Cálculos'!$E$98)/(('Cálculos'!$E$196+(($B$168)-$A159)*'Cálculos'!$E$98)+1400)+'Cálculos'!$E$123)*'Cálculos'!$E$220)+('Cálculos'!$E$201*(1+'Cálculos'!$E$202+$A159*('Cálculos'!$E$290=2)*'Cálculos'!$E$101)+'Cálculos'!$E$203)*('Cálculos'!$E$211+'Cálculos'!$E$124*(1+2.78*('Cálculos'!$E$196+(($B$168)-$A159)*'Cálculos'!$E$98)/(('Cálculos'!$E$196+(($B$168)-$A159)*'Cálculos'!$E$98)+1400)+'Cálculos'!$E$122)*'Cálculos'!$E$216+'Cálculos'!$E$125*(1+2.78*('Cálculos'!$E$196+(($B$168)-$A159)*'Cálculos'!$E$98)/(('Cálculos'!$E$196+(($B$168)-$A159)*'Cálculos'!$E$98)+1400)+'Cálculos'!$E$123)*'Cálculos'!$E$221)+('Cálculos'!$E$204*(1+'Cálculos'!$E$205+$A159*('Cálculos'!$E$290=3)*'Cálculos'!$E$103)+'Cálculos'!$E$206)*('Cálculos'!$E$212+'Cálculos'!$E$124*(1+2.78*('Cálculos'!$E$196+(($B$168)-$A159)*'Cálculos'!$E$98)/(('Cálculos'!$E$196+(($B$168)-$A159)*'Cálculos'!$E$98)+1400)+'Cálculos'!$E$122)*'Cálculos'!$E$217+'Cálculos'!$E$125*(1+2.78*('Cálculos'!$E$196+(($B$168)-$A159)*'Cálculos'!$E$98)/(('Cálculos'!$E$196+(($B$168)-$A159)*'Cálculos'!$E$98)+1400)+'Cálculos'!$E$123)*'Cálculos'!$E$222)+('Cálculos'!$E$185*(1+'Cálculos'!$E$187+$A159*('Cálculos'!$E$290=1)*'Cálculos'!$E$97+'Cálculos'!$E$305)+'Cálculos'!$E$192)*('Cálculos'!$E$224+'Cálculos'!$E$124*(1+2.78*('Cálculos'!$E$197+(($B$168)-$A159)*'Cálculos'!$E$98)/(('Cálculos'!$E$197+(($B$168)-$A159)*'Cálculos'!$E$98)+1400)+'Cálculos'!$E$122)*'Cálculos'!$E$229+'Cálculos'!$E$125*(1+2.78*('Cálculos'!$E$197+(($B$168)-$A159)*'Cálculos'!$E$98)/(('Cálculos'!$E$197+(($B$168)-$A159)*'Cálculos'!$E$98)+1400)+'Cálculos'!$E$123)*'Cálculos'!$E$234)+('Cálculos'!$E$197+(($B$168)-$A159)*'Cálculos'!$E$98)*('Cálculos'!$E$225+'Cálculos'!$E$124*(1+2.78*('Cálculos'!$E$197+(($B$168)-$A159)*'Cálculos'!$E$98)/(('Cálculos'!$E$197+(($B$168)-$A159)*'Cálculos'!$E$98)+1400)+'Cálculos'!$E$122)*'Cálculos'!$E$230+'Cálculos'!$E$125*(1+2.78*('Cálculos'!$E$197+(($B$168)-$A159)*'Cálculos'!$E$98)/(('Cálculos'!$E$197+(($B$168)-$A159)*'Cálculos'!$E$98)+1400)+'Cálculos'!$E$123)*'Cálculos'!$E$235)+('Cálculos'!$E$201*(1+'Cálculos'!$E$202+$A159*('Cálculos'!$E$290=2)*'Cálculos'!$E$101)+'Cálculos'!$E$203)*('Cálculos'!$E$226+'Cálculos'!$E$124*(1+2.78*('Cálculos'!$E$197+(($B$168)-$A159)*'Cálculos'!$E$98)/(('Cálculos'!$E$197+(($B$168)-$A159)*'Cálculos'!$E$98)+1400)+'Cálculos'!$E$122)*'Cálculos'!$E$231+'Cálculos'!$E$125*(1+2.78*('Cálculos'!$E$197+(($B$168)-$A159)*'Cálculos'!$E$98)/(('Cálculos'!$E$197+(($B$168)-$A159)*'Cálculos'!$E$98)+1400)+'Cálculos'!$E$123)*'Cálculos'!$E$236)+('Cálculos'!$E$204*(1+'Cálculos'!$E$205+$A159*('Cálculos'!$E$290=3)*'Cálculos'!$E$103)+'Cálculos'!$E$206)*('Cálculos'!$E$227+'Cálculos'!$E$124*(1+2.78*('Cálculos'!$E$197+(($B$168)-$A159)*'Cálculos'!$E$98)/(('Cálculos'!$E$197+(($B$168)-$A159)*'Cálculos'!$E$98)+1400)+'Cálculos'!$E$122)*'Cálculos'!$E$232+'Cálculos'!$E$125*(1+2.78*('Cálculos'!$E$197+(($B$168)-$A159)*'Cálculos'!$E$98)/(('Cálculos'!$E$197+(($B$168)-$A159)*'Cálculos'!$E$98)+1400)+'Cálculos'!$E$123)*'Cálculos'!$E$237)+('Cálculos'!$E$185*(1+'Cálculos'!$E$188+$A159*('Cálculos'!$E$290=1)*'Cálculos'!$E$97+'Cálculos'!$E$305)+'Cálculos'!$E$193)*('Cálculos'!$E$239+'Cálculos'!$E$124*(1+2.78*('Cálculos'!$E$198+(($B$168)-$A159)*'Cálculos'!$E$98)/(('Cálculos'!$E$198+(($B$168)-$A159)*'Cálculos'!$E$98)+1400)+'Cálculos'!$E$122)*'Cálculos'!$E$244+'Cálculos'!$E$125*(1+2.78*('Cálculos'!$E$198+(($B$168)-$A159)*'Cálculos'!$E$98)/(('Cálculos'!$E$198+(($B$168)-$A159)*'Cálculos'!$E$98)+1400)+'Cálculos'!$E$123)*'Cálculos'!$E$249)+('Cálculos'!$E$198+(($B$168)-$A159)*'Cálculos'!$E$98)*('Cálculos'!$E$240+'Cálculos'!$E$124*(1+2.78*('Cálculos'!$E$198+(($B$168)-$A159)*'Cálculos'!$E$98)/(('Cálculos'!$E$198+(($B$168)-$A159)*'Cálculos'!$E$98)+1400)+'Cálculos'!$E$122)*'Cálculos'!$E$245+'Cálculos'!$E$125*(1+2.78*('Cálculos'!$E$198+(($B$168)-$A159)*'Cálculos'!$E$98)/(('Cálculos'!$E$198+(($B$168)-$A159)*'Cálculos'!$E$98)+1400)+'Cálculos'!$E$123)*'Cálculos'!$E$250)+('Cálculos'!$E$201*(1+'Cálculos'!$E$202+$A159*('Cálculos'!$E$290=2)*'Cálculos'!$E$101)+'Cálculos'!$E$203)*('Cálculos'!$E$241+'Cálculos'!$E$124*(1+2.78*('Cálculos'!$E$198+(($B$168)-$A159)*'Cálculos'!$E$98)/(('Cálculos'!$E$198+(($B$168)-$A159)*'Cálculos'!$E$98)+1400)+'Cálculos'!$E$122)*'Cálculos'!$E$246+'Cálculos'!$E$125*(1+2.78*('Cálculos'!$E$198+(($B$168)-$A159)*'Cálculos'!$E$98)/(('Cálculos'!$E$198+(($B$168)-$A159)*'Cálculos'!$E$98)+1400)+'Cálculos'!$E$123)*'Cálculos'!$E$251)+('Cálculos'!$E$204*(1+'Cálculos'!$E$205+$A159*('Cálculos'!$E$290=3)*'Cálculos'!$E$103)+'Cálculos'!$E$206)*('Cálculos'!$E$242+'Cálculos'!$E$124*(1+2.78*('Cálculos'!$E$198+(($B$168)-$A159)*'Cálculos'!$E$98)/(('Cálculos'!$E$198+(($B$168)-$A159)*'Cálculos'!$E$98)+1400)+'Cálculos'!$E$122)*'Cálculos'!$E$247+'Cálculos'!$E$125*(1+2.78*('Cálculos'!$E$198+(($B$168)-$A159)*'Cálculos'!$E$98)/(('Cálculos'!$E$198+(($B$168)-$A159)*'Cálculos'!$E$98)+1400)+'Cálculos'!$E$123)*'Cálculos'!$E$252)+('Cálculos'!$E$185*(1+'Cálculos'!$E$189+$A159*('Cálculos'!$E$290=1)*'Cálculos'!$E$97+'Cálculos'!$E$305)+'Cálculos'!$E$194)*('Cálculos'!$E$254+'Cálculos'!$E$124*(1+2.78*('Cálculos'!$E$199+(($B$168)-$A159)*'Cálculos'!$E$98)/(('Cálculos'!$E$199+(($B$168)-$A159)*'Cálculos'!$E$98)+1400)+'Cálculos'!$E$122)*'Cálculos'!$E$259+'Cálculos'!$E$125*(1+2.78*('Cálculos'!$E$199+(($B$168)-$A159)*'Cálculos'!$E$98)/(('Cálculos'!$E$199+(($B$168)-$A159)*'Cálculos'!$E$98)+1400)+'Cálculos'!$E$123)*'Cálculos'!$E$264)+('Cálculos'!$E$199+(($B$168)-$A159)*'Cálculos'!$E$98)*('Cálculos'!$E$255+'Cálculos'!$E$124*(1+2.78*('Cálculos'!$E$199+(($B$168)-$A159)*'Cálculos'!$E$98)/(('Cálculos'!$E$199+(($B$168)-$A159)*'Cálculos'!$E$98)+1400)+'Cálculos'!$E$122)*'Cálculos'!$E$260+'Cálculos'!$E$125*(1+2.78*('Cálculos'!$E$199+(($B$168)-$A159)*'Cálculos'!$E$98)/(('Cálculos'!$E$199+(($B$168)-$A159)*'Cálculos'!$E$98)+1400)+'Cálculos'!$E$123)*'Cálculos'!$E$265)+('Cálculos'!$E$201*(1+'Cálculos'!$E$202+$A159*('Cálculos'!$E$290=2)*'Cálculos'!$E$101)+'Cálculos'!$E$203)*('Cálculos'!$E$256+'Cálculos'!$E$124*(1+2.78*('Cálculos'!$E$199+(($B$168)-$A159)*'Cálculos'!$E$98)/(('Cálculos'!$E$199+(($B$168)-$A159)*'Cálculos'!$E$98)+1400)+'Cálculos'!$E$122)*'Cálculos'!$E$261+'Cálculos'!$E$125*(1+2.78*('Cálculos'!$E$199+(($B$168)-$A159)*'Cálculos'!$E$98)/(('Cálculos'!$E$199+(($B$168)-$A159)*'Cálculos'!$E$98)+1400)+'Cálculos'!$E$123)*'Cálculos'!$E$266)+('Cálculos'!$E$204*(1+'Cálculos'!$E$205+$A159*('Cálculos'!$E$290=3)*'Cálculos'!$E$103)+'Cálculos'!$E$206)*('Cálculos'!$E$257+'Cálculos'!$E$124*(1+2.78*('Cálculos'!$E$199+(($B$168)-$A159)*'Cálculos'!$E$98)/(('Cálculos'!$E$199+(($B$168)-$A159)*'Cálculos'!$E$98)+1400)+'Cálculos'!$E$122)*'Cálculos'!$E$262+'Cálculos'!$E$125*(1+2.78*('Cálculos'!$E$199+(($B$168)-$A159)*'Cálculos'!$E$98)/(('Cálculos'!$E$199+(($B$168)-$A159)*'Cálculos'!$E$98)+1400)+'Cálculos'!$E$123)*'Cálculos'!$E$267)+('Cálculos'!$E$185*(1+'Cálculos'!$E$190+$A159*('Cálculos'!$E$290=1)*'Cálculos'!$E$97+'Cálculos'!$E$305)+'Cálculos'!$E$195)*('Cálculos'!$E$269+'Cálculos'!$E$124*(1+2.78*('Cálculos'!$E$200+(($B$168)-$A159)*'Cálculos'!$E$98)/(('Cálculos'!$E$200+(($B$168)-$A159)*'Cálculos'!$E$98)+1400)+'Cálculos'!$E$122)*'Cálculos'!$E$274+'Cálculos'!$E$125*(1+2.78*('Cálculos'!$E$200+(($B$168)-$A159)*'Cálculos'!$E$98)/(('Cálculos'!$E$200+(($B$168)-$A159)*'Cálculos'!$E$98)+1400)+'Cálculos'!$E$123)*'Cálculos'!$E$279)+('Cálculos'!$E$200+(($B$168)-$A159)*'Cálculos'!$E$98)*('Cálculos'!$E$270+'Cálculos'!$E$124*(1+2.78*('Cálculos'!$E$200+(($B$168)-$A159)*'Cálculos'!$E$98)/(('Cálculos'!$E$200+(($B$168)-$A159)*'Cálculos'!$E$98)+1400)+'Cálculos'!$E$122)*'Cálculos'!$E$275+'Cálculos'!$E$125*(1+2.78*('Cálculos'!$E$200+(($B$168)-$A159)*'Cálculos'!$E$98)/(('Cálculos'!$E$200+(($B$168)-$A159)*'Cálculos'!$E$98)+1400)+'Cálculos'!$E$123)*'Cálculos'!$E$280)+('Cálculos'!$E$201*(1+'Cálculos'!$E$202+$A159*('Cálculos'!$E$290=2)*'Cálculos'!$E$101)+'Cálculos'!$E$203)*('Cálculos'!$E$271+'Cálculos'!$E$124*(1+2.78*('Cálculos'!$E$200+(($B$168)-$A159)*'Cálculos'!$E$98)/(('Cálculos'!$E$200+(($B$168)-$A159)*'Cálculos'!$E$98)+1400)+'Cálculos'!$E$122)*'Cálculos'!$E$276+'Cálculos'!$E$125*(1+2.78*('Cálculos'!$E$200+(($B$168)-$A159)*'Cálculos'!$E$98)/(('Cálculos'!$E$200+(($B$168)-$A159)*'Cálculos'!$E$98)+1400)+'Cálculos'!$E$123)*'Cálculos'!$E$281)+('Cálculos'!$E$204*(1+'Cálculos'!$E$205+$A159*('Cálculos'!$E$290=3)*'Cálculos'!$E$103)+'Cálculos'!$E$206)*('Cálculos'!$E$272+'Cálculos'!$E$124*(1+2.78*('Cálculos'!$E$200+(($B$168)-$A159)*'Cálculos'!$E$98)/(('Cálculos'!$E$200+(($B$168)-$A159)*'Cálculos'!$E$98)+1400)+'Cálculos'!$E$122)*'Cálculos'!$E$277+'Cálculos'!$E$125*(1+2.78*('Cálculos'!$E$200+(($B$168)-$A159)*'Cálculos'!$E$98)/(('Cálculos'!$E$200+(($B$168)-$A159)*'Cálculos'!$E$98)+1400)+'Cálculos'!$E$123)*'Cálculos'!$E$282)))</f>
        <v>0</v>
      </c>
    </row>
    <row r="160" ht="15.75" customHeight="1">
      <c r="A160" s="2">
        <v>40.0</v>
      </c>
      <c r="B160" s="30">
        <f>SUMPRODUCT(MAX(($A$120:$A$165&lt;=$A160)*($A$120:$A$165&lt;='Cálculos'!$E$294)*(($A160)-$A$120:$A$165&lt;='Cálculos'!$E$295)*(1+(('Cálculos'!$E$207+$A$120:$A$165*'Cálculos'!$E$95)-(('Cálculos'!$E$207+$A$120:$A$165*'Cálculos'!$E$95)&gt;1)*(('Cálculos'!$E$207+$A$120:$A$165*'Cálculos'!$E$95)-1))*('Cálculos'!$E$208+(($A160)-$A$120:$A$165)*'Cálculos'!$E$96))))</f>
        <v>3.1242</v>
      </c>
      <c r="C160" s="2">
        <f>'Cálculos'!$E$303-$A160</f>
        <v>-27</v>
      </c>
      <c r="D160" s="31">
        <f>IF($C160&lt;0,0,SUMPRODUCT(MAX(($A$120:$A$165&lt;=$C160)*($A$120:$A$165&lt;='Cálculos'!$E$301)*(($C160)-$A$120:$A$165&lt;='Cálculos'!$E$297)*(('Cálculos'!$E$185*(1+'Cálculos'!$E$186+$A$120:$A$165*('Cálculos'!$E$290=1)*'Cálculos'!$E$97+'Cálculos'!$E$305)+'Cálculos'!$E$191)*('Cálculos'!$E$209+'Cálculos'!$E$124*(1+2.78*('Cálculos'!$E$196+(($C160)-$A$120:$A$165)*'Cálculos'!$E$98)/(('Cálculos'!$E$196+(($C160)-$A$120:$A$165)*'Cálculos'!$E$98)+1400)+'Cálculos'!$E$122)*'Cálculos'!$E$214+'Cálculos'!$E$125*(1+2.78*('Cálculos'!$E$196+(($C160)-$A$120:$A$165)*'Cálculos'!$E$98)/(('Cálculos'!$E$196+(($C160)-$A$120:$A$165)*'Cálculos'!$E$98)+1400)+'Cálculos'!$E$123)*'Cálculos'!$E$219)+('Cálculos'!$E$196+(($C160)-$A$120:$A$165)*'Cálculos'!$E$98)*('Cálculos'!$E$210+'Cálculos'!$E$124*(1+2.78*('Cálculos'!$E$196+(($C160)-$A$120:$A$165)*'Cálculos'!$E$98)/(('Cálculos'!$E$196+(($C160)-$A$120:$A$165)*'Cálculos'!$E$98)+1400)+'Cálculos'!$E$122)*'Cálculos'!$E$215+'Cálculos'!$E$125*(1+2.78*('Cálculos'!$E$196+(($C160)-$A$120:$A$165)*'Cálculos'!$E$98)/(('Cálculos'!$E$196+(($C160)-$A$120:$A$165)*'Cálculos'!$E$98)+1400)+'Cálculos'!$E$123)*'Cálculos'!$E$220)+('Cálculos'!$E$201*(1+'Cálculos'!$E$202+$A$120:$A$165*('Cálculos'!$E$290=2)*'Cálculos'!$E$101)+'Cálculos'!$E$203)*('Cálculos'!$E$211+'Cálculos'!$E$124*(1+2.78*('Cálculos'!$E$196+(($C160)-$A$120:$A$165)*'Cálculos'!$E$98)/(('Cálculos'!$E$196+(($C160)-$A$120:$A$165)*'Cálculos'!$E$98)+1400)+'Cálculos'!$E$122)*'Cálculos'!$E$216+'Cálculos'!$E$125*(1+2.78*('Cálculos'!$E$196+(($C160)-$A$120:$A$165)*'Cálculos'!$E$98)/(('Cálculos'!$E$196+(($C160)-$A$120:$A$165)*'Cálculos'!$E$98)+1400)+'Cálculos'!$E$123)*'Cálculos'!$E$221)+('Cálculos'!$E$204*(1+'Cálculos'!$E$205+$A$120:$A$165*('Cálculos'!$E$290=3)*'Cálculos'!$E$103)+'Cálculos'!$E$206)*('Cálculos'!$E$212+'Cálculos'!$E$124*(1+2.78*('Cálculos'!$E$196+(($C160)-$A$120:$A$165)*'Cálculos'!$E$98)/(('Cálculos'!$E$196+(($C160)-$A$120:$A$165)*'Cálculos'!$E$98)+1400)+'Cálculos'!$E$122)*'Cálculos'!$E$217+'Cálculos'!$E$125*(1+2.78*('Cálculos'!$E$196+(($C160)-$A$120:$A$165)*'Cálculos'!$E$98)/(('Cálculos'!$E$196+(($C160)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160)-$A$120:$A$165)*'Cálculos'!$E$98)/(('Cálculos'!$E$197+(($C160)-$A$120:$A$165)*'Cálculos'!$E$98)+1400)+'Cálculos'!$E$122)*'Cálculos'!$E$229+'Cálculos'!$E$125*(1+2.78*('Cálculos'!$E$197+(($C160)-$A$120:$A$165)*'Cálculos'!$E$98)/(('Cálculos'!$E$197+(($C160)-$A$120:$A$165)*'Cálculos'!$E$98)+1400)+'Cálculos'!$E$123)*'Cálculos'!$E$234)+('Cálculos'!$E$197+(($C160)-$A$120:$A$165)*'Cálculos'!$E$98)*('Cálculos'!$E$225+'Cálculos'!$E$124*(1+2.78*('Cálculos'!$E$197+(($C160)-$A$120:$A$165)*'Cálculos'!$E$98)/(('Cálculos'!$E$197+(($C160)-$A$120:$A$165)*'Cálculos'!$E$98)+1400)+'Cálculos'!$E$122)*'Cálculos'!$E$230+'Cálculos'!$E$125*(1+2.78*('Cálculos'!$E$197+(($C160)-$A$120:$A$165)*'Cálculos'!$E$98)/(('Cálculos'!$E$197+(($C160)-$A$120:$A$165)*'Cálculos'!$E$98)+1400)+'Cálculos'!$E$123)*'Cálculos'!$E$235)+('Cálculos'!$E$201*(1+'Cálculos'!$E$202+$A$120:$A$165*('Cálculos'!$E$290=2)*'Cálculos'!$E$101)+'Cálculos'!$E$203)*('Cálculos'!$E$226+'Cálculos'!$E$124*(1+2.78*('Cálculos'!$E$197+(($C160)-$A$120:$A$165)*'Cálculos'!$E$98)/(('Cálculos'!$E$197+(($C160)-$A$120:$A$165)*'Cálculos'!$E$98)+1400)+'Cálculos'!$E$122)*'Cálculos'!$E$231+'Cálculos'!$E$125*(1+2.78*('Cálculos'!$E$197+(($C160)-$A$120:$A$165)*'Cálculos'!$E$98)/(('Cálculos'!$E$197+(($C160)-$A$120:$A$165)*'Cálculos'!$E$98)+1400)+'Cálculos'!$E$123)*'Cálculos'!$E$236)+('Cálculos'!$E$204*(1+'Cálculos'!$E$205+$A$120:$A$165*('Cálculos'!$E$290=3)*'Cálculos'!$E$103)+'Cálculos'!$E$206)*('Cálculos'!$E$227+'Cálculos'!$E$124*(1+2.78*('Cálculos'!$E$197+(($C160)-$A$120:$A$165)*'Cálculos'!$E$98)/(('Cálculos'!$E$197+(($C160)-$A$120:$A$165)*'Cálculos'!$E$98)+1400)+'Cálculos'!$E$122)*'Cálculos'!$E$232+'Cálculos'!$E$125*(1+2.78*('Cálculos'!$E$197+(($C160)-$A$120:$A$165)*'Cálculos'!$E$98)/(('Cálculos'!$E$197+(($C160)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160)-$A$120:$A$165)*'Cálculos'!$E$98)/(('Cálculos'!$E$198+(($C160)-$A$120:$A$165)*'Cálculos'!$E$98)+1400)+'Cálculos'!$E$122)*'Cálculos'!$E$244+'Cálculos'!$E$125*(1+2.78*('Cálculos'!$E$198+(($C160)-$A$120:$A$165)*'Cálculos'!$E$98)/(('Cálculos'!$E$198+(($C160)-$A$120:$A$165)*'Cálculos'!$E$98)+1400)+'Cálculos'!$E$123)*'Cálculos'!$E$249)+('Cálculos'!$E$198+(($C160)-$A$120:$A$165)*'Cálculos'!$E$98)*('Cálculos'!$E$240+'Cálculos'!$E$124*(1+2.78*('Cálculos'!$E$198+(($C160)-$A$120:$A$165)*'Cálculos'!$E$98)/(('Cálculos'!$E$198+(($C160)-$A$120:$A$165)*'Cálculos'!$E$98)+1400)+'Cálculos'!$E$122)*'Cálculos'!$E$245+'Cálculos'!$E$125*(1+2.78*('Cálculos'!$E$198+(($C160)-$A$120:$A$165)*'Cálculos'!$E$98)/(('Cálculos'!$E$198+(($C160)-$A$120:$A$165)*'Cálculos'!$E$98)+1400)+'Cálculos'!$E$123)*'Cálculos'!$E$250)+('Cálculos'!$E$201*(1+'Cálculos'!$E$202+$A$120:$A$165*('Cálculos'!$E$290=2)*'Cálculos'!$E$101)+'Cálculos'!$E$203)*('Cálculos'!$E$241+'Cálculos'!$E$124*(1+2.78*('Cálculos'!$E$198+(($C160)-$A$120:$A$165)*'Cálculos'!$E$98)/(('Cálculos'!$E$198+(($C160)-$A$120:$A$165)*'Cálculos'!$E$98)+1400)+'Cálculos'!$E$122)*'Cálculos'!$E$246+'Cálculos'!$E$125*(1+2.78*('Cálculos'!$E$198+(($C160)-$A$120:$A$165)*'Cálculos'!$E$98)/(('Cálculos'!$E$198+(($C160)-$A$120:$A$165)*'Cálculos'!$E$98)+1400)+'Cálculos'!$E$123)*'Cálculos'!$E$251)+('Cálculos'!$E$204*(1+'Cálculos'!$E$205+$A$120:$A$165*('Cálculos'!$E$290=3)*'Cálculos'!$E$103)+'Cálculos'!$E$206)*('Cálculos'!$E$242+'Cálculos'!$E$124*(1+2.78*('Cálculos'!$E$198+(($C160)-$A$120:$A$165)*'Cálculos'!$E$98)/(('Cálculos'!$E$198+(($C160)-$A$120:$A$165)*'Cálculos'!$E$98)+1400)+'Cálculos'!$E$122)*'Cálculos'!$E$247+'Cálculos'!$E$125*(1+2.78*('Cálculos'!$E$198+(($C160)-$A$120:$A$165)*'Cálculos'!$E$98)/(('Cálculos'!$E$198+(($C160)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160)-$A$120:$A$165)*'Cálculos'!$E$98)/(('Cálculos'!$E$199+(($C160)-$A$120:$A$165)*'Cálculos'!$E$98)+1400)+'Cálculos'!$E$122)*'Cálculos'!$E$259+'Cálculos'!$E$125*(1+2.78*('Cálculos'!$E$199+(($C160)-$A$120:$A$165)*'Cálculos'!$E$98)/(('Cálculos'!$E$199+(($C160)-$A$120:$A$165)*'Cálculos'!$E$98)+1400)+'Cálculos'!$E$123)*'Cálculos'!$E$264)+('Cálculos'!$E$199+(($C160)-$A$120:$A$165)*'Cálculos'!$E$98)*('Cálculos'!$E$255+'Cálculos'!$E$124*(1+2.78*('Cálculos'!$E$199+(($C160)-$A$120:$A$165)*'Cálculos'!$E$98)/(('Cálculos'!$E$199+(($C160)-$A$120:$A$165)*'Cálculos'!$E$98)+1400)+'Cálculos'!$E$122)*'Cálculos'!$E$260+'Cálculos'!$E$125*(1+2.78*('Cálculos'!$E$199+(($C160)-$A$120:$A$165)*'Cálculos'!$E$98)/(('Cálculos'!$E$199+(($C160)-$A$120:$A$165)*'Cálculos'!$E$98)+1400)+'Cálculos'!$E$123)*'Cálculos'!$E$265)+('Cálculos'!$E$201*(1+'Cálculos'!$E$202+$A$120:$A$165*('Cálculos'!$E$290=2)*'Cálculos'!$E$101)+'Cálculos'!$E$203)*('Cálculos'!$E$256+'Cálculos'!$E$124*(1+2.78*('Cálculos'!$E$199+(($C160)-$A$120:$A$165)*'Cálculos'!$E$98)/(('Cálculos'!$E$199+(($C160)-$A$120:$A$165)*'Cálculos'!$E$98)+1400)+'Cálculos'!$E$122)*'Cálculos'!$E$261+'Cálculos'!$E$125*(1+2.78*('Cálculos'!$E$199+(($C160)-$A$120:$A$165)*'Cálculos'!$E$98)/(('Cálculos'!$E$199+(($C160)-$A$120:$A$165)*'Cálculos'!$E$98)+1400)+'Cálculos'!$E$123)*'Cálculos'!$E$266)+('Cálculos'!$E$204*(1+'Cálculos'!$E$205+$A$120:$A$165*('Cálculos'!$E$290=3)*'Cálculos'!$E$103)+'Cálculos'!$E$206)*('Cálculos'!$E$257+'Cálculos'!$E$124*(1+2.78*('Cálculos'!$E$199+(($C160)-$A$120:$A$165)*'Cálculos'!$E$98)/(('Cálculos'!$E$199+(($C160)-$A$120:$A$165)*'Cálculos'!$E$98)+1400)+'Cálculos'!$E$122)*'Cálculos'!$E$262+'Cálculos'!$E$125*(1+2.78*('Cálculos'!$E$199+(($C160)-$A$120:$A$165)*'Cálculos'!$E$98)/(('Cálculos'!$E$199+(($C160)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160)-$A$120:$A$165)*'Cálculos'!$E$98)/(('Cálculos'!$E$200+(($C160)-$A$120:$A$165)*'Cálculos'!$E$98)+1400)+'Cálculos'!$E$122)*'Cálculos'!$E$274+'Cálculos'!$E$125*(1+2.78*('Cálculos'!$E$200+(($C160)-$A$120:$A$165)*'Cálculos'!$E$98)/(('Cálculos'!$E$200+(($C160)-$A$120:$A$165)*'Cálculos'!$E$98)+1400)+'Cálculos'!$E$123)*'Cálculos'!$E$279)+('Cálculos'!$E$200+(($C160)-$A$120:$A$165)*'Cálculos'!$E$98)*('Cálculos'!$E$270+'Cálculos'!$E$124*(1+2.78*('Cálculos'!$E$200+(($C160)-$A$120:$A$165)*'Cálculos'!$E$98)/(('Cálculos'!$E$200+(($C160)-$A$120:$A$165)*'Cálculos'!$E$98)+1400)+'Cálculos'!$E$122)*'Cálculos'!$E$275+'Cálculos'!$E$125*(1+2.78*('Cálculos'!$E$200+(($C160)-$A$120:$A$165)*'Cálculos'!$E$98)/(('Cálculos'!$E$200+(($C160)-$A$120:$A$165)*'Cálculos'!$E$98)+1400)+'Cálculos'!$E$123)*'Cálculos'!$E$280)+('Cálculos'!$E$201*(1+'Cálculos'!$E$202+$A$120:$A$165*('Cálculos'!$E$290=2)*'Cálculos'!$E$101)+'Cálculos'!$E$203)*('Cálculos'!$E$271+'Cálculos'!$E$124*(1+2.78*('Cálculos'!$E$200+(($C160)-$A$120:$A$165)*'Cálculos'!$E$98)/(('Cálculos'!$E$200+(($C160)-$A$120:$A$165)*'Cálculos'!$E$98)+1400)+'Cálculos'!$E$122)*'Cálculos'!$E$276+'Cálculos'!$E$125*(1+2.78*('Cálculos'!$E$200+(($C160)-$A$120:$A$165)*'Cálculos'!$E$98)/(('Cálculos'!$E$200+(($C160)-$A$120:$A$165)*'Cálculos'!$E$98)+1400)+'Cálculos'!$E$123)*'Cálculos'!$E$281)+('Cálculos'!$E$204*(1+'Cálculos'!$E$205+$A$120:$A$165*('Cálculos'!$E$290=3)*'Cálculos'!$E$103)+'Cálculos'!$E$206)*('Cálculos'!$E$272+'Cálculos'!$E$124*(1+2.78*('Cálculos'!$E$200+(($C160)-$A$120:$A$165)*'Cálculos'!$E$98)/(('Cálculos'!$E$200+(($C160)-$A$120:$A$165)*'Cálculos'!$E$98)+1400)+'Cálculos'!$E$122)*'Cálculos'!$E$277+'Cálculos'!$E$125*(1+2.78*('Cálculos'!$E$200+(($C160)-$A$120:$A$165)*'Cálculos'!$E$98)/(('Cálculos'!$E$200+(($C160)-$A$120:$A$165)*'Cálculos'!$E$98)+1400)+'Cálculos'!$E$123)*'Cálculos'!$E$282)))))</f>
        <v>0</v>
      </c>
      <c r="E160" s="32">
        <f>IF(OR($C160&lt;0,'Cálculos'!$E$6=""),0,$B160*$D160)</f>
        <v>0</v>
      </c>
      <c r="F160" s="2"/>
      <c r="G160" s="30">
        <f>($A160&lt;=$B$167)*($A160&lt;='Cálculos'!$E$294)*(($B$167)-$A160&lt;='Cálculos'!$E$295)*(1+MIN(('Cálculos'!$E$207+$A160*'Cálculos'!$E$95),1)*('Cálculos'!$E$208+(($B$167)-$A160)*'Cálculos'!$E$96))</f>
        <v>0</v>
      </c>
      <c r="H160" s="31">
        <f>IF($B$168&lt;0,0,($A160&lt;=$B$168)*($A160&lt;='Cálculos'!$E$301)*(($B$168)-$A160&lt;='Cálculos'!$E$297)*(('Cálculos'!$E$185*(1+'Cálculos'!$E$186+$A160*('Cálculos'!$E$290=1)*'Cálculos'!$E$97+'Cálculos'!$E$305)+'Cálculos'!$E$191)*('Cálculos'!$E$209+'Cálculos'!$E$124*(1+2.78*('Cálculos'!$E$196+(($B$168)-$A160)*'Cálculos'!$E$98)/(('Cálculos'!$E$196+(($B$168)-$A160)*'Cálculos'!$E$98)+1400)+'Cálculos'!$E$122)*'Cálculos'!$E$214+'Cálculos'!$E$125*(1+2.78*('Cálculos'!$E$196+(($B$168)-$A160)*'Cálculos'!$E$98)/(('Cálculos'!$E$196+(($B$168)-$A160)*'Cálculos'!$E$98)+1400)+'Cálculos'!$E$123)*'Cálculos'!$E$219)+('Cálculos'!$E$196+(($B$168)-$A160)*'Cálculos'!$E$98)*('Cálculos'!$E$210+'Cálculos'!$E$124*(1+2.78*('Cálculos'!$E$196+(($B$168)-$A160)*'Cálculos'!$E$98)/(('Cálculos'!$E$196+(($B$168)-$A160)*'Cálculos'!$E$98)+1400)+'Cálculos'!$E$122)*'Cálculos'!$E$215+'Cálculos'!$E$125*(1+2.78*('Cálculos'!$E$196+(($B$168)-$A160)*'Cálculos'!$E$98)/(('Cálculos'!$E$196+(($B$168)-$A160)*'Cálculos'!$E$98)+1400)+'Cálculos'!$E$123)*'Cálculos'!$E$220)+('Cálculos'!$E$201*(1+'Cálculos'!$E$202+$A160*('Cálculos'!$E$290=2)*'Cálculos'!$E$101)+'Cálculos'!$E$203)*('Cálculos'!$E$211+'Cálculos'!$E$124*(1+2.78*('Cálculos'!$E$196+(($B$168)-$A160)*'Cálculos'!$E$98)/(('Cálculos'!$E$196+(($B$168)-$A160)*'Cálculos'!$E$98)+1400)+'Cálculos'!$E$122)*'Cálculos'!$E$216+'Cálculos'!$E$125*(1+2.78*('Cálculos'!$E$196+(($B$168)-$A160)*'Cálculos'!$E$98)/(('Cálculos'!$E$196+(($B$168)-$A160)*'Cálculos'!$E$98)+1400)+'Cálculos'!$E$123)*'Cálculos'!$E$221)+('Cálculos'!$E$204*(1+'Cálculos'!$E$205+$A160*('Cálculos'!$E$290=3)*'Cálculos'!$E$103)+'Cálculos'!$E$206)*('Cálculos'!$E$212+'Cálculos'!$E$124*(1+2.78*('Cálculos'!$E$196+(($B$168)-$A160)*'Cálculos'!$E$98)/(('Cálculos'!$E$196+(($B$168)-$A160)*'Cálculos'!$E$98)+1400)+'Cálculos'!$E$122)*'Cálculos'!$E$217+'Cálculos'!$E$125*(1+2.78*('Cálculos'!$E$196+(($B$168)-$A160)*'Cálculos'!$E$98)/(('Cálculos'!$E$196+(($B$168)-$A160)*'Cálculos'!$E$98)+1400)+'Cálculos'!$E$123)*'Cálculos'!$E$222)+('Cálculos'!$E$185*(1+'Cálculos'!$E$187+$A160*('Cálculos'!$E$290=1)*'Cálculos'!$E$97+'Cálculos'!$E$305)+'Cálculos'!$E$192)*('Cálculos'!$E$224+'Cálculos'!$E$124*(1+2.78*('Cálculos'!$E$197+(($B$168)-$A160)*'Cálculos'!$E$98)/(('Cálculos'!$E$197+(($B$168)-$A160)*'Cálculos'!$E$98)+1400)+'Cálculos'!$E$122)*'Cálculos'!$E$229+'Cálculos'!$E$125*(1+2.78*('Cálculos'!$E$197+(($B$168)-$A160)*'Cálculos'!$E$98)/(('Cálculos'!$E$197+(($B$168)-$A160)*'Cálculos'!$E$98)+1400)+'Cálculos'!$E$123)*'Cálculos'!$E$234)+('Cálculos'!$E$197+(($B$168)-$A160)*'Cálculos'!$E$98)*('Cálculos'!$E$225+'Cálculos'!$E$124*(1+2.78*('Cálculos'!$E$197+(($B$168)-$A160)*'Cálculos'!$E$98)/(('Cálculos'!$E$197+(($B$168)-$A160)*'Cálculos'!$E$98)+1400)+'Cálculos'!$E$122)*'Cálculos'!$E$230+'Cálculos'!$E$125*(1+2.78*('Cálculos'!$E$197+(($B$168)-$A160)*'Cálculos'!$E$98)/(('Cálculos'!$E$197+(($B$168)-$A160)*'Cálculos'!$E$98)+1400)+'Cálculos'!$E$123)*'Cálculos'!$E$235)+('Cálculos'!$E$201*(1+'Cálculos'!$E$202+$A160*('Cálculos'!$E$290=2)*'Cálculos'!$E$101)+'Cálculos'!$E$203)*('Cálculos'!$E$226+'Cálculos'!$E$124*(1+2.78*('Cálculos'!$E$197+(($B$168)-$A160)*'Cálculos'!$E$98)/(('Cálculos'!$E$197+(($B$168)-$A160)*'Cálculos'!$E$98)+1400)+'Cálculos'!$E$122)*'Cálculos'!$E$231+'Cálculos'!$E$125*(1+2.78*('Cálculos'!$E$197+(($B$168)-$A160)*'Cálculos'!$E$98)/(('Cálculos'!$E$197+(($B$168)-$A160)*'Cálculos'!$E$98)+1400)+'Cálculos'!$E$123)*'Cálculos'!$E$236)+('Cálculos'!$E$204*(1+'Cálculos'!$E$205+$A160*('Cálculos'!$E$290=3)*'Cálculos'!$E$103)+'Cálculos'!$E$206)*('Cálculos'!$E$227+'Cálculos'!$E$124*(1+2.78*('Cálculos'!$E$197+(($B$168)-$A160)*'Cálculos'!$E$98)/(('Cálculos'!$E$197+(($B$168)-$A160)*'Cálculos'!$E$98)+1400)+'Cálculos'!$E$122)*'Cálculos'!$E$232+'Cálculos'!$E$125*(1+2.78*('Cálculos'!$E$197+(($B$168)-$A160)*'Cálculos'!$E$98)/(('Cálculos'!$E$197+(($B$168)-$A160)*'Cálculos'!$E$98)+1400)+'Cálculos'!$E$123)*'Cálculos'!$E$237)+('Cálculos'!$E$185*(1+'Cálculos'!$E$188+$A160*('Cálculos'!$E$290=1)*'Cálculos'!$E$97+'Cálculos'!$E$305)+'Cálculos'!$E$193)*('Cálculos'!$E$239+'Cálculos'!$E$124*(1+2.78*('Cálculos'!$E$198+(($B$168)-$A160)*'Cálculos'!$E$98)/(('Cálculos'!$E$198+(($B$168)-$A160)*'Cálculos'!$E$98)+1400)+'Cálculos'!$E$122)*'Cálculos'!$E$244+'Cálculos'!$E$125*(1+2.78*('Cálculos'!$E$198+(($B$168)-$A160)*'Cálculos'!$E$98)/(('Cálculos'!$E$198+(($B$168)-$A160)*'Cálculos'!$E$98)+1400)+'Cálculos'!$E$123)*'Cálculos'!$E$249)+('Cálculos'!$E$198+(($B$168)-$A160)*'Cálculos'!$E$98)*('Cálculos'!$E$240+'Cálculos'!$E$124*(1+2.78*('Cálculos'!$E$198+(($B$168)-$A160)*'Cálculos'!$E$98)/(('Cálculos'!$E$198+(($B$168)-$A160)*'Cálculos'!$E$98)+1400)+'Cálculos'!$E$122)*'Cálculos'!$E$245+'Cálculos'!$E$125*(1+2.78*('Cálculos'!$E$198+(($B$168)-$A160)*'Cálculos'!$E$98)/(('Cálculos'!$E$198+(($B$168)-$A160)*'Cálculos'!$E$98)+1400)+'Cálculos'!$E$123)*'Cálculos'!$E$250)+('Cálculos'!$E$201*(1+'Cálculos'!$E$202+$A160*('Cálculos'!$E$290=2)*'Cálculos'!$E$101)+'Cálculos'!$E$203)*('Cálculos'!$E$241+'Cálculos'!$E$124*(1+2.78*('Cálculos'!$E$198+(($B$168)-$A160)*'Cálculos'!$E$98)/(('Cálculos'!$E$198+(($B$168)-$A160)*'Cálculos'!$E$98)+1400)+'Cálculos'!$E$122)*'Cálculos'!$E$246+'Cálculos'!$E$125*(1+2.78*('Cálculos'!$E$198+(($B$168)-$A160)*'Cálculos'!$E$98)/(('Cálculos'!$E$198+(($B$168)-$A160)*'Cálculos'!$E$98)+1400)+'Cálculos'!$E$123)*'Cálculos'!$E$251)+('Cálculos'!$E$204*(1+'Cálculos'!$E$205+$A160*('Cálculos'!$E$290=3)*'Cálculos'!$E$103)+'Cálculos'!$E$206)*('Cálculos'!$E$242+'Cálculos'!$E$124*(1+2.78*('Cálculos'!$E$198+(($B$168)-$A160)*'Cálculos'!$E$98)/(('Cálculos'!$E$198+(($B$168)-$A160)*'Cálculos'!$E$98)+1400)+'Cálculos'!$E$122)*'Cálculos'!$E$247+'Cálculos'!$E$125*(1+2.78*('Cálculos'!$E$198+(($B$168)-$A160)*'Cálculos'!$E$98)/(('Cálculos'!$E$198+(($B$168)-$A160)*'Cálculos'!$E$98)+1400)+'Cálculos'!$E$123)*'Cálculos'!$E$252)+('Cálculos'!$E$185*(1+'Cálculos'!$E$189+$A160*('Cálculos'!$E$290=1)*'Cálculos'!$E$97+'Cálculos'!$E$305)+'Cálculos'!$E$194)*('Cálculos'!$E$254+'Cálculos'!$E$124*(1+2.78*('Cálculos'!$E$199+(($B$168)-$A160)*'Cálculos'!$E$98)/(('Cálculos'!$E$199+(($B$168)-$A160)*'Cálculos'!$E$98)+1400)+'Cálculos'!$E$122)*'Cálculos'!$E$259+'Cálculos'!$E$125*(1+2.78*('Cálculos'!$E$199+(($B$168)-$A160)*'Cálculos'!$E$98)/(('Cálculos'!$E$199+(($B$168)-$A160)*'Cálculos'!$E$98)+1400)+'Cálculos'!$E$123)*'Cálculos'!$E$264)+('Cálculos'!$E$199+(($B$168)-$A160)*'Cálculos'!$E$98)*('Cálculos'!$E$255+'Cálculos'!$E$124*(1+2.78*('Cálculos'!$E$199+(($B$168)-$A160)*'Cálculos'!$E$98)/(('Cálculos'!$E$199+(($B$168)-$A160)*'Cálculos'!$E$98)+1400)+'Cálculos'!$E$122)*'Cálculos'!$E$260+'Cálculos'!$E$125*(1+2.78*('Cálculos'!$E$199+(($B$168)-$A160)*'Cálculos'!$E$98)/(('Cálculos'!$E$199+(($B$168)-$A160)*'Cálculos'!$E$98)+1400)+'Cálculos'!$E$123)*'Cálculos'!$E$265)+('Cálculos'!$E$201*(1+'Cálculos'!$E$202+$A160*('Cálculos'!$E$290=2)*'Cálculos'!$E$101)+'Cálculos'!$E$203)*('Cálculos'!$E$256+'Cálculos'!$E$124*(1+2.78*('Cálculos'!$E$199+(($B$168)-$A160)*'Cálculos'!$E$98)/(('Cálculos'!$E$199+(($B$168)-$A160)*'Cálculos'!$E$98)+1400)+'Cálculos'!$E$122)*'Cálculos'!$E$261+'Cálculos'!$E$125*(1+2.78*('Cálculos'!$E$199+(($B$168)-$A160)*'Cálculos'!$E$98)/(('Cálculos'!$E$199+(($B$168)-$A160)*'Cálculos'!$E$98)+1400)+'Cálculos'!$E$123)*'Cálculos'!$E$266)+('Cálculos'!$E$204*(1+'Cálculos'!$E$205+$A160*('Cálculos'!$E$290=3)*'Cálculos'!$E$103)+'Cálculos'!$E$206)*('Cálculos'!$E$257+'Cálculos'!$E$124*(1+2.78*('Cálculos'!$E$199+(($B$168)-$A160)*'Cálculos'!$E$98)/(('Cálculos'!$E$199+(($B$168)-$A160)*'Cálculos'!$E$98)+1400)+'Cálculos'!$E$122)*'Cálculos'!$E$262+'Cálculos'!$E$125*(1+2.78*('Cálculos'!$E$199+(($B$168)-$A160)*'Cálculos'!$E$98)/(('Cálculos'!$E$199+(($B$168)-$A160)*'Cálculos'!$E$98)+1400)+'Cálculos'!$E$123)*'Cálculos'!$E$267)+('Cálculos'!$E$185*(1+'Cálculos'!$E$190+$A160*('Cálculos'!$E$290=1)*'Cálculos'!$E$97+'Cálculos'!$E$305)+'Cálculos'!$E$195)*('Cálculos'!$E$269+'Cálculos'!$E$124*(1+2.78*('Cálculos'!$E$200+(($B$168)-$A160)*'Cálculos'!$E$98)/(('Cálculos'!$E$200+(($B$168)-$A160)*'Cálculos'!$E$98)+1400)+'Cálculos'!$E$122)*'Cálculos'!$E$274+'Cálculos'!$E$125*(1+2.78*('Cálculos'!$E$200+(($B$168)-$A160)*'Cálculos'!$E$98)/(('Cálculos'!$E$200+(($B$168)-$A160)*'Cálculos'!$E$98)+1400)+'Cálculos'!$E$123)*'Cálculos'!$E$279)+('Cálculos'!$E$200+(($B$168)-$A160)*'Cálculos'!$E$98)*('Cálculos'!$E$270+'Cálculos'!$E$124*(1+2.78*('Cálculos'!$E$200+(($B$168)-$A160)*'Cálculos'!$E$98)/(('Cálculos'!$E$200+(($B$168)-$A160)*'Cálculos'!$E$98)+1400)+'Cálculos'!$E$122)*'Cálculos'!$E$275+'Cálculos'!$E$125*(1+2.78*('Cálculos'!$E$200+(($B$168)-$A160)*'Cálculos'!$E$98)/(('Cálculos'!$E$200+(($B$168)-$A160)*'Cálculos'!$E$98)+1400)+'Cálculos'!$E$123)*'Cálculos'!$E$280)+('Cálculos'!$E$201*(1+'Cálculos'!$E$202+$A160*('Cálculos'!$E$290=2)*'Cálculos'!$E$101)+'Cálculos'!$E$203)*('Cálculos'!$E$271+'Cálculos'!$E$124*(1+2.78*('Cálculos'!$E$200+(($B$168)-$A160)*'Cálculos'!$E$98)/(('Cálculos'!$E$200+(($B$168)-$A160)*'Cálculos'!$E$98)+1400)+'Cálculos'!$E$122)*'Cálculos'!$E$276+'Cálculos'!$E$125*(1+2.78*('Cálculos'!$E$200+(($B$168)-$A160)*'Cálculos'!$E$98)/(('Cálculos'!$E$200+(($B$168)-$A160)*'Cálculos'!$E$98)+1400)+'Cálculos'!$E$123)*'Cálculos'!$E$281)+('Cálculos'!$E$204*(1+'Cálculos'!$E$205+$A160*('Cálculos'!$E$290=3)*'Cálculos'!$E$103)+'Cálculos'!$E$206)*('Cálculos'!$E$272+'Cálculos'!$E$124*(1+2.78*('Cálculos'!$E$200+(($B$168)-$A160)*'Cálculos'!$E$98)/(('Cálculos'!$E$200+(($B$168)-$A160)*'Cálculos'!$E$98)+1400)+'Cálculos'!$E$122)*'Cálculos'!$E$277+'Cálculos'!$E$125*(1+2.78*('Cálculos'!$E$200+(($B$168)-$A160)*'Cálculos'!$E$98)/(('Cálculos'!$E$200+(($B$168)-$A160)*'Cálculos'!$E$98)+1400)+'Cálculos'!$E$123)*'Cálculos'!$E$282)))</f>
        <v>0</v>
      </c>
    </row>
    <row r="161" ht="15.75" customHeight="1">
      <c r="A161" s="2">
        <v>41.0</v>
      </c>
      <c r="B161" s="30">
        <f>SUMPRODUCT(MAX(($A$120:$A$165&lt;=$A161)*($A$120:$A$165&lt;='Cálculos'!$E$294)*(($A161)-$A$120:$A$165&lt;='Cálculos'!$E$295)*(1+(('Cálculos'!$E$207+$A$120:$A$165*'Cálculos'!$E$95)-(('Cálculos'!$E$207+$A$120:$A$165*'Cálculos'!$E$95)&gt;1)*(('Cálculos'!$E$207+$A$120:$A$165*'Cálculos'!$E$95)-1))*('Cálculos'!$E$208+(($A161)-$A$120:$A$165)*'Cálculos'!$E$96))))</f>
        <v>3.189408</v>
      </c>
      <c r="C161" s="2">
        <f>'Cálculos'!$E$303-$A161</f>
        <v>-28</v>
      </c>
      <c r="D161" s="31">
        <f>IF($C161&lt;0,0,SUMPRODUCT(MAX(($A$120:$A$165&lt;=$C161)*($A$120:$A$165&lt;='Cálculos'!$E$301)*(($C161)-$A$120:$A$165&lt;='Cálculos'!$E$297)*(('Cálculos'!$E$185*(1+'Cálculos'!$E$186+$A$120:$A$165*('Cálculos'!$E$290=1)*'Cálculos'!$E$97+'Cálculos'!$E$305)+'Cálculos'!$E$191)*('Cálculos'!$E$209+'Cálculos'!$E$124*(1+2.78*('Cálculos'!$E$196+(($C161)-$A$120:$A$165)*'Cálculos'!$E$98)/(('Cálculos'!$E$196+(($C161)-$A$120:$A$165)*'Cálculos'!$E$98)+1400)+'Cálculos'!$E$122)*'Cálculos'!$E$214+'Cálculos'!$E$125*(1+2.78*('Cálculos'!$E$196+(($C161)-$A$120:$A$165)*'Cálculos'!$E$98)/(('Cálculos'!$E$196+(($C161)-$A$120:$A$165)*'Cálculos'!$E$98)+1400)+'Cálculos'!$E$123)*'Cálculos'!$E$219)+('Cálculos'!$E$196+(($C161)-$A$120:$A$165)*'Cálculos'!$E$98)*('Cálculos'!$E$210+'Cálculos'!$E$124*(1+2.78*('Cálculos'!$E$196+(($C161)-$A$120:$A$165)*'Cálculos'!$E$98)/(('Cálculos'!$E$196+(($C161)-$A$120:$A$165)*'Cálculos'!$E$98)+1400)+'Cálculos'!$E$122)*'Cálculos'!$E$215+'Cálculos'!$E$125*(1+2.78*('Cálculos'!$E$196+(($C161)-$A$120:$A$165)*'Cálculos'!$E$98)/(('Cálculos'!$E$196+(($C161)-$A$120:$A$165)*'Cálculos'!$E$98)+1400)+'Cálculos'!$E$123)*'Cálculos'!$E$220)+('Cálculos'!$E$201*(1+'Cálculos'!$E$202+$A$120:$A$165*('Cálculos'!$E$290=2)*'Cálculos'!$E$101)+'Cálculos'!$E$203)*('Cálculos'!$E$211+'Cálculos'!$E$124*(1+2.78*('Cálculos'!$E$196+(($C161)-$A$120:$A$165)*'Cálculos'!$E$98)/(('Cálculos'!$E$196+(($C161)-$A$120:$A$165)*'Cálculos'!$E$98)+1400)+'Cálculos'!$E$122)*'Cálculos'!$E$216+'Cálculos'!$E$125*(1+2.78*('Cálculos'!$E$196+(($C161)-$A$120:$A$165)*'Cálculos'!$E$98)/(('Cálculos'!$E$196+(($C161)-$A$120:$A$165)*'Cálculos'!$E$98)+1400)+'Cálculos'!$E$123)*'Cálculos'!$E$221)+('Cálculos'!$E$204*(1+'Cálculos'!$E$205+$A$120:$A$165*('Cálculos'!$E$290=3)*'Cálculos'!$E$103)+'Cálculos'!$E$206)*('Cálculos'!$E$212+'Cálculos'!$E$124*(1+2.78*('Cálculos'!$E$196+(($C161)-$A$120:$A$165)*'Cálculos'!$E$98)/(('Cálculos'!$E$196+(($C161)-$A$120:$A$165)*'Cálculos'!$E$98)+1400)+'Cálculos'!$E$122)*'Cálculos'!$E$217+'Cálculos'!$E$125*(1+2.78*('Cálculos'!$E$196+(($C161)-$A$120:$A$165)*'Cálculos'!$E$98)/(('Cálculos'!$E$196+(($C161)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161)-$A$120:$A$165)*'Cálculos'!$E$98)/(('Cálculos'!$E$197+(($C161)-$A$120:$A$165)*'Cálculos'!$E$98)+1400)+'Cálculos'!$E$122)*'Cálculos'!$E$229+'Cálculos'!$E$125*(1+2.78*('Cálculos'!$E$197+(($C161)-$A$120:$A$165)*'Cálculos'!$E$98)/(('Cálculos'!$E$197+(($C161)-$A$120:$A$165)*'Cálculos'!$E$98)+1400)+'Cálculos'!$E$123)*'Cálculos'!$E$234)+('Cálculos'!$E$197+(($C161)-$A$120:$A$165)*'Cálculos'!$E$98)*('Cálculos'!$E$225+'Cálculos'!$E$124*(1+2.78*('Cálculos'!$E$197+(($C161)-$A$120:$A$165)*'Cálculos'!$E$98)/(('Cálculos'!$E$197+(($C161)-$A$120:$A$165)*'Cálculos'!$E$98)+1400)+'Cálculos'!$E$122)*'Cálculos'!$E$230+'Cálculos'!$E$125*(1+2.78*('Cálculos'!$E$197+(($C161)-$A$120:$A$165)*'Cálculos'!$E$98)/(('Cálculos'!$E$197+(($C161)-$A$120:$A$165)*'Cálculos'!$E$98)+1400)+'Cálculos'!$E$123)*'Cálculos'!$E$235)+('Cálculos'!$E$201*(1+'Cálculos'!$E$202+$A$120:$A$165*('Cálculos'!$E$290=2)*'Cálculos'!$E$101)+'Cálculos'!$E$203)*('Cálculos'!$E$226+'Cálculos'!$E$124*(1+2.78*('Cálculos'!$E$197+(($C161)-$A$120:$A$165)*'Cálculos'!$E$98)/(('Cálculos'!$E$197+(($C161)-$A$120:$A$165)*'Cálculos'!$E$98)+1400)+'Cálculos'!$E$122)*'Cálculos'!$E$231+'Cálculos'!$E$125*(1+2.78*('Cálculos'!$E$197+(($C161)-$A$120:$A$165)*'Cálculos'!$E$98)/(('Cálculos'!$E$197+(($C161)-$A$120:$A$165)*'Cálculos'!$E$98)+1400)+'Cálculos'!$E$123)*'Cálculos'!$E$236)+('Cálculos'!$E$204*(1+'Cálculos'!$E$205+$A$120:$A$165*('Cálculos'!$E$290=3)*'Cálculos'!$E$103)+'Cálculos'!$E$206)*('Cálculos'!$E$227+'Cálculos'!$E$124*(1+2.78*('Cálculos'!$E$197+(($C161)-$A$120:$A$165)*'Cálculos'!$E$98)/(('Cálculos'!$E$197+(($C161)-$A$120:$A$165)*'Cálculos'!$E$98)+1400)+'Cálculos'!$E$122)*'Cálculos'!$E$232+'Cálculos'!$E$125*(1+2.78*('Cálculos'!$E$197+(($C161)-$A$120:$A$165)*'Cálculos'!$E$98)/(('Cálculos'!$E$197+(($C161)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161)-$A$120:$A$165)*'Cálculos'!$E$98)/(('Cálculos'!$E$198+(($C161)-$A$120:$A$165)*'Cálculos'!$E$98)+1400)+'Cálculos'!$E$122)*'Cálculos'!$E$244+'Cálculos'!$E$125*(1+2.78*('Cálculos'!$E$198+(($C161)-$A$120:$A$165)*'Cálculos'!$E$98)/(('Cálculos'!$E$198+(($C161)-$A$120:$A$165)*'Cálculos'!$E$98)+1400)+'Cálculos'!$E$123)*'Cálculos'!$E$249)+('Cálculos'!$E$198+(($C161)-$A$120:$A$165)*'Cálculos'!$E$98)*('Cálculos'!$E$240+'Cálculos'!$E$124*(1+2.78*('Cálculos'!$E$198+(($C161)-$A$120:$A$165)*'Cálculos'!$E$98)/(('Cálculos'!$E$198+(($C161)-$A$120:$A$165)*'Cálculos'!$E$98)+1400)+'Cálculos'!$E$122)*'Cálculos'!$E$245+'Cálculos'!$E$125*(1+2.78*('Cálculos'!$E$198+(($C161)-$A$120:$A$165)*'Cálculos'!$E$98)/(('Cálculos'!$E$198+(($C161)-$A$120:$A$165)*'Cálculos'!$E$98)+1400)+'Cálculos'!$E$123)*'Cálculos'!$E$250)+('Cálculos'!$E$201*(1+'Cálculos'!$E$202+$A$120:$A$165*('Cálculos'!$E$290=2)*'Cálculos'!$E$101)+'Cálculos'!$E$203)*('Cálculos'!$E$241+'Cálculos'!$E$124*(1+2.78*('Cálculos'!$E$198+(($C161)-$A$120:$A$165)*'Cálculos'!$E$98)/(('Cálculos'!$E$198+(($C161)-$A$120:$A$165)*'Cálculos'!$E$98)+1400)+'Cálculos'!$E$122)*'Cálculos'!$E$246+'Cálculos'!$E$125*(1+2.78*('Cálculos'!$E$198+(($C161)-$A$120:$A$165)*'Cálculos'!$E$98)/(('Cálculos'!$E$198+(($C161)-$A$120:$A$165)*'Cálculos'!$E$98)+1400)+'Cálculos'!$E$123)*'Cálculos'!$E$251)+('Cálculos'!$E$204*(1+'Cálculos'!$E$205+$A$120:$A$165*('Cálculos'!$E$290=3)*'Cálculos'!$E$103)+'Cálculos'!$E$206)*('Cálculos'!$E$242+'Cálculos'!$E$124*(1+2.78*('Cálculos'!$E$198+(($C161)-$A$120:$A$165)*'Cálculos'!$E$98)/(('Cálculos'!$E$198+(($C161)-$A$120:$A$165)*'Cálculos'!$E$98)+1400)+'Cálculos'!$E$122)*'Cálculos'!$E$247+'Cálculos'!$E$125*(1+2.78*('Cálculos'!$E$198+(($C161)-$A$120:$A$165)*'Cálculos'!$E$98)/(('Cálculos'!$E$198+(($C161)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161)-$A$120:$A$165)*'Cálculos'!$E$98)/(('Cálculos'!$E$199+(($C161)-$A$120:$A$165)*'Cálculos'!$E$98)+1400)+'Cálculos'!$E$122)*'Cálculos'!$E$259+'Cálculos'!$E$125*(1+2.78*('Cálculos'!$E$199+(($C161)-$A$120:$A$165)*'Cálculos'!$E$98)/(('Cálculos'!$E$199+(($C161)-$A$120:$A$165)*'Cálculos'!$E$98)+1400)+'Cálculos'!$E$123)*'Cálculos'!$E$264)+('Cálculos'!$E$199+(($C161)-$A$120:$A$165)*'Cálculos'!$E$98)*('Cálculos'!$E$255+'Cálculos'!$E$124*(1+2.78*('Cálculos'!$E$199+(($C161)-$A$120:$A$165)*'Cálculos'!$E$98)/(('Cálculos'!$E$199+(($C161)-$A$120:$A$165)*'Cálculos'!$E$98)+1400)+'Cálculos'!$E$122)*'Cálculos'!$E$260+'Cálculos'!$E$125*(1+2.78*('Cálculos'!$E$199+(($C161)-$A$120:$A$165)*'Cálculos'!$E$98)/(('Cálculos'!$E$199+(($C161)-$A$120:$A$165)*'Cálculos'!$E$98)+1400)+'Cálculos'!$E$123)*'Cálculos'!$E$265)+('Cálculos'!$E$201*(1+'Cálculos'!$E$202+$A$120:$A$165*('Cálculos'!$E$290=2)*'Cálculos'!$E$101)+'Cálculos'!$E$203)*('Cálculos'!$E$256+'Cálculos'!$E$124*(1+2.78*('Cálculos'!$E$199+(($C161)-$A$120:$A$165)*'Cálculos'!$E$98)/(('Cálculos'!$E$199+(($C161)-$A$120:$A$165)*'Cálculos'!$E$98)+1400)+'Cálculos'!$E$122)*'Cálculos'!$E$261+'Cálculos'!$E$125*(1+2.78*('Cálculos'!$E$199+(($C161)-$A$120:$A$165)*'Cálculos'!$E$98)/(('Cálculos'!$E$199+(($C161)-$A$120:$A$165)*'Cálculos'!$E$98)+1400)+'Cálculos'!$E$123)*'Cálculos'!$E$266)+('Cálculos'!$E$204*(1+'Cálculos'!$E$205+$A$120:$A$165*('Cálculos'!$E$290=3)*'Cálculos'!$E$103)+'Cálculos'!$E$206)*('Cálculos'!$E$257+'Cálculos'!$E$124*(1+2.78*('Cálculos'!$E$199+(($C161)-$A$120:$A$165)*'Cálculos'!$E$98)/(('Cálculos'!$E$199+(($C161)-$A$120:$A$165)*'Cálculos'!$E$98)+1400)+'Cálculos'!$E$122)*'Cálculos'!$E$262+'Cálculos'!$E$125*(1+2.78*('Cálculos'!$E$199+(($C161)-$A$120:$A$165)*'Cálculos'!$E$98)/(('Cálculos'!$E$199+(($C161)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161)-$A$120:$A$165)*'Cálculos'!$E$98)/(('Cálculos'!$E$200+(($C161)-$A$120:$A$165)*'Cálculos'!$E$98)+1400)+'Cálculos'!$E$122)*'Cálculos'!$E$274+'Cálculos'!$E$125*(1+2.78*('Cálculos'!$E$200+(($C161)-$A$120:$A$165)*'Cálculos'!$E$98)/(('Cálculos'!$E$200+(($C161)-$A$120:$A$165)*'Cálculos'!$E$98)+1400)+'Cálculos'!$E$123)*'Cálculos'!$E$279)+('Cálculos'!$E$200+(($C161)-$A$120:$A$165)*'Cálculos'!$E$98)*('Cálculos'!$E$270+'Cálculos'!$E$124*(1+2.78*('Cálculos'!$E$200+(($C161)-$A$120:$A$165)*'Cálculos'!$E$98)/(('Cálculos'!$E$200+(($C161)-$A$120:$A$165)*'Cálculos'!$E$98)+1400)+'Cálculos'!$E$122)*'Cálculos'!$E$275+'Cálculos'!$E$125*(1+2.78*('Cálculos'!$E$200+(($C161)-$A$120:$A$165)*'Cálculos'!$E$98)/(('Cálculos'!$E$200+(($C161)-$A$120:$A$165)*'Cálculos'!$E$98)+1400)+'Cálculos'!$E$123)*'Cálculos'!$E$280)+('Cálculos'!$E$201*(1+'Cálculos'!$E$202+$A$120:$A$165*('Cálculos'!$E$290=2)*'Cálculos'!$E$101)+'Cálculos'!$E$203)*('Cálculos'!$E$271+'Cálculos'!$E$124*(1+2.78*('Cálculos'!$E$200+(($C161)-$A$120:$A$165)*'Cálculos'!$E$98)/(('Cálculos'!$E$200+(($C161)-$A$120:$A$165)*'Cálculos'!$E$98)+1400)+'Cálculos'!$E$122)*'Cálculos'!$E$276+'Cálculos'!$E$125*(1+2.78*('Cálculos'!$E$200+(($C161)-$A$120:$A$165)*'Cálculos'!$E$98)/(('Cálculos'!$E$200+(($C161)-$A$120:$A$165)*'Cálculos'!$E$98)+1400)+'Cálculos'!$E$123)*'Cálculos'!$E$281)+('Cálculos'!$E$204*(1+'Cálculos'!$E$205+$A$120:$A$165*('Cálculos'!$E$290=3)*'Cálculos'!$E$103)+'Cálculos'!$E$206)*('Cálculos'!$E$272+'Cálculos'!$E$124*(1+2.78*('Cálculos'!$E$200+(($C161)-$A$120:$A$165)*'Cálculos'!$E$98)/(('Cálculos'!$E$200+(($C161)-$A$120:$A$165)*'Cálculos'!$E$98)+1400)+'Cálculos'!$E$122)*'Cálculos'!$E$277+'Cálculos'!$E$125*(1+2.78*('Cálculos'!$E$200+(($C161)-$A$120:$A$165)*'Cálculos'!$E$98)/(('Cálculos'!$E$200+(($C161)-$A$120:$A$165)*'Cálculos'!$E$98)+1400)+'Cálculos'!$E$123)*'Cálculos'!$E$282)))))</f>
        <v>0</v>
      </c>
      <c r="E161" s="32">
        <f>IF(OR($C161&lt;0,'Cálculos'!$E$6=""),0,$B161*$D161)</f>
        <v>0</v>
      </c>
      <c r="F161" s="2"/>
      <c r="G161" s="30">
        <f>($A161&lt;=$B$167)*($A161&lt;='Cálculos'!$E$294)*(($B$167)-$A161&lt;='Cálculos'!$E$295)*(1+MIN(('Cálculos'!$E$207+$A161*'Cálculos'!$E$95),1)*('Cálculos'!$E$208+(($B$167)-$A161)*'Cálculos'!$E$96))</f>
        <v>0</v>
      </c>
      <c r="H161" s="31">
        <f>IF($B$168&lt;0,0,($A161&lt;=$B$168)*($A161&lt;='Cálculos'!$E$301)*(($B$168)-$A161&lt;='Cálculos'!$E$297)*(('Cálculos'!$E$185*(1+'Cálculos'!$E$186+$A161*('Cálculos'!$E$290=1)*'Cálculos'!$E$97+'Cálculos'!$E$305)+'Cálculos'!$E$191)*('Cálculos'!$E$209+'Cálculos'!$E$124*(1+2.78*('Cálculos'!$E$196+(($B$168)-$A161)*'Cálculos'!$E$98)/(('Cálculos'!$E$196+(($B$168)-$A161)*'Cálculos'!$E$98)+1400)+'Cálculos'!$E$122)*'Cálculos'!$E$214+'Cálculos'!$E$125*(1+2.78*('Cálculos'!$E$196+(($B$168)-$A161)*'Cálculos'!$E$98)/(('Cálculos'!$E$196+(($B$168)-$A161)*'Cálculos'!$E$98)+1400)+'Cálculos'!$E$123)*'Cálculos'!$E$219)+('Cálculos'!$E$196+(($B$168)-$A161)*'Cálculos'!$E$98)*('Cálculos'!$E$210+'Cálculos'!$E$124*(1+2.78*('Cálculos'!$E$196+(($B$168)-$A161)*'Cálculos'!$E$98)/(('Cálculos'!$E$196+(($B$168)-$A161)*'Cálculos'!$E$98)+1400)+'Cálculos'!$E$122)*'Cálculos'!$E$215+'Cálculos'!$E$125*(1+2.78*('Cálculos'!$E$196+(($B$168)-$A161)*'Cálculos'!$E$98)/(('Cálculos'!$E$196+(($B$168)-$A161)*'Cálculos'!$E$98)+1400)+'Cálculos'!$E$123)*'Cálculos'!$E$220)+('Cálculos'!$E$201*(1+'Cálculos'!$E$202+$A161*('Cálculos'!$E$290=2)*'Cálculos'!$E$101)+'Cálculos'!$E$203)*('Cálculos'!$E$211+'Cálculos'!$E$124*(1+2.78*('Cálculos'!$E$196+(($B$168)-$A161)*'Cálculos'!$E$98)/(('Cálculos'!$E$196+(($B$168)-$A161)*'Cálculos'!$E$98)+1400)+'Cálculos'!$E$122)*'Cálculos'!$E$216+'Cálculos'!$E$125*(1+2.78*('Cálculos'!$E$196+(($B$168)-$A161)*'Cálculos'!$E$98)/(('Cálculos'!$E$196+(($B$168)-$A161)*'Cálculos'!$E$98)+1400)+'Cálculos'!$E$123)*'Cálculos'!$E$221)+('Cálculos'!$E$204*(1+'Cálculos'!$E$205+$A161*('Cálculos'!$E$290=3)*'Cálculos'!$E$103)+'Cálculos'!$E$206)*('Cálculos'!$E$212+'Cálculos'!$E$124*(1+2.78*('Cálculos'!$E$196+(($B$168)-$A161)*'Cálculos'!$E$98)/(('Cálculos'!$E$196+(($B$168)-$A161)*'Cálculos'!$E$98)+1400)+'Cálculos'!$E$122)*'Cálculos'!$E$217+'Cálculos'!$E$125*(1+2.78*('Cálculos'!$E$196+(($B$168)-$A161)*'Cálculos'!$E$98)/(('Cálculos'!$E$196+(($B$168)-$A161)*'Cálculos'!$E$98)+1400)+'Cálculos'!$E$123)*'Cálculos'!$E$222)+('Cálculos'!$E$185*(1+'Cálculos'!$E$187+$A161*('Cálculos'!$E$290=1)*'Cálculos'!$E$97+'Cálculos'!$E$305)+'Cálculos'!$E$192)*('Cálculos'!$E$224+'Cálculos'!$E$124*(1+2.78*('Cálculos'!$E$197+(($B$168)-$A161)*'Cálculos'!$E$98)/(('Cálculos'!$E$197+(($B$168)-$A161)*'Cálculos'!$E$98)+1400)+'Cálculos'!$E$122)*'Cálculos'!$E$229+'Cálculos'!$E$125*(1+2.78*('Cálculos'!$E$197+(($B$168)-$A161)*'Cálculos'!$E$98)/(('Cálculos'!$E$197+(($B$168)-$A161)*'Cálculos'!$E$98)+1400)+'Cálculos'!$E$123)*'Cálculos'!$E$234)+('Cálculos'!$E$197+(($B$168)-$A161)*'Cálculos'!$E$98)*('Cálculos'!$E$225+'Cálculos'!$E$124*(1+2.78*('Cálculos'!$E$197+(($B$168)-$A161)*'Cálculos'!$E$98)/(('Cálculos'!$E$197+(($B$168)-$A161)*'Cálculos'!$E$98)+1400)+'Cálculos'!$E$122)*'Cálculos'!$E$230+'Cálculos'!$E$125*(1+2.78*('Cálculos'!$E$197+(($B$168)-$A161)*'Cálculos'!$E$98)/(('Cálculos'!$E$197+(($B$168)-$A161)*'Cálculos'!$E$98)+1400)+'Cálculos'!$E$123)*'Cálculos'!$E$235)+('Cálculos'!$E$201*(1+'Cálculos'!$E$202+$A161*('Cálculos'!$E$290=2)*'Cálculos'!$E$101)+'Cálculos'!$E$203)*('Cálculos'!$E$226+'Cálculos'!$E$124*(1+2.78*('Cálculos'!$E$197+(($B$168)-$A161)*'Cálculos'!$E$98)/(('Cálculos'!$E$197+(($B$168)-$A161)*'Cálculos'!$E$98)+1400)+'Cálculos'!$E$122)*'Cálculos'!$E$231+'Cálculos'!$E$125*(1+2.78*('Cálculos'!$E$197+(($B$168)-$A161)*'Cálculos'!$E$98)/(('Cálculos'!$E$197+(($B$168)-$A161)*'Cálculos'!$E$98)+1400)+'Cálculos'!$E$123)*'Cálculos'!$E$236)+('Cálculos'!$E$204*(1+'Cálculos'!$E$205+$A161*('Cálculos'!$E$290=3)*'Cálculos'!$E$103)+'Cálculos'!$E$206)*('Cálculos'!$E$227+'Cálculos'!$E$124*(1+2.78*('Cálculos'!$E$197+(($B$168)-$A161)*'Cálculos'!$E$98)/(('Cálculos'!$E$197+(($B$168)-$A161)*'Cálculos'!$E$98)+1400)+'Cálculos'!$E$122)*'Cálculos'!$E$232+'Cálculos'!$E$125*(1+2.78*('Cálculos'!$E$197+(($B$168)-$A161)*'Cálculos'!$E$98)/(('Cálculos'!$E$197+(($B$168)-$A161)*'Cálculos'!$E$98)+1400)+'Cálculos'!$E$123)*'Cálculos'!$E$237)+('Cálculos'!$E$185*(1+'Cálculos'!$E$188+$A161*('Cálculos'!$E$290=1)*'Cálculos'!$E$97+'Cálculos'!$E$305)+'Cálculos'!$E$193)*('Cálculos'!$E$239+'Cálculos'!$E$124*(1+2.78*('Cálculos'!$E$198+(($B$168)-$A161)*'Cálculos'!$E$98)/(('Cálculos'!$E$198+(($B$168)-$A161)*'Cálculos'!$E$98)+1400)+'Cálculos'!$E$122)*'Cálculos'!$E$244+'Cálculos'!$E$125*(1+2.78*('Cálculos'!$E$198+(($B$168)-$A161)*'Cálculos'!$E$98)/(('Cálculos'!$E$198+(($B$168)-$A161)*'Cálculos'!$E$98)+1400)+'Cálculos'!$E$123)*'Cálculos'!$E$249)+('Cálculos'!$E$198+(($B$168)-$A161)*'Cálculos'!$E$98)*('Cálculos'!$E$240+'Cálculos'!$E$124*(1+2.78*('Cálculos'!$E$198+(($B$168)-$A161)*'Cálculos'!$E$98)/(('Cálculos'!$E$198+(($B$168)-$A161)*'Cálculos'!$E$98)+1400)+'Cálculos'!$E$122)*'Cálculos'!$E$245+'Cálculos'!$E$125*(1+2.78*('Cálculos'!$E$198+(($B$168)-$A161)*'Cálculos'!$E$98)/(('Cálculos'!$E$198+(($B$168)-$A161)*'Cálculos'!$E$98)+1400)+'Cálculos'!$E$123)*'Cálculos'!$E$250)+('Cálculos'!$E$201*(1+'Cálculos'!$E$202+$A161*('Cálculos'!$E$290=2)*'Cálculos'!$E$101)+'Cálculos'!$E$203)*('Cálculos'!$E$241+'Cálculos'!$E$124*(1+2.78*('Cálculos'!$E$198+(($B$168)-$A161)*'Cálculos'!$E$98)/(('Cálculos'!$E$198+(($B$168)-$A161)*'Cálculos'!$E$98)+1400)+'Cálculos'!$E$122)*'Cálculos'!$E$246+'Cálculos'!$E$125*(1+2.78*('Cálculos'!$E$198+(($B$168)-$A161)*'Cálculos'!$E$98)/(('Cálculos'!$E$198+(($B$168)-$A161)*'Cálculos'!$E$98)+1400)+'Cálculos'!$E$123)*'Cálculos'!$E$251)+('Cálculos'!$E$204*(1+'Cálculos'!$E$205+$A161*('Cálculos'!$E$290=3)*'Cálculos'!$E$103)+'Cálculos'!$E$206)*('Cálculos'!$E$242+'Cálculos'!$E$124*(1+2.78*('Cálculos'!$E$198+(($B$168)-$A161)*'Cálculos'!$E$98)/(('Cálculos'!$E$198+(($B$168)-$A161)*'Cálculos'!$E$98)+1400)+'Cálculos'!$E$122)*'Cálculos'!$E$247+'Cálculos'!$E$125*(1+2.78*('Cálculos'!$E$198+(($B$168)-$A161)*'Cálculos'!$E$98)/(('Cálculos'!$E$198+(($B$168)-$A161)*'Cálculos'!$E$98)+1400)+'Cálculos'!$E$123)*'Cálculos'!$E$252)+('Cálculos'!$E$185*(1+'Cálculos'!$E$189+$A161*('Cálculos'!$E$290=1)*'Cálculos'!$E$97+'Cálculos'!$E$305)+'Cálculos'!$E$194)*('Cálculos'!$E$254+'Cálculos'!$E$124*(1+2.78*('Cálculos'!$E$199+(($B$168)-$A161)*'Cálculos'!$E$98)/(('Cálculos'!$E$199+(($B$168)-$A161)*'Cálculos'!$E$98)+1400)+'Cálculos'!$E$122)*'Cálculos'!$E$259+'Cálculos'!$E$125*(1+2.78*('Cálculos'!$E$199+(($B$168)-$A161)*'Cálculos'!$E$98)/(('Cálculos'!$E$199+(($B$168)-$A161)*'Cálculos'!$E$98)+1400)+'Cálculos'!$E$123)*'Cálculos'!$E$264)+('Cálculos'!$E$199+(($B$168)-$A161)*'Cálculos'!$E$98)*('Cálculos'!$E$255+'Cálculos'!$E$124*(1+2.78*('Cálculos'!$E$199+(($B$168)-$A161)*'Cálculos'!$E$98)/(('Cálculos'!$E$199+(($B$168)-$A161)*'Cálculos'!$E$98)+1400)+'Cálculos'!$E$122)*'Cálculos'!$E$260+'Cálculos'!$E$125*(1+2.78*('Cálculos'!$E$199+(($B$168)-$A161)*'Cálculos'!$E$98)/(('Cálculos'!$E$199+(($B$168)-$A161)*'Cálculos'!$E$98)+1400)+'Cálculos'!$E$123)*'Cálculos'!$E$265)+('Cálculos'!$E$201*(1+'Cálculos'!$E$202+$A161*('Cálculos'!$E$290=2)*'Cálculos'!$E$101)+'Cálculos'!$E$203)*('Cálculos'!$E$256+'Cálculos'!$E$124*(1+2.78*('Cálculos'!$E$199+(($B$168)-$A161)*'Cálculos'!$E$98)/(('Cálculos'!$E$199+(($B$168)-$A161)*'Cálculos'!$E$98)+1400)+'Cálculos'!$E$122)*'Cálculos'!$E$261+'Cálculos'!$E$125*(1+2.78*('Cálculos'!$E$199+(($B$168)-$A161)*'Cálculos'!$E$98)/(('Cálculos'!$E$199+(($B$168)-$A161)*'Cálculos'!$E$98)+1400)+'Cálculos'!$E$123)*'Cálculos'!$E$266)+('Cálculos'!$E$204*(1+'Cálculos'!$E$205+$A161*('Cálculos'!$E$290=3)*'Cálculos'!$E$103)+'Cálculos'!$E$206)*('Cálculos'!$E$257+'Cálculos'!$E$124*(1+2.78*('Cálculos'!$E$199+(($B$168)-$A161)*'Cálculos'!$E$98)/(('Cálculos'!$E$199+(($B$168)-$A161)*'Cálculos'!$E$98)+1400)+'Cálculos'!$E$122)*'Cálculos'!$E$262+'Cálculos'!$E$125*(1+2.78*('Cálculos'!$E$199+(($B$168)-$A161)*'Cálculos'!$E$98)/(('Cálculos'!$E$199+(($B$168)-$A161)*'Cálculos'!$E$98)+1400)+'Cálculos'!$E$123)*'Cálculos'!$E$267)+('Cálculos'!$E$185*(1+'Cálculos'!$E$190+$A161*('Cálculos'!$E$290=1)*'Cálculos'!$E$97+'Cálculos'!$E$305)+'Cálculos'!$E$195)*('Cálculos'!$E$269+'Cálculos'!$E$124*(1+2.78*('Cálculos'!$E$200+(($B$168)-$A161)*'Cálculos'!$E$98)/(('Cálculos'!$E$200+(($B$168)-$A161)*'Cálculos'!$E$98)+1400)+'Cálculos'!$E$122)*'Cálculos'!$E$274+'Cálculos'!$E$125*(1+2.78*('Cálculos'!$E$200+(($B$168)-$A161)*'Cálculos'!$E$98)/(('Cálculos'!$E$200+(($B$168)-$A161)*'Cálculos'!$E$98)+1400)+'Cálculos'!$E$123)*'Cálculos'!$E$279)+('Cálculos'!$E$200+(($B$168)-$A161)*'Cálculos'!$E$98)*('Cálculos'!$E$270+'Cálculos'!$E$124*(1+2.78*('Cálculos'!$E$200+(($B$168)-$A161)*'Cálculos'!$E$98)/(('Cálculos'!$E$200+(($B$168)-$A161)*'Cálculos'!$E$98)+1400)+'Cálculos'!$E$122)*'Cálculos'!$E$275+'Cálculos'!$E$125*(1+2.78*('Cálculos'!$E$200+(($B$168)-$A161)*'Cálculos'!$E$98)/(('Cálculos'!$E$200+(($B$168)-$A161)*'Cálculos'!$E$98)+1400)+'Cálculos'!$E$123)*'Cálculos'!$E$280)+('Cálculos'!$E$201*(1+'Cálculos'!$E$202+$A161*('Cálculos'!$E$290=2)*'Cálculos'!$E$101)+'Cálculos'!$E$203)*('Cálculos'!$E$271+'Cálculos'!$E$124*(1+2.78*('Cálculos'!$E$200+(($B$168)-$A161)*'Cálculos'!$E$98)/(('Cálculos'!$E$200+(($B$168)-$A161)*'Cálculos'!$E$98)+1400)+'Cálculos'!$E$122)*'Cálculos'!$E$276+'Cálculos'!$E$125*(1+2.78*('Cálculos'!$E$200+(($B$168)-$A161)*'Cálculos'!$E$98)/(('Cálculos'!$E$200+(($B$168)-$A161)*'Cálculos'!$E$98)+1400)+'Cálculos'!$E$123)*'Cálculos'!$E$281)+('Cálculos'!$E$204*(1+'Cálculos'!$E$205+$A161*('Cálculos'!$E$290=3)*'Cálculos'!$E$103)+'Cálculos'!$E$206)*('Cálculos'!$E$272+'Cálculos'!$E$124*(1+2.78*('Cálculos'!$E$200+(($B$168)-$A161)*'Cálculos'!$E$98)/(('Cálculos'!$E$200+(($B$168)-$A161)*'Cálculos'!$E$98)+1400)+'Cálculos'!$E$122)*'Cálculos'!$E$277+'Cálculos'!$E$125*(1+2.78*('Cálculos'!$E$200+(($B$168)-$A161)*'Cálculos'!$E$98)/(('Cálculos'!$E$200+(($B$168)-$A161)*'Cálculos'!$E$98)+1400)+'Cálculos'!$E$123)*'Cálculos'!$E$282)))</f>
        <v>0</v>
      </c>
    </row>
    <row r="162" ht="15.75" customHeight="1">
      <c r="A162" s="2">
        <v>42.0</v>
      </c>
      <c r="B162" s="30">
        <f>SUMPRODUCT(MAX(($A$120:$A$165&lt;=$A162)*($A$120:$A$165&lt;='Cálculos'!$E$294)*(($A162)-$A$120:$A$165&lt;='Cálculos'!$E$295)*(1+(('Cálculos'!$E$207+$A$120:$A$165*'Cálculos'!$E$95)-(('Cálculos'!$E$207+$A$120:$A$165*'Cálculos'!$E$95)&gt;1)*(('Cálculos'!$E$207+$A$120:$A$165*'Cálculos'!$E$95)-1))*('Cálculos'!$E$208+(($A162)-$A$120:$A$165)*'Cálculos'!$E$96))))</f>
        <v>3.254616</v>
      </c>
      <c r="C162" s="2">
        <f>'Cálculos'!$E$303-$A162</f>
        <v>-29</v>
      </c>
      <c r="D162" s="31">
        <f>IF($C162&lt;0,0,SUMPRODUCT(MAX(($A$120:$A$165&lt;=$C162)*($A$120:$A$165&lt;='Cálculos'!$E$301)*(($C162)-$A$120:$A$165&lt;='Cálculos'!$E$297)*(('Cálculos'!$E$185*(1+'Cálculos'!$E$186+$A$120:$A$165*('Cálculos'!$E$290=1)*'Cálculos'!$E$97+'Cálculos'!$E$305)+'Cálculos'!$E$191)*('Cálculos'!$E$209+'Cálculos'!$E$124*(1+2.78*('Cálculos'!$E$196+(($C162)-$A$120:$A$165)*'Cálculos'!$E$98)/(('Cálculos'!$E$196+(($C162)-$A$120:$A$165)*'Cálculos'!$E$98)+1400)+'Cálculos'!$E$122)*'Cálculos'!$E$214+'Cálculos'!$E$125*(1+2.78*('Cálculos'!$E$196+(($C162)-$A$120:$A$165)*'Cálculos'!$E$98)/(('Cálculos'!$E$196+(($C162)-$A$120:$A$165)*'Cálculos'!$E$98)+1400)+'Cálculos'!$E$123)*'Cálculos'!$E$219)+('Cálculos'!$E$196+(($C162)-$A$120:$A$165)*'Cálculos'!$E$98)*('Cálculos'!$E$210+'Cálculos'!$E$124*(1+2.78*('Cálculos'!$E$196+(($C162)-$A$120:$A$165)*'Cálculos'!$E$98)/(('Cálculos'!$E$196+(($C162)-$A$120:$A$165)*'Cálculos'!$E$98)+1400)+'Cálculos'!$E$122)*'Cálculos'!$E$215+'Cálculos'!$E$125*(1+2.78*('Cálculos'!$E$196+(($C162)-$A$120:$A$165)*'Cálculos'!$E$98)/(('Cálculos'!$E$196+(($C162)-$A$120:$A$165)*'Cálculos'!$E$98)+1400)+'Cálculos'!$E$123)*'Cálculos'!$E$220)+('Cálculos'!$E$201*(1+'Cálculos'!$E$202+$A$120:$A$165*('Cálculos'!$E$290=2)*'Cálculos'!$E$101)+'Cálculos'!$E$203)*('Cálculos'!$E$211+'Cálculos'!$E$124*(1+2.78*('Cálculos'!$E$196+(($C162)-$A$120:$A$165)*'Cálculos'!$E$98)/(('Cálculos'!$E$196+(($C162)-$A$120:$A$165)*'Cálculos'!$E$98)+1400)+'Cálculos'!$E$122)*'Cálculos'!$E$216+'Cálculos'!$E$125*(1+2.78*('Cálculos'!$E$196+(($C162)-$A$120:$A$165)*'Cálculos'!$E$98)/(('Cálculos'!$E$196+(($C162)-$A$120:$A$165)*'Cálculos'!$E$98)+1400)+'Cálculos'!$E$123)*'Cálculos'!$E$221)+('Cálculos'!$E$204*(1+'Cálculos'!$E$205+$A$120:$A$165*('Cálculos'!$E$290=3)*'Cálculos'!$E$103)+'Cálculos'!$E$206)*('Cálculos'!$E$212+'Cálculos'!$E$124*(1+2.78*('Cálculos'!$E$196+(($C162)-$A$120:$A$165)*'Cálculos'!$E$98)/(('Cálculos'!$E$196+(($C162)-$A$120:$A$165)*'Cálculos'!$E$98)+1400)+'Cálculos'!$E$122)*'Cálculos'!$E$217+'Cálculos'!$E$125*(1+2.78*('Cálculos'!$E$196+(($C162)-$A$120:$A$165)*'Cálculos'!$E$98)/(('Cálculos'!$E$196+(($C162)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162)-$A$120:$A$165)*'Cálculos'!$E$98)/(('Cálculos'!$E$197+(($C162)-$A$120:$A$165)*'Cálculos'!$E$98)+1400)+'Cálculos'!$E$122)*'Cálculos'!$E$229+'Cálculos'!$E$125*(1+2.78*('Cálculos'!$E$197+(($C162)-$A$120:$A$165)*'Cálculos'!$E$98)/(('Cálculos'!$E$197+(($C162)-$A$120:$A$165)*'Cálculos'!$E$98)+1400)+'Cálculos'!$E$123)*'Cálculos'!$E$234)+('Cálculos'!$E$197+(($C162)-$A$120:$A$165)*'Cálculos'!$E$98)*('Cálculos'!$E$225+'Cálculos'!$E$124*(1+2.78*('Cálculos'!$E$197+(($C162)-$A$120:$A$165)*'Cálculos'!$E$98)/(('Cálculos'!$E$197+(($C162)-$A$120:$A$165)*'Cálculos'!$E$98)+1400)+'Cálculos'!$E$122)*'Cálculos'!$E$230+'Cálculos'!$E$125*(1+2.78*('Cálculos'!$E$197+(($C162)-$A$120:$A$165)*'Cálculos'!$E$98)/(('Cálculos'!$E$197+(($C162)-$A$120:$A$165)*'Cálculos'!$E$98)+1400)+'Cálculos'!$E$123)*'Cálculos'!$E$235)+('Cálculos'!$E$201*(1+'Cálculos'!$E$202+$A$120:$A$165*('Cálculos'!$E$290=2)*'Cálculos'!$E$101)+'Cálculos'!$E$203)*('Cálculos'!$E$226+'Cálculos'!$E$124*(1+2.78*('Cálculos'!$E$197+(($C162)-$A$120:$A$165)*'Cálculos'!$E$98)/(('Cálculos'!$E$197+(($C162)-$A$120:$A$165)*'Cálculos'!$E$98)+1400)+'Cálculos'!$E$122)*'Cálculos'!$E$231+'Cálculos'!$E$125*(1+2.78*('Cálculos'!$E$197+(($C162)-$A$120:$A$165)*'Cálculos'!$E$98)/(('Cálculos'!$E$197+(($C162)-$A$120:$A$165)*'Cálculos'!$E$98)+1400)+'Cálculos'!$E$123)*'Cálculos'!$E$236)+('Cálculos'!$E$204*(1+'Cálculos'!$E$205+$A$120:$A$165*('Cálculos'!$E$290=3)*'Cálculos'!$E$103)+'Cálculos'!$E$206)*('Cálculos'!$E$227+'Cálculos'!$E$124*(1+2.78*('Cálculos'!$E$197+(($C162)-$A$120:$A$165)*'Cálculos'!$E$98)/(('Cálculos'!$E$197+(($C162)-$A$120:$A$165)*'Cálculos'!$E$98)+1400)+'Cálculos'!$E$122)*'Cálculos'!$E$232+'Cálculos'!$E$125*(1+2.78*('Cálculos'!$E$197+(($C162)-$A$120:$A$165)*'Cálculos'!$E$98)/(('Cálculos'!$E$197+(($C162)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162)-$A$120:$A$165)*'Cálculos'!$E$98)/(('Cálculos'!$E$198+(($C162)-$A$120:$A$165)*'Cálculos'!$E$98)+1400)+'Cálculos'!$E$122)*'Cálculos'!$E$244+'Cálculos'!$E$125*(1+2.78*('Cálculos'!$E$198+(($C162)-$A$120:$A$165)*'Cálculos'!$E$98)/(('Cálculos'!$E$198+(($C162)-$A$120:$A$165)*'Cálculos'!$E$98)+1400)+'Cálculos'!$E$123)*'Cálculos'!$E$249)+('Cálculos'!$E$198+(($C162)-$A$120:$A$165)*'Cálculos'!$E$98)*('Cálculos'!$E$240+'Cálculos'!$E$124*(1+2.78*('Cálculos'!$E$198+(($C162)-$A$120:$A$165)*'Cálculos'!$E$98)/(('Cálculos'!$E$198+(($C162)-$A$120:$A$165)*'Cálculos'!$E$98)+1400)+'Cálculos'!$E$122)*'Cálculos'!$E$245+'Cálculos'!$E$125*(1+2.78*('Cálculos'!$E$198+(($C162)-$A$120:$A$165)*'Cálculos'!$E$98)/(('Cálculos'!$E$198+(($C162)-$A$120:$A$165)*'Cálculos'!$E$98)+1400)+'Cálculos'!$E$123)*'Cálculos'!$E$250)+('Cálculos'!$E$201*(1+'Cálculos'!$E$202+$A$120:$A$165*('Cálculos'!$E$290=2)*'Cálculos'!$E$101)+'Cálculos'!$E$203)*('Cálculos'!$E$241+'Cálculos'!$E$124*(1+2.78*('Cálculos'!$E$198+(($C162)-$A$120:$A$165)*'Cálculos'!$E$98)/(('Cálculos'!$E$198+(($C162)-$A$120:$A$165)*'Cálculos'!$E$98)+1400)+'Cálculos'!$E$122)*'Cálculos'!$E$246+'Cálculos'!$E$125*(1+2.78*('Cálculos'!$E$198+(($C162)-$A$120:$A$165)*'Cálculos'!$E$98)/(('Cálculos'!$E$198+(($C162)-$A$120:$A$165)*'Cálculos'!$E$98)+1400)+'Cálculos'!$E$123)*'Cálculos'!$E$251)+('Cálculos'!$E$204*(1+'Cálculos'!$E$205+$A$120:$A$165*('Cálculos'!$E$290=3)*'Cálculos'!$E$103)+'Cálculos'!$E$206)*('Cálculos'!$E$242+'Cálculos'!$E$124*(1+2.78*('Cálculos'!$E$198+(($C162)-$A$120:$A$165)*'Cálculos'!$E$98)/(('Cálculos'!$E$198+(($C162)-$A$120:$A$165)*'Cálculos'!$E$98)+1400)+'Cálculos'!$E$122)*'Cálculos'!$E$247+'Cálculos'!$E$125*(1+2.78*('Cálculos'!$E$198+(($C162)-$A$120:$A$165)*'Cálculos'!$E$98)/(('Cálculos'!$E$198+(($C162)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162)-$A$120:$A$165)*'Cálculos'!$E$98)/(('Cálculos'!$E$199+(($C162)-$A$120:$A$165)*'Cálculos'!$E$98)+1400)+'Cálculos'!$E$122)*'Cálculos'!$E$259+'Cálculos'!$E$125*(1+2.78*('Cálculos'!$E$199+(($C162)-$A$120:$A$165)*'Cálculos'!$E$98)/(('Cálculos'!$E$199+(($C162)-$A$120:$A$165)*'Cálculos'!$E$98)+1400)+'Cálculos'!$E$123)*'Cálculos'!$E$264)+('Cálculos'!$E$199+(($C162)-$A$120:$A$165)*'Cálculos'!$E$98)*('Cálculos'!$E$255+'Cálculos'!$E$124*(1+2.78*('Cálculos'!$E$199+(($C162)-$A$120:$A$165)*'Cálculos'!$E$98)/(('Cálculos'!$E$199+(($C162)-$A$120:$A$165)*'Cálculos'!$E$98)+1400)+'Cálculos'!$E$122)*'Cálculos'!$E$260+'Cálculos'!$E$125*(1+2.78*('Cálculos'!$E$199+(($C162)-$A$120:$A$165)*'Cálculos'!$E$98)/(('Cálculos'!$E$199+(($C162)-$A$120:$A$165)*'Cálculos'!$E$98)+1400)+'Cálculos'!$E$123)*'Cálculos'!$E$265)+('Cálculos'!$E$201*(1+'Cálculos'!$E$202+$A$120:$A$165*('Cálculos'!$E$290=2)*'Cálculos'!$E$101)+'Cálculos'!$E$203)*('Cálculos'!$E$256+'Cálculos'!$E$124*(1+2.78*('Cálculos'!$E$199+(($C162)-$A$120:$A$165)*'Cálculos'!$E$98)/(('Cálculos'!$E$199+(($C162)-$A$120:$A$165)*'Cálculos'!$E$98)+1400)+'Cálculos'!$E$122)*'Cálculos'!$E$261+'Cálculos'!$E$125*(1+2.78*('Cálculos'!$E$199+(($C162)-$A$120:$A$165)*'Cálculos'!$E$98)/(('Cálculos'!$E$199+(($C162)-$A$120:$A$165)*'Cálculos'!$E$98)+1400)+'Cálculos'!$E$123)*'Cálculos'!$E$266)+('Cálculos'!$E$204*(1+'Cálculos'!$E$205+$A$120:$A$165*('Cálculos'!$E$290=3)*'Cálculos'!$E$103)+'Cálculos'!$E$206)*('Cálculos'!$E$257+'Cálculos'!$E$124*(1+2.78*('Cálculos'!$E$199+(($C162)-$A$120:$A$165)*'Cálculos'!$E$98)/(('Cálculos'!$E$199+(($C162)-$A$120:$A$165)*'Cálculos'!$E$98)+1400)+'Cálculos'!$E$122)*'Cálculos'!$E$262+'Cálculos'!$E$125*(1+2.78*('Cálculos'!$E$199+(($C162)-$A$120:$A$165)*'Cálculos'!$E$98)/(('Cálculos'!$E$199+(($C162)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162)-$A$120:$A$165)*'Cálculos'!$E$98)/(('Cálculos'!$E$200+(($C162)-$A$120:$A$165)*'Cálculos'!$E$98)+1400)+'Cálculos'!$E$122)*'Cálculos'!$E$274+'Cálculos'!$E$125*(1+2.78*('Cálculos'!$E$200+(($C162)-$A$120:$A$165)*'Cálculos'!$E$98)/(('Cálculos'!$E$200+(($C162)-$A$120:$A$165)*'Cálculos'!$E$98)+1400)+'Cálculos'!$E$123)*'Cálculos'!$E$279)+('Cálculos'!$E$200+(($C162)-$A$120:$A$165)*'Cálculos'!$E$98)*('Cálculos'!$E$270+'Cálculos'!$E$124*(1+2.78*('Cálculos'!$E$200+(($C162)-$A$120:$A$165)*'Cálculos'!$E$98)/(('Cálculos'!$E$200+(($C162)-$A$120:$A$165)*'Cálculos'!$E$98)+1400)+'Cálculos'!$E$122)*'Cálculos'!$E$275+'Cálculos'!$E$125*(1+2.78*('Cálculos'!$E$200+(($C162)-$A$120:$A$165)*'Cálculos'!$E$98)/(('Cálculos'!$E$200+(($C162)-$A$120:$A$165)*'Cálculos'!$E$98)+1400)+'Cálculos'!$E$123)*'Cálculos'!$E$280)+('Cálculos'!$E$201*(1+'Cálculos'!$E$202+$A$120:$A$165*('Cálculos'!$E$290=2)*'Cálculos'!$E$101)+'Cálculos'!$E$203)*('Cálculos'!$E$271+'Cálculos'!$E$124*(1+2.78*('Cálculos'!$E$200+(($C162)-$A$120:$A$165)*'Cálculos'!$E$98)/(('Cálculos'!$E$200+(($C162)-$A$120:$A$165)*'Cálculos'!$E$98)+1400)+'Cálculos'!$E$122)*'Cálculos'!$E$276+'Cálculos'!$E$125*(1+2.78*('Cálculos'!$E$200+(($C162)-$A$120:$A$165)*'Cálculos'!$E$98)/(('Cálculos'!$E$200+(($C162)-$A$120:$A$165)*'Cálculos'!$E$98)+1400)+'Cálculos'!$E$123)*'Cálculos'!$E$281)+('Cálculos'!$E$204*(1+'Cálculos'!$E$205+$A$120:$A$165*('Cálculos'!$E$290=3)*'Cálculos'!$E$103)+'Cálculos'!$E$206)*('Cálculos'!$E$272+'Cálculos'!$E$124*(1+2.78*('Cálculos'!$E$200+(($C162)-$A$120:$A$165)*'Cálculos'!$E$98)/(('Cálculos'!$E$200+(($C162)-$A$120:$A$165)*'Cálculos'!$E$98)+1400)+'Cálculos'!$E$122)*'Cálculos'!$E$277+'Cálculos'!$E$125*(1+2.78*('Cálculos'!$E$200+(($C162)-$A$120:$A$165)*'Cálculos'!$E$98)/(('Cálculos'!$E$200+(($C162)-$A$120:$A$165)*'Cálculos'!$E$98)+1400)+'Cálculos'!$E$123)*'Cálculos'!$E$282)))))</f>
        <v>0</v>
      </c>
      <c r="E162" s="32">
        <f>IF(OR($C162&lt;0,'Cálculos'!$E$6=""),0,$B162*$D162)</f>
        <v>0</v>
      </c>
      <c r="F162" s="2"/>
      <c r="G162" s="30">
        <f>($A162&lt;=$B$167)*($A162&lt;='Cálculos'!$E$294)*(($B$167)-$A162&lt;='Cálculos'!$E$295)*(1+MIN(('Cálculos'!$E$207+$A162*'Cálculos'!$E$95),1)*('Cálculos'!$E$208+(($B$167)-$A162)*'Cálculos'!$E$96))</f>
        <v>0</v>
      </c>
      <c r="H162" s="31">
        <f>IF($B$168&lt;0,0,($A162&lt;=$B$168)*($A162&lt;='Cálculos'!$E$301)*(($B$168)-$A162&lt;='Cálculos'!$E$297)*(('Cálculos'!$E$185*(1+'Cálculos'!$E$186+$A162*('Cálculos'!$E$290=1)*'Cálculos'!$E$97+'Cálculos'!$E$305)+'Cálculos'!$E$191)*('Cálculos'!$E$209+'Cálculos'!$E$124*(1+2.78*('Cálculos'!$E$196+(($B$168)-$A162)*'Cálculos'!$E$98)/(('Cálculos'!$E$196+(($B$168)-$A162)*'Cálculos'!$E$98)+1400)+'Cálculos'!$E$122)*'Cálculos'!$E$214+'Cálculos'!$E$125*(1+2.78*('Cálculos'!$E$196+(($B$168)-$A162)*'Cálculos'!$E$98)/(('Cálculos'!$E$196+(($B$168)-$A162)*'Cálculos'!$E$98)+1400)+'Cálculos'!$E$123)*'Cálculos'!$E$219)+('Cálculos'!$E$196+(($B$168)-$A162)*'Cálculos'!$E$98)*('Cálculos'!$E$210+'Cálculos'!$E$124*(1+2.78*('Cálculos'!$E$196+(($B$168)-$A162)*'Cálculos'!$E$98)/(('Cálculos'!$E$196+(($B$168)-$A162)*'Cálculos'!$E$98)+1400)+'Cálculos'!$E$122)*'Cálculos'!$E$215+'Cálculos'!$E$125*(1+2.78*('Cálculos'!$E$196+(($B$168)-$A162)*'Cálculos'!$E$98)/(('Cálculos'!$E$196+(($B$168)-$A162)*'Cálculos'!$E$98)+1400)+'Cálculos'!$E$123)*'Cálculos'!$E$220)+('Cálculos'!$E$201*(1+'Cálculos'!$E$202+$A162*('Cálculos'!$E$290=2)*'Cálculos'!$E$101)+'Cálculos'!$E$203)*('Cálculos'!$E$211+'Cálculos'!$E$124*(1+2.78*('Cálculos'!$E$196+(($B$168)-$A162)*'Cálculos'!$E$98)/(('Cálculos'!$E$196+(($B$168)-$A162)*'Cálculos'!$E$98)+1400)+'Cálculos'!$E$122)*'Cálculos'!$E$216+'Cálculos'!$E$125*(1+2.78*('Cálculos'!$E$196+(($B$168)-$A162)*'Cálculos'!$E$98)/(('Cálculos'!$E$196+(($B$168)-$A162)*'Cálculos'!$E$98)+1400)+'Cálculos'!$E$123)*'Cálculos'!$E$221)+('Cálculos'!$E$204*(1+'Cálculos'!$E$205+$A162*('Cálculos'!$E$290=3)*'Cálculos'!$E$103)+'Cálculos'!$E$206)*('Cálculos'!$E$212+'Cálculos'!$E$124*(1+2.78*('Cálculos'!$E$196+(($B$168)-$A162)*'Cálculos'!$E$98)/(('Cálculos'!$E$196+(($B$168)-$A162)*'Cálculos'!$E$98)+1400)+'Cálculos'!$E$122)*'Cálculos'!$E$217+'Cálculos'!$E$125*(1+2.78*('Cálculos'!$E$196+(($B$168)-$A162)*'Cálculos'!$E$98)/(('Cálculos'!$E$196+(($B$168)-$A162)*'Cálculos'!$E$98)+1400)+'Cálculos'!$E$123)*'Cálculos'!$E$222)+('Cálculos'!$E$185*(1+'Cálculos'!$E$187+$A162*('Cálculos'!$E$290=1)*'Cálculos'!$E$97+'Cálculos'!$E$305)+'Cálculos'!$E$192)*('Cálculos'!$E$224+'Cálculos'!$E$124*(1+2.78*('Cálculos'!$E$197+(($B$168)-$A162)*'Cálculos'!$E$98)/(('Cálculos'!$E$197+(($B$168)-$A162)*'Cálculos'!$E$98)+1400)+'Cálculos'!$E$122)*'Cálculos'!$E$229+'Cálculos'!$E$125*(1+2.78*('Cálculos'!$E$197+(($B$168)-$A162)*'Cálculos'!$E$98)/(('Cálculos'!$E$197+(($B$168)-$A162)*'Cálculos'!$E$98)+1400)+'Cálculos'!$E$123)*'Cálculos'!$E$234)+('Cálculos'!$E$197+(($B$168)-$A162)*'Cálculos'!$E$98)*('Cálculos'!$E$225+'Cálculos'!$E$124*(1+2.78*('Cálculos'!$E$197+(($B$168)-$A162)*'Cálculos'!$E$98)/(('Cálculos'!$E$197+(($B$168)-$A162)*'Cálculos'!$E$98)+1400)+'Cálculos'!$E$122)*'Cálculos'!$E$230+'Cálculos'!$E$125*(1+2.78*('Cálculos'!$E$197+(($B$168)-$A162)*'Cálculos'!$E$98)/(('Cálculos'!$E$197+(($B$168)-$A162)*'Cálculos'!$E$98)+1400)+'Cálculos'!$E$123)*'Cálculos'!$E$235)+('Cálculos'!$E$201*(1+'Cálculos'!$E$202+$A162*('Cálculos'!$E$290=2)*'Cálculos'!$E$101)+'Cálculos'!$E$203)*('Cálculos'!$E$226+'Cálculos'!$E$124*(1+2.78*('Cálculos'!$E$197+(($B$168)-$A162)*'Cálculos'!$E$98)/(('Cálculos'!$E$197+(($B$168)-$A162)*'Cálculos'!$E$98)+1400)+'Cálculos'!$E$122)*'Cálculos'!$E$231+'Cálculos'!$E$125*(1+2.78*('Cálculos'!$E$197+(($B$168)-$A162)*'Cálculos'!$E$98)/(('Cálculos'!$E$197+(($B$168)-$A162)*'Cálculos'!$E$98)+1400)+'Cálculos'!$E$123)*'Cálculos'!$E$236)+('Cálculos'!$E$204*(1+'Cálculos'!$E$205+$A162*('Cálculos'!$E$290=3)*'Cálculos'!$E$103)+'Cálculos'!$E$206)*('Cálculos'!$E$227+'Cálculos'!$E$124*(1+2.78*('Cálculos'!$E$197+(($B$168)-$A162)*'Cálculos'!$E$98)/(('Cálculos'!$E$197+(($B$168)-$A162)*'Cálculos'!$E$98)+1400)+'Cálculos'!$E$122)*'Cálculos'!$E$232+'Cálculos'!$E$125*(1+2.78*('Cálculos'!$E$197+(($B$168)-$A162)*'Cálculos'!$E$98)/(('Cálculos'!$E$197+(($B$168)-$A162)*'Cálculos'!$E$98)+1400)+'Cálculos'!$E$123)*'Cálculos'!$E$237)+('Cálculos'!$E$185*(1+'Cálculos'!$E$188+$A162*('Cálculos'!$E$290=1)*'Cálculos'!$E$97+'Cálculos'!$E$305)+'Cálculos'!$E$193)*('Cálculos'!$E$239+'Cálculos'!$E$124*(1+2.78*('Cálculos'!$E$198+(($B$168)-$A162)*'Cálculos'!$E$98)/(('Cálculos'!$E$198+(($B$168)-$A162)*'Cálculos'!$E$98)+1400)+'Cálculos'!$E$122)*'Cálculos'!$E$244+'Cálculos'!$E$125*(1+2.78*('Cálculos'!$E$198+(($B$168)-$A162)*'Cálculos'!$E$98)/(('Cálculos'!$E$198+(($B$168)-$A162)*'Cálculos'!$E$98)+1400)+'Cálculos'!$E$123)*'Cálculos'!$E$249)+('Cálculos'!$E$198+(($B$168)-$A162)*'Cálculos'!$E$98)*('Cálculos'!$E$240+'Cálculos'!$E$124*(1+2.78*('Cálculos'!$E$198+(($B$168)-$A162)*'Cálculos'!$E$98)/(('Cálculos'!$E$198+(($B$168)-$A162)*'Cálculos'!$E$98)+1400)+'Cálculos'!$E$122)*'Cálculos'!$E$245+'Cálculos'!$E$125*(1+2.78*('Cálculos'!$E$198+(($B$168)-$A162)*'Cálculos'!$E$98)/(('Cálculos'!$E$198+(($B$168)-$A162)*'Cálculos'!$E$98)+1400)+'Cálculos'!$E$123)*'Cálculos'!$E$250)+('Cálculos'!$E$201*(1+'Cálculos'!$E$202+$A162*('Cálculos'!$E$290=2)*'Cálculos'!$E$101)+'Cálculos'!$E$203)*('Cálculos'!$E$241+'Cálculos'!$E$124*(1+2.78*('Cálculos'!$E$198+(($B$168)-$A162)*'Cálculos'!$E$98)/(('Cálculos'!$E$198+(($B$168)-$A162)*'Cálculos'!$E$98)+1400)+'Cálculos'!$E$122)*'Cálculos'!$E$246+'Cálculos'!$E$125*(1+2.78*('Cálculos'!$E$198+(($B$168)-$A162)*'Cálculos'!$E$98)/(('Cálculos'!$E$198+(($B$168)-$A162)*'Cálculos'!$E$98)+1400)+'Cálculos'!$E$123)*'Cálculos'!$E$251)+('Cálculos'!$E$204*(1+'Cálculos'!$E$205+$A162*('Cálculos'!$E$290=3)*'Cálculos'!$E$103)+'Cálculos'!$E$206)*('Cálculos'!$E$242+'Cálculos'!$E$124*(1+2.78*('Cálculos'!$E$198+(($B$168)-$A162)*'Cálculos'!$E$98)/(('Cálculos'!$E$198+(($B$168)-$A162)*'Cálculos'!$E$98)+1400)+'Cálculos'!$E$122)*'Cálculos'!$E$247+'Cálculos'!$E$125*(1+2.78*('Cálculos'!$E$198+(($B$168)-$A162)*'Cálculos'!$E$98)/(('Cálculos'!$E$198+(($B$168)-$A162)*'Cálculos'!$E$98)+1400)+'Cálculos'!$E$123)*'Cálculos'!$E$252)+('Cálculos'!$E$185*(1+'Cálculos'!$E$189+$A162*('Cálculos'!$E$290=1)*'Cálculos'!$E$97+'Cálculos'!$E$305)+'Cálculos'!$E$194)*('Cálculos'!$E$254+'Cálculos'!$E$124*(1+2.78*('Cálculos'!$E$199+(($B$168)-$A162)*'Cálculos'!$E$98)/(('Cálculos'!$E$199+(($B$168)-$A162)*'Cálculos'!$E$98)+1400)+'Cálculos'!$E$122)*'Cálculos'!$E$259+'Cálculos'!$E$125*(1+2.78*('Cálculos'!$E$199+(($B$168)-$A162)*'Cálculos'!$E$98)/(('Cálculos'!$E$199+(($B$168)-$A162)*'Cálculos'!$E$98)+1400)+'Cálculos'!$E$123)*'Cálculos'!$E$264)+('Cálculos'!$E$199+(($B$168)-$A162)*'Cálculos'!$E$98)*('Cálculos'!$E$255+'Cálculos'!$E$124*(1+2.78*('Cálculos'!$E$199+(($B$168)-$A162)*'Cálculos'!$E$98)/(('Cálculos'!$E$199+(($B$168)-$A162)*'Cálculos'!$E$98)+1400)+'Cálculos'!$E$122)*'Cálculos'!$E$260+'Cálculos'!$E$125*(1+2.78*('Cálculos'!$E$199+(($B$168)-$A162)*'Cálculos'!$E$98)/(('Cálculos'!$E$199+(($B$168)-$A162)*'Cálculos'!$E$98)+1400)+'Cálculos'!$E$123)*'Cálculos'!$E$265)+('Cálculos'!$E$201*(1+'Cálculos'!$E$202+$A162*('Cálculos'!$E$290=2)*'Cálculos'!$E$101)+'Cálculos'!$E$203)*('Cálculos'!$E$256+'Cálculos'!$E$124*(1+2.78*('Cálculos'!$E$199+(($B$168)-$A162)*'Cálculos'!$E$98)/(('Cálculos'!$E$199+(($B$168)-$A162)*'Cálculos'!$E$98)+1400)+'Cálculos'!$E$122)*'Cálculos'!$E$261+'Cálculos'!$E$125*(1+2.78*('Cálculos'!$E$199+(($B$168)-$A162)*'Cálculos'!$E$98)/(('Cálculos'!$E$199+(($B$168)-$A162)*'Cálculos'!$E$98)+1400)+'Cálculos'!$E$123)*'Cálculos'!$E$266)+('Cálculos'!$E$204*(1+'Cálculos'!$E$205+$A162*('Cálculos'!$E$290=3)*'Cálculos'!$E$103)+'Cálculos'!$E$206)*('Cálculos'!$E$257+'Cálculos'!$E$124*(1+2.78*('Cálculos'!$E$199+(($B$168)-$A162)*'Cálculos'!$E$98)/(('Cálculos'!$E$199+(($B$168)-$A162)*'Cálculos'!$E$98)+1400)+'Cálculos'!$E$122)*'Cálculos'!$E$262+'Cálculos'!$E$125*(1+2.78*('Cálculos'!$E$199+(($B$168)-$A162)*'Cálculos'!$E$98)/(('Cálculos'!$E$199+(($B$168)-$A162)*'Cálculos'!$E$98)+1400)+'Cálculos'!$E$123)*'Cálculos'!$E$267)+('Cálculos'!$E$185*(1+'Cálculos'!$E$190+$A162*('Cálculos'!$E$290=1)*'Cálculos'!$E$97+'Cálculos'!$E$305)+'Cálculos'!$E$195)*('Cálculos'!$E$269+'Cálculos'!$E$124*(1+2.78*('Cálculos'!$E$200+(($B$168)-$A162)*'Cálculos'!$E$98)/(('Cálculos'!$E$200+(($B$168)-$A162)*'Cálculos'!$E$98)+1400)+'Cálculos'!$E$122)*'Cálculos'!$E$274+'Cálculos'!$E$125*(1+2.78*('Cálculos'!$E$200+(($B$168)-$A162)*'Cálculos'!$E$98)/(('Cálculos'!$E$200+(($B$168)-$A162)*'Cálculos'!$E$98)+1400)+'Cálculos'!$E$123)*'Cálculos'!$E$279)+('Cálculos'!$E$200+(($B$168)-$A162)*'Cálculos'!$E$98)*('Cálculos'!$E$270+'Cálculos'!$E$124*(1+2.78*('Cálculos'!$E$200+(($B$168)-$A162)*'Cálculos'!$E$98)/(('Cálculos'!$E$200+(($B$168)-$A162)*'Cálculos'!$E$98)+1400)+'Cálculos'!$E$122)*'Cálculos'!$E$275+'Cálculos'!$E$125*(1+2.78*('Cálculos'!$E$200+(($B$168)-$A162)*'Cálculos'!$E$98)/(('Cálculos'!$E$200+(($B$168)-$A162)*'Cálculos'!$E$98)+1400)+'Cálculos'!$E$123)*'Cálculos'!$E$280)+('Cálculos'!$E$201*(1+'Cálculos'!$E$202+$A162*('Cálculos'!$E$290=2)*'Cálculos'!$E$101)+'Cálculos'!$E$203)*('Cálculos'!$E$271+'Cálculos'!$E$124*(1+2.78*('Cálculos'!$E$200+(($B$168)-$A162)*'Cálculos'!$E$98)/(('Cálculos'!$E$200+(($B$168)-$A162)*'Cálculos'!$E$98)+1400)+'Cálculos'!$E$122)*'Cálculos'!$E$276+'Cálculos'!$E$125*(1+2.78*('Cálculos'!$E$200+(($B$168)-$A162)*'Cálculos'!$E$98)/(('Cálculos'!$E$200+(($B$168)-$A162)*'Cálculos'!$E$98)+1400)+'Cálculos'!$E$123)*'Cálculos'!$E$281)+('Cálculos'!$E$204*(1+'Cálculos'!$E$205+$A162*('Cálculos'!$E$290=3)*'Cálculos'!$E$103)+'Cálculos'!$E$206)*('Cálculos'!$E$272+'Cálculos'!$E$124*(1+2.78*('Cálculos'!$E$200+(($B$168)-$A162)*'Cálculos'!$E$98)/(('Cálculos'!$E$200+(($B$168)-$A162)*'Cálculos'!$E$98)+1400)+'Cálculos'!$E$122)*'Cálculos'!$E$277+'Cálculos'!$E$125*(1+2.78*('Cálculos'!$E$200+(($B$168)-$A162)*'Cálculos'!$E$98)/(('Cálculos'!$E$200+(($B$168)-$A162)*'Cálculos'!$E$98)+1400)+'Cálculos'!$E$123)*'Cálculos'!$E$282)))</f>
        <v>0</v>
      </c>
    </row>
    <row r="163" ht="15.75" customHeight="1">
      <c r="A163" s="2">
        <v>43.0</v>
      </c>
      <c r="B163" s="30">
        <f>SUMPRODUCT(MAX(($A$120:$A$165&lt;=$A163)*($A$120:$A$165&lt;='Cálculos'!$E$294)*(($A163)-$A$120:$A$165&lt;='Cálculos'!$E$295)*(1+(('Cálculos'!$E$207+$A$120:$A$165*'Cálculos'!$E$95)-(('Cálculos'!$E$207+$A$120:$A$165*'Cálculos'!$E$95)&gt;1)*(('Cálculos'!$E$207+$A$120:$A$165*'Cálculos'!$E$95)-1))*('Cálculos'!$E$208+(($A163)-$A$120:$A$165)*'Cálculos'!$E$96))))</f>
        <v>3.319824</v>
      </c>
      <c r="C163" s="2">
        <f>'Cálculos'!$E$303-$A163</f>
        <v>-30</v>
      </c>
      <c r="D163" s="31">
        <f>IF($C163&lt;0,0,SUMPRODUCT(MAX(($A$120:$A$165&lt;=$C163)*($A$120:$A$165&lt;='Cálculos'!$E$301)*(($C163)-$A$120:$A$165&lt;='Cálculos'!$E$297)*(('Cálculos'!$E$185*(1+'Cálculos'!$E$186+$A$120:$A$165*('Cálculos'!$E$290=1)*'Cálculos'!$E$97+'Cálculos'!$E$305)+'Cálculos'!$E$191)*('Cálculos'!$E$209+'Cálculos'!$E$124*(1+2.78*('Cálculos'!$E$196+(($C163)-$A$120:$A$165)*'Cálculos'!$E$98)/(('Cálculos'!$E$196+(($C163)-$A$120:$A$165)*'Cálculos'!$E$98)+1400)+'Cálculos'!$E$122)*'Cálculos'!$E$214+'Cálculos'!$E$125*(1+2.78*('Cálculos'!$E$196+(($C163)-$A$120:$A$165)*'Cálculos'!$E$98)/(('Cálculos'!$E$196+(($C163)-$A$120:$A$165)*'Cálculos'!$E$98)+1400)+'Cálculos'!$E$123)*'Cálculos'!$E$219)+('Cálculos'!$E$196+(($C163)-$A$120:$A$165)*'Cálculos'!$E$98)*('Cálculos'!$E$210+'Cálculos'!$E$124*(1+2.78*('Cálculos'!$E$196+(($C163)-$A$120:$A$165)*'Cálculos'!$E$98)/(('Cálculos'!$E$196+(($C163)-$A$120:$A$165)*'Cálculos'!$E$98)+1400)+'Cálculos'!$E$122)*'Cálculos'!$E$215+'Cálculos'!$E$125*(1+2.78*('Cálculos'!$E$196+(($C163)-$A$120:$A$165)*'Cálculos'!$E$98)/(('Cálculos'!$E$196+(($C163)-$A$120:$A$165)*'Cálculos'!$E$98)+1400)+'Cálculos'!$E$123)*'Cálculos'!$E$220)+('Cálculos'!$E$201*(1+'Cálculos'!$E$202+$A$120:$A$165*('Cálculos'!$E$290=2)*'Cálculos'!$E$101)+'Cálculos'!$E$203)*('Cálculos'!$E$211+'Cálculos'!$E$124*(1+2.78*('Cálculos'!$E$196+(($C163)-$A$120:$A$165)*'Cálculos'!$E$98)/(('Cálculos'!$E$196+(($C163)-$A$120:$A$165)*'Cálculos'!$E$98)+1400)+'Cálculos'!$E$122)*'Cálculos'!$E$216+'Cálculos'!$E$125*(1+2.78*('Cálculos'!$E$196+(($C163)-$A$120:$A$165)*'Cálculos'!$E$98)/(('Cálculos'!$E$196+(($C163)-$A$120:$A$165)*'Cálculos'!$E$98)+1400)+'Cálculos'!$E$123)*'Cálculos'!$E$221)+('Cálculos'!$E$204*(1+'Cálculos'!$E$205+$A$120:$A$165*('Cálculos'!$E$290=3)*'Cálculos'!$E$103)+'Cálculos'!$E$206)*('Cálculos'!$E$212+'Cálculos'!$E$124*(1+2.78*('Cálculos'!$E$196+(($C163)-$A$120:$A$165)*'Cálculos'!$E$98)/(('Cálculos'!$E$196+(($C163)-$A$120:$A$165)*'Cálculos'!$E$98)+1400)+'Cálculos'!$E$122)*'Cálculos'!$E$217+'Cálculos'!$E$125*(1+2.78*('Cálculos'!$E$196+(($C163)-$A$120:$A$165)*'Cálculos'!$E$98)/(('Cálculos'!$E$196+(($C163)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163)-$A$120:$A$165)*'Cálculos'!$E$98)/(('Cálculos'!$E$197+(($C163)-$A$120:$A$165)*'Cálculos'!$E$98)+1400)+'Cálculos'!$E$122)*'Cálculos'!$E$229+'Cálculos'!$E$125*(1+2.78*('Cálculos'!$E$197+(($C163)-$A$120:$A$165)*'Cálculos'!$E$98)/(('Cálculos'!$E$197+(($C163)-$A$120:$A$165)*'Cálculos'!$E$98)+1400)+'Cálculos'!$E$123)*'Cálculos'!$E$234)+('Cálculos'!$E$197+(($C163)-$A$120:$A$165)*'Cálculos'!$E$98)*('Cálculos'!$E$225+'Cálculos'!$E$124*(1+2.78*('Cálculos'!$E$197+(($C163)-$A$120:$A$165)*'Cálculos'!$E$98)/(('Cálculos'!$E$197+(($C163)-$A$120:$A$165)*'Cálculos'!$E$98)+1400)+'Cálculos'!$E$122)*'Cálculos'!$E$230+'Cálculos'!$E$125*(1+2.78*('Cálculos'!$E$197+(($C163)-$A$120:$A$165)*'Cálculos'!$E$98)/(('Cálculos'!$E$197+(($C163)-$A$120:$A$165)*'Cálculos'!$E$98)+1400)+'Cálculos'!$E$123)*'Cálculos'!$E$235)+('Cálculos'!$E$201*(1+'Cálculos'!$E$202+$A$120:$A$165*('Cálculos'!$E$290=2)*'Cálculos'!$E$101)+'Cálculos'!$E$203)*('Cálculos'!$E$226+'Cálculos'!$E$124*(1+2.78*('Cálculos'!$E$197+(($C163)-$A$120:$A$165)*'Cálculos'!$E$98)/(('Cálculos'!$E$197+(($C163)-$A$120:$A$165)*'Cálculos'!$E$98)+1400)+'Cálculos'!$E$122)*'Cálculos'!$E$231+'Cálculos'!$E$125*(1+2.78*('Cálculos'!$E$197+(($C163)-$A$120:$A$165)*'Cálculos'!$E$98)/(('Cálculos'!$E$197+(($C163)-$A$120:$A$165)*'Cálculos'!$E$98)+1400)+'Cálculos'!$E$123)*'Cálculos'!$E$236)+('Cálculos'!$E$204*(1+'Cálculos'!$E$205+$A$120:$A$165*('Cálculos'!$E$290=3)*'Cálculos'!$E$103)+'Cálculos'!$E$206)*('Cálculos'!$E$227+'Cálculos'!$E$124*(1+2.78*('Cálculos'!$E$197+(($C163)-$A$120:$A$165)*'Cálculos'!$E$98)/(('Cálculos'!$E$197+(($C163)-$A$120:$A$165)*'Cálculos'!$E$98)+1400)+'Cálculos'!$E$122)*'Cálculos'!$E$232+'Cálculos'!$E$125*(1+2.78*('Cálculos'!$E$197+(($C163)-$A$120:$A$165)*'Cálculos'!$E$98)/(('Cálculos'!$E$197+(($C163)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163)-$A$120:$A$165)*'Cálculos'!$E$98)/(('Cálculos'!$E$198+(($C163)-$A$120:$A$165)*'Cálculos'!$E$98)+1400)+'Cálculos'!$E$122)*'Cálculos'!$E$244+'Cálculos'!$E$125*(1+2.78*('Cálculos'!$E$198+(($C163)-$A$120:$A$165)*'Cálculos'!$E$98)/(('Cálculos'!$E$198+(($C163)-$A$120:$A$165)*'Cálculos'!$E$98)+1400)+'Cálculos'!$E$123)*'Cálculos'!$E$249)+('Cálculos'!$E$198+(($C163)-$A$120:$A$165)*'Cálculos'!$E$98)*('Cálculos'!$E$240+'Cálculos'!$E$124*(1+2.78*('Cálculos'!$E$198+(($C163)-$A$120:$A$165)*'Cálculos'!$E$98)/(('Cálculos'!$E$198+(($C163)-$A$120:$A$165)*'Cálculos'!$E$98)+1400)+'Cálculos'!$E$122)*'Cálculos'!$E$245+'Cálculos'!$E$125*(1+2.78*('Cálculos'!$E$198+(($C163)-$A$120:$A$165)*'Cálculos'!$E$98)/(('Cálculos'!$E$198+(($C163)-$A$120:$A$165)*'Cálculos'!$E$98)+1400)+'Cálculos'!$E$123)*'Cálculos'!$E$250)+('Cálculos'!$E$201*(1+'Cálculos'!$E$202+$A$120:$A$165*('Cálculos'!$E$290=2)*'Cálculos'!$E$101)+'Cálculos'!$E$203)*('Cálculos'!$E$241+'Cálculos'!$E$124*(1+2.78*('Cálculos'!$E$198+(($C163)-$A$120:$A$165)*'Cálculos'!$E$98)/(('Cálculos'!$E$198+(($C163)-$A$120:$A$165)*'Cálculos'!$E$98)+1400)+'Cálculos'!$E$122)*'Cálculos'!$E$246+'Cálculos'!$E$125*(1+2.78*('Cálculos'!$E$198+(($C163)-$A$120:$A$165)*'Cálculos'!$E$98)/(('Cálculos'!$E$198+(($C163)-$A$120:$A$165)*'Cálculos'!$E$98)+1400)+'Cálculos'!$E$123)*'Cálculos'!$E$251)+('Cálculos'!$E$204*(1+'Cálculos'!$E$205+$A$120:$A$165*('Cálculos'!$E$290=3)*'Cálculos'!$E$103)+'Cálculos'!$E$206)*('Cálculos'!$E$242+'Cálculos'!$E$124*(1+2.78*('Cálculos'!$E$198+(($C163)-$A$120:$A$165)*'Cálculos'!$E$98)/(('Cálculos'!$E$198+(($C163)-$A$120:$A$165)*'Cálculos'!$E$98)+1400)+'Cálculos'!$E$122)*'Cálculos'!$E$247+'Cálculos'!$E$125*(1+2.78*('Cálculos'!$E$198+(($C163)-$A$120:$A$165)*'Cálculos'!$E$98)/(('Cálculos'!$E$198+(($C163)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163)-$A$120:$A$165)*'Cálculos'!$E$98)/(('Cálculos'!$E$199+(($C163)-$A$120:$A$165)*'Cálculos'!$E$98)+1400)+'Cálculos'!$E$122)*'Cálculos'!$E$259+'Cálculos'!$E$125*(1+2.78*('Cálculos'!$E$199+(($C163)-$A$120:$A$165)*'Cálculos'!$E$98)/(('Cálculos'!$E$199+(($C163)-$A$120:$A$165)*'Cálculos'!$E$98)+1400)+'Cálculos'!$E$123)*'Cálculos'!$E$264)+('Cálculos'!$E$199+(($C163)-$A$120:$A$165)*'Cálculos'!$E$98)*('Cálculos'!$E$255+'Cálculos'!$E$124*(1+2.78*('Cálculos'!$E$199+(($C163)-$A$120:$A$165)*'Cálculos'!$E$98)/(('Cálculos'!$E$199+(($C163)-$A$120:$A$165)*'Cálculos'!$E$98)+1400)+'Cálculos'!$E$122)*'Cálculos'!$E$260+'Cálculos'!$E$125*(1+2.78*('Cálculos'!$E$199+(($C163)-$A$120:$A$165)*'Cálculos'!$E$98)/(('Cálculos'!$E$199+(($C163)-$A$120:$A$165)*'Cálculos'!$E$98)+1400)+'Cálculos'!$E$123)*'Cálculos'!$E$265)+('Cálculos'!$E$201*(1+'Cálculos'!$E$202+$A$120:$A$165*('Cálculos'!$E$290=2)*'Cálculos'!$E$101)+'Cálculos'!$E$203)*('Cálculos'!$E$256+'Cálculos'!$E$124*(1+2.78*('Cálculos'!$E$199+(($C163)-$A$120:$A$165)*'Cálculos'!$E$98)/(('Cálculos'!$E$199+(($C163)-$A$120:$A$165)*'Cálculos'!$E$98)+1400)+'Cálculos'!$E$122)*'Cálculos'!$E$261+'Cálculos'!$E$125*(1+2.78*('Cálculos'!$E$199+(($C163)-$A$120:$A$165)*'Cálculos'!$E$98)/(('Cálculos'!$E$199+(($C163)-$A$120:$A$165)*'Cálculos'!$E$98)+1400)+'Cálculos'!$E$123)*'Cálculos'!$E$266)+('Cálculos'!$E$204*(1+'Cálculos'!$E$205+$A$120:$A$165*('Cálculos'!$E$290=3)*'Cálculos'!$E$103)+'Cálculos'!$E$206)*('Cálculos'!$E$257+'Cálculos'!$E$124*(1+2.78*('Cálculos'!$E$199+(($C163)-$A$120:$A$165)*'Cálculos'!$E$98)/(('Cálculos'!$E$199+(($C163)-$A$120:$A$165)*'Cálculos'!$E$98)+1400)+'Cálculos'!$E$122)*'Cálculos'!$E$262+'Cálculos'!$E$125*(1+2.78*('Cálculos'!$E$199+(($C163)-$A$120:$A$165)*'Cálculos'!$E$98)/(('Cálculos'!$E$199+(($C163)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163)-$A$120:$A$165)*'Cálculos'!$E$98)/(('Cálculos'!$E$200+(($C163)-$A$120:$A$165)*'Cálculos'!$E$98)+1400)+'Cálculos'!$E$122)*'Cálculos'!$E$274+'Cálculos'!$E$125*(1+2.78*('Cálculos'!$E$200+(($C163)-$A$120:$A$165)*'Cálculos'!$E$98)/(('Cálculos'!$E$200+(($C163)-$A$120:$A$165)*'Cálculos'!$E$98)+1400)+'Cálculos'!$E$123)*'Cálculos'!$E$279)+('Cálculos'!$E$200+(($C163)-$A$120:$A$165)*'Cálculos'!$E$98)*('Cálculos'!$E$270+'Cálculos'!$E$124*(1+2.78*('Cálculos'!$E$200+(($C163)-$A$120:$A$165)*'Cálculos'!$E$98)/(('Cálculos'!$E$200+(($C163)-$A$120:$A$165)*'Cálculos'!$E$98)+1400)+'Cálculos'!$E$122)*'Cálculos'!$E$275+'Cálculos'!$E$125*(1+2.78*('Cálculos'!$E$200+(($C163)-$A$120:$A$165)*'Cálculos'!$E$98)/(('Cálculos'!$E$200+(($C163)-$A$120:$A$165)*'Cálculos'!$E$98)+1400)+'Cálculos'!$E$123)*'Cálculos'!$E$280)+('Cálculos'!$E$201*(1+'Cálculos'!$E$202+$A$120:$A$165*('Cálculos'!$E$290=2)*'Cálculos'!$E$101)+'Cálculos'!$E$203)*('Cálculos'!$E$271+'Cálculos'!$E$124*(1+2.78*('Cálculos'!$E$200+(($C163)-$A$120:$A$165)*'Cálculos'!$E$98)/(('Cálculos'!$E$200+(($C163)-$A$120:$A$165)*'Cálculos'!$E$98)+1400)+'Cálculos'!$E$122)*'Cálculos'!$E$276+'Cálculos'!$E$125*(1+2.78*('Cálculos'!$E$200+(($C163)-$A$120:$A$165)*'Cálculos'!$E$98)/(('Cálculos'!$E$200+(($C163)-$A$120:$A$165)*'Cálculos'!$E$98)+1400)+'Cálculos'!$E$123)*'Cálculos'!$E$281)+('Cálculos'!$E$204*(1+'Cálculos'!$E$205+$A$120:$A$165*('Cálculos'!$E$290=3)*'Cálculos'!$E$103)+'Cálculos'!$E$206)*('Cálculos'!$E$272+'Cálculos'!$E$124*(1+2.78*('Cálculos'!$E$200+(($C163)-$A$120:$A$165)*'Cálculos'!$E$98)/(('Cálculos'!$E$200+(($C163)-$A$120:$A$165)*'Cálculos'!$E$98)+1400)+'Cálculos'!$E$122)*'Cálculos'!$E$277+'Cálculos'!$E$125*(1+2.78*('Cálculos'!$E$200+(($C163)-$A$120:$A$165)*'Cálculos'!$E$98)/(('Cálculos'!$E$200+(($C163)-$A$120:$A$165)*'Cálculos'!$E$98)+1400)+'Cálculos'!$E$123)*'Cálculos'!$E$282)))))</f>
        <v>0</v>
      </c>
      <c r="E163" s="32">
        <f>IF(OR($C163&lt;0,'Cálculos'!$E$6=""),0,$B163*$D163)</f>
        <v>0</v>
      </c>
      <c r="F163" s="2"/>
      <c r="G163" s="30">
        <f>($A163&lt;=$B$167)*($A163&lt;='Cálculos'!$E$294)*(($B$167)-$A163&lt;='Cálculos'!$E$295)*(1+MIN(('Cálculos'!$E$207+$A163*'Cálculos'!$E$95),1)*('Cálculos'!$E$208+(($B$167)-$A163)*'Cálculos'!$E$96))</f>
        <v>0</v>
      </c>
      <c r="H163" s="31">
        <f>IF($B$168&lt;0,0,($A163&lt;=$B$168)*($A163&lt;='Cálculos'!$E$301)*(($B$168)-$A163&lt;='Cálculos'!$E$297)*(('Cálculos'!$E$185*(1+'Cálculos'!$E$186+$A163*('Cálculos'!$E$290=1)*'Cálculos'!$E$97+'Cálculos'!$E$305)+'Cálculos'!$E$191)*('Cálculos'!$E$209+'Cálculos'!$E$124*(1+2.78*('Cálculos'!$E$196+(($B$168)-$A163)*'Cálculos'!$E$98)/(('Cálculos'!$E$196+(($B$168)-$A163)*'Cálculos'!$E$98)+1400)+'Cálculos'!$E$122)*'Cálculos'!$E$214+'Cálculos'!$E$125*(1+2.78*('Cálculos'!$E$196+(($B$168)-$A163)*'Cálculos'!$E$98)/(('Cálculos'!$E$196+(($B$168)-$A163)*'Cálculos'!$E$98)+1400)+'Cálculos'!$E$123)*'Cálculos'!$E$219)+('Cálculos'!$E$196+(($B$168)-$A163)*'Cálculos'!$E$98)*('Cálculos'!$E$210+'Cálculos'!$E$124*(1+2.78*('Cálculos'!$E$196+(($B$168)-$A163)*'Cálculos'!$E$98)/(('Cálculos'!$E$196+(($B$168)-$A163)*'Cálculos'!$E$98)+1400)+'Cálculos'!$E$122)*'Cálculos'!$E$215+'Cálculos'!$E$125*(1+2.78*('Cálculos'!$E$196+(($B$168)-$A163)*'Cálculos'!$E$98)/(('Cálculos'!$E$196+(($B$168)-$A163)*'Cálculos'!$E$98)+1400)+'Cálculos'!$E$123)*'Cálculos'!$E$220)+('Cálculos'!$E$201*(1+'Cálculos'!$E$202+$A163*('Cálculos'!$E$290=2)*'Cálculos'!$E$101)+'Cálculos'!$E$203)*('Cálculos'!$E$211+'Cálculos'!$E$124*(1+2.78*('Cálculos'!$E$196+(($B$168)-$A163)*'Cálculos'!$E$98)/(('Cálculos'!$E$196+(($B$168)-$A163)*'Cálculos'!$E$98)+1400)+'Cálculos'!$E$122)*'Cálculos'!$E$216+'Cálculos'!$E$125*(1+2.78*('Cálculos'!$E$196+(($B$168)-$A163)*'Cálculos'!$E$98)/(('Cálculos'!$E$196+(($B$168)-$A163)*'Cálculos'!$E$98)+1400)+'Cálculos'!$E$123)*'Cálculos'!$E$221)+('Cálculos'!$E$204*(1+'Cálculos'!$E$205+$A163*('Cálculos'!$E$290=3)*'Cálculos'!$E$103)+'Cálculos'!$E$206)*('Cálculos'!$E$212+'Cálculos'!$E$124*(1+2.78*('Cálculos'!$E$196+(($B$168)-$A163)*'Cálculos'!$E$98)/(('Cálculos'!$E$196+(($B$168)-$A163)*'Cálculos'!$E$98)+1400)+'Cálculos'!$E$122)*'Cálculos'!$E$217+'Cálculos'!$E$125*(1+2.78*('Cálculos'!$E$196+(($B$168)-$A163)*'Cálculos'!$E$98)/(('Cálculos'!$E$196+(($B$168)-$A163)*'Cálculos'!$E$98)+1400)+'Cálculos'!$E$123)*'Cálculos'!$E$222)+('Cálculos'!$E$185*(1+'Cálculos'!$E$187+$A163*('Cálculos'!$E$290=1)*'Cálculos'!$E$97+'Cálculos'!$E$305)+'Cálculos'!$E$192)*('Cálculos'!$E$224+'Cálculos'!$E$124*(1+2.78*('Cálculos'!$E$197+(($B$168)-$A163)*'Cálculos'!$E$98)/(('Cálculos'!$E$197+(($B$168)-$A163)*'Cálculos'!$E$98)+1400)+'Cálculos'!$E$122)*'Cálculos'!$E$229+'Cálculos'!$E$125*(1+2.78*('Cálculos'!$E$197+(($B$168)-$A163)*'Cálculos'!$E$98)/(('Cálculos'!$E$197+(($B$168)-$A163)*'Cálculos'!$E$98)+1400)+'Cálculos'!$E$123)*'Cálculos'!$E$234)+('Cálculos'!$E$197+(($B$168)-$A163)*'Cálculos'!$E$98)*('Cálculos'!$E$225+'Cálculos'!$E$124*(1+2.78*('Cálculos'!$E$197+(($B$168)-$A163)*'Cálculos'!$E$98)/(('Cálculos'!$E$197+(($B$168)-$A163)*'Cálculos'!$E$98)+1400)+'Cálculos'!$E$122)*'Cálculos'!$E$230+'Cálculos'!$E$125*(1+2.78*('Cálculos'!$E$197+(($B$168)-$A163)*'Cálculos'!$E$98)/(('Cálculos'!$E$197+(($B$168)-$A163)*'Cálculos'!$E$98)+1400)+'Cálculos'!$E$123)*'Cálculos'!$E$235)+('Cálculos'!$E$201*(1+'Cálculos'!$E$202+$A163*('Cálculos'!$E$290=2)*'Cálculos'!$E$101)+'Cálculos'!$E$203)*('Cálculos'!$E$226+'Cálculos'!$E$124*(1+2.78*('Cálculos'!$E$197+(($B$168)-$A163)*'Cálculos'!$E$98)/(('Cálculos'!$E$197+(($B$168)-$A163)*'Cálculos'!$E$98)+1400)+'Cálculos'!$E$122)*'Cálculos'!$E$231+'Cálculos'!$E$125*(1+2.78*('Cálculos'!$E$197+(($B$168)-$A163)*'Cálculos'!$E$98)/(('Cálculos'!$E$197+(($B$168)-$A163)*'Cálculos'!$E$98)+1400)+'Cálculos'!$E$123)*'Cálculos'!$E$236)+('Cálculos'!$E$204*(1+'Cálculos'!$E$205+$A163*('Cálculos'!$E$290=3)*'Cálculos'!$E$103)+'Cálculos'!$E$206)*('Cálculos'!$E$227+'Cálculos'!$E$124*(1+2.78*('Cálculos'!$E$197+(($B$168)-$A163)*'Cálculos'!$E$98)/(('Cálculos'!$E$197+(($B$168)-$A163)*'Cálculos'!$E$98)+1400)+'Cálculos'!$E$122)*'Cálculos'!$E$232+'Cálculos'!$E$125*(1+2.78*('Cálculos'!$E$197+(($B$168)-$A163)*'Cálculos'!$E$98)/(('Cálculos'!$E$197+(($B$168)-$A163)*'Cálculos'!$E$98)+1400)+'Cálculos'!$E$123)*'Cálculos'!$E$237)+('Cálculos'!$E$185*(1+'Cálculos'!$E$188+$A163*('Cálculos'!$E$290=1)*'Cálculos'!$E$97+'Cálculos'!$E$305)+'Cálculos'!$E$193)*('Cálculos'!$E$239+'Cálculos'!$E$124*(1+2.78*('Cálculos'!$E$198+(($B$168)-$A163)*'Cálculos'!$E$98)/(('Cálculos'!$E$198+(($B$168)-$A163)*'Cálculos'!$E$98)+1400)+'Cálculos'!$E$122)*'Cálculos'!$E$244+'Cálculos'!$E$125*(1+2.78*('Cálculos'!$E$198+(($B$168)-$A163)*'Cálculos'!$E$98)/(('Cálculos'!$E$198+(($B$168)-$A163)*'Cálculos'!$E$98)+1400)+'Cálculos'!$E$123)*'Cálculos'!$E$249)+('Cálculos'!$E$198+(($B$168)-$A163)*'Cálculos'!$E$98)*('Cálculos'!$E$240+'Cálculos'!$E$124*(1+2.78*('Cálculos'!$E$198+(($B$168)-$A163)*'Cálculos'!$E$98)/(('Cálculos'!$E$198+(($B$168)-$A163)*'Cálculos'!$E$98)+1400)+'Cálculos'!$E$122)*'Cálculos'!$E$245+'Cálculos'!$E$125*(1+2.78*('Cálculos'!$E$198+(($B$168)-$A163)*'Cálculos'!$E$98)/(('Cálculos'!$E$198+(($B$168)-$A163)*'Cálculos'!$E$98)+1400)+'Cálculos'!$E$123)*'Cálculos'!$E$250)+('Cálculos'!$E$201*(1+'Cálculos'!$E$202+$A163*('Cálculos'!$E$290=2)*'Cálculos'!$E$101)+'Cálculos'!$E$203)*('Cálculos'!$E$241+'Cálculos'!$E$124*(1+2.78*('Cálculos'!$E$198+(($B$168)-$A163)*'Cálculos'!$E$98)/(('Cálculos'!$E$198+(($B$168)-$A163)*'Cálculos'!$E$98)+1400)+'Cálculos'!$E$122)*'Cálculos'!$E$246+'Cálculos'!$E$125*(1+2.78*('Cálculos'!$E$198+(($B$168)-$A163)*'Cálculos'!$E$98)/(('Cálculos'!$E$198+(($B$168)-$A163)*'Cálculos'!$E$98)+1400)+'Cálculos'!$E$123)*'Cálculos'!$E$251)+('Cálculos'!$E$204*(1+'Cálculos'!$E$205+$A163*('Cálculos'!$E$290=3)*'Cálculos'!$E$103)+'Cálculos'!$E$206)*('Cálculos'!$E$242+'Cálculos'!$E$124*(1+2.78*('Cálculos'!$E$198+(($B$168)-$A163)*'Cálculos'!$E$98)/(('Cálculos'!$E$198+(($B$168)-$A163)*'Cálculos'!$E$98)+1400)+'Cálculos'!$E$122)*'Cálculos'!$E$247+'Cálculos'!$E$125*(1+2.78*('Cálculos'!$E$198+(($B$168)-$A163)*'Cálculos'!$E$98)/(('Cálculos'!$E$198+(($B$168)-$A163)*'Cálculos'!$E$98)+1400)+'Cálculos'!$E$123)*'Cálculos'!$E$252)+('Cálculos'!$E$185*(1+'Cálculos'!$E$189+$A163*('Cálculos'!$E$290=1)*'Cálculos'!$E$97+'Cálculos'!$E$305)+'Cálculos'!$E$194)*('Cálculos'!$E$254+'Cálculos'!$E$124*(1+2.78*('Cálculos'!$E$199+(($B$168)-$A163)*'Cálculos'!$E$98)/(('Cálculos'!$E$199+(($B$168)-$A163)*'Cálculos'!$E$98)+1400)+'Cálculos'!$E$122)*'Cálculos'!$E$259+'Cálculos'!$E$125*(1+2.78*('Cálculos'!$E$199+(($B$168)-$A163)*'Cálculos'!$E$98)/(('Cálculos'!$E$199+(($B$168)-$A163)*'Cálculos'!$E$98)+1400)+'Cálculos'!$E$123)*'Cálculos'!$E$264)+('Cálculos'!$E$199+(($B$168)-$A163)*'Cálculos'!$E$98)*('Cálculos'!$E$255+'Cálculos'!$E$124*(1+2.78*('Cálculos'!$E$199+(($B$168)-$A163)*'Cálculos'!$E$98)/(('Cálculos'!$E$199+(($B$168)-$A163)*'Cálculos'!$E$98)+1400)+'Cálculos'!$E$122)*'Cálculos'!$E$260+'Cálculos'!$E$125*(1+2.78*('Cálculos'!$E$199+(($B$168)-$A163)*'Cálculos'!$E$98)/(('Cálculos'!$E$199+(($B$168)-$A163)*'Cálculos'!$E$98)+1400)+'Cálculos'!$E$123)*'Cálculos'!$E$265)+('Cálculos'!$E$201*(1+'Cálculos'!$E$202+$A163*('Cálculos'!$E$290=2)*'Cálculos'!$E$101)+'Cálculos'!$E$203)*('Cálculos'!$E$256+'Cálculos'!$E$124*(1+2.78*('Cálculos'!$E$199+(($B$168)-$A163)*'Cálculos'!$E$98)/(('Cálculos'!$E$199+(($B$168)-$A163)*'Cálculos'!$E$98)+1400)+'Cálculos'!$E$122)*'Cálculos'!$E$261+'Cálculos'!$E$125*(1+2.78*('Cálculos'!$E$199+(($B$168)-$A163)*'Cálculos'!$E$98)/(('Cálculos'!$E$199+(($B$168)-$A163)*'Cálculos'!$E$98)+1400)+'Cálculos'!$E$123)*'Cálculos'!$E$266)+('Cálculos'!$E$204*(1+'Cálculos'!$E$205+$A163*('Cálculos'!$E$290=3)*'Cálculos'!$E$103)+'Cálculos'!$E$206)*('Cálculos'!$E$257+'Cálculos'!$E$124*(1+2.78*('Cálculos'!$E$199+(($B$168)-$A163)*'Cálculos'!$E$98)/(('Cálculos'!$E$199+(($B$168)-$A163)*'Cálculos'!$E$98)+1400)+'Cálculos'!$E$122)*'Cálculos'!$E$262+'Cálculos'!$E$125*(1+2.78*('Cálculos'!$E$199+(($B$168)-$A163)*'Cálculos'!$E$98)/(('Cálculos'!$E$199+(($B$168)-$A163)*'Cálculos'!$E$98)+1400)+'Cálculos'!$E$123)*'Cálculos'!$E$267)+('Cálculos'!$E$185*(1+'Cálculos'!$E$190+$A163*('Cálculos'!$E$290=1)*'Cálculos'!$E$97+'Cálculos'!$E$305)+'Cálculos'!$E$195)*('Cálculos'!$E$269+'Cálculos'!$E$124*(1+2.78*('Cálculos'!$E$200+(($B$168)-$A163)*'Cálculos'!$E$98)/(('Cálculos'!$E$200+(($B$168)-$A163)*'Cálculos'!$E$98)+1400)+'Cálculos'!$E$122)*'Cálculos'!$E$274+'Cálculos'!$E$125*(1+2.78*('Cálculos'!$E$200+(($B$168)-$A163)*'Cálculos'!$E$98)/(('Cálculos'!$E$200+(($B$168)-$A163)*'Cálculos'!$E$98)+1400)+'Cálculos'!$E$123)*'Cálculos'!$E$279)+('Cálculos'!$E$200+(($B$168)-$A163)*'Cálculos'!$E$98)*('Cálculos'!$E$270+'Cálculos'!$E$124*(1+2.78*('Cálculos'!$E$200+(($B$168)-$A163)*'Cálculos'!$E$98)/(('Cálculos'!$E$200+(($B$168)-$A163)*'Cálculos'!$E$98)+1400)+'Cálculos'!$E$122)*'Cálculos'!$E$275+'Cálculos'!$E$125*(1+2.78*('Cálculos'!$E$200+(($B$168)-$A163)*'Cálculos'!$E$98)/(('Cálculos'!$E$200+(($B$168)-$A163)*'Cálculos'!$E$98)+1400)+'Cálculos'!$E$123)*'Cálculos'!$E$280)+('Cálculos'!$E$201*(1+'Cálculos'!$E$202+$A163*('Cálculos'!$E$290=2)*'Cálculos'!$E$101)+'Cálculos'!$E$203)*('Cálculos'!$E$271+'Cálculos'!$E$124*(1+2.78*('Cálculos'!$E$200+(($B$168)-$A163)*'Cálculos'!$E$98)/(('Cálculos'!$E$200+(($B$168)-$A163)*'Cálculos'!$E$98)+1400)+'Cálculos'!$E$122)*'Cálculos'!$E$276+'Cálculos'!$E$125*(1+2.78*('Cálculos'!$E$200+(($B$168)-$A163)*'Cálculos'!$E$98)/(('Cálculos'!$E$200+(($B$168)-$A163)*'Cálculos'!$E$98)+1400)+'Cálculos'!$E$123)*'Cálculos'!$E$281)+('Cálculos'!$E$204*(1+'Cálculos'!$E$205+$A163*('Cálculos'!$E$290=3)*'Cálculos'!$E$103)+'Cálculos'!$E$206)*('Cálculos'!$E$272+'Cálculos'!$E$124*(1+2.78*('Cálculos'!$E$200+(($B$168)-$A163)*'Cálculos'!$E$98)/(('Cálculos'!$E$200+(($B$168)-$A163)*'Cálculos'!$E$98)+1400)+'Cálculos'!$E$122)*'Cálculos'!$E$277+'Cálculos'!$E$125*(1+2.78*('Cálculos'!$E$200+(($B$168)-$A163)*'Cálculos'!$E$98)/(('Cálculos'!$E$200+(($B$168)-$A163)*'Cálculos'!$E$98)+1400)+'Cálculos'!$E$123)*'Cálculos'!$E$282)))</f>
        <v>0</v>
      </c>
    </row>
    <row r="164" ht="15.75" customHeight="1">
      <c r="A164" s="2">
        <v>44.0</v>
      </c>
      <c r="B164" s="30">
        <f>SUMPRODUCT(MAX(($A$120:$A$165&lt;=$A164)*($A$120:$A$165&lt;='Cálculos'!$E$294)*(($A164)-$A$120:$A$165&lt;='Cálculos'!$E$295)*(1+(('Cálculos'!$E$207+$A$120:$A$165*'Cálculos'!$E$95)-(('Cálculos'!$E$207+$A$120:$A$165*'Cálculos'!$E$95)&gt;1)*(('Cálculos'!$E$207+$A$120:$A$165*'Cálculos'!$E$95)-1))*('Cálculos'!$E$208+(($A164)-$A$120:$A$165)*'Cálculos'!$E$96))))</f>
        <v>3.385032</v>
      </c>
      <c r="C164" s="2">
        <f>'Cálculos'!$E$303-$A164</f>
        <v>-31</v>
      </c>
      <c r="D164" s="31">
        <f>IF($C164&lt;0,0,SUMPRODUCT(MAX(($A$120:$A$165&lt;=$C164)*($A$120:$A$165&lt;='Cálculos'!$E$301)*(($C164)-$A$120:$A$165&lt;='Cálculos'!$E$297)*(('Cálculos'!$E$185*(1+'Cálculos'!$E$186+$A$120:$A$165*('Cálculos'!$E$290=1)*'Cálculos'!$E$97+'Cálculos'!$E$305)+'Cálculos'!$E$191)*('Cálculos'!$E$209+'Cálculos'!$E$124*(1+2.78*('Cálculos'!$E$196+(($C164)-$A$120:$A$165)*'Cálculos'!$E$98)/(('Cálculos'!$E$196+(($C164)-$A$120:$A$165)*'Cálculos'!$E$98)+1400)+'Cálculos'!$E$122)*'Cálculos'!$E$214+'Cálculos'!$E$125*(1+2.78*('Cálculos'!$E$196+(($C164)-$A$120:$A$165)*'Cálculos'!$E$98)/(('Cálculos'!$E$196+(($C164)-$A$120:$A$165)*'Cálculos'!$E$98)+1400)+'Cálculos'!$E$123)*'Cálculos'!$E$219)+('Cálculos'!$E$196+(($C164)-$A$120:$A$165)*'Cálculos'!$E$98)*('Cálculos'!$E$210+'Cálculos'!$E$124*(1+2.78*('Cálculos'!$E$196+(($C164)-$A$120:$A$165)*'Cálculos'!$E$98)/(('Cálculos'!$E$196+(($C164)-$A$120:$A$165)*'Cálculos'!$E$98)+1400)+'Cálculos'!$E$122)*'Cálculos'!$E$215+'Cálculos'!$E$125*(1+2.78*('Cálculos'!$E$196+(($C164)-$A$120:$A$165)*'Cálculos'!$E$98)/(('Cálculos'!$E$196+(($C164)-$A$120:$A$165)*'Cálculos'!$E$98)+1400)+'Cálculos'!$E$123)*'Cálculos'!$E$220)+('Cálculos'!$E$201*(1+'Cálculos'!$E$202+$A$120:$A$165*('Cálculos'!$E$290=2)*'Cálculos'!$E$101)+'Cálculos'!$E$203)*('Cálculos'!$E$211+'Cálculos'!$E$124*(1+2.78*('Cálculos'!$E$196+(($C164)-$A$120:$A$165)*'Cálculos'!$E$98)/(('Cálculos'!$E$196+(($C164)-$A$120:$A$165)*'Cálculos'!$E$98)+1400)+'Cálculos'!$E$122)*'Cálculos'!$E$216+'Cálculos'!$E$125*(1+2.78*('Cálculos'!$E$196+(($C164)-$A$120:$A$165)*'Cálculos'!$E$98)/(('Cálculos'!$E$196+(($C164)-$A$120:$A$165)*'Cálculos'!$E$98)+1400)+'Cálculos'!$E$123)*'Cálculos'!$E$221)+('Cálculos'!$E$204*(1+'Cálculos'!$E$205+$A$120:$A$165*('Cálculos'!$E$290=3)*'Cálculos'!$E$103)+'Cálculos'!$E$206)*('Cálculos'!$E$212+'Cálculos'!$E$124*(1+2.78*('Cálculos'!$E$196+(($C164)-$A$120:$A$165)*'Cálculos'!$E$98)/(('Cálculos'!$E$196+(($C164)-$A$120:$A$165)*'Cálculos'!$E$98)+1400)+'Cálculos'!$E$122)*'Cálculos'!$E$217+'Cálculos'!$E$125*(1+2.78*('Cálculos'!$E$196+(($C164)-$A$120:$A$165)*'Cálculos'!$E$98)/(('Cálculos'!$E$196+(($C164)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164)-$A$120:$A$165)*'Cálculos'!$E$98)/(('Cálculos'!$E$197+(($C164)-$A$120:$A$165)*'Cálculos'!$E$98)+1400)+'Cálculos'!$E$122)*'Cálculos'!$E$229+'Cálculos'!$E$125*(1+2.78*('Cálculos'!$E$197+(($C164)-$A$120:$A$165)*'Cálculos'!$E$98)/(('Cálculos'!$E$197+(($C164)-$A$120:$A$165)*'Cálculos'!$E$98)+1400)+'Cálculos'!$E$123)*'Cálculos'!$E$234)+('Cálculos'!$E$197+(($C164)-$A$120:$A$165)*'Cálculos'!$E$98)*('Cálculos'!$E$225+'Cálculos'!$E$124*(1+2.78*('Cálculos'!$E$197+(($C164)-$A$120:$A$165)*'Cálculos'!$E$98)/(('Cálculos'!$E$197+(($C164)-$A$120:$A$165)*'Cálculos'!$E$98)+1400)+'Cálculos'!$E$122)*'Cálculos'!$E$230+'Cálculos'!$E$125*(1+2.78*('Cálculos'!$E$197+(($C164)-$A$120:$A$165)*'Cálculos'!$E$98)/(('Cálculos'!$E$197+(($C164)-$A$120:$A$165)*'Cálculos'!$E$98)+1400)+'Cálculos'!$E$123)*'Cálculos'!$E$235)+('Cálculos'!$E$201*(1+'Cálculos'!$E$202+$A$120:$A$165*('Cálculos'!$E$290=2)*'Cálculos'!$E$101)+'Cálculos'!$E$203)*('Cálculos'!$E$226+'Cálculos'!$E$124*(1+2.78*('Cálculos'!$E$197+(($C164)-$A$120:$A$165)*'Cálculos'!$E$98)/(('Cálculos'!$E$197+(($C164)-$A$120:$A$165)*'Cálculos'!$E$98)+1400)+'Cálculos'!$E$122)*'Cálculos'!$E$231+'Cálculos'!$E$125*(1+2.78*('Cálculos'!$E$197+(($C164)-$A$120:$A$165)*'Cálculos'!$E$98)/(('Cálculos'!$E$197+(($C164)-$A$120:$A$165)*'Cálculos'!$E$98)+1400)+'Cálculos'!$E$123)*'Cálculos'!$E$236)+('Cálculos'!$E$204*(1+'Cálculos'!$E$205+$A$120:$A$165*('Cálculos'!$E$290=3)*'Cálculos'!$E$103)+'Cálculos'!$E$206)*('Cálculos'!$E$227+'Cálculos'!$E$124*(1+2.78*('Cálculos'!$E$197+(($C164)-$A$120:$A$165)*'Cálculos'!$E$98)/(('Cálculos'!$E$197+(($C164)-$A$120:$A$165)*'Cálculos'!$E$98)+1400)+'Cálculos'!$E$122)*'Cálculos'!$E$232+'Cálculos'!$E$125*(1+2.78*('Cálculos'!$E$197+(($C164)-$A$120:$A$165)*'Cálculos'!$E$98)/(('Cálculos'!$E$197+(($C164)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164)-$A$120:$A$165)*'Cálculos'!$E$98)/(('Cálculos'!$E$198+(($C164)-$A$120:$A$165)*'Cálculos'!$E$98)+1400)+'Cálculos'!$E$122)*'Cálculos'!$E$244+'Cálculos'!$E$125*(1+2.78*('Cálculos'!$E$198+(($C164)-$A$120:$A$165)*'Cálculos'!$E$98)/(('Cálculos'!$E$198+(($C164)-$A$120:$A$165)*'Cálculos'!$E$98)+1400)+'Cálculos'!$E$123)*'Cálculos'!$E$249)+('Cálculos'!$E$198+(($C164)-$A$120:$A$165)*'Cálculos'!$E$98)*('Cálculos'!$E$240+'Cálculos'!$E$124*(1+2.78*('Cálculos'!$E$198+(($C164)-$A$120:$A$165)*'Cálculos'!$E$98)/(('Cálculos'!$E$198+(($C164)-$A$120:$A$165)*'Cálculos'!$E$98)+1400)+'Cálculos'!$E$122)*'Cálculos'!$E$245+'Cálculos'!$E$125*(1+2.78*('Cálculos'!$E$198+(($C164)-$A$120:$A$165)*'Cálculos'!$E$98)/(('Cálculos'!$E$198+(($C164)-$A$120:$A$165)*'Cálculos'!$E$98)+1400)+'Cálculos'!$E$123)*'Cálculos'!$E$250)+('Cálculos'!$E$201*(1+'Cálculos'!$E$202+$A$120:$A$165*('Cálculos'!$E$290=2)*'Cálculos'!$E$101)+'Cálculos'!$E$203)*('Cálculos'!$E$241+'Cálculos'!$E$124*(1+2.78*('Cálculos'!$E$198+(($C164)-$A$120:$A$165)*'Cálculos'!$E$98)/(('Cálculos'!$E$198+(($C164)-$A$120:$A$165)*'Cálculos'!$E$98)+1400)+'Cálculos'!$E$122)*'Cálculos'!$E$246+'Cálculos'!$E$125*(1+2.78*('Cálculos'!$E$198+(($C164)-$A$120:$A$165)*'Cálculos'!$E$98)/(('Cálculos'!$E$198+(($C164)-$A$120:$A$165)*'Cálculos'!$E$98)+1400)+'Cálculos'!$E$123)*'Cálculos'!$E$251)+('Cálculos'!$E$204*(1+'Cálculos'!$E$205+$A$120:$A$165*('Cálculos'!$E$290=3)*'Cálculos'!$E$103)+'Cálculos'!$E$206)*('Cálculos'!$E$242+'Cálculos'!$E$124*(1+2.78*('Cálculos'!$E$198+(($C164)-$A$120:$A$165)*'Cálculos'!$E$98)/(('Cálculos'!$E$198+(($C164)-$A$120:$A$165)*'Cálculos'!$E$98)+1400)+'Cálculos'!$E$122)*'Cálculos'!$E$247+'Cálculos'!$E$125*(1+2.78*('Cálculos'!$E$198+(($C164)-$A$120:$A$165)*'Cálculos'!$E$98)/(('Cálculos'!$E$198+(($C164)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164)-$A$120:$A$165)*'Cálculos'!$E$98)/(('Cálculos'!$E$199+(($C164)-$A$120:$A$165)*'Cálculos'!$E$98)+1400)+'Cálculos'!$E$122)*'Cálculos'!$E$259+'Cálculos'!$E$125*(1+2.78*('Cálculos'!$E$199+(($C164)-$A$120:$A$165)*'Cálculos'!$E$98)/(('Cálculos'!$E$199+(($C164)-$A$120:$A$165)*'Cálculos'!$E$98)+1400)+'Cálculos'!$E$123)*'Cálculos'!$E$264)+('Cálculos'!$E$199+(($C164)-$A$120:$A$165)*'Cálculos'!$E$98)*('Cálculos'!$E$255+'Cálculos'!$E$124*(1+2.78*('Cálculos'!$E$199+(($C164)-$A$120:$A$165)*'Cálculos'!$E$98)/(('Cálculos'!$E$199+(($C164)-$A$120:$A$165)*'Cálculos'!$E$98)+1400)+'Cálculos'!$E$122)*'Cálculos'!$E$260+'Cálculos'!$E$125*(1+2.78*('Cálculos'!$E$199+(($C164)-$A$120:$A$165)*'Cálculos'!$E$98)/(('Cálculos'!$E$199+(($C164)-$A$120:$A$165)*'Cálculos'!$E$98)+1400)+'Cálculos'!$E$123)*'Cálculos'!$E$265)+('Cálculos'!$E$201*(1+'Cálculos'!$E$202+$A$120:$A$165*('Cálculos'!$E$290=2)*'Cálculos'!$E$101)+'Cálculos'!$E$203)*('Cálculos'!$E$256+'Cálculos'!$E$124*(1+2.78*('Cálculos'!$E$199+(($C164)-$A$120:$A$165)*'Cálculos'!$E$98)/(('Cálculos'!$E$199+(($C164)-$A$120:$A$165)*'Cálculos'!$E$98)+1400)+'Cálculos'!$E$122)*'Cálculos'!$E$261+'Cálculos'!$E$125*(1+2.78*('Cálculos'!$E$199+(($C164)-$A$120:$A$165)*'Cálculos'!$E$98)/(('Cálculos'!$E$199+(($C164)-$A$120:$A$165)*'Cálculos'!$E$98)+1400)+'Cálculos'!$E$123)*'Cálculos'!$E$266)+('Cálculos'!$E$204*(1+'Cálculos'!$E$205+$A$120:$A$165*('Cálculos'!$E$290=3)*'Cálculos'!$E$103)+'Cálculos'!$E$206)*('Cálculos'!$E$257+'Cálculos'!$E$124*(1+2.78*('Cálculos'!$E$199+(($C164)-$A$120:$A$165)*'Cálculos'!$E$98)/(('Cálculos'!$E$199+(($C164)-$A$120:$A$165)*'Cálculos'!$E$98)+1400)+'Cálculos'!$E$122)*'Cálculos'!$E$262+'Cálculos'!$E$125*(1+2.78*('Cálculos'!$E$199+(($C164)-$A$120:$A$165)*'Cálculos'!$E$98)/(('Cálculos'!$E$199+(($C164)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164)-$A$120:$A$165)*'Cálculos'!$E$98)/(('Cálculos'!$E$200+(($C164)-$A$120:$A$165)*'Cálculos'!$E$98)+1400)+'Cálculos'!$E$122)*'Cálculos'!$E$274+'Cálculos'!$E$125*(1+2.78*('Cálculos'!$E$200+(($C164)-$A$120:$A$165)*'Cálculos'!$E$98)/(('Cálculos'!$E$200+(($C164)-$A$120:$A$165)*'Cálculos'!$E$98)+1400)+'Cálculos'!$E$123)*'Cálculos'!$E$279)+('Cálculos'!$E$200+(($C164)-$A$120:$A$165)*'Cálculos'!$E$98)*('Cálculos'!$E$270+'Cálculos'!$E$124*(1+2.78*('Cálculos'!$E$200+(($C164)-$A$120:$A$165)*'Cálculos'!$E$98)/(('Cálculos'!$E$200+(($C164)-$A$120:$A$165)*'Cálculos'!$E$98)+1400)+'Cálculos'!$E$122)*'Cálculos'!$E$275+'Cálculos'!$E$125*(1+2.78*('Cálculos'!$E$200+(($C164)-$A$120:$A$165)*'Cálculos'!$E$98)/(('Cálculos'!$E$200+(($C164)-$A$120:$A$165)*'Cálculos'!$E$98)+1400)+'Cálculos'!$E$123)*'Cálculos'!$E$280)+('Cálculos'!$E$201*(1+'Cálculos'!$E$202+$A$120:$A$165*('Cálculos'!$E$290=2)*'Cálculos'!$E$101)+'Cálculos'!$E$203)*('Cálculos'!$E$271+'Cálculos'!$E$124*(1+2.78*('Cálculos'!$E$200+(($C164)-$A$120:$A$165)*'Cálculos'!$E$98)/(('Cálculos'!$E$200+(($C164)-$A$120:$A$165)*'Cálculos'!$E$98)+1400)+'Cálculos'!$E$122)*'Cálculos'!$E$276+'Cálculos'!$E$125*(1+2.78*('Cálculos'!$E$200+(($C164)-$A$120:$A$165)*'Cálculos'!$E$98)/(('Cálculos'!$E$200+(($C164)-$A$120:$A$165)*'Cálculos'!$E$98)+1400)+'Cálculos'!$E$123)*'Cálculos'!$E$281)+('Cálculos'!$E$204*(1+'Cálculos'!$E$205+$A$120:$A$165*('Cálculos'!$E$290=3)*'Cálculos'!$E$103)+'Cálculos'!$E$206)*('Cálculos'!$E$272+'Cálculos'!$E$124*(1+2.78*('Cálculos'!$E$200+(($C164)-$A$120:$A$165)*'Cálculos'!$E$98)/(('Cálculos'!$E$200+(($C164)-$A$120:$A$165)*'Cálculos'!$E$98)+1400)+'Cálculos'!$E$122)*'Cálculos'!$E$277+'Cálculos'!$E$125*(1+2.78*('Cálculos'!$E$200+(($C164)-$A$120:$A$165)*'Cálculos'!$E$98)/(('Cálculos'!$E$200+(($C164)-$A$120:$A$165)*'Cálculos'!$E$98)+1400)+'Cálculos'!$E$123)*'Cálculos'!$E$282)))))</f>
        <v>0</v>
      </c>
      <c r="E164" s="32">
        <f>IF(OR($C164&lt;0,'Cálculos'!$E$6=""),0,$B164*$D164)</f>
        <v>0</v>
      </c>
      <c r="F164" s="2"/>
      <c r="G164" s="30">
        <f>($A164&lt;=$B$167)*($A164&lt;='Cálculos'!$E$294)*(($B$167)-$A164&lt;='Cálculos'!$E$295)*(1+MIN(('Cálculos'!$E$207+$A164*'Cálculos'!$E$95),1)*('Cálculos'!$E$208+(($B$167)-$A164)*'Cálculos'!$E$96))</f>
        <v>0</v>
      </c>
      <c r="H164" s="31">
        <f>IF($B$168&lt;0,0,($A164&lt;=$B$168)*($A164&lt;='Cálculos'!$E$301)*(($B$168)-$A164&lt;='Cálculos'!$E$297)*(('Cálculos'!$E$185*(1+'Cálculos'!$E$186+$A164*('Cálculos'!$E$290=1)*'Cálculos'!$E$97+'Cálculos'!$E$305)+'Cálculos'!$E$191)*('Cálculos'!$E$209+'Cálculos'!$E$124*(1+2.78*('Cálculos'!$E$196+(($B$168)-$A164)*'Cálculos'!$E$98)/(('Cálculos'!$E$196+(($B$168)-$A164)*'Cálculos'!$E$98)+1400)+'Cálculos'!$E$122)*'Cálculos'!$E$214+'Cálculos'!$E$125*(1+2.78*('Cálculos'!$E$196+(($B$168)-$A164)*'Cálculos'!$E$98)/(('Cálculos'!$E$196+(($B$168)-$A164)*'Cálculos'!$E$98)+1400)+'Cálculos'!$E$123)*'Cálculos'!$E$219)+('Cálculos'!$E$196+(($B$168)-$A164)*'Cálculos'!$E$98)*('Cálculos'!$E$210+'Cálculos'!$E$124*(1+2.78*('Cálculos'!$E$196+(($B$168)-$A164)*'Cálculos'!$E$98)/(('Cálculos'!$E$196+(($B$168)-$A164)*'Cálculos'!$E$98)+1400)+'Cálculos'!$E$122)*'Cálculos'!$E$215+'Cálculos'!$E$125*(1+2.78*('Cálculos'!$E$196+(($B$168)-$A164)*'Cálculos'!$E$98)/(('Cálculos'!$E$196+(($B$168)-$A164)*'Cálculos'!$E$98)+1400)+'Cálculos'!$E$123)*'Cálculos'!$E$220)+('Cálculos'!$E$201*(1+'Cálculos'!$E$202+$A164*('Cálculos'!$E$290=2)*'Cálculos'!$E$101)+'Cálculos'!$E$203)*('Cálculos'!$E$211+'Cálculos'!$E$124*(1+2.78*('Cálculos'!$E$196+(($B$168)-$A164)*'Cálculos'!$E$98)/(('Cálculos'!$E$196+(($B$168)-$A164)*'Cálculos'!$E$98)+1400)+'Cálculos'!$E$122)*'Cálculos'!$E$216+'Cálculos'!$E$125*(1+2.78*('Cálculos'!$E$196+(($B$168)-$A164)*'Cálculos'!$E$98)/(('Cálculos'!$E$196+(($B$168)-$A164)*'Cálculos'!$E$98)+1400)+'Cálculos'!$E$123)*'Cálculos'!$E$221)+('Cálculos'!$E$204*(1+'Cálculos'!$E$205+$A164*('Cálculos'!$E$290=3)*'Cálculos'!$E$103)+'Cálculos'!$E$206)*('Cálculos'!$E$212+'Cálculos'!$E$124*(1+2.78*('Cálculos'!$E$196+(($B$168)-$A164)*'Cálculos'!$E$98)/(('Cálculos'!$E$196+(($B$168)-$A164)*'Cálculos'!$E$98)+1400)+'Cálculos'!$E$122)*'Cálculos'!$E$217+'Cálculos'!$E$125*(1+2.78*('Cálculos'!$E$196+(($B$168)-$A164)*'Cálculos'!$E$98)/(('Cálculos'!$E$196+(($B$168)-$A164)*'Cálculos'!$E$98)+1400)+'Cálculos'!$E$123)*'Cálculos'!$E$222)+('Cálculos'!$E$185*(1+'Cálculos'!$E$187+$A164*('Cálculos'!$E$290=1)*'Cálculos'!$E$97+'Cálculos'!$E$305)+'Cálculos'!$E$192)*('Cálculos'!$E$224+'Cálculos'!$E$124*(1+2.78*('Cálculos'!$E$197+(($B$168)-$A164)*'Cálculos'!$E$98)/(('Cálculos'!$E$197+(($B$168)-$A164)*'Cálculos'!$E$98)+1400)+'Cálculos'!$E$122)*'Cálculos'!$E$229+'Cálculos'!$E$125*(1+2.78*('Cálculos'!$E$197+(($B$168)-$A164)*'Cálculos'!$E$98)/(('Cálculos'!$E$197+(($B$168)-$A164)*'Cálculos'!$E$98)+1400)+'Cálculos'!$E$123)*'Cálculos'!$E$234)+('Cálculos'!$E$197+(($B$168)-$A164)*'Cálculos'!$E$98)*('Cálculos'!$E$225+'Cálculos'!$E$124*(1+2.78*('Cálculos'!$E$197+(($B$168)-$A164)*'Cálculos'!$E$98)/(('Cálculos'!$E$197+(($B$168)-$A164)*'Cálculos'!$E$98)+1400)+'Cálculos'!$E$122)*'Cálculos'!$E$230+'Cálculos'!$E$125*(1+2.78*('Cálculos'!$E$197+(($B$168)-$A164)*'Cálculos'!$E$98)/(('Cálculos'!$E$197+(($B$168)-$A164)*'Cálculos'!$E$98)+1400)+'Cálculos'!$E$123)*'Cálculos'!$E$235)+('Cálculos'!$E$201*(1+'Cálculos'!$E$202+$A164*('Cálculos'!$E$290=2)*'Cálculos'!$E$101)+'Cálculos'!$E$203)*('Cálculos'!$E$226+'Cálculos'!$E$124*(1+2.78*('Cálculos'!$E$197+(($B$168)-$A164)*'Cálculos'!$E$98)/(('Cálculos'!$E$197+(($B$168)-$A164)*'Cálculos'!$E$98)+1400)+'Cálculos'!$E$122)*'Cálculos'!$E$231+'Cálculos'!$E$125*(1+2.78*('Cálculos'!$E$197+(($B$168)-$A164)*'Cálculos'!$E$98)/(('Cálculos'!$E$197+(($B$168)-$A164)*'Cálculos'!$E$98)+1400)+'Cálculos'!$E$123)*'Cálculos'!$E$236)+('Cálculos'!$E$204*(1+'Cálculos'!$E$205+$A164*('Cálculos'!$E$290=3)*'Cálculos'!$E$103)+'Cálculos'!$E$206)*('Cálculos'!$E$227+'Cálculos'!$E$124*(1+2.78*('Cálculos'!$E$197+(($B$168)-$A164)*'Cálculos'!$E$98)/(('Cálculos'!$E$197+(($B$168)-$A164)*'Cálculos'!$E$98)+1400)+'Cálculos'!$E$122)*'Cálculos'!$E$232+'Cálculos'!$E$125*(1+2.78*('Cálculos'!$E$197+(($B$168)-$A164)*'Cálculos'!$E$98)/(('Cálculos'!$E$197+(($B$168)-$A164)*'Cálculos'!$E$98)+1400)+'Cálculos'!$E$123)*'Cálculos'!$E$237)+('Cálculos'!$E$185*(1+'Cálculos'!$E$188+$A164*('Cálculos'!$E$290=1)*'Cálculos'!$E$97+'Cálculos'!$E$305)+'Cálculos'!$E$193)*('Cálculos'!$E$239+'Cálculos'!$E$124*(1+2.78*('Cálculos'!$E$198+(($B$168)-$A164)*'Cálculos'!$E$98)/(('Cálculos'!$E$198+(($B$168)-$A164)*'Cálculos'!$E$98)+1400)+'Cálculos'!$E$122)*'Cálculos'!$E$244+'Cálculos'!$E$125*(1+2.78*('Cálculos'!$E$198+(($B$168)-$A164)*'Cálculos'!$E$98)/(('Cálculos'!$E$198+(($B$168)-$A164)*'Cálculos'!$E$98)+1400)+'Cálculos'!$E$123)*'Cálculos'!$E$249)+('Cálculos'!$E$198+(($B$168)-$A164)*'Cálculos'!$E$98)*('Cálculos'!$E$240+'Cálculos'!$E$124*(1+2.78*('Cálculos'!$E$198+(($B$168)-$A164)*'Cálculos'!$E$98)/(('Cálculos'!$E$198+(($B$168)-$A164)*'Cálculos'!$E$98)+1400)+'Cálculos'!$E$122)*'Cálculos'!$E$245+'Cálculos'!$E$125*(1+2.78*('Cálculos'!$E$198+(($B$168)-$A164)*'Cálculos'!$E$98)/(('Cálculos'!$E$198+(($B$168)-$A164)*'Cálculos'!$E$98)+1400)+'Cálculos'!$E$123)*'Cálculos'!$E$250)+('Cálculos'!$E$201*(1+'Cálculos'!$E$202+$A164*('Cálculos'!$E$290=2)*'Cálculos'!$E$101)+'Cálculos'!$E$203)*('Cálculos'!$E$241+'Cálculos'!$E$124*(1+2.78*('Cálculos'!$E$198+(($B$168)-$A164)*'Cálculos'!$E$98)/(('Cálculos'!$E$198+(($B$168)-$A164)*'Cálculos'!$E$98)+1400)+'Cálculos'!$E$122)*'Cálculos'!$E$246+'Cálculos'!$E$125*(1+2.78*('Cálculos'!$E$198+(($B$168)-$A164)*'Cálculos'!$E$98)/(('Cálculos'!$E$198+(($B$168)-$A164)*'Cálculos'!$E$98)+1400)+'Cálculos'!$E$123)*'Cálculos'!$E$251)+('Cálculos'!$E$204*(1+'Cálculos'!$E$205+$A164*('Cálculos'!$E$290=3)*'Cálculos'!$E$103)+'Cálculos'!$E$206)*('Cálculos'!$E$242+'Cálculos'!$E$124*(1+2.78*('Cálculos'!$E$198+(($B$168)-$A164)*'Cálculos'!$E$98)/(('Cálculos'!$E$198+(($B$168)-$A164)*'Cálculos'!$E$98)+1400)+'Cálculos'!$E$122)*'Cálculos'!$E$247+'Cálculos'!$E$125*(1+2.78*('Cálculos'!$E$198+(($B$168)-$A164)*'Cálculos'!$E$98)/(('Cálculos'!$E$198+(($B$168)-$A164)*'Cálculos'!$E$98)+1400)+'Cálculos'!$E$123)*'Cálculos'!$E$252)+('Cálculos'!$E$185*(1+'Cálculos'!$E$189+$A164*('Cálculos'!$E$290=1)*'Cálculos'!$E$97+'Cálculos'!$E$305)+'Cálculos'!$E$194)*('Cálculos'!$E$254+'Cálculos'!$E$124*(1+2.78*('Cálculos'!$E$199+(($B$168)-$A164)*'Cálculos'!$E$98)/(('Cálculos'!$E$199+(($B$168)-$A164)*'Cálculos'!$E$98)+1400)+'Cálculos'!$E$122)*'Cálculos'!$E$259+'Cálculos'!$E$125*(1+2.78*('Cálculos'!$E$199+(($B$168)-$A164)*'Cálculos'!$E$98)/(('Cálculos'!$E$199+(($B$168)-$A164)*'Cálculos'!$E$98)+1400)+'Cálculos'!$E$123)*'Cálculos'!$E$264)+('Cálculos'!$E$199+(($B$168)-$A164)*'Cálculos'!$E$98)*('Cálculos'!$E$255+'Cálculos'!$E$124*(1+2.78*('Cálculos'!$E$199+(($B$168)-$A164)*'Cálculos'!$E$98)/(('Cálculos'!$E$199+(($B$168)-$A164)*'Cálculos'!$E$98)+1400)+'Cálculos'!$E$122)*'Cálculos'!$E$260+'Cálculos'!$E$125*(1+2.78*('Cálculos'!$E$199+(($B$168)-$A164)*'Cálculos'!$E$98)/(('Cálculos'!$E$199+(($B$168)-$A164)*'Cálculos'!$E$98)+1400)+'Cálculos'!$E$123)*'Cálculos'!$E$265)+('Cálculos'!$E$201*(1+'Cálculos'!$E$202+$A164*('Cálculos'!$E$290=2)*'Cálculos'!$E$101)+'Cálculos'!$E$203)*('Cálculos'!$E$256+'Cálculos'!$E$124*(1+2.78*('Cálculos'!$E$199+(($B$168)-$A164)*'Cálculos'!$E$98)/(('Cálculos'!$E$199+(($B$168)-$A164)*'Cálculos'!$E$98)+1400)+'Cálculos'!$E$122)*'Cálculos'!$E$261+'Cálculos'!$E$125*(1+2.78*('Cálculos'!$E$199+(($B$168)-$A164)*'Cálculos'!$E$98)/(('Cálculos'!$E$199+(($B$168)-$A164)*'Cálculos'!$E$98)+1400)+'Cálculos'!$E$123)*'Cálculos'!$E$266)+('Cálculos'!$E$204*(1+'Cálculos'!$E$205+$A164*('Cálculos'!$E$290=3)*'Cálculos'!$E$103)+'Cálculos'!$E$206)*('Cálculos'!$E$257+'Cálculos'!$E$124*(1+2.78*('Cálculos'!$E$199+(($B$168)-$A164)*'Cálculos'!$E$98)/(('Cálculos'!$E$199+(($B$168)-$A164)*'Cálculos'!$E$98)+1400)+'Cálculos'!$E$122)*'Cálculos'!$E$262+'Cálculos'!$E$125*(1+2.78*('Cálculos'!$E$199+(($B$168)-$A164)*'Cálculos'!$E$98)/(('Cálculos'!$E$199+(($B$168)-$A164)*'Cálculos'!$E$98)+1400)+'Cálculos'!$E$123)*'Cálculos'!$E$267)+('Cálculos'!$E$185*(1+'Cálculos'!$E$190+$A164*('Cálculos'!$E$290=1)*'Cálculos'!$E$97+'Cálculos'!$E$305)+'Cálculos'!$E$195)*('Cálculos'!$E$269+'Cálculos'!$E$124*(1+2.78*('Cálculos'!$E$200+(($B$168)-$A164)*'Cálculos'!$E$98)/(('Cálculos'!$E$200+(($B$168)-$A164)*'Cálculos'!$E$98)+1400)+'Cálculos'!$E$122)*'Cálculos'!$E$274+'Cálculos'!$E$125*(1+2.78*('Cálculos'!$E$200+(($B$168)-$A164)*'Cálculos'!$E$98)/(('Cálculos'!$E$200+(($B$168)-$A164)*'Cálculos'!$E$98)+1400)+'Cálculos'!$E$123)*'Cálculos'!$E$279)+('Cálculos'!$E$200+(($B$168)-$A164)*'Cálculos'!$E$98)*('Cálculos'!$E$270+'Cálculos'!$E$124*(1+2.78*('Cálculos'!$E$200+(($B$168)-$A164)*'Cálculos'!$E$98)/(('Cálculos'!$E$200+(($B$168)-$A164)*'Cálculos'!$E$98)+1400)+'Cálculos'!$E$122)*'Cálculos'!$E$275+'Cálculos'!$E$125*(1+2.78*('Cálculos'!$E$200+(($B$168)-$A164)*'Cálculos'!$E$98)/(('Cálculos'!$E$200+(($B$168)-$A164)*'Cálculos'!$E$98)+1400)+'Cálculos'!$E$123)*'Cálculos'!$E$280)+('Cálculos'!$E$201*(1+'Cálculos'!$E$202+$A164*('Cálculos'!$E$290=2)*'Cálculos'!$E$101)+'Cálculos'!$E$203)*('Cálculos'!$E$271+'Cálculos'!$E$124*(1+2.78*('Cálculos'!$E$200+(($B$168)-$A164)*'Cálculos'!$E$98)/(('Cálculos'!$E$200+(($B$168)-$A164)*'Cálculos'!$E$98)+1400)+'Cálculos'!$E$122)*'Cálculos'!$E$276+'Cálculos'!$E$125*(1+2.78*('Cálculos'!$E$200+(($B$168)-$A164)*'Cálculos'!$E$98)/(('Cálculos'!$E$200+(($B$168)-$A164)*'Cálculos'!$E$98)+1400)+'Cálculos'!$E$123)*'Cálculos'!$E$281)+('Cálculos'!$E$204*(1+'Cálculos'!$E$205+$A164*('Cálculos'!$E$290=3)*'Cálculos'!$E$103)+'Cálculos'!$E$206)*('Cálculos'!$E$272+'Cálculos'!$E$124*(1+2.78*('Cálculos'!$E$200+(($B$168)-$A164)*'Cálculos'!$E$98)/(('Cálculos'!$E$200+(($B$168)-$A164)*'Cálculos'!$E$98)+1400)+'Cálculos'!$E$122)*'Cálculos'!$E$277+'Cálculos'!$E$125*(1+2.78*('Cálculos'!$E$200+(($B$168)-$A164)*'Cálculos'!$E$98)/(('Cálculos'!$E$200+(($B$168)-$A164)*'Cálculos'!$E$98)+1400)+'Cálculos'!$E$123)*'Cálculos'!$E$282)))</f>
        <v>0</v>
      </c>
    </row>
    <row r="165" ht="15.75" customHeight="1">
      <c r="A165" s="2">
        <v>45.0</v>
      </c>
      <c r="B165" s="30">
        <f>SUMPRODUCT(MAX(($A$120:$A$165&lt;=$A165)*($A$120:$A$165&lt;='Cálculos'!$E$294)*(($A165)-$A$120:$A$165&lt;='Cálculos'!$E$295)*(1+(('Cálculos'!$E$207+$A$120:$A$165*'Cálculos'!$E$95)-(('Cálculos'!$E$207+$A$120:$A$165*'Cálculos'!$E$95)&gt;1)*(('Cálculos'!$E$207+$A$120:$A$165*'Cálculos'!$E$95)-1))*('Cálculos'!$E$208+(($A165)-$A$120:$A$165)*'Cálculos'!$E$96))))</f>
        <v>3.45024</v>
      </c>
      <c r="C165" s="2">
        <f>'Cálculos'!$E$303-$A165</f>
        <v>-32</v>
      </c>
      <c r="D165" s="31">
        <f>IF($C165&lt;0,0,SUMPRODUCT(MAX(($A$120:$A$165&lt;=$C165)*($A$120:$A$165&lt;='Cálculos'!$E$301)*(($C165)-$A$120:$A$165&lt;='Cálculos'!$E$297)*(('Cálculos'!$E$185*(1+'Cálculos'!$E$186+$A$120:$A$165*('Cálculos'!$E$290=1)*'Cálculos'!$E$97+'Cálculos'!$E$305)+'Cálculos'!$E$191)*('Cálculos'!$E$209+'Cálculos'!$E$124*(1+2.78*('Cálculos'!$E$196+(($C165)-$A$120:$A$165)*'Cálculos'!$E$98)/(('Cálculos'!$E$196+(($C165)-$A$120:$A$165)*'Cálculos'!$E$98)+1400)+'Cálculos'!$E$122)*'Cálculos'!$E$214+'Cálculos'!$E$125*(1+2.78*('Cálculos'!$E$196+(($C165)-$A$120:$A$165)*'Cálculos'!$E$98)/(('Cálculos'!$E$196+(($C165)-$A$120:$A$165)*'Cálculos'!$E$98)+1400)+'Cálculos'!$E$123)*'Cálculos'!$E$219)+('Cálculos'!$E$196+(($C165)-$A$120:$A$165)*'Cálculos'!$E$98)*('Cálculos'!$E$210+'Cálculos'!$E$124*(1+2.78*('Cálculos'!$E$196+(($C165)-$A$120:$A$165)*'Cálculos'!$E$98)/(('Cálculos'!$E$196+(($C165)-$A$120:$A$165)*'Cálculos'!$E$98)+1400)+'Cálculos'!$E$122)*'Cálculos'!$E$215+'Cálculos'!$E$125*(1+2.78*('Cálculos'!$E$196+(($C165)-$A$120:$A$165)*'Cálculos'!$E$98)/(('Cálculos'!$E$196+(($C165)-$A$120:$A$165)*'Cálculos'!$E$98)+1400)+'Cálculos'!$E$123)*'Cálculos'!$E$220)+('Cálculos'!$E$201*(1+'Cálculos'!$E$202+$A$120:$A$165*('Cálculos'!$E$290=2)*'Cálculos'!$E$101)+'Cálculos'!$E$203)*('Cálculos'!$E$211+'Cálculos'!$E$124*(1+2.78*('Cálculos'!$E$196+(($C165)-$A$120:$A$165)*'Cálculos'!$E$98)/(('Cálculos'!$E$196+(($C165)-$A$120:$A$165)*'Cálculos'!$E$98)+1400)+'Cálculos'!$E$122)*'Cálculos'!$E$216+'Cálculos'!$E$125*(1+2.78*('Cálculos'!$E$196+(($C165)-$A$120:$A$165)*'Cálculos'!$E$98)/(('Cálculos'!$E$196+(($C165)-$A$120:$A$165)*'Cálculos'!$E$98)+1400)+'Cálculos'!$E$123)*'Cálculos'!$E$221)+('Cálculos'!$E$204*(1+'Cálculos'!$E$205+$A$120:$A$165*('Cálculos'!$E$290=3)*'Cálculos'!$E$103)+'Cálculos'!$E$206)*('Cálculos'!$E$212+'Cálculos'!$E$124*(1+2.78*('Cálculos'!$E$196+(($C165)-$A$120:$A$165)*'Cálculos'!$E$98)/(('Cálculos'!$E$196+(($C165)-$A$120:$A$165)*'Cálculos'!$E$98)+1400)+'Cálculos'!$E$122)*'Cálculos'!$E$217+'Cálculos'!$E$125*(1+2.78*('Cálculos'!$E$196+(($C165)-$A$120:$A$165)*'Cálculos'!$E$98)/(('Cálculos'!$E$196+(($C165)-$A$120:$A$165)*'Cálculos'!$E$98)+1400)+'Cálculos'!$E$123)*'Cálculos'!$E$222)+('Cálculos'!$E$185*(1+'Cálculos'!$E$187+$A$120:$A$165*('Cálculos'!$E$290=1)*'Cálculos'!$E$97+'Cálculos'!$E$305)+'Cálculos'!$E$192)*('Cálculos'!$E$224+'Cálculos'!$E$124*(1+2.78*('Cálculos'!$E$197+(($C165)-$A$120:$A$165)*'Cálculos'!$E$98)/(('Cálculos'!$E$197+(($C165)-$A$120:$A$165)*'Cálculos'!$E$98)+1400)+'Cálculos'!$E$122)*'Cálculos'!$E$229+'Cálculos'!$E$125*(1+2.78*('Cálculos'!$E$197+(($C165)-$A$120:$A$165)*'Cálculos'!$E$98)/(('Cálculos'!$E$197+(($C165)-$A$120:$A$165)*'Cálculos'!$E$98)+1400)+'Cálculos'!$E$123)*'Cálculos'!$E$234)+('Cálculos'!$E$197+(($C165)-$A$120:$A$165)*'Cálculos'!$E$98)*('Cálculos'!$E$225+'Cálculos'!$E$124*(1+2.78*('Cálculos'!$E$197+(($C165)-$A$120:$A$165)*'Cálculos'!$E$98)/(('Cálculos'!$E$197+(($C165)-$A$120:$A$165)*'Cálculos'!$E$98)+1400)+'Cálculos'!$E$122)*'Cálculos'!$E$230+'Cálculos'!$E$125*(1+2.78*('Cálculos'!$E$197+(($C165)-$A$120:$A$165)*'Cálculos'!$E$98)/(('Cálculos'!$E$197+(($C165)-$A$120:$A$165)*'Cálculos'!$E$98)+1400)+'Cálculos'!$E$123)*'Cálculos'!$E$235)+('Cálculos'!$E$201*(1+'Cálculos'!$E$202+$A$120:$A$165*('Cálculos'!$E$290=2)*'Cálculos'!$E$101)+'Cálculos'!$E$203)*('Cálculos'!$E$226+'Cálculos'!$E$124*(1+2.78*('Cálculos'!$E$197+(($C165)-$A$120:$A$165)*'Cálculos'!$E$98)/(('Cálculos'!$E$197+(($C165)-$A$120:$A$165)*'Cálculos'!$E$98)+1400)+'Cálculos'!$E$122)*'Cálculos'!$E$231+'Cálculos'!$E$125*(1+2.78*('Cálculos'!$E$197+(($C165)-$A$120:$A$165)*'Cálculos'!$E$98)/(('Cálculos'!$E$197+(($C165)-$A$120:$A$165)*'Cálculos'!$E$98)+1400)+'Cálculos'!$E$123)*'Cálculos'!$E$236)+('Cálculos'!$E$204*(1+'Cálculos'!$E$205+$A$120:$A$165*('Cálculos'!$E$290=3)*'Cálculos'!$E$103)+'Cálculos'!$E$206)*('Cálculos'!$E$227+'Cálculos'!$E$124*(1+2.78*('Cálculos'!$E$197+(($C165)-$A$120:$A$165)*'Cálculos'!$E$98)/(('Cálculos'!$E$197+(($C165)-$A$120:$A$165)*'Cálculos'!$E$98)+1400)+'Cálculos'!$E$122)*'Cálculos'!$E$232+'Cálculos'!$E$125*(1+2.78*('Cálculos'!$E$197+(($C165)-$A$120:$A$165)*'Cálculos'!$E$98)/(('Cálculos'!$E$197+(($C165)-$A$120:$A$165)*'Cálculos'!$E$98)+1400)+'Cálculos'!$E$123)*'Cálculos'!$E$237)+('Cálculos'!$E$185*(1+'Cálculos'!$E$188+$A$120:$A$165*('Cálculos'!$E$290=1)*'Cálculos'!$E$97+'Cálculos'!$E$305)+'Cálculos'!$E$193)*('Cálculos'!$E$239+'Cálculos'!$E$124*(1+2.78*('Cálculos'!$E$198+(($C165)-$A$120:$A$165)*'Cálculos'!$E$98)/(('Cálculos'!$E$198+(($C165)-$A$120:$A$165)*'Cálculos'!$E$98)+1400)+'Cálculos'!$E$122)*'Cálculos'!$E$244+'Cálculos'!$E$125*(1+2.78*('Cálculos'!$E$198+(($C165)-$A$120:$A$165)*'Cálculos'!$E$98)/(('Cálculos'!$E$198+(($C165)-$A$120:$A$165)*'Cálculos'!$E$98)+1400)+'Cálculos'!$E$123)*'Cálculos'!$E$249)+('Cálculos'!$E$198+(($C165)-$A$120:$A$165)*'Cálculos'!$E$98)*('Cálculos'!$E$240+'Cálculos'!$E$124*(1+2.78*('Cálculos'!$E$198+(($C165)-$A$120:$A$165)*'Cálculos'!$E$98)/(('Cálculos'!$E$198+(($C165)-$A$120:$A$165)*'Cálculos'!$E$98)+1400)+'Cálculos'!$E$122)*'Cálculos'!$E$245+'Cálculos'!$E$125*(1+2.78*('Cálculos'!$E$198+(($C165)-$A$120:$A$165)*'Cálculos'!$E$98)/(('Cálculos'!$E$198+(($C165)-$A$120:$A$165)*'Cálculos'!$E$98)+1400)+'Cálculos'!$E$123)*'Cálculos'!$E$250)+('Cálculos'!$E$201*(1+'Cálculos'!$E$202+$A$120:$A$165*('Cálculos'!$E$290=2)*'Cálculos'!$E$101)+'Cálculos'!$E$203)*('Cálculos'!$E$241+'Cálculos'!$E$124*(1+2.78*('Cálculos'!$E$198+(($C165)-$A$120:$A$165)*'Cálculos'!$E$98)/(('Cálculos'!$E$198+(($C165)-$A$120:$A$165)*'Cálculos'!$E$98)+1400)+'Cálculos'!$E$122)*'Cálculos'!$E$246+'Cálculos'!$E$125*(1+2.78*('Cálculos'!$E$198+(($C165)-$A$120:$A$165)*'Cálculos'!$E$98)/(('Cálculos'!$E$198+(($C165)-$A$120:$A$165)*'Cálculos'!$E$98)+1400)+'Cálculos'!$E$123)*'Cálculos'!$E$251)+('Cálculos'!$E$204*(1+'Cálculos'!$E$205+$A$120:$A$165*('Cálculos'!$E$290=3)*'Cálculos'!$E$103)+'Cálculos'!$E$206)*('Cálculos'!$E$242+'Cálculos'!$E$124*(1+2.78*('Cálculos'!$E$198+(($C165)-$A$120:$A$165)*'Cálculos'!$E$98)/(('Cálculos'!$E$198+(($C165)-$A$120:$A$165)*'Cálculos'!$E$98)+1400)+'Cálculos'!$E$122)*'Cálculos'!$E$247+'Cálculos'!$E$125*(1+2.78*('Cálculos'!$E$198+(($C165)-$A$120:$A$165)*'Cálculos'!$E$98)/(('Cálculos'!$E$198+(($C165)-$A$120:$A$165)*'Cálculos'!$E$98)+1400)+'Cálculos'!$E$123)*'Cálculos'!$E$252)+('Cálculos'!$E$185*(1+'Cálculos'!$E$189+$A$120:$A$165*('Cálculos'!$E$290=1)*'Cálculos'!$E$97+'Cálculos'!$E$305)+'Cálculos'!$E$194)*('Cálculos'!$E$254+'Cálculos'!$E$124*(1+2.78*('Cálculos'!$E$199+(($C165)-$A$120:$A$165)*'Cálculos'!$E$98)/(('Cálculos'!$E$199+(($C165)-$A$120:$A$165)*'Cálculos'!$E$98)+1400)+'Cálculos'!$E$122)*'Cálculos'!$E$259+'Cálculos'!$E$125*(1+2.78*('Cálculos'!$E$199+(($C165)-$A$120:$A$165)*'Cálculos'!$E$98)/(('Cálculos'!$E$199+(($C165)-$A$120:$A$165)*'Cálculos'!$E$98)+1400)+'Cálculos'!$E$123)*'Cálculos'!$E$264)+('Cálculos'!$E$199+(($C165)-$A$120:$A$165)*'Cálculos'!$E$98)*('Cálculos'!$E$255+'Cálculos'!$E$124*(1+2.78*('Cálculos'!$E$199+(($C165)-$A$120:$A$165)*'Cálculos'!$E$98)/(('Cálculos'!$E$199+(($C165)-$A$120:$A$165)*'Cálculos'!$E$98)+1400)+'Cálculos'!$E$122)*'Cálculos'!$E$260+'Cálculos'!$E$125*(1+2.78*('Cálculos'!$E$199+(($C165)-$A$120:$A$165)*'Cálculos'!$E$98)/(('Cálculos'!$E$199+(($C165)-$A$120:$A$165)*'Cálculos'!$E$98)+1400)+'Cálculos'!$E$123)*'Cálculos'!$E$265)+('Cálculos'!$E$201*(1+'Cálculos'!$E$202+$A$120:$A$165*('Cálculos'!$E$290=2)*'Cálculos'!$E$101)+'Cálculos'!$E$203)*('Cálculos'!$E$256+'Cálculos'!$E$124*(1+2.78*('Cálculos'!$E$199+(($C165)-$A$120:$A$165)*'Cálculos'!$E$98)/(('Cálculos'!$E$199+(($C165)-$A$120:$A$165)*'Cálculos'!$E$98)+1400)+'Cálculos'!$E$122)*'Cálculos'!$E$261+'Cálculos'!$E$125*(1+2.78*('Cálculos'!$E$199+(($C165)-$A$120:$A$165)*'Cálculos'!$E$98)/(('Cálculos'!$E$199+(($C165)-$A$120:$A$165)*'Cálculos'!$E$98)+1400)+'Cálculos'!$E$123)*'Cálculos'!$E$266)+('Cálculos'!$E$204*(1+'Cálculos'!$E$205+$A$120:$A$165*('Cálculos'!$E$290=3)*'Cálculos'!$E$103)+'Cálculos'!$E$206)*('Cálculos'!$E$257+'Cálculos'!$E$124*(1+2.78*('Cálculos'!$E$199+(($C165)-$A$120:$A$165)*'Cálculos'!$E$98)/(('Cálculos'!$E$199+(($C165)-$A$120:$A$165)*'Cálculos'!$E$98)+1400)+'Cálculos'!$E$122)*'Cálculos'!$E$262+'Cálculos'!$E$125*(1+2.78*('Cálculos'!$E$199+(($C165)-$A$120:$A$165)*'Cálculos'!$E$98)/(('Cálculos'!$E$199+(($C165)-$A$120:$A$165)*'Cálculos'!$E$98)+1400)+'Cálculos'!$E$123)*'Cálculos'!$E$267)+('Cálculos'!$E$185*(1+'Cálculos'!$E$190+$A$120:$A$165*('Cálculos'!$E$290=1)*'Cálculos'!$E$97+'Cálculos'!$E$305)+'Cálculos'!$E$195)*('Cálculos'!$E$269+'Cálculos'!$E$124*(1+2.78*('Cálculos'!$E$200+(($C165)-$A$120:$A$165)*'Cálculos'!$E$98)/(('Cálculos'!$E$200+(($C165)-$A$120:$A$165)*'Cálculos'!$E$98)+1400)+'Cálculos'!$E$122)*'Cálculos'!$E$274+'Cálculos'!$E$125*(1+2.78*('Cálculos'!$E$200+(($C165)-$A$120:$A$165)*'Cálculos'!$E$98)/(('Cálculos'!$E$200+(($C165)-$A$120:$A$165)*'Cálculos'!$E$98)+1400)+'Cálculos'!$E$123)*'Cálculos'!$E$279)+('Cálculos'!$E$200+(($C165)-$A$120:$A$165)*'Cálculos'!$E$98)*('Cálculos'!$E$270+'Cálculos'!$E$124*(1+2.78*('Cálculos'!$E$200+(($C165)-$A$120:$A$165)*'Cálculos'!$E$98)/(('Cálculos'!$E$200+(($C165)-$A$120:$A$165)*'Cálculos'!$E$98)+1400)+'Cálculos'!$E$122)*'Cálculos'!$E$275+'Cálculos'!$E$125*(1+2.78*('Cálculos'!$E$200+(($C165)-$A$120:$A$165)*'Cálculos'!$E$98)/(('Cálculos'!$E$200+(($C165)-$A$120:$A$165)*'Cálculos'!$E$98)+1400)+'Cálculos'!$E$123)*'Cálculos'!$E$280)+('Cálculos'!$E$201*(1+'Cálculos'!$E$202+$A$120:$A$165*('Cálculos'!$E$290=2)*'Cálculos'!$E$101)+'Cálculos'!$E$203)*('Cálculos'!$E$271+'Cálculos'!$E$124*(1+2.78*('Cálculos'!$E$200+(($C165)-$A$120:$A$165)*'Cálculos'!$E$98)/(('Cálculos'!$E$200+(($C165)-$A$120:$A$165)*'Cálculos'!$E$98)+1400)+'Cálculos'!$E$122)*'Cálculos'!$E$276+'Cálculos'!$E$125*(1+2.78*('Cálculos'!$E$200+(($C165)-$A$120:$A$165)*'Cálculos'!$E$98)/(('Cálculos'!$E$200+(($C165)-$A$120:$A$165)*'Cálculos'!$E$98)+1400)+'Cálculos'!$E$123)*'Cálculos'!$E$281)+('Cálculos'!$E$204*(1+'Cálculos'!$E$205+$A$120:$A$165*('Cálculos'!$E$290=3)*'Cálculos'!$E$103)+'Cálculos'!$E$206)*('Cálculos'!$E$272+'Cálculos'!$E$124*(1+2.78*('Cálculos'!$E$200+(($C165)-$A$120:$A$165)*'Cálculos'!$E$98)/(('Cálculos'!$E$200+(($C165)-$A$120:$A$165)*'Cálculos'!$E$98)+1400)+'Cálculos'!$E$122)*'Cálculos'!$E$277+'Cálculos'!$E$125*(1+2.78*('Cálculos'!$E$200+(($C165)-$A$120:$A$165)*'Cálculos'!$E$98)/(('Cálculos'!$E$200+(($C165)-$A$120:$A$165)*'Cálculos'!$E$98)+1400)+'Cálculos'!$E$123)*'Cálculos'!$E$282)))))</f>
        <v>0</v>
      </c>
      <c r="E165" s="32">
        <f>IF(OR($C165&lt;0,'Cálculos'!$E$6=""),0,$B165*$D165)</f>
        <v>0</v>
      </c>
      <c r="F165" s="2"/>
      <c r="G165" s="30">
        <f>($A165&lt;=$B$167)*($A165&lt;='Cálculos'!$E$294)*(($B$167)-$A165&lt;='Cálculos'!$E$295)*(1+MIN(('Cálculos'!$E$207+$A165*'Cálculos'!$E$95),1)*('Cálculos'!$E$208+(($B$167)-$A165)*'Cálculos'!$E$96))</f>
        <v>0</v>
      </c>
      <c r="H165" s="31">
        <f>IF($B$168&lt;0,0,($A165&lt;=$B$168)*($A165&lt;='Cálculos'!$E$301)*(($B$168)-$A165&lt;='Cálculos'!$E$297)*(('Cálculos'!$E$185*(1+'Cálculos'!$E$186+$A165*('Cálculos'!$E$290=1)*'Cálculos'!$E$97+'Cálculos'!$E$305)+'Cálculos'!$E$191)*('Cálculos'!$E$209+'Cálculos'!$E$124*(1+2.78*('Cálculos'!$E$196+(($B$168)-$A165)*'Cálculos'!$E$98)/(('Cálculos'!$E$196+(($B$168)-$A165)*'Cálculos'!$E$98)+1400)+'Cálculos'!$E$122)*'Cálculos'!$E$214+'Cálculos'!$E$125*(1+2.78*('Cálculos'!$E$196+(($B$168)-$A165)*'Cálculos'!$E$98)/(('Cálculos'!$E$196+(($B$168)-$A165)*'Cálculos'!$E$98)+1400)+'Cálculos'!$E$123)*'Cálculos'!$E$219)+('Cálculos'!$E$196+(($B$168)-$A165)*'Cálculos'!$E$98)*('Cálculos'!$E$210+'Cálculos'!$E$124*(1+2.78*('Cálculos'!$E$196+(($B$168)-$A165)*'Cálculos'!$E$98)/(('Cálculos'!$E$196+(($B$168)-$A165)*'Cálculos'!$E$98)+1400)+'Cálculos'!$E$122)*'Cálculos'!$E$215+'Cálculos'!$E$125*(1+2.78*('Cálculos'!$E$196+(($B$168)-$A165)*'Cálculos'!$E$98)/(('Cálculos'!$E$196+(($B$168)-$A165)*'Cálculos'!$E$98)+1400)+'Cálculos'!$E$123)*'Cálculos'!$E$220)+('Cálculos'!$E$201*(1+'Cálculos'!$E$202+$A165*('Cálculos'!$E$290=2)*'Cálculos'!$E$101)+'Cálculos'!$E$203)*('Cálculos'!$E$211+'Cálculos'!$E$124*(1+2.78*('Cálculos'!$E$196+(($B$168)-$A165)*'Cálculos'!$E$98)/(('Cálculos'!$E$196+(($B$168)-$A165)*'Cálculos'!$E$98)+1400)+'Cálculos'!$E$122)*'Cálculos'!$E$216+'Cálculos'!$E$125*(1+2.78*('Cálculos'!$E$196+(($B$168)-$A165)*'Cálculos'!$E$98)/(('Cálculos'!$E$196+(($B$168)-$A165)*'Cálculos'!$E$98)+1400)+'Cálculos'!$E$123)*'Cálculos'!$E$221)+('Cálculos'!$E$204*(1+'Cálculos'!$E$205+$A165*('Cálculos'!$E$290=3)*'Cálculos'!$E$103)+'Cálculos'!$E$206)*('Cálculos'!$E$212+'Cálculos'!$E$124*(1+2.78*('Cálculos'!$E$196+(($B$168)-$A165)*'Cálculos'!$E$98)/(('Cálculos'!$E$196+(($B$168)-$A165)*'Cálculos'!$E$98)+1400)+'Cálculos'!$E$122)*'Cálculos'!$E$217+'Cálculos'!$E$125*(1+2.78*('Cálculos'!$E$196+(($B$168)-$A165)*'Cálculos'!$E$98)/(('Cálculos'!$E$196+(($B$168)-$A165)*'Cálculos'!$E$98)+1400)+'Cálculos'!$E$123)*'Cálculos'!$E$222)+('Cálculos'!$E$185*(1+'Cálculos'!$E$187+$A165*('Cálculos'!$E$290=1)*'Cálculos'!$E$97+'Cálculos'!$E$305)+'Cálculos'!$E$192)*('Cálculos'!$E$224+'Cálculos'!$E$124*(1+2.78*('Cálculos'!$E$197+(($B$168)-$A165)*'Cálculos'!$E$98)/(('Cálculos'!$E$197+(($B$168)-$A165)*'Cálculos'!$E$98)+1400)+'Cálculos'!$E$122)*'Cálculos'!$E$229+'Cálculos'!$E$125*(1+2.78*('Cálculos'!$E$197+(($B$168)-$A165)*'Cálculos'!$E$98)/(('Cálculos'!$E$197+(($B$168)-$A165)*'Cálculos'!$E$98)+1400)+'Cálculos'!$E$123)*'Cálculos'!$E$234)+('Cálculos'!$E$197+(($B$168)-$A165)*'Cálculos'!$E$98)*('Cálculos'!$E$225+'Cálculos'!$E$124*(1+2.78*('Cálculos'!$E$197+(($B$168)-$A165)*'Cálculos'!$E$98)/(('Cálculos'!$E$197+(($B$168)-$A165)*'Cálculos'!$E$98)+1400)+'Cálculos'!$E$122)*'Cálculos'!$E$230+'Cálculos'!$E$125*(1+2.78*('Cálculos'!$E$197+(($B$168)-$A165)*'Cálculos'!$E$98)/(('Cálculos'!$E$197+(($B$168)-$A165)*'Cálculos'!$E$98)+1400)+'Cálculos'!$E$123)*'Cálculos'!$E$235)+('Cálculos'!$E$201*(1+'Cálculos'!$E$202+$A165*('Cálculos'!$E$290=2)*'Cálculos'!$E$101)+'Cálculos'!$E$203)*('Cálculos'!$E$226+'Cálculos'!$E$124*(1+2.78*('Cálculos'!$E$197+(($B$168)-$A165)*'Cálculos'!$E$98)/(('Cálculos'!$E$197+(($B$168)-$A165)*'Cálculos'!$E$98)+1400)+'Cálculos'!$E$122)*'Cálculos'!$E$231+'Cálculos'!$E$125*(1+2.78*('Cálculos'!$E$197+(($B$168)-$A165)*'Cálculos'!$E$98)/(('Cálculos'!$E$197+(($B$168)-$A165)*'Cálculos'!$E$98)+1400)+'Cálculos'!$E$123)*'Cálculos'!$E$236)+('Cálculos'!$E$204*(1+'Cálculos'!$E$205+$A165*('Cálculos'!$E$290=3)*'Cálculos'!$E$103)+'Cálculos'!$E$206)*('Cálculos'!$E$227+'Cálculos'!$E$124*(1+2.78*('Cálculos'!$E$197+(($B$168)-$A165)*'Cálculos'!$E$98)/(('Cálculos'!$E$197+(($B$168)-$A165)*'Cálculos'!$E$98)+1400)+'Cálculos'!$E$122)*'Cálculos'!$E$232+'Cálculos'!$E$125*(1+2.78*('Cálculos'!$E$197+(($B$168)-$A165)*'Cálculos'!$E$98)/(('Cálculos'!$E$197+(($B$168)-$A165)*'Cálculos'!$E$98)+1400)+'Cálculos'!$E$123)*'Cálculos'!$E$237)+('Cálculos'!$E$185*(1+'Cálculos'!$E$188+$A165*('Cálculos'!$E$290=1)*'Cálculos'!$E$97+'Cálculos'!$E$305)+'Cálculos'!$E$193)*('Cálculos'!$E$239+'Cálculos'!$E$124*(1+2.78*('Cálculos'!$E$198+(($B$168)-$A165)*'Cálculos'!$E$98)/(('Cálculos'!$E$198+(($B$168)-$A165)*'Cálculos'!$E$98)+1400)+'Cálculos'!$E$122)*'Cálculos'!$E$244+'Cálculos'!$E$125*(1+2.78*('Cálculos'!$E$198+(($B$168)-$A165)*'Cálculos'!$E$98)/(('Cálculos'!$E$198+(($B$168)-$A165)*'Cálculos'!$E$98)+1400)+'Cálculos'!$E$123)*'Cálculos'!$E$249)+('Cálculos'!$E$198+(($B$168)-$A165)*'Cálculos'!$E$98)*('Cálculos'!$E$240+'Cálculos'!$E$124*(1+2.78*('Cálculos'!$E$198+(($B$168)-$A165)*'Cálculos'!$E$98)/(('Cálculos'!$E$198+(($B$168)-$A165)*'Cálculos'!$E$98)+1400)+'Cálculos'!$E$122)*'Cálculos'!$E$245+'Cálculos'!$E$125*(1+2.78*('Cálculos'!$E$198+(($B$168)-$A165)*'Cálculos'!$E$98)/(('Cálculos'!$E$198+(($B$168)-$A165)*'Cálculos'!$E$98)+1400)+'Cálculos'!$E$123)*'Cálculos'!$E$250)+('Cálculos'!$E$201*(1+'Cálculos'!$E$202+$A165*('Cálculos'!$E$290=2)*'Cálculos'!$E$101)+'Cálculos'!$E$203)*('Cálculos'!$E$241+'Cálculos'!$E$124*(1+2.78*('Cálculos'!$E$198+(($B$168)-$A165)*'Cálculos'!$E$98)/(('Cálculos'!$E$198+(($B$168)-$A165)*'Cálculos'!$E$98)+1400)+'Cálculos'!$E$122)*'Cálculos'!$E$246+'Cálculos'!$E$125*(1+2.78*('Cálculos'!$E$198+(($B$168)-$A165)*'Cálculos'!$E$98)/(('Cálculos'!$E$198+(($B$168)-$A165)*'Cálculos'!$E$98)+1400)+'Cálculos'!$E$123)*'Cálculos'!$E$251)+('Cálculos'!$E$204*(1+'Cálculos'!$E$205+$A165*('Cálculos'!$E$290=3)*'Cálculos'!$E$103)+'Cálculos'!$E$206)*('Cálculos'!$E$242+'Cálculos'!$E$124*(1+2.78*('Cálculos'!$E$198+(($B$168)-$A165)*'Cálculos'!$E$98)/(('Cálculos'!$E$198+(($B$168)-$A165)*'Cálculos'!$E$98)+1400)+'Cálculos'!$E$122)*'Cálculos'!$E$247+'Cálculos'!$E$125*(1+2.78*('Cálculos'!$E$198+(($B$168)-$A165)*'Cálculos'!$E$98)/(('Cálculos'!$E$198+(($B$168)-$A165)*'Cálculos'!$E$98)+1400)+'Cálculos'!$E$123)*'Cálculos'!$E$252)+('Cálculos'!$E$185*(1+'Cálculos'!$E$189+$A165*('Cálculos'!$E$290=1)*'Cálculos'!$E$97+'Cálculos'!$E$305)+'Cálculos'!$E$194)*('Cálculos'!$E$254+'Cálculos'!$E$124*(1+2.78*('Cálculos'!$E$199+(($B$168)-$A165)*'Cálculos'!$E$98)/(('Cálculos'!$E$199+(($B$168)-$A165)*'Cálculos'!$E$98)+1400)+'Cálculos'!$E$122)*'Cálculos'!$E$259+'Cálculos'!$E$125*(1+2.78*('Cálculos'!$E$199+(($B$168)-$A165)*'Cálculos'!$E$98)/(('Cálculos'!$E$199+(($B$168)-$A165)*'Cálculos'!$E$98)+1400)+'Cálculos'!$E$123)*'Cálculos'!$E$264)+('Cálculos'!$E$199+(($B$168)-$A165)*'Cálculos'!$E$98)*('Cálculos'!$E$255+'Cálculos'!$E$124*(1+2.78*('Cálculos'!$E$199+(($B$168)-$A165)*'Cálculos'!$E$98)/(('Cálculos'!$E$199+(($B$168)-$A165)*'Cálculos'!$E$98)+1400)+'Cálculos'!$E$122)*'Cálculos'!$E$260+'Cálculos'!$E$125*(1+2.78*('Cálculos'!$E$199+(($B$168)-$A165)*'Cálculos'!$E$98)/(('Cálculos'!$E$199+(($B$168)-$A165)*'Cálculos'!$E$98)+1400)+'Cálculos'!$E$123)*'Cálculos'!$E$265)+('Cálculos'!$E$201*(1+'Cálculos'!$E$202+$A165*('Cálculos'!$E$290=2)*'Cálculos'!$E$101)+'Cálculos'!$E$203)*('Cálculos'!$E$256+'Cálculos'!$E$124*(1+2.78*('Cálculos'!$E$199+(($B$168)-$A165)*'Cálculos'!$E$98)/(('Cálculos'!$E$199+(($B$168)-$A165)*'Cálculos'!$E$98)+1400)+'Cálculos'!$E$122)*'Cálculos'!$E$261+'Cálculos'!$E$125*(1+2.78*('Cálculos'!$E$199+(($B$168)-$A165)*'Cálculos'!$E$98)/(('Cálculos'!$E$199+(($B$168)-$A165)*'Cálculos'!$E$98)+1400)+'Cálculos'!$E$123)*'Cálculos'!$E$266)+('Cálculos'!$E$204*(1+'Cálculos'!$E$205+$A165*('Cálculos'!$E$290=3)*'Cálculos'!$E$103)+'Cálculos'!$E$206)*('Cálculos'!$E$257+'Cálculos'!$E$124*(1+2.78*('Cálculos'!$E$199+(($B$168)-$A165)*'Cálculos'!$E$98)/(('Cálculos'!$E$199+(($B$168)-$A165)*'Cálculos'!$E$98)+1400)+'Cálculos'!$E$122)*'Cálculos'!$E$262+'Cálculos'!$E$125*(1+2.78*('Cálculos'!$E$199+(($B$168)-$A165)*'Cálculos'!$E$98)/(('Cálculos'!$E$199+(($B$168)-$A165)*'Cálculos'!$E$98)+1400)+'Cálculos'!$E$123)*'Cálculos'!$E$267)+('Cálculos'!$E$185*(1+'Cálculos'!$E$190+$A165*('Cálculos'!$E$290=1)*'Cálculos'!$E$97+'Cálculos'!$E$305)+'Cálculos'!$E$195)*('Cálculos'!$E$269+'Cálculos'!$E$124*(1+2.78*('Cálculos'!$E$200+(($B$168)-$A165)*'Cálculos'!$E$98)/(('Cálculos'!$E$200+(($B$168)-$A165)*'Cálculos'!$E$98)+1400)+'Cálculos'!$E$122)*'Cálculos'!$E$274+'Cálculos'!$E$125*(1+2.78*('Cálculos'!$E$200+(($B$168)-$A165)*'Cálculos'!$E$98)/(('Cálculos'!$E$200+(($B$168)-$A165)*'Cálculos'!$E$98)+1400)+'Cálculos'!$E$123)*'Cálculos'!$E$279)+('Cálculos'!$E$200+(($B$168)-$A165)*'Cálculos'!$E$98)*('Cálculos'!$E$270+'Cálculos'!$E$124*(1+2.78*('Cálculos'!$E$200+(($B$168)-$A165)*'Cálculos'!$E$98)/(('Cálculos'!$E$200+(($B$168)-$A165)*'Cálculos'!$E$98)+1400)+'Cálculos'!$E$122)*'Cálculos'!$E$275+'Cálculos'!$E$125*(1+2.78*('Cálculos'!$E$200+(($B$168)-$A165)*'Cálculos'!$E$98)/(('Cálculos'!$E$200+(($B$168)-$A165)*'Cálculos'!$E$98)+1400)+'Cálculos'!$E$123)*'Cálculos'!$E$280)+('Cálculos'!$E$201*(1+'Cálculos'!$E$202+$A165*('Cálculos'!$E$290=2)*'Cálculos'!$E$101)+'Cálculos'!$E$203)*('Cálculos'!$E$271+'Cálculos'!$E$124*(1+2.78*('Cálculos'!$E$200+(($B$168)-$A165)*'Cálculos'!$E$98)/(('Cálculos'!$E$200+(($B$168)-$A165)*'Cálculos'!$E$98)+1400)+'Cálculos'!$E$122)*'Cálculos'!$E$276+'Cálculos'!$E$125*(1+2.78*('Cálculos'!$E$200+(($B$168)-$A165)*'Cálculos'!$E$98)/(('Cálculos'!$E$200+(($B$168)-$A165)*'Cálculos'!$E$98)+1400)+'Cálculos'!$E$123)*'Cálculos'!$E$281)+('Cálculos'!$E$204*(1+'Cálculos'!$E$205+$A165*('Cálculos'!$E$290=3)*'Cálculos'!$E$103)+'Cálculos'!$E$206)*('Cálculos'!$E$272+'Cálculos'!$E$124*(1+2.78*('Cálculos'!$E$200+(($B$168)-$A165)*'Cálculos'!$E$98)/(('Cálculos'!$E$200+(($B$168)-$A165)*'Cálculos'!$E$98)+1400)+'Cálculos'!$E$122)*'Cálculos'!$E$277+'Cálculos'!$E$125*(1+2.78*('Cálculos'!$E$200+(($B$168)-$A165)*'Cálculos'!$E$98)/(('Cálculos'!$E$200+(($B$168)-$A165)*'Cálculos'!$E$98)+1400)+'Cálculos'!$E$123)*'Cálculos'!$E$282)))</f>
        <v>0</v>
      </c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3" t="s">
        <v>888</v>
      </c>
      <c r="B167" s="2">
        <f>IF('Cálculos'!$E$304="",MATCH(MAX($E$120:$E$165),$E$120:$E$165,0)-1,'Cálculos'!$E$304)</f>
        <v>13</v>
      </c>
      <c r="C167" s="2"/>
      <c r="D167" s="2"/>
      <c r="E167" s="2"/>
      <c r="F167" s="2"/>
      <c r="G167" s="2"/>
      <c r="H167" s="2"/>
    </row>
    <row r="168" ht="15.75" customHeight="1">
      <c r="A168" s="3" t="s">
        <v>889</v>
      </c>
      <c r="B168" s="2">
        <f>'Cálculos'!$E$303-$B$167</f>
        <v>0</v>
      </c>
      <c r="C168" s="2"/>
      <c r="D168" s="2"/>
      <c r="E168" s="2"/>
      <c r="F168" s="2"/>
      <c r="G168" s="2"/>
      <c r="H168" s="2"/>
    </row>
    <row r="169" ht="15.75" customHeight="1">
      <c r="A169" s="3" t="s">
        <v>637</v>
      </c>
      <c r="B169" s="37">
        <f>MATCH(MAX($G$120:$G$165),$G$120:$G$165,0)-1</f>
        <v>5</v>
      </c>
      <c r="C169" s="2"/>
      <c r="D169" s="2"/>
      <c r="E169" s="2"/>
      <c r="F169" s="2"/>
      <c r="G169" s="2"/>
      <c r="H169" s="2"/>
    </row>
    <row r="170" ht="15.75" customHeight="1">
      <c r="A170" s="3" t="s">
        <v>638</v>
      </c>
      <c r="B170" s="37">
        <f>$B$167-$B$169</f>
        <v>8</v>
      </c>
      <c r="C170" s="2"/>
      <c r="D170" s="2"/>
      <c r="E170" s="2"/>
      <c r="F170" s="2"/>
      <c r="G170" s="2"/>
      <c r="H170" s="2"/>
    </row>
    <row r="171" ht="15.75" customHeight="1">
      <c r="A171" s="3" t="s">
        <v>890</v>
      </c>
      <c r="B171" s="37">
        <f>MATCH(MAX($H$120:$H$165),$H$120:$H$165,0)-1</f>
        <v>0</v>
      </c>
      <c r="C171" s="2"/>
      <c r="D171" s="2"/>
      <c r="E171" s="2"/>
      <c r="F171" s="2"/>
      <c r="G171" s="2"/>
      <c r="H171" s="2"/>
    </row>
    <row r="172" ht="15.75" customHeight="1">
      <c r="A172" s="3" t="s">
        <v>640</v>
      </c>
      <c r="B172" s="37">
        <f>$B$168-$B$171</f>
        <v>0</v>
      </c>
      <c r="C172" s="2"/>
      <c r="D172" s="2"/>
      <c r="E172" s="2"/>
      <c r="F172" s="2"/>
      <c r="G172" s="2"/>
      <c r="H172" s="2"/>
    </row>
    <row r="173" ht="15.75" customHeight="1">
      <c r="A173" s="3" t="s">
        <v>641</v>
      </c>
      <c r="B173" s="37">
        <f>'Cálculos'!$E$302</f>
        <v>7</v>
      </c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3" t="str">
        <f>"Slot 4: "&amp;'Cálculos'!F6</f>
        <v>Slot 4: Bennett</v>
      </c>
      <c r="B175" s="2"/>
      <c r="C175" s="2"/>
      <c r="D175" s="2"/>
      <c r="E175" s="2"/>
      <c r="F175" s="2"/>
      <c r="G175" s="2"/>
      <c r="H175" s="2"/>
    </row>
    <row r="176" ht="15.75" customHeight="1">
      <c r="A176" s="6" t="s">
        <v>329</v>
      </c>
      <c r="B176" s="6" t="s">
        <v>330</v>
      </c>
      <c r="C176" s="6" t="s">
        <v>331</v>
      </c>
      <c r="D176" s="6" t="s">
        <v>332</v>
      </c>
      <c r="E176" s="6" t="s">
        <v>333</v>
      </c>
      <c r="F176" s="6"/>
      <c r="G176" s="6" t="s">
        <v>334</v>
      </c>
      <c r="H176" s="6" t="s">
        <v>335</v>
      </c>
    </row>
    <row r="177" ht="15.75" customHeight="1">
      <c r="A177" s="2">
        <v>0.0</v>
      </c>
      <c r="B177" s="30">
        <f>SUMPRODUCT(MAX(($A$177:$A$222&lt;=$A177)*($A$177:$A$222&lt;='Cálculos'!$F$294)*(($A177)-$A$177:$A$222&lt;='Cálculos'!$F$295)*(1+(('Cálculos'!$F$207+$A$177:$A$222*'Cálculos'!$F$95)-(('Cálculos'!$F$207+$A$177:$A$222*'Cálculos'!$F$95)&gt;1)*(('Cálculos'!$F$207+$A$177:$A$222*'Cálculos'!$F$95)-1))*('Cálculos'!$F$208+(($A177)-$A$177:$A$222)*'Cálculos'!$F$96))))</f>
        <v>1.543571</v>
      </c>
      <c r="C177" s="2">
        <f>'Cálculos'!$F$303-$A177</f>
        <v>18</v>
      </c>
      <c r="D177" s="31">
        <f>IF($C177&lt;0,0,SUMPRODUCT(MAX(($A$177:$A$222&lt;=$C177)*($A$177:$A$222&lt;='Cálculos'!$F$301)*(($C177)-$A$177:$A$222&lt;='Cálculos'!$F$297)*(('Cálculos'!$F$185*(1+'Cálculos'!$F$186+$A$177:$A$222*('Cálculos'!$F$290=1)*'Cálculos'!$F$97+'Cálculos'!$F$305)+'Cálculos'!$F$191)*('Cálculos'!$F$209+'Cálculos'!$F$124*(1+2.78*('Cálculos'!$F$196+(($C177)-$A$177:$A$222)*'Cálculos'!$F$98)/(('Cálculos'!$F$196+(($C177)-$A$177:$A$222)*'Cálculos'!$F$98)+1400)+'Cálculos'!$F$122)*'Cálculos'!$F$214+'Cálculos'!$F$125*(1+2.78*('Cálculos'!$F$196+(($C177)-$A$177:$A$222)*'Cálculos'!$F$98)/(('Cálculos'!$F$196+(($C177)-$A$177:$A$222)*'Cálculos'!$F$98)+1400)+'Cálculos'!$F$123)*'Cálculos'!$F$219)+('Cálculos'!$F$196+(($C177)-$A$177:$A$222)*'Cálculos'!$F$98)*('Cálculos'!$F$210+'Cálculos'!$F$124*(1+2.78*('Cálculos'!$F$196+(($C177)-$A$177:$A$222)*'Cálculos'!$F$98)/(('Cálculos'!$F$196+(($C177)-$A$177:$A$222)*'Cálculos'!$F$98)+1400)+'Cálculos'!$F$122)*'Cálculos'!$F$215+'Cálculos'!$F$125*(1+2.78*('Cálculos'!$F$196+(($C177)-$A$177:$A$222)*'Cálculos'!$F$98)/(('Cálculos'!$F$196+(($C177)-$A$177:$A$222)*'Cálculos'!$F$98)+1400)+'Cálculos'!$F$123)*'Cálculos'!$F$220)+('Cálculos'!$F$201*(1+'Cálculos'!$F$202+$A$177:$A$222*('Cálculos'!$F$290=2)*'Cálculos'!$F$101)+'Cálculos'!$F$203)*('Cálculos'!$F$211+'Cálculos'!$F$124*(1+2.78*('Cálculos'!$F$196+(($C177)-$A$177:$A$222)*'Cálculos'!$F$98)/(('Cálculos'!$F$196+(($C177)-$A$177:$A$222)*'Cálculos'!$F$98)+1400)+'Cálculos'!$F$122)*'Cálculos'!$F$216+'Cálculos'!$F$125*(1+2.78*('Cálculos'!$F$196+(($C177)-$A$177:$A$222)*'Cálculos'!$F$98)/(('Cálculos'!$F$196+(($C177)-$A$177:$A$222)*'Cálculos'!$F$98)+1400)+'Cálculos'!$F$123)*'Cálculos'!$F$221)+('Cálculos'!$F$204*(1+'Cálculos'!$F$205+$A$177:$A$222*('Cálculos'!$F$290=3)*'Cálculos'!$F$103)+'Cálculos'!$F$206)*('Cálculos'!$F$212+'Cálculos'!$F$124*(1+2.78*('Cálculos'!$F$196+(($C177)-$A$177:$A$222)*'Cálculos'!$F$98)/(('Cálculos'!$F$196+(($C177)-$A$177:$A$222)*'Cálculos'!$F$98)+1400)+'Cálculos'!$F$122)*'Cálculos'!$F$217+'Cálculos'!$F$125*(1+2.78*('Cálculos'!$F$196+(($C177)-$A$177:$A$222)*'Cálculos'!$F$98)/(('Cálculos'!$F$196+(($C177)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177)-$A$177:$A$222)*'Cálculos'!$F$98)/(('Cálculos'!$F$197+(($C177)-$A$177:$A$222)*'Cálculos'!$F$98)+1400)+'Cálculos'!$F$122)*'Cálculos'!$F$229+'Cálculos'!$F$125*(1+2.78*('Cálculos'!$F$197+(($C177)-$A$177:$A$222)*'Cálculos'!$F$98)/(('Cálculos'!$F$197+(($C177)-$A$177:$A$222)*'Cálculos'!$F$98)+1400)+'Cálculos'!$F$123)*'Cálculos'!$F$234)+('Cálculos'!$F$197+(($C177)-$A$177:$A$222)*'Cálculos'!$F$98)*('Cálculos'!$F$225+'Cálculos'!$F$124*(1+2.78*('Cálculos'!$F$197+(($C177)-$A$177:$A$222)*'Cálculos'!$F$98)/(('Cálculos'!$F$197+(($C177)-$A$177:$A$222)*'Cálculos'!$F$98)+1400)+'Cálculos'!$F$122)*'Cálculos'!$F$230+'Cálculos'!$F$125*(1+2.78*('Cálculos'!$F$197+(($C177)-$A$177:$A$222)*'Cálculos'!$F$98)/(('Cálculos'!$F$197+(($C177)-$A$177:$A$222)*'Cálculos'!$F$98)+1400)+'Cálculos'!$F$123)*'Cálculos'!$F$235)+('Cálculos'!$F$201*(1+'Cálculos'!$F$202+$A$177:$A$222*('Cálculos'!$F$290=2)*'Cálculos'!$F$101)+'Cálculos'!$F$203)*('Cálculos'!$F$226+'Cálculos'!$F$124*(1+2.78*('Cálculos'!$F$197+(($C177)-$A$177:$A$222)*'Cálculos'!$F$98)/(('Cálculos'!$F$197+(($C177)-$A$177:$A$222)*'Cálculos'!$F$98)+1400)+'Cálculos'!$F$122)*'Cálculos'!$F$231+'Cálculos'!$F$125*(1+2.78*('Cálculos'!$F$197+(($C177)-$A$177:$A$222)*'Cálculos'!$F$98)/(('Cálculos'!$F$197+(($C177)-$A$177:$A$222)*'Cálculos'!$F$98)+1400)+'Cálculos'!$F$123)*'Cálculos'!$F$236)+('Cálculos'!$F$204*(1+'Cálculos'!$F$205+$A$177:$A$222*('Cálculos'!$F$290=3)*'Cálculos'!$F$103)+'Cálculos'!$F$206)*('Cálculos'!$F$227+'Cálculos'!$F$124*(1+2.78*('Cálculos'!$F$197+(($C177)-$A$177:$A$222)*'Cálculos'!$F$98)/(('Cálculos'!$F$197+(($C177)-$A$177:$A$222)*'Cálculos'!$F$98)+1400)+'Cálculos'!$F$122)*'Cálculos'!$F$232+'Cálculos'!$F$125*(1+2.78*('Cálculos'!$F$197+(($C177)-$A$177:$A$222)*'Cálculos'!$F$98)/(('Cálculos'!$F$197+(($C177)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177)-$A$177:$A$222)*'Cálculos'!$F$98)/(('Cálculos'!$F$198+(($C177)-$A$177:$A$222)*'Cálculos'!$F$98)+1400)+'Cálculos'!$F$122)*'Cálculos'!$F$244+'Cálculos'!$F$125*(1+2.78*('Cálculos'!$F$198+(($C177)-$A$177:$A$222)*'Cálculos'!$F$98)/(('Cálculos'!$F$198+(($C177)-$A$177:$A$222)*'Cálculos'!$F$98)+1400)+'Cálculos'!$F$123)*'Cálculos'!$F$249)+('Cálculos'!$F$198+(($C177)-$A$177:$A$222)*'Cálculos'!$F$98)*('Cálculos'!$F$240+'Cálculos'!$F$124*(1+2.78*('Cálculos'!$F$198+(($C177)-$A$177:$A$222)*'Cálculos'!$F$98)/(('Cálculos'!$F$198+(($C177)-$A$177:$A$222)*'Cálculos'!$F$98)+1400)+'Cálculos'!$F$122)*'Cálculos'!$F$245+'Cálculos'!$F$125*(1+2.78*('Cálculos'!$F$198+(($C177)-$A$177:$A$222)*'Cálculos'!$F$98)/(('Cálculos'!$F$198+(($C177)-$A$177:$A$222)*'Cálculos'!$F$98)+1400)+'Cálculos'!$F$123)*'Cálculos'!$F$250)+('Cálculos'!$F$201*(1+'Cálculos'!$F$202+$A$177:$A$222*('Cálculos'!$F$290=2)*'Cálculos'!$F$101)+'Cálculos'!$F$203)*('Cálculos'!$F$241+'Cálculos'!$F$124*(1+2.78*('Cálculos'!$F$198+(($C177)-$A$177:$A$222)*'Cálculos'!$F$98)/(('Cálculos'!$F$198+(($C177)-$A$177:$A$222)*'Cálculos'!$F$98)+1400)+'Cálculos'!$F$122)*'Cálculos'!$F$246+'Cálculos'!$F$125*(1+2.78*('Cálculos'!$F$198+(($C177)-$A$177:$A$222)*'Cálculos'!$F$98)/(('Cálculos'!$F$198+(($C177)-$A$177:$A$222)*'Cálculos'!$F$98)+1400)+'Cálculos'!$F$123)*'Cálculos'!$F$251)+('Cálculos'!$F$204*(1+'Cálculos'!$F$205+$A$177:$A$222*('Cálculos'!$F$290=3)*'Cálculos'!$F$103)+'Cálculos'!$F$206)*('Cálculos'!$F$242+'Cálculos'!$F$124*(1+2.78*('Cálculos'!$F$198+(($C177)-$A$177:$A$222)*'Cálculos'!$F$98)/(('Cálculos'!$F$198+(($C177)-$A$177:$A$222)*'Cálculos'!$F$98)+1400)+'Cálculos'!$F$122)*'Cálculos'!$F$247+'Cálculos'!$F$125*(1+2.78*('Cálculos'!$F$198+(($C177)-$A$177:$A$222)*'Cálculos'!$F$98)/(('Cálculos'!$F$198+(($C177)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177)-$A$177:$A$222)*'Cálculos'!$F$98)/(('Cálculos'!$F$199+(($C177)-$A$177:$A$222)*'Cálculos'!$F$98)+1400)+'Cálculos'!$F$122)*'Cálculos'!$F$259+'Cálculos'!$F$125*(1+2.78*('Cálculos'!$F$199+(($C177)-$A$177:$A$222)*'Cálculos'!$F$98)/(('Cálculos'!$F$199+(($C177)-$A$177:$A$222)*'Cálculos'!$F$98)+1400)+'Cálculos'!$F$123)*'Cálculos'!$F$264)+('Cálculos'!$F$199+(($C177)-$A$177:$A$222)*'Cálculos'!$F$98)*('Cálculos'!$F$255+'Cálculos'!$F$124*(1+2.78*('Cálculos'!$F$199+(($C177)-$A$177:$A$222)*'Cálculos'!$F$98)/(('Cálculos'!$F$199+(($C177)-$A$177:$A$222)*'Cálculos'!$F$98)+1400)+'Cálculos'!$F$122)*'Cálculos'!$F$260+'Cálculos'!$F$125*(1+2.78*('Cálculos'!$F$199+(($C177)-$A$177:$A$222)*'Cálculos'!$F$98)/(('Cálculos'!$F$199+(($C177)-$A$177:$A$222)*'Cálculos'!$F$98)+1400)+'Cálculos'!$F$123)*'Cálculos'!$F$265)+('Cálculos'!$F$201*(1+'Cálculos'!$F$202+$A$177:$A$222*('Cálculos'!$F$290=2)*'Cálculos'!$F$101)+'Cálculos'!$F$203)*('Cálculos'!$F$256+'Cálculos'!$F$124*(1+2.78*('Cálculos'!$F$199+(($C177)-$A$177:$A$222)*'Cálculos'!$F$98)/(('Cálculos'!$F$199+(($C177)-$A$177:$A$222)*'Cálculos'!$F$98)+1400)+'Cálculos'!$F$122)*'Cálculos'!$F$261+'Cálculos'!$F$125*(1+2.78*('Cálculos'!$F$199+(($C177)-$A$177:$A$222)*'Cálculos'!$F$98)/(('Cálculos'!$F$199+(($C177)-$A$177:$A$222)*'Cálculos'!$F$98)+1400)+'Cálculos'!$F$123)*'Cálculos'!$F$266)+('Cálculos'!$F$204*(1+'Cálculos'!$F$205+$A$177:$A$222*('Cálculos'!$F$290=3)*'Cálculos'!$F$103)+'Cálculos'!$F$206)*('Cálculos'!$F$257+'Cálculos'!$F$124*(1+2.78*('Cálculos'!$F$199+(($C177)-$A$177:$A$222)*'Cálculos'!$F$98)/(('Cálculos'!$F$199+(($C177)-$A$177:$A$222)*'Cálculos'!$F$98)+1400)+'Cálculos'!$F$122)*'Cálculos'!$F$262+'Cálculos'!$F$125*(1+2.78*('Cálculos'!$F$199+(($C177)-$A$177:$A$222)*'Cálculos'!$F$98)/(('Cálculos'!$F$199+(($C177)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177)-$A$177:$A$222)*'Cálculos'!$F$98)/(('Cálculos'!$F$200+(($C177)-$A$177:$A$222)*'Cálculos'!$F$98)+1400)+'Cálculos'!$F$122)*'Cálculos'!$F$274+'Cálculos'!$F$125*(1+2.78*('Cálculos'!$F$200+(($C177)-$A$177:$A$222)*'Cálculos'!$F$98)/(('Cálculos'!$F$200+(($C177)-$A$177:$A$222)*'Cálculos'!$F$98)+1400)+'Cálculos'!$F$123)*'Cálculos'!$F$279)+('Cálculos'!$F$200+(($C177)-$A$177:$A$222)*'Cálculos'!$F$98)*('Cálculos'!$F$270+'Cálculos'!$F$124*(1+2.78*('Cálculos'!$F$200+(($C177)-$A$177:$A$222)*'Cálculos'!$F$98)/(('Cálculos'!$F$200+(($C177)-$A$177:$A$222)*'Cálculos'!$F$98)+1400)+'Cálculos'!$F$122)*'Cálculos'!$F$275+'Cálculos'!$F$125*(1+2.78*('Cálculos'!$F$200+(($C177)-$A$177:$A$222)*'Cálculos'!$F$98)/(('Cálculos'!$F$200+(($C177)-$A$177:$A$222)*'Cálculos'!$F$98)+1400)+'Cálculos'!$F$123)*'Cálculos'!$F$280)+('Cálculos'!$F$201*(1+'Cálculos'!$F$202+$A$177:$A$222*('Cálculos'!$F$290=2)*'Cálculos'!$F$101)+'Cálculos'!$F$203)*('Cálculos'!$F$271+'Cálculos'!$F$124*(1+2.78*('Cálculos'!$F$200+(($C177)-$A$177:$A$222)*'Cálculos'!$F$98)/(('Cálculos'!$F$200+(($C177)-$A$177:$A$222)*'Cálculos'!$F$98)+1400)+'Cálculos'!$F$122)*'Cálculos'!$F$276+'Cálculos'!$F$125*(1+2.78*('Cálculos'!$F$200+(($C177)-$A$177:$A$222)*'Cálculos'!$F$98)/(('Cálculos'!$F$200+(($C177)-$A$177:$A$222)*'Cálculos'!$F$98)+1400)+'Cálculos'!$F$123)*'Cálculos'!$F$281)+('Cálculos'!$F$204*(1+'Cálculos'!$F$205+$A$177:$A$222*('Cálculos'!$F$290=3)*'Cálculos'!$F$103)+'Cálculos'!$F$206)*('Cálculos'!$F$272+'Cálculos'!$F$124*(1+2.78*('Cálculos'!$F$200+(($C177)-$A$177:$A$222)*'Cálculos'!$F$98)/(('Cálculos'!$F$200+(($C177)-$A$177:$A$222)*'Cálculos'!$F$98)+1400)+'Cálculos'!$F$122)*'Cálculos'!$F$277+'Cálculos'!$F$125*(1+2.78*('Cálculos'!$F$200+(($C177)-$A$177:$A$222)*'Cálculos'!$F$98)/(('Cálculos'!$F$200+(($C177)-$A$177:$A$222)*'Cálculos'!$F$98)+1400)+'Cálculos'!$F$123)*'Cálculos'!$F$282)))))</f>
        <v>23374.93079</v>
      </c>
      <c r="E177" s="32">
        <f>IF(OR($C177&lt;0,'Cálculos'!$F$6=""),0,$B177*$D177)</f>
        <v>36080.86529</v>
      </c>
      <c r="F177" s="2"/>
      <c r="G177" s="30">
        <f>($A177&lt;=$B$224)*($A177&lt;='Cálculos'!$F$294)*(($B$224)-$A177&lt;='Cálculos'!$F$295)*(1+MIN(('Cálculos'!$F$207+$A177*'Cálculos'!$F$95),1)*('Cálculos'!$F$208+(($B$224)-$A177)*'Cálculos'!$F$96))</f>
        <v>2.050847</v>
      </c>
      <c r="H177" s="31">
        <f>IF($B$225&lt;0,0,($A177&lt;=$B$225)*($A177&lt;='Cálculos'!$F$301)*(($B$225)-$A177&lt;='Cálculos'!$F$297)*(('Cálculos'!$F$185*(1+'Cálculos'!$F$186+$A177*('Cálculos'!$F$290=1)*'Cálculos'!$F$97+'Cálculos'!$F$305)+'Cálculos'!$F$191)*('Cálculos'!$F$209+'Cálculos'!$F$124*(1+2.78*('Cálculos'!$F$196+(($B$225)-$A177)*'Cálculos'!$F$98)/(('Cálculos'!$F$196+(($B$225)-$A177)*'Cálculos'!$F$98)+1400)+'Cálculos'!$F$122)*'Cálculos'!$F$214+'Cálculos'!$F$125*(1+2.78*('Cálculos'!$F$196+(($B$225)-$A177)*'Cálculos'!$F$98)/(('Cálculos'!$F$196+(($B$225)-$A177)*'Cálculos'!$F$98)+1400)+'Cálculos'!$F$123)*'Cálculos'!$F$219)+('Cálculos'!$F$196+(($B$225)-$A177)*'Cálculos'!$F$98)*('Cálculos'!$F$210+'Cálculos'!$F$124*(1+2.78*('Cálculos'!$F$196+(($B$225)-$A177)*'Cálculos'!$F$98)/(('Cálculos'!$F$196+(($B$225)-$A177)*'Cálculos'!$F$98)+1400)+'Cálculos'!$F$122)*'Cálculos'!$F$215+'Cálculos'!$F$125*(1+2.78*('Cálculos'!$F$196+(($B$225)-$A177)*'Cálculos'!$F$98)/(('Cálculos'!$F$196+(($B$225)-$A177)*'Cálculos'!$F$98)+1400)+'Cálculos'!$F$123)*'Cálculos'!$F$220)+('Cálculos'!$F$201*(1+'Cálculos'!$F$202+$A177*('Cálculos'!$F$290=2)*'Cálculos'!$F$101)+'Cálculos'!$F$203)*('Cálculos'!$F$211+'Cálculos'!$F$124*(1+2.78*('Cálculos'!$F$196+(($B$225)-$A177)*'Cálculos'!$F$98)/(('Cálculos'!$F$196+(($B$225)-$A177)*'Cálculos'!$F$98)+1400)+'Cálculos'!$F$122)*'Cálculos'!$F$216+'Cálculos'!$F$125*(1+2.78*('Cálculos'!$F$196+(($B$225)-$A177)*'Cálculos'!$F$98)/(('Cálculos'!$F$196+(($B$225)-$A177)*'Cálculos'!$F$98)+1400)+'Cálculos'!$F$123)*'Cálculos'!$F$221)+('Cálculos'!$F$204*(1+'Cálculos'!$F$205+$A177*('Cálculos'!$F$290=3)*'Cálculos'!$F$103)+'Cálculos'!$F$206)*('Cálculos'!$F$212+'Cálculos'!$F$124*(1+2.78*('Cálculos'!$F$196+(($B$225)-$A177)*'Cálculos'!$F$98)/(('Cálculos'!$F$196+(($B$225)-$A177)*'Cálculos'!$F$98)+1400)+'Cálculos'!$F$122)*'Cálculos'!$F$217+'Cálculos'!$F$125*(1+2.78*('Cálculos'!$F$196+(($B$225)-$A177)*'Cálculos'!$F$98)/(('Cálculos'!$F$196+(($B$225)-$A177)*'Cálculos'!$F$98)+1400)+'Cálculos'!$F$123)*'Cálculos'!$F$222)+('Cálculos'!$F$185*(1+'Cálculos'!$F$187+$A177*('Cálculos'!$F$290=1)*'Cálculos'!$F$97+'Cálculos'!$F$305)+'Cálculos'!$F$192)*('Cálculos'!$F$224+'Cálculos'!$F$124*(1+2.78*('Cálculos'!$F$197+(($B$225)-$A177)*'Cálculos'!$F$98)/(('Cálculos'!$F$197+(($B$225)-$A177)*'Cálculos'!$F$98)+1400)+'Cálculos'!$F$122)*'Cálculos'!$F$229+'Cálculos'!$F$125*(1+2.78*('Cálculos'!$F$197+(($B$225)-$A177)*'Cálculos'!$F$98)/(('Cálculos'!$F$197+(($B$225)-$A177)*'Cálculos'!$F$98)+1400)+'Cálculos'!$F$123)*'Cálculos'!$F$234)+('Cálculos'!$F$197+(($B$225)-$A177)*'Cálculos'!$F$98)*('Cálculos'!$F$225+'Cálculos'!$F$124*(1+2.78*('Cálculos'!$F$197+(($B$225)-$A177)*'Cálculos'!$F$98)/(('Cálculos'!$F$197+(($B$225)-$A177)*'Cálculos'!$F$98)+1400)+'Cálculos'!$F$122)*'Cálculos'!$F$230+'Cálculos'!$F$125*(1+2.78*('Cálculos'!$F$197+(($B$225)-$A177)*'Cálculos'!$F$98)/(('Cálculos'!$F$197+(($B$225)-$A177)*'Cálculos'!$F$98)+1400)+'Cálculos'!$F$123)*'Cálculos'!$F$235)+('Cálculos'!$F$201*(1+'Cálculos'!$F$202+$A177*('Cálculos'!$F$290=2)*'Cálculos'!$F$101)+'Cálculos'!$F$203)*('Cálculos'!$F$226+'Cálculos'!$F$124*(1+2.78*('Cálculos'!$F$197+(($B$225)-$A177)*'Cálculos'!$F$98)/(('Cálculos'!$F$197+(($B$225)-$A177)*'Cálculos'!$F$98)+1400)+'Cálculos'!$F$122)*'Cálculos'!$F$231+'Cálculos'!$F$125*(1+2.78*('Cálculos'!$F$197+(($B$225)-$A177)*'Cálculos'!$F$98)/(('Cálculos'!$F$197+(($B$225)-$A177)*'Cálculos'!$F$98)+1400)+'Cálculos'!$F$123)*'Cálculos'!$F$236)+('Cálculos'!$F$204*(1+'Cálculos'!$F$205+$A177*('Cálculos'!$F$290=3)*'Cálculos'!$F$103)+'Cálculos'!$F$206)*('Cálculos'!$F$227+'Cálculos'!$F$124*(1+2.78*('Cálculos'!$F$197+(($B$225)-$A177)*'Cálculos'!$F$98)/(('Cálculos'!$F$197+(($B$225)-$A177)*'Cálculos'!$F$98)+1400)+'Cálculos'!$F$122)*'Cálculos'!$F$232+'Cálculos'!$F$125*(1+2.78*('Cálculos'!$F$197+(($B$225)-$A177)*'Cálculos'!$F$98)/(('Cálculos'!$F$197+(($B$225)-$A177)*'Cálculos'!$F$98)+1400)+'Cálculos'!$F$123)*'Cálculos'!$F$237)+('Cálculos'!$F$185*(1+'Cálculos'!$F$188+$A177*('Cálculos'!$F$290=1)*'Cálculos'!$F$97+'Cálculos'!$F$305)+'Cálculos'!$F$193)*('Cálculos'!$F$239+'Cálculos'!$F$124*(1+2.78*('Cálculos'!$F$198+(($B$225)-$A177)*'Cálculos'!$F$98)/(('Cálculos'!$F$198+(($B$225)-$A177)*'Cálculos'!$F$98)+1400)+'Cálculos'!$F$122)*'Cálculos'!$F$244+'Cálculos'!$F$125*(1+2.78*('Cálculos'!$F$198+(($B$225)-$A177)*'Cálculos'!$F$98)/(('Cálculos'!$F$198+(($B$225)-$A177)*'Cálculos'!$F$98)+1400)+'Cálculos'!$F$123)*'Cálculos'!$F$249)+('Cálculos'!$F$198+(($B$225)-$A177)*'Cálculos'!$F$98)*('Cálculos'!$F$240+'Cálculos'!$F$124*(1+2.78*('Cálculos'!$F$198+(($B$225)-$A177)*'Cálculos'!$F$98)/(('Cálculos'!$F$198+(($B$225)-$A177)*'Cálculos'!$F$98)+1400)+'Cálculos'!$F$122)*'Cálculos'!$F$245+'Cálculos'!$F$125*(1+2.78*('Cálculos'!$F$198+(($B$225)-$A177)*'Cálculos'!$F$98)/(('Cálculos'!$F$198+(($B$225)-$A177)*'Cálculos'!$F$98)+1400)+'Cálculos'!$F$123)*'Cálculos'!$F$250)+('Cálculos'!$F$201*(1+'Cálculos'!$F$202+$A177*('Cálculos'!$F$290=2)*'Cálculos'!$F$101)+'Cálculos'!$F$203)*('Cálculos'!$F$241+'Cálculos'!$F$124*(1+2.78*('Cálculos'!$F$198+(($B$225)-$A177)*'Cálculos'!$F$98)/(('Cálculos'!$F$198+(($B$225)-$A177)*'Cálculos'!$F$98)+1400)+'Cálculos'!$F$122)*'Cálculos'!$F$246+'Cálculos'!$F$125*(1+2.78*('Cálculos'!$F$198+(($B$225)-$A177)*'Cálculos'!$F$98)/(('Cálculos'!$F$198+(($B$225)-$A177)*'Cálculos'!$F$98)+1400)+'Cálculos'!$F$123)*'Cálculos'!$F$251)+('Cálculos'!$F$204*(1+'Cálculos'!$F$205+$A177*('Cálculos'!$F$290=3)*'Cálculos'!$F$103)+'Cálculos'!$F$206)*('Cálculos'!$F$242+'Cálculos'!$F$124*(1+2.78*('Cálculos'!$F$198+(($B$225)-$A177)*'Cálculos'!$F$98)/(('Cálculos'!$F$198+(($B$225)-$A177)*'Cálculos'!$F$98)+1400)+'Cálculos'!$F$122)*'Cálculos'!$F$247+'Cálculos'!$F$125*(1+2.78*('Cálculos'!$F$198+(($B$225)-$A177)*'Cálculos'!$F$98)/(('Cálculos'!$F$198+(($B$225)-$A177)*'Cálculos'!$F$98)+1400)+'Cálculos'!$F$123)*'Cálculos'!$F$252)+('Cálculos'!$F$185*(1+'Cálculos'!$F$189+$A177*('Cálculos'!$F$290=1)*'Cálculos'!$F$97+'Cálculos'!$F$305)+'Cálculos'!$F$194)*('Cálculos'!$F$254+'Cálculos'!$F$124*(1+2.78*('Cálculos'!$F$199+(($B$225)-$A177)*'Cálculos'!$F$98)/(('Cálculos'!$F$199+(($B$225)-$A177)*'Cálculos'!$F$98)+1400)+'Cálculos'!$F$122)*'Cálculos'!$F$259+'Cálculos'!$F$125*(1+2.78*('Cálculos'!$F$199+(($B$225)-$A177)*'Cálculos'!$F$98)/(('Cálculos'!$F$199+(($B$225)-$A177)*'Cálculos'!$F$98)+1400)+'Cálculos'!$F$123)*'Cálculos'!$F$264)+('Cálculos'!$F$199+(($B$225)-$A177)*'Cálculos'!$F$98)*('Cálculos'!$F$255+'Cálculos'!$F$124*(1+2.78*('Cálculos'!$F$199+(($B$225)-$A177)*'Cálculos'!$F$98)/(('Cálculos'!$F$199+(($B$225)-$A177)*'Cálculos'!$F$98)+1400)+'Cálculos'!$F$122)*'Cálculos'!$F$260+'Cálculos'!$F$125*(1+2.78*('Cálculos'!$F$199+(($B$225)-$A177)*'Cálculos'!$F$98)/(('Cálculos'!$F$199+(($B$225)-$A177)*'Cálculos'!$F$98)+1400)+'Cálculos'!$F$123)*'Cálculos'!$F$265)+('Cálculos'!$F$201*(1+'Cálculos'!$F$202+$A177*('Cálculos'!$F$290=2)*'Cálculos'!$F$101)+'Cálculos'!$F$203)*('Cálculos'!$F$256+'Cálculos'!$F$124*(1+2.78*('Cálculos'!$F$199+(($B$225)-$A177)*'Cálculos'!$F$98)/(('Cálculos'!$F$199+(($B$225)-$A177)*'Cálculos'!$F$98)+1400)+'Cálculos'!$F$122)*'Cálculos'!$F$261+'Cálculos'!$F$125*(1+2.78*('Cálculos'!$F$199+(($B$225)-$A177)*'Cálculos'!$F$98)/(('Cálculos'!$F$199+(($B$225)-$A177)*'Cálculos'!$F$98)+1400)+'Cálculos'!$F$123)*'Cálculos'!$F$266)+('Cálculos'!$F$204*(1+'Cálculos'!$F$205+$A177*('Cálculos'!$F$290=3)*'Cálculos'!$F$103)+'Cálculos'!$F$206)*('Cálculos'!$F$257+'Cálculos'!$F$124*(1+2.78*('Cálculos'!$F$199+(($B$225)-$A177)*'Cálculos'!$F$98)/(('Cálculos'!$F$199+(($B$225)-$A177)*'Cálculos'!$F$98)+1400)+'Cálculos'!$F$122)*'Cálculos'!$F$262+'Cálculos'!$F$125*(1+2.78*('Cálculos'!$F$199+(($B$225)-$A177)*'Cálculos'!$F$98)/(('Cálculos'!$F$199+(($B$225)-$A177)*'Cálculos'!$F$98)+1400)+'Cálculos'!$F$123)*'Cálculos'!$F$267)+('Cálculos'!$F$185*(1+'Cálculos'!$F$190+$A177*('Cálculos'!$F$290=1)*'Cálculos'!$F$97+'Cálculos'!$F$305)+'Cálculos'!$F$195)*('Cálculos'!$F$269+'Cálculos'!$F$124*(1+2.78*('Cálculos'!$F$200+(($B$225)-$A177)*'Cálculos'!$F$98)/(('Cálculos'!$F$200+(($B$225)-$A177)*'Cálculos'!$F$98)+1400)+'Cálculos'!$F$122)*'Cálculos'!$F$274+'Cálculos'!$F$125*(1+2.78*('Cálculos'!$F$200+(($B$225)-$A177)*'Cálculos'!$F$98)/(('Cálculos'!$F$200+(($B$225)-$A177)*'Cálculos'!$F$98)+1400)+'Cálculos'!$F$123)*'Cálculos'!$F$279)+('Cálculos'!$F$200+(($B$225)-$A177)*'Cálculos'!$F$98)*('Cálculos'!$F$270+'Cálculos'!$F$124*(1+2.78*('Cálculos'!$F$200+(($B$225)-$A177)*'Cálculos'!$F$98)/(('Cálculos'!$F$200+(($B$225)-$A177)*'Cálculos'!$F$98)+1400)+'Cálculos'!$F$122)*'Cálculos'!$F$275+'Cálculos'!$F$125*(1+2.78*('Cálculos'!$F$200+(($B$225)-$A177)*'Cálculos'!$F$98)/(('Cálculos'!$F$200+(($B$225)-$A177)*'Cálculos'!$F$98)+1400)+'Cálculos'!$F$123)*'Cálculos'!$F$280)+('Cálculos'!$F$201*(1+'Cálculos'!$F$202+$A177*('Cálculos'!$F$290=2)*'Cálculos'!$F$101)+'Cálculos'!$F$203)*('Cálculos'!$F$271+'Cálculos'!$F$124*(1+2.78*('Cálculos'!$F$200+(($B$225)-$A177)*'Cálculos'!$F$98)/(('Cálculos'!$F$200+(($B$225)-$A177)*'Cálculos'!$F$98)+1400)+'Cálculos'!$F$122)*'Cálculos'!$F$276+'Cálculos'!$F$125*(1+2.78*('Cálculos'!$F$200+(($B$225)-$A177)*'Cálculos'!$F$98)/(('Cálculos'!$F$200+(($B$225)-$A177)*'Cálculos'!$F$98)+1400)+'Cálculos'!$F$123)*'Cálculos'!$F$281)+('Cálculos'!$F$204*(1+'Cálculos'!$F$205+$A177*('Cálculos'!$F$290=3)*'Cálculos'!$F$103)+'Cálculos'!$F$206)*('Cálculos'!$F$272+'Cálculos'!$F$124*(1+2.78*('Cálculos'!$F$200+(($B$225)-$A177)*'Cálculos'!$F$98)/(('Cálculos'!$F$200+(($B$225)-$A177)*'Cálculos'!$F$98)+1400)+'Cálculos'!$F$122)*'Cálculos'!$F$277+'Cálculos'!$F$125*(1+2.78*('Cálculos'!$F$200+(($B$225)-$A177)*'Cálculos'!$F$98)/(('Cálculos'!$F$200+(($B$225)-$A177)*'Cálculos'!$F$98)+1400)+'Cálculos'!$F$123)*'Cálculos'!$F$282)))</f>
        <v>19345.49414</v>
      </c>
    </row>
    <row r="178" ht="15.75" customHeight="1">
      <c r="A178" s="2">
        <v>1.0</v>
      </c>
      <c r="B178" s="30">
        <f>SUMPRODUCT(MAX(($A$177:$A$222&lt;=$A178)*($A$177:$A$222&lt;='Cálculos'!$F$294)*(($A178)-$A$177:$A$222&lt;='Cálculos'!$F$295)*(1+(('Cálculos'!$F$207+$A$177:$A$222*'Cálculos'!$F$95)-(('Cálculos'!$F$207+$A$177:$A$222*'Cálculos'!$F$95)&gt;1)*(('Cálculos'!$F$207+$A$177:$A$222*'Cálculos'!$F$95)-1))*('Cálculos'!$F$208+(($A178)-$A$177:$A$222)*'Cálculos'!$F$96))))</f>
        <v>1.58558</v>
      </c>
      <c r="C178" s="2">
        <f>'Cálculos'!$F$303-$A178</f>
        <v>17</v>
      </c>
      <c r="D178" s="31">
        <f>IF($C178&lt;0,0,SUMPRODUCT(MAX(($A$177:$A$222&lt;=$C178)*($A$177:$A$222&lt;='Cálculos'!$F$301)*(($C178)-$A$177:$A$222&lt;='Cálculos'!$F$297)*(('Cálculos'!$F$185*(1+'Cálculos'!$F$186+$A$177:$A$222*('Cálculos'!$F$290=1)*'Cálculos'!$F$97+'Cálculos'!$F$305)+'Cálculos'!$F$191)*('Cálculos'!$F$209+'Cálculos'!$F$124*(1+2.78*('Cálculos'!$F$196+(($C178)-$A$177:$A$222)*'Cálculos'!$F$98)/(('Cálculos'!$F$196+(($C178)-$A$177:$A$222)*'Cálculos'!$F$98)+1400)+'Cálculos'!$F$122)*'Cálculos'!$F$214+'Cálculos'!$F$125*(1+2.78*('Cálculos'!$F$196+(($C178)-$A$177:$A$222)*'Cálculos'!$F$98)/(('Cálculos'!$F$196+(($C178)-$A$177:$A$222)*'Cálculos'!$F$98)+1400)+'Cálculos'!$F$123)*'Cálculos'!$F$219)+('Cálculos'!$F$196+(($C178)-$A$177:$A$222)*'Cálculos'!$F$98)*('Cálculos'!$F$210+'Cálculos'!$F$124*(1+2.78*('Cálculos'!$F$196+(($C178)-$A$177:$A$222)*'Cálculos'!$F$98)/(('Cálculos'!$F$196+(($C178)-$A$177:$A$222)*'Cálculos'!$F$98)+1400)+'Cálculos'!$F$122)*'Cálculos'!$F$215+'Cálculos'!$F$125*(1+2.78*('Cálculos'!$F$196+(($C178)-$A$177:$A$222)*'Cálculos'!$F$98)/(('Cálculos'!$F$196+(($C178)-$A$177:$A$222)*'Cálculos'!$F$98)+1400)+'Cálculos'!$F$123)*'Cálculos'!$F$220)+('Cálculos'!$F$201*(1+'Cálculos'!$F$202+$A$177:$A$222*('Cálculos'!$F$290=2)*'Cálculos'!$F$101)+'Cálculos'!$F$203)*('Cálculos'!$F$211+'Cálculos'!$F$124*(1+2.78*('Cálculos'!$F$196+(($C178)-$A$177:$A$222)*'Cálculos'!$F$98)/(('Cálculos'!$F$196+(($C178)-$A$177:$A$222)*'Cálculos'!$F$98)+1400)+'Cálculos'!$F$122)*'Cálculos'!$F$216+'Cálculos'!$F$125*(1+2.78*('Cálculos'!$F$196+(($C178)-$A$177:$A$222)*'Cálculos'!$F$98)/(('Cálculos'!$F$196+(($C178)-$A$177:$A$222)*'Cálculos'!$F$98)+1400)+'Cálculos'!$F$123)*'Cálculos'!$F$221)+('Cálculos'!$F$204*(1+'Cálculos'!$F$205+$A$177:$A$222*('Cálculos'!$F$290=3)*'Cálculos'!$F$103)+'Cálculos'!$F$206)*('Cálculos'!$F$212+'Cálculos'!$F$124*(1+2.78*('Cálculos'!$F$196+(($C178)-$A$177:$A$222)*'Cálculos'!$F$98)/(('Cálculos'!$F$196+(($C178)-$A$177:$A$222)*'Cálculos'!$F$98)+1400)+'Cálculos'!$F$122)*'Cálculos'!$F$217+'Cálculos'!$F$125*(1+2.78*('Cálculos'!$F$196+(($C178)-$A$177:$A$222)*'Cálculos'!$F$98)/(('Cálculos'!$F$196+(($C178)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178)-$A$177:$A$222)*'Cálculos'!$F$98)/(('Cálculos'!$F$197+(($C178)-$A$177:$A$222)*'Cálculos'!$F$98)+1400)+'Cálculos'!$F$122)*'Cálculos'!$F$229+'Cálculos'!$F$125*(1+2.78*('Cálculos'!$F$197+(($C178)-$A$177:$A$222)*'Cálculos'!$F$98)/(('Cálculos'!$F$197+(($C178)-$A$177:$A$222)*'Cálculos'!$F$98)+1400)+'Cálculos'!$F$123)*'Cálculos'!$F$234)+('Cálculos'!$F$197+(($C178)-$A$177:$A$222)*'Cálculos'!$F$98)*('Cálculos'!$F$225+'Cálculos'!$F$124*(1+2.78*('Cálculos'!$F$197+(($C178)-$A$177:$A$222)*'Cálculos'!$F$98)/(('Cálculos'!$F$197+(($C178)-$A$177:$A$222)*'Cálculos'!$F$98)+1400)+'Cálculos'!$F$122)*'Cálculos'!$F$230+'Cálculos'!$F$125*(1+2.78*('Cálculos'!$F$197+(($C178)-$A$177:$A$222)*'Cálculos'!$F$98)/(('Cálculos'!$F$197+(($C178)-$A$177:$A$222)*'Cálculos'!$F$98)+1400)+'Cálculos'!$F$123)*'Cálculos'!$F$235)+('Cálculos'!$F$201*(1+'Cálculos'!$F$202+$A$177:$A$222*('Cálculos'!$F$290=2)*'Cálculos'!$F$101)+'Cálculos'!$F$203)*('Cálculos'!$F$226+'Cálculos'!$F$124*(1+2.78*('Cálculos'!$F$197+(($C178)-$A$177:$A$222)*'Cálculos'!$F$98)/(('Cálculos'!$F$197+(($C178)-$A$177:$A$222)*'Cálculos'!$F$98)+1400)+'Cálculos'!$F$122)*'Cálculos'!$F$231+'Cálculos'!$F$125*(1+2.78*('Cálculos'!$F$197+(($C178)-$A$177:$A$222)*'Cálculos'!$F$98)/(('Cálculos'!$F$197+(($C178)-$A$177:$A$222)*'Cálculos'!$F$98)+1400)+'Cálculos'!$F$123)*'Cálculos'!$F$236)+('Cálculos'!$F$204*(1+'Cálculos'!$F$205+$A$177:$A$222*('Cálculos'!$F$290=3)*'Cálculos'!$F$103)+'Cálculos'!$F$206)*('Cálculos'!$F$227+'Cálculos'!$F$124*(1+2.78*('Cálculos'!$F$197+(($C178)-$A$177:$A$222)*'Cálculos'!$F$98)/(('Cálculos'!$F$197+(($C178)-$A$177:$A$222)*'Cálculos'!$F$98)+1400)+'Cálculos'!$F$122)*'Cálculos'!$F$232+'Cálculos'!$F$125*(1+2.78*('Cálculos'!$F$197+(($C178)-$A$177:$A$222)*'Cálculos'!$F$98)/(('Cálculos'!$F$197+(($C178)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178)-$A$177:$A$222)*'Cálculos'!$F$98)/(('Cálculos'!$F$198+(($C178)-$A$177:$A$222)*'Cálculos'!$F$98)+1400)+'Cálculos'!$F$122)*'Cálculos'!$F$244+'Cálculos'!$F$125*(1+2.78*('Cálculos'!$F$198+(($C178)-$A$177:$A$222)*'Cálculos'!$F$98)/(('Cálculos'!$F$198+(($C178)-$A$177:$A$222)*'Cálculos'!$F$98)+1400)+'Cálculos'!$F$123)*'Cálculos'!$F$249)+('Cálculos'!$F$198+(($C178)-$A$177:$A$222)*'Cálculos'!$F$98)*('Cálculos'!$F$240+'Cálculos'!$F$124*(1+2.78*('Cálculos'!$F$198+(($C178)-$A$177:$A$222)*'Cálculos'!$F$98)/(('Cálculos'!$F$198+(($C178)-$A$177:$A$222)*'Cálculos'!$F$98)+1400)+'Cálculos'!$F$122)*'Cálculos'!$F$245+'Cálculos'!$F$125*(1+2.78*('Cálculos'!$F$198+(($C178)-$A$177:$A$222)*'Cálculos'!$F$98)/(('Cálculos'!$F$198+(($C178)-$A$177:$A$222)*'Cálculos'!$F$98)+1400)+'Cálculos'!$F$123)*'Cálculos'!$F$250)+('Cálculos'!$F$201*(1+'Cálculos'!$F$202+$A$177:$A$222*('Cálculos'!$F$290=2)*'Cálculos'!$F$101)+'Cálculos'!$F$203)*('Cálculos'!$F$241+'Cálculos'!$F$124*(1+2.78*('Cálculos'!$F$198+(($C178)-$A$177:$A$222)*'Cálculos'!$F$98)/(('Cálculos'!$F$198+(($C178)-$A$177:$A$222)*'Cálculos'!$F$98)+1400)+'Cálculos'!$F$122)*'Cálculos'!$F$246+'Cálculos'!$F$125*(1+2.78*('Cálculos'!$F$198+(($C178)-$A$177:$A$222)*'Cálculos'!$F$98)/(('Cálculos'!$F$198+(($C178)-$A$177:$A$222)*'Cálculos'!$F$98)+1400)+'Cálculos'!$F$123)*'Cálculos'!$F$251)+('Cálculos'!$F$204*(1+'Cálculos'!$F$205+$A$177:$A$222*('Cálculos'!$F$290=3)*'Cálculos'!$F$103)+'Cálculos'!$F$206)*('Cálculos'!$F$242+'Cálculos'!$F$124*(1+2.78*('Cálculos'!$F$198+(($C178)-$A$177:$A$222)*'Cálculos'!$F$98)/(('Cálculos'!$F$198+(($C178)-$A$177:$A$222)*'Cálculos'!$F$98)+1400)+'Cálculos'!$F$122)*'Cálculos'!$F$247+'Cálculos'!$F$125*(1+2.78*('Cálculos'!$F$198+(($C178)-$A$177:$A$222)*'Cálculos'!$F$98)/(('Cálculos'!$F$198+(($C178)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178)-$A$177:$A$222)*'Cálculos'!$F$98)/(('Cálculos'!$F$199+(($C178)-$A$177:$A$222)*'Cálculos'!$F$98)+1400)+'Cálculos'!$F$122)*'Cálculos'!$F$259+'Cálculos'!$F$125*(1+2.78*('Cálculos'!$F$199+(($C178)-$A$177:$A$222)*'Cálculos'!$F$98)/(('Cálculos'!$F$199+(($C178)-$A$177:$A$222)*'Cálculos'!$F$98)+1400)+'Cálculos'!$F$123)*'Cálculos'!$F$264)+('Cálculos'!$F$199+(($C178)-$A$177:$A$222)*'Cálculos'!$F$98)*('Cálculos'!$F$255+'Cálculos'!$F$124*(1+2.78*('Cálculos'!$F$199+(($C178)-$A$177:$A$222)*'Cálculos'!$F$98)/(('Cálculos'!$F$199+(($C178)-$A$177:$A$222)*'Cálculos'!$F$98)+1400)+'Cálculos'!$F$122)*'Cálculos'!$F$260+'Cálculos'!$F$125*(1+2.78*('Cálculos'!$F$199+(($C178)-$A$177:$A$222)*'Cálculos'!$F$98)/(('Cálculos'!$F$199+(($C178)-$A$177:$A$222)*'Cálculos'!$F$98)+1400)+'Cálculos'!$F$123)*'Cálculos'!$F$265)+('Cálculos'!$F$201*(1+'Cálculos'!$F$202+$A$177:$A$222*('Cálculos'!$F$290=2)*'Cálculos'!$F$101)+'Cálculos'!$F$203)*('Cálculos'!$F$256+'Cálculos'!$F$124*(1+2.78*('Cálculos'!$F$199+(($C178)-$A$177:$A$222)*'Cálculos'!$F$98)/(('Cálculos'!$F$199+(($C178)-$A$177:$A$222)*'Cálculos'!$F$98)+1400)+'Cálculos'!$F$122)*'Cálculos'!$F$261+'Cálculos'!$F$125*(1+2.78*('Cálculos'!$F$199+(($C178)-$A$177:$A$222)*'Cálculos'!$F$98)/(('Cálculos'!$F$199+(($C178)-$A$177:$A$222)*'Cálculos'!$F$98)+1400)+'Cálculos'!$F$123)*'Cálculos'!$F$266)+('Cálculos'!$F$204*(1+'Cálculos'!$F$205+$A$177:$A$222*('Cálculos'!$F$290=3)*'Cálculos'!$F$103)+'Cálculos'!$F$206)*('Cálculos'!$F$257+'Cálculos'!$F$124*(1+2.78*('Cálculos'!$F$199+(($C178)-$A$177:$A$222)*'Cálculos'!$F$98)/(('Cálculos'!$F$199+(($C178)-$A$177:$A$222)*'Cálculos'!$F$98)+1400)+'Cálculos'!$F$122)*'Cálculos'!$F$262+'Cálculos'!$F$125*(1+2.78*('Cálculos'!$F$199+(($C178)-$A$177:$A$222)*'Cálculos'!$F$98)/(('Cálculos'!$F$199+(($C178)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178)-$A$177:$A$222)*'Cálculos'!$F$98)/(('Cálculos'!$F$200+(($C178)-$A$177:$A$222)*'Cálculos'!$F$98)+1400)+'Cálculos'!$F$122)*'Cálculos'!$F$274+'Cálculos'!$F$125*(1+2.78*('Cálculos'!$F$200+(($C178)-$A$177:$A$222)*'Cálculos'!$F$98)/(('Cálculos'!$F$200+(($C178)-$A$177:$A$222)*'Cálculos'!$F$98)+1400)+'Cálculos'!$F$123)*'Cálculos'!$F$279)+('Cálculos'!$F$200+(($C178)-$A$177:$A$222)*'Cálculos'!$F$98)*('Cálculos'!$F$270+'Cálculos'!$F$124*(1+2.78*('Cálculos'!$F$200+(($C178)-$A$177:$A$222)*'Cálculos'!$F$98)/(('Cálculos'!$F$200+(($C178)-$A$177:$A$222)*'Cálculos'!$F$98)+1400)+'Cálculos'!$F$122)*'Cálculos'!$F$275+'Cálculos'!$F$125*(1+2.78*('Cálculos'!$F$200+(($C178)-$A$177:$A$222)*'Cálculos'!$F$98)/(('Cálculos'!$F$200+(($C178)-$A$177:$A$222)*'Cálculos'!$F$98)+1400)+'Cálculos'!$F$123)*'Cálculos'!$F$280)+('Cálculos'!$F$201*(1+'Cálculos'!$F$202+$A$177:$A$222*('Cálculos'!$F$290=2)*'Cálculos'!$F$101)+'Cálculos'!$F$203)*('Cálculos'!$F$271+'Cálculos'!$F$124*(1+2.78*('Cálculos'!$F$200+(($C178)-$A$177:$A$222)*'Cálculos'!$F$98)/(('Cálculos'!$F$200+(($C178)-$A$177:$A$222)*'Cálculos'!$F$98)+1400)+'Cálculos'!$F$122)*'Cálculos'!$F$276+'Cálculos'!$F$125*(1+2.78*('Cálculos'!$F$200+(($C178)-$A$177:$A$222)*'Cálculos'!$F$98)/(('Cálculos'!$F$200+(($C178)-$A$177:$A$222)*'Cálculos'!$F$98)+1400)+'Cálculos'!$F$123)*'Cálculos'!$F$281)+('Cálculos'!$F$204*(1+'Cálculos'!$F$205+$A$177:$A$222*('Cálculos'!$F$290=3)*'Cálculos'!$F$103)+'Cálculos'!$F$206)*('Cálculos'!$F$272+'Cálculos'!$F$124*(1+2.78*('Cálculos'!$F$200+(($C178)-$A$177:$A$222)*'Cálculos'!$F$98)/(('Cálculos'!$F$200+(($C178)-$A$177:$A$222)*'Cálculos'!$F$98)+1400)+'Cálculos'!$F$122)*'Cálculos'!$F$277+'Cálculos'!$F$125*(1+2.78*('Cálculos'!$F$200+(($C178)-$A$177:$A$222)*'Cálculos'!$F$98)/(('Cálculos'!$F$200+(($C178)-$A$177:$A$222)*'Cálculos'!$F$98)+1400)+'Cálculos'!$F$123)*'Cálculos'!$F$282)))))</f>
        <v>23151.07319</v>
      </c>
      <c r="E178" s="32">
        <f>IF(OR($C178&lt;0,'Cálculos'!$F$6=""),0,$B178*$D178)</f>
        <v>36707.87864</v>
      </c>
      <c r="F178" s="2"/>
      <c r="G178" s="30">
        <f>($A178&lt;=$B$224)*($A178&lt;='Cálculos'!$F$294)*(($B$224)-$A178&lt;='Cálculos'!$F$295)*(1+MIN(('Cálculos'!$F$207+$A178*'Cálculos'!$F$95),1)*('Cálculos'!$F$208+(($B$224)-$A178)*'Cálculos'!$F$96))</f>
        <v>2.1017</v>
      </c>
      <c r="H178" s="31">
        <f>IF($B$225&lt;0,0,($A178&lt;=$B$225)*($A178&lt;='Cálculos'!$F$301)*(($B$225)-$A178&lt;='Cálculos'!$F$297)*(('Cálculos'!$F$185*(1+'Cálculos'!$F$186+$A178*('Cálculos'!$F$290=1)*'Cálculos'!$F$97+'Cálculos'!$F$305)+'Cálculos'!$F$191)*('Cálculos'!$F$209+'Cálculos'!$F$124*(1+2.78*('Cálculos'!$F$196+(($B$225)-$A178)*'Cálculos'!$F$98)/(('Cálculos'!$F$196+(($B$225)-$A178)*'Cálculos'!$F$98)+1400)+'Cálculos'!$F$122)*'Cálculos'!$F$214+'Cálculos'!$F$125*(1+2.78*('Cálculos'!$F$196+(($B$225)-$A178)*'Cálculos'!$F$98)/(('Cálculos'!$F$196+(($B$225)-$A178)*'Cálculos'!$F$98)+1400)+'Cálculos'!$F$123)*'Cálculos'!$F$219)+('Cálculos'!$F$196+(($B$225)-$A178)*'Cálculos'!$F$98)*('Cálculos'!$F$210+'Cálculos'!$F$124*(1+2.78*('Cálculos'!$F$196+(($B$225)-$A178)*'Cálculos'!$F$98)/(('Cálculos'!$F$196+(($B$225)-$A178)*'Cálculos'!$F$98)+1400)+'Cálculos'!$F$122)*'Cálculos'!$F$215+'Cálculos'!$F$125*(1+2.78*('Cálculos'!$F$196+(($B$225)-$A178)*'Cálculos'!$F$98)/(('Cálculos'!$F$196+(($B$225)-$A178)*'Cálculos'!$F$98)+1400)+'Cálculos'!$F$123)*'Cálculos'!$F$220)+('Cálculos'!$F$201*(1+'Cálculos'!$F$202+$A178*('Cálculos'!$F$290=2)*'Cálculos'!$F$101)+'Cálculos'!$F$203)*('Cálculos'!$F$211+'Cálculos'!$F$124*(1+2.78*('Cálculos'!$F$196+(($B$225)-$A178)*'Cálculos'!$F$98)/(('Cálculos'!$F$196+(($B$225)-$A178)*'Cálculos'!$F$98)+1400)+'Cálculos'!$F$122)*'Cálculos'!$F$216+'Cálculos'!$F$125*(1+2.78*('Cálculos'!$F$196+(($B$225)-$A178)*'Cálculos'!$F$98)/(('Cálculos'!$F$196+(($B$225)-$A178)*'Cálculos'!$F$98)+1400)+'Cálculos'!$F$123)*'Cálculos'!$F$221)+('Cálculos'!$F$204*(1+'Cálculos'!$F$205+$A178*('Cálculos'!$F$290=3)*'Cálculos'!$F$103)+'Cálculos'!$F$206)*('Cálculos'!$F$212+'Cálculos'!$F$124*(1+2.78*('Cálculos'!$F$196+(($B$225)-$A178)*'Cálculos'!$F$98)/(('Cálculos'!$F$196+(($B$225)-$A178)*'Cálculos'!$F$98)+1400)+'Cálculos'!$F$122)*'Cálculos'!$F$217+'Cálculos'!$F$125*(1+2.78*('Cálculos'!$F$196+(($B$225)-$A178)*'Cálculos'!$F$98)/(('Cálculos'!$F$196+(($B$225)-$A178)*'Cálculos'!$F$98)+1400)+'Cálculos'!$F$123)*'Cálculos'!$F$222)+('Cálculos'!$F$185*(1+'Cálculos'!$F$187+$A178*('Cálculos'!$F$290=1)*'Cálculos'!$F$97+'Cálculos'!$F$305)+'Cálculos'!$F$192)*('Cálculos'!$F$224+'Cálculos'!$F$124*(1+2.78*('Cálculos'!$F$197+(($B$225)-$A178)*'Cálculos'!$F$98)/(('Cálculos'!$F$197+(($B$225)-$A178)*'Cálculos'!$F$98)+1400)+'Cálculos'!$F$122)*'Cálculos'!$F$229+'Cálculos'!$F$125*(1+2.78*('Cálculos'!$F$197+(($B$225)-$A178)*'Cálculos'!$F$98)/(('Cálculos'!$F$197+(($B$225)-$A178)*'Cálculos'!$F$98)+1400)+'Cálculos'!$F$123)*'Cálculos'!$F$234)+('Cálculos'!$F$197+(($B$225)-$A178)*'Cálculos'!$F$98)*('Cálculos'!$F$225+'Cálculos'!$F$124*(1+2.78*('Cálculos'!$F$197+(($B$225)-$A178)*'Cálculos'!$F$98)/(('Cálculos'!$F$197+(($B$225)-$A178)*'Cálculos'!$F$98)+1400)+'Cálculos'!$F$122)*'Cálculos'!$F$230+'Cálculos'!$F$125*(1+2.78*('Cálculos'!$F$197+(($B$225)-$A178)*'Cálculos'!$F$98)/(('Cálculos'!$F$197+(($B$225)-$A178)*'Cálculos'!$F$98)+1400)+'Cálculos'!$F$123)*'Cálculos'!$F$235)+('Cálculos'!$F$201*(1+'Cálculos'!$F$202+$A178*('Cálculos'!$F$290=2)*'Cálculos'!$F$101)+'Cálculos'!$F$203)*('Cálculos'!$F$226+'Cálculos'!$F$124*(1+2.78*('Cálculos'!$F$197+(($B$225)-$A178)*'Cálculos'!$F$98)/(('Cálculos'!$F$197+(($B$225)-$A178)*'Cálculos'!$F$98)+1400)+'Cálculos'!$F$122)*'Cálculos'!$F$231+'Cálculos'!$F$125*(1+2.78*('Cálculos'!$F$197+(($B$225)-$A178)*'Cálculos'!$F$98)/(('Cálculos'!$F$197+(($B$225)-$A178)*'Cálculos'!$F$98)+1400)+'Cálculos'!$F$123)*'Cálculos'!$F$236)+('Cálculos'!$F$204*(1+'Cálculos'!$F$205+$A178*('Cálculos'!$F$290=3)*'Cálculos'!$F$103)+'Cálculos'!$F$206)*('Cálculos'!$F$227+'Cálculos'!$F$124*(1+2.78*('Cálculos'!$F$197+(($B$225)-$A178)*'Cálculos'!$F$98)/(('Cálculos'!$F$197+(($B$225)-$A178)*'Cálculos'!$F$98)+1400)+'Cálculos'!$F$122)*'Cálculos'!$F$232+'Cálculos'!$F$125*(1+2.78*('Cálculos'!$F$197+(($B$225)-$A178)*'Cálculos'!$F$98)/(('Cálculos'!$F$197+(($B$225)-$A178)*'Cálculos'!$F$98)+1400)+'Cálculos'!$F$123)*'Cálculos'!$F$237)+('Cálculos'!$F$185*(1+'Cálculos'!$F$188+$A178*('Cálculos'!$F$290=1)*'Cálculos'!$F$97+'Cálculos'!$F$305)+'Cálculos'!$F$193)*('Cálculos'!$F$239+'Cálculos'!$F$124*(1+2.78*('Cálculos'!$F$198+(($B$225)-$A178)*'Cálculos'!$F$98)/(('Cálculos'!$F$198+(($B$225)-$A178)*'Cálculos'!$F$98)+1400)+'Cálculos'!$F$122)*'Cálculos'!$F$244+'Cálculos'!$F$125*(1+2.78*('Cálculos'!$F$198+(($B$225)-$A178)*'Cálculos'!$F$98)/(('Cálculos'!$F$198+(($B$225)-$A178)*'Cálculos'!$F$98)+1400)+'Cálculos'!$F$123)*'Cálculos'!$F$249)+('Cálculos'!$F$198+(($B$225)-$A178)*'Cálculos'!$F$98)*('Cálculos'!$F$240+'Cálculos'!$F$124*(1+2.78*('Cálculos'!$F$198+(($B$225)-$A178)*'Cálculos'!$F$98)/(('Cálculos'!$F$198+(($B$225)-$A178)*'Cálculos'!$F$98)+1400)+'Cálculos'!$F$122)*'Cálculos'!$F$245+'Cálculos'!$F$125*(1+2.78*('Cálculos'!$F$198+(($B$225)-$A178)*'Cálculos'!$F$98)/(('Cálculos'!$F$198+(($B$225)-$A178)*'Cálculos'!$F$98)+1400)+'Cálculos'!$F$123)*'Cálculos'!$F$250)+('Cálculos'!$F$201*(1+'Cálculos'!$F$202+$A178*('Cálculos'!$F$290=2)*'Cálculos'!$F$101)+'Cálculos'!$F$203)*('Cálculos'!$F$241+'Cálculos'!$F$124*(1+2.78*('Cálculos'!$F$198+(($B$225)-$A178)*'Cálculos'!$F$98)/(('Cálculos'!$F$198+(($B$225)-$A178)*'Cálculos'!$F$98)+1400)+'Cálculos'!$F$122)*'Cálculos'!$F$246+'Cálculos'!$F$125*(1+2.78*('Cálculos'!$F$198+(($B$225)-$A178)*'Cálculos'!$F$98)/(('Cálculos'!$F$198+(($B$225)-$A178)*'Cálculos'!$F$98)+1400)+'Cálculos'!$F$123)*'Cálculos'!$F$251)+('Cálculos'!$F$204*(1+'Cálculos'!$F$205+$A178*('Cálculos'!$F$290=3)*'Cálculos'!$F$103)+'Cálculos'!$F$206)*('Cálculos'!$F$242+'Cálculos'!$F$124*(1+2.78*('Cálculos'!$F$198+(($B$225)-$A178)*'Cálculos'!$F$98)/(('Cálculos'!$F$198+(($B$225)-$A178)*'Cálculos'!$F$98)+1400)+'Cálculos'!$F$122)*'Cálculos'!$F$247+'Cálculos'!$F$125*(1+2.78*('Cálculos'!$F$198+(($B$225)-$A178)*'Cálculos'!$F$98)/(('Cálculos'!$F$198+(($B$225)-$A178)*'Cálculos'!$F$98)+1400)+'Cálculos'!$F$123)*'Cálculos'!$F$252)+('Cálculos'!$F$185*(1+'Cálculos'!$F$189+$A178*('Cálculos'!$F$290=1)*'Cálculos'!$F$97+'Cálculos'!$F$305)+'Cálculos'!$F$194)*('Cálculos'!$F$254+'Cálculos'!$F$124*(1+2.78*('Cálculos'!$F$199+(($B$225)-$A178)*'Cálculos'!$F$98)/(('Cálculos'!$F$199+(($B$225)-$A178)*'Cálculos'!$F$98)+1400)+'Cálculos'!$F$122)*'Cálculos'!$F$259+'Cálculos'!$F$125*(1+2.78*('Cálculos'!$F$199+(($B$225)-$A178)*'Cálculos'!$F$98)/(('Cálculos'!$F$199+(($B$225)-$A178)*'Cálculos'!$F$98)+1400)+'Cálculos'!$F$123)*'Cálculos'!$F$264)+('Cálculos'!$F$199+(($B$225)-$A178)*'Cálculos'!$F$98)*('Cálculos'!$F$255+'Cálculos'!$F$124*(1+2.78*('Cálculos'!$F$199+(($B$225)-$A178)*'Cálculos'!$F$98)/(('Cálculos'!$F$199+(($B$225)-$A178)*'Cálculos'!$F$98)+1400)+'Cálculos'!$F$122)*'Cálculos'!$F$260+'Cálculos'!$F$125*(1+2.78*('Cálculos'!$F$199+(($B$225)-$A178)*'Cálculos'!$F$98)/(('Cálculos'!$F$199+(($B$225)-$A178)*'Cálculos'!$F$98)+1400)+'Cálculos'!$F$123)*'Cálculos'!$F$265)+('Cálculos'!$F$201*(1+'Cálculos'!$F$202+$A178*('Cálculos'!$F$290=2)*'Cálculos'!$F$101)+'Cálculos'!$F$203)*('Cálculos'!$F$256+'Cálculos'!$F$124*(1+2.78*('Cálculos'!$F$199+(($B$225)-$A178)*'Cálculos'!$F$98)/(('Cálculos'!$F$199+(($B$225)-$A178)*'Cálculos'!$F$98)+1400)+'Cálculos'!$F$122)*'Cálculos'!$F$261+'Cálculos'!$F$125*(1+2.78*('Cálculos'!$F$199+(($B$225)-$A178)*'Cálculos'!$F$98)/(('Cálculos'!$F$199+(($B$225)-$A178)*'Cálculos'!$F$98)+1400)+'Cálculos'!$F$123)*'Cálculos'!$F$266)+('Cálculos'!$F$204*(1+'Cálculos'!$F$205+$A178*('Cálculos'!$F$290=3)*'Cálculos'!$F$103)+'Cálculos'!$F$206)*('Cálculos'!$F$257+'Cálculos'!$F$124*(1+2.78*('Cálculos'!$F$199+(($B$225)-$A178)*'Cálculos'!$F$98)/(('Cálculos'!$F$199+(($B$225)-$A178)*'Cálculos'!$F$98)+1400)+'Cálculos'!$F$122)*'Cálculos'!$F$262+'Cálculos'!$F$125*(1+2.78*('Cálculos'!$F$199+(($B$225)-$A178)*'Cálculos'!$F$98)/(('Cálculos'!$F$199+(($B$225)-$A178)*'Cálculos'!$F$98)+1400)+'Cálculos'!$F$123)*'Cálculos'!$F$267)+('Cálculos'!$F$185*(1+'Cálculos'!$F$190+$A178*('Cálculos'!$F$290=1)*'Cálculos'!$F$97+'Cálculos'!$F$305)+'Cálculos'!$F$195)*('Cálculos'!$F$269+'Cálculos'!$F$124*(1+2.78*('Cálculos'!$F$200+(($B$225)-$A178)*'Cálculos'!$F$98)/(('Cálculos'!$F$200+(($B$225)-$A178)*'Cálculos'!$F$98)+1400)+'Cálculos'!$F$122)*'Cálculos'!$F$274+'Cálculos'!$F$125*(1+2.78*('Cálculos'!$F$200+(($B$225)-$A178)*'Cálculos'!$F$98)/(('Cálculos'!$F$200+(($B$225)-$A178)*'Cálculos'!$F$98)+1400)+'Cálculos'!$F$123)*'Cálculos'!$F$279)+('Cálculos'!$F$200+(($B$225)-$A178)*'Cálculos'!$F$98)*('Cálculos'!$F$270+'Cálculos'!$F$124*(1+2.78*('Cálculos'!$F$200+(($B$225)-$A178)*'Cálculos'!$F$98)/(('Cálculos'!$F$200+(($B$225)-$A178)*'Cálculos'!$F$98)+1400)+'Cálculos'!$F$122)*'Cálculos'!$F$275+'Cálculos'!$F$125*(1+2.78*('Cálculos'!$F$200+(($B$225)-$A178)*'Cálculos'!$F$98)/(('Cálculos'!$F$200+(($B$225)-$A178)*'Cálculos'!$F$98)+1400)+'Cálculos'!$F$123)*'Cálculos'!$F$280)+('Cálculos'!$F$201*(1+'Cálculos'!$F$202+$A178*('Cálculos'!$F$290=2)*'Cálculos'!$F$101)+'Cálculos'!$F$203)*('Cálculos'!$F$271+'Cálculos'!$F$124*(1+2.78*('Cálculos'!$F$200+(($B$225)-$A178)*'Cálculos'!$F$98)/(('Cálculos'!$F$200+(($B$225)-$A178)*'Cálculos'!$F$98)+1400)+'Cálculos'!$F$122)*'Cálculos'!$F$276+'Cálculos'!$F$125*(1+2.78*('Cálculos'!$F$200+(($B$225)-$A178)*'Cálculos'!$F$98)/(('Cálculos'!$F$200+(($B$225)-$A178)*'Cálculos'!$F$98)+1400)+'Cálculos'!$F$123)*'Cálculos'!$F$281)+('Cálculos'!$F$204*(1+'Cálculos'!$F$205+$A178*('Cálculos'!$F$290=3)*'Cálculos'!$F$103)+'Cálculos'!$F$206)*('Cálculos'!$F$272+'Cálculos'!$F$124*(1+2.78*('Cálculos'!$F$200+(($B$225)-$A178)*'Cálculos'!$F$98)/(('Cálculos'!$F$200+(($B$225)-$A178)*'Cálculos'!$F$98)+1400)+'Cálculos'!$F$122)*'Cálculos'!$F$277+'Cálculos'!$F$125*(1+2.78*('Cálculos'!$F$200+(($B$225)-$A178)*'Cálculos'!$F$98)/(('Cálculos'!$F$200+(($B$225)-$A178)*'Cálculos'!$F$98)+1400)+'Cálculos'!$F$123)*'Cálculos'!$F$282)))</f>
        <v>0</v>
      </c>
    </row>
    <row r="179" ht="15.75" customHeight="1">
      <c r="A179" s="2">
        <v>2.0</v>
      </c>
      <c r="B179" s="30">
        <f>SUMPRODUCT(MAX(($A$177:$A$222&lt;=$A179)*($A$177:$A$222&lt;='Cálculos'!$F$294)*(($A179)-$A$177:$A$222&lt;='Cálculos'!$F$295)*(1+(('Cálculos'!$F$207+$A$177:$A$222*'Cálculos'!$F$95)-(('Cálculos'!$F$207+$A$177:$A$222*'Cálculos'!$F$95)&gt;1)*(('Cálculos'!$F$207+$A$177:$A$222*'Cálculos'!$F$95)-1))*('Cálculos'!$F$208+(($A179)-$A$177:$A$222)*'Cálculos'!$F$96))))</f>
        <v>1.627589</v>
      </c>
      <c r="C179" s="2">
        <f>'Cálculos'!$F$303-$A179</f>
        <v>16</v>
      </c>
      <c r="D179" s="31">
        <f>IF($C179&lt;0,0,SUMPRODUCT(MAX(($A$177:$A$222&lt;=$C179)*($A$177:$A$222&lt;='Cálculos'!$F$301)*(($C179)-$A$177:$A$222&lt;='Cálculos'!$F$297)*(('Cálculos'!$F$185*(1+'Cálculos'!$F$186+$A$177:$A$222*('Cálculos'!$F$290=1)*'Cálculos'!$F$97+'Cálculos'!$F$305)+'Cálculos'!$F$191)*('Cálculos'!$F$209+'Cálculos'!$F$124*(1+2.78*('Cálculos'!$F$196+(($C179)-$A$177:$A$222)*'Cálculos'!$F$98)/(('Cálculos'!$F$196+(($C179)-$A$177:$A$222)*'Cálculos'!$F$98)+1400)+'Cálculos'!$F$122)*'Cálculos'!$F$214+'Cálculos'!$F$125*(1+2.78*('Cálculos'!$F$196+(($C179)-$A$177:$A$222)*'Cálculos'!$F$98)/(('Cálculos'!$F$196+(($C179)-$A$177:$A$222)*'Cálculos'!$F$98)+1400)+'Cálculos'!$F$123)*'Cálculos'!$F$219)+('Cálculos'!$F$196+(($C179)-$A$177:$A$222)*'Cálculos'!$F$98)*('Cálculos'!$F$210+'Cálculos'!$F$124*(1+2.78*('Cálculos'!$F$196+(($C179)-$A$177:$A$222)*'Cálculos'!$F$98)/(('Cálculos'!$F$196+(($C179)-$A$177:$A$222)*'Cálculos'!$F$98)+1400)+'Cálculos'!$F$122)*'Cálculos'!$F$215+'Cálculos'!$F$125*(1+2.78*('Cálculos'!$F$196+(($C179)-$A$177:$A$222)*'Cálculos'!$F$98)/(('Cálculos'!$F$196+(($C179)-$A$177:$A$222)*'Cálculos'!$F$98)+1400)+'Cálculos'!$F$123)*'Cálculos'!$F$220)+('Cálculos'!$F$201*(1+'Cálculos'!$F$202+$A$177:$A$222*('Cálculos'!$F$290=2)*'Cálculos'!$F$101)+'Cálculos'!$F$203)*('Cálculos'!$F$211+'Cálculos'!$F$124*(1+2.78*('Cálculos'!$F$196+(($C179)-$A$177:$A$222)*'Cálculos'!$F$98)/(('Cálculos'!$F$196+(($C179)-$A$177:$A$222)*'Cálculos'!$F$98)+1400)+'Cálculos'!$F$122)*'Cálculos'!$F$216+'Cálculos'!$F$125*(1+2.78*('Cálculos'!$F$196+(($C179)-$A$177:$A$222)*'Cálculos'!$F$98)/(('Cálculos'!$F$196+(($C179)-$A$177:$A$222)*'Cálculos'!$F$98)+1400)+'Cálculos'!$F$123)*'Cálculos'!$F$221)+('Cálculos'!$F$204*(1+'Cálculos'!$F$205+$A$177:$A$222*('Cálculos'!$F$290=3)*'Cálculos'!$F$103)+'Cálculos'!$F$206)*('Cálculos'!$F$212+'Cálculos'!$F$124*(1+2.78*('Cálculos'!$F$196+(($C179)-$A$177:$A$222)*'Cálculos'!$F$98)/(('Cálculos'!$F$196+(($C179)-$A$177:$A$222)*'Cálculos'!$F$98)+1400)+'Cálculos'!$F$122)*'Cálculos'!$F$217+'Cálculos'!$F$125*(1+2.78*('Cálculos'!$F$196+(($C179)-$A$177:$A$222)*'Cálculos'!$F$98)/(('Cálculos'!$F$196+(($C179)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179)-$A$177:$A$222)*'Cálculos'!$F$98)/(('Cálculos'!$F$197+(($C179)-$A$177:$A$222)*'Cálculos'!$F$98)+1400)+'Cálculos'!$F$122)*'Cálculos'!$F$229+'Cálculos'!$F$125*(1+2.78*('Cálculos'!$F$197+(($C179)-$A$177:$A$222)*'Cálculos'!$F$98)/(('Cálculos'!$F$197+(($C179)-$A$177:$A$222)*'Cálculos'!$F$98)+1400)+'Cálculos'!$F$123)*'Cálculos'!$F$234)+('Cálculos'!$F$197+(($C179)-$A$177:$A$222)*'Cálculos'!$F$98)*('Cálculos'!$F$225+'Cálculos'!$F$124*(1+2.78*('Cálculos'!$F$197+(($C179)-$A$177:$A$222)*'Cálculos'!$F$98)/(('Cálculos'!$F$197+(($C179)-$A$177:$A$222)*'Cálculos'!$F$98)+1400)+'Cálculos'!$F$122)*'Cálculos'!$F$230+'Cálculos'!$F$125*(1+2.78*('Cálculos'!$F$197+(($C179)-$A$177:$A$222)*'Cálculos'!$F$98)/(('Cálculos'!$F$197+(($C179)-$A$177:$A$222)*'Cálculos'!$F$98)+1400)+'Cálculos'!$F$123)*'Cálculos'!$F$235)+('Cálculos'!$F$201*(1+'Cálculos'!$F$202+$A$177:$A$222*('Cálculos'!$F$290=2)*'Cálculos'!$F$101)+'Cálculos'!$F$203)*('Cálculos'!$F$226+'Cálculos'!$F$124*(1+2.78*('Cálculos'!$F$197+(($C179)-$A$177:$A$222)*'Cálculos'!$F$98)/(('Cálculos'!$F$197+(($C179)-$A$177:$A$222)*'Cálculos'!$F$98)+1400)+'Cálculos'!$F$122)*'Cálculos'!$F$231+'Cálculos'!$F$125*(1+2.78*('Cálculos'!$F$197+(($C179)-$A$177:$A$222)*'Cálculos'!$F$98)/(('Cálculos'!$F$197+(($C179)-$A$177:$A$222)*'Cálculos'!$F$98)+1400)+'Cálculos'!$F$123)*'Cálculos'!$F$236)+('Cálculos'!$F$204*(1+'Cálculos'!$F$205+$A$177:$A$222*('Cálculos'!$F$290=3)*'Cálculos'!$F$103)+'Cálculos'!$F$206)*('Cálculos'!$F$227+'Cálculos'!$F$124*(1+2.78*('Cálculos'!$F$197+(($C179)-$A$177:$A$222)*'Cálculos'!$F$98)/(('Cálculos'!$F$197+(($C179)-$A$177:$A$222)*'Cálculos'!$F$98)+1400)+'Cálculos'!$F$122)*'Cálculos'!$F$232+'Cálculos'!$F$125*(1+2.78*('Cálculos'!$F$197+(($C179)-$A$177:$A$222)*'Cálculos'!$F$98)/(('Cálculos'!$F$197+(($C179)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179)-$A$177:$A$222)*'Cálculos'!$F$98)/(('Cálculos'!$F$198+(($C179)-$A$177:$A$222)*'Cálculos'!$F$98)+1400)+'Cálculos'!$F$122)*'Cálculos'!$F$244+'Cálculos'!$F$125*(1+2.78*('Cálculos'!$F$198+(($C179)-$A$177:$A$222)*'Cálculos'!$F$98)/(('Cálculos'!$F$198+(($C179)-$A$177:$A$222)*'Cálculos'!$F$98)+1400)+'Cálculos'!$F$123)*'Cálculos'!$F$249)+('Cálculos'!$F$198+(($C179)-$A$177:$A$222)*'Cálculos'!$F$98)*('Cálculos'!$F$240+'Cálculos'!$F$124*(1+2.78*('Cálculos'!$F$198+(($C179)-$A$177:$A$222)*'Cálculos'!$F$98)/(('Cálculos'!$F$198+(($C179)-$A$177:$A$222)*'Cálculos'!$F$98)+1400)+'Cálculos'!$F$122)*'Cálculos'!$F$245+'Cálculos'!$F$125*(1+2.78*('Cálculos'!$F$198+(($C179)-$A$177:$A$222)*'Cálculos'!$F$98)/(('Cálculos'!$F$198+(($C179)-$A$177:$A$222)*'Cálculos'!$F$98)+1400)+'Cálculos'!$F$123)*'Cálculos'!$F$250)+('Cálculos'!$F$201*(1+'Cálculos'!$F$202+$A$177:$A$222*('Cálculos'!$F$290=2)*'Cálculos'!$F$101)+'Cálculos'!$F$203)*('Cálculos'!$F$241+'Cálculos'!$F$124*(1+2.78*('Cálculos'!$F$198+(($C179)-$A$177:$A$222)*'Cálculos'!$F$98)/(('Cálculos'!$F$198+(($C179)-$A$177:$A$222)*'Cálculos'!$F$98)+1400)+'Cálculos'!$F$122)*'Cálculos'!$F$246+'Cálculos'!$F$125*(1+2.78*('Cálculos'!$F$198+(($C179)-$A$177:$A$222)*'Cálculos'!$F$98)/(('Cálculos'!$F$198+(($C179)-$A$177:$A$222)*'Cálculos'!$F$98)+1400)+'Cálculos'!$F$123)*'Cálculos'!$F$251)+('Cálculos'!$F$204*(1+'Cálculos'!$F$205+$A$177:$A$222*('Cálculos'!$F$290=3)*'Cálculos'!$F$103)+'Cálculos'!$F$206)*('Cálculos'!$F$242+'Cálculos'!$F$124*(1+2.78*('Cálculos'!$F$198+(($C179)-$A$177:$A$222)*'Cálculos'!$F$98)/(('Cálculos'!$F$198+(($C179)-$A$177:$A$222)*'Cálculos'!$F$98)+1400)+'Cálculos'!$F$122)*'Cálculos'!$F$247+'Cálculos'!$F$125*(1+2.78*('Cálculos'!$F$198+(($C179)-$A$177:$A$222)*'Cálculos'!$F$98)/(('Cálculos'!$F$198+(($C179)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179)-$A$177:$A$222)*'Cálculos'!$F$98)/(('Cálculos'!$F$199+(($C179)-$A$177:$A$222)*'Cálculos'!$F$98)+1400)+'Cálculos'!$F$122)*'Cálculos'!$F$259+'Cálculos'!$F$125*(1+2.78*('Cálculos'!$F$199+(($C179)-$A$177:$A$222)*'Cálculos'!$F$98)/(('Cálculos'!$F$199+(($C179)-$A$177:$A$222)*'Cálculos'!$F$98)+1400)+'Cálculos'!$F$123)*'Cálculos'!$F$264)+('Cálculos'!$F$199+(($C179)-$A$177:$A$222)*'Cálculos'!$F$98)*('Cálculos'!$F$255+'Cálculos'!$F$124*(1+2.78*('Cálculos'!$F$199+(($C179)-$A$177:$A$222)*'Cálculos'!$F$98)/(('Cálculos'!$F$199+(($C179)-$A$177:$A$222)*'Cálculos'!$F$98)+1400)+'Cálculos'!$F$122)*'Cálculos'!$F$260+'Cálculos'!$F$125*(1+2.78*('Cálculos'!$F$199+(($C179)-$A$177:$A$222)*'Cálculos'!$F$98)/(('Cálculos'!$F$199+(($C179)-$A$177:$A$222)*'Cálculos'!$F$98)+1400)+'Cálculos'!$F$123)*'Cálculos'!$F$265)+('Cálculos'!$F$201*(1+'Cálculos'!$F$202+$A$177:$A$222*('Cálculos'!$F$290=2)*'Cálculos'!$F$101)+'Cálculos'!$F$203)*('Cálculos'!$F$256+'Cálculos'!$F$124*(1+2.78*('Cálculos'!$F$199+(($C179)-$A$177:$A$222)*'Cálculos'!$F$98)/(('Cálculos'!$F$199+(($C179)-$A$177:$A$222)*'Cálculos'!$F$98)+1400)+'Cálculos'!$F$122)*'Cálculos'!$F$261+'Cálculos'!$F$125*(1+2.78*('Cálculos'!$F$199+(($C179)-$A$177:$A$222)*'Cálculos'!$F$98)/(('Cálculos'!$F$199+(($C179)-$A$177:$A$222)*'Cálculos'!$F$98)+1400)+'Cálculos'!$F$123)*'Cálculos'!$F$266)+('Cálculos'!$F$204*(1+'Cálculos'!$F$205+$A$177:$A$222*('Cálculos'!$F$290=3)*'Cálculos'!$F$103)+'Cálculos'!$F$206)*('Cálculos'!$F$257+'Cálculos'!$F$124*(1+2.78*('Cálculos'!$F$199+(($C179)-$A$177:$A$222)*'Cálculos'!$F$98)/(('Cálculos'!$F$199+(($C179)-$A$177:$A$222)*'Cálculos'!$F$98)+1400)+'Cálculos'!$F$122)*'Cálculos'!$F$262+'Cálculos'!$F$125*(1+2.78*('Cálculos'!$F$199+(($C179)-$A$177:$A$222)*'Cálculos'!$F$98)/(('Cálculos'!$F$199+(($C179)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179)-$A$177:$A$222)*'Cálculos'!$F$98)/(('Cálculos'!$F$200+(($C179)-$A$177:$A$222)*'Cálculos'!$F$98)+1400)+'Cálculos'!$F$122)*'Cálculos'!$F$274+'Cálculos'!$F$125*(1+2.78*('Cálculos'!$F$200+(($C179)-$A$177:$A$222)*'Cálculos'!$F$98)/(('Cálculos'!$F$200+(($C179)-$A$177:$A$222)*'Cálculos'!$F$98)+1400)+'Cálculos'!$F$123)*'Cálculos'!$F$279)+('Cálculos'!$F$200+(($C179)-$A$177:$A$222)*'Cálculos'!$F$98)*('Cálculos'!$F$270+'Cálculos'!$F$124*(1+2.78*('Cálculos'!$F$200+(($C179)-$A$177:$A$222)*'Cálculos'!$F$98)/(('Cálculos'!$F$200+(($C179)-$A$177:$A$222)*'Cálculos'!$F$98)+1400)+'Cálculos'!$F$122)*'Cálculos'!$F$275+'Cálculos'!$F$125*(1+2.78*('Cálculos'!$F$200+(($C179)-$A$177:$A$222)*'Cálculos'!$F$98)/(('Cálculos'!$F$200+(($C179)-$A$177:$A$222)*'Cálculos'!$F$98)+1400)+'Cálculos'!$F$123)*'Cálculos'!$F$280)+('Cálculos'!$F$201*(1+'Cálculos'!$F$202+$A$177:$A$222*('Cálculos'!$F$290=2)*'Cálculos'!$F$101)+'Cálculos'!$F$203)*('Cálculos'!$F$271+'Cálculos'!$F$124*(1+2.78*('Cálculos'!$F$200+(($C179)-$A$177:$A$222)*'Cálculos'!$F$98)/(('Cálculos'!$F$200+(($C179)-$A$177:$A$222)*'Cálculos'!$F$98)+1400)+'Cálculos'!$F$122)*'Cálculos'!$F$276+'Cálculos'!$F$125*(1+2.78*('Cálculos'!$F$200+(($C179)-$A$177:$A$222)*'Cálculos'!$F$98)/(('Cálculos'!$F$200+(($C179)-$A$177:$A$222)*'Cálculos'!$F$98)+1400)+'Cálculos'!$F$123)*'Cálculos'!$F$281)+('Cálculos'!$F$204*(1+'Cálculos'!$F$205+$A$177:$A$222*('Cálculos'!$F$290=3)*'Cálculos'!$F$103)+'Cálculos'!$F$206)*('Cálculos'!$F$272+'Cálculos'!$F$124*(1+2.78*('Cálculos'!$F$200+(($C179)-$A$177:$A$222)*'Cálculos'!$F$98)/(('Cálculos'!$F$200+(($C179)-$A$177:$A$222)*'Cálculos'!$F$98)+1400)+'Cálculos'!$F$122)*'Cálculos'!$F$277+'Cálculos'!$F$125*(1+2.78*('Cálculos'!$F$200+(($C179)-$A$177:$A$222)*'Cálculos'!$F$98)/(('Cálculos'!$F$200+(($C179)-$A$177:$A$222)*'Cálculos'!$F$98)+1400)+'Cálculos'!$F$123)*'Cálculos'!$F$282)))))</f>
        <v>22927.2156</v>
      </c>
      <c r="E179" s="32">
        <f>IF(OR($C179&lt;0,'Cálculos'!$F$6=""),0,$B179*$D179)</f>
        <v>37316.08392</v>
      </c>
      <c r="F179" s="2"/>
      <c r="G179" s="30">
        <f>($A179&lt;=$B$224)*($A179&lt;='Cálculos'!$F$294)*(($B$224)-$A179&lt;='Cálculos'!$F$295)*(1+MIN(('Cálculos'!$F$207+$A179*'Cálculos'!$F$95),1)*('Cálculos'!$F$208+(($B$224)-$A179)*'Cálculos'!$F$96))</f>
        <v>2.148197</v>
      </c>
      <c r="H179" s="31">
        <f>IF($B$225&lt;0,0,($A179&lt;=$B$225)*($A179&lt;='Cálculos'!$F$301)*(($B$225)-$A179&lt;='Cálculos'!$F$297)*(('Cálculos'!$F$185*(1+'Cálculos'!$F$186+$A179*('Cálculos'!$F$290=1)*'Cálculos'!$F$97+'Cálculos'!$F$305)+'Cálculos'!$F$191)*('Cálculos'!$F$209+'Cálculos'!$F$124*(1+2.78*('Cálculos'!$F$196+(($B$225)-$A179)*'Cálculos'!$F$98)/(('Cálculos'!$F$196+(($B$225)-$A179)*'Cálculos'!$F$98)+1400)+'Cálculos'!$F$122)*'Cálculos'!$F$214+'Cálculos'!$F$125*(1+2.78*('Cálculos'!$F$196+(($B$225)-$A179)*'Cálculos'!$F$98)/(('Cálculos'!$F$196+(($B$225)-$A179)*'Cálculos'!$F$98)+1400)+'Cálculos'!$F$123)*'Cálculos'!$F$219)+('Cálculos'!$F$196+(($B$225)-$A179)*'Cálculos'!$F$98)*('Cálculos'!$F$210+'Cálculos'!$F$124*(1+2.78*('Cálculos'!$F$196+(($B$225)-$A179)*'Cálculos'!$F$98)/(('Cálculos'!$F$196+(($B$225)-$A179)*'Cálculos'!$F$98)+1400)+'Cálculos'!$F$122)*'Cálculos'!$F$215+'Cálculos'!$F$125*(1+2.78*('Cálculos'!$F$196+(($B$225)-$A179)*'Cálculos'!$F$98)/(('Cálculos'!$F$196+(($B$225)-$A179)*'Cálculos'!$F$98)+1400)+'Cálculos'!$F$123)*'Cálculos'!$F$220)+('Cálculos'!$F$201*(1+'Cálculos'!$F$202+$A179*('Cálculos'!$F$290=2)*'Cálculos'!$F$101)+'Cálculos'!$F$203)*('Cálculos'!$F$211+'Cálculos'!$F$124*(1+2.78*('Cálculos'!$F$196+(($B$225)-$A179)*'Cálculos'!$F$98)/(('Cálculos'!$F$196+(($B$225)-$A179)*'Cálculos'!$F$98)+1400)+'Cálculos'!$F$122)*'Cálculos'!$F$216+'Cálculos'!$F$125*(1+2.78*('Cálculos'!$F$196+(($B$225)-$A179)*'Cálculos'!$F$98)/(('Cálculos'!$F$196+(($B$225)-$A179)*'Cálculos'!$F$98)+1400)+'Cálculos'!$F$123)*'Cálculos'!$F$221)+('Cálculos'!$F$204*(1+'Cálculos'!$F$205+$A179*('Cálculos'!$F$290=3)*'Cálculos'!$F$103)+'Cálculos'!$F$206)*('Cálculos'!$F$212+'Cálculos'!$F$124*(1+2.78*('Cálculos'!$F$196+(($B$225)-$A179)*'Cálculos'!$F$98)/(('Cálculos'!$F$196+(($B$225)-$A179)*'Cálculos'!$F$98)+1400)+'Cálculos'!$F$122)*'Cálculos'!$F$217+'Cálculos'!$F$125*(1+2.78*('Cálculos'!$F$196+(($B$225)-$A179)*'Cálculos'!$F$98)/(('Cálculos'!$F$196+(($B$225)-$A179)*'Cálculos'!$F$98)+1400)+'Cálculos'!$F$123)*'Cálculos'!$F$222)+('Cálculos'!$F$185*(1+'Cálculos'!$F$187+$A179*('Cálculos'!$F$290=1)*'Cálculos'!$F$97+'Cálculos'!$F$305)+'Cálculos'!$F$192)*('Cálculos'!$F$224+'Cálculos'!$F$124*(1+2.78*('Cálculos'!$F$197+(($B$225)-$A179)*'Cálculos'!$F$98)/(('Cálculos'!$F$197+(($B$225)-$A179)*'Cálculos'!$F$98)+1400)+'Cálculos'!$F$122)*'Cálculos'!$F$229+'Cálculos'!$F$125*(1+2.78*('Cálculos'!$F$197+(($B$225)-$A179)*'Cálculos'!$F$98)/(('Cálculos'!$F$197+(($B$225)-$A179)*'Cálculos'!$F$98)+1400)+'Cálculos'!$F$123)*'Cálculos'!$F$234)+('Cálculos'!$F$197+(($B$225)-$A179)*'Cálculos'!$F$98)*('Cálculos'!$F$225+'Cálculos'!$F$124*(1+2.78*('Cálculos'!$F$197+(($B$225)-$A179)*'Cálculos'!$F$98)/(('Cálculos'!$F$197+(($B$225)-$A179)*'Cálculos'!$F$98)+1400)+'Cálculos'!$F$122)*'Cálculos'!$F$230+'Cálculos'!$F$125*(1+2.78*('Cálculos'!$F$197+(($B$225)-$A179)*'Cálculos'!$F$98)/(('Cálculos'!$F$197+(($B$225)-$A179)*'Cálculos'!$F$98)+1400)+'Cálculos'!$F$123)*'Cálculos'!$F$235)+('Cálculos'!$F$201*(1+'Cálculos'!$F$202+$A179*('Cálculos'!$F$290=2)*'Cálculos'!$F$101)+'Cálculos'!$F$203)*('Cálculos'!$F$226+'Cálculos'!$F$124*(1+2.78*('Cálculos'!$F$197+(($B$225)-$A179)*'Cálculos'!$F$98)/(('Cálculos'!$F$197+(($B$225)-$A179)*'Cálculos'!$F$98)+1400)+'Cálculos'!$F$122)*'Cálculos'!$F$231+'Cálculos'!$F$125*(1+2.78*('Cálculos'!$F$197+(($B$225)-$A179)*'Cálculos'!$F$98)/(('Cálculos'!$F$197+(($B$225)-$A179)*'Cálculos'!$F$98)+1400)+'Cálculos'!$F$123)*'Cálculos'!$F$236)+('Cálculos'!$F$204*(1+'Cálculos'!$F$205+$A179*('Cálculos'!$F$290=3)*'Cálculos'!$F$103)+'Cálculos'!$F$206)*('Cálculos'!$F$227+'Cálculos'!$F$124*(1+2.78*('Cálculos'!$F$197+(($B$225)-$A179)*'Cálculos'!$F$98)/(('Cálculos'!$F$197+(($B$225)-$A179)*'Cálculos'!$F$98)+1400)+'Cálculos'!$F$122)*'Cálculos'!$F$232+'Cálculos'!$F$125*(1+2.78*('Cálculos'!$F$197+(($B$225)-$A179)*'Cálculos'!$F$98)/(('Cálculos'!$F$197+(($B$225)-$A179)*'Cálculos'!$F$98)+1400)+'Cálculos'!$F$123)*'Cálculos'!$F$237)+('Cálculos'!$F$185*(1+'Cálculos'!$F$188+$A179*('Cálculos'!$F$290=1)*'Cálculos'!$F$97+'Cálculos'!$F$305)+'Cálculos'!$F$193)*('Cálculos'!$F$239+'Cálculos'!$F$124*(1+2.78*('Cálculos'!$F$198+(($B$225)-$A179)*'Cálculos'!$F$98)/(('Cálculos'!$F$198+(($B$225)-$A179)*'Cálculos'!$F$98)+1400)+'Cálculos'!$F$122)*'Cálculos'!$F$244+'Cálculos'!$F$125*(1+2.78*('Cálculos'!$F$198+(($B$225)-$A179)*'Cálculos'!$F$98)/(('Cálculos'!$F$198+(($B$225)-$A179)*'Cálculos'!$F$98)+1400)+'Cálculos'!$F$123)*'Cálculos'!$F$249)+('Cálculos'!$F$198+(($B$225)-$A179)*'Cálculos'!$F$98)*('Cálculos'!$F$240+'Cálculos'!$F$124*(1+2.78*('Cálculos'!$F$198+(($B$225)-$A179)*'Cálculos'!$F$98)/(('Cálculos'!$F$198+(($B$225)-$A179)*'Cálculos'!$F$98)+1400)+'Cálculos'!$F$122)*'Cálculos'!$F$245+'Cálculos'!$F$125*(1+2.78*('Cálculos'!$F$198+(($B$225)-$A179)*'Cálculos'!$F$98)/(('Cálculos'!$F$198+(($B$225)-$A179)*'Cálculos'!$F$98)+1400)+'Cálculos'!$F$123)*'Cálculos'!$F$250)+('Cálculos'!$F$201*(1+'Cálculos'!$F$202+$A179*('Cálculos'!$F$290=2)*'Cálculos'!$F$101)+'Cálculos'!$F$203)*('Cálculos'!$F$241+'Cálculos'!$F$124*(1+2.78*('Cálculos'!$F$198+(($B$225)-$A179)*'Cálculos'!$F$98)/(('Cálculos'!$F$198+(($B$225)-$A179)*'Cálculos'!$F$98)+1400)+'Cálculos'!$F$122)*'Cálculos'!$F$246+'Cálculos'!$F$125*(1+2.78*('Cálculos'!$F$198+(($B$225)-$A179)*'Cálculos'!$F$98)/(('Cálculos'!$F$198+(($B$225)-$A179)*'Cálculos'!$F$98)+1400)+'Cálculos'!$F$123)*'Cálculos'!$F$251)+('Cálculos'!$F$204*(1+'Cálculos'!$F$205+$A179*('Cálculos'!$F$290=3)*'Cálculos'!$F$103)+'Cálculos'!$F$206)*('Cálculos'!$F$242+'Cálculos'!$F$124*(1+2.78*('Cálculos'!$F$198+(($B$225)-$A179)*'Cálculos'!$F$98)/(('Cálculos'!$F$198+(($B$225)-$A179)*'Cálculos'!$F$98)+1400)+'Cálculos'!$F$122)*'Cálculos'!$F$247+'Cálculos'!$F$125*(1+2.78*('Cálculos'!$F$198+(($B$225)-$A179)*'Cálculos'!$F$98)/(('Cálculos'!$F$198+(($B$225)-$A179)*'Cálculos'!$F$98)+1400)+'Cálculos'!$F$123)*'Cálculos'!$F$252)+('Cálculos'!$F$185*(1+'Cálculos'!$F$189+$A179*('Cálculos'!$F$290=1)*'Cálculos'!$F$97+'Cálculos'!$F$305)+'Cálculos'!$F$194)*('Cálculos'!$F$254+'Cálculos'!$F$124*(1+2.78*('Cálculos'!$F$199+(($B$225)-$A179)*'Cálculos'!$F$98)/(('Cálculos'!$F$199+(($B$225)-$A179)*'Cálculos'!$F$98)+1400)+'Cálculos'!$F$122)*'Cálculos'!$F$259+'Cálculos'!$F$125*(1+2.78*('Cálculos'!$F$199+(($B$225)-$A179)*'Cálculos'!$F$98)/(('Cálculos'!$F$199+(($B$225)-$A179)*'Cálculos'!$F$98)+1400)+'Cálculos'!$F$123)*'Cálculos'!$F$264)+('Cálculos'!$F$199+(($B$225)-$A179)*'Cálculos'!$F$98)*('Cálculos'!$F$255+'Cálculos'!$F$124*(1+2.78*('Cálculos'!$F$199+(($B$225)-$A179)*'Cálculos'!$F$98)/(('Cálculos'!$F$199+(($B$225)-$A179)*'Cálculos'!$F$98)+1400)+'Cálculos'!$F$122)*'Cálculos'!$F$260+'Cálculos'!$F$125*(1+2.78*('Cálculos'!$F$199+(($B$225)-$A179)*'Cálculos'!$F$98)/(('Cálculos'!$F$199+(($B$225)-$A179)*'Cálculos'!$F$98)+1400)+'Cálculos'!$F$123)*'Cálculos'!$F$265)+('Cálculos'!$F$201*(1+'Cálculos'!$F$202+$A179*('Cálculos'!$F$290=2)*'Cálculos'!$F$101)+'Cálculos'!$F$203)*('Cálculos'!$F$256+'Cálculos'!$F$124*(1+2.78*('Cálculos'!$F$199+(($B$225)-$A179)*'Cálculos'!$F$98)/(('Cálculos'!$F$199+(($B$225)-$A179)*'Cálculos'!$F$98)+1400)+'Cálculos'!$F$122)*'Cálculos'!$F$261+'Cálculos'!$F$125*(1+2.78*('Cálculos'!$F$199+(($B$225)-$A179)*'Cálculos'!$F$98)/(('Cálculos'!$F$199+(($B$225)-$A179)*'Cálculos'!$F$98)+1400)+'Cálculos'!$F$123)*'Cálculos'!$F$266)+('Cálculos'!$F$204*(1+'Cálculos'!$F$205+$A179*('Cálculos'!$F$290=3)*'Cálculos'!$F$103)+'Cálculos'!$F$206)*('Cálculos'!$F$257+'Cálculos'!$F$124*(1+2.78*('Cálculos'!$F$199+(($B$225)-$A179)*'Cálculos'!$F$98)/(('Cálculos'!$F$199+(($B$225)-$A179)*'Cálculos'!$F$98)+1400)+'Cálculos'!$F$122)*'Cálculos'!$F$262+'Cálculos'!$F$125*(1+2.78*('Cálculos'!$F$199+(($B$225)-$A179)*'Cálculos'!$F$98)/(('Cálculos'!$F$199+(($B$225)-$A179)*'Cálculos'!$F$98)+1400)+'Cálculos'!$F$123)*'Cálculos'!$F$267)+('Cálculos'!$F$185*(1+'Cálculos'!$F$190+$A179*('Cálculos'!$F$290=1)*'Cálculos'!$F$97+'Cálculos'!$F$305)+'Cálculos'!$F$195)*('Cálculos'!$F$269+'Cálculos'!$F$124*(1+2.78*('Cálculos'!$F$200+(($B$225)-$A179)*'Cálculos'!$F$98)/(('Cálculos'!$F$200+(($B$225)-$A179)*'Cálculos'!$F$98)+1400)+'Cálculos'!$F$122)*'Cálculos'!$F$274+'Cálculos'!$F$125*(1+2.78*('Cálculos'!$F$200+(($B$225)-$A179)*'Cálculos'!$F$98)/(('Cálculos'!$F$200+(($B$225)-$A179)*'Cálculos'!$F$98)+1400)+'Cálculos'!$F$123)*'Cálculos'!$F$279)+('Cálculos'!$F$200+(($B$225)-$A179)*'Cálculos'!$F$98)*('Cálculos'!$F$270+'Cálculos'!$F$124*(1+2.78*('Cálculos'!$F$200+(($B$225)-$A179)*'Cálculos'!$F$98)/(('Cálculos'!$F$200+(($B$225)-$A179)*'Cálculos'!$F$98)+1400)+'Cálculos'!$F$122)*'Cálculos'!$F$275+'Cálculos'!$F$125*(1+2.78*('Cálculos'!$F$200+(($B$225)-$A179)*'Cálculos'!$F$98)/(('Cálculos'!$F$200+(($B$225)-$A179)*'Cálculos'!$F$98)+1400)+'Cálculos'!$F$123)*'Cálculos'!$F$280)+('Cálculos'!$F$201*(1+'Cálculos'!$F$202+$A179*('Cálculos'!$F$290=2)*'Cálculos'!$F$101)+'Cálculos'!$F$203)*('Cálculos'!$F$271+'Cálculos'!$F$124*(1+2.78*('Cálculos'!$F$200+(($B$225)-$A179)*'Cálculos'!$F$98)/(('Cálculos'!$F$200+(($B$225)-$A179)*'Cálculos'!$F$98)+1400)+'Cálculos'!$F$122)*'Cálculos'!$F$276+'Cálculos'!$F$125*(1+2.78*('Cálculos'!$F$200+(($B$225)-$A179)*'Cálculos'!$F$98)/(('Cálculos'!$F$200+(($B$225)-$A179)*'Cálculos'!$F$98)+1400)+'Cálculos'!$F$123)*'Cálculos'!$F$281)+('Cálculos'!$F$204*(1+'Cálculos'!$F$205+$A179*('Cálculos'!$F$290=3)*'Cálculos'!$F$103)+'Cálculos'!$F$206)*('Cálculos'!$F$272+'Cálculos'!$F$124*(1+2.78*('Cálculos'!$F$200+(($B$225)-$A179)*'Cálculos'!$F$98)/(('Cálculos'!$F$200+(($B$225)-$A179)*'Cálculos'!$F$98)+1400)+'Cálculos'!$F$122)*'Cálculos'!$F$277+'Cálculos'!$F$125*(1+2.78*('Cálculos'!$F$200+(($B$225)-$A179)*'Cálculos'!$F$98)/(('Cálculos'!$F$200+(($B$225)-$A179)*'Cálculos'!$F$98)+1400)+'Cálculos'!$F$123)*'Cálculos'!$F$282)))</f>
        <v>0</v>
      </c>
    </row>
    <row r="180" ht="15.75" customHeight="1">
      <c r="A180" s="2">
        <v>3.0</v>
      </c>
      <c r="B180" s="30">
        <f>SUMPRODUCT(MAX(($A$177:$A$222&lt;=$A180)*($A$177:$A$222&lt;='Cálculos'!$F$294)*(($A180)-$A$177:$A$222&lt;='Cálculos'!$F$295)*(1+(('Cálculos'!$F$207+$A$177:$A$222*'Cálculos'!$F$95)-(('Cálculos'!$F$207+$A$177:$A$222*'Cálculos'!$F$95)&gt;1)*(('Cálculos'!$F$207+$A$177:$A$222*'Cálculos'!$F$95)-1))*('Cálculos'!$F$208+(($A180)-$A$177:$A$222)*'Cálculos'!$F$96))))</f>
        <v>1.669598</v>
      </c>
      <c r="C180" s="2">
        <f>'Cálculos'!$F$303-$A180</f>
        <v>15</v>
      </c>
      <c r="D180" s="31">
        <f>IF($C180&lt;0,0,SUMPRODUCT(MAX(($A$177:$A$222&lt;=$C180)*($A$177:$A$222&lt;='Cálculos'!$F$301)*(($C180)-$A$177:$A$222&lt;='Cálculos'!$F$297)*(('Cálculos'!$F$185*(1+'Cálculos'!$F$186+$A$177:$A$222*('Cálculos'!$F$290=1)*'Cálculos'!$F$97+'Cálculos'!$F$305)+'Cálculos'!$F$191)*('Cálculos'!$F$209+'Cálculos'!$F$124*(1+2.78*('Cálculos'!$F$196+(($C180)-$A$177:$A$222)*'Cálculos'!$F$98)/(('Cálculos'!$F$196+(($C180)-$A$177:$A$222)*'Cálculos'!$F$98)+1400)+'Cálculos'!$F$122)*'Cálculos'!$F$214+'Cálculos'!$F$125*(1+2.78*('Cálculos'!$F$196+(($C180)-$A$177:$A$222)*'Cálculos'!$F$98)/(('Cálculos'!$F$196+(($C180)-$A$177:$A$222)*'Cálculos'!$F$98)+1400)+'Cálculos'!$F$123)*'Cálculos'!$F$219)+('Cálculos'!$F$196+(($C180)-$A$177:$A$222)*'Cálculos'!$F$98)*('Cálculos'!$F$210+'Cálculos'!$F$124*(1+2.78*('Cálculos'!$F$196+(($C180)-$A$177:$A$222)*'Cálculos'!$F$98)/(('Cálculos'!$F$196+(($C180)-$A$177:$A$222)*'Cálculos'!$F$98)+1400)+'Cálculos'!$F$122)*'Cálculos'!$F$215+'Cálculos'!$F$125*(1+2.78*('Cálculos'!$F$196+(($C180)-$A$177:$A$222)*'Cálculos'!$F$98)/(('Cálculos'!$F$196+(($C180)-$A$177:$A$222)*'Cálculos'!$F$98)+1400)+'Cálculos'!$F$123)*'Cálculos'!$F$220)+('Cálculos'!$F$201*(1+'Cálculos'!$F$202+$A$177:$A$222*('Cálculos'!$F$290=2)*'Cálculos'!$F$101)+'Cálculos'!$F$203)*('Cálculos'!$F$211+'Cálculos'!$F$124*(1+2.78*('Cálculos'!$F$196+(($C180)-$A$177:$A$222)*'Cálculos'!$F$98)/(('Cálculos'!$F$196+(($C180)-$A$177:$A$222)*'Cálculos'!$F$98)+1400)+'Cálculos'!$F$122)*'Cálculos'!$F$216+'Cálculos'!$F$125*(1+2.78*('Cálculos'!$F$196+(($C180)-$A$177:$A$222)*'Cálculos'!$F$98)/(('Cálculos'!$F$196+(($C180)-$A$177:$A$222)*'Cálculos'!$F$98)+1400)+'Cálculos'!$F$123)*'Cálculos'!$F$221)+('Cálculos'!$F$204*(1+'Cálculos'!$F$205+$A$177:$A$222*('Cálculos'!$F$290=3)*'Cálculos'!$F$103)+'Cálculos'!$F$206)*('Cálculos'!$F$212+'Cálculos'!$F$124*(1+2.78*('Cálculos'!$F$196+(($C180)-$A$177:$A$222)*'Cálculos'!$F$98)/(('Cálculos'!$F$196+(($C180)-$A$177:$A$222)*'Cálculos'!$F$98)+1400)+'Cálculos'!$F$122)*'Cálculos'!$F$217+'Cálculos'!$F$125*(1+2.78*('Cálculos'!$F$196+(($C180)-$A$177:$A$222)*'Cálculos'!$F$98)/(('Cálculos'!$F$196+(($C180)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180)-$A$177:$A$222)*'Cálculos'!$F$98)/(('Cálculos'!$F$197+(($C180)-$A$177:$A$222)*'Cálculos'!$F$98)+1400)+'Cálculos'!$F$122)*'Cálculos'!$F$229+'Cálculos'!$F$125*(1+2.78*('Cálculos'!$F$197+(($C180)-$A$177:$A$222)*'Cálculos'!$F$98)/(('Cálculos'!$F$197+(($C180)-$A$177:$A$222)*'Cálculos'!$F$98)+1400)+'Cálculos'!$F$123)*'Cálculos'!$F$234)+('Cálculos'!$F$197+(($C180)-$A$177:$A$222)*'Cálculos'!$F$98)*('Cálculos'!$F$225+'Cálculos'!$F$124*(1+2.78*('Cálculos'!$F$197+(($C180)-$A$177:$A$222)*'Cálculos'!$F$98)/(('Cálculos'!$F$197+(($C180)-$A$177:$A$222)*'Cálculos'!$F$98)+1400)+'Cálculos'!$F$122)*'Cálculos'!$F$230+'Cálculos'!$F$125*(1+2.78*('Cálculos'!$F$197+(($C180)-$A$177:$A$222)*'Cálculos'!$F$98)/(('Cálculos'!$F$197+(($C180)-$A$177:$A$222)*'Cálculos'!$F$98)+1400)+'Cálculos'!$F$123)*'Cálculos'!$F$235)+('Cálculos'!$F$201*(1+'Cálculos'!$F$202+$A$177:$A$222*('Cálculos'!$F$290=2)*'Cálculos'!$F$101)+'Cálculos'!$F$203)*('Cálculos'!$F$226+'Cálculos'!$F$124*(1+2.78*('Cálculos'!$F$197+(($C180)-$A$177:$A$222)*'Cálculos'!$F$98)/(('Cálculos'!$F$197+(($C180)-$A$177:$A$222)*'Cálculos'!$F$98)+1400)+'Cálculos'!$F$122)*'Cálculos'!$F$231+'Cálculos'!$F$125*(1+2.78*('Cálculos'!$F$197+(($C180)-$A$177:$A$222)*'Cálculos'!$F$98)/(('Cálculos'!$F$197+(($C180)-$A$177:$A$222)*'Cálculos'!$F$98)+1400)+'Cálculos'!$F$123)*'Cálculos'!$F$236)+('Cálculos'!$F$204*(1+'Cálculos'!$F$205+$A$177:$A$222*('Cálculos'!$F$290=3)*'Cálculos'!$F$103)+'Cálculos'!$F$206)*('Cálculos'!$F$227+'Cálculos'!$F$124*(1+2.78*('Cálculos'!$F$197+(($C180)-$A$177:$A$222)*'Cálculos'!$F$98)/(('Cálculos'!$F$197+(($C180)-$A$177:$A$222)*'Cálculos'!$F$98)+1400)+'Cálculos'!$F$122)*'Cálculos'!$F$232+'Cálculos'!$F$125*(1+2.78*('Cálculos'!$F$197+(($C180)-$A$177:$A$222)*'Cálculos'!$F$98)/(('Cálculos'!$F$197+(($C180)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180)-$A$177:$A$222)*'Cálculos'!$F$98)/(('Cálculos'!$F$198+(($C180)-$A$177:$A$222)*'Cálculos'!$F$98)+1400)+'Cálculos'!$F$122)*'Cálculos'!$F$244+'Cálculos'!$F$125*(1+2.78*('Cálculos'!$F$198+(($C180)-$A$177:$A$222)*'Cálculos'!$F$98)/(('Cálculos'!$F$198+(($C180)-$A$177:$A$222)*'Cálculos'!$F$98)+1400)+'Cálculos'!$F$123)*'Cálculos'!$F$249)+('Cálculos'!$F$198+(($C180)-$A$177:$A$222)*'Cálculos'!$F$98)*('Cálculos'!$F$240+'Cálculos'!$F$124*(1+2.78*('Cálculos'!$F$198+(($C180)-$A$177:$A$222)*'Cálculos'!$F$98)/(('Cálculos'!$F$198+(($C180)-$A$177:$A$222)*'Cálculos'!$F$98)+1400)+'Cálculos'!$F$122)*'Cálculos'!$F$245+'Cálculos'!$F$125*(1+2.78*('Cálculos'!$F$198+(($C180)-$A$177:$A$222)*'Cálculos'!$F$98)/(('Cálculos'!$F$198+(($C180)-$A$177:$A$222)*'Cálculos'!$F$98)+1400)+'Cálculos'!$F$123)*'Cálculos'!$F$250)+('Cálculos'!$F$201*(1+'Cálculos'!$F$202+$A$177:$A$222*('Cálculos'!$F$290=2)*'Cálculos'!$F$101)+'Cálculos'!$F$203)*('Cálculos'!$F$241+'Cálculos'!$F$124*(1+2.78*('Cálculos'!$F$198+(($C180)-$A$177:$A$222)*'Cálculos'!$F$98)/(('Cálculos'!$F$198+(($C180)-$A$177:$A$222)*'Cálculos'!$F$98)+1400)+'Cálculos'!$F$122)*'Cálculos'!$F$246+'Cálculos'!$F$125*(1+2.78*('Cálculos'!$F$198+(($C180)-$A$177:$A$222)*'Cálculos'!$F$98)/(('Cálculos'!$F$198+(($C180)-$A$177:$A$222)*'Cálculos'!$F$98)+1400)+'Cálculos'!$F$123)*'Cálculos'!$F$251)+('Cálculos'!$F$204*(1+'Cálculos'!$F$205+$A$177:$A$222*('Cálculos'!$F$290=3)*'Cálculos'!$F$103)+'Cálculos'!$F$206)*('Cálculos'!$F$242+'Cálculos'!$F$124*(1+2.78*('Cálculos'!$F$198+(($C180)-$A$177:$A$222)*'Cálculos'!$F$98)/(('Cálculos'!$F$198+(($C180)-$A$177:$A$222)*'Cálculos'!$F$98)+1400)+'Cálculos'!$F$122)*'Cálculos'!$F$247+'Cálculos'!$F$125*(1+2.78*('Cálculos'!$F$198+(($C180)-$A$177:$A$222)*'Cálculos'!$F$98)/(('Cálculos'!$F$198+(($C180)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180)-$A$177:$A$222)*'Cálculos'!$F$98)/(('Cálculos'!$F$199+(($C180)-$A$177:$A$222)*'Cálculos'!$F$98)+1400)+'Cálculos'!$F$122)*'Cálculos'!$F$259+'Cálculos'!$F$125*(1+2.78*('Cálculos'!$F$199+(($C180)-$A$177:$A$222)*'Cálculos'!$F$98)/(('Cálculos'!$F$199+(($C180)-$A$177:$A$222)*'Cálculos'!$F$98)+1400)+'Cálculos'!$F$123)*'Cálculos'!$F$264)+('Cálculos'!$F$199+(($C180)-$A$177:$A$222)*'Cálculos'!$F$98)*('Cálculos'!$F$255+'Cálculos'!$F$124*(1+2.78*('Cálculos'!$F$199+(($C180)-$A$177:$A$222)*'Cálculos'!$F$98)/(('Cálculos'!$F$199+(($C180)-$A$177:$A$222)*'Cálculos'!$F$98)+1400)+'Cálculos'!$F$122)*'Cálculos'!$F$260+'Cálculos'!$F$125*(1+2.78*('Cálculos'!$F$199+(($C180)-$A$177:$A$222)*'Cálculos'!$F$98)/(('Cálculos'!$F$199+(($C180)-$A$177:$A$222)*'Cálculos'!$F$98)+1400)+'Cálculos'!$F$123)*'Cálculos'!$F$265)+('Cálculos'!$F$201*(1+'Cálculos'!$F$202+$A$177:$A$222*('Cálculos'!$F$290=2)*'Cálculos'!$F$101)+'Cálculos'!$F$203)*('Cálculos'!$F$256+'Cálculos'!$F$124*(1+2.78*('Cálculos'!$F$199+(($C180)-$A$177:$A$222)*'Cálculos'!$F$98)/(('Cálculos'!$F$199+(($C180)-$A$177:$A$222)*'Cálculos'!$F$98)+1400)+'Cálculos'!$F$122)*'Cálculos'!$F$261+'Cálculos'!$F$125*(1+2.78*('Cálculos'!$F$199+(($C180)-$A$177:$A$222)*'Cálculos'!$F$98)/(('Cálculos'!$F$199+(($C180)-$A$177:$A$222)*'Cálculos'!$F$98)+1400)+'Cálculos'!$F$123)*'Cálculos'!$F$266)+('Cálculos'!$F$204*(1+'Cálculos'!$F$205+$A$177:$A$222*('Cálculos'!$F$290=3)*'Cálculos'!$F$103)+'Cálculos'!$F$206)*('Cálculos'!$F$257+'Cálculos'!$F$124*(1+2.78*('Cálculos'!$F$199+(($C180)-$A$177:$A$222)*'Cálculos'!$F$98)/(('Cálculos'!$F$199+(($C180)-$A$177:$A$222)*'Cálculos'!$F$98)+1400)+'Cálculos'!$F$122)*'Cálculos'!$F$262+'Cálculos'!$F$125*(1+2.78*('Cálculos'!$F$199+(($C180)-$A$177:$A$222)*'Cálculos'!$F$98)/(('Cálculos'!$F$199+(($C180)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180)-$A$177:$A$222)*'Cálculos'!$F$98)/(('Cálculos'!$F$200+(($C180)-$A$177:$A$222)*'Cálculos'!$F$98)+1400)+'Cálculos'!$F$122)*'Cálculos'!$F$274+'Cálculos'!$F$125*(1+2.78*('Cálculos'!$F$200+(($C180)-$A$177:$A$222)*'Cálculos'!$F$98)/(('Cálculos'!$F$200+(($C180)-$A$177:$A$222)*'Cálculos'!$F$98)+1400)+'Cálculos'!$F$123)*'Cálculos'!$F$279)+('Cálculos'!$F$200+(($C180)-$A$177:$A$222)*'Cálculos'!$F$98)*('Cálculos'!$F$270+'Cálculos'!$F$124*(1+2.78*('Cálculos'!$F$200+(($C180)-$A$177:$A$222)*'Cálculos'!$F$98)/(('Cálculos'!$F$200+(($C180)-$A$177:$A$222)*'Cálculos'!$F$98)+1400)+'Cálculos'!$F$122)*'Cálculos'!$F$275+'Cálculos'!$F$125*(1+2.78*('Cálculos'!$F$200+(($C180)-$A$177:$A$222)*'Cálculos'!$F$98)/(('Cálculos'!$F$200+(($C180)-$A$177:$A$222)*'Cálculos'!$F$98)+1400)+'Cálculos'!$F$123)*'Cálculos'!$F$280)+('Cálculos'!$F$201*(1+'Cálculos'!$F$202+$A$177:$A$222*('Cálculos'!$F$290=2)*'Cálculos'!$F$101)+'Cálculos'!$F$203)*('Cálculos'!$F$271+'Cálculos'!$F$124*(1+2.78*('Cálculos'!$F$200+(($C180)-$A$177:$A$222)*'Cálculos'!$F$98)/(('Cálculos'!$F$200+(($C180)-$A$177:$A$222)*'Cálculos'!$F$98)+1400)+'Cálculos'!$F$122)*'Cálculos'!$F$276+'Cálculos'!$F$125*(1+2.78*('Cálculos'!$F$200+(($C180)-$A$177:$A$222)*'Cálculos'!$F$98)/(('Cálculos'!$F$200+(($C180)-$A$177:$A$222)*'Cálculos'!$F$98)+1400)+'Cálculos'!$F$123)*'Cálculos'!$F$281)+('Cálculos'!$F$204*(1+'Cálculos'!$F$205+$A$177:$A$222*('Cálculos'!$F$290=3)*'Cálculos'!$F$103)+'Cálculos'!$F$206)*('Cálculos'!$F$272+'Cálculos'!$F$124*(1+2.78*('Cálculos'!$F$200+(($C180)-$A$177:$A$222)*'Cálculos'!$F$98)/(('Cálculos'!$F$200+(($C180)-$A$177:$A$222)*'Cálculos'!$F$98)+1400)+'Cálculos'!$F$122)*'Cálculos'!$F$277+'Cálculos'!$F$125*(1+2.78*('Cálculos'!$F$200+(($C180)-$A$177:$A$222)*'Cálculos'!$F$98)/(('Cálculos'!$F$200+(($C180)-$A$177:$A$222)*'Cálculos'!$F$98)+1400)+'Cálculos'!$F$123)*'Cálculos'!$F$282)))))</f>
        <v>22703.35801</v>
      </c>
      <c r="E180" s="32">
        <f>IF(OR($C180&lt;0,'Cálculos'!$F$6=""),0,$B180*$D180)</f>
        <v>37905.48113</v>
      </c>
      <c r="F180" s="2"/>
      <c r="G180" s="30">
        <f>($A180&lt;=$B$224)*($A180&lt;='Cálculos'!$F$294)*(($B$224)-$A180&lt;='Cálculos'!$F$295)*(1+MIN(('Cálculos'!$F$207+$A180*'Cálculos'!$F$95),1)*('Cálculos'!$F$208+(($B$224)-$A180)*'Cálculos'!$F$96))</f>
        <v>2.190338</v>
      </c>
      <c r="H180" s="31">
        <f>IF($B$225&lt;0,0,($A180&lt;=$B$225)*($A180&lt;='Cálculos'!$F$301)*(($B$225)-$A180&lt;='Cálculos'!$F$297)*(('Cálculos'!$F$185*(1+'Cálculos'!$F$186+$A180*('Cálculos'!$F$290=1)*'Cálculos'!$F$97+'Cálculos'!$F$305)+'Cálculos'!$F$191)*('Cálculos'!$F$209+'Cálculos'!$F$124*(1+2.78*('Cálculos'!$F$196+(($B$225)-$A180)*'Cálculos'!$F$98)/(('Cálculos'!$F$196+(($B$225)-$A180)*'Cálculos'!$F$98)+1400)+'Cálculos'!$F$122)*'Cálculos'!$F$214+'Cálculos'!$F$125*(1+2.78*('Cálculos'!$F$196+(($B$225)-$A180)*'Cálculos'!$F$98)/(('Cálculos'!$F$196+(($B$225)-$A180)*'Cálculos'!$F$98)+1400)+'Cálculos'!$F$123)*'Cálculos'!$F$219)+('Cálculos'!$F$196+(($B$225)-$A180)*'Cálculos'!$F$98)*('Cálculos'!$F$210+'Cálculos'!$F$124*(1+2.78*('Cálculos'!$F$196+(($B$225)-$A180)*'Cálculos'!$F$98)/(('Cálculos'!$F$196+(($B$225)-$A180)*'Cálculos'!$F$98)+1400)+'Cálculos'!$F$122)*'Cálculos'!$F$215+'Cálculos'!$F$125*(1+2.78*('Cálculos'!$F$196+(($B$225)-$A180)*'Cálculos'!$F$98)/(('Cálculos'!$F$196+(($B$225)-$A180)*'Cálculos'!$F$98)+1400)+'Cálculos'!$F$123)*'Cálculos'!$F$220)+('Cálculos'!$F$201*(1+'Cálculos'!$F$202+$A180*('Cálculos'!$F$290=2)*'Cálculos'!$F$101)+'Cálculos'!$F$203)*('Cálculos'!$F$211+'Cálculos'!$F$124*(1+2.78*('Cálculos'!$F$196+(($B$225)-$A180)*'Cálculos'!$F$98)/(('Cálculos'!$F$196+(($B$225)-$A180)*'Cálculos'!$F$98)+1400)+'Cálculos'!$F$122)*'Cálculos'!$F$216+'Cálculos'!$F$125*(1+2.78*('Cálculos'!$F$196+(($B$225)-$A180)*'Cálculos'!$F$98)/(('Cálculos'!$F$196+(($B$225)-$A180)*'Cálculos'!$F$98)+1400)+'Cálculos'!$F$123)*'Cálculos'!$F$221)+('Cálculos'!$F$204*(1+'Cálculos'!$F$205+$A180*('Cálculos'!$F$290=3)*'Cálculos'!$F$103)+'Cálculos'!$F$206)*('Cálculos'!$F$212+'Cálculos'!$F$124*(1+2.78*('Cálculos'!$F$196+(($B$225)-$A180)*'Cálculos'!$F$98)/(('Cálculos'!$F$196+(($B$225)-$A180)*'Cálculos'!$F$98)+1400)+'Cálculos'!$F$122)*'Cálculos'!$F$217+'Cálculos'!$F$125*(1+2.78*('Cálculos'!$F$196+(($B$225)-$A180)*'Cálculos'!$F$98)/(('Cálculos'!$F$196+(($B$225)-$A180)*'Cálculos'!$F$98)+1400)+'Cálculos'!$F$123)*'Cálculos'!$F$222)+('Cálculos'!$F$185*(1+'Cálculos'!$F$187+$A180*('Cálculos'!$F$290=1)*'Cálculos'!$F$97+'Cálculos'!$F$305)+'Cálculos'!$F$192)*('Cálculos'!$F$224+'Cálculos'!$F$124*(1+2.78*('Cálculos'!$F$197+(($B$225)-$A180)*'Cálculos'!$F$98)/(('Cálculos'!$F$197+(($B$225)-$A180)*'Cálculos'!$F$98)+1400)+'Cálculos'!$F$122)*'Cálculos'!$F$229+'Cálculos'!$F$125*(1+2.78*('Cálculos'!$F$197+(($B$225)-$A180)*'Cálculos'!$F$98)/(('Cálculos'!$F$197+(($B$225)-$A180)*'Cálculos'!$F$98)+1400)+'Cálculos'!$F$123)*'Cálculos'!$F$234)+('Cálculos'!$F$197+(($B$225)-$A180)*'Cálculos'!$F$98)*('Cálculos'!$F$225+'Cálculos'!$F$124*(1+2.78*('Cálculos'!$F$197+(($B$225)-$A180)*'Cálculos'!$F$98)/(('Cálculos'!$F$197+(($B$225)-$A180)*'Cálculos'!$F$98)+1400)+'Cálculos'!$F$122)*'Cálculos'!$F$230+'Cálculos'!$F$125*(1+2.78*('Cálculos'!$F$197+(($B$225)-$A180)*'Cálculos'!$F$98)/(('Cálculos'!$F$197+(($B$225)-$A180)*'Cálculos'!$F$98)+1400)+'Cálculos'!$F$123)*'Cálculos'!$F$235)+('Cálculos'!$F$201*(1+'Cálculos'!$F$202+$A180*('Cálculos'!$F$290=2)*'Cálculos'!$F$101)+'Cálculos'!$F$203)*('Cálculos'!$F$226+'Cálculos'!$F$124*(1+2.78*('Cálculos'!$F$197+(($B$225)-$A180)*'Cálculos'!$F$98)/(('Cálculos'!$F$197+(($B$225)-$A180)*'Cálculos'!$F$98)+1400)+'Cálculos'!$F$122)*'Cálculos'!$F$231+'Cálculos'!$F$125*(1+2.78*('Cálculos'!$F$197+(($B$225)-$A180)*'Cálculos'!$F$98)/(('Cálculos'!$F$197+(($B$225)-$A180)*'Cálculos'!$F$98)+1400)+'Cálculos'!$F$123)*'Cálculos'!$F$236)+('Cálculos'!$F$204*(1+'Cálculos'!$F$205+$A180*('Cálculos'!$F$290=3)*'Cálculos'!$F$103)+'Cálculos'!$F$206)*('Cálculos'!$F$227+'Cálculos'!$F$124*(1+2.78*('Cálculos'!$F$197+(($B$225)-$A180)*'Cálculos'!$F$98)/(('Cálculos'!$F$197+(($B$225)-$A180)*'Cálculos'!$F$98)+1400)+'Cálculos'!$F$122)*'Cálculos'!$F$232+'Cálculos'!$F$125*(1+2.78*('Cálculos'!$F$197+(($B$225)-$A180)*'Cálculos'!$F$98)/(('Cálculos'!$F$197+(($B$225)-$A180)*'Cálculos'!$F$98)+1400)+'Cálculos'!$F$123)*'Cálculos'!$F$237)+('Cálculos'!$F$185*(1+'Cálculos'!$F$188+$A180*('Cálculos'!$F$290=1)*'Cálculos'!$F$97+'Cálculos'!$F$305)+'Cálculos'!$F$193)*('Cálculos'!$F$239+'Cálculos'!$F$124*(1+2.78*('Cálculos'!$F$198+(($B$225)-$A180)*'Cálculos'!$F$98)/(('Cálculos'!$F$198+(($B$225)-$A180)*'Cálculos'!$F$98)+1400)+'Cálculos'!$F$122)*'Cálculos'!$F$244+'Cálculos'!$F$125*(1+2.78*('Cálculos'!$F$198+(($B$225)-$A180)*'Cálculos'!$F$98)/(('Cálculos'!$F$198+(($B$225)-$A180)*'Cálculos'!$F$98)+1400)+'Cálculos'!$F$123)*'Cálculos'!$F$249)+('Cálculos'!$F$198+(($B$225)-$A180)*'Cálculos'!$F$98)*('Cálculos'!$F$240+'Cálculos'!$F$124*(1+2.78*('Cálculos'!$F$198+(($B$225)-$A180)*'Cálculos'!$F$98)/(('Cálculos'!$F$198+(($B$225)-$A180)*'Cálculos'!$F$98)+1400)+'Cálculos'!$F$122)*'Cálculos'!$F$245+'Cálculos'!$F$125*(1+2.78*('Cálculos'!$F$198+(($B$225)-$A180)*'Cálculos'!$F$98)/(('Cálculos'!$F$198+(($B$225)-$A180)*'Cálculos'!$F$98)+1400)+'Cálculos'!$F$123)*'Cálculos'!$F$250)+('Cálculos'!$F$201*(1+'Cálculos'!$F$202+$A180*('Cálculos'!$F$290=2)*'Cálculos'!$F$101)+'Cálculos'!$F$203)*('Cálculos'!$F$241+'Cálculos'!$F$124*(1+2.78*('Cálculos'!$F$198+(($B$225)-$A180)*'Cálculos'!$F$98)/(('Cálculos'!$F$198+(($B$225)-$A180)*'Cálculos'!$F$98)+1400)+'Cálculos'!$F$122)*'Cálculos'!$F$246+'Cálculos'!$F$125*(1+2.78*('Cálculos'!$F$198+(($B$225)-$A180)*'Cálculos'!$F$98)/(('Cálculos'!$F$198+(($B$225)-$A180)*'Cálculos'!$F$98)+1400)+'Cálculos'!$F$123)*'Cálculos'!$F$251)+('Cálculos'!$F$204*(1+'Cálculos'!$F$205+$A180*('Cálculos'!$F$290=3)*'Cálculos'!$F$103)+'Cálculos'!$F$206)*('Cálculos'!$F$242+'Cálculos'!$F$124*(1+2.78*('Cálculos'!$F$198+(($B$225)-$A180)*'Cálculos'!$F$98)/(('Cálculos'!$F$198+(($B$225)-$A180)*'Cálculos'!$F$98)+1400)+'Cálculos'!$F$122)*'Cálculos'!$F$247+'Cálculos'!$F$125*(1+2.78*('Cálculos'!$F$198+(($B$225)-$A180)*'Cálculos'!$F$98)/(('Cálculos'!$F$198+(($B$225)-$A180)*'Cálculos'!$F$98)+1400)+'Cálculos'!$F$123)*'Cálculos'!$F$252)+('Cálculos'!$F$185*(1+'Cálculos'!$F$189+$A180*('Cálculos'!$F$290=1)*'Cálculos'!$F$97+'Cálculos'!$F$305)+'Cálculos'!$F$194)*('Cálculos'!$F$254+'Cálculos'!$F$124*(1+2.78*('Cálculos'!$F$199+(($B$225)-$A180)*'Cálculos'!$F$98)/(('Cálculos'!$F$199+(($B$225)-$A180)*'Cálculos'!$F$98)+1400)+'Cálculos'!$F$122)*'Cálculos'!$F$259+'Cálculos'!$F$125*(1+2.78*('Cálculos'!$F$199+(($B$225)-$A180)*'Cálculos'!$F$98)/(('Cálculos'!$F$199+(($B$225)-$A180)*'Cálculos'!$F$98)+1400)+'Cálculos'!$F$123)*'Cálculos'!$F$264)+('Cálculos'!$F$199+(($B$225)-$A180)*'Cálculos'!$F$98)*('Cálculos'!$F$255+'Cálculos'!$F$124*(1+2.78*('Cálculos'!$F$199+(($B$225)-$A180)*'Cálculos'!$F$98)/(('Cálculos'!$F$199+(($B$225)-$A180)*'Cálculos'!$F$98)+1400)+'Cálculos'!$F$122)*'Cálculos'!$F$260+'Cálculos'!$F$125*(1+2.78*('Cálculos'!$F$199+(($B$225)-$A180)*'Cálculos'!$F$98)/(('Cálculos'!$F$199+(($B$225)-$A180)*'Cálculos'!$F$98)+1400)+'Cálculos'!$F$123)*'Cálculos'!$F$265)+('Cálculos'!$F$201*(1+'Cálculos'!$F$202+$A180*('Cálculos'!$F$290=2)*'Cálculos'!$F$101)+'Cálculos'!$F$203)*('Cálculos'!$F$256+'Cálculos'!$F$124*(1+2.78*('Cálculos'!$F$199+(($B$225)-$A180)*'Cálculos'!$F$98)/(('Cálculos'!$F$199+(($B$225)-$A180)*'Cálculos'!$F$98)+1400)+'Cálculos'!$F$122)*'Cálculos'!$F$261+'Cálculos'!$F$125*(1+2.78*('Cálculos'!$F$199+(($B$225)-$A180)*'Cálculos'!$F$98)/(('Cálculos'!$F$199+(($B$225)-$A180)*'Cálculos'!$F$98)+1400)+'Cálculos'!$F$123)*'Cálculos'!$F$266)+('Cálculos'!$F$204*(1+'Cálculos'!$F$205+$A180*('Cálculos'!$F$290=3)*'Cálculos'!$F$103)+'Cálculos'!$F$206)*('Cálculos'!$F$257+'Cálculos'!$F$124*(1+2.78*('Cálculos'!$F$199+(($B$225)-$A180)*'Cálculos'!$F$98)/(('Cálculos'!$F$199+(($B$225)-$A180)*'Cálculos'!$F$98)+1400)+'Cálculos'!$F$122)*'Cálculos'!$F$262+'Cálculos'!$F$125*(1+2.78*('Cálculos'!$F$199+(($B$225)-$A180)*'Cálculos'!$F$98)/(('Cálculos'!$F$199+(($B$225)-$A180)*'Cálculos'!$F$98)+1400)+'Cálculos'!$F$123)*'Cálculos'!$F$267)+('Cálculos'!$F$185*(1+'Cálculos'!$F$190+$A180*('Cálculos'!$F$290=1)*'Cálculos'!$F$97+'Cálculos'!$F$305)+'Cálculos'!$F$195)*('Cálculos'!$F$269+'Cálculos'!$F$124*(1+2.78*('Cálculos'!$F$200+(($B$225)-$A180)*'Cálculos'!$F$98)/(('Cálculos'!$F$200+(($B$225)-$A180)*'Cálculos'!$F$98)+1400)+'Cálculos'!$F$122)*'Cálculos'!$F$274+'Cálculos'!$F$125*(1+2.78*('Cálculos'!$F$200+(($B$225)-$A180)*'Cálculos'!$F$98)/(('Cálculos'!$F$200+(($B$225)-$A180)*'Cálculos'!$F$98)+1400)+'Cálculos'!$F$123)*'Cálculos'!$F$279)+('Cálculos'!$F$200+(($B$225)-$A180)*'Cálculos'!$F$98)*('Cálculos'!$F$270+'Cálculos'!$F$124*(1+2.78*('Cálculos'!$F$200+(($B$225)-$A180)*'Cálculos'!$F$98)/(('Cálculos'!$F$200+(($B$225)-$A180)*'Cálculos'!$F$98)+1400)+'Cálculos'!$F$122)*'Cálculos'!$F$275+'Cálculos'!$F$125*(1+2.78*('Cálculos'!$F$200+(($B$225)-$A180)*'Cálculos'!$F$98)/(('Cálculos'!$F$200+(($B$225)-$A180)*'Cálculos'!$F$98)+1400)+'Cálculos'!$F$123)*'Cálculos'!$F$280)+('Cálculos'!$F$201*(1+'Cálculos'!$F$202+$A180*('Cálculos'!$F$290=2)*'Cálculos'!$F$101)+'Cálculos'!$F$203)*('Cálculos'!$F$271+'Cálculos'!$F$124*(1+2.78*('Cálculos'!$F$200+(($B$225)-$A180)*'Cálculos'!$F$98)/(('Cálculos'!$F$200+(($B$225)-$A180)*'Cálculos'!$F$98)+1400)+'Cálculos'!$F$122)*'Cálculos'!$F$276+'Cálculos'!$F$125*(1+2.78*('Cálculos'!$F$200+(($B$225)-$A180)*'Cálculos'!$F$98)/(('Cálculos'!$F$200+(($B$225)-$A180)*'Cálculos'!$F$98)+1400)+'Cálculos'!$F$123)*'Cálculos'!$F$281)+('Cálculos'!$F$204*(1+'Cálculos'!$F$205+$A180*('Cálculos'!$F$290=3)*'Cálculos'!$F$103)+'Cálculos'!$F$206)*('Cálculos'!$F$272+'Cálculos'!$F$124*(1+2.78*('Cálculos'!$F$200+(($B$225)-$A180)*'Cálculos'!$F$98)/(('Cálculos'!$F$200+(($B$225)-$A180)*'Cálculos'!$F$98)+1400)+'Cálculos'!$F$122)*'Cálculos'!$F$277+'Cálculos'!$F$125*(1+2.78*('Cálculos'!$F$200+(($B$225)-$A180)*'Cálculos'!$F$98)/(('Cálculos'!$F$200+(($B$225)-$A180)*'Cálculos'!$F$98)+1400)+'Cálculos'!$F$123)*'Cálculos'!$F$282)))</f>
        <v>0</v>
      </c>
    </row>
    <row r="181" ht="15.75" customHeight="1">
      <c r="A181" s="2">
        <v>4.0</v>
      </c>
      <c r="B181" s="30">
        <f>SUMPRODUCT(MAX(($A$177:$A$222&lt;=$A181)*($A$177:$A$222&lt;='Cálculos'!$F$294)*(($A181)-$A$177:$A$222&lt;='Cálculos'!$F$295)*(1+(('Cálculos'!$F$207+$A$177:$A$222*'Cálculos'!$F$95)-(('Cálculos'!$F$207+$A$177:$A$222*'Cálculos'!$F$95)&gt;1)*(('Cálculos'!$F$207+$A$177:$A$222*'Cálculos'!$F$95)-1))*('Cálculos'!$F$208+(($A181)-$A$177:$A$222)*'Cálculos'!$F$96))))</f>
        <v>1.711607</v>
      </c>
      <c r="C181" s="2">
        <f>'Cálculos'!$F$303-$A181</f>
        <v>14</v>
      </c>
      <c r="D181" s="31">
        <f>IF($C181&lt;0,0,SUMPRODUCT(MAX(($A$177:$A$222&lt;=$C181)*($A$177:$A$222&lt;='Cálculos'!$F$301)*(($C181)-$A$177:$A$222&lt;='Cálculos'!$F$297)*(('Cálculos'!$F$185*(1+'Cálculos'!$F$186+$A$177:$A$222*('Cálculos'!$F$290=1)*'Cálculos'!$F$97+'Cálculos'!$F$305)+'Cálculos'!$F$191)*('Cálculos'!$F$209+'Cálculos'!$F$124*(1+2.78*('Cálculos'!$F$196+(($C181)-$A$177:$A$222)*'Cálculos'!$F$98)/(('Cálculos'!$F$196+(($C181)-$A$177:$A$222)*'Cálculos'!$F$98)+1400)+'Cálculos'!$F$122)*'Cálculos'!$F$214+'Cálculos'!$F$125*(1+2.78*('Cálculos'!$F$196+(($C181)-$A$177:$A$222)*'Cálculos'!$F$98)/(('Cálculos'!$F$196+(($C181)-$A$177:$A$222)*'Cálculos'!$F$98)+1400)+'Cálculos'!$F$123)*'Cálculos'!$F$219)+('Cálculos'!$F$196+(($C181)-$A$177:$A$222)*'Cálculos'!$F$98)*('Cálculos'!$F$210+'Cálculos'!$F$124*(1+2.78*('Cálculos'!$F$196+(($C181)-$A$177:$A$222)*'Cálculos'!$F$98)/(('Cálculos'!$F$196+(($C181)-$A$177:$A$222)*'Cálculos'!$F$98)+1400)+'Cálculos'!$F$122)*'Cálculos'!$F$215+'Cálculos'!$F$125*(1+2.78*('Cálculos'!$F$196+(($C181)-$A$177:$A$222)*'Cálculos'!$F$98)/(('Cálculos'!$F$196+(($C181)-$A$177:$A$222)*'Cálculos'!$F$98)+1400)+'Cálculos'!$F$123)*'Cálculos'!$F$220)+('Cálculos'!$F$201*(1+'Cálculos'!$F$202+$A$177:$A$222*('Cálculos'!$F$290=2)*'Cálculos'!$F$101)+'Cálculos'!$F$203)*('Cálculos'!$F$211+'Cálculos'!$F$124*(1+2.78*('Cálculos'!$F$196+(($C181)-$A$177:$A$222)*'Cálculos'!$F$98)/(('Cálculos'!$F$196+(($C181)-$A$177:$A$222)*'Cálculos'!$F$98)+1400)+'Cálculos'!$F$122)*'Cálculos'!$F$216+'Cálculos'!$F$125*(1+2.78*('Cálculos'!$F$196+(($C181)-$A$177:$A$222)*'Cálculos'!$F$98)/(('Cálculos'!$F$196+(($C181)-$A$177:$A$222)*'Cálculos'!$F$98)+1400)+'Cálculos'!$F$123)*'Cálculos'!$F$221)+('Cálculos'!$F$204*(1+'Cálculos'!$F$205+$A$177:$A$222*('Cálculos'!$F$290=3)*'Cálculos'!$F$103)+'Cálculos'!$F$206)*('Cálculos'!$F$212+'Cálculos'!$F$124*(1+2.78*('Cálculos'!$F$196+(($C181)-$A$177:$A$222)*'Cálculos'!$F$98)/(('Cálculos'!$F$196+(($C181)-$A$177:$A$222)*'Cálculos'!$F$98)+1400)+'Cálculos'!$F$122)*'Cálculos'!$F$217+'Cálculos'!$F$125*(1+2.78*('Cálculos'!$F$196+(($C181)-$A$177:$A$222)*'Cálculos'!$F$98)/(('Cálculos'!$F$196+(($C181)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181)-$A$177:$A$222)*'Cálculos'!$F$98)/(('Cálculos'!$F$197+(($C181)-$A$177:$A$222)*'Cálculos'!$F$98)+1400)+'Cálculos'!$F$122)*'Cálculos'!$F$229+'Cálculos'!$F$125*(1+2.78*('Cálculos'!$F$197+(($C181)-$A$177:$A$222)*'Cálculos'!$F$98)/(('Cálculos'!$F$197+(($C181)-$A$177:$A$222)*'Cálculos'!$F$98)+1400)+'Cálculos'!$F$123)*'Cálculos'!$F$234)+('Cálculos'!$F$197+(($C181)-$A$177:$A$222)*'Cálculos'!$F$98)*('Cálculos'!$F$225+'Cálculos'!$F$124*(1+2.78*('Cálculos'!$F$197+(($C181)-$A$177:$A$222)*'Cálculos'!$F$98)/(('Cálculos'!$F$197+(($C181)-$A$177:$A$222)*'Cálculos'!$F$98)+1400)+'Cálculos'!$F$122)*'Cálculos'!$F$230+'Cálculos'!$F$125*(1+2.78*('Cálculos'!$F$197+(($C181)-$A$177:$A$222)*'Cálculos'!$F$98)/(('Cálculos'!$F$197+(($C181)-$A$177:$A$222)*'Cálculos'!$F$98)+1400)+'Cálculos'!$F$123)*'Cálculos'!$F$235)+('Cálculos'!$F$201*(1+'Cálculos'!$F$202+$A$177:$A$222*('Cálculos'!$F$290=2)*'Cálculos'!$F$101)+'Cálculos'!$F$203)*('Cálculos'!$F$226+'Cálculos'!$F$124*(1+2.78*('Cálculos'!$F$197+(($C181)-$A$177:$A$222)*'Cálculos'!$F$98)/(('Cálculos'!$F$197+(($C181)-$A$177:$A$222)*'Cálculos'!$F$98)+1400)+'Cálculos'!$F$122)*'Cálculos'!$F$231+'Cálculos'!$F$125*(1+2.78*('Cálculos'!$F$197+(($C181)-$A$177:$A$222)*'Cálculos'!$F$98)/(('Cálculos'!$F$197+(($C181)-$A$177:$A$222)*'Cálculos'!$F$98)+1400)+'Cálculos'!$F$123)*'Cálculos'!$F$236)+('Cálculos'!$F$204*(1+'Cálculos'!$F$205+$A$177:$A$222*('Cálculos'!$F$290=3)*'Cálculos'!$F$103)+'Cálculos'!$F$206)*('Cálculos'!$F$227+'Cálculos'!$F$124*(1+2.78*('Cálculos'!$F$197+(($C181)-$A$177:$A$222)*'Cálculos'!$F$98)/(('Cálculos'!$F$197+(($C181)-$A$177:$A$222)*'Cálculos'!$F$98)+1400)+'Cálculos'!$F$122)*'Cálculos'!$F$232+'Cálculos'!$F$125*(1+2.78*('Cálculos'!$F$197+(($C181)-$A$177:$A$222)*'Cálculos'!$F$98)/(('Cálculos'!$F$197+(($C181)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181)-$A$177:$A$222)*'Cálculos'!$F$98)/(('Cálculos'!$F$198+(($C181)-$A$177:$A$222)*'Cálculos'!$F$98)+1400)+'Cálculos'!$F$122)*'Cálculos'!$F$244+'Cálculos'!$F$125*(1+2.78*('Cálculos'!$F$198+(($C181)-$A$177:$A$222)*'Cálculos'!$F$98)/(('Cálculos'!$F$198+(($C181)-$A$177:$A$222)*'Cálculos'!$F$98)+1400)+'Cálculos'!$F$123)*'Cálculos'!$F$249)+('Cálculos'!$F$198+(($C181)-$A$177:$A$222)*'Cálculos'!$F$98)*('Cálculos'!$F$240+'Cálculos'!$F$124*(1+2.78*('Cálculos'!$F$198+(($C181)-$A$177:$A$222)*'Cálculos'!$F$98)/(('Cálculos'!$F$198+(($C181)-$A$177:$A$222)*'Cálculos'!$F$98)+1400)+'Cálculos'!$F$122)*'Cálculos'!$F$245+'Cálculos'!$F$125*(1+2.78*('Cálculos'!$F$198+(($C181)-$A$177:$A$222)*'Cálculos'!$F$98)/(('Cálculos'!$F$198+(($C181)-$A$177:$A$222)*'Cálculos'!$F$98)+1400)+'Cálculos'!$F$123)*'Cálculos'!$F$250)+('Cálculos'!$F$201*(1+'Cálculos'!$F$202+$A$177:$A$222*('Cálculos'!$F$290=2)*'Cálculos'!$F$101)+'Cálculos'!$F$203)*('Cálculos'!$F$241+'Cálculos'!$F$124*(1+2.78*('Cálculos'!$F$198+(($C181)-$A$177:$A$222)*'Cálculos'!$F$98)/(('Cálculos'!$F$198+(($C181)-$A$177:$A$222)*'Cálculos'!$F$98)+1400)+'Cálculos'!$F$122)*'Cálculos'!$F$246+'Cálculos'!$F$125*(1+2.78*('Cálculos'!$F$198+(($C181)-$A$177:$A$222)*'Cálculos'!$F$98)/(('Cálculos'!$F$198+(($C181)-$A$177:$A$222)*'Cálculos'!$F$98)+1400)+'Cálculos'!$F$123)*'Cálculos'!$F$251)+('Cálculos'!$F$204*(1+'Cálculos'!$F$205+$A$177:$A$222*('Cálculos'!$F$290=3)*'Cálculos'!$F$103)+'Cálculos'!$F$206)*('Cálculos'!$F$242+'Cálculos'!$F$124*(1+2.78*('Cálculos'!$F$198+(($C181)-$A$177:$A$222)*'Cálculos'!$F$98)/(('Cálculos'!$F$198+(($C181)-$A$177:$A$222)*'Cálculos'!$F$98)+1400)+'Cálculos'!$F$122)*'Cálculos'!$F$247+'Cálculos'!$F$125*(1+2.78*('Cálculos'!$F$198+(($C181)-$A$177:$A$222)*'Cálculos'!$F$98)/(('Cálculos'!$F$198+(($C181)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181)-$A$177:$A$222)*'Cálculos'!$F$98)/(('Cálculos'!$F$199+(($C181)-$A$177:$A$222)*'Cálculos'!$F$98)+1400)+'Cálculos'!$F$122)*'Cálculos'!$F$259+'Cálculos'!$F$125*(1+2.78*('Cálculos'!$F$199+(($C181)-$A$177:$A$222)*'Cálculos'!$F$98)/(('Cálculos'!$F$199+(($C181)-$A$177:$A$222)*'Cálculos'!$F$98)+1400)+'Cálculos'!$F$123)*'Cálculos'!$F$264)+('Cálculos'!$F$199+(($C181)-$A$177:$A$222)*'Cálculos'!$F$98)*('Cálculos'!$F$255+'Cálculos'!$F$124*(1+2.78*('Cálculos'!$F$199+(($C181)-$A$177:$A$222)*'Cálculos'!$F$98)/(('Cálculos'!$F$199+(($C181)-$A$177:$A$222)*'Cálculos'!$F$98)+1400)+'Cálculos'!$F$122)*'Cálculos'!$F$260+'Cálculos'!$F$125*(1+2.78*('Cálculos'!$F$199+(($C181)-$A$177:$A$222)*'Cálculos'!$F$98)/(('Cálculos'!$F$199+(($C181)-$A$177:$A$222)*'Cálculos'!$F$98)+1400)+'Cálculos'!$F$123)*'Cálculos'!$F$265)+('Cálculos'!$F$201*(1+'Cálculos'!$F$202+$A$177:$A$222*('Cálculos'!$F$290=2)*'Cálculos'!$F$101)+'Cálculos'!$F$203)*('Cálculos'!$F$256+'Cálculos'!$F$124*(1+2.78*('Cálculos'!$F$199+(($C181)-$A$177:$A$222)*'Cálculos'!$F$98)/(('Cálculos'!$F$199+(($C181)-$A$177:$A$222)*'Cálculos'!$F$98)+1400)+'Cálculos'!$F$122)*'Cálculos'!$F$261+'Cálculos'!$F$125*(1+2.78*('Cálculos'!$F$199+(($C181)-$A$177:$A$222)*'Cálculos'!$F$98)/(('Cálculos'!$F$199+(($C181)-$A$177:$A$222)*'Cálculos'!$F$98)+1400)+'Cálculos'!$F$123)*'Cálculos'!$F$266)+('Cálculos'!$F$204*(1+'Cálculos'!$F$205+$A$177:$A$222*('Cálculos'!$F$290=3)*'Cálculos'!$F$103)+'Cálculos'!$F$206)*('Cálculos'!$F$257+'Cálculos'!$F$124*(1+2.78*('Cálculos'!$F$199+(($C181)-$A$177:$A$222)*'Cálculos'!$F$98)/(('Cálculos'!$F$199+(($C181)-$A$177:$A$222)*'Cálculos'!$F$98)+1400)+'Cálculos'!$F$122)*'Cálculos'!$F$262+'Cálculos'!$F$125*(1+2.78*('Cálculos'!$F$199+(($C181)-$A$177:$A$222)*'Cálculos'!$F$98)/(('Cálculos'!$F$199+(($C181)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181)-$A$177:$A$222)*'Cálculos'!$F$98)/(('Cálculos'!$F$200+(($C181)-$A$177:$A$222)*'Cálculos'!$F$98)+1400)+'Cálculos'!$F$122)*'Cálculos'!$F$274+'Cálculos'!$F$125*(1+2.78*('Cálculos'!$F$200+(($C181)-$A$177:$A$222)*'Cálculos'!$F$98)/(('Cálculos'!$F$200+(($C181)-$A$177:$A$222)*'Cálculos'!$F$98)+1400)+'Cálculos'!$F$123)*'Cálculos'!$F$279)+('Cálculos'!$F$200+(($C181)-$A$177:$A$222)*'Cálculos'!$F$98)*('Cálculos'!$F$270+'Cálculos'!$F$124*(1+2.78*('Cálculos'!$F$200+(($C181)-$A$177:$A$222)*'Cálculos'!$F$98)/(('Cálculos'!$F$200+(($C181)-$A$177:$A$222)*'Cálculos'!$F$98)+1400)+'Cálculos'!$F$122)*'Cálculos'!$F$275+'Cálculos'!$F$125*(1+2.78*('Cálculos'!$F$200+(($C181)-$A$177:$A$222)*'Cálculos'!$F$98)/(('Cálculos'!$F$200+(($C181)-$A$177:$A$222)*'Cálculos'!$F$98)+1400)+'Cálculos'!$F$123)*'Cálculos'!$F$280)+('Cálculos'!$F$201*(1+'Cálculos'!$F$202+$A$177:$A$222*('Cálculos'!$F$290=2)*'Cálculos'!$F$101)+'Cálculos'!$F$203)*('Cálculos'!$F$271+'Cálculos'!$F$124*(1+2.78*('Cálculos'!$F$200+(($C181)-$A$177:$A$222)*'Cálculos'!$F$98)/(('Cálculos'!$F$200+(($C181)-$A$177:$A$222)*'Cálculos'!$F$98)+1400)+'Cálculos'!$F$122)*'Cálculos'!$F$276+'Cálculos'!$F$125*(1+2.78*('Cálculos'!$F$200+(($C181)-$A$177:$A$222)*'Cálculos'!$F$98)/(('Cálculos'!$F$200+(($C181)-$A$177:$A$222)*'Cálculos'!$F$98)+1400)+'Cálculos'!$F$123)*'Cálculos'!$F$281)+('Cálculos'!$F$204*(1+'Cálculos'!$F$205+$A$177:$A$222*('Cálculos'!$F$290=3)*'Cálculos'!$F$103)+'Cálculos'!$F$206)*('Cálculos'!$F$272+'Cálculos'!$F$124*(1+2.78*('Cálculos'!$F$200+(($C181)-$A$177:$A$222)*'Cálculos'!$F$98)/(('Cálculos'!$F$200+(($C181)-$A$177:$A$222)*'Cálculos'!$F$98)+1400)+'Cálculos'!$F$122)*'Cálculos'!$F$277+'Cálculos'!$F$125*(1+2.78*('Cálculos'!$F$200+(($C181)-$A$177:$A$222)*'Cálculos'!$F$98)/(('Cálculos'!$F$200+(($C181)-$A$177:$A$222)*'Cálculos'!$F$98)+1400)+'Cálculos'!$F$123)*'Cálculos'!$F$282)))))</f>
        <v>22479.50042</v>
      </c>
      <c r="E181" s="32">
        <f>IF(OR($C181&lt;0,'Cálculos'!$F$6=""),0,$B181*$D181)</f>
        <v>38476.07028</v>
      </c>
      <c r="F181" s="2"/>
      <c r="G181" s="30">
        <f>($A181&lt;=$B$224)*($A181&lt;='Cálculos'!$F$294)*(($B$224)-$A181&lt;='Cálculos'!$F$295)*(1+MIN(('Cálculos'!$F$207+$A181*'Cálculos'!$F$95),1)*('Cálculos'!$F$208+(($B$224)-$A181)*'Cálculos'!$F$96))</f>
        <v>2.228123</v>
      </c>
      <c r="H181" s="31">
        <f>IF($B$225&lt;0,0,($A181&lt;=$B$225)*($A181&lt;='Cálculos'!$F$301)*(($B$225)-$A181&lt;='Cálculos'!$F$297)*(('Cálculos'!$F$185*(1+'Cálculos'!$F$186+$A181*('Cálculos'!$F$290=1)*'Cálculos'!$F$97+'Cálculos'!$F$305)+'Cálculos'!$F$191)*('Cálculos'!$F$209+'Cálculos'!$F$124*(1+2.78*('Cálculos'!$F$196+(($B$225)-$A181)*'Cálculos'!$F$98)/(('Cálculos'!$F$196+(($B$225)-$A181)*'Cálculos'!$F$98)+1400)+'Cálculos'!$F$122)*'Cálculos'!$F$214+'Cálculos'!$F$125*(1+2.78*('Cálculos'!$F$196+(($B$225)-$A181)*'Cálculos'!$F$98)/(('Cálculos'!$F$196+(($B$225)-$A181)*'Cálculos'!$F$98)+1400)+'Cálculos'!$F$123)*'Cálculos'!$F$219)+('Cálculos'!$F$196+(($B$225)-$A181)*'Cálculos'!$F$98)*('Cálculos'!$F$210+'Cálculos'!$F$124*(1+2.78*('Cálculos'!$F$196+(($B$225)-$A181)*'Cálculos'!$F$98)/(('Cálculos'!$F$196+(($B$225)-$A181)*'Cálculos'!$F$98)+1400)+'Cálculos'!$F$122)*'Cálculos'!$F$215+'Cálculos'!$F$125*(1+2.78*('Cálculos'!$F$196+(($B$225)-$A181)*'Cálculos'!$F$98)/(('Cálculos'!$F$196+(($B$225)-$A181)*'Cálculos'!$F$98)+1400)+'Cálculos'!$F$123)*'Cálculos'!$F$220)+('Cálculos'!$F$201*(1+'Cálculos'!$F$202+$A181*('Cálculos'!$F$290=2)*'Cálculos'!$F$101)+'Cálculos'!$F$203)*('Cálculos'!$F$211+'Cálculos'!$F$124*(1+2.78*('Cálculos'!$F$196+(($B$225)-$A181)*'Cálculos'!$F$98)/(('Cálculos'!$F$196+(($B$225)-$A181)*'Cálculos'!$F$98)+1400)+'Cálculos'!$F$122)*'Cálculos'!$F$216+'Cálculos'!$F$125*(1+2.78*('Cálculos'!$F$196+(($B$225)-$A181)*'Cálculos'!$F$98)/(('Cálculos'!$F$196+(($B$225)-$A181)*'Cálculos'!$F$98)+1400)+'Cálculos'!$F$123)*'Cálculos'!$F$221)+('Cálculos'!$F$204*(1+'Cálculos'!$F$205+$A181*('Cálculos'!$F$290=3)*'Cálculos'!$F$103)+'Cálculos'!$F$206)*('Cálculos'!$F$212+'Cálculos'!$F$124*(1+2.78*('Cálculos'!$F$196+(($B$225)-$A181)*'Cálculos'!$F$98)/(('Cálculos'!$F$196+(($B$225)-$A181)*'Cálculos'!$F$98)+1400)+'Cálculos'!$F$122)*'Cálculos'!$F$217+'Cálculos'!$F$125*(1+2.78*('Cálculos'!$F$196+(($B$225)-$A181)*'Cálculos'!$F$98)/(('Cálculos'!$F$196+(($B$225)-$A181)*'Cálculos'!$F$98)+1400)+'Cálculos'!$F$123)*'Cálculos'!$F$222)+('Cálculos'!$F$185*(1+'Cálculos'!$F$187+$A181*('Cálculos'!$F$290=1)*'Cálculos'!$F$97+'Cálculos'!$F$305)+'Cálculos'!$F$192)*('Cálculos'!$F$224+'Cálculos'!$F$124*(1+2.78*('Cálculos'!$F$197+(($B$225)-$A181)*'Cálculos'!$F$98)/(('Cálculos'!$F$197+(($B$225)-$A181)*'Cálculos'!$F$98)+1400)+'Cálculos'!$F$122)*'Cálculos'!$F$229+'Cálculos'!$F$125*(1+2.78*('Cálculos'!$F$197+(($B$225)-$A181)*'Cálculos'!$F$98)/(('Cálculos'!$F$197+(($B$225)-$A181)*'Cálculos'!$F$98)+1400)+'Cálculos'!$F$123)*'Cálculos'!$F$234)+('Cálculos'!$F$197+(($B$225)-$A181)*'Cálculos'!$F$98)*('Cálculos'!$F$225+'Cálculos'!$F$124*(1+2.78*('Cálculos'!$F$197+(($B$225)-$A181)*'Cálculos'!$F$98)/(('Cálculos'!$F$197+(($B$225)-$A181)*'Cálculos'!$F$98)+1400)+'Cálculos'!$F$122)*'Cálculos'!$F$230+'Cálculos'!$F$125*(1+2.78*('Cálculos'!$F$197+(($B$225)-$A181)*'Cálculos'!$F$98)/(('Cálculos'!$F$197+(($B$225)-$A181)*'Cálculos'!$F$98)+1400)+'Cálculos'!$F$123)*'Cálculos'!$F$235)+('Cálculos'!$F$201*(1+'Cálculos'!$F$202+$A181*('Cálculos'!$F$290=2)*'Cálculos'!$F$101)+'Cálculos'!$F$203)*('Cálculos'!$F$226+'Cálculos'!$F$124*(1+2.78*('Cálculos'!$F$197+(($B$225)-$A181)*'Cálculos'!$F$98)/(('Cálculos'!$F$197+(($B$225)-$A181)*'Cálculos'!$F$98)+1400)+'Cálculos'!$F$122)*'Cálculos'!$F$231+'Cálculos'!$F$125*(1+2.78*('Cálculos'!$F$197+(($B$225)-$A181)*'Cálculos'!$F$98)/(('Cálculos'!$F$197+(($B$225)-$A181)*'Cálculos'!$F$98)+1400)+'Cálculos'!$F$123)*'Cálculos'!$F$236)+('Cálculos'!$F$204*(1+'Cálculos'!$F$205+$A181*('Cálculos'!$F$290=3)*'Cálculos'!$F$103)+'Cálculos'!$F$206)*('Cálculos'!$F$227+'Cálculos'!$F$124*(1+2.78*('Cálculos'!$F$197+(($B$225)-$A181)*'Cálculos'!$F$98)/(('Cálculos'!$F$197+(($B$225)-$A181)*'Cálculos'!$F$98)+1400)+'Cálculos'!$F$122)*'Cálculos'!$F$232+'Cálculos'!$F$125*(1+2.78*('Cálculos'!$F$197+(($B$225)-$A181)*'Cálculos'!$F$98)/(('Cálculos'!$F$197+(($B$225)-$A181)*'Cálculos'!$F$98)+1400)+'Cálculos'!$F$123)*'Cálculos'!$F$237)+('Cálculos'!$F$185*(1+'Cálculos'!$F$188+$A181*('Cálculos'!$F$290=1)*'Cálculos'!$F$97+'Cálculos'!$F$305)+'Cálculos'!$F$193)*('Cálculos'!$F$239+'Cálculos'!$F$124*(1+2.78*('Cálculos'!$F$198+(($B$225)-$A181)*'Cálculos'!$F$98)/(('Cálculos'!$F$198+(($B$225)-$A181)*'Cálculos'!$F$98)+1400)+'Cálculos'!$F$122)*'Cálculos'!$F$244+'Cálculos'!$F$125*(1+2.78*('Cálculos'!$F$198+(($B$225)-$A181)*'Cálculos'!$F$98)/(('Cálculos'!$F$198+(($B$225)-$A181)*'Cálculos'!$F$98)+1400)+'Cálculos'!$F$123)*'Cálculos'!$F$249)+('Cálculos'!$F$198+(($B$225)-$A181)*'Cálculos'!$F$98)*('Cálculos'!$F$240+'Cálculos'!$F$124*(1+2.78*('Cálculos'!$F$198+(($B$225)-$A181)*'Cálculos'!$F$98)/(('Cálculos'!$F$198+(($B$225)-$A181)*'Cálculos'!$F$98)+1400)+'Cálculos'!$F$122)*'Cálculos'!$F$245+'Cálculos'!$F$125*(1+2.78*('Cálculos'!$F$198+(($B$225)-$A181)*'Cálculos'!$F$98)/(('Cálculos'!$F$198+(($B$225)-$A181)*'Cálculos'!$F$98)+1400)+'Cálculos'!$F$123)*'Cálculos'!$F$250)+('Cálculos'!$F$201*(1+'Cálculos'!$F$202+$A181*('Cálculos'!$F$290=2)*'Cálculos'!$F$101)+'Cálculos'!$F$203)*('Cálculos'!$F$241+'Cálculos'!$F$124*(1+2.78*('Cálculos'!$F$198+(($B$225)-$A181)*'Cálculos'!$F$98)/(('Cálculos'!$F$198+(($B$225)-$A181)*'Cálculos'!$F$98)+1400)+'Cálculos'!$F$122)*'Cálculos'!$F$246+'Cálculos'!$F$125*(1+2.78*('Cálculos'!$F$198+(($B$225)-$A181)*'Cálculos'!$F$98)/(('Cálculos'!$F$198+(($B$225)-$A181)*'Cálculos'!$F$98)+1400)+'Cálculos'!$F$123)*'Cálculos'!$F$251)+('Cálculos'!$F$204*(1+'Cálculos'!$F$205+$A181*('Cálculos'!$F$290=3)*'Cálculos'!$F$103)+'Cálculos'!$F$206)*('Cálculos'!$F$242+'Cálculos'!$F$124*(1+2.78*('Cálculos'!$F$198+(($B$225)-$A181)*'Cálculos'!$F$98)/(('Cálculos'!$F$198+(($B$225)-$A181)*'Cálculos'!$F$98)+1400)+'Cálculos'!$F$122)*'Cálculos'!$F$247+'Cálculos'!$F$125*(1+2.78*('Cálculos'!$F$198+(($B$225)-$A181)*'Cálculos'!$F$98)/(('Cálculos'!$F$198+(($B$225)-$A181)*'Cálculos'!$F$98)+1400)+'Cálculos'!$F$123)*'Cálculos'!$F$252)+('Cálculos'!$F$185*(1+'Cálculos'!$F$189+$A181*('Cálculos'!$F$290=1)*'Cálculos'!$F$97+'Cálculos'!$F$305)+'Cálculos'!$F$194)*('Cálculos'!$F$254+'Cálculos'!$F$124*(1+2.78*('Cálculos'!$F$199+(($B$225)-$A181)*'Cálculos'!$F$98)/(('Cálculos'!$F$199+(($B$225)-$A181)*'Cálculos'!$F$98)+1400)+'Cálculos'!$F$122)*'Cálculos'!$F$259+'Cálculos'!$F$125*(1+2.78*('Cálculos'!$F$199+(($B$225)-$A181)*'Cálculos'!$F$98)/(('Cálculos'!$F$199+(($B$225)-$A181)*'Cálculos'!$F$98)+1400)+'Cálculos'!$F$123)*'Cálculos'!$F$264)+('Cálculos'!$F$199+(($B$225)-$A181)*'Cálculos'!$F$98)*('Cálculos'!$F$255+'Cálculos'!$F$124*(1+2.78*('Cálculos'!$F$199+(($B$225)-$A181)*'Cálculos'!$F$98)/(('Cálculos'!$F$199+(($B$225)-$A181)*'Cálculos'!$F$98)+1400)+'Cálculos'!$F$122)*'Cálculos'!$F$260+'Cálculos'!$F$125*(1+2.78*('Cálculos'!$F$199+(($B$225)-$A181)*'Cálculos'!$F$98)/(('Cálculos'!$F$199+(($B$225)-$A181)*'Cálculos'!$F$98)+1400)+'Cálculos'!$F$123)*'Cálculos'!$F$265)+('Cálculos'!$F$201*(1+'Cálculos'!$F$202+$A181*('Cálculos'!$F$290=2)*'Cálculos'!$F$101)+'Cálculos'!$F$203)*('Cálculos'!$F$256+'Cálculos'!$F$124*(1+2.78*('Cálculos'!$F$199+(($B$225)-$A181)*'Cálculos'!$F$98)/(('Cálculos'!$F$199+(($B$225)-$A181)*'Cálculos'!$F$98)+1400)+'Cálculos'!$F$122)*'Cálculos'!$F$261+'Cálculos'!$F$125*(1+2.78*('Cálculos'!$F$199+(($B$225)-$A181)*'Cálculos'!$F$98)/(('Cálculos'!$F$199+(($B$225)-$A181)*'Cálculos'!$F$98)+1400)+'Cálculos'!$F$123)*'Cálculos'!$F$266)+('Cálculos'!$F$204*(1+'Cálculos'!$F$205+$A181*('Cálculos'!$F$290=3)*'Cálculos'!$F$103)+'Cálculos'!$F$206)*('Cálculos'!$F$257+'Cálculos'!$F$124*(1+2.78*('Cálculos'!$F$199+(($B$225)-$A181)*'Cálculos'!$F$98)/(('Cálculos'!$F$199+(($B$225)-$A181)*'Cálculos'!$F$98)+1400)+'Cálculos'!$F$122)*'Cálculos'!$F$262+'Cálculos'!$F$125*(1+2.78*('Cálculos'!$F$199+(($B$225)-$A181)*'Cálculos'!$F$98)/(('Cálculos'!$F$199+(($B$225)-$A181)*'Cálculos'!$F$98)+1400)+'Cálculos'!$F$123)*'Cálculos'!$F$267)+('Cálculos'!$F$185*(1+'Cálculos'!$F$190+$A181*('Cálculos'!$F$290=1)*'Cálculos'!$F$97+'Cálculos'!$F$305)+'Cálculos'!$F$195)*('Cálculos'!$F$269+'Cálculos'!$F$124*(1+2.78*('Cálculos'!$F$200+(($B$225)-$A181)*'Cálculos'!$F$98)/(('Cálculos'!$F$200+(($B$225)-$A181)*'Cálculos'!$F$98)+1400)+'Cálculos'!$F$122)*'Cálculos'!$F$274+'Cálculos'!$F$125*(1+2.78*('Cálculos'!$F$200+(($B$225)-$A181)*'Cálculos'!$F$98)/(('Cálculos'!$F$200+(($B$225)-$A181)*'Cálculos'!$F$98)+1400)+'Cálculos'!$F$123)*'Cálculos'!$F$279)+('Cálculos'!$F$200+(($B$225)-$A181)*'Cálculos'!$F$98)*('Cálculos'!$F$270+'Cálculos'!$F$124*(1+2.78*('Cálculos'!$F$200+(($B$225)-$A181)*'Cálculos'!$F$98)/(('Cálculos'!$F$200+(($B$225)-$A181)*'Cálculos'!$F$98)+1400)+'Cálculos'!$F$122)*'Cálculos'!$F$275+'Cálculos'!$F$125*(1+2.78*('Cálculos'!$F$200+(($B$225)-$A181)*'Cálculos'!$F$98)/(('Cálculos'!$F$200+(($B$225)-$A181)*'Cálculos'!$F$98)+1400)+'Cálculos'!$F$123)*'Cálculos'!$F$280)+('Cálculos'!$F$201*(1+'Cálculos'!$F$202+$A181*('Cálculos'!$F$290=2)*'Cálculos'!$F$101)+'Cálculos'!$F$203)*('Cálculos'!$F$271+'Cálculos'!$F$124*(1+2.78*('Cálculos'!$F$200+(($B$225)-$A181)*'Cálculos'!$F$98)/(('Cálculos'!$F$200+(($B$225)-$A181)*'Cálculos'!$F$98)+1400)+'Cálculos'!$F$122)*'Cálculos'!$F$276+'Cálculos'!$F$125*(1+2.78*('Cálculos'!$F$200+(($B$225)-$A181)*'Cálculos'!$F$98)/(('Cálculos'!$F$200+(($B$225)-$A181)*'Cálculos'!$F$98)+1400)+'Cálculos'!$F$123)*'Cálculos'!$F$281)+('Cálculos'!$F$204*(1+'Cálculos'!$F$205+$A181*('Cálculos'!$F$290=3)*'Cálculos'!$F$103)+'Cálculos'!$F$206)*('Cálculos'!$F$272+'Cálculos'!$F$124*(1+2.78*('Cálculos'!$F$200+(($B$225)-$A181)*'Cálculos'!$F$98)/(('Cálculos'!$F$200+(($B$225)-$A181)*'Cálculos'!$F$98)+1400)+'Cálculos'!$F$122)*'Cálculos'!$F$277+'Cálculos'!$F$125*(1+2.78*('Cálculos'!$F$200+(($B$225)-$A181)*'Cálculos'!$F$98)/(('Cálculos'!$F$200+(($B$225)-$A181)*'Cálculos'!$F$98)+1400)+'Cálculos'!$F$123)*'Cálculos'!$F$282)))</f>
        <v>0</v>
      </c>
    </row>
    <row r="182" ht="15.75" customHeight="1">
      <c r="A182" s="2">
        <v>5.0</v>
      </c>
      <c r="B182" s="30">
        <f>SUMPRODUCT(MAX(($A$177:$A$222&lt;=$A182)*($A$177:$A$222&lt;='Cálculos'!$F$294)*(($A182)-$A$177:$A$222&lt;='Cálculos'!$F$295)*(1+(('Cálculos'!$F$207+$A$177:$A$222*'Cálculos'!$F$95)-(('Cálculos'!$F$207+$A$177:$A$222*'Cálculos'!$F$95)&gt;1)*(('Cálculos'!$F$207+$A$177:$A$222*'Cálculos'!$F$95)-1))*('Cálculos'!$F$208+(($A182)-$A$177:$A$222)*'Cálculos'!$F$96))))</f>
        <v>1.753616</v>
      </c>
      <c r="C182" s="2">
        <f>'Cálculos'!$F$303-$A182</f>
        <v>13</v>
      </c>
      <c r="D182" s="31">
        <f>IF($C182&lt;0,0,SUMPRODUCT(MAX(($A$177:$A$222&lt;=$C182)*($A$177:$A$222&lt;='Cálculos'!$F$301)*(($C182)-$A$177:$A$222&lt;='Cálculos'!$F$297)*(('Cálculos'!$F$185*(1+'Cálculos'!$F$186+$A$177:$A$222*('Cálculos'!$F$290=1)*'Cálculos'!$F$97+'Cálculos'!$F$305)+'Cálculos'!$F$191)*('Cálculos'!$F$209+'Cálculos'!$F$124*(1+2.78*('Cálculos'!$F$196+(($C182)-$A$177:$A$222)*'Cálculos'!$F$98)/(('Cálculos'!$F$196+(($C182)-$A$177:$A$222)*'Cálculos'!$F$98)+1400)+'Cálculos'!$F$122)*'Cálculos'!$F$214+'Cálculos'!$F$125*(1+2.78*('Cálculos'!$F$196+(($C182)-$A$177:$A$222)*'Cálculos'!$F$98)/(('Cálculos'!$F$196+(($C182)-$A$177:$A$222)*'Cálculos'!$F$98)+1400)+'Cálculos'!$F$123)*'Cálculos'!$F$219)+('Cálculos'!$F$196+(($C182)-$A$177:$A$222)*'Cálculos'!$F$98)*('Cálculos'!$F$210+'Cálculos'!$F$124*(1+2.78*('Cálculos'!$F$196+(($C182)-$A$177:$A$222)*'Cálculos'!$F$98)/(('Cálculos'!$F$196+(($C182)-$A$177:$A$222)*'Cálculos'!$F$98)+1400)+'Cálculos'!$F$122)*'Cálculos'!$F$215+'Cálculos'!$F$125*(1+2.78*('Cálculos'!$F$196+(($C182)-$A$177:$A$222)*'Cálculos'!$F$98)/(('Cálculos'!$F$196+(($C182)-$A$177:$A$222)*'Cálculos'!$F$98)+1400)+'Cálculos'!$F$123)*'Cálculos'!$F$220)+('Cálculos'!$F$201*(1+'Cálculos'!$F$202+$A$177:$A$222*('Cálculos'!$F$290=2)*'Cálculos'!$F$101)+'Cálculos'!$F$203)*('Cálculos'!$F$211+'Cálculos'!$F$124*(1+2.78*('Cálculos'!$F$196+(($C182)-$A$177:$A$222)*'Cálculos'!$F$98)/(('Cálculos'!$F$196+(($C182)-$A$177:$A$222)*'Cálculos'!$F$98)+1400)+'Cálculos'!$F$122)*'Cálculos'!$F$216+'Cálculos'!$F$125*(1+2.78*('Cálculos'!$F$196+(($C182)-$A$177:$A$222)*'Cálculos'!$F$98)/(('Cálculos'!$F$196+(($C182)-$A$177:$A$222)*'Cálculos'!$F$98)+1400)+'Cálculos'!$F$123)*'Cálculos'!$F$221)+('Cálculos'!$F$204*(1+'Cálculos'!$F$205+$A$177:$A$222*('Cálculos'!$F$290=3)*'Cálculos'!$F$103)+'Cálculos'!$F$206)*('Cálculos'!$F$212+'Cálculos'!$F$124*(1+2.78*('Cálculos'!$F$196+(($C182)-$A$177:$A$222)*'Cálculos'!$F$98)/(('Cálculos'!$F$196+(($C182)-$A$177:$A$222)*'Cálculos'!$F$98)+1400)+'Cálculos'!$F$122)*'Cálculos'!$F$217+'Cálculos'!$F$125*(1+2.78*('Cálculos'!$F$196+(($C182)-$A$177:$A$222)*'Cálculos'!$F$98)/(('Cálculos'!$F$196+(($C182)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182)-$A$177:$A$222)*'Cálculos'!$F$98)/(('Cálculos'!$F$197+(($C182)-$A$177:$A$222)*'Cálculos'!$F$98)+1400)+'Cálculos'!$F$122)*'Cálculos'!$F$229+'Cálculos'!$F$125*(1+2.78*('Cálculos'!$F$197+(($C182)-$A$177:$A$222)*'Cálculos'!$F$98)/(('Cálculos'!$F$197+(($C182)-$A$177:$A$222)*'Cálculos'!$F$98)+1400)+'Cálculos'!$F$123)*'Cálculos'!$F$234)+('Cálculos'!$F$197+(($C182)-$A$177:$A$222)*'Cálculos'!$F$98)*('Cálculos'!$F$225+'Cálculos'!$F$124*(1+2.78*('Cálculos'!$F$197+(($C182)-$A$177:$A$222)*'Cálculos'!$F$98)/(('Cálculos'!$F$197+(($C182)-$A$177:$A$222)*'Cálculos'!$F$98)+1400)+'Cálculos'!$F$122)*'Cálculos'!$F$230+'Cálculos'!$F$125*(1+2.78*('Cálculos'!$F$197+(($C182)-$A$177:$A$222)*'Cálculos'!$F$98)/(('Cálculos'!$F$197+(($C182)-$A$177:$A$222)*'Cálculos'!$F$98)+1400)+'Cálculos'!$F$123)*'Cálculos'!$F$235)+('Cálculos'!$F$201*(1+'Cálculos'!$F$202+$A$177:$A$222*('Cálculos'!$F$290=2)*'Cálculos'!$F$101)+'Cálculos'!$F$203)*('Cálculos'!$F$226+'Cálculos'!$F$124*(1+2.78*('Cálculos'!$F$197+(($C182)-$A$177:$A$222)*'Cálculos'!$F$98)/(('Cálculos'!$F$197+(($C182)-$A$177:$A$222)*'Cálculos'!$F$98)+1400)+'Cálculos'!$F$122)*'Cálculos'!$F$231+'Cálculos'!$F$125*(1+2.78*('Cálculos'!$F$197+(($C182)-$A$177:$A$222)*'Cálculos'!$F$98)/(('Cálculos'!$F$197+(($C182)-$A$177:$A$222)*'Cálculos'!$F$98)+1400)+'Cálculos'!$F$123)*'Cálculos'!$F$236)+('Cálculos'!$F$204*(1+'Cálculos'!$F$205+$A$177:$A$222*('Cálculos'!$F$290=3)*'Cálculos'!$F$103)+'Cálculos'!$F$206)*('Cálculos'!$F$227+'Cálculos'!$F$124*(1+2.78*('Cálculos'!$F$197+(($C182)-$A$177:$A$222)*'Cálculos'!$F$98)/(('Cálculos'!$F$197+(($C182)-$A$177:$A$222)*'Cálculos'!$F$98)+1400)+'Cálculos'!$F$122)*'Cálculos'!$F$232+'Cálculos'!$F$125*(1+2.78*('Cálculos'!$F$197+(($C182)-$A$177:$A$222)*'Cálculos'!$F$98)/(('Cálculos'!$F$197+(($C182)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182)-$A$177:$A$222)*'Cálculos'!$F$98)/(('Cálculos'!$F$198+(($C182)-$A$177:$A$222)*'Cálculos'!$F$98)+1400)+'Cálculos'!$F$122)*'Cálculos'!$F$244+'Cálculos'!$F$125*(1+2.78*('Cálculos'!$F$198+(($C182)-$A$177:$A$222)*'Cálculos'!$F$98)/(('Cálculos'!$F$198+(($C182)-$A$177:$A$222)*'Cálculos'!$F$98)+1400)+'Cálculos'!$F$123)*'Cálculos'!$F$249)+('Cálculos'!$F$198+(($C182)-$A$177:$A$222)*'Cálculos'!$F$98)*('Cálculos'!$F$240+'Cálculos'!$F$124*(1+2.78*('Cálculos'!$F$198+(($C182)-$A$177:$A$222)*'Cálculos'!$F$98)/(('Cálculos'!$F$198+(($C182)-$A$177:$A$222)*'Cálculos'!$F$98)+1400)+'Cálculos'!$F$122)*'Cálculos'!$F$245+'Cálculos'!$F$125*(1+2.78*('Cálculos'!$F$198+(($C182)-$A$177:$A$222)*'Cálculos'!$F$98)/(('Cálculos'!$F$198+(($C182)-$A$177:$A$222)*'Cálculos'!$F$98)+1400)+'Cálculos'!$F$123)*'Cálculos'!$F$250)+('Cálculos'!$F$201*(1+'Cálculos'!$F$202+$A$177:$A$222*('Cálculos'!$F$290=2)*'Cálculos'!$F$101)+'Cálculos'!$F$203)*('Cálculos'!$F$241+'Cálculos'!$F$124*(1+2.78*('Cálculos'!$F$198+(($C182)-$A$177:$A$222)*'Cálculos'!$F$98)/(('Cálculos'!$F$198+(($C182)-$A$177:$A$222)*'Cálculos'!$F$98)+1400)+'Cálculos'!$F$122)*'Cálculos'!$F$246+'Cálculos'!$F$125*(1+2.78*('Cálculos'!$F$198+(($C182)-$A$177:$A$222)*'Cálculos'!$F$98)/(('Cálculos'!$F$198+(($C182)-$A$177:$A$222)*'Cálculos'!$F$98)+1400)+'Cálculos'!$F$123)*'Cálculos'!$F$251)+('Cálculos'!$F$204*(1+'Cálculos'!$F$205+$A$177:$A$222*('Cálculos'!$F$290=3)*'Cálculos'!$F$103)+'Cálculos'!$F$206)*('Cálculos'!$F$242+'Cálculos'!$F$124*(1+2.78*('Cálculos'!$F$198+(($C182)-$A$177:$A$222)*'Cálculos'!$F$98)/(('Cálculos'!$F$198+(($C182)-$A$177:$A$222)*'Cálculos'!$F$98)+1400)+'Cálculos'!$F$122)*'Cálculos'!$F$247+'Cálculos'!$F$125*(1+2.78*('Cálculos'!$F$198+(($C182)-$A$177:$A$222)*'Cálculos'!$F$98)/(('Cálculos'!$F$198+(($C182)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182)-$A$177:$A$222)*'Cálculos'!$F$98)/(('Cálculos'!$F$199+(($C182)-$A$177:$A$222)*'Cálculos'!$F$98)+1400)+'Cálculos'!$F$122)*'Cálculos'!$F$259+'Cálculos'!$F$125*(1+2.78*('Cálculos'!$F$199+(($C182)-$A$177:$A$222)*'Cálculos'!$F$98)/(('Cálculos'!$F$199+(($C182)-$A$177:$A$222)*'Cálculos'!$F$98)+1400)+'Cálculos'!$F$123)*'Cálculos'!$F$264)+('Cálculos'!$F$199+(($C182)-$A$177:$A$222)*'Cálculos'!$F$98)*('Cálculos'!$F$255+'Cálculos'!$F$124*(1+2.78*('Cálculos'!$F$199+(($C182)-$A$177:$A$222)*'Cálculos'!$F$98)/(('Cálculos'!$F$199+(($C182)-$A$177:$A$222)*'Cálculos'!$F$98)+1400)+'Cálculos'!$F$122)*'Cálculos'!$F$260+'Cálculos'!$F$125*(1+2.78*('Cálculos'!$F$199+(($C182)-$A$177:$A$222)*'Cálculos'!$F$98)/(('Cálculos'!$F$199+(($C182)-$A$177:$A$222)*'Cálculos'!$F$98)+1400)+'Cálculos'!$F$123)*'Cálculos'!$F$265)+('Cálculos'!$F$201*(1+'Cálculos'!$F$202+$A$177:$A$222*('Cálculos'!$F$290=2)*'Cálculos'!$F$101)+'Cálculos'!$F$203)*('Cálculos'!$F$256+'Cálculos'!$F$124*(1+2.78*('Cálculos'!$F$199+(($C182)-$A$177:$A$222)*'Cálculos'!$F$98)/(('Cálculos'!$F$199+(($C182)-$A$177:$A$222)*'Cálculos'!$F$98)+1400)+'Cálculos'!$F$122)*'Cálculos'!$F$261+'Cálculos'!$F$125*(1+2.78*('Cálculos'!$F$199+(($C182)-$A$177:$A$222)*'Cálculos'!$F$98)/(('Cálculos'!$F$199+(($C182)-$A$177:$A$222)*'Cálculos'!$F$98)+1400)+'Cálculos'!$F$123)*'Cálculos'!$F$266)+('Cálculos'!$F$204*(1+'Cálculos'!$F$205+$A$177:$A$222*('Cálculos'!$F$290=3)*'Cálculos'!$F$103)+'Cálculos'!$F$206)*('Cálculos'!$F$257+'Cálculos'!$F$124*(1+2.78*('Cálculos'!$F$199+(($C182)-$A$177:$A$222)*'Cálculos'!$F$98)/(('Cálculos'!$F$199+(($C182)-$A$177:$A$222)*'Cálculos'!$F$98)+1400)+'Cálculos'!$F$122)*'Cálculos'!$F$262+'Cálculos'!$F$125*(1+2.78*('Cálculos'!$F$199+(($C182)-$A$177:$A$222)*'Cálculos'!$F$98)/(('Cálculos'!$F$199+(($C182)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182)-$A$177:$A$222)*'Cálculos'!$F$98)/(('Cálculos'!$F$200+(($C182)-$A$177:$A$222)*'Cálculos'!$F$98)+1400)+'Cálculos'!$F$122)*'Cálculos'!$F$274+'Cálculos'!$F$125*(1+2.78*('Cálculos'!$F$200+(($C182)-$A$177:$A$222)*'Cálculos'!$F$98)/(('Cálculos'!$F$200+(($C182)-$A$177:$A$222)*'Cálculos'!$F$98)+1400)+'Cálculos'!$F$123)*'Cálculos'!$F$279)+('Cálculos'!$F$200+(($C182)-$A$177:$A$222)*'Cálculos'!$F$98)*('Cálculos'!$F$270+'Cálculos'!$F$124*(1+2.78*('Cálculos'!$F$200+(($C182)-$A$177:$A$222)*'Cálculos'!$F$98)/(('Cálculos'!$F$200+(($C182)-$A$177:$A$222)*'Cálculos'!$F$98)+1400)+'Cálculos'!$F$122)*'Cálculos'!$F$275+'Cálculos'!$F$125*(1+2.78*('Cálculos'!$F$200+(($C182)-$A$177:$A$222)*'Cálculos'!$F$98)/(('Cálculos'!$F$200+(($C182)-$A$177:$A$222)*'Cálculos'!$F$98)+1400)+'Cálculos'!$F$123)*'Cálculos'!$F$280)+('Cálculos'!$F$201*(1+'Cálculos'!$F$202+$A$177:$A$222*('Cálculos'!$F$290=2)*'Cálculos'!$F$101)+'Cálculos'!$F$203)*('Cálculos'!$F$271+'Cálculos'!$F$124*(1+2.78*('Cálculos'!$F$200+(($C182)-$A$177:$A$222)*'Cálculos'!$F$98)/(('Cálculos'!$F$200+(($C182)-$A$177:$A$222)*'Cálculos'!$F$98)+1400)+'Cálculos'!$F$122)*'Cálculos'!$F$276+'Cálculos'!$F$125*(1+2.78*('Cálculos'!$F$200+(($C182)-$A$177:$A$222)*'Cálculos'!$F$98)/(('Cálculos'!$F$200+(($C182)-$A$177:$A$222)*'Cálculos'!$F$98)+1400)+'Cálculos'!$F$123)*'Cálculos'!$F$281)+('Cálculos'!$F$204*(1+'Cálculos'!$F$205+$A$177:$A$222*('Cálculos'!$F$290=3)*'Cálculos'!$F$103)+'Cálculos'!$F$206)*('Cálculos'!$F$272+'Cálculos'!$F$124*(1+2.78*('Cálculos'!$F$200+(($C182)-$A$177:$A$222)*'Cálculos'!$F$98)/(('Cálculos'!$F$200+(($C182)-$A$177:$A$222)*'Cálculos'!$F$98)+1400)+'Cálculos'!$F$122)*'Cálculos'!$F$277+'Cálculos'!$F$125*(1+2.78*('Cálculos'!$F$200+(($C182)-$A$177:$A$222)*'Cálculos'!$F$98)/(('Cálculos'!$F$200+(($C182)-$A$177:$A$222)*'Cálculos'!$F$98)+1400)+'Cálculos'!$F$123)*'Cálculos'!$F$282)))))</f>
        <v>22255.64283</v>
      </c>
      <c r="E182" s="32">
        <f>IF(OR($C182&lt;0,'Cálculos'!$F$6=""),0,$B182*$D182)</f>
        <v>39027.85135</v>
      </c>
      <c r="F182" s="2"/>
      <c r="G182" s="30">
        <f>($A182&lt;=$B$224)*($A182&lt;='Cálculos'!$F$294)*(($B$224)-$A182&lt;='Cálculos'!$F$295)*(1+MIN(('Cálculos'!$F$207+$A182*'Cálculos'!$F$95),1)*('Cálculos'!$F$208+(($B$224)-$A182)*'Cálculos'!$F$96))</f>
        <v>2.261552</v>
      </c>
      <c r="H182" s="31">
        <f>IF($B$225&lt;0,0,($A182&lt;=$B$225)*($A182&lt;='Cálculos'!$F$301)*(($B$225)-$A182&lt;='Cálculos'!$F$297)*(('Cálculos'!$F$185*(1+'Cálculos'!$F$186+$A182*('Cálculos'!$F$290=1)*'Cálculos'!$F$97+'Cálculos'!$F$305)+'Cálculos'!$F$191)*('Cálculos'!$F$209+'Cálculos'!$F$124*(1+2.78*('Cálculos'!$F$196+(($B$225)-$A182)*'Cálculos'!$F$98)/(('Cálculos'!$F$196+(($B$225)-$A182)*'Cálculos'!$F$98)+1400)+'Cálculos'!$F$122)*'Cálculos'!$F$214+'Cálculos'!$F$125*(1+2.78*('Cálculos'!$F$196+(($B$225)-$A182)*'Cálculos'!$F$98)/(('Cálculos'!$F$196+(($B$225)-$A182)*'Cálculos'!$F$98)+1400)+'Cálculos'!$F$123)*'Cálculos'!$F$219)+('Cálculos'!$F$196+(($B$225)-$A182)*'Cálculos'!$F$98)*('Cálculos'!$F$210+'Cálculos'!$F$124*(1+2.78*('Cálculos'!$F$196+(($B$225)-$A182)*'Cálculos'!$F$98)/(('Cálculos'!$F$196+(($B$225)-$A182)*'Cálculos'!$F$98)+1400)+'Cálculos'!$F$122)*'Cálculos'!$F$215+'Cálculos'!$F$125*(1+2.78*('Cálculos'!$F$196+(($B$225)-$A182)*'Cálculos'!$F$98)/(('Cálculos'!$F$196+(($B$225)-$A182)*'Cálculos'!$F$98)+1400)+'Cálculos'!$F$123)*'Cálculos'!$F$220)+('Cálculos'!$F$201*(1+'Cálculos'!$F$202+$A182*('Cálculos'!$F$290=2)*'Cálculos'!$F$101)+'Cálculos'!$F$203)*('Cálculos'!$F$211+'Cálculos'!$F$124*(1+2.78*('Cálculos'!$F$196+(($B$225)-$A182)*'Cálculos'!$F$98)/(('Cálculos'!$F$196+(($B$225)-$A182)*'Cálculos'!$F$98)+1400)+'Cálculos'!$F$122)*'Cálculos'!$F$216+'Cálculos'!$F$125*(1+2.78*('Cálculos'!$F$196+(($B$225)-$A182)*'Cálculos'!$F$98)/(('Cálculos'!$F$196+(($B$225)-$A182)*'Cálculos'!$F$98)+1400)+'Cálculos'!$F$123)*'Cálculos'!$F$221)+('Cálculos'!$F$204*(1+'Cálculos'!$F$205+$A182*('Cálculos'!$F$290=3)*'Cálculos'!$F$103)+'Cálculos'!$F$206)*('Cálculos'!$F$212+'Cálculos'!$F$124*(1+2.78*('Cálculos'!$F$196+(($B$225)-$A182)*'Cálculos'!$F$98)/(('Cálculos'!$F$196+(($B$225)-$A182)*'Cálculos'!$F$98)+1400)+'Cálculos'!$F$122)*'Cálculos'!$F$217+'Cálculos'!$F$125*(1+2.78*('Cálculos'!$F$196+(($B$225)-$A182)*'Cálculos'!$F$98)/(('Cálculos'!$F$196+(($B$225)-$A182)*'Cálculos'!$F$98)+1400)+'Cálculos'!$F$123)*'Cálculos'!$F$222)+('Cálculos'!$F$185*(1+'Cálculos'!$F$187+$A182*('Cálculos'!$F$290=1)*'Cálculos'!$F$97+'Cálculos'!$F$305)+'Cálculos'!$F$192)*('Cálculos'!$F$224+'Cálculos'!$F$124*(1+2.78*('Cálculos'!$F$197+(($B$225)-$A182)*'Cálculos'!$F$98)/(('Cálculos'!$F$197+(($B$225)-$A182)*'Cálculos'!$F$98)+1400)+'Cálculos'!$F$122)*'Cálculos'!$F$229+'Cálculos'!$F$125*(1+2.78*('Cálculos'!$F$197+(($B$225)-$A182)*'Cálculos'!$F$98)/(('Cálculos'!$F$197+(($B$225)-$A182)*'Cálculos'!$F$98)+1400)+'Cálculos'!$F$123)*'Cálculos'!$F$234)+('Cálculos'!$F$197+(($B$225)-$A182)*'Cálculos'!$F$98)*('Cálculos'!$F$225+'Cálculos'!$F$124*(1+2.78*('Cálculos'!$F$197+(($B$225)-$A182)*'Cálculos'!$F$98)/(('Cálculos'!$F$197+(($B$225)-$A182)*'Cálculos'!$F$98)+1400)+'Cálculos'!$F$122)*'Cálculos'!$F$230+'Cálculos'!$F$125*(1+2.78*('Cálculos'!$F$197+(($B$225)-$A182)*'Cálculos'!$F$98)/(('Cálculos'!$F$197+(($B$225)-$A182)*'Cálculos'!$F$98)+1400)+'Cálculos'!$F$123)*'Cálculos'!$F$235)+('Cálculos'!$F$201*(1+'Cálculos'!$F$202+$A182*('Cálculos'!$F$290=2)*'Cálculos'!$F$101)+'Cálculos'!$F$203)*('Cálculos'!$F$226+'Cálculos'!$F$124*(1+2.78*('Cálculos'!$F$197+(($B$225)-$A182)*'Cálculos'!$F$98)/(('Cálculos'!$F$197+(($B$225)-$A182)*'Cálculos'!$F$98)+1400)+'Cálculos'!$F$122)*'Cálculos'!$F$231+'Cálculos'!$F$125*(1+2.78*('Cálculos'!$F$197+(($B$225)-$A182)*'Cálculos'!$F$98)/(('Cálculos'!$F$197+(($B$225)-$A182)*'Cálculos'!$F$98)+1400)+'Cálculos'!$F$123)*'Cálculos'!$F$236)+('Cálculos'!$F$204*(1+'Cálculos'!$F$205+$A182*('Cálculos'!$F$290=3)*'Cálculos'!$F$103)+'Cálculos'!$F$206)*('Cálculos'!$F$227+'Cálculos'!$F$124*(1+2.78*('Cálculos'!$F$197+(($B$225)-$A182)*'Cálculos'!$F$98)/(('Cálculos'!$F$197+(($B$225)-$A182)*'Cálculos'!$F$98)+1400)+'Cálculos'!$F$122)*'Cálculos'!$F$232+'Cálculos'!$F$125*(1+2.78*('Cálculos'!$F$197+(($B$225)-$A182)*'Cálculos'!$F$98)/(('Cálculos'!$F$197+(($B$225)-$A182)*'Cálculos'!$F$98)+1400)+'Cálculos'!$F$123)*'Cálculos'!$F$237)+('Cálculos'!$F$185*(1+'Cálculos'!$F$188+$A182*('Cálculos'!$F$290=1)*'Cálculos'!$F$97+'Cálculos'!$F$305)+'Cálculos'!$F$193)*('Cálculos'!$F$239+'Cálculos'!$F$124*(1+2.78*('Cálculos'!$F$198+(($B$225)-$A182)*'Cálculos'!$F$98)/(('Cálculos'!$F$198+(($B$225)-$A182)*'Cálculos'!$F$98)+1400)+'Cálculos'!$F$122)*'Cálculos'!$F$244+'Cálculos'!$F$125*(1+2.78*('Cálculos'!$F$198+(($B$225)-$A182)*'Cálculos'!$F$98)/(('Cálculos'!$F$198+(($B$225)-$A182)*'Cálculos'!$F$98)+1400)+'Cálculos'!$F$123)*'Cálculos'!$F$249)+('Cálculos'!$F$198+(($B$225)-$A182)*'Cálculos'!$F$98)*('Cálculos'!$F$240+'Cálculos'!$F$124*(1+2.78*('Cálculos'!$F$198+(($B$225)-$A182)*'Cálculos'!$F$98)/(('Cálculos'!$F$198+(($B$225)-$A182)*'Cálculos'!$F$98)+1400)+'Cálculos'!$F$122)*'Cálculos'!$F$245+'Cálculos'!$F$125*(1+2.78*('Cálculos'!$F$198+(($B$225)-$A182)*'Cálculos'!$F$98)/(('Cálculos'!$F$198+(($B$225)-$A182)*'Cálculos'!$F$98)+1400)+'Cálculos'!$F$123)*'Cálculos'!$F$250)+('Cálculos'!$F$201*(1+'Cálculos'!$F$202+$A182*('Cálculos'!$F$290=2)*'Cálculos'!$F$101)+'Cálculos'!$F$203)*('Cálculos'!$F$241+'Cálculos'!$F$124*(1+2.78*('Cálculos'!$F$198+(($B$225)-$A182)*'Cálculos'!$F$98)/(('Cálculos'!$F$198+(($B$225)-$A182)*'Cálculos'!$F$98)+1400)+'Cálculos'!$F$122)*'Cálculos'!$F$246+'Cálculos'!$F$125*(1+2.78*('Cálculos'!$F$198+(($B$225)-$A182)*'Cálculos'!$F$98)/(('Cálculos'!$F$198+(($B$225)-$A182)*'Cálculos'!$F$98)+1400)+'Cálculos'!$F$123)*'Cálculos'!$F$251)+('Cálculos'!$F$204*(1+'Cálculos'!$F$205+$A182*('Cálculos'!$F$290=3)*'Cálculos'!$F$103)+'Cálculos'!$F$206)*('Cálculos'!$F$242+'Cálculos'!$F$124*(1+2.78*('Cálculos'!$F$198+(($B$225)-$A182)*'Cálculos'!$F$98)/(('Cálculos'!$F$198+(($B$225)-$A182)*'Cálculos'!$F$98)+1400)+'Cálculos'!$F$122)*'Cálculos'!$F$247+'Cálculos'!$F$125*(1+2.78*('Cálculos'!$F$198+(($B$225)-$A182)*'Cálculos'!$F$98)/(('Cálculos'!$F$198+(($B$225)-$A182)*'Cálculos'!$F$98)+1400)+'Cálculos'!$F$123)*'Cálculos'!$F$252)+('Cálculos'!$F$185*(1+'Cálculos'!$F$189+$A182*('Cálculos'!$F$290=1)*'Cálculos'!$F$97+'Cálculos'!$F$305)+'Cálculos'!$F$194)*('Cálculos'!$F$254+'Cálculos'!$F$124*(1+2.78*('Cálculos'!$F$199+(($B$225)-$A182)*'Cálculos'!$F$98)/(('Cálculos'!$F$199+(($B$225)-$A182)*'Cálculos'!$F$98)+1400)+'Cálculos'!$F$122)*'Cálculos'!$F$259+'Cálculos'!$F$125*(1+2.78*('Cálculos'!$F$199+(($B$225)-$A182)*'Cálculos'!$F$98)/(('Cálculos'!$F$199+(($B$225)-$A182)*'Cálculos'!$F$98)+1400)+'Cálculos'!$F$123)*'Cálculos'!$F$264)+('Cálculos'!$F$199+(($B$225)-$A182)*'Cálculos'!$F$98)*('Cálculos'!$F$255+'Cálculos'!$F$124*(1+2.78*('Cálculos'!$F$199+(($B$225)-$A182)*'Cálculos'!$F$98)/(('Cálculos'!$F$199+(($B$225)-$A182)*'Cálculos'!$F$98)+1400)+'Cálculos'!$F$122)*'Cálculos'!$F$260+'Cálculos'!$F$125*(1+2.78*('Cálculos'!$F$199+(($B$225)-$A182)*'Cálculos'!$F$98)/(('Cálculos'!$F$199+(($B$225)-$A182)*'Cálculos'!$F$98)+1400)+'Cálculos'!$F$123)*'Cálculos'!$F$265)+('Cálculos'!$F$201*(1+'Cálculos'!$F$202+$A182*('Cálculos'!$F$290=2)*'Cálculos'!$F$101)+'Cálculos'!$F$203)*('Cálculos'!$F$256+'Cálculos'!$F$124*(1+2.78*('Cálculos'!$F$199+(($B$225)-$A182)*'Cálculos'!$F$98)/(('Cálculos'!$F$199+(($B$225)-$A182)*'Cálculos'!$F$98)+1400)+'Cálculos'!$F$122)*'Cálculos'!$F$261+'Cálculos'!$F$125*(1+2.78*('Cálculos'!$F$199+(($B$225)-$A182)*'Cálculos'!$F$98)/(('Cálculos'!$F$199+(($B$225)-$A182)*'Cálculos'!$F$98)+1400)+'Cálculos'!$F$123)*'Cálculos'!$F$266)+('Cálculos'!$F$204*(1+'Cálculos'!$F$205+$A182*('Cálculos'!$F$290=3)*'Cálculos'!$F$103)+'Cálculos'!$F$206)*('Cálculos'!$F$257+'Cálculos'!$F$124*(1+2.78*('Cálculos'!$F$199+(($B$225)-$A182)*'Cálculos'!$F$98)/(('Cálculos'!$F$199+(($B$225)-$A182)*'Cálculos'!$F$98)+1400)+'Cálculos'!$F$122)*'Cálculos'!$F$262+'Cálculos'!$F$125*(1+2.78*('Cálculos'!$F$199+(($B$225)-$A182)*'Cálculos'!$F$98)/(('Cálculos'!$F$199+(($B$225)-$A182)*'Cálculos'!$F$98)+1400)+'Cálculos'!$F$123)*'Cálculos'!$F$267)+('Cálculos'!$F$185*(1+'Cálculos'!$F$190+$A182*('Cálculos'!$F$290=1)*'Cálculos'!$F$97+'Cálculos'!$F$305)+'Cálculos'!$F$195)*('Cálculos'!$F$269+'Cálculos'!$F$124*(1+2.78*('Cálculos'!$F$200+(($B$225)-$A182)*'Cálculos'!$F$98)/(('Cálculos'!$F$200+(($B$225)-$A182)*'Cálculos'!$F$98)+1400)+'Cálculos'!$F$122)*'Cálculos'!$F$274+'Cálculos'!$F$125*(1+2.78*('Cálculos'!$F$200+(($B$225)-$A182)*'Cálculos'!$F$98)/(('Cálculos'!$F$200+(($B$225)-$A182)*'Cálculos'!$F$98)+1400)+'Cálculos'!$F$123)*'Cálculos'!$F$279)+('Cálculos'!$F$200+(($B$225)-$A182)*'Cálculos'!$F$98)*('Cálculos'!$F$270+'Cálculos'!$F$124*(1+2.78*('Cálculos'!$F$200+(($B$225)-$A182)*'Cálculos'!$F$98)/(('Cálculos'!$F$200+(($B$225)-$A182)*'Cálculos'!$F$98)+1400)+'Cálculos'!$F$122)*'Cálculos'!$F$275+'Cálculos'!$F$125*(1+2.78*('Cálculos'!$F$200+(($B$225)-$A182)*'Cálculos'!$F$98)/(('Cálculos'!$F$200+(($B$225)-$A182)*'Cálculos'!$F$98)+1400)+'Cálculos'!$F$123)*'Cálculos'!$F$280)+('Cálculos'!$F$201*(1+'Cálculos'!$F$202+$A182*('Cálculos'!$F$290=2)*'Cálculos'!$F$101)+'Cálculos'!$F$203)*('Cálculos'!$F$271+'Cálculos'!$F$124*(1+2.78*('Cálculos'!$F$200+(($B$225)-$A182)*'Cálculos'!$F$98)/(('Cálculos'!$F$200+(($B$225)-$A182)*'Cálculos'!$F$98)+1400)+'Cálculos'!$F$122)*'Cálculos'!$F$276+'Cálculos'!$F$125*(1+2.78*('Cálculos'!$F$200+(($B$225)-$A182)*'Cálculos'!$F$98)/(('Cálculos'!$F$200+(($B$225)-$A182)*'Cálculos'!$F$98)+1400)+'Cálculos'!$F$123)*'Cálculos'!$F$281)+('Cálculos'!$F$204*(1+'Cálculos'!$F$205+$A182*('Cálculos'!$F$290=3)*'Cálculos'!$F$103)+'Cálculos'!$F$206)*('Cálculos'!$F$272+'Cálculos'!$F$124*(1+2.78*('Cálculos'!$F$200+(($B$225)-$A182)*'Cálculos'!$F$98)/(('Cálculos'!$F$200+(($B$225)-$A182)*'Cálculos'!$F$98)+1400)+'Cálculos'!$F$122)*'Cálculos'!$F$277+'Cálculos'!$F$125*(1+2.78*('Cálculos'!$F$200+(($B$225)-$A182)*'Cálculos'!$F$98)/(('Cálculos'!$F$200+(($B$225)-$A182)*'Cálculos'!$F$98)+1400)+'Cálculos'!$F$123)*'Cálculos'!$F$282)))</f>
        <v>0</v>
      </c>
    </row>
    <row r="183" ht="15.75" customHeight="1">
      <c r="A183" s="2">
        <v>6.0</v>
      </c>
      <c r="B183" s="30">
        <f>SUMPRODUCT(MAX(($A$177:$A$222&lt;=$A183)*($A$177:$A$222&lt;='Cálculos'!$F$294)*(($A183)-$A$177:$A$222&lt;='Cálculos'!$F$295)*(1+(('Cálculos'!$F$207+$A$177:$A$222*'Cálculos'!$F$95)-(('Cálculos'!$F$207+$A$177:$A$222*'Cálculos'!$F$95)&gt;1)*(('Cálculos'!$F$207+$A$177:$A$222*'Cálculos'!$F$95)-1))*('Cálculos'!$F$208+(($A183)-$A$177:$A$222)*'Cálculos'!$F$96))))</f>
        <v>1.795625</v>
      </c>
      <c r="C183" s="2">
        <f>'Cálculos'!$F$303-$A183</f>
        <v>12</v>
      </c>
      <c r="D183" s="31">
        <f>IF($C183&lt;0,0,SUMPRODUCT(MAX(($A$177:$A$222&lt;=$C183)*($A$177:$A$222&lt;='Cálculos'!$F$301)*(($C183)-$A$177:$A$222&lt;='Cálculos'!$F$297)*(('Cálculos'!$F$185*(1+'Cálculos'!$F$186+$A$177:$A$222*('Cálculos'!$F$290=1)*'Cálculos'!$F$97+'Cálculos'!$F$305)+'Cálculos'!$F$191)*('Cálculos'!$F$209+'Cálculos'!$F$124*(1+2.78*('Cálculos'!$F$196+(($C183)-$A$177:$A$222)*'Cálculos'!$F$98)/(('Cálculos'!$F$196+(($C183)-$A$177:$A$222)*'Cálculos'!$F$98)+1400)+'Cálculos'!$F$122)*'Cálculos'!$F$214+'Cálculos'!$F$125*(1+2.78*('Cálculos'!$F$196+(($C183)-$A$177:$A$222)*'Cálculos'!$F$98)/(('Cálculos'!$F$196+(($C183)-$A$177:$A$222)*'Cálculos'!$F$98)+1400)+'Cálculos'!$F$123)*'Cálculos'!$F$219)+('Cálculos'!$F$196+(($C183)-$A$177:$A$222)*'Cálculos'!$F$98)*('Cálculos'!$F$210+'Cálculos'!$F$124*(1+2.78*('Cálculos'!$F$196+(($C183)-$A$177:$A$222)*'Cálculos'!$F$98)/(('Cálculos'!$F$196+(($C183)-$A$177:$A$222)*'Cálculos'!$F$98)+1400)+'Cálculos'!$F$122)*'Cálculos'!$F$215+'Cálculos'!$F$125*(1+2.78*('Cálculos'!$F$196+(($C183)-$A$177:$A$222)*'Cálculos'!$F$98)/(('Cálculos'!$F$196+(($C183)-$A$177:$A$222)*'Cálculos'!$F$98)+1400)+'Cálculos'!$F$123)*'Cálculos'!$F$220)+('Cálculos'!$F$201*(1+'Cálculos'!$F$202+$A$177:$A$222*('Cálculos'!$F$290=2)*'Cálculos'!$F$101)+'Cálculos'!$F$203)*('Cálculos'!$F$211+'Cálculos'!$F$124*(1+2.78*('Cálculos'!$F$196+(($C183)-$A$177:$A$222)*'Cálculos'!$F$98)/(('Cálculos'!$F$196+(($C183)-$A$177:$A$222)*'Cálculos'!$F$98)+1400)+'Cálculos'!$F$122)*'Cálculos'!$F$216+'Cálculos'!$F$125*(1+2.78*('Cálculos'!$F$196+(($C183)-$A$177:$A$222)*'Cálculos'!$F$98)/(('Cálculos'!$F$196+(($C183)-$A$177:$A$222)*'Cálculos'!$F$98)+1400)+'Cálculos'!$F$123)*'Cálculos'!$F$221)+('Cálculos'!$F$204*(1+'Cálculos'!$F$205+$A$177:$A$222*('Cálculos'!$F$290=3)*'Cálculos'!$F$103)+'Cálculos'!$F$206)*('Cálculos'!$F$212+'Cálculos'!$F$124*(1+2.78*('Cálculos'!$F$196+(($C183)-$A$177:$A$222)*'Cálculos'!$F$98)/(('Cálculos'!$F$196+(($C183)-$A$177:$A$222)*'Cálculos'!$F$98)+1400)+'Cálculos'!$F$122)*'Cálculos'!$F$217+'Cálculos'!$F$125*(1+2.78*('Cálculos'!$F$196+(($C183)-$A$177:$A$222)*'Cálculos'!$F$98)/(('Cálculos'!$F$196+(($C183)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183)-$A$177:$A$222)*'Cálculos'!$F$98)/(('Cálculos'!$F$197+(($C183)-$A$177:$A$222)*'Cálculos'!$F$98)+1400)+'Cálculos'!$F$122)*'Cálculos'!$F$229+'Cálculos'!$F$125*(1+2.78*('Cálculos'!$F$197+(($C183)-$A$177:$A$222)*'Cálculos'!$F$98)/(('Cálculos'!$F$197+(($C183)-$A$177:$A$222)*'Cálculos'!$F$98)+1400)+'Cálculos'!$F$123)*'Cálculos'!$F$234)+('Cálculos'!$F$197+(($C183)-$A$177:$A$222)*'Cálculos'!$F$98)*('Cálculos'!$F$225+'Cálculos'!$F$124*(1+2.78*('Cálculos'!$F$197+(($C183)-$A$177:$A$222)*'Cálculos'!$F$98)/(('Cálculos'!$F$197+(($C183)-$A$177:$A$222)*'Cálculos'!$F$98)+1400)+'Cálculos'!$F$122)*'Cálculos'!$F$230+'Cálculos'!$F$125*(1+2.78*('Cálculos'!$F$197+(($C183)-$A$177:$A$222)*'Cálculos'!$F$98)/(('Cálculos'!$F$197+(($C183)-$A$177:$A$222)*'Cálculos'!$F$98)+1400)+'Cálculos'!$F$123)*'Cálculos'!$F$235)+('Cálculos'!$F$201*(1+'Cálculos'!$F$202+$A$177:$A$222*('Cálculos'!$F$290=2)*'Cálculos'!$F$101)+'Cálculos'!$F$203)*('Cálculos'!$F$226+'Cálculos'!$F$124*(1+2.78*('Cálculos'!$F$197+(($C183)-$A$177:$A$222)*'Cálculos'!$F$98)/(('Cálculos'!$F$197+(($C183)-$A$177:$A$222)*'Cálculos'!$F$98)+1400)+'Cálculos'!$F$122)*'Cálculos'!$F$231+'Cálculos'!$F$125*(1+2.78*('Cálculos'!$F$197+(($C183)-$A$177:$A$222)*'Cálculos'!$F$98)/(('Cálculos'!$F$197+(($C183)-$A$177:$A$222)*'Cálculos'!$F$98)+1400)+'Cálculos'!$F$123)*'Cálculos'!$F$236)+('Cálculos'!$F$204*(1+'Cálculos'!$F$205+$A$177:$A$222*('Cálculos'!$F$290=3)*'Cálculos'!$F$103)+'Cálculos'!$F$206)*('Cálculos'!$F$227+'Cálculos'!$F$124*(1+2.78*('Cálculos'!$F$197+(($C183)-$A$177:$A$222)*'Cálculos'!$F$98)/(('Cálculos'!$F$197+(($C183)-$A$177:$A$222)*'Cálculos'!$F$98)+1400)+'Cálculos'!$F$122)*'Cálculos'!$F$232+'Cálculos'!$F$125*(1+2.78*('Cálculos'!$F$197+(($C183)-$A$177:$A$222)*'Cálculos'!$F$98)/(('Cálculos'!$F$197+(($C183)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183)-$A$177:$A$222)*'Cálculos'!$F$98)/(('Cálculos'!$F$198+(($C183)-$A$177:$A$222)*'Cálculos'!$F$98)+1400)+'Cálculos'!$F$122)*'Cálculos'!$F$244+'Cálculos'!$F$125*(1+2.78*('Cálculos'!$F$198+(($C183)-$A$177:$A$222)*'Cálculos'!$F$98)/(('Cálculos'!$F$198+(($C183)-$A$177:$A$222)*'Cálculos'!$F$98)+1400)+'Cálculos'!$F$123)*'Cálculos'!$F$249)+('Cálculos'!$F$198+(($C183)-$A$177:$A$222)*'Cálculos'!$F$98)*('Cálculos'!$F$240+'Cálculos'!$F$124*(1+2.78*('Cálculos'!$F$198+(($C183)-$A$177:$A$222)*'Cálculos'!$F$98)/(('Cálculos'!$F$198+(($C183)-$A$177:$A$222)*'Cálculos'!$F$98)+1400)+'Cálculos'!$F$122)*'Cálculos'!$F$245+'Cálculos'!$F$125*(1+2.78*('Cálculos'!$F$198+(($C183)-$A$177:$A$222)*'Cálculos'!$F$98)/(('Cálculos'!$F$198+(($C183)-$A$177:$A$222)*'Cálculos'!$F$98)+1400)+'Cálculos'!$F$123)*'Cálculos'!$F$250)+('Cálculos'!$F$201*(1+'Cálculos'!$F$202+$A$177:$A$222*('Cálculos'!$F$290=2)*'Cálculos'!$F$101)+'Cálculos'!$F$203)*('Cálculos'!$F$241+'Cálculos'!$F$124*(1+2.78*('Cálculos'!$F$198+(($C183)-$A$177:$A$222)*'Cálculos'!$F$98)/(('Cálculos'!$F$198+(($C183)-$A$177:$A$222)*'Cálculos'!$F$98)+1400)+'Cálculos'!$F$122)*'Cálculos'!$F$246+'Cálculos'!$F$125*(1+2.78*('Cálculos'!$F$198+(($C183)-$A$177:$A$222)*'Cálculos'!$F$98)/(('Cálculos'!$F$198+(($C183)-$A$177:$A$222)*'Cálculos'!$F$98)+1400)+'Cálculos'!$F$123)*'Cálculos'!$F$251)+('Cálculos'!$F$204*(1+'Cálculos'!$F$205+$A$177:$A$222*('Cálculos'!$F$290=3)*'Cálculos'!$F$103)+'Cálculos'!$F$206)*('Cálculos'!$F$242+'Cálculos'!$F$124*(1+2.78*('Cálculos'!$F$198+(($C183)-$A$177:$A$222)*'Cálculos'!$F$98)/(('Cálculos'!$F$198+(($C183)-$A$177:$A$222)*'Cálculos'!$F$98)+1400)+'Cálculos'!$F$122)*'Cálculos'!$F$247+'Cálculos'!$F$125*(1+2.78*('Cálculos'!$F$198+(($C183)-$A$177:$A$222)*'Cálculos'!$F$98)/(('Cálculos'!$F$198+(($C183)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183)-$A$177:$A$222)*'Cálculos'!$F$98)/(('Cálculos'!$F$199+(($C183)-$A$177:$A$222)*'Cálculos'!$F$98)+1400)+'Cálculos'!$F$122)*'Cálculos'!$F$259+'Cálculos'!$F$125*(1+2.78*('Cálculos'!$F$199+(($C183)-$A$177:$A$222)*'Cálculos'!$F$98)/(('Cálculos'!$F$199+(($C183)-$A$177:$A$222)*'Cálculos'!$F$98)+1400)+'Cálculos'!$F$123)*'Cálculos'!$F$264)+('Cálculos'!$F$199+(($C183)-$A$177:$A$222)*'Cálculos'!$F$98)*('Cálculos'!$F$255+'Cálculos'!$F$124*(1+2.78*('Cálculos'!$F$199+(($C183)-$A$177:$A$222)*'Cálculos'!$F$98)/(('Cálculos'!$F$199+(($C183)-$A$177:$A$222)*'Cálculos'!$F$98)+1400)+'Cálculos'!$F$122)*'Cálculos'!$F$260+'Cálculos'!$F$125*(1+2.78*('Cálculos'!$F$199+(($C183)-$A$177:$A$222)*'Cálculos'!$F$98)/(('Cálculos'!$F$199+(($C183)-$A$177:$A$222)*'Cálculos'!$F$98)+1400)+'Cálculos'!$F$123)*'Cálculos'!$F$265)+('Cálculos'!$F$201*(1+'Cálculos'!$F$202+$A$177:$A$222*('Cálculos'!$F$290=2)*'Cálculos'!$F$101)+'Cálculos'!$F$203)*('Cálculos'!$F$256+'Cálculos'!$F$124*(1+2.78*('Cálculos'!$F$199+(($C183)-$A$177:$A$222)*'Cálculos'!$F$98)/(('Cálculos'!$F$199+(($C183)-$A$177:$A$222)*'Cálculos'!$F$98)+1400)+'Cálculos'!$F$122)*'Cálculos'!$F$261+'Cálculos'!$F$125*(1+2.78*('Cálculos'!$F$199+(($C183)-$A$177:$A$222)*'Cálculos'!$F$98)/(('Cálculos'!$F$199+(($C183)-$A$177:$A$222)*'Cálculos'!$F$98)+1400)+'Cálculos'!$F$123)*'Cálculos'!$F$266)+('Cálculos'!$F$204*(1+'Cálculos'!$F$205+$A$177:$A$222*('Cálculos'!$F$290=3)*'Cálculos'!$F$103)+'Cálculos'!$F$206)*('Cálculos'!$F$257+'Cálculos'!$F$124*(1+2.78*('Cálculos'!$F$199+(($C183)-$A$177:$A$222)*'Cálculos'!$F$98)/(('Cálculos'!$F$199+(($C183)-$A$177:$A$222)*'Cálculos'!$F$98)+1400)+'Cálculos'!$F$122)*'Cálculos'!$F$262+'Cálculos'!$F$125*(1+2.78*('Cálculos'!$F$199+(($C183)-$A$177:$A$222)*'Cálculos'!$F$98)/(('Cálculos'!$F$199+(($C183)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183)-$A$177:$A$222)*'Cálculos'!$F$98)/(('Cálculos'!$F$200+(($C183)-$A$177:$A$222)*'Cálculos'!$F$98)+1400)+'Cálculos'!$F$122)*'Cálculos'!$F$274+'Cálculos'!$F$125*(1+2.78*('Cálculos'!$F$200+(($C183)-$A$177:$A$222)*'Cálculos'!$F$98)/(('Cálculos'!$F$200+(($C183)-$A$177:$A$222)*'Cálculos'!$F$98)+1400)+'Cálculos'!$F$123)*'Cálculos'!$F$279)+('Cálculos'!$F$200+(($C183)-$A$177:$A$222)*'Cálculos'!$F$98)*('Cálculos'!$F$270+'Cálculos'!$F$124*(1+2.78*('Cálculos'!$F$200+(($C183)-$A$177:$A$222)*'Cálculos'!$F$98)/(('Cálculos'!$F$200+(($C183)-$A$177:$A$222)*'Cálculos'!$F$98)+1400)+'Cálculos'!$F$122)*'Cálculos'!$F$275+'Cálculos'!$F$125*(1+2.78*('Cálculos'!$F$200+(($C183)-$A$177:$A$222)*'Cálculos'!$F$98)/(('Cálculos'!$F$200+(($C183)-$A$177:$A$222)*'Cálculos'!$F$98)+1400)+'Cálculos'!$F$123)*'Cálculos'!$F$280)+('Cálculos'!$F$201*(1+'Cálculos'!$F$202+$A$177:$A$222*('Cálculos'!$F$290=2)*'Cálculos'!$F$101)+'Cálculos'!$F$203)*('Cálculos'!$F$271+'Cálculos'!$F$124*(1+2.78*('Cálculos'!$F$200+(($C183)-$A$177:$A$222)*'Cálculos'!$F$98)/(('Cálculos'!$F$200+(($C183)-$A$177:$A$222)*'Cálculos'!$F$98)+1400)+'Cálculos'!$F$122)*'Cálculos'!$F$276+'Cálculos'!$F$125*(1+2.78*('Cálculos'!$F$200+(($C183)-$A$177:$A$222)*'Cálculos'!$F$98)/(('Cálculos'!$F$200+(($C183)-$A$177:$A$222)*'Cálculos'!$F$98)+1400)+'Cálculos'!$F$123)*'Cálculos'!$F$281)+('Cálculos'!$F$204*(1+'Cálculos'!$F$205+$A$177:$A$222*('Cálculos'!$F$290=3)*'Cálculos'!$F$103)+'Cálculos'!$F$206)*('Cálculos'!$F$272+'Cálculos'!$F$124*(1+2.78*('Cálculos'!$F$200+(($C183)-$A$177:$A$222)*'Cálculos'!$F$98)/(('Cálculos'!$F$200+(($C183)-$A$177:$A$222)*'Cálculos'!$F$98)+1400)+'Cálculos'!$F$122)*'Cálculos'!$F$277+'Cálculos'!$F$125*(1+2.78*('Cálculos'!$F$200+(($C183)-$A$177:$A$222)*'Cálculos'!$F$98)/(('Cálculos'!$F$200+(($C183)-$A$177:$A$222)*'Cálculos'!$F$98)+1400)+'Cálculos'!$F$123)*'Cálculos'!$F$282)))))</f>
        <v>22031.78524</v>
      </c>
      <c r="E183" s="32">
        <f>IF(OR($C183&lt;0,'Cálculos'!$F$6=""),0,$B183*$D183)</f>
        <v>39560.82437</v>
      </c>
      <c r="F183" s="2"/>
      <c r="G183" s="30">
        <f>($A183&lt;=$B$224)*($A183&lt;='Cálculos'!$F$294)*(($B$224)-$A183&lt;='Cálculos'!$F$295)*(1+MIN(('Cálculos'!$F$207+$A183*'Cálculos'!$F$95),1)*('Cálculos'!$F$208+(($B$224)-$A183)*'Cálculos'!$F$96))</f>
        <v>2.290625</v>
      </c>
      <c r="H183" s="31">
        <f>IF($B$225&lt;0,0,($A183&lt;=$B$225)*($A183&lt;='Cálculos'!$F$301)*(($B$225)-$A183&lt;='Cálculos'!$F$297)*(('Cálculos'!$F$185*(1+'Cálculos'!$F$186+$A183*('Cálculos'!$F$290=1)*'Cálculos'!$F$97+'Cálculos'!$F$305)+'Cálculos'!$F$191)*('Cálculos'!$F$209+'Cálculos'!$F$124*(1+2.78*('Cálculos'!$F$196+(($B$225)-$A183)*'Cálculos'!$F$98)/(('Cálculos'!$F$196+(($B$225)-$A183)*'Cálculos'!$F$98)+1400)+'Cálculos'!$F$122)*'Cálculos'!$F$214+'Cálculos'!$F$125*(1+2.78*('Cálculos'!$F$196+(($B$225)-$A183)*'Cálculos'!$F$98)/(('Cálculos'!$F$196+(($B$225)-$A183)*'Cálculos'!$F$98)+1400)+'Cálculos'!$F$123)*'Cálculos'!$F$219)+('Cálculos'!$F$196+(($B$225)-$A183)*'Cálculos'!$F$98)*('Cálculos'!$F$210+'Cálculos'!$F$124*(1+2.78*('Cálculos'!$F$196+(($B$225)-$A183)*'Cálculos'!$F$98)/(('Cálculos'!$F$196+(($B$225)-$A183)*'Cálculos'!$F$98)+1400)+'Cálculos'!$F$122)*'Cálculos'!$F$215+'Cálculos'!$F$125*(1+2.78*('Cálculos'!$F$196+(($B$225)-$A183)*'Cálculos'!$F$98)/(('Cálculos'!$F$196+(($B$225)-$A183)*'Cálculos'!$F$98)+1400)+'Cálculos'!$F$123)*'Cálculos'!$F$220)+('Cálculos'!$F$201*(1+'Cálculos'!$F$202+$A183*('Cálculos'!$F$290=2)*'Cálculos'!$F$101)+'Cálculos'!$F$203)*('Cálculos'!$F$211+'Cálculos'!$F$124*(1+2.78*('Cálculos'!$F$196+(($B$225)-$A183)*'Cálculos'!$F$98)/(('Cálculos'!$F$196+(($B$225)-$A183)*'Cálculos'!$F$98)+1400)+'Cálculos'!$F$122)*'Cálculos'!$F$216+'Cálculos'!$F$125*(1+2.78*('Cálculos'!$F$196+(($B$225)-$A183)*'Cálculos'!$F$98)/(('Cálculos'!$F$196+(($B$225)-$A183)*'Cálculos'!$F$98)+1400)+'Cálculos'!$F$123)*'Cálculos'!$F$221)+('Cálculos'!$F$204*(1+'Cálculos'!$F$205+$A183*('Cálculos'!$F$290=3)*'Cálculos'!$F$103)+'Cálculos'!$F$206)*('Cálculos'!$F$212+'Cálculos'!$F$124*(1+2.78*('Cálculos'!$F$196+(($B$225)-$A183)*'Cálculos'!$F$98)/(('Cálculos'!$F$196+(($B$225)-$A183)*'Cálculos'!$F$98)+1400)+'Cálculos'!$F$122)*'Cálculos'!$F$217+'Cálculos'!$F$125*(1+2.78*('Cálculos'!$F$196+(($B$225)-$A183)*'Cálculos'!$F$98)/(('Cálculos'!$F$196+(($B$225)-$A183)*'Cálculos'!$F$98)+1400)+'Cálculos'!$F$123)*'Cálculos'!$F$222)+('Cálculos'!$F$185*(1+'Cálculos'!$F$187+$A183*('Cálculos'!$F$290=1)*'Cálculos'!$F$97+'Cálculos'!$F$305)+'Cálculos'!$F$192)*('Cálculos'!$F$224+'Cálculos'!$F$124*(1+2.78*('Cálculos'!$F$197+(($B$225)-$A183)*'Cálculos'!$F$98)/(('Cálculos'!$F$197+(($B$225)-$A183)*'Cálculos'!$F$98)+1400)+'Cálculos'!$F$122)*'Cálculos'!$F$229+'Cálculos'!$F$125*(1+2.78*('Cálculos'!$F$197+(($B$225)-$A183)*'Cálculos'!$F$98)/(('Cálculos'!$F$197+(($B$225)-$A183)*'Cálculos'!$F$98)+1400)+'Cálculos'!$F$123)*'Cálculos'!$F$234)+('Cálculos'!$F$197+(($B$225)-$A183)*'Cálculos'!$F$98)*('Cálculos'!$F$225+'Cálculos'!$F$124*(1+2.78*('Cálculos'!$F$197+(($B$225)-$A183)*'Cálculos'!$F$98)/(('Cálculos'!$F$197+(($B$225)-$A183)*'Cálculos'!$F$98)+1400)+'Cálculos'!$F$122)*'Cálculos'!$F$230+'Cálculos'!$F$125*(1+2.78*('Cálculos'!$F$197+(($B$225)-$A183)*'Cálculos'!$F$98)/(('Cálculos'!$F$197+(($B$225)-$A183)*'Cálculos'!$F$98)+1400)+'Cálculos'!$F$123)*'Cálculos'!$F$235)+('Cálculos'!$F$201*(1+'Cálculos'!$F$202+$A183*('Cálculos'!$F$290=2)*'Cálculos'!$F$101)+'Cálculos'!$F$203)*('Cálculos'!$F$226+'Cálculos'!$F$124*(1+2.78*('Cálculos'!$F$197+(($B$225)-$A183)*'Cálculos'!$F$98)/(('Cálculos'!$F$197+(($B$225)-$A183)*'Cálculos'!$F$98)+1400)+'Cálculos'!$F$122)*'Cálculos'!$F$231+'Cálculos'!$F$125*(1+2.78*('Cálculos'!$F$197+(($B$225)-$A183)*'Cálculos'!$F$98)/(('Cálculos'!$F$197+(($B$225)-$A183)*'Cálculos'!$F$98)+1400)+'Cálculos'!$F$123)*'Cálculos'!$F$236)+('Cálculos'!$F$204*(1+'Cálculos'!$F$205+$A183*('Cálculos'!$F$290=3)*'Cálculos'!$F$103)+'Cálculos'!$F$206)*('Cálculos'!$F$227+'Cálculos'!$F$124*(1+2.78*('Cálculos'!$F$197+(($B$225)-$A183)*'Cálculos'!$F$98)/(('Cálculos'!$F$197+(($B$225)-$A183)*'Cálculos'!$F$98)+1400)+'Cálculos'!$F$122)*'Cálculos'!$F$232+'Cálculos'!$F$125*(1+2.78*('Cálculos'!$F$197+(($B$225)-$A183)*'Cálculos'!$F$98)/(('Cálculos'!$F$197+(($B$225)-$A183)*'Cálculos'!$F$98)+1400)+'Cálculos'!$F$123)*'Cálculos'!$F$237)+('Cálculos'!$F$185*(1+'Cálculos'!$F$188+$A183*('Cálculos'!$F$290=1)*'Cálculos'!$F$97+'Cálculos'!$F$305)+'Cálculos'!$F$193)*('Cálculos'!$F$239+'Cálculos'!$F$124*(1+2.78*('Cálculos'!$F$198+(($B$225)-$A183)*'Cálculos'!$F$98)/(('Cálculos'!$F$198+(($B$225)-$A183)*'Cálculos'!$F$98)+1400)+'Cálculos'!$F$122)*'Cálculos'!$F$244+'Cálculos'!$F$125*(1+2.78*('Cálculos'!$F$198+(($B$225)-$A183)*'Cálculos'!$F$98)/(('Cálculos'!$F$198+(($B$225)-$A183)*'Cálculos'!$F$98)+1400)+'Cálculos'!$F$123)*'Cálculos'!$F$249)+('Cálculos'!$F$198+(($B$225)-$A183)*'Cálculos'!$F$98)*('Cálculos'!$F$240+'Cálculos'!$F$124*(1+2.78*('Cálculos'!$F$198+(($B$225)-$A183)*'Cálculos'!$F$98)/(('Cálculos'!$F$198+(($B$225)-$A183)*'Cálculos'!$F$98)+1400)+'Cálculos'!$F$122)*'Cálculos'!$F$245+'Cálculos'!$F$125*(1+2.78*('Cálculos'!$F$198+(($B$225)-$A183)*'Cálculos'!$F$98)/(('Cálculos'!$F$198+(($B$225)-$A183)*'Cálculos'!$F$98)+1400)+'Cálculos'!$F$123)*'Cálculos'!$F$250)+('Cálculos'!$F$201*(1+'Cálculos'!$F$202+$A183*('Cálculos'!$F$290=2)*'Cálculos'!$F$101)+'Cálculos'!$F$203)*('Cálculos'!$F$241+'Cálculos'!$F$124*(1+2.78*('Cálculos'!$F$198+(($B$225)-$A183)*'Cálculos'!$F$98)/(('Cálculos'!$F$198+(($B$225)-$A183)*'Cálculos'!$F$98)+1400)+'Cálculos'!$F$122)*'Cálculos'!$F$246+'Cálculos'!$F$125*(1+2.78*('Cálculos'!$F$198+(($B$225)-$A183)*'Cálculos'!$F$98)/(('Cálculos'!$F$198+(($B$225)-$A183)*'Cálculos'!$F$98)+1400)+'Cálculos'!$F$123)*'Cálculos'!$F$251)+('Cálculos'!$F$204*(1+'Cálculos'!$F$205+$A183*('Cálculos'!$F$290=3)*'Cálculos'!$F$103)+'Cálculos'!$F$206)*('Cálculos'!$F$242+'Cálculos'!$F$124*(1+2.78*('Cálculos'!$F$198+(($B$225)-$A183)*'Cálculos'!$F$98)/(('Cálculos'!$F$198+(($B$225)-$A183)*'Cálculos'!$F$98)+1400)+'Cálculos'!$F$122)*'Cálculos'!$F$247+'Cálculos'!$F$125*(1+2.78*('Cálculos'!$F$198+(($B$225)-$A183)*'Cálculos'!$F$98)/(('Cálculos'!$F$198+(($B$225)-$A183)*'Cálculos'!$F$98)+1400)+'Cálculos'!$F$123)*'Cálculos'!$F$252)+('Cálculos'!$F$185*(1+'Cálculos'!$F$189+$A183*('Cálculos'!$F$290=1)*'Cálculos'!$F$97+'Cálculos'!$F$305)+'Cálculos'!$F$194)*('Cálculos'!$F$254+'Cálculos'!$F$124*(1+2.78*('Cálculos'!$F$199+(($B$225)-$A183)*'Cálculos'!$F$98)/(('Cálculos'!$F$199+(($B$225)-$A183)*'Cálculos'!$F$98)+1400)+'Cálculos'!$F$122)*'Cálculos'!$F$259+'Cálculos'!$F$125*(1+2.78*('Cálculos'!$F$199+(($B$225)-$A183)*'Cálculos'!$F$98)/(('Cálculos'!$F$199+(($B$225)-$A183)*'Cálculos'!$F$98)+1400)+'Cálculos'!$F$123)*'Cálculos'!$F$264)+('Cálculos'!$F$199+(($B$225)-$A183)*'Cálculos'!$F$98)*('Cálculos'!$F$255+'Cálculos'!$F$124*(1+2.78*('Cálculos'!$F$199+(($B$225)-$A183)*'Cálculos'!$F$98)/(('Cálculos'!$F$199+(($B$225)-$A183)*'Cálculos'!$F$98)+1400)+'Cálculos'!$F$122)*'Cálculos'!$F$260+'Cálculos'!$F$125*(1+2.78*('Cálculos'!$F$199+(($B$225)-$A183)*'Cálculos'!$F$98)/(('Cálculos'!$F$199+(($B$225)-$A183)*'Cálculos'!$F$98)+1400)+'Cálculos'!$F$123)*'Cálculos'!$F$265)+('Cálculos'!$F$201*(1+'Cálculos'!$F$202+$A183*('Cálculos'!$F$290=2)*'Cálculos'!$F$101)+'Cálculos'!$F$203)*('Cálculos'!$F$256+'Cálculos'!$F$124*(1+2.78*('Cálculos'!$F$199+(($B$225)-$A183)*'Cálculos'!$F$98)/(('Cálculos'!$F$199+(($B$225)-$A183)*'Cálculos'!$F$98)+1400)+'Cálculos'!$F$122)*'Cálculos'!$F$261+'Cálculos'!$F$125*(1+2.78*('Cálculos'!$F$199+(($B$225)-$A183)*'Cálculos'!$F$98)/(('Cálculos'!$F$199+(($B$225)-$A183)*'Cálculos'!$F$98)+1400)+'Cálculos'!$F$123)*'Cálculos'!$F$266)+('Cálculos'!$F$204*(1+'Cálculos'!$F$205+$A183*('Cálculos'!$F$290=3)*'Cálculos'!$F$103)+'Cálculos'!$F$206)*('Cálculos'!$F$257+'Cálculos'!$F$124*(1+2.78*('Cálculos'!$F$199+(($B$225)-$A183)*'Cálculos'!$F$98)/(('Cálculos'!$F$199+(($B$225)-$A183)*'Cálculos'!$F$98)+1400)+'Cálculos'!$F$122)*'Cálculos'!$F$262+'Cálculos'!$F$125*(1+2.78*('Cálculos'!$F$199+(($B$225)-$A183)*'Cálculos'!$F$98)/(('Cálculos'!$F$199+(($B$225)-$A183)*'Cálculos'!$F$98)+1400)+'Cálculos'!$F$123)*'Cálculos'!$F$267)+('Cálculos'!$F$185*(1+'Cálculos'!$F$190+$A183*('Cálculos'!$F$290=1)*'Cálculos'!$F$97+'Cálculos'!$F$305)+'Cálculos'!$F$195)*('Cálculos'!$F$269+'Cálculos'!$F$124*(1+2.78*('Cálculos'!$F$200+(($B$225)-$A183)*'Cálculos'!$F$98)/(('Cálculos'!$F$200+(($B$225)-$A183)*'Cálculos'!$F$98)+1400)+'Cálculos'!$F$122)*'Cálculos'!$F$274+'Cálculos'!$F$125*(1+2.78*('Cálculos'!$F$200+(($B$225)-$A183)*'Cálculos'!$F$98)/(('Cálculos'!$F$200+(($B$225)-$A183)*'Cálculos'!$F$98)+1400)+'Cálculos'!$F$123)*'Cálculos'!$F$279)+('Cálculos'!$F$200+(($B$225)-$A183)*'Cálculos'!$F$98)*('Cálculos'!$F$270+'Cálculos'!$F$124*(1+2.78*('Cálculos'!$F$200+(($B$225)-$A183)*'Cálculos'!$F$98)/(('Cálculos'!$F$200+(($B$225)-$A183)*'Cálculos'!$F$98)+1400)+'Cálculos'!$F$122)*'Cálculos'!$F$275+'Cálculos'!$F$125*(1+2.78*('Cálculos'!$F$200+(($B$225)-$A183)*'Cálculos'!$F$98)/(('Cálculos'!$F$200+(($B$225)-$A183)*'Cálculos'!$F$98)+1400)+'Cálculos'!$F$123)*'Cálculos'!$F$280)+('Cálculos'!$F$201*(1+'Cálculos'!$F$202+$A183*('Cálculos'!$F$290=2)*'Cálculos'!$F$101)+'Cálculos'!$F$203)*('Cálculos'!$F$271+'Cálculos'!$F$124*(1+2.78*('Cálculos'!$F$200+(($B$225)-$A183)*'Cálculos'!$F$98)/(('Cálculos'!$F$200+(($B$225)-$A183)*'Cálculos'!$F$98)+1400)+'Cálculos'!$F$122)*'Cálculos'!$F$276+'Cálculos'!$F$125*(1+2.78*('Cálculos'!$F$200+(($B$225)-$A183)*'Cálculos'!$F$98)/(('Cálculos'!$F$200+(($B$225)-$A183)*'Cálculos'!$F$98)+1400)+'Cálculos'!$F$123)*'Cálculos'!$F$281)+('Cálculos'!$F$204*(1+'Cálculos'!$F$205+$A183*('Cálculos'!$F$290=3)*'Cálculos'!$F$103)+'Cálculos'!$F$206)*('Cálculos'!$F$272+'Cálculos'!$F$124*(1+2.78*('Cálculos'!$F$200+(($B$225)-$A183)*'Cálculos'!$F$98)/(('Cálculos'!$F$200+(($B$225)-$A183)*'Cálculos'!$F$98)+1400)+'Cálculos'!$F$122)*'Cálculos'!$F$277+'Cálculos'!$F$125*(1+2.78*('Cálculos'!$F$200+(($B$225)-$A183)*'Cálculos'!$F$98)/(('Cálculos'!$F$200+(($B$225)-$A183)*'Cálculos'!$F$98)+1400)+'Cálculos'!$F$123)*'Cálculos'!$F$282)))</f>
        <v>0</v>
      </c>
    </row>
    <row r="184" ht="15.75" customHeight="1">
      <c r="A184" s="2">
        <v>7.0</v>
      </c>
      <c r="B184" s="30">
        <f>SUMPRODUCT(MAX(($A$177:$A$222&lt;=$A184)*($A$177:$A$222&lt;='Cálculos'!$F$294)*(($A184)-$A$177:$A$222&lt;='Cálculos'!$F$295)*(1+(('Cálculos'!$F$207+$A$177:$A$222*'Cálculos'!$F$95)-(('Cálculos'!$F$207+$A$177:$A$222*'Cálculos'!$F$95)&gt;1)*(('Cálculos'!$F$207+$A$177:$A$222*'Cálculos'!$F$95)-1))*('Cálculos'!$F$208+(($A184)-$A$177:$A$222)*'Cálculos'!$F$96))))</f>
        <v>1.837634</v>
      </c>
      <c r="C184" s="2">
        <f>'Cálculos'!$F$303-$A184</f>
        <v>11</v>
      </c>
      <c r="D184" s="31">
        <f>IF($C184&lt;0,0,SUMPRODUCT(MAX(($A$177:$A$222&lt;=$C184)*($A$177:$A$222&lt;='Cálculos'!$F$301)*(($C184)-$A$177:$A$222&lt;='Cálculos'!$F$297)*(('Cálculos'!$F$185*(1+'Cálculos'!$F$186+$A$177:$A$222*('Cálculos'!$F$290=1)*'Cálculos'!$F$97+'Cálculos'!$F$305)+'Cálculos'!$F$191)*('Cálculos'!$F$209+'Cálculos'!$F$124*(1+2.78*('Cálculos'!$F$196+(($C184)-$A$177:$A$222)*'Cálculos'!$F$98)/(('Cálculos'!$F$196+(($C184)-$A$177:$A$222)*'Cálculos'!$F$98)+1400)+'Cálculos'!$F$122)*'Cálculos'!$F$214+'Cálculos'!$F$125*(1+2.78*('Cálculos'!$F$196+(($C184)-$A$177:$A$222)*'Cálculos'!$F$98)/(('Cálculos'!$F$196+(($C184)-$A$177:$A$222)*'Cálculos'!$F$98)+1400)+'Cálculos'!$F$123)*'Cálculos'!$F$219)+('Cálculos'!$F$196+(($C184)-$A$177:$A$222)*'Cálculos'!$F$98)*('Cálculos'!$F$210+'Cálculos'!$F$124*(1+2.78*('Cálculos'!$F$196+(($C184)-$A$177:$A$222)*'Cálculos'!$F$98)/(('Cálculos'!$F$196+(($C184)-$A$177:$A$222)*'Cálculos'!$F$98)+1400)+'Cálculos'!$F$122)*'Cálculos'!$F$215+'Cálculos'!$F$125*(1+2.78*('Cálculos'!$F$196+(($C184)-$A$177:$A$222)*'Cálculos'!$F$98)/(('Cálculos'!$F$196+(($C184)-$A$177:$A$222)*'Cálculos'!$F$98)+1400)+'Cálculos'!$F$123)*'Cálculos'!$F$220)+('Cálculos'!$F$201*(1+'Cálculos'!$F$202+$A$177:$A$222*('Cálculos'!$F$290=2)*'Cálculos'!$F$101)+'Cálculos'!$F$203)*('Cálculos'!$F$211+'Cálculos'!$F$124*(1+2.78*('Cálculos'!$F$196+(($C184)-$A$177:$A$222)*'Cálculos'!$F$98)/(('Cálculos'!$F$196+(($C184)-$A$177:$A$222)*'Cálculos'!$F$98)+1400)+'Cálculos'!$F$122)*'Cálculos'!$F$216+'Cálculos'!$F$125*(1+2.78*('Cálculos'!$F$196+(($C184)-$A$177:$A$222)*'Cálculos'!$F$98)/(('Cálculos'!$F$196+(($C184)-$A$177:$A$222)*'Cálculos'!$F$98)+1400)+'Cálculos'!$F$123)*'Cálculos'!$F$221)+('Cálculos'!$F$204*(1+'Cálculos'!$F$205+$A$177:$A$222*('Cálculos'!$F$290=3)*'Cálculos'!$F$103)+'Cálculos'!$F$206)*('Cálculos'!$F$212+'Cálculos'!$F$124*(1+2.78*('Cálculos'!$F$196+(($C184)-$A$177:$A$222)*'Cálculos'!$F$98)/(('Cálculos'!$F$196+(($C184)-$A$177:$A$222)*'Cálculos'!$F$98)+1400)+'Cálculos'!$F$122)*'Cálculos'!$F$217+'Cálculos'!$F$125*(1+2.78*('Cálculos'!$F$196+(($C184)-$A$177:$A$222)*'Cálculos'!$F$98)/(('Cálculos'!$F$196+(($C184)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184)-$A$177:$A$222)*'Cálculos'!$F$98)/(('Cálculos'!$F$197+(($C184)-$A$177:$A$222)*'Cálculos'!$F$98)+1400)+'Cálculos'!$F$122)*'Cálculos'!$F$229+'Cálculos'!$F$125*(1+2.78*('Cálculos'!$F$197+(($C184)-$A$177:$A$222)*'Cálculos'!$F$98)/(('Cálculos'!$F$197+(($C184)-$A$177:$A$222)*'Cálculos'!$F$98)+1400)+'Cálculos'!$F$123)*'Cálculos'!$F$234)+('Cálculos'!$F$197+(($C184)-$A$177:$A$222)*'Cálculos'!$F$98)*('Cálculos'!$F$225+'Cálculos'!$F$124*(1+2.78*('Cálculos'!$F$197+(($C184)-$A$177:$A$222)*'Cálculos'!$F$98)/(('Cálculos'!$F$197+(($C184)-$A$177:$A$222)*'Cálculos'!$F$98)+1400)+'Cálculos'!$F$122)*'Cálculos'!$F$230+'Cálculos'!$F$125*(1+2.78*('Cálculos'!$F$197+(($C184)-$A$177:$A$222)*'Cálculos'!$F$98)/(('Cálculos'!$F$197+(($C184)-$A$177:$A$222)*'Cálculos'!$F$98)+1400)+'Cálculos'!$F$123)*'Cálculos'!$F$235)+('Cálculos'!$F$201*(1+'Cálculos'!$F$202+$A$177:$A$222*('Cálculos'!$F$290=2)*'Cálculos'!$F$101)+'Cálculos'!$F$203)*('Cálculos'!$F$226+'Cálculos'!$F$124*(1+2.78*('Cálculos'!$F$197+(($C184)-$A$177:$A$222)*'Cálculos'!$F$98)/(('Cálculos'!$F$197+(($C184)-$A$177:$A$222)*'Cálculos'!$F$98)+1400)+'Cálculos'!$F$122)*'Cálculos'!$F$231+'Cálculos'!$F$125*(1+2.78*('Cálculos'!$F$197+(($C184)-$A$177:$A$222)*'Cálculos'!$F$98)/(('Cálculos'!$F$197+(($C184)-$A$177:$A$222)*'Cálculos'!$F$98)+1400)+'Cálculos'!$F$123)*'Cálculos'!$F$236)+('Cálculos'!$F$204*(1+'Cálculos'!$F$205+$A$177:$A$222*('Cálculos'!$F$290=3)*'Cálculos'!$F$103)+'Cálculos'!$F$206)*('Cálculos'!$F$227+'Cálculos'!$F$124*(1+2.78*('Cálculos'!$F$197+(($C184)-$A$177:$A$222)*'Cálculos'!$F$98)/(('Cálculos'!$F$197+(($C184)-$A$177:$A$222)*'Cálculos'!$F$98)+1400)+'Cálculos'!$F$122)*'Cálculos'!$F$232+'Cálculos'!$F$125*(1+2.78*('Cálculos'!$F$197+(($C184)-$A$177:$A$222)*'Cálculos'!$F$98)/(('Cálculos'!$F$197+(($C184)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184)-$A$177:$A$222)*'Cálculos'!$F$98)/(('Cálculos'!$F$198+(($C184)-$A$177:$A$222)*'Cálculos'!$F$98)+1400)+'Cálculos'!$F$122)*'Cálculos'!$F$244+'Cálculos'!$F$125*(1+2.78*('Cálculos'!$F$198+(($C184)-$A$177:$A$222)*'Cálculos'!$F$98)/(('Cálculos'!$F$198+(($C184)-$A$177:$A$222)*'Cálculos'!$F$98)+1400)+'Cálculos'!$F$123)*'Cálculos'!$F$249)+('Cálculos'!$F$198+(($C184)-$A$177:$A$222)*'Cálculos'!$F$98)*('Cálculos'!$F$240+'Cálculos'!$F$124*(1+2.78*('Cálculos'!$F$198+(($C184)-$A$177:$A$222)*'Cálculos'!$F$98)/(('Cálculos'!$F$198+(($C184)-$A$177:$A$222)*'Cálculos'!$F$98)+1400)+'Cálculos'!$F$122)*'Cálculos'!$F$245+'Cálculos'!$F$125*(1+2.78*('Cálculos'!$F$198+(($C184)-$A$177:$A$222)*'Cálculos'!$F$98)/(('Cálculos'!$F$198+(($C184)-$A$177:$A$222)*'Cálculos'!$F$98)+1400)+'Cálculos'!$F$123)*'Cálculos'!$F$250)+('Cálculos'!$F$201*(1+'Cálculos'!$F$202+$A$177:$A$222*('Cálculos'!$F$290=2)*'Cálculos'!$F$101)+'Cálculos'!$F$203)*('Cálculos'!$F$241+'Cálculos'!$F$124*(1+2.78*('Cálculos'!$F$198+(($C184)-$A$177:$A$222)*'Cálculos'!$F$98)/(('Cálculos'!$F$198+(($C184)-$A$177:$A$222)*'Cálculos'!$F$98)+1400)+'Cálculos'!$F$122)*'Cálculos'!$F$246+'Cálculos'!$F$125*(1+2.78*('Cálculos'!$F$198+(($C184)-$A$177:$A$222)*'Cálculos'!$F$98)/(('Cálculos'!$F$198+(($C184)-$A$177:$A$222)*'Cálculos'!$F$98)+1400)+'Cálculos'!$F$123)*'Cálculos'!$F$251)+('Cálculos'!$F$204*(1+'Cálculos'!$F$205+$A$177:$A$222*('Cálculos'!$F$290=3)*'Cálculos'!$F$103)+'Cálculos'!$F$206)*('Cálculos'!$F$242+'Cálculos'!$F$124*(1+2.78*('Cálculos'!$F$198+(($C184)-$A$177:$A$222)*'Cálculos'!$F$98)/(('Cálculos'!$F$198+(($C184)-$A$177:$A$222)*'Cálculos'!$F$98)+1400)+'Cálculos'!$F$122)*'Cálculos'!$F$247+'Cálculos'!$F$125*(1+2.78*('Cálculos'!$F$198+(($C184)-$A$177:$A$222)*'Cálculos'!$F$98)/(('Cálculos'!$F$198+(($C184)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184)-$A$177:$A$222)*'Cálculos'!$F$98)/(('Cálculos'!$F$199+(($C184)-$A$177:$A$222)*'Cálculos'!$F$98)+1400)+'Cálculos'!$F$122)*'Cálculos'!$F$259+'Cálculos'!$F$125*(1+2.78*('Cálculos'!$F$199+(($C184)-$A$177:$A$222)*'Cálculos'!$F$98)/(('Cálculos'!$F$199+(($C184)-$A$177:$A$222)*'Cálculos'!$F$98)+1400)+'Cálculos'!$F$123)*'Cálculos'!$F$264)+('Cálculos'!$F$199+(($C184)-$A$177:$A$222)*'Cálculos'!$F$98)*('Cálculos'!$F$255+'Cálculos'!$F$124*(1+2.78*('Cálculos'!$F$199+(($C184)-$A$177:$A$222)*'Cálculos'!$F$98)/(('Cálculos'!$F$199+(($C184)-$A$177:$A$222)*'Cálculos'!$F$98)+1400)+'Cálculos'!$F$122)*'Cálculos'!$F$260+'Cálculos'!$F$125*(1+2.78*('Cálculos'!$F$199+(($C184)-$A$177:$A$222)*'Cálculos'!$F$98)/(('Cálculos'!$F$199+(($C184)-$A$177:$A$222)*'Cálculos'!$F$98)+1400)+'Cálculos'!$F$123)*'Cálculos'!$F$265)+('Cálculos'!$F$201*(1+'Cálculos'!$F$202+$A$177:$A$222*('Cálculos'!$F$290=2)*'Cálculos'!$F$101)+'Cálculos'!$F$203)*('Cálculos'!$F$256+'Cálculos'!$F$124*(1+2.78*('Cálculos'!$F$199+(($C184)-$A$177:$A$222)*'Cálculos'!$F$98)/(('Cálculos'!$F$199+(($C184)-$A$177:$A$222)*'Cálculos'!$F$98)+1400)+'Cálculos'!$F$122)*'Cálculos'!$F$261+'Cálculos'!$F$125*(1+2.78*('Cálculos'!$F$199+(($C184)-$A$177:$A$222)*'Cálculos'!$F$98)/(('Cálculos'!$F$199+(($C184)-$A$177:$A$222)*'Cálculos'!$F$98)+1400)+'Cálculos'!$F$123)*'Cálculos'!$F$266)+('Cálculos'!$F$204*(1+'Cálculos'!$F$205+$A$177:$A$222*('Cálculos'!$F$290=3)*'Cálculos'!$F$103)+'Cálculos'!$F$206)*('Cálculos'!$F$257+'Cálculos'!$F$124*(1+2.78*('Cálculos'!$F$199+(($C184)-$A$177:$A$222)*'Cálculos'!$F$98)/(('Cálculos'!$F$199+(($C184)-$A$177:$A$222)*'Cálculos'!$F$98)+1400)+'Cálculos'!$F$122)*'Cálculos'!$F$262+'Cálculos'!$F$125*(1+2.78*('Cálculos'!$F$199+(($C184)-$A$177:$A$222)*'Cálculos'!$F$98)/(('Cálculos'!$F$199+(($C184)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184)-$A$177:$A$222)*'Cálculos'!$F$98)/(('Cálculos'!$F$200+(($C184)-$A$177:$A$222)*'Cálculos'!$F$98)+1400)+'Cálculos'!$F$122)*'Cálculos'!$F$274+'Cálculos'!$F$125*(1+2.78*('Cálculos'!$F$200+(($C184)-$A$177:$A$222)*'Cálculos'!$F$98)/(('Cálculos'!$F$200+(($C184)-$A$177:$A$222)*'Cálculos'!$F$98)+1400)+'Cálculos'!$F$123)*'Cálculos'!$F$279)+('Cálculos'!$F$200+(($C184)-$A$177:$A$222)*'Cálculos'!$F$98)*('Cálculos'!$F$270+'Cálculos'!$F$124*(1+2.78*('Cálculos'!$F$200+(($C184)-$A$177:$A$222)*'Cálculos'!$F$98)/(('Cálculos'!$F$200+(($C184)-$A$177:$A$222)*'Cálculos'!$F$98)+1400)+'Cálculos'!$F$122)*'Cálculos'!$F$275+'Cálculos'!$F$125*(1+2.78*('Cálculos'!$F$200+(($C184)-$A$177:$A$222)*'Cálculos'!$F$98)/(('Cálculos'!$F$200+(($C184)-$A$177:$A$222)*'Cálculos'!$F$98)+1400)+'Cálculos'!$F$123)*'Cálculos'!$F$280)+('Cálculos'!$F$201*(1+'Cálculos'!$F$202+$A$177:$A$222*('Cálculos'!$F$290=2)*'Cálculos'!$F$101)+'Cálculos'!$F$203)*('Cálculos'!$F$271+'Cálculos'!$F$124*(1+2.78*('Cálculos'!$F$200+(($C184)-$A$177:$A$222)*'Cálculos'!$F$98)/(('Cálculos'!$F$200+(($C184)-$A$177:$A$222)*'Cálculos'!$F$98)+1400)+'Cálculos'!$F$122)*'Cálculos'!$F$276+'Cálculos'!$F$125*(1+2.78*('Cálculos'!$F$200+(($C184)-$A$177:$A$222)*'Cálculos'!$F$98)/(('Cálculos'!$F$200+(($C184)-$A$177:$A$222)*'Cálculos'!$F$98)+1400)+'Cálculos'!$F$123)*'Cálculos'!$F$281)+('Cálculos'!$F$204*(1+'Cálculos'!$F$205+$A$177:$A$222*('Cálculos'!$F$290=3)*'Cálculos'!$F$103)+'Cálculos'!$F$206)*('Cálculos'!$F$272+'Cálculos'!$F$124*(1+2.78*('Cálculos'!$F$200+(($C184)-$A$177:$A$222)*'Cálculos'!$F$98)/(('Cálculos'!$F$200+(($C184)-$A$177:$A$222)*'Cálculos'!$F$98)+1400)+'Cálculos'!$F$122)*'Cálculos'!$F$277+'Cálculos'!$F$125*(1+2.78*('Cálculos'!$F$200+(($C184)-$A$177:$A$222)*'Cálculos'!$F$98)/(('Cálculos'!$F$200+(($C184)-$A$177:$A$222)*'Cálculos'!$F$98)+1400)+'Cálculos'!$F$123)*'Cálculos'!$F$282)))))</f>
        <v>21807.92765</v>
      </c>
      <c r="E184" s="32">
        <f>IF(OR($C184&lt;0,'Cálculos'!$F$6=""),0,$B184*$D184)</f>
        <v>40074.98931</v>
      </c>
      <c r="F184" s="2"/>
      <c r="G184" s="30">
        <f>($A184&lt;=$B$224)*($A184&lt;='Cálculos'!$F$294)*(($B$224)-$A184&lt;='Cálculos'!$F$295)*(1+MIN(('Cálculos'!$F$207+$A184*'Cálculos'!$F$95),1)*('Cálculos'!$F$208+(($B$224)-$A184)*'Cálculos'!$F$96))</f>
        <v>2.315342</v>
      </c>
      <c r="H184" s="31">
        <f>IF($B$225&lt;0,0,($A184&lt;=$B$225)*($A184&lt;='Cálculos'!$F$301)*(($B$225)-$A184&lt;='Cálculos'!$F$297)*(('Cálculos'!$F$185*(1+'Cálculos'!$F$186+$A184*('Cálculos'!$F$290=1)*'Cálculos'!$F$97+'Cálculos'!$F$305)+'Cálculos'!$F$191)*('Cálculos'!$F$209+'Cálculos'!$F$124*(1+2.78*('Cálculos'!$F$196+(($B$225)-$A184)*'Cálculos'!$F$98)/(('Cálculos'!$F$196+(($B$225)-$A184)*'Cálculos'!$F$98)+1400)+'Cálculos'!$F$122)*'Cálculos'!$F$214+'Cálculos'!$F$125*(1+2.78*('Cálculos'!$F$196+(($B$225)-$A184)*'Cálculos'!$F$98)/(('Cálculos'!$F$196+(($B$225)-$A184)*'Cálculos'!$F$98)+1400)+'Cálculos'!$F$123)*'Cálculos'!$F$219)+('Cálculos'!$F$196+(($B$225)-$A184)*'Cálculos'!$F$98)*('Cálculos'!$F$210+'Cálculos'!$F$124*(1+2.78*('Cálculos'!$F$196+(($B$225)-$A184)*'Cálculos'!$F$98)/(('Cálculos'!$F$196+(($B$225)-$A184)*'Cálculos'!$F$98)+1400)+'Cálculos'!$F$122)*'Cálculos'!$F$215+'Cálculos'!$F$125*(1+2.78*('Cálculos'!$F$196+(($B$225)-$A184)*'Cálculos'!$F$98)/(('Cálculos'!$F$196+(($B$225)-$A184)*'Cálculos'!$F$98)+1400)+'Cálculos'!$F$123)*'Cálculos'!$F$220)+('Cálculos'!$F$201*(1+'Cálculos'!$F$202+$A184*('Cálculos'!$F$290=2)*'Cálculos'!$F$101)+'Cálculos'!$F$203)*('Cálculos'!$F$211+'Cálculos'!$F$124*(1+2.78*('Cálculos'!$F$196+(($B$225)-$A184)*'Cálculos'!$F$98)/(('Cálculos'!$F$196+(($B$225)-$A184)*'Cálculos'!$F$98)+1400)+'Cálculos'!$F$122)*'Cálculos'!$F$216+'Cálculos'!$F$125*(1+2.78*('Cálculos'!$F$196+(($B$225)-$A184)*'Cálculos'!$F$98)/(('Cálculos'!$F$196+(($B$225)-$A184)*'Cálculos'!$F$98)+1400)+'Cálculos'!$F$123)*'Cálculos'!$F$221)+('Cálculos'!$F$204*(1+'Cálculos'!$F$205+$A184*('Cálculos'!$F$290=3)*'Cálculos'!$F$103)+'Cálculos'!$F$206)*('Cálculos'!$F$212+'Cálculos'!$F$124*(1+2.78*('Cálculos'!$F$196+(($B$225)-$A184)*'Cálculos'!$F$98)/(('Cálculos'!$F$196+(($B$225)-$A184)*'Cálculos'!$F$98)+1400)+'Cálculos'!$F$122)*'Cálculos'!$F$217+'Cálculos'!$F$125*(1+2.78*('Cálculos'!$F$196+(($B$225)-$A184)*'Cálculos'!$F$98)/(('Cálculos'!$F$196+(($B$225)-$A184)*'Cálculos'!$F$98)+1400)+'Cálculos'!$F$123)*'Cálculos'!$F$222)+('Cálculos'!$F$185*(1+'Cálculos'!$F$187+$A184*('Cálculos'!$F$290=1)*'Cálculos'!$F$97+'Cálculos'!$F$305)+'Cálculos'!$F$192)*('Cálculos'!$F$224+'Cálculos'!$F$124*(1+2.78*('Cálculos'!$F$197+(($B$225)-$A184)*'Cálculos'!$F$98)/(('Cálculos'!$F$197+(($B$225)-$A184)*'Cálculos'!$F$98)+1400)+'Cálculos'!$F$122)*'Cálculos'!$F$229+'Cálculos'!$F$125*(1+2.78*('Cálculos'!$F$197+(($B$225)-$A184)*'Cálculos'!$F$98)/(('Cálculos'!$F$197+(($B$225)-$A184)*'Cálculos'!$F$98)+1400)+'Cálculos'!$F$123)*'Cálculos'!$F$234)+('Cálculos'!$F$197+(($B$225)-$A184)*'Cálculos'!$F$98)*('Cálculos'!$F$225+'Cálculos'!$F$124*(1+2.78*('Cálculos'!$F$197+(($B$225)-$A184)*'Cálculos'!$F$98)/(('Cálculos'!$F$197+(($B$225)-$A184)*'Cálculos'!$F$98)+1400)+'Cálculos'!$F$122)*'Cálculos'!$F$230+'Cálculos'!$F$125*(1+2.78*('Cálculos'!$F$197+(($B$225)-$A184)*'Cálculos'!$F$98)/(('Cálculos'!$F$197+(($B$225)-$A184)*'Cálculos'!$F$98)+1400)+'Cálculos'!$F$123)*'Cálculos'!$F$235)+('Cálculos'!$F$201*(1+'Cálculos'!$F$202+$A184*('Cálculos'!$F$290=2)*'Cálculos'!$F$101)+'Cálculos'!$F$203)*('Cálculos'!$F$226+'Cálculos'!$F$124*(1+2.78*('Cálculos'!$F$197+(($B$225)-$A184)*'Cálculos'!$F$98)/(('Cálculos'!$F$197+(($B$225)-$A184)*'Cálculos'!$F$98)+1400)+'Cálculos'!$F$122)*'Cálculos'!$F$231+'Cálculos'!$F$125*(1+2.78*('Cálculos'!$F$197+(($B$225)-$A184)*'Cálculos'!$F$98)/(('Cálculos'!$F$197+(($B$225)-$A184)*'Cálculos'!$F$98)+1400)+'Cálculos'!$F$123)*'Cálculos'!$F$236)+('Cálculos'!$F$204*(1+'Cálculos'!$F$205+$A184*('Cálculos'!$F$290=3)*'Cálculos'!$F$103)+'Cálculos'!$F$206)*('Cálculos'!$F$227+'Cálculos'!$F$124*(1+2.78*('Cálculos'!$F$197+(($B$225)-$A184)*'Cálculos'!$F$98)/(('Cálculos'!$F$197+(($B$225)-$A184)*'Cálculos'!$F$98)+1400)+'Cálculos'!$F$122)*'Cálculos'!$F$232+'Cálculos'!$F$125*(1+2.78*('Cálculos'!$F$197+(($B$225)-$A184)*'Cálculos'!$F$98)/(('Cálculos'!$F$197+(($B$225)-$A184)*'Cálculos'!$F$98)+1400)+'Cálculos'!$F$123)*'Cálculos'!$F$237)+('Cálculos'!$F$185*(1+'Cálculos'!$F$188+$A184*('Cálculos'!$F$290=1)*'Cálculos'!$F$97+'Cálculos'!$F$305)+'Cálculos'!$F$193)*('Cálculos'!$F$239+'Cálculos'!$F$124*(1+2.78*('Cálculos'!$F$198+(($B$225)-$A184)*'Cálculos'!$F$98)/(('Cálculos'!$F$198+(($B$225)-$A184)*'Cálculos'!$F$98)+1400)+'Cálculos'!$F$122)*'Cálculos'!$F$244+'Cálculos'!$F$125*(1+2.78*('Cálculos'!$F$198+(($B$225)-$A184)*'Cálculos'!$F$98)/(('Cálculos'!$F$198+(($B$225)-$A184)*'Cálculos'!$F$98)+1400)+'Cálculos'!$F$123)*'Cálculos'!$F$249)+('Cálculos'!$F$198+(($B$225)-$A184)*'Cálculos'!$F$98)*('Cálculos'!$F$240+'Cálculos'!$F$124*(1+2.78*('Cálculos'!$F$198+(($B$225)-$A184)*'Cálculos'!$F$98)/(('Cálculos'!$F$198+(($B$225)-$A184)*'Cálculos'!$F$98)+1400)+'Cálculos'!$F$122)*'Cálculos'!$F$245+'Cálculos'!$F$125*(1+2.78*('Cálculos'!$F$198+(($B$225)-$A184)*'Cálculos'!$F$98)/(('Cálculos'!$F$198+(($B$225)-$A184)*'Cálculos'!$F$98)+1400)+'Cálculos'!$F$123)*'Cálculos'!$F$250)+('Cálculos'!$F$201*(1+'Cálculos'!$F$202+$A184*('Cálculos'!$F$290=2)*'Cálculos'!$F$101)+'Cálculos'!$F$203)*('Cálculos'!$F$241+'Cálculos'!$F$124*(1+2.78*('Cálculos'!$F$198+(($B$225)-$A184)*'Cálculos'!$F$98)/(('Cálculos'!$F$198+(($B$225)-$A184)*'Cálculos'!$F$98)+1400)+'Cálculos'!$F$122)*'Cálculos'!$F$246+'Cálculos'!$F$125*(1+2.78*('Cálculos'!$F$198+(($B$225)-$A184)*'Cálculos'!$F$98)/(('Cálculos'!$F$198+(($B$225)-$A184)*'Cálculos'!$F$98)+1400)+'Cálculos'!$F$123)*'Cálculos'!$F$251)+('Cálculos'!$F$204*(1+'Cálculos'!$F$205+$A184*('Cálculos'!$F$290=3)*'Cálculos'!$F$103)+'Cálculos'!$F$206)*('Cálculos'!$F$242+'Cálculos'!$F$124*(1+2.78*('Cálculos'!$F$198+(($B$225)-$A184)*'Cálculos'!$F$98)/(('Cálculos'!$F$198+(($B$225)-$A184)*'Cálculos'!$F$98)+1400)+'Cálculos'!$F$122)*'Cálculos'!$F$247+'Cálculos'!$F$125*(1+2.78*('Cálculos'!$F$198+(($B$225)-$A184)*'Cálculos'!$F$98)/(('Cálculos'!$F$198+(($B$225)-$A184)*'Cálculos'!$F$98)+1400)+'Cálculos'!$F$123)*'Cálculos'!$F$252)+('Cálculos'!$F$185*(1+'Cálculos'!$F$189+$A184*('Cálculos'!$F$290=1)*'Cálculos'!$F$97+'Cálculos'!$F$305)+'Cálculos'!$F$194)*('Cálculos'!$F$254+'Cálculos'!$F$124*(1+2.78*('Cálculos'!$F$199+(($B$225)-$A184)*'Cálculos'!$F$98)/(('Cálculos'!$F$199+(($B$225)-$A184)*'Cálculos'!$F$98)+1400)+'Cálculos'!$F$122)*'Cálculos'!$F$259+'Cálculos'!$F$125*(1+2.78*('Cálculos'!$F$199+(($B$225)-$A184)*'Cálculos'!$F$98)/(('Cálculos'!$F$199+(($B$225)-$A184)*'Cálculos'!$F$98)+1400)+'Cálculos'!$F$123)*'Cálculos'!$F$264)+('Cálculos'!$F$199+(($B$225)-$A184)*'Cálculos'!$F$98)*('Cálculos'!$F$255+'Cálculos'!$F$124*(1+2.78*('Cálculos'!$F$199+(($B$225)-$A184)*'Cálculos'!$F$98)/(('Cálculos'!$F$199+(($B$225)-$A184)*'Cálculos'!$F$98)+1400)+'Cálculos'!$F$122)*'Cálculos'!$F$260+'Cálculos'!$F$125*(1+2.78*('Cálculos'!$F$199+(($B$225)-$A184)*'Cálculos'!$F$98)/(('Cálculos'!$F$199+(($B$225)-$A184)*'Cálculos'!$F$98)+1400)+'Cálculos'!$F$123)*'Cálculos'!$F$265)+('Cálculos'!$F$201*(1+'Cálculos'!$F$202+$A184*('Cálculos'!$F$290=2)*'Cálculos'!$F$101)+'Cálculos'!$F$203)*('Cálculos'!$F$256+'Cálculos'!$F$124*(1+2.78*('Cálculos'!$F$199+(($B$225)-$A184)*'Cálculos'!$F$98)/(('Cálculos'!$F$199+(($B$225)-$A184)*'Cálculos'!$F$98)+1400)+'Cálculos'!$F$122)*'Cálculos'!$F$261+'Cálculos'!$F$125*(1+2.78*('Cálculos'!$F$199+(($B$225)-$A184)*'Cálculos'!$F$98)/(('Cálculos'!$F$199+(($B$225)-$A184)*'Cálculos'!$F$98)+1400)+'Cálculos'!$F$123)*'Cálculos'!$F$266)+('Cálculos'!$F$204*(1+'Cálculos'!$F$205+$A184*('Cálculos'!$F$290=3)*'Cálculos'!$F$103)+'Cálculos'!$F$206)*('Cálculos'!$F$257+'Cálculos'!$F$124*(1+2.78*('Cálculos'!$F$199+(($B$225)-$A184)*'Cálculos'!$F$98)/(('Cálculos'!$F$199+(($B$225)-$A184)*'Cálculos'!$F$98)+1400)+'Cálculos'!$F$122)*'Cálculos'!$F$262+'Cálculos'!$F$125*(1+2.78*('Cálculos'!$F$199+(($B$225)-$A184)*'Cálculos'!$F$98)/(('Cálculos'!$F$199+(($B$225)-$A184)*'Cálculos'!$F$98)+1400)+'Cálculos'!$F$123)*'Cálculos'!$F$267)+('Cálculos'!$F$185*(1+'Cálculos'!$F$190+$A184*('Cálculos'!$F$290=1)*'Cálculos'!$F$97+'Cálculos'!$F$305)+'Cálculos'!$F$195)*('Cálculos'!$F$269+'Cálculos'!$F$124*(1+2.78*('Cálculos'!$F$200+(($B$225)-$A184)*'Cálculos'!$F$98)/(('Cálculos'!$F$200+(($B$225)-$A184)*'Cálculos'!$F$98)+1400)+'Cálculos'!$F$122)*'Cálculos'!$F$274+'Cálculos'!$F$125*(1+2.78*('Cálculos'!$F$200+(($B$225)-$A184)*'Cálculos'!$F$98)/(('Cálculos'!$F$200+(($B$225)-$A184)*'Cálculos'!$F$98)+1400)+'Cálculos'!$F$123)*'Cálculos'!$F$279)+('Cálculos'!$F$200+(($B$225)-$A184)*'Cálculos'!$F$98)*('Cálculos'!$F$270+'Cálculos'!$F$124*(1+2.78*('Cálculos'!$F$200+(($B$225)-$A184)*'Cálculos'!$F$98)/(('Cálculos'!$F$200+(($B$225)-$A184)*'Cálculos'!$F$98)+1400)+'Cálculos'!$F$122)*'Cálculos'!$F$275+'Cálculos'!$F$125*(1+2.78*('Cálculos'!$F$200+(($B$225)-$A184)*'Cálculos'!$F$98)/(('Cálculos'!$F$200+(($B$225)-$A184)*'Cálculos'!$F$98)+1400)+'Cálculos'!$F$123)*'Cálculos'!$F$280)+('Cálculos'!$F$201*(1+'Cálculos'!$F$202+$A184*('Cálculos'!$F$290=2)*'Cálculos'!$F$101)+'Cálculos'!$F$203)*('Cálculos'!$F$271+'Cálculos'!$F$124*(1+2.78*('Cálculos'!$F$200+(($B$225)-$A184)*'Cálculos'!$F$98)/(('Cálculos'!$F$200+(($B$225)-$A184)*'Cálculos'!$F$98)+1400)+'Cálculos'!$F$122)*'Cálculos'!$F$276+'Cálculos'!$F$125*(1+2.78*('Cálculos'!$F$200+(($B$225)-$A184)*'Cálculos'!$F$98)/(('Cálculos'!$F$200+(($B$225)-$A184)*'Cálculos'!$F$98)+1400)+'Cálculos'!$F$123)*'Cálculos'!$F$281)+('Cálculos'!$F$204*(1+'Cálculos'!$F$205+$A184*('Cálculos'!$F$290=3)*'Cálculos'!$F$103)+'Cálculos'!$F$206)*('Cálculos'!$F$272+'Cálculos'!$F$124*(1+2.78*('Cálculos'!$F$200+(($B$225)-$A184)*'Cálculos'!$F$98)/(('Cálculos'!$F$200+(($B$225)-$A184)*'Cálculos'!$F$98)+1400)+'Cálculos'!$F$122)*'Cálculos'!$F$277+'Cálculos'!$F$125*(1+2.78*('Cálculos'!$F$200+(($B$225)-$A184)*'Cálculos'!$F$98)/(('Cálculos'!$F$200+(($B$225)-$A184)*'Cálculos'!$F$98)+1400)+'Cálculos'!$F$123)*'Cálculos'!$F$282)))</f>
        <v>0</v>
      </c>
    </row>
    <row r="185" ht="15.75" customHeight="1">
      <c r="A185" s="2">
        <v>8.0</v>
      </c>
      <c r="B185" s="30">
        <f>SUMPRODUCT(MAX(($A$177:$A$222&lt;=$A185)*($A$177:$A$222&lt;='Cálculos'!$F$294)*(($A185)-$A$177:$A$222&lt;='Cálculos'!$F$295)*(1+(('Cálculos'!$F$207+$A$177:$A$222*'Cálculos'!$F$95)-(('Cálculos'!$F$207+$A$177:$A$222*'Cálculos'!$F$95)&gt;1)*(('Cálculos'!$F$207+$A$177:$A$222*'Cálculos'!$F$95)-1))*('Cálculos'!$F$208+(($A185)-$A$177:$A$222)*'Cálculos'!$F$96))))</f>
        <v>1.881062</v>
      </c>
      <c r="C185" s="2">
        <f>'Cálculos'!$F$303-$A185</f>
        <v>10</v>
      </c>
      <c r="D185" s="31">
        <f>IF($C185&lt;0,0,SUMPRODUCT(MAX(($A$177:$A$222&lt;=$C185)*($A$177:$A$222&lt;='Cálculos'!$F$301)*(($C185)-$A$177:$A$222&lt;='Cálculos'!$F$297)*(('Cálculos'!$F$185*(1+'Cálculos'!$F$186+$A$177:$A$222*('Cálculos'!$F$290=1)*'Cálculos'!$F$97+'Cálculos'!$F$305)+'Cálculos'!$F$191)*('Cálculos'!$F$209+'Cálculos'!$F$124*(1+2.78*('Cálculos'!$F$196+(($C185)-$A$177:$A$222)*'Cálculos'!$F$98)/(('Cálculos'!$F$196+(($C185)-$A$177:$A$222)*'Cálculos'!$F$98)+1400)+'Cálculos'!$F$122)*'Cálculos'!$F$214+'Cálculos'!$F$125*(1+2.78*('Cálculos'!$F$196+(($C185)-$A$177:$A$222)*'Cálculos'!$F$98)/(('Cálculos'!$F$196+(($C185)-$A$177:$A$222)*'Cálculos'!$F$98)+1400)+'Cálculos'!$F$123)*'Cálculos'!$F$219)+('Cálculos'!$F$196+(($C185)-$A$177:$A$222)*'Cálculos'!$F$98)*('Cálculos'!$F$210+'Cálculos'!$F$124*(1+2.78*('Cálculos'!$F$196+(($C185)-$A$177:$A$222)*'Cálculos'!$F$98)/(('Cálculos'!$F$196+(($C185)-$A$177:$A$222)*'Cálculos'!$F$98)+1400)+'Cálculos'!$F$122)*'Cálculos'!$F$215+'Cálculos'!$F$125*(1+2.78*('Cálculos'!$F$196+(($C185)-$A$177:$A$222)*'Cálculos'!$F$98)/(('Cálculos'!$F$196+(($C185)-$A$177:$A$222)*'Cálculos'!$F$98)+1400)+'Cálculos'!$F$123)*'Cálculos'!$F$220)+('Cálculos'!$F$201*(1+'Cálculos'!$F$202+$A$177:$A$222*('Cálculos'!$F$290=2)*'Cálculos'!$F$101)+'Cálculos'!$F$203)*('Cálculos'!$F$211+'Cálculos'!$F$124*(1+2.78*('Cálculos'!$F$196+(($C185)-$A$177:$A$222)*'Cálculos'!$F$98)/(('Cálculos'!$F$196+(($C185)-$A$177:$A$222)*'Cálculos'!$F$98)+1400)+'Cálculos'!$F$122)*'Cálculos'!$F$216+'Cálculos'!$F$125*(1+2.78*('Cálculos'!$F$196+(($C185)-$A$177:$A$222)*'Cálculos'!$F$98)/(('Cálculos'!$F$196+(($C185)-$A$177:$A$222)*'Cálculos'!$F$98)+1400)+'Cálculos'!$F$123)*'Cálculos'!$F$221)+('Cálculos'!$F$204*(1+'Cálculos'!$F$205+$A$177:$A$222*('Cálculos'!$F$290=3)*'Cálculos'!$F$103)+'Cálculos'!$F$206)*('Cálculos'!$F$212+'Cálculos'!$F$124*(1+2.78*('Cálculos'!$F$196+(($C185)-$A$177:$A$222)*'Cálculos'!$F$98)/(('Cálculos'!$F$196+(($C185)-$A$177:$A$222)*'Cálculos'!$F$98)+1400)+'Cálculos'!$F$122)*'Cálculos'!$F$217+'Cálculos'!$F$125*(1+2.78*('Cálculos'!$F$196+(($C185)-$A$177:$A$222)*'Cálculos'!$F$98)/(('Cálculos'!$F$196+(($C185)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185)-$A$177:$A$222)*'Cálculos'!$F$98)/(('Cálculos'!$F$197+(($C185)-$A$177:$A$222)*'Cálculos'!$F$98)+1400)+'Cálculos'!$F$122)*'Cálculos'!$F$229+'Cálculos'!$F$125*(1+2.78*('Cálculos'!$F$197+(($C185)-$A$177:$A$222)*'Cálculos'!$F$98)/(('Cálculos'!$F$197+(($C185)-$A$177:$A$222)*'Cálculos'!$F$98)+1400)+'Cálculos'!$F$123)*'Cálculos'!$F$234)+('Cálculos'!$F$197+(($C185)-$A$177:$A$222)*'Cálculos'!$F$98)*('Cálculos'!$F$225+'Cálculos'!$F$124*(1+2.78*('Cálculos'!$F$197+(($C185)-$A$177:$A$222)*'Cálculos'!$F$98)/(('Cálculos'!$F$197+(($C185)-$A$177:$A$222)*'Cálculos'!$F$98)+1400)+'Cálculos'!$F$122)*'Cálculos'!$F$230+'Cálculos'!$F$125*(1+2.78*('Cálculos'!$F$197+(($C185)-$A$177:$A$222)*'Cálculos'!$F$98)/(('Cálculos'!$F$197+(($C185)-$A$177:$A$222)*'Cálculos'!$F$98)+1400)+'Cálculos'!$F$123)*'Cálculos'!$F$235)+('Cálculos'!$F$201*(1+'Cálculos'!$F$202+$A$177:$A$222*('Cálculos'!$F$290=2)*'Cálculos'!$F$101)+'Cálculos'!$F$203)*('Cálculos'!$F$226+'Cálculos'!$F$124*(1+2.78*('Cálculos'!$F$197+(($C185)-$A$177:$A$222)*'Cálculos'!$F$98)/(('Cálculos'!$F$197+(($C185)-$A$177:$A$222)*'Cálculos'!$F$98)+1400)+'Cálculos'!$F$122)*'Cálculos'!$F$231+'Cálculos'!$F$125*(1+2.78*('Cálculos'!$F$197+(($C185)-$A$177:$A$222)*'Cálculos'!$F$98)/(('Cálculos'!$F$197+(($C185)-$A$177:$A$222)*'Cálculos'!$F$98)+1400)+'Cálculos'!$F$123)*'Cálculos'!$F$236)+('Cálculos'!$F$204*(1+'Cálculos'!$F$205+$A$177:$A$222*('Cálculos'!$F$290=3)*'Cálculos'!$F$103)+'Cálculos'!$F$206)*('Cálculos'!$F$227+'Cálculos'!$F$124*(1+2.78*('Cálculos'!$F$197+(($C185)-$A$177:$A$222)*'Cálculos'!$F$98)/(('Cálculos'!$F$197+(($C185)-$A$177:$A$222)*'Cálculos'!$F$98)+1400)+'Cálculos'!$F$122)*'Cálculos'!$F$232+'Cálculos'!$F$125*(1+2.78*('Cálculos'!$F$197+(($C185)-$A$177:$A$222)*'Cálculos'!$F$98)/(('Cálculos'!$F$197+(($C185)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185)-$A$177:$A$222)*'Cálculos'!$F$98)/(('Cálculos'!$F$198+(($C185)-$A$177:$A$222)*'Cálculos'!$F$98)+1400)+'Cálculos'!$F$122)*'Cálculos'!$F$244+'Cálculos'!$F$125*(1+2.78*('Cálculos'!$F$198+(($C185)-$A$177:$A$222)*'Cálculos'!$F$98)/(('Cálculos'!$F$198+(($C185)-$A$177:$A$222)*'Cálculos'!$F$98)+1400)+'Cálculos'!$F$123)*'Cálculos'!$F$249)+('Cálculos'!$F$198+(($C185)-$A$177:$A$222)*'Cálculos'!$F$98)*('Cálculos'!$F$240+'Cálculos'!$F$124*(1+2.78*('Cálculos'!$F$198+(($C185)-$A$177:$A$222)*'Cálculos'!$F$98)/(('Cálculos'!$F$198+(($C185)-$A$177:$A$222)*'Cálculos'!$F$98)+1400)+'Cálculos'!$F$122)*'Cálculos'!$F$245+'Cálculos'!$F$125*(1+2.78*('Cálculos'!$F$198+(($C185)-$A$177:$A$222)*'Cálculos'!$F$98)/(('Cálculos'!$F$198+(($C185)-$A$177:$A$222)*'Cálculos'!$F$98)+1400)+'Cálculos'!$F$123)*'Cálculos'!$F$250)+('Cálculos'!$F$201*(1+'Cálculos'!$F$202+$A$177:$A$222*('Cálculos'!$F$290=2)*'Cálculos'!$F$101)+'Cálculos'!$F$203)*('Cálculos'!$F$241+'Cálculos'!$F$124*(1+2.78*('Cálculos'!$F$198+(($C185)-$A$177:$A$222)*'Cálculos'!$F$98)/(('Cálculos'!$F$198+(($C185)-$A$177:$A$222)*'Cálculos'!$F$98)+1400)+'Cálculos'!$F$122)*'Cálculos'!$F$246+'Cálculos'!$F$125*(1+2.78*('Cálculos'!$F$198+(($C185)-$A$177:$A$222)*'Cálculos'!$F$98)/(('Cálculos'!$F$198+(($C185)-$A$177:$A$222)*'Cálculos'!$F$98)+1400)+'Cálculos'!$F$123)*'Cálculos'!$F$251)+('Cálculos'!$F$204*(1+'Cálculos'!$F$205+$A$177:$A$222*('Cálculos'!$F$290=3)*'Cálculos'!$F$103)+'Cálculos'!$F$206)*('Cálculos'!$F$242+'Cálculos'!$F$124*(1+2.78*('Cálculos'!$F$198+(($C185)-$A$177:$A$222)*'Cálculos'!$F$98)/(('Cálculos'!$F$198+(($C185)-$A$177:$A$222)*'Cálculos'!$F$98)+1400)+'Cálculos'!$F$122)*'Cálculos'!$F$247+'Cálculos'!$F$125*(1+2.78*('Cálculos'!$F$198+(($C185)-$A$177:$A$222)*'Cálculos'!$F$98)/(('Cálculos'!$F$198+(($C185)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185)-$A$177:$A$222)*'Cálculos'!$F$98)/(('Cálculos'!$F$199+(($C185)-$A$177:$A$222)*'Cálculos'!$F$98)+1400)+'Cálculos'!$F$122)*'Cálculos'!$F$259+'Cálculos'!$F$125*(1+2.78*('Cálculos'!$F$199+(($C185)-$A$177:$A$222)*'Cálculos'!$F$98)/(('Cálculos'!$F$199+(($C185)-$A$177:$A$222)*'Cálculos'!$F$98)+1400)+'Cálculos'!$F$123)*'Cálculos'!$F$264)+('Cálculos'!$F$199+(($C185)-$A$177:$A$222)*'Cálculos'!$F$98)*('Cálculos'!$F$255+'Cálculos'!$F$124*(1+2.78*('Cálculos'!$F$199+(($C185)-$A$177:$A$222)*'Cálculos'!$F$98)/(('Cálculos'!$F$199+(($C185)-$A$177:$A$222)*'Cálculos'!$F$98)+1400)+'Cálculos'!$F$122)*'Cálculos'!$F$260+'Cálculos'!$F$125*(1+2.78*('Cálculos'!$F$199+(($C185)-$A$177:$A$222)*'Cálculos'!$F$98)/(('Cálculos'!$F$199+(($C185)-$A$177:$A$222)*'Cálculos'!$F$98)+1400)+'Cálculos'!$F$123)*'Cálculos'!$F$265)+('Cálculos'!$F$201*(1+'Cálculos'!$F$202+$A$177:$A$222*('Cálculos'!$F$290=2)*'Cálculos'!$F$101)+'Cálculos'!$F$203)*('Cálculos'!$F$256+'Cálculos'!$F$124*(1+2.78*('Cálculos'!$F$199+(($C185)-$A$177:$A$222)*'Cálculos'!$F$98)/(('Cálculos'!$F$199+(($C185)-$A$177:$A$222)*'Cálculos'!$F$98)+1400)+'Cálculos'!$F$122)*'Cálculos'!$F$261+'Cálculos'!$F$125*(1+2.78*('Cálculos'!$F$199+(($C185)-$A$177:$A$222)*'Cálculos'!$F$98)/(('Cálculos'!$F$199+(($C185)-$A$177:$A$222)*'Cálculos'!$F$98)+1400)+'Cálculos'!$F$123)*'Cálculos'!$F$266)+('Cálculos'!$F$204*(1+'Cálculos'!$F$205+$A$177:$A$222*('Cálculos'!$F$290=3)*'Cálculos'!$F$103)+'Cálculos'!$F$206)*('Cálculos'!$F$257+'Cálculos'!$F$124*(1+2.78*('Cálculos'!$F$199+(($C185)-$A$177:$A$222)*'Cálculos'!$F$98)/(('Cálculos'!$F$199+(($C185)-$A$177:$A$222)*'Cálculos'!$F$98)+1400)+'Cálculos'!$F$122)*'Cálculos'!$F$262+'Cálculos'!$F$125*(1+2.78*('Cálculos'!$F$199+(($C185)-$A$177:$A$222)*'Cálculos'!$F$98)/(('Cálculos'!$F$199+(($C185)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185)-$A$177:$A$222)*'Cálculos'!$F$98)/(('Cálculos'!$F$200+(($C185)-$A$177:$A$222)*'Cálculos'!$F$98)+1400)+'Cálculos'!$F$122)*'Cálculos'!$F$274+'Cálculos'!$F$125*(1+2.78*('Cálculos'!$F$200+(($C185)-$A$177:$A$222)*'Cálculos'!$F$98)/(('Cálculos'!$F$200+(($C185)-$A$177:$A$222)*'Cálculos'!$F$98)+1400)+'Cálculos'!$F$123)*'Cálculos'!$F$279)+('Cálculos'!$F$200+(($C185)-$A$177:$A$222)*'Cálculos'!$F$98)*('Cálculos'!$F$270+'Cálculos'!$F$124*(1+2.78*('Cálculos'!$F$200+(($C185)-$A$177:$A$222)*'Cálculos'!$F$98)/(('Cálculos'!$F$200+(($C185)-$A$177:$A$222)*'Cálculos'!$F$98)+1400)+'Cálculos'!$F$122)*'Cálculos'!$F$275+'Cálculos'!$F$125*(1+2.78*('Cálculos'!$F$200+(($C185)-$A$177:$A$222)*'Cálculos'!$F$98)/(('Cálculos'!$F$200+(($C185)-$A$177:$A$222)*'Cálculos'!$F$98)+1400)+'Cálculos'!$F$123)*'Cálculos'!$F$280)+('Cálculos'!$F$201*(1+'Cálculos'!$F$202+$A$177:$A$222*('Cálculos'!$F$290=2)*'Cálculos'!$F$101)+'Cálculos'!$F$203)*('Cálculos'!$F$271+'Cálculos'!$F$124*(1+2.78*('Cálculos'!$F$200+(($C185)-$A$177:$A$222)*'Cálculos'!$F$98)/(('Cálculos'!$F$200+(($C185)-$A$177:$A$222)*'Cálculos'!$F$98)+1400)+'Cálculos'!$F$122)*'Cálculos'!$F$276+'Cálculos'!$F$125*(1+2.78*('Cálculos'!$F$200+(($C185)-$A$177:$A$222)*'Cálculos'!$F$98)/(('Cálculos'!$F$200+(($C185)-$A$177:$A$222)*'Cálculos'!$F$98)+1400)+'Cálculos'!$F$123)*'Cálculos'!$F$281)+('Cálculos'!$F$204*(1+'Cálculos'!$F$205+$A$177:$A$222*('Cálculos'!$F$290=3)*'Cálculos'!$F$103)+'Cálculos'!$F$206)*('Cálculos'!$F$272+'Cálculos'!$F$124*(1+2.78*('Cálculos'!$F$200+(($C185)-$A$177:$A$222)*'Cálculos'!$F$98)/(('Cálculos'!$F$200+(($C185)-$A$177:$A$222)*'Cálculos'!$F$98)+1400)+'Cálculos'!$F$122)*'Cálculos'!$F$277+'Cálculos'!$F$125*(1+2.78*('Cálculos'!$F$200+(($C185)-$A$177:$A$222)*'Cálculos'!$F$98)/(('Cálculos'!$F$200+(($C185)-$A$177:$A$222)*'Cálculos'!$F$98)+1400)+'Cálculos'!$F$123)*'Cálculos'!$F$282)))))</f>
        <v>21584.07005</v>
      </c>
      <c r="E185" s="32">
        <f>IF(OR($C185&lt;0,'Cálculos'!$F$6=""),0,$B185*$D185)</f>
        <v>40600.97398</v>
      </c>
      <c r="F185" s="2"/>
      <c r="G185" s="30">
        <f>($A185&lt;=$B$224)*($A185&lt;='Cálculos'!$F$294)*(($B$224)-$A185&lt;='Cálculos'!$F$295)*(1+MIN(('Cálculos'!$F$207+$A185*'Cálculos'!$F$95),1)*('Cálculos'!$F$208+(($B$224)-$A185)*'Cálculos'!$F$96))</f>
        <v>2.335703</v>
      </c>
      <c r="H185" s="31">
        <f>IF($B$225&lt;0,0,($A185&lt;=$B$225)*($A185&lt;='Cálculos'!$F$301)*(($B$225)-$A185&lt;='Cálculos'!$F$297)*(('Cálculos'!$F$185*(1+'Cálculos'!$F$186+$A185*('Cálculos'!$F$290=1)*'Cálculos'!$F$97+'Cálculos'!$F$305)+'Cálculos'!$F$191)*('Cálculos'!$F$209+'Cálculos'!$F$124*(1+2.78*('Cálculos'!$F$196+(($B$225)-$A185)*'Cálculos'!$F$98)/(('Cálculos'!$F$196+(($B$225)-$A185)*'Cálculos'!$F$98)+1400)+'Cálculos'!$F$122)*'Cálculos'!$F$214+'Cálculos'!$F$125*(1+2.78*('Cálculos'!$F$196+(($B$225)-$A185)*'Cálculos'!$F$98)/(('Cálculos'!$F$196+(($B$225)-$A185)*'Cálculos'!$F$98)+1400)+'Cálculos'!$F$123)*'Cálculos'!$F$219)+('Cálculos'!$F$196+(($B$225)-$A185)*'Cálculos'!$F$98)*('Cálculos'!$F$210+'Cálculos'!$F$124*(1+2.78*('Cálculos'!$F$196+(($B$225)-$A185)*'Cálculos'!$F$98)/(('Cálculos'!$F$196+(($B$225)-$A185)*'Cálculos'!$F$98)+1400)+'Cálculos'!$F$122)*'Cálculos'!$F$215+'Cálculos'!$F$125*(1+2.78*('Cálculos'!$F$196+(($B$225)-$A185)*'Cálculos'!$F$98)/(('Cálculos'!$F$196+(($B$225)-$A185)*'Cálculos'!$F$98)+1400)+'Cálculos'!$F$123)*'Cálculos'!$F$220)+('Cálculos'!$F$201*(1+'Cálculos'!$F$202+$A185*('Cálculos'!$F$290=2)*'Cálculos'!$F$101)+'Cálculos'!$F$203)*('Cálculos'!$F$211+'Cálculos'!$F$124*(1+2.78*('Cálculos'!$F$196+(($B$225)-$A185)*'Cálculos'!$F$98)/(('Cálculos'!$F$196+(($B$225)-$A185)*'Cálculos'!$F$98)+1400)+'Cálculos'!$F$122)*'Cálculos'!$F$216+'Cálculos'!$F$125*(1+2.78*('Cálculos'!$F$196+(($B$225)-$A185)*'Cálculos'!$F$98)/(('Cálculos'!$F$196+(($B$225)-$A185)*'Cálculos'!$F$98)+1400)+'Cálculos'!$F$123)*'Cálculos'!$F$221)+('Cálculos'!$F$204*(1+'Cálculos'!$F$205+$A185*('Cálculos'!$F$290=3)*'Cálculos'!$F$103)+'Cálculos'!$F$206)*('Cálculos'!$F$212+'Cálculos'!$F$124*(1+2.78*('Cálculos'!$F$196+(($B$225)-$A185)*'Cálculos'!$F$98)/(('Cálculos'!$F$196+(($B$225)-$A185)*'Cálculos'!$F$98)+1400)+'Cálculos'!$F$122)*'Cálculos'!$F$217+'Cálculos'!$F$125*(1+2.78*('Cálculos'!$F$196+(($B$225)-$A185)*'Cálculos'!$F$98)/(('Cálculos'!$F$196+(($B$225)-$A185)*'Cálculos'!$F$98)+1400)+'Cálculos'!$F$123)*'Cálculos'!$F$222)+('Cálculos'!$F$185*(1+'Cálculos'!$F$187+$A185*('Cálculos'!$F$290=1)*'Cálculos'!$F$97+'Cálculos'!$F$305)+'Cálculos'!$F$192)*('Cálculos'!$F$224+'Cálculos'!$F$124*(1+2.78*('Cálculos'!$F$197+(($B$225)-$A185)*'Cálculos'!$F$98)/(('Cálculos'!$F$197+(($B$225)-$A185)*'Cálculos'!$F$98)+1400)+'Cálculos'!$F$122)*'Cálculos'!$F$229+'Cálculos'!$F$125*(1+2.78*('Cálculos'!$F$197+(($B$225)-$A185)*'Cálculos'!$F$98)/(('Cálculos'!$F$197+(($B$225)-$A185)*'Cálculos'!$F$98)+1400)+'Cálculos'!$F$123)*'Cálculos'!$F$234)+('Cálculos'!$F$197+(($B$225)-$A185)*'Cálculos'!$F$98)*('Cálculos'!$F$225+'Cálculos'!$F$124*(1+2.78*('Cálculos'!$F$197+(($B$225)-$A185)*'Cálculos'!$F$98)/(('Cálculos'!$F$197+(($B$225)-$A185)*'Cálculos'!$F$98)+1400)+'Cálculos'!$F$122)*'Cálculos'!$F$230+'Cálculos'!$F$125*(1+2.78*('Cálculos'!$F$197+(($B$225)-$A185)*'Cálculos'!$F$98)/(('Cálculos'!$F$197+(($B$225)-$A185)*'Cálculos'!$F$98)+1400)+'Cálculos'!$F$123)*'Cálculos'!$F$235)+('Cálculos'!$F$201*(1+'Cálculos'!$F$202+$A185*('Cálculos'!$F$290=2)*'Cálculos'!$F$101)+'Cálculos'!$F$203)*('Cálculos'!$F$226+'Cálculos'!$F$124*(1+2.78*('Cálculos'!$F$197+(($B$225)-$A185)*'Cálculos'!$F$98)/(('Cálculos'!$F$197+(($B$225)-$A185)*'Cálculos'!$F$98)+1400)+'Cálculos'!$F$122)*'Cálculos'!$F$231+'Cálculos'!$F$125*(1+2.78*('Cálculos'!$F$197+(($B$225)-$A185)*'Cálculos'!$F$98)/(('Cálculos'!$F$197+(($B$225)-$A185)*'Cálculos'!$F$98)+1400)+'Cálculos'!$F$123)*'Cálculos'!$F$236)+('Cálculos'!$F$204*(1+'Cálculos'!$F$205+$A185*('Cálculos'!$F$290=3)*'Cálculos'!$F$103)+'Cálculos'!$F$206)*('Cálculos'!$F$227+'Cálculos'!$F$124*(1+2.78*('Cálculos'!$F$197+(($B$225)-$A185)*'Cálculos'!$F$98)/(('Cálculos'!$F$197+(($B$225)-$A185)*'Cálculos'!$F$98)+1400)+'Cálculos'!$F$122)*'Cálculos'!$F$232+'Cálculos'!$F$125*(1+2.78*('Cálculos'!$F$197+(($B$225)-$A185)*'Cálculos'!$F$98)/(('Cálculos'!$F$197+(($B$225)-$A185)*'Cálculos'!$F$98)+1400)+'Cálculos'!$F$123)*'Cálculos'!$F$237)+('Cálculos'!$F$185*(1+'Cálculos'!$F$188+$A185*('Cálculos'!$F$290=1)*'Cálculos'!$F$97+'Cálculos'!$F$305)+'Cálculos'!$F$193)*('Cálculos'!$F$239+'Cálculos'!$F$124*(1+2.78*('Cálculos'!$F$198+(($B$225)-$A185)*'Cálculos'!$F$98)/(('Cálculos'!$F$198+(($B$225)-$A185)*'Cálculos'!$F$98)+1400)+'Cálculos'!$F$122)*'Cálculos'!$F$244+'Cálculos'!$F$125*(1+2.78*('Cálculos'!$F$198+(($B$225)-$A185)*'Cálculos'!$F$98)/(('Cálculos'!$F$198+(($B$225)-$A185)*'Cálculos'!$F$98)+1400)+'Cálculos'!$F$123)*'Cálculos'!$F$249)+('Cálculos'!$F$198+(($B$225)-$A185)*'Cálculos'!$F$98)*('Cálculos'!$F$240+'Cálculos'!$F$124*(1+2.78*('Cálculos'!$F$198+(($B$225)-$A185)*'Cálculos'!$F$98)/(('Cálculos'!$F$198+(($B$225)-$A185)*'Cálculos'!$F$98)+1400)+'Cálculos'!$F$122)*'Cálculos'!$F$245+'Cálculos'!$F$125*(1+2.78*('Cálculos'!$F$198+(($B$225)-$A185)*'Cálculos'!$F$98)/(('Cálculos'!$F$198+(($B$225)-$A185)*'Cálculos'!$F$98)+1400)+'Cálculos'!$F$123)*'Cálculos'!$F$250)+('Cálculos'!$F$201*(1+'Cálculos'!$F$202+$A185*('Cálculos'!$F$290=2)*'Cálculos'!$F$101)+'Cálculos'!$F$203)*('Cálculos'!$F$241+'Cálculos'!$F$124*(1+2.78*('Cálculos'!$F$198+(($B$225)-$A185)*'Cálculos'!$F$98)/(('Cálculos'!$F$198+(($B$225)-$A185)*'Cálculos'!$F$98)+1400)+'Cálculos'!$F$122)*'Cálculos'!$F$246+'Cálculos'!$F$125*(1+2.78*('Cálculos'!$F$198+(($B$225)-$A185)*'Cálculos'!$F$98)/(('Cálculos'!$F$198+(($B$225)-$A185)*'Cálculos'!$F$98)+1400)+'Cálculos'!$F$123)*'Cálculos'!$F$251)+('Cálculos'!$F$204*(1+'Cálculos'!$F$205+$A185*('Cálculos'!$F$290=3)*'Cálculos'!$F$103)+'Cálculos'!$F$206)*('Cálculos'!$F$242+'Cálculos'!$F$124*(1+2.78*('Cálculos'!$F$198+(($B$225)-$A185)*'Cálculos'!$F$98)/(('Cálculos'!$F$198+(($B$225)-$A185)*'Cálculos'!$F$98)+1400)+'Cálculos'!$F$122)*'Cálculos'!$F$247+'Cálculos'!$F$125*(1+2.78*('Cálculos'!$F$198+(($B$225)-$A185)*'Cálculos'!$F$98)/(('Cálculos'!$F$198+(($B$225)-$A185)*'Cálculos'!$F$98)+1400)+'Cálculos'!$F$123)*'Cálculos'!$F$252)+('Cálculos'!$F$185*(1+'Cálculos'!$F$189+$A185*('Cálculos'!$F$290=1)*'Cálculos'!$F$97+'Cálculos'!$F$305)+'Cálculos'!$F$194)*('Cálculos'!$F$254+'Cálculos'!$F$124*(1+2.78*('Cálculos'!$F$199+(($B$225)-$A185)*'Cálculos'!$F$98)/(('Cálculos'!$F$199+(($B$225)-$A185)*'Cálculos'!$F$98)+1400)+'Cálculos'!$F$122)*'Cálculos'!$F$259+'Cálculos'!$F$125*(1+2.78*('Cálculos'!$F$199+(($B$225)-$A185)*'Cálculos'!$F$98)/(('Cálculos'!$F$199+(($B$225)-$A185)*'Cálculos'!$F$98)+1400)+'Cálculos'!$F$123)*'Cálculos'!$F$264)+('Cálculos'!$F$199+(($B$225)-$A185)*'Cálculos'!$F$98)*('Cálculos'!$F$255+'Cálculos'!$F$124*(1+2.78*('Cálculos'!$F$199+(($B$225)-$A185)*'Cálculos'!$F$98)/(('Cálculos'!$F$199+(($B$225)-$A185)*'Cálculos'!$F$98)+1400)+'Cálculos'!$F$122)*'Cálculos'!$F$260+'Cálculos'!$F$125*(1+2.78*('Cálculos'!$F$199+(($B$225)-$A185)*'Cálculos'!$F$98)/(('Cálculos'!$F$199+(($B$225)-$A185)*'Cálculos'!$F$98)+1400)+'Cálculos'!$F$123)*'Cálculos'!$F$265)+('Cálculos'!$F$201*(1+'Cálculos'!$F$202+$A185*('Cálculos'!$F$290=2)*'Cálculos'!$F$101)+'Cálculos'!$F$203)*('Cálculos'!$F$256+'Cálculos'!$F$124*(1+2.78*('Cálculos'!$F$199+(($B$225)-$A185)*'Cálculos'!$F$98)/(('Cálculos'!$F$199+(($B$225)-$A185)*'Cálculos'!$F$98)+1400)+'Cálculos'!$F$122)*'Cálculos'!$F$261+'Cálculos'!$F$125*(1+2.78*('Cálculos'!$F$199+(($B$225)-$A185)*'Cálculos'!$F$98)/(('Cálculos'!$F$199+(($B$225)-$A185)*'Cálculos'!$F$98)+1400)+'Cálculos'!$F$123)*'Cálculos'!$F$266)+('Cálculos'!$F$204*(1+'Cálculos'!$F$205+$A185*('Cálculos'!$F$290=3)*'Cálculos'!$F$103)+'Cálculos'!$F$206)*('Cálculos'!$F$257+'Cálculos'!$F$124*(1+2.78*('Cálculos'!$F$199+(($B$225)-$A185)*'Cálculos'!$F$98)/(('Cálculos'!$F$199+(($B$225)-$A185)*'Cálculos'!$F$98)+1400)+'Cálculos'!$F$122)*'Cálculos'!$F$262+'Cálculos'!$F$125*(1+2.78*('Cálculos'!$F$199+(($B$225)-$A185)*'Cálculos'!$F$98)/(('Cálculos'!$F$199+(($B$225)-$A185)*'Cálculos'!$F$98)+1400)+'Cálculos'!$F$123)*'Cálculos'!$F$267)+('Cálculos'!$F$185*(1+'Cálculos'!$F$190+$A185*('Cálculos'!$F$290=1)*'Cálculos'!$F$97+'Cálculos'!$F$305)+'Cálculos'!$F$195)*('Cálculos'!$F$269+'Cálculos'!$F$124*(1+2.78*('Cálculos'!$F$200+(($B$225)-$A185)*'Cálculos'!$F$98)/(('Cálculos'!$F$200+(($B$225)-$A185)*'Cálculos'!$F$98)+1400)+'Cálculos'!$F$122)*'Cálculos'!$F$274+'Cálculos'!$F$125*(1+2.78*('Cálculos'!$F$200+(($B$225)-$A185)*'Cálculos'!$F$98)/(('Cálculos'!$F$200+(($B$225)-$A185)*'Cálculos'!$F$98)+1400)+'Cálculos'!$F$123)*'Cálculos'!$F$279)+('Cálculos'!$F$200+(($B$225)-$A185)*'Cálculos'!$F$98)*('Cálculos'!$F$270+'Cálculos'!$F$124*(1+2.78*('Cálculos'!$F$200+(($B$225)-$A185)*'Cálculos'!$F$98)/(('Cálculos'!$F$200+(($B$225)-$A185)*'Cálculos'!$F$98)+1400)+'Cálculos'!$F$122)*'Cálculos'!$F$275+'Cálculos'!$F$125*(1+2.78*('Cálculos'!$F$200+(($B$225)-$A185)*'Cálculos'!$F$98)/(('Cálculos'!$F$200+(($B$225)-$A185)*'Cálculos'!$F$98)+1400)+'Cálculos'!$F$123)*'Cálculos'!$F$280)+('Cálculos'!$F$201*(1+'Cálculos'!$F$202+$A185*('Cálculos'!$F$290=2)*'Cálculos'!$F$101)+'Cálculos'!$F$203)*('Cálculos'!$F$271+'Cálculos'!$F$124*(1+2.78*('Cálculos'!$F$200+(($B$225)-$A185)*'Cálculos'!$F$98)/(('Cálculos'!$F$200+(($B$225)-$A185)*'Cálculos'!$F$98)+1400)+'Cálculos'!$F$122)*'Cálculos'!$F$276+'Cálculos'!$F$125*(1+2.78*('Cálculos'!$F$200+(($B$225)-$A185)*'Cálculos'!$F$98)/(('Cálculos'!$F$200+(($B$225)-$A185)*'Cálculos'!$F$98)+1400)+'Cálculos'!$F$123)*'Cálculos'!$F$281)+('Cálculos'!$F$204*(1+'Cálculos'!$F$205+$A185*('Cálculos'!$F$290=3)*'Cálculos'!$F$103)+'Cálculos'!$F$206)*('Cálculos'!$F$272+'Cálculos'!$F$124*(1+2.78*('Cálculos'!$F$200+(($B$225)-$A185)*'Cálculos'!$F$98)/(('Cálculos'!$F$200+(($B$225)-$A185)*'Cálculos'!$F$98)+1400)+'Cálculos'!$F$122)*'Cálculos'!$F$277+'Cálculos'!$F$125*(1+2.78*('Cálculos'!$F$200+(($B$225)-$A185)*'Cálculos'!$F$98)/(('Cálculos'!$F$200+(($B$225)-$A185)*'Cálculos'!$F$98)+1400)+'Cálculos'!$F$123)*'Cálculos'!$F$282)))</f>
        <v>0</v>
      </c>
    </row>
    <row r="186" ht="15.75" customHeight="1">
      <c r="A186" s="2">
        <v>9.0</v>
      </c>
      <c r="B186" s="30">
        <f>SUMPRODUCT(MAX(($A$177:$A$222&lt;=$A186)*($A$177:$A$222&lt;='Cálculos'!$F$294)*(($A186)-$A$177:$A$222&lt;='Cálculos'!$F$295)*(1+(('Cálculos'!$F$207+$A$177:$A$222*'Cálculos'!$F$95)-(('Cálculos'!$F$207+$A$177:$A$222*'Cálculos'!$F$95)&gt;1)*(('Cálculos'!$F$207+$A$177:$A$222*'Cálculos'!$F$95)-1))*('Cálculos'!$F$208+(($A186)-$A$177:$A$222)*'Cálculos'!$F$96))))</f>
        <v>1.925249</v>
      </c>
      <c r="C186" s="2">
        <f>'Cálculos'!$F$303-$A186</f>
        <v>9</v>
      </c>
      <c r="D186" s="31">
        <f>IF($C186&lt;0,0,SUMPRODUCT(MAX(($A$177:$A$222&lt;=$C186)*($A$177:$A$222&lt;='Cálculos'!$F$301)*(($C186)-$A$177:$A$222&lt;='Cálculos'!$F$297)*(('Cálculos'!$F$185*(1+'Cálculos'!$F$186+$A$177:$A$222*('Cálculos'!$F$290=1)*'Cálculos'!$F$97+'Cálculos'!$F$305)+'Cálculos'!$F$191)*('Cálculos'!$F$209+'Cálculos'!$F$124*(1+2.78*('Cálculos'!$F$196+(($C186)-$A$177:$A$222)*'Cálculos'!$F$98)/(('Cálculos'!$F$196+(($C186)-$A$177:$A$222)*'Cálculos'!$F$98)+1400)+'Cálculos'!$F$122)*'Cálculos'!$F$214+'Cálculos'!$F$125*(1+2.78*('Cálculos'!$F$196+(($C186)-$A$177:$A$222)*'Cálculos'!$F$98)/(('Cálculos'!$F$196+(($C186)-$A$177:$A$222)*'Cálculos'!$F$98)+1400)+'Cálculos'!$F$123)*'Cálculos'!$F$219)+('Cálculos'!$F$196+(($C186)-$A$177:$A$222)*'Cálculos'!$F$98)*('Cálculos'!$F$210+'Cálculos'!$F$124*(1+2.78*('Cálculos'!$F$196+(($C186)-$A$177:$A$222)*'Cálculos'!$F$98)/(('Cálculos'!$F$196+(($C186)-$A$177:$A$222)*'Cálculos'!$F$98)+1400)+'Cálculos'!$F$122)*'Cálculos'!$F$215+'Cálculos'!$F$125*(1+2.78*('Cálculos'!$F$196+(($C186)-$A$177:$A$222)*'Cálculos'!$F$98)/(('Cálculos'!$F$196+(($C186)-$A$177:$A$222)*'Cálculos'!$F$98)+1400)+'Cálculos'!$F$123)*'Cálculos'!$F$220)+('Cálculos'!$F$201*(1+'Cálculos'!$F$202+$A$177:$A$222*('Cálculos'!$F$290=2)*'Cálculos'!$F$101)+'Cálculos'!$F$203)*('Cálculos'!$F$211+'Cálculos'!$F$124*(1+2.78*('Cálculos'!$F$196+(($C186)-$A$177:$A$222)*'Cálculos'!$F$98)/(('Cálculos'!$F$196+(($C186)-$A$177:$A$222)*'Cálculos'!$F$98)+1400)+'Cálculos'!$F$122)*'Cálculos'!$F$216+'Cálculos'!$F$125*(1+2.78*('Cálculos'!$F$196+(($C186)-$A$177:$A$222)*'Cálculos'!$F$98)/(('Cálculos'!$F$196+(($C186)-$A$177:$A$222)*'Cálculos'!$F$98)+1400)+'Cálculos'!$F$123)*'Cálculos'!$F$221)+('Cálculos'!$F$204*(1+'Cálculos'!$F$205+$A$177:$A$222*('Cálculos'!$F$290=3)*'Cálculos'!$F$103)+'Cálculos'!$F$206)*('Cálculos'!$F$212+'Cálculos'!$F$124*(1+2.78*('Cálculos'!$F$196+(($C186)-$A$177:$A$222)*'Cálculos'!$F$98)/(('Cálculos'!$F$196+(($C186)-$A$177:$A$222)*'Cálculos'!$F$98)+1400)+'Cálculos'!$F$122)*'Cálculos'!$F$217+'Cálculos'!$F$125*(1+2.78*('Cálculos'!$F$196+(($C186)-$A$177:$A$222)*'Cálculos'!$F$98)/(('Cálculos'!$F$196+(($C186)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186)-$A$177:$A$222)*'Cálculos'!$F$98)/(('Cálculos'!$F$197+(($C186)-$A$177:$A$222)*'Cálculos'!$F$98)+1400)+'Cálculos'!$F$122)*'Cálculos'!$F$229+'Cálculos'!$F$125*(1+2.78*('Cálculos'!$F$197+(($C186)-$A$177:$A$222)*'Cálculos'!$F$98)/(('Cálculos'!$F$197+(($C186)-$A$177:$A$222)*'Cálculos'!$F$98)+1400)+'Cálculos'!$F$123)*'Cálculos'!$F$234)+('Cálculos'!$F$197+(($C186)-$A$177:$A$222)*'Cálculos'!$F$98)*('Cálculos'!$F$225+'Cálculos'!$F$124*(1+2.78*('Cálculos'!$F$197+(($C186)-$A$177:$A$222)*'Cálculos'!$F$98)/(('Cálculos'!$F$197+(($C186)-$A$177:$A$222)*'Cálculos'!$F$98)+1400)+'Cálculos'!$F$122)*'Cálculos'!$F$230+'Cálculos'!$F$125*(1+2.78*('Cálculos'!$F$197+(($C186)-$A$177:$A$222)*'Cálculos'!$F$98)/(('Cálculos'!$F$197+(($C186)-$A$177:$A$222)*'Cálculos'!$F$98)+1400)+'Cálculos'!$F$123)*'Cálculos'!$F$235)+('Cálculos'!$F$201*(1+'Cálculos'!$F$202+$A$177:$A$222*('Cálculos'!$F$290=2)*'Cálculos'!$F$101)+'Cálculos'!$F$203)*('Cálculos'!$F$226+'Cálculos'!$F$124*(1+2.78*('Cálculos'!$F$197+(($C186)-$A$177:$A$222)*'Cálculos'!$F$98)/(('Cálculos'!$F$197+(($C186)-$A$177:$A$222)*'Cálculos'!$F$98)+1400)+'Cálculos'!$F$122)*'Cálculos'!$F$231+'Cálculos'!$F$125*(1+2.78*('Cálculos'!$F$197+(($C186)-$A$177:$A$222)*'Cálculos'!$F$98)/(('Cálculos'!$F$197+(($C186)-$A$177:$A$222)*'Cálculos'!$F$98)+1400)+'Cálculos'!$F$123)*'Cálculos'!$F$236)+('Cálculos'!$F$204*(1+'Cálculos'!$F$205+$A$177:$A$222*('Cálculos'!$F$290=3)*'Cálculos'!$F$103)+'Cálculos'!$F$206)*('Cálculos'!$F$227+'Cálculos'!$F$124*(1+2.78*('Cálculos'!$F$197+(($C186)-$A$177:$A$222)*'Cálculos'!$F$98)/(('Cálculos'!$F$197+(($C186)-$A$177:$A$222)*'Cálculos'!$F$98)+1400)+'Cálculos'!$F$122)*'Cálculos'!$F$232+'Cálculos'!$F$125*(1+2.78*('Cálculos'!$F$197+(($C186)-$A$177:$A$222)*'Cálculos'!$F$98)/(('Cálculos'!$F$197+(($C186)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186)-$A$177:$A$222)*'Cálculos'!$F$98)/(('Cálculos'!$F$198+(($C186)-$A$177:$A$222)*'Cálculos'!$F$98)+1400)+'Cálculos'!$F$122)*'Cálculos'!$F$244+'Cálculos'!$F$125*(1+2.78*('Cálculos'!$F$198+(($C186)-$A$177:$A$222)*'Cálculos'!$F$98)/(('Cálculos'!$F$198+(($C186)-$A$177:$A$222)*'Cálculos'!$F$98)+1400)+'Cálculos'!$F$123)*'Cálculos'!$F$249)+('Cálculos'!$F$198+(($C186)-$A$177:$A$222)*'Cálculos'!$F$98)*('Cálculos'!$F$240+'Cálculos'!$F$124*(1+2.78*('Cálculos'!$F$198+(($C186)-$A$177:$A$222)*'Cálculos'!$F$98)/(('Cálculos'!$F$198+(($C186)-$A$177:$A$222)*'Cálculos'!$F$98)+1400)+'Cálculos'!$F$122)*'Cálculos'!$F$245+'Cálculos'!$F$125*(1+2.78*('Cálculos'!$F$198+(($C186)-$A$177:$A$222)*'Cálculos'!$F$98)/(('Cálculos'!$F$198+(($C186)-$A$177:$A$222)*'Cálculos'!$F$98)+1400)+'Cálculos'!$F$123)*'Cálculos'!$F$250)+('Cálculos'!$F$201*(1+'Cálculos'!$F$202+$A$177:$A$222*('Cálculos'!$F$290=2)*'Cálculos'!$F$101)+'Cálculos'!$F$203)*('Cálculos'!$F$241+'Cálculos'!$F$124*(1+2.78*('Cálculos'!$F$198+(($C186)-$A$177:$A$222)*'Cálculos'!$F$98)/(('Cálculos'!$F$198+(($C186)-$A$177:$A$222)*'Cálculos'!$F$98)+1400)+'Cálculos'!$F$122)*'Cálculos'!$F$246+'Cálculos'!$F$125*(1+2.78*('Cálculos'!$F$198+(($C186)-$A$177:$A$222)*'Cálculos'!$F$98)/(('Cálculos'!$F$198+(($C186)-$A$177:$A$222)*'Cálculos'!$F$98)+1400)+'Cálculos'!$F$123)*'Cálculos'!$F$251)+('Cálculos'!$F$204*(1+'Cálculos'!$F$205+$A$177:$A$222*('Cálculos'!$F$290=3)*'Cálculos'!$F$103)+'Cálculos'!$F$206)*('Cálculos'!$F$242+'Cálculos'!$F$124*(1+2.78*('Cálculos'!$F$198+(($C186)-$A$177:$A$222)*'Cálculos'!$F$98)/(('Cálculos'!$F$198+(($C186)-$A$177:$A$222)*'Cálculos'!$F$98)+1400)+'Cálculos'!$F$122)*'Cálculos'!$F$247+'Cálculos'!$F$125*(1+2.78*('Cálculos'!$F$198+(($C186)-$A$177:$A$222)*'Cálculos'!$F$98)/(('Cálculos'!$F$198+(($C186)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186)-$A$177:$A$222)*'Cálculos'!$F$98)/(('Cálculos'!$F$199+(($C186)-$A$177:$A$222)*'Cálculos'!$F$98)+1400)+'Cálculos'!$F$122)*'Cálculos'!$F$259+'Cálculos'!$F$125*(1+2.78*('Cálculos'!$F$199+(($C186)-$A$177:$A$222)*'Cálculos'!$F$98)/(('Cálculos'!$F$199+(($C186)-$A$177:$A$222)*'Cálculos'!$F$98)+1400)+'Cálculos'!$F$123)*'Cálculos'!$F$264)+('Cálculos'!$F$199+(($C186)-$A$177:$A$222)*'Cálculos'!$F$98)*('Cálculos'!$F$255+'Cálculos'!$F$124*(1+2.78*('Cálculos'!$F$199+(($C186)-$A$177:$A$222)*'Cálculos'!$F$98)/(('Cálculos'!$F$199+(($C186)-$A$177:$A$222)*'Cálculos'!$F$98)+1400)+'Cálculos'!$F$122)*'Cálculos'!$F$260+'Cálculos'!$F$125*(1+2.78*('Cálculos'!$F$199+(($C186)-$A$177:$A$222)*'Cálculos'!$F$98)/(('Cálculos'!$F$199+(($C186)-$A$177:$A$222)*'Cálculos'!$F$98)+1400)+'Cálculos'!$F$123)*'Cálculos'!$F$265)+('Cálculos'!$F$201*(1+'Cálculos'!$F$202+$A$177:$A$222*('Cálculos'!$F$290=2)*'Cálculos'!$F$101)+'Cálculos'!$F$203)*('Cálculos'!$F$256+'Cálculos'!$F$124*(1+2.78*('Cálculos'!$F$199+(($C186)-$A$177:$A$222)*'Cálculos'!$F$98)/(('Cálculos'!$F$199+(($C186)-$A$177:$A$222)*'Cálculos'!$F$98)+1400)+'Cálculos'!$F$122)*'Cálculos'!$F$261+'Cálculos'!$F$125*(1+2.78*('Cálculos'!$F$199+(($C186)-$A$177:$A$222)*'Cálculos'!$F$98)/(('Cálculos'!$F$199+(($C186)-$A$177:$A$222)*'Cálculos'!$F$98)+1400)+'Cálculos'!$F$123)*'Cálculos'!$F$266)+('Cálculos'!$F$204*(1+'Cálculos'!$F$205+$A$177:$A$222*('Cálculos'!$F$290=3)*'Cálculos'!$F$103)+'Cálculos'!$F$206)*('Cálculos'!$F$257+'Cálculos'!$F$124*(1+2.78*('Cálculos'!$F$199+(($C186)-$A$177:$A$222)*'Cálculos'!$F$98)/(('Cálculos'!$F$199+(($C186)-$A$177:$A$222)*'Cálculos'!$F$98)+1400)+'Cálculos'!$F$122)*'Cálculos'!$F$262+'Cálculos'!$F$125*(1+2.78*('Cálculos'!$F$199+(($C186)-$A$177:$A$222)*'Cálculos'!$F$98)/(('Cálculos'!$F$199+(($C186)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186)-$A$177:$A$222)*'Cálculos'!$F$98)/(('Cálculos'!$F$200+(($C186)-$A$177:$A$222)*'Cálculos'!$F$98)+1400)+'Cálculos'!$F$122)*'Cálculos'!$F$274+'Cálculos'!$F$125*(1+2.78*('Cálculos'!$F$200+(($C186)-$A$177:$A$222)*'Cálculos'!$F$98)/(('Cálculos'!$F$200+(($C186)-$A$177:$A$222)*'Cálculos'!$F$98)+1400)+'Cálculos'!$F$123)*'Cálculos'!$F$279)+('Cálculos'!$F$200+(($C186)-$A$177:$A$222)*'Cálculos'!$F$98)*('Cálculos'!$F$270+'Cálculos'!$F$124*(1+2.78*('Cálculos'!$F$200+(($C186)-$A$177:$A$222)*'Cálculos'!$F$98)/(('Cálculos'!$F$200+(($C186)-$A$177:$A$222)*'Cálculos'!$F$98)+1400)+'Cálculos'!$F$122)*'Cálculos'!$F$275+'Cálculos'!$F$125*(1+2.78*('Cálculos'!$F$200+(($C186)-$A$177:$A$222)*'Cálculos'!$F$98)/(('Cálculos'!$F$200+(($C186)-$A$177:$A$222)*'Cálculos'!$F$98)+1400)+'Cálculos'!$F$123)*'Cálculos'!$F$280)+('Cálculos'!$F$201*(1+'Cálculos'!$F$202+$A$177:$A$222*('Cálculos'!$F$290=2)*'Cálculos'!$F$101)+'Cálculos'!$F$203)*('Cálculos'!$F$271+'Cálculos'!$F$124*(1+2.78*('Cálculos'!$F$200+(($C186)-$A$177:$A$222)*'Cálculos'!$F$98)/(('Cálculos'!$F$200+(($C186)-$A$177:$A$222)*'Cálculos'!$F$98)+1400)+'Cálculos'!$F$122)*'Cálculos'!$F$276+'Cálculos'!$F$125*(1+2.78*('Cálculos'!$F$200+(($C186)-$A$177:$A$222)*'Cálculos'!$F$98)/(('Cálculos'!$F$200+(($C186)-$A$177:$A$222)*'Cálculos'!$F$98)+1400)+'Cálculos'!$F$123)*'Cálculos'!$F$281)+('Cálculos'!$F$204*(1+'Cálculos'!$F$205+$A$177:$A$222*('Cálculos'!$F$290=3)*'Cálculos'!$F$103)+'Cálculos'!$F$206)*('Cálculos'!$F$272+'Cálculos'!$F$124*(1+2.78*('Cálculos'!$F$200+(($C186)-$A$177:$A$222)*'Cálculos'!$F$98)/(('Cálculos'!$F$200+(($C186)-$A$177:$A$222)*'Cálculos'!$F$98)+1400)+'Cálculos'!$F$122)*'Cálculos'!$F$277+'Cálculos'!$F$125*(1+2.78*('Cálculos'!$F$200+(($C186)-$A$177:$A$222)*'Cálculos'!$F$98)/(('Cálculos'!$F$200+(($C186)-$A$177:$A$222)*'Cálculos'!$F$98)+1400)+'Cálculos'!$F$123)*'Cálculos'!$F$282)))))</f>
        <v>21360.21246</v>
      </c>
      <c r="E186" s="32">
        <f>IF(OR($C186&lt;0,'Cálculos'!$F$6=""),0,$B186*$D186)</f>
        <v>41123.72768</v>
      </c>
      <c r="F186" s="2"/>
      <c r="G186" s="30">
        <f>($A186&lt;=$B$224)*($A186&lt;='Cálculos'!$F$294)*(($B$224)-$A186&lt;='Cálculos'!$F$295)*(1+MIN(('Cálculos'!$F$207+$A186*'Cálculos'!$F$95),1)*('Cálculos'!$F$208+(($B$224)-$A186)*'Cálculos'!$F$96))</f>
        <v>2.351708</v>
      </c>
      <c r="H186" s="31">
        <f>IF($B$225&lt;0,0,($A186&lt;=$B$225)*($A186&lt;='Cálculos'!$F$301)*(($B$225)-$A186&lt;='Cálculos'!$F$297)*(('Cálculos'!$F$185*(1+'Cálculos'!$F$186+$A186*('Cálculos'!$F$290=1)*'Cálculos'!$F$97+'Cálculos'!$F$305)+'Cálculos'!$F$191)*('Cálculos'!$F$209+'Cálculos'!$F$124*(1+2.78*('Cálculos'!$F$196+(($B$225)-$A186)*'Cálculos'!$F$98)/(('Cálculos'!$F$196+(($B$225)-$A186)*'Cálculos'!$F$98)+1400)+'Cálculos'!$F$122)*'Cálculos'!$F$214+'Cálculos'!$F$125*(1+2.78*('Cálculos'!$F$196+(($B$225)-$A186)*'Cálculos'!$F$98)/(('Cálculos'!$F$196+(($B$225)-$A186)*'Cálculos'!$F$98)+1400)+'Cálculos'!$F$123)*'Cálculos'!$F$219)+('Cálculos'!$F$196+(($B$225)-$A186)*'Cálculos'!$F$98)*('Cálculos'!$F$210+'Cálculos'!$F$124*(1+2.78*('Cálculos'!$F$196+(($B$225)-$A186)*'Cálculos'!$F$98)/(('Cálculos'!$F$196+(($B$225)-$A186)*'Cálculos'!$F$98)+1400)+'Cálculos'!$F$122)*'Cálculos'!$F$215+'Cálculos'!$F$125*(1+2.78*('Cálculos'!$F$196+(($B$225)-$A186)*'Cálculos'!$F$98)/(('Cálculos'!$F$196+(($B$225)-$A186)*'Cálculos'!$F$98)+1400)+'Cálculos'!$F$123)*'Cálculos'!$F$220)+('Cálculos'!$F$201*(1+'Cálculos'!$F$202+$A186*('Cálculos'!$F$290=2)*'Cálculos'!$F$101)+'Cálculos'!$F$203)*('Cálculos'!$F$211+'Cálculos'!$F$124*(1+2.78*('Cálculos'!$F$196+(($B$225)-$A186)*'Cálculos'!$F$98)/(('Cálculos'!$F$196+(($B$225)-$A186)*'Cálculos'!$F$98)+1400)+'Cálculos'!$F$122)*'Cálculos'!$F$216+'Cálculos'!$F$125*(1+2.78*('Cálculos'!$F$196+(($B$225)-$A186)*'Cálculos'!$F$98)/(('Cálculos'!$F$196+(($B$225)-$A186)*'Cálculos'!$F$98)+1400)+'Cálculos'!$F$123)*'Cálculos'!$F$221)+('Cálculos'!$F$204*(1+'Cálculos'!$F$205+$A186*('Cálculos'!$F$290=3)*'Cálculos'!$F$103)+'Cálculos'!$F$206)*('Cálculos'!$F$212+'Cálculos'!$F$124*(1+2.78*('Cálculos'!$F$196+(($B$225)-$A186)*'Cálculos'!$F$98)/(('Cálculos'!$F$196+(($B$225)-$A186)*'Cálculos'!$F$98)+1400)+'Cálculos'!$F$122)*'Cálculos'!$F$217+'Cálculos'!$F$125*(1+2.78*('Cálculos'!$F$196+(($B$225)-$A186)*'Cálculos'!$F$98)/(('Cálculos'!$F$196+(($B$225)-$A186)*'Cálculos'!$F$98)+1400)+'Cálculos'!$F$123)*'Cálculos'!$F$222)+('Cálculos'!$F$185*(1+'Cálculos'!$F$187+$A186*('Cálculos'!$F$290=1)*'Cálculos'!$F$97+'Cálculos'!$F$305)+'Cálculos'!$F$192)*('Cálculos'!$F$224+'Cálculos'!$F$124*(1+2.78*('Cálculos'!$F$197+(($B$225)-$A186)*'Cálculos'!$F$98)/(('Cálculos'!$F$197+(($B$225)-$A186)*'Cálculos'!$F$98)+1400)+'Cálculos'!$F$122)*'Cálculos'!$F$229+'Cálculos'!$F$125*(1+2.78*('Cálculos'!$F$197+(($B$225)-$A186)*'Cálculos'!$F$98)/(('Cálculos'!$F$197+(($B$225)-$A186)*'Cálculos'!$F$98)+1400)+'Cálculos'!$F$123)*'Cálculos'!$F$234)+('Cálculos'!$F$197+(($B$225)-$A186)*'Cálculos'!$F$98)*('Cálculos'!$F$225+'Cálculos'!$F$124*(1+2.78*('Cálculos'!$F$197+(($B$225)-$A186)*'Cálculos'!$F$98)/(('Cálculos'!$F$197+(($B$225)-$A186)*'Cálculos'!$F$98)+1400)+'Cálculos'!$F$122)*'Cálculos'!$F$230+'Cálculos'!$F$125*(1+2.78*('Cálculos'!$F$197+(($B$225)-$A186)*'Cálculos'!$F$98)/(('Cálculos'!$F$197+(($B$225)-$A186)*'Cálculos'!$F$98)+1400)+'Cálculos'!$F$123)*'Cálculos'!$F$235)+('Cálculos'!$F$201*(1+'Cálculos'!$F$202+$A186*('Cálculos'!$F$290=2)*'Cálculos'!$F$101)+'Cálculos'!$F$203)*('Cálculos'!$F$226+'Cálculos'!$F$124*(1+2.78*('Cálculos'!$F$197+(($B$225)-$A186)*'Cálculos'!$F$98)/(('Cálculos'!$F$197+(($B$225)-$A186)*'Cálculos'!$F$98)+1400)+'Cálculos'!$F$122)*'Cálculos'!$F$231+'Cálculos'!$F$125*(1+2.78*('Cálculos'!$F$197+(($B$225)-$A186)*'Cálculos'!$F$98)/(('Cálculos'!$F$197+(($B$225)-$A186)*'Cálculos'!$F$98)+1400)+'Cálculos'!$F$123)*'Cálculos'!$F$236)+('Cálculos'!$F$204*(1+'Cálculos'!$F$205+$A186*('Cálculos'!$F$290=3)*'Cálculos'!$F$103)+'Cálculos'!$F$206)*('Cálculos'!$F$227+'Cálculos'!$F$124*(1+2.78*('Cálculos'!$F$197+(($B$225)-$A186)*'Cálculos'!$F$98)/(('Cálculos'!$F$197+(($B$225)-$A186)*'Cálculos'!$F$98)+1400)+'Cálculos'!$F$122)*'Cálculos'!$F$232+'Cálculos'!$F$125*(1+2.78*('Cálculos'!$F$197+(($B$225)-$A186)*'Cálculos'!$F$98)/(('Cálculos'!$F$197+(($B$225)-$A186)*'Cálculos'!$F$98)+1400)+'Cálculos'!$F$123)*'Cálculos'!$F$237)+('Cálculos'!$F$185*(1+'Cálculos'!$F$188+$A186*('Cálculos'!$F$290=1)*'Cálculos'!$F$97+'Cálculos'!$F$305)+'Cálculos'!$F$193)*('Cálculos'!$F$239+'Cálculos'!$F$124*(1+2.78*('Cálculos'!$F$198+(($B$225)-$A186)*'Cálculos'!$F$98)/(('Cálculos'!$F$198+(($B$225)-$A186)*'Cálculos'!$F$98)+1400)+'Cálculos'!$F$122)*'Cálculos'!$F$244+'Cálculos'!$F$125*(1+2.78*('Cálculos'!$F$198+(($B$225)-$A186)*'Cálculos'!$F$98)/(('Cálculos'!$F$198+(($B$225)-$A186)*'Cálculos'!$F$98)+1400)+'Cálculos'!$F$123)*'Cálculos'!$F$249)+('Cálculos'!$F$198+(($B$225)-$A186)*'Cálculos'!$F$98)*('Cálculos'!$F$240+'Cálculos'!$F$124*(1+2.78*('Cálculos'!$F$198+(($B$225)-$A186)*'Cálculos'!$F$98)/(('Cálculos'!$F$198+(($B$225)-$A186)*'Cálculos'!$F$98)+1400)+'Cálculos'!$F$122)*'Cálculos'!$F$245+'Cálculos'!$F$125*(1+2.78*('Cálculos'!$F$198+(($B$225)-$A186)*'Cálculos'!$F$98)/(('Cálculos'!$F$198+(($B$225)-$A186)*'Cálculos'!$F$98)+1400)+'Cálculos'!$F$123)*'Cálculos'!$F$250)+('Cálculos'!$F$201*(1+'Cálculos'!$F$202+$A186*('Cálculos'!$F$290=2)*'Cálculos'!$F$101)+'Cálculos'!$F$203)*('Cálculos'!$F$241+'Cálculos'!$F$124*(1+2.78*('Cálculos'!$F$198+(($B$225)-$A186)*'Cálculos'!$F$98)/(('Cálculos'!$F$198+(($B$225)-$A186)*'Cálculos'!$F$98)+1400)+'Cálculos'!$F$122)*'Cálculos'!$F$246+'Cálculos'!$F$125*(1+2.78*('Cálculos'!$F$198+(($B$225)-$A186)*'Cálculos'!$F$98)/(('Cálculos'!$F$198+(($B$225)-$A186)*'Cálculos'!$F$98)+1400)+'Cálculos'!$F$123)*'Cálculos'!$F$251)+('Cálculos'!$F$204*(1+'Cálculos'!$F$205+$A186*('Cálculos'!$F$290=3)*'Cálculos'!$F$103)+'Cálculos'!$F$206)*('Cálculos'!$F$242+'Cálculos'!$F$124*(1+2.78*('Cálculos'!$F$198+(($B$225)-$A186)*'Cálculos'!$F$98)/(('Cálculos'!$F$198+(($B$225)-$A186)*'Cálculos'!$F$98)+1400)+'Cálculos'!$F$122)*'Cálculos'!$F$247+'Cálculos'!$F$125*(1+2.78*('Cálculos'!$F$198+(($B$225)-$A186)*'Cálculos'!$F$98)/(('Cálculos'!$F$198+(($B$225)-$A186)*'Cálculos'!$F$98)+1400)+'Cálculos'!$F$123)*'Cálculos'!$F$252)+('Cálculos'!$F$185*(1+'Cálculos'!$F$189+$A186*('Cálculos'!$F$290=1)*'Cálculos'!$F$97+'Cálculos'!$F$305)+'Cálculos'!$F$194)*('Cálculos'!$F$254+'Cálculos'!$F$124*(1+2.78*('Cálculos'!$F$199+(($B$225)-$A186)*'Cálculos'!$F$98)/(('Cálculos'!$F$199+(($B$225)-$A186)*'Cálculos'!$F$98)+1400)+'Cálculos'!$F$122)*'Cálculos'!$F$259+'Cálculos'!$F$125*(1+2.78*('Cálculos'!$F$199+(($B$225)-$A186)*'Cálculos'!$F$98)/(('Cálculos'!$F$199+(($B$225)-$A186)*'Cálculos'!$F$98)+1400)+'Cálculos'!$F$123)*'Cálculos'!$F$264)+('Cálculos'!$F$199+(($B$225)-$A186)*'Cálculos'!$F$98)*('Cálculos'!$F$255+'Cálculos'!$F$124*(1+2.78*('Cálculos'!$F$199+(($B$225)-$A186)*'Cálculos'!$F$98)/(('Cálculos'!$F$199+(($B$225)-$A186)*'Cálculos'!$F$98)+1400)+'Cálculos'!$F$122)*'Cálculos'!$F$260+'Cálculos'!$F$125*(1+2.78*('Cálculos'!$F$199+(($B$225)-$A186)*'Cálculos'!$F$98)/(('Cálculos'!$F$199+(($B$225)-$A186)*'Cálculos'!$F$98)+1400)+'Cálculos'!$F$123)*'Cálculos'!$F$265)+('Cálculos'!$F$201*(1+'Cálculos'!$F$202+$A186*('Cálculos'!$F$290=2)*'Cálculos'!$F$101)+'Cálculos'!$F$203)*('Cálculos'!$F$256+'Cálculos'!$F$124*(1+2.78*('Cálculos'!$F$199+(($B$225)-$A186)*'Cálculos'!$F$98)/(('Cálculos'!$F$199+(($B$225)-$A186)*'Cálculos'!$F$98)+1400)+'Cálculos'!$F$122)*'Cálculos'!$F$261+'Cálculos'!$F$125*(1+2.78*('Cálculos'!$F$199+(($B$225)-$A186)*'Cálculos'!$F$98)/(('Cálculos'!$F$199+(($B$225)-$A186)*'Cálculos'!$F$98)+1400)+'Cálculos'!$F$123)*'Cálculos'!$F$266)+('Cálculos'!$F$204*(1+'Cálculos'!$F$205+$A186*('Cálculos'!$F$290=3)*'Cálculos'!$F$103)+'Cálculos'!$F$206)*('Cálculos'!$F$257+'Cálculos'!$F$124*(1+2.78*('Cálculos'!$F$199+(($B$225)-$A186)*'Cálculos'!$F$98)/(('Cálculos'!$F$199+(($B$225)-$A186)*'Cálculos'!$F$98)+1400)+'Cálculos'!$F$122)*'Cálculos'!$F$262+'Cálculos'!$F$125*(1+2.78*('Cálculos'!$F$199+(($B$225)-$A186)*'Cálculos'!$F$98)/(('Cálculos'!$F$199+(($B$225)-$A186)*'Cálculos'!$F$98)+1400)+'Cálculos'!$F$123)*'Cálculos'!$F$267)+('Cálculos'!$F$185*(1+'Cálculos'!$F$190+$A186*('Cálculos'!$F$290=1)*'Cálculos'!$F$97+'Cálculos'!$F$305)+'Cálculos'!$F$195)*('Cálculos'!$F$269+'Cálculos'!$F$124*(1+2.78*('Cálculos'!$F$200+(($B$225)-$A186)*'Cálculos'!$F$98)/(('Cálculos'!$F$200+(($B$225)-$A186)*'Cálculos'!$F$98)+1400)+'Cálculos'!$F$122)*'Cálculos'!$F$274+'Cálculos'!$F$125*(1+2.78*('Cálculos'!$F$200+(($B$225)-$A186)*'Cálculos'!$F$98)/(('Cálculos'!$F$200+(($B$225)-$A186)*'Cálculos'!$F$98)+1400)+'Cálculos'!$F$123)*'Cálculos'!$F$279)+('Cálculos'!$F$200+(($B$225)-$A186)*'Cálculos'!$F$98)*('Cálculos'!$F$270+'Cálculos'!$F$124*(1+2.78*('Cálculos'!$F$200+(($B$225)-$A186)*'Cálculos'!$F$98)/(('Cálculos'!$F$200+(($B$225)-$A186)*'Cálculos'!$F$98)+1400)+'Cálculos'!$F$122)*'Cálculos'!$F$275+'Cálculos'!$F$125*(1+2.78*('Cálculos'!$F$200+(($B$225)-$A186)*'Cálculos'!$F$98)/(('Cálculos'!$F$200+(($B$225)-$A186)*'Cálculos'!$F$98)+1400)+'Cálculos'!$F$123)*'Cálculos'!$F$280)+('Cálculos'!$F$201*(1+'Cálculos'!$F$202+$A186*('Cálculos'!$F$290=2)*'Cálculos'!$F$101)+'Cálculos'!$F$203)*('Cálculos'!$F$271+'Cálculos'!$F$124*(1+2.78*('Cálculos'!$F$200+(($B$225)-$A186)*'Cálculos'!$F$98)/(('Cálculos'!$F$200+(($B$225)-$A186)*'Cálculos'!$F$98)+1400)+'Cálculos'!$F$122)*'Cálculos'!$F$276+'Cálculos'!$F$125*(1+2.78*('Cálculos'!$F$200+(($B$225)-$A186)*'Cálculos'!$F$98)/(('Cálculos'!$F$200+(($B$225)-$A186)*'Cálculos'!$F$98)+1400)+'Cálculos'!$F$123)*'Cálculos'!$F$281)+('Cálculos'!$F$204*(1+'Cálculos'!$F$205+$A186*('Cálculos'!$F$290=3)*'Cálculos'!$F$103)+'Cálculos'!$F$206)*('Cálculos'!$F$272+'Cálculos'!$F$124*(1+2.78*('Cálculos'!$F$200+(($B$225)-$A186)*'Cálculos'!$F$98)/(('Cálculos'!$F$200+(($B$225)-$A186)*'Cálculos'!$F$98)+1400)+'Cálculos'!$F$122)*'Cálculos'!$F$277+'Cálculos'!$F$125*(1+2.78*('Cálculos'!$F$200+(($B$225)-$A186)*'Cálculos'!$F$98)/(('Cálculos'!$F$200+(($B$225)-$A186)*'Cálculos'!$F$98)+1400)+'Cálculos'!$F$123)*'Cálculos'!$F$282)))</f>
        <v>0</v>
      </c>
    </row>
    <row r="187" ht="15.75" customHeight="1">
      <c r="A187" s="2">
        <v>10.0</v>
      </c>
      <c r="B187" s="30">
        <f>SUMPRODUCT(MAX(($A$177:$A$222&lt;=$A187)*($A$177:$A$222&lt;='Cálculos'!$F$294)*(($A187)-$A$177:$A$222&lt;='Cálculos'!$F$295)*(1+(('Cálculos'!$F$207+$A$177:$A$222*'Cálculos'!$F$95)-(('Cálculos'!$F$207+$A$177:$A$222*'Cálculos'!$F$95)&gt;1)*(('Cálculos'!$F$207+$A$177:$A$222*'Cálculos'!$F$95)-1))*('Cálculos'!$F$208+(($A187)-$A$177:$A$222)*'Cálculos'!$F$96))))</f>
        <v>1.970855</v>
      </c>
      <c r="C187" s="2">
        <f>'Cálculos'!$F$303-$A187</f>
        <v>8</v>
      </c>
      <c r="D187" s="31">
        <f>IF($C187&lt;0,0,SUMPRODUCT(MAX(($A$177:$A$222&lt;=$C187)*($A$177:$A$222&lt;='Cálculos'!$F$301)*(($C187)-$A$177:$A$222&lt;='Cálculos'!$F$297)*(('Cálculos'!$F$185*(1+'Cálculos'!$F$186+$A$177:$A$222*('Cálculos'!$F$290=1)*'Cálculos'!$F$97+'Cálculos'!$F$305)+'Cálculos'!$F$191)*('Cálculos'!$F$209+'Cálculos'!$F$124*(1+2.78*('Cálculos'!$F$196+(($C187)-$A$177:$A$222)*'Cálculos'!$F$98)/(('Cálculos'!$F$196+(($C187)-$A$177:$A$222)*'Cálculos'!$F$98)+1400)+'Cálculos'!$F$122)*'Cálculos'!$F$214+'Cálculos'!$F$125*(1+2.78*('Cálculos'!$F$196+(($C187)-$A$177:$A$222)*'Cálculos'!$F$98)/(('Cálculos'!$F$196+(($C187)-$A$177:$A$222)*'Cálculos'!$F$98)+1400)+'Cálculos'!$F$123)*'Cálculos'!$F$219)+('Cálculos'!$F$196+(($C187)-$A$177:$A$222)*'Cálculos'!$F$98)*('Cálculos'!$F$210+'Cálculos'!$F$124*(1+2.78*('Cálculos'!$F$196+(($C187)-$A$177:$A$222)*'Cálculos'!$F$98)/(('Cálculos'!$F$196+(($C187)-$A$177:$A$222)*'Cálculos'!$F$98)+1400)+'Cálculos'!$F$122)*'Cálculos'!$F$215+'Cálculos'!$F$125*(1+2.78*('Cálculos'!$F$196+(($C187)-$A$177:$A$222)*'Cálculos'!$F$98)/(('Cálculos'!$F$196+(($C187)-$A$177:$A$222)*'Cálculos'!$F$98)+1400)+'Cálculos'!$F$123)*'Cálculos'!$F$220)+('Cálculos'!$F$201*(1+'Cálculos'!$F$202+$A$177:$A$222*('Cálculos'!$F$290=2)*'Cálculos'!$F$101)+'Cálculos'!$F$203)*('Cálculos'!$F$211+'Cálculos'!$F$124*(1+2.78*('Cálculos'!$F$196+(($C187)-$A$177:$A$222)*'Cálculos'!$F$98)/(('Cálculos'!$F$196+(($C187)-$A$177:$A$222)*'Cálculos'!$F$98)+1400)+'Cálculos'!$F$122)*'Cálculos'!$F$216+'Cálculos'!$F$125*(1+2.78*('Cálculos'!$F$196+(($C187)-$A$177:$A$222)*'Cálculos'!$F$98)/(('Cálculos'!$F$196+(($C187)-$A$177:$A$222)*'Cálculos'!$F$98)+1400)+'Cálculos'!$F$123)*'Cálculos'!$F$221)+('Cálculos'!$F$204*(1+'Cálculos'!$F$205+$A$177:$A$222*('Cálculos'!$F$290=3)*'Cálculos'!$F$103)+'Cálculos'!$F$206)*('Cálculos'!$F$212+'Cálculos'!$F$124*(1+2.78*('Cálculos'!$F$196+(($C187)-$A$177:$A$222)*'Cálculos'!$F$98)/(('Cálculos'!$F$196+(($C187)-$A$177:$A$222)*'Cálculos'!$F$98)+1400)+'Cálculos'!$F$122)*'Cálculos'!$F$217+'Cálculos'!$F$125*(1+2.78*('Cálculos'!$F$196+(($C187)-$A$177:$A$222)*'Cálculos'!$F$98)/(('Cálculos'!$F$196+(($C187)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187)-$A$177:$A$222)*'Cálculos'!$F$98)/(('Cálculos'!$F$197+(($C187)-$A$177:$A$222)*'Cálculos'!$F$98)+1400)+'Cálculos'!$F$122)*'Cálculos'!$F$229+'Cálculos'!$F$125*(1+2.78*('Cálculos'!$F$197+(($C187)-$A$177:$A$222)*'Cálculos'!$F$98)/(('Cálculos'!$F$197+(($C187)-$A$177:$A$222)*'Cálculos'!$F$98)+1400)+'Cálculos'!$F$123)*'Cálculos'!$F$234)+('Cálculos'!$F$197+(($C187)-$A$177:$A$222)*'Cálculos'!$F$98)*('Cálculos'!$F$225+'Cálculos'!$F$124*(1+2.78*('Cálculos'!$F$197+(($C187)-$A$177:$A$222)*'Cálculos'!$F$98)/(('Cálculos'!$F$197+(($C187)-$A$177:$A$222)*'Cálculos'!$F$98)+1400)+'Cálculos'!$F$122)*'Cálculos'!$F$230+'Cálculos'!$F$125*(1+2.78*('Cálculos'!$F$197+(($C187)-$A$177:$A$222)*'Cálculos'!$F$98)/(('Cálculos'!$F$197+(($C187)-$A$177:$A$222)*'Cálculos'!$F$98)+1400)+'Cálculos'!$F$123)*'Cálculos'!$F$235)+('Cálculos'!$F$201*(1+'Cálculos'!$F$202+$A$177:$A$222*('Cálculos'!$F$290=2)*'Cálculos'!$F$101)+'Cálculos'!$F$203)*('Cálculos'!$F$226+'Cálculos'!$F$124*(1+2.78*('Cálculos'!$F$197+(($C187)-$A$177:$A$222)*'Cálculos'!$F$98)/(('Cálculos'!$F$197+(($C187)-$A$177:$A$222)*'Cálculos'!$F$98)+1400)+'Cálculos'!$F$122)*'Cálculos'!$F$231+'Cálculos'!$F$125*(1+2.78*('Cálculos'!$F$197+(($C187)-$A$177:$A$222)*'Cálculos'!$F$98)/(('Cálculos'!$F$197+(($C187)-$A$177:$A$222)*'Cálculos'!$F$98)+1400)+'Cálculos'!$F$123)*'Cálculos'!$F$236)+('Cálculos'!$F$204*(1+'Cálculos'!$F$205+$A$177:$A$222*('Cálculos'!$F$290=3)*'Cálculos'!$F$103)+'Cálculos'!$F$206)*('Cálculos'!$F$227+'Cálculos'!$F$124*(1+2.78*('Cálculos'!$F$197+(($C187)-$A$177:$A$222)*'Cálculos'!$F$98)/(('Cálculos'!$F$197+(($C187)-$A$177:$A$222)*'Cálculos'!$F$98)+1400)+'Cálculos'!$F$122)*'Cálculos'!$F$232+'Cálculos'!$F$125*(1+2.78*('Cálculos'!$F$197+(($C187)-$A$177:$A$222)*'Cálculos'!$F$98)/(('Cálculos'!$F$197+(($C187)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187)-$A$177:$A$222)*'Cálculos'!$F$98)/(('Cálculos'!$F$198+(($C187)-$A$177:$A$222)*'Cálculos'!$F$98)+1400)+'Cálculos'!$F$122)*'Cálculos'!$F$244+'Cálculos'!$F$125*(1+2.78*('Cálculos'!$F$198+(($C187)-$A$177:$A$222)*'Cálculos'!$F$98)/(('Cálculos'!$F$198+(($C187)-$A$177:$A$222)*'Cálculos'!$F$98)+1400)+'Cálculos'!$F$123)*'Cálculos'!$F$249)+('Cálculos'!$F$198+(($C187)-$A$177:$A$222)*'Cálculos'!$F$98)*('Cálculos'!$F$240+'Cálculos'!$F$124*(1+2.78*('Cálculos'!$F$198+(($C187)-$A$177:$A$222)*'Cálculos'!$F$98)/(('Cálculos'!$F$198+(($C187)-$A$177:$A$222)*'Cálculos'!$F$98)+1400)+'Cálculos'!$F$122)*'Cálculos'!$F$245+'Cálculos'!$F$125*(1+2.78*('Cálculos'!$F$198+(($C187)-$A$177:$A$222)*'Cálculos'!$F$98)/(('Cálculos'!$F$198+(($C187)-$A$177:$A$222)*'Cálculos'!$F$98)+1400)+'Cálculos'!$F$123)*'Cálculos'!$F$250)+('Cálculos'!$F$201*(1+'Cálculos'!$F$202+$A$177:$A$222*('Cálculos'!$F$290=2)*'Cálculos'!$F$101)+'Cálculos'!$F$203)*('Cálculos'!$F$241+'Cálculos'!$F$124*(1+2.78*('Cálculos'!$F$198+(($C187)-$A$177:$A$222)*'Cálculos'!$F$98)/(('Cálculos'!$F$198+(($C187)-$A$177:$A$222)*'Cálculos'!$F$98)+1400)+'Cálculos'!$F$122)*'Cálculos'!$F$246+'Cálculos'!$F$125*(1+2.78*('Cálculos'!$F$198+(($C187)-$A$177:$A$222)*'Cálculos'!$F$98)/(('Cálculos'!$F$198+(($C187)-$A$177:$A$222)*'Cálculos'!$F$98)+1400)+'Cálculos'!$F$123)*'Cálculos'!$F$251)+('Cálculos'!$F$204*(1+'Cálculos'!$F$205+$A$177:$A$222*('Cálculos'!$F$290=3)*'Cálculos'!$F$103)+'Cálculos'!$F$206)*('Cálculos'!$F$242+'Cálculos'!$F$124*(1+2.78*('Cálculos'!$F$198+(($C187)-$A$177:$A$222)*'Cálculos'!$F$98)/(('Cálculos'!$F$198+(($C187)-$A$177:$A$222)*'Cálculos'!$F$98)+1400)+'Cálculos'!$F$122)*'Cálculos'!$F$247+'Cálculos'!$F$125*(1+2.78*('Cálculos'!$F$198+(($C187)-$A$177:$A$222)*'Cálculos'!$F$98)/(('Cálculos'!$F$198+(($C187)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187)-$A$177:$A$222)*'Cálculos'!$F$98)/(('Cálculos'!$F$199+(($C187)-$A$177:$A$222)*'Cálculos'!$F$98)+1400)+'Cálculos'!$F$122)*'Cálculos'!$F$259+'Cálculos'!$F$125*(1+2.78*('Cálculos'!$F$199+(($C187)-$A$177:$A$222)*'Cálculos'!$F$98)/(('Cálculos'!$F$199+(($C187)-$A$177:$A$222)*'Cálculos'!$F$98)+1400)+'Cálculos'!$F$123)*'Cálculos'!$F$264)+('Cálculos'!$F$199+(($C187)-$A$177:$A$222)*'Cálculos'!$F$98)*('Cálculos'!$F$255+'Cálculos'!$F$124*(1+2.78*('Cálculos'!$F$199+(($C187)-$A$177:$A$222)*'Cálculos'!$F$98)/(('Cálculos'!$F$199+(($C187)-$A$177:$A$222)*'Cálculos'!$F$98)+1400)+'Cálculos'!$F$122)*'Cálculos'!$F$260+'Cálculos'!$F$125*(1+2.78*('Cálculos'!$F$199+(($C187)-$A$177:$A$222)*'Cálculos'!$F$98)/(('Cálculos'!$F$199+(($C187)-$A$177:$A$222)*'Cálculos'!$F$98)+1400)+'Cálculos'!$F$123)*'Cálculos'!$F$265)+('Cálculos'!$F$201*(1+'Cálculos'!$F$202+$A$177:$A$222*('Cálculos'!$F$290=2)*'Cálculos'!$F$101)+'Cálculos'!$F$203)*('Cálculos'!$F$256+'Cálculos'!$F$124*(1+2.78*('Cálculos'!$F$199+(($C187)-$A$177:$A$222)*'Cálculos'!$F$98)/(('Cálculos'!$F$199+(($C187)-$A$177:$A$222)*'Cálculos'!$F$98)+1400)+'Cálculos'!$F$122)*'Cálculos'!$F$261+'Cálculos'!$F$125*(1+2.78*('Cálculos'!$F$199+(($C187)-$A$177:$A$222)*'Cálculos'!$F$98)/(('Cálculos'!$F$199+(($C187)-$A$177:$A$222)*'Cálculos'!$F$98)+1400)+'Cálculos'!$F$123)*'Cálculos'!$F$266)+('Cálculos'!$F$204*(1+'Cálculos'!$F$205+$A$177:$A$222*('Cálculos'!$F$290=3)*'Cálculos'!$F$103)+'Cálculos'!$F$206)*('Cálculos'!$F$257+'Cálculos'!$F$124*(1+2.78*('Cálculos'!$F$199+(($C187)-$A$177:$A$222)*'Cálculos'!$F$98)/(('Cálculos'!$F$199+(($C187)-$A$177:$A$222)*'Cálculos'!$F$98)+1400)+'Cálculos'!$F$122)*'Cálculos'!$F$262+'Cálculos'!$F$125*(1+2.78*('Cálculos'!$F$199+(($C187)-$A$177:$A$222)*'Cálculos'!$F$98)/(('Cálculos'!$F$199+(($C187)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187)-$A$177:$A$222)*'Cálculos'!$F$98)/(('Cálculos'!$F$200+(($C187)-$A$177:$A$222)*'Cálculos'!$F$98)+1400)+'Cálculos'!$F$122)*'Cálculos'!$F$274+'Cálculos'!$F$125*(1+2.78*('Cálculos'!$F$200+(($C187)-$A$177:$A$222)*'Cálculos'!$F$98)/(('Cálculos'!$F$200+(($C187)-$A$177:$A$222)*'Cálculos'!$F$98)+1400)+'Cálculos'!$F$123)*'Cálculos'!$F$279)+('Cálculos'!$F$200+(($C187)-$A$177:$A$222)*'Cálculos'!$F$98)*('Cálculos'!$F$270+'Cálculos'!$F$124*(1+2.78*('Cálculos'!$F$200+(($C187)-$A$177:$A$222)*'Cálculos'!$F$98)/(('Cálculos'!$F$200+(($C187)-$A$177:$A$222)*'Cálculos'!$F$98)+1400)+'Cálculos'!$F$122)*'Cálculos'!$F$275+'Cálculos'!$F$125*(1+2.78*('Cálculos'!$F$200+(($C187)-$A$177:$A$222)*'Cálculos'!$F$98)/(('Cálculos'!$F$200+(($C187)-$A$177:$A$222)*'Cálculos'!$F$98)+1400)+'Cálculos'!$F$123)*'Cálculos'!$F$280)+('Cálculos'!$F$201*(1+'Cálculos'!$F$202+$A$177:$A$222*('Cálculos'!$F$290=2)*'Cálculos'!$F$101)+'Cálculos'!$F$203)*('Cálculos'!$F$271+'Cálculos'!$F$124*(1+2.78*('Cálculos'!$F$200+(($C187)-$A$177:$A$222)*'Cálculos'!$F$98)/(('Cálculos'!$F$200+(($C187)-$A$177:$A$222)*'Cálculos'!$F$98)+1400)+'Cálculos'!$F$122)*'Cálculos'!$F$276+'Cálculos'!$F$125*(1+2.78*('Cálculos'!$F$200+(($C187)-$A$177:$A$222)*'Cálculos'!$F$98)/(('Cálculos'!$F$200+(($C187)-$A$177:$A$222)*'Cálculos'!$F$98)+1400)+'Cálculos'!$F$123)*'Cálculos'!$F$281)+('Cálculos'!$F$204*(1+'Cálculos'!$F$205+$A$177:$A$222*('Cálculos'!$F$290=3)*'Cálculos'!$F$103)+'Cálculos'!$F$206)*('Cálculos'!$F$272+'Cálculos'!$F$124*(1+2.78*('Cálculos'!$F$200+(($C187)-$A$177:$A$222)*'Cálculos'!$F$98)/(('Cálculos'!$F$200+(($C187)-$A$177:$A$222)*'Cálculos'!$F$98)+1400)+'Cálculos'!$F$122)*'Cálculos'!$F$277+'Cálculos'!$F$125*(1+2.78*('Cálculos'!$F$200+(($C187)-$A$177:$A$222)*'Cálculos'!$F$98)/(('Cálculos'!$F$200+(($C187)-$A$177:$A$222)*'Cálculos'!$F$98)+1400)+'Cálculos'!$F$123)*'Cálculos'!$F$282)))))</f>
        <v>21136.35487</v>
      </c>
      <c r="E187" s="32">
        <f>IF(OR($C187&lt;0,'Cálculos'!$F$6=""),0,$B187*$D187)</f>
        <v>41656.69068</v>
      </c>
      <c r="F187" s="2"/>
      <c r="G187" s="30">
        <f>($A187&lt;=$B$224)*($A187&lt;='Cálculos'!$F$294)*(($B$224)-$A187&lt;='Cálculos'!$F$295)*(1+MIN(('Cálculos'!$F$207+$A187*'Cálculos'!$F$95),1)*('Cálculos'!$F$208+(($B$224)-$A187)*'Cálculos'!$F$96))</f>
        <v>2.363357</v>
      </c>
      <c r="H187" s="31">
        <f>IF($B$225&lt;0,0,($A187&lt;=$B$225)*($A187&lt;='Cálculos'!$F$301)*(($B$225)-$A187&lt;='Cálculos'!$F$297)*(('Cálculos'!$F$185*(1+'Cálculos'!$F$186+$A187*('Cálculos'!$F$290=1)*'Cálculos'!$F$97+'Cálculos'!$F$305)+'Cálculos'!$F$191)*('Cálculos'!$F$209+'Cálculos'!$F$124*(1+2.78*('Cálculos'!$F$196+(($B$225)-$A187)*'Cálculos'!$F$98)/(('Cálculos'!$F$196+(($B$225)-$A187)*'Cálculos'!$F$98)+1400)+'Cálculos'!$F$122)*'Cálculos'!$F$214+'Cálculos'!$F$125*(1+2.78*('Cálculos'!$F$196+(($B$225)-$A187)*'Cálculos'!$F$98)/(('Cálculos'!$F$196+(($B$225)-$A187)*'Cálculos'!$F$98)+1400)+'Cálculos'!$F$123)*'Cálculos'!$F$219)+('Cálculos'!$F$196+(($B$225)-$A187)*'Cálculos'!$F$98)*('Cálculos'!$F$210+'Cálculos'!$F$124*(1+2.78*('Cálculos'!$F$196+(($B$225)-$A187)*'Cálculos'!$F$98)/(('Cálculos'!$F$196+(($B$225)-$A187)*'Cálculos'!$F$98)+1400)+'Cálculos'!$F$122)*'Cálculos'!$F$215+'Cálculos'!$F$125*(1+2.78*('Cálculos'!$F$196+(($B$225)-$A187)*'Cálculos'!$F$98)/(('Cálculos'!$F$196+(($B$225)-$A187)*'Cálculos'!$F$98)+1400)+'Cálculos'!$F$123)*'Cálculos'!$F$220)+('Cálculos'!$F$201*(1+'Cálculos'!$F$202+$A187*('Cálculos'!$F$290=2)*'Cálculos'!$F$101)+'Cálculos'!$F$203)*('Cálculos'!$F$211+'Cálculos'!$F$124*(1+2.78*('Cálculos'!$F$196+(($B$225)-$A187)*'Cálculos'!$F$98)/(('Cálculos'!$F$196+(($B$225)-$A187)*'Cálculos'!$F$98)+1400)+'Cálculos'!$F$122)*'Cálculos'!$F$216+'Cálculos'!$F$125*(1+2.78*('Cálculos'!$F$196+(($B$225)-$A187)*'Cálculos'!$F$98)/(('Cálculos'!$F$196+(($B$225)-$A187)*'Cálculos'!$F$98)+1400)+'Cálculos'!$F$123)*'Cálculos'!$F$221)+('Cálculos'!$F$204*(1+'Cálculos'!$F$205+$A187*('Cálculos'!$F$290=3)*'Cálculos'!$F$103)+'Cálculos'!$F$206)*('Cálculos'!$F$212+'Cálculos'!$F$124*(1+2.78*('Cálculos'!$F$196+(($B$225)-$A187)*'Cálculos'!$F$98)/(('Cálculos'!$F$196+(($B$225)-$A187)*'Cálculos'!$F$98)+1400)+'Cálculos'!$F$122)*'Cálculos'!$F$217+'Cálculos'!$F$125*(1+2.78*('Cálculos'!$F$196+(($B$225)-$A187)*'Cálculos'!$F$98)/(('Cálculos'!$F$196+(($B$225)-$A187)*'Cálculos'!$F$98)+1400)+'Cálculos'!$F$123)*'Cálculos'!$F$222)+('Cálculos'!$F$185*(1+'Cálculos'!$F$187+$A187*('Cálculos'!$F$290=1)*'Cálculos'!$F$97+'Cálculos'!$F$305)+'Cálculos'!$F$192)*('Cálculos'!$F$224+'Cálculos'!$F$124*(1+2.78*('Cálculos'!$F$197+(($B$225)-$A187)*'Cálculos'!$F$98)/(('Cálculos'!$F$197+(($B$225)-$A187)*'Cálculos'!$F$98)+1400)+'Cálculos'!$F$122)*'Cálculos'!$F$229+'Cálculos'!$F$125*(1+2.78*('Cálculos'!$F$197+(($B$225)-$A187)*'Cálculos'!$F$98)/(('Cálculos'!$F$197+(($B$225)-$A187)*'Cálculos'!$F$98)+1400)+'Cálculos'!$F$123)*'Cálculos'!$F$234)+('Cálculos'!$F$197+(($B$225)-$A187)*'Cálculos'!$F$98)*('Cálculos'!$F$225+'Cálculos'!$F$124*(1+2.78*('Cálculos'!$F$197+(($B$225)-$A187)*'Cálculos'!$F$98)/(('Cálculos'!$F$197+(($B$225)-$A187)*'Cálculos'!$F$98)+1400)+'Cálculos'!$F$122)*'Cálculos'!$F$230+'Cálculos'!$F$125*(1+2.78*('Cálculos'!$F$197+(($B$225)-$A187)*'Cálculos'!$F$98)/(('Cálculos'!$F$197+(($B$225)-$A187)*'Cálculos'!$F$98)+1400)+'Cálculos'!$F$123)*'Cálculos'!$F$235)+('Cálculos'!$F$201*(1+'Cálculos'!$F$202+$A187*('Cálculos'!$F$290=2)*'Cálculos'!$F$101)+'Cálculos'!$F$203)*('Cálculos'!$F$226+'Cálculos'!$F$124*(1+2.78*('Cálculos'!$F$197+(($B$225)-$A187)*'Cálculos'!$F$98)/(('Cálculos'!$F$197+(($B$225)-$A187)*'Cálculos'!$F$98)+1400)+'Cálculos'!$F$122)*'Cálculos'!$F$231+'Cálculos'!$F$125*(1+2.78*('Cálculos'!$F$197+(($B$225)-$A187)*'Cálculos'!$F$98)/(('Cálculos'!$F$197+(($B$225)-$A187)*'Cálculos'!$F$98)+1400)+'Cálculos'!$F$123)*'Cálculos'!$F$236)+('Cálculos'!$F$204*(1+'Cálculos'!$F$205+$A187*('Cálculos'!$F$290=3)*'Cálculos'!$F$103)+'Cálculos'!$F$206)*('Cálculos'!$F$227+'Cálculos'!$F$124*(1+2.78*('Cálculos'!$F$197+(($B$225)-$A187)*'Cálculos'!$F$98)/(('Cálculos'!$F$197+(($B$225)-$A187)*'Cálculos'!$F$98)+1400)+'Cálculos'!$F$122)*'Cálculos'!$F$232+'Cálculos'!$F$125*(1+2.78*('Cálculos'!$F$197+(($B$225)-$A187)*'Cálculos'!$F$98)/(('Cálculos'!$F$197+(($B$225)-$A187)*'Cálculos'!$F$98)+1400)+'Cálculos'!$F$123)*'Cálculos'!$F$237)+('Cálculos'!$F$185*(1+'Cálculos'!$F$188+$A187*('Cálculos'!$F$290=1)*'Cálculos'!$F$97+'Cálculos'!$F$305)+'Cálculos'!$F$193)*('Cálculos'!$F$239+'Cálculos'!$F$124*(1+2.78*('Cálculos'!$F$198+(($B$225)-$A187)*'Cálculos'!$F$98)/(('Cálculos'!$F$198+(($B$225)-$A187)*'Cálculos'!$F$98)+1400)+'Cálculos'!$F$122)*'Cálculos'!$F$244+'Cálculos'!$F$125*(1+2.78*('Cálculos'!$F$198+(($B$225)-$A187)*'Cálculos'!$F$98)/(('Cálculos'!$F$198+(($B$225)-$A187)*'Cálculos'!$F$98)+1400)+'Cálculos'!$F$123)*'Cálculos'!$F$249)+('Cálculos'!$F$198+(($B$225)-$A187)*'Cálculos'!$F$98)*('Cálculos'!$F$240+'Cálculos'!$F$124*(1+2.78*('Cálculos'!$F$198+(($B$225)-$A187)*'Cálculos'!$F$98)/(('Cálculos'!$F$198+(($B$225)-$A187)*'Cálculos'!$F$98)+1400)+'Cálculos'!$F$122)*'Cálculos'!$F$245+'Cálculos'!$F$125*(1+2.78*('Cálculos'!$F$198+(($B$225)-$A187)*'Cálculos'!$F$98)/(('Cálculos'!$F$198+(($B$225)-$A187)*'Cálculos'!$F$98)+1400)+'Cálculos'!$F$123)*'Cálculos'!$F$250)+('Cálculos'!$F$201*(1+'Cálculos'!$F$202+$A187*('Cálculos'!$F$290=2)*'Cálculos'!$F$101)+'Cálculos'!$F$203)*('Cálculos'!$F$241+'Cálculos'!$F$124*(1+2.78*('Cálculos'!$F$198+(($B$225)-$A187)*'Cálculos'!$F$98)/(('Cálculos'!$F$198+(($B$225)-$A187)*'Cálculos'!$F$98)+1400)+'Cálculos'!$F$122)*'Cálculos'!$F$246+'Cálculos'!$F$125*(1+2.78*('Cálculos'!$F$198+(($B$225)-$A187)*'Cálculos'!$F$98)/(('Cálculos'!$F$198+(($B$225)-$A187)*'Cálculos'!$F$98)+1400)+'Cálculos'!$F$123)*'Cálculos'!$F$251)+('Cálculos'!$F$204*(1+'Cálculos'!$F$205+$A187*('Cálculos'!$F$290=3)*'Cálculos'!$F$103)+'Cálculos'!$F$206)*('Cálculos'!$F$242+'Cálculos'!$F$124*(1+2.78*('Cálculos'!$F$198+(($B$225)-$A187)*'Cálculos'!$F$98)/(('Cálculos'!$F$198+(($B$225)-$A187)*'Cálculos'!$F$98)+1400)+'Cálculos'!$F$122)*'Cálculos'!$F$247+'Cálculos'!$F$125*(1+2.78*('Cálculos'!$F$198+(($B$225)-$A187)*'Cálculos'!$F$98)/(('Cálculos'!$F$198+(($B$225)-$A187)*'Cálculos'!$F$98)+1400)+'Cálculos'!$F$123)*'Cálculos'!$F$252)+('Cálculos'!$F$185*(1+'Cálculos'!$F$189+$A187*('Cálculos'!$F$290=1)*'Cálculos'!$F$97+'Cálculos'!$F$305)+'Cálculos'!$F$194)*('Cálculos'!$F$254+'Cálculos'!$F$124*(1+2.78*('Cálculos'!$F$199+(($B$225)-$A187)*'Cálculos'!$F$98)/(('Cálculos'!$F$199+(($B$225)-$A187)*'Cálculos'!$F$98)+1400)+'Cálculos'!$F$122)*'Cálculos'!$F$259+'Cálculos'!$F$125*(1+2.78*('Cálculos'!$F$199+(($B$225)-$A187)*'Cálculos'!$F$98)/(('Cálculos'!$F$199+(($B$225)-$A187)*'Cálculos'!$F$98)+1400)+'Cálculos'!$F$123)*'Cálculos'!$F$264)+('Cálculos'!$F$199+(($B$225)-$A187)*'Cálculos'!$F$98)*('Cálculos'!$F$255+'Cálculos'!$F$124*(1+2.78*('Cálculos'!$F$199+(($B$225)-$A187)*'Cálculos'!$F$98)/(('Cálculos'!$F$199+(($B$225)-$A187)*'Cálculos'!$F$98)+1400)+'Cálculos'!$F$122)*'Cálculos'!$F$260+'Cálculos'!$F$125*(1+2.78*('Cálculos'!$F$199+(($B$225)-$A187)*'Cálculos'!$F$98)/(('Cálculos'!$F$199+(($B$225)-$A187)*'Cálculos'!$F$98)+1400)+'Cálculos'!$F$123)*'Cálculos'!$F$265)+('Cálculos'!$F$201*(1+'Cálculos'!$F$202+$A187*('Cálculos'!$F$290=2)*'Cálculos'!$F$101)+'Cálculos'!$F$203)*('Cálculos'!$F$256+'Cálculos'!$F$124*(1+2.78*('Cálculos'!$F$199+(($B$225)-$A187)*'Cálculos'!$F$98)/(('Cálculos'!$F$199+(($B$225)-$A187)*'Cálculos'!$F$98)+1400)+'Cálculos'!$F$122)*'Cálculos'!$F$261+'Cálculos'!$F$125*(1+2.78*('Cálculos'!$F$199+(($B$225)-$A187)*'Cálculos'!$F$98)/(('Cálculos'!$F$199+(($B$225)-$A187)*'Cálculos'!$F$98)+1400)+'Cálculos'!$F$123)*'Cálculos'!$F$266)+('Cálculos'!$F$204*(1+'Cálculos'!$F$205+$A187*('Cálculos'!$F$290=3)*'Cálculos'!$F$103)+'Cálculos'!$F$206)*('Cálculos'!$F$257+'Cálculos'!$F$124*(1+2.78*('Cálculos'!$F$199+(($B$225)-$A187)*'Cálculos'!$F$98)/(('Cálculos'!$F$199+(($B$225)-$A187)*'Cálculos'!$F$98)+1400)+'Cálculos'!$F$122)*'Cálculos'!$F$262+'Cálculos'!$F$125*(1+2.78*('Cálculos'!$F$199+(($B$225)-$A187)*'Cálculos'!$F$98)/(('Cálculos'!$F$199+(($B$225)-$A187)*'Cálculos'!$F$98)+1400)+'Cálculos'!$F$123)*'Cálculos'!$F$267)+('Cálculos'!$F$185*(1+'Cálculos'!$F$190+$A187*('Cálculos'!$F$290=1)*'Cálculos'!$F$97+'Cálculos'!$F$305)+'Cálculos'!$F$195)*('Cálculos'!$F$269+'Cálculos'!$F$124*(1+2.78*('Cálculos'!$F$200+(($B$225)-$A187)*'Cálculos'!$F$98)/(('Cálculos'!$F$200+(($B$225)-$A187)*'Cálculos'!$F$98)+1400)+'Cálculos'!$F$122)*'Cálculos'!$F$274+'Cálculos'!$F$125*(1+2.78*('Cálculos'!$F$200+(($B$225)-$A187)*'Cálculos'!$F$98)/(('Cálculos'!$F$200+(($B$225)-$A187)*'Cálculos'!$F$98)+1400)+'Cálculos'!$F$123)*'Cálculos'!$F$279)+('Cálculos'!$F$200+(($B$225)-$A187)*'Cálculos'!$F$98)*('Cálculos'!$F$270+'Cálculos'!$F$124*(1+2.78*('Cálculos'!$F$200+(($B$225)-$A187)*'Cálculos'!$F$98)/(('Cálculos'!$F$200+(($B$225)-$A187)*'Cálculos'!$F$98)+1400)+'Cálculos'!$F$122)*'Cálculos'!$F$275+'Cálculos'!$F$125*(1+2.78*('Cálculos'!$F$200+(($B$225)-$A187)*'Cálculos'!$F$98)/(('Cálculos'!$F$200+(($B$225)-$A187)*'Cálculos'!$F$98)+1400)+'Cálculos'!$F$123)*'Cálculos'!$F$280)+('Cálculos'!$F$201*(1+'Cálculos'!$F$202+$A187*('Cálculos'!$F$290=2)*'Cálculos'!$F$101)+'Cálculos'!$F$203)*('Cálculos'!$F$271+'Cálculos'!$F$124*(1+2.78*('Cálculos'!$F$200+(($B$225)-$A187)*'Cálculos'!$F$98)/(('Cálculos'!$F$200+(($B$225)-$A187)*'Cálculos'!$F$98)+1400)+'Cálculos'!$F$122)*'Cálculos'!$F$276+'Cálculos'!$F$125*(1+2.78*('Cálculos'!$F$200+(($B$225)-$A187)*'Cálculos'!$F$98)/(('Cálculos'!$F$200+(($B$225)-$A187)*'Cálculos'!$F$98)+1400)+'Cálculos'!$F$123)*'Cálculos'!$F$281)+('Cálculos'!$F$204*(1+'Cálculos'!$F$205+$A187*('Cálculos'!$F$290=3)*'Cálculos'!$F$103)+'Cálculos'!$F$206)*('Cálculos'!$F$272+'Cálculos'!$F$124*(1+2.78*('Cálculos'!$F$200+(($B$225)-$A187)*'Cálculos'!$F$98)/(('Cálculos'!$F$200+(($B$225)-$A187)*'Cálculos'!$F$98)+1400)+'Cálculos'!$F$122)*'Cálculos'!$F$277+'Cálculos'!$F$125*(1+2.78*('Cálculos'!$F$200+(($B$225)-$A187)*'Cálculos'!$F$98)/(('Cálculos'!$F$200+(($B$225)-$A187)*'Cálculos'!$F$98)+1400)+'Cálculos'!$F$123)*'Cálculos'!$F$282)))</f>
        <v>0</v>
      </c>
    </row>
    <row r="188" ht="15.75" customHeight="1">
      <c r="A188" s="2">
        <v>11.0</v>
      </c>
      <c r="B188" s="30">
        <f>SUMPRODUCT(MAX(($A$177:$A$222&lt;=$A188)*($A$177:$A$222&lt;='Cálculos'!$F$294)*(($A188)-$A$177:$A$222&lt;='Cálculos'!$F$295)*(1+(('Cálculos'!$F$207+$A$177:$A$222*'Cálculos'!$F$95)-(('Cálculos'!$F$207+$A$177:$A$222*'Cálculos'!$F$95)&gt;1)*(('Cálculos'!$F$207+$A$177:$A$222*'Cálculos'!$F$95)-1))*('Cálculos'!$F$208+(($A188)-$A$177:$A$222)*'Cálculos'!$F$96))))</f>
        <v>2.01722</v>
      </c>
      <c r="C188" s="2">
        <f>'Cálculos'!$F$303-$A188</f>
        <v>7</v>
      </c>
      <c r="D188" s="31">
        <f>IF($C188&lt;0,0,SUMPRODUCT(MAX(($A$177:$A$222&lt;=$C188)*($A$177:$A$222&lt;='Cálculos'!$F$301)*(($C188)-$A$177:$A$222&lt;='Cálculos'!$F$297)*(('Cálculos'!$F$185*(1+'Cálculos'!$F$186+$A$177:$A$222*('Cálculos'!$F$290=1)*'Cálculos'!$F$97+'Cálculos'!$F$305)+'Cálculos'!$F$191)*('Cálculos'!$F$209+'Cálculos'!$F$124*(1+2.78*('Cálculos'!$F$196+(($C188)-$A$177:$A$222)*'Cálculos'!$F$98)/(('Cálculos'!$F$196+(($C188)-$A$177:$A$222)*'Cálculos'!$F$98)+1400)+'Cálculos'!$F$122)*'Cálculos'!$F$214+'Cálculos'!$F$125*(1+2.78*('Cálculos'!$F$196+(($C188)-$A$177:$A$222)*'Cálculos'!$F$98)/(('Cálculos'!$F$196+(($C188)-$A$177:$A$222)*'Cálculos'!$F$98)+1400)+'Cálculos'!$F$123)*'Cálculos'!$F$219)+('Cálculos'!$F$196+(($C188)-$A$177:$A$222)*'Cálculos'!$F$98)*('Cálculos'!$F$210+'Cálculos'!$F$124*(1+2.78*('Cálculos'!$F$196+(($C188)-$A$177:$A$222)*'Cálculos'!$F$98)/(('Cálculos'!$F$196+(($C188)-$A$177:$A$222)*'Cálculos'!$F$98)+1400)+'Cálculos'!$F$122)*'Cálculos'!$F$215+'Cálculos'!$F$125*(1+2.78*('Cálculos'!$F$196+(($C188)-$A$177:$A$222)*'Cálculos'!$F$98)/(('Cálculos'!$F$196+(($C188)-$A$177:$A$222)*'Cálculos'!$F$98)+1400)+'Cálculos'!$F$123)*'Cálculos'!$F$220)+('Cálculos'!$F$201*(1+'Cálculos'!$F$202+$A$177:$A$222*('Cálculos'!$F$290=2)*'Cálculos'!$F$101)+'Cálculos'!$F$203)*('Cálculos'!$F$211+'Cálculos'!$F$124*(1+2.78*('Cálculos'!$F$196+(($C188)-$A$177:$A$222)*'Cálculos'!$F$98)/(('Cálculos'!$F$196+(($C188)-$A$177:$A$222)*'Cálculos'!$F$98)+1400)+'Cálculos'!$F$122)*'Cálculos'!$F$216+'Cálculos'!$F$125*(1+2.78*('Cálculos'!$F$196+(($C188)-$A$177:$A$222)*'Cálculos'!$F$98)/(('Cálculos'!$F$196+(($C188)-$A$177:$A$222)*'Cálculos'!$F$98)+1400)+'Cálculos'!$F$123)*'Cálculos'!$F$221)+('Cálculos'!$F$204*(1+'Cálculos'!$F$205+$A$177:$A$222*('Cálculos'!$F$290=3)*'Cálculos'!$F$103)+'Cálculos'!$F$206)*('Cálculos'!$F$212+'Cálculos'!$F$124*(1+2.78*('Cálculos'!$F$196+(($C188)-$A$177:$A$222)*'Cálculos'!$F$98)/(('Cálculos'!$F$196+(($C188)-$A$177:$A$222)*'Cálculos'!$F$98)+1400)+'Cálculos'!$F$122)*'Cálculos'!$F$217+'Cálculos'!$F$125*(1+2.78*('Cálculos'!$F$196+(($C188)-$A$177:$A$222)*'Cálculos'!$F$98)/(('Cálculos'!$F$196+(($C188)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188)-$A$177:$A$222)*'Cálculos'!$F$98)/(('Cálculos'!$F$197+(($C188)-$A$177:$A$222)*'Cálculos'!$F$98)+1400)+'Cálculos'!$F$122)*'Cálculos'!$F$229+'Cálculos'!$F$125*(1+2.78*('Cálculos'!$F$197+(($C188)-$A$177:$A$222)*'Cálculos'!$F$98)/(('Cálculos'!$F$197+(($C188)-$A$177:$A$222)*'Cálculos'!$F$98)+1400)+'Cálculos'!$F$123)*'Cálculos'!$F$234)+('Cálculos'!$F$197+(($C188)-$A$177:$A$222)*'Cálculos'!$F$98)*('Cálculos'!$F$225+'Cálculos'!$F$124*(1+2.78*('Cálculos'!$F$197+(($C188)-$A$177:$A$222)*'Cálculos'!$F$98)/(('Cálculos'!$F$197+(($C188)-$A$177:$A$222)*'Cálculos'!$F$98)+1400)+'Cálculos'!$F$122)*'Cálculos'!$F$230+'Cálculos'!$F$125*(1+2.78*('Cálculos'!$F$197+(($C188)-$A$177:$A$222)*'Cálculos'!$F$98)/(('Cálculos'!$F$197+(($C188)-$A$177:$A$222)*'Cálculos'!$F$98)+1400)+'Cálculos'!$F$123)*'Cálculos'!$F$235)+('Cálculos'!$F$201*(1+'Cálculos'!$F$202+$A$177:$A$222*('Cálculos'!$F$290=2)*'Cálculos'!$F$101)+'Cálculos'!$F$203)*('Cálculos'!$F$226+'Cálculos'!$F$124*(1+2.78*('Cálculos'!$F$197+(($C188)-$A$177:$A$222)*'Cálculos'!$F$98)/(('Cálculos'!$F$197+(($C188)-$A$177:$A$222)*'Cálculos'!$F$98)+1400)+'Cálculos'!$F$122)*'Cálculos'!$F$231+'Cálculos'!$F$125*(1+2.78*('Cálculos'!$F$197+(($C188)-$A$177:$A$222)*'Cálculos'!$F$98)/(('Cálculos'!$F$197+(($C188)-$A$177:$A$222)*'Cálculos'!$F$98)+1400)+'Cálculos'!$F$123)*'Cálculos'!$F$236)+('Cálculos'!$F$204*(1+'Cálculos'!$F$205+$A$177:$A$222*('Cálculos'!$F$290=3)*'Cálculos'!$F$103)+'Cálculos'!$F$206)*('Cálculos'!$F$227+'Cálculos'!$F$124*(1+2.78*('Cálculos'!$F$197+(($C188)-$A$177:$A$222)*'Cálculos'!$F$98)/(('Cálculos'!$F$197+(($C188)-$A$177:$A$222)*'Cálculos'!$F$98)+1400)+'Cálculos'!$F$122)*'Cálculos'!$F$232+'Cálculos'!$F$125*(1+2.78*('Cálculos'!$F$197+(($C188)-$A$177:$A$222)*'Cálculos'!$F$98)/(('Cálculos'!$F$197+(($C188)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188)-$A$177:$A$222)*'Cálculos'!$F$98)/(('Cálculos'!$F$198+(($C188)-$A$177:$A$222)*'Cálculos'!$F$98)+1400)+'Cálculos'!$F$122)*'Cálculos'!$F$244+'Cálculos'!$F$125*(1+2.78*('Cálculos'!$F$198+(($C188)-$A$177:$A$222)*'Cálculos'!$F$98)/(('Cálculos'!$F$198+(($C188)-$A$177:$A$222)*'Cálculos'!$F$98)+1400)+'Cálculos'!$F$123)*'Cálculos'!$F$249)+('Cálculos'!$F$198+(($C188)-$A$177:$A$222)*'Cálculos'!$F$98)*('Cálculos'!$F$240+'Cálculos'!$F$124*(1+2.78*('Cálculos'!$F$198+(($C188)-$A$177:$A$222)*'Cálculos'!$F$98)/(('Cálculos'!$F$198+(($C188)-$A$177:$A$222)*'Cálculos'!$F$98)+1400)+'Cálculos'!$F$122)*'Cálculos'!$F$245+'Cálculos'!$F$125*(1+2.78*('Cálculos'!$F$198+(($C188)-$A$177:$A$222)*'Cálculos'!$F$98)/(('Cálculos'!$F$198+(($C188)-$A$177:$A$222)*'Cálculos'!$F$98)+1400)+'Cálculos'!$F$123)*'Cálculos'!$F$250)+('Cálculos'!$F$201*(1+'Cálculos'!$F$202+$A$177:$A$222*('Cálculos'!$F$290=2)*'Cálculos'!$F$101)+'Cálculos'!$F$203)*('Cálculos'!$F$241+'Cálculos'!$F$124*(1+2.78*('Cálculos'!$F$198+(($C188)-$A$177:$A$222)*'Cálculos'!$F$98)/(('Cálculos'!$F$198+(($C188)-$A$177:$A$222)*'Cálculos'!$F$98)+1400)+'Cálculos'!$F$122)*'Cálculos'!$F$246+'Cálculos'!$F$125*(1+2.78*('Cálculos'!$F$198+(($C188)-$A$177:$A$222)*'Cálculos'!$F$98)/(('Cálculos'!$F$198+(($C188)-$A$177:$A$222)*'Cálculos'!$F$98)+1400)+'Cálculos'!$F$123)*'Cálculos'!$F$251)+('Cálculos'!$F$204*(1+'Cálculos'!$F$205+$A$177:$A$222*('Cálculos'!$F$290=3)*'Cálculos'!$F$103)+'Cálculos'!$F$206)*('Cálculos'!$F$242+'Cálculos'!$F$124*(1+2.78*('Cálculos'!$F$198+(($C188)-$A$177:$A$222)*'Cálculos'!$F$98)/(('Cálculos'!$F$198+(($C188)-$A$177:$A$222)*'Cálculos'!$F$98)+1400)+'Cálculos'!$F$122)*'Cálculos'!$F$247+'Cálculos'!$F$125*(1+2.78*('Cálculos'!$F$198+(($C188)-$A$177:$A$222)*'Cálculos'!$F$98)/(('Cálculos'!$F$198+(($C188)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188)-$A$177:$A$222)*'Cálculos'!$F$98)/(('Cálculos'!$F$199+(($C188)-$A$177:$A$222)*'Cálculos'!$F$98)+1400)+'Cálculos'!$F$122)*'Cálculos'!$F$259+'Cálculos'!$F$125*(1+2.78*('Cálculos'!$F$199+(($C188)-$A$177:$A$222)*'Cálculos'!$F$98)/(('Cálculos'!$F$199+(($C188)-$A$177:$A$222)*'Cálculos'!$F$98)+1400)+'Cálculos'!$F$123)*'Cálculos'!$F$264)+('Cálculos'!$F$199+(($C188)-$A$177:$A$222)*'Cálculos'!$F$98)*('Cálculos'!$F$255+'Cálculos'!$F$124*(1+2.78*('Cálculos'!$F$199+(($C188)-$A$177:$A$222)*'Cálculos'!$F$98)/(('Cálculos'!$F$199+(($C188)-$A$177:$A$222)*'Cálculos'!$F$98)+1400)+'Cálculos'!$F$122)*'Cálculos'!$F$260+'Cálculos'!$F$125*(1+2.78*('Cálculos'!$F$199+(($C188)-$A$177:$A$222)*'Cálculos'!$F$98)/(('Cálculos'!$F$199+(($C188)-$A$177:$A$222)*'Cálculos'!$F$98)+1400)+'Cálculos'!$F$123)*'Cálculos'!$F$265)+('Cálculos'!$F$201*(1+'Cálculos'!$F$202+$A$177:$A$222*('Cálculos'!$F$290=2)*'Cálculos'!$F$101)+'Cálculos'!$F$203)*('Cálculos'!$F$256+'Cálculos'!$F$124*(1+2.78*('Cálculos'!$F$199+(($C188)-$A$177:$A$222)*'Cálculos'!$F$98)/(('Cálculos'!$F$199+(($C188)-$A$177:$A$222)*'Cálculos'!$F$98)+1400)+'Cálculos'!$F$122)*'Cálculos'!$F$261+'Cálculos'!$F$125*(1+2.78*('Cálculos'!$F$199+(($C188)-$A$177:$A$222)*'Cálculos'!$F$98)/(('Cálculos'!$F$199+(($C188)-$A$177:$A$222)*'Cálculos'!$F$98)+1400)+'Cálculos'!$F$123)*'Cálculos'!$F$266)+('Cálculos'!$F$204*(1+'Cálculos'!$F$205+$A$177:$A$222*('Cálculos'!$F$290=3)*'Cálculos'!$F$103)+'Cálculos'!$F$206)*('Cálculos'!$F$257+'Cálculos'!$F$124*(1+2.78*('Cálculos'!$F$199+(($C188)-$A$177:$A$222)*'Cálculos'!$F$98)/(('Cálculos'!$F$199+(($C188)-$A$177:$A$222)*'Cálculos'!$F$98)+1400)+'Cálculos'!$F$122)*'Cálculos'!$F$262+'Cálculos'!$F$125*(1+2.78*('Cálculos'!$F$199+(($C188)-$A$177:$A$222)*'Cálculos'!$F$98)/(('Cálculos'!$F$199+(($C188)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188)-$A$177:$A$222)*'Cálculos'!$F$98)/(('Cálculos'!$F$200+(($C188)-$A$177:$A$222)*'Cálculos'!$F$98)+1400)+'Cálculos'!$F$122)*'Cálculos'!$F$274+'Cálculos'!$F$125*(1+2.78*('Cálculos'!$F$200+(($C188)-$A$177:$A$222)*'Cálculos'!$F$98)/(('Cálculos'!$F$200+(($C188)-$A$177:$A$222)*'Cálculos'!$F$98)+1400)+'Cálculos'!$F$123)*'Cálculos'!$F$279)+('Cálculos'!$F$200+(($C188)-$A$177:$A$222)*'Cálculos'!$F$98)*('Cálculos'!$F$270+'Cálculos'!$F$124*(1+2.78*('Cálculos'!$F$200+(($C188)-$A$177:$A$222)*'Cálculos'!$F$98)/(('Cálculos'!$F$200+(($C188)-$A$177:$A$222)*'Cálculos'!$F$98)+1400)+'Cálculos'!$F$122)*'Cálculos'!$F$275+'Cálculos'!$F$125*(1+2.78*('Cálculos'!$F$200+(($C188)-$A$177:$A$222)*'Cálculos'!$F$98)/(('Cálculos'!$F$200+(($C188)-$A$177:$A$222)*'Cálculos'!$F$98)+1400)+'Cálculos'!$F$123)*'Cálculos'!$F$280)+('Cálculos'!$F$201*(1+'Cálculos'!$F$202+$A$177:$A$222*('Cálculos'!$F$290=2)*'Cálculos'!$F$101)+'Cálculos'!$F$203)*('Cálculos'!$F$271+'Cálculos'!$F$124*(1+2.78*('Cálculos'!$F$200+(($C188)-$A$177:$A$222)*'Cálculos'!$F$98)/(('Cálculos'!$F$200+(($C188)-$A$177:$A$222)*'Cálculos'!$F$98)+1400)+'Cálculos'!$F$122)*'Cálculos'!$F$276+'Cálculos'!$F$125*(1+2.78*('Cálculos'!$F$200+(($C188)-$A$177:$A$222)*'Cálculos'!$F$98)/(('Cálculos'!$F$200+(($C188)-$A$177:$A$222)*'Cálculos'!$F$98)+1400)+'Cálculos'!$F$123)*'Cálculos'!$F$281)+('Cálculos'!$F$204*(1+'Cálculos'!$F$205+$A$177:$A$222*('Cálculos'!$F$290=3)*'Cálculos'!$F$103)+'Cálculos'!$F$206)*('Cálculos'!$F$272+'Cálculos'!$F$124*(1+2.78*('Cálculos'!$F$200+(($C188)-$A$177:$A$222)*'Cálculos'!$F$98)/(('Cálculos'!$F$200+(($C188)-$A$177:$A$222)*'Cálculos'!$F$98)+1400)+'Cálculos'!$F$122)*'Cálculos'!$F$277+'Cálculos'!$F$125*(1+2.78*('Cálculos'!$F$200+(($C188)-$A$177:$A$222)*'Cálculos'!$F$98)/(('Cálculos'!$F$200+(($C188)-$A$177:$A$222)*'Cálculos'!$F$98)+1400)+'Cálculos'!$F$123)*'Cálculos'!$F$282)))))</f>
        <v>20912.49728</v>
      </c>
      <c r="E188" s="32">
        <f>IF(OR($C188&lt;0,'Cálculos'!$F$6=""),0,$B188*$D188)</f>
        <v>42185.10776</v>
      </c>
      <c r="F188" s="2"/>
      <c r="G188" s="30">
        <f>($A188&lt;=$B$224)*($A188&lt;='Cálculos'!$F$294)*(($B$224)-$A188&lt;='Cálculos'!$F$295)*(1+MIN(('Cálculos'!$F$207+$A188*'Cálculos'!$F$95),1)*('Cálculos'!$F$208+(($B$224)-$A188)*'Cálculos'!$F$96))</f>
        <v>2.37065</v>
      </c>
      <c r="H188" s="31">
        <f>IF($B$225&lt;0,0,($A188&lt;=$B$225)*($A188&lt;='Cálculos'!$F$301)*(($B$225)-$A188&lt;='Cálculos'!$F$297)*(('Cálculos'!$F$185*(1+'Cálculos'!$F$186+$A188*('Cálculos'!$F$290=1)*'Cálculos'!$F$97+'Cálculos'!$F$305)+'Cálculos'!$F$191)*('Cálculos'!$F$209+'Cálculos'!$F$124*(1+2.78*('Cálculos'!$F$196+(($B$225)-$A188)*'Cálculos'!$F$98)/(('Cálculos'!$F$196+(($B$225)-$A188)*'Cálculos'!$F$98)+1400)+'Cálculos'!$F$122)*'Cálculos'!$F$214+'Cálculos'!$F$125*(1+2.78*('Cálculos'!$F$196+(($B$225)-$A188)*'Cálculos'!$F$98)/(('Cálculos'!$F$196+(($B$225)-$A188)*'Cálculos'!$F$98)+1400)+'Cálculos'!$F$123)*'Cálculos'!$F$219)+('Cálculos'!$F$196+(($B$225)-$A188)*'Cálculos'!$F$98)*('Cálculos'!$F$210+'Cálculos'!$F$124*(1+2.78*('Cálculos'!$F$196+(($B$225)-$A188)*'Cálculos'!$F$98)/(('Cálculos'!$F$196+(($B$225)-$A188)*'Cálculos'!$F$98)+1400)+'Cálculos'!$F$122)*'Cálculos'!$F$215+'Cálculos'!$F$125*(1+2.78*('Cálculos'!$F$196+(($B$225)-$A188)*'Cálculos'!$F$98)/(('Cálculos'!$F$196+(($B$225)-$A188)*'Cálculos'!$F$98)+1400)+'Cálculos'!$F$123)*'Cálculos'!$F$220)+('Cálculos'!$F$201*(1+'Cálculos'!$F$202+$A188*('Cálculos'!$F$290=2)*'Cálculos'!$F$101)+'Cálculos'!$F$203)*('Cálculos'!$F$211+'Cálculos'!$F$124*(1+2.78*('Cálculos'!$F$196+(($B$225)-$A188)*'Cálculos'!$F$98)/(('Cálculos'!$F$196+(($B$225)-$A188)*'Cálculos'!$F$98)+1400)+'Cálculos'!$F$122)*'Cálculos'!$F$216+'Cálculos'!$F$125*(1+2.78*('Cálculos'!$F$196+(($B$225)-$A188)*'Cálculos'!$F$98)/(('Cálculos'!$F$196+(($B$225)-$A188)*'Cálculos'!$F$98)+1400)+'Cálculos'!$F$123)*'Cálculos'!$F$221)+('Cálculos'!$F$204*(1+'Cálculos'!$F$205+$A188*('Cálculos'!$F$290=3)*'Cálculos'!$F$103)+'Cálculos'!$F$206)*('Cálculos'!$F$212+'Cálculos'!$F$124*(1+2.78*('Cálculos'!$F$196+(($B$225)-$A188)*'Cálculos'!$F$98)/(('Cálculos'!$F$196+(($B$225)-$A188)*'Cálculos'!$F$98)+1400)+'Cálculos'!$F$122)*'Cálculos'!$F$217+'Cálculos'!$F$125*(1+2.78*('Cálculos'!$F$196+(($B$225)-$A188)*'Cálculos'!$F$98)/(('Cálculos'!$F$196+(($B$225)-$A188)*'Cálculos'!$F$98)+1400)+'Cálculos'!$F$123)*'Cálculos'!$F$222)+('Cálculos'!$F$185*(1+'Cálculos'!$F$187+$A188*('Cálculos'!$F$290=1)*'Cálculos'!$F$97+'Cálculos'!$F$305)+'Cálculos'!$F$192)*('Cálculos'!$F$224+'Cálculos'!$F$124*(1+2.78*('Cálculos'!$F$197+(($B$225)-$A188)*'Cálculos'!$F$98)/(('Cálculos'!$F$197+(($B$225)-$A188)*'Cálculos'!$F$98)+1400)+'Cálculos'!$F$122)*'Cálculos'!$F$229+'Cálculos'!$F$125*(1+2.78*('Cálculos'!$F$197+(($B$225)-$A188)*'Cálculos'!$F$98)/(('Cálculos'!$F$197+(($B$225)-$A188)*'Cálculos'!$F$98)+1400)+'Cálculos'!$F$123)*'Cálculos'!$F$234)+('Cálculos'!$F$197+(($B$225)-$A188)*'Cálculos'!$F$98)*('Cálculos'!$F$225+'Cálculos'!$F$124*(1+2.78*('Cálculos'!$F$197+(($B$225)-$A188)*'Cálculos'!$F$98)/(('Cálculos'!$F$197+(($B$225)-$A188)*'Cálculos'!$F$98)+1400)+'Cálculos'!$F$122)*'Cálculos'!$F$230+'Cálculos'!$F$125*(1+2.78*('Cálculos'!$F$197+(($B$225)-$A188)*'Cálculos'!$F$98)/(('Cálculos'!$F$197+(($B$225)-$A188)*'Cálculos'!$F$98)+1400)+'Cálculos'!$F$123)*'Cálculos'!$F$235)+('Cálculos'!$F$201*(1+'Cálculos'!$F$202+$A188*('Cálculos'!$F$290=2)*'Cálculos'!$F$101)+'Cálculos'!$F$203)*('Cálculos'!$F$226+'Cálculos'!$F$124*(1+2.78*('Cálculos'!$F$197+(($B$225)-$A188)*'Cálculos'!$F$98)/(('Cálculos'!$F$197+(($B$225)-$A188)*'Cálculos'!$F$98)+1400)+'Cálculos'!$F$122)*'Cálculos'!$F$231+'Cálculos'!$F$125*(1+2.78*('Cálculos'!$F$197+(($B$225)-$A188)*'Cálculos'!$F$98)/(('Cálculos'!$F$197+(($B$225)-$A188)*'Cálculos'!$F$98)+1400)+'Cálculos'!$F$123)*'Cálculos'!$F$236)+('Cálculos'!$F$204*(1+'Cálculos'!$F$205+$A188*('Cálculos'!$F$290=3)*'Cálculos'!$F$103)+'Cálculos'!$F$206)*('Cálculos'!$F$227+'Cálculos'!$F$124*(1+2.78*('Cálculos'!$F$197+(($B$225)-$A188)*'Cálculos'!$F$98)/(('Cálculos'!$F$197+(($B$225)-$A188)*'Cálculos'!$F$98)+1400)+'Cálculos'!$F$122)*'Cálculos'!$F$232+'Cálculos'!$F$125*(1+2.78*('Cálculos'!$F$197+(($B$225)-$A188)*'Cálculos'!$F$98)/(('Cálculos'!$F$197+(($B$225)-$A188)*'Cálculos'!$F$98)+1400)+'Cálculos'!$F$123)*'Cálculos'!$F$237)+('Cálculos'!$F$185*(1+'Cálculos'!$F$188+$A188*('Cálculos'!$F$290=1)*'Cálculos'!$F$97+'Cálculos'!$F$305)+'Cálculos'!$F$193)*('Cálculos'!$F$239+'Cálculos'!$F$124*(1+2.78*('Cálculos'!$F$198+(($B$225)-$A188)*'Cálculos'!$F$98)/(('Cálculos'!$F$198+(($B$225)-$A188)*'Cálculos'!$F$98)+1400)+'Cálculos'!$F$122)*'Cálculos'!$F$244+'Cálculos'!$F$125*(1+2.78*('Cálculos'!$F$198+(($B$225)-$A188)*'Cálculos'!$F$98)/(('Cálculos'!$F$198+(($B$225)-$A188)*'Cálculos'!$F$98)+1400)+'Cálculos'!$F$123)*'Cálculos'!$F$249)+('Cálculos'!$F$198+(($B$225)-$A188)*'Cálculos'!$F$98)*('Cálculos'!$F$240+'Cálculos'!$F$124*(1+2.78*('Cálculos'!$F$198+(($B$225)-$A188)*'Cálculos'!$F$98)/(('Cálculos'!$F$198+(($B$225)-$A188)*'Cálculos'!$F$98)+1400)+'Cálculos'!$F$122)*'Cálculos'!$F$245+'Cálculos'!$F$125*(1+2.78*('Cálculos'!$F$198+(($B$225)-$A188)*'Cálculos'!$F$98)/(('Cálculos'!$F$198+(($B$225)-$A188)*'Cálculos'!$F$98)+1400)+'Cálculos'!$F$123)*'Cálculos'!$F$250)+('Cálculos'!$F$201*(1+'Cálculos'!$F$202+$A188*('Cálculos'!$F$290=2)*'Cálculos'!$F$101)+'Cálculos'!$F$203)*('Cálculos'!$F$241+'Cálculos'!$F$124*(1+2.78*('Cálculos'!$F$198+(($B$225)-$A188)*'Cálculos'!$F$98)/(('Cálculos'!$F$198+(($B$225)-$A188)*'Cálculos'!$F$98)+1400)+'Cálculos'!$F$122)*'Cálculos'!$F$246+'Cálculos'!$F$125*(1+2.78*('Cálculos'!$F$198+(($B$225)-$A188)*'Cálculos'!$F$98)/(('Cálculos'!$F$198+(($B$225)-$A188)*'Cálculos'!$F$98)+1400)+'Cálculos'!$F$123)*'Cálculos'!$F$251)+('Cálculos'!$F$204*(1+'Cálculos'!$F$205+$A188*('Cálculos'!$F$290=3)*'Cálculos'!$F$103)+'Cálculos'!$F$206)*('Cálculos'!$F$242+'Cálculos'!$F$124*(1+2.78*('Cálculos'!$F$198+(($B$225)-$A188)*'Cálculos'!$F$98)/(('Cálculos'!$F$198+(($B$225)-$A188)*'Cálculos'!$F$98)+1400)+'Cálculos'!$F$122)*'Cálculos'!$F$247+'Cálculos'!$F$125*(1+2.78*('Cálculos'!$F$198+(($B$225)-$A188)*'Cálculos'!$F$98)/(('Cálculos'!$F$198+(($B$225)-$A188)*'Cálculos'!$F$98)+1400)+'Cálculos'!$F$123)*'Cálculos'!$F$252)+('Cálculos'!$F$185*(1+'Cálculos'!$F$189+$A188*('Cálculos'!$F$290=1)*'Cálculos'!$F$97+'Cálculos'!$F$305)+'Cálculos'!$F$194)*('Cálculos'!$F$254+'Cálculos'!$F$124*(1+2.78*('Cálculos'!$F$199+(($B$225)-$A188)*'Cálculos'!$F$98)/(('Cálculos'!$F$199+(($B$225)-$A188)*'Cálculos'!$F$98)+1400)+'Cálculos'!$F$122)*'Cálculos'!$F$259+'Cálculos'!$F$125*(1+2.78*('Cálculos'!$F$199+(($B$225)-$A188)*'Cálculos'!$F$98)/(('Cálculos'!$F$199+(($B$225)-$A188)*'Cálculos'!$F$98)+1400)+'Cálculos'!$F$123)*'Cálculos'!$F$264)+('Cálculos'!$F$199+(($B$225)-$A188)*'Cálculos'!$F$98)*('Cálculos'!$F$255+'Cálculos'!$F$124*(1+2.78*('Cálculos'!$F$199+(($B$225)-$A188)*'Cálculos'!$F$98)/(('Cálculos'!$F$199+(($B$225)-$A188)*'Cálculos'!$F$98)+1400)+'Cálculos'!$F$122)*'Cálculos'!$F$260+'Cálculos'!$F$125*(1+2.78*('Cálculos'!$F$199+(($B$225)-$A188)*'Cálculos'!$F$98)/(('Cálculos'!$F$199+(($B$225)-$A188)*'Cálculos'!$F$98)+1400)+'Cálculos'!$F$123)*'Cálculos'!$F$265)+('Cálculos'!$F$201*(1+'Cálculos'!$F$202+$A188*('Cálculos'!$F$290=2)*'Cálculos'!$F$101)+'Cálculos'!$F$203)*('Cálculos'!$F$256+'Cálculos'!$F$124*(1+2.78*('Cálculos'!$F$199+(($B$225)-$A188)*'Cálculos'!$F$98)/(('Cálculos'!$F$199+(($B$225)-$A188)*'Cálculos'!$F$98)+1400)+'Cálculos'!$F$122)*'Cálculos'!$F$261+'Cálculos'!$F$125*(1+2.78*('Cálculos'!$F$199+(($B$225)-$A188)*'Cálculos'!$F$98)/(('Cálculos'!$F$199+(($B$225)-$A188)*'Cálculos'!$F$98)+1400)+'Cálculos'!$F$123)*'Cálculos'!$F$266)+('Cálculos'!$F$204*(1+'Cálculos'!$F$205+$A188*('Cálculos'!$F$290=3)*'Cálculos'!$F$103)+'Cálculos'!$F$206)*('Cálculos'!$F$257+'Cálculos'!$F$124*(1+2.78*('Cálculos'!$F$199+(($B$225)-$A188)*'Cálculos'!$F$98)/(('Cálculos'!$F$199+(($B$225)-$A188)*'Cálculos'!$F$98)+1400)+'Cálculos'!$F$122)*'Cálculos'!$F$262+'Cálculos'!$F$125*(1+2.78*('Cálculos'!$F$199+(($B$225)-$A188)*'Cálculos'!$F$98)/(('Cálculos'!$F$199+(($B$225)-$A188)*'Cálculos'!$F$98)+1400)+'Cálculos'!$F$123)*'Cálculos'!$F$267)+('Cálculos'!$F$185*(1+'Cálculos'!$F$190+$A188*('Cálculos'!$F$290=1)*'Cálculos'!$F$97+'Cálculos'!$F$305)+'Cálculos'!$F$195)*('Cálculos'!$F$269+'Cálculos'!$F$124*(1+2.78*('Cálculos'!$F$200+(($B$225)-$A188)*'Cálculos'!$F$98)/(('Cálculos'!$F$200+(($B$225)-$A188)*'Cálculos'!$F$98)+1400)+'Cálculos'!$F$122)*'Cálculos'!$F$274+'Cálculos'!$F$125*(1+2.78*('Cálculos'!$F$200+(($B$225)-$A188)*'Cálculos'!$F$98)/(('Cálculos'!$F$200+(($B$225)-$A188)*'Cálculos'!$F$98)+1400)+'Cálculos'!$F$123)*'Cálculos'!$F$279)+('Cálculos'!$F$200+(($B$225)-$A188)*'Cálculos'!$F$98)*('Cálculos'!$F$270+'Cálculos'!$F$124*(1+2.78*('Cálculos'!$F$200+(($B$225)-$A188)*'Cálculos'!$F$98)/(('Cálculos'!$F$200+(($B$225)-$A188)*'Cálculos'!$F$98)+1400)+'Cálculos'!$F$122)*'Cálculos'!$F$275+'Cálculos'!$F$125*(1+2.78*('Cálculos'!$F$200+(($B$225)-$A188)*'Cálculos'!$F$98)/(('Cálculos'!$F$200+(($B$225)-$A188)*'Cálculos'!$F$98)+1400)+'Cálculos'!$F$123)*'Cálculos'!$F$280)+('Cálculos'!$F$201*(1+'Cálculos'!$F$202+$A188*('Cálculos'!$F$290=2)*'Cálculos'!$F$101)+'Cálculos'!$F$203)*('Cálculos'!$F$271+'Cálculos'!$F$124*(1+2.78*('Cálculos'!$F$200+(($B$225)-$A188)*'Cálculos'!$F$98)/(('Cálculos'!$F$200+(($B$225)-$A188)*'Cálculos'!$F$98)+1400)+'Cálculos'!$F$122)*'Cálculos'!$F$276+'Cálculos'!$F$125*(1+2.78*('Cálculos'!$F$200+(($B$225)-$A188)*'Cálculos'!$F$98)/(('Cálculos'!$F$200+(($B$225)-$A188)*'Cálculos'!$F$98)+1400)+'Cálculos'!$F$123)*'Cálculos'!$F$281)+('Cálculos'!$F$204*(1+'Cálculos'!$F$205+$A188*('Cálculos'!$F$290=3)*'Cálculos'!$F$103)+'Cálculos'!$F$206)*('Cálculos'!$F$272+'Cálculos'!$F$124*(1+2.78*('Cálculos'!$F$200+(($B$225)-$A188)*'Cálculos'!$F$98)/(('Cálculos'!$F$200+(($B$225)-$A188)*'Cálculos'!$F$98)+1400)+'Cálculos'!$F$122)*'Cálculos'!$F$277+'Cálculos'!$F$125*(1+2.78*('Cálculos'!$F$200+(($B$225)-$A188)*'Cálculos'!$F$98)/(('Cálculos'!$F$200+(($B$225)-$A188)*'Cálculos'!$F$98)+1400)+'Cálculos'!$F$123)*'Cálculos'!$F$282)))</f>
        <v>0</v>
      </c>
    </row>
    <row r="189" ht="15.75" customHeight="1">
      <c r="A189" s="2">
        <v>12.0</v>
      </c>
      <c r="B189" s="30">
        <f>SUMPRODUCT(MAX(($A$177:$A$222&lt;=$A189)*($A$177:$A$222&lt;='Cálculos'!$F$294)*(($A189)-$A$177:$A$222&lt;='Cálculos'!$F$295)*(1+(('Cálculos'!$F$207+$A$177:$A$222*'Cálculos'!$F$95)-(('Cálculos'!$F$207+$A$177:$A$222*'Cálculos'!$F$95)&gt;1)*(('Cálculos'!$F$207+$A$177:$A$222*'Cálculos'!$F$95)-1))*('Cálculos'!$F$208+(($A189)-$A$177:$A$222)*'Cálculos'!$F$96))))</f>
        <v>2.065004</v>
      </c>
      <c r="C189" s="2">
        <f>'Cálculos'!$F$303-$A189</f>
        <v>6</v>
      </c>
      <c r="D189" s="31">
        <f>IF($C189&lt;0,0,SUMPRODUCT(MAX(($A$177:$A$222&lt;=$C189)*($A$177:$A$222&lt;='Cálculos'!$F$301)*(($C189)-$A$177:$A$222&lt;='Cálculos'!$F$297)*(('Cálculos'!$F$185*(1+'Cálculos'!$F$186+$A$177:$A$222*('Cálculos'!$F$290=1)*'Cálculos'!$F$97+'Cálculos'!$F$305)+'Cálculos'!$F$191)*('Cálculos'!$F$209+'Cálculos'!$F$124*(1+2.78*('Cálculos'!$F$196+(($C189)-$A$177:$A$222)*'Cálculos'!$F$98)/(('Cálculos'!$F$196+(($C189)-$A$177:$A$222)*'Cálculos'!$F$98)+1400)+'Cálculos'!$F$122)*'Cálculos'!$F$214+'Cálculos'!$F$125*(1+2.78*('Cálculos'!$F$196+(($C189)-$A$177:$A$222)*'Cálculos'!$F$98)/(('Cálculos'!$F$196+(($C189)-$A$177:$A$222)*'Cálculos'!$F$98)+1400)+'Cálculos'!$F$123)*'Cálculos'!$F$219)+('Cálculos'!$F$196+(($C189)-$A$177:$A$222)*'Cálculos'!$F$98)*('Cálculos'!$F$210+'Cálculos'!$F$124*(1+2.78*('Cálculos'!$F$196+(($C189)-$A$177:$A$222)*'Cálculos'!$F$98)/(('Cálculos'!$F$196+(($C189)-$A$177:$A$222)*'Cálculos'!$F$98)+1400)+'Cálculos'!$F$122)*'Cálculos'!$F$215+'Cálculos'!$F$125*(1+2.78*('Cálculos'!$F$196+(($C189)-$A$177:$A$222)*'Cálculos'!$F$98)/(('Cálculos'!$F$196+(($C189)-$A$177:$A$222)*'Cálculos'!$F$98)+1400)+'Cálculos'!$F$123)*'Cálculos'!$F$220)+('Cálculos'!$F$201*(1+'Cálculos'!$F$202+$A$177:$A$222*('Cálculos'!$F$290=2)*'Cálculos'!$F$101)+'Cálculos'!$F$203)*('Cálculos'!$F$211+'Cálculos'!$F$124*(1+2.78*('Cálculos'!$F$196+(($C189)-$A$177:$A$222)*'Cálculos'!$F$98)/(('Cálculos'!$F$196+(($C189)-$A$177:$A$222)*'Cálculos'!$F$98)+1400)+'Cálculos'!$F$122)*'Cálculos'!$F$216+'Cálculos'!$F$125*(1+2.78*('Cálculos'!$F$196+(($C189)-$A$177:$A$222)*'Cálculos'!$F$98)/(('Cálculos'!$F$196+(($C189)-$A$177:$A$222)*'Cálculos'!$F$98)+1400)+'Cálculos'!$F$123)*'Cálculos'!$F$221)+('Cálculos'!$F$204*(1+'Cálculos'!$F$205+$A$177:$A$222*('Cálculos'!$F$290=3)*'Cálculos'!$F$103)+'Cálculos'!$F$206)*('Cálculos'!$F$212+'Cálculos'!$F$124*(1+2.78*('Cálculos'!$F$196+(($C189)-$A$177:$A$222)*'Cálculos'!$F$98)/(('Cálculos'!$F$196+(($C189)-$A$177:$A$222)*'Cálculos'!$F$98)+1400)+'Cálculos'!$F$122)*'Cálculos'!$F$217+'Cálculos'!$F$125*(1+2.78*('Cálculos'!$F$196+(($C189)-$A$177:$A$222)*'Cálculos'!$F$98)/(('Cálculos'!$F$196+(($C189)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189)-$A$177:$A$222)*'Cálculos'!$F$98)/(('Cálculos'!$F$197+(($C189)-$A$177:$A$222)*'Cálculos'!$F$98)+1400)+'Cálculos'!$F$122)*'Cálculos'!$F$229+'Cálculos'!$F$125*(1+2.78*('Cálculos'!$F$197+(($C189)-$A$177:$A$222)*'Cálculos'!$F$98)/(('Cálculos'!$F$197+(($C189)-$A$177:$A$222)*'Cálculos'!$F$98)+1400)+'Cálculos'!$F$123)*'Cálculos'!$F$234)+('Cálculos'!$F$197+(($C189)-$A$177:$A$222)*'Cálculos'!$F$98)*('Cálculos'!$F$225+'Cálculos'!$F$124*(1+2.78*('Cálculos'!$F$197+(($C189)-$A$177:$A$222)*'Cálculos'!$F$98)/(('Cálculos'!$F$197+(($C189)-$A$177:$A$222)*'Cálculos'!$F$98)+1400)+'Cálculos'!$F$122)*'Cálculos'!$F$230+'Cálculos'!$F$125*(1+2.78*('Cálculos'!$F$197+(($C189)-$A$177:$A$222)*'Cálculos'!$F$98)/(('Cálculos'!$F$197+(($C189)-$A$177:$A$222)*'Cálculos'!$F$98)+1400)+'Cálculos'!$F$123)*'Cálculos'!$F$235)+('Cálculos'!$F$201*(1+'Cálculos'!$F$202+$A$177:$A$222*('Cálculos'!$F$290=2)*'Cálculos'!$F$101)+'Cálculos'!$F$203)*('Cálculos'!$F$226+'Cálculos'!$F$124*(1+2.78*('Cálculos'!$F$197+(($C189)-$A$177:$A$222)*'Cálculos'!$F$98)/(('Cálculos'!$F$197+(($C189)-$A$177:$A$222)*'Cálculos'!$F$98)+1400)+'Cálculos'!$F$122)*'Cálculos'!$F$231+'Cálculos'!$F$125*(1+2.78*('Cálculos'!$F$197+(($C189)-$A$177:$A$222)*'Cálculos'!$F$98)/(('Cálculos'!$F$197+(($C189)-$A$177:$A$222)*'Cálculos'!$F$98)+1400)+'Cálculos'!$F$123)*'Cálculos'!$F$236)+('Cálculos'!$F$204*(1+'Cálculos'!$F$205+$A$177:$A$222*('Cálculos'!$F$290=3)*'Cálculos'!$F$103)+'Cálculos'!$F$206)*('Cálculos'!$F$227+'Cálculos'!$F$124*(1+2.78*('Cálculos'!$F$197+(($C189)-$A$177:$A$222)*'Cálculos'!$F$98)/(('Cálculos'!$F$197+(($C189)-$A$177:$A$222)*'Cálculos'!$F$98)+1400)+'Cálculos'!$F$122)*'Cálculos'!$F$232+'Cálculos'!$F$125*(1+2.78*('Cálculos'!$F$197+(($C189)-$A$177:$A$222)*'Cálculos'!$F$98)/(('Cálculos'!$F$197+(($C189)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189)-$A$177:$A$222)*'Cálculos'!$F$98)/(('Cálculos'!$F$198+(($C189)-$A$177:$A$222)*'Cálculos'!$F$98)+1400)+'Cálculos'!$F$122)*'Cálculos'!$F$244+'Cálculos'!$F$125*(1+2.78*('Cálculos'!$F$198+(($C189)-$A$177:$A$222)*'Cálculos'!$F$98)/(('Cálculos'!$F$198+(($C189)-$A$177:$A$222)*'Cálculos'!$F$98)+1400)+'Cálculos'!$F$123)*'Cálculos'!$F$249)+('Cálculos'!$F$198+(($C189)-$A$177:$A$222)*'Cálculos'!$F$98)*('Cálculos'!$F$240+'Cálculos'!$F$124*(1+2.78*('Cálculos'!$F$198+(($C189)-$A$177:$A$222)*'Cálculos'!$F$98)/(('Cálculos'!$F$198+(($C189)-$A$177:$A$222)*'Cálculos'!$F$98)+1400)+'Cálculos'!$F$122)*'Cálculos'!$F$245+'Cálculos'!$F$125*(1+2.78*('Cálculos'!$F$198+(($C189)-$A$177:$A$222)*'Cálculos'!$F$98)/(('Cálculos'!$F$198+(($C189)-$A$177:$A$222)*'Cálculos'!$F$98)+1400)+'Cálculos'!$F$123)*'Cálculos'!$F$250)+('Cálculos'!$F$201*(1+'Cálculos'!$F$202+$A$177:$A$222*('Cálculos'!$F$290=2)*'Cálculos'!$F$101)+'Cálculos'!$F$203)*('Cálculos'!$F$241+'Cálculos'!$F$124*(1+2.78*('Cálculos'!$F$198+(($C189)-$A$177:$A$222)*'Cálculos'!$F$98)/(('Cálculos'!$F$198+(($C189)-$A$177:$A$222)*'Cálculos'!$F$98)+1400)+'Cálculos'!$F$122)*'Cálculos'!$F$246+'Cálculos'!$F$125*(1+2.78*('Cálculos'!$F$198+(($C189)-$A$177:$A$222)*'Cálculos'!$F$98)/(('Cálculos'!$F$198+(($C189)-$A$177:$A$222)*'Cálculos'!$F$98)+1400)+'Cálculos'!$F$123)*'Cálculos'!$F$251)+('Cálculos'!$F$204*(1+'Cálculos'!$F$205+$A$177:$A$222*('Cálculos'!$F$290=3)*'Cálculos'!$F$103)+'Cálculos'!$F$206)*('Cálculos'!$F$242+'Cálculos'!$F$124*(1+2.78*('Cálculos'!$F$198+(($C189)-$A$177:$A$222)*'Cálculos'!$F$98)/(('Cálculos'!$F$198+(($C189)-$A$177:$A$222)*'Cálculos'!$F$98)+1400)+'Cálculos'!$F$122)*'Cálculos'!$F$247+'Cálculos'!$F$125*(1+2.78*('Cálculos'!$F$198+(($C189)-$A$177:$A$222)*'Cálculos'!$F$98)/(('Cálculos'!$F$198+(($C189)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189)-$A$177:$A$222)*'Cálculos'!$F$98)/(('Cálculos'!$F$199+(($C189)-$A$177:$A$222)*'Cálculos'!$F$98)+1400)+'Cálculos'!$F$122)*'Cálculos'!$F$259+'Cálculos'!$F$125*(1+2.78*('Cálculos'!$F$199+(($C189)-$A$177:$A$222)*'Cálculos'!$F$98)/(('Cálculos'!$F$199+(($C189)-$A$177:$A$222)*'Cálculos'!$F$98)+1400)+'Cálculos'!$F$123)*'Cálculos'!$F$264)+('Cálculos'!$F$199+(($C189)-$A$177:$A$222)*'Cálculos'!$F$98)*('Cálculos'!$F$255+'Cálculos'!$F$124*(1+2.78*('Cálculos'!$F$199+(($C189)-$A$177:$A$222)*'Cálculos'!$F$98)/(('Cálculos'!$F$199+(($C189)-$A$177:$A$222)*'Cálculos'!$F$98)+1400)+'Cálculos'!$F$122)*'Cálculos'!$F$260+'Cálculos'!$F$125*(1+2.78*('Cálculos'!$F$199+(($C189)-$A$177:$A$222)*'Cálculos'!$F$98)/(('Cálculos'!$F$199+(($C189)-$A$177:$A$222)*'Cálculos'!$F$98)+1400)+'Cálculos'!$F$123)*'Cálculos'!$F$265)+('Cálculos'!$F$201*(1+'Cálculos'!$F$202+$A$177:$A$222*('Cálculos'!$F$290=2)*'Cálculos'!$F$101)+'Cálculos'!$F$203)*('Cálculos'!$F$256+'Cálculos'!$F$124*(1+2.78*('Cálculos'!$F$199+(($C189)-$A$177:$A$222)*'Cálculos'!$F$98)/(('Cálculos'!$F$199+(($C189)-$A$177:$A$222)*'Cálculos'!$F$98)+1400)+'Cálculos'!$F$122)*'Cálculos'!$F$261+'Cálculos'!$F$125*(1+2.78*('Cálculos'!$F$199+(($C189)-$A$177:$A$222)*'Cálculos'!$F$98)/(('Cálculos'!$F$199+(($C189)-$A$177:$A$222)*'Cálculos'!$F$98)+1400)+'Cálculos'!$F$123)*'Cálculos'!$F$266)+('Cálculos'!$F$204*(1+'Cálculos'!$F$205+$A$177:$A$222*('Cálculos'!$F$290=3)*'Cálculos'!$F$103)+'Cálculos'!$F$206)*('Cálculos'!$F$257+'Cálculos'!$F$124*(1+2.78*('Cálculos'!$F$199+(($C189)-$A$177:$A$222)*'Cálculos'!$F$98)/(('Cálculos'!$F$199+(($C189)-$A$177:$A$222)*'Cálculos'!$F$98)+1400)+'Cálculos'!$F$122)*'Cálculos'!$F$262+'Cálculos'!$F$125*(1+2.78*('Cálculos'!$F$199+(($C189)-$A$177:$A$222)*'Cálculos'!$F$98)/(('Cálculos'!$F$199+(($C189)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189)-$A$177:$A$222)*'Cálculos'!$F$98)/(('Cálculos'!$F$200+(($C189)-$A$177:$A$222)*'Cálculos'!$F$98)+1400)+'Cálculos'!$F$122)*'Cálculos'!$F$274+'Cálculos'!$F$125*(1+2.78*('Cálculos'!$F$200+(($C189)-$A$177:$A$222)*'Cálculos'!$F$98)/(('Cálculos'!$F$200+(($C189)-$A$177:$A$222)*'Cálculos'!$F$98)+1400)+'Cálculos'!$F$123)*'Cálculos'!$F$279)+('Cálculos'!$F$200+(($C189)-$A$177:$A$222)*'Cálculos'!$F$98)*('Cálculos'!$F$270+'Cálculos'!$F$124*(1+2.78*('Cálculos'!$F$200+(($C189)-$A$177:$A$222)*'Cálculos'!$F$98)/(('Cálculos'!$F$200+(($C189)-$A$177:$A$222)*'Cálculos'!$F$98)+1400)+'Cálculos'!$F$122)*'Cálculos'!$F$275+'Cálculos'!$F$125*(1+2.78*('Cálculos'!$F$200+(($C189)-$A$177:$A$222)*'Cálculos'!$F$98)/(('Cálculos'!$F$200+(($C189)-$A$177:$A$222)*'Cálculos'!$F$98)+1400)+'Cálculos'!$F$123)*'Cálculos'!$F$280)+('Cálculos'!$F$201*(1+'Cálculos'!$F$202+$A$177:$A$222*('Cálculos'!$F$290=2)*'Cálculos'!$F$101)+'Cálculos'!$F$203)*('Cálculos'!$F$271+'Cálculos'!$F$124*(1+2.78*('Cálculos'!$F$200+(($C189)-$A$177:$A$222)*'Cálculos'!$F$98)/(('Cálculos'!$F$200+(($C189)-$A$177:$A$222)*'Cálculos'!$F$98)+1400)+'Cálculos'!$F$122)*'Cálculos'!$F$276+'Cálculos'!$F$125*(1+2.78*('Cálculos'!$F$200+(($C189)-$A$177:$A$222)*'Cálculos'!$F$98)/(('Cálculos'!$F$200+(($C189)-$A$177:$A$222)*'Cálculos'!$F$98)+1400)+'Cálculos'!$F$123)*'Cálculos'!$F$281)+('Cálculos'!$F$204*(1+'Cálculos'!$F$205+$A$177:$A$222*('Cálculos'!$F$290=3)*'Cálculos'!$F$103)+'Cálculos'!$F$206)*('Cálculos'!$F$272+'Cálculos'!$F$124*(1+2.78*('Cálculos'!$F$200+(($C189)-$A$177:$A$222)*'Cálculos'!$F$98)/(('Cálculos'!$F$200+(($C189)-$A$177:$A$222)*'Cálculos'!$F$98)+1400)+'Cálculos'!$F$122)*'Cálculos'!$F$277+'Cálculos'!$F$125*(1+2.78*('Cálculos'!$F$200+(($C189)-$A$177:$A$222)*'Cálculos'!$F$98)/(('Cálculos'!$F$200+(($C189)-$A$177:$A$222)*'Cálculos'!$F$98)+1400)+'Cálculos'!$F$123)*'Cálculos'!$F$282)))))</f>
        <v>20688.63969</v>
      </c>
      <c r="E189" s="32">
        <f>IF(OR($C189&lt;0,'Cálculos'!$F$6=""),0,$B189*$D189)</f>
        <v>42722.12371</v>
      </c>
      <c r="F189" s="2"/>
      <c r="G189" s="30">
        <f>($A189&lt;=$B$224)*($A189&lt;='Cálculos'!$F$294)*(($B$224)-$A189&lt;='Cálculos'!$F$295)*(1+MIN(('Cálculos'!$F$207+$A189*'Cálculos'!$F$95),1)*('Cálculos'!$F$208+(($B$224)-$A189)*'Cálculos'!$F$96))</f>
        <v>2.373587</v>
      </c>
      <c r="H189" s="31">
        <f>IF($B$225&lt;0,0,($A189&lt;=$B$225)*($A189&lt;='Cálculos'!$F$301)*(($B$225)-$A189&lt;='Cálculos'!$F$297)*(('Cálculos'!$F$185*(1+'Cálculos'!$F$186+$A189*('Cálculos'!$F$290=1)*'Cálculos'!$F$97+'Cálculos'!$F$305)+'Cálculos'!$F$191)*('Cálculos'!$F$209+'Cálculos'!$F$124*(1+2.78*('Cálculos'!$F$196+(($B$225)-$A189)*'Cálculos'!$F$98)/(('Cálculos'!$F$196+(($B$225)-$A189)*'Cálculos'!$F$98)+1400)+'Cálculos'!$F$122)*'Cálculos'!$F$214+'Cálculos'!$F$125*(1+2.78*('Cálculos'!$F$196+(($B$225)-$A189)*'Cálculos'!$F$98)/(('Cálculos'!$F$196+(($B$225)-$A189)*'Cálculos'!$F$98)+1400)+'Cálculos'!$F$123)*'Cálculos'!$F$219)+('Cálculos'!$F$196+(($B$225)-$A189)*'Cálculos'!$F$98)*('Cálculos'!$F$210+'Cálculos'!$F$124*(1+2.78*('Cálculos'!$F$196+(($B$225)-$A189)*'Cálculos'!$F$98)/(('Cálculos'!$F$196+(($B$225)-$A189)*'Cálculos'!$F$98)+1400)+'Cálculos'!$F$122)*'Cálculos'!$F$215+'Cálculos'!$F$125*(1+2.78*('Cálculos'!$F$196+(($B$225)-$A189)*'Cálculos'!$F$98)/(('Cálculos'!$F$196+(($B$225)-$A189)*'Cálculos'!$F$98)+1400)+'Cálculos'!$F$123)*'Cálculos'!$F$220)+('Cálculos'!$F$201*(1+'Cálculos'!$F$202+$A189*('Cálculos'!$F$290=2)*'Cálculos'!$F$101)+'Cálculos'!$F$203)*('Cálculos'!$F$211+'Cálculos'!$F$124*(1+2.78*('Cálculos'!$F$196+(($B$225)-$A189)*'Cálculos'!$F$98)/(('Cálculos'!$F$196+(($B$225)-$A189)*'Cálculos'!$F$98)+1400)+'Cálculos'!$F$122)*'Cálculos'!$F$216+'Cálculos'!$F$125*(1+2.78*('Cálculos'!$F$196+(($B$225)-$A189)*'Cálculos'!$F$98)/(('Cálculos'!$F$196+(($B$225)-$A189)*'Cálculos'!$F$98)+1400)+'Cálculos'!$F$123)*'Cálculos'!$F$221)+('Cálculos'!$F$204*(1+'Cálculos'!$F$205+$A189*('Cálculos'!$F$290=3)*'Cálculos'!$F$103)+'Cálculos'!$F$206)*('Cálculos'!$F$212+'Cálculos'!$F$124*(1+2.78*('Cálculos'!$F$196+(($B$225)-$A189)*'Cálculos'!$F$98)/(('Cálculos'!$F$196+(($B$225)-$A189)*'Cálculos'!$F$98)+1400)+'Cálculos'!$F$122)*'Cálculos'!$F$217+'Cálculos'!$F$125*(1+2.78*('Cálculos'!$F$196+(($B$225)-$A189)*'Cálculos'!$F$98)/(('Cálculos'!$F$196+(($B$225)-$A189)*'Cálculos'!$F$98)+1400)+'Cálculos'!$F$123)*'Cálculos'!$F$222)+('Cálculos'!$F$185*(1+'Cálculos'!$F$187+$A189*('Cálculos'!$F$290=1)*'Cálculos'!$F$97+'Cálculos'!$F$305)+'Cálculos'!$F$192)*('Cálculos'!$F$224+'Cálculos'!$F$124*(1+2.78*('Cálculos'!$F$197+(($B$225)-$A189)*'Cálculos'!$F$98)/(('Cálculos'!$F$197+(($B$225)-$A189)*'Cálculos'!$F$98)+1400)+'Cálculos'!$F$122)*'Cálculos'!$F$229+'Cálculos'!$F$125*(1+2.78*('Cálculos'!$F$197+(($B$225)-$A189)*'Cálculos'!$F$98)/(('Cálculos'!$F$197+(($B$225)-$A189)*'Cálculos'!$F$98)+1400)+'Cálculos'!$F$123)*'Cálculos'!$F$234)+('Cálculos'!$F$197+(($B$225)-$A189)*'Cálculos'!$F$98)*('Cálculos'!$F$225+'Cálculos'!$F$124*(1+2.78*('Cálculos'!$F$197+(($B$225)-$A189)*'Cálculos'!$F$98)/(('Cálculos'!$F$197+(($B$225)-$A189)*'Cálculos'!$F$98)+1400)+'Cálculos'!$F$122)*'Cálculos'!$F$230+'Cálculos'!$F$125*(1+2.78*('Cálculos'!$F$197+(($B$225)-$A189)*'Cálculos'!$F$98)/(('Cálculos'!$F$197+(($B$225)-$A189)*'Cálculos'!$F$98)+1400)+'Cálculos'!$F$123)*'Cálculos'!$F$235)+('Cálculos'!$F$201*(1+'Cálculos'!$F$202+$A189*('Cálculos'!$F$290=2)*'Cálculos'!$F$101)+'Cálculos'!$F$203)*('Cálculos'!$F$226+'Cálculos'!$F$124*(1+2.78*('Cálculos'!$F$197+(($B$225)-$A189)*'Cálculos'!$F$98)/(('Cálculos'!$F$197+(($B$225)-$A189)*'Cálculos'!$F$98)+1400)+'Cálculos'!$F$122)*'Cálculos'!$F$231+'Cálculos'!$F$125*(1+2.78*('Cálculos'!$F$197+(($B$225)-$A189)*'Cálculos'!$F$98)/(('Cálculos'!$F$197+(($B$225)-$A189)*'Cálculos'!$F$98)+1400)+'Cálculos'!$F$123)*'Cálculos'!$F$236)+('Cálculos'!$F$204*(1+'Cálculos'!$F$205+$A189*('Cálculos'!$F$290=3)*'Cálculos'!$F$103)+'Cálculos'!$F$206)*('Cálculos'!$F$227+'Cálculos'!$F$124*(1+2.78*('Cálculos'!$F$197+(($B$225)-$A189)*'Cálculos'!$F$98)/(('Cálculos'!$F$197+(($B$225)-$A189)*'Cálculos'!$F$98)+1400)+'Cálculos'!$F$122)*'Cálculos'!$F$232+'Cálculos'!$F$125*(1+2.78*('Cálculos'!$F$197+(($B$225)-$A189)*'Cálculos'!$F$98)/(('Cálculos'!$F$197+(($B$225)-$A189)*'Cálculos'!$F$98)+1400)+'Cálculos'!$F$123)*'Cálculos'!$F$237)+('Cálculos'!$F$185*(1+'Cálculos'!$F$188+$A189*('Cálculos'!$F$290=1)*'Cálculos'!$F$97+'Cálculos'!$F$305)+'Cálculos'!$F$193)*('Cálculos'!$F$239+'Cálculos'!$F$124*(1+2.78*('Cálculos'!$F$198+(($B$225)-$A189)*'Cálculos'!$F$98)/(('Cálculos'!$F$198+(($B$225)-$A189)*'Cálculos'!$F$98)+1400)+'Cálculos'!$F$122)*'Cálculos'!$F$244+'Cálculos'!$F$125*(1+2.78*('Cálculos'!$F$198+(($B$225)-$A189)*'Cálculos'!$F$98)/(('Cálculos'!$F$198+(($B$225)-$A189)*'Cálculos'!$F$98)+1400)+'Cálculos'!$F$123)*'Cálculos'!$F$249)+('Cálculos'!$F$198+(($B$225)-$A189)*'Cálculos'!$F$98)*('Cálculos'!$F$240+'Cálculos'!$F$124*(1+2.78*('Cálculos'!$F$198+(($B$225)-$A189)*'Cálculos'!$F$98)/(('Cálculos'!$F$198+(($B$225)-$A189)*'Cálculos'!$F$98)+1400)+'Cálculos'!$F$122)*'Cálculos'!$F$245+'Cálculos'!$F$125*(1+2.78*('Cálculos'!$F$198+(($B$225)-$A189)*'Cálculos'!$F$98)/(('Cálculos'!$F$198+(($B$225)-$A189)*'Cálculos'!$F$98)+1400)+'Cálculos'!$F$123)*'Cálculos'!$F$250)+('Cálculos'!$F$201*(1+'Cálculos'!$F$202+$A189*('Cálculos'!$F$290=2)*'Cálculos'!$F$101)+'Cálculos'!$F$203)*('Cálculos'!$F$241+'Cálculos'!$F$124*(1+2.78*('Cálculos'!$F$198+(($B$225)-$A189)*'Cálculos'!$F$98)/(('Cálculos'!$F$198+(($B$225)-$A189)*'Cálculos'!$F$98)+1400)+'Cálculos'!$F$122)*'Cálculos'!$F$246+'Cálculos'!$F$125*(1+2.78*('Cálculos'!$F$198+(($B$225)-$A189)*'Cálculos'!$F$98)/(('Cálculos'!$F$198+(($B$225)-$A189)*'Cálculos'!$F$98)+1400)+'Cálculos'!$F$123)*'Cálculos'!$F$251)+('Cálculos'!$F$204*(1+'Cálculos'!$F$205+$A189*('Cálculos'!$F$290=3)*'Cálculos'!$F$103)+'Cálculos'!$F$206)*('Cálculos'!$F$242+'Cálculos'!$F$124*(1+2.78*('Cálculos'!$F$198+(($B$225)-$A189)*'Cálculos'!$F$98)/(('Cálculos'!$F$198+(($B$225)-$A189)*'Cálculos'!$F$98)+1400)+'Cálculos'!$F$122)*'Cálculos'!$F$247+'Cálculos'!$F$125*(1+2.78*('Cálculos'!$F$198+(($B$225)-$A189)*'Cálculos'!$F$98)/(('Cálculos'!$F$198+(($B$225)-$A189)*'Cálculos'!$F$98)+1400)+'Cálculos'!$F$123)*'Cálculos'!$F$252)+('Cálculos'!$F$185*(1+'Cálculos'!$F$189+$A189*('Cálculos'!$F$290=1)*'Cálculos'!$F$97+'Cálculos'!$F$305)+'Cálculos'!$F$194)*('Cálculos'!$F$254+'Cálculos'!$F$124*(1+2.78*('Cálculos'!$F$199+(($B$225)-$A189)*'Cálculos'!$F$98)/(('Cálculos'!$F$199+(($B$225)-$A189)*'Cálculos'!$F$98)+1400)+'Cálculos'!$F$122)*'Cálculos'!$F$259+'Cálculos'!$F$125*(1+2.78*('Cálculos'!$F$199+(($B$225)-$A189)*'Cálculos'!$F$98)/(('Cálculos'!$F$199+(($B$225)-$A189)*'Cálculos'!$F$98)+1400)+'Cálculos'!$F$123)*'Cálculos'!$F$264)+('Cálculos'!$F$199+(($B$225)-$A189)*'Cálculos'!$F$98)*('Cálculos'!$F$255+'Cálculos'!$F$124*(1+2.78*('Cálculos'!$F$199+(($B$225)-$A189)*'Cálculos'!$F$98)/(('Cálculos'!$F$199+(($B$225)-$A189)*'Cálculos'!$F$98)+1400)+'Cálculos'!$F$122)*'Cálculos'!$F$260+'Cálculos'!$F$125*(1+2.78*('Cálculos'!$F$199+(($B$225)-$A189)*'Cálculos'!$F$98)/(('Cálculos'!$F$199+(($B$225)-$A189)*'Cálculos'!$F$98)+1400)+'Cálculos'!$F$123)*'Cálculos'!$F$265)+('Cálculos'!$F$201*(1+'Cálculos'!$F$202+$A189*('Cálculos'!$F$290=2)*'Cálculos'!$F$101)+'Cálculos'!$F$203)*('Cálculos'!$F$256+'Cálculos'!$F$124*(1+2.78*('Cálculos'!$F$199+(($B$225)-$A189)*'Cálculos'!$F$98)/(('Cálculos'!$F$199+(($B$225)-$A189)*'Cálculos'!$F$98)+1400)+'Cálculos'!$F$122)*'Cálculos'!$F$261+'Cálculos'!$F$125*(1+2.78*('Cálculos'!$F$199+(($B$225)-$A189)*'Cálculos'!$F$98)/(('Cálculos'!$F$199+(($B$225)-$A189)*'Cálculos'!$F$98)+1400)+'Cálculos'!$F$123)*'Cálculos'!$F$266)+('Cálculos'!$F$204*(1+'Cálculos'!$F$205+$A189*('Cálculos'!$F$290=3)*'Cálculos'!$F$103)+'Cálculos'!$F$206)*('Cálculos'!$F$257+'Cálculos'!$F$124*(1+2.78*('Cálculos'!$F$199+(($B$225)-$A189)*'Cálculos'!$F$98)/(('Cálculos'!$F$199+(($B$225)-$A189)*'Cálculos'!$F$98)+1400)+'Cálculos'!$F$122)*'Cálculos'!$F$262+'Cálculos'!$F$125*(1+2.78*('Cálculos'!$F$199+(($B$225)-$A189)*'Cálculos'!$F$98)/(('Cálculos'!$F$199+(($B$225)-$A189)*'Cálculos'!$F$98)+1400)+'Cálculos'!$F$123)*'Cálculos'!$F$267)+('Cálculos'!$F$185*(1+'Cálculos'!$F$190+$A189*('Cálculos'!$F$290=1)*'Cálculos'!$F$97+'Cálculos'!$F$305)+'Cálculos'!$F$195)*('Cálculos'!$F$269+'Cálculos'!$F$124*(1+2.78*('Cálculos'!$F$200+(($B$225)-$A189)*'Cálculos'!$F$98)/(('Cálculos'!$F$200+(($B$225)-$A189)*'Cálculos'!$F$98)+1400)+'Cálculos'!$F$122)*'Cálculos'!$F$274+'Cálculos'!$F$125*(1+2.78*('Cálculos'!$F$200+(($B$225)-$A189)*'Cálculos'!$F$98)/(('Cálculos'!$F$200+(($B$225)-$A189)*'Cálculos'!$F$98)+1400)+'Cálculos'!$F$123)*'Cálculos'!$F$279)+('Cálculos'!$F$200+(($B$225)-$A189)*'Cálculos'!$F$98)*('Cálculos'!$F$270+'Cálculos'!$F$124*(1+2.78*('Cálculos'!$F$200+(($B$225)-$A189)*'Cálculos'!$F$98)/(('Cálculos'!$F$200+(($B$225)-$A189)*'Cálculos'!$F$98)+1400)+'Cálculos'!$F$122)*'Cálculos'!$F$275+'Cálculos'!$F$125*(1+2.78*('Cálculos'!$F$200+(($B$225)-$A189)*'Cálculos'!$F$98)/(('Cálculos'!$F$200+(($B$225)-$A189)*'Cálculos'!$F$98)+1400)+'Cálculos'!$F$123)*'Cálculos'!$F$280)+('Cálculos'!$F$201*(1+'Cálculos'!$F$202+$A189*('Cálculos'!$F$290=2)*'Cálculos'!$F$101)+'Cálculos'!$F$203)*('Cálculos'!$F$271+'Cálculos'!$F$124*(1+2.78*('Cálculos'!$F$200+(($B$225)-$A189)*'Cálculos'!$F$98)/(('Cálculos'!$F$200+(($B$225)-$A189)*'Cálculos'!$F$98)+1400)+'Cálculos'!$F$122)*'Cálculos'!$F$276+'Cálculos'!$F$125*(1+2.78*('Cálculos'!$F$200+(($B$225)-$A189)*'Cálculos'!$F$98)/(('Cálculos'!$F$200+(($B$225)-$A189)*'Cálculos'!$F$98)+1400)+'Cálculos'!$F$123)*'Cálculos'!$F$281)+('Cálculos'!$F$204*(1+'Cálculos'!$F$205+$A189*('Cálculos'!$F$290=3)*'Cálculos'!$F$103)+'Cálculos'!$F$206)*('Cálculos'!$F$272+'Cálculos'!$F$124*(1+2.78*('Cálculos'!$F$200+(($B$225)-$A189)*'Cálculos'!$F$98)/(('Cálculos'!$F$200+(($B$225)-$A189)*'Cálculos'!$F$98)+1400)+'Cálculos'!$F$122)*'Cálculos'!$F$277+'Cálculos'!$F$125*(1+2.78*('Cálculos'!$F$200+(($B$225)-$A189)*'Cálculos'!$F$98)/(('Cálculos'!$F$200+(($B$225)-$A189)*'Cálculos'!$F$98)+1400)+'Cálculos'!$F$123)*'Cálculos'!$F$282)))</f>
        <v>0</v>
      </c>
    </row>
    <row r="190" ht="15.75" customHeight="1">
      <c r="A190" s="2">
        <v>13.0</v>
      </c>
      <c r="B190" s="30">
        <f>SUMPRODUCT(MAX(($A$177:$A$222&lt;=$A190)*($A$177:$A$222&lt;='Cálculos'!$F$294)*(($A190)-$A$177:$A$222&lt;='Cálculos'!$F$295)*(1+(('Cálculos'!$F$207+$A$177:$A$222*'Cálculos'!$F$95)-(('Cálculos'!$F$207+$A$177:$A$222*'Cálculos'!$F$95)&gt;1)*(('Cálculos'!$F$207+$A$177:$A$222*'Cálculos'!$F$95)-1))*('Cálculos'!$F$208+(($A190)-$A$177:$A$222)*'Cálculos'!$F$96))))</f>
        <v>2.113547</v>
      </c>
      <c r="C190" s="2">
        <f>'Cálculos'!$F$303-$A190</f>
        <v>5</v>
      </c>
      <c r="D190" s="31">
        <f>IF($C190&lt;0,0,SUMPRODUCT(MAX(($A$177:$A$222&lt;=$C190)*($A$177:$A$222&lt;='Cálculos'!$F$301)*(($C190)-$A$177:$A$222&lt;='Cálculos'!$F$297)*(('Cálculos'!$F$185*(1+'Cálculos'!$F$186+$A$177:$A$222*('Cálculos'!$F$290=1)*'Cálculos'!$F$97+'Cálculos'!$F$305)+'Cálculos'!$F$191)*('Cálculos'!$F$209+'Cálculos'!$F$124*(1+2.78*('Cálculos'!$F$196+(($C190)-$A$177:$A$222)*'Cálculos'!$F$98)/(('Cálculos'!$F$196+(($C190)-$A$177:$A$222)*'Cálculos'!$F$98)+1400)+'Cálculos'!$F$122)*'Cálculos'!$F$214+'Cálculos'!$F$125*(1+2.78*('Cálculos'!$F$196+(($C190)-$A$177:$A$222)*'Cálculos'!$F$98)/(('Cálculos'!$F$196+(($C190)-$A$177:$A$222)*'Cálculos'!$F$98)+1400)+'Cálculos'!$F$123)*'Cálculos'!$F$219)+('Cálculos'!$F$196+(($C190)-$A$177:$A$222)*'Cálculos'!$F$98)*('Cálculos'!$F$210+'Cálculos'!$F$124*(1+2.78*('Cálculos'!$F$196+(($C190)-$A$177:$A$222)*'Cálculos'!$F$98)/(('Cálculos'!$F$196+(($C190)-$A$177:$A$222)*'Cálculos'!$F$98)+1400)+'Cálculos'!$F$122)*'Cálculos'!$F$215+'Cálculos'!$F$125*(1+2.78*('Cálculos'!$F$196+(($C190)-$A$177:$A$222)*'Cálculos'!$F$98)/(('Cálculos'!$F$196+(($C190)-$A$177:$A$222)*'Cálculos'!$F$98)+1400)+'Cálculos'!$F$123)*'Cálculos'!$F$220)+('Cálculos'!$F$201*(1+'Cálculos'!$F$202+$A$177:$A$222*('Cálculos'!$F$290=2)*'Cálculos'!$F$101)+'Cálculos'!$F$203)*('Cálculos'!$F$211+'Cálculos'!$F$124*(1+2.78*('Cálculos'!$F$196+(($C190)-$A$177:$A$222)*'Cálculos'!$F$98)/(('Cálculos'!$F$196+(($C190)-$A$177:$A$222)*'Cálculos'!$F$98)+1400)+'Cálculos'!$F$122)*'Cálculos'!$F$216+'Cálculos'!$F$125*(1+2.78*('Cálculos'!$F$196+(($C190)-$A$177:$A$222)*'Cálculos'!$F$98)/(('Cálculos'!$F$196+(($C190)-$A$177:$A$222)*'Cálculos'!$F$98)+1400)+'Cálculos'!$F$123)*'Cálculos'!$F$221)+('Cálculos'!$F$204*(1+'Cálculos'!$F$205+$A$177:$A$222*('Cálculos'!$F$290=3)*'Cálculos'!$F$103)+'Cálculos'!$F$206)*('Cálculos'!$F$212+'Cálculos'!$F$124*(1+2.78*('Cálculos'!$F$196+(($C190)-$A$177:$A$222)*'Cálculos'!$F$98)/(('Cálculos'!$F$196+(($C190)-$A$177:$A$222)*'Cálculos'!$F$98)+1400)+'Cálculos'!$F$122)*'Cálculos'!$F$217+'Cálculos'!$F$125*(1+2.78*('Cálculos'!$F$196+(($C190)-$A$177:$A$222)*'Cálculos'!$F$98)/(('Cálculos'!$F$196+(($C190)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190)-$A$177:$A$222)*'Cálculos'!$F$98)/(('Cálculos'!$F$197+(($C190)-$A$177:$A$222)*'Cálculos'!$F$98)+1400)+'Cálculos'!$F$122)*'Cálculos'!$F$229+'Cálculos'!$F$125*(1+2.78*('Cálculos'!$F$197+(($C190)-$A$177:$A$222)*'Cálculos'!$F$98)/(('Cálculos'!$F$197+(($C190)-$A$177:$A$222)*'Cálculos'!$F$98)+1400)+'Cálculos'!$F$123)*'Cálculos'!$F$234)+('Cálculos'!$F$197+(($C190)-$A$177:$A$222)*'Cálculos'!$F$98)*('Cálculos'!$F$225+'Cálculos'!$F$124*(1+2.78*('Cálculos'!$F$197+(($C190)-$A$177:$A$222)*'Cálculos'!$F$98)/(('Cálculos'!$F$197+(($C190)-$A$177:$A$222)*'Cálculos'!$F$98)+1400)+'Cálculos'!$F$122)*'Cálculos'!$F$230+'Cálculos'!$F$125*(1+2.78*('Cálculos'!$F$197+(($C190)-$A$177:$A$222)*'Cálculos'!$F$98)/(('Cálculos'!$F$197+(($C190)-$A$177:$A$222)*'Cálculos'!$F$98)+1400)+'Cálculos'!$F$123)*'Cálculos'!$F$235)+('Cálculos'!$F$201*(1+'Cálculos'!$F$202+$A$177:$A$222*('Cálculos'!$F$290=2)*'Cálculos'!$F$101)+'Cálculos'!$F$203)*('Cálculos'!$F$226+'Cálculos'!$F$124*(1+2.78*('Cálculos'!$F$197+(($C190)-$A$177:$A$222)*'Cálculos'!$F$98)/(('Cálculos'!$F$197+(($C190)-$A$177:$A$222)*'Cálculos'!$F$98)+1400)+'Cálculos'!$F$122)*'Cálculos'!$F$231+'Cálculos'!$F$125*(1+2.78*('Cálculos'!$F$197+(($C190)-$A$177:$A$222)*'Cálculos'!$F$98)/(('Cálculos'!$F$197+(($C190)-$A$177:$A$222)*'Cálculos'!$F$98)+1400)+'Cálculos'!$F$123)*'Cálculos'!$F$236)+('Cálculos'!$F$204*(1+'Cálculos'!$F$205+$A$177:$A$222*('Cálculos'!$F$290=3)*'Cálculos'!$F$103)+'Cálculos'!$F$206)*('Cálculos'!$F$227+'Cálculos'!$F$124*(1+2.78*('Cálculos'!$F$197+(($C190)-$A$177:$A$222)*'Cálculos'!$F$98)/(('Cálculos'!$F$197+(($C190)-$A$177:$A$222)*'Cálculos'!$F$98)+1400)+'Cálculos'!$F$122)*'Cálculos'!$F$232+'Cálculos'!$F$125*(1+2.78*('Cálculos'!$F$197+(($C190)-$A$177:$A$222)*'Cálculos'!$F$98)/(('Cálculos'!$F$197+(($C190)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190)-$A$177:$A$222)*'Cálculos'!$F$98)/(('Cálculos'!$F$198+(($C190)-$A$177:$A$222)*'Cálculos'!$F$98)+1400)+'Cálculos'!$F$122)*'Cálculos'!$F$244+'Cálculos'!$F$125*(1+2.78*('Cálculos'!$F$198+(($C190)-$A$177:$A$222)*'Cálculos'!$F$98)/(('Cálculos'!$F$198+(($C190)-$A$177:$A$222)*'Cálculos'!$F$98)+1400)+'Cálculos'!$F$123)*'Cálculos'!$F$249)+('Cálculos'!$F$198+(($C190)-$A$177:$A$222)*'Cálculos'!$F$98)*('Cálculos'!$F$240+'Cálculos'!$F$124*(1+2.78*('Cálculos'!$F$198+(($C190)-$A$177:$A$222)*'Cálculos'!$F$98)/(('Cálculos'!$F$198+(($C190)-$A$177:$A$222)*'Cálculos'!$F$98)+1400)+'Cálculos'!$F$122)*'Cálculos'!$F$245+'Cálculos'!$F$125*(1+2.78*('Cálculos'!$F$198+(($C190)-$A$177:$A$222)*'Cálculos'!$F$98)/(('Cálculos'!$F$198+(($C190)-$A$177:$A$222)*'Cálculos'!$F$98)+1400)+'Cálculos'!$F$123)*'Cálculos'!$F$250)+('Cálculos'!$F$201*(1+'Cálculos'!$F$202+$A$177:$A$222*('Cálculos'!$F$290=2)*'Cálculos'!$F$101)+'Cálculos'!$F$203)*('Cálculos'!$F$241+'Cálculos'!$F$124*(1+2.78*('Cálculos'!$F$198+(($C190)-$A$177:$A$222)*'Cálculos'!$F$98)/(('Cálculos'!$F$198+(($C190)-$A$177:$A$222)*'Cálculos'!$F$98)+1400)+'Cálculos'!$F$122)*'Cálculos'!$F$246+'Cálculos'!$F$125*(1+2.78*('Cálculos'!$F$198+(($C190)-$A$177:$A$222)*'Cálculos'!$F$98)/(('Cálculos'!$F$198+(($C190)-$A$177:$A$222)*'Cálculos'!$F$98)+1400)+'Cálculos'!$F$123)*'Cálculos'!$F$251)+('Cálculos'!$F$204*(1+'Cálculos'!$F$205+$A$177:$A$222*('Cálculos'!$F$290=3)*'Cálculos'!$F$103)+'Cálculos'!$F$206)*('Cálculos'!$F$242+'Cálculos'!$F$124*(1+2.78*('Cálculos'!$F$198+(($C190)-$A$177:$A$222)*'Cálculos'!$F$98)/(('Cálculos'!$F$198+(($C190)-$A$177:$A$222)*'Cálculos'!$F$98)+1400)+'Cálculos'!$F$122)*'Cálculos'!$F$247+'Cálculos'!$F$125*(1+2.78*('Cálculos'!$F$198+(($C190)-$A$177:$A$222)*'Cálculos'!$F$98)/(('Cálculos'!$F$198+(($C190)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190)-$A$177:$A$222)*'Cálculos'!$F$98)/(('Cálculos'!$F$199+(($C190)-$A$177:$A$222)*'Cálculos'!$F$98)+1400)+'Cálculos'!$F$122)*'Cálculos'!$F$259+'Cálculos'!$F$125*(1+2.78*('Cálculos'!$F$199+(($C190)-$A$177:$A$222)*'Cálculos'!$F$98)/(('Cálculos'!$F$199+(($C190)-$A$177:$A$222)*'Cálculos'!$F$98)+1400)+'Cálculos'!$F$123)*'Cálculos'!$F$264)+('Cálculos'!$F$199+(($C190)-$A$177:$A$222)*'Cálculos'!$F$98)*('Cálculos'!$F$255+'Cálculos'!$F$124*(1+2.78*('Cálculos'!$F$199+(($C190)-$A$177:$A$222)*'Cálculos'!$F$98)/(('Cálculos'!$F$199+(($C190)-$A$177:$A$222)*'Cálculos'!$F$98)+1400)+'Cálculos'!$F$122)*'Cálculos'!$F$260+'Cálculos'!$F$125*(1+2.78*('Cálculos'!$F$199+(($C190)-$A$177:$A$222)*'Cálculos'!$F$98)/(('Cálculos'!$F$199+(($C190)-$A$177:$A$222)*'Cálculos'!$F$98)+1400)+'Cálculos'!$F$123)*'Cálculos'!$F$265)+('Cálculos'!$F$201*(1+'Cálculos'!$F$202+$A$177:$A$222*('Cálculos'!$F$290=2)*'Cálculos'!$F$101)+'Cálculos'!$F$203)*('Cálculos'!$F$256+'Cálculos'!$F$124*(1+2.78*('Cálculos'!$F$199+(($C190)-$A$177:$A$222)*'Cálculos'!$F$98)/(('Cálculos'!$F$199+(($C190)-$A$177:$A$222)*'Cálculos'!$F$98)+1400)+'Cálculos'!$F$122)*'Cálculos'!$F$261+'Cálculos'!$F$125*(1+2.78*('Cálculos'!$F$199+(($C190)-$A$177:$A$222)*'Cálculos'!$F$98)/(('Cálculos'!$F$199+(($C190)-$A$177:$A$222)*'Cálculos'!$F$98)+1400)+'Cálculos'!$F$123)*'Cálculos'!$F$266)+('Cálculos'!$F$204*(1+'Cálculos'!$F$205+$A$177:$A$222*('Cálculos'!$F$290=3)*'Cálculos'!$F$103)+'Cálculos'!$F$206)*('Cálculos'!$F$257+'Cálculos'!$F$124*(1+2.78*('Cálculos'!$F$199+(($C190)-$A$177:$A$222)*'Cálculos'!$F$98)/(('Cálculos'!$F$199+(($C190)-$A$177:$A$222)*'Cálculos'!$F$98)+1400)+'Cálculos'!$F$122)*'Cálculos'!$F$262+'Cálculos'!$F$125*(1+2.78*('Cálculos'!$F$199+(($C190)-$A$177:$A$222)*'Cálculos'!$F$98)/(('Cálculos'!$F$199+(($C190)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190)-$A$177:$A$222)*'Cálculos'!$F$98)/(('Cálculos'!$F$200+(($C190)-$A$177:$A$222)*'Cálculos'!$F$98)+1400)+'Cálculos'!$F$122)*'Cálculos'!$F$274+'Cálculos'!$F$125*(1+2.78*('Cálculos'!$F$200+(($C190)-$A$177:$A$222)*'Cálculos'!$F$98)/(('Cálculos'!$F$200+(($C190)-$A$177:$A$222)*'Cálculos'!$F$98)+1400)+'Cálculos'!$F$123)*'Cálculos'!$F$279)+('Cálculos'!$F$200+(($C190)-$A$177:$A$222)*'Cálculos'!$F$98)*('Cálculos'!$F$270+'Cálculos'!$F$124*(1+2.78*('Cálculos'!$F$200+(($C190)-$A$177:$A$222)*'Cálculos'!$F$98)/(('Cálculos'!$F$200+(($C190)-$A$177:$A$222)*'Cálculos'!$F$98)+1400)+'Cálculos'!$F$122)*'Cálculos'!$F$275+'Cálculos'!$F$125*(1+2.78*('Cálculos'!$F$200+(($C190)-$A$177:$A$222)*'Cálculos'!$F$98)/(('Cálculos'!$F$200+(($C190)-$A$177:$A$222)*'Cálculos'!$F$98)+1400)+'Cálculos'!$F$123)*'Cálculos'!$F$280)+('Cálculos'!$F$201*(1+'Cálculos'!$F$202+$A$177:$A$222*('Cálculos'!$F$290=2)*'Cálculos'!$F$101)+'Cálculos'!$F$203)*('Cálculos'!$F$271+'Cálculos'!$F$124*(1+2.78*('Cálculos'!$F$200+(($C190)-$A$177:$A$222)*'Cálculos'!$F$98)/(('Cálculos'!$F$200+(($C190)-$A$177:$A$222)*'Cálculos'!$F$98)+1400)+'Cálculos'!$F$122)*'Cálculos'!$F$276+'Cálculos'!$F$125*(1+2.78*('Cálculos'!$F$200+(($C190)-$A$177:$A$222)*'Cálculos'!$F$98)/(('Cálculos'!$F$200+(($C190)-$A$177:$A$222)*'Cálculos'!$F$98)+1400)+'Cálculos'!$F$123)*'Cálculos'!$F$281)+('Cálculos'!$F$204*(1+'Cálculos'!$F$205+$A$177:$A$222*('Cálculos'!$F$290=3)*'Cálculos'!$F$103)+'Cálculos'!$F$206)*('Cálculos'!$F$272+'Cálculos'!$F$124*(1+2.78*('Cálculos'!$F$200+(($C190)-$A$177:$A$222)*'Cálculos'!$F$98)/(('Cálculos'!$F$200+(($C190)-$A$177:$A$222)*'Cálculos'!$F$98)+1400)+'Cálculos'!$F$122)*'Cálculos'!$F$277+'Cálculos'!$F$125*(1+2.78*('Cálculos'!$F$200+(($C190)-$A$177:$A$222)*'Cálculos'!$F$98)/(('Cálculos'!$F$200+(($C190)-$A$177:$A$222)*'Cálculos'!$F$98)+1400)+'Cálculos'!$F$123)*'Cálculos'!$F$282)))))</f>
        <v>20464.7821</v>
      </c>
      <c r="E190" s="32">
        <f>IF(OR($C190&lt;0,'Cálculos'!$F$6=""),0,$B190*$D190)</f>
        <v>43253.27881</v>
      </c>
      <c r="F190" s="2"/>
      <c r="G190" s="30">
        <f>($A190&lt;=$B$224)*($A190&lt;='Cálculos'!$F$294)*(($B$224)-$A190&lt;='Cálculos'!$F$295)*(1+MIN(('Cálculos'!$F$207+$A190*'Cálculos'!$F$95),1)*('Cálculos'!$F$208+(($B$224)-$A190)*'Cálculos'!$F$96))</f>
        <v>2.372168</v>
      </c>
      <c r="H190" s="31">
        <f>IF($B$225&lt;0,0,($A190&lt;=$B$225)*($A190&lt;='Cálculos'!$F$301)*(($B$225)-$A190&lt;='Cálculos'!$F$297)*(('Cálculos'!$F$185*(1+'Cálculos'!$F$186+$A190*('Cálculos'!$F$290=1)*'Cálculos'!$F$97+'Cálculos'!$F$305)+'Cálculos'!$F$191)*('Cálculos'!$F$209+'Cálculos'!$F$124*(1+2.78*('Cálculos'!$F$196+(($B$225)-$A190)*'Cálculos'!$F$98)/(('Cálculos'!$F$196+(($B$225)-$A190)*'Cálculos'!$F$98)+1400)+'Cálculos'!$F$122)*'Cálculos'!$F$214+'Cálculos'!$F$125*(1+2.78*('Cálculos'!$F$196+(($B$225)-$A190)*'Cálculos'!$F$98)/(('Cálculos'!$F$196+(($B$225)-$A190)*'Cálculos'!$F$98)+1400)+'Cálculos'!$F$123)*'Cálculos'!$F$219)+('Cálculos'!$F$196+(($B$225)-$A190)*'Cálculos'!$F$98)*('Cálculos'!$F$210+'Cálculos'!$F$124*(1+2.78*('Cálculos'!$F$196+(($B$225)-$A190)*'Cálculos'!$F$98)/(('Cálculos'!$F$196+(($B$225)-$A190)*'Cálculos'!$F$98)+1400)+'Cálculos'!$F$122)*'Cálculos'!$F$215+'Cálculos'!$F$125*(1+2.78*('Cálculos'!$F$196+(($B$225)-$A190)*'Cálculos'!$F$98)/(('Cálculos'!$F$196+(($B$225)-$A190)*'Cálculos'!$F$98)+1400)+'Cálculos'!$F$123)*'Cálculos'!$F$220)+('Cálculos'!$F$201*(1+'Cálculos'!$F$202+$A190*('Cálculos'!$F$290=2)*'Cálculos'!$F$101)+'Cálculos'!$F$203)*('Cálculos'!$F$211+'Cálculos'!$F$124*(1+2.78*('Cálculos'!$F$196+(($B$225)-$A190)*'Cálculos'!$F$98)/(('Cálculos'!$F$196+(($B$225)-$A190)*'Cálculos'!$F$98)+1400)+'Cálculos'!$F$122)*'Cálculos'!$F$216+'Cálculos'!$F$125*(1+2.78*('Cálculos'!$F$196+(($B$225)-$A190)*'Cálculos'!$F$98)/(('Cálculos'!$F$196+(($B$225)-$A190)*'Cálculos'!$F$98)+1400)+'Cálculos'!$F$123)*'Cálculos'!$F$221)+('Cálculos'!$F$204*(1+'Cálculos'!$F$205+$A190*('Cálculos'!$F$290=3)*'Cálculos'!$F$103)+'Cálculos'!$F$206)*('Cálculos'!$F$212+'Cálculos'!$F$124*(1+2.78*('Cálculos'!$F$196+(($B$225)-$A190)*'Cálculos'!$F$98)/(('Cálculos'!$F$196+(($B$225)-$A190)*'Cálculos'!$F$98)+1400)+'Cálculos'!$F$122)*'Cálculos'!$F$217+'Cálculos'!$F$125*(1+2.78*('Cálculos'!$F$196+(($B$225)-$A190)*'Cálculos'!$F$98)/(('Cálculos'!$F$196+(($B$225)-$A190)*'Cálculos'!$F$98)+1400)+'Cálculos'!$F$123)*'Cálculos'!$F$222)+('Cálculos'!$F$185*(1+'Cálculos'!$F$187+$A190*('Cálculos'!$F$290=1)*'Cálculos'!$F$97+'Cálculos'!$F$305)+'Cálculos'!$F$192)*('Cálculos'!$F$224+'Cálculos'!$F$124*(1+2.78*('Cálculos'!$F$197+(($B$225)-$A190)*'Cálculos'!$F$98)/(('Cálculos'!$F$197+(($B$225)-$A190)*'Cálculos'!$F$98)+1400)+'Cálculos'!$F$122)*'Cálculos'!$F$229+'Cálculos'!$F$125*(1+2.78*('Cálculos'!$F$197+(($B$225)-$A190)*'Cálculos'!$F$98)/(('Cálculos'!$F$197+(($B$225)-$A190)*'Cálculos'!$F$98)+1400)+'Cálculos'!$F$123)*'Cálculos'!$F$234)+('Cálculos'!$F$197+(($B$225)-$A190)*'Cálculos'!$F$98)*('Cálculos'!$F$225+'Cálculos'!$F$124*(1+2.78*('Cálculos'!$F$197+(($B$225)-$A190)*'Cálculos'!$F$98)/(('Cálculos'!$F$197+(($B$225)-$A190)*'Cálculos'!$F$98)+1400)+'Cálculos'!$F$122)*'Cálculos'!$F$230+'Cálculos'!$F$125*(1+2.78*('Cálculos'!$F$197+(($B$225)-$A190)*'Cálculos'!$F$98)/(('Cálculos'!$F$197+(($B$225)-$A190)*'Cálculos'!$F$98)+1400)+'Cálculos'!$F$123)*'Cálculos'!$F$235)+('Cálculos'!$F$201*(1+'Cálculos'!$F$202+$A190*('Cálculos'!$F$290=2)*'Cálculos'!$F$101)+'Cálculos'!$F$203)*('Cálculos'!$F$226+'Cálculos'!$F$124*(1+2.78*('Cálculos'!$F$197+(($B$225)-$A190)*'Cálculos'!$F$98)/(('Cálculos'!$F$197+(($B$225)-$A190)*'Cálculos'!$F$98)+1400)+'Cálculos'!$F$122)*'Cálculos'!$F$231+'Cálculos'!$F$125*(1+2.78*('Cálculos'!$F$197+(($B$225)-$A190)*'Cálculos'!$F$98)/(('Cálculos'!$F$197+(($B$225)-$A190)*'Cálculos'!$F$98)+1400)+'Cálculos'!$F$123)*'Cálculos'!$F$236)+('Cálculos'!$F$204*(1+'Cálculos'!$F$205+$A190*('Cálculos'!$F$290=3)*'Cálculos'!$F$103)+'Cálculos'!$F$206)*('Cálculos'!$F$227+'Cálculos'!$F$124*(1+2.78*('Cálculos'!$F$197+(($B$225)-$A190)*'Cálculos'!$F$98)/(('Cálculos'!$F$197+(($B$225)-$A190)*'Cálculos'!$F$98)+1400)+'Cálculos'!$F$122)*'Cálculos'!$F$232+'Cálculos'!$F$125*(1+2.78*('Cálculos'!$F$197+(($B$225)-$A190)*'Cálculos'!$F$98)/(('Cálculos'!$F$197+(($B$225)-$A190)*'Cálculos'!$F$98)+1400)+'Cálculos'!$F$123)*'Cálculos'!$F$237)+('Cálculos'!$F$185*(1+'Cálculos'!$F$188+$A190*('Cálculos'!$F$290=1)*'Cálculos'!$F$97+'Cálculos'!$F$305)+'Cálculos'!$F$193)*('Cálculos'!$F$239+'Cálculos'!$F$124*(1+2.78*('Cálculos'!$F$198+(($B$225)-$A190)*'Cálculos'!$F$98)/(('Cálculos'!$F$198+(($B$225)-$A190)*'Cálculos'!$F$98)+1400)+'Cálculos'!$F$122)*'Cálculos'!$F$244+'Cálculos'!$F$125*(1+2.78*('Cálculos'!$F$198+(($B$225)-$A190)*'Cálculos'!$F$98)/(('Cálculos'!$F$198+(($B$225)-$A190)*'Cálculos'!$F$98)+1400)+'Cálculos'!$F$123)*'Cálculos'!$F$249)+('Cálculos'!$F$198+(($B$225)-$A190)*'Cálculos'!$F$98)*('Cálculos'!$F$240+'Cálculos'!$F$124*(1+2.78*('Cálculos'!$F$198+(($B$225)-$A190)*'Cálculos'!$F$98)/(('Cálculos'!$F$198+(($B$225)-$A190)*'Cálculos'!$F$98)+1400)+'Cálculos'!$F$122)*'Cálculos'!$F$245+'Cálculos'!$F$125*(1+2.78*('Cálculos'!$F$198+(($B$225)-$A190)*'Cálculos'!$F$98)/(('Cálculos'!$F$198+(($B$225)-$A190)*'Cálculos'!$F$98)+1400)+'Cálculos'!$F$123)*'Cálculos'!$F$250)+('Cálculos'!$F$201*(1+'Cálculos'!$F$202+$A190*('Cálculos'!$F$290=2)*'Cálculos'!$F$101)+'Cálculos'!$F$203)*('Cálculos'!$F$241+'Cálculos'!$F$124*(1+2.78*('Cálculos'!$F$198+(($B$225)-$A190)*'Cálculos'!$F$98)/(('Cálculos'!$F$198+(($B$225)-$A190)*'Cálculos'!$F$98)+1400)+'Cálculos'!$F$122)*'Cálculos'!$F$246+'Cálculos'!$F$125*(1+2.78*('Cálculos'!$F$198+(($B$225)-$A190)*'Cálculos'!$F$98)/(('Cálculos'!$F$198+(($B$225)-$A190)*'Cálculos'!$F$98)+1400)+'Cálculos'!$F$123)*'Cálculos'!$F$251)+('Cálculos'!$F$204*(1+'Cálculos'!$F$205+$A190*('Cálculos'!$F$290=3)*'Cálculos'!$F$103)+'Cálculos'!$F$206)*('Cálculos'!$F$242+'Cálculos'!$F$124*(1+2.78*('Cálculos'!$F$198+(($B$225)-$A190)*'Cálculos'!$F$98)/(('Cálculos'!$F$198+(($B$225)-$A190)*'Cálculos'!$F$98)+1400)+'Cálculos'!$F$122)*'Cálculos'!$F$247+'Cálculos'!$F$125*(1+2.78*('Cálculos'!$F$198+(($B$225)-$A190)*'Cálculos'!$F$98)/(('Cálculos'!$F$198+(($B$225)-$A190)*'Cálculos'!$F$98)+1400)+'Cálculos'!$F$123)*'Cálculos'!$F$252)+('Cálculos'!$F$185*(1+'Cálculos'!$F$189+$A190*('Cálculos'!$F$290=1)*'Cálculos'!$F$97+'Cálculos'!$F$305)+'Cálculos'!$F$194)*('Cálculos'!$F$254+'Cálculos'!$F$124*(1+2.78*('Cálculos'!$F$199+(($B$225)-$A190)*'Cálculos'!$F$98)/(('Cálculos'!$F$199+(($B$225)-$A190)*'Cálculos'!$F$98)+1400)+'Cálculos'!$F$122)*'Cálculos'!$F$259+'Cálculos'!$F$125*(1+2.78*('Cálculos'!$F$199+(($B$225)-$A190)*'Cálculos'!$F$98)/(('Cálculos'!$F$199+(($B$225)-$A190)*'Cálculos'!$F$98)+1400)+'Cálculos'!$F$123)*'Cálculos'!$F$264)+('Cálculos'!$F$199+(($B$225)-$A190)*'Cálculos'!$F$98)*('Cálculos'!$F$255+'Cálculos'!$F$124*(1+2.78*('Cálculos'!$F$199+(($B$225)-$A190)*'Cálculos'!$F$98)/(('Cálculos'!$F$199+(($B$225)-$A190)*'Cálculos'!$F$98)+1400)+'Cálculos'!$F$122)*'Cálculos'!$F$260+'Cálculos'!$F$125*(1+2.78*('Cálculos'!$F$199+(($B$225)-$A190)*'Cálculos'!$F$98)/(('Cálculos'!$F$199+(($B$225)-$A190)*'Cálculos'!$F$98)+1400)+'Cálculos'!$F$123)*'Cálculos'!$F$265)+('Cálculos'!$F$201*(1+'Cálculos'!$F$202+$A190*('Cálculos'!$F$290=2)*'Cálculos'!$F$101)+'Cálculos'!$F$203)*('Cálculos'!$F$256+'Cálculos'!$F$124*(1+2.78*('Cálculos'!$F$199+(($B$225)-$A190)*'Cálculos'!$F$98)/(('Cálculos'!$F$199+(($B$225)-$A190)*'Cálculos'!$F$98)+1400)+'Cálculos'!$F$122)*'Cálculos'!$F$261+'Cálculos'!$F$125*(1+2.78*('Cálculos'!$F$199+(($B$225)-$A190)*'Cálculos'!$F$98)/(('Cálculos'!$F$199+(($B$225)-$A190)*'Cálculos'!$F$98)+1400)+'Cálculos'!$F$123)*'Cálculos'!$F$266)+('Cálculos'!$F$204*(1+'Cálculos'!$F$205+$A190*('Cálculos'!$F$290=3)*'Cálculos'!$F$103)+'Cálculos'!$F$206)*('Cálculos'!$F$257+'Cálculos'!$F$124*(1+2.78*('Cálculos'!$F$199+(($B$225)-$A190)*'Cálculos'!$F$98)/(('Cálculos'!$F$199+(($B$225)-$A190)*'Cálculos'!$F$98)+1400)+'Cálculos'!$F$122)*'Cálculos'!$F$262+'Cálculos'!$F$125*(1+2.78*('Cálculos'!$F$199+(($B$225)-$A190)*'Cálculos'!$F$98)/(('Cálculos'!$F$199+(($B$225)-$A190)*'Cálculos'!$F$98)+1400)+'Cálculos'!$F$123)*'Cálculos'!$F$267)+('Cálculos'!$F$185*(1+'Cálculos'!$F$190+$A190*('Cálculos'!$F$290=1)*'Cálculos'!$F$97+'Cálculos'!$F$305)+'Cálculos'!$F$195)*('Cálculos'!$F$269+'Cálculos'!$F$124*(1+2.78*('Cálculos'!$F$200+(($B$225)-$A190)*'Cálculos'!$F$98)/(('Cálculos'!$F$200+(($B$225)-$A190)*'Cálculos'!$F$98)+1400)+'Cálculos'!$F$122)*'Cálculos'!$F$274+'Cálculos'!$F$125*(1+2.78*('Cálculos'!$F$200+(($B$225)-$A190)*'Cálculos'!$F$98)/(('Cálculos'!$F$200+(($B$225)-$A190)*'Cálculos'!$F$98)+1400)+'Cálculos'!$F$123)*'Cálculos'!$F$279)+('Cálculos'!$F$200+(($B$225)-$A190)*'Cálculos'!$F$98)*('Cálculos'!$F$270+'Cálculos'!$F$124*(1+2.78*('Cálculos'!$F$200+(($B$225)-$A190)*'Cálculos'!$F$98)/(('Cálculos'!$F$200+(($B$225)-$A190)*'Cálculos'!$F$98)+1400)+'Cálculos'!$F$122)*'Cálculos'!$F$275+'Cálculos'!$F$125*(1+2.78*('Cálculos'!$F$200+(($B$225)-$A190)*'Cálculos'!$F$98)/(('Cálculos'!$F$200+(($B$225)-$A190)*'Cálculos'!$F$98)+1400)+'Cálculos'!$F$123)*'Cálculos'!$F$280)+('Cálculos'!$F$201*(1+'Cálculos'!$F$202+$A190*('Cálculos'!$F$290=2)*'Cálculos'!$F$101)+'Cálculos'!$F$203)*('Cálculos'!$F$271+'Cálculos'!$F$124*(1+2.78*('Cálculos'!$F$200+(($B$225)-$A190)*'Cálculos'!$F$98)/(('Cálculos'!$F$200+(($B$225)-$A190)*'Cálculos'!$F$98)+1400)+'Cálculos'!$F$122)*'Cálculos'!$F$276+'Cálculos'!$F$125*(1+2.78*('Cálculos'!$F$200+(($B$225)-$A190)*'Cálculos'!$F$98)/(('Cálculos'!$F$200+(($B$225)-$A190)*'Cálculos'!$F$98)+1400)+'Cálculos'!$F$123)*'Cálculos'!$F$281)+('Cálculos'!$F$204*(1+'Cálculos'!$F$205+$A190*('Cálculos'!$F$290=3)*'Cálculos'!$F$103)+'Cálculos'!$F$206)*('Cálculos'!$F$272+'Cálculos'!$F$124*(1+2.78*('Cálculos'!$F$200+(($B$225)-$A190)*'Cálculos'!$F$98)/(('Cálculos'!$F$200+(($B$225)-$A190)*'Cálculos'!$F$98)+1400)+'Cálculos'!$F$122)*'Cálculos'!$F$277+'Cálculos'!$F$125*(1+2.78*('Cálculos'!$F$200+(($B$225)-$A190)*'Cálculos'!$F$98)/(('Cálculos'!$F$200+(($B$225)-$A190)*'Cálculos'!$F$98)+1400)+'Cálculos'!$F$123)*'Cálculos'!$F$282)))</f>
        <v>0</v>
      </c>
    </row>
    <row r="191" ht="15.75" customHeight="1">
      <c r="A191" s="2">
        <v>14.0</v>
      </c>
      <c r="B191" s="30">
        <f>SUMPRODUCT(MAX(($A$177:$A$222&lt;=$A191)*($A$177:$A$222&lt;='Cálculos'!$F$294)*(($A191)-$A$177:$A$222&lt;='Cálculos'!$F$295)*(1+(('Cálculos'!$F$207+$A$177:$A$222*'Cálculos'!$F$95)-(('Cálculos'!$F$207+$A$177:$A$222*'Cálculos'!$F$95)&gt;1)*(('Cálculos'!$F$207+$A$177:$A$222*'Cálculos'!$F$95)-1))*('Cálculos'!$F$208+(($A191)-$A$177:$A$222)*'Cálculos'!$F$96))))</f>
        <v>2.163509</v>
      </c>
      <c r="C191" s="2">
        <f>'Cálculos'!$F$303-$A191</f>
        <v>4</v>
      </c>
      <c r="D191" s="31">
        <f>IF($C191&lt;0,0,SUMPRODUCT(MAX(($A$177:$A$222&lt;=$C191)*($A$177:$A$222&lt;='Cálculos'!$F$301)*(($C191)-$A$177:$A$222&lt;='Cálculos'!$F$297)*(('Cálculos'!$F$185*(1+'Cálculos'!$F$186+$A$177:$A$222*('Cálculos'!$F$290=1)*'Cálculos'!$F$97+'Cálculos'!$F$305)+'Cálculos'!$F$191)*('Cálculos'!$F$209+'Cálculos'!$F$124*(1+2.78*('Cálculos'!$F$196+(($C191)-$A$177:$A$222)*'Cálculos'!$F$98)/(('Cálculos'!$F$196+(($C191)-$A$177:$A$222)*'Cálculos'!$F$98)+1400)+'Cálculos'!$F$122)*'Cálculos'!$F$214+'Cálculos'!$F$125*(1+2.78*('Cálculos'!$F$196+(($C191)-$A$177:$A$222)*'Cálculos'!$F$98)/(('Cálculos'!$F$196+(($C191)-$A$177:$A$222)*'Cálculos'!$F$98)+1400)+'Cálculos'!$F$123)*'Cálculos'!$F$219)+('Cálculos'!$F$196+(($C191)-$A$177:$A$222)*'Cálculos'!$F$98)*('Cálculos'!$F$210+'Cálculos'!$F$124*(1+2.78*('Cálculos'!$F$196+(($C191)-$A$177:$A$222)*'Cálculos'!$F$98)/(('Cálculos'!$F$196+(($C191)-$A$177:$A$222)*'Cálculos'!$F$98)+1400)+'Cálculos'!$F$122)*'Cálculos'!$F$215+'Cálculos'!$F$125*(1+2.78*('Cálculos'!$F$196+(($C191)-$A$177:$A$222)*'Cálculos'!$F$98)/(('Cálculos'!$F$196+(($C191)-$A$177:$A$222)*'Cálculos'!$F$98)+1400)+'Cálculos'!$F$123)*'Cálculos'!$F$220)+('Cálculos'!$F$201*(1+'Cálculos'!$F$202+$A$177:$A$222*('Cálculos'!$F$290=2)*'Cálculos'!$F$101)+'Cálculos'!$F$203)*('Cálculos'!$F$211+'Cálculos'!$F$124*(1+2.78*('Cálculos'!$F$196+(($C191)-$A$177:$A$222)*'Cálculos'!$F$98)/(('Cálculos'!$F$196+(($C191)-$A$177:$A$222)*'Cálculos'!$F$98)+1400)+'Cálculos'!$F$122)*'Cálculos'!$F$216+'Cálculos'!$F$125*(1+2.78*('Cálculos'!$F$196+(($C191)-$A$177:$A$222)*'Cálculos'!$F$98)/(('Cálculos'!$F$196+(($C191)-$A$177:$A$222)*'Cálculos'!$F$98)+1400)+'Cálculos'!$F$123)*'Cálculos'!$F$221)+('Cálculos'!$F$204*(1+'Cálculos'!$F$205+$A$177:$A$222*('Cálculos'!$F$290=3)*'Cálculos'!$F$103)+'Cálculos'!$F$206)*('Cálculos'!$F$212+'Cálculos'!$F$124*(1+2.78*('Cálculos'!$F$196+(($C191)-$A$177:$A$222)*'Cálculos'!$F$98)/(('Cálculos'!$F$196+(($C191)-$A$177:$A$222)*'Cálculos'!$F$98)+1400)+'Cálculos'!$F$122)*'Cálculos'!$F$217+'Cálculos'!$F$125*(1+2.78*('Cálculos'!$F$196+(($C191)-$A$177:$A$222)*'Cálculos'!$F$98)/(('Cálculos'!$F$196+(($C191)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191)-$A$177:$A$222)*'Cálculos'!$F$98)/(('Cálculos'!$F$197+(($C191)-$A$177:$A$222)*'Cálculos'!$F$98)+1400)+'Cálculos'!$F$122)*'Cálculos'!$F$229+'Cálculos'!$F$125*(1+2.78*('Cálculos'!$F$197+(($C191)-$A$177:$A$222)*'Cálculos'!$F$98)/(('Cálculos'!$F$197+(($C191)-$A$177:$A$222)*'Cálculos'!$F$98)+1400)+'Cálculos'!$F$123)*'Cálculos'!$F$234)+('Cálculos'!$F$197+(($C191)-$A$177:$A$222)*'Cálculos'!$F$98)*('Cálculos'!$F$225+'Cálculos'!$F$124*(1+2.78*('Cálculos'!$F$197+(($C191)-$A$177:$A$222)*'Cálculos'!$F$98)/(('Cálculos'!$F$197+(($C191)-$A$177:$A$222)*'Cálculos'!$F$98)+1400)+'Cálculos'!$F$122)*'Cálculos'!$F$230+'Cálculos'!$F$125*(1+2.78*('Cálculos'!$F$197+(($C191)-$A$177:$A$222)*'Cálculos'!$F$98)/(('Cálculos'!$F$197+(($C191)-$A$177:$A$222)*'Cálculos'!$F$98)+1400)+'Cálculos'!$F$123)*'Cálculos'!$F$235)+('Cálculos'!$F$201*(1+'Cálculos'!$F$202+$A$177:$A$222*('Cálculos'!$F$290=2)*'Cálculos'!$F$101)+'Cálculos'!$F$203)*('Cálculos'!$F$226+'Cálculos'!$F$124*(1+2.78*('Cálculos'!$F$197+(($C191)-$A$177:$A$222)*'Cálculos'!$F$98)/(('Cálculos'!$F$197+(($C191)-$A$177:$A$222)*'Cálculos'!$F$98)+1400)+'Cálculos'!$F$122)*'Cálculos'!$F$231+'Cálculos'!$F$125*(1+2.78*('Cálculos'!$F$197+(($C191)-$A$177:$A$222)*'Cálculos'!$F$98)/(('Cálculos'!$F$197+(($C191)-$A$177:$A$222)*'Cálculos'!$F$98)+1400)+'Cálculos'!$F$123)*'Cálculos'!$F$236)+('Cálculos'!$F$204*(1+'Cálculos'!$F$205+$A$177:$A$222*('Cálculos'!$F$290=3)*'Cálculos'!$F$103)+'Cálculos'!$F$206)*('Cálculos'!$F$227+'Cálculos'!$F$124*(1+2.78*('Cálculos'!$F$197+(($C191)-$A$177:$A$222)*'Cálculos'!$F$98)/(('Cálculos'!$F$197+(($C191)-$A$177:$A$222)*'Cálculos'!$F$98)+1400)+'Cálculos'!$F$122)*'Cálculos'!$F$232+'Cálculos'!$F$125*(1+2.78*('Cálculos'!$F$197+(($C191)-$A$177:$A$222)*'Cálculos'!$F$98)/(('Cálculos'!$F$197+(($C191)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191)-$A$177:$A$222)*'Cálculos'!$F$98)/(('Cálculos'!$F$198+(($C191)-$A$177:$A$222)*'Cálculos'!$F$98)+1400)+'Cálculos'!$F$122)*'Cálculos'!$F$244+'Cálculos'!$F$125*(1+2.78*('Cálculos'!$F$198+(($C191)-$A$177:$A$222)*'Cálculos'!$F$98)/(('Cálculos'!$F$198+(($C191)-$A$177:$A$222)*'Cálculos'!$F$98)+1400)+'Cálculos'!$F$123)*'Cálculos'!$F$249)+('Cálculos'!$F$198+(($C191)-$A$177:$A$222)*'Cálculos'!$F$98)*('Cálculos'!$F$240+'Cálculos'!$F$124*(1+2.78*('Cálculos'!$F$198+(($C191)-$A$177:$A$222)*'Cálculos'!$F$98)/(('Cálculos'!$F$198+(($C191)-$A$177:$A$222)*'Cálculos'!$F$98)+1400)+'Cálculos'!$F$122)*'Cálculos'!$F$245+'Cálculos'!$F$125*(1+2.78*('Cálculos'!$F$198+(($C191)-$A$177:$A$222)*'Cálculos'!$F$98)/(('Cálculos'!$F$198+(($C191)-$A$177:$A$222)*'Cálculos'!$F$98)+1400)+'Cálculos'!$F$123)*'Cálculos'!$F$250)+('Cálculos'!$F$201*(1+'Cálculos'!$F$202+$A$177:$A$222*('Cálculos'!$F$290=2)*'Cálculos'!$F$101)+'Cálculos'!$F$203)*('Cálculos'!$F$241+'Cálculos'!$F$124*(1+2.78*('Cálculos'!$F$198+(($C191)-$A$177:$A$222)*'Cálculos'!$F$98)/(('Cálculos'!$F$198+(($C191)-$A$177:$A$222)*'Cálculos'!$F$98)+1400)+'Cálculos'!$F$122)*'Cálculos'!$F$246+'Cálculos'!$F$125*(1+2.78*('Cálculos'!$F$198+(($C191)-$A$177:$A$222)*'Cálculos'!$F$98)/(('Cálculos'!$F$198+(($C191)-$A$177:$A$222)*'Cálculos'!$F$98)+1400)+'Cálculos'!$F$123)*'Cálculos'!$F$251)+('Cálculos'!$F$204*(1+'Cálculos'!$F$205+$A$177:$A$222*('Cálculos'!$F$290=3)*'Cálculos'!$F$103)+'Cálculos'!$F$206)*('Cálculos'!$F$242+'Cálculos'!$F$124*(1+2.78*('Cálculos'!$F$198+(($C191)-$A$177:$A$222)*'Cálculos'!$F$98)/(('Cálculos'!$F$198+(($C191)-$A$177:$A$222)*'Cálculos'!$F$98)+1400)+'Cálculos'!$F$122)*'Cálculos'!$F$247+'Cálculos'!$F$125*(1+2.78*('Cálculos'!$F$198+(($C191)-$A$177:$A$222)*'Cálculos'!$F$98)/(('Cálculos'!$F$198+(($C191)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191)-$A$177:$A$222)*'Cálculos'!$F$98)/(('Cálculos'!$F$199+(($C191)-$A$177:$A$222)*'Cálculos'!$F$98)+1400)+'Cálculos'!$F$122)*'Cálculos'!$F$259+'Cálculos'!$F$125*(1+2.78*('Cálculos'!$F$199+(($C191)-$A$177:$A$222)*'Cálculos'!$F$98)/(('Cálculos'!$F$199+(($C191)-$A$177:$A$222)*'Cálculos'!$F$98)+1400)+'Cálculos'!$F$123)*'Cálculos'!$F$264)+('Cálculos'!$F$199+(($C191)-$A$177:$A$222)*'Cálculos'!$F$98)*('Cálculos'!$F$255+'Cálculos'!$F$124*(1+2.78*('Cálculos'!$F$199+(($C191)-$A$177:$A$222)*'Cálculos'!$F$98)/(('Cálculos'!$F$199+(($C191)-$A$177:$A$222)*'Cálculos'!$F$98)+1400)+'Cálculos'!$F$122)*'Cálculos'!$F$260+'Cálculos'!$F$125*(1+2.78*('Cálculos'!$F$199+(($C191)-$A$177:$A$222)*'Cálculos'!$F$98)/(('Cálculos'!$F$199+(($C191)-$A$177:$A$222)*'Cálculos'!$F$98)+1400)+'Cálculos'!$F$123)*'Cálculos'!$F$265)+('Cálculos'!$F$201*(1+'Cálculos'!$F$202+$A$177:$A$222*('Cálculos'!$F$290=2)*'Cálculos'!$F$101)+'Cálculos'!$F$203)*('Cálculos'!$F$256+'Cálculos'!$F$124*(1+2.78*('Cálculos'!$F$199+(($C191)-$A$177:$A$222)*'Cálculos'!$F$98)/(('Cálculos'!$F$199+(($C191)-$A$177:$A$222)*'Cálculos'!$F$98)+1400)+'Cálculos'!$F$122)*'Cálculos'!$F$261+'Cálculos'!$F$125*(1+2.78*('Cálculos'!$F$199+(($C191)-$A$177:$A$222)*'Cálculos'!$F$98)/(('Cálculos'!$F$199+(($C191)-$A$177:$A$222)*'Cálculos'!$F$98)+1400)+'Cálculos'!$F$123)*'Cálculos'!$F$266)+('Cálculos'!$F$204*(1+'Cálculos'!$F$205+$A$177:$A$222*('Cálculos'!$F$290=3)*'Cálculos'!$F$103)+'Cálculos'!$F$206)*('Cálculos'!$F$257+'Cálculos'!$F$124*(1+2.78*('Cálculos'!$F$199+(($C191)-$A$177:$A$222)*'Cálculos'!$F$98)/(('Cálculos'!$F$199+(($C191)-$A$177:$A$222)*'Cálculos'!$F$98)+1400)+'Cálculos'!$F$122)*'Cálculos'!$F$262+'Cálculos'!$F$125*(1+2.78*('Cálculos'!$F$199+(($C191)-$A$177:$A$222)*'Cálculos'!$F$98)/(('Cálculos'!$F$199+(($C191)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191)-$A$177:$A$222)*'Cálculos'!$F$98)/(('Cálculos'!$F$200+(($C191)-$A$177:$A$222)*'Cálculos'!$F$98)+1400)+'Cálculos'!$F$122)*'Cálculos'!$F$274+'Cálculos'!$F$125*(1+2.78*('Cálculos'!$F$200+(($C191)-$A$177:$A$222)*'Cálculos'!$F$98)/(('Cálculos'!$F$200+(($C191)-$A$177:$A$222)*'Cálculos'!$F$98)+1400)+'Cálculos'!$F$123)*'Cálculos'!$F$279)+('Cálculos'!$F$200+(($C191)-$A$177:$A$222)*'Cálculos'!$F$98)*('Cálculos'!$F$270+'Cálculos'!$F$124*(1+2.78*('Cálculos'!$F$200+(($C191)-$A$177:$A$222)*'Cálculos'!$F$98)/(('Cálculos'!$F$200+(($C191)-$A$177:$A$222)*'Cálculos'!$F$98)+1400)+'Cálculos'!$F$122)*'Cálculos'!$F$275+'Cálculos'!$F$125*(1+2.78*('Cálculos'!$F$200+(($C191)-$A$177:$A$222)*'Cálculos'!$F$98)/(('Cálculos'!$F$200+(($C191)-$A$177:$A$222)*'Cálculos'!$F$98)+1400)+'Cálculos'!$F$123)*'Cálculos'!$F$280)+('Cálculos'!$F$201*(1+'Cálculos'!$F$202+$A$177:$A$222*('Cálculos'!$F$290=2)*'Cálculos'!$F$101)+'Cálculos'!$F$203)*('Cálculos'!$F$271+'Cálculos'!$F$124*(1+2.78*('Cálculos'!$F$200+(($C191)-$A$177:$A$222)*'Cálculos'!$F$98)/(('Cálculos'!$F$200+(($C191)-$A$177:$A$222)*'Cálculos'!$F$98)+1400)+'Cálculos'!$F$122)*'Cálculos'!$F$276+'Cálculos'!$F$125*(1+2.78*('Cálculos'!$F$200+(($C191)-$A$177:$A$222)*'Cálculos'!$F$98)/(('Cálculos'!$F$200+(($C191)-$A$177:$A$222)*'Cálculos'!$F$98)+1400)+'Cálculos'!$F$123)*'Cálculos'!$F$281)+('Cálculos'!$F$204*(1+'Cálculos'!$F$205+$A$177:$A$222*('Cálculos'!$F$290=3)*'Cálculos'!$F$103)+'Cálculos'!$F$206)*('Cálculos'!$F$272+'Cálculos'!$F$124*(1+2.78*('Cálculos'!$F$200+(($C191)-$A$177:$A$222)*'Cálculos'!$F$98)/(('Cálculos'!$F$200+(($C191)-$A$177:$A$222)*'Cálculos'!$F$98)+1400)+'Cálculos'!$F$122)*'Cálculos'!$F$277+'Cálculos'!$F$125*(1+2.78*('Cálculos'!$F$200+(($C191)-$A$177:$A$222)*'Cálculos'!$F$98)/(('Cálculos'!$F$200+(($C191)-$A$177:$A$222)*'Cálculos'!$F$98)+1400)+'Cálculos'!$F$123)*'Cálculos'!$F$282)))))</f>
        <v>20240.9245</v>
      </c>
      <c r="E191" s="32">
        <f>IF(OR($C191&lt;0,'Cálculos'!$F$6=""),0,$B191*$D191)</f>
        <v>43791.42233</v>
      </c>
      <c r="F191" s="2"/>
      <c r="G191" s="30">
        <f>($A191&lt;=$B$224)*($A191&lt;='Cálculos'!$F$294)*(($B$224)-$A191&lt;='Cálculos'!$F$295)*(1+MIN(('Cálculos'!$F$207+$A191*'Cálculos'!$F$95),1)*('Cálculos'!$F$208+(($B$224)-$A191)*'Cálculos'!$F$96))</f>
        <v>2.366393</v>
      </c>
      <c r="H191" s="31">
        <f>IF($B$225&lt;0,0,($A191&lt;=$B$225)*($A191&lt;='Cálculos'!$F$301)*(($B$225)-$A191&lt;='Cálculos'!$F$297)*(('Cálculos'!$F$185*(1+'Cálculos'!$F$186+$A191*('Cálculos'!$F$290=1)*'Cálculos'!$F$97+'Cálculos'!$F$305)+'Cálculos'!$F$191)*('Cálculos'!$F$209+'Cálculos'!$F$124*(1+2.78*('Cálculos'!$F$196+(($B$225)-$A191)*'Cálculos'!$F$98)/(('Cálculos'!$F$196+(($B$225)-$A191)*'Cálculos'!$F$98)+1400)+'Cálculos'!$F$122)*'Cálculos'!$F$214+'Cálculos'!$F$125*(1+2.78*('Cálculos'!$F$196+(($B$225)-$A191)*'Cálculos'!$F$98)/(('Cálculos'!$F$196+(($B$225)-$A191)*'Cálculos'!$F$98)+1400)+'Cálculos'!$F$123)*'Cálculos'!$F$219)+('Cálculos'!$F$196+(($B$225)-$A191)*'Cálculos'!$F$98)*('Cálculos'!$F$210+'Cálculos'!$F$124*(1+2.78*('Cálculos'!$F$196+(($B$225)-$A191)*'Cálculos'!$F$98)/(('Cálculos'!$F$196+(($B$225)-$A191)*'Cálculos'!$F$98)+1400)+'Cálculos'!$F$122)*'Cálculos'!$F$215+'Cálculos'!$F$125*(1+2.78*('Cálculos'!$F$196+(($B$225)-$A191)*'Cálculos'!$F$98)/(('Cálculos'!$F$196+(($B$225)-$A191)*'Cálculos'!$F$98)+1400)+'Cálculos'!$F$123)*'Cálculos'!$F$220)+('Cálculos'!$F$201*(1+'Cálculos'!$F$202+$A191*('Cálculos'!$F$290=2)*'Cálculos'!$F$101)+'Cálculos'!$F$203)*('Cálculos'!$F$211+'Cálculos'!$F$124*(1+2.78*('Cálculos'!$F$196+(($B$225)-$A191)*'Cálculos'!$F$98)/(('Cálculos'!$F$196+(($B$225)-$A191)*'Cálculos'!$F$98)+1400)+'Cálculos'!$F$122)*'Cálculos'!$F$216+'Cálculos'!$F$125*(1+2.78*('Cálculos'!$F$196+(($B$225)-$A191)*'Cálculos'!$F$98)/(('Cálculos'!$F$196+(($B$225)-$A191)*'Cálculos'!$F$98)+1400)+'Cálculos'!$F$123)*'Cálculos'!$F$221)+('Cálculos'!$F$204*(1+'Cálculos'!$F$205+$A191*('Cálculos'!$F$290=3)*'Cálculos'!$F$103)+'Cálculos'!$F$206)*('Cálculos'!$F$212+'Cálculos'!$F$124*(1+2.78*('Cálculos'!$F$196+(($B$225)-$A191)*'Cálculos'!$F$98)/(('Cálculos'!$F$196+(($B$225)-$A191)*'Cálculos'!$F$98)+1400)+'Cálculos'!$F$122)*'Cálculos'!$F$217+'Cálculos'!$F$125*(1+2.78*('Cálculos'!$F$196+(($B$225)-$A191)*'Cálculos'!$F$98)/(('Cálculos'!$F$196+(($B$225)-$A191)*'Cálculos'!$F$98)+1400)+'Cálculos'!$F$123)*'Cálculos'!$F$222)+('Cálculos'!$F$185*(1+'Cálculos'!$F$187+$A191*('Cálculos'!$F$290=1)*'Cálculos'!$F$97+'Cálculos'!$F$305)+'Cálculos'!$F$192)*('Cálculos'!$F$224+'Cálculos'!$F$124*(1+2.78*('Cálculos'!$F$197+(($B$225)-$A191)*'Cálculos'!$F$98)/(('Cálculos'!$F$197+(($B$225)-$A191)*'Cálculos'!$F$98)+1400)+'Cálculos'!$F$122)*'Cálculos'!$F$229+'Cálculos'!$F$125*(1+2.78*('Cálculos'!$F$197+(($B$225)-$A191)*'Cálculos'!$F$98)/(('Cálculos'!$F$197+(($B$225)-$A191)*'Cálculos'!$F$98)+1400)+'Cálculos'!$F$123)*'Cálculos'!$F$234)+('Cálculos'!$F$197+(($B$225)-$A191)*'Cálculos'!$F$98)*('Cálculos'!$F$225+'Cálculos'!$F$124*(1+2.78*('Cálculos'!$F$197+(($B$225)-$A191)*'Cálculos'!$F$98)/(('Cálculos'!$F$197+(($B$225)-$A191)*'Cálculos'!$F$98)+1400)+'Cálculos'!$F$122)*'Cálculos'!$F$230+'Cálculos'!$F$125*(1+2.78*('Cálculos'!$F$197+(($B$225)-$A191)*'Cálculos'!$F$98)/(('Cálculos'!$F$197+(($B$225)-$A191)*'Cálculos'!$F$98)+1400)+'Cálculos'!$F$123)*'Cálculos'!$F$235)+('Cálculos'!$F$201*(1+'Cálculos'!$F$202+$A191*('Cálculos'!$F$290=2)*'Cálculos'!$F$101)+'Cálculos'!$F$203)*('Cálculos'!$F$226+'Cálculos'!$F$124*(1+2.78*('Cálculos'!$F$197+(($B$225)-$A191)*'Cálculos'!$F$98)/(('Cálculos'!$F$197+(($B$225)-$A191)*'Cálculos'!$F$98)+1400)+'Cálculos'!$F$122)*'Cálculos'!$F$231+'Cálculos'!$F$125*(1+2.78*('Cálculos'!$F$197+(($B$225)-$A191)*'Cálculos'!$F$98)/(('Cálculos'!$F$197+(($B$225)-$A191)*'Cálculos'!$F$98)+1400)+'Cálculos'!$F$123)*'Cálculos'!$F$236)+('Cálculos'!$F$204*(1+'Cálculos'!$F$205+$A191*('Cálculos'!$F$290=3)*'Cálculos'!$F$103)+'Cálculos'!$F$206)*('Cálculos'!$F$227+'Cálculos'!$F$124*(1+2.78*('Cálculos'!$F$197+(($B$225)-$A191)*'Cálculos'!$F$98)/(('Cálculos'!$F$197+(($B$225)-$A191)*'Cálculos'!$F$98)+1400)+'Cálculos'!$F$122)*'Cálculos'!$F$232+'Cálculos'!$F$125*(1+2.78*('Cálculos'!$F$197+(($B$225)-$A191)*'Cálculos'!$F$98)/(('Cálculos'!$F$197+(($B$225)-$A191)*'Cálculos'!$F$98)+1400)+'Cálculos'!$F$123)*'Cálculos'!$F$237)+('Cálculos'!$F$185*(1+'Cálculos'!$F$188+$A191*('Cálculos'!$F$290=1)*'Cálculos'!$F$97+'Cálculos'!$F$305)+'Cálculos'!$F$193)*('Cálculos'!$F$239+'Cálculos'!$F$124*(1+2.78*('Cálculos'!$F$198+(($B$225)-$A191)*'Cálculos'!$F$98)/(('Cálculos'!$F$198+(($B$225)-$A191)*'Cálculos'!$F$98)+1400)+'Cálculos'!$F$122)*'Cálculos'!$F$244+'Cálculos'!$F$125*(1+2.78*('Cálculos'!$F$198+(($B$225)-$A191)*'Cálculos'!$F$98)/(('Cálculos'!$F$198+(($B$225)-$A191)*'Cálculos'!$F$98)+1400)+'Cálculos'!$F$123)*'Cálculos'!$F$249)+('Cálculos'!$F$198+(($B$225)-$A191)*'Cálculos'!$F$98)*('Cálculos'!$F$240+'Cálculos'!$F$124*(1+2.78*('Cálculos'!$F$198+(($B$225)-$A191)*'Cálculos'!$F$98)/(('Cálculos'!$F$198+(($B$225)-$A191)*'Cálculos'!$F$98)+1400)+'Cálculos'!$F$122)*'Cálculos'!$F$245+'Cálculos'!$F$125*(1+2.78*('Cálculos'!$F$198+(($B$225)-$A191)*'Cálculos'!$F$98)/(('Cálculos'!$F$198+(($B$225)-$A191)*'Cálculos'!$F$98)+1400)+'Cálculos'!$F$123)*'Cálculos'!$F$250)+('Cálculos'!$F$201*(1+'Cálculos'!$F$202+$A191*('Cálculos'!$F$290=2)*'Cálculos'!$F$101)+'Cálculos'!$F$203)*('Cálculos'!$F$241+'Cálculos'!$F$124*(1+2.78*('Cálculos'!$F$198+(($B$225)-$A191)*'Cálculos'!$F$98)/(('Cálculos'!$F$198+(($B$225)-$A191)*'Cálculos'!$F$98)+1400)+'Cálculos'!$F$122)*'Cálculos'!$F$246+'Cálculos'!$F$125*(1+2.78*('Cálculos'!$F$198+(($B$225)-$A191)*'Cálculos'!$F$98)/(('Cálculos'!$F$198+(($B$225)-$A191)*'Cálculos'!$F$98)+1400)+'Cálculos'!$F$123)*'Cálculos'!$F$251)+('Cálculos'!$F$204*(1+'Cálculos'!$F$205+$A191*('Cálculos'!$F$290=3)*'Cálculos'!$F$103)+'Cálculos'!$F$206)*('Cálculos'!$F$242+'Cálculos'!$F$124*(1+2.78*('Cálculos'!$F$198+(($B$225)-$A191)*'Cálculos'!$F$98)/(('Cálculos'!$F$198+(($B$225)-$A191)*'Cálculos'!$F$98)+1400)+'Cálculos'!$F$122)*'Cálculos'!$F$247+'Cálculos'!$F$125*(1+2.78*('Cálculos'!$F$198+(($B$225)-$A191)*'Cálculos'!$F$98)/(('Cálculos'!$F$198+(($B$225)-$A191)*'Cálculos'!$F$98)+1400)+'Cálculos'!$F$123)*'Cálculos'!$F$252)+('Cálculos'!$F$185*(1+'Cálculos'!$F$189+$A191*('Cálculos'!$F$290=1)*'Cálculos'!$F$97+'Cálculos'!$F$305)+'Cálculos'!$F$194)*('Cálculos'!$F$254+'Cálculos'!$F$124*(1+2.78*('Cálculos'!$F$199+(($B$225)-$A191)*'Cálculos'!$F$98)/(('Cálculos'!$F$199+(($B$225)-$A191)*'Cálculos'!$F$98)+1400)+'Cálculos'!$F$122)*'Cálculos'!$F$259+'Cálculos'!$F$125*(1+2.78*('Cálculos'!$F$199+(($B$225)-$A191)*'Cálculos'!$F$98)/(('Cálculos'!$F$199+(($B$225)-$A191)*'Cálculos'!$F$98)+1400)+'Cálculos'!$F$123)*'Cálculos'!$F$264)+('Cálculos'!$F$199+(($B$225)-$A191)*'Cálculos'!$F$98)*('Cálculos'!$F$255+'Cálculos'!$F$124*(1+2.78*('Cálculos'!$F$199+(($B$225)-$A191)*'Cálculos'!$F$98)/(('Cálculos'!$F$199+(($B$225)-$A191)*'Cálculos'!$F$98)+1400)+'Cálculos'!$F$122)*'Cálculos'!$F$260+'Cálculos'!$F$125*(1+2.78*('Cálculos'!$F$199+(($B$225)-$A191)*'Cálculos'!$F$98)/(('Cálculos'!$F$199+(($B$225)-$A191)*'Cálculos'!$F$98)+1400)+'Cálculos'!$F$123)*'Cálculos'!$F$265)+('Cálculos'!$F$201*(1+'Cálculos'!$F$202+$A191*('Cálculos'!$F$290=2)*'Cálculos'!$F$101)+'Cálculos'!$F$203)*('Cálculos'!$F$256+'Cálculos'!$F$124*(1+2.78*('Cálculos'!$F$199+(($B$225)-$A191)*'Cálculos'!$F$98)/(('Cálculos'!$F$199+(($B$225)-$A191)*'Cálculos'!$F$98)+1400)+'Cálculos'!$F$122)*'Cálculos'!$F$261+'Cálculos'!$F$125*(1+2.78*('Cálculos'!$F$199+(($B$225)-$A191)*'Cálculos'!$F$98)/(('Cálculos'!$F$199+(($B$225)-$A191)*'Cálculos'!$F$98)+1400)+'Cálculos'!$F$123)*'Cálculos'!$F$266)+('Cálculos'!$F$204*(1+'Cálculos'!$F$205+$A191*('Cálculos'!$F$290=3)*'Cálculos'!$F$103)+'Cálculos'!$F$206)*('Cálculos'!$F$257+'Cálculos'!$F$124*(1+2.78*('Cálculos'!$F$199+(($B$225)-$A191)*'Cálculos'!$F$98)/(('Cálculos'!$F$199+(($B$225)-$A191)*'Cálculos'!$F$98)+1400)+'Cálculos'!$F$122)*'Cálculos'!$F$262+'Cálculos'!$F$125*(1+2.78*('Cálculos'!$F$199+(($B$225)-$A191)*'Cálculos'!$F$98)/(('Cálculos'!$F$199+(($B$225)-$A191)*'Cálculos'!$F$98)+1400)+'Cálculos'!$F$123)*'Cálculos'!$F$267)+('Cálculos'!$F$185*(1+'Cálculos'!$F$190+$A191*('Cálculos'!$F$290=1)*'Cálculos'!$F$97+'Cálculos'!$F$305)+'Cálculos'!$F$195)*('Cálculos'!$F$269+'Cálculos'!$F$124*(1+2.78*('Cálculos'!$F$200+(($B$225)-$A191)*'Cálculos'!$F$98)/(('Cálculos'!$F$200+(($B$225)-$A191)*'Cálculos'!$F$98)+1400)+'Cálculos'!$F$122)*'Cálculos'!$F$274+'Cálculos'!$F$125*(1+2.78*('Cálculos'!$F$200+(($B$225)-$A191)*'Cálculos'!$F$98)/(('Cálculos'!$F$200+(($B$225)-$A191)*'Cálculos'!$F$98)+1400)+'Cálculos'!$F$123)*'Cálculos'!$F$279)+('Cálculos'!$F$200+(($B$225)-$A191)*'Cálculos'!$F$98)*('Cálculos'!$F$270+'Cálculos'!$F$124*(1+2.78*('Cálculos'!$F$200+(($B$225)-$A191)*'Cálculos'!$F$98)/(('Cálculos'!$F$200+(($B$225)-$A191)*'Cálculos'!$F$98)+1400)+'Cálculos'!$F$122)*'Cálculos'!$F$275+'Cálculos'!$F$125*(1+2.78*('Cálculos'!$F$200+(($B$225)-$A191)*'Cálculos'!$F$98)/(('Cálculos'!$F$200+(($B$225)-$A191)*'Cálculos'!$F$98)+1400)+'Cálculos'!$F$123)*'Cálculos'!$F$280)+('Cálculos'!$F$201*(1+'Cálculos'!$F$202+$A191*('Cálculos'!$F$290=2)*'Cálculos'!$F$101)+'Cálculos'!$F$203)*('Cálculos'!$F$271+'Cálculos'!$F$124*(1+2.78*('Cálculos'!$F$200+(($B$225)-$A191)*'Cálculos'!$F$98)/(('Cálculos'!$F$200+(($B$225)-$A191)*'Cálculos'!$F$98)+1400)+'Cálculos'!$F$122)*'Cálculos'!$F$276+'Cálculos'!$F$125*(1+2.78*('Cálculos'!$F$200+(($B$225)-$A191)*'Cálculos'!$F$98)/(('Cálculos'!$F$200+(($B$225)-$A191)*'Cálculos'!$F$98)+1400)+'Cálculos'!$F$123)*'Cálculos'!$F$281)+('Cálculos'!$F$204*(1+'Cálculos'!$F$205+$A191*('Cálculos'!$F$290=3)*'Cálculos'!$F$103)+'Cálculos'!$F$206)*('Cálculos'!$F$272+'Cálculos'!$F$124*(1+2.78*('Cálculos'!$F$200+(($B$225)-$A191)*'Cálculos'!$F$98)/(('Cálculos'!$F$200+(($B$225)-$A191)*'Cálculos'!$F$98)+1400)+'Cálculos'!$F$122)*'Cálculos'!$F$277+'Cálculos'!$F$125*(1+2.78*('Cálculos'!$F$200+(($B$225)-$A191)*'Cálculos'!$F$98)/(('Cálculos'!$F$200+(($B$225)-$A191)*'Cálculos'!$F$98)+1400)+'Cálculos'!$F$123)*'Cálculos'!$F$282)))</f>
        <v>0</v>
      </c>
    </row>
    <row r="192" ht="15.75" customHeight="1">
      <c r="A192" s="2">
        <v>15.0</v>
      </c>
      <c r="B192" s="30">
        <f>SUMPRODUCT(MAX(($A$177:$A$222&lt;=$A192)*($A$177:$A$222&lt;='Cálculos'!$F$294)*(($A192)-$A$177:$A$222&lt;='Cálculos'!$F$295)*(1+(('Cálculos'!$F$207+$A$177:$A$222*'Cálculos'!$F$95)-(('Cálculos'!$F$207+$A$177:$A$222*'Cálculos'!$F$95)&gt;1)*(('Cálculos'!$F$207+$A$177:$A$222*'Cálculos'!$F$95)-1))*('Cálculos'!$F$208+(($A192)-$A$177:$A$222)*'Cálculos'!$F$96))))</f>
        <v>2.21423</v>
      </c>
      <c r="C192" s="2">
        <f>'Cálculos'!$F$303-$A192</f>
        <v>3</v>
      </c>
      <c r="D192" s="31">
        <f>IF($C192&lt;0,0,SUMPRODUCT(MAX(($A$177:$A$222&lt;=$C192)*($A$177:$A$222&lt;='Cálculos'!$F$301)*(($C192)-$A$177:$A$222&lt;='Cálculos'!$F$297)*(('Cálculos'!$F$185*(1+'Cálculos'!$F$186+$A$177:$A$222*('Cálculos'!$F$290=1)*'Cálculos'!$F$97+'Cálculos'!$F$305)+'Cálculos'!$F$191)*('Cálculos'!$F$209+'Cálculos'!$F$124*(1+2.78*('Cálculos'!$F$196+(($C192)-$A$177:$A$222)*'Cálculos'!$F$98)/(('Cálculos'!$F$196+(($C192)-$A$177:$A$222)*'Cálculos'!$F$98)+1400)+'Cálculos'!$F$122)*'Cálculos'!$F$214+'Cálculos'!$F$125*(1+2.78*('Cálculos'!$F$196+(($C192)-$A$177:$A$222)*'Cálculos'!$F$98)/(('Cálculos'!$F$196+(($C192)-$A$177:$A$222)*'Cálculos'!$F$98)+1400)+'Cálculos'!$F$123)*'Cálculos'!$F$219)+('Cálculos'!$F$196+(($C192)-$A$177:$A$222)*'Cálculos'!$F$98)*('Cálculos'!$F$210+'Cálculos'!$F$124*(1+2.78*('Cálculos'!$F$196+(($C192)-$A$177:$A$222)*'Cálculos'!$F$98)/(('Cálculos'!$F$196+(($C192)-$A$177:$A$222)*'Cálculos'!$F$98)+1400)+'Cálculos'!$F$122)*'Cálculos'!$F$215+'Cálculos'!$F$125*(1+2.78*('Cálculos'!$F$196+(($C192)-$A$177:$A$222)*'Cálculos'!$F$98)/(('Cálculos'!$F$196+(($C192)-$A$177:$A$222)*'Cálculos'!$F$98)+1400)+'Cálculos'!$F$123)*'Cálculos'!$F$220)+('Cálculos'!$F$201*(1+'Cálculos'!$F$202+$A$177:$A$222*('Cálculos'!$F$290=2)*'Cálculos'!$F$101)+'Cálculos'!$F$203)*('Cálculos'!$F$211+'Cálculos'!$F$124*(1+2.78*('Cálculos'!$F$196+(($C192)-$A$177:$A$222)*'Cálculos'!$F$98)/(('Cálculos'!$F$196+(($C192)-$A$177:$A$222)*'Cálculos'!$F$98)+1400)+'Cálculos'!$F$122)*'Cálculos'!$F$216+'Cálculos'!$F$125*(1+2.78*('Cálculos'!$F$196+(($C192)-$A$177:$A$222)*'Cálculos'!$F$98)/(('Cálculos'!$F$196+(($C192)-$A$177:$A$222)*'Cálculos'!$F$98)+1400)+'Cálculos'!$F$123)*'Cálculos'!$F$221)+('Cálculos'!$F$204*(1+'Cálculos'!$F$205+$A$177:$A$222*('Cálculos'!$F$290=3)*'Cálculos'!$F$103)+'Cálculos'!$F$206)*('Cálculos'!$F$212+'Cálculos'!$F$124*(1+2.78*('Cálculos'!$F$196+(($C192)-$A$177:$A$222)*'Cálculos'!$F$98)/(('Cálculos'!$F$196+(($C192)-$A$177:$A$222)*'Cálculos'!$F$98)+1400)+'Cálculos'!$F$122)*'Cálculos'!$F$217+'Cálculos'!$F$125*(1+2.78*('Cálculos'!$F$196+(($C192)-$A$177:$A$222)*'Cálculos'!$F$98)/(('Cálculos'!$F$196+(($C192)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192)-$A$177:$A$222)*'Cálculos'!$F$98)/(('Cálculos'!$F$197+(($C192)-$A$177:$A$222)*'Cálculos'!$F$98)+1400)+'Cálculos'!$F$122)*'Cálculos'!$F$229+'Cálculos'!$F$125*(1+2.78*('Cálculos'!$F$197+(($C192)-$A$177:$A$222)*'Cálculos'!$F$98)/(('Cálculos'!$F$197+(($C192)-$A$177:$A$222)*'Cálculos'!$F$98)+1400)+'Cálculos'!$F$123)*'Cálculos'!$F$234)+('Cálculos'!$F$197+(($C192)-$A$177:$A$222)*'Cálculos'!$F$98)*('Cálculos'!$F$225+'Cálculos'!$F$124*(1+2.78*('Cálculos'!$F$197+(($C192)-$A$177:$A$222)*'Cálculos'!$F$98)/(('Cálculos'!$F$197+(($C192)-$A$177:$A$222)*'Cálculos'!$F$98)+1400)+'Cálculos'!$F$122)*'Cálculos'!$F$230+'Cálculos'!$F$125*(1+2.78*('Cálculos'!$F$197+(($C192)-$A$177:$A$222)*'Cálculos'!$F$98)/(('Cálculos'!$F$197+(($C192)-$A$177:$A$222)*'Cálculos'!$F$98)+1400)+'Cálculos'!$F$123)*'Cálculos'!$F$235)+('Cálculos'!$F$201*(1+'Cálculos'!$F$202+$A$177:$A$222*('Cálculos'!$F$290=2)*'Cálculos'!$F$101)+'Cálculos'!$F$203)*('Cálculos'!$F$226+'Cálculos'!$F$124*(1+2.78*('Cálculos'!$F$197+(($C192)-$A$177:$A$222)*'Cálculos'!$F$98)/(('Cálculos'!$F$197+(($C192)-$A$177:$A$222)*'Cálculos'!$F$98)+1400)+'Cálculos'!$F$122)*'Cálculos'!$F$231+'Cálculos'!$F$125*(1+2.78*('Cálculos'!$F$197+(($C192)-$A$177:$A$222)*'Cálculos'!$F$98)/(('Cálculos'!$F$197+(($C192)-$A$177:$A$222)*'Cálculos'!$F$98)+1400)+'Cálculos'!$F$123)*'Cálculos'!$F$236)+('Cálculos'!$F$204*(1+'Cálculos'!$F$205+$A$177:$A$222*('Cálculos'!$F$290=3)*'Cálculos'!$F$103)+'Cálculos'!$F$206)*('Cálculos'!$F$227+'Cálculos'!$F$124*(1+2.78*('Cálculos'!$F$197+(($C192)-$A$177:$A$222)*'Cálculos'!$F$98)/(('Cálculos'!$F$197+(($C192)-$A$177:$A$222)*'Cálculos'!$F$98)+1400)+'Cálculos'!$F$122)*'Cálculos'!$F$232+'Cálculos'!$F$125*(1+2.78*('Cálculos'!$F$197+(($C192)-$A$177:$A$222)*'Cálculos'!$F$98)/(('Cálculos'!$F$197+(($C192)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192)-$A$177:$A$222)*'Cálculos'!$F$98)/(('Cálculos'!$F$198+(($C192)-$A$177:$A$222)*'Cálculos'!$F$98)+1400)+'Cálculos'!$F$122)*'Cálculos'!$F$244+'Cálculos'!$F$125*(1+2.78*('Cálculos'!$F$198+(($C192)-$A$177:$A$222)*'Cálculos'!$F$98)/(('Cálculos'!$F$198+(($C192)-$A$177:$A$222)*'Cálculos'!$F$98)+1400)+'Cálculos'!$F$123)*'Cálculos'!$F$249)+('Cálculos'!$F$198+(($C192)-$A$177:$A$222)*'Cálculos'!$F$98)*('Cálculos'!$F$240+'Cálculos'!$F$124*(1+2.78*('Cálculos'!$F$198+(($C192)-$A$177:$A$222)*'Cálculos'!$F$98)/(('Cálculos'!$F$198+(($C192)-$A$177:$A$222)*'Cálculos'!$F$98)+1400)+'Cálculos'!$F$122)*'Cálculos'!$F$245+'Cálculos'!$F$125*(1+2.78*('Cálculos'!$F$198+(($C192)-$A$177:$A$222)*'Cálculos'!$F$98)/(('Cálculos'!$F$198+(($C192)-$A$177:$A$222)*'Cálculos'!$F$98)+1400)+'Cálculos'!$F$123)*'Cálculos'!$F$250)+('Cálculos'!$F$201*(1+'Cálculos'!$F$202+$A$177:$A$222*('Cálculos'!$F$290=2)*'Cálculos'!$F$101)+'Cálculos'!$F$203)*('Cálculos'!$F$241+'Cálculos'!$F$124*(1+2.78*('Cálculos'!$F$198+(($C192)-$A$177:$A$222)*'Cálculos'!$F$98)/(('Cálculos'!$F$198+(($C192)-$A$177:$A$222)*'Cálculos'!$F$98)+1400)+'Cálculos'!$F$122)*'Cálculos'!$F$246+'Cálculos'!$F$125*(1+2.78*('Cálculos'!$F$198+(($C192)-$A$177:$A$222)*'Cálculos'!$F$98)/(('Cálculos'!$F$198+(($C192)-$A$177:$A$222)*'Cálculos'!$F$98)+1400)+'Cálculos'!$F$123)*'Cálculos'!$F$251)+('Cálculos'!$F$204*(1+'Cálculos'!$F$205+$A$177:$A$222*('Cálculos'!$F$290=3)*'Cálculos'!$F$103)+'Cálculos'!$F$206)*('Cálculos'!$F$242+'Cálculos'!$F$124*(1+2.78*('Cálculos'!$F$198+(($C192)-$A$177:$A$222)*'Cálculos'!$F$98)/(('Cálculos'!$F$198+(($C192)-$A$177:$A$222)*'Cálculos'!$F$98)+1400)+'Cálculos'!$F$122)*'Cálculos'!$F$247+'Cálculos'!$F$125*(1+2.78*('Cálculos'!$F$198+(($C192)-$A$177:$A$222)*'Cálculos'!$F$98)/(('Cálculos'!$F$198+(($C192)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192)-$A$177:$A$222)*'Cálculos'!$F$98)/(('Cálculos'!$F$199+(($C192)-$A$177:$A$222)*'Cálculos'!$F$98)+1400)+'Cálculos'!$F$122)*'Cálculos'!$F$259+'Cálculos'!$F$125*(1+2.78*('Cálculos'!$F$199+(($C192)-$A$177:$A$222)*'Cálculos'!$F$98)/(('Cálculos'!$F$199+(($C192)-$A$177:$A$222)*'Cálculos'!$F$98)+1400)+'Cálculos'!$F$123)*'Cálculos'!$F$264)+('Cálculos'!$F$199+(($C192)-$A$177:$A$222)*'Cálculos'!$F$98)*('Cálculos'!$F$255+'Cálculos'!$F$124*(1+2.78*('Cálculos'!$F$199+(($C192)-$A$177:$A$222)*'Cálculos'!$F$98)/(('Cálculos'!$F$199+(($C192)-$A$177:$A$222)*'Cálculos'!$F$98)+1400)+'Cálculos'!$F$122)*'Cálculos'!$F$260+'Cálculos'!$F$125*(1+2.78*('Cálculos'!$F$199+(($C192)-$A$177:$A$222)*'Cálculos'!$F$98)/(('Cálculos'!$F$199+(($C192)-$A$177:$A$222)*'Cálculos'!$F$98)+1400)+'Cálculos'!$F$123)*'Cálculos'!$F$265)+('Cálculos'!$F$201*(1+'Cálculos'!$F$202+$A$177:$A$222*('Cálculos'!$F$290=2)*'Cálculos'!$F$101)+'Cálculos'!$F$203)*('Cálculos'!$F$256+'Cálculos'!$F$124*(1+2.78*('Cálculos'!$F$199+(($C192)-$A$177:$A$222)*'Cálculos'!$F$98)/(('Cálculos'!$F$199+(($C192)-$A$177:$A$222)*'Cálculos'!$F$98)+1400)+'Cálculos'!$F$122)*'Cálculos'!$F$261+'Cálculos'!$F$125*(1+2.78*('Cálculos'!$F$199+(($C192)-$A$177:$A$222)*'Cálculos'!$F$98)/(('Cálculos'!$F$199+(($C192)-$A$177:$A$222)*'Cálculos'!$F$98)+1400)+'Cálculos'!$F$123)*'Cálculos'!$F$266)+('Cálculos'!$F$204*(1+'Cálculos'!$F$205+$A$177:$A$222*('Cálculos'!$F$290=3)*'Cálculos'!$F$103)+'Cálculos'!$F$206)*('Cálculos'!$F$257+'Cálculos'!$F$124*(1+2.78*('Cálculos'!$F$199+(($C192)-$A$177:$A$222)*'Cálculos'!$F$98)/(('Cálculos'!$F$199+(($C192)-$A$177:$A$222)*'Cálculos'!$F$98)+1400)+'Cálculos'!$F$122)*'Cálculos'!$F$262+'Cálculos'!$F$125*(1+2.78*('Cálculos'!$F$199+(($C192)-$A$177:$A$222)*'Cálculos'!$F$98)/(('Cálculos'!$F$199+(($C192)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192)-$A$177:$A$222)*'Cálculos'!$F$98)/(('Cálculos'!$F$200+(($C192)-$A$177:$A$222)*'Cálculos'!$F$98)+1400)+'Cálculos'!$F$122)*'Cálculos'!$F$274+'Cálculos'!$F$125*(1+2.78*('Cálculos'!$F$200+(($C192)-$A$177:$A$222)*'Cálculos'!$F$98)/(('Cálculos'!$F$200+(($C192)-$A$177:$A$222)*'Cálculos'!$F$98)+1400)+'Cálculos'!$F$123)*'Cálculos'!$F$279)+('Cálculos'!$F$200+(($C192)-$A$177:$A$222)*'Cálculos'!$F$98)*('Cálculos'!$F$270+'Cálculos'!$F$124*(1+2.78*('Cálculos'!$F$200+(($C192)-$A$177:$A$222)*'Cálculos'!$F$98)/(('Cálculos'!$F$200+(($C192)-$A$177:$A$222)*'Cálculos'!$F$98)+1400)+'Cálculos'!$F$122)*'Cálculos'!$F$275+'Cálculos'!$F$125*(1+2.78*('Cálculos'!$F$200+(($C192)-$A$177:$A$222)*'Cálculos'!$F$98)/(('Cálculos'!$F$200+(($C192)-$A$177:$A$222)*'Cálculos'!$F$98)+1400)+'Cálculos'!$F$123)*'Cálculos'!$F$280)+('Cálculos'!$F$201*(1+'Cálculos'!$F$202+$A$177:$A$222*('Cálculos'!$F$290=2)*'Cálculos'!$F$101)+'Cálculos'!$F$203)*('Cálculos'!$F$271+'Cálculos'!$F$124*(1+2.78*('Cálculos'!$F$200+(($C192)-$A$177:$A$222)*'Cálculos'!$F$98)/(('Cálculos'!$F$200+(($C192)-$A$177:$A$222)*'Cálculos'!$F$98)+1400)+'Cálculos'!$F$122)*'Cálculos'!$F$276+'Cálculos'!$F$125*(1+2.78*('Cálculos'!$F$200+(($C192)-$A$177:$A$222)*'Cálculos'!$F$98)/(('Cálculos'!$F$200+(($C192)-$A$177:$A$222)*'Cálculos'!$F$98)+1400)+'Cálculos'!$F$123)*'Cálculos'!$F$281)+('Cálculos'!$F$204*(1+'Cálculos'!$F$205+$A$177:$A$222*('Cálculos'!$F$290=3)*'Cálculos'!$F$103)+'Cálculos'!$F$206)*('Cálculos'!$F$272+'Cálculos'!$F$124*(1+2.78*('Cálculos'!$F$200+(($C192)-$A$177:$A$222)*'Cálculos'!$F$98)/(('Cálculos'!$F$200+(($C192)-$A$177:$A$222)*'Cálculos'!$F$98)+1400)+'Cálculos'!$F$122)*'Cálculos'!$F$277+'Cálculos'!$F$125*(1+2.78*('Cálculos'!$F$200+(($C192)-$A$177:$A$222)*'Cálculos'!$F$98)/(('Cálculos'!$F$200+(($C192)-$A$177:$A$222)*'Cálculos'!$F$98)+1400)+'Cálculos'!$F$123)*'Cálculos'!$F$282)))))</f>
        <v>20017.06691</v>
      </c>
      <c r="E192" s="32">
        <f>IF(OR($C192&lt;0,'Cálculos'!$F$6=""),0,$B192*$D192)</f>
        <v>44322.39007</v>
      </c>
      <c r="F192" s="2"/>
      <c r="G192" s="30">
        <f>($A192&lt;=$B$224)*($A192&lt;='Cálculos'!$F$294)*(($B$224)-$A192&lt;='Cálculos'!$F$295)*(1+MIN(('Cálculos'!$F$207+$A192*'Cálculos'!$F$95),1)*('Cálculos'!$F$208+(($B$224)-$A192)*'Cálculos'!$F$96))</f>
        <v>2.356262</v>
      </c>
      <c r="H192" s="31">
        <f>IF($B$225&lt;0,0,($A192&lt;=$B$225)*($A192&lt;='Cálculos'!$F$301)*(($B$225)-$A192&lt;='Cálculos'!$F$297)*(('Cálculos'!$F$185*(1+'Cálculos'!$F$186+$A192*('Cálculos'!$F$290=1)*'Cálculos'!$F$97+'Cálculos'!$F$305)+'Cálculos'!$F$191)*('Cálculos'!$F$209+'Cálculos'!$F$124*(1+2.78*('Cálculos'!$F$196+(($B$225)-$A192)*'Cálculos'!$F$98)/(('Cálculos'!$F$196+(($B$225)-$A192)*'Cálculos'!$F$98)+1400)+'Cálculos'!$F$122)*'Cálculos'!$F$214+'Cálculos'!$F$125*(1+2.78*('Cálculos'!$F$196+(($B$225)-$A192)*'Cálculos'!$F$98)/(('Cálculos'!$F$196+(($B$225)-$A192)*'Cálculos'!$F$98)+1400)+'Cálculos'!$F$123)*'Cálculos'!$F$219)+('Cálculos'!$F$196+(($B$225)-$A192)*'Cálculos'!$F$98)*('Cálculos'!$F$210+'Cálculos'!$F$124*(1+2.78*('Cálculos'!$F$196+(($B$225)-$A192)*'Cálculos'!$F$98)/(('Cálculos'!$F$196+(($B$225)-$A192)*'Cálculos'!$F$98)+1400)+'Cálculos'!$F$122)*'Cálculos'!$F$215+'Cálculos'!$F$125*(1+2.78*('Cálculos'!$F$196+(($B$225)-$A192)*'Cálculos'!$F$98)/(('Cálculos'!$F$196+(($B$225)-$A192)*'Cálculos'!$F$98)+1400)+'Cálculos'!$F$123)*'Cálculos'!$F$220)+('Cálculos'!$F$201*(1+'Cálculos'!$F$202+$A192*('Cálculos'!$F$290=2)*'Cálculos'!$F$101)+'Cálculos'!$F$203)*('Cálculos'!$F$211+'Cálculos'!$F$124*(1+2.78*('Cálculos'!$F$196+(($B$225)-$A192)*'Cálculos'!$F$98)/(('Cálculos'!$F$196+(($B$225)-$A192)*'Cálculos'!$F$98)+1400)+'Cálculos'!$F$122)*'Cálculos'!$F$216+'Cálculos'!$F$125*(1+2.78*('Cálculos'!$F$196+(($B$225)-$A192)*'Cálculos'!$F$98)/(('Cálculos'!$F$196+(($B$225)-$A192)*'Cálculos'!$F$98)+1400)+'Cálculos'!$F$123)*'Cálculos'!$F$221)+('Cálculos'!$F$204*(1+'Cálculos'!$F$205+$A192*('Cálculos'!$F$290=3)*'Cálculos'!$F$103)+'Cálculos'!$F$206)*('Cálculos'!$F$212+'Cálculos'!$F$124*(1+2.78*('Cálculos'!$F$196+(($B$225)-$A192)*'Cálculos'!$F$98)/(('Cálculos'!$F$196+(($B$225)-$A192)*'Cálculos'!$F$98)+1400)+'Cálculos'!$F$122)*'Cálculos'!$F$217+'Cálculos'!$F$125*(1+2.78*('Cálculos'!$F$196+(($B$225)-$A192)*'Cálculos'!$F$98)/(('Cálculos'!$F$196+(($B$225)-$A192)*'Cálculos'!$F$98)+1400)+'Cálculos'!$F$123)*'Cálculos'!$F$222)+('Cálculos'!$F$185*(1+'Cálculos'!$F$187+$A192*('Cálculos'!$F$290=1)*'Cálculos'!$F$97+'Cálculos'!$F$305)+'Cálculos'!$F$192)*('Cálculos'!$F$224+'Cálculos'!$F$124*(1+2.78*('Cálculos'!$F$197+(($B$225)-$A192)*'Cálculos'!$F$98)/(('Cálculos'!$F$197+(($B$225)-$A192)*'Cálculos'!$F$98)+1400)+'Cálculos'!$F$122)*'Cálculos'!$F$229+'Cálculos'!$F$125*(1+2.78*('Cálculos'!$F$197+(($B$225)-$A192)*'Cálculos'!$F$98)/(('Cálculos'!$F$197+(($B$225)-$A192)*'Cálculos'!$F$98)+1400)+'Cálculos'!$F$123)*'Cálculos'!$F$234)+('Cálculos'!$F$197+(($B$225)-$A192)*'Cálculos'!$F$98)*('Cálculos'!$F$225+'Cálculos'!$F$124*(1+2.78*('Cálculos'!$F$197+(($B$225)-$A192)*'Cálculos'!$F$98)/(('Cálculos'!$F$197+(($B$225)-$A192)*'Cálculos'!$F$98)+1400)+'Cálculos'!$F$122)*'Cálculos'!$F$230+'Cálculos'!$F$125*(1+2.78*('Cálculos'!$F$197+(($B$225)-$A192)*'Cálculos'!$F$98)/(('Cálculos'!$F$197+(($B$225)-$A192)*'Cálculos'!$F$98)+1400)+'Cálculos'!$F$123)*'Cálculos'!$F$235)+('Cálculos'!$F$201*(1+'Cálculos'!$F$202+$A192*('Cálculos'!$F$290=2)*'Cálculos'!$F$101)+'Cálculos'!$F$203)*('Cálculos'!$F$226+'Cálculos'!$F$124*(1+2.78*('Cálculos'!$F$197+(($B$225)-$A192)*'Cálculos'!$F$98)/(('Cálculos'!$F$197+(($B$225)-$A192)*'Cálculos'!$F$98)+1400)+'Cálculos'!$F$122)*'Cálculos'!$F$231+'Cálculos'!$F$125*(1+2.78*('Cálculos'!$F$197+(($B$225)-$A192)*'Cálculos'!$F$98)/(('Cálculos'!$F$197+(($B$225)-$A192)*'Cálculos'!$F$98)+1400)+'Cálculos'!$F$123)*'Cálculos'!$F$236)+('Cálculos'!$F$204*(1+'Cálculos'!$F$205+$A192*('Cálculos'!$F$290=3)*'Cálculos'!$F$103)+'Cálculos'!$F$206)*('Cálculos'!$F$227+'Cálculos'!$F$124*(1+2.78*('Cálculos'!$F$197+(($B$225)-$A192)*'Cálculos'!$F$98)/(('Cálculos'!$F$197+(($B$225)-$A192)*'Cálculos'!$F$98)+1400)+'Cálculos'!$F$122)*'Cálculos'!$F$232+'Cálculos'!$F$125*(1+2.78*('Cálculos'!$F$197+(($B$225)-$A192)*'Cálculos'!$F$98)/(('Cálculos'!$F$197+(($B$225)-$A192)*'Cálculos'!$F$98)+1400)+'Cálculos'!$F$123)*'Cálculos'!$F$237)+('Cálculos'!$F$185*(1+'Cálculos'!$F$188+$A192*('Cálculos'!$F$290=1)*'Cálculos'!$F$97+'Cálculos'!$F$305)+'Cálculos'!$F$193)*('Cálculos'!$F$239+'Cálculos'!$F$124*(1+2.78*('Cálculos'!$F$198+(($B$225)-$A192)*'Cálculos'!$F$98)/(('Cálculos'!$F$198+(($B$225)-$A192)*'Cálculos'!$F$98)+1400)+'Cálculos'!$F$122)*'Cálculos'!$F$244+'Cálculos'!$F$125*(1+2.78*('Cálculos'!$F$198+(($B$225)-$A192)*'Cálculos'!$F$98)/(('Cálculos'!$F$198+(($B$225)-$A192)*'Cálculos'!$F$98)+1400)+'Cálculos'!$F$123)*'Cálculos'!$F$249)+('Cálculos'!$F$198+(($B$225)-$A192)*'Cálculos'!$F$98)*('Cálculos'!$F$240+'Cálculos'!$F$124*(1+2.78*('Cálculos'!$F$198+(($B$225)-$A192)*'Cálculos'!$F$98)/(('Cálculos'!$F$198+(($B$225)-$A192)*'Cálculos'!$F$98)+1400)+'Cálculos'!$F$122)*'Cálculos'!$F$245+'Cálculos'!$F$125*(1+2.78*('Cálculos'!$F$198+(($B$225)-$A192)*'Cálculos'!$F$98)/(('Cálculos'!$F$198+(($B$225)-$A192)*'Cálculos'!$F$98)+1400)+'Cálculos'!$F$123)*'Cálculos'!$F$250)+('Cálculos'!$F$201*(1+'Cálculos'!$F$202+$A192*('Cálculos'!$F$290=2)*'Cálculos'!$F$101)+'Cálculos'!$F$203)*('Cálculos'!$F$241+'Cálculos'!$F$124*(1+2.78*('Cálculos'!$F$198+(($B$225)-$A192)*'Cálculos'!$F$98)/(('Cálculos'!$F$198+(($B$225)-$A192)*'Cálculos'!$F$98)+1400)+'Cálculos'!$F$122)*'Cálculos'!$F$246+'Cálculos'!$F$125*(1+2.78*('Cálculos'!$F$198+(($B$225)-$A192)*'Cálculos'!$F$98)/(('Cálculos'!$F$198+(($B$225)-$A192)*'Cálculos'!$F$98)+1400)+'Cálculos'!$F$123)*'Cálculos'!$F$251)+('Cálculos'!$F$204*(1+'Cálculos'!$F$205+$A192*('Cálculos'!$F$290=3)*'Cálculos'!$F$103)+'Cálculos'!$F$206)*('Cálculos'!$F$242+'Cálculos'!$F$124*(1+2.78*('Cálculos'!$F$198+(($B$225)-$A192)*'Cálculos'!$F$98)/(('Cálculos'!$F$198+(($B$225)-$A192)*'Cálculos'!$F$98)+1400)+'Cálculos'!$F$122)*'Cálculos'!$F$247+'Cálculos'!$F$125*(1+2.78*('Cálculos'!$F$198+(($B$225)-$A192)*'Cálculos'!$F$98)/(('Cálculos'!$F$198+(($B$225)-$A192)*'Cálculos'!$F$98)+1400)+'Cálculos'!$F$123)*'Cálculos'!$F$252)+('Cálculos'!$F$185*(1+'Cálculos'!$F$189+$A192*('Cálculos'!$F$290=1)*'Cálculos'!$F$97+'Cálculos'!$F$305)+'Cálculos'!$F$194)*('Cálculos'!$F$254+'Cálculos'!$F$124*(1+2.78*('Cálculos'!$F$199+(($B$225)-$A192)*'Cálculos'!$F$98)/(('Cálculos'!$F$199+(($B$225)-$A192)*'Cálculos'!$F$98)+1400)+'Cálculos'!$F$122)*'Cálculos'!$F$259+'Cálculos'!$F$125*(1+2.78*('Cálculos'!$F$199+(($B$225)-$A192)*'Cálculos'!$F$98)/(('Cálculos'!$F$199+(($B$225)-$A192)*'Cálculos'!$F$98)+1400)+'Cálculos'!$F$123)*'Cálculos'!$F$264)+('Cálculos'!$F$199+(($B$225)-$A192)*'Cálculos'!$F$98)*('Cálculos'!$F$255+'Cálculos'!$F$124*(1+2.78*('Cálculos'!$F$199+(($B$225)-$A192)*'Cálculos'!$F$98)/(('Cálculos'!$F$199+(($B$225)-$A192)*'Cálculos'!$F$98)+1400)+'Cálculos'!$F$122)*'Cálculos'!$F$260+'Cálculos'!$F$125*(1+2.78*('Cálculos'!$F$199+(($B$225)-$A192)*'Cálculos'!$F$98)/(('Cálculos'!$F$199+(($B$225)-$A192)*'Cálculos'!$F$98)+1400)+'Cálculos'!$F$123)*'Cálculos'!$F$265)+('Cálculos'!$F$201*(1+'Cálculos'!$F$202+$A192*('Cálculos'!$F$290=2)*'Cálculos'!$F$101)+'Cálculos'!$F$203)*('Cálculos'!$F$256+'Cálculos'!$F$124*(1+2.78*('Cálculos'!$F$199+(($B$225)-$A192)*'Cálculos'!$F$98)/(('Cálculos'!$F$199+(($B$225)-$A192)*'Cálculos'!$F$98)+1400)+'Cálculos'!$F$122)*'Cálculos'!$F$261+'Cálculos'!$F$125*(1+2.78*('Cálculos'!$F$199+(($B$225)-$A192)*'Cálculos'!$F$98)/(('Cálculos'!$F$199+(($B$225)-$A192)*'Cálculos'!$F$98)+1400)+'Cálculos'!$F$123)*'Cálculos'!$F$266)+('Cálculos'!$F$204*(1+'Cálculos'!$F$205+$A192*('Cálculos'!$F$290=3)*'Cálculos'!$F$103)+'Cálculos'!$F$206)*('Cálculos'!$F$257+'Cálculos'!$F$124*(1+2.78*('Cálculos'!$F$199+(($B$225)-$A192)*'Cálculos'!$F$98)/(('Cálculos'!$F$199+(($B$225)-$A192)*'Cálculos'!$F$98)+1400)+'Cálculos'!$F$122)*'Cálculos'!$F$262+'Cálculos'!$F$125*(1+2.78*('Cálculos'!$F$199+(($B$225)-$A192)*'Cálculos'!$F$98)/(('Cálculos'!$F$199+(($B$225)-$A192)*'Cálculos'!$F$98)+1400)+'Cálculos'!$F$123)*'Cálculos'!$F$267)+('Cálculos'!$F$185*(1+'Cálculos'!$F$190+$A192*('Cálculos'!$F$290=1)*'Cálculos'!$F$97+'Cálculos'!$F$305)+'Cálculos'!$F$195)*('Cálculos'!$F$269+'Cálculos'!$F$124*(1+2.78*('Cálculos'!$F$200+(($B$225)-$A192)*'Cálculos'!$F$98)/(('Cálculos'!$F$200+(($B$225)-$A192)*'Cálculos'!$F$98)+1400)+'Cálculos'!$F$122)*'Cálculos'!$F$274+'Cálculos'!$F$125*(1+2.78*('Cálculos'!$F$200+(($B$225)-$A192)*'Cálculos'!$F$98)/(('Cálculos'!$F$200+(($B$225)-$A192)*'Cálculos'!$F$98)+1400)+'Cálculos'!$F$123)*'Cálculos'!$F$279)+('Cálculos'!$F$200+(($B$225)-$A192)*'Cálculos'!$F$98)*('Cálculos'!$F$270+'Cálculos'!$F$124*(1+2.78*('Cálculos'!$F$200+(($B$225)-$A192)*'Cálculos'!$F$98)/(('Cálculos'!$F$200+(($B$225)-$A192)*'Cálculos'!$F$98)+1400)+'Cálculos'!$F$122)*'Cálculos'!$F$275+'Cálculos'!$F$125*(1+2.78*('Cálculos'!$F$200+(($B$225)-$A192)*'Cálculos'!$F$98)/(('Cálculos'!$F$200+(($B$225)-$A192)*'Cálculos'!$F$98)+1400)+'Cálculos'!$F$123)*'Cálculos'!$F$280)+('Cálculos'!$F$201*(1+'Cálculos'!$F$202+$A192*('Cálculos'!$F$290=2)*'Cálculos'!$F$101)+'Cálculos'!$F$203)*('Cálculos'!$F$271+'Cálculos'!$F$124*(1+2.78*('Cálculos'!$F$200+(($B$225)-$A192)*'Cálculos'!$F$98)/(('Cálculos'!$F$200+(($B$225)-$A192)*'Cálculos'!$F$98)+1400)+'Cálculos'!$F$122)*'Cálculos'!$F$276+'Cálculos'!$F$125*(1+2.78*('Cálculos'!$F$200+(($B$225)-$A192)*'Cálculos'!$F$98)/(('Cálculos'!$F$200+(($B$225)-$A192)*'Cálculos'!$F$98)+1400)+'Cálculos'!$F$123)*'Cálculos'!$F$281)+('Cálculos'!$F$204*(1+'Cálculos'!$F$205+$A192*('Cálculos'!$F$290=3)*'Cálculos'!$F$103)+'Cálculos'!$F$206)*('Cálculos'!$F$272+'Cálculos'!$F$124*(1+2.78*('Cálculos'!$F$200+(($B$225)-$A192)*'Cálculos'!$F$98)/(('Cálculos'!$F$200+(($B$225)-$A192)*'Cálculos'!$F$98)+1400)+'Cálculos'!$F$122)*'Cálculos'!$F$277+'Cálculos'!$F$125*(1+2.78*('Cálculos'!$F$200+(($B$225)-$A192)*'Cálculos'!$F$98)/(('Cálculos'!$F$200+(($B$225)-$A192)*'Cálculos'!$F$98)+1400)+'Cálculos'!$F$123)*'Cálculos'!$F$282)))</f>
        <v>0</v>
      </c>
    </row>
    <row r="193" ht="15.75" customHeight="1">
      <c r="A193" s="2">
        <v>16.0</v>
      </c>
      <c r="B193" s="30">
        <f>SUMPRODUCT(MAX(($A$177:$A$222&lt;=$A193)*($A$177:$A$222&lt;='Cálculos'!$F$294)*(($A193)-$A$177:$A$222&lt;='Cálculos'!$F$295)*(1+(('Cálculos'!$F$207+$A$177:$A$222*'Cálculos'!$F$95)-(('Cálculos'!$F$207+$A$177:$A$222*'Cálculos'!$F$95)&gt;1)*(('Cálculos'!$F$207+$A$177:$A$222*'Cálculos'!$F$95)-1))*('Cálculos'!$F$208+(($A193)-$A$177:$A$222)*'Cálculos'!$F$96))))</f>
        <v>2.26637</v>
      </c>
      <c r="C193" s="2">
        <f>'Cálculos'!$F$303-$A193</f>
        <v>2</v>
      </c>
      <c r="D193" s="31">
        <f>IF($C193&lt;0,0,SUMPRODUCT(MAX(($A$177:$A$222&lt;=$C193)*($A$177:$A$222&lt;='Cálculos'!$F$301)*(($C193)-$A$177:$A$222&lt;='Cálculos'!$F$297)*(('Cálculos'!$F$185*(1+'Cálculos'!$F$186+$A$177:$A$222*('Cálculos'!$F$290=1)*'Cálculos'!$F$97+'Cálculos'!$F$305)+'Cálculos'!$F$191)*('Cálculos'!$F$209+'Cálculos'!$F$124*(1+2.78*('Cálculos'!$F$196+(($C193)-$A$177:$A$222)*'Cálculos'!$F$98)/(('Cálculos'!$F$196+(($C193)-$A$177:$A$222)*'Cálculos'!$F$98)+1400)+'Cálculos'!$F$122)*'Cálculos'!$F$214+'Cálculos'!$F$125*(1+2.78*('Cálculos'!$F$196+(($C193)-$A$177:$A$222)*'Cálculos'!$F$98)/(('Cálculos'!$F$196+(($C193)-$A$177:$A$222)*'Cálculos'!$F$98)+1400)+'Cálculos'!$F$123)*'Cálculos'!$F$219)+('Cálculos'!$F$196+(($C193)-$A$177:$A$222)*'Cálculos'!$F$98)*('Cálculos'!$F$210+'Cálculos'!$F$124*(1+2.78*('Cálculos'!$F$196+(($C193)-$A$177:$A$222)*'Cálculos'!$F$98)/(('Cálculos'!$F$196+(($C193)-$A$177:$A$222)*'Cálculos'!$F$98)+1400)+'Cálculos'!$F$122)*'Cálculos'!$F$215+'Cálculos'!$F$125*(1+2.78*('Cálculos'!$F$196+(($C193)-$A$177:$A$222)*'Cálculos'!$F$98)/(('Cálculos'!$F$196+(($C193)-$A$177:$A$222)*'Cálculos'!$F$98)+1400)+'Cálculos'!$F$123)*'Cálculos'!$F$220)+('Cálculos'!$F$201*(1+'Cálculos'!$F$202+$A$177:$A$222*('Cálculos'!$F$290=2)*'Cálculos'!$F$101)+'Cálculos'!$F$203)*('Cálculos'!$F$211+'Cálculos'!$F$124*(1+2.78*('Cálculos'!$F$196+(($C193)-$A$177:$A$222)*'Cálculos'!$F$98)/(('Cálculos'!$F$196+(($C193)-$A$177:$A$222)*'Cálculos'!$F$98)+1400)+'Cálculos'!$F$122)*'Cálculos'!$F$216+'Cálculos'!$F$125*(1+2.78*('Cálculos'!$F$196+(($C193)-$A$177:$A$222)*'Cálculos'!$F$98)/(('Cálculos'!$F$196+(($C193)-$A$177:$A$222)*'Cálculos'!$F$98)+1400)+'Cálculos'!$F$123)*'Cálculos'!$F$221)+('Cálculos'!$F$204*(1+'Cálculos'!$F$205+$A$177:$A$222*('Cálculos'!$F$290=3)*'Cálculos'!$F$103)+'Cálculos'!$F$206)*('Cálculos'!$F$212+'Cálculos'!$F$124*(1+2.78*('Cálculos'!$F$196+(($C193)-$A$177:$A$222)*'Cálculos'!$F$98)/(('Cálculos'!$F$196+(($C193)-$A$177:$A$222)*'Cálculos'!$F$98)+1400)+'Cálculos'!$F$122)*'Cálculos'!$F$217+'Cálculos'!$F$125*(1+2.78*('Cálculos'!$F$196+(($C193)-$A$177:$A$222)*'Cálculos'!$F$98)/(('Cálculos'!$F$196+(($C193)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193)-$A$177:$A$222)*'Cálculos'!$F$98)/(('Cálculos'!$F$197+(($C193)-$A$177:$A$222)*'Cálculos'!$F$98)+1400)+'Cálculos'!$F$122)*'Cálculos'!$F$229+'Cálculos'!$F$125*(1+2.78*('Cálculos'!$F$197+(($C193)-$A$177:$A$222)*'Cálculos'!$F$98)/(('Cálculos'!$F$197+(($C193)-$A$177:$A$222)*'Cálculos'!$F$98)+1400)+'Cálculos'!$F$123)*'Cálculos'!$F$234)+('Cálculos'!$F$197+(($C193)-$A$177:$A$222)*'Cálculos'!$F$98)*('Cálculos'!$F$225+'Cálculos'!$F$124*(1+2.78*('Cálculos'!$F$197+(($C193)-$A$177:$A$222)*'Cálculos'!$F$98)/(('Cálculos'!$F$197+(($C193)-$A$177:$A$222)*'Cálculos'!$F$98)+1400)+'Cálculos'!$F$122)*'Cálculos'!$F$230+'Cálculos'!$F$125*(1+2.78*('Cálculos'!$F$197+(($C193)-$A$177:$A$222)*'Cálculos'!$F$98)/(('Cálculos'!$F$197+(($C193)-$A$177:$A$222)*'Cálculos'!$F$98)+1400)+'Cálculos'!$F$123)*'Cálculos'!$F$235)+('Cálculos'!$F$201*(1+'Cálculos'!$F$202+$A$177:$A$222*('Cálculos'!$F$290=2)*'Cálculos'!$F$101)+'Cálculos'!$F$203)*('Cálculos'!$F$226+'Cálculos'!$F$124*(1+2.78*('Cálculos'!$F$197+(($C193)-$A$177:$A$222)*'Cálculos'!$F$98)/(('Cálculos'!$F$197+(($C193)-$A$177:$A$222)*'Cálculos'!$F$98)+1400)+'Cálculos'!$F$122)*'Cálculos'!$F$231+'Cálculos'!$F$125*(1+2.78*('Cálculos'!$F$197+(($C193)-$A$177:$A$222)*'Cálculos'!$F$98)/(('Cálculos'!$F$197+(($C193)-$A$177:$A$222)*'Cálculos'!$F$98)+1400)+'Cálculos'!$F$123)*'Cálculos'!$F$236)+('Cálculos'!$F$204*(1+'Cálculos'!$F$205+$A$177:$A$222*('Cálculos'!$F$290=3)*'Cálculos'!$F$103)+'Cálculos'!$F$206)*('Cálculos'!$F$227+'Cálculos'!$F$124*(1+2.78*('Cálculos'!$F$197+(($C193)-$A$177:$A$222)*'Cálculos'!$F$98)/(('Cálculos'!$F$197+(($C193)-$A$177:$A$222)*'Cálculos'!$F$98)+1400)+'Cálculos'!$F$122)*'Cálculos'!$F$232+'Cálculos'!$F$125*(1+2.78*('Cálculos'!$F$197+(($C193)-$A$177:$A$222)*'Cálculos'!$F$98)/(('Cálculos'!$F$197+(($C193)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193)-$A$177:$A$222)*'Cálculos'!$F$98)/(('Cálculos'!$F$198+(($C193)-$A$177:$A$222)*'Cálculos'!$F$98)+1400)+'Cálculos'!$F$122)*'Cálculos'!$F$244+'Cálculos'!$F$125*(1+2.78*('Cálculos'!$F$198+(($C193)-$A$177:$A$222)*'Cálculos'!$F$98)/(('Cálculos'!$F$198+(($C193)-$A$177:$A$222)*'Cálculos'!$F$98)+1400)+'Cálculos'!$F$123)*'Cálculos'!$F$249)+('Cálculos'!$F$198+(($C193)-$A$177:$A$222)*'Cálculos'!$F$98)*('Cálculos'!$F$240+'Cálculos'!$F$124*(1+2.78*('Cálculos'!$F$198+(($C193)-$A$177:$A$222)*'Cálculos'!$F$98)/(('Cálculos'!$F$198+(($C193)-$A$177:$A$222)*'Cálculos'!$F$98)+1400)+'Cálculos'!$F$122)*'Cálculos'!$F$245+'Cálculos'!$F$125*(1+2.78*('Cálculos'!$F$198+(($C193)-$A$177:$A$222)*'Cálculos'!$F$98)/(('Cálculos'!$F$198+(($C193)-$A$177:$A$222)*'Cálculos'!$F$98)+1400)+'Cálculos'!$F$123)*'Cálculos'!$F$250)+('Cálculos'!$F$201*(1+'Cálculos'!$F$202+$A$177:$A$222*('Cálculos'!$F$290=2)*'Cálculos'!$F$101)+'Cálculos'!$F$203)*('Cálculos'!$F$241+'Cálculos'!$F$124*(1+2.78*('Cálculos'!$F$198+(($C193)-$A$177:$A$222)*'Cálculos'!$F$98)/(('Cálculos'!$F$198+(($C193)-$A$177:$A$222)*'Cálculos'!$F$98)+1400)+'Cálculos'!$F$122)*'Cálculos'!$F$246+'Cálculos'!$F$125*(1+2.78*('Cálculos'!$F$198+(($C193)-$A$177:$A$222)*'Cálculos'!$F$98)/(('Cálculos'!$F$198+(($C193)-$A$177:$A$222)*'Cálculos'!$F$98)+1400)+'Cálculos'!$F$123)*'Cálculos'!$F$251)+('Cálculos'!$F$204*(1+'Cálculos'!$F$205+$A$177:$A$222*('Cálculos'!$F$290=3)*'Cálculos'!$F$103)+'Cálculos'!$F$206)*('Cálculos'!$F$242+'Cálculos'!$F$124*(1+2.78*('Cálculos'!$F$198+(($C193)-$A$177:$A$222)*'Cálculos'!$F$98)/(('Cálculos'!$F$198+(($C193)-$A$177:$A$222)*'Cálculos'!$F$98)+1400)+'Cálculos'!$F$122)*'Cálculos'!$F$247+'Cálculos'!$F$125*(1+2.78*('Cálculos'!$F$198+(($C193)-$A$177:$A$222)*'Cálculos'!$F$98)/(('Cálculos'!$F$198+(($C193)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193)-$A$177:$A$222)*'Cálculos'!$F$98)/(('Cálculos'!$F$199+(($C193)-$A$177:$A$222)*'Cálculos'!$F$98)+1400)+'Cálculos'!$F$122)*'Cálculos'!$F$259+'Cálculos'!$F$125*(1+2.78*('Cálculos'!$F$199+(($C193)-$A$177:$A$222)*'Cálculos'!$F$98)/(('Cálculos'!$F$199+(($C193)-$A$177:$A$222)*'Cálculos'!$F$98)+1400)+'Cálculos'!$F$123)*'Cálculos'!$F$264)+('Cálculos'!$F$199+(($C193)-$A$177:$A$222)*'Cálculos'!$F$98)*('Cálculos'!$F$255+'Cálculos'!$F$124*(1+2.78*('Cálculos'!$F$199+(($C193)-$A$177:$A$222)*'Cálculos'!$F$98)/(('Cálculos'!$F$199+(($C193)-$A$177:$A$222)*'Cálculos'!$F$98)+1400)+'Cálculos'!$F$122)*'Cálculos'!$F$260+'Cálculos'!$F$125*(1+2.78*('Cálculos'!$F$199+(($C193)-$A$177:$A$222)*'Cálculos'!$F$98)/(('Cálculos'!$F$199+(($C193)-$A$177:$A$222)*'Cálculos'!$F$98)+1400)+'Cálculos'!$F$123)*'Cálculos'!$F$265)+('Cálculos'!$F$201*(1+'Cálculos'!$F$202+$A$177:$A$222*('Cálculos'!$F$290=2)*'Cálculos'!$F$101)+'Cálculos'!$F$203)*('Cálculos'!$F$256+'Cálculos'!$F$124*(1+2.78*('Cálculos'!$F$199+(($C193)-$A$177:$A$222)*'Cálculos'!$F$98)/(('Cálculos'!$F$199+(($C193)-$A$177:$A$222)*'Cálculos'!$F$98)+1400)+'Cálculos'!$F$122)*'Cálculos'!$F$261+'Cálculos'!$F$125*(1+2.78*('Cálculos'!$F$199+(($C193)-$A$177:$A$222)*'Cálculos'!$F$98)/(('Cálculos'!$F$199+(($C193)-$A$177:$A$222)*'Cálculos'!$F$98)+1400)+'Cálculos'!$F$123)*'Cálculos'!$F$266)+('Cálculos'!$F$204*(1+'Cálculos'!$F$205+$A$177:$A$222*('Cálculos'!$F$290=3)*'Cálculos'!$F$103)+'Cálculos'!$F$206)*('Cálculos'!$F$257+'Cálculos'!$F$124*(1+2.78*('Cálculos'!$F$199+(($C193)-$A$177:$A$222)*'Cálculos'!$F$98)/(('Cálculos'!$F$199+(($C193)-$A$177:$A$222)*'Cálculos'!$F$98)+1400)+'Cálculos'!$F$122)*'Cálculos'!$F$262+'Cálculos'!$F$125*(1+2.78*('Cálculos'!$F$199+(($C193)-$A$177:$A$222)*'Cálculos'!$F$98)/(('Cálculos'!$F$199+(($C193)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193)-$A$177:$A$222)*'Cálculos'!$F$98)/(('Cálculos'!$F$200+(($C193)-$A$177:$A$222)*'Cálculos'!$F$98)+1400)+'Cálculos'!$F$122)*'Cálculos'!$F$274+'Cálculos'!$F$125*(1+2.78*('Cálculos'!$F$200+(($C193)-$A$177:$A$222)*'Cálculos'!$F$98)/(('Cálculos'!$F$200+(($C193)-$A$177:$A$222)*'Cálculos'!$F$98)+1400)+'Cálculos'!$F$123)*'Cálculos'!$F$279)+('Cálculos'!$F$200+(($C193)-$A$177:$A$222)*'Cálculos'!$F$98)*('Cálculos'!$F$270+'Cálculos'!$F$124*(1+2.78*('Cálculos'!$F$200+(($C193)-$A$177:$A$222)*'Cálculos'!$F$98)/(('Cálculos'!$F$200+(($C193)-$A$177:$A$222)*'Cálculos'!$F$98)+1400)+'Cálculos'!$F$122)*'Cálculos'!$F$275+'Cálculos'!$F$125*(1+2.78*('Cálculos'!$F$200+(($C193)-$A$177:$A$222)*'Cálculos'!$F$98)/(('Cálculos'!$F$200+(($C193)-$A$177:$A$222)*'Cálculos'!$F$98)+1400)+'Cálculos'!$F$123)*'Cálculos'!$F$280)+('Cálculos'!$F$201*(1+'Cálculos'!$F$202+$A$177:$A$222*('Cálculos'!$F$290=2)*'Cálculos'!$F$101)+'Cálculos'!$F$203)*('Cálculos'!$F$271+'Cálculos'!$F$124*(1+2.78*('Cálculos'!$F$200+(($C193)-$A$177:$A$222)*'Cálculos'!$F$98)/(('Cálculos'!$F$200+(($C193)-$A$177:$A$222)*'Cálculos'!$F$98)+1400)+'Cálculos'!$F$122)*'Cálculos'!$F$276+'Cálculos'!$F$125*(1+2.78*('Cálculos'!$F$200+(($C193)-$A$177:$A$222)*'Cálculos'!$F$98)/(('Cálculos'!$F$200+(($C193)-$A$177:$A$222)*'Cálculos'!$F$98)+1400)+'Cálculos'!$F$123)*'Cálculos'!$F$281)+('Cálculos'!$F$204*(1+'Cálculos'!$F$205+$A$177:$A$222*('Cálculos'!$F$290=3)*'Cálculos'!$F$103)+'Cálculos'!$F$206)*('Cálculos'!$F$272+'Cálculos'!$F$124*(1+2.78*('Cálculos'!$F$200+(($C193)-$A$177:$A$222)*'Cálculos'!$F$98)/(('Cálculos'!$F$200+(($C193)-$A$177:$A$222)*'Cálculos'!$F$98)+1400)+'Cálculos'!$F$122)*'Cálculos'!$F$277+'Cálculos'!$F$125*(1+2.78*('Cálculos'!$F$200+(($C193)-$A$177:$A$222)*'Cálculos'!$F$98)/(('Cálculos'!$F$200+(($C193)-$A$177:$A$222)*'Cálculos'!$F$98)+1400)+'Cálculos'!$F$123)*'Cálculos'!$F$282)))))</f>
        <v>19793.20932</v>
      </c>
      <c r="E193" s="32">
        <f>IF(OR($C193&lt;0,'Cálculos'!$F$6=""),0,$B193*$D193)</f>
        <v>44858.73581</v>
      </c>
      <c r="F193" s="2"/>
      <c r="G193" s="30">
        <f>($A193&lt;=$B$224)*($A193&lt;='Cálculos'!$F$294)*(($B$224)-$A193&lt;='Cálculos'!$F$295)*(1+MIN(('Cálculos'!$F$207+$A193*'Cálculos'!$F$95),1)*('Cálculos'!$F$208+(($B$224)-$A193)*'Cálculos'!$F$96))</f>
        <v>2.341775</v>
      </c>
      <c r="H193" s="31">
        <f>IF($B$225&lt;0,0,($A193&lt;=$B$225)*($A193&lt;='Cálculos'!$F$301)*(($B$225)-$A193&lt;='Cálculos'!$F$297)*(('Cálculos'!$F$185*(1+'Cálculos'!$F$186+$A193*('Cálculos'!$F$290=1)*'Cálculos'!$F$97+'Cálculos'!$F$305)+'Cálculos'!$F$191)*('Cálculos'!$F$209+'Cálculos'!$F$124*(1+2.78*('Cálculos'!$F$196+(($B$225)-$A193)*'Cálculos'!$F$98)/(('Cálculos'!$F$196+(($B$225)-$A193)*'Cálculos'!$F$98)+1400)+'Cálculos'!$F$122)*'Cálculos'!$F$214+'Cálculos'!$F$125*(1+2.78*('Cálculos'!$F$196+(($B$225)-$A193)*'Cálculos'!$F$98)/(('Cálculos'!$F$196+(($B$225)-$A193)*'Cálculos'!$F$98)+1400)+'Cálculos'!$F$123)*'Cálculos'!$F$219)+('Cálculos'!$F$196+(($B$225)-$A193)*'Cálculos'!$F$98)*('Cálculos'!$F$210+'Cálculos'!$F$124*(1+2.78*('Cálculos'!$F$196+(($B$225)-$A193)*'Cálculos'!$F$98)/(('Cálculos'!$F$196+(($B$225)-$A193)*'Cálculos'!$F$98)+1400)+'Cálculos'!$F$122)*'Cálculos'!$F$215+'Cálculos'!$F$125*(1+2.78*('Cálculos'!$F$196+(($B$225)-$A193)*'Cálculos'!$F$98)/(('Cálculos'!$F$196+(($B$225)-$A193)*'Cálculos'!$F$98)+1400)+'Cálculos'!$F$123)*'Cálculos'!$F$220)+('Cálculos'!$F$201*(1+'Cálculos'!$F$202+$A193*('Cálculos'!$F$290=2)*'Cálculos'!$F$101)+'Cálculos'!$F$203)*('Cálculos'!$F$211+'Cálculos'!$F$124*(1+2.78*('Cálculos'!$F$196+(($B$225)-$A193)*'Cálculos'!$F$98)/(('Cálculos'!$F$196+(($B$225)-$A193)*'Cálculos'!$F$98)+1400)+'Cálculos'!$F$122)*'Cálculos'!$F$216+'Cálculos'!$F$125*(1+2.78*('Cálculos'!$F$196+(($B$225)-$A193)*'Cálculos'!$F$98)/(('Cálculos'!$F$196+(($B$225)-$A193)*'Cálculos'!$F$98)+1400)+'Cálculos'!$F$123)*'Cálculos'!$F$221)+('Cálculos'!$F$204*(1+'Cálculos'!$F$205+$A193*('Cálculos'!$F$290=3)*'Cálculos'!$F$103)+'Cálculos'!$F$206)*('Cálculos'!$F$212+'Cálculos'!$F$124*(1+2.78*('Cálculos'!$F$196+(($B$225)-$A193)*'Cálculos'!$F$98)/(('Cálculos'!$F$196+(($B$225)-$A193)*'Cálculos'!$F$98)+1400)+'Cálculos'!$F$122)*'Cálculos'!$F$217+'Cálculos'!$F$125*(1+2.78*('Cálculos'!$F$196+(($B$225)-$A193)*'Cálculos'!$F$98)/(('Cálculos'!$F$196+(($B$225)-$A193)*'Cálculos'!$F$98)+1400)+'Cálculos'!$F$123)*'Cálculos'!$F$222)+('Cálculos'!$F$185*(1+'Cálculos'!$F$187+$A193*('Cálculos'!$F$290=1)*'Cálculos'!$F$97+'Cálculos'!$F$305)+'Cálculos'!$F$192)*('Cálculos'!$F$224+'Cálculos'!$F$124*(1+2.78*('Cálculos'!$F$197+(($B$225)-$A193)*'Cálculos'!$F$98)/(('Cálculos'!$F$197+(($B$225)-$A193)*'Cálculos'!$F$98)+1400)+'Cálculos'!$F$122)*'Cálculos'!$F$229+'Cálculos'!$F$125*(1+2.78*('Cálculos'!$F$197+(($B$225)-$A193)*'Cálculos'!$F$98)/(('Cálculos'!$F$197+(($B$225)-$A193)*'Cálculos'!$F$98)+1400)+'Cálculos'!$F$123)*'Cálculos'!$F$234)+('Cálculos'!$F$197+(($B$225)-$A193)*'Cálculos'!$F$98)*('Cálculos'!$F$225+'Cálculos'!$F$124*(1+2.78*('Cálculos'!$F$197+(($B$225)-$A193)*'Cálculos'!$F$98)/(('Cálculos'!$F$197+(($B$225)-$A193)*'Cálculos'!$F$98)+1400)+'Cálculos'!$F$122)*'Cálculos'!$F$230+'Cálculos'!$F$125*(1+2.78*('Cálculos'!$F$197+(($B$225)-$A193)*'Cálculos'!$F$98)/(('Cálculos'!$F$197+(($B$225)-$A193)*'Cálculos'!$F$98)+1400)+'Cálculos'!$F$123)*'Cálculos'!$F$235)+('Cálculos'!$F$201*(1+'Cálculos'!$F$202+$A193*('Cálculos'!$F$290=2)*'Cálculos'!$F$101)+'Cálculos'!$F$203)*('Cálculos'!$F$226+'Cálculos'!$F$124*(1+2.78*('Cálculos'!$F$197+(($B$225)-$A193)*'Cálculos'!$F$98)/(('Cálculos'!$F$197+(($B$225)-$A193)*'Cálculos'!$F$98)+1400)+'Cálculos'!$F$122)*'Cálculos'!$F$231+'Cálculos'!$F$125*(1+2.78*('Cálculos'!$F$197+(($B$225)-$A193)*'Cálculos'!$F$98)/(('Cálculos'!$F$197+(($B$225)-$A193)*'Cálculos'!$F$98)+1400)+'Cálculos'!$F$123)*'Cálculos'!$F$236)+('Cálculos'!$F$204*(1+'Cálculos'!$F$205+$A193*('Cálculos'!$F$290=3)*'Cálculos'!$F$103)+'Cálculos'!$F$206)*('Cálculos'!$F$227+'Cálculos'!$F$124*(1+2.78*('Cálculos'!$F$197+(($B$225)-$A193)*'Cálculos'!$F$98)/(('Cálculos'!$F$197+(($B$225)-$A193)*'Cálculos'!$F$98)+1400)+'Cálculos'!$F$122)*'Cálculos'!$F$232+'Cálculos'!$F$125*(1+2.78*('Cálculos'!$F$197+(($B$225)-$A193)*'Cálculos'!$F$98)/(('Cálculos'!$F$197+(($B$225)-$A193)*'Cálculos'!$F$98)+1400)+'Cálculos'!$F$123)*'Cálculos'!$F$237)+('Cálculos'!$F$185*(1+'Cálculos'!$F$188+$A193*('Cálculos'!$F$290=1)*'Cálculos'!$F$97+'Cálculos'!$F$305)+'Cálculos'!$F$193)*('Cálculos'!$F$239+'Cálculos'!$F$124*(1+2.78*('Cálculos'!$F$198+(($B$225)-$A193)*'Cálculos'!$F$98)/(('Cálculos'!$F$198+(($B$225)-$A193)*'Cálculos'!$F$98)+1400)+'Cálculos'!$F$122)*'Cálculos'!$F$244+'Cálculos'!$F$125*(1+2.78*('Cálculos'!$F$198+(($B$225)-$A193)*'Cálculos'!$F$98)/(('Cálculos'!$F$198+(($B$225)-$A193)*'Cálculos'!$F$98)+1400)+'Cálculos'!$F$123)*'Cálculos'!$F$249)+('Cálculos'!$F$198+(($B$225)-$A193)*'Cálculos'!$F$98)*('Cálculos'!$F$240+'Cálculos'!$F$124*(1+2.78*('Cálculos'!$F$198+(($B$225)-$A193)*'Cálculos'!$F$98)/(('Cálculos'!$F$198+(($B$225)-$A193)*'Cálculos'!$F$98)+1400)+'Cálculos'!$F$122)*'Cálculos'!$F$245+'Cálculos'!$F$125*(1+2.78*('Cálculos'!$F$198+(($B$225)-$A193)*'Cálculos'!$F$98)/(('Cálculos'!$F$198+(($B$225)-$A193)*'Cálculos'!$F$98)+1400)+'Cálculos'!$F$123)*'Cálculos'!$F$250)+('Cálculos'!$F$201*(1+'Cálculos'!$F$202+$A193*('Cálculos'!$F$290=2)*'Cálculos'!$F$101)+'Cálculos'!$F$203)*('Cálculos'!$F$241+'Cálculos'!$F$124*(1+2.78*('Cálculos'!$F$198+(($B$225)-$A193)*'Cálculos'!$F$98)/(('Cálculos'!$F$198+(($B$225)-$A193)*'Cálculos'!$F$98)+1400)+'Cálculos'!$F$122)*'Cálculos'!$F$246+'Cálculos'!$F$125*(1+2.78*('Cálculos'!$F$198+(($B$225)-$A193)*'Cálculos'!$F$98)/(('Cálculos'!$F$198+(($B$225)-$A193)*'Cálculos'!$F$98)+1400)+'Cálculos'!$F$123)*'Cálculos'!$F$251)+('Cálculos'!$F$204*(1+'Cálculos'!$F$205+$A193*('Cálculos'!$F$290=3)*'Cálculos'!$F$103)+'Cálculos'!$F$206)*('Cálculos'!$F$242+'Cálculos'!$F$124*(1+2.78*('Cálculos'!$F$198+(($B$225)-$A193)*'Cálculos'!$F$98)/(('Cálculos'!$F$198+(($B$225)-$A193)*'Cálculos'!$F$98)+1400)+'Cálculos'!$F$122)*'Cálculos'!$F$247+'Cálculos'!$F$125*(1+2.78*('Cálculos'!$F$198+(($B$225)-$A193)*'Cálculos'!$F$98)/(('Cálculos'!$F$198+(($B$225)-$A193)*'Cálculos'!$F$98)+1400)+'Cálculos'!$F$123)*'Cálculos'!$F$252)+('Cálculos'!$F$185*(1+'Cálculos'!$F$189+$A193*('Cálculos'!$F$290=1)*'Cálculos'!$F$97+'Cálculos'!$F$305)+'Cálculos'!$F$194)*('Cálculos'!$F$254+'Cálculos'!$F$124*(1+2.78*('Cálculos'!$F$199+(($B$225)-$A193)*'Cálculos'!$F$98)/(('Cálculos'!$F$199+(($B$225)-$A193)*'Cálculos'!$F$98)+1400)+'Cálculos'!$F$122)*'Cálculos'!$F$259+'Cálculos'!$F$125*(1+2.78*('Cálculos'!$F$199+(($B$225)-$A193)*'Cálculos'!$F$98)/(('Cálculos'!$F$199+(($B$225)-$A193)*'Cálculos'!$F$98)+1400)+'Cálculos'!$F$123)*'Cálculos'!$F$264)+('Cálculos'!$F$199+(($B$225)-$A193)*'Cálculos'!$F$98)*('Cálculos'!$F$255+'Cálculos'!$F$124*(1+2.78*('Cálculos'!$F$199+(($B$225)-$A193)*'Cálculos'!$F$98)/(('Cálculos'!$F$199+(($B$225)-$A193)*'Cálculos'!$F$98)+1400)+'Cálculos'!$F$122)*'Cálculos'!$F$260+'Cálculos'!$F$125*(1+2.78*('Cálculos'!$F$199+(($B$225)-$A193)*'Cálculos'!$F$98)/(('Cálculos'!$F$199+(($B$225)-$A193)*'Cálculos'!$F$98)+1400)+'Cálculos'!$F$123)*'Cálculos'!$F$265)+('Cálculos'!$F$201*(1+'Cálculos'!$F$202+$A193*('Cálculos'!$F$290=2)*'Cálculos'!$F$101)+'Cálculos'!$F$203)*('Cálculos'!$F$256+'Cálculos'!$F$124*(1+2.78*('Cálculos'!$F$199+(($B$225)-$A193)*'Cálculos'!$F$98)/(('Cálculos'!$F$199+(($B$225)-$A193)*'Cálculos'!$F$98)+1400)+'Cálculos'!$F$122)*'Cálculos'!$F$261+'Cálculos'!$F$125*(1+2.78*('Cálculos'!$F$199+(($B$225)-$A193)*'Cálculos'!$F$98)/(('Cálculos'!$F$199+(($B$225)-$A193)*'Cálculos'!$F$98)+1400)+'Cálculos'!$F$123)*'Cálculos'!$F$266)+('Cálculos'!$F$204*(1+'Cálculos'!$F$205+$A193*('Cálculos'!$F$290=3)*'Cálculos'!$F$103)+'Cálculos'!$F$206)*('Cálculos'!$F$257+'Cálculos'!$F$124*(1+2.78*('Cálculos'!$F$199+(($B$225)-$A193)*'Cálculos'!$F$98)/(('Cálculos'!$F$199+(($B$225)-$A193)*'Cálculos'!$F$98)+1400)+'Cálculos'!$F$122)*'Cálculos'!$F$262+'Cálculos'!$F$125*(1+2.78*('Cálculos'!$F$199+(($B$225)-$A193)*'Cálculos'!$F$98)/(('Cálculos'!$F$199+(($B$225)-$A193)*'Cálculos'!$F$98)+1400)+'Cálculos'!$F$123)*'Cálculos'!$F$267)+('Cálculos'!$F$185*(1+'Cálculos'!$F$190+$A193*('Cálculos'!$F$290=1)*'Cálculos'!$F$97+'Cálculos'!$F$305)+'Cálculos'!$F$195)*('Cálculos'!$F$269+'Cálculos'!$F$124*(1+2.78*('Cálculos'!$F$200+(($B$225)-$A193)*'Cálculos'!$F$98)/(('Cálculos'!$F$200+(($B$225)-$A193)*'Cálculos'!$F$98)+1400)+'Cálculos'!$F$122)*'Cálculos'!$F$274+'Cálculos'!$F$125*(1+2.78*('Cálculos'!$F$200+(($B$225)-$A193)*'Cálculos'!$F$98)/(('Cálculos'!$F$200+(($B$225)-$A193)*'Cálculos'!$F$98)+1400)+'Cálculos'!$F$123)*'Cálculos'!$F$279)+('Cálculos'!$F$200+(($B$225)-$A193)*'Cálculos'!$F$98)*('Cálculos'!$F$270+'Cálculos'!$F$124*(1+2.78*('Cálculos'!$F$200+(($B$225)-$A193)*'Cálculos'!$F$98)/(('Cálculos'!$F$200+(($B$225)-$A193)*'Cálculos'!$F$98)+1400)+'Cálculos'!$F$122)*'Cálculos'!$F$275+'Cálculos'!$F$125*(1+2.78*('Cálculos'!$F$200+(($B$225)-$A193)*'Cálculos'!$F$98)/(('Cálculos'!$F$200+(($B$225)-$A193)*'Cálculos'!$F$98)+1400)+'Cálculos'!$F$123)*'Cálculos'!$F$280)+('Cálculos'!$F$201*(1+'Cálculos'!$F$202+$A193*('Cálculos'!$F$290=2)*'Cálculos'!$F$101)+'Cálculos'!$F$203)*('Cálculos'!$F$271+'Cálculos'!$F$124*(1+2.78*('Cálculos'!$F$200+(($B$225)-$A193)*'Cálculos'!$F$98)/(('Cálculos'!$F$200+(($B$225)-$A193)*'Cálculos'!$F$98)+1400)+'Cálculos'!$F$122)*'Cálculos'!$F$276+'Cálculos'!$F$125*(1+2.78*('Cálculos'!$F$200+(($B$225)-$A193)*'Cálculos'!$F$98)/(('Cálculos'!$F$200+(($B$225)-$A193)*'Cálculos'!$F$98)+1400)+'Cálculos'!$F$123)*'Cálculos'!$F$281)+('Cálculos'!$F$204*(1+'Cálculos'!$F$205+$A193*('Cálculos'!$F$290=3)*'Cálculos'!$F$103)+'Cálculos'!$F$206)*('Cálculos'!$F$272+'Cálculos'!$F$124*(1+2.78*('Cálculos'!$F$200+(($B$225)-$A193)*'Cálculos'!$F$98)/(('Cálculos'!$F$200+(($B$225)-$A193)*'Cálculos'!$F$98)+1400)+'Cálculos'!$F$122)*'Cálculos'!$F$277+'Cálculos'!$F$125*(1+2.78*('Cálculos'!$F$200+(($B$225)-$A193)*'Cálculos'!$F$98)/(('Cálculos'!$F$200+(($B$225)-$A193)*'Cálculos'!$F$98)+1400)+'Cálculos'!$F$123)*'Cálculos'!$F$282)))</f>
        <v>0</v>
      </c>
    </row>
    <row r="194" ht="15.75" customHeight="1">
      <c r="A194" s="2">
        <v>17.0</v>
      </c>
      <c r="B194" s="30">
        <f>SUMPRODUCT(MAX(($A$177:$A$222&lt;=$A194)*($A$177:$A$222&lt;='Cálculos'!$F$294)*(($A194)-$A$177:$A$222&lt;='Cálculos'!$F$295)*(1+(('Cálculos'!$F$207+$A$177:$A$222*'Cálculos'!$F$95)-(('Cálculos'!$F$207+$A$177:$A$222*'Cálculos'!$F$95)&gt;1)*(('Cálculos'!$F$207+$A$177:$A$222*'Cálculos'!$F$95)-1))*('Cálculos'!$F$208+(($A194)-$A$177:$A$222)*'Cálculos'!$F$96))))</f>
        <v>2.319269</v>
      </c>
      <c r="C194" s="2">
        <f>'Cálculos'!$F$303-$A194</f>
        <v>1</v>
      </c>
      <c r="D194" s="31">
        <f>IF($C194&lt;0,0,SUMPRODUCT(MAX(($A$177:$A$222&lt;=$C194)*($A$177:$A$222&lt;='Cálculos'!$F$301)*(($C194)-$A$177:$A$222&lt;='Cálculos'!$F$297)*(('Cálculos'!$F$185*(1+'Cálculos'!$F$186+$A$177:$A$222*('Cálculos'!$F$290=1)*'Cálculos'!$F$97+'Cálculos'!$F$305)+'Cálculos'!$F$191)*('Cálculos'!$F$209+'Cálculos'!$F$124*(1+2.78*('Cálculos'!$F$196+(($C194)-$A$177:$A$222)*'Cálculos'!$F$98)/(('Cálculos'!$F$196+(($C194)-$A$177:$A$222)*'Cálculos'!$F$98)+1400)+'Cálculos'!$F$122)*'Cálculos'!$F$214+'Cálculos'!$F$125*(1+2.78*('Cálculos'!$F$196+(($C194)-$A$177:$A$222)*'Cálculos'!$F$98)/(('Cálculos'!$F$196+(($C194)-$A$177:$A$222)*'Cálculos'!$F$98)+1400)+'Cálculos'!$F$123)*'Cálculos'!$F$219)+('Cálculos'!$F$196+(($C194)-$A$177:$A$222)*'Cálculos'!$F$98)*('Cálculos'!$F$210+'Cálculos'!$F$124*(1+2.78*('Cálculos'!$F$196+(($C194)-$A$177:$A$222)*'Cálculos'!$F$98)/(('Cálculos'!$F$196+(($C194)-$A$177:$A$222)*'Cálculos'!$F$98)+1400)+'Cálculos'!$F$122)*'Cálculos'!$F$215+'Cálculos'!$F$125*(1+2.78*('Cálculos'!$F$196+(($C194)-$A$177:$A$222)*'Cálculos'!$F$98)/(('Cálculos'!$F$196+(($C194)-$A$177:$A$222)*'Cálculos'!$F$98)+1400)+'Cálculos'!$F$123)*'Cálculos'!$F$220)+('Cálculos'!$F$201*(1+'Cálculos'!$F$202+$A$177:$A$222*('Cálculos'!$F$290=2)*'Cálculos'!$F$101)+'Cálculos'!$F$203)*('Cálculos'!$F$211+'Cálculos'!$F$124*(1+2.78*('Cálculos'!$F$196+(($C194)-$A$177:$A$222)*'Cálculos'!$F$98)/(('Cálculos'!$F$196+(($C194)-$A$177:$A$222)*'Cálculos'!$F$98)+1400)+'Cálculos'!$F$122)*'Cálculos'!$F$216+'Cálculos'!$F$125*(1+2.78*('Cálculos'!$F$196+(($C194)-$A$177:$A$222)*'Cálculos'!$F$98)/(('Cálculos'!$F$196+(($C194)-$A$177:$A$222)*'Cálculos'!$F$98)+1400)+'Cálculos'!$F$123)*'Cálculos'!$F$221)+('Cálculos'!$F$204*(1+'Cálculos'!$F$205+$A$177:$A$222*('Cálculos'!$F$290=3)*'Cálculos'!$F$103)+'Cálculos'!$F$206)*('Cálculos'!$F$212+'Cálculos'!$F$124*(1+2.78*('Cálculos'!$F$196+(($C194)-$A$177:$A$222)*'Cálculos'!$F$98)/(('Cálculos'!$F$196+(($C194)-$A$177:$A$222)*'Cálculos'!$F$98)+1400)+'Cálculos'!$F$122)*'Cálculos'!$F$217+'Cálculos'!$F$125*(1+2.78*('Cálculos'!$F$196+(($C194)-$A$177:$A$222)*'Cálculos'!$F$98)/(('Cálculos'!$F$196+(($C194)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194)-$A$177:$A$222)*'Cálculos'!$F$98)/(('Cálculos'!$F$197+(($C194)-$A$177:$A$222)*'Cálculos'!$F$98)+1400)+'Cálculos'!$F$122)*'Cálculos'!$F$229+'Cálculos'!$F$125*(1+2.78*('Cálculos'!$F$197+(($C194)-$A$177:$A$222)*'Cálculos'!$F$98)/(('Cálculos'!$F$197+(($C194)-$A$177:$A$222)*'Cálculos'!$F$98)+1400)+'Cálculos'!$F$123)*'Cálculos'!$F$234)+('Cálculos'!$F$197+(($C194)-$A$177:$A$222)*'Cálculos'!$F$98)*('Cálculos'!$F$225+'Cálculos'!$F$124*(1+2.78*('Cálculos'!$F$197+(($C194)-$A$177:$A$222)*'Cálculos'!$F$98)/(('Cálculos'!$F$197+(($C194)-$A$177:$A$222)*'Cálculos'!$F$98)+1400)+'Cálculos'!$F$122)*'Cálculos'!$F$230+'Cálculos'!$F$125*(1+2.78*('Cálculos'!$F$197+(($C194)-$A$177:$A$222)*'Cálculos'!$F$98)/(('Cálculos'!$F$197+(($C194)-$A$177:$A$222)*'Cálculos'!$F$98)+1400)+'Cálculos'!$F$123)*'Cálculos'!$F$235)+('Cálculos'!$F$201*(1+'Cálculos'!$F$202+$A$177:$A$222*('Cálculos'!$F$290=2)*'Cálculos'!$F$101)+'Cálculos'!$F$203)*('Cálculos'!$F$226+'Cálculos'!$F$124*(1+2.78*('Cálculos'!$F$197+(($C194)-$A$177:$A$222)*'Cálculos'!$F$98)/(('Cálculos'!$F$197+(($C194)-$A$177:$A$222)*'Cálculos'!$F$98)+1400)+'Cálculos'!$F$122)*'Cálculos'!$F$231+'Cálculos'!$F$125*(1+2.78*('Cálculos'!$F$197+(($C194)-$A$177:$A$222)*'Cálculos'!$F$98)/(('Cálculos'!$F$197+(($C194)-$A$177:$A$222)*'Cálculos'!$F$98)+1400)+'Cálculos'!$F$123)*'Cálculos'!$F$236)+('Cálculos'!$F$204*(1+'Cálculos'!$F$205+$A$177:$A$222*('Cálculos'!$F$290=3)*'Cálculos'!$F$103)+'Cálculos'!$F$206)*('Cálculos'!$F$227+'Cálculos'!$F$124*(1+2.78*('Cálculos'!$F$197+(($C194)-$A$177:$A$222)*'Cálculos'!$F$98)/(('Cálculos'!$F$197+(($C194)-$A$177:$A$222)*'Cálculos'!$F$98)+1400)+'Cálculos'!$F$122)*'Cálculos'!$F$232+'Cálculos'!$F$125*(1+2.78*('Cálculos'!$F$197+(($C194)-$A$177:$A$222)*'Cálculos'!$F$98)/(('Cálculos'!$F$197+(($C194)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194)-$A$177:$A$222)*'Cálculos'!$F$98)/(('Cálculos'!$F$198+(($C194)-$A$177:$A$222)*'Cálculos'!$F$98)+1400)+'Cálculos'!$F$122)*'Cálculos'!$F$244+'Cálculos'!$F$125*(1+2.78*('Cálculos'!$F$198+(($C194)-$A$177:$A$222)*'Cálculos'!$F$98)/(('Cálculos'!$F$198+(($C194)-$A$177:$A$222)*'Cálculos'!$F$98)+1400)+'Cálculos'!$F$123)*'Cálculos'!$F$249)+('Cálculos'!$F$198+(($C194)-$A$177:$A$222)*'Cálculos'!$F$98)*('Cálculos'!$F$240+'Cálculos'!$F$124*(1+2.78*('Cálculos'!$F$198+(($C194)-$A$177:$A$222)*'Cálculos'!$F$98)/(('Cálculos'!$F$198+(($C194)-$A$177:$A$222)*'Cálculos'!$F$98)+1400)+'Cálculos'!$F$122)*'Cálculos'!$F$245+'Cálculos'!$F$125*(1+2.78*('Cálculos'!$F$198+(($C194)-$A$177:$A$222)*'Cálculos'!$F$98)/(('Cálculos'!$F$198+(($C194)-$A$177:$A$222)*'Cálculos'!$F$98)+1400)+'Cálculos'!$F$123)*'Cálculos'!$F$250)+('Cálculos'!$F$201*(1+'Cálculos'!$F$202+$A$177:$A$222*('Cálculos'!$F$290=2)*'Cálculos'!$F$101)+'Cálculos'!$F$203)*('Cálculos'!$F$241+'Cálculos'!$F$124*(1+2.78*('Cálculos'!$F$198+(($C194)-$A$177:$A$222)*'Cálculos'!$F$98)/(('Cálculos'!$F$198+(($C194)-$A$177:$A$222)*'Cálculos'!$F$98)+1400)+'Cálculos'!$F$122)*'Cálculos'!$F$246+'Cálculos'!$F$125*(1+2.78*('Cálculos'!$F$198+(($C194)-$A$177:$A$222)*'Cálculos'!$F$98)/(('Cálculos'!$F$198+(($C194)-$A$177:$A$222)*'Cálculos'!$F$98)+1400)+'Cálculos'!$F$123)*'Cálculos'!$F$251)+('Cálculos'!$F$204*(1+'Cálculos'!$F$205+$A$177:$A$222*('Cálculos'!$F$290=3)*'Cálculos'!$F$103)+'Cálculos'!$F$206)*('Cálculos'!$F$242+'Cálculos'!$F$124*(1+2.78*('Cálculos'!$F$198+(($C194)-$A$177:$A$222)*'Cálculos'!$F$98)/(('Cálculos'!$F$198+(($C194)-$A$177:$A$222)*'Cálculos'!$F$98)+1400)+'Cálculos'!$F$122)*'Cálculos'!$F$247+'Cálculos'!$F$125*(1+2.78*('Cálculos'!$F$198+(($C194)-$A$177:$A$222)*'Cálculos'!$F$98)/(('Cálculos'!$F$198+(($C194)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194)-$A$177:$A$222)*'Cálculos'!$F$98)/(('Cálculos'!$F$199+(($C194)-$A$177:$A$222)*'Cálculos'!$F$98)+1400)+'Cálculos'!$F$122)*'Cálculos'!$F$259+'Cálculos'!$F$125*(1+2.78*('Cálculos'!$F$199+(($C194)-$A$177:$A$222)*'Cálculos'!$F$98)/(('Cálculos'!$F$199+(($C194)-$A$177:$A$222)*'Cálculos'!$F$98)+1400)+'Cálculos'!$F$123)*'Cálculos'!$F$264)+('Cálculos'!$F$199+(($C194)-$A$177:$A$222)*'Cálculos'!$F$98)*('Cálculos'!$F$255+'Cálculos'!$F$124*(1+2.78*('Cálculos'!$F$199+(($C194)-$A$177:$A$222)*'Cálculos'!$F$98)/(('Cálculos'!$F$199+(($C194)-$A$177:$A$222)*'Cálculos'!$F$98)+1400)+'Cálculos'!$F$122)*'Cálculos'!$F$260+'Cálculos'!$F$125*(1+2.78*('Cálculos'!$F$199+(($C194)-$A$177:$A$222)*'Cálculos'!$F$98)/(('Cálculos'!$F$199+(($C194)-$A$177:$A$222)*'Cálculos'!$F$98)+1400)+'Cálculos'!$F$123)*'Cálculos'!$F$265)+('Cálculos'!$F$201*(1+'Cálculos'!$F$202+$A$177:$A$222*('Cálculos'!$F$290=2)*'Cálculos'!$F$101)+'Cálculos'!$F$203)*('Cálculos'!$F$256+'Cálculos'!$F$124*(1+2.78*('Cálculos'!$F$199+(($C194)-$A$177:$A$222)*'Cálculos'!$F$98)/(('Cálculos'!$F$199+(($C194)-$A$177:$A$222)*'Cálculos'!$F$98)+1400)+'Cálculos'!$F$122)*'Cálculos'!$F$261+'Cálculos'!$F$125*(1+2.78*('Cálculos'!$F$199+(($C194)-$A$177:$A$222)*'Cálculos'!$F$98)/(('Cálculos'!$F$199+(($C194)-$A$177:$A$222)*'Cálculos'!$F$98)+1400)+'Cálculos'!$F$123)*'Cálculos'!$F$266)+('Cálculos'!$F$204*(1+'Cálculos'!$F$205+$A$177:$A$222*('Cálculos'!$F$290=3)*'Cálculos'!$F$103)+'Cálculos'!$F$206)*('Cálculos'!$F$257+'Cálculos'!$F$124*(1+2.78*('Cálculos'!$F$199+(($C194)-$A$177:$A$222)*'Cálculos'!$F$98)/(('Cálculos'!$F$199+(($C194)-$A$177:$A$222)*'Cálculos'!$F$98)+1400)+'Cálculos'!$F$122)*'Cálculos'!$F$262+'Cálculos'!$F$125*(1+2.78*('Cálculos'!$F$199+(($C194)-$A$177:$A$222)*'Cálculos'!$F$98)/(('Cálculos'!$F$199+(($C194)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194)-$A$177:$A$222)*'Cálculos'!$F$98)/(('Cálculos'!$F$200+(($C194)-$A$177:$A$222)*'Cálculos'!$F$98)+1400)+'Cálculos'!$F$122)*'Cálculos'!$F$274+'Cálculos'!$F$125*(1+2.78*('Cálculos'!$F$200+(($C194)-$A$177:$A$222)*'Cálculos'!$F$98)/(('Cálculos'!$F$200+(($C194)-$A$177:$A$222)*'Cálculos'!$F$98)+1400)+'Cálculos'!$F$123)*'Cálculos'!$F$279)+('Cálculos'!$F$200+(($C194)-$A$177:$A$222)*'Cálculos'!$F$98)*('Cálculos'!$F$270+'Cálculos'!$F$124*(1+2.78*('Cálculos'!$F$200+(($C194)-$A$177:$A$222)*'Cálculos'!$F$98)/(('Cálculos'!$F$200+(($C194)-$A$177:$A$222)*'Cálculos'!$F$98)+1400)+'Cálculos'!$F$122)*'Cálculos'!$F$275+'Cálculos'!$F$125*(1+2.78*('Cálculos'!$F$200+(($C194)-$A$177:$A$222)*'Cálculos'!$F$98)/(('Cálculos'!$F$200+(($C194)-$A$177:$A$222)*'Cálculos'!$F$98)+1400)+'Cálculos'!$F$123)*'Cálculos'!$F$280)+('Cálculos'!$F$201*(1+'Cálculos'!$F$202+$A$177:$A$222*('Cálculos'!$F$290=2)*'Cálculos'!$F$101)+'Cálculos'!$F$203)*('Cálculos'!$F$271+'Cálculos'!$F$124*(1+2.78*('Cálculos'!$F$200+(($C194)-$A$177:$A$222)*'Cálculos'!$F$98)/(('Cálculos'!$F$200+(($C194)-$A$177:$A$222)*'Cálculos'!$F$98)+1400)+'Cálculos'!$F$122)*'Cálculos'!$F$276+'Cálculos'!$F$125*(1+2.78*('Cálculos'!$F$200+(($C194)-$A$177:$A$222)*'Cálculos'!$F$98)/(('Cálculos'!$F$200+(($C194)-$A$177:$A$222)*'Cálculos'!$F$98)+1400)+'Cálculos'!$F$123)*'Cálculos'!$F$281)+('Cálculos'!$F$204*(1+'Cálculos'!$F$205+$A$177:$A$222*('Cálculos'!$F$290=3)*'Cálculos'!$F$103)+'Cálculos'!$F$206)*('Cálculos'!$F$272+'Cálculos'!$F$124*(1+2.78*('Cálculos'!$F$200+(($C194)-$A$177:$A$222)*'Cálculos'!$F$98)/(('Cálculos'!$F$200+(($C194)-$A$177:$A$222)*'Cálculos'!$F$98)+1400)+'Cálculos'!$F$122)*'Cálculos'!$F$277+'Cálculos'!$F$125*(1+2.78*('Cálculos'!$F$200+(($C194)-$A$177:$A$222)*'Cálculos'!$F$98)/(('Cálculos'!$F$200+(($C194)-$A$177:$A$222)*'Cálculos'!$F$98)+1400)+'Cálculos'!$F$123)*'Cálculos'!$F$282)))))</f>
        <v>19569.35173</v>
      </c>
      <c r="E194" s="32">
        <f>IF(OR($C194&lt;0,'Cálculos'!$F$6=""),0,$B194*$D194)</f>
        <v>45386.59082</v>
      </c>
      <c r="F194" s="2"/>
      <c r="G194" s="30">
        <f>($A194&lt;=$B$224)*($A194&lt;='Cálculos'!$F$294)*(($B$224)-$A194&lt;='Cálculos'!$F$295)*(1+MIN(('Cálculos'!$F$207+$A194*'Cálculos'!$F$95),1)*('Cálculos'!$F$208+(($B$224)-$A194)*'Cálculos'!$F$96))</f>
        <v>2.322932</v>
      </c>
      <c r="H194" s="31">
        <f>IF($B$225&lt;0,0,($A194&lt;=$B$225)*($A194&lt;='Cálculos'!$F$301)*(($B$225)-$A194&lt;='Cálculos'!$F$297)*(('Cálculos'!$F$185*(1+'Cálculos'!$F$186+$A194*('Cálculos'!$F$290=1)*'Cálculos'!$F$97+'Cálculos'!$F$305)+'Cálculos'!$F$191)*('Cálculos'!$F$209+'Cálculos'!$F$124*(1+2.78*('Cálculos'!$F$196+(($B$225)-$A194)*'Cálculos'!$F$98)/(('Cálculos'!$F$196+(($B$225)-$A194)*'Cálculos'!$F$98)+1400)+'Cálculos'!$F$122)*'Cálculos'!$F$214+'Cálculos'!$F$125*(1+2.78*('Cálculos'!$F$196+(($B$225)-$A194)*'Cálculos'!$F$98)/(('Cálculos'!$F$196+(($B$225)-$A194)*'Cálculos'!$F$98)+1400)+'Cálculos'!$F$123)*'Cálculos'!$F$219)+('Cálculos'!$F$196+(($B$225)-$A194)*'Cálculos'!$F$98)*('Cálculos'!$F$210+'Cálculos'!$F$124*(1+2.78*('Cálculos'!$F$196+(($B$225)-$A194)*'Cálculos'!$F$98)/(('Cálculos'!$F$196+(($B$225)-$A194)*'Cálculos'!$F$98)+1400)+'Cálculos'!$F$122)*'Cálculos'!$F$215+'Cálculos'!$F$125*(1+2.78*('Cálculos'!$F$196+(($B$225)-$A194)*'Cálculos'!$F$98)/(('Cálculos'!$F$196+(($B$225)-$A194)*'Cálculos'!$F$98)+1400)+'Cálculos'!$F$123)*'Cálculos'!$F$220)+('Cálculos'!$F$201*(1+'Cálculos'!$F$202+$A194*('Cálculos'!$F$290=2)*'Cálculos'!$F$101)+'Cálculos'!$F$203)*('Cálculos'!$F$211+'Cálculos'!$F$124*(1+2.78*('Cálculos'!$F$196+(($B$225)-$A194)*'Cálculos'!$F$98)/(('Cálculos'!$F$196+(($B$225)-$A194)*'Cálculos'!$F$98)+1400)+'Cálculos'!$F$122)*'Cálculos'!$F$216+'Cálculos'!$F$125*(1+2.78*('Cálculos'!$F$196+(($B$225)-$A194)*'Cálculos'!$F$98)/(('Cálculos'!$F$196+(($B$225)-$A194)*'Cálculos'!$F$98)+1400)+'Cálculos'!$F$123)*'Cálculos'!$F$221)+('Cálculos'!$F$204*(1+'Cálculos'!$F$205+$A194*('Cálculos'!$F$290=3)*'Cálculos'!$F$103)+'Cálculos'!$F$206)*('Cálculos'!$F$212+'Cálculos'!$F$124*(1+2.78*('Cálculos'!$F$196+(($B$225)-$A194)*'Cálculos'!$F$98)/(('Cálculos'!$F$196+(($B$225)-$A194)*'Cálculos'!$F$98)+1400)+'Cálculos'!$F$122)*'Cálculos'!$F$217+'Cálculos'!$F$125*(1+2.78*('Cálculos'!$F$196+(($B$225)-$A194)*'Cálculos'!$F$98)/(('Cálculos'!$F$196+(($B$225)-$A194)*'Cálculos'!$F$98)+1400)+'Cálculos'!$F$123)*'Cálculos'!$F$222)+('Cálculos'!$F$185*(1+'Cálculos'!$F$187+$A194*('Cálculos'!$F$290=1)*'Cálculos'!$F$97+'Cálculos'!$F$305)+'Cálculos'!$F$192)*('Cálculos'!$F$224+'Cálculos'!$F$124*(1+2.78*('Cálculos'!$F$197+(($B$225)-$A194)*'Cálculos'!$F$98)/(('Cálculos'!$F$197+(($B$225)-$A194)*'Cálculos'!$F$98)+1400)+'Cálculos'!$F$122)*'Cálculos'!$F$229+'Cálculos'!$F$125*(1+2.78*('Cálculos'!$F$197+(($B$225)-$A194)*'Cálculos'!$F$98)/(('Cálculos'!$F$197+(($B$225)-$A194)*'Cálculos'!$F$98)+1400)+'Cálculos'!$F$123)*'Cálculos'!$F$234)+('Cálculos'!$F$197+(($B$225)-$A194)*'Cálculos'!$F$98)*('Cálculos'!$F$225+'Cálculos'!$F$124*(1+2.78*('Cálculos'!$F$197+(($B$225)-$A194)*'Cálculos'!$F$98)/(('Cálculos'!$F$197+(($B$225)-$A194)*'Cálculos'!$F$98)+1400)+'Cálculos'!$F$122)*'Cálculos'!$F$230+'Cálculos'!$F$125*(1+2.78*('Cálculos'!$F$197+(($B$225)-$A194)*'Cálculos'!$F$98)/(('Cálculos'!$F$197+(($B$225)-$A194)*'Cálculos'!$F$98)+1400)+'Cálculos'!$F$123)*'Cálculos'!$F$235)+('Cálculos'!$F$201*(1+'Cálculos'!$F$202+$A194*('Cálculos'!$F$290=2)*'Cálculos'!$F$101)+'Cálculos'!$F$203)*('Cálculos'!$F$226+'Cálculos'!$F$124*(1+2.78*('Cálculos'!$F$197+(($B$225)-$A194)*'Cálculos'!$F$98)/(('Cálculos'!$F$197+(($B$225)-$A194)*'Cálculos'!$F$98)+1400)+'Cálculos'!$F$122)*'Cálculos'!$F$231+'Cálculos'!$F$125*(1+2.78*('Cálculos'!$F$197+(($B$225)-$A194)*'Cálculos'!$F$98)/(('Cálculos'!$F$197+(($B$225)-$A194)*'Cálculos'!$F$98)+1400)+'Cálculos'!$F$123)*'Cálculos'!$F$236)+('Cálculos'!$F$204*(1+'Cálculos'!$F$205+$A194*('Cálculos'!$F$290=3)*'Cálculos'!$F$103)+'Cálculos'!$F$206)*('Cálculos'!$F$227+'Cálculos'!$F$124*(1+2.78*('Cálculos'!$F$197+(($B$225)-$A194)*'Cálculos'!$F$98)/(('Cálculos'!$F$197+(($B$225)-$A194)*'Cálculos'!$F$98)+1400)+'Cálculos'!$F$122)*'Cálculos'!$F$232+'Cálculos'!$F$125*(1+2.78*('Cálculos'!$F$197+(($B$225)-$A194)*'Cálculos'!$F$98)/(('Cálculos'!$F$197+(($B$225)-$A194)*'Cálculos'!$F$98)+1400)+'Cálculos'!$F$123)*'Cálculos'!$F$237)+('Cálculos'!$F$185*(1+'Cálculos'!$F$188+$A194*('Cálculos'!$F$290=1)*'Cálculos'!$F$97+'Cálculos'!$F$305)+'Cálculos'!$F$193)*('Cálculos'!$F$239+'Cálculos'!$F$124*(1+2.78*('Cálculos'!$F$198+(($B$225)-$A194)*'Cálculos'!$F$98)/(('Cálculos'!$F$198+(($B$225)-$A194)*'Cálculos'!$F$98)+1400)+'Cálculos'!$F$122)*'Cálculos'!$F$244+'Cálculos'!$F$125*(1+2.78*('Cálculos'!$F$198+(($B$225)-$A194)*'Cálculos'!$F$98)/(('Cálculos'!$F$198+(($B$225)-$A194)*'Cálculos'!$F$98)+1400)+'Cálculos'!$F$123)*'Cálculos'!$F$249)+('Cálculos'!$F$198+(($B$225)-$A194)*'Cálculos'!$F$98)*('Cálculos'!$F$240+'Cálculos'!$F$124*(1+2.78*('Cálculos'!$F$198+(($B$225)-$A194)*'Cálculos'!$F$98)/(('Cálculos'!$F$198+(($B$225)-$A194)*'Cálculos'!$F$98)+1400)+'Cálculos'!$F$122)*'Cálculos'!$F$245+'Cálculos'!$F$125*(1+2.78*('Cálculos'!$F$198+(($B$225)-$A194)*'Cálculos'!$F$98)/(('Cálculos'!$F$198+(($B$225)-$A194)*'Cálculos'!$F$98)+1400)+'Cálculos'!$F$123)*'Cálculos'!$F$250)+('Cálculos'!$F$201*(1+'Cálculos'!$F$202+$A194*('Cálculos'!$F$290=2)*'Cálculos'!$F$101)+'Cálculos'!$F$203)*('Cálculos'!$F$241+'Cálculos'!$F$124*(1+2.78*('Cálculos'!$F$198+(($B$225)-$A194)*'Cálculos'!$F$98)/(('Cálculos'!$F$198+(($B$225)-$A194)*'Cálculos'!$F$98)+1400)+'Cálculos'!$F$122)*'Cálculos'!$F$246+'Cálculos'!$F$125*(1+2.78*('Cálculos'!$F$198+(($B$225)-$A194)*'Cálculos'!$F$98)/(('Cálculos'!$F$198+(($B$225)-$A194)*'Cálculos'!$F$98)+1400)+'Cálculos'!$F$123)*'Cálculos'!$F$251)+('Cálculos'!$F$204*(1+'Cálculos'!$F$205+$A194*('Cálculos'!$F$290=3)*'Cálculos'!$F$103)+'Cálculos'!$F$206)*('Cálculos'!$F$242+'Cálculos'!$F$124*(1+2.78*('Cálculos'!$F$198+(($B$225)-$A194)*'Cálculos'!$F$98)/(('Cálculos'!$F$198+(($B$225)-$A194)*'Cálculos'!$F$98)+1400)+'Cálculos'!$F$122)*'Cálculos'!$F$247+'Cálculos'!$F$125*(1+2.78*('Cálculos'!$F$198+(($B$225)-$A194)*'Cálculos'!$F$98)/(('Cálculos'!$F$198+(($B$225)-$A194)*'Cálculos'!$F$98)+1400)+'Cálculos'!$F$123)*'Cálculos'!$F$252)+('Cálculos'!$F$185*(1+'Cálculos'!$F$189+$A194*('Cálculos'!$F$290=1)*'Cálculos'!$F$97+'Cálculos'!$F$305)+'Cálculos'!$F$194)*('Cálculos'!$F$254+'Cálculos'!$F$124*(1+2.78*('Cálculos'!$F$199+(($B$225)-$A194)*'Cálculos'!$F$98)/(('Cálculos'!$F$199+(($B$225)-$A194)*'Cálculos'!$F$98)+1400)+'Cálculos'!$F$122)*'Cálculos'!$F$259+'Cálculos'!$F$125*(1+2.78*('Cálculos'!$F$199+(($B$225)-$A194)*'Cálculos'!$F$98)/(('Cálculos'!$F$199+(($B$225)-$A194)*'Cálculos'!$F$98)+1400)+'Cálculos'!$F$123)*'Cálculos'!$F$264)+('Cálculos'!$F$199+(($B$225)-$A194)*'Cálculos'!$F$98)*('Cálculos'!$F$255+'Cálculos'!$F$124*(1+2.78*('Cálculos'!$F$199+(($B$225)-$A194)*'Cálculos'!$F$98)/(('Cálculos'!$F$199+(($B$225)-$A194)*'Cálculos'!$F$98)+1400)+'Cálculos'!$F$122)*'Cálculos'!$F$260+'Cálculos'!$F$125*(1+2.78*('Cálculos'!$F$199+(($B$225)-$A194)*'Cálculos'!$F$98)/(('Cálculos'!$F$199+(($B$225)-$A194)*'Cálculos'!$F$98)+1400)+'Cálculos'!$F$123)*'Cálculos'!$F$265)+('Cálculos'!$F$201*(1+'Cálculos'!$F$202+$A194*('Cálculos'!$F$290=2)*'Cálculos'!$F$101)+'Cálculos'!$F$203)*('Cálculos'!$F$256+'Cálculos'!$F$124*(1+2.78*('Cálculos'!$F$199+(($B$225)-$A194)*'Cálculos'!$F$98)/(('Cálculos'!$F$199+(($B$225)-$A194)*'Cálculos'!$F$98)+1400)+'Cálculos'!$F$122)*'Cálculos'!$F$261+'Cálculos'!$F$125*(1+2.78*('Cálculos'!$F$199+(($B$225)-$A194)*'Cálculos'!$F$98)/(('Cálculos'!$F$199+(($B$225)-$A194)*'Cálculos'!$F$98)+1400)+'Cálculos'!$F$123)*'Cálculos'!$F$266)+('Cálculos'!$F$204*(1+'Cálculos'!$F$205+$A194*('Cálculos'!$F$290=3)*'Cálculos'!$F$103)+'Cálculos'!$F$206)*('Cálculos'!$F$257+'Cálculos'!$F$124*(1+2.78*('Cálculos'!$F$199+(($B$225)-$A194)*'Cálculos'!$F$98)/(('Cálculos'!$F$199+(($B$225)-$A194)*'Cálculos'!$F$98)+1400)+'Cálculos'!$F$122)*'Cálculos'!$F$262+'Cálculos'!$F$125*(1+2.78*('Cálculos'!$F$199+(($B$225)-$A194)*'Cálculos'!$F$98)/(('Cálculos'!$F$199+(($B$225)-$A194)*'Cálculos'!$F$98)+1400)+'Cálculos'!$F$123)*'Cálculos'!$F$267)+('Cálculos'!$F$185*(1+'Cálculos'!$F$190+$A194*('Cálculos'!$F$290=1)*'Cálculos'!$F$97+'Cálculos'!$F$305)+'Cálculos'!$F$195)*('Cálculos'!$F$269+'Cálculos'!$F$124*(1+2.78*('Cálculos'!$F$200+(($B$225)-$A194)*'Cálculos'!$F$98)/(('Cálculos'!$F$200+(($B$225)-$A194)*'Cálculos'!$F$98)+1400)+'Cálculos'!$F$122)*'Cálculos'!$F$274+'Cálculos'!$F$125*(1+2.78*('Cálculos'!$F$200+(($B$225)-$A194)*'Cálculos'!$F$98)/(('Cálculos'!$F$200+(($B$225)-$A194)*'Cálculos'!$F$98)+1400)+'Cálculos'!$F$123)*'Cálculos'!$F$279)+('Cálculos'!$F$200+(($B$225)-$A194)*'Cálculos'!$F$98)*('Cálculos'!$F$270+'Cálculos'!$F$124*(1+2.78*('Cálculos'!$F$200+(($B$225)-$A194)*'Cálculos'!$F$98)/(('Cálculos'!$F$200+(($B$225)-$A194)*'Cálculos'!$F$98)+1400)+'Cálculos'!$F$122)*'Cálculos'!$F$275+'Cálculos'!$F$125*(1+2.78*('Cálculos'!$F$200+(($B$225)-$A194)*'Cálculos'!$F$98)/(('Cálculos'!$F$200+(($B$225)-$A194)*'Cálculos'!$F$98)+1400)+'Cálculos'!$F$123)*'Cálculos'!$F$280)+('Cálculos'!$F$201*(1+'Cálculos'!$F$202+$A194*('Cálculos'!$F$290=2)*'Cálculos'!$F$101)+'Cálculos'!$F$203)*('Cálculos'!$F$271+'Cálculos'!$F$124*(1+2.78*('Cálculos'!$F$200+(($B$225)-$A194)*'Cálculos'!$F$98)/(('Cálculos'!$F$200+(($B$225)-$A194)*'Cálculos'!$F$98)+1400)+'Cálculos'!$F$122)*'Cálculos'!$F$276+'Cálculos'!$F$125*(1+2.78*('Cálculos'!$F$200+(($B$225)-$A194)*'Cálculos'!$F$98)/(('Cálculos'!$F$200+(($B$225)-$A194)*'Cálculos'!$F$98)+1400)+'Cálculos'!$F$123)*'Cálculos'!$F$281)+('Cálculos'!$F$204*(1+'Cálculos'!$F$205+$A194*('Cálculos'!$F$290=3)*'Cálculos'!$F$103)+'Cálculos'!$F$206)*('Cálculos'!$F$272+'Cálculos'!$F$124*(1+2.78*('Cálculos'!$F$200+(($B$225)-$A194)*'Cálculos'!$F$98)/(('Cálculos'!$F$200+(($B$225)-$A194)*'Cálculos'!$F$98)+1400)+'Cálculos'!$F$122)*'Cálculos'!$F$277+'Cálculos'!$F$125*(1+2.78*('Cálculos'!$F$200+(($B$225)-$A194)*'Cálculos'!$F$98)/(('Cálculos'!$F$200+(($B$225)-$A194)*'Cálculos'!$F$98)+1400)+'Cálculos'!$F$123)*'Cálculos'!$F$282)))</f>
        <v>0</v>
      </c>
    </row>
    <row r="195" ht="15.75" customHeight="1">
      <c r="A195" s="2">
        <v>18.0</v>
      </c>
      <c r="B195" s="30">
        <f>SUMPRODUCT(MAX(($A$177:$A$222&lt;=$A195)*($A$177:$A$222&lt;='Cálculos'!$F$294)*(($A195)-$A$177:$A$222&lt;='Cálculos'!$F$295)*(1+(('Cálculos'!$F$207+$A$177:$A$222*'Cálculos'!$F$95)-(('Cálculos'!$F$207+$A$177:$A$222*'Cálculos'!$F$95)&gt;1)*(('Cálculos'!$F$207+$A$177:$A$222*'Cálculos'!$F$95)-1))*('Cálculos'!$F$208+(($A195)-$A$177:$A$222)*'Cálculos'!$F$96))))</f>
        <v>2.373587</v>
      </c>
      <c r="C195" s="2">
        <f>'Cálculos'!$F$303-$A195</f>
        <v>0</v>
      </c>
      <c r="D195" s="31">
        <f>IF($C195&lt;0,0,SUMPRODUCT(MAX(($A$177:$A$222&lt;=$C195)*($A$177:$A$222&lt;='Cálculos'!$F$301)*(($C195)-$A$177:$A$222&lt;='Cálculos'!$F$297)*(('Cálculos'!$F$185*(1+'Cálculos'!$F$186+$A$177:$A$222*('Cálculos'!$F$290=1)*'Cálculos'!$F$97+'Cálculos'!$F$305)+'Cálculos'!$F$191)*('Cálculos'!$F$209+'Cálculos'!$F$124*(1+2.78*('Cálculos'!$F$196+(($C195)-$A$177:$A$222)*'Cálculos'!$F$98)/(('Cálculos'!$F$196+(($C195)-$A$177:$A$222)*'Cálculos'!$F$98)+1400)+'Cálculos'!$F$122)*'Cálculos'!$F$214+'Cálculos'!$F$125*(1+2.78*('Cálculos'!$F$196+(($C195)-$A$177:$A$222)*'Cálculos'!$F$98)/(('Cálculos'!$F$196+(($C195)-$A$177:$A$222)*'Cálculos'!$F$98)+1400)+'Cálculos'!$F$123)*'Cálculos'!$F$219)+('Cálculos'!$F$196+(($C195)-$A$177:$A$222)*'Cálculos'!$F$98)*('Cálculos'!$F$210+'Cálculos'!$F$124*(1+2.78*('Cálculos'!$F$196+(($C195)-$A$177:$A$222)*'Cálculos'!$F$98)/(('Cálculos'!$F$196+(($C195)-$A$177:$A$222)*'Cálculos'!$F$98)+1400)+'Cálculos'!$F$122)*'Cálculos'!$F$215+'Cálculos'!$F$125*(1+2.78*('Cálculos'!$F$196+(($C195)-$A$177:$A$222)*'Cálculos'!$F$98)/(('Cálculos'!$F$196+(($C195)-$A$177:$A$222)*'Cálculos'!$F$98)+1400)+'Cálculos'!$F$123)*'Cálculos'!$F$220)+('Cálculos'!$F$201*(1+'Cálculos'!$F$202+$A$177:$A$222*('Cálculos'!$F$290=2)*'Cálculos'!$F$101)+'Cálculos'!$F$203)*('Cálculos'!$F$211+'Cálculos'!$F$124*(1+2.78*('Cálculos'!$F$196+(($C195)-$A$177:$A$222)*'Cálculos'!$F$98)/(('Cálculos'!$F$196+(($C195)-$A$177:$A$222)*'Cálculos'!$F$98)+1400)+'Cálculos'!$F$122)*'Cálculos'!$F$216+'Cálculos'!$F$125*(1+2.78*('Cálculos'!$F$196+(($C195)-$A$177:$A$222)*'Cálculos'!$F$98)/(('Cálculos'!$F$196+(($C195)-$A$177:$A$222)*'Cálculos'!$F$98)+1400)+'Cálculos'!$F$123)*'Cálculos'!$F$221)+('Cálculos'!$F$204*(1+'Cálculos'!$F$205+$A$177:$A$222*('Cálculos'!$F$290=3)*'Cálculos'!$F$103)+'Cálculos'!$F$206)*('Cálculos'!$F$212+'Cálculos'!$F$124*(1+2.78*('Cálculos'!$F$196+(($C195)-$A$177:$A$222)*'Cálculos'!$F$98)/(('Cálculos'!$F$196+(($C195)-$A$177:$A$222)*'Cálculos'!$F$98)+1400)+'Cálculos'!$F$122)*'Cálculos'!$F$217+'Cálculos'!$F$125*(1+2.78*('Cálculos'!$F$196+(($C195)-$A$177:$A$222)*'Cálculos'!$F$98)/(('Cálculos'!$F$196+(($C195)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195)-$A$177:$A$222)*'Cálculos'!$F$98)/(('Cálculos'!$F$197+(($C195)-$A$177:$A$222)*'Cálculos'!$F$98)+1400)+'Cálculos'!$F$122)*'Cálculos'!$F$229+'Cálculos'!$F$125*(1+2.78*('Cálculos'!$F$197+(($C195)-$A$177:$A$222)*'Cálculos'!$F$98)/(('Cálculos'!$F$197+(($C195)-$A$177:$A$222)*'Cálculos'!$F$98)+1400)+'Cálculos'!$F$123)*'Cálculos'!$F$234)+('Cálculos'!$F$197+(($C195)-$A$177:$A$222)*'Cálculos'!$F$98)*('Cálculos'!$F$225+'Cálculos'!$F$124*(1+2.78*('Cálculos'!$F$197+(($C195)-$A$177:$A$222)*'Cálculos'!$F$98)/(('Cálculos'!$F$197+(($C195)-$A$177:$A$222)*'Cálculos'!$F$98)+1400)+'Cálculos'!$F$122)*'Cálculos'!$F$230+'Cálculos'!$F$125*(1+2.78*('Cálculos'!$F$197+(($C195)-$A$177:$A$222)*'Cálculos'!$F$98)/(('Cálculos'!$F$197+(($C195)-$A$177:$A$222)*'Cálculos'!$F$98)+1400)+'Cálculos'!$F$123)*'Cálculos'!$F$235)+('Cálculos'!$F$201*(1+'Cálculos'!$F$202+$A$177:$A$222*('Cálculos'!$F$290=2)*'Cálculos'!$F$101)+'Cálculos'!$F$203)*('Cálculos'!$F$226+'Cálculos'!$F$124*(1+2.78*('Cálculos'!$F$197+(($C195)-$A$177:$A$222)*'Cálculos'!$F$98)/(('Cálculos'!$F$197+(($C195)-$A$177:$A$222)*'Cálculos'!$F$98)+1400)+'Cálculos'!$F$122)*'Cálculos'!$F$231+'Cálculos'!$F$125*(1+2.78*('Cálculos'!$F$197+(($C195)-$A$177:$A$222)*'Cálculos'!$F$98)/(('Cálculos'!$F$197+(($C195)-$A$177:$A$222)*'Cálculos'!$F$98)+1400)+'Cálculos'!$F$123)*'Cálculos'!$F$236)+('Cálculos'!$F$204*(1+'Cálculos'!$F$205+$A$177:$A$222*('Cálculos'!$F$290=3)*'Cálculos'!$F$103)+'Cálculos'!$F$206)*('Cálculos'!$F$227+'Cálculos'!$F$124*(1+2.78*('Cálculos'!$F$197+(($C195)-$A$177:$A$222)*'Cálculos'!$F$98)/(('Cálculos'!$F$197+(($C195)-$A$177:$A$222)*'Cálculos'!$F$98)+1400)+'Cálculos'!$F$122)*'Cálculos'!$F$232+'Cálculos'!$F$125*(1+2.78*('Cálculos'!$F$197+(($C195)-$A$177:$A$222)*'Cálculos'!$F$98)/(('Cálculos'!$F$197+(($C195)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195)-$A$177:$A$222)*'Cálculos'!$F$98)/(('Cálculos'!$F$198+(($C195)-$A$177:$A$222)*'Cálculos'!$F$98)+1400)+'Cálculos'!$F$122)*'Cálculos'!$F$244+'Cálculos'!$F$125*(1+2.78*('Cálculos'!$F$198+(($C195)-$A$177:$A$222)*'Cálculos'!$F$98)/(('Cálculos'!$F$198+(($C195)-$A$177:$A$222)*'Cálculos'!$F$98)+1400)+'Cálculos'!$F$123)*'Cálculos'!$F$249)+('Cálculos'!$F$198+(($C195)-$A$177:$A$222)*'Cálculos'!$F$98)*('Cálculos'!$F$240+'Cálculos'!$F$124*(1+2.78*('Cálculos'!$F$198+(($C195)-$A$177:$A$222)*'Cálculos'!$F$98)/(('Cálculos'!$F$198+(($C195)-$A$177:$A$222)*'Cálculos'!$F$98)+1400)+'Cálculos'!$F$122)*'Cálculos'!$F$245+'Cálculos'!$F$125*(1+2.78*('Cálculos'!$F$198+(($C195)-$A$177:$A$222)*'Cálculos'!$F$98)/(('Cálculos'!$F$198+(($C195)-$A$177:$A$222)*'Cálculos'!$F$98)+1400)+'Cálculos'!$F$123)*'Cálculos'!$F$250)+('Cálculos'!$F$201*(1+'Cálculos'!$F$202+$A$177:$A$222*('Cálculos'!$F$290=2)*'Cálculos'!$F$101)+'Cálculos'!$F$203)*('Cálculos'!$F$241+'Cálculos'!$F$124*(1+2.78*('Cálculos'!$F$198+(($C195)-$A$177:$A$222)*'Cálculos'!$F$98)/(('Cálculos'!$F$198+(($C195)-$A$177:$A$222)*'Cálculos'!$F$98)+1400)+'Cálculos'!$F$122)*'Cálculos'!$F$246+'Cálculos'!$F$125*(1+2.78*('Cálculos'!$F$198+(($C195)-$A$177:$A$222)*'Cálculos'!$F$98)/(('Cálculos'!$F$198+(($C195)-$A$177:$A$222)*'Cálculos'!$F$98)+1400)+'Cálculos'!$F$123)*'Cálculos'!$F$251)+('Cálculos'!$F$204*(1+'Cálculos'!$F$205+$A$177:$A$222*('Cálculos'!$F$290=3)*'Cálculos'!$F$103)+'Cálculos'!$F$206)*('Cálculos'!$F$242+'Cálculos'!$F$124*(1+2.78*('Cálculos'!$F$198+(($C195)-$A$177:$A$222)*'Cálculos'!$F$98)/(('Cálculos'!$F$198+(($C195)-$A$177:$A$222)*'Cálculos'!$F$98)+1400)+'Cálculos'!$F$122)*'Cálculos'!$F$247+'Cálculos'!$F$125*(1+2.78*('Cálculos'!$F$198+(($C195)-$A$177:$A$222)*'Cálculos'!$F$98)/(('Cálculos'!$F$198+(($C195)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195)-$A$177:$A$222)*'Cálculos'!$F$98)/(('Cálculos'!$F$199+(($C195)-$A$177:$A$222)*'Cálculos'!$F$98)+1400)+'Cálculos'!$F$122)*'Cálculos'!$F$259+'Cálculos'!$F$125*(1+2.78*('Cálculos'!$F$199+(($C195)-$A$177:$A$222)*'Cálculos'!$F$98)/(('Cálculos'!$F$199+(($C195)-$A$177:$A$222)*'Cálculos'!$F$98)+1400)+'Cálculos'!$F$123)*'Cálculos'!$F$264)+('Cálculos'!$F$199+(($C195)-$A$177:$A$222)*'Cálculos'!$F$98)*('Cálculos'!$F$255+'Cálculos'!$F$124*(1+2.78*('Cálculos'!$F$199+(($C195)-$A$177:$A$222)*'Cálculos'!$F$98)/(('Cálculos'!$F$199+(($C195)-$A$177:$A$222)*'Cálculos'!$F$98)+1400)+'Cálculos'!$F$122)*'Cálculos'!$F$260+'Cálculos'!$F$125*(1+2.78*('Cálculos'!$F$199+(($C195)-$A$177:$A$222)*'Cálculos'!$F$98)/(('Cálculos'!$F$199+(($C195)-$A$177:$A$222)*'Cálculos'!$F$98)+1400)+'Cálculos'!$F$123)*'Cálculos'!$F$265)+('Cálculos'!$F$201*(1+'Cálculos'!$F$202+$A$177:$A$222*('Cálculos'!$F$290=2)*'Cálculos'!$F$101)+'Cálculos'!$F$203)*('Cálculos'!$F$256+'Cálculos'!$F$124*(1+2.78*('Cálculos'!$F$199+(($C195)-$A$177:$A$222)*'Cálculos'!$F$98)/(('Cálculos'!$F$199+(($C195)-$A$177:$A$222)*'Cálculos'!$F$98)+1400)+'Cálculos'!$F$122)*'Cálculos'!$F$261+'Cálculos'!$F$125*(1+2.78*('Cálculos'!$F$199+(($C195)-$A$177:$A$222)*'Cálculos'!$F$98)/(('Cálculos'!$F$199+(($C195)-$A$177:$A$222)*'Cálculos'!$F$98)+1400)+'Cálculos'!$F$123)*'Cálculos'!$F$266)+('Cálculos'!$F$204*(1+'Cálculos'!$F$205+$A$177:$A$222*('Cálculos'!$F$290=3)*'Cálculos'!$F$103)+'Cálculos'!$F$206)*('Cálculos'!$F$257+'Cálculos'!$F$124*(1+2.78*('Cálculos'!$F$199+(($C195)-$A$177:$A$222)*'Cálculos'!$F$98)/(('Cálculos'!$F$199+(($C195)-$A$177:$A$222)*'Cálculos'!$F$98)+1400)+'Cálculos'!$F$122)*'Cálculos'!$F$262+'Cálculos'!$F$125*(1+2.78*('Cálculos'!$F$199+(($C195)-$A$177:$A$222)*'Cálculos'!$F$98)/(('Cálculos'!$F$199+(($C195)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195)-$A$177:$A$222)*'Cálculos'!$F$98)/(('Cálculos'!$F$200+(($C195)-$A$177:$A$222)*'Cálculos'!$F$98)+1400)+'Cálculos'!$F$122)*'Cálculos'!$F$274+'Cálculos'!$F$125*(1+2.78*('Cálculos'!$F$200+(($C195)-$A$177:$A$222)*'Cálculos'!$F$98)/(('Cálculos'!$F$200+(($C195)-$A$177:$A$222)*'Cálculos'!$F$98)+1400)+'Cálculos'!$F$123)*'Cálculos'!$F$279)+('Cálculos'!$F$200+(($C195)-$A$177:$A$222)*'Cálculos'!$F$98)*('Cálculos'!$F$270+'Cálculos'!$F$124*(1+2.78*('Cálculos'!$F$200+(($C195)-$A$177:$A$222)*'Cálculos'!$F$98)/(('Cálculos'!$F$200+(($C195)-$A$177:$A$222)*'Cálculos'!$F$98)+1400)+'Cálculos'!$F$122)*'Cálculos'!$F$275+'Cálculos'!$F$125*(1+2.78*('Cálculos'!$F$200+(($C195)-$A$177:$A$222)*'Cálculos'!$F$98)/(('Cálculos'!$F$200+(($C195)-$A$177:$A$222)*'Cálculos'!$F$98)+1400)+'Cálculos'!$F$123)*'Cálculos'!$F$280)+('Cálculos'!$F$201*(1+'Cálculos'!$F$202+$A$177:$A$222*('Cálculos'!$F$290=2)*'Cálculos'!$F$101)+'Cálculos'!$F$203)*('Cálculos'!$F$271+'Cálculos'!$F$124*(1+2.78*('Cálculos'!$F$200+(($C195)-$A$177:$A$222)*'Cálculos'!$F$98)/(('Cálculos'!$F$200+(($C195)-$A$177:$A$222)*'Cálculos'!$F$98)+1400)+'Cálculos'!$F$122)*'Cálculos'!$F$276+'Cálculos'!$F$125*(1+2.78*('Cálculos'!$F$200+(($C195)-$A$177:$A$222)*'Cálculos'!$F$98)/(('Cálculos'!$F$200+(($C195)-$A$177:$A$222)*'Cálculos'!$F$98)+1400)+'Cálculos'!$F$123)*'Cálculos'!$F$281)+('Cálculos'!$F$204*(1+'Cálculos'!$F$205+$A$177:$A$222*('Cálculos'!$F$290=3)*'Cálculos'!$F$103)+'Cálculos'!$F$206)*('Cálculos'!$F$272+'Cálculos'!$F$124*(1+2.78*('Cálculos'!$F$200+(($C195)-$A$177:$A$222)*'Cálculos'!$F$98)/(('Cálculos'!$F$200+(($C195)-$A$177:$A$222)*'Cálculos'!$F$98)+1400)+'Cálculos'!$F$122)*'Cálculos'!$F$277+'Cálculos'!$F$125*(1+2.78*('Cálculos'!$F$200+(($C195)-$A$177:$A$222)*'Cálculos'!$F$98)/(('Cálculos'!$F$200+(($C195)-$A$177:$A$222)*'Cálculos'!$F$98)+1400)+'Cálculos'!$F$123)*'Cálculos'!$F$282)))))</f>
        <v>19345.49414</v>
      </c>
      <c r="E195" s="32">
        <f>IF(OR($C195&lt;0,'Cálculos'!$F$6=""),0,$B195*$D195)</f>
        <v>45918.2134</v>
      </c>
      <c r="F195" s="2"/>
      <c r="G195" s="30">
        <f>($A195&lt;=$B$224)*($A195&lt;='Cálculos'!$F$294)*(($B$224)-$A195&lt;='Cálculos'!$F$295)*(1+MIN(('Cálculos'!$F$207+$A195*'Cálculos'!$F$95),1)*('Cálculos'!$F$208+(($B$224)-$A195)*'Cálculos'!$F$96))</f>
        <v>2.273</v>
      </c>
      <c r="H195" s="31">
        <f>IF($B$225&lt;0,0,($A195&lt;=$B$225)*($A195&lt;='Cálculos'!$F$301)*(($B$225)-$A195&lt;='Cálculos'!$F$297)*(('Cálculos'!$F$185*(1+'Cálculos'!$F$186+$A195*('Cálculos'!$F$290=1)*'Cálculos'!$F$97+'Cálculos'!$F$305)+'Cálculos'!$F$191)*('Cálculos'!$F$209+'Cálculos'!$F$124*(1+2.78*('Cálculos'!$F$196+(($B$225)-$A195)*'Cálculos'!$F$98)/(('Cálculos'!$F$196+(($B$225)-$A195)*'Cálculos'!$F$98)+1400)+'Cálculos'!$F$122)*'Cálculos'!$F$214+'Cálculos'!$F$125*(1+2.78*('Cálculos'!$F$196+(($B$225)-$A195)*'Cálculos'!$F$98)/(('Cálculos'!$F$196+(($B$225)-$A195)*'Cálculos'!$F$98)+1400)+'Cálculos'!$F$123)*'Cálculos'!$F$219)+('Cálculos'!$F$196+(($B$225)-$A195)*'Cálculos'!$F$98)*('Cálculos'!$F$210+'Cálculos'!$F$124*(1+2.78*('Cálculos'!$F$196+(($B$225)-$A195)*'Cálculos'!$F$98)/(('Cálculos'!$F$196+(($B$225)-$A195)*'Cálculos'!$F$98)+1400)+'Cálculos'!$F$122)*'Cálculos'!$F$215+'Cálculos'!$F$125*(1+2.78*('Cálculos'!$F$196+(($B$225)-$A195)*'Cálculos'!$F$98)/(('Cálculos'!$F$196+(($B$225)-$A195)*'Cálculos'!$F$98)+1400)+'Cálculos'!$F$123)*'Cálculos'!$F$220)+('Cálculos'!$F$201*(1+'Cálculos'!$F$202+$A195*('Cálculos'!$F$290=2)*'Cálculos'!$F$101)+'Cálculos'!$F$203)*('Cálculos'!$F$211+'Cálculos'!$F$124*(1+2.78*('Cálculos'!$F$196+(($B$225)-$A195)*'Cálculos'!$F$98)/(('Cálculos'!$F$196+(($B$225)-$A195)*'Cálculos'!$F$98)+1400)+'Cálculos'!$F$122)*'Cálculos'!$F$216+'Cálculos'!$F$125*(1+2.78*('Cálculos'!$F$196+(($B$225)-$A195)*'Cálculos'!$F$98)/(('Cálculos'!$F$196+(($B$225)-$A195)*'Cálculos'!$F$98)+1400)+'Cálculos'!$F$123)*'Cálculos'!$F$221)+('Cálculos'!$F$204*(1+'Cálculos'!$F$205+$A195*('Cálculos'!$F$290=3)*'Cálculos'!$F$103)+'Cálculos'!$F$206)*('Cálculos'!$F$212+'Cálculos'!$F$124*(1+2.78*('Cálculos'!$F$196+(($B$225)-$A195)*'Cálculos'!$F$98)/(('Cálculos'!$F$196+(($B$225)-$A195)*'Cálculos'!$F$98)+1400)+'Cálculos'!$F$122)*'Cálculos'!$F$217+'Cálculos'!$F$125*(1+2.78*('Cálculos'!$F$196+(($B$225)-$A195)*'Cálculos'!$F$98)/(('Cálculos'!$F$196+(($B$225)-$A195)*'Cálculos'!$F$98)+1400)+'Cálculos'!$F$123)*'Cálculos'!$F$222)+('Cálculos'!$F$185*(1+'Cálculos'!$F$187+$A195*('Cálculos'!$F$290=1)*'Cálculos'!$F$97+'Cálculos'!$F$305)+'Cálculos'!$F$192)*('Cálculos'!$F$224+'Cálculos'!$F$124*(1+2.78*('Cálculos'!$F$197+(($B$225)-$A195)*'Cálculos'!$F$98)/(('Cálculos'!$F$197+(($B$225)-$A195)*'Cálculos'!$F$98)+1400)+'Cálculos'!$F$122)*'Cálculos'!$F$229+'Cálculos'!$F$125*(1+2.78*('Cálculos'!$F$197+(($B$225)-$A195)*'Cálculos'!$F$98)/(('Cálculos'!$F$197+(($B$225)-$A195)*'Cálculos'!$F$98)+1400)+'Cálculos'!$F$123)*'Cálculos'!$F$234)+('Cálculos'!$F$197+(($B$225)-$A195)*'Cálculos'!$F$98)*('Cálculos'!$F$225+'Cálculos'!$F$124*(1+2.78*('Cálculos'!$F$197+(($B$225)-$A195)*'Cálculos'!$F$98)/(('Cálculos'!$F$197+(($B$225)-$A195)*'Cálculos'!$F$98)+1400)+'Cálculos'!$F$122)*'Cálculos'!$F$230+'Cálculos'!$F$125*(1+2.78*('Cálculos'!$F$197+(($B$225)-$A195)*'Cálculos'!$F$98)/(('Cálculos'!$F$197+(($B$225)-$A195)*'Cálculos'!$F$98)+1400)+'Cálculos'!$F$123)*'Cálculos'!$F$235)+('Cálculos'!$F$201*(1+'Cálculos'!$F$202+$A195*('Cálculos'!$F$290=2)*'Cálculos'!$F$101)+'Cálculos'!$F$203)*('Cálculos'!$F$226+'Cálculos'!$F$124*(1+2.78*('Cálculos'!$F$197+(($B$225)-$A195)*'Cálculos'!$F$98)/(('Cálculos'!$F$197+(($B$225)-$A195)*'Cálculos'!$F$98)+1400)+'Cálculos'!$F$122)*'Cálculos'!$F$231+'Cálculos'!$F$125*(1+2.78*('Cálculos'!$F$197+(($B$225)-$A195)*'Cálculos'!$F$98)/(('Cálculos'!$F$197+(($B$225)-$A195)*'Cálculos'!$F$98)+1400)+'Cálculos'!$F$123)*'Cálculos'!$F$236)+('Cálculos'!$F$204*(1+'Cálculos'!$F$205+$A195*('Cálculos'!$F$290=3)*'Cálculos'!$F$103)+'Cálculos'!$F$206)*('Cálculos'!$F$227+'Cálculos'!$F$124*(1+2.78*('Cálculos'!$F$197+(($B$225)-$A195)*'Cálculos'!$F$98)/(('Cálculos'!$F$197+(($B$225)-$A195)*'Cálculos'!$F$98)+1400)+'Cálculos'!$F$122)*'Cálculos'!$F$232+'Cálculos'!$F$125*(1+2.78*('Cálculos'!$F$197+(($B$225)-$A195)*'Cálculos'!$F$98)/(('Cálculos'!$F$197+(($B$225)-$A195)*'Cálculos'!$F$98)+1400)+'Cálculos'!$F$123)*'Cálculos'!$F$237)+('Cálculos'!$F$185*(1+'Cálculos'!$F$188+$A195*('Cálculos'!$F$290=1)*'Cálculos'!$F$97+'Cálculos'!$F$305)+'Cálculos'!$F$193)*('Cálculos'!$F$239+'Cálculos'!$F$124*(1+2.78*('Cálculos'!$F$198+(($B$225)-$A195)*'Cálculos'!$F$98)/(('Cálculos'!$F$198+(($B$225)-$A195)*'Cálculos'!$F$98)+1400)+'Cálculos'!$F$122)*'Cálculos'!$F$244+'Cálculos'!$F$125*(1+2.78*('Cálculos'!$F$198+(($B$225)-$A195)*'Cálculos'!$F$98)/(('Cálculos'!$F$198+(($B$225)-$A195)*'Cálculos'!$F$98)+1400)+'Cálculos'!$F$123)*'Cálculos'!$F$249)+('Cálculos'!$F$198+(($B$225)-$A195)*'Cálculos'!$F$98)*('Cálculos'!$F$240+'Cálculos'!$F$124*(1+2.78*('Cálculos'!$F$198+(($B$225)-$A195)*'Cálculos'!$F$98)/(('Cálculos'!$F$198+(($B$225)-$A195)*'Cálculos'!$F$98)+1400)+'Cálculos'!$F$122)*'Cálculos'!$F$245+'Cálculos'!$F$125*(1+2.78*('Cálculos'!$F$198+(($B$225)-$A195)*'Cálculos'!$F$98)/(('Cálculos'!$F$198+(($B$225)-$A195)*'Cálculos'!$F$98)+1400)+'Cálculos'!$F$123)*'Cálculos'!$F$250)+('Cálculos'!$F$201*(1+'Cálculos'!$F$202+$A195*('Cálculos'!$F$290=2)*'Cálculos'!$F$101)+'Cálculos'!$F$203)*('Cálculos'!$F$241+'Cálculos'!$F$124*(1+2.78*('Cálculos'!$F$198+(($B$225)-$A195)*'Cálculos'!$F$98)/(('Cálculos'!$F$198+(($B$225)-$A195)*'Cálculos'!$F$98)+1400)+'Cálculos'!$F$122)*'Cálculos'!$F$246+'Cálculos'!$F$125*(1+2.78*('Cálculos'!$F$198+(($B$225)-$A195)*'Cálculos'!$F$98)/(('Cálculos'!$F$198+(($B$225)-$A195)*'Cálculos'!$F$98)+1400)+'Cálculos'!$F$123)*'Cálculos'!$F$251)+('Cálculos'!$F$204*(1+'Cálculos'!$F$205+$A195*('Cálculos'!$F$290=3)*'Cálculos'!$F$103)+'Cálculos'!$F$206)*('Cálculos'!$F$242+'Cálculos'!$F$124*(1+2.78*('Cálculos'!$F$198+(($B$225)-$A195)*'Cálculos'!$F$98)/(('Cálculos'!$F$198+(($B$225)-$A195)*'Cálculos'!$F$98)+1400)+'Cálculos'!$F$122)*'Cálculos'!$F$247+'Cálculos'!$F$125*(1+2.78*('Cálculos'!$F$198+(($B$225)-$A195)*'Cálculos'!$F$98)/(('Cálculos'!$F$198+(($B$225)-$A195)*'Cálculos'!$F$98)+1400)+'Cálculos'!$F$123)*'Cálculos'!$F$252)+('Cálculos'!$F$185*(1+'Cálculos'!$F$189+$A195*('Cálculos'!$F$290=1)*'Cálculos'!$F$97+'Cálculos'!$F$305)+'Cálculos'!$F$194)*('Cálculos'!$F$254+'Cálculos'!$F$124*(1+2.78*('Cálculos'!$F$199+(($B$225)-$A195)*'Cálculos'!$F$98)/(('Cálculos'!$F$199+(($B$225)-$A195)*'Cálculos'!$F$98)+1400)+'Cálculos'!$F$122)*'Cálculos'!$F$259+'Cálculos'!$F$125*(1+2.78*('Cálculos'!$F$199+(($B$225)-$A195)*'Cálculos'!$F$98)/(('Cálculos'!$F$199+(($B$225)-$A195)*'Cálculos'!$F$98)+1400)+'Cálculos'!$F$123)*'Cálculos'!$F$264)+('Cálculos'!$F$199+(($B$225)-$A195)*'Cálculos'!$F$98)*('Cálculos'!$F$255+'Cálculos'!$F$124*(1+2.78*('Cálculos'!$F$199+(($B$225)-$A195)*'Cálculos'!$F$98)/(('Cálculos'!$F$199+(($B$225)-$A195)*'Cálculos'!$F$98)+1400)+'Cálculos'!$F$122)*'Cálculos'!$F$260+'Cálculos'!$F$125*(1+2.78*('Cálculos'!$F$199+(($B$225)-$A195)*'Cálculos'!$F$98)/(('Cálculos'!$F$199+(($B$225)-$A195)*'Cálculos'!$F$98)+1400)+'Cálculos'!$F$123)*'Cálculos'!$F$265)+('Cálculos'!$F$201*(1+'Cálculos'!$F$202+$A195*('Cálculos'!$F$290=2)*'Cálculos'!$F$101)+'Cálculos'!$F$203)*('Cálculos'!$F$256+'Cálculos'!$F$124*(1+2.78*('Cálculos'!$F$199+(($B$225)-$A195)*'Cálculos'!$F$98)/(('Cálculos'!$F$199+(($B$225)-$A195)*'Cálculos'!$F$98)+1400)+'Cálculos'!$F$122)*'Cálculos'!$F$261+'Cálculos'!$F$125*(1+2.78*('Cálculos'!$F$199+(($B$225)-$A195)*'Cálculos'!$F$98)/(('Cálculos'!$F$199+(($B$225)-$A195)*'Cálculos'!$F$98)+1400)+'Cálculos'!$F$123)*'Cálculos'!$F$266)+('Cálculos'!$F$204*(1+'Cálculos'!$F$205+$A195*('Cálculos'!$F$290=3)*'Cálculos'!$F$103)+'Cálculos'!$F$206)*('Cálculos'!$F$257+'Cálculos'!$F$124*(1+2.78*('Cálculos'!$F$199+(($B$225)-$A195)*'Cálculos'!$F$98)/(('Cálculos'!$F$199+(($B$225)-$A195)*'Cálculos'!$F$98)+1400)+'Cálculos'!$F$122)*'Cálculos'!$F$262+'Cálculos'!$F$125*(1+2.78*('Cálculos'!$F$199+(($B$225)-$A195)*'Cálculos'!$F$98)/(('Cálculos'!$F$199+(($B$225)-$A195)*'Cálculos'!$F$98)+1400)+'Cálculos'!$F$123)*'Cálculos'!$F$267)+('Cálculos'!$F$185*(1+'Cálculos'!$F$190+$A195*('Cálculos'!$F$290=1)*'Cálculos'!$F$97+'Cálculos'!$F$305)+'Cálculos'!$F$195)*('Cálculos'!$F$269+'Cálculos'!$F$124*(1+2.78*('Cálculos'!$F$200+(($B$225)-$A195)*'Cálculos'!$F$98)/(('Cálculos'!$F$200+(($B$225)-$A195)*'Cálculos'!$F$98)+1400)+'Cálculos'!$F$122)*'Cálculos'!$F$274+'Cálculos'!$F$125*(1+2.78*('Cálculos'!$F$200+(($B$225)-$A195)*'Cálculos'!$F$98)/(('Cálculos'!$F$200+(($B$225)-$A195)*'Cálculos'!$F$98)+1400)+'Cálculos'!$F$123)*'Cálculos'!$F$279)+('Cálculos'!$F$200+(($B$225)-$A195)*'Cálculos'!$F$98)*('Cálculos'!$F$270+'Cálculos'!$F$124*(1+2.78*('Cálculos'!$F$200+(($B$225)-$A195)*'Cálculos'!$F$98)/(('Cálculos'!$F$200+(($B$225)-$A195)*'Cálculos'!$F$98)+1400)+'Cálculos'!$F$122)*'Cálculos'!$F$275+'Cálculos'!$F$125*(1+2.78*('Cálculos'!$F$200+(($B$225)-$A195)*'Cálculos'!$F$98)/(('Cálculos'!$F$200+(($B$225)-$A195)*'Cálculos'!$F$98)+1400)+'Cálculos'!$F$123)*'Cálculos'!$F$280)+('Cálculos'!$F$201*(1+'Cálculos'!$F$202+$A195*('Cálculos'!$F$290=2)*'Cálculos'!$F$101)+'Cálculos'!$F$203)*('Cálculos'!$F$271+'Cálculos'!$F$124*(1+2.78*('Cálculos'!$F$200+(($B$225)-$A195)*'Cálculos'!$F$98)/(('Cálculos'!$F$200+(($B$225)-$A195)*'Cálculos'!$F$98)+1400)+'Cálculos'!$F$122)*'Cálculos'!$F$276+'Cálculos'!$F$125*(1+2.78*('Cálculos'!$F$200+(($B$225)-$A195)*'Cálculos'!$F$98)/(('Cálculos'!$F$200+(($B$225)-$A195)*'Cálculos'!$F$98)+1400)+'Cálculos'!$F$123)*'Cálculos'!$F$281)+('Cálculos'!$F$204*(1+'Cálculos'!$F$205+$A195*('Cálculos'!$F$290=3)*'Cálculos'!$F$103)+'Cálculos'!$F$206)*('Cálculos'!$F$272+'Cálculos'!$F$124*(1+2.78*('Cálculos'!$F$200+(($B$225)-$A195)*'Cálculos'!$F$98)/(('Cálculos'!$F$200+(($B$225)-$A195)*'Cálculos'!$F$98)+1400)+'Cálculos'!$F$122)*'Cálculos'!$F$277+'Cálculos'!$F$125*(1+2.78*('Cálculos'!$F$200+(($B$225)-$A195)*'Cálculos'!$F$98)/(('Cálculos'!$F$200+(($B$225)-$A195)*'Cálculos'!$F$98)+1400)+'Cálculos'!$F$123)*'Cálculos'!$F$282)))</f>
        <v>0</v>
      </c>
    </row>
    <row r="196" ht="15.75" customHeight="1">
      <c r="A196" s="2">
        <v>19.0</v>
      </c>
      <c r="B196" s="30">
        <f>SUMPRODUCT(MAX(($A$177:$A$222&lt;=$A196)*($A$177:$A$222&lt;='Cálculos'!$F$294)*(($A196)-$A$177:$A$222&lt;='Cálculos'!$F$295)*(1+(('Cálculos'!$F$207+$A$177:$A$222*'Cálculos'!$F$95)-(('Cálculos'!$F$207+$A$177:$A$222*'Cálculos'!$F$95)&gt;1)*(('Cálculos'!$F$207+$A$177:$A$222*'Cálculos'!$F$95)-1))*('Cálculos'!$F$208+(($A196)-$A$177:$A$222)*'Cálculos'!$F$96))))</f>
        <v>2.428664</v>
      </c>
      <c r="C196" s="2">
        <f>'Cálculos'!$F$303-$A196</f>
        <v>-1</v>
      </c>
      <c r="D196" s="31">
        <f>IF($C196&lt;0,0,SUMPRODUCT(MAX(($A$177:$A$222&lt;=$C196)*($A$177:$A$222&lt;='Cálculos'!$F$301)*(($C196)-$A$177:$A$222&lt;='Cálculos'!$F$297)*(('Cálculos'!$F$185*(1+'Cálculos'!$F$186+$A$177:$A$222*('Cálculos'!$F$290=1)*'Cálculos'!$F$97+'Cálculos'!$F$305)+'Cálculos'!$F$191)*('Cálculos'!$F$209+'Cálculos'!$F$124*(1+2.78*('Cálculos'!$F$196+(($C196)-$A$177:$A$222)*'Cálculos'!$F$98)/(('Cálculos'!$F$196+(($C196)-$A$177:$A$222)*'Cálculos'!$F$98)+1400)+'Cálculos'!$F$122)*'Cálculos'!$F$214+'Cálculos'!$F$125*(1+2.78*('Cálculos'!$F$196+(($C196)-$A$177:$A$222)*'Cálculos'!$F$98)/(('Cálculos'!$F$196+(($C196)-$A$177:$A$222)*'Cálculos'!$F$98)+1400)+'Cálculos'!$F$123)*'Cálculos'!$F$219)+('Cálculos'!$F$196+(($C196)-$A$177:$A$222)*'Cálculos'!$F$98)*('Cálculos'!$F$210+'Cálculos'!$F$124*(1+2.78*('Cálculos'!$F$196+(($C196)-$A$177:$A$222)*'Cálculos'!$F$98)/(('Cálculos'!$F$196+(($C196)-$A$177:$A$222)*'Cálculos'!$F$98)+1400)+'Cálculos'!$F$122)*'Cálculos'!$F$215+'Cálculos'!$F$125*(1+2.78*('Cálculos'!$F$196+(($C196)-$A$177:$A$222)*'Cálculos'!$F$98)/(('Cálculos'!$F$196+(($C196)-$A$177:$A$222)*'Cálculos'!$F$98)+1400)+'Cálculos'!$F$123)*'Cálculos'!$F$220)+('Cálculos'!$F$201*(1+'Cálculos'!$F$202+$A$177:$A$222*('Cálculos'!$F$290=2)*'Cálculos'!$F$101)+'Cálculos'!$F$203)*('Cálculos'!$F$211+'Cálculos'!$F$124*(1+2.78*('Cálculos'!$F$196+(($C196)-$A$177:$A$222)*'Cálculos'!$F$98)/(('Cálculos'!$F$196+(($C196)-$A$177:$A$222)*'Cálculos'!$F$98)+1400)+'Cálculos'!$F$122)*'Cálculos'!$F$216+'Cálculos'!$F$125*(1+2.78*('Cálculos'!$F$196+(($C196)-$A$177:$A$222)*'Cálculos'!$F$98)/(('Cálculos'!$F$196+(($C196)-$A$177:$A$222)*'Cálculos'!$F$98)+1400)+'Cálculos'!$F$123)*'Cálculos'!$F$221)+('Cálculos'!$F$204*(1+'Cálculos'!$F$205+$A$177:$A$222*('Cálculos'!$F$290=3)*'Cálculos'!$F$103)+'Cálculos'!$F$206)*('Cálculos'!$F$212+'Cálculos'!$F$124*(1+2.78*('Cálculos'!$F$196+(($C196)-$A$177:$A$222)*'Cálculos'!$F$98)/(('Cálculos'!$F$196+(($C196)-$A$177:$A$222)*'Cálculos'!$F$98)+1400)+'Cálculos'!$F$122)*'Cálculos'!$F$217+'Cálculos'!$F$125*(1+2.78*('Cálculos'!$F$196+(($C196)-$A$177:$A$222)*'Cálculos'!$F$98)/(('Cálculos'!$F$196+(($C196)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196)-$A$177:$A$222)*'Cálculos'!$F$98)/(('Cálculos'!$F$197+(($C196)-$A$177:$A$222)*'Cálculos'!$F$98)+1400)+'Cálculos'!$F$122)*'Cálculos'!$F$229+'Cálculos'!$F$125*(1+2.78*('Cálculos'!$F$197+(($C196)-$A$177:$A$222)*'Cálculos'!$F$98)/(('Cálculos'!$F$197+(($C196)-$A$177:$A$222)*'Cálculos'!$F$98)+1400)+'Cálculos'!$F$123)*'Cálculos'!$F$234)+('Cálculos'!$F$197+(($C196)-$A$177:$A$222)*'Cálculos'!$F$98)*('Cálculos'!$F$225+'Cálculos'!$F$124*(1+2.78*('Cálculos'!$F$197+(($C196)-$A$177:$A$222)*'Cálculos'!$F$98)/(('Cálculos'!$F$197+(($C196)-$A$177:$A$222)*'Cálculos'!$F$98)+1400)+'Cálculos'!$F$122)*'Cálculos'!$F$230+'Cálculos'!$F$125*(1+2.78*('Cálculos'!$F$197+(($C196)-$A$177:$A$222)*'Cálculos'!$F$98)/(('Cálculos'!$F$197+(($C196)-$A$177:$A$222)*'Cálculos'!$F$98)+1400)+'Cálculos'!$F$123)*'Cálculos'!$F$235)+('Cálculos'!$F$201*(1+'Cálculos'!$F$202+$A$177:$A$222*('Cálculos'!$F$290=2)*'Cálculos'!$F$101)+'Cálculos'!$F$203)*('Cálculos'!$F$226+'Cálculos'!$F$124*(1+2.78*('Cálculos'!$F$197+(($C196)-$A$177:$A$222)*'Cálculos'!$F$98)/(('Cálculos'!$F$197+(($C196)-$A$177:$A$222)*'Cálculos'!$F$98)+1400)+'Cálculos'!$F$122)*'Cálculos'!$F$231+'Cálculos'!$F$125*(1+2.78*('Cálculos'!$F$197+(($C196)-$A$177:$A$222)*'Cálculos'!$F$98)/(('Cálculos'!$F$197+(($C196)-$A$177:$A$222)*'Cálculos'!$F$98)+1400)+'Cálculos'!$F$123)*'Cálculos'!$F$236)+('Cálculos'!$F$204*(1+'Cálculos'!$F$205+$A$177:$A$222*('Cálculos'!$F$290=3)*'Cálculos'!$F$103)+'Cálculos'!$F$206)*('Cálculos'!$F$227+'Cálculos'!$F$124*(1+2.78*('Cálculos'!$F$197+(($C196)-$A$177:$A$222)*'Cálculos'!$F$98)/(('Cálculos'!$F$197+(($C196)-$A$177:$A$222)*'Cálculos'!$F$98)+1400)+'Cálculos'!$F$122)*'Cálculos'!$F$232+'Cálculos'!$F$125*(1+2.78*('Cálculos'!$F$197+(($C196)-$A$177:$A$222)*'Cálculos'!$F$98)/(('Cálculos'!$F$197+(($C196)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196)-$A$177:$A$222)*'Cálculos'!$F$98)/(('Cálculos'!$F$198+(($C196)-$A$177:$A$222)*'Cálculos'!$F$98)+1400)+'Cálculos'!$F$122)*'Cálculos'!$F$244+'Cálculos'!$F$125*(1+2.78*('Cálculos'!$F$198+(($C196)-$A$177:$A$222)*'Cálculos'!$F$98)/(('Cálculos'!$F$198+(($C196)-$A$177:$A$222)*'Cálculos'!$F$98)+1400)+'Cálculos'!$F$123)*'Cálculos'!$F$249)+('Cálculos'!$F$198+(($C196)-$A$177:$A$222)*'Cálculos'!$F$98)*('Cálculos'!$F$240+'Cálculos'!$F$124*(1+2.78*('Cálculos'!$F$198+(($C196)-$A$177:$A$222)*'Cálculos'!$F$98)/(('Cálculos'!$F$198+(($C196)-$A$177:$A$222)*'Cálculos'!$F$98)+1400)+'Cálculos'!$F$122)*'Cálculos'!$F$245+'Cálculos'!$F$125*(1+2.78*('Cálculos'!$F$198+(($C196)-$A$177:$A$222)*'Cálculos'!$F$98)/(('Cálculos'!$F$198+(($C196)-$A$177:$A$222)*'Cálculos'!$F$98)+1400)+'Cálculos'!$F$123)*'Cálculos'!$F$250)+('Cálculos'!$F$201*(1+'Cálculos'!$F$202+$A$177:$A$222*('Cálculos'!$F$290=2)*'Cálculos'!$F$101)+'Cálculos'!$F$203)*('Cálculos'!$F$241+'Cálculos'!$F$124*(1+2.78*('Cálculos'!$F$198+(($C196)-$A$177:$A$222)*'Cálculos'!$F$98)/(('Cálculos'!$F$198+(($C196)-$A$177:$A$222)*'Cálculos'!$F$98)+1400)+'Cálculos'!$F$122)*'Cálculos'!$F$246+'Cálculos'!$F$125*(1+2.78*('Cálculos'!$F$198+(($C196)-$A$177:$A$222)*'Cálculos'!$F$98)/(('Cálculos'!$F$198+(($C196)-$A$177:$A$222)*'Cálculos'!$F$98)+1400)+'Cálculos'!$F$123)*'Cálculos'!$F$251)+('Cálculos'!$F$204*(1+'Cálculos'!$F$205+$A$177:$A$222*('Cálculos'!$F$290=3)*'Cálculos'!$F$103)+'Cálculos'!$F$206)*('Cálculos'!$F$242+'Cálculos'!$F$124*(1+2.78*('Cálculos'!$F$198+(($C196)-$A$177:$A$222)*'Cálculos'!$F$98)/(('Cálculos'!$F$198+(($C196)-$A$177:$A$222)*'Cálculos'!$F$98)+1400)+'Cálculos'!$F$122)*'Cálculos'!$F$247+'Cálculos'!$F$125*(1+2.78*('Cálculos'!$F$198+(($C196)-$A$177:$A$222)*'Cálculos'!$F$98)/(('Cálculos'!$F$198+(($C196)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196)-$A$177:$A$222)*'Cálculos'!$F$98)/(('Cálculos'!$F$199+(($C196)-$A$177:$A$222)*'Cálculos'!$F$98)+1400)+'Cálculos'!$F$122)*'Cálculos'!$F$259+'Cálculos'!$F$125*(1+2.78*('Cálculos'!$F$199+(($C196)-$A$177:$A$222)*'Cálculos'!$F$98)/(('Cálculos'!$F$199+(($C196)-$A$177:$A$222)*'Cálculos'!$F$98)+1400)+'Cálculos'!$F$123)*'Cálculos'!$F$264)+('Cálculos'!$F$199+(($C196)-$A$177:$A$222)*'Cálculos'!$F$98)*('Cálculos'!$F$255+'Cálculos'!$F$124*(1+2.78*('Cálculos'!$F$199+(($C196)-$A$177:$A$222)*'Cálculos'!$F$98)/(('Cálculos'!$F$199+(($C196)-$A$177:$A$222)*'Cálculos'!$F$98)+1400)+'Cálculos'!$F$122)*'Cálculos'!$F$260+'Cálculos'!$F$125*(1+2.78*('Cálculos'!$F$199+(($C196)-$A$177:$A$222)*'Cálculos'!$F$98)/(('Cálculos'!$F$199+(($C196)-$A$177:$A$222)*'Cálculos'!$F$98)+1400)+'Cálculos'!$F$123)*'Cálculos'!$F$265)+('Cálculos'!$F$201*(1+'Cálculos'!$F$202+$A$177:$A$222*('Cálculos'!$F$290=2)*'Cálculos'!$F$101)+'Cálculos'!$F$203)*('Cálculos'!$F$256+'Cálculos'!$F$124*(1+2.78*('Cálculos'!$F$199+(($C196)-$A$177:$A$222)*'Cálculos'!$F$98)/(('Cálculos'!$F$199+(($C196)-$A$177:$A$222)*'Cálculos'!$F$98)+1400)+'Cálculos'!$F$122)*'Cálculos'!$F$261+'Cálculos'!$F$125*(1+2.78*('Cálculos'!$F$199+(($C196)-$A$177:$A$222)*'Cálculos'!$F$98)/(('Cálculos'!$F$199+(($C196)-$A$177:$A$222)*'Cálculos'!$F$98)+1400)+'Cálculos'!$F$123)*'Cálculos'!$F$266)+('Cálculos'!$F$204*(1+'Cálculos'!$F$205+$A$177:$A$222*('Cálculos'!$F$290=3)*'Cálculos'!$F$103)+'Cálculos'!$F$206)*('Cálculos'!$F$257+'Cálculos'!$F$124*(1+2.78*('Cálculos'!$F$199+(($C196)-$A$177:$A$222)*'Cálculos'!$F$98)/(('Cálculos'!$F$199+(($C196)-$A$177:$A$222)*'Cálculos'!$F$98)+1400)+'Cálculos'!$F$122)*'Cálculos'!$F$262+'Cálculos'!$F$125*(1+2.78*('Cálculos'!$F$199+(($C196)-$A$177:$A$222)*'Cálculos'!$F$98)/(('Cálculos'!$F$199+(($C196)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196)-$A$177:$A$222)*'Cálculos'!$F$98)/(('Cálculos'!$F$200+(($C196)-$A$177:$A$222)*'Cálculos'!$F$98)+1400)+'Cálculos'!$F$122)*'Cálculos'!$F$274+'Cálculos'!$F$125*(1+2.78*('Cálculos'!$F$200+(($C196)-$A$177:$A$222)*'Cálculos'!$F$98)/(('Cálculos'!$F$200+(($C196)-$A$177:$A$222)*'Cálculos'!$F$98)+1400)+'Cálculos'!$F$123)*'Cálculos'!$F$279)+('Cálculos'!$F$200+(($C196)-$A$177:$A$222)*'Cálculos'!$F$98)*('Cálculos'!$F$270+'Cálculos'!$F$124*(1+2.78*('Cálculos'!$F$200+(($C196)-$A$177:$A$222)*'Cálculos'!$F$98)/(('Cálculos'!$F$200+(($C196)-$A$177:$A$222)*'Cálculos'!$F$98)+1400)+'Cálculos'!$F$122)*'Cálculos'!$F$275+'Cálculos'!$F$125*(1+2.78*('Cálculos'!$F$200+(($C196)-$A$177:$A$222)*'Cálculos'!$F$98)/(('Cálculos'!$F$200+(($C196)-$A$177:$A$222)*'Cálculos'!$F$98)+1400)+'Cálculos'!$F$123)*'Cálculos'!$F$280)+('Cálculos'!$F$201*(1+'Cálculos'!$F$202+$A$177:$A$222*('Cálculos'!$F$290=2)*'Cálculos'!$F$101)+'Cálculos'!$F$203)*('Cálculos'!$F$271+'Cálculos'!$F$124*(1+2.78*('Cálculos'!$F$200+(($C196)-$A$177:$A$222)*'Cálculos'!$F$98)/(('Cálculos'!$F$200+(($C196)-$A$177:$A$222)*'Cálculos'!$F$98)+1400)+'Cálculos'!$F$122)*'Cálculos'!$F$276+'Cálculos'!$F$125*(1+2.78*('Cálculos'!$F$200+(($C196)-$A$177:$A$222)*'Cálculos'!$F$98)/(('Cálculos'!$F$200+(($C196)-$A$177:$A$222)*'Cálculos'!$F$98)+1400)+'Cálculos'!$F$123)*'Cálculos'!$F$281)+('Cálculos'!$F$204*(1+'Cálculos'!$F$205+$A$177:$A$222*('Cálculos'!$F$290=3)*'Cálculos'!$F$103)+'Cálculos'!$F$206)*('Cálculos'!$F$272+'Cálculos'!$F$124*(1+2.78*('Cálculos'!$F$200+(($C196)-$A$177:$A$222)*'Cálculos'!$F$98)/(('Cálculos'!$F$200+(($C196)-$A$177:$A$222)*'Cálculos'!$F$98)+1400)+'Cálculos'!$F$122)*'Cálculos'!$F$277+'Cálculos'!$F$125*(1+2.78*('Cálculos'!$F$200+(($C196)-$A$177:$A$222)*'Cálculos'!$F$98)/(('Cálculos'!$F$200+(($C196)-$A$177:$A$222)*'Cálculos'!$F$98)+1400)+'Cálculos'!$F$123)*'Cálculos'!$F$282)))))</f>
        <v>0</v>
      </c>
      <c r="E196" s="32">
        <f>IF(OR($C196&lt;0,'Cálculos'!$F$6=""),0,$B196*$D196)</f>
        <v>0</v>
      </c>
      <c r="F196" s="2"/>
      <c r="G196" s="30">
        <f>($A196&lt;=$B$224)*($A196&lt;='Cálculos'!$F$294)*(($B$224)-$A196&lt;='Cálculos'!$F$295)*(1+MIN(('Cálculos'!$F$207+$A196*'Cálculos'!$F$95),1)*('Cálculos'!$F$208+(($B$224)-$A196)*'Cálculos'!$F$96))</f>
        <v>0</v>
      </c>
      <c r="H196" s="31">
        <f>IF($B$225&lt;0,0,($A196&lt;=$B$225)*($A196&lt;='Cálculos'!$F$301)*(($B$225)-$A196&lt;='Cálculos'!$F$297)*(('Cálculos'!$F$185*(1+'Cálculos'!$F$186+$A196*('Cálculos'!$F$290=1)*'Cálculos'!$F$97+'Cálculos'!$F$305)+'Cálculos'!$F$191)*('Cálculos'!$F$209+'Cálculos'!$F$124*(1+2.78*('Cálculos'!$F$196+(($B$225)-$A196)*'Cálculos'!$F$98)/(('Cálculos'!$F$196+(($B$225)-$A196)*'Cálculos'!$F$98)+1400)+'Cálculos'!$F$122)*'Cálculos'!$F$214+'Cálculos'!$F$125*(1+2.78*('Cálculos'!$F$196+(($B$225)-$A196)*'Cálculos'!$F$98)/(('Cálculos'!$F$196+(($B$225)-$A196)*'Cálculos'!$F$98)+1400)+'Cálculos'!$F$123)*'Cálculos'!$F$219)+('Cálculos'!$F$196+(($B$225)-$A196)*'Cálculos'!$F$98)*('Cálculos'!$F$210+'Cálculos'!$F$124*(1+2.78*('Cálculos'!$F$196+(($B$225)-$A196)*'Cálculos'!$F$98)/(('Cálculos'!$F$196+(($B$225)-$A196)*'Cálculos'!$F$98)+1400)+'Cálculos'!$F$122)*'Cálculos'!$F$215+'Cálculos'!$F$125*(1+2.78*('Cálculos'!$F$196+(($B$225)-$A196)*'Cálculos'!$F$98)/(('Cálculos'!$F$196+(($B$225)-$A196)*'Cálculos'!$F$98)+1400)+'Cálculos'!$F$123)*'Cálculos'!$F$220)+('Cálculos'!$F$201*(1+'Cálculos'!$F$202+$A196*('Cálculos'!$F$290=2)*'Cálculos'!$F$101)+'Cálculos'!$F$203)*('Cálculos'!$F$211+'Cálculos'!$F$124*(1+2.78*('Cálculos'!$F$196+(($B$225)-$A196)*'Cálculos'!$F$98)/(('Cálculos'!$F$196+(($B$225)-$A196)*'Cálculos'!$F$98)+1400)+'Cálculos'!$F$122)*'Cálculos'!$F$216+'Cálculos'!$F$125*(1+2.78*('Cálculos'!$F$196+(($B$225)-$A196)*'Cálculos'!$F$98)/(('Cálculos'!$F$196+(($B$225)-$A196)*'Cálculos'!$F$98)+1400)+'Cálculos'!$F$123)*'Cálculos'!$F$221)+('Cálculos'!$F$204*(1+'Cálculos'!$F$205+$A196*('Cálculos'!$F$290=3)*'Cálculos'!$F$103)+'Cálculos'!$F$206)*('Cálculos'!$F$212+'Cálculos'!$F$124*(1+2.78*('Cálculos'!$F$196+(($B$225)-$A196)*'Cálculos'!$F$98)/(('Cálculos'!$F$196+(($B$225)-$A196)*'Cálculos'!$F$98)+1400)+'Cálculos'!$F$122)*'Cálculos'!$F$217+'Cálculos'!$F$125*(1+2.78*('Cálculos'!$F$196+(($B$225)-$A196)*'Cálculos'!$F$98)/(('Cálculos'!$F$196+(($B$225)-$A196)*'Cálculos'!$F$98)+1400)+'Cálculos'!$F$123)*'Cálculos'!$F$222)+('Cálculos'!$F$185*(1+'Cálculos'!$F$187+$A196*('Cálculos'!$F$290=1)*'Cálculos'!$F$97+'Cálculos'!$F$305)+'Cálculos'!$F$192)*('Cálculos'!$F$224+'Cálculos'!$F$124*(1+2.78*('Cálculos'!$F$197+(($B$225)-$A196)*'Cálculos'!$F$98)/(('Cálculos'!$F$197+(($B$225)-$A196)*'Cálculos'!$F$98)+1400)+'Cálculos'!$F$122)*'Cálculos'!$F$229+'Cálculos'!$F$125*(1+2.78*('Cálculos'!$F$197+(($B$225)-$A196)*'Cálculos'!$F$98)/(('Cálculos'!$F$197+(($B$225)-$A196)*'Cálculos'!$F$98)+1400)+'Cálculos'!$F$123)*'Cálculos'!$F$234)+('Cálculos'!$F$197+(($B$225)-$A196)*'Cálculos'!$F$98)*('Cálculos'!$F$225+'Cálculos'!$F$124*(1+2.78*('Cálculos'!$F$197+(($B$225)-$A196)*'Cálculos'!$F$98)/(('Cálculos'!$F$197+(($B$225)-$A196)*'Cálculos'!$F$98)+1400)+'Cálculos'!$F$122)*'Cálculos'!$F$230+'Cálculos'!$F$125*(1+2.78*('Cálculos'!$F$197+(($B$225)-$A196)*'Cálculos'!$F$98)/(('Cálculos'!$F$197+(($B$225)-$A196)*'Cálculos'!$F$98)+1400)+'Cálculos'!$F$123)*'Cálculos'!$F$235)+('Cálculos'!$F$201*(1+'Cálculos'!$F$202+$A196*('Cálculos'!$F$290=2)*'Cálculos'!$F$101)+'Cálculos'!$F$203)*('Cálculos'!$F$226+'Cálculos'!$F$124*(1+2.78*('Cálculos'!$F$197+(($B$225)-$A196)*'Cálculos'!$F$98)/(('Cálculos'!$F$197+(($B$225)-$A196)*'Cálculos'!$F$98)+1400)+'Cálculos'!$F$122)*'Cálculos'!$F$231+'Cálculos'!$F$125*(1+2.78*('Cálculos'!$F$197+(($B$225)-$A196)*'Cálculos'!$F$98)/(('Cálculos'!$F$197+(($B$225)-$A196)*'Cálculos'!$F$98)+1400)+'Cálculos'!$F$123)*'Cálculos'!$F$236)+('Cálculos'!$F$204*(1+'Cálculos'!$F$205+$A196*('Cálculos'!$F$290=3)*'Cálculos'!$F$103)+'Cálculos'!$F$206)*('Cálculos'!$F$227+'Cálculos'!$F$124*(1+2.78*('Cálculos'!$F$197+(($B$225)-$A196)*'Cálculos'!$F$98)/(('Cálculos'!$F$197+(($B$225)-$A196)*'Cálculos'!$F$98)+1400)+'Cálculos'!$F$122)*'Cálculos'!$F$232+'Cálculos'!$F$125*(1+2.78*('Cálculos'!$F$197+(($B$225)-$A196)*'Cálculos'!$F$98)/(('Cálculos'!$F$197+(($B$225)-$A196)*'Cálculos'!$F$98)+1400)+'Cálculos'!$F$123)*'Cálculos'!$F$237)+('Cálculos'!$F$185*(1+'Cálculos'!$F$188+$A196*('Cálculos'!$F$290=1)*'Cálculos'!$F$97+'Cálculos'!$F$305)+'Cálculos'!$F$193)*('Cálculos'!$F$239+'Cálculos'!$F$124*(1+2.78*('Cálculos'!$F$198+(($B$225)-$A196)*'Cálculos'!$F$98)/(('Cálculos'!$F$198+(($B$225)-$A196)*'Cálculos'!$F$98)+1400)+'Cálculos'!$F$122)*'Cálculos'!$F$244+'Cálculos'!$F$125*(1+2.78*('Cálculos'!$F$198+(($B$225)-$A196)*'Cálculos'!$F$98)/(('Cálculos'!$F$198+(($B$225)-$A196)*'Cálculos'!$F$98)+1400)+'Cálculos'!$F$123)*'Cálculos'!$F$249)+('Cálculos'!$F$198+(($B$225)-$A196)*'Cálculos'!$F$98)*('Cálculos'!$F$240+'Cálculos'!$F$124*(1+2.78*('Cálculos'!$F$198+(($B$225)-$A196)*'Cálculos'!$F$98)/(('Cálculos'!$F$198+(($B$225)-$A196)*'Cálculos'!$F$98)+1400)+'Cálculos'!$F$122)*'Cálculos'!$F$245+'Cálculos'!$F$125*(1+2.78*('Cálculos'!$F$198+(($B$225)-$A196)*'Cálculos'!$F$98)/(('Cálculos'!$F$198+(($B$225)-$A196)*'Cálculos'!$F$98)+1400)+'Cálculos'!$F$123)*'Cálculos'!$F$250)+('Cálculos'!$F$201*(1+'Cálculos'!$F$202+$A196*('Cálculos'!$F$290=2)*'Cálculos'!$F$101)+'Cálculos'!$F$203)*('Cálculos'!$F$241+'Cálculos'!$F$124*(1+2.78*('Cálculos'!$F$198+(($B$225)-$A196)*'Cálculos'!$F$98)/(('Cálculos'!$F$198+(($B$225)-$A196)*'Cálculos'!$F$98)+1400)+'Cálculos'!$F$122)*'Cálculos'!$F$246+'Cálculos'!$F$125*(1+2.78*('Cálculos'!$F$198+(($B$225)-$A196)*'Cálculos'!$F$98)/(('Cálculos'!$F$198+(($B$225)-$A196)*'Cálculos'!$F$98)+1400)+'Cálculos'!$F$123)*'Cálculos'!$F$251)+('Cálculos'!$F$204*(1+'Cálculos'!$F$205+$A196*('Cálculos'!$F$290=3)*'Cálculos'!$F$103)+'Cálculos'!$F$206)*('Cálculos'!$F$242+'Cálculos'!$F$124*(1+2.78*('Cálculos'!$F$198+(($B$225)-$A196)*'Cálculos'!$F$98)/(('Cálculos'!$F$198+(($B$225)-$A196)*'Cálculos'!$F$98)+1400)+'Cálculos'!$F$122)*'Cálculos'!$F$247+'Cálculos'!$F$125*(1+2.78*('Cálculos'!$F$198+(($B$225)-$A196)*'Cálculos'!$F$98)/(('Cálculos'!$F$198+(($B$225)-$A196)*'Cálculos'!$F$98)+1400)+'Cálculos'!$F$123)*'Cálculos'!$F$252)+('Cálculos'!$F$185*(1+'Cálculos'!$F$189+$A196*('Cálculos'!$F$290=1)*'Cálculos'!$F$97+'Cálculos'!$F$305)+'Cálculos'!$F$194)*('Cálculos'!$F$254+'Cálculos'!$F$124*(1+2.78*('Cálculos'!$F$199+(($B$225)-$A196)*'Cálculos'!$F$98)/(('Cálculos'!$F$199+(($B$225)-$A196)*'Cálculos'!$F$98)+1400)+'Cálculos'!$F$122)*'Cálculos'!$F$259+'Cálculos'!$F$125*(1+2.78*('Cálculos'!$F$199+(($B$225)-$A196)*'Cálculos'!$F$98)/(('Cálculos'!$F$199+(($B$225)-$A196)*'Cálculos'!$F$98)+1400)+'Cálculos'!$F$123)*'Cálculos'!$F$264)+('Cálculos'!$F$199+(($B$225)-$A196)*'Cálculos'!$F$98)*('Cálculos'!$F$255+'Cálculos'!$F$124*(1+2.78*('Cálculos'!$F$199+(($B$225)-$A196)*'Cálculos'!$F$98)/(('Cálculos'!$F$199+(($B$225)-$A196)*'Cálculos'!$F$98)+1400)+'Cálculos'!$F$122)*'Cálculos'!$F$260+'Cálculos'!$F$125*(1+2.78*('Cálculos'!$F$199+(($B$225)-$A196)*'Cálculos'!$F$98)/(('Cálculos'!$F$199+(($B$225)-$A196)*'Cálculos'!$F$98)+1400)+'Cálculos'!$F$123)*'Cálculos'!$F$265)+('Cálculos'!$F$201*(1+'Cálculos'!$F$202+$A196*('Cálculos'!$F$290=2)*'Cálculos'!$F$101)+'Cálculos'!$F$203)*('Cálculos'!$F$256+'Cálculos'!$F$124*(1+2.78*('Cálculos'!$F$199+(($B$225)-$A196)*'Cálculos'!$F$98)/(('Cálculos'!$F$199+(($B$225)-$A196)*'Cálculos'!$F$98)+1400)+'Cálculos'!$F$122)*'Cálculos'!$F$261+'Cálculos'!$F$125*(1+2.78*('Cálculos'!$F$199+(($B$225)-$A196)*'Cálculos'!$F$98)/(('Cálculos'!$F$199+(($B$225)-$A196)*'Cálculos'!$F$98)+1400)+'Cálculos'!$F$123)*'Cálculos'!$F$266)+('Cálculos'!$F$204*(1+'Cálculos'!$F$205+$A196*('Cálculos'!$F$290=3)*'Cálculos'!$F$103)+'Cálculos'!$F$206)*('Cálculos'!$F$257+'Cálculos'!$F$124*(1+2.78*('Cálculos'!$F$199+(($B$225)-$A196)*'Cálculos'!$F$98)/(('Cálculos'!$F$199+(($B$225)-$A196)*'Cálculos'!$F$98)+1400)+'Cálculos'!$F$122)*'Cálculos'!$F$262+'Cálculos'!$F$125*(1+2.78*('Cálculos'!$F$199+(($B$225)-$A196)*'Cálculos'!$F$98)/(('Cálculos'!$F$199+(($B$225)-$A196)*'Cálculos'!$F$98)+1400)+'Cálculos'!$F$123)*'Cálculos'!$F$267)+('Cálculos'!$F$185*(1+'Cálculos'!$F$190+$A196*('Cálculos'!$F$290=1)*'Cálculos'!$F$97+'Cálculos'!$F$305)+'Cálculos'!$F$195)*('Cálculos'!$F$269+'Cálculos'!$F$124*(1+2.78*('Cálculos'!$F$200+(($B$225)-$A196)*'Cálculos'!$F$98)/(('Cálculos'!$F$200+(($B$225)-$A196)*'Cálculos'!$F$98)+1400)+'Cálculos'!$F$122)*'Cálculos'!$F$274+'Cálculos'!$F$125*(1+2.78*('Cálculos'!$F$200+(($B$225)-$A196)*'Cálculos'!$F$98)/(('Cálculos'!$F$200+(($B$225)-$A196)*'Cálculos'!$F$98)+1400)+'Cálculos'!$F$123)*'Cálculos'!$F$279)+('Cálculos'!$F$200+(($B$225)-$A196)*'Cálculos'!$F$98)*('Cálculos'!$F$270+'Cálculos'!$F$124*(1+2.78*('Cálculos'!$F$200+(($B$225)-$A196)*'Cálculos'!$F$98)/(('Cálculos'!$F$200+(($B$225)-$A196)*'Cálculos'!$F$98)+1400)+'Cálculos'!$F$122)*'Cálculos'!$F$275+'Cálculos'!$F$125*(1+2.78*('Cálculos'!$F$200+(($B$225)-$A196)*'Cálculos'!$F$98)/(('Cálculos'!$F$200+(($B$225)-$A196)*'Cálculos'!$F$98)+1400)+'Cálculos'!$F$123)*'Cálculos'!$F$280)+('Cálculos'!$F$201*(1+'Cálculos'!$F$202+$A196*('Cálculos'!$F$290=2)*'Cálculos'!$F$101)+'Cálculos'!$F$203)*('Cálculos'!$F$271+'Cálculos'!$F$124*(1+2.78*('Cálculos'!$F$200+(($B$225)-$A196)*'Cálculos'!$F$98)/(('Cálculos'!$F$200+(($B$225)-$A196)*'Cálculos'!$F$98)+1400)+'Cálculos'!$F$122)*'Cálculos'!$F$276+'Cálculos'!$F$125*(1+2.78*('Cálculos'!$F$200+(($B$225)-$A196)*'Cálculos'!$F$98)/(('Cálculos'!$F$200+(($B$225)-$A196)*'Cálculos'!$F$98)+1400)+'Cálculos'!$F$123)*'Cálculos'!$F$281)+('Cálculos'!$F$204*(1+'Cálculos'!$F$205+$A196*('Cálculos'!$F$290=3)*'Cálculos'!$F$103)+'Cálculos'!$F$206)*('Cálculos'!$F$272+'Cálculos'!$F$124*(1+2.78*('Cálculos'!$F$200+(($B$225)-$A196)*'Cálculos'!$F$98)/(('Cálculos'!$F$200+(($B$225)-$A196)*'Cálculos'!$F$98)+1400)+'Cálculos'!$F$122)*'Cálculos'!$F$277+'Cálculos'!$F$125*(1+2.78*('Cálculos'!$F$200+(($B$225)-$A196)*'Cálculos'!$F$98)/(('Cálculos'!$F$200+(($B$225)-$A196)*'Cálculos'!$F$98)+1400)+'Cálculos'!$F$123)*'Cálculos'!$F$282)))</f>
        <v>0</v>
      </c>
    </row>
    <row r="197" ht="15.75" customHeight="1">
      <c r="A197" s="2">
        <v>20.0</v>
      </c>
      <c r="B197" s="30">
        <f>SUMPRODUCT(MAX(($A$177:$A$222&lt;=$A197)*($A$177:$A$222&lt;='Cálculos'!$F$294)*(($A197)-$A$177:$A$222&lt;='Cálculos'!$F$295)*(1+(('Cálculos'!$F$207+$A$177:$A$222*'Cálculos'!$F$95)-(('Cálculos'!$F$207+$A$177:$A$222*'Cálculos'!$F$95)&gt;1)*(('Cálculos'!$F$207+$A$177:$A$222*'Cálculos'!$F$95)-1))*('Cálculos'!$F$208+(($A197)-$A$177:$A$222)*'Cálculos'!$F$96))))</f>
        <v>2.48516</v>
      </c>
      <c r="C197" s="2">
        <f>'Cálculos'!$F$303-$A197</f>
        <v>-2</v>
      </c>
      <c r="D197" s="31">
        <f>IF($C197&lt;0,0,SUMPRODUCT(MAX(($A$177:$A$222&lt;=$C197)*($A$177:$A$222&lt;='Cálculos'!$F$301)*(($C197)-$A$177:$A$222&lt;='Cálculos'!$F$297)*(('Cálculos'!$F$185*(1+'Cálculos'!$F$186+$A$177:$A$222*('Cálculos'!$F$290=1)*'Cálculos'!$F$97+'Cálculos'!$F$305)+'Cálculos'!$F$191)*('Cálculos'!$F$209+'Cálculos'!$F$124*(1+2.78*('Cálculos'!$F$196+(($C197)-$A$177:$A$222)*'Cálculos'!$F$98)/(('Cálculos'!$F$196+(($C197)-$A$177:$A$222)*'Cálculos'!$F$98)+1400)+'Cálculos'!$F$122)*'Cálculos'!$F$214+'Cálculos'!$F$125*(1+2.78*('Cálculos'!$F$196+(($C197)-$A$177:$A$222)*'Cálculos'!$F$98)/(('Cálculos'!$F$196+(($C197)-$A$177:$A$222)*'Cálculos'!$F$98)+1400)+'Cálculos'!$F$123)*'Cálculos'!$F$219)+('Cálculos'!$F$196+(($C197)-$A$177:$A$222)*'Cálculos'!$F$98)*('Cálculos'!$F$210+'Cálculos'!$F$124*(1+2.78*('Cálculos'!$F$196+(($C197)-$A$177:$A$222)*'Cálculos'!$F$98)/(('Cálculos'!$F$196+(($C197)-$A$177:$A$222)*'Cálculos'!$F$98)+1400)+'Cálculos'!$F$122)*'Cálculos'!$F$215+'Cálculos'!$F$125*(1+2.78*('Cálculos'!$F$196+(($C197)-$A$177:$A$222)*'Cálculos'!$F$98)/(('Cálculos'!$F$196+(($C197)-$A$177:$A$222)*'Cálculos'!$F$98)+1400)+'Cálculos'!$F$123)*'Cálculos'!$F$220)+('Cálculos'!$F$201*(1+'Cálculos'!$F$202+$A$177:$A$222*('Cálculos'!$F$290=2)*'Cálculos'!$F$101)+'Cálculos'!$F$203)*('Cálculos'!$F$211+'Cálculos'!$F$124*(1+2.78*('Cálculos'!$F$196+(($C197)-$A$177:$A$222)*'Cálculos'!$F$98)/(('Cálculos'!$F$196+(($C197)-$A$177:$A$222)*'Cálculos'!$F$98)+1400)+'Cálculos'!$F$122)*'Cálculos'!$F$216+'Cálculos'!$F$125*(1+2.78*('Cálculos'!$F$196+(($C197)-$A$177:$A$222)*'Cálculos'!$F$98)/(('Cálculos'!$F$196+(($C197)-$A$177:$A$222)*'Cálculos'!$F$98)+1400)+'Cálculos'!$F$123)*'Cálculos'!$F$221)+('Cálculos'!$F$204*(1+'Cálculos'!$F$205+$A$177:$A$222*('Cálculos'!$F$290=3)*'Cálculos'!$F$103)+'Cálculos'!$F$206)*('Cálculos'!$F$212+'Cálculos'!$F$124*(1+2.78*('Cálculos'!$F$196+(($C197)-$A$177:$A$222)*'Cálculos'!$F$98)/(('Cálculos'!$F$196+(($C197)-$A$177:$A$222)*'Cálculos'!$F$98)+1400)+'Cálculos'!$F$122)*'Cálculos'!$F$217+'Cálculos'!$F$125*(1+2.78*('Cálculos'!$F$196+(($C197)-$A$177:$A$222)*'Cálculos'!$F$98)/(('Cálculos'!$F$196+(($C197)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197)-$A$177:$A$222)*'Cálculos'!$F$98)/(('Cálculos'!$F$197+(($C197)-$A$177:$A$222)*'Cálculos'!$F$98)+1400)+'Cálculos'!$F$122)*'Cálculos'!$F$229+'Cálculos'!$F$125*(1+2.78*('Cálculos'!$F$197+(($C197)-$A$177:$A$222)*'Cálculos'!$F$98)/(('Cálculos'!$F$197+(($C197)-$A$177:$A$222)*'Cálculos'!$F$98)+1400)+'Cálculos'!$F$123)*'Cálculos'!$F$234)+('Cálculos'!$F$197+(($C197)-$A$177:$A$222)*'Cálculos'!$F$98)*('Cálculos'!$F$225+'Cálculos'!$F$124*(1+2.78*('Cálculos'!$F$197+(($C197)-$A$177:$A$222)*'Cálculos'!$F$98)/(('Cálculos'!$F$197+(($C197)-$A$177:$A$222)*'Cálculos'!$F$98)+1400)+'Cálculos'!$F$122)*'Cálculos'!$F$230+'Cálculos'!$F$125*(1+2.78*('Cálculos'!$F$197+(($C197)-$A$177:$A$222)*'Cálculos'!$F$98)/(('Cálculos'!$F$197+(($C197)-$A$177:$A$222)*'Cálculos'!$F$98)+1400)+'Cálculos'!$F$123)*'Cálculos'!$F$235)+('Cálculos'!$F$201*(1+'Cálculos'!$F$202+$A$177:$A$222*('Cálculos'!$F$290=2)*'Cálculos'!$F$101)+'Cálculos'!$F$203)*('Cálculos'!$F$226+'Cálculos'!$F$124*(1+2.78*('Cálculos'!$F$197+(($C197)-$A$177:$A$222)*'Cálculos'!$F$98)/(('Cálculos'!$F$197+(($C197)-$A$177:$A$222)*'Cálculos'!$F$98)+1400)+'Cálculos'!$F$122)*'Cálculos'!$F$231+'Cálculos'!$F$125*(1+2.78*('Cálculos'!$F$197+(($C197)-$A$177:$A$222)*'Cálculos'!$F$98)/(('Cálculos'!$F$197+(($C197)-$A$177:$A$222)*'Cálculos'!$F$98)+1400)+'Cálculos'!$F$123)*'Cálculos'!$F$236)+('Cálculos'!$F$204*(1+'Cálculos'!$F$205+$A$177:$A$222*('Cálculos'!$F$290=3)*'Cálculos'!$F$103)+'Cálculos'!$F$206)*('Cálculos'!$F$227+'Cálculos'!$F$124*(1+2.78*('Cálculos'!$F$197+(($C197)-$A$177:$A$222)*'Cálculos'!$F$98)/(('Cálculos'!$F$197+(($C197)-$A$177:$A$222)*'Cálculos'!$F$98)+1400)+'Cálculos'!$F$122)*'Cálculos'!$F$232+'Cálculos'!$F$125*(1+2.78*('Cálculos'!$F$197+(($C197)-$A$177:$A$222)*'Cálculos'!$F$98)/(('Cálculos'!$F$197+(($C197)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197)-$A$177:$A$222)*'Cálculos'!$F$98)/(('Cálculos'!$F$198+(($C197)-$A$177:$A$222)*'Cálculos'!$F$98)+1400)+'Cálculos'!$F$122)*'Cálculos'!$F$244+'Cálculos'!$F$125*(1+2.78*('Cálculos'!$F$198+(($C197)-$A$177:$A$222)*'Cálculos'!$F$98)/(('Cálculos'!$F$198+(($C197)-$A$177:$A$222)*'Cálculos'!$F$98)+1400)+'Cálculos'!$F$123)*'Cálculos'!$F$249)+('Cálculos'!$F$198+(($C197)-$A$177:$A$222)*'Cálculos'!$F$98)*('Cálculos'!$F$240+'Cálculos'!$F$124*(1+2.78*('Cálculos'!$F$198+(($C197)-$A$177:$A$222)*'Cálculos'!$F$98)/(('Cálculos'!$F$198+(($C197)-$A$177:$A$222)*'Cálculos'!$F$98)+1400)+'Cálculos'!$F$122)*'Cálculos'!$F$245+'Cálculos'!$F$125*(1+2.78*('Cálculos'!$F$198+(($C197)-$A$177:$A$222)*'Cálculos'!$F$98)/(('Cálculos'!$F$198+(($C197)-$A$177:$A$222)*'Cálculos'!$F$98)+1400)+'Cálculos'!$F$123)*'Cálculos'!$F$250)+('Cálculos'!$F$201*(1+'Cálculos'!$F$202+$A$177:$A$222*('Cálculos'!$F$290=2)*'Cálculos'!$F$101)+'Cálculos'!$F$203)*('Cálculos'!$F$241+'Cálculos'!$F$124*(1+2.78*('Cálculos'!$F$198+(($C197)-$A$177:$A$222)*'Cálculos'!$F$98)/(('Cálculos'!$F$198+(($C197)-$A$177:$A$222)*'Cálculos'!$F$98)+1400)+'Cálculos'!$F$122)*'Cálculos'!$F$246+'Cálculos'!$F$125*(1+2.78*('Cálculos'!$F$198+(($C197)-$A$177:$A$222)*'Cálculos'!$F$98)/(('Cálculos'!$F$198+(($C197)-$A$177:$A$222)*'Cálculos'!$F$98)+1400)+'Cálculos'!$F$123)*'Cálculos'!$F$251)+('Cálculos'!$F$204*(1+'Cálculos'!$F$205+$A$177:$A$222*('Cálculos'!$F$290=3)*'Cálculos'!$F$103)+'Cálculos'!$F$206)*('Cálculos'!$F$242+'Cálculos'!$F$124*(1+2.78*('Cálculos'!$F$198+(($C197)-$A$177:$A$222)*'Cálculos'!$F$98)/(('Cálculos'!$F$198+(($C197)-$A$177:$A$222)*'Cálculos'!$F$98)+1400)+'Cálculos'!$F$122)*'Cálculos'!$F$247+'Cálculos'!$F$125*(1+2.78*('Cálculos'!$F$198+(($C197)-$A$177:$A$222)*'Cálculos'!$F$98)/(('Cálculos'!$F$198+(($C197)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197)-$A$177:$A$222)*'Cálculos'!$F$98)/(('Cálculos'!$F$199+(($C197)-$A$177:$A$222)*'Cálculos'!$F$98)+1400)+'Cálculos'!$F$122)*'Cálculos'!$F$259+'Cálculos'!$F$125*(1+2.78*('Cálculos'!$F$199+(($C197)-$A$177:$A$222)*'Cálculos'!$F$98)/(('Cálculos'!$F$199+(($C197)-$A$177:$A$222)*'Cálculos'!$F$98)+1400)+'Cálculos'!$F$123)*'Cálculos'!$F$264)+('Cálculos'!$F$199+(($C197)-$A$177:$A$222)*'Cálculos'!$F$98)*('Cálculos'!$F$255+'Cálculos'!$F$124*(1+2.78*('Cálculos'!$F$199+(($C197)-$A$177:$A$222)*'Cálculos'!$F$98)/(('Cálculos'!$F$199+(($C197)-$A$177:$A$222)*'Cálculos'!$F$98)+1400)+'Cálculos'!$F$122)*'Cálculos'!$F$260+'Cálculos'!$F$125*(1+2.78*('Cálculos'!$F$199+(($C197)-$A$177:$A$222)*'Cálculos'!$F$98)/(('Cálculos'!$F$199+(($C197)-$A$177:$A$222)*'Cálculos'!$F$98)+1400)+'Cálculos'!$F$123)*'Cálculos'!$F$265)+('Cálculos'!$F$201*(1+'Cálculos'!$F$202+$A$177:$A$222*('Cálculos'!$F$290=2)*'Cálculos'!$F$101)+'Cálculos'!$F$203)*('Cálculos'!$F$256+'Cálculos'!$F$124*(1+2.78*('Cálculos'!$F$199+(($C197)-$A$177:$A$222)*'Cálculos'!$F$98)/(('Cálculos'!$F$199+(($C197)-$A$177:$A$222)*'Cálculos'!$F$98)+1400)+'Cálculos'!$F$122)*'Cálculos'!$F$261+'Cálculos'!$F$125*(1+2.78*('Cálculos'!$F$199+(($C197)-$A$177:$A$222)*'Cálculos'!$F$98)/(('Cálculos'!$F$199+(($C197)-$A$177:$A$222)*'Cálculos'!$F$98)+1400)+'Cálculos'!$F$123)*'Cálculos'!$F$266)+('Cálculos'!$F$204*(1+'Cálculos'!$F$205+$A$177:$A$222*('Cálculos'!$F$290=3)*'Cálculos'!$F$103)+'Cálculos'!$F$206)*('Cálculos'!$F$257+'Cálculos'!$F$124*(1+2.78*('Cálculos'!$F$199+(($C197)-$A$177:$A$222)*'Cálculos'!$F$98)/(('Cálculos'!$F$199+(($C197)-$A$177:$A$222)*'Cálculos'!$F$98)+1400)+'Cálculos'!$F$122)*'Cálculos'!$F$262+'Cálculos'!$F$125*(1+2.78*('Cálculos'!$F$199+(($C197)-$A$177:$A$222)*'Cálculos'!$F$98)/(('Cálculos'!$F$199+(($C197)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197)-$A$177:$A$222)*'Cálculos'!$F$98)/(('Cálculos'!$F$200+(($C197)-$A$177:$A$222)*'Cálculos'!$F$98)+1400)+'Cálculos'!$F$122)*'Cálculos'!$F$274+'Cálculos'!$F$125*(1+2.78*('Cálculos'!$F$200+(($C197)-$A$177:$A$222)*'Cálculos'!$F$98)/(('Cálculos'!$F$200+(($C197)-$A$177:$A$222)*'Cálculos'!$F$98)+1400)+'Cálculos'!$F$123)*'Cálculos'!$F$279)+('Cálculos'!$F$200+(($C197)-$A$177:$A$222)*'Cálculos'!$F$98)*('Cálculos'!$F$270+'Cálculos'!$F$124*(1+2.78*('Cálculos'!$F$200+(($C197)-$A$177:$A$222)*'Cálculos'!$F$98)/(('Cálculos'!$F$200+(($C197)-$A$177:$A$222)*'Cálculos'!$F$98)+1400)+'Cálculos'!$F$122)*'Cálculos'!$F$275+'Cálculos'!$F$125*(1+2.78*('Cálculos'!$F$200+(($C197)-$A$177:$A$222)*'Cálculos'!$F$98)/(('Cálculos'!$F$200+(($C197)-$A$177:$A$222)*'Cálculos'!$F$98)+1400)+'Cálculos'!$F$123)*'Cálculos'!$F$280)+('Cálculos'!$F$201*(1+'Cálculos'!$F$202+$A$177:$A$222*('Cálculos'!$F$290=2)*'Cálculos'!$F$101)+'Cálculos'!$F$203)*('Cálculos'!$F$271+'Cálculos'!$F$124*(1+2.78*('Cálculos'!$F$200+(($C197)-$A$177:$A$222)*'Cálculos'!$F$98)/(('Cálculos'!$F$200+(($C197)-$A$177:$A$222)*'Cálculos'!$F$98)+1400)+'Cálculos'!$F$122)*'Cálculos'!$F$276+'Cálculos'!$F$125*(1+2.78*('Cálculos'!$F$200+(($C197)-$A$177:$A$222)*'Cálculos'!$F$98)/(('Cálculos'!$F$200+(($C197)-$A$177:$A$222)*'Cálculos'!$F$98)+1400)+'Cálculos'!$F$123)*'Cálculos'!$F$281)+('Cálculos'!$F$204*(1+'Cálculos'!$F$205+$A$177:$A$222*('Cálculos'!$F$290=3)*'Cálculos'!$F$103)+'Cálculos'!$F$206)*('Cálculos'!$F$272+'Cálculos'!$F$124*(1+2.78*('Cálculos'!$F$200+(($C197)-$A$177:$A$222)*'Cálculos'!$F$98)/(('Cálculos'!$F$200+(($C197)-$A$177:$A$222)*'Cálculos'!$F$98)+1400)+'Cálculos'!$F$122)*'Cálculos'!$F$277+'Cálculos'!$F$125*(1+2.78*('Cálculos'!$F$200+(($C197)-$A$177:$A$222)*'Cálculos'!$F$98)/(('Cálculos'!$F$200+(($C197)-$A$177:$A$222)*'Cálculos'!$F$98)+1400)+'Cálculos'!$F$123)*'Cálculos'!$F$282)))))</f>
        <v>0</v>
      </c>
      <c r="E197" s="32">
        <f>IF(OR($C197&lt;0,'Cálculos'!$F$6=""),0,$B197*$D197)</f>
        <v>0</v>
      </c>
      <c r="F197" s="2"/>
      <c r="G197" s="30">
        <f>($A197&lt;=$B$224)*($A197&lt;='Cálculos'!$F$294)*(($B$224)-$A197&lt;='Cálculos'!$F$295)*(1+MIN(('Cálculos'!$F$207+$A197*'Cálculos'!$F$95),1)*('Cálculos'!$F$208+(($B$224)-$A197)*'Cálculos'!$F$96))</f>
        <v>0</v>
      </c>
      <c r="H197" s="31">
        <f>IF($B$225&lt;0,0,($A197&lt;=$B$225)*($A197&lt;='Cálculos'!$F$301)*(($B$225)-$A197&lt;='Cálculos'!$F$297)*(('Cálculos'!$F$185*(1+'Cálculos'!$F$186+$A197*('Cálculos'!$F$290=1)*'Cálculos'!$F$97+'Cálculos'!$F$305)+'Cálculos'!$F$191)*('Cálculos'!$F$209+'Cálculos'!$F$124*(1+2.78*('Cálculos'!$F$196+(($B$225)-$A197)*'Cálculos'!$F$98)/(('Cálculos'!$F$196+(($B$225)-$A197)*'Cálculos'!$F$98)+1400)+'Cálculos'!$F$122)*'Cálculos'!$F$214+'Cálculos'!$F$125*(1+2.78*('Cálculos'!$F$196+(($B$225)-$A197)*'Cálculos'!$F$98)/(('Cálculos'!$F$196+(($B$225)-$A197)*'Cálculos'!$F$98)+1400)+'Cálculos'!$F$123)*'Cálculos'!$F$219)+('Cálculos'!$F$196+(($B$225)-$A197)*'Cálculos'!$F$98)*('Cálculos'!$F$210+'Cálculos'!$F$124*(1+2.78*('Cálculos'!$F$196+(($B$225)-$A197)*'Cálculos'!$F$98)/(('Cálculos'!$F$196+(($B$225)-$A197)*'Cálculos'!$F$98)+1400)+'Cálculos'!$F$122)*'Cálculos'!$F$215+'Cálculos'!$F$125*(1+2.78*('Cálculos'!$F$196+(($B$225)-$A197)*'Cálculos'!$F$98)/(('Cálculos'!$F$196+(($B$225)-$A197)*'Cálculos'!$F$98)+1400)+'Cálculos'!$F$123)*'Cálculos'!$F$220)+('Cálculos'!$F$201*(1+'Cálculos'!$F$202+$A197*('Cálculos'!$F$290=2)*'Cálculos'!$F$101)+'Cálculos'!$F$203)*('Cálculos'!$F$211+'Cálculos'!$F$124*(1+2.78*('Cálculos'!$F$196+(($B$225)-$A197)*'Cálculos'!$F$98)/(('Cálculos'!$F$196+(($B$225)-$A197)*'Cálculos'!$F$98)+1400)+'Cálculos'!$F$122)*'Cálculos'!$F$216+'Cálculos'!$F$125*(1+2.78*('Cálculos'!$F$196+(($B$225)-$A197)*'Cálculos'!$F$98)/(('Cálculos'!$F$196+(($B$225)-$A197)*'Cálculos'!$F$98)+1400)+'Cálculos'!$F$123)*'Cálculos'!$F$221)+('Cálculos'!$F$204*(1+'Cálculos'!$F$205+$A197*('Cálculos'!$F$290=3)*'Cálculos'!$F$103)+'Cálculos'!$F$206)*('Cálculos'!$F$212+'Cálculos'!$F$124*(1+2.78*('Cálculos'!$F$196+(($B$225)-$A197)*'Cálculos'!$F$98)/(('Cálculos'!$F$196+(($B$225)-$A197)*'Cálculos'!$F$98)+1400)+'Cálculos'!$F$122)*'Cálculos'!$F$217+'Cálculos'!$F$125*(1+2.78*('Cálculos'!$F$196+(($B$225)-$A197)*'Cálculos'!$F$98)/(('Cálculos'!$F$196+(($B$225)-$A197)*'Cálculos'!$F$98)+1400)+'Cálculos'!$F$123)*'Cálculos'!$F$222)+('Cálculos'!$F$185*(1+'Cálculos'!$F$187+$A197*('Cálculos'!$F$290=1)*'Cálculos'!$F$97+'Cálculos'!$F$305)+'Cálculos'!$F$192)*('Cálculos'!$F$224+'Cálculos'!$F$124*(1+2.78*('Cálculos'!$F$197+(($B$225)-$A197)*'Cálculos'!$F$98)/(('Cálculos'!$F$197+(($B$225)-$A197)*'Cálculos'!$F$98)+1400)+'Cálculos'!$F$122)*'Cálculos'!$F$229+'Cálculos'!$F$125*(1+2.78*('Cálculos'!$F$197+(($B$225)-$A197)*'Cálculos'!$F$98)/(('Cálculos'!$F$197+(($B$225)-$A197)*'Cálculos'!$F$98)+1400)+'Cálculos'!$F$123)*'Cálculos'!$F$234)+('Cálculos'!$F$197+(($B$225)-$A197)*'Cálculos'!$F$98)*('Cálculos'!$F$225+'Cálculos'!$F$124*(1+2.78*('Cálculos'!$F$197+(($B$225)-$A197)*'Cálculos'!$F$98)/(('Cálculos'!$F$197+(($B$225)-$A197)*'Cálculos'!$F$98)+1400)+'Cálculos'!$F$122)*'Cálculos'!$F$230+'Cálculos'!$F$125*(1+2.78*('Cálculos'!$F$197+(($B$225)-$A197)*'Cálculos'!$F$98)/(('Cálculos'!$F$197+(($B$225)-$A197)*'Cálculos'!$F$98)+1400)+'Cálculos'!$F$123)*'Cálculos'!$F$235)+('Cálculos'!$F$201*(1+'Cálculos'!$F$202+$A197*('Cálculos'!$F$290=2)*'Cálculos'!$F$101)+'Cálculos'!$F$203)*('Cálculos'!$F$226+'Cálculos'!$F$124*(1+2.78*('Cálculos'!$F$197+(($B$225)-$A197)*'Cálculos'!$F$98)/(('Cálculos'!$F$197+(($B$225)-$A197)*'Cálculos'!$F$98)+1400)+'Cálculos'!$F$122)*'Cálculos'!$F$231+'Cálculos'!$F$125*(1+2.78*('Cálculos'!$F$197+(($B$225)-$A197)*'Cálculos'!$F$98)/(('Cálculos'!$F$197+(($B$225)-$A197)*'Cálculos'!$F$98)+1400)+'Cálculos'!$F$123)*'Cálculos'!$F$236)+('Cálculos'!$F$204*(1+'Cálculos'!$F$205+$A197*('Cálculos'!$F$290=3)*'Cálculos'!$F$103)+'Cálculos'!$F$206)*('Cálculos'!$F$227+'Cálculos'!$F$124*(1+2.78*('Cálculos'!$F$197+(($B$225)-$A197)*'Cálculos'!$F$98)/(('Cálculos'!$F$197+(($B$225)-$A197)*'Cálculos'!$F$98)+1400)+'Cálculos'!$F$122)*'Cálculos'!$F$232+'Cálculos'!$F$125*(1+2.78*('Cálculos'!$F$197+(($B$225)-$A197)*'Cálculos'!$F$98)/(('Cálculos'!$F$197+(($B$225)-$A197)*'Cálculos'!$F$98)+1400)+'Cálculos'!$F$123)*'Cálculos'!$F$237)+('Cálculos'!$F$185*(1+'Cálculos'!$F$188+$A197*('Cálculos'!$F$290=1)*'Cálculos'!$F$97+'Cálculos'!$F$305)+'Cálculos'!$F$193)*('Cálculos'!$F$239+'Cálculos'!$F$124*(1+2.78*('Cálculos'!$F$198+(($B$225)-$A197)*'Cálculos'!$F$98)/(('Cálculos'!$F$198+(($B$225)-$A197)*'Cálculos'!$F$98)+1400)+'Cálculos'!$F$122)*'Cálculos'!$F$244+'Cálculos'!$F$125*(1+2.78*('Cálculos'!$F$198+(($B$225)-$A197)*'Cálculos'!$F$98)/(('Cálculos'!$F$198+(($B$225)-$A197)*'Cálculos'!$F$98)+1400)+'Cálculos'!$F$123)*'Cálculos'!$F$249)+('Cálculos'!$F$198+(($B$225)-$A197)*'Cálculos'!$F$98)*('Cálculos'!$F$240+'Cálculos'!$F$124*(1+2.78*('Cálculos'!$F$198+(($B$225)-$A197)*'Cálculos'!$F$98)/(('Cálculos'!$F$198+(($B$225)-$A197)*'Cálculos'!$F$98)+1400)+'Cálculos'!$F$122)*'Cálculos'!$F$245+'Cálculos'!$F$125*(1+2.78*('Cálculos'!$F$198+(($B$225)-$A197)*'Cálculos'!$F$98)/(('Cálculos'!$F$198+(($B$225)-$A197)*'Cálculos'!$F$98)+1400)+'Cálculos'!$F$123)*'Cálculos'!$F$250)+('Cálculos'!$F$201*(1+'Cálculos'!$F$202+$A197*('Cálculos'!$F$290=2)*'Cálculos'!$F$101)+'Cálculos'!$F$203)*('Cálculos'!$F$241+'Cálculos'!$F$124*(1+2.78*('Cálculos'!$F$198+(($B$225)-$A197)*'Cálculos'!$F$98)/(('Cálculos'!$F$198+(($B$225)-$A197)*'Cálculos'!$F$98)+1400)+'Cálculos'!$F$122)*'Cálculos'!$F$246+'Cálculos'!$F$125*(1+2.78*('Cálculos'!$F$198+(($B$225)-$A197)*'Cálculos'!$F$98)/(('Cálculos'!$F$198+(($B$225)-$A197)*'Cálculos'!$F$98)+1400)+'Cálculos'!$F$123)*'Cálculos'!$F$251)+('Cálculos'!$F$204*(1+'Cálculos'!$F$205+$A197*('Cálculos'!$F$290=3)*'Cálculos'!$F$103)+'Cálculos'!$F$206)*('Cálculos'!$F$242+'Cálculos'!$F$124*(1+2.78*('Cálculos'!$F$198+(($B$225)-$A197)*'Cálculos'!$F$98)/(('Cálculos'!$F$198+(($B$225)-$A197)*'Cálculos'!$F$98)+1400)+'Cálculos'!$F$122)*'Cálculos'!$F$247+'Cálculos'!$F$125*(1+2.78*('Cálculos'!$F$198+(($B$225)-$A197)*'Cálculos'!$F$98)/(('Cálculos'!$F$198+(($B$225)-$A197)*'Cálculos'!$F$98)+1400)+'Cálculos'!$F$123)*'Cálculos'!$F$252)+('Cálculos'!$F$185*(1+'Cálculos'!$F$189+$A197*('Cálculos'!$F$290=1)*'Cálculos'!$F$97+'Cálculos'!$F$305)+'Cálculos'!$F$194)*('Cálculos'!$F$254+'Cálculos'!$F$124*(1+2.78*('Cálculos'!$F$199+(($B$225)-$A197)*'Cálculos'!$F$98)/(('Cálculos'!$F$199+(($B$225)-$A197)*'Cálculos'!$F$98)+1400)+'Cálculos'!$F$122)*'Cálculos'!$F$259+'Cálculos'!$F$125*(1+2.78*('Cálculos'!$F$199+(($B$225)-$A197)*'Cálculos'!$F$98)/(('Cálculos'!$F$199+(($B$225)-$A197)*'Cálculos'!$F$98)+1400)+'Cálculos'!$F$123)*'Cálculos'!$F$264)+('Cálculos'!$F$199+(($B$225)-$A197)*'Cálculos'!$F$98)*('Cálculos'!$F$255+'Cálculos'!$F$124*(1+2.78*('Cálculos'!$F$199+(($B$225)-$A197)*'Cálculos'!$F$98)/(('Cálculos'!$F$199+(($B$225)-$A197)*'Cálculos'!$F$98)+1400)+'Cálculos'!$F$122)*'Cálculos'!$F$260+'Cálculos'!$F$125*(1+2.78*('Cálculos'!$F$199+(($B$225)-$A197)*'Cálculos'!$F$98)/(('Cálculos'!$F$199+(($B$225)-$A197)*'Cálculos'!$F$98)+1400)+'Cálculos'!$F$123)*'Cálculos'!$F$265)+('Cálculos'!$F$201*(1+'Cálculos'!$F$202+$A197*('Cálculos'!$F$290=2)*'Cálculos'!$F$101)+'Cálculos'!$F$203)*('Cálculos'!$F$256+'Cálculos'!$F$124*(1+2.78*('Cálculos'!$F$199+(($B$225)-$A197)*'Cálculos'!$F$98)/(('Cálculos'!$F$199+(($B$225)-$A197)*'Cálculos'!$F$98)+1400)+'Cálculos'!$F$122)*'Cálculos'!$F$261+'Cálculos'!$F$125*(1+2.78*('Cálculos'!$F$199+(($B$225)-$A197)*'Cálculos'!$F$98)/(('Cálculos'!$F$199+(($B$225)-$A197)*'Cálculos'!$F$98)+1400)+'Cálculos'!$F$123)*'Cálculos'!$F$266)+('Cálculos'!$F$204*(1+'Cálculos'!$F$205+$A197*('Cálculos'!$F$290=3)*'Cálculos'!$F$103)+'Cálculos'!$F$206)*('Cálculos'!$F$257+'Cálculos'!$F$124*(1+2.78*('Cálculos'!$F$199+(($B$225)-$A197)*'Cálculos'!$F$98)/(('Cálculos'!$F$199+(($B$225)-$A197)*'Cálculos'!$F$98)+1400)+'Cálculos'!$F$122)*'Cálculos'!$F$262+'Cálculos'!$F$125*(1+2.78*('Cálculos'!$F$199+(($B$225)-$A197)*'Cálculos'!$F$98)/(('Cálculos'!$F$199+(($B$225)-$A197)*'Cálculos'!$F$98)+1400)+'Cálculos'!$F$123)*'Cálculos'!$F$267)+('Cálculos'!$F$185*(1+'Cálculos'!$F$190+$A197*('Cálculos'!$F$290=1)*'Cálculos'!$F$97+'Cálculos'!$F$305)+'Cálculos'!$F$195)*('Cálculos'!$F$269+'Cálculos'!$F$124*(1+2.78*('Cálculos'!$F$200+(($B$225)-$A197)*'Cálculos'!$F$98)/(('Cálculos'!$F$200+(($B$225)-$A197)*'Cálculos'!$F$98)+1400)+'Cálculos'!$F$122)*'Cálculos'!$F$274+'Cálculos'!$F$125*(1+2.78*('Cálculos'!$F$200+(($B$225)-$A197)*'Cálculos'!$F$98)/(('Cálculos'!$F$200+(($B$225)-$A197)*'Cálculos'!$F$98)+1400)+'Cálculos'!$F$123)*'Cálculos'!$F$279)+('Cálculos'!$F$200+(($B$225)-$A197)*'Cálculos'!$F$98)*('Cálculos'!$F$270+'Cálculos'!$F$124*(1+2.78*('Cálculos'!$F$200+(($B$225)-$A197)*'Cálculos'!$F$98)/(('Cálculos'!$F$200+(($B$225)-$A197)*'Cálculos'!$F$98)+1400)+'Cálculos'!$F$122)*'Cálculos'!$F$275+'Cálculos'!$F$125*(1+2.78*('Cálculos'!$F$200+(($B$225)-$A197)*'Cálculos'!$F$98)/(('Cálculos'!$F$200+(($B$225)-$A197)*'Cálculos'!$F$98)+1400)+'Cálculos'!$F$123)*'Cálculos'!$F$280)+('Cálculos'!$F$201*(1+'Cálculos'!$F$202+$A197*('Cálculos'!$F$290=2)*'Cálculos'!$F$101)+'Cálculos'!$F$203)*('Cálculos'!$F$271+'Cálculos'!$F$124*(1+2.78*('Cálculos'!$F$200+(($B$225)-$A197)*'Cálculos'!$F$98)/(('Cálculos'!$F$200+(($B$225)-$A197)*'Cálculos'!$F$98)+1400)+'Cálculos'!$F$122)*'Cálculos'!$F$276+'Cálculos'!$F$125*(1+2.78*('Cálculos'!$F$200+(($B$225)-$A197)*'Cálculos'!$F$98)/(('Cálculos'!$F$200+(($B$225)-$A197)*'Cálculos'!$F$98)+1400)+'Cálculos'!$F$123)*'Cálculos'!$F$281)+('Cálculos'!$F$204*(1+'Cálculos'!$F$205+$A197*('Cálculos'!$F$290=3)*'Cálculos'!$F$103)+'Cálculos'!$F$206)*('Cálculos'!$F$272+'Cálculos'!$F$124*(1+2.78*('Cálculos'!$F$200+(($B$225)-$A197)*'Cálculos'!$F$98)/(('Cálculos'!$F$200+(($B$225)-$A197)*'Cálculos'!$F$98)+1400)+'Cálculos'!$F$122)*'Cálculos'!$F$277+'Cálculos'!$F$125*(1+2.78*('Cálculos'!$F$200+(($B$225)-$A197)*'Cálculos'!$F$98)/(('Cálculos'!$F$200+(($B$225)-$A197)*'Cálculos'!$F$98)+1400)+'Cálculos'!$F$123)*'Cálculos'!$F$282)))</f>
        <v>0</v>
      </c>
    </row>
    <row r="198" ht="15.75" customHeight="1">
      <c r="A198" s="2">
        <v>21.0</v>
      </c>
      <c r="B198" s="30">
        <f>SUMPRODUCT(MAX(($A$177:$A$222&lt;=$A198)*($A$177:$A$222&lt;='Cálculos'!$F$294)*(($A198)-$A$177:$A$222&lt;='Cálculos'!$F$295)*(1+(('Cálculos'!$F$207+$A$177:$A$222*'Cálculos'!$F$95)-(('Cálculos'!$F$207+$A$177:$A$222*'Cálculos'!$F$95)&gt;1)*(('Cálculos'!$F$207+$A$177:$A$222*'Cálculos'!$F$95)-1))*('Cálculos'!$F$208+(($A198)-$A$177:$A$222)*'Cálculos'!$F$96))))</f>
        <v>2.542415</v>
      </c>
      <c r="C198" s="2">
        <f>'Cálculos'!$F$303-$A198</f>
        <v>-3</v>
      </c>
      <c r="D198" s="31">
        <f>IF($C198&lt;0,0,SUMPRODUCT(MAX(($A$177:$A$222&lt;=$C198)*($A$177:$A$222&lt;='Cálculos'!$F$301)*(($C198)-$A$177:$A$222&lt;='Cálculos'!$F$297)*(('Cálculos'!$F$185*(1+'Cálculos'!$F$186+$A$177:$A$222*('Cálculos'!$F$290=1)*'Cálculos'!$F$97+'Cálculos'!$F$305)+'Cálculos'!$F$191)*('Cálculos'!$F$209+'Cálculos'!$F$124*(1+2.78*('Cálculos'!$F$196+(($C198)-$A$177:$A$222)*'Cálculos'!$F$98)/(('Cálculos'!$F$196+(($C198)-$A$177:$A$222)*'Cálculos'!$F$98)+1400)+'Cálculos'!$F$122)*'Cálculos'!$F$214+'Cálculos'!$F$125*(1+2.78*('Cálculos'!$F$196+(($C198)-$A$177:$A$222)*'Cálculos'!$F$98)/(('Cálculos'!$F$196+(($C198)-$A$177:$A$222)*'Cálculos'!$F$98)+1400)+'Cálculos'!$F$123)*'Cálculos'!$F$219)+('Cálculos'!$F$196+(($C198)-$A$177:$A$222)*'Cálculos'!$F$98)*('Cálculos'!$F$210+'Cálculos'!$F$124*(1+2.78*('Cálculos'!$F$196+(($C198)-$A$177:$A$222)*'Cálculos'!$F$98)/(('Cálculos'!$F$196+(($C198)-$A$177:$A$222)*'Cálculos'!$F$98)+1400)+'Cálculos'!$F$122)*'Cálculos'!$F$215+'Cálculos'!$F$125*(1+2.78*('Cálculos'!$F$196+(($C198)-$A$177:$A$222)*'Cálculos'!$F$98)/(('Cálculos'!$F$196+(($C198)-$A$177:$A$222)*'Cálculos'!$F$98)+1400)+'Cálculos'!$F$123)*'Cálculos'!$F$220)+('Cálculos'!$F$201*(1+'Cálculos'!$F$202+$A$177:$A$222*('Cálculos'!$F$290=2)*'Cálculos'!$F$101)+'Cálculos'!$F$203)*('Cálculos'!$F$211+'Cálculos'!$F$124*(1+2.78*('Cálculos'!$F$196+(($C198)-$A$177:$A$222)*'Cálculos'!$F$98)/(('Cálculos'!$F$196+(($C198)-$A$177:$A$222)*'Cálculos'!$F$98)+1400)+'Cálculos'!$F$122)*'Cálculos'!$F$216+'Cálculos'!$F$125*(1+2.78*('Cálculos'!$F$196+(($C198)-$A$177:$A$222)*'Cálculos'!$F$98)/(('Cálculos'!$F$196+(($C198)-$A$177:$A$222)*'Cálculos'!$F$98)+1400)+'Cálculos'!$F$123)*'Cálculos'!$F$221)+('Cálculos'!$F$204*(1+'Cálculos'!$F$205+$A$177:$A$222*('Cálculos'!$F$290=3)*'Cálculos'!$F$103)+'Cálculos'!$F$206)*('Cálculos'!$F$212+'Cálculos'!$F$124*(1+2.78*('Cálculos'!$F$196+(($C198)-$A$177:$A$222)*'Cálculos'!$F$98)/(('Cálculos'!$F$196+(($C198)-$A$177:$A$222)*'Cálculos'!$F$98)+1400)+'Cálculos'!$F$122)*'Cálculos'!$F$217+'Cálculos'!$F$125*(1+2.78*('Cálculos'!$F$196+(($C198)-$A$177:$A$222)*'Cálculos'!$F$98)/(('Cálculos'!$F$196+(($C198)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198)-$A$177:$A$222)*'Cálculos'!$F$98)/(('Cálculos'!$F$197+(($C198)-$A$177:$A$222)*'Cálculos'!$F$98)+1400)+'Cálculos'!$F$122)*'Cálculos'!$F$229+'Cálculos'!$F$125*(1+2.78*('Cálculos'!$F$197+(($C198)-$A$177:$A$222)*'Cálculos'!$F$98)/(('Cálculos'!$F$197+(($C198)-$A$177:$A$222)*'Cálculos'!$F$98)+1400)+'Cálculos'!$F$123)*'Cálculos'!$F$234)+('Cálculos'!$F$197+(($C198)-$A$177:$A$222)*'Cálculos'!$F$98)*('Cálculos'!$F$225+'Cálculos'!$F$124*(1+2.78*('Cálculos'!$F$197+(($C198)-$A$177:$A$222)*'Cálculos'!$F$98)/(('Cálculos'!$F$197+(($C198)-$A$177:$A$222)*'Cálculos'!$F$98)+1400)+'Cálculos'!$F$122)*'Cálculos'!$F$230+'Cálculos'!$F$125*(1+2.78*('Cálculos'!$F$197+(($C198)-$A$177:$A$222)*'Cálculos'!$F$98)/(('Cálculos'!$F$197+(($C198)-$A$177:$A$222)*'Cálculos'!$F$98)+1400)+'Cálculos'!$F$123)*'Cálculos'!$F$235)+('Cálculos'!$F$201*(1+'Cálculos'!$F$202+$A$177:$A$222*('Cálculos'!$F$290=2)*'Cálculos'!$F$101)+'Cálculos'!$F$203)*('Cálculos'!$F$226+'Cálculos'!$F$124*(1+2.78*('Cálculos'!$F$197+(($C198)-$A$177:$A$222)*'Cálculos'!$F$98)/(('Cálculos'!$F$197+(($C198)-$A$177:$A$222)*'Cálculos'!$F$98)+1400)+'Cálculos'!$F$122)*'Cálculos'!$F$231+'Cálculos'!$F$125*(1+2.78*('Cálculos'!$F$197+(($C198)-$A$177:$A$222)*'Cálculos'!$F$98)/(('Cálculos'!$F$197+(($C198)-$A$177:$A$222)*'Cálculos'!$F$98)+1400)+'Cálculos'!$F$123)*'Cálculos'!$F$236)+('Cálculos'!$F$204*(1+'Cálculos'!$F$205+$A$177:$A$222*('Cálculos'!$F$290=3)*'Cálculos'!$F$103)+'Cálculos'!$F$206)*('Cálculos'!$F$227+'Cálculos'!$F$124*(1+2.78*('Cálculos'!$F$197+(($C198)-$A$177:$A$222)*'Cálculos'!$F$98)/(('Cálculos'!$F$197+(($C198)-$A$177:$A$222)*'Cálculos'!$F$98)+1400)+'Cálculos'!$F$122)*'Cálculos'!$F$232+'Cálculos'!$F$125*(1+2.78*('Cálculos'!$F$197+(($C198)-$A$177:$A$222)*'Cálculos'!$F$98)/(('Cálculos'!$F$197+(($C198)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198)-$A$177:$A$222)*'Cálculos'!$F$98)/(('Cálculos'!$F$198+(($C198)-$A$177:$A$222)*'Cálculos'!$F$98)+1400)+'Cálculos'!$F$122)*'Cálculos'!$F$244+'Cálculos'!$F$125*(1+2.78*('Cálculos'!$F$198+(($C198)-$A$177:$A$222)*'Cálculos'!$F$98)/(('Cálculos'!$F$198+(($C198)-$A$177:$A$222)*'Cálculos'!$F$98)+1400)+'Cálculos'!$F$123)*'Cálculos'!$F$249)+('Cálculos'!$F$198+(($C198)-$A$177:$A$222)*'Cálculos'!$F$98)*('Cálculos'!$F$240+'Cálculos'!$F$124*(1+2.78*('Cálculos'!$F$198+(($C198)-$A$177:$A$222)*'Cálculos'!$F$98)/(('Cálculos'!$F$198+(($C198)-$A$177:$A$222)*'Cálculos'!$F$98)+1400)+'Cálculos'!$F$122)*'Cálculos'!$F$245+'Cálculos'!$F$125*(1+2.78*('Cálculos'!$F$198+(($C198)-$A$177:$A$222)*'Cálculos'!$F$98)/(('Cálculos'!$F$198+(($C198)-$A$177:$A$222)*'Cálculos'!$F$98)+1400)+'Cálculos'!$F$123)*'Cálculos'!$F$250)+('Cálculos'!$F$201*(1+'Cálculos'!$F$202+$A$177:$A$222*('Cálculos'!$F$290=2)*'Cálculos'!$F$101)+'Cálculos'!$F$203)*('Cálculos'!$F$241+'Cálculos'!$F$124*(1+2.78*('Cálculos'!$F$198+(($C198)-$A$177:$A$222)*'Cálculos'!$F$98)/(('Cálculos'!$F$198+(($C198)-$A$177:$A$222)*'Cálculos'!$F$98)+1400)+'Cálculos'!$F$122)*'Cálculos'!$F$246+'Cálculos'!$F$125*(1+2.78*('Cálculos'!$F$198+(($C198)-$A$177:$A$222)*'Cálculos'!$F$98)/(('Cálculos'!$F$198+(($C198)-$A$177:$A$222)*'Cálculos'!$F$98)+1400)+'Cálculos'!$F$123)*'Cálculos'!$F$251)+('Cálculos'!$F$204*(1+'Cálculos'!$F$205+$A$177:$A$222*('Cálculos'!$F$290=3)*'Cálculos'!$F$103)+'Cálculos'!$F$206)*('Cálculos'!$F$242+'Cálculos'!$F$124*(1+2.78*('Cálculos'!$F$198+(($C198)-$A$177:$A$222)*'Cálculos'!$F$98)/(('Cálculos'!$F$198+(($C198)-$A$177:$A$222)*'Cálculos'!$F$98)+1400)+'Cálculos'!$F$122)*'Cálculos'!$F$247+'Cálculos'!$F$125*(1+2.78*('Cálculos'!$F$198+(($C198)-$A$177:$A$222)*'Cálculos'!$F$98)/(('Cálculos'!$F$198+(($C198)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198)-$A$177:$A$222)*'Cálculos'!$F$98)/(('Cálculos'!$F$199+(($C198)-$A$177:$A$222)*'Cálculos'!$F$98)+1400)+'Cálculos'!$F$122)*'Cálculos'!$F$259+'Cálculos'!$F$125*(1+2.78*('Cálculos'!$F$199+(($C198)-$A$177:$A$222)*'Cálculos'!$F$98)/(('Cálculos'!$F$199+(($C198)-$A$177:$A$222)*'Cálculos'!$F$98)+1400)+'Cálculos'!$F$123)*'Cálculos'!$F$264)+('Cálculos'!$F$199+(($C198)-$A$177:$A$222)*'Cálculos'!$F$98)*('Cálculos'!$F$255+'Cálculos'!$F$124*(1+2.78*('Cálculos'!$F$199+(($C198)-$A$177:$A$222)*'Cálculos'!$F$98)/(('Cálculos'!$F$199+(($C198)-$A$177:$A$222)*'Cálculos'!$F$98)+1400)+'Cálculos'!$F$122)*'Cálculos'!$F$260+'Cálculos'!$F$125*(1+2.78*('Cálculos'!$F$199+(($C198)-$A$177:$A$222)*'Cálculos'!$F$98)/(('Cálculos'!$F$199+(($C198)-$A$177:$A$222)*'Cálculos'!$F$98)+1400)+'Cálculos'!$F$123)*'Cálculos'!$F$265)+('Cálculos'!$F$201*(1+'Cálculos'!$F$202+$A$177:$A$222*('Cálculos'!$F$290=2)*'Cálculos'!$F$101)+'Cálculos'!$F$203)*('Cálculos'!$F$256+'Cálculos'!$F$124*(1+2.78*('Cálculos'!$F$199+(($C198)-$A$177:$A$222)*'Cálculos'!$F$98)/(('Cálculos'!$F$199+(($C198)-$A$177:$A$222)*'Cálculos'!$F$98)+1400)+'Cálculos'!$F$122)*'Cálculos'!$F$261+'Cálculos'!$F$125*(1+2.78*('Cálculos'!$F$199+(($C198)-$A$177:$A$222)*'Cálculos'!$F$98)/(('Cálculos'!$F$199+(($C198)-$A$177:$A$222)*'Cálculos'!$F$98)+1400)+'Cálculos'!$F$123)*'Cálculos'!$F$266)+('Cálculos'!$F$204*(1+'Cálculos'!$F$205+$A$177:$A$222*('Cálculos'!$F$290=3)*'Cálculos'!$F$103)+'Cálculos'!$F$206)*('Cálculos'!$F$257+'Cálculos'!$F$124*(1+2.78*('Cálculos'!$F$199+(($C198)-$A$177:$A$222)*'Cálculos'!$F$98)/(('Cálculos'!$F$199+(($C198)-$A$177:$A$222)*'Cálculos'!$F$98)+1400)+'Cálculos'!$F$122)*'Cálculos'!$F$262+'Cálculos'!$F$125*(1+2.78*('Cálculos'!$F$199+(($C198)-$A$177:$A$222)*'Cálculos'!$F$98)/(('Cálculos'!$F$199+(($C198)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198)-$A$177:$A$222)*'Cálculos'!$F$98)/(('Cálculos'!$F$200+(($C198)-$A$177:$A$222)*'Cálculos'!$F$98)+1400)+'Cálculos'!$F$122)*'Cálculos'!$F$274+'Cálculos'!$F$125*(1+2.78*('Cálculos'!$F$200+(($C198)-$A$177:$A$222)*'Cálculos'!$F$98)/(('Cálculos'!$F$200+(($C198)-$A$177:$A$222)*'Cálculos'!$F$98)+1400)+'Cálculos'!$F$123)*'Cálculos'!$F$279)+('Cálculos'!$F$200+(($C198)-$A$177:$A$222)*'Cálculos'!$F$98)*('Cálculos'!$F$270+'Cálculos'!$F$124*(1+2.78*('Cálculos'!$F$200+(($C198)-$A$177:$A$222)*'Cálculos'!$F$98)/(('Cálculos'!$F$200+(($C198)-$A$177:$A$222)*'Cálculos'!$F$98)+1400)+'Cálculos'!$F$122)*'Cálculos'!$F$275+'Cálculos'!$F$125*(1+2.78*('Cálculos'!$F$200+(($C198)-$A$177:$A$222)*'Cálculos'!$F$98)/(('Cálculos'!$F$200+(($C198)-$A$177:$A$222)*'Cálculos'!$F$98)+1400)+'Cálculos'!$F$123)*'Cálculos'!$F$280)+('Cálculos'!$F$201*(1+'Cálculos'!$F$202+$A$177:$A$222*('Cálculos'!$F$290=2)*'Cálculos'!$F$101)+'Cálculos'!$F$203)*('Cálculos'!$F$271+'Cálculos'!$F$124*(1+2.78*('Cálculos'!$F$200+(($C198)-$A$177:$A$222)*'Cálculos'!$F$98)/(('Cálculos'!$F$200+(($C198)-$A$177:$A$222)*'Cálculos'!$F$98)+1400)+'Cálculos'!$F$122)*'Cálculos'!$F$276+'Cálculos'!$F$125*(1+2.78*('Cálculos'!$F$200+(($C198)-$A$177:$A$222)*'Cálculos'!$F$98)/(('Cálculos'!$F$200+(($C198)-$A$177:$A$222)*'Cálculos'!$F$98)+1400)+'Cálculos'!$F$123)*'Cálculos'!$F$281)+('Cálculos'!$F$204*(1+'Cálculos'!$F$205+$A$177:$A$222*('Cálculos'!$F$290=3)*'Cálculos'!$F$103)+'Cálculos'!$F$206)*('Cálculos'!$F$272+'Cálculos'!$F$124*(1+2.78*('Cálculos'!$F$200+(($C198)-$A$177:$A$222)*'Cálculos'!$F$98)/(('Cálculos'!$F$200+(($C198)-$A$177:$A$222)*'Cálculos'!$F$98)+1400)+'Cálculos'!$F$122)*'Cálculos'!$F$277+'Cálculos'!$F$125*(1+2.78*('Cálculos'!$F$200+(($C198)-$A$177:$A$222)*'Cálculos'!$F$98)/(('Cálculos'!$F$200+(($C198)-$A$177:$A$222)*'Cálculos'!$F$98)+1400)+'Cálculos'!$F$123)*'Cálculos'!$F$282)))))</f>
        <v>0</v>
      </c>
      <c r="E198" s="32">
        <f>IF(OR($C198&lt;0,'Cálculos'!$F$6=""),0,$B198*$D198)</f>
        <v>0</v>
      </c>
      <c r="F198" s="2"/>
      <c r="G198" s="30">
        <f>($A198&lt;=$B$224)*($A198&lt;='Cálculos'!$F$294)*(($B$224)-$A198&lt;='Cálculos'!$F$295)*(1+MIN(('Cálculos'!$F$207+$A198*'Cálculos'!$F$95),1)*('Cálculos'!$F$208+(($B$224)-$A198)*'Cálculos'!$F$96))</f>
        <v>0</v>
      </c>
      <c r="H198" s="31">
        <f>IF($B$225&lt;0,0,($A198&lt;=$B$225)*($A198&lt;='Cálculos'!$F$301)*(($B$225)-$A198&lt;='Cálculos'!$F$297)*(('Cálculos'!$F$185*(1+'Cálculos'!$F$186+$A198*('Cálculos'!$F$290=1)*'Cálculos'!$F$97+'Cálculos'!$F$305)+'Cálculos'!$F$191)*('Cálculos'!$F$209+'Cálculos'!$F$124*(1+2.78*('Cálculos'!$F$196+(($B$225)-$A198)*'Cálculos'!$F$98)/(('Cálculos'!$F$196+(($B$225)-$A198)*'Cálculos'!$F$98)+1400)+'Cálculos'!$F$122)*'Cálculos'!$F$214+'Cálculos'!$F$125*(1+2.78*('Cálculos'!$F$196+(($B$225)-$A198)*'Cálculos'!$F$98)/(('Cálculos'!$F$196+(($B$225)-$A198)*'Cálculos'!$F$98)+1400)+'Cálculos'!$F$123)*'Cálculos'!$F$219)+('Cálculos'!$F$196+(($B$225)-$A198)*'Cálculos'!$F$98)*('Cálculos'!$F$210+'Cálculos'!$F$124*(1+2.78*('Cálculos'!$F$196+(($B$225)-$A198)*'Cálculos'!$F$98)/(('Cálculos'!$F$196+(($B$225)-$A198)*'Cálculos'!$F$98)+1400)+'Cálculos'!$F$122)*'Cálculos'!$F$215+'Cálculos'!$F$125*(1+2.78*('Cálculos'!$F$196+(($B$225)-$A198)*'Cálculos'!$F$98)/(('Cálculos'!$F$196+(($B$225)-$A198)*'Cálculos'!$F$98)+1400)+'Cálculos'!$F$123)*'Cálculos'!$F$220)+('Cálculos'!$F$201*(1+'Cálculos'!$F$202+$A198*('Cálculos'!$F$290=2)*'Cálculos'!$F$101)+'Cálculos'!$F$203)*('Cálculos'!$F$211+'Cálculos'!$F$124*(1+2.78*('Cálculos'!$F$196+(($B$225)-$A198)*'Cálculos'!$F$98)/(('Cálculos'!$F$196+(($B$225)-$A198)*'Cálculos'!$F$98)+1400)+'Cálculos'!$F$122)*'Cálculos'!$F$216+'Cálculos'!$F$125*(1+2.78*('Cálculos'!$F$196+(($B$225)-$A198)*'Cálculos'!$F$98)/(('Cálculos'!$F$196+(($B$225)-$A198)*'Cálculos'!$F$98)+1400)+'Cálculos'!$F$123)*'Cálculos'!$F$221)+('Cálculos'!$F$204*(1+'Cálculos'!$F$205+$A198*('Cálculos'!$F$290=3)*'Cálculos'!$F$103)+'Cálculos'!$F$206)*('Cálculos'!$F$212+'Cálculos'!$F$124*(1+2.78*('Cálculos'!$F$196+(($B$225)-$A198)*'Cálculos'!$F$98)/(('Cálculos'!$F$196+(($B$225)-$A198)*'Cálculos'!$F$98)+1400)+'Cálculos'!$F$122)*'Cálculos'!$F$217+'Cálculos'!$F$125*(1+2.78*('Cálculos'!$F$196+(($B$225)-$A198)*'Cálculos'!$F$98)/(('Cálculos'!$F$196+(($B$225)-$A198)*'Cálculos'!$F$98)+1400)+'Cálculos'!$F$123)*'Cálculos'!$F$222)+('Cálculos'!$F$185*(1+'Cálculos'!$F$187+$A198*('Cálculos'!$F$290=1)*'Cálculos'!$F$97+'Cálculos'!$F$305)+'Cálculos'!$F$192)*('Cálculos'!$F$224+'Cálculos'!$F$124*(1+2.78*('Cálculos'!$F$197+(($B$225)-$A198)*'Cálculos'!$F$98)/(('Cálculos'!$F$197+(($B$225)-$A198)*'Cálculos'!$F$98)+1400)+'Cálculos'!$F$122)*'Cálculos'!$F$229+'Cálculos'!$F$125*(1+2.78*('Cálculos'!$F$197+(($B$225)-$A198)*'Cálculos'!$F$98)/(('Cálculos'!$F$197+(($B$225)-$A198)*'Cálculos'!$F$98)+1400)+'Cálculos'!$F$123)*'Cálculos'!$F$234)+('Cálculos'!$F$197+(($B$225)-$A198)*'Cálculos'!$F$98)*('Cálculos'!$F$225+'Cálculos'!$F$124*(1+2.78*('Cálculos'!$F$197+(($B$225)-$A198)*'Cálculos'!$F$98)/(('Cálculos'!$F$197+(($B$225)-$A198)*'Cálculos'!$F$98)+1400)+'Cálculos'!$F$122)*'Cálculos'!$F$230+'Cálculos'!$F$125*(1+2.78*('Cálculos'!$F$197+(($B$225)-$A198)*'Cálculos'!$F$98)/(('Cálculos'!$F$197+(($B$225)-$A198)*'Cálculos'!$F$98)+1400)+'Cálculos'!$F$123)*'Cálculos'!$F$235)+('Cálculos'!$F$201*(1+'Cálculos'!$F$202+$A198*('Cálculos'!$F$290=2)*'Cálculos'!$F$101)+'Cálculos'!$F$203)*('Cálculos'!$F$226+'Cálculos'!$F$124*(1+2.78*('Cálculos'!$F$197+(($B$225)-$A198)*'Cálculos'!$F$98)/(('Cálculos'!$F$197+(($B$225)-$A198)*'Cálculos'!$F$98)+1400)+'Cálculos'!$F$122)*'Cálculos'!$F$231+'Cálculos'!$F$125*(1+2.78*('Cálculos'!$F$197+(($B$225)-$A198)*'Cálculos'!$F$98)/(('Cálculos'!$F$197+(($B$225)-$A198)*'Cálculos'!$F$98)+1400)+'Cálculos'!$F$123)*'Cálculos'!$F$236)+('Cálculos'!$F$204*(1+'Cálculos'!$F$205+$A198*('Cálculos'!$F$290=3)*'Cálculos'!$F$103)+'Cálculos'!$F$206)*('Cálculos'!$F$227+'Cálculos'!$F$124*(1+2.78*('Cálculos'!$F$197+(($B$225)-$A198)*'Cálculos'!$F$98)/(('Cálculos'!$F$197+(($B$225)-$A198)*'Cálculos'!$F$98)+1400)+'Cálculos'!$F$122)*'Cálculos'!$F$232+'Cálculos'!$F$125*(1+2.78*('Cálculos'!$F$197+(($B$225)-$A198)*'Cálculos'!$F$98)/(('Cálculos'!$F$197+(($B$225)-$A198)*'Cálculos'!$F$98)+1400)+'Cálculos'!$F$123)*'Cálculos'!$F$237)+('Cálculos'!$F$185*(1+'Cálculos'!$F$188+$A198*('Cálculos'!$F$290=1)*'Cálculos'!$F$97+'Cálculos'!$F$305)+'Cálculos'!$F$193)*('Cálculos'!$F$239+'Cálculos'!$F$124*(1+2.78*('Cálculos'!$F$198+(($B$225)-$A198)*'Cálculos'!$F$98)/(('Cálculos'!$F$198+(($B$225)-$A198)*'Cálculos'!$F$98)+1400)+'Cálculos'!$F$122)*'Cálculos'!$F$244+'Cálculos'!$F$125*(1+2.78*('Cálculos'!$F$198+(($B$225)-$A198)*'Cálculos'!$F$98)/(('Cálculos'!$F$198+(($B$225)-$A198)*'Cálculos'!$F$98)+1400)+'Cálculos'!$F$123)*'Cálculos'!$F$249)+('Cálculos'!$F$198+(($B$225)-$A198)*'Cálculos'!$F$98)*('Cálculos'!$F$240+'Cálculos'!$F$124*(1+2.78*('Cálculos'!$F$198+(($B$225)-$A198)*'Cálculos'!$F$98)/(('Cálculos'!$F$198+(($B$225)-$A198)*'Cálculos'!$F$98)+1400)+'Cálculos'!$F$122)*'Cálculos'!$F$245+'Cálculos'!$F$125*(1+2.78*('Cálculos'!$F$198+(($B$225)-$A198)*'Cálculos'!$F$98)/(('Cálculos'!$F$198+(($B$225)-$A198)*'Cálculos'!$F$98)+1400)+'Cálculos'!$F$123)*'Cálculos'!$F$250)+('Cálculos'!$F$201*(1+'Cálculos'!$F$202+$A198*('Cálculos'!$F$290=2)*'Cálculos'!$F$101)+'Cálculos'!$F$203)*('Cálculos'!$F$241+'Cálculos'!$F$124*(1+2.78*('Cálculos'!$F$198+(($B$225)-$A198)*'Cálculos'!$F$98)/(('Cálculos'!$F$198+(($B$225)-$A198)*'Cálculos'!$F$98)+1400)+'Cálculos'!$F$122)*'Cálculos'!$F$246+'Cálculos'!$F$125*(1+2.78*('Cálculos'!$F$198+(($B$225)-$A198)*'Cálculos'!$F$98)/(('Cálculos'!$F$198+(($B$225)-$A198)*'Cálculos'!$F$98)+1400)+'Cálculos'!$F$123)*'Cálculos'!$F$251)+('Cálculos'!$F$204*(1+'Cálculos'!$F$205+$A198*('Cálculos'!$F$290=3)*'Cálculos'!$F$103)+'Cálculos'!$F$206)*('Cálculos'!$F$242+'Cálculos'!$F$124*(1+2.78*('Cálculos'!$F$198+(($B$225)-$A198)*'Cálculos'!$F$98)/(('Cálculos'!$F$198+(($B$225)-$A198)*'Cálculos'!$F$98)+1400)+'Cálculos'!$F$122)*'Cálculos'!$F$247+'Cálculos'!$F$125*(1+2.78*('Cálculos'!$F$198+(($B$225)-$A198)*'Cálculos'!$F$98)/(('Cálculos'!$F$198+(($B$225)-$A198)*'Cálculos'!$F$98)+1400)+'Cálculos'!$F$123)*'Cálculos'!$F$252)+('Cálculos'!$F$185*(1+'Cálculos'!$F$189+$A198*('Cálculos'!$F$290=1)*'Cálculos'!$F$97+'Cálculos'!$F$305)+'Cálculos'!$F$194)*('Cálculos'!$F$254+'Cálculos'!$F$124*(1+2.78*('Cálculos'!$F$199+(($B$225)-$A198)*'Cálculos'!$F$98)/(('Cálculos'!$F$199+(($B$225)-$A198)*'Cálculos'!$F$98)+1400)+'Cálculos'!$F$122)*'Cálculos'!$F$259+'Cálculos'!$F$125*(1+2.78*('Cálculos'!$F$199+(($B$225)-$A198)*'Cálculos'!$F$98)/(('Cálculos'!$F$199+(($B$225)-$A198)*'Cálculos'!$F$98)+1400)+'Cálculos'!$F$123)*'Cálculos'!$F$264)+('Cálculos'!$F$199+(($B$225)-$A198)*'Cálculos'!$F$98)*('Cálculos'!$F$255+'Cálculos'!$F$124*(1+2.78*('Cálculos'!$F$199+(($B$225)-$A198)*'Cálculos'!$F$98)/(('Cálculos'!$F$199+(($B$225)-$A198)*'Cálculos'!$F$98)+1400)+'Cálculos'!$F$122)*'Cálculos'!$F$260+'Cálculos'!$F$125*(1+2.78*('Cálculos'!$F$199+(($B$225)-$A198)*'Cálculos'!$F$98)/(('Cálculos'!$F$199+(($B$225)-$A198)*'Cálculos'!$F$98)+1400)+'Cálculos'!$F$123)*'Cálculos'!$F$265)+('Cálculos'!$F$201*(1+'Cálculos'!$F$202+$A198*('Cálculos'!$F$290=2)*'Cálculos'!$F$101)+'Cálculos'!$F$203)*('Cálculos'!$F$256+'Cálculos'!$F$124*(1+2.78*('Cálculos'!$F$199+(($B$225)-$A198)*'Cálculos'!$F$98)/(('Cálculos'!$F$199+(($B$225)-$A198)*'Cálculos'!$F$98)+1400)+'Cálculos'!$F$122)*'Cálculos'!$F$261+'Cálculos'!$F$125*(1+2.78*('Cálculos'!$F$199+(($B$225)-$A198)*'Cálculos'!$F$98)/(('Cálculos'!$F$199+(($B$225)-$A198)*'Cálculos'!$F$98)+1400)+'Cálculos'!$F$123)*'Cálculos'!$F$266)+('Cálculos'!$F$204*(1+'Cálculos'!$F$205+$A198*('Cálculos'!$F$290=3)*'Cálculos'!$F$103)+'Cálculos'!$F$206)*('Cálculos'!$F$257+'Cálculos'!$F$124*(1+2.78*('Cálculos'!$F$199+(($B$225)-$A198)*'Cálculos'!$F$98)/(('Cálculos'!$F$199+(($B$225)-$A198)*'Cálculos'!$F$98)+1400)+'Cálculos'!$F$122)*'Cálculos'!$F$262+'Cálculos'!$F$125*(1+2.78*('Cálculos'!$F$199+(($B$225)-$A198)*'Cálculos'!$F$98)/(('Cálculos'!$F$199+(($B$225)-$A198)*'Cálculos'!$F$98)+1400)+'Cálculos'!$F$123)*'Cálculos'!$F$267)+('Cálculos'!$F$185*(1+'Cálculos'!$F$190+$A198*('Cálculos'!$F$290=1)*'Cálculos'!$F$97+'Cálculos'!$F$305)+'Cálculos'!$F$195)*('Cálculos'!$F$269+'Cálculos'!$F$124*(1+2.78*('Cálculos'!$F$200+(($B$225)-$A198)*'Cálculos'!$F$98)/(('Cálculos'!$F$200+(($B$225)-$A198)*'Cálculos'!$F$98)+1400)+'Cálculos'!$F$122)*'Cálculos'!$F$274+'Cálculos'!$F$125*(1+2.78*('Cálculos'!$F$200+(($B$225)-$A198)*'Cálculos'!$F$98)/(('Cálculos'!$F$200+(($B$225)-$A198)*'Cálculos'!$F$98)+1400)+'Cálculos'!$F$123)*'Cálculos'!$F$279)+('Cálculos'!$F$200+(($B$225)-$A198)*'Cálculos'!$F$98)*('Cálculos'!$F$270+'Cálculos'!$F$124*(1+2.78*('Cálculos'!$F$200+(($B$225)-$A198)*'Cálculos'!$F$98)/(('Cálculos'!$F$200+(($B$225)-$A198)*'Cálculos'!$F$98)+1400)+'Cálculos'!$F$122)*'Cálculos'!$F$275+'Cálculos'!$F$125*(1+2.78*('Cálculos'!$F$200+(($B$225)-$A198)*'Cálculos'!$F$98)/(('Cálculos'!$F$200+(($B$225)-$A198)*'Cálculos'!$F$98)+1400)+'Cálculos'!$F$123)*'Cálculos'!$F$280)+('Cálculos'!$F$201*(1+'Cálculos'!$F$202+$A198*('Cálculos'!$F$290=2)*'Cálculos'!$F$101)+'Cálculos'!$F$203)*('Cálculos'!$F$271+'Cálculos'!$F$124*(1+2.78*('Cálculos'!$F$200+(($B$225)-$A198)*'Cálculos'!$F$98)/(('Cálculos'!$F$200+(($B$225)-$A198)*'Cálculos'!$F$98)+1400)+'Cálculos'!$F$122)*'Cálculos'!$F$276+'Cálculos'!$F$125*(1+2.78*('Cálculos'!$F$200+(($B$225)-$A198)*'Cálculos'!$F$98)/(('Cálculos'!$F$200+(($B$225)-$A198)*'Cálculos'!$F$98)+1400)+'Cálculos'!$F$123)*'Cálculos'!$F$281)+('Cálculos'!$F$204*(1+'Cálculos'!$F$205+$A198*('Cálculos'!$F$290=3)*'Cálculos'!$F$103)+'Cálculos'!$F$206)*('Cálculos'!$F$272+'Cálculos'!$F$124*(1+2.78*('Cálculos'!$F$200+(($B$225)-$A198)*'Cálculos'!$F$98)/(('Cálculos'!$F$200+(($B$225)-$A198)*'Cálculos'!$F$98)+1400)+'Cálculos'!$F$122)*'Cálculos'!$F$277+'Cálculos'!$F$125*(1+2.78*('Cálculos'!$F$200+(($B$225)-$A198)*'Cálculos'!$F$98)/(('Cálculos'!$F$200+(($B$225)-$A198)*'Cálculos'!$F$98)+1400)+'Cálculos'!$F$123)*'Cálculos'!$F$282)))</f>
        <v>0</v>
      </c>
    </row>
    <row r="199" ht="15.75" customHeight="1">
      <c r="A199" s="2">
        <v>22.0</v>
      </c>
      <c r="B199" s="30">
        <f>SUMPRODUCT(MAX(($A$177:$A$222&lt;=$A199)*($A$177:$A$222&lt;='Cálculos'!$F$294)*(($A199)-$A$177:$A$222&lt;='Cálculos'!$F$295)*(1+(('Cálculos'!$F$207+$A$177:$A$222*'Cálculos'!$F$95)-(('Cálculos'!$F$207+$A$177:$A$222*'Cálculos'!$F$95)&gt;1)*(('Cálculos'!$F$207+$A$177:$A$222*'Cálculos'!$F$95)-1))*('Cálculos'!$F$208+(($A199)-$A$177:$A$222)*'Cálculos'!$F$96))))</f>
        <v>2.601089</v>
      </c>
      <c r="C199" s="2">
        <f>'Cálculos'!$F$303-$A199</f>
        <v>-4</v>
      </c>
      <c r="D199" s="31">
        <f>IF($C199&lt;0,0,SUMPRODUCT(MAX(($A$177:$A$222&lt;=$C199)*($A$177:$A$222&lt;='Cálculos'!$F$301)*(($C199)-$A$177:$A$222&lt;='Cálculos'!$F$297)*(('Cálculos'!$F$185*(1+'Cálculos'!$F$186+$A$177:$A$222*('Cálculos'!$F$290=1)*'Cálculos'!$F$97+'Cálculos'!$F$305)+'Cálculos'!$F$191)*('Cálculos'!$F$209+'Cálculos'!$F$124*(1+2.78*('Cálculos'!$F$196+(($C199)-$A$177:$A$222)*'Cálculos'!$F$98)/(('Cálculos'!$F$196+(($C199)-$A$177:$A$222)*'Cálculos'!$F$98)+1400)+'Cálculos'!$F$122)*'Cálculos'!$F$214+'Cálculos'!$F$125*(1+2.78*('Cálculos'!$F$196+(($C199)-$A$177:$A$222)*'Cálculos'!$F$98)/(('Cálculos'!$F$196+(($C199)-$A$177:$A$222)*'Cálculos'!$F$98)+1400)+'Cálculos'!$F$123)*'Cálculos'!$F$219)+('Cálculos'!$F$196+(($C199)-$A$177:$A$222)*'Cálculos'!$F$98)*('Cálculos'!$F$210+'Cálculos'!$F$124*(1+2.78*('Cálculos'!$F$196+(($C199)-$A$177:$A$222)*'Cálculos'!$F$98)/(('Cálculos'!$F$196+(($C199)-$A$177:$A$222)*'Cálculos'!$F$98)+1400)+'Cálculos'!$F$122)*'Cálculos'!$F$215+'Cálculos'!$F$125*(1+2.78*('Cálculos'!$F$196+(($C199)-$A$177:$A$222)*'Cálculos'!$F$98)/(('Cálculos'!$F$196+(($C199)-$A$177:$A$222)*'Cálculos'!$F$98)+1400)+'Cálculos'!$F$123)*'Cálculos'!$F$220)+('Cálculos'!$F$201*(1+'Cálculos'!$F$202+$A$177:$A$222*('Cálculos'!$F$290=2)*'Cálculos'!$F$101)+'Cálculos'!$F$203)*('Cálculos'!$F$211+'Cálculos'!$F$124*(1+2.78*('Cálculos'!$F$196+(($C199)-$A$177:$A$222)*'Cálculos'!$F$98)/(('Cálculos'!$F$196+(($C199)-$A$177:$A$222)*'Cálculos'!$F$98)+1400)+'Cálculos'!$F$122)*'Cálculos'!$F$216+'Cálculos'!$F$125*(1+2.78*('Cálculos'!$F$196+(($C199)-$A$177:$A$222)*'Cálculos'!$F$98)/(('Cálculos'!$F$196+(($C199)-$A$177:$A$222)*'Cálculos'!$F$98)+1400)+'Cálculos'!$F$123)*'Cálculos'!$F$221)+('Cálculos'!$F$204*(1+'Cálculos'!$F$205+$A$177:$A$222*('Cálculos'!$F$290=3)*'Cálculos'!$F$103)+'Cálculos'!$F$206)*('Cálculos'!$F$212+'Cálculos'!$F$124*(1+2.78*('Cálculos'!$F$196+(($C199)-$A$177:$A$222)*'Cálculos'!$F$98)/(('Cálculos'!$F$196+(($C199)-$A$177:$A$222)*'Cálculos'!$F$98)+1400)+'Cálculos'!$F$122)*'Cálculos'!$F$217+'Cálculos'!$F$125*(1+2.78*('Cálculos'!$F$196+(($C199)-$A$177:$A$222)*'Cálculos'!$F$98)/(('Cálculos'!$F$196+(($C199)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199)-$A$177:$A$222)*'Cálculos'!$F$98)/(('Cálculos'!$F$197+(($C199)-$A$177:$A$222)*'Cálculos'!$F$98)+1400)+'Cálculos'!$F$122)*'Cálculos'!$F$229+'Cálculos'!$F$125*(1+2.78*('Cálculos'!$F$197+(($C199)-$A$177:$A$222)*'Cálculos'!$F$98)/(('Cálculos'!$F$197+(($C199)-$A$177:$A$222)*'Cálculos'!$F$98)+1400)+'Cálculos'!$F$123)*'Cálculos'!$F$234)+('Cálculos'!$F$197+(($C199)-$A$177:$A$222)*'Cálculos'!$F$98)*('Cálculos'!$F$225+'Cálculos'!$F$124*(1+2.78*('Cálculos'!$F$197+(($C199)-$A$177:$A$222)*'Cálculos'!$F$98)/(('Cálculos'!$F$197+(($C199)-$A$177:$A$222)*'Cálculos'!$F$98)+1400)+'Cálculos'!$F$122)*'Cálculos'!$F$230+'Cálculos'!$F$125*(1+2.78*('Cálculos'!$F$197+(($C199)-$A$177:$A$222)*'Cálculos'!$F$98)/(('Cálculos'!$F$197+(($C199)-$A$177:$A$222)*'Cálculos'!$F$98)+1400)+'Cálculos'!$F$123)*'Cálculos'!$F$235)+('Cálculos'!$F$201*(1+'Cálculos'!$F$202+$A$177:$A$222*('Cálculos'!$F$290=2)*'Cálculos'!$F$101)+'Cálculos'!$F$203)*('Cálculos'!$F$226+'Cálculos'!$F$124*(1+2.78*('Cálculos'!$F$197+(($C199)-$A$177:$A$222)*'Cálculos'!$F$98)/(('Cálculos'!$F$197+(($C199)-$A$177:$A$222)*'Cálculos'!$F$98)+1400)+'Cálculos'!$F$122)*'Cálculos'!$F$231+'Cálculos'!$F$125*(1+2.78*('Cálculos'!$F$197+(($C199)-$A$177:$A$222)*'Cálculos'!$F$98)/(('Cálculos'!$F$197+(($C199)-$A$177:$A$222)*'Cálculos'!$F$98)+1400)+'Cálculos'!$F$123)*'Cálculos'!$F$236)+('Cálculos'!$F$204*(1+'Cálculos'!$F$205+$A$177:$A$222*('Cálculos'!$F$290=3)*'Cálculos'!$F$103)+'Cálculos'!$F$206)*('Cálculos'!$F$227+'Cálculos'!$F$124*(1+2.78*('Cálculos'!$F$197+(($C199)-$A$177:$A$222)*'Cálculos'!$F$98)/(('Cálculos'!$F$197+(($C199)-$A$177:$A$222)*'Cálculos'!$F$98)+1400)+'Cálculos'!$F$122)*'Cálculos'!$F$232+'Cálculos'!$F$125*(1+2.78*('Cálculos'!$F$197+(($C199)-$A$177:$A$222)*'Cálculos'!$F$98)/(('Cálculos'!$F$197+(($C199)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199)-$A$177:$A$222)*'Cálculos'!$F$98)/(('Cálculos'!$F$198+(($C199)-$A$177:$A$222)*'Cálculos'!$F$98)+1400)+'Cálculos'!$F$122)*'Cálculos'!$F$244+'Cálculos'!$F$125*(1+2.78*('Cálculos'!$F$198+(($C199)-$A$177:$A$222)*'Cálculos'!$F$98)/(('Cálculos'!$F$198+(($C199)-$A$177:$A$222)*'Cálculos'!$F$98)+1400)+'Cálculos'!$F$123)*'Cálculos'!$F$249)+('Cálculos'!$F$198+(($C199)-$A$177:$A$222)*'Cálculos'!$F$98)*('Cálculos'!$F$240+'Cálculos'!$F$124*(1+2.78*('Cálculos'!$F$198+(($C199)-$A$177:$A$222)*'Cálculos'!$F$98)/(('Cálculos'!$F$198+(($C199)-$A$177:$A$222)*'Cálculos'!$F$98)+1400)+'Cálculos'!$F$122)*'Cálculos'!$F$245+'Cálculos'!$F$125*(1+2.78*('Cálculos'!$F$198+(($C199)-$A$177:$A$222)*'Cálculos'!$F$98)/(('Cálculos'!$F$198+(($C199)-$A$177:$A$222)*'Cálculos'!$F$98)+1400)+'Cálculos'!$F$123)*'Cálculos'!$F$250)+('Cálculos'!$F$201*(1+'Cálculos'!$F$202+$A$177:$A$222*('Cálculos'!$F$290=2)*'Cálculos'!$F$101)+'Cálculos'!$F$203)*('Cálculos'!$F$241+'Cálculos'!$F$124*(1+2.78*('Cálculos'!$F$198+(($C199)-$A$177:$A$222)*'Cálculos'!$F$98)/(('Cálculos'!$F$198+(($C199)-$A$177:$A$222)*'Cálculos'!$F$98)+1400)+'Cálculos'!$F$122)*'Cálculos'!$F$246+'Cálculos'!$F$125*(1+2.78*('Cálculos'!$F$198+(($C199)-$A$177:$A$222)*'Cálculos'!$F$98)/(('Cálculos'!$F$198+(($C199)-$A$177:$A$222)*'Cálculos'!$F$98)+1400)+'Cálculos'!$F$123)*'Cálculos'!$F$251)+('Cálculos'!$F$204*(1+'Cálculos'!$F$205+$A$177:$A$222*('Cálculos'!$F$290=3)*'Cálculos'!$F$103)+'Cálculos'!$F$206)*('Cálculos'!$F$242+'Cálculos'!$F$124*(1+2.78*('Cálculos'!$F$198+(($C199)-$A$177:$A$222)*'Cálculos'!$F$98)/(('Cálculos'!$F$198+(($C199)-$A$177:$A$222)*'Cálculos'!$F$98)+1400)+'Cálculos'!$F$122)*'Cálculos'!$F$247+'Cálculos'!$F$125*(1+2.78*('Cálculos'!$F$198+(($C199)-$A$177:$A$222)*'Cálculos'!$F$98)/(('Cálculos'!$F$198+(($C199)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199)-$A$177:$A$222)*'Cálculos'!$F$98)/(('Cálculos'!$F$199+(($C199)-$A$177:$A$222)*'Cálculos'!$F$98)+1400)+'Cálculos'!$F$122)*'Cálculos'!$F$259+'Cálculos'!$F$125*(1+2.78*('Cálculos'!$F$199+(($C199)-$A$177:$A$222)*'Cálculos'!$F$98)/(('Cálculos'!$F$199+(($C199)-$A$177:$A$222)*'Cálculos'!$F$98)+1400)+'Cálculos'!$F$123)*'Cálculos'!$F$264)+('Cálculos'!$F$199+(($C199)-$A$177:$A$222)*'Cálculos'!$F$98)*('Cálculos'!$F$255+'Cálculos'!$F$124*(1+2.78*('Cálculos'!$F$199+(($C199)-$A$177:$A$222)*'Cálculos'!$F$98)/(('Cálculos'!$F$199+(($C199)-$A$177:$A$222)*'Cálculos'!$F$98)+1400)+'Cálculos'!$F$122)*'Cálculos'!$F$260+'Cálculos'!$F$125*(1+2.78*('Cálculos'!$F$199+(($C199)-$A$177:$A$222)*'Cálculos'!$F$98)/(('Cálculos'!$F$199+(($C199)-$A$177:$A$222)*'Cálculos'!$F$98)+1400)+'Cálculos'!$F$123)*'Cálculos'!$F$265)+('Cálculos'!$F$201*(1+'Cálculos'!$F$202+$A$177:$A$222*('Cálculos'!$F$290=2)*'Cálculos'!$F$101)+'Cálculos'!$F$203)*('Cálculos'!$F$256+'Cálculos'!$F$124*(1+2.78*('Cálculos'!$F$199+(($C199)-$A$177:$A$222)*'Cálculos'!$F$98)/(('Cálculos'!$F$199+(($C199)-$A$177:$A$222)*'Cálculos'!$F$98)+1400)+'Cálculos'!$F$122)*'Cálculos'!$F$261+'Cálculos'!$F$125*(1+2.78*('Cálculos'!$F$199+(($C199)-$A$177:$A$222)*'Cálculos'!$F$98)/(('Cálculos'!$F$199+(($C199)-$A$177:$A$222)*'Cálculos'!$F$98)+1400)+'Cálculos'!$F$123)*'Cálculos'!$F$266)+('Cálculos'!$F$204*(1+'Cálculos'!$F$205+$A$177:$A$222*('Cálculos'!$F$290=3)*'Cálculos'!$F$103)+'Cálculos'!$F$206)*('Cálculos'!$F$257+'Cálculos'!$F$124*(1+2.78*('Cálculos'!$F$199+(($C199)-$A$177:$A$222)*'Cálculos'!$F$98)/(('Cálculos'!$F$199+(($C199)-$A$177:$A$222)*'Cálculos'!$F$98)+1400)+'Cálculos'!$F$122)*'Cálculos'!$F$262+'Cálculos'!$F$125*(1+2.78*('Cálculos'!$F$199+(($C199)-$A$177:$A$222)*'Cálculos'!$F$98)/(('Cálculos'!$F$199+(($C199)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199)-$A$177:$A$222)*'Cálculos'!$F$98)/(('Cálculos'!$F$200+(($C199)-$A$177:$A$222)*'Cálculos'!$F$98)+1400)+'Cálculos'!$F$122)*'Cálculos'!$F$274+'Cálculos'!$F$125*(1+2.78*('Cálculos'!$F$200+(($C199)-$A$177:$A$222)*'Cálculos'!$F$98)/(('Cálculos'!$F$200+(($C199)-$A$177:$A$222)*'Cálculos'!$F$98)+1400)+'Cálculos'!$F$123)*'Cálculos'!$F$279)+('Cálculos'!$F$200+(($C199)-$A$177:$A$222)*'Cálculos'!$F$98)*('Cálculos'!$F$270+'Cálculos'!$F$124*(1+2.78*('Cálculos'!$F$200+(($C199)-$A$177:$A$222)*'Cálculos'!$F$98)/(('Cálculos'!$F$200+(($C199)-$A$177:$A$222)*'Cálculos'!$F$98)+1400)+'Cálculos'!$F$122)*'Cálculos'!$F$275+'Cálculos'!$F$125*(1+2.78*('Cálculos'!$F$200+(($C199)-$A$177:$A$222)*'Cálculos'!$F$98)/(('Cálculos'!$F$200+(($C199)-$A$177:$A$222)*'Cálculos'!$F$98)+1400)+'Cálculos'!$F$123)*'Cálculos'!$F$280)+('Cálculos'!$F$201*(1+'Cálculos'!$F$202+$A$177:$A$222*('Cálculos'!$F$290=2)*'Cálculos'!$F$101)+'Cálculos'!$F$203)*('Cálculos'!$F$271+'Cálculos'!$F$124*(1+2.78*('Cálculos'!$F$200+(($C199)-$A$177:$A$222)*'Cálculos'!$F$98)/(('Cálculos'!$F$200+(($C199)-$A$177:$A$222)*'Cálculos'!$F$98)+1400)+'Cálculos'!$F$122)*'Cálculos'!$F$276+'Cálculos'!$F$125*(1+2.78*('Cálculos'!$F$200+(($C199)-$A$177:$A$222)*'Cálculos'!$F$98)/(('Cálculos'!$F$200+(($C199)-$A$177:$A$222)*'Cálculos'!$F$98)+1400)+'Cálculos'!$F$123)*'Cálculos'!$F$281)+('Cálculos'!$F$204*(1+'Cálculos'!$F$205+$A$177:$A$222*('Cálculos'!$F$290=3)*'Cálculos'!$F$103)+'Cálculos'!$F$206)*('Cálculos'!$F$272+'Cálculos'!$F$124*(1+2.78*('Cálculos'!$F$200+(($C199)-$A$177:$A$222)*'Cálculos'!$F$98)/(('Cálculos'!$F$200+(($C199)-$A$177:$A$222)*'Cálculos'!$F$98)+1400)+'Cálculos'!$F$122)*'Cálculos'!$F$277+'Cálculos'!$F$125*(1+2.78*('Cálculos'!$F$200+(($C199)-$A$177:$A$222)*'Cálculos'!$F$98)/(('Cálculos'!$F$200+(($C199)-$A$177:$A$222)*'Cálculos'!$F$98)+1400)+'Cálculos'!$F$123)*'Cálculos'!$F$282)))))</f>
        <v>0</v>
      </c>
      <c r="E199" s="32">
        <f>IF(OR($C199&lt;0,'Cálculos'!$F$6=""),0,$B199*$D199)</f>
        <v>0</v>
      </c>
      <c r="F199" s="2"/>
      <c r="G199" s="30">
        <f>($A199&lt;=$B$224)*($A199&lt;='Cálculos'!$F$294)*(($B$224)-$A199&lt;='Cálculos'!$F$295)*(1+MIN(('Cálculos'!$F$207+$A199*'Cálculos'!$F$95),1)*('Cálculos'!$F$208+(($B$224)-$A199)*'Cálculos'!$F$96))</f>
        <v>0</v>
      </c>
      <c r="H199" s="31">
        <f>IF($B$225&lt;0,0,($A199&lt;=$B$225)*($A199&lt;='Cálculos'!$F$301)*(($B$225)-$A199&lt;='Cálculos'!$F$297)*(('Cálculos'!$F$185*(1+'Cálculos'!$F$186+$A199*('Cálculos'!$F$290=1)*'Cálculos'!$F$97+'Cálculos'!$F$305)+'Cálculos'!$F$191)*('Cálculos'!$F$209+'Cálculos'!$F$124*(1+2.78*('Cálculos'!$F$196+(($B$225)-$A199)*'Cálculos'!$F$98)/(('Cálculos'!$F$196+(($B$225)-$A199)*'Cálculos'!$F$98)+1400)+'Cálculos'!$F$122)*'Cálculos'!$F$214+'Cálculos'!$F$125*(1+2.78*('Cálculos'!$F$196+(($B$225)-$A199)*'Cálculos'!$F$98)/(('Cálculos'!$F$196+(($B$225)-$A199)*'Cálculos'!$F$98)+1400)+'Cálculos'!$F$123)*'Cálculos'!$F$219)+('Cálculos'!$F$196+(($B$225)-$A199)*'Cálculos'!$F$98)*('Cálculos'!$F$210+'Cálculos'!$F$124*(1+2.78*('Cálculos'!$F$196+(($B$225)-$A199)*'Cálculos'!$F$98)/(('Cálculos'!$F$196+(($B$225)-$A199)*'Cálculos'!$F$98)+1400)+'Cálculos'!$F$122)*'Cálculos'!$F$215+'Cálculos'!$F$125*(1+2.78*('Cálculos'!$F$196+(($B$225)-$A199)*'Cálculos'!$F$98)/(('Cálculos'!$F$196+(($B$225)-$A199)*'Cálculos'!$F$98)+1400)+'Cálculos'!$F$123)*'Cálculos'!$F$220)+('Cálculos'!$F$201*(1+'Cálculos'!$F$202+$A199*('Cálculos'!$F$290=2)*'Cálculos'!$F$101)+'Cálculos'!$F$203)*('Cálculos'!$F$211+'Cálculos'!$F$124*(1+2.78*('Cálculos'!$F$196+(($B$225)-$A199)*'Cálculos'!$F$98)/(('Cálculos'!$F$196+(($B$225)-$A199)*'Cálculos'!$F$98)+1400)+'Cálculos'!$F$122)*'Cálculos'!$F$216+'Cálculos'!$F$125*(1+2.78*('Cálculos'!$F$196+(($B$225)-$A199)*'Cálculos'!$F$98)/(('Cálculos'!$F$196+(($B$225)-$A199)*'Cálculos'!$F$98)+1400)+'Cálculos'!$F$123)*'Cálculos'!$F$221)+('Cálculos'!$F$204*(1+'Cálculos'!$F$205+$A199*('Cálculos'!$F$290=3)*'Cálculos'!$F$103)+'Cálculos'!$F$206)*('Cálculos'!$F$212+'Cálculos'!$F$124*(1+2.78*('Cálculos'!$F$196+(($B$225)-$A199)*'Cálculos'!$F$98)/(('Cálculos'!$F$196+(($B$225)-$A199)*'Cálculos'!$F$98)+1400)+'Cálculos'!$F$122)*'Cálculos'!$F$217+'Cálculos'!$F$125*(1+2.78*('Cálculos'!$F$196+(($B$225)-$A199)*'Cálculos'!$F$98)/(('Cálculos'!$F$196+(($B$225)-$A199)*'Cálculos'!$F$98)+1400)+'Cálculos'!$F$123)*'Cálculos'!$F$222)+('Cálculos'!$F$185*(1+'Cálculos'!$F$187+$A199*('Cálculos'!$F$290=1)*'Cálculos'!$F$97+'Cálculos'!$F$305)+'Cálculos'!$F$192)*('Cálculos'!$F$224+'Cálculos'!$F$124*(1+2.78*('Cálculos'!$F$197+(($B$225)-$A199)*'Cálculos'!$F$98)/(('Cálculos'!$F$197+(($B$225)-$A199)*'Cálculos'!$F$98)+1400)+'Cálculos'!$F$122)*'Cálculos'!$F$229+'Cálculos'!$F$125*(1+2.78*('Cálculos'!$F$197+(($B$225)-$A199)*'Cálculos'!$F$98)/(('Cálculos'!$F$197+(($B$225)-$A199)*'Cálculos'!$F$98)+1400)+'Cálculos'!$F$123)*'Cálculos'!$F$234)+('Cálculos'!$F$197+(($B$225)-$A199)*'Cálculos'!$F$98)*('Cálculos'!$F$225+'Cálculos'!$F$124*(1+2.78*('Cálculos'!$F$197+(($B$225)-$A199)*'Cálculos'!$F$98)/(('Cálculos'!$F$197+(($B$225)-$A199)*'Cálculos'!$F$98)+1400)+'Cálculos'!$F$122)*'Cálculos'!$F$230+'Cálculos'!$F$125*(1+2.78*('Cálculos'!$F$197+(($B$225)-$A199)*'Cálculos'!$F$98)/(('Cálculos'!$F$197+(($B$225)-$A199)*'Cálculos'!$F$98)+1400)+'Cálculos'!$F$123)*'Cálculos'!$F$235)+('Cálculos'!$F$201*(1+'Cálculos'!$F$202+$A199*('Cálculos'!$F$290=2)*'Cálculos'!$F$101)+'Cálculos'!$F$203)*('Cálculos'!$F$226+'Cálculos'!$F$124*(1+2.78*('Cálculos'!$F$197+(($B$225)-$A199)*'Cálculos'!$F$98)/(('Cálculos'!$F$197+(($B$225)-$A199)*'Cálculos'!$F$98)+1400)+'Cálculos'!$F$122)*'Cálculos'!$F$231+'Cálculos'!$F$125*(1+2.78*('Cálculos'!$F$197+(($B$225)-$A199)*'Cálculos'!$F$98)/(('Cálculos'!$F$197+(($B$225)-$A199)*'Cálculos'!$F$98)+1400)+'Cálculos'!$F$123)*'Cálculos'!$F$236)+('Cálculos'!$F$204*(1+'Cálculos'!$F$205+$A199*('Cálculos'!$F$290=3)*'Cálculos'!$F$103)+'Cálculos'!$F$206)*('Cálculos'!$F$227+'Cálculos'!$F$124*(1+2.78*('Cálculos'!$F$197+(($B$225)-$A199)*'Cálculos'!$F$98)/(('Cálculos'!$F$197+(($B$225)-$A199)*'Cálculos'!$F$98)+1400)+'Cálculos'!$F$122)*'Cálculos'!$F$232+'Cálculos'!$F$125*(1+2.78*('Cálculos'!$F$197+(($B$225)-$A199)*'Cálculos'!$F$98)/(('Cálculos'!$F$197+(($B$225)-$A199)*'Cálculos'!$F$98)+1400)+'Cálculos'!$F$123)*'Cálculos'!$F$237)+('Cálculos'!$F$185*(1+'Cálculos'!$F$188+$A199*('Cálculos'!$F$290=1)*'Cálculos'!$F$97+'Cálculos'!$F$305)+'Cálculos'!$F$193)*('Cálculos'!$F$239+'Cálculos'!$F$124*(1+2.78*('Cálculos'!$F$198+(($B$225)-$A199)*'Cálculos'!$F$98)/(('Cálculos'!$F$198+(($B$225)-$A199)*'Cálculos'!$F$98)+1400)+'Cálculos'!$F$122)*'Cálculos'!$F$244+'Cálculos'!$F$125*(1+2.78*('Cálculos'!$F$198+(($B$225)-$A199)*'Cálculos'!$F$98)/(('Cálculos'!$F$198+(($B$225)-$A199)*'Cálculos'!$F$98)+1400)+'Cálculos'!$F$123)*'Cálculos'!$F$249)+('Cálculos'!$F$198+(($B$225)-$A199)*'Cálculos'!$F$98)*('Cálculos'!$F$240+'Cálculos'!$F$124*(1+2.78*('Cálculos'!$F$198+(($B$225)-$A199)*'Cálculos'!$F$98)/(('Cálculos'!$F$198+(($B$225)-$A199)*'Cálculos'!$F$98)+1400)+'Cálculos'!$F$122)*'Cálculos'!$F$245+'Cálculos'!$F$125*(1+2.78*('Cálculos'!$F$198+(($B$225)-$A199)*'Cálculos'!$F$98)/(('Cálculos'!$F$198+(($B$225)-$A199)*'Cálculos'!$F$98)+1400)+'Cálculos'!$F$123)*'Cálculos'!$F$250)+('Cálculos'!$F$201*(1+'Cálculos'!$F$202+$A199*('Cálculos'!$F$290=2)*'Cálculos'!$F$101)+'Cálculos'!$F$203)*('Cálculos'!$F$241+'Cálculos'!$F$124*(1+2.78*('Cálculos'!$F$198+(($B$225)-$A199)*'Cálculos'!$F$98)/(('Cálculos'!$F$198+(($B$225)-$A199)*'Cálculos'!$F$98)+1400)+'Cálculos'!$F$122)*'Cálculos'!$F$246+'Cálculos'!$F$125*(1+2.78*('Cálculos'!$F$198+(($B$225)-$A199)*'Cálculos'!$F$98)/(('Cálculos'!$F$198+(($B$225)-$A199)*'Cálculos'!$F$98)+1400)+'Cálculos'!$F$123)*'Cálculos'!$F$251)+('Cálculos'!$F$204*(1+'Cálculos'!$F$205+$A199*('Cálculos'!$F$290=3)*'Cálculos'!$F$103)+'Cálculos'!$F$206)*('Cálculos'!$F$242+'Cálculos'!$F$124*(1+2.78*('Cálculos'!$F$198+(($B$225)-$A199)*'Cálculos'!$F$98)/(('Cálculos'!$F$198+(($B$225)-$A199)*'Cálculos'!$F$98)+1400)+'Cálculos'!$F$122)*'Cálculos'!$F$247+'Cálculos'!$F$125*(1+2.78*('Cálculos'!$F$198+(($B$225)-$A199)*'Cálculos'!$F$98)/(('Cálculos'!$F$198+(($B$225)-$A199)*'Cálculos'!$F$98)+1400)+'Cálculos'!$F$123)*'Cálculos'!$F$252)+('Cálculos'!$F$185*(1+'Cálculos'!$F$189+$A199*('Cálculos'!$F$290=1)*'Cálculos'!$F$97+'Cálculos'!$F$305)+'Cálculos'!$F$194)*('Cálculos'!$F$254+'Cálculos'!$F$124*(1+2.78*('Cálculos'!$F$199+(($B$225)-$A199)*'Cálculos'!$F$98)/(('Cálculos'!$F$199+(($B$225)-$A199)*'Cálculos'!$F$98)+1400)+'Cálculos'!$F$122)*'Cálculos'!$F$259+'Cálculos'!$F$125*(1+2.78*('Cálculos'!$F$199+(($B$225)-$A199)*'Cálculos'!$F$98)/(('Cálculos'!$F$199+(($B$225)-$A199)*'Cálculos'!$F$98)+1400)+'Cálculos'!$F$123)*'Cálculos'!$F$264)+('Cálculos'!$F$199+(($B$225)-$A199)*'Cálculos'!$F$98)*('Cálculos'!$F$255+'Cálculos'!$F$124*(1+2.78*('Cálculos'!$F$199+(($B$225)-$A199)*'Cálculos'!$F$98)/(('Cálculos'!$F$199+(($B$225)-$A199)*'Cálculos'!$F$98)+1400)+'Cálculos'!$F$122)*'Cálculos'!$F$260+'Cálculos'!$F$125*(1+2.78*('Cálculos'!$F$199+(($B$225)-$A199)*'Cálculos'!$F$98)/(('Cálculos'!$F$199+(($B$225)-$A199)*'Cálculos'!$F$98)+1400)+'Cálculos'!$F$123)*'Cálculos'!$F$265)+('Cálculos'!$F$201*(1+'Cálculos'!$F$202+$A199*('Cálculos'!$F$290=2)*'Cálculos'!$F$101)+'Cálculos'!$F$203)*('Cálculos'!$F$256+'Cálculos'!$F$124*(1+2.78*('Cálculos'!$F$199+(($B$225)-$A199)*'Cálculos'!$F$98)/(('Cálculos'!$F$199+(($B$225)-$A199)*'Cálculos'!$F$98)+1400)+'Cálculos'!$F$122)*'Cálculos'!$F$261+'Cálculos'!$F$125*(1+2.78*('Cálculos'!$F$199+(($B$225)-$A199)*'Cálculos'!$F$98)/(('Cálculos'!$F$199+(($B$225)-$A199)*'Cálculos'!$F$98)+1400)+'Cálculos'!$F$123)*'Cálculos'!$F$266)+('Cálculos'!$F$204*(1+'Cálculos'!$F$205+$A199*('Cálculos'!$F$290=3)*'Cálculos'!$F$103)+'Cálculos'!$F$206)*('Cálculos'!$F$257+'Cálculos'!$F$124*(1+2.78*('Cálculos'!$F$199+(($B$225)-$A199)*'Cálculos'!$F$98)/(('Cálculos'!$F$199+(($B$225)-$A199)*'Cálculos'!$F$98)+1400)+'Cálculos'!$F$122)*'Cálculos'!$F$262+'Cálculos'!$F$125*(1+2.78*('Cálculos'!$F$199+(($B$225)-$A199)*'Cálculos'!$F$98)/(('Cálculos'!$F$199+(($B$225)-$A199)*'Cálculos'!$F$98)+1400)+'Cálculos'!$F$123)*'Cálculos'!$F$267)+('Cálculos'!$F$185*(1+'Cálculos'!$F$190+$A199*('Cálculos'!$F$290=1)*'Cálculos'!$F$97+'Cálculos'!$F$305)+'Cálculos'!$F$195)*('Cálculos'!$F$269+'Cálculos'!$F$124*(1+2.78*('Cálculos'!$F$200+(($B$225)-$A199)*'Cálculos'!$F$98)/(('Cálculos'!$F$200+(($B$225)-$A199)*'Cálculos'!$F$98)+1400)+'Cálculos'!$F$122)*'Cálculos'!$F$274+'Cálculos'!$F$125*(1+2.78*('Cálculos'!$F$200+(($B$225)-$A199)*'Cálculos'!$F$98)/(('Cálculos'!$F$200+(($B$225)-$A199)*'Cálculos'!$F$98)+1400)+'Cálculos'!$F$123)*'Cálculos'!$F$279)+('Cálculos'!$F$200+(($B$225)-$A199)*'Cálculos'!$F$98)*('Cálculos'!$F$270+'Cálculos'!$F$124*(1+2.78*('Cálculos'!$F$200+(($B$225)-$A199)*'Cálculos'!$F$98)/(('Cálculos'!$F$200+(($B$225)-$A199)*'Cálculos'!$F$98)+1400)+'Cálculos'!$F$122)*'Cálculos'!$F$275+'Cálculos'!$F$125*(1+2.78*('Cálculos'!$F$200+(($B$225)-$A199)*'Cálculos'!$F$98)/(('Cálculos'!$F$200+(($B$225)-$A199)*'Cálculos'!$F$98)+1400)+'Cálculos'!$F$123)*'Cálculos'!$F$280)+('Cálculos'!$F$201*(1+'Cálculos'!$F$202+$A199*('Cálculos'!$F$290=2)*'Cálculos'!$F$101)+'Cálculos'!$F$203)*('Cálculos'!$F$271+'Cálculos'!$F$124*(1+2.78*('Cálculos'!$F$200+(($B$225)-$A199)*'Cálculos'!$F$98)/(('Cálculos'!$F$200+(($B$225)-$A199)*'Cálculos'!$F$98)+1400)+'Cálculos'!$F$122)*'Cálculos'!$F$276+'Cálculos'!$F$125*(1+2.78*('Cálculos'!$F$200+(($B$225)-$A199)*'Cálculos'!$F$98)/(('Cálculos'!$F$200+(($B$225)-$A199)*'Cálculos'!$F$98)+1400)+'Cálculos'!$F$123)*'Cálculos'!$F$281)+('Cálculos'!$F$204*(1+'Cálculos'!$F$205+$A199*('Cálculos'!$F$290=3)*'Cálculos'!$F$103)+'Cálculos'!$F$206)*('Cálculos'!$F$272+'Cálculos'!$F$124*(1+2.78*('Cálculos'!$F$200+(($B$225)-$A199)*'Cálculos'!$F$98)/(('Cálculos'!$F$200+(($B$225)-$A199)*'Cálculos'!$F$98)+1400)+'Cálculos'!$F$122)*'Cálculos'!$F$277+'Cálculos'!$F$125*(1+2.78*('Cálculos'!$F$200+(($B$225)-$A199)*'Cálculos'!$F$98)/(('Cálculos'!$F$200+(($B$225)-$A199)*'Cálculos'!$F$98)+1400)+'Cálculos'!$F$123)*'Cálculos'!$F$282)))</f>
        <v>0</v>
      </c>
    </row>
    <row r="200" ht="15.75" customHeight="1">
      <c r="A200" s="2">
        <v>23.0</v>
      </c>
      <c r="B200" s="30">
        <f>SUMPRODUCT(MAX(($A$177:$A$222&lt;=$A200)*($A$177:$A$222&lt;='Cálculos'!$F$294)*(($A200)-$A$177:$A$222&lt;='Cálculos'!$F$295)*(1+(('Cálculos'!$F$207+$A$177:$A$222*'Cálculos'!$F$95)-(('Cálculos'!$F$207+$A$177:$A$222*'Cálculos'!$F$95)&gt;1)*(('Cálculos'!$F$207+$A$177:$A$222*'Cálculos'!$F$95)-1))*('Cálculos'!$F$208+(($A200)-$A$177:$A$222)*'Cálculos'!$F$96))))</f>
        <v>2.660522</v>
      </c>
      <c r="C200" s="2">
        <f>'Cálculos'!$F$303-$A200</f>
        <v>-5</v>
      </c>
      <c r="D200" s="31">
        <f>IF($C200&lt;0,0,SUMPRODUCT(MAX(($A$177:$A$222&lt;=$C200)*($A$177:$A$222&lt;='Cálculos'!$F$301)*(($C200)-$A$177:$A$222&lt;='Cálculos'!$F$297)*(('Cálculos'!$F$185*(1+'Cálculos'!$F$186+$A$177:$A$222*('Cálculos'!$F$290=1)*'Cálculos'!$F$97+'Cálculos'!$F$305)+'Cálculos'!$F$191)*('Cálculos'!$F$209+'Cálculos'!$F$124*(1+2.78*('Cálculos'!$F$196+(($C200)-$A$177:$A$222)*'Cálculos'!$F$98)/(('Cálculos'!$F$196+(($C200)-$A$177:$A$222)*'Cálculos'!$F$98)+1400)+'Cálculos'!$F$122)*'Cálculos'!$F$214+'Cálculos'!$F$125*(1+2.78*('Cálculos'!$F$196+(($C200)-$A$177:$A$222)*'Cálculos'!$F$98)/(('Cálculos'!$F$196+(($C200)-$A$177:$A$222)*'Cálculos'!$F$98)+1400)+'Cálculos'!$F$123)*'Cálculos'!$F$219)+('Cálculos'!$F$196+(($C200)-$A$177:$A$222)*'Cálculos'!$F$98)*('Cálculos'!$F$210+'Cálculos'!$F$124*(1+2.78*('Cálculos'!$F$196+(($C200)-$A$177:$A$222)*'Cálculos'!$F$98)/(('Cálculos'!$F$196+(($C200)-$A$177:$A$222)*'Cálculos'!$F$98)+1400)+'Cálculos'!$F$122)*'Cálculos'!$F$215+'Cálculos'!$F$125*(1+2.78*('Cálculos'!$F$196+(($C200)-$A$177:$A$222)*'Cálculos'!$F$98)/(('Cálculos'!$F$196+(($C200)-$A$177:$A$222)*'Cálculos'!$F$98)+1400)+'Cálculos'!$F$123)*'Cálculos'!$F$220)+('Cálculos'!$F$201*(1+'Cálculos'!$F$202+$A$177:$A$222*('Cálculos'!$F$290=2)*'Cálculos'!$F$101)+'Cálculos'!$F$203)*('Cálculos'!$F$211+'Cálculos'!$F$124*(1+2.78*('Cálculos'!$F$196+(($C200)-$A$177:$A$222)*'Cálculos'!$F$98)/(('Cálculos'!$F$196+(($C200)-$A$177:$A$222)*'Cálculos'!$F$98)+1400)+'Cálculos'!$F$122)*'Cálculos'!$F$216+'Cálculos'!$F$125*(1+2.78*('Cálculos'!$F$196+(($C200)-$A$177:$A$222)*'Cálculos'!$F$98)/(('Cálculos'!$F$196+(($C200)-$A$177:$A$222)*'Cálculos'!$F$98)+1400)+'Cálculos'!$F$123)*'Cálculos'!$F$221)+('Cálculos'!$F$204*(1+'Cálculos'!$F$205+$A$177:$A$222*('Cálculos'!$F$290=3)*'Cálculos'!$F$103)+'Cálculos'!$F$206)*('Cálculos'!$F$212+'Cálculos'!$F$124*(1+2.78*('Cálculos'!$F$196+(($C200)-$A$177:$A$222)*'Cálculos'!$F$98)/(('Cálculos'!$F$196+(($C200)-$A$177:$A$222)*'Cálculos'!$F$98)+1400)+'Cálculos'!$F$122)*'Cálculos'!$F$217+'Cálculos'!$F$125*(1+2.78*('Cálculos'!$F$196+(($C200)-$A$177:$A$222)*'Cálculos'!$F$98)/(('Cálculos'!$F$196+(($C200)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200)-$A$177:$A$222)*'Cálculos'!$F$98)/(('Cálculos'!$F$197+(($C200)-$A$177:$A$222)*'Cálculos'!$F$98)+1400)+'Cálculos'!$F$122)*'Cálculos'!$F$229+'Cálculos'!$F$125*(1+2.78*('Cálculos'!$F$197+(($C200)-$A$177:$A$222)*'Cálculos'!$F$98)/(('Cálculos'!$F$197+(($C200)-$A$177:$A$222)*'Cálculos'!$F$98)+1400)+'Cálculos'!$F$123)*'Cálculos'!$F$234)+('Cálculos'!$F$197+(($C200)-$A$177:$A$222)*'Cálculos'!$F$98)*('Cálculos'!$F$225+'Cálculos'!$F$124*(1+2.78*('Cálculos'!$F$197+(($C200)-$A$177:$A$222)*'Cálculos'!$F$98)/(('Cálculos'!$F$197+(($C200)-$A$177:$A$222)*'Cálculos'!$F$98)+1400)+'Cálculos'!$F$122)*'Cálculos'!$F$230+'Cálculos'!$F$125*(1+2.78*('Cálculos'!$F$197+(($C200)-$A$177:$A$222)*'Cálculos'!$F$98)/(('Cálculos'!$F$197+(($C200)-$A$177:$A$222)*'Cálculos'!$F$98)+1400)+'Cálculos'!$F$123)*'Cálculos'!$F$235)+('Cálculos'!$F$201*(1+'Cálculos'!$F$202+$A$177:$A$222*('Cálculos'!$F$290=2)*'Cálculos'!$F$101)+'Cálculos'!$F$203)*('Cálculos'!$F$226+'Cálculos'!$F$124*(1+2.78*('Cálculos'!$F$197+(($C200)-$A$177:$A$222)*'Cálculos'!$F$98)/(('Cálculos'!$F$197+(($C200)-$A$177:$A$222)*'Cálculos'!$F$98)+1400)+'Cálculos'!$F$122)*'Cálculos'!$F$231+'Cálculos'!$F$125*(1+2.78*('Cálculos'!$F$197+(($C200)-$A$177:$A$222)*'Cálculos'!$F$98)/(('Cálculos'!$F$197+(($C200)-$A$177:$A$222)*'Cálculos'!$F$98)+1400)+'Cálculos'!$F$123)*'Cálculos'!$F$236)+('Cálculos'!$F$204*(1+'Cálculos'!$F$205+$A$177:$A$222*('Cálculos'!$F$290=3)*'Cálculos'!$F$103)+'Cálculos'!$F$206)*('Cálculos'!$F$227+'Cálculos'!$F$124*(1+2.78*('Cálculos'!$F$197+(($C200)-$A$177:$A$222)*'Cálculos'!$F$98)/(('Cálculos'!$F$197+(($C200)-$A$177:$A$222)*'Cálculos'!$F$98)+1400)+'Cálculos'!$F$122)*'Cálculos'!$F$232+'Cálculos'!$F$125*(1+2.78*('Cálculos'!$F$197+(($C200)-$A$177:$A$222)*'Cálculos'!$F$98)/(('Cálculos'!$F$197+(($C200)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200)-$A$177:$A$222)*'Cálculos'!$F$98)/(('Cálculos'!$F$198+(($C200)-$A$177:$A$222)*'Cálculos'!$F$98)+1400)+'Cálculos'!$F$122)*'Cálculos'!$F$244+'Cálculos'!$F$125*(1+2.78*('Cálculos'!$F$198+(($C200)-$A$177:$A$222)*'Cálculos'!$F$98)/(('Cálculos'!$F$198+(($C200)-$A$177:$A$222)*'Cálculos'!$F$98)+1400)+'Cálculos'!$F$123)*'Cálculos'!$F$249)+('Cálculos'!$F$198+(($C200)-$A$177:$A$222)*'Cálculos'!$F$98)*('Cálculos'!$F$240+'Cálculos'!$F$124*(1+2.78*('Cálculos'!$F$198+(($C200)-$A$177:$A$222)*'Cálculos'!$F$98)/(('Cálculos'!$F$198+(($C200)-$A$177:$A$222)*'Cálculos'!$F$98)+1400)+'Cálculos'!$F$122)*'Cálculos'!$F$245+'Cálculos'!$F$125*(1+2.78*('Cálculos'!$F$198+(($C200)-$A$177:$A$222)*'Cálculos'!$F$98)/(('Cálculos'!$F$198+(($C200)-$A$177:$A$222)*'Cálculos'!$F$98)+1400)+'Cálculos'!$F$123)*'Cálculos'!$F$250)+('Cálculos'!$F$201*(1+'Cálculos'!$F$202+$A$177:$A$222*('Cálculos'!$F$290=2)*'Cálculos'!$F$101)+'Cálculos'!$F$203)*('Cálculos'!$F$241+'Cálculos'!$F$124*(1+2.78*('Cálculos'!$F$198+(($C200)-$A$177:$A$222)*'Cálculos'!$F$98)/(('Cálculos'!$F$198+(($C200)-$A$177:$A$222)*'Cálculos'!$F$98)+1400)+'Cálculos'!$F$122)*'Cálculos'!$F$246+'Cálculos'!$F$125*(1+2.78*('Cálculos'!$F$198+(($C200)-$A$177:$A$222)*'Cálculos'!$F$98)/(('Cálculos'!$F$198+(($C200)-$A$177:$A$222)*'Cálculos'!$F$98)+1400)+'Cálculos'!$F$123)*'Cálculos'!$F$251)+('Cálculos'!$F$204*(1+'Cálculos'!$F$205+$A$177:$A$222*('Cálculos'!$F$290=3)*'Cálculos'!$F$103)+'Cálculos'!$F$206)*('Cálculos'!$F$242+'Cálculos'!$F$124*(1+2.78*('Cálculos'!$F$198+(($C200)-$A$177:$A$222)*'Cálculos'!$F$98)/(('Cálculos'!$F$198+(($C200)-$A$177:$A$222)*'Cálculos'!$F$98)+1400)+'Cálculos'!$F$122)*'Cálculos'!$F$247+'Cálculos'!$F$125*(1+2.78*('Cálculos'!$F$198+(($C200)-$A$177:$A$222)*'Cálculos'!$F$98)/(('Cálculos'!$F$198+(($C200)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200)-$A$177:$A$222)*'Cálculos'!$F$98)/(('Cálculos'!$F$199+(($C200)-$A$177:$A$222)*'Cálculos'!$F$98)+1400)+'Cálculos'!$F$122)*'Cálculos'!$F$259+'Cálculos'!$F$125*(1+2.78*('Cálculos'!$F$199+(($C200)-$A$177:$A$222)*'Cálculos'!$F$98)/(('Cálculos'!$F$199+(($C200)-$A$177:$A$222)*'Cálculos'!$F$98)+1400)+'Cálculos'!$F$123)*'Cálculos'!$F$264)+('Cálculos'!$F$199+(($C200)-$A$177:$A$222)*'Cálculos'!$F$98)*('Cálculos'!$F$255+'Cálculos'!$F$124*(1+2.78*('Cálculos'!$F$199+(($C200)-$A$177:$A$222)*'Cálculos'!$F$98)/(('Cálculos'!$F$199+(($C200)-$A$177:$A$222)*'Cálculos'!$F$98)+1400)+'Cálculos'!$F$122)*'Cálculos'!$F$260+'Cálculos'!$F$125*(1+2.78*('Cálculos'!$F$199+(($C200)-$A$177:$A$222)*'Cálculos'!$F$98)/(('Cálculos'!$F$199+(($C200)-$A$177:$A$222)*'Cálculos'!$F$98)+1400)+'Cálculos'!$F$123)*'Cálculos'!$F$265)+('Cálculos'!$F$201*(1+'Cálculos'!$F$202+$A$177:$A$222*('Cálculos'!$F$290=2)*'Cálculos'!$F$101)+'Cálculos'!$F$203)*('Cálculos'!$F$256+'Cálculos'!$F$124*(1+2.78*('Cálculos'!$F$199+(($C200)-$A$177:$A$222)*'Cálculos'!$F$98)/(('Cálculos'!$F$199+(($C200)-$A$177:$A$222)*'Cálculos'!$F$98)+1400)+'Cálculos'!$F$122)*'Cálculos'!$F$261+'Cálculos'!$F$125*(1+2.78*('Cálculos'!$F$199+(($C200)-$A$177:$A$222)*'Cálculos'!$F$98)/(('Cálculos'!$F$199+(($C200)-$A$177:$A$222)*'Cálculos'!$F$98)+1400)+'Cálculos'!$F$123)*'Cálculos'!$F$266)+('Cálculos'!$F$204*(1+'Cálculos'!$F$205+$A$177:$A$222*('Cálculos'!$F$290=3)*'Cálculos'!$F$103)+'Cálculos'!$F$206)*('Cálculos'!$F$257+'Cálculos'!$F$124*(1+2.78*('Cálculos'!$F$199+(($C200)-$A$177:$A$222)*'Cálculos'!$F$98)/(('Cálculos'!$F$199+(($C200)-$A$177:$A$222)*'Cálculos'!$F$98)+1400)+'Cálculos'!$F$122)*'Cálculos'!$F$262+'Cálculos'!$F$125*(1+2.78*('Cálculos'!$F$199+(($C200)-$A$177:$A$222)*'Cálculos'!$F$98)/(('Cálculos'!$F$199+(($C200)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200)-$A$177:$A$222)*'Cálculos'!$F$98)/(('Cálculos'!$F$200+(($C200)-$A$177:$A$222)*'Cálculos'!$F$98)+1400)+'Cálculos'!$F$122)*'Cálculos'!$F$274+'Cálculos'!$F$125*(1+2.78*('Cálculos'!$F$200+(($C200)-$A$177:$A$222)*'Cálculos'!$F$98)/(('Cálculos'!$F$200+(($C200)-$A$177:$A$222)*'Cálculos'!$F$98)+1400)+'Cálculos'!$F$123)*'Cálculos'!$F$279)+('Cálculos'!$F$200+(($C200)-$A$177:$A$222)*'Cálculos'!$F$98)*('Cálculos'!$F$270+'Cálculos'!$F$124*(1+2.78*('Cálculos'!$F$200+(($C200)-$A$177:$A$222)*'Cálculos'!$F$98)/(('Cálculos'!$F$200+(($C200)-$A$177:$A$222)*'Cálculos'!$F$98)+1400)+'Cálculos'!$F$122)*'Cálculos'!$F$275+'Cálculos'!$F$125*(1+2.78*('Cálculos'!$F$200+(($C200)-$A$177:$A$222)*'Cálculos'!$F$98)/(('Cálculos'!$F$200+(($C200)-$A$177:$A$222)*'Cálculos'!$F$98)+1400)+'Cálculos'!$F$123)*'Cálculos'!$F$280)+('Cálculos'!$F$201*(1+'Cálculos'!$F$202+$A$177:$A$222*('Cálculos'!$F$290=2)*'Cálculos'!$F$101)+'Cálculos'!$F$203)*('Cálculos'!$F$271+'Cálculos'!$F$124*(1+2.78*('Cálculos'!$F$200+(($C200)-$A$177:$A$222)*'Cálculos'!$F$98)/(('Cálculos'!$F$200+(($C200)-$A$177:$A$222)*'Cálculos'!$F$98)+1400)+'Cálculos'!$F$122)*'Cálculos'!$F$276+'Cálculos'!$F$125*(1+2.78*('Cálculos'!$F$200+(($C200)-$A$177:$A$222)*'Cálculos'!$F$98)/(('Cálculos'!$F$200+(($C200)-$A$177:$A$222)*'Cálculos'!$F$98)+1400)+'Cálculos'!$F$123)*'Cálculos'!$F$281)+('Cálculos'!$F$204*(1+'Cálculos'!$F$205+$A$177:$A$222*('Cálculos'!$F$290=3)*'Cálculos'!$F$103)+'Cálculos'!$F$206)*('Cálculos'!$F$272+'Cálculos'!$F$124*(1+2.78*('Cálculos'!$F$200+(($C200)-$A$177:$A$222)*'Cálculos'!$F$98)/(('Cálculos'!$F$200+(($C200)-$A$177:$A$222)*'Cálculos'!$F$98)+1400)+'Cálculos'!$F$122)*'Cálculos'!$F$277+'Cálculos'!$F$125*(1+2.78*('Cálculos'!$F$200+(($C200)-$A$177:$A$222)*'Cálculos'!$F$98)/(('Cálculos'!$F$200+(($C200)-$A$177:$A$222)*'Cálculos'!$F$98)+1400)+'Cálculos'!$F$123)*'Cálculos'!$F$282)))))</f>
        <v>0</v>
      </c>
      <c r="E200" s="32">
        <f>IF(OR($C200&lt;0,'Cálculos'!$F$6=""),0,$B200*$D200)</f>
        <v>0</v>
      </c>
      <c r="F200" s="2"/>
      <c r="G200" s="30">
        <f>($A200&lt;=$B$224)*($A200&lt;='Cálculos'!$F$294)*(($B$224)-$A200&lt;='Cálculos'!$F$295)*(1+MIN(('Cálculos'!$F$207+$A200*'Cálculos'!$F$95),1)*('Cálculos'!$F$208+(($B$224)-$A200)*'Cálculos'!$F$96))</f>
        <v>0</v>
      </c>
      <c r="H200" s="31">
        <f>IF($B$225&lt;0,0,($A200&lt;=$B$225)*($A200&lt;='Cálculos'!$F$301)*(($B$225)-$A200&lt;='Cálculos'!$F$297)*(('Cálculos'!$F$185*(1+'Cálculos'!$F$186+$A200*('Cálculos'!$F$290=1)*'Cálculos'!$F$97+'Cálculos'!$F$305)+'Cálculos'!$F$191)*('Cálculos'!$F$209+'Cálculos'!$F$124*(1+2.78*('Cálculos'!$F$196+(($B$225)-$A200)*'Cálculos'!$F$98)/(('Cálculos'!$F$196+(($B$225)-$A200)*'Cálculos'!$F$98)+1400)+'Cálculos'!$F$122)*'Cálculos'!$F$214+'Cálculos'!$F$125*(1+2.78*('Cálculos'!$F$196+(($B$225)-$A200)*'Cálculos'!$F$98)/(('Cálculos'!$F$196+(($B$225)-$A200)*'Cálculos'!$F$98)+1400)+'Cálculos'!$F$123)*'Cálculos'!$F$219)+('Cálculos'!$F$196+(($B$225)-$A200)*'Cálculos'!$F$98)*('Cálculos'!$F$210+'Cálculos'!$F$124*(1+2.78*('Cálculos'!$F$196+(($B$225)-$A200)*'Cálculos'!$F$98)/(('Cálculos'!$F$196+(($B$225)-$A200)*'Cálculos'!$F$98)+1400)+'Cálculos'!$F$122)*'Cálculos'!$F$215+'Cálculos'!$F$125*(1+2.78*('Cálculos'!$F$196+(($B$225)-$A200)*'Cálculos'!$F$98)/(('Cálculos'!$F$196+(($B$225)-$A200)*'Cálculos'!$F$98)+1400)+'Cálculos'!$F$123)*'Cálculos'!$F$220)+('Cálculos'!$F$201*(1+'Cálculos'!$F$202+$A200*('Cálculos'!$F$290=2)*'Cálculos'!$F$101)+'Cálculos'!$F$203)*('Cálculos'!$F$211+'Cálculos'!$F$124*(1+2.78*('Cálculos'!$F$196+(($B$225)-$A200)*'Cálculos'!$F$98)/(('Cálculos'!$F$196+(($B$225)-$A200)*'Cálculos'!$F$98)+1400)+'Cálculos'!$F$122)*'Cálculos'!$F$216+'Cálculos'!$F$125*(1+2.78*('Cálculos'!$F$196+(($B$225)-$A200)*'Cálculos'!$F$98)/(('Cálculos'!$F$196+(($B$225)-$A200)*'Cálculos'!$F$98)+1400)+'Cálculos'!$F$123)*'Cálculos'!$F$221)+('Cálculos'!$F$204*(1+'Cálculos'!$F$205+$A200*('Cálculos'!$F$290=3)*'Cálculos'!$F$103)+'Cálculos'!$F$206)*('Cálculos'!$F$212+'Cálculos'!$F$124*(1+2.78*('Cálculos'!$F$196+(($B$225)-$A200)*'Cálculos'!$F$98)/(('Cálculos'!$F$196+(($B$225)-$A200)*'Cálculos'!$F$98)+1400)+'Cálculos'!$F$122)*'Cálculos'!$F$217+'Cálculos'!$F$125*(1+2.78*('Cálculos'!$F$196+(($B$225)-$A200)*'Cálculos'!$F$98)/(('Cálculos'!$F$196+(($B$225)-$A200)*'Cálculos'!$F$98)+1400)+'Cálculos'!$F$123)*'Cálculos'!$F$222)+('Cálculos'!$F$185*(1+'Cálculos'!$F$187+$A200*('Cálculos'!$F$290=1)*'Cálculos'!$F$97+'Cálculos'!$F$305)+'Cálculos'!$F$192)*('Cálculos'!$F$224+'Cálculos'!$F$124*(1+2.78*('Cálculos'!$F$197+(($B$225)-$A200)*'Cálculos'!$F$98)/(('Cálculos'!$F$197+(($B$225)-$A200)*'Cálculos'!$F$98)+1400)+'Cálculos'!$F$122)*'Cálculos'!$F$229+'Cálculos'!$F$125*(1+2.78*('Cálculos'!$F$197+(($B$225)-$A200)*'Cálculos'!$F$98)/(('Cálculos'!$F$197+(($B$225)-$A200)*'Cálculos'!$F$98)+1400)+'Cálculos'!$F$123)*'Cálculos'!$F$234)+('Cálculos'!$F$197+(($B$225)-$A200)*'Cálculos'!$F$98)*('Cálculos'!$F$225+'Cálculos'!$F$124*(1+2.78*('Cálculos'!$F$197+(($B$225)-$A200)*'Cálculos'!$F$98)/(('Cálculos'!$F$197+(($B$225)-$A200)*'Cálculos'!$F$98)+1400)+'Cálculos'!$F$122)*'Cálculos'!$F$230+'Cálculos'!$F$125*(1+2.78*('Cálculos'!$F$197+(($B$225)-$A200)*'Cálculos'!$F$98)/(('Cálculos'!$F$197+(($B$225)-$A200)*'Cálculos'!$F$98)+1400)+'Cálculos'!$F$123)*'Cálculos'!$F$235)+('Cálculos'!$F$201*(1+'Cálculos'!$F$202+$A200*('Cálculos'!$F$290=2)*'Cálculos'!$F$101)+'Cálculos'!$F$203)*('Cálculos'!$F$226+'Cálculos'!$F$124*(1+2.78*('Cálculos'!$F$197+(($B$225)-$A200)*'Cálculos'!$F$98)/(('Cálculos'!$F$197+(($B$225)-$A200)*'Cálculos'!$F$98)+1400)+'Cálculos'!$F$122)*'Cálculos'!$F$231+'Cálculos'!$F$125*(1+2.78*('Cálculos'!$F$197+(($B$225)-$A200)*'Cálculos'!$F$98)/(('Cálculos'!$F$197+(($B$225)-$A200)*'Cálculos'!$F$98)+1400)+'Cálculos'!$F$123)*'Cálculos'!$F$236)+('Cálculos'!$F$204*(1+'Cálculos'!$F$205+$A200*('Cálculos'!$F$290=3)*'Cálculos'!$F$103)+'Cálculos'!$F$206)*('Cálculos'!$F$227+'Cálculos'!$F$124*(1+2.78*('Cálculos'!$F$197+(($B$225)-$A200)*'Cálculos'!$F$98)/(('Cálculos'!$F$197+(($B$225)-$A200)*'Cálculos'!$F$98)+1400)+'Cálculos'!$F$122)*'Cálculos'!$F$232+'Cálculos'!$F$125*(1+2.78*('Cálculos'!$F$197+(($B$225)-$A200)*'Cálculos'!$F$98)/(('Cálculos'!$F$197+(($B$225)-$A200)*'Cálculos'!$F$98)+1400)+'Cálculos'!$F$123)*'Cálculos'!$F$237)+('Cálculos'!$F$185*(1+'Cálculos'!$F$188+$A200*('Cálculos'!$F$290=1)*'Cálculos'!$F$97+'Cálculos'!$F$305)+'Cálculos'!$F$193)*('Cálculos'!$F$239+'Cálculos'!$F$124*(1+2.78*('Cálculos'!$F$198+(($B$225)-$A200)*'Cálculos'!$F$98)/(('Cálculos'!$F$198+(($B$225)-$A200)*'Cálculos'!$F$98)+1400)+'Cálculos'!$F$122)*'Cálculos'!$F$244+'Cálculos'!$F$125*(1+2.78*('Cálculos'!$F$198+(($B$225)-$A200)*'Cálculos'!$F$98)/(('Cálculos'!$F$198+(($B$225)-$A200)*'Cálculos'!$F$98)+1400)+'Cálculos'!$F$123)*'Cálculos'!$F$249)+('Cálculos'!$F$198+(($B$225)-$A200)*'Cálculos'!$F$98)*('Cálculos'!$F$240+'Cálculos'!$F$124*(1+2.78*('Cálculos'!$F$198+(($B$225)-$A200)*'Cálculos'!$F$98)/(('Cálculos'!$F$198+(($B$225)-$A200)*'Cálculos'!$F$98)+1400)+'Cálculos'!$F$122)*'Cálculos'!$F$245+'Cálculos'!$F$125*(1+2.78*('Cálculos'!$F$198+(($B$225)-$A200)*'Cálculos'!$F$98)/(('Cálculos'!$F$198+(($B$225)-$A200)*'Cálculos'!$F$98)+1400)+'Cálculos'!$F$123)*'Cálculos'!$F$250)+('Cálculos'!$F$201*(1+'Cálculos'!$F$202+$A200*('Cálculos'!$F$290=2)*'Cálculos'!$F$101)+'Cálculos'!$F$203)*('Cálculos'!$F$241+'Cálculos'!$F$124*(1+2.78*('Cálculos'!$F$198+(($B$225)-$A200)*'Cálculos'!$F$98)/(('Cálculos'!$F$198+(($B$225)-$A200)*'Cálculos'!$F$98)+1400)+'Cálculos'!$F$122)*'Cálculos'!$F$246+'Cálculos'!$F$125*(1+2.78*('Cálculos'!$F$198+(($B$225)-$A200)*'Cálculos'!$F$98)/(('Cálculos'!$F$198+(($B$225)-$A200)*'Cálculos'!$F$98)+1400)+'Cálculos'!$F$123)*'Cálculos'!$F$251)+('Cálculos'!$F$204*(1+'Cálculos'!$F$205+$A200*('Cálculos'!$F$290=3)*'Cálculos'!$F$103)+'Cálculos'!$F$206)*('Cálculos'!$F$242+'Cálculos'!$F$124*(1+2.78*('Cálculos'!$F$198+(($B$225)-$A200)*'Cálculos'!$F$98)/(('Cálculos'!$F$198+(($B$225)-$A200)*'Cálculos'!$F$98)+1400)+'Cálculos'!$F$122)*'Cálculos'!$F$247+'Cálculos'!$F$125*(1+2.78*('Cálculos'!$F$198+(($B$225)-$A200)*'Cálculos'!$F$98)/(('Cálculos'!$F$198+(($B$225)-$A200)*'Cálculos'!$F$98)+1400)+'Cálculos'!$F$123)*'Cálculos'!$F$252)+('Cálculos'!$F$185*(1+'Cálculos'!$F$189+$A200*('Cálculos'!$F$290=1)*'Cálculos'!$F$97+'Cálculos'!$F$305)+'Cálculos'!$F$194)*('Cálculos'!$F$254+'Cálculos'!$F$124*(1+2.78*('Cálculos'!$F$199+(($B$225)-$A200)*'Cálculos'!$F$98)/(('Cálculos'!$F$199+(($B$225)-$A200)*'Cálculos'!$F$98)+1400)+'Cálculos'!$F$122)*'Cálculos'!$F$259+'Cálculos'!$F$125*(1+2.78*('Cálculos'!$F$199+(($B$225)-$A200)*'Cálculos'!$F$98)/(('Cálculos'!$F$199+(($B$225)-$A200)*'Cálculos'!$F$98)+1400)+'Cálculos'!$F$123)*'Cálculos'!$F$264)+('Cálculos'!$F$199+(($B$225)-$A200)*'Cálculos'!$F$98)*('Cálculos'!$F$255+'Cálculos'!$F$124*(1+2.78*('Cálculos'!$F$199+(($B$225)-$A200)*'Cálculos'!$F$98)/(('Cálculos'!$F$199+(($B$225)-$A200)*'Cálculos'!$F$98)+1400)+'Cálculos'!$F$122)*'Cálculos'!$F$260+'Cálculos'!$F$125*(1+2.78*('Cálculos'!$F$199+(($B$225)-$A200)*'Cálculos'!$F$98)/(('Cálculos'!$F$199+(($B$225)-$A200)*'Cálculos'!$F$98)+1400)+'Cálculos'!$F$123)*'Cálculos'!$F$265)+('Cálculos'!$F$201*(1+'Cálculos'!$F$202+$A200*('Cálculos'!$F$290=2)*'Cálculos'!$F$101)+'Cálculos'!$F$203)*('Cálculos'!$F$256+'Cálculos'!$F$124*(1+2.78*('Cálculos'!$F$199+(($B$225)-$A200)*'Cálculos'!$F$98)/(('Cálculos'!$F$199+(($B$225)-$A200)*'Cálculos'!$F$98)+1400)+'Cálculos'!$F$122)*'Cálculos'!$F$261+'Cálculos'!$F$125*(1+2.78*('Cálculos'!$F$199+(($B$225)-$A200)*'Cálculos'!$F$98)/(('Cálculos'!$F$199+(($B$225)-$A200)*'Cálculos'!$F$98)+1400)+'Cálculos'!$F$123)*'Cálculos'!$F$266)+('Cálculos'!$F$204*(1+'Cálculos'!$F$205+$A200*('Cálculos'!$F$290=3)*'Cálculos'!$F$103)+'Cálculos'!$F$206)*('Cálculos'!$F$257+'Cálculos'!$F$124*(1+2.78*('Cálculos'!$F$199+(($B$225)-$A200)*'Cálculos'!$F$98)/(('Cálculos'!$F$199+(($B$225)-$A200)*'Cálculos'!$F$98)+1400)+'Cálculos'!$F$122)*'Cálculos'!$F$262+'Cálculos'!$F$125*(1+2.78*('Cálculos'!$F$199+(($B$225)-$A200)*'Cálculos'!$F$98)/(('Cálculos'!$F$199+(($B$225)-$A200)*'Cálculos'!$F$98)+1400)+'Cálculos'!$F$123)*'Cálculos'!$F$267)+('Cálculos'!$F$185*(1+'Cálculos'!$F$190+$A200*('Cálculos'!$F$290=1)*'Cálculos'!$F$97+'Cálculos'!$F$305)+'Cálculos'!$F$195)*('Cálculos'!$F$269+'Cálculos'!$F$124*(1+2.78*('Cálculos'!$F$200+(($B$225)-$A200)*'Cálculos'!$F$98)/(('Cálculos'!$F$200+(($B$225)-$A200)*'Cálculos'!$F$98)+1400)+'Cálculos'!$F$122)*'Cálculos'!$F$274+'Cálculos'!$F$125*(1+2.78*('Cálculos'!$F$200+(($B$225)-$A200)*'Cálculos'!$F$98)/(('Cálculos'!$F$200+(($B$225)-$A200)*'Cálculos'!$F$98)+1400)+'Cálculos'!$F$123)*'Cálculos'!$F$279)+('Cálculos'!$F$200+(($B$225)-$A200)*'Cálculos'!$F$98)*('Cálculos'!$F$270+'Cálculos'!$F$124*(1+2.78*('Cálculos'!$F$200+(($B$225)-$A200)*'Cálculos'!$F$98)/(('Cálculos'!$F$200+(($B$225)-$A200)*'Cálculos'!$F$98)+1400)+'Cálculos'!$F$122)*'Cálculos'!$F$275+'Cálculos'!$F$125*(1+2.78*('Cálculos'!$F$200+(($B$225)-$A200)*'Cálculos'!$F$98)/(('Cálculos'!$F$200+(($B$225)-$A200)*'Cálculos'!$F$98)+1400)+'Cálculos'!$F$123)*'Cálculos'!$F$280)+('Cálculos'!$F$201*(1+'Cálculos'!$F$202+$A200*('Cálculos'!$F$290=2)*'Cálculos'!$F$101)+'Cálculos'!$F$203)*('Cálculos'!$F$271+'Cálculos'!$F$124*(1+2.78*('Cálculos'!$F$200+(($B$225)-$A200)*'Cálculos'!$F$98)/(('Cálculos'!$F$200+(($B$225)-$A200)*'Cálculos'!$F$98)+1400)+'Cálculos'!$F$122)*'Cálculos'!$F$276+'Cálculos'!$F$125*(1+2.78*('Cálculos'!$F$200+(($B$225)-$A200)*'Cálculos'!$F$98)/(('Cálculos'!$F$200+(($B$225)-$A200)*'Cálculos'!$F$98)+1400)+'Cálculos'!$F$123)*'Cálculos'!$F$281)+('Cálculos'!$F$204*(1+'Cálculos'!$F$205+$A200*('Cálculos'!$F$290=3)*'Cálculos'!$F$103)+'Cálculos'!$F$206)*('Cálculos'!$F$272+'Cálculos'!$F$124*(1+2.78*('Cálculos'!$F$200+(($B$225)-$A200)*'Cálculos'!$F$98)/(('Cálculos'!$F$200+(($B$225)-$A200)*'Cálculos'!$F$98)+1400)+'Cálculos'!$F$122)*'Cálculos'!$F$277+'Cálculos'!$F$125*(1+2.78*('Cálculos'!$F$200+(($B$225)-$A200)*'Cálculos'!$F$98)/(('Cálculos'!$F$200+(($B$225)-$A200)*'Cálculos'!$F$98)+1400)+'Cálculos'!$F$123)*'Cálculos'!$F$282)))</f>
        <v>0</v>
      </c>
    </row>
    <row r="201" ht="15.75" customHeight="1">
      <c r="A201" s="2">
        <v>24.0</v>
      </c>
      <c r="B201" s="30">
        <f>SUMPRODUCT(MAX(($A$177:$A$222&lt;=$A201)*($A$177:$A$222&lt;='Cálculos'!$F$294)*(($A201)-$A$177:$A$222&lt;='Cálculos'!$F$295)*(1+(('Cálculos'!$F$207+$A$177:$A$222*'Cálculos'!$F$95)-(('Cálculos'!$F$207+$A$177:$A$222*'Cálculos'!$F$95)&gt;1)*(('Cálculos'!$F$207+$A$177:$A$222*'Cálculos'!$F$95)-1))*('Cálculos'!$F$208+(($A201)-$A$177:$A$222)*'Cálculos'!$F$96))))</f>
        <v>2.721374</v>
      </c>
      <c r="C201" s="2">
        <f>'Cálculos'!$F$303-$A201</f>
        <v>-6</v>
      </c>
      <c r="D201" s="31">
        <f>IF($C201&lt;0,0,SUMPRODUCT(MAX(($A$177:$A$222&lt;=$C201)*($A$177:$A$222&lt;='Cálculos'!$F$301)*(($C201)-$A$177:$A$222&lt;='Cálculos'!$F$297)*(('Cálculos'!$F$185*(1+'Cálculos'!$F$186+$A$177:$A$222*('Cálculos'!$F$290=1)*'Cálculos'!$F$97+'Cálculos'!$F$305)+'Cálculos'!$F$191)*('Cálculos'!$F$209+'Cálculos'!$F$124*(1+2.78*('Cálculos'!$F$196+(($C201)-$A$177:$A$222)*'Cálculos'!$F$98)/(('Cálculos'!$F$196+(($C201)-$A$177:$A$222)*'Cálculos'!$F$98)+1400)+'Cálculos'!$F$122)*'Cálculos'!$F$214+'Cálculos'!$F$125*(1+2.78*('Cálculos'!$F$196+(($C201)-$A$177:$A$222)*'Cálculos'!$F$98)/(('Cálculos'!$F$196+(($C201)-$A$177:$A$222)*'Cálculos'!$F$98)+1400)+'Cálculos'!$F$123)*'Cálculos'!$F$219)+('Cálculos'!$F$196+(($C201)-$A$177:$A$222)*'Cálculos'!$F$98)*('Cálculos'!$F$210+'Cálculos'!$F$124*(1+2.78*('Cálculos'!$F$196+(($C201)-$A$177:$A$222)*'Cálculos'!$F$98)/(('Cálculos'!$F$196+(($C201)-$A$177:$A$222)*'Cálculos'!$F$98)+1400)+'Cálculos'!$F$122)*'Cálculos'!$F$215+'Cálculos'!$F$125*(1+2.78*('Cálculos'!$F$196+(($C201)-$A$177:$A$222)*'Cálculos'!$F$98)/(('Cálculos'!$F$196+(($C201)-$A$177:$A$222)*'Cálculos'!$F$98)+1400)+'Cálculos'!$F$123)*'Cálculos'!$F$220)+('Cálculos'!$F$201*(1+'Cálculos'!$F$202+$A$177:$A$222*('Cálculos'!$F$290=2)*'Cálculos'!$F$101)+'Cálculos'!$F$203)*('Cálculos'!$F$211+'Cálculos'!$F$124*(1+2.78*('Cálculos'!$F$196+(($C201)-$A$177:$A$222)*'Cálculos'!$F$98)/(('Cálculos'!$F$196+(($C201)-$A$177:$A$222)*'Cálculos'!$F$98)+1400)+'Cálculos'!$F$122)*'Cálculos'!$F$216+'Cálculos'!$F$125*(1+2.78*('Cálculos'!$F$196+(($C201)-$A$177:$A$222)*'Cálculos'!$F$98)/(('Cálculos'!$F$196+(($C201)-$A$177:$A$222)*'Cálculos'!$F$98)+1400)+'Cálculos'!$F$123)*'Cálculos'!$F$221)+('Cálculos'!$F$204*(1+'Cálculos'!$F$205+$A$177:$A$222*('Cálculos'!$F$290=3)*'Cálculos'!$F$103)+'Cálculos'!$F$206)*('Cálculos'!$F$212+'Cálculos'!$F$124*(1+2.78*('Cálculos'!$F$196+(($C201)-$A$177:$A$222)*'Cálculos'!$F$98)/(('Cálculos'!$F$196+(($C201)-$A$177:$A$222)*'Cálculos'!$F$98)+1400)+'Cálculos'!$F$122)*'Cálculos'!$F$217+'Cálculos'!$F$125*(1+2.78*('Cálculos'!$F$196+(($C201)-$A$177:$A$222)*'Cálculos'!$F$98)/(('Cálculos'!$F$196+(($C201)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201)-$A$177:$A$222)*'Cálculos'!$F$98)/(('Cálculos'!$F$197+(($C201)-$A$177:$A$222)*'Cálculos'!$F$98)+1400)+'Cálculos'!$F$122)*'Cálculos'!$F$229+'Cálculos'!$F$125*(1+2.78*('Cálculos'!$F$197+(($C201)-$A$177:$A$222)*'Cálculos'!$F$98)/(('Cálculos'!$F$197+(($C201)-$A$177:$A$222)*'Cálculos'!$F$98)+1400)+'Cálculos'!$F$123)*'Cálculos'!$F$234)+('Cálculos'!$F$197+(($C201)-$A$177:$A$222)*'Cálculos'!$F$98)*('Cálculos'!$F$225+'Cálculos'!$F$124*(1+2.78*('Cálculos'!$F$197+(($C201)-$A$177:$A$222)*'Cálculos'!$F$98)/(('Cálculos'!$F$197+(($C201)-$A$177:$A$222)*'Cálculos'!$F$98)+1400)+'Cálculos'!$F$122)*'Cálculos'!$F$230+'Cálculos'!$F$125*(1+2.78*('Cálculos'!$F$197+(($C201)-$A$177:$A$222)*'Cálculos'!$F$98)/(('Cálculos'!$F$197+(($C201)-$A$177:$A$222)*'Cálculos'!$F$98)+1400)+'Cálculos'!$F$123)*'Cálculos'!$F$235)+('Cálculos'!$F$201*(1+'Cálculos'!$F$202+$A$177:$A$222*('Cálculos'!$F$290=2)*'Cálculos'!$F$101)+'Cálculos'!$F$203)*('Cálculos'!$F$226+'Cálculos'!$F$124*(1+2.78*('Cálculos'!$F$197+(($C201)-$A$177:$A$222)*'Cálculos'!$F$98)/(('Cálculos'!$F$197+(($C201)-$A$177:$A$222)*'Cálculos'!$F$98)+1400)+'Cálculos'!$F$122)*'Cálculos'!$F$231+'Cálculos'!$F$125*(1+2.78*('Cálculos'!$F$197+(($C201)-$A$177:$A$222)*'Cálculos'!$F$98)/(('Cálculos'!$F$197+(($C201)-$A$177:$A$222)*'Cálculos'!$F$98)+1400)+'Cálculos'!$F$123)*'Cálculos'!$F$236)+('Cálculos'!$F$204*(1+'Cálculos'!$F$205+$A$177:$A$222*('Cálculos'!$F$290=3)*'Cálculos'!$F$103)+'Cálculos'!$F$206)*('Cálculos'!$F$227+'Cálculos'!$F$124*(1+2.78*('Cálculos'!$F$197+(($C201)-$A$177:$A$222)*'Cálculos'!$F$98)/(('Cálculos'!$F$197+(($C201)-$A$177:$A$222)*'Cálculos'!$F$98)+1400)+'Cálculos'!$F$122)*'Cálculos'!$F$232+'Cálculos'!$F$125*(1+2.78*('Cálculos'!$F$197+(($C201)-$A$177:$A$222)*'Cálculos'!$F$98)/(('Cálculos'!$F$197+(($C201)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201)-$A$177:$A$222)*'Cálculos'!$F$98)/(('Cálculos'!$F$198+(($C201)-$A$177:$A$222)*'Cálculos'!$F$98)+1400)+'Cálculos'!$F$122)*'Cálculos'!$F$244+'Cálculos'!$F$125*(1+2.78*('Cálculos'!$F$198+(($C201)-$A$177:$A$222)*'Cálculos'!$F$98)/(('Cálculos'!$F$198+(($C201)-$A$177:$A$222)*'Cálculos'!$F$98)+1400)+'Cálculos'!$F$123)*'Cálculos'!$F$249)+('Cálculos'!$F$198+(($C201)-$A$177:$A$222)*'Cálculos'!$F$98)*('Cálculos'!$F$240+'Cálculos'!$F$124*(1+2.78*('Cálculos'!$F$198+(($C201)-$A$177:$A$222)*'Cálculos'!$F$98)/(('Cálculos'!$F$198+(($C201)-$A$177:$A$222)*'Cálculos'!$F$98)+1400)+'Cálculos'!$F$122)*'Cálculos'!$F$245+'Cálculos'!$F$125*(1+2.78*('Cálculos'!$F$198+(($C201)-$A$177:$A$222)*'Cálculos'!$F$98)/(('Cálculos'!$F$198+(($C201)-$A$177:$A$222)*'Cálculos'!$F$98)+1400)+'Cálculos'!$F$123)*'Cálculos'!$F$250)+('Cálculos'!$F$201*(1+'Cálculos'!$F$202+$A$177:$A$222*('Cálculos'!$F$290=2)*'Cálculos'!$F$101)+'Cálculos'!$F$203)*('Cálculos'!$F$241+'Cálculos'!$F$124*(1+2.78*('Cálculos'!$F$198+(($C201)-$A$177:$A$222)*'Cálculos'!$F$98)/(('Cálculos'!$F$198+(($C201)-$A$177:$A$222)*'Cálculos'!$F$98)+1400)+'Cálculos'!$F$122)*'Cálculos'!$F$246+'Cálculos'!$F$125*(1+2.78*('Cálculos'!$F$198+(($C201)-$A$177:$A$222)*'Cálculos'!$F$98)/(('Cálculos'!$F$198+(($C201)-$A$177:$A$222)*'Cálculos'!$F$98)+1400)+'Cálculos'!$F$123)*'Cálculos'!$F$251)+('Cálculos'!$F$204*(1+'Cálculos'!$F$205+$A$177:$A$222*('Cálculos'!$F$290=3)*'Cálculos'!$F$103)+'Cálculos'!$F$206)*('Cálculos'!$F$242+'Cálculos'!$F$124*(1+2.78*('Cálculos'!$F$198+(($C201)-$A$177:$A$222)*'Cálculos'!$F$98)/(('Cálculos'!$F$198+(($C201)-$A$177:$A$222)*'Cálculos'!$F$98)+1400)+'Cálculos'!$F$122)*'Cálculos'!$F$247+'Cálculos'!$F$125*(1+2.78*('Cálculos'!$F$198+(($C201)-$A$177:$A$222)*'Cálculos'!$F$98)/(('Cálculos'!$F$198+(($C201)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201)-$A$177:$A$222)*'Cálculos'!$F$98)/(('Cálculos'!$F$199+(($C201)-$A$177:$A$222)*'Cálculos'!$F$98)+1400)+'Cálculos'!$F$122)*'Cálculos'!$F$259+'Cálculos'!$F$125*(1+2.78*('Cálculos'!$F$199+(($C201)-$A$177:$A$222)*'Cálculos'!$F$98)/(('Cálculos'!$F$199+(($C201)-$A$177:$A$222)*'Cálculos'!$F$98)+1400)+'Cálculos'!$F$123)*'Cálculos'!$F$264)+('Cálculos'!$F$199+(($C201)-$A$177:$A$222)*'Cálculos'!$F$98)*('Cálculos'!$F$255+'Cálculos'!$F$124*(1+2.78*('Cálculos'!$F$199+(($C201)-$A$177:$A$222)*'Cálculos'!$F$98)/(('Cálculos'!$F$199+(($C201)-$A$177:$A$222)*'Cálculos'!$F$98)+1400)+'Cálculos'!$F$122)*'Cálculos'!$F$260+'Cálculos'!$F$125*(1+2.78*('Cálculos'!$F$199+(($C201)-$A$177:$A$222)*'Cálculos'!$F$98)/(('Cálculos'!$F$199+(($C201)-$A$177:$A$222)*'Cálculos'!$F$98)+1400)+'Cálculos'!$F$123)*'Cálculos'!$F$265)+('Cálculos'!$F$201*(1+'Cálculos'!$F$202+$A$177:$A$222*('Cálculos'!$F$290=2)*'Cálculos'!$F$101)+'Cálculos'!$F$203)*('Cálculos'!$F$256+'Cálculos'!$F$124*(1+2.78*('Cálculos'!$F$199+(($C201)-$A$177:$A$222)*'Cálculos'!$F$98)/(('Cálculos'!$F$199+(($C201)-$A$177:$A$222)*'Cálculos'!$F$98)+1400)+'Cálculos'!$F$122)*'Cálculos'!$F$261+'Cálculos'!$F$125*(1+2.78*('Cálculos'!$F$199+(($C201)-$A$177:$A$222)*'Cálculos'!$F$98)/(('Cálculos'!$F$199+(($C201)-$A$177:$A$222)*'Cálculos'!$F$98)+1400)+'Cálculos'!$F$123)*'Cálculos'!$F$266)+('Cálculos'!$F$204*(1+'Cálculos'!$F$205+$A$177:$A$222*('Cálculos'!$F$290=3)*'Cálculos'!$F$103)+'Cálculos'!$F$206)*('Cálculos'!$F$257+'Cálculos'!$F$124*(1+2.78*('Cálculos'!$F$199+(($C201)-$A$177:$A$222)*'Cálculos'!$F$98)/(('Cálculos'!$F$199+(($C201)-$A$177:$A$222)*'Cálculos'!$F$98)+1400)+'Cálculos'!$F$122)*'Cálculos'!$F$262+'Cálculos'!$F$125*(1+2.78*('Cálculos'!$F$199+(($C201)-$A$177:$A$222)*'Cálculos'!$F$98)/(('Cálculos'!$F$199+(($C201)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201)-$A$177:$A$222)*'Cálculos'!$F$98)/(('Cálculos'!$F$200+(($C201)-$A$177:$A$222)*'Cálculos'!$F$98)+1400)+'Cálculos'!$F$122)*'Cálculos'!$F$274+'Cálculos'!$F$125*(1+2.78*('Cálculos'!$F$200+(($C201)-$A$177:$A$222)*'Cálculos'!$F$98)/(('Cálculos'!$F$200+(($C201)-$A$177:$A$222)*'Cálculos'!$F$98)+1400)+'Cálculos'!$F$123)*'Cálculos'!$F$279)+('Cálculos'!$F$200+(($C201)-$A$177:$A$222)*'Cálculos'!$F$98)*('Cálculos'!$F$270+'Cálculos'!$F$124*(1+2.78*('Cálculos'!$F$200+(($C201)-$A$177:$A$222)*'Cálculos'!$F$98)/(('Cálculos'!$F$200+(($C201)-$A$177:$A$222)*'Cálculos'!$F$98)+1400)+'Cálculos'!$F$122)*'Cálculos'!$F$275+'Cálculos'!$F$125*(1+2.78*('Cálculos'!$F$200+(($C201)-$A$177:$A$222)*'Cálculos'!$F$98)/(('Cálculos'!$F$200+(($C201)-$A$177:$A$222)*'Cálculos'!$F$98)+1400)+'Cálculos'!$F$123)*'Cálculos'!$F$280)+('Cálculos'!$F$201*(1+'Cálculos'!$F$202+$A$177:$A$222*('Cálculos'!$F$290=2)*'Cálculos'!$F$101)+'Cálculos'!$F$203)*('Cálculos'!$F$271+'Cálculos'!$F$124*(1+2.78*('Cálculos'!$F$200+(($C201)-$A$177:$A$222)*'Cálculos'!$F$98)/(('Cálculos'!$F$200+(($C201)-$A$177:$A$222)*'Cálculos'!$F$98)+1400)+'Cálculos'!$F$122)*'Cálculos'!$F$276+'Cálculos'!$F$125*(1+2.78*('Cálculos'!$F$200+(($C201)-$A$177:$A$222)*'Cálculos'!$F$98)/(('Cálculos'!$F$200+(($C201)-$A$177:$A$222)*'Cálculos'!$F$98)+1400)+'Cálculos'!$F$123)*'Cálculos'!$F$281)+('Cálculos'!$F$204*(1+'Cálculos'!$F$205+$A$177:$A$222*('Cálculos'!$F$290=3)*'Cálculos'!$F$103)+'Cálculos'!$F$206)*('Cálculos'!$F$272+'Cálculos'!$F$124*(1+2.78*('Cálculos'!$F$200+(($C201)-$A$177:$A$222)*'Cálculos'!$F$98)/(('Cálculos'!$F$200+(($C201)-$A$177:$A$222)*'Cálculos'!$F$98)+1400)+'Cálculos'!$F$122)*'Cálculos'!$F$277+'Cálculos'!$F$125*(1+2.78*('Cálculos'!$F$200+(($C201)-$A$177:$A$222)*'Cálculos'!$F$98)/(('Cálculos'!$F$200+(($C201)-$A$177:$A$222)*'Cálculos'!$F$98)+1400)+'Cálculos'!$F$123)*'Cálculos'!$F$282)))))</f>
        <v>0</v>
      </c>
      <c r="E201" s="32">
        <f>IF(OR($C201&lt;0,'Cálculos'!$F$6=""),0,$B201*$D201)</f>
        <v>0</v>
      </c>
      <c r="F201" s="2"/>
      <c r="G201" s="30">
        <f>($A201&lt;=$B$224)*($A201&lt;='Cálculos'!$F$294)*(($B$224)-$A201&lt;='Cálculos'!$F$295)*(1+MIN(('Cálculos'!$F$207+$A201*'Cálculos'!$F$95),1)*('Cálculos'!$F$208+(($B$224)-$A201)*'Cálculos'!$F$96))</f>
        <v>0</v>
      </c>
      <c r="H201" s="31">
        <f>IF($B$225&lt;0,0,($A201&lt;=$B$225)*($A201&lt;='Cálculos'!$F$301)*(($B$225)-$A201&lt;='Cálculos'!$F$297)*(('Cálculos'!$F$185*(1+'Cálculos'!$F$186+$A201*('Cálculos'!$F$290=1)*'Cálculos'!$F$97+'Cálculos'!$F$305)+'Cálculos'!$F$191)*('Cálculos'!$F$209+'Cálculos'!$F$124*(1+2.78*('Cálculos'!$F$196+(($B$225)-$A201)*'Cálculos'!$F$98)/(('Cálculos'!$F$196+(($B$225)-$A201)*'Cálculos'!$F$98)+1400)+'Cálculos'!$F$122)*'Cálculos'!$F$214+'Cálculos'!$F$125*(1+2.78*('Cálculos'!$F$196+(($B$225)-$A201)*'Cálculos'!$F$98)/(('Cálculos'!$F$196+(($B$225)-$A201)*'Cálculos'!$F$98)+1400)+'Cálculos'!$F$123)*'Cálculos'!$F$219)+('Cálculos'!$F$196+(($B$225)-$A201)*'Cálculos'!$F$98)*('Cálculos'!$F$210+'Cálculos'!$F$124*(1+2.78*('Cálculos'!$F$196+(($B$225)-$A201)*'Cálculos'!$F$98)/(('Cálculos'!$F$196+(($B$225)-$A201)*'Cálculos'!$F$98)+1400)+'Cálculos'!$F$122)*'Cálculos'!$F$215+'Cálculos'!$F$125*(1+2.78*('Cálculos'!$F$196+(($B$225)-$A201)*'Cálculos'!$F$98)/(('Cálculos'!$F$196+(($B$225)-$A201)*'Cálculos'!$F$98)+1400)+'Cálculos'!$F$123)*'Cálculos'!$F$220)+('Cálculos'!$F$201*(1+'Cálculos'!$F$202+$A201*('Cálculos'!$F$290=2)*'Cálculos'!$F$101)+'Cálculos'!$F$203)*('Cálculos'!$F$211+'Cálculos'!$F$124*(1+2.78*('Cálculos'!$F$196+(($B$225)-$A201)*'Cálculos'!$F$98)/(('Cálculos'!$F$196+(($B$225)-$A201)*'Cálculos'!$F$98)+1400)+'Cálculos'!$F$122)*'Cálculos'!$F$216+'Cálculos'!$F$125*(1+2.78*('Cálculos'!$F$196+(($B$225)-$A201)*'Cálculos'!$F$98)/(('Cálculos'!$F$196+(($B$225)-$A201)*'Cálculos'!$F$98)+1400)+'Cálculos'!$F$123)*'Cálculos'!$F$221)+('Cálculos'!$F$204*(1+'Cálculos'!$F$205+$A201*('Cálculos'!$F$290=3)*'Cálculos'!$F$103)+'Cálculos'!$F$206)*('Cálculos'!$F$212+'Cálculos'!$F$124*(1+2.78*('Cálculos'!$F$196+(($B$225)-$A201)*'Cálculos'!$F$98)/(('Cálculos'!$F$196+(($B$225)-$A201)*'Cálculos'!$F$98)+1400)+'Cálculos'!$F$122)*'Cálculos'!$F$217+'Cálculos'!$F$125*(1+2.78*('Cálculos'!$F$196+(($B$225)-$A201)*'Cálculos'!$F$98)/(('Cálculos'!$F$196+(($B$225)-$A201)*'Cálculos'!$F$98)+1400)+'Cálculos'!$F$123)*'Cálculos'!$F$222)+('Cálculos'!$F$185*(1+'Cálculos'!$F$187+$A201*('Cálculos'!$F$290=1)*'Cálculos'!$F$97+'Cálculos'!$F$305)+'Cálculos'!$F$192)*('Cálculos'!$F$224+'Cálculos'!$F$124*(1+2.78*('Cálculos'!$F$197+(($B$225)-$A201)*'Cálculos'!$F$98)/(('Cálculos'!$F$197+(($B$225)-$A201)*'Cálculos'!$F$98)+1400)+'Cálculos'!$F$122)*'Cálculos'!$F$229+'Cálculos'!$F$125*(1+2.78*('Cálculos'!$F$197+(($B$225)-$A201)*'Cálculos'!$F$98)/(('Cálculos'!$F$197+(($B$225)-$A201)*'Cálculos'!$F$98)+1400)+'Cálculos'!$F$123)*'Cálculos'!$F$234)+('Cálculos'!$F$197+(($B$225)-$A201)*'Cálculos'!$F$98)*('Cálculos'!$F$225+'Cálculos'!$F$124*(1+2.78*('Cálculos'!$F$197+(($B$225)-$A201)*'Cálculos'!$F$98)/(('Cálculos'!$F$197+(($B$225)-$A201)*'Cálculos'!$F$98)+1400)+'Cálculos'!$F$122)*'Cálculos'!$F$230+'Cálculos'!$F$125*(1+2.78*('Cálculos'!$F$197+(($B$225)-$A201)*'Cálculos'!$F$98)/(('Cálculos'!$F$197+(($B$225)-$A201)*'Cálculos'!$F$98)+1400)+'Cálculos'!$F$123)*'Cálculos'!$F$235)+('Cálculos'!$F$201*(1+'Cálculos'!$F$202+$A201*('Cálculos'!$F$290=2)*'Cálculos'!$F$101)+'Cálculos'!$F$203)*('Cálculos'!$F$226+'Cálculos'!$F$124*(1+2.78*('Cálculos'!$F$197+(($B$225)-$A201)*'Cálculos'!$F$98)/(('Cálculos'!$F$197+(($B$225)-$A201)*'Cálculos'!$F$98)+1400)+'Cálculos'!$F$122)*'Cálculos'!$F$231+'Cálculos'!$F$125*(1+2.78*('Cálculos'!$F$197+(($B$225)-$A201)*'Cálculos'!$F$98)/(('Cálculos'!$F$197+(($B$225)-$A201)*'Cálculos'!$F$98)+1400)+'Cálculos'!$F$123)*'Cálculos'!$F$236)+('Cálculos'!$F$204*(1+'Cálculos'!$F$205+$A201*('Cálculos'!$F$290=3)*'Cálculos'!$F$103)+'Cálculos'!$F$206)*('Cálculos'!$F$227+'Cálculos'!$F$124*(1+2.78*('Cálculos'!$F$197+(($B$225)-$A201)*'Cálculos'!$F$98)/(('Cálculos'!$F$197+(($B$225)-$A201)*'Cálculos'!$F$98)+1400)+'Cálculos'!$F$122)*'Cálculos'!$F$232+'Cálculos'!$F$125*(1+2.78*('Cálculos'!$F$197+(($B$225)-$A201)*'Cálculos'!$F$98)/(('Cálculos'!$F$197+(($B$225)-$A201)*'Cálculos'!$F$98)+1400)+'Cálculos'!$F$123)*'Cálculos'!$F$237)+('Cálculos'!$F$185*(1+'Cálculos'!$F$188+$A201*('Cálculos'!$F$290=1)*'Cálculos'!$F$97+'Cálculos'!$F$305)+'Cálculos'!$F$193)*('Cálculos'!$F$239+'Cálculos'!$F$124*(1+2.78*('Cálculos'!$F$198+(($B$225)-$A201)*'Cálculos'!$F$98)/(('Cálculos'!$F$198+(($B$225)-$A201)*'Cálculos'!$F$98)+1400)+'Cálculos'!$F$122)*'Cálculos'!$F$244+'Cálculos'!$F$125*(1+2.78*('Cálculos'!$F$198+(($B$225)-$A201)*'Cálculos'!$F$98)/(('Cálculos'!$F$198+(($B$225)-$A201)*'Cálculos'!$F$98)+1400)+'Cálculos'!$F$123)*'Cálculos'!$F$249)+('Cálculos'!$F$198+(($B$225)-$A201)*'Cálculos'!$F$98)*('Cálculos'!$F$240+'Cálculos'!$F$124*(1+2.78*('Cálculos'!$F$198+(($B$225)-$A201)*'Cálculos'!$F$98)/(('Cálculos'!$F$198+(($B$225)-$A201)*'Cálculos'!$F$98)+1400)+'Cálculos'!$F$122)*'Cálculos'!$F$245+'Cálculos'!$F$125*(1+2.78*('Cálculos'!$F$198+(($B$225)-$A201)*'Cálculos'!$F$98)/(('Cálculos'!$F$198+(($B$225)-$A201)*'Cálculos'!$F$98)+1400)+'Cálculos'!$F$123)*'Cálculos'!$F$250)+('Cálculos'!$F$201*(1+'Cálculos'!$F$202+$A201*('Cálculos'!$F$290=2)*'Cálculos'!$F$101)+'Cálculos'!$F$203)*('Cálculos'!$F$241+'Cálculos'!$F$124*(1+2.78*('Cálculos'!$F$198+(($B$225)-$A201)*'Cálculos'!$F$98)/(('Cálculos'!$F$198+(($B$225)-$A201)*'Cálculos'!$F$98)+1400)+'Cálculos'!$F$122)*'Cálculos'!$F$246+'Cálculos'!$F$125*(1+2.78*('Cálculos'!$F$198+(($B$225)-$A201)*'Cálculos'!$F$98)/(('Cálculos'!$F$198+(($B$225)-$A201)*'Cálculos'!$F$98)+1400)+'Cálculos'!$F$123)*'Cálculos'!$F$251)+('Cálculos'!$F$204*(1+'Cálculos'!$F$205+$A201*('Cálculos'!$F$290=3)*'Cálculos'!$F$103)+'Cálculos'!$F$206)*('Cálculos'!$F$242+'Cálculos'!$F$124*(1+2.78*('Cálculos'!$F$198+(($B$225)-$A201)*'Cálculos'!$F$98)/(('Cálculos'!$F$198+(($B$225)-$A201)*'Cálculos'!$F$98)+1400)+'Cálculos'!$F$122)*'Cálculos'!$F$247+'Cálculos'!$F$125*(1+2.78*('Cálculos'!$F$198+(($B$225)-$A201)*'Cálculos'!$F$98)/(('Cálculos'!$F$198+(($B$225)-$A201)*'Cálculos'!$F$98)+1400)+'Cálculos'!$F$123)*'Cálculos'!$F$252)+('Cálculos'!$F$185*(1+'Cálculos'!$F$189+$A201*('Cálculos'!$F$290=1)*'Cálculos'!$F$97+'Cálculos'!$F$305)+'Cálculos'!$F$194)*('Cálculos'!$F$254+'Cálculos'!$F$124*(1+2.78*('Cálculos'!$F$199+(($B$225)-$A201)*'Cálculos'!$F$98)/(('Cálculos'!$F$199+(($B$225)-$A201)*'Cálculos'!$F$98)+1400)+'Cálculos'!$F$122)*'Cálculos'!$F$259+'Cálculos'!$F$125*(1+2.78*('Cálculos'!$F$199+(($B$225)-$A201)*'Cálculos'!$F$98)/(('Cálculos'!$F$199+(($B$225)-$A201)*'Cálculos'!$F$98)+1400)+'Cálculos'!$F$123)*'Cálculos'!$F$264)+('Cálculos'!$F$199+(($B$225)-$A201)*'Cálculos'!$F$98)*('Cálculos'!$F$255+'Cálculos'!$F$124*(1+2.78*('Cálculos'!$F$199+(($B$225)-$A201)*'Cálculos'!$F$98)/(('Cálculos'!$F$199+(($B$225)-$A201)*'Cálculos'!$F$98)+1400)+'Cálculos'!$F$122)*'Cálculos'!$F$260+'Cálculos'!$F$125*(1+2.78*('Cálculos'!$F$199+(($B$225)-$A201)*'Cálculos'!$F$98)/(('Cálculos'!$F$199+(($B$225)-$A201)*'Cálculos'!$F$98)+1400)+'Cálculos'!$F$123)*'Cálculos'!$F$265)+('Cálculos'!$F$201*(1+'Cálculos'!$F$202+$A201*('Cálculos'!$F$290=2)*'Cálculos'!$F$101)+'Cálculos'!$F$203)*('Cálculos'!$F$256+'Cálculos'!$F$124*(1+2.78*('Cálculos'!$F$199+(($B$225)-$A201)*'Cálculos'!$F$98)/(('Cálculos'!$F$199+(($B$225)-$A201)*'Cálculos'!$F$98)+1400)+'Cálculos'!$F$122)*'Cálculos'!$F$261+'Cálculos'!$F$125*(1+2.78*('Cálculos'!$F$199+(($B$225)-$A201)*'Cálculos'!$F$98)/(('Cálculos'!$F$199+(($B$225)-$A201)*'Cálculos'!$F$98)+1400)+'Cálculos'!$F$123)*'Cálculos'!$F$266)+('Cálculos'!$F$204*(1+'Cálculos'!$F$205+$A201*('Cálculos'!$F$290=3)*'Cálculos'!$F$103)+'Cálculos'!$F$206)*('Cálculos'!$F$257+'Cálculos'!$F$124*(1+2.78*('Cálculos'!$F$199+(($B$225)-$A201)*'Cálculos'!$F$98)/(('Cálculos'!$F$199+(($B$225)-$A201)*'Cálculos'!$F$98)+1400)+'Cálculos'!$F$122)*'Cálculos'!$F$262+'Cálculos'!$F$125*(1+2.78*('Cálculos'!$F$199+(($B$225)-$A201)*'Cálculos'!$F$98)/(('Cálculos'!$F$199+(($B$225)-$A201)*'Cálculos'!$F$98)+1400)+'Cálculos'!$F$123)*'Cálculos'!$F$267)+('Cálculos'!$F$185*(1+'Cálculos'!$F$190+$A201*('Cálculos'!$F$290=1)*'Cálculos'!$F$97+'Cálculos'!$F$305)+'Cálculos'!$F$195)*('Cálculos'!$F$269+'Cálculos'!$F$124*(1+2.78*('Cálculos'!$F$200+(($B$225)-$A201)*'Cálculos'!$F$98)/(('Cálculos'!$F$200+(($B$225)-$A201)*'Cálculos'!$F$98)+1400)+'Cálculos'!$F$122)*'Cálculos'!$F$274+'Cálculos'!$F$125*(1+2.78*('Cálculos'!$F$200+(($B$225)-$A201)*'Cálculos'!$F$98)/(('Cálculos'!$F$200+(($B$225)-$A201)*'Cálculos'!$F$98)+1400)+'Cálculos'!$F$123)*'Cálculos'!$F$279)+('Cálculos'!$F$200+(($B$225)-$A201)*'Cálculos'!$F$98)*('Cálculos'!$F$270+'Cálculos'!$F$124*(1+2.78*('Cálculos'!$F$200+(($B$225)-$A201)*'Cálculos'!$F$98)/(('Cálculos'!$F$200+(($B$225)-$A201)*'Cálculos'!$F$98)+1400)+'Cálculos'!$F$122)*'Cálculos'!$F$275+'Cálculos'!$F$125*(1+2.78*('Cálculos'!$F$200+(($B$225)-$A201)*'Cálculos'!$F$98)/(('Cálculos'!$F$200+(($B$225)-$A201)*'Cálculos'!$F$98)+1400)+'Cálculos'!$F$123)*'Cálculos'!$F$280)+('Cálculos'!$F$201*(1+'Cálculos'!$F$202+$A201*('Cálculos'!$F$290=2)*'Cálculos'!$F$101)+'Cálculos'!$F$203)*('Cálculos'!$F$271+'Cálculos'!$F$124*(1+2.78*('Cálculos'!$F$200+(($B$225)-$A201)*'Cálculos'!$F$98)/(('Cálculos'!$F$200+(($B$225)-$A201)*'Cálculos'!$F$98)+1400)+'Cálculos'!$F$122)*'Cálculos'!$F$276+'Cálculos'!$F$125*(1+2.78*('Cálculos'!$F$200+(($B$225)-$A201)*'Cálculos'!$F$98)/(('Cálculos'!$F$200+(($B$225)-$A201)*'Cálculos'!$F$98)+1400)+'Cálculos'!$F$123)*'Cálculos'!$F$281)+('Cálculos'!$F$204*(1+'Cálculos'!$F$205+$A201*('Cálculos'!$F$290=3)*'Cálculos'!$F$103)+'Cálculos'!$F$206)*('Cálculos'!$F$272+'Cálculos'!$F$124*(1+2.78*('Cálculos'!$F$200+(($B$225)-$A201)*'Cálculos'!$F$98)/(('Cálculos'!$F$200+(($B$225)-$A201)*'Cálculos'!$F$98)+1400)+'Cálculos'!$F$122)*'Cálculos'!$F$277+'Cálculos'!$F$125*(1+2.78*('Cálculos'!$F$200+(($B$225)-$A201)*'Cálculos'!$F$98)/(('Cálculos'!$F$200+(($B$225)-$A201)*'Cálculos'!$F$98)+1400)+'Cálculos'!$F$123)*'Cálculos'!$F$282)))</f>
        <v>0</v>
      </c>
    </row>
    <row r="202" ht="15.75" customHeight="1">
      <c r="A202" s="2">
        <v>25.0</v>
      </c>
      <c r="B202" s="30">
        <f>SUMPRODUCT(MAX(($A$177:$A$222&lt;=$A202)*($A$177:$A$222&lt;='Cálculos'!$F$294)*(($A202)-$A$177:$A$222&lt;='Cálculos'!$F$295)*(1+(('Cálculos'!$F$207+$A$177:$A$222*'Cálculos'!$F$95)-(('Cálculos'!$F$207+$A$177:$A$222*'Cálculos'!$F$95)&gt;1)*(('Cálculos'!$F$207+$A$177:$A$222*'Cálculos'!$F$95)-1))*('Cálculos'!$F$208+(($A202)-$A$177:$A$222)*'Cálculos'!$F$96))))</f>
        <v>2.782985</v>
      </c>
      <c r="C202" s="2">
        <f>'Cálculos'!$F$303-$A202</f>
        <v>-7</v>
      </c>
      <c r="D202" s="31">
        <f>IF($C202&lt;0,0,SUMPRODUCT(MAX(($A$177:$A$222&lt;=$C202)*($A$177:$A$222&lt;='Cálculos'!$F$301)*(($C202)-$A$177:$A$222&lt;='Cálculos'!$F$297)*(('Cálculos'!$F$185*(1+'Cálculos'!$F$186+$A$177:$A$222*('Cálculos'!$F$290=1)*'Cálculos'!$F$97+'Cálculos'!$F$305)+'Cálculos'!$F$191)*('Cálculos'!$F$209+'Cálculos'!$F$124*(1+2.78*('Cálculos'!$F$196+(($C202)-$A$177:$A$222)*'Cálculos'!$F$98)/(('Cálculos'!$F$196+(($C202)-$A$177:$A$222)*'Cálculos'!$F$98)+1400)+'Cálculos'!$F$122)*'Cálculos'!$F$214+'Cálculos'!$F$125*(1+2.78*('Cálculos'!$F$196+(($C202)-$A$177:$A$222)*'Cálculos'!$F$98)/(('Cálculos'!$F$196+(($C202)-$A$177:$A$222)*'Cálculos'!$F$98)+1400)+'Cálculos'!$F$123)*'Cálculos'!$F$219)+('Cálculos'!$F$196+(($C202)-$A$177:$A$222)*'Cálculos'!$F$98)*('Cálculos'!$F$210+'Cálculos'!$F$124*(1+2.78*('Cálculos'!$F$196+(($C202)-$A$177:$A$222)*'Cálculos'!$F$98)/(('Cálculos'!$F$196+(($C202)-$A$177:$A$222)*'Cálculos'!$F$98)+1400)+'Cálculos'!$F$122)*'Cálculos'!$F$215+'Cálculos'!$F$125*(1+2.78*('Cálculos'!$F$196+(($C202)-$A$177:$A$222)*'Cálculos'!$F$98)/(('Cálculos'!$F$196+(($C202)-$A$177:$A$222)*'Cálculos'!$F$98)+1400)+'Cálculos'!$F$123)*'Cálculos'!$F$220)+('Cálculos'!$F$201*(1+'Cálculos'!$F$202+$A$177:$A$222*('Cálculos'!$F$290=2)*'Cálculos'!$F$101)+'Cálculos'!$F$203)*('Cálculos'!$F$211+'Cálculos'!$F$124*(1+2.78*('Cálculos'!$F$196+(($C202)-$A$177:$A$222)*'Cálculos'!$F$98)/(('Cálculos'!$F$196+(($C202)-$A$177:$A$222)*'Cálculos'!$F$98)+1400)+'Cálculos'!$F$122)*'Cálculos'!$F$216+'Cálculos'!$F$125*(1+2.78*('Cálculos'!$F$196+(($C202)-$A$177:$A$222)*'Cálculos'!$F$98)/(('Cálculos'!$F$196+(($C202)-$A$177:$A$222)*'Cálculos'!$F$98)+1400)+'Cálculos'!$F$123)*'Cálculos'!$F$221)+('Cálculos'!$F$204*(1+'Cálculos'!$F$205+$A$177:$A$222*('Cálculos'!$F$290=3)*'Cálculos'!$F$103)+'Cálculos'!$F$206)*('Cálculos'!$F$212+'Cálculos'!$F$124*(1+2.78*('Cálculos'!$F$196+(($C202)-$A$177:$A$222)*'Cálculos'!$F$98)/(('Cálculos'!$F$196+(($C202)-$A$177:$A$222)*'Cálculos'!$F$98)+1400)+'Cálculos'!$F$122)*'Cálculos'!$F$217+'Cálculos'!$F$125*(1+2.78*('Cálculos'!$F$196+(($C202)-$A$177:$A$222)*'Cálculos'!$F$98)/(('Cálculos'!$F$196+(($C202)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202)-$A$177:$A$222)*'Cálculos'!$F$98)/(('Cálculos'!$F$197+(($C202)-$A$177:$A$222)*'Cálculos'!$F$98)+1400)+'Cálculos'!$F$122)*'Cálculos'!$F$229+'Cálculos'!$F$125*(1+2.78*('Cálculos'!$F$197+(($C202)-$A$177:$A$222)*'Cálculos'!$F$98)/(('Cálculos'!$F$197+(($C202)-$A$177:$A$222)*'Cálculos'!$F$98)+1400)+'Cálculos'!$F$123)*'Cálculos'!$F$234)+('Cálculos'!$F$197+(($C202)-$A$177:$A$222)*'Cálculos'!$F$98)*('Cálculos'!$F$225+'Cálculos'!$F$124*(1+2.78*('Cálculos'!$F$197+(($C202)-$A$177:$A$222)*'Cálculos'!$F$98)/(('Cálculos'!$F$197+(($C202)-$A$177:$A$222)*'Cálculos'!$F$98)+1400)+'Cálculos'!$F$122)*'Cálculos'!$F$230+'Cálculos'!$F$125*(1+2.78*('Cálculos'!$F$197+(($C202)-$A$177:$A$222)*'Cálculos'!$F$98)/(('Cálculos'!$F$197+(($C202)-$A$177:$A$222)*'Cálculos'!$F$98)+1400)+'Cálculos'!$F$123)*'Cálculos'!$F$235)+('Cálculos'!$F$201*(1+'Cálculos'!$F$202+$A$177:$A$222*('Cálculos'!$F$290=2)*'Cálculos'!$F$101)+'Cálculos'!$F$203)*('Cálculos'!$F$226+'Cálculos'!$F$124*(1+2.78*('Cálculos'!$F$197+(($C202)-$A$177:$A$222)*'Cálculos'!$F$98)/(('Cálculos'!$F$197+(($C202)-$A$177:$A$222)*'Cálculos'!$F$98)+1400)+'Cálculos'!$F$122)*'Cálculos'!$F$231+'Cálculos'!$F$125*(1+2.78*('Cálculos'!$F$197+(($C202)-$A$177:$A$222)*'Cálculos'!$F$98)/(('Cálculos'!$F$197+(($C202)-$A$177:$A$222)*'Cálculos'!$F$98)+1400)+'Cálculos'!$F$123)*'Cálculos'!$F$236)+('Cálculos'!$F$204*(1+'Cálculos'!$F$205+$A$177:$A$222*('Cálculos'!$F$290=3)*'Cálculos'!$F$103)+'Cálculos'!$F$206)*('Cálculos'!$F$227+'Cálculos'!$F$124*(1+2.78*('Cálculos'!$F$197+(($C202)-$A$177:$A$222)*'Cálculos'!$F$98)/(('Cálculos'!$F$197+(($C202)-$A$177:$A$222)*'Cálculos'!$F$98)+1400)+'Cálculos'!$F$122)*'Cálculos'!$F$232+'Cálculos'!$F$125*(1+2.78*('Cálculos'!$F$197+(($C202)-$A$177:$A$222)*'Cálculos'!$F$98)/(('Cálculos'!$F$197+(($C202)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202)-$A$177:$A$222)*'Cálculos'!$F$98)/(('Cálculos'!$F$198+(($C202)-$A$177:$A$222)*'Cálculos'!$F$98)+1400)+'Cálculos'!$F$122)*'Cálculos'!$F$244+'Cálculos'!$F$125*(1+2.78*('Cálculos'!$F$198+(($C202)-$A$177:$A$222)*'Cálculos'!$F$98)/(('Cálculos'!$F$198+(($C202)-$A$177:$A$222)*'Cálculos'!$F$98)+1400)+'Cálculos'!$F$123)*'Cálculos'!$F$249)+('Cálculos'!$F$198+(($C202)-$A$177:$A$222)*'Cálculos'!$F$98)*('Cálculos'!$F$240+'Cálculos'!$F$124*(1+2.78*('Cálculos'!$F$198+(($C202)-$A$177:$A$222)*'Cálculos'!$F$98)/(('Cálculos'!$F$198+(($C202)-$A$177:$A$222)*'Cálculos'!$F$98)+1400)+'Cálculos'!$F$122)*'Cálculos'!$F$245+'Cálculos'!$F$125*(1+2.78*('Cálculos'!$F$198+(($C202)-$A$177:$A$222)*'Cálculos'!$F$98)/(('Cálculos'!$F$198+(($C202)-$A$177:$A$222)*'Cálculos'!$F$98)+1400)+'Cálculos'!$F$123)*'Cálculos'!$F$250)+('Cálculos'!$F$201*(1+'Cálculos'!$F$202+$A$177:$A$222*('Cálculos'!$F$290=2)*'Cálculos'!$F$101)+'Cálculos'!$F$203)*('Cálculos'!$F$241+'Cálculos'!$F$124*(1+2.78*('Cálculos'!$F$198+(($C202)-$A$177:$A$222)*'Cálculos'!$F$98)/(('Cálculos'!$F$198+(($C202)-$A$177:$A$222)*'Cálculos'!$F$98)+1400)+'Cálculos'!$F$122)*'Cálculos'!$F$246+'Cálculos'!$F$125*(1+2.78*('Cálculos'!$F$198+(($C202)-$A$177:$A$222)*'Cálculos'!$F$98)/(('Cálculos'!$F$198+(($C202)-$A$177:$A$222)*'Cálculos'!$F$98)+1400)+'Cálculos'!$F$123)*'Cálculos'!$F$251)+('Cálculos'!$F$204*(1+'Cálculos'!$F$205+$A$177:$A$222*('Cálculos'!$F$290=3)*'Cálculos'!$F$103)+'Cálculos'!$F$206)*('Cálculos'!$F$242+'Cálculos'!$F$124*(1+2.78*('Cálculos'!$F$198+(($C202)-$A$177:$A$222)*'Cálculos'!$F$98)/(('Cálculos'!$F$198+(($C202)-$A$177:$A$222)*'Cálculos'!$F$98)+1400)+'Cálculos'!$F$122)*'Cálculos'!$F$247+'Cálculos'!$F$125*(1+2.78*('Cálculos'!$F$198+(($C202)-$A$177:$A$222)*'Cálculos'!$F$98)/(('Cálculos'!$F$198+(($C202)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202)-$A$177:$A$222)*'Cálculos'!$F$98)/(('Cálculos'!$F$199+(($C202)-$A$177:$A$222)*'Cálculos'!$F$98)+1400)+'Cálculos'!$F$122)*'Cálculos'!$F$259+'Cálculos'!$F$125*(1+2.78*('Cálculos'!$F$199+(($C202)-$A$177:$A$222)*'Cálculos'!$F$98)/(('Cálculos'!$F$199+(($C202)-$A$177:$A$222)*'Cálculos'!$F$98)+1400)+'Cálculos'!$F$123)*'Cálculos'!$F$264)+('Cálculos'!$F$199+(($C202)-$A$177:$A$222)*'Cálculos'!$F$98)*('Cálculos'!$F$255+'Cálculos'!$F$124*(1+2.78*('Cálculos'!$F$199+(($C202)-$A$177:$A$222)*'Cálculos'!$F$98)/(('Cálculos'!$F$199+(($C202)-$A$177:$A$222)*'Cálculos'!$F$98)+1400)+'Cálculos'!$F$122)*'Cálculos'!$F$260+'Cálculos'!$F$125*(1+2.78*('Cálculos'!$F$199+(($C202)-$A$177:$A$222)*'Cálculos'!$F$98)/(('Cálculos'!$F$199+(($C202)-$A$177:$A$222)*'Cálculos'!$F$98)+1400)+'Cálculos'!$F$123)*'Cálculos'!$F$265)+('Cálculos'!$F$201*(1+'Cálculos'!$F$202+$A$177:$A$222*('Cálculos'!$F$290=2)*'Cálculos'!$F$101)+'Cálculos'!$F$203)*('Cálculos'!$F$256+'Cálculos'!$F$124*(1+2.78*('Cálculos'!$F$199+(($C202)-$A$177:$A$222)*'Cálculos'!$F$98)/(('Cálculos'!$F$199+(($C202)-$A$177:$A$222)*'Cálculos'!$F$98)+1400)+'Cálculos'!$F$122)*'Cálculos'!$F$261+'Cálculos'!$F$125*(1+2.78*('Cálculos'!$F$199+(($C202)-$A$177:$A$222)*'Cálculos'!$F$98)/(('Cálculos'!$F$199+(($C202)-$A$177:$A$222)*'Cálculos'!$F$98)+1400)+'Cálculos'!$F$123)*'Cálculos'!$F$266)+('Cálculos'!$F$204*(1+'Cálculos'!$F$205+$A$177:$A$222*('Cálculos'!$F$290=3)*'Cálculos'!$F$103)+'Cálculos'!$F$206)*('Cálculos'!$F$257+'Cálculos'!$F$124*(1+2.78*('Cálculos'!$F$199+(($C202)-$A$177:$A$222)*'Cálculos'!$F$98)/(('Cálculos'!$F$199+(($C202)-$A$177:$A$222)*'Cálculos'!$F$98)+1400)+'Cálculos'!$F$122)*'Cálculos'!$F$262+'Cálculos'!$F$125*(1+2.78*('Cálculos'!$F$199+(($C202)-$A$177:$A$222)*'Cálculos'!$F$98)/(('Cálculos'!$F$199+(($C202)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202)-$A$177:$A$222)*'Cálculos'!$F$98)/(('Cálculos'!$F$200+(($C202)-$A$177:$A$222)*'Cálculos'!$F$98)+1400)+'Cálculos'!$F$122)*'Cálculos'!$F$274+'Cálculos'!$F$125*(1+2.78*('Cálculos'!$F$200+(($C202)-$A$177:$A$222)*'Cálculos'!$F$98)/(('Cálculos'!$F$200+(($C202)-$A$177:$A$222)*'Cálculos'!$F$98)+1400)+'Cálculos'!$F$123)*'Cálculos'!$F$279)+('Cálculos'!$F$200+(($C202)-$A$177:$A$222)*'Cálculos'!$F$98)*('Cálculos'!$F$270+'Cálculos'!$F$124*(1+2.78*('Cálculos'!$F$200+(($C202)-$A$177:$A$222)*'Cálculos'!$F$98)/(('Cálculos'!$F$200+(($C202)-$A$177:$A$222)*'Cálculos'!$F$98)+1400)+'Cálculos'!$F$122)*'Cálculos'!$F$275+'Cálculos'!$F$125*(1+2.78*('Cálculos'!$F$200+(($C202)-$A$177:$A$222)*'Cálculos'!$F$98)/(('Cálculos'!$F$200+(($C202)-$A$177:$A$222)*'Cálculos'!$F$98)+1400)+'Cálculos'!$F$123)*'Cálculos'!$F$280)+('Cálculos'!$F$201*(1+'Cálculos'!$F$202+$A$177:$A$222*('Cálculos'!$F$290=2)*'Cálculos'!$F$101)+'Cálculos'!$F$203)*('Cálculos'!$F$271+'Cálculos'!$F$124*(1+2.78*('Cálculos'!$F$200+(($C202)-$A$177:$A$222)*'Cálculos'!$F$98)/(('Cálculos'!$F$200+(($C202)-$A$177:$A$222)*'Cálculos'!$F$98)+1400)+'Cálculos'!$F$122)*'Cálculos'!$F$276+'Cálculos'!$F$125*(1+2.78*('Cálculos'!$F$200+(($C202)-$A$177:$A$222)*'Cálculos'!$F$98)/(('Cálculos'!$F$200+(($C202)-$A$177:$A$222)*'Cálculos'!$F$98)+1400)+'Cálculos'!$F$123)*'Cálculos'!$F$281)+('Cálculos'!$F$204*(1+'Cálculos'!$F$205+$A$177:$A$222*('Cálculos'!$F$290=3)*'Cálculos'!$F$103)+'Cálculos'!$F$206)*('Cálculos'!$F$272+'Cálculos'!$F$124*(1+2.78*('Cálculos'!$F$200+(($C202)-$A$177:$A$222)*'Cálculos'!$F$98)/(('Cálculos'!$F$200+(($C202)-$A$177:$A$222)*'Cálculos'!$F$98)+1400)+'Cálculos'!$F$122)*'Cálculos'!$F$277+'Cálculos'!$F$125*(1+2.78*('Cálculos'!$F$200+(($C202)-$A$177:$A$222)*'Cálculos'!$F$98)/(('Cálculos'!$F$200+(($C202)-$A$177:$A$222)*'Cálculos'!$F$98)+1400)+'Cálculos'!$F$123)*'Cálculos'!$F$282)))))</f>
        <v>0</v>
      </c>
      <c r="E202" s="32">
        <f>IF(OR($C202&lt;0,'Cálculos'!$F$6=""),0,$B202*$D202)</f>
        <v>0</v>
      </c>
      <c r="F202" s="2"/>
      <c r="G202" s="30">
        <f>($A202&lt;=$B$224)*($A202&lt;='Cálculos'!$F$294)*(($B$224)-$A202&lt;='Cálculos'!$F$295)*(1+MIN(('Cálculos'!$F$207+$A202*'Cálculos'!$F$95),1)*('Cálculos'!$F$208+(($B$224)-$A202)*'Cálculos'!$F$96))</f>
        <v>0</v>
      </c>
      <c r="H202" s="31">
        <f>IF($B$225&lt;0,0,($A202&lt;=$B$225)*($A202&lt;='Cálculos'!$F$301)*(($B$225)-$A202&lt;='Cálculos'!$F$297)*(('Cálculos'!$F$185*(1+'Cálculos'!$F$186+$A202*('Cálculos'!$F$290=1)*'Cálculos'!$F$97+'Cálculos'!$F$305)+'Cálculos'!$F$191)*('Cálculos'!$F$209+'Cálculos'!$F$124*(1+2.78*('Cálculos'!$F$196+(($B$225)-$A202)*'Cálculos'!$F$98)/(('Cálculos'!$F$196+(($B$225)-$A202)*'Cálculos'!$F$98)+1400)+'Cálculos'!$F$122)*'Cálculos'!$F$214+'Cálculos'!$F$125*(1+2.78*('Cálculos'!$F$196+(($B$225)-$A202)*'Cálculos'!$F$98)/(('Cálculos'!$F$196+(($B$225)-$A202)*'Cálculos'!$F$98)+1400)+'Cálculos'!$F$123)*'Cálculos'!$F$219)+('Cálculos'!$F$196+(($B$225)-$A202)*'Cálculos'!$F$98)*('Cálculos'!$F$210+'Cálculos'!$F$124*(1+2.78*('Cálculos'!$F$196+(($B$225)-$A202)*'Cálculos'!$F$98)/(('Cálculos'!$F$196+(($B$225)-$A202)*'Cálculos'!$F$98)+1400)+'Cálculos'!$F$122)*'Cálculos'!$F$215+'Cálculos'!$F$125*(1+2.78*('Cálculos'!$F$196+(($B$225)-$A202)*'Cálculos'!$F$98)/(('Cálculos'!$F$196+(($B$225)-$A202)*'Cálculos'!$F$98)+1400)+'Cálculos'!$F$123)*'Cálculos'!$F$220)+('Cálculos'!$F$201*(1+'Cálculos'!$F$202+$A202*('Cálculos'!$F$290=2)*'Cálculos'!$F$101)+'Cálculos'!$F$203)*('Cálculos'!$F$211+'Cálculos'!$F$124*(1+2.78*('Cálculos'!$F$196+(($B$225)-$A202)*'Cálculos'!$F$98)/(('Cálculos'!$F$196+(($B$225)-$A202)*'Cálculos'!$F$98)+1400)+'Cálculos'!$F$122)*'Cálculos'!$F$216+'Cálculos'!$F$125*(1+2.78*('Cálculos'!$F$196+(($B$225)-$A202)*'Cálculos'!$F$98)/(('Cálculos'!$F$196+(($B$225)-$A202)*'Cálculos'!$F$98)+1400)+'Cálculos'!$F$123)*'Cálculos'!$F$221)+('Cálculos'!$F$204*(1+'Cálculos'!$F$205+$A202*('Cálculos'!$F$290=3)*'Cálculos'!$F$103)+'Cálculos'!$F$206)*('Cálculos'!$F$212+'Cálculos'!$F$124*(1+2.78*('Cálculos'!$F$196+(($B$225)-$A202)*'Cálculos'!$F$98)/(('Cálculos'!$F$196+(($B$225)-$A202)*'Cálculos'!$F$98)+1400)+'Cálculos'!$F$122)*'Cálculos'!$F$217+'Cálculos'!$F$125*(1+2.78*('Cálculos'!$F$196+(($B$225)-$A202)*'Cálculos'!$F$98)/(('Cálculos'!$F$196+(($B$225)-$A202)*'Cálculos'!$F$98)+1400)+'Cálculos'!$F$123)*'Cálculos'!$F$222)+('Cálculos'!$F$185*(1+'Cálculos'!$F$187+$A202*('Cálculos'!$F$290=1)*'Cálculos'!$F$97+'Cálculos'!$F$305)+'Cálculos'!$F$192)*('Cálculos'!$F$224+'Cálculos'!$F$124*(1+2.78*('Cálculos'!$F$197+(($B$225)-$A202)*'Cálculos'!$F$98)/(('Cálculos'!$F$197+(($B$225)-$A202)*'Cálculos'!$F$98)+1400)+'Cálculos'!$F$122)*'Cálculos'!$F$229+'Cálculos'!$F$125*(1+2.78*('Cálculos'!$F$197+(($B$225)-$A202)*'Cálculos'!$F$98)/(('Cálculos'!$F$197+(($B$225)-$A202)*'Cálculos'!$F$98)+1400)+'Cálculos'!$F$123)*'Cálculos'!$F$234)+('Cálculos'!$F$197+(($B$225)-$A202)*'Cálculos'!$F$98)*('Cálculos'!$F$225+'Cálculos'!$F$124*(1+2.78*('Cálculos'!$F$197+(($B$225)-$A202)*'Cálculos'!$F$98)/(('Cálculos'!$F$197+(($B$225)-$A202)*'Cálculos'!$F$98)+1400)+'Cálculos'!$F$122)*'Cálculos'!$F$230+'Cálculos'!$F$125*(1+2.78*('Cálculos'!$F$197+(($B$225)-$A202)*'Cálculos'!$F$98)/(('Cálculos'!$F$197+(($B$225)-$A202)*'Cálculos'!$F$98)+1400)+'Cálculos'!$F$123)*'Cálculos'!$F$235)+('Cálculos'!$F$201*(1+'Cálculos'!$F$202+$A202*('Cálculos'!$F$290=2)*'Cálculos'!$F$101)+'Cálculos'!$F$203)*('Cálculos'!$F$226+'Cálculos'!$F$124*(1+2.78*('Cálculos'!$F$197+(($B$225)-$A202)*'Cálculos'!$F$98)/(('Cálculos'!$F$197+(($B$225)-$A202)*'Cálculos'!$F$98)+1400)+'Cálculos'!$F$122)*'Cálculos'!$F$231+'Cálculos'!$F$125*(1+2.78*('Cálculos'!$F$197+(($B$225)-$A202)*'Cálculos'!$F$98)/(('Cálculos'!$F$197+(($B$225)-$A202)*'Cálculos'!$F$98)+1400)+'Cálculos'!$F$123)*'Cálculos'!$F$236)+('Cálculos'!$F$204*(1+'Cálculos'!$F$205+$A202*('Cálculos'!$F$290=3)*'Cálculos'!$F$103)+'Cálculos'!$F$206)*('Cálculos'!$F$227+'Cálculos'!$F$124*(1+2.78*('Cálculos'!$F$197+(($B$225)-$A202)*'Cálculos'!$F$98)/(('Cálculos'!$F$197+(($B$225)-$A202)*'Cálculos'!$F$98)+1400)+'Cálculos'!$F$122)*'Cálculos'!$F$232+'Cálculos'!$F$125*(1+2.78*('Cálculos'!$F$197+(($B$225)-$A202)*'Cálculos'!$F$98)/(('Cálculos'!$F$197+(($B$225)-$A202)*'Cálculos'!$F$98)+1400)+'Cálculos'!$F$123)*'Cálculos'!$F$237)+('Cálculos'!$F$185*(1+'Cálculos'!$F$188+$A202*('Cálculos'!$F$290=1)*'Cálculos'!$F$97+'Cálculos'!$F$305)+'Cálculos'!$F$193)*('Cálculos'!$F$239+'Cálculos'!$F$124*(1+2.78*('Cálculos'!$F$198+(($B$225)-$A202)*'Cálculos'!$F$98)/(('Cálculos'!$F$198+(($B$225)-$A202)*'Cálculos'!$F$98)+1400)+'Cálculos'!$F$122)*'Cálculos'!$F$244+'Cálculos'!$F$125*(1+2.78*('Cálculos'!$F$198+(($B$225)-$A202)*'Cálculos'!$F$98)/(('Cálculos'!$F$198+(($B$225)-$A202)*'Cálculos'!$F$98)+1400)+'Cálculos'!$F$123)*'Cálculos'!$F$249)+('Cálculos'!$F$198+(($B$225)-$A202)*'Cálculos'!$F$98)*('Cálculos'!$F$240+'Cálculos'!$F$124*(1+2.78*('Cálculos'!$F$198+(($B$225)-$A202)*'Cálculos'!$F$98)/(('Cálculos'!$F$198+(($B$225)-$A202)*'Cálculos'!$F$98)+1400)+'Cálculos'!$F$122)*'Cálculos'!$F$245+'Cálculos'!$F$125*(1+2.78*('Cálculos'!$F$198+(($B$225)-$A202)*'Cálculos'!$F$98)/(('Cálculos'!$F$198+(($B$225)-$A202)*'Cálculos'!$F$98)+1400)+'Cálculos'!$F$123)*'Cálculos'!$F$250)+('Cálculos'!$F$201*(1+'Cálculos'!$F$202+$A202*('Cálculos'!$F$290=2)*'Cálculos'!$F$101)+'Cálculos'!$F$203)*('Cálculos'!$F$241+'Cálculos'!$F$124*(1+2.78*('Cálculos'!$F$198+(($B$225)-$A202)*'Cálculos'!$F$98)/(('Cálculos'!$F$198+(($B$225)-$A202)*'Cálculos'!$F$98)+1400)+'Cálculos'!$F$122)*'Cálculos'!$F$246+'Cálculos'!$F$125*(1+2.78*('Cálculos'!$F$198+(($B$225)-$A202)*'Cálculos'!$F$98)/(('Cálculos'!$F$198+(($B$225)-$A202)*'Cálculos'!$F$98)+1400)+'Cálculos'!$F$123)*'Cálculos'!$F$251)+('Cálculos'!$F$204*(1+'Cálculos'!$F$205+$A202*('Cálculos'!$F$290=3)*'Cálculos'!$F$103)+'Cálculos'!$F$206)*('Cálculos'!$F$242+'Cálculos'!$F$124*(1+2.78*('Cálculos'!$F$198+(($B$225)-$A202)*'Cálculos'!$F$98)/(('Cálculos'!$F$198+(($B$225)-$A202)*'Cálculos'!$F$98)+1400)+'Cálculos'!$F$122)*'Cálculos'!$F$247+'Cálculos'!$F$125*(1+2.78*('Cálculos'!$F$198+(($B$225)-$A202)*'Cálculos'!$F$98)/(('Cálculos'!$F$198+(($B$225)-$A202)*'Cálculos'!$F$98)+1400)+'Cálculos'!$F$123)*'Cálculos'!$F$252)+('Cálculos'!$F$185*(1+'Cálculos'!$F$189+$A202*('Cálculos'!$F$290=1)*'Cálculos'!$F$97+'Cálculos'!$F$305)+'Cálculos'!$F$194)*('Cálculos'!$F$254+'Cálculos'!$F$124*(1+2.78*('Cálculos'!$F$199+(($B$225)-$A202)*'Cálculos'!$F$98)/(('Cálculos'!$F$199+(($B$225)-$A202)*'Cálculos'!$F$98)+1400)+'Cálculos'!$F$122)*'Cálculos'!$F$259+'Cálculos'!$F$125*(1+2.78*('Cálculos'!$F$199+(($B$225)-$A202)*'Cálculos'!$F$98)/(('Cálculos'!$F$199+(($B$225)-$A202)*'Cálculos'!$F$98)+1400)+'Cálculos'!$F$123)*'Cálculos'!$F$264)+('Cálculos'!$F$199+(($B$225)-$A202)*'Cálculos'!$F$98)*('Cálculos'!$F$255+'Cálculos'!$F$124*(1+2.78*('Cálculos'!$F$199+(($B$225)-$A202)*'Cálculos'!$F$98)/(('Cálculos'!$F$199+(($B$225)-$A202)*'Cálculos'!$F$98)+1400)+'Cálculos'!$F$122)*'Cálculos'!$F$260+'Cálculos'!$F$125*(1+2.78*('Cálculos'!$F$199+(($B$225)-$A202)*'Cálculos'!$F$98)/(('Cálculos'!$F$199+(($B$225)-$A202)*'Cálculos'!$F$98)+1400)+'Cálculos'!$F$123)*'Cálculos'!$F$265)+('Cálculos'!$F$201*(1+'Cálculos'!$F$202+$A202*('Cálculos'!$F$290=2)*'Cálculos'!$F$101)+'Cálculos'!$F$203)*('Cálculos'!$F$256+'Cálculos'!$F$124*(1+2.78*('Cálculos'!$F$199+(($B$225)-$A202)*'Cálculos'!$F$98)/(('Cálculos'!$F$199+(($B$225)-$A202)*'Cálculos'!$F$98)+1400)+'Cálculos'!$F$122)*'Cálculos'!$F$261+'Cálculos'!$F$125*(1+2.78*('Cálculos'!$F$199+(($B$225)-$A202)*'Cálculos'!$F$98)/(('Cálculos'!$F$199+(($B$225)-$A202)*'Cálculos'!$F$98)+1400)+'Cálculos'!$F$123)*'Cálculos'!$F$266)+('Cálculos'!$F$204*(1+'Cálculos'!$F$205+$A202*('Cálculos'!$F$290=3)*'Cálculos'!$F$103)+'Cálculos'!$F$206)*('Cálculos'!$F$257+'Cálculos'!$F$124*(1+2.78*('Cálculos'!$F$199+(($B$225)-$A202)*'Cálculos'!$F$98)/(('Cálculos'!$F$199+(($B$225)-$A202)*'Cálculos'!$F$98)+1400)+'Cálculos'!$F$122)*'Cálculos'!$F$262+'Cálculos'!$F$125*(1+2.78*('Cálculos'!$F$199+(($B$225)-$A202)*'Cálculos'!$F$98)/(('Cálculos'!$F$199+(($B$225)-$A202)*'Cálculos'!$F$98)+1400)+'Cálculos'!$F$123)*'Cálculos'!$F$267)+('Cálculos'!$F$185*(1+'Cálculos'!$F$190+$A202*('Cálculos'!$F$290=1)*'Cálculos'!$F$97+'Cálculos'!$F$305)+'Cálculos'!$F$195)*('Cálculos'!$F$269+'Cálculos'!$F$124*(1+2.78*('Cálculos'!$F$200+(($B$225)-$A202)*'Cálculos'!$F$98)/(('Cálculos'!$F$200+(($B$225)-$A202)*'Cálculos'!$F$98)+1400)+'Cálculos'!$F$122)*'Cálculos'!$F$274+'Cálculos'!$F$125*(1+2.78*('Cálculos'!$F$200+(($B$225)-$A202)*'Cálculos'!$F$98)/(('Cálculos'!$F$200+(($B$225)-$A202)*'Cálculos'!$F$98)+1400)+'Cálculos'!$F$123)*'Cálculos'!$F$279)+('Cálculos'!$F$200+(($B$225)-$A202)*'Cálculos'!$F$98)*('Cálculos'!$F$270+'Cálculos'!$F$124*(1+2.78*('Cálculos'!$F$200+(($B$225)-$A202)*'Cálculos'!$F$98)/(('Cálculos'!$F$200+(($B$225)-$A202)*'Cálculos'!$F$98)+1400)+'Cálculos'!$F$122)*'Cálculos'!$F$275+'Cálculos'!$F$125*(1+2.78*('Cálculos'!$F$200+(($B$225)-$A202)*'Cálculos'!$F$98)/(('Cálculos'!$F$200+(($B$225)-$A202)*'Cálculos'!$F$98)+1400)+'Cálculos'!$F$123)*'Cálculos'!$F$280)+('Cálculos'!$F$201*(1+'Cálculos'!$F$202+$A202*('Cálculos'!$F$290=2)*'Cálculos'!$F$101)+'Cálculos'!$F$203)*('Cálculos'!$F$271+'Cálculos'!$F$124*(1+2.78*('Cálculos'!$F$200+(($B$225)-$A202)*'Cálculos'!$F$98)/(('Cálculos'!$F$200+(($B$225)-$A202)*'Cálculos'!$F$98)+1400)+'Cálculos'!$F$122)*'Cálculos'!$F$276+'Cálculos'!$F$125*(1+2.78*('Cálculos'!$F$200+(($B$225)-$A202)*'Cálculos'!$F$98)/(('Cálculos'!$F$200+(($B$225)-$A202)*'Cálculos'!$F$98)+1400)+'Cálculos'!$F$123)*'Cálculos'!$F$281)+('Cálculos'!$F$204*(1+'Cálculos'!$F$205+$A202*('Cálculos'!$F$290=3)*'Cálculos'!$F$103)+'Cálculos'!$F$206)*('Cálculos'!$F$272+'Cálculos'!$F$124*(1+2.78*('Cálculos'!$F$200+(($B$225)-$A202)*'Cálculos'!$F$98)/(('Cálculos'!$F$200+(($B$225)-$A202)*'Cálculos'!$F$98)+1400)+'Cálculos'!$F$122)*'Cálculos'!$F$277+'Cálculos'!$F$125*(1+2.78*('Cálculos'!$F$200+(($B$225)-$A202)*'Cálculos'!$F$98)/(('Cálculos'!$F$200+(($B$225)-$A202)*'Cálculos'!$F$98)+1400)+'Cálculos'!$F$123)*'Cálculos'!$F$282)))</f>
        <v>0</v>
      </c>
    </row>
    <row r="203" ht="15.75" customHeight="1">
      <c r="A203" s="2">
        <v>26.0</v>
      </c>
      <c r="B203" s="30">
        <f>SUMPRODUCT(MAX(($A$177:$A$222&lt;=$A203)*($A$177:$A$222&lt;='Cálculos'!$F$294)*(($A203)-$A$177:$A$222&lt;='Cálculos'!$F$295)*(1+(('Cálculos'!$F$207+$A$177:$A$222*'Cálculos'!$F$95)-(('Cálculos'!$F$207+$A$177:$A$222*'Cálculos'!$F$95)&gt;1)*(('Cálculos'!$F$207+$A$177:$A$222*'Cálculos'!$F$95)-1))*('Cálculos'!$F$208+(($A203)-$A$177:$A$222)*'Cálculos'!$F$96))))</f>
        <v>2.846015</v>
      </c>
      <c r="C203" s="2">
        <f>'Cálculos'!$F$303-$A203</f>
        <v>-8</v>
      </c>
      <c r="D203" s="31">
        <f>IF($C203&lt;0,0,SUMPRODUCT(MAX(($A$177:$A$222&lt;=$C203)*($A$177:$A$222&lt;='Cálculos'!$F$301)*(($C203)-$A$177:$A$222&lt;='Cálculos'!$F$297)*(('Cálculos'!$F$185*(1+'Cálculos'!$F$186+$A$177:$A$222*('Cálculos'!$F$290=1)*'Cálculos'!$F$97+'Cálculos'!$F$305)+'Cálculos'!$F$191)*('Cálculos'!$F$209+'Cálculos'!$F$124*(1+2.78*('Cálculos'!$F$196+(($C203)-$A$177:$A$222)*'Cálculos'!$F$98)/(('Cálculos'!$F$196+(($C203)-$A$177:$A$222)*'Cálculos'!$F$98)+1400)+'Cálculos'!$F$122)*'Cálculos'!$F$214+'Cálculos'!$F$125*(1+2.78*('Cálculos'!$F$196+(($C203)-$A$177:$A$222)*'Cálculos'!$F$98)/(('Cálculos'!$F$196+(($C203)-$A$177:$A$222)*'Cálculos'!$F$98)+1400)+'Cálculos'!$F$123)*'Cálculos'!$F$219)+('Cálculos'!$F$196+(($C203)-$A$177:$A$222)*'Cálculos'!$F$98)*('Cálculos'!$F$210+'Cálculos'!$F$124*(1+2.78*('Cálculos'!$F$196+(($C203)-$A$177:$A$222)*'Cálculos'!$F$98)/(('Cálculos'!$F$196+(($C203)-$A$177:$A$222)*'Cálculos'!$F$98)+1400)+'Cálculos'!$F$122)*'Cálculos'!$F$215+'Cálculos'!$F$125*(1+2.78*('Cálculos'!$F$196+(($C203)-$A$177:$A$222)*'Cálculos'!$F$98)/(('Cálculos'!$F$196+(($C203)-$A$177:$A$222)*'Cálculos'!$F$98)+1400)+'Cálculos'!$F$123)*'Cálculos'!$F$220)+('Cálculos'!$F$201*(1+'Cálculos'!$F$202+$A$177:$A$222*('Cálculos'!$F$290=2)*'Cálculos'!$F$101)+'Cálculos'!$F$203)*('Cálculos'!$F$211+'Cálculos'!$F$124*(1+2.78*('Cálculos'!$F$196+(($C203)-$A$177:$A$222)*'Cálculos'!$F$98)/(('Cálculos'!$F$196+(($C203)-$A$177:$A$222)*'Cálculos'!$F$98)+1400)+'Cálculos'!$F$122)*'Cálculos'!$F$216+'Cálculos'!$F$125*(1+2.78*('Cálculos'!$F$196+(($C203)-$A$177:$A$222)*'Cálculos'!$F$98)/(('Cálculos'!$F$196+(($C203)-$A$177:$A$222)*'Cálculos'!$F$98)+1400)+'Cálculos'!$F$123)*'Cálculos'!$F$221)+('Cálculos'!$F$204*(1+'Cálculos'!$F$205+$A$177:$A$222*('Cálculos'!$F$290=3)*'Cálculos'!$F$103)+'Cálculos'!$F$206)*('Cálculos'!$F$212+'Cálculos'!$F$124*(1+2.78*('Cálculos'!$F$196+(($C203)-$A$177:$A$222)*'Cálculos'!$F$98)/(('Cálculos'!$F$196+(($C203)-$A$177:$A$222)*'Cálculos'!$F$98)+1400)+'Cálculos'!$F$122)*'Cálculos'!$F$217+'Cálculos'!$F$125*(1+2.78*('Cálculos'!$F$196+(($C203)-$A$177:$A$222)*'Cálculos'!$F$98)/(('Cálculos'!$F$196+(($C203)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203)-$A$177:$A$222)*'Cálculos'!$F$98)/(('Cálculos'!$F$197+(($C203)-$A$177:$A$222)*'Cálculos'!$F$98)+1400)+'Cálculos'!$F$122)*'Cálculos'!$F$229+'Cálculos'!$F$125*(1+2.78*('Cálculos'!$F$197+(($C203)-$A$177:$A$222)*'Cálculos'!$F$98)/(('Cálculos'!$F$197+(($C203)-$A$177:$A$222)*'Cálculos'!$F$98)+1400)+'Cálculos'!$F$123)*'Cálculos'!$F$234)+('Cálculos'!$F$197+(($C203)-$A$177:$A$222)*'Cálculos'!$F$98)*('Cálculos'!$F$225+'Cálculos'!$F$124*(1+2.78*('Cálculos'!$F$197+(($C203)-$A$177:$A$222)*'Cálculos'!$F$98)/(('Cálculos'!$F$197+(($C203)-$A$177:$A$222)*'Cálculos'!$F$98)+1400)+'Cálculos'!$F$122)*'Cálculos'!$F$230+'Cálculos'!$F$125*(1+2.78*('Cálculos'!$F$197+(($C203)-$A$177:$A$222)*'Cálculos'!$F$98)/(('Cálculos'!$F$197+(($C203)-$A$177:$A$222)*'Cálculos'!$F$98)+1400)+'Cálculos'!$F$123)*'Cálculos'!$F$235)+('Cálculos'!$F$201*(1+'Cálculos'!$F$202+$A$177:$A$222*('Cálculos'!$F$290=2)*'Cálculos'!$F$101)+'Cálculos'!$F$203)*('Cálculos'!$F$226+'Cálculos'!$F$124*(1+2.78*('Cálculos'!$F$197+(($C203)-$A$177:$A$222)*'Cálculos'!$F$98)/(('Cálculos'!$F$197+(($C203)-$A$177:$A$222)*'Cálculos'!$F$98)+1400)+'Cálculos'!$F$122)*'Cálculos'!$F$231+'Cálculos'!$F$125*(1+2.78*('Cálculos'!$F$197+(($C203)-$A$177:$A$222)*'Cálculos'!$F$98)/(('Cálculos'!$F$197+(($C203)-$A$177:$A$222)*'Cálculos'!$F$98)+1400)+'Cálculos'!$F$123)*'Cálculos'!$F$236)+('Cálculos'!$F$204*(1+'Cálculos'!$F$205+$A$177:$A$222*('Cálculos'!$F$290=3)*'Cálculos'!$F$103)+'Cálculos'!$F$206)*('Cálculos'!$F$227+'Cálculos'!$F$124*(1+2.78*('Cálculos'!$F$197+(($C203)-$A$177:$A$222)*'Cálculos'!$F$98)/(('Cálculos'!$F$197+(($C203)-$A$177:$A$222)*'Cálculos'!$F$98)+1400)+'Cálculos'!$F$122)*'Cálculos'!$F$232+'Cálculos'!$F$125*(1+2.78*('Cálculos'!$F$197+(($C203)-$A$177:$A$222)*'Cálculos'!$F$98)/(('Cálculos'!$F$197+(($C203)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203)-$A$177:$A$222)*'Cálculos'!$F$98)/(('Cálculos'!$F$198+(($C203)-$A$177:$A$222)*'Cálculos'!$F$98)+1400)+'Cálculos'!$F$122)*'Cálculos'!$F$244+'Cálculos'!$F$125*(1+2.78*('Cálculos'!$F$198+(($C203)-$A$177:$A$222)*'Cálculos'!$F$98)/(('Cálculos'!$F$198+(($C203)-$A$177:$A$222)*'Cálculos'!$F$98)+1400)+'Cálculos'!$F$123)*'Cálculos'!$F$249)+('Cálculos'!$F$198+(($C203)-$A$177:$A$222)*'Cálculos'!$F$98)*('Cálculos'!$F$240+'Cálculos'!$F$124*(1+2.78*('Cálculos'!$F$198+(($C203)-$A$177:$A$222)*'Cálculos'!$F$98)/(('Cálculos'!$F$198+(($C203)-$A$177:$A$222)*'Cálculos'!$F$98)+1400)+'Cálculos'!$F$122)*'Cálculos'!$F$245+'Cálculos'!$F$125*(1+2.78*('Cálculos'!$F$198+(($C203)-$A$177:$A$222)*'Cálculos'!$F$98)/(('Cálculos'!$F$198+(($C203)-$A$177:$A$222)*'Cálculos'!$F$98)+1400)+'Cálculos'!$F$123)*'Cálculos'!$F$250)+('Cálculos'!$F$201*(1+'Cálculos'!$F$202+$A$177:$A$222*('Cálculos'!$F$290=2)*'Cálculos'!$F$101)+'Cálculos'!$F$203)*('Cálculos'!$F$241+'Cálculos'!$F$124*(1+2.78*('Cálculos'!$F$198+(($C203)-$A$177:$A$222)*'Cálculos'!$F$98)/(('Cálculos'!$F$198+(($C203)-$A$177:$A$222)*'Cálculos'!$F$98)+1400)+'Cálculos'!$F$122)*'Cálculos'!$F$246+'Cálculos'!$F$125*(1+2.78*('Cálculos'!$F$198+(($C203)-$A$177:$A$222)*'Cálculos'!$F$98)/(('Cálculos'!$F$198+(($C203)-$A$177:$A$222)*'Cálculos'!$F$98)+1400)+'Cálculos'!$F$123)*'Cálculos'!$F$251)+('Cálculos'!$F$204*(1+'Cálculos'!$F$205+$A$177:$A$222*('Cálculos'!$F$290=3)*'Cálculos'!$F$103)+'Cálculos'!$F$206)*('Cálculos'!$F$242+'Cálculos'!$F$124*(1+2.78*('Cálculos'!$F$198+(($C203)-$A$177:$A$222)*'Cálculos'!$F$98)/(('Cálculos'!$F$198+(($C203)-$A$177:$A$222)*'Cálculos'!$F$98)+1400)+'Cálculos'!$F$122)*'Cálculos'!$F$247+'Cálculos'!$F$125*(1+2.78*('Cálculos'!$F$198+(($C203)-$A$177:$A$222)*'Cálculos'!$F$98)/(('Cálculos'!$F$198+(($C203)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203)-$A$177:$A$222)*'Cálculos'!$F$98)/(('Cálculos'!$F$199+(($C203)-$A$177:$A$222)*'Cálculos'!$F$98)+1400)+'Cálculos'!$F$122)*'Cálculos'!$F$259+'Cálculos'!$F$125*(1+2.78*('Cálculos'!$F$199+(($C203)-$A$177:$A$222)*'Cálculos'!$F$98)/(('Cálculos'!$F$199+(($C203)-$A$177:$A$222)*'Cálculos'!$F$98)+1400)+'Cálculos'!$F$123)*'Cálculos'!$F$264)+('Cálculos'!$F$199+(($C203)-$A$177:$A$222)*'Cálculos'!$F$98)*('Cálculos'!$F$255+'Cálculos'!$F$124*(1+2.78*('Cálculos'!$F$199+(($C203)-$A$177:$A$222)*'Cálculos'!$F$98)/(('Cálculos'!$F$199+(($C203)-$A$177:$A$222)*'Cálculos'!$F$98)+1400)+'Cálculos'!$F$122)*'Cálculos'!$F$260+'Cálculos'!$F$125*(1+2.78*('Cálculos'!$F$199+(($C203)-$A$177:$A$222)*'Cálculos'!$F$98)/(('Cálculos'!$F$199+(($C203)-$A$177:$A$222)*'Cálculos'!$F$98)+1400)+'Cálculos'!$F$123)*'Cálculos'!$F$265)+('Cálculos'!$F$201*(1+'Cálculos'!$F$202+$A$177:$A$222*('Cálculos'!$F$290=2)*'Cálculos'!$F$101)+'Cálculos'!$F$203)*('Cálculos'!$F$256+'Cálculos'!$F$124*(1+2.78*('Cálculos'!$F$199+(($C203)-$A$177:$A$222)*'Cálculos'!$F$98)/(('Cálculos'!$F$199+(($C203)-$A$177:$A$222)*'Cálculos'!$F$98)+1400)+'Cálculos'!$F$122)*'Cálculos'!$F$261+'Cálculos'!$F$125*(1+2.78*('Cálculos'!$F$199+(($C203)-$A$177:$A$222)*'Cálculos'!$F$98)/(('Cálculos'!$F$199+(($C203)-$A$177:$A$222)*'Cálculos'!$F$98)+1400)+'Cálculos'!$F$123)*'Cálculos'!$F$266)+('Cálculos'!$F$204*(1+'Cálculos'!$F$205+$A$177:$A$222*('Cálculos'!$F$290=3)*'Cálculos'!$F$103)+'Cálculos'!$F$206)*('Cálculos'!$F$257+'Cálculos'!$F$124*(1+2.78*('Cálculos'!$F$199+(($C203)-$A$177:$A$222)*'Cálculos'!$F$98)/(('Cálculos'!$F$199+(($C203)-$A$177:$A$222)*'Cálculos'!$F$98)+1400)+'Cálculos'!$F$122)*'Cálculos'!$F$262+'Cálculos'!$F$125*(1+2.78*('Cálculos'!$F$199+(($C203)-$A$177:$A$222)*'Cálculos'!$F$98)/(('Cálculos'!$F$199+(($C203)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203)-$A$177:$A$222)*'Cálculos'!$F$98)/(('Cálculos'!$F$200+(($C203)-$A$177:$A$222)*'Cálculos'!$F$98)+1400)+'Cálculos'!$F$122)*'Cálculos'!$F$274+'Cálculos'!$F$125*(1+2.78*('Cálculos'!$F$200+(($C203)-$A$177:$A$222)*'Cálculos'!$F$98)/(('Cálculos'!$F$200+(($C203)-$A$177:$A$222)*'Cálculos'!$F$98)+1400)+'Cálculos'!$F$123)*'Cálculos'!$F$279)+('Cálculos'!$F$200+(($C203)-$A$177:$A$222)*'Cálculos'!$F$98)*('Cálculos'!$F$270+'Cálculos'!$F$124*(1+2.78*('Cálculos'!$F$200+(($C203)-$A$177:$A$222)*'Cálculos'!$F$98)/(('Cálculos'!$F$200+(($C203)-$A$177:$A$222)*'Cálculos'!$F$98)+1400)+'Cálculos'!$F$122)*'Cálculos'!$F$275+'Cálculos'!$F$125*(1+2.78*('Cálculos'!$F$200+(($C203)-$A$177:$A$222)*'Cálculos'!$F$98)/(('Cálculos'!$F$200+(($C203)-$A$177:$A$222)*'Cálculos'!$F$98)+1400)+'Cálculos'!$F$123)*'Cálculos'!$F$280)+('Cálculos'!$F$201*(1+'Cálculos'!$F$202+$A$177:$A$222*('Cálculos'!$F$290=2)*'Cálculos'!$F$101)+'Cálculos'!$F$203)*('Cálculos'!$F$271+'Cálculos'!$F$124*(1+2.78*('Cálculos'!$F$200+(($C203)-$A$177:$A$222)*'Cálculos'!$F$98)/(('Cálculos'!$F$200+(($C203)-$A$177:$A$222)*'Cálculos'!$F$98)+1400)+'Cálculos'!$F$122)*'Cálculos'!$F$276+'Cálculos'!$F$125*(1+2.78*('Cálculos'!$F$200+(($C203)-$A$177:$A$222)*'Cálculos'!$F$98)/(('Cálculos'!$F$200+(($C203)-$A$177:$A$222)*'Cálculos'!$F$98)+1400)+'Cálculos'!$F$123)*'Cálculos'!$F$281)+('Cálculos'!$F$204*(1+'Cálculos'!$F$205+$A$177:$A$222*('Cálculos'!$F$290=3)*'Cálculos'!$F$103)+'Cálculos'!$F$206)*('Cálculos'!$F$272+'Cálculos'!$F$124*(1+2.78*('Cálculos'!$F$200+(($C203)-$A$177:$A$222)*'Cálculos'!$F$98)/(('Cálculos'!$F$200+(($C203)-$A$177:$A$222)*'Cálculos'!$F$98)+1400)+'Cálculos'!$F$122)*'Cálculos'!$F$277+'Cálculos'!$F$125*(1+2.78*('Cálculos'!$F$200+(($C203)-$A$177:$A$222)*'Cálculos'!$F$98)/(('Cálculos'!$F$200+(($C203)-$A$177:$A$222)*'Cálculos'!$F$98)+1400)+'Cálculos'!$F$123)*'Cálculos'!$F$282)))))</f>
        <v>0</v>
      </c>
      <c r="E203" s="32">
        <f>IF(OR($C203&lt;0,'Cálculos'!$F$6=""),0,$B203*$D203)</f>
        <v>0</v>
      </c>
      <c r="F203" s="2"/>
      <c r="G203" s="30">
        <f>($A203&lt;=$B$224)*($A203&lt;='Cálculos'!$F$294)*(($B$224)-$A203&lt;='Cálculos'!$F$295)*(1+MIN(('Cálculos'!$F$207+$A203*'Cálculos'!$F$95),1)*('Cálculos'!$F$208+(($B$224)-$A203)*'Cálculos'!$F$96))</f>
        <v>0</v>
      </c>
      <c r="H203" s="31">
        <f>IF($B$225&lt;0,0,($A203&lt;=$B$225)*($A203&lt;='Cálculos'!$F$301)*(($B$225)-$A203&lt;='Cálculos'!$F$297)*(('Cálculos'!$F$185*(1+'Cálculos'!$F$186+$A203*('Cálculos'!$F$290=1)*'Cálculos'!$F$97+'Cálculos'!$F$305)+'Cálculos'!$F$191)*('Cálculos'!$F$209+'Cálculos'!$F$124*(1+2.78*('Cálculos'!$F$196+(($B$225)-$A203)*'Cálculos'!$F$98)/(('Cálculos'!$F$196+(($B$225)-$A203)*'Cálculos'!$F$98)+1400)+'Cálculos'!$F$122)*'Cálculos'!$F$214+'Cálculos'!$F$125*(1+2.78*('Cálculos'!$F$196+(($B$225)-$A203)*'Cálculos'!$F$98)/(('Cálculos'!$F$196+(($B$225)-$A203)*'Cálculos'!$F$98)+1400)+'Cálculos'!$F$123)*'Cálculos'!$F$219)+('Cálculos'!$F$196+(($B$225)-$A203)*'Cálculos'!$F$98)*('Cálculos'!$F$210+'Cálculos'!$F$124*(1+2.78*('Cálculos'!$F$196+(($B$225)-$A203)*'Cálculos'!$F$98)/(('Cálculos'!$F$196+(($B$225)-$A203)*'Cálculos'!$F$98)+1400)+'Cálculos'!$F$122)*'Cálculos'!$F$215+'Cálculos'!$F$125*(1+2.78*('Cálculos'!$F$196+(($B$225)-$A203)*'Cálculos'!$F$98)/(('Cálculos'!$F$196+(($B$225)-$A203)*'Cálculos'!$F$98)+1400)+'Cálculos'!$F$123)*'Cálculos'!$F$220)+('Cálculos'!$F$201*(1+'Cálculos'!$F$202+$A203*('Cálculos'!$F$290=2)*'Cálculos'!$F$101)+'Cálculos'!$F$203)*('Cálculos'!$F$211+'Cálculos'!$F$124*(1+2.78*('Cálculos'!$F$196+(($B$225)-$A203)*'Cálculos'!$F$98)/(('Cálculos'!$F$196+(($B$225)-$A203)*'Cálculos'!$F$98)+1400)+'Cálculos'!$F$122)*'Cálculos'!$F$216+'Cálculos'!$F$125*(1+2.78*('Cálculos'!$F$196+(($B$225)-$A203)*'Cálculos'!$F$98)/(('Cálculos'!$F$196+(($B$225)-$A203)*'Cálculos'!$F$98)+1400)+'Cálculos'!$F$123)*'Cálculos'!$F$221)+('Cálculos'!$F$204*(1+'Cálculos'!$F$205+$A203*('Cálculos'!$F$290=3)*'Cálculos'!$F$103)+'Cálculos'!$F$206)*('Cálculos'!$F$212+'Cálculos'!$F$124*(1+2.78*('Cálculos'!$F$196+(($B$225)-$A203)*'Cálculos'!$F$98)/(('Cálculos'!$F$196+(($B$225)-$A203)*'Cálculos'!$F$98)+1400)+'Cálculos'!$F$122)*'Cálculos'!$F$217+'Cálculos'!$F$125*(1+2.78*('Cálculos'!$F$196+(($B$225)-$A203)*'Cálculos'!$F$98)/(('Cálculos'!$F$196+(($B$225)-$A203)*'Cálculos'!$F$98)+1400)+'Cálculos'!$F$123)*'Cálculos'!$F$222)+('Cálculos'!$F$185*(1+'Cálculos'!$F$187+$A203*('Cálculos'!$F$290=1)*'Cálculos'!$F$97+'Cálculos'!$F$305)+'Cálculos'!$F$192)*('Cálculos'!$F$224+'Cálculos'!$F$124*(1+2.78*('Cálculos'!$F$197+(($B$225)-$A203)*'Cálculos'!$F$98)/(('Cálculos'!$F$197+(($B$225)-$A203)*'Cálculos'!$F$98)+1400)+'Cálculos'!$F$122)*'Cálculos'!$F$229+'Cálculos'!$F$125*(1+2.78*('Cálculos'!$F$197+(($B$225)-$A203)*'Cálculos'!$F$98)/(('Cálculos'!$F$197+(($B$225)-$A203)*'Cálculos'!$F$98)+1400)+'Cálculos'!$F$123)*'Cálculos'!$F$234)+('Cálculos'!$F$197+(($B$225)-$A203)*'Cálculos'!$F$98)*('Cálculos'!$F$225+'Cálculos'!$F$124*(1+2.78*('Cálculos'!$F$197+(($B$225)-$A203)*'Cálculos'!$F$98)/(('Cálculos'!$F$197+(($B$225)-$A203)*'Cálculos'!$F$98)+1400)+'Cálculos'!$F$122)*'Cálculos'!$F$230+'Cálculos'!$F$125*(1+2.78*('Cálculos'!$F$197+(($B$225)-$A203)*'Cálculos'!$F$98)/(('Cálculos'!$F$197+(($B$225)-$A203)*'Cálculos'!$F$98)+1400)+'Cálculos'!$F$123)*'Cálculos'!$F$235)+('Cálculos'!$F$201*(1+'Cálculos'!$F$202+$A203*('Cálculos'!$F$290=2)*'Cálculos'!$F$101)+'Cálculos'!$F$203)*('Cálculos'!$F$226+'Cálculos'!$F$124*(1+2.78*('Cálculos'!$F$197+(($B$225)-$A203)*'Cálculos'!$F$98)/(('Cálculos'!$F$197+(($B$225)-$A203)*'Cálculos'!$F$98)+1400)+'Cálculos'!$F$122)*'Cálculos'!$F$231+'Cálculos'!$F$125*(1+2.78*('Cálculos'!$F$197+(($B$225)-$A203)*'Cálculos'!$F$98)/(('Cálculos'!$F$197+(($B$225)-$A203)*'Cálculos'!$F$98)+1400)+'Cálculos'!$F$123)*'Cálculos'!$F$236)+('Cálculos'!$F$204*(1+'Cálculos'!$F$205+$A203*('Cálculos'!$F$290=3)*'Cálculos'!$F$103)+'Cálculos'!$F$206)*('Cálculos'!$F$227+'Cálculos'!$F$124*(1+2.78*('Cálculos'!$F$197+(($B$225)-$A203)*'Cálculos'!$F$98)/(('Cálculos'!$F$197+(($B$225)-$A203)*'Cálculos'!$F$98)+1400)+'Cálculos'!$F$122)*'Cálculos'!$F$232+'Cálculos'!$F$125*(1+2.78*('Cálculos'!$F$197+(($B$225)-$A203)*'Cálculos'!$F$98)/(('Cálculos'!$F$197+(($B$225)-$A203)*'Cálculos'!$F$98)+1400)+'Cálculos'!$F$123)*'Cálculos'!$F$237)+('Cálculos'!$F$185*(1+'Cálculos'!$F$188+$A203*('Cálculos'!$F$290=1)*'Cálculos'!$F$97+'Cálculos'!$F$305)+'Cálculos'!$F$193)*('Cálculos'!$F$239+'Cálculos'!$F$124*(1+2.78*('Cálculos'!$F$198+(($B$225)-$A203)*'Cálculos'!$F$98)/(('Cálculos'!$F$198+(($B$225)-$A203)*'Cálculos'!$F$98)+1400)+'Cálculos'!$F$122)*'Cálculos'!$F$244+'Cálculos'!$F$125*(1+2.78*('Cálculos'!$F$198+(($B$225)-$A203)*'Cálculos'!$F$98)/(('Cálculos'!$F$198+(($B$225)-$A203)*'Cálculos'!$F$98)+1400)+'Cálculos'!$F$123)*'Cálculos'!$F$249)+('Cálculos'!$F$198+(($B$225)-$A203)*'Cálculos'!$F$98)*('Cálculos'!$F$240+'Cálculos'!$F$124*(1+2.78*('Cálculos'!$F$198+(($B$225)-$A203)*'Cálculos'!$F$98)/(('Cálculos'!$F$198+(($B$225)-$A203)*'Cálculos'!$F$98)+1400)+'Cálculos'!$F$122)*'Cálculos'!$F$245+'Cálculos'!$F$125*(1+2.78*('Cálculos'!$F$198+(($B$225)-$A203)*'Cálculos'!$F$98)/(('Cálculos'!$F$198+(($B$225)-$A203)*'Cálculos'!$F$98)+1400)+'Cálculos'!$F$123)*'Cálculos'!$F$250)+('Cálculos'!$F$201*(1+'Cálculos'!$F$202+$A203*('Cálculos'!$F$290=2)*'Cálculos'!$F$101)+'Cálculos'!$F$203)*('Cálculos'!$F$241+'Cálculos'!$F$124*(1+2.78*('Cálculos'!$F$198+(($B$225)-$A203)*'Cálculos'!$F$98)/(('Cálculos'!$F$198+(($B$225)-$A203)*'Cálculos'!$F$98)+1400)+'Cálculos'!$F$122)*'Cálculos'!$F$246+'Cálculos'!$F$125*(1+2.78*('Cálculos'!$F$198+(($B$225)-$A203)*'Cálculos'!$F$98)/(('Cálculos'!$F$198+(($B$225)-$A203)*'Cálculos'!$F$98)+1400)+'Cálculos'!$F$123)*'Cálculos'!$F$251)+('Cálculos'!$F$204*(1+'Cálculos'!$F$205+$A203*('Cálculos'!$F$290=3)*'Cálculos'!$F$103)+'Cálculos'!$F$206)*('Cálculos'!$F$242+'Cálculos'!$F$124*(1+2.78*('Cálculos'!$F$198+(($B$225)-$A203)*'Cálculos'!$F$98)/(('Cálculos'!$F$198+(($B$225)-$A203)*'Cálculos'!$F$98)+1400)+'Cálculos'!$F$122)*'Cálculos'!$F$247+'Cálculos'!$F$125*(1+2.78*('Cálculos'!$F$198+(($B$225)-$A203)*'Cálculos'!$F$98)/(('Cálculos'!$F$198+(($B$225)-$A203)*'Cálculos'!$F$98)+1400)+'Cálculos'!$F$123)*'Cálculos'!$F$252)+('Cálculos'!$F$185*(1+'Cálculos'!$F$189+$A203*('Cálculos'!$F$290=1)*'Cálculos'!$F$97+'Cálculos'!$F$305)+'Cálculos'!$F$194)*('Cálculos'!$F$254+'Cálculos'!$F$124*(1+2.78*('Cálculos'!$F$199+(($B$225)-$A203)*'Cálculos'!$F$98)/(('Cálculos'!$F$199+(($B$225)-$A203)*'Cálculos'!$F$98)+1400)+'Cálculos'!$F$122)*'Cálculos'!$F$259+'Cálculos'!$F$125*(1+2.78*('Cálculos'!$F$199+(($B$225)-$A203)*'Cálculos'!$F$98)/(('Cálculos'!$F$199+(($B$225)-$A203)*'Cálculos'!$F$98)+1400)+'Cálculos'!$F$123)*'Cálculos'!$F$264)+('Cálculos'!$F$199+(($B$225)-$A203)*'Cálculos'!$F$98)*('Cálculos'!$F$255+'Cálculos'!$F$124*(1+2.78*('Cálculos'!$F$199+(($B$225)-$A203)*'Cálculos'!$F$98)/(('Cálculos'!$F$199+(($B$225)-$A203)*'Cálculos'!$F$98)+1400)+'Cálculos'!$F$122)*'Cálculos'!$F$260+'Cálculos'!$F$125*(1+2.78*('Cálculos'!$F$199+(($B$225)-$A203)*'Cálculos'!$F$98)/(('Cálculos'!$F$199+(($B$225)-$A203)*'Cálculos'!$F$98)+1400)+'Cálculos'!$F$123)*'Cálculos'!$F$265)+('Cálculos'!$F$201*(1+'Cálculos'!$F$202+$A203*('Cálculos'!$F$290=2)*'Cálculos'!$F$101)+'Cálculos'!$F$203)*('Cálculos'!$F$256+'Cálculos'!$F$124*(1+2.78*('Cálculos'!$F$199+(($B$225)-$A203)*'Cálculos'!$F$98)/(('Cálculos'!$F$199+(($B$225)-$A203)*'Cálculos'!$F$98)+1400)+'Cálculos'!$F$122)*'Cálculos'!$F$261+'Cálculos'!$F$125*(1+2.78*('Cálculos'!$F$199+(($B$225)-$A203)*'Cálculos'!$F$98)/(('Cálculos'!$F$199+(($B$225)-$A203)*'Cálculos'!$F$98)+1400)+'Cálculos'!$F$123)*'Cálculos'!$F$266)+('Cálculos'!$F$204*(1+'Cálculos'!$F$205+$A203*('Cálculos'!$F$290=3)*'Cálculos'!$F$103)+'Cálculos'!$F$206)*('Cálculos'!$F$257+'Cálculos'!$F$124*(1+2.78*('Cálculos'!$F$199+(($B$225)-$A203)*'Cálculos'!$F$98)/(('Cálculos'!$F$199+(($B$225)-$A203)*'Cálculos'!$F$98)+1400)+'Cálculos'!$F$122)*'Cálculos'!$F$262+'Cálculos'!$F$125*(1+2.78*('Cálculos'!$F$199+(($B$225)-$A203)*'Cálculos'!$F$98)/(('Cálculos'!$F$199+(($B$225)-$A203)*'Cálculos'!$F$98)+1400)+'Cálculos'!$F$123)*'Cálculos'!$F$267)+('Cálculos'!$F$185*(1+'Cálculos'!$F$190+$A203*('Cálculos'!$F$290=1)*'Cálculos'!$F$97+'Cálculos'!$F$305)+'Cálculos'!$F$195)*('Cálculos'!$F$269+'Cálculos'!$F$124*(1+2.78*('Cálculos'!$F$200+(($B$225)-$A203)*'Cálculos'!$F$98)/(('Cálculos'!$F$200+(($B$225)-$A203)*'Cálculos'!$F$98)+1400)+'Cálculos'!$F$122)*'Cálculos'!$F$274+'Cálculos'!$F$125*(1+2.78*('Cálculos'!$F$200+(($B$225)-$A203)*'Cálculos'!$F$98)/(('Cálculos'!$F$200+(($B$225)-$A203)*'Cálculos'!$F$98)+1400)+'Cálculos'!$F$123)*'Cálculos'!$F$279)+('Cálculos'!$F$200+(($B$225)-$A203)*'Cálculos'!$F$98)*('Cálculos'!$F$270+'Cálculos'!$F$124*(1+2.78*('Cálculos'!$F$200+(($B$225)-$A203)*'Cálculos'!$F$98)/(('Cálculos'!$F$200+(($B$225)-$A203)*'Cálculos'!$F$98)+1400)+'Cálculos'!$F$122)*'Cálculos'!$F$275+'Cálculos'!$F$125*(1+2.78*('Cálculos'!$F$200+(($B$225)-$A203)*'Cálculos'!$F$98)/(('Cálculos'!$F$200+(($B$225)-$A203)*'Cálculos'!$F$98)+1400)+'Cálculos'!$F$123)*'Cálculos'!$F$280)+('Cálculos'!$F$201*(1+'Cálculos'!$F$202+$A203*('Cálculos'!$F$290=2)*'Cálculos'!$F$101)+'Cálculos'!$F$203)*('Cálculos'!$F$271+'Cálculos'!$F$124*(1+2.78*('Cálculos'!$F$200+(($B$225)-$A203)*'Cálculos'!$F$98)/(('Cálculos'!$F$200+(($B$225)-$A203)*'Cálculos'!$F$98)+1400)+'Cálculos'!$F$122)*'Cálculos'!$F$276+'Cálculos'!$F$125*(1+2.78*('Cálculos'!$F$200+(($B$225)-$A203)*'Cálculos'!$F$98)/(('Cálculos'!$F$200+(($B$225)-$A203)*'Cálculos'!$F$98)+1400)+'Cálculos'!$F$123)*'Cálculos'!$F$281)+('Cálculos'!$F$204*(1+'Cálculos'!$F$205+$A203*('Cálculos'!$F$290=3)*'Cálculos'!$F$103)+'Cálculos'!$F$206)*('Cálculos'!$F$272+'Cálculos'!$F$124*(1+2.78*('Cálculos'!$F$200+(($B$225)-$A203)*'Cálculos'!$F$98)/(('Cálculos'!$F$200+(($B$225)-$A203)*'Cálculos'!$F$98)+1400)+'Cálculos'!$F$122)*'Cálculos'!$F$277+'Cálculos'!$F$125*(1+2.78*('Cálculos'!$F$200+(($B$225)-$A203)*'Cálculos'!$F$98)/(('Cálculos'!$F$200+(($B$225)-$A203)*'Cálculos'!$F$98)+1400)+'Cálculos'!$F$123)*'Cálculos'!$F$282)))</f>
        <v>0</v>
      </c>
    </row>
    <row r="204" ht="15.75" customHeight="1">
      <c r="A204" s="2">
        <v>27.0</v>
      </c>
      <c r="B204" s="30">
        <f>SUMPRODUCT(MAX(($A$177:$A$222&lt;=$A204)*($A$177:$A$222&lt;='Cálculos'!$F$294)*(($A204)-$A$177:$A$222&lt;='Cálculos'!$F$295)*(1+(('Cálculos'!$F$207+$A$177:$A$222*'Cálculos'!$F$95)-(('Cálculos'!$F$207+$A$177:$A$222*'Cálculos'!$F$95)&gt;1)*(('Cálculos'!$F$207+$A$177:$A$222*'Cálculos'!$F$95)-1))*('Cálculos'!$F$208+(($A204)-$A$177:$A$222)*'Cálculos'!$F$96))))</f>
        <v>2.909804</v>
      </c>
      <c r="C204" s="2">
        <f>'Cálculos'!$F$303-$A204</f>
        <v>-9</v>
      </c>
      <c r="D204" s="31">
        <f>IF($C204&lt;0,0,SUMPRODUCT(MAX(($A$177:$A$222&lt;=$C204)*($A$177:$A$222&lt;='Cálculos'!$F$301)*(($C204)-$A$177:$A$222&lt;='Cálculos'!$F$297)*(('Cálculos'!$F$185*(1+'Cálculos'!$F$186+$A$177:$A$222*('Cálculos'!$F$290=1)*'Cálculos'!$F$97+'Cálculos'!$F$305)+'Cálculos'!$F$191)*('Cálculos'!$F$209+'Cálculos'!$F$124*(1+2.78*('Cálculos'!$F$196+(($C204)-$A$177:$A$222)*'Cálculos'!$F$98)/(('Cálculos'!$F$196+(($C204)-$A$177:$A$222)*'Cálculos'!$F$98)+1400)+'Cálculos'!$F$122)*'Cálculos'!$F$214+'Cálculos'!$F$125*(1+2.78*('Cálculos'!$F$196+(($C204)-$A$177:$A$222)*'Cálculos'!$F$98)/(('Cálculos'!$F$196+(($C204)-$A$177:$A$222)*'Cálculos'!$F$98)+1400)+'Cálculos'!$F$123)*'Cálculos'!$F$219)+('Cálculos'!$F$196+(($C204)-$A$177:$A$222)*'Cálculos'!$F$98)*('Cálculos'!$F$210+'Cálculos'!$F$124*(1+2.78*('Cálculos'!$F$196+(($C204)-$A$177:$A$222)*'Cálculos'!$F$98)/(('Cálculos'!$F$196+(($C204)-$A$177:$A$222)*'Cálculos'!$F$98)+1400)+'Cálculos'!$F$122)*'Cálculos'!$F$215+'Cálculos'!$F$125*(1+2.78*('Cálculos'!$F$196+(($C204)-$A$177:$A$222)*'Cálculos'!$F$98)/(('Cálculos'!$F$196+(($C204)-$A$177:$A$222)*'Cálculos'!$F$98)+1400)+'Cálculos'!$F$123)*'Cálculos'!$F$220)+('Cálculos'!$F$201*(1+'Cálculos'!$F$202+$A$177:$A$222*('Cálculos'!$F$290=2)*'Cálculos'!$F$101)+'Cálculos'!$F$203)*('Cálculos'!$F$211+'Cálculos'!$F$124*(1+2.78*('Cálculos'!$F$196+(($C204)-$A$177:$A$222)*'Cálculos'!$F$98)/(('Cálculos'!$F$196+(($C204)-$A$177:$A$222)*'Cálculos'!$F$98)+1400)+'Cálculos'!$F$122)*'Cálculos'!$F$216+'Cálculos'!$F$125*(1+2.78*('Cálculos'!$F$196+(($C204)-$A$177:$A$222)*'Cálculos'!$F$98)/(('Cálculos'!$F$196+(($C204)-$A$177:$A$222)*'Cálculos'!$F$98)+1400)+'Cálculos'!$F$123)*'Cálculos'!$F$221)+('Cálculos'!$F$204*(1+'Cálculos'!$F$205+$A$177:$A$222*('Cálculos'!$F$290=3)*'Cálculos'!$F$103)+'Cálculos'!$F$206)*('Cálculos'!$F$212+'Cálculos'!$F$124*(1+2.78*('Cálculos'!$F$196+(($C204)-$A$177:$A$222)*'Cálculos'!$F$98)/(('Cálculos'!$F$196+(($C204)-$A$177:$A$222)*'Cálculos'!$F$98)+1400)+'Cálculos'!$F$122)*'Cálculos'!$F$217+'Cálculos'!$F$125*(1+2.78*('Cálculos'!$F$196+(($C204)-$A$177:$A$222)*'Cálculos'!$F$98)/(('Cálculos'!$F$196+(($C204)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204)-$A$177:$A$222)*'Cálculos'!$F$98)/(('Cálculos'!$F$197+(($C204)-$A$177:$A$222)*'Cálculos'!$F$98)+1400)+'Cálculos'!$F$122)*'Cálculos'!$F$229+'Cálculos'!$F$125*(1+2.78*('Cálculos'!$F$197+(($C204)-$A$177:$A$222)*'Cálculos'!$F$98)/(('Cálculos'!$F$197+(($C204)-$A$177:$A$222)*'Cálculos'!$F$98)+1400)+'Cálculos'!$F$123)*'Cálculos'!$F$234)+('Cálculos'!$F$197+(($C204)-$A$177:$A$222)*'Cálculos'!$F$98)*('Cálculos'!$F$225+'Cálculos'!$F$124*(1+2.78*('Cálculos'!$F$197+(($C204)-$A$177:$A$222)*'Cálculos'!$F$98)/(('Cálculos'!$F$197+(($C204)-$A$177:$A$222)*'Cálculos'!$F$98)+1400)+'Cálculos'!$F$122)*'Cálculos'!$F$230+'Cálculos'!$F$125*(1+2.78*('Cálculos'!$F$197+(($C204)-$A$177:$A$222)*'Cálculos'!$F$98)/(('Cálculos'!$F$197+(($C204)-$A$177:$A$222)*'Cálculos'!$F$98)+1400)+'Cálculos'!$F$123)*'Cálculos'!$F$235)+('Cálculos'!$F$201*(1+'Cálculos'!$F$202+$A$177:$A$222*('Cálculos'!$F$290=2)*'Cálculos'!$F$101)+'Cálculos'!$F$203)*('Cálculos'!$F$226+'Cálculos'!$F$124*(1+2.78*('Cálculos'!$F$197+(($C204)-$A$177:$A$222)*'Cálculos'!$F$98)/(('Cálculos'!$F$197+(($C204)-$A$177:$A$222)*'Cálculos'!$F$98)+1400)+'Cálculos'!$F$122)*'Cálculos'!$F$231+'Cálculos'!$F$125*(1+2.78*('Cálculos'!$F$197+(($C204)-$A$177:$A$222)*'Cálculos'!$F$98)/(('Cálculos'!$F$197+(($C204)-$A$177:$A$222)*'Cálculos'!$F$98)+1400)+'Cálculos'!$F$123)*'Cálculos'!$F$236)+('Cálculos'!$F$204*(1+'Cálculos'!$F$205+$A$177:$A$222*('Cálculos'!$F$290=3)*'Cálculos'!$F$103)+'Cálculos'!$F$206)*('Cálculos'!$F$227+'Cálculos'!$F$124*(1+2.78*('Cálculos'!$F$197+(($C204)-$A$177:$A$222)*'Cálculos'!$F$98)/(('Cálculos'!$F$197+(($C204)-$A$177:$A$222)*'Cálculos'!$F$98)+1400)+'Cálculos'!$F$122)*'Cálculos'!$F$232+'Cálculos'!$F$125*(1+2.78*('Cálculos'!$F$197+(($C204)-$A$177:$A$222)*'Cálculos'!$F$98)/(('Cálculos'!$F$197+(($C204)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204)-$A$177:$A$222)*'Cálculos'!$F$98)/(('Cálculos'!$F$198+(($C204)-$A$177:$A$222)*'Cálculos'!$F$98)+1400)+'Cálculos'!$F$122)*'Cálculos'!$F$244+'Cálculos'!$F$125*(1+2.78*('Cálculos'!$F$198+(($C204)-$A$177:$A$222)*'Cálculos'!$F$98)/(('Cálculos'!$F$198+(($C204)-$A$177:$A$222)*'Cálculos'!$F$98)+1400)+'Cálculos'!$F$123)*'Cálculos'!$F$249)+('Cálculos'!$F$198+(($C204)-$A$177:$A$222)*'Cálculos'!$F$98)*('Cálculos'!$F$240+'Cálculos'!$F$124*(1+2.78*('Cálculos'!$F$198+(($C204)-$A$177:$A$222)*'Cálculos'!$F$98)/(('Cálculos'!$F$198+(($C204)-$A$177:$A$222)*'Cálculos'!$F$98)+1400)+'Cálculos'!$F$122)*'Cálculos'!$F$245+'Cálculos'!$F$125*(1+2.78*('Cálculos'!$F$198+(($C204)-$A$177:$A$222)*'Cálculos'!$F$98)/(('Cálculos'!$F$198+(($C204)-$A$177:$A$222)*'Cálculos'!$F$98)+1400)+'Cálculos'!$F$123)*'Cálculos'!$F$250)+('Cálculos'!$F$201*(1+'Cálculos'!$F$202+$A$177:$A$222*('Cálculos'!$F$290=2)*'Cálculos'!$F$101)+'Cálculos'!$F$203)*('Cálculos'!$F$241+'Cálculos'!$F$124*(1+2.78*('Cálculos'!$F$198+(($C204)-$A$177:$A$222)*'Cálculos'!$F$98)/(('Cálculos'!$F$198+(($C204)-$A$177:$A$222)*'Cálculos'!$F$98)+1400)+'Cálculos'!$F$122)*'Cálculos'!$F$246+'Cálculos'!$F$125*(1+2.78*('Cálculos'!$F$198+(($C204)-$A$177:$A$222)*'Cálculos'!$F$98)/(('Cálculos'!$F$198+(($C204)-$A$177:$A$222)*'Cálculos'!$F$98)+1400)+'Cálculos'!$F$123)*'Cálculos'!$F$251)+('Cálculos'!$F$204*(1+'Cálculos'!$F$205+$A$177:$A$222*('Cálculos'!$F$290=3)*'Cálculos'!$F$103)+'Cálculos'!$F$206)*('Cálculos'!$F$242+'Cálculos'!$F$124*(1+2.78*('Cálculos'!$F$198+(($C204)-$A$177:$A$222)*'Cálculos'!$F$98)/(('Cálculos'!$F$198+(($C204)-$A$177:$A$222)*'Cálculos'!$F$98)+1400)+'Cálculos'!$F$122)*'Cálculos'!$F$247+'Cálculos'!$F$125*(1+2.78*('Cálculos'!$F$198+(($C204)-$A$177:$A$222)*'Cálculos'!$F$98)/(('Cálculos'!$F$198+(($C204)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204)-$A$177:$A$222)*'Cálculos'!$F$98)/(('Cálculos'!$F$199+(($C204)-$A$177:$A$222)*'Cálculos'!$F$98)+1400)+'Cálculos'!$F$122)*'Cálculos'!$F$259+'Cálculos'!$F$125*(1+2.78*('Cálculos'!$F$199+(($C204)-$A$177:$A$222)*'Cálculos'!$F$98)/(('Cálculos'!$F$199+(($C204)-$A$177:$A$222)*'Cálculos'!$F$98)+1400)+'Cálculos'!$F$123)*'Cálculos'!$F$264)+('Cálculos'!$F$199+(($C204)-$A$177:$A$222)*'Cálculos'!$F$98)*('Cálculos'!$F$255+'Cálculos'!$F$124*(1+2.78*('Cálculos'!$F$199+(($C204)-$A$177:$A$222)*'Cálculos'!$F$98)/(('Cálculos'!$F$199+(($C204)-$A$177:$A$222)*'Cálculos'!$F$98)+1400)+'Cálculos'!$F$122)*'Cálculos'!$F$260+'Cálculos'!$F$125*(1+2.78*('Cálculos'!$F$199+(($C204)-$A$177:$A$222)*'Cálculos'!$F$98)/(('Cálculos'!$F$199+(($C204)-$A$177:$A$222)*'Cálculos'!$F$98)+1400)+'Cálculos'!$F$123)*'Cálculos'!$F$265)+('Cálculos'!$F$201*(1+'Cálculos'!$F$202+$A$177:$A$222*('Cálculos'!$F$290=2)*'Cálculos'!$F$101)+'Cálculos'!$F$203)*('Cálculos'!$F$256+'Cálculos'!$F$124*(1+2.78*('Cálculos'!$F$199+(($C204)-$A$177:$A$222)*'Cálculos'!$F$98)/(('Cálculos'!$F$199+(($C204)-$A$177:$A$222)*'Cálculos'!$F$98)+1400)+'Cálculos'!$F$122)*'Cálculos'!$F$261+'Cálculos'!$F$125*(1+2.78*('Cálculos'!$F$199+(($C204)-$A$177:$A$222)*'Cálculos'!$F$98)/(('Cálculos'!$F$199+(($C204)-$A$177:$A$222)*'Cálculos'!$F$98)+1400)+'Cálculos'!$F$123)*'Cálculos'!$F$266)+('Cálculos'!$F$204*(1+'Cálculos'!$F$205+$A$177:$A$222*('Cálculos'!$F$290=3)*'Cálculos'!$F$103)+'Cálculos'!$F$206)*('Cálculos'!$F$257+'Cálculos'!$F$124*(1+2.78*('Cálculos'!$F$199+(($C204)-$A$177:$A$222)*'Cálculos'!$F$98)/(('Cálculos'!$F$199+(($C204)-$A$177:$A$222)*'Cálculos'!$F$98)+1400)+'Cálculos'!$F$122)*'Cálculos'!$F$262+'Cálculos'!$F$125*(1+2.78*('Cálculos'!$F$199+(($C204)-$A$177:$A$222)*'Cálculos'!$F$98)/(('Cálculos'!$F$199+(($C204)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204)-$A$177:$A$222)*'Cálculos'!$F$98)/(('Cálculos'!$F$200+(($C204)-$A$177:$A$222)*'Cálculos'!$F$98)+1400)+'Cálculos'!$F$122)*'Cálculos'!$F$274+'Cálculos'!$F$125*(1+2.78*('Cálculos'!$F$200+(($C204)-$A$177:$A$222)*'Cálculos'!$F$98)/(('Cálculos'!$F$200+(($C204)-$A$177:$A$222)*'Cálculos'!$F$98)+1400)+'Cálculos'!$F$123)*'Cálculos'!$F$279)+('Cálculos'!$F$200+(($C204)-$A$177:$A$222)*'Cálculos'!$F$98)*('Cálculos'!$F$270+'Cálculos'!$F$124*(1+2.78*('Cálculos'!$F$200+(($C204)-$A$177:$A$222)*'Cálculos'!$F$98)/(('Cálculos'!$F$200+(($C204)-$A$177:$A$222)*'Cálculos'!$F$98)+1400)+'Cálculos'!$F$122)*'Cálculos'!$F$275+'Cálculos'!$F$125*(1+2.78*('Cálculos'!$F$200+(($C204)-$A$177:$A$222)*'Cálculos'!$F$98)/(('Cálculos'!$F$200+(($C204)-$A$177:$A$222)*'Cálculos'!$F$98)+1400)+'Cálculos'!$F$123)*'Cálculos'!$F$280)+('Cálculos'!$F$201*(1+'Cálculos'!$F$202+$A$177:$A$222*('Cálculos'!$F$290=2)*'Cálculos'!$F$101)+'Cálculos'!$F$203)*('Cálculos'!$F$271+'Cálculos'!$F$124*(1+2.78*('Cálculos'!$F$200+(($C204)-$A$177:$A$222)*'Cálculos'!$F$98)/(('Cálculos'!$F$200+(($C204)-$A$177:$A$222)*'Cálculos'!$F$98)+1400)+'Cálculos'!$F$122)*'Cálculos'!$F$276+'Cálculos'!$F$125*(1+2.78*('Cálculos'!$F$200+(($C204)-$A$177:$A$222)*'Cálculos'!$F$98)/(('Cálculos'!$F$200+(($C204)-$A$177:$A$222)*'Cálculos'!$F$98)+1400)+'Cálculos'!$F$123)*'Cálculos'!$F$281)+('Cálculos'!$F$204*(1+'Cálculos'!$F$205+$A$177:$A$222*('Cálculos'!$F$290=3)*'Cálculos'!$F$103)+'Cálculos'!$F$206)*('Cálculos'!$F$272+'Cálculos'!$F$124*(1+2.78*('Cálculos'!$F$200+(($C204)-$A$177:$A$222)*'Cálculos'!$F$98)/(('Cálculos'!$F$200+(($C204)-$A$177:$A$222)*'Cálculos'!$F$98)+1400)+'Cálculos'!$F$122)*'Cálculos'!$F$277+'Cálculos'!$F$125*(1+2.78*('Cálculos'!$F$200+(($C204)-$A$177:$A$222)*'Cálculos'!$F$98)/(('Cálculos'!$F$200+(($C204)-$A$177:$A$222)*'Cálculos'!$F$98)+1400)+'Cálculos'!$F$123)*'Cálculos'!$F$282)))))</f>
        <v>0</v>
      </c>
      <c r="E204" s="32">
        <f>IF(OR($C204&lt;0,'Cálculos'!$F$6=""),0,$B204*$D204)</f>
        <v>0</v>
      </c>
      <c r="F204" s="2"/>
      <c r="G204" s="30">
        <f>($A204&lt;=$B$224)*($A204&lt;='Cálculos'!$F$294)*(($B$224)-$A204&lt;='Cálculos'!$F$295)*(1+MIN(('Cálculos'!$F$207+$A204*'Cálculos'!$F$95),1)*('Cálculos'!$F$208+(($B$224)-$A204)*'Cálculos'!$F$96))</f>
        <v>0</v>
      </c>
      <c r="H204" s="31">
        <f>IF($B$225&lt;0,0,($A204&lt;=$B$225)*($A204&lt;='Cálculos'!$F$301)*(($B$225)-$A204&lt;='Cálculos'!$F$297)*(('Cálculos'!$F$185*(1+'Cálculos'!$F$186+$A204*('Cálculos'!$F$290=1)*'Cálculos'!$F$97+'Cálculos'!$F$305)+'Cálculos'!$F$191)*('Cálculos'!$F$209+'Cálculos'!$F$124*(1+2.78*('Cálculos'!$F$196+(($B$225)-$A204)*'Cálculos'!$F$98)/(('Cálculos'!$F$196+(($B$225)-$A204)*'Cálculos'!$F$98)+1400)+'Cálculos'!$F$122)*'Cálculos'!$F$214+'Cálculos'!$F$125*(1+2.78*('Cálculos'!$F$196+(($B$225)-$A204)*'Cálculos'!$F$98)/(('Cálculos'!$F$196+(($B$225)-$A204)*'Cálculos'!$F$98)+1400)+'Cálculos'!$F$123)*'Cálculos'!$F$219)+('Cálculos'!$F$196+(($B$225)-$A204)*'Cálculos'!$F$98)*('Cálculos'!$F$210+'Cálculos'!$F$124*(1+2.78*('Cálculos'!$F$196+(($B$225)-$A204)*'Cálculos'!$F$98)/(('Cálculos'!$F$196+(($B$225)-$A204)*'Cálculos'!$F$98)+1400)+'Cálculos'!$F$122)*'Cálculos'!$F$215+'Cálculos'!$F$125*(1+2.78*('Cálculos'!$F$196+(($B$225)-$A204)*'Cálculos'!$F$98)/(('Cálculos'!$F$196+(($B$225)-$A204)*'Cálculos'!$F$98)+1400)+'Cálculos'!$F$123)*'Cálculos'!$F$220)+('Cálculos'!$F$201*(1+'Cálculos'!$F$202+$A204*('Cálculos'!$F$290=2)*'Cálculos'!$F$101)+'Cálculos'!$F$203)*('Cálculos'!$F$211+'Cálculos'!$F$124*(1+2.78*('Cálculos'!$F$196+(($B$225)-$A204)*'Cálculos'!$F$98)/(('Cálculos'!$F$196+(($B$225)-$A204)*'Cálculos'!$F$98)+1400)+'Cálculos'!$F$122)*'Cálculos'!$F$216+'Cálculos'!$F$125*(1+2.78*('Cálculos'!$F$196+(($B$225)-$A204)*'Cálculos'!$F$98)/(('Cálculos'!$F$196+(($B$225)-$A204)*'Cálculos'!$F$98)+1400)+'Cálculos'!$F$123)*'Cálculos'!$F$221)+('Cálculos'!$F$204*(1+'Cálculos'!$F$205+$A204*('Cálculos'!$F$290=3)*'Cálculos'!$F$103)+'Cálculos'!$F$206)*('Cálculos'!$F$212+'Cálculos'!$F$124*(1+2.78*('Cálculos'!$F$196+(($B$225)-$A204)*'Cálculos'!$F$98)/(('Cálculos'!$F$196+(($B$225)-$A204)*'Cálculos'!$F$98)+1400)+'Cálculos'!$F$122)*'Cálculos'!$F$217+'Cálculos'!$F$125*(1+2.78*('Cálculos'!$F$196+(($B$225)-$A204)*'Cálculos'!$F$98)/(('Cálculos'!$F$196+(($B$225)-$A204)*'Cálculos'!$F$98)+1400)+'Cálculos'!$F$123)*'Cálculos'!$F$222)+('Cálculos'!$F$185*(1+'Cálculos'!$F$187+$A204*('Cálculos'!$F$290=1)*'Cálculos'!$F$97+'Cálculos'!$F$305)+'Cálculos'!$F$192)*('Cálculos'!$F$224+'Cálculos'!$F$124*(1+2.78*('Cálculos'!$F$197+(($B$225)-$A204)*'Cálculos'!$F$98)/(('Cálculos'!$F$197+(($B$225)-$A204)*'Cálculos'!$F$98)+1400)+'Cálculos'!$F$122)*'Cálculos'!$F$229+'Cálculos'!$F$125*(1+2.78*('Cálculos'!$F$197+(($B$225)-$A204)*'Cálculos'!$F$98)/(('Cálculos'!$F$197+(($B$225)-$A204)*'Cálculos'!$F$98)+1400)+'Cálculos'!$F$123)*'Cálculos'!$F$234)+('Cálculos'!$F$197+(($B$225)-$A204)*'Cálculos'!$F$98)*('Cálculos'!$F$225+'Cálculos'!$F$124*(1+2.78*('Cálculos'!$F$197+(($B$225)-$A204)*'Cálculos'!$F$98)/(('Cálculos'!$F$197+(($B$225)-$A204)*'Cálculos'!$F$98)+1400)+'Cálculos'!$F$122)*'Cálculos'!$F$230+'Cálculos'!$F$125*(1+2.78*('Cálculos'!$F$197+(($B$225)-$A204)*'Cálculos'!$F$98)/(('Cálculos'!$F$197+(($B$225)-$A204)*'Cálculos'!$F$98)+1400)+'Cálculos'!$F$123)*'Cálculos'!$F$235)+('Cálculos'!$F$201*(1+'Cálculos'!$F$202+$A204*('Cálculos'!$F$290=2)*'Cálculos'!$F$101)+'Cálculos'!$F$203)*('Cálculos'!$F$226+'Cálculos'!$F$124*(1+2.78*('Cálculos'!$F$197+(($B$225)-$A204)*'Cálculos'!$F$98)/(('Cálculos'!$F$197+(($B$225)-$A204)*'Cálculos'!$F$98)+1400)+'Cálculos'!$F$122)*'Cálculos'!$F$231+'Cálculos'!$F$125*(1+2.78*('Cálculos'!$F$197+(($B$225)-$A204)*'Cálculos'!$F$98)/(('Cálculos'!$F$197+(($B$225)-$A204)*'Cálculos'!$F$98)+1400)+'Cálculos'!$F$123)*'Cálculos'!$F$236)+('Cálculos'!$F$204*(1+'Cálculos'!$F$205+$A204*('Cálculos'!$F$290=3)*'Cálculos'!$F$103)+'Cálculos'!$F$206)*('Cálculos'!$F$227+'Cálculos'!$F$124*(1+2.78*('Cálculos'!$F$197+(($B$225)-$A204)*'Cálculos'!$F$98)/(('Cálculos'!$F$197+(($B$225)-$A204)*'Cálculos'!$F$98)+1400)+'Cálculos'!$F$122)*'Cálculos'!$F$232+'Cálculos'!$F$125*(1+2.78*('Cálculos'!$F$197+(($B$225)-$A204)*'Cálculos'!$F$98)/(('Cálculos'!$F$197+(($B$225)-$A204)*'Cálculos'!$F$98)+1400)+'Cálculos'!$F$123)*'Cálculos'!$F$237)+('Cálculos'!$F$185*(1+'Cálculos'!$F$188+$A204*('Cálculos'!$F$290=1)*'Cálculos'!$F$97+'Cálculos'!$F$305)+'Cálculos'!$F$193)*('Cálculos'!$F$239+'Cálculos'!$F$124*(1+2.78*('Cálculos'!$F$198+(($B$225)-$A204)*'Cálculos'!$F$98)/(('Cálculos'!$F$198+(($B$225)-$A204)*'Cálculos'!$F$98)+1400)+'Cálculos'!$F$122)*'Cálculos'!$F$244+'Cálculos'!$F$125*(1+2.78*('Cálculos'!$F$198+(($B$225)-$A204)*'Cálculos'!$F$98)/(('Cálculos'!$F$198+(($B$225)-$A204)*'Cálculos'!$F$98)+1400)+'Cálculos'!$F$123)*'Cálculos'!$F$249)+('Cálculos'!$F$198+(($B$225)-$A204)*'Cálculos'!$F$98)*('Cálculos'!$F$240+'Cálculos'!$F$124*(1+2.78*('Cálculos'!$F$198+(($B$225)-$A204)*'Cálculos'!$F$98)/(('Cálculos'!$F$198+(($B$225)-$A204)*'Cálculos'!$F$98)+1400)+'Cálculos'!$F$122)*'Cálculos'!$F$245+'Cálculos'!$F$125*(1+2.78*('Cálculos'!$F$198+(($B$225)-$A204)*'Cálculos'!$F$98)/(('Cálculos'!$F$198+(($B$225)-$A204)*'Cálculos'!$F$98)+1400)+'Cálculos'!$F$123)*'Cálculos'!$F$250)+('Cálculos'!$F$201*(1+'Cálculos'!$F$202+$A204*('Cálculos'!$F$290=2)*'Cálculos'!$F$101)+'Cálculos'!$F$203)*('Cálculos'!$F$241+'Cálculos'!$F$124*(1+2.78*('Cálculos'!$F$198+(($B$225)-$A204)*'Cálculos'!$F$98)/(('Cálculos'!$F$198+(($B$225)-$A204)*'Cálculos'!$F$98)+1400)+'Cálculos'!$F$122)*'Cálculos'!$F$246+'Cálculos'!$F$125*(1+2.78*('Cálculos'!$F$198+(($B$225)-$A204)*'Cálculos'!$F$98)/(('Cálculos'!$F$198+(($B$225)-$A204)*'Cálculos'!$F$98)+1400)+'Cálculos'!$F$123)*'Cálculos'!$F$251)+('Cálculos'!$F$204*(1+'Cálculos'!$F$205+$A204*('Cálculos'!$F$290=3)*'Cálculos'!$F$103)+'Cálculos'!$F$206)*('Cálculos'!$F$242+'Cálculos'!$F$124*(1+2.78*('Cálculos'!$F$198+(($B$225)-$A204)*'Cálculos'!$F$98)/(('Cálculos'!$F$198+(($B$225)-$A204)*'Cálculos'!$F$98)+1400)+'Cálculos'!$F$122)*'Cálculos'!$F$247+'Cálculos'!$F$125*(1+2.78*('Cálculos'!$F$198+(($B$225)-$A204)*'Cálculos'!$F$98)/(('Cálculos'!$F$198+(($B$225)-$A204)*'Cálculos'!$F$98)+1400)+'Cálculos'!$F$123)*'Cálculos'!$F$252)+('Cálculos'!$F$185*(1+'Cálculos'!$F$189+$A204*('Cálculos'!$F$290=1)*'Cálculos'!$F$97+'Cálculos'!$F$305)+'Cálculos'!$F$194)*('Cálculos'!$F$254+'Cálculos'!$F$124*(1+2.78*('Cálculos'!$F$199+(($B$225)-$A204)*'Cálculos'!$F$98)/(('Cálculos'!$F$199+(($B$225)-$A204)*'Cálculos'!$F$98)+1400)+'Cálculos'!$F$122)*'Cálculos'!$F$259+'Cálculos'!$F$125*(1+2.78*('Cálculos'!$F$199+(($B$225)-$A204)*'Cálculos'!$F$98)/(('Cálculos'!$F$199+(($B$225)-$A204)*'Cálculos'!$F$98)+1400)+'Cálculos'!$F$123)*'Cálculos'!$F$264)+('Cálculos'!$F$199+(($B$225)-$A204)*'Cálculos'!$F$98)*('Cálculos'!$F$255+'Cálculos'!$F$124*(1+2.78*('Cálculos'!$F$199+(($B$225)-$A204)*'Cálculos'!$F$98)/(('Cálculos'!$F$199+(($B$225)-$A204)*'Cálculos'!$F$98)+1400)+'Cálculos'!$F$122)*'Cálculos'!$F$260+'Cálculos'!$F$125*(1+2.78*('Cálculos'!$F$199+(($B$225)-$A204)*'Cálculos'!$F$98)/(('Cálculos'!$F$199+(($B$225)-$A204)*'Cálculos'!$F$98)+1400)+'Cálculos'!$F$123)*'Cálculos'!$F$265)+('Cálculos'!$F$201*(1+'Cálculos'!$F$202+$A204*('Cálculos'!$F$290=2)*'Cálculos'!$F$101)+'Cálculos'!$F$203)*('Cálculos'!$F$256+'Cálculos'!$F$124*(1+2.78*('Cálculos'!$F$199+(($B$225)-$A204)*'Cálculos'!$F$98)/(('Cálculos'!$F$199+(($B$225)-$A204)*'Cálculos'!$F$98)+1400)+'Cálculos'!$F$122)*'Cálculos'!$F$261+'Cálculos'!$F$125*(1+2.78*('Cálculos'!$F$199+(($B$225)-$A204)*'Cálculos'!$F$98)/(('Cálculos'!$F$199+(($B$225)-$A204)*'Cálculos'!$F$98)+1400)+'Cálculos'!$F$123)*'Cálculos'!$F$266)+('Cálculos'!$F$204*(1+'Cálculos'!$F$205+$A204*('Cálculos'!$F$290=3)*'Cálculos'!$F$103)+'Cálculos'!$F$206)*('Cálculos'!$F$257+'Cálculos'!$F$124*(1+2.78*('Cálculos'!$F$199+(($B$225)-$A204)*'Cálculos'!$F$98)/(('Cálculos'!$F$199+(($B$225)-$A204)*'Cálculos'!$F$98)+1400)+'Cálculos'!$F$122)*'Cálculos'!$F$262+'Cálculos'!$F$125*(1+2.78*('Cálculos'!$F$199+(($B$225)-$A204)*'Cálculos'!$F$98)/(('Cálculos'!$F$199+(($B$225)-$A204)*'Cálculos'!$F$98)+1400)+'Cálculos'!$F$123)*'Cálculos'!$F$267)+('Cálculos'!$F$185*(1+'Cálculos'!$F$190+$A204*('Cálculos'!$F$290=1)*'Cálculos'!$F$97+'Cálculos'!$F$305)+'Cálculos'!$F$195)*('Cálculos'!$F$269+'Cálculos'!$F$124*(1+2.78*('Cálculos'!$F$200+(($B$225)-$A204)*'Cálculos'!$F$98)/(('Cálculos'!$F$200+(($B$225)-$A204)*'Cálculos'!$F$98)+1400)+'Cálculos'!$F$122)*'Cálculos'!$F$274+'Cálculos'!$F$125*(1+2.78*('Cálculos'!$F$200+(($B$225)-$A204)*'Cálculos'!$F$98)/(('Cálculos'!$F$200+(($B$225)-$A204)*'Cálculos'!$F$98)+1400)+'Cálculos'!$F$123)*'Cálculos'!$F$279)+('Cálculos'!$F$200+(($B$225)-$A204)*'Cálculos'!$F$98)*('Cálculos'!$F$270+'Cálculos'!$F$124*(1+2.78*('Cálculos'!$F$200+(($B$225)-$A204)*'Cálculos'!$F$98)/(('Cálculos'!$F$200+(($B$225)-$A204)*'Cálculos'!$F$98)+1400)+'Cálculos'!$F$122)*'Cálculos'!$F$275+'Cálculos'!$F$125*(1+2.78*('Cálculos'!$F$200+(($B$225)-$A204)*'Cálculos'!$F$98)/(('Cálculos'!$F$200+(($B$225)-$A204)*'Cálculos'!$F$98)+1400)+'Cálculos'!$F$123)*'Cálculos'!$F$280)+('Cálculos'!$F$201*(1+'Cálculos'!$F$202+$A204*('Cálculos'!$F$290=2)*'Cálculos'!$F$101)+'Cálculos'!$F$203)*('Cálculos'!$F$271+'Cálculos'!$F$124*(1+2.78*('Cálculos'!$F$200+(($B$225)-$A204)*'Cálculos'!$F$98)/(('Cálculos'!$F$200+(($B$225)-$A204)*'Cálculos'!$F$98)+1400)+'Cálculos'!$F$122)*'Cálculos'!$F$276+'Cálculos'!$F$125*(1+2.78*('Cálculos'!$F$200+(($B$225)-$A204)*'Cálculos'!$F$98)/(('Cálculos'!$F$200+(($B$225)-$A204)*'Cálculos'!$F$98)+1400)+'Cálculos'!$F$123)*'Cálculos'!$F$281)+('Cálculos'!$F$204*(1+'Cálculos'!$F$205+$A204*('Cálculos'!$F$290=3)*'Cálculos'!$F$103)+'Cálculos'!$F$206)*('Cálculos'!$F$272+'Cálculos'!$F$124*(1+2.78*('Cálculos'!$F$200+(($B$225)-$A204)*'Cálculos'!$F$98)/(('Cálculos'!$F$200+(($B$225)-$A204)*'Cálculos'!$F$98)+1400)+'Cálculos'!$F$122)*'Cálculos'!$F$277+'Cálculos'!$F$125*(1+2.78*('Cálculos'!$F$200+(($B$225)-$A204)*'Cálculos'!$F$98)/(('Cálculos'!$F$200+(($B$225)-$A204)*'Cálculos'!$F$98)+1400)+'Cálculos'!$F$123)*'Cálculos'!$F$282)))</f>
        <v>0</v>
      </c>
    </row>
    <row r="205" ht="15.75" customHeight="1">
      <c r="A205" s="2">
        <v>28.0</v>
      </c>
      <c r="B205" s="30">
        <f>SUMPRODUCT(MAX(($A$177:$A$222&lt;=$A205)*($A$177:$A$222&lt;='Cálculos'!$F$294)*(($A205)-$A$177:$A$222&lt;='Cálculos'!$F$295)*(1+(('Cálculos'!$F$207+$A$177:$A$222*'Cálculos'!$F$95)-(('Cálculos'!$F$207+$A$177:$A$222*'Cálculos'!$F$95)&gt;1)*(('Cálculos'!$F$207+$A$177:$A$222*'Cálculos'!$F$95)-1))*('Cálculos'!$F$208+(($A205)-$A$177:$A$222)*'Cálculos'!$F$96))))</f>
        <v>2.975012</v>
      </c>
      <c r="C205" s="2">
        <f>'Cálculos'!$F$303-$A205</f>
        <v>-10</v>
      </c>
      <c r="D205" s="31">
        <f>IF($C205&lt;0,0,SUMPRODUCT(MAX(($A$177:$A$222&lt;=$C205)*($A$177:$A$222&lt;='Cálculos'!$F$301)*(($C205)-$A$177:$A$222&lt;='Cálculos'!$F$297)*(('Cálculos'!$F$185*(1+'Cálculos'!$F$186+$A$177:$A$222*('Cálculos'!$F$290=1)*'Cálculos'!$F$97+'Cálculos'!$F$305)+'Cálculos'!$F$191)*('Cálculos'!$F$209+'Cálculos'!$F$124*(1+2.78*('Cálculos'!$F$196+(($C205)-$A$177:$A$222)*'Cálculos'!$F$98)/(('Cálculos'!$F$196+(($C205)-$A$177:$A$222)*'Cálculos'!$F$98)+1400)+'Cálculos'!$F$122)*'Cálculos'!$F$214+'Cálculos'!$F$125*(1+2.78*('Cálculos'!$F$196+(($C205)-$A$177:$A$222)*'Cálculos'!$F$98)/(('Cálculos'!$F$196+(($C205)-$A$177:$A$222)*'Cálculos'!$F$98)+1400)+'Cálculos'!$F$123)*'Cálculos'!$F$219)+('Cálculos'!$F$196+(($C205)-$A$177:$A$222)*'Cálculos'!$F$98)*('Cálculos'!$F$210+'Cálculos'!$F$124*(1+2.78*('Cálculos'!$F$196+(($C205)-$A$177:$A$222)*'Cálculos'!$F$98)/(('Cálculos'!$F$196+(($C205)-$A$177:$A$222)*'Cálculos'!$F$98)+1400)+'Cálculos'!$F$122)*'Cálculos'!$F$215+'Cálculos'!$F$125*(1+2.78*('Cálculos'!$F$196+(($C205)-$A$177:$A$222)*'Cálculos'!$F$98)/(('Cálculos'!$F$196+(($C205)-$A$177:$A$222)*'Cálculos'!$F$98)+1400)+'Cálculos'!$F$123)*'Cálculos'!$F$220)+('Cálculos'!$F$201*(1+'Cálculos'!$F$202+$A$177:$A$222*('Cálculos'!$F$290=2)*'Cálculos'!$F$101)+'Cálculos'!$F$203)*('Cálculos'!$F$211+'Cálculos'!$F$124*(1+2.78*('Cálculos'!$F$196+(($C205)-$A$177:$A$222)*'Cálculos'!$F$98)/(('Cálculos'!$F$196+(($C205)-$A$177:$A$222)*'Cálculos'!$F$98)+1400)+'Cálculos'!$F$122)*'Cálculos'!$F$216+'Cálculos'!$F$125*(1+2.78*('Cálculos'!$F$196+(($C205)-$A$177:$A$222)*'Cálculos'!$F$98)/(('Cálculos'!$F$196+(($C205)-$A$177:$A$222)*'Cálculos'!$F$98)+1400)+'Cálculos'!$F$123)*'Cálculos'!$F$221)+('Cálculos'!$F$204*(1+'Cálculos'!$F$205+$A$177:$A$222*('Cálculos'!$F$290=3)*'Cálculos'!$F$103)+'Cálculos'!$F$206)*('Cálculos'!$F$212+'Cálculos'!$F$124*(1+2.78*('Cálculos'!$F$196+(($C205)-$A$177:$A$222)*'Cálculos'!$F$98)/(('Cálculos'!$F$196+(($C205)-$A$177:$A$222)*'Cálculos'!$F$98)+1400)+'Cálculos'!$F$122)*'Cálculos'!$F$217+'Cálculos'!$F$125*(1+2.78*('Cálculos'!$F$196+(($C205)-$A$177:$A$222)*'Cálculos'!$F$98)/(('Cálculos'!$F$196+(($C205)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205)-$A$177:$A$222)*'Cálculos'!$F$98)/(('Cálculos'!$F$197+(($C205)-$A$177:$A$222)*'Cálculos'!$F$98)+1400)+'Cálculos'!$F$122)*'Cálculos'!$F$229+'Cálculos'!$F$125*(1+2.78*('Cálculos'!$F$197+(($C205)-$A$177:$A$222)*'Cálculos'!$F$98)/(('Cálculos'!$F$197+(($C205)-$A$177:$A$222)*'Cálculos'!$F$98)+1400)+'Cálculos'!$F$123)*'Cálculos'!$F$234)+('Cálculos'!$F$197+(($C205)-$A$177:$A$222)*'Cálculos'!$F$98)*('Cálculos'!$F$225+'Cálculos'!$F$124*(1+2.78*('Cálculos'!$F$197+(($C205)-$A$177:$A$222)*'Cálculos'!$F$98)/(('Cálculos'!$F$197+(($C205)-$A$177:$A$222)*'Cálculos'!$F$98)+1400)+'Cálculos'!$F$122)*'Cálculos'!$F$230+'Cálculos'!$F$125*(1+2.78*('Cálculos'!$F$197+(($C205)-$A$177:$A$222)*'Cálculos'!$F$98)/(('Cálculos'!$F$197+(($C205)-$A$177:$A$222)*'Cálculos'!$F$98)+1400)+'Cálculos'!$F$123)*'Cálculos'!$F$235)+('Cálculos'!$F$201*(1+'Cálculos'!$F$202+$A$177:$A$222*('Cálculos'!$F$290=2)*'Cálculos'!$F$101)+'Cálculos'!$F$203)*('Cálculos'!$F$226+'Cálculos'!$F$124*(1+2.78*('Cálculos'!$F$197+(($C205)-$A$177:$A$222)*'Cálculos'!$F$98)/(('Cálculos'!$F$197+(($C205)-$A$177:$A$222)*'Cálculos'!$F$98)+1400)+'Cálculos'!$F$122)*'Cálculos'!$F$231+'Cálculos'!$F$125*(1+2.78*('Cálculos'!$F$197+(($C205)-$A$177:$A$222)*'Cálculos'!$F$98)/(('Cálculos'!$F$197+(($C205)-$A$177:$A$222)*'Cálculos'!$F$98)+1400)+'Cálculos'!$F$123)*'Cálculos'!$F$236)+('Cálculos'!$F$204*(1+'Cálculos'!$F$205+$A$177:$A$222*('Cálculos'!$F$290=3)*'Cálculos'!$F$103)+'Cálculos'!$F$206)*('Cálculos'!$F$227+'Cálculos'!$F$124*(1+2.78*('Cálculos'!$F$197+(($C205)-$A$177:$A$222)*'Cálculos'!$F$98)/(('Cálculos'!$F$197+(($C205)-$A$177:$A$222)*'Cálculos'!$F$98)+1400)+'Cálculos'!$F$122)*'Cálculos'!$F$232+'Cálculos'!$F$125*(1+2.78*('Cálculos'!$F$197+(($C205)-$A$177:$A$222)*'Cálculos'!$F$98)/(('Cálculos'!$F$197+(($C205)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205)-$A$177:$A$222)*'Cálculos'!$F$98)/(('Cálculos'!$F$198+(($C205)-$A$177:$A$222)*'Cálculos'!$F$98)+1400)+'Cálculos'!$F$122)*'Cálculos'!$F$244+'Cálculos'!$F$125*(1+2.78*('Cálculos'!$F$198+(($C205)-$A$177:$A$222)*'Cálculos'!$F$98)/(('Cálculos'!$F$198+(($C205)-$A$177:$A$222)*'Cálculos'!$F$98)+1400)+'Cálculos'!$F$123)*'Cálculos'!$F$249)+('Cálculos'!$F$198+(($C205)-$A$177:$A$222)*'Cálculos'!$F$98)*('Cálculos'!$F$240+'Cálculos'!$F$124*(1+2.78*('Cálculos'!$F$198+(($C205)-$A$177:$A$222)*'Cálculos'!$F$98)/(('Cálculos'!$F$198+(($C205)-$A$177:$A$222)*'Cálculos'!$F$98)+1400)+'Cálculos'!$F$122)*'Cálculos'!$F$245+'Cálculos'!$F$125*(1+2.78*('Cálculos'!$F$198+(($C205)-$A$177:$A$222)*'Cálculos'!$F$98)/(('Cálculos'!$F$198+(($C205)-$A$177:$A$222)*'Cálculos'!$F$98)+1400)+'Cálculos'!$F$123)*'Cálculos'!$F$250)+('Cálculos'!$F$201*(1+'Cálculos'!$F$202+$A$177:$A$222*('Cálculos'!$F$290=2)*'Cálculos'!$F$101)+'Cálculos'!$F$203)*('Cálculos'!$F$241+'Cálculos'!$F$124*(1+2.78*('Cálculos'!$F$198+(($C205)-$A$177:$A$222)*'Cálculos'!$F$98)/(('Cálculos'!$F$198+(($C205)-$A$177:$A$222)*'Cálculos'!$F$98)+1400)+'Cálculos'!$F$122)*'Cálculos'!$F$246+'Cálculos'!$F$125*(1+2.78*('Cálculos'!$F$198+(($C205)-$A$177:$A$222)*'Cálculos'!$F$98)/(('Cálculos'!$F$198+(($C205)-$A$177:$A$222)*'Cálculos'!$F$98)+1400)+'Cálculos'!$F$123)*'Cálculos'!$F$251)+('Cálculos'!$F$204*(1+'Cálculos'!$F$205+$A$177:$A$222*('Cálculos'!$F$290=3)*'Cálculos'!$F$103)+'Cálculos'!$F$206)*('Cálculos'!$F$242+'Cálculos'!$F$124*(1+2.78*('Cálculos'!$F$198+(($C205)-$A$177:$A$222)*'Cálculos'!$F$98)/(('Cálculos'!$F$198+(($C205)-$A$177:$A$222)*'Cálculos'!$F$98)+1400)+'Cálculos'!$F$122)*'Cálculos'!$F$247+'Cálculos'!$F$125*(1+2.78*('Cálculos'!$F$198+(($C205)-$A$177:$A$222)*'Cálculos'!$F$98)/(('Cálculos'!$F$198+(($C205)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205)-$A$177:$A$222)*'Cálculos'!$F$98)/(('Cálculos'!$F$199+(($C205)-$A$177:$A$222)*'Cálculos'!$F$98)+1400)+'Cálculos'!$F$122)*'Cálculos'!$F$259+'Cálculos'!$F$125*(1+2.78*('Cálculos'!$F$199+(($C205)-$A$177:$A$222)*'Cálculos'!$F$98)/(('Cálculos'!$F$199+(($C205)-$A$177:$A$222)*'Cálculos'!$F$98)+1400)+'Cálculos'!$F$123)*'Cálculos'!$F$264)+('Cálculos'!$F$199+(($C205)-$A$177:$A$222)*'Cálculos'!$F$98)*('Cálculos'!$F$255+'Cálculos'!$F$124*(1+2.78*('Cálculos'!$F$199+(($C205)-$A$177:$A$222)*'Cálculos'!$F$98)/(('Cálculos'!$F$199+(($C205)-$A$177:$A$222)*'Cálculos'!$F$98)+1400)+'Cálculos'!$F$122)*'Cálculos'!$F$260+'Cálculos'!$F$125*(1+2.78*('Cálculos'!$F$199+(($C205)-$A$177:$A$222)*'Cálculos'!$F$98)/(('Cálculos'!$F$199+(($C205)-$A$177:$A$222)*'Cálculos'!$F$98)+1400)+'Cálculos'!$F$123)*'Cálculos'!$F$265)+('Cálculos'!$F$201*(1+'Cálculos'!$F$202+$A$177:$A$222*('Cálculos'!$F$290=2)*'Cálculos'!$F$101)+'Cálculos'!$F$203)*('Cálculos'!$F$256+'Cálculos'!$F$124*(1+2.78*('Cálculos'!$F$199+(($C205)-$A$177:$A$222)*'Cálculos'!$F$98)/(('Cálculos'!$F$199+(($C205)-$A$177:$A$222)*'Cálculos'!$F$98)+1400)+'Cálculos'!$F$122)*'Cálculos'!$F$261+'Cálculos'!$F$125*(1+2.78*('Cálculos'!$F$199+(($C205)-$A$177:$A$222)*'Cálculos'!$F$98)/(('Cálculos'!$F$199+(($C205)-$A$177:$A$222)*'Cálculos'!$F$98)+1400)+'Cálculos'!$F$123)*'Cálculos'!$F$266)+('Cálculos'!$F$204*(1+'Cálculos'!$F$205+$A$177:$A$222*('Cálculos'!$F$290=3)*'Cálculos'!$F$103)+'Cálculos'!$F$206)*('Cálculos'!$F$257+'Cálculos'!$F$124*(1+2.78*('Cálculos'!$F$199+(($C205)-$A$177:$A$222)*'Cálculos'!$F$98)/(('Cálculos'!$F$199+(($C205)-$A$177:$A$222)*'Cálculos'!$F$98)+1400)+'Cálculos'!$F$122)*'Cálculos'!$F$262+'Cálculos'!$F$125*(1+2.78*('Cálculos'!$F$199+(($C205)-$A$177:$A$222)*'Cálculos'!$F$98)/(('Cálculos'!$F$199+(($C205)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205)-$A$177:$A$222)*'Cálculos'!$F$98)/(('Cálculos'!$F$200+(($C205)-$A$177:$A$222)*'Cálculos'!$F$98)+1400)+'Cálculos'!$F$122)*'Cálculos'!$F$274+'Cálculos'!$F$125*(1+2.78*('Cálculos'!$F$200+(($C205)-$A$177:$A$222)*'Cálculos'!$F$98)/(('Cálculos'!$F$200+(($C205)-$A$177:$A$222)*'Cálculos'!$F$98)+1400)+'Cálculos'!$F$123)*'Cálculos'!$F$279)+('Cálculos'!$F$200+(($C205)-$A$177:$A$222)*'Cálculos'!$F$98)*('Cálculos'!$F$270+'Cálculos'!$F$124*(1+2.78*('Cálculos'!$F$200+(($C205)-$A$177:$A$222)*'Cálculos'!$F$98)/(('Cálculos'!$F$200+(($C205)-$A$177:$A$222)*'Cálculos'!$F$98)+1400)+'Cálculos'!$F$122)*'Cálculos'!$F$275+'Cálculos'!$F$125*(1+2.78*('Cálculos'!$F$200+(($C205)-$A$177:$A$222)*'Cálculos'!$F$98)/(('Cálculos'!$F$200+(($C205)-$A$177:$A$222)*'Cálculos'!$F$98)+1400)+'Cálculos'!$F$123)*'Cálculos'!$F$280)+('Cálculos'!$F$201*(1+'Cálculos'!$F$202+$A$177:$A$222*('Cálculos'!$F$290=2)*'Cálculos'!$F$101)+'Cálculos'!$F$203)*('Cálculos'!$F$271+'Cálculos'!$F$124*(1+2.78*('Cálculos'!$F$200+(($C205)-$A$177:$A$222)*'Cálculos'!$F$98)/(('Cálculos'!$F$200+(($C205)-$A$177:$A$222)*'Cálculos'!$F$98)+1400)+'Cálculos'!$F$122)*'Cálculos'!$F$276+'Cálculos'!$F$125*(1+2.78*('Cálculos'!$F$200+(($C205)-$A$177:$A$222)*'Cálculos'!$F$98)/(('Cálculos'!$F$200+(($C205)-$A$177:$A$222)*'Cálculos'!$F$98)+1400)+'Cálculos'!$F$123)*'Cálculos'!$F$281)+('Cálculos'!$F$204*(1+'Cálculos'!$F$205+$A$177:$A$222*('Cálculos'!$F$290=3)*'Cálculos'!$F$103)+'Cálculos'!$F$206)*('Cálculos'!$F$272+'Cálculos'!$F$124*(1+2.78*('Cálculos'!$F$200+(($C205)-$A$177:$A$222)*'Cálculos'!$F$98)/(('Cálculos'!$F$200+(($C205)-$A$177:$A$222)*'Cálculos'!$F$98)+1400)+'Cálculos'!$F$122)*'Cálculos'!$F$277+'Cálculos'!$F$125*(1+2.78*('Cálculos'!$F$200+(($C205)-$A$177:$A$222)*'Cálculos'!$F$98)/(('Cálculos'!$F$200+(($C205)-$A$177:$A$222)*'Cálculos'!$F$98)+1400)+'Cálculos'!$F$123)*'Cálculos'!$F$282)))))</f>
        <v>0</v>
      </c>
      <c r="E205" s="32">
        <f>IF(OR($C205&lt;0,'Cálculos'!$F$6=""),0,$B205*$D205)</f>
        <v>0</v>
      </c>
      <c r="F205" s="2"/>
      <c r="G205" s="30">
        <f>($A205&lt;=$B$224)*($A205&lt;='Cálculos'!$F$294)*(($B$224)-$A205&lt;='Cálculos'!$F$295)*(1+MIN(('Cálculos'!$F$207+$A205*'Cálculos'!$F$95),1)*('Cálculos'!$F$208+(($B$224)-$A205)*'Cálculos'!$F$96))</f>
        <v>0</v>
      </c>
      <c r="H205" s="31">
        <f>IF($B$225&lt;0,0,($A205&lt;=$B$225)*($A205&lt;='Cálculos'!$F$301)*(($B$225)-$A205&lt;='Cálculos'!$F$297)*(('Cálculos'!$F$185*(1+'Cálculos'!$F$186+$A205*('Cálculos'!$F$290=1)*'Cálculos'!$F$97+'Cálculos'!$F$305)+'Cálculos'!$F$191)*('Cálculos'!$F$209+'Cálculos'!$F$124*(1+2.78*('Cálculos'!$F$196+(($B$225)-$A205)*'Cálculos'!$F$98)/(('Cálculos'!$F$196+(($B$225)-$A205)*'Cálculos'!$F$98)+1400)+'Cálculos'!$F$122)*'Cálculos'!$F$214+'Cálculos'!$F$125*(1+2.78*('Cálculos'!$F$196+(($B$225)-$A205)*'Cálculos'!$F$98)/(('Cálculos'!$F$196+(($B$225)-$A205)*'Cálculos'!$F$98)+1400)+'Cálculos'!$F$123)*'Cálculos'!$F$219)+('Cálculos'!$F$196+(($B$225)-$A205)*'Cálculos'!$F$98)*('Cálculos'!$F$210+'Cálculos'!$F$124*(1+2.78*('Cálculos'!$F$196+(($B$225)-$A205)*'Cálculos'!$F$98)/(('Cálculos'!$F$196+(($B$225)-$A205)*'Cálculos'!$F$98)+1400)+'Cálculos'!$F$122)*'Cálculos'!$F$215+'Cálculos'!$F$125*(1+2.78*('Cálculos'!$F$196+(($B$225)-$A205)*'Cálculos'!$F$98)/(('Cálculos'!$F$196+(($B$225)-$A205)*'Cálculos'!$F$98)+1400)+'Cálculos'!$F$123)*'Cálculos'!$F$220)+('Cálculos'!$F$201*(1+'Cálculos'!$F$202+$A205*('Cálculos'!$F$290=2)*'Cálculos'!$F$101)+'Cálculos'!$F$203)*('Cálculos'!$F$211+'Cálculos'!$F$124*(1+2.78*('Cálculos'!$F$196+(($B$225)-$A205)*'Cálculos'!$F$98)/(('Cálculos'!$F$196+(($B$225)-$A205)*'Cálculos'!$F$98)+1400)+'Cálculos'!$F$122)*'Cálculos'!$F$216+'Cálculos'!$F$125*(1+2.78*('Cálculos'!$F$196+(($B$225)-$A205)*'Cálculos'!$F$98)/(('Cálculos'!$F$196+(($B$225)-$A205)*'Cálculos'!$F$98)+1400)+'Cálculos'!$F$123)*'Cálculos'!$F$221)+('Cálculos'!$F$204*(1+'Cálculos'!$F$205+$A205*('Cálculos'!$F$290=3)*'Cálculos'!$F$103)+'Cálculos'!$F$206)*('Cálculos'!$F$212+'Cálculos'!$F$124*(1+2.78*('Cálculos'!$F$196+(($B$225)-$A205)*'Cálculos'!$F$98)/(('Cálculos'!$F$196+(($B$225)-$A205)*'Cálculos'!$F$98)+1400)+'Cálculos'!$F$122)*'Cálculos'!$F$217+'Cálculos'!$F$125*(1+2.78*('Cálculos'!$F$196+(($B$225)-$A205)*'Cálculos'!$F$98)/(('Cálculos'!$F$196+(($B$225)-$A205)*'Cálculos'!$F$98)+1400)+'Cálculos'!$F$123)*'Cálculos'!$F$222)+('Cálculos'!$F$185*(1+'Cálculos'!$F$187+$A205*('Cálculos'!$F$290=1)*'Cálculos'!$F$97+'Cálculos'!$F$305)+'Cálculos'!$F$192)*('Cálculos'!$F$224+'Cálculos'!$F$124*(1+2.78*('Cálculos'!$F$197+(($B$225)-$A205)*'Cálculos'!$F$98)/(('Cálculos'!$F$197+(($B$225)-$A205)*'Cálculos'!$F$98)+1400)+'Cálculos'!$F$122)*'Cálculos'!$F$229+'Cálculos'!$F$125*(1+2.78*('Cálculos'!$F$197+(($B$225)-$A205)*'Cálculos'!$F$98)/(('Cálculos'!$F$197+(($B$225)-$A205)*'Cálculos'!$F$98)+1400)+'Cálculos'!$F$123)*'Cálculos'!$F$234)+('Cálculos'!$F$197+(($B$225)-$A205)*'Cálculos'!$F$98)*('Cálculos'!$F$225+'Cálculos'!$F$124*(1+2.78*('Cálculos'!$F$197+(($B$225)-$A205)*'Cálculos'!$F$98)/(('Cálculos'!$F$197+(($B$225)-$A205)*'Cálculos'!$F$98)+1400)+'Cálculos'!$F$122)*'Cálculos'!$F$230+'Cálculos'!$F$125*(1+2.78*('Cálculos'!$F$197+(($B$225)-$A205)*'Cálculos'!$F$98)/(('Cálculos'!$F$197+(($B$225)-$A205)*'Cálculos'!$F$98)+1400)+'Cálculos'!$F$123)*'Cálculos'!$F$235)+('Cálculos'!$F$201*(1+'Cálculos'!$F$202+$A205*('Cálculos'!$F$290=2)*'Cálculos'!$F$101)+'Cálculos'!$F$203)*('Cálculos'!$F$226+'Cálculos'!$F$124*(1+2.78*('Cálculos'!$F$197+(($B$225)-$A205)*'Cálculos'!$F$98)/(('Cálculos'!$F$197+(($B$225)-$A205)*'Cálculos'!$F$98)+1400)+'Cálculos'!$F$122)*'Cálculos'!$F$231+'Cálculos'!$F$125*(1+2.78*('Cálculos'!$F$197+(($B$225)-$A205)*'Cálculos'!$F$98)/(('Cálculos'!$F$197+(($B$225)-$A205)*'Cálculos'!$F$98)+1400)+'Cálculos'!$F$123)*'Cálculos'!$F$236)+('Cálculos'!$F$204*(1+'Cálculos'!$F$205+$A205*('Cálculos'!$F$290=3)*'Cálculos'!$F$103)+'Cálculos'!$F$206)*('Cálculos'!$F$227+'Cálculos'!$F$124*(1+2.78*('Cálculos'!$F$197+(($B$225)-$A205)*'Cálculos'!$F$98)/(('Cálculos'!$F$197+(($B$225)-$A205)*'Cálculos'!$F$98)+1400)+'Cálculos'!$F$122)*'Cálculos'!$F$232+'Cálculos'!$F$125*(1+2.78*('Cálculos'!$F$197+(($B$225)-$A205)*'Cálculos'!$F$98)/(('Cálculos'!$F$197+(($B$225)-$A205)*'Cálculos'!$F$98)+1400)+'Cálculos'!$F$123)*'Cálculos'!$F$237)+('Cálculos'!$F$185*(1+'Cálculos'!$F$188+$A205*('Cálculos'!$F$290=1)*'Cálculos'!$F$97+'Cálculos'!$F$305)+'Cálculos'!$F$193)*('Cálculos'!$F$239+'Cálculos'!$F$124*(1+2.78*('Cálculos'!$F$198+(($B$225)-$A205)*'Cálculos'!$F$98)/(('Cálculos'!$F$198+(($B$225)-$A205)*'Cálculos'!$F$98)+1400)+'Cálculos'!$F$122)*'Cálculos'!$F$244+'Cálculos'!$F$125*(1+2.78*('Cálculos'!$F$198+(($B$225)-$A205)*'Cálculos'!$F$98)/(('Cálculos'!$F$198+(($B$225)-$A205)*'Cálculos'!$F$98)+1400)+'Cálculos'!$F$123)*'Cálculos'!$F$249)+('Cálculos'!$F$198+(($B$225)-$A205)*'Cálculos'!$F$98)*('Cálculos'!$F$240+'Cálculos'!$F$124*(1+2.78*('Cálculos'!$F$198+(($B$225)-$A205)*'Cálculos'!$F$98)/(('Cálculos'!$F$198+(($B$225)-$A205)*'Cálculos'!$F$98)+1400)+'Cálculos'!$F$122)*'Cálculos'!$F$245+'Cálculos'!$F$125*(1+2.78*('Cálculos'!$F$198+(($B$225)-$A205)*'Cálculos'!$F$98)/(('Cálculos'!$F$198+(($B$225)-$A205)*'Cálculos'!$F$98)+1400)+'Cálculos'!$F$123)*'Cálculos'!$F$250)+('Cálculos'!$F$201*(1+'Cálculos'!$F$202+$A205*('Cálculos'!$F$290=2)*'Cálculos'!$F$101)+'Cálculos'!$F$203)*('Cálculos'!$F$241+'Cálculos'!$F$124*(1+2.78*('Cálculos'!$F$198+(($B$225)-$A205)*'Cálculos'!$F$98)/(('Cálculos'!$F$198+(($B$225)-$A205)*'Cálculos'!$F$98)+1400)+'Cálculos'!$F$122)*'Cálculos'!$F$246+'Cálculos'!$F$125*(1+2.78*('Cálculos'!$F$198+(($B$225)-$A205)*'Cálculos'!$F$98)/(('Cálculos'!$F$198+(($B$225)-$A205)*'Cálculos'!$F$98)+1400)+'Cálculos'!$F$123)*'Cálculos'!$F$251)+('Cálculos'!$F$204*(1+'Cálculos'!$F$205+$A205*('Cálculos'!$F$290=3)*'Cálculos'!$F$103)+'Cálculos'!$F$206)*('Cálculos'!$F$242+'Cálculos'!$F$124*(1+2.78*('Cálculos'!$F$198+(($B$225)-$A205)*'Cálculos'!$F$98)/(('Cálculos'!$F$198+(($B$225)-$A205)*'Cálculos'!$F$98)+1400)+'Cálculos'!$F$122)*'Cálculos'!$F$247+'Cálculos'!$F$125*(1+2.78*('Cálculos'!$F$198+(($B$225)-$A205)*'Cálculos'!$F$98)/(('Cálculos'!$F$198+(($B$225)-$A205)*'Cálculos'!$F$98)+1400)+'Cálculos'!$F$123)*'Cálculos'!$F$252)+('Cálculos'!$F$185*(1+'Cálculos'!$F$189+$A205*('Cálculos'!$F$290=1)*'Cálculos'!$F$97+'Cálculos'!$F$305)+'Cálculos'!$F$194)*('Cálculos'!$F$254+'Cálculos'!$F$124*(1+2.78*('Cálculos'!$F$199+(($B$225)-$A205)*'Cálculos'!$F$98)/(('Cálculos'!$F$199+(($B$225)-$A205)*'Cálculos'!$F$98)+1400)+'Cálculos'!$F$122)*'Cálculos'!$F$259+'Cálculos'!$F$125*(1+2.78*('Cálculos'!$F$199+(($B$225)-$A205)*'Cálculos'!$F$98)/(('Cálculos'!$F$199+(($B$225)-$A205)*'Cálculos'!$F$98)+1400)+'Cálculos'!$F$123)*'Cálculos'!$F$264)+('Cálculos'!$F$199+(($B$225)-$A205)*'Cálculos'!$F$98)*('Cálculos'!$F$255+'Cálculos'!$F$124*(1+2.78*('Cálculos'!$F$199+(($B$225)-$A205)*'Cálculos'!$F$98)/(('Cálculos'!$F$199+(($B$225)-$A205)*'Cálculos'!$F$98)+1400)+'Cálculos'!$F$122)*'Cálculos'!$F$260+'Cálculos'!$F$125*(1+2.78*('Cálculos'!$F$199+(($B$225)-$A205)*'Cálculos'!$F$98)/(('Cálculos'!$F$199+(($B$225)-$A205)*'Cálculos'!$F$98)+1400)+'Cálculos'!$F$123)*'Cálculos'!$F$265)+('Cálculos'!$F$201*(1+'Cálculos'!$F$202+$A205*('Cálculos'!$F$290=2)*'Cálculos'!$F$101)+'Cálculos'!$F$203)*('Cálculos'!$F$256+'Cálculos'!$F$124*(1+2.78*('Cálculos'!$F$199+(($B$225)-$A205)*'Cálculos'!$F$98)/(('Cálculos'!$F$199+(($B$225)-$A205)*'Cálculos'!$F$98)+1400)+'Cálculos'!$F$122)*'Cálculos'!$F$261+'Cálculos'!$F$125*(1+2.78*('Cálculos'!$F$199+(($B$225)-$A205)*'Cálculos'!$F$98)/(('Cálculos'!$F$199+(($B$225)-$A205)*'Cálculos'!$F$98)+1400)+'Cálculos'!$F$123)*'Cálculos'!$F$266)+('Cálculos'!$F$204*(1+'Cálculos'!$F$205+$A205*('Cálculos'!$F$290=3)*'Cálculos'!$F$103)+'Cálculos'!$F$206)*('Cálculos'!$F$257+'Cálculos'!$F$124*(1+2.78*('Cálculos'!$F$199+(($B$225)-$A205)*'Cálculos'!$F$98)/(('Cálculos'!$F$199+(($B$225)-$A205)*'Cálculos'!$F$98)+1400)+'Cálculos'!$F$122)*'Cálculos'!$F$262+'Cálculos'!$F$125*(1+2.78*('Cálculos'!$F$199+(($B$225)-$A205)*'Cálculos'!$F$98)/(('Cálculos'!$F$199+(($B$225)-$A205)*'Cálculos'!$F$98)+1400)+'Cálculos'!$F$123)*'Cálculos'!$F$267)+('Cálculos'!$F$185*(1+'Cálculos'!$F$190+$A205*('Cálculos'!$F$290=1)*'Cálculos'!$F$97+'Cálculos'!$F$305)+'Cálculos'!$F$195)*('Cálculos'!$F$269+'Cálculos'!$F$124*(1+2.78*('Cálculos'!$F$200+(($B$225)-$A205)*'Cálculos'!$F$98)/(('Cálculos'!$F$200+(($B$225)-$A205)*'Cálculos'!$F$98)+1400)+'Cálculos'!$F$122)*'Cálculos'!$F$274+'Cálculos'!$F$125*(1+2.78*('Cálculos'!$F$200+(($B$225)-$A205)*'Cálculos'!$F$98)/(('Cálculos'!$F$200+(($B$225)-$A205)*'Cálculos'!$F$98)+1400)+'Cálculos'!$F$123)*'Cálculos'!$F$279)+('Cálculos'!$F$200+(($B$225)-$A205)*'Cálculos'!$F$98)*('Cálculos'!$F$270+'Cálculos'!$F$124*(1+2.78*('Cálculos'!$F$200+(($B$225)-$A205)*'Cálculos'!$F$98)/(('Cálculos'!$F$200+(($B$225)-$A205)*'Cálculos'!$F$98)+1400)+'Cálculos'!$F$122)*'Cálculos'!$F$275+'Cálculos'!$F$125*(1+2.78*('Cálculos'!$F$200+(($B$225)-$A205)*'Cálculos'!$F$98)/(('Cálculos'!$F$200+(($B$225)-$A205)*'Cálculos'!$F$98)+1400)+'Cálculos'!$F$123)*'Cálculos'!$F$280)+('Cálculos'!$F$201*(1+'Cálculos'!$F$202+$A205*('Cálculos'!$F$290=2)*'Cálculos'!$F$101)+'Cálculos'!$F$203)*('Cálculos'!$F$271+'Cálculos'!$F$124*(1+2.78*('Cálculos'!$F$200+(($B$225)-$A205)*'Cálculos'!$F$98)/(('Cálculos'!$F$200+(($B$225)-$A205)*'Cálculos'!$F$98)+1400)+'Cálculos'!$F$122)*'Cálculos'!$F$276+'Cálculos'!$F$125*(1+2.78*('Cálculos'!$F$200+(($B$225)-$A205)*'Cálculos'!$F$98)/(('Cálculos'!$F$200+(($B$225)-$A205)*'Cálculos'!$F$98)+1400)+'Cálculos'!$F$123)*'Cálculos'!$F$281)+('Cálculos'!$F$204*(1+'Cálculos'!$F$205+$A205*('Cálculos'!$F$290=3)*'Cálculos'!$F$103)+'Cálculos'!$F$206)*('Cálculos'!$F$272+'Cálculos'!$F$124*(1+2.78*('Cálculos'!$F$200+(($B$225)-$A205)*'Cálculos'!$F$98)/(('Cálculos'!$F$200+(($B$225)-$A205)*'Cálculos'!$F$98)+1400)+'Cálculos'!$F$122)*'Cálculos'!$F$277+'Cálculos'!$F$125*(1+2.78*('Cálculos'!$F$200+(($B$225)-$A205)*'Cálculos'!$F$98)/(('Cálculos'!$F$200+(($B$225)-$A205)*'Cálculos'!$F$98)+1400)+'Cálculos'!$F$123)*'Cálculos'!$F$282)))</f>
        <v>0</v>
      </c>
    </row>
    <row r="206" ht="15.75" customHeight="1">
      <c r="A206" s="2">
        <v>29.0</v>
      </c>
      <c r="B206" s="30">
        <f>SUMPRODUCT(MAX(($A$177:$A$222&lt;=$A206)*($A$177:$A$222&lt;='Cálculos'!$F$294)*(($A206)-$A$177:$A$222&lt;='Cálculos'!$F$295)*(1+(('Cálculos'!$F$207+$A$177:$A$222*'Cálculos'!$F$95)-(('Cálculos'!$F$207+$A$177:$A$222*'Cálculos'!$F$95)&gt;1)*(('Cálculos'!$F$207+$A$177:$A$222*'Cálculos'!$F$95)-1))*('Cálculos'!$F$208+(($A206)-$A$177:$A$222)*'Cálculos'!$F$96))))</f>
        <v>3.04022</v>
      </c>
      <c r="C206" s="2">
        <f>'Cálculos'!$F$303-$A206</f>
        <v>-11</v>
      </c>
      <c r="D206" s="31">
        <f>IF($C206&lt;0,0,SUMPRODUCT(MAX(($A$177:$A$222&lt;=$C206)*($A$177:$A$222&lt;='Cálculos'!$F$301)*(($C206)-$A$177:$A$222&lt;='Cálculos'!$F$297)*(('Cálculos'!$F$185*(1+'Cálculos'!$F$186+$A$177:$A$222*('Cálculos'!$F$290=1)*'Cálculos'!$F$97+'Cálculos'!$F$305)+'Cálculos'!$F$191)*('Cálculos'!$F$209+'Cálculos'!$F$124*(1+2.78*('Cálculos'!$F$196+(($C206)-$A$177:$A$222)*'Cálculos'!$F$98)/(('Cálculos'!$F$196+(($C206)-$A$177:$A$222)*'Cálculos'!$F$98)+1400)+'Cálculos'!$F$122)*'Cálculos'!$F$214+'Cálculos'!$F$125*(1+2.78*('Cálculos'!$F$196+(($C206)-$A$177:$A$222)*'Cálculos'!$F$98)/(('Cálculos'!$F$196+(($C206)-$A$177:$A$222)*'Cálculos'!$F$98)+1400)+'Cálculos'!$F$123)*'Cálculos'!$F$219)+('Cálculos'!$F$196+(($C206)-$A$177:$A$222)*'Cálculos'!$F$98)*('Cálculos'!$F$210+'Cálculos'!$F$124*(1+2.78*('Cálculos'!$F$196+(($C206)-$A$177:$A$222)*'Cálculos'!$F$98)/(('Cálculos'!$F$196+(($C206)-$A$177:$A$222)*'Cálculos'!$F$98)+1400)+'Cálculos'!$F$122)*'Cálculos'!$F$215+'Cálculos'!$F$125*(1+2.78*('Cálculos'!$F$196+(($C206)-$A$177:$A$222)*'Cálculos'!$F$98)/(('Cálculos'!$F$196+(($C206)-$A$177:$A$222)*'Cálculos'!$F$98)+1400)+'Cálculos'!$F$123)*'Cálculos'!$F$220)+('Cálculos'!$F$201*(1+'Cálculos'!$F$202+$A$177:$A$222*('Cálculos'!$F$290=2)*'Cálculos'!$F$101)+'Cálculos'!$F$203)*('Cálculos'!$F$211+'Cálculos'!$F$124*(1+2.78*('Cálculos'!$F$196+(($C206)-$A$177:$A$222)*'Cálculos'!$F$98)/(('Cálculos'!$F$196+(($C206)-$A$177:$A$222)*'Cálculos'!$F$98)+1400)+'Cálculos'!$F$122)*'Cálculos'!$F$216+'Cálculos'!$F$125*(1+2.78*('Cálculos'!$F$196+(($C206)-$A$177:$A$222)*'Cálculos'!$F$98)/(('Cálculos'!$F$196+(($C206)-$A$177:$A$222)*'Cálculos'!$F$98)+1400)+'Cálculos'!$F$123)*'Cálculos'!$F$221)+('Cálculos'!$F$204*(1+'Cálculos'!$F$205+$A$177:$A$222*('Cálculos'!$F$290=3)*'Cálculos'!$F$103)+'Cálculos'!$F$206)*('Cálculos'!$F$212+'Cálculos'!$F$124*(1+2.78*('Cálculos'!$F$196+(($C206)-$A$177:$A$222)*'Cálculos'!$F$98)/(('Cálculos'!$F$196+(($C206)-$A$177:$A$222)*'Cálculos'!$F$98)+1400)+'Cálculos'!$F$122)*'Cálculos'!$F$217+'Cálculos'!$F$125*(1+2.78*('Cálculos'!$F$196+(($C206)-$A$177:$A$222)*'Cálculos'!$F$98)/(('Cálculos'!$F$196+(($C206)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206)-$A$177:$A$222)*'Cálculos'!$F$98)/(('Cálculos'!$F$197+(($C206)-$A$177:$A$222)*'Cálculos'!$F$98)+1400)+'Cálculos'!$F$122)*'Cálculos'!$F$229+'Cálculos'!$F$125*(1+2.78*('Cálculos'!$F$197+(($C206)-$A$177:$A$222)*'Cálculos'!$F$98)/(('Cálculos'!$F$197+(($C206)-$A$177:$A$222)*'Cálculos'!$F$98)+1400)+'Cálculos'!$F$123)*'Cálculos'!$F$234)+('Cálculos'!$F$197+(($C206)-$A$177:$A$222)*'Cálculos'!$F$98)*('Cálculos'!$F$225+'Cálculos'!$F$124*(1+2.78*('Cálculos'!$F$197+(($C206)-$A$177:$A$222)*'Cálculos'!$F$98)/(('Cálculos'!$F$197+(($C206)-$A$177:$A$222)*'Cálculos'!$F$98)+1400)+'Cálculos'!$F$122)*'Cálculos'!$F$230+'Cálculos'!$F$125*(1+2.78*('Cálculos'!$F$197+(($C206)-$A$177:$A$222)*'Cálculos'!$F$98)/(('Cálculos'!$F$197+(($C206)-$A$177:$A$222)*'Cálculos'!$F$98)+1400)+'Cálculos'!$F$123)*'Cálculos'!$F$235)+('Cálculos'!$F$201*(1+'Cálculos'!$F$202+$A$177:$A$222*('Cálculos'!$F$290=2)*'Cálculos'!$F$101)+'Cálculos'!$F$203)*('Cálculos'!$F$226+'Cálculos'!$F$124*(1+2.78*('Cálculos'!$F$197+(($C206)-$A$177:$A$222)*'Cálculos'!$F$98)/(('Cálculos'!$F$197+(($C206)-$A$177:$A$222)*'Cálculos'!$F$98)+1400)+'Cálculos'!$F$122)*'Cálculos'!$F$231+'Cálculos'!$F$125*(1+2.78*('Cálculos'!$F$197+(($C206)-$A$177:$A$222)*'Cálculos'!$F$98)/(('Cálculos'!$F$197+(($C206)-$A$177:$A$222)*'Cálculos'!$F$98)+1400)+'Cálculos'!$F$123)*'Cálculos'!$F$236)+('Cálculos'!$F$204*(1+'Cálculos'!$F$205+$A$177:$A$222*('Cálculos'!$F$290=3)*'Cálculos'!$F$103)+'Cálculos'!$F$206)*('Cálculos'!$F$227+'Cálculos'!$F$124*(1+2.78*('Cálculos'!$F$197+(($C206)-$A$177:$A$222)*'Cálculos'!$F$98)/(('Cálculos'!$F$197+(($C206)-$A$177:$A$222)*'Cálculos'!$F$98)+1400)+'Cálculos'!$F$122)*'Cálculos'!$F$232+'Cálculos'!$F$125*(1+2.78*('Cálculos'!$F$197+(($C206)-$A$177:$A$222)*'Cálculos'!$F$98)/(('Cálculos'!$F$197+(($C206)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206)-$A$177:$A$222)*'Cálculos'!$F$98)/(('Cálculos'!$F$198+(($C206)-$A$177:$A$222)*'Cálculos'!$F$98)+1400)+'Cálculos'!$F$122)*'Cálculos'!$F$244+'Cálculos'!$F$125*(1+2.78*('Cálculos'!$F$198+(($C206)-$A$177:$A$222)*'Cálculos'!$F$98)/(('Cálculos'!$F$198+(($C206)-$A$177:$A$222)*'Cálculos'!$F$98)+1400)+'Cálculos'!$F$123)*'Cálculos'!$F$249)+('Cálculos'!$F$198+(($C206)-$A$177:$A$222)*'Cálculos'!$F$98)*('Cálculos'!$F$240+'Cálculos'!$F$124*(1+2.78*('Cálculos'!$F$198+(($C206)-$A$177:$A$222)*'Cálculos'!$F$98)/(('Cálculos'!$F$198+(($C206)-$A$177:$A$222)*'Cálculos'!$F$98)+1400)+'Cálculos'!$F$122)*'Cálculos'!$F$245+'Cálculos'!$F$125*(1+2.78*('Cálculos'!$F$198+(($C206)-$A$177:$A$222)*'Cálculos'!$F$98)/(('Cálculos'!$F$198+(($C206)-$A$177:$A$222)*'Cálculos'!$F$98)+1400)+'Cálculos'!$F$123)*'Cálculos'!$F$250)+('Cálculos'!$F$201*(1+'Cálculos'!$F$202+$A$177:$A$222*('Cálculos'!$F$290=2)*'Cálculos'!$F$101)+'Cálculos'!$F$203)*('Cálculos'!$F$241+'Cálculos'!$F$124*(1+2.78*('Cálculos'!$F$198+(($C206)-$A$177:$A$222)*'Cálculos'!$F$98)/(('Cálculos'!$F$198+(($C206)-$A$177:$A$222)*'Cálculos'!$F$98)+1400)+'Cálculos'!$F$122)*'Cálculos'!$F$246+'Cálculos'!$F$125*(1+2.78*('Cálculos'!$F$198+(($C206)-$A$177:$A$222)*'Cálculos'!$F$98)/(('Cálculos'!$F$198+(($C206)-$A$177:$A$222)*'Cálculos'!$F$98)+1400)+'Cálculos'!$F$123)*'Cálculos'!$F$251)+('Cálculos'!$F$204*(1+'Cálculos'!$F$205+$A$177:$A$222*('Cálculos'!$F$290=3)*'Cálculos'!$F$103)+'Cálculos'!$F$206)*('Cálculos'!$F$242+'Cálculos'!$F$124*(1+2.78*('Cálculos'!$F$198+(($C206)-$A$177:$A$222)*'Cálculos'!$F$98)/(('Cálculos'!$F$198+(($C206)-$A$177:$A$222)*'Cálculos'!$F$98)+1400)+'Cálculos'!$F$122)*'Cálculos'!$F$247+'Cálculos'!$F$125*(1+2.78*('Cálculos'!$F$198+(($C206)-$A$177:$A$222)*'Cálculos'!$F$98)/(('Cálculos'!$F$198+(($C206)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206)-$A$177:$A$222)*'Cálculos'!$F$98)/(('Cálculos'!$F$199+(($C206)-$A$177:$A$222)*'Cálculos'!$F$98)+1400)+'Cálculos'!$F$122)*'Cálculos'!$F$259+'Cálculos'!$F$125*(1+2.78*('Cálculos'!$F$199+(($C206)-$A$177:$A$222)*'Cálculos'!$F$98)/(('Cálculos'!$F$199+(($C206)-$A$177:$A$222)*'Cálculos'!$F$98)+1400)+'Cálculos'!$F$123)*'Cálculos'!$F$264)+('Cálculos'!$F$199+(($C206)-$A$177:$A$222)*'Cálculos'!$F$98)*('Cálculos'!$F$255+'Cálculos'!$F$124*(1+2.78*('Cálculos'!$F$199+(($C206)-$A$177:$A$222)*'Cálculos'!$F$98)/(('Cálculos'!$F$199+(($C206)-$A$177:$A$222)*'Cálculos'!$F$98)+1400)+'Cálculos'!$F$122)*'Cálculos'!$F$260+'Cálculos'!$F$125*(1+2.78*('Cálculos'!$F$199+(($C206)-$A$177:$A$222)*'Cálculos'!$F$98)/(('Cálculos'!$F$199+(($C206)-$A$177:$A$222)*'Cálculos'!$F$98)+1400)+'Cálculos'!$F$123)*'Cálculos'!$F$265)+('Cálculos'!$F$201*(1+'Cálculos'!$F$202+$A$177:$A$222*('Cálculos'!$F$290=2)*'Cálculos'!$F$101)+'Cálculos'!$F$203)*('Cálculos'!$F$256+'Cálculos'!$F$124*(1+2.78*('Cálculos'!$F$199+(($C206)-$A$177:$A$222)*'Cálculos'!$F$98)/(('Cálculos'!$F$199+(($C206)-$A$177:$A$222)*'Cálculos'!$F$98)+1400)+'Cálculos'!$F$122)*'Cálculos'!$F$261+'Cálculos'!$F$125*(1+2.78*('Cálculos'!$F$199+(($C206)-$A$177:$A$222)*'Cálculos'!$F$98)/(('Cálculos'!$F$199+(($C206)-$A$177:$A$222)*'Cálculos'!$F$98)+1400)+'Cálculos'!$F$123)*'Cálculos'!$F$266)+('Cálculos'!$F$204*(1+'Cálculos'!$F$205+$A$177:$A$222*('Cálculos'!$F$290=3)*'Cálculos'!$F$103)+'Cálculos'!$F$206)*('Cálculos'!$F$257+'Cálculos'!$F$124*(1+2.78*('Cálculos'!$F$199+(($C206)-$A$177:$A$222)*'Cálculos'!$F$98)/(('Cálculos'!$F$199+(($C206)-$A$177:$A$222)*'Cálculos'!$F$98)+1400)+'Cálculos'!$F$122)*'Cálculos'!$F$262+'Cálculos'!$F$125*(1+2.78*('Cálculos'!$F$199+(($C206)-$A$177:$A$222)*'Cálculos'!$F$98)/(('Cálculos'!$F$199+(($C206)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206)-$A$177:$A$222)*'Cálculos'!$F$98)/(('Cálculos'!$F$200+(($C206)-$A$177:$A$222)*'Cálculos'!$F$98)+1400)+'Cálculos'!$F$122)*'Cálculos'!$F$274+'Cálculos'!$F$125*(1+2.78*('Cálculos'!$F$200+(($C206)-$A$177:$A$222)*'Cálculos'!$F$98)/(('Cálculos'!$F$200+(($C206)-$A$177:$A$222)*'Cálculos'!$F$98)+1400)+'Cálculos'!$F$123)*'Cálculos'!$F$279)+('Cálculos'!$F$200+(($C206)-$A$177:$A$222)*'Cálculos'!$F$98)*('Cálculos'!$F$270+'Cálculos'!$F$124*(1+2.78*('Cálculos'!$F$200+(($C206)-$A$177:$A$222)*'Cálculos'!$F$98)/(('Cálculos'!$F$200+(($C206)-$A$177:$A$222)*'Cálculos'!$F$98)+1400)+'Cálculos'!$F$122)*'Cálculos'!$F$275+'Cálculos'!$F$125*(1+2.78*('Cálculos'!$F$200+(($C206)-$A$177:$A$222)*'Cálculos'!$F$98)/(('Cálculos'!$F$200+(($C206)-$A$177:$A$222)*'Cálculos'!$F$98)+1400)+'Cálculos'!$F$123)*'Cálculos'!$F$280)+('Cálculos'!$F$201*(1+'Cálculos'!$F$202+$A$177:$A$222*('Cálculos'!$F$290=2)*'Cálculos'!$F$101)+'Cálculos'!$F$203)*('Cálculos'!$F$271+'Cálculos'!$F$124*(1+2.78*('Cálculos'!$F$200+(($C206)-$A$177:$A$222)*'Cálculos'!$F$98)/(('Cálculos'!$F$200+(($C206)-$A$177:$A$222)*'Cálculos'!$F$98)+1400)+'Cálculos'!$F$122)*'Cálculos'!$F$276+'Cálculos'!$F$125*(1+2.78*('Cálculos'!$F$200+(($C206)-$A$177:$A$222)*'Cálculos'!$F$98)/(('Cálculos'!$F$200+(($C206)-$A$177:$A$222)*'Cálculos'!$F$98)+1400)+'Cálculos'!$F$123)*'Cálculos'!$F$281)+('Cálculos'!$F$204*(1+'Cálculos'!$F$205+$A$177:$A$222*('Cálculos'!$F$290=3)*'Cálculos'!$F$103)+'Cálculos'!$F$206)*('Cálculos'!$F$272+'Cálculos'!$F$124*(1+2.78*('Cálculos'!$F$200+(($C206)-$A$177:$A$222)*'Cálculos'!$F$98)/(('Cálculos'!$F$200+(($C206)-$A$177:$A$222)*'Cálculos'!$F$98)+1400)+'Cálculos'!$F$122)*'Cálculos'!$F$277+'Cálculos'!$F$125*(1+2.78*('Cálculos'!$F$200+(($C206)-$A$177:$A$222)*'Cálculos'!$F$98)/(('Cálculos'!$F$200+(($C206)-$A$177:$A$222)*'Cálculos'!$F$98)+1400)+'Cálculos'!$F$123)*'Cálculos'!$F$282)))))</f>
        <v>0</v>
      </c>
      <c r="E206" s="32">
        <f>IF(OR($C206&lt;0,'Cálculos'!$F$6=""),0,$B206*$D206)</f>
        <v>0</v>
      </c>
      <c r="F206" s="2"/>
      <c r="G206" s="30">
        <f>($A206&lt;=$B$224)*($A206&lt;='Cálculos'!$F$294)*(($B$224)-$A206&lt;='Cálculos'!$F$295)*(1+MIN(('Cálculos'!$F$207+$A206*'Cálculos'!$F$95),1)*('Cálculos'!$F$208+(($B$224)-$A206)*'Cálculos'!$F$96))</f>
        <v>0</v>
      </c>
      <c r="H206" s="31">
        <f>IF($B$225&lt;0,0,($A206&lt;=$B$225)*($A206&lt;='Cálculos'!$F$301)*(($B$225)-$A206&lt;='Cálculos'!$F$297)*(('Cálculos'!$F$185*(1+'Cálculos'!$F$186+$A206*('Cálculos'!$F$290=1)*'Cálculos'!$F$97+'Cálculos'!$F$305)+'Cálculos'!$F$191)*('Cálculos'!$F$209+'Cálculos'!$F$124*(1+2.78*('Cálculos'!$F$196+(($B$225)-$A206)*'Cálculos'!$F$98)/(('Cálculos'!$F$196+(($B$225)-$A206)*'Cálculos'!$F$98)+1400)+'Cálculos'!$F$122)*'Cálculos'!$F$214+'Cálculos'!$F$125*(1+2.78*('Cálculos'!$F$196+(($B$225)-$A206)*'Cálculos'!$F$98)/(('Cálculos'!$F$196+(($B$225)-$A206)*'Cálculos'!$F$98)+1400)+'Cálculos'!$F$123)*'Cálculos'!$F$219)+('Cálculos'!$F$196+(($B$225)-$A206)*'Cálculos'!$F$98)*('Cálculos'!$F$210+'Cálculos'!$F$124*(1+2.78*('Cálculos'!$F$196+(($B$225)-$A206)*'Cálculos'!$F$98)/(('Cálculos'!$F$196+(($B$225)-$A206)*'Cálculos'!$F$98)+1400)+'Cálculos'!$F$122)*'Cálculos'!$F$215+'Cálculos'!$F$125*(1+2.78*('Cálculos'!$F$196+(($B$225)-$A206)*'Cálculos'!$F$98)/(('Cálculos'!$F$196+(($B$225)-$A206)*'Cálculos'!$F$98)+1400)+'Cálculos'!$F$123)*'Cálculos'!$F$220)+('Cálculos'!$F$201*(1+'Cálculos'!$F$202+$A206*('Cálculos'!$F$290=2)*'Cálculos'!$F$101)+'Cálculos'!$F$203)*('Cálculos'!$F$211+'Cálculos'!$F$124*(1+2.78*('Cálculos'!$F$196+(($B$225)-$A206)*'Cálculos'!$F$98)/(('Cálculos'!$F$196+(($B$225)-$A206)*'Cálculos'!$F$98)+1400)+'Cálculos'!$F$122)*'Cálculos'!$F$216+'Cálculos'!$F$125*(1+2.78*('Cálculos'!$F$196+(($B$225)-$A206)*'Cálculos'!$F$98)/(('Cálculos'!$F$196+(($B$225)-$A206)*'Cálculos'!$F$98)+1400)+'Cálculos'!$F$123)*'Cálculos'!$F$221)+('Cálculos'!$F$204*(1+'Cálculos'!$F$205+$A206*('Cálculos'!$F$290=3)*'Cálculos'!$F$103)+'Cálculos'!$F$206)*('Cálculos'!$F$212+'Cálculos'!$F$124*(1+2.78*('Cálculos'!$F$196+(($B$225)-$A206)*'Cálculos'!$F$98)/(('Cálculos'!$F$196+(($B$225)-$A206)*'Cálculos'!$F$98)+1400)+'Cálculos'!$F$122)*'Cálculos'!$F$217+'Cálculos'!$F$125*(1+2.78*('Cálculos'!$F$196+(($B$225)-$A206)*'Cálculos'!$F$98)/(('Cálculos'!$F$196+(($B$225)-$A206)*'Cálculos'!$F$98)+1400)+'Cálculos'!$F$123)*'Cálculos'!$F$222)+('Cálculos'!$F$185*(1+'Cálculos'!$F$187+$A206*('Cálculos'!$F$290=1)*'Cálculos'!$F$97+'Cálculos'!$F$305)+'Cálculos'!$F$192)*('Cálculos'!$F$224+'Cálculos'!$F$124*(1+2.78*('Cálculos'!$F$197+(($B$225)-$A206)*'Cálculos'!$F$98)/(('Cálculos'!$F$197+(($B$225)-$A206)*'Cálculos'!$F$98)+1400)+'Cálculos'!$F$122)*'Cálculos'!$F$229+'Cálculos'!$F$125*(1+2.78*('Cálculos'!$F$197+(($B$225)-$A206)*'Cálculos'!$F$98)/(('Cálculos'!$F$197+(($B$225)-$A206)*'Cálculos'!$F$98)+1400)+'Cálculos'!$F$123)*'Cálculos'!$F$234)+('Cálculos'!$F$197+(($B$225)-$A206)*'Cálculos'!$F$98)*('Cálculos'!$F$225+'Cálculos'!$F$124*(1+2.78*('Cálculos'!$F$197+(($B$225)-$A206)*'Cálculos'!$F$98)/(('Cálculos'!$F$197+(($B$225)-$A206)*'Cálculos'!$F$98)+1400)+'Cálculos'!$F$122)*'Cálculos'!$F$230+'Cálculos'!$F$125*(1+2.78*('Cálculos'!$F$197+(($B$225)-$A206)*'Cálculos'!$F$98)/(('Cálculos'!$F$197+(($B$225)-$A206)*'Cálculos'!$F$98)+1400)+'Cálculos'!$F$123)*'Cálculos'!$F$235)+('Cálculos'!$F$201*(1+'Cálculos'!$F$202+$A206*('Cálculos'!$F$290=2)*'Cálculos'!$F$101)+'Cálculos'!$F$203)*('Cálculos'!$F$226+'Cálculos'!$F$124*(1+2.78*('Cálculos'!$F$197+(($B$225)-$A206)*'Cálculos'!$F$98)/(('Cálculos'!$F$197+(($B$225)-$A206)*'Cálculos'!$F$98)+1400)+'Cálculos'!$F$122)*'Cálculos'!$F$231+'Cálculos'!$F$125*(1+2.78*('Cálculos'!$F$197+(($B$225)-$A206)*'Cálculos'!$F$98)/(('Cálculos'!$F$197+(($B$225)-$A206)*'Cálculos'!$F$98)+1400)+'Cálculos'!$F$123)*'Cálculos'!$F$236)+('Cálculos'!$F$204*(1+'Cálculos'!$F$205+$A206*('Cálculos'!$F$290=3)*'Cálculos'!$F$103)+'Cálculos'!$F$206)*('Cálculos'!$F$227+'Cálculos'!$F$124*(1+2.78*('Cálculos'!$F$197+(($B$225)-$A206)*'Cálculos'!$F$98)/(('Cálculos'!$F$197+(($B$225)-$A206)*'Cálculos'!$F$98)+1400)+'Cálculos'!$F$122)*'Cálculos'!$F$232+'Cálculos'!$F$125*(1+2.78*('Cálculos'!$F$197+(($B$225)-$A206)*'Cálculos'!$F$98)/(('Cálculos'!$F$197+(($B$225)-$A206)*'Cálculos'!$F$98)+1400)+'Cálculos'!$F$123)*'Cálculos'!$F$237)+('Cálculos'!$F$185*(1+'Cálculos'!$F$188+$A206*('Cálculos'!$F$290=1)*'Cálculos'!$F$97+'Cálculos'!$F$305)+'Cálculos'!$F$193)*('Cálculos'!$F$239+'Cálculos'!$F$124*(1+2.78*('Cálculos'!$F$198+(($B$225)-$A206)*'Cálculos'!$F$98)/(('Cálculos'!$F$198+(($B$225)-$A206)*'Cálculos'!$F$98)+1400)+'Cálculos'!$F$122)*'Cálculos'!$F$244+'Cálculos'!$F$125*(1+2.78*('Cálculos'!$F$198+(($B$225)-$A206)*'Cálculos'!$F$98)/(('Cálculos'!$F$198+(($B$225)-$A206)*'Cálculos'!$F$98)+1400)+'Cálculos'!$F$123)*'Cálculos'!$F$249)+('Cálculos'!$F$198+(($B$225)-$A206)*'Cálculos'!$F$98)*('Cálculos'!$F$240+'Cálculos'!$F$124*(1+2.78*('Cálculos'!$F$198+(($B$225)-$A206)*'Cálculos'!$F$98)/(('Cálculos'!$F$198+(($B$225)-$A206)*'Cálculos'!$F$98)+1400)+'Cálculos'!$F$122)*'Cálculos'!$F$245+'Cálculos'!$F$125*(1+2.78*('Cálculos'!$F$198+(($B$225)-$A206)*'Cálculos'!$F$98)/(('Cálculos'!$F$198+(($B$225)-$A206)*'Cálculos'!$F$98)+1400)+'Cálculos'!$F$123)*'Cálculos'!$F$250)+('Cálculos'!$F$201*(1+'Cálculos'!$F$202+$A206*('Cálculos'!$F$290=2)*'Cálculos'!$F$101)+'Cálculos'!$F$203)*('Cálculos'!$F$241+'Cálculos'!$F$124*(1+2.78*('Cálculos'!$F$198+(($B$225)-$A206)*'Cálculos'!$F$98)/(('Cálculos'!$F$198+(($B$225)-$A206)*'Cálculos'!$F$98)+1400)+'Cálculos'!$F$122)*'Cálculos'!$F$246+'Cálculos'!$F$125*(1+2.78*('Cálculos'!$F$198+(($B$225)-$A206)*'Cálculos'!$F$98)/(('Cálculos'!$F$198+(($B$225)-$A206)*'Cálculos'!$F$98)+1400)+'Cálculos'!$F$123)*'Cálculos'!$F$251)+('Cálculos'!$F$204*(1+'Cálculos'!$F$205+$A206*('Cálculos'!$F$290=3)*'Cálculos'!$F$103)+'Cálculos'!$F$206)*('Cálculos'!$F$242+'Cálculos'!$F$124*(1+2.78*('Cálculos'!$F$198+(($B$225)-$A206)*'Cálculos'!$F$98)/(('Cálculos'!$F$198+(($B$225)-$A206)*'Cálculos'!$F$98)+1400)+'Cálculos'!$F$122)*'Cálculos'!$F$247+'Cálculos'!$F$125*(1+2.78*('Cálculos'!$F$198+(($B$225)-$A206)*'Cálculos'!$F$98)/(('Cálculos'!$F$198+(($B$225)-$A206)*'Cálculos'!$F$98)+1400)+'Cálculos'!$F$123)*'Cálculos'!$F$252)+('Cálculos'!$F$185*(1+'Cálculos'!$F$189+$A206*('Cálculos'!$F$290=1)*'Cálculos'!$F$97+'Cálculos'!$F$305)+'Cálculos'!$F$194)*('Cálculos'!$F$254+'Cálculos'!$F$124*(1+2.78*('Cálculos'!$F$199+(($B$225)-$A206)*'Cálculos'!$F$98)/(('Cálculos'!$F$199+(($B$225)-$A206)*'Cálculos'!$F$98)+1400)+'Cálculos'!$F$122)*'Cálculos'!$F$259+'Cálculos'!$F$125*(1+2.78*('Cálculos'!$F$199+(($B$225)-$A206)*'Cálculos'!$F$98)/(('Cálculos'!$F$199+(($B$225)-$A206)*'Cálculos'!$F$98)+1400)+'Cálculos'!$F$123)*'Cálculos'!$F$264)+('Cálculos'!$F$199+(($B$225)-$A206)*'Cálculos'!$F$98)*('Cálculos'!$F$255+'Cálculos'!$F$124*(1+2.78*('Cálculos'!$F$199+(($B$225)-$A206)*'Cálculos'!$F$98)/(('Cálculos'!$F$199+(($B$225)-$A206)*'Cálculos'!$F$98)+1400)+'Cálculos'!$F$122)*'Cálculos'!$F$260+'Cálculos'!$F$125*(1+2.78*('Cálculos'!$F$199+(($B$225)-$A206)*'Cálculos'!$F$98)/(('Cálculos'!$F$199+(($B$225)-$A206)*'Cálculos'!$F$98)+1400)+'Cálculos'!$F$123)*'Cálculos'!$F$265)+('Cálculos'!$F$201*(1+'Cálculos'!$F$202+$A206*('Cálculos'!$F$290=2)*'Cálculos'!$F$101)+'Cálculos'!$F$203)*('Cálculos'!$F$256+'Cálculos'!$F$124*(1+2.78*('Cálculos'!$F$199+(($B$225)-$A206)*'Cálculos'!$F$98)/(('Cálculos'!$F$199+(($B$225)-$A206)*'Cálculos'!$F$98)+1400)+'Cálculos'!$F$122)*'Cálculos'!$F$261+'Cálculos'!$F$125*(1+2.78*('Cálculos'!$F$199+(($B$225)-$A206)*'Cálculos'!$F$98)/(('Cálculos'!$F$199+(($B$225)-$A206)*'Cálculos'!$F$98)+1400)+'Cálculos'!$F$123)*'Cálculos'!$F$266)+('Cálculos'!$F$204*(1+'Cálculos'!$F$205+$A206*('Cálculos'!$F$290=3)*'Cálculos'!$F$103)+'Cálculos'!$F$206)*('Cálculos'!$F$257+'Cálculos'!$F$124*(1+2.78*('Cálculos'!$F$199+(($B$225)-$A206)*'Cálculos'!$F$98)/(('Cálculos'!$F$199+(($B$225)-$A206)*'Cálculos'!$F$98)+1400)+'Cálculos'!$F$122)*'Cálculos'!$F$262+'Cálculos'!$F$125*(1+2.78*('Cálculos'!$F$199+(($B$225)-$A206)*'Cálculos'!$F$98)/(('Cálculos'!$F$199+(($B$225)-$A206)*'Cálculos'!$F$98)+1400)+'Cálculos'!$F$123)*'Cálculos'!$F$267)+('Cálculos'!$F$185*(1+'Cálculos'!$F$190+$A206*('Cálculos'!$F$290=1)*'Cálculos'!$F$97+'Cálculos'!$F$305)+'Cálculos'!$F$195)*('Cálculos'!$F$269+'Cálculos'!$F$124*(1+2.78*('Cálculos'!$F$200+(($B$225)-$A206)*'Cálculos'!$F$98)/(('Cálculos'!$F$200+(($B$225)-$A206)*'Cálculos'!$F$98)+1400)+'Cálculos'!$F$122)*'Cálculos'!$F$274+'Cálculos'!$F$125*(1+2.78*('Cálculos'!$F$200+(($B$225)-$A206)*'Cálculos'!$F$98)/(('Cálculos'!$F$200+(($B$225)-$A206)*'Cálculos'!$F$98)+1400)+'Cálculos'!$F$123)*'Cálculos'!$F$279)+('Cálculos'!$F$200+(($B$225)-$A206)*'Cálculos'!$F$98)*('Cálculos'!$F$270+'Cálculos'!$F$124*(1+2.78*('Cálculos'!$F$200+(($B$225)-$A206)*'Cálculos'!$F$98)/(('Cálculos'!$F$200+(($B$225)-$A206)*'Cálculos'!$F$98)+1400)+'Cálculos'!$F$122)*'Cálculos'!$F$275+'Cálculos'!$F$125*(1+2.78*('Cálculos'!$F$200+(($B$225)-$A206)*'Cálculos'!$F$98)/(('Cálculos'!$F$200+(($B$225)-$A206)*'Cálculos'!$F$98)+1400)+'Cálculos'!$F$123)*'Cálculos'!$F$280)+('Cálculos'!$F$201*(1+'Cálculos'!$F$202+$A206*('Cálculos'!$F$290=2)*'Cálculos'!$F$101)+'Cálculos'!$F$203)*('Cálculos'!$F$271+'Cálculos'!$F$124*(1+2.78*('Cálculos'!$F$200+(($B$225)-$A206)*'Cálculos'!$F$98)/(('Cálculos'!$F$200+(($B$225)-$A206)*'Cálculos'!$F$98)+1400)+'Cálculos'!$F$122)*'Cálculos'!$F$276+'Cálculos'!$F$125*(1+2.78*('Cálculos'!$F$200+(($B$225)-$A206)*'Cálculos'!$F$98)/(('Cálculos'!$F$200+(($B$225)-$A206)*'Cálculos'!$F$98)+1400)+'Cálculos'!$F$123)*'Cálculos'!$F$281)+('Cálculos'!$F$204*(1+'Cálculos'!$F$205+$A206*('Cálculos'!$F$290=3)*'Cálculos'!$F$103)+'Cálculos'!$F$206)*('Cálculos'!$F$272+'Cálculos'!$F$124*(1+2.78*('Cálculos'!$F$200+(($B$225)-$A206)*'Cálculos'!$F$98)/(('Cálculos'!$F$200+(($B$225)-$A206)*'Cálculos'!$F$98)+1400)+'Cálculos'!$F$122)*'Cálculos'!$F$277+'Cálculos'!$F$125*(1+2.78*('Cálculos'!$F$200+(($B$225)-$A206)*'Cálculos'!$F$98)/(('Cálculos'!$F$200+(($B$225)-$A206)*'Cálculos'!$F$98)+1400)+'Cálculos'!$F$123)*'Cálculos'!$F$282)))</f>
        <v>0</v>
      </c>
    </row>
    <row r="207" ht="15.75" customHeight="1">
      <c r="A207" s="2">
        <v>30.0</v>
      </c>
      <c r="B207" s="30">
        <f>SUMPRODUCT(MAX(($A$177:$A$222&lt;=$A207)*($A$177:$A$222&lt;='Cálculos'!$F$294)*(($A207)-$A$177:$A$222&lt;='Cálculos'!$F$295)*(1+(('Cálculos'!$F$207+$A$177:$A$222*'Cálculos'!$F$95)-(('Cálculos'!$F$207+$A$177:$A$222*'Cálculos'!$F$95)&gt;1)*(('Cálculos'!$F$207+$A$177:$A$222*'Cálculos'!$F$95)-1))*('Cálculos'!$F$208+(($A207)-$A$177:$A$222)*'Cálculos'!$F$96))))</f>
        <v>3.105428</v>
      </c>
      <c r="C207" s="2">
        <f>'Cálculos'!$F$303-$A207</f>
        <v>-12</v>
      </c>
      <c r="D207" s="31">
        <f>IF($C207&lt;0,0,SUMPRODUCT(MAX(($A$177:$A$222&lt;=$C207)*($A$177:$A$222&lt;='Cálculos'!$F$301)*(($C207)-$A$177:$A$222&lt;='Cálculos'!$F$297)*(('Cálculos'!$F$185*(1+'Cálculos'!$F$186+$A$177:$A$222*('Cálculos'!$F$290=1)*'Cálculos'!$F$97+'Cálculos'!$F$305)+'Cálculos'!$F$191)*('Cálculos'!$F$209+'Cálculos'!$F$124*(1+2.78*('Cálculos'!$F$196+(($C207)-$A$177:$A$222)*'Cálculos'!$F$98)/(('Cálculos'!$F$196+(($C207)-$A$177:$A$222)*'Cálculos'!$F$98)+1400)+'Cálculos'!$F$122)*'Cálculos'!$F$214+'Cálculos'!$F$125*(1+2.78*('Cálculos'!$F$196+(($C207)-$A$177:$A$222)*'Cálculos'!$F$98)/(('Cálculos'!$F$196+(($C207)-$A$177:$A$222)*'Cálculos'!$F$98)+1400)+'Cálculos'!$F$123)*'Cálculos'!$F$219)+('Cálculos'!$F$196+(($C207)-$A$177:$A$222)*'Cálculos'!$F$98)*('Cálculos'!$F$210+'Cálculos'!$F$124*(1+2.78*('Cálculos'!$F$196+(($C207)-$A$177:$A$222)*'Cálculos'!$F$98)/(('Cálculos'!$F$196+(($C207)-$A$177:$A$222)*'Cálculos'!$F$98)+1400)+'Cálculos'!$F$122)*'Cálculos'!$F$215+'Cálculos'!$F$125*(1+2.78*('Cálculos'!$F$196+(($C207)-$A$177:$A$222)*'Cálculos'!$F$98)/(('Cálculos'!$F$196+(($C207)-$A$177:$A$222)*'Cálculos'!$F$98)+1400)+'Cálculos'!$F$123)*'Cálculos'!$F$220)+('Cálculos'!$F$201*(1+'Cálculos'!$F$202+$A$177:$A$222*('Cálculos'!$F$290=2)*'Cálculos'!$F$101)+'Cálculos'!$F$203)*('Cálculos'!$F$211+'Cálculos'!$F$124*(1+2.78*('Cálculos'!$F$196+(($C207)-$A$177:$A$222)*'Cálculos'!$F$98)/(('Cálculos'!$F$196+(($C207)-$A$177:$A$222)*'Cálculos'!$F$98)+1400)+'Cálculos'!$F$122)*'Cálculos'!$F$216+'Cálculos'!$F$125*(1+2.78*('Cálculos'!$F$196+(($C207)-$A$177:$A$222)*'Cálculos'!$F$98)/(('Cálculos'!$F$196+(($C207)-$A$177:$A$222)*'Cálculos'!$F$98)+1400)+'Cálculos'!$F$123)*'Cálculos'!$F$221)+('Cálculos'!$F$204*(1+'Cálculos'!$F$205+$A$177:$A$222*('Cálculos'!$F$290=3)*'Cálculos'!$F$103)+'Cálculos'!$F$206)*('Cálculos'!$F$212+'Cálculos'!$F$124*(1+2.78*('Cálculos'!$F$196+(($C207)-$A$177:$A$222)*'Cálculos'!$F$98)/(('Cálculos'!$F$196+(($C207)-$A$177:$A$222)*'Cálculos'!$F$98)+1400)+'Cálculos'!$F$122)*'Cálculos'!$F$217+'Cálculos'!$F$125*(1+2.78*('Cálculos'!$F$196+(($C207)-$A$177:$A$222)*'Cálculos'!$F$98)/(('Cálculos'!$F$196+(($C207)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207)-$A$177:$A$222)*'Cálculos'!$F$98)/(('Cálculos'!$F$197+(($C207)-$A$177:$A$222)*'Cálculos'!$F$98)+1400)+'Cálculos'!$F$122)*'Cálculos'!$F$229+'Cálculos'!$F$125*(1+2.78*('Cálculos'!$F$197+(($C207)-$A$177:$A$222)*'Cálculos'!$F$98)/(('Cálculos'!$F$197+(($C207)-$A$177:$A$222)*'Cálculos'!$F$98)+1400)+'Cálculos'!$F$123)*'Cálculos'!$F$234)+('Cálculos'!$F$197+(($C207)-$A$177:$A$222)*'Cálculos'!$F$98)*('Cálculos'!$F$225+'Cálculos'!$F$124*(1+2.78*('Cálculos'!$F$197+(($C207)-$A$177:$A$222)*'Cálculos'!$F$98)/(('Cálculos'!$F$197+(($C207)-$A$177:$A$222)*'Cálculos'!$F$98)+1400)+'Cálculos'!$F$122)*'Cálculos'!$F$230+'Cálculos'!$F$125*(1+2.78*('Cálculos'!$F$197+(($C207)-$A$177:$A$222)*'Cálculos'!$F$98)/(('Cálculos'!$F$197+(($C207)-$A$177:$A$222)*'Cálculos'!$F$98)+1400)+'Cálculos'!$F$123)*'Cálculos'!$F$235)+('Cálculos'!$F$201*(1+'Cálculos'!$F$202+$A$177:$A$222*('Cálculos'!$F$290=2)*'Cálculos'!$F$101)+'Cálculos'!$F$203)*('Cálculos'!$F$226+'Cálculos'!$F$124*(1+2.78*('Cálculos'!$F$197+(($C207)-$A$177:$A$222)*'Cálculos'!$F$98)/(('Cálculos'!$F$197+(($C207)-$A$177:$A$222)*'Cálculos'!$F$98)+1400)+'Cálculos'!$F$122)*'Cálculos'!$F$231+'Cálculos'!$F$125*(1+2.78*('Cálculos'!$F$197+(($C207)-$A$177:$A$222)*'Cálculos'!$F$98)/(('Cálculos'!$F$197+(($C207)-$A$177:$A$222)*'Cálculos'!$F$98)+1400)+'Cálculos'!$F$123)*'Cálculos'!$F$236)+('Cálculos'!$F$204*(1+'Cálculos'!$F$205+$A$177:$A$222*('Cálculos'!$F$290=3)*'Cálculos'!$F$103)+'Cálculos'!$F$206)*('Cálculos'!$F$227+'Cálculos'!$F$124*(1+2.78*('Cálculos'!$F$197+(($C207)-$A$177:$A$222)*'Cálculos'!$F$98)/(('Cálculos'!$F$197+(($C207)-$A$177:$A$222)*'Cálculos'!$F$98)+1400)+'Cálculos'!$F$122)*'Cálculos'!$F$232+'Cálculos'!$F$125*(1+2.78*('Cálculos'!$F$197+(($C207)-$A$177:$A$222)*'Cálculos'!$F$98)/(('Cálculos'!$F$197+(($C207)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207)-$A$177:$A$222)*'Cálculos'!$F$98)/(('Cálculos'!$F$198+(($C207)-$A$177:$A$222)*'Cálculos'!$F$98)+1400)+'Cálculos'!$F$122)*'Cálculos'!$F$244+'Cálculos'!$F$125*(1+2.78*('Cálculos'!$F$198+(($C207)-$A$177:$A$222)*'Cálculos'!$F$98)/(('Cálculos'!$F$198+(($C207)-$A$177:$A$222)*'Cálculos'!$F$98)+1400)+'Cálculos'!$F$123)*'Cálculos'!$F$249)+('Cálculos'!$F$198+(($C207)-$A$177:$A$222)*'Cálculos'!$F$98)*('Cálculos'!$F$240+'Cálculos'!$F$124*(1+2.78*('Cálculos'!$F$198+(($C207)-$A$177:$A$222)*'Cálculos'!$F$98)/(('Cálculos'!$F$198+(($C207)-$A$177:$A$222)*'Cálculos'!$F$98)+1400)+'Cálculos'!$F$122)*'Cálculos'!$F$245+'Cálculos'!$F$125*(1+2.78*('Cálculos'!$F$198+(($C207)-$A$177:$A$222)*'Cálculos'!$F$98)/(('Cálculos'!$F$198+(($C207)-$A$177:$A$222)*'Cálculos'!$F$98)+1400)+'Cálculos'!$F$123)*'Cálculos'!$F$250)+('Cálculos'!$F$201*(1+'Cálculos'!$F$202+$A$177:$A$222*('Cálculos'!$F$290=2)*'Cálculos'!$F$101)+'Cálculos'!$F$203)*('Cálculos'!$F$241+'Cálculos'!$F$124*(1+2.78*('Cálculos'!$F$198+(($C207)-$A$177:$A$222)*'Cálculos'!$F$98)/(('Cálculos'!$F$198+(($C207)-$A$177:$A$222)*'Cálculos'!$F$98)+1400)+'Cálculos'!$F$122)*'Cálculos'!$F$246+'Cálculos'!$F$125*(1+2.78*('Cálculos'!$F$198+(($C207)-$A$177:$A$222)*'Cálculos'!$F$98)/(('Cálculos'!$F$198+(($C207)-$A$177:$A$222)*'Cálculos'!$F$98)+1400)+'Cálculos'!$F$123)*'Cálculos'!$F$251)+('Cálculos'!$F$204*(1+'Cálculos'!$F$205+$A$177:$A$222*('Cálculos'!$F$290=3)*'Cálculos'!$F$103)+'Cálculos'!$F$206)*('Cálculos'!$F$242+'Cálculos'!$F$124*(1+2.78*('Cálculos'!$F$198+(($C207)-$A$177:$A$222)*'Cálculos'!$F$98)/(('Cálculos'!$F$198+(($C207)-$A$177:$A$222)*'Cálculos'!$F$98)+1400)+'Cálculos'!$F$122)*'Cálculos'!$F$247+'Cálculos'!$F$125*(1+2.78*('Cálculos'!$F$198+(($C207)-$A$177:$A$222)*'Cálculos'!$F$98)/(('Cálculos'!$F$198+(($C207)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207)-$A$177:$A$222)*'Cálculos'!$F$98)/(('Cálculos'!$F$199+(($C207)-$A$177:$A$222)*'Cálculos'!$F$98)+1400)+'Cálculos'!$F$122)*'Cálculos'!$F$259+'Cálculos'!$F$125*(1+2.78*('Cálculos'!$F$199+(($C207)-$A$177:$A$222)*'Cálculos'!$F$98)/(('Cálculos'!$F$199+(($C207)-$A$177:$A$222)*'Cálculos'!$F$98)+1400)+'Cálculos'!$F$123)*'Cálculos'!$F$264)+('Cálculos'!$F$199+(($C207)-$A$177:$A$222)*'Cálculos'!$F$98)*('Cálculos'!$F$255+'Cálculos'!$F$124*(1+2.78*('Cálculos'!$F$199+(($C207)-$A$177:$A$222)*'Cálculos'!$F$98)/(('Cálculos'!$F$199+(($C207)-$A$177:$A$222)*'Cálculos'!$F$98)+1400)+'Cálculos'!$F$122)*'Cálculos'!$F$260+'Cálculos'!$F$125*(1+2.78*('Cálculos'!$F$199+(($C207)-$A$177:$A$222)*'Cálculos'!$F$98)/(('Cálculos'!$F$199+(($C207)-$A$177:$A$222)*'Cálculos'!$F$98)+1400)+'Cálculos'!$F$123)*'Cálculos'!$F$265)+('Cálculos'!$F$201*(1+'Cálculos'!$F$202+$A$177:$A$222*('Cálculos'!$F$290=2)*'Cálculos'!$F$101)+'Cálculos'!$F$203)*('Cálculos'!$F$256+'Cálculos'!$F$124*(1+2.78*('Cálculos'!$F$199+(($C207)-$A$177:$A$222)*'Cálculos'!$F$98)/(('Cálculos'!$F$199+(($C207)-$A$177:$A$222)*'Cálculos'!$F$98)+1400)+'Cálculos'!$F$122)*'Cálculos'!$F$261+'Cálculos'!$F$125*(1+2.78*('Cálculos'!$F$199+(($C207)-$A$177:$A$222)*'Cálculos'!$F$98)/(('Cálculos'!$F$199+(($C207)-$A$177:$A$222)*'Cálculos'!$F$98)+1400)+'Cálculos'!$F$123)*'Cálculos'!$F$266)+('Cálculos'!$F$204*(1+'Cálculos'!$F$205+$A$177:$A$222*('Cálculos'!$F$290=3)*'Cálculos'!$F$103)+'Cálculos'!$F$206)*('Cálculos'!$F$257+'Cálculos'!$F$124*(1+2.78*('Cálculos'!$F$199+(($C207)-$A$177:$A$222)*'Cálculos'!$F$98)/(('Cálculos'!$F$199+(($C207)-$A$177:$A$222)*'Cálculos'!$F$98)+1400)+'Cálculos'!$F$122)*'Cálculos'!$F$262+'Cálculos'!$F$125*(1+2.78*('Cálculos'!$F$199+(($C207)-$A$177:$A$222)*'Cálculos'!$F$98)/(('Cálculos'!$F$199+(($C207)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207)-$A$177:$A$222)*'Cálculos'!$F$98)/(('Cálculos'!$F$200+(($C207)-$A$177:$A$222)*'Cálculos'!$F$98)+1400)+'Cálculos'!$F$122)*'Cálculos'!$F$274+'Cálculos'!$F$125*(1+2.78*('Cálculos'!$F$200+(($C207)-$A$177:$A$222)*'Cálculos'!$F$98)/(('Cálculos'!$F$200+(($C207)-$A$177:$A$222)*'Cálculos'!$F$98)+1400)+'Cálculos'!$F$123)*'Cálculos'!$F$279)+('Cálculos'!$F$200+(($C207)-$A$177:$A$222)*'Cálculos'!$F$98)*('Cálculos'!$F$270+'Cálculos'!$F$124*(1+2.78*('Cálculos'!$F$200+(($C207)-$A$177:$A$222)*'Cálculos'!$F$98)/(('Cálculos'!$F$200+(($C207)-$A$177:$A$222)*'Cálculos'!$F$98)+1400)+'Cálculos'!$F$122)*'Cálculos'!$F$275+'Cálculos'!$F$125*(1+2.78*('Cálculos'!$F$200+(($C207)-$A$177:$A$222)*'Cálculos'!$F$98)/(('Cálculos'!$F$200+(($C207)-$A$177:$A$222)*'Cálculos'!$F$98)+1400)+'Cálculos'!$F$123)*'Cálculos'!$F$280)+('Cálculos'!$F$201*(1+'Cálculos'!$F$202+$A$177:$A$222*('Cálculos'!$F$290=2)*'Cálculos'!$F$101)+'Cálculos'!$F$203)*('Cálculos'!$F$271+'Cálculos'!$F$124*(1+2.78*('Cálculos'!$F$200+(($C207)-$A$177:$A$222)*'Cálculos'!$F$98)/(('Cálculos'!$F$200+(($C207)-$A$177:$A$222)*'Cálculos'!$F$98)+1400)+'Cálculos'!$F$122)*'Cálculos'!$F$276+'Cálculos'!$F$125*(1+2.78*('Cálculos'!$F$200+(($C207)-$A$177:$A$222)*'Cálculos'!$F$98)/(('Cálculos'!$F$200+(($C207)-$A$177:$A$222)*'Cálculos'!$F$98)+1400)+'Cálculos'!$F$123)*'Cálculos'!$F$281)+('Cálculos'!$F$204*(1+'Cálculos'!$F$205+$A$177:$A$222*('Cálculos'!$F$290=3)*'Cálculos'!$F$103)+'Cálculos'!$F$206)*('Cálculos'!$F$272+'Cálculos'!$F$124*(1+2.78*('Cálculos'!$F$200+(($C207)-$A$177:$A$222)*'Cálculos'!$F$98)/(('Cálculos'!$F$200+(($C207)-$A$177:$A$222)*'Cálculos'!$F$98)+1400)+'Cálculos'!$F$122)*'Cálculos'!$F$277+'Cálculos'!$F$125*(1+2.78*('Cálculos'!$F$200+(($C207)-$A$177:$A$222)*'Cálculos'!$F$98)/(('Cálculos'!$F$200+(($C207)-$A$177:$A$222)*'Cálculos'!$F$98)+1400)+'Cálculos'!$F$123)*'Cálculos'!$F$282)))))</f>
        <v>0</v>
      </c>
      <c r="E207" s="32">
        <f>IF(OR($C207&lt;0,'Cálculos'!$F$6=""),0,$B207*$D207)</f>
        <v>0</v>
      </c>
      <c r="F207" s="2"/>
      <c r="G207" s="30">
        <f>($A207&lt;=$B$224)*($A207&lt;='Cálculos'!$F$294)*(($B$224)-$A207&lt;='Cálculos'!$F$295)*(1+MIN(('Cálculos'!$F$207+$A207*'Cálculos'!$F$95),1)*('Cálculos'!$F$208+(($B$224)-$A207)*'Cálculos'!$F$96))</f>
        <v>0</v>
      </c>
      <c r="H207" s="31">
        <f>IF($B$225&lt;0,0,($A207&lt;=$B$225)*($A207&lt;='Cálculos'!$F$301)*(($B$225)-$A207&lt;='Cálculos'!$F$297)*(('Cálculos'!$F$185*(1+'Cálculos'!$F$186+$A207*('Cálculos'!$F$290=1)*'Cálculos'!$F$97+'Cálculos'!$F$305)+'Cálculos'!$F$191)*('Cálculos'!$F$209+'Cálculos'!$F$124*(1+2.78*('Cálculos'!$F$196+(($B$225)-$A207)*'Cálculos'!$F$98)/(('Cálculos'!$F$196+(($B$225)-$A207)*'Cálculos'!$F$98)+1400)+'Cálculos'!$F$122)*'Cálculos'!$F$214+'Cálculos'!$F$125*(1+2.78*('Cálculos'!$F$196+(($B$225)-$A207)*'Cálculos'!$F$98)/(('Cálculos'!$F$196+(($B$225)-$A207)*'Cálculos'!$F$98)+1400)+'Cálculos'!$F$123)*'Cálculos'!$F$219)+('Cálculos'!$F$196+(($B$225)-$A207)*'Cálculos'!$F$98)*('Cálculos'!$F$210+'Cálculos'!$F$124*(1+2.78*('Cálculos'!$F$196+(($B$225)-$A207)*'Cálculos'!$F$98)/(('Cálculos'!$F$196+(($B$225)-$A207)*'Cálculos'!$F$98)+1400)+'Cálculos'!$F$122)*'Cálculos'!$F$215+'Cálculos'!$F$125*(1+2.78*('Cálculos'!$F$196+(($B$225)-$A207)*'Cálculos'!$F$98)/(('Cálculos'!$F$196+(($B$225)-$A207)*'Cálculos'!$F$98)+1400)+'Cálculos'!$F$123)*'Cálculos'!$F$220)+('Cálculos'!$F$201*(1+'Cálculos'!$F$202+$A207*('Cálculos'!$F$290=2)*'Cálculos'!$F$101)+'Cálculos'!$F$203)*('Cálculos'!$F$211+'Cálculos'!$F$124*(1+2.78*('Cálculos'!$F$196+(($B$225)-$A207)*'Cálculos'!$F$98)/(('Cálculos'!$F$196+(($B$225)-$A207)*'Cálculos'!$F$98)+1400)+'Cálculos'!$F$122)*'Cálculos'!$F$216+'Cálculos'!$F$125*(1+2.78*('Cálculos'!$F$196+(($B$225)-$A207)*'Cálculos'!$F$98)/(('Cálculos'!$F$196+(($B$225)-$A207)*'Cálculos'!$F$98)+1400)+'Cálculos'!$F$123)*'Cálculos'!$F$221)+('Cálculos'!$F$204*(1+'Cálculos'!$F$205+$A207*('Cálculos'!$F$290=3)*'Cálculos'!$F$103)+'Cálculos'!$F$206)*('Cálculos'!$F$212+'Cálculos'!$F$124*(1+2.78*('Cálculos'!$F$196+(($B$225)-$A207)*'Cálculos'!$F$98)/(('Cálculos'!$F$196+(($B$225)-$A207)*'Cálculos'!$F$98)+1400)+'Cálculos'!$F$122)*'Cálculos'!$F$217+'Cálculos'!$F$125*(1+2.78*('Cálculos'!$F$196+(($B$225)-$A207)*'Cálculos'!$F$98)/(('Cálculos'!$F$196+(($B$225)-$A207)*'Cálculos'!$F$98)+1400)+'Cálculos'!$F$123)*'Cálculos'!$F$222)+('Cálculos'!$F$185*(1+'Cálculos'!$F$187+$A207*('Cálculos'!$F$290=1)*'Cálculos'!$F$97+'Cálculos'!$F$305)+'Cálculos'!$F$192)*('Cálculos'!$F$224+'Cálculos'!$F$124*(1+2.78*('Cálculos'!$F$197+(($B$225)-$A207)*'Cálculos'!$F$98)/(('Cálculos'!$F$197+(($B$225)-$A207)*'Cálculos'!$F$98)+1400)+'Cálculos'!$F$122)*'Cálculos'!$F$229+'Cálculos'!$F$125*(1+2.78*('Cálculos'!$F$197+(($B$225)-$A207)*'Cálculos'!$F$98)/(('Cálculos'!$F$197+(($B$225)-$A207)*'Cálculos'!$F$98)+1400)+'Cálculos'!$F$123)*'Cálculos'!$F$234)+('Cálculos'!$F$197+(($B$225)-$A207)*'Cálculos'!$F$98)*('Cálculos'!$F$225+'Cálculos'!$F$124*(1+2.78*('Cálculos'!$F$197+(($B$225)-$A207)*'Cálculos'!$F$98)/(('Cálculos'!$F$197+(($B$225)-$A207)*'Cálculos'!$F$98)+1400)+'Cálculos'!$F$122)*'Cálculos'!$F$230+'Cálculos'!$F$125*(1+2.78*('Cálculos'!$F$197+(($B$225)-$A207)*'Cálculos'!$F$98)/(('Cálculos'!$F$197+(($B$225)-$A207)*'Cálculos'!$F$98)+1400)+'Cálculos'!$F$123)*'Cálculos'!$F$235)+('Cálculos'!$F$201*(1+'Cálculos'!$F$202+$A207*('Cálculos'!$F$290=2)*'Cálculos'!$F$101)+'Cálculos'!$F$203)*('Cálculos'!$F$226+'Cálculos'!$F$124*(1+2.78*('Cálculos'!$F$197+(($B$225)-$A207)*'Cálculos'!$F$98)/(('Cálculos'!$F$197+(($B$225)-$A207)*'Cálculos'!$F$98)+1400)+'Cálculos'!$F$122)*'Cálculos'!$F$231+'Cálculos'!$F$125*(1+2.78*('Cálculos'!$F$197+(($B$225)-$A207)*'Cálculos'!$F$98)/(('Cálculos'!$F$197+(($B$225)-$A207)*'Cálculos'!$F$98)+1400)+'Cálculos'!$F$123)*'Cálculos'!$F$236)+('Cálculos'!$F$204*(1+'Cálculos'!$F$205+$A207*('Cálculos'!$F$290=3)*'Cálculos'!$F$103)+'Cálculos'!$F$206)*('Cálculos'!$F$227+'Cálculos'!$F$124*(1+2.78*('Cálculos'!$F$197+(($B$225)-$A207)*'Cálculos'!$F$98)/(('Cálculos'!$F$197+(($B$225)-$A207)*'Cálculos'!$F$98)+1400)+'Cálculos'!$F$122)*'Cálculos'!$F$232+'Cálculos'!$F$125*(1+2.78*('Cálculos'!$F$197+(($B$225)-$A207)*'Cálculos'!$F$98)/(('Cálculos'!$F$197+(($B$225)-$A207)*'Cálculos'!$F$98)+1400)+'Cálculos'!$F$123)*'Cálculos'!$F$237)+('Cálculos'!$F$185*(1+'Cálculos'!$F$188+$A207*('Cálculos'!$F$290=1)*'Cálculos'!$F$97+'Cálculos'!$F$305)+'Cálculos'!$F$193)*('Cálculos'!$F$239+'Cálculos'!$F$124*(1+2.78*('Cálculos'!$F$198+(($B$225)-$A207)*'Cálculos'!$F$98)/(('Cálculos'!$F$198+(($B$225)-$A207)*'Cálculos'!$F$98)+1400)+'Cálculos'!$F$122)*'Cálculos'!$F$244+'Cálculos'!$F$125*(1+2.78*('Cálculos'!$F$198+(($B$225)-$A207)*'Cálculos'!$F$98)/(('Cálculos'!$F$198+(($B$225)-$A207)*'Cálculos'!$F$98)+1400)+'Cálculos'!$F$123)*'Cálculos'!$F$249)+('Cálculos'!$F$198+(($B$225)-$A207)*'Cálculos'!$F$98)*('Cálculos'!$F$240+'Cálculos'!$F$124*(1+2.78*('Cálculos'!$F$198+(($B$225)-$A207)*'Cálculos'!$F$98)/(('Cálculos'!$F$198+(($B$225)-$A207)*'Cálculos'!$F$98)+1400)+'Cálculos'!$F$122)*'Cálculos'!$F$245+'Cálculos'!$F$125*(1+2.78*('Cálculos'!$F$198+(($B$225)-$A207)*'Cálculos'!$F$98)/(('Cálculos'!$F$198+(($B$225)-$A207)*'Cálculos'!$F$98)+1400)+'Cálculos'!$F$123)*'Cálculos'!$F$250)+('Cálculos'!$F$201*(1+'Cálculos'!$F$202+$A207*('Cálculos'!$F$290=2)*'Cálculos'!$F$101)+'Cálculos'!$F$203)*('Cálculos'!$F$241+'Cálculos'!$F$124*(1+2.78*('Cálculos'!$F$198+(($B$225)-$A207)*'Cálculos'!$F$98)/(('Cálculos'!$F$198+(($B$225)-$A207)*'Cálculos'!$F$98)+1400)+'Cálculos'!$F$122)*'Cálculos'!$F$246+'Cálculos'!$F$125*(1+2.78*('Cálculos'!$F$198+(($B$225)-$A207)*'Cálculos'!$F$98)/(('Cálculos'!$F$198+(($B$225)-$A207)*'Cálculos'!$F$98)+1400)+'Cálculos'!$F$123)*'Cálculos'!$F$251)+('Cálculos'!$F$204*(1+'Cálculos'!$F$205+$A207*('Cálculos'!$F$290=3)*'Cálculos'!$F$103)+'Cálculos'!$F$206)*('Cálculos'!$F$242+'Cálculos'!$F$124*(1+2.78*('Cálculos'!$F$198+(($B$225)-$A207)*'Cálculos'!$F$98)/(('Cálculos'!$F$198+(($B$225)-$A207)*'Cálculos'!$F$98)+1400)+'Cálculos'!$F$122)*'Cálculos'!$F$247+'Cálculos'!$F$125*(1+2.78*('Cálculos'!$F$198+(($B$225)-$A207)*'Cálculos'!$F$98)/(('Cálculos'!$F$198+(($B$225)-$A207)*'Cálculos'!$F$98)+1400)+'Cálculos'!$F$123)*'Cálculos'!$F$252)+('Cálculos'!$F$185*(1+'Cálculos'!$F$189+$A207*('Cálculos'!$F$290=1)*'Cálculos'!$F$97+'Cálculos'!$F$305)+'Cálculos'!$F$194)*('Cálculos'!$F$254+'Cálculos'!$F$124*(1+2.78*('Cálculos'!$F$199+(($B$225)-$A207)*'Cálculos'!$F$98)/(('Cálculos'!$F$199+(($B$225)-$A207)*'Cálculos'!$F$98)+1400)+'Cálculos'!$F$122)*'Cálculos'!$F$259+'Cálculos'!$F$125*(1+2.78*('Cálculos'!$F$199+(($B$225)-$A207)*'Cálculos'!$F$98)/(('Cálculos'!$F$199+(($B$225)-$A207)*'Cálculos'!$F$98)+1400)+'Cálculos'!$F$123)*'Cálculos'!$F$264)+('Cálculos'!$F$199+(($B$225)-$A207)*'Cálculos'!$F$98)*('Cálculos'!$F$255+'Cálculos'!$F$124*(1+2.78*('Cálculos'!$F$199+(($B$225)-$A207)*'Cálculos'!$F$98)/(('Cálculos'!$F$199+(($B$225)-$A207)*'Cálculos'!$F$98)+1400)+'Cálculos'!$F$122)*'Cálculos'!$F$260+'Cálculos'!$F$125*(1+2.78*('Cálculos'!$F$199+(($B$225)-$A207)*'Cálculos'!$F$98)/(('Cálculos'!$F$199+(($B$225)-$A207)*'Cálculos'!$F$98)+1400)+'Cálculos'!$F$123)*'Cálculos'!$F$265)+('Cálculos'!$F$201*(1+'Cálculos'!$F$202+$A207*('Cálculos'!$F$290=2)*'Cálculos'!$F$101)+'Cálculos'!$F$203)*('Cálculos'!$F$256+'Cálculos'!$F$124*(1+2.78*('Cálculos'!$F$199+(($B$225)-$A207)*'Cálculos'!$F$98)/(('Cálculos'!$F$199+(($B$225)-$A207)*'Cálculos'!$F$98)+1400)+'Cálculos'!$F$122)*'Cálculos'!$F$261+'Cálculos'!$F$125*(1+2.78*('Cálculos'!$F$199+(($B$225)-$A207)*'Cálculos'!$F$98)/(('Cálculos'!$F$199+(($B$225)-$A207)*'Cálculos'!$F$98)+1400)+'Cálculos'!$F$123)*'Cálculos'!$F$266)+('Cálculos'!$F$204*(1+'Cálculos'!$F$205+$A207*('Cálculos'!$F$290=3)*'Cálculos'!$F$103)+'Cálculos'!$F$206)*('Cálculos'!$F$257+'Cálculos'!$F$124*(1+2.78*('Cálculos'!$F$199+(($B$225)-$A207)*'Cálculos'!$F$98)/(('Cálculos'!$F$199+(($B$225)-$A207)*'Cálculos'!$F$98)+1400)+'Cálculos'!$F$122)*'Cálculos'!$F$262+'Cálculos'!$F$125*(1+2.78*('Cálculos'!$F$199+(($B$225)-$A207)*'Cálculos'!$F$98)/(('Cálculos'!$F$199+(($B$225)-$A207)*'Cálculos'!$F$98)+1400)+'Cálculos'!$F$123)*'Cálculos'!$F$267)+('Cálculos'!$F$185*(1+'Cálculos'!$F$190+$A207*('Cálculos'!$F$290=1)*'Cálculos'!$F$97+'Cálculos'!$F$305)+'Cálculos'!$F$195)*('Cálculos'!$F$269+'Cálculos'!$F$124*(1+2.78*('Cálculos'!$F$200+(($B$225)-$A207)*'Cálculos'!$F$98)/(('Cálculos'!$F$200+(($B$225)-$A207)*'Cálculos'!$F$98)+1400)+'Cálculos'!$F$122)*'Cálculos'!$F$274+'Cálculos'!$F$125*(1+2.78*('Cálculos'!$F$200+(($B$225)-$A207)*'Cálculos'!$F$98)/(('Cálculos'!$F$200+(($B$225)-$A207)*'Cálculos'!$F$98)+1400)+'Cálculos'!$F$123)*'Cálculos'!$F$279)+('Cálculos'!$F$200+(($B$225)-$A207)*'Cálculos'!$F$98)*('Cálculos'!$F$270+'Cálculos'!$F$124*(1+2.78*('Cálculos'!$F$200+(($B$225)-$A207)*'Cálculos'!$F$98)/(('Cálculos'!$F$200+(($B$225)-$A207)*'Cálculos'!$F$98)+1400)+'Cálculos'!$F$122)*'Cálculos'!$F$275+'Cálculos'!$F$125*(1+2.78*('Cálculos'!$F$200+(($B$225)-$A207)*'Cálculos'!$F$98)/(('Cálculos'!$F$200+(($B$225)-$A207)*'Cálculos'!$F$98)+1400)+'Cálculos'!$F$123)*'Cálculos'!$F$280)+('Cálculos'!$F$201*(1+'Cálculos'!$F$202+$A207*('Cálculos'!$F$290=2)*'Cálculos'!$F$101)+'Cálculos'!$F$203)*('Cálculos'!$F$271+'Cálculos'!$F$124*(1+2.78*('Cálculos'!$F$200+(($B$225)-$A207)*'Cálculos'!$F$98)/(('Cálculos'!$F$200+(($B$225)-$A207)*'Cálculos'!$F$98)+1400)+'Cálculos'!$F$122)*'Cálculos'!$F$276+'Cálculos'!$F$125*(1+2.78*('Cálculos'!$F$200+(($B$225)-$A207)*'Cálculos'!$F$98)/(('Cálculos'!$F$200+(($B$225)-$A207)*'Cálculos'!$F$98)+1400)+'Cálculos'!$F$123)*'Cálculos'!$F$281)+('Cálculos'!$F$204*(1+'Cálculos'!$F$205+$A207*('Cálculos'!$F$290=3)*'Cálculos'!$F$103)+'Cálculos'!$F$206)*('Cálculos'!$F$272+'Cálculos'!$F$124*(1+2.78*('Cálculos'!$F$200+(($B$225)-$A207)*'Cálculos'!$F$98)/(('Cálculos'!$F$200+(($B$225)-$A207)*'Cálculos'!$F$98)+1400)+'Cálculos'!$F$122)*'Cálculos'!$F$277+'Cálculos'!$F$125*(1+2.78*('Cálculos'!$F$200+(($B$225)-$A207)*'Cálculos'!$F$98)/(('Cálculos'!$F$200+(($B$225)-$A207)*'Cálculos'!$F$98)+1400)+'Cálculos'!$F$123)*'Cálculos'!$F$282)))</f>
        <v>0</v>
      </c>
    </row>
    <row r="208" ht="15.75" customHeight="1">
      <c r="A208" s="2">
        <v>31.0</v>
      </c>
      <c r="B208" s="30">
        <f>SUMPRODUCT(MAX(($A$177:$A$222&lt;=$A208)*($A$177:$A$222&lt;='Cálculos'!$F$294)*(($A208)-$A$177:$A$222&lt;='Cálculos'!$F$295)*(1+(('Cálculos'!$F$207+$A$177:$A$222*'Cálculos'!$F$95)-(('Cálculos'!$F$207+$A$177:$A$222*'Cálculos'!$F$95)&gt;1)*(('Cálculos'!$F$207+$A$177:$A$222*'Cálculos'!$F$95)-1))*('Cálculos'!$F$208+(($A208)-$A$177:$A$222)*'Cálculos'!$F$96))))</f>
        <v>3.170636</v>
      </c>
      <c r="C208" s="2">
        <f>'Cálculos'!$F$303-$A208</f>
        <v>-13</v>
      </c>
      <c r="D208" s="31">
        <f>IF($C208&lt;0,0,SUMPRODUCT(MAX(($A$177:$A$222&lt;=$C208)*($A$177:$A$222&lt;='Cálculos'!$F$301)*(($C208)-$A$177:$A$222&lt;='Cálculos'!$F$297)*(('Cálculos'!$F$185*(1+'Cálculos'!$F$186+$A$177:$A$222*('Cálculos'!$F$290=1)*'Cálculos'!$F$97+'Cálculos'!$F$305)+'Cálculos'!$F$191)*('Cálculos'!$F$209+'Cálculos'!$F$124*(1+2.78*('Cálculos'!$F$196+(($C208)-$A$177:$A$222)*'Cálculos'!$F$98)/(('Cálculos'!$F$196+(($C208)-$A$177:$A$222)*'Cálculos'!$F$98)+1400)+'Cálculos'!$F$122)*'Cálculos'!$F$214+'Cálculos'!$F$125*(1+2.78*('Cálculos'!$F$196+(($C208)-$A$177:$A$222)*'Cálculos'!$F$98)/(('Cálculos'!$F$196+(($C208)-$A$177:$A$222)*'Cálculos'!$F$98)+1400)+'Cálculos'!$F$123)*'Cálculos'!$F$219)+('Cálculos'!$F$196+(($C208)-$A$177:$A$222)*'Cálculos'!$F$98)*('Cálculos'!$F$210+'Cálculos'!$F$124*(1+2.78*('Cálculos'!$F$196+(($C208)-$A$177:$A$222)*'Cálculos'!$F$98)/(('Cálculos'!$F$196+(($C208)-$A$177:$A$222)*'Cálculos'!$F$98)+1400)+'Cálculos'!$F$122)*'Cálculos'!$F$215+'Cálculos'!$F$125*(1+2.78*('Cálculos'!$F$196+(($C208)-$A$177:$A$222)*'Cálculos'!$F$98)/(('Cálculos'!$F$196+(($C208)-$A$177:$A$222)*'Cálculos'!$F$98)+1400)+'Cálculos'!$F$123)*'Cálculos'!$F$220)+('Cálculos'!$F$201*(1+'Cálculos'!$F$202+$A$177:$A$222*('Cálculos'!$F$290=2)*'Cálculos'!$F$101)+'Cálculos'!$F$203)*('Cálculos'!$F$211+'Cálculos'!$F$124*(1+2.78*('Cálculos'!$F$196+(($C208)-$A$177:$A$222)*'Cálculos'!$F$98)/(('Cálculos'!$F$196+(($C208)-$A$177:$A$222)*'Cálculos'!$F$98)+1400)+'Cálculos'!$F$122)*'Cálculos'!$F$216+'Cálculos'!$F$125*(1+2.78*('Cálculos'!$F$196+(($C208)-$A$177:$A$222)*'Cálculos'!$F$98)/(('Cálculos'!$F$196+(($C208)-$A$177:$A$222)*'Cálculos'!$F$98)+1400)+'Cálculos'!$F$123)*'Cálculos'!$F$221)+('Cálculos'!$F$204*(1+'Cálculos'!$F$205+$A$177:$A$222*('Cálculos'!$F$290=3)*'Cálculos'!$F$103)+'Cálculos'!$F$206)*('Cálculos'!$F$212+'Cálculos'!$F$124*(1+2.78*('Cálculos'!$F$196+(($C208)-$A$177:$A$222)*'Cálculos'!$F$98)/(('Cálculos'!$F$196+(($C208)-$A$177:$A$222)*'Cálculos'!$F$98)+1400)+'Cálculos'!$F$122)*'Cálculos'!$F$217+'Cálculos'!$F$125*(1+2.78*('Cálculos'!$F$196+(($C208)-$A$177:$A$222)*'Cálculos'!$F$98)/(('Cálculos'!$F$196+(($C208)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208)-$A$177:$A$222)*'Cálculos'!$F$98)/(('Cálculos'!$F$197+(($C208)-$A$177:$A$222)*'Cálculos'!$F$98)+1400)+'Cálculos'!$F$122)*'Cálculos'!$F$229+'Cálculos'!$F$125*(1+2.78*('Cálculos'!$F$197+(($C208)-$A$177:$A$222)*'Cálculos'!$F$98)/(('Cálculos'!$F$197+(($C208)-$A$177:$A$222)*'Cálculos'!$F$98)+1400)+'Cálculos'!$F$123)*'Cálculos'!$F$234)+('Cálculos'!$F$197+(($C208)-$A$177:$A$222)*'Cálculos'!$F$98)*('Cálculos'!$F$225+'Cálculos'!$F$124*(1+2.78*('Cálculos'!$F$197+(($C208)-$A$177:$A$222)*'Cálculos'!$F$98)/(('Cálculos'!$F$197+(($C208)-$A$177:$A$222)*'Cálculos'!$F$98)+1400)+'Cálculos'!$F$122)*'Cálculos'!$F$230+'Cálculos'!$F$125*(1+2.78*('Cálculos'!$F$197+(($C208)-$A$177:$A$222)*'Cálculos'!$F$98)/(('Cálculos'!$F$197+(($C208)-$A$177:$A$222)*'Cálculos'!$F$98)+1400)+'Cálculos'!$F$123)*'Cálculos'!$F$235)+('Cálculos'!$F$201*(1+'Cálculos'!$F$202+$A$177:$A$222*('Cálculos'!$F$290=2)*'Cálculos'!$F$101)+'Cálculos'!$F$203)*('Cálculos'!$F$226+'Cálculos'!$F$124*(1+2.78*('Cálculos'!$F$197+(($C208)-$A$177:$A$222)*'Cálculos'!$F$98)/(('Cálculos'!$F$197+(($C208)-$A$177:$A$222)*'Cálculos'!$F$98)+1400)+'Cálculos'!$F$122)*'Cálculos'!$F$231+'Cálculos'!$F$125*(1+2.78*('Cálculos'!$F$197+(($C208)-$A$177:$A$222)*'Cálculos'!$F$98)/(('Cálculos'!$F$197+(($C208)-$A$177:$A$222)*'Cálculos'!$F$98)+1400)+'Cálculos'!$F$123)*'Cálculos'!$F$236)+('Cálculos'!$F$204*(1+'Cálculos'!$F$205+$A$177:$A$222*('Cálculos'!$F$290=3)*'Cálculos'!$F$103)+'Cálculos'!$F$206)*('Cálculos'!$F$227+'Cálculos'!$F$124*(1+2.78*('Cálculos'!$F$197+(($C208)-$A$177:$A$222)*'Cálculos'!$F$98)/(('Cálculos'!$F$197+(($C208)-$A$177:$A$222)*'Cálculos'!$F$98)+1400)+'Cálculos'!$F$122)*'Cálculos'!$F$232+'Cálculos'!$F$125*(1+2.78*('Cálculos'!$F$197+(($C208)-$A$177:$A$222)*'Cálculos'!$F$98)/(('Cálculos'!$F$197+(($C208)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208)-$A$177:$A$222)*'Cálculos'!$F$98)/(('Cálculos'!$F$198+(($C208)-$A$177:$A$222)*'Cálculos'!$F$98)+1400)+'Cálculos'!$F$122)*'Cálculos'!$F$244+'Cálculos'!$F$125*(1+2.78*('Cálculos'!$F$198+(($C208)-$A$177:$A$222)*'Cálculos'!$F$98)/(('Cálculos'!$F$198+(($C208)-$A$177:$A$222)*'Cálculos'!$F$98)+1400)+'Cálculos'!$F$123)*'Cálculos'!$F$249)+('Cálculos'!$F$198+(($C208)-$A$177:$A$222)*'Cálculos'!$F$98)*('Cálculos'!$F$240+'Cálculos'!$F$124*(1+2.78*('Cálculos'!$F$198+(($C208)-$A$177:$A$222)*'Cálculos'!$F$98)/(('Cálculos'!$F$198+(($C208)-$A$177:$A$222)*'Cálculos'!$F$98)+1400)+'Cálculos'!$F$122)*'Cálculos'!$F$245+'Cálculos'!$F$125*(1+2.78*('Cálculos'!$F$198+(($C208)-$A$177:$A$222)*'Cálculos'!$F$98)/(('Cálculos'!$F$198+(($C208)-$A$177:$A$222)*'Cálculos'!$F$98)+1400)+'Cálculos'!$F$123)*'Cálculos'!$F$250)+('Cálculos'!$F$201*(1+'Cálculos'!$F$202+$A$177:$A$222*('Cálculos'!$F$290=2)*'Cálculos'!$F$101)+'Cálculos'!$F$203)*('Cálculos'!$F$241+'Cálculos'!$F$124*(1+2.78*('Cálculos'!$F$198+(($C208)-$A$177:$A$222)*'Cálculos'!$F$98)/(('Cálculos'!$F$198+(($C208)-$A$177:$A$222)*'Cálculos'!$F$98)+1400)+'Cálculos'!$F$122)*'Cálculos'!$F$246+'Cálculos'!$F$125*(1+2.78*('Cálculos'!$F$198+(($C208)-$A$177:$A$222)*'Cálculos'!$F$98)/(('Cálculos'!$F$198+(($C208)-$A$177:$A$222)*'Cálculos'!$F$98)+1400)+'Cálculos'!$F$123)*'Cálculos'!$F$251)+('Cálculos'!$F$204*(1+'Cálculos'!$F$205+$A$177:$A$222*('Cálculos'!$F$290=3)*'Cálculos'!$F$103)+'Cálculos'!$F$206)*('Cálculos'!$F$242+'Cálculos'!$F$124*(1+2.78*('Cálculos'!$F$198+(($C208)-$A$177:$A$222)*'Cálculos'!$F$98)/(('Cálculos'!$F$198+(($C208)-$A$177:$A$222)*'Cálculos'!$F$98)+1400)+'Cálculos'!$F$122)*'Cálculos'!$F$247+'Cálculos'!$F$125*(1+2.78*('Cálculos'!$F$198+(($C208)-$A$177:$A$222)*'Cálculos'!$F$98)/(('Cálculos'!$F$198+(($C208)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208)-$A$177:$A$222)*'Cálculos'!$F$98)/(('Cálculos'!$F$199+(($C208)-$A$177:$A$222)*'Cálculos'!$F$98)+1400)+'Cálculos'!$F$122)*'Cálculos'!$F$259+'Cálculos'!$F$125*(1+2.78*('Cálculos'!$F$199+(($C208)-$A$177:$A$222)*'Cálculos'!$F$98)/(('Cálculos'!$F$199+(($C208)-$A$177:$A$222)*'Cálculos'!$F$98)+1400)+'Cálculos'!$F$123)*'Cálculos'!$F$264)+('Cálculos'!$F$199+(($C208)-$A$177:$A$222)*'Cálculos'!$F$98)*('Cálculos'!$F$255+'Cálculos'!$F$124*(1+2.78*('Cálculos'!$F$199+(($C208)-$A$177:$A$222)*'Cálculos'!$F$98)/(('Cálculos'!$F$199+(($C208)-$A$177:$A$222)*'Cálculos'!$F$98)+1400)+'Cálculos'!$F$122)*'Cálculos'!$F$260+'Cálculos'!$F$125*(1+2.78*('Cálculos'!$F$199+(($C208)-$A$177:$A$222)*'Cálculos'!$F$98)/(('Cálculos'!$F$199+(($C208)-$A$177:$A$222)*'Cálculos'!$F$98)+1400)+'Cálculos'!$F$123)*'Cálculos'!$F$265)+('Cálculos'!$F$201*(1+'Cálculos'!$F$202+$A$177:$A$222*('Cálculos'!$F$290=2)*'Cálculos'!$F$101)+'Cálculos'!$F$203)*('Cálculos'!$F$256+'Cálculos'!$F$124*(1+2.78*('Cálculos'!$F$199+(($C208)-$A$177:$A$222)*'Cálculos'!$F$98)/(('Cálculos'!$F$199+(($C208)-$A$177:$A$222)*'Cálculos'!$F$98)+1400)+'Cálculos'!$F$122)*'Cálculos'!$F$261+'Cálculos'!$F$125*(1+2.78*('Cálculos'!$F$199+(($C208)-$A$177:$A$222)*'Cálculos'!$F$98)/(('Cálculos'!$F$199+(($C208)-$A$177:$A$222)*'Cálculos'!$F$98)+1400)+'Cálculos'!$F$123)*'Cálculos'!$F$266)+('Cálculos'!$F$204*(1+'Cálculos'!$F$205+$A$177:$A$222*('Cálculos'!$F$290=3)*'Cálculos'!$F$103)+'Cálculos'!$F$206)*('Cálculos'!$F$257+'Cálculos'!$F$124*(1+2.78*('Cálculos'!$F$199+(($C208)-$A$177:$A$222)*'Cálculos'!$F$98)/(('Cálculos'!$F$199+(($C208)-$A$177:$A$222)*'Cálculos'!$F$98)+1400)+'Cálculos'!$F$122)*'Cálculos'!$F$262+'Cálculos'!$F$125*(1+2.78*('Cálculos'!$F$199+(($C208)-$A$177:$A$222)*'Cálculos'!$F$98)/(('Cálculos'!$F$199+(($C208)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208)-$A$177:$A$222)*'Cálculos'!$F$98)/(('Cálculos'!$F$200+(($C208)-$A$177:$A$222)*'Cálculos'!$F$98)+1400)+'Cálculos'!$F$122)*'Cálculos'!$F$274+'Cálculos'!$F$125*(1+2.78*('Cálculos'!$F$200+(($C208)-$A$177:$A$222)*'Cálculos'!$F$98)/(('Cálculos'!$F$200+(($C208)-$A$177:$A$222)*'Cálculos'!$F$98)+1400)+'Cálculos'!$F$123)*'Cálculos'!$F$279)+('Cálculos'!$F$200+(($C208)-$A$177:$A$222)*'Cálculos'!$F$98)*('Cálculos'!$F$270+'Cálculos'!$F$124*(1+2.78*('Cálculos'!$F$200+(($C208)-$A$177:$A$222)*'Cálculos'!$F$98)/(('Cálculos'!$F$200+(($C208)-$A$177:$A$222)*'Cálculos'!$F$98)+1400)+'Cálculos'!$F$122)*'Cálculos'!$F$275+'Cálculos'!$F$125*(1+2.78*('Cálculos'!$F$200+(($C208)-$A$177:$A$222)*'Cálculos'!$F$98)/(('Cálculos'!$F$200+(($C208)-$A$177:$A$222)*'Cálculos'!$F$98)+1400)+'Cálculos'!$F$123)*'Cálculos'!$F$280)+('Cálculos'!$F$201*(1+'Cálculos'!$F$202+$A$177:$A$222*('Cálculos'!$F$290=2)*'Cálculos'!$F$101)+'Cálculos'!$F$203)*('Cálculos'!$F$271+'Cálculos'!$F$124*(1+2.78*('Cálculos'!$F$200+(($C208)-$A$177:$A$222)*'Cálculos'!$F$98)/(('Cálculos'!$F$200+(($C208)-$A$177:$A$222)*'Cálculos'!$F$98)+1400)+'Cálculos'!$F$122)*'Cálculos'!$F$276+'Cálculos'!$F$125*(1+2.78*('Cálculos'!$F$200+(($C208)-$A$177:$A$222)*'Cálculos'!$F$98)/(('Cálculos'!$F$200+(($C208)-$A$177:$A$222)*'Cálculos'!$F$98)+1400)+'Cálculos'!$F$123)*'Cálculos'!$F$281)+('Cálculos'!$F$204*(1+'Cálculos'!$F$205+$A$177:$A$222*('Cálculos'!$F$290=3)*'Cálculos'!$F$103)+'Cálculos'!$F$206)*('Cálculos'!$F$272+'Cálculos'!$F$124*(1+2.78*('Cálculos'!$F$200+(($C208)-$A$177:$A$222)*'Cálculos'!$F$98)/(('Cálculos'!$F$200+(($C208)-$A$177:$A$222)*'Cálculos'!$F$98)+1400)+'Cálculos'!$F$122)*'Cálculos'!$F$277+'Cálculos'!$F$125*(1+2.78*('Cálculos'!$F$200+(($C208)-$A$177:$A$222)*'Cálculos'!$F$98)/(('Cálculos'!$F$200+(($C208)-$A$177:$A$222)*'Cálculos'!$F$98)+1400)+'Cálculos'!$F$123)*'Cálculos'!$F$282)))))</f>
        <v>0</v>
      </c>
      <c r="E208" s="32">
        <f>IF(OR($C208&lt;0,'Cálculos'!$F$6=""),0,$B208*$D208)</f>
        <v>0</v>
      </c>
      <c r="F208" s="2"/>
      <c r="G208" s="30">
        <f>($A208&lt;=$B$224)*($A208&lt;='Cálculos'!$F$294)*(($B$224)-$A208&lt;='Cálculos'!$F$295)*(1+MIN(('Cálculos'!$F$207+$A208*'Cálculos'!$F$95),1)*('Cálculos'!$F$208+(($B$224)-$A208)*'Cálculos'!$F$96))</f>
        <v>0</v>
      </c>
      <c r="H208" s="31">
        <f>IF($B$225&lt;0,0,($A208&lt;=$B$225)*($A208&lt;='Cálculos'!$F$301)*(($B$225)-$A208&lt;='Cálculos'!$F$297)*(('Cálculos'!$F$185*(1+'Cálculos'!$F$186+$A208*('Cálculos'!$F$290=1)*'Cálculos'!$F$97+'Cálculos'!$F$305)+'Cálculos'!$F$191)*('Cálculos'!$F$209+'Cálculos'!$F$124*(1+2.78*('Cálculos'!$F$196+(($B$225)-$A208)*'Cálculos'!$F$98)/(('Cálculos'!$F$196+(($B$225)-$A208)*'Cálculos'!$F$98)+1400)+'Cálculos'!$F$122)*'Cálculos'!$F$214+'Cálculos'!$F$125*(1+2.78*('Cálculos'!$F$196+(($B$225)-$A208)*'Cálculos'!$F$98)/(('Cálculos'!$F$196+(($B$225)-$A208)*'Cálculos'!$F$98)+1400)+'Cálculos'!$F$123)*'Cálculos'!$F$219)+('Cálculos'!$F$196+(($B$225)-$A208)*'Cálculos'!$F$98)*('Cálculos'!$F$210+'Cálculos'!$F$124*(1+2.78*('Cálculos'!$F$196+(($B$225)-$A208)*'Cálculos'!$F$98)/(('Cálculos'!$F$196+(($B$225)-$A208)*'Cálculos'!$F$98)+1400)+'Cálculos'!$F$122)*'Cálculos'!$F$215+'Cálculos'!$F$125*(1+2.78*('Cálculos'!$F$196+(($B$225)-$A208)*'Cálculos'!$F$98)/(('Cálculos'!$F$196+(($B$225)-$A208)*'Cálculos'!$F$98)+1400)+'Cálculos'!$F$123)*'Cálculos'!$F$220)+('Cálculos'!$F$201*(1+'Cálculos'!$F$202+$A208*('Cálculos'!$F$290=2)*'Cálculos'!$F$101)+'Cálculos'!$F$203)*('Cálculos'!$F$211+'Cálculos'!$F$124*(1+2.78*('Cálculos'!$F$196+(($B$225)-$A208)*'Cálculos'!$F$98)/(('Cálculos'!$F$196+(($B$225)-$A208)*'Cálculos'!$F$98)+1400)+'Cálculos'!$F$122)*'Cálculos'!$F$216+'Cálculos'!$F$125*(1+2.78*('Cálculos'!$F$196+(($B$225)-$A208)*'Cálculos'!$F$98)/(('Cálculos'!$F$196+(($B$225)-$A208)*'Cálculos'!$F$98)+1400)+'Cálculos'!$F$123)*'Cálculos'!$F$221)+('Cálculos'!$F$204*(1+'Cálculos'!$F$205+$A208*('Cálculos'!$F$290=3)*'Cálculos'!$F$103)+'Cálculos'!$F$206)*('Cálculos'!$F$212+'Cálculos'!$F$124*(1+2.78*('Cálculos'!$F$196+(($B$225)-$A208)*'Cálculos'!$F$98)/(('Cálculos'!$F$196+(($B$225)-$A208)*'Cálculos'!$F$98)+1400)+'Cálculos'!$F$122)*'Cálculos'!$F$217+'Cálculos'!$F$125*(1+2.78*('Cálculos'!$F$196+(($B$225)-$A208)*'Cálculos'!$F$98)/(('Cálculos'!$F$196+(($B$225)-$A208)*'Cálculos'!$F$98)+1400)+'Cálculos'!$F$123)*'Cálculos'!$F$222)+('Cálculos'!$F$185*(1+'Cálculos'!$F$187+$A208*('Cálculos'!$F$290=1)*'Cálculos'!$F$97+'Cálculos'!$F$305)+'Cálculos'!$F$192)*('Cálculos'!$F$224+'Cálculos'!$F$124*(1+2.78*('Cálculos'!$F$197+(($B$225)-$A208)*'Cálculos'!$F$98)/(('Cálculos'!$F$197+(($B$225)-$A208)*'Cálculos'!$F$98)+1400)+'Cálculos'!$F$122)*'Cálculos'!$F$229+'Cálculos'!$F$125*(1+2.78*('Cálculos'!$F$197+(($B$225)-$A208)*'Cálculos'!$F$98)/(('Cálculos'!$F$197+(($B$225)-$A208)*'Cálculos'!$F$98)+1400)+'Cálculos'!$F$123)*'Cálculos'!$F$234)+('Cálculos'!$F$197+(($B$225)-$A208)*'Cálculos'!$F$98)*('Cálculos'!$F$225+'Cálculos'!$F$124*(1+2.78*('Cálculos'!$F$197+(($B$225)-$A208)*'Cálculos'!$F$98)/(('Cálculos'!$F$197+(($B$225)-$A208)*'Cálculos'!$F$98)+1400)+'Cálculos'!$F$122)*'Cálculos'!$F$230+'Cálculos'!$F$125*(1+2.78*('Cálculos'!$F$197+(($B$225)-$A208)*'Cálculos'!$F$98)/(('Cálculos'!$F$197+(($B$225)-$A208)*'Cálculos'!$F$98)+1400)+'Cálculos'!$F$123)*'Cálculos'!$F$235)+('Cálculos'!$F$201*(1+'Cálculos'!$F$202+$A208*('Cálculos'!$F$290=2)*'Cálculos'!$F$101)+'Cálculos'!$F$203)*('Cálculos'!$F$226+'Cálculos'!$F$124*(1+2.78*('Cálculos'!$F$197+(($B$225)-$A208)*'Cálculos'!$F$98)/(('Cálculos'!$F$197+(($B$225)-$A208)*'Cálculos'!$F$98)+1400)+'Cálculos'!$F$122)*'Cálculos'!$F$231+'Cálculos'!$F$125*(1+2.78*('Cálculos'!$F$197+(($B$225)-$A208)*'Cálculos'!$F$98)/(('Cálculos'!$F$197+(($B$225)-$A208)*'Cálculos'!$F$98)+1400)+'Cálculos'!$F$123)*'Cálculos'!$F$236)+('Cálculos'!$F$204*(1+'Cálculos'!$F$205+$A208*('Cálculos'!$F$290=3)*'Cálculos'!$F$103)+'Cálculos'!$F$206)*('Cálculos'!$F$227+'Cálculos'!$F$124*(1+2.78*('Cálculos'!$F$197+(($B$225)-$A208)*'Cálculos'!$F$98)/(('Cálculos'!$F$197+(($B$225)-$A208)*'Cálculos'!$F$98)+1400)+'Cálculos'!$F$122)*'Cálculos'!$F$232+'Cálculos'!$F$125*(1+2.78*('Cálculos'!$F$197+(($B$225)-$A208)*'Cálculos'!$F$98)/(('Cálculos'!$F$197+(($B$225)-$A208)*'Cálculos'!$F$98)+1400)+'Cálculos'!$F$123)*'Cálculos'!$F$237)+('Cálculos'!$F$185*(1+'Cálculos'!$F$188+$A208*('Cálculos'!$F$290=1)*'Cálculos'!$F$97+'Cálculos'!$F$305)+'Cálculos'!$F$193)*('Cálculos'!$F$239+'Cálculos'!$F$124*(1+2.78*('Cálculos'!$F$198+(($B$225)-$A208)*'Cálculos'!$F$98)/(('Cálculos'!$F$198+(($B$225)-$A208)*'Cálculos'!$F$98)+1400)+'Cálculos'!$F$122)*'Cálculos'!$F$244+'Cálculos'!$F$125*(1+2.78*('Cálculos'!$F$198+(($B$225)-$A208)*'Cálculos'!$F$98)/(('Cálculos'!$F$198+(($B$225)-$A208)*'Cálculos'!$F$98)+1400)+'Cálculos'!$F$123)*'Cálculos'!$F$249)+('Cálculos'!$F$198+(($B$225)-$A208)*'Cálculos'!$F$98)*('Cálculos'!$F$240+'Cálculos'!$F$124*(1+2.78*('Cálculos'!$F$198+(($B$225)-$A208)*'Cálculos'!$F$98)/(('Cálculos'!$F$198+(($B$225)-$A208)*'Cálculos'!$F$98)+1400)+'Cálculos'!$F$122)*'Cálculos'!$F$245+'Cálculos'!$F$125*(1+2.78*('Cálculos'!$F$198+(($B$225)-$A208)*'Cálculos'!$F$98)/(('Cálculos'!$F$198+(($B$225)-$A208)*'Cálculos'!$F$98)+1400)+'Cálculos'!$F$123)*'Cálculos'!$F$250)+('Cálculos'!$F$201*(1+'Cálculos'!$F$202+$A208*('Cálculos'!$F$290=2)*'Cálculos'!$F$101)+'Cálculos'!$F$203)*('Cálculos'!$F$241+'Cálculos'!$F$124*(1+2.78*('Cálculos'!$F$198+(($B$225)-$A208)*'Cálculos'!$F$98)/(('Cálculos'!$F$198+(($B$225)-$A208)*'Cálculos'!$F$98)+1400)+'Cálculos'!$F$122)*'Cálculos'!$F$246+'Cálculos'!$F$125*(1+2.78*('Cálculos'!$F$198+(($B$225)-$A208)*'Cálculos'!$F$98)/(('Cálculos'!$F$198+(($B$225)-$A208)*'Cálculos'!$F$98)+1400)+'Cálculos'!$F$123)*'Cálculos'!$F$251)+('Cálculos'!$F$204*(1+'Cálculos'!$F$205+$A208*('Cálculos'!$F$290=3)*'Cálculos'!$F$103)+'Cálculos'!$F$206)*('Cálculos'!$F$242+'Cálculos'!$F$124*(1+2.78*('Cálculos'!$F$198+(($B$225)-$A208)*'Cálculos'!$F$98)/(('Cálculos'!$F$198+(($B$225)-$A208)*'Cálculos'!$F$98)+1400)+'Cálculos'!$F$122)*'Cálculos'!$F$247+'Cálculos'!$F$125*(1+2.78*('Cálculos'!$F$198+(($B$225)-$A208)*'Cálculos'!$F$98)/(('Cálculos'!$F$198+(($B$225)-$A208)*'Cálculos'!$F$98)+1400)+'Cálculos'!$F$123)*'Cálculos'!$F$252)+('Cálculos'!$F$185*(1+'Cálculos'!$F$189+$A208*('Cálculos'!$F$290=1)*'Cálculos'!$F$97+'Cálculos'!$F$305)+'Cálculos'!$F$194)*('Cálculos'!$F$254+'Cálculos'!$F$124*(1+2.78*('Cálculos'!$F$199+(($B$225)-$A208)*'Cálculos'!$F$98)/(('Cálculos'!$F$199+(($B$225)-$A208)*'Cálculos'!$F$98)+1400)+'Cálculos'!$F$122)*'Cálculos'!$F$259+'Cálculos'!$F$125*(1+2.78*('Cálculos'!$F$199+(($B$225)-$A208)*'Cálculos'!$F$98)/(('Cálculos'!$F$199+(($B$225)-$A208)*'Cálculos'!$F$98)+1400)+'Cálculos'!$F$123)*'Cálculos'!$F$264)+('Cálculos'!$F$199+(($B$225)-$A208)*'Cálculos'!$F$98)*('Cálculos'!$F$255+'Cálculos'!$F$124*(1+2.78*('Cálculos'!$F$199+(($B$225)-$A208)*'Cálculos'!$F$98)/(('Cálculos'!$F$199+(($B$225)-$A208)*'Cálculos'!$F$98)+1400)+'Cálculos'!$F$122)*'Cálculos'!$F$260+'Cálculos'!$F$125*(1+2.78*('Cálculos'!$F$199+(($B$225)-$A208)*'Cálculos'!$F$98)/(('Cálculos'!$F$199+(($B$225)-$A208)*'Cálculos'!$F$98)+1400)+'Cálculos'!$F$123)*'Cálculos'!$F$265)+('Cálculos'!$F$201*(1+'Cálculos'!$F$202+$A208*('Cálculos'!$F$290=2)*'Cálculos'!$F$101)+'Cálculos'!$F$203)*('Cálculos'!$F$256+'Cálculos'!$F$124*(1+2.78*('Cálculos'!$F$199+(($B$225)-$A208)*'Cálculos'!$F$98)/(('Cálculos'!$F$199+(($B$225)-$A208)*'Cálculos'!$F$98)+1400)+'Cálculos'!$F$122)*'Cálculos'!$F$261+'Cálculos'!$F$125*(1+2.78*('Cálculos'!$F$199+(($B$225)-$A208)*'Cálculos'!$F$98)/(('Cálculos'!$F$199+(($B$225)-$A208)*'Cálculos'!$F$98)+1400)+'Cálculos'!$F$123)*'Cálculos'!$F$266)+('Cálculos'!$F$204*(1+'Cálculos'!$F$205+$A208*('Cálculos'!$F$290=3)*'Cálculos'!$F$103)+'Cálculos'!$F$206)*('Cálculos'!$F$257+'Cálculos'!$F$124*(1+2.78*('Cálculos'!$F$199+(($B$225)-$A208)*'Cálculos'!$F$98)/(('Cálculos'!$F$199+(($B$225)-$A208)*'Cálculos'!$F$98)+1400)+'Cálculos'!$F$122)*'Cálculos'!$F$262+'Cálculos'!$F$125*(1+2.78*('Cálculos'!$F$199+(($B$225)-$A208)*'Cálculos'!$F$98)/(('Cálculos'!$F$199+(($B$225)-$A208)*'Cálculos'!$F$98)+1400)+'Cálculos'!$F$123)*'Cálculos'!$F$267)+('Cálculos'!$F$185*(1+'Cálculos'!$F$190+$A208*('Cálculos'!$F$290=1)*'Cálculos'!$F$97+'Cálculos'!$F$305)+'Cálculos'!$F$195)*('Cálculos'!$F$269+'Cálculos'!$F$124*(1+2.78*('Cálculos'!$F$200+(($B$225)-$A208)*'Cálculos'!$F$98)/(('Cálculos'!$F$200+(($B$225)-$A208)*'Cálculos'!$F$98)+1400)+'Cálculos'!$F$122)*'Cálculos'!$F$274+'Cálculos'!$F$125*(1+2.78*('Cálculos'!$F$200+(($B$225)-$A208)*'Cálculos'!$F$98)/(('Cálculos'!$F$200+(($B$225)-$A208)*'Cálculos'!$F$98)+1400)+'Cálculos'!$F$123)*'Cálculos'!$F$279)+('Cálculos'!$F$200+(($B$225)-$A208)*'Cálculos'!$F$98)*('Cálculos'!$F$270+'Cálculos'!$F$124*(1+2.78*('Cálculos'!$F$200+(($B$225)-$A208)*'Cálculos'!$F$98)/(('Cálculos'!$F$200+(($B$225)-$A208)*'Cálculos'!$F$98)+1400)+'Cálculos'!$F$122)*'Cálculos'!$F$275+'Cálculos'!$F$125*(1+2.78*('Cálculos'!$F$200+(($B$225)-$A208)*'Cálculos'!$F$98)/(('Cálculos'!$F$200+(($B$225)-$A208)*'Cálculos'!$F$98)+1400)+'Cálculos'!$F$123)*'Cálculos'!$F$280)+('Cálculos'!$F$201*(1+'Cálculos'!$F$202+$A208*('Cálculos'!$F$290=2)*'Cálculos'!$F$101)+'Cálculos'!$F$203)*('Cálculos'!$F$271+'Cálculos'!$F$124*(1+2.78*('Cálculos'!$F$200+(($B$225)-$A208)*'Cálculos'!$F$98)/(('Cálculos'!$F$200+(($B$225)-$A208)*'Cálculos'!$F$98)+1400)+'Cálculos'!$F$122)*'Cálculos'!$F$276+'Cálculos'!$F$125*(1+2.78*('Cálculos'!$F$200+(($B$225)-$A208)*'Cálculos'!$F$98)/(('Cálculos'!$F$200+(($B$225)-$A208)*'Cálculos'!$F$98)+1400)+'Cálculos'!$F$123)*'Cálculos'!$F$281)+('Cálculos'!$F$204*(1+'Cálculos'!$F$205+$A208*('Cálculos'!$F$290=3)*'Cálculos'!$F$103)+'Cálculos'!$F$206)*('Cálculos'!$F$272+'Cálculos'!$F$124*(1+2.78*('Cálculos'!$F$200+(($B$225)-$A208)*'Cálculos'!$F$98)/(('Cálculos'!$F$200+(($B$225)-$A208)*'Cálculos'!$F$98)+1400)+'Cálculos'!$F$122)*'Cálculos'!$F$277+'Cálculos'!$F$125*(1+2.78*('Cálculos'!$F$200+(($B$225)-$A208)*'Cálculos'!$F$98)/(('Cálculos'!$F$200+(($B$225)-$A208)*'Cálculos'!$F$98)+1400)+'Cálculos'!$F$123)*'Cálculos'!$F$282)))</f>
        <v>0</v>
      </c>
    </row>
    <row r="209" ht="15.75" customHeight="1">
      <c r="A209" s="2">
        <v>32.0</v>
      </c>
      <c r="B209" s="30">
        <f>SUMPRODUCT(MAX(($A$177:$A$222&lt;=$A209)*($A$177:$A$222&lt;='Cálculos'!$F$294)*(($A209)-$A$177:$A$222&lt;='Cálculos'!$F$295)*(1+(('Cálculos'!$F$207+$A$177:$A$222*'Cálculos'!$F$95)-(('Cálculos'!$F$207+$A$177:$A$222*'Cálculos'!$F$95)&gt;1)*(('Cálculos'!$F$207+$A$177:$A$222*'Cálculos'!$F$95)-1))*('Cálculos'!$F$208+(($A209)-$A$177:$A$222)*'Cálculos'!$F$96))))</f>
        <v>3.235844</v>
      </c>
      <c r="C209" s="2">
        <f>'Cálculos'!$F$303-$A209</f>
        <v>-14</v>
      </c>
      <c r="D209" s="31">
        <f>IF($C209&lt;0,0,SUMPRODUCT(MAX(($A$177:$A$222&lt;=$C209)*($A$177:$A$222&lt;='Cálculos'!$F$301)*(($C209)-$A$177:$A$222&lt;='Cálculos'!$F$297)*(('Cálculos'!$F$185*(1+'Cálculos'!$F$186+$A$177:$A$222*('Cálculos'!$F$290=1)*'Cálculos'!$F$97+'Cálculos'!$F$305)+'Cálculos'!$F$191)*('Cálculos'!$F$209+'Cálculos'!$F$124*(1+2.78*('Cálculos'!$F$196+(($C209)-$A$177:$A$222)*'Cálculos'!$F$98)/(('Cálculos'!$F$196+(($C209)-$A$177:$A$222)*'Cálculos'!$F$98)+1400)+'Cálculos'!$F$122)*'Cálculos'!$F$214+'Cálculos'!$F$125*(1+2.78*('Cálculos'!$F$196+(($C209)-$A$177:$A$222)*'Cálculos'!$F$98)/(('Cálculos'!$F$196+(($C209)-$A$177:$A$222)*'Cálculos'!$F$98)+1400)+'Cálculos'!$F$123)*'Cálculos'!$F$219)+('Cálculos'!$F$196+(($C209)-$A$177:$A$222)*'Cálculos'!$F$98)*('Cálculos'!$F$210+'Cálculos'!$F$124*(1+2.78*('Cálculos'!$F$196+(($C209)-$A$177:$A$222)*'Cálculos'!$F$98)/(('Cálculos'!$F$196+(($C209)-$A$177:$A$222)*'Cálculos'!$F$98)+1400)+'Cálculos'!$F$122)*'Cálculos'!$F$215+'Cálculos'!$F$125*(1+2.78*('Cálculos'!$F$196+(($C209)-$A$177:$A$222)*'Cálculos'!$F$98)/(('Cálculos'!$F$196+(($C209)-$A$177:$A$222)*'Cálculos'!$F$98)+1400)+'Cálculos'!$F$123)*'Cálculos'!$F$220)+('Cálculos'!$F$201*(1+'Cálculos'!$F$202+$A$177:$A$222*('Cálculos'!$F$290=2)*'Cálculos'!$F$101)+'Cálculos'!$F$203)*('Cálculos'!$F$211+'Cálculos'!$F$124*(1+2.78*('Cálculos'!$F$196+(($C209)-$A$177:$A$222)*'Cálculos'!$F$98)/(('Cálculos'!$F$196+(($C209)-$A$177:$A$222)*'Cálculos'!$F$98)+1400)+'Cálculos'!$F$122)*'Cálculos'!$F$216+'Cálculos'!$F$125*(1+2.78*('Cálculos'!$F$196+(($C209)-$A$177:$A$222)*'Cálculos'!$F$98)/(('Cálculos'!$F$196+(($C209)-$A$177:$A$222)*'Cálculos'!$F$98)+1400)+'Cálculos'!$F$123)*'Cálculos'!$F$221)+('Cálculos'!$F$204*(1+'Cálculos'!$F$205+$A$177:$A$222*('Cálculos'!$F$290=3)*'Cálculos'!$F$103)+'Cálculos'!$F$206)*('Cálculos'!$F$212+'Cálculos'!$F$124*(1+2.78*('Cálculos'!$F$196+(($C209)-$A$177:$A$222)*'Cálculos'!$F$98)/(('Cálculos'!$F$196+(($C209)-$A$177:$A$222)*'Cálculos'!$F$98)+1400)+'Cálculos'!$F$122)*'Cálculos'!$F$217+'Cálculos'!$F$125*(1+2.78*('Cálculos'!$F$196+(($C209)-$A$177:$A$222)*'Cálculos'!$F$98)/(('Cálculos'!$F$196+(($C209)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209)-$A$177:$A$222)*'Cálculos'!$F$98)/(('Cálculos'!$F$197+(($C209)-$A$177:$A$222)*'Cálculos'!$F$98)+1400)+'Cálculos'!$F$122)*'Cálculos'!$F$229+'Cálculos'!$F$125*(1+2.78*('Cálculos'!$F$197+(($C209)-$A$177:$A$222)*'Cálculos'!$F$98)/(('Cálculos'!$F$197+(($C209)-$A$177:$A$222)*'Cálculos'!$F$98)+1400)+'Cálculos'!$F$123)*'Cálculos'!$F$234)+('Cálculos'!$F$197+(($C209)-$A$177:$A$222)*'Cálculos'!$F$98)*('Cálculos'!$F$225+'Cálculos'!$F$124*(1+2.78*('Cálculos'!$F$197+(($C209)-$A$177:$A$222)*'Cálculos'!$F$98)/(('Cálculos'!$F$197+(($C209)-$A$177:$A$222)*'Cálculos'!$F$98)+1400)+'Cálculos'!$F$122)*'Cálculos'!$F$230+'Cálculos'!$F$125*(1+2.78*('Cálculos'!$F$197+(($C209)-$A$177:$A$222)*'Cálculos'!$F$98)/(('Cálculos'!$F$197+(($C209)-$A$177:$A$222)*'Cálculos'!$F$98)+1400)+'Cálculos'!$F$123)*'Cálculos'!$F$235)+('Cálculos'!$F$201*(1+'Cálculos'!$F$202+$A$177:$A$222*('Cálculos'!$F$290=2)*'Cálculos'!$F$101)+'Cálculos'!$F$203)*('Cálculos'!$F$226+'Cálculos'!$F$124*(1+2.78*('Cálculos'!$F$197+(($C209)-$A$177:$A$222)*'Cálculos'!$F$98)/(('Cálculos'!$F$197+(($C209)-$A$177:$A$222)*'Cálculos'!$F$98)+1400)+'Cálculos'!$F$122)*'Cálculos'!$F$231+'Cálculos'!$F$125*(1+2.78*('Cálculos'!$F$197+(($C209)-$A$177:$A$222)*'Cálculos'!$F$98)/(('Cálculos'!$F$197+(($C209)-$A$177:$A$222)*'Cálculos'!$F$98)+1400)+'Cálculos'!$F$123)*'Cálculos'!$F$236)+('Cálculos'!$F$204*(1+'Cálculos'!$F$205+$A$177:$A$222*('Cálculos'!$F$290=3)*'Cálculos'!$F$103)+'Cálculos'!$F$206)*('Cálculos'!$F$227+'Cálculos'!$F$124*(1+2.78*('Cálculos'!$F$197+(($C209)-$A$177:$A$222)*'Cálculos'!$F$98)/(('Cálculos'!$F$197+(($C209)-$A$177:$A$222)*'Cálculos'!$F$98)+1400)+'Cálculos'!$F$122)*'Cálculos'!$F$232+'Cálculos'!$F$125*(1+2.78*('Cálculos'!$F$197+(($C209)-$A$177:$A$222)*'Cálculos'!$F$98)/(('Cálculos'!$F$197+(($C209)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209)-$A$177:$A$222)*'Cálculos'!$F$98)/(('Cálculos'!$F$198+(($C209)-$A$177:$A$222)*'Cálculos'!$F$98)+1400)+'Cálculos'!$F$122)*'Cálculos'!$F$244+'Cálculos'!$F$125*(1+2.78*('Cálculos'!$F$198+(($C209)-$A$177:$A$222)*'Cálculos'!$F$98)/(('Cálculos'!$F$198+(($C209)-$A$177:$A$222)*'Cálculos'!$F$98)+1400)+'Cálculos'!$F$123)*'Cálculos'!$F$249)+('Cálculos'!$F$198+(($C209)-$A$177:$A$222)*'Cálculos'!$F$98)*('Cálculos'!$F$240+'Cálculos'!$F$124*(1+2.78*('Cálculos'!$F$198+(($C209)-$A$177:$A$222)*'Cálculos'!$F$98)/(('Cálculos'!$F$198+(($C209)-$A$177:$A$222)*'Cálculos'!$F$98)+1400)+'Cálculos'!$F$122)*'Cálculos'!$F$245+'Cálculos'!$F$125*(1+2.78*('Cálculos'!$F$198+(($C209)-$A$177:$A$222)*'Cálculos'!$F$98)/(('Cálculos'!$F$198+(($C209)-$A$177:$A$222)*'Cálculos'!$F$98)+1400)+'Cálculos'!$F$123)*'Cálculos'!$F$250)+('Cálculos'!$F$201*(1+'Cálculos'!$F$202+$A$177:$A$222*('Cálculos'!$F$290=2)*'Cálculos'!$F$101)+'Cálculos'!$F$203)*('Cálculos'!$F$241+'Cálculos'!$F$124*(1+2.78*('Cálculos'!$F$198+(($C209)-$A$177:$A$222)*'Cálculos'!$F$98)/(('Cálculos'!$F$198+(($C209)-$A$177:$A$222)*'Cálculos'!$F$98)+1400)+'Cálculos'!$F$122)*'Cálculos'!$F$246+'Cálculos'!$F$125*(1+2.78*('Cálculos'!$F$198+(($C209)-$A$177:$A$222)*'Cálculos'!$F$98)/(('Cálculos'!$F$198+(($C209)-$A$177:$A$222)*'Cálculos'!$F$98)+1400)+'Cálculos'!$F$123)*'Cálculos'!$F$251)+('Cálculos'!$F$204*(1+'Cálculos'!$F$205+$A$177:$A$222*('Cálculos'!$F$290=3)*'Cálculos'!$F$103)+'Cálculos'!$F$206)*('Cálculos'!$F$242+'Cálculos'!$F$124*(1+2.78*('Cálculos'!$F$198+(($C209)-$A$177:$A$222)*'Cálculos'!$F$98)/(('Cálculos'!$F$198+(($C209)-$A$177:$A$222)*'Cálculos'!$F$98)+1400)+'Cálculos'!$F$122)*'Cálculos'!$F$247+'Cálculos'!$F$125*(1+2.78*('Cálculos'!$F$198+(($C209)-$A$177:$A$222)*'Cálculos'!$F$98)/(('Cálculos'!$F$198+(($C209)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209)-$A$177:$A$222)*'Cálculos'!$F$98)/(('Cálculos'!$F$199+(($C209)-$A$177:$A$222)*'Cálculos'!$F$98)+1400)+'Cálculos'!$F$122)*'Cálculos'!$F$259+'Cálculos'!$F$125*(1+2.78*('Cálculos'!$F$199+(($C209)-$A$177:$A$222)*'Cálculos'!$F$98)/(('Cálculos'!$F$199+(($C209)-$A$177:$A$222)*'Cálculos'!$F$98)+1400)+'Cálculos'!$F$123)*'Cálculos'!$F$264)+('Cálculos'!$F$199+(($C209)-$A$177:$A$222)*'Cálculos'!$F$98)*('Cálculos'!$F$255+'Cálculos'!$F$124*(1+2.78*('Cálculos'!$F$199+(($C209)-$A$177:$A$222)*'Cálculos'!$F$98)/(('Cálculos'!$F$199+(($C209)-$A$177:$A$222)*'Cálculos'!$F$98)+1400)+'Cálculos'!$F$122)*'Cálculos'!$F$260+'Cálculos'!$F$125*(1+2.78*('Cálculos'!$F$199+(($C209)-$A$177:$A$222)*'Cálculos'!$F$98)/(('Cálculos'!$F$199+(($C209)-$A$177:$A$222)*'Cálculos'!$F$98)+1400)+'Cálculos'!$F$123)*'Cálculos'!$F$265)+('Cálculos'!$F$201*(1+'Cálculos'!$F$202+$A$177:$A$222*('Cálculos'!$F$290=2)*'Cálculos'!$F$101)+'Cálculos'!$F$203)*('Cálculos'!$F$256+'Cálculos'!$F$124*(1+2.78*('Cálculos'!$F$199+(($C209)-$A$177:$A$222)*'Cálculos'!$F$98)/(('Cálculos'!$F$199+(($C209)-$A$177:$A$222)*'Cálculos'!$F$98)+1400)+'Cálculos'!$F$122)*'Cálculos'!$F$261+'Cálculos'!$F$125*(1+2.78*('Cálculos'!$F$199+(($C209)-$A$177:$A$222)*'Cálculos'!$F$98)/(('Cálculos'!$F$199+(($C209)-$A$177:$A$222)*'Cálculos'!$F$98)+1400)+'Cálculos'!$F$123)*'Cálculos'!$F$266)+('Cálculos'!$F$204*(1+'Cálculos'!$F$205+$A$177:$A$222*('Cálculos'!$F$290=3)*'Cálculos'!$F$103)+'Cálculos'!$F$206)*('Cálculos'!$F$257+'Cálculos'!$F$124*(1+2.78*('Cálculos'!$F$199+(($C209)-$A$177:$A$222)*'Cálculos'!$F$98)/(('Cálculos'!$F$199+(($C209)-$A$177:$A$222)*'Cálculos'!$F$98)+1400)+'Cálculos'!$F$122)*'Cálculos'!$F$262+'Cálculos'!$F$125*(1+2.78*('Cálculos'!$F$199+(($C209)-$A$177:$A$222)*'Cálculos'!$F$98)/(('Cálculos'!$F$199+(($C209)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209)-$A$177:$A$222)*'Cálculos'!$F$98)/(('Cálculos'!$F$200+(($C209)-$A$177:$A$222)*'Cálculos'!$F$98)+1400)+'Cálculos'!$F$122)*'Cálculos'!$F$274+'Cálculos'!$F$125*(1+2.78*('Cálculos'!$F$200+(($C209)-$A$177:$A$222)*'Cálculos'!$F$98)/(('Cálculos'!$F$200+(($C209)-$A$177:$A$222)*'Cálculos'!$F$98)+1400)+'Cálculos'!$F$123)*'Cálculos'!$F$279)+('Cálculos'!$F$200+(($C209)-$A$177:$A$222)*'Cálculos'!$F$98)*('Cálculos'!$F$270+'Cálculos'!$F$124*(1+2.78*('Cálculos'!$F$200+(($C209)-$A$177:$A$222)*'Cálculos'!$F$98)/(('Cálculos'!$F$200+(($C209)-$A$177:$A$222)*'Cálculos'!$F$98)+1400)+'Cálculos'!$F$122)*'Cálculos'!$F$275+'Cálculos'!$F$125*(1+2.78*('Cálculos'!$F$200+(($C209)-$A$177:$A$222)*'Cálculos'!$F$98)/(('Cálculos'!$F$200+(($C209)-$A$177:$A$222)*'Cálculos'!$F$98)+1400)+'Cálculos'!$F$123)*'Cálculos'!$F$280)+('Cálculos'!$F$201*(1+'Cálculos'!$F$202+$A$177:$A$222*('Cálculos'!$F$290=2)*'Cálculos'!$F$101)+'Cálculos'!$F$203)*('Cálculos'!$F$271+'Cálculos'!$F$124*(1+2.78*('Cálculos'!$F$200+(($C209)-$A$177:$A$222)*'Cálculos'!$F$98)/(('Cálculos'!$F$200+(($C209)-$A$177:$A$222)*'Cálculos'!$F$98)+1400)+'Cálculos'!$F$122)*'Cálculos'!$F$276+'Cálculos'!$F$125*(1+2.78*('Cálculos'!$F$200+(($C209)-$A$177:$A$222)*'Cálculos'!$F$98)/(('Cálculos'!$F$200+(($C209)-$A$177:$A$222)*'Cálculos'!$F$98)+1400)+'Cálculos'!$F$123)*'Cálculos'!$F$281)+('Cálculos'!$F$204*(1+'Cálculos'!$F$205+$A$177:$A$222*('Cálculos'!$F$290=3)*'Cálculos'!$F$103)+'Cálculos'!$F$206)*('Cálculos'!$F$272+'Cálculos'!$F$124*(1+2.78*('Cálculos'!$F$200+(($C209)-$A$177:$A$222)*'Cálculos'!$F$98)/(('Cálculos'!$F$200+(($C209)-$A$177:$A$222)*'Cálculos'!$F$98)+1400)+'Cálculos'!$F$122)*'Cálculos'!$F$277+'Cálculos'!$F$125*(1+2.78*('Cálculos'!$F$200+(($C209)-$A$177:$A$222)*'Cálculos'!$F$98)/(('Cálculos'!$F$200+(($C209)-$A$177:$A$222)*'Cálculos'!$F$98)+1400)+'Cálculos'!$F$123)*'Cálculos'!$F$282)))))</f>
        <v>0</v>
      </c>
      <c r="E209" s="32">
        <f>IF(OR($C209&lt;0,'Cálculos'!$F$6=""),0,$B209*$D209)</f>
        <v>0</v>
      </c>
      <c r="F209" s="2"/>
      <c r="G209" s="30">
        <f>($A209&lt;=$B$224)*($A209&lt;='Cálculos'!$F$294)*(($B$224)-$A209&lt;='Cálculos'!$F$295)*(1+MIN(('Cálculos'!$F$207+$A209*'Cálculos'!$F$95),1)*('Cálculos'!$F$208+(($B$224)-$A209)*'Cálculos'!$F$96))</f>
        <v>0</v>
      </c>
      <c r="H209" s="31">
        <f>IF($B$225&lt;0,0,($A209&lt;=$B$225)*($A209&lt;='Cálculos'!$F$301)*(($B$225)-$A209&lt;='Cálculos'!$F$297)*(('Cálculos'!$F$185*(1+'Cálculos'!$F$186+$A209*('Cálculos'!$F$290=1)*'Cálculos'!$F$97+'Cálculos'!$F$305)+'Cálculos'!$F$191)*('Cálculos'!$F$209+'Cálculos'!$F$124*(1+2.78*('Cálculos'!$F$196+(($B$225)-$A209)*'Cálculos'!$F$98)/(('Cálculos'!$F$196+(($B$225)-$A209)*'Cálculos'!$F$98)+1400)+'Cálculos'!$F$122)*'Cálculos'!$F$214+'Cálculos'!$F$125*(1+2.78*('Cálculos'!$F$196+(($B$225)-$A209)*'Cálculos'!$F$98)/(('Cálculos'!$F$196+(($B$225)-$A209)*'Cálculos'!$F$98)+1400)+'Cálculos'!$F$123)*'Cálculos'!$F$219)+('Cálculos'!$F$196+(($B$225)-$A209)*'Cálculos'!$F$98)*('Cálculos'!$F$210+'Cálculos'!$F$124*(1+2.78*('Cálculos'!$F$196+(($B$225)-$A209)*'Cálculos'!$F$98)/(('Cálculos'!$F$196+(($B$225)-$A209)*'Cálculos'!$F$98)+1400)+'Cálculos'!$F$122)*'Cálculos'!$F$215+'Cálculos'!$F$125*(1+2.78*('Cálculos'!$F$196+(($B$225)-$A209)*'Cálculos'!$F$98)/(('Cálculos'!$F$196+(($B$225)-$A209)*'Cálculos'!$F$98)+1400)+'Cálculos'!$F$123)*'Cálculos'!$F$220)+('Cálculos'!$F$201*(1+'Cálculos'!$F$202+$A209*('Cálculos'!$F$290=2)*'Cálculos'!$F$101)+'Cálculos'!$F$203)*('Cálculos'!$F$211+'Cálculos'!$F$124*(1+2.78*('Cálculos'!$F$196+(($B$225)-$A209)*'Cálculos'!$F$98)/(('Cálculos'!$F$196+(($B$225)-$A209)*'Cálculos'!$F$98)+1400)+'Cálculos'!$F$122)*'Cálculos'!$F$216+'Cálculos'!$F$125*(1+2.78*('Cálculos'!$F$196+(($B$225)-$A209)*'Cálculos'!$F$98)/(('Cálculos'!$F$196+(($B$225)-$A209)*'Cálculos'!$F$98)+1400)+'Cálculos'!$F$123)*'Cálculos'!$F$221)+('Cálculos'!$F$204*(1+'Cálculos'!$F$205+$A209*('Cálculos'!$F$290=3)*'Cálculos'!$F$103)+'Cálculos'!$F$206)*('Cálculos'!$F$212+'Cálculos'!$F$124*(1+2.78*('Cálculos'!$F$196+(($B$225)-$A209)*'Cálculos'!$F$98)/(('Cálculos'!$F$196+(($B$225)-$A209)*'Cálculos'!$F$98)+1400)+'Cálculos'!$F$122)*'Cálculos'!$F$217+'Cálculos'!$F$125*(1+2.78*('Cálculos'!$F$196+(($B$225)-$A209)*'Cálculos'!$F$98)/(('Cálculos'!$F$196+(($B$225)-$A209)*'Cálculos'!$F$98)+1400)+'Cálculos'!$F$123)*'Cálculos'!$F$222)+('Cálculos'!$F$185*(1+'Cálculos'!$F$187+$A209*('Cálculos'!$F$290=1)*'Cálculos'!$F$97+'Cálculos'!$F$305)+'Cálculos'!$F$192)*('Cálculos'!$F$224+'Cálculos'!$F$124*(1+2.78*('Cálculos'!$F$197+(($B$225)-$A209)*'Cálculos'!$F$98)/(('Cálculos'!$F$197+(($B$225)-$A209)*'Cálculos'!$F$98)+1400)+'Cálculos'!$F$122)*'Cálculos'!$F$229+'Cálculos'!$F$125*(1+2.78*('Cálculos'!$F$197+(($B$225)-$A209)*'Cálculos'!$F$98)/(('Cálculos'!$F$197+(($B$225)-$A209)*'Cálculos'!$F$98)+1400)+'Cálculos'!$F$123)*'Cálculos'!$F$234)+('Cálculos'!$F$197+(($B$225)-$A209)*'Cálculos'!$F$98)*('Cálculos'!$F$225+'Cálculos'!$F$124*(1+2.78*('Cálculos'!$F$197+(($B$225)-$A209)*'Cálculos'!$F$98)/(('Cálculos'!$F$197+(($B$225)-$A209)*'Cálculos'!$F$98)+1400)+'Cálculos'!$F$122)*'Cálculos'!$F$230+'Cálculos'!$F$125*(1+2.78*('Cálculos'!$F$197+(($B$225)-$A209)*'Cálculos'!$F$98)/(('Cálculos'!$F$197+(($B$225)-$A209)*'Cálculos'!$F$98)+1400)+'Cálculos'!$F$123)*'Cálculos'!$F$235)+('Cálculos'!$F$201*(1+'Cálculos'!$F$202+$A209*('Cálculos'!$F$290=2)*'Cálculos'!$F$101)+'Cálculos'!$F$203)*('Cálculos'!$F$226+'Cálculos'!$F$124*(1+2.78*('Cálculos'!$F$197+(($B$225)-$A209)*'Cálculos'!$F$98)/(('Cálculos'!$F$197+(($B$225)-$A209)*'Cálculos'!$F$98)+1400)+'Cálculos'!$F$122)*'Cálculos'!$F$231+'Cálculos'!$F$125*(1+2.78*('Cálculos'!$F$197+(($B$225)-$A209)*'Cálculos'!$F$98)/(('Cálculos'!$F$197+(($B$225)-$A209)*'Cálculos'!$F$98)+1400)+'Cálculos'!$F$123)*'Cálculos'!$F$236)+('Cálculos'!$F$204*(1+'Cálculos'!$F$205+$A209*('Cálculos'!$F$290=3)*'Cálculos'!$F$103)+'Cálculos'!$F$206)*('Cálculos'!$F$227+'Cálculos'!$F$124*(1+2.78*('Cálculos'!$F$197+(($B$225)-$A209)*'Cálculos'!$F$98)/(('Cálculos'!$F$197+(($B$225)-$A209)*'Cálculos'!$F$98)+1400)+'Cálculos'!$F$122)*'Cálculos'!$F$232+'Cálculos'!$F$125*(1+2.78*('Cálculos'!$F$197+(($B$225)-$A209)*'Cálculos'!$F$98)/(('Cálculos'!$F$197+(($B$225)-$A209)*'Cálculos'!$F$98)+1400)+'Cálculos'!$F$123)*'Cálculos'!$F$237)+('Cálculos'!$F$185*(1+'Cálculos'!$F$188+$A209*('Cálculos'!$F$290=1)*'Cálculos'!$F$97+'Cálculos'!$F$305)+'Cálculos'!$F$193)*('Cálculos'!$F$239+'Cálculos'!$F$124*(1+2.78*('Cálculos'!$F$198+(($B$225)-$A209)*'Cálculos'!$F$98)/(('Cálculos'!$F$198+(($B$225)-$A209)*'Cálculos'!$F$98)+1400)+'Cálculos'!$F$122)*'Cálculos'!$F$244+'Cálculos'!$F$125*(1+2.78*('Cálculos'!$F$198+(($B$225)-$A209)*'Cálculos'!$F$98)/(('Cálculos'!$F$198+(($B$225)-$A209)*'Cálculos'!$F$98)+1400)+'Cálculos'!$F$123)*'Cálculos'!$F$249)+('Cálculos'!$F$198+(($B$225)-$A209)*'Cálculos'!$F$98)*('Cálculos'!$F$240+'Cálculos'!$F$124*(1+2.78*('Cálculos'!$F$198+(($B$225)-$A209)*'Cálculos'!$F$98)/(('Cálculos'!$F$198+(($B$225)-$A209)*'Cálculos'!$F$98)+1400)+'Cálculos'!$F$122)*'Cálculos'!$F$245+'Cálculos'!$F$125*(1+2.78*('Cálculos'!$F$198+(($B$225)-$A209)*'Cálculos'!$F$98)/(('Cálculos'!$F$198+(($B$225)-$A209)*'Cálculos'!$F$98)+1400)+'Cálculos'!$F$123)*'Cálculos'!$F$250)+('Cálculos'!$F$201*(1+'Cálculos'!$F$202+$A209*('Cálculos'!$F$290=2)*'Cálculos'!$F$101)+'Cálculos'!$F$203)*('Cálculos'!$F$241+'Cálculos'!$F$124*(1+2.78*('Cálculos'!$F$198+(($B$225)-$A209)*'Cálculos'!$F$98)/(('Cálculos'!$F$198+(($B$225)-$A209)*'Cálculos'!$F$98)+1400)+'Cálculos'!$F$122)*'Cálculos'!$F$246+'Cálculos'!$F$125*(1+2.78*('Cálculos'!$F$198+(($B$225)-$A209)*'Cálculos'!$F$98)/(('Cálculos'!$F$198+(($B$225)-$A209)*'Cálculos'!$F$98)+1400)+'Cálculos'!$F$123)*'Cálculos'!$F$251)+('Cálculos'!$F$204*(1+'Cálculos'!$F$205+$A209*('Cálculos'!$F$290=3)*'Cálculos'!$F$103)+'Cálculos'!$F$206)*('Cálculos'!$F$242+'Cálculos'!$F$124*(1+2.78*('Cálculos'!$F$198+(($B$225)-$A209)*'Cálculos'!$F$98)/(('Cálculos'!$F$198+(($B$225)-$A209)*'Cálculos'!$F$98)+1400)+'Cálculos'!$F$122)*'Cálculos'!$F$247+'Cálculos'!$F$125*(1+2.78*('Cálculos'!$F$198+(($B$225)-$A209)*'Cálculos'!$F$98)/(('Cálculos'!$F$198+(($B$225)-$A209)*'Cálculos'!$F$98)+1400)+'Cálculos'!$F$123)*'Cálculos'!$F$252)+('Cálculos'!$F$185*(1+'Cálculos'!$F$189+$A209*('Cálculos'!$F$290=1)*'Cálculos'!$F$97+'Cálculos'!$F$305)+'Cálculos'!$F$194)*('Cálculos'!$F$254+'Cálculos'!$F$124*(1+2.78*('Cálculos'!$F$199+(($B$225)-$A209)*'Cálculos'!$F$98)/(('Cálculos'!$F$199+(($B$225)-$A209)*'Cálculos'!$F$98)+1400)+'Cálculos'!$F$122)*'Cálculos'!$F$259+'Cálculos'!$F$125*(1+2.78*('Cálculos'!$F$199+(($B$225)-$A209)*'Cálculos'!$F$98)/(('Cálculos'!$F$199+(($B$225)-$A209)*'Cálculos'!$F$98)+1400)+'Cálculos'!$F$123)*'Cálculos'!$F$264)+('Cálculos'!$F$199+(($B$225)-$A209)*'Cálculos'!$F$98)*('Cálculos'!$F$255+'Cálculos'!$F$124*(1+2.78*('Cálculos'!$F$199+(($B$225)-$A209)*'Cálculos'!$F$98)/(('Cálculos'!$F$199+(($B$225)-$A209)*'Cálculos'!$F$98)+1400)+'Cálculos'!$F$122)*'Cálculos'!$F$260+'Cálculos'!$F$125*(1+2.78*('Cálculos'!$F$199+(($B$225)-$A209)*'Cálculos'!$F$98)/(('Cálculos'!$F$199+(($B$225)-$A209)*'Cálculos'!$F$98)+1400)+'Cálculos'!$F$123)*'Cálculos'!$F$265)+('Cálculos'!$F$201*(1+'Cálculos'!$F$202+$A209*('Cálculos'!$F$290=2)*'Cálculos'!$F$101)+'Cálculos'!$F$203)*('Cálculos'!$F$256+'Cálculos'!$F$124*(1+2.78*('Cálculos'!$F$199+(($B$225)-$A209)*'Cálculos'!$F$98)/(('Cálculos'!$F$199+(($B$225)-$A209)*'Cálculos'!$F$98)+1400)+'Cálculos'!$F$122)*'Cálculos'!$F$261+'Cálculos'!$F$125*(1+2.78*('Cálculos'!$F$199+(($B$225)-$A209)*'Cálculos'!$F$98)/(('Cálculos'!$F$199+(($B$225)-$A209)*'Cálculos'!$F$98)+1400)+'Cálculos'!$F$123)*'Cálculos'!$F$266)+('Cálculos'!$F$204*(1+'Cálculos'!$F$205+$A209*('Cálculos'!$F$290=3)*'Cálculos'!$F$103)+'Cálculos'!$F$206)*('Cálculos'!$F$257+'Cálculos'!$F$124*(1+2.78*('Cálculos'!$F$199+(($B$225)-$A209)*'Cálculos'!$F$98)/(('Cálculos'!$F$199+(($B$225)-$A209)*'Cálculos'!$F$98)+1400)+'Cálculos'!$F$122)*'Cálculos'!$F$262+'Cálculos'!$F$125*(1+2.78*('Cálculos'!$F$199+(($B$225)-$A209)*'Cálculos'!$F$98)/(('Cálculos'!$F$199+(($B$225)-$A209)*'Cálculos'!$F$98)+1400)+'Cálculos'!$F$123)*'Cálculos'!$F$267)+('Cálculos'!$F$185*(1+'Cálculos'!$F$190+$A209*('Cálculos'!$F$290=1)*'Cálculos'!$F$97+'Cálculos'!$F$305)+'Cálculos'!$F$195)*('Cálculos'!$F$269+'Cálculos'!$F$124*(1+2.78*('Cálculos'!$F$200+(($B$225)-$A209)*'Cálculos'!$F$98)/(('Cálculos'!$F$200+(($B$225)-$A209)*'Cálculos'!$F$98)+1400)+'Cálculos'!$F$122)*'Cálculos'!$F$274+'Cálculos'!$F$125*(1+2.78*('Cálculos'!$F$200+(($B$225)-$A209)*'Cálculos'!$F$98)/(('Cálculos'!$F$200+(($B$225)-$A209)*'Cálculos'!$F$98)+1400)+'Cálculos'!$F$123)*'Cálculos'!$F$279)+('Cálculos'!$F$200+(($B$225)-$A209)*'Cálculos'!$F$98)*('Cálculos'!$F$270+'Cálculos'!$F$124*(1+2.78*('Cálculos'!$F$200+(($B$225)-$A209)*'Cálculos'!$F$98)/(('Cálculos'!$F$200+(($B$225)-$A209)*'Cálculos'!$F$98)+1400)+'Cálculos'!$F$122)*'Cálculos'!$F$275+'Cálculos'!$F$125*(1+2.78*('Cálculos'!$F$200+(($B$225)-$A209)*'Cálculos'!$F$98)/(('Cálculos'!$F$200+(($B$225)-$A209)*'Cálculos'!$F$98)+1400)+'Cálculos'!$F$123)*'Cálculos'!$F$280)+('Cálculos'!$F$201*(1+'Cálculos'!$F$202+$A209*('Cálculos'!$F$290=2)*'Cálculos'!$F$101)+'Cálculos'!$F$203)*('Cálculos'!$F$271+'Cálculos'!$F$124*(1+2.78*('Cálculos'!$F$200+(($B$225)-$A209)*'Cálculos'!$F$98)/(('Cálculos'!$F$200+(($B$225)-$A209)*'Cálculos'!$F$98)+1400)+'Cálculos'!$F$122)*'Cálculos'!$F$276+'Cálculos'!$F$125*(1+2.78*('Cálculos'!$F$200+(($B$225)-$A209)*'Cálculos'!$F$98)/(('Cálculos'!$F$200+(($B$225)-$A209)*'Cálculos'!$F$98)+1400)+'Cálculos'!$F$123)*'Cálculos'!$F$281)+('Cálculos'!$F$204*(1+'Cálculos'!$F$205+$A209*('Cálculos'!$F$290=3)*'Cálculos'!$F$103)+'Cálculos'!$F$206)*('Cálculos'!$F$272+'Cálculos'!$F$124*(1+2.78*('Cálculos'!$F$200+(($B$225)-$A209)*'Cálculos'!$F$98)/(('Cálculos'!$F$200+(($B$225)-$A209)*'Cálculos'!$F$98)+1400)+'Cálculos'!$F$122)*'Cálculos'!$F$277+'Cálculos'!$F$125*(1+2.78*('Cálculos'!$F$200+(($B$225)-$A209)*'Cálculos'!$F$98)/(('Cálculos'!$F$200+(($B$225)-$A209)*'Cálculos'!$F$98)+1400)+'Cálculos'!$F$123)*'Cálculos'!$F$282)))</f>
        <v>0</v>
      </c>
    </row>
    <row r="210" ht="15.75" customHeight="1">
      <c r="A210" s="2">
        <v>33.0</v>
      </c>
      <c r="B210" s="30">
        <f>SUMPRODUCT(MAX(($A$177:$A$222&lt;=$A210)*($A$177:$A$222&lt;='Cálculos'!$F$294)*(($A210)-$A$177:$A$222&lt;='Cálculos'!$F$295)*(1+(('Cálculos'!$F$207+$A$177:$A$222*'Cálculos'!$F$95)-(('Cálculos'!$F$207+$A$177:$A$222*'Cálculos'!$F$95)&gt;1)*(('Cálculos'!$F$207+$A$177:$A$222*'Cálculos'!$F$95)-1))*('Cálculos'!$F$208+(($A210)-$A$177:$A$222)*'Cálculos'!$F$96))))</f>
        <v>3.301052</v>
      </c>
      <c r="C210" s="2">
        <f>'Cálculos'!$F$303-$A210</f>
        <v>-15</v>
      </c>
      <c r="D210" s="31">
        <f>IF($C210&lt;0,0,SUMPRODUCT(MAX(($A$177:$A$222&lt;=$C210)*($A$177:$A$222&lt;='Cálculos'!$F$301)*(($C210)-$A$177:$A$222&lt;='Cálculos'!$F$297)*(('Cálculos'!$F$185*(1+'Cálculos'!$F$186+$A$177:$A$222*('Cálculos'!$F$290=1)*'Cálculos'!$F$97+'Cálculos'!$F$305)+'Cálculos'!$F$191)*('Cálculos'!$F$209+'Cálculos'!$F$124*(1+2.78*('Cálculos'!$F$196+(($C210)-$A$177:$A$222)*'Cálculos'!$F$98)/(('Cálculos'!$F$196+(($C210)-$A$177:$A$222)*'Cálculos'!$F$98)+1400)+'Cálculos'!$F$122)*'Cálculos'!$F$214+'Cálculos'!$F$125*(1+2.78*('Cálculos'!$F$196+(($C210)-$A$177:$A$222)*'Cálculos'!$F$98)/(('Cálculos'!$F$196+(($C210)-$A$177:$A$222)*'Cálculos'!$F$98)+1400)+'Cálculos'!$F$123)*'Cálculos'!$F$219)+('Cálculos'!$F$196+(($C210)-$A$177:$A$222)*'Cálculos'!$F$98)*('Cálculos'!$F$210+'Cálculos'!$F$124*(1+2.78*('Cálculos'!$F$196+(($C210)-$A$177:$A$222)*'Cálculos'!$F$98)/(('Cálculos'!$F$196+(($C210)-$A$177:$A$222)*'Cálculos'!$F$98)+1400)+'Cálculos'!$F$122)*'Cálculos'!$F$215+'Cálculos'!$F$125*(1+2.78*('Cálculos'!$F$196+(($C210)-$A$177:$A$222)*'Cálculos'!$F$98)/(('Cálculos'!$F$196+(($C210)-$A$177:$A$222)*'Cálculos'!$F$98)+1400)+'Cálculos'!$F$123)*'Cálculos'!$F$220)+('Cálculos'!$F$201*(1+'Cálculos'!$F$202+$A$177:$A$222*('Cálculos'!$F$290=2)*'Cálculos'!$F$101)+'Cálculos'!$F$203)*('Cálculos'!$F$211+'Cálculos'!$F$124*(1+2.78*('Cálculos'!$F$196+(($C210)-$A$177:$A$222)*'Cálculos'!$F$98)/(('Cálculos'!$F$196+(($C210)-$A$177:$A$222)*'Cálculos'!$F$98)+1400)+'Cálculos'!$F$122)*'Cálculos'!$F$216+'Cálculos'!$F$125*(1+2.78*('Cálculos'!$F$196+(($C210)-$A$177:$A$222)*'Cálculos'!$F$98)/(('Cálculos'!$F$196+(($C210)-$A$177:$A$222)*'Cálculos'!$F$98)+1400)+'Cálculos'!$F$123)*'Cálculos'!$F$221)+('Cálculos'!$F$204*(1+'Cálculos'!$F$205+$A$177:$A$222*('Cálculos'!$F$290=3)*'Cálculos'!$F$103)+'Cálculos'!$F$206)*('Cálculos'!$F$212+'Cálculos'!$F$124*(1+2.78*('Cálculos'!$F$196+(($C210)-$A$177:$A$222)*'Cálculos'!$F$98)/(('Cálculos'!$F$196+(($C210)-$A$177:$A$222)*'Cálculos'!$F$98)+1400)+'Cálculos'!$F$122)*'Cálculos'!$F$217+'Cálculos'!$F$125*(1+2.78*('Cálculos'!$F$196+(($C210)-$A$177:$A$222)*'Cálculos'!$F$98)/(('Cálculos'!$F$196+(($C210)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210)-$A$177:$A$222)*'Cálculos'!$F$98)/(('Cálculos'!$F$197+(($C210)-$A$177:$A$222)*'Cálculos'!$F$98)+1400)+'Cálculos'!$F$122)*'Cálculos'!$F$229+'Cálculos'!$F$125*(1+2.78*('Cálculos'!$F$197+(($C210)-$A$177:$A$222)*'Cálculos'!$F$98)/(('Cálculos'!$F$197+(($C210)-$A$177:$A$222)*'Cálculos'!$F$98)+1400)+'Cálculos'!$F$123)*'Cálculos'!$F$234)+('Cálculos'!$F$197+(($C210)-$A$177:$A$222)*'Cálculos'!$F$98)*('Cálculos'!$F$225+'Cálculos'!$F$124*(1+2.78*('Cálculos'!$F$197+(($C210)-$A$177:$A$222)*'Cálculos'!$F$98)/(('Cálculos'!$F$197+(($C210)-$A$177:$A$222)*'Cálculos'!$F$98)+1400)+'Cálculos'!$F$122)*'Cálculos'!$F$230+'Cálculos'!$F$125*(1+2.78*('Cálculos'!$F$197+(($C210)-$A$177:$A$222)*'Cálculos'!$F$98)/(('Cálculos'!$F$197+(($C210)-$A$177:$A$222)*'Cálculos'!$F$98)+1400)+'Cálculos'!$F$123)*'Cálculos'!$F$235)+('Cálculos'!$F$201*(1+'Cálculos'!$F$202+$A$177:$A$222*('Cálculos'!$F$290=2)*'Cálculos'!$F$101)+'Cálculos'!$F$203)*('Cálculos'!$F$226+'Cálculos'!$F$124*(1+2.78*('Cálculos'!$F$197+(($C210)-$A$177:$A$222)*'Cálculos'!$F$98)/(('Cálculos'!$F$197+(($C210)-$A$177:$A$222)*'Cálculos'!$F$98)+1400)+'Cálculos'!$F$122)*'Cálculos'!$F$231+'Cálculos'!$F$125*(1+2.78*('Cálculos'!$F$197+(($C210)-$A$177:$A$222)*'Cálculos'!$F$98)/(('Cálculos'!$F$197+(($C210)-$A$177:$A$222)*'Cálculos'!$F$98)+1400)+'Cálculos'!$F$123)*'Cálculos'!$F$236)+('Cálculos'!$F$204*(1+'Cálculos'!$F$205+$A$177:$A$222*('Cálculos'!$F$290=3)*'Cálculos'!$F$103)+'Cálculos'!$F$206)*('Cálculos'!$F$227+'Cálculos'!$F$124*(1+2.78*('Cálculos'!$F$197+(($C210)-$A$177:$A$222)*'Cálculos'!$F$98)/(('Cálculos'!$F$197+(($C210)-$A$177:$A$222)*'Cálculos'!$F$98)+1400)+'Cálculos'!$F$122)*'Cálculos'!$F$232+'Cálculos'!$F$125*(1+2.78*('Cálculos'!$F$197+(($C210)-$A$177:$A$222)*'Cálculos'!$F$98)/(('Cálculos'!$F$197+(($C210)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210)-$A$177:$A$222)*'Cálculos'!$F$98)/(('Cálculos'!$F$198+(($C210)-$A$177:$A$222)*'Cálculos'!$F$98)+1400)+'Cálculos'!$F$122)*'Cálculos'!$F$244+'Cálculos'!$F$125*(1+2.78*('Cálculos'!$F$198+(($C210)-$A$177:$A$222)*'Cálculos'!$F$98)/(('Cálculos'!$F$198+(($C210)-$A$177:$A$222)*'Cálculos'!$F$98)+1400)+'Cálculos'!$F$123)*'Cálculos'!$F$249)+('Cálculos'!$F$198+(($C210)-$A$177:$A$222)*'Cálculos'!$F$98)*('Cálculos'!$F$240+'Cálculos'!$F$124*(1+2.78*('Cálculos'!$F$198+(($C210)-$A$177:$A$222)*'Cálculos'!$F$98)/(('Cálculos'!$F$198+(($C210)-$A$177:$A$222)*'Cálculos'!$F$98)+1400)+'Cálculos'!$F$122)*'Cálculos'!$F$245+'Cálculos'!$F$125*(1+2.78*('Cálculos'!$F$198+(($C210)-$A$177:$A$222)*'Cálculos'!$F$98)/(('Cálculos'!$F$198+(($C210)-$A$177:$A$222)*'Cálculos'!$F$98)+1400)+'Cálculos'!$F$123)*'Cálculos'!$F$250)+('Cálculos'!$F$201*(1+'Cálculos'!$F$202+$A$177:$A$222*('Cálculos'!$F$290=2)*'Cálculos'!$F$101)+'Cálculos'!$F$203)*('Cálculos'!$F$241+'Cálculos'!$F$124*(1+2.78*('Cálculos'!$F$198+(($C210)-$A$177:$A$222)*'Cálculos'!$F$98)/(('Cálculos'!$F$198+(($C210)-$A$177:$A$222)*'Cálculos'!$F$98)+1400)+'Cálculos'!$F$122)*'Cálculos'!$F$246+'Cálculos'!$F$125*(1+2.78*('Cálculos'!$F$198+(($C210)-$A$177:$A$222)*'Cálculos'!$F$98)/(('Cálculos'!$F$198+(($C210)-$A$177:$A$222)*'Cálculos'!$F$98)+1400)+'Cálculos'!$F$123)*'Cálculos'!$F$251)+('Cálculos'!$F$204*(1+'Cálculos'!$F$205+$A$177:$A$222*('Cálculos'!$F$290=3)*'Cálculos'!$F$103)+'Cálculos'!$F$206)*('Cálculos'!$F$242+'Cálculos'!$F$124*(1+2.78*('Cálculos'!$F$198+(($C210)-$A$177:$A$222)*'Cálculos'!$F$98)/(('Cálculos'!$F$198+(($C210)-$A$177:$A$222)*'Cálculos'!$F$98)+1400)+'Cálculos'!$F$122)*'Cálculos'!$F$247+'Cálculos'!$F$125*(1+2.78*('Cálculos'!$F$198+(($C210)-$A$177:$A$222)*'Cálculos'!$F$98)/(('Cálculos'!$F$198+(($C210)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210)-$A$177:$A$222)*'Cálculos'!$F$98)/(('Cálculos'!$F$199+(($C210)-$A$177:$A$222)*'Cálculos'!$F$98)+1400)+'Cálculos'!$F$122)*'Cálculos'!$F$259+'Cálculos'!$F$125*(1+2.78*('Cálculos'!$F$199+(($C210)-$A$177:$A$222)*'Cálculos'!$F$98)/(('Cálculos'!$F$199+(($C210)-$A$177:$A$222)*'Cálculos'!$F$98)+1400)+'Cálculos'!$F$123)*'Cálculos'!$F$264)+('Cálculos'!$F$199+(($C210)-$A$177:$A$222)*'Cálculos'!$F$98)*('Cálculos'!$F$255+'Cálculos'!$F$124*(1+2.78*('Cálculos'!$F$199+(($C210)-$A$177:$A$222)*'Cálculos'!$F$98)/(('Cálculos'!$F$199+(($C210)-$A$177:$A$222)*'Cálculos'!$F$98)+1400)+'Cálculos'!$F$122)*'Cálculos'!$F$260+'Cálculos'!$F$125*(1+2.78*('Cálculos'!$F$199+(($C210)-$A$177:$A$222)*'Cálculos'!$F$98)/(('Cálculos'!$F$199+(($C210)-$A$177:$A$222)*'Cálculos'!$F$98)+1400)+'Cálculos'!$F$123)*'Cálculos'!$F$265)+('Cálculos'!$F$201*(1+'Cálculos'!$F$202+$A$177:$A$222*('Cálculos'!$F$290=2)*'Cálculos'!$F$101)+'Cálculos'!$F$203)*('Cálculos'!$F$256+'Cálculos'!$F$124*(1+2.78*('Cálculos'!$F$199+(($C210)-$A$177:$A$222)*'Cálculos'!$F$98)/(('Cálculos'!$F$199+(($C210)-$A$177:$A$222)*'Cálculos'!$F$98)+1400)+'Cálculos'!$F$122)*'Cálculos'!$F$261+'Cálculos'!$F$125*(1+2.78*('Cálculos'!$F$199+(($C210)-$A$177:$A$222)*'Cálculos'!$F$98)/(('Cálculos'!$F$199+(($C210)-$A$177:$A$222)*'Cálculos'!$F$98)+1400)+'Cálculos'!$F$123)*'Cálculos'!$F$266)+('Cálculos'!$F$204*(1+'Cálculos'!$F$205+$A$177:$A$222*('Cálculos'!$F$290=3)*'Cálculos'!$F$103)+'Cálculos'!$F$206)*('Cálculos'!$F$257+'Cálculos'!$F$124*(1+2.78*('Cálculos'!$F$199+(($C210)-$A$177:$A$222)*'Cálculos'!$F$98)/(('Cálculos'!$F$199+(($C210)-$A$177:$A$222)*'Cálculos'!$F$98)+1400)+'Cálculos'!$F$122)*'Cálculos'!$F$262+'Cálculos'!$F$125*(1+2.78*('Cálculos'!$F$199+(($C210)-$A$177:$A$222)*'Cálculos'!$F$98)/(('Cálculos'!$F$199+(($C210)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210)-$A$177:$A$222)*'Cálculos'!$F$98)/(('Cálculos'!$F$200+(($C210)-$A$177:$A$222)*'Cálculos'!$F$98)+1400)+'Cálculos'!$F$122)*'Cálculos'!$F$274+'Cálculos'!$F$125*(1+2.78*('Cálculos'!$F$200+(($C210)-$A$177:$A$222)*'Cálculos'!$F$98)/(('Cálculos'!$F$200+(($C210)-$A$177:$A$222)*'Cálculos'!$F$98)+1400)+'Cálculos'!$F$123)*'Cálculos'!$F$279)+('Cálculos'!$F$200+(($C210)-$A$177:$A$222)*'Cálculos'!$F$98)*('Cálculos'!$F$270+'Cálculos'!$F$124*(1+2.78*('Cálculos'!$F$200+(($C210)-$A$177:$A$222)*'Cálculos'!$F$98)/(('Cálculos'!$F$200+(($C210)-$A$177:$A$222)*'Cálculos'!$F$98)+1400)+'Cálculos'!$F$122)*'Cálculos'!$F$275+'Cálculos'!$F$125*(1+2.78*('Cálculos'!$F$200+(($C210)-$A$177:$A$222)*'Cálculos'!$F$98)/(('Cálculos'!$F$200+(($C210)-$A$177:$A$222)*'Cálculos'!$F$98)+1400)+'Cálculos'!$F$123)*'Cálculos'!$F$280)+('Cálculos'!$F$201*(1+'Cálculos'!$F$202+$A$177:$A$222*('Cálculos'!$F$290=2)*'Cálculos'!$F$101)+'Cálculos'!$F$203)*('Cálculos'!$F$271+'Cálculos'!$F$124*(1+2.78*('Cálculos'!$F$200+(($C210)-$A$177:$A$222)*'Cálculos'!$F$98)/(('Cálculos'!$F$200+(($C210)-$A$177:$A$222)*'Cálculos'!$F$98)+1400)+'Cálculos'!$F$122)*'Cálculos'!$F$276+'Cálculos'!$F$125*(1+2.78*('Cálculos'!$F$200+(($C210)-$A$177:$A$222)*'Cálculos'!$F$98)/(('Cálculos'!$F$200+(($C210)-$A$177:$A$222)*'Cálculos'!$F$98)+1400)+'Cálculos'!$F$123)*'Cálculos'!$F$281)+('Cálculos'!$F$204*(1+'Cálculos'!$F$205+$A$177:$A$222*('Cálculos'!$F$290=3)*'Cálculos'!$F$103)+'Cálculos'!$F$206)*('Cálculos'!$F$272+'Cálculos'!$F$124*(1+2.78*('Cálculos'!$F$200+(($C210)-$A$177:$A$222)*'Cálculos'!$F$98)/(('Cálculos'!$F$200+(($C210)-$A$177:$A$222)*'Cálculos'!$F$98)+1400)+'Cálculos'!$F$122)*'Cálculos'!$F$277+'Cálculos'!$F$125*(1+2.78*('Cálculos'!$F$200+(($C210)-$A$177:$A$222)*'Cálculos'!$F$98)/(('Cálculos'!$F$200+(($C210)-$A$177:$A$222)*'Cálculos'!$F$98)+1400)+'Cálculos'!$F$123)*'Cálculos'!$F$282)))))</f>
        <v>0</v>
      </c>
      <c r="E210" s="32">
        <f>IF(OR($C210&lt;0,'Cálculos'!$F$6=""),0,$B210*$D210)</f>
        <v>0</v>
      </c>
      <c r="F210" s="2"/>
      <c r="G210" s="30">
        <f>($A210&lt;=$B$224)*($A210&lt;='Cálculos'!$F$294)*(($B$224)-$A210&lt;='Cálculos'!$F$295)*(1+MIN(('Cálculos'!$F$207+$A210*'Cálculos'!$F$95),1)*('Cálculos'!$F$208+(($B$224)-$A210)*'Cálculos'!$F$96))</f>
        <v>0</v>
      </c>
      <c r="H210" s="31">
        <f>IF($B$225&lt;0,0,($A210&lt;=$B$225)*($A210&lt;='Cálculos'!$F$301)*(($B$225)-$A210&lt;='Cálculos'!$F$297)*(('Cálculos'!$F$185*(1+'Cálculos'!$F$186+$A210*('Cálculos'!$F$290=1)*'Cálculos'!$F$97+'Cálculos'!$F$305)+'Cálculos'!$F$191)*('Cálculos'!$F$209+'Cálculos'!$F$124*(1+2.78*('Cálculos'!$F$196+(($B$225)-$A210)*'Cálculos'!$F$98)/(('Cálculos'!$F$196+(($B$225)-$A210)*'Cálculos'!$F$98)+1400)+'Cálculos'!$F$122)*'Cálculos'!$F$214+'Cálculos'!$F$125*(1+2.78*('Cálculos'!$F$196+(($B$225)-$A210)*'Cálculos'!$F$98)/(('Cálculos'!$F$196+(($B$225)-$A210)*'Cálculos'!$F$98)+1400)+'Cálculos'!$F$123)*'Cálculos'!$F$219)+('Cálculos'!$F$196+(($B$225)-$A210)*'Cálculos'!$F$98)*('Cálculos'!$F$210+'Cálculos'!$F$124*(1+2.78*('Cálculos'!$F$196+(($B$225)-$A210)*'Cálculos'!$F$98)/(('Cálculos'!$F$196+(($B$225)-$A210)*'Cálculos'!$F$98)+1400)+'Cálculos'!$F$122)*'Cálculos'!$F$215+'Cálculos'!$F$125*(1+2.78*('Cálculos'!$F$196+(($B$225)-$A210)*'Cálculos'!$F$98)/(('Cálculos'!$F$196+(($B$225)-$A210)*'Cálculos'!$F$98)+1400)+'Cálculos'!$F$123)*'Cálculos'!$F$220)+('Cálculos'!$F$201*(1+'Cálculos'!$F$202+$A210*('Cálculos'!$F$290=2)*'Cálculos'!$F$101)+'Cálculos'!$F$203)*('Cálculos'!$F$211+'Cálculos'!$F$124*(1+2.78*('Cálculos'!$F$196+(($B$225)-$A210)*'Cálculos'!$F$98)/(('Cálculos'!$F$196+(($B$225)-$A210)*'Cálculos'!$F$98)+1400)+'Cálculos'!$F$122)*'Cálculos'!$F$216+'Cálculos'!$F$125*(1+2.78*('Cálculos'!$F$196+(($B$225)-$A210)*'Cálculos'!$F$98)/(('Cálculos'!$F$196+(($B$225)-$A210)*'Cálculos'!$F$98)+1400)+'Cálculos'!$F$123)*'Cálculos'!$F$221)+('Cálculos'!$F$204*(1+'Cálculos'!$F$205+$A210*('Cálculos'!$F$290=3)*'Cálculos'!$F$103)+'Cálculos'!$F$206)*('Cálculos'!$F$212+'Cálculos'!$F$124*(1+2.78*('Cálculos'!$F$196+(($B$225)-$A210)*'Cálculos'!$F$98)/(('Cálculos'!$F$196+(($B$225)-$A210)*'Cálculos'!$F$98)+1400)+'Cálculos'!$F$122)*'Cálculos'!$F$217+'Cálculos'!$F$125*(1+2.78*('Cálculos'!$F$196+(($B$225)-$A210)*'Cálculos'!$F$98)/(('Cálculos'!$F$196+(($B$225)-$A210)*'Cálculos'!$F$98)+1400)+'Cálculos'!$F$123)*'Cálculos'!$F$222)+('Cálculos'!$F$185*(1+'Cálculos'!$F$187+$A210*('Cálculos'!$F$290=1)*'Cálculos'!$F$97+'Cálculos'!$F$305)+'Cálculos'!$F$192)*('Cálculos'!$F$224+'Cálculos'!$F$124*(1+2.78*('Cálculos'!$F$197+(($B$225)-$A210)*'Cálculos'!$F$98)/(('Cálculos'!$F$197+(($B$225)-$A210)*'Cálculos'!$F$98)+1400)+'Cálculos'!$F$122)*'Cálculos'!$F$229+'Cálculos'!$F$125*(1+2.78*('Cálculos'!$F$197+(($B$225)-$A210)*'Cálculos'!$F$98)/(('Cálculos'!$F$197+(($B$225)-$A210)*'Cálculos'!$F$98)+1400)+'Cálculos'!$F$123)*'Cálculos'!$F$234)+('Cálculos'!$F$197+(($B$225)-$A210)*'Cálculos'!$F$98)*('Cálculos'!$F$225+'Cálculos'!$F$124*(1+2.78*('Cálculos'!$F$197+(($B$225)-$A210)*'Cálculos'!$F$98)/(('Cálculos'!$F$197+(($B$225)-$A210)*'Cálculos'!$F$98)+1400)+'Cálculos'!$F$122)*'Cálculos'!$F$230+'Cálculos'!$F$125*(1+2.78*('Cálculos'!$F$197+(($B$225)-$A210)*'Cálculos'!$F$98)/(('Cálculos'!$F$197+(($B$225)-$A210)*'Cálculos'!$F$98)+1400)+'Cálculos'!$F$123)*'Cálculos'!$F$235)+('Cálculos'!$F$201*(1+'Cálculos'!$F$202+$A210*('Cálculos'!$F$290=2)*'Cálculos'!$F$101)+'Cálculos'!$F$203)*('Cálculos'!$F$226+'Cálculos'!$F$124*(1+2.78*('Cálculos'!$F$197+(($B$225)-$A210)*'Cálculos'!$F$98)/(('Cálculos'!$F$197+(($B$225)-$A210)*'Cálculos'!$F$98)+1400)+'Cálculos'!$F$122)*'Cálculos'!$F$231+'Cálculos'!$F$125*(1+2.78*('Cálculos'!$F$197+(($B$225)-$A210)*'Cálculos'!$F$98)/(('Cálculos'!$F$197+(($B$225)-$A210)*'Cálculos'!$F$98)+1400)+'Cálculos'!$F$123)*'Cálculos'!$F$236)+('Cálculos'!$F$204*(1+'Cálculos'!$F$205+$A210*('Cálculos'!$F$290=3)*'Cálculos'!$F$103)+'Cálculos'!$F$206)*('Cálculos'!$F$227+'Cálculos'!$F$124*(1+2.78*('Cálculos'!$F$197+(($B$225)-$A210)*'Cálculos'!$F$98)/(('Cálculos'!$F$197+(($B$225)-$A210)*'Cálculos'!$F$98)+1400)+'Cálculos'!$F$122)*'Cálculos'!$F$232+'Cálculos'!$F$125*(1+2.78*('Cálculos'!$F$197+(($B$225)-$A210)*'Cálculos'!$F$98)/(('Cálculos'!$F$197+(($B$225)-$A210)*'Cálculos'!$F$98)+1400)+'Cálculos'!$F$123)*'Cálculos'!$F$237)+('Cálculos'!$F$185*(1+'Cálculos'!$F$188+$A210*('Cálculos'!$F$290=1)*'Cálculos'!$F$97+'Cálculos'!$F$305)+'Cálculos'!$F$193)*('Cálculos'!$F$239+'Cálculos'!$F$124*(1+2.78*('Cálculos'!$F$198+(($B$225)-$A210)*'Cálculos'!$F$98)/(('Cálculos'!$F$198+(($B$225)-$A210)*'Cálculos'!$F$98)+1400)+'Cálculos'!$F$122)*'Cálculos'!$F$244+'Cálculos'!$F$125*(1+2.78*('Cálculos'!$F$198+(($B$225)-$A210)*'Cálculos'!$F$98)/(('Cálculos'!$F$198+(($B$225)-$A210)*'Cálculos'!$F$98)+1400)+'Cálculos'!$F$123)*'Cálculos'!$F$249)+('Cálculos'!$F$198+(($B$225)-$A210)*'Cálculos'!$F$98)*('Cálculos'!$F$240+'Cálculos'!$F$124*(1+2.78*('Cálculos'!$F$198+(($B$225)-$A210)*'Cálculos'!$F$98)/(('Cálculos'!$F$198+(($B$225)-$A210)*'Cálculos'!$F$98)+1400)+'Cálculos'!$F$122)*'Cálculos'!$F$245+'Cálculos'!$F$125*(1+2.78*('Cálculos'!$F$198+(($B$225)-$A210)*'Cálculos'!$F$98)/(('Cálculos'!$F$198+(($B$225)-$A210)*'Cálculos'!$F$98)+1400)+'Cálculos'!$F$123)*'Cálculos'!$F$250)+('Cálculos'!$F$201*(1+'Cálculos'!$F$202+$A210*('Cálculos'!$F$290=2)*'Cálculos'!$F$101)+'Cálculos'!$F$203)*('Cálculos'!$F$241+'Cálculos'!$F$124*(1+2.78*('Cálculos'!$F$198+(($B$225)-$A210)*'Cálculos'!$F$98)/(('Cálculos'!$F$198+(($B$225)-$A210)*'Cálculos'!$F$98)+1400)+'Cálculos'!$F$122)*'Cálculos'!$F$246+'Cálculos'!$F$125*(1+2.78*('Cálculos'!$F$198+(($B$225)-$A210)*'Cálculos'!$F$98)/(('Cálculos'!$F$198+(($B$225)-$A210)*'Cálculos'!$F$98)+1400)+'Cálculos'!$F$123)*'Cálculos'!$F$251)+('Cálculos'!$F$204*(1+'Cálculos'!$F$205+$A210*('Cálculos'!$F$290=3)*'Cálculos'!$F$103)+'Cálculos'!$F$206)*('Cálculos'!$F$242+'Cálculos'!$F$124*(1+2.78*('Cálculos'!$F$198+(($B$225)-$A210)*'Cálculos'!$F$98)/(('Cálculos'!$F$198+(($B$225)-$A210)*'Cálculos'!$F$98)+1400)+'Cálculos'!$F$122)*'Cálculos'!$F$247+'Cálculos'!$F$125*(1+2.78*('Cálculos'!$F$198+(($B$225)-$A210)*'Cálculos'!$F$98)/(('Cálculos'!$F$198+(($B$225)-$A210)*'Cálculos'!$F$98)+1400)+'Cálculos'!$F$123)*'Cálculos'!$F$252)+('Cálculos'!$F$185*(1+'Cálculos'!$F$189+$A210*('Cálculos'!$F$290=1)*'Cálculos'!$F$97+'Cálculos'!$F$305)+'Cálculos'!$F$194)*('Cálculos'!$F$254+'Cálculos'!$F$124*(1+2.78*('Cálculos'!$F$199+(($B$225)-$A210)*'Cálculos'!$F$98)/(('Cálculos'!$F$199+(($B$225)-$A210)*'Cálculos'!$F$98)+1400)+'Cálculos'!$F$122)*'Cálculos'!$F$259+'Cálculos'!$F$125*(1+2.78*('Cálculos'!$F$199+(($B$225)-$A210)*'Cálculos'!$F$98)/(('Cálculos'!$F$199+(($B$225)-$A210)*'Cálculos'!$F$98)+1400)+'Cálculos'!$F$123)*'Cálculos'!$F$264)+('Cálculos'!$F$199+(($B$225)-$A210)*'Cálculos'!$F$98)*('Cálculos'!$F$255+'Cálculos'!$F$124*(1+2.78*('Cálculos'!$F$199+(($B$225)-$A210)*'Cálculos'!$F$98)/(('Cálculos'!$F$199+(($B$225)-$A210)*'Cálculos'!$F$98)+1400)+'Cálculos'!$F$122)*'Cálculos'!$F$260+'Cálculos'!$F$125*(1+2.78*('Cálculos'!$F$199+(($B$225)-$A210)*'Cálculos'!$F$98)/(('Cálculos'!$F$199+(($B$225)-$A210)*'Cálculos'!$F$98)+1400)+'Cálculos'!$F$123)*'Cálculos'!$F$265)+('Cálculos'!$F$201*(1+'Cálculos'!$F$202+$A210*('Cálculos'!$F$290=2)*'Cálculos'!$F$101)+'Cálculos'!$F$203)*('Cálculos'!$F$256+'Cálculos'!$F$124*(1+2.78*('Cálculos'!$F$199+(($B$225)-$A210)*'Cálculos'!$F$98)/(('Cálculos'!$F$199+(($B$225)-$A210)*'Cálculos'!$F$98)+1400)+'Cálculos'!$F$122)*'Cálculos'!$F$261+'Cálculos'!$F$125*(1+2.78*('Cálculos'!$F$199+(($B$225)-$A210)*'Cálculos'!$F$98)/(('Cálculos'!$F$199+(($B$225)-$A210)*'Cálculos'!$F$98)+1400)+'Cálculos'!$F$123)*'Cálculos'!$F$266)+('Cálculos'!$F$204*(1+'Cálculos'!$F$205+$A210*('Cálculos'!$F$290=3)*'Cálculos'!$F$103)+'Cálculos'!$F$206)*('Cálculos'!$F$257+'Cálculos'!$F$124*(1+2.78*('Cálculos'!$F$199+(($B$225)-$A210)*'Cálculos'!$F$98)/(('Cálculos'!$F$199+(($B$225)-$A210)*'Cálculos'!$F$98)+1400)+'Cálculos'!$F$122)*'Cálculos'!$F$262+'Cálculos'!$F$125*(1+2.78*('Cálculos'!$F$199+(($B$225)-$A210)*'Cálculos'!$F$98)/(('Cálculos'!$F$199+(($B$225)-$A210)*'Cálculos'!$F$98)+1400)+'Cálculos'!$F$123)*'Cálculos'!$F$267)+('Cálculos'!$F$185*(1+'Cálculos'!$F$190+$A210*('Cálculos'!$F$290=1)*'Cálculos'!$F$97+'Cálculos'!$F$305)+'Cálculos'!$F$195)*('Cálculos'!$F$269+'Cálculos'!$F$124*(1+2.78*('Cálculos'!$F$200+(($B$225)-$A210)*'Cálculos'!$F$98)/(('Cálculos'!$F$200+(($B$225)-$A210)*'Cálculos'!$F$98)+1400)+'Cálculos'!$F$122)*'Cálculos'!$F$274+'Cálculos'!$F$125*(1+2.78*('Cálculos'!$F$200+(($B$225)-$A210)*'Cálculos'!$F$98)/(('Cálculos'!$F$200+(($B$225)-$A210)*'Cálculos'!$F$98)+1400)+'Cálculos'!$F$123)*'Cálculos'!$F$279)+('Cálculos'!$F$200+(($B$225)-$A210)*'Cálculos'!$F$98)*('Cálculos'!$F$270+'Cálculos'!$F$124*(1+2.78*('Cálculos'!$F$200+(($B$225)-$A210)*'Cálculos'!$F$98)/(('Cálculos'!$F$200+(($B$225)-$A210)*'Cálculos'!$F$98)+1400)+'Cálculos'!$F$122)*'Cálculos'!$F$275+'Cálculos'!$F$125*(1+2.78*('Cálculos'!$F$200+(($B$225)-$A210)*'Cálculos'!$F$98)/(('Cálculos'!$F$200+(($B$225)-$A210)*'Cálculos'!$F$98)+1400)+'Cálculos'!$F$123)*'Cálculos'!$F$280)+('Cálculos'!$F$201*(1+'Cálculos'!$F$202+$A210*('Cálculos'!$F$290=2)*'Cálculos'!$F$101)+'Cálculos'!$F$203)*('Cálculos'!$F$271+'Cálculos'!$F$124*(1+2.78*('Cálculos'!$F$200+(($B$225)-$A210)*'Cálculos'!$F$98)/(('Cálculos'!$F$200+(($B$225)-$A210)*'Cálculos'!$F$98)+1400)+'Cálculos'!$F$122)*'Cálculos'!$F$276+'Cálculos'!$F$125*(1+2.78*('Cálculos'!$F$200+(($B$225)-$A210)*'Cálculos'!$F$98)/(('Cálculos'!$F$200+(($B$225)-$A210)*'Cálculos'!$F$98)+1400)+'Cálculos'!$F$123)*'Cálculos'!$F$281)+('Cálculos'!$F$204*(1+'Cálculos'!$F$205+$A210*('Cálculos'!$F$290=3)*'Cálculos'!$F$103)+'Cálculos'!$F$206)*('Cálculos'!$F$272+'Cálculos'!$F$124*(1+2.78*('Cálculos'!$F$200+(($B$225)-$A210)*'Cálculos'!$F$98)/(('Cálculos'!$F$200+(($B$225)-$A210)*'Cálculos'!$F$98)+1400)+'Cálculos'!$F$122)*'Cálculos'!$F$277+'Cálculos'!$F$125*(1+2.78*('Cálculos'!$F$200+(($B$225)-$A210)*'Cálculos'!$F$98)/(('Cálculos'!$F$200+(($B$225)-$A210)*'Cálculos'!$F$98)+1400)+'Cálculos'!$F$123)*'Cálculos'!$F$282)))</f>
        <v>0</v>
      </c>
    </row>
    <row r="211" ht="15.75" customHeight="1">
      <c r="A211" s="2">
        <v>34.0</v>
      </c>
      <c r="B211" s="30">
        <f>SUMPRODUCT(MAX(($A$177:$A$222&lt;=$A211)*($A$177:$A$222&lt;='Cálculos'!$F$294)*(($A211)-$A$177:$A$222&lt;='Cálculos'!$F$295)*(1+(('Cálculos'!$F$207+$A$177:$A$222*'Cálculos'!$F$95)-(('Cálculos'!$F$207+$A$177:$A$222*'Cálculos'!$F$95)&gt;1)*(('Cálculos'!$F$207+$A$177:$A$222*'Cálculos'!$F$95)-1))*('Cálculos'!$F$208+(($A211)-$A$177:$A$222)*'Cálculos'!$F$96))))</f>
        <v>3.36626</v>
      </c>
      <c r="C211" s="2">
        <f>'Cálculos'!$F$303-$A211</f>
        <v>-16</v>
      </c>
      <c r="D211" s="31">
        <f>IF($C211&lt;0,0,SUMPRODUCT(MAX(($A$177:$A$222&lt;=$C211)*($A$177:$A$222&lt;='Cálculos'!$F$301)*(($C211)-$A$177:$A$222&lt;='Cálculos'!$F$297)*(('Cálculos'!$F$185*(1+'Cálculos'!$F$186+$A$177:$A$222*('Cálculos'!$F$290=1)*'Cálculos'!$F$97+'Cálculos'!$F$305)+'Cálculos'!$F$191)*('Cálculos'!$F$209+'Cálculos'!$F$124*(1+2.78*('Cálculos'!$F$196+(($C211)-$A$177:$A$222)*'Cálculos'!$F$98)/(('Cálculos'!$F$196+(($C211)-$A$177:$A$222)*'Cálculos'!$F$98)+1400)+'Cálculos'!$F$122)*'Cálculos'!$F$214+'Cálculos'!$F$125*(1+2.78*('Cálculos'!$F$196+(($C211)-$A$177:$A$222)*'Cálculos'!$F$98)/(('Cálculos'!$F$196+(($C211)-$A$177:$A$222)*'Cálculos'!$F$98)+1400)+'Cálculos'!$F$123)*'Cálculos'!$F$219)+('Cálculos'!$F$196+(($C211)-$A$177:$A$222)*'Cálculos'!$F$98)*('Cálculos'!$F$210+'Cálculos'!$F$124*(1+2.78*('Cálculos'!$F$196+(($C211)-$A$177:$A$222)*'Cálculos'!$F$98)/(('Cálculos'!$F$196+(($C211)-$A$177:$A$222)*'Cálculos'!$F$98)+1400)+'Cálculos'!$F$122)*'Cálculos'!$F$215+'Cálculos'!$F$125*(1+2.78*('Cálculos'!$F$196+(($C211)-$A$177:$A$222)*'Cálculos'!$F$98)/(('Cálculos'!$F$196+(($C211)-$A$177:$A$222)*'Cálculos'!$F$98)+1400)+'Cálculos'!$F$123)*'Cálculos'!$F$220)+('Cálculos'!$F$201*(1+'Cálculos'!$F$202+$A$177:$A$222*('Cálculos'!$F$290=2)*'Cálculos'!$F$101)+'Cálculos'!$F$203)*('Cálculos'!$F$211+'Cálculos'!$F$124*(1+2.78*('Cálculos'!$F$196+(($C211)-$A$177:$A$222)*'Cálculos'!$F$98)/(('Cálculos'!$F$196+(($C211)-$A$177:$A$222)*'Cálculos'!$F$98)+1400)+'Cálculos'!$F$122)*'Cálculos'!$F$216+'Cálculos'!$F$125*(1+2.78*('Cálculos'!$F$196+(($C211)-$A$177:$A$222)*'Cálculos'!$F$98)/(('Cálculos'!$F$196+(($C211)-$A$177:$A$222)*'Cálculos'!$F$98)+1400)+'Cálculos'!$F$123)*'Cálculos'!$F$221)+('Cálculos'!$F$204*(1+'Cálculos'!$F$205+$A$177:$A$222*('Cálculos'!$F$290=3)*'Cálculos'!$F$103)+'Cálculos'!$F$206)*('Cálculos'!$F$212+'Cálculos'!$F$124*(1+2.78*('Cálculos'!$F$196+(($C211)-$A$177:$A$222)*'Cálculos'!$F$98)/(('Cálculos'!$F$196+(($C211)-$A$177:$A$222)*'Cálculos'!$F$98)+1400)+'Cálculos'!$F$122)*'Cálculos'!$F$217+'Cálculos'!$F$125*(1+2.78*('Cálculos'!$F$196+(($C211)-$A$177:$A$222)*'Cálculos'!$F$98)/(('Cálculos'!$F$196+(($C211)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211)-$A$177:$A$222)*'Cálculos'!$F$98)/(('Cálculos'!$F$197+(($C211)-$A$177:$A$222)*'Cálculos'!$F$98)+1400)+'Cálculos'!$F$122)*'Cálculos'!$F$229+'Cálculos'!$F$125*(1+2.78*('Cálculos'!$F$197+(($C211)-$A$177:$A$222)*'Cálculos'!$F$98)/(('Cálculos'!$F$197+(($C211)-$A$177:$A$222)*'Cálculos'!$F$98)+1400)+'Cálculos'!$F$123)*'Cálculos'!$F$234)+('Cálculos'!$F$197+(($C211)-$A$177:$A$222)*'Cálculos'!$F$98)*('Cálculos'!$F$225+'Cálculos'!$F$124*(1+2.78*('Cálculos'!$F$197+(($C211)-$A$177:$A$222)*'Cálculos'!$F$98)/(('Cálculos'!$F$197+(($C211)-$A$177:$A$222)*'Cálculos'!$F$98)+1400)+'Cálculos'!$F$122)*'Cálculos'!$F$230+'Cálculos'!$F$125*(1+2.78*('Cálculos'!$F$197+(($C211)-$A$177:$A$222)*'Cálculos'!$F$98)/(('Cálculos'!$F$197+(($C211)-$A$177:$A$222)*'Cálculos'!$F$98)+1400)+'Cálculos'!$F$123)*'Cálculos'!$F$235)+('Cálculos'!$F$201*(1+'Cálculos'!$F$202+$A$177:$A$222*('Cálculos'!$F$290=2)*'Cálculos'!$F$101)+'Cálculos'!$F$203)*('Cálculos'!$F$226+'Cálculos'!$F$124*(1+2.78*('Cálculos'!$F$197+(($C211)-$A$177:$A$222)*'Cálculos'!$F$98)/(('Cálculos'!$F$197+(($C211)-$A$177:$A$222)*'Cálculos'!$F$98)+1400)+'Cálculos'!$F$122)*'Cálculos'!$F$231+'Cálculos'!$F$125*(1+2.78*('Cálculos'!$F$197+(($C211)-$A$177:$A$222)*'Cálculos'!$F$98)/(('Cálculos'!$F$197+(($C211)-$A$177:$A$222)*'Cálculos'!$F$98)+1400)+'Cálculos'!$F$123)*'Cálculos'!$F$236)+('Cálculos'!$F$204*(1+'Cálculos'!$F$205+$A$177:$A$222*('Cálculos'!$F$290=3)*'Cálculos'!$F$103)+'Cálculos'!$F$206)*('Cálculos'!$F$227+'Cálculos'!$F$124*(1+2.78*('Cálculos'!$F$197+(($C211)-$A$177:$A$222)*'Cálculos'!$F$98)/(('Cálculos'!$F$197+(($C211)-$A$177:$A$222)*'Cálculos'!$F$98)+1400)+'Cálculos'!$F$122)*'Cálculos'!$F$232+'Cálculos'!$F$125*(1+2.78*('Cálculos'!$F$197+(($C211)-$A$177:$A$222)*'Cálculos'!$F$98)/(('Cálculos'!$F$197+(($C211)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211)-$A$177:$A$222)*'Cálculos'!$F$98)/(('Cálculos'!$F$198+(($C211)-$A$177:$A$222)*'Cálculos'!$F$98)+1400)+'Cálculos'!$F$122)*'Cálculos'!$F$244+'Cálculos'!$F$125*(1+2.78*('Cálculos'!$F$198+(($C211)-$A$177:$A$222)*'Cálculos'!$F$98)/(('Cálculos'!$F$198+(($C211)-$A$177:$A$222)*'Cálculos'!$F$98)+1400)+'Cálculos'!$F$123)*'Cálculos'!$F$249)+('Cálculos'!$F$198+(($C211)-$A$177:$A$222)*'Cálculos'!$F$98)*('Cálculos'!$F$240+'Cálculos'!$F$124*(1+2.78*('Cálculos'!$F$198+(($C211)-$A$177:$A$222)*'Cálculos'!$F$98)/(('Cálculos'!$F$198+(($C211)-$A$177:$A$222)*'Cálculos'!$F$98)+1400)+'Cálculos'!$F$122)*'Cálculos'!$F$245+'Cálculos'!$F$125*(1+2.78*('Cálculos'!$F$198+(($C211)-$A$177:$A$222)*'Cálculos'!$F$98)/(('Cálculos'!$F$198+(($C211)-$A$177:$A$222)*'Cálculos'!$F$98)+1400)+'Cálculos'!$F$123)*'Cálculos'!$F$250)+('Cálculos'!$F$201*(1+'Cálculos'!$F$202+$A$177:$A$222*('Cálculos'!$F$290=2)*'Cálculos'!$F$101)+'Cálculos'!$F$203)*('Cálculos'!$F$241+'Cálculos'!$F$124*(1+2.78*('Cálculos'!$F$198+(($C211)-$A$177:$A$222)*'Cálculos'!$F$98)/(('Cálculos'!$F$198+(($C211)-$A$177:$A$222)*'Cálculos'!$F$98)+1400)+'Cálculos'!$F$122)*'Cálculos'!$F$246+'Cálculos'!$F$125*(1+2.78*('Cálculos'!$F$198+(($C211)-$A$177:$A$222)*'Cálculos'!$F$98)/(('Cálculos'!$F$198+(($C211)-$A$177:$A$222)*'Cálculos'!$F$98)+1400)+'Cálculos'!$F$123)*'Cálculos'!$F$251)+('Cálculos'!$F$204*(1+'Cálculos'!$F$205+$A$177:$A$222*('Cálculos'!$F$290=3)*'Cálculos'!$F$103)+'Cálculos'!$F$206)*('Cálculos'!$F$242+'Cálculos'!$F$124*(1+2.78*('Cálculos'!$F$198+(($C211)-$A$177:$A$222)*'Cálculos'!$F$98)/(('Cálculos'!$F$198+(($C211)-$A$177:$A$222)*'Cálculos'!$F$98)+1400)+'Cálculos'!$F$122)*'Cálculos'!$F$247+'Cálculos'!$F$125*(1+2.78*('Cálculos'!$F$198+(($C211)-$A$177:$A$222)*'Cálculos'!$F$98)/(('Cálculos'!$F$198+(($C211)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211)-$A$177:$A$222)*'Cálculos'!$F$98)/(('Cálculos'!$F$199+(($C211)-$A$177:$A$222)*'Cálculos'!$F$98)+1400)+'Cálculos'!$F$122)*'Cálculos'!$F$259+'Cálculos'!$F$125*(1+2.78*('Cálculos'!$F$199+(($C211)-$A$177:$A$222)*'Cálculos'!$F$98)/(('Cálculos'!$F$199+(($C211)-$A$177:$A$222)*'Cálculos'!$F$98)+1400)+'Cálculos'!$F$123)*'Cálculos'!$F$264)+('Cálculos'!$F$199+(($C211)-$A$177:$A$222)*'Cálculos'!$F$98)*('Cálculos'!$F$255+'Cálculos'!$F$124*(1+2.78*('Cálculos'!$F$199+(($C211)-$A$177:$A$222)*'Cálculos'!$F$98)/(('Cálculos'!$F$199+(($C211)-$A$177:$A$222)*'Cálculos'!$F$98)+1400)+'Cálculos'!$F$122)*'Cálculos'!$F$260+'Cálculos'!$F$125*(1+2.78*('Cálculos'!$F$199+(($C211)-$A$177:$A$222)*'Cálculos'!$F$98)/(('Cálculos'!$F$199+(($C211)-$A$177:$A$222)*'Cálculos'!$F$98)+1400)+'Cálculos'!$F$123)*'Cálculos'!$F$265)+('Cálculos'!$F$201*(1+'Cálculos'!$F$202+$A$177:$A$222*('Cálculos'!$F$290=2)*'Cálculos'!$F$101)+'Cálculos'!$F$203)*('Cálculos'!$F$256+'Cálculos'!$F$124*(1+2.78*('Cálculos'!$F$199+(($C211)-$A$177:$A$222)*'Cálculos'!$F$98)/(('Cálculos'!$F$199+(($C211)-$A$177:$A$222)*'Cálculos'!$F$98)+1400)+'Cálculos'!$F$122)*'Cálculos'!$F$261+'Cálculos'!$F$125*(1+2.78*('Cálculos'!$F$199+(($C211)-$A$177:$A$222)*'Cálculos'!$F$98)/(('Cálculos'!$F$199+(($C211)-$A$177:$A$222)*'Cálculos'!$F$98)+1400)+'Cálculos'!$F$123)*'Cálculos'!$F$266)+('Cálculos'!$F$204*(1+'Cálculos'!$F$205+$A$177:$A$222*('Cálculos'!$F$290=3)*'Cálculos'!$F$103)+'Cálculos'!$F$206)*('Cálculos'!$F$257+'Cálculos'!$F$124*(1+2.78*('Cálculos'!$F$199+(($C211)-$A$177:$A$222)*'Cálculos'!$F$98)/(('Cálculos'!$F$199+(($C211)-$A$177:$A$222)*'Cálculos'!$F$98)+1400)+'Cálculos'!$F$122)*'Cálculos'!$F$262+'Cálculos'!$F$125*(1+2.78*('Cálculos'!$F$199+(($C211)-$A$177:$A$222)*'Cálculos'!$F$98)/(('Cálculos'!$F$199+(($C211)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211)-$A$177:$A$222)*'Cálculos'!$F$98)/(('Cálculos'!$F$200+(($C211)-$A$177:$A$222)*'Cálculos'!$F$98)+1400)+'Cálculos'!$F$122)*'Cálculos'!$F$274+'Cálculos'!$F$125*(1+2.78*('Cálculos'!$F$200+(($C211)-$A$177:$A$222)*'Cálculos'!$F$98)/(('Cálculos'!$F$200+(($C211)-$A$177:$A$222)*'Cálculos'!$F$98)+1400)+'Cálculos'!$F$123)*'Cálculos'!$F$279)+('Cálculos'!$F$200+(($C211)-$A$177:$A$222)*'Cálculos'!$F$98)*('Cálculos'!$F$270+'Cálculos'!$F$124*(1+2.78*('Cálculos'!$F$200+(($C211)-$A$177:$A$222)*'Cálculos'!$F$98)/(('Cálculos'!$F$200+(($C211)-$A$177:$A$222)*'Cálculos'!$F$98)+1400)+'Cálculos'!$F$122)*'Cálculos'!$F$275+'Cálculos'!$F$125*(1+2.78*('Cálculos'!$F$200+(($C211)-$A$177:$A$222)*'Cálculos'!$F$98)/(('Cálculos'!$F$200+(($C211)-$A$177:$A$222)*'Cálculos'!$F$98)+1400)+'Cálculos'!$F$123)*'Cálculos'!$F$280)+('Cálculos'!$F$201*(1+'Cálculos'!$F$202+$A$177:$A$222*('Cálculos'!$F$290=2)*'Cálculos'!$F$101)+'Cálculos'!$F$203)*('Cálculos'!$F$271+'Cálculos'!$F$124*(1+2.78*('Cálculos'!$F$200+(($C211)-$A$177:$A$222)*'Cálculos'!$F$98)/(('Cálculos'!$F$200+(($C211)-$A$177:$A$222)*'Cálculos'!$F$98)+1400)+'Cálculos'!$F$122)*'Cálculos'!$F$276+'Cálculos'!$F$125*(1+2.78*('Cálculos'!$F$200+(($C211)-$A$177:$A$222)*'Cálculos'!$F$98)/(('Cálculos'!$F$200+(($C211)-$A$177:$A$222)*'Cálculos'!$F$98)+1400)+'Cálculos'!$F$123)*'Cálculos'!$F$281)+('Cálculos'!$F$204*(1+'Cálculos'!$F$205+$A$177:$A$222*('Cálculos'!$F$290=3)*'Cálculos'!$F$103)+'Cálculos'!$F$206)*('Cálculos'!$F$272+'Cálculos'!$F$124*(1+2.78*('Cálculos'!$F$200+(($C211)-$A$177:$A$222)*'Cálculos'!$F$98)/(('Cálculos'!$F$200+(($C211)-$A$177:$A$222)*'Cálculos'!$F$98)+1400)+'Cálculos'!$F$122)*'Cálculos'!$F$277+'Cálculos'!$F$125*(1+2.78*('Cálculos'!$F$200+(($C211)-$A$177:$A$222)*'Cálculos'!$F$98)/(('Cálculos'!$F$200+(($C211)-$A$177:$A$222)*'Cálculos'!$F$98)+1400)+'Cálculos'!$F$123)*'Cálculos'!$F$282)))))</f>
        <v>0</v>
      </c>
      <c r="E211" s="32">
        <f>IF(OR($C211&lt;0,'Cálculos'!$F$6=""),0,$B211*$D211)</f>
        <v>0</v>
      </c>
      <c r="F211" s="2"/>
      <c r="G211" s="30">
        <f>($A211&lt;=$B$224)*($A211&lt;='Cálculos'!$F$294)*(($B$224)-$A211&lt;='Cálculos'!$F$295)*(1+MIN(('Cálculos'!$F$207+$A211*'Cálculos'!$F$95),1)*('Cálculos'!$F$208+(($B$224)-$A211)*'Cálculos'!$F$96))</f>
        <v>0</v>
      </c>
      <c r="H211" s="31">
        <f>IF($B$225&lt;0,0,($A211&lt;=$B$225)*($A211&lt;='Cálculos'!$F$301)*(($B$225)-$A211&lt;='Cálculos'!$F$297)*(('Cálculos'!$F$185*(1+'Cálculos'!$F$186+$A211*('Cálculos'!$F$290=1)*'Cálculos'!$F$97+'Cálculos'!$F$305)+'Cálculos'!$F$191)*('Cálculos'!$F$209+'Cálculos'!$F$124*(1+2.78*('Cálculos'!$F$196+(($B$225)-$A211)*'Cálculos'!$F$98)/(('Cálculos'!$F$196+(($B$225)-$A211)*'Cálculos'!$F$98)+1400)+'Cálculos'!$F$122)*'Cálculos'!$F$214+'Cálculos'!$F$125*(1+2.78*('Cálculos'!$F$196+(($B$225)-$A211)*'Cálculos'!$F$98)/(('Cálculos'!$F$196+(($B$225)-$A211)*'Cálculos'!$F$98)+1400)+'Cálculos'!$F$123)*'Cálculos'!$F$219)+('Cálculos'!$F$196+(($B$225)-$A211)*'Cálculos'!$F$98)*('Cálculos'!$F$210+'Cálculos'!$F$124*(1+2.78*('Cálculos'!$F$196+(($B$225)-$A211)*'Cálculos'!$F$98)/(('Cálculos'!$F$196+(($B$225)-$A211)*'Cálculos'!$F$98)+1400)+'Cálculos'!$F$122)*'Cálculos'!$F$215+'Cálculos'!$F$125*(1+2.78*('Cálculos'!$F$196+(($B$225)-$A211)*'Cálculos'!$F$98)/(('Cálculos'!$F$196+(($B$225)-$A211)*'Cálculos'!$F$98)+1400)+'Cálculos'!$F$123)*'Cálculos'!$F$220)+('Cálculos'!$F$201*(1+'Cálculos'!$F$202+$A211*('Cálculos'!$F$290=2)*'Cálculos'!$F$101)+'Cálculos'!$F$203)*('Cálculos'!$F$211+'Cálculos'!$F$124*(1+2.78*('Cálculos'!$F$196+(($B$225)-$A211)*'Cálculos'!$F$98)/(('Cálculos'!$F$196+(($B$225)-$A211)*'Cálculos'!$F$98)+1400)+'Cálculos'!$F$122)*'Cálculos'!$F$216+'Cálculos'!$F$125*(1+2.78*('Cálculos'!$F$196+(($B$225)-$A211)*'Cálculos'!$F$98)/(('Cálculos'!$F$196+(($B$225)-$A211)*'Cálculos'!$F$98)+1400)+'Cálculos'!$F$123)*'Cálculos'!$F$221)+('Cálculos'!$F$204*(1+'Cálculos'!$F$205+$A211*('Cálculos'!$F$290=3)*'Cálculos'!$F$103)+'Cálculos'!$F$206)*('Cálculos'!$F$212+'Cálculos'!$F$124*(1+2.78*('Cálculos'!$F$196+(($B$225)-$A211)*'Cálculos'!$F$98)/(('Cálculos'!$F$196+(($B$225)-$A211)*'Cálculos'!$F$98)+1400)+'Cálculos'!$F$122)*'Cálculos'!$F$217+'Cálculos'!$F$125*(1+2.78*('Cálculos'!$F$196+(($B$225)-$A211)*'Cálculos'!$F$98)/(('Cálculos'!$F$196+(($B$225)-$A211)*'Cálculos'!$F$98)+1400)+'Cálculos'!$F$123)*'Cálculos'!$F$222)+('Cálculos'!$F$185*(1+'Cálculos'!$F$187+$A211*('Cálculos'!$F$290=1)*'Cálculos'!$F$97+'Cálculos'!$F$305)+'Cálculos'!$F$192)*('Cálculos'!$F$224+'Cálculos'!$F$124*(1+2.78*('Cálculos'!$F$197+(($B$225)-$A211)*'Cálculos'!$F$98)/(('Cálculos'!$F$197+(($B$225)-$A211)*'Cálculos'!$F$98)+1400)+'Cálculos'!$F$122)*'Cálculos'!$F$229+'Cálculos'!$F$125*(1+2.78*('Cálculos'!$F$197+(($B$225)-$A211)*'Cálculos'!$F$98)/(('Cálculos'!$F$197+(($B$225)-$A211)*'Cálculos'!$F$98)+1400)+'Cálculos'!$F$123)*'Cálculos'!$F$234)+('Cálculos'!$F$197+(($B$225)-$A211)*'Cálculos'!$F$98)*('Cálculos'!$F$225+'Cálculos'!$F$124*(1+2.78*('Cálculos'!$F$197+(($B$225)-$A211)*'Cálculos'!$F$98)/(('Cálculos'!$F$197+(($B$225)-$A211)*'Cálculos'!$F$98)+1400)+'Cálculos'!$F$122)*'Cálculos'!$F$230+'Cálculos'!$F$125*(1+2.78*('Cálculos'!$F$197+(($B$225)-$A211)*'Cálculos'!$F$98)/(('Cálculos'!$F$197+(($B$225)-$A211)*'Cálculos'!$F$98)+1400)+'Cálculos'!$F$123)*'Cálculos'!$F$235)+('Cálculos'!$F$201*(1+'Cálculos'!$F$202+$A211*('Cálculos'!$F$290=2)*'Cálculos'!$F$101)+'Cálculos'!$F$203)*('Cálculos'!$F$226+'Cálculos'!$F$124*(1+2.78*('Cálculos'!$F$197+(($B$225)-$A211)*'Cálculos'!$F$98)/(('Cálculos'!$F$197+(($B$225)-$A211)*'Cálculos'!$F$98)+1400)+'Cálculos'!$F$122)*'Cálculos'!$F$231+'Cálculos'!$F$125*(1+2.78*('Cálculos'!$F$197+(($B$225)-$A211)*'Cálculos'!$F$98)/(('Cálculos'!$F$197+(($B$225)-$A211)*'Cálculos'!$F$98)+1400)+'Cálculos'!$F$123)*'Cálculos'!$F$236)+('Cálculos'!$F$204*(1+'Cálculos'!$F$205+$A211*('Cálculos'!$F$290=3)*'Cálculos'!$F$103)+'Cálculos'!$F$206)*('Cálculos'!$F$227+'Cálculos'!$F$124*(1+2.78*('Cálculos'!$F$197+(($B$225)-$A211)*'Cálculos'!$F$98)/(('Cálculos'!$F$197+(($B$225)-$A211)*'Cálculos'!$F$98)+1400)+'Cálculos'!$F$122)*'Cálculos'!$F$232+'Cálculos'!$F$125*(1+2.78*('Cálculos'!$F$197+(($B$225)-$A211)*'Cálculos'!$F$98)/(('Cálculos'!$F$197+(($B$225)-$A211)*'Cálculos'!$F$98)+1400)+'Cálculos'!$F$123)*'Cálculos'!$F$237)+('Cálculos'!$F$185*(1+'Cálculos'!$F$188+$A211*('Cálculos'!$F$290=1)*'Cálculos'!$F$97+'Cálculos'!$F$305)+'Cálculos'!$F$193)*('Cálculos'!$F$239+'Cálculos'!$F$124*(1+2.78*('Cálculos'!$F$198+(($B$225)-$A211)*'Cálculos'!$F$98)/(('Cálculos'!$F$198+(($B$225)-$A211)*'Cálculos'!$F$98)+1400)+'Cálculos'!$F$122)*'Cálculos'!$F$244+'Cálculos'!$F$125*(1+2.78*('Cálculos'!$F$198+(($B$225)-$A211)*'Cálculos'!$F$98)/(('Cálculos'!$F$198+(($B$225)-$A211)*'Cálculos'!$F$98)+1400)+'Cálculos'!$F$123)*'Cálculos'!$F$249)+('Cálculos'!$F$198+(($B$225)-$A211)*'Cálculos'!$F$98)*('Cálculos'!$F$240+'Cálculos'!$F$124*(1+2.78*('Cálculos'!$F$198+(($B$225)-$A211)*'Cálculos'!$F$98)/(('Cálculos'!$F$198+(($B$225)-$A211)*'Cálculos'!$F$98)+1400)+'Cálculos'!$F$122)*'Cálculos'!$F$245+'Cálculos'!$F$125*(1+2.78*('Cálculos'!$F$198+(($B$225)-$A211)*'Cálculos'!$F$98)/(('Cálculos'!$F$198+(($B$225)-$A211)*'Cálculos'!$F$98)+1400)+'Cálculos'!$F$123)*'Cálculos'!$F$250)+('Cálculos'!$F$201*(1+'Cálculos'!$F$202+$A211*('Cálculos'!$F$290=2)*'Cálculos'!$F$101)+'Cálculos'!$F$203)*('Cálculos'!$F$241+'Cálculos'!$F$124*(1+2.78*('Cálculos'!$F$198+(($B$225)-$A211)*'Cálculos'!$F$98)/(('Cálculos'!$F$198+(($B$225)-$A211)*'Cálculos'!$F$98)+1400)+'Cálculos'!$F$122)*'Cálculos'!$F$246+'Cálculos'!$F$125*(1+2.78*('Cálculos'!$F$198+(($B$225)-$A211)*'Cálculos'!$F$98)/(('Cálculos'!$F$198+(($B$225)-$A211)*'Cálculos'!$F$98)+1400)+'Cálculos'!$F$123)*'Cálculos'!$F$251)+('Cálculos'!$F$204*(1+'Cálculos'!$F$205+$A211*('Cálculos'!$F$290=3)*'Cálculos'!$F$103)+'Cálculos'!$F$206)*('Cálculos'!$F$242+'Cálculos'!$F$124*(1+2.78*('Cálculos'!$F$198+(($B$225)-$A211)*'Cálculos'!$F$98)/(('Cálculos'!$F$198+(($B$225)-$A211)*'Cálculos'!$F$98)+1400)+'Cálculos'!$F$122)*'Cálculos'!$F$247+'Cálculos'!$F$125*(1+2.78*('Cálculos'!$F$198+(($B$225)-$A211)*'Cálculos'!$F$98)/(('Cálculos'!$F$198+(($B$225)-$A211)*'Cálculos'!$F$98)+1400)+'Cálculos'!$F$123)*'Cálculos'!$F$252)+('Cálculos'!$F$185*(1+'Cálculos'!$F$189+$A211*('Cálculos'!$F$290=1)*'Cálculos'!$F$97+'Cálculos'!$F$305)+'Cálculos'!$F$194)*('Cálculos'!$F$254+'Cálculos'!$F$124*(1+2.78*('Cálculos'!$F$199+(($B$225)-$A211)*'Cálculos'!$F$98)/(('Cálculos'!$F$199+(($B$225)-$A211)*'Cálculos'!$F$98)+1400)+'Cálculos'!$F$122)*'Cálculos'!$F$259+'Cálculos'!$F$125*(1+2.78*('Cálculos'!$F$199+(($B$225)-$A211)*'Cálculos'!$F$98)/(('Cálculos'!$F$199+(($B$225)-$A211)*'Cálculos'!$F$98)+1400)+'Cálculos'!$F$123)*'Cálculos'!$F$264)+('Cálculos'!$F$199+(($B$225)-$A211)*'Cálculos'!$F$98)*('Cálculos'!$F$255+'Cálculos'!$F$124*(1+2.78*('Cálculos'!$F$199+(($B$225)-$A211)*'Cálculos'!$F$98)/(('Cálculos'!$F$199+(($B$225)-$A211)*'Cálculos'!$F$98)+1400)+'Cálculos'!$F$122)*'Cálculos'!$F$260+'Cálculos'!$F$125*(1+2.78*('Cálculos'!$F$199+(($B$225)-$A211)*'Cálculos'!$F$98)/(('Cálculos'!$F$199+(($B$225)-$A211)*'Cálculos'!$F$98)+1400)+'Cálculos'!$F$123)*'Cálculos'!$F$265)+('Cálculos'!$F$201*(1+'Cálculos'!$F$202+$A211*('Cálculos'!$F$290=2)*'Cálculos'!$F$101)+'Cálculos'!$F$203)*('Cálculos'!$F$256+'Cálculos'!$F$124*(1+2.78*('Cálculos'!$F$199+(($B$225)-$A211)*'Cálculos'!$F$98)/(('Cálculos'!$F$199+(($B$225)-$A211)*'Cálculos'!$F$98)+1400)+'Cálculos'!$F$122)*'Cálculos'!$F$261+'Cálculos'!$F$125*(1+2.78*('Cálculos'!$F$199+(($B$225)-$A211)*'Cálculos'!$F$98)/(('Cálculos'!$F$199+(($B$225)-$A211)*'Cálculos'!$F$98)+1400)+'Cálculos'!$F$123)*'Cálculos'!$F$266)+('Cálculos'!$F$204*(1+'Cálculos'!$F$205+$A211*('Cálculos'!$F$290=3)*'Cálculos'!$F$103)+'Cálculos'!$F$206)*('Cálculos'!$F$257+'Cálculos'!$F$124*(1+2.78*('Cálculos'!$F$199+(($B$225)-$A211)*'Cálculos'!$F$98)/(('Cálculos'!$F$199+(($B$225)-$A211)*'Cálculos'!$F$98)+1400)+'Cálculos'!$F$122)*'Cálculos'!$F$262+'Cálculos'!$F$125*(1+2.78*('Cálculos'!$F$199+(($B$225)-$A211)*'Cálculos'!$F$98)/(('Cálculos'!$F$199+(($B$225)-$A211)*'Cálculos'!$F$98)+1400)+'Cálculos'!$F$123)*'Cálculos'!$F$267)+('Cálculos'!$F$185*(1+'Cálculos'!$F$190+$A211*('Cálculos'!$F$290=1)*'Cálculos'!$F$97+'Cálculos'!$F$305)+'Cálculos'!$F$195)*('Cálculos'!$F$269+'Cálculos'!$F$124*(1+2.78*('Cálculos'!$F$200+(($B$225)-$A211)*'Cálculos'!$F$98)/(('Cálculos'!$F$200+(($B$225)-$A211)*'Cálculos'!$F$98)+1400)+'Cálculos'!$F$122)*'Cálculos'!$F$274+'Cálculos'!$F$125*(1+2.78*('Cálculos'!$F$200+(($B$225)-$A211)*'Cálculos'!$F$98)/(('Cálculos'!$F$200+(($B$225)-$A211)*'Cálculos'!$F$98)+1400)+'Cálculos'!$F$123)*'Cálculos'!$F$279)+('Cálculos'!$F$200+(($B$225)-$A211)*'Cálculos'!$F$98)*('Cálculos'!$F$270+'Cálculos'!$F$124*(1+2.78*('Cálculos'!$F$200+(($B$225)-$A211)*'Cálculos'!$F$98)/(('Cálculos'!$F$200+(($B$225)-$A211)*'Cálculos'!$F$98)+1400)+'Cálculos'!$F$122)*'Cálculos'!$F$275+'Cálculos'!$F$125*(1+2.78*('Cálculos'!$F$200+(($B$225)-$A211)*'Cálculos'!$F$98)/(('Cálculos'!$F$200+(($B$225)-$A211)*'Cálculos'!$F$98)+1400)+'Cálculos'!$F$123)*'Cálculos'!$F$280)+('Cálculos'!$F$201*(1+'Cálculos'!$F$202+$A211*('Cálculos'!$F$290=2)*'Cálculos'!$F$101)+'Cálculos'!$F$203)*('Cálculos'!$F$271+'Cálculos'!$F$124*(1+2.78*('Cálculos'!$F$200+(($B$225)-$A211)*'Cálculos'!$F$98)/(('Cálculos'!$F$200+(($B$225)-$A211)*'Cálculos'!$F$98)+1400)+'Cálculos'!$F$122)*'Cálculos'!$F$276+'Cálculos'!$F$125*(1+2.78*('Cálculos'!$F$200+(($B$225)-$A211)*'Cálculos'!$F$98)/(('Cálculos'!$F$200+(($B$225)-$A211)*'Cálculos'!$F$98)+1400)+'Cálculos'!$F$123)*'Cálculos'!$F$281)+('Cálculos'!$F$204*(1+'Cálculos'!$F$205+$A211*('Cálculos'!$F$290=3)*'Cálculos'!$F$103)+'Cálculos'!$F$206)*('Cálculos'!$F$272+'Cálculos'!$F$124*(1+2.78*('Cálculos'!$F$200+(($B$225)-$A211)*'Cálculos'!$F$98)/(('Cálculos'!$F$200+(($B$225)-$A211)*'Cálculos'!$F$98)+1400)+'Cálculos'!$F$122)*'Cálculos'!$F$277+'Cálculos'!$F$125*(1+2.78*('Cálculos'!$F$200+(($B$225)-$A211)*'Cálculos'!$F$98)/(('Cálculos'!$F$200+(($B$225)-$A211)*'Cálculos'!$F$98)+1400)+'Cálculos'!$F$123)*'Cálculos'!$F$282)))</f>
        <v>0</v>
      </c>
    </row>
    <row r="212" ht="15.75" customHeight="1">
      <c r="A212" s="2">
        <v>35.0</v>
      </c>
      <c r="B212" s="30">
        <f>SUMPRODUCT(MAX(($A$177:$A$222&lt;=$A212)*($A$177:$A$222&lt;='Cálculos'!$F$294)*(($A212)-$A$177:$A$222&lt;='Cálculos'!$F$295)*(1+(('Cálculos'!$F$207+$A$177:$A$222*'Cálculos'!$F$95)-(('Cálculos'!$F$207+$A$177:$A$222*'Cálculos'!$F$95)&gt;1)*(('Cálculos'!$F$207+$A$177:$A$222*'Cálculos'!$F$95)-1))*('Cálculos'!$F$208+(($A212)-$A$177:$A$222)*'Cálculos'!$F$96))))</f>
        <v>3.431468</v>
      </c>
      <c r="C212" s="2">
        <f>'Cálculos'!$F$303-$A212</f>
        <v>-17</v>
      </c>
      <c r="D212" s="31">
        <f>IF($C212&lt;0,0,SUMPRODUCT(MAX(($A$177:$A$222&lt;=$C212)*($A$177:$A$222&lt;='Cálculos'!$F$301)*(($C212)-$A$177:$A$222&lt;='Cálculos'!$F$297)*(('Cálculos'!$F$185*(1+'Cálculos'!$F$186+$A$177:$A$222*('Cálculos'!$F$290=1)*'Cálculos'!$F$97+'Cálculos'!$F$305)+'Cálculos'!$F$191)*('Cálculos'!$F$209+'Cálculos'!$F$124*(1+2.78*('Cálculos'!$F$196+(($C212)-$A$177:$A$222)*'Cálculos'!$F$98)/(('Cálculos'!$F$196+(($C212)-$A$177:$A$222)*'Cálculos'!$F$98)+1400)+'Cálculos'!$F$122)*'Cálculos'!$F$214+'Cálculos'!$F$125*(1+2.78*('Cálculos'!$F$196+(($C212)-$A$177:$A$222)*'Cálculos'!$F$98)/(('Cálculos'!$F$196+(($C212)-$A$177:$A$222)*'Cálculos'!$F$98)+1400)+'Cálculos'!$F$123)*'Cálculos'!$F$219)+('Cálculos'!$F$196+(($C212)-$A$177:$A$222)*'Cálculos'!$F$98)*('Cálculos'!$F$210+'Cálculos'!$F$124*(1+2.78*('Cálculos'!$F$196+(($C212)-$A$177:$A$222)*'Cálculos'!$F$98)/(('Cálculos'!$F$196+(($C212)-$A$177:$A$222)*'Cálculos'!$F$98)+1400)+'Cálculos'!$F$122)*'Cálculos'!$F$215+'Cálculos'!$F$125*(1+2.78*('Cálculos'!$F$196+(($C212)-$A$177:$A$222)*'Cálculos'!$F$98)/(('Cálculos'!$F$196+(($C212)-$A$177:$A$222)*'Cálculos'!$F$98)+1400)+'Cálculos'!$F$123)*'Cálculos'!$F$220)+('Cálculos'!$F$201*(1+'Cálculos'!$F$202+$A$177:$A$222*('Cálculos'!$F$290=2)*'Cálculos'!$F$101)+'Cálculos'!$F$203)*('Cálculos'!$F$211+'Cálculos'!$F$124*(1+2.78*('Cálculos'!$F$196+(($C212)-$A$177:$A$222)*'Cálculos'!$F$98)/(('Cálculos'!$F$196+(($C212)-$A$177:$A$222)*'Cálculos'!$F$98)+1400)+'Cálculos'!$F$122)*'Cálculos'!$F$216+'Cálculos'!$F$125*(1+2.78*('Cálculos'!$F$196+(($C212)-$A$177:$A$222)*'Cálculos'!$F$98)/(('Cálculos'!$F$196+(($C212)-$A$177:$A$222)*'Cálculos'!$F$98)+1400)+'Cálculos'!$F$123)*'Cálculos'!$F$221)+('Cálculos'!$F$204*(1+'Cálculos'!$F$205+$A$177:$A$222*('Cálculos'!$F$290=3)*'Cálculos'!$F$103)+'Cálculos'!$F$206)*('Cálculos'!$F$212+'Cálculos'!$F$124*(1+2.78*('Cálculos'!$F$196+(($C212)-$A$177:$A$222)*'Cálculos'!$F$98)/(('Cálculos'!$F$196+(($C212)-$A$177:$A$222)*'Cálculos'!$F$98)+1400)+'Cálculos'!$F$122)*'Cálculos'!$F$217+'Cálculos'!$F$125*(1+2.78*('Cálculos'!$F$196+(($C212)-$A$177:$A$222)*'Cálculos'!$F$98)/(('Cálculos'!$F$196+(($C212)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212)-$A$177:$A$222)*'Cálculos'!$F$98)/(('Cálculos'!$F$197+(($C212)-$A$177:$A$222)*'Cálculos'!$F$98)+1400)+'Cálculos'!$F$122)*'Cálculos'!$F$229+'Cálculos'!$F$125*(1+2.78*('Cálculos'!$F$197+(($C212)-$A$177:$A$222)*'Cálculos'!$F$98)/(('Cálculos'!$F$197+(($C212)-$A$177:$A$222)*'Cálculos'!$F$98)+1400)+'Cálculos'!$F$123)*'Cálculos'!$F$234)+('Cálculos'!$F$197+(($C212)-$A$177:$A$222)*'Cálculos'!$F$98)*('Cálculos'!$F$225+'Cálculos'!$F$124*(1+2.78*('Cálculos'!$F$197+(($C212)-$A$177:$A$222)*'Cálculos'!$F$98)/(('Cálculos'!$F$197+(($C212)-$A$177:$A$222)*'Cálculos'!$F$98)+1400)+'Cálculos'!$F$122)*'Cálculos'!$F$230+'Cálculos'!$F$125*(1+2.78*('Cálculos'!$F$197+(($C212)-$A$177:$A$222)*'Cálculos'!$F$98)/(('Cálculos'!$F$197+(($C212)-$A$177:$A$222)*'Cálculos'!$F$98)+1400)+'Cálculos'!$F$123)*'Cálculos'!$F$235)+('Cálculos'!$F$201*(1+'Cálculos'!$F$202+$A$177:$A$222*('Cálculos'!$F$290=2)*'Cálculos'!$F$101)+'Cálculos'!$F$203)*('Cálculos'!$F$226+'Cálculos'!$F$124*(1+2.78*('Cálculos'!$F$197+(($C212)-$A$177:$A$222)*'Cálculos'!$F$98)/(('Cálculos'!$F$197+(($C212)-$A$177:$A$222)*'Cálculos'!$F$98)+1400)+'Cálculos'!$F$122)*'Cálculos'!$F$231+'Cálculos'!$F$125*(1+2.78*('Cálculos'!$F$197+(($C212)-$A$177:$A$222)*'Cálculos'!$F$98)/(('Cálculos'!$F$197+(($C212)-$A$177:$A$222)*'Cálculos'!$F$98)+1400)+'Cálculos'!$F$123)*'Cálculos'!$F$236)+('Cálculos'!$F$204*(1+'Cálculos'!$F$205+$A$177:$A$222*('Cálculos'!$F$290=3)*'Cálculos'!$F$103)+'Cálculos'!$F$206)*('Cálculos'!$F$227+'Cálculos'!$F$124*(1+2.78*('Cálculos'!$F$197+(($C212)-$A$177:$A$222)*'Cálculos'!$F$98)/(('Cálculos'!$F$197+(($C212)-$A$177:$A$222)*'Cálculos'!$F$98)+1400)+'Cálculos'!$F$122)*'Cálculos'!$F$232+'Cálculos'!$F$125*(1+2.78*('Cálculos'!$F$197+(($C212)-$A$177:$A$222)*'Cálculos'!$F$98)/(('Cálculos'!$F$197+(($C212)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212)-$A$177:$A$222)*'Cálculos'!$F$98)/(('Cálculos'!$F$198+(($C212)-$A$177:$A$222)*'Cálculos'!$F$98)+1400)+'Cálculos'!$F$122)*'Cálculos'!$F$244+'Cálculos'!$F$125*(1+2.78*('Cálculos'!$F$198+(($C212)-$A$177:$A$222)*'Cálculos'!$F$98)/(('Cálculos'!$F$198+(($C212)-$A$177:$A$222)*'Cálculos'!$F$98)+1400)+'Cálculos'!$F$123)*'Cálculos'!$F$249)+('Cálculos'!$F$198+(($C212)-$A$177:$A$222)*'Cálculos'!$F$98)*('Cálculos'!$F$240+'Cálculos'!$F$124*(1+2.78*('Cálculos'!$F$198+(($C212)-$A$177:$A$222)*'Cálculos'!$F$98)/(('Cálculos'!$F$198+(($C212)-$A$177:$A$222)*'Cálculos'!$F$98)+1400)+'Cálculos'!$F$122)*'Cálculos'!$F$245+'Cálculos'!$F$125*(1+2.78*('Cálculos'!$F$198+(($C212)-$A$177:$A$222)*'Cálculos'!$F$98)/(('Cálculos'!$F$198+(($C212)-$A$177:$A$222)*'Cálculos'!$F$98)+1400)+'Cálculos'!$F$123)*'Cálculos'!$F$250)+('Cálculos'!$F$201*(1+'Cálculos'!$F$202+$A$177:$A$222*('Cálculos'!$F$290=2)*'Cálculos'!$F$101)+'Cálculos'!$F$203)*('Cálculos'!$F$241+'Cálculos'!$F$124*(1+2.78*('Cálculos'!$F$198+(($C212)-$A$177:$A$222)*'Cálculos'!$F$98)/(('Cálculos'!$F$198+(($C212)-$A$177:$A$222)*'Cálculos'!$F$98)+1400)+'Cálculos'!$F$122)*'Cálculos'!$F$246+'Cálculos'!$F$125*(1+2.78*('Cálculos'!$F$198+(($C212)-$A$177:$A$222)*'Cálculos'!$F$98)/(('Cálculos'!$F$198+(($C212)-$A$177:$A$222)*'Cálculos'!$F$98)+1400)+'Cálculos'!$F$123)*'Cálculos'!$F$251)+('Cálculos'!$F$204*(1+'Cálculos'!$F$205+$A$177:$A$222*('Cálculos'!$F$290=3)*'Cálculos'!$F$103)+'Cálculos'!$F$206)*('Cálculos'!$F$242+'Cálculos'!$F$124*(1+2.78*('Cálculos'!$F$198+(($C212)-$A$177:$A$222)*'Cálculos'!$F$98)/(('Cálculos'!$F$198+(($C212)-$A$177:$A$222)*'Cálculos'!$F$98)+1400)+'Cálculos'!$F$122)*'Cálculos'!$F$247+'Cálculos'!$F$125*(1+2.78*('Cálculos'!$F$198+(($C212)-$A$177:$A$222)*'Cálculos'!$F$98)/(('Cálculos'!$F$198+(($C212)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212)-$A$177:$A$222)*'Cálculos'!$F$98)/(('Cálculos'!$F$199+(($C212)-$A$177:$A$222)*'Cálculos'!$F$98)+1400)+'Cálculos'!$F$122)*'Cálculos'!$F$259+'Cálculos'!$F$125*(1+2.78*('Cálculos'!$F$199+(($C212)-$A$177:$A$222)*'Cálculos'!$F$98)/(('Cálculos'!$F$199+(($C212)-$A$177:$A$222)*'Cálculos'!$F$98)+1400)+'Cálculos'!$F$123)*'Cálculos'!$F$264)+('Cálculos'!$F$199+(($C212)-$A$177:$A$222)*'Cálculos'!$F$98)*('Cálculos'!$F$255+'Cálculos'!$F$124*(1+2.78*('Cálculos'!$F$199+(($C212)-$A$177:$A$222)*'Cálculos'!$F$98)/(('Cálculos'!$F$199+(($C212)-$A$177:$A$222)*'Cálculos'!$F$98)+1400)+'Cálculos'!$F$122)*'Cálculos'!$F$260+'Cálculos'!$F$125*(1+2.78*('Cálculos'!$F$199+(($C212)-$A$177:$A$222)*'Cálculos'!$F$98)/(('Cálculos'!$F$199+(($C212)-$A$177:$A$222)*'Cálculos'!$F$98)+1400)+'Cálculos'!$F$123)*'Cálculos'!$F$265)+('Cálculos'!$F$201*(1+'Cálculos'!$F$202+$A$177:$A$222*('Cálculos'!$F$290=2)*'Cálculos'!$F$101)+'Cálculos'!$F$203)*('Cálculos'!$F$256+'Cálculos'!$F$124*(1+2.78*('Cálculos'!$F$199+(($C212)-$A$177:$A$222)*'Cálculos'!$F$98)/(('Cálculos'!$F$199+(($C212)-$A$177:$A$222)*'Cálculos'!$F$98)+1400)+'Cálculos'!$F$122)*'Cálculos'!$F$261+'Cálculos'!$F$125*(1+2.78*('Cálculos'!$F$199+(($C212)-$A$177:$A$222)*'Cálculos'!$F$98)/(('Cálculos'!$F$199+(($C212)-$A$177:$A$222)*'Cálculos'!$F$98)+1400)+'Cálculos'!$F$123)*'Cálculos'!$F$266)+('Cálculos'!$F$204*(1+'Cálculos'!$F$205+$A$177:$A$222*('Cálculos'!$F$290=3)*'Cálculos'!$F$103)+'Cálculos'!$F$206)*('Cálculos'!$F$257+'Cálculos'!$F$124*(1+2.78*('Cálculos'!$F$199+(($C212)-$A$177:$A$222)*'Cálculos'!$F$98)/(('Cálculos'!$F$199+(($C212)-$A$177:$A$222)*'Cálculos'!$F$98)+1400)+'Cálculos'!$F$122)*'Cálculos'!$F$262+'Cálculos'!$F$125*(1+2.78*('Cálculos'!$F$199+(($C212)-$A$177:$A$222)*'Cálculos'!$F$98)/(('Cálculos'!$F$199+(($C212)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212)-$A$177:$A$222)*'Cálculos'!$F$98)/(('Cálculos'!$F$200+(($C212)-$A$177:$A$222)*'Cálculos'!$F$98)+1400)+'Cálculos'!$F$122)*'Cálculos'!$F$274+'Cálculos'!$F$125*(1+2.78*('Cálculos'!$F$200+(($C212)-$A$177:$A$222)*'Cálculos'!$F$98)/(('Cálculos'!$F$200+(($C212)-$A$177:$A$222)*'Cálculos'!$F$98)+1400)+'Cálculos'!$F$123)*'Cálculos'!$F$279)+('Cálculos'!$F$200+(($C212)-$A$177:$A$222)*'Cálculos'!$F$98)*('Cálculos'!$F$270+'Cálculos'!$F$124*(1+2.78*('Cálculos'!$F$200+(($C212)-$A$177:$A$222)*'Cálculos'!$F$98)/(('Cálculos'!$F$200+(($C212)-$A$177:$A$222)*'Cálculos'!$F$98)+1400)+'Cálculos'!$F$122)*'Cálculos'!$F$275+'Cálculos'!$F$125*(1+2.78*('Cálculos'!$F$200+(($C212)-$A$177:$A$222)*'Cálculos'!$F$98)/(('Cálculos'!$F$200+(($C212)-$A$177:$A$222)*'Cálculos'!$F$98)+1400)+'Cálculos'!$F$123)*'Cálculos'!$F$280)+('Cálculos'!$F$201*(1+'Cálculos'!$F$202+$A$177:$A$222*('Cálculos'!$F$290=2)*'Cálculos'!$F$101)+'Cálculos'!$F$203)*('Cálculos'!$F$271+'Cálculos'!$F$124*(1+2.78*('Cálculos'!$F$200+(($C212)-$A$177:$A$222)*'Cálculos'!$F$98)/(('Cálculos'!$F$200+(($C212)-$A$177:$A$222)*'Cálculos'!$F$98)+1400)+'Cálculos'!$F$122)*'Cálculos'!$F$276+'Cálculos'!$F$125*(1+2.78*('Cálculos'!$F$200+(($C212)-$A$177:$A$222)*'Cálculos'!$F$98)/(('Cálculos'!$F$200+(($C212)-$A$177:$A$222)*'Cálculos'!$F$98)+1400)+'Cálculos'!$F$123)*'Cálculos'!$F$281)+('Cálculos'!$F$204*(1+'Cálculos'!$F$205+$A$177:$A$222*('Cálculos'!$F$290=3)*'Cálculos'!$F$103)+'Cálculos'!$F$206)*('Cálculos'!$F$272+'Cálculos'!$F$124*(1+2.78*('Cálculos'!$F$200+(($C212)-$A$177:$A$222)*'Cálculos'!$F$98)/(('Cálculos'!$F$200+(($C212)-$A$177:$A$222)*'Cálculos'!$F$98)+1400)+'Cálculos'!$F$122)*'Cálculos'!$F$277+'Cálculos'!$F$125*(1+2.78*('Cálculos'!$F$200+(($C212)-$A$177:$A$222)*'Cálculos'!$F$98)/(('Cálculos'!$F$200+(($C212)-$A$177:$A$222)*'Cálculos'!$F$98)+1400)+'Cálculos'!$F$123)*'Cálculos'!$F$282)))))</f>
        <v>0</v>
      </c>
      <c r="E212" s="32">
        <f>IF(OR($C212&lt;0,'Cálculos'!$F$6=""),0,$B212*$D212)</f>
        <v>0</v>
      </c>
      <c r="F212" s="2"/>
      <c r="G212" s="30">
        <f>($A212&lt;=$B$224)*($A212&lt;='Cálculos'!$F$294)*(($B$224)-$A212&lt;='Cálculos'!$F$295)*(1+MIN(('Cálculos'!$F$207+$A212*'Cálculos'!$F$95),1)*('Cálculos'!$F$208+(($B$224)-$A212)*'Cálculos'!$F$96))</f>
        <v>0</v>
      </c>
      <c r="H212" s="31">
        <f>IF($B$225&lt;0,0,($A212&lt;=$B$225)*($A212&lt;='Cálculos'!$F$301)*(($B$225)-$A212&lt;='Cálculos'!$F$297)*(('Cálculos'!$F$185*(1+'Cálculos'!$F$186+$A212*('Cálculos'!$F$290=1)*'Cálculos'!$F$97+'Cálculos'!$F$305)+'Cálculos'!$F$191)*('Cálculos'!$F$209+'Cálculos'!$F$124*(1+2.78*('Cálculos'!$F$196+(($B$225)-$A212)*'Cálculos'!$F$98)/(('Cálculos'!$F$196+(($B$225)-$A212)*'Cálculos'!$F$98)+1400)+'Cálculos'!$F$122)*'Cálculos'!$F$214+'Cálculos'!$F$125*(1+2.78*('Cálculos'!$F$196+(($B$225)-$A212)*'Cálculos'!$F$98)/(('Cálculos'!$F$196+(($B$225)-$A212)*'Cálculos'!$F$98)+1400)+'Cálculos'!$F$123)*'Cálculos'!$F$219)+('Cálculos'!$F$196+(($B$225)-$A212)*'Cálculos'!$F$98)*('Cálculos'!$F$210+'Cálculos'!$F$124*(1+2.78*('Cálculos'!$F$196+(($B$225)-$A212)*'Cálculos'!$F$98)/(('Cálculos'!$F$196+(($B$225)-$A212)*'Cálculos'!$F$98)+1400)+'Cálculos'!$F$122)*'Cálculos'!$F$215+'Cálculos'!$F$125*(1+2.78*('Cálculos'!$F$196+(($B$225)-$A212)*'Cálculos'!$F$98)/(('Cálculos'!$F$196+(($B$225)-$A212)*'Cálculos'!$F$98)+1400)+'Cálculos'!$F$123)*'Cálculos'!$F$220)+('Cálculos'!$F$201*(1+'Cálculos'!$F$202+$A212*('Cálculos'!$F$290=2)*'Cálculos'!$F$101)+'Cálculos'!$F$203)*('Cálculos'!$F$211+'Cálculos'!$F$124*(1+2.78*('Cálculos'!$F$196+(($B$225)-$A212)*'Cálculos'!$F$98)/(('Cálculos'!$F$196+(($B$225)-$A212)*'Cálculos'!$F$98)+1400)+'Cálculos'!$F$122)*'Cálculos'!$F$216+'Cálculos'!$F$125*(1+2.78*('Cálculos'!$F$196+(($B$225)-$A212)*'Cálculos'!$F$98)/(('Cálculos'!$F$196+(($B$225)-$A212)*'Cálculos'!$F$98)+1400)+'Cálculos'!$F$123)*'Cálculos'!$F$221)+('Cálculos'!$F$204*(1+'Cálculos'!$F$205+$A212*('Cálculos'!$F$290=3)*'Cálculos'!$F$103)+'Cálculos'!$F$206)*('Cálculos'!$F$212+'Cálculos'!$F$124*(1+2.78*('Cálculos'!$F$196+(($B$225)-$A212)*'Cálculos'!$F$98)/(('Cálculos'!$F$196+(($B$225)-$A212)*'Cálculos'!$F$98)+1400)+'Cálculos'!$F$122)*'Cálculos'!$F$217+'Cálculos'!$F$125*(1+2.78*('Cálculos'!$F$196+(($B$225)-$A212)*'Cálculos'!$F$98)/(('Cálculos'!$F$196+(($B$225)-$A212)*'Cálculos'!$F$98)+1400)+'Cálculos'!$F$123)*'Cálculos'!$F$222)+('Cálculos'!$F$185*(1+'Cálculos'!$F$187+$A212*('Cálculos'!$F$290=1)*'Cálculos'!$F$97+'Cálculos'!$F$305)+'Cálculos'!$F$192)*('Cálculos'!$F$224+'Cálculos'!$F$124*(1+2.78*('Cálculos'!$F$197+(($B$225)-$A212)*'Cálculos'!$F$98)/(('Cálculos'!$F$197+(($B$225)-$A212)*'Cálculos'!$F$98)+1400)+'Cálculos'!$F$122)*'Cálculos'!$F$229+'Cálculos'!$F$125*(1+2.78*('Cálculos'!$F$197+(($B$225)-$A212)*'Cálculos'!$F$98)/(('Cálculos'!$F$197+(($B$225)-$A212)*'Cálculos'!$F$98)+1400)+'Cálculos'!$F$123)*'Cálculos'!$F$234)+('Cálculos'!$F$197+(($B$225)-$A212)*'Cálculos'!$F$98)*('Cálculos'!$F$225+'Cálculos'!$F$124*(1+2.78*('Cálculos'!$F$197+(($B$225)-$A212)*'Cálculos'!$F$98)/(('Cálculos'!$F$197+(($B$225)-$A212)*'Cálculos'!$F$98)+1400)+'Cálculos'!$F$122)*'Cálculos'!$F$230+'Cálculos'!$F$125*(1+2.78*('Cálculos'!$F$197+(($B$225)-$A212)*'Cálculos'!$F$98)/(('Cálculos'!$F$197+(($B$225)-$A212)*'Cálculos'!$F$98)+1400)+'Cálculos'!$F$123)*'Cálculos'!$F$235)+('Cálculos'!$F$201*(1+'Cálculos'!$F$202+$A212*('Cálculos'!$F$290=2)*'Cálculos'!$F$101)+'Cálculos'!$F$203)*('Cálculos'!$F$226+'Cálculos'!$F$124*(1+2.78*('Cálculos'!$F$197+(($B$225)-$A212)*'Cálculos'!$F$98)/(('Cálculos'!$F$197+(($B$225)-$A212)*'Cálculos'!$F$98)+1400)+'Cálculos'!$F$122)*'Cálculos'!$F$231+'Cálculos'!$F$125*(1+2.78*('Cálculos'!$F$197+(($B$225)-$A212)*'Cálculos'!$F$98)/(('Cálculos'!$F$197+(($B$225)-$A212)*'Cálculos'!$F$98)+1400)+'Cálculos'!$F$123)*'Cálculos'!$F$236)+('Cálculos'!$F$204*(1+'Cálculos'!$F$205+$A212*('Cálculos'!$F$290=3)*'Cálculos'!$F$103)+'Cálculos'!$F$206)*('Cálculos'!$F$227+'Cálculos'!$F$124*(1+2.78*('Cálculos'!$F$197+(($B$225)-$A212)*'Cálculos'!$F$98)/(('Cálculos'!$F$197+(($B$225)-$A212)*'Cálculos'!$F$98)+1400)+'Cálculos'!$F$122)*'Cálculos'!$F$232+'Cálculos'!$F$125*(1+2.78*('Cálculos'!$F$197+(($B$225)-$A212)*'Cálculos'!$F$98)/(('Cálculos'!$F$197+(($B$225)-$A212)*'Cálculos'!$F$98)+1400)+'Cálculos'!$F$123)*'Cálculos'!$F$237)+('Cálculos'!$F$185*(1+'Cálculos'!$F$188+$A212*('Cálculos'!$F$290=1)*'Cálculos'!$F$97+'Cálculos'!$F$305)+'Cálculos'!$F$193)*('Cálculos'!$F$239+'Cálculos'!$F$124*(1+2.78*('Cálculos'!$F$198+(($B$225)-$A212)*'Cálculos'!$F$98)/(('Cálculos'!$F$198+(($B$225)-$A212)*'Cálculos'!$F$98)+1400)+'Cálculos'!$F$122)*'Cálculos'!$F$244+'Cálculos'!$F$125*(1+2.78*('Cálculos'!$F$198+(($B$225)-$A212)*'Cálculos'!$F$98)/(('Cálculos'!$F$198+(($B$225)-$A212)*'Cálculos'!$F$98)+1400)+'Cálculos'!$F$123)*'Cálculos'!$F$249)+('Cálculos'!$F$198+(($B$225)-$A212)*'Cálculos'!$F$98)*('Cálculos'!$F$240+'Cálculos'!$F$124*(1+2.78*('Cálculos'!$F$198+(($B$225)-$A212)*'Cálculos'!$F$98)/(('Cálculos'!$F$198+(($B$225)-$A212)*'Cálculos'!$F$98)+1400)+'Cálculos'!$F$122)*'Cálculos'!$F$245+'Cálculos'!$F$125*(1+2.78*('Cálculos'!$F$198+(($B$225)-$A212)*'Cálculos'!$F$98)/(('Cálculos'!$F$198+(($B$225)-$A212)*'Cálculos'!$F$98)+1400)+'Cálculos'!$F$123)*'Cálculos'!$F$250)+('Cálculos'!$F$201*(1+'Cálculos'!$F$202+$A212*('Cálculos'!$F$290=2)*'Cálculos'!$F$101)+'Cálculos'!$F$203)*('Cálculos'!$F$241+'Cálculos'!$F$124*(1+2.78*('Cálculos'!$F$198+(($B$225)-$A212)*'Cálculos'!$F$98)/(('Cálculos'!$F$198+(($B$225)-$A212)*'Cálculos'!$F$98)+1400)+'Cálculos'!$F$122)*'Cálculos'!$F$246+'Cálculos'!$F$125*(1+2.78*('Cálculos'!$F$198+(($B$225)-$A212)*'Cálculos'!$F$98)/(('Cálculos'!$F$198+(($B$225)-$A212)*'Cálculos'!$F$98)+1400)+'Cálculos'!$F$123)*'Cálculos'!$F$251)+('Cálculos'!$F$204*(1+'Cálculos'!$F$205+$A212*('Cálculos'!$F$290=3)*'Cálculos'!$F$103)+'Cálculos'!$F$206)*('Cálculos'!$F$242+'Cálculos'!$F$124*(1+2.78*('Cálculos'!$F$198+(($B$225)-$A212)*'Cálculos'!$F$98)/(('Cálculos'!$F$198+(($B$225)-$A212)*'Cálculos'!$F$98)+1400)+'Cálculos'!$F$122)*'Cálculos'!$F$247+'Cálculos'!$F$125*(1+2.78*('Cálculos'!$F$198+(($B$225)-$A212)*'Cálculos'!$F$98)/(('Cálculos'!$F$198+(($B$225)-$A212)*'Cálculos'!$F$98)+1400)+'Cálculos'!$F$123)*'Cálculos'!$F$252)+('Cálculos'!$F$185*(1+'Cálculos'!$F$189+$A212*('Cálculos'!$F$290=1)*'Cálculos'!$F$97+'Cálculos'!$F$305)+'Cálculos'!$F$194)*('Cálculos'!$F$254+'Cálculos'!$F$124*(1+2.78*('Cálculos'!$F$199+(($B$225)-$A212)*'Cálculos'!$F$98)/(('Cálculos'!$F$199+(($B$225)-$A212)*'Cálculos'!$F$98)+1400)+'Cálculos'!$F$122)*'Cálculos'!$F$259+'Cálculos'!$F$125*(1+2.78*('Cálculos'!$F$199+(($B$225)-$A212)*'Cálculos'!$F$98)/(('Cálculos'!$F$199+(($B$225)-$A212)*'Cálculos'!$F$98)+1400)+'Cálculos'!$F$123)*'Cálculos'!$F$264)+('Cálculos'!$F$199+(($B$225)-$A212)*'Cálculos'!$F$98)*('Cálculos'!$F$255+'Cálculos'!$F$124*(1+2.78*('Cálculos'!$F$199+(($B$225)-$A212)*'Cálculos'!$F$98)/(('Cálculos'!$F$199+(($B$225)-$A212)*'Cálculos'!$F$98)+1400)+'Cálculos'!$F$122)*'Cálculos'!$F$260+'Cálculos'!$F$125*(1+2.78*('Cálculos'!$F$199+(($B$225)-$A212)*'Cálculos'!$F$98)/(('Cálculos'!$F$199+(($B$225)-$A212)*'Cálculos'!$F$98)+1400)+'Cálculos'!$F$123)*'Cálculos'!$F$265)+('Cálculos'!$F$201*(1+'Cálculos'!$F$202+$A212*('Cálculos'!$F$290=2)*'Cálculos'!$F$101)+'Cálculos'!$F$203)*('Cálculos'!$F$256+'Cálculos'!$F$124*(1+2.78*('Cálculos'!$F$199+(($B$225)-$A212)*'Cálculos'!$F$98)/(('Cálculos'!$F$199+(($B$225)-$A212)*'Cálculos'!$F$98)+1400)+'Cálculos'!$F$122)*'Cálculos'!$F$261+'Cálculos'!$F$125*(1+2.78*('Cálculos'!$F$199+(($B$225)-$A212)*'Cálculos'!$F$98)/(('Cálculos'!$F$199+(($B$225)-$A212)*'Cálculos'!$F$98)+1400)+'Cálculos'!$F$123)*'Cálculos'!$F$266)+('Cálculos'!$F$204*(1+'Cálculos'!$F$205+$A212*('Cálculos'!$F$290=3)*'Cálculos'!$F$103)+'Cálculos'!$F$206)*('Cálculos'!$F$257+'Cálculos'!$F$124*(1+2.78*('Cálculos'!$F$199+(($B$225)-$A212)*'Cálculos'!$F$98)/(('Cálculos'!$F$199+(($B$225)-$A212)*'Cálculos'!$F$98)+1400)+'Cálculos'!$F$122)*'Cálculos'!$F$262+'Cálculos'!$F$125*(1+2.78*('Cálculos'!$F$199+(($B$225)-$A212)*'Cálculos'!$F$98)/(('Cálculos'!$F$199+(($B$225)-$A212)*'Cálculos'!$F$98)+1400)+'Cálculos'!$F$123)*'Cálculos'!$F$267)+('Cálculos'!$F$185*(1+'Cálculos'!$F$190+$A212*('Cálculos'!$F$290=1)*'Cálculos'!$F$97+'Cálculos'!$F$305)+'Cálculos'!$F$195)*('Cálculos'!$F$269+'Cálculos'!$F$124*(1+2.78*('Cálculos'!$F$200+(($B$225)-$A212)*'Cálculos'!$F$98)/(('Cálculos'!$F$200+(($B$225)-$A212)*'Cálculos'!$F$98)+1400)+'Cálculos'!$F$122)*'Cálculos'!$F$274+'Cálculos'!$F$125*(1+2.78*('Cálculos'!$F$200+(($B$225)-$A212)*'Cálculos'!$F$98)/(('Cálculos'!$F$200+(($B$225)-$A212)*'Cálculos'!$F$98)+1400)+'Cálculos'!$F$123)*'Cálculos'!$F$279)+('Cálculos'!$F$200+(($B$225)-$A212)*'Cálculos'!$F$98)*('Cálculos'!$F$270+'Cálculos'!$F$124*(1+2.78*('Cálculos'!$F$200+(($B$225)-$A212)*'Cálculos'!$F$98)/(('Cálculos'!$F$200+(($B$225)-$A212)*'Cálculos'!$F$98)+1400)+'Cálculos'!$F$122)*'Cálculos'!$F$275+'Cálculos'!$F$125*(1+2.78*('Cálculos'!$F$200+(($B$225)-$A212)*'Cálculos'!$F$98)/(('Cálculos'!$F$200+(($B$225)-$A212)*'Cálculos'!$F$98)+1400)+'Cálculos'!$F$123)*'Cálculos'!$F$280)+('Cálculos'!$F$201*(1+'Cálculos'!$F$202+$A212*('Cálculos'!$F$290=2)*'Cálculos'!$F$101)+'Cálculos'!$F$203)*('Cálculos'!$F$271+'Cálculos'!$F$124*(1+2.78*('Cálculos'!$F$200+(($B$225)-$A212)*'Cálculos'!$F$98)/(('Cálculos'!$F$200+(($B$225)-$A212)*'Cálculos'!$F$98)+1400)+'Cálculos'!$F$122)*'Cálculos'!$F$276+'Cálculos'!$F$125*(1+2.78*('Cálculos'!$F$200+(($B$225)-$A212)*'Cálculos'!$F$98)/(('Cálculos'!$F$200+(($B$225)-$A212)*'Cálculos'!$F$98)+1400)+'Cálculos'!$F$123)*'Cálculos'!$F$281)+('Cálculos'!$F$204*(1+'Cálculos'!$F$205+$A212*('Cálculos'!$F$290=3)*'Cálculos'!$F$103)+'Cálculos'!$F$206)*('Cálculos'!$F$272+'Cálculos'!$F$124*(1+2.78*('Cálculos'!$F$200+(($B$225)-$A212)*'Cálculos'!$F$98)/(('Cálculos'!$F$200+(($B$225)-$A212)*'Cálculos'!$F$98)+1400)+'Cálculos'!$F$122)*'Cálculos'!$F$277+'Cálculos'!$F$125*(1+2.78*('Cálculos'!$F$200+(($B$225)-$A212)*'Cálculos'!$F$98)/(('Cálculos'!$F$200+(($B$225)-$A212)*'Cálculos'!$F$98)+1400)+'Cálculos'!$F$123)*'Cálculos'!$F$282)))</f>
        <v>0</v>
      </c>
    </row>
    <row r="213" ht="15.75" customHeight="1">
      <c r="A213" s="2">
        <v>36.0</v>
      </c>
      <c r="B213" s="30">
        <f>SUMPRODUCT(MAX(($A$177:$A$222&lt;=$A213)*($A$177:$A$222&lt;='Cálculos'!$F$294)*(($A213)-$A$177:$A$222&lt;='Cálculos'!$F$295)*(1+(('Cálculos'!$F$207+$A$177:$A$222*'Cálculos'!$F$95)-(('Cálculos'!$F$207+$A$177:$A$222*'Cálculos'!$F$95)&gt;1)*(('Cálculos'!$F$207+$A$177:$A$222*'Cálculos'!$F$95)-1))*('Cálculos'!$F$208+(($A213)-$A$177:$A$222)*'Cálculos'!$F$96))))</f>
        <v>3.496676</v>
      </c>
      <c r="C213" s="2">
        <f>'Cálculos'!$F$303-$A213</f>
        <v>-18</v>
      </c>
      <c r="D213" s="31">
        <f>IF($C213&lt;0,0,SUMPRODUCT(MAX(($A$177:$A$222&lt;=$C213)*($A$177:$A$222&lt;='Cálculos'!$F$301)*(($C213)-$A$177:$A$222&lt;='Cálculos'!$F$297)*(('Cálculos'!$F$185*(1+'Cálculos'!$F$186+$A$177:$A$222*('Cálculos'!$F$290=1)*'Cálculos'!$F$97+'Cálculos'!$F$305)+'Cálculos'!$F$191)*('Cálculos'!$F$209+'Cálculos'!$F$124*(1+2.78*('Cálculos'!$F$196+(($C213)-$A$177:$A$222)*'Cálculos'!$F$98)/(('Cálculos'!$F$196+(($C213)-$A$177:$A$222)*'Cálculos'!$F$98)+1400)+'Cálculos'!$F$122)*'Cálculos'!$F$214+'Cálculos'!$F$125*(1+2.78*('Cálculos'!$F$196+(($C213)-$A$177:$A$222)*'Cálculos'!$F$98)/(('Cálculos'!$F$196+(($C213)-$A$177:$A$222)*'Cálculos'!$F$98)+1400)+'Cálculos'!$F$123)*'Cálculos'!$F$219)+('Cálculos'!$F$196+(($C213)-$A$177:$A$222)*'Cálculos'!$F$98)*('Cálculos'!$F$210+'Cálculos'!$F$124*(1+2.78*('Cálculos'!$F$196+(($C213)-$A$177:$A$222)*'Cálculos'!$F$98)/(('Cálculos'!$F$196+(($C213)-$A$177:$A$222)*'Cálculos'!$F$98)+1400)+'Cálculos'!$F$122)*'Cálculos'!$F$215+'Cálculos'!$F$125*(1+2.78*('Cálculos'!$F$196+(($C213)-$A$177:$A$222)*'Cálculos'!$F$98)/(('Cálculos'!$F$196+(($C213)-$A$177:$A$222)*'Cálculos'!$F$98)+1400)+'Cálculos'!$F$123)*'Cálculos'!$F$220)+('Cálculos'!$F$201*(1+'Cálculos'!$F$202+$A$177:$A$222*('Cálculos'!$F$290=2)*'Cálculos'!$F$101)+'Cálculos'!$F$203)*('Cálculos'!$F$211+'Cálculos'!$F$124*(1+2.78*('Cálculos'!$F$196+(($C213)-$A$177:$A$222)*'Cálculos'!$F$98)/(('Cálculos'!$F$196+(($C213)-$A$177:$A$222)*'Cálculos'!$F$98)+1400)+'Cálculos'!$F$122)*'Cálculos'!$F$216+'Cálculos'!$F$125*(1+2.78*('Cálculos'!$F$196+(($C213)-$A$177:$A$222)*'Cálculos'!$F$98)/(('Cálculos'!$F$196+(($C213)-$A$177:$A$222)*'Cálculos'!$F$98)+1400)+'Cálculos'!$F$123)*'Cálculos'!$F$221)+('Cálculos'!$F$204*(1+'Cálculos'!$F$205+$A$177:$A$222*('Cálculos'!$F$290=3)*'Cálculos'!$F$103)+'Cálculos'!$F$206)*('Cálculos'!$F$212+'Cálculos'!$F$124*(1+2.78*('Cálculos'!$F$196+(($C213)-$A$177:$A$222)*'Cálculos'!$F$98)/(('Cálculos'!$F$196+(($C213)-$A$177:$A$222)*'Cálculos'!$F$98)+1400)+'Cálculos'!$F$122)*'Cálculos'!$F$217+'Cálculos'!$F$125*(1+2.78*('Cálculos'!$F$196+(($C213)-$A$177:$A$222)*'Cálculos'!$F$98)/(('Cálculos'!$F$196+(($C213)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213)-$A$177:$A$222)*'Cálculos'!$F$98)/(('Cálculos'!$F$197+(($C213)-$A$177:$A$222)*'Cálculos'!$F$98)+1400)+'Cálculos'!$F$122)*'Cálculos'!$F$229+'Cálculos'!$F$125*(1+2.78*('Cálculos'!$F$197+(($C213)-$A$177:$A$222)*'Cálculos'!$F$98)/(('Cálculos'!$F$197+(($C213)-$A$177:$A$222)*'Cálculos'!$F$98)+1400)+'Cálculos'!$F$123)*'Cálculos'!$F$234)+('Cálculos'!$F$197+(($C213)-$A$177:$A$222)*'Cálculos'!$F$98)*('Cálculos'!$F$225+'Cálculos'!$F$124*(1+2.78*('Cálculos'!$F$197+(($C213)-$A$177:$A$222)*'Cálculos'!$F$98)/(('Cálculos'!$F$197+(($C213)-$A$177:$A$222)*'Cálculos'!$F$98)+1400)+'Cálculos'!$F$122)*'Cálculos'!$F$230+'Cálculos'!$F$125*(1+2.78*('Cálculos'!$F$197+(($C213)-$A$177:$A$222)*'Cálculos'!$F$98)/(('Cálculos'!$F$197+(($C213)-$A$177:$A$222)*'Cálculos'!$F$98)+1400)+'Cálculos'!$F$123)*'Cálculos'!$F$235)+('Cálculos'!$F$201*(1+'Cálculos'!$F$202+$A$177:$A$222*('Cálculos'!$F$290=2)*'Cálculos'!$F$101)+'Cálculos'!$F$203)*('Cálculos'!$F$226+'Cálculos'!$F$124*(1+2.78*('Cálculos'!$F$197+(($C213)-$A$177:$A$222)*'Cálculos'!$F$98)/(('Cálculos'!$F$197+(($C213)-$A$177:$A$222)*'Cálculos'!$F$98)+1400)+'Cálculos'!$F$122)*'Cálculos'!$F$231+'Cálculos'!$F$125*(1+2.78*('Cálculos'!$F$197+(($C213)-$A$177:$A$222)*'Cálculos'!$F$98)/(('Cálculos'!$F$197+(($C213)-$A$177:$A$222)*'Cálculos'!$F$98)+1400)+'Cálculos'!$F$123)*'Cálculos'!$F$236)+('Cálculos'!$F$204*(1+'Cálculos'!$F$205+$A$177:$A$222*('Cálculos'!$F$290=3)*'Cálculos'!$F$103)+'Cálculos'!$F$206)*('Cálculos'!$F$227+'Cálculos'!$F$124*(1+2.78*('Cálculos'!$F$197+(($C213)-$A$177:$A$222)*'Cálculos'!$F$98)/(('Cálculos'!$F$197+(($C213)-$A$177:$A$222)*'Cálculos'!$F$98)+1400)+'Cálculos'!$F$122)*'Cálculos'!$F$232+'Cálculos'!$F$125*(1+2.78*('Cálculos'!$F$197+(($C213)-$A$177:$A$222)*'Cálculos'!$F$98)/(('Cálculos'!$F$197+(($C213)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213)-$A$177:$A$222)*'Cálculos'!$F$98)/(('Cálculos'!$F$198+(($C213)-$A$177:$A$222)*'Cálculos'!$F$98)+1400)+'Cálculos'!$F$122)*'Cálculos'!$F$244+'Cálculos'!$F$125*(1+2.78*('Cálculos'!$F$198+(($C213)-$A$177:$A$222)*'Cálculos'!$F$98)/(('Cálculos'!$F$198+(($C213)-$A$177:$A$222)*'Cálculos'!$F$98)+1400)+'Cálculos'!$F$123)*'Cálculos'!$F$249)+('Cálculos'!$F$198+(($C213)-$A$177:$A$222)*'Cálculos'!$F$98)*('Cálculos'!$F$240+'Cálculos'!$F$124*(1+2.78*('Cálculos'!$F$198+(($C213)-$A$177:$A$222)*'Cálculos'!$F$98)/(('Cálculos'!$F$198+(($C213)-$A$177:$A$222)*'Cálculos'!$F$98)+1400)+'Cálculos'!$F$122)*'Cálculos'!$F$245+'Cálculos'!$F$125*(1+2.78*('Cálculos'!$F$198+(($C213)-$A$177:$A$222)*'Cálculos'!$F$98)/(('Cálculos'!$F$198+(($C213)-$A$177:$A$222)*'Cálculos'!$F$98)+1400)+'Cálculos'!$F$123)*'Cálculos'!$F$250)+('Cálculos'!$F$201*(1+'Cálculos'!$F$202+$A$177:$A$222*('Cálculos'!$F$290=2)*'Cálculos'!$F$101)+'Cálculos'!$F$203)*('Cálculos'!$F$241+'Cálculos'!$F$124*(1+2.78*('Cálculos'!$F$198+(($C213)-$A$177:$A$222)*'Cálculos'!$F$98)/(('Cálculos'!$F$198+(($C213)-$A$177:$A$222)*'Cálculos'!$F$98)+1400)+'Cálculos'!$F$122)*'Cálculos'!$F$246+'Cálculos'!$F$125*(1+2.78*('Cálculos'!$F$198+(($C213)-$A$177:$A$222)*'Cálculos'!$F$98)/(('Cálculos'!$F$198+(($C213)-$A$177:$A$222)*'Cálculos'!$F$98)+1400)+'Cálculos'!$F$123)*'Cálculos'!$F$251)+('Cálculos'!$F$204*(1+'Cálculos'!$F$205+$A$177:$A$222*('Cálculos'!$F$290=3)*'Cálculos'!$F$103)+'Cálculos'!$F$206)*('Cálculos'!$F$242+'Cálculos'!$F$124*(1+2.78*('Cálculos'!$F$198+(($C213)-$A$177:$A$222)*'Cálculos'!$F$98)/(('Cálculos'!$F$198+(($C213)-$A$177:$A$222)*'Cálculos'!$F$98)+1400)+'Cálculos'!$F$122)*'Cálculos'!$F$247+'Cálculos'!$F$125*(1+2.78*('Cálculos'!$F$198+(($C213)-$A$177:$A$222)*'Cálculos'!$F$98)/(('Cálculos'!$F$198+(($C213)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213)-$A$177:$A$222)*'Cálculos'!$F$98)/(('Cálculos'!$F$199+(($C213)-$A$177:$A$222)*'Cálculos'!$F$98)+1400)+'Cálculos'!$F$122)*'Cálculos'!$F$259+'Cálculos'!$F$125*(1+2.78*('Cálculos'!$F$199+(($C213)-$A$177:$A$222)*'Cálculos'!$F$98)/(('Cálculos'!$F$199+(($C213)-$A$177:$A$222)*'Cálculos'!$F$98)+1400)+'Cálculos'!$F$123)*'Cálculos'!$F$264)+('Cálculos'!$F$199+(($C213)-$A$177:$A$222)*'Cálculos'!$F$98)*('Cálculos'!$F$255+'Cálculos'!$F$124*(1+2.78*('Cálculos'!$F$199+(($C213)-$A$177:$A$222)*'Cálculos'!$F$98)/(('Cálculos'!$F$199+(($C213)-$A$177:$A$222)*'Cálculos'!$F$98)+1400)+'Cálculos'!$F$122)*'Cálculos'!$F$260+'Cálculos'!$F$125*(1+2.78*('Cálculos'!$F$199+(($C213)-$A$177:$A$222)*'Cálculos'!$F$98)/(('Cálculos'!$F$199+(($C213)-$A$177:$A$222)*'Cálculos'!$F$98)+1400)+'Cálculos'!$F$123)*'Cálculos'!$F$265)+('Cálculos'!$F$201*(1+'Cálculos'!$F$202+$A$177:$A$222*('Cálculos'!$F$290=2)*'Cálculos'!$F$101)+'Cálculos'!$F$203)*('Cálculos'!$F$256+'Cálculos'!$F$124*(1+2.78*('Cálculos'!$F$199+(($C213)-$A$177:$A$222)*'Cálculos'!$F$98)/(('Cálculos'!$F$199+(($C213)-$A$177:$A$222)*'Cálculos'!$F$98)+1400)+'Cálculos'!$F$122)*'Cálculos'!$F$261+'Cálculos'!$F$125*(1+2.78*('Cálculos'!$F$199+(($C213)-$A$177:$A$222)*'Cálculos'!$F$98)/(('Cálculos'!$F$199+(($C213)-$A$177:$A$222)*'Cálculos'!$F$98)+1400)+'Cálculos'!$F$123)*'Cálculos'!$F$266)+('Cálculos'!$F$204*(1+'Cálculos'!$F$205+$A$177:$A$222*('Cálculos'!$F$290=3)*'Cálculos'!$F$103)+'Cálculos'!$F$206)*('Cálculos'!$F$257+'Cálculos'!$F$124*(1+2.78*('Cálculos'!$F$199+(($C213)-$A$177:$A$222)*'Cálculos'!$F$98)/(('Cálculos'!$F$199+(($C213)-$A$177:$A$222)*'Cálculos'!$F$98)+1400)+'Cálculos'!$F$122)*'Cálculos'!$F$262+'Cálculos'!$F$125*(1+2.78*('Cálculos'!$F$199+(($C213)-$A$177:$A$222)*'Cálculos'!$F$98)/(('Cálculos'!$F$199+(($C213)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213)-$A$177:$A$222)*'Cálculos'!$F$98)/(('Cálculos'!$F$200+(($C213)-$A$177:$A$222)*'Cálculos'!$F$98)+1400)+'Cálculos'!$F$122)*'Cálculos'!$F$274+'Cálculos'!$F$125*(1+2.78*('Cálculos'!$F$200+(($C213)-$A$177:$A$222)*'Cálculos'!$F$98)/(('Cálculos'!$F$200+(($C213)-$A$177:$A$222)*'Cálculos'!$F$98)+1400)+'Cálculos'!$F$123)*'Cálculos'!$F$279)+('Cálculos'!$F$200+(($C213)-$A$177:$A$222)*'Cálculos'!$F$98)*('Cálculos'!$F$270+'Cálculos'!$F$124*(1+2.78*('Cálculos'!$F$200+(($C213)-$A$177:$A$222)*'Cálculos'!$F$98)/(('Cálculos'!$F$200+(($C213)-$A$177:$A$222)*'Cálculos'!$F$98)+1400)+'Cálculos'!$F$122)*'Cálculos'!$F$275+'Cálculos'!$F$125*(1+2.78*('Cálculos'!$F$200+(($C213)-$A$177:$A$222)*'Cálculos'!$F$98)/(('Cálculos'!$F$200+(($C213)-$A$177:$A$222)*'Cálculos'!$F$98)+1400)+'Cálculos'!$F$123)*'Cálculos'!$F$280)+('Cálculos'!$F$201*(1+'Cálculos'!$F$202+$A$177:$A$222*('Cálculos'!$F$290=2)*'Cálculos'!$F$101)+'Cálculos'!$F$203)*('Cálculos'!$F$271+'Cálculos'!$F$124*(1+2.78*('Cálculos'!$F$200+(($C213)-$A$177:$A$222)*'Cálculos'!$F$98)/(('Cálculos'!$F$200+(($C213)-$A$177:$A$222)*'Cálculos'!$F$98)+1400)+'Cálculos'!$F$122)*'Cálculos'!$F$276+'Cálculos'!$F$125*(1+2.78*('Cálculos'!$F$200+(($C213)-$A$177:$A$222)*'Cálculos'!$F$98)/(('Cálculos'!$F$200+(($C213)-$A$177:$A$222)*'Cálculos'!$F$98)+1400)+'Cálculos'!$F$123)*'Cálculos'!$F$281)+('Cálculos'!$F$204*(1+'Cálculos'!$F$205+$A$177:$A$222*('Cálculos'!$F$290=3)*'Cálculos'!$F$103)+'Cálculos'!$F$206)*('Cálculos'!$F$272+'Cálculos'!$F$124*(1+2.78*('Cálculos'!$F$200+(($C213)-$A$177:$A$222)*'Cálculos'!$F$98)/(('Cálculos'!$F$200+(($C213)-$A$177:$A$222)*'Cálculos'!$F$98)+1400)+'Cálculos'!$F$122)*'Cálculos'!$F$277+'Cálculos'!$F$125*(1+2.78*('Cálculos'!$F$200+(($C213)-$A$177:$A$222)*'Cálculos'!$F$98)/(('Cálculos'!$F$200+(($C213)-$A$177:$A$222)*'Cálculos'!$F$98)+1400)+'Cálculos'!$F$123)*'Cálculos'!$F$282)))))</f>
        <v>0</v>
      </c>
      <c r="E213" s="32">
        <f>IF(OR($C213&lt;0,'Cálculos'!$F$6=""),0,$B213*$D213)</f>
        <v>0</v>
      </c>
      <c r="F213" s="2"/>
      <c r="G213" s="30">
        <f>($A213&lt;=$B$224)*($A213&lt;='Cálculos'!$F$294)*(($B$224)-$A213&lt;='Cálculos'!$F$295)*(1+MIN(('Cálculos'!$F$207+$A213*'Cálculos'!$F$95),1)*('Cálculos'!$F$208+(($B$224)-$A213)*'Cálculos'!$F$96))</f>
        <v>0</v>
      </c>
      <c r="H213" s="31">
        <f>IF($B$225&lt;0,0,($A213&lt;=$B$225)*($A213&lt;='Cálculos'!$F$301)*(($B$225)-$A213&lt;='Cálculos'!$F$297)*(('Cálculos'!$F$185*(1+'Cálculos'!$F$186+$A213*('Cálculos'!$F$290=1)*'Cálculos'!$F$97+'Cálculos'!$F$305)+'Cálculos'!$F$191)*('Cálculos'!$F$209+'Cálculos'!$F$124*(1+2.78*('Cálculos'!$F$196+(($B$225)-$A213)*'Cálculos'!$F$98)/(('Cálculos'!$F$196+(($B$225)-$A213)*'Cálculos'!$F$98)+1400)+'Cálculos'!$F$122)*'Cálculos'!$F$214+'Cálculos'!$F$125*(1+2.78*('Cálculos'!$F$196+(($B$225)-$A213)*'Cálculos'!$F$98)/(('Cálculos'!$F$196+(($B$225)-$A213)*'Cálculos'!$F$98)+1400)+'Cálculos'!$F$123)*'Cálculos'!$F$219)+('Cálculos'!$F$196+(($B$225)-$A213)*'Cálculos'!$F$98)*('Cálculos'!$F$210+'Cálculos'!$F$124*(1+2.78*('Cálculos'!$F$196+(($B$225)-$A213)*'Cálculos'!$F$98)/(('Cálculos'!$F$196+(($B$225)-$A213)*'Cálculos'!$F$98)+1400)+'Cálculos'!$F$122)*'Cálculos'!$F$215+'Cálculos'!$F$125*(1+2.78*('Cálculos'!$F$196+(($B$225)-$A213)*'Cálculos'!$F$98)/(('Cálculos'!$F$196+(($B$225)-$A213)*'Cálculos'!$F$98)+1400)+'Cálculos'!$F$123)*'Cálculos'!$F$220)+('Cálculos'!$F$201*(1+'Cálculos'!$F$202+$A213*('Cálculos'!$F$290=2)*'Cálculos'!$F$101)+'Cálculos'!$F$203)*('Cálculos'!$F$211+'Cálculos'!$F$124*(1+2.78*('Cálculos'!$F$196+(($B$225)-$A213)*'Cálculos'!$F$98)/(('Cálculos'!$F$196+(($B$225)-$A213)*'Cálculos'!$F$98)+1400)+'Cálculos'!$F$122)*'Cálculos'!$F$216+'Cálculos'!$F$125*(1+2.78*('Cálculos'!$F$196+(($B$225)-$A213)*'Cálculos'!$F$98)/(('Cálculos'!$F$196+(($B$225)-$A213)*'Cálculos'!$F$98)+1400)+'Cálculos'!$F$123)*'Cálculos'!$F$221)+('Cálculos'!$F$204*(1+'Cálculos'!$F$205+$A213*('Cálculos'!$F$290=3)*'Cálculos'!$F$103)+'Cálculos'!$F$206)*('Cálculos'!$F$212+'Cálculos'!$F$124*(1+2.78*('Cálculos'!$F$196+(($B$225)-$A213)*'Cálculos'!$F$98)/(('Cálculos'!$F$196+(($B$225)-$A213)*'Cálculos'!$F$98)+1400)+'Cálculos'!$F$122)*'Cálculos'!$F$217+'Cálculos'!$F$125*(1+2.78*('Cálculos'!$F$196+(($B$225)-$A213)*'Cálculos'!$F$98)/(('Cálculos'!$F$196+(($B$225)-$A213)*'Cálculos'!$F$98)+1400)+'Cálculos'!$F$123)*'Cálculos'!$F$222)+('Cálculos'!$F$185*(1+'Cálculos'!$F$187+$A213*('Cálculos'!$F$290=1)*'Cálculos'!$F$97+'Cálculos'!$F$305)+'Cálculos'!$F$192)*('Cálculos'!$F$224+'Cálculos'!$F$124*(1+2.78*('Cálculos'!$F$197+(($B$225)-$A213)*'Cálculos'!$F$98)/(('Cálculos'!$F$197+(($B$225)-$A213)*'Cálculos'!$F$98)+1400)+'Cálculos'!$F$122)*'Cálculos'!$F$229+'Cálculos'!$F$125*(1+2.78*('Cálculos'!$F$197+(($B$225)-$A213)*'Cálculos'!$F$98)/(('Cálculos'!$F$197+(($B$225)-$A213)*'Cálculos'!$F$98)+1400)+'Cálculos'!$F$123)*'Cálculos'!$F$234)+('Cálculos'!$F$197+(($B$225)-$A213)*'Cálculos'!$F$98)*('Cálculos'!$F$225+'Cálculos'!$F$124*(1+2.78*('Cálculos'!$F$197+(($B$225)-$A213)*'Cálculos'!$F$98)/(('Cálculos'!$F$197+(($B$225)-$A213)*'Cálculos'!$F$98)+1400)+'Cálculos'!$F$122)*'Cálculos'!$F$230+'Cálculos'!$F$125*(1+2.78*('Cálculos'!$F$197+(($B$225)-$A213)*'Cálculos'!$F$98)/(('Cálculos'!$F$197+(($B$225)-$A213)*'Cálculos'!$F$98)+1400)+'Cálculos'!$F$123)*'Cálculos'!$F$235)+('Cálculos'!$F$201*(1+'Cálculos'!$F$202+$A213*('Cálculos'!$F$290=2)*'Cálculos'!$F$101)+'Cálculos'!$F$203)*('Cálculos'!$F$226+'Cálculos'!$F$124*(1+2.78*('Cálculos'!$F$197+(($B$225)-$A213)*'Cálculos'!$F$98)/(('Cálculos'!$F$197+(($B$225)-$A213)*'Cálculos'!$F$98)+1400)+'Cálculos'!$F$122)*'Cálculos'!$F$231+'Cálculos'!$F$125*(1+2.78*('Cálculos'!$F$197+(($B$225)-$A213)*'Cálculos'!$F$98)/(('Cálculos'!$F$197+(($B$225)-$A213)*'Cálculos'!$F$98)+1400)+'Cálculos'!$F$123)*'Cálculos'!$F$236)+('Cálculos'!$F$204*(1+'Cálculos'!$F$205+$A213*('Cálculos'!$F$290=3)*'Cálculos'!$F$103)+'Cálculos'!$F$206)*('Cálculos'!$F$227+'Cálculos'!$F$124*(1+2.78*('Cálculos'!$F$197+(($B$225)-$A213)*'Cálculos'!$F$98)/(('Cálculos'!$F$197+(($B$225)-$A213)*'Cálculos'!$F$98)+1400)+'Cálculos'!$F$122)*'Cálculos'!$F$232+'Cálculos'!$F$125*(1+2.78*('Cálculos'!$F$197+(($B$225)-$A213)*'Cálculos'!$F$98)/(('Cálculos'!$F$197+(($B$225)-$A213)*'Cálculos'!$F$98)+1400)+'Cálculos'!$F$123)*'Cálculos'!$F$237)+('Cálculos'!$F$185*(1+'Cálculos'!$F$188+$A213*('Cálculos'!$F$290=1)*'Cálculos'!$F$97+'Cálculos'!$F$305)+'Cálculos'!$F$193)*('Cálculos'!$F$239+'Cálculos'!$F$124*(1+2.78*('Cálculos'!$F$198+(($B$225)-$A213)*'Cálculos'!$F$98)/(('Cálculos'!$F$198+(($B$225)-$A213)*'Cálculos'!$F$98)+1400)+'Cálculos'!$F$122)*'Cálculos'!$F$244+'Cálculos'!$F$125*(1+2.78*('Cálculos'!$F$198+(($B$225)-$A213)*'Cálculos'!$F$98)/(('Cálculos'!$F$198+(($B$225)-$A213)*'Cálculos'!$F$98)+1400)+'Cálculos'!$F$123)*'Cálculos'!$F$249)+('Cálculos'!$F$198+(($B$225)-$A213)*'Cálculos'!$F$98)*('Cálculos'!$F$240+'Cálculos'!$F$124*(1+2.78*('Cálculos'!$F$198+(($B$225)-$A213)*'Cálculos'!$F$98)/(('Cálculos'!$F$198+(($B$225)-$A213)*'Cálculos'!$F$98)+1400)+'Cálculos'!$F$122)*'Cálculos'!$F$245+'Cálculos'!$F$125*(1+2.78*('Cálculos'!$F$198+(($B$225)-$A213)*'Cálculos'!$F$98)/(('Cálculos'!$F$198+(($B$225)-$A213)*'Cálculos'!$F$98)+1400)+'Cálculos'!$F$123)*'Cálculos'!$F$250)+('Cálculos'!$F$201*(1+'Cálculos'!$F$202+$A213*('Cálculos'!$F$290=2)*'Cálculos'!$F$101)+'Cálculos'!$F$203)*('Cálculos'!$F$241+'Cálculos'!$F$124*(1+2.78*('Cálculos'!$F$198+(($B$225)-$A213)*'Cálculos'!$F$98)/(('Cálculos'!$F$198+(($B$225)-$A213)*'Cálculos'!$F$98)+1400)+'Cálculos'!$F$122)*'Cálculos'!$F$246+'Cálculos'!$F$125*(1+2.78*('Cálculos'!$F$198+(($B$225)-$A213)*'Cálculos'!$F$98)/(('Cálculos'!$F$198+(($B$225)-$A213)*'Cálculos'!$F$98)+1400)+'Cálculos'!$F$123)*'Cálculos'!$F$251)+('Cálculos'!$F$204*(1+'Cálculos'!$F$205+$A213*('Cálculos'!$F$290=3)*'Cálculos'!$F$103)+'Cálculos'!$F$206)*('Cálculos'!$F$242+'Cálculos'!$F$124*(1+2.78*('Cálculos'!$F$198+(($B$225)-$A213)*'Cálculos'!$F$98)/(('Cálculos'!$F$198+(($B$225)-$A213)*'Cálculos'!$F$98)+1400)+'Cálculos'!$F$122)*'Cálculos'!$F$247+'Cálculos'!$F$125*(1+2.78*('Cálculos'!$F$198+(($B$225)-$A213)*'Cálculos'!$F$98)/(('Cálculos'!$F$198+(($B$225)-$A213)*'Cálculos'!$F$98)+1400)+'Cálculos'!$F$123)*'Cálculos'!$F$252)+('Cálculos'!$F$185*(1+'Cálculos'!$F$189+$A213*('Cálculos'!$F$290=1)*'Cálculos'!$F$97+'Cálculos'!$F$305)+'Cálculos'!$F$194)*('Cálculos'!$F$254+'Cálculos'!$F$124*(1+2.78*('Cálculos'!$F$199+(($B$225)-$A213)*'Cálculos'!$F$98)/(('Cálculos'!$F$199+(($B$225)-$A213)*'Cálculos'!$F$98)+1400)+'Cálculos'!$F$122)*'Cálculos'!$F$259+'Cálculos'!$F$125*(1+2.78*('Cálculos'!$F$199+(($B$225)-$A213)*'Cálculos'!$F$98)/(('Cálculos'!$F$199+(($B$225)-$A213)*'Cálculos'!$F$98)+1400)+'Cálculos'!$F$123)*'Cálculos'!$F$264)+('Cálculos'!$F$199+(($B$225)-$A213)*'Cálculos'!$F$98)*('Cálculos'!$F$255+'Cálculos'!$F$124*(1+2.78*('Cálculos'!$F$199+(($B$225)-$A213)*'Cálculos'!$F$98)/(('Cálculos'!$F$199+(($B$225)-$A213)*'Cálculos'!$F$98)+1400)+'Cálculos'!$F$122)*'Cálculos'!$F$260+'Cálculos'!$F$125*(1+2.78*('Cálculos'!$F$199+(($B$225)-$A213)*'Cálculos'!$F$98)/(('Cálculos'!$F$199+(($B$225)-$A213)*'Cálculos'!$F$98)+1400)+'Cálculos'!$F$123)*'Cálculos'!$F$265)+('Cálculos'!$F$201*(1+'Cálculos'!$F$202+$A213*('Cálculos'!$F$290=2)*'Cálculos'!$F$101)+'Cálculos'!$F$203)*('Cálculos'!$F$256+'Cálculos'!$F$124*(1+2.78*('Cálculos'!$F$199+(($B$225)-$A213)*'Cálculos'!$F$98)/(('Cálculos'!$F$199+(($B$225)-$A213)*'Cálculos'!$F$98)+1400)+'Cálculos'!$F$122)*'Cálculos'!$F$261+'Cálculos'!$F$125*(1+2.78*('Cálculos'!$F$199+(($B$225)-$A213)*'Cálculos'!$F$98)/(('Cálculos'!$F$199+(($B$225)-$A213)*'Cálculos'!$F$98)+1400)+'Cálculos'!$F$123)*'Cálculos'!$F$266)+('Cálculos'!$F$204*(1+'Cálculos'!$F$205+$A213*('Cálculos'!$F$290=3)*'Cálculos'!$F$103)+'Cálculos'!$F$206)*('Cálculos'!$F$257+'Cálculos'!$F$124*(1+2.78*('Cálculos'!$F$199+(($B$225)-$A213)*'Cálculos'!$F$98)/(('Cálculos'!$F$199+(($B$225)-$A213)*'Cálculos'!$F$98)+1400)+'Cálculos'!$F$122)*'Cálculos'!$F$262+'Cálculos'!$F$125*(1+2.78*('Cálculos'!$F$199+(($B$225)-$A213)*'Cálculos'!$F$98)/(('Cálculos'!$F$199+(($B$225)-$A213)*'Cálculos'!$F$98)+1400)+'Cálculos'!$F$123)*'Cálculos'!$F$267)+('Cálculos'!$F$185*(1+'Cálculos'!$F$190+$A213*('Cálculos'!$F$290=1)*'Cálculos'!$F$97+'Cálculos'!$F$305)+'Cálculos'!$F$195)*('Cálculos'!$F$269+'Cálculos'!$F$124*(1+2.78*('Cálculos'!$F$200+(($B$225)-$A213)*'Cálculos'!$F$98)/(('Cálculos'!$F$200+(($B$225)-$A213)*'Cálculos'!$F$98)+1400)+'Cálculos'!$F$122)*'Cálculos'!$F$274+'Cálculos'!$F$125*(1+2.78*('Cálculos'!$F$200+(($B$225)-$A213)*'Cálculos'!$F$98)/(('Cálculos'!$F$200+(($B$225)-$A213)*'Cálculos'!$F$98)+1400)+'Cálculos'!$F$123)*'Cálculos'!$F$279)+('Cálculos'!$F$200+(($B$225)-$A213)*'Cálculos'!$F$98)*('Cálculos'!$F$270+'Cálculos'!$F$124*(1+2.78*('Cálculos'!$F$200+(($B$225)-$A213)*'Cálculos'!$F$98)/(('Cálculos'!$F$200+(($B$225)-$A213)*'Cálculos'!$F$98)+1400)+'Cálculos'!$F$122)*'Cálculos'!$F$275+'Cálculos'!$F$125*(1+2.78*('Cálculos'!$F$200+(($B$225)-$A213)*'Cálculos'!$F$98)/(('Cálculos'!$F$200+(($B$225)-$A213)*'Cálculos'!$F$98)+1400)+'Cálculos'!$F$123)*'Cálculos'!$F$280)+('Cálculos'!$F$201*(1+'Cálculos'!$F$202+$A213*('Cálculos'!$F$290=2)*'Cálculos'!$F$101)+'Cálculos'!$F$203)*('Cálculos'!$F$271+'Cálculos'!$F$124*(1+2.78*('Cálculos'!$F$200+(($B$225)-$A213)*'Cálculos'!$F$98)/(('Cálculos'!$F$200+(($B$225)-$A213)*'Cálculos'!$F$98)+1400)+'Cálculos'!$F$122)*'Cálculos'!$F$276+'Cálculos'!$F$125*(1+2.78*('Cálculos'!$F$200+(($B$225)-$A213)*'Cálculos'!$F$98)/(('Cálculos'!$F$200+(($B$225)-$A213)*'Cálculos'!$F$98)+1400)+'Cálculos'!$F$123)*'Cálculos'!$F$281)+('Cálculos'!$F$204*(1+'Cálculos'!$F$205+$A213*('Cálculos'!$F$290=3)*'Cálculos'!$F$103)+'Cálculos'!$F$206)*('Cálculos'!$F$272+'Cálculos'!$F$124*(1+2.78*('Cálculos'!$F$200+(($B$225)-$A213)*'Cálculos'!$F$98)/(('Cálculos'!$F$200+(($B$225)-$A213)*'Cálculos'!$F$98)+1400)+'Cálculos'!$F$122)*'Cálculos'!$F$277+'Cálculos'!$F$125*(1+2.78*('Cálculos'!$F$200+(($B$225)-$A213)*'Cálculos'!$F$98)/(('Cálculos'!$F$200+(($B$225)-$A213)*'Cálculos'!$F$98)+1400)+'Cálculos'!$F$123)*'Cálculos'!$F$282)))</f>
        <v>0</v>
      </c>
    </row>
    <row r="214" ht="15.75" customHeight="1">
      <c r="A214" s="2">
        <v>37.0</v>
      </c>
      <c r="B214" s="30">
        <f>SUMPRODUCT(MAX(($A$177:$A$222&lt;=$A214)*($A$177:$A$222&lt;='Cálculos'!$F$294)*(($A214)-$A$177:$A$222&lt;='Cálculos'!$F$295)*(1+(('Cálculos'!$F$207+$A$177:$A$222*'Cálculos'!$F$95)-(('Cálculos'!$F$207+$A$177:$A$222*'Cálculos'!$F$95)&gt;1)*(('Cálculos'!$F$207+$A$177:$A$222*'Cálculos'!$F$95)-1))*('Cálculos'!$F$208+(($A214)-$A$177:$A$222)*'Cálculos'!$F$96))))</f>
        <v>3.561884</v>
      </c>
      <c r="C214" s="2">
        <f>'Cálculos'!$F$303-$A214</f>
        <v>-19</v>
      </c>
      <c r="D214" s="31">
        <f>IF($C214&lt;0,0,SUMPRODUCT(MAX(($A$177:$A$222&lt;=$C214)*($A$177:$A$222&lt;='Cálculos'!$F$301)*(($C214)-$A$177:$A$222&lt;='Cálculos'!$F$297)*(('Cálculos'!$F$185*(1+'Cálculos'!$F$186+$A$177:$A$222*('Cálculos'!$F$290=1)*'Cálculos'!$F$97+'Cálculos'!$F$305)+'Cálculos'!$F$191)*('Cálculos'!$F$209+'Cálculos'!$F$124*(1+2.78*('Cálculos'!$F$196+(($C214)-$A$177:$A$222)*'Cálculos'!$F$98)/(('Cálculos'!$F$196+(($C214)-$A$177:$A$222)*'Cálculos'!$F$98)+1400)+'Cálculos'!$F$122)*'Cálculos'!$F$214+'Cálculos'!$F$125*(1+2.78*('Cálculos'!$F$196+(($C214)-$A$177:$A$222)*'Cálculos'!$F$98)/(('Cálculos'!$F$196+(($C214)-$A$177:$A$222)*'Cálculos'!$F$98)+1400)+'Cálculos'!$F$123)*'Cálculos'!$F$219)+('Cálculos'!$F$196+(($C214)-$A$177:$A$222)*'Cálculos'!$F$98)*('Cálculos'!$F$210+'Cálculos'!$F$124*(1+2.78*('Cálculos'!$F$196+(($C214)-$A$177:$A$222)*'Cálculos'!$F$98)/(('Cálculos'!$F$196+(($C214)-$A$177:$A$222)*'Cálculos'!$F$98)+1400)+'Cálculos'!$F$122)*'Cálculos'!$F$215+'Cálculos'!$F$125*(1+2.78*('Cálculos'!$F$196+(($C214)-$A$177:$A$222)*'Cálculos'!$F$98)/(('Cálculos'!$F$196+(($C214)-$A$177:$A$222)*'Cálculos'!$F$98)+1400)+'Cálculos'!$F$123)*'Cálculos'!$F$220)+('Cálculos'!$F$201*(1+'Cálculos'!$F$202+$A$177:$A$222*('Cálculos'!$F$290=2)*'Cálculos'!$F$101)+'Cálculos'!$F$203)*('Cálculos'!$F$211+'Cálculos'!$F$124*(1+2.78*('Cálculos'!$F$196+(($C214)-$A$177:$A$222)*'Cálculos'!$F$98)/(('Cálculos'!$F$196+(($C214)-$A$177:$A$222)*'Cálculos'!$F$98)+1400)+'Cálculos'!$F$122)*'Cálculos'!$F$216+'Cálculos'!$F$125*(1+2.78*('Cálculos'!$F$196+(($C214)-$A$177:$A$222)*'Cálculos'!$F$98)/(('Cálculos'!$F$196+(($C214)-$A$177:$A$222)*'Cálculos'!$F$98)+1400)+'Cálculos'!$F$123)*'Cálculos'!$F$221)+('Cálculos'!$F$204*(1+'Cálculos'!$F$205+$A$177:$A$222*('Cálculos'!$F$290=3)*'Cálculos'!$F$103)+'Cálculos'!$F$206)*('Cálculos'!$F$212+'Cálculos'!$F$124*(1+2.78*('Cálculos'!$F$196+(($C214)-$A$177:$A$222)*'Cálculos'!$F$98)/(('Cálculos'!$F$196+(($C214)-$A$177:$A$222)*'Cálculos'!$F$98)+1400)+'Cálculos'!$F$122)*'Cálculos'!$F$217+'Cálculos'!$F$125*(1+2.78*('Cálculos'!$F$196+(($C214)-$A$177:$A$222)*'Cálculos'!$F$98)/(('Cálculos'!$F$196+(($C214)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214)-$A$177:$A$222)*'Cálculos'!$F$98)/(('Cálculos'!$F$197+(($C214)-$A$177:$A$222)*'Cálculos'!$F$98)+1400)+'Cálculos'!$F$122)*'Cálculos'!$F$229+'Cálculos'!$F$125*(1+2.78*('Cálculos'!$F$197+(($C214)-$A$177:$A$222)*'Cálculos'!$F$98)/(('Cálculos'!$F$197+(($C214)-$A$177:$A$222)*'Cálculos'!$F$98)+1400)+'Cálculos'!$F$123)*'Cálculos'!$F$234)+('Cálculos'!$F$197+(($C214)-$A$177:$A$222)*'Cálculos'!$F$98)*('Cálculos'!$F$225+'Cálculos'!$F$124*(1+2.78*('Cálculos'!$F$197+(($C214)-$A$177:$A$222)*'Cálculos'!$F$98)/(('Cálculos'!$F$197+(($C214)-$A$177:$A$222)*'Cálculos'!$F$98)+1400)+'Cálculos'!$F$122)*'Cálculos'!$F$230+'Cálculos'!$F$125*(1+2.78*('Cálculos'!$F$197+(($C214)-$A$177:$A$222)*'Cálculos'!$F$98)/(('Cálculos'!$F$197+(($C214)-$A$177:$A$222)*'Cálculos'!$F$98)+1400)+'Cálculos'!$F$123)*'Cálculos'!$F$235)+('Cálculos'!$F$201*(1+'Cálculos'!$F$202+$A$177:$A$222*('Cálculos'!$F$290=2)*'Cálculos'!$F$101)+'Cálculos'!$F$203)*('Cálculos'!$F$226+'Cálculos'!$F$124*(1+2.78*('Cálculos'!$F$197+(($C214)-$A$177:$A$222)*'Cálculos'!$F$98)/(('Cálculos'!$F$197+(($C214)-$A$177:$A$222)*'Cálculos'!$F$98)+1400)+'Cálculos'!$F$122)*'Cálculos'!$F$231+'Cálculos'!$F$125*(1+2.78*('Cálculos'!$F$197+(($C214)-$A$177:$A$222)*'Cálculos'!$F$98)/(('Cálculos'!$F$197+(($C214)-$A$177:$A$222)*'Cálculos'!$F$98)+1400)+'Cálculos'!$F$123)*'Cálculos'!$F$236)+('Cálculos'!$F$204*(1+'Cálculos'!$F$205+$A$177:$A$222*('Cálculos'!$F$290=3)*'Cálculos'!$F$103)+'Cálculos'!$F$206)*('Cálculos'!$F$227+'Cálculos'!$F$124*(1+2.78*('Cálculos'!$F$197+(($C214)-$A$177:$A$222)*'Cálculos'!$F$98)/(('Cálculos'!$F$197+(($C214)-$A$177:$A$222)*'Cálculos'!$F$98)+1400)+'Cálculos'!$F$122)*'Cálculos'!$F$232+'Cálculos'!$F$125*(1+2.78*('Cálculos'!$F$197+(($C214)-$A$177:$A$222)*'Cálculos'!$F$98)/(('Cálculos'!$F$197+(($C214)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214)-$A$177:$A$222)*'Cálculos'!$F$98)/(('Cálculos'!$F$198+(($C214)-$A$177:$A$222)*'Cálculos'!$F$98)+1400)+'Cálculos'!$F$122)*'Cálculos'!$F$244+'Cálculos'!$F$125*(1+2.78*('Cálculos'!$F$198+(($C214)-$A$177:$A$222)*'Cálculos'!$F$98)/(('Cálculos'!$F$198+(($C214)-$A$177:$A$222)*'Cálculos'!$F$98)+1400)+'Cálculos'!$F$123)*'Cálculos'!$F$249)+('Cálculos'!$F$198+(($C214)-$A$177:$A$222)*'Cálculos'!$F$98)*('Cálculos'!$F$240+'Cálculos'!$F$124*(1+2.78*('Cálculos'!$F$198+(($C214)-$A$177:$A$222)*'Cálculos'!$F$98)/(('Cálculos'!$F$198+(($C214)-$A$177:$A$222)*'Cálculos'!$F$98)+1400)+'Cálculos'!$F$122)*'Cálculos'!$F$245+'Cálculos'!$F$125*(1+2.78*('Cálculos'!$F$198+(($C214)-$A$177:$A$222)*'Cálculos'!$F$98)/(('Cálculos'!$F$198+(($C214)-$A$177:$A$222)*'Cálculos'!$F$98)+1400)+'Cálculos'!$F$123)*'Cálculos'!$F$250)+('Cálculos'!$F$201*(1+'Cálculos'!$F$202+$A$177:$A$222*('Cálculos'!$F$290=2)*'Cálculos'!$F$101)+'Cálculos'!$F$203)*('Cálculos'!$F$241+'Cálculos'!$F$124*(1+2.78*('Cálculos'!$F$198+(($C214)-$A$177:$A$222)*'Cálculos'!$F$98)/(('Cálculos'!$F$198+(($C214)-$A$177:$A$222)*'Cálculos'!$F$98)+1400)+'Cálculos'!$F$122)*'Cálculos'!$F$246+'Cálculos'!$F$125*(1+2.78*('Cálculos'!$F$198+(($C214)-$A$177:$A$222)*'Cálculos'!$F$98)/(('Cálculos'!$F$198+(($C214)-$A$177:$A$222)*'Cálculos'!$F$98)+1400)+'Cálculos'!$F$123)*'Cálculos'!$F$251)+('Cálculos'!$F$204*(1+'Cálculos'!$F$205+$A$177:$A$222*('Cálculos'!$F$290=3)*'Cálculos'!$F$103)+'Cálculos'!$F$206)*('Cálculos'!$F$242+'Cálculos'!$F$124*(1+2.78*('Cálculos'!$F$198+(($C214)-$A$177:$A$222)*'Cálculos'!$F$98)/(('Cálculos'!$F$198+(($C214)-$A$177:$A$222)*'Cálculos'!$F$98)+1400)+'Cálculos'!$F$122)*'Cálculos'!$F$247+'Cálculos'!$F$125*(1+2.78*('Cálculos'!$F$198+(($C214)-$A$177:$A$222)*'Cálculos'!$F$98)/(('Cálculos'!$F$198+(($C214)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214)-$A$177:$A$222)*'Cálculos'!$F$98)/(('Cálculos'!$F$199+(($C214)-$A$177:$A$222)*'Cálculos'!$F$98)+1400)+'Cálculos'!$F$122)*'Cálculos'!$F$259+'Cálculos'!$F$125*(1+2.78*('Cálculos'!$F$199+(($C214)-$A$177:$A$222)*'Cálculos'!$F$98)/(('Cálculos'!$F$199+(($C214)-$A$177:$A$222)*'Cálculos'!$F$98)+1400)+'Cálculos'!$F$123)*'Cálculos'!$F$264)+('Cálculos'!$F$199+(($C214)-$A$177:$A$222)*'Cálculos'!$F$98)*('Cálculos'!$F$255+'Cálculos'!$F$124*(1+2.78*('Cálculos'!$F$199+(($C214)-$A$177:$A$222)*'Cálculos'!$F$98)/(('Cálculos'!$F$199+(($C214)-$A$177:$A$222)*'Cálculos'!$F$98)+1400)+'Cálculos'!$F$122)*'Cálculos'!$F$260+'Cálculos'!$F$125*(1+2.78*('Cálculos'!$F$199+(($C214)-$A$177:$A$222)*'Cálculos'!$F$98)/(('Cálculos'!$F$199+(($C214)-$A$177:$A$222)*'Cálculos'!$F$98)+1400)+'Cálculos'!$F$123)*'Cálculos'!$F$265)+('Cálculos'!$F$201*(1+'Cálculos'!$F$202+$A$177:$A$222*('Cálculos'!$F$290=2)*'Cálculos'!$F$101)+'Cálculos'!$F$203)*('Cálculos'!$F$256+'Cálculos'!$F$124*(1+2.78*('Cálculos'!$F$199+(($C214)-$A$177:$A$222)*'Cálculos'!$F$98)/(('Cálculos'!$F$199+(($C214)-$A$177:$A$222)*'Cálculos'!$F$98)+1400)+'Cálculos'!$F$122)*'Cálculos'!$F$261+'Cálculos'!$F$125*(1+2.78*('Cálculos'!$F$199+(($C214)-$A$177:$A$222)*'Cálculos'!$F$98)/(('Cálculos'!$F$199+(($C214)-$A$177:$A$222)*'Cálculos'!$F$98)+1400)+'Cálculos'!$F$123)*'Cálculos'!$F$266)+('Cálculos'!$F$204*(1+'Cálculos'!$F$205+$A$177:$A$222*('Cálculos'!$F$290=3)*'Cálculos'!$F$103)+'Cálculos'!$F$206)*('Cálculos'!$F$257+'Cálculos'!$F$124*(1+2.78*('Cálculos'!$F$199+(($C214)-$A$177:$A$222)*'Cálculos'!$F$98)/(('Cálculos'!$F$199+(($C214)-$A$177:$A$222)*'Cálculos'!$F$98)+1400)+'Cálculos'!$F$122)*'Cálculos'!$F$262+'Cálculos'!$F$125*(1+2.78*('Cálculos'!$F$199+(($C214)-$A$177:$A$222)*'Cálculos'!$F$98)/(('Cálculos'!$F$199+(($C214)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214)-$A$177:$A$222)*'Cálculos'!$F$98)/(('Cálculos'!$F$200+(($C214)-$A$177:$A$222)*'Cálculos'!$F$98)+1400)+'Cálculos'!$F$122)*'Cálculos'!$F$274+'Cálculos'!$F$125*(1+2.78*('Cálculos'!$F$200+(($C214)-$A$177:$A$222)*'Cálculos'!$F$98)/(('Cálculos'!$F$200+(($C214)-$A$177:$A$222)*'Cálculos'!$F$98)+1400)+'Cálculos'!$F$123)*'Cálculos'!$F$279)+('Cálculos'!$F$200+(($C214)-$A$177:$A$222)*'Cálculos'!$F$98)*('Cálculos'!$F$270+'Cálculos'!$F$124*(1+2.78*('Cálculos'!$F$200+(($C214)-$A$177:$A$222)*'Cálculos'!$F$98)/(('Cálculos'!$F$200+(($C214)-$A$177:$A$222)*'Cálculos'!$F$98)+1400)+'Cálculos'!$F$122)*'Cálculos'!$F$275+'Cálculos'!$F$125*(1+2.78*('Cálculos'!$F$200+(($C214)-$A$177:$A$222)*'Cálculos'!$F$98)/(('Cálculos'!$F$200+(($C214)-$A$177:$A$222)*'Cálculos'!$F$98)+1400)+'Cálculos'!$F$123)*'Cálculos'!$F$280)+('Cálculos'!$F$201*(1+'Cálculos'!$F$202+$A$177:$A$222*('Cálculos'!$F$290=2)*'Cálculos'!$F$101)+'Cálculos'!$F$203)*('Cálculos'!$F$271+'Cálculos'!$F$124*(1+2.78*('Cálculos'!$F$200+(($C214)-$A$177:$A$222)*'Cálculos'!$F$98)/(('Cálculos'!$F$200+(($C214)-$A$177:$A$222)*'Cálculos'!$F$98)+1400)+'Cálculos'!$F$122)*'Cálculos'!$F$276+'Cálculos'!$F$125*(1+2.78*('Cálculos'!$F$200+(($C214)-$A$177:$A$222)*'Cálculos'!$F$98)/(('Cálculos'!$F$200+(($C214)-$A$177:$A$222)*'Cálculos'!$F$98)+1400)+'Cálculos'!$F$123)*'Cálculos'!$F$281)+('Cálculos'!$F$204*(1+'Cálculos'!$F$205+$A$177:$A$222*('Cálculos'!$F$290=3)*'Cálculos'!$F$103)+'Cálculos'!$F$206)*('Cálculos'!$F$272+'Cálculos'!$F$124*(1+2.78*('Cálculos'!$F$200+(($C214)-$A$177:$A$222)*'Cálculos'!$F$98)/(('Cálculos'!$F$200+(($C214)-$A$177:$A$222)*'Cálculos'!$F$98)+1400)+'Cálculos'!$F$122)*'Cálculos'!$F$277+'Cálculos'!$F$125*(1+2.78*('Cálculos'!$F$200+(($C214)-$A$177:$A$222)*'Cálculos'!$F$98)/(('Cálculos'!$F$200+(($C214)-$A$177:$A$222)*'Cálculos'!$F$98)+1400)+'Cálculos'!$F$123)*'Cálculos'!$F$282)))))</f>
        <v>0</v>
      </c>
      <c r="E214" s="32">
        <f>IF(OR($C214&lt;0,'Cálculos'!$F$6=""),0,$B214*$D214)</f>
        <v>0</v>
      </c>
      <c r="F214" s="2"/>
      <c r="G214" s="30">
        <f>($A214&lt;=$B$224)*($A214&lt;='Cálculos'!$F$294)*(($B$224)-$A214&lt;='Cálculos'!$F$295)*(1+MIN(('Cálculos'!$F$207+$A214*'Cálculos'!$F$95),1)*('Cálculos'!$F$208+(($B$224)-$A214)*'Cálculos'!$F$96))</f>
        <v>0</v>
      </c>
      <c r="H214" s="31">
        <f>IF($B$225&lt;0,0,($A214&lt;=$B$225)*($A214&lt;='Cálculos'!$F$301)*(($B$225)-$A214&lt;='Cálculos'!$F$297)*(('Cálculos'!$F$185*(1+'Cálculos'!$F$186+$A214*('Cálculos'!$F$290=1)*'Cálculos'!$F$97+'Cálculos'!$F$305)+'Cálculos'!$F$191)*('Cálculos'!$F$209+'Cálculos'!$F$124*(1+2.78*('Cálculos'!$F$196+(($B$225)-$A214)*'Cálculos'!$F$98)/(('Cálculos'!$F$196+(($B$225)-$A214)*'Cálculos'!$F$98)+1400)+'Cálculos'!$F$122)*'Cálculos'!$F$214+'Cálculos'!$F$125*(1+2.78*('Cálculos'!$F$196+(($B$225)-$A214)*'Cálculos'!$F$98)/(('Cálculos'!$F$196+(($B$225)-$A214)*'Cálculos'!$F$98)+1400)+'Cálculos'!$F$123)*'Cálculos'!$F$219)+('Cálculos'!$F$196+(($B$225)-$A214)*'Cálculos'!$F$98)*('Cálculos'!$F$210+'Cálculos'!$F$124*(1+2.78*('Cálculos'!$F$196+(($B$225)-$A214)*'Cálculos'!$F$98)/(('Cálculos'!$F$196+(($B$225)-$A214)*'Cálculos'!$F$98)+1400)+'Cálculos'!$F$122)*'Cálculos'!$F$215+'Cálculos'!$F$125*(1+2.78*('Cálculos'!$F$196+(($B$225)-$A214)*'Cálculos'!$F$98)/(('Cálculos'!$F$196+(($B$225)-$A214)*'Cálculos'!$F$98)+1400)+'Cálculos'!$F$123)*'Cálculos'!$F$220)+('Cálculos'!$F$201*(1+'Cálculos'!$F$202+$A214*('Cálculos'!$F$290=2)*'Cálculos'!$F$101)+'Cálculos'!$F$203)*('Cálculos'!$F$211+'Cálculos'!$F$124*(1+2.78*('Cálculos'!$F$196+(($B$225)-$A214)*'Cálculos'!$F$98)/(('Cálculos'!$F$196+(($B$225)-$A214)*'Cálculos'!$F$98)+1400)+'Cálculos'!$F$122)*'Cálculos'!$F$216+'Cálculos'!$F$125*(1+2.78*('Cálculos'!$F$196+(($B$225)-$A214)*'Cálculos'!$F$98)/(('Cálculos'!$F$196+(($B$225)-$A214)*'Cálculos'!$F$98)+1400)+'Cálculos'!$F$123)*'Cálculos'!$F$221)+('Cálculos'!$F$204*(1+'Cálculos'!$F$205+$A214*('Cálculos'!$F$290=3)*'Cálculos'!$F$103)+'Cálculos'!$F$206)*('Cálculos'!$F$212+'Cálculos'!$F$124*(1+2.78*('Cálculos'!$F$196+(($B$225)-$A214)*'Cálculos'!$F$98)/(('Cálculos'!$F$196+(($B$225)-$A214)*'Cálculos'!$F$98)+1400)+'Cálculos'!$F$122)*'Cálculos'!$F$217+'Cálculos'!$F$125*(1+2.78*('Cálculos'!$F$196+(($B$225)-$A214)*'Cálculos'!$F$98)/(('Cálculos'!$F$196+(($B$225)-$A214)*'Cálculos'!$F$98)+1400)+'Cálculos'!$F$123)*'Cálculos'!$F$222)+('Cálculos'!$F$185*(1+'Cálculos'!$F$187+$A214*('Cálculos'!$F$290=1)*'Cálculos'!$F$97+'Cálculos'!$F$305)+'Cálculos'!$F$192)*('Cálculos'!$F$224+'Cálculos'!$F$124*(1+2.78*('Cálculos'!$F$197+(($B$225)-$A214)*'Cálculos'!$F$98)/(('Cálculos'!$F$197+(($B$225)-$A214)*'Cálculos'!$F$98)+1400)+'Cálculos'!$F$122)*'Cálculos'!$F$229+'Cálculos'!$F$125*(1+2.78*('Cálculos'!$F$197+(($B$225)-$A214)*'Cálculos'!$F$98)/(('Cálculos'!$F$197+(($B$225)-$A214)*'Cálculos'!$F$98)+1400)+'Cálculos'!$F$123)*'Cálculos'!$F$234)+('Cálculos'!$F$197+(($B$225)-$A214)*'Cálculos'!$F$98)*('Cálculos'!$F$225+'Cálculos'!$F$124*(1+2.78*('Cálculos'!$F$197+(($B$225)-$A214)*'Cálculos'!$F$98)/(('Cálculos'!$F$197+(($B$225)-$A214)*'Cálculos'!$F$98)+1400)+'Cálculos'!$F$122)*'Cálculos'!$F$230+'Cálculos'!$F$125*(1+2.78*('Cálculos'!$F$197+(($B$225)-$A214)*'Cálculos'!$F$98)/(('Cálculos'!$F$197+(($B$225)-$A214)*'Cálculos'!$F$98)+1400)+'Cálculos'!$F$123)*'Cálculos'!$F$235)+('Cálculos'!$F$201*(1+'Cálculos'!$F$202+$A214*('Cálculos'!$F$290=2)*'Cálculos'!$F$101)+'Cálculos'!$F$203)*('Cálculos'!$F$226+'Cálculos'!$F$124*(1+2.78*('Cálculos'!$F$197+(($B$225)-$A214)*'Cálculos'!$F$98)/(('Cálculos'!$F$197+(($B$225)-$A214)*'Cálculos'!$F$98)+1400)+'Cálculos'!$F$122)*'Cálculos'!$F$231+'Cálculos'!$F$125*(1+2.78*('Cálculos'!$F$197+(($B$225)-$A214)*'Cálculos'!$F$98)/(('Cálculos'!$F$197+(($B$225)-$A214)*'Cálculos'!$F$98)+1400)+'Cálculos'!$F$123)*'Cálculos'!$F$236)+('Cálculos'!$F$204*(1+'Cálculos'!$F$205+$A214*('Cálculos'!$F$290=3)*'Cálculos'!$F$103)+'Cálculos'!$F$206)*('Cálculos'!$F$227+'Cálculos'!$F$124*(1+2.78*('Cálculos'!$F$197+(($B$225)-$A214)*'Cálculos'!$F$98)/(('Cálculos'!$F$197+(($B$225)-$A214)*'Cálculos'!$F$98)+1400)+'Cálculos'!$F$122)*'Cálculos'!$F$232+'Cálculos'!$F$125*(1+2.78*('Cálculos'!$F$197+(($B$225)-$A214)*'Cálculos'!$F$98)/(('Cálculos'!$F$197+(($B$225)-$A214)*'Cálculos'!$F$98)+1400)+'Cálculos'!$F$123)*'Cálculos'!$F$237)+('Cálculos'!$F$185*(1+'Cálculos'!$F$188+$A214*('Cálculos'!$F$290=1)*'Cálculos'!$F$97+'Cálculos'!$F$305)+'Cálculos'!$F$193)*('Cálculos'!$F$239+'Cálculos'!$F$124*(1+2.78*('Cálculos'!$F$198+(($B$225)-$A214)*'Cálculos'!$F$98)/(('Cálculos'!$F$198+(($B$225)-$A214)*'Cálculos'!$F$98)+1400)+'Cálculos'!$F$122)*'Cálculos'!$F$244+'Cálculos'!$F$125*(1+2.78*('Cálculos'!$F$198+(($B$225)-$A214)*'Cálculos'!$F$98)/(('Cálculos'!$F$198+(($B$225)-$A214)*'Cálculos'!$F$98)+1400)+'Cálculos'!$F$123)*'Cálculos'!$F$249)+('Cálculos'!$F$198+(($B$225)-$A214)*'Cálculos'!$F$98)*('Cálculos'!$F$240+'Cálculos'!$F$124*(1+2.78*('Cálculos'!$F$198+(($B$225)-$A214)*'Cálculos'!$F$98)/(('Cálculos'!$F$198+(($B$225)-$A214)*'Cálculos'!$F$98)+1400)+'Cálculos'!$F$122)*'Cálculos'!$F$245+'Cálculos'!$F$125*(1+2.78*('Cálculos'!$F$198+(($B$225)-$A214)*'Cálculos'!$F$98)/(('Cálculos'!$F$198+(($B$225)-$A214)*'Cálculos'!$F$98)+1400)+'Cálculos'!$F$123)*'Cálculos'!$F$250)+('Cálculos'!$F$201*(1+'Cálculos'!$F$202+$A214*('Cálculos'!$F$290=2)*'Cálculos'!$F$101)+'Cálculos'!$F$203)*('Cálculos'!$F$241+'Cálculos'!$F$124*(1+2.78*('Cálculos'!$F$198+(($B$225)-$A214)*'Cálculos'!$F$98)/(('Cálculos'!$F$198+(($B$225)-$A214)*'Cálculos'!$F$98)+1400)+'Cálculos'!$F$122)*'Cálculos'!$F$246+'Cálculos'!$F$125*(1+2.78*('Cálculos'!$F$198+(($B$225)-$A214)*'Cálculos'!$F$98)/(('Cálculos'!$F$198+(($B$225)-$A214)*'Cálculos'!$F$98)+1400)+'Cálculos'!$F$123)*'Cálculos'!$F$251)+('Cálculos'!$F$204*(1+'Cálculos'!$F$205+$A214*('Cálculos'!$F$290=3)*'Cálculos'!$F$103)+'Cálculos'!$F$206)*('Cálculos'!$F$242+'Cálculos'!$F$124*(1+2.78*('Cálculos'!$F$198+(($B$225)-$A214)*'Cálculos'!$F$98)/(('Cálculos'!$F$198+(($B$225)-$A214)*'Cálculos'!$F$98)+1400)+'Cálculos'!$F$122)*'Cálculos'!$F$247+'Cálculos'!$F$125*(1+2.78*('Cálculos'!$F$198+(($B$225)-$A214)*'Cálculos'!$F$98)/(('Cálculos'!$F$198+(($B$225)-$A214)*'Cálculos'!$F$98)+1400)+'Cálculos'!$F$123)*'Cálculos'!$F$252)+('Cálculos'!$F$185*(1+'Cálculos'!$F$189+$A214*('Cálculos'!$F$290=1)*'Cálculos'!$F$97+'Cálculos'!$F$305)+'Cálculos'!$F$194)*('Cálculos'!$F$254+'Cálculos'!$F$124*(1+2.78*('Cálculos'!$F$199+(($B$225)-$A214)*'Cálculos'!$F$98)/(('Cálculos'!$F$199+(($B$225)-$A214)*'Cálculos'!$F$98)+1400)+'Cálculos'!$F$122)*'Cálculos'!$F$259+'Cálculos'!$F$125*(1+2.78*('Cálculos'!$F$199+(($B$225)-$A214)*'Cálculos'!$F$98)/(('Cálculos'!$F$199+(($B$225)-$A214)*'Cálculos'!$F$98)+1400)+'Cálculos'!$F$123)*'Cálculos'!$F$264)+('Cálculos'!$F$199+(($B$225)-$A214)*'Cálculos'!$F$98)*('Cálculos'!$F$255+'Cálculos'!$F$124*(1+2.78*('Cálculos'!$F$199+(($B$225)-$A214)*'Cálculos'!$F$98)/(('Cálculos'!$F$199+(($B$225)-$A214)*'Cálculos'!$F$98)+1400)+'Cálculos'!$F$122)*'Cálculos'!$F$260+'Cálculos'!$F$125*(1+2.78*('Cálculos'!$F$199+(($B$225)-$A214)*'Cálculos'!$F$98)/(('Cálculos'!$F$199+(($B$225)-$A214)*'Cálculos'!$F$98)+1400)+'Cálculos'!$F$123)*'Cálculos'!$F$265)+('Cálculos'!$F$201*(1+'Cálculos'!$F$202+$A214*('Cálculos'!$F$290=2)*'Cálculos'!$F$101)+'Cálculos'!$F$203)*('Cálculos'!$F$256+'Cálculos'!$F$124*(1+2.78*('Cálculos'!$F$199+(($B$225)-$A214)*'Cálculos'!$F$98)/(('Cálculos'!$F$199+(($B$225)-$A214)*'Cálculos'!$F$98)+1400)+'Cálculos'!$F$122)*'Cálculos'!$F$261+'Cálculos'!$F$125*(1+2.78*('Cálculos'!$F$199+(($B$225)-$A214)*'Cálculos'!$F$98)/(('Cálculos'!$F$199+(($B$225)-$A214)*'Cálculos'!$F$98)+1400)+'Cálculos'!$F$123)*'Cálculos'!$F$266)+('Cálculos'!$F$204*(1+'Cálculos'!$F$205+$A214*('Cálculos'!$F$290=3)*'Cálculos'!$F$103)+'Cálculos'!$F$206)*('Cálculos'!$F$257+'Cálculos'!$F$124*(1+2.78*('Cálculos'!$F$199+(($B$225)-$A214)*'Cálculos'!$F$98)/(('Cálculos'!$F$199+(($B$225)-$A214)*'Cálculos'!$F$98)+1400)+'Cálculos'!$F$122)*'Cálculos'!$F$262+'Cálculos'!$F$125*(1+2.78*('Cálculos'!$F$199+(($B$225)-$A214)*'Cálculos'!$F$98)/(('Cálculos'!$F$199+(($B$225)-$A214)*'Cálculos'!$F$98)+1400)+'Cálculos'!$F$123)*'Cálculos'!$F$267)+('Cálculos'!$F$185*(1+'Cálculos'!$F$190+$A214*('Cálculos'!$F$290=1)*'Cálculos'!$F$97+'Cálculos'!$F$305)+'Cálculos'!$F$195)*('Cálculos'!$F$269+'Cálculos'!$F$124*(1+2.78*('Cálculos'!$F$200+(($B$225)-$A214)*'Cálculos'!$F$98)/(('Cálculos'!$F$200+(($B$225)-$A214)*'Cálculos'!$F$98)+1400)+'Cálculos'!$F$122)*'Cálculos'!$F$274+'Cálculos'!$F$125*(1+2.78*('Cálculos'!$F$200+(($B$225)-$A214)*'Cálculos'!$F$98)/(('Cálculos'!$F$200+(($B$225)-$A214)*'Cálculos'!$F$98)+1400)+'Cálculos'!$F$123)*'Cálculos'!$F$279)+('Cálculos'!$F$200+(($B$225)-$A214)*'Cálculos'!$F$98)*('Cálculos'!$F$270+'Cálculos'!$F$124*(1+2.78*('Cálculos'!$F$200+(($B$225)-$A214)*'Cálculos'!$F$98)/(('Cálculos'!$F$200+(($B$225)-$A214)*'Cálculos'!$F$98)+1400)+'Cálculos'!$F$122)*'Cálculos'!$F$275+'Cálculos'!$F$125*(1+2.78*('Cálculos'!$F$200+(($B$225)-$A214)*'Cálculos'!$F$98)/(('Cálculos'!$F$200+(($B$225)-$A214)*'Cálculos'!$F$98)+1400)+'Cálculos'!$F$123)*'Cálculos'!$F$280)+('Cálculos'!$F$201*(1+'Cálculos'!$F$202+$A214*('Cálculos'!$F$290=2)*'Cálculos'!$F$101)+'Cálculos'!$F$203)*('Cálculos'!$F$271+'Cálculos'!$F$124*(1+2.78*('Cálculos'!$F$200+(($B$225)-$A214)*'Cálculos'!$F$98)/(('Cálculos'!$F$200+(($B$225)-$A214)*'Cálculos'!$F$98)+1400)+'Cálculos'!$F$122)*'Cálculos'!$F$276+'Cálculos'!$F$125*(1+2.78*('Cálculos'!$F$200+(($B$225)-$A214)*'Cálculos'!$F$98)/(('Cálculos'!$F$200+(($B$225)-$A214)*'Cálculos'!$F$98)+1400)+'Cálculos'!$F$123)*'Cálculos'!$F$281)+('Cálculos'!$F$204*(1+'Cálculos'!$F$205+$A214*('Cálculos'!$F$290=3)*'Cálculos'!$F$103)+'Cálculos'!$F$206)*('Cálculos'!$F$272+'Cálculos'!$F$124*(1+2.78*('Cálculos'!$F$200+(($B$225)-$A214)*'Cálculos'!$F$98)/(('Cálculos'!$F$200+(($B$225)-$A214)*'Cálculos'!$F$98)+1400)+'Cálculos'!$F$122)*'Cálculos'!$F$277+'Cálculos'!$F$125*(1+2.78*('Cálculos'!$F$200+(($B$225)-$A214)*'Cálculos'!$F$98)/(('Cálculos'!$F$200+(($B$225)-$A214)*'Cálculos'!$F$98)+1400)+'Cálculos'!$F$123)*'Cálculos'!$F$282)))</f>
        <v>0</v>
      </c>
    </row>
    <row r="215" ht="15.75" customHeight="1">
      <c r="A215" s="2">
        <v>38.0</v>
      </c>
      <c r="B215" s="30">
        <f>SUMPRODUCT(MAX(($A$177:$A$222&lt;=$A215)*($A$177:$A$222&lt;='Cálculos'!$F$294)*(($A215)-$A$177:$A$222&lt;='Cálculos'!$F$295)*(1+(('Cálculos'!$F$207+$A$177:$A$222*'Cálculos'!$F$95)-(('Cálculos'!$F$207+$A$177:$A$222*'Cálculos'!$F$95)&gt;1)*(('Cálculos'!$F$207+$A$177:$A$222*'Cálculos'!$F$95)-1))*('Cálculos'!$F$208+(($A215)-$A$177:$A$222)*'Cálculos'!$F$96))))</f>
        <v>3.627092</v>
      </c>
      <c r="C215" s="2">
        <f>'Cálculos'!$F$303-$A215</f>
        <v>-20</v>
      </c>
      <c r="D215" s="31">
        <f>IF($C215&lt;0,0,SUMPRODUCT(MAX(($A$177:$A$222&lt;=$C215)*($A$177:$A$222&lt;='Cálculos'!$F$301)*(($C215)-$A$177:$A$222&lt;='Cálculos'!$F$297)*(('Cálculos'!$F$185*(1+'Cálculos'!$F$186+$A$177:$A$222*('Cálculos'!$F$290=1)*'Cálculos'!$F$97+'Cálculos'!$F$305)+'Cálculos'!$F$191)*('Cálculos'!$F$209+'Cálculos'!$F$124*(1+2.78*('Cálculos'!$F$196+(($C215)-$A$177:$A$222)*'Cálculos'!$F$98)/(('Cálculos'!$F$196+(($C215)-$A$177:$A$222)*'Cálculos'!$F$98)+1400)+'Cálculos'!$F$122)*'Cálculos'!$F$214+'Cálculos'!$F$125*(1+2.78*('Cálculos'!$F$196+(($C215)-$A$177:$A$222)*'Cálculos'!$F$98)/(('Cálculos'!$F$196+(($C215)-$A$177:$A$222)*'Cálculos'!$F$98)+1400)+'Cálculos'!$F$123)*'Cálculos'!$F$219)+('Cálculos'!$F$196+(($C215)-$A$177:$A$222)*'Cálculos'!$F$98)*('Cálculos'!$F$210+'Cálculos'!$F$124*(1+2.78*('Cálculos'!$F$196+(($C215)-$A$177:$A$222)*'Cálculos'!$F$98)/(('Cálculos'!$F$196+(($C215)-$A$177:$A$222)*'Cálculos'!$F$98)+1400)+'Cálculos'!$F$122)*'Cálculos'!$F$215+'Cálculos'!$F$125*(1+2.78*('Cálculos'!$F$196+(($C215)-$A$177:$A$222)*'Cálculos'!$F$98)/(('Cálculos'!$F$196+(($C215)-$A$177:$A$222)*'Cálculos'!$F$98)+1400)+'Cálculos'!$F$123)*'Cálculos'!$F$220)+('Cálculos'!$F$201*(1+'Cálculos'!$F$202+$A$177:$A$222*('Cálculos'!$F$290=2)*'Cálculos'!$F$101)+'Cálculos'!$F$203)*('Cálculos'!$F$211+'Cálculos'!$F$124*(1+2.78*('Cálculos'!$F$196+(($C215)-$A$177:$A$222)*'Cálculos'!$F$98)/(('Cálculos'!$F$196+(($C215)-$A$177:$A$222)*'Cálculos'!$F$98)+1400)+'Cálculos'!$F$122)*'Cálculos'!$F$216+'Cálculos'!$F$125*(1+2.78*('Cálculos'!$F$196+(($C215)-$A$177:$A$222)*'Cálculos'!$F$98)/(('Cálculos'!$F$196+(($C215)-$A$177:$A$222)*'Cálculos'!$F$98)+1400)+'Cálculos'!$F$123)*'Cálculos'!$F$221)+('Cálculos'!$F$204*(1+'Cálculos'!$F$205+$A$177:$A$222*('Cálculos'!$F$290=3)*'Cálculos'!$F$103)+'Cálculos'!$F$206)*('Cálculos'!$F$212+'Cálculos'!$F$124*(1+2.78*('Cálculos'!$F$196+(($C215)-$A$177:$A$222)*'Cálculos'!$F$98)/(('Cálculos'!$F$196+(($C215)-$A$177:$A$222)*'Cálculos'!$F$98)+1400)+'Cálculos'!$F$122)*'Cálculos'!$F$217+'Cálculos'!$F$125*(1+2.78*('Cálculos'!$F$196+(($C215)-$A$177:$A$222)*'Cálculos'!$F$98)/(('Cálculos'!$F$196+(($C215)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215)-$A$177:$A$222)*'Cálculos'!$F$98)/(('Cálculos'!$F$197+(($C215)-$A$177:$A$222)*'Cálculos'!$F$98)+1400)+'Cálculos'!$F$122)*'Cálculos'!$F$229+'Cálculos'!$F$125*(1+2.78*('Cálculos'!$F$197+(($C215)-$A$177:$A$222)*'Cálculos'!$F$98)/(('Cálculos'!$F$197+(($C215)-$A$177:$A$222)*'Cálculos'!$F$98)+1400)+'Cálculos'!$F$123)*'Cálculos'!$F$234)+('Cálculos'!$F$197+(($C215)-$A$177:$A$222)*'Cálculos'!$F$98)*('Cálculos'!$F$225+'Cálculos'!$F$124*(1+2.78*('Cálculos'!$F$197+(($C215)-$A$177:$A$222)*'Cálculos'!$F$98)/(('Cálculos'!$F$197+(($C215)-$A$177:$A$222)*'Cálculos'!$F$98)+1400)+'Cálculos'!$F$122)*'Cálculos'!$F$230+'Cálculos'!$F$125*(1+2.78*('Cálculos'!$F$197+(($C215)-$A$177:$A$222)*'Cálculos'!$F$98)/(('Cálculos'!$F$197+(($C215)-$A$177:$A$222)*'Cálculos'!$F$98)+1400)+'Cálculos'!$F$123)*'Cálculos'!$F$235)+('Cálculos'!$F$201*(1+'Cálculos'!$F$202+$A$177:$A$222*('Cálculos'!$F$290=2)*'Cálculos'!$F$101)+'Cálculos'!$F$203)*('Cálculos'!$F$226+'Cálculos'!$F$124*(1+2.78*('Cálculos'!$F$197+(($C215)-$A$177:$A$222)*'Cálculos'!$F$98)/(('Cálculos'!$F$197+(($C215)-$A$177:$A$222)*'Cálculos'!$F$98)+1400)+'Cálculos'!$F$122)*'Cálculos'!$F$231+'Cálculos'!$F$125*(1+2.78*('Cálculos'!$F$197+(($C215)-$A$177:$A$222)*'Cálculos'!$F$98)/(('Cálculos'!$F$197+(($C215)-$A$177:$A$222)*'Cálculos'!$F$98)+1400)+'Cálculos'!$F$123)*'Cálculos'!$F$236)+('Cálculos'!$F$204*(1+'Cálculos'!$F$205+$A$177:$A$222*('Cálculos'!$F$290=3)*'Cálculos'!$F$103)+'Cálculos'!$F$206)*('Cálculos'!$F$227+'Cálculos'!$F$124*(1+2.78*('Cálculos'!$F$197+(($C215)-$A$177:$A$222)*'Cálculos'!$F$98)/(('Cálculos'!$F$197+(($C215)-$A$177:$A$222)*'Cálculos'!$F$98)+1400)+'Cálculos'!$F$122)*'Cálculos'!$F$232+'Cálculos'!$F$125*(1+2.78*('Cálculos'!$F$197+(($C215)-$A$177:$A$222)*'Cálculos'!$F$98)/(('Cálculos'!$F$197+(($C215)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215)-$A$177:$A$222)*'Cálculos'!$F$98)/(('Cálculos'!$F$198+(($C215)-$A$177:$A$222)*'Cálculos'!$F$98)+1400)+'Cálculos'!$F$122)*'Cálculos'!$F$244+'Cálculos'!$F$125*(1+2.78*('Cálculos'!$F$198+(($C215)-$A$177:$A$222)*'Cálculos'!$F$98)/(('Cálculos'!$F$198+(($C215)-$A$177:$A$222)*'Cálculos'!$F$98)+1400)+'Cálculos'!$F$123)*'Cálculos'!$F$249)+('Cálculos'!$F$198+(($C215)-$A$177:$A$222)*'Cálculos'!$F$98)*('Cálculos'!$F$240+'Cálculos'!$F$124*(1+2.78*('Cálculos'!$F$198+(($C215)-$A$177:$A$222)*'Cálculos'!$F$98)/(('Cálculos'!$F$198+(($C215)-$A$177:$A$222)*'Cálculos'!$F$98)+1400)+'Cálculos'!$F$122)*'Cálculos'!$F$245+'Cálculos'!$F$125*(1+2.78*('Cálculos'!$F$198+(($C215)-$A$177:$A$222)*'Cálculos'!$F$98)/(('Cálculos'!$F$198+(($C215)-$A$177:$A$222)*'Cálculos'!$F$98)+1400)+'Cálculos'!$F$123)*'Cálculos'!$F$250)+('Cálculos'!$F$201*(1+'Cálculos'!$F$202+$A$177:$A$222*('Cálculos'!$F$290=2)*'Cálculos'!$F$101)+'Cálculos'!$F$203)*('Cálculos'!$F$241+'Cálculos'!$F$124*(1+2.78*('Cálculos'!$F$198+(($C215)-$A$177:$A$222)*'Cálculos'!$F$98)/(('Cálculos'!$F$198+(($C215)-$A$177:$A$222)*'Cálculos'!$F$98)+1400)+'Cálculos'!$F$122)*'Cálculos'!$F$246+'Cálculos'!$F$125*(1+2.78*('Cálculos'!$F$198+(($C215)-$A$177:$A$222)*'Cálculos'!$F$98)/(('Cálculos'!$F$198+(($C215)-$A$177:$A$222)*'Cálculos'!$F$98)+1400)+'Cálculos'!$F$123)*'Cálculos'!$F$251)+('Cálculos'!$F$204*(1+'Cálculos'!$F$205+$A$177:$A$222*('Cálculos'!$F$290=3)*'Cálculos'!$F$103)+'Cálculos'!$F$206)*('Cálculos'!$F$242+'Cálculos'!$F$124*(1+2.78*('Cálculos'!$F$198+(($C215)-$A$177:$A$222)*'Cálculos'!$F$98)/(('Cálculos'!$F$198+(($C215)-$A$177:$A$222)*'Cálculos'!$F$98)+1400)+'Cálculos'!$F$122)*'Cálculos'!$F$247+'Cálculos'!$F$125*(1+2.78*('Cálculos'!$F$198+(($C215)-$A$177:$A$222)*'Cálculos'!$F$98)/(('Cálculos'!$F$198+(($C215)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215)-$A$177:$A$222)*'Cálculos'!$F$98)/(('Cálculos'!$F$199+(($C215)-$A$177:$A$222)*'Cálculos'!$F$98)+1400)+'Cálculos'!$F$122)*'Cálculos'!$F$259+'Cálculos'!$F$125*(1+2.78*('Cálculos'!$F$199+(($C215)-$A$177:$A$222)*'Cálculos'!$F$98)/(('Cálculos'!$F$199+(($C215)-$A$177:$A$222)*'Cálculos'!$F$98)+1400)+'Cálculos'!$F$123)*'Cálculos'!$F$264)+('Cálculos'!$F$199+(($C215)-$A$177:$A$222)*'Cálculos'!$F$98)*('Cálculos'!$F$255+'Cálculos'!$F$124*(1+2.78*('Cálculos'!$F$199+(($C215)-$A$177:$A$222)*'Cálculos'!$F$98)/(('Cálculos'!$F$199+(($C215)-$A$177:$A$222)*'Cálculos'!$F$98)+1400)+'Cálculos'!$F$122)*'Cálculos'!$F$260+'Cálculos'!$F$125*(1+2.78*('Cálculos'!$F$199+(($C215)-$A$177:$A$222)*'Cálculos'!$F$98)/(('Cálculos'!$F$199+(($C215)-$A$177:$A$222)*'Cálculos'!$F$98)+1400)+'Cálculos'!$F$123)*'Cálculos'!$F$265)+('Cálculos'!$F$201*(1+'Cálculos'!$F$202+$A$177:$A$222*('Cálculos'!$F$290=2)*'Cálculos'!$F$101)+'Cálculos'!$F$203)*('Cálculos'!$F$256+'Cálculos'!$F$124*(1+2.78*('Cálculos'!$F$199+(($C215)-$A$177:$A$222)*'Cálculos'!$F$98)/(('Cálculos'!$F$199+(($C215)-$A$177:$A$222)*'Cálculos'!$F$98)+1400)+'Cálculos'!$F$122)*'Cálculos'!$F$261+'Cálculos'!$F$125*(1+2.78*('Cálculos'!$F$199+(($C215)-$A$177:$A$222)*'Cálculos'!$F$98)/(('Cálculos'!$F$199+(($C215)-$A$177:$A$222)*'Cálculos'!$F$98)+1400)+'Cálculos'!$F$123)*'Cálculos'!$F$266)+('Cálculos'!$F$204*(1+'Cálculos'!$F$205+$A$177:$A$222*('Cálculos'!$F$290=3)*'Cálculos'!$F$103)+'Cálculos'!$F$206)*('Cálculos'!$F$257+'Cálculos'!$F$124*(1+2.78*('Cálculos'!$F$199+(($C215)-$A$177:$A$222)*'Cálculos'!$F$98)/(('Cálculos'!$F$199+(($C215)-$A$177:$A$222)*'Cálculos'!$F$98)+1400)+'Cálculos'!$F$122)*'Cálculos'!$F$262+'Cálculos'!$F$125*(1+2.78*('Cálculos'!$F$199+(($C215)-$A$177:$A$222)*'Cálculos'!$F$98)/(('Cálculos'!$F$199+(($C215)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215)-$A$177:$A$222)*'Cálculos'!$F$98)/(('Cálculos'!$F$200+(($C215)-$A$177:$A$222)*'Cálculos'!$F$98)+1400)+'Cálculos'!$F$122)*'Cálculos'!$F$274+'Cálculos'!$F$125*(1+2.78*('Cálculos'!$F$200+(($C215)-$A$177:$A$222)*'Cálculos'!$F$98)/(('Cálculos'!$F$200+(($C215)-$A$177:$A$222)*'Cálculos'!$F$98)+1400)+'Cálculos'!$F$123)*'Cálculos'!$F$279)+('Cálculos'!$F$200+(($C215)-$A$177:$A$222)*'Cálculos'!$F$98)*('Cálculos'!$F$270+'Cálculos'!$F$124*(1+2.78*('Cálculos'!$F$200+(($C215)-$A$177:$A$222)*'Cálculos'!$F$98)/(('Cálculos'!$F$200+(($C215)-$A$177:$A$222)*'Cálculos'!$F$98)+1400)+'Cálculos'!$F$122)*'Cálculos'!$F$275+'Cálculos'!$F$125*(1+2.78*('Cálculos'!$F$200+(($C215)-$A$177:$A$222)*'Cálculos'!$F$98)/(('Cálculos'!$F$200+(($C215)-$A$177:$A$222)*'Cálculos'!$F$98)+1400)+'Cálculos'!$F$123)*'Cálculos'!$F$280)+('Cálculos'!$F$201*(1+'Cálculos'!$F$202+$A$177:$A$222*('Cálculos'!$F$290=2)*'Cálculos'!$F$101)+'Cálculos'!$F$203)*('Cálculos'!$F$271+'Cálculos'!$F$124*(1+2.78*('Cálculos'!$F$200+(($C215)-$A$177:$A$222)*'Cálculos'!$F$98)/(('Cálculos'!$F$200+(($C215)-$A$177:$A$222)*'Cálculos'!$F$98)+1400)+'Cálculos'!$F$122)*'Cálculos'!$F$276+'Cálculos'!$F$125*(1+2.78*('Cálculos'!$F$200+(($C215)-$A$177:$A$222)*'Cálculos'!$F$98)/(('Cálculos'!$F$200+(($C215)-$A$177:$A$222)*'Cálculos'!$F$98)+1400)+'Cálculos'!$F$123)*'Cálculos'!$F$281)+('Cálculos'!$F$204*(1+'Cálculos'!$F$205+$A$177:$A$222*('Cálculos'!$F$290=3)*'Cálculos'!$F$103)+'Cálculos'!$F$206)*('Cálculos'!$F$272+'Cálculos'!$F$124*(1+2.78*('Cálculos'!$F$200+(($C215)-$A$177:$A$222)*'Cálculos'!$F$98)/(('Cálculos'!$F$200+(($C215)-$A$177:$A$222)*'Cálculos'!$F$98)+1400)+'Cálculos'!$F$122)*'Cálculos'!$F$277+'Cálculos'!$F$125*(1+2.78*('Cálculos'!$F$200+(($C215)-$A$177:$A$222)*'Cálculos'!$F$98)/(('Cálculos'!$F$200+(($C215)-$A$177:$A$222)*'Cálculos'!$F$98)+1400)+'Cálculos'!$F$123)*'Cálculos'!$F$282)))))</f>
        <v>0</v>
      </c>
      <c r="E215" s="32">
        <f>IF(OR($C215&lt;0,'Cálculos'!$F$6=""),0,$B215*$D215)</f>
        <v>0</v>
      </c>
      <c r="F215" s="2"/>
      <c r="G215" s="30">
        <f>($A215&lt;=$B$224)*($A215&lt;='Cálculos'!$F$294)*(($B$224)-$A215&lt;='Cálculos'!$F$295)*(1+MIN(('Cálculos'!$F$207+$A215*'Cálculos'!$F$95),1)*('Cálculos'!$F$208+(($B$224)-$A215)*'Cálculos'!$F$96))</f>
        <v>0</v>
      </c>
      <c r="H215" s="31">
        <f>IF($B$225&lt;0,0,($A215&lt;=$B$225)*($A215&lt;='Cálculos'!$F$301)*(($B$225)-$A215&lt;='Cálculos'!$F$297)*(('Cálculos'!$F$185*(1+'Cálculos'!$F$186+$A215*('Cálculos'!$F$290=1)*'Cálculos'!$F$97+'Cálculos'!$F$305)+'Cálculos'!$F$191)*('Cálculos'!$F$209+'Cálculos'!$F$124*(1+2.78*('Cálculos'!$F$196+(($B$225)-$A215)*'Cálculos'!$F$98)/(('Cálculos'!$F$196+(($B$225)-$A215)*'Cálculos'!$F$98)+1400)+'Cálculos'!$F$122)*'Cálculos'!$F$214+'Cálculos'!$F$125*(1+2.78*('Cálculos'!$F$196+(($B$225)-$A215)*'Cálculos'!$F$98)/(('Cálculos'!$F$196+(($B$225)-$A215)*'Cálculos'!$F$98)+1400)+'Cálculos'!$F$123)*'Cálculos'!$F$219)+('Cálculos'!$F$196+(($B$225)-$A215)*'Cálculos'!$F$98)*('Cálculos'!$F$210+'Cálculos'!$F$124*(1+2.78*('Cálculos'!$F$196+(($B$225)-$A215)*'Cálculos'!$F$98)/(('Cálculos'!$F$196+(($B$225)-$A215)*'Cálculos'!$F$98)+1400)+'Cálculos'!$F$122)*'Cálculos'!$F$215+'Cálculos'!$F$125*(1+2.78*('Cálculos'!$F$196+(($B$225)-$A215)*'Cálculos'!$F$98)/(('Cálculos'!$F$196+(($B$225)-$A215)*'Cálculos'!$F$98)+1400)+'Cálculos'!$F$123)*'Cálculos'!$F$220)+('Cálculos'!$F$201*(1+'Cálculos'!$F$202+$A215*('Cálculos'!$F$290=2)*'Cálculos'!$F$101)+'Cálculos'!$F$203)*('Cálculos'!$F$211+'Cálculos'!$F$124*(1+2.78*('Cálculos'!$F$196+(($B$225)-$A215)*'Cálculos'!$F$98)/(('Cálculos'!$F$196+(($B$225)-$A215)*'Cálculos'!$F$98)+1400)+'Cálculos'!$F$122)*'Cálculos'!$F$216+'Cálculos'!$F$125*(1+2.78*('Cálculos'!$F$196+(($B$225)-$A215)*'Cálculos'!$F$98)/(('Cálculos'!$F$196+(($B$225)-$A215)*'Cálculos'!$F$98)+1400)+'Cálculos'!$F$123)*'Cálculos'!$F$221)+('Cálculos'!$F$204*(1+'Cálculos'!$F$205+$A215*('Cálculos'!$F$290=3)*'Cálculos'!$F$103)+'Cálculos'!$F$206)*('Cálculos'!$F$212+'Cálculos'!$F$124*(1+2.78*('Cálculos'!$F$196+(($B$225)-$A215)*'Cálculos'!$F$98)/(('Cálculos'!$F$196+(($B$225)-$A215)*'Cálculos'!$F$98)+1400)+'Cálculos'!$F$122)*'Cálculos'!$F$217+'Cálculos'!$F$125*(1+2.78*('Cálculos'!$F$196+(($B$225)-$A215)*'Cálculos'!$F$98)/(('Cálculos'!$F$196+(($B$225)-$A215)*'Cálculos'!$F$98)+1400)+'Cálculos'!$F$123)*'Cálculos'!$F$222)+('Cálculos'!$F$185*(1+'Cálculos'!$F$187+$A215*('Cálculos'!$F$290=1)*'Cálculos'!$F$97+'Cálculos'!$F$305)+'Cálculos'!$F$192)*('Cálculos'!$F$224+'Cálculos'!$F$124*(1+2.78*('Cálculos'!$F$197+(($B$225)-$A215)*'Cálculos'!$F$98)/(('Cálculos'!$F$197+(($B$225)-$A215)*'Cálculos'!$F$98)+1400)+'Cálculos'!$F$122)*'Cálculos'!$F$229+'Cálculos'!$F$125*(1+2.78*('Cálculos'!$F$197+(($B$225)-$A215)*'Cálculos'!$F$98)/(('Cálculos'!$F$197+(($B$225)-$A215)*'Cálculos'!$F$98)+1400)+'Cálculos'!$F$123)*'Cálculos'!$F$234)+('Cálculos'!$F$197+(($B$225)-$A215)*'Cálculos'!$F$98)*('Cálculos'!$F$225+'Cálculos'!$F$124*(1+2.78*('Cálculos'!$F$197+(($B$225)-$A215)*'Cálculos'!$F$98)/(('Cálculos'!$F$197+(($B$225)-$A215)*'Cálculos'!$F$98)+1400)+'Cálculos'!$F$122)*'Cálculos'!$F$230+'Cálculos'!$F$125*(1+2.78*('Cálculos'!$F$197+(($B$225)-$A215)*'Cálculos'!$F$98)/(('Cálculos'!$F$197+(($B$225)-$A215)*'Cálculos'!$F$98)+1400)+'Cálculos'!$F$123)*'Cálculos'!$F$235)+('Cálculos'!$F$201*(1+'Cálculos'!$F$202+$A215*('Cálculos'!$F$290=2)*'Cálculos'!$F$101)+'Cálculos'!$F$203)*('Cálculos'!$F$226+'Cálculos'!$F$124*(1+2.78*('Cálculos'!$F$197+(($B$225)-$A215)*'Cálculos'!$F$98)/(('Cálculos'!$F$197+(($B$225)-$A215)*'Cálculos'!$F$98)+1400)+'Cálculos'!$F$122)*'Cálculos'!$F$231+'Cálculos'!$F$125*(1+2.78*('Cálculos'!$F$197+(($B$225)-$A215)*'Cálculos'!$F$98)/(('Cálculos'!$F$197+(($B$225)-$A215)*'Cálculos'!$F$98)+1400)+'Cálculos'!$F$123)*'Cálculos'!$F$236)+('Cálculos'!$F$204*(1+'Cálculos'!$F$205+$A215*('Cálculos'!$F$290=3)*'Cálculos'!$F$103)+'Cálculos'!$F$206)*('Cálculos'!$F$227+'Cálculos'!$F$124*(1+2.78*('Cálculos'!$F$197+(($B$225)-$A215)*'Cálculos'!$F$98)/(('Cálculos'!$F$197+(($B$225)-$A215)*'Cálculos'!$F$98)+1400)+'Cálculos'!$F$122)*'Cálculos'!$F$232+'Cálculos'!$F$125*(1+2.78*('Cálculos'!$F$197+(($B$225)-$A215)*'Cálculos'!$F$98)/(('Cálculos'!$F$197+(($B$225)-$A215)*'Cálculos'!$F$98)+1400)+'Cálculos'!$F$123)*'Cálculos'!$F$237)+('Cálculos'!$F$185*(1+'Cálculos'!$F$188+$A215*('Cálculos'!$F$290=1)*'Cálculos'!$F$97+'Cálculos'!$F$305)+'Cálculos'!$F$193)*('Cálculos'!$F$239+'Cálculos'!$F$124*(1+2.78*('Cálculos'!$F$198+(($B$225)-$A215)*'Cálculos'!$F$98)/(('Cálculos'!$F$198+(($B$225)-$A215)*'Cálculos'!$F$98)+1400)+'Cálculos'!$F$122)*'Cálculos'!$F$244+'Cálculos'!$F$125*(1+2.78*('Cálculos'!$F$198+(($B$225)-$A215)*'Cálculos'!$F$98)/(('Cálculos'!$F$198+(($B$225)-$A215)*'Cálculos'!$F$98)+1400)+'Cálculos'!$F$123)*'Cálculos'!$F$249)+('Cálculos'!$F$198+(($B$225)-$A215)*'Cálculos'!$F$98)*('Cálculos'!$F$240+'Cálculos'!$F$124*(1+2.78*('Cálculos'!$F$198+(($B$225)-$A215)*'Cálculos'!$F$98)/(('Cálculos'!$F$198+(($B$225)-$A215)*'Cálculos'!$F$98)+1400)+'Cálculos'!$F$122)*'Cálculos'!$F$245+'Cálculos'!$F$125*(1+2.78*('Cálculos'!$F$198+(($B$225)-$A215)*'Cálculos'!$F$98)/(('Cálculos'!$F$198+(($B$225)-$A215)*'Cálculos'!$F$98)+1400)+'Cálculos'!$F$123)*'Cálculos'!$F$250)+('Cálculos'!$F$201*(1+'Cálculos'!$F$202+$A215*('Cálculos'!$F$290=2)*'Cálculos'!$F$101)+'Cálculos'!$F$203)*('Cálculos'!$F$241+'Cálculos'!$F$124*(1+2.78*('Cálculos'!$F$198+(($B$225)-$A215)*'Cálculos'!$F$98)/(('Cálculos'!$F$198+(($B$225)-$A215)*'Cálculos'!$F$98)+1400)+'Cálculos'!$F$122)*'Cálculos'!$F$246+'Cálculos'!$F$125*(1+2.78*('Cálculos'!$F$198+(($B$225)-$A215)*'Cálculos'!$F$98)/(('Cálculos'!$F$198+(($B$225)-$A215)*'Cálculos'!$F$98)+1400)+'Cálculos'!$F$123)*'Cálculos'!$F$251)+('Cálculos'!$F$204*(1+'Cálculos'!$F$205+$A215*('Cálculos'!$F$290=3)*'Cálculos'!$F$103)+'Cálculos'!$F$206)*('Cálculos'!$F$242+'Cálculos'!$F$124*(1+2.78*('Cálculos'!$F$198+(($B$225)-$A215)*'Cálculos'!$F$98)/(('Cálculos'!$F$198+(($B$225)-$A215)*'Cálculos'!$F$98)+1400)+'Cálculos'!$F$122)*'Cálculos'!$F$247+'Cálculos'!$F$125*(1+2.78*('Cálculos'!$F$198+(($B$225)-$A215)*'Cálculos'!$F$98)/(('Cálculos'!$F$198+(($B$225)-$A215)*'Cálculos'!$F$98)+1400)+'Cálculos'!$F$123)*'Cálculos'!$F$252)+('Cálculos'!$F$185*(1+'Cálculos'!$F$189+$A215*('Cálculos'!$F$290=1)*'Cálculos'!$F$97+'Cálculos'!$F$305)+'Cálculos'!$F$194)*('Cálculos'!$F$254+'Cálculos'!$F$124*(1+2.78*('Cálculos'!$F$199+(($B$225)-$A215)*'Cálculos'!$F$98)/(('Cálculos'!$F$199+(($B$225)-$A215)*'Cálculos'!$F$98)+1400)+'Cálculos'!$F$122)*'Cálculos'!$F$259+'Cálculos'!$F$125*(1+2.78*('Cálculos'!$F$199+(($B$225)-$A215)*'Cálculos'!$F$98)/(('Cálculos'!$F$199+(($B$225)-$A215)*'Cálculos'!$F$98)+1400)+'Cálculos'!$F$123)*'Cálculos'!$F$264)+('Cálculos'!$F$199+(($B$225)-$A215)*'Cálculos'!$F$98)*('Cálculos'!$F$255+'Cálculos'!$F$124*(1+2.78*('Cálculos'!$F$199+(($B$225)-$A215)*'Cálculos'!$F$98)/(('Cálculos'!$F$199+(($B$225)-$A215)*'Cálculos'!$F$98)+1400)+'Cálculos'!$F$122)*'Cálculos'!$F$260+'Cálculos'!$F$125*(1+2.78*('Cálculos'!$F$199+(($B$225)-$A215)*'Cálculos'!$F$98)/(('Cálculos'!$F$199+(($B$225)-$A215)*'Cálculos'!$F$98)+1400)+'Cálculos'!$F$123)*'Cálculos'!$F$265)+('Cálculos'!$F$201*(1+'Cálculos'!$F$202+$A215*('Cálculos'!$F$290=2)*'Cálculos'!$F$101)+'Cálculos'!$F$203)*('Cálculos'!$F$256+'Cálculos'!$F$124*(1+2.78*('Cálculos'!$F$199+(($B$225)-$A215)*'Cálculos'!$F$98)/(('Cálculos'!$F$199+(($B$225)-$A215)*'Cálculos'!$F$98)+1400)+'Cálculos'!$F$122)*'Cálculos'!$F$261+'Cálculos'!$F$125*(1+2.78*('Cálculos'!$F$199+(($B$225)-$A215)*'Cálculos'!$F$98)/(('Cálculos'!$F$199+(($B$225)-$A215)*'Cálculos'!$F$98)+1400)+'Cálculos'!$F$123)*'Cálculos'!$F$266)+('Cálculos'!$F$204*(1+'Cálculos'!$F$205+$A215*('Cálculos'!$F$290=3)*'Cálculos'!$F$103)+'Cálculos'!$F$206)*('Cálculos'!$F$257+'Cálculos'!$F$124*(1+2.78*('Cálculos'!$F$199+(($B$225)-$A215)*'Cálculos'!$F$98)/(('Cálculos'!$F$199+(($B$225)-$A215)*'Cálculos'!$F$98)+1400)+'Cálculos'!$F$122)*'Cálculos'!$F$262+'Cálculos'!$F$125*(1+2.78*('Cálculos'!$F$199+(($B$225)-$A215)*'Cálculos'!$F$98)/(('Cálculos'!$F$199+(($B$225)-$A215)*'Cálculos'!$F$98)+1400)+'Cálculos'!$F$123)*'Cálculos'!$F$267)+('Cálculos'!$F$185*(1+'Cálculos'!$F$190+$A215*('Cálculos'!$F$290=1)*'Cálculos'!$F$97+'Cálculos'!$F$305)+'Cálculos'!$F$195)*('Cálculos'!$F$269+'Cálculos'!$F$124*(1+2.78*('Cálculos'!$F$200+(($B$225)-$A215)*'Cálculos'!$F$98)/(('Cálculos'!$F$200+(($B$225)-$A215)*'Cálculos'!$F$98)+1400)+'Cálculos'!$F$122)*'Cálculos'!$F$274+'Cálculos'!$F$125*(1+2.78*('Cálculos'!$F$200+(($B$225)-$A215)*'Cálculos'!$F$98)/(('Cálculos'!$F$200+(($B$225)-$A215)*'Cálculos'!$F$98)+1400)+'Cálculos'!$F$123)*'Cálculos'!$F$279)+('Cálculos'!$F$200+(($B$225)-$A215)*'Cálculos'!$F$98)*('Cálculos'!$F$270+'Cálculos'!$F$124*(1+2.78*('Cálculos'!$F$200+(($B$225)-$A215)*'Cálculos'!$F$98)/(('Cálculos'!$F$200+(($B$225)-$A215)*'Cálculos'!$F$98)+1400)+'Cálculos'!$F$122)*'Cálculos'!$F$275+'Cálculos'!$F$125*(1+2.78*('Cálculos'!$F$200+(($B$225)-$A215)*'Cálculos'!$F$98)/(('Cálculos'!$F$200+(($B$225)-$A215)*'Cálculos'!$F$98)+1400)+'Cálculos'!$F$123)*'Cálculos'!$F$280)+('Cálculos'!$F$201*(1+'Cálculos'!$F$202+$A215*('Cálculos'!$F$290=2)*'Cálculos'!$F$101)+'Cálculos'!$F$203)*('Cálculos'!$F$271+'Cálculos'!$F$124*(1+2.78*('Cálculos'!$F$200+(($B$225)-$A215)*'Cálculos'!$F$98)/(('Cálculos'!$F$200+(($B$225)-$A215)*'Cálculos'!$F$98)+1400)+'Cálculos'!$F$122)*'Cálculos'!$F$276+'Cálculos'!$F$125*(1+2.78*('Cálculos'!$F$200+(($B$225)-$A215)*'Cálculos'!$F$98)/(('Cálculos'!$F$200+(($B$225)-$A215)*'Cálculos'!$F$98)+1400)+'Cálculos'!$F$123)*'Cálculos'!$F$281)+('Cálculos'!$F$204*(1+'Cálculos'!$F$205+$A215*('Cálculos'!$F$290=3)*'Cálculos'!$F$103)+'Cálculos'!$F$206)*('Cálculos'!$F$272+'Cálculos'!$F$124*(1+2.78*('Cálculos'!$F$200+(($B$225)-$A215)*'Cálculos'!$F$98)/(('Cálculos'!$F$200+(($B$225)-$A215)*'Cálculos'!$F$98)+1400)+'Cálculos'!$F$122)*'Cálculos'!$F$277+'Cálculos'!$F$125*(1+2.78*('Cálculos'!$F$200+(($B$225)-$A215)*'Cálculos'!$F$98)/(('Cálculos'!$F$200+(($B$225)-$A215)*'Cálculos'!$F$98)+1400)+'Cálculos'!$F$123)*'Cálculos'!$F$282)))</f>
        <v>0</v>
      </c>
    </row>
    <row r="216" ht="15.75" customHeight="1">
      <c r="A216" s="2">
        <v>39.0</v>
      </c>
      <c r="B216" s="30">
        <f>SUMPRODUCT(MAX(($A$177:$A$222&lt;=$A216)*($A$177:$A$222&lt;='Cálculos'!$F$294)*(($A216)-$A$177:$A$222&lt;='Cálculos'!$F$295)*(1+(('Cálculos'!$F$207+$A$177:$A$222*'Cálculos'!$F$95)-(('Cálculos'!$F$207+$A$177:$A$222*'Cálculos'!$F$95)&gt;1)*(('Cálculos'!$F$207+$A$177:$A$222*'Cálculos'!$F$95)-1))*('Cálculos'!$F$208+(($A216)-$A$177:$A$222)*'Cálculos'!$F$96))))</f>
        <v>3.6923</v>
      </c>
      <c r="C216" s="2">
        <f>'Cálculos'!$F$303-$A216</f>
        <v>-21</v>
      </c>
      <c r="D216" s="31">
        <f>IF($C216&lt;0,0,SUMPRODUCT(MAX(($A$177:$A$222&lt;=$C216)*($A$177:$A$222&lt;='Cálculos'!$F$301)*(($C216)-$A$177:$A$222&lt;='Cálculos'!$F$297)*(('Cálculos'!$F$185*(1+'Cálculos'!$F$186+$A$177:$A$222*('Cálculos'!$F$290=1)*'Cálculos'!$F$97+'Cálculos'!$F$305)+'Cálculos'!$F$191)*('Cálculos'!$F$209+'Cálculos'!$F$124*(1+2.78*('Cálculos'!$F$196+(($C216)-$A$177:$A$222)*'Cálculos'!$F$98)/(('Cálculos'!$F$196+(($C216)-$A$177:$A$222)*'Cálculos'!$F$98)+1400)+'Cálculos'!$F$122)*'Cálculos'!$F$214+'Cálculos'!$F$125*(1+2.78*('Cálculos'!$F$196+(($C216)-$A$177:$A$222)*'Cálculos'!$F$98)/(('Cálculos'!$F$196+(($C216)-$A$177:$A$222)*'Cálculos'!$F$98)+1400)+'Cálculos'!$F$123)*'Cálculos'!$F$219)+('Cálculos'!$F$196+(($C216)-$A$177:$A$222)*'Cálculos'!$F$98)*('Cálculos'!$F$210+'Cálculos'!$F$124*(1+2.78*('Cálculos'!$F$196+(($C216)-$A$177:$A$222)*'Cálculos'!$F$98)/(('Cálculos'!$F$196+(($C216)-$A$177:$A$222)*'Cálculos'!$F$98)+1400)+'Cálculos'!$F$122)*'Cálculos'!$F$215+'Cálculos'!$F$125*(1+2.78*('Cálculos'!$F$196+(($C216)-$A$177:$A$222)*'Cálculos'!$F$98)/(('Cálculos'!$F$196+(($C216)-$A$177:$A$222)*'Cálculos'!$F$98)+1400)+'Cálculos'!$F$123)*'Cálculos'!$F$220)+('Cálculos'!$F$201*(1+'Cálculos'!$F$202+$A$177:$A$222*('Cálculos'!$F$290=2)*'Cálculos'!$F$101)+'Cálculos'!$F$203)*('Cálculos'!$F$211+'Cálculos'!$F$124*(1+2.78*('Cálculos'!$F$196+(($C216)-$A$177:$A$222)*'Cálculos'!$F$98)/(('Cálculos'!$F$196+(($C216)-$A$177:$A$222)*'Cálculos'!$F$98)+1400)+'Cálculos'!$F$122)*'Cálculos'!$F$216+'Cálculos'!$F$125*(1+2.78*('Cálculos'!$F$196+(($C216)-$A$177:$A$222)*'Cálculos'!$F$98)/(('Cálculos'!$F$196+(($C216)-$A$177:$A$222)*'Cálculos'!$F$98)+1400)+'Cálculos'!$F$123)*'Cálculos'!$F$221)+('Cálculos'!$F$204*(1+'Cálculos'!$F$205+$A$177:$A$222*('Cálculos'!$F$290=3)*'Cálculos'!$F$103)+'Cálculos'!$F$206)*('Cálculos'!$F$212+'Cálculos'!$F$124*(1+2.78*('Cálculos'!$F$196+(($C216)-$A$177:$A$222)*'Cálculos'!$F$98)/(('Cálculos'!$F$196+(($C216)-$A$177:$A$222)*'Cálculos'!$F$98)+1400)+'Cálculos'!$F$122)*'Cálculos'!$F$217+'Cálculos'!$F$125*(1+2.78*('Cálculos'!$F$196+(($C216)-$A$177:$A$222)*'Cálculos'!$F$98)/(('Cálculos'!$F$196+(($C216)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216)-$A$177:$A$222)*'Cálculos'!$F$98)/(('Cálculos'!$F$197+(($C216)-$A$177:$A$222)*'Cálculos'!$F$98)+1400)+'Cálculos'!$F$122)*'Cálculos'!$F$229+'Cálculos'!$F$125*(1+2.78*('Cálculos'!$F$197+(($C216)-$A$177:$A$222)*'Cálculos'!$F$98)/(('Cálculos'!$F$197+(($C216)-$A$177:$A$222)*'Cálculos'!$F$98)+1400)+'Cálculos'!$F$123)*'Cálculos'!$F$234)+('Cálculos'!$F$197+(($C216)-$A$177:$A$222)*'Cálculos'!$F$98)*('Cálculos'!$F$225+'Cálculos'!$F$124*(1+2.78*('Cálculos'!$F$197+(($C216)-$A$177:$A$222)*'Cálculos'!$F$98)/(('Cálculos'!$F$197+(($C216)-$A$177:$A$222)*'Cálculos'!$F$98)+1400)+'Cálculos'!$F$122)*'Cálculos'!$F$230+'Cálculos'!$F$125*(1+2.78*('Cálculos'!$F$197+(($C216)-$A$177:$A$222)*'Cálculos'!$F$98)/(('Cálculos'!$F$197+(($C216)-$A$177:$A$222)*'Cálculos'!$F$98)+1400)+'Cálculos'!$F$123)*'Cálculos'!$F$235)+('Cálculos'!$F$201*(1+'Cálculos'!$F$202+$A$177:$A$222*('Cálculos'!$F$290=2)*'Cálculos'!$F$101)+'Cálculos'!$F$203)*('Cálculos'!$F$226+'Cálculos'!$F$124*(1+2.78*('Cálculos'!$F$197+(($C216)-$A$177:$A$222)*'Cálculos'!$F$98)/(('Cálculos'!$F$197+(($C216)-$A$177:$A$222)*'Cálculos'!$F$98)+1400)+'Cálculos'!$F$122)*'Cálculos'!$F$231+'Cálculos'!$F$125*(1+2.78*('Cálculos'!$F$197+(($C216)-$A$177:$A$222)*'Cálculos'!$F$98)/(('Cálculos'!$F$197+(($C216)-$A$177:$A$222)*'Cálculos'!$F$98)+1400)+'Cálculos'!$F$123)*'Cálculos'!$F$236)+('Cálculos'!$F$204*(1+'Cálculos'!$F$205+$A$177:$A$222*('Cálculos'!$F$290=3)*'Cálculos'!$F$103)+'Cálculos'!$F$206)*('Cálculos'!$F$227+'Cálculos'!$F$124*(1+2.78*('Cálculos'!$F$197+(($C216)-$A$177:$A$222)*'Cálculos'!$F$98)/(('Cálculos'!$F$197+(($C216)-$A$177:$A$222)*'Cálculos'!$F$98)+1400)+'Cálculos'!$F$122)*'Cálculos'!$F$232+'Cálculos'!$F$125*(1+2.78*('Cálculos'!$F$197+(($C216)-$A$177:$A$222)*'Cálculos'!$F$98)/(('Cálculos'!$F$197+(($C216)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216)-$A$177:$A$222)*'Cálculos'!$F$98)/(('Cálculos'!$F$198+(($C216)-$A$177:$A$222)*'Cálculos'!$F$98)+1400)+'Cálculos'!$F$122)*'Cálculos'!$F$244+'Cálculos'!$F$125*(1+2.78*('Cálculos'!$F$198+(($C216)-$A$177:$A$222)*'Cálculos'!$F$98)/(('Cálculos'!$F$198+(($C216)-$A$177:$A$222)*'Cálculos'!$F$98)+1400)+'Cálculos'!$F$123)*'Cálculos'!$F$249)+('Cálculos'!$F$198+(($C216)-$A$177:$A$222)*'Cálculos'!$F$98)*('Cálculos'!$F$240+'Cálculos'!$F$124*(1+2.78*('Cálculos'!$F$198+(($C216)-$A$177:$A$222)*'Cálculos'!$F$98)/(('Cálculos'!$F$198+(($C216)-$A$177:$A$222)*'Cálculos'!$F$98)+1400)+'Cálculos'!$F$122)*'Cálculos'!$F$245+'Cálculos'!$F$125*(1+2.78*('Cálculos'!$F$198+(($C216)-$A$177:$A$222)*'Cálculos'!$F$98)/(('Cálculos'!$F$198+(($C216)-$A$177:$A$222)*'Cálculos'!$F$98)+1400)+'Cálculos'!$F$123)*'Cálculos'!$F$250)+('Cálculos'!$F$201*(1+'Cálculos'!$F$202+$A$177:$A$222*('Cálculos'!$F$290=2)*'Cálculos'!$F$101)+'Cálculos'!$F$203)*('Cálculos'!$F$241+'Cálculos'!$F$124*(1+2.78*('Cálculos'!$F$198+(($C216)-$A$177:$A$222)*'Cálculos'!$F$98)/(('Cálculos'!$F$198+(($C216)-$A$177:$A$222)*'Cálculos'!$F$98)+1400)+'Cálculos'!$F$122)*'Cálculos'!$F$246+'Cálculos'!$F$125*(1+2.78*('Cálculos'!$F$198+(($C216)-$A$177:$A$222)*'Cálculos'!$F$98)/(('Cálculos'!$F$198+(($C216)-$A$177:$A$222)*'Cálculos'!$F$98)+1400)+'Cálculos'!$F$123)*'Cálculos'!$F$251)+('Cálculos'!$F$204*(1+'Cálculos'!$F$205+$A$177:$A$222*('Cálculos'!$F$290=3)*'Cálculos'!$F$103)+'Cálculos'!$F$206)*('Cálculos'!$F$242+'Cálculos'!$F$124*(1+2.78*('Cálculos'!$F$198+(($C216)-$A$177:$A$222)*'Cálculos'!$F$98)/(('Cálculos'!$F$198+(($C216)-$A$177:$A$222)*'Cálculos'!$F$98)+1400)+'Cálculos'!$F$122)*'Cálculos'!$F$247+'Cálculos'!$F$125*(1+2.78*('Cálculos'!$F$198+(($C216)-$A$177:$A$222)*'Cálculos'!$F$98)/(('Cálculos'!$F$198+(($C216)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216)-$A$177:$A$222)*'Cálculos'!$F$98)/(('Cálculos'!$F$199+(($C216)-$A$177:$A$222)*'Cálculos'!$F$98)+1400)+'Cálculos'!$F$122)*'Cálculos'!$F$259+'Cálculos'!$F$125*(1+2.78*('Cálculos'!$F$199+(($C216)-$A$177:$A$222)*'Cálculos'!$F$98)/(('Cálculos'!$F$199+(($C216)-$A$177:$A$222)*'Cálculos'!$F$98)+1400)+'Cálculos'!$F$123)*'Cálculos'!$F$264)+('Cálculos'!$F$199+(($C216)-$A$177:$A$222)*'Cálculos'!$F$98)*('Cálculos'!$F$255+'Cálculos'!$F$124*(1+2.78*('Cálculos'!$F$199+(($C216)-$A$177:$A$222)*'Cálculos'!$F$98)/(('Cálculos'!$F$199+(($C216)-$A$177:$A$222)*'Cálculos'!$F$98)+1400)+'Cálculos'!$F$122)*'Cálculos'!$F$260+'Cálculos'!$F$125*(1+2.78*('Cálculos'!$F$199+(($C216)-$A$177:$A$222)*'Cálculos'!$F$98)/(('Cálculos'!$F$199+(($C216)-$A$177:$A$222)*'Cálculos'!$F$98)+1400)+'Cálculos'!$F$123)*'Cálculos'!$F$265)+('Cálculos'!$F$201*(1+'Cálculos'!$F$202+$A$177:$A$222*('Cálculos'!$F$290=2)*'Cálculos'!$F$101)+'Cálculos'!$F$203)*('Cálculos'!$F$256+'Cálculos'!$F$124*(1+2.78*('Cálculos'!$F$199+(($C216)-$A$177:$A$222)*'Cálculos'!$F$98)/(('Cálculos'!$F$199+(($C216)-$A$177:$A$222)*'Cálculos'!$F$98)+1400)+'Cálculos'!$F$122)*'Cálculos'!$F$261+'Cálculos'!$F$125*(1+2.78*('Cálculos'!$F$199+(($C216)-$A$177:$A$222)*'Cálculos'!$F$98)/(('Cálculos'!$F$199+(($C216)-$A$177:$A$222)*'Cálculos'!$F$98)+1400)+'Cálculos'!$F$123)*'Cálculos'!$F$266)+('Cálculos'!$F$204*(1+'Cálculos'!$F$205+$A$177:$A$222*('Cálculos'!$F$290=3)*'Cálculos'!$F$103)+'Cálculos'!$F$206)*('Cálculos'!$F$257+'Cálculos'!$F$124*(1+2.78*('Cálculos'!$F$199+(($C216)-$A$177:$A$222)*'Cálculos'!$F$98)/(('Cálculos'!$F$199+(($C216)-$A$177:$A$222)*'Cálculos'!$F$98)+1400)+'Cálculos'!$F$122)*'Cálculos'!$F$262+'Cálculos'!$F$125*(1+2.78*('Cálculos'!$F$199+(($C216)-$A$177:$A$222)*'Cálculos'!$F$98)/(('Cálculos'!$F$199+(($C216)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216)-$A$177:$A$222)*'Cálculos'!$F$98)/(('Cálculos'!$F$200+(($C216)-$A$177:$A$222)*'Cálculos'!$F$98)+1400)+'Cálculos'!$F$122)*'Cálculos'!$F$274+'Cálculos'!$F$125*(1+2.78*('Cálculos'!$F$200+(($C216)-$A$177:$A$222)*'Cálculos'!$F$98)/(('Cálculos'!$F$200+(($C216)-$A$177:$A$222)*'Cálculos'!$F$98)+1400)+'Cálculos'!$F$123)*'Cálculos'!$F$279)+('Cálculos'!$F$200+(($C216)-$A$177:$A$222)*'Cálculos'!$F$98)*('Cálculos'!$F$270+'Cálculos'!$F$124*(1+2.78*('Cálculos'!$F$200+(($C216)-$A$177:$A$222)*'Cálculos'!$F$98)/(('Cálculos'!$F$200+(($C216)-$A$177:$A$222)*'Cálculos'!$F$98)+1400)+'Cálculos'!$F$122)*'Cálculos'!$F$275+'Cálculos'!$F$125*(1+2.78*('Cálculos'!$F$200+(($C216)-$A$177:$A$222)*'Cálculos'!$F$98)/(('Cálculos'!$F$200+(($C216)-$A$177:$A$222)*'Cálculos'!$F$98)+1400)+'Cálculos'!$F$123)*'Cálculos'!$F$280)+('Cálculos'!$F$201*(1+'Cálculos'!$F$202+$A$177:$A$222*('Cálculos'!$F$290=2)*'Cálculos'!$F$101)+'Cálculos'!$F$203)*('Cálculos'!$F$271+'Cálculos'!$F$124*(1+2.78*('Cálculos'!$F$200+(($C216)-$A$177:$A$222)*'Cálculos'!$F$98)/(('Cálculos'!$F$200+(($C216)-$A$177:$A$222)*'Cálculos'!$F$98)+1400)+'Cálculos'!$F$122)*'Cálculos'!$F$276+'Cálculos'!$F$125*(1+2.78*('Cálculos'!$F$200+(($C216)-$A$177:$A$222)*'Cálculos'!$F$98)/(('Cálculos'!$F$200+(($C216)-$A$177:$A$222)*'Cálculos'!$F$98)+1400)+'Cálculos'!$F$123)*'Cálculos'!$F$281)+('Cálculos'!$F$204*(1+'Cálculos'!$F$205+$A$177:$A$222*('Cálculos'!$F$290=3)*'Cálculos'!$F$103)+'Cálculos'!$F$206)*('Cálculos'!$F$272+'Cálculos'!$F$124*(1+2.78*('Cálculos'!$F$200+(($C216)-$A$177:$A$222)*'Cálculos'!$F$98)/(('Cálculos'!$F$200+(($C216)-$A$177:$A$222)*'Cálculos'!$F$98)+1400)+'Cálculos'!$F$122)*'Cálculos'!$F$277+'Cálculos'!$F$125*(1+2.78*('Cálculos'!$F$200+(($C216)-$A$177:$A$222)*'Cálculos'!$F$98)/(('Cálculos'!$F$200+(($C216)-$A$177:$A$222)*'Cálculos'!$F$98)+1400)+'Cálculos'!$F$123)*'Cálculos'!$F$282)))))</f>
        <v>0</v>
      </c>
      <c r="E216" s="32">
        <f>IF(OR($C216&lt;0,'Cálculos'!$F$6=""),0,$B216*$D216)</f>
        <v>0</v>
      </c>
      <c r="F216" s="2"/>
      <c r="G216" s="30">
        <f>($A216&lt;=$B$224)*($A216&lt;='Cálculos'!$F$294)*(($B$224)-$A216&lt;='Cálculos'!$F$295)*(1+MIN(('Cálculos'!$F$207+$A216*'Cálculos'!$F$95),1)*('Cálculos'!$F$208+(($B$224)-$A216)*'Cálculos'!$F$96))</f>
        <v>0</v>
      </c>
      <c r="H216" s="31">
        <f>IF($B$225&lt;0,0,($A216&lt;=$B$225)*($A216&lt;='Cálculos'!$F$301)*(($B$225)-$A216&lt;='Cálculos'!$F$297)*(('Cálculos'!$F$185*(1+'Cálculos'!$F$186+$A216*('Cálculos'!$F$290=1)*'Cálculos'!$F$97+'Cálculos'!$F$305)+'Cálculos'!$F$191)*('Cálculos'!$F$209+'Cálculos'!$F$124*(1+2.78*('Cálculos'!$F$196+(($B$225)-$A216)*'Cálculos'!$F$98)/(('Cálculos'!$F$196+(($B$225)-$A216)*'Cálculos'!$F$98)+1400)+'Cálculos'!$F$122)*'Cálculos'!$F$214+'Cálculos'!$F$125*(1+2.78*('Cálculos'!$F$196+(($B$225)-$A216)*'Cálculos'!$F$98)/(('Cálculos'!$F$196+(($B$225)-$A216)*'Cálculos'!$F$98)+1400)+'Cálculos'!$F$123)*'Cálculos'!$F$219)+('Cálculos'!$F$196+(($B$225)-$A216)*'Cálculos'!$F$98)*('Cálculos'!$F$210+'Cálculos'!$F$124*(1+2.78*('Cálculos'!$F$196+(($B$225)-$A216)*'Cálculos'!$F$98)/(('Cálculos'!$F$196+(($B$225)-$A216)*'Cálculos'!$F$98)+1400)+'Cálculos'!$F$122)*'Cálculos'!$F$215+'Cálculos'!$F$125*(1+2.78*('Cálculos'!$F$196+(($B$225)-$A216)*'Cálculos'!$F$98)/(('Cálculos'!$F$196+(($B$225)-$A216)*'Cálculos'!$F$98)+1400)+'Cálculos'!$F$123)*'Cálculos'!$F$220)+('Cálculos'!$F$201*(1+'Cálculos'!$F$202+$A216*('Cálculos'!$F$290=2)*'Cálculos'!$F$101)+'Cálculos'!$F$203)*('Cálculos'!$F$211+'Cálculos'!$F$124*(1+2.78*('Cálculos'!$F$196+(($B$225)-$A216)*'Cálculos'!$F$98)/(('Cálculos'!$F$196+(($B$225)-$A216)*'Cálculos'!$F$98)+1400)+'Cálculos'!$F$122)*'Cálculos'!$F$216+'Cálculos'!$F$125*(1+2.78*('Cálculos'!$F$196+(($B$225)-$A216)*'Cálculos'!$F$98)/(('Cálculos'!$F$196+(($B$225)-$A216)*'Cálculos'!$F$98)+1400)+'Cálculos'!$F$123)*'Cálculos'!$F$221)+('Cálculos'!$F$204*(1+'Cálculos'!$F$205+$A216*('Cálculos'!$F$290=3)*'Cálculos'!$F$103)+'Cálculos'!$F$206)*('Cálculos'!$F$212+'Cálculos'!$F$124*(1+2.78*('Cálculos'!$F$196+(($B$225)-$A216)*'Cálculos'!$F$98)/(('Cálculos'!$F$196+(($B$225)-$A216)*'Cálculos'!$F$98)+1400)+'Cálculos'!$F$122)*'Cálculos'!$F$217+'Cálculos'!$F$125*(1+2.78*('Cálculos'!$F$196+(($B$225)-$A216)*'Cálculos'!$F$98)/(('Cálculos'!$F$196+(($B$225)-$A216)*'Cálculos'!$F$98)+1400)+'Cálculos'!$F$123)*'Cálculos'!$F$222)+('Cálculos'!$F$185*(1+'Cálculos'!$F$187+$A216*('Cálculos'!$F$290=1)*'Cálculos'!$F$97+'Cálculos'!$F$305)+'Cálculos'!$F$192)*('Cálculos'!$F$224+'Cálculos'!$F$124*(1+2.78*('Cálculos'!$F$197+(($B$225)-$A216)*'Cálculos'!$F$98)/(('Cálculos'!$F$197+(($B$225)-$A216)*'Cálculos'!$F$98)+1400)+'Cálculos'!$F$122)*'Cálculos'!$F$229+'Cálculos'!$F$125*(1+2.78*('Cálculos'!$F$197+(($B$225)-$A216)*'Cálculos'!$F$98)/(('Cálculos'!$F$197+(($B$225)-$A216)*'Cálculos'!$F$98)+1400)+'Cálculos'!$F$123)*'Cálculos'!$F$234)+('Cálculos'!$F$197+(($B$225)-$A216)*'Cálculos'!$F$98)*('Cálculos'!$F$225+'Cálculos'!$F$124*(1+2.78*('Cálculos'!$F$197+(($B$225)-$A216)*'Cálculos'!$F$98)/(('Cálculos'!$F$197+(($B$225)-$A216)*'Cálculos'!$F$98)+1400)+'Cálculos'!$F$122)*'Cálculos'!$F$230+'Cálculos'!$F$125*(1+2.78*('Cálculos'!$F$197+(($B$225)-$A216)*'Cálculos'!$F$98)/(('Cálculos'!$F$197+(($B$225)-$A216)*'Cálculos'!$F$98)+1400)+'Cálculos'!$F$123)*'Cálculos'!$F$235)+('Cálculos'!$F$201*(1+'Cálculos'!$F$202+$A216*('Cálculos'!$F$290=2)*'Cálculos'!$F$101)+'Cálculos'!$F$203)*('Cálculos'!$F$226+'Cálculos'!$F$124*(1+2.78*('Cálculos'!$F$197+(($B$225)-$A216)*'Cálculos'!$F$98)/(('Cálculos'!$F$197+(($B$225)-$A216)*'Cálculos'!$F$98)+1400)+'Cálculos'!$F$122)*'Cálculos'!$F$231+'Cálculos'!$F$125*(1+2.78*('Cálculos'!$F$197+(($B$225)-$A216)*'Cálculos'!$F$98)/(('Cálculos'!$F$197+(($B$225)-$A216)*'Cálculos'!$F$98)+1400)+'Cálculos'!$F$123)*'Cálculos'!$F$236)+('Cálculos'!$F$204*(1+'Cálculos'!$F$205+$A216*('Cálculos'!$F$290=3)*'Cálculos'!$F$103)+'Cálculos'!$F$206)*('Cálculos'!$F$227+'Cálculos'!$F$124*(1+2.78*('Cálculos'!$F$197+(($B$225)-$A216)*'Cálculos'!$F$98)/(('Cálculos'!$F$197+(($B$225)-$A216)*'Cálculos'!$F$98)+1400)+'Cálculos'!$F$122)*'Cálculos'!$F$232+'Cálculos'!$F$125*(1+2.78*('Cálculos'!$F$197+(($B$225)-$A216)*'Cálculos'!$F$98)/(('Cálculos'!$F$197+(($B$225)-$A216)*'Cálculos'!$F$98)+1400)+'Cálculos'!$F$123)*'Cálculos'!$F$237)+('Cálculos'!$F$185*(1+'Cálculos'!$F$188+$A216*('Cálculos'!$F$290=1)*'Cálculos'!$F$97+'Cálculos'!$F$305)+'Cálculos'!$F$193)*('Cálculos'!$F$239+'Cálculos'!$F$124*(1+2.78*('Cálculos'!$F$198+(($B$225)-$A216)*'Cálculos'!$F$98)/(('Cálculos'!$F$198+(($B$225)-$A216)*'Cálculos'!$F$98)+1400)+'Cálculos'!$F$122)*'Cálculos'!$F$244+'Cálculos'!$F$125*(1+2.78*('Cálculos'!$F$198+(($B$225)-$A216)*'Cálculos'!$F$98)/(('Cálculos'!$F$198+(($B$225)-$A216)*'Cálculos'!$F$98)+1400)+'Cálculos'!$F$123)*'Cálculos'!$F$249)+('Cálculos'!$F$198+(($B$225)-$A216)*'Cálculos'!$F$98)*('Cálculos'!$F$240+'Cálculos'!$F$124*(1+2.78*('Cálculos'!$F$198+(($B$225)-$A216)*'Cálculos'!$F$98)/(('Cálculos'!$F$198+(($B$225)-$A216)*'Cálculos'!$F$98)+1400)+'Cálculos'!$F$122)*'Cálculos'!$F$245+'Cálculos'!$F$125*(1+2.78*('Cálculos'!$F$198+(($B$225)-$A216)*'Cálculos'!$F$98)/(('Cálculos'!$F$198+(($B$225)-$A216)*'Cálculos'!$F$98)+1400)+'Cálculos'!$F$123)*'Cálculos'!$F$250)+('Cálculos'!$F$201*(1+'Cálculos'!$F$202+$A216*('Cálculos'!$F$290=2)*'Cálculos'!$F$101)+'Cálculos'!$F$203)*('Cálculos'!$F$241+'Cálculos'!$F$124*(1+2.78*('Cálculos'!$F$198+(($B$225)-$A216)*'Cálculos'!$F$98)/(('Cálculos'!$F$198+(($B$225)-$A216)*'Cálculos'!$F$98)+1400)+'Cálculos'!$F$122)*'Cálculos'!$F$246+'Cálculos'!$F$125*(1+2.78*('Cálculos'!$F$198+(($B$225)-$A216)*'Cálculos'!$F$98)/(('Cálculos'!$F$198+(($B$225)-$A216)*'Cálculos'!$F$98)+1400)+'Cálculos'!$F$123)*'Cálculos'!$F$251)+('Cálculos'!$F$204*(1+'Cálculos'!$F$205+$A216*('Cálculos'!$F$290=3)*'Cálculos'!$F$103)+'Cálculos'!$F$206)*('Cálculos'!$F$242+'Cálculos'!$F$124*(1+2.78*('Cálculos'!$F$198+(($B$225)-$A216)*'Cálculos'!$F$98)/(('Cálculos'!$F$198+(($B$225)-$A216)*'Cálculos'!$F$98)+1400)+'Cálculos'!$F$122)*'Cálculos'!$F$247+'Cálculos'!$F$125*(1+2.78*('Cálculos'!$F$198+(($B$225)-$A216)*'Cálculos'!$F$98)/(('Cálculos'!$F$198+(($B$225)-$A216)*'Cálculos'!$F$98)+1400)+'Cálculos'!$F$123)*'Cálculos'!$F$252)+('Cálculos'!$F$185*(1+'Cálculos'!$F$189+$A216*('Cálculos'!$F$290=1)*'Cálculos'!$F$97+'Cálculos'!$F$305)+'Cálculos'!$F$194)*('Cálculos'!$F$254+'Cálculos'!$F$124*(1+2.78*('Cálculos'!$F$199+(($B$225)-$A216)*'Cálculos'!$F$98)/(('Cálculos'!$F$199+(($B$225)-$A216)*'Cálculos'!$F$98)+1400)+'Cálculos'!$F$122)*'Cálculos'!$F$259+'Cálculos'!$F$125*(1+2.78*('Cálculos'!$F$199+(($B$225)-$A216)*'Cálculos'!$F$98)/(('Cálculos'!$F$199+(($B$225)-$A216)*'Cálculos'!$F$98)+1400)+'Cálculos'!$F$123)*'Cálculos'!$F$264)+('Cálculos'!$F$199+(($B$225)-$A216)*'Cálculos'!$F$98)*('Cálculos'!$F$255+'Cálculos'!$F$124*(1+2.78*('Cálculos'!$F$199+(($B$225)-$A216)*'Cálculos'!$F$98)/(('Cálculos'!$F$199+(($B$225)-$A216)*'Cálculos'!$F$98)+1400)+'Cálculos'!$F$122)*'Cálculos'!$F$260+'Cálculos'!$F$125*(1+2.78*('Cálculos'!$F$199+(($B$225)-$A216)*'Cálculos'!$F$98)/(('Cálculos'!$F$199+(($B$225)-$A216)*'Cálculos'!$F$98)+1400)+'Cálculos'!$F$123)*'Cálculos'!$F$265)+('Cálculos'!$F$201*(1+'Cálculos'!$F$202+$A216*('Cálculos'!$F$290=2)*'Cálculos'!$F$101)+'Cálculos'!$F$203)*('Cálculos'!$F$256+'Cálculos'!$F$124*(1+2.78*('Cálculos'!$F$199+(($B$225)-$A216)*'Cálculos'!$F$98)/(('Cálculos'!$F$199+(($B$225)-$A216)*'Cálculos'!$F$98)+1400)+'Cálculos'!$F$122)*'Cálculos'!$F$261+'Cálculos'!$F$125*(1+2.78*('Cálculos'!$F$199+(($B$225)-$A216)*'Cálculos'!$F$98)/(('Cálculos'!$F$199+(($B$225)-$A216)*'Cálculos'!$F$98)+1400)+'Cálculos'!$F$123)*'Cálculos'!$F$266)+('Cálculos'!$F$204*(1+'Cálculos'!$F$205+$A216*('Cálculos'!$F$290=3)*'Cálculos'!$F$103)+'Cálculos'!$F$206)*('Cálculos'!$F$257+'Cálculos'!$F$124*(1+2.78*('Cálculos'!$F$199+(($B$225)-$A216)*'Cálculos'!$F$98)/(('Cálculos'!$F$199+(($B$225)-$A216)*'Cálculos'!$F$98)+1400)+'Cálculos'!$F$122)*'Cálculos'!$F$262+'Cálculos'!$F$125*(1+2.78*('Cálculos'!$F$199+(($B$225)-$A216)*'Cálculos'!$F$98)/(('Cálculos'!$F$199+(($B$225)-$A216)*'Cálculos'!$F$98)+1400)+'Cálculos'!$F$123)*'Cálculos'!$F$267)+('Cálculos'!$F$185*(1+'Cálculos'!$F$190+$A216*('Cálculos'!$F$290=1)*'Cálculos'!$F$97+'Cálculos'!$F$305)+'Cálculos'!$F$195)*('Cálculos'!$F$269+'Cálculos'!$F$124*(1+2.78*('Cálculos'!$F$200+(($B$225)-$A216)*'Cálculos'!$F$98)/(('Cálculos'!$F$200+(($B$225)-$A216)*'Cálculos'!$F$98)+1400)+'Cálculos'!$F$122)*'Cálculos'!$F$274+'Cálculos'!$F$125*(1+2.78*('Cálculos'!$F$200+(($B$225)-$A216)*'Cálculos'!$F$98)/(('Cálculos'!$F$200+(($B$225)-$A216)*'Cálculos'!$F$98)+1400)+'Cálculos'!$F$123)*'Cálculos'!$F$279)+('Cálculos'!$F$200+(($B$225)-$A216)*'Cálculos'!$F$98)*('Cálculos'!$F$270+'Cálculos'!$F$124*(1+2.78*('Cálculos'!$F$200+(($B$225)-$A216)*'Cálculos'!$F$98)/(('Cálculos'!$F$200+(($B$225)-$A216)*'Cálculos'!$F$98)+1400)+'Cálculos'!$F$122)*'Cálculos'!$F$275+'Cálculos'!$F$125*(1+2.78*('Cálculos'!$F$200+(($B$225)-$A216)*'Cálculos'!$F$98)/(('Cálculos'!$F$200+(($B$225)-$A216)*'Cálculos'!$F$98)+1400)+'Cálculos'!$F$123)*'Cálculos'!$F$280)+('Cálculos'!$F$201*(1+'Cálculos'!$F$202+$A216*('Cálculos'!$F$290=2)*'Cálculos'!$F$101)+'Cálculos'!$F$203)*('Cálculos'!$F$271+'Cálculos'!$F$124*(1+2.78*('Cálculos'!$F$200+(($B$225)-$A216)*'Cálculos'!$F$98)/(('Cálculos'!$F$200+(($B$225)-$A216)*'Cálculos'!$F$98)+1400)+'Cálculos'!$F$122)*'Cálculos'!$F$276+'Cálculos'!$F$125*(1+2.78*('Cálculos'!$F$200+(($B$225)-$A216)*'Cálculos'!$F$98)/(('Cálculos'!$F$200+(($B$225)-$A216)*'Cálculos'!$F$98)+1400)+'Cálculos'!$F$123)*'Cálculos'!$F$281)+('Cálculos'!$F$204*(1+'Cálculos'!$F$205+$A216*('Cálculos'!$F$290=3)*'Cálculos'!$F$103)+'Cálculos'!$F$206)*('Cálculos'!$F$272+'Cálculos'!$F$124*(1+2.78*('Cálculos'!$F$200+(($B$225)-$A216)*'Cálculos'!$F$98)/(('Cálculos'!$F$200+(($B$225)-$A216)*'Cálculos'!$F$98)+1400)+'Cálculos'!$F$122)*'Cálculos'!$F$277+'Cálculos'!$F$125*(1+2.78*('Cálculos'!$F$200+(($B$225)-$A216)*'Cálculos'!$F$98)/(('Cálculos'!$F$200+(($B$225)-$A216)*'Cálculos'!$F$98)+1400)+'Cálculos'!$F$123)*'Cálculos'!$F$282)))</f>
        <v>0</v>
      </c>
    </row>
    <row r="217" ht="15.75" customHeight="1">
      <c r="A217" s="2">
        <v>40.0</v>
      </c>
      <c r="B217" s="30">
        <f>SUMPRODUCT(MAX(($A$177:$A$222&lt;=$A217)*($A$177:$A$222&lt;='Cálculos'!$F$294)*(($A217)-$A$177:$A$222&lt;='Cálculos'!$F$295)*(1+(('Cálculos'!$F$207+$A$177:$A$222*'Cálculos'!$F$95)-(('Cálculos'!$F$207+$A$177:$A$222*'Cálculos'!$F$95)&gt;1)*(('Cálculos'!$F$207+$A$177:$A$222*'Cálculos'!$F$95)-1))*('Cálculos'!$F$208+(($A217)-$A$177:$A$222)*'Cálculos'!$F$96))))</f>
        <v>3.757508</v>
      </c>
      <c r="C217" s="2">
        <f>'Cálculos'!$F$303-$A217</f>
        <v>-22</v>
      </c>
      <c r="D217" s="31">
        <f>IF($C217&lt;0,0,SUMPRODUCT(MAX(($A$177:$A$222&lt;=$C217)*($A$177:$A$222&lt;='Cálculos'!$F$301)*(($C217)-$A$177:$A$222&lt;='Cálculos'!$F$297)*(('Cálculos'!$F$185*(1+'Cálculos'!$F$186+$A$177:$A$222*('Cálculos'!$F$290=1)*'Cálculos'!$F$97+'Cálculos'!$F$305)+'Cálculos'!$F$191)*('Cálculos'!$F$209+'Cálculos'!$F$124*(1+2.78*('Cálculos'!$F$196+(($C217)-$A$177:$A$222)*'Cálculos'!$F$98)/(('Cálculos'!$F$196+(($C217)-$A$177:$A$222)*'Cálculos'!$F$98)+1400)+'Cálculos'!$F$122)*'Cálculos'!$F$214+'Cálculos'!$F$125*(1+2.78*('Cálculos'!$F$196+(($C217)-$A$177:$A$222)*'Cálculos'!$F$98)/(('Cálculos'!$F$196+(($C217)-$A$177:$A$222)*'Cálculos'!$F$98)+1400)+'Cálculos'!$F$123)*'Cálculos'!$F$219)+('Cálculos'!$F$196+(($C217)-$A$177:$A$222)*'Cálculos'!$F$98)*('Cálculos'!$F$210+'Cálculos'!$F$124*(1+2.78*('Cálculos'!$F$196+(($C217)-$A$177:$A$222)*'Cálculos'!$F$98)/(('Cálculos'!$F$196+(($C217)-$A$177:$A$222)*'Cálculos'!$F$98)+1400)+'Cálculos'!$F$122)*'Cálculos'!$F$215+'Cálculos'!$F$125*(1+2.78*('Cálculos'!$F$196+(($C217)-$A$177:$A$222)*'Cálculos'!$F$98)/(('Cálculos'!$F$196+(($C217)-$A$177:$A$222)*'Cálculos'!$F$98)+1400)+'Cálculos'!$F$123)*'Cálculos'!$F$220)+('Cálculos'!$F$201*(1+'Cálculos'!$F$202+$A$177:$A$222*('Cálculos'!$F$290=2)*'Cálculos'!$F$101)+'Cálculos'!$F$203)*('Cálculos'!$F$211+'Cálculos'!$F$124*(1+2.78*('Cálculos'!$F$196+(($C217)-$A$177:$A$222)*'Cálculos'!$F$98)/(('Cálculos'!$F$196+(($C217)-$A$177:$A$222)*'Cálculos'!$F$98)+1400)+'Cálculos'!$F$122)*'Cálculos'!$F$216+'Cálculos'!$F$125*(1+2.78*('Cálculos'!$F$196+(($C217)-$A$177:$A$222)*'Cálculos'!$F$98)/(('Cálculos'!$F$196+(($C217)-$A$177:$A$222)*'Cálculos'!$F$98)+1400)+'Cálculos'!$F$123)*'Cálculos'!$F$221)+('Cálculos'!$F$204*(1+'Cálculos'!$F$205+$A$177:$A$222*('Cálculos'!$F$290=3)*'Cálculos'!$F$103)+'Cálculos'!$F$206)*('Cálculos'!$F$212+'Cálculos'!$F$124*(1+2.78*('Cálculos'!$F$196+(($C217)-$A$177:$A$222)*'Cálculos'!$F$98)/(('Cálculos'!$F$196+(($C217)-$A$177:$A$222)*'Cálculos'!$F$98)+1400)+'Cálculos'!$F$122)*'Cálculos'!$F$217+'Cálculos'!$F$125*(1+2.78*('Cálculos'!$F$196+(($C217)-$A$177:$A$222)*'Cálculos'!$F$98)/(('Cálculos'!$F$196+(($C217)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217)-$A$177:$A$222)*'Cálculos'!$F$98)/(('Cálculos'!$F$197+(($C217)-$A$177:$A$222)*'Cálculos'!$F$98)+1400)+'Cálculos'!$F$122)*'Cálculos'!$F$229+'Cálculos'!$F$125*(1+2.78*('Cálculos'!$F$197+(($C217)-$A$177:$A$222)*'Cálculos'!$F$98)/(('Cálculos'!$F$197+(($C217)-$A$177:$A$222)*'Cálculos'!$F$98)+1400)+'Cálculos'!$F$123)*'Cálculos'!$F$234)+('Cálculos'!$F$197+(($C217)-$A$177:$A$222)*'Cálculos'!$F$98)*('Cálculos'!$F$225+'Cálculos'!$F$124*(1+2.78*('Cálculos'!$F$197+(($C217)-$A$177:$A$222)*'Cálculos'!$F$98)/(('Cálculos'!$F$197+(($C217)-$A$177:$A$222)*'Cálculos'!$F$98)+1400)+'Cálculos'!$F$122)*'Cálculos'!$F$230+'Cálculos'!$F$125*(1+2.78*('Cálculos'!$F$197+(($C217)-$A$177:$A$222)*'Cálculos'!$F$98)/(('Cálculos'!$F$197+(($C217)-$A$177:$A$222)*'Cálculos'!$F$98)+1400)+'Cálculos'!$F$123)*'Cálculos'!$F$235)+('Cálculos'!$F$201*(1+'Cálculos'!$F$202+$A$177:$A$222*('Cálculos'!$F$290=2)*'Cálculos'!$F$101)+'Cálculos'!$F$203)*('Cálculos'!$F$226+'Cálculos'!$F$124*(1+2.78*('Cálculos'!$F$197+(($C217)-$A$177:$A$222)*'Cálculos'!$F$98)/(('Cálculos'!$F$197+(($C217)-$A$177:$A$222)*'Cálculos'!$F$98)+1400)+'Cálculos'!$F$122)*'Cálculos'!$F$231+'Cálculos'!$F$125*(1+2.78*('Cálculos'!$F$197+(($C217)-$A$177:$A$222)*'Cálculos'!$F$98)/(('Cálculos'!$F$197+(($C217)-$A$177:$A$222)*'Cálculos'!$F$98)+1400)+'Cálculos'!$F$123)*'Cálculos'!$F$236)+('Cálculos'!$F$204*(1+'Cálculos'!$F$205+$A$177:$A$222*('Cálculos'!$F$290=3)*'Cálculos'!$F$103)+'Cálculos'!$F$206)*('Cálculos'!$F$227+'Cálculos'!$F$124*(1+2.78*('Cálculos'!$F$197+(($C217)-$A$177:$A$222)*'Cálculos'!$F$98)/(('Cálculos'!$F$197+(($C217)-$A$177:$A$222)*'Cálculos'!$F$98)+1400)+'Cálculos'!$F$122)*'Cálculos'!$F$232+'Cálculos'!$F$125*(1+2.78*('Cálculos'!$F$197+(($C217)-$A$177:$A$222)*'Cálculos'!$F$98)/(('Cálculos'!$F$197+(($C217)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217)-$A$177:$A$222)*'Cálculos'!$F$98)/(('Cálculos'!$F$198+(($C217)-$A$177:$A$222)*'Cálculos'!$F$98)+1400)+'Cálculos'!$F$122)*'Cálculos'!$F$244+'Cálculos'!$F$125*(1+2.78*('Cálculos'!$F$198+(($C217)-$A$177:$A$222)*'Cálculos'!$F$98)/(('Cálculos'!$F$198+(($C217)-$A$177:$A$222)*'Cálculos'!$F$98)+1400)+'Cálculos'!$F$123)*'Cálculos'!$F$249)+('Cálculos'!$F$198+(($C217)-$A$177:$A$222)*'Cálculos'!$F$98)*('Cálculos'!$F$240+'Cálculos'!$F$124*(1+2.78*('Cálculos'!$F$198+(($C217)-$A$177:$A$222)*'Cálculos'!$F$98)/(('Cálculos'!$F$198+(($C217)-$A$177:$A$222)*'Cálculos'!$F$98)+1400)+'Cálculos'!$F$122)*'Cálculos'!$F$245+'Cálculos'!$F$125*(1+2.78*('Cálculos'!$F$198+(($C217)-$A$177:$A$222)*'Cálculos'!$F$98)/(('Cálculos'!$F$198+(($C217)-$A$177:$A$222)*'Cálculos'!$F$98)+1400)+'Cálculos'!$F$123)*'Cálculos'!$F$250)+('Cálculos'!$F$201*(1+'Cálculos'!$F$202+$A$177:$A$222*('Cálculos'!$F$290=2)*'Cálculos'!$F$101)+'Cálculos'!$F$203)*('Cálculos'!$F$241+'Cálculos'!$F$124*(1+2.78*('Cálculos'!$F$198+(($C217)-$A$177:$A$222)*'Cálculos'!$F$98)/(('Cálculos'!$F$198+(($C217)-$A$177:$A$222)*'Cálculos'!$F$98)+1400)+'Cálculos'!$F$122)*'Cálculos'!$F$246+'Cálculos'!$F$125*(1+2.78*('Cálculos'!$F$198+(($C217)-$A$177:$A$222)*'Cálculos'!$F$98)/(('Cálculos'!$F$198+(($C217)-$A$177:$A$222)*'Cálculos'!$F$98)+1400)+'Cálculos'!$F$123)*'Cálculos'!$F$251)+('Cálculos'!$F$204*(1+'Cálculos'!$F$205+$A$177:$A$222*('Cálculos'!$F$290=3)*'Cálculos'!$F$103)+'Cálculos'!$F$206)*('Cálculos'!$F$242+'Cálculos'!$F$124*(1+2.78*('Cálculos'!$F$198+(($C217)-$A$177:$A$222)*'Cálculos'!$F$98)/(('Cálculos'!$F$198+(($C217)-$A$177:$A$222)*'Cálculos'!$F$98)+1400)+'Cálculos'!$F$122)*'Cálculos'!$F$247+'Cálculos'!$F$125*(1+2.78*('Cálculos'!$F$198+(($C217)-$A$177:$A$222)*'Cálculos'!$F$98)/(('Cálculos'!$F$198+(($C217)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217)-$A$177:$A$222)*'Cálculos'!$F$98)/(('Cálculos'!$F$199+(($C217)-$A$177:$A$222)*'Cálculos'!$F$98)+1400)+'Cálculos'!$F$122)*'Cálculos'!$F$259+'Cálculos'!$F$125*(1+2.78*('Cálculos'!$F$199+(($C217)-$A$177:$A$222)*'Cálculos'!$F$98)/(('Cálculos'!$F$199+(($C217)-$A$177:$A$222)*'Cálculos'!$F$98)+1400)+'Cálculos'!$F$123)*'Cálculos'!$F$264)+('Cálculos'!$F$199+(($C217)-$A$177:$A$222)*'Cálculos'!$F$98)*('Cálculos'!$F$255+'Cálculos'!$F$124*(1+2.78*('Cálculos'!$F$199+(($C217)-$A$177:$A$222)*'Cálculos'!$F$98)/(('Cálculos'!$F$199+(($C217)-$A$177:$A$222)*'Cálculos'!$F$98)+1400)+'Cálculos'!$F$122)*'Cálculos'!$F$260+'Cálculos'!$F$125*(1+2.78*('Cálculos'!$F$199+(($C217)-$A$177:$A$222)*'Cálculos'!$F$98)/(('Cálculos'!$F$199+(($C217)-$A$177:$A$222)*'Cálculos'!$F$98)+1400)+'Cálculos'!$F$123)*'Cálculos'!$F$265)+('Cálculos'!$F$201*(1+'Cálculos'!$F$202+$A$177:$A$222*('Cálculos'!$F$290=2)*'Cálculos'!$F$101)+'Cálculos'!$F$203)*('Cálculos'!$F$256+'Cálculos'!$F$124*(1+2.78*('Cálculos'!$F$199+(($C217)-$A$177:$A$222)*'Cálculos'!$F$98)/(('Cálculos'!$F$199+(($C217)-$A$177:$A$222)*'Cálculos'!$F$98)+1400)+'Cálculos'!$F$122)*'Cálculos'!$F$261+'Cálculos'!$F$125*(1+2.78*('Cálculos'!$F$199+(($C217)-$A$177:$A$222)*'Cálculos'!$F$98)/(('Cálculos'!$F$199+(($C217)-$A$177:$A$222)*'Cálculos'!$F$98)+1400)+'Cálculos'!$F$123)*'Cálculos'!$F$266)+('Cálculos'!$F$204*(1+'Cálculos'!$F$205+$A$177:$A$222*('Cálculos'!$F$290=3)*'Cálculos'!$F$103)+'Cálculos'!$F$206)*('Cálculos'!$F$257+'Cálculos'!$F$124*(1+2.78*('Cálculos'!$F$199+(($C217)-$A$177:$A$222)*'Cálculos'!$F$98)/(('Cálculos'!$F$199+(($C217)-$A$177:$A$222)*'Cálculos'!$F$98)+1400)+'Cálculos'!$F$122)*'Cálculos'!$F$262+'Cálculos'!$F$125*(1+2.78*('Cálculos'!$F$199+(($C217)-$A$177:$A$222)*'Cálculos'!$F$98)/(('Cálculos'!$F$199+(($C217)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217)-$A$177:$A$222)*'Cálculos'!$F$98)/(('Cálculos'!$F$200+(($C217)-$A$177:$A$222)*'Cálculos'!$F$98)+1400)+'Cálculos'!$F$122)*'Cálculos'!$F$274+'Cálculos'!$F$125*(1+2.78*('Cálculos'!$F$200+(($C217)-$A$177:$A$222)*'Cálculos'!$F$98)/(('Cálculos'!$F$200+(($C217)-$A$177:$A$222)*'Cálculos'!$F$98)+1400)+'Cálculos'!$F$123)*'Cálculos'!$F$279)+('Cálculos'!$F$200+(($C217)-$A$177:$A$222)*'Cálculos'!$F$98)*('Cálculos'!$F$270+'Cálculos'!$F$124*(1+2.78*('Cálculos'!$F$200+(($C217)-$A$177:$A$222)*'Cálculos'!$F$98)/(('Cálculos'!$F$200+(($C217)-$A$177:$A$222)*'Cálculos'!$F$98)+1400)+'Cálculos'!$F$122)*'Cálculos'!$F$275+'Cálculos'!$F$125*(1+2.78*('Cálculos'!$F$200+(($C217)-$A$177:$A$222)*'Cálculos'!$F$98)/(('Cálculos'!$F$200+(($C217)-$A$177:$A$222)*'Cálculos'!$F$98)+1400)+'Cálculos'!$F$123)*'Cálculos'!$F$280)+('Cálculos'!$F$201*(1+'Cálculos'!$F$202+$A$177:$A$222*('Cálculos'!$F$290=2)*'Cálculos'!$F$101)+'Cálculos'!$F$203)*('Cálculos'!$F$271+'Cálculos'!$F$124*(1+2.78*('Cálculos'!$F$200+(($C217)-$A$177:$A$222)*'Cálculos'!$F$98)/(('Cálculos'!$F$200+(($C217)-$A$177:$A$222)*'Cálculos'!$F$98)+1400)+'Cálculos'!$F$122)*'Cálculos'!$F$276+'Cálculos'!$F$125*(1+2.78*('Cálculos'!$F$200+(($C217)-$A$177:$A$222)*'Cálculos'!$F$98)/(('Cálculos'!$F$200+(($C217)-$A$177:$A$222)*'Cálculos'!$F$98)+1400)+'Cálculos'!$F$123)*'Cálculos'!$F$281)+('Cálculos'!$F$204*(1+'Cálculos'!$F$205+$A$177:$A$222*('Cálculos'!$F$290=3)*'Cálculos'!$F$103)+'Cálculos'!$F$206)*('Cálculos'!$F$272+'Cálculos'!$F$124*(1+2.78*('Cálculos'!$F$200+(($C217)-$A$177:$A$222)*'Cálculos'!$F$98)/(('Cálculos'!$F$200+(($C217)-$A$177:$A$222)*'Cálculos'!$F$98)+1400)+'Cálculos'!$F$122)*'Cálculos'!$F$277+'Cálculos'!$F$125*(1+2.78*('Cálculos'!$F$200+(($C217)-$A$177:$A$222)*'Cálculos'!$F$98)/(('Cálculos'!$F$200+(($C217)-$A$177:$A$222)*'Cálculos'!$F$98)+1400)+'Cálculos'!$F$123)*'Cálculos'!$F$282)))))</f>
        <v>0</v>
      </c>
      <c r="E217" s="32">
        <f>IF(OR($C217&lt;0,'Cálculos'!$F$6=""),0,$B217*$D217)</f>
        <v>0</v>
      </c>
      <c r="F217" s="2"/>
      <c r="G217" s="30">
        <f>($A217&lt;=$B$224)*($A217&lt;='Cálculos'!$F$294)*(($B$224)-$A217&lt;='Cálculos'!$F$295)*(1+MIN(('Cálculos'!$F$207+$A217*'Cálculos'!$F$95),1)*('Cálculos'!$F$208+(($B$224)-$A217)*'Cálculos'!$F$96))</f>
        <v>0</v>
      </c>
      <c r="H217" s="31">
        <f>IF($B$225&lt;0,0,($A217&lt;=$B$225)*($A217&lt;='Cálculos'!$F$301)*(($B$225)-$A217&lt;='Cálculos'!$F$297)*(('Cálculos'!$F$185*(1+'Cálculos'!$F$186+$A217*('Cálculos'!$F$290=1)*'Cálculos'!$F$97+'Cálculos'!$F$305)+'Cálculos'!$F$191)*('Cálculos'!$F$209+'Cálculos'!$F$124*(1+2.78*('Cálculos'!$F$196+(($B$225)-$A217)*'Cálculos'!$F$98)/(('Cálculos'!$F$196+(($B$225)-$A217)*'Cálculos'!$F$98)+1400)+'Cálculos'!$F$122)*'Cálculos'!$F$214+'Cálculos'!$F$125*(1+2.78*('Cálculos'!$F$196+(($B$225)-$A217)*'Cálculos'!$F$98)/(('Cálculos'!$F$196+(($B$225)-$A217)*'Cálculos'!$F$98)+1400)+'Cálculos'!$F$123)*'Cálculos'!$F$219)+('Cálculos'!$F$196+(($B$225)-$A217)*'Cálculos'!$F$98)*('Cálculos'!$F$210+'Cálculos'!$F$124*(1+2.78*('Cálculos'!$F$196+(($B$225)-$A217)*'Cálculos'!$F$98)/(('Cálculos'!$F$196+(($B$225)-$A217)*'Cálculos'!$F$98)+1400)+'Cálculos'!$F$122)*'Cálculos'!$F$215+'Cálculos'!$F$125*(1+2.78*('Cálculos'!$F$196+(($B$225)-$A217)*'Cálculos'!$F$98)/(('Cálculos'!$F$196+(($B$225)-$A217)*'Cálculos'!$F$98)+1400)+'Cálculos'!$F$123)*'Cálculos'!$F$220)+('Cálculos'!$F$201*(1+'Cálculos'!$F$202+$A217*('Cálculos'!$F$290=2)*'Cálculos'!$F$101)+'Cálculos'!$F$203)*('Cálculos'!$F$211+'Cálculos'!$F$124*(1+2.78*('Cálculos'!$F$196+(($B$225)-$A217)*'Cálculos'!$F$98)/(('Cálculos'!$F$196+(($B$225)-$A217)*'Cálculos'!$F$98)+1400)+'Cálculos'!$F$122)*'Cálculos'!$F$216+'Cálculos'!$F$125*(1+2.78*('Cálculos'!$F$196+(($B$225)-$A217)*'Cálculos'!$F$98)/(('Cálculos'!$F$196+(($B$225)-$A217)*'Cálculos'!$F$98)+1400)+'Cálculos'!$F$123)*'Cálculos'!$F$221)+('Cálculos'!$F$204*(1+'Cálculos'!$F$205+$A217*('Cálculos'!$F$290=3)*'Cálculos'!$F$103)+'Cálculos'!$F$206)*('Cálculos'!$F$212+'Cálculos'!$F$124*(1+2.78*('Cálculos'!$F$196+(($B$225)-$A217)*'Cálculos'!$F$98)/(('Cálculos'!$F$196+(($B$225)-$A217)*'Cálculos'!$F$98)+1400)+'Cálculos'!$F$122)*'Cálculos'!$F$217+'Cálculos'!$F$125*(1+2.78*('Cálculos'!$F$196+(($B$225)-$A217)*'Cálculos'!$F$98)/(('Cálculos'!$F$196+(($B$225)-$A217)*'Cálculos'!$F$98)+1400)+'Cálculos'!$F$123)*'Cálculos'!$F$222)+('Cálculos'!$F$185*(1+'Cálculos'!$F$187+$A217*('Cálculos'!$F$290=1)*'Cálculos'!$F$97+'Cálculos'!$F$305)+'Cálculos'!$F$192)*('Cálculos'!$F$224+'Cálculos'!$F$124*(1+2.78*('Cálculos'!$F$197+(($B$225)-$A217)*'Cálculos'!$F$98)/(('Cálculos'!$F$197+(($B$225)-$A217)*'Cálculos'!$F$98)+1400)+'Cálculos'!$F$122)*'Cálculos'!$F$229+'Cálculos'!$F$125*(1+2.78*('Cálculos'!$F$197+(($B$225)-$A217)*'Cálculos'!$F$98)/(('Cálculos'!$F$197+(($B$225)-$A217)*'Cálculos'!$F$98)+1400)+'Cálculos'!$F$123)*'Cálculos'!$F$234)+('Cálculos'!$F$197+(($B$225)-$A217)*'Cálculos'!$F$98)*('Cálculos'!$F$225+'Cálculos'!$F$124*(1+2.78*('Cálculos'!$F$197+(($B$225)-$A217)*'Cálculos'!$F$98)/(('Cálculos'!$F$197+(($B$225)-$A217)*'Cálculos'!$F$98)+1400)+'Cálculos'!$F$122)*'Cálculos'!$F$230+'Cálculos'!$F$125*(1+2.78*('Cálculos'!$F$197+(($B$225)-$A217)*'Cálculos'!$F$98)/(('Cálculos'!$F$197+(($B$225)-$A217)*'Cálculos'!$F$98)+1400)+'Cálculos'!$F$123)*'Cálculos'!$F$235)+('Cálculos'!$F$201*(1+'Cálculos'!$F$202+$A217*('Cálculos'!$F$290=2)*'Cálculos'!$F$101)+'Cálculos'!$F$203)*('Cálculos'!$F$226+'Cálculos'!$F$124*(1+2.78*('Cálculos'!$F$197+(($B$225)-$A217)*'Cálculos'!$F$98)/(('Cálculos'!$F$197+(($B$225)-$A217)*'Cálculos'!$F$98)+1400)+'Cálculos'!$F$122)*'Cálculos'!$F$231+'Cálculos'!$F$125*(1+2.78*('Cálculos'!$F$197+(($B$225)-$A217)*'Cálculos'!$F$98)/(('Cálculos'!$F$197+(($B$225)-$A217)*'Cálculos'!$F$98)+1400)+'Cálculos'!$F$123)*'Cálculos'!$F$236)+('Cálculos'!$F$204*(1+'Cálculos'!$F$205+$A217*('Cálculos'!$F$290=3)*'Cálculos'!$F$103)+'Cálculos'!$F$206)*('Cálculos'!$F$227+'Cálculos'!$F$124*(1+2.78*('Cálculos'!$F$197+(($B$225)-$A217)*'Cálculos'!$F$98)/(('Cálculos'!$F$197+(($B$225)-$A217)*'Cálculos'!$F$98)+1400)+'Cálculos'!$F$122)*'Cálculos'!$F$232+'Cálculos'!$F$125*(1+2.78*('Cálculos'!$F$197+(($B$225)-$A217)*'Cálculos'!$F$98)/(('Cálculos'!$F$197+(($B$225)-$A217)*'Cálculos'!$F$98)+1400)+'Cálculos'!$F$123)*'Cálculos'!$F$237)+('Cálculos'!$F$185*(1+'Cálculos'!$F$188+$A217*('Cálculos'!$F$290=1)*'Cálculos'!$F$97+'Cálculos'!$F$305)+'Cálculos'!$F$193)*('Cálculos'!$F$239+'Cálculos'!$F$124*(1+2.78*('Cálculos'!$F$198+(($B$225)-$A217)*'Cálculos'!$F$98)/(('Cálculos'!$F$198+(($B$225)-$A217)*'Cálculos'!$F$98)+1400)+'Cálculos'!$F$122)*'Cálculos'!$F$244+'Cálculos'!$F$125*(1+2.78*('Cálculos'!$F$198+(($B$225)-$A217)*'Cálculos'!$F$98)/(('Cálculos'!$F$198+(($B$225)-$A217)*'Cálculos'!$F$98)+1400)+'Cálculos'!$F$123)*'Cálculos'!$F$249)+('Cálculos'!$F$198+(($B$225)-$A217)*'Cálculos'!$F$98)*('Cálculos'!$F$240+'Cálculos'!$F$124*(1+2.78*('Cálculos'!$F$198+(($B$225)-$A217)*'Cálculos'!$F$98)/(('Cálculos'!$F$198+(($B$225)-$A217)*'Cálculos'!$F$98)+1400)+'Cálculos'!$F$122)*'Cálculos'!$F$245+'Cálculos'!$F$125*(1+2.78*('Cálculos'!$F$198+(($B$225)-$A217)*'Cálculos'!$F$98)/(('Cálculos'!$F$198+(($B$225)-$A217)*'Cálculos'!$F$98)+1400)+'Cálculos'!$F$123)*'Cálculos'!$F$250)+('Cálculos'!$F$201*(1+'Cálculos'!$F$202+$A217*('Cálculos'!$F$290=2)*'Cálculos'!$F$101)+'Cálculos'!$F$203)*('Cálculos'!$F$241+'Cálculos'!$F$124*(1+2.78*('Cálculos'!$F$198+(($B$225)-$A217)*'Cálculos'!$F$98)/(('Cálculos'!$F$198+(($B$225)-$A217)*'Cálculos'!$F$98)+1400)+'Cálculos'!$F$122)*'Cálculos'!$F$246+'Cálculos'!$F$125*(1+2.78*('Cálculos'!$F$198+(($B$225)-$A217)*'Cálculos'!$F$98)/(('Cálculos'!$F$198+(($B$225)-$A217)*'Cálculos'!$F$98)+1400)+'Cálculos'!$F$123)*'Cálculos'!$F$251)+('Cálculos'!$F$204*(1+'Cálculos'!$F$205+$A217*('Cálculos'!$F$290=3)*'Cálculos'!$F$103)+'Cálculos'!$F$206)*('Cálculos'!$F$242+'Cálculos'!$F$124*(1+2.78*('Cálculos'!$F$198+(($B$225)-$A217)*'Cálculos'!$F$98)/(('Cálculos'!$F$198+(($B$225)-$A217)*'Cálculos'!$F$98)+1400)+'Cálculos'!$F$122)*'Cálculos'!$F$247+'Cálculos'!$F$125*(1+2.78*('Cálculos'!$F$198+(($B$225)-$A217)*'Cálculos'!$F$98)/(('Cálculos'!$F$198+(($B$225)-$A217)*'Cálculos'!$F$98)+1400)+'Cálculos'!$F$123)*'Cálculos'!$F$252)+('Cálculos'!$F$185*(1+'Cálculos'!$F$189+$A217*('Cálculos'!$F$290=1)*'Cálculos'!$F$97+'Cálculos'!$F$305)+'Cálculos'!$F$194)*('Cálculos'!$F$254+'Cálculos'!$F$124*(1+2.78*('Cálculos'!$F$199+(($B$225)-$A217)*'Cálculos'!$F$98)/(('Cálculos'!$F$199+(($B$225)-$A217)*'Cálculos'!$F$98)+1400)+'Cálculos'!$F$122)*'Cálculos'!$F$259+'Cálculos'!$F$125*(1+2.78*('Cálculos'!$F$199+(($B$225)-$A217)*'Cálculos'!$F$98)/(('Cálculos'!$F$199+(($B$225)-$A217)*'Cálculos'!$F$98)+1400)+'Cálculos'!$F$123)*'Cálculos'!$F$264)+('Cálculos'!$F$199+(($B$225)-$A217)*'Cálculos'!$F$98)*('Cálculos'!$F$255+'Cálculos'!$F$124*(1+2.78*('Cálculos'!$F$199+(($B$225)-$A217)*'Cálculos'!$F$98)/(('Cálculos'!$F$199+(($B$225)-$A217)*'Cálculos'!$F$98)+1400)+'Cálculos'!$F$122)*'Cálculos'!$F$260+'Cálculos'!$F$125*(1+2.78*('Cálculos'!$F$199+(($B$225)-$A217)*'Cálculos'!$F$98)/(('Cálculos'!$F$199+(($B$225)-$A217)*'Cálculos'!$F$98)+1400)+'Cálculos'!$F$123)*'Cálculos'!$F$265)+('Cálculos'!$F$201*(1+'Cálculos'!$F$202+$A217*('Cálculos'!$F$290=2)*'Cálculos'!$F$101)+'Cálculos'!$F$203)*('Cálculos'!$F$256+'Cálculos'!$F$124*(1+2.78*('Cálculos'!$F$199+(($B$225)-$A217)*'Cálculos'!$F$98)/(('Cálculos'!$F$199+(($B$225)-$A217)*'Cálculos'!$F$98)+1400)+'Cálculos'!$F$122)*'Cálculos'!$F$261+'Cálculos'!$F$125*(1+2.78*('Cálculos'!$F$199+(($B$225)-$A217)*'Cálculos'!$F$98)/(('Cálculos'!$F$199+(($B$225)-$A217)*'Cálculos'!$F$98)+1400)+'Cálculos'!$F$123)*'Cálculos'!$F$266)+('Cálculos'!$F$204*(1+'Cálculos'!$F$205+$A217*('Cálculos'!$F$290=3)*'Cálculos'!$F$103)+'Cálculos'!$F$206)*('Cálculos'!$F$257+'Cálculos'!$F$124*(1+2.78*('Cálculos'!$F$199+(($B$225)-$A217)*'Cálculos'!$F$98)/(('Cálculos'!$F$199+(($B$225)-$A217)*'Cálculos'!$F$98)+1400)+'Cálculos'!$F$122)*'Cálculos'!$F$262+'Cálculos'!$F$125*(1+2.78*('Cálculos'!$F$199+(($B$225)-$A217)*'Cálculos'!$F$98)/(('Cálculos'!$F$199+(($B$225)-$A217)*'Cálculos'!$F$98)+1400)+'Cálculos'!$F$123)*'Cálculos'!$F$267)+('Cálculos'!$F$185*(1+'Cálculos'!$F$190+$A217*('Cálculos'!$F$290=1)*'Cálculos'!$F$97+'Cálculos'!$F$305)+'Cálculos'!$F$195)*('Cálculos'!$F$269+'Cálculos'!$F$124*(1+2.78*('Cálculos'!$F$200+(($B$225)-$A217)*'Cálculos'!$F$98)/(('Cálculos'!$F$200+(($B$225)-$A217)*'Cálculos'!$F$98)+1400)+'Cálculos'!$F$122)*'Cálculos'!$F$274+'Cálculos'!$F$125*(1+2.78*('Cálculos'!$F$200+(($B$225)-$A217)*'Cálculos'!$F$98)/(('Cálculos'!$F$200+(($B$225)-$A217)*'Cálculos'!$F$98)+1400)+'Cálculos'!$F$123)*'Cálculos'!$F$279)+('Cálculos'!$F$200+(($B$225)-$A217)*'Cálculos'!$F$98)*('Cálculos'!$F$270+'Cálculos'!$F$124*(1+2.78*('Cálculos'!$F$200+(($B$225)-$A217)*'Cálculos'!$F$98)/(('Cálculos'!$F$200+(($B$225)-$A217)*'Cálculos'!$F$98)+1400)+'Cálculos'!$F$122)*'Cálculos'!$F$275+'Cálculos'!$F$125*(1+2.78*('Cálculos'!$F$200+(($B$225)-$A217)*'Cálculos'!$F$98)/(('Cálculos'!$F$200+(($B$225)-$A217)*'Cálculos'!$F$98)+1400)+'Cálculos'!$F$123)*'Cálculos'!$F$280)+('Cálculos'!$F$201*(1+'Cálculos'!$F$202+$A217*('Cálculos'!$F$290=2)*'Cálculos'!$F$101)+'Cálculos'!$F$203)*('Cálculos'!$F$271+'Cálculos'!$F$124*(1+2.78*('Cálculos'!$F$200+(($B$225)-$A217)*'Cálculos'!$F$98)/(('Cálculos'!$F$200+(($B$225)-$A217)*'Cálculos'!$F$98)+1400)+'Cálculos'!$F$122)*'Cálculos'!$F$276+'Cálculos'!$F$125*(1+2.78*('Cálculos'!$F$200+(($B$225)-$A217)*'Cálculos'!$F$98)/(('Cálculos'!$F$200+(($B$225)-$A217)*'Cálculos'!$F$98)+1400)+'Cálculos'!$F$123)*'Cálculos'!$F$281)+('Cálculos'!$F$204*(1+'Cálculos'!$F$205+$A217*('Cálculos'!$F$290=3)*'Cálculos'!$F$103)+'Cálculos'!$F$206)*('Cálculos'!$F$272+'Cálculos'!$F$124*(1+2.78*('Cálculos'!$F$200+(($B$225)-$A217)*'Cálculos'!$F$98)/(('Cálculos'!$F$200+(($B$225)-$A217)*'Cálculos'!$F$98)+1400)+'Cálculos'!$F$122)*'Cálculos'!$F$277+'Cálculos'!$F$125*(1+2.78*('Cálculos'!$F$200+(($B$225)-$A217)*'Cálculos'!$F$98)/(('Cálculos'!$F$200+(($B$225)-$A217)*'Cálculos'!$F$98)+1400)+'Cálculos'!$F$123)*'Cálculos'!$F$282)))</f>
        <v>0</v>
      </c>
    </row>
    <row r="218" ht="15.75" customHeight="1">
      <c r="A218" s="2">
        <v>41.0</v>
      </c>
      <c r="B218" s="30">
        <f>SUMPRODUCT(MAX(($A$177:$A$222&lt;=$A218)*($A$177:$A$222&lt;='Cálculos'!$F$294)*(($A218)-$A$177:$A$222&lt;='Cálculos'!$F$295)*(1+(('Cálculos'!$F$207+$A$177:$A$222*'Cálculos'!$F$95)-(('Cálculos'!$F$207+$A$177:$A$222*'Cálculos'!$F$95)&gt;1)*(('Cálculos'!$F$207+$A$177:$A$222*'Cálculos'!$F$95)-1))*('Cálculos'!$F$208+(($A218)-$A$177:$A$222)*'Cálculos'!$F$96))))</f>
        <v>3.822716</v>
      </c>
      <c r="C218" s="2">
        <f>'Cálculos'!$F$303-$A218</f>
        <v>-23</v>
      </c>
      <c r="D218" s="31">
        <f>IF($C218&lt;0,0,SUMPRODUCT(MAX(($A$177:$A$222&lt;=$C218)*($A$177:$A$222&lt;='Cálculos'!$F$301)*(($C218)-$A$177:$A$222&lt;='Cálculos'!$F$297)*(('Cálculos'!$F$185*(1+'Cálculos'!$F$186+$A$177:$A$222*('Cálculos'!$F$290=1)*'Cálculos'!$F$97+'Cálculos'!$F$305)+'Cálculos'!$F$191)*('Cálculos'!$F$209+'Cálculos'!$F$124*(1+2.78*('Cálculos'!$F$196+(($C218)-$A$177:$A$222)*'Cálculos'!$F$98)/(('Cálculos'!$F$196+(($C218)-$A$177:$A$222)*'Cálculos'!$F$98)+1400)+'Cálculos'!$F$122)*'Cálculos'!$F$214+'Cálculos'!$F$125*(1+2.78*('Cálculos'!$F$196+(($C218)-$A$177:$A$222)*'Cálculos'!$F$98)/(('Cálculos'!$F$196+(($C218)-$A$177:$A$222)*'Cálculos'!$F$98)+1400)+'Cálculos'!$F$123)*'Cálculos'!$F$219)+('Cálculos'!$F$196+(($C218)-$A$177:$A$222)*'Cálculos'!$F$98)*('Cálculos'!$F$210+'Cálculos'!$F$124*(1+2.78*('Cálculos'!$F$196+(($C218)-$A$177:$A$222)*'Cálculos'!$F$98)/(('Cálculos'!$F$196+(($C218)-$A$177:$A$222)*'Cálculos'!$F$98)+1400)+'Cálculos'!$F$122)*'Cálculos'!$F$215+'Cálculos'!$F$125*(1+2.78*('Cálculos'!$F$196+(($C218)-$A$177:$A$222)*'Cálculos'!$F$98)/(('Cálculos'!$F$196+(($C218)-$A$177:$A$222)*'Cálculos'!$F$98)+1400)+'Cálculos'!$F$123)*'Cálculos'!$F$220)+('Cálculos'!$F$201*(1+'Cálculos'!$F$202+$A$177:$A$222*('Cálculos'!$F$290=2)*'Cálculos'!$F$101)+'Cálculos'!$F$203)*('Cálculos'!$F$211+'Cálculos'!$F$124*(1+2.78*('Cálculos'!$F$196+(($C218)-$A$177:$A$222)*'Cálculos'!$F$98)/(('Cálculos'!$F$196+(($C218)-$A$177:$A$222)*'Cálculos'!$F$98)+1400)+'Cálculos'!$F$122)*'Cálculos'!$F$216+'Cálculos'!$F$125*(1+2.78*('Cálculos'!$F$196+(($C218)-$A$177:$A$222)*'Cálculos'!$F$98)/(('Cálculos'!$F$196+(($C218)-$A$177:$A$222)*'Cálculos'!$F$98)+1400)+'Cálculos'!$F$123)*'Cálculos'!$F$221)+('Cálculos'!$F$204*(1+'Cálculos'!$F$205+$A$177:$A$222*('Cálculos'!$F$290=3)*'Cálculos'!$F$103)+'Cálculos'!$F$206)*('Cálculos'!$F$212+'Cálculos'!$F$124*(1+2.78*('Cálculos'!$F$196+(($C218)-$A$177:$A$222)*'Cálculos'!$F$98)/(('Cálculos'!$F$196+(($C218)-$A$177:$A$222)*'Cálculos'!$F$98)+1400)+'Cálculos'!$F$122)*'Cálculos'!$F$217+'Cálculos'!$F$125*(1+2.78*('Cálculos'!$F$196+(($C218)-$A$177:$A$222)*'Cálculos'!$F$98)/(('Cálculos'!$F$196+(($C218)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218)-$A$177:$A$222)*'Cálculos'!$F$98)/(('Cálculos'!$F$197+(($C218)-$A$177:$A$222)*'Cálculos'!$F$98)+1400)+'Cálculos'!$F$122)*'Cálculos'!$F$229+'Cálculos'!$F$125*(1+2.78*('Cálculos'!$F$197+(($C218)-$A$177:$A$222)*'Cálculos'!$F$98)/(('Cálculos'!$F$197+(($C218)-$A$177:$A$222)*'Cálculos'!$F$98)+1400)+'Cálculos'!$F$123)*'Cálculos'!$F$234)+('Cálculos'!$F$197+(($C218)-$A$177:$A$222)*'Cálculos'!$F$98)*('Cálculos'!$F$225+'Cálculos'!$F$124*(1+2.78*('Cálculos'!$F$197+(($C218)-$A$177:$A$222)*'Cálculos'!$F$98)/(('Cálculos'!$F$197+(($C218)-$A$177:$A$222)*'Cálculos'!$F$98)+1400)+'Cálculos'!$F$122)*'Cálculos'!$F$230+'Cálculos'!$F$125*(1+2.78*('Cálculos'!$F$197+(($C218)-$A$177:$A$222)*'Cálculos'!$F$98)/(('Cálculos'!$F$197+(($C218)-$A$177:$A$222)*'Cálculos'!$F$98)+1400)+'Cálculos'!$F$123)*'Cálculos'!$F$235)+('Cálculos'!$F$201*(1+'Cálculos'!$F$202+$A$177:$A$222*('Cálculos'!$F$290=2)*'Cálculos'!$F$101)+'Cálculos'!$F$203)*('Cálculos'!$F$226+'Cálculos'!$F$124*(1+2.78*('Cálculos'!$F$197+(($C218)-$A$177:$A$222)*'Cálculos'!$F$98)/(('Cálculos'!$F$197+(($C218)-$A$177:$A$222)*'Cálculos'!$F$98)+1400)+'Cálculos'!$F$122)*'Cálculos'!$F$231+'Cálculos'!$F$125*(1+2.78*('Cálculos'!$F$197+(($C218)-$A$177:$A$222)*'Cálculos'!$F$98)/(('Cálculos'!$F$197+(($C218)-$A$177:$A$222)*'Cálculos'!$F$98)+1400)+'Cálculos'!$F$123)*'Cálculos'!$F$236)+('Cálculos'!$F$204*(1+'Cálculos'!$F$205+$A$177:$A$222*('Cálculos'!$F$290=3)*'Cálculos'!$F$103)+'Cálculos'!$F$206)*('Cálculos'!$F$227+'Cálculos'!$F$124*(1+2.78*('Cálculos'!$F$197+(($C218)-$A$177:$A$222)*'Cálculos'!$F$98)/(('Cálculos'!$F$197+(($C218)-$A$177:$A$222)*'Cálculos'!$F$98)+1400)+'Cálculos'!$F$122)*'Cálculos'!$F$232+'Cálculos'!$F$125*(1+2.78*('Cálculos'!$F$197+(($C218)-$A$177:$A$222)*'Cálculos'!$F$98)/(('Cálculos'!$F$197+(($C218)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218)-$A$177:$A$222)*'Cálculos'!$F$98)/(('Cálculos'!$F$198+(($C218)-$A$177:$A$222)*'Cálculos'!$F$98)+1400)+'Cálculos'!$F$122)*'Cálculos'!$F$244+'Cálculos'!$F$125*(1+2.78*('Cálculos'!$F$198+(($C218)-$A$177:$A$222)*'Cálculos'!$F$98)/(('Cálculos'!$F$198+(($C218)-$A$177:$A$222)*'Cálculos'!$F$98)+1400)+'Cálculos'!$F$123)*'Cálculos'!$F$249)+('Cálculos'!$F$198+(($C218)-$A$177:$A$222)*'Cálculos'!$F$98)*('Cálculos'!$F$240+'Cálculos'!$F$124*(1+2.78*('Cálculos'!$F$198+(($C218)-$A$177:$A$222)*'Cálculos'!$F$98)/(('Cálculos'!$F$198+(($C218)-$A$177:$A$222)*'Cálculos'!$F$98)+1400)+'Cálculos'!$F$122)*'Cálculos'!$F$245+'Cálculos'!$F$125*(1+2.78*('Cálculos'!$F$198+(($C218)-$A$177:$A$222)*'Cálculos'!$F$98)/(('Cálculos'!$F$198+(($C218)-$A$177:$A$222)*'Cálculos'!$F$98)+1400)+'Cálculos'!$F$123)*'Cálculos'!$F$250)+('Cálculos'!$F$201*(1+'Cálculos'!$F$202+$A$177:$A$222*('Cálculos'!$F$290=2)*'Cálculos'!$F$101)+'Cálculos'!$F$203)*('Cálculos'!$F$241+'Cálculos'!$F$124*(1+2.78*('Cálculos'!$F$198+(($C218)-$A$177:$A$222)*'Cálculos'!$F$98)/(('Cálculos'!$F$198+(($C218)-$A$177:$A$222)*'Cálculos'!$F$98)+1400)+'Cálculos'!$F$122)*'Cálculos'!$F$246+'Cálculos'!$F$125*(1+2.78*('Cálculos'!$F$198+(($C218)-$A$177:$A$222)*'Cálculos'!$F$98)/(('Cálculos'!$F$198+(($C218)-$A$177:$A$222)*'Cálculos'!$F$98)+1400)+'Cálculos'!$F$123)*'Cálculos'!$F$251)+('Cálculos'!$F$204*(1+'Cálculos'!$F$205+$A$177:$A$222*('Cálculos'!$F$290=3)*'Cálculos'!$F$103)+'Cálculos'!$F$206)*('Cálculos'!$F$242+'Cálculos'!$F$124*(1+2.78*('Cálculos'!$F$198+(($C218)-$A$177:$A$222)*'Cálculos'!$F$98)/(('Cálculos'!$F$198+(($C218)-$A$177:$A$222)*'Cálculos'!$F$98)+1400)+'Cálculos'!$F$122)*'Cálculos'!$F$247+'Cálculos'!$F$125*(1+2.78*('Cálculos'!$F$198+(($C218)-$A$177:$A$222)*'Cálculos'!$F$98)/(('Cálculos'!$F$198+(($C218)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218)-$A$177:$A$222)*'Cálculos'!$F$98)/(('Cálculos'!$F$199+(($C218)-$A$177:$A$222)*'Cálculos'!$F$98)+1400)+'Cálculos'!$F$122)*'Cálculos'!$F$259+'Cálculos'!$F$125*(1+2.78*('Cálculos'!$F$199+(($C218)-$A$177:$A$222)*'Cálculos'!$F$98)/(('Cálculos'!$F$199+(($C218)-$A$177:$A$222)*'Cálculos'!$F$98)+1400)+'Cálculos'!$F$123)*'Cálculos'!$F$264)+('Cálculos'!$F$199+(($C218)-$A$177:$A$222)*'Cálculos'!$F$98)*('Cálculos'!$F$255+'Cálculos'!$F$124*(1+2.78*('Cálculos'!$F$199+(($C218)-$A$177:$A$222)*'Cálculos'!$F$98)/(('Cálculos'!$F$199+(($C218)-$A$177:$A$222)*'Cálculos'!$F$98)+1400)+'Cálculos'!$F$122)*'Cálculos'!$F$260+'Cálculos'!$F$125*(1+2.78*('Cálculos'!$F$199+(($C218)-$A$177:$A$222)*'Cálculos'!$F$98)/(('Cálculos'!$F$199+(($C218)-$A$177:$A$222)*'Cálculos'!$F$98)+1400)+'Cálculos'!$F$123)*'Cálculos'!$F$265)+('Cálculos'!$F$201*(1+'Cálculos'!$F$202+$A$177:$A$222*('Cálculos'!$F$290=2)*'Cálculos'!$F$101)+'Cálculos'!$F$203)*('Cálculos'!$F$256+'Cálculos'!$F$124*(1+2.78*('Cálculos'!$F$199+(($C218)-$A$177:$A$222)*'Cálculos'!$F$98)/(('Cálculos'!$F$199+(($C218)-$A$177:$A$222)*'Cálculos'!$F$98)+1400)+'Cálculos'!$F$122)*'Cálculos'!$F$261+'Cálculos'!$F$125*(1+2.78*('Cálculos'!$F$199+(($C218)-$A$177:$A$222)*'Cálculos'!$F$98)/(('Cálculos'!$F$199+(($C218)-$A$177:$A$222)*'Cálculos'!$F$98)+1400)+'Cálculos'!$F$123)*'Cálculos'!$F$266)+('Cálculos'!$F$204*(1+'Cálculos'!$F$205+$A$177:$A$222*('Cálculos'!$F$290=3)*'Cálculos'!$F$103)+'Cálculos'!$F$206)*('Cálculos'!$F$257+'Cálculos'!$F$124*(1+2.78*('Cálculos'!$F$199+(($C218)-$A$177:$A$222)*'Cálculos'!$F$98)/(('Cálculos'!$F$199+(($C218)-$A$177:$A$222)*'Cálculos'!$F$98)+1400)+'Cálculos'!$F$122)*'Cálculos'!$F$262+'Cálculos'!$F$125*(1+2.78*('Cálculos'!$F$199+(($C218)-$A$177:$A$222)*'Cálculos'!$F$98)/(('Cálculos'!$F$199+(($C218)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218)-$A$177:$A$222)*'Cálculos'!$F$98)/(('Cálculos'!$F$200+(($C218)-$A$177:$A$222)*'Cálculos'!$F$98)+1400)+'Cálculos'!$F$122)*'Cálculos'!$F$274+'Cálculos'!$F$125*(1+2.78*('Cálculos'!$F$200+(($C218)-$A$177:$A$222)*'Cálculos'!$F$98)/(('Cálculos'!$F$200+(($C218)-$A$177:$A$222)*'Cálculos'!$F$98)+1400)+'Cálculos'!$F$123)*'Cálculos'!$F$279)+('Cálculos'!$F$200+(($C218)-$A$177:$A$222)*'Cálculos'!$F$98)*('Cálculos'!$F$270+'Cálculos'!$F$124*(1+2.78*('Cálculos'!$F$200+(($C218)-$A$177:$A$222)*'Cálculos'!$F$98)/(('Cálculos'!$F$200+(($C218)-$A$177:$A$222)*'Cálculos'!$F$98)+1400)+'Cálculos'!$F$122)*'Cálculos'!$F$275+'Cálculos'!$F$125*(1+2.78*('Cálculos'!$F$200+(($C218)-$A$177:$A$222)*'Cálculos'!$F$98)/(('Cálculos'!$F$200+(($C218)-$A$177:$A$222)*'Cálculos'!$F$98)+1400)+'Cálculos'!$F$123)*'Cálculos'!$F$280)+('Cálculos'!$F$201*(1+'Cálculos'!$F$202+$A$177:$A$222*('Cálculos'!$F$290=2)*'Cálculos'!$F$101)+'Cálculos'!$F$203)*('Cálculos'!$F$271+'Cálculos'!$F$124*(1+2.78*('Cálculos'!$F$200+(($C218)-$A$177:$A$222)*'Cálculos'!$F$98)/(('Cálculos'!$F$200+(($C218)-$A$177:$A$222)*'Cálculos'!$F$98)+1400)+'Cálculos'!$F$122)*'Cálculos'!$F$276+'Cálculos'!$F$125*(1+2.78*('Cálculos'!$F$200+(($C218)-$A$177:$A$222)*'Cálculos'!$F$98)/(('Cálculos'!$F$200+(($C218)-$A$177:$A$222)*'Cálculos'!$F$98)+1400)+'Cálculos'!$F$123)*'Cálculos'!$F$281)+('Cálculos'!$F$204*(1+'Cálculos'!$F$205+$A$177:$A$222*('Cálculos'!$F$290=3)*'Cálculos'!$F$103)+'Cálculos'!$F$206)*('Cálculos'!$F$272+'Cálculos'!$F$124*(1+2.78*('Cálculos'!$F$200+(($C218)-$A$177:$A$222)*'Cálculos'!$F$98)/(('Cálculos'!$F$200+(($C218)-$A$177:$A$222)*'Cálculos'!$F$98)+1400)+'Cálculos'!$F$122)*'Cálculos'!$F$277+'Cálculos'!$F$125*(1+2.78*('Cálculos'!$F$200+(($C218)-$A$177:$A$222)*'Cálculos'!$F$98)/(('Cálculos'!$F$200+(($C218)-$A$177:$A$222)*'Cálculos'!$F$98)+1400)+'Cálculos'!$F$123)*'Cálculos'!$F$282)))))</f>
        <v>0</v>
      </c>
      <c r="E218" s="32">
        <f>IF(OR($C218&lt;0,'Cálculos'!$F$6=""),0,$B218*$D218)</f>
        <v>0</v>
      </c>
      <c r="F218" s="2"/>
      <c r="G218" s="30">
        <f>($A218&lt;=$B$224)*($A218&lt;='Cálculos'!$F$294)*(($B$224)-$A218&lt;='Cálculos'!$F$295)*(1+MIN(('Cálculos'!$F$207+$A218*'Cálculos'!$F$95),1)*('Cálculos'!$F$208+(($B$224)-$A218)*'Cálculos'!$F$96))</f>
        <v>0</v>
      </c>
      <c r="H218" s="31">
        <f>IF($B$225&lt;0,0,($A218&lt;=$B$225)*($A218&lt;='Cálculos'!$F$301)*(($B$225)-$A218&lt;='Cálculos'!$F$297)*(('Cálculos'!$F$185*(1+'Cálculos'!$F$186+$A218*('Cálculos'!$F$290=1)*'Cálculos'!$F$97+'Cálculos'!$F$305)+'Cálculos'!$F$191)*('Cálculos'!$F$209+'Cálculos'!$F$124*(1+2.78*('Cálculos'!$F$196+(($B$225)-$A218)*'Cálculos'!$F$98)/(('Cálculos'!$F$196+(($B$225)-$A218)*'Cálculos'!$F$98)+1400)+'Cálculos'!$F$122)*'Cálculos'!$F$214+'Cálculos'!$F$125*(1+2.78*('Cálculos'!$F$196+(($B$225)-$A218)*'Cálculos'!$F$98)/(('Cálculos'!$F$196+(($B$225)-$A218)*'Cálculos'!$F$98)+1400)+'Cálculos'!$F$123)*'Cálculos'!$F$219)+('Cálculos'!$F$196+(($B$225)-$A218)*'Cálculos'!$F$98)*('Cálculos'!$F$210+'Cálculos'!$F$124*(1+2.78*('Cálculos'!$F$196+(($B$225)-$A218)*'Cálculos'!$F$98)/(('Cálculos'!$F$196+(($B$225)-$A218)*'Cálculos'!$F$98)+1400)+'Cálculos'!$F$122)*'Cálculos'!$F$215+'Cálculos'!$F$125*(1+2.78*('Cálculos'!$F$196+(($B$225)-$A218)*'Cálculos'!$F$98)/(('Cálculos'!$F$196+(($B$225)-$A218)*'Cálculos'!$F$98)+1400)+'Cálculos'!$F$123)*'Cálculos'!$F$220)+('Cálculos'!$F$201*(1+'Cálculos'!$F$202+$A218*('Cálculos'!$F$290=2)*'Cálculos'!$F$101)+'Cálculos'!$F$203)*('Cálculos'!$F$211+'Cálculos'!$F$124*(1+2.78*('Cálculos'!$F$196+(($B$225)-$A218)*'Cálculos'!$F$98)/(('Cálculos'!$F$196+(($B$225)-$A218)*'Cálculos'!$F$98)+1400)+'Cálculos'!$F$122)*'Cálculos'!$F$216+'Cálculos'!$F$125*(1+2.78*('Cálculos'!$F$196+(($B$225)-$A218)*'Cálculos'!$F$98)/(('Cálculos'!$F$196+(($B$225)-$A218)*'Cálculos'!$F$98)+1400)+'Cálculos'!$F$123)*'Cálculos'!$F$221)+('Cálculos'!$F$204*(1+'Cálculos'!$F$205+$A218*('Cálculos'!$F$290=3)*'Cálculos'!$F$103)+'Cálculos'!$F$206)*('Cálculos'!$F$212+'Cálculos'!$F$124*(1+2.78*('Cálculos'!$F$196+(($B$225)-$A218)*'Cálculos'!$F$98)/(('Cálculos'!$F$196+(($B$225)-$A218)*'Cálculos'!$F$98)+1400)+'Cálculos'!$F$122)*'Cálculos'!$F$217+'Cálculos'!$F$125*(1+2.78*('Cálculos'!$F$196+(($B$225)-$A218)*'Cálculos'!$F$98)/(('Cálculos'!$F$196+(($B$225)-$A218)*'Cálculos'!$F$98)+1400)+'Cálculos'!$F$123)*'Cálculos'!$F$222)+('Cálculos'!$F$185*(1+'Cálculos'!$F$187+$A218*('Cálculos'!$F$290=1)*'Cálculos'!$F$97+'Cálculos'!$F$305)+'Cálculos'!$F$192)*('Cálculos'!$F$224+'Cálculos'!$F$124*(1+2.78*('Cálculos'!$F$197+(($B$225)-$A218)*'Cálculos'!$F$98)/(('Cálculos'!$F$197+(($B$225)-$A218)*'Cálculos'!$F$98)+1400)+'Cálculos'!$F$122)*'Cálculos'!$F$229+'Cálculos'!$F$125*(1+2.78*('Cálculos'!$F$197+(($B$225)-$A218)*'Cálculos'!$F$98)/(('Cálculos'!$F$197+(($B$225)-$A218)*'Cálculos'!$F$98)+1400)+'Cálculos'!$F$123)*'Cálculos'!$F$234)+('Cálculos'!$F$197+(($B$225)-$A218)*'Cálculos'!$F$98)*('Cálculos'!$F$225+'Cálculos'!$F$124*(1+2.78*('Cálculos'!$F$197+(($B$225)-$A218)*'Cálculos'!$F$98)/(('Cálculos'!$F$197+(($B$225)-$A218)*'Cálculos'!$F$98)+1400)+'Cálculos'!$F$122)*'Cálculos'!$F$230+'Cálculos'!$F$125*(1+2.78*('Cálculos'!$F$197+(($B$225)-$A218)*'Cálculos'!$F$98)/(('Cálculos'!$F$197+(($B$225)-$A218)*'Cálculos'!$F$98)+1400)+'Cálculos'!$F$123)*'Cálculos'!$F$235)+('Cálculos'!$F$201*(1+'Cálculos'!$F$202+$A218*('Cálculos'!$F$290=2)*'Cálculos'!$F$101)+'Cálculos'!$F$203)*('Cálculos'!$F$226+'Cálculos'!$F$124*(1+2.78*('Cálculos'!$F$197+(($B$225)-$A218)*'Cálculos'!$F$98)/(('Cálculos'!$F$197+(($B$225)-$A218)*'Cálculos'!$F$98)+1400)+'Cálculos'!$F$122)*'Cálculos'!$F$231+'Cálculos'!$F$125*(1+2.78*('Cálculos'!$F$197+(($B$225)-$A218)*'Cálculos'!$F$98)/(('Cálculos'!$F$197+(($B$225)-$A218)*'Cálculos'!$F$98)+1400)+'Cálculos'!$F$123)*'Cálculos'!$F$236)+('Cálculos'!$F$204*(1+'Cálculos'!$F$205+$A218*('Cálculos'!$F$290=3)*'Cálculos'!$F$103)+'Cálculos'!$F$206)*('Cálculos'!$F$227+'Cálculos'!$F$124*(1+2.78*('Cálculos'!$F$197+(($B$225)-$A218)*'Cálculos'!$F$98)/(('Cálculos'!$F$197+(($B$225)-$A218)*'Cálculos'!$F$98)+1400)+'Cálculos'!$F$122)*'Cálculos'!$F$232+'Cálculos'!$F$125*(1+2.78*('Cálculos'!$F$197+(($B$225)-$A218)*'Cálculos'!$F$98)/(('Cálculos'!$F$197+(($B$225)-$A218)*'Cálculos'!$F$98)+1400)+'Cálculos'!$F$123)*'Cálculos'!$F$237)+('Cálculos'!$F$185*(1+'Cálculos'!$F$188+$A218*('Cálculos'!$F$290=1)*'Cálculos'!$F$97+'Cálculos'!$F$305)+'Cálculos'!$F$193)*('Cálculos'!$F$239+'Cálculos'!$F$124*(1+2.78*('Cálculos'!$F$198+(($B$225)-$A218)*'Cálculos'!$F$98)/(('Cálculos'!$F$198+(($B$225)-$A218)*'Cálculos'!$F$98)+1400)+'Cálculos'!$F$122)*'Cálculos'!$F$244+'Cálculos'!$F$125*(1+2.78*('Cálculos'!$F$198+(($B$225)-$A218)*'Cálculos'!$F$98)/(('Cálculos'!$F$198+(($B$225)-$A218)*'Cálculos'!$F$98)+1400)+'Cálculos'!$F$123)*'Cálculos'!$F$249)+('Cálculos'!$F$198+(($B$225)-$A218)*'Cálculos'!$F$98)*('Cálculos'!$F$240+'Cálculos'!$F$124*(1+2.78*('Cálculos'!$F$198+(($B$225)-$A218)*'Cálculos'!$F$98)/(('Cálculos'!$F$198+(($B$225)-$A218)*'Cálculos'!$F$98)+1400)+'Cálculos'!$F$122)*'Cálculos'!$F$245+'Cálculos'!$F$125*(1+2.78*('Cálculos'!$F$198+(($B$225)-$A218)*'Cálculos'!$F$98)/(('Cálculos'!$F$198+(($B$225)-$A218)*'Cálculos'!$F$98)+1400)+'Cálculos'!$F$123)*'Cálculos'!$F$250)+('Cálculos'!$F$201*(1+'Cálculos'!$F$202+$A218*('Cálculos'!$F$290=2)*'Cálculos'!$F$101)+'Cálculos'!$F$203)*('Cálculos'!$F$241+'Cálculos'!$F$124*(1+2.78*('Cálculos'!$F$198+(($B$225)-$A218)*'Cálculos'!$F$98)/(('Cálculos'!$F$198+(($B$225)-$A218)*'Cálculos'!$F$98)+1400)+'Cálculos'!$F$122)*'Cálculos'!$F$246+'Cálculos'!$F$125*(1+2.78*('Cálculos'!$F$198+(($B$225)-$A218)*'Cálculos'!$F$98)/(('Cálculos'!$F$198+(($B$225)-$A218)*'Cálculos'!$F$98)+1400)+'Cálculos'!$F$123)*'Cálculos'!$F$251)+('Cálculos'!$F$204*(1+'Cálculos'!$F$205+$A218*('Cálculos'!$F$290=3)*'Cálculos'!$F$103)+'Cálculos'!$F$206)*('Cálculos'!$F$242+'Cálculos'!$F$124*(1+2.78*('Cálculos'!$F$198+(($B$225)-$A218)*'Cálculos'!$F$98)/(('Cálculos'!$F$198+(($B$225)-$A218)*'Cálculos'!$F$98)+1400)+'Cálculos'!$F$122)*'Cálculos'!$F$247+'Cálculos'!$F$125*(1+2.78*('Cálculos'!$F$198+(($B$225)-$A218)*'Cálculos'!$F$98)/(('Cálculos'!$F$198+(($B$225)-$A218)*'Cálculos'!$F$98)+1400)+'Cálculos'!$F$123)*'Cálculos'!$F$252)+('Cálculos'!$F$185*(1+'Cálculos'!$F$189+$A218*('Cálculos'!$F$290=1)*'Cálculos'!$F$97+'Cálculos'!$F$305)+'Cálculos'!$F$194)*('Cálculos'!$F$254+'Cálculos'!$F$124*(1+2.78*('Cálculos'!$F$199+(($B$225)-$A218)*'Cálculos'!$F$98)/(('Cálculos'!$F$199+(($B$225)-$A218)*'Cálculos'!$F$98)+1400)+'Cálculos'!$F$122)*'Cálculos'!$F$259+'Cálculos'!$F$125*(1+2.78*('Cálculos'!$F$199+(($B$225)-$A218)*'Cálculos'!$F$98)/(('Cálculos'!$F$199+(($B$225)-$A218)*'Cálculos'!$F$98)+1400)+'Cálculos'!$F$123)*'Cálculos'!$F$264)+('Cálculos'!$F$199+(($B$225)-$A218)*'Cálculos'!$F$98)*('Cálculos'!$F$255+'Cálculos'!$F$124*(1+2.78*('Cálculos'!$F$199+(($B$225)-$A218)*'Cálculos'!$F$98)/(('Cálculos'!$F$199+(($B$225)-$A218)*'Cálculos'!$F$98)+1400)+'Cálculos'!$F$122)*'Cálculos'!$F$260+'Cálculos'!$F$125*(1+2.78*('Cálculos'!$F$199+(($B$225)-$A218)*'Cálculos'!$F$98)/(('Cálculos'!$F$199+(($B$225)-$A218)*'Cálculos'!$F$98)+1400)+'Cálculos'!$F$123)*'Cálculos'!$F$265)+('Cálculos'!$F$201*(1+'Cálculos'!$F$202+$A218*('Cálculos'!$F$290=2)*'Cálculos'!$F$101)+'Cálculos'!$F$203)*('Cálculos'!$F$256+'Cálculos'!$F$124*(1+2.78*('Cálculos'!$F$199+(($B$225)-$A218)*'Cálculos'!$F$98)/(('Cálculos'!$F$199+(($B$225)-$A218)*'Cálculos'!$F$98)+1400)+'Cálculos'!$F$122)*'Cálculos'!$F$261+'Cálculos'!$F$125*(1+2.78*('Cálculos'!$F$199+(($B$225)-$A218)*'Cálculos'!$F$98)/(('Cálculos'!$F$199+(($B$225)-$A218)*'Cálculos'!$F$98)+1400)+'Cálculos'!$F$123)*'Cálculos'!$F$266)+('Cálculos'!$F$204*(1+'Cálculos'!$F$205+$A218*('Cálculos'!$F$290=3)*'Cálculos'!$F$103)+'Cálculos'!$F$206)*('Cálculos'!$F$257+'Cálculos'!$F$124*(1+2.78*('Cálculos'!$F$199+(($B$225)-$A218)*'Cálculos'!$F$98)/(('Cálculos'!$F$199+(($B$225)-$A218)*'Cálculos'!$F$98)+1400)+'Cálculos'!$F$122)*'Cálculos'!$F$262+'Cálculos'!$F$125*(1+2.78*('Cálculos'!$F$199+(($B$225)-$A218)*'Cálculos'!$F$98)/(('Cálculos'!$F$199+(($B$225)-$A218)*'Cálculos'!$F$98)+1400)+'Cálculos'!$F$123)*'Cálculos'!$F$267)+('Cálculos'!$F$185*(1+'Cálculos'!$F$190+$A218*('Cálculos'!$F$290=1)*'Cálculos'!$F$97+'Cálculos'!$F$305)+'Cálculos'!$F$195)*('Cálculos'!$F$269+'Cálculos'!$F$124*(1+2.78*('Cálculos'!$F$200+(($B$225)-$A218)*'Cálculos'!$F$98)/(('Cálculos'!$F$200+(($B$225)-$A218)*'Cálculos'!$F$98)+1400)+'Cálculos'!$F$122)*'Cálculos'!$F$274+'Cálculos'!$F$125*(1+2.78*('Cálculos'!$F$200+(($B$225)-$A218)*'Cálculos'!$F$98)/(('Cálculos'!$F$200+(($B$225)-$A218)*'Cálculos'!$F$98)+1400)+'Cálculos'!$F$123)*'Cálculos'!$F$279)+('Cálculos'!$F$200+(($B$225)-$A218)*'Cálculos'!$F$98)*('Cálculos'!$F$270+'Cálculos'!$F$124*(1+2.78*('Cálculos'!$F$200+(($B$225)-$A218)*'Cálculos'!$F$98)/(('Cálculos'!$F$200+(($B$225)-$A218)*'Cálculos'!$F$98)+1400)+'Cálculos'!$F$122)*'Cálculos'!$F$275+'Cálculos'!$F$125*(1+2.78*('Cálculos'!$F$200+(($B$225)-$A218)*'Cálculos'!$F$98)/(('Cálculos'!$F$200+(($B$225)-$A218)*'Cálculos'!$F$98)+1400)+'Cálculos'!$F$123)*'Cálculos'!$F$280)+('Cálculos'!$F$201*(1+'Cálculos'!$F$202+$A218*('Cálculos'!$F$290=2)*'Cálculos'!$F$101)+'Cálculos'!$F$203)*('Cálculos'!$F$271+'Cálculos'!$F$124*(1+2.78*('Cálculos'!$F$200+(($B$225)-$A218)*'Cálculos'!$F$98)/(('Cálculos'!$F$200+(($B$225)-$A218)*'Cálculos'!$F$98)+1400)+'Cálculos'!$F$122)*'Cálculos'!$F$276+'Cálculos'!$F$125*(1+2.78*('Cálculos'!$F$200+(($B$225)-$A218)*'Cálculos'!$F$98)/(('Cálculos'!$F$200+(($B$225)-$A218)*'Cálculos'!$F$98)+1400)+'Cálculos'!$F$123)*'Cálculos'!$F$281)+('Cálculos'!$F$204*(1+'Cálculos'!$F$205+$A218*('Cálculos'!$F$290=3)*'Cálculos'!$F$103)+'Cálculos'!$F$206)*('Cálculos'!$F$272+'Cálculos'!$F$124*(1+2.78*('Cálculos'!$F$200+(($B$225)-$A218)*'Cálculos'!$F$98)/(('Cálculos'!$F$200+(($B$225)-$A218)*'Cálculos'!$F$98)+1400)+'Cálculos'!$F$122)*'Cálculos'!$F$277+'Cálculos'!$F$125*(1+2.78*('Cálculos'!$F$200+(($B$225)-$A218)*'Cálculos'!$F$98)/(('Cálculos'!$F$200+(($B$225)-$A218)*'Cálculos'!$F$98)+1400)+'Cálculos'!$F$123)*'Cálculos'!$F$282)))</f>
        <v>0</v>
      </c>
    </row>
    <row r="219" ht="15.75" customHeight="1">
      <c r="A219" s="2">
        <v>42.0</v>
      </c>
      <c r="B219" s="30">
        <f>SUMPRODUCT(MAX(($A$177:$A$222&lt;=$A219)*($A$177:$A$222&lt;='Cálculos'!$F$294)*(($A219)-$A$177:$A$222&lt;='Cálculos'!$F$295)*(1+(('Cálculos'!$F$207+$A$177:$A$222*'Cálculos'!$F$95)-(('Cálculos'!$F$207+$A$177:$A$222*'Cálculos'!$F$95)&gt;1)*(('Cálculos'!$F$207+$A$177:$A$222*'Cálculos'!$F$95)-1))*('Cálculos'!$F$208+(($A219)-$A$177:$A$222)*'Cálculos'!$F$96))))</f>
        <v>3.887924</v>
      </c>
      <c r="C219" s="2">
        <f>'Cálculos'!$F$303-$A219</f>
        <v>-24</v>
      </c>
      <c r="D219" s="31">
        <f>IF($C219&lt;0,0,SUMPRODUCT(MAX(($A$177:$A$222&lt;=$C219)*($A$177:$A$222&lt;='Cálculos'!$F$301)*(($C219)-$A$177:$A$222&lt;='Cálculos'!$F$297)*(('Cálculos'!$F$185*(1+'Cálculos'!$F$186+$A$177:$A$222*('Cálculos'!$F$290=1)*'Cálculos'!$F$97+'Cálculos'!$F$305)+'Cálculos'!$F$191)*('Cálculos'!$F$209+'Cálculos'!$F$124*(1+2.78*('Cálculos'!$F$196+(($C219)-$A$177:$A$222)*'Cálculos'!$F$98)/(('Cálculos'!$F$196+(($C219)-$A$177:$A$222)*'Cálculos'!$F$98)+1400)+'Cálculos'!$F$122)*'Cálculos'!$F$214+'Cálculos'!$F$125*(1+2.78*('Cálculos'!$F$196+(($C219)-$A$177:$A$222)*'Cálculos'!$F$98)/(('Cálculos'!$F$196+(($C219)-$A$177:$A$222)*'Cálculos'!$F$98)+1400)+'Cálculos'!$F$123)*'Cálculos'!$F$219)+('Cálculos'!$F$196+(($C219)-$A$177:$A$222)*'Cálculos'!$F$98)*('Cálculos'!$F$210+'Cálculos'!$F$124*(1+2.78*('Cálculos'!$F$196+(($C219)-$A$177:$A$222)*'Cálculos'!$F$98)/(('Cálculos'!$F$196+(($C219)-$A$177:$A$222)*'Cálculos'!$F$98)+1400)+'Cálculos'!$F$122)*'Cálculos'!$F$215+'Cálculos'!$F$125*(1+2.78*('Cálculos'!$F$196+(($C219)-$A$177:$A$222)*'Cálculos'!$F$98)/(('Cálculos'!$F$196+(($C219)-$A$177:$A$222)*'Cálculos'!$F$98)+1400)+'Cálculos'!$F$123)*'Cálculos'!$F$220)+('Cálculos'!$F$201*(1+'Cálculos'!$F$202+$A$177:$A$222*('Cálculos'!$F$290=2)*'Cálculos'!$F$101)+'Cálculos'!$F$203)*('Cálculos'!$F$211+'Cálculos'!$F$124*(1+2.78*('Cálculos'!$F$196+(($C219)-$A$177:$A$222)*'Cálculos'!$F$98)/(('Cálculos'!$F$196+(($C219)-$A$177:$A$222)*'Cálculos'!$F$98)+1400)+'Cálculos'!$F$122)*'Cálculos'!$F$216+'Cálculos'!$F$125*(1+2.78*('Cálculos'!$F$196+(($C219)-$A$177:$A$222)*'Cálculos'!$F$98)/(('Cálculos'!$F$196+(($C219)-$A$177:$A$222)*'Cálculos'!$F$98)+1400)+'Cálculos'!$F$123)*'Cálculos'!$F$221)+('Cálculos'!$F$204*(1+'Cálculos'!$F$205+$A$177:$A$222*('Cálculos'!$F$290=3)*'Cálculos'!$F$103)+'Cálculos'!$F$206)*('Cálculos'!$F$212+'Cálculos'!$F$124*(1+2.78*('Cálculos'!$F$196+(($C219)-$A$177:$A$222)*'Cálculos'!$F$98)/(('Cálculos'!$F$196+(($C219)-$A$177:$A$222)*'Cálculos'!$F$98)+1400)+'Cálculos'!$F$122)*'Cálculos'!$F$217+'Cálculos'!$F$125*(1+2.78*('Cálculos'!$F$196+(($C219)-$A$177:$A$222)*'Cálculos'!$F$98)/(('Cálculos'!$F$196+(($C219)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219)-$A$177:$A$222)*'Cálculos'!$F$98)/(('Cálculos'!$F$197+(($C219)-$A$177:$A$222)*'Cálculos'!$F$98)+1400)+'Cálculos'!$F$122)*'Cálculos'!$F$229+'Cálculos'!$F$125*(1+2.78*('Cálculos'!$F$197+(($C219)-$A$177:$A$222)*'Cálculos'!$F$98)/(('Cálculos'!$F$197+(($C219)-$A$177:$A$222)*'Cálculos'!$F$98)+1400)+'Cálculos'!$F$123)*'Cálculos'!$F$234)+('Cálculos'!$F$197+(($C219)-$A$177:$A$222)*'Cálculos'!$F$98)*('Cálculos'!$F$225+'Cálculos'!$F$124*(1+2.78*('Cálculos'!$F$197+(($C219)-$A$177:$A$222)*'Cálculos'!$F$98)/(('Cálculos'!$F$197+(($C219)-$A$177:$A$222)*'Cálculos'!$F$98)+1400)+'Cálculos'!$F$122)*'Cálculos'!$F$230+'Cálculos'!$F$125*(1+2.78*('Cálculos'!$F$197+(($C219)-$A$177:$A$222)*'Cálculos'!$F$98)/(('Cálculos'!$F$197+(($C219)-$A$177:$A$222)*'Cálculos'!$F$98)+1400)+'Cálculos'!$F$123)*'Cálculos'!$F$235)+('Cálculos'!$F$201*(1+'Cálculos'!$F$202+$A$177:$A$222*('Cálculos'!$F$290=2)*'Cálculos'!$F$101)+'Cálculos'!$F$203)*('Cálculos'!$F$226+'Cálculos'!$F$124*(1+2.78*('Cálculos'!$F$197+(($C219)-$A$177:$A$222)*'Cálculos'!$F$98)/(('Cálculos'!$F$197+(($C219)-$A$177:$A$222)*'Cálculos'!$F$98)+1400)+'Cálculos'!$F$122)*'Cálculos'!$F$231+'Cálculos'!$F$125*(1+2.78*('Cálculos'!$F$197+(($C219)-$A$177:$A$222)*'Cálculos'!$F$98)/(('Cálculos'!$F$197+(($C219)-$A$177:$A$222)*'Cálculos'!$F$98)+1400)+'Cálculos'!$F$123)*'Cálculos'!$F$236)+('Cálculos'!$F$204*(1+'Cálculos'!$F$205+$A$177:$A$222*('Cálculos'!$F$290=3)*'Cálculos'!$F$103)+'Cálculos'!$F$206)*('Cálculos'!$F$227+'Cálculos'!$F$124*(1+2.78*('Cálculos'!$F$197+(($C219)-$A$177:$A$222)*'Cálculos'!$F$98)/(('Cálculos'!$F$197+(($C219)-$A$177:$A$222)*'Cálculos'!$F$98)+1400)+'Cálculos'!$F$122)*'Cálculos'!$F$232+'Cálculos'!$F$125*(1+2.78*('Cálculos'!$F$197+(($C219)-$A$177:$A$222)*'Cálculos'!$F$98)/(('Cálculos'!$F$197+(($C219)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219)-$A$177:$A$222)*'Cálculos'!$F$98)/(('Cálculos'!$F$198+(($C219)-$A$177:$A$222)*'Cálculos'!$F$98)+1400)+'Cálculos'!$F$122)*'Cálculos'!$F$244+'Cálculos'!$F$125*(1+2.78*('Cálculos'!$F$198+(($C219)-$A$177:$A$222)*'Cálculos'!$F$98)/(('Cálculos'!$F$198+(($C219)-$A$177:$A$222)*'Cálculos'!$F$98)+1400)+'Cálculos'!$F$123)*'Cálculos'!$F$249)+('Cálculos'!$F$198+(($C219)-$A$177:$A$222)*'Cálculos'!$F$98)*('Cálculos'!$F$240+'Cálculos'!$F$124*(1+2.78*('Cálculos'!$F$198+(($C219)-$A$177:$A$222)*'Cálculos'!$F$98)/(('Cálculos'!$F$198+(($C219)-$A$177:$A$222)*'Cálculos'!$F$98)+1400)+'Cálculos'!$F$122)*'Cálculos'!$F$245+'Cálculos'!$F$125*(1+2.78*('Cálculos'!$F$198+(($C219)-$A$177:$A$222)*'Cálculos'!$F$98)/(('Cálculos'!$F$198+(($C219)-$A$177:$A$222)*'Cálculos'!$F$98)+1400)+'Cálculos'!$F$123)*'Cálculos'!$F$250)+('Cálculos'!$F$201*(1+'Cálculos'!$F$202+$A$177:$A$222*('Cálculos'!$F$290=2)*'Cálculos'!$F$101)+'Cálculos'!$F$203)*('Cálculos'!$F$241+'Cálculos'!$F$124*(1+2.78*('Cálculos'!$F$198+(($C219)-$A$177:$A$222)*'Cálculos'!$F$98)/(('Cálculos'!$F$198+(($C219)-$A$177:$A$222)*'Cálculos'!$F$98)+1400)+'Cálculos'!$F$122)*'Cálculos'!$F$246+'Cálculos'!$F$125*(1+2.78*('Cálculos'!$F$198+(($C219)-$A$177:$A$222)*'Cálculos'!$F$98)/(('Cálculos'!$F$198+(($C219)-$A$177:$A$222)*'Cálculos'!$F$98)+1400)+'Cálculos'!$F$123)*'Cálculos'!$F$251)+('Cálculos'!$F$204*(1+'Cálculos'!$F$205+$A$177:$A$222*('Cálculos'!$F$290=3)*'Cálculos'!$F$103)+'Cálculos'!$F$206)*('Cálculos'!$F$242+'Cálculos'!$F$124*(1+2.78*('Cálculos'!$F$198+(($C219)-$A$177:$A$222)*'Cálculos'!$F$98)/(('Cálculos'!$F$198+(($C219)-$A$177:$A$222)*'Cálculos'!$F$98)+1400)+'Cálculos'!$F$122)*'Cálculos'!$F$247+'Cálculos'!$F$125*(1+2.78*('Cálculos'!$F$198+(($C219)-$A$177:$A$222)*'Cálculos'!$F$98)/(('Cálculos'!$F$198+(($C219)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219)-$A$177:$A$222)*'Cálculos'!$F$98)/(('Cálculos'!$F$199+(($C219)-$A$177:$A$222)*'Cálculos'!$F$98)+1400)+'Cálculos'!$F$122)*'Cálculos'!$F$259+'Cálculos'!$F$125*(1+2.78*('Cálculos'!$F$199+(($C219)-$A$177:$A$222)*'Cálculos'!$F$98)/(('Cálculos'!$F$199+(($C219)-$A$177:$A$222)*'Cálculos'!$F$98)+1400)+'Cálculos'!$F$123)*'Cálculos'!$F$264)+('Cálculos'!$F$199+(($C219)-$A$177:$A$222)*'Cálculos'!$F$98)*('Cálculos'!$F$255+'Cálculos'!$F$124*(1+2.78*('Cálculos'!$F$199+(($C219)-$A$177:$A$222)*'Cálculos'!$F$98)/(('Cálculos'!$F$199+(($C219)-$A$177:$A$222)*'Cálculos'!$F$98)+1400)+'Cálculos'!$F$122)*'Cálculos'!$F$260+'Cálculos'!$F$125*(1+2.78*('Cálculos'!$F$199+(($C219)-$A$177:$A$222)*'Cálculos'!$F$98)/(('Cálculos'!$F$199+(($C219)-$A$177:$A$222)*'Cálculos'!$F$98)+1400)+'Cálculos'!$F$123)*'Cálculos'!$F$265)+('Cálculos'!$F$201*(1+'Cálculos'!$F$202+$A$177:$A$222*('Cálculos'!$F$290=2)*'Cálculos'!$F$101)+'Cálculos'!$F$203)*('Cálculos'!$F$256+'Cálculos'!$F$124*(1+2.78*('Cálculos'!$F$199+(($C219)-$A$177:$A$222)*'Cálculos'!$F$98)/(('Cálculos'!$F$199+(($C219)-$A$177:$A$222)*'Cálculos'!$F$98)+1400)+'Cálculos'!$F$122)*'Cálculos'!$F$261+'Cálculos'!$F$125*(1+2.78*('Cálculos'!$F$199+(($C219)-$A$177:$A$222)*'Cálculos'!$F$98)/(('Cálculos'!$F$199+(($C219)-$A$177:$A$222)*'Cálculos'!$F$98)+1400)+'Cálculos'!$F$123)*'Cálculos'!$F$266)+('Cálculos'!$F$204*(1+'Cálculos'!$F$205+$A$177:$A$222*('Cálculos'!$F$290=3)*'Cálculos'!$F$103)+'Cálculos'!$F$206)*('Cálculos'!$F$257+'Cálculos'!$F$124*(1+2.78*('Cálculos'!$F$199+(($C219)-$A$177:$A$222)*'Cálculos'!$F$98)/(('Cálculos'!$F$199+(($C219)-$A$177:$A$222)*'Cálculos'!$F$98)+1400)+'Cálculos'!$F$122)*'Cálculos'!$F$262+'Cálculos'!$F$125*(1+2.78*('Cálculos'!$F$199+(($C219)-$A$177:$A$222)*'Cálculos'!$F$98)/(('Cálculos'!$F$199+(($C219)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219)-$A$177:$A$222)*'Cálculos'!$F$98)/(('Cálculos'!$F$200+(($C219)-$A$177:$A$222)*'Cálculos'!$F$98)+1400)+'Cálculos'!$F$122)*'Cálculos'!$F$274+'Cálculos'!$F$125*(1+2.78*('Cálculos'!$F$200+(($C219)-$A$177:$A$222)*'Cálculos'!$F$98)/(('Cálculos'!$F$200+(($C219)-$A$177:$A$222)*'Cálculos'!$F$98)+1400)+'Cálculos'!$F$123)*'Cálculos'!$F$279)+('Cálculos'!$F$200+(($C219)-$A$177:$A$222)*'Cálculos'!$F$98)*('Cálculos'!$F$270+'Cálculos'!$F$124*(1+2.78*('Cálculos'!$F$200+(($C219)-$A$177:$A$222)*'Cálculos'!$F$98)/(('Cálculos'!$F$200+(($C219)-$A$177:$A$222)*'Cálculos'!$F$98)+1400)+'Cálculos'!$F$122)*'Cálculos'!$F$275+'Cálculos'!$F$125*(1+2.78*('Cálculos'!$F$200+(($C219)-$A$177:$A$222)*'Cálculos'!$F$98)/(('Cálculos'!$F$200+(($C219)-$A$177:$A$222)*'Cálculos'!$F$98)+1400)+'Cálculos'!$F$123)*'Cálculos'!$F$280)+('Cálculos'!$F$201*(1+'Cálculos'!$F$202+$A$177:$A$222*('Cálculos'!$F$290=2)*'Cálculos'!$F$101)+'Cálculos'!$F$203)*('Cálculos'!$F$271+'Cálculos'!$F$124*(1+2.78*('Cálculos'!$F$200+(($C219)-$A$177:$A$222)*'Cálculos'!$F$98)/(('Cálculos'!$F$200+(($C219)-$A$177:$A$222)*'Cálculos'!$F$98)+1400)+'Cálculos'!$F$122)*'Cálculos'!$F$276+'Cálculos'!$F$125*(1+2.78*('Cálculos'!$F$200+(($C219)-$A$177:$A$222)*'Cálculos'!$F$98)/(('Cálculos'!$F$200+(($C219)-$A$177:$A$222)*'Cálculos'!$F$98)+1400)+'Cálculos'!$F$123)*'Cálculos'!$F$281)+('Cálculos'!$F$204*(1+'Cálculos'!$F$205+$A$177:$A$222*('Cálculos'!$F$290=3)*'Cálculos'!$F$103)+'Cálculos'!$F$206)*('Cálculos'!$F$272+'Cálculos'!$F$124*(1+2.78*('Cálculos'!$F$200+(($C219)-$A$177:$A$222)*'Cálculos'!$F$98)/(('Cálculos'!$F$200+(($C219)-$A$177:$A$222)*'Cálculos'!$F$98)+1400)+'Cálculos'!$F$122)*'Cálculos'!$F$277+'Cálculos'!$F$125*(1+2.78*('Cálculos'!$F$200+(($C219)-$A$177:$A$222)*'Cálculos'!$F$98)/(('Cálculos'!$F$200+(($C219)-$A$177:$A$222)*'Cálculos'!$F$98)+1400)+'Cálculos'!$F$123)*'Cálculos'!$F$282)))))</f>
        <v>0</v>
      </c>
      <c r="E219" s="32">
        <f>IF(OR($C219&lt;0,'Cálculos'!$F$6=""),0,$B219*$D219)</f>
        <v>0</v>
      </c>
      <c r="F219" s="2"/>
      <c r="G219" s="30">
        <f>($A219&lt;=$B$224)*($A219&lt;='Cálculos'!$F$294)*(($B$224)-$A219&lt;='Cálculos'!$F$295)*(1+MIN(('Cálculos'!$F$207+$A219*'Cálculos'!$F$95),1)*('Cálculos'!$F$208+(($B$224)-$A219)*'Cálculos'!$F$96))</f>
        <v>0</v>
      </c>
      <c r="H219" s="31">
        <f>IF($B$225&lt;0,0,($A219&lt;=$B$225)*($A219&lt;='Cálculos'!$F$301)*(($B$225)-$A219&lt;='Cálculos'!$F$297)*(('Cálculos'!$F$185*(1+'Cálculos'!$F$186+$A219*('Cálculos'!$F$290=1)*'Cálculos'!$F$97+'Cálculos'!$F$305)+'Cálculos'!$F$191)*('Cálculos'!$F$209+'Cálculos'!$F$124*(1+2.78*('Cálculos'!$F$196+(($B$225)-$A219)*'Cálculos'!$F$98)/(('Cálculos'!$F$196+(($B$225)-$A219)*'Cálculos'!$F$98)+1400)+'Cálculos'!$F$122)*'Cálculos'!$F$214+'Cálculos'!$F$125*(1+2.78*('Cálculos'!$F$196+(($B$225)-$A219)*'Cálculos'!$F$98)/(('Cálculos'!$F$196+(($B$225)-$A219)*'Cálculos'!$F$98)+1400)+'Cálculos'!$F$123)*'Cálculos'!$F$219)+('Cálculos'!$F$196+(($B$225)-$A219)*'Cálculos'!$F$98)*('Cálculos'!$F$210+'Cálculos'!$F$124*(1+2.78*('Cálculos'!$F$196+(($B$225)-$A219)*'Cálculos'!$F$98)/(('Cálculos'!$F$196+(($B$225)-$A219)*'Cálculos'!$F$98)+1400)+'Cálculos'!$F$122)*'Cálculos'!$F$215+'Cálculos'!$F$125*(1+2.78*('Cálculos'!$F$196+(($B$225)-$A219)*'Cálculos'!$F$98)/(('Cálculos'!$F$196+(($B$225)-$A219)*'Cálculos'!$F$98)+1400)+'Cálculos'!$F$123)*'Cálculos'!$F$220)+('Cálculos'!$F$201*(1+'Cálculos'!$F$202+$A219*('Cálculos'!$F$290=2)*'Cálculos'!$F$101)+'Cálculos'!$F$203)*('Cálculos'!$F$211+'Cálculos'!$F$124*(1+2.78*('Cálculos'!$F$196+(($B$225)-$A219)*'Cálculos'!$F$98)/(('Cálculos'!$F$196+(($B$225)-$A219)*'Cálculos'!$F$98)+1400)+'Cálculos'!$F$122)*'Cálculos'!$F$216+'Cálculos'!$F$125*(1+2.78*('Cálculos'!$F$196+(($B$225)-$A219)*'Cálculos'!$F$98)/(('Cálculos'!$F$196+(($B$225)-$A219)*'Cálculos'!$F$98)+1400)+'Cálculos'!$F$123)*'Cálculos'!$F$221)+('Cálculos'!$F$204*(1+'Cálculos'!$F$205+$A219*('Cálculos'!$F$290=3)*'Cálculos'!$F$103)+'Cálculos'!$F$206)*('Cálculos'!$F$212+'Cálculos'!$F$124*(1+2.78*('Cálculos'!$F$196+(($B$225)-$A219)*'Cálculos'!$F$98)/(('Cálculos'!$F$196+(($B$225)-$A219)*'Cálculos'!$F$98)+1400)+'Cálculos'!$F$122)*'Cálculos'!$F$217+'Cálculos'!$F$125*(1+2.78*('Cálculos'!$F$196+(($B$225)-$A219)*'Cálculos'!$F$98)/(('Cálculos'!$F$196+(($B$225)-$A219)*'Cálculos'!$F$98)+1400)+'Cálculos'!$F$123)*'Cálculos'!$F$222)+('Cálculos'!$F$185*(1+'Cálculos'!$F$187+$A219*('Cálculos'!$F$290=1)*'Cálculos'!$F$97+'Cálculos'!$F$305)+'Cálculos'!$F$192)*('Cálculos'!$F$224+'Cálculos'!$F$124*(1+2.78*('Cálculos'!$F$197+(($B$225)-$A219)*'Cálculos'!$F$98)/(('Cálculos'!$F$197+(($B$225)-$A219)*'Cálculos'!$F$98)+1400)+'Cálculos'!$F$122)*'Cálculos'!$F$229+'Cálculos'!$F$125*(1+2.78*('Cálculos'!$F$197+(($B$225)-$A219)*'Cálculos'!$F$98)/(('Cálculos'!$F$197+(($B$225)-$A219)*'Cálculos'!$F$98)+1400)+'Cálculos'!$F$123)*'Cálculos'!$F$234)+('Cálculos'!$F$197+(($B$225)-$A219)*'Cálculos'!$F$98)*('Cálculos'!$F$225+'Cálculos'!$F$124*(1+2.78*('Cálculos'!$F$197+(($B$225)-$A219)*'Cálculos'!$F$98)/(('Cálculos'!$F$197+(($B$225)-$A219)*'Cálculos'!$F$98)+1400)+'Cálculos'!$F$122)*'Cálculos'!$F$230+'Cálculos'!$F$125*(1+2.78*('Cálculos'!$F$197+(($B$225)-$A219)*'Cálculos'!$F$98)/(('Cálculos'!$F$197+(($B$225)-$A219)*'Cálculos'!$F$98)+1400)+'Cálculos'!$F$123)*'Cálculos'!$F$235)+('Cálculos'!$F$201*(1+'Cálculos'!$F$202+$A219*('Cálculos'!$F$290=2)*'Cálculos'!$F$101)+'Cálculos'!$F$203)*('Cálculos'!$F$226+'Cálculos'!$F$124*(1+2.78*('Cálculos'!$F$197+(($B$225)-$A219)*'Cálculos'!$F$98)/(('Cálculos'!$F$197+(($B$225)-$A219)*'Cálculos'!$F$98)+1400)+'Cálculos'!$F$122)*'Cálculos'!$F$231+'Cálculos'!$F$125*(1+2.78*('Cálculos'!$F$197+(($B$225)-$A219)*'Cálculos'!$F$98)/(('Cálculos'!$F$197+(($B$225)-$A219)*'Cálculos'!$F$98)+1400)+'Cálculos'!$F$123)*'Cálculos'!$F$236)+('Cálculos'!$F$204*(1+'Cálculos'!$F$205+$A219*('Cálculos'!$F$290=3)*'Cálculos'!$F$103)+'Cálculos'!$F$206)*('Cálculos'!$F$227+'Cálculos'!$F$124*(1+2.78*('Cálculos'!$F$197+(($B$225)-$A219)*'Cálculos'!$F$98)/(('Cálculos'!$F$197+(($B$225)-$A219)*'Cálculos'!$F$98)+1400)+'Cálculos'!$F$122)*'Cálculos'!$F$232+'Cálculos'!$F$125*(1+2.78*('Cálculos'!$F$197+(($B$225)-$A219)*'Cálculos'!$F$98)/(('Cálculos'!$F$197+(($B$225)-$A219)*'Cálculos'!$F$98)+1400)+'Cálculos'!$F$123)*'Cálculos'!$F$237)+('Cálculos'!$F$185*(1+'Cálculos'!$F$188+$A219*('Cálculos'!$F$290=1)*'Cálculos'!$F$97+'Cálculos'!$F$305)+'Cálculos'!$F$193)*('Cálculos'!$F$239+'Cálculos'!$F$124*(1+2.78*('Cálculos'!$F$198+(($B$225)-$A219)*'Cálculos'!$F$98)/(('Cálculos'!$F$198+(($B$225)-$A219)*'Cálculos'!$F$98)+1400)+'Cálculos'!$F$122)*'Cálculos'!$F$244+'Cálculos'!$F$125*(1+2.78*('Cálculos'!$F$198+(($B$225)-$A219)*'Cálculos'!$F$98)/(('Cálculos'!$F$198+(($B$225)-$A219)*'Cálculos'!$F$98)+1400)+'Cálculos'!$F$123)*'Cálculos'!$F$249)+('Cálculos'!$F$198+(($B$225)-$A219)*'Cálculos'!$F$98)*('Cálculos'!$F$240+'Cálculos'!$F$124*(1+2.78*('Cálculos'!$F$198+(($B$225)-$A219)*'Cálculos'!$F$98)/(('Cálculos'!$F$198+(($B$225)-$A219)*'Cálculos'!$F$98)+1400)+'Cálculos'!$F$122)*'Cálculos'!$F$245+'Cálculos'!$F$125*(1+2.78*('Cálculos'!$F$198+(($B$225)-$A219)*'Cálculos'!$F$98)/(('Cálculos'!$F$198+(($B$225)-$A219)*'Cálculos'!$F$98)+1400)+'Cálculos'!$F$123)*'Cálculos'!$F$250)+('Cálculos'!$F$201*(1+'Cálculos'!$F$202+$A219*('Cálculos'!$F$290=2)*'Cálculos'!$F$101)+'Cálculos'!$F$203)*('Cálculos'!$F$241+'Cálculos'!$F$124*(1+2.78*('Cálculos'!$F$198+(($B$225)-$A219)*'Cálculos'!$F$98)/(('Cálculos'!$F$198+(($B$225)-$A219)*'Cálculos'!$F$98)+1400)+'Cálculos'!$F$122)*'Cálculos'!$F$246+'Cálculos'!$F$125*(1+2.78*('Cálculos'!$F$198+(($B$225)-$A219)*'Cálculos'!$F$98)/(('Cálculos'!$F$198+(($B$225)-$A219)*'Cálculos'!$F$98)+1400)+'Cálculos'!$F$123)*'Cálculos'!$F$251)+('Cálculos'!$F$204*(1+'Cálculos'!$F$205+$A219*('Cálculos'!$F$290=3)*'Cálculos'!$F$103)+'Cálculos'!$F$206)*('Cálculos'!$F$242+'Cálculos'!$F$124*(1+2.78*('Cálculos'!$F$198+(($B$225)-$A219)*'Cálculos'!$F$98)/(('Cálculos'!$F$198+(($B$225)-$A219)*'Cálculos'!$F$98)+1400)+'Cálculos'!$F$122)*'Cálculos'!$F$247+'Cálculos'!$F$125*(1+2.78*('Cálculos'!$F$198+(($B$225)-$A219)*'Cálculos'!$F$98)/(('Cálculos'!$F$198+(($B$225)-$A219)*'Cálculos'!$F$98)+1400)+'Cálculos'!$F$123)*'Cálculos'!$F$252)+('Cálculos'!$F$185*(1+'Cálculos'!$F$189+$A219*('Cálculos'!$F$290=1)*'Cálculos'!$F$97+'Cálculos'!$F$305)+'Cálculos'!$F$194)*('Cálculos'!$F$254+'Cálculos'!$F$124*(1+2.78*('Cálculos'!$F$199+(($B$225)-$A219)*'Cálculos'!$F$98)/(('Cálculos'!$F$199+(($B$225)-$A219)*'Cálculos'!$F$98)+1400)+'Cálculos'!$F$122)*'Cálculos'!$F$259+'Cálculos'!$F$125*(1+2.78*('Cálculos'!$F$199+(($B$225)-$A219)*'Cálculos'!$F$98)/(('Cálculos'!$F$199+(($B$225)-$A219)*'Cálculos'!$F$98)+1400)+'Cálculos'!$F$123)*'Cálculos'!$F$264)+('Cálculos'!$F$199+(($B$225)-$A219)*'Cálculos'!$F$98)*('Cálculos'!$F$255+'Cálculos'!$F$124*(1+2.78*('Cálculos'!$F$199+(($B$225)-$A219)*'Cálculos'!$F$98)/(('Cálculos'!$F$199+(($B$225)-$A219)*'Cálculos'!$F$98)+1400)+'Cálculos'!$F$122)*'Cálculos'!$F$260+'Cálculos'!$F$125*(1+2.78*('Cálculos'!$F$199+(($B$225)-$A219)*'Cálculos'!$F$98)/(('Cálculos'!$F$199+(($B$225)-$A219)*'Cálculos'!$F$98)+1400)+'Cálculos'!$F$123)*'Cálculos'!$F$265)+('Cálculos'!$F$201*(1+'Cálculos'!$F$202+$A219*('Cálculos'!$F$290=2)*'Cálculos'!$F$101)+'Cálculos'!$F$203)*('Cálculos'!$F$256+'Cálculos'!$F$124*(1+2.78*('Cálculos'!$F$199+(($B$225)-$A219)*'Cálculos'!$F$98)/(('Cálculos'!$F$199+(($B$225)-$A219)*'Cálculos'!$F$98)+1400)+'Cálculos'!$F$122)*'Cálculos'!$F$261+'Cálculos'!$F$125*(1+2.78*('Cálculos'!$F$199+(($B$225)-$A219)*'Cálculos'!$F$98)/(('Cálculos'!$F$199+(($B$225)-$A219)*'Cálculos'!$F$98)+1400)+'Cálculos'!$F$123)*'Cálculos'!$F$266)+('Cálculos'!$F$204*(1+'Cálculos'!$F$205+$A219*('Cálculos'!$F$290=3)*'Cálculos'!$F$103)+'Cálculos'!$F$206)*('Cálculos'!$F$257+'Cálculos'!$F$124*(1+2.78*('Cálculos'!$F$199+(($B$225)-$A219)*'Cálculos'!$F$98)/(('Cálculos'!$F$199+(($B$225)-$A219)*'Cálculos'!$F$98)+1400)+'Cálculos'!$F$122)*'Cálculos'!$F$262+'Cálculos'!$F$125*(1+2.78*('Cálculos'!$F$199+(($B$225)-$A219)*'Cálculos'!$F$98)/(('Cálculos'!$F$199+(($B$225)-$A219)*'Cálculos'!$F$98)+1400)+'Cálculos'!$F$123)*'Cálculos'!$F$267)+('Cálculos'!$F$185*(1+'Cálculos'!$F$190+$A219*('Cálculos'!$F$290=1)*'Cálculos'!$F$97+'Cálculos'!$F$305)+'Cálculos'!$F$195)*('Cálculos'!$F$269+'Cálculos'!$F$124*(1+2.78*('Cálculos'!$F$200+(($B$225)-$A219)*'Cálculos'!$F$98)/(('Cálculos'!$F$200+(($B$225)-$A219)*'Cálculos'!$F$98)+1400)+'Cálculos'!$F$122)*'Cálculos'!$F$274+'Cálculos'!$F$125*(1+2.78*('Cálculos'!$F$200+(($B$225)-$A219)*'Cálculos'!$F$98)/(('Cálculos'!$F$200+(($B$225)-$A219)*'Cálculos'!$F$98)+1400)+'Cálculos'!$F$123)*'Cálculos'!$F$279)+('Cálculos'!$F$200+(($B$225)-$A219)*'Cálculos'!$F$98)*('Cálculos'!$F$270+'Cálculos'!$F$124*(1+2.78*('Cálculos'!$F$200+(($B$225)-$A219)*'Cálculos'!$F$98)/(('Cálculos'!$F$200+(($B$225)-$A219)*'Cálculos'!$F$98)+1400)+'Cálculos'!$F$122)*'Cálculos'!$F$275+'Cálculos'!$F$125*(1+2.78*('Cálculos'!$F$200+(($B$225)-$A219)*'Cálculos'!$F$98)/(('Cálculos'!$F$200+(($B$225)-$A219)*'Cálculos'!$F$98)+1400)+'Cálculos'!$F$123)*'Cálculos'!$F$280)+('Cálculos'!$F$201*(1+'Cálculos'!$F$202+$A219*('Cálculos'!$F$290=2)*'Cálculos'!$F$101)+'Cálculos'!$F$203)*('Cálculos'!$F$271+'Cálculos'!$F$124*(1+2.78*('Cálculos'!$F$200+(($B$225)-$A219)*'Cálculos'!$F$98)/(('Cálculos'!$F$200+(($B$225)-$A219)*'Cálculos'!$F$98)+1400)+'Cálculos'!$F$122)*'Cálculos'!$F$276+'Cálculos'!$F$125*(1+2.78*('Cálculos'!$F$200+(($B$225)-$A219)*'Cálculos'!$F$98)/(('Cálculos'!$F$200+(($B$225)-$A219)*'Cálculos'!$F$98)+1400)+'Cálculos'!$F$123)*'Cálculos'!$F$281)+('Cálculos'!$F$204*(1+'Cálculos'!$F$205+$A219*('Cálculos'!$F$290=3)*'Cálculos'!$F$103)+'Cálculos'!$F$206)*('Cálculos'!$F$272+'Cálculos'!$F$124*(1+2.78*('Cálculos'!$F$200+(($B$225)-$A219)*'Cálculos'!$F$98)/(('Cálculos'!$F$200+(($B$225)-$A219)*'Cálculos'!$F$98)+1400)+'Cálculos'!$F$122)*'Cálculos'!$F$277+'Cálculos'!$F$125*(1+2.78*('Cálculos'!$F$200+(($B$225)-$A219)*'Cálculos'!$F$98)/(('Cálculos'!$F$200+(($B$225)-$A219)*'Cálculos'!$F$98)+1400)+'Cálculos'!$F$123)*'Cálculos'!$F$282)))</f>
        <v>0</v>
      </c>
    </row>
    <row r="220" ht="15.75" customHeight="1">
      <c r="A220" s="2">
        <v>43.0</v>
      </c>
      <c r="B220" s="30">
        <f>SUMPRODUCT(MAX(($A$177:$A$222&lt;=$A220)*($A$177:$A$222&lt;='Cálculos'!$F$294)*(($A220)-$A$177:$A$222&lt;='Cálculos'!$F$295)*(1+(('Cálculos'!$F$207+$A$177:$A$222*'Cálculos'!$F$95)-(('Cálculos'!$F$207+$A$177:$A$222*'Cálculos'!$F$95)&gt;1)*(('Cálculos'!$F$207+$A$177:$A$222*'Cálculos'!$F$95)-1))*('Cálculos'!$F$208+(($A220)-$A$177:$A$222)*'Cálculos'!$F$96))))</f>
        <v>3.953132</v>
      </c>
      <c r="C220" s="2">
        <f>'Cálculos'!$F$303-$A220</f>
        <v>-25</v>
      </c>
      <c r="D220" s="31">
        <f>IF($C220&lt;0,0,SUMPRODUCT(MAX(($A$177:$A$222&lt;=$C220)*($A$177:$A$222&lt;='Cálculos'!$F$301)*(($C220)-$A$177:$A$222&lt;='Cálculos'!$F$297)*(('Cálculos'!$F$185*(1+'Cálculos'!$F$186+$A$177:$A$222*('Cálculos'!$F$290=1)*'Cálculos'!$F$97+'Cálculos'!$F$305)+'Cálculos'!$F$191)*('Cálculos'!$F$209+'Cálculos'!$F$124*(1+2.78*('Cálculos'!$F$196+(($C220)-$A$177:$A$222)*'Cálculos'!$F$98)/(('Cálculos'!$F$196+(($C220)-$A$177:$A$222)*'Cálculos'!$F$98)+1400)+'Cálculos'!$F$122)*'Cálculos'!$F$214+'Cálculos'!$F$125*(1+2.78*('Cálculos'!$F$196+(($C220)-$A$177:$A$222)*'Cálculos'!$F$98)/(('Cálculos'!$F$196+(($C220)-$A$177:$A$222)*'Cálculos'!$F$98)+1400)+'Cálculos'!$F$123)*'Cálculos'!$F$219)+('Cálculos'!$F$196+(($C220)-$A$177:$A$222)*'Cálculos'!$F$98)*('Cálculos'!$F$210+'Cálculos'!$F$124*(1+2.78*('Cálculos'!$F$196+(($C220)-$A$177:$A$222)*'Cálculos'!$F$98)/(('Cálculos'!$F$196+(($C220)-$A$177:$A$222)*'Cálculos'!$F$98)+1400)+'Cálculos'!$F$122)*'Cálculos'!$F$215+'Cálculos'!$F$125*(1+2.78*('Cálculos'!$F$196+(($C220)-$A$177:$A$222)*'Cálculos'!$F$98)/(('Cálculos'!$F$196+(($C220)-$A$177:$A$222)*'Cálculos'!$F$98)+1400)+'Cálculos'!$F$123)*'Cálculos'!$F$220)+('Cálculos'!$F$201*(1+'Cálculos'!$F$202+$A$177:$A$222*('Cálculos'!$F$290=2)*'Cálculos'!$F$101)+'Cálculos'!$F$203)*('Cálculos'!$F$211+'Cálculos'!$F$124*(1+2.78*('Cálculos'!$F$196+(($C220)-$A$177:$A$222)*'Cálculos'!$F$98)/(('Cálculos'!$F$196+(($C220)-$A$177:$A$222)*'Cálculos'!$F$98)+1400)+'Cálculos'!$F$122)*'Cálculos'!$F$216+'Cálculos'!$F$125*(1+2.78*('Cálculos'!$F$196+(($C220)-$A$177:$A$222)*'Cálculos'!$F$98)/(('Cálculos'!$F$196+(($C220)-$A$177:$A$222)*'Cálculos'!$F$98)+1400)+'Cálculos'!$F$123)*'Cálculos'!$F$221)+('Cálculos'!$F$204*(1+'Cálculos'!$F$205+$A$177:$A$222*('Cálculos'!$F$290=3)*'Cálculos'!$F$103)+'Cálculos'!$F$206)*('Cálculos'!$F$212+'Cálculos'!$F$124*(1+2.78*('Cálculos'!$F$196+(($C220)-$A$177:$A$222)*'Cálculos'!$F$98)/(('Cálculos'!$F$196+(($C220)-$A$177:$A$222)*'Cálculos'!$F$98)+1400)+'Cálculos'!$F$122)*'Cálculos'!$F$217+'Cálculos'!$F$125*(1+2.78*('Cálculos'!$F$196+(($C220)-$A$177:$A$222)*'Cálculos'!$F$98)/(('Cálculos'!$F$196+(($C220)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220)-$A$177:$A$222)*'Cálculos'!$F$98)/(('Cálculos'!$F$197+(($C220)-$A$177:$A$222)*'Cálculos'!$F$98)+1400)+'Cálculos'!$F$122)*'Cálculos'!$F$229+'Cálculos'!$F$125*(1+2.78*('Cálculos'!$F$197+(($C220)-$A$177:$A$222)*'Cálculos'!$F$98)/(('Cálculos'!$F$197+(($C220)-$A$177:$A$222)*'Cálculos'!$F$98)+1400)+'Cálculos'!$F$123)*'Cálculos'!$F$234)+('Cálculos'!$F$197+(($C220)-$A$177:$A$222)*'Cálculos'!$F$98)*('Cálculos'!$F$225+'Cálculos'!$F$124*(1+2.78*('Cálculos'!$F$197+(($C220)-$A$177:$A$222)*'Cálculos'!$F$98)/(('Cálculos'!$F$197+(($C220)-$A$177:$A$222)*'Cálculos'!$F$98)+1400)+'Cálculos'!$F$122)*'Cálculos'!$F$230+'Cálculos'!$F$125*(1+2.78*('Cálculos'!$F$197+(($C220)-$A$177:$A$222)*'Cálculos'!$F$98)/(('Cálculos'!$F$197+(($C220)-$A$177:$A$222)*'Cálculos'!$F$98)+1400)+'Cálculos'!$F$123)*'Cálculos'!$F$235)+('Cálculos'!$F$201*(1+'Cálculos'!$F$202+$A$177:$A$222*('Cálculos'!$F$290=2)*'Cálculos'!$F$101)+'Cálculos'!$F$203)*('Cálculos'!$F$226+'Cálculos'!$F$124*(1+2.78*('Cálculos'!$F$197+(($C220)-$A$177:$A$222)*'Cálculos'!$F$98)/(('Cálculos'!$F$197+(($C220)-$A$177:$A$222)*'Cálculos'!$F$98)+1400)+'Cálculos'!$F$122)*'Cálculos'!$F$231+'Cálculos'!$F$125*(1+2.78*('Cálculos'!$F$197+(($C220)-$A$177:$A$222)*'Cálculos'!$F$98)/(('Cálculos'!$F$197+(($C220)-$A$177:$A$222)*'Cálculos'!$F$98)+1400)+'Cálculos'!$F$123)*'Cálculos'!$F$236)+('Cálculos'!$F$204*(1+'Cálculos'!$F$205+$A$177:$A$222*('Cálculos'!$F$290=3)*'Cálculos'!$F$103)+'Cálculos'!$F$206)*('Cálculos'!$F$227+'Cálculos'!$F$124*(1+2.78*('Cálculos'!$F$197+(($C220)-$A$177:$A$222)*'Cálculos'!$F$98)/(('Cálculos'!$F$197+(($C220)-$A$177:$A$222)*'Cálculos'!$F$98)+1400)+'Cálculos'!$F$122)*'Cálculos'!$F$232+'Cálculos'!$F$125*(1+2.78*('Cálculos'!$F$197+(($C220)-$A$177:$A$222)*'Cálculos'!$F$98)/(('Cálculos'!$F$197+(($C220)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220)-$A$177:$A$222)*'Cálculos'!$F$98)/(('Cálculos'!$F$198+(($C220)-$A$177:$A$222)*'Cálculos'!$F$98)+1400)+'Cálculos'!$F$122)*'Cálculos'!$F$244+'Cálculos'!$F$125*(1+2.78*('Cálculos'!$F$198+(($C220)-$A$177:$A$222)*'Cálculos'!$F$98)/(('Cálculos'!$F$198+(($C220)-$A$177:$A$222)*'Cálculos'!$F$98)+1400)+'Cálculos'!$F$123)*'Cálculos'!$F$249)+('Cálculos'!$F$198+(($C220)-$A$177:$A$222)*'Cálculos'!$F$98)*('Cálculos'!$F$240+'Cálculos'!$F$124*(1+2.78*('Cálculos'!$F$198+(($C220)-$A$177:$A$222)*'Cálculos'!$F$98)/(('Cálculos'!$F$198+(($C220)-$A$177:$A$222)*'Cálculos'!$F$98)+1400)+'Cálculos'!$F$122)*'Cálculos'!$F$245+'Cálculos'!$F$125*(1+2.78*('Cálculos'!$F$198+(($C220)-$A$177:$A$222)*'Cálculos'!$F$98)/(('Cálculos'!$F$198+(($C220)-$A$177:$A$222)*'Cálculos'!$F$98)+1400)+'Cálculos'!$F$123)*'Cálculos'!$F$250)+('Cálculos'!$F$201*(1+'Cálculos'!$F$202+$A$177:$A$222*('Cálculos'!$F$290=2)*'Cálculos'!$F$101)+'Cálculos'!$F$203)*('Cálculos'!$F$241+'Cálculos'!$F$124*(1+2.78*('Cálculos'!$F$198+(($C220)-$A$177:$A$222)*'Cálculos'!$F$98)/(('Cálculos'!$F$198+(($C220)-$A$177:$A$222)*'Cálculos'!$F$98)+1400)+'Cálculos'!$F$122)*'Cálculos'!$F$246+'Cálculos'!$F$125*(1+2.78*('Cálculos'!$F$198+(($C220)-$A$177:$A$222)*'Cálculos'!$F$98)/(('Cálculos'!$F$198+(($C220)-$A$177:$A$222)*'Cálculos'!$F$98)+1400)+'Cálculos'!$F$123)*'Cálculos'!$F$251)+('Cálculos'!$F$204*(1+'Cálculos'!$F$205+$A$177:$A$222*('Cálculos'!$F$290=3)*'Cálculos'!$F$103)+'Cálculos'!$F$206)*('Cálculos'!$F$242+'Cálculos'!$F$124*(1+2.78*('Cálculos'!$F$198+(($C220)-$A$177:$A$222)*'Cálculos'!$F$98)/(('Cálculos'!$F$198+(($C220)-$A$177:$A$222)*'Cálculos'!$F$98)+1400)+'Cálculos'!$F$122)*'Cálculos'!$F$247+'Cálculos'!$F$125*(1+2.78*('Cálculos'!$F$198+(($C220)-$A$177:$A$222)*'Cálculos'!$F$98)/(('Cálculos'!$F$198+(($C220)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220)-$A$177:$A$222)*'Cálculos'!$F$98)/(('Cálculos'!$F$199+(($C220)-$A$177:$A$222)*'Cálculos'!$F$98)+1400)+'Cálculos'!$F$122)*'Cálculos'!$F$259+'Cálculos'!$F$125*(1+2.78*('Cálculos'!$F$199+(($C220)-$A$177:$A$222)*'Cálculos'!$F$98)/(('Cálculos'!$F$199+(($C220)-$A$177:$A$222)*'Cálculos'!$F$98)+1400)+'Cálculos'!$F$123)*'Cálculos'!$F$264)+('Cálculos'!$F$199+(($C220)-$A$177:$A$222)*'Cálculos'!$F$98)*('Cálculos'!$F$255+'Cálculos'!$F$124*(1+2.78*('Cálculos'!$F$199+(($C220)-$A$177:$A$222)*'Cálculos'!$F$98)/(('Cálculos'!$F$199+(($C220)-$A$177:$A$222)*'Cálculos'!$F$98)+1400)+'Cálculos'!$F$122)*'Cálculos'!$F$260+'Cálculos'!$F$125*(1+2.78*('Cálculos'!$F$199+(($C220)-$A$177:$A$222)*'Cálculos'!$F$98)/(('Cálculos'!$F$199+(($C220)-$A$177:$A$222)*'Cálculos'!$F$98)+1400)+'Cálculos'!$F$123)*'Cálculos'!$F$265)+('Cálculos'!$F$201*(1+'Cálculos'!$F$202+$A$177:$A$222*('Cálculos'!$F$290=2)*'Cálculos'!$F$101)+'Cálculos'!$F$203)*('Cálculos'!$F$256+'Cálculos'!$F$124*(1+2.78*('Cálculos'!$F$199+(($C220)-$A$177:$A$222)*'Cálculos'!$F$98)/(('Cálculos'!$F$199+(($C220)-$A$177:$A$222)*'Cálculos'!$F$98)+1400)+'Cálculos'!$F$122)*'Cálculos'!$F$261+'Cálculos'!$F$125*(1+2.78*('Cálculos'!$F$199+(($C220)-$A$177:$A$222)*'Cálculos'!$F$98)/(('Cálculos'!$F$199+(($C220)-$A$177:$A$222)*'Cálculos'!$F$98)+1400)+'Cálculos'!$F$123)*'Cálculos'!$F$266)+('Cálculos'!$F$204*(1+'Cálculos'!$F$205+$A$177:$A$222*('Cálculos'!$F$290=3)*'Cálculos'!$F$103)+'Cálculos'!$F$206)*('Cálculos'!$F$257+'Cálculos'!$F$124*(1+2.78*('Cálculos'!$F$199+(($C220)-$A$177:$A$222)*'Cálculos'!$F$98)/(('Cálculos'!$F$199+(($C220)-$A$177:$A$222)*'Cálculos'!$F$98)+1400)+'Cálculos'!$F$122)*'Cálculos'!$F$262+'Cálculos'!$F$125*(1+2.78*('Cálculos'!$F$199+(($C220)-$A$177:$A$222)*'Cálculos'!$F$98)/(('Cálculos'!$F$199+(($C220)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220)-$A$177:$A$222)*'Cálculos'!$F$98)/(('Cálculos'!$F$200+(($C220)-$A$177:$A$222)*'Cálculos'!$F$98)+1400)+'Cálculos'!$F$122)*'Cálculos'!$F$274+'Cálculos'!$F$125*(1+2.78*('Cálculos'!$F$200+(($C220)-$A$177:$A$222)*'Cálculos'!$F$98)/(('Cálculos'!$F$200+(($C220)-$A$177:$A$222)*'Cálculos'!$F$98)+1400)+'Cálculos'!$F$123)*'Cálculos'!$F$279)+('Cálculos'!$F$200+(($C220)-$A$177:$A$222)*'Cálculos'!$F$98)*('Cálculos'!$F$270+'Cálculos'!$F$124*(1+2.78*('Cálculos'!$F$200+(($C220)-$A$177:$A$222)*'Cálculos'!$F$98)/(('Cálculos'!$F$200+(($C220)-$A$177:$A$222)*'Cálculos'!$F$98)+1400)+'Cálculos'!$F$122)*'Cálculos'!$F$275+'Cálculos'!$F$125*(1+2.78*('Cálculos'!$F$200+(($C220)-$A$177:$A$222)*'Cálculos'!$F$98)/(('Cálculos'!$F$200+(($C220)-$A$177:$A$222)*'Cálculos'!$F$98)+1400)+'Cálculos'!$F$123)*'Cálculos'!$F$280)+('Cálculos'!$F$201*(1+'Cálculos'!$F$202+$A$177:$A$222*('Cálculos'!$F$290=2)*'Cálculos'!$F$101)+'Cálculos'!$F$203)*('Cálculos'!$F$271+'Cálculos'!$F$124*(1+2.78*('Cálculos'!$F$200+(($C220)-$A$177:$A$222)*'Cálculos'!$F$98)/(('Cálculos'!$F$200+(($C220)-$A$177:$A$222)*'Cálculos'!$F$98)+1400)+'Cálculos'!$F$122)*'Cálculos'!$F$276+'Cálculos'!$F$125*(1+2.78*('Cálculos'!$F$200+(($C220)-$A$177:$A$222)*'Cálculos'!$F$98)/(('Cálculos'!$F$200+(($C220)-$A$177:$A$222)*'Cálculos'!$F$98)+1400)+'Cálculos'!$F$123)*'Cálculos'!$F$281)+('Cálculos'!$F$204*(1+'Cálculos'!$F$205+$A$177:$A$222*('Cálculos'!$F$290=3)*'Cálculos'!$F$103)+'Cálculos'!$F$206)*('Cálculos'!$F$272+'Cálculos'!$F$124*(1+2.78*('Cálculos'!$F$200+(($C220)-$A$177:$A$222)*'Cálculos'!$F$98)/(('Cálculos'!$F$200+(($C220)-$A$177:$A$222)*'Cálculos'!$F$98)+1400)+'Cálculos'!$F$122)*'Cálculos'!$F$277+'Cálculos'!$F$125*(1+2.78*('Cálculos'!$F$200+(($C220)-$A$177:$A$222)*'Cálculos'!$F$98)/(('Cálculos'!$F$200+(($C220)-$A$177:$A$222)*'Cálculos'!$F$98)+1400)+'Cálculos'!$F$123)*'Cálculos'!$F$282)))))</f>
        <v>0</v>
      </c>
      <c r="E220" s="32">
        <f>IF(OR($C220&lt;0,'Cálculos'!$F$6=""),0,$B220*$D220)</f>
        <v>0</v>
      </c>
      <c r="F220" s="2"/>
      <c r="G220" s="30">
        <f>($A220&lt;=$B$224)*($A220&lt;='Cálculos'!$F$294)*(($B$224)-$A220&lt;='Cálculos'!$F$295)*(1+MIN(('Cálculos'!$F$207+$A220*'Cálculos'!$F$95),1)*('Cálculos'!$F$208+(($B$224)-$A220)*'Cálculos'!$F$96))</f>
        <v>0</v>
      </c>
      <c r="H220" s="31">
        <f>IF($B$225&lt;0,0,($A220&lt;=$B$225)*($A220&lt;='Cálculos'!$F$301)*(($B$225)-$A220&lt;='Cálculos'!$F$297)*(('Cálculos'!$F$185*(1+'Cálculos'!$F$186+$A220*('Cálculos'!$F$290=1)*'Cálculos'!$F$97+'Cálculos'!$F$305)+'Cálculos'!$F$191)*('Cálculos'!$F$209+'Cálculos'!$F$124*(1+2.78*('Cálculos'!$F$196+(($B$225)-$A220)*'Cálculos'!$F$98)/(('Cálculos'!$F$196+(($B$225)-$A220)*'Cálculos'!$F$98)+1400)+'Cálculos'!$F$122)*'Cálculos'!$F$214+'Cálculos'!$F$125*(1+2.78*('Cálculos'!$F$196+(($B$225)-$A220)*'Cálculos'!$F$98)/(('Cálculos'!$F$196+(($B$225)-$A220)*'Cálculos'!$F$98)+1400)+'Cálculos'!$F$123)*'Cálculos'!$F$219)+('Cálculos'!$F$196+(($B$225)-$A220)*'Cálculos'!$F$98)*('Cálculos'!$F$210+'Cálculos'!$F$124*(1+2.78*('Cálculos'!$F$196+(($B$225)-$A220)*'Cálculos'!$F$98)/(('Cálculos'!$F$196+(($B$225)-$A220)*'Cálculos'!$F$98)+1400)+'Cálculos'!$F$122)*'Cálculos'!$F$215+'Cálculos'!$F$125*(1+2.78*('Cálculos'!$F$196+(($B$225)-$A220)*'Cálculos'!$F$98)/(('Cálculos'!$F$196+(($B$225)-$A220)*'Cálculos'!$F$98)+1400)+'Cálculos'!$F$123)*'Cálculos'!$F$220)+('Cálculos'!$F$201*(1+'Cálculos'!$F$202+$A220*('Cálculos'!$F$290=2)*'Cálculos'!$F$101)+'Cálculos'!$F$203)*('Cálculos'!$F$211+'Cálculos'!$F$124*(1+2.78*('Cálculos'!$F$196+(($B$225)-$A220)*'Cálculos'!$F$98)/(('Cálculos'!$F$196+(($B$225)-$A220)*'Cálculos'!$F$98)+1400)+'Cálculos'!$F$122)*'Cálculos'!$F$216+'Cálculos'!$F$125*(1+2.78*('Cálculos'!$F$196+(($B$225)-$A220)*'Cálculos'!$F$98)/(('Cálculos'!$F$196+(($B$225)-$A220)*'Cálculos'!$F$98)+1400)+'Cálculos'!$F$123)*'Cálculos'!$F$221)+('Cálculos'!$F$204*(1+'Cálculos'!$F$205+$A220*('Cálculos'!$F$290=3)*'Cálculos'!$F$103)+'Cálculos'!$F$206)*('Cálculos'!$F$212+'Cálculos'!$F$124*(1+2.78*('Cálculos'!$F$196+(($B$225)-$A220)*'Cálculos'!$F$98)/(('Cálculos'!$F$196+(($B$225)-$A220)*'Cálculos'!$F$98)+1400)+'Cálculos'!$F$122)*'Cálculos'!$F$217+'Cálculos'!$F$125*(1+2.78*('Cálculos'!$F$196+(($B$225)-$A220)*'Cálculos'!$F$98)/(('Cálculos'!$F$196+(($B$225)-$A220)*'Cálculos'!$F$98)+1400)+'Cálculos'!$F$123)*'Cálculos'!$F$222)+('Cálculos'!$F$185*(1+'Cálculos'!$F$187+$A220*('Cálculos'!$F$290=1)*'Cálculos'!$F$97+'Cálculos'!$F$305)+'Cálculos'!$F$192)*('Cálculos'!$F$224+'Cálculos'!$F$124*(1+2.78*('Cálculos'!$F$197+(($B$225)-$A220)*'Cálculos'!$F$98)/(('Cálculos'!$F$197+(($B$225)-$A220)*'Cálculos'!$F$98)+1400)+'Cálculos'!$F$122)*'Cálculos'!$F$229+'Cálculos'!$F$125*(1+2.78*('Cálculos'!$F$197+(($B$225)-$A220)*'Cálculos'!$F$98)/(('Cálculos'!$F$197+(($B$225)-$A220)*'Cálculos'!$F$98)+1400)+'Cálculos'!$F$123)*'Cálculos'!$F$234)+('Cálculos'!$F$197+(($B$225)-$A220)*'Cálculos'!$F$98)*('Cálculos'!$F$225+'Cálculos'!$F$124*(1+2.78*('Cálculos'!$F$197+(($B$225)-$A220)*'Cálculos'!$F$98)/(('Cálculos'!$F$197+(($B$225)-$A220)*'Cálculos'!$F$98)+1400)+'Cálculos'!$F$122)*'Cálculos'!$F$230+'Cálculos'!$F$125*(1+2.78*('Cálculos'!$F$197+(($B$225)-$A220)*'Cálculos'!$F$98)/(('Cálculos'!$F$197+(($B$225)-$A220)*'Cálculos'!$F$98)+1400)+'Cálculos'!$F$123)*'Cálculos'!$F$235)+('Cálculos'!$F$201*(1+'Cálculos'!$F$202+$A220*('Cálculos'!$F$290=2)*'Cálculos'!$F$101)+'Cálculos'!$F$203)*('Cálculos'!$F$226+'Cálculos'!$F$124*(1+2.78*('Cálculos'!$F$197+(($B$225)-$A220)*'Cálculos'!$F$98)/(('Cálculos'!$F$197+(($B$225)-$A220)*'Cálculos'!$F$98)+1400)+'Cálculos'!$F$122)*'Cálculos'!$F$231+'Cálculos'!$F$125*(1+2.78*('Cálculos'!$F$197+(($B$225)-$A220)*'Cálculos'!$F$98)/(('Cálculos'!$F$197+(($B$225)-$A220)*'Cálculos'!$F$98)+1400)+'Cálculos'!$F$123)*'Cálculos'!$F$236)+('Cálculos'!$F$204*(1+'Cálculos'!$F$205+$A220*('Cálculos'!$F$290=3)*'Cálculos'!$F$103)+'Cálculos'!$F$206)*('Cálculos'!$F$227+'Cálculos'!$F$124*(1+2.78*('Cálculos'!$F$197+(($B$225)-$A220)*'Cálculos'!$F$98)/(('Cálculos'!$F$197+(($B$225)-$A220)*'Cálculos'!$F$98)+1400)+'Cálculos'!$F$122)*'Cálculos'!$F$232+'Cálculos'!$F$125*(1+2.78*('Cálculos'!$F$197+(($B$225)-$A220)*'Cálculos'!$F$98)/(('Cálculos'!$F$197+(($B$225)-$A220)*'Cálculos'!$F$98)+1400)+'Cálculos'!$F$123)*'Cálculos'!$F$237)+('Cálculos'!$F$185*(1+'Cálculos'!$F$188+$A220*('Cálculos'!$F$290=1)*'Cálculos'!$F$97+'Cálculos'!$F$305)+'Cálculos'!$F$193)*('Cálculos'!$F$239+'Cálculos'!$F$124*(1+2.78*('Cálculos'!$F$198+(($B$225)-$A220)*'Cálculos'!$F$98)/(('Cálculos'!$F$198+(($B$225)-$A220)*'Cálculos'!$F$98)+1400)+'Cálculos'!$F$122)*'Cálculos'!$F$244+'Cálculos'!$F$125*(1+2.78*('Cálculos'!$F$198+(($B$225)-$A220)*'Cálculos'!$F$98)/(('Cálculos'!$F$198+(($B$225)-$A220)*'Cálculos'!$F$98)+1400)+'Cálculos'!$F$123)*'Cálculos'!$F$249)+('Cálculos'!$F$198+(($B$225)-$A220)*'Cálculos'!$F$98)*('Cálculos'!$F$240+'Cálculos'!$F$124*(1+2.78*('Cálculos'!$F$198+(($B$225)-$A220)*'Cálculos'!$F$98)/(('Cálculos'!$F$198+(($B$225)-$A220)*'Cálculos'!$F$98)+1400)+'Cálculos'!$F$122)*'Cálculos'!$F$245+'Cálculos'!$F$125*(1+2.78*('Cálculos'!$F$198+(($B$225)-$A220)*'Cálculos'!$F$98)/(('Cálculos'!$F$198+(($B$225)-$A220)*'Cálculos'!$F$98)+1400)+'Cálculos'!$F$123)*'Cálculos'!$F$250)+('Cálculos'!$F$201*(1+'Cálculos'!$F$202+$A220*('Cálculos'!$F$290=2)*'Cálculos'!$F$101)+'Cálculos'!$F$203)*('Cálculos'!$F$241+'Cálculos'!$F$124*(1+2.78*('Cálculos'!$F$198+(($B$225)-$A220)*'Cálculos'!$F$98)/(('Cálculos'!$F$198+(($B$225)-$A220)*'Cálculos'!$F$98)+1400)+'Cálculos'!$F$122)*'Cálculos'!$F$246+'Cálculos'!$F$125*(1+2.78*('Cálculos'!$F$198+(($B$225)-$A220)*'Cálculos'!$F$98)/(('Cálculos'!$F$198+(($B$225)-$A220)*'Cálculos'!$F$98)+1400)+'Cálculos'!$F$123)*'Cálculos'!$F$251)+('Cálculos'!$F$204*(1+'Cálculos'!$F$205+$A220*('Cálculos'!$F$290=3)*'Cálculos'!$F$103)+'Cálculos'!$F$206)*('Cálculos'!$F$242+'Cálculos'!$F$124*(1+2.78*('Cálculos'!$F$198+(($B$225)-$A220)*'Cálculos'!$F$98)/(('Cálculos'!$F$198+(($B$225)-$A220)*'Cálculos'!$F$98)+1400)+'Cálculos'!$F$122)*'Cálculos'!$F$247+'Cálculos'!$F$125*(1+2.78*('Cálculos'!$F$198+(($B$225)-$A220)*'Cálculos'!$F$98)/(('Cálculos'!$F$198+(($B$225)-$A220)*'Cálculos'!$F$98)+1400)+'Cálculos'!$F$123)*'Cálculos'!$F$252)+('Cálculos'!$F$185*(1+'Cálculos'!$F$189+$A220*('Cálculos'!$F$290=1)*'Cálculos'!$F$97+'Cálculos'!$F$305)+'Cálculos'!$F$194)*('Cálculos'!$F$254+'Cálculos'!$F$124*(1+2.78*('Cálculos'!$F$199+(($B$225)-$A220)*'Cálculos'!$F$98)/(('Cálculos'!$F$199+(($B$225)-$A220)*'Cálculos'!$F$98)+1400)+'Cálculos'!$F$122)*'Cálculos'!$F$259+'Cálculos'!$F$125*(1+2.78*('Cálculos'!$F$199+(($B$225)-$A220)*'Cálculos'!$F$98)/(('Cálculos'!$F$199+(($B$225)-$A220)*'Cálculos'!$F$98)+1400)+'Cálculos'!$F$123)*'Cálculos'!$F$264)+('Cálculos'!$F$199+(($B$225)-$A220)*'Cálculos'!$F$98)*('Cálculos'!$F$255+'Cálculos'!$F$124*(1+2.78*('Cálculos'!$F$199+(($B$225)-$A220)*'Cálculos'!$F$98)/(('Cálculos'!$F$199+(($B$225)-$A220)*'Cálculos'!$F$98)+1400)+'Cálculos'!$F$122)*'Cálculos'!$F$260+'Cálculos'!$F$125*(1+2.78*('Cálculos'!$F$199+(($B$225)-$A220)*'Cálculos'!$F$98)/(('Cálculos'!$F$199+(($B$225)-$A220)*'Cálculos'!$F$98)+1400)+'Cálculos'!$F$123)*'Cálculos'!$F$265)+('Cálculos'!$F$201*(1+'Cálculos'!$F$202+$A220*('Cálculos'!$F$290=2)*'Cálculos'!$F$101)+'Cálculos'!$F$203)*('Cálculos'!$F$256+'Cálculos'!$F$124*(1+2.78*('Cálculos'!$F$199+(($B$225)-$A220)*'Cálculos'!$F$98)/(('Cálculos'!$F$199+(($B$225)-$A220)*'Cálculos'!$F$98)+1400)+'Cálculos'!$F$122)*'Cálculos'!$F$261+'Cálculos'!$F$125*(1+2.78*('Cálculos'!$F$199+(($B$225)-$A220)*'Cálculos'!$F$98)/(('Cálculos'!$F$199+(($B$225)-$A220)*'Cálculos'!$F$98)+1400)+'Cálculos'!$F$123)*'Cálculos'!$F$266)+('Cálculos'!$F$204*(1+'Cálculos'!$F$205+$A220*('Cálculos'!$F$290=3)*'Cálculos'!$F$103)+'Cálculos'!$F$206)*('Cálculos'!$F$257+'Cálculos'!$F$124*(1+2.78*('Cálculos'!$F$199+(($B$225)-$A220)*'Cálculos'!$F$98)/(('Cálculos'!$F$199+(($B$225)-$A220)*'Cálculos'!$F$98)+1400)+'Cálculos'!$F$122)*'Cálculos'!$F$262+'Cálculos'!$F$125*(1+2.78*('Cálculos'!$F$199+(($B$225)-$A220)*'Cálculos'!$F$98)/(('Cálculos'!$F$199+(($B$225)-$A220)*'Cálculos'!$F$98)+1400)+'Cálculos'!$F$123)*'Cálculos'!$F$267)+('Cálculos'!$F$185*(1+'Cálculos'!$F$190+$A220*('Cálculos'!$F$290=1)*'Cálculos'!$F$97+'Cálculos'!$F$305)+'Cálculos'!$F$195)*('Cálculos'!$F$269+'Cálculos'!$F$124*(1+2.78*('Cálculos'!$F$200+(($B$225)-$A220)*'Cálculos'!$F$98)/(('Cálculos'!$F$200+(($B$225)-$A220)*'Cálculos'!$F$98)+1400)+'Cálculos'!$F$122)*'Cálculos'!$F$274+'Cálculos'!$F$125*(1+2.78*('Cálculos'!$F$200+(($B$225)-$A220)*'Cálculos'!$F$98)/(('Cálculos'!$F$200+(($B$225)-$A220)*'Cálculos'!$F$98)+1400)+'Cálculos'!$F$123)*'Cálculos'!$F$279)+('Cálculos'!$F$200+(($B$225)-$A220)*'Cálculos'!$F$98)*('Cálculos'!$F$270+'Cálculos'!$F$124*(1+2.78*('Cálculos'!$F$200+(($B$225)-$A220)*'Cálculos'!$F$98)/(('Cálculos'!$F$200+(($B$225)-$A220)*'Cálculos'!$F$98)+1400)+'Cálculos'!$F$122)*'Cálculos'!$F$275+'Cálculos'!$F$125*(1+2.78*('Cálculos'!$F$200+(($B$225)-$A220)*'Cálculos'!$F$98)/(('Cálculos'!$F$200+(($B$225)-$A220)*'Cálculos'!$F$98)+1400)+'Cálculos'!$F$123)*'Cálculos'!$F$280)+('Cálculos'!$F$201*(1+'Cálculos'!$F$202+$A220*('Cálculos'!$F$290=2)*'Cálculos'!$F$101)+'Cálculos'!$F$203)*('Cálculos'!$F$271+'Cálculos'!$F$124*(1+2.78*('Cálculos'!$F$200+(($B$225)-$A220)*'Cálculos'!$F$98)/(('Cálculos'!$F$200+(($B$225)-$A220)*'Cálculos'!$F$98)+1400)+'Cálculos'!$F$122)*'Cálculos'!$F$276+'Cálculos'!$F$125*(1+2.78*('Cálculos'!$F$200+(($B$225)-$A220)*'Cálculos'!$F$98)/(('Cálculos'!$F$200+(($B$225)-$A220)*'Cálculos'!$F$98)+1400)+'Cálculos'!$F$123)*'Cálculos'!$F$281)+('Cálculos'!$F$204*(1+'Cálculos'!$F$205+$A220*('Cálculos'!$F$290=3)*'Cálculos'!$F$103)+'Cálculos'!$F$206)*('Cálculos'!$F$272+'Cálculos'!$F$124*(1+2.78*('Cálculos'!$F$200+(($B$225)-$A220)*'Cálculos'!$F$98)/(('Cálculos'!$F$200+(($B$225)-$A220)*'Cálculos'!$F$98)+1400)+'Cálculos'!$F$122)*'Cálculos'!$F$277+'Cálculos'!$F$125*(1+2.78*('Cálculos'!$F$200+(($B$225)-$A220)*'Cálculos'!$F$98)/(('Cálculos'!$F$200+(($B$225)-$A220)*'Cálculos'!$F$98)+1400)+'Cálculos'!$F$123)*'Cálculos'!$F$282)))</f>
        <v>0</v>
      </c>
    </row>
    <row r="221" ht="15.75" customHeight="1">
      <c r="A221" s="2">
        <v>44.0</v>
      </c>
      <c r="B221" s="30">
        <f>SUMPRODUCT(MAX(($A$177:$A$222&lt;=$A221)*($A$177:$A$222&lt;='Cálculos'!$F$294)*(($A221)-$A$177:$A$222&lt;='Cálculos'!$F$295)*(1+(('Cálculos'!$F$207+$A$177:$A$222*'Cálculos'!$F$95)-(('Cálculos'!$F$207+$A$177:$A$222*'Cálculos'!$F$95)&gt;1)*(('Cálculos'!$F$207+$A$177:$A$222*'Cálculos'!$F$95)-1))*('Cálculos'!$F$208+(($A221)-$A$177:$A$222)*'Cálculos'!$F$96))))</f>
        <v>4.01834</v>
      </c>
      <c r="C221" s="2">
        <f>'Cálculos'!$F$303-$A221</f>
        <v>-26</v>
      </c>
      <c r="D221" s="31">
        <f>IF($C221&lt;0,0,SUMPRODUCT(MAX(($A$177:$A$222&lt;=$C221)*($A$177:$A$222&lt;='Cálculos'!$F$301)*(($C221)-$A$177:$A$222&lt;='Cálculos'!$F$297)*(('Cálculos'!$F$185*(1+'Cálculos'!$F$186+$A$177:$A$222*('Cálculos'!$F$290=1)*'Cálculos'!$F$97+'Cálculos'!$F$305)+'Cálculos'!$F$191)*('Cálculos'!$F$209+'Cálculos'!$F$124*(1+2.78*('Cálculos'!$F$196+(($C221)-$A$177:$A$222)*'Cálculos'!$F$98)/(('Cálculos'!$F$196+(($C221)-$A$177:$A$222)*'Cálculos'!$F$98)+1400)+'Cálculos'!$F$122)*'Cálculos'!$F$214+'Cálculos'!$F$125*(1+2.78*('Cálculos'!$F$196+(($C221)-$A$177:$A$222)*'Cálculos'!$F$98)/(('Cálculos'!$F$196+(($C221)-$A$177:$A$222)*'Cálculos'!$F$98)+1400)+'Cálculos'!$F$123)*'Cálculos'!$F$219)+('Cálculos'!$F$196+(($C221)-$A$177:$A$222)*'Cálculos'!$F$98)*('Cálculos'!$F$210+'Cálculos'!$F$124*(1+2.78*('Cálculos'!$F$196+(($C221)-$A$177:$A$222)*'Cálculos'!$F$98)/(('Cálculos'!$F$196+(($C221)-$A$177:$A$222)*'Cálculos'!$F$98)+1400)+'Cálculos'!$F$122)*'Cálculos'!$F$215+'Cálculos'!$F$125*(1+2.78*('Cálculos'!$F$196+(($C221)-$A$177:$A$222)*'Cálculos'!$F$98)/(('Cálculos'!$F$196+(($C221)-$A$177:$A$222)*'Cálculos'!$F$98)+1400)+'Cálculos'!$F$123)*'Cálculos'!$F$220)+('Cálculos'!$F$201*(1+'Cálculos'!$F$202+$A$177:$A$222*('Cálculos'!$F$290=2)*'Cálculos'!$F$101)+'Cálculos'!$F$203)*('Cálculos'!$F$211+'Cálculos'!$F$124*(1+2.78*('Cálculos'!$F$196+(($C221)-$A$177:$A$222)*'Cálculos'!$F$98)/(('Cálculos'!$F$196+(($C221)-$A$177:$A$222)*'Cálculos'!$F$98)+1400)+'Cálculos'!$F$122)*'Cálculos'!$F$216+'Cálculos'!$F$125*(1+2.78*('Cálculos'!$F$196+(($C221)-$A$177:$A$222)*'Cálculos'!$F$98)/(('Cálculos'!$F$196+(($C221)-$A$177:$A$222)*'Cálculos'!$F$98)+1400)+'Cálculos'!$F$123)*'Cálculos'!$F$221)+('Cálculos'!$F$204*(1+'Cálculos'!$F$205+$A$177:$A$222*('Cálculos'!$F$290=3)*'Cálculos'!$F$103)+'Cálculos'!$F$206)*('Cálculos'!$F$212+'Cálculos'!$F$124*(1+2.78*('Cálculos'!$F$196+(($C221)-$A$177:$A$222)*'Cálculos'!$F$98)/(('Cálculos'!$F$196+(($C221)-$A$177:$A$222)*'Cálculos'!$F$98)+1400)+'Cálculos'!$F$122)*'Cálculos'!$F$217+'Cálculos'!$F$125*(1+2.78*('Cálculos'!$F$196+(($C221)-$A$177:$A$222)*'Cálculos'!$F$98)/(('Cálculos'!$F$196+(($C221)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221)-$A$177:$A$222)*'Cálculos'!$F$98)/(('Cálculos'!$F$197+(($C221)-$A$177:$A$222)*'Cálculos'!$F$98)+1400)+'Cálculos'!$F$122)*'Cálculos'!$F$229+'Cálculos'!$F$125*(1+2.78*('Cálculos'!$F$197+(($C221)-$A$177:$A$222)*'Cálculos'!$F$98)/(('Cálculos'!$F$197+(($C221)-$A$177:$A$222)*'Cálculos'!$F$98)+1400)+'Cálculos'!$F$123)*'Cálculos'!$F$234)+('Cálculos'!$F$197+(($C221)-$A$177:$A$222)*'Cálculos'!$F$98)*('Cálculos'!$F$225+'Cálculos'!$F$124*(1+2.78*('Cálculos'!$F$197+(($C221)-$A$177:$A$222)*'Cálculos'!$F$98)/(('Cálculos'!$F$197+(($C221)-$A$177:$A$222)*'Cálculos'!$F$98)+1400)+'Cálculos'!$F$122)*'Cálculos'!$F$230+'Cálculos'!$F$125*(1+2.78*('Cálculos'!$F$197+(($C221)-$A$177:$A$222)*'Cálculos'!$F$98)/(('Cálculos'!$F$197+(($C221)-$A$177:$A$222)*'Cálculos'!$F$98)+1400)+'Cálculos'!$F$123)*'Cálculos'!$F$235)+('Cálculos'!$F$201*(1+'Cálculos'!$F$202+$A$177:$A$222*('Cálculos'!$F$290=2)*'Cálculos'!$F$101)+'Cálculos'!$F$203)*('Cálculos'!$F$226+'Cálculos'!$F$124*(1+2.78*('Cálculos'!$F$197+(($C221)-$A$177:$A$222)*'Cálculos'!$F$98)/(('Cálculos'!$F$197+(($C221)-$A$177:$A$222)*'Cálculos'!$F$98)+1400)+'Cálculos'!$F$122)*'Cálculos'!$F$231+'Cálculos'!$F$125*(1+2.78*('Cálculos'!$F$197+(($C221)-$A$177:$A$222)*'Cálculos'!$F$98)/(('Cálculos'!$F$197+(($C221)-$A$177:$A$222)*'Cálculos'!$F$98)+1400)+'Cálculos'!$F$123)*'Cálculos'!$F$236)+('Cálculos'!$F$204*(1+'Cálculos'!$F$205+$A$177:$A$222*('Cálculos'!$F$290=3)*'Cálculos'!$F$103)+'Cálculos'!$F$206)*('Cálculos'!$F$227+'Cálculos'!$F$124*(1+2.78*('Cálculos'!$F$197+(($C221)-$A$177:$A$222)*'Cálculos'!$F$98)/(('Cálculos'!$F$197+(($C221)-$A$177:$A$222)*'Cálculos'!$F$98)+1400)+'Cálculos'!$F$122)*'Cálculos'!$F$232+'Cálculos'!$F$125*(1+2.78*('Cálculos'!$F$197+(($C221)-$A$177:$A$222)*'Cálculos'!$F$98)/(('Cálculos'!$F$197+(($C221)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221)-$A$177:$A$222)*'Cálculos'!$F$98)/(('Cálculos'!$F$198+(($C221)-$A$177:$A$222)*'Cálculos'!$F$98)+1400)+'Cálculos'!$F$122)*'Cálculos'!$F$244+'Cálculos'!$F$125*(1+2.78*('Cálculos'!$F$198+(($C221)-$A$177:$A$222)*'Cálculos'!$F$98)/(('Cálculos'!$F$198+(($C221)-$A$177:$A$222)*'Cálculos'!$F$98)+1400)+'Cálculos'!$F$123)*'Cálculos'!$F$249)+('Cálculos'!$F$198+(($C221)-$A$177:$A$222)*'Cálculos'!$F$98)*('Cálculos'!$F$240+'Cálculos'!$F$124*(1+2.78*('Cálculos'!$F$198+(($C221)-$A$177:$A$222)*'Cálculos'!$F$98)/(('Cálculos'!$F$198+(($C221)-$A$177:$A$222)*'Cálculos'!$F$98)+1400)+'Cálculos'!$F$122)*'Cálculos'!$F$245+'Cálculos'!$F$125*(1+2.78*('Cálculos'!$F$198+(($C221)-$A$177:$A$222)*'Cálculos'!$F$98)/(('Cálculos'!$F$198+(($C221)-$A$177:$A$222)*'Cálculos'!$F$98)+1400)+'Cálculos'!$F$123)*'Cálculos'!$F$250)+('Cálculos'!$F$201*(1+'Cálculos'!$F$202+$A$177:$A$222*('Cálculos'!$F$290=2)*'Cálculos'!$F$101)+'Cálculos'!$F$203)*('Cálculos'!$F$241+'Cálculos'!$F$124*(1+2.78*('Cálculos'!$F$198+(($C221)-$A$177:$A$222)*'Cálculos'!$F$98)/(('Cálculos'!$F$198+(($C221)-$A$177:$A$222)*'Cálculos'!$F$98)+1400)+'Cálculos'!$F$122)*'Cálculos'!$F$246+'Cálculos'!$F$125*(1+2.78*('Cálculos'!$F$198+(($C221)-$A$177:$A$222)*'Cálculos'!$F$98)/(('Cálculos'!$F$198+(($C221)-$A$177:$A$222)*'Cálculos'!$F$98)+1400)+'Cálculos'!$F$123)*'Cálculos'!$F$251)+('Cálculos'!$F$204*(1+'Cálculos'!$F$205+$A$177:$A$222*('Cálculos'!$F$290=3)*'Cálculos'!$F$103)+'Cálculos'!$F$206)*('Cálculos'!$F$242+'Cálculos'!$F$124*(1+2.78*('Cálculos'!$F$198+(($C221)-$A$177:$A$222)*'Cálculos'!$F$98)/(('Cálculos'!$F$198+(($C221)-$A$177:$A$222)*'Cálculos'!$F$98)+1400)+'Cálculos'!$F$122)*'Cálculos'!$F$247+'Cálculos'!$F$125*(1+2.78*('Cálculos'!$F$198+(($C221)-$A$177:$A$222)*'Cálculos'!$F$98)/(('Cálculos'!$F$198+(($C221)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221)-$A$177:$A$222)*'Cálculos'!$F$98)/(('Cálculos'!$F$199+(($C221)-$A$177:$A$222)*'Cálculos'!$F$98)+1400)+'Cálculos'!$F$122)*'Cálculos'!$F$259+'Cálculos'!$F$125*(1+2.78*('Cálculos'!$F$199+(($C221)-$A$177:$A$222)*'Cálculos'!$F$98)/(('Cálculos'!$F$199+(($C221)-$A$177:$A$222)*'Cálculos'!$F$98)+1400)+'Cálculos'!$F$123)*'Cálculos'!$F$264)+('Cálculos'!$F$199+(($C221)-$A$177:$A$222)*'Cálculos'!$F$98)*('Cálculos'!$F$255+'Cálculos'!$F$124*(1+2.78*('Cálculos'!$F$199+(($C221)-$A$177:$A$222)*'Cálculos'!$F$98)/(('Cálculos'!$F$199+(($C221)-$A$177:$A$222)*'Cálculos'!$F$98)+1400)+'Cálculos'!$F$122)*'Cálculos'!$F$260+'Cálculos'!$F$125*(1+2.78*('Cálculos'!$F$199+(($C221)-$A$177:$A$222)*'Cálculos'!$F$98)/(('Cálculos'!$F$199+(($C221)-$A$177:$A$222)*'Cálculos'!$F$98)+1400)+'Cálculos'!$F$123)*'Cálculos'!$F$265)+('Cálculos'!$F$201*(1+'Cálculos'!$F$202+$A$177:$A$222*('Cálculos'!$F$290=2)*'Cálculos'!$F$101)+'Cálculos'!$F$203)*('Cálculos'!$F$256+'Cálculos'!$F$124*(1+2.78*('Cálculos'!$F$199+(($C221)-$A$177:$A$222)*'Cálculos'!$F$98)/(('Cálculos'!$F$199+(($C221)-$A$177:$A$222)*'Cálculos'!$F$98)+1400)+'Cálculos'!$F$122)*'Cálculos'!$F$261+'Cálculos'!$F$125*(1+2.78*('Cálculos'!$F$199+(($C221)-$A$177:$A$222)*'Cálculos'!$F$98)/(('Cálculos'!$F$199+(($C221)-$A$177:$A$222)*'Cálculos'!$F$98)+1400)+'Cálculos'!$F$123)*'Cálculos'!$F$266)+('Cálculos'!$F$204*(1+'Cálculos'!$F$205+$A$177:$A$222*('Cálculos'!$F$290=3)*'Cálculos'!$F$103)+'Cálculos'!$F$206)*('Cálculos'!$F$257+'Cálculos'!$F$124*(1+2.78*('Cálculos'!$F$199+(($C221)-$A$177:$A$222)*'Cálculos'!$F$98)/(('Cálculos'!$F$199+(($C221)-$A$177:$A$222)*'Cálculos'!$F$98)+1400)+'Cálculos'!$F$122)*'Cálculos'!$F$262+'Cálculos'!$F$125*(1+2.78*('Cálculos'!$F$199+(($C221)-$A$177:$A$222)*'Cálculos'!$F$98)/(('Cálculos'!$F$199+(($C221)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221)-$A$177:$A$222)*'Cálculos'!$F$98)/(('Cálculos'!$F$200+(($C221)-$A$177:$A$222)*'Cálculos'!$F$98)+1400)+'Cálculos'!$F$122)*'Cálculos'!$F$274+'Cálculos'!$F$125*(1+2.78*('Cálculos'!$F$200+(($C221)-$A$177:$A$222)*'Cálculos'!$F$98)/(('Cálculos'!$F$200+(($C221)-$A$177:$A$222)*'Cálculos'!$F$98)+1400)+'Cálculos'!$F$123)*'Cálculos'!$F$279)+('Cálculos'!$F$200+(($C221)-$A$177:$A$222)*'Cálculos'!$F$98)*('Cálculos'!$F$270+'Cálculos'!$F$124*(1+2.78*('Cálculos'!$F$200+(($C221)-$A$177:$A$222)*'Cálculos'!$F$98)/(('Cálculos'!$F$200+(($C221)-$A$177:$A$222)*'Cálculos'!$F$98)+1400)+'Cálculos'!$F$122)*'Cálculos'!$F$275+'Cálculos'!$F$125*(1+2.78*('Cálculos'!$F$200+(($C221)-$A$177:$A$222)*'Cálculos'!$F$98)/(('Cálculos'!$F$200+(($C221)-$A$177:$A$222)*'Cálculos'!$F$98)+1400)+'Cálculos'!$F$123)*'Cálculos'!$F$280)+('Cálculos'!$F$201*(1+'Cálculos'!$F$202+$A$177:$A$222*('Cálculos'!$F$290=2)*'Cálculos'!$F$101)+'Cálculos'!$F$203)*('Cálculos'!$F$271+'Cálculos'!$F$124*(1+2.78*('Cálculos'!$F$200+(($C221)-$A$177:$A$222)*'Cálculos'!$F$98)/(('Cálculos'!$F$200+(($C221)-$A$177:$A$222)*'Cálculos'!$F$98)+1400)+'Cálculos'!$F$122)*'Cálculos'!$F$276+'Cálculos'!$F$125*(1+2.78*('Cálculos'!$F$200+(($C221)-$A$177:$A$222)*'Cálculos'!$F$98)/(('Cálculos'!$F$200+(($C221)-$A$177:$A$222)*'Cálculos'!$F$98)+1400)+'Cálculos'!$F$123)*'Cálculos'!$F$281)+('Cálculos'!$F$204*(1+'Cálculos'!$F$205+$A$177:$A$222*('Cálculos'!$F$290=3)*'Cálculos'!$F$103)+'Cálculos'!$F$206)*('Cálculos'!$F$272+'Cálculos'!$F$124*(1+2.78*('Cálculos'!$F$200+(($C221)-$A$177:$A$222)*'Cálculos'!$F$98)/(('Cálculos'!$F$200+(($C221)-$A$177:$A$222)*'Cálculos'!$F$98)+1400)+'Cálculos'!$F$122)*'Cálculos'!$F$277+'Cálculos'!$F$125*(1+2.78*('Cálculos'!$F$200+(($C221)-$A$177:$A$222)*'Cálculos'!$F$98)/(('Cálculos'!$F$200+(($C221)-$A$177:$A$222)*'Cálculos'!$F$98)+1400)+'Cálculos'!$F$123)*'Cálculos'!$F$282)))))</f>
        <v>0</v>
      </c>
      <c r="E221" s="32">
        <f>IF(OR($C221&lt;0,'Cálculos'!$F$6=""),0,$B221*$D221)</f>
        <v>0</v>
      </c>
      <c r="F221" s="2"/>
      <c r="G221" s="30">
        <f>($A221&lt;=$B$224)*($A221&lt;='Cálculos'!$F$294)*(($B$224)-$A221&lt;='Cálculos'!$F$295)*(1+MIN(('Cálculos'!$F$207+$A221*'Cálculos'!$F$95),1)*('Cálculos'!$F$208+(($B$224)-$A221)*'Cálculos'!$F$96))</f>
        <v>0</v>
      </c>
      <c r="H221" s="31">
        <f>IF($B$225&lt;0,0,($A221&lt;=$B$225)*($A221&lt;='Cálculos'!$F$301)*(($B$225)-$A221&lt;='Cálculos'!$F$297)*(('Cálculos'!$F$185*(1+'Cálculos'!$F$186+$A221*('Cálculos'!$F$290=1)*'Cálculos'!$F$97+'Cálculos'!$F$305)+'Cálculos'!$F$191)*('Cálculos'!$F$209+'Cálculos'!$F$124*(1+2.78*('Cálculos'!$F$196+(($B$225)-$A221)*'Cálculos'!$F$98)/(('Cálculos'!$F$196+(($B$225)-$A221)*'Cálculos'!$F$98)+1400)+'Cálculos'!$F$122)*'Cálculos'!$F$214+'Cálculos'!$F$125*(1+2.78*('Cálculos'!$F$196+(($B$225)-$A221)*'Cálculos'!$F$98)/(('Cálculos'!$F$196+(($B$225)-$A221)*'Cálculos'!$F$98)+1400)+'Cálculos'!$F$123)*'Cálculos'!$F$219)+('Cálculos'!$F$196+(($B$225)-$A221)*'Cálculos'!$F$98)*('Cálculos'!$F$210+'Cálculos'!$F$124*(1+2.78*('Cálculos'!$F$196+(($B$225)-$A221)*'Cálculos'!$F$98)/(('Cálculos'!$F$196+(($B$225)-$A221)*'Cálculos'!$F$98)+1400)+'Cálculos'!$F$122)*'Cálculos'!$F$215+'Cálculos'!$F$125*(1+2.78*('Cálculos'!$F$196+(($B$225)-$A221)*'Cálculos'!$F$98)/(('Cálculos'!$F$196+(($B$225)-$A221)*'Cálculos'!$F$98)+1400)+'Cálculos'!$F$123)*'Cálculos'!$F$220)+('Cálculos'!$F$201*(1+'Cálculos'!$F$202+$A221*('Cálculos'!$F$290=2)*'Cálculos'!$F$101)+'Cálculos'!$F$203)*('Cálculos'!$F$211+'Cálculos'!$F$124*(1+2.78*('Cálculos'!$F$196+(($B$225)-$A221)*'Cálculos'!$F$98)/(('Cálculos'!$F$196+(($B$225)-$A221)*'Cálculos'!$F$98)+1400)+'Cálculos'!$F$122)*'Cálculos'!$F$216+'Cálculos'!$F$125*(1+2.78*('Cálculos'!$F$196+(($B$225)-$A221)*'Cálculos'!$F$98)/(('Cálculos'!$F$196+(($B$225)-$A221)*'Cálculos'!$F$98)+1400)+'Cálculos'!$F$123)*'Cálculos'!$F$221)+('Cálculos'!$F$204*(1+'Cálculos'!$F$205+$A221*('Cálculos'!$F$290=3)*'Cálculos'!$F$103)+'Cálculos'!$F$206)*('Cálculos'!$F$212+'Cálculos'!$F$124*(1+2.78*('Cálculos'!$F$196+(($B$225)-$A221)*'Cálculos'!$F$98)/(('Cálculos'!$F$196+(($B$225)-$A221)*'Cálculos'!$F$98)+1400)+'Cálculos'!$F$122)*'Cálculos'!$F$217+'Cálculos'!$F$125*(1+2.78*('Cálculos'!$F$196+(($B$225)-$A221)*'Cálculos'!$F$98)/(('Cálculos'!$F$196+(($B$225)-$A221)*'Cálculos'!$F$98)+1400)+'Cálculos'!$F$123)*'Cálculos'!$F$222)+('Cálculos'!$F$185*(1+'Cálculos'!$F$187+$A221*('Cálculos'!$F$290=1)*'Cálculos'!$F$97+'Cálculos'!$F$305)+'Cálculos'!$F$192)*('Cálculos'!$F$224+'Cálculos'!$F$124*(1+2.78*('Cálculos'!$F$197+(($B$225)-$A221)*'Cálculos'!$F$98)/(('Cálculos'!$F$197+(($B$225)-$A221)*'Cálculos'!$F$98)+1400)+'Cálculos'!$F$122)*'Cálculos'!$F$229+'Cálculos'!$F$125*(1+2.78*('Cálculos'!$F$197+(($B$225)-$A221)*'Cálculos'!$F$98)/(('Cálculos'!$F$197+(($B$225)-$A221)*'Cálculos'!$F$98)+1400)+'Cálculos'!$F$123)*'Cálculos'!$F$234)+('Cálculos'!$F$197+(($B$225)-$A221)*'Cálculos'!$F$98)*('Cálculos'!$F$225+'Cálculos'!$F$124*(1+2.78*('Cálculos'!$F$197+(($B$225)-$A221)*'Cálculos'!$F$98)/(('Cálculos'!$F$197+(($B$225)-$A221)*'Cálculos'!$F$98)+1400)+'Cálculos'!$F$122)*'Cálculos'!$F$230+'Cálculos'!$F$125*(1+2.78*('Cálculos'!$F$197+(($B$225)-$A221)*'Cálculos'!$F$98)/(('Cálculos'!$F$197+(($B$225)-$A221)*'Cálculos'!$F$98)+1400)+'Cálculos'!$F$123)*'Cálculos'!$F$235)+('Cálculos'!$F$201*(1+'Cálculos'!$F$202+$A221*('Cálculos'!$F$290=2)*'Cálculos'!$F$101)+'Cálculos'!$F$203)*('Cálculos'!$F$226+'Cálculos'!$F$124*(1+2.78*('Cálculos'!$F$197+(($B$225)-$A221)*'Cálculos'!$F$98)/(('Cálculos'!$F$197+(($B$225)-$A221)*'Cálculos'!$F$98)+1400)+'Cálculos'!$F$122)*'Cálculos'!$F$231+'Cálculos'!$F$125*(1+2.78*('Cálculos'!$F$197+(($B$225)-$A221)*'Cálculos'!$F$98)/(('Cálculos'!$F$197+(($B$225)-$A221)*'Cálculos'!$F$98)+1400)+'Cálculos'!$F$123)*'Cálculos'!$F$236)+('Cálculos'!$F$204*(1+'Cálculos'!$F$205+$A221*('Cálculos'!$F$290=3)*'Cálculos'!$F$103)+'Cálculos'!$F$206)*('Cálculos'!$F$227+'Cálculos'!$F$124*(1+2.78*('Cálculos'!$F$197+(($B$225)-$A221)*'Cálculos'!$F$98)/(('Cálculos'!$F$197+(($B$225)-$A221)*'Cálculos'!$F$98)+1400)+'Cálculos'!$F$122)*'Cálculos'!$F$232+'Cálculos'!$F$125*(1+2.78*('Cálculos'!$F$197+(($B$225)-$A221)*'Cálculos'!$F$98)/(('Cálculos'!$F$197+(($B$225)-$A221)*'Cálculos'!$F$98)+1400)+'Cálculos'!$F$123)*'Cálculos'!$F$237)+('Cálculos'!$F$185*(1+'Cálculos'!$F$188+$A221*('Cálculos'!$F$290=1)*'Cálculos'!$F$97+'Cálculos'!$F$305)+'Cálculos'!$F$193)*('Cálculos'!$F$239+'Cálculos'!$F$124*(1+2.78*('Cálculos'!$F$198+(($B$225)-$A221)*'Cálculos'!$F$98)/(('Cálculos'!$F$198+(($B$225)-$A221)*'Cálculos'!$F$98)+1400)+'Cálculos'!$F$122)*'Cálculos'!$F$244+'Cálculos'!$F$125*(1+2.78*('Cálculos'!$F$198+(($B$225)-$A221)*'Cálculos'!$F$98)/(('Cálculos'!$F$198+(($B$225)-$A221)*'Cálculos'!$F$98)+1400)+'Cálculos'!$F$123)*'Cálculos'!$F$249)+('Cálculos'!$F$198+(($B$225)-$A221)*'Cálculos'!$F$98)*('Cálculos'!$F$240+'Cálculos'!$F$124*(1+2.78*('Cálculos'!$F$198+(($B$225)-$A221)*'Cálculos'!$F$98)/(('Cálculos'!$F$198+(($B$225)-$A221)*'Cálculos'!$F$98)+1400)+'Cálculos'!$F$122)*'Cálculos'!$F$245+'Cálculos'!$F$125*(1+2.78*('Cálculos'!$F$198+(($B$225)-$A221)*'Cálculos'!$F$98)/(('Cálculos'!$F$198+(($B$225)-$A221)*'Cálculos'!$F$98)+1400)+'Cálculos'!$F$123)*'Cálculos'!$F$250)+('Cálculos'!$F$201*(1+'Cálculos'!$F$202+$A221*('Cálculos'!$F$290=2)*'Cálculos'!$F$101)+'Cálculos'!$F$203)*('Cálculos'!$F$241+'Cálculos'!$F$124*(1+2.78*('Cálculos'!$F$198+(($B$225)-$A221)*'Cálculos'!$F$98)/(('Cálculos'!$F$198+(($B$225)-$A221)*'Cálculos'!$F$98)+1400)+'Cálculos'!$F$122)*'Cálculos'!$F$246+'Cálculos'!$F$125*(1+2.78*('Cálculos'!$F$198+(($B$225)-$A221)*'Cálculos'!$F$98)/(('Cálculos'!$F$198+(($B$225)-$A221)*'Cálculos'!$F$98)+1400)+'Cálculos'!$F$123)*'Cálculos'!$F$251)+('Cálculos'!$F$204*(1+'Cálculos'!$F$205+$A221*('Cálculos'!$F$290=3)*'Cálculos'!$F$103)+'Cálculos'!$F$206)*('Cálculos'!$F$242+'Cálculos'!$F$124*(1+2.78*('Cálculos'!$F$198+(($B$225)-$A221)*'Cálculos'!$F$98)/(('Cálculos'!$F$198+(($B$225)-$A221)*'Cálculos'!$F$98)+1400)+'Cálculos'!$F$122)*'Cálculos'!$F$247+'Cálculos'!$F$125*(1+2.78*('Cálculos'!$F$198+(($B$225)-$A221)*'Cálculos'!$F$98)/(('Cálculos'!$F$198+(($B$225)-$A221)*'Cálculos'!$F$98)+1400)+'Cálculos'!$F$123)*'Cálculos'!$F$252)+('Cálculos'!$F$185*(1+'Cálculos'!$F$189+$A221*('Cálculos'!$F$290=1)*'Cálculos'!$F$97+'Cálculos'!$F$305)+'Cálculos'!$F$194)*('Cálculos'!$F$254+'Cálculos'!$F$124*(1+2.78*('Cálculos'!$F$199+(($B$225)-$A221)*'Cálculos'!$F$98)/(('Cálculos'!$F$199+(($B$225)-$A221)*'Cálculos'!$F$98)+1400)+'Cálculos'!$F$122)*'Cálculos'!$F$259+'Cálculos'!$F$125*(1+2.78*('Cálculos'!$F$199+(($B$225)-$A221)*'Cálculos'!$F$98)/(('Cálculos'!$F$199+(($B$225)-$A221)*'Cálculos'!$F$98)+1400)+'Cálculos'!$F$123)*'Cálculos'!$F$264)+('Cálculos'!$F$199+(($B$225)-$A221)*'Cálculos'!$F$98)*('Cálculos'!$F$255+'Cálculos'!$F$124*(1+2.78*('Cálculos'!$F$199+(($B$225)-$A221)*'Cálculos'!$F$98)/(('Cálculos'!$F$199+(($B$225)-$A221)*'Cálculos'!$F$98)+1400)+'Cálculos'!$F$122)*'Cálculos'!$F$260+'Cálculos'!$F$125*(1+2.78*('Cálculos'!$F$199+(($B$225)-$A221)*'Cálculos'!$F$98)/(('Cálculos'!$F$199+(($B$225)-$A221)*'Cálculos'!$F$98)+1400)+'Cálculos'!$F$123)*'Cálculos'!$F$265)+('Cálculos'!$F$201*(1+'Cálculos'!$F$202+$A221*('Cálculos'!$F$290=2)*'Cálculos'!$F$101)+'Cálculos'!$F$203)*('Cálculos'!$F$256+'Cálculos'!$F$124*(1+2.78*('Cálculos'!$F$199+(($B$225)-$A221)*'Cálculos'!$F$98)/(('Cálculos'!$F$199+(($B$225)-$A221)*'Cálculos'!$F$98)+1400)+'Cálculos'!$F$122)*'Cálculos'!$F$261+'Cálculos'!$F$125*(1+2.78*('Cálculos'!$F$199+(($B$225)-$A221)*'Cálculos'!$F$98)/(('Cálculos'!$F$199+(($B$225)-$A221)*'Cálculos'!$F$98)+1400)+'Cálculos'!$F$123)*'Cálculos'!$F$266)+('Cálculos'!$F$204*(1+'Cálculos'!$F$205+$A221*('Cálculos'!$F$290=3)*'Cálculos'!$F$103)+'Cálculos'!$F$206)*('Cálculos'!$F$257+'Cálculos'!$F$124*(1+2.78*('Cálculos'!$F$199+(($B$225)-$A221)*'Cálculos'!$F$98)/(('Cálculos'!$F$199+(($B$225)-$A221)*'Cálculos'!$F$98)+1400)+'Cálculos'!$F$122)*'Cálculos'!$F$262+'Cálculos'!$F$125*(1+2.78*('Cálculos'!$F$199+(($B$225)-$A221)*'Cálculos'!$F$98)/(('Cálculos'!$F$199+(($B$225)-$A221)*'Cálculos'!$F$98)+1400)+'Cálculos'!$F$123)*'Cálculos'!$F$267)+('Cálculos'!$F$185*(1+'Cálculos'!$F$190+$A221*('Cálculos'!$F$290=1)*'Cálculos'!$F$97+'Cálculos'!$F$305)+'Cálculos'!$F$195)*('Cálculos'!$F$269+'Cálculos'!$F$124*(1+2.78*('Cálculos'!$F$200+(($B$225)-$A221)*'Cálculos'!$F$98)/(('Cálculos'!$F$200+(($B$225)-$A221)*'Cálculos'!$F$98)+1400)+'Cálculos'!$F$122)*'Cálculos'!$F$274+'Cálculos'!$F$125*(1+2.78*('Cálculos'!$F$200+(($B$225)-$A221)*'Cálculos'!$F$98)/(('Cálculos'!$F$200+(($B$225)-$A221)*'Cálculos'!$F$98)+1400)+'Cálculos'!$F$123)*'Cálculos'!$F$279)+('Cálculos'!$F$200+(($B$225)-$A221)*'Cálculos'!$F$98)*('Cálculos'!$F$270+'Cálculos'!$F$124*(1+2.78*('Cálculos'!$F$200+(($B$225)-$A221)*'Cálculos'!$F$98)/(('Cálculos'!$F$200+(($B$225)-$A221)*'Cálculos'!$F$98)+1400)+'Cálculos'!$F$122)*'Cálculos'!$F$275+'Cálculos'!$F$125*(1+2.78*('Cálculos'!$F$200+(($B$225)-$A221)*'Cálculos'!$F$98)/(('Cálculos'!$F$200+(($B$225)-$A221)*'Cálculos'!$F$98)+1400)+'Cálculos'!$F$123)*'Cálculos'!$F$280)+('Cálculos'!$F$201*(1+'Cálculos'!$F$202+$A221*('Cálculos'!$F$290=2)*'Cálculos'!$F$101)+'Cálculos'!$F$203)*('Cálculos'!$F$271+'Cálculos'!$F$124*(1+2.78*('Cálculos'!$F$200+(($B$225)-$A221)*'Cálculos'!$F$98)/(('Cálculos'!$F$200+(($B$225)-$A221)*'Cálculos'!$F$98)+1400)+'Cálculos'!$F$122)*'Cálculos'!$F$276+'Cálculos'!$F$125*(1+2.78*('Cálculos'!$F$200+(($B$225)-$A221)*'Cálculos'!$F$98)/(('Cálculos'!$F$200+(($B$225)-$A221)*'Cálculos'!$F$98)+1400)+'Cálculos'!$F$123)*'Cálculos'!$F$281)+('Cálculos'!$F$204*(1+'Cálculos'!$F$205+$A221*('Cálculos'!$F$290=3)*'Cálculos'!$F$103)+'Cálculos'!$F$206)*('Cálculos'!$F$272+'Cálculos'!$F$124*(1+2.78*('Cálculos'!$F$200+(($B$225)-$A221)*'Cálculos'!$F$98)/(('Cálculos'!$F$200+(($B$225)-$A221)*'Cálculos'!$F$98)+1400)+'Cálculos'!$F$122)*'Cálculos'!$F$277+'Cálculos'!$F$125*(1+2.78*('Cálculos'!$F$200+(($B$225)-$A221)*'Cálculos'!$F$98)/(('Cálculos'!$F$200+(($B$225)-$A221)*'Cálculos'!$F$98)+1400)+'Cálculos'!$F$123)*'Cálculos'!$F$282)))</f>
        <v>0</v>
      </c>
    </row>
    <row r="222" ht="15.75" customHeight="1">
      <c r="A222" s="2">
        <v>45.0</v>
      </c>
      <c r="B222" s="30">
        <f>SUMPRODUCT(MAX(($A$177:$A$222&lt;=$A222)*($A$177:$A$222&lt;='Cálculos'!$F$294)*(($A222)-$A$177:$A$222&lt;='Cálculos'!$F$295)*(1+(('Cálculos'!$F$207+$A$177:$A$222*'Cálculos'!$F$95)-(('Cálculos'!$F$207+$A$177:$A$222*'Cálculos'!$F$95)&gt;1)*(('Cálculos'!$F$207+$A$177:$A$222*'Cálculos'!$F$95)-1))*('Cálculos'!$F$208+(($A222)-$A$177:$A$222)*'Cálculos'!$F$96))))</f>
        <v>4.083548</v>
      </c>
      <c r="C222" s="2">
        <f>'Cálculos'!$F$303-$A222</f>
        <v>-27</v>
      </c>
      <c r="D222" s="31">
        <f>IF($C222&lt;0,0,SUMPRODUCT(MAX(($A$177:$A$222&lt;=$C222)*($A$177:$A$222&lt;='Cálculos'!$F$301)*(($C222)-$A$177:$A$222&lt;='Cálculos'!$F$297)*(('Cálculos'!$F$185*(1+'Cálculos'!$F$186+$A$177:$A$222*('Cálculos'!$F$290=1)*'Cálculos'!$F$97+'Cálculos'!$F$305)+'Cálculos'!$F$191)*('Cálculos'!$F$209+'Cálculos'!$F$124*(1+2.78*('Cálculos'!$F$196+(($C222)-$A$177:$A$222)*'Cálculos'!$F$98)/(('Cálculos'!$F$196+(($C222)-$A$177:$A$222)*'Cálculos'!$F$98)+1400)+'Cálculos'!$F$122)*'Cálculos'!$F$214+'Cálculos'!$F$125*(1+2.78*('Cálculos'!$F$196+(($C222)-$A$177:$A$222)*'Cálculos'!$F$98)/(('Cálculos'!$F$196+(($C222)-$A$177:$A$222)*'Cálculos'!$F$98)+1400)+'Cálculos'!$F$123)*'Cálculos'!$F$219)+('Cálculos'!$F$196+(($C222)-$A$177:$A$222)*'Cálculos'!$F$98)*('Cálculos'!$F$210+'Cálculos'!$F$124*(1+2.78*('Cálculos'!$F$196+(($C222)-$A$177:$A$222)*'Cálculos'!$F$98)/(('Cálculos'!$F$196+(($C222)-$A$177:$A$222)*'Cálculos'!$F$98)+1400)+'Cálculos'!$F$122)*'Cálculos'!$F$215+'Cálculos'!$F$125*(1+2.78*('Cálculos'!$F$196+(($C222)-$A$177:$A$222)*'Cálculos'!$F$98)/(('Cálculos'!$F$196+(($C222)-$A$177:$A$222)*'Cálculos'!$F$98)+1400)+'Cálculos'!$F$123)*'Cálculos'!$F$220)+('Cálculos'!$F$201*(1+'Cálculos'!$F$202+$A$177:$A$222*('Cálculos'!$F$290=2)*'Cálculos'!$F$101)+'Cálculos'!$F$203)*('Cálculos'!$F$211+'Cálculos'!$F$124*(1+2.78*('Cálculos'!$F$196+(($C222)-$A$177:$A$222)*'Cálculos'!$F$98)/(('Cálculos'!$F$196+(($C222)-$A$177:$A$222)*'Cálculos'!$F$98)+1400)+'Cálculos'!$F$122)*'Cálculos'!$F$216+'Cálculos'!$F$125*(1+2.78*('Cálculos'!$F$196+(($C222)-$A$177:$A$222)*'Cálculos'!$F$98)/(('Cálculos'!$F$196+(($C222)-$A$177:$A$222)*'Cálculos'!$F$98)+1400)+'Cálculos'!$F$123)*'Cálculos'!$F$221)+('Cálculos'!$F$204*(1+'Cálculos'!$F$205+$A$177:$A$222*('Cálculos'!$F$290=3)*'Cálculos'!$F$103)+'Cálculos'!$F$206)*('Cálculos'!$F$212+'Cálculos'!$F$124*(1+2.78*('Cálculos'!$F$196+(($C222)-$A$177:$A$222)*'Cálculos'!$F$98)/(('Cálculos'!$F$196+(($C222)-$A$177:$A$222)*'Cálculos'!$F$98)+1400)+'Cálculos'!$F$122)*'Cálculos'!$F$217+'Cálculos'!$F$125*(1+2.78*('Cálculos'!$F$196+(($C222)-$A$177:$A$222)*'Cálculos'!$F$98)/(('Cálculos'!$F$196+(($C222)-$A$177:$A$222)*'Cálculos'!$F$98)+1400)+'Cálculos'!$F$123)*'Cálculos'!$F$222)+('Cálculos'!$F$185*(1+'Cálculos'!$F$187+$A$177:$A$222*('Cálculos'!$F$290=1)*'Cálculos'!$F$97+'Cálculos'!$F$305)+'Cálculos'!$F$192)*('Cálculos'!$F$224+'Cálculos'!$F$124*(1+2.78*('Cálculos'!$F$197+(($C222)-$A$177:$A$222)*'Cálculos'!$F$98)/(('Cálculos'!$F$197+(($C222)-$A$177:$A$222)*'Cálculos'!$F$98)+1400)+'Cálculos'!$F$122)*'Cálculos'!$F$229+'Cálculos'!$F$125*(1+2.78*('Cálculos'!$F$197+(($C222)-$A$177:$A$222)*'Cálculos'!$F$98)/(('Cálculos'!$F$197+(($C222)-$A$177:$A$222)*'Cálculos'!$F$98)+1400)+'Cálculos'!$F$123)*'Cálculos'!$F$234)+('Cálculos'!$F$197+(($C222)-$A$177:$A$222)*'Cálculos'!$F$98)*('Cálculos'!$F$225+'Cálculos'!$F$124*(1+2.78*('Cálculos'!$F$197+(($C222)-$A$177:$A$222)*'Cálculos'!$F$98)/(('Cálculos'!$F$197+(($C222)-$A$177:$A$222)*'Cálculos'!$F$98)+1400)+'Cálculos'!$F$122)*'Cálculos'!$F$230+'Cálculos'!$F$125*(1+2.78*('Cálculos'!$F$197+(($C222)-$A$177:$A$222)*'Cálculos'!$F$98)/(('Cálculos'!$F$197+(($C222)-$A$177:$A$222)*'Cálculos'!$F$98)+1400)+'Cálculos'!$F$123)*'Cálculos'!$F$235)+('Cálculos'!$F$201*(1+'Cálculos'!$F$202+$A$177:$A$222*('Cálculos'!$F$290=2)*'Cálculos'!$F$101)+'Cálculos'!$F$203)*('Cálculos'!$F$226+'Cálculos'!$F$124*(1+2.78*('Cálculos'!$F$197+(($C222)-$A$177:$A$222)*'Cálculos'!$F$98)/(('Cálculos'!$F$197+(($C222)-$A$177:$A$222)*'Cálculos'!$F$98)+1400)+'Cálculos'!$F$122)*'Cálculos'!$F$231+'Cálculos'!$F$125*(1+2.78*('Cálculos'!$F$197+(($C222)-$A$177:$A$222)*'Cálculos'!$F$98)/(('Cálculos'!$F$197+(($C222)-$A$177:$A$222)*'Cálculos'!$F$98)+1400)+'Cálculos'!$F$123)*'Cálculos'!$F$236)+('Cálculos'!$F$204*(1+'Cálculos'!$F$205+$A$177:$A$222*('Cálculos'!$F$290=3)*'Cálculos'!$F$103)+'Cálculos'!$F$206)*('Cálculos'!$F$227+'Cálculos'!$F$124*(1+2.78*('Cálculos'!$F$197+(($C222)-$A$177:$A$222)*'Cálculos'!$F$98)/(('Cálculos'!$F$197+(($C222)-$A$177:$A$222)*'Cálculos'!$F$98)+1400)+'Cálculos'!$F$122)*'Cálculos'!$F$232+'Cálculos'!$F$125*(1+2.78*('Cálculos'!$F$197+(($C222)-$A$177:$A$222)*'Cálculos'!$F$98)/(('Cálculos'!$F$197+(($C222)-$A$177:$A$222)*'Cálculos'!$F$98)+1400)+'Cálculos'!$F$123)*'Cálculos'!$F$237)+('Cálculos'!$F$185*(1+'Cálculos'!$F$188+$A$177:$A$222*('Cálculos'!$F$290=1)*'Cálculos'!$F$97+'Cálculos'!$F$305)+'Cálculos'!$F$193)*('Cálculos'!$F$239+'Cálculos'!$F$124*(1+2.78*('Cálculos'!$F$198+(($C222)-$A$177:$A$222)*'Cálculos'!$F$98)/(('Cálculos'!$F$198+(($C222)-$A$177:$A$222)*'Cálculos'!$F$98)+1400)+'Cálculos'!$F$122)*'Cálculos'!$F$244+'Cálculos'!$F$125*(1+2.78*('Cálculos'!$F$198+(($C222)-$A$177:$A$222)*'Cálculos'!$F$98)/(('Cálculos'!$F$198+(($C222)-$A$177:$A$222)*'Cálculos'!$F$98)+1400)+'Cálculos'!$F$123)*'Cálculos'!$F$249)+('Cálculos'!$F$198+(($C222)-$A$177:$A$222)*'Cálculos'!$F$98)*('Cálculos'!$F$240+'Cálculos'!$F$124*(1+2.78*('Cálculos'!$F$198+(($C222)-$A$177:$A$222)*'Cálculos'!$F$98)/(('Cálculos'!$F$198+(($C222)-$A$177:$A$222)*'Cálculos'!$F$98)+1400)+'Cálculos'!$F$122)*'Cálculos'!$F$245+'Cálculos'!$F$125*(1+2.78*('Cálculos'!$F$198+(($C222)-$A$177:$A$222)*'Cálculos'!$F$98)/(('Cálculos'!$F$198+(($C222)-$A$177:$A$222)*'Cálculos'!$F$98)+1400)+'Cálculos'!$F$123)*'Cálculos'!$F$250)+('Cálculos'!$F$201*(1+'Cálculos'!$F$202+$A$177:$A$222*('Cálculos'!$F$290=2)*'Cálculos'!$F$101)+'Cálculos'!$F$203)*('Cálculos'!$F$241+'Cálculos'!$F$124*(1+2.78*('Cálculos'!$F$198+(($C222)-$A$177:$A$222)*'Cálculos'!$F$98)/(('Cálculos'!$F$198+(($C222)-$A$177:$A$222)*'Cálculos'!$F$98)+1400)+'Cálculos'!$F$122)*'Cálculos'!$F$246+'Cálculos'!$F$125*(1+2.78*('Cálculos'!$F$198+(($C222)-$A$177:$A$222)*'Cálculos'!$F$98)/(('Cálculos'!$F$198+(($C222)-$A$177:$A$222)*'Cálculos'!$F$98)+1400)+'Cálculos'!$F$123)*'Cálculos'!$F$251)+('Cálculos'!$F$204*(1+'Cálculos'!$F$205+$A$177:$A$222*('Cálculos'!$F$290=3)*'Cálculos'!$F$103)+'Cálculos'!$F$206)*('Cálculos'!$F$242+'Cálculos'!$F$124*(1+2.78*('Cálculos'!$F$198+(($C222)-$A$177:$A$222)*'Cálculos'!$F$98)/(('Cálculos'!$F$198+(($C222)-$A$177:$A$222)*'Cálculos'!$F$98)+1400)+'Cálculos'!$F$122)*'Cálculos'!$F$247+'Cálculos'!$F$125*(1+2.78*('Cálculos'!$F$198+(($C222)-$A$177:$A$222)*'Cálculos'!$F$98)/(('Cálculos'!$F$198+(($C222)-$A$177:$A$222)*'Cálculos'!$F$98)+1400)+'Cálculos'!$F$123)*'Cálculos'!$F$252)+('Cálculos'!$F$185*(1+'Cálculos'!$F$189+$A$177:$A$222*('Cálculos'!$F$290=1)*'Cálculos'!$F$97+'Cálculos'!$F$305)+'Cálculos'!$F$194)*('Cálculos'!$F$254+'Cálculos'!$F$124*(1+2.78*('Cálculos'!$F$199+(($C222)-$A$177:$A$222)*'Cálculos'!$F$98)/(('Cálculos'!$F$199+(($C222)-$A$177:$A$222)*'Cálculos'!$F$98)+1400)+'Cálculos'!$F$122)*'Cálculos'!$F$259+'Cálculos'!$F$125*(1+2.78*('Cálculos'!$F$199+(($C222)-$A$177:$A$222)*'Cálculos'!$F$98)/(('Cálculos'!$F$199+(($C222)-$A$177:$A$222)*'Cálculos'!$F$98)+1400)+'Cálculos'!$F$123)*'Cálculos'!$F$264)+('Cálculos'!$F$199+(($C222)-$A$177:$A$222)*'Cálculos'!$F$98)*('Cálculos'!$F$255+'Cálculos'!$F$124*(1+2.78*('Cálculos'!$F$199+(($C222)-$A$177:$A$222)*'Cálculos'!$F$98)/(('Cálculos'!$F$199+(($C222)-$A$177:$A$222)*'Cálculos'!$F$98)+1400)+'Cálculos'!$F$122)*'Cálculos'!$F$260+'Cálculos'!$F$125*(1+2.78*('Cálculos'!$F$199+(($C222)-$A$177:$A$222)*'Cálculos'!$F$98)/(('Cálculos'!$F$199+(($C222)-$A$177:$A$222)*'Cálculos'!$F$98)+1400)+'Cálculos'!$F$123)*'Cálculos'!$F$265)+('Cálculos'!$F$201*(1+'Cálculos'!$F$202+$A$177:$A$222*('Cálculos'!$F$290=2)*'Cálculos'!$F$101)+'Cálculos'!$F$203)*('Cálculos'!$F$256+'Cálculos'!$F$124*(1+2.78*('Cálculos'!$F$199+(($C222)-$A$177:$A$222)*'Cálculos'!$F$98)/(('Cálculos'!$F$199+(($C222)-$A$177:$A$222)*'Cálculos'!$F$98)+1400)+'Cálculos'!$F$122)*'Cálculos'!$F$261+'Cálculos'!$F$125*(1+2.78*('Cálculos'!$F$199+(($C222)-$A$177:$A$222)*'Cálculos'!$F$98)/(('Cálculos'!$F$199+(($C222)-$A$177:$A$222)*'Cálculos'!$F$98)+1400)+'Cálculos'!$F$123)*'Cálculos'!$F$266)+('Cálculos'!$F$204*(1+'Cálculos'!$F$205+$A$177:$A$222*('Cálculos'!$F$290=3)*'Cálculos'!$F$103)+'Cálculos'!$F$206)*('Cálculos'!$F$257+'Cálculos'!$F$124*(1+2.78*('Cálculos'!$F$199+(($C222)-$A$177:$A$222)*'Cálculos'!$F$98)/(('Cálculos'!$F$199+(($C222)-$A$177:$A$222)*'Cálculos'!$F$98)+1400)+'Cálculos'!$F$122)*'Cálculos'!$F$262+'Cálculos'!$F$125*(1+2.78*('Cálculos'!$F$199+(($C222)-$A$177:$A$222)*'Cálculos'!$F$98)/(('Cálculos'!$F$199+(($C222)-$A$177:$A$222)*'Cálculos'!$F$98)+1400)+'Cálculos'!$F$123)*'Cálculos'!$F$267)+('Cálculos'!$F$185*(1+'Cálculos'!$F$190+$A$177:$A$222*('Cálculos'!$F$290=1)*'Cálculos'!$F$97+'Cálculos'!$F$305)+'Cálculos'!$F$195)*('Cálculos'!$F$269+'Cálculos'!$F$124*(1+2.78*('Cálculos'!$F$200+(($C222)-$A$177:$A$222)*'Cálculos'!$F$98)/(('Cálculos'!$F$200+(($C222)-$A$177:$A$222)*'Cálculos'!$F$98)+1400)+'Cálculos'!$F$122)*'Cálculos'!$F$274+'Cálculos'!$F$125*(1+2.78*('Cálculos'!$F$200+(($C222)-$A$177:$A$222)*'Cálculos'!$F$98)/(('Cálculos'!$F$200+(($C222)-$A$177:$A$222)*'Cálculos'!$F$98)+1400)+'Cálculos'!$F$123)*'Cálculos'!$F$279)+('Cálculos'!$F$200+(($C222)-$A$177:$A$222)*'Cálculos'!$F$98)*('Cálculos'!$F$270+'Cálculos'!$F$124*(1+2.78*('Cálculos'!$F$200+(($C222)-$A$177:$A$222)*'Cálculos'!$F$98)/(('Cálculos'!$F$200+(($C222)-$A$177:$A$222)*'Cálculos'!$F$98)+1400)+'Cálculos'!$F$122)*'Cálculos'!$F$275+'Cálculos'!$F$125*(1+2.78*('Cálculos'!$F$200+(($C222)-$A$177:$A$222)*'Cálculos'!$F$98)/(('Cálculos'!$F$200+(($C222)-$A$177:$A$222)*'Cálculos'!$F$98)+1400)+'Cálculos'!$F$123)*'Cálculos'!$F$280)+('Cálculos'!$F$201*(1+'Cálculos'!$F$202+$A$177:$A$222*('Cálculos'!$F$290=2)*'Cálculos'!$F$101)+'Cálculos'!$F$203)*('Cálculos'!$F$271+'Cálculos'!$F$124*(1+2.78*('Cálculos'!$F$200+(($C222)-$A$177:$A$222)*'Cálculos'!$F$98)/(('Cálculos'!$F$200+(($C222)-$A$177:$A$222)*'Cálculos'!$F$98)+1400)+'Cálculos'!$F$122)*'Cálculos'!$F$276+'Cálculos'!$F$125*(1+2.78*('Cálculos'!$F$200+(($C222)-$A$177:$A$222)*'Cálculos'!$F$98)/(('Cálculos'!$F$200+(($C222)-$A$177:$A$222)*'Cálculos'!$F$98)+1400)+'Cálculos'!$F$123)*'Cálculos'!$F$281)+('Cálculos'!$F$204*(1+'Cálculos'!$F$205+$A$177:$A$222*('Cálculos'!$F$290=3)*'Cálculos'!$F$103)+'Cálculos'!$F$206)*('Cálculos'!$F$272+'Cálculos'!$F$124*(1+2.78*('Cálculos'!$F$200+(($C222)-$A$177:$A$222)*'Cálculos'!$F$98)/(('Cálculos'!$F$200+(($C222)-$A$177:$A$222)*'Cálculos'!$F$98)+1400)+'Cálculos'!$F$122)*'Cálculos'!$F$277+'Cálculos'!$F$125*(1+2.78*('Cálculos'!$F$200+(($C222)-$A$177:$A$222)*'Cálculos'!$F$98)/(('Cálculos'!$F$200+(($C222)-$A$177:$A$222)*'Cálculos'!$F$98)+1400)+'Cálculos'!$F$123)*'Cálculos'!$F$282)))))</f>
        <v>0</v>
      </c>
      <c r="E222" s="32">
        <f>IF(OR($C222&lt;0,'Cálculos'!$F$6=""),0,$B222*$D222)</f>
        <v>0</v>
      </c>
      <c r="F222" s="2"/>
      <c r="G222" s="30">
        <f>($A222&lt;=$B$224)*($A222&lt;='Cálculos'!$F$294)*(($B$224)-$A222&lt;='Cálculos'!$F$295)*(1+MIN(('Cálculos'!$F$207+$A222*'Cálculos'!$F$95),1)*('Cálculos'!$F$208+(($B$224)-$A222)*'Cálculos'!$F$96))</f>
        <v>0</v>
      </c>
      <c r="H222" s="31">
        <f>IF($B$225&lt;0,0,($A222&lt;=$B$225)*($A222&lt;='Cálculos'!$F$301)*(($B$225)-$A222&lt;='Cálculos'!$F$297)*(('Cálculos'!$F$185*(1+'Cálculos'!$F$186+$A222*('Cálculos'!$F$290=1)*'Cálculos'!$F$97+'Cálculos'!$F$305)+'Cálculos'!$F$191)*('Cálculos'!$F$209+'Cálculos'!$F$124*(1+2.78*('Cálculos'!$F$196+(($B$225)-$A222)*'Cálculos'!$F$98)/(('Cálculos'!$F$196+(($B$225)-$A222)*'Cálculos'!$F$98)+1400)+'Cálculos'!$F$122)*'Cálculos'!$F$214+'Cálculos'!$F$125*(1+2.78*('Cálculos'!$F$196+(($B$225)-$A222)*'Cálculos'!$F$98)/(('Cálculos'!$F$196+(($B$225)-$A222)*'Cálculos'!$F$98)+1400)+'Cálculos'!$F$123)*'Cálculos'!$F$219)+('Cálculos'!$F$196+(($B$225)-$A222)*'Cálculos'!$F$98)*('Cálculos'!$F$210+'Cálculos'!$F$124*(1+2.78*('Cálculos'!$F$196+(($B$225)-$A222)*'Cálculos'!$F$98)/(('Cálculos'!$F$196+(($B$225)-$A222)*'Cálculos'!$F$98)+1400)+'Cálculos'!$F$122)*'Cálculos'!$F$215+'Cálculos'!$F$125*(1+2.78*('Cálculos'!$F$196+(($B$225)-$A222)*'Cálculos'!$F$98)/(('Cálculos'!$F$196+(($B$225)-$A222)*'Cálculos'!$F$98)+1400)+'Cálculos'!$F$123)*'Cálculos'!$F$220)+('Cálculos'!$F$201*(1+'Cálculos'!$F$202+$A222*('Cálculos'!$F$290=2)*'Cálculos'!$F$101)+'Cálculos'!$F$203)*('Cálculos'!$F$211+'Cálculos'!$F$124*(1+2.78*('Cálculos'!$F$196+(($B$225)-$A222)*'Cálculos'!$F$98)/(('Cálculos'!$F$196+(($B$225)-$A222)*'Cálculos'!$F$98)+1400)+'Cálculos'!$F$122)*'Cálculos'!$F$216+'Cálculos'!$F$125*(1+2.78*('Cálculos'!$F$196+(($B$225)-$A222)*'Cálculos'!$F$98)/(('Cálculos'!$F$196+(($B$225)-$A222)*'Cálculos'!$F$98)+1400)+'Cálculos'!$F$123)*'Cálculos'!$F$221)+('Cálculos'!$F$204*(1+'Cálculos'!$F$205+$A222*('Cálculos'!$F$290=3)*'Cálculos'!$F$103)+'Cálculos'!$F$206)*('Cálculos'!$F$212+'Cálculos'!$F$124*(1+2.78*('Cálculos'!$F$196+(($B$225)-$A222)*'Cálculos'!$F$98)/(('Cálculos'!$F$196+(($B$225)-$A222)*'Cálculos'!$F$98)+1400)+'Cálculos'!$F$122)*'Cálculos'!$F$217+'Cálculos'!$F$125*(1+2.78*('Cálculos'!$F$196+(($B$225)-$A222)*'Cálculos'!$F$98)/(('Cálculos'!$F$196+(($B$225)-$A222)*'Cálculos'!$F$98)+1400)+'Cálculos'!$F$123)*'Cálculos'!$F$222)+('Cálculos'!$F$185*(1+'Cálculos'!$F$187+$A222*('Cálculos'!$F$290=1)*'Cálculos'!$F$97+'Cálculos'!$F$305)+'Cálculos'!$F$192)*('Cálculos'!$F$224+'Cálculos'!$F$124*(1+2.78*('Cálculos'!$F$197+(($B$225)-$A222)*'Cálculos'!$F$98)/(('Cálculos'!$F$197+(($B$225)-$A222)*'Cálculos'!$F$98)+1400)+'Cálculos'!$F$122)*'Cálculos'!$F$229+'Cálculos'!$F$125*(1+2.78*('Cálculos'!$F$197+(($B$225)-$A222)*'Cálculos'!$F$98)/(('Cálculos'!$F$197+(($B$225)-$A222)*'Cálculos'!$F$98)+1400)+'Cálculos'!$F$123)*'Cálculos'!$F$234)+('Cálculos'!$F$197+(($B$225)-$A222)*'Cálculos'!$F$98)*('Cálculos'!$F$225+'Cálculos'!$F$124*(1+2.78*('Cálculos'!$F$197+(($B$225)-$A222)*'Cálculos'!$F$98)/(('Cálculos'!$F$197+(($B$225)-$A222)*'Cálculos'!$F$98)+1400)+'Cálculos'!$F$122)*'Cálculos'!$F$230+'Cálculos'!$F$125*(1+2.78*('Cálculos'!$F$197+(($B$225)-$A222)*'Cálculos'!$F$98)/(('Cálculos'!$F$197+(($B$225)-$A222)*'Cálculos'!$F$98)+1400)+'Cálculos'!$F$123)*'Cálculos'!$F$235)+('Cálculos'!$F$201*(1+'Cálculos'!$F$202+$A222*('Cálculos'!$F$290=2)*'Cálculos'!$F$101)+'Cálculos'!$F$203)*('Cálculos'!$F$226+'Cálculos'!$F$124*(1+2.78*('Cálculos'!$F$197+(($B$225)-$A222)*'Cálculos'!$F$98)/(('Cálculos'!$F$197+(($B$225)-$A222)*'Cálculos'!$F$98)+1400)+'Cálculos'!$F$122)*'Cálculos'!$F$231+'Cálculos'!$F$125*(1+2.78*('Cálculos'!$F$197+(($B$225)-$A222)*'Cálculos'!$F$98)/(('Cálculos'!$F$197+(($B$225)-$A222)*'Cálculos'!$F$98)+1400)+'Cálculos'!$F$123)*'Cálculos'!$F$236)+('Cálculos'!$F$204*(1+'Cálculos'!$F$205+$A222*('Cálculos'!$F$290=3)*'Cálculos'!$F$103)+'Cálculos'!$F$206)*('Cálculos'!$F$227+'Cálculos'!$F$124*(1+2.78*('Cálculos'!$F$197+(($B$225)-$A222)*'Cálculos'!$F$98)/(('Cálculos'!$F$197+(($B$225)-$A222)*'Cálculos'!$F$98)+1400)+'Cálculos'!$F$122)*'Cálculos'!$F$232+'Cálculos'!$F$125*(1+2.78*('Cálculos'!$F$197+(($B$225)-$A222)*'Cálculos'!$F$98)/(('Cálculos'!$F$197+(($B$225)-$A222)*'Cálculos'!$F$98)+1400)+'Cálculos'!$F$123)*'Cálculos'!$F$237)+('Cálculos'!$F$185*(1+'Cálculos'!$F$188+$A222*('Cálculos'!$F$290=1)*'Cálculos'!$F$97+'Cálculos'!$F$305)+'Cálculos'!$F$193)*('Cálculos'!$F$239+'Cálculos'!$F$124*(1+2.78*('Cálculos'!$F$198+(($B$225)-$A222)*'Cálculos'!$F$98)/(('Cálculos'!$F$198+(($B$225)-$A222)*'Cálculos'!$F$98)+1400)+'Cálculos'!$F$122)*'Cálculos'!$F$244+'Cálculos'!$F$125*(1+2.78*('Cálculos'!$F$198+(($B$225)-$A222)*'Cálculos'!$F$98)/(('Cálculos'!$F$198+(($B$225)-$A222)*'Cálculos'!$F$98)+1400)+'Cálculos'!$F$123)*'Cálculos'!$F$249)+('Cálculos'!$F$198+(($B$225)-$A222)*'Cálculos'!$F$98)*('Cálculos'!$F$240+'Cálculos'!$F$124*(1+2.78*('Cálculos'!$F$198+(($B$225)-$A222)*'Cálculos'!$F$98)/(('Cálculos'!$F$198+(($B$225)-$A222)*'Cálculos'!$F$98)+1400)+'Cálculos'!$F$122)*'Cálculos'!$F$245+'Cálculos'!$F$125*(1+2.78*('Cálculos'!$F$198+(($B$225)-$A222)*'Cálculos'!$F$98)/(('Cálculos'!$F$198+(($B$225)-$A222)*'Cálculos'!$F$98)+1400)+'Cálculos'!$F$123)*'Cálculos'!$F$250)+('Cálculos'!$F$201*(1+'Cálculos'!$F$202+$A222*('Cálculos'!$F$290=2)*'Cálculos'!$F$101)+'Cálculos'!$F$203)*('Cálculos'!$F$241+'Cálculos'!$F$124*(1+2.78*('Cálculos'!$F$198+(($B$225)-$A222)*'Cálculos'!$F$98)/(('Cálculos'!$F$198+(($B$225)-$A222)*'Cálculos'!$F$98)+1400)+'Cálculos'!$F$122)*'Cálculos'!$F$246+'Cálculos'!$F$125*(1+2.78*('Cálculos'!$F$198+(($B$225)-$A222)*'Cálculos'!$F$98)/(('Cálculos'!$F$198+(($B$225)-$A222)*'Cálculos'!$F$98)+1400)+'Cálculos'!$F$123)*'Cálculos'!$F$251)+('Cálculos'!$F$204*(1+'Cálculos'!$F$205+$A222*('Cálculos'!$F$290=3)*'Cálculos'!$F$103)+'Cálculos'!$F$206)*('Cálculos'!$F$242+'Cálculos'!$F$124*(1+2.78*('Cálculos'!$F$198+(($B$225)-$A222)*'Cálculos'!$F$98)/(('Cálculos'!$F$198+(($B$225)-$A222)*'Cálculos'!$F$98)+1400)+'Cálculos'!$F$122)*'Cálculos'!$F$247+'Cálculos'!$F$125*(1+2.78*('Cálculos'!$F$198+(($B$225)-$A222)*'Cálculos'!$F$98)/(('Cálculos'!$F$198+(($B$225)-$A222)*'Cálculos'!$F$98)+1400)+'Cálculos'!$F$123)*'Cálculos'!$F$252)+('Cálculos'!$F$185*(1+'Cálculos'!$F$189+$A222*('Cálculos'!$F$290=1)*'Cálculos'!$F$97+'Cálculos'!$F$305)+'Cálculos'!$F$194)*('Cálculos'!$F$254+'Cálculos'!$F$124*(1+2.78*('Cálculos'!$F$199+(($B$225)-$A222)*'Cálculos'!$F$98)/(('Cálculos'!$F$199+(($B$225)-$A222)*'Cálculos'!$F$98)+1400)+'Cálculos'!$F$122)*'Cálculos'!$F$259+'Cálculos'!$F$125*(1+2.78*('Cálculos'!$F$199+(($B$225)-$A222)*'Cálculos'!$F$98)/(('Cálculos'!$F$199+(($B$225)-$A222)*'Cálculos'!$F$98)+1400)+'Cálculos'!$F$123)*'Cálculos'!$F$264)+('Cálculos'!$F$199+(($B$225)-$A222)*'Cálculos'!$F$98)*('Cálculos'!$F$255+'Cálculos'!$F$124*(1+2.78*('Cálculos'!$F$199+(($B$225)-$A222)*'Cálculos'!$F$98)/(('Cálculos'!$F$199+(($B$225)-$A222)*'Cálculos'!$F$98)+1400)+'Cálculos'!$F$122)*'Cálculos'!$F$260+'Cálculos'!$F$125*(1+2.78*('Cálculos'!$F$199+(($B$225)-$A222)*'Cálculos'!$F$98)/(('Cálculos'!$F$199+(($B$225)-$A222)*'Cálculos'!$F$98)+1400)+'Cálculos'!$F$123)*'Cálculos'!$F$265)+('Cálculos'!$F$201*(1+'Cálculos'!$F$202+$A222*('Cálculos'!$F$290=2)*'Cálculos'!$F$101)+'Cálculos'!$F$203)*('Cálculos'!$F$256+'Cálculos'!$F$124*(1+2.78*('Cálculos'!$F$199+(($B$225)-$A222)*'Cálculos'!$F$98)/(('Cálculos'!$F$199+(($B$225)-$A222)*'Cálculos'!$F$98)+1400)+'Cálculos'!$F$122)*'Cálculos'!$F$261+'Cálculos'!$F$125*(1+2.78*('Cálculos'!$F$199+(($B$225)-$A222)*'Cálculos'!$F$98)/(('Cálculos'!$F$199+(($B$225)-$A222)*'Cálculos'!$F$98)+1400)+'Cálculos'!$F$123)*'Cálculos'!$F$266)+('Cálculos'!$F$204*(1+'Cálculos'!$F$205+$A222*('Cálculos'!$F$290=3)*'Cálculos'!$F$103)+'Cálculos'!$F$206)*('Cálculos'!$F$257+'Cálculos'!$F$124*(1+2.78*('Cálculos'!$F$199+(($B$225)-$A222)*'Cálculos'!$F$98)/(('Cálculos'!$F$199+(($B$225)-$A222)*'Cálculos'!$F$98)+1400)+'Cálculos'!$F$122)*'Cálculos'!$F$262+'Cálculos'!$F$125*(1+2.78*('Cálculos'!$F$199+(($B$225)-$A222)*'Cálculos'!$F$98)/(('Cálculos'!$F$199+(($B$225)-$A222)*'Cálculos'!$F$98)+1400)+'Cálculos'!$F$123)*'Cálculos'!$F$267)+('Cálculos'!$F$185*(1+'Cálculos'!$F$190+$A222*('Cálculos'!$F$290=1)*'Cálculos'!$F$97+'Cálculos'!$F$305)+'Cálculos'!$F$195)*('Cálculos'!$F$269+'Cálculos'!$F$124*(1+2.78*('Cálculos'!$F$200+(($B$225)-$A222)*'Cálculos'!$F$98)/(('Cálculos'!$F$200+(($B$225)-$A222)*'Cálculos'!$F$98)+1400)+'Cálculos'!$F$122)*'Cálculos'!$F$274+'Cálculos'!$F$125*(1+2.78*('Cálculos'!$F$200+(($B$225)-$A222)*'Cálculos'!$F$98)/(('Cálculos'!$F$200+(($B$225)-$A222)*'Cálculos'!$F$98)+1400)+'Cálculos'!$F$123)*'Cálculos'!$F$279)+('Cálculos'!$F$200+(($B$225)-$A222)*'Cálculos'!$F$98)*('Cálculos'!$F$270+'Cálculos'!$F$124*(1+2.78*('Cálculos'!$F$200+(($B$225)-$A222)*'Cálculos'!$F$98)/(('Cálculos'!$F$200+(($B$225)-$A222)*'Cálculos'!$F$98)+1400)+'Cálculos'!$F$122)*'Cálculos'!$F$275+'Cálculos'!$F$125*(1+2.78*('Cálculos'!$F$200+(($B$225)-$A222)*'Cálculos'!$F$98)/(('Cálculos'!$F$200+(($B$225)-$A222)*'Cálculos'!$F$98)+1400)+'Cálculos'!$F$123)*'Cálculos'!$F$280)+('Cálculos'!$F$201*(1+'Cálculos'!$F$202+$A222*('Cálculos'!$F$290=2)*'Cálculos'!$F$101)+'Cálculos'!$F$203)*('Cálculos'!$F$271+'Cálculos'!$F$124*(1+2.78*('Cálculos'!$F$200+(($B$225)-$A222)*'Cálculos'!$F$98)/(('Cálculos'!$F$200+(($B$225)-$A222)*'Cálculos'!$F$98)+1400)+'Cálculos'!$F$122)*'Cálculos'!$F$276+'Cálculos'!$F$125*(1+2.78*('Cálculos'!$F$200+(($B$225)-$A222)*'Cálculos'!$F$98)/(('Cálculos'!$F$200+(($B$225)-$A222)*'Cálculos'!$F$98)+1400)+'Cálculos'!$F$123)*'Cálculos'!$F$281)+('Cálculos'!$F$204*(1+'Cálculos'!$F$205+$A222*('Cálculos'!$F$290=3)*'Cálculos'!$F$103)+'Cálculos'!$F$206)*('Cálculos'!$F$272+'Cálculos'!$F$124*(1+2.78*('Cálculos'!$F$200+(($B$225)-$A222)*'Cálculos'!$F$98)/(('Cálculos'!$F$200+(($B$225)-$A222)*'Cálculos'!$F$98)+1400)+'Cálculos'!$F$122)*'Cálculos'!$F$277+'Cálculos'!$F$125*(1+2.78*('Cálculos'!$F$200+(($B$225)-$A222)*'Cálculos'!$F$98)/(('Cálculos'!$F$200+(($B$225)-$A222)*'Cálculos'!$F$98)+1400)+'Cálculos'!$F$123)*'Cálculos'!$F$282)))</f>
        <v>0</v>
      </c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3" t="s">
        <v>888</v>
      </c>
      <c r="B224" s="2">
        <f>IF('Cálculos'!$F$304="",MATCH(MAX($E$177:$E$222),$E$177:$E$222,0)-1,'Cálculos'!$F$304)</f>
        <v>18</v>
      </c>
      <c r="C224" s="2"/>
      <c r="D224" s="2"/>
      <c r="E224" s="2"/>
      <c r="F224" s="2"/>
      <c r="G224" s="2"/>
      <c r="H224" s="2"/>
    </row>
    <row r="225" ht="15.75" customHeight="1">
      <c r="A225" s="3" t="s">
        <v>889</v>
      </c>
      <c r="B225" s="2">
        <f>'Cálculos'!$F$303-$B$224</f>
        <v>0</v>
      </c>
      <c r="C225" s="2"/>
      <c r="D225" s="2"/>
      <c r="E225" s="2"/>
      <c r="F225" s="2"/>
      <c r="G225" s="2"/>
      <c r="H225" s="2"/>
    </row>
    <row r="226" ht="15.75" customHeight="1">
      <c r="A226" s="3" t="s">
        <v>637</v>
      </c>
      <c r="B226" s="37">
        <f>MATCH(MAX($G$177:$G$222),$G$177:$G$222,0)-1</f>
        <v>12</v>
      </c>
      <c r="C226" s="2"/>
      <c r="D226" s="2"/>
      <c r="E226" s="2"/>
      <c r="F226" s="2"/>
      <c r="G226" s="2"/>
      <c r="H226" s="2"/>
    </row>
    <row r="227" ht="15.75" customHeight="1">
      <c r="A227" s="3" t="s">
        <v>638</v>
      </c>
      <c r="B227" s="37">
        <f>$B$224-$B$226</f>
        <v>6</v>
      </c>
      <c r="C227" s="2"/>
      <c r="D227" s="2"/>
      <c r="E227" s="2"/>
      <c r="F227" s="2"/>
      <c r="G227" s="2"/>
      <c r="H227" s="2"/>
    </row>
    <row r="228" ht="15.75" customHeight="1">
      <c r="A228" s="3" t="s">
        <v>890</v>
      </c>
      <c r="B228" s="37">
        <f>MATCH(MAX($H$177:$H$222),$H$177:$H$222,0)-1</f>
        <v>0</v>
      </c>
      <c r="C228" s="2"/>
      <c r="D228" s="2"/>
      <c r="E228" s="2"/>
      <c r="F228" s="2"/>
      <c r="G228" s="2"/>
      <c r="H228" s="2"/>
    </row>
    <row r="229" ht="15.75" customHeight="1">
      <c r="A229" s="3" t="s">
        <v>640</v>
      </c>
      <c r="B229" s="37">
        <f>$B$225-$B$228</f>
        <v>0</v>
      </c>
      <c r="C229" s="2"/>
      <c r="D229" s="2"/>
      <c r="E229" s="2"/>
      <c r="F229" s="2"/>
      <c r="G229" s="2"/>
      <c r="H229" s="2"/>
    </row>
    <row r="230" ht="15.75" customHeight="1">
      <c r="A230" s="3" t="s">
        <v>641</v>
      </c>
      <c r="B230" s="37">
        <f>'Cálculos'!$F$302</f>
        <v>2</v>
      </c>
      <c r="C230" s="2"/>
      <c r="D230" s="2"/>
      <c r="E230" s="2"/>
      <c r="F230" s="2"/>
      <c r="G230" s="2"/>
      <c r="H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3" t="s">
        <v>665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6" t="s">
        <v>666</v>
      </c>
      <c r="B4" s="6" t="s">
        <v>667</v>
      </c>
      <c r="C4" s="6" t="s">
        <v>668</v>
      </c>
      <c r="D4" s="6" t="s">
        <v>669</v>
      </c>
      <c r="E4" s="6" t="s">
        <v>670</v>
      </c>
      <c r="F4" s="6" t="s">
        <v>671</v>
      </c>
      <c r="G4" s="6" t="s">
        <v>672</v>
      </c>
      <c r="H4" s="6" t="s">
        <v>673</v>
      </c>
      <c r="I4" s="6" t="s">
        <v>674</v>
      </c>
      <c r="J4" s="6" t="s">
        <v>675</v>
      </c>
      <c r="K4" s="6" t="s">
        <v>676</v>
      </c>
      <c r="L4" s="6" t="s">
        <v>677</v>
      </c>
      <c r="M4" s="6" t="s">
        <v>678</v>
      </c>
      <c r="N4" s="6" t="s">
        <v>679</v>
      </c>
      <c r="O4" s="6" t="s">
        <v>680</v>
      </c>
      <c r="P4" s="6" t="s">
        <v>681</v>
      </c>
      <c r="Q4" s="6" t="s">
        <v>682</v>
      </c>
      <c r="R4" s="6" t="s">
        <v>683</v>
      </c>
      <c r="S4" s="6" t="s">
        <v>684</v>
      </c>
      <c r="T4" s="6" t="s">
        <v>685</v>
      </c>
      <c r="U4" s="6" t="s">
        <v>686</v>
      </c>
      <c r="V4" s="6" t="s">
        <v>687</v>
      </c>
      <c r="W4" s="6" t="s">
        <v>688</v>
      </c>
      <c r="X4" s="6" t="s">
        <v>689</v>
      </c>
      <c r="Y4" s="6" t="s">
        <v>690</v>
      </c>
      <c r="Z4" s="6" t="s">
        <v>691</v>
      </c>
      <c r="AA4" s="6" t="s">
        <v>692</v>
      </c>
      <c r="AB4" s="6" t="s">
        <v>693</v>
      </c>
      <c r="AC4" s="6" t="s">
        <v>694</v>
      </c>
      <c r="AD4" s="6" t="s">
        <v>695</v>
      </c>
      <c r="AE4" s="6" t="s">
        <v>696</v>
      </c>
      <c r="AF4" s="6" t="s">
        <v>697</v>
      </c>
    </row>
    <row r="5">
      <c r="A5" s="2">
        <f t="array" ref="A5">IF(ISNUMBER('Rotação'!$J5),IF('Rotação'!$B5="",1,'Rotação'!$B5)*IF(ISNUMBER('Rotação'!$H5),MAX(1,N(INDEX(L_Golpes!$BN$2:$BN$6000,'Rotação'!$H5))),1),0)</f>
        <v>1</v>
      </c>
      <c r="B5" s="2">
        <f>IF(AND($A5&gt;0,N('Dano fixo'!$L$2)&gt;0,OR('Dano fixo'!$G$2="Todos",ISNUMBER(SEARCH(","&amp;'Rotação'!$I5&amp;",",","&amp;SUBSTITUTE('Dano fixo'!$G$2,", ",",")&amp;","))),OR('Dano fixo'!$H$2="",ISNUMBER(SEARCH(","&amp;'Rotação'!$R5&amp;",",","&amp;SUBSTITUTE('Dano fixo'!$H$2,", ",",")&amp;","))),OR('Dano fixo'!$I$2="",ISNUMBER(SEARCH(","&amp;'Rotação'!$K5&amp;",",","&amp;SUBSTITUTE('Dano fixo'!$I$2,", ",",")&amp;",")))),1,0)</f>
        <v>0</v>
      </c>
      <c r="C5" s="2">
        <f>0+B5*$A5</f>
        <v>0</v>
      </c>
      <c r="D5" s="2">
        <f>B5*IF('Dano fixo'!$J$2="",$A5,MIN($A5,MAX(0,'Dano fixo'!$J$2-0)))</f>
        <v>0</v>
      </c>
      <c r="E5" s="2">
        <f>IF(AND($A5&gt;0,N('Dano fixo'!$L$3)&gt;0,OR('Dano fixo'!$G$3="Todos",ISNUMBER(SEARCH(","&amp;'Rotação'!$I5&amp;",",","&amp;SUBSTITUTE('Dano fixo'!$G$3,", ",",")&amp;","))),OR('Dano fixo'!$H$3="",ISNUMBER(SEARCH(","&amp;'Rotação'!$R5&amp;",",","&amp;SUBSTITUTE('Dano fixo'!$H$3,", ",",")&amp;","))),OR('Dano fixo'!$I$3="",ISNUMBER(SEARCH(","&amp;'Rotação'!$K5&amp;",",","&amp;SUBSTITUTE('Dano fixo'!$I$3,", ",",")&amp;",")))),1,0)</f>
        <v>0</v>
      </c>
      <c r="F5" s="2">
        <f>0+E5*$A5</f>
        <v>0</v>
      </c>
      <c r="G5" s="2">
        <f>E5*IF('Dano fixo'!$J$3="",$A5,MIN($A5,MAX(0,'Dano fixo'!$J$3-0)))</f>
        <v>0</v>
      </c>
      <c r="H5" s="2">
        <f>IF(AND($A5&gt;0,N('Dano fixo'!$L$4)&gt;0,OR('Dano fixo'!$G$4="Todos",ISNUMBER(SEARCH(","&amp;'Rotação'!$I5&amp;",",","&amp;SUBSTITUTE('Dano fixo'!$G$4,", ",",")&amp;","))),OR('Dano fixo'!$H$4="",ISNUMBER(SEARCH(","&amp;'Rotação'!$R5&amp;",",","&amp;SUBSTITUTE('Dano fixo'!$H$4,", ",",")&amp;","))),OR('Dano fixo'!$I$4="",ISNUMBER(SEARCH(","&amp;'Rotação'!$K5&amp;",",","&amp;SUBSTITUTE('Dano fixo'!$I$4,", ",",")&amp;",")))),1,0)</f>
        <v>0</v>
      </c>
      <c r="I5" s="2">
        <f>0+H5*$A5</f>
        <v>0</v>
      </c>
      <c r="J5" s="2">
        <f>H5*IF('Dano fixo'!$J$4="",$A5,MIN($A5,MAX(0,'Dano fixo'!$J$4-0)))</f>
        <v>0</v>
      </c>
      <c r="K5" s="2">
        <f>IF(AND($A5&gt;0,N('Dano fixo'!$L$5)&gt;0,OR('Dano fixo'!$G$5="Todos",ISNUMBER(SEARCH(","&amp;'Rotação'!$I5&amp;",",","&amp;SUBSTITUTE('Dano fixo'!$G$5,", ",",")&amp;","))),OR('Dano fixo'!$H$5="",ISNUMBER(SEARCH(","&amp;'Rotação'!$R5&amp;",",","&amp;SUBSTITUTE('Dano fixo'!$H$5,", ",",")&amp;","))),OR('Dano fixo'!$I$5="",ISNUMBER(SEARCH(","&amp;'Rotação'!$K5&amp;",",","&amp;SUBSTITUTE('Dano fixo'!$I$5,", ",",")&amp;",")))),1,0)</f>
        <v>0</v>
      </c>
      <c r="L5" s="2">
        <f>0+K5*$A5</f>
        <v>0</v>
      </c>
      <c r="M5" s="2">
        <f>K5*IF('Dano fixo'!$J$5="",$A5,MIN($A5,MAX(0,'Dano fixo'!$J$5-0)))</f>
        <v>0</v>
      </c>
      <c r="N5" s="2">
        <f>IF(AND($A5&gt;0,N('Dano fixo'!$L$6)&gt;0,OR('Dano fixo'!$G$6="Todos",ISNUMBER(SEARCH(","&amp;'Rotação'!$I5&amp;",",","&amp;SUBSTITUTE('Dano fixo'!$G$6,", ",",")&amp;","))),OR('Dano fixo'!$H$6="",ISNUMBER(SEARCH(","&amp;'Rotação'!$R5&amp;",",","&amp;SUBSTITUTE('Dano fixo'!$H$6,", ",",")&amp;","))),OR('Dano fixo'!$I$6="",ISNUMBER(SEARCH(","&amp;'Rotação'!$K5&amp;",",","&amp;SUBSTITUTE('Dano fixo'!$I$6,", ",",")&amp;",")))),1,0)</f>
        <v>0</v>
      </c>
      <c r="O5" s="2">
        <f>0+N5*$A5</f>
        <v>0</v>
      </c>
      <c r="P5" s="2">
        <f>N5*IF('Dano fixo'!$J$6="",$A5,MIN($A5,MAX(0,'Dano fixo'!$J$6-0)))</f>
        <v>0</v>
      </c>
      <c r="Q5" s="2">
        <f>IF(AND($A5&gt;0,N('Dano fixo'!$L$7)&gt;0,OR('Dano fixo'!$G$7="Todos",ISNUMBER(SEARCH(","&amp;'Rotação'!$I5&amp;",",","&amp;SUBSTITUTE('Dano fixo'!$G$7,", ",",")&amp;","))),OR('Dano fixo'!$H$7="",ISNUMBER(SEARCH(","&amp;'Rotação'!$R5&amp;",",","&amp;SUBSTITUTE('Dano fixo'!$H$7,", ",",")&amp;","))),OR('Dano fixo'!$I$7="",ISNUMBER(SEARCH(","&amp;'Rotação'!$K5&amp;",",","&amp;SUBSTITUTE('Dano fixo'!$I$7,", ",",")&amp;",")))),1,0)</f>
        <v>0</v>
      </c>
      <c r="R5" s="2">
        <f>0+Q5*$A5</f>
        <v>0</v>
      </c>
      <c r="S5" s="2">
        <f>Q5*IF('Dano fixo'!$J$7="",$A5,MIN($A5,MAX(0,'Dano fixo'!$J$7-0)))</f>
        <v>0</v>
      </c>
      <c r="T5" s="2">
        <f>IF(AND($A5&gt;0,N('Dano fixo'!$L$8)&gt;0,OR('Dano fixo'!$G$8="Todos",ISNUMBER(SEARCH(","&amp;'Rotação'!$I5&amp;",",","&amp;SUBSTITUTE('Dano fixo'!$G$8,", ",",")&amp;","))),OR('Dano fixo'!$H$8="",ISNUMBER(SEARCH(","&amp;'Rotação'!$R5&amp;",",","&amp;SUBSTITUTE('Dano fixo'!$H$8,", ",",")&amp;","))),OR('Dano fixo'!$I$8="",ISNUMBER(SEARCH(","&amp;'Rotação'!$K5&amp;",",","&amp;SUBSTITUTE('Dano fixo'!$I$8,", ",",")&amp;",")))),1,0)</f>
        <v>0</v>
      </c>
      <c r="U5" s="2">
        <f>0+T5*$A5</f>
        <v>0</v>
      </c>
      <c r="V5" s="2">
        <f>T5*IF('Dano fixo'!$J$8="",$A5,MIN($A5,MAX(0,'Dano fixo'!$J$8-0)))</f>
        <v>0</v>
      </c>
      <c r="W5" s="2">
        <f>IF(AND($A5&gt;0,N('Dano fixo'!$L$9)&gt;0,OR('Dano fixo'!$G$9="Todos",ISNUMBER(SEARCH(","&amp;'Rotação'!$I5&amp;",",","&amp;SUBSTITUTE('Dano fixo'!$G$9,", ",",")&amp;","))),OR('Dano fixo'!$H$9="",ISNUMBER(SEARCH(","&amp;'Rotação'!$R5&amp;",",","&amp;SUBSTITUTE('Dano fixo'!$H$9,", ",",")&amp;","))),OR('Dano fixo'!$I$9="",ISNUMBER(SEARCH(","&amp;'Rotação'!$K5&amp;",",","&amp;SUBSTITUTE('Dano fixo'!$I$9,", ",",")&amp;",")))),1,0)</f>
        <v>0</v>
      </c>
      <c r="X5" s="2">
        <f>0+W5*$A5</f>
        <v>0</v>
      </c>
      <c r="Y5" s="2">
        <f>W5*IF('Dano fixo'!$J$9="",$A5,MIN($A5,MAX(0,'Dano fixo'!$J$9-0)))</f>
        <v>0</v>
      </c>
      <c r="Z5" s="2">
        <f>IF(AND($A5&gt;0,N('Dano fixo'!$L$10)&gt;0,OR('Dano fixo'!$G$10="Todos",ISNUMBER(SEARCH(","&amp;'Rotação'!$I5&amp;",",","&amp;SUBSTITUTE('Dano fixo'!$G$10,", ",",")&amp;","))),OR('Dano fixo'!$H$10="",ISNUMBER(SEARCH(","&amp;'Rotação'!$R5&amp;",",","&amp;SUBSTITUTE('Dano fixo'!$H$10,", ",",")&amp;","))),OR('Dano fixo'!$I$10="",ISNUMBER(SEARCH(","&amp;'Rotação'!$K5&amp;",",","&amp;SUBSTITUTE('Dano fixo'!$I$10,", ",",")&amp;",")))),1,0)</f>
        <v>0</v>
      </c>
      <c r="AA5" s="2">
        <f>0+Z5*$A5</f>
        <v>0</v>
      </c>
      <c r="AB5" s="2">
        <f>Z5*IF('Dano fixo'!$J$10="",$A5,MIN($A5,MAX(0,'Dano fixo'!$J$10-0)))</f>
        <v>0</v>
      </c>
      <c r="AC5" s="2">
        <f>IF(AND($A5&gt;0,N('Dano fixo'!$L$11)&gt;0,OR('Dano fixo'!$G$11="Todos",ISNUMBER(SEARCH(","&amp;'Rotação'!$I5&amp;",",","&amp;SUBSTITUTE('Dano fixo'!$G$11,", ",",")&amp;","))),OR('Dano fixo'!$H$11="",ISNUMBER(SEARCH(","&amp;'Rotação'!$R5&amp;",",","&amp;SUBSTITUTE('Dano fixo'!$H$11,", ",",")&amp;","))),OR('Dano fixo'!$I$11="",ISNUMBER(SEARCH(","&amp;'Rotação'!$K5&amp;",",","&amp;SUBSTITUTE('Dano fixo'!$I$11,", ",",")&amp;",")))),1,0)</f>
        <v>0</v>
      </c>
      <c r="AD5" s="2">
        <f>0+AC5*$A5</f>
        <v>0</v>
      </c>
      <c r="AE5" s="2">
        <f>AC5*IF('Dano fixo'!$J$11="",$A5,MIN($A5,MAX(0,'Dano fixo'!$J$11-0)))</f>
        <v>0</v>
      </c>
      <c r="AF5" s="2">
        <f>D5*'Dano fixo'!$L$2+G5*'Dano fixo'!$L$3+J5*'Dano fixo'!$L$4+M5*'Dano fixo'!$L$5+P5*'Dano fixo'!$L$6+S5*'Dano fixo'!$L$7+V5*'Dano fixo'!$L$8+Y5*'Dano fixo'!$L$9+AB5*'Dano fixo'!$L$10+AE5*'Dano fixo'!$L$11</f>
        <v>0</v>
      </c>
    </row>
    <row r="6">
      <c r="A6" s="2">
        <f t="array" ref="A6">IF(ISNUMBER('Rotação'!$J6),IF('Rotação'!$B6="",1,'Rotação'!$B6)*IF(ISNUMBER('Rotação'!$H6),MAX(1,N(INDEX(L_Golpes!$BN$2:$BN$6000,'Rotação'!$H6))),1),0)</f>
        <v>1</v>
      </c>
      <c r="B6" s="2">
        <f>IF(AND($A6&gt;0,N('Dano fixo'!$L$2)&gt;0,OR('Dano fixo'!$G$2="Todos",ISNUMBER(SEARCH(","&amp;'Rotação'!$I6&amp;",",","&amp;SUBSTITUTE('Dano fixo'!$G$2,", ",",")&amp;","))),OR('Dano fixo'!$H$2="",ISNUMBER(SEARCH(","&amp;'Rotação'!$R6&amp;",",","&amp;SUBSTITUTE('Dano fixo'!$H$2,", ",",")&amp;","))),OR('Dano fixo'!$I$2="",ISNUMBER(SEARCH(","&amp;'Rotação'!$K6&amp;",",","&amp;SUBSTITUTE('Dano fixo'!$I$2,", ",",")&amp;",")))),1,0)</f>
        <v>0</v>
      </c>
      <c r="C6" s="2">
        <f t="shared" ref="C6:C64" si="1">C5+B6*$A6</f>
        <v>0</v>
      </c>
      <c r="D6" s="2">
        <f>B6*IF('Dano fixo'!$J$2="",$A6,MIN($A6,MAX(0,'Dano fixo'!$J$2-C5)))</f>
        <v>0</v>
      </c>
      <c r="E6" s="2">
        <f>IF(AND($A6&gt;0,N('Dano fixo'!$L$3)&gt;0,OR('Dano fixo'!$G$3="Todos",ISNUMBER(SEARCH(","&amp;'Rotação'!$I6&amp;",",","&amp;SUBSTITUTE('Dano fixo'!$G$3,", ",",")&amp;","))),OR('Dano fixo'!$H$3="",ISNUMBER(SEARCH(","&amp;'Rotação'!$R6&amp;",",","&amp;SUBSTITUTE('Dano fixo'!$H$3,", ",",")&amp;","))),OR('Dano fixo'!$I$3="",ISNUMBER(SEARCH(","&amp;'Rotação'!$K6&amp;",",","&amp;SUBSTITUTE('Dano fixo'!$I$3,", ",",")&amp;",")))),1,0)</f>
        <v>0</v>
      </c>
      <c r="F6" s="2">
        <f t="shared" ref="F6:F64" si="2">F5+E6*$A6</f>
        <v>0</v>
      </c>
      <c r="G6" s="2">
        <f>E6*IF('Dano fixo'!$J$3="",$A6,MIN($A6,MAX(0,'Dano fixo'!$J$3-F5)))</f>
        <v>0</v>
      </c>
      <c r="H6" s="2">
        <f>IF(AND($A6&gt;0,N('Dano fixo'!$L$4)&gt;0,OR('Dano fixo'!$G$4="Todos",ISNUMBER(SEARCH(","&amp;'Rotação'!$I6&amp;",",","&amp;SUBSTITUTE('Dano fixo'!$G$4,", ",",")&amp;","))),OR('Dano fixo'!$H$4="",ISNUMBER(SEARCH(","&amp;'Rotação'!$R6&amp;",",","&amp;SUBSTITUTE('Dano fixo'!$H$4,", ",",")&amp;","))),OR('Dano fixo'!$I$4="",ISNUMBER(SEARCH(","&amp;'Rotação'!$K6&amp;",",","&amp;SUBSTITUTE('Dano fixo'!$I$4,", ",",")&amp;",")))),1,0)</f>
        <v>0</v>
      </c>
      <c r="I6" s="2">
        <f t="shared" ref="I6:I64" si="3">I5+H6*$A6</f>
        <v>0</v>
      </c>
      <c r="J6" s="2">
        <f>H6*IF('Dano fixo'!$J$4="",$A6,MIN($A6,MAX(0,'Dano fixo'!$J$4-I5)))</f>
        <v>0</v>
      </c>
      <c r="K6" s="2">
        <f>IF(AND($A6&gt;0,N('Dano fixo'!$L$5)&gt;0,OR('Dano fixo'!$G$5="Todos",ISNUMBER(SEARCH(","&amp;'Rotação'!$I6&amp;",",","&amp;SUBSTITUTE('Dano fixo'!$G$5,", ",",")&amp;","))),OR('Dano fixo'!$H$5="",ISNUMBER(SEARCH(","&amp;'Rotação'!$R6&amp;",",","&amp;SUBSTITUTE('Dano fixo'!$H$5,", ",",")&amp;","))),OR('Dano fixo'!$I$5="",ISNUMBER(SEARCH(","&amp;'Rotação'!$K6&amp;",",","&amp;SUBSTITUTE('Dano fixo'!$I$5,", ",",")&amp;",")))),1,0)</f>
        <v>0</v>
      </c>
      <c r="L6" s="2">
        <f t="shared" ref="L6:L64" si="4">L5+K6*$A6</f>
        <v>0</v>
      </c>
      <c r="M6" s="2">
        <f>K6*IF('Dano fixo'!$J$5="",$A6,MIN($A6,MAX(0,'Dano fixo'!$J$5-L5)))</f>
        <v>0</v>
      </c>
      <c r="N6" s="2">
        <f>IF(AND($A6&gt;0,N('Dano fixo'!$L$6)&gt;0,OR('Dano fixo'!$G$6="Todos",ISNUMBER(SEARCH(","&amp;'Rotação'!$I6&amp;",",","&amp;SUBSTITUTE('Dano fixo'!$G$6,", ",",")&amp;","))),OR('Dano fixo'!$H$6="",ISNUMBER(SEARCH(","&amp;'Rotação'!$R6&amp;",",","&amp;SUBSTITUTE('Dano fixo'!$H$6,", ",",")&amp;","))),OR('Dano fixo'!$I$6="",ISNUMBER(SEARCH(","&amp;'Rotação'!$K6&amp;",",","&amp;SUBSTITUTE('Dano fixo'!$I$6,", ",",")&amp;",")))),1,0)</f>
        <v>0</v>
      </c>
      <c r="O6" s="2">
        <f t="shared" ref="O6:O64" si="5">O5+N6*$A6</f>
        <v>0</v>
      </c>
      <c r="P6" s="2">
        <f>N6*IF('Dano fixo'!$J$6="",$A6,MIN($A6,MAX(0,'Dano fixo'!$J$6-O5)))</f>
        <v>0</v>
      </c>
      <c r="Q6" s="2">
        <f>IF(AND($A6&gt;0,N('Dano fixo'!$L$7)&gt;0,OR('Dano fixo'!$G$7="Todos",ISNUMBER(SEARCH(","&amp;'Rotação'!$I6&amp;",",","&amp;SUBSTITUTE('Dano fixo'!$G$7,", ",",")&amp;","))),OR('Dano fixo'!$H$7="",ISNUMBER(SEARCH(","&amp;'Rotação'!$R6&amp;",",","&amp;SUBSTITUTE('Dano fixo'!$H$7,", ",",")&amp;","))),OR('Dano fixo'!$I$7="",ISNUMBER(SEARCH(","&amp;'Rotação'!$K6&amp;",",","&amp;SUBSTITUTE('Dano fixo'!$I$7,", ",",")&amp;",")))),1,0)</f>
        <v>0</v>
      </c>
      <c r="R6" s="2">
        <f t="shared" ref="R6:R64" si="6">R5+Q6*$A6</f>
        <v>0</v>
      </c>
      <c r="S6" s="2">
        <f>Q6*IF('Dano fixo'!$J$7="",$A6,MIN($A6,MAX(0,'Dano fixo'!$J$7-R5)))</f>
        <v>0</v>
      </c>
      <c r="T6" s="2">
        <f>IF(AND($A6&gt;0,N('Dano fixo'!$L$8)&gt;0,OR('Dano fixo'!$G$8="Todos",ISNUMBER(SEARCH(","&amp;'Rotação'!$I6&amp;",",","&amp;SUBSTITUTE('Dano fixo'!$G$8,", ",",")&amp;","))),OR('Dano fixo'!$H$8="",ISNUMBER(SEARCH(","&amp;'Rotação'!$R6&amp;",",","&amp;SUBSTITUTE('Dano fixo'!$H$8,", ",",")&amp;","))),OR('Dano fixo'!$I$8="",ISNUMBER(SEARCH(","&amp;'Rotação'!$K6&amp;",",","&amp;SUBSTITUTE('Dano fixo'!$I$8,", ",",")&amp;",")))),1,0)</f>
        <v>0</v>
      </c>
      <c r="U6" s="2">
        <f t="shared" ref="U6:U64" si="7">U5+T6*$A6</f>
        <v>0</v>
      </c>
      <c r="V6" s="2">
        <f>T6*IF('Dano fixo'!$J$8="",$A6,MIN($A6,MAX(0,'Dano fixo'!$J$8-U5)))</f>
        <v>0</v>
      </c>
      <c r="W6" s="2">
        <f>IF(AND($A6&gt;0,N('Dano fixo'!$L$9)&gt;0,OR('Dano fixo'!$G$9="Todos",ISNUMBER(SEARCH(","&amp;'Rotação'!$I6&amp;",",","&amp;SUBSTITUTE('Dano fixo'!$G$9,", ",",")&amp;","))),OR('Dano fixo'!$H$9="",ISNUMBER(SEARCH(","&amp;'Rotação'!$R6&amp;",",","&amp;SUBSTITUTE('Dano fixo'!$H$9,", ",",")&amp;","))),OR('Dano fixo'!$I$9="",ISNUMBER(SEARCH(","&amp;'Rotação'!$K6&amp;",",","&amp;SUBSTITUTE('Dano fixo'!$I$9,", ",",")&amp;",")))),1,0)</f>
        <v>0</v>
      </c>
      <c r="X6" s="2">
        <f t="shared" ref="X6:X64" si="8">X5+W6*$A6</f>
        <v>0</v>
      </c>
      <c r="Y6" s="2">
        <f>W6*IF('Dano fixo'!$J$9="",$A6,MIN($A6,MAX(0,'Dano fixo'!$J$9-X5)))</f>
        <v>0</v>
      </c>
      <c r="Z6" s="2">
        <f>IF(AND($A6&gt;0,N('Dano fixo'!$L$10)&gt;0,OR('Dano fixo'!$G$10="Todos",ISNUMBER(SEARCH(","&amp;'Rotação'!$I6&amp;",",","&amp;SUBSTITUTE('Dano fixo'!$G$10,", ",",")&amp;","))),OR('Dano fixo'!$H$10="",ISNUMBER(SEARCH(","&amp;'Rotação'!$R6&amp;",",","&amp;SUBSTITUTE('Dano fixo'!$H$10,", ",",")&amp;","))),OR('Dano fixo'!$I$10="",ISNUMBER(SEARCH(","&amp;'Rotação'!$K6&amp;",",","&amp;SUBSTITUTE('Dano fixo'!$I$10,", ",",")&amp;",")))),1,0)</f>
        <v>0</v>
      </c>
      <c r="AA6" s="2">
        <f t="shared" ref="AA6:AA64" si="9">AA5+Z6*$A6</f>
        <v>0</v>
      </c>
      <c r="AB6" s="2">
        <f>Z6*IF('Dano fixo'!$J$10="",$A6,MIN($A6,MAX(0,'Dano fixo'!$J$10-AA5)))</f>
        <v>0</v>
      </c>
      <c r="AC6" s="2">
        <f>IF(AND($A6&gt;0,N('Dano fixo'!$L$11)&gt;0,OR('Dano fixo'!$G$11="Todos",ISNUMBER(SEARCH(","&amp;'Rotação'!$I6&amp;",",","&amp;SUBSTITUTE('Dano fixo'!$G$11,", ",",")&amp;","))),OR('Dano fixo'!$H$11="",ISNUMBER(SEARCH(","&amp;'Rotação'!$R6&amp;",",","&amp;SUBSTITUTE('Dano fixo'!$H$11,", ",",")&amp;","))),OR('Dano fixo'!$I$11="",ISNUMBER(SEARCH(","&amp;'Rotação'!$K6&amp;",",","&amp;SUBSTITUTE('Dano fixo'!$I$11,", ",",")&amp;",")))),1,0)</f>
        <v>0</v>
      </c>
      <c r="AD6" s="2">
        <f t="shared" ref="AD6:AD64" si="10">AD5+AC6*$A6</f>
        <v>0</v>
      </c>
      <c r="AE6" s="2">
        <f>AC6*IF('Dano fixo'!$J$11="",$A6,MIN($A6,MAX(0,'Dano fixo'!$J$11-AD5)))</f>
        <v>0</v>
      </c>
      <c r="AF6" s="2">
        <f>D6*'Dano fixo'!$L$2+G6*'Dano fixo'!$L$3+J6*'Dano fixo'!$L$4+M6*'Dano fixo'!$L$5+P6*'Dano fixo'!$L$6+S6*'Dano fixo'!$L$7+V6*'Dano fixo'!$L$8+Y6*'Dano fixo'!$L$9+AB6*'Dano fixo'!$L$10+AE6*'Dano fixo'!$L$11</f>
        <v>0</v>
      </c>
    </row>
    <row r="7">
      <c r="A7" s="2">
        <f t="array" ref="A7">IF(ISNUMBER('Rotação'!$J7),IF('Rotação'!$B7="",1,'Rotação'!$B7)*IF(ISNUMBER('Rotação'!$H7),MAX(1,N(INDEX(L_Golpes!$BN$2:$BN$6000,'Rotação'!$H7))),1),0)</f>
        <v>1</v>
      </c>
      <c r="B7" s="2">
        <f>IF(AND($A7&gt;0,N('Dano fixo'!$L$2)&gt;0,OR('Dano fixo'!$G$2="Todos",ISNUMBER(SEARCH(","&amp;'Rotação'!$I7&amp;",",","&amp;SUBSTITUTE('Dano fixo'!$G$2,", ",",")&amp;","))),OR('Dano fixo'!$H$2="",ISNUMBER(SEARCH(","&amp;'Rotação'!$R7&amp;",",","&amp;SUBSTITUTE('Dano fixo'!$H$2,", ",",")&amp;","))),OR('Dano fixo'!$I$2="",ISNUMBER(SEARCH(","&amp;'Rotação'!$K7&amp;",",","&amp;SUBSTITUTE('Dano fixo'!$I$2,", ",",")&amp;",")))),1,0)</f>
        <v>0</v>
      </c>
      <c r="C7" s="2">
        <f t="shared" si="1"/>
        <v>0</v>
      </c>
      <c r="D7" s="2">
        <f>B7*IF('Dano fixo'!$J$2="",$A7,MIN($A7,MAX(0,'Dano fixo'!$J$2-C6)))</f>
        <v>0</v>
      </c>
      <c r="E7" s="2">
        <f>IF(AND($A7&gt;0,N('Dano fixo'!$L$3)&gt;0,OR('Dano fixo'!$G$3="Todos",ISNUMBER(SEARCH(","&amp;'Rotação'!$I7&amp;",",","&amp;SUBSTITUTE('Dano fixo'!$G$3,", ",",")&amp;","))),OR('Dano fixo'!$H$3="",ISNUMBER(SEARCH(","&amp;'Rotação'!$R7&amp;",",","&amp;SUBSTITUTE('Dano fixo'!$H$3,", ",",")&amp;","))),OR('Dano fixo'!$I$3="",ISNUMBER(SEARCH(","&amp;'Rotação'!$K7&amp;",",","&amp;SUBSTITUTE('Dano fixo'!$I$3,", ",",")&amp;",")))),1,0)</f>
        <v>0</v>
      </c>
      <c r="F7" s="2">
        <f t="shared" si="2"/>
        <v>0</v>
      </c>
      <c r="G7" s="2">
        <f>E7*IF('Dano fixo'!$J$3="",$A7,MIN($A7,MAX(0,'Dano fixo'!$J$3-F6)))</f>
        <v>0</v>
      </c>
      <c r="H7" s="2">
        <f>IF(AND($A7&gt;0,N('Dano fixo'!$L$4)&gt;0,OR('Dano fixo'!$G$4="Todos",ISNUMBER(SEARCH(","&amp;'Rotação'!$I7&amp;",",","&amp;SUBSTITUTE('Dano fixo'!$G$4,", ",",")&amp;","))),OR('Dano fixo'!$H$4="",ISNUMBER(SEARCH(","&amp;'Rotação'!$R7&amp;",",","&amp;SUBSTITUTE('Dano fixo'!$H$4,", ",",")&amp;","))),OR('Dano fixo'!$I$4="",ISNUMBER(SEARCH(","&amp;'Rotação'!$K7&amp;",",","&amp;SUBSTITUTE('Dano fixo'!$I$4,", ",",")&amp;",")))),1,0)</f>
        <v>0</v>
      </c>
      <c r="I7" s="2">
        <f t="shared" si="3"/>
        <v>0</v>
      </c>
      <c r="J7" s="2">
        <f>H7*IF('Dano fixo'!$J$4="",$A7,MIN($A7,MAX(0,'Dano fixo'!$J$4-I6)))</f>
        <v>0</v>
      </c>
      <c r="K7" s="2">
        <f>IF(AND($A7&gt;0,N('Dano fixo'!$L$5)&gt;0,OR('Dano fixo'!$G$5="Todos",ISNUMBER(SEARCH(","&amp;'Rotação'!$I7&amp;",",","&amp;SUBSTITUTE('Dano fixo'!$G$5,", ",",")&amp;","))),OR('Dano fixo'!$H$5="",ISNUMBER(SEARCH(","&amp;'Rotação'!$R7&amp;",",","&amp;SUBSTITUTE('Dano fixo'!$H$5,", ",",")&amp;","))),OR('Dano fixo'!$I$5="",ISNUMBER(SEARCH(","&amp;'Rotação'!$K7&amp;",",","&amp;SUBSTITUTE('Dano fixo'!$I$5,", ",",")&amp;",")))),1,0)</f>
        <v>0</v>
      </c>
      <c r="L7" s="2">
        <f t="shared" si="4"/>
        <v>0</v>
      </c>
      <c r="M7" s="2">
        <f>K7*IF('Dano fixo'!$J$5="",$A7,MIN($A7,MAX(0,'Dano fixo'!$J$5-L6)))</f>
        <v>0</v>
      </c>
      <c r="N7" s="2">
        <f>IF(AND($A7&gt;0,N('Dano fixo'!$L$6)&gt;0,OR('Dano fixo'!$G$6="Todos",ISNUMBER(SEARCH(","&amp;'Rotação'!$I7&amp;",",","&amp;SUBSTITUTE('Dano fixo'!$G$6,", ",",")&amp;","))),OR('Dano fixo'!$H$6="",ISNUMBER(SEARCH(","&amp;'Rotação'!$R7&amp;",",","&amp;SUBSTITUTE('Dano fixo'!$H$6,", ",",")&amp;","))),OR('Dano fixo'!$I$6="",ISNUMBER(SEARCH(","&amp;'Rotação'!$K7&amp;",",","&amp;SUBSTITUTE('Dano fixo'!$I$6,", ",",")&amp;",")))),1,0)</f>
        <v>0</v>
      </c>
      <c r="O7" s="2">
        <f t="shared" si="5"/>
        <v>0</v>
      </c>
      <c r="P7" s="2">
        <f>N7*IF('Dano fixo'!$J$6="",$A7,MIN($A7,MAX(0,'Dano fixo'!$J$6-O6)))</f>
        <v>0</v>
      </c>
      <c r="Q7" s="2">
        <f>IF(AND($A7&gt;0,N('Dano fixo'!$L$7)&gt;0,OR('Dano fixo'!$G$7="Todos",ISNUMBER(SEARCH(","&amp;'Rotação'!$I7&amp;",",","&amp;SUBSTITUTE('Dano fixo'!$G$7,", ",",")&amp;","))),OR('Dano fixo'!$H$7="",ISNUMBER(SEARCH(","&amp;'Rotação'!$R7&amp;",",","&amp;SUBSTITUTE('Dano fixo'!$H$7,", ",",")&amp;","))),OR('Dano fixo'!$I$7="",ISNUMBER(SEARCH(","&amp;'Rotação'!$K7&amp;",",","&amp;SUBSTITUTE('Dano fixo'!$I$7,", ",",")&amp;",")))),1,0)</f>
        <v>0</v>
      </c>
      <c r="R7" s="2">
        <f t="shared" si="6"/>
        <v>0</v>
      </c>
      <c r="S7" s="2">
        <f>Q7*IF('Dano fixo'!$J$7="",$A7,MIN($A7,MAX(0,'Dano fixo'!$J$7-R6)))</f>
        <v>0</v>
      </c>
      <c r="T7" s="2">
        <f>IF(AND($A7&gt;0,N('Dano fixo'!$L$8)&gt;0,OR('Dano fixo'!$G$8="Todos",ISNUMBER(SEARCH(","&amp;'Rotação'!$I7&amp;",",","&amp;SUBSTITUTE('Dano fixo'!$G$8,", ",",")&amp;","))),OR('Dano fixo'!$H$8="",ISNUMBER(SEARCH(","&amp;'Rotação'!$R7&amp;",",","&amp;SUBSTITUTE('Dano fixo'!$H$8,", ",",")&amp;","))),OR('Dano fixo'!$I$8="",ISNUMBER(SEARCH(","&amp;'Rotação'!$K7&amp;",",","&amp;SUBSTITUTE('Dano fixo'!$I$8,", ",",")&amp;",")))),1,0)</f>
        <v>0</v>
      </c>
      <c r="U7" s="2">
        <f t="shared" si="7"/>
        <v>0</v>
      </c>
      <c r="V7" s="2">
        <f>T7*IF('Dano fixo'!$J$8="",$A7,MIN($A7,MAX(0,'Dano fixo'!$J$8-U6)))</f>
        <v>0</v>
      </c>
      <c r="W7" s="2">
        <f>IF(AND($A7&gt;0,N('Dano fixo'!$L$9)&gt;0,OR('Dano fixo'!$G$9="Todos",ISNUMBER(SEARCH(","&amp;'Rotação'!$I7&amp;",",","&amp;SUBSTITUTE('Dano fixo'!$G$9,", ",",")&amp;","))),OR('Dano fixo'!$H$9="",ISNUMBER(SEARCH(","&amp;'Rotação'!$R7&amp;",",","&amp;SUBSTITUTE('Dano fixo'!$H$9,", ",",")&amp;","))),OR('Dano fixo'!$I$9="",ISNUMBER(SEARCH(","&amp;'Rotação'!$K7&amp;",",","&amp;SUBSTITUTE('Dano fixo'!$I$9,", ",",")&amp;",")))),1,0)</f>
        <v>0</v>
      </c>
      <c r="X7" s="2">
        <f t="shared" si="8"/>
        <v>0</v>
      </c>
      <c r="Y7" s="2">
        <f>W7*IF('Dano fixo'!$J$9="",$A7,MIN($A7,MAX(0,'Dano fixo'!$J$9-X6)))</f>
        <v>0</v>
      </c>
      <c r="Z7" s="2">
        <f>IF(AND($A7&gt;0,N('Dano fixo'!$L$10)&gt;0,OR('Dano fixo'!$G$10="Todos",ISNUMBER(SEARCH(","&amp;'Rotação'!$I7&amp;",",","&amp;SUBSTITUTE('Dano fixo'!$G$10,", ",",")&amp;","))),OR('Dano fixo'!$H$10="",ISNUMBER(SEARCH(","&amp;'Rotação'!$R7&amp;",",","&amp;SUBSTITUTE('Dano fixo'!$H$10,", ",",")&amp;","))),OR('Dano fixo'!$I$10="",ISNUMBER(SEARCH(","&amp;'Rotação'!$K7&amp;",",","&amp;SUBSTITUTE('Dano fixo'!$I$10,", ",",")&amp;",")))),1,0)</f>
        <v>0</v>
      </c>
      <c r="AA7" s="2">
        <f t="shared" si="9"/>
        <v>0</v>
      </c>
      <c r="AB7" s="2">
        <f>Z7*IF('Dano fixo'!$J$10="",$A7,MIN($A7,MAX(0,'Dano fixo'!$J$10-AA6)))</f>
        <v>0</v>
      </c>
      <c r="AC7" s="2">
        <f>IF(AND($A7&gt;0,N('Dano fixo'!$L$11)&gt;0,OR('Dano fixo'!$G$11="Todos",ISNUMBER(SEARCH(","&amp;'Rotação'!$I7&amp;",",","&amp;SUBSTITUTE('Dano fixo'!$G$11,", ",",")&amp;","))),OR('Dano fixo'!$H$11="",ISNUMBER(SEARCH(","&amp;'Rotação'!$R7&amp;",",","&amp;SUBSTITUTE('Dano fixo'!$H$11,", ",",")&amp;","))),OR('Dano fixo'!$I$11="",ISNUMBER(SEARCH(","&amp;'Rotação'!$K7&amp;",",","&amp;SUBSTITUTE('Dano fixo'!$I$11,", ",",")&amp;",")))),1,0)</f>
        <v>0</v>
      </c>
      <c r="AD7" s="2">
        <f t="shared" si="10"/>
        <v>0</v>
      </c>
      <c r="AE7" s="2">
        <f>AC7*IF('Dano fixo'!$J$11="",$A7,MIN($A7,MAX(0,'Dano fixo'!$J$11-AD6)))</f>
        <v>0</v>
      </c>
      <c r="AF7" s="2">
        <f>D7*'Dano fixo'!$L$2+G7*'Dano fixo'!$L$3+J7*'Dano fixo'!$L$4+M7*'Dano fixo'!$L$5+P7*'Dano fixo'!$L$6+S7*'Dano fixo'!$L$7+V7*'Dano fixo'!$L$8+Y7*'Dano fixo'!$L$9+AB7*'Dano fixo'!$L$10+AE7*'Dano fixo'!$L$11</f>
        <v>0</v>
      </c>
    </row>
    <row r="8">
      <c r="A8" s="2">
        <f t="array" ref="A8">IF(ISNUMBER('Rotação'!$J8),IF('Rotação'!$B8="",1,'Rotação'!$B8)*IF(ISNUMBER('Rotação'!$H8),MAX(1,N(INDEX(L_Golpes!$BN$2:$BN$6000,'Rotação'!$H8))),1),0)</f>
        <v>1</v>
      </c>
      <c r="B8" s="2">
        <f>IF(AND($A8&gt;0,N('Dano fixo'!$L$2)&gt;0,OR('Dano fixo'!$G$2="Todos",ISNUMBER(SEARCH(","&amp;'Rotação'!$I8&amp;",",","&amp;SUBSTITUTE('Dano fixo'!$G$2,", ",",")&amp;","))),OR('Dano fixo'!$H$2="",ISNUMBER(SEARCH(","&amp;'Rotação'!$R8&amp;",",","&amp;SUBSTITUTE('Dano fixo'!$H$2,", ",",")&amp;","))),OR('Dano fixo'!$I$2="",ISNUMBER(SEARCH(","&amp;'Rotação'!$K8&amp;",",","&amp;SUBSTITUTE('Dano fixo'!$I$2,", ",",")&amp;",")))),1,0)</f>
        <v>0</v>
      </c>
      <c r="C8" s="2">
        <f t="shared" si="1"/>
        <v>0</v>
      </c>
      <c r="D8" s="2">
        <f>B8*IF('Dano fixo'!$J$2="",$A8,MIN($A8,MAX(0,'Dano fixo'!$J$2-C7)))</f>
        <v>0</v>
      </c>
      <c r="E8" s="2">
        <f>IF(AND($A8&gt;0,N('Dano fixo'!$L$3)&gt;0,OR('Dano fixo'!$G$3="Todos",ISNUMBER(SEARCH(","&amp;'Rotação'!$I8&amp;",",","&amp;SUBSTITUTE('Dano fixo'!$G$3,", ",",")&amp;","))),OR('Dano fixo'!$H$3="",ISNUMBER(SEARCH(","&amp;'Rotação'!$R8&amp;",",","&amp;SUBSTITUTE('Dano fixo'!$H$3,", ",",")&amp;","))),OR('Dano fixo'!$I$3="",ISNUMBER(SEARCH(","&amp;'Rotação'!$K8&amp;",",","&amp;SUBSTITUTE('Dano fixo'!$I$3,", ",",")&amp;",")))),1,0)</f>
        <v>0</v>
      </c>
      <c r="F8" s="2">
        <f t="shared" si="2"/>
        <v>0</v>
      </c>
      <c r="G8" s="2">
        <f>E8*IF('Dano fixo'!$J$3="",$A8,MIN($A8,MAX(0,'Dano fixo'!$J$3-F7)))</f>
        <v>0</v>
      </c>
      <c r="H8" s="2">
        <f>IF(AND($A8&gt;0,N('Dano fixo'!$L$4)&gt;0,OR('Dano fixo'!$G$4="Todos",ISNUMBER(SEARCH(","&amp;'Rotação'!$I8&amp;",",","&amp;SUBSTITUTE('Dano fixo'!$G$4,", ",",")&amp;","))),OR('Dano fixo'!$H$4="",ISNUMBER(SEARCH(","&amp;'Rotação'!$R8&amp;",",","&amp;SUBSTITUTE('Dano fixo'!$H$4,", ",",")&amp;","))),OR('Dano fixo'!$I$4="",ISNUMBER(SEARCH(","&amp;'Rotação'!$K8&amp;",",","&amp;SUBSTITUTE('Dano fixo'!$I$4,", ",",")&amp;",")))),1,0)</f>
        <v>0</v>
      </c>
      <c r="I8" s="2">
        <f t="shared" si="3"/>
        <v>0</v>
      </c>
      <c r="J8" s="2">
        <f>H8*IF('Dano fixo'!$J$4="",$A8,MIN($A8,MAX(0,'Dano fixo'!$J$4-I7)))</f>
        <v>0</v>
      </c>
      <c r="K8" s="2">
        <f>IF(AND($A8&gt;0,N('Dano fixo'!$L$5)&gt;0,OR('Dano fixo'!$G$5="Todos",ISNUMBER(SEARCH(","&amp;'Rotação'!$I8&amp;",",","&amp;SUBSTITUTE('Dano fixo'!$G$5,", ",",")&amp;","))),OR('Dano fixo'!$H$5="",ISNUMBER(SEARCH(","&amp;'Rotação'!$R8&amp;",",","&amp;SUBSTITUTE('Dano fixo'!$H$5,", ",",")&amp;","))),OR('Dano fixo'!$I$5="",ISNUMBER(SEARCH(","&amp;'Rotação'!$K8&amp;",",","&amp;SUBSTITUTE('Dano fixo'!$I$5,", ",",")&amp;",")))),1,0)</f>
        <v>0</v>
      </c>
      <c r="L8" s="2">
        <f t="shared" si="4"/>
        <v>0</v>
      </c>
      <c r="M8" s="2">
        <f>K8*IF('Dano fixo'!$J$5="",$A8,MIN($A8,MAX(0,'Dano fixo'!$J$5-L7)))</f>
        <v>0</v>
      </c>
      <c r="N8" s="2">
        <f>IF(AND($A8&gt;0,N('Dano fixo'!$L$6)&gt;0,OR('Dano fixo'!$G$6="Todos",ISNUMBER(SEARCH(","&amp;'Rotação'!$I8&amp;",",","&amp;SUBSTITUTE('Dano fixo'!$G$6,", ",",")&amp;","))),OR('Dano fixo'!$H$6="",ISNUMBER(SEARCH(","&amp;'Rotação'!$R8&amp;",",","&amp;SUBSTITUTE('Dano fixo'!$H$6,", ",",")&amp;","))),OR('Dano fixo'!$I$6="",ISNUMBER(SEARCH(","&amp;'Rotação'!$K8&amp;",",","&amp;SUBSTITUTE('Dano fixo'!$I$6,", ",",")&amp;",")))),1,0)</f>
        <v>0</v>
      </c>
      <c r="O8" s="2">
        <f t="shared" si="5"/>
        <v>0</v>
      </c>
      <c r="P8" s="2">
        <f>N8*IF('Dano fixo'!$J$6="",$A8,MIN($A8,MAX(0,'Dano fixo'!$J$6-O7)))</f>
        <v>0</v>
      </c>
      <c r="Q8" s="2">
        <f>IF(AND($A8&gt;0,N('Dano fixo'!$L$7)&gt;0,OR('Dano fixo'!$G$7="Todos",ISNUMBER(SEARCH(","&amp;'Rotação'!$I8&amp;",",","&amp;SUBSTITUTE('Dano fixo'!$G$7,", ",",")&amp;","))),OR('Dano fixo'!$H$7="",ISNUMBER(SEARCH(","&amp;'Rotação'!$R8&amp;",",","&amp;SUBSTITUTE('Dano fixo'!$H$7,", ",",")&amp;","))),OR('Dano fixo'!$I$7="",ISNUMBER(SEARCH(","&amp;'Rotação'!$K8&amp;",",","&amp;SUBSTITUTE('Dano fixo'!$I$7,", ",",")&amp;",")))),1,0)</f>
        <v>0</v>
      </c>
      <c r="R8" s="2">
        <f t="shared" si="6"/>
        <v>0</v>
      </c>
      <c r="S8" s="2">
        <f>Q8*IF('Dano fixo'!$J$7="",$A8,MIN($A8,MAX(0,'Dano fixo'!$J$7-R7)))</f>
        <v>0</v>
      </c>
      <c r="T8" s="2">
        <f>IF(AND($A8&gt;0,N('Dano fixo'!$L$8)&gt;0,OR('Dano fixo'!$G$8="Todos",ISNUMBER(SEARCH(","&amp;'Rotação'!$I8&amp;",",","&amp;SUBSTITUTE('Dano fixo'!$G$8,", ",",")&amp;","))),OR('Dano fixo'!$H$8="",ISNUMBER(SEARCH(","&amp;'Rotação'!$R8&amp;",",","&amp;SUBSTITUTE('Dano fixo'!$H$8,", ",",")&amp;","))),OR('Dano fixo'!$I$8="",ISNUMBER(SEARCH(","&amp;'Rotação'!$K8&amp;",",","&amp;SUBSTITUTE('Dano fixo'!$I$8,", ",",")&amp;",")))),1,0)</f>
        <v>0</v>
      </c>
      <c r="U8" s="2">
        <f t="shared" si="7"/>
        <v>0</v>
      </c>
      <c r="V8" s="2">
        <f>T8*IF('Dano fixo'!$J$8="",$A8,MIN($A8,MAX(0,'Dano fixo'!$J$8-U7)))</f>
        <v>0</v>
      </c>
      <c r="W8" s="2">
        <f>IF(AND($A8&gt;0,N('Dano fixo'!$L$9)&gt;0,OR('Dano fixo'!$G$9="Todos",ISNUMBER(SEARCH(","&amp;'Rotação'!$I8&amp;",",","&amp;SUBSTITUTE('Dano fixo'!$G$9,", ",",")&amp;","))),OR('Dano fixo'!$H$9="",ISNUMBER(SEARCH(","&amp;'Rotação'!$R8&amp;",",","&amp;SUBSTITUTE('Dano fixo'!$H$9,", ",",")&amp;","))),OR('Dano fixo'!$I$9="",ISNUMBER(SEARCH(","&amp;'Rotação'!$K8&amp;",",","&amp;SUBSTITUTE('Dano fixo'!$I$9,", ",",")&amp;",")))),1,0)</f>
        <v>0</v>
      </c>
      <c r="X8" s="2">
        <f t="shared" si="8"/>
        <v>0</v>
      </c>
      <c r="Y8" s="2">
        <f>W8*IF('Dano fixo'!$J$9="",$A8,MIN($A8,MAX(0,'Dano fixo'!$J$9-X7)))</f>
        <v>0</v>
      </c>
      <c r="Z8" s="2">
        <f>IF(AND($A8&gt;0,N('Dano fixo'!$L$10)&gt;0,OR('Dano fixo'!$G$10="Todos",ISNUMBER(SEARCH(","&amp;'Rotação'!$I8&amp;",",","&amp;SUBSTITUTE('Dano fixo'!$G$10,", ",",")&amp;","))),OR('Dano fixo'!$H$10="",ISNUMBER(SEARCH(","&amp;'Rotação'!$R8&amp;",",","&amp;SUBSTITUTE('Dano fixo'!$H$10,", ",",")&amp;","))),OR('Dano fixo'!$I$10="",ISNUMBER(SEARCH(","&amp;'Rotação'!$K8&amp;",",","&amp;SUBSTITUTE('Dano fixo'!$I$10,", ",",")&amp;",")))),1,0)</f>
        <v>0</v>
      </c>
      <c r="AA8" s="2">
        <f t="shared" si="9"/>
        <v>0</v>
      </c>
      <c r="AB8" s="2">
        <f>Z8*IF('Dano fixo'!$J$10="",$A8,MIN($A8,MAX(0,'Dano fixo'!$J$10-AA7)))</f>
        <v>0</v>
      </c>
      <c r="AC8" s="2">
        <f>IF(AND($A8&gt;0,N('Dano fixo'!$L$11)&gt;0,OR('Dano fixo'!$G$11="Todos",ISNUMBER(SEARCH(","&amp;'Rotação'!$I8&amp;",",","&amp;SUBSTITUTE('Dano fixo'!$G$11,", ",",")&amp;","))),OR('Dano fixo'!$H$11="",ISNUMBER(SEARCH(","&amp;'Rotação'!$R8&amp;",",","&amp;SUBSTITUTE('Dano fixo'!$H$11,", ",",")&amp;","))),OR('Dano fixo'!$I$11="",ISNUMBER(SEARCH(","&amp;'Rotação'!$K8&amp;",",","&amp;SUBSTITUTE('Dano fixo'!$I$11,", ",",")&amp;",")))),1,0)</f>
        <v>0</v>
      </c>
      <c r="AD8" s="2">
        <f t="shared" si="10"/>
        <v>0</v>
      </c>
      <c r="AE8" s="2">
        <f>AC8*IF('Dano fixo'!$J$11="",$A8,MIN($A8,MAX(0,'Dano fixo'!$J$11-AD7)))</f>
        <v>0</v>
      </c>
      <c r="AF8" s="2">
        <f>D8*'Dano fixo'!$L$2+G8*'Dano fixo'!$L$3+J8*'Dano fixo'!$L$4+M8*'Dano fixo'!$L$5+P8*'Dano fixo'!$L$6+S8*'Dano fixo'!$L$7+V8*'Dano fixo'!$L$8+Y8*'Dano fixo'!$L$9+AB8*'Dano fixo'!$L$10+AE8*'Dano fixo'!$L$11</f>
        <v>0</v>
      </c>
    </row>
    <row r="9">
      <c r="A9" s="2">
        <f t="array" ref="A9">IF(ISNUMBER('Rotação'!$J9),IF('Rotação'!$B9="",1,'Rotação'!$B9)*IF(ISNUMBER('Rotação'!$H9),MAX(1,N(INDEX(L_Golpes!$BN$2:$BN$6000,'Rotação'!$H9))),1),0)</f>
        <v>1</v>
      </c>
      <c r="B9" s="2">
        <f>IF(AND($A9&gt;0,N('Dano fixo'!$L$2)&gt;0,OR('Dano fixo'!$G$2="Todos",ISNUMBER(SEARCH(","&amp;'Rotação'!$I9&amp;",",","&amp;SUBSTITUTE('Dano fixo'!$G$2,", ",",")&amp;","))),OR('Dano fixo'!$H$2="",ISNUMBER(SEARCH(","&amp;'Rotação'!$R9&amp;",",","&amp;SUBSTITUTE('Dano fixo'!$H$2,", ",",")&amp;","))),OR('Dano fixo'!$I$2="",ISNUMBER(SEARCH(","&amp;'Rotação'!$K9&amp;",",","&amp;SUBSTITUTE('Dano fixo'!$I$2,", ",",")&amp;",")))),1,0)</f>
        <v>0</v>
      </c>
      <c r="C9" s="2">
        <f t="shared" si="1"/>
        <v>0</v>
      </c>
      <c r="D9" s="2">
        <f>B9*IF('Dano fixo'!$J$2="",$A9,MIN($A9,MAX(0,'Dano fixo'!$J$2-C8)))</f>
        <v>0</v>
      </c>
      <c r="E9" s="2">
        <f>IF(AND($A9&gt;0,N('Dano fixo'!$L$3)&gt;0,OR('Dano fixo'!$G$3="Todos",ISNUMBER(SEARCH(","&amp;'Rotação'!$I9&amp;",",","&amp;SUBSTITUTE('Dano fixo'!$G$3,", ",",")&amp;","))),OR('Dano fixo'!$H$3="",ISNUMBER(SEARCH(","&amp;'Rotação'!$R9&amp;",",","&amp;SUBSTITUTE('Dano fixo'!$H$3,", ",",")&amp;","))),OR('Dano fixo'!$I$3="",ISNUMBER(SEARCH(","&amp;'Rotação'!$K9&amp;",",","&amp;SUBSTITUTE('Dano fixo'!$I$3,", ",",")&amp;",")))),1,0)</f>
        <v>0</v>
      </c>
      <c r="F9" s="2">
        <f t="shared" si="2"/>
        <v>0</v>
      </c>
      <c r="G9" s="2">
        <f>E9*IF('Dano fixo'!$J$3="",$A9,MIN($A9,MAX(0,'Dano fixo'!$J$3-F8)))</f>
        <v>0</v>
      </c>
      <c r="H9" s="2">
        <f>IF(AND($A9&gt;0,N('Dano fixo'!$L$4)&gt;0,OR('Dano fixo'!$G$4="Todos",ISNUMBER(SEARCH(","&amp;'Rotação'!$I9&amp;",",","&amp;SUBSTITUTE('Dano fixo'!$G$4,", ",",")&amp;","))),OR('Dano fixo'!$H$4="",ISNUMBER(SEARCH(","&amp;'Rotação'!$R9&amp;",",","&amp;SUBSTITUTE('Dano fixo'!$H$4,", ",",")&amp;","))),OR('Dano fixo'!$I$4="",ISNUMBER(SEARCH(","&amp;'Rotação'!$K9&amp;",",","&amp;SUBSTITUTE('Dano fixo'!$I$4,", ",",")&amp;",")))),1,0)</f>
        <v>0</v>
      </c>
      <c r="I9" s="2">
        <f t="shared" si="3"/>
        <v>0</v>
      </c>
      <c r="J9" s="2">
        <f>H9*IF('Dano fixo'!$J$4="",$A9,MIN($A9,MAX(0,'Dano fixo'!$J$4-I8)))</f>
        <v>0</v>
      </c>
      <c r="K9" s="2">
        <f>IF(AND($A9&gt;0,N('Dano fixo'!$L$5)&gt;0,OR('Dano fixo'!$G$5="Todos",ISNUMBER(SEARCH(","&amp;'Rotação'!$I9&amp;",",","&amp;SUBSTITUTE('Dano fixo'!$G$5,", ",",")&amp;","))),OR('Dano fixo'!$H$5="",ISNUMBER(SEARCH(","&amp;'Rotação'!$R9&amp;",",","&amp;SUBSTITUTE('Dano fixo'!$H$5,", ",",")&amp;","))),OR('Dano fixo'!$I$5="",ISNUMBER(SEARCH(","&amp;'Rotação'!$K9&amp;",",","&amp;SUBSTITUTE('Dano fixo'!$I$5,", ",",")&amp;",")))),1,0)</f>
        <v>0</v>
      </c>
      <c r="L9" s="2">
        <f t="shared" si="4"/>
        <v>0</v>
      </c>
      <c r="M9" s="2">
        <f>K9*IF('Dano fixo'!$J$5="",$A9,MIN($A9,MAX(0,'Dano fixo'!$J$5-L8)))</f>
        <v>0</v>
      </c>
      <c r="N9" s="2">
        <f>IF(AND($A9&gt;0,N('Dano fixo'!$L$6)&gt;0,OR('Dano fixo'!$G$6="Todos",ISNUMBER(SEARCH(","&amp;'Rotação'!$I9&amp;",",","&amp;SUBSTITUTE('Dano fixo'!$G$6,", ",",")&amp;","))),OR('Dano fixo'!$H$6="",ISNUMBER(SEARCH(","&amp;'Rotação'!$R9&amp;",",","&amp;SUBSTITUTE('Dano fixo'!$H$6,", ",",")&amp;","))),OR('Dano fixo'!$I$6="",ISNUMBER(SEARCH(","&amp;'Rotação'!$K9&amp;",",","&amp;SUBSTITUTE('Dano fixo'!$I$6,", ",",")&amp;",")))),1,0)</f>
        <v>0</v>
      </c>
      <c r="O9" s="2">
        <f t="shared" si="5"/>
        <v>0</v>
      </c>
      <c r="P9" s="2">
        <f>N9*IF('Dano fixo'!$J$6="",$A9,MIN($A9,MAX(0,'Dano fixo'!$J$6-O8)))</f>
        <v>0</v>
      </c>
      <c r="Q9" s="2">
        <f>IF(AND($A9&gt;0,N('Dano fixo'!$L$7)&gt;0,OR('Dano fixo'!$G$7="Todos",ISNUMBER(SEARCH(","&amp;'Rotação'!$I9&amp;",",","&amp;SUBSTITUTE('Dano fixo'!$G$7,", ",",")&amp;","))),OR('Dano fixo'!$H$7="",ISNUMBER(SEARCH(","&amp;'Rotação'!$R9&amp;",",","&amp;SUBSTITUTE('Dano fixo'!$H$7,", ",",")&amp;","))),OR('Dano fixo'!$I$7="",ISNUMBER(SEARCH(","&amp;'Rotação'!$K9&amp;",",","&amp;SUBSTITUTE('Dano fixo'!$I$7,", ",",")&amp;",")))),1,0)</f>
        <v>0</v>
      </c>
      <c r="R9" s="2">
        <f t="shared" si="6"/>
        <v>0</v>
      </c>
      <c r="S9" s="2">
        <f>Q9*IF('Dano fixo'!$J$7="",$A9,MIN($A9,MAX(0,'Dano fixo'!$J$7-R8)))</f>
        <v>0</v>
      </c>
      <c r="T9" s="2">
        <f>IF(AND($A9&gt;0,N('Dano fixo'!$L$8)&gt;0,OR('Dano fixo'!$G$8="Todos",ISNUMBER(SEARCH(","&amp;'Rotação'!$I9&amp;",",","&amp;SUBSTITUTE('Dano fixo'!$G$8,", ",",")&amp;","))),OR('Dano fixo'!$H$8="",ISNUMBER(SEARCH(","&amp;'Rotação'!$R9&amp;",",","&amp;SUBSTITUTE('Dano fixo'!$H$8,", ",",")&amp;","))),OR('Dano fixo'!$I$8="",ISNUMBER(SEARCH(","&amp;'Rotação'!$K9&amp;",",","&amp;SUBSTITUTE('Dano fixo'!$I$8,", ",",")&amp;",")))),1,0)</f>
        <v>0</v>
      </c>
      <c r="U9" s="2">
        <f t="shared" si="7"/>
        <v>0</v>
      </c>
      <c r="V9" s="2">
        <f>T9*IF('Dano fixo'!$J$8="",$A9,MIN($A9,MAX(0,'Dano fixo'!$J$8-U8)))</f>
        <v>0</v>
      </c>
      <c r="W9" s="2">
        <f>IF(AND($A9&gt;0,N('Dano fixo'!$L$9)&gt;0,OR('Dano fixo'!$G$9="Todos",ISNUMBER(SEARCH(","&amp;'Rotação'!$I9&amp;",",","&amp;SUBSTITUTE('Dano fixo'!$G$9,", ",",")&amp;","))),OR('Dano fixo'!$H$9="",ISNUMBER(SEARCH(","&amp;'Rotação'!$R9&amp;",",","&amp;SUBSTITUTE('Dano fixo'!$H$9,", ",",")&amp;","))),OR('Dano fixo'!$I$9="",ISNUMBER(SEARCH(","&amp;'Rotação'!$K9&amp;",",","&amp;SUBSTITUTE('Dano fixo'!$I$9,", ",",")&amp;",")))),1,0)</f>
        <v>0</v>
      </c>
      <c r="X9" s="2">
        <f t="shared" si="8"/>
        <v>0</v>
      </c>
      <c r="Y9" s="2">
        <f>W9*IF('Dano fixo'!$J$9="",$A9,MIN($A9,MAX(0,'Dano fixo'!$J$9-X8)))</f>
        <v>0</v>
      </c>
      <c r="Z9" s="2">
        <f>IF(AND($A9&gt;0,N('Dano fixo'!$L$10)&gt;0,OR('Dano fixo'!$G$10="Todos",ISNUMBER(SEARCH(","&amp;'Rotação'!$I9&amp;",",","&amp;SUBSTITUTE('Dano fixo'!$G$10,", ",",")&amp;","))),OR('Dano fixo'!$H$10="",ISNUMBER(SEARCH(","&amp;'Rotação'!$R9&amp;",",","&amp;SUBSTITUTE('Dano fixo'!$H$10,", ",",")&amp;","))),OR('Dano fixo'!$I$10="",ISNUMBER(SEARCH(","&amp;'Rotação'!$K9&amp;",",","&amp;SUBSTITUTE('Dano fixo'!$I$10,", ",",")&amp;",")))),1,0)</f>
        <v>0</v>
      </c>
      <c r="AA9" s="2">
        <f t="shared" si="9"/>
        <v>0</v>
      </c>
      <c r="AB9" s="2">
        <f>Z9*IF('Dano fixo'!$J$10="",$A9,MIN($A9,MAX(0,'Dano fixo'!$J$10-AA8)))</f>
        <v>0</v>
      </c>
      <c r="AC9" s="2">
        <f>IF(AND($A9&gt;0,N('Dano fixo'!$L$11)&gt;0,OR('Dano fixo'!$G$11="Todos",ISNUMBER(SEARCH(","&amp;'Rotação'!$I9&amp;",",","&amp;SUBSTITUTE('Dano fixo'!$G$11,", ",",")&amp;","))),OR('Dano fixo'!$H$11="",ISNUMBER(SEARCH(","&amp;'Rotação'!$R9&amp;",",","&amp;SUBSTITUTE('Dano fixo'!$H$11,", ",",")&amp;","))),OR('Dano fixo'!$I$11="",ISNUMBER(SEARCH(","&amp;'Rotação'!$K9&amp;",",","&amp;SUBSTITUTE('Dano fixo'!$I$11,", ",",")&amp;",")))),1,0)</f>
        <v>0</v>
      </c>
      <c r="AD9" s="2">
        <f t="shared" si="10"/>
        <v>0</v>
      </c>
      <c r="AE9" s="2">
        <f>AC9*IF('Dano fixo'!$J$11="",$A9,MIN($A9,MAX(0,'Dano fixo'!$J$11-AD8)))</f>
        <v>0</v>
      </c>
      <c r="AF9" s="2">
        <f>D9*'Dano fixo'!$L$2+G9*'Dano fixo'!$L$3+J9*'Dano fixo'!$L$4+M9*'Dano fixo'!$L$5+P9*'Dano fixo'!$L$6+S9*'Dano fixo'!$L$7+V9*'Dano fixo'!$L$8+Y9*'Dano fixo'!$L$9+AB9*'Dano fixo'!$L$10+AE9*'Dano fixo'!$L$11</f>
        <v>0</v>
      </c>
    </row>
    <row r="10">
      <c r="A10" s="2">
        <f t="array" ref="A10">IF(ISNUMBER('Rotação'!$J10),IF('Rotação'!$B10="",1,'Rotação'!$B10)*IF(ISNUMBER('Rotação'!$H10),MAX(1,N(INDEX(L_Golpes!$BN$2:$BN$6000,'Rotação'!$H10))),1),0)</f>
        <v>1</v>
      </c>
      <c r="B10" s="2">
        <f>IF(AND($A10&gt;0,N('Dano fixo'!$L$2)&gt;0,OR('Dano fixo'!$G$2="Todos",ISNUMBER(SEARCH(","&amp;'Rotação'!$I10&amp;",",","&amp;SUBSTITUTE('Dano fixo'!$G$2,", ",",")&amp;","))),OR('Dano fixo'!$H$2="",ISNUMBER(SEARCH(","&amp;'Rotação'!$R10&amp;",",","&amp;SUBSTITUTE('Dano fixo'!$H$2,", ",",")&amp;","))),OR('Dano fixo'!$I$2="",ISNUMBER(SEARCH(","&amp;'Rotação'!$K10&amp;",",","&amp;SUBSTITUTE('Dano fixo'!$I$2,", ",",")&amp;",")))),1,0)</f>
        <v>0</v>
      </c>
      <c r="C10" s="2">
        <f t="shared" si="1"/>
        <v>0</v>
      </c>
      <c r="D10" s="2">
        <f>B10*IF('Dano fixo'!$J$2="",$A10,MIN($A10,MAX(0,'Dano fixo'!$J$2-C9)))</f>
        <v>0</v>
      </c>
      <c r="E10" s="2">
        <f>IF(AND($A10&gt;0,N('Dano fixo'!$L$3)&gt;0,OR('Dano fixo'!$G$3="Todos",ISNUMBER(SEARCH(","&amp;'Rotação'!$I10&amp;",",","&amp;SUBSTITUTE('Dano fixo'!$G$3,", ",",")&amp;","))),OR('Dano fixo'!$H$3="",ISNUMBER(SEARCH(","&amp;'Rotação'!$R10&amp;",",","&amp;SUBSTITUTE('Dano fixo'!$H$3,", ",",")&amp;","))),OR('Dano fixo'!$I$3="",ISNUMBER(SEARCH(","&amp;'Rotação'!$K10&amp;",",","&amp;SUBSTITUTE('Dano fixo'!$I$3,", ",",")&amp;",")))),1,0)</f>
        <v>0</v>
      </c>
      <c r="F10" s="2">
        <f t="shared" si="2"/>
        <v>0</v>
      </c>
      <c r="G10" s="2">
        <f>E10*IF('Dano fixo'!$J$3="",$A10,MIN($A10,MAX(0,'Dano fixo'!$J$3-F9)))</f>
        <v>0</v>
      </c>
      <c r="H10" s="2">
        <f>IF(AND($A10&gt;0,N('Dano fixo'!$L$4)&gt;0,OR('Dano fixo'!$G$4="Todos",ISNUMBER(SEARCH(","&amp;'Rotação'!$I10&amp;",",","&amp;SUBSTITUTE('Dano fixo'!$G$4,", ",",")&amp;","))),OR('Dano fixo'!$H$4="",ISNUMBER(SEARCH(","&amp;'Rotação'!$R10&amp;",",","&amp;SUBSTITUTE('Dano fixo'!$H$4,", ",",")&amp;","))),OR('Dano fixo'!$I$4="",ISNUMBER(SEARCH(","&amp;'Rotação'!$K10&amp;",",","&amp;SUBSTITUTE('Dano fixo'!$I$4,", ",",")&amp;",")))),1,0)</f>
        <v>0</v>
      </c>
      <c r="I10" s="2">
        <f t="shared" si="3"/>
        <v>0</v>
      </c>
      <c r="J10" s="2">
        <f>H10*IF('Dano fixo'!$J$4="",$A10,MIN($A10,MAX(0,'Dano fixo'!$J$4-I9)))</f>
        <v>0</v>
      </c>
      <c r="K10" s="2">
        <f>IF(AND($A10&gt;0,N('Dano fixo'!$L$5)&gt;0,OR('Dano fixo'!$G$5="Todos",ISNUMBER(SEARCH(","&amp;'Rotação'!$I10&amp;",",","&amp;SUBSTITUTE('Dano fixo'!$G$5,", ",",")&amp;","))),OR('Dano fixo'!$H$5="",ISNUMBER(SEARCH(","&amp;'Rotação'!$R10&amp;",",","&amp;SUBSTITUTE('Dano fixo'!$H$5,", ",",")&amp;","))),OR('Dano fixo'!$I$5="",ISNUMBER(SEARCH(","&amp;'Rotação'!$K10&amp;",",","&amp;SUBSTITUTE('Dano fixo'!$I$5,", ",",")&amp;",")))),1,0)</f>
        <v>0</v>
      </c>
      <c r="L10" s="2">
        <f t="shared" si="4"/>
        <v>0</v>
      </c>
      <c r="M10" s="2">
        <f>K10*IF('Dano fixo'!$J$5="",$A10,MIN($A10,MAX(0,'Dano fixo'!$J$5-L9)))</f>
        <v>0</v>
      </c>
      <c r="N10" s="2">
        <f>IF(AND($A10&gt;0,N('Dano fixo'!$L$6)&gt;0,OR('Dano fixo'!$G$6="Todos",ISNUMBER(SEARCH(","&amp;'Rotação'!$I10&amp;",",","&amp;SUBSTITUTE('Dano fixo'!$G$6,", ",",")&amp;","))),OR('Dano fixo'!$H$6="",ISNUMBER(SEARCH(","&amp;'Rotação'!$R10&amp;",",","&amp;SUBSTITUTE('Dano fixo'!$H$6,", ",",")&amp;","))),OR('Dano fixo'!$I$6="",ISNUMBER(SEARCH(","&amp;'Rotação'!$K10&amp;",",","&amp;SUBSTITUTE('Dano fixo'!$I$6,", ",",")&amp;",")))),1,0)</f>
        <v>0</v>
      </c>
      <c r="O10" s="2">
        <f t="shared" si="5"/>
        <v>0</v>
      </c>
      <c r="P10" s="2">
        <f>N10*IF('Dano fixo'!$J$6="",$A10,MIN($A10,MAX(0,'Dano fixo'!$J$6-O9)))</f>
        <v>0</v>
      </c>
      <c r="Q10" s="2">
        <f>IF(AND($A10&gt;0,N('Dano fixo'!$L$7)&gt;0,OR('Dano fixo'!$G$7="Todos",ISNUMBER(SEARCH(","&amp;'Rotação'!$I10&amp;",",","&amp;SUBSTITUTE('Dano fixo'!$G$7,", ",",")&amp;","))),OR('Dano fixo'!$H$7="",ISNUMBER(SEARCH(","&amp;'Rotação'!$R10&amp;",",","&amp;SUBSTITUTE('Dano fixo'!$H$7,", ",",")&amp;","))),OR('Dano fixo'!$I$7="",ISNUMBER(SEARCH(","&amp;'Rotação'!$K10&amp;",",","&amp;SUBSTITUTE('Dano fixo'!$I$7,", ",",")&amp;",")))),1,0)</f>
        <v>0</v>
      </c>
      <c r="R10" s="2">
        <f t="shared" si="6"/>
        <v>0</v>
      </c>
      <c r="S10" s="2">
        <f>Q10*IF('Dano fixo'!$J$7="",$A10,MIN($A10,MAX(0,'Dano fixo'!$J$7-R9)))</f>
        <v>0</v>
      </c>
      <c r="T10" s="2">
        <f>IF(AND($A10&gt;0,N('Dano fixo'!$L$8)&gt;0,OR('Dano fixo'!$G$8="Todos",ISNUMBER(SEARCH(","&amp;'Rotação'!$I10&amp;",",","&amp;SUBSTITUTE('Dano fixo'!$G$8,", ",",")&amp;","))),OR('Dano fixo'!$H$8="",ISNUMBER(SEARCH(","&amp;'Rotação'!$R10&amp;",",","&amp;SUBSTITUTE('Dano fixo'!$H$8,", ",",")&amp;","))),OR('Dano fixo'!$I$8="",ISNUMBER(SEARCH(","&amp;'Rotação'!$K10&amp;",",","&amp;SUBSTITUTE('Dano fixo'!$I$8,", ",",")&amp;",")))),1,0)</f>
        <v>0</v>
      </c>
      <c r="U10" s="2">
        <f t="shared" si="7"/>
        <v>0</v>
      </c>
      <c r="V10" s="2">
        <f>T10*IF('Dano fixo'!$J$8="",$A10,MIN($A10,MAX(0,'Dano fixo'!$J$8-U9)))</f>
        <v>0</v>
      </c>
      <c r="W10" s="2">
        <f>IF(AND($A10&gt;0,N('Dano fixo'!$L$9)&gt;0,OR('Dano fixo'!$G$9="Todos",ISNUMBER(SEARCH(","&amp;'Rotação'!$I10&amp;",",","&amp;SUBSTITUTE('Dano fixo'!$G$9,", ",",")&amp;","))),OR('Dano fixo'!$H$9="",ISNUMBER(SEARCH(","&amp;'Rotação'!$R10&amp;",",","&amp;SUBSTITUTE('Dano fixo'!$H$9,", ",",")&amp;","))),OR('Dano fixo'!$I$9="",ISNUMBER(SEARCH(","&amp;'Rotação'!$K10&amp;",",","&amp;SUBSTITUTE('Dano fixo'!$I$9,", ",",")&amp;",")))),1,0)</f>
        <v>0</v>
      </c>
      <c r="X10" s="2">
        <f t="shared" si="8"/>
        <v>0</v>
      </c>
      <c r="Y10" s="2">
        <f>W10*IF('Dano fixo'!$J$9="",$A10,MIN($A10,MAX(0,'Dano fixo'!$J$9-X9)))</f>
        <v>0</v>
      </c>
      <c r="Z10" s="2">
        <f>IF(AND($A10&gt;0,N('Dano fixo'!$L$10)&gt;0,OR('Dano fixo'!$G$10="Todos",ISNUMBER(SEARCH(","&amp;'Rotação'!$I10&amp;",",","&amp;SUBSTITUTE('Dano fixo'!$G$10,", ",",")&amp;","))),OR('Dano fixo'!$H$10="",ISNUMBER(SEARCH(","&amp;'Rotação'!$R10&amp;",",","&amp;SUBSTITUTE('Dano fixo'!$H$10,", ",",")&amp;","))),OR('Dano fixo'!$I$10="",ISNUMBER(SEARCH(","&amp;'Rotação'!$K10&amp;",",","&amp;SUBSTITUTE('Dano fixo'!$I$10,", ",",")&amp;",")))),1,0)</f>
        <v>0</v>
      </c>
      <c r="AA10" s="2">
        <f t="shared" si="9"/>
        <v>0</v>
      </c>
      <c r="AB10" s="2">
        <f>Z10*IF('Dano fixo'!$J$10="",$A10,MIN($A10,MAX(0,'Dano fixo'!$J$10-AA9)))</f>
        <v>0</v>
      </c>
      <c r="AC10" s="2">
        <f>IF(AND($A10&gt;0,N('Dano fixo'!$L$11)&gt;0,OR('Dano fixo'!$G$11="Todos",ISNUMBER(SEARCH(","&amp;'Rotação'!$I10&amp;",",","&amp;SUBSTITUTE('Dano fixo'!$G$11,", ",",")&amp;","))),OR('Dano fixo'!$H$11="",ISNUMBER(SEARCH(","&amp;'Rotação'!$R10&amp;",",","&amp;SUBSTITUTE('Dano fixo'!$H$11,", ",",")&amp;","))),OR('Dano fixo'!$I$11="",ISNUMBER(SEARCH(","&amp;'Rotação'!$K10&amp;",",","&amp;SUBSTITUTE('Dano fixo'!$I$11,", ",",")&amp;",")))),1,0)</f>
        <v>0</v>
      </c>
      <c r="AD10" s="2">
        <f t="shared" si="10"/>
        <v>0</v>
      </c>
      <c r="AE10" s="2">
        <f>AC10*IF('Dano fixo'!$J$11="",$A10,MIN($A10,MAX(0,'Dano fixo'!$J$11-AD9)))</f>
        <v>0</v>
      </c>
      <c r="AF10" s="2">
        <f>D10*'Dano fixo'!$L$2+G10*'Dano fixo'!$L$3+J10*'Dano fixo'!$L$4+M10*'Dano fixo'!$L$5+P10*'Dano fixo'!$L$6+S10*'Dano fixo'!$L$7+V10*'Dano fixo'!$L$8+Y10*'Dano fixo'!$L$9+AB10*'Dano fixo'!$L$10+AE10*'Dano fixo'!$L$11</f>
        <v>0</v>
      </c>
    </row>
    <row r="11">
      <c r="A11" s="2">
        <f t="array" ref="A11">IF(ISNUMBER('Rotação'!$J11),IF('Rotação'!$B11="",1,'Rotação'!$B11)*IF(ISNUMBER('Rotação'!$H11),MAX(1,N(INDEX(L_Golpes!$BN$2:$BN$6000,'Rotação'!$H11))),1),0)</f>
        <v>1</v>
      </c>
      <c r="B11" s="2">
        <f>IF(AND($A11&gt;0,N('Dano fixo'!$L$2)&gt;0,OR('Dano fixo'!$G$2="Todos",ISNUMBER(SEARCH(","&amp;'Rotação'!$I11&amp;",",","&amp;SUBSTITUTE('Dano fixo'!$G$2,", ",",")&amp;","))),OR('Dano fixo'!$H$2="",ISNUMBER(SEARCH(","&amp;'Rotação'!$R11&amp;",",","&amp;SUBSTITUTE('Dano fixo'!$H$2,", ",",")&amp;","))),OR('Dano fixo'!$I$2="",ISNUMBER(SEARCH(","&amp;'Rotação'!$K11&amp;",",","&amp;SUBSTITUTE('Dano fixo'!$I$2,", ",",")&amp;",")))),1,0)</f>
        <v>0</v>
      </c>
      <c r="C11" s="2">
        <f t="shared" si="1"/>
        <v>0</v>
      </c>
      <c r="D11" s="2">
        <f>B11*IF('Dano fixo'!$J$2="",$A11,MIN($A11,MAX(0,'Dano fixo'!$J$2-C10)))</f>
        <v>0</v>
      </c>
      <c r="E11" s="2">
        <f>IF(AND($A11&gt;0,N('Dano fixo'!$L$3)&gt;0,OR('Dano fixo'!$G$3="Todos",ISNUMBER(SEARCH(","&amp;'Rotação'!$I11&amp;",",","&amp;SUBSTITUTE('Dano fixo'!$G$3,", ",",")&amp;","))),OR('Dano fixo'!$H$3="",ISNUMBER(SEARCH(","&amp;'Rotação'!$R11&amp;",",","&amp;SUBSTITUTE('Dano fixo'!$H$3,", ",",")&amp;","))),OR('Dano fixo'!$I$3="",ISNUMBER(SEARCH(","&amp;'Rotação'!$K11&amp;",",","&amp;SUBSTITUTE('Dano fixo'!$I$3,", ",",")&amp;",")))),1,0)</f>
        <v>0</v>
      </c>
      <c r="F11" s="2">
        <f t="shared" si="2"/>
        <v>0</v>
      </c>
      <c r="G11" s="2">
        <f>E11*IF('Dano fixo'!$J$3="",$A11,MIN($A11,MAX(0,'Dano fixo'!$J$3-F10)))</f>
        <v>0</v>
      </c>
      <c r="H11" s="2">
        <f>IF(AND($A11&gt;0,N('Dano fixo'!$L$4)&gt;0,OR('Dano fixo'!$G$4="Todos",ISNUMBER(SEARCH(","&amp;'Rotação'!$I11&amp;",",","&amp;SUBSTITUTE('Dano fixo'!$G$4,", ",",")&amp;","))),OR('Dano fixo'!$H$4="",ISNUMBER(SEARCH(","&amp;'Rotação'!$R11&amp;",",","&amp;SUBSTITUTE('Dano fixo'!$H$4,", ",",")&amp;","))),OR('Dano fixo'!$I$4="",ISNUMBER(SEARCH(","&amp;'Rotação'!$K11&amp;",",","&amp;SUBSTITUTE('Dano fixo'!$I$4,", ",",")&amp;",")))),1,0)</f>
        <v>0</v>
      </c>
      <c r="I11" s="2">
        <f t="shared" si="3"/>
        <v>0</v>
      </c>
      <c r="J11" s="2">
        <f>H11*IF('Dano fixo'!$J$4="",$A11,MIN($A11,MAX(0,'Dano fixo'!$J$4-I10)))</f>
        <v>0</v>
      </c>
      <c r="K11" s="2">
        <f>IF(AND($A11&gt;0,N('Dano fixo'!$L$5)&gt;0,OR('Dano fixo'!$G$5="Todos",ISNUMBER(SEARCH(","&amp;'Rotação'!$I11&amp;",",","&amp;SUBSTITUTE('Dano fixo'!$G$5,", ",",")&amp;","))),OR('Dano fixo'!$H$5="",ISNUMBER(SEARCH(","&amp;'Rotação'!$R11&amp;",",","&amp;SUBSTITUTE('Dano fixo'!$H$5,", ",",")&amp;","))),OR('Dano fixo'!$I$5="",ISNUMBER(SEARCH(","&amp;'Rotação'!$K11&amp;",",","&amp;SUBSTITUTE('Dano fixo'!$I$5,", ",",")&amp;",")))),1,0)</f>
        <v>0</v>
      </c>
      <c r="L11" s="2">
        <f t="shared" si="4"/>
        <v>0</v>
      </c>
      <c r="M11" s="2">
        <f>K11*IF('Dano fixo'!$J$5="",$A11,MIN($A11,MAX(0,'Dano fixo'!$J$5-L10)))</f>
        <v>0</v>
      </c>
      <c r="N11" s="2">
        <f>IF(AND($A11&gt;0,N('Dano fixo'!$L$6)&gt;0,OR('Dano fixo'!$G$6="Todos",ISNUMBER(SEARCH(","&amp;'Rotação'!$I11&amp;",",","&amp;SUBSTITUTE('Dano fixo'!$G$6,", ",",")&amp;","))),OR('Dano fixo'!$H$6="",ISNUMBER(SEARCH(","&amp;'Rotação'!$R11&amp;",",","&amp;SUBSTITUTE('Dano fixo'!$H$6,", ",",")&amp;","))),OR('Dano fixo'!$I$6="",ISNUMBER(SEARCH(","&amp;'Rotação'!$K11&amp;",",","&amp;SUBSTITUTE('Dano fixo'!$I$6,", ",",")&amp;",")))),1,0)</f>
        <v>0</v>
      </c>
      <c r="O11" s="2">
        <f t="shared" si="5"/>
        <v>0</v>
      </c>
      <c r="P11" s="2">
        <f>N11*IF('Dano fixo'!$J$6="",$A11,MIN($A11,MAX(0,'Dano fixo'!$J$6-O10)))</f>
        <v>0</v>
      </c>
      <c r="Q11" s="2">
        <f>IF(AND($A11&gt;0,N('Dano fixo'!$L$7)&gt;0,OR('Dano fixo'!$G$7="Todos",ISNUMBER(SEARCH(","&amp;'Rotação'!$I11&amp;",",","&amp;SUBSTITUTE('Dano fixo'!$G$7,", ",",")&amp;","))),OR('Dano fixo'!$H$7="",ISNUMBER(SEARCH(","&amp;'Rotação'!$R11&amp;",",","&amp;SUBSTITUTE('Dano fixo'!$H$7,", ",",")&amp;","))),OR('Dano fixo'!$I$7="",ISNUMBER(SEARCH(","&amp;'Rotação'!$K11&amp;",",","&amp;SUBSTITUTE('Dano fixo'!$I$7,", ",",")&amp;",")))),1,0)</f>
        <v>0</v>
      </c>
      <c r="R11" s="2">
        <f t="shared" si="6"/>
        <v>0</v>
      </c>
      <c r="S11" s="2">
        <f>Q11*IF('Dano fixo'!$J$7="",$A11,MIN($A11,MAX(0,'Dano fixo'!$J$7-R10)))</f>
        <v>0</v>
      </c>
      <c r="T11" s="2">
        <f>IF(AND($A11&gt;0,N('Dano fixo'!$L$8)&gt;0,OR('Dano fixo'!$G$8="Todos",ISNUMBER(SEARCH(","&amp;'Rotação'!$I11&amp;",",","&amp;SUBSTITUTE('Dano fixo'!$G$8,", ",",")&amp;","))),OR('Dano fixo'!$H$8="",ISNUMBER(SEARCH(","&amp;'Rotação'!$R11&amp;",",","&amp;SUBSTITUTE('Dano fixo'!$H$8,", ",",")&amp;","))),OR('Dano fixo'!$I$8="",ISNUMBER(SEARCH(","&amp;'Rotação'!$K11&amp;",",","&amp;SUBSTITUTE('Dano fixo'!$I$8,", ",",")&amp;",")))),1,0)</f>
        <v>0</v>
      </c>
      <c r="U11" s="2">
        <f t="shared" si="7"/>
        <v>0</v>
      </c>
      <c r="V11" s="2">
        <f>T11*IF('Dano fixo'!$J$8="",$A11,MIN($A11,MAX(0,'Dano fixo'!$J$8-U10)))</f>
        <v>0</v>
      </c>
      <c r="W11" s="2">
        <f>IF(AND($A11&gt;0,N('Dano fixo'!$L$9)&gt;0,OR('Dano fixo'!$G$9="Todos",ISNUMBER(SEARCH(","&amp;'Rotação'!$I11&amp;",",","&amp;SUBSTITUTE('Dano fixo'!$G$9,", ",",")&amp;","))),OR('Dano fixo'!$H$9="",ISNUMBER(SEARCH(","&amp;'Rotação'!$R11&amp;",",","&amp;SUBSTITUTE('Dano fixo'!$H$9,", ",",")&amp;","))),OR('Dano fixo'!$I$9="",ISNUMBER(SEARCH(","&amp;'Rotação'!$K11&amp;",",","&amp;SUBSTITUTE('Dano fixo'!$I$9,", ",",")&amp;",")))),1,0)</f>
        <v>0</v>
      </c>
      <c r="X11" s="2">
        <f t="shared" si="8"/>
        <v>0</v>
      </c>
      <c r="Y11" s="2">
        <f>W11*IF('Dano fixo'!$J$9="",$A11,MIN($A11,MAX(0,'Dano fixo'!$J$9-X10)))</f>
        <v>0</v>
      </c>
      <c r="Z11" s="2">
        <f>IF(AND($A11&gt;0,N('Dano fixo'!$L$10)&gt;0,OR('Dano fixo'!$G$10="Todos",ISNUMBER(SEARCH(","&amp;'Rotação'!$I11&amp;",",","&amp;SUBSTITUTE('Dano fixo'!$G$10,", ",",")&amp;","))),OR('Dano fixo'!$H$10="",ISNUMBER(SEARCH(","&amp;'Rotação'!$R11&amp;",",","&amp;SUBSTITUTE('Dano fixo'!$H$10,", ",",")&amp;","))),OR('Dano fixo'!$I$10="",ISNUMBER(SEARCH(","&amp;'Rotação'!$K11&amp;",",","&amp;SUBSTITUTE('Dano fixo'!$I$10,", ",",")&amp;",")))),1,0)</f>
        <v>0</v>
      </c>
      <c r="AA11" s="2">
        <f t="shared" si="9"/>
        <v>0</v>
      </c>
      <c r="AB11" s="2">
        <f>Z11*IF('Dano fixo'!$J$10="",$A11,MIN($A11,MAX(0,'Dano fixo'!$J$10-AA10)))</f>
        <v>0</v>
      </c>
      <c r="AC11" s="2">
        <f>IF(AND($A11&gt;0,N('Dano fixo'!$L$11)&gt;0,OR('Dano fixo'!$G$11="Todos",ISNUMBER(SEARCH(","&amp;'Rotação'!$I11&amp;",",","&amp;SUBSTITUTE('Dano fixo'!$G$11,", ",",")&amp;","))),OR('Dano fixo'!$H$11="",ISNUMBER(SEARCH(","&amp;'Rotação'!$R11&amp;",",","&amp;SUBSTITUTE('Dano fixo'!$H$11,", ",",")&amp;","))),OR('Dano fixo'!$I$11="",ISNUMBER(SEARCH(","&amp;'Rotação'!$K11&amp;",",","&amp;SUBSTITUTE('Dano fixo'!$I$11,", ",",")&amp;",")))),1,0)</f>
        <v>0</v>
      </c>
      <c r="AD11" s="2">
        <f t="shared" si="10"/>
        <v>0</v>
      </c>
      <c r="AE11" s="2">
        <f>AC11*IF('Dano fixo'!$J$11="",$A11,MIN($A11,MAX(0,'Dano fixo'!$J$11-AD10)))</f>
        <v>0</v>
      </c>
      <c r="AF11" s="2">
        <f>D11*'Dano fixo'!$L$2+G11*'Dano fixo'!$L$3+J11*'Dano fixo'!$L$4+M11*'Dano fixo'!$L$5+P11*'Dano fixo'!$L$6+S11*'Dano fixo'!$L$7+V11*'Dano fixo'!$L$8+Y11*'Dano fixo'!$L$9+AB11*'Dano fixo'!$L$10+AE11*'Dano fixo'!$L$11</f>
        <v>0</v>
      </c>
    </row>
    <row r="12">
      <c r="A12" s="2">
        <f t="array" ref="A12">IF(ISNUMBER('Rotação'!$J12),IF('Rotação'!$B12="",1,'Rotação'!$B12)*IF(ISNUMBER('Rotação'!$H12),MAX(1,N(INDEX(L_Golpes!$BN$2:$BN$6000,'Rotação'!$H12))),1),0)</f>
        <v>1</v>
      </c>
      <c r="B12" s="2">
        <f>IF(AND($A12&gt;0,N('Dano fixo'!$L$2)&gt;0,OR('Dano fixo'!$G$2="Todos",ISNUMBER(SEARCH(","&amp;'Rotação'!$I12&amp;",",","&amp;SUBSTITUTE('Dano fixo'!$G$2,", ",",")&amp;","))),OR('Dano fixo'!$H$2="",ISNUMBER(SEARCH(","&amp;'Rotação'!$R12&amp;",",","&amp;SUBSTITUTE('Dano fixo'!$H$2,", ",",")&amp;","))),OR('Dano fixo'!$I$2="",ISNUMBER(SEARCH(","&amp;'Rotação'!$K12&amp;",",","&amp;SUBSTITUTE('Dano fixo'!$I$2,", ",",")&amp;",")))),1,0)</f>
        <v>0</v>
      </c>
      <c r="C12" s="2">
        <f t="shared" si="1"/>
        <v>0</v>
      </c>
      <c r="D12" s="2">
        <f>B12*IF('Dano fixo'!$J$2="",$A12,MIN($A12,MAX(0,'Dano fixo'!$J$2-C11)))</f>
        <v>0</v>
      </c>
      <c r="E12" s="2">
        <f>IF(AND($A12&gt;0,N('Dano fixo'!$L$3)&gt;0,OR('Dano fixo'!$G$3="Todos",ISNUMBER(SEARCH(","&amp;'Rotação'!$I12&amp;",",","&amp;SUBSTITUTE('Dano fixo'!$G$3,", ",",")&amp;","))),OR('Dano fixo'!$H$3="",ISNUMBER(SEARCH(","&amp;'Rotação'!$R12&amp;",",","&amp;SUBSTITUTE('Dano fixo'!$H$3,", ",",")&amp;","))),OR('Dano fixo'!$I$3="",ISNUMBER(SEARCH(","&amp;'Rotação'!$K12&amp;",",","&amp;SUBSTITUTE('Dano fixo'!$I$3,", ",",")&amp;",")))),1,0)</f>
        <v>0</v>
      </c>
      <c r="F12" s="2">
        <f t="shared" si="2"/>
        <v>0</v>
      </c>
      <c r="G12" s="2">
        <f>E12*IF('Dano fixo'!$J$3="",$A12,MIN($A12,MAX(0,'Dano fixo'!$J$3-F11)))</f>
        <v>0</v>
      </c>
      <c r="H12" s="2">
        <f>IF(AND($A12&gt;0,N('Dano fixo'!$L$4)&gt;0,OR('Dano fixo'!$G$4="Todos",ISNUMBER(SEARCH(","&amp;'Rotação'!$I12&amp;",",","&amp;SUBSTITUTE('Dano fixo'!$G$4,", ",",")&amp;","))),OR('Dano fixo'!$H$4="",ISNUMBER(SEARCH(","&amp;'Rotação'!$R12&amp;",",","&amp;SUBSTITUTE('Dano fixo'!$H$4,", ",",")&amp;","))),OR('Dano fixo'!$I$4="",ISNUMBER(SEARCH(","&amp;'Rotação'!$K12&amp;",",","&amp;SUBSTITUTE('Dano fixo'!$I$4,", ",",")&amp;",")))),1,0)</f>
        <v>0</v>
      </c>
      <c r="I12" s="2">
        <f t="shared" si="3"/>
        <v>0</v>
      </c>
      <c r="J12" s="2">
        <f>H12*IF('Dano fixo'!$J$4="",$A12,MIN($A12,MAX(0,'Dano fixo'!$J$4-I11)))</f>
        <v>0</v>
      </c>
      <c r="K12" s="2">
        <f>IF(AND($A12&gt;0,N('Dano fixo'!$L$5)&gt;0,OR('Dano fixo'!$G$5="Todos",ISNUMBER(SEARCH(","&amp;'Rotação'!$I12&amp;",",","&amp;SUBSTITUTE('Dano fixo'!$G$5,", ",",")&amp;","))),OR('Dano fixo'!$H$5="",ISNUMBER(SEARCH(","&amp;'Rotação'!$R12&amp;",",","&amp;SUBSTITUTE('Dano fixo'!$H$5,", ",",")&amp;","))),OR('Dano fixo'!$I$5="",ISNUMBER(SEARCH(","&amp;'Rotação'!$K12&amp;",",","&amp;SUBSTITUTE('Dano fixo'!$I$5,", ",",")&amp;",")))),1,0)</f>
        <v>0</v>
      </c>
      <c r="L12" s="2">
        <f t="shared" si="4"/>
        <v>0</v>
      </c>
      <c r="M12" s="2">
        <f>K12*IF('Dano fixo'!$J$5="",$A12,MIN($A12,MAX(0,'Dano fixo'!$J$5-L11)))</f>
        <v>0</v>
      </c>
      <c r="N12" s="2">
        <f>IF(AND($A12&gt;0,N('Dano fixo'!$L$6)&gt;0,OR('Dano fixo'!$G$6="Todos",ISNUMBER(SEARCH(","&amp;'Rotação'!$I12&amp;",",","&amp;SUBSTITUTE('Dano fixo'!$G$6,", ",",")&amp;","))),OR('Dano fixo'!$H$6="",ISNUMBER(SEARCH(","&amp;'Rotação'!$R12&amp;",",","&amp;SUBSTITUTE('Dano fixo'!$H$6,", ",",")&amp;","))),OR('Dano fixo'!$I$6="",ISNUMBER(SEARCH(","&amp;'Rotação'!$K12&amp;",",","&amp;SUBSTITUTE('Dano fixo'!$I$6,", ",",")&amp;",")))),1,0)</f>
        <v>0</v>
      </c>
      <c r="O12" s="2">
        <f t="shared" si="5"/>
        <v>0</v>
      </c>
      <c r="P12" s="2">
        <f>N12*IF('Dano fixo'!$J$6="",$A12,MIN($A12,MAX(0,'Dano fixo'!$J$6-O11)))</f>
        <v>0</v>
      </c>
      <c r="Q12" s="2">
        <f>IF(AND($A12&gt;0,N('Dano fixo'!$L$7)&gt;0,OR('Dano fixo'!$G$7="Todos",ISNUMBER(SEARCH(","&amp;'Rotação'!$I12&amp;",",","&amp;SUBSTITUTE('Dano fixo'!$G$7,", ",",")&amp;","))),OR('Dano fixo'!$H$7="",ISNUMBER(SEARCH(","&amp;'Rotação'!$R12&amp;",",","&amp;SUBSTITUTE('Dano fixo'!$H$7,", ",",")&amp;","))),OR('Dano fixo'!$I$7="",ISNUMBER(SEARCH(","&amp;'Rotação'!$K12&amp;",",","&amp;SUBSTITUTE('Dano fixo'!$I$7,", ",",")&amp;",")))),1,0)</f>
        <v>0</v>
      </c>
      <c r="R12" s="2">
        <f t="shared" si="6"/>
        <v>0</v>
      </c>
      <c r="S12" s="2">
        <f>Q12*IF('Dano fixo'!$J$7="",$A12,MIN($A12,MAX(0,'Dano fixo'!$J$7-R11)))</f>
        <v>0</v>
      </c>
      <c r="T12" s="2">
        <f>IF(AND($A12&gt;0,N('Dano fixo'!$L$8)&gt;0,OR('Dano fixo'!$G$8="Todos",ISNUMBER(SEARCH(","&amp;'Rotação'!$I12&amp;",",","&amp;SUBSTITUTE('Dano fixo'!$G$8,", ",",")&amp;","))),OR('Dano fixo'!$H$8="",ISNUMBER(SEARCH(","&amp;'Rotação'!$R12&amp;",",","&amp;SUBSTITUTE('Dano fixo'!$H$8,", ",",")&amp;","))),OR('Dano fixo'!$I$8="",ISNUMBER(SEARCH(","&amp;'Rotação'!$K12&amp;",",","&amp;SUBSTITUTE('Dano fixo'!$I$8,", ",",")&amp;",")))),1,0)</f>
        <v>0</v>
      </c>
      <c r="U12" s="2">
        <f t="shared" si="7"/>
        <v>0</v>
      </c>
      <c r="V12" s="2">
        <f>T12*IF('Dano fixo'!$J$8="",$A12,MIN($A12,MAX(0,'Dano fixo'!$J$8-U11)))</f>
        <v>0</v>
      </c>
      <c r="W12" s="2">
        <f>IF(AND($A12&gt;0,N('Dano fixo'!$L$9)&gt;0,OR('Dano fixo'!$G$9="Todos",ISNUMBER(SEARCH(","&amp;'Rotação'!$I12&amp;",",","&amp;SUBSTITUTE('Dano fixo'!$G$9,", ",",")&amp;","))),OR('Dano fixo'!$H$9="",ISNUMBER(SEARCH(","&amp;'Rotação'!$R12&amp;",",","&amp;SUBSTITUTE('Dano fixo'!$H$9,", ",",")&amp;","))),OR('Dano fixo'!$I$9="",ISNUMBER(SEARCH(","&amp;'Rotação'!$K12&amp;",",","&amp;SUBSTITUTE('Dano fixo'!$I$9,", ",",")&amp;",")))),1,0)</f>
        <v>0</v>
      </c>
      <c r="X12" s="2">
        <f t="shared" si="8"/>
        <v>0</v>
      </c>
      <c r="Y12" s="2">
        <f>W12*IF('Dano fixo'!$J$9="",$A12,MIN($A12,MAX(0,'Dano fixo'!$J$9-X11)))</f>
        <v>0</v>
      </c>
      <c r="Z12" s="2">
        <f>IF(AND($A12&gt;0,N('Dano fixo'!$L$10)&gt;0,OR('Dano fixo'!$G$10="Todos",ISNUMBER(SEARCH(","&amp;'Rotação'!$I12&amp;",",","&amp;SUBSTITUTE('Dano fixo'!$G$10,", ",",")&amp;","))),OR('Dano fixo'!$H$10="",ISNUMBER(SEARCH(","&amp;'Rotação'!$R12&amp;",",","&amp;SUBSTITUTE('Dano fixo'!$H$10,", ",",")&amp;","))),OR('Dano fixo'!$I$10="",ISNUMBER(SEARCH(","&amp;'Rotação'!$K12&amp;",",","&amp;SUBSTITUTE('Dano fixo'!$I$10,", ",",")&amp;",")))),1,0)</f>
        <v>0</v>
      </c>
      <c r="AA12" s="2">
        <f t="shared" si="9"/>
        <v>0</v>
      </c>
      <c r="AB12" s="2">
        <f>Z12*IF('Dano fixo'!$J$10="",$A12,MIN($A12,MAX(0,'Dano fixo'!$J$10-AA11)))</f>
        <v>0</v>
      </c>
      <c r="AC12" s="2">
        <f>IF(AND($A12&gt;0,N('Dano fixo'!$L$11)&gt;0,OR('Dano fixo'!$G$11="Todos",ISNUMBER(SEARCH(","&amp;'Rotação'!$I12&amp;",",","&amp;SUBSTITUTE('Dano fixo'!$G$11,", ",",")&amp;","))),OR('Dano fixo'!$H$11="",ISNUMBER(SEARCH(","&amp;'Rotação'!$R12&amp;",",","&amp;SUBSTITUTE('Dano fixo'!$H$11,", ",",")&amp;","))),OR('Dano fixo'!$I$11="",ISNUMBER(SEARCH(","&amp;'Rotação'!$K12&amp;",",","&amp;SUBSTITUTE('Dano fixo'!$I$11,", ",",")&amp;",")))),1,0)</f>
        <v>0</v>
      </c>
      <c r="AD12" s="2">
        <f t="shared" si="10"/>
        <v>0</v>
      </c>
      <c r="AE12" s="2">
        <f>AC12*IF('Dano fixo'!$J$11="",$A12,MIN($A12,MAX(0,'Dano fixo'!$J$11-AD11)))</f>
        <v>0</v>
      </c>
      <c r="AF12" s="2">
        <f>D12*'Dano fixo'!$L$2+G12*'Dano fixo'!$L$3+J12*'Dano fixo'!$L$4+M12*'Dano fixo'!$L$5+P12*'Dano fixo'!$L$6+S12*'Dano fixo'!$L$7+V12*'Dano fixo'!$L$8+Y12*'Dano fixo'!$L$9+AB12*'Dano fixo'!$L$10+AE12*'Dano fixo'!$L$11</f>
        <v>0</v>
      </c>
    </row>
    <row r="13">
      <c r="A13" s="2">
        <f t="array" ref="A13">IF(ISNUMBER('Rotação'!$J13),IF('Rotação'!$B13="",1,'Rotação'!$B13)*IF(ISNUMBER('Rotação'!$H13),MAX(1,N(INDEX(L_Golpes!$BN$2:$BN$6000,'Rotação'!$H13))),1),0)</f>
        <v>1</v>
      </c>
      <c r="B13" s="2">
        <f>IF(AND($A13&gt;0,N('Dano fixo'!$L$2)&gt;0,OR('Dano fixo'!$G$2="Todos",ISNUMBER(SEARCH(","&amp;'Rotação'!$I13&amp;",",","&amp;SUBSTITUTE('Dano fixo'!$G$2,", ",",")&amp;","))),OR('Dano fixo'!$H$2="",ISNUMBER(SEARCH(","&amp;'Rotação'!$R13&amp;",",","&amp;SUBSTITUTE('Dano fixo'!$H$2,", ",",")&amp;","))),OR('Dano fixo'!$I$2="",ISNUMBER(SEARCH(","&amp;'Rotação'!$K13&amp;",",","&amp;SUBSTITUTE('Dano fixo'!$I$2,", ",",")&amp;",")))),1,0)</f>
        <v>0</v>
      </c>
      <c r="C13" s="2">
        <f t="shared" si="1"/>
        <v>0</v>
      </c>
      <c r="D13" s="2">
        <f>B13*IF('Dano fixo'!$J$2="",$A13,MIN($A13,MAX(0,'Dano fixo'!$J$2-C12)))</f>
        <v>0</v>
      </c>
      <c r="E13" s="2">
        <f>IF(AND($A13&gt;0,N('Dano fixo'!$L$3)&gt;0,OR('Dano fixo'!$G$3="Todos",ISNUMBER(SEARCH(","&amp;'Rotação'!$I13&amp;",",","&amp;SUBSTITUTE('Dano fixo'!$G$3,", ",",")&amp;","))),OR('Dano fixo'!$H$3="",ISNUMBER(SEARCH(","&amp;'Rotação'!$R13&amp;",",","&amp;SUBSTITUTE('Dano fixo'!$H$3,", ",",")&amp;","))),OR('Dano fixo'!$I$3="",ISNUMBER(SEARCH(","&amp;'Rotação'!$K13&amp;",",","&amp;SUBSTITUTE('Dano fixo'!$I$3,", ",",")&amp;",")))),1,0)</f>
        <v>0</v>
      </c>
      <c r="F13" s="2">
        <f t="shared" si="2"/>
        <v>0</v>
      </c>
      <c r="G13" s="2">
        <f>E13*IF('Dano fixo'!$J$3="",$A13,MIN($A13,MAX(0,'Dano fixo'!$J$3-F12)))</f>
        <v>0</v>
      </c>
      <c r="H13" s="2">
        <f>IF(AND($A13&gt;0,N('Dano fixo'!$L$4)&gt;0,OR('Dano fixo'!$G$4="Todos",ISNUMBER(SEARCH(","&amp;'Rotação'!$I13&amp;",",","&amp;SUBSTITUTE('Dano fixo'!$G$4,", ",",")&amp;","))),OR('Dano fixo'!$H$4="",ISNUMBER(SEARCH(","&amp;'Rotação'!$R13&amp;",",","&amp;SUBSTITUTE('Dano fixo'!$H$4,", ",",")&amp;","))),OR('Dano fixo'!$I$4="",ISNUMBER(SEARCH(","&amp;'Rotação'!$K13&amp;",",","&amp;SUBSTITUTE('Dano fixo'!$I$4,", ",",")&amp;",")))),1,0)</f>
        <v>0</v>
      </c>
      <c r="I13" s="2">
        <f t="shared" si="3"/>
        <v>0</v>
      </c>
      <c r="J13" s="2">
        <f>H13*IF('Dano fixo'!$J$4="",$A13,MIN($A13,MAX(0,'Dano fixo'!$J$4-I12)))</f>
        <v>0</v>
      </c>
      <c r="K13" s="2">
        <f>IF(AND($A13&gt;0,N('Dano fixo'!$L$5)&gt;0,OR('Dano fixo'!$G$5="Todos",ISNUMBER(SEARCH(","&amp;'Rotação'!$I13&amp;",",","&amp;SUBSTITUTE('Dano fixo'!$G$5,", ",",")&amp;","))),OR('Dano fixo'!$H$5="",ISNUMBER(SEARCH(","&amp;'Rotação'!$R13&amp;",",","&amp;SUBSTITUTE('Dano fixo'!$H$5,", ",",")&amp;","))),OR('Dano fixo'!$I$5="",ISNUMBER(SEARCH(","&amp;'Rotação'!$K13&amp;",",","&amp;SUBSTITUTE('Dano fixo'!$I$5,", ",",")&amp;",")))),1,0)</f>
        <v>0</v>
      </c>
      <c r="L13" s="2">
        <f t="shared" si="4"/>
        <v>0</v>
      </c>
      <c r="M13" s="2">
        <f>K13*IF('Dano fixo'!$J$5="",$A13,MIN($A13,MAX(0,'Dano fixo'!$J$5-L12)))</f>
        <v>0</v>
      </c>
      <c r="N13" s="2">
        <f>IF(AND($A13&gt;0,N('Dano fixo'!$L$6)&gt;0,OR('Dano fixo'!$G$6="Todos",ISNUMBER(SEARCH(","&amp;'Rotação'!$I13&amp;",",","&amp;SUBSTITUTE('Dano fixo'!$G$6,", ",",")&amp;","))),OR('Dano fixo'!$H$6="",ISNUMBER(SEARCH(","&amp;'Rotação'!$R13&amp;",",","&amp;SUBSTITUTE('Dano fixo'!$H$6,", ",",")&amp;","))),OR('Dano fixo'!$I$6="",ISNUMBER(SEARCH(","&amp;'Rotação'!$K13&amp;",",","&amp;SUBSTITUTE('Dano fixo'!$I$6,", ",",")&amp;",")))),1,0)</f>
        <v>0</v>
      </c>
      <c r="O13" s="2">
        <f t="shared" si="5"/>
        <v>0</v>
      </c>
      <c r="P13" s="2">
        <f>N13*IF('Dano fixo'!$J$6="",$A13,MIN($A13,MAX(0,'Dano fixo'!$J$6-O12)))</f>
        <v>0</v>
      </c>
      <c r="Q13" s="2">
        <f>IF(AND($A13&gt;0,N('Dano fixo'!$L$7)&gt;0,OR('Dano fixo'!$G$7="Todos",ISNUMBER(SEARCH(","&amp;'Rotação'!$I13&amp;",",","&amp;SUBSTITUTE('Dano fixo'!$G$7,", ",",")&amp;","))),OR('Dano fixo'!$H$7="",ISNUMBER(SEARCH(","&amp;'Rotação'!$R13&amp;",",","&amp;SUBSTITUTE('Dano fixo'!$H$7,", ",",")&amp;","))),OR('Dano fixo'!$I$7="",ISNUMBER(SEARCH(","&amp;'Rotação'!$K13&amp;",",","&amp;SUBSTITUTE('Dano fixo'!$I$7,", ",",")&amp;",")))),1,0)</f>
        <v>0</v>
      </c>
      <c r="R13" s="2">
        <f t="shared" si="6"/>
        <v>0</v>
      </c>
      <c r="S13" s="2">
        <f>Q13*IF('Dano fixo'!$J$7="",$A13,MIN($A13,MAX(0,'Dano fixo'!$J$7-R12)))</f>
        <v>0</v>
      </c>
      <c r="T13" s="2">
        <f>IF(AND($A13&gt;0,N('Dano fixo'!$L$8)&gt;0,OR('Dano fixo'!$G$8="Todos",ISNUMBER(SEARCH(","&amp;'Rotação'!$I13&amp;",",","&amp;SUBSTITUTE('Dano fixo'!$G$8,", ",",")&amp;","))),OR('Dano fixo'!$H$8="",ISNUMBER(SEARCH(","&amp;'Rotação'!$R13&amp;",",","&amp;SUBSTITUTE('Dano fixo'!$H$8,", ",",")&amp;","))),OR('Dano fixo'!$I$8="",ISNUMBER(SEARCH(","&amp;'Rotação'!$K13&amp;",",","&amp;SUBSTITUTE('Dano fixo'!$I$8,", ",",")&amp;",")))),1,0)</f>
        <v>0</v>
      </c>
      <c r="U13" s="2">
        <f t="shared" si="7"/>
        <v>0</v>
      </c>
      <c r="V13" s="2">
        <f>T13*IF('Dano fixo'!$J$8="",$A13,MIN($A13,MAX(0,'Dano fixo'!$J$8-U12)))</f>
        <v>0</v>
      </c>
      <c r="W13" s="2">
        <f>IF(AND($A13&gt;0,N('Dano fixo'!$L$9)&gt;0,OR('Dano fixo'!$G$9="Todos",ISNUMBER(SEARCH(","&amp;'Rotação'!$I13&amp;",",","&amp;SUBSTITUTE('Dano fixo'!$G$9,", ",",")&amp;","))),OR('Dano fixo'!$H$9="",ISNUMBER(SEARCH(","&amp;'Rotação'!$R13&amp;",",","&amp;SUBSTITUTE('Dano fixo'!$H$9,", ",",")&amp;","))),OR('Dano fixo'!$I$9="",ISNUMBER(SEARCH(","&amp;'Rotação'!$K13&amp;",",","&amp;SUBSTITUTE('Dano fixo'!$I$9,", ",",")&amp;",")))),1,0)</f>
        <v>0</v>
      </c>
      <c r="X13" s="2">
        <f t="shared" si="8"/>
        <v>0</v>
      </c>
      <c r="Y13" s="2">
        <f>W13*IF('Dano fixo'!$J$9="",$A13,MIN($A13,MAX(0,'Dano fixo'!$J$9-X12)))</f>
        <v>0</v>
      </c>
      <c r="Z13" s="2">
        <f>IF(AND($A13&gt;0,N('Dano fixo'!$L$10)&gt;0,OR('Dano fixo'!$G$10="Todos",ISNUMBER(SEARCH(","&amp;'Rotação'!$I13&amp;",",","&amp;SUBSTITUTE('Dano fixo'!$G$10,", ",",")&amp;","))),OR('Dano fixo'!$H$10="",ISNUMBER(SEARCH(","&amp;'Rotação'!$R13&amp;",",","&amp;SUBSTITUTE('Dano fixo'!$H$10,", ",",")&amp;","))),OR('Dano fixo'!$I$10="",ISNUMBER(SEARCH(","&amp;'Rotação'!$K13&amp;",",","&amp;SUBSTITUTE('Dano fixo'!$I$10,", ",",")&amp;",")))),1,0)</f>
        <v>0</v>
      </c>
      <c r="AA13" s="2">
        <f t="shared" si="9"/>
        <v>0</v>
      </c>
      <c r="AB13" s="2">
        <f>Z13*IF('Dano fixo'!$J$10="",$A13,MIN($A13,MAX(0,'Dano fixo'!$J$10-AA12)))</f>
        <v>0</v>
      </c>
      <c r="AC13" s="2">
        <f>IF(AND($A13&gt;0,N('Dano fixo'!$L$11)&gt;0,OR('Dano fixo'!$G$11="Todos",ISNUMBER(SEARCH(","&amp;'Rotação'!$I13&amp;",",","&amp;SUBSTITUTE('Dano fixo'!$G$11,", ",",")&amp;","))),OR('Dano fixo'!$H$11="",ISNUMBER(SEARCH(","&amp;'Rotação'!$R13&amp;",",","&amp;SUBSTITUTE('Dano fixo'!$H$11,", ",",")&amp;","))),OR('Dano fixo'!$I$11="",ISNUMBER(SEARCH(","&amp;'Rotação'!$K13&amp;",",","&amp;SUBSTITUTE('Dano fixo'!$I$11,", ",",")&amp;",")))),1,0)</f>
        <v>0</v>
      </c>
      <c r="AD13" s="2">
        <f t="shared" si="10"/>
        <v>0</v>
      </c>
      <c r="AE13" s="2">
        <f>AC13*IF('Dano fixo'!$J$11="",$A13,MIN($A13,MAX(0,'Dano fixo'!$J$11-AD12)))</f>
        <v>0</v>
      </c>
      <c r="AF13" s="2">
        <f>D13*'Dano fixo'!$L$2+G13*'Dano fixo'!$L$3+J13*'Dano fixo'!$L$4+M13*'Dano fixo'!$L$5+P13*'Dano fixo'!$L$6+S13*'Dano fixo'!$L$7+V13*'Dano fixo'!$L$8+Y13*'Dano fixo'!$L$9+AB13*'Dano fixo'!$L$10+AE13*'Dano fixo'!$L$11</f>
        <v>0</v>
      </c>
    </row>
    <row r="14">
      <c r="A14" s="2">
        <f t="array" ref="A14">IF(ISNUMBER('Rotação'!$J14),IF('Rotação'!$B14="",1,'Rotação'!$B14)*IF(ISNUMBER('Rotação'!$H14),MAX(1,N(INDEX(L_Golpes!$BN$2:$BN$6000,'Rotação'!$H14))),1),0)</f>
        <v>1</v>
      </c>
      <c r="B14" s="2">
        <f>IF(AND($A14&gt;0,N('Dano fixo'!$L$2)&gt;0,OR('Dano fixo'!$G$2="Todos",ISNUMBER(SEARCH(","&amp;'Rotação'!$I14&amp;",",","&amp;SUBSTITUTE('Dano fixo'!$G$2,", ",",")&amp;","))),OR('Dano fixo'!$H$2="",ISNUMBER(SEARCH(","&amp;'Rotação'!$R14&amp;",",","&amp;SUBSTITUTE('Dano fixo'!$H$2,", ",",")&amp;","))),OR('Dano fixo'!$I$2="",ISNUMBER(SEARCH(","&amp;'Rotação'!$K14&amp;",",","&amp;SUBSTITUTE('Dano fixo'!$I$2,", ",",")&amp;",")))),1,0)</f>
        <v>0</v>
      </c>
      <c r="C14" s="2">
        <f t="shared" si="1"/>
        <v>0</v>
      </c>
      <c r="D14" s="2">
        <f>B14*IF('Dano fixo'!$J$2="",$A14,MIN($A14,MAX(0,'Dano fixo'!$J$2-C13)))</f>
        <v>0</v>
      </c>
      <c r="E14" s="2">
        <f>IF(AND($A14&gt;0,N('Dano fixo'!$L$3)&gt;0,OR('Dano fixo'!$G$3="Todos",ISNUMBER(SEARCH(","&amp;'Rotação'!$I14&amp;",",","&amp;SUBSTITUTE('Dano fixo'!$G$3,", ",",")&amp;","))),OR('Dano fixo'!$H$3="",ISNUMBER(SEARCH(","&amp;'Rotação'!$R14&amp;",",","&amp;SUBSTITUTE('Dano fixo'!$H$3,", ",",")&amp;","))),OR('Dano fixo'!$I$3="",ISNUMBER(SEARCH(","&amp;'Rotação'!$K14&amp;",",","&amp;SUBSTITUTE('Dano fixo'!$I$3,", ",",")&amp;",")))),1,0)</f>
        <v>0</v>
      </c>
      <c r="F14" s="2">
        <f t="shared" si="2"/>
        <v>0</v>
      </c>
      <c r="G14" s="2">
        <f>E14*IF('Dano fixo'!$J$3="",$A14,MIN($A14,MAX(0,'Dano fixo'!$J$3-F13)))</f>
        <v>0</v>
      </c>
      <c r="H14" s="2">
        <f>IF(AND($A14&gt;0,N('Dano fixo'!$L$4)&gt;0,OR('Dano fixo'!$G$4="Todos",ISNUMBER(SEARCH(","&amp;'Rotação'!$I14&amp;",",","&amp;SUBSTITUTE('Dano fixo'!$G$4,", ",",")&amp;","))),OR('Dano fixo'!$H$4="",ISNUMBER(SEARCH(","&amp;'Rotação'!$R14&amp;",",","&amp;SUBSTITUTE('Dano fixo'!$H$4,", ",",")&amp;","))),OR('Dano fixo'!$I$4="",ISNUMBER(SEARCH(","&amp;'Rotação'!$K14&amp;",",","&amp;SUBSTITUTE('Dano fixo'!$I$4,", ",",")&amp;",")))),1,0)</f>
        <v>0</v>
      </c>
      <c r="I14" s="2">
        <f t="shared" si="3"/>
        <v>0</v>
      </c>
      <c r="J14" s="2">
        <f>H14*IF('Dano fixo'!$J$4="",$A14,MIN($A14,MAX(0,'Dano fixo'!$J$4-I13)))</f>
        <v>0</v>
      </c>
      <c r="K14" s="2">
        <f>IF(AND($A14&gt;0,N('Dano fixo'!$L$5)&gt;0,OR('Dano fixo'!$G$5="Todos",ISNUMBER(SEARCH(","&amp;'Rotação'!$I14&amp;",",","&amp;SUBSTITUTE('Dano fixo'!$G$5,", ",",")&amp;","))),OR('Dano fixo'!$H$5="",ISNUMBER(SEARCH(","&amp;'Rotação'!$R14&amp;",",","&amp;SUBSTITUTE('Dano fixo'!$H$5,", ",",")&amp;","))),OR('Dano fixo'!$I$5="",ISNUMBER(SEARCH(","&amp;'Rotação'!$K14&amp;",",","&amp;SUBSTITUTE('Dano fixo'!$I$5,", ",",")&amp;",")))),1,0)</f>
        <v>0</v>
      </c>
      <c r="L14" s="2">
        <f t="shared" si="4"/>
        <v>0</v>
      </c>
      <c r="M14" s="2">
        <f>K14*IF('Dano fixo'!$J$5="",$A14,MIN($A14,MAX(0,'Dano fixo'!$J$5-L13)))</f>
        <v>0</v>
      </c>
      <c r="N14" s="2">
        <f>IF(AND($A14&gt;0,N('Dano fixo'!$L$6)&gt;0,OR('Dano fixo'!$G$6="Todos",ISNUMBER(SEARCH(","&amp;'Rotação'!$I14&amp;",",","&amp;SUBSTITUTE('Dano fixo'!$G$6,", ",",")&amp;","))),OR('Dano fixo'!$H$6="",ISNUMBER(SEARCH(","&amp;'Rotação'!$R14&amp;",",","&amp;SUBSTITUTE('Dano fixo'!$H$6,", ",",")&amp;","))),OR('Dano fixo'!$I$6="",ISNUMBER(SEARCH(","&amp;'Rotação'!$K14&amp;",",","&amp;SUBSTITUTE('Dano fixo'!$I$6,", ",",")&amp;",")))),1,0)</f>
        <v>0</v>
      </c>
      <c r="O14" s="2">
        <f t="shared" si="5"/>
        <v>0</v>
      </c>
      <c r="P14" s="2">
        <f>N14*IF('Dano fixo'!$J$6="",$A14,MIN($A14,MAX(0,'Dano fixo'!$J$6-O13)))</f>
        <v>0</v>
      </c>
      <c r="Q14" s="2">
        <f>IF(AND($A14&gt;0,N('Dano fixo'!$L$7)&gt;0,OR('Dano fixo'!$G$7="Todos",ISNUMBER(SEARCH(","&amp;'Rotação'!$I14&amp;",",","&amp;SUBSTITUTE('Dano fixo'!$G$7,", ",",")&amp;","))),OR('Dano fixo'!$H$7="",ISNUMBER(SEARCH(","&amp;'Rotação'!$R14&amp;",",","&amp;SUBSTITUTE('Dano fixo'!$H$7,", ",",")&amp;","))),OR('Dano fixo'!$I$7="",ISNUMBER(SEARCH(","&amp;'Rotação'!$K14&amp;",",","&amp;SUBSTITUTE('Dano fixo'!$I$7,", ",",")&amp;",")))),1,0)</f>
        <v>0</v>
      </c>
      <c r="R14" s="2">
        <f t="shared" si="6"/>
        <v>0</v>
      </c>
      <c r="S14" s="2">
        <f>Q14*IF('Dano fixo'!$J$7="",$A14,MIN($A14,MAX(0,'Dano fixo'!$J$7-R13)))</f>
        <v>0</v>
      </c>
      <c r="T14" s="2">
        <f>IF(AND($A14&gt;0,N('Dano fixo'!$L$8)&gt;0,OR('Dano fixo'!$G$8="Todos",ISNUMBER(SEARCH(","&amp;'Rotação'!$I14&amp;",",","&amp;SUBSTITUTE('Dano fixo'!$G$8,", ",",")&amp;","))),OR('Dano fixo'!$H$8="",ISNUMBER(SEARCH(","&amp;'Rotação'!$R14&amp;",",","&amp;SUBSTITUTE('Dano fixo'!$H$8,", ",",")&amp;","))),OR('Dano fixo'!$I$8="",ISNUMBER(SEARCH(","&amp;'Rotação'!$K14&amp;",",","&amp;SUBSTITUTE('Dano fixo'!$I$8,", ",",")&amp;",")))),1,0)</f>
        <v>0</v>
      </c>
      <c r="U14" s="2">
        <f t="shared" si="7"/>
        <v>0</v>
      </c>
      <c r="V14" s="2">
        <f>T14*IF('Dano fixo'!$J$8="",$A14,MIN($A14,MAX(0,'Dano fixo'!$J$8-U13)))</f>
        <v>0</v>
      </c>
      <c r="W14" s="2">
        <f>IF(AND($A14&gt;0,N('Dano fixo'!$L$9)&gt;0,OR('Dano fixo'!$G$9="Todos",ISNUMBER(SEARCH(","&amp;'Rotação'!$I14&amp;",",","&amp;SUBSTITUTE('Dano fixo'!$G$9,", ",",")&amp;","))),OR('Dano fixo'!$H$9="",ISNUMBER(SEARCH(","&amp;'Rotação'!$R14&amp;",",","&amp;SUBSTITUTE('Dano fixo'!$H$9,", ",",")&amp;","))),OR('Dano fixo'!$I$9="",ISNUMBER(SEARCH(","&amp;'Rotação'!$K14&amp;",",","&amp;SUBSTITUTE('Dano fixo'!$I$9,", ",",")&amp;",")))),1,0)</f>
        <v>0</v>
      </c>
      <c r="X14" s="2">
        <f t="shared" si="8"/>
        <v>0</v>
      </c>
      <c r="Y14" s="2">
        <f>W14*IF('Dano fixo'!$J$9="",$A14,MIN($A14,MAX(0,'Dano fixo'!$J$9-X13)))</f>
        <v>0</v>
      </c>
      <c r="Z14" s="2">
        <f>IF(AND($A14&gt;0,N('Dano fixo'!$L$10)&gt;0,OR('Dano fixo'!$G$10="Todos",ISNUMBER(SEARCH(","&amp;'Rotação'!$I14&amp;",",","&amp;SUBSTITUTE('Dano fixo'!$G$10,", ",",")&amp;","))),OR('Dano fixo'!$H$10="",ISNUMBER(SEARCH(","&amp;'Rotação'!$R14&amp;",",","&amp;SUBSTITUTE('Dano fixo'!$H$10,", ",",")&amp;","))),OR('Dano fixo'!$I$10="",ISNUMBER(SEARCH(","&amp;'Rotação'!$K14&amp;",",","&amp;SUBSTITUTE('Dano fixo'!$I$10,", ",",")&amp;",")))),1,0)</f>
        <v>0</v>
      </c>
      <c r="AA14" s="2">
        <f t="shared" si="9"/>
        <v>0</v>
      </c>
      <c r="AB14" s="2">
        <f>Z14*IF('Dano fixo'!$J$10="",$A14,MIN($A14,MAX(0,'Dano fixo'!$J$10-AA13)))</f>
        <v>0</v>
      </c>
      <c r="AC14" s="2">
        <f>IF(AND($A14&gt;0,N('Dano fixo'!$L$11)&gt;0,OR('Dano fixo'!$G$11="Todos",ISNUMBER(SEARCH(","&amp;'Rotação'!$I14&amp;",",","&amp;SUBSTITUTE('Dano fixo'!$G$11,", ",",")&amp;","))),OR('Dano fixo'!$H$11="",ISNUMBER(SEARCH(","&amp;'Rotação'!$R14&amp;",",","&amp;SUBSTITUTE('Dano fixo'!$H$11,", ",",")&amp;","))),OR('Dano fixo'!$I$11="",ISNUMBER(SEARCH(","&amp;'Rotação'!$K14&amp;",",","&amp;SUBSTITUTE('Dano fixo'!$I$11,", ",",")&amp;",")))),1,0)</f>
        <v>0</v>
      </c>
      <c r="AD14" s="2">
        <f t="shared" si="10"/>
        <v>0</v>
      </c>
      <c r="AE14" s="2">
        <f>AC14*IF('Dano fixo'!$J$11="",$A14,MIN($A14,MAX(0,'Dano fixo'!$J$11-AD13)))</f>
        <v>0</v>
      </c>
      <c r="AF14" s="2">
        <f>D14*'Dano fixo'!$L$2+G14*'Dano fixo'!$L$3+J14*'Dano fixo'!$L$4+M14*'Dano fixo'!$L$5+P14*'Dano fixo'!$L$6+S14*'Dano fixo'!$L$7+V14*'Dano fixo'!$L$8+Y14*'Dano fixo'!$L$9+AB14*'Dano fixo'!$L$10+AE14*'Dano fixo'!$L$11</f>
        <v>0</v>
      </c>
    </row>
    <row r="15">
      <c r="A15" s="2">
        <f t="array" ref="A15">IF(ISNUMBER('Rotação'!$J15),IF('Rotação'!$B15="",1,'Rotação'!$B15)*IF(ISNUMBER('Rotação'!$H15),MAX(1,N(INDEX(L_Golpes!$BN$2:$BN$6000,'Rotação'!$H15))),1),0)</f>
        <v>1</v>
      </c>
      <c r="B15" s="2">
        <f>IF(AND($A15&gt;0,N('Dano fixo'!$L$2)&gt;0,OR('Dano fixo'!$G$2="Todos",ISNUMBER(SEARCH(","&amp;'Rotação'!$I15&amp;",",","&amp;SUBSTITUTE('Dano fixo'!$G$2,", ",",")&amp;","))),OR('Dano fixo'!$H$2="",ISNUMBER(SEARCH(","&amp;'Rotação'!$R15&amp;",",","&amp;SUBSTITUTE('Dano fixo'!$H$2,", ",",")&amp;","))),OR('Dano fixo'!$I$2="",ISNUMBER(SEARCH(","&amp;'Rotação'!$K15&amp;",",","&amp;SUBSTITUTE('Dano fixo'!$I$2,", ",",")&amp;",")))),1,0)</f>
        <v>0</v>
      </c>
      <c r="C15" s="2">
        <f t="shared" si="1"/>
        <v>0</v>
      </c>
      <c r="D15" s="2">
        <f>B15*IF('Dano fixo'!$J$2="",$A15,MIN($A15,MAX(0,'Dano fixo'!$J$2-C14)))</f>
        <v>0</v>
      </c>
      <c r="E15" s="2">
        <f>IF(AND($A15&gt;0,N('Dano fixo'!$L$3)&gt;0,OR('Dano fixo'!$G$3="Todos",ISNUMBER(SEARCH(","&amp;'Rotação'!$I15&amp;",",","&amp;SUBSTITUTE('Dano fixo'!$G$3,", ",",")&amp;","))),OR('Dano fixo'!$H$3="",ISNUMBER(SEARCH(","&amp;'Rotação'!$R15&amp;",",","&amp;SUBSTITUTE('Dano fixo'!$H$3,", ",",")&amp;","))),OR('Dano fixo'!$I$3="",ISNUMBER(SEARCH(","&amp;'Rotação'!$K15&amp;",",","&amp;SUBSTITUTE('Dano fixo'!$I$3,", ",",")&amp;",")))),1,0)</f>
        <v>0</v>
      </c>
      <c r="F15" s="2">
        <f t="shared" si="2"/>
        <v>0</v>
      </c>
      <c r="G15" s="2">
        <f>E15*IF('Dano fixo'!$J$3="",$A15,MIN($A15,MAX(0,'Dano fixo'!$J$3-F14)))</f>
        <v>0</v>
      </c>
      <c r="H15" s="2">
        <f>IF(AND($A15&gt;0,N('Dano fixo'!$L$4)&gt;0,OR('Dano fixo'!$G$4="Todos",ISNUMBER(SEARCH(","&amp;'Rotação'!$I15&amp;",",","&amp;SUBSTITUTE('Dano fixo'!$G$4,", ",",")&amp;","))),OR('Dano fixo'!$H$4="",ISNUMBER(SEARCH(","&amp;'Rotação'!$R15&amp;",",","&amp;SUBSTITUTE('Dano fixo'!$H$4,", ",",")&amp;","))),OR('Dano fixo'!$I$4="",ISNUMBER(SEARCH(","&amp;'Rotação'!$K15&amp;",",","&amp;SUBSTITUTE('Dano fixo'!$I$4,", ",",")&amp;",")))),1,0)</f>
        <v>0</v>
      </c>
      <c r="I15" s="2">
        <f t="shared" si="3"/>
        <v>0</v>
      </c>
      <c r="J15" s="2">
        <f>H15*IF('Dano fixo'!$J$4="",$A15,MIN($A15,MAX(0,'Dano fixo'!$J$4-I14)))</f>
        <v>0</v>
      </c>
      <c r="K15" s="2">
        <f>IF(AND($A15&gt;0,N('Dano fixo'!$L$5)&gt;0,OR('Dano fixo'!$G$5="Todos",ISNUMBER(SEARCH(","&amp;'Rotação'!$I15&amp;",",","&amp;SUBSTITUTE('Dano fixo'!$G$5,", ",",")&amp;","))),OR('Dano fixo'!$H$5="",ISNUMBER(SEARCH(","&amp;'Rotação'!$R15&amp;",",","&amp;SUBSTITUTE('Dano fixo'!$H$5,", ",",")&amp;","))),OR('Dano fixo'!$I$5="",ISNUMBER(SEARCH(","&amp;'Rotação'!$K15&amp;",",","&amp;SUBSTITUTE('Dano fixo'!$I$5,", ",",")&amp;",")))),1,0)</f>
        <v>0</v>
      </c>
      <c r="L15" s="2">
        <f t="shared" si="4"/>
        <v>0</v>
      </c>
      <c r="M15" s="2">
        <f>K15*IF('Dano fixo'!$J$5="",$A15,MIN($A15,MAX(0,'Dano fixo'!$J$5-L14)))</f>
        <v>0</v>
      </c>
      <c r="N15" s="2">
        <f>IF(AND($A15&gt;0,N('Dano fixo'!$L$6)&gt;0,OR('Dano fixo'!$G$6="Todos",ISNUMBER(SEARCH(","&amp;'Rotação'!$I15&amp;",",","&amp;SUBSTITUTE('Dano fixo'!$G$6,", ",",")&amp;","))),OR('Dano fixo'!$H$6="",ISNUMBER(SEARCH(","&amp;'Rotação'!$R15&amp;",",","&amp;SUBSTITUTE('Dano fixo'!$H$6,", ",",")&amp;","))),OR('Dano fixo'!$I$6="",ISNUMBER(SEARCH(","&amp;'Rotação'!$K15&amp;",",","&amp;SUBSTITUTE('Dano fixo'!$I$6,", ",",")&amp;",")))),1,0)</f>
        <v>0</v>
      </c>
      <c r="O15" s="2">
        <f t="shared" si="5"/>
        <v>0</v>
      </c>
      <c r="P15" s="2">
        <f>N15*IF('Dano fixo'!$J$6="",$A15,MIN($A15,MAX(0,'Dano fixo'!$J$6-O14)))</f>
        <v>0</v>
      </c>
      <c r="Q15" s="2">
        <f>IF(AND($A15&gt;0,N('Dano fixo'!$L$7)&gt;0,OR('Dano fixo'!$G$7="Todos",ISNUMBER(SEARCH(","&amp;'Rotação'!$I15&amp;",",","&amp;SUBSTITUTE('Dano fixo'!$G$7,", ",",")&amp;","))),OR('Dano fixo'!$H$7="",ISNUMBER(SEARCH(","&amp;'Rotação'!$R15&amp;",",","&amp;SUBSTITUTE('Dano fixo'!$H$7,", ",",")&amp;","))),OR('Dano fixo'!$I$7="",ISNUMBER(SEARCH(","&amp;'Rotação'!$K15&amp;",",","&amp;SUBSTITUTE('Dano fixo'!$I$7,", ",",")&amp;",")))),1,0)</f>
        <v>0</v>
      </c>
      <c r="R15" s="2">
        <f t="shared" si="6"/>
        <v>0</v>
      </c>
      <c r="S15" s="2">
        <f>Q15*IF('Dano fixo'!$J$7="",$A15,MIN($A15,MAX(0,'Dano fixo'!$J$7-R14)))</f>
        <v>0</v>
      </c>
      <c r="T15" s="2">
        <f>IF(AND($A15&gt;0,N('Dano fixo'!$L$8)&gt;0,OR('Dano fixo'!$G$8="Todos",ISNUMBER(SEARCH(","&amp;'Rotação'!$I15&amp;",",","&amp;SUBSTITUTE('Dano fixo'!$G$8,", ",",")&amp;","))),OR('Dano fixo'!$H$8="",ISNUMBER(SEARCH(","&amp;'Rotação'!$R15&amp;",",","&amp;SUBSTITUTE('Dano fixo'!$H$8,", ",",")&amp;","))),OR('Dano fixo'!$I$8="",ISNUMBER(SEARCH(","&amp;'Rotação'!$K15&amp;",",","&amp;SUBSTITUTE('Dano fixo'!$I$8,", ",",")&amp;",")))),1,0)</f>
        <v>0</v>
      </c>
      <c r="U15" s="2">
        <f t="shared" si="7"/>
        <v>0</v>
      </c>
      <c r="V15" s="2">
        <f>T15*IF('Dano fixo'!$J$8="",$A15,MIN($A15,MAX(0,'Dano fixo'!$J$8-U14)))</f>
        <v>0</v>
      </c>
      <c r="W15" s="2">
        <f>IF(AND($A15&gt;0,N('Dano fixo'!$L$9)&gt;0,OR('Dano fixo'!$G$9="Todos",ISNUMBER(SEARCH(","&amp;'Rotação'!$I15&amp;",",","&amp;SUBSTITUTE('Dano fixo'!$G$9,", ",",")&amp;","))),OR('Dano fixo'!$H$9="",ISNUMBER(SEARCH(","&amp;'Rotação'!$R15&amp;",",","&amp;SUBSTITUTE('Dano fixo'!$H$9,", ",",")&amp;","))),OR('Dano fixo'!$I$9="",ISNUMBER(SEARCH(","&amp;'Rotação'!$K15&amp;",",","&amp;SUBSTITUTE('Dano fixo'!$I$9,", ",",")&amp;",")))),1,0)</f>
        <v>0</v>
      </c>
      <c r="X15" s="2">
        <f t="shared" si="8"/>
        <v>0</v>
      </c>
      <c r="Y15" s="2">
        <f>W15*IF('Dano fixo'!$J$9="",$A15,MIN($A15,MAX(0,'Dano fixo'!$J$9-X14)))</f>
        <v>0</v>
      </c>
      <c r="Z15" s="2">
        <f>IF(AND($A15&gt;0,N('Dano fixo'!$L$10)&gt;0,OR('Dano fixo'!$G$10="Todos",ISNUMBER(SEARCH(","&amp;'Rotação'!$I15&amp;",",","&amp;SUBSTITUTE('Dano fixo'!$G$10,", ",",")&amp;","))),OR('Dano fixo'!$H$10="",ISNUMBER(SEARCH(","&amp;'Rotação'!$R15&amp;",",","&amp;SUBSTITUTE('Dano fixo'!$H$10,", ",",")&amp;","))),OR('Dano fixo'!$I$10="",ISNUMBER(SEARCH(","&amp;'Rotação'!$K15&amp;",",","&amp;SUBSTITUTE('Dano fixo'!$I$10,", ",",")&amp;",")))),1,0)</f>
        <v>0</v>
      </c>
      <c r="AA15" s="2">
        <f t="shared" si="9"/>
        <v>0</v>
      </c>
      <c r="AB15" s="2">
        <f>Z15*IF('Dano fixo'!$J$10="",$A15,MIN($A15,MAX(0,'Dano fixo'!$J$10-AA14)))</f>
        <v>0</v>
      </c>
      <c r="AC15" s="2">
        <f>IF(AND($A15&gt;0,N('Dano fixo'!$L$11)&gt;0,OR('Dano fixo'!$G$11="Todos",ISNUMBER(SEARCH(","&amp;'Rotação'!$I15&amp;",",","&amp;SUBSTITUTE('Dano fixo'!$G$11,", ",",")&amp;","))),OR('Dano fixo'!$H$11="",ISNUMBER(SEARCH(","&amp;'Rotação'!$R15&amp;",",","&amp;SUBSTITUTE('Dano fixo'!$H$11,", ",",")&amp;","))),OR('Dano fixo'!$I$11="",ISNUMBER(SEARCH(","&amp;'Rotação'!$K15&amp;",",","&amp;SUBSTITUTE('Dano fixo'!$I$11,", ",",")&amp;",")))),1,0)</f>
        <v>0</v>
      </c>
      <c r="AD15" s="2">
        <f t="shared" si="10"/>
        <v>0</v>
      </c>
      <c r="AE15" s="2">
        <f>AC15*IF('Dano fixo'!$J$11="",$A15,MIN($A15,MAX(0,'Dano fixo'!$J$11-AD14)))</f>
        <v>0</v>
      </c>
      <c r="AF15" s="2">
        <f>D15*'Dano fixo'!$L$2+G15*'Dano fixo'!$L$3+J15*'Dano fixo'!$L$4+M15*'Dano fixo'!$L$5+P15*'Dano fixo'!$L$6+S15*'Dano fixo'!$L$7+V15*'Dano fixo'!$L$8+Y15*'Dano fixo'!$L$9+AB15*'Dano fixo'!$L$10+AE15*'Dano fixo'!$L$11</f>
        <v>0</v>
      </c>
    </row>
    <row r="16">
      <c r="A16" s="2">
        <f t="array" ref="A16">IF(ISNUMBER('Rotação'!$J16),IF('Rotação'!$B16="",1,'Rotação'!$B16)*IF(ISNUMBER('Rotação'!$H16),MAX(1,N(INDEX(L_Golpes!$BN$2:$BN$6000,'Rotação'!$H16))),1),0)</f>
        <v>1</v>
      </c>
      <c r="B16" s="2">
        <f>IF(AND($A16&gt;0,N('Dano fixo'!$L$2)&gt;0,OR('Dano fixo'!$G$2="Todos",ISNUMBER(SEARCH(","&amp;'Rotação'!$I16&amp;",",","&amp;SUBSTITUTE('Dano fixo'!$G$2,", ",",")&amp;","))),OR('Dano fixo'!$H$2="",ISNUMBER(SEARCH(","&amp;'Rotação'!$R16&amp;",",","&amp;SUBSTITUTE('Dano fixo'!$H$2,", ",",")&amp;","))),OR('Dano fixo'!$I$2="",ISNUMBER(SEARCH(","&amp;'Rotação'!$K16&amp;",",","&amp;SUBSTITUTE('Dano fixo'!$I$2,", ",",")&amp;",")))),1,0)</f>
        <v>0</v>
      </c>
      <c r="C16" s="2">
        <f t="shared" si="1"/>
        <v>0</v>
      </c>
      <c r="D16" s="2">
        <f>B16*IF('Dano fixo'!$J$2="",$A16,MIN($A16,MAX(0,'Dano fixo'!$J$2-C15)))</f>
        <v>0</v>
      </c>
      <c r="E16" s="2">
        <f>IF(AND($A16&gt;0,N('Dano fixo'!$L$3)&gt;0,OR('Dano fixo'!$G$3="Todos",ISNUMBER(SEARCH(","&amp;'Rotação'!$I16&amp;",",","&amp;SUBSTITUTE('Dano fixo'!$G$3,", ",",")&amp;","))),OR('Dano fixo'!$H$3="",ISNUMBER(SEARCH(","&amp;'Rotação'!$R16&amp;",",","&amp;SUBSTITUTE('Dano fixo'!$H$3,", ",",")&amp;","))),OR('Dano fixo'!$I$3="",ISNUMBER(SEARCH(","&amp;'Rotação'!$K16&amp;",",","&amp;SUBSTITUTE('Dano fixo'!$I$3,", ",",")&amp;",")))),1,0)</f>
        <v>0</v>
      </c>
      <c r="F16" s="2">
        <f t="shared" si="2"/>
        <v>0</v>
      </c>
      <c r="G16" s="2">
        <f>E16*IF('Dano fixo'!$J$3="",$A16,MIN($A16,MAX(0,'Dano fixo'!$J$3-F15)))</f>
        <v>0</v>
      </c>
      <c r="H16" s="2">
        <f>IF(AND($A16&gt;0,N('Dano fixo'!$L$4)&gt;0,OR('Dano fixo'!$G$4="Todos",ISNUMBER(SEARCH(","&amp;'Rotação'!$I16&amp;",",","&amp;SUBSTITUTE('Dano fixo'!$G$4,", ",",")&amp;","))),OR('Dano fixo'!$H$4="",ISNUMBER(SEARCH(","&amp;'Rotação'!$R16&amp;",",","&amp;SUBSTITUTE('Dano fixo'!$H$4,", ",",")&amp;","))),OR('Dano fixo'!$I$4="",ISNUMBER(SEARCH(","&amp;'Rotação'!$K16&amp;",",","&amp;SUBSTITUTE('Dano fixo'!$I$4,", ",",")&amp;",")))),1,0)</f>
        <v>0</v>
      </c>
      <c r="I16" s="2">
        <f t="shared" si="3"/>
        <v>0</v>
      </c>
      <c r="J16" s="2">
        <f>H16*IF('Dano fixo'!$J$4="",$A16,MIN($A16,MAX(0,'Dano fixo'!$J$4-I15)))</f>
        <v>0</v>
      </c>
      <c r="K16" s="2">
        <f>IF(AND($A16&gt;0,N('Dano fixo'!$L$5)&gt;0,OR('Dano fixo'!$G$5="Todos",ISNUMBER(SEARCH(","&amp;'Rotação'!$I16&amp;",",","&amp;SUBSTITUTE('Dano fixo'!$G$5,", ",",")&amp;","))),OR('Dano fixo'!$H$5="",ISNUMBER(SEARCH(","&amp;'Rotação'!$R16&amp;",",","&amp;SUBSTITUTE('Dano fixo'!$H$5,", ",",")&amp;","))),OR('Dano fixo'!$I$5="",ISNUMBER(SEARCH(","&amp;'Rotação'!$K16&amp;",",","&amp;SUBSTITUTE('Dano fixo'!$I$5,", ",",")&amp;",")))),1,0)</f>
        <v>0</v>
      </c>
      <c r="L16" s="2">
        <f t="shared" si="4"/>
        <v>0</v>
      </c>
      <c r="M16" s="2">
        <f>K16*IF('Dano fixo'!$J$5="",$A16,MIN($A16,MAX(0,'Dano fixo'!$J$5-L15)))</f>
        <v>0</v>
      </c>
      <c r="N16" s="2">
        <f>IF(AND($A16&gt;0,N('Dano fixo'!$L$6)&gt;0,OR('Dano fixo'!$G$6="Todos",ISNUMBER(SEARCH(","&amp;'Rotação'!$I16&amp;",",","&amp;SUBSTITUTE('Dano fixo'!$G$6,", ",",")&amp;","))),OR('Dano fixo'!$H$6="",ISNUMBER(SEARCH(","&amp;'Rotação'!$R16&amp;",",","&amp;SUBSTITUTE('Dano fixo'!$H$6,", ",",")&amp;","))),OR('Dano fixo'!$I$6="",ISNUMBER(SEARCH(","&amp;'Rotação'!$K16&amp;",",","&amp;SUBSTITUTE('Dano fixo'!$I$6,", ",",")&amp;",")))),1,0)</f>
        <v>0</v>
      </c>
      <c r="O16" s="2">
        <f t="shared" si="5"/>
        <v>0</v>
      </c>
      <c r="P16" s="2">
        <f>N16*IF('Dano fixo'!$J$6="",$A16,MIN($A16,MAX(0,'Dano fixo'!$J$6-O15)))</f>
        <v>0</v>
      </c>
      <c r="Q16" s="2">
        <f>IF(AND($A16&gt;0,N('Dano fixo'!$L$7)&gt;0,OR('Dano fixo'!$G$7="Todos",ISNUMBER(SEARCH(","&amp;'Rotação'!$I16&amp;",",","&amp;SUBSTITUTE('Dano fixo'!$G$7,", ",",")&amp;","))),OR('Dano fixo'!$H$7="",ISNUMBER(SEARCH(","&amp;'Rotação'!$R16&amp;",",","&amp;SUBSTITUTE('Dano fixo'!$H$7,", ",",")&amp;","))),OR('Dano fixo'!$I$7="",ISNUMBER(SEARCH(","&amp;'Rotação'!$K16&amp;",",","&amp;SUBSTITUTE('Dano fixo'!$I$7,", ",",")&amp;",")))),1,0)</f>
        <v>0</v>
      </c>
      <c r="R16" s="2">
        <f t="shared" si="6"/>
        <v>0</v>
      </c>
      <c r="S16" s="2">
        <f>Q16*IF('Dano fixo'!$J$7="",$A16,MIN($A16,MAX(0,'Dano fixo'!$J$7-R15)))</f>
        <v>0</v>
      </c>
      <c r="T16" s="2">
        <f>IF(AND($A16&gt;0,N('Dano fixo'!$L$8)&gt;0,OR('Dano fixo'!$G$8="Todos",ISNUMBER(SEARCH(","&amp;'Rotação'!$I16&amp;",",","&amp;SUBSTITUTE('Dano fixo'!$G$8,", ",",")&amp;","))),OR('Dano fixo'!$H$8="",ISNUMBER(SEARCH(","&amp;'Rotação'!$R16&amp;",",","&amp;SUBSTITUTE('Dano fixo'!$H$8,", ",",")&amp;","))),OR('Dano fixo'!$I$8="",ISNUMBER(SEARCH(","&amp;'Rotação'!$K16&amp;",",","&amp;SUBSTITUTE('Dano fixo'!$I$8,", ",",")&amp;",")))),1,0)</f>
        <v>0</v>
      </c>
      <c r="U16" s="2">
        <f t="shared" si="7"/>
        <v>0</v>
      </c>
      <c r="V16" s="2">
        <f>T16*IF('Dano fixo'!$J$8="",$A16,MIN($A16,MAX(0,'Dano fixo'!$J$8-U15)))</f>
        <v>0</v>
      </c>
      <c r="W16" s="2">
        <f>IF(AND($A16&gt;0,N('Dano fixo'!$L$9)&gt;0,OR('Dano fixo'!$G$9="Todos",ISNUMBER(SEARCH(","&amp;'Rotação'!$I16&amp;",",","&amp;SUBSTITUTE('Dano fixo'!$G$9,", ",",")&amp;","))),OR('Dano fixo'!$H$9="",ISNUMBER(SEARCH(","&amp;'Rotação'!$R16&amp;",",","&amp;SUBSTITUTE('Dano fixo'!$H$9,", ",",")&amp;","))),OR('Dano fixo'!$I$9="",ISNUMBER(SEARCH(","&amp;'Rotação'!$K16&amp;",",","&amp;SUBSTITUTE('Dano fixo'!$I$9,", ",",")&amp;",")))),1,0)</f>
        <v>0</v>
      </c>
      <c r="X16" s="2">
        <f t="shared" si="8"/>
        <v>0</v>
      </c>
      <c r="Y16" s="2">
        <f>W16*IF('Dano fixo'!$J$9="",$A16,MIN($A16,MAX(0,'Dano fixo'!$J$9-X15)))</f>
        <v>0</v>
      </c>
      <c r="Z16" s="2">
        <f>IF(AND($A16&gt;0,N('Dano fixo'!$L$10)&gt;0,OR('Dano fixo'!$G$10="Todos",ISNUMBER(SEARCH(","&amp;'Rotação'!$I16&amp;",",","&amp;SUBSTITUTE('Dano fixo'!$G$10,", ",",")&amp;","))),OR('Dano fixo'!$H$10="",ISNUMBER(SEARCH(","&amp;'Rotação'!$R16&amp;",",","&amp;SUBSTITUTE('Dano fixo'!$H$10,", ",",")&amp;","))),OR('Dano fixo'!$I$10="",ISNUMBER(SEARCH(","&amp;'Rotação'!$K16&amp;",",","&amp;SUBSTITUTE('Dano fixo'!$I$10,", ",",")&amp;",")))),1,0)</f>
        <v>0</v>
      </c>
      <c r="AA16" s="2">
        <f t="shared" si="9"/>
        <v>0</v>
      </c>
      <c r="AB16" s="2">
        <f>Z16*IF('Dano fixo'!$J$10="",$A16,MIN($A16,MAX(0,'Dano fixo'!$J$10-AA15)))</f>
        <v>0</v>
      </c>
      <c r="AC16" s="2">
        <f>IF(AND($A16&gt;0,N('Dano fixo'!$L$11)&gt;0,OR('Dano fixo'!$G$11="Todos",ISNUMBER(SEARCH(","&amp;'Rotação'!$I16&amp;",",","&amp;SUBSTITUTE('Dano fixo'!$G$11,", ",",")&amp;","))),OR('Dano fixo'!$H$11="",ISNUMBER(SEARCH(","&amp;'Rotação'!$R16&amp;",",","&amp;SUBSTITUTE('Dano fixo'!$H$11,", ",",")&amp;","))),OR('Dano fixo'!$I$11="",ISNUMBER(SEARCH(","&amp;'Rotação'!$K16&amp;",",","&amp;SUBSTITUTE('Dano fixo'!$I$11,", ",",")&amp;",")))),1,0)</f>
        <v>0</v>
      </c>
      <c r="AD16" s="2">
        <f t="shared" si="10"/>
        <v>0</v>
      </c>
      <c r="AE16" s="2">
        <f>AC16*IF('Dano fixo'!$J$11="",$A16,MIN($A16,MAX(0,'Dano fixo'!$J$11-AD15)))</f>
        <v>0</v>
      </c>
      <c r="AF16" s="2">
        <f>D16*'Dano fixo'!$L$2+G16*'Dano fixo'!$L$3+J16*'Dano fixo'!$L$4+M16*'Dano fixo'!$L$5+P16*'Dano fixo'!$L$6+S16*'Dano fixo'!$L$7+V16*'Dano fixo'!$L$8+Y16*'Dano fixo'!$L$9+AB16*'Dano fixo'!$L$10+AE16*'Dano fixo'!$L$11</f>
        <v>0</v>
      </c>
    </row>
    <row r="17">
      <c r="A17" s="2">
        <f t="array" ref="A17">IF(ISNUMBER('Rotação'!$J17),IF('Rotação'!$B17="",1,'Rotação'!$B17)*IF(ISNUMBER('Rotação'!$H17),MAX(1,N(INDEX(L_Golpes!$BN$2:$BN$6000,'Rotação'!$H17))),1),0)</f>
        <v>1</v>
      </c>
      <c r="B17" s="2">
        <f>IF(AND($A17&gt;0,N('Dano fixo'!$L$2)&gt;0,OR('Dano fixo'!$G$2="Todos",ISNUMBER(SEARCH(","&amp;'Rotação'!$I17&amp;",",","&amp;SUBSTITUTE('Dano fixo'!$G$2,", ",",")&amp;","))),OR('Dano fixo'!$H$2="",ISNUMBER(SEARCH(","&amp;'Rotação'!$R17&amp;",",","&amp;SUBSTITUTE('Dano fixo'!$H$2,", ",",")&amp;","))),OR('Dano fixo'!$I$2="",ISNUMBER(SEARCH(","&amp;'Rotação'!$K17&amp;",",","&amp;SUBSTITUTE('Dano fixo'!$I$2,", ",",")&amp;",")))),1,0)</f>
        <v>0</v>
      </c>
      <c r="C17" s="2">
        <f t="shared" si="1"/>
        <v>0</v>
      </c>
      <c r="D17" s="2">
        <f>B17*IF('Dano fixo'!$J$2="",$A17,MIN($A17,MAX(0,'Dano fixo'!$J$2-C16)))</f>
        <v>0</v>
      </c>
      <c r="E17" s="2">
        <f>IF(AND($A17&gt;0,N('Dano fixo'!$L$3)&gt;0,OR('Dano fixo'!$G$3="Todos",ISNUMBER(SEARCH(","&amp;'Rotação'!$I17&amp;",",","&amp;SUBSTITUTE('Dano fixo'!$G$3,", ",",")&amp;","))),OR('Dano fixo'!$H$3="",ISNUMBER(SEARCH(","&amp;'Rotação'!$R17&amp;",",","&amp;SUBSTITUTE('Dano fixo'!$H$3,", ",",")&amp;","))),OR('Dano fixo'!$I$3="",ISNUMBER(SEARCH(","&amp;'Rotação'!$K17&amp;",",","&amp;SUBSTITUTE('Dano fixo'!$I$3,", ",",")&amp;",")))),1,0)</f>
        <v>0</v>
      </c>
      <c r="F17" s="2">
        <f t="shared" si="2"/>
        <v>0</v>
      </c>
      <c r="G17" s="2">
        <f>E17*IF('Dano fixo'!$J$3="",$A17,MIN($A17,MAX(0,'Dano fixo'!$J$3-F16)))</f>
        <v>0</v>
      </c>
      <c r="H17" s="2">
        <f>IF(AND($A17&gt;0,N('Dano fixo'!$L$4)&gt;0,OR('Dano fixo'!$G$4="Todos",ISNUMBER(SEARCH(","&amp;'Rotação'!$I17&amp;",",","&amp;SUBSTITUTE('Dano fixo'!$G$4,", ",",")&amp;","))),OR('Dano fixo'!$H$4="",ISNUMBER(SEARCH(","&amp;'Rotação'!$R17&amp;",",","&amp;SUBSTITUTE('Dano fixo'!$H$4,", ",",")&amp;","))),OR('Dano fixo'!$I$4="",ISNUMBER(SEARCH(","&amp;'Rotação'!$K17&amp;",",","&amp;SUBSTITUTE('Dano fixo'!$I$4,", ",",")&amp;",")))),1,0)</f>
        <v>0</v>
      </c>
      <c r="I17" s="2">
        <f t="shared" si="3"/>
        <v>0</v>
      </c>
      <c r="J17" s="2">
        <f>H17*IF('Dano fixo'!$J$4="",$A17,MIN($A17,MAX(0,'Dano fixo'!$J$4-I16)))</f>
        <v>0</v>
      </c>
      <c r="K17" s="2">
        <f>IF(AND($A17&gt;0,N('Dano fixo'!$L$5)&gt;0,OR('Dano fixo'!$G$5="Todos",ISNUMBER(SEARCH(","&amp;'Rotação'!$I17&amp;",",","&amp;SUBSTITUTE('Dano fixo'!$G$5,", ",",")&amp;","))),OR('Dano fixo'!$H$5="",ISNUMBER(SEARCH(","&amp;'Rotação'!$R17&amp;",",","&amp;SUBSTITUTE('Dano fixo'!$H$5,", ",",")&amp;","))),OR('Dano fixo'!$I$5="",ISNUMBER(SEARCH(","&amp;'Rotação'!$K17&amp;",",","&amp;SUBSTITUTE('Dano fixo'!$I$5,", ",",")&amp;",")))),1,0)</f>
        <v>0</v>
      </c>
      <c r="L17" s="2">
        <f t="shared" si="4"/>
        <v>0</v>
      </c>
      <c r="M17" s="2">
        <f>K17*IF('Dano fixo'!$J$5="",$A17,MIN($A17,MAX(0,'Dano fixo'!$J$5-L16)))</f>
        <v>0</v>
      </c>
      <c r="N17" s="2">
        <f>IF(AND($A17&gt;0,N('Dano fixo'!$L$6)&gt;0,OR('Dano fixo'!$G$6="Todos",ISNUMBER(SEARCH(","&amp;'Rotação'!$I17&amp;",",","&amp;SUBSTITUTE('Dano fixo'!$G$6,", ",",")&amp;","))),OR('Dano fixo'!$H$6="",ISNUMBER(SEARCH(","&amp;'Rotação'!$R17&amp;",",","&amp;SUBSTITUTE('Dano fixo'!$H$6,", ",",")&amp;","))),OR('Dano fixo'!$I$6="",ISNUMBER(SEARCH(","&amp;'Rotação'!$K17&amp;",",","&amp;SUBSTITUTE('Dano fixo'!$I$6,", ",",")&amp;",")))),1,0)</f>
        <v>0</v>
      </c>
      <c r="O17" s="2">
        <f t="shared" si="5"/>
        <v>0</v>
      </c>
      <c r="P17" s="2">
        <f>N17*IF('Dano fixo'!$J$6="",$A17,MIN($A17,MAX(0,'Dano fixo'!$J$6-O16)))</f>
        <v>0</v>
      </c>
      <c r="Q17" s="2">
        <f>IF(AND($A17&gt;0,N('Dano fixo'!$L$7)&gt;0,OR('Dano fixo'!$G$7="Todos",ISNUMBER(SEARCH(","&amp;'Rotação'!$I17&amp;",",","&amp;SUBSTITUTE('Dano fixo'!$G$7,", ",",")&amp;","))),OR('Dano fixo'!$H$7="",ISNUMBER(SEARCH(","&amp;'Rotação'!$R17&amp;",",","&amp;SUBSTITUTE('Dano fixo'!$H$7,", ",",")&amp;","))),OR('Dano fixo'!$I$7="",ISNUMBER(SEARCH(","&amp;'Rotação'!$K17&amp;",",","&amp;SUBSTITUTE('Dano fixo'!$I$7,", ",",")&amp;",")))),1,0)</f>
        <v>0</v>
      </c>
      <c r="R17" s="2">
        <f t="shared" si="6"/>
        <v>0</v>
      </c>
      <c r="S17" s="2">
        <f>Q17*IF('Dano fixo'!$J$7="",$A17,MIN($A17,MAX(0,'Dano fixo'!$J$7-R16)))</f>
        <v>0</v>
      </c>
      <c r="T17" s="2">
        <f>IF(AND($A17&gt;0,N('Dano fixo'!$L$8)&gt;0,OR('Dano fixo'!$G$8="Todos",ISNUMBER(SEARCH(","&amp;'Rotação'!$I17&amp;",",","&amp;SUBSTITUTE('Dano fixo'!$G$8,", ",",")&amp;","))),OR('Dano fixo'!$H$8="",ISNUMBER(SEARCH(","&amp;'Rotação'!$R17&amp;",",","&amp;SUBSTITUTE('Dano fixo'!$H$8,", ",",")&amp;","))),OR('Dano fixo'!$I$8="",ISNUMBER(SEARCH(","&amp;'Rotação'!$K17&amp;",",","&amp;SUBSTITUTE('Dano fixo'!$I$8,", ",",")&amp;",")))),1,0)</f>
        <v>0</v>
      </c>
      <c r="U17" s="2">
        <f t="shared" si="7"/>
        <v>0</v>
      </c>
      <c r="V17" s="2">
        <f>T17*IF('Dano fixo'!$J$8="",$A17,MIN($A17,MAX(0,'Dano fixo'!$J$8-U16)))</f>
        <v>0</v>
      </c>
      <c r="W17" s="2">
        <f>IF(AND($A17&gt;0,N('Dano fixo'!$L$9)&gt;0,OR('Dano fixo'!$G$9="Todos",ISNUMBER(SEARCH(","&amp;'Rotação'!$I17&amp;",",","&amp;SUBSTITUTE('Dano fixo'!$G$9,", ",",")&amp;","))),OR('Dano fixo'!$H$9="",ISNUMBER(SEARCH(","&amp;'Rotação'!$R17&amp;",",","&amp;SUBSTITUTE('Dano fixo'!$H$9,", ",",")&amp;","))),OR('Dano fixo'!$I$9="",ISNUMBER(SEARCH(","&amp;'Rotação'!$K17&amp;",",","&amp;SUBSTITUTE('Dano fixo'!$I$9,", ",",")&amp;",")))),1,0)</f>
        <v>0</v>
      </c>
      <c r="X17" s="2">
        <f t="shared" si="8"/>
        <v>0</v>
      </c>
      <c r="Y17" s="2">
        <f>W17*IF('Dano fixo'!$J$9="",$A17,MIN($A17,MAX(0,'Dano fixo'!$J$9-X16)))</f>
        <v>0</v>
      </c>
      <c r="Z17" s="2">
        <f>IF(AND($A17&gt;0,N('Dano fixo'!$L$10)&gt;0,OR('Dano fixo'!$G$10="Todos",ISNUMBER(SEARCH(","&amp;'Rotação'!$I17&amp;",",","&amp;SUBSTITUTE('Dano fixo'!$G$10,", ",",")&amp;","))),OR('Dano fixo'!$H$10="",ISNUMBER(SEARCH(","&amp;'Rotação'!$R17&amp;",",","&amp;SUBSTITUTE('Dano fixo'!$H$10,", ",",")&amp;","))),OR('Dano fixo'!$I$10="",ISNUMBER(SEARCH(","&amp;'Rotação'!$K17&amp;",",","&amp;SUBSTITUTE('Dano fixo'!$I$10,", ",",")&amp;",")))),1,0)</f>
        <v>0</v>
      </c>
      <c r="AA17" s="2">
        <f t="shared" si="9"/>
        <v>0</v>
      </c>
      <c r="AB17" s="2">
        <f>Z17*IF('Dano fixo'!$J$10="",$A17,MIN($A17,MAX(0,'Dano fixo'!$J$10-AA16)))</f>
        <v>0</v>
      </c>
      <c r="AC17" s="2">
        <f>IF(AND($A17&gt;0,N('Dano fixo'!$L$11)&gt;0,OR('Dano fixo'!$G$11="Todos",ISNUMBER(SEARCH(","&amp;'Rotação'!$I17&amp;",",","&amp;SUBSTITUTE('Dano fixo'!$G$11,", ",",")&amp;","))),OR('Dano fixo'!$H$11="",ISNUMBER(SEARCH(","&amp;'Rotação'!$R17&amp;",",","&amp;SUBSTITUTE('Dano fixo'!$H$11,", ",",")&amp;","))),OR('Dano fixo'!$I$11="",ISNUMBER(SEARCH(","&amp;'Rotação'!$K17&amp;",",","&amp;SUBSTITUTE('Dano fixo'!$I$11,", ",",")&amp;",")))),1,0)</f>
        <v>0</v>
      </c>
      <c r="AD17" s="2">
        <f t="shared" si="10"/>
        <v>0</v>
      </c>
      <c r="AE17" s="2">
        <f>AC17*IF('Dano fixo'!$J$11="",$A17,MIN($A17,MAX(0,'Dano fixo'!$J$11-AD16)))</f>
        <v>0</v>
      </c>
      <c r="AF17" s="2">
        <f>D17*'Dano fixo'!$L$2+G17*'Dano fixo'!$L$3+J17*'Dano fixo'!$L$4+M17*'Dano fixo'!$L$5+P17*'Dano fixo'!$L$6+S17*'Dano fixo'!$L$7+V17*'Dano fixo'!$L$8+Y17*'Dano fixo'!$L$9+AB17*'Dano fixo'!$L$10+AE17*'Dano fixo'!$L$11</f>
        <v>0</v>
      </c>
    </row>
    <row r="18">
      <c r="A18" s="2">
        <f t="array" ref="A18">IF(ISNUMBER('Rotação'!$J18),IF('Rotação'!$B18="",1,'Rotação'!$B18)*IF(ISNUMBER('Rotação'!$H18),MAX(1,N(INDEX(L_Golpes!$BN$2:$BN$6000,'Rotação'!$H18))),1),0)</f>
        <v>1</v>
      </c>
      <c r="B18" s="2">
        <f>IF(AND($A18&gt;0,N('Dano fixo'!$L$2)&gt;0,OR('Dano fixo'!$G$2="Todos",ISNUMBER(SEARCH(","&amp;'Rotação'!$I18&amp;",",","&amp;SUBSTITUTE('Dano fixo'!$G$2,", ",",")&amp;","))),OR('Dano fixo'!$H$2="",ISNUMBER(SEARCH(","&amp;'Rotação'!$R18&amp;",",","&amp;SUBSTITUTE('Dano fixo'!$H$2,", ",",")&amp;","))),OR('Dano fixo'!$I$2="",ISNUMBER(SEARCH(","&amp;'Rotação'!$K18&amp;",",","&amp;SUBSTITUTE('Dano fixo'!$I$2,", ",",")&amp;",")))),1,0)</f>
        <v>0</v>
      </c>
      <c r="C18" s="2">
        <f t="shared" si="1"/>
        <v>0</v>
      </c>
      <c r="D18" s="2">
        <f>B18*IF('Dano fixo'!$J$2="",$A18,MIN($A18,MAX(0,'Dano fixo'!$J$2-C17)))</f>
        <v>0</v>
      </c>
      <c r="E18" s="2">
        <f>IF(AND($A18&gt;0,N('Dano fixo'!$L$3)&gt;0,OR('Dano fixo'!$G$3="Todos",ISNUMBER(SEARCH(","&amp;'Rotação'!$I18&amp;",",","&amp;SUBSTITUTE('Dano fixo'!$G$3,", ",",")&amp;","))),OR('Dano fixo'!$H$3="",ISNUMBER(SEARCH(","&amp;'Rotação'!$R18&amp;",",","&amp;SUBSTITUTE('Dano fixo'!$H$3,", ",",")&amp;","))),OR('Dano fixo'!$I$3="",ISNUMBER(SEARCH(","&amp;'Rotação'!$K18&amp;",",","&amp;SUBSTITUTE('Dano fixo'!$I$3,", ",",")&amp;",")))),1,0)</f>
        <v>0</v>
      </c>
      <c r="F18" s="2">
        <f t="shared" si="2"/>
        <v>0</v>
      </c>
      <c r="G18" s="2">
        <f>E18*IF('Dano fixo'!$J$3="",$A18,MIN($A18,MAX(0,'Dano fixo'!$J$3-F17)))</f>
        <v>0</v>
      </c>
      <c r="H18" s="2">
        <f>IF(AND($A18&gt;0,N('Dano fixo'!$L$4)&gt;0,OR('Dano fixo'!$G$4="Todos",ISNUMBER(SEARCH(","&amp;'Rotação'!$I18&amp;",",","&amp;SUBSTITUTE('Dano fixo'!$G$4,", ",",")&amp;","))),OR('Dano fixo'!$H$4="",ISNUMBER(SEARCH(","&amp;'Rotação'!$R18&amp;",",","&amp;SUBSTITUTE('Dano fixo'!$H$4,", ",",")&amp;","))),OR('Dano fixo'!$I$4="",ISNUMBER(SEARCH(","&amp;'Rotação'!$K18&amp;",",","&amp;SUBSTITUTE('Dano fixo'!$I$4,", ",",")&amp;",")))),1,0)</f>
        <v>0</v>
      </c>
      <c r="I18" s="2">
        <f t="shared" si="3"/>
        <v>0</v>
      </c>
      <c r="J18" s="2">
        <f>H18*IF('Dano fixo'!$J$4="",$A18,MIN($A18,MAX(0,'Dano fixo'!$J$4-I17)))</f>
        <v>0</v>
      </c>
      <c r="K18" s="2">
        <f>IF(AND($A18&gt;0,N('Dano fixo'!$L$5)&gt;0,OR('Dano fixo'!$G$5="Todos",ISNUMBER(SEARCH(","&amp;'Rotação'!$I18&amp;",",","&amp;SUBSTITUTE('Dano fixo'!$G$5,", ",",")&amp;","))),OR('Dano fixo'!$H$5="",ISNUMBER(SEARCH(","&amp;'Rotação'!$R18&amp;",",","&amp;SUBSTITUTE('Dano fixo'!$H$5,", ",",")&amp;","))),OR('Dano fixo'!$I$5="",ISNUMBER(SEARCH(","&amp;'Rotação'!$K18&amp;",",","&amp;SUBSTITUTE('Dano fixo'!$I$5,", ",",")&amp;",")))),1,0)</f>
        <v>0</v>
      </c>
      <c r="L18" s="2">
        <f t="shared" si="4"/>
        <v>0</v>
      </c>
      <c r="M18" s="2">
        <f>K18*IF('Dano fixo'!$J$5="",$A18,MIN($A18,MAX(0,'Dano fixo'!$J$5-L17)))</f>
        <v>0</v>
      </c>
      <c r="N18" s="2">
        <f>IF(AND($A18&gt;0,N('Dano fixo'!$L$6)&gt;0,OR('Dano fixo'!$G$6="Todos",ISNUMBER(SEARCH(","&amp;'Rotação'!$I18&amp;",",","&amp;SUBSTITUTE('Dano fixo'!$G$6,", ",",")&amp;","))),OR('Dano fixo'!$H$6="",ISNUMBER(SEARCH(","&amp;'Rotação'!$R18&amp;",",","&amp;SUBSTITUTE('Dano fixo'!$H$6,", ",",")&amp;","))),OR('Dano fixo'!$I$6="",ISNUMBER(SEARCH(","&amp;'Rotação'!$K18&amp;",",","&amp;SUBSTITUTE('Dano fixo'!$I$6,", ",",")&amp;",")))),1,0)</f>
        <v>0</v>
      </c>
      <c r="O18" s="2">
        <f t="shared" si="5"/>
        <v>0</v>
      </c>
      <c r="P18" s="2">
        <f>N18*IF('Dano fixo'!$J$6="",$A18,MIN($A18,MAX(0,'Dano fixo'!$J$6-O17)))</f>
        <v>0</v>
      </c>
      <c r="Q18" s="2">
        <f>IF(AND($A18&gt;0,N('Dano fixo'!$L$7)&gt;0,OR('Dano fixo'!$G$7="Todos",ISNUMBER(SEARCH(","&amp;'Rotação'!$I18&amp;",",","&amp;SUBSTITUTE('Dano fixo'!$G$7,", ",",")&amp;","))),OR('Dano fixo'!$H$7="",ISNUMBER(SEARCH(","&amp;'Rotação'!$R18&amp;",",","&amp;SUBSTITUTE('Dano fixo'!$H$7,", ",",")&amp;","))),OR('Dano fixo'!$I$7="",ISNUMBER(SEARCH(","&amp;'Rotação'!$K18&amp;",",","&amp;SUBSTITUTE('Dano fixo'!$I$7,", ",",")&amp;",")))),1,0)</f>
        <v>0</v>
      </c>
      <c r="R18" s="2">
        <f t="shared" si="6"/>
        <v>0</v>
      </c>
      <c r="S18" s="2">
        <f>Q18*IF('Dano fixo'!$J$7="",$A18,MIN($A18,MAX(0,'Dano fixo'!$J$7-R17)))</f>
        <v>0</v>
      </c>
      <c r="T18" s="2">
        <f>IF(AND($A18&gt;0,N('Dano fixo'!$L$8)&gt;0,OR('Dano fixo'!$G$8="Todos",ISNUMBER(SEARCH(","&amp;'Rotação'!$I18&amp;",",","&amp;SUBSTITUTE('Dano fixo'!$G$8,", ",",")&amp;","))),OR('Dano fixo'!$H$8="",ISNUMBER(SEARCH(","&amp;'Rotação'!$R18&amp;",",","&amp;SUBSTITUTE('Dano fixo'!$H$8,", ",",")&amp;","))),OR('Dano fixo'!$I$8="",ISNUMBER(SEARCH(","&amp;'Rotação'!$K18&amp;",",","&amp;SUBSTITUTE('Dano fixo'!$I$8,", ",",")&amp;",")))),1,0)</f>
        <v>0</v>
      </c>
      <c r="U18" s="2">
        <f t="shared" si="7"/>
        <v>0</v>
      </c>
      <c r="V18" s="2">
        <f>T18*IF('Dano fixo'!$J$8="",$A18,MIN($A18,MAX(0,'Dano fixo'!$J$8-U17)))</f>
        <v>0</v>
      </c>
      <c r="W18" s="2">
        <f>IF(AND($A18&gt;0,N('Dano fixo'!$L$9)&gt;0,OR('Dano fixo'!$G$9="Todos",ISNUMBER(SEARCH(","&amp;'Rotação'!$I18&amp;",",","&amp;SUBSTITUTE('Dano fixo'!$G$9,", ",",")&amp;","))),OR('Dano fixo'!$H$9="",ISNUMBER(SEARCH(","&amp;'Rotação'!$R18&amp;",",","&amp;SUBSTITUTE('Dano fixo'!$H$9,", ",",")&amp;","))),OR('Dano fixo'!$I$9="",ISNUMBER(SEARCH(","&amp;'Rotação'!$K18&amp;",",","&amp;SUBSTITUTE('Dano fixo'!$I$9,", ",",")&amp;",")))),1,0)</f>
        <v>0</v>
      </c>
      <c r="X18" s="2">
        <f t="shared" si="8"/>
        <v>0</v>
      </c>
      <c r="Y18" s="2">
        <f>W18*IF('Dano fixo'!$J$9="",$A18,MIN($A18,MAX(0,'Dano fixo'!$J$9-X17)))</f>
        <v>0</v>
      </c>
      <c r="Z18" s="2">
        <f>IF(AND($A18&gt;0,N('Dano fixo'!$L$10)&gt;0,OR('Dano fixo'!$G$10="Todos",ISNUMBER(SEARCH(","&amp;'Rotação'!$I18&amp;",",","&amp;SUBSTITUTE('Dano fixo'!$G$10,", ",",")&amp;","))),OR('Dano fixo'!$H$10="",ISNUMBER(SEARCH(","&amp;'Rotação'!$R18&amp;",",","&amp;SUBSTITUTE('Dano fixo'!$H$10,", ",",")&amp;","))),OR('Dano fixo'!$I$10="",ISNUMBER(SEARCH(","&amp;'Rotação'!$K18&amp;",",","&amp;SUBSTITUTE('Dano fixo'!$I$10,", ",",")&amp;",")))),1,0)</f>
        <v>0</v>
      </c>
      <c r="AA18" s="2">
        <f t="shared" si="9"/>
        <v>0</v>
      </c>
      <c r="AB18" s="2">
        <f>Z18*IF('Dano fixo'!$J$10="",$A18,MIN($A18,MAX(0,'Dano fixo'!$J$10-AA17)))</f>
        <v>0</v>
      </c>
      <c r="AC18" s="2">
        <f>IF(AND($A18&gt;0,N('Dano fixo'!$L$11)&gt;0,OR('Dano fixo'!$G$11="Todos",ISNUMBER(SEARCH(","&amp;'Rotação'!$I18&amp;",",","&amp;SUBSTITUTE('Dano fixo'!$G$11,", ",",")&amp;","))),OR('Dano fixo'!$H$11="",ISNUMBER(SEARCH(","&amp;'Rotação'!$R18&amp;",",","&amp;SUBSTITUTE('Dano fixo'!$H$11,", ",",")&amp;","))),OR('Dano fixo'!$I$11="",ISNUMBER(SEARCH(","&amp;'Rotação'!$K18&amp;",",","&amp;SUBSTITUTE('Dano fixo'!$I$11,", ",",")&amp;",")))),1,0)</f>
        <v>0</v>
      </c>
      <c r="AD18" s="2">
        <f t="shared" si="10"/>
        <v>0</v>
      </c>
      <c r="AE18" s="2">
        <f>AC18*IF('Dano fixo'!$J$11="",$A18,MIN($A18,MAX(0,'Dano fixo'!$J$11-AD17)))</f>
        <v>0</v>
      </c>
      <c r="AF18" s="2">
        <f>D18*'Dano fixo'!$L$2+G18*'Dano fixo'!$L$3+J18*'Dano fixo'!$L$4+M18*'Dano fixo'!$L$5+P18*'Dano fixo'!$L$6+S18*'Dano fixo'!$L$7+V18*'Dano fixo'!$L$8+Y18*'Dano fixo'!$L$9+AB18*'Dano fixo'!$L$10+AE18*'Dano fixo'!$L$11</f>
        <v>0</v>
      </c>
    </row>
    <row r="19">
      <c r="A19" s="2">
        <f t="array" ref="A19">IF(ISNUMBER('Rotação'!$J19),IF('Rotação'!$B19="",1,'Rotação'!$B19)*IF(ISNUMBER('Rotação'!$H19),MAX(1,N(INDEX(L_Golpes!$BN$2:$BN$6000,'Rotação'!$H19))),1),0)</f>
        <v>1</v>
      </c>
      <c r="B19" s="2">
        <f>IF(AND($A19&gt;0,N('Dano fixo'!$L$2)&gt;0,OR('Dano fixo'!$G$2="Todos",ISNUMBER(SEARCH(","&amp;'Rotação'!$I19&amp;",",","&amp;SUBSTITUTE('Dano fixo'!$G$2,", ",",")&amp;","))),OR('Dano fixo'!$H$2="",ISNUMBER(SEARCH(","&amp;'Rotação'!$R19&amp;",",","&amp;SUBSTITUTE('Dano fixo'!$H$2,", ",",")&amp;","))),OR('Dano fixo'!$I$2="",ISNUMBER(SEARCH(","&amp;'Rotação'!$K19&amp;",",","&amp;SUBSTITUTE('Dano fixo'!$I$2,", ",",")&amp;",")))),1,0)</f>
        <v>0</v>
      </c>
      <c r="C19" s="2">
        <f t="shared" si="1"/>
        <v>0</v>
      </c>
      <c r="D19" s="2">
        <f>B19*IF('Dano fixo'!$J$2="",$A19,MIN($A19,MAX(0,'Dano fixo'!$J$2-C18)))</f>
        <v>0</v>
      </c>
      <c r="E19" s="2">
        <f>IF(AND($A19&gt;0,N('Dano fixo'!$L$3)&gt;0,OR('Dano fixo'!$G$3="Todos",ISNUMBER(SEARCH(","&amp;'Rotação'!$I19&amp;",",","&amp;SUBSTITUTE('Dano fixo'!$G$3,", ",",")&amp;","))),OR('Dano fixo'!$H$3="",ISNUMBER(SEARCH(","&amp;'Rotação'!$R19&amp;",",","&amp;SUBSTITUTE('Dano fixo'!$H$3,", ",",")&amp;","))),OR('Dano fixo'!$I$3="",ISNUMBER(SEARCH(","&amp;'Rotação'!$K19&amp;",",","&amp;SUBSTITUTE('Dano fixo'!$I$3,", ",",")&amp;",")))),1,0)</f>
        <v>0</v>
      </c>
      <c r="F19" s="2">
        <f t="shared" si="2"/>
        <v>0</v>
      </c>
      <c r="G19" s="2">
        <f>E19*IF('Dano fixo'!$J$3="",$A19,MIN($A19,MAX(0,'Dano fixo'!$J$3-F18)))</f>
        <v>0</v>
      </c>
      <c r="H19" s="2">
        <f>IF(AND($A19&gt;0,N('Dano fixo'!$L$4)&gt;0,OR('Dano fixo'!$G$4="Todos",ISNUMBER(SEARCH(","&amp;'Rotação'!$I19&amp;",",","&amp;SUBSTITUTE('Dano fixo'!$G$4,", ",",")&amp;","))),OR('Dano fixo'!$H$4="",ISNUMBER(SEARCH(","&amp;'Rotação'!$R19&amp;",",","&amp;SUBSTITUTE('Dano fixo'!$H$4,", ",",")&amp;","))),OR('Dano fixo'!$I$4="",ISNUMBER(SEARCH(","&amp;'Rotação'!$K19&amp;",",","&amp;SUBSTITUTE('Dano fixo'!$I$4,", ",",")&amp;",")))),1,0)</f>
        <v>0</v>
      </c>
      <c r="I19" s="2">
        <f t="shared" si="3"/>
        <v>0</v>
      </c>
      <c r="J19" s="2">
        <f>H19*IF('Dano fixo'!$J$4="",$A19,MIN($A19,MAX(0,'Dano fixo'!$J$4-I18)))</f>
        <v>0</v>
      </c>
      <c r="K19" s="2">
        <f>IF(AND($A19&gt;0,N('Dano fixo'!$L$5)&gt;0,OR('Dano fixo'!$G$5="Todos",ISNUMBER(SEARCH(","&amp;'Rotação'!$I19&amp;",",","&amp;SUBSTITUTE('Dano fixo'!$G$5,", ",",")&amp;","))),OR('Dano fixo'!$H$5="",ISNUMBER(SEARCH(","&amp;'Rotação'!$R19&amp;",",","&amp;SUBSTITUTE('Dano fixo'!$H$5,", ",",")&amp;","))),OR('Dano fixo'!$I$5="",ISNUMBER(SEARCH(","&amp;'Rotação'!$K19&amp;",",","&amp;SUBSTITUTE('Dano fixo'!$I$5,", ",",")&amp;",")))),1,0)</f>
        <v>0</v>
      </c>
      <c r="L19" s="2">
        <f t="shared" si="4"/>
        <v>0</v>
      </c>
      <c r="M19" s="2">
        <f>K19*IF('Dano fixo'!$J$5="",$A19,MIN($A19,MAX(0,'Dano fixo'!$J$5-L18)))</f>
        <v>0</v>
      </c>
      <c r="N19" s="2">
        <f>IF(AND($A19&gt;0,N('Dano fixo'!$L$6)&gt;0,OR('Dano fixo'!$G$6="Todos",ISNUMBER(SEARCH(","&amp;'Rotação'!$I19&amp;",",","&amp;SUBSTITUTE('Dano fixo'!$G$6,", ",",")&amp;","))),OR('Dano fixo'!$H$6="",ISNUMBER(SEARCH(","&amp;'Rotação'!$R19&amp;",",","&amp;SUBSTITUTE('Dano fixo'!$H$6,", ",",")&amp;","))),OR('Dano fixo'!$I$6="",ISNUMBER(SEARCH(","&amp;'Rotação'!$K19&amp;",",","&amp;SUBSTITUTE('Dano fixo'!$I$6,", ",",")&amp;",")))),1,0)</f>
        <v>0</v>
      </c>
      <c r="O19" s="2">
        <f t="shared" si="5"/>
        <v>0</v>
      </c>
      <c r="P19" s="2">
        <f>N19*IF('Dano fixo'!$J$6="",$A19,MIN($A19,MAX(0,'Dano fixo'!$J$6-O18)))</f>
        <v>0</v>
      </c>
      <c r="Q19" s="2">
        <f>IF(AND($A19&gt;0,N('Dano fixo'!$L$7)&gt;0,OR('Dano fixo'!$G$7="Todos",ISNUMBER(SEARCH(","&amp;'Rotação'!$I19&amp;",",","&amp;SUBSTITUTE('Dano fixo'!$G$7,", ",",")&amp;","))),OR('Dano fixo'!$H$7="",ISNUMBER(SEARCH(","&amp;'Rotação'!$R19&amp;",",","&amp;SUBSTITUTE('Dano fixo'!$H$7,", ",",")&amp;","))),OR('Dano fixo'!$I$7="",ISNUMBER(SEARCH(","&amp;'Rotação'!$K19&amp;",",","&amp;SUBSTITUTE('Dano fixo'!$I$7,", ",",")&amp;",")))),1,0)</f>
        <v>0</v>
      </c>
      <c r="R19" s="2">
        <f t="shared" si="6"/>
        <v>0</v>
      </c>
      <c r="S19" s="2">
        <f>Q19*IF('Dano fixo'!$J$7="",$A19,MIN($A19,MAX(0,'Dano fixo'!$J$7-R18)))</f>
        <v>0</v>
      </c>
      <c r="T19" s="2">
        <f>IF(AND($A19&gt;0,N('Dano fixo'!$L$8)&gt;0,OR('Dano fixo'!$G$8="Todos",ISNUMBER(SEARCH(","&amp;'Rotação'!$I19&amp;",",","&amp;SUBSTITUTE('Dano fixo'!$G$8,", ",",")&amp;","))),OR('Dano fixo'!$H$8="",ISNUMBER(SEARCH(","&amp;'Rotação'!$R19&amp;",",","&amp;SUBSTITUTE('Dano fixo'!$H$8,", ",",")&amp;","))),OR('Dano fixo'!$I$8="",ISNUMBER(SEARCH(","&amp;'Rotação'!$K19&amp;",",","&amp;SUBSTITUTE('Dano fixo'!$I$8,", ",",")&amp;",")))),1,0)</f>
        <v>0</v>
      </c>
      <c r="U19" s="2">
        <f t="shared" si="7"/>
        <v>0</v>
      </c>
      <c r="V19" s="2">
        <f>T19*IF('Dano fixo'!$J$8="",$A19,MIN($A19,MAX(0,'Dano fixo'!$J$8-U18)))</f>
        <v>0</v>
      </c>
      <c r="W19" s="2">
        <f>IF(AND($A19&gt;0,N('Dano fixo'!$L$9)&gt;0,OR('Dano fixo'!$G$9="Todos",ISNUMBER(SEARCH(","&amp;'Rotação'!$I19&amp;",",","&amp;SUBSTITUTE('Dano fixo'!$G$9,", ",",")&amp;","))),OR('Dano fixo'!$H$9="",ISNUMBER(SEARCH(","&amp;'Rotação'!$R19&amp;",",","&amp;SUBSTITUTE('Dano fixo'!$H$9,", ",",")&amp;","))),OR('Dano fixo'!$I$9="",ISNUMBER(SEARCH(","&amp;'Rotação'!$K19&amp;",",","&amp;SUBSTITUTE('Dano fixo'!$I$9,", ",",")&amp;",")))),1,0)</f>
        <v>0</v>
      </c>
      <c r="X19" s="2">
        <f t="shared" si="8"/>
        <v>0</v>
      </c>
      <c r="Y19" s="2">
        <f>W19*IF('Dano fixo'!$J$9="",$A19,MIN($A19,MAX(0,'Dano fixo'!$J$9-X18)))</f>
        <v>0</v>
      </c>
      <c r="Z19" s="2">
        <f>IF(AND($A19&gt;0,N('Dano fixo'!$L$10)&gt;0,OR('Dano fixo'!$G$10="Todos",ISNUMBER(SEARCH(","&amp;'Rotação'!$I19&amp;",",","&amp;SUBSTITUTE('Dano fixo'!$G$10,", ",",")&amp;","))),OR('Dano fixo'!$H$10="",ISNUMBER(SEARCH(","&amp;'Rotação'!$R19&amp;",",","&amp;SUBSTITUTE('Dano fixo'!$H$10,", ",",")&amp;","))),OR('Dano fixo'!$I$10="",ISNUMBER(SEARCH(","&amp;'Rotação'!$K19&amp;",",","&amp;SUBSTITUTE('Dano fixo'!$I$10,", ",",")&amp;",")))),1,0)</f>
        <v>0</v>
      </c>
      <c r="AA19" s="2">
        <f t="shared" si="9"/>
        <v>0</v>
      </c>
      <c r="AB19" s="2">
        <f>Z19*IF('Dano fixo'!$J$10="",$A19,MIN($A19,MAX(0,'Dano fixo'!$J$10-AA18)))</f>
        <v>0</v>
      </c>
      <c r="AC19" s="2">
        <f>IF(AND($A19&gt;0,N('Dano fixo'!$L$11)&gt;0,OR('Dano fixo'!$G$11="Todos",ISNUMBER(SEARCH(","&amp;'Rotação'!$I19&amp;",",","&amp;SUBSTITUTE('Dano fixo'!$G$11,", ",",")&amp;","))),OR('Dano fixo'!$H$11="",ISNUMBER(SEARCH(","&amp;'Rotação'!$R19&amp;",",","&amp;SUBSTITUTE('Dano fixo'!$H$11,", ",",")&amp;","))),OR('Dano fixo'!$I$11="",ISNUMBER(SEARCH(","&amp;'Rotação'!$K19&amp;",",","&amp;SUBSTITUTE('Dano fixo'!$I$11,", ",",")&amp;",")))),1,0)</f>
        <v>0</v>
      </c>
      <c r="AD19" s="2">
        <f t="shared" si="10"/>
        <v>0</v>
      </c>
      <c r="AE19" s="2">
        <f>AC19*IF('Dano fixo'!$J$11="",$A19,MIN($A19,MAX(0,'Dano fixo'!$J$11-AD18)))</f>
        <v>0</v>
      </c>
      <c r="AF19" s="2">
        <f>D19*'Dano fixo'!$L$2+G19*'Dano fixo'!$L$3+J19*'Dano fixo'!$L$4+M19*'Dano fixo'!$L$5+P19*'Dano fixo'!$L$6+S19*'Dano fixo'!$L$7+V19*'Dano fixo'!$L$8+Y19*'Dano fixo'!$L$9+AB19*'Dano fixo'!$L$10+AE19*'Dano fixo'!$L$11</f>
        <v>0</v>
      </c>
    </row>
    <row r="20">
      <c r="A20" s="2">
        <f t="array" ref="A20">IF(ISNUMBER('Rotação'!$J20),IF('Rotação'!$B20="",1,'Rotação'!$B20)*IF(ISNUMBER('Rotação'!$H20),MAX(1,N(INDEX(L_Golpes!$BN$2:$BN$6000,'Rotação'!$H20))),1),0)</f>
        <v>1</v>
      </c>
      <c r="B20" s="2">
        <f>IF(AND($A20&gt;0,N('Dano fixo'!$L$2)&gt;0,OR('Dano fixo'!$G$2="Todos",ISNUMBER(SEARCH(","&amp;'Rotação'!$I20&amp;",",","&amp;SUBSTITUTE('Dano fixo'!$G$2,", ",",")&amp;","))),OR('Dano fixo'!$H$2="",ISNUMBER(SEARCH(","&amp;'Rotação'!$R20&amp;",",","&amp;SUBSTITUTE('Dano fixo'!$H$2,", ",",")&amp;","))),OR('Dano fixo'!$I$2="",ISNUMBER(SEARCH(","&amp;'Rotação'!$K20&amp;",",","&amp;SUBSTITUTE('Dano fixo'!$I$2,", ",",")&amp;",")))),1,0)</f>
        <v>0</v>
      </c>
      <c r="C20" s="2">
        <f t="shared" si="1"/>
        <v>0</v>
      </c>
      <c r="D20" s="2">
        <f>B20*IF('Dano fixo'!$J$2="",$A20,MIN($A20,MAX(0,'Dano fixo'!$J$2-C19)))</f>
        <v>0</v>
      </c>
      <c r="E20" s="2">
        <f>IF(AND($A20&gt;0,N('Dano fixo'!$L$3)&gt;0,OR('Dano fixo'!$G$3="Todos",ISNUMBER(SEARCH(","&amp;'Rotação'!$I20&amp;",",","&amp;SUBSTITUTE('Dano fixo'!$G$3,", ",",")&amp;","))),OR('Dano fixo'!$H$3="",ISNUMBER(SEARCH(","&amp;'Rotação'!$R20&amp;",",","&amp;SUBSTITUTE('Dano fixo'!$H$3,", ",",")&amp;","))),OR('Dano fixo'!$I$3="",ISNUMBER(SEARCH(","&amp;'Rotação'!$K20&amp;",",","&amp;SUBSTITUTE('Dano fixo'!$I$3,", ",",")&amp;",")))),1,0)</f>
        <v>0</v>
      </c>
      <c r="F20" s="2">
        <f t="shared" si="2"/>
        <v>0</v>
      </c>
      <c r="G20" s="2">
        <f>E20*IF('Dano fixo'!$J$3="",$A20,MIN($A20,MAX(0,'Dano fixo'!$J$3-F19)))</f>
        <v>0</v>
      </c>
      <c r="H20" s="2">
        <f>IF(AND($A20&gt;0,N('Dano fixo'!$L$4)&gt;0,OR('Dano fixo'!$G$4="Todos",ISNUMBER(SEARCH(","&amp;'Rotação'!$I20&amp;",",","&amp;SUBSTITUTE('Dano fixo'!$G$4,", ",",")&amp;","))),OR('Dano fixo'!$H$4="",ISNUMBER(SEARCH(","&amp;'Rotação'!$R20&amp;",",","&amp;SUBSTITUTE('Dano fixo'!$H$4,", ",",")&amp;","))),OR('Dano fixo'!$I$4="",ISNUMBER(SEARCH(","&amp;'Rotação'!$K20&amp;",",","&amp;SUBSTITUTE('Dano fixo'!$I$4,", ",",")&amp;",")))),1,0)</f>
        <v>0</v>
      </c>
      <c r="I20" s="2">
        <f t="shared" si="3"/>
        <v>0</v>
      </c>
      <c r="J20" s="2">
        <f>H20*IF('Dano fixo'!$J$4="",$A20,MIN($A20,MAX(0,'Dano fixo'!$J$4-I19)))</f>
        <v>0</v>
      </c>
      <c r="K20" s="2">
        <f>IF(AND($A20&gt;0,N('Dano fixo'!$L$5)&gt;0,OR('Dano fixo'!$G$5="Todos",ISNUMBER(SEARCH(","&amp;'Rotação'!$I20&amp;",",","&amp;SUBSTITUTE('Dano fixo'!$G$5,", ",",")&amp;","))),OR('Dano fixo'!$H$5="",ISNUMBER(SEARCH(","&amp;'Rotação'!$R20&amp;",",","&amp;SUBSTITUTE('Dano fixo'!$H$5,", ",",")&amp;","))),OR('Dano fixo'!$I$5="",ISNUMBER(SEARCH(","&amp;'Rotação'!$K20&amp;",",","&amp;SUBSTITUTE('Dano fixo'!$I$5,", ",",")&amp;",")))),1,0)</f>
        <v>0</v>
      </c>
      <c r="L20" s="2">
        <f t="shared" si="4"/>
        <v>0</v>
      </c>
      <c r="M20" s="2">
        <f>K20*IF('Dano fixo'!$J$5="",$A20,MIN($A20,MAX(0,'Dano fixo'!$J$5-L19)))</f>
        <v>0</v>
      </c>
      <c r="N20" s="2">
        <f>IF(AND($A20&gt;0,N('Dano fixo'!$L$6)&gt;0,OR('Dano fixo'!$G$6="Todos",ISNUMBER(SEARCH(","&amp;'Rotação'!$I20&amp;",",","&amp;SUBSTITUTE('Dano fixo'!$G$6,", ",",")&amp;","))),OR('Dano fixo'!$H$6="",ISNUMBER(SEARCH(","&amp;'Rotação'!$R20&amp;",",","&amp;SUBSTITUTE('Dano fixo'!$H$6,", ",",")&amp;","))),OR('Dano fixo'!$I$6="",ISNUMBER(SEARCH(","&amp;'Rotação'!$K20&amp;",",","&amp;SUBSTITUTE('Dano fixo'!$I$6,", ",",")&amp;",")))),1,0)</f>
        <v>0</v>
      </c>
      <c r="O20" s="2">
        <f t="shared" si="5"/>
        <v>0</v>
      </c>
      <c r="P20" s="2">
        <f>N20*IF('Dano fixo'!$J$6="",$A20,MIN($A20,MAX(0,'Dano fixo'!$J$6-O19)))</f>
        <v>0</v>
      </c>
      <c r="Q20" s="2">
        <f>IF(AND($A20&gt;0,N('Dano fixo'!$L$7)&gt;0,OR('Dano fixo'!$G$7="Todos",ISNUMBER(SEARCH(","&amp;'Rotação'!$I20&amp;",",","&amp;SUBSTITUTE('Dano fixo'!$G$7,", ",",")&amp;","))),OR('Dano fixo'!$H$7="",ISNUMBER(SEARCH(","&amp;'Rotação'!$R20&amp;",",","&amp;SUBSTITUTE('Dano fixo'!$H$7,", ",",")&amp;","))),OR('Dano fixo'!$I$7="",ISNUMBER(SEARCH(","&amp;'Rotação'!$K20&amp;",",","&amp;SUBSTITUTE('Dano fixo'!$I$7,", ",",")&amp;",")))),1,0)</f>
        <v>0</v>
      </c>
      <c r="R20" s="2">
        <f t="shared" si="6"/>
        <v>0</v>
      </c>
      <c r="S20" s="2">
        <f>Q20*IF('Dano fixo'!$J$7="",$A20,MIN($A20,MAX(0,'Dano fixo'!$J$7-R19)))</f>
        <v>0</v>
      </c>
      <c r="T20" s="2">
        <f>IF(AND($A20&gt;0,N('Dano fixo'!$L$8)&gt;0,OR('Dano fixo'!$G$8="Todos",ISNUMBER(SEARCH(","&amp;'Rotação'!$I20&amp;",",","&amp;SUBSTITUTE('Dano fixo'!$G$8,", ",",")&amp;","))),OR('Dano fixo'!$H$8="",ISNUMBER(SEARCH(","&amp;'Rotação'!$R20&amp;",",","&amp;SUBSTITUTE('Dano fixo'!$H$8,", ",",")&amp;","))),OR('Dano fixo'!$I$8="",ISNUMBER(SEARCH(","&amp;'Rotação'!$K20&amp;",",","&amp;SUBSTITUTE('Dano fixo'!$I$8,", ",",")&amp;",")))),1,0)</f>
        <v>0</v>
      </c>
      <c r="U20" s="2">
        <f t="shared" si="7"/>
        <v>0</v>
      </c>
      <c r="V20" s="2">
        <f>T20*IF('Dano fixo'!$J$8="",$A20,MIN($A20,MAX(0,'Dano fixo'!$J$8-U19)))</f>
        <v>0</v>
      </c>
      <c r="W20" s="2">
        <f>IF(AND($A20&gt;0,N('Dano fixo'!$L$9)&gt;0,OR('Dano fixo'!$G$9="Todos",ISNUMBER(SEARCH(","&amp;'Rotação'!$I20&amp;",",","&amp;SUBSTITUTE('Dano fixo'!$G$9,", ",",")&amp;","))),OR('Dano fixo'!$H$9="",ISNUMBER(SEARCH(","&amp;'Rotação'!$R20&amp;",",","&amp;SUBSTITUTE('Dano fixo'!$H$9,", ",",")&amp;","))),OR('Dano fixo'!$I$9="",ISNUMBER(SEARCH(","&amp;'Rotação'!$K20&amp;",",","&amp;SUBSTITUTE('Dano fixo'!$I$9,", ",",")&amp;",")))),1,0)</f>
        <v>0</v>
      </c>
      <c r="X20" s="2">
        <f t="shared" si="8"/>
        <v>0</v>
      </c>
      <c r="Y20" s="2">
        <f>W20*IF('Dano fixo'!$J$9="",$A20,MIN($A20,MAX(0,'Dano fixo'!$J$9-X19)))</f>
        <v>0</v>
      </c>
      <c r="Z20" s="2">
        <f>IF(AND($A20&gt;0,N('Dano fixo'!$L$10)&gt;0,OR('Dano fixo'!$G$10="Todos",ISNUMBER(SEARCH(","&amp;'Rotação'!$I20&amp;",",","&amp;SUBSTITUTE('Dano fixo'!$G$10,", ",",")&amp;","))),OR('Dano fixo'!$H$10="",ISNUMBER(SEARCH(","&amp;'Rotação'!$R20&amp;",",","&amp;SUBSTITUTE('Dano fixo'!$H$10,", ",",")&amp;","))),OR('Dano fixo'!$I$10="",ISNUMBER(SEARCH(","&amp;'Rotação'!$K20&amp;",",","&amp;SUBSTITUTE('Dano fixo'!$I$10,", ",",")&amp;",")))),1,0)</f>
        <v>0</v>
      </c>
      <c r="AA20" s="2">
        <f t="shared" si="9"/>
        <v>0</v>
      </c>
      <c r="AB20" s="2">
        <f>Z20*IF('Dano fixo'!$J$10="",$A20,MIN($A20,MAX(0,'Dano fixo'!$J$10-AA19)))</f>
        <v>0</v>
      </c>
      <c r="AC20" s="2">
        <f>IF(AND($A20&gt;0,N('Dano fixo'!$L$11)&gt;0,OR('Dano fixo'!$G$11="Todos",ISNUMBER(SEARCH(","&amp;'Rotação'!$I20&amp;",",","&amp;SUBSTITUTE('Dano fixo'!$G$11,", ",",")&amp;","))),OR('Dano fixo'!$H$11="",ISNUMBER(SEARCH(","&amp;'Rotação'!$R20&amp;",",","&amp;SUBSTITUTE('Dano fixo'!$H$11,", ",",")&amp;","))),OR('Dano fixo'!$I$11="",ISNUMBER(SEARCH(","&amp;'Rotação'!$K20&amp;",",","&amp;SUBSTITUTE('Dano fixo'!$I$11,", ",",")&amp;",")))),1,0)</f>
        <v>0</v>
      </c>
      <c r="AD20" s="2">
        <f t="shared" si="10"/>
        <v>0</v>
      </c>
      <c r="AE20" s="2">
        <f>AC20*IF('Dano fixo'!$J$11="",$A20,MIN($A20,MAX(0,'Dano fixo'!$J$11-AD19)))</f>
        <v>0</v>
      </c>
      <c r="AF20" s="2">
        <f>D20*'Dano fixo'!$L$2+G20*'Dano fixo'!$L$3+J20*'Dano fixo'!$L$4+M20*'Dano fixo'!$L$5+P20*'Dano fixo'!$L$6+S20*'Dano fixo'!$L$7+V20*'Dano fixo'!$L$8+Y20*'Dano fixo'!$L$9+AB20*'Dano fixo'!$L$10+AE20*'Dano fixo'!$L$11</f>
        <v>0</v>
      </c>
    </row>
    <row r="21" ht="15.75" customHeight="1">
      <c r="A21" s="2">
        <f t="array" ref="A21">IF(ISNUMBER('Rotação'!$J21),IF('Rotação'!$B21="",1,'Rotação'!$B21)*IF(ISNUMBER('Rotação'!$H21),MAX(1,N(INDEX(L_Golpes!$BN$2:$BN$6000,'Rotação'!$H21))),1),0)</f>
        <v>1</v>
      </c>
      <c r="B21" s="2">
        <f>IF(AND($A21&gt;0,N('Dano fixo'!$L$2)&gt;0,OR('Dano fixo'!$G$2="Todos",ISNUMBER(SEARCH(","&amp;'Rotação'!$I21&amp;",",","&amp;SUBSTITUTE('Dano fixo'!$G$2,", ",",")&amp;","))),OR('Dano fixo'!$H$2="",ISNUMBER(SEARCH(","&amp;'Rotação'!$R21&amp;",",","&amp;SUBSTITUTE('Dano fixo'!$H$2,", ",",")&amp;","))),OR('Dano fixo'!$I$2="",ISNUMBER(SEARCH(","&amp;'Rotação'!$K21&amp;",",","&amp;SUBSTITUTE('Dano fixo'!$I$2,", ",",")&amp;",")))),1,0)</f>
        <v>0</v>
      </c>
      <c r="C21" s="2">
        <f t="shared" si="1"/>
        <v>0</v>
      </c>
      <c r="D21" s="2">
        <f>B21*IF('Dano fixo'!$J$2="",$A21,MIN($A21,MAX(0,'Dano fixo'!$J$2-C20)))</f>
        <v>0</v>
      </c>
      <c r="E21" s="2">
        <f>IF(AND($A21&gt;0,N('Dano fixo'!$L$3)&gt;0,OR('Dano fixo'!$G$3="Todos",ISNUMBER(SEARCH(","&amp;'Rotação'!$I21&amp;",",","&amp;SUBSTITUTE('Dano fixo'!$G$3,", ",",")&amp;","))),OR('Dano fixo'!$H$3="",ISNUMBER(SEARCH(","&amp;'Rotação'!$R21&amp;",",","&amp;SUBSTITUTE('Dano fixo'!$H$3,", ",",")&amp;","))),OR('Dano fixo'!$I$3="",ISNUMBER(SEARCH(","&amp;'Rotação'!$K21&amp;",",","&amp;SUBSTITUTE('Dano fixo'!$I$3,", ",",")&amp;",")))),1,0)</f>
        <v>0</v>
      </c>
      <c r="F21" s="2">
        <f t="shared" si="2"/>
        <v>0</v>
      </c>
      <c r="G21" s="2">
        <f>E21*IF('Dano fixo'!$J$3="",$A21,MIN($A21,MAX(0,'Dano fixo'!$J$3-F20)))</f>
        <v>0</v>
      </c>
      <c r="H21" s="2">
        <f>IF(AND($A21&gt;0,N('Dano fixo'!$L$4)&gt;0,OR('Dano fixo'!$G$4="Todos",ISNUMBER(SEARCH(","&amp;'Rotação'!$I21&amp;",",","&amp;SUBSTITUTE('Dano fixo'!$G$4,", ",",")&amp;","))),OR('Dano fixo'!$H$4="",ISNUMBER(SEARCH(","&amp;'Rotação'!$R21&amp;",",","&amp;SUBSTITUTE('Dano fixo'!$H$4,", ",",")&amp;","))),OR('Dano fixo'!$I$4="",ISNUMBER(SEARCH(","&amp;'Rotação'!$K21&amp;",",","&amp;SUBSTITUTE('Dano fixo'!$I$4,", ",",")&amp;",")))),1,0)</f>
        <v>0</v>
      </c>
      <c r="I21" s="2">
        <f t="shared" si="3"/>
        <v>0</v>
      </c>
      <c r="J21" s="2">
        <f>H21*IF('Dano fixo'!$J$4="",$A21,MIN($A21,MAX(0,'Dano fixo'!$J$4-I20)))</f>
        <v>0</v>
      </c>
      <c r="K21" s="2">
        <f>IF(AND($A21&gt;0,N('Dano fixo'!$L$5)&gt;0,OR('Dano fixo'!$G$5="Todos",ISNUMBER(SEARCH(","&amp;'Rotação'!$I21&amp;",",","&amp;SUBSTITUTE('Dano fixo'!$G$5,", ",",")&amp;","))),OR('Dano fixo'!$H$5="",ISNUMBER(SEARCH(","&amp;'Rotação'!$R21&amp;",",","&amp;SUBSTITUTE('Dano fixo'!$H$5,", ",",")&amp;","))),OR('Dano fixo'!$I$5="",ISNUMBER(SEARCH(","&amp;'Rotação'!$K21&amp;",",","&amp;SUBSTITUTE('Dano fixo'!$I$5,", ",",")&amp;",")))),1,0)</f>
        <v>0</v>
      </c>
      <c r="L21" s="2">
        <f t="shared" si="4"/>
        <v>0</v>
      </c>
      <c r="M21" s="2">
        <f>K21*IF('Dano fixo'!$J$5="",$A21,MIN($A21,MAX(0,'Dano fixo'!$J$5-L20)))</f>
        <v>0</v>
      </c>
      <c r="N21" s="2">
        <f>IF(AND($A21&gt;0,N('Dano fixo'!$L$6)&gt;0,OR('Dano fixo'!$G$6="Todos",ISNUMBER(SEARCH(","&amp;'Rotação'!$I21&amp;",",","&amp;SUBSTITUTE('Dano fixo'!$G$6,", ",",")&amp;","))),OR('Dano fixo'!$H$6="",ISNUMBER(SEARCH(","&amp;'Rotação'!$R21&amp;",",","&amp;SUBSTITUTE('Dano fixo'!$H$6,", ",",")&amp;","))),OR('Dano fixo'!$I$6="",ISNUMBER(SEARCH(","&amp;'Rotação'!$K21&amp;",",","&amp;SUBSTITUTE('Dano fixo'!$I$6,", ",",")&amp;",")))),1,0)</f>
        <v>0</v>
      </c>
      <c r="O21" s="2">
        <f t="shared" si="5"/>
        <v>0</v>
      </c>
      <c r="P21" s="2">
        <f>N21*IF('Dano fixo'!$J$6="",$A21,MIN($A21,MAX(0,'Dano fixo'!$J$6-O20)))</f>
        <v>0</v>
      </c>
      <c r="Q21" s="2">
        <f>IF(AND($A21&gt;0,N('Dano fixo'!$L$7)&gt;0,OR('Dano fixo'!$G$7="Todos",ISNUMBER(SEARCH(","&amp;'Rotação'!$I21&amp;",",","&amp;SUBSTITUTE('Dano fixo'!$G$7,", ",",")&amp;","))),OR('Dano fixo'!$H$7="",ISNUMBER(SEARCH(","&amp;'Rotação'!$R21&amp;",",","&amp;SUBSTITUTE('Dano fixo'!$H$7,", ",",")&amp;","))),OR('Dano fixo'!$I$7="",ISNUMBER(SEARCH(","&amp;'Rotação'!$K21&amp;",",","&amp;SUBSTITUTE('Dano fixo'!$I$7,", ",",")&amp;",")))),1,0)</f>
        <v>0</v>
      </c>
      <c r="R21" s="2">
        <f t="shared" si="6"/>
        <v>0</v>
      </c>
      <c r="S21" s="2">
        <f>Q21*IF('Dano fixo'!$J$7="",$A21,MIN($A21,MAX(0,'Dano fixo'!$J$7-R20)))</f>
        <v>0</v>
      </c>
      <c r="T21" s="2">
        <f>IF(AND($A21&gt;0,N('Dano fixo'!$L$8)&gt;0,OR('Dano fixo'!$G$8="Todos",ISNUMBER(SEARCH(","&amp;'Rotação'!$I21&amp;",",","&amp;SUBSTITUTE('Dano fixo'!$G$8,", ",",")&amp;","))),OR('Dano fixo'!$H$8="",ISNUMBER(SEARCH(","&amp;'Rotação'!$R21&amp;",",","&amp;SUBSTITUTE('Dano fixo'!$H$8,", ",",")&amp;","))),OR('Dano fixo'!$I$8="",ISNUMBER(SEARCH(","&amp;'Rotação'!$K21&amp;",",","&amp;SUBSTITUTE('Dano fixo'!$I$8,", ",",")&amp;",")))),1,0)</f>
        <v>0</v>
      </c>
      <c r="U21" s="2">
        <f t="shared" si="7"/>
        <v>0</v>
      </c>
      <c r="V21" s="2">
        <f>T21*IF('Dano fixo'!$J$8="",$A21,MIN($A21,MAX(0,'Dano fixo'!$J$8-U20)))</f>
        <v>0</v>
      </c>
      <c r="W21" s="2">
        <f>IF(AND($A21&gt;0,N('Dano fixo'!$L$9)&gt;0,OR('Dano fixo'!$G$9="Todos",ISNUMBER(SEARCH(","&amp;'Rotação'!$I21&amp;",",","&amp;SUBSTITUTE('Dano fixo'!$G$9,", ",",")&amp;","))),OR('Dano fixo'!$H$9="",ISNUMBER(SEARCH(","&amp;'Rotação'!$R21&amp;",",","&amp;SUBSTITUTE('Dano fixo'!$H$9,", ",",")&amp;","))),OR('Dano fixo'!$I$9="",ISNUMBER(SEARCH(","&amp;'Rotação'!$K21&amp;",",","&amp;SUBSTITUTE('Dano fixo'!$I$9,", ",",")&amp;",")))),1,0)</f>
        <v>0</v>
      </c>
      <c r="X21" s="2">
        <f t="shared" si="8"/>
        <v>0</v>
      </c>
      <c r="Y21" s="2">
        <f>W21*IF('Dano fixo'!$J$9="",$A21,MIN($A21,MAX(0,'Dano fixo'!$J$9-X20)))</f>
        <v>0</v>
      </c>
      <c r="Z21" s="2">
        <f>IF(AND($A21&gt;0,N('Dano fixo'!$L$10)&gt;0,OR('Dano fixo'!$G$10="Todos",ISNUMBER(SEARCH(","&amp;'Rotação'!$I21&amp;",",","&amp;SUBSTITUTE('Dano fixo'!$G$10,", ",",")&amp;","))),OR('Dano fixo'!$H$10="",ISNUMBER(SEARCH(","&amp;'Rotação'!$R21&amp;",",","&amp;SUBSTITUTE('Dano fixo'!$H$10,", ",",")&amp;","))),OR('Dano fixo'!$I$10="",ISNUMBER(SEARCH(","&amp;'Rotação'!$K21&amp;",",","&amp;SUBSTITUTE('Dano fixo'!$I$10,", ",",")&amp;",")))),1,0)</f>
        <v>0</v>
      </c>
      <c r="AA21" s="2">
        <f t="shared" si="9"/>
        <v>0</v>
      </c>
      <c r="AB21" s="2">
        <f>Z21*IF('Dano fixo'!$J$10="",$A21,MIN($A21,MAX(0,'Dano fixo'!$J$10-AA20)))</f>
        <v>0</v>
      </c>
      <c r="AC21" s="2">
        <f>IF(AND($A21&gt;0,N('Dano fixo'!$L$11)&gt;0,OR('Dano fixo'!$G$11="Todos",ISNUMBER(SEARCH(","&amp;'Rotação'!$I21&amp;",",","&amp;SUBSTITUTE('Dano fixo'!$G$11,", ",",")&amp;","))),OR('Dano fixo'!$H$11="",ISNUMBER(SEARCH(","&amp;'Rotação'!$R21&amp;",",","&amp;SUBSTITUTE('Dano fixo'!$H$11,", ",",")&amp;","))),OR('Dano fixo'!$I$11="",ISNUMBER(SEARCH(","&amp;'Rotação'!$K21&amp;",",","&amp;SUBSTITUTE('Dano fixo'!$I$11,", ",",")&amp;",")))),1,0)</f>
        <v>0</v>
      </c>
      <c r="AD21" s="2">
        <f t="shared" si="10"/>
        <v>0</v>
      </c>
      <c r="AE21" s="2">
        <f>AC21*IF('Dano fixo'!$J$11="",$A21,MIN($A21,MAX(0,'Dano fixo'!$J$11-AD20)))</f>
        <v>0</v>
      </c>
      <c r="AF21" s="2">
        <f>D21*'Dano fixo'!$L$2+G21*'Dano fixo'!$L$3+J21*'Dano fixo'!$L$4+M21*'Dano fixo'!$L$5+P21*'Dano fixo'!$L$6+S21*'Dano fixo'!$L$7+V21*'Dano fixo'!$L$8+Y21*'Dano fixo'!$L$9+AB21*'Dano fixo'!$L$10+AE21*'Dano fixo'!$L$11</f>
        <v>0</v>
      </c>
    </row>
    <row r="22" ht="15.75" customHeight="1">
      <c r="A22" s="2">
        <f t="array" ref="A22">IF(ISNUMBER('Rotação'!$J22),IF('Rotação'!$B22="",1,'Rotação'!$B22)*IF(ISNUMBER('Rotação'!$H22),MAX(1,N(INDEX(L_Golpes!$BN$2:$BN$6000,'Rotação'!$H22))),1),0)</f>
        <v>1</v>
      </c>
      <c r="B22" s="2">
        <f>IF(AND($A22&gt;0,N('Dano fixo'!$L$2)&gt;0,OR('Dano fixo'!$G$2="Todos",ISNUMBER(SEARCH(","&amp;'Rotação'!$I22&amp;",",","&amp;SUBSTITUTE('Dano fixo'!$G$2,", ",",")&amp;","))),OR('Dano fixo'!$H$2="",ISNUMBER(SEARCH(","&amp;'Rotação'!$R22&amp;",",","&amp;SUBSTITUTE('Dano fixo'!$H$2,", ",",")&amp;","))),OR('Dano fixo'!$I$2="",ISNUMBER(SEARCH(","&amp;'Rotação'!$K22&amp;",",","&amp;SUBSTITUTE('Dano fixo'!$I$2,", ",",")&amp;",")))),1,0)</f>
        <v>0</v>
      </c>
      <c r="C22" s="2">
        <f t="shared" si="1"/>
        <v>0</v>
      </c>
      <c r="D22" s="2">
        <f>B22*IF('Dano fixo'!$J$2="",$A22,MIN($A22,MAX(0,'Dano fixo'!$J$2-C21)))</f>
        <v>0</v>
      </c>
      <c r="E22" s="2">
        <f>IF(AND($A22&gt;0,N('Dano fixo'!$L$3)&gt;0,OR('Dano fixo'!$G$3="Todos",ISNUMBER(SEARCH(","&amp;'Rotação'!$I22&amp;",",","&amp;SUBSTITUTE('Dano fixo'!$G$3,", ",",")&amp;","))),OR('Dano fixo'!$H$3="",ISNUMBER(SEARCH(","&amp;'Rotação'!$R22&amp;",",","&amp;SUBSTITUTE('Dano fixo'!$H$3,", ",",")&amp;","))),OR('Dano fixo'!$I$3="",ISNUMBER(SEARCH(","&amp;'Rotação'!$K22&amp;",",","&amp;SUBSTITUTE('Dano fixo'!$I$3,", ",",")&amp;",")))),1,0)</f>
        <v>0</v>
      </c>
      <c r="F22" s="2">
        <f t="shared" si="2"/>
        <v>0</v>
      </c>
      <c r="G22" s="2">
        <f>E22*IF('Dano fixo'!$J$3="",$A22,MIN($A22,MAX(0,'Dano fixo'!$J$3-F21)))</f>
        <v>0</v>
      </c>
      <c r="H22" s="2">
        <f>IF(AND($A22&gt;0,N('Dano fixo'!$L$4)&gt;0,OR('Dano fixo'!$G$4="Todos",ISNUMBER(SEARCH(","&amp;'Rotação'!$I22&amp;",",","&amp;SUBSTITUTE('Dano fixo'!$G$4,", ",",")&amp;","))),OR('Dano fixo'!$H$4="",ISNUMBER(SEARCH(","&amp;'Rotação'!$R22&amp;",",","&amp;SUBSTITUTE('Dano fixo'!$H$4,", ",",")&amp;","))),OR('Dano fixo'!$I$4="",ISNUMBER(SEARCH(","&amp;'Rotação'!$K22&amp;",",","&amp;SUBSTITUTE('Dano fixo'!$I$4,", ",",")&amp;",")))),1,0)</f>
        <v>0</v>
      </c>
      <c r="I22" s="2">
        <f t="shared" si="3"/>
        <v>0</v>
      </c>
      <c r="J22" s="2">
        <f>H22*IF('Dano fixo'!$J$4="",$A22,MIN($A22,MAX(0,'Dano fixo'!$J$4-I21)))</f>
        <v>0</v>
      </c>
      <c r="K22" s="2">
        <f>IF(AND($A22&gt;0,N('Dano fixo'!$L$5)&gt;0,OR('Dano fixo'!$G$5="Todos",ISNUMBER(SEARCH(","&amp;'Rotação'!$I22&amp;",",","&amp;SUBSTITUTE('Dano fixo'!$G$5,", ",",")&amp;","))),OR('Dano fixo'!$H$5="",ISNUMBER(SEARCH(","&amp;'Rotação'!$R22&amp;",",","&amp;SUBSTITUTE('Dano fixo'!$H$5,", ",",")&amp;","))),OR('Dano fixo'!$I$5="",ISNUMBER(SEARCH(","&amp;'Rotação'!$K22&amp;",",","&amp;SUBSTITUTE('Dano fixo'!$I$5,", ",",")&amp;",")))),1,0)</f>
        <v>0</v>
      </c>
      <c r="L22" s="2">
        <f t="shared" si="4"/>
        <v>0</v>
      </c>
      <c r="M22" s="2">
        <f>K22*IF('Dano fixo'!$J$5="",$A22,MIN($A22,MAX(0,'Dano fixo'!$J$5-L21)))</f>
        <v>0</v>
      </c>
      <c r="N22" s="2">
        <f>IF(AND($A22&gt;0,N('Dano fixo'!$L$6)&gt;0,OR('Dano fixo'!$G$6="Todos",ISNUMBER(SEARCH(","&amp;'Rotação'!$I22&amp;",",","&amp;SUBSTITUTE('Dano fixo'!$G$6,", ",",")&amp;","))),OR('Dano fixo'!$H$6="",ISNUMBER(SEARCH(","&amp;'Rotação'!$R22&amp;",",","&amp;SUBSTITUTE('Dano fixo'!$H$6,", ",",")&amp;","))),OR('Dano fixo'!$I$6="",ISNUMBER(SEARCH(","&amp;'Rotação'!$K22&amp;",",","&amp;SUBSTITUTE('Dano fixo'!$I$6,", ",",")&amp;",")))),1,0)</f>
        <v>0</v>
      </c>
      <c r="O22" s="2">
        <f t="shared" si="5"/>
        <v>0</v>
      </c>
      <c r="P22" s="2">
        <f>N22*IF('Dano fixo'!$J$6="",$A22,MIN($A22,MAX(0,'Dano fixo'!$J$6-O21)))</f>
        <v>0</v>
      </c>
      <c r="Q22" s="2">
        <f>IF(AND($A22&gt;0,N('Dano fixo'!$L$7)&gt;0,OR('Dano fixo'!$G$7="Todos",ISNUMBER(SEARCH(","&amp;'Rotação'!$I22&amp;",",","&amp;SUBSTITUTE('Dano fixo'!$G$7,", ",",")&amp;","))),OR('Dano fixo'!$H$7="",ISNUMBER(SEARCH(","&amp;'Rotação'!$R22&amp;",",","&amp;SUBSTITUTE('Dano fixo'!$H$7,", ",",")&amp;","))),OR('Dano fixo'!$I$7="",ISNUMBER(SEARCH(","&amp;'Rotação'!$K22&amp;",",","&amp;SUBSTITUTE('Dano fixo'!$I$7,", ",",")&amp;",")))),1,0)</f>
        <v>0</v>
      </c>
      <c r="R22" s="2">
        <f t="shared" si="6"/>
        <v>0</v>
      </c>
      <c r="S22" s="2">
        <f>Q22*IF('Dano fixo'!$J$7="",$A22,MIN($A22,MAX(0,'Dano fixo'!$J$7-R21)))</f>
        <v>0</v>
      </c>
      <c r="T22" s="2">
        <f>IF(AND($A22&gt;0,N('Dano fixo'!$L$8)&gt;0,OR('Dano fixo'!$G$8="Todos",ISNUMBER(SEARCH(","&amp;'Rotação'!$I22&amp;",",","&amp;SUBSTITUTE('Dano fixo'!$G$8,", ",",")&amp;","))),OR('Dano fixo'!$H$8="",ISNUMBER(SEARCH(","&amp;'Rotação'!$R22&amp;",",","&amp;SUBSTITUTE('Dano fixo'!$H$8,", ",",")&amp;","))),OR('Dano fixo'!$I$8="",ISNUMBER(SEARCH(","&amp;'Rotação'!$K22&amp;",",","&amp;SUBSTITUTE('Dano fixo'!$I$8,", ",",")&amp;",")))),1,0)</f>
        <v>0</v>
      </c>
      <c r="U22" s="2">
        <f t="shared" si="7"/>
        <v>0</v>
      </c>
      <c r="V22" s="2">
        <f>T22*IF('Dano fixo'!$J$8="",$A22,MIN($A22,MAX(0,'Dano fixo'!$J$8-U21)))</f>
        <v>0</v>
      </c>
      <c r="W22" s="2">
        <f>IF(AND($A22&gt;0,N('Dano fixo'!$L$9)&gt;0,OR('Dano fixo'!$G$9="Todos",ISNUMBER(SEARCH(","&amp;'Rotação'!$I22&amp;",",","&amp;SUBSTITUTE('Dano fixo'!$G$9,", ",",")&amp;","))),OR('Dano fixo'!$H$9="",ISNUMBER(SEARCH(","&amp;'Rotação'!$R22&amp;",",","&amp;SUBSTITUTE('Dano fixo'!$H$9,", ",",")&amp;","))),OR('Dano fixo'!$I$9="",ISNUMBER(SEARCH(","&amp;'Rotação'!$K22&amp;",",","&amp;SUBSTITUTE('Dano fixo'!$I$9,", ",",")&amp;",")))),1,0)</f>
        <v>0</v>
      </c>
      <c r="X22" s="2">
        <f t="shared" si="8"/>
        <v>0</v>
      </c>
      <c r="Y22" s="2">
        <f>W22*IF('Dano fixo'!$J$9="",$A22,MIN($A22,MAX(0,'Dano fixo'!$J$9-X21)))</f>
        <v>0</v>
      </c>
      <c r="Z22" s="2">
        <f>IF(AND($A22&gt;0,N('Dano fixo'!$L$10)&gt;0,OR('Dano fixo'!$G$10="Todos",ISNUMBER(SEARCH(","&amp;'Rotação'!$I22&amp;",",","&amp;SUBSTITUTE('Dano fixo'!$G$10,", ",",")&amp;","))),OR('Dano fixo'!$H$10="",ISNUMBER(SEARCH(","&amp;'Rotação'!$R22&amp;",",","&amp;SUBSTITUTE('Dano fixo'!$H$10,", ",",")&amp;","))),OR('Dano fixo'!$I$10="",ISNUMBER(SEARCH(","&amp;'Rotação'!$K22&amp;",",","&amp;SUBSTITUTE('Dano fixo'!$I$10,", ",",")&amp;",")))),1,0)</f>
        <v>0</v>
      </c>
      <c r="AA22" s="2">
        <f t="shared" si="9"/>
        <v>0</v>
      </c>
      <c r="AB22" s="2">
        <f>Z22*IF('Dano fixo'!$J$10="",$A22,MIN($A22,MAX(0,'Dano fixo'!$J$10-AA21)))</f>
        <v>0</v>
      </c>
      <c r="AC22" s="2">
        <f>IF(AND($A22&gt;0,N('Dano fixo'!$L$11)&gt;0,OR('Dano fixo'!$G$11="Todos",ISNUMBER(SEARCH(","&amp;'Rotação'!$I22&amp;",",","&amp;SUBSTITUTE('Dano fixo'!$G$11,", ",",")&amp;","))),OR('Dano fixo'!$H$11="",ISNUMBER(SEARCH(","&amp;'Rotação'!$R22&amp;",",","&amp;SUBSTITUTE('Dano fixo'!$H$11,", ",",")&amp;","))),OR('Dano fixo'!$I$11="",ISNUMBER(SEARCH(","&amp;'Rotação'!$K22&amp;",",","&amp;SUBSTITUTE('Dano fixo'!$I$11,", ",",")&amp;",")))),1,0)</f>
        <v>0</v>
      </c>
      <c r="AD22" s="2">
        <f t="shared" si="10"/>
        <v>0</v>
      </c>
      <c r="AE22" s="2">
        <f>AC22*IF('Dano fixo'!$J$11="",$A22,MIN($A22,MAX(0,'Dano fixo'!$J$11-AD21)))</f>
        <v>0</v>
      </c>
      <c r="AF22" s="2">
        <f>D22*'Dano fixo'!$L$2+G22*'Dano fixo'!$L$3+J22*'Dano fixo'!$L$4+M22*'Dano fixo'!$L$5+P22*'Dano fixo'!$L$6+S22*'Dano fixo'!$L$7+V22*'Dano fixo'!$L$8+Y22*'Dano fixo'!$L$9+AB22*'Dano fixo'!$L$10+AE22*'Dano fixo'!$L$11</f>
        <v>0</v>
      </c>
    </row>
    <row r="23" ht="15.75" customHeight="1">
      <c r="A23" s="2">
        <f t="array" ref="A23">IF(ISNUMBER('Rotação'!$J23),IF('Rotação'!$B23="",1,'Rotação'!$B23)*IF(ISNUMBER('Rotação'!$H23),MAX(1,N(INDEX(L_Golpes!$BN$2:$BN$6000,'Rotação'!$H23))),1),0)</f>
        <v>8</v>
      </c>
      <c r="B23" s="2">
        <f>IF(AND($A23&gt;0,N('Dano fixo'!$L$2)&gt;0,OR('Dano fixo'!$G$2="Todos",ISNUMBER(SEARCH(","&amp;'Rotação'!$I23&amp;",",","&amp;SUBSTITUTE('Dano fixo'!$G$2,", ",",")&amp;","))),OR('Dano fixo'!$H$2="",ISNUMBER(SEARCH(","&amp;'Rotação'!$R23&amp;",",","&amp;SUBSTITUTE('Dano fixo'!$H$2,", ",",")&amp;","))),OR('Dano fixo'!$I$2="",ISNUMBER(SEARCH(","&amp;'Rotação'!$K23&amp;",",","&amp;SUBSTITUTE('Dano fixo'!$I$2,", ",",")&amp;",")))),1,0)</f>
        <v>0</v>
      </c>
      <c r="C23" s="2">
        <f t="shared" si="1"/>
        <v>0</v>
      </c>
      <c r="D23" s="2">
        <f>B23*IF('Dano fixo'!$J$2="",$A23,MIN($A23,MAX(0,'Dano fixo'!$J$2-C22)))</f>
        <v>0</v>
      </c>
      <c r="E23" s="2">
        <f>IF(AND($A23&gt;0,N('Dano fixo'!$L$3)&gt;0,OR('Dano fixo'!$G$3="Todos",ISNUMBER(SEARCH(","&amp;'Rotação'!$I23&amp;",",","&amp;SUBSTITUTE('Dano fixo'!$G$3,", ",",")&amp;","))),OR('Dano fixo'!$H$3="",ISNUMBER(SEARCH(","&amp;'Rotação'!$R23&amp;",",","&amp;SUBSTITUTE('Dano fixo'!$H$3,", ",",")&amp;","))),OR('Dano fixo'!$I$3="",ISNUMBER(SEARCH(","&amp;'Rotação'!$K23&amp;",",","&amp;SUBSTITUTE('Dano fixo'!$I$3,", ",",")&amp;",")))),1,0)</f>
        <v>0</v>
      </c>
      <c r="F23" s="2">
        <f t="shared" si="2"/>
        <v>0</v>
      </c>
      <c r="G23" s="2">
        <f>E23*IF('Dano fixo'!$J$3="",$A23,MIN($A23,MAX(0,'Dano fixo'!$J$3-F22)))</f>
        <v>0</v>
      </c>
      <c r="H23" s="2">
        <f>IF(AND($A23&gt;0,N('Dano fixo'!$L$4)&gt;0,OR('Dano fixo'!$G$4="Todos",ISNUMBER(SEARCH(","&amp;'Rotação'!$I23&amp;",",","&amp;SUBSTITUTE('Dano fixo'!$G$4,", ",",")&amp;","))),OR('Dano fixo'!$H$4="",ISNUMBER(SEARCH(","&amp;'Rotação'!$R23&amp;",",","&amp;SUBSTITUTE('Dano fixo'!$H$4,", ",",")&amp;","))),OR('Dano fixo'!$I$4="",ISNUMBER(SEARCH(","&amp;'Rotação'!$K23&amp;",",","&amp;SUBSTITUTE('Dano fixo'!$I$4,", ",",")&amp;",")))),1,0)</f>
        <v>0</v>
      </c>
      <c r="I23" s="2">
        <f t="shared" si="3"/>
        <v>0</v>
      </c>
      <c r="J23" s="2">
        <f>H23*IF('Dano fixo'!$J$4="",$A23,MIN($A23,MAX(0,'Dano fixo'!$J$4-I22)))</f>
        <v>0</v>
      </c>
      <c r="K23" s="2">
        <f>IF(AND($A23&gt;0,N('Dano fixo'!$L$5)&gt;0,OR('Dano fixo'!$G$5="Todos",ISNUMBER(SEARCH(","&amp;'Rotação'!$I23&amp;",",","&amp;SUBSTITUTE('Dano fixo'!$G$5,", ",",")&amp;","))),OR('Dano fixo'!$H$5="",ISNUMBER(SEARCH(","&amp;'Rotação'!$R23&amp;",",","&amp;SUBSTITUTE('Dano fixo'!$H$5,", ",",")&amp;","))),OR('Dano fixo'!$I$5="",ISNUMBER(SEARCH(","&amp;'Rotação'!$K23&amp;",",","&amp;SUBSTITUTE('Dano fixo'!$I$5,", ",",")&amp;",")))),1,0)</f>
        <v>0</v>
      </c>
      <c r="L23" s="2">
        <f t="shared" si="4"/>
        <v>0</v>
      </c>
      <c r="M23" s="2">
        <f>K23*IF('Dano fixo'!$J$5="",$A23,MIN($A23,MAX(0,'Dano fixo'!$J$5-L22)))</f>
        <v>0</v>
      </c>
      <c r="N23" s="2">
        <f>IF(AND($A23&gt;0,N('Dano fixo'!$L$6)&gt;0,OR('Dano fixo'!$G$6="Todos",ISNUMBER(SEARCH(","&amp;'Rotação'!$I23&amp;",",","&amp;SUBSTITUTE('Dano fixo'!$G$6,", ",",")&amp;","))),OR('Dano fixo'!$H$6="",ISNUMBER(SEARCH(","&amp;'Rotação'!$R23&amp;",",","&amp;SUBSTITUTE('Dano fixo'!$H$6,", ",",")&amp;","))),OR('Dano fixo'!$I$6="",ISNUMBER(SEARCH(","&amp;'Rotação'!$K23&amp;",",","&amp;SUBSTITUTE('Dano fixo'!$I$6,", ",",")&amp;",")))),1,0)</f>
        <v>0</v>
      </c>
      <c r="O23" s="2">
        <f t="shared" si="5"/>
        <v>0</v>
      </c>
      <c r="P23" s="2">
        <f>N23*IF('Dano fixo'!$J$6="",$A23,MIN($A23,MAX(0,'Dano fixo'!$J$6-O22)))</f>
        <v>0</v>
      </c>
      <c r="Q23" s="2">
        <f>IF(AND($A23&gt;0,N('Dano fixo'!$L$7)&gt;0,OR('Dano fixo'!$G$7="Todos",ISNUMBER(SEARCH(","&amp;'Rotação'!$I23&amp;",",","&amp;SUBSTITUTE('Dano fixo'!$G$7,", ",",")&amp;","))),OR('Dano fixo'!$H$7="",ISNUMBER(SEARCH(","&amp;'Rotação'!$R23&amp;",",","&amp;SUBSTITUTE('Dano fixo'!$H$7,", ",",")&amp;","))),OR('Dano fixo'!$I$7="",ISNUMBER(SEARCH(","&amp;'Rotação'!$K23&amp;",",","&amp;SUBSTITUTE('Dano fixo'!$I$7,", ",",")&amp;",")))),1,0)</f>
        <v>0</v>
      </c>
      <c r="R23" s="2">
        <f t="shared" si="6"/>
        <v>0</v>
      </c>
      <c r="S23" s="2">
        <f>Q23*IF('Dano fixo'!$J$7="",$A23,MIN($A23,MAX(0,'Dano fixo'!$J$7-R22)))</f>
        <v>0</v>
      </c>
      <c r="T23" s="2">
        <f>IF(AND($A23&gt;0,N('Dano fixo'!$L$8)&gt;0,OR('Dano fixo'!$G$8="Todos",ISNUMBER(SEARCH(","&amp;'Rotação'!$I23&amp;",",","&amp;SUBSTITUTE('Dano fixo'!$G$8,", ",",")&amp;","))),OR('Dano fixo'!$H$8="",ISNUMBER(SEARCH(","&amp;'Rotação'!$R23&amp;",",","&amp;SUBSTITUTE('Dano fixo'!$H$8,", ",",")&amp;","))),OR('Dano fixo'!$I$8="",ISNUMBER(SEARCH(","&amp;'Rotação'!$K23&amp;",",","&amp;SUBSTITUTE('Dano fixo'!$I$8,", ",",")&amp;",")))),1,0)</f>
        <v>0</v>
      </c>
      <c r="U23" s="2">
        <f t="shared" si="7"/>
        <v>0</v>
      </c>
      <c r="V23" s="2">
        <f>T23*IF('Dano fixo'!$J$8="",$A23,MIN($A23,MAX(0,'Dano fixo'!$J$8-U22)))</f>
        <v>0</v>
      </c>
      <c r="W23" s="2">
        <f>IF(AND($A23&gt;0,N('Dano fixo'!$L$9)&gt;0,OR('Dano fixo'!$G$9="Todos",ISNUMBER(SEARCH(","&amp;'Rotação'!$I23&amp;",",","&amp;SUBSTITUTE('Dano fixo'!$G$9,", ",",")&amp;","))),OR('Dano fixo'!$H$9="",ISNUMBER(SEARCH(","&amp;'Rotação'!$R23&amp;",",","&amp;SUBSTITUTE('Dano fixo'!$H$9,", ",",")&amp;","))),OR('Dano fixo'!$I$9="",ISNUMBER(SEARCH(","&amp;'Rotação'!$K23&amp;",",","&amp;SUBSTITUTE('Dano fixo'!$I$9,", ",",")&amp;",")))),1,0)</f>
        <v>0</v>
      </c>
      <c r="X23" s="2">
        <f t="shared" si="8"/>
        <v>0</v>
      </c>
      <c r="Y23" s="2">
        <f>W23*IF('Dano fixo'!$J$9="",$A23,MIN($A23,MAX(0,'Dano fixo'!$J$9-X22)))</f>
        <v>0</v>
      </c>
      <c r="Z23" s="2">
        <f>IF(AND($A23&gt;0,N('Dano fixo'!$L$10)&gt;0,OR('Dano fixo'!$G$10="Todos",ISNUMBER(SEARCH(","&amp;'Rotação'!$I23&amp;",",","&amp;SUBSTITUTE('Dano fixo'!$G$10,", ",",")&amp;","))),OR('Dano fixo'!$H$10="",ISNUMBER(SEARCH(","&amp;'Rotação'!$R23&amp;",",","&amp;SUBSTITUTE('Dano fixo'!$H$10,", ",",")&amp;","))),OR('Dano fixo'!$I$10="",ISNUMBER(SEARCH(","&amp;'Rotação'!$K23&amp;",",","&amp;SUBSTITUTE('Dano fixo'!$I$10,", ",",")&amp;",")))),1,0)</f>
        <v>0</v>
      </c>
      <c r="AA23" s="2">
        <f t="shared" si="9"/>
        <v>0</v>
      </c>
      <c r="AB23" s="2">
        <f>Z23*IF('Dano fixo'!$J$10="",$A23,MIN($A23,MAX(0,'Dano fixo'!$J$10-AA22)))</f>
        <v>0</v>
      </c>
      <c r="AC23" s="2">
        <f>IF(AND($A23&gt;0,N('Dano fixo'!$L$11)&gt;0,OR('Dano fixo'!$G$11="Todos",ISNUMBER(SEARCH(","&amp;'Rotação'!$I23&amp;",",","&amp;SUBSTITUTE('Dano fixo'!$G$11,", ",",")&amp;","))),OR('Dano fixo'!$H$11="",ISNUMBER(SEARCH(","&amp;'Rotação'!$R23&amp;",",","&amp;SUBSTITUTE('Dano fixo'!$H$11,", ",",")&amp;","))),OR('Dano fixo'!$I$11="",ISNUMBER(SEARCH(","&amp;'Rotação'!$K23&amp;",",","&amp;SUBSTITUTE('Dano fixo'!$I$11,", ",",")&amp;",")))),1,0)</f>
        <v>0</v>
      </c>
      <c r="AD23" s="2">
        <f t="shared" si="10"/>
        <v>0</v>
      </c>
      <c r="AE23" s="2">
        <f>AC23*IF('Dano fixo'!$J$11="",$A23,MIN($A23,MAX(0,'Dano fixo'!$J$11-AD22)))</f>
        <v>0</v>
      </c>
      <c r="AF23" s="2">
        <f>D23*'Dano fixo'!$L$2+G23*'Dano fixo'!$L$3+J23*'Dano fixo'!$L$4+M23*'Dano fixo'!$L$5+P23*'Dano fixo'!$L$6+S23*'Dano fixo'!$L$7+V23*'Dano fixo'!$L$8+Y23*'Dano fixo'!$L$9+AB23*'Dano fixo'!$L$10+AE23*'Dano fixo'!$L$11</f>
        <v>0</v>
      </c>
    </row>
    <row r="24" ht="15.75" customHeight="1">
      <c r="A24" s="2">
        <f t="array" ref="A24">IF(ISNUMBER('Rotação'!$J24),IF('Rotação'!$B24="",1,'Rotação'!$B24)*IF(ISNUMBER('Rotação'!$H24),MAX(1,N(INDEX(L_Golpes!$BN$2:$BN$6000,'Rotação'!$H24))),1),0)</f>
        <v>1</v>
      </c>
      <c r="B24" s="2">
        <f>IF(AND($A24&gt;0,N('Dano fixo'!$L$2)&gt;0,OR('Dano fixo'!$G$2="Todos",ISNUMBER(SEARCH(","&amp;'Rotação'!$I24&amp;",",","&amp;SUBSTITUTE('Dano fixo'!$G$2,", ",",")&amp;","))),OR('Dano fixo'!$H$2="",ISNUMBER(SEARCH(","&amp;'Rotação'!$R24&amp;",",","&amp;SUBSTITUTE('Dano fixo'!$H$2,", ",",")&amp;","))),OR('Dano fixo'!$I$2="",ISNUMBER(SEARCH(","&amp;'Rotação'!$K24&amp;",",","&amp;SUBSTITUTE('Dano fixo'!$I$2,", ",",")&amp;",")))),1,0)</f>
        <v>0</v>
      </c>
      <c r="C24" s="2">
        <f t="shared" si="1"/>
        <v>0</v>
      </c>
      <c r="D24" s="2">
        <f>B24*IF('Dano fixo'!$J$2="",$A24,MIN($A24,MAX(0,'Dano fixo'!$J$2-C23)))</f>
        <v>0</v>
      </c>
      <c r="E24" s="2">
        <f>IF(AND($A24&gt;0,N('Dano fixo'!$L$3)&gt;0,OR('Dano fixo'!$G$3="Todos",ISNUMBER(SEARCH(","&amp;'Rotação'!$I24&amp;",",","&amp;SUBSTITUTE('Dano fixo'!$G$3,", ",",")&amp;","))),OR('Dano fixo'!$H$3="",ISNUMBER(SEARCH(","&amp;'Rotação'!$R24&amp;",",","&amp;SUBSTITUTE('Dano fixo'!$H$3,", ",",")&amp;","))),OR('Dano fixo'!$I$3="",ISNUMBER(SEARCH(","&amp;'Rotação'!$K24&amp;",",","&amp;SUBSTITUTE('Dano fixo'!$I$3,", ",",")&amp;",")))),1,0)</f>
        <v>0</v>
      </c>
      <c r="F24" s="2">
        <f t="shared" si="2"/>
        <v>0</v>
      </c>
      <c r="G24" s="2">
        <f>E24*IF('Dano fixo'!$J$3="",$A24,MIN($A24,MAX(0,'Dano fixo'!$J$3-F23)))</f>
        <v>0</v>
      </c>
      <c r="H24" s="2">
        <f>IF(AND($A24&gt;0,N('Dano fixo'!$L$4)&gt;0,OR('Dano fixo'!$G$4="Todos",ISNUMBER(SEARCH(","&amp;'Rotação'!$I24&amp;",",","&amp;SUBSTITUTE('Dano fixo'!$G$4,", ",",")&amp;","))),OR('Dano fixo'!$H$4="",ISNUMBER(SEARCH(","&amp;'Rotação'!$R24&amp;",",","&amp;SUBSTITUTE('Dano fixo'!$H$4,", ",",")&amp;","))),OR('Dano fixo'!$I$4="",ISNUMBER(SEARCH(","&amp;'Rotação'!$K24&amp;",",","&amp;SUBSTITUTE('Dano fixo'!$I$4,", ",",")&amp;",")))),1,0)</f>
        <v>0</v>
      </c>
      <c r="I24" s="2">
        <f t="shared" si="3"/>
        <v>0</v>
      </c>
      <c r="J24" s="2">
        <f>H24*IF('Dano fixo'!$J$4="",$A24,MIN($A24,MAX(0,'Dano fixo'!$J$4-I23)))</f>
        <v>0</v>
      </c>
      <c r="K24" s="2">
        <f>IF(AND($A24&gt;0,N('Dano fixo'!$L$5)&gt;0,OR('Dano fixo'!$G$5="Todos",ISNUMBER(SEARCH(","&amp;'Rotação'!$I24&amp;",",","&amp;SUBSTITUTE('Dano fixo'!$G$5,", ",",")&amp;","))),OR('Dano fixo'!$H$5="",ISNUMBER(SEARCH(","&amp;'Rotação'!$R24&amp;",",","&amp;SUBSTITUTE('Dano fixo'!$H$5,", ",",")&amp;","))),OR('Dano fixo'!$I$5="",ISNUMBER(SEARCH(","&amp;'Rotação'!$K24&amp;",",","&amp;SUBSTITUTE('Dano fixo'!$I$5,", ",",")&amp;",")))),1,0)</f>
        <v>0</v>
      </c>
      <c r="L24" s="2">
        <f t="shared" si="4"/>
        <v>0</v>
      </c>
      <c r="M24" s="2">
        <f>K24*IF('Dano fixo'!$J$5="",$A24,MIN($A24,MAX(0,'Dano fixo'!$J$5-L23)))</f>
        <v>0</v>
      </c>
      <c r="N24" s="2">
        <f>IF(AND($A24&gt;0,N('Dano fixo'!$L$6)&gt;0,OR('Dano fixo'!$G$6="Todos",ISNUMBER(SEARCH(","&amp;'Rotação'!$I24&amp;",",","&amp;SUBSTITUTE('Dano fixo'!$G$6,", ",",")&amp;","))),OR('Dano fixo'!$H$6="",ISNUMBER(SEARCH(","&amp;'Rotação'!$R24&amp;",",","&amp;SUBSTITUTE('Dano fixo'!$H$6,", ",",")&amp;","))),OR('Dano fixo'!$I$6="",ISNUMBER(SEARCH(","&amp;'Rotação'!$K24&amp;",",","&amp;SUBSTITUTE('Dano fixo'!$I$6,", ",",")&amp;",")))),1,0)</f>
        <v>0</v>
      </c>
      <c r="O24" s="2">
        <f t="shared" si="5"/>
        <v>0</v>
      </c>
      <c r="P24" s="2">
        <f>N24*IF('Dano fixo'!$J$6="",$A24,MIN($A24,MAX(0,'Dano fixo'!$J$6-O23)))</f>
        <v>0</v>
      </c>
      <c r="Q24" s="2">
        <f>IF(AND($A24&gt;0,N('Dano fixo'!$L$7)&gt;0,OR('Dano fixo'!$G$7="Todos",ISNUMBER(SEARCH(","&amp;'Rotação'!$I24&amp;",",","&amp;SUBSTITUTE('Dano fixo'!$G$7,", ",",")&amp;","))),OR('Dano fixo'!$H$7="",ISNUMBER(SEARCH(","&amp;'Rotação'!$R24&amp;",",","&amp;SUBSTITUTE('Dano fixo'!$H$7,", ",",")&amp;","))),OR('Dano fixo'!$I$7="",ISNUMBER(SEARCH(","&amp;'Rotação'!$K24&amp;",",","&amp;SUBSTITUTE('Dano fixo'!$I$7,", ",",")&amp;",")))),1,0)</f>
        <v>0</v>
      </c>
      <c r="R24" s="2">
        <f t="shared" si="6"/>
        <v>0</v>
      </c>
      <c r="S24" s="2">
        <f>Q24*IF('Dano fixo'!$J$7="",$A24,MIN($A24,MAX(0,'Dano fixo'!$J$7-R23)))</f>
        <v>0</v>
      </c>
      <c r="T24" s="2">
        <f>IF(AND($A24&gt;0,N('Dano fixo'!$L$8)&gt;0,OR('Dano fixo'!$G$8="Todos",ISNUMBER(SEARCH(","&amp;'Rotação'!$I24&amp;",",","&amp;SUBSTITUTE('Dano fixo'!$G$8,", ",",")&amp;","))),OR('Dano fixo'!$H$8="",ISNUMBER(SEARCH(","&amp;'Rotação'!$R24&amp;",",","&amp;SUBSTITUTE('Dano fixo'!$H$8,", ",",")&amp;","))),OR('Dano fixo'!$I$8="",ISNUMBER(SEARCH(","&amp;'Rotação'!$K24&amp;",",","&amp;SUBSTITUTE('Dano fixo'!$I$8,", ",",")&amp;",")))),1,0)</f>
        <v>0</v>
      </c>
      <c r="U24" s="2">
        <f t="shared" si="7"/>
        <v>0</v>
      </c>
      <c r="V24" s="2">
        <f>T24*IF('Dano fixo'!$J$8="",$A24,MIN($A24,MAX(0,'Dano fixo'!$J$8-U23)))</f>
        <v>0</v>
      </c>
      <c r="W24" s="2">
        <f>IF(AND($A24&gt;0,N('Dano fixo'!$L$9)&gt;0,OR('Dano fixo'!$G$9="Todos",ISNUMBER(SEARCH(","&amp;'Rotação'!$I24&amp;",",","&amp;SUBSTITUTE('Dano fixo'!$G$9,", ",",")&amp;","))),OR('Dano fixo'!$H$9="",ISNUMBER(SEARCH(","&amp;'Rotação'!$R24&amp;",",","&amp;SUBSTITUTE('Dano fixo'!$H$9,", ",",")&amp;","))),OR('Dano fixo'!$I$9="",ISNUMBER(SEARCH(","&amp;'Rotação'!$K24&amp;",",","&amp;SUBSTITUTE('Dano fixo'!$I$9,", ",",")&amp;",")))),1,0)</f>
        <v>0</v>
      </c>
      <c r="X24" s="2">
        <f t="shared" si="8"/>
        <v>0</v>
      </c>
      <c r="Y24" s="2">
        <f>W24*IF('Dano fixo'!$J$9="",$A24,MIN($A24,MAX(0,'Dano fixo'!$J$9-X23)))</f>
        <v>0</v>
      </c>
      <c r="Z24" s="2">
        <f>IF(AND($A24&gt;0,N('Dano fixo'!$L$10)&gt;0,OR('Dano fixo'!$G$10="Todos",ISNUMBER(SEARCH(","&amp;'Rotação'!$I24&amp;",",","&amp;SUBSTITUTE('Dano fixo'!$G$10,", ",",")&amp;","))),OR('Dano fixo'!$H$10="",ISNUMBER(SEARCH(","&amp;'Rotação'!$R24&amp;",",","&amp;SUBSTITUTE('Dano fixo'!$H$10,", ",",")&amp;","))),OR('Dano fixo'!$I$10="",ISNUMBER(SEARCH(","&amp;'Rotação'!$K24&amp;",",","&amp;SUBSTITUTE('Dano fixo'!$I$10,", ",",")&amp;",")))),1,0)</f>
        <v>0</v>
      </c>
      <c r="AA24" s="2">
        <f t="shared" si="9"/>
        <v>0</v>
      </c>
      <c r="AB24" s="2">
        <f>Z24*IF('Dano fixo'!$J$10="",$A24,MIN($A24,MAX(0,'Dano fixo'!$J$10-AA23)))</f>
        <v>0</v>
      </c>
      <c r="AC24" s="2">
        <f>IF(AND($A24&gt;0,N('Dano fixo'!$L$11)&gt;0,OR('Dano fixo'!$G$11="Todos",ISNUMBER(SEARCH(","&amp;'Rotação'!$I24&amp;",",","&amp;SUBSTITUTE('Dano fixo'!$G$11,", ",",")&amp;","))),OR('Dano fixo'!$H$11="",ISNUMBER(SEARCH(","&amp;'Rotação'!$R24&amp;",",","&amp;SUBSTITUTE('Dano fixo'!$H$11,", ",",")&amp;","))),OR('Dano fixo'!$I$11="",ISNUMBER(SEARCH(","&amp;'Rotação'!$K24&amp;",",","&amp;SUBSTITUTE('Dano fixo'!$I$11,", ",",")&amp;",")))),1,0)</f>
        <v>0</v>
      </c>
      <c r="AD24" s="2">
        <f t="shared" si="10"/>
        <v>0</v>
      </c>
      <c r="AE24" s="2">
        <f>AC24*IF('Dano fixo'!$J$11="",$A24,MIN($A24,MAX(0,'Dano fixo'!$J$11-AD23)))</f>
        <v>0</v>
      </c>
      <c r="AF24" s="2">
        <f>D24*'Dano fixo'!$L$2+G24*'Dano fixo'!$L$3+J24*'Dano fixo'!$L$4+M24*'Dano fixo'!$L$5+P24*'Dano fixo'!$L$6+S24*'Dano fixo'!$L$7+V24*'Dano fixo'!$L$8+Y24*'Dano fixo'!$L$9+AB24*'Dano fixo'!$L$10+AE24*'Dano fixo'!$L$11</f>
        <v>0</v>
      </c>
    </row>
    <row r="25" ht="15.75" customHeight="1">
      <c r="A25" s="2">
        <f t="array" ref="A25">IF(ISNUMBER('Rotação'!$J25),IF('Rotação'!$B25="",1,'Rotação'!$B25)*IF(ISNUMBER('Rotação'!$H25),MAX(1,N(INDEX(L_Golpes!$BN$2:$BN$6000,'Rotação'!$H25))),1),0)</f>
        <v>2</v>
      </c>
      <c r="B25" s="2">
        <f>IF(AND($A25&gt;0,N('Dano fixo'!$L$2)&gt;0,OR('Dano fixo'!$G$2="Todos",ISNUMBER(SEARCH(","&amp;'Rotação'!$I25&amp;",",","&amp;SUBSTITUTE('Dano fixo'!$G$2,", ",",")&amp;","))),OR('Dano fixo'!$H$2="",ISNUMBER(SEARCH(","&amp;'Rotação'!$R25&amp;",",","&amp;SUBSTITUTE('Dano fixo'!$H$2,", ",",")&amp;","))),OR('Dano fixo'!$I$2="",ISNUMBER(SEARCH(","&amp;'Rotação'!$K25&amp;",",","&amp;SUBSTITUTE('Dano fixo'!$I$2,", ",",")&amp;",")))),1,0)</f>
        <v>0</v>
      </c>
      <c r="C25" s="2">
        <f t="shared" si="1"/>
        <v>0</v>
      </c>
      <c r="D25" s="2">
        <f>B25*IF('Dano fixo'!$J$2="",$A25,MIN($A25,MAX(0,'Dano fixo'!$J$2-C24)))</f>
        <v>0</v>
      </c>
      <c r="E25" s="2">
        <f>IF(AND($A25&gt;0,N('Dano fixo'!$L$3)&gt;0,OR('Dano fixo'!$G$3="Todos",ISNUMBER(SEARCH(","&amp;'Rotação'!$I25&amp;",",","&amp;SUBSTITUTE('Dano fixo'!$G$3,", ",",")&amp;","))),OR('Dano fixo'!$H$3="",ISNUMBER(SEARCH(","&amp;'Rotação'!$R25&amp;",",","&amp;SUBSTITUTE('Dano fixo'!$H$3,", ",",")&amp;","))),OR('Dano fixo'!$I$3="",ISNUMBER(SEARCH(","&amp;'Rotação'!$K25&amp;",",","&amp;SUBSTITUTE('Dano fixo'!$I$3,", ",",")&amp;",")))),1,0)</f>
        <v>0</v>
      </c>
      <c r="F25" s="2">
        <f t="shared" si="2"/>
        <v>0</v>
      </c>
      <c r="G25" s="2">
        <f>E25*IF('Dano fixo'!$J$3="",$A25,MIN($A25,MAX(0,'Dano fixo'!$J$3-F24)))</f>
        <v>0</v>
      </c>
      <c r="H25" s="2">
        <f>IF(AND($A25&gt;0,N('Dano fixo'!$L$4)&gt;0,OR('Dano fixo'!$G$4="Todos",ISNUMBER(SEARCH(","&amp;'Rotação'!$I25&amp;",",","&amp;SUBSTITUTE('Dano fixo'!$G$4,", ",",")&amp;","))),OR('Dano fixo'!$H$4="",ISNUMBER(SEARCH(","&amp;'Rotação'!$R25&amp;",",","&amp;SUBSTITUTE('Dano fixo'!$H$4,", ",",")&amp;","))),OR('Dano fixo'!$I$4="",ISNUMBER(SEARCH(","&amp;'Rotação'!$K25&amp;",",","&amp;SUBSTITUTE('Dano fixo'!$I$4,", ",",")&amp;",")))),1,0)</f>
        <v>0</v>
      </c>
      <c r="I25" s="2">
        <f t="shared" si="3"/>
        <v>0</v>
      </c>
      <c r="J25" s="2">
        <f>H25*IF('Dano fixo'!$J$4="",$A25,MIN($A25,MAX(0,'Dano fixo'!$J$4-I24)))</f>
        <v>0</v>
      </c>
      <c r="K25" s="2">
        <f>IF(AND($A25&gt;0,N('Dano fixo'!$L$5)&gt;0,OR('Dano fixo'!$G$5="Todos",ISNUMBER(SEARCH(","&amp;'Rotação'!$I25&amp;",",","&amp;SUBSTITUTE('Dano fixo'!$G$5,", ",",")&amp;","))),OR('Dano fixo'!$H$5="",ISNUMBER(SEARCH(","&amp;'Rotação'!$R25&amp;",",","&amp;SUBSTITUTE('Dano fixo'!$H$5,", ",",")&amp;","))),OR('Dano fixo'!$I$5="",ISNUMBER(SEARCH(","&amp;'Rotação'!$K25&amp;",",","&amp;SUBSTITUTE('Dano fixo'!$I$5,", ",",")&amp;",")))),1,0)</f>
        <v>0</v>
      </c>
      <c r="L25" s="2">
        <f t="shared" si="4"/>
        <v>0</v>
      </c>
      <c r="M25" s="2">
        <f>K25*IF('Dano fixo'!$J$5="",$A25,MIN($A25,MAX(0,'Dano fixo'!$J$5-L24)))</f>
        <v>0</v>
      </c>
      <c r="N25" s="2">
        <f>IF(AND($A25&gt;0,N('Dano fixo'!$L$6)&gt;0,OR('Dano fixo'!$G$6="Todos",ISNUMBER(SEARCH(","&amp;'Rotação'!$I25&amp;",",","&amp;SUBSTITUTE('Dano fixo'!$G$6,", ",",")&amp;","))),OR('Dano fixo'!$H$6="",ISNUMBER(SEARCH(","&amp;'Rotação'!$R25&amp;",",","&amp;SUBSTITUTE('Dano fixo'!$H$6,", ",",")&amp;","))),OR('Dano fixo'!$I$6="",ISNUMBER(SEARCH(","&amp;'Rotação'!$K25&amp;",",","&amp;SUBSTITUTE('Dano fixo'!$I$6,", ",",")&amp;",")))),1,0)</f>
        <v>0</v>
      </c>
      <c r="O25" s="2">
        <f t="shared" si="5"/>
        <v>0</v>
      </c>
      <c r="P25" s="2">
        <f>N25*IF('Dano fixo'!$J$6="",$A25,MIN($A25,MAX(0,'Dano fixo'!$J$6-O24)))</f>
        <v>0</v>
      </c>
      <c r="Q25" s="2">
        <f>IF(AND($A25&gt;0,N('Dano fixo'!$L$7)&gt;0,OR('Dano fixo'!$G$7="Todos",ISNUMBER(SEARCH(","&amp;'Rotação'!$I25&amp;",",","&amp;SUBSTITUTE('Dano fixo'!$G$7,", ",",")&amp;","))),OR('Dano fixo'!$H$7="",ISNUMBER(SEARCH(","&amp;'Rotação'!$R25&amp;",",","&amp;SUBSTITUTE('Dano fixo'!$H$7,", ",",")&amp;","))),OR('Dano fixo'!$I$7="",ISNUMBER(SEARCH(","&amp;'Rotação'!$K25&amp;",",","&amp;SUBSTITUTE('Dano fixo'!$I$7,", ",",")&amp;",")))),1,0)</f>
        <v>0</v>
      </c>
      <c r="R25" s="2">
        <f t="shared" si="6"/>
        <v>0</v>
      </c>
      <c r="S25" s="2">
        <f>Q25*IF('Dano fixo'!$J$7="",$A25,MIN($A25,MAX(0,'Dano fixo'!$J$7-R24)))</f>
        <v>0</v>
      </c>
      <c r="T25" s="2">
        <f>IF(AND($A25&gt;0,N('Dano fixo'!$L$8)&gt;0,OR('Dano fixo'!$G$8="Todos",ISNUMBER(SEARCH(","&amp;'Rotação'!$I25&amp;",",","&amp;SUBSTITUTE('Dano fixo'!$G$8,", ",",")&amp;","))),OR('Dano fixo'!$H$8="",ISNUMBER(SEARCH(","&amp;'Rotação'!$R25&amp;",",","&amp;SUBSTITUTE('Dano fixo'!$H$8,", ",",")&amp;","))),OR('Dano fixo'!$I$8="",ISNUMBER(SEARCH(","&amp;'Rotação'!$K25&amp;",",","&amp;SUBSTITUTE('Dano fixo'!$I$8,", ",",")&amp;",")))),1,0)</f>
        <v>0</v>
      </c>
      <c r="U25" s="2">
        <f t="shared" si="7"/>
        <v>0</v>
      </c>
      <c r="V25" s="2">
        <f>T25*IF('Dano fixo'!$J$8="",$A25,MIN($A25,MAX(0,'Dano fixo'!$J$8-U24)))</f>
        <v>0</v>
      </c>
      <c r="W25" s="2">
        <f>IF(AND($A25&gt;0,N('Dano fixo'!$L$9)&gt;0,OR('Dano fixo'!$G$9="Todos",ISNUMBER(SEARCH(","&amp;'Rotação'!$I25&amp;",",","&amp;SUBSTITUTE('Dano fixo'!$G$9,", ",",")&amp;","))),OR('Dano fixo'!$H$9="",ISNUMBER(SEARCH(","&amp;'Rotação'!$R25&amp;",",","&amp;SUBSTITUTE('Dano fixo'!$H$9,", ",",")&amp;","))),OR('Dano fixo'!$I$9="",ISNUMBER(SEARCH(","&amp;'Rotação'!$K25&amp;",",","&amp;SUBSTITUTE('Dano fixo'!$I$9,", ",",")&amp;",")))),1,0)</f>
        <v>0</v>
      </c>
      <c r="X25" s="2">
        <f t="shared" si="8"/>
        <v>0</v>
      </c>
      <c r="Y25" s="2">
        <f>W25*IF('Dano fixo'!$J$9="",$A25,MIN($A25,MAX(0,'Dano fixo'!$J$9-X24)))</f>
        <v>0</v>
      </c>
      <c r="Z25" s="2">
        <f>IF(AND($A25&gt;0,N('Dano fixo'!$L$10)&gt;0,OR('Dano fixo'!$G$10="Todos",ISNUMBER(SEARCH(","&amp;'Rotação'!$I25&amp;",",","&amp;SUBSTITUTE('Dano fixo'!$G$10,", ",",")&amp;","))),OR('Dano fixo'!$H$10="",ISNUMBER(SEARCH(","&amp;'Rotação'!$R25&amp;",",","&amp;SUBSTITUTE('Dano fixo'!$H$10,", ",",")&amp;","))),OR('Dano fixo'!$I$10="",ISNUMBER(SEARCH(","&amp;'Rotação'!$K25&amp;",",","&amp;SUBSTITUTE('Dano fixo'!$I$10,", ",",")&amp;",")))),1,0)</f>
        <v>0</v>
      </c>
      <c r="AA25" s="2">
        <f t="shared" si="9"/>
        <v>0</v>
      </c>
      <c r="AB25" s="2">
        <f>Z25*IF('Dano fixo'!$J$10="",$A25,MIN($A25,MAX(0,'Dano fixo'!$J$10-AA24)))</f>
        <v>0</v>
      </c>
      <c r="AC25" s="2">
        <f>IF(AND($A25&gt;0,N('Dano fixo'!$L$11)&gt;0,OR('Dano fixo'!$G$11="Todos",ISNUMBER(SEARCH(","&amp;'Rotação'!$I25&amp;",",","&amp;SUBSTITUTE('Dano fixo'!$G$11,", ",",")&amp;","))),OR('Dano fixo'!$H$11="",ISNUMBER(SEARCH(","&amp;'Rotação'!$R25&amp;",",","&amp;SUBSTITUTE('Dano fixo'!$H$11,", ",",")&amp;","))),OR('Dano fixo'!$I$11="",ISNUMBER(SEARCH(","&amp;'Rotação'!$K25&amp;",",","&amp;SUBSTITUTE('Dano fixo'!$I$11,", ",",")&amp;",")))),1,0)</f>
        <v>0</v>
      </c>
      <c r="AD25" s="2">
        <f t="shared" si="10"/>
        <v>0</v>
      </c>
      <c r="AE25" s="2">
        <f>AC25*IF('Dano fixo'!$J$11="",$A25,MIN($A25,MAX(0,'Dano fixo'!$J$11-AD24)))</f>
        <v>0</v>
      </c>
      <c r="AF25" s="2">
        <f>D25*'Dano fixo'!$L$2+G25*'Dano fixo'!$L$3+J25*'Dano fixo'!$L$4+M25*'Dano fixo'!$L$5+P25*'Dano fixo'!$L$6+S25*'Dano fixo'!$L$7+V25*'Dano fixo'!$L$8+Y25*'Dano fixo'!$L$9+AB25*'Dano fixo'!$L$10+AE25*'Dano fixo'!$L$11</f>
        <v>0</v>
      </c>
    </row>
    <row r="26" ht="15.75" customHeight="1">
      <c r="A26" s="2">
        <f t="array" ref="A26">IF(ISNUMBER('Rotação'!$J26),IF('Rotação'!$B26="",1,'Rotação'!$B26)*IF(ISNUMBER('Rotação'!$H26),MAX(1,N(INDEX(L_Golpes!$BN$2:$BN$6000,'Rotação'!$H26))),1),0)</f>
        <v>1</v>
      </c>
      <c r="B26" s="2">
        <f>IF(AND($A26&gt;0,N('Dano fixo'!$L$2)&gt;0,OR('Dano fixo'!$G$2="Todos",ISNUMBER(SEARCH(","&amp;'Rotação'!$I26&amp;",",","&amp;SUBSTITUTE('Dano fixo'!$G$2,", ",",")&amp;","))),OR('Dano fixo'!$H$2="",ISNUMBER(SEARCH(","&amp;'Rotação'!$R26&amp;",",","&amp;SUBSTITUTE('Dano fixo'!$H$2,", ",",")&amp;","))),OR('Dano fixo'!$I$2="",ISNUMBER(SEARCH(","&amp;'Rotação'!$K26&amp;",",","&amp;SUBSTITUTE('Dano fixo'!$I$2,", ",",")&amp;",")))),1,0)</f>
        <v>0</v>
      </c>
      <c r="C26" s="2">
        <f t="shared" si="1"/>
        <v>0</v>
      </c>
      <c r="D26" s="2">
        <f>B26*IF('Dano fixo'!$J$2="",$A26,MIN($A26,MAX(0,'Dano fixo'!$J$2-C25)))</f>
        <v>0</v>
      </c>
      <c r="E26" s="2">
        <f>IF(AND($A26&gt;0,N('Dano fixo'!$L$3)&gt;0,OR('Dano fixo'!$G$3="Todos",ISNUMBER(SEARCH(","&amp;'Rotação'!$I26&amp;",",","&amp;SUBSTITUTE('Dano fixo'!$G$3,", ",",")&amp;","))),OR('Dano fixo'!$H$3="",ISNUMBER(SEARCH(","&amp;'Rotação'!$R26&amp;",",","&amp;SUBSTITUTE('Dano fixo'!$H$3,", ",",")&amp;","))),OR('Dano fixo'!$I$3="",ISNUMBER(SEARCH(","&amp;'Rotação'!$K26&amp;",",","&amp;SUBSTITUTE('Dano fixo'!$I$3,", ",",")&amp;",")))),1,0)</f>
        <v>0</v>
      </c>
      <c r="F26" s="2">
        <f t="shared" si="2"/>
        <v>0</v>
      </c>
      <c r="G26" s="2">
        <f>E26*IF('Dano fixo'!$J$3="",$A26,MIN($A26,MAX(0,'Dano fixo'!$J$3-F25)))</f>
        <v>0</v>
      </c>
      <c r="H26" s="2">
        <f>IF(AND($A26&gt;0,N('Dano fixo'!$L$4)&gt;0,OR('Dano fixo'!$G$4="Todos",ISNUMBER(SEARCH(","&amp;'Rotação'!$I26&amp;",",","&amp;SUBSTITUTE('Dano fixo'!$G$4,", ",",")&amp;","))),OR('Dano fixo'!$H$4="",ISNUMBER(SEARCH(","&amp;'Rotação'!$R26&amp;",",","&amp;SUBSTITUTE('Dano fixo'!$H$4,", ",",")&amp;","))),OR('Dano fixo'!$I$4="",ISNUMBER(SEARCH(","&amp;'Rotação'!$K26&amp;",",","&amp;SUBSTITUTE('Dano fixo'!$I$4,", ",",")&amp;",")))),1,0)</f>
        <v>0</v>
      </c>
      <c r="I26" s="2">
        <f t="shared" si="3"/>
        <v>0</v>
      </c>
      <c r="J26" s="2">
        <f>H26*IF('Dano fixo'!$J$4="",$A26,MIN($A26,MAX(0,'Dano fixo'!$J$4-I25)))</f>
        <v>0</v>
      </c>
      <c r="K26" s="2">
        <f>IF(AND($A26&gt;0,N('Dano fixo'!$L$5)&gt;0,OR('Dano fixo'!$G$5="Todos",ISNUMBER(SEARCH(","&amp;'Rotação'!$I26&amp;",",","&amp;SUBSTITUTE('Dano fixo'!$G$5,", ",",")&amp;","))),OR('Dano fixo'!$H$5="",ISNUMBER(SEARCH(","&amp;'Rotação'!$R26&amp;",",","&amp;SUBSTITUTE('Dano fixo'!$H$5,", ",",")&amp;","))),OR('Dano fixo'!$I$5="",ISNUMBER(SEARCH(","&amp;'Rotação'!$K26&amp;",",","&amp;SUBSTITUTE('Dano fixo'!$I$5,", ",",")&amp;",")))),1,0)</f>
        <v>0</v>
      </c>
      <c r="L26" s="2">
        <f t="shared" si="4"/>
        <v>0</v>
      </c>
      <c r="M26" s="2">
        <f>K26*IF('Dano fixo'!$J$5="",$A26,MIN($A26,MAX(0,'Dano fixo'!$J$5-L25)))</f>
        <v>0</v>
      </c>
      <c r="N26" s="2">
        <f>IF(AND($A26&gt;0,N('Dano fixo'!$L$6)&gt;0,OR('Dano fixo'!$G$6="Todos",ISNUMBER(SEARCH(","&amp;'Rotação'!$I26&amp;",",","&amp;SUBSTITUTE('Dano fixo'!$G$6,", ",",")&amp;","))),OR('Dano fixo'!$H$6="",ISNUMBER(SEARCH(","&amp;'Rotação'!$R26&amp;",",","&amp;SUBSTITUTE('Dano fixo'!$H$6,", ",",")&amp;","))),OR('Dano fixo'!$I$6="",ISNUMBER(SEARCH(","&amp;'Rotação'!$K26&amp;",",","&amp;SUBSTITUTE('Dano fixo'!$I$6,", ",",")&amp;",")))),1,0)</f>
        <v>0</v>
      </c>
      <c r="O26" s="2">
        <f t="shared" si="5"/>
        <v>0</v>
      </c>
      <c r="P26" s="2">
        <f>N26*IF('Dano fixo'!$J$6="",$A26,MIN($A26,MAX(0,'Dano fixo'!$J$6-O25)))</f>
        <v>0</v>
      </c>
      <c r="Q26" s="2">
        <f>IF(AND($A26&gt;0,N('Dano fixo'!$L$7)&gt;0,OR('Dano fixo'!$G$7="Todos",ISNUMBER(SEARCH(","&amp;'Rotação'!$I26&amp;",",","&amp;SUBSTITUTE('Dano fixo'!$G$7,", ",",")&amp;","))),OR('Dano fixo'!$H$7="",ISNUMBER(SEARCH(","&amp;'Rotação'!$R26&amp;",",","&amp;SUBSTITUTE('Dano fixo'!$H$7,", ",",")&amp;","))),OR('Dano fixo'!$I$7="",ISNUMBER(SEARCH(","&amp;'Rotação'!$K26&amp;",",","&amp;SUBSTITUTE('Dano fixo'!$I$7,", ",",")&amp;",")))),1,0)</f>
        <v>0</v>
      </c>
      <c r="R26" s="2">
        <f t="shared" si="6"/>
        <v>0</v>
      </c>
      <c r="S26" s="2">
        <f>Q26*IF('Dano fixo'!$J$7="",$A26,MIN($A26,MAX(0,'Dano fixo'!$J$7-R25)))</f>
        <v>0</v>
      </c>
      <c r="T26" s="2">
        <f>IF(AND($A26&gt;0,N('Dano fixo'!$L$8)&gt;0,OR('Dano fixo'!$G$8="Todos",ISNUMBER(SEARCH(","&amp;'Rotação'!$I26&amp;",",","&amp;SUBSTITUTE('Dano fixo'!$G$8,", ",",")&amp;","))),OR('Dano fixo'!$H$8="",ISNUMBER(SEARCH(","&amp;'Rotação'!$R26&amp;",",","&amp;SUBSTITUTE('Dano fixo'!$H$8,", ",",")&amp;","))),OR('Dano fixo'!$I$8="",ISNUMBER(SEARCH(","&amp;'Rotação'!$K26&amp;",",","&amp;SUBSTITUTE('Dano fixo'!$I$8,", ",",")&amp;",")))),1,0)</f>
        <v>0</v>
      </c>
      <c r="U26" s="2">
        <f t="shared" si="7"/>
        <v>0</v>
      </c>
      <c r="V26" s="2">
        <f>T26*IF('Dano fixo'!$J$8="",$A26,MIN($A26,MAX(0,'Dano fixo'!$J$8-U25)))</f>
        <v>0</v>
      </c>
      <c r="W26" s="2">
        <f>IF(AND($A26&gt;0,N('Dano fixo'!$L$9)&gt;0,OR('Dano fixo'!$G$9="Todos",ISNUMBER(SEARCH(","&amp;'Rotação'!$I26&amp;",",","&amp;SUBSTITUTE('Dano fixo'!$G$9,", ",",")&amp;","))),OR('Dano fixo'!$H$9="",ISNUMBER(SEARCH(","&amp;'Rotação'!$R26&amp;",",","&amp;SUBSTITUTE('Dano fixo'!$H$9,", ",",")&amp;","))),OR('Dano fixo'!$I$9="",ISNUMBER(SEARCH(","&amp;'Rotação'!$K26&amp;",",","&amp;SUBSTITUTE('Dano fixo'!$I$9,", ",",")&amp;",")))),1,0)</f>
        <v>0</v>
      </c>
      <c r="X26" s="2">
        <f t="shared" si="8"/>
        <v>0</v>
      </c>
      <c r="Y26" s="2">
        <f>W26*IF('Dano fixo'!$J$9="",$A26,MIN($A26,MAX(0,'Dano fixo'!$J$9-X25)))</f>
        <v>0</v>
      </c>
      <c r="Z26" s="2">
        <f>IF(AND($A26&gt;0,N('Dano fixo'!$L$10)&gt;0,OR('Dano fixo'!$G$10="Todos",ISNUMBER(SEARCH(","&amp;'Rotação'!$I26&amp;",",","&amp;SUBSTITUTE('Dano fixo'!$G$10,", ",",")&amp;","))),OR('Dano fixo'!$H$10="",ISNUMBER(SEARCH(","&amp;'Rotação'!$R26&amp;",",","&amp;SUBSTITUTE('Dano fixo'!$H$10,", ",",")&amp;","))),OR('Dano fixo'!$I$10="",ISNUMBER(SEARCH(","&amp;'Rotação'!$K26&amp;",",","&amp;SUBSTITUTE('Dano fixo'!$I$10,", ",",")&amp;",")))),1,0)</f>
        <v>0</v>
      </c>
      <c r="AA26" s="2">
        <f t="shared" si="9"/>
        <v>0</v>
      </c>
      <c r="AB26" s="2">
        <f>Z26*IF('Dano fixo'!$J$10="",$A26,MIN($A26,MAX(0,'Dano fixo'!$J$10-AA25)))</f>
        <v>0</v>
      </c>
      <c r="AC26" s="2">
        <f>IF(AND($A26&gt;0,N('Dano fixo'!$L$11)&gt;0,OR('Dano fixo'!$G$11="Todos",ISNUMBER(SEARCH(","&amp;'Rotação'!$I26&amp;",",","&amp;SUBSTITUTE('Dano fixo'!$G$11,", ",",")&amp;","))),OR('Dano fixo'!$H$11="",ISNUMBER(SEARCH(","&amp;'Rotação'!$R26&amp;",",","&amp;SUBSTITUTE('Dano fixo'!$H$11,", ",",")&amp;","))),OR('Dano fixo'!$I$11="",ISNUMBER(SEARCH(","&amp;'Rotação'!$K26&amp;",",","&amp;SUBSTITUTE('Dano fixo'!$I$11,", ",",")&amp;",")))),1,0)</f>
        <v>0</v>
      </c>
      <c r="AD26" s="2">
        <f t="shared" si="10"/>
        <v>0</v>
      </c>
      <c r="AE26" s="2">
        <f>AC26*IF('Dano fixo'!$J$11="",$A26,MIN($A26,MAX(0,'Dano fixo'!$J$11-AD25)))</f>
        <v>0</v>
      </c>
      <c r="AF26" s="2">
        <f>D26*'Dano fixo'!$L$2+G26*'Dano fixo'!$L$3+J26*'Dano fixo'!$L$4+M26*'Dano fixo'!$L$5+P26*'Dano fixo'!$L$6+S26*'Dano fixo'!$L$7+V26*'Dano fixo'!$L$8+Y26*'Dano fixo'!$L$9+AB26*'Dano fixo'!$L$10+AE26*'Dano fixo'!$L$11</f>
        <v>0</v>
      </c>
    </row>
    <row r="27" ht="15.75" customHeight="1">
      <c r="A27" s="2">
        <f t="array" ref="A27">IF(ISNUMBER('Rotação'!$J27),IF('Rotação'!$B27="",1,'Rotação'!$B27)*IF(ISNUMBER('Rotação'!$H27),MAX(1,N(INDEX(L_Golpes!$BN$2:$BN$6000,'Rotação'!$H27))),1),0)</f>
        <v>1</v>
      </c>
      <c r="B27" s="2">
        <f>IF(AND($A27&gt;0,N('Dano fixo'!$L$2)&gt;0,OR('Dano fixo'!$G$2="Todos",ISNUMBER(SEARCH(","&amp;'Rotação'!$I27&amp;",",","&amp;SUBSTITUTE('Dano fixo'!$G$2,", ",",")&amp;","))),OR('Dano fixo'!$H$2="",ISNUMBER(SEARCH(","&amp;'Rotação'!$R27&amp;",",","&amp;SUBSTITUTE('Dano fixo'!$H$2,", ",",")&amp;","))),OR('Dano fixo'!$I$2="",ISNUMBER(SEARCH(","&amp;'Rotação'!$K27&amp;",",","&amp;SUBSTITUTE('Dano fixo'!$I$2,", ",",")&amp;",")))),1,0)</f>
        <v>0</v>
      </c>
      <c r="C27" s="2">
        <f t="shared" si="1"/>
        <v>0</v>
      </c>
      <c r="D27" s="2">
        <f>B27*IF('Dano fixo'!$J$2="",$A27,MIN($A27,MAX(0,'Dano fixo'!$J$2-C26)))</f>
        <v>0</v>
      </c>
      <c r="E27" s="2">
        <f>IF(AND($A27&gt;0,N('Dano fixo'!$L$3)&gt;0,OR('Dano fixo'!$G$3="Todos",ISNUMBER(SEARCH(","&amp;'Rotação'!$I27&amp;",",","&amp;SUBSTITUTE('Dano fixo'!$G$3,", ",",")&amp;","))),OR('Dano fixo'!$H$3="",ISNUMBER(SEARCH(","&amp;'Rotação'!$R27&amp;",",","&amp;SUBSTITUTE('Dano fixo'!$H$3,", ",",")&amp;","))),OR('Dano fixo'!$I$3="",ISNUMBER(SEARCH(","&amp;'Rotação'!$K27&amp;",",","&amp;SUBSTITUTE('Dano fixo'!$I$3,", ",",")&amp;",")))),1,0)</f>
        <v>0</v>
      </c>
      <c r="F27" s="2">
        <f t="shared" si="2"/>
        <v>0</v>
      </c>
      <c r="G27" s="2">
        <f>E27*IF('Dano fixo'!$J$3="",$A27,MIN($A27,MAX(0,'Dano fixo'!$J$3-F26)))</f>
        <v>0</v>
      </c>
      <c r="H27" s="2">
        <f>IF(AND($A27&gt;0,N('Dano fixo'!$L$4)&gt;0,OR('Dano fixo'!$G$4="Todos",ISNUMBER(SEARCH(","&amp;'Rotação'!$I27&amp;",",","&amp;SUBSTITUTE('Dano fixo'!$G$4,", ",",")&amp;","))),OR('Dano fixo'!$H$4="",ISNUMBER(SEARCH(","&amp;'Rotação'!$R27&amp;",",","&amp;SUBSTITUTE('Dano fixo'!$H$4,", ",",")&amp;","))),OR('Dano fixo'!$I$4="",ISNUMBER(SEARCH(","&amp;'Rotação'!$K27&amp;",",","&amp;SUBSTITUTE('Dano fixo'!$I$4,", ",",")&amp;",")))),1,0)</f>
        <v>0</v>
      </c>
      <c r="I27" s="2">
        <f t="shared" si="3"/>
        <v>0</v>
      </c>
      <c r="J27" s="2">
        <f>H27*IF('Dano fixo'!$J$4="",$A27,MIN($A27,MAX(0,'Dano fixo'!$J$4-I26)))</f>
        <v>0</v>
      </c>
      <c r="K27" s="2">
        <f>IF(AND($A27&gt;0,N('Dano fixo'!$L$5)&gt;0,OR('Dano fixo'!$G$5="Todos",ISNUMBER(SEARCH(","&amp;'Rotação'!$I27&amp;",",","&amp;SUBSTITUTE('Dano fixo'!$G$5,", ",",")&amp;","))),OR('Dano fixo'!$H$5="",ISNUMBER(SEARCH(","&amp;'Rotação'!$R27&amp;",",","&amp;SUBSTITUTE('Dano fixo'!$H$5,", ",",")&amp;","))),OR('Dano fixo'!$I$5="",ISNUMBER(SEARCH(","&amp;'Rotação'!$K27&amp;",",","&amp;SUBSTITUTE('Dano fixo'!$I$5,", ",",")&amp;",")))),1,0)</f>
        <v>0</v>
      </c>
      <c r="L27" s="2">
        <f t="shared" si="4"/>
        <v>0</v>
      </c>
      <c r="M27" s="2">
        <f>K27*IF('Dano fixo'!$J$5="",$A27,MIN($A27,MAX(0,'Dano fixo'!$J$5-L26)))</f>
        <v>0</v>
      </c>
      <c r="N27" s="2">
        <f>IF(AND($A27&gt;0,N('Dano fixo'!$L$6)&gt;0,OR('Dano fixo'!$G$6="Todos",ISNUMBER(SEARCH(","&amp;'Rotação'!$I27&amp;",",","&amp;SUBSTITUTE('Dano fixo'!$G$6,", ",",")&amp;","))),OR('Dano fixo'!$H$6="",ISNUMBER(SEARCH(","&amp;'Rotação'!$R27&amp;",",","&amp;SUBSTITUTE('Dano fixo'!$H$6,", ",",")&amp;","))),OR('Dano fixo'!$I$6="",ISNUMBER(SEARCH(","&amp;'Rotação'!$K27&amp;",",","&amp;SUBSTITUTE('Dano fixo'!$I$6,", ",",")&amp;",")))),1,0)</f>
        <v>0</v>
      </c>
      <c r="O27" s="2">
        <f t="shared" si="5"/>
        <v>0</v>
      </c>
      <c r="P27" s="2">
        <f>N27*IF('Dano fixo'!$J$6="",$A27,MIN($A27,MAX(0,'Dano fixo'!$J$6-O26)))</f>
        <v>0</v>
      </c>
      <c r="Q27" s="2">
        <f>IF(AND($A27&gt;0,N('Dano fixo'!$L$7)&gt;0,OR('Dano fixo'!$G$7="Todos",ISNUMBER(SEARCH(","&amp;'Rotação'!$I27&amp;",",","&amp;SUBSTITUTE('Dano fixo'!$G$7,", ",",")&amp;","))),OR('Dano fixo'!$H$7="",ISNUMBER(SEARCH(","&amp;'Rotação'!$R27&amp;",",","&amp;SUBSTITUTE('Dano fixo'!$H$7,", ",",")&amp;","))),OR('Dano fixo'!$I$7="",ISNUMBER(SEARCH(","&amp;'Rotação'!$K27&amp;",",","&amp;SUBSTITUTE('Dano fixo'!$I$7,", ",",")&amp;",")))),1,0)</f>
        <v>0</v>
      </c>
      <c r="R27" s="2">
        <f t="shared" si="6"/>
        <v>0</v>
      </c>
      <c r="S27" s="2">
        <f>Q27*IF('Dano fixo'!$J$7="",$A27,MIN($A27,MAX(0,'Dano fixo'!$J$7-R26)))</f>
        <v>0</v>
      </c>
      <c r="T27" s="2">
        <f>IF(AND($A27&gt;0,N('Dano fixo'!$L$8)&gt;0,OR('Dano fixo'!$G$8="Todos",ISNUMBER(SEARCH(","&amp;'Rotação'!$I27&amp;",",","&amp;SUBSTITUTE('Dano fixo'!$G$8,", ",",")&amp;","))),OR('Dano fixo'!$H$8="",ISNUMBER(SEARCH(","&amp;'Rotação'!$R27&amp;",",","&amp;SUBSTITUTE('Dano fixo'!$H$8,", ",",")&amp;","))),OR('Dano fixo'!$I$8="",ISNUMBER(SEARCH(","&amp;'Rotação'!$K27&amp;",",","&amp;SUBSTITUTE('Dano fixo'!$I$8,", ",",")&amp;",")))),1,0)</f>
        <v>0</v>
      </c>
      <c r="U27" s="2">
        <f t="shared" si="7"/>
        <v>0</v>
      </c>
      <c r="V27" s="2">
        <f>T27*IF('Dano fixo'!$J$8="",$A27,MIN($A27,MAX(0,'Dano fixo'!$J$8-U26)))</f>
        <v>0</v>
      </c>
      <c r="W27" s="2">
        <f>IF(AND($A27&gt;0,N('Dano fixo'!$L$9)&gt;0,OR('Dano fixo'!$G$9="Todos",ISNUMBER(SEARCH(","&amp;'Rotação'!$I27&amp;",",","&amp;SUBSTITUTE('Dano fixo'!$G$9,", ",",")&amp;","))),OR('Dano fixo'!$H$9="",ISNUMBER(SEARCH(","&amp;'Rotação'!$R27&amp;",",","&amp;SUBSTITUTE('Dano fixo'!$H$9,", ",",")&amp;","))),OR('Dano fixo'!$I$9="",ISNUMBER(SEARCH(","&amp;'Rotação'!$K27&amp;",",","&amp;SUBSTITUTE('Dano fixo'!$I$9,", ",",")&amp;",")))),1,0)</f>
        <v>0</v>
      </c>
      <c r="X27" s="2">
        <f t="shared" si="8"/>
        <v>0</v>
      </c>
      <c r="Y27" s="2">
        <f>W27*IF('Dano fixo'!$J$9="",$A27,MIN($A27,MAX(0,'Dano fixo'!$J$9-X26)))</f>
        <v>0</v>
      </c>
      <c r="Z27" s="2">
        <f>IF(AND($A27&gt;0,N('Dano fixo'!$L$10)&gt;0,OR('Dano fixo'!$G$10="Todos",ISNUMBER(SEARCH(","&amp;'Rotação'!$I27&amp;",",","&amp;SUBSTITUTE('Dano fixo'!$G$10,", ",",")&amp;","))),OR('Dano fixo'!$H$10="",ISNUMBER(SEARCH(","&amp;'Rotação'!$R27&amp;",",","&amp;SUBSTITUTE('Dano fixo'!$H$10,", ",",")&amp;","))),OR('Dano fixo'!$I$10="",ISNUMBER(SEARCH(","&amp;'Rotação'!$K27&amp;",",","&amp;SUBSTITUTE('Dano fixo'!$I$10,", ",",")&amp;",")))),1,0)</f>
        <v>0</v>
      </c>
      <c r="AA27" s="2">
        <f t="shared" si="9"/>
        <v>0</v>
      </c>
      <c r="AB27" s="2">
        <f>Z27*IF('Dano fixo'!$J$10="",$A27,MIN($A27,MAX(0,'Dano fixo'!$J$10-AA26)))</f>
        <v>0</v>
      </c>
      <c r="AC27" s="2">
        <f>IF(AND($A27&gt;0,N('Dano fixo'!$L$11)&gt;0,OR('Dano fixo'!$G$11="Todos",ISNUMBER(SEARCH(","&amp;'Rotação'!$I27&amp;",",","&amp;SUBSTITUTE('Dano fixo'!$G$11,", ",",")&amp;","))),OR('Dano fixo'!$H$11="",ISNUMBER(SEARCH(","&amp;'Rotação'!$R27&amp;",",","&amp;SUBSTITUTE('Dano fixo'!$H$11,", ",",")&amp;","))),OR('Dano fixo'!$I$11="",ISNUMBER(SEARCH(","&amp;'Rotação'!$K27&amp;",",","&amp;SUBSTITUTE('Dano fixo'!$I$11,", ",",")&amp;",")))),1,0)</f>
        <v>0</v>
      </c>
      <c r="AD27" s="2">
        <f t="shared" si="10"/>
        <v>0</v>
      </c>
      <c r="AE27" s="2">
        <f>AC27*IF('Dano fixo'!$J$11="",$A27,MIN($A27,MAX(0,'Dano fixo'!$J$11-AD26)))</f>
        <v>0</v>
      </c>
      <c r="AF27" s="2">
        <f>D27*'Dano fixo'!$L$2+G27*'Dano fixo'!$L$3+J27*'Dano fixo'!$L$4+M27*'Dano fixo'!$L$5+P27*'Dano fixo'!$L$6+S27*'Dano fixo'!$L$7+V27*'Dano fixo'!$L$8+Y27*'Dano fixo'!$L$9+AB27*'Dano fixo'!$L$10+AE27*'Dano fixo'!$L$11</f>
        <v>0</v>
      </c>
    </row>
    <row r="28" ht="15.75" customHeight="1">
      <c r="A28" s="2">
        <f t="array" ref="A28">IF(ISNUMBER('Rotação'!$J28),IF('Rotação'!$B28="",1,'Rotação'!$B28)*IF(ISNUMBER('Rotação'!$H28),MAX(1,N(INDEX(L_Golpes!$BN$2:$BN$6000,'Rotação'!$H28))),1),0)</f>
        <v>1</v>
      </c>
      <c r="B28" s="2">
        <f>IF(AND($A28&gt;0,N('Dano fixo'!$L$2)&gt;0,OR('Dano fixo'!$G$2="Todos",ISNUMBER(SEARCH(","&amp;'Rotação'!$I28&amp;",",","&amp;SUBSTITUTE('Dano fixo'!$G$2,", ",",")&amp;","))),OR('Dano fixo'!$H$2="",ISNUMBER(SEARCH(","&amp;'Rotação'!$R28&amp;",",","&amp;SUBSTITUTE('Dano fixo'!$H$2,", ",",")&amp;","))),OR('Dano fixo'!$I$2="",ISNUMBER(SEARCH(","&amp;'Rotação'!$K28&amp;",",","&amp;SUBSTITUTE('Dano fixo'!$I$2,", ",",")&amp;",")))),1,0)</f>
        <v>0</v>
      </c>
      <c r="C28" s="2">
        <f t="shared" si="1"/>
        <v>0</v>
      </c>
      <c r="D28" s="2">
        <f>B28*IF('Dano fixo'!$J$2="",$A28,MIN($A28,MAX(0,'Dano fixo'!$J$2-C27)))</f>
        <v>0</v>
      </c>
      <c r="E28" s="2">
        <f>IF(AND($A28&gt;0,N('Dano fixo'!$L$3)&gt;0,OR('Dano fixo'!$G$3="Todos",ISNUMBER(SEARCH(","&amp;'Rotação'!$I28&amp;",",","&amp;SUBSTITUTE('Dano fixo'!$G$3,", ",",")&amp;","))),OR('Dano fixo'!$H$3="",ISNUMBER(SEARCH(","&amp;'Rotação'!$R28&amp;",",","&amp;SUBSTITUTE('Dano fixo'!$H$3,", ",",")&amp;","))),OR('Dano fixo'!$I$3="",ISNUMBER(SEARCH(","&amp;'Rotação'!$K28&amp;",",","&amp;SUBSTITUTE('Dano fixo'!$I$3,", ",",")&amp;",")))),1,0)</f>
        <v>0</v>
      </c>
      <c r="F28" s="2">
        <f t="shared" si="2"/>
        <v>0</v>
      </c>
      <c r="G28" s="2">
        <f>E28*IF('Dano fixo'!$J$3="",$A28,MIN($A28,MAX(0,'Dano fixo'!$J$3-F27)))</f>
        <v>0</v>
      </c>
      <c r="H28" s="2">
        <f>IF(AND($A28&gt;0,N('Dano fixo'!$L$4)&gt;0,OR('Dano fixo'!$G$4="Todos",ISNUMBER(SEARCH(","&amp;'Rotação'!$I28&amp;",",","&amp;SUBSTITUTE('Dano fixo'!$G$4,", ",",")&amp;","))),OR('Dano fixo'!$H$4="",ISNUMBER(SEARCH(","&amp;'Rotação'!$R28&amp;",",","&amp;SUBSTITUTE('Dano fixo'!$H$4,", ",",")&amp;","))),OR('Dano fixo'!$I$4="",ISNUMBER(SEARCH(","&amp;'Rotação'!$K28&amp;",",","&amp;SUBSTITUTE('Dano fixo'!$I$4,", ",",")&amp;",")))),1,0)</f>
        <v>0</v>
      </c>
      <c r="I28" s="2">
        <f t="shared" si="3"/>
        <v>0</v>
      </c>
      <c r="J28" s="2">
        <f>H28*IF('Dano fixo'!$J$4="",$A28,MIN($A28,MAX(0,'Dano fixo'!$J$4-I27)))</f>
        <v>0</v>
      </c>
      <c r="K28" s="2">
        <f>IF(AND($A28&gt;0,N('Dano fixo'!$L$5)&gt;0,OR('Dano fixo'!$G$5="Todos",ISNUMBER(SEARCH(","&amp;'Rotação'!$I28&amp;",",","&amp;SUBSTITUTE('Dano fixo'!$G$5,", ",",")&amp;","))),OR('Dano fixo'!$H$5="",ISNUMBER(SEARCH(","&amp;'Rotação'!$R28&amp;",",","&amp;SUBSTITUTE('Dano fixo'!$H$5,", ",",")&amp;","))),OR('Dano fixo'!$I$5="",ISNUMBER(SEARCH(","&amp;'Rotação'!$K28&amp;",",","&amp;SUBSTITUTE('Dano fixo'!$I$5,", ",",")&amp;",")))),1,0)</f>
        <v>0</v>
      </c>
      <c r="L28" s="2">
        <f t="shared" si="4"/>
        <v>0</v>
      </c>
      <c r="M28" s="2">
        <f>K28*IF('Dano fixo'!$J$5="",$A28,MIN($A28,MAX(0,'Dano fixo'!$J$5-L27)))</f>
        <v>0</v>
      </c>
      <c r="N28" s="2">
        <f>IF(AND($A28&gt;0,N('Dano fixo'!$L$6)&gt;0,OR('Dano fixo'!$G$6="Todos",ISNUMBER(SEARCH(","&amp;'Rotação'!$I28&amp;",",","&amp;SUBSTITUTE('Dano fixo'!$G$6,", ",",")&amp;","))),OR('Dano fixo'!$H$6="",ISNUMBER(SEARCH(","&amp;'Rotação'!$R28&amp;",",","&amp;SUBSTITUTE('Dano fixo'!$H$6,", ",",")&amp;","))),OR('Dano fixo'!$I$6="",ISNUMBER(SEARCH(","&amp;'Rotação'!$K28&amp;",",","&amp;SUBSTITUTE('Dano fixo'!$I$6,", ",",")&amp;",")))),1,0)</f>
        <v>0</v>
      </c>
      <c r="O28" s="2">
        <f t="shared" si="5"/>
        <v>0</v>
      </c>
      <c r="P28" s="2">
        <f>N28*IF('Dano fixo'!$J$6="",$A28,MIN($A28,MAX(0,'Dano fixo'!$J$6-O27)))</f>
        <v>0</v>
      </c>
      <c r="Q28" s="2">
        <f>IF(AND($A28&gt;0,N('Dano fixo'!$L$7)&gt;0,OR('Dano fixo'!$G$7="Todos",ISNUMBER(SEARCH(","&amp;'Rotação'!$I28&amp;",",","&amp;SUBSTITUTE('Dano fixo'!$G$7,", ",",")&amp;","))),OR('Dano fixo'!$H$7="",ISNUMBER(SEARCH(","&amp;'Rotação'!$R28&amp;",",","&amp;SUBSTITUTE('Dano fixo'!$H$7,", ",",")&amp;","))),OR('Dano fixo'!$I$7="",ISNUMBER(SEARCH(","&amp;'Rotação'!$K28&amp;",",","&amp;SUBSTITUTE('Dano fixo'!$I$7,", ",",")&amp;",")))),1,0)</f>
        <v>0</v>
      </c>
      <c r="R28" s="2">
        <f t="shared" si="6"/>
        <v>0</v>
      </c>
      <c r="S28" s="2">
        <f>Q28*IF('Dano fixo'!$J$7="",$A28,MIN($A28,MAX(0,'Dano fixo'!$J$7-R27)))</f>
        <v>0</v>
      </c>
      <c r="T28" s="2">
        <f>IF(AND($A28&gt;0,N('Dano fixo'!$L$8)&gt;0,OR('Dano fixo'!$G$8="Todos",ISNUMBER(SEARCH(","&amp;'Rotação'!$I28&amp;",",","&amp;SUBSTITUTE('Dano fixo'!$G$8,", ",",")&amp;","))),OR('Dano fixo'!$H$8="",ISNUMBER(SEARCH(","&amp;'Rotação'!$R28&amp;",",","&amp;SUBSTITUTE('Dano fixo'!$H$8,", ",",")&amp;","))),OR('Dano fixo'!$I$8="",ISNUMBER(SEARCH(","&amp;'Rotação'!$K28&amp;",",","&amp;SUBSTITUTE('Dano fixo'!$I$8,", ",",")&amp;",")))),1,0)</f>
        <v>0</v>
      </c>
      <c r="U28" s="2">
        <f t="shared" si="7"/>
        <v>0</v>
      </c>
      <c r="V28" s="2">
        <f>T28*IF('Dano fixo'!$J$8="",$A28,MIN($A28,MAX(0,'Dano fixo'!$J$8-U27)))</f>
        <v>0</v>
      </c>
      <c r="W28" s="2">
        <f>IF(AND($A28&gt;0,N('Dano fixo'!$L$9)&gt;0,OR('Dano fixo'!$G$9="Todos",ISNUMBER(SEARCH(","&amp;'Rotação'!$I28&amp;",",","&amp;SUBSTITUTE('Dano fixo'!$G$9,", ",",")&amp;","))),OR('Dano fixo'!$H$9="",ISNUMBER(SEARCH(","&amp;'Rotação'!$R28&amp;",",","&amp;SUBSTITUTE('Dano fixo'!$H$9,", ",",")&amp;","))),OR('Dano fixo'!$I$9="",ISNUMBER(SEARCH(","&amp;'Rotação'!$K28&amp;",",","&amp;SUBSTITUTE('Dano fixo'!$I$9,", ",",")&amp;",")))),1,0)</f>
        <v>0</v>
      </c>
      <c r="X28" s="2">
        <f t="shared" si="8"/>
        <v>0</v>
      </c>
      <c r="Y28" s="2">
        <f>W28*IF('Dano fixo'!$J$9="",$A28,MIN($A28,MAX(0,'Dano fixo'!$J$9-X27)))</f>
        <v>0</v>
      </c>
      <c r="Z28" s="2">
        <f>IF(AND($A28&gt;0,N('Dano fixo'!$L$10)&gt;0,OR('Dano fixo'!$G$10="Todos",ISNUMBER(SEARCH(","&amp;'Rotação'!$I28&amp;",",","&amp;SUBSTITUTE('Dano fixo'!$G$10,", ",",")&amp;","))),OR('Dano fixo'!$H$10="",ISNUMBER(SEARCH(","&amp;'Rotação'!$R28&amp;",",","&amp;SUBSTITUTE('Dano fixo'!$H$10,", ",",")&amp;","))),OR('Dano fixo'!$I$10="",ISNUMBER(SEARCH(","&amp;'Rotação'!$K28&amp;",",","&amp;SUBSTITUTE('Dano fixo'!$I$10,", ",",")&amp;",")))),1,0)</f>
        <v>0</v>
      </c>
      <c r="AA28" s="2">
        <f t="shared" si="9"/>
        <v>0</v>
      </c>
      <c r="AB28" s="2">
        <f>Z28*IF('Dano fixo'!$J$10="",$A28,MIN($A28,MAX(0,'Dano fixo'!$J$10-AA27)))</f>
        <v>0</v>
      </c>
      <c r="AC28" s="2">
        <f>IF(AND($A28&gt;0,N('Dano fixo'!$L$11)&gt;0,OR('Dano fixo'!$G$11="Todos",ISNUMBER(SEARCH(","&amp;'Rotação'!$I28&amp;",",","&amp;SUBSTITUTE('Dano fixo'!$G$11,", ",",")&amp;","))),OR('Dano fixo'!$H$11="",ISNUMBER(SEARCH(","&amp;'Rotação'!$R28&amp;",",","&amp;SUBSTITUTE('Dano fixo'!$H$11,", ",",")&amp;","))),OR('Dano fixo'!$I$11="",ISNUMBER(SEARCH(","&amp;'Rotação'!$K28&amp;",",","&amp;SUBSTITUTE('Dano fixo'!$I$11,", ",",")&amp;",")))),1,0)</f>
        <v>0</v>
      </c>
      <c r="AD28" s="2">
        <f t="shared" si="10"/>
        <v>0</v>
      </c>
      <c r="AE28" s="2">
        <f>AC28*IF('Dano fixo'!$J$11="",$A28,MIN($A28,MAX(0,'Dano fixo'!$J$11-AD27)))</f>
        <v>0</v>
      </c>
      <c r="AF28" s="2">
        <f>D28*'Dano fixo'!$L$2+G28*'Dano fixo'!$L$3+J28*'Dano fixo'!$L$4+M28*'Dano fixo'!$L$5+P28*'Dano fixo'!$L$6+S28*'Dano fixo'!$L$7+V28*'Dano fixo'!$L$8+Y28*'Dano fixo'!$L$9+AB28*'Dano fixo'!$L$10+AE28*'Dano fixo'!$L$11</f>
        <v>0</v>
      </c>
    </row>
    <row r="29" ht="15.75" customHeight="1">
      <c r="A29" s="2">
        <f t="array" ref="A29">IF(ISNUMBER('Rotação'!$J29),IF('Rotação'!$B29="",1,'Rotação'!$B29)*IF(ISNUMBER('Rotação'!$H29),MAX(1,N(INDEX(L_Golpes!$BN$2:$BN$6000,'Rotação'!$H29))),1),0)</f>
        <v>0</v>
      </c>
      <c r="B29" s="2">
        <f>IF(AND($A29&gt;0,N('Dano fixo'!$L$2)&gt;0,OR('Dano fixo'!$G$2="Todos",ISNUMBER(SEARCH(","&amp;'Rotação'!$I29&amp;",",","&amp;SUBSTITUTE('Dano fixo'!$G$2,", ",",")&amp;","))),OR('Dano fixo'!$H$2="",ISNUMBER(SEARCH(","&amp;'Rotação'!$R29&amp;",",","&amp;SUBSTITUTE('Dano fixo'!$H$2,", ",",")&amp;","))),OR('Dano fixo'!$I$2="",ISNUMBER(SEARCH(","&amp;'Rotação'!$K29&amp;",",","&amp;SUBSTITUTE('Dano fixo'!$I$2,", ",",")&amp;",")))),1,0)</f>
        <v>0</v>
      </c>
      <c r="C29" s="2">
        <f t="shared" si="1"/>
        <v>0</v>
      </c>
      <c r="D29" s="2">
        <f>B29*IF('Dano fixo'!$J$2="",$A29,MIN($A29,MAX(0,'Dano fixo'!$J$2-C28)))</f>
        <v>0</v>
      </c>
      <c r="E29" s="2">
        <f>IF(AND($A29&gt;0,N('Dano fixo'!$L$3)&gt;0,OR('Dano fixo'!$G$3="Todos",ISNUMBER(SEARCH(","&amp;'Rotação'!$I29&amp;",",","&amp;SUBSTITUTE('Dano fixo'!$G$3,", ",",")&amp;","))),OR('Dano fixo'!$H$3="",ISNUMBER(SEARCH(","&amp;'Rotação'!$R29&amp;",",","&amp;SUBSTITUTE('Dano fixo'!$H$3,", ",",")&amp;","))),OR('Dano fixo'!$I$3="",ISNUMBER(SEARCH(","&amp;'Rotação'!$K29&amp;",",","&amp;SUBSTITUTE('Dano fixo'!$I$3,", ",",")&amp;",")))),1,0)</f>
        <v>0</v>
      </c>
      <c r="F29" s="2">
        <f t="shared" si="2"/>
        <v>0</v>
      </c>
      <c r="G29" s="2">
        <f>E29*IF('Dano fixo'!$J$3="",$A29,MIN($A29,MAX(0,'Dano fixo'!$J$3-F28)))</f>
        <v>0</v>
      </c>
      <c r="H29" s="2">
        <f>IF(AND($A29&gt;0,N('Dano fixo'!$L$4)&gt;0,OR('Dano fixo'!$G$4="Todos",ISNUMBER(SEARCH(","&amp;'Rotação'!$I29&amp;",",","&amp;SUBSTITUTE('Dano fixo'!$G$4,", ",",")&amp;","))),OR('Dano fixo'!$H$4="",ISNUMBER(SEARCH(","&amp;'Rotação'!$R29&amp;",",","&amp;SUBSTITUTE('Dano fixo'!$H$4,", ",",")&amp;","))),OR('Dano fixo'!$I$4="",ISNUMBER(SEARCH(","&amp;'Rotação'!$K29&amp;",",","&amp;SUBSTITUTE('Dano fixo'!$I$4,", ",",")&amp;",")))),1,0)</f>
        <v>0</v>
      </c>
      <c r="I29" s="2">
        <f t="shared" si="3"/>
        <v>0</v>
      </c>
      <c r="J29" s="2">
        <f>H29*IF('Dano fixo'!$J$4="",$A29,MIN($A29,MAX(0,'Dano fixo'!$J$4-I28)))</f>
        <v>0</v>
      </c>
      <c r="K29" s="2">
        <f>IF(AND($A29&gt;0,N('Dano fixo'!$L$5)&gt;0,OR('Dano fixo'!$G$5="Todos",ISNUMBER(SEARCH(","&amp;'Rotação'!$I29&amp;",",","&amp;SUBSTITUTE('Dano fixo'!$G$5,", ",",")&amp;","))),OR('Dano fixo'!$H$5="",ISNUMBER(SEARCH(","&amp;'Rotação'!$R29&amp;",",","&amp;SUBSTITUTE('Dano fixo'!$H$5,", ",",")&amp;","))),OR('Dano fixo'!$I$5="",ISNUMBER(SEARCH(","&amp;'Rotação'!$K29&amp;",",","&amp;SUBSTITUTE('Dano fixo'!$I$5,", ",",")&amp;",")))),1,0)</f>
        <v>0</v>
      </c>
      <c r="L29" s="2">
        <f t="shared" si="4"/>
        <v>0</v>
      </c>
      <c r="M29" s="2">
        <f>K29*IF('Dano fixo'!$J$5="",$A29,MIN($A29,MAX(0,'Dano fixo'!$J$5-L28)))</f>
        <v>0</v>
      </c>
      <c r="N29" s="2">
        <f>IF(AND($A29&gt;0,N('Dano fixo'!$L$6)&gt;0,OR('Dano fixo'!$G$6="Todos",ISNUMBER(SEARCH(","&amp;'Rotação'!$I29&amp;",",","&amp;SUBSTITUTE('Dano fixo'!$G$6,", ",",")&amp;","))),OR('Dano fixo'!$H$6="",ISNUMBER(SEARCH(","&amp;'Rotação'!$R29&amp;",",","&amp;SUBSTITUTE('Dano fixo'!$H$6,", ",",")&amp;","))),OR('Dano fixo'!$I$6="",ISNUMBER(SEARCH(","&amp;'Rotação'!$K29&amp;",",","&amp;SUBSTITUTE('Dano fixo'!$I$6,", ",",")&amp;",")))),1,0)</f>
        <v>0</v>
      </c>
      <c r="O29" s="2">
        <f t="shared" si="5"/>
        <v>0</v>
      </c>
      <c r="P29" s="2">
        <f>N29*IF('Dano fixo'!$J$6="",$A29,MIN($A29,MAX(0,'Dano fixo'!$J$6-O28)))</f>
        <v>0</v>
      </c>
      <c r="Q29" s="2">
        <f>IF(AND($A29&gt;0,N('Dano fixo'!$L$7)&gt;0,OR('Dano fixo'!$G$7="Todos",ISNUMBER(SEARCH(","&amp;'Rotação'!$I29&amp;",",","&amp;SUBSTITUTE('Dano fixo'!$G$7,", ",",")&amp;","))),OR('Dano fixo'!$H$7="",ISNUMBER(SEARCH(","&amp;'Rotação'!$R29&amp;",",","&amp;SUBSTITUTE('Dano fixo'!$H$7,", ",",")&amp;","))),OR('Dano fixo'!$I$7="",ISNUMBER(SEARCH(","&amp;'Rotação'!$K29&amp;",",","&amp;SUBSTITUTE('Dano fixo'!$I$7,", ",",")&amp;",")))),1,0)</f>
        <v>0</v>
      </c>
      <c r="R29" s="2">
        <f t="shared" si="6"/>
        <v>0</v>
      </c>
      <c r="S29" s="2">
        <f>Q29*IF('Dano fixo'!$J$7="",$A29,MIN($A29,MAX(0,'Dano fixo'!$J$7-R28)))</f>
        <v>0</v>
      </c>
      <c r="T29" s="2">
        <f>IF(AND($A29&gt;0,N('Dano fixo'!$L$8)&gt;0,OR('Dano fixo'!$G$8="Todos",ISNUMBER(SEARCH(","&amp;'Rotação'!$I29&amp;",",","&amp;SUBSTITUTE('Dano fixo'!$G$8,", ",",")&amp;","))),OR('Dano fixo'!$H$8="",ISNUMBER(SEARCH(","&amp;'Rotação'!$R29&amp;",",","&amp;SUBSTITUTE('Dano fixo'!$H$8,", ",",")&amp;","))),OR('Dano fixo'!$I$8="",ISNUMBER(SEARCH(","&amp;'Rotação'!$K29&amp;",",","&amp;SUBSTITUTE('Dano fixo'!$I$8,", ",",")&amp;",")))),1,0)</f>
        <v>0</v>
      </c>
      <c r="U29" s="2">
        <f t="shared" si="7"/>
        <v>0</v>
      </c>
      <c r="V29" s="2">
        <f>T29*IF('Dano fixo'!$J$8="",$A29,MIN($A29,MAX(0,'Dano fixo'!$J$8-U28)))</f>
        <v>0</v>
      </c>
      <c r="W29" s="2">
        <f>IF(AND($A29&gt;0,N('Dano fixo'!$L$9)&gt;0,OR('Dano fixo'!$G$9="Todos",ISNUMBER(SEARCH(","&amp;'Rotação'!$I29&amp;",",","&amp;SUBSTITUTE('Dano fixo'!$G$9,", ",",")&amp;","))),OR('Dano fixo'!$H$9="",ISNUMBER(SEARCH(","&amp;'Rotação'!$R29&amp;",",","&amp;SUBSTITUTE('Dano fixo'!$H$9,", ",",")&amp;","))),OR('Dano fixo'!$I$9="",ISNUMBER(SEARCH(","&amp;'Rotação'!$K29&amp;",",","&amp;SUBSTITUTE('Dano fixo'!$I$9,", ",",")&amp;",")))),1,0)</f>
        <v>0</v>
      </c>
      <c r="X29" s="2">
        <f t="shared" si="8"/>
        <v>0</v>
      </c>
      <c r="Y29" s="2">
        <f>W29*IF('Dano fixo'!$J$9="",$A29,MIN($A29,MAX(0,'Dano fixo'!$J$9-X28)))</f>
        <v>0</v>
      </c>
      <c r="Z29" s="2">
        <f>IF(AND($A29&gt;0,N('Dano fixo'!$L$10)&gt;0,OR('Dano fixo'!$G$10="Todos",ISNUMBER(SEARCH(","&amp;'Rotação'!$I29&amp;",",","&amp;SUBSTITUTE('Dano fixo'!$G$10,", ",",")&amp;","))),OR('Dano fixo'!$H$10="",ISNUMBER(SEARCH(","&amp;'Rotação'!$R29&amp;",",","&amp;SUBSTITUTE('Dano fixo'!$H$10,", ",",")&amp;","))),OR('Dano fixo'!$I$10="",ISNUMBER(SEARCH(","&amp;'Rotação'!$K29&amp;",",","&amp;SUBSTITUTE('Dano fixo'!$I$10,", ",",")&amp;",")))),1,0)</f>
        <v>0</v>
      </c>
      <c r="AA29" s="2">
        <f t="shared" si="9"/>
        <v>0</v>
      </c>
      <c r="AB29" s="2">
        <f>Z29*IF('Dano fixo'!$J$10="",$A29,MIN($A29,MAX(0,'Dano fixo'!$J$10-AA28)))</f>
        <v>0</v>
      </c>
      <c r="AC29" s="2">
        <f>IF(AND($A29&gt;0,N('Dano fixo'!$L$11)&gt;0,OR('Dano fixo'!$G$11="Todos",ISNUMBER(SEARCH(","&amp;'Rotação'!$I29&amp;",",","&amp;SUBSTITUTE('Dano fixo'!$G$11,", ",",")&amp;","))),OR('Dano fixo'!$H$11="",ISNUMBER(SEARCH(","&amp;'Rotação'!$R29&amp;",",","&amp;SUBSTITUTE('Dano fixo'!$H$11,", ",",")&amp;","))),OR('Dano fixo'!$I$11="",ISNUMBER(SEARCH(","&amp;'Rotação'!$K29&amp;",",","&amp;SUBSTITUTE('Dano fixo'!$I$11,", ",",")&amp;",")))),1,0)</f>
        <v>0</v>
      </c>
      <c r="AD29" s="2">
        <f t="shared" si="10"/>
        <v>0</v>
      </c>
      <c r="AE29" s="2">
        <f>AC29*IF('Dano fixo'!$J$11="",$A29,MIN($A29,MAX(0,'Dano fixo'!$J$11-AD28)))</f>
        <v>0</v>
      </c>
      <c r="AF29" s="2">
        <f>D29*'Dano fixo'!$L$2+G29*'Dano fixo'!$L$3+J29*'Dano fixo'!$L$4+M29*'Dano fixo'!$L$5+P29*'Dano fixo'!$L$6+S29*'Dano fixo'!$L$7+V29*'Dano fixo'!$L$8+Y29*'Dano fixo'!$L$9+AB29*'Dano fixo'!$L$10+AE29*'Dano fixo'!$L$11</f>
        <v>0</v>
      </c>
    </row>
    <row r="30" ht="15.75" customHeight="1">
      <c r="A30" s="2">
        <f t="array" ref="A30">IF(ISNUMBER('Rotação'!$J30),IF('Rotação'!$B30="",1,'Rotação'!$B30)*IF(ISNUMBER('Rotação'!$H30),MAX(1,N(INDEX(L_Golpes!$BN$2:$BN$6000,'Rotação'!$H30))),1),0)</f>
        <v>0</v>
      </c>
      <c r="B30" s="2">
        <f>IF(AND($A30&gt;0,N('Dano fixo'!$L$2)&gt;0,OR('Dano fixo'!$G$2="Todos",ISNUMBER(SEARCH(","&amp;'Rotação'!$I30&amp;",",","&amp;SUBSTITUTE('Dano fixo'!$G$2,", ",",")&amp;","))),OR('Dano fixo'!$H$2="",ISNUMBER(SEARCH(","&amp;'Rotação'!$R30&amp;",",","&amp;SUBSTITUTE('Dano fixo'!$H$2,", ",",")&amp;","))),OR('Dano fixo'!$I$2="",ISNUMBER(SEARCH(","&amp;'Rotação'!$K30&amp;",",","&amp;SUBSTITUTE('Dano fixo'!$I$2,", ",",")&amp;",")))),1,0)</f>
        <v>0</v>
      </c>
      <c r="C30" s="2">
        <f t="shared" si="1"/>
        <v>0</v>
      </c>
      <c r="D30" s="2">
        <f>B30*IF('Dano fixo'!$J$2="",$A30,MIN($A30,MAX(0,'Dano fixo'!$J$2-C29)))</f>
        <v>0</v>
      </c>
      <c r="E30" s="2">
        <f>IF(AND($A30&gt;0,N('Dano fixo'!$L$3)&gt;0,OR('Dano fixo'!$G$3="Todos",ISNUMBER(SEARCH(","&amp;'Rotação'!$I30&amp;",",","&amp;SUBSTITUTE('Dano fixo'!$G$3,", ",",")&amp;","))),OR('Dano fixo'!$H$3="",ISNUMBER(SEARCH(","&amp;'Rotação'!$R30&amp;",",","&amp;SUBSTITUTE('Dano fixo'!$H$3,", ",",")&amp;","))),OR('Dano fixo'!$I$3="",ISNUMBER(SEARCH(","&amp;'Rotação'!$K30&amp;",",","&amp;SUBSTITUTE('Dano fixo'!$I$3,", ",",")&amp;",")))),1,0)</f>
        <v>0</v>
      </c>
      <c r="F30" s="2">
        <f t="shared" si="2"/>
        <v>0</v>
      </c>
      <c r="G30" s="2">
        <f>E30*IF('Dano fixo'!$J$3="",$A30,MIN($A30,MAX(0,'Dano fixo'!$J$3-F29)))</f>
        <v>0</v>
      </c>
      <c r="H30" s="2">
        <f>IF(AND($A30&gt;0,N('Dano fixo'!$L$4)&gt;0,OR('Dano fixo'!$G$4="Todos",ISNUMBER(SEARCH(","&amp;'Rotação'!$I30&amp;",",","&amp;SUBSTITUTE('Dano fixo'!$G$4,", ",",")&amp;","))),OR('Dano fixo'!$H$4="",ISNUMBER(SEARCH(","&amp;'Rotação'!$R30&amp;",",","&amp;SUBSTITUTE('Dano fixo'!$H$4,", ",",")&amp;","))),OR('Dano fixo'!$I$4="",ISNUMBER(SEARCH(","&amp;'Rotação'!$K30&amp;",",","&amp;SUBSTITUTE('Dano fixo'!$I$4,", ",",")&amp;",")))),1,0)</f>
        <v>0</v>
      </c>
      <c r="I30" s="2">
        <f t="shared" si="3"/>
        <v>0</v>
      </c>
      <c r="J30" s="2">
        <f>H30*IF('Dano fixo'!$J$4="",$A30,MIN($A30,MAX(0,'Dano fixo'!$J$4-I29)))</f>
        <v>0</v>
      </c>
      <c r="K30" s="2">
        <f>IF(AND($A30&gt;0,N('Dano fixo'!$L$5)&gt;0,OR('Dano fixo'!$G$5="Todos",ISNUMBER(SEARCH(","&amp;'Rotação'!$I30&amp;",",","&amp;SUBSTITUTE('Dano fixo'!$G$5,", ",",")&amp;","))),OR('Dano fixo'!$H$5="",ISNUMBER(SEARCH(","&amp;'Rotação'!$R30&amp;",",","&amp;SUBSTITUTE('Dano fixo'!$H$5,", ",",")&amp;","))),OR('Dano fixo'!$I$5="",ISNUMBER(SEARCH(","&amp;'Rotação'!$K30&amp;",",","&amp;SUBSTITUTE('Dano fixo'!$I$5,", ",",")&amp;",")))),1,0)</f>
        <v>0</v>
      </c>
      <c r="L30" s="2">
        <f t="shared" si="4"/>
        <v>0</v>
      </c>
      <c r="M30" s="2">
        <f>K30*IF('Dano fixo'!$J$5="",$A30,MIN($A30,MAX(0,'Dano fixo'!$J$5-L29)))</f>
        <v>0</v>
      </c>
      <c r="N30" s="2">
        <f>IF(AND($A30&gt;0,N('Dano fixo'!$L$6)&gt;0,OR('Dano fixo'!$G$6="Todos",ISNUMBER(SEARCH(","&amp;'Rotação'!$I30&amp;",",","&amp;SUBSTITUTE('Dano fixo'!$G$6,", ",",")&amp;","))),OR('Dano fixo'!$H$6="",ISNUMBER(SEARCH(","&amp;'Rotação'!$R30&amp;",",","&amp;SUBSTITUTE('Dano fixo'!$H$6,", ",",")&amp;","))),OR('Dano fixo'!$I$6="",ISNUMBER(SEARCH(","&amp;'Rotação'!$K30&amp;",",","&amp;SUBSTITUTE('Dano fixo'!$I$6,", ",",")&amp;",")))),1,0)</f>
        <v>0</v>
      </c>
      <c r="O30" s="2">
        <f t="shared" si="5"/>
        <v>0</v>
      </c>
      <c r="P30" s="2">
        <f>N30*IF('Dano fixo'!$J$6="",$A30,MIN($A30,MAX(0,'Dano fixo'!$J$6-O29)))</f>
        <v>0</v>
      </c>
      <c r="Q30" s="2">
        <f>IF(AND($A30&gt;0,N('Dano fixo'!$L$7)&gt;0,OR('Dano fixo'!$G$7="Todos",ISNUMBER(SEARCH(","&amp;'Rotação'!$I30&amp;",",","&amp;SUBSTITUTE('Dano fixo'!$G$7,", ",",")&amp;","))),OR('Dano fixo'!$H$7="",ISNUMBER(SEARCH(","&amp;'Rotação'!$R30&amp;",",","&amp;SUBSTITUTE('Dano fixo'!$H$7,", ",",")&amp;","))),OR('Dano fixo'!$I$7="",ISNUMBER(SEARCH(","&amp;'Rotação'!$K30&amp;",",","&amp;SUBSTITUTE('Dano fixo'!$I$7,", ",",")&amp;",")))),1,0)</f>
        <v>0</v>
      </c>
      <c r="R30" s="2">
        <f t="shared" si="6"/>
        <v>0</v>
      </c>
      <c r="S30" s="2">
        <f>Q30*IF('Dano fixo'!$J$7="",$A30,MIN($A30,MAX(0,'Dano fixo'!$J$7-R29)))</f>
        <v>0</v>
      </c>
      <c r="T30" s="2">
        <f>IF(AND($A30&gt;0,N('Dano fixo'!$L$8)&gt;0,OR('Dano fixo'!$G$8="Todos",ISNUMBER(SEARCH(","&amp;'Rotação'!$I30&amp;",",","&amp;SUBSTITUTE('Dano fixo'!$G$8,", ",",")&amp;","))),OR('Dano fixo'!$H$8="",ISNUMBER(SEARCH(","&amp;'Rotação'!$R30&amp;",",","&amp;SUBSTITUTE('Dano fixo'!$H$8,", ",",")&amp;","))),OR('Dano fixo'!$I$8="",ISNUMBER(SEARCH(","&amp;'Rotação'!$K30&amp;",",","&amp;SUBSTITUTE('Dano fixo'!$I$8,", ",",")&amp;",")))),1,0)</f>
        <v>0</v>
      </c>
      <c r="U30" s="2">
        <f t="shared" si="7"/>
        <v>0</v>
      </c>
      <c r="V30" s="2">
        <f>T30*IF('Dano fixo'!$J$8="",$A30,MIN($A30,MAX(0,'Dano fixo'!$J$8-U29)))</f>
        <v>0</v>
      </c>
      <c r="W30" s="2">
        <f>IF(AND($A30&gt;0,N('Dano fixo'!$L$9)&gt;0,OR('Dano fixo'!$G$9="Todos",ISNUMBER(SEARCH(","&amp;'Rotação'!$I30&amp;",",","&amp;SUBSTITUTE('Dano fixo'!$G$9,", ",",")&amp;","))),OR('Dano fixo'!$H$9="",ISNUMBER(SEARCH(","&amp;'Rotação'!$R30&amp;",",","&amp;SUBSTITUTE('Dano fixo'!$H$9,", ",",")&amp;","))),OR('Dano fixo'!$I$9="",ISNUMBER(SEARCH(","&amp;'Rotação'!$K30&amp;",",","&amp;SUBSTITUTE('Dano fixo'!$I$9,", ",",")&amp;",")))),1,0)</f>
        <v>0</v>
      </c>
      <c r="X30" s="2">
        <f t="shared" si="8"/>
        <v>0</v>
      </c>
      <c r="Y30" s="2">
        <f>W30*IF('Dano fixo'!$J$9="",$A30,MIN($A30,MAX(0,'Dano fixo'!$J$9-X29)))</f>
        <v>0</v>
      </c>
      <c r="Z30" s="2">
        <f>IF(AND($A30&gt;0,N('Dano fixo'!$L$10)&gt;0,OR('Dano fixo'!$G$10="Todos",ISNUMBER(SEARCH(","&amp;'Rotação'!$I30&amp;",",","&amp;SUBSTITUTE('Dano fixo'!$G$10,", ",",")&amp;","))),OR('Dano fixo'!$H$10="",ISNUMBER(SEARCH(","&amp;'Rotação'!$R30&amp;",",","&amp;SUBSTITUTE('Dano fixo'!$H$10,", ",",")&amp;","))),OR('Dano fixo'!$I$10="",ISNUMBER(SEARCH(","&amp;'Rotação'!$K30&amp;",",","&amp;SUBSTITUTE('Dano fixo'!$I$10,", ",",")&amp;",")))),1,0)</f>
        <v>0</v>
      </c>
      <c r="AA30" s="2">
        <f t="shared" si="9"/>
        <v>0</v>
      </c>
      <c r="AB30" s="2">
        <f>Z30*IF('Dano fixo'!$J$10="",$A30,MIN($A30,MAX(0,'Dano fixo'!$J$10-AA29)))</f>
        <v>0</v>
      </c>
      <c r="AC30" s="2">
        <f>IF(AND($A30&gt;0,N('Dano fixo'!$L$11)&gt;0,OR('Dano fixo'!$G$11="Todos",ISNUMBER(SEARCH(","&amp;'Rotação'!$I30&amp;",",","&amp;SUBSTITUTE('Dano fixo'!$G$11,", ",",")&amp;","))),OR('Dano fixo'!$H$11="",ISNUMBER(SEARCH(","&amp;'Rotação'!$R30&amp;",",","&amp;SUBSTITUTE('Dano fixo'!$H$11,", ",",")&amp;","))),OR('Dano fixo'!$I$11="",ISNUMBER(SEARCH(","&amp;'Rotação'!$K30&amp;",",","&amp;SUBSTITUTE('Dano fixo'!$I$11,", ",",")&amp;",")))),1,0)</f>
        <v>0</v>
      </c>
      <c r="AD30" s="2">
        <f t="shared" si="10"/>
        <v>0</v>
      </c>
      <c r="AE30" s="2">
        <f>AC30*IF('Dano fixo'!$J$11="",$A30,MIN($A30,MAX(0,'Dano fixo'!$J$11-AD29)))</f>
        <v>0</v>
      </c>
      <c r="AF30" s="2">
        <f>D30*'Dano fixo'!$L$2+G30*'Dano fixo'!$L$3+J30*'Dano fixo'!$L$4+M30*'Dano fixo'!$L$5+P30*'Dano fixo'!$L$6+S30*'Dano fixo'!$L$7+V30*'Dano fixo'!$L$8+Y30*'Dano fixo'!$L$9+AB30*'Dano fixo'!$L$10+AE30*'Dano fixo'!$L$11</f>
        <v>0</v>
      </c>
    </row>
    <row r="31" ht="15.75" customHeight="1">
      <c r="A31" s="2">
        <f t="array" ref="A31">IF(ISNUMBER('Rotação'!$J31),IF('Rotação'!$B31="",1,'Rotação'!$B31)*IF(ISNUMBER('Rotação'!$H31),MAX(1,N(INDEX(L_Golpes!$BN$2:$BN$6000,'Rotação'!$H31))),1),0)</f>
        <v>0</v>
      </c>
      <c r="B31" s="2">
        <f>IF(AND($A31&gt;0,N('Dano fixo'!$L$2)&gt;0,OR('Dano fixo'!$G$2="Todos",ISNUMBER(SEARCH(","&amp;'Rotação'!$I31&amp;",",","&amp;SUBSTITUTE('Dano fixo'!$G$2,", ",",")&amp;","))),OR('Dano fixo'!$H$2="",ISNUMBER(SEARCH(","&amp;'Rotação'!$R31&amp;",",","&amp;SUBSTITUTE('Dano fixo'!$H$2,", ",",")&amp;","))),OR('Dano fixo'!$I$2="",ISNUMBER(SEARCH(","&amp;'Rotação'!$K31&amp;",",","&amp;SUBSTITUTE('Dano fixo'!$I$2,", ",",")&amp;",")))),1,0)</f>
        <v>0</v>
      </c>
      <c r="C31" s="2">
        <f t="shared" si="1"/>
        <v>0</v>
      </c>
      <c r="D31" s="2">
        <f>B31*IF('Dano fixo'!$J$2="",$A31,MIN($A31,MAX(0,'Dano fixo'!$J$2-C30)))</f>
        <v>0</v>
      </c>
      <c r="E31" s="2">
        <f>IF(AND($A31&gt;0,N('Dano fixo'!$L$3)&gt;0,OR('Dano fixo'!$G$3="Todos",ISNUMBER(SEARCH(","&amp;'Rotação'!$I31&amp;",",","&amp;SUBSTITUTE('Dano fixo'!$G$3,", ",",")&amp;","))),OR('Dano fixo'!$H$3="",ISNUMBER(SEARCH(","&amp;'Rotação'!$R31&amp;",",","&amp;SUBSTITUTE('Dano fixo'!$H$3,", ",",")&amp;","))),OR('Dano fixo'!$I$3="",ISNUMBER(SEARCH(","&amp;'Rotação'!$K31&amp;",",","&amp;SUBSTITUTE('Dano fixo'!$I$3,", ",",")&amp;",")))),1,0)</f>
        <v>0</v>
      </c>
      <c r="F31" s="2">
        <f t="shared" si="2"/>
        <v>0</v>
      </c>
      <c r="G31" s="2">
        <f>E31*IF('Dano fixo'!$J$3="",$A31,MIN($A31,MAX(0,'Dano fixo'!$J$3-F30)))</f>
        <v>0</v>
      </c>
      <c r="H31" s="2">
        <f>IF(AND($A31&gt;0,N('Dano fixo'!$L$4)&gt;0,OR('Dano fixo'!$G$4="Todos",ISNUMBER(SEARCH(","&amp;'Rotação'!$I31&amp;",",","&amp;SUBSTITUTE('Dano fixo'!$G$4,", ",",")&amp;","))),OR('Dano fixo'!$H$4="",ISNUMBER(SEARCH(","&amp;'Rotação'!$R31&amp;",",","&amp;SUBSTITUTE('Dano fixo'!$H$4,", ",",")&amp;","))),OR('Dano fixo'!$I$4="",ISNUMBER(SEARCH(","&amp;'Rotação'!$K31&amp;",",","&amp;SUBSTITUTE('Dano fixo'!$I$4,", ",",")&amp;",")))),1,0)</f>
        <v>0</v>
      </c>
      <c r="I31" s="2">
        <f t="shared" si="3"/>
        <v>0</v>
      </c>
      <c r="J31" s="2">
        <f>H31*IF('Dano fixo'!$J$4="",$A31,MIN($A31,MAX(0,'Dano fixo'!$J$4-I30)))</f>
        <v>0</v>
      </c>
      <c r="K31" s="2">
        <f>IF(AND($A31&gt;0,N('Dano fixo'!$L$5)&gt;0,OR('Dano fixo'!$G$5="Todos",ISNUMBER(SEARCH(","&amp;'Rotação'!$I31&amp;",",","&amp;SUBSTITUTE('Dano fixo'!$G$5,", ",",")&amp;","))),OR('Dano fixo'!$H$5="",ISNUMBER(SEARCH(","&amp;'Rotação'!$R31&amp;",",","&amp;SUBSTITUTE('Dano fixo'!$H$5,", ",",")&amp;","))),OR('Dano fixo'!$I$5="",ISNUMBER(SEARCH(","&amp;'Rotação'!$K31&amp;",",","&amp;SUBSTITUTE('Dano fixo'!$I$5,", ",",")&amp;",")))),1,0)</f>
        <v>0</v>
      </c>
      <c r="L31" s="2">
        <f t="shared" si="4"/>
        <v>0</v>
      </c>
      <c r="M31" s="2">
        <f>K31*IF('Dano fixo'!$J$5="",$A31,MIN($A31,MAX(0,'Dano fixo'!$J$5-L30)))</f>
        <v>0</v>
      </c>
      <c r="N31" s="2">
        <f>IF(AND($A31&gt;0,N('Dano fixo'!$L$6)&gt;0,OR('Dano fixo'!$G$6="Todos",ISNUMBER(SEARCH(","&amp;'Rotação'!$I31&amp;",",","&amp;SUBSTITUTE('Dano fixo'!$G$6,", ",",")&amp;","))),OR('Dano fixo'!$H$6="",ISNUMBER(SEARCH(","&amp;'Rotação'!$R31&amp;",",","&amp;SUBSTITUTE('Dano fixo'!$H$6,", ",",")&amp;","))),OR('Dano fixo'!$I$6="",ISNUMBER(SEARCH(","&amp;'Rotação'!$K31&amp;",",","&amp;SUBSTITUTE('Dano fixo'!$I$6,", ",",")&amp;",")))),1,0)</f>
        <v>0</v>
      </c>
      <c r="O31" s="2">
        <f t="shared" si="5"/>
        <v>0</v>
      </c>
      <c r="P31" s="2">
        <f>N31*IF('Dano fixo'!$J$6="",$A31,MIN($A31,MAX(0,'Dano fixo'!$J$6-O30)))</f>
        <v>0</v>
      </c>
      <c r="Q31" s="2">
        <f>IF(AND($A31&gt;0,N('Dano fixo'!$L$7)&gt;0,OR('Dano fixo'!$G$7="Todos",ISNUMBER(SEARCH(","&amp;'Rotação'!$I31&amp;",",","&amp;SUBSTITUTE('Dano fixo'!$G$7,", ",",")&amp;","))),OR('Dano fixo'!$H$7="",ISNUMBER(SEARCH(","&amp;'Rotação'!$R31&amp;",",","&amp;SUBSTITUTE('Dano fixo'!$H$7,", ",",")&amp;","))),OR('Dano fixo'!$I$7="",ISNUMBER(SEARCH(","&amp;'Rotação'!$K31&amp;",",","&amp;SUBSTITUTE('Dano fixo'!$I$7,", ",",")&amp;",")))),1,0)</f>
        <v>0</v>
      </c>
      <c r="R31" s="2">
        <f t="shared" si="6"/>
        <v>0</v>
      </c>
      <c r="S31" s="2">
        <f>Q31*IF('Dano fixo'!$J$7="",$A31,MIN($A31,MAX(0,'Dano fixo'!$J$7-R30)))</f>
        <v>0</v>
      </c>
      <c r="T31" s="2">
        <f>IF(AND($A31&gt;0,N('Dano fixo'!$L$8)&gt;0,OR('Dano fixo'!$G$8="Todos",ISNUMBER(SEARCH(","&amp;'Rotação'!$I31&amp;",",","&amp;SUBSTITUTE('Dano fixo'!$G$8,", ",",")&amp;","))),OR('Dano fixo'!$H$8="",ISNUMBER(SEARCH(","&amp;'Rotação'!$R31&amp;",",","&amp;SUBSTITUTE('Dano fixo'!$H$8,", ",",")&amp;","))),OR('Dano fixo'!$I$8="",ISNUMBER(SEARCH(","&amp;'Rotação'!$K31&amp;",",","&amp;SUBSTITUTE('Dano fixo'!$I$8,", ",",")&amp;",")))),1,0)</f>
        <v>0</v>
      </c>
      <c r="U31" s="2">
        <f t="shared" si="7"/>
        <v>0</v>
      </c>
      <c r="V31" s="2">
        <f>T31*IF('Dano fixo'!$J$8="",$A31,MIN($A31,MAX(0,'Dano fixo'!$J$8-U30)))</f>
        <v>0</v>
      </c>
      <c r="W31" s="2">
        <f>IF(AND($A31&gt;0,N('Dano fixo'!$L$9)&gt;0,OR('Dano fixo'!$G$9="Todos",ISNUMBER(SEARCH(","&amp;'Rotação'!$I31&amp;",",","&amp;SUBSTITUTE('Dano fixo'!$G$9,", ",",")&amp;","))),OR('Dano fixo'!$H$9="",ISNUMBER(SEARCH(","&amp;'Rotação'!$R31&amp;",",","&amp;SUBSTITUTE('Dano fixo'!$H$9,", ",",")&amp;","))),OR('Dano fixo'!$I$9="",ISNUMBER(SEARCH(","&amp;'Rotação'!$K31&amp;",",","&amp;SUBSTITUTE('Dano fixo'!$I$9,", ",",")&amp;",")))),1,0)</f>
        <v>0</v>
      </c>
      <c r="X31" s="2">
        <f t="shared" si="8"/>
        <v>0</v>
      </c>
      <c r="Y31" s="2">
        <f>W31*IF('Dano fixo'!$J$9="",$A31,MIN($A31,MAX(0,'Dano fixo'!$J$9-X30)))</f>
        <v>0</v>
      </c>
      <c r="Z31" s="2">
        <f>IF(AND($A31&gt;0,N('Dano fixo'!$L$10)&gt;0,OR('Dano fixo'!$G$10="Todos",ISNUMBER(SEARCH(","&amp;'Rotação'!$I31&amp;",",","&amp;SUBSTITUTE('Dano fixo'!$G$10,", ",",")&amp;","))),OR('Dano fixo'!$H$10="",ISNUMBER(SEARCH(","&amp;'Rotação'!$R31&amp;",",","&amp;SUBSTITUTE('Dano fixo'!$H$10,", ",",")&amp;","))),OR('Dano fixo'!$I$10="",ISNUMBER(SEARCH(","&amp;'Rotação'!$K31&amp;",",","&amp;SUBSTITUTE('Dano fixo'!$I$10,", ",",")&amp;",")))),1,0)</f>
        <v>0</v>
      </c>
      <c r="AA31" s="2">
        <f t="shared" si="9"/>
        <v>0</v>
      </c>
      <c r="AB31" s="2">
        <f>Z31*IF('Dano fixo'!$J$10="",$A31,MIN($A31,MAX(0,'Dano fixo'!$J$10-AA30)))</f>
        <v>0</v>
      </c>
      <c r="AC31" s="2">
        <f>IF(AND($A31&gt;0,N('Dano fixo'!$L$11)&gt;0,OR('Dano fixo'!$G$11="Todos",ISNUMBER(SEARCH(","&amp;'Rotação'!$I31&amp;",",","&amp;SUBSTITUTE('Dano fixo'!$G$11,", ",",")&amp;","))),OR('Dano fixo'!$H$11="",ISNUMBER(SEARCH(","&amp;'Rotação'!$R31&amp;",",","&amp;SUBSTITUTE('Dano fixo'!$H$11,", ",",")&amp;","))),OR('Dano fixo'!$I$11="",ISNUMBER(SEARCH(","&amp;'Rotação'!$K31&amp;",",","&amp;SUBSTITUTE('Dano fixo'!$I$11,", ",",")&amp;",")))),1,0)</f>
        <v>0</v>
      </c>
      <c r="AD31" s="2">
        <f t="shared" si="10"/>
        <v>0</v>
      </c>
      <c r="AE31" s="2">
        <f>AC31*IF('Dano fixo'!$J$11="",$A31,MIN($A31,MAX(0,'Dano fixo'!$J$11-AD30)))</f>
        <v>0</v>
      </c>
      <c r="AF31" s="2">
        <f>D31*'Dano fixo'!$L$2+G31*'Dano fixo'!$L$3+J31*'Dano fixo'!$L$4+M31*'Dano fixo'!$L$5+P31*'Dano fixo'!$L$6+S31*'Dano fixo'!$L$7+V31*'Dano fixo'!$L$8+Y31*'Dano fixo'!$L$9+AB31*'Dano fixo'!$L$10+AE31*'Dano fixo'!$L$11</f>
        <v>0</v>
      </c>
    </row>
    <row r="32" ht="15.75" customHeight="1">
      <c r="A32" s="2">
        <f t="array" ref="A32">IF(ISNUMBER('Rotação'!$J32),IF('Rotação'!$B32="",1,'Rotação'!$B32)*IF(ISNUMBER('Rotação'!$H32),MAX(1,N(INDEX(L_Golpes!$BN$2:$BN$6000,'Rotação'!$H32))),1),0)</f>
        <v>0</v>
      </c>
      <c r="B32" s="2">
        <f>IF(AND($A32&gt;0,N('Dano fixo'!$L$2)&gt;0,OR('Dano fixo'!$G$2="Todos",ISNUMBER(SEARCH(","&amp;'Rotação'!$I32&amp;",",","&amp;SUBSTITUTE('Dano fixo'!$G$2,", ",",")&amp;","))),OR('Dano fixo'!$H$2="",ISNUMBER(SEARCH(","&amp;'Rotação'!$R32&amp;",",","&amp;SUBSTITUTE('Dano fixo'!$H$2,", ",",")&amp;","))),OR('Dano fixo'!$I$2="",ISNUMBER(SEARCH(","&amp;'Rotação'!$K32&amp;",",","&amp;SUBSTITUTE('Dano fixo'!$I$2,", ",",")&amp;",")))),1,0)</f>
        <v>0</v>
      </c>
      <c r="C32" s="2">
        <f t="shared" si="1"/>
        <v>0</v>
      </c>
      <c r="D32" s="2">
        <f>B32*IF('Dano fixo'!$J$2="",$A32,MIN($A32,MAX(0,'Dano fixo'!$J$2-C31)))</f>
        <v>0</v>
      </c>
      <c r="E32" s="2">
        <f>IF(AND($A32&gt;0,N('Dano fixo'!$L$3)&gt;0,OR('Dano fixo'!$G$3="Todos",ISNUMBER(SEARCH(","&amp;'Rotação'!$I32&amp;",",","&amp;SUBSTITUTE('Dano fixo'!$G$3,", ",",")&amp;","))),OR('Dano fixo'!$H$3="",ISNUMBER(SEARCH(","&amp;'Rotação'!$R32&amp;",",","&amp;SUBSTITUTE('Dano fixo'!$H$3,", ",",")&amp;","))),OR('Dano fixo'!$I$3="",ISNUMBER(SEARCH(","&amp;'Rotação'!$K32&amp;",",","&amp;SUBSTITUTE('Dano fixo'!$I$3,", ",",")&amp;",")))),1,0)</f>
        <v>0</v>
      </c>
      <c r="F32" s="2">
        <f t="shared" si="2"/>
        <v>0</v>
      </c>
      <c r="G32" s="2">
        <f>E32*IF('Dano fixo'!$J$3="",$A32,MIN($A32,MAX(0,'Dano fixo'!$J$3-F31)))</f>
        <v>0</v>
      </c>
      <c r="H32" s="2">
        <f>IF(AND($A32&gt;0,N('Dano fixo'!$L$4)&gt;0,OR('Dano fixo'!$G$4="Todos",ISNUMBER(SEARCH(","&amp;'Rotação'!$I32&amp;",",","&amp;SUBSTITUTE('Dano fixo'!$G$4,", ",",")&amp;","))),OR('Dano fixo'!$H$4="",ISNUMBER(SEARCH(","&amp;'Rotação'!$R32&amp;",",","&amp;SUBSTITUTE('Dano fixo'!$H$4,", ",",")&amp;","))),OR('Dano fixo'!$I$4="",ISNUMBER(SEARCH(","&amp;'Rotação'!$K32&amp;",",","&amp;SUBSTITUTE('Dano fixo'!$I$4,", ",",")&amp;",")))),1,0)</f>
        <v>0</v>
      </c>
      <c r="I32" s="2">
        <f t="shared" si="3"/>
        <v>0</v>
      </c>
      <c r="J32" s="2">
        <f>H32*IF('Dano fixo'!$J$4="",$A32,MIN($A32,MAX(0,'Dano fixo'!$J$4-I31)))</f>
        <v>0</v>
      </c>
      <c r="K32" s="2">
        <f>IF(AND($A32&gt;0,N('Dano fixo'!$L$5)&gt;0,OR('Dano fixo'!$G$5="Todos",ISNUMBER(SEARCH(","&amp;'Rotação'!$I32&amp;",",","&amp;SUBSTITUTE('Dano fixo'!$G$5,", ",",")&amp;","))),OR('Dano fixo'!$H$5="",ISNUMBER(SEARCH(","&amp;'Rotação'!$R32&amp;",",","&amp;SUBSTITUTE('Dano fixo'!$H$5,", ",",")&amp;","))),OR('Dano fixo'!$I$5="",ISNUMBER(SEARCH(","&amp;'Rotação'!$K32&amp;",",","&amp;SUBSTITUTE('Dano fixo'!$I$5,", ",",")&amp;",")))),1,0)</f>
        <v>0</v>
      </c>
      <c r="L32" s="2">
        <f t="shared" si="4"/>
        <v>0</v>
      </c>
      <c r="M32" s="2">
        <f>K32*IF('Dano fixo'!$J$5="",$A32,MIN($A32,MAX(0,'Dano fixo'!$J$5-L31)))</f>
        <v>0</v>
      </c>
      <c r="N32" s="2">
        <f>IF(AND($A32&gt;0,N('Dano fixo'!$L$6)&gt;0,OR('Dano fixo'!$G$6="Todos",ISNUMBER(SEARCH(","&amp;'Rotação'!$I32&amp;",",","&amp;SUBSTITUTE('Dano fixo'!$G$6,", ",",")&amp;","))),OR('Dano fixo'!$H$6="",ISNUMBER(SEARCH(","&amp;'Rotação'!$R32&amp;",",","&amp;SUBSTITUTE('Dano fixo'!$H$6,", ",",")&amp;","))),OR('Dano fixo'!$I$6="",ISNUMBER(SEARCH(","&amp;'Rotação'!$K32&amp;",",","&amp;SUBSTITUTE('Dano fixo'!$I$6,", ",",")&amp;",")))),1,0)</f>
        <v>0</v>
      </c>
      <c r="O32" s="2">
        <f t="shared" si="5"/>
        <v>0</v>
      </c>
      <c r="P32" s="2">
        <f>N32*IF('Dano fixo'!$J$6="",$A32,MIN($A32,MAX(0,'Dano fixo'!$J$6-O31)))</f>
        <v>0</v>
      </c>
      <c r="Q32" s="2">
        <f>IF(AND($A32&gt;0,N('Dano fixo'!$L$7)&gt;0,OR('Dano fixo'!$G$7="Todos",ISNUMBER(SEARCH(","&amp;'Rotação'!$I32&amp;",",","&amp;SUBSTITUTE('Dano fixo'!$G$7,", ",",")&amp;","))),OR('Dano fixo'!$H$7="",ISNUMBER(SEARCH(","&amp;'Rotação'!$R32&amp;",",","&amp;SUBSTITUTE('Dano fixo'!$H$7,", ",",")&amp;","))),OR('Dano fixo'!$I$7="",ISNUMBER(SEARCH(","&amp;'Rotação'!$K32&amp;",",","&amp;SUBSTITUTE('Dano fixo'!$I$7,", ",",")&amp;",")))),1,0)</f>
        <v>0</v>
      </c>
      <c r="R32" s="2">
        <f t="shared" si="6"/>
        <v>0</v>
      </c>
      <c r="S32" s="2">
        <f>Q32*IF('Dano fixo'!$J$7="",$A32,MIN($A32,MAX(0,'Dano fixo'!$J$7-R31)))</f>
        <v>0</v>
      </c>
      <c r="T32" s="2">
        <f>IF(AND($A32&gt;0,N('Dano fixo'!$L$8)&gt;0,OR('Dano fixo'!$G$8="Todos",ISNUMBER(SEARCH(","&amp;'Rotação'!$I32&amp;",",","&amp;SUBSTITUTE('Dano fixo'!$G$8,", ",",")&amp;","))),OR('Dano fixo'!$H$8="",ISNUMBER(SEARCH(","&amp;'Rotação'!$R32&amp;",",","&amp;SUBSTITUTE('Dano fixo'!$H$8,", ",",")&amp;","))),OR('Dano fixo'!$I$8="",ISNUMBER(SEARCH(","&amp;'Rotação'!$K32&amp;",",","&amp;SUBSTITUTE('Dano fixo'!$I$8,", ",",")&amp;",")))),1,0)</f>
        <v>0</v>
      </c>
      <c r="U32" s="2">
        <f t="shared" si="7"/>
        <v>0</v>
      </c>
      <c r="V32" s="2">
        <f>T32*IF('Dano fixo'!$J$8="",$A32,MIN($A32,MAX(0,'Dano fixo'!$J$8-U31)))</f>
        <v>0</v>
      </c>
      <c r="W32" s="2">
        <f>IF(AND($A32&gt;0,N('Dano fixo'!$L$9)&gt;0,OR('Dano fixo'!$G$9="Todos",ISNUMBER(SEARCH(","&amp;'Rotação'!$I32&amp;",",","&amp;SUBSTITUTE('Dano fixo'!$G$9,", ",",")&amp;","))),OR('Dano fixo'!$H$9="",ISNUMBER(SEARCH(","&amp;'Rotação'!$R32&amp;",",","&amp;SUBSTITUTE('Dano fixo'!$H$9,", ",",")&amp;","))),OR('Dano fixo'!$I$9="",ISNUMBER(SEARCH(","&amp;'Rotação'!$K32&amp;",",","&amp;SUBSTITUTE('Dano fixo'!$I$9,", ",",")&amp;",")))),1,0)</f>
        <v>0</v>
      </c>
      <c r="X32" s="2">
        <f t="shared" si="8"/>
        <v>0</v>
      </c>
      <c r="Y32" s="2">
        <f>W32*IF('Dano fixo'!$J$9="",$A32,MIN($A32,MAX(0,'Dano fixo'!$J$9-X31)))</f>
        <v>0</v>
      </c>
      <c r="Z32" s="2">
        <f>IF(AND($A32&gt;0,N('Dano fixo'!$L$10)&gt;0,OR('Dano fixo'!$G$10="Todos",ISNUMBER(SEARCH(","&amp;'Rotação'!$I32&amp;",",","&amp;SUBSTITUTE('Dano fixo'!$G$10,", ",",")&amp;","))),OR('Dano fixo'!$H$10="",ISNUMBER(SEARCH(","&amp;'Rotação'!$R32&amp;",",","&amp;SUBSTITUTE('Dano fixo'!$H$10,", ",",")&amp;","))),OR('Dano fixo'!$I$10="",ISNUMBER(SEARCH(","&amp;'Rotação'!$K32&amp;",",","&amp;SUBSTITUTE('Dano fixo'!$I$10,", ",",")&amp;",")))),1,0)</f>
        <v>0</v>
      </c>
      <c r="AA32" s="2">
        <f t="shared" si="9"/>
        <v>0</v>
      </c>
      <c r="AB32" s="2">
        <f>Z32*IF('Dano fixo'!$J$10="",$A32,MIN($A32,MAX(0,'Dano fixo'!$J$10-AA31)))</f>
        <v>0</v>
      </c>
      <c r="AC32" s="2">
        <f>IF(AND($A32&gt;0,N('Dano fixo'!$L$11)&gt;0,OR('Dano fixo'!$G$11="Todos",ISNUMBER(SEARCH(","&amp;'Rotação'!$I32&amp;",",","&amp;SUBSTITUTE('Dano fixo'!$G$11,", ",",")&amp;","))),OR('Dano fixo'!$H$11="",ISNUMBER(SEARCH(","&amp;'Rotação'!$R32&amp;",",","&amp;SUBSTITUTE('Dano fixo'!$H$11,", ",",")&amp;","))),OR('Dano fixo'!$I$11="",ISNUMBER(SEARCH(","&amp;'Rotação'!$K32&amp;",",","&amp;SUBSTITUTE('Dano fixo'!$I$11,", ",",")&amp;",")))),1,0)</f>
        <v>0</v>
      </c>
      <c r="AD32" s="2">
        <f t="shared" si="10"/>
        <v>0</v>
      </c>
      <c r="AE32" s="2">
        <f>AC32*IF('Dano fixo'!$J$11="",$A32,MIN($A32,MAX(0,'Dano fixo'!$J$11-AD31)))</f>
        <v>0</v>
      </c>
      <c r="AF32" s="2">
        <f>D32*'Dano fixo'!$L$2+G32*'Dano fixo'!$L$3+J32*'Dano fixo'!$L$4+M32*'Dano fixo'!$L$5+P32*'Dano fixo'!$L$6+S32*'Dano fixo'!$L$7+V32*'Dano fixo'!$L$8+Y32*'Dano fixo'!$L$9+AB32*'Dano fixo'!$L$10+AE32*'Dano fixo'!$L$11</f>
        <v>0</v>
      </c>
    </row>
    <row r="33" ht="15.75" customHeight="1">
      <c r="A33" s="2">
        <f t="array" ref="A33">IF(ISNUMBER('Rotação'!$J33),IF('Rotação'!$B33="",1,'Rotação'!$B33)*IF(ISNUMBER('Rotação'!$H33),MAX(1,N(INDEX(L_Golpes!$BN$2:$BN$6000,'Rotação'!$H33))),1),0)</f>
        <v>0</v>
      </c>
      <c r="B33" s="2">
        <f>IF(AND($A33&gt;0,N('Dano fixo'!$L$2)&gt;0,OR('Dano fixo'!$G$2="Todos",ISNUMBER(SEARCH(","&amp;'Rotação'!$I33&amp;",",","&amp;SUBSTITUTE('Dano fixo'!$G$2,", ",",")&amp;","))),OR('Dano fixo'!$H$2="",ISNUMBER(SEARCH(","&amp;'Rotação'!$R33&amp;",",","&amp;SUBSTITUTE('Dano fixo'!$H$2,", ",",")&amp;","))),OR('Dano fixo'!$I$2="",ISNUMBER(SEARCH(","&amp;'Rotação'!$K33&amp;",",","&amp;SUBSTITUTE('Dano fixo'!$I$2,", ",",")&amp;",")))),1,0)</f>
        <v>0</v>
      </c>
      <c r="C33" s="2">
        <f t="shared" si="1"/>
        <v>0</v>
      </c>
      <c r="D33" s="2">
        <f>B33*IF('Dano fixo'!$J$2="",$A33,MIN($A33,MAX(0,'Dano fixo'!$J$2-C32)))</f>
        <v>0</v>
      </c>
      <c r="E33" s="2">
        <f>IF(AND($A33&gt;0,N('Dano fixo'!$L$3)&gt;0,OR('Dano fixo'!$G$3="Todos",ISNUMBER(SEARCH(","&amp;'Rotação'!$I33&amp;",",","&amp;SUBSTITUTE('Dano fixo'!$G$3,", ",",")&amp;","))),OR('Dano fixo'!$H$3="",ISNUMBER(SEARCH(","&amp;'Rotação'!$R33&amp;",",","&amp;SUBSTITUTE('Dano fixo'!$H$3,", ",",")&amp;","))),OR('Dano fixo'!$I$3="",ISNUMBER(SEARCH(","&amp;'Rotação'!$K33&amp;",",","&amp;SUBSTITUTE('Dano fixo'!$I$3,", ",",")&amp;",")))),1,0)</f>
        <v>0</v>
      </c>
      <c r="F33" s="2">
        <f t="shared" si="2"/>
        <v>0</v>
      </c>
      <c r="G33" s="2">
        <f>E33*IF('Dano fixo'!$J$3="",$A33,MIN($A33,MAX(0,'Dano fixo'!$J$3-F32)))</f>
        <v>0</v>
      </c>
      <c r="H33" s="2">
        <f>IF(AND($A33&gt;0,N('Dano fixo'!$L$4)&gt;0,OR('Dano fixo'!$G$4="Todos",ISNUMBER(SEARCH(","&amp;'Rotação'!$I33&amp;",",","&amp;SUBSTITUTE('Dano fixo'!$G$4,", ",",")&amp;","))),OR('Dano fixo'!$H$4="",ISNUMBER(SEARCH(","&amp;'Rotação'!$R33&amp;",",","&amp;SUBSTITUTE('Dano fixo'!$H$4,", ",",")&amp;","))),OR('Dano fixo'!$I$4="",ISNUMBER(SEARCH(","&amp;'Rotação'!$K33&amp;",",","&amp;SUBSTITUTE('Dano fixo'!$I$4,", ",",")&amp;",")))),1,0)</f>
        <v>0</v>
      </c>
      <c r="I33" s="2">
        <f t="shared" si="3"/>
        <v>0</v>
      </c>
      <c r="J33" s="2">
        <f>H33*IF('Dano fixo'!$J$4="",$A33,MIN($A33,MAX(0,'Dano fixo'!$J$4-I32)))</f>
        <v>0</v>
      </c>
      <c r="K33" s="2">
        <f>IF(AND($A33&gt;0,N('Dano fixo'!$L$5)&gt;0,OR('Dano fixo'!$G$5="Todos",ISNUMBER(SEARCH(","&amp;'Rotação'!$I33&amp;",",","&amp;SUBSTITUTE('Dano fixo'!$G$5,", ",",")&amp;","))),OR('Dano fixo'!$H$5="",ISNUMBER(SEARCH(","&amp;'Rotação'!$R33&amp;",",","&amp;SUBSTITUTE('Dano fixo'!$H$5,", ",",")&amp;","))),OR('Dano fixo'!$I$5="",ISNUMBER(SEARCH(","&amp;'Rotação'!$K33&amp;",",","&amp;SUBSTITUTE('Dano fixo'!$I$5,", ",",")&amp;",")))),1,0)</f>
        <v>0</v>
      </c>
      <c r="L33" s="2">
        <f t="shared" si="4"/>
        <v>0</v>
      </c>
      <c r="M33" s="2">
        <f>K33*IF('Dano fixo'!$J$5="",$A33,MIN($A33,MAX(0,'Dano fixo'!$J$5-L32)))</f>
        <v>0</v>
      </c>
      <c r="N33" s="2">
        <f>IF(AND($A33&gt;0,N('Dano fixo'!$L$6)&gt;0,OR('Dano fixo'!$G$6="Todos",ISNUMBER(SEARCH(","&amp;'Rotação'!$I33&amp;",",","&amp;SUBSTITUTE('Dano fixo'!$G$6,", ",",")&amp;","))),OR('Dano fixo'!$H$6="",ISNUMBER(SEARCH(","&amp;'Rotação'!$R33&amp;",",","&amp;SUBSTITUTE('Dano fixo'!$H$6,", ",",")&amp;","))),OR('Dano fixo'!$I$6="",ISNUMBER(SEARCH(","&amp;'Rotação'!$K33&amp;",",","&amp;SUBSTITUTE('Dano fixo'!$I$6,", ",",")&amp;",")))),1,0)</f>
        <v>0</v>
      </c>
      <c r="O33" s="2">
        <f t="shared" si="5"/>
        <v>0</v>
      </c>
      <c r="P33" s="2">
        <f>N33*IF('Dano fixo'!$J$6="",$A33,MIN($A33,MAX(0,'Dano fixo'!$J$6-O32)))</f>
        <v>0</v>
      </c>
      <c r="Q33" s="2">
        <f>IF(AND($A33&gt;0,N('Dano fixo'!$L$7)&gt;0,OR('Dano fixo'!$G$7="Todos",ISNUMBER(SEARCH(","&amp;'Rotação'!$I33&amp;",",","&amp;SUBSTITUTE('Dano fixo'!$G$7,", ",",")&amp;","))),OR('Dano fixo'!$H$7="",ISNUMBER(SEARCH(","&amp;'Rotação'!$R33&amp;",",","&amp;SUBSTITUTE('Dano fixo'!$H$7,", ",",")&amp;","))),OR('Dano fixo'!$I$7="",ISNUMBER(SEARCH(","&amp;'Rotação'!$K33&amp;",",","&amp;SUBSTITUTE('Dano fixo'!$I$7,", ",",")&amp;",")))),1,0)</f>
        <v>0</v>
      </c>
      <c r="R33" s="2">
        <f t="shared" si="6"/>
        <v>0</v>
      </c>
      <c r="S33" s="2">
        <f>Q33*IF('Dano fixo'!$J$7="",$A33,MIN($A33,MAX(0,'Dano fixo'!$J$7-R32)))</f>
        <v>0</v>
      </c>
      <c r="T33" s="2">
        <f>IF(AND($A33&gt;0,N('Dano fixo'!$L$8)&gt;0,OR('Dano fixo'!$G$8="Todos",ISNUMBER(SEARCH(","&amp;'Rotação'!$I33&amp;",",","&amp;SUBSTITUTE('Dano fixo'!$G$8,", ",",")&amp;","))),OR('Dano fixo'!$H$8="",ISNUMBER(SEARCH(","&amp;'Rotação'!$R33&amp;",",","&amp;SUBSTITUTE('Dano fixo'!$H$8,", ",",")&amp;","))),OR('Dano fixo'!$I$8="",ISNUMBER(SEARCH(","&amp;'Rotação'!$K33&amp;",",","&amp;SUBSTITUTE('Dano fixo'!$I$8,", ",",")&amp;",")))),1,0)</f>
        <v>0</v>
      </c>
      <c r="U33" s="2">
        <f t="shared" si="7"/>
        <v>0</v>
      </c>
      <c r="V33" s="2">
        <f>T33*IF('Dano fixo'!$J$8="",$A33,MIN($A33,MAX(0,'Dano fixo'!$J$8-U32)))</f>
        <v>0</v>
      </c>
      <c r="W33" s="2">
        <f>IF(AND($A33&gt;0,N('Dano fixo'!$L$9)&gt;0,OR('Dano fixo'!$G$9="Todos",ISNUMBER(SEARCH(","&amp;'Rotação'!$I33&amp;",",","&amp;SUBSTITUTE('Dano fixo'!$G$9,", ",",")&amp;","))),OR('Dano fixo'!$H$9="",ISNUMBER(SEARCH(","&amp;'Rotação'!$R33&amp;",",","&amp;SUBSTITUTE('Dano fixo'!$H$9,", ",",")&amp;","))),OR('Dano fixo'!$I$9="",ISNUMBER(SEARCH(","&amp;'Rotação'!$K33&amp;",",","&amp;SUBSTITUTE('Dano fixo'!$I$9,", ",",")&amp;",")))),1,0)</f>
        <v>0</v>
      </c>
      <c r="X33" s="2">
        <f t="shared" si="8"/>
        <v>0</v>
      </c>
      <c r="Y33" s="2">
        <f>W33*IF('Dano fixo'!$J$9="",$A33,MIN($A33,MAX(0,'Dano fixo'!$J$9-X32)))</f>
        <v>0</v>
      </c>
      <c r="Z33" s="2">
        <f>IF(AND($A33&gt;0,N('Dano fixo'!$L$10)&gt;0,OR('Dano fixo'!$G$10="Todos",ISNUMBER(SEARCH(","&amp;'Rotação'!$I33&amp;",",","&amp;SUBSTITUTE('Dano fixo'!$G$10,", ",",")&amp;","))),OR('Dano fixo'!$H$10="",ISNUMBER(SEARCH(","&amp;'Rotação'!$R33&amp;",",","&amp;SUBSTITUTE('Dano fixo'!$H$10,", ",",")&amp;","))),OR('Dano fixo'!$I$10="",ISNUMBER(SEARCH(","&amp;'Rotação'!$K33&amp;",",","&amp;SUBSTITUTE('Dano fixo'!$I$10,", ",",")&amp;",")))),1,0)</f>
        <v>0</v>
      </c>
      <c r="AA33" s="2">
        <f t="shared" si="9"/>
        <v>0</v>
      </c>
      <c r="AB33" s="2">
        <f>Z33*IF('Dano fixo'!$J$10="",$A33,MIN($A33,MAX(0,'Dano fixo'!$J$10-AA32)))</f>
        <v>0</v>
      </c>
      <c r="AC33" s="2">
        <f>IF(AND($A33&gt;0,N('Dano fixo'!$L$11)&gt;0,OR('Dano fixo'!$G$11="Todos",ISNUMBER(SEARCH(","&amp;'Rotação'!$I33&amp;",",","&amp;SUBSTITUTE('Dano fixo'!$G$11,", ",",")&amp;","))),OR('Dano fixo'!$H$11="",ISNUMBER(SEARCH(","&amp;'Rotação'!$R33&amp;",",","&amp;SUBSTITUTE('Dano fixo'!$H$11,", ",",")&amp;","))),OR('Dano fixo'!$I$11="",ISNUMBER(SEARCH(","&amp;'Rotação'!$K33&amp;",",","&amp;SUBSTITUTE('Dano fixo'!$I$11,", ",",")&amp;",")))),1,0)</f>
        <v>0</v>
      </c>
      <c r="AD33" s="2">
        <f t="shared" si="10"/>
        <v>0</v>
      </c>
      <c r="AE33" s="2">
        <f>AC33*IF('Dano fixo'!$J$11="",$A33,MIN($A33,MAX(0,'Dano fixo'!$J$11-AD32)))</f>
        <v>0</v>
      </c>
      <c r="AF33" s="2">
        <f>D33*'Dano fixo'!$L$2+G33*'Dano fixo'!$L$3+J33*'Dano fixo'!$L$4+M33*'Dano fixo'!$L$5+P33*'Dano fixo'!$L$6+S33*'Dano fixo'!$L$7+V33*'Dano fixo'!$L$8+Y33*'Dano fixo'!$L$9+AB33*'Dano fixo'!$L$10+AE33*'Dano fixo'!$L$11</f>
        <v>0</v>
      </c>
    </row>
    <row r="34" ht="15.75" customHeight="1">
      <c r="A34" s="2">
        <f t="array" ref="A34">IF(ISNUMBER('Rotação'!$J34),IF('Rotação'!$B34="",1,'Rotação'!$B34)*IF(ISNUMBER('Rotação'!$H34),MAX(1,N(INDEX(L_Golpes!$BN$2:$BN$6000,'Rotação'!$H34))),1),0)</f>
        <v>0</v>
      </c>
      <c r="B34" s="2">
        <f>IF(AND($A34&gt;0,N('Dano fixo'!$L$2)&gt;0,OR('Dano fixo'!$G$2="Todos",ISNUMBER(SEARCH(","&amp;'Rotação'!$I34&amp;",",","&amp;SUBSTITUTE('Dano fixo'!$G$2,", ",",")&amp;","))),OR('Dano fixo'!$H$2="",ISNUMBER(SEARCH(","&amp;'Rotação'!$R34&amp;",",","&amp;SUBSTITUTE('Dano fixo'!$H$2,", ",",")&amp;","))),OR('Dano fixo'!$I$2="",ISNUMBER(SEARCH(","&amp;'Rotação'!$K34&amp;",",","&amp;SUBSTITUTE('Dano fixo'!$I$2,", ",",")&amp;",")))),1,0)</f>
        <v>0</v>
      </c>
      <c r="C34" s="2">
        <f t="shared" si="1"/>
        <v>0</v>
      </c>
      <c r="D34" s="2">
        <f>B34*IF('Dano fixo'!$J$2="",$A34,MIN($A34,MAX(0,'Dano fixo'!$J$2-C33)))</f>
        <v>0</v>
      </c>
      <c r="E34" s="2">
        <f>IF(AND($A34&gt;0,N('Dano fixo'!$L$3)&gt;0,OR('Dano fixo'!$G$3="Todos",ISNUMBER(SEARCH(","&amp;'Rotação'!$I34&amp;",",","&amp;SUBSTITUTE('Dano fixo'!$G$3,", ",",")&amp;","))),OR('Dano fixo'!$H$3="",ISNUMBER(SEARCH(","&amp;'Rotação'!$R34&amp;",",","&amp;SUBSTITUTE('Dano fixo'!$H$3,", ",",")&amp;","))),OR('Dano fixo'!$I$3="",ISNUMBER(SEARCH(","&amp;'Rotação'!$K34&amp;",",","&amp;SUBSTITUTE('Dano fixo'!$I$3,", ",",")&amp;",")))),1,0)</f>
        <v>0</v>
      </c>
      <c r="F34" s="2">
        <f t="shared" si="2"/>
        <v>0</v>
      </c>
      <c r="G34" s="2">
        <f>E34*IF('Dano fixo'!$J$3="",$A34,MIN($A34,MAX(0,'Dano fixo'!$J$3-F33)))</f>
        <v>0</v>
      </c>
      <c r="H34" s="2">
        <f>IF(AND($A34&gt;0,N('Dano fixo'!$L$4)&gt;0,OR('Dano fixo'!$G$4="Todos",ISNUMBER(SEARCH(","&amp;'Rotação'!$I34&amp;",",","&amp;SUBSTITUTE('Dano fixo'!$G$4,", ",",")&amp;","))),OR('Dano fixo'!$H$4="",ISNUMBER(SEARCH(","&amp;'Rotação'!$R34&amp;",",","&amp;SUBSTITUTE('Dano fixo'!$H$4,", ",",")&amp;","))),OR('Dano fixo'!$I$4="",ISNUMBER(SEARCH(","&amp;'Rotação'!$K34&amp;",",","&amp;SUBSTITUTE('Dano fixo'!$I$4,", ",",")&amp;",")))),1,0)</f>
        <v>0</v>
      </c>
      <c r="I34" s="2">
        <f t="shared" si="3"/>
        <v>0</v>
      </c>
      <c r="J34" s="2">
        <f>H34*IF('Dano fixo'!$J$4="",$A34,MIN($A34,MAX(0,'Dano fixo'!$J$4-I33)))</f>
        <v>0</v>
      </c>
      <c r="K34" s="2">
        <f>IF(AND($A34&gt;0,N('Dano fixo'!$L$5)&gt;0,OR('Dano fixo'!$G$5="Todos",ISNUMBER(SEARCH(","&amp;'Rotação'!$I34&amp;",",","&amp;SUBSTITUTE('Dano fixo'!$G$5,", ",",")&amp;","))),OR('Dano fixo'!$H$5="",ISNUMBER(SEARCH(","&amp;'Rotação'!$R34&amp;",",","&amp;SUBSTITUTE('Dano fixo'!$H$5,", ",",")&amp;","))),OR('Dano fixo'!$I$5="",ISNUMBER(SEARCH(","&amp;'Rotação'!$K34&amp;",",","&amp;SUBSTITUTE('Dano fixo'!$I$5,", ",",")&amp;",")))),1,0)</f>
        <v>0</v>
      </c>
      <c r="L34" s="2">
        <f t="shared" si="4"/>
        <v>0</v>
      </c>
      <c r="M34" s="2">
        <f>K34*IF('Dano fixo'!$J$5="",$A34,MIN($A34,MAX(0,'Dano fixo'!$J$5-L33)))</f>
        <v>0</v>
      </c>
      <c r="N34" s="2">
        <f>IF(AND($A34&gt;0,N('Dano fixo'!$L$6)&gt;0,OR('Dano fixo'!$G$6="Todos",ISNUMBER(SEARCH(","&amp;'Rotação'!$I34&amp;",",","&amp;SUBSTITUTE('Dano fixo'!$G$6,", ",",")&amp;","))),OR('Dano fixo'!$H$6="",ISNUMBER(SEARCH(","&amp;'Rotação'!$R34&amp;",",","&amp;SUBSTITUTE('Dano fixo'!$H$6,", ",",")&amp;","))),OR('Dano fixo'!$I$6="",ISNUMBER(SEARCH(","&amp;'Rotação'!$K34&amp;",",","&amp;SUBSTITUTE('Dano fixo'!$I$6,", ",",")&amp;",")))),1,0)</f>
        <v>0</v>
      </c>
      <c r="O34" s="2">
        <f t="shared" si="5"/>
        <v>0</v>
      </c>
      <c r="P34" s="2">
        <f>N34*IF('Dano fixo'!$J$6="",$A34,MIN($A34,MAX(0,'Dano fixo'!$J$6-O33)))</f>
        <v>0</v>
      </c>
      <c r="Q34" s="2">
        <f>IF(AND($A34&gt;0,N('Dano fixo'!$L$7)&gt;0,OR('Dano fixo'!$G$7="Todos",ISNUMBER(SEARCH(","&amp;'Rotação'!$I34&amp;",",","&amp;SUBSTITUTE('Dano fixo'!$G$7,", ",",")&amp;","))),OR('Dano fixo'!$H$7="",ISNUMBER(SEARCH(","&amp;'Rotação'!$R34&amp;",",","&amp;SUBSTITUTE('Dano fixo'!$H$7,", ",",")&amp;","))),OR('Dano fixo'!$I$7="",ISNUMBER(SEARCH(","&amp;'Rotação'!$K34&amp;",",","&amp;SUBSTITUTE('Dano fixo'!$I$7,", ",",")&amp;",")))),1,0)</f>
        <v>0</v>
      </c>
      <c r="R34" s="2">
        <f t="shared" si="6"/>
        <v>0</v>
      </c>
      <c r="S34" s="2">
        <f>Q34*IF('Dano fixo'!$J$7="",$A34,MIN($A34,MAX(0,'Dano fixo'!$J$7-R33)))</f>
        <v>0</v>
      </c>
      <c r="T34" s="2">
        <f>IF(AND($A34&gt;0,N('Dano fixo'!$L$8)&gt;0,OR('Dano fixo'!$G$8="Todos",ISNUMBER(SEARCH(","&amp;'Rotação'!$I34&amp;",",","&amp;SUBSTITUTE('Dano fixo'!$G$8,", ",",")&amp;","))),OR('Dano fixo'!$H$8="",ISNUMBER(SEARCH(","&amp;'Rotação'!$R34&amp;",",","&amp;SUBSTITUTE('Dano fixo'!$H$8,", ",",")&amp;","))),OR('Dano fixo'!$I$8="",ISNUMBER(SEARCH(","&amp;'Rotação'!$K34&amp;",",","&amp;SUBSTITUTE('Dano fixo'!$I$8,", ",",")&amp;",")))),1,0)</f>
        <v>0</v>
      </c>
      <c r="U34" s="2">
        <f t="shared" si="7"/>
        <v>0</v>
      </c>
      <c r="V34" s="2">
        <f>T34*IF('Dano fixo'!$J$8="",$A34,MIN($A34,MAX(0,'Dano fixo'!$J$8-U33)))</f>
        <v>0</v>
      </c>
      <c r="W34" s="2">
        <f>IF(AND($A34&gt;0,N('Dano fixo'!$L$9)&gt;0,OR('Dano fixo'!$G$9="Todos",ISNUMBER(SEARCH(","&amp;'Rotação'!$I34&amp;",",","&amp;SUBSTITUTE('Dano fixo'!$G$9,", ",",")&amp;","))),OR('Dano fixo'!$H$9="",ISNUMBER(SEARCH(","&amp;'Rotação'!$R34&amp;",",","&amp;SUBSTITUTE('Dano fixo'!$H$9,", ",",")&amp;","))),OR('Dano fixo'!$I$9="",ISNUMBER(SEARCH(","&amp;'Rotação'!$K34&amp;",",","&amp;SUBSTITUTE('Dano fixo'!$I$9,", ",",")&amp;",")))),1,0)</f>
        <v>0</v>
      </c>
      <c r="X34" s="2">
        <f t="shared" si="8"/>
        <v>0</v>
      </c>
      <c r="Y34" s="2">
        <f>W34*IF('Dano fixo'!$J$9="",$A34,MIN($A34,MAX(0,'Dano fixo'!$J$9-X33)))</f>
        <v>0</v>
      </c>
      <c r="Z34" s="2">
        <f>IF(AND($A34&gt;0,N('Dano fixo'!$L$10)&gt;0,OR('Dano fixo'!$G$10="Todos",ISNUMBER(SEARCH(","&amp;'Rotação'!$I34&amp;",",","&amp;SUBSTITUTE('Dano fixo'!$G$10,", ",",")&amp;","))),OR('Dano fixo'!$H$10="",ISNUMBER(SEARCH(","&amp;'Rotação'!$R34&amp;",",","&amp;SUBSTITUTE('Dano fixo'!$H$10,", ",",")&amp;","))),OR('Dano fixo'!$I$10="",ISNUMBER(SEARCH(","&amp;'Rotação'!$K34&amp;",",","&amp;SUBSTITUTE('Dano fixo'!$I$10,", ",",")&amp;",")))),1,0)</f>
        <v>0</v>
      </c>
      <c r="AA34" s="2">
        <f t="shared" si="9"/>
        <v>0</v>
      </c>
      <c r="AB34" s="2">
        <f>Z34*IF('Dano fixo'!$J$10="",$A34,MIN($A34,MAX(0,'Dano fixo'!$J$10-AA33)))</f>
        <v>0</v>
      </c>
      <c r="AC34" s="2">
        <f>IF(AND($A34&gt;0,N('Dano fixo'!$L$11)&gt;0,OR('Dano fixo'!$G$11="Todos",ISNUMBER(SEARCH(","&amp;'Rotação'!$I34&amp;",",","&amp;SUBSTITUTE('Dano fixo'!$G$11,", ",",")&amp;","))),OR('Dano fixo'!$H$11="",ISNUMBER(SEARCH(","&amp;'Rotação'!$R34&amp;",",","&amp;SUBSTITUTE('Dano fixo'!$H$11,", ",",")&amp;","))),OR('Dano fixo'!$I$11="",ISNUMBER(SEARCH(","&amp;'Rotação'!$K34&amp;",",","&amp;SUBSTITUTE('Dano fixo'!$I$11,", ",",")&amp;",")))),1,0)</f>
        <v>0</v>
      </c>
      <c r="AD34" s="2">
        <f t="shared" si="10"/>
        <v>0</v>
      </c>
      <c r="AE34" s="2">
        <f>AC34*IF('Dano fixo'!$J$11="",$A34,MIN($A34,MAX(0,'Dano fixo'!$J$11-AD33)))</f>
        <v>0</v>
      </c>
      <c r="AF34" s="2">
        <f>D34*'Dano fixo'!$L$2+G34*'Dano fixo'!$L$3+J34*'Dano fixo'!$L$4+M34*'Dano fixo'!$L$5+P34*'Dano fixo'!$L$6+S34*'Dano fixo'!$L$7+V34*'Dano fixo'!$L$8+Y34*'Dano fixo'!$L$9+AB34*'Dano fixo'!$L$10+AE34*'Dano fixo'!$L$11</f>
        <v>0</v>
      </c>
    </row>
    <row r="35" ht="15.75" customHeight="1">
      <c r="A35" s="2">
        <f t="array" ref="A35">IF(ISNUMBER('Rotação'!$J35),IF('Rotação'!$B35="",1,'Rotação'!$B35)*IF(ISNUMBER('Rotação'!$H35),MAX(1,N(INDEX(L_Golpes!$BN$2:$BN$6000,'Rotação'!$H35))),1),0)</f>
        <v>0</v>
      </c>
      <c r="B35" s="2">
        <f>IF(AND($A35&gt;0,N('Dano fixo'!$L$2)&gt;0,OR('Dano fixo'!$G$2="Todos",ISNUMBER(SEARCH(","&amp;'Rotação'!$I35&amp;",",","&amp;SUBSTITUTE('Dano fixo'!$G$2,", ",",")&amp;","))),OR('Dano fixo'!$H$2="",ISNUMBER(SEARCH(","&amp;'Rotação'!$R35&amp;",",","&amp;SUBSTITUTE('Dano fixo'!$H$2,", ",",")&amp;","))),OR('Dano fixo'!$I$2="",ISNUMBER(SEARCH(","&amp;'Rotação'!$K35&amp;",",","&amp;SUBSTITUTE('Dano fixo'!$I$2,", ",",")&amp;",")))),1,0)</f>
        <v>0</v>
      </c>
      <c r="C35" s="2">
        <f t="shared" si="1"/>
        <v>0</v>
      </c>
      <c r="D35" s="2">
        <f>B35*IF('Dano fixo'!$J$2="",$A35,MIN($A35,MAX(0,'Dano fixo'!$J$2-C34)))</f>
        <v>0</v>
      </c>
      <c r="E35" s="2">
        <f>IF(AND($A35&gt;0,N('Dano fixo'!$L$3)&gt;0,OR('Dano fixo'!$G$3="Todos",ISNUMBER(SEARCH(","&amp;'Rotação'!$I35&amp;",",","&amp;SUBSTITUTE('Dano fixo'!$G$3,", ",",")&amp;","))),OR('Dano fixo'!$H$3="",ISNUMBER(SEARCH(","&amp;'Rotação'!$R35&amp;",",","&amp;SUBSTITUTE('Dano fixo'!$H$3,", ",",")&amp;","))),OR('Dano fixo'!$I$3="",ISNUMBER(SEARCH(","&amp;'Rotação'!$K35&amp;",",","&amp;SUBSTITUTE('Dano fixo'!$I$3,", ",",")&amp;",")))),1,0)</f>
        <v>0</v>
      </c>
      <c r="F35" s="2">
        <f t="shared" si="2"/>
        <v>0</v>
      </c>
      <c r="G35" s="2">
        <f>E35*IF('Dano fixo'!$J$3="",$A35,MIN($A35,MAX(0,'Dano fixo'!$J$3-F34)))</f>
        <v>0</v>
      </c>
      <c r="H35" s="2">
        <f>IF(AND($A35&gt;0,N('Dano fixo'!$L$4)&gt;0,OR('Dano fixo'!$G$4="Todos",ISNUMBER(SEARCH(","&amp;'Rotação'!$I35&amp;",",","&amp;SUBSTITUTE('Dano fixo'!$G$4,", ",",")&amp;","))),OR('Dano fixo'!$H$4="",ISNUMBER(SEARCH(","&amp;'Rotação'!$R35&amp;",",","&amp;SUBSTITUTE('Dano fixo'!$H$4,", ",",")&amp;","))),OR('Dano fixo'!$I$4="",ISNUMBER(SEARCH(","&amp;'Rotação'!$K35&amp;",",","&amp;SUBSTITUTE('Dano fixo'!$I$4,", ",",")&amp;",")))),1,0)</f>
        <v>0</v>
      </c>
      <c r="I35" s="2">
        <f t="shared" si="3"/>
        <v>0</v>
      </c>
      <c r="J35" s="2">
        <f>H35*IF('Dano fixo'!$J$4="",$A35,MIN($A35,MAX(0,'Dano fixo'!$J$4-I34)))</f>
        <v>0</v>
      </c>
      <c r="K35" s="2">
        <f>IF(AND($A35&gt;0,N('Dano fixo'!$L$5)&gt;0,OR('Dano fixo'!$G$5="Todos",ISNUMBER(SEARCH(","&amp;'Rotação'!$I35&amp;",",","&amp;SUBSTITUTE('Dano fixo'!$G$5,", ",",")&amp;","))),OR('Dano fixo'!$H$5="",ISNUMBER(SEARCH(","&amp;'Rotação'!$R35&amp;",",","&amp;SUBSTITUTE('Dano fixo'!$H$5,", ",",")&amp;","))),OR('Dano fixo'!$I$5="",ISNUMBER(SEARCH(","&amp;'Rotação'!$K35&amp;",",","&amp;SUBSTITUTE('Dano fixo'!$I$5,", ",",")&amp;",")))),1,0)</f>
        <v>0</v>
      </c>
      <c r="L35" s="2">
        <f t="shared" si="4"/>
        <v>0</v>
      </c>
      <c r="M35" s="2">
        <f>K35*IF('Dano fixo'!$J$5="",$A35,MIN($A35,MAX(0,'Dano fixo'!$J$5-L34)))</f>
        <v>0</v>
      </c>
      <c r="N35" s="2">
        <f>IF(AND($A35&gt;0,N('Dano fixo'!$L$6)&gt;0,OR('Dano fixo'!$G$6="Todos",ISNUMBER(SEARCH(","&amp;'Rotação'!$I35&amp;",",","&amp;SUBSTITUTE('Dano fixo'!$G$6,", ",",")&amp;","))),OR('Dano fixo'!$H$6="",ISNUMBER(SEARCH(","&amp;'Rotação'!$R35&amp;",",","&amp;SUBSTITUTE('Dano fixo'!$H$6,", ",",")&amp;","))),OR('Dano fixo'!$I$6="",ISNUMBER(SEARCH(","&amp;'Rotação'!$K35&amp;",",","&amp;SUBSTITUTE('Dano fixo'!$I$6,", ",",")&amp;",")))),1,0)</f>
        <v>0</v>
      </c>
      <c r="O35" s="2">
        <f t="shared" si="5"/>
        <v>0</v>
      </c>
      <c r="P35" s="2">
        <f>N35*IF('Dano fixo'!$J$6="",$A35,MIN($A35,MAX(0,'Dano fixo'!$J$6-O34)))</f>
        <v>0</v>
      </c>
      <c r="Q35" s="2">
        <f>IF(AND($A35&gt;0,N('Dano fixo'!$L$7)&gt;0,OR('Dano fixo'!$G$7="Todos",ISNUMBER(SEARCH(","&amp;'Rotação'!$I35&amp;",",","&amp;SUBSTITUTE('Dano fixo'!$G$7,", ",",")&amp;","))),OR('Dano fixo'!$H$7="",ISNUMBER(SEARCH(","&amp;'Rotação'!$R35&amp;",",","&amp;SUBSTITUTE('Dano fixo'!$H$7,", ",",")&amp;","))),OR('Dano fixo'!$I$7="",ISNUMBER(SEARCH(","&amp;'Rotação'!$K35&amp;",",","&amp;SUBSTITUTE('Dano fixo'!$I$7,", ",",")&amp;",")))),1,0)</f>
        <v>0</v>
      </c>
      <c r="R35" s="2">
        <f t="shared" si="6"/>
        <v>0</v>
      </c>
      <c r="S35" s="2">
        <f>Q35*IF('Dano fixo'!$J$7="",$A35,MIN($A35,MAX(0,'Dano fixo'!$J$7-R34)))</f>
        <v>0</v>
      </c>
      <c r="T35" s="2">
        <f>IF(AND($A35&gt;0,N('Dano fixo'!$L$8)&gt;0,OR('Dano fixo'!$G$8="Todos",ISNUMBER(SEARCH(","&amp;'Rotação'!$I35&amp;",",","&amp;SUBSTITUTE('Dano fixo'!$G$8,", ",",")&amp;","))),OR('Dano fixo'!$H$8="",ISNUMBER(SEARCH(","&amp;'Rotação'!$R35&amp;",",","&amp;SUBSTITUTE('Dano fixo'!$H$8,", ",",")&amp;","))),OR('Dano fixo'!$I$8="",ISNUMBER(SEARCH(","&amp;'Rotação'!$K35&amp;",",","&amp;SUBSTITUTE('Dano fixo'!$I$8,", ",",")&amp;",")))),1,0)</f>
        <v>0</v>
      </c>
      <c r="U35" s="2">
        <f t="shared" si="7"/>
        <v>0</v>
      </c>
      <c r="V35" s="2">
        <f>T35*IF('Dano fixo'!$J$8="",$A35,MIN($A35,MAX(0,'Dano fixo'!$J$8-U34)))</f>
        <v>0</v>
      </c>
      <c r="W35" s="2">
        <f>IF(AND($A35&gt;0,N('Dano fixo'!$L$9)&gt;0,OR('Dano fixo'!$G$9="Todos",ISNUMBER(SEARCH(","&amp;'Rotação'!$I35&amp;",",","&amp;SUBSTITUTE('Dano fixo'!$G$9,", ",",")&amp;","))),OR('Dano fixo'!$H$9="",ISNUMBER(SEARCH(","&amp;'Rotação'!$R35&amp;",",","&amp;SUBSTITUTE('Dano fixo'!$H$9,", ",",")&amp;","))),OR('Dano fixo'!$I$9="",ISNUMBER(SEARCH(","&amp;'Rotação'!$K35&amp;",",","&amp;SUBSTITUTE('Dano fixo'!$I$9,", ",",")&amp;",")))),1,0)</f>
        <v>0</v>
      </c>
      <c r="X35" s="2">
        <f t="shared" si="8"/>
        <v>0</v>
      </c>
      <c r="Y35" s="2">
        <f>W35*IF('Dano fixo'!$J$9="",$A35,MIN($A35,MAX(0,'Dano fixo'!$J$9-X34)))</f>
        <v>0</v>
      </c>
      <c r="Z35" s="2">
        <f>IF(AND($A35&gt;0,N('Dano fixo'!$L$10)&gt;0,OR('Dano fixo'!$G$10="Todos",ISNUMBER(SEARCH(","&amp;'Rotação'!$I35&amp;",",","&amp;SUBSTITUTE('Dano fixo'!$G$10,", ",",")&amp;","))),OR('Dano fixo'!$H$10="",ISNUMBER(SEARCH(","&amp;'Rotação'!$R35&amp;",",","&amp;SUBSTITUTE('Dano fixo'!$H$10,", ",",")&amp;","))),OR('Dano fixo'!$I$10="",ISNUMBER(SEARCH(","&amp;'Rotação'!$K35&amp;",",","&amp;SUBSTITUTE('Dano fixo'!$I$10,", ",",")&amp;",")))),1,0)</f>
        <v>0</v>
      </c>
      <c r="AA35" s="2">
        <f t="shared" si="9"/>
        <v>0</v>
      </c>
      <c r="AB35" s="2">
        <f>Z35*IF('Dano fixo'!$J$10="",$A35,MIN($A35,MAX(0,'Dano fixo'!$J$10-AA34)))</f>
        <v>0</v>
      </c>
      <c r="AC35" s="2">
        <f>IF(AND($A35&gt;0,N('Dano fixo'!$L$11)&gt;0,OR('Dano fixo'!$G$11="Todos",ISNUMBER(SEARCH(","&amp;'Rotação'!$I35&amp;",",","&amp;SUBSTITUTE('Dano fixo'!$G$11,", ",",")&amp;","))),OR('Dano fixo'!$H$11="",ISNUMBER(SEARCH(","&amp;'Rotação'!$R35&amp;",",","&amp;SUBSTITUTE('Dano fixo'!$H$11,", ",",")&amp;","))),OR('Dano fixo'!$I$11="",ISNUMBER(SEARCH(","&amp;'Rotação'!$K35&amp;",",","&amp;SUBSTITUTE('Dano fixo'!$I$11,", ",",")&amp;",")))),1,0)</f>
        <v>0</v>
      </c>
      <c r="AD35" s="2">
        <f t="shared" si="10"/>
        <v>0</v>
      </c>
      <c r="AE35" s="2">
        <f>AC35*IF('Dano fixo'!$J$11="",$A35,MIN($A35,MAX(0,'Dano fixo'!$J$11-AD34)))</f>
        <v>0</v>
      </c>
      <c r="AF35" s="2">
        <f>D35*'Dano fixo'!$L$2+G35*'Dano fixo'!$L$3+J35*'Dano fixo'!$L$4+M35*'Dano fixo'!$L$5+P35*'Dano fixo'!$L$6+S35*'Dano fixo'!$L$7+V35*'Dano fixo'!$L$8+Y35*'Dano fixo'!$L$9+AB35*'Dano fixo'!$L$10+AE35*'Dano fixo'!$L$11</f>
        <v>0</v>
      </c>
    </row>
    <row r="36" ht="15.75" customHeight="1">
      <c r="A36" s="2">
        <f t="array" ref="A36">IF(ISNUMBER('Rotação'!$J36),IF('Rotação'!$B36="",1,'Rotação'!$B36)*IF(ISNUMBER('Rotação'!$H36),MAX(1,N(INDEX(L_Golpes!$BN$2:$BN$6000,'Rotação'!$H36))),1),0)</f>
        <v>0</v>
      </c>
      <c r="B36" s="2">
        <f>IF(AND($A36&gt;0,N('Dano fixo'!$L$2)&gt;0,OR('Dano fixo'!$G$2="Todos",ISNUMBER(SEARCH(","&amp;'Rotação'!$I36&amp;",",","&amp;SUBSTITUTE('Dano fixo'!$G$2,", ",",")&amp;","))),OR('Dano fixo'!$H$2="",ISNUMBER(SEARCH(","&amp;'Rotação'!$R36&amp;",",","&amp;SUBSTITUTE('Dano fixo'!$H$2,", ",",")&amp;","))),OR('Dano fixo'!$I$2="",ISNUMBER(SEARCH(","&amp;'Rotação'!$K36&amp;",",","&amp;SUBSTITUTE('Dano fixo'!$I$2,", ",",")&amp;",")))),1,0)</f>
        <v>0</v>
      </c>
      <c r="C36" s="2">
        <f t="shared" si="1"/>
        <v>0</v>
      </c>
      <c r="D36" s="2">
        <f>B36*IF('Dano fixo'!$J$2="",$A36,MIN($A36,MAX(0,'Dano fixo'!$J$2-C35)))</f>
        <v>0</v>
      </c>
      <c r="E36" s="2">
        <f>IF(AND($A36&gt;0,N('Dano fixo'!$L$3)&gt;0,OR('Dano fixo'!$G$3="Todos",ISNUMBER(SEARCH(","&amp;'Rotação'!$I36&amp;",",","&amp;SUBSTITUTE('Dano fixo'!$G$3,", ",",")&amp;","))),OR('Dano fixo'!$H$3="",ISNUMBER(SEARCH(","&amp;'Rotação'!$R36&amp;",",","&amp;SUBSTITUTE('Dano fixo'!$H$3,", ",",")&amp;","))),OR('Dano fixo'!$I$3="",ISNUMBER(SEARCH(","&amp;'Rotação'!$K36&amp;",",","&amp;SUBSTITUTE('Dano fixo'!$I$3,", ",",")&amp;",")))),1,0)</f>
        <v>0</v>
      </c>
      <c r="F36" s="2">
        <f t="shared" si="2"/>
        <v>0</v>
      </c>
      <c r="G36" s="2">
        <f>E36*IF('Dano fixo'!$J$3="",$A36,MIN($A36,MAX(0,'Dano fixo'!$J$3-F35)))</f>
        <v>0</v>
      </c>
      <c r="H36" s="2">
        <f>IF(AND($A36&gt;0,N('Dano fixo'!$L$4)&gt;0,OR('Dano fixo'!$G$4="Todos",ISNUMBER(SEARCH(","&amp;'Rotação'!$I36&amp;",",","&amp;SUBSTITUTE('Dano fixo'!$G$4,", ",",")&amp;","))),OR('Dano fixo'!$H$4="",ISNUMBER(SEARCH(","&amp;'Rotação'!$R36&amp;",",","&amp;SUBSTITUTE('Dano fixo'!$H$4,", ",",")&amp;","))),OR('Dano fixo'!$I$4="",ISNUMBER(SEARCH(","&amp;'Rotação'!$K36&amp;",",","&amp;SUBSTITUTE('Dano fixo'!$I$4,", ",",")&amp;",")))),1,0)</f>
        <v>0</v>
      </c>
      <c r="I36" s="2">
        <f t="shared" si="3"/>
        <v>0</v>
      </c>
      <c r="J36" s="2">
        <f>H36*IF('Dano fixo'!$J$4="",$A36,MIN($A36,MAX(0,'Dano fixo'!$J$4-I35)))</f>
        <v>0</v>
      </c>
      <c r="K36" s="2">
        <f>IF(AND($A36&gt;0,N('Dano fixo'!$L$5)&gt;0,OR('Dano fixo'!$G$5="Todos",ISNUMBER(SEARCH(","&amp;'Rotação'!$I36&amp;",",","&amp;SUBSTITUTE('Dano fixo'!$G$5,", ",",")&amp;","))),OR('Dano fixo'!$H$5="",ISNUMBER(SEARCH(","&amp;'Rotação'!$R36&amp;",",","&amp;SUBSTITUTE('Dano fixo'!$H$5,", ",",")&amp;","))),OR('Dano fixo'!$I$5="",ISNUMBER(SEARCH(","&amp;'Rotação'!$K36&amp;",",","&amp;SUBSTITUTE('Dano fixo'!$I$5,", ",",")&amp;",")))),1,0)</f>
        <v>0</v>
      </c>
      <c r="L36" s="2">
        <f t="shared" si="4"/>
        <v>0</v>
      </c>
      <c r="M36" s="2">
        <f>K36*IF('Dano fixo'!$J$5="",$A36,MIN($A36,MAX(0,'Dano fixo'!$J$5-L35)))</f>
        <v>0</v>
      </c>
      <c r="N36" s="2">
        <f>IF(AND($A36&gt;0,N('Dano fixo'!$L$6)&gt;0,OR('Dano fixo'!$G$6="Todos",ISNUMBER(SEARCH(","&amp;'Rotação'!$I36&amp;",",","&amp;SUBSTITUTE('Dano fixo'!$G$6,", ",",")&amp;","))),OR('Dano fixo'!$H$6="",ISNUMBER(SEARCH(","&amp;'Rotação'!$R36&amp;",",","&amp;SUBSTITUTE('Dano fixo'!$H$6,", ",",")&amp;","))),OR('Dano fixo'!$I$6="",ISNUMBER(SEARCH(","&amp;'Rotação'!$K36&amp;",",","&amp;SUBSTITUTE('Dano fixo'!$I$6,", ",",")&amp;",")))),1,0)</f>
        <v>0</v>
      </c>
      <c r="O36" s="2">
        <f t="shared" si="5"/>
        <v>0</v>
      </c>
      <c r="P36" s="2">
        <f>N36*IF('Dano fixo'!$J$6="",$A36,MIN($A36,MAX(0,'Dano fixo'!$J$6-O35)))</f>
        <v>0</v>
      </c>
      <c r="Q36" s="2">
        <f>IF(AND($A36&gt;0,N('Dano fixo'!$L$7)&gt;0,OR('Dano fixo'!$G$7="Todos",ISNUMBER(SEARCH(","&amp;'Rotação'!$I36&amp;",",","&amp;SUBSTITUTE('Dano fixo'!$G$7,", ",",")&amp;","))),OR('Dano fixo'!$H$7="",ISNUMBER(SEARCH(","&amp;'Rotação'!$R36&amp;",",","&amp;SUBSTITUTE('Dano fixo'!$H$7,", ",",")&amp;","))),OR('Dano fixo'!$I$7="",ISNUMBER(SEARCH(","&amp;'Rotação'!$K36&amp;",",","&amp;SUBSTITUTE('Dano fixo'!$I$7,", ",",")&amp;",")))),1,0)</f>
        <v>0</v>
      </c>
      <c r="R36" s="2">
        <f t="shared" si="6"/>
        <v>0</v>
      </c>
      <c r="S36" s="2">
        <f>Q36*IF('Dano fixo'!$J$7="",$A36,MIN($A36,MAX(0,'Dano fixo'!$J$7-R35)))</f>
        <v>0</v>
      </c>
      <c r="T36" s="2">
        <f>IF(AND($A36&gt;0,N('Dano fixo'!$L$8)&gt;0,OR('Dano fixo'!$G$8="Todos",ISNUMBER(SEARCH(","&amp;'Rotação'!$I36&amp;",",","&amp;SUBSTITUTE('Dano fixo'!$G$8,", ",",")&amp;","))),OR('Dano fixo'!$H$8="",ISNUMBER(SEARCH(","&amp;'Rotação'!$R36&amp;",",","&amp;SUBSTITUTE('Dano fixo'!$H$8,", ",",")&amp;","))),OR('Dano fixo'!$I$8="",ISNUMBER(SEARCH(","&amp;'Rotação'!$K36&amp;",",","&amp;SUBSTITUTE('Dano fixo'!$I$8,", ",",")&amp;",")))),1,0)</f>
        <v>0</v>
      </c>
      <c r="U36" s="2">
        <f t="shared" si="7"/>
        <v>0</v>
      </c>
      <c r="V36" s="2">
        <f>T36*IF('Dano fixo'!$J$8="",$A36,MIN($A36,MAX(0,'Dano fixo'!$J$8-U35)))</f>
        <v>0</v>
      </c>
      <c r="W36" s="2">
        <f>IF(AND($A36&gt;0,N('Dano fixo'!$L$9)&gt;0,OR('Dano fixo'!$G$9="Todos",ISNUMBER(SEARCH(","&amp;'Rotação'!$I36&amp;",",","&amp;SUBSTITUTE('Dano fixo'!$G$9,", ",",")&amp;","))),OR('Dano fixo'!$H$9="",ISNUMBER(SEARCH(","&amp;'Rotação'!$R36&amp;",",","&amp;SUBSTITUTE('Dano fixo'!$H$9,", ",",")&amp;","))),OR('Dano fixo'!$I$9="",ISNUMBER(SEARCH(","&amp;'Rotação'!$K36&amp;",",","&amp;SUBSTITUTE('Dano fixo'!$I$9,", ",",")&amp;",")))),1,0)</f>
        <v>0</v>
      </c>
      <c r="X36" s="2">
        <f t="shared" si="8"/>
        <v>0</v>
      </c>
      <c r="Y36" s="2">
        <f>W36*IF('Dano fixo'!$J$9="",$A36,MIN($A36,MAX(0,'Dano fixo'!$J$9-X35)))</f>
        <v>0</v>
      </c>
      <c r="Z36" s="2">
        <f>IF(AND($A36&gt;0,N('Dano fixo'!$L$10)&gt;0,OR('Dano fixo'!$G$10="Todos",ISNUMBER(SEARCH(","&amp;'Rotação'!$I36&amp;",",","&amp;SUBSTITUTE('Dano fixo'!$G$10,", ",",")&amp;","))),OR('Dano fixo'!$H$10="",ISNUMBER(SEARCH(","&amp;'Rotação'!$R36&amp;",",","&amp;SUBSTITUTE('Dano fixo'!$H$10,", ",",")&amp;","))),OR('Dano fixo'!$I$10="",ISNUMBER(SEARCH(","&amp;'Rotação'!$K36&amp;",",","&amp;SUBSTITUTE('Dano fixo'!$I$10,", ",",")&amp;",")))),1,0)</f>
        <v>0</v>
      </c>
      <c r="AA36" s="2">
        <f t="shared" si="9"/>
        <v>0</v>
      </c>
      <c r="AB36" s="2">
        <f>Z36*IF('Dano fixo'!$J$10="",$A36,MIN($A36,MAX(0,'Dano fixo'!$J$10-AA35)))</f>
        <v>0</v>
      </c>
      <c r="AC36" s="2">
        <f>IF(AND($A36&gt;0,N('Dano fixo'!$L$11)&gt;0,OR('Dano fixo'!$G$11="Todos",ISNUMBER(SEARCH(","&amp;'Rotação'!$I36&amp;",",","&amp;SUBSTITUTE('Dano fixo'!$G$11,", ",",")&amp;","))),OR('Dano fixo'!$H$11="",ISNUMBER(SEARCH(","&amp;'Rotação'!$R36&amp;",",","&amp;SUBSTITUTE('Dano fixo'!$H$11,", ",",")&amp;","))),OR('Dano fixo'!$I$11="",ISNUMBER(SEARCH(","&amp;'Rotação'!$K36&amp;",",","&amp;SUBSTITUTE('Dano fixo'!$I$11,", ",",")&amp;",")))),1,0)</f>
        <v>0</v>
      </c>
      <c r="AD36" s="2">
        <f t="shared" si="10"/>
        <v>0</v>
      </c>
      <c r="AE36" s="2">
        <f>AC36*IF('Dano fixo'!$J$11="",$A36,MIN($A36,MAX(0,'Dano fixo'!$J$11-AD35)))</f>
        <v>0</v>
      </c>
      <c r="AF36" s="2">
        <f>D36*'Dano fixo'!$L$2+G36*'Dano fixo'!$L$3+J36*'Dano fixo'!$L$4+M36*'Dano fixo'!$L$5+P36*'Dano fixo'!$L$6+S36*'Dano fixo'!$L$7+V36*'Dano fixo'!$L$8+Y36*'Dano fixo'!$L$9+AB36*'Dano fixo'!$L$10+AE36*'Dano fixo'!$L$11</f>
        <v>0</v>
      </c>
    </row>
    <row r="37" ht="15.75" customHeight="1">
      <c r="A37" s="2">
        <f t="array" ref="A37">IF(ISNUMBER('Rotação'!$J37),IF('Rotação'!$B37="",1,'Rotação'!$B37)*IF(ISNUMBER('Rotação'!$H37),MAX(1,N(INDEX(L_Golpes!$BN$2:$BN$6000,'Rotação'!$H37))),1),0)</f>
        <v>0</v>
      </c>
      <c r="B37" s="2">
        <f>IF(AND($A37&gt;0,N('Dano fixo'!$L$2)&gt;0,OR('Dano fixo'!$G$2="Todos",ISNUMBER(SEARCH(","&amp;'Rotação'!$I37&amp;",",","&amp;SUBSTITUTE('Dano fixo'!$G$2,", ",",")&amp;","))),OR('Dano fixo'!$H$2="",ISNUMBER(SEARCH(","&amp;'Rotação'!$R37&amp;",",","&amp;SUBSTITUTE('Dano fixo'!$H$2,", ",",")&amp;","))),OR('Dano fixo'!$I$2="",ISNUMBER(SEARCH(","&amp;'Rotação'!$K37&amp;",",","&amp;SUBSTITUTE('Dano fixo'!$I$2,", ",",")&amp;",")))),1,0)</f>
        <v>0</v>
      </c>
      <c r="C37" s="2">
        <f t="shared" si="1"/>
        <v>0</v>
      </c>
      <c r="D37" s="2">
        <f>B37*IF('Dano fixo'!$J$2="",$A37,MIN($A37,MAX(0,'Dano fixo'!$J$2-C36)))</f>
        <v>0</v>
      </c>
      <c r="E37" s="2">
        <f>IF(AND($A37&gt;0,N('Dano fixo'!$L$3)&gt;0,OR('Dano fixo'!$G$3="Todos",ISNUMBER(SEARCH(","&amp;'Rotação'!$I37&amp;",",","&amp;SUBSTITUTE('Dano fixo'!$G$3,", ",",")&amp;","))),OR('Dano fixo'!$H$3="",ISNUMBER(SEARCH(","&amp;'Rotação'!$R37&amp;",",","&amp;SUBSTITUTE('Dano fixo'!$H$3,", ",",")&amp;","))),OR('Dano fixo'!$I$3="",ISNUMBER(SEARCH(","&amp;'Rotação'!$K37&amp;",",","&amp;SUBSTITUTE('Dano fixo'!$I$3,", ",",")&amp;",")))),1,0)</f>
        <v>0</v>
      </c>
      <c r="F37" s="2">
        <f t="shared" si="2"/>
        <v>0</v>
      </c>
      <c r="G37" s="2">
        <f>E37*IF('Dano fixo'!$J$3="",$A37,MIN($A37,MAX(0,'Dano fixo'!$J$3-F36)))</f>
        <v>0</v>
      </c>
      <c r="H37" s="2">
        <f>IF(AND($A37&gt;0,N('Dano fixo'!$L$4)&gt;0,OR('Dano fixo'!$G$4="Todos",ISNUMBER(SEARCH(","&amp;'Rotação'!$I37&amp;",",","&amp;SUBSTITUTE('Dano fixo'!$G$4,", ",",")&amp;","))),OR('Dano fixo'!$H$4="",ISNUMBER(SEARCH(","&amp;'Rotação'!$R37&amp;",",","&amp;SUBSTITUTE('Dano fixo'!$H$4,", ",",")&amp;","))),OR('Dano fixo'!$I$4="",ISNUMBER(SEARCH(","&amp;'Rotação'!$K37&amp;",",","&amp;SUBSTITUTE('Dano fixo'!$I$4,", ",",")&amp;",")))),1,0)</f>
        <v>0</v>
      </c>
      <c r="I37" s="2">
        <f t="shared" si="3"/>
        <v>0</v>
      </c>
      <c r="J37" s="2">
        <f>H37*IF('Dano fixo'!$J$4="",$A37,MIN($A37,MAX(0,'Dano fixo'!$J$4-I36)))</f>
        <v>0</v>
      </c>
      <c r="K37" s="2">
        <f>IF(AND($A37&gt;0,N('Dano fixo'!$L$5)&gt;0,OR('Dano fixo'!$G$5="Todos",ISNUMBER(SEARCH(","&amp;'Rotação'!$I37&amp;",",","&amp;SUBSTITUTE('Dano fixo'!$G$5,", ",",")&amp;","))),OR('Dano fixo'!$H$5="",ISNUMBER(SEARCH(","&amp;'Rotação'!$R37&amp;",",","&amp;SUBSTITUTE('Dano fixo'!$H$5,", ",",")&amp;","))),OR('Dano fixo'!$I$5="",ISNUMBER(SEARCH(","&amp;'Rotação'!$K37&amp;",",","&amp;SUBSTITUTE('Dano fixo'!$I$5,", ",",")&amp;",")))),1,0)</f>
        <v>0</v>
      </c>
      <c r="L37" s="2">
        <f t="shared" si="4"/>
        <v>0</v>
      </c>
      <c r="M37" s="2">
        <f>K37*IF('Dano fixo'!$J$5="",$A37,MIN($A37,MAX(0,'Dano fixo'!$J$5-L36)))</f>
        <v>0</v>
      </c>
      <c r="N37" s="2">
        <f>IF(AND($A37&gt;0,N('Dano fixo'!$L$6)&gt;0,OR('Dano fixo'!$G$6="Todos",ISNUMBER(SEARCH(","&amp;'Rotação'!$I37&amp;",",","&amp;SUBSTITUTE('Dano fixo'!$G$6,", ",",")&amp;","))),OR('Dano fixo'!$H$6="",ISNUMBER(SEARCH(","&amp;'Rotação'!$R37&amp;",",","&amp;SUBSTITUTE('Dano fixo'!$H$6,", ",",")&amp;","))),OR('Dano fixo'!$I$6="",ISNUMBER(SEARCH(","&amp;'Rotação'!$K37&amp;",",","&amp;SUBSTITUTE('Dano fixo'!$I$6,", ",",")&amp;",")))),1,0)</f>
        <v>0</v>
      </c>
      <c r="O37" s="2">
        <f t="shared" si="5"/>
        <v>0</v>
      </c>
      <c r="P37" s="2">
        <f>N37*IF('Dano fixo'!$J$6="",$A37,MIN($A37,MAX(0,'Dano fixo'!$J$6-O36)))</f>
        <v>0</v>
      </c>
      <c r="Q37" s="2">
        <f>IF(AND($A37&gt;0,N('Dano fixo'!$L$7)&gt;0,OR('Dano fixo'!$G$7="Todos",ISNUMBER(SEARCH(","&amp;'Rotação'!$I37&amp;",",","&amp;SUBSTITUTE('Dano fixo'!$G$7,", ",",")&amp;","))),OR('Dano fixo'!$H$7="",ISNUMBER(SEARCH(","&amp;'Rotação'!$R37&amp;",",","&amp;SUBSTITUTE('Dano fixo'!$H$7,", ",",")&amp;","))),OR('Dano fixo'!$I$7="",ISNUMBER(SEARCH(","&amp;'Rotação'!$K37&amp;",",","&amp;SUBSTITUTE('Dano fixo'!$I$7,", ",",")&amp;",")))),1,0)</f>
        <v>0</v>
      </c>
      <c r="R37" s="2">
        <f t="shared" si="6"/>
        <v>0</v>
      </c>
      <c r="S37" s="2">
        <f>Q37*IF('Dano fixo'!$J$7="",$A37,MIN($A37,MAX(0,'Dano fixo'!$J$7-R36)))</f>
        <v>0</v>
      </c>
      <c r="T37" s="2">
        <f>IF(AND($A37&gt;0,N('Dano fixo'!$L$8)&gt;0,OR('Dano fixo'!$G$8="Todos",ISNUMBER(SEARCH(","&amp;'Rotação'!$I37&amp;",",","&amp;SUBSTITUTE('Dano fixo'!$G$8,", ",",")&amp;","))),OR('Dano fixo'!$H$8="",ISNUMBER(SEARCH(","&amp;'Rotação'!$R37&amp;",",","&amp;SUBSTITUTE('Dano fixo'!$H$8,", ",",")&amp;","))),OR('Dano fixo'!$I$8="",ISNUMBER(SEARCH(","&amp;'Rotação'!$K37&amp;",",","&amp;SUBSTITUTE('Dano fixo'!$I$8,", ",",")&amp;",")))),1,0)</f>
        <v>0</v>
      </c>
      <c r="U37" s="2">
        <f t="shared" si="7"/>
        <v>0</v>
      </c>
      <c r="V37" s="2">
        <f>T37*IF('Dano fixo'!$J$8="",$A37,MIN($A37,MAX(0,'Dano fixo'!$J$8-U36)))</f>
        <v>0</v>
      </c>
      <c r="W37" s="2">
        <f>IF(AND($A37&gt;0,N('Dano fixo'!$L$9)&gt;0,OR('Dano fixo'!$G$9="Todos",ISNUMBER(SEARCH(","&amp;'Rotação'!$I37&amp;",",","&amp;SUBSTITUTE('Dano fixo'!$G$9,", ",",")&amp;","))),OR('Dano fixo'!$H$9="",ISNUMBER(SEARCH(","&amp;'Rotação'!$R37&amp;",",","&amp;SUBSTITUTE('Dano fixo'!$H$9,", ",",")&amp;","))),OR('Dano fixo'!$I$9="",ISNUMBER(SEARCH(","&amp;'Rotação'!$K37&amp;",",","&amp;SUBSTITUTE('Dano fixo'!$I$9,", ",",")&amp;",")))),1,0)</f>
        <v>0</v>
      </c>
      <c r="X37" s="2">
        <f t="shared" si="8"/>
        <v>0</v>
      </c>
      <c r="Y37" s="2">
        <f>W37*IF('Dano fixo'!$J$9="",$A37,MIN($A37,MAX(0,'Dano fixo'!$J$9-X36)))</f>
        <v>0</v>
      </c>
      <c r="Z37" s="2">
        <f>IF(AND($A37&gt;0,N('Dano fixo'!$L$10)&gt;0,OR('Dano fixo'!$G$10="Todos",ISNUMBER(SEARCH(","&amp;'Rotação'!$I37&amp;",",","&amp;SUBSTITUTE('Dano fixo'!$G$10,", ",",")&amp;","))),OR('Dano fixo'!$H$10="",ISNUMBER(SEARCH(","&amp;'Rotação'!$R37&amp;",",","&amp;SUBSTITUTE('Dano fixo'!$H$10,", ",",")&amp;","))),OR('Dano fixo'!$I$10="",ISNUMBER(SEARCH(","&amp;'Rotação'!$K37&amp;",",","&amp;SUBSTITUTE('Dano fixo'!$I$10,", ",",")&amp;",")))),1,0)</f>
        <v>0</v>
      </c>
      <c r="AA37" s="2">
        <f t="shared" si="9"/>
        <v>0</v>
      </c>
      <c r="AB37" s="2">
        <f>Z37*IF('Dano fixo'!$J$10="",$A37,MIN($A37,MAX(0,'Dano fixo'!$J$10-AA36)))</f>
        <v>0</v>
      </c>
      <c r="AC37" s="2">
        <f>IF(AND($A37&gt;0,N('Dano fixo'!$L$11)&gt;0,OR('Dano fixo'!$G$11="Todos",ISNUMBER(SEARCH(","&amp;'Rotação'!$I37&amp;",",","&amp;SUBSTITUTE('Dano fixo'!$G$11,", ",",")&amp;","))),OR('Dano fixo'!$H$11="",ISNUMBER(SEARCH(","&amp;'Rotação'!$R37&amp;",",","&amp;SUBSTITUTE('Dano fixo'!$H$11,", ",",")&amp;","))),OR('Dano fixo'!$I$11="",ISNUMBER(SEARCH(","&amp;'Rotação'!$K37&amp;",",","&amp;SUBSTITUTE('Dano fixo'!$I$11,", ",",")&amp;",")))),1,0)</f>
        <v>0</v>
      </c>
      <c r="AD37" s="2">
        <f t="shared" si="10"/>
        <v>0</v>
      </c>
      <c r="AE37" s="2">
        <f>AC37*IF('Dano fixo'!$J$11="",$A37,MIN($A37,MAX(0,'Dano fixo'!$J$11-AD36)))</f>
        <v>0</v>
      </c>
      <c r="AF37" s="2">
        <f>D37*'Dano fixo'!$L$2+G37*'Dano fixo'!$L$3+J37*'Dano fixo'!$L$4+M37*'Dano fixo'!$L$5+P37*'Dano fixo'!$L$6+S37*'Dano fixo'!$L$7+V37*'Dano fixo'!$L$8+Y37*'Dano fixo'!$L$9+AB37*'Dano fixo'!$L$10+AE37*'Dano fixo'!$L$11</f>
        <v>0</v>
      </c>
    </row>
    <row r="38" ht="15.75" customHeight="1">
      <c r="A38" s="2">
        <f t="array" ref="A38">IF(ISNUMBER('Rotação'!$J38),IF('Rotação'!$B38="",1,'Rotação'!$B38)*IF(ISNUMBER('Rotação'!$H38),MAX(1,N(INDEX(L_Golpes!$BN$2:$BN$6000,'Rotação'!$H38))),1),0)</f>
        <v>0</v>
      </c>
      <c r="B38" s="2">
        <f>IF(AND($A38&gt;0,N('Dano fixo'!$L$2)&gt;0,OR('Dano fixo'!$G$2="Todos",ISNUMBER(SEARCH(","&amp;'Rotação'!$I38&amp;",",","&amp;SUBSTITUTE('Dano fixo'!$G$2,", ",",")&amp;","))),OR('Dano fixo'!$H$2="",ISNUMBER(SEARCH(","&amp;'Rotação'!$R38&amp;",",","&amp;SUBSTITUTE('Dano fixo'!$H$2,", ",",")&amp;","))),OR('Dano fixo'!$I$2="",ISNUMBER(SEARCH(","&amp;'Rotação'!$K38&amp;",",","&amp;SUBSTITUTE('Dano fixo'!$I$2,", ",",")&amp;",")))),1,0)</f>
        <v>0</v>
      </c>
      <c r="C38" s="2">
        <f t="shared" si="1"/>
        <v>0</v>
      </c>
      <c r="D38" s="2">
        <f>B38*IF('Dano fixo'!$J$2="",$A38,MIN($A38,MAX(0,'Dano fixo'!$J$2-C37)))</f>
        <v>0</v>
      </c>
      <c r="E38" s="2">
        <f>IF(AND($A38&gt;0,N('Dano fixo'!$L$3)&gt;0,OR('Dano fixo'!$G$3="Todos",ISNUMBER(SEARCH(","&amp;'Rotação'!$I38&amp;",",","&amp;SUBSTITUTE('Dano fixo'!$G$3,", ",",")&amp;","))),OR('Dano fixo'!$H$3="",ISNUMBER(SEARCH(","&amp;'Rotação'!$R38&amp;",",","&amp;SUBSTITUTE('Dano fixo'!$H$3,", ",",")&amp;","))),OR('Dano fixo'!$I$3="",ISNUMBER(SEARCH(","&amp;'Rotação'!$K38&amp;",",","&amp;SUBSTITUTE('Dano fixo'!$I$3,", ",",")&amp;",")))),1,0)</f>
        <v>0</v>
      </c>
      <c r="F38" s="2">
        <f t="shared" si="2"/>
        <v>0</v>
      </c>
      <c r="G38" s="2">
        <f>E38*IF('Dano fixo'!$J$3="",$A38,MIN($A38,MAX(0,'Dano fixo'!$J$3-F37)))</f>
        <v>0</v>
      </c>
      <c r="H38" s="2">
        <f>IF(AND($A38&gt;0,N('Dano fixo'!$L$4)&gt;0,OR('Dano fixo'!$G$4="Todos",ISNUMBER(SEARCH(","&amp;'Rotação'!$I38&amp;",",","&amp;SUBSTITUTE('Dano fixo'!$G$4,", ",",")&amp;","))),OR('Dano fixo'!$H$4="",ISNUMBER(SEARCH(","&amp;'Rotação'!$R38&amp;",",","&amp;SUBSTITUTE('Dano fixo'!$H$4,", ",",")&amp;","))),OR('Dano fixo'!$I$4="",ISNUMBER(SEARCH(","&amp;'Rotação'!$K38&amp;",",","&amp;SUBSTITUTE('Dano fixo'!$I$4,", ",",")&amp;",")))),1,0)</f>
        <v>0</v>
      </c>
      <c r="I38" s="2">
        <f t="shared" si="3"/>
        <v>0</v>
      </c>
      <c r="J38" s="2">
        <f>H38*IF('Dano fixo'!$J$4="",$A38,MIN($A38,MAX(0,'Dano fixo'!$J$4-I37)))</f>
        <v>0</v>
      </c>
      <c r="K38" s="2">
        <f>IF(AND($A38&gt;0,N('Dano fixo'!$L$5)&gt;0,OR('Dano fixo'!$G$5="Todos",ISNUMBER(SEARCH(","&amp;'Rotação'!$I38&amp;",",","&amp;SUBSTITUTE('Dano fixo'!$G$5,", ",",")&amp;","))),OR('Dano fixo'!$H$5="",ISNUMBER(SEARCH(","&amp;'Rotação'!$R38&amp;",",","&amp;SUBSTITUTE('Dano fixo'!$H$5,", ",",")&amp;","))),OR('Dano fixo'!$I$5="",ISNUMBER(SEARCH(","&amp;'Rotação'!$K38&amp;",",","&amp;SUBSTITUTE('Dano fixo'!$I$5,", ",",")&amp;",")))),1,0)</f>
        <v>0</v>
      </c>
      <c r="L38" s="2">
        <f t="shared" si="4"/>
        <v>0</v>
      </c>
      <c r="M38" s="2">
        <f>K38*IF('Dano fixo'!$J$5="",$A38,MIN($A38,MAX(0,'Dano fixo'!$J$5-L37)))</f>
        <v>0</v>
      </c>
      <c r="N38" s="2">
        <f>IF(AND($A38&gt;0,N('Dano fixo'!$L$6)&gt;0,OR('Dano fixo'!$G$6="Todos",ISNUMBER(SEARCH(","&amp;'Rotação'!$I38&amp;",",","&amp;SUBSTITUTE('Dano fixo'!$G$6,", ",",")&amp;","))),OR('Dano fixo'!$H$6="",ISNUMBER(SEARCH(","&amp;'Rotação'!$R38&amp;",",","&amp;SUBSTITUTE('Dano fixo'!$H$6,", ",",")&amp;","))),OR('Dano fixo'!$I$6="",ISNUMBER(SEARCH(","&amp;'Rotação'!$K38&amp;",",","&amp;SUBSTITUTE('Dano fixo'!$I$6,", ",",")&amp;",")))),1,0)</f>
        <v>0</v>
      </c>
      <c r="O38" s="2">
        <f t="shared" si="5"/>
        <v>0</v>
      </c>
      <c r="P38" s="2">
        <f>N38*IF('Dano fixo'!$J$6="",$A38,MIN($A38,MAX(0,'Dano fixo'!$J$6-O37)))</f>
        <v>0</v>
      </c>
      <c r="Q38" s="2">
        <f>IF(AND($A38&gt;0,N('Dano fixo'!$L$7)&gt;0,OR('Dano fixo'!$G$7="Todos",ISNUMBER(SEARCH(","&amp;'Rotação'!$I38&amp;",",","&amp;SUBSTITUTE('Dano fixo'!$G$7,", ",",")&amp;","))),OR('Dano fixo'!$H$7="",ISNUMBER(SEARCH(","&amp;'Rotação'!$R38&amp;",",","&amp;SUBSTITUTE('Dano fixo'!$H$7,", ",",")&amp;","))),OR('Dano fixo'!$I$7="",ISNUMBER(SEARCH(","&amp;'Rotação'!$K38&amp;",",","&amp;SUBSTITUTE('Dano fixo'!$I$7,", ",",")&amp;",")))),1,0)</f>
        <v>0</v>
      </c>
      <c r="R38" s="2">
        <f t="shared" si="6"/>
        <v>0</v>
      </c>
      <c r="S38" s="2">
        <f>Q38*IF('Dano fixo'!$J$7="",$A38,MIN($A38,MAX(0,'Dano fixo'!$J$7-R37)))</f>
        <v>0</v>
      </c>
      <c r="T38" s="2">
        <f>IF(AND($A38&gt;0,N('Dano fixo'!$L$8)&gt;0,OR('Dano fixo'!$G$8="Todos",ISNUMBER(SEARCH(","&amp;'Rotação'!$I38&amp;",",","&amp;SUBSTITUTE('Dano fixo'!$G$8,", ",",")&amp;","))),OR('Dano fixo'!$H$8="",ISNUMBER(SEARCH(","&amp;'Rotação'!$R38&amp;",",","&amp;SUBSTITUTE('Dano fixo'!$H$8,", ",",")&amp;","))),OR('Dano fixo'!$I$8="",ISNUMBER(SEARCH(","&amp;'Rotação'!$K38&amp;",",","&amp;SUBSTITUTE('Dano fixo'!$I$8,", ",",")&amp;",")))),1,0)</f>
        <v>0</v>
      </c>
      <c r="U38" s="2">
        <f t="shared" si="7"/>
        <v>0</v>
      </c>
      <c r="V38" s="2">
        <f>T38*IF('Dano fixo'!$J$8="",$A38,MIN($A38,MAX(0,'Dano fixo'!$J$8-U37)))</f>
        <v>0</v>
      </c>
      <c r="W38" s="2">
        <f>IF(AND($A38&gt;0,N('Dano fixo'!$L$9)&gt;0,OR('Dano fixo'!$G$9="Todos",ISNUMBER(SEARCH(","&amp;'Rotação'!$I38&amp;",",","&amp;SUBSTITUTE('Dano fixo'!$G$9,", ",",")&amp;","))),OR('Dano fixo'!$H$9="",ISNUMBER(SEARCH(","&amp;'Rotação'!$R38&amp;",",","&amp;SUBSTITUTE('Dano fixo'!$H$9,", ",",")&amp;","))),OR('Dano fixo'!$I$9="",ISNUMBER(SEARCH(","&amp;'Rotação'!$K38&amp;",",","&amp;SUBSTITUTE('Dano fixo'!$I$9,", ",",")&amp;",")))),1,0)</f>
        <v>0</v>
      </c>
      <c r="X38" s="2">
        <f t="shared" si="8"/>
        <v>0</v>
      </c>
      <c r="Y38" s="2">
        <f>W38*IF('Dano fixo'!$J$9="",$A38,MIN($A38,MAX(0,'Dano fixo'!$J$9-X37)))</f>
        <v>0</v>
      </c>
      <c r="Z38" s="2">
        <f>IF(AND($A38&gt;0,N('Dano fixo'!$L$10)&gt;0,OR('Dano fixo'!$G$10="Todos",ISNUMBER(SEARCH(","&amp;'Rotação'!$I38&amp;",",","&amp;SUBSTITUTE('Dano fixo'!$G$10,", ",",")&amp;","))),OR('Dano fixo'!$H$10="",ISNUMBER(SEARCH(","&amp;'Rotação'!$R38&amp;",",","&amp;SUBSTITUTE('Dano fixo'!$H$10,", ",",")&amp;","))),OR('Dano fixo'!$I$10="",ISNUMBER(SEARCH(","&amp;'Rotação'!$K38&amp;",",","&amp;SUBSTITUTE('Dano fixo'!$I$10,", ",",")&amp;",")))),1,0)</f>
        <v>0</v>
      </c>
      <c r="AA38" s="2">
        <f t="shared" si="9"/>
        <v>0</v>
      </c>
      <c r="AB38" s="2">
        <f>Z38*IF('Dano fixo'!$J$10="",$A38,MIN($A38,MAX(0,'Dano fixo'!$J$10-AA37)))</f>
        <v>0</v>
      </c>
      <c r="AC38" s="2">
        <f>IF(AND($A38&gt;0,N('Dano fixo'!$L$11)&gt;0,OR('Dano fixo'!$G$11="Todos",ISNUMBER(SEARCH(","&amp;'Rotação'!$I38&amp;",",","&amp;SUBSTITUTE('Dano fixo'!$G$11,", ",",")&amp;","))),OR('Dano fixo'!$H$11="",ISNUMBER(SEARCH(","&amp;'Rotação'!$R38&amp;",",","&amp;SUBSTITUTE('Dano fixo'!$H$11,", ",",")&amp;","))),OR('Dano fixo'!$I$11="",ISNUMBER(SEARCH(","&amp;'Rotação'!$K38&amp;",",","&amp;SUBSTITUTE('Dano fixo'!$I$11,", ",",")&amp;",")))),1,0)</f>
        <v>0</v>
      </c>
      <c r="AD38" s="2">
        <f t="shared" si="10"/>
        <v>0</v>
      </c>
      <c r="AE38" s="2">
        <f>AC38*IF('Dano fixo'!$J$11="",$A38,MIN($A38,MAX(0,'Dano fixo'!$J$11-AD37)))</f>
        <v>0</v>
      </c>
      <c r="AF38" s="2">
        <f>D38*'Dano fixo'!$L$2+G38*'Dano fixo'!$L$3+J38*'Dano fixo'!$L$4+M38*'Dano fixo'!$L$5+P38*'Dano fixo'!$L$6+S38*'Dano fixo'!$L$7+V38*'Dano fixo'!$L$8+Y38*'Dano fixo'!$L$9+AB38*'Dano fixo'!$L$10+AE38*'Dano fixo'!$L$11</f>
        <v>0</v>
      </c>
    </row>
    <row r="39" ht="15.75" customHeight="1">
      <c r="A39" s="2">
        <f t="array" ref="A39">IF(ISNUMBER('Rotação'!$J39),IF('Rotação'!$B39="",1,'Rotação'!$B39)*IF(ISNUMBER('Rotação'!$H39),MAX(1,N(INDEX(L_Golpes!$BN$2:$BN$6000,'Rotação'!$H39))),1),0)</f>
        <v>0</v>
      </c>
      <c r="B39" s="2">
        <f>IF(AND($A39&gt;0,N('Dano fixo'!$L$2)&gt;0,OR('Dano fixo'!$G$2="Todos",ISNUMBER(SEARCH(","&amp;'Rotação'!$I39&amp;",",","&amp;SUBSTITUTE('Dano fixo'!$G$2,", ",",")&amp;","))),OR('Dano fixo'!$H$2="",ISNUMBER(SEARCH(","&amp;'Rotação'!$R39&amp;",",","&amp;SUBSTITUTE('Dano fixo'!$H$2,", ",",")&amp;","))),OR('Dano fixo'!$I$2="",ISNUMBER(SEARCH(","&amp;'Rotação'!$K39&amp;",",","&amp;SUBSTITUTE('Dano fixo'!$I$2,", ",",")&amp;",")))),1,0)</f>
        <v>0</v>
      </c>
      <c r="C39" s="2">
        <f t="shared" si="1"/>
        <v>0</v>
      </c>
      <c r="D39" s="2">
        <f>B39*IF('Dano fixo'!$J$2="",$A39,MIN($A39,MAX(0,'Dano fixo'!$J$2-C38)))</f>
        <v>0</v>
      </c>
      <c r="E39" s="2">
        <f>IF(AND($A39&gt;0,N('Dano fixo'!$L$3)&gt;0,OR('Dano fixo'!$G$3="Todos",ISNUMBER(SEARCH(","&amp;'Rotação'!$I39&amp;",",","&amp;SUBSTITUTE('Dano fixo'!$G$3,", ",",")&amp;","))),OR('Dano fixo'!$H$3="",ISNUMBER(SEARCH(","&amp;'Rotação'!$R39&amp;",",","&amp;SUBSTITUTE('Dano fixo'!$H$3,", ",",")&amp;","))),OR('Dano fixo'!$I$3="",ISNUMBER(SEARCH(","&amp;'Rotação'!$K39&amp;",",","&amp;SUBSTITUTE('Dano fixo'!$I$3,", ",",")&amp;",")))),1,0)</f>
        <v>0</v>
      </c>
      <c r="F39" s="2">
        <f t="shared" si="2"/>
        <v>0</v>
      </c>
      <c r="G39" s="2">
        <f>E39*IF('Dano fixo'!$J$3="",$A39,MIN($A39,MAX(0,'Dano fixo'!$J$3-F38)))</f>
        <v>0</v>
      </c>
      <c r="H39" s="2">
        <f>IF(AND($A39&gt;0,N('Dano fixo'!$L$4)&gt;0,OR('Dano fixo'!$G$4="Todos",ISNUMBER(SEARCH(","&amp;'Rotação'!$I39&amp;",",","&amp;SUBSTITUTE('Dano fixo'!$G$4,", ",",")&amp;","))),OR('Dano fixo'!$H$4="",ISNUMBER(SEARCH(","&amp;'Rotação'!$R39&amp;",",","&amp;SUBSTITUTE('Dano fixo'!$H$4,", ",",")&amp;","))),OR('Dano fixo'!$I$4="",ISNUMBER(SEARCH(","&amp;'Rotação'!$K39&amp;",",","&amp;SUBSTITUTE('Dano fixo'!$I$4,", ",",")&amp;",")))),1,0)</f>
        <v>0</v>
      </c>
      <c r="I39" s="2">
        <f t="shared" si="3"/>
        <v>0</v>
      </c>
      <c r="J39" s="2">
        <f>H39*IF('Dano fixo'!$J$4="",$A39,MIN($A39,MAX(0,'Dano fixo'!$J$4-I38)))</f>
        <v>0</v>
      </c>
      <c r="K39" s="2">
        <f>IF(AND($A39&gt;0,N('Dano fixo'!$L$5)&gt;0,OR('Dano fixo'!$G$5="Todos",ISNUMBER(SEARCH(","&amp;'Rotação'!$I39&amp;",",","&amp;SUBSTITUTE('Dano fixo'!$G$5,", ",",")&amp;","))),OR('Dano fixo'!$H$5="",ISNUMBER(SEARCH(","&amp;'Rotação'!$R39&amp;",",","&amp;SUBSTITUTE('Dano fixo'!$H$5,", ",",")&amp;","))),OR('Dano fixo'!$I$5="",ISNUMBER(SEARCH(","&amp;'Rotação'!$K39&amp;",",","&amp;SUBSTITUTE('Dano fixo'!$I$5,", ",",")&amp;",")))),1,0)</f>
        <v>0</v>
      </c>
      <c r="L39" s="2">
        <f t="shared" si="4"/>
        <v>0</v>
      </c>
      <c r="M39" s="2">
        <f>K39*IF('Dano fixo'!$J$5="",$A39,MIN($A39,MAX(0,'Dano fixo'!$J$5-L38)))</f>
        <v>0</v>
      </c>
      <c r="N39" s="2">
        <f>IF(AND($A39&gt;0,N('Dano fixo'!$L$6)&gt;0,OR('Dano fixo'!$G$6="Todos",ISNUMBER(SEARCH(","&amp;'Rotação'!$I39&amp;",",","&amp;SUBSTITUTE('Dano fixo'!$G$6,", ",",")&amp;","))),OR('Dano fixo'!$H$6="",ISNUMBER(SEARCH(","&amp;'Rotação'!$R39&amp;",",","&amp;SUBSTITUTE('Dano fixo'!$H$6,", ",",")&amp;","))),OR('Dano fixo'!$I$6="",ISNUMBER(SEARCH(","&amp;'Rotação'!$K39&amp;",",","&amp;SUBSTITUTE('Dano fixo'!$I$6,", ",",")&amp;",")))),1,0)</f>
        <v>0</v>
      </c>
      <c r="O39" s="2">
        <f t="shared" si="5"/>
        <v>0</v>
      </c>
      <c r="P39" s="2">
        <f>N39*IF('Dano fixo'!$J$6="",$A39,MIN($A39,MAX(0,'Dano fixo'!$J$6-O38)))</f>
        <v>0</v>
      </c>
      <c r="Q39" s="2">
        <f>IF(AND($A39&gt;0,N('Dano fixo'!$L$7)&gt;0,OR('Dano fixo'!$G$7="Todos",ISNUMBER(SEARCH(","&amp;'Rotação'!$I39&amp;",",","&amp;SUBSTITUTE('Dano fixo'!$G$7,", ",",")&amp;","))),OR('Dano fixo'!$H$7="",ISNUMBER(SEARCH(","&amp;'Rotação'!$R39&amp;",",","&amp;SUBSTITUTE('Dano fixo'!$H$7,", ",",")&amp;","))),OR('Dano fixo'!$I$7="",ISNUMBER(SEARCH(","&amp;'Rotação'!$K39&amp;",",","&amp;SUBSTITUTE('Dano fixo'!$I$7,", ",",")&amp;",")))),1,0)</f>
        <v>0</v>
      </c>
      <c r="R39" s="2">
        <f t="shared" si="6"/>
        <v>0</v>
      </c>
      <c r="S39" s="2">
        <f>Q39*IF('Dano fixo'!$J$7="",$A39,MIN($A39,MAX(0,'Dano fixo'!$J$7-R38)))</f>
        <v>0</v>
      </c>
      <c r="T39" s="2">
        <f>IF(AND($A39&gt;0,N('Dano fixo'!$L$8)&gt;0,OR('Dano fixo'!$G$8="Todos",ISNUMBER(SEARCH(","&amp;'Rotação'!$I39&amp;",",","&amp;SUBSTITUTE('Dano fixo'!$G$8,", ",",")&amp;","))),OR('Dano fixo'!$H$8="",ISNUMBER(SEARCH(","&amp;'Rotação'!$R39&amp;",",","&amp;SUBSTITUTE('Dano fixo'!$H$8,", ",",")&amp;","))),OR('Dano fixo'!$I$8="",ISNUMBER(SEARCH(","&amp;'Rotação'!$K39&amp;",",","&amp;SUBSTITUTE('Dano fixo'!$I$8,", ",",")&amp;",")))),1,0)</f>
        <v>0</v>
      </c>
      <c r="U39" s="2">
        <f t="shared" si="7"/>
        <v>0</v>
      </c>
      <c r="V39" s="2">
        <f>T39*IF('Dano fixo'!$J$8="",$A39,MIN($A39,MAX(0,'Dano fixo'!$J$8-U38)))</f>
        <v>0</v>
      </c>
      <c r="W39" s="2">
        <f>IF(AND($A39&gt;0,N('Dano fixo'!$L$9)&gt;0,OR('Dano fixo'!$G$9="Todos",ISNUMBER(SEARCH(","&amp;'Rotação'!$I39&amp;",",","&amp;SUBSTITUTE('Dano fixo'!$G$9,", ",",")&amp;","))),OR('Dano fixo'!$H$9="",ISNUMBER(SEARCH(","&amp;'Rotação'!$R39&amp;",",","&amp;SUBSTITUTE('Dano fixo'!$H$9,", ",",")&amp;","))),OR('Dano fixo'!$I$9="",ISNUMBER(SEARCH(","&amp;'Rotação'!$K39&amp;",",","&amp;SUBSTITUTE('Dano fixo'!$I$9,", ",",")&amp;",")))),1,0)</f>
        <v>0</v>
      </c>
      <c r="X39" s="2">
        <f t="shared" si="8"/>
        <v>0</v>
      </c>
      <c r="Y39" s="2">
        <f>W39*IF('Dano fixo'!$J$9="",$A39,MIN($A39,MAX(0,'Dano fixo'!$J$9-X38)))</f>
        <v>0</v>
      </c>
      <c r="Z39" s="2">
        <f>IF(AND($A39&gt;0,N('Dano fixo'!$L$10)&gt;0,OR('Dano fixo'!$G$10="Todos",ISNUMBER(SEARCH(","&amp;'Rotação'!$I39&amp;",",","&amp;SUBSTITUTE('Dano fixo'!$G$10,", ",",")&amp;","))),OR('Dano fixo'!$H$10="",ISNUMBER(SEARCH(","&amp;'Rotação'!$R39&amp;",",","&amp;SUBSTITUTE('Dano fixo'!$H$10,", ",",")&amp;","))),OR('Dano fixo'!$I$10="",ISNUMBER(SEARCH(","&amp;'Rotação'!$K39&amp;",",","&amp;SUBSTITUTE('Dano fixo'!$I$10,", ",",")&amp;",")))),1,0)</f>
        <v>0</v>
      </c>
      <c r="AA39" s="2">
        <f t="shared" si="9"/>
        <v>0</v>
      </c>
      <c r="AB39" s="2">
        <f>Z39*IF('Dano fixo'!$J$10="",$A39,MIN($A39,MAX(0,'Dano fixo'!$J$10-AA38)))</f>
        <v>0</v>
      </c>
      <c r="AC39" s="2">
        <f>IF(AND($A39&gt;0,N('Dano fixo'!$L$11)&gt;0,OR('Dano fixo'!$G$11="Todos",ISNUMBER(SEARCH(","&amp;'Rotação'!$I39&amp;",",","&amp;SUBSTITUTE('Dano fixo'!$G$11,", ",",")&amp;","))),OR('Dano fixo'!$H$11="",ISNUMBER(SEARCH(","&amp;'Rotação'!$R39&amp;",",","&amp;SUBSTITUTE('Dano fixo'!$H$11,", ",",")&amp;","))),OR('Dano fixo'!$I$11="",ISNUMBER(SEARCH(","&amp;'Rotação'!$K39&amp;",",","&amp;SUBSTITUTE('Dano fixo'!$I$11,", ",",")&amp;",")))),1,0)</f>
        <v>0</v>
      </c>
      <c r="AD39" s="2">
        <f t="shared" si="10"/>
        <v>0</v>
      </c>
      <c r="AE39" s="2">
        <f>AC39*IF('Dano fixo'!$J$11="",$A39,MIN($A39,MAX(0,'Dano fixo'!$J$11-AD38)))</f>
        <v>0</v>
      </c>
      <c r="AF39" s="2">
        <f>D39*'Dano fixo'!$L$2+G39*'Dano fixo'!$L$3+J39*'Dano fixo'!$L$4+M39*'Dano fixo'!$L$5+P39*'Dano fixo'!$L$6+S39*'Dano fixo'!$L$7+V39*'Dano fixo'!$L$8+Y39*'Dano fixo'!$L$9+AB39*'Dano fixo'!$L$10+AE39*'Dano fixo'!$L$11</f>
        <v>0</v>
      </c>
    </row>
    <row r="40" ht="15.75" customHeight="1">
      <c r="A40" s="2">
        <f t="array" ref="A40">IF(ISNUMBER('Rotação'!$J40),IF('Rotação'!$B40="",1,'Rotação'!$B40)*IF(ISNUMBER('Rotação'!$H40),MAX(1,N(INDEX(L_Golpes!$BN$2:$BN$6000,'Rotação'!$H40))),1),0)</f>
        <v>0</v>
      </c>
      <c r="B40" s="2">
        <f>IF(AND($A40&gt;0,N('Dano fixo'!$L$2)&gt;0,OR('Dano fixo'!$G$2="Todos",ISNUMBER(SEARCH(","&amp;'Rotação'!$I40&amp;",",","&amp;SUBSTITUTE('Dano fixo'!$G$2,", ",",")&amp;","))),OR('Dano fixo'!$H$2="",ISNUMBER(SEARCH(","&amp;'Rotação'!$R40&amp;",",","&amp;SUBSTITUTE('Dano fixo'!$H$2,", ",",")&amp;","))),OR('Dano fixo'!$I$2="",ISNUMBER(SEARCH(","&amp;'Rotação'!$K40&amp;",",","&amp;SUBSTITUTE('Dano fixo'!$I$2,", ",",")&amp;",")))),1,0)</f>
        <v>0</v>
      </c>
      <c r="C40" s="2">
        <f t="shared" si="1"/>
        <v>0</v>
      </c>
      <c r="D40" s="2">
        <f>B40*IF('Dano fixo'!$J$2="",$A40,MIN($A40,MAX(0,'Dano fixo'!$J$2-C39)))</f>
        <v>0</v>
      </c>
      <c r="E40" s="2">
        <f>IF(AND($A40&gt;0,N('Dano fixo'!$L$3)&gt;0,OR('Dano fixo'!$G$3="Todos",ISNUMBER(SEARCH(","&amp;'Rotação'!$I40&amp;",",","&amp;SUBSTITUTE('Dano fixo'!$G$3,", ",",")&amp;","))),OR('Dano fixo'!$H$3="",ISNUMBER(SEARCH(","&amp;'Rotação'!$R40&amp;",",","&amp;SUBSTITUTE('Dano fixo'!$H$3,", ",",")&amp;","))),OR('Dano fixo'!$I$3="",ISNUMBER(SEARCH(","&amp;'Rotação'!$K40&amp;",",","&amp;SUBSTITUTE('Dano fixo'!$I$3,", ",",")&amp;",")))),1,0)</f>
        <v>0</v>
      </c>
      <c r="F40" s="2">
        <f t="shared" si="2"/>
        <v>0</v>
      </c>
      <c r="G40" s="2">
        <f>E40*IF('Dano fixo'!$J$3="",$A40,MIN($A40,MAX(0,'Dano fixo'!$J$3-F39)))</f>
        <v>0</v>
      </c>
      <c r="H40" s="2">
        <f>IF(AND($A40&gt;0,N('Dano fixo'!$L$4)&gt;0,OR('Dano fixo'!$G$4="Todos",ISNUMBER(SEARCH(","&amp;'Rotação'!$I40&amp;",",","&amp;SUBSTITUTE('Dano fixo'!$G$4,", ",",")&amp;","))),OR('Dano fixo'!$H$4="",ISNUMBER(SEARCH(","&amp;'Rotação'!$R40&amp;",",","&amp;SUBSTITUTE('Dano fixo'!$H$4,", ",",")&amp;","))),OR('Dano fixo'!$I$4="",ISNUMBER(SEARCH(","&amp;'Rotação'!$K40&amp;",",","&amp;SUBSTITUTE('Dano fixo'!$I$4,", ",",")&amp;",")))),1,0)</f>
        <v>0</v>
      </c>
      <c r="I40" s="2">
        <f t="shared" si="3"/>
        <v>0</v>
      </c>
      <c r="J40" s="2">
        <f>H40*IF('Dano fixo'!$J$4="",$A40,MIN($A40,MAX(0,'Dano fixo'!$J$4-I39)))</f>
        <v>0</v>
      </c>
      <c r="K40" s="2">
        <f>IF(AND($A40&gt;0,N('Dano fixo'!$L$5)&gt;0,OR('Dano fixo'!$G$5="Todos",ISNUMBER(SEARCH(","&amp;'Rotação'!$I40&amp;",",","&amp;SUBSTITUTE('Dano fixo'!$G$5,", ",",")&amp;","))),OR('Dano fixo'!$H$5="",ISNUMBER(SEARCH(","&amp;'Rotação'!$R40&amp;",",","&amp;SUBSTITUTE('Dano fixo'!$H$5,", ",",")&amp;","))),OR('Dano fixo'!$I$5="",ISNUMBER(SEARCH(","&amp;'Rotação'!$K40&amp;",",","&amp;SUBSTITUTE('Dano fixo'!$I$5,", ",",")&amp;",")))),1,0)</f>
        <v>0</v>
      </c>
      <c r="L40" s="2">
        <f t="shared" si="4"/>
        <v>0</v>
      </c>
      <c r="M40" s="2">
        <f>K40*IF('Dano fixo'!$J$5="",$A40,MIN($A40,MAX(0,'Dano fixo'!$J$5-L39)))</f>
        <v>0</v>
      </c>
      <c r="N40" s="2">
        <f>IF(AND($A40&gt;0,N('Dano fixo'!$L$6)&gt;0,OR('Dano fixo'!$G$6="Todos",ISNUMBER(SEARCH(","&amp;'Rotação'!$I40&amp;",",","&amp;SUBSTITUTE('Dano fixo'!$G$6,", ",",")&amp;","))),OR('Dano fixo'!$H$6="",ISNUMBER(SEARCH(","&amp;'Rotação'!$R40&amp;",",","&amp;SUBSTITUTE('Dano fixo'!$H$6,", ",",")&amp;","))),OR('Dano fixo'!$I$6="",ISNUMBER(SEARCH(","&amp;'Rotação'!$K40&amp;",",","&amp;SUBSTITUTE('Dano fixo'!$I$6,", ",",")&amp;",")))),1,0)</f>
        <v>0</v>
      </c>
      <c r="O40" s="2">
        <f t="shared" si="5"/>
        <v>0</v>
      </c>
      <c r="P40" s="2">
        <f>N40*IF('Dano fixo'!$J$6="",$A40,MIN($A40,MAX(0,'Dano fixo'!$J$6-O39)))</f>
        <v>0</v>
      </c>
      <c r="Q40" s="2">
        <f>IF(AND($A40&gt;0,N('Dano fixo'!$L$7)&gt;0,OR('Dano fixo'!$G$7="Todos",ISNUMBER(SEARCH(","&amp;'Rotação'!$I40&amp;",",","&amp;SUBSTITUTE('Dano fixo'!$G$7,", ",",")&amp;","))),OR('Dano fixo'!$H$7="",ISNUMBER(SEARCH(","&amp;'Rotação'!$R40&amp;",",","&amp;SUBSTITUTE('Dano fixo'!$H$7,", ",",")&amp;","))),OR('Dano fixo'!$I$7="",ISNUMBER(SEARCH(","&amp;'Rotação'!$K40&amp;",",","&amp;SUBSTITUTE('Dano fixo'!$I$7,", ",",")&amp;",")))),1,0)</f>
        <v>0</v>
      </c>
      <c r="R40" s="2">
        <f t="shared" si="6"/>
        <v>0</v>
      </c>
      <c r="S40" s="2">
        <f>Q40*IF('Dano fixo'!$J$7="",$A40,MIN($A40,MAX(0,'Dano fixo'!$J$7-R39)))</f>
        <v>0</v>
      </c>
      <c r="T40" s="2">
        <f>IF(AND($A40&gt;0,N('Dano fixo'!$L$8)&gt;0,OR('Dano fixo'!$G$8="Todos",ISNUMBER(SEARCH(","&amp;'Rotação'!$I40&amp;",",","&amp;SUBSTITUTE('Dano fixo'!$G$8,", ",",")&amp;","))),OR('Dano fixo'!$H$8="",ISNUMBER(SEARCH(","&amp;'Rotação'!$R40&amp;",",","&amp;SUBSTITUTE('Dano fixo'!$H$8,", ",",")&amp;","))),OR('Dano fixo'!$I$8="",ISNUMBER(SEARCH(","&amp;'Rotação'!$K40&amp;",",","&amp;SUBSTITUTE('Dano fixo'!$I$8,", ",",")&amp;",")))),1,0)</f>
        <v>0</v>
      </c>
      <c r="U40" s="2">
        <f t="shared" si="7"/>
        <v>0</v>
      </c>
      <c r="V40" s="2">
        <f>T40*IF('Dano fixo'!$J$8="",$A40,MIN($A40,MAX(0,'Dano fixo'!$J$8-U39)))</f>
        <v>0</v>
      </c>
      <c r="W40" s="2">
        <f>IF(AND($A40&gt;0,N('Dano fixo'!$L$9)&gt;0,OR('Dano fixo'!$G$9="Todos",ISNUMBER(SEARCH(","&amp;'Rotação'!$I40&amp;",",","&amp;SUBSTITUTE('Dano fixo'!$G$9,", ",",")&amp;","))),OR('Dano fixo'!$H$9="",ISNUMBER(SEARCH(","&amp;'Rotação'!$R40&amp;",",","&amp;SUBSTITUTE('Dano fixo'!$H$9,", ",",")&amp;","))),OR('Dano fixo'!$I$9="",ISNUMBER(SEARCH(","&amp;'Rotação'!$K40&amp;",",","&amp;SUBSTITUTE('Dano fixo'!$I$9,", ",",")&amp;",")))),1,0)</f>
        <v>0</v>
      </c>
      <c r="X40" s="2">
        <f t="shared" si="8"/>
        <v>0</v>
      </c>
      <c r="Y40" s="2">
        <f>W40*IF('Dano fixo'!$J$9="",$A40,MIN($A40,MAX(0,'Dano fixo'!$J$9-X39)))</f>
        <v>0</v>
      </c>
      <c r="Z40" s="2">
        <f>IF(AND($A40&gt;0,N('Dano fixo'!$L$10)&gt;0,OR('Dano fixo'!$G$10="Todos",ISNUMBER(SEARCH(","&amp;'Rotação'!$I40&amp;",",","&amp;SUBSTITUTE('Dano fixo'!$G$10,", ",",")&amp;","))),OR('Dano fixo'!$H$10="",ISNUMBER(SEARCH(","&amp;'Rotação'!$R40&amp;",",","&amp;SUBSTITUTE('Dano fixo'!$H$10,", ",",")&amp;","))),OR('Dano fixo'!$I$10="",ISNUMBER(SEARCH(","&amp;'Rotação'!$K40&amp;",",","&amp;SUBSTITUTE('Dano fixo'!$I$10,", ",",")&amp;",")))),1,0)</f>
        <v>0</v>
      </c>
      <c r="AA40" s="2">
        <f t="shared" si="9"/>
        <v>0</v>
      </c>
      <c r="AB40" s="2">
        <f>Z40*IF('Dano fixo'!$J$10="",$A40,MIN($A40,MAX(0,'Dano fixo'!$J$10-AA39)))</f>
        <v>0</v>
      </c>
      <c r="AC40" s="2">
        <f>IF(AND($A40&gt;0,N('Dano fixo'!$L$11)&gt;0,OR('Dano fixo'!$G$11="Todos",ISNUMBER(SEARCH(","&amp;'Rotação'!$I40&amp;",",","&amp;SUBSTITUTE('Dano fixo'!$G$11,", ",",")&amp;","))),OR('Dano fixo'!$H$11="",ISNUMBER(SEARCH(","&amp;'Rotação'!$R40&amp;",",","&amp;SUBSTITUTE('Dano fixo'!$H$11,", ",",")&amp;","))),OR('Dano fixo'!$I$11="",ISNUMBER(SEARCH(","&amp;'Rotação'!$K40&amp;",",","&amp;SUBSTITUTE('Dano fixo'!$I$11,", ",",")&amp;",")))),1,0)</f>
        <v>0</v>
      </c>
      <c r="AD40" s="2">
        <f t="shared" si="10"/>
        <v>0</v>
      </c>
      <c r="AE40" s="2">
        <f>AC40*IF('Dano fixo'!$J$11="",$A40,MIN($A40,MAX(0,'Dano fixo'!$J$11-AD39)))</f>
        <v>0</v>
      </c>
      <c r="AF40" s="2">
        <f>D40*'Dano fixo'!$L$2+G40*'Dano fixo'!$L$3+J40*'Dano fixo'!$L$4+M40*'Dano fixo'!$L$5+P40*'Dano fixo'!$L$6+S40*'Dano fixo'!$L$7+V40*'Dano fixo'!$L$8+Y40*'Dano fixo'!$L$9+AB40*'Dano fixo'!$L$10+AE40*'Dano fixo'!$L$11</f>
        <v>0</v>
      </c>
    </row>
    <row r="41" ht="15.75" customHeight="1">
      <c r="A41" s="2">
        <f t="array" ref="A41">IF(ISNUMBER('Rotação'!$J41),IF('Rotação'!$B41="",1,'Rotação'!$B41)*IF(ISNUMBER('Rotação'!$H41),MAX(1,N(INDEX(L_Golpes!$BN$2:$BN$6000,'Rotação'!$H41))),1),0)</f>
        <v>0</v>
      </c>
      <c r="B41" s="2">
        <f>IF(AND($A41&gt;0,N('Dano fixo'!$L$2)&gt;0,OR('Dano fixo'!$G$2="Todos",ISNUMBER(SEARCH(","&amp;'Rotação'!$I41&amp;",",","&amp;SUBSTITUTE('Dano fixo'!$G$2,", ",",")&amp;","))),OR('Dano fixo'!$H$2="",ISNUMBER(SEARCH(","&amp;'Rotação'!$R41&amp;",",","&amp;SUBSTITUTE('Dano fixo'!$H$2,", ",",")&amp;","))),OR('Dano fixo'!$I$2="",ISNUMBER(SEARCH(","&amp;'Rotação'!$K41&amp;",",","&amp;SUBSTITUTE('Dano fixo'!$I$2,", ",",")&amp;",")))),1,0)</f>
        <v>0</v>
      </c>
      <c r="C41" s="2">
        <f t="shared" si="1"/>
        <v>0</v>
      </c>
      <c r="D41" s="2">
        <f>B41*IF('Dano fixo'!$J$2="",$A41,MIN($A41,MAX(0,'Dano fixo'!$J$2-C40)))</f>
        <v>0</v>
      </c>
      <c r="E41" s="2">
        <f>IF(AND($A41&gt;0,N('Dano fixo'!$L$3)&gt;0,OR('Dano fixo'!$G$3="Todos",ISNUMBER(SEARCH(","&amp;'Rotação'!$I41&amp;",",","&amp;SUBSTITUTE('Dano fixo'!$G$3,", ",",")&amp;","))),OR('Dano fixo'!$H$3="",ISNUMBER(SEARCH(","&amp;'Rotação'!$R41&amp;",",","&amp;SUBSTITUTE('Dano fixo'!$H$3,", ",",")&amp;","))),OR('Dano fixo'!$I$3="",ISNUMBER(SEARCH(","&amp;'Rotação'!$K41&amp;",",","&amp;SUBSTITUTE('Dano fixo'!$I$3,", ",",")&amp;",")))),1,0)</f>
        <v>0</v>
      </c>
      <c r="F41" s="2">
        <f t="shared" si="2"/>
        <v>0</v>
      </c>
      <c r="G41" s="2">
        <f>E41*IF('Dano fixo'!$J$3="",$A41,MIN($A41,MAX(0,'Dano fixo'!$J$3-F40)))</f>
        <v>0</v>
      </c>
      <c r="H41" s="2">
        <f>IF(AND($A41&gt;0,N('Dano fixo'!$L$4)&gt;0,OR('Dano fixo'!$G$4="Todos",ISNUMBER(SEARCH(","&amp;'Rotação'!$I41&amp;",",","&amp;SUBSTITUTE('Dano fixo'!$G$4,", ",",")&amp;","))),OR('Dano fixo'!$H$4="",ISNUMBER(SEARCH(","&amp;'Rotação'!$R41&amp;",",","&amp;SUBSTITUTE('Dano fixo'!$H$4,", ",",")&amp;","))),OR('Dano fixo'!$I$4="",ISNUMBER(SEARCH(","&amp;'Rotação'!$K41&amp;",",","&amp;SUBSTITUTE('Dano fixo'!$I$4,", ",",")&amp;",")))),1,0)</f>
        <v>0</v>
      </c>
      <c r="I41" s="2">
        <f t="shared" si="3"/>
        <v>0</v>
      </c>
      <c r="J41" s="2">
        <f>H41*IF('Dano fixo'!$J$4="",$A41,MIN($A41,MAX(0,'Dano fixo'!$J$4-I40)))</f>
        <v>0</v>
      </c>
      <c r="K41" s="2">
        <f>IF(AND($A41&gt;0,N('Dano fixo'!$L$5)&gt;0,OR('Dano fixo'!$G$5="Todos",ISNUMBER(SEARCH(","&amp;'Rotação'!$I41&amp;",",","&amp;SUBSTITUTE('Dano fixo'!$G$5,", ",",")&amp;","))),OR('Dano fixo'!$H$5="",ISNUMBER(SEARCH(","&amp;'Rotação'!$R41&amp;",",","&amp;SUBSTITUTE('Dano fixo'!$H$5,", ",",")&amp;","))),OR('Dano fixo'!$I$5="",ISNUMBER(SEARCH(","&amp;'Rotação'!$K41&amp;",",","&amp;SUBSTITUTE('Dano fixo'!$I$5,", ",",")&amp;",")))),1,0)</f>
        <v>0</v>
      </c>
      <c r="L41" s="2">
        <f t="shared" si="4"/>
        <v>0</v>
      </c>
      <c r="M41" s="2">
        <f>K41*IF('Dano fixo'!$J$5="",$A41,MIN($A41,MAX(0,'Dano fixo'!$J$5-L40)))</f>
        <v>0</v>
      </c>
      <c r="N41" s="2">
        <f>IF(AND($A41&gt;0,N('Dano fixo'!$L$6)&gt;0,OR('Dano fixo'!$G$6="Todos",ISNUMBER(SEARCH(","&amp;'Rotação'!$I41&amp;",",","&amp;SUBSTITUTE('Dano fixo'!$G$6,", ",",")&amp;","))),OR('Dano fixo'!$H$6="",ISNUMBER(SEARCH(","&amp;'Rotação'!$R41&amp;",",","&amp;SUBSTITUTE('Dano fixo'!$H$6,", ",",")&amp;","))),OR('Dano fixo'!$I$6="",ISNUMBER(SEARCH(","&amp;'Rotação'!$K41&amp;",",","&amp;SUBSTITUTE('Dano fixo'!$I$6,", ",",")&amp;",")))),1,0)</f>
        <v>0</v>
      </c>
      <c r="O41" s="2">
        <f t="shared" si="5"/>
        <v>0</v>
      </c>
      <c r="P41" s="2">
        <f>N41*IF('Dano fixo'!$J$6="",$A41,MIN($A41,MAX(0,'Dano fixo'!$J$6-O40)))</f>
        <v>0</v>
      </c>
      <c r="Q41" s="2">
        <f>IF(AND($A41&gt;0,N('Dano fixo'!$L$7)&gt;0,OR('Dano fixo'!$G$7="Todos",ISNUMBER(SEARCH(","&amp;'Rotação'!$I41&amp;",",","&amp;SUBSTITUTE('Dano fixo'!$G$7,", ",",")&amp;","))),OR('Dano fixo'!$H$7="",ISNUMBER(SEARCH(","&amp;'Rotação'!$R41&amp;",",","&amp;SUBSTITUTE('Dano fixo'!$H$7,", ",",")&amp;","))),OR('Dano fixo'!$I$7="",ISNUMBER(SEARCH(","&amp;'Rotação'!$K41&amp;",",","&amp;SUBSTITUTE('Dano fixo'!$I$7,", ",",")&amp;",")))),1,0)</f>
        <v>0</v>
      </c>
      <c r="R41" s="2">
        <f t="shared" si="6"/>
        <v>0</v>
      </c>
      <c r="S41" s="2">
        <f>Q41*IF('Dano fixo'!$J$7="",$A41,MIN($A41,MAX(0,'Dano fixo'!$J$7-R40)))</f>
        <v>0</v>
      </c>
      <c r="T41" s="2">
        <f>IF(AND($A41&gt;0,N('Dano fixo'!$L$8)&gt;0,OR('Dano fixo'!$G$8="Todos",ISNUMBER(SEARCH(","&amp;'Rotação'!$I41&amp;",",","&amp;SUBSTITUTE('Dano fixo'!$G$8,", ",",")&amp;","))),OR('Dano fixo'!$H$8="",ISNUMBER(SEARCH(","&amp;'Rotação'!$R41&amp;",",","&amp;SUBSTITUTE('Dano fixo'!$H$8,", ",",")&amp;","))),OR('Dano fixo'!$I$8="",ISNUMBER(SEARCH(","&amp;'Rotação'!$K41&amp;",",","&amp;SUBSTITUTE('Dano fixo'!$I$8,", ",",")&amp;",")))),1,0)</f>
        <v>0</v>
      </c>
      <c r="U41" s="2">
        <f t="shared" si="7"/>
        <v>0</v>
      </c>
      <c r="V41" s="2">
        <f>T41*IF('Dano fixo'!$J$8="",$A41,MIN($A41,MAX(0,'Dano fixo'!$J$8-U40)))</f>
        <v>0</v>
      </c>
      <c r="W41" s="2">
        <f>IF(AND($A41&gt;0,N('Dano fixo'!$L$9)&gt;0,OR('Dano fixo'!$G$9="Todos",ISNUMBER(SEARCH(","&amp;'Rotação'!$I41&amp;",",","&amp;SUBSTITUTE('Dano fixo'!$G$9,", ",",")&amp;","))),OR('Dano fixo'!$H$9="",ISNUMBER(SEARCH(","&amp;'Rotação'!$R41&amp;",",","&amp;SUBSTITUTE('Dano fixo'!$H$9,", ",",")&amp;","))),OR('Dano fixo'!$I$9="",ISNUMBER(SEARCH(","&amp;'Rotação'!$K41&amp;",",","&amp;SUBSTITUTE('Dano fixo'!$I$9,", ",",")&amp;",")))),1,0)</f>
        <v>0</v>
      </c>
      <c r="X41" s="2">
        <f t="shared" si="8"/>
        <v>0</v>
      </c>
      <c r="Y41" s="2">
        <f>W41*IF('Dano fixo'!$J$9="",$A41,MIN($A41,MAX(0,'Dano fixo'!$J$9-X40)))</f>
        <v>0</v>
      </c>
      <c r="Z41" s="2">
        <f>IF(AND($A41&gt;0,N('Dano fixo'!$L$10)&gt;0,OR('Dano fixo'!$G$10="Todos",ISNUMBER(SEARCH(","&amp;'Rotação'!$I41&amp;",",","&amp;SUBSTITUTE('Dano fixo'!$G$10,", ",",")&amp;","))),OR('Dano fixo'!$H$10="",ISNUMBER(SEARCH(","&amp;'Rotação'!$R41&amp;",",","&amp;SUBSTITUTE('Dano fixo'!$H$10,", ",",")&amp;","))),OR('Dano fixo'!$I$10="",ISNUMBER(SEARCH(","&amp;'Rotação'!$K41&amp;",",","&amp;SUBSTITUTE('Dano fixo'!$I$10,", ",",")&amp;",")))),1,0)</f>
        <v>0</v>
      </c>
      <c r="AA41" s="2">
        <f t="shared" si="9"/>
        <v>0</v>
      </c>
      <c r="AB41" s="2">
        <f>Z41*IF('Dano fixo'!$J$10="",$A41,MIN($A41,MAX(0,'Dano fixo'!$J$10-AA40)))</f>
        <v>0</v>
      </c>
      <c r="AC41" s="2">
        <f>IF(AND($A41&gt;0,N('Dano fixo'!$L$11)&gt;0,OR('Dano fixo'!$G$11="Todos",ISNUMBER(SEARCH(","&amp;'Rotação'!$I41&amp;",",","&amp;SUBSTITUTE('Dano fixo'!$G$11,", ",",")&amp;","))),OR('Dano fixo'!$H$11="",ISNUMBER(SEARCH(","&amp;'Rotação'!$R41&amp;",",","&amp;SUBSTITUTE('Dano fixo'!$H$11,", ",",")&amp;","))),OR('Dano fixo'!$I$11="",ISNUMBER(SEARCH(","&amp;'Rotação'!$K41&amp;",",","&amp;SUBSTITUTE('Dano fixo'!$I$11,", ",",")&amp;",")))),1,0)</f>
        <v>0</v>
      </c>
      <c r="AD41" s="2">
        <f t="shared" si="10"/>
        <v>0</v>
      </c>
      <c r="AE41" s="2">
        <f>AC41*IF('Dano fixo'!$J$11="",$A41,MIN($A41,MAX(0,'Dano fixo'!$J$11-AD40)))</f>
        <v>0</v>
      </c>
      <c r="AF41" s="2">
        <f>D41*'Dano fixo'!$L$2+G41*'Dano fixo'!$L$3+J41*'Dano fixo'!$L$4+M41*'Dano fixo'!$L$5+P41*'Dano fixo'!$L$6+S41*'Dano fixo'!$L$7+V41*'Dano fixo'!$L$8+Y41*'Dano fixo'!$L$9+AB41*'Dano fixo'!$L$10+AE41*'Dano fixo'!$L$11</f>
        <v>0</v>
      </c>
    </row>
    <row r="42" ht="15.75" customHeight="1">
      <c r="A42" s="2">
        <f t="array" ref="A42">IF(ISNUMBER('Rotação'!$J42),IF('Rotação'!$B42="",1,'Rotação'!$B42)*IF(ISNUMBER('Rotação'!$H42),MAX(1,N(INDEX(L_Golpes!$BN$2:$BN$6000,'Rotação'!$H42))),1),0)</f>
        <v>0</v>
      </c>
      <c r="B42" s="2">
        <f>IF(AND($A42&gt;0,N('Dano fixo'!$L$2)&gt;0,OR('Dano fixo'!$G$2="Todos",ISNUMBER(SEARCH(","&amp;'Rotação'!$I42&amp;",",","&amp;SUBSTITUTE('Dano fixo'!$G$2,", ",",")&amp;","))),OR('Dano fixo'!$H$2="",ISNUMBER(SEARCH(","&amp;'Rotação'!$R42&amp;",",","&amp;SUBSTITUTE('Dano fixo'!$H$2,", ",",")&amp;","))),OR('Dano fixo'!$I$2="",ISNUMBER(SEARCH(","&amp;'Rotação'!$K42&amp;",",","&amp;SUBSTITUTE('Dano fixo'!$I$2,", ",",")&amp;",")))),1,0)</f>
        <v>0</v>
      </c>
      <c r="C42" s="2">
        <f t="shared" si="1"/>
        <v>0</v>
      </c>
      <c r="D42" s="2">
        <f>B42*IF('Dano fixo'!$J$2="",$A42,MIN($A42,MAX(0,'Dano fixo'!$J$2-C41)))</f>
        <v>0</v>
      </c>
      <c r="E42" s="2">
        <f>IF(AND($A42&gt;0,N('Dano fixo'!$L$3)&gt;0,OR('Dano fixo'!$G$3="Todos",ISNUMBER(SEARCH(","&amp;'Rotação'!$I42&amp;",",","&amp;SUBSTITUTE('Dano fixo'!$G$3,", ",",")&amp;","))),OR('Dano fixo'!$H$3="",ISNUMBER(SEARCH(","&amp;'Rotação'!$R42&amp;",",","&amp;SUBSTITUTE('Dano fixo'!$H$3,", ",",")&amp;","))),OR('Dano fixo'!$I$3="",ISNUMBER(SEARCH(","&amp;'Rotação'!$K42&amp;",",","&amp;SUBSTITUTE('Dano fixo'!$I$3,", ",",")&amp;",")))),1,0)</f>
        <v>0</v>
      </c>
      <c r="F42" s="2">
        <f t="shared" si="2"/>
        <v>0</v>
      </c>
      <c r="G42" s="2">
        <f>E42*IF('Dano fixo'!$J$3="",$A42,MIN($A42,MAX(0,'Dano fixo'!$J$3-F41)))</f>
        <v>0</v>
      </c>
      <c r="H42" s="2">
        <f>IF(AND($A42&gt;0,N('Dano fixo'!$L$4)&gt;0,OR('Dano fixo'!$G$4="Todos",ISNUMBER(SEARCH(","&amp;'Rotação'!$I42&amp;",",","&amp;SUBSTITUTE('Dano fixo'!$G$4,", ",",")&amp;","))),OR('Dano fixo'!$H$4="",ISNUMBER(SEARCH(","&amp;'Rotação'!$R42&amp;",",","&amp;SUBSTITUTE('Dano fixo'!$H$4,", ",",")&amp;","))),OR('Dano fixo'!$I$4="",ISNUMBER(SEARCH(","&amp;'Rotação'!$K42&amp;",",","&amp;SUBSTITUTE('Dano fixo'!$I$4,", ",",")&amp;",")))),1,0)</f>
        <v>0</v>
      </c>
      <c r="I42" s="2">
        <f t="shared" si="3"/>
        <v>0</v>
      </c>
      <c r="J42" s="2">
        <f>H42*IF('Dano fixo'!$J$4="",$A42,MIN($A42,MAX(0,'Dano fixo'!$J$4-I41)))</f>
        <v>0</v>
      </c>
      <c r="K42" s="2">
        <f>IF(AND($A42&gt;0,N('Dano fixo'!$L$5)&gt;0,OR('Dano fixo'!$G$5="Todos",ISNUMBER(SEARCH(","&amp;'Rotação'!$I42&amp;",",","&amp;SUBSTITUTE('Dano fixo'!$G$5,", ",",")&amp;","))),OR('Dano fixo'!$H$5="",ISNUMBER(SEARCH(","&amp;'Rotação'!$R42&amp;",",","&amp;SUBSTITUTE('Dano fixo'!$H$5,", ",",")&amp;","))),OR('Dano fixo'!$I$5="",ISNUMBER(SEARCH(","&amp;'Rotação'!$K42&amp;",",","&amp;SUBSTITUTE('Dano fixo'!$I$5,", ",",")&amp;",")))),1,0)</f>
        <v>0</v>
      </c>
      <c r="L42" s="2">
        <f t="shared" si="4"/>
        <v>0</v>
      </c>
      <c r="M42" s="2">
        <f>K42*IF('Dano fixo'!$J$5="",$A42,MIN($A42,MAX(0,'Dano fixo'!$J$5-L41)))</f>
        <v>0</v>
      </c>
      <c r="N42" s="2">
        <f>IF(AND($A42&gt;0,N('Dano fixo'!$L$6)&gt;0,OR('Dano fixo'!$G$6="Todos",ISNUMBER(SEARCH(","&amp;'Rotação'!$I42&amp;",",","&amp;SUBSTITUTE('Dano fixo'!$G$6,", ",",")&amp;","))),OR('Dano fixo'!$H$6="",ISNUMBER(SEARCH(","&amp;'Rotação'!$R42&amp;",",","&amp;SUBSTITUTE('Dano fixo'!$H$6,", ",",")&amp;","))),OR('Dano fixo'!$I$6="",ISNUMBER(SEARCH(","&amp;'Rotação'!$K42&amp;",",","&amp;SUBSTITUTE('Dano fixo'!$I$6,", ",",")&amp;",")))),1,0)</f>
        <v>0</v>
      </c>
      <c r="O42" s="2">
        <f t="shared" si="5"/>
        <v>0</v>
      </c>
      <c r="P42" s="2">
        <f>N42*IF('Dano fixo'!$J$6="",$A42,MIN($A42,MAX(0,'Dano fixo'!$J$6-O41)))</f>
        <v>0</v>
      </c>
      <c r="Q42" s="2">
        <f>IF(AND($A42&gt;0,N('Dano fixo'!$L$7)&gt;0,OR('Dano fixo'!$G$7="Todos",ISNUMBER(SEARCH(","&amp;'Rotação'!$I42&amp;",",","&amp;SUBSTITUTE('Dano fixo'!$G$7,", ",",")&amp;","))),OR('Dano fixo'!$H$7="",ISNUMBER(SEARCH(","&amp;'Rotação'!$R42&amp;",",","&amp;SUBSTITUTE('Dano fixo'!$H$7,", ",",")&amp;","))),OR('Dano fixo'!$I$7="",ISNUMBER(SEARCH(","&amp;'Rotação'!$K42&amp;",",","&amp;SUBSTITUTE('Dano fixo'!$I$7,", ",",")&amp;",")))),1,0)</f>
        <v>0</v>
      </c>
      <c r="R42" s="2">
        <f t="shared" si="6"/>
        <v>0</v>
      </c>
      <c r="S42" s="2">
        <f>Q42*IF('Dano fixo'!$J$7="",$A42,MIN($A42,MAX(0,'Dano fixo'!$J$7-R41)))</f>
        <v>0</v>
      </c>
      <c r="T42" s="2">
        <f>IF(AND($A42&gt;0,N('Dano fixo'!$L$8)&gt;0,OR('Dano fixo'!$G$8="Todos",ISNUMBER(SEARCH(","&amp;'Rotação'!$I42&amp;",",","&amp;SUBSTITUTE('Dano fixo'!$G$8,", ",",")&amp;","))),OR('Dano fixo'!$H$8="",ISNUMBER(SEARCH(","&amp;'Rotação'!$R42&amp;",",","&amp;SUBSTITUTE('Dano fixo'!$H$8,", ",",")&amp;","))),OR('Dano fixo'!$I$8="",ISNUMBER(SEARCH(","&amp;'Rotação'!$K42&amp;",",","&amp;SUBSTITUTE('Dano fixo'!$I$8,", ",",")&amp;",")))),1,0)</f>
        <v>0</v>
      </c>
      <c r="U42" s="2">
        <f t="shared" si="7"/>
        <v>0</v>
      </c>
      <c r="V42" s="2">
        <f>T42*IF('Dano fixo'!$J$8="",$A42,MIN($A42,MAX(0,'Dano fixo'!$J$8-U41)))</f>
        <v>0</v>
      </c>
      <c r="W42" s="2">
        <f>IF(AND($A42&gt;0,N('Dano fixo'!$L$9)&gt;0,OR('Dano fixo'!$G$9="Todos",ISNUMBER(SEARCH(","&amp;'Rotação'!$I42&amp;",",","&amp;SUBSTITUTE('Dano fixo'!$G$9,", ",",")&amp;","))),OR('Dano fixo'!$H$9="",ISNUMBER(SEARCH(","&amp;'Rotação'!$R42&amp;",",","&amp;SUBSTITUTE('Dano fixo'!$H$9,", ",",")&amp;","))),OR('Dano fixo'!$I$9="",ISNUMBER(SEARCH(","&amp;'Rotação'!$K42&amp;",",","&amp;SUBSTITUTE('Dano fixo'!$I$9,", ",",")&amp;",")))),1,0)</f>
        <v>0</v>
      </c>
      <c r="X42" s="2">
        <f t="shared" si="8"/>
        <v>0</v>
      </c>
      <c r="Y42" s="2">
        <f>W42*IF('Dano fixo'!$J$9="",$A42,MIN($A42,MAX(0,'Dano fixo'!$J$9-X41)))</f>
        <v>0</v>
      </c>
      <c r="Z42" s="2">
        <f>IF(AND($A42&gt;0,N('Dano fixo'!$L$10)&gt;0,OR('Dano fixo'!$G$10="Todos",ISNUMBER(SEARCH(","&amp;'Rotação'!$I42&amp;",",","&amp;SUBSTITUTE('Dano fixo'!$G$10,", ",",")&amp;","))),OR('Dano fixo'!$H$10="",ISNUMBER(SEARCH(","&amp;'Rotação'!$R42&amp;",",","&amp;SUBSTITUTE('Dano fixo'!$H$10,", ",",")&amp;","))),OR('Dano fixo'!$I$10="",ISNUMBER(SEARCH(","&amp;'Rotação'!$K42&amp;",",","&amp;SUBSTITUTE('Dano fixo'!$I$10,", ",",")&amp;",")))),1,0)</f>
        <v>0</v>
      </c>
      <c r="AA42" s="2">
        <f t="shared" si="9"/>
        <v>0</v>
      </c>
      <c r="AB42" s="2">
        <f>Z42*IF('Dano fixo'!$J$10="",$A42,MIN($A42,MAX(0,'Dano fixo'!$J$10-AA41)))</f>
        <v>0</v>
      </c>
      <c r="AC42" s="2">
        <f>IF(AND($A42&gt;0,N('Dano fixo'!$L$11)&gt;0,OR('Dano fixo'!$G$11="Todos",ISNUMBER(SEARCH(","&amp;'Rotação'!$I42&amp;",",","&amp;SUBSTITUTE('Dano fixo'!$G$11,", ",",")&amp;","))),OR('Dano fixo'!$H$11="",ISNUMBER(SEARCH(","&amp;'Rotação'!$R42&amp;",",","&amp;SUBSTITUTE('Dano fixo'!$H$11,", ",",")&amp;","))),OR('Dano fixo'!$I$11="",ISNUMBER(SEARCH(","&amp;'Rotação'!$K42&amp;",",","&amp;SUBSTITUTE('Dano fixo'!$I$11,", ",",")&amp;",")))),1,0)</f>
        <v>0</v>
      </c>
      <c r="AD42" s="2">
        <f t="shared" si="10"/>
        <v>0</v>
      </c>
      <c r="AE42" s="2">
        <f>AC42*IF('Dano fixo'!$J$11="",$A42,MIN($A42,MAX(0,'Dano fixo'!$J$11-AD41)))</f>
        <v>0</v>
      </c>
      <c r="AF42" s="2">
        <f>D42*'Dano fixo'!$L$2+G42*'Dano fixo'!$L$3+J42*'Dano fixo'!$L$4+M42*'Dano fixo'!$L$5+P42*'Dano fixo'!$L$6+S42*'Dano fixo'!$L$7+V42*'Dano fixo'!$L$8+Y42*'Dano fixo'!$L$9+AB42*'Dano fixo'!$L$10+AE42*'Dano fixo'!$L$11</f>
        <v>0</v>
      </c>
    </row>
    <row r="43" ht="15.75" customHeight="1">
      <c r="A43" s="2">
        <f t="array" ref="A43">IF(ISNUMBER('Rotação'!$J43),IF('Rotação'!$B43="",1,'Rotação'!$B43)*IF(ISNUMBER('Rotação'!$H43),MAX(1,N(INDEX(L_Golpes!$BN$2:$BN$6000,'Rotação'!$H43))),1),0)</f>
        <v>0</v>
      </c>
      <c r="B43" s="2">
        <f>IF(AND($A43&gt;0,N('Dano fixo'!$L$2)&gt;0,OR('Dano fixo'!$G$2="Todos",ISNUMBER(SEARCH(","&amp;'Rotação'!$I43&amp;",",","&amp;SUBSTITUTE('Dano fixo'!$G$2,", ",",")&amp;","))),OR('Dano fixo'!$H$2="",ISNUMBER(SEARCH(","&amp;'Rotação'!$R43&amp;",",","&amp;SUBSTITUTE('Dano fixo'!$H$2,", ",",")&amp;","))),OR('Dano fixo'!$I$2="",ISNUMBER(SEARCH(","&amp;'Rotação'!$K43&amp;",",","&amp;SUBSTITUTE('Dano fixo'!$I$2,", ",",")&amp;",")))),1,0)</f>
        <v>0</v>
      </c>
      <c r="C43" s="2">
        <f t="shared" si="1"/>
        <v>0</v>
      </c>
      <c r="D43" s="2">
        <f>B43*IF('Dano fixo'!$J$2="",$A43,MIN($A43,MAX(0,'Dano fixo'!$J$2-C42)))</f>
        <v>0</v>
      </c>
      <c r="E43" s="2">
        <f>IF(AND($A43&gt;0,N('Dano fixo'!$L$3)&gt;0,OR('Dano fixo'!$G$3="Todos",ISNUMBER(SEARCH(","&amp;'Rotação'!$I43&amp;",",","&amp;SUBSTITUTE('Dano fixo'!$G$3,", ",",")&amp;","))),OR('Dano fixo'!$H$3="",ISNUMBER(SEARCH(","&amp;'Rotação'!$R43&amp;",",","&amp;SUBSTITUTE('Dano fixo'!$H$3,", ",",")&amp;","))),OR('Dano fixo'!$I$3="",ISNUMBER(SEARCH(","&amp;'Rotação'!$K43&amp;",",","&amp;SUBSTITUTE('Dano fixo'!$I$3,", ",",")&amp;",")))),1,0)</f>
        <v>0</v>
      </c>
      <c r="F43" s="2">
        <f t="shared" si="2"/>
        <v>0</v>
      </c>
      <c r="G43" s="2">
        <f>E43*IF('Dano fixo'!$J$3="",$A43,MIN($A43,MAX(0,'Dano fixo'!$J$3-F42)))</f>
        <v>0</v>
      </c>
      <c r="H43" s="2">
        <f>IF(AND($A43&gt;0,N('Dano fixo'!$L$4)&gt;0,OR('Dano fixo'!$G$4="Todos",ISNUMBER(SEARCH(","&amp;'Rotação'!$I43&amp;",",","&amp;SUBSTITUTE('Dano fixo'!$G$4,", ",",")&amp;","))),OR('Dano fixo'!$H$4="",ISNUMBER(SEARCH(","&amp;'Rotação'!$R43&amp;",",","&amp;SUBSTITUTE('Dano fixo'!$H$4,", ",",")&amp;","))),OR('Dano fixo'!$I$4="",ISNUMBER(SEARCH(","&amp;'Rotação'!$K43&amp;",",","&amp;SUBSTITUTE('Dano fixo'!$I$4,", ",",")&amp;",")))),1,0)</f>
        <v>0</v>
      </c>
      <c r="I43" s="2">
        <f t="shared" si="3"/>
        <v>0</v>
      </c>
      <c r="J43" s="2">
        <f>H43*IF('Dano fixo'!$J$4="",$A43,MIN($A43,MAX(0,'Dano fixo'!$J$4-I42)))</f>
        <v>0</v>
      </c>
      <c r="K43" s="2">
        <f>IF(AND($A43&gt;0,N('Dano fixo'!$L$5)&gt;0,OR('Dano fixo'!$G$5="Todos",ISNUMBER(SEARCH(","&amp;'Rotação'!$I43&amp;",",","&amp;SUBSTITUTE('Dano fixo'!$G$5,", ",",")&amp;","))),OR('Dano fixo'!$H$5="",ISNUMBER(SEARCH(","&amp;'Rotação'!$R43&amp;",",","&amp;SUBSTITUTE('Dano fixo'!$H$5,", ",",")&amp;","))),OR('Dano fixo'!$I$5="",ISNUMBER(SEARCH(","&amp;'Rotação'!$K43&amp;",",","&amp;SUBSTITUTE('Dano fixo'!$I$5,", ",",")&amp;",")))),1,0)</f>
        <v>0</v>
      </c>
      <c r="L43" s="2">
        <f t="shared" si="4"/>
        <v>0</v>
      </c>
      <c r="M43" s="2">
        <f>K43*IF('Dano fixo'!$J$5="",$A43,MIN($A43,MAX(0,'Dano fixo'!$J$5-L42)))</f>
        <v>0</v>
      </c>
      <c r="N43" s="2">
        <f>IF(AND($A43&gt;0,N('Dano fixo'!$L$6)&gt;0,OR('Dano fixo'!$G$6="Todos",ISNUMBER(SEARCH(","&amp;'Rotação'!$I43&amp;",",","&amp;SUBSTITUTE('Dano fixo'!$G$6,", ",",")&amp;","))),OR('Dano fixo'!$H$6="",ISNUMBER(SEARCH(","&amp;'Rotação'!$R43&amp;",",","&amp;SUBSTITUTE('Dano fixo'!$H$6,", ",",")&amp;","))),OR('Dano fixo'!$I$6="",ISNUMBER(SEARCH(","&amp;'Rotação'!$K43&amp;",",","&amp;SUBSTITUTE('Dano fixo'!$I$6,", ",",")&amp;",")))),1,0)</f>
        <v>0</v>
      </c>
      <c r="O43" s="2">
        <f t="shared" si="5"/>
        <v>0</v>
      </c>
      <c r="P43" s="2">
        <f>N43*IF('Dano fixo'!$J$6="",$A43,MIN($A43,MAX(0,'Dano fixo'!$J$6-O42)))</f>
        <v>0</v>
      </c>
      <c r="Q43" s="2">
        <f>IF(AND($A43&gt;0,N('Dano fixo'!$L$7)&gt;0,OR('Dano fixo'!$G$7="Todos",ISNUMBER(SEARCH(","&amp;'Rotação'!$I43&amp;",",","&amp;SUBSTITUTE('Dano fixo'!$G$7,", ",",")&amp;","))),OR('Dano fixo'!$H$7="",ISNUMBER(SEARCH(","&amp;'Rotação'!$R43&amp;",",","&amp;SUBSTITUTE('Dano fixo'!$H$7,", ",",")&amp;","))),OR('Dano fixo'!$I$7="",ISNUMBER(SEARCH(","&amp;'Rotação'!$K43&amp;",",","&amp;SUBSTITUTE('Dano fixo'!$I$7,", ",",")&amp;",")))),1,0)</f>
        <v>0</v>
      </c>
      <c r="R43" s="2">
        <f t="shared" si="6"/>
        <v>0</v>
      </c>
      <c r="S43" s="2">
        <f>Q43*IF('Dano fixo'!$J$7="",$A43,MIN($A43,MAX(0,'Dano fixo'!$J$7-R42)))</f>
        <v>0</v>
      </c>
      <c r="T43" s="2">
        <f>IF(AND($A43&gt;0,N('Dano fixo'!$L$8)&gt;0,OR('Dano fixo'!$G$8="Todos",ISNUMBER(SEARCH(","&amp;'Rotação'!$I43&amp;",",","&amp;SUBSTITUTE('Dano fixo'!$G$8,", ",",")&amp;","))),OR('Dano fixo'!$H$8="",ISNUMBER(SEARCH(","&amp;'Rotação'!$R43&amp;",",","&amp;SUBSTITUTE('Dano fixo'!$H$8,", ",",")&amp;","))),OR('Dano fixo'!$I$8="",ISNUMBER(SEARCH(","&amp;'Rotação'!$K43&amp;",",","&amp;SUBSTITUTE('Dano fixo'!$I$8,", ",",")&amp;",")))),1,0)</f>
        <v>0</v>
      </c>
      <c r="U43" s="2">
        <f t="shared" si="7"/>
        <v>0</v>
      </c>
      <c r="V43" s="2">
        <f>T43*IF('Dano fixo'!$J$8="",$A43,MIN($A43,MAX(0,'Dano fixo'!$J$8-U42)))</f>
        <v>0</v>
      </c>
      <c r="W43" s="2">
        <f>IF(AND($A43&gt;0,N('Dano fixo'!$L$9)&gt;0,OR('Dano fixo'!$G$9="Todos",ISNUMBER(SEARCH(","&amp;'Rotação'!$I43&amp;",",","&amp;SUBSTITUTE('Dano fixo'!$G$9,", ",",")&amp;","))),OR('Dano fixo'!$H$9="",ISNUMBER(SEARCH(","&amp;'Rotação'!$R43&amp;",",","&amp;SUBSTITUTE('Dano fixo'!$H$9,", ",",")&amp;","))),OR('Dano fixo'!$I$9="",ISNUMBER(SEARCH(","&amp;'Rotação'!$K43&amp;",",","&amp;SUBSTITUTE('Dano fixo'!$I$9,", ",",")&amp;",")))),1,0)</f>
        <v>0</v>
      </c>
      <c r="X43" s="2">
        <f t="shared" si="8"/>
        <v>0</v>
      </c>
      <c r="Y43" s="2">
        <f>W43*IF('Dano fixo'!$J$9="",$A43,MIN($A43,MAX(0,'Dano fixo'!$J$9-X42)))</f>
        <v>0</v>
      </c>
      <c r="Z43" s="2">
        <f>IF(AND($A43&gt;0,N('Dano fixo'!$L$10)&gt;0,OR('Dano fixo'!$G$10="Todos",ISNUMBER(SEARCH(","&amp;'Rotação'!$I43&amp;",",","&amp;SUBSTITUTE('Dano fixo'!$G$10,", ",",")&amp;","))),OR('Dano fixo'!$H$10="",ISNUMBER(SEARCH(","&amp;'Rotação'!$R43&amp;",",","&amp;SUBSTITUTE('Dano fixo'!$H$10,", ",",")&amp;","))),OR('Dano fixo'!$I$10="",ISNUMBER(SEARCH(","&amp;'Rotação'!$K43&amp;",",","&amp;SUBSTITUTE('Dano fixo'!$I$10,", ",",")&amp;",")))),1,0)</f>
        <v>0</v>
      </c>
      <c r="AA43" s="2">
        <f t="shared" si="9"/>
        <v>0</v>
      </c>
      <c r="AB43" s="2">
        <f>Z43*IF('Dano fixo'!$J$10="",$A43,MIN($A43,MAX(0,'Dano fixo'!$J$10-AA42)))</f>
        <v>0</v>
      </c>
      <c r="AC43" s="2">
        <f>IF(AND($A43&gt;0,N('Dano fixo'!$L$11)&gt;0,OR('Dano fixo'!$G$11="Todos",ISNUMBER(SEARCH(","&amp;'Rotação'!$I43&amp;",",","&amp;SUBSTITUTE('Dano fixo'!$G$11,", ",",")&amp;","))),OR('Dano fixo'!$H$11="",ISNUMBER(SEARCH(","&amp;'Rotação'!$R43&amp;",",","&amp;SUBSTITUTE('Dano fixo'!$H$11,", ",",")&amp;","))),OR('Dano fixo'!$I$11="",ISNUMBER(SEARCH(","&amp;'Rotação'!$K43&amp;",",","&amp;SUBSTITUTE('Dano fixo'!$I$11,", ",",")&amp;",")))),1,0)</f>
        <v>0</v>
      </c>
      <c r="AD43" s="2">
        <f t="shared" si="10"/>
        <v>0</v>
      </c>
      <c r="AE43" s="2">
        <f>AC43*IF('Dano fixo'!$J$11="",$A43,MIN($A43,MAX(0,'Dano fixo'!$J$11-AD42)))</f>
        <v>0</v>
      </c>
      <c r="AF43" s="2">
        <f>D43*'Dano fixo'!$L$2+G43*'Dano fixo'!$L$3+J43*'Dano fixo'!$L$4+M43*'Dano fixo'!$L$5+P43*'Dano fixo'!$L$6+S43*'Dano fixo'!$L$7+V43*'Dano fixo'!$L$8+Y43*'Dano fixo'!$L$9+AB43*'Dano fixo'!$L$10+AE43*'Dano fixo'!$L$11</f>
        <v>0</v>
      </c>
    </row>
    <row r="44" ht="15.75" customHeight="1">
      <c r="A44" s="2">
        <f t="array" ref="A44">IF(ISNUMBER('Rotação'!$J44),IF('Rotação'!$B44="",1,'Rotação'!$B44)*IF(ISNUMBER('Rotação'!$H44),MAX(1,N(INDEX(L_Golpes!$BN$2:$BN$6000,'Rotação'!$H44))),1),0)</f>
        <v>0</v>
      </c>
      <c r="B44" s="2">
        <f>IF(AND($A44&gt;0,N('Dano fixo'!$L$2)&gt;0,OR('Dano fixo'!$G$2="Todos",ISNUMBER(SEARCH(","&amp;'Rotação'!$I44&amp;",",","&amp;SUBSTITUTE('Dano fixo'!$G$2,", ",",")&amp;","))),OR('Dano fixo'!$H$2="",ISNUMBER(SEARCH(","&amp;'Rotação'!$R44&amp;",",","&amp;SUBSTITUTE('Dano fixo'!$H$2,", ",",")&amp;","))),OR('Dano fixo'!$I$2="",ISNUMBER(SEARCH(","&amp;'Rotação'!$K44&amp;",",","&amp;SUBSTITUTE('Dano fixo'!$I$2,", ",",")&amp;",")))),1,0)</f>
        <v>0</v>
      </c>
      <c r="C44" s="2">
        <f t="shared" si="1"/>
        <v>0</v>
      </c>
      <c r="D44" s="2">
        <f>B44*IF('Dano fixo'!$J$2="",$A44,MIN($A44,MAX(0,'Dano fixo'!$J$2-C43)))</f>
        <v>0</v>
      </c>
      <c r="E44" s="2">
        <f>IF(AND($A44&gt;0,N('Dano fixo'!$L$3)&gt;0,OR('Dano fixo'!$G$3="Todos",ISNUMBER(SEARCH(","&amp;'Rotação'!$I44&amp;",",","&amp;SUBSTITUTE('Dano fixo'!$G$3,", ",",")&amp;","))),OR('Dano fixo'!$H$3="",ISNUMBER(SEARCH(","&amp;'Rotação'!$R44&amp;",",","&amp;SUBSTITUTE('Dano fixo'!$H$3,", ",",")&amp;","))),OR('Dano fixo'!$I$3="",ISNUMBER(SEARCH(","&amp;'Rotação'!$K44&amp;",",","&amp;SUBSTITUTE('Dano fixo'!$I$3,", ",",")&amp;",")))),1,0)</f>
        <v>0</v>
      </c>
      <c r="F44" s="2">
        <f t="shared" si="2"/>
        <v>0</v>
      </c>
      <c r="G44" s="2">
        <f>E44*IF('Dano fixo'!$J$3="",$A44,MIN($A44,MAX(0,'Dano fixo'!$J$3-F43)))</f>
        <v>0</v>
      </c>
      <c r="H44" s="2">
        <f>IF(AND($A44&gt;0,N('Dano fixo'!$L$4)&gt;0,OR('Dano fixo'!$G$4="Todos",ISNUMBER(SEARCH(","&amp;'Rotação'!$I44&amp;",",","&amp;SUBSTITUTE('Dano fixo'!$G$4,", ",",")&amp;","))),OR('Dano fixo'!$H$4="",ISNUMBER(SEARCH(","&amp;'Rotação'!$R44&amp;",",","&amp;SUBSTITUTE('Dano fixo'!$H$4,", ",",")&amp;","))),OR('Dano fixo'!$I$4="",ISNUMBER(SEARCH(","&amp;'Rotação'!$K44&amp;",",","&amp;SUBSTITUTE('Dano fixo'!$I$4,", ",",")&amp;",")))),1,0)</f>
        <v>0</v>
      </c>
      <c r="I44" s="2">
        <f t="shared" si="3"/>
        <v>0</v>
      </c>
      <c r="J44" s="2">
        <f>H44*IF('Dano fixo'!$J$4="",$A44,MIN($A44,MAX(0,'Dano fixo'!$J$4-I43)))</f>
        <v>0</v>
      </c>
      <c r="K44" s="2">
        <f>IF(AND($A44&gt;0,N('Dano fixo'!$L$5)&gt;0,OR('Dano fixo'!$G$5="Todos",ISNUMBER(SEARCH(","&amp;'Rotação'!$I44&amp;",",","&amp;SUBSTITUTE('Dano fixo'!$G$5,", ",",")&amp;","))),OR('Dano fixo'!$H$5="",ISNUMBER(SEARCH(","&amp;'Rotação'!$R44&amp;",",","&amp;SUBSTITUTE('Dano fixo'!$H$5,", ",",")&amp;","))),OR('Dano fixo'!$I$5="",ISNUMBER(SEARCH(","&amp;'Rotação'!$K44&amp;",",","&amp;SUBSTITUTE('Dano fixo'!$I$5,", ",",")&amp;",")))),1,0)</f>
        <v>0</v>
      </c>
      <c r="L44" s="2">
        <f t="shared" si="4"/>
        <v>0</v>
      </c>
      <c r="M44" s="2">
        <f>K44*IF('Dano fixo'!$J$5="",$A44,MIN($A44,MAX(0,'Dano fixo'!$J$5-L43)))</f>
        <v>0</v>
      </c>
      <c r="N44" s="2">
        <f>IF(AND($A44&gt;0,N('Dano fixo'!$L$6)&gt;0,OR('Dano fixo'!$G$6="Todos",ISNUMBER(SEARCH(","&amp;'Rotação'!$I44&amp;",",","&amp;SUBSTITUTE('Dano fixo'!$G$6,", ",",")&amp;","))),OR('Dano fixo'!$H$6="",ISNUMBER(SEARCH(","&amp;'Rotação'!$R44&amp;",",","&amp;SUBSTITUTE('Dano fixo'!$H$6,", ",",")&amp;","))),OR('Dano fixo'!$I$6="",ISNUMBER(SEARCH(","&amp;'Rotação'!$K44&amp;",",","&amp;SUBSTITUTE('Dano fixo'!$I$6,", ",",")&amp;",")))),1,0)</f>
        <v>0</v>
      </c>
      <c r="O44" s="2">
        <f t="shared" si="5"/>
        <v>0</v>
      </c>
      <c r="P44" s="2">
        <f>N44*IF('Dano fixo'!$J$6="",$A44,MIN($A44,MAX(0,'Dano fixo'!$J$6-O43)))</f>
        <v>0</v>
      </c>
      <c r="Q44" s="2">
        <f>IF(AND($A44&gt;0,N('Dano fixo'!$L$7)&gt;0,OR('Dano fixo'!$G$7="Todos",ISNUMBER(SEARCH(","&amp;'Rotação'!$I44&amp;",",","&amp;SUBSTITUTE('Dano fixo'!$G$7,", ",",")&amp;","))),OR('Dano fixo'!$H$7="",ISNUMBER(SEARCH(","&amp;'Rotação'!$R44&amp;",",","&amp;SUBSTITUTE('Dano fixo'!$H$7,", ",",")&amp;","))),OR('Dano fixo'!$I$7="",ISNUMBER(SEARCH(","&amp;'Rotação'!$K44&amp;",",","&amp;SUBSTITUTE('Dano fixo'!$I$7,", ",",")&amp;",")))),1,0)</f>
        <v>0</v>
      </c>
      <c r="R44" s="2">
        <f t="shared" si="6"/>
        <v>0</v>
      </c>
      <c r="S44" s="2">
        <f>Q44*IF('Dano fixo'!$J$7="",$A44,MIN($A44,MAX(0,'Dano fixo'!$J$7-R43)))</f>
        <v>0</v>
      </c>
      <c r="T44" s="2">
        <f>IF(AND($A44&gt;0,N('Dano fixo'!$L$8)&gt;0,OR('Dano fixo'!$G$8="Todos",ISNUMBER(SEARCH(","&amp;'Rotação'!$I44&amp;",",","&amp;SUBSTITUTE('Dano fixo'!$G$8,", ",",")&amp;","))),OR('Dano fixo'!$H$8="",ISNUMBER(SEARCH(","&amp;'Rotação'!$R44&amp;",",","&amp;SUBSTITUTE('Dano fixo'!$H$8,", ",",")&amp;","))),OR('Dano fixo'!$I$8="",ISNUMBER(SEARCH(","&amp;'Rotação'!$K44&amp;",",","&amp;SUBSTITUTE('Dano fixo'!$I$8,", ",",")&amp;",")))),1,0)</f>
        <v>0</v>
      </c>
      <c r="U44" s="2">
        <f t="shared" si="7"/>
        <v>0</v>
      </c>
      <c r="V44" s="2">
        <f>T44*IF('Dano fixo'!$J$8="",$A44,MIN($A44,MAX(0,'Dano fixo'!$J$8-U43)))</f>
        <v>0</v>
      </c>
      <c r="W44" s="2">
        <f>IF(AND($A44&gt;0,N('Dano fixo'!$L$9)&gt;0,OR('Dano fixo'!$G$9="Todos",ISNUMBER(SEARCH(","&amp;'Rotação'!$I44&amp;",",","&amp;SUBSTITUTE('Dano fixo'!$G$9,", ",",")&amp;","))),OR('Dano fixo'!$H$9="",ISNUMBER(SEARCH(","&amp;'Rotação'!$R44&amp;",",","&amp;SUBSTITUTE('Dano fixo'!$H$9,", ",",")&amp;","))),OR('Dano fixo'!$I$9="",ISNUMBER(SEARCH(","&amp;'Rotação'!$K44&amp;",",","&amp;SUBSTITUTE('Dano fixo'!$I$9,", ",",")&amp;",")))),1,0)</f>
        <v>0</v>
      </c>
      <c r="X44" s="2">
        <f t="shared" si="8"/>
        <v>0</v>
      </c>
      <c r="Y44" s="2">
        <f>W44*IF('Dano fixo'!$J$9="",$A44,MIN($A44,MAX(0,'Dano fixo'!$J$9-X43)))</f>
        <v>0</v>
      </c>
      <c r="Z44" s="2">
        <f>IF(AND($A44&gt;0,N('Dano fixo'!$L$10)&gt;0,OR('Dano fixo'!$G$10="Todos",ISNUMBER(SEARCH(","&amp;'Rotação'!$I44&amp;",",","&amp;SUBSTITUTE('Dano fixo'!$G$10,", ",",")&amp;","))),OR('Dano fixo'!$H$10="",ISNUMBER(SEARCH(","&amp;'Rotação'!$R44&amp;",",","&amp;SUBSTITUTE('Dano fixo'!$H$10,", ",",")&amp;","))),OR('Dano fixo'!$I$10="",ISNUMBER(SEARCH(","&amp;'Rotação'!$K44&amp;",",","&amp;SUBSTITUTE('Dano fixo'!$I$10,", ",",")&amp;",")))),1,0)</f>
        <v>0</v>
      </c>
      <c r="AA44" s="2">
        <f t="shared" si="9"/>
        <v>0</v>
      </c>
      <c r="AB44" s="2">
        <f>Z44*IF('Dano fixo'!$J$10="",$A44,MIN($A44,MAX(0,'Dano fixo'!$J$10-AA43)))</f>
        <v>0</v>
      </c>
      <c r="AC44" s="2">
        <f>IF(AND($A44&gt;0,N('Dano fixo'!$L$11)&gt;0,OR('Dano fixo'!$G$11="Todos",ISNUMBER(SEARCH(","&amp;'Rotação'!$I44&amp;",",","&amp;SUBSTITUTE('Dano fixo'!$G$11,", ",",")&amp;","))),OR('Dano fixo'!$H$11="",ISNUMBER(SEARCH(","&amp;'Rotação'!$R44&amp;",",","&amp;SUBSTITUTE('Dano fixo'!$H$11,", ",",")&amp;","))),OR('Dano fixo'!$I$11="",ISNUMBER(SEARCH(","&amp;'Rotação'!$K44&amp;",",","&amp;SUBSTITUTE('Dano fixo'!$I$11,", ",",")&amp;",")))),1,0)</f>
        <v>0</v>
      </c>
      <c r="AD44" s="2">
        <f t="shared" si="10"/>
        <v>0</v>
      </c>
      <c r="AE44" s="2">
        <f>AC44*IF('Dano fixo'!$J$11="",$A44,MIN($A44,MAX(0,'Dano fixo'!$J$11-AD43)))</f>
        <v>0</v>
      </c>
      <c r="AF44" s="2">
        <f>D44*'Dano fixo'!$L$2+G44*'Dano fixo'!$L$3+J44*'Dano fixo'!$L$4+M44*'Dano fixo'!$L$5+P44*'Dano fixo'!$L$6+S44*'Dano fixo'!$L$7+V44*'Dano fixo'!$L$8+Y44*'Dano fixo'!$L$9+AB44*'Dano fixo'!$L$10+AE44*'Dano fixo'!$L$11</f>
        <v>0</v>
      </c>
    </row>
    <row r="45" ht="15.75" customHeight="1">
      <c r="A45" s="2">
        <f t="array" ref="A45">IF(ISNUMBER('Rotação'!$J45),IF('Rotação'!$B45="",1,'Rotação'!$B45)*IF(ISNUMBER('Rotação'!$H45),MAX(1,N(INDEX(L_Golpes!$BN$2:$BN$6000,'Rotação'!$H45))),1),0)</f>
        <v>0</v>
      </c>
      <c r="B45" s="2">
        <f>IF(AND($A45&gt;0,N('Dano fixo'!$L$2)&gt;0,OR('Dano fixo'!$G$2="Todos",ISNUMBER(SEARCH(","&amp;'Rotação'!$I45&amp;",",","&amp;SUBSTITUTE('Dano fixo'!$G$2,", ",",")&amp;","))),OR('Dano fixo'!$H$2="",ISNUMBER(SEARCH(","&amp;'Rotação'!$R45&amp;",",","&amp;SUBSTITUTE('Dano fixo'!$H$2,", ",",")&amp;","))),OR('Dano fixo'!$I$2="",ISNUMBER(SEARCH(","&amp;'Rotação'!$K45&amp;",",","&amp;SUBSTITUTE('Dano fixo'!$I$2,", ",",")&amp;",")))),1,0)</f>
        <v>0</v>
      </c>
      <c r="C45" s="2">
        <f t="shared" si="1"/>
        <v>0</v>
      </c>
      <c r="D45" s="2">
        <f>B45*IF('Dano fixo'!$J$2="",$A45,MIN($A45,MAX(0,'Dano fixo'!$J$2-C44)))</f>
        <v>0</v>
      </c>
      <c r="E45" s="2">
        <f>IF(AND($A45&gt;0,N('Dano fixo'!$L$3)&gt;0,OR('Dano fixo'!$G$3="Todos",ISNUMBER(SEARCH(","&amp;'Rotação'!$I45&amp;",",","&amp;SUBSTITUTE('Dano fixo'!$G$3,", ",",")&amp;","))),OR('Dano fixo'!$H$3="",ISNUMBER(SEARCH(","&amp;'Rotação'!$R45&amp;",",","&amp;SUBSTITUTE('Dano fixo'!$H$3,", ",",")&amp;","))),OR('Dano fixo'!$I$3="",ISNUMBER(SEARCH(","&amp;'Rotação'!$K45&amp;",",","&amp;SUBSTITUTE('Dano fixo'!$I$3,", ",",")&amp;",")))),1,0)</f>
        <v>0</v>
      </c>
      <c r="F45" s="2">
        <f t="shared" si="2"/>
        <v>0</v>
      </c>
      <c r="G45" s="2">
        <f>E45*IF('Dano fixo'!$J$3="",$A45,MIN($A45,MAX(0,'Dano fixo'!$J$3-F44)))</f>
        <v>0</v>
      </c>
      <c r="H45" s="2">
        <f>IF(AND($A45&gt;0,N('Dano fixo'!$L$4)&gt;0,OR('Dano fixo'!$G$4="Todos",ISNUMBER(SEARCH(","&amp;'Rotação'!$I45&amp;",",","&amp;SUBSTITUTE('Dano fixo'!$G$4,", ",",")&amp;","))),OR('Dano fixo'!$H$4="",ISNUMBER(SEARCH(","&amp;'Rotação'!$R45&amp;",",","&amp;SUBSTITUTE('Dano fixo'!$H$4,", ",",")&amp;","))),OR('Dano fixo'!$I$4="",ISNUMBER(SEARCH(","&amp;'Rotação'!$K45&amp;",",","&amp;SUBSTITUTE('Dano fixo'!$I$4,", ",",")&amp;",")))),1,0)</f>
        <v>0</v>
      </c>
      <c r="I45" s="2">
        <f t="shared" si="3"/>
        <v>0</v>
      </c>
      <c r="J45" s="2">
        <f>H45*IF('Dano fixo'!$J$4="",$A45,MIN($A45,MAX(0,'Dano fixo'!$J$4-I44)))</f>
        <v>0</v>
      </c>
      <c r="K45" s="2">
        <f>IF(AND($A45&gt;0,N('Dano fixo'!$L$5)&gt;0,OR('Dano fixo'!$G$5="Todos",ISNUMBER(SEARCH(","&amp;'Rotação'!$I45&amp;",",","&amp;SUBSTITUTE('Dano fixo'!$G$5,", ",",")&amp;","))),OR('Dano fixo'!$H$5="",ISNUMBER(SEARCH(","&amp;'Rotação'!$R45&amp;",",","&amp;SUBSTITUTE('Dano fixo'!$H$5,", ",",")&amp;","))),OR('Dano fixo'!$I$5="",ISNUMBER(SEARCH(","&amp;'Rotação'!$K45&amp;",",","&amp;SUBSTITUTE('Dano fixo'!$I$5,", ",",")&amp;",")))),1,0)</f>
        <v>0</v>
      </c>
      <c r="L45" s="2">
        <f t="shared" si="4"/>
        <v>0</v>
      </c>
      <c r="M45" s="2">
        <f>K45*IF('Dano fixo'!$J$5="",$A45,MIN($A45,MAX(0,'Dano fixo'!$J$5-L44)))</f>
        <v>0</v>
      </c>
      <c r="N45" s="2">
        <f>IF(AND($A45&gt;0,N('Dano fixo'!$L$6)&gt;0,OR('Dano fixo'!$G$6="Todos",ISNUMBER(SEARCH(","&amp;'Rotação'!$I45&amp;",",","&amp;SUBSTITUTE('Dano fixo'!$G$6,", ",",")&amp;","))),OR('Dano fixo'!$H$6="",ISNUMBER(SEARCH(","&amp;'Rotação'!$R45&amp;",",","&amp;SUBSTITUTE('Dano fixo'!$H$6,", ",",")&amp;","))),OR('Dano fixo'!$I$6="",ISNUMBER(SEARCH(","&amp;'Rotação'!$K45&amp;",",","&amp;SUBSTITUTE('Dano fixo'!$I$6,", ",",")&amp;",")))),1,0)</f>
        <v>0</v>
      </c>
      <c r="O45" s="2">
        <f t="shared" si="5"/>
        <v>0</v>
      </c>
      <c r="P45" s="2">
        <f>N45*IF('Dano fixo'!$J$6="",$A45,MIN($A45,MAX(0,'Dano fixo'!$J$6-O44)))</f>
        <v>0</v>
      </c>
      <c r="Q45" s="2">
        <f>IF(AND($A45&gt;0,N('Dano fixo'!$L$7)&gt;0,OR('Dano fixo'!$G$7="Todos",ISNUMBER(SEARCH(","&amp;'Rotação'!$I45&amp;",",","&amp;SUBSTITUTE('Dano fixo'!$G$7,", ",",")&amp;","))),OR('Dano fixo'!$H$7="",ISNUMBER(SEARCH(","&amp;'Rotação'!$R45&amp;",",","&amp;SUBSTITUTE('Dano fixo'!$H$7,", ",",")&amp;","))),OR('Dano fixo'!$I$7="",ISNUMBER(SEARCH(","&amp;'Rotação'!$K45&amp;",",","&amp;SUBSTITUTE('Dano fixo'!$I$7,", ",",")&amp;",")))),1,0)</f>
        <v>0</v>
      </c>
      <c r="R45" s="2">
        <f t="shared" si="6"/>
        <v>0</v>
      </c>
      <c r="S45" s="2">
        <f>Q45*IF('Dano fixo'!$J$7="",$A45,MIN($A45,MAX(0,'Dano fixo'!$J$7-R44)))</f>
        <v>0</v>
      </c>
      <c r="T45" s="2">
        <f>IF(AND($A45&gt;0,N('Dano fixo'!$L$8)&gt;0,OR('Dano fixo'!$G$8="Todos",ISNUMBER(SEARCH(","&amp;'Rotação'!$I45&amp;",",","&amp;SUBSTITUTE('Dano fixo'!$G$8,", ",",")&amp;","))),OR('Dano fixo'!$H$8="",ISNUMBER(SEARCH(","&amp;'Rotação'!$R45&amp;",",","&amp;SUBSTITUTE('Dano fixo'!$H$8,", ",",")&amp;","))),OR('Dano fixo'!$I$8="",ISNUMBER(SEARCH(","&amp;'Rotação'!$K45&amp;",",","&amp;SUBSTITUTE('Dano fixo'!$I$8,", ",",")&amp;",")))),1,0)</f>
        <v>0</v>
      </c>
      <c r="U45" s="2">
        <f t="shared" si="7"/>
        <v>0</v>
      </c>
      <c r="V45" s="2">
        <f>T45*IF('Dano fixo'!$J$8="",$A45,MIN($A45,MAX(0,'Dano fixo'!$J$8-U44)))</f>
        <v>0</v>
      </c>
      <c r="W45" s="2">
        <f>IF(AND($A45&gt;0,N('Dano fixo'!$L$9)&gt;0,OR('Dano fixo'!$G$9="Todos",ISNUMBER(SEARCH(","&amp;'Rotação'!$I45&amp;",",","&amp;SUBSTITUTE('Dano fixo'!$G$9,", ",",")&amp;","))),OR('Dano fixo'!$H$9="",ISNUMBER(SEARCH(","&amp;'Rotação'!$R45&amp;",",","&amp;SUBSTITUTE('Dano fixo'!$H$9,", ",",")&amp;","))),OR('Dano fixo'!$I$9="",ISNUMBER(SEARCH(","&amp;'Rotação'!$K45&amp;",",","&amp;SUBSTITUTE('Dano fixo'!$I$9,", ",",")&amp;",")))),1,0)</f>
        <v>0</v>
      </c>
      <c r="X45" s="2">
        <f t="shared" si="8"/>
        <v>0</v>
      </c>
      <c r="Y45" s="2">
        <f>W45*IF('Dano fixo'!$J$9="",$A45,MIN($A45,MAX(0,'Dano fixo'!$J$9-X44)))</f>
        <v>0</v>
      </c>
      <c r="Z45" s="2">
        <f>IF(AND($A45&gt;0,N('Dano fixo'!$L$10)&gt;0,OR('Dano fixo'!$G$10="Todos",ISNUMBER(SEARCH(","&amp;'Rotação'!$I45&amp;",",","&amp;SUBSTITUTE('Dano fixo'!$G$10,", ",",")&amp;","))),OR('Dano fixo'!$H$10="",ISNUMBER(SEARCH(","&amp;'Rotação'!$R45&amp;",",","&amp;SUBSTITUTE('Dano fixo'!$H$10,", ",",")&amp;","))),OR('Dano fixo'!$I$10="",ISNUMBER(SEARCH(","&amp;'Rotação'!$K45&amp;",",","&amp;SUBSTITUTE('Dano fixo'!$I$10,", ",",")&amp;",")))),1,0)</f>
        <v>0</v>
      </c>
      <c r="AA45" s="2">
        <f t="shared" si="9"/>
        <v>0</v>
      </c>
      <c r="AB45" s="2">
        <f>Z45*IF('Dano fixo'!$J$10="",$A45,MIN($A45,MAX(0,'Dano fixo'!$J$10-AA44)))</f>
        <v>0</v>
      </c>
      <c r="AC45" s="2">
        <f>IF(AND($A45&gt;0,N('Dano fixo'!$L$11)&gt;0,OR('Dano fixo'!$G$11="Todos",ISNUMBER(SEARCH(","&amp;'Rotação'!$I45&amp;",",","&amp;SUBSTITUTE('Dano fixo'!$G$11,", ",",")&amp;","))),OR('Dano fixo'!$H$11="",ISNUMBER(SEARCH(","&amp;'Rotação'!$R45&amp;",",","&amp;SUBSTITUTE('Dano fixo'!$H$11,", ",",")&amp;","))),OR('Dano fixo'!$I$11="",ISNUMBER(SEARCH(","&amp;'Rotação'!$K45&amp;",",","&amp;SUBSTITUTE('Dano fixo'!$I$11,", ",",")&amp;",")))),1,0)</f>
        <v>0</v>
      </c>
      <c r="AD45" s="2">
        <f t="shared" si="10"/>
        <v>0</v>
      </c>
      <c r="AE45" s="2">
        <f>AC45*IF('Dano fixo'!$J$11="",$A45,MIN($A45,MAX(0,'Dano fixo'!$J$11-AD44)))</f>
        <v>0</v>
      </c>
      <c r="AF45" s="2">
        <f>D45*'Dano fixo'!$L$2+G45*'Dano fixo'!$L$3+J45*'Dano fixo'!$L$4+M45*'Dano fixo'!$L$5+P45*'Dano fixo'!$L$6+S45*'Dano fixo'!$L$7+V45*'Dano fixo'!$L$8+Y45*'Dano fixo'!$L$9+AB45*'Dano fixo'!$L$10+AE45*'Dano fixo'!$L$11</f>
        <v>0</v>
      </c>
    </row>
    <row r="46" ht="15.75" customHeight="1">
      <c r="A46" s="2">
        <f t="array" ref="A46">IF(ISNUMBER('Rotação'!$J46),IF('Rotação'!$B46="",1,'Rotação'!$B46)*IF(ISNUMBER('Rotação'!$H46),MAX(1,N(INDEX(L_Golpes!$BN$2:$BN$6000,'Rotação'!$H46))),1),0)</f>
        <v>0</v>
      </c>
      <c r="B46" s="2">
        <f>IF(AND($A46&gt;0,N('Dano fixo'!$L$2)&gt;0,OR('Dano fixo'!$G$2="Todos",ISNUMBER(SEARCH(","&amp;'Rotação'!$I46&amp;",",","&amp;SUBSTITUTE('Dano fixo'!$G$2,", ",",")&amp;","))),OR('Dano fixo'!$H$2="",ISNUMBER(SEARCH(","&amp;'Rotação'!$R46&amp;",",","&amp;SUBSTITUTE('Dano fixo'!$H$2,", ",",")&amp;","))),OR('Dano fixo'!$I$2="",ISNUMBER(SEARCH(","&amp;'Rotação'!$K46&amp;",",","&amp;SUBSTITUTE('Dano fixo'!$I$2,", ",",")&amp;",")))),1,0)</f>
        <v>0</v>
      </c>
      <c r="C46" s="2">
        <f t="shared" si="1"/>
        <v>0</v>
      </c>
      <c r="D46" s="2">
        <f>B46*IF('Dano fixo'!$J$2="",$A46,MIN($A46,MAX(0,'Dano fixo'!$J$2-C45)))</f>
        <v>0</v>
      </c>
      <c r="E46" s="2">
        <f>IF(AND($A46&gt;0,N('Dano fixo'!$L$3)&gt;0,OR('Dano fixo'!$G$3="Todos",ISNUMBER(SEARCH(","&amp;'Rotação'!$I46&amp;",",","&amp;SUBSTITUTE('Dano fixo'!$G$3,", ",",")&amp;","))),OR('Dano fixo'!$H$3="",ISNUMBER(SEARCH(","&amp;'Rotação'!$R46&amp;",",","&amp;SUBSTITUTE('Dano fixo'!$H$3,", ",",")&amp;","))),OR('Dano fixo'!$I$3="",ISNUMBER(SEARCH(","&amp;'Rotação'!$K46&amp;",",","&amp;SUBSTITUTE('Dano fixo'!$I$3,", ",",")&amp;",")))),1,0)</f>
        <v>0</v>
      </c>
      <c r="F46" s="2">
        <f t="shared" si="2"/>
        <v>0</v>
      </c>
      <c r="G46" s="2">
        <f>E46*IF('Dano fixo'!$J$3="",$A46,MIN($A46,MAX(0,'Dano fixo'!$J$3-F45)))</f>
        <v>0</v>
      </c>
      <c r="H46" s="2">
        <f>IF(AND($A46&gt;0,N('Dano fixo'!$L$4)&gt;0,OR('Dano fixo'!$G$4="Todos",ISNUMBER(SEARCH(","&amp;'Rotação'!$I46&amp;",",","&amp;SUBSTITUTE('Dano fixo'!$G$4,", ",",")&amp;","))),OR('Dano fixo'!$H$4="",ISNUMBER(SEARCH(","&amp;'Rotação'!$R46&amp;",",","&amp;SUBSTITUTE('Dano fixo'!$H$4,", ",",")&amp;","))),OR('Dano fixo'!$I$4="",ISNUMBER(SEARCH(","&amp;'Rotação'!$K46&amp;",",","&amp;SUBSTITUTE('Dano fixo'!$I$4,", ",",")&amp;",")))),1,0)</f>
        <v>0</v>
      </c>
      <c r="I46" s="2">
        <f t="shared" si="3"/>
        <v>0</v>
      </c>
      <c r="J46" s="2">
        <f>H46*IF('Dano fixo'!$J$4="",$A46,MIN($A46,MAX(0,'Dano fixo'!$J$4-I45)))</f>
        <v>0</v>
      </c>
      <c r="K46" s="2">
        <f>IF(AND($A46&gt;0,N('Dano fixo'!$L$5)&gt;0,OR('Dano fixo'!$G$5="Todos",ISNUMBER(SEARCH(","&amp;'Rotação'!$I46&amp;",",","&amp;SUBSTITUTE('Dano fixo'!$G$5,", ",",")&amp;","))),OR('Dano fixo'!$H$5="",ISNUMBER(SEARCH(","&amp;'Rotação'!$R46&amp;",",","&amp;SUBSTITUTE('Dano fixo'!$H$5,", ",",")&amp;","))),OR('Dano fixo'!$I$5="",ISNUMBER(SEARCH(","&amp;'Rotação'!$K46&amp;",",","&amp;SUBSTITUTE('Dano fixo'!$I$5,", ",",")&amp;",")))),1,0)</f>
        <v>0</v>
      </c>
      <c r="L46" s="2">
        <f t="shared" si="4"/>
        <v>0</v>
      </c>
      <c r="M46" s="2">
        <f>K46*IF('Dano fixo'!$J$5="",$A46,MIN($A46,MAX(0,'Dano fixo'!$J$5-L45)))</f>
        <v>0</v>
      </c>
      <c r="N46" s="2">
        <f>IF(AND($A46&gt;0,N('Dano fixo'!$L$6)&gt;0,OR('Dano fixo'!$G$6="Todos",ISNUMBER(SEARCH(","&amp;'Rotação'!$I46&amp;",",","&amp;SUBSTITUTE('Dano fixo'!$G$6,", ",",")&amp;","))),OR('Dano fixo'!$H$6="",ISNUMBER(SEARCH(","&amp;'Rotação'!$R46&amp;",",","&amp;SUBSTITUTE('Dano fixo'!$H$6,", ",",")&amp;","))),OR('Dano fixo'!$I$6="",ISNUMBER(SEARCH(","&amp;'Rotação'!$K46&amp;",",","&amp;SUBSTITUTE('Dano fixo'!$I$6,", ",",")&amp;",")))),1,0)</f>
        <v>0</v>
      </c>
      <c r="O46" s="2">
        <f t="shared" si="5"/>
        <v>0</v>
      </c>
      <c r="P46" s="2">
        <f>N46*IF('Dano fixo'!$J$6="",$A46,MIN($A46,MAX(0,'Dano fixo'!$J$6-O45)))</f>
        <v>0</v>
      </c>
      <c r="Q46" s="2">
        <f>IF(AND($A46&gt;0,N('Dano fixo'!$L$7)&gt;0,OR('Dano fixo'!$G$7="Todos",ISNUMBER(SEARCH(","&amp;'Rotação'!$I46&amp;",",","&amp;SUBSTITUTE('Dano fixo'!$G$7,", ",",")&amp;","))),OR('Dano fixo'!$H$7="",ISNUMBER(SEARCH(","&amp;'Rotação'!$R46&amp;",",","&amp;SUBSTITUTE('Dano fixo'!$H$7,", ",",")&amp;","))),OR('Dano fixo'!$I$7="",ISNUMBER(SEARCH(","&amp;'Rotação'!$K46&amp;",",","&amp;SUBSTITUTE('Dano fixo'!$I$7,", ",",")&amp;",")))),1,0)</f>
        <v>0</v>
      </c>
      <c r="R46" s="2">
        <f t="shared" si="6"/>
        <v>0</v>
      </c>
      <c r="S46" s="2">
        <f>Q46*IF('Dano fixo'!$J$7="",$A46,MIN($A46,MAX(0,'Dano fixo'!$J$7-R45)))</f>
        <v>0</v>
      </c>
      <c r="T46" s="2">
        <f>IF(AND($A46&gt;0,N('Dano fixo'!$L$8)&gt;0,OR('Dano fixo'!$G$8="Todos",ISNUMBER(SEARCH(","&amp;'Rotação'!$I46&amp;",",","&amp;SUBSTITUTE('Dano fixo'!$G$8,", ",",")&amp;","))),OR('Dano fixo'!$H$8="",ISNUMBER(SEARCH(","&amp;'Rotação'!$R46&amp;",",","&amp;SUBSTITUTE('Dano fixo'!$H$8,", ",",")&amp;","))),OR('Dano fixo'!$I$8="",ISNUMBER(SEARCH(","&amp;'Rotação'!$K46&amp;",",","&amp;SUBSTITUTE('Dano fixo'!$I$8,", ",",")&amp;",")))),1,0)</f>
        <v>0</v>
      </c>
      <c r="U46" s="2">
        <f t="shared" si="7"/>
        <v>0</v>
      </c>
      <c r="V46" s="2">
        <f>T46*IF('Dano fixo'!$J$8="",$A46,MIN($A46,MAX(0,'Dano fixo'!$J$8-U45)))</f>
        <v>0</v>
      </c>
      <c r="W46" s="2">
        <f>IF(AND($A46&gt;0,N('Dano fixo'!$L$9)&gt;0,OR('Dano fixo'!$G$9="Todos",ISNUMBER(SEARCH(","&amp;'Rotação'!$I46&amp;",",","&amp;SUBSTITUTE('Dano fixo'!$G$9,", ",",")&amp;","))),OR('Dano fixo'!$H$9="",ISNUMBER(SEARCH(","&amp;'Rotação'!$R46&amp;",",","&amp;SUBSTITUTE('Dano fixo'!$H$9,", ",",")&amp;","))),OR('Dano fixo'!$I$9="",ISNUMBER(SEARCH(","&amp;'Rotação'!$K46&amp;",",","&amp;SUBSTITUTE('Dano fixo'!$I$9,", ",",")&amp;",")))),1,0)</f>
        <v>0</v>
      </c>
      <c r="X46" s="2">
        <f t="shared" si="8"/>
        <v>0</v>
      </c>
      <c r="Y46" s="2">
        <f>W46*IF('Dano fixo'!$J$9="",$A46,MIN($A46,MAX(0,'Dano fixo'!$J$9-X45)))</f>
        <v>0</v>
      </c>
      <c r="Z46" s="2">
        <f>IF(AND($A46&gt;0,N('Dano fixo'!$L$10)&gt;0,OR('Dano fixo'!$G$10="Todos",ISNUMBER(SEARCH(","&amp;'Rotação'!$I46&amp;",",","&amp;SUBSTITUTE('Dano fixo'!$G$10,", ",",")&amp;","))),OR('Dano fixo'!$H$10="",ISNUMBER(SEARCH(","&amp;'Rotação'!$R46&amp;",",","&amp;SUBSTITUTE('Dano fixo'!$H$10,", ",",")&amp;","))),OR('Dano fixo'!$I$10="",ISNUMBER(SEARCH(","&amp;'Rotação'!$K46&amp;",",","&amp;SUBSTITUTE('Dano fixo'!$I$10,", ",",")&amp;",")))),1,0)</f>
        <v>0</v>
      </c>
      <c r="AA46" s="2">
        <f t="shared" si="9"/>
        <v>0</v>
      </c>
      <c r="AB46" s="2">
        <f>Z46*IF('Dano fixo'!$J$10="",$A46,MIN($A46,MAX(0,'Dano fixo'!$J$10-AA45)))</f>
        <v>0</v>
      </c>
      <c r="AC46" s="2">
        <f>IF(AND($A46&gt;0,N('Dano fixo'!$L$11)&gt;0,OR('Dano fixo'!$G$11="Todos",ISNUMBER(SEARCH(","&amp;'Rotação'!$I46&amp;",",","&amp;SUBSTITUTE('Dano fixo'!$G$11,", ",",")&amp;","))),OR('Dano fixo'!$H$11="",ISNUMBER(SEARCH(","&amp;'Rotação'!$R46&amp;",",","&amp;SUBSTITUTE('Dano fixo'!$H$11,", ",",")&amp;","))),OR('Dano fixo'!$I$11="",ISNUMBER(SEARCH(","&amp;'Rotação'!$K46&amp;",",","&amp;SUBSTITUTE('Dano fixo'!$I$11,", ",",")&amp;",")))),1,0)</f>
        <v>0</v>
      </c>
      <c r="AD46" s="2">
        <f t="shared" si="10"/>
        <v>0</v>
      </c>
      <c r="AE46" s="2">
        <f>AC46*IF('Dano fixo'!$J$11="",$A46,MIN($A46,MAX(0,'Dano fixo'!$J$11-AD45)))</f>
        <v>0</v>
      </c>
      <c r="AF46" s="2">
        <f>D46*'Dano fixo'!$L$2+G46*'Dano fixo'!$L$3+J46*'Dano fixo'!$L$4+M46*'Dano fixo'!$L$5+P46*'Dano fixo'!$L$6+S46*'Dano fixo'!$L$7+V46*'Dano fixo'!$L$8+Y46*'Dano fixo'!$L$9+AB46*'Dano fixo'!$L$10+AE46*'Dano fixo'!$L$11</f>
        <v>0</v>
      </c>
    </row>
    <row r="47" ht="15.75" customHeight="1">
      <c r="A47" s="2">
        <f t="array" ref="A47">IF(ISNUMBER('Rotação'!$J47),IF('Rotação'!$B47="",1,'Rotação'!$B47)*IF(ISNUMBER('Rotação'!$H47),MAX(1,N(INDEX(L_Golpes!$BN$2:$BN$6000,'Rotação'!$H47))),1),0)</f>
        <v>0</v>
      </c>
      <c r="B47" s="2">
        <f>IF(AND($A47&gt;0,N('Dano fixo'!$L$2)&gt;0,OR('Dano fixo'!$G$2="Todos",ISNUMBER(SEARCH(","&amp;'Rotação'!$I47&amp;",",","&amp;SUBSTITUTE('Dano fixo'!$G$2,", ",",")&amp;","))),OR('Dano fixo'!$H$2="",ISNUMBER(SEARCH(","&amp;'Rotação'!$R47&amp;",",","&amp;SUBSTITUTE('Dano fixo'!$H$2,", ",",")&amp;","))),OR('Dano fixo'!$I$2="",ISNUMBER(SEARCH(","&amp;'Rotação'!$K47&amp;",",","&amp;SUBSTITUTE('Dano fixo'!$I$2,", ",",")&amp;",")))),1,0)</f>
        <v>0</v>
      </c>
      <c r="C47" s="2">
        <f t="shared" si="1"/>
        <v>0</v>
      </c>
      <c r="D47" s="2">
        <f>B47*IF('Dano fixo'!$J$2="",$A47,MIN($A47,MAX(0,'Dano fixo'!$J$2-C46)))</f>
        <v>0</v>
      </c>
      <c r="E47" s="2">
        <f>IF(AND($A47&gt;0,N('Dano fixo'!$L$3)&gt;0,OR('Dano fixo'!$G$3="Todos",ISNUMBER(SEARCH(","&amp;'Rotação'!$I47&amp;",",","&amp;SUBSTITUTE('Dano fixo'!$G$3,", ",",")&amp;","))),OR('Dano fixo'!$H$3="",ISNUMBER(SEARCH(","&amp;'Rotação'!$R47&amp;",",","&amp;SUBSTITUTE('Dano fixo'!$H$3,", ",",")&amp;","))),OR('Dano fixo'!$I$3="",ISNUMBER(SEARCH(","&amp;'Rotação'!$K47&amp;",",","&amp;SUBSTITUTE('Dano fixo'!$I$3,", ",",")&amp;",")))),1,0)</f>
        <v>0</v>
      </c>
      <c r="F47" s="2">
        <f t="shared" si="2"/>
        <v>0</v>
      </c>
      <c r="G47" s="2">
        <f>E47*IF('Dano fixo'!$J$3="",$A47,MIN($A47,MAX(0,'Dano fixo'!$J$3-F46)))</f>
        <v>0</v>
      </c>
      <c r="H47" s="2">
        <f>IF(AND($A47&gt;0,N('Dano fixo'!$L$4)&gt;0,OR('Dano fixo'!$G$4="Todos",ISNUMBER(SEARCH(","&amp;'Rotação'!$I47&amp;",",","&amp;SUBSTITUTE('Dano fixo'!$G$4,", ",",")&amp;","))),OR('Dano fixo'!$H$4="",ISNUMBER(SEARCH(","&amp;'Rotação'!$R47&amp;",",","&amp;SUBSTITUTE('Dano fixo'!$H$4,", ",",")&amp;","))),OR('Dano fixo'!$I$4="",ISNUMBER(SEARCH(","&amp;'Rotação'!$K47&amp;",",","&amp;SUBSTITUTE('Dano fixo'!$I$4,", ",",")&amp;",")))),1,0)</f>
        <v>0</v>
      </c>
      <c r="I47" s="2">
        <f t="shared" si="3"/>
        <v>0</v>
      </c>
      <c r="J47" s="2">
        <f>H47*IF('Dano fixo'!$J$4="",$A47,MIN($A47,MAX(0,'Dano fixo'!$J$4-I46)))</f>
        <v>0</v>
      </c>
      <c r="K47" s="2">
        <f>IF(AND($A47&gt;0,N('Dano fixo'!$L$5)&gt;0,OR('Dano fixo'!$G$5="Todos",ISNUMBER(SEARCH(","&amp;'Rotação'!$I47&amp;",",","&amp;SUBSTITUTE('Dano fixo'!$G$5,", ",",")&amp;","))),OR('Dano fixo'!$H$5="",ISNUMBER(SEARCH(","&amp;'Rotação'!$R47&amp;",",","&amp;SUBSTITUTE('Dano fixo'!$H$5,", ",",")&amp;","))),OR('Dano fixo'!$I$5="",ISNUMBER(SEARCH(","&amp;'Rotação'!$K47&amp;",",","&amp;SUBSTITUTE('Dano fixo'!$I$5,", ",",")&amp;",")))),1,0)</f>
        <v>0</v>
      </c>
      <c r="L47" s="2">
        <f t="shared" si="4"/>
        <v>0</v>
      </c>
      <c r="M47" s="2">
        <f>K47*IF('Dano fixo'!$J$5="",$A47,MIN($A47,MAX(0,'Dano fixo'!$J$5-L46)))</f>
        <v>0</v>
      </c>
      <c r="N47" s="2">
        <f>IF(AND($A47&gt;0,N('Dano fixo'!$L$6)&gt;0,OR('Dano fixo'!$G$6="Todos",ISNUMBER(SEARCH(","&amp;'Rotação'!$I47&amp;",",","&amp;SUBSTITUTE('Dano fixo'!$G$6,", ",",")&amp;","))),OR('Dano fixo'!$H$6="",ISNUMBER(SEARCH(","&amp;'Rotação'!$R47&amp;",",","&amp;SUBSTITUTE('Dano fixo'!$H$6,", ",",")&amp;","))),OR('Dano fixo'!$I$6="",ISNUMBER(SEARCH(","&amp;'Rotação'!$K47&amp;",",","&amp;SUBSTITUTE('Dano fixo'!$I$6,", ",",")&amp;",")))),1,0)</f>
        <v>0</v>
      </c>
      <c r="O47" s="2">
        <f t="shared" si="5"/>
        <v>0</v>
      </c>
      <c r="P47" s="2">
        <f>N47*IF('Dano fixo'!$J$6="",$A47,MIN($A47,MAX(0,'Dano fixo'!$J$6-O46)))</f>
        <v>0</v>
      </c>
      <c r="Q47" s="2">
        <f>IF(AND($A47&gt;0,N('Dano fixo'!$L$7)&gt;0,OR('Dano fixo'!$G$7="Todos",ISNUMBER(SEARCH(","&amp;'Rotação'!$I47&amp;",",","&amp;SUBSTITUTE('Dano fixo'!$G$7,", ",",")&amp;","))),OR('Dano fixo'!$H$7="",ISNUMBER(SEARCH(","&amp;'Rotação'!$R47&amp;",",","&amp;SUBSTITUTE('Dano fixo'!$H$7,", ",",")&amp;","))),OR('Dano fixo'!$I$7="",ISNUMBER(SEARCH(","&amp;'Rotação'!$K47&amp;",",","&amp;SUBSTITUTE('Dano fixo'!$I$7,", ",",")&amp;",")))),1,0)</f>
        <v>0</v>
      </c>
      <c r="R47" s="2">
        <f t="shared" si="6"/>
        <v>0</v>
      </c>
      <c r="S47" s="2">
        <f>Q47*IF('Dano fixo'!$J$7="",$A47,MIN($A47,MAX(0,'Dano fixo'!$J$7-R46)))</f>
        <v>0</v>
      </c>
      <c r="T47" s="2">
        <f>IF(AND($A47&gt;0,N('Dano fixo'!$L$8)&gt;0,OR('Dano fixo'!$G$8="Todos",ISNUMBER(SEARCH(","&amp;'Rotação'!$I47&amp;",",","&amp;SUBSTITUTE('Dano fixo'!$G$8,", ",",")&amp;","))),OR('Dano fixo'!$H$8="",ISNUMBER(SEARCH(","&amp;'Rotação'!$R47&amp;",",","&amp;SUBSTITUTE('Dano fixo'!$H$8,", ",",")&amp;","))),OR('Dano fixo'!$I$8="",ISNUMBER(SEARCH(","&amp;'Rotação'!$K47&amp;",",","&amp;SUBSTITUTE('Dano fixo'!$I$8,", ",",")&amp;",")))),1,0)</f>
        <v>0</v>
      </c>
      <c r="U47" s="2">
        <f t="shared" si="7"/>
        <v>0</v>
      </c>
      <c r="V47" s="2">
        <f>T47*IF('Dano fixo'!$J$8="",$A47,MIN($A47,MAX(0,'Dano fixo'!$J$8-U46)))</f>
        <v>0</v>
      </c>
      <c r="W47" s="2">
        <f>IF(AND($A47&gt;0,N('Dano fixo'!$L$9)&gt;0,OR('Dano fixo'!$G$9="Todos",ISNUMBER(SEARCH(","&amp;'Rotação'!$I47&amp;",",","&amp;SUBSTITUTE('Dano fixo'!$G$9,", ",",")&amp;","))),OR('Dano fixo'!$H$9="",ISNUMBER(SEARCH(","&amp;'Rotação'!$R47&amp;",",","&amp;SUBSTITUTE('Dano fixo'!$H$9,", ",",")&amp;","))),OR('Dano fixo'!$I$9="",ISNUMBER(SEARCH(","&amp;'Rotação'!$K47&amp;",",","&amp;SUBSTITUTE('Dano fixo'!$I$9,", ",",")&amp;",")))),1,0)</f>
        <v>0</v>
      </c>
      <c r="X47" s="2">
        <f t="shared" si="8"/>
        <v>0</v>
      </c>
      <c r="Y47" s="2">
        <f>W47*IF('Dano fixo'!$J$9="",$A47,MIN($A47,MAX(0,'Dano fixo'!$J$9-X46)))</f>
        <v>0</v>
      </c>
      <c r="Z47" s="2">
        <f>IF(AND($A47&gt;0,N('Dano fixo'!$L$10)&gt;0,OR('Dano fixo'!$G$10="Todos",ISNUMBER(SEARCH(","&amp;'Rotação'!$I47&amp;",",","&amp;SUBSTITUTE('Dano fixo'!$G$10,", ",",")&amp;","))),OR('Dano fixo'!$H$10="",ISNUMBER(SEARCH(","&amp;'Rotação'!$R47&amp;",",","&amp;SUBSTITUTE('Dano fixo'!$H$10,", ",",")&amp;","))),OR('Dano fixo'!$I$10="",ISNUMBER(SEARCH(","&amp;'Rotação'!$K47&amp;",",","&amp;SUBSTITUTE('Dano fixo'!$I$10,", ",",")&amp;",")))),1,0)</f>
        <v>0</v>
      </c>
      <c r="AA47" s="2">
        <f t="shared" si="9"/>
        <v>0</v>
      </c>
      <c r="AB47" s="2">
        <f>Z47*IF('Dano fixo'!$J$10="",$A47,MIN($A47,MAX(0,'Dano fixo'!$J$10-AA46)))</f>
        <v>0</v>
      </c>
      <c r="AC47" s="2">
        <f>IF(AND($A47&gt;0,N('Dano fixo'!$L$11)&gt;0,OR('Dano fixo'!$G$11="Todos",ISNUMBER(SEARCH(","&amp;'Rotação'!$I47&amp;",",","&amp;SUBSTITUTE('Dano fixo'!$G$11,", ",",")&amp;","))),OR('Dano fixo'!$H$11="",ISNUMBER(SEARCH(","&amp;'Rotação'!$R47&amp;",",","&amp;SUBSTITUTE('Dano fixo'!$H$11,", ",",")&amp;","))),OR('Dano fixo'!$I$11="",ISNUMBER(SEARCH(","&amp;'Rotação'!$K47&amp;",",","&amp;SUBSTITUTE('Dano fixo'!$I$11,", ",",")&amp;",")))),1,0)</f>
        <v>0</v>
      </c>
      <c r="AD47" s="2">
        <f t="shared" si="10"/>
        <v>0</v>
      </c>
      <c r="AE47" s="2">
        <f>AC47*IF('Dano fixo'!$J$11="",$A47,MIN($A47,MAX(0,'Dano fixo'!$J$11-AD46)))</f>
        <v>0</v>
      </c>
      <c r="AF47" s="2">
        <f>D47*'Dano fixo'!$L$2+G47*'Dano fixo'!$L$3+J47*'Dano fixo'!$L$4+M47*'Dano fixo'!$L$5+P47*'Dano fixo'!$L$6+S47*'Dano fixo'!$L$7+V47*'Dano fixo'!$L$8+Y47*'Dano fixo'!$L$9+AB47*'Dano fixo'!$L$10+AE47*'Dano fixo'!$L$11</f>
        <v>0</v>
      </c>
    </row>
    <row r="48" ht="15.75" customHeight="1">
      <c r="A48" s="2">
        <f t="array" ref="A48">IF(ISNUMBER('Rotação'!$J48),IF('Rotação'!$B48="",1,'Rotação'!$B48)*IF(ISNUMBER('Rotação'!$H48),MAX(1,N(INDEX(L_Golpes!$BN$2:$BN$6000,'Rotação'!$H48))),1),0)</f>
        <v>0</v>
      </c>
      <c r="B48" s="2">
        <f>IF(AND($A48&gt;0,N('Dano fixo'!$L$2)&gt;0,OR('Dano fixo'!$G$2="Todos",ISNUMBER(SEARCH(","&amp;'Rotação'!$I48&amp;",",","&amp;SUBSTITUTE('Dano fixo'!$G$2,", ",",")&amp;","))),OR('Dano fixo'!$H$2="",ISNUMBER(SEARCH(","&amp;'Rotação'!$R48&amp;",",","&amp;SUBSTITUTE('Dano fixo'!$H$2,", ",",")&amp;","))),OR('Dano fixo'!$I$2="",ISNUMBER(SEARCH(","&amp;'Rotação'!$K48&amp;",",","&amp;SUBSTITUTE('Dano fixo'!$I$2,", ",",")&amp;",")))),1,0)</f>
        <v>0</v>
      </c>
      <c r="C48" s="2">
        <f t="shared" si="1"/>
        <v>0</v>
      </c>
      <c r="D48" s="2">
        <f>B48*IF('Dano fixo'!$J$2="",$A48,MIN($A48,MAX(0,'Dano fixo'!$J$2-C47)))</f>
        <v>0</v>
      </c>
      <c r="E48" s="2">
        <f>IF(AND($A48&gt;0,N('Dano fixo'!$L$3)&gt;0,OR('Dano fixo'!$G$3="Todos",ISNUMBER(SEARCH(","&amp;'Rotação'!$I48&amp;",",","&amp;SUBSTITUTE('Dano fixo'!$G$3,", ",",")&amp;","))),OR('Dano fixo'!$H$3="",ISNUMBER(SEARCH(","&amp;'Rotação'!$R48&amp;",",","&amp;SUBSTITUTE('Dano fixo'!$H$3,", ",",")&amp;","))),OR('Dano fixo'!$I$3="",ISNUMBER(SEARCH(","&amp;'Rotação'!$K48&amp;",",","&amp;SUBSTITUTE('Dano fixo'!$I$3,", ",",")&amp;",")))),1,0)</f>
        <v>0</v>
      </c>
      <c r="F48" s="2">
        <f t="shared" si="2"/>
        <v>0</v>
      </c>
      <c r="G48" s="2">
        <f>E48*IF('Dano fixo'!$J$3="",$A48,MIN($A48,MAX(0,'Dano fixo'!$J$3-F47)))</f>
        <v>0</v>
      </c>
      <c r="H48" s="2">
        <f>IF(AND($A48&gt;0,N('Dano fixo'!$L$4)&gt;0,OR('Dano fixo'!$G$4="Todos",ISNUMBER(SEARCH(","&amp;'Rotação'!$I48&amp;",",","&amp;SUBSTITUTE('Dano fixo'!$G$4,", ",",")&amp;","))),OR('Dano fixo'!$H$4="",ISNUMBER(SEARCH(","&amp;'Rotação'!$R48&amp;",",","&amp;SUBSTITUTE('Dano fixo'!$H$4,", ",",")&amp;","))),OR('Dano fixo'!$I$4="",ISNUMBER(SEARCH(","&amp;'Rotação'!$K48&amp;",",","&amp;SUBSTITUTE('Dano fixo'!$I$4,", ",",")&amp;",")))),1,0)</f>
        <v>0</v>
      </c>
      <c r="I48" s="2">
        <f t="shared" si="3"/>
        <v>0</v>
      </c>
      <c r="J48" s="2">
        <f>H48*IF('Dano fixo'!$J$4="",$A48,MIN($A48,MAX(0,'Dano fixo'!$J$4-I47)))</f>
        <v>0</v>
      </c>
      <c r="K48" s="2">
        <f>IF(AND($A48&gt;0,N('Dano fixo'!$L$5)&gt;0,OR('Dano fixo'!$G$5="Todos",ISNUMBER(SEARCH(","&amp;'Rotação'!$I48&amp;",",","&amp;SUBSTITUTE('Dano fixo'!$G$5,", ",",")&amp;","))),OR('Dano fixo'!$H$5="",ISNUMBER(SEARCH(","&amp;'Rotação'!$R48&amp;",",","&amp;SUBSTITUTE('Dano fixo'!$H$5,", ",",")&amp;","))),OR('Dano fixo'!$I$5="",ISNUMBER(SEARCH(","&amp;'Rotação'!$K48&amp;",",","&amp;SUBSTITUTE('Dano fixo'!$I$5,", ",",")&amp;",")))),1,0)</f>
        <v>0</v>
      </c>
      <c r="L48" s="2">
        <f t="shared" si="4"/>
        <v>0</v>
      </c>
      <c r="M48" s="2">
        <f>K48*IF('Dano fixo'!$J$5="",$A48,MIN($A48,MAX(0,'Dano fixo'!$J$5-L47)))</f>
        <v>0</v>
      </c>
      <c r="N48" s="2">
        <f>IF(AND($A48&gt;0,N('Dano fixo'!$L$6)&gt;0,OR('Dano fixo'!$G$6="Todos",ISNUMBER(SEARCH(","&amp;'Rotação'!$I48&amp;",",","&amp;SUBSTITUTE('Dano fixo'!$G$6,", ",",")&amp;","))),OR('Dano fixo'!$H$6="",ISNUMBER(SEARCH(","&amp;'Rotação'!$R48&amp;",",","&amp;SUBSTITUTE('Dano fixo'!$H$6,", ",",")&amp;","))),OR('Dano fixo'!$I$6="",ISNUMBER(SEARCH(","&amp;'Rotação'!$K48&amp;",",","&amp;SUBSTITUTE('Dano fixo'!$I$6,", ",",")&amp;",")))),1,0)</f>
        <v>0</v>
      </c>
      <c r="O48" s="2">
        <f t="shared" si="5"/>
        <v>0</v>
      </c>
      <c r="P48" s="2">
        <f>N48*IF('Dano fixo'!$J$6="",$A48,MIN($A48,MAX(0,'Dano fixo'!$J$6-O47)))</f>
        <v>0</v>
      </c>
      <c r="Q48" s="2">
        <f>IF(AND($A48&gt;0,N('Dano fixo'!$L$7)&gt;0,OR('Dano fixo'!$G$7="Todos",ISNUMBER(SEARCH(","&amp;'Rotação'!$I48&amp;",",","&amp;SUBSTITUTE('Dano fixo'!$G$7,", ",",")&amp;","))),OR('Dano fixo'!$H$7="",ISNUMBER(SEARCH(","&amp;'Rotação'!$R48&amp;",",","&amp;SUBSTITUTE('Dano fixo'!$H$7,", ",",")&amp;","))),OR('Dano fixo'!$I$7="",ISNUMBER(SEARCH(","&amp;'Rotação'!$K48&amp;",",","&amp;SUBSTITUTE('Dano fixo'!$I$7,", ",",")&amp;",")))),1,0)</f>
        <v>0</v>
      </c>
      <c r="R48" s="2">
        <f t="shared" si="6"/>
        <v>0</v>
      </c>
      <c r="S48" s="2">
        <f>Q48*IF('Dano fixo'!$J$7="",$A48,MIN($A48,MAX(0,'Dano fixo'!$J$7-R47)))</f>
        <v>0</v>
      </c>
      <c r="T48" s="2">
        <f>IF(AND($A48&gt;0,N('Dano fixo'!$L$8)&gt;0,OR('Dano fixo'!$G$8="Todos",ISNUMBER(SEARCH(","&amp;'Rotação'!$I48&amp;",",","&amp;SUBSTITUTE('Dano fixo'!$G$8,", ",",")&amp;","))),OR('Dano fixo'!$H$8="",ISNUMBER(SEARCH(","&amp;'Rotação'!$R48&amp;",",","&amp;SUBSTITUTE('Dano fixo'!$H$8,", ",",")&amp;","))),OR('Dano fixo'!$I$8="",ISNUMBER(SEARCH(","&amp;'Rotação'!$K48&amp;",",","&amp;SUBSTITUTE('Dano fixo'!$I$8,", ",",")&amp;",")))),1,0)</f>
        <v>0</v>
      </c>
      <c r="U48" s="2">
        <f t="shared" si="7"/>
        <v>0</v>
      </c>
      <c r="V48" s="2">
        <f>T48*IF('Dano fixo'!$J$8="",$A48,MIN($A48,MAX(0,'Dano fixo'!$J$8-U47)))</f>
        <v>0</v>
      </c>
      <c r="W48" s="2">
        <f>IF(AND($A48&gt;0,N('Dano fixo'!$L$9)&gt;0,OR('Dano fixo'!$G$9="Todos",ISNUMBER(SEARCH(","&amp;'Rotação'!$I48&amp;",",","&amp;SUBSTITUTE('Dano fixo'!$G$9,", ",",")&amp;","))),OR('Dano fixo'!$H$9="",ISNUMBER(SEARCH(","&amp;'Rotação'!$R48&amp;",",","&amp;SUBSTITUTE('Dano fixo'!$H$9,", ",",")&amp;","))),OR('Dano fixo'!$I$9="",ISNUMBER(SEARCH(","&amp;'Rotação'!$K48&amp;",",","&amp;SUBSTITUTE('Dano fixo'!$I$9,", ",",")&amp;",")))),1,0)</f>
        <v>0</v>
      </c>
      <c r="X48" s="2">
        <f t="shared" si="8"/>
        <v>0</v>
      </c>
      <c r="Y48" s="2">
        <f>W48*IF('Dano fixo'!$J$9="",$A48,MIN($A48,MAX(0,'Dano fixo'!$J$9-X47)))</f>
        <v>0</v>
      </c>
      <c r="Z48" s="2">
        <f>IF(AND($A48&gt;0,N('Dano fixo'!$L$10)&gt;0,OR('Dano fixo'!$G$10="Todos",ISNUMBER(SEARCH(","&amp;'Rotação'!$I48&amp;",",","&amp;SUBSTITUTE('Dano fixo'!$G$10,", ",",")&amp;","))),OR('Dano fixo'!$H$10="",ISNUMBER(SEARCH(","&amp;'Rotação'!$R48&amp;",",","&amp;SUBSTITUTE('Dano fixo'!$H$10,", ",",")&amp;","))),OR('Dano fixo'!$I$10="",ISNUMBER(SEARCH(","&amp;'Rotação'!$K48&amp;",",","&amp;SUBSTITUTE('Dano fixo'!$I$10,", ",",")&amp;",")))),1,0)</f>
        <v>0</v>
      </c>
      <c r="AA48" s="2">
        <f t="shared" si="9"/>
        <v>0</v>
      </c>
      <c r="AB48" s="2">
        <f>Z48*IF('Dano fixo'!$J$10="",$A48,MIN($A48,MAX(0,'Dano fixo'!$J$10-AA47)))</f>
        <v>0</v>
      </c>
      <c r="AC48" s="2">
        <f>IF(AND($A48&gt;0,N('Dano fixo'!$L$11)&gt;0,OR('Dano fixo'!$G$11="Todos",ISNUMBER(SEARCH(","&amp;'Rotação'!$I48&amp;",",","&amp;SUBSTITUTE('Dano fixo'!$G$11,", ",",")&amp;","))),OR('Dano fixo'!$H$11="",ISNUMBER(SEARCH(","&amp;'Rotação'!$R48&amp;",",","&amp;SUBSTITUTE('Dano fixo'!$H$11,", ",",")&amp;","))),OR('Dano fixo'!$I$11="",ISNUMBER(SEARCH(","&amp;'Rotação'!$K48&amp;",",","&amp;SUBSTITUTE('Dano fixo'!$I$11,", ",",")&amp;",")))),1,0)</f>
        <v>0</v>
      </c>
      <c r="AD48" s="2">
        <f t="shared" si="10"/>
        <v>0</v>
      </c>
      <c r="AE48" s="2">
        <f>AC48*IF('Dano fixo'!$J$11="",$A48,MIN($A48,MAX(0,'Dano fixo'!$J$11-AD47)))</f>
        <v>0</v>
      </c>
      <c r="AF48" s="2">
        <f>D48*'Dano fixo'!$L$2+G48*'Dano fixo'!$L$3+J48*'Dano fixo'!$L$4+M48*'Dano fixo'!$L$5+P48*'Dano fixo'!$L$6+S48*'Dano fixo'!$L$7+V48*'Dano fixo'!$L$8+Y48*'Dano fixo'!$L$9+AB48*'Dano fixo'!$L$10+AE48*'Dano fixo'!$L$11</f>
        <v>0</v>
      </c>
    </row>
    <row r="49" ht="15.75" customHeight="1">
      <c r="A49" s="2">
        <f t="array" ref="A49">IF(ISNUMBER('Rotação'!$J49),IF('Rotação'!$B49="",1,'Rotação'!$B49)*IF(ISNUMBER('Rotação'!$H49),MAX(1,N(INDEX(L_Golpes!$BN$2:$BN$6000,'Rotação'!$H49))),1),0)</f>
        <v>0</v>
      </c>
      <c r="B49" s="2">
        <f>IF(AND($A49&gt;0,N('Dano fixo'!$L$2)&gt;0,OR('Dano fixo'!$G$2="Todos",ISNUMBER(SEARCH(","&amp;'Rotação'!$I49&amp;",",","&amp;SUBSTITUTE('Dano fixo'!$G$2,", ",",")&amp;","))),OR('Dano fixo'!$H$2="",ISNUMBER(SEARCH(","&amp;'Rotação'!$R49&amp;",",","&amp;SUBSTITUTE('Dano fixo'!$H$2,", ",",")&amp;","))),OR('Dano fixo'!$I$2="",ISNUMBER(SEARCH(","&amp;'Rotação'!$K49&amp;",",","&amp;SUBSTITUTE('Dano fixo'!$I$2,", ",",")&amp;",")))),1,0)</f>
        <v>0</v>
      </c>
      <c r="C49" s="2">
        <f t="shared" si="1"/>
        <v>0</v>
      </c>
      <c r="D49" s="2">
        <f>B49*IF('Dano fixo'!$J$2="",$A49,MIN($A49,MAX(0,'Dano fixo'!$J$2-C48)))</f>
        <v>0</v>
      </c>
      <c r="E49" s="2">
        <f>IF(AND($A49&gt;0,N('Dano fixo'!$L$3)&gt;0,OR('Dano fixo'!$G$3="Todos",ISNUMBER(SEARCH(","&amp;'Rotação'!$I49&amp;",",","&amp;SUBSTITUTE('Dano fixo'!$G$3,", ",",")&amp;","))),OR('Dano fixo'!$H$3="",ISNUMBER(SEARCH(","&amp;'Rotação'!$R49&amp;",",","&amp;SUBSTITUTE('Dano fixo'!$H$3,", ",",")&amp;","))),OR('Dano fixo'!$I$3="",ISNUMBER(SEARCH(","&amp;'Rotação'!$K49&amp;",",","&amp;SUBSTITUTE('Dano fixo'!$I$3,", ",",")&amp;",")))),1,0)</f>
        <v>0</v>
      </c>
      <c r="F49" s="2">
        <f t="shared" si="2"/>
        <v>0</v>
      </c>
      <c r="G49" s="2">
        <f>E49*IF('Dano fixo'!$J$3="",$A49,MIN($A49,MAX(0,'Dano fixo'!$J$3-F48)))</f>
        <v>0</v>
      </c>
      <c r="H49" s="2">
        <f>IF(AND($A49&gt;0,N('Dano fixo'!$L$4)&gt;0,OR('Dano fixo'!$G$4="Todos",ISNUMBER(SEARCH(","&amp;'Rotação'!$I49&amp;",",","&amp;SUBSTITUTE('Dano fixo'!$G$4,", ",",")&amp;","))),OR('Dano fixo'!$H$4="",ISNUMBER(SEARCH(","&amp;'Rotação'!$R49&amp;",",","&amp;SUBSTITUTE('Dano fixo'!$H$4,", ",",")&amp;","))),OR('Dano fixo'!$I$4="",ISNUMBER(SEARCH(","&amp;'Rotação'!$K49&amp;",",","&amp;SUBSTITUTE('Dano fixo'!$I$4,", ",",")&amp;",")))),1,0)</f>
        <v>0</v>
      </c>
      <c r="I49" s="2">
        <f t="shared" si="3"/>
        <v>0</v>
      </c>
      <c r="J49" s="2">
        <f>H49*IF('Dano fixo'!$J$4="",$A49,MIN($A49,MAX(0,'Dano fixo'!$J$4-I48)))</f>
        <v>0</v>
      </c>
      <c r="K49" s="2">
        <f>IF(AND($A49&gt;0,N('Dano fixo'!$L$5)&gt;0,OR('Dano fixo'!$G$5="Todos",ISNUMBER(SEARCH(","&amp;'Rotação'!$I49&amp;",",","&amp;SUBSTITUTE('Dano fixo'!$G$5,", ",",")&amp;","))),OR('Dano fixo'!$H$5="",ISNUMBER(SEARCH(","&amp;'Rotação'!$R49&amp;",",","&amp;SUBSTITUTE('Dano fixo'!$H$5,", ",",")&amp;","))),OR('Dano fixo'!$I$5="",ISNUMBER(SEARCH(","&amp;'Rotação'!$K49&amp;",",","&amp;SUBSTITUTE('Dano fixo'!$I$5,", ",",")&amp;",")))),1,0)</f>
        <v>0</v>
      </c>
      <c r="L49" s="2">
        <f t="shared" si="4"/>
        <v>0</v>
      </c>
      <c r="M49" s="2">
        <f>K49*IF('Dano fixo'!$J$5="",$A49,MIN($A49,MAX(0,'Dano fixo'!$J$5-L48)))</f>
        <v>0</v>
      </c>
      <c r="N49" s="2">
        <f>IF(AND($A49&gt;0,N('Dano fixo'!$L$6)&gt;0,OR('Dano fixo'!$G$6="Todos",ISNUMBER(SEARCH(","&amp;'Rotação'!$I49&amp;",",","&amp;SUBSTITUTE('Dano fixo'!$G$6,", ",",")&amp;","))),OR('Dano fixo'!$H$6="",ISNUMBER(SEARCH(","&amp;'Rotação'!$R49&amp;",",","&amp;SUBSTITUTE('Dano fixo'!$H$6,", ",",")&amp;","))),OR('Dano fixo'!$I$6="",ISNUMBER(SEARCH(","&amp;'Rotação'!$K49&amp;",",","&amp;SUBSTITUTE('Dano fixo'!$I$6,", ",",")&amp;",")))),1,0)</f>
        <v>0</v>
      </c>
      <c r="O49" s="2">
        <f t="shared" si="5"/>
        <v>0</v>
      </c>
      <c r="P49" s="2">
        <f>N49*IF('Dano fixo'!$J$6="",$A49,MIN($A49,MAX(0,'Dano fixo'!$J$6-O48)))</f>
        <v>0</v>
      </c>
      <c r="Q49" s="2">
        <f>IF(AND($A49&gt;0,N('Dano fixo'!$L$7)&gt;0,OR('Dano fixo'!$G$7="Todos",ISNUMBER(SEARCH(","&amp;'Rotação'!$I49&amp;",",","&amp;SUBSTITUTE('Dano fixo'!$G$7,", ",",")&amp;","))),OR('Dano fixo'!$H$7="",ISNUMBER(SEARCH(","&amp;'Rotação'!$R49&amp;",",","&amp;SUBSTITUTE('Dano fixo'!$H$7,", ",",")&amp;","))),OR('Dano fixo'!$I$7="",ISNUMBER(SEARCH(","&amp;'Rotação'!$K49&amp;",",","&amp;SUBSTITUTE('Dano fixo'!$I$7,", ",",")&amp;",")))),1,0)</f>
        <v>0</v>
      </c>
      <c r="R49" s="2">
        <f t="shared" si="6"/>
        <v>0</v>
      </c>
      <c r="S49" s="2">
        <f>Q49*IF('Dano fixo'!$J$7="",$A49,MIN($A49,MAX(0,'Dano fixo'!$J$7-R48)))</f>
        <v>0</v>
      </c>
      <c r="T49" s="2">
        <f>IF(AND($A49&gt;0,N('Dano fixo'!$L$8)&gt;0,OR('Dano fixo'!$G$8="Todos",ISNUMBER(SEARCH(","&amp;'Rotação'!$I49&amp;",",","&amp;SUBSTITUTE('Dano fixo'!$G$8,", ",",")&amp;","))),OR('Dano fixo'!$H$8="",ISNUMBER(SEARCH(","&amp;'Rotação'!$R49&amp;",",","&amp;SUBSTITUTE('Dano fixo'!$H$8,", ",",")&amp;","))),OR('Dano fixo'!$I$8="",ISNUMBER(SEARCH(","&amp;'Rotação'!$K49&amp;",",","&amp;SUBSTITUTE('Dano fixo'!$I$8,", ",",")&amp;",")))),1,0)</f>
        <v>0</v>
      </c>
      <c r="U49" s="2">
        <f t="shared" si="7"/>
        <v>0</v>
      </c>
      <c r="V49" s="2">
        <f>T49*IF('Dano fixo'!$J$8="",$A49,MIN($A49,MAX(0,'Dano fixo'!$J$8-U48)))</f>
        <v>0</v>
      </c>
      <c r="W49" s="2">
        <f>IF(AND($A49&gt;0,N('Dano fixo'!$L$9)&gt;0,OR('Dano fixo'!$G$9="Todos",ISNUMBER(SEARCH(","&amp;'Rotação'!$I49&amp;",",","&amp;SUBSTITUTE('Dano fixo'!$G$9,", ",",")&amp;","))),OR('Dano fixo'!$H$9="",ISNUMBER(SEARCH(","&amp;'Rotação'!$R49&amp;",",","&amp;SUBSTITUTE('Dano fixo'!$H$9,", ",",")&amp;","))),OR('Dano fixo'!$I$9="",ISNUMBER(SEARCH(","&amp;'Rotação'!$K49&amp;",",","&amp;SUBSTITUTE('Dano fixo'!$I$9,", ",",")&amp;",")))),1,0)</f>
        <v>0</v>
      </c>
      <c r="X49" s="2">
        <f t="shared" si="8"/>
        <v>0</v>
      </c>
      <c r="Y49" s="2">
        <f>W49*IF('Dano fixo'!$J$9="",$A49,MIN($A49,MAX(0,'Dano fixo'!$J$9-X48)))</f>
        <v>0</v>
      </c>
      <c r="Z49" s="2">
        <f>IF(AND($A49&gt;0,N('Dano fixo'!$L$10)&gt;0,OR('Dano fixo'!$G$10="Todos",ISNUMBER(SEARCH(","&amp;'Rotação'!$I49&amp;",",","&amp;SUBSTITUTE('Dano fixo'!$G$10,", ",",")&amp;","))),OR('Dano fixo'!$H$10="",ISNUMBER(SEARCH(","&amp;'Rotação'!$R49&amp;",",","&amp;SUBSTITUTE('Dano fixo'!$H$10,", ",",")&amp;","))),OR('Dano fixo'!$I$10="",ISNUMBER(SEARCH(","&amp;'Rotação'!$K49&amp;",",","&amp;SUBSTITUTE('Dano fixo'!$I$10,", ",",")&amp;",")))),1,0)</f>
        <v>0</v>
      </c>
      <c r="AA49" s="2">
        <f t="shared" si="9"/>
        <v>0</v>
      </c>
      <c r="AB49" s="2">
        <f>Z49*IF('Dano fixo'!$J$10="",$A49,MIN($A49,MAX(0,'Dano fixo'!$J$10-AA48)))</f>
        <v>0</v>
      </c>
      <c r="AC49" s="2">
        <f>IF(AND($A49&gt;0,N('Dano fixo'!$L$11)&gt;0,OR('Dano fixo'!$G$11="Todos",ISNUMBER(SEARCH(","&amp;'Rotação'!$I49&amp;",",","&amp;SUBSTITUTE('Dano fixo'!$G$11,", ",",")&amp;","))),OR('Dano fixo'!$H$11="",ISNUMBER(SEARCH(","&amp;'Rotação'!$R49&amp;",",","&amp;SUBSTITUTE('Dano fixo'!$H$11,", ",",")&amp;","))),OR('Dano fixo'!$I$11="",ISNUMBER(SEARCH(","&amp;'Rotação'!$K49&amp;",",","&amp;SUBSTITUTE('Dano fixo'!$I$11,", ",",")&amp;",")))),1,0)</f>
        <v>0</v>
      </c>
      <c r="AD49" s="2">
        <f t="shared" si="10"/>
        <v>0</v>
      </c>
      <c r="AE49" s="2">
        <f>AC49*IF('Dano fixo'!$J$11="",$A49,MIN($A49,MAX(0,'Dano fixo'!$J$11-AD48)))</f>
        <v>0</v>
      </c>
      <c r="AF49" s="2">
        <f>D49*'Dano fixo'!$L$2+G49*'Dano fixo'!$L$3+J49*'Dano fixo'!$L$4+M49*'Dano fixo'!$L$5+P49*'Dano fixo'!$L$6+S49*'Dano fixo'!$L$7+V49*'Dano fixo'!$L$8+Y49*'Dano fixo'!$L$9+AB49*'Dano fixo'!$L$10+AE49*'Dano fixo'!$L$11</f>
        <v>0</v>
      </c>
    </row>
    <row r="50" ht="15.75" customHeight="1">
      <c r="A50" s="2">
        <f t="array" ref="A50">IF(ISNUMBER('Rotação'!$J50),IF('Rotação'!$B50="",1,'Rotação'!$B50)*IF(ISNUMBER('Rotação'!$H50),MAX(1,N(INDEX(L_Golpes!$BN$2:$BN$6000,'Rotação'!$H50))),1),0)</f>
        <v>0</v>
      </c>
      <c r="B50" s="2">
        <f>IF(AND($A50&gt;0,N('Dano fixo'!$L$2)&gt;0,OR('Dano fixo'!$G$2="Todos",ISNUMBER(SEARCH(","&amp;'Rotação'!$I50&amp;",",","&amp;SUBSTITUTE('Dano fixo'!$G$2,", ",",")&amp;","))),OR('Dano fixo'!$H$2="",ISNUMBER(SEARCH(","&amp;'Rotação'!$R50&amp;",",","&amp;SUBSTITUTE('Dano fixo'!$H$2,", ",",")&amp;","))),OR('Dano fixo'!$I$2="",ISNUMBER(SEARCH(","&amp;'Rotação'!$K50&amp;",",","&amp;SUBSTITUTE('Dano fixo'!$I$2,", ",",")&amp;",")))),1,0)</f>
        <v>0</v>
      </c>
      <c r="C50" s="2">
        <f t="shared" si="1"/>
        <v>0</v>
      </c>
      <c r="D50" s="2">
        <f>B50*IF('Dano fixo'!$J$2="",$A50,MIN($A50,MAX(0,'Dano fixo'!$J$2-C49)))</f>
        <v>0</v>
      </c>
      <c r="E50" s="2">
        <f>IF(AND($A50&gt;0,N('Dano fixo'!$L$3)&gt;0,OR('Dano fixo'!$G$3="Todos",ISNUMBER(SEARCH(","&amp;'Rotação'!$I50&amp;",",","&amp;SUBSTITUTE('Dano fixo'!$G$3,", ",",")&amp;","))),OR('Dano fixo'!$H$3="",ISNUMBER(SEARCH(","&amp;'Rotação'!$R50&amp;",",","&amp;SUBSTITUTE('Dano fixo'!$H$3,", ",",")&amp;","))),OR('Dano fixo'!$I$3="",ISNUMBER(SEARCH(","&amp;'Rotação'!$K50&amp;",",","&amp;SUBSTITUTE('Dano fixo'!$I$3,", ",",")&amp;",")))),1,0)</f>
        <v>0</v>
      </c>
      <c r="F50" s="2">
        <f t="shared" si="2"/>
        <v>0</v>
      </c>
      <c r="G50" s="2">
        <f>E50*IF('Dano fixo'!$J$3="",$A50,MIN($A50,MAX(0,'Dano fixo'!$J$3-F49)))</f>
        <v>0</v>
      </c>
      <c r="H50" s="2">
        <f>IF(AND($A50&gt;0,N('Dano fixo'!$L$4)&gt;0,OR('Dano fixo'!$G$4="Todos",ISNUMBER(SEARCH(","&amp;'Rotação'!$I50&amp;",",","&amp;SUBSTITUTE('Dano fixo'!$G$4,", ",",")&amp;","))),OR('Dano fixo'!$H$4="",ISNUMBER(SEARCH(","&amp;'Rotação'!$R50&amp;",",","&amp;SUBSTITUTE('Dano fixo'!$H$4,", ",",")&amp;","))),OR('Dano fixo'!$I$4="",ISNUMBER(SEARCH(","&amp;'Rotação'!$K50&amp;",",","&amp;SUBSTITUTE('Dano fixo'!$I$4,", ",",")&amp;",")))),1,0)</f>
        <v>0</v>
      </c>
      <c r="I50" s="2">
        <f t="shared" si="3"/>
        <v>0</v>
      </c>
      <c r="J50" s="2">
        <f>H50*IF('Dano fixo'!$J$4="",$A50,MIN($A50,MAX(0,'Dano fixo'!$J$4-I49)))</f>
        <v>0</v>
      </c>
      <c r="K50" s="2">
        <f>IF(AND($A50&gt;0,N('Dano fixo'!$L$5)&gt;0,OR('Dano fixo'!$G$5="Todos",ISNUMBER(SEARCH(","&amp;'Rotação'!$I50&amp;",",","&amp;SUBSTITUTE('Dano fixo'!$G$5,", ",",")&amp;","))),OR('Dano fixo'!$H$5="",ISNUMBER(SEARCH(","&amp;'Rotação'!$R50&amp;",",","&amp;SUBSTITUTE('Dano fixo'!$H$5,", ",",")&amp;","))),OR('Dano fixo'!$I$5="",ISNUMBER(SEARCH(","&amp;'Rotação'!$K50&amp;",",","&amp;SUBSTITUTE('Dano fixo'!$I$5,", ",",")&amp;",")))),1,0)</f>
        <v>0</v>
      </c>
      <c r="L50" s="2">
        <f t="shared" si="4"/>
        <v>0</v>
      </c>
      <c r="M50" s="2">
        <f>K50*IF('Dano fixo'!$J$5="",$A50,MIN($A50,MAX(0,'Dano fixo'!$J$5-L49)))</f>
        <v>0</v>
      </c>
      <c r="N50" s="2">
        <f>IF(AND($A50&gt;0,N('Dano fixo'!$L$6)&gt;0,OR('Dano fixo'!$G$6="Todos",ISNUMBER(SEARCH(","&amp;'Rotação'!$I50&amp;",",","&amp;SUBSTITUTE('Dano fixo'!$G$6,", ",",")&amp;","))),OR('Dano fixo'!$H$6="",ISNUMBER(SEARCH(","&amp;'Rotação'!$R50&amp;",",","&amp;SUBSTITUTE('Dano fixo'!$H$6,", ",",")&amp;","))),OR('Dano fixo'!$I$6="",ISNUMBER(SEARCH(","&amp;'Rotação'!$K50&amp;",",","&amp;SUBSTITUTE('Dano fixo'!$I$6,", ",",")&amp;",")))),1,0)</f>
        <v>0</v>
      </c>
      <c r="O50" s="2">
        <f t="shared" si="5"/>
        <v>0</v>
      </c>
      <c r="P50" s="2">
        <f>N50*IF('Dano fixo'!$J$6="",$A50,MIN($A50,MAX(0,'Dano fixo'!$J$6-O49)))</f>
        <v>0</v>
      </c>
      <c r="Q50" s="2">
        <f>IF(AND($A50&gt;0,N('Dano fixo'!$L$7)&gt;0,OR('Dano fixo'!$G$7="Todos",ISNUMBER(SEARCH(","&amp;'Rotação'!$I50&amp;",",","&amp;SUBSTITUTE('Dano fixo'!$G$7,", ",",")&amp;","))),OR('Dano fixo'!$H$7="",ISNUMBER(SEARCH(","&amp;'Rotação'!$R50&amp;",",","&amp;SUBSTITUTE('Dano fixo'!$H$7,", ",",")&amp;","))),OR('Dano fixo'!$I$7="",ISNUMBER(SEARCH(","&amp;'Rotação'!$K50&amp;",",","&amp;SUBSTITUTE('Dano fixo'!$I$7,", ",",")&amp;",")))),1,0)</f>
        <v>0</v>
      </c>
      <c r="R50" s="2">
        <f t="shared" si="6"/>
        <v>0</v>
      </c>
      <c r="S50" s="2">
        <f>Q50*IF('Dano fixo'!$J$7="",$A50,MIN($A50,MAX(0,'Dano fixo'!$J$7-R49)))</f>
        <v>0</v>
      </c>
      <c r="T50" s="2">
        <f>IF(AND($A50&gt;0,N('Dano fixo'!$L$8)&gt;0,OR('Dano fixo'!$G$8="Todos",ISNUMBER(SEARCH(","&amp;'Rotação'!$I50&amp;",",","&amp;SUBSTITUTE('Dano fixo'!$G$8,", ",",")&amp;","))),OR('Dano fixo'!$H$8="",ISNUMBER(SEARCH(","&amp;'Rotação'!$R50&amp;",",","&amp;SUBSTITUTE('Dano fixo'!$H$8,", ",",")&amp;","))),OR('Dano fixo'!$I$8="",ISNUMBER(SEARCH(","&amp;'Rotação'!$K50&amp;",",","&amp;SUBSTITUTE('Dano fixo'!$I$8,", ",",")&amp;",")))),1,0)</f>
        <v>0</v>
      </c>
      <c r="U50" s="2">
        <f t="shared" si="7"/>
        <v>0</v>
      </c>
      <c r="V50" s="2">
        <f>T50*IF('Dano fixo'!$J$8="",$A50,MIN($A50,MAX(0,'Dano fixo'!$J$8-U49)))</f>
        <v>0</v>
      </c>
      <c r="W50" s="2">
        <f>IF(AND($A50&gt;0,N('Dano fixo'!$L$9)&gt;0,OR('Dano fixo'!$G$9="Todos",ISNUMBER(SEARCH(","&amp;'Rotação'!$I50&amp;",",","&amp;SUBSTITUTE('Dano fixo'!$G$9,", ",",")&amp;","))),OR('Dano fixo'!$H$9="",ISNUMBER(SEARCH(","&amp;'Rotação'!$R50&amp;",",","&amp;SUBSTITUTE('Dano fixo'!$H$9,", ",",")&amp;","))),OR('Dano fixo'!$I$9="",ISNUMBER(SEARCH(","&amp;'Rotação'!$K50&amp;",",","&amp;SUBSTITUTE('Dano fixo'!$I$9,", ",",")&amp;",")))),1,0)</f>
        <v>0</v>
      </c>
      <c r="X50" s="2">
        <f t="shared" si="8"/>
        <v>0</v>
      </c>
      <c r="Y50" s="2">
        <f>W50*IF('Dano fixo'!$J$9="",$A50,MIN($A50,MAX(0,'Dano fixo'!$J$9-X49)))</f>
        <v>0</v>
      </c>
      <c r="Z50" s="2">
        <f>IF(AND($A50&gt;0,N('Dano fixo'!$L$10)&gt;0,OR('Dano fixo'!$G$10="Todos",ISNUMBER(SEARCH(","&amp;'Rotação'!$I50&amp;",",","&amp;SUBSTITUTE('Dano fixo'!$G$10,", ",",")&amp;","))),OR('Dano fixo'!$H$10="",ISNUMBER(SEARCH(","&amp;'Rotação'!$R50&amp;",",","&amp;SUBSTITUTE('Dano fixo'!$H$10,", ",",")&amp;","))),OR('Dano fixo'!$I$10="",ISNUMBER(SEARCH(","&amp;'Rotação'!$K50&amp;",",","&amp;SUBSTITUTE('Dano fixo'!$I$10,", ",",")&amp;",")))),1,0)</f>
        <v>0</v>
      </c>
      <c r="AA50" s="2">
        <f t="shared" si="9"/>
        <v>0</v>
      </c>
      <c r="AB50" s="2">
        <f>Z50*IF('Dano fixo'!$J$10="",$A50,MIN($A50,MAX(0,'Dano fixo'!$J$10-AA49)))</f>
        <v>0</v>
      </c>
      <c r="AC50" s="2">
        <f>IF(AND($A50&gt;0,N('Dano fixo'!$L$11)&gt;0,OR('Dano fixo'!$G$11="Todos",ISNUMBER(SEARCH(","&amp;'Rotação'!$I50&amp;",",","&amp;SUBSTITUTE('Dano fixo'!$G$11,", ",",")&amp;","))),OR('Dano fixo'!$H$11="",ISNUMBER(SEARCH(","&amp;'Rotação'!$R50&amp;",",","&amp;SUBSTITUTE('Dano fixo'!$H$11,", ",",")&amp;","))),OR('Dano fixo'!$I$11="",ISNUMBER(SEARCH(","&amp;'Rotação'!$K50&amp;",",","&amp;SUBSTITUTE('Dano fixo'!$I$11,", ",",")&amp;",")))),1,0)</f>
        <v>0</v>
      </c>
      <c r="AD50" s="2">
        <f t="shared" si="10"/>
        <v>0</v>
      </c>
      <c r="AE50" s="2">
        <f>AC50*IF('Dano fixo'!$J$11="",$A50,MIN($A50,MAX(0,'Dano fixo'!$J$11-AD49)))</f>
        <v>0</v>
      </c>
      <c r="AF50" s="2">
        <f>D50*'Dano fixo'!$L$2+G50*'Dano fixo'!$L$3+J50*'Dano fixo'!$L$4+M50*'Dano fixo'!$L$5+P50*'Dano fixo'!$L$6+S50*'Dano fixo'!$L$7+V50*'Dano fixo'!$L$8+Y50*'Dano fixo'!$L$9+AB50*'Dano fixo'!$L$10+AE50*'Dano fixo'!$L$11</f>
        <v>0</v>
      </c>
    </row>
    <row r="51" ht="15.75" customHeight="1">
      <c r="A51" s="2">
        <f t="array" ref="A51">IF(ISNUMBER('Rotação'!$J51),IF('Rotação'!$B51="",1,'Rotação'!$B51)*IF(ISNUMBER('Rotação'!$H51),MAX(1,N(INDEX(L_Golpes!$BN$2:$BN$6000,'Rotação'!$H51))),1),0)</f>
        <v>0</v>
      </c>
      <c r="B51" s="2">
        <f>IF(AND($A51&gt;0,N('Dano fixo'!$L$2)&gt;0,OR('Dano fixo'!$G$2="Todos",ISNUMBER(SEARCH(","&amp;'Rotação'!$I51&amp;",",","&amp;SUBSTITUTE('Dano fixo'!$G$2,", ",",")&amp;","))),OR('Dano fixo'!$H$2="",ISNUMBER(SEARCH(","&amp;'Rotação'!$R51&amp;",",","&amp;SUBSTITUTE('Dano fixo'!$H$2,", ",",")&amp;","))),OR('Dano fixo'!$I$2="",ISNUMBER(SEARCH(","&amp;'Rotação'!$K51&amp;",",","&amp;SUBSTITUTE('Dano fixo'!$I$2,", ",",")&amp;",")))),1,0)</f>
        <v>0</v>
      </c>
      <c r="C51" s="2">
        <f t="shared" si="1"/>
        <v>0</v>
      </c>
      <c r="D51" s="2">
        <f>B51*IF('Dano fixo'!$J$2="",$A51,MIN($A51,MAX(0,'Dano fixo'!$J$2-C50)))</f>
        <v>0</v>
      </c>
      <c r="E51" s="2">
        <f>IF(AND($A51&gt;0,N('Dano fixo'!$L$3)&gt;0,OR('Dano fixo'!$G$3="Todos",ISNUMBER(SEARCH(","&amp;'Rotação'!$I51&amp;",",","&amp;SUBSTITUTE('Dano fixo'!$G$3,", ",",")&amp;","))),OR('Dano fixo'!$H$3="",ISNUMBER(SEARCH(","&amp;'Rotação'!$R51&amp;",",","&amp;SUBSTITUTE('Dano fixo'!$H$3,", ",",")&amp;","))),OR('Dano fixo'!$I$3="",ISNUMBER(SEARCH(","&amp;'Rotação'!$K51&amp;",",","&amp;SUBSTITUTE('Dano fixo'!$I$3,", ",",")&amp;",")))),1,0)</f>
        <v>0</v>
      </c>
      <c r="F51" s="2">
        <f t="shared" si="2"/>
        <v>0</v>
      </c>
      <c r="G51" s="2">
        <f>E51*IF('Dano fixo'!$J$3="",$A51,MIN($A51,MAX(0,'Dano fixo'!$J$3-F50)))</f>
        <v>0</v>
      </c>
      <c r="H51" s="2">
        <f>IF(AND($A51&gt;0,N('Dano fixo'!$L$4)&gt;0,OR('Dano fixo'!$G$4="Todos",ISNUMBER(SEARCH(","&amp;'Rotação'!$I51&amp;",",","&amp;SUBSTITUTE('Dano fixo'!$G$4,", ",",")&amp;","))),OR('Dano fixo'!$H$4="",ISNUMBER(SEARCH(","&amp;'Rotação'!$R51&amp;",",","&amp;SUBSTITUTE('Dano fixo'!$H$4,", ",",")&amp;","))),OR('Dano fixo'!$I$4="",ISNUMBER(SEARCH(","&amp;'Rotação'!$K51&amp;",",","&amp;SUBSTITUTE('Dano fixo'!$I$4,", ",",")&amp;",")))),1,0)</f>
        <v>0</v>
      </c>
      <c r="I51" s="2">
        <f t="shared" si="3"/>
        <v>0</v>
      </c>
      <c r="J51" s="2">
        <f>H51*IF('Dano fixo'!$J$4="",$A51,MIN($A51,MAX(0,'Dano fixo'!$J$4-I50)))</f>
        <v>0</v>
      </c>
      <c r="K51" s="2">
        <f>IF(AND($A51&gt;0,N('Dano fixo'!$L$5)&gt;0,OR('Dano fixo'!$G$5="Todos",ISNUMBER(SEARCH(","&amp;'Rotação'!$I51&amp;",",","&amp;SUBSTITUTE('Dano fixo'!$G$5,", ",",")&amp;","))),OR('Dano fixo'!$H$5="",ISNUMBER(SEARCH(","&amp;'Rotação'!$R51&amp;",",","&amp;SUBSTITUTE('Dano fixo'!$H$5,", ",",")&amp;","))),OR('Dano fixo'!$I$5="",ISNUMBER(SEARCH(","&amp;'Rotação'!$K51&amp;",",","&amp;SUBSTITUTE('Dano fixo'!$I$5,", ",",")&amp;",")))),1,0)</f>
        <v>0</v>
      </c>
      <c r="L51" s="2">
        <f t="shared" si="4"/>
        <v>0</v>
      </c>
      <c r="M51" s="2">
        <f>K51*IF('Dano fixo'!$J$5="",$A51,MIN($A51,MAX(0,'Dano fixo'!$J$5-L50)))</f>
        <v>0</v>
      </c>
      <c r="N51" s="2">
        <f>IF(AND($A51&gt;0,N('Dano fixo'!$L$6)&gt;0,OR('Dano fixo'!$G$6="Todos",ISNUMBER(SEARCH(","&amp;'Rotação'!$I51&amp;",",","&amp;SUBSTITUTE('Dano fixo'!$G$6,", ",",")&amp;","))),OR('Dano fixo'!$H$6="",ISNUMBER(SEARCH(","&amp;'Rotação'!$R51&amp;",",","&amp;SUBSTITUTE('Dano fixo'!$H$6,", ",",")&amp;","))),OR('Dano fixo'!$I$6="",ISNUMBER(SEARCH(","&amp;'Rotação'!$K51&amp;",",","&amp;SUBSTITUTE('Dano fixo'!$I$6,", ",",")&amp;",")))),1,0)</f>
        <v>0</v>
      </c>
      <c r="O51" s="2">
        <f t="shared" si="5"/>
        <v>0</v>
      </c>
      <c r="P51" s="2">
        <f>N51*IF('Dano fixo'!$J$6="",$A51,MIN($A51,MAX(0,'Dano fixo'!$J$6-O50)))</f>
        <v>0</v>
      </c>
      <c r="Q51" s="2">
        <f>IF(AND($A51&gt;0,N('Dano fixo'!$L$7)&gt;0,OR('Dano fixo'!$G$7="Todos",ISNUMBER(SEARCH(","&amp;'Rotação'!$I51&amp;",",","&amp;SUBSTITUTE('Dano fixo'!$G$7,", ",",")&amp;","))),OR('Dano fixo'!$H$7="",ISNUMBER(SEARCH(","&amp;'Rotação'!$R51&amp;",",","&amp;SUBSTITUTE('Dano fixo'!$H$7,", ",",")&amp;","))),OR('Dano fixo'!$I$7="",ISNUMBER(SEARCH(","&amp;'Rotação'!$K51&amp;",",","&amp;SUBSTITUTE('Dano fixo'!$I$7,", ",",")&amp;",")))),1,0)</f>
        <v>0</v>
      </c>
      <c r="R51" s="2">
        <f t="shared" si="6"/>
        <v>0</v>
      </c>
      <c r="S51" s="2">
        <f>Q51*IF('Dano fixo'!$J$7="",$A51,MIN($A51,MAX(0,'Dano fixo'!$J$7-R50)))</f>
        <v>0</v>
      </c>
      <c r="T51" s="2">
        <f>IF(AND($A51&gt;0,N('Dano fixo'!$L$8)&gt;0,OR('Dano fixo'!$G$8="Todos",ISNUMBER(SEARCH(","&amp;'Rotação'!$I51&amp;",",","&amp;SUBSTITUTE('Dano fixo'!$G$8,", ",",")&amp;","))),OR('Dano fixo'!$H$8="",ISNUMBER(SEARCH(","&amp;'Rotação'!$R51&amp;",",","&amp;SUBSTITUTE('Dano fixo'!$H$8,", ",",")&amp;","))),OR('Dano fixo'!$I$8="",ISNUMBER(SEARCH(","&amp;'Rotação'!$K51&amp;",",","&amp;SUBSTITUTE('Dano fixo'!$I$8,", ",",")&amp;",")))),1,0)</f>
        <v>0</v>
      </c>
      <c r="U51" s="2">
        <f t="shared" si="7"/>
        <v>0</v>
      </c>
      <c r="V51" s="2">
        <f>T51*IF('Dano fixo'!$J$8="",$A51,MIN($A51,MAX(0,'Dano fixo'!$J$8-U50)))</f>
        <v>0</v>
      </c>
      <c r="W51" s="2">
        <f>IF(AND($A51&gt;0,N('Dano fixo'!$L$9)&gt;0,OR('Dano fixo'!$G$9="Todos",ISNUMBER(SEARCH(","&amp;'Rotação'!$I51&amp;",",","&amp;SUBSTITUTE('Dano fixo'!$G$9,", ",",")&amp;","))),OR('Dano fixo'!$H$9="",ISNUMBER(SEARCH(","&amp;'Rotação'!$R51&amp;",",","&amp;SUBSTITUTE('Dano fixo'!$H$9,", ",",")&amp;","))),OR('Dano fixo'!$I$9="",ISNUMBER(SEARCH(","&amp;'Rotação'!$K51&amp;",",","&amp;SUBSTITUTE('Dano fixo'!$I$9,", ",",")&amp;",")))),1,0)</f>
        <v>0</v>
      </c>
      <c r="X51" s="2">
        <f t="shared" si="8"/>
        <v>0</v>
      </c>
      <c r="Y51" s="2">
        <f>W51*IF('Dano fixo'!$J$9="",$A51,MIN($A51,MAX(0,'Dano fixo'!$J$9-X50)))</f>
        <v>0</v>
      </c>
      <c r="Z51" s="2">
        <f>IF(AND($A51&gt;0,N('Dano fixo'!$L$10)&gt;0,OR('Dano fixo'!$G$10="Todos",ISNUMBER(SEARCH(","&amp;'Rotação'!$I51&amp;",",","&amp;SUBSTITUTE('Dano fixo'!$G$10,", ",",")&amp;","))),OR('Dano fixo'!$H$10="",ISNUMBER(SEARCH(","&amp;'Rotação'!$R51&amp;",",","&amp;SUBSTITUTE('Dano fixo'!$H$10,", ",",")&amp;","))),OR('Dano fixo'!$I$10="",ISNUMBER(SEARCH(","&amp;'Rotação'!$K51&amp;",",","&amp;SUBSTITUTE('Dano fixo'!$I$10,", ",",")&amp;",")))),1,0)</f>
        <v>0</v>
      </c>
      <c r="AA51" s="2">
        <f t="shared" si="9"/>
        <v>0</v>
      </c>
      <c r="AB51" s="2">
        <f>Z51*IF('Dano fixo'!$J$10="",$A51,MIN($A51,MAX(0,'Dano fixo'!$J$10-AA50)))</f>
        <v>0</v>
      </c>
      <c r="AC51" s="2">
        <f>IF(AND($A51&gt;0,N('Dano fixo'!$L$11)&gt;0,OR('Dano fixo'!$G$11="Todos",ISNUMBER(SEARCH(","&amp;'Rotação'!$I51&amp;",",","&amp;SUBSTITUTE('Dano fixo'!$G$11,", ",",")&amp;","))),OR('Dano fixo'!$H$11="",ISNUMBER(SEARCH(","&amp;'Rotação'!$R51&amp;",",","&amp;SUBSTITUTE('Dano fixo'!$H$11,", ",",")&amp;","))),OR('Dano fixo'!$I$11="",ISNUMBER(SEARCH(","&amp;'Rotação'!$K51&amp;",",","&amp;SUBSTITUTE('Dano fixo'!$I$11,", ",",")&amp;",")))),1,0)</f>
        <v>0</v>
      </c>
      <c r="AD51" s="2">
        <f t="shared" si="10"/>
        <v>0</v>
      </c>
      <c r="AE51" s="2">
        <f>AC51*IF('Dano fixo'!$J$11="",$A51,MIN($A51,MAX(0,'Dano fixo'!$J$11-AD50)))</f>
        <v>0</v>
      </c>
      <c r="AF51" s="2">
        <f>D51*'Dano fixo'!$L$2+G51*'Dano fixo'!$L$3+J51*'Dano fixo'!$L$4+M51*'Dano fixo'!$L$5+P51*'Dano fixo'!$L$6+S51*'Dano fixo'!$L$7+V51*'Dano fixo'!$L$8+Y51*'Dano fixo'!$L$9+AB51*'Dano fixo'!$L$10+AE51*'Dano fixo'!$L$11</f>
        <v>0</v>
      </c>
    </row>
    <row r="52" ht="15.75" customHeight="1">
      <c r="A52" s="2">
        <f t="array" ref="A52">IF(ISNUMBER('Rotação'!$J52),IF('Rotação'!$B52="",1,'Rotação'!$B52)*IF(ISNUMBER('Rotação'!$H52),MAX(1,N(INDEX(L_Golpes!$BN$2:$BN$6000,'Rotação'!$H52))),1),0)</f>
        <v>0</v>
      </c>
      <c r="B52" s="2">
        <f>IF(AND($A52&gt;0,N('Dano fixo'!$L$2)&gt;0,OR('Dano fixo'!$G$2="Todos",ISNUMBER(SEARCH(","&amp;'Rotação'!$I52&amp;",",","&amp;SUBSTITUTE('Dano fixo'!$G$2,", ",",")&amp;","))),OR('Dano fixo'!$H$2="",ISNUMBER(SEARCH(","&amp;'Rotação'!$R52&amp;",",","&amp;SUBSTITUTE('Dano fixo'!$H$2,", ",",")&amp;","))),OR('Dano fixo'!$I$2="",ISNUMBER(SEARCH(","&amp;'Rotação'!$K52&amp;",",","&amp;SUBSTITUTE('Dano fixo'!$I$2,", ",",")&amp;",")))),1,0)</f>
        <v>0</v>
      </c>
      <c r="C52" s="2">
        <f t="shared" si="1"/>
        <v>0</v>
      </c>
      <c r="D52" s="2">
        <f>B52*IF('Dano fixo'!$J$2="",$A52,MIN($A52,MAX(0,'Dano fixo'!$J$2-C51)))</f>
        <v>0</v>
      </c>
      <c r="E52" s="2">
        <f>IF(AND($A52&gt;0,N('Dano fixo'!$L$3)&gt;0,OR('Dano fixo'!$G$3="Todos",ISNUMBER(SEARCH(","&amp;'Rotação'!$I52&amp;",",","&amp;SUBSTITUTE('Dano fixo'!$G$3,", ",",")&amp;","))),OR('Dano fixo'!$H$3="",ISNUMBER(SEARCH(","&amp;'Rotação'!$R52&amp;",",","&amp;SUBSTITUTE('Dano fixo'!$H$3,", ",",")&amp;","))),OR('Dano fixo'!$I$3="",ISNUMBER(SEARCH(","&amp;'Rotação'!$K52&amp;",",","&amp;SUBSTITUTE('Dano fixo'!$I$3,", ",",")&amp;",")))),1,0)</f>
        <v>0</v>
      </c>
      <c r="F52" s="2">
        <f t="shared" si="2"/>
        <v>0</v>
      </c>
      <c r="G52" s="2">
        <f>E52*IF('Dano fixo'!$J$3="",$A52,MIN($A52,MAX(0,'Dano fixo'!$J$3-F51)))</f>
        <v>0</v>
      </c>
      <c r="H52" s="2">
        <f>IF(AND($A52&gt;0,N('Dano fixo'!$L$4)&gt;0,OR('Dano fixo'!$G$4="Todos",ISNUMBER(SEARCH(","&amp;'Rotação'!$I52&amp;",",","&amp;SUBSTITUTE('Dano fixo'!$G$4,", ",",")&amp;","))),OR('Dano fixo'!$H$4="",ISNUMBER(SEARCH(","&amp;'Rotação'!$R52&amp;",",","&amp;SUBSTITUTE('Dano fixo'!$H$4,", ",",")&amp;","))),OR('Dano fixo'!$I$4="",ISNUMBER(SEARCH(","&amp;'Rotação'!$K52&amp;",",","&amp;SUBSTITUTE('Dano fixo'!$I$4,", ",",")&amp;",")))),1,0)</f>
        <v>0</v>
      </c>
      <c r="I52" s="2">
        <f t="shared" si="3"/>
        <v>0</v>
      </c>
      <c r="J52" s="2">
        <f>H52*IF('Dano fixo'!$J$4="",$A52,MIN($A52,MAX(0,'Dano fixo'!$J$4-I51)))</f>
        <v>0</v>
      </c>
      <c r="K52" s="2">
        <f>IF(AND($A52&gt;0,N('Dano fixo'!$L$5)&gt;0,OR('Dano fixo'!$G$5="Todos",ISNUMBER(SEARCH(","&amp;'Rotação'!$I52&amp;",",","&amp;SUBSTITUTE('Dano fixo'!$G$5,", ",",")&amp;","))),OR('Dano fixo'!$H$5="",ISNUMBER(SEARCH(","&amp;'Rotação'!$R52&amp;",",","&amp;SUBSTITUTE('Dano fixo'!$H$5,", ",",")&amp;","))),OR('Dano fixo'!$I$5="",ISNUMBER(SEARCH(","&amp;'Rotação'!$K52&amp;",",","&amp;SUBSTITUTE('Dano fixo'!$I$5,", ",",")&amp;",")))),1,0)</f>
        <v>0</v>
      </c>
      <c r="L52" s="2">
        <f t="shared" si="4"/>
        <v>0</v>
      </c>
      <c r="M52" s="2">
        <f>K52*IF('Dano fixo'!$J$5="",$A52,MIN($A52,MAX(0,'Dano fixo'!$J$5-L51)))</f>
        <v>0</v>
      </c>
      <c r="N52" s="2">
        <f>IF(AND($A52&gt;0,N('Dano fixo'!$L$6)&gt;0,OR('Dano fixo'!$G$6="Todos",ISNUMBER(SEARCH(","&amp;'Rotação'!$I52&amp;",",","&amp;SUBSTITUTE('Dano fixo'!$G$6,", ",",")&amp;","))),OR('Dano fixo'!$H$6="",ISNUMBER(SEARCH(","&amp;'Rotação'!$R52&amp;",",","&amp;SUBSTITUTE('Dano fixo'!$H$6,", ",",")&amp;","))),OR('Dano fixo'!$I$6="",ISNUMBER(SEARCH(","&amp;'Rotação'!$K52&amp;",",","&amp;SUBSTITUTE('Dano fixo'!$I$6,", ",",")&amp;",")))),1,0)</f>
        <v>0</v>
      </c>
      <c r="O52" s="2">
        <f t="shared" si="5"/>
        <v>0</v>
      </c>
      <c r="P52" s="2">
        <f>N52*IF('Dano fixo'!$J$6="",$A52,MIN($A52,MAX(0,'Dano fixo'!$J$6-O51)))</f>
        <v>0</v>
      </c>
      <c r="Q52" s="2">
        <f>IF(AND($A52&gt;0,N('Dano fixo'!$L$7)&gt;0,OR('Dano fixo'!$G$7="Todos",ISNUMBER(SEARCH(","&amp;'Rotação'!$I52&amp;",",","&amp;SUBSTITUTE('Dano fixo'!$G$7,", ",",")&amp;","))),OR('Dano fixo'!$H$7="",ISNUMBER(SEARCH(","&amp;'Rotação'!$R52&amp;",",","&amp;SUBSTITUTE('Dano fixo'!$H$7,", ",",")&amp;","))),OR('Dano fixo'!$I$7="",ISNUMBER(SEARCH(","&amp;'Rotação'!$K52&amp;",",","&amp;SUBSTITUTE('Dano fixo'!$I$7,", ",",")&amp;",")))),1,0)</f>
        <v>0</v>
      </c>
      <c r="R52" s="2">
        <f t="shared" si="6"/>
        <v>0</v>
      </c>
      <c r="S52" s="2">
        <f>Q52*IF('Dano fixo'!$J$7="",$A52,MIN($A52,MAX(0,'Dano fixo'!$J$7-R51)))</f>
        <v>0</v>
      </c>
      <c r="T52" s="2">
        <f>IF(AND($A52&gt;0,N('Dano fixo'!$L$8)&gt;0,OR('Dano fixo'!$G$8="Todos",ISNUMBER(SEARCH(","&amp;'Rotação'!$I52&amp;",",","&amp;SUBSTITUTE('Dano fixo'!$G$8,", ",",")&amp;","))),OR('Dano fixo'!$H$8="",ISNUMBER(SEARCH(","&amp;'Rotação'!$R52&amp;",",","&amp;SUBSTITUTE('Dano fixo'!$H$8,", ",",")&amp;","))),OR('Dano fixo'!$I$8="",ISNUMBER(SEARCH(","&amp;'Rotação'!$K52&amp;",",","&amp;SUBSTITUTE('Dano fixo'!$I$8,", ",",")&amp;",")))),1,0)</f>
        <v>0</v>
      </c>
      <c r="U52" s="2">
        <f t="shared" si="7"/>
        <v>0</v>
      </c>
      <c r="V52" s="2">
        <f>T52*IF('Dano fixo'!$J$8="",$A52,MIN($A52,MAX(0,'Dano fixo'!$J$8-U51)))</f>
        <v>0</v>
      </c>
      <c r="W52" s="2">
        <f>IF(AND($A52&gt;0,N('Dano fixo'!$L$9)&gt;0,OR('Dano fixo'!$G$9="Todos",ISNUMBER(SEARCH(","&amp;'Rotação'!$I52&amp;",",","&amp;SUBSTITUTE('Dano fixo'!$G$9,", ",",")&amp;","))),OR('Dano fixo'!$H$9="",ISNUMBER(SEARCH(","&amp;'Rotação'!$R52&amp;",",","&amp;SUBSTITUTE('Dano fixo'!$H$9,", ",",")&amp;","))),OR('Dano fixo'!$I$9="",ISNUMBER(SEARCH(","&amp;'Rotação'!$K52&amp;",",","&amp;SUBSTITUTE('Dano fixo'!$I$9,", ",",")&amp;",")))),1,0)</f>
        <v>0</v>
      </c>
      <c r="X52" s="2">
        <f t="shared" si="8"/>
        <v>0</v>
      </c>
      <c r="Y52" s="2">
        <f>W52*IF('Dano fixo'!$J$9="",$A52,MIN($A52,MAX(0,'Dano fixo'!$J$9-X51)))</f>
        <v>0</v>
      </c>
      <c r="Z52" s="2">
        <f>IF(AND($A52&gt;0,N('Dano fixo'!$L$10)&gt;0,OR('Dano fixo'!$G$10="Todos",ISNUMBER(SEARCH(","&amp;'Rotação'!$I52&amp;",",","&amp;SUBSTITUTE('Dano fixo'!$G$10,", ",",")&amp;","))),OR('Dano fixo'!$H$10="",ISNUMBER(SEARCH(","&amp;'Rotação'!$R52&amp;",",","&amp;SUBSTITUTE('Dano fixo'!$H$10,", ",",")&amp;","))),OR('Dano fixo'!$I$10="",ISNUMBER(SEARCH(","&amp;'Rotação'!$K52&amp;",",","&amp;SUBSTITUTE('Dano fixo'!$I$10,", ",",")&amp;",")))),1,0)</f>
        <v>0</v>
      </c>
      <c r="AA52" s="2">
        <f t="shared" si="9"/>
        <v>0</v>
      </c>
      <c r="AB52" s="2">
        <f>Z52*IF('Dano fixo'!$J$10="",$A52,MIN($A52,MAX(0,'Dano fixo'!$J$10-AA51)))</f>
        <v>0</v>
      </c>
      <c r="AC52" s="2">
        <f>IF(AND($A52&gt;0,N('Dano fixo'!$L$11)&gt;0,OR('Dano fixo'!$G$11="Todos",ISNUMBER(SEARCH(","&amp;'Rotação'!$I52&amp;",",","&amp;SUBSTITUTE('Dano fixo'!$G$11,", ",",")&amp;","))),OR('Dano fixo'!$H$11="",ISNUMBER(SEARCH(","&amp;'Rotação'!$R52&amp;",",","&amp;SUBSTITUTE('Dano fixo'!$H$11,", ",",")&amp;","))),OR('Dano fixo'!$I$11="",ISNUMBER(SEARCH(","&amp;'Rotação'!$K52&amp;",",","&amp;SUBSTITUTE('Dano fixo'!$I$11,", ",",")&amp;",")))),1,0)</f>
        <v>0</v>
      </c>
      <c r="AD52" s="2">
        <f t="shared" si="10"/>
        <v>0</v>
      </c>
      <c r="AE52" s="2">
        <f>AC52*IF('Dano fixo'!$J$11="",$A52,MIN($A52,MAX(0,'Dano fixo'!$J$11-AD51)))</f>
        <v>0</v>
      </c>
      <c r="AF52" s="2">
        <f>D52*'Dano fixo'!$L$2+G52*'Dano fixo'!$L$3+J52*'Dano fixo'!$L$4+M52*'Dano fixo'!$L$5+P52*'Dano fixo'!$L$6+S52*'Dano fixo'!$L$7+V52*'Dano fixo'!$L$8+Y52*'Dano fixo'!$L$9+AB52*'Dano fixo'!$L$10+AE52*'Dano fixo'!$L$11</f>
        <v>0</v>
      </c>
    </row>
    <row r="53" ht="15.75" customHeight="1">
      <c r="A53" s="2">
        <f t="array" ref="A53">IF(ISNUMBER('Rotação'!$J53),IF('Rotação'!$B53="",1,'Rotação'!$B53)*IF(ISNUMBER('Rotação'!$H53),MAX(1,N(INDEX(L_Golpes!$BN$2:$BN$6000,'Rotação'!$H53))),1),0)</f>
        <v>0</v>
      </c>
      <c r="B53" s="2">
        <f>IF(AND($A53&gt;0,N('Dano fixo'!$L$2)&gt;0,OR('Dano fixo'!$G$2="Todos",ISNUMBER(SEARCH(","&amp;'Rotação'!$I53&amp;",",","&amp;SUBSTITUTE('Dano fixo'!$G$2,", ",",")&amp;","))),OR('Dano fixo'!$H$2="",ISNUMBER(SEARCH(","&amp;'Rotação'!$R53&amp;",",","&amp;SUBSTITUTE('Dano fixo'!$H$2,", ",",")&amp;","))),OR('Dano fixo'!$I$2="",ISNUMBER(SEARCH(","&amp;'Rotação'!$K53&amp;",",","&amp;SUBSTITUTE('Dano fixo'!$I$2,", ",",")&amp;",")))),1,0)</f>
        <v>0</v>
      </c>
      <c r="C53" s="2">
        <f t="shared" si="1"/>
        <v>0</v>
      </c>
      <c r="D53" s="2">
        <f>B53*IF('Dano fixo'!$J$2="",$A53,MIN($A53,MAX(0,'Dano fixo'!$J$2-C52)))</f>
        <v>0</v>
      </c>
      <c r="E53" s="2">
        <f>IF(AND($A53&gt;0,N('Dano fixo'!$L$3)&gt;0,OR('Dano fixo'!$G$3="Todos",ISNUMBER(SEARCH(","&amp;'Rotação'!$I53&amp;",",","&amp;SUBSTITUTE('Dano fixo'!$G$3,", ",",")&amp;","))),OR('Dano fixo'!$H$3="",ISNUMBER(SEARCH(","&amp;'Rotação'!$R53&amp;",",","&amp;SUBSTITUTE('Dano fixo'!$H$3,", ",",")&amp;","))),OR('Dano fixo'!$I$3="",ISNUMBER(SEARCH(","&amp;'Rotação'!$K53&amp;",",","&amp;SUBSTITUTE('Dano fixo'!$I$3,", ",",")&amp;",")))),1,0)</f>
        <v>0</v>
      </c>
      <c r="F53" s="2">
        <f t="shared" si="2"/>
        <v>0</v>
      </c>
      <c r="G53" s="2">
        <f>E53*IF('Dano fixo'!$J$3="",$A53,MIN($A53,MAX(0,'Dano fixo'!$J$3-F52)))</f>
        <v>0</v>
      </c>
      <c r="H53" s="2">
        <f>IF(AND($A53&gt;0,N('Dano fixo'!$L$4)&gt;0,OR('Dano fixo'!$G$4="Todos",ISNUMBER(SEARCH(","&amp;'Rotação'!$I53&amp;",",","&amp;SUBSTITUTE('Dano fixo'!$G$4,", ",",")&amp;","))),OR('Dano fixo'!$H$4="",ISNUMBER(SEARCH(","&amp;'Rotação'!$R53&amp;",",","&amp;SUBSTITUTE('Dano fixo'!$H$4,", ",",")&amp;","))),OR('Dano fixo'!$I$4="",ISNUMBER(SEARCH(","&amp;'Rotação'!$K53&amp;",",","&amp;SUBSTITUTE('Dano fixo'!$I$4,", ",",")&amp;",")))),1,0)</f>
        <v>0</v>
      </c>
      <c r="I53" s="2">
        <f t="shared" si="3"/>
        <v>0</v>
      </c>
      <c r="J53" s="2">
        <f>H53*IF('Dano fixo'!$J$4="",$A53,MIN($A53,MAX(0,'Dano fixo'!$J$4-I52)))</f>
        <v>0</v>
      </c>
      <c r="K53" s="2">
        <f>IF(AND($A53&gt;0,N('Dano fixo'!$L$5)&gt;0,OR('Dano fixo'!$G$5="Todos",ISNUMBER(SEARCH(","&amp;'Rotação'!$I53&amp;",",","&amp;SUBSTITUTE('Dano fixo'!$G$5,", ",",")&amp;","))),OR('Dano fixo'!$H$5="",ISNUMBER(SEARCH(","&amp;'Rotação'!$R53&amp;",",","&amp;SUBSTITUTE('Dano fixo'!$H$5,", ",",")&amp;","))),OR('Dano fixo'!$I$5="",ISNUMBER(SEARCH(","&amp;'Rotação'!$K53&amp;",",","&amp;SUBSTITUTE('Dano fixo'!$I$5,", ",",")&amp;",")))),1,0)</f>
        <v>0</v>
      </c>
      <c r="L53" s="2">
        <f t="shared" si="4"/>
        <v>0</v>
      </c>
      <c r="M53" s="2">
        <f>K53*IF('Dano fixo'!$J$5="",$A53,MIN($A53,MAX(0,'Dano fixo'!$J$5-L52)))</f>
        <v>0</v>
      </c>
      <c r="N53" s="2">
        <f>IF(AND($A53&gt;0,N('Dano fixo'!$L$6)&gt;0,OR('Dano fixo'!$G$6="Todos",ISNUMBER(SEARCH(","&amp;'Rotação'!$I53&amp;",",","&amp;SUBSTITUTE('Dano fixo'!$G$6,", ",",")&amp;","))),OR('Dano fixo'!$H$6="",ISNUMBER(SEARCH(","&amp;'Rotação'!$R53&amp;",",","&amp;SUBSTITUTE('Dano fixo'!$H$6,", ",",")&amp;","))),OR('Dano fixo'!$I$6="",ISNUMBER(SEARCH(","&amp;'Rotação'!$K53&amp;",",","&amp;SUBSTITUTE('Dano fixo'!$I$6,", ",",")&amp;",")))),1,0)</f>
        <v>0</v>
      </c>
      <c r="O53" s="2">
        <f t="shared" si="5"/>
        <v>0</v>
      </c>
      <c r="P53" s="2">
        <f>N53*IF('Dano fixo'!$J$6="",$A53,MIN($A53,MAX(0,'Dano fixo'!$J$6-O52)))</f>
        <v>0</v>
      </c>
      <c r="Q53" s="2">
        <f>IF(AND($A53&gt;0,N('Dano fixo'!$L$7)&gt;0,OR('Dano fixo'!$G$7="Todos",ISNUMBER(SEARCH(","&amp;'Rotação'!$I53&amp;",",","&amp;SUBSTITUTE('Dano fixo'!$G$7,", ",",")&amp;","))),OR('Dano fixo'!$H$7="",ISNUMBER(SEARCH(","&amp;'Rotação'!$R53&amp;",",","&amp;SUBSTITUTE('Dano fixo'!$H$7,", ",",")&amp;","))),OR('Dano fixo'!$I$7="",ISNUMBER(SEARCH(","&amp;'Rotação'!$K53&amp;",",","&amp;SUBSTITUTE('Dano fixo'!$I$7,", ",",")&amp;",")))),1,0)</f>
        <v>0</v>
      </c>
      <c r="R53" s="2">
        <f t="shared" si="6"/>
        <v>0</v>
      </c>
      <c r="S53" s="2">
        <f>Q53*IF('Dano fixo'!$J$7="",$A53,MIN($A53,MAX(0,'Dano fixo'!$J$7-R52)))</f>
        <v>0</v>
      </c>
      <c r="T53" s="2">
        <f>IF(AND($A53&gt;0,N('Dano fixo'!$L$8)&gt;0,OR('Dano fixo'!$G$8="Todos",ISNUMBER(SEARCH(","&amp;'Rotação'!$I53&amp;",",","&amp;SUBSTITUTE('Dano fixo'!$G$8,", ",",")&amp;","))),OR('Dano fixo'!$H$8="",ISNUMBER(SEARCH(","&amp;'Rotação'!$R53&amp;",",","&amp;SUBSTITUTE('Dano fixo'!$H$8,", ",",")&amp;","))),OR('Dano fixo'!$I$8="",ISNUMBER(SEARCH(","&amp;'Rotação'!$K53&amp;",",","&amp;SUBSTITUTE('Dano fixo'!$I$8,", ",",")&amp;",")))),1,0)</f>
        <v>0</v>
      </c>
      <c r="U53" s="2">
        <f t="shared" si="7"/>
        <v>0</v>
      </c>
      <c r="V53" s="2">
        <f>T53*IF('Dano fixo'!$J$8="",$A53,MIN($A53,MAX(0,'Dano fixo'!$J$8-U52)))</f>
        <v>0</v>
      </c>
      <c r="W53" s="2">
        <f>IF(AND($A53&gt;0,N('Dano fixo'!$L$9)&gt;0,OR('Dano fixo'!$G$9="Todos",ISNUMBER(SEARCH(","&amp;'Rotação'!$I53&amp;",",","&amp;SUBSTITUTE('Dano fixo'!$G$9,", ",",")&amp;","))),OR('Dano fixo'!$H$9="",ISNUMBER(SEARCH(","&amp;'Rotação'!$R53&amp;",",","&amp;SUBSTITUTE('Dano fixo'!$H$9,", ",",")&amp;","))),OR('Dano fixo'!$I$9="",ISNUMBER(SEARCH(","&amp;'Rotação'!$K53&amp;",",","&amp;SUBSTITUTE('Dano fixo'!$I$9,", ",",")&amp;",")))),1,0)</f>
        <v>0</v>
      </c>
      <c r="X53" s="2">
        <f t="shared" si="8"/>
        <v>0</v>
      </c>
      <c r="Y53" s="2">
        <f>W53*IF('Dano fixo'!$J$9="",$A53,MIN($A53,MAX(0,'Dano fixo'!$J$9-X52)))</f>
        <v>0</v>
      </c>
      <c r="Z53" s="2">
        <f>IF(AND($A53&gt;0,N('Dano fixo'!$L$10)&gt;0,OR('Dano fixo'!$G$10="Todos",ISNUMBER(SEARCH(","&amp;'Rotação'!$I53&amp;",",","&amp;SUBSTITUTE('Dano fixo'!$G$10,", ",",")&amp;","))),OR('Dano fixo'!$H$10="",ISNUMBER(SEARCH(","&amp;'Rotação'!$R53&amp;",",","&amp;SUBSTITUTE('Dano fixo'!$H$10,", ",",")&amp;","))),OR('Dano fixo'!$I$10="",ISNUMBER(SEARCH(","&amp;'Rotação'!$K53&amp;",",","&amp;SUBSTITUTE('Dano fixo'!$I$10,", ",",")&amp;",")))),1,0)</f>
        <v>0</v>
      </c>
      <c r="AA53" s="2">
        <f t="shared" si="9"/>
        <v>0</v>
      </c>
      <c r="AB53" s="2">
        <f>Z53*IF('Dano fixo'!$J$10="",$A53,MIN($A53,MAX(0,'Dano fixo'!$J$10-AA52)))</f>
        <v>0</v>
      </c>
      <c r="AC53" s="2">
        <f>IF(AND($A53&gt;0,N('Dano fixo'!$L$11)&gt;0,OR('Dano fixo'!$G$11="Todos",ISNUMBER(SEARCH(","&amp;'Rotação'!$I53&amp;",",","&amp;SUBSTITUTE('Dano fixo'!$G$11,", ",",")&amp;","))),OR('Dano fixo'!$H$11="",ISNUMBER(SEARCH(","&amp;'Rotação'!$R53&amp;",",","&amp;SUBSTITUTE('Dano fixo'!$H$11,", ",",")&amp;","))),OR('Dano fixo'!$I$11="",ISNUMBER(SEARCH(","&amp;'Rotação'!$K53&amp;",",","&amp;SUBSTITUTE('Dano fixo'!$I$11,", ",",")&amp;",")))),1,0)</f>
        <v>0</v>
      </c>
      <c r="AD53" s="2">
        <f t="shared" si="10"/>
        <v>0</v>
      </c>
      <c r="AE53" s="2">
        <f>AC53*IF('Dano fixo'!$J$11="",$A53,MIN($A53,MAX(0,'Dano fixo'!$J$11-AD52)))</f>
        <v>0</v>
      </c>
      <c r="AF53" s="2">
        <f>D53*'Dano fixo'!$L$2+G53*'Dano fixo'!$L$3+J53*'Dano fixo'!$L$4+M53*'Dano fixo'!$L$5+P53*'Dano fixo'!$L$6+S53*'Dano fixo'!$L$7+V53*'Dano fixo'!$L$8+Y53*'Dano fixo'!$L$9+AB53*'Dano fixo'!$L$10+AE53*'Dano fixo'!$L$11</f>
        <v>0</v>
      </c>
    </row>
    <row r="54" ht="15.75" customHeight="1">
      <c r="A54" s="2">
        <f t="array" ref="A54">IF(ISNUMBER('Rotação'!$J54),IF('Rotação'!$B54="",1,'Rotação'!$B54)*IF(ISNUMBER('Rotação'!$H54),MAX(1,N(INDEX(L_Golpes!$BN$2:$BN$6000,'Rotação'!$H54))),1),0)</f>
        <v>0</v>
      </c>
      <c r="B54" s="2">
        <f>IF(AND($A54&gt;0,N('Dano fixo'!$L$2)&gt;0,OR('Dano fixo'!$G$2="Todos",ISNUMBER(SEARCH(","&amp;'Rotação'!$I54&amp;",",","&amp;SUBSTITUTE('Dano fixo'!$G$2,", ",",")&amp;","))),OR('Dano fixo'!$H$2="",ISNUMBER(SEARCH(","&amp;'Rotação'!$R54&amp;",",","&amp;SUBSTITUTE('Dano fixo'!$H$2,", ",",")&amp;","))),OR('Dano fixo'!$I$2="",ISNUMBER(SEARCH(","&amp;'Rotação'!$K54&amp;",",","&amp;SUBSTITUTE('Dano fixo'!$I$2,", ",",")&amp;",")))),1,0)</f>
        <v>0</v>
      </c>
      <c r="C54" s="2">
        <f t="shared" si="1"/>
        <v>0</v>
      </c>
      <c r="D54" s="2">
        <f>B54*IF('Dano fixo'!$J$2="",$A54,MIN($A54,MAX(0,'Dano fixo'!$J$2-C53)))</f>
        <v>0</v>
      </c>
      <c r="E54" s="2">
        <f>IF(AND($A54&gt;0,N('Dano fixo'!$L$3)&gt;0,OR('Dano fixo'!$G$3="Todos",ISNUMBER(SEARCH(","&amp;'Rotação'!$I54&amp;",",","&amp;SUBSTITUTE('Dano fixo'!$G$3,", ",",")&amp;","))),OR('Dano fixo'!$H$3="",ISNUMBER(SEARCH(","&amp;'Rotação'!$R54&amp;",",","&amp;SUBSTITUTE('Dano fixo'!$H$3,", ",",")&amp;","))),OR('Dano fixo'!$I$3="",ISNUMBER(SEARCH(","&amp;'Rotação'!$K54&amp;",",","&amp;SUBSTITUTE('Dano fixo'!$I$3,", ",",")&amp;",")))),1,0)</f>
        <v>0</v>
      </c>
      <c r="F54" s="2">
        <f t="shared" si="2"/>
        <v>0</v>
      </c>
      <c r="G54" s="2">
        <f>E54*IF('Dano fixo'!$J$3="",$A54,MIN($A54,MAX(0,'Dano fixo'!$J$3-F53)))</f>
        <v>0</v>
      </c>
      <c r="H54" s="2">
        <f>IF(AND($A54&gt;0,N('Dano fixo'!$L$4)&gt;0,OR('Dano fixo'!$G$4="Todos",ISNUMBER(SEARCH(","&amp;'Rotação'!$I54&amp;",",","&amp;SUBSTITUTE('Dano fixo'!$G$4,", ",",")&amp;","))),OR('Dano fixo'!$H$4="",ISNUMBER(SEARCH(","&amp;'Rotação'!$R54&amp;",",","&amp;SUBSTITUTE('Dano fixo'!$H$4,", ",",")&amp;","))),OR('Dano fixo'!$I$4="",ISNUMBER(SEARCH(","&amp;'Rotação'!$K54&amp;",",","&amp;SUBSTITUTE('Dano fixo'!$I$4,", ",",")&amp;",")))),1,0)</f>
        <v>0</v>
      </c>
      <c r="I54" s="2">
        <f t="shared" si="3"/>
        <v>0</v>
      </c>
      <c r="J54" s="2">
        <f>H54*IF('Dano fixo'!$J$4="",$A54,MIN($A54,MAX(0,'Dano fixo'!$J$4-I53)))</f>
        <v>0</v>
      </c>
      <c r="K54" s="2">
        <f>IF(AND($A54&gt;0,N('Dano fixo'!$L$5)&gt;0,OR('Dano fixo'!$G$5="Todos",ISNUMBER(SEARCH(","&amp;'Rotação'!$I54&amp;",",","&amp;SUBSTITUTE('Dano fixo'!$G$5,", ",",")&amp;","))),OR('Dano fixo'!$H$5="",ISNUMBER(SEARCH(","&amp;'Rotação'!$R54&amp;",",","&amp;SUBSTITUTE('Dano fixo'!$H$5,", ",",")&amp;","))),OR('Dano fixo'!$I$5="",ISNUMBER(SEARCH(","&amp;'Rotação'!$K54&amp;",",","&amp;SUBSTITUTE('Dano fixo'!$I$5,", ",",")&amp;",")))),1,0)</f>
        <v>0</v>
      </c>
      <c r="L54" s="2">
        <f t="shared" si="4"/>
        <v>0</v>
      </c>
      <c r="M54" s="2">
        <f>K54*IF('Dano fixo'!$J$5="",$A54,MIN($A54,MAX(0,'Dano fixo'!$J$5-L53)))</f>
        <v>0</v>
      </c>
      <c r="N54" s="2">
        <f>IF(AND($A54&gt;0,N('Dano fixo'!$L$6)&gt;0,OR('Dano fixo'!$G$6="Todos",ISNUMBER(SEARCH(","&amp;'Rotação'!$I54&amp;",",","&amp;SUBSTITUTE('Dano fixo'!$G$6,", ",",")&amp;","))),OR('Dano fixo'!$H$6="",ISNUMBER(SEARCH(","&amp;'Rotação'!$R54&amp;",",","&amp;SUBSTITUTE('Dano fixo'!$H$6,", ",",")&amp;","))),OR('Dano fixo'!$I$6="",ISNUMBER(SEARCH(","&amp;'Rotação'!$K54&amp;",",","&amp;SUBSTITUTE('Dano fixo'!$I$6,", ",",")&amp;",")))),1,0)</f>
        <v>0</v>
      </c>
      <c r="O54" s="2">
        <f t="shared" si="5"/>
        <v>0</v>
      </c>
      <c r="P54" s="2">
        <f>N54*IF('Dano fixo'!$J$6="",$A54,MIN($A54,MAX(0,'Dano fixo'!$J$6-O53)))</f>
        <v>0</v>
      </c>
      <c r="Q54" s="2">
        <f>IF(AND($A54&gt;0,N('Dano fixo'!$L$7)&gt;0,OR('Dano fixo'!$G$7="Todos",ISNUMBER(SEARCH(","&amp;'Rotação'!$I54&amp;",",","&amp;SUBSTITUTE('Dano fixo'!$G$7,", ",",")&amp;","))),OR('Dano fixo'!$H$7="",ISNUMBER(SEARCH(","&amp;'Rotação'!$R54&amp;",",","&amp;SUBSTITUTE('Dano fixo'!$H$7,", ",",")&amp;","))),OR('Dano fixo'!$I$7="",ISNUMBER(SEARCH(","&amp;'Rotação'!$K54&amp;",",","&amp;SUBSTITUTE('Dano fixo'!$I$7,", ",",")&amp;",")))),1,0)</f>
        <v>0</v>
      </c>
      <c r="R54" s="2">
        <f t="shared" si="6"/>
        <v>0</v>
      </c>
      <c r="S54" s="2">
        <f>Q54*IF('Dano fixo'!$J$7="",$A54,MIN($A54,MAX(0,'Dano fixo'!$J$7-R53)))</f>
        <v>0</v>
      </c>
      <c r="T54" s="2">
        <f>IF(AND($A54&gt;0,N('Dano fixo'!$L$8)&gt;0,OR('Dano fixo'!$G$8="Todos",ISNUMBER(SEARCH(","&amp;'Rotação'!$I54&amp;",",","&amp;SUBSTITUTE('Dano fixo'!$G$8,", ",",")&amp;","))),OR('Dano fixo'!$H$8="",ISNUMBER(SEARCH(","&amp;'Rotação'!$R54&amp;",",","&amp;SUBSTITUTE('Dano fixo'!$H$8,", ",",")&amp;","))),OR('Dano fixo'!$I$8="",ISNUMBER(SEARCH(","&amp;'Rotação'!$K54&amp;",",","&amp;SUBSTITUTE('Dano fixo'!$I$8,", ",",")&amp;",")))),1,0)</f>
        <v>0</v>
      </c>
      <c r="U54" s="2">
        <f t="shared" si="7"/>
        <v>0</v>
      </c>
      <c r="V54" s="2">
        <f>T54*IF('Dano fixo'!$J$8="",$A54,MIN($A54,MAX(0,'Dano fixo'!$J$8-U53)))</f>
        <v>0</v>
      </c>
      <c r="W54" s="2">
        <f>IF(AND($A54&gt;0,N('Dano fixo'!$L$9)&gt;0,OR('Dano fixo'!$G$9="Todos",ISNUMBER(SEARCH(","&amp;'Rotação'!$I54&amp;",",","&amp;SUBSTITUTE('Dano fixo'!$G$9,", ",",")&amp;","))),OR('Dano fixo'!$H$9="",ISNUMBER(SEARCH(","&amp;'Rotação'!$R54&amp;",",","&amp;SUBSTITUTE('Dano fixo'!$H$9,", ",",")&amp;","))),OR('Dano fixo'!$I$9="",ISNUMBER(SEARCH(","&amp;'Rotação'!$K54&amp;",",","&amp;SUBSTITUTE('Dano fixo'!$I$9,", ",",")&amp;",")))),1,0)</f>
        <v>0</v>
      </c>
      <c r="X54" s="2">
        <f t="shared" si="8"/>
        <v>0</v>
      </c>
      <c r="Y54" s="2">
        <f>W54*IF('Dano fixo'!$J$9="",$A54,MIN($A54,MAX(0,'Dano fixo'!$J$9-X53)))</f>
        <v>0</v>
      </c>
      <c r="Z54" s="2">
        <f>IF(AND($A54&gt;0,N('Dano fixo'!$L$10)&gt;0,OR('Dano fixo'!$G$10="Todos",ISNUMBER(SEARCH(","&amp;'Rotação'!$I54&amp;",",","&amp;SUBSTITUTE('Dano fixo'!$G$10,", ",",")&amp;","))),OR('Dano fixo'!$H$10="",ISNUMBER(SEARCH(","&amp;'Rotação'!$R54&amp;",",","&amp;SUBSTITUTE('Dano fixo'!$H$10,", ",",")&amp;","))),OR('Dano fixo'!$I$10="",ISNUMBER(SEARCH(","&amp;'Rotação'!$K54&amp;",",","&amp;SUBSTITUTE('Dano fixo'!$I$10,", ",",")&amp;",")))),1,0)</f>
        <v>0</v>
      </c>
      <c r="AA54" s="2">
        <f t="shared" si="9"/>
        <v>0</v>
      </c>
      <c r="AB54" s="2">
        <f>Z54*IF('Dano fixo'!$J$10="",$A54,MIN($A54,MAX(0,'Dano fixo'!$J$10-AA53)))</f>
        <v>0</v>
      </c>
      <c r="AC54" s="2">
        <f>IF(AND($A54&gt;0,N('Dano fixo'!$L$11)&gt;0,OR('Dano fixo'!$G$11="Todos",ISNUMBER(SEARCH(","&amp;'Rotação'!$I54&amp;",",","&amp;SUBSTITUTE('Dano fixo'!$G$11,", ",",")&amp;","))),OR('Dano fixo'!$H$11="",ISNUMBER(SEARCH(","&amp;'Rotação'!$R54&amp;",",","&amp;SUBSTITUTE('Dano fixo'!$H$11,", ",",")&amp;","))),OR('Dano fixo'!$I$11="",ISNUMBER(SEARCH(","&amp;'Rotação'!$K54&amp;",",","&amp;SUBSTITUTE('Dano fixo'!$I$11,", ",",")&amp;",")))),1,0)</f>
        <v>0</v>
      </c>
      <c r="AD54" s="2">
        <f t="shared" si="10"/>
        <v>0</v>
      </c>
      <c r="AE54" s="2">
        <f>AC54*IF('Dano fixo'!$J$11="",$A54,MIN($A54,MAX(0,'Dano fixo'!$J$11-AD53)))</f>
        <v>0</v>
      </c>
      <c r="AF54" s="2">
        <f>D54*'Dano fixo'!$L$2+G54*'Dano fixo'!$L$3+J54*'Dano fixo'!$L$4+M54*'Dano fixo'!$L$5+P54*'Dano fixo'!$L$6+S54*'Dano fixo'!$L$7+V54*'Dano fixo'!$L$8+Y54*'Dano fixo'!$L$9+AB54*'Dano fixo'!$L$10+AE54*'Dano fixo'!$L$11</f>
        <v>0</v>
      </c>
    </row>
    <row r="55" ht="15.75" customHeight="1">
      <c r="A55" s="2">
        <f t="array" ref="A55">IF(ISNUMBER('Rotação'!$J55),IF('Rotação'!$B55="",1,'Rotação'!$B55)*IF(ISNUMBER('Rotação'!$H55),MAX(1,N(INDEX(L_Golpes!$BN$2:$BN$6000,'Rotação'!$H55))),1),0)</f>
        <v>0</v>
      </c>
      <c r="B55" s="2">
        <f>IF(AND($A55&gt;0,N('Dano fixo'!$L$2)&gt;0,OR('Dano fixo'!$G$2="Todos",ISNUMBER(SEARCH(","&amp;'Rotação'!$I55&amp;",",","&amp;SUBSTITUTE('Dano fixo'!$G$2,", ",",")&amp;","))),OR('Dano fixo'!$H$2="",ISNUMBER(SEARCH(","&amp;'Rotação'!$R55&amp;",",","&amp;SUBSTITUTE('Dano fixo'!$H$2,", ",",")&amp;","))),OR('Dano fixo'!$I$2="",ISNUMBER(SEARCH(","&amp;'Rotação'!$K55&amp;",",","&amp;SUBSTITUTE('Dano fixo'!$I$2,", ",",")&amp;",")))),1,0)</f>
        <v>0</v>
      </c>
      <c r="C55" s="2">
        <f t="shared" si="1"/>
        <v>0</v>
      </c>
      <c r="D55" s="2">
        <f>B55*IF('Dano fixo'!$J$2="",$A55,MIN($A55,MAX(0,'Dano fixo'!$J$2-C54)))</f>
        <v>0</v>
      </c>
      <c r="E55" s="2">
        <f>IF(AND($A55&gt;0,N('Dano fixo'!$L$3)&gt;0,OR('Dano fixo'!$G$3="Todos",ISNUMBER(SEARCH(","&amp;'Rotação'!$I55&amp;",",","&amp;SUBSTITUTE('Dano fixo'!$G$3,", ",",")&amp;","))),OR('Dano fixo'!$H$3="",ISNUMBER(SEARCH(","&amp;'Rotação'!$R55&amp;",",","&amp;SUBSTITUTE('Dano fixo'!$H$3,", ",",")&amp;","))),OR('Dano fixo'!$I$3="",ISNUMBER(SEARCH(","&amp;'Rotação'!$K55&amp;",",","&amp;SUBSTITUTE('Dano fixo'!$I$3,", ",",")&amp;",")))),1,0)</f>
        <v>0</v>
      </c>
      <c r="F55" s="2">
        <f t="shared" si="2"/>
        <v>0</v>
      </c>
      <c r="G55" s="2">
        <f>E55*IF('Dano fixo'!$J$3="",$A55,MIN($A55,MAX(0,'Dano fixo'!$J$3-F54)))</f>
        <v>0</v>
      </c>
      <c r="H55" s="2">
        <f>IF(AND($A55&gt;0,N('Dano fixo'!$L$4)&gt;0,OR('Dano fixo'!$G$4="Todos",ISNUMBER(SEARCH(","&amp;'Rotação'!$I55&amp;",",","&amp;SUBSTITUTE('Dano fixo'!$G$4,", ",",")&amp;","))),OR('Dano fixo'!$H$4="",ISNUMBER(SEARCH(","&amp;'Rotação'!$R55&amp;",",","&amp;SUBSTITUTE('Dano fixo'!$H$4,", ",",")&amp;","))),OR('Dano fixo'!$I$4="",ISNUMBER(SEARCH(","&amp;'Rotação'!$K55&amp;",",","&amp;SUBSTITUTE('Dano fixo'!$I$4,", ",",")&amp;",")))),1,0)</f>
        <v>0</v>
      </c>
      <c r="I55" s="2">
        <f t="shared" si="3"/>
        <v>0</v>
      </c>
      <c r="J55" s="2">
        <f>H55*IF('Dano fixo'!$J$4="",$A55,MIN($A55,MAX(0,'Dano fixo'!$J$4-I54)))</f>
        <v>0</v>
      </c>
      <c r="K55" s="2">
        <f>IF(AND($A55&gt;0,N('Dano fixo'!$L$5)&gt;0,OR('Dano fixo'!$G$5="Todos",ISNUMBER(SEARCH(","&amp;'Rotação'!$I55&amp;",",","&amp;SUBSTITUTE('Dano fixo'!$G$5,", ",",")&amp;","))),OR('Dano fixo'!$H$5="",ISNUMBER(SEARCH(","&amp;'Rotação'!$R55&amp;",",","&amp;SUBSTITUTE('Dano fixo'!$H$5,", ",",")&amp;","))),OR('Dano fixo'!$I$5="",ISNUMBER(SEARCH(","&amp;'Rotação'!$K55&amp;",",","&amp;SUBSTITUTE('Dano fixo'!$I$5,", ",",")&amp;",")))),1,0)</f>
        <v>0</v>
      </c>
      <c r="L55" s="2">
        <f t="shared" si="4"/>
        <v>0</v>
      </c>
      <c r="M55" s="2">
        <f>K55*IF('Dano fixo'!$J$5="",$A55,MIN($A55,MAX(0,'Dano fixo'!$J$5-L54)))</f>
        <v>0</v>
      </c>
      <c r="N55" s="2">
        <f>IF(AND($A55&gt;0,N('Dano fixo'!$L$6)&gt;0,OR('Dano fixo'!$G$6="Todos",ISNUMBER(SEARCH(","&amp;'Rotação'!$I55&amp;",",","&amp;SUBSTITUTE('Dano fixo'!$G$6,", ",",")&amp;","))),OR('Dano fixo'!$H$6="",ISNUMBER(SEARCH(","&amp;'Rotação'!$R55&amp;",",","&amp;SUBSTITUTE('Dano fixo'!$H$6,", ",",")&amp;","))),OR('Dano fixo'!$I$6="",ISNUMBER(SEARCH(","&amp;'Rotação'!$K55&amp;",",","&amp;SUBSTITUTE('Dano fixo'!$I$6,", ",",")&amp;",")))),1,0)</f>
        <v>0</v>
      </c>
      <c r="O55" s="2">
        <f t="shared" si="5"/>
        <v>0</v>
      </c>
      <c r="P55" s="2">
        <f>N55*IF('Dano fixo'!$J$6="",$A55,MIN($A55,MAX(0,'Dano fixo'!$J$6-O54)))</f>
        <v>0</v>
      </c>
      <c r="Q55" s="2">
        <f>IF(AND($A55&gt;0,N('Dano fixo'!$L$7)&gt;0,OR('Dano fixo'!$G$7="Todos",ISNUMBER(SEARCH(","&amp;'Rotação'!$I55&amp;",",","&amp;SUBSTITUTE('Dano fixo'!$G$7,", ",",")&amp;","))),OR('Dano fixo'!$H$7="",ISNUMBER(SEARCH(","&amp;'Rotação'!$R55&amp;",",","&amp;SUBSTITUTE('Dano fixo'!$H$7,", ",",")&amp;","))),OR('Dano fixo'!$I$7="",ISNUMBER(SEARCH(","&amp;'Rotação'!$K55&amp;",",","&amp;SUBSTITUTE('Dano fixo'!$I$7,", ",",")&amp;",")))),1,0)</f>
        <v>0</v>
      </c>
      <c r="R55" s="2">
        <f t="shared" si="6"/>
        <v>0</v>
      </c>
      <c r="S55" s="2">
        <f>Q55*IF('Dano fixo'!$J$7="",$A55,MIN($A55,MAX(0,'Dano fixo'!$J$7-R54)))</f>
        <v>0</v>
      </c>
      <c r="T55" s="2">
        <f>IF(AND($A55&gt;0,N('Dano fixo'!$L$8)&gt;0,OR('Dano fixo'!$G$8="Todos",ISNUMBER(SEARCH(","&amp;'Rotação'!$I55&amp;",",","&amp;SUBSTITUTE('Dano fixo'!$G$8,", ",",")&amp;","))),OR('Dano fixo'!$H$8="",ISNUMBER(SEARCH(","&amp;'Rotação'!$R55&amp;",",","&amp;SUBSTITUTE('Dano fixo'!$H$8,", ",",")&amp;","))),OR('Dano fixo'!$I$8="",ISNUMBER(SEARCH(","&amp;'Rotação'!$K55&amp;",",","&amp;SUBSTITUTE('Dano fixo'!$I$8,", ",",")&amp;",")))),1,0)</f>
        <v>0</v>
      </c>
      <c r="U55" s="2">
        <f t="shared" si="7"/>
        <v>0</v>
      </c>
      <c r="V55" s="2">
        <f>T55*IF('Dano fixo'!$J$8="",$A55,MIN($A55,MAX(0,'Dano fixo'!$J$8-U54)))</f>
        <v>0</v>
      </c>
      <c r="W55" s="2">
        <f>IF(AND($A55&gt;0,N('Dano fixo'!$L$9)&gt;0,OR('Dano fixo'!$G$9="Todos",ISNUMBER(SEARCH(","&amp;'Rotação'!$I55&amp;",",","&amp;SUBSTITUTE('Dano fixo'!$G$9,", ",",")&amp;","))),OR('Dano fixo'!$H$9="",ISNUMBER(SEARCH(","&amp;'Rotação'!$R55&amp;",",","&amp;SUBSTITUTE('Dano fixo'!$H$9,", ",",")&amp;","))),OR('Dano fixo'!$I$9="",ISNUMBER(SEARCH(","&amp;'Rotação'!$K55&amp;",",","&amp;SUBSTITUTE('Dano fixo'!$I$9,", ",",")&amp;",")))),1,0)</f>
        <v>0</v>
      </c>
      <c r="X55" s="2">
        <f t="shared" si="8"/>
        <v>0</v>
      </c>
      <c r="Y55" s="2">
        <f>W55*IF('Dano fixo'!$J$9="",$A55,MIN($A55,MAX(0,'Dano fixo'!$J$9-X54)))</f>
        <v>0</v>
      </c>
      <c r="Z55" s="2">
        <f>IF(AND($A55&gt;0,N('Dano fixo'!$L$10)&gt;0,OR('Dano fixo'!$G$10="Todos",ISNUMBER(SEARCH(","&amp;'Rotação'!$I55&amp;",",","&amp;SUBSTITUTE('Dano fixo'!$G$10,", ",",")&amp;","))),OR('Dano fixo'!$H$10="",ISNUMBER(SEARCH(","&amp;'Rotação'!$R55&amp;",",","&amp;SUBSTITUTE('Dano fixo'!$H$10,", ",",")&amp;","))),OR('Dano fixo'!$I$10="",ISNUMBER(SEARCH(","&amp;'Rotação'!$K55&amp;",",","&amp;SUBSTITUTE('Dano fixo'!$I$10,", ",",")&amp;",")))),1,0)</f>
        <v>0</v>
      </c>
      <c r="AA55" s="2">
        <f t="shared" si="9"/>
        <v>0</v>
      </c>
      <c r="AB55" s="2">
        <f>Z55*IF('Dano fixo'!$J$10="",$A55,MIN($A55,MAX(0,'Dano fixo'!$J$10-AA54)))</f>
        <v>0</v>
      </c>
      <c r="AC55" s="2">
        <f>IF(AND($A55&gt;0,N('Dano fixo'!$L$11)&gt;0,OR('Dano fixo'!$G$11="Todos",ISNUMBER(SEARCH(","&amp;'Rotação'!$I55&amp;",",","&amp;SUBSTITUTE('Dano fixo'!$G$11,", ",",")&amp;","))),OR('Dano fixo'!$H$11="",ISNUMBER(SEARCH(","&amp;'Rotação'!$R55&amp;",",","&amp;SUBSTITUTE('Dano fixo'!$H$11,", ",",")&amp;","))),OR('Dano fixo'!$I$11="",ISNUMBER(SEARCH(","&amp;'Rotação'!$K55&amp;",",","&amp;SUBSTITUTE('Dano fixo'!$I$11,", ",",")&amp;",")))),1,0)</f>
        <v>0</v>
      </c>
      <c r="AD55" s="2">
        <f t="shared" si="10"/>
        <v>0</v>
      </c>
      <c r="AE55" s="2">
        <f>AC55*IF('Dano fixo'!$J$11="",$A55,MIN($A55,MAX(0,'Dano fixo'!$J$11-AD54)))</f>
        <v>0</v>
      </c>
      <c r="AF55" s="2">
        <f>D55*'Dano fixo'!$L$2+G55*'Dano fixo'!$L$3+J55*'Dano fixo'!$L$4+M55*'Dano fixo'!$L$5+P55*'Dano fixo'!$L$6+S55*'Dano fixo'!$L$7+V55*'Dano fixo'!$L$8+Y55*'Dano fixo'!$L$9+AB55*'Dano fixo'!$L$10+AE55*'Dano fixo'!$L$11</f>
        <v>0</v>
      </c>
    </row>
    <row r="56" ht="15.75" customHeight="1">
      <c r="A56" s="2">
        <f t="array" ref="A56">IF(ISNUMBER('Rotação'!$J56),IF('Rotação'!$B56="",1,'Rotação'!$B56)*IF(ISNUMBER('Rotação'!$H56),MAX(1,N(INDEX(L_Golpes!$BN$2:$BN$6000,'Rotação'!$H56))),1),0)</f>
        <v>0</v>
      </c>
      <c r="B56" s="2">
        <f>IF(AND($A56&gt;0,N('Dano fixo'!$L$2)&gt;0,OR('Dano fixo'!$G$2="Todos",ISNUMBER(SEARCH(","&amp;'Rotação'!$I56&amp;",",","&amp;SUBSTITUTE('Dano fixo'!$G$2,", ",",")&amp;","))),OR('Dano fixo'!$H$2="",ISNUMBER(SEARCH(","&amp;'Rotação'!$R56&amp;",",","&amp;SUBSTITUTE('Dano fixo'!$H$2,", ",",")&amp;","))),OR('Dano fixo'!$I$2="",ISNUMBER(SEARCH(","&amp;'Rotação'!$K56&amp;",",","&amp;SUBSTITUTE('Dano fixo'!$I$2,", ",",")&amp;",")))),1,0)</f>
        <v>0</v>
      </c>
      <c r="C56" s="2">
        <f t="shared" si="1"/>
        <v>0</v>
      </c>
      <c r="D56" s="2">
        <f>B56*IF('Dano fixo'!$J$2="",$A56,MIN($A56,MAX(0,'Dano fixo'!$J$2-C55)))</f>
        <v>0</v>
      </c>
      <c r="E56" s="2">
        <f>IF(AND($A56&gt;0,N('Dano fixo'!$L$3)&gt;0,OR('Dano fixo'!$G$3="Todos",ISNUMBER(SEARCH(","&amp;'Rotação'!$I56&amp;",",","&amp;SUBSTITUTE('Dano fixo'!$G$3,", ",",")&amp;","))),OR('Dano fixo'!$H$3="",ISNUMBER(SEARCH(","&amp;'Rotação'!$R56&amp;",",","&amp;SUBSTITUTE('Dano fixo'!$H$3,", ",",")&amp;","))),OR('Dano fixo'!$I$3="",ISNUMBER(SEARCH(","&amp;'Rotação'!$K56&amp;",",","&amp;SUBSTITUTE('Dano fixo'!$I$3,", ",",")&amp;",")))),1,0)</f>
        <v>0</v>
      </c>
      <c r="F56" s="2">
        <f t="shared" si="2"/>
        <v>0</v>
      </c>
      <c r="G56" s="2">
        <f>E56*IF('Dano fixo'!$J$3="",$A56,MIN($A56,MAX(0,'Dano fixo'!$J$3-F55)))</f>
        <v>0</v>
      </c>
      <c r="H56" s="2">
        <f>IF(AND($A56&gt;0,N('Dano fixo'!$L$4)&gt;0,OR('Dano fixo'!$G$4="Todos",ISNUMBER(SEARCH(","&amp;'Rotação'!$I56&amp;",",","&amp;SUBSTITUTE('Dano fixo'!$G$4,", ",",")&amp;","))),OR('Dano fixo'!$H$4="",ISNUMBER(SEARCH(","&amp;'Rotação'!$R56&amp;",",","&amp;SUBSTITUTE('Dano fixo'!$H$4,", ",",")&amp;","))),OR('Dano fixo'!$I$4="",ISNUMBER(SEARCH(","&amp;'Rotação'!$K56&amp;",",","&amp;SUBSTITUTE('Dano fixo'!$I$4,", ",",")&amp;",")))),1,0)</f>
        <v>0</v>
      </c>
      <c r="I56" s="2">
        <f t="shared" si="3"/>
        <v>0</v>
      </c>
      <c r="J56" s="2">
        <f>H56*IF('Dano fixo'!$J$4="",$A56,MIN($A56,MAX(0,'Dano fixo'!$J$4-I55)))</f>
        <v>0</v>
      </c>
      <c r="K56" s="2">
        <f>IF(AND($A56&gt;0,N('Dano fixo'!$L$5)&gt;0,OR('Dano fixo'!$G$5="Todos",ISNUMBER(SEARCH(","&amp;'Rotação'!$I56&amp;",",","&amp;SUBSTITUTE('Dano fixo'!$G$5,", ",",")&amp;","))),OR('Dano fixo'!$H$5="",ISNUMBER(SEARCH(","&amp;'Rotação'!$R56&amp;",",","&amp;SUBSTITUTE('Dano fixo'!$H$5,", ",",")&amp;","))),OR('Dano fixo'!$I$5="",ISNUMBER(SEARCH(","&amp;'Rotação'!$K56&amp;",",","&amp;SUBSTITUTE('Dano fixo'!$I$5,", ",",")&amp;",")))),1,0)</f>
        <v>0</v>
      </c>
      <c r="L56" s="2">
        <f t="shared" si="4"/>
        <v>0</v>
      </c>
      <c r="M56" s="2">
        <f>K56*IF('Dano fixo'!$J$5="",$A56,MIN($A56,MAX(0,'Dano fixo'!$J$5-L55)))</f>
        <v>0</v>
      </c>
      <c r="N56" s="2">
        <f>IF(AND($A56&gt;0,N('Dano fixo'!$L$6)&gt;0,OR('Dano fixo'!$G$6="Todos",ISNUMBER(SEARCH(","&amp;'Rotação'!$I56&amp;",",","&amp;SUBSTITUTE('Dano fixo'!$G$6,", ",",")&amp;","))),OR('Dano fixo'!$H$6="",ISNUMBER(SEARCH(","&amp;'Rotação'!$R56&amp;",",","&amp;SUBSTITUTE('Dano fixo'!$H$6,", ",",")&amp;","))),OR('Dano fixo'!$I$6="",ISNUMBER(SEARCH(","&amp;'Rotação'!$K56&amp;",",","&amp;SUBSTITUTE('Dano fixo'!$I$6,", ",",")&amp;",")))),1,0)</f>
        <v>0</v>
      </c>
      <c r="O56" s="2">
        <f t="shared" si="5"/>
        <v>0</v>
      </c>
      <c r="P56" s="2">
        <f>N56*IF('Dano fixo'!$J$6="",$A56,MIN($A56,MAX(0,'Dano fixo'!$J$6-O55)))</f>
        <v>0</v>
      </c>
      <c r="Q56" s="2">
        <f>IF(AND($A56&gt;0,N('Dano fixo'!$L$7)&gt;0,OR('Dano fixo'!$G$7="Todos",ISNUMBER(SEARCH(","&amp;'Rotação'!$I56&amp;",",","&amp;SUBSTITUTE('Dano fixo'!$G$7,", ",",")&amp;","))),OR('Dano fixo'!$H$7="",ISNUMBER(SEARCH(","&amp;'Rotação'!$R56&amp;",",","&amp;SUBSTITUTE('Dano fixo'!$H$7,", ",",")&amp;","))),OR('Dano fixo'!$I$7="",ISNUMBER(SEARCH(","&amp;'Rotação'!$K56&amp;",",","&amp;SUBSTITUTE('Dano fixo'!$I$7,", ",",")&amp;",")))),1,0)</f>
        <v>0</v>
      </c>
      <c r="R56" s="2">
        <f t="shared" si="6"/>
        <v>0</v>
      </c>
      <c r="S56" s="2">
        <f>Q56*IF('Dano fixo'!$J$7="",$A56,MIN($A56,MAX(0,'Dano fixo'!$J$7-R55)))</f>
        <v>0</v>
      </c>
      <c r="T56" s="2">
        <f>IF(AND($A56&gt;0,N('Dano fixo'!$L$8)&gt;0,OR('Dano fixo'!$G$8="Todos",ISNUMBER(SEARCH(","&amp;'Rotação'!$I56&amp;",",","&amp;SUBSTITUTE('Dano fixo'!$G$8,", ",",")&amp;","))),OR('Dano fixo'!$H$8="",ISNUMBER(SEARCH(","&amp;'Rotação'!$R56&amp;",",","&amp;SUBSTITUTE('Dano fixo'!$H$8,", ",",")&amp;","))),OR('Dano fixo'!$I$8="",ISNUMBER(SEARCH(","&amp;'Rotação'!$K56&amp;",",","&amp;SUBSTITUTE('Dano fixo'!$I$8,", ",",")&amp;",")))),1,0)</f>
        <v>0</v>
      </c>
      <c r="U56" s="2">
        <f t="shared" si="7"/>
        <v>0</v>
      </c>
      <c r="V56" s="2">
        <f>T56*IF('Dano fixo'!$J$8="",$A56,MIN($A56,MAX(0,'Dano fixo'!$J$8-U55)))</f>
        <v>0</v>
      </c>
      <c r="W56" s="2">
        <f>IF(AND($A56&gt;0,N('Dano fixo'!$L$9)&gt;0,OR('Dano fixo'!$G$9="Todos",ISNUMBER(SEARCH(","&amp;'Rotação'!$I56&amp;",",","&amp;SUBSTITUTE('Dano fixo'!$G$9,", ",",")&amp;","))),OR('Dano fixo'!$H$9="",ISNUMBER(SEARCH(","&amp;'Rotação'!$R56&amp;",",","&amp;SUBSTITUTE('Dano fixo'!$H$9,", ",",")&amp;","))),OR('Dano fixo'!$I$9="",ISNUMBER(SEARCH(","&amp;'Rotação'!$K56&amp;",",","&amp;SUBSTITUTE('Dano fixo'!$I$9,", ",",")&amp;",")))),1,0)</f>
        <v>0</v>
      </c>
      <c r="X56" s="2">
        <f t="shared" si="8"/>
        <v>0</v>
      </c>
      <c r="Y56" s="2">
        <f>W56*IF('Dano fixo'!$J$9="",$A56,MIN($A56,MAX(0,'Dano fixo'!$J$9-X55)))</f>
        <v>0</v>
      </c>
      <c r="Z56" s="2">
        <f>IF(AND($A56&gt;0,N('Dano fixo'!$L$10)&gt;0,OR('Dano fixo'!$G$10="Todos",ISNUMBER(SEARCH(","&amp;'Rotação'!$I56&amp;",",","&amp;SUBSTITUTE('Dano fixo'!$G$10,", ",",")&amp;","))),OR('Dano fixo'!$H$10="",ISNUMBER(SEARCH(","&amp;'Rotação'!$R56&amp;",",","&amp;SUBSTITUTE('Dano fixo'!$H$10,", ",",")&amp;","))),OR('Dano fixo'!$I$10="",ISNUMBER(SEARCH(","&amp;'Rotação'!$K56&amp;",",","&amp;SUBSTITUTE('Dano fixo'!$I$10,", ",",")&amp;",")))),1,0)</f>
        <v>0</v>
      </c>
      <c r="AA56" s="2">
        <f t="shared" si="9"/>
        <v>0</v>
      </c>
      <c r="AB56" s="2">
        <f>Z56*IF('Dano fixo'!$J$10="",$A56,MIN($A56,MAX(0,'Dano fixo'!$J$10-AA55)))</f>
        <v>0</v>
      </c>
      <c r="AC56" s="2">
        <f>IF(AND($A56&gt;0,N('Dano fixo'!$L$11)&gt;0,OR('Dano fixo'!$G$11="Todos",ISNUMBER(SEARCH(","&amp;'Rotação'!$I56&amp;",",","&amp;SUBSTITUTE('Dano fixo'!$G$11,", ",",")&amp;","))),OR('Dano fixo'!$H$11="",ISNUMBER(SEARCH(","&amp;'Rotação'!$R56&amp;",",","&amp;SUBSTITUTE('Dano fixo'!$H$11,", ",",")&amp;","))),OR('Dano fixo'!$I$11="",ISNUMBER(SEARCH(","&amp;'Rotação'!$K56&amp;",",","&amp;SUBSTITUTE('Dano fixo'!$I$11,", ",",")&amp;",")))),1,0)</f>
        <v>0</v>
      </c>
      <c r="AD56" s="2">
        <f t="shared" si="10"/>
        <v>0</v>
      </c>
      <c r="AE56" s="2">
        <f>AC56*IF('Dano fixo'!$J$11="",$A56,MIN($A56,MAX(0,'Dano fixo'!$J$11-AD55)))</f>
        <v>0</v>
      </c>
      <c r="AF56" s="2">
        <f>D56*'Dano fixo'!$L$2+G56*'Dano fixo'!$L$3+J56*'Dano fixo'!$L$4+M56*'Dano fixo'!$L$5+P56*'Dano fixo'!$L$6+S56*'Dano fixo'!$L$7+V56*'Dano fixo'!$L$8+Y56*'Dano fixo'!$L$9+AB56*'Dano fixo'!$L$10+AE56*'Dano fixo'!$L$11</f>
        <v>0</v>
      </c>
    </row>
    <row r="57" ht="15.75" customHeight="1">
      <c r="A57" s="2">
        <f t="array" ref="A57">IF(ISNUMBER('Rotação'!$J57),IF('Rotação'!$B57="",1,'Rotação'!$B57)*IF(ISNUMBER('Rotação'!$H57),MAX(1,N(INDEX(L_Golpes!$BN$2:$BN$6000,'Rotação'!$H57))),1),0)</f>
        <v>0</v>
      </c>
      <c r="B57" s="2">
        <f>IF(AND($A57&gt;0,N('Dano fixo'!$L$2)&gt;0,OR('Dano fixo'!$G$2="Todos",ISNUMBER(SEARCH(","&amp;'Rotação'!$I57&amp;",",","&amp;SUBSTITUTE('Dano fixo'!$G$2,", ",",")&amp;","))),OR('Dano fixo'!$H$2="",ISNUMBER(SEARCH(","&amp;'Rotação'!$R57&amp;",",","&amp;SUBSTITUTE('Dano fixo'!$H$2,", ",",")&amp;","))),OR('Dano fixo'!$I$2="",ISNUMBER(SEARCH(","&amp;'Rotação'!$K57&amp;",",","&amp;SUBSTITUTE('Dano fixo'!$I$2,", ",",")&amp;",")))),1,0)</f>
        <v>0</v>
      </c>
      <c r="C57" s="2">
        <f t="shared" si="1"/>
        <v>0</v>
      </c>
      <c r="D57" s="2">
        <f>B57*IF('Dano fixo'!$J$2="",$A57,MIN($A57,MAX(0,'Dano fixo'!$J$2-C56)))</f>
        <v>0</v>
      </c>
      <c r="E57" s="2">
        <f>IF(AND($A57&gt;0,N('Dano fixo'!$L$3)&gt;0,OR('Dano fixo'!$G$3="Todos",ISNUMBER(SEARCH(","&amp;'Rotação'!$I57&amp;",",","&amp;SUBSTITUTE('Dano fixo'!$G$3,", ",",")&amp;","))),OR('Dano fixo'!$H$3="",ISNUMBER(SEARCH(","&amp;'Rotação'!$R57&amp;",",","&amp;SUBSTITUTE('Dano fixo'!$H$3,", ",",")&amp;","))),OR('Dano fixo'!$I$3="",ISNUMBER(SEARCH(","&amp;'Rotação'!$K57&amp;",",","&amp;SUBSTITUTE('Dano fixo'!$I$3,", ",",")&amp;",")))),1,0)</f>
        <v>0</v>
      </c>
      <c r="F57" s="2">
        <f t="shared" si="2"/>
        <v>0</v>
      </c>
      <c r="G57" s="2">
        <f>E57*IF('Dano fixo'!$J$3="",$A57,MIN($A57,MAX(0,'Dano fixo'!$J$3-F56)))</f>
        <v>0</v>
      </c>
      <c r="H57" s="2">
        <f>IF(AND($A57&gt;0,N('Dano fixo'!$L$4)&gt;0,OR('Dano fixo'!$G$4="Todos",ISNUMBER(SEARCH(","&amp;'Rotação'!$I57&amp;",",","&amp;SUBSTITUTE('Dano fixo'!$G$4,", ",",")&amp;","))),OR('Dano fixo'!$H$4="",ISNUMBER(SEARCH(","&amp;'Rotação'!$R57&amp;",",","&amp;SUBSTITUTE('Dano fixo'!$H$4,", ",",")&amp;","))),OR('Dano fixo'!$I$4="",ISNUMBER(SEARCH(","&amp;'Rotação'!$K57&amp;",",","&amp;SUBSTITUTE('Dano fixo'!$I$4,", ",",")&amp;",")))),1,0)</f>
        <v>0</v>
      </c>
      <c r="I57" s="2">
        <f t="shared" si="3"/>
        <v>0</v>
      </c>
      <c r="J57" s="2">
        <f>H57*IF('Dano fixo'!$J$4="",$A57,MIN($A57,MAX(0,'Dano fixo'!$J$4-I56)))</f>
        <v>0</v>
      </c>
      <c r="K57" s="2">
        <f>IF(AND($A57&gt;0,N('Dano fixo'!$L$5)&gt;0,OR('Dano fixo'!$G$5="Todos",ISNUMBER(SEARCH(","&amp;'Rotação'!$I57&amp;",",","&amp;SUBSTITUTE('Dano fixo'!$G$5,", ",",")&amp;","))),OR('Dano fixo'!$H$5="",ISNUMBER(SEARCH(","&amp;'Rotação'!$R57&amp;",",","&amp;SUBSTITUTE('Dano fixo'!$H$5,", ",",")&amp;","))),OR('Dano fixo'!$I$5="",ISNUMBER(SEARCH(","&amp;'Rotação'!$K57&amp;",",","&amp;SUBSTITUTE('Dano fixo'!$I$5,", ",",")&amp;",")))),1,0)</f>
        <v>0</v>
      </c>
      <c r="L57" s="2">
        <f t="shared" si="4"/>
        <v>0</v>
      </c>
      <c r="M57" s="2">
        <f>K57*IF('Dano fixo'!$J$5="",$A57,MIN($A57,MAX(0,'Dano fixo'!$J$5-L56)))</f>
        <v>0</v>
      </c>
      <c r="N57" s="2">
        <f>IF(AND($A57&gt;0,N('Dano fixo'!$L$6)&gt;0,OR('Dano fixo'!$G$6="Todos",ISNUMBER(SEARCH(","&amp;'Rotação'!$I57&amp;",",","&amp;SUBSTITUTE('Dano fixo'!$G$6,", ",",")&amp;","))),OR('Dano fixo'!$H$6="",ISNUMBER(SEARCH(","&amp;'Rotação'!$R57&amp;",",","&amp;SUBSTITUTE('Dano fixo'!$H$6,", ",",")&amp;","))),OR('Dano fixo'!$I$6="",ISNUMBER(SEARCH(","&amp;'Rotação'!$K57&amp;",",","&amp;SUBSTITUTE('Dano fixo'!$I$6,", ",",")&amp;",")))),1,0)</f>
        <v>0</v>
      </c>
      <c r="O57" s="2">
        <f t="shared" si="5"/>
        <v>0</v>
      </c>
      <c r="P57" s="2">
        <f>N57*IF('Dano fixo'!$J$6="",$A57,MIN($A57,MAX(0,'Dano fixo'!$J$6-O56)))</f>
        <v>0</v>
      </c>
      <c r="Q57" s="2">
        <f>IF(AND($A57&gt;0,N('Dano fixo'!$L$7)&gt;0,OR('Dano fixo'!$G$7="Todos",ISNUMBER(SEARCH(","&amp;'Rotação'!$I57&amp;",",","&amp;SUBSTITUTE('Dano fixo'!$G$7,", ",",")&amp;","))),OR('Dano fixo'!$H$7="",ISNUMBER(SEARCH(","&amp;'Rotação'!$R57&amp;",",","&amp;SUBSTITUTE('Dano fixo'!$H$7,", ",",")&amp;","))),OR('Dano fixo'!$I$7="",ISNUMBER(SEARCH(","&amp;'Rotação'!$K57&amp;",",","&amp;SUBSTITUTE('Dano fixo'!$I$7,", ",",")&amp;",")))),1,0)</f>
        <v>0</v>
      </c>
      <c r="R57" s="2">
        <f t="shared" si="6"/>
        <v>0</v>
      </c>
      <c r="S57" s="2">
        <f>Q57*IF('Dano fixo'!$J$7="",$A57,MIN($A57,MAX(0,'Dano fixo'!$J$7-R56)))</f>
        <v>0</v>
      </c>
      <c r="T57" s="2">
        <f>IF(AND($A57&gt;0,N('Dano fixo'!$L$8)&gt;0,OR('Dano fixo'!$G$8="Todos",ISNUMBER(SEARCH(","&amp;'Rotação'!$I57&amp;",",","&amp;SUBSTITUTE('Dano fixo'!$G$8,", ",",")&amp;","))),OR('Dano fixo'!$H$8="",ISNUMBER(SEARCH(","&amp;'Rotação'!$R57&amp;",",","&amp;SUBSTITUTE('Dano fixo'!$H$8,", ",",")&amp;","))),OR('Dano fixo'!$I$8="",ISNUMBER(SEARCH(","&amp;'Rotação'!$K57&amp;",",","&amp;SUBSTITUTE('Dano fixo'!$I$8,", ",",")&amp;",")))),1,0)</f>
        <v>0</v>
      </c>
      <c r="U57" s="2">
        <f t="shared" si="7"/>
        <v>0</v>
      </c>
      <c r="V57" s="2">
        <f>T57*IF('Dano fixo'!$J$8="",$A57,MIN($A57,MAX(0,'Dano fixo'!$J$8-U56)))</f>
        <v>0</v>
      </c>
      <c r="W57" s="2">
        <f>IF(AND($A57&gt;0,N('Dano fixo'!$L$9)&gt;0,OR('Dano fixo'!$G$9="Todos",ISNUMBER(SEARCH(","&amp;'Rotação'!$I57&amp;",",","&amp;SUBSTITUTE('Dano fixo'!$G$9,", ",",")&amp;","))),OR('Dano fixo'!$H$9="",ISNUMBER(SEARCH(","&amp;'Rotação'!$R57&amp;",",","&amp;SUBSTITUTE('Dano fixo'!$H$9,", ",",")&amp;","))),OR('Dano fixo'!$I$9="",ISNUMBER(SEARCH(","&amp;'Rotação'!$K57&amp;",",","&amp;SUBSTITUTE('Dano fixo'!$I$9,", ",",")&amp;",")))),1,0)</f>
        <v>0</v>
      </c>
      <c r="X57" s="2">
        <f t="shared" si="8"/>
        <v>0</v>
      </c>
      <c r="Y57" s="2">
        <f>W57*IF('Dano fixo'!$J$9="",$A57,MIN($A57,MAX(0,'Dano fixo'!$J$9-X56)))</f>
        <v>0</v>
      </c>
      <c r="Z57" s="2">
        <f>IF(AND($A57&gt;0,N('Dano fixo'!$L$10)&gt;0,OR('Dano fixo'!$G$10="Todos",ISNUMBER(SEARCH(","&amp;'Rotação'!$I57&amp;",",","&amp;SUBSTITUTE('Dano fixo'!$G$10,", ",",")&amp;","))),OR('Dano fixo'!$H$10="",ISNUMBER(SEARCH(","&amp;'Rotação'!$R57&amp;",",","&amp;SUBSTITUTE('Dano fixo'!$H$10,", ",",")&amp;","))),OR('Dano fixo'!$I$10="",ISNUMBER(SEARCH(","&amp;'Rotação'!$K57&amp;",",","&amp;SUBSTITUTE('Dano fixo'!$I$10,", ",",")&amp;",")))),1,0)</f>
        <v>0</v>
      </c>
      <c r="AA57" s="2">
        <f t="shared" si="9"/>
        <v>0</v>
      </c>
      <c r="AB57" s="2">
        <f>Z57*IF('Dano fixo'!$J$10="",$A57,MIN($A57,MAX(0,'Dano fixo'!$J$10-AA56)))</f>
        <v>0</v>
      </c>
      <c r="AC57" s="2">
        <f>IF(AND($A57&gt;0,N('Dano fixo'!$L$11)&gt;0,OR('Dano fixo'!$G$11="Todos",ISNUMBER(SEARCH(","&amp;'Rotação'!$I57&amp;",",","&amp;SUBSTITUTE('Dano fixo'!$G$11,", ",",")&amp;","))),OR('Dano fixo'!$H$11="",ISNUMBER(SEARCH(","&amp;'Rotação'!$R57&amp;",",","&amp;SUBSTITUTE('Dano fixo'!$H$11,", ",",")&amp;","))),OR('Dano fixo'!$I$11="",ISNUMBER(SEARCH(","&amp;'Rotação'!$K57&amp;",",","&amp;SUBSTITUTE('Dano fixo'!$I$11,", ",",")&amp;",")))),1,0)</f>
        <v>0</v>
      </c>
      <c r="AD57" s="2">
        <f t="shared" si="10"/>
        <v>0</v>
      </c>
      <c r="AE57" s="2">
        <f>AC57*IF('Dano fixo'!$J$11="",$A57,MIN($A57,MAX(0,'Dano fixo'!$J$11-AD56)))</f>
        <v>0</v>
      </c>
      <c r="AF57" s="2">
        <f>D57*'Dano fixo'!$L$2+G57*'Dano fixo'!$L$3+J57*'Dano fixo'!$L$4+M57*'Dano fixo'!$L$5+P57*'Dano fixo'!$L$6+S57*'Dano fixo'!$L$7+V57*'Dano fixo'!$L$8+Y57*'Dano fixo'!$L$9+AB57*'Dano fixo'!$L$10+AE57*'Dano fixo'!$L$11</f>
        <v>0</v>
      </c>
    </row>
    <row r="58" ht="15.75" customHeight="1">
      <c r="A58" s="2">
        <f t="array" ref="A58">IF(ISNUMBER('Rotação'!$J58),IF('Rotação'!$B58="",1,'Rotação'!$B58)*IF(ISNUMBER('Rotação'!$H58),MAX(1,N(INDEX(L_Golpes!$BN$2:$BN$6000,'Rotação'!$H58))),1),0)</f>
        <v>0</v>
      </c>
      <c r="B58" s="2">
        <f>IF(AND($A58&gt;0,N('Dano fixo'!$L$2)&gt;0,OR('Dano fixo'!$G$2="Todos",ISNUMBER(SEARCH(","&amp;'Rotação'!$I58&amp;",",","&amp;SUBSTITUTE('Dano fixo'!$G$2,", ",",")&amp;","))),OR('Dano fixo'!$H$2="",ISNUMBER(SEARCH(","&amp;'Rotação'!$R58&amp;",",","&amp;SUBSTITUTE('Dano fixo'!$H$2,", ",",")&amp;","))),OR('Dano fixo'!$I$2="",ISNUMBER(SEARCH(","&amp;'Rotação'!$K58&amp;",",","&amp;SUBSTITUTE('Dano fixo'!$I$2,", ",",")&amp;",")))),1,0)</f>
        <v>0</v>
      </c>
      <c r="C58" s="2">
        <f t="shared" si="1"/>
        <v>0</v>
      </c>
      <c r="D58" s="2">
        <f>B58*IF('Dano fixo'!$J$2="",$A58,MIN($A58,MAX(0,'Dano fixo'!$J$2-C57)))</f>
        <v>0</v>
      </c>
      <c r="E58" s="2">
        <f>IF(AND($A58&gt;0,N('Dano fixo'!$L$3)&gt;0,OR('Dano fixo'!$G$3="Todos",ISNUMBER(SEARCH(","&amp;'Rotação'!$I58&amp;",",","&amp;SUBSTITUTE('Dano fixo'!$G$3,", ",",")&amp;","))),OR('Dano fixo'!$H$3="",ISNUMBER(SEARCH(","&amp;'Rotação'!$R58&amp;",",","&amp;SUBSTITUTE('Dano fixo'!$H$3,", ",",")&amp;","))),OR('Dano fixo'!$I$3="",ISNUMBER(SEARCH(","&amp;'Rotação'!$K58&amp;",",","&amp;SUBSTITUTE('Dano fixo'!$I$3,", ",",")&amp;",")))),1,0)</f>
        <v>0</v>
      </c>
      <c r="F58" s="2">
        <f t="shared" si="2"/>
        <v>0</v>
      </c>
      <c r="G58" s="2">
        <f>E58*IF('Dano fixo'!$J$3="",$A58,MIN($A58,MAX(0,'Dano fixo'!$J$3-F57)))</f>
        <v>0</v>
      </c>
      <c r="H58" s="2">
        <f>IF(AND($A58&gt;0,N('Dano fixo'!$L$4)&gt;0,OR('Dano fixo'!$G$4="Todos",ISNUMBER(SEARCH(","&amp;'Rotação'!$I58&amp;",",","&amp;SUBSTITUTE('Dano fixo'!$G$4,", ",",")&amp;","))),OR('Dano fixo'!$H$4="",ISNUMBER(SEARCH(","&amp;'Rotação'!$R58&amp;",",","&amp;SUBSTITUTE('Dano fixo'!$H$4,", ",",")&amp;","))),OR('Dano fixo'!$I$4="",ISNUMBER(SEARCH(","&amp;'Rotação'!$K58&amp;",",","&amp;SUBSTITUTE('Dano fixo'!$I$4,", ",",")&amp;",")))),1,0)</f>
        <v>0</v>
      </c>
      <c r="I58" s="2">
        <f t="shared" si="3"/>
        <v>0</v>
      </c>
      <c r="J58" s="2">
        <f>H58*IF('Dano fixo'!$J$4="",$A58,MIN($A58,MAX(0,'Dano fixo'!$J$4-I57)))</f>
        <v>0</v>
      </c>
      <c r="K58" s="2">
        <f>IF(AND($A58&gt;0,N('Dano fixo'!$L$5)&gt;0,OR('Dano fixo'!$G$5="Todos",ISNUMBER(SEARCH(","&amp;'Rotação'!$I58&amp;",",","&amp;SUBSTITUTE('Dano fixo'!$G$5,", ",",")&amp;","))),OR('Dano fixo'!$H$5="",ISNUMBER(SEARCH(","&amp;'Rotação'!$R58&amp;",",","&amp;SUBSTITUTE('Dano fixo'!$H$5,", ",",")&amp;","))),OR('Dano fixo'!$I$5="",ISNUMBER(SEARCH(","&amp;'Rotação'!$K58&amp;",",","&amp;SUBSTITUTE('Dano fixo'!$I$5,", ",",")&amp;",")))),1,0)</f>
        <v>0</v>
      </c>
      <c r="L58" s="2">
        <f t="shared" si="4"/>
        <v>0</v>
      </c>
      <c r="M58" s="2">
        <f>K58*IF('Dano fixo'!$J$5="",$A58,MIN($A58,MAX(0,'Dano fixo'!$J$5-L57)))</f>
        <v>0</v>
      </c>
      <c r="N58" s="2">
        <f>IF(AND($A58&gt;0,N('Dano fixo'!$L$6)&gt;0,OR('Dano fixo'!$G$6="Todos",ISNUMBER(SEARCH(","&amp;'Rotação'!$I58&amp;",",","&amp;SUBSTITUTE('Dano fixo'!$G$6,", ",",")&amp;","))),OR('Dano fixo'!$H$6="",ISNUMBER(SEARCH(","&amp;'Rotação'!$R58&amp;",",","&amp;SUBSTITUTE('Dano fixo'!$H$6,", ",",")&amp;","))),OR('Dano fixo'!$I$6="",ISNUMBER(SEARCH(","&amp;'Rotação'!$K58&amp;",",","&amp;SUBSTITUTE('Dano fixo'!$I$6,", ",",")&amp;",")))),1,0)</f>
        <v>0</v>
      </c>
      <c r="O58" s="2">
        <f t="shared" si="5"/>
        <v>0</v>
      </c>
      <c r="P58" s="2">
        <f>N58*IF('Dano fixo'!$J$6="",$A58,MIN($A58,MAX(0,'Dano fixo'!$J$6-O57)))</f>
        <v>0</v>
      </c>
      <c r="Q58" s="2">
        <f>IF(AND($A58&gt;0,N('Dano fixo'!$L$7)&gt;0,OR('Dano fixo'!$G$7="Todos",ISNUMBER(SEARCH(","&amp;'Rotação'!$I58&amp;",",","&amp;SUBSTITUTE('Dano fixo'!$G$7,", ",",")&amp;","))),OR('Dano fixo'!$H$7="",ISNUMBER(SEARCH(","&amp;'Rotação'!$R58&amp;",",","&amp;SUBSTITUTE('Dano fixo'!$H$7,", ",",")&amp;","))),OR('Dano fixo'!$I$7="",ISNUMBER(SEARCH(","&amp;'Rotação'!$K58&amp;",",","&amp;SUBSTITUTE('Dano fixo'!$I$7,", ",",")&amp;",")))),1,0)</f>
        <v>0</v>
      </c>
      <c r="R58" s="2">
        <f t="shared" si="6"/>
        <v>0</v>
      </c>
      <c r="S58" s="2">
        <f>Q58*IF('Dano fixo'!$J$7="",$A58,MIN($A58,MAX(0,'Dano fixo'!$J$7-R57)))</f>
        <v>0</v>
      </c>
      <c r="T58" s="2">
        <f>IF(AND($A58&gt;0,N('Dano fixo'!$L$8)&gt;0,OR('Dano fixo'!$G$8="Todos",ISNUMBER(SEARCH(","&amp;'Rotação'!$I58&amp;",",","&amp;SUBSTITUTE('Dano fixo'!$G$8,", ",",")&amp;","))),OR('Dano fixo'!$H$8="",ISNUMBER(SEARCH(","&amp;'Rotação'!$R58&amp;",",","&amp;SUBSTITUTE('Dano fixo'!$H$8,", ",",")&amp;","))),OR('Dano fixo'!$I$8="",ISNUMBER(SEARCH(","&amp;'Rotação'!$K58&amp;",",","&amp;SUBSTITUTE('Dano fixo'!$I$8,", ",",")&amp;",")))),1,0)</f>
        <v>0</v>
      </c>
      <c r="U58" s="2">
        <f t="shared" si="7"/>
        <v>0</v>
      </c>
      <c r="V58" s="2">
        <f>T58*IF('Dano fixo'!$J$8="",$A58,MIN($A58,MAX(0,'Dano fixo'!$J$8-U57)))</f>
        <v>0</v>
      </c>
      <c r="W58" s="2">
        <f>IF(AND($A58&gt;0,N('Dano fixo'!$L$9)&gt;0,OR('Dano fixo'!$G$9="Todos",ISNUMBER(SEARCH(","&amp;'Rotação'!$I58&amp;",",","&amp;SUBSTITUTE('Dano fixo'!$G$9,", ",",")&amp;","))),OR('Dano fixo'!$H$9="",ISNUMBER(SEARCH(","&amp;'Rotação'!$R58&amp;",",","&amp;SUBSTITUTE('Dano fixo'!$H$9,", ",",")&amp;","))),OR('Dano fixo'!$I$9="",ISNUMBER(SEARCH(","&amp;'Rotação'!$K58&amp;",",","&amp;SUBSTITUTE('Dano fixo'!$I$9,", ",",")&amp;",")))),1,0)</f>
        <v>0</v>
      </c>
      <c r="X58" s="2">
        <f t="shared" si="8"/>
        <v>0</v>
      </c>
      <c r="Y58" s="2">
        <f>W58*IF('Dano fixo'!$J$9="",$A58,MIN($A58,MAX(0,'Dano fixo'!$J$9-X57)))</f>
        <v>0</v>
      </c>
      <c r="Z58" s="2">
        <f>IF(AND($A58&gt;0,N('Dano fixo'!$L$10)&gt;0,OR('Dano fixo'!$G$10="Todos",ISNUMBER(SEARCH(","&amp;'Rotação'!$I58&amp;",",","&amp;SUBSTITUTE('Dano fixo'!$G$10,", ",",")&amp;","))),OR('Dano fixo'!$H$10="",ISNUMBER(SEARCH(","&amp;'Rotação'!$R58&amp;",",","&amp;SUBSTITUTE('Dano fixo'!$H$10,", ",",")&amp;","))),OR('Dano fixo'!$I$10="",ISNUMBER(SEARCH(","&amp;'Rotação'!$K58&amp;",",","&amp;SUBSTITUTE('Dano fixo'!$I$10,", ",",")&amp;",")))),1,0)</f>
        <v>0</v>
      </c>
      <c r="AA58" s="2">
        <f t="shared" si="9"/>
        <v>0</v>
      </c>
      <c r="AB58" s="2">
        <f>Z58*IF('Dano fixo'!$J$10="",$A58,MIN($A58,MAX(0,'Dano fixo'!$J$10-AA57)))</f>
        <v>0</v>
      </c>
      <c r="AC58" s="2">
        <f>IF(AND($A58&gt;0,N('Dano fixo'!$L$11)&gt;0,OR('Dano fixo'!$G$11="Todos",ISNUMBER(SEARCH(","&amp;'Rotação'!$I58&amp;",",","&amp;SUBSTITUTE('Dano fixo'!$G$11,", ",",")&amp;","))),OR('Dano fixo'!$H$11="",ISNUMBER(SEARCH(","&amp;'Rotação'!$R58&amp;",",","&amp;SUBSTITUTE('Dano fixo'!$H$11,", ",",")&amp;","))),OR('Dano fixo'!$I$11="",ISNUMBER(SEARCH(","&amp;'Rotação'!$K58&amp;",",","&amp;SUBSTITUTE('Dano fixo'!$I$11,", ",",")&amp;",")))),1,0)</f>
        <v>0</v>
      </c>
      <c r="AD58" s="2">
        <f t="shared" si="10"/>
        <v>0</v>
      </c>
      <c r="AE58" s="2">
        <f>AC58*IF('Dano fixo'!$J$11="",$A58,MIN($A58,MAX(0,'Dano fixo'!$J$11-AD57)))</f>
        <v>0</v>
      </c>
      <c r="AF58" s="2">
        <f>D58*'Dano fixo'!$L$2+G58*'Dano fixo'!$L$3+J58*'Dano fixo'!$L$4+M58*'Dano fixo'!$L$5+P58*'Dano fixo'!$L$6+S58*'Dano fixo'!$L$7+V58*'Dano fixo'!$L$8+Y58*'Dano fixo'!$L$9+AB58*'Dano fixo'!$L$10+AE58*'Dano fixo'!$L$11</f>
        <v>0</v>
      </c>
    </row>
    <row r="59" ht="15.75" customHeight="1">
      <c r="A59" s="2">
        <f t="array" ref="A59">IF(ISNUMBER('Rotação'!$J59),IF('Rotação'!$B59="",1,'Rotação'!$B59)*IF(ISNUMBER('Rotação'!$H59),MAX(1,N(INDEX(L_Golpes!$BN$2:$BN$6000,'Rotação'!$H59))),1),0)</f>
        <v>0</v>
      </c>
      <c r="B59" s="2">
        <f>IF(AND($A59&gt;0,N('Dano fixo'!$L$2)&gt;0,OR('Dano fixo'!$G$2="Todos",ISNUMBER(SEARCH(","&amp;'Rotação'!$I59&amp;",",","&amp;SUBSTITUTE('Dano fixo'!$G$2,", ",",")&amp;","))),OR('Dano fixo'!$H$2="",ISNUMBER(SEARCH(","&amp;'Rotação'!$R59&amp;",",","&amp;SUBSTITUTE('Dano fixo'!$H$2,", ",",")&amp;","))),OR('Dano fixo'!$I$2="",ISNUMBER(SEARCH(","&amp;'Rotação'!$K59&amp;",",","&amp;SUBSTITUTE('Dano fixo'!$I$2,", ",",")&amp;",")))),1,0)</f>
        <v>0</v>
      </c>
      <c r="C59" s="2">
        <f t="shared" si="1"/>
        <v>0</v>
      </c>
      <c r="D59" s="2">
        <f>B59*IF('Dano fixo'!$J$2="",$A59,MIN($A59,MAX(0,'Dano fixo'!$J$2-C58)))</f>
        <v>0</v>
      </c>
      <c r="E59" s="2">
        <f>IF(AND($A59&gt;0,N('Dano fixo'!$L$3)&gt;0,OR('Dano fixo'!$G$3="Todos",ISNUMBER(SEARCH(","&amp;'Rotação'!$I59&amp;",",","&amp;SUBSTITUTE('Dano fixo'!$G$3,", ",",")&amp;","))),OR('Dano fixo'!$H$3="",ISNUMBER(SEARCH(","&amp;'Rotação'!$R59&amp;",",","&amp;SUBSTITUTE('Dano fixo'!$H$3,", ",",")&amp;","))),OR('Dano fixo'!$I$3="",ISNUMBER(SEARCH(","&amp;'Rotação'!$K59&amp;",",","&amp;SUBSTITUTE('Dano fixo'!$I$3,", ",",")&amp;",")))),1,0)</f>
        <v>0</v>
      </c>
      <c r="F59" s="2">
        <f t="shared" si="2"/>
        <v>0</v>
      </c>
      <c r="G59" s="2">
        <f>E59*IF('Dano fixo'!$J$3="",$A59,MIN($A59,MAX(0,'Dano fixo'!$J$3-F58)))</f>
        <v>0</v>
      </c>
      <c r="H59" s="2">
        <f>IF(AND($A59&gt;0,N('Dano fixo'!$L$4)&gt;0,OR('Dano fixo'!$G$4="Todos",ISNUMBER(SEARCH(","&amp;'Rotação'!$I59&amp;",",","&amp;SUBSTITUTE('Dano fixo'!$G$4,", ",",")&amp;","))),OR('Dano fixo'!$H$4="",ISNUMBER(SEARCH(","&amp;'Rotação'!$R59&amp;",",","&amp;SUBSTITUTE('Dano fixo'!$H$4,", ",",")&amp;","))),OR('Dano fixo'!$I$4="",ISNUMBER(SEARCH(","&amp;'Rotação'!$K59&amp;",",","&amp;SUBSTITUTE('Dano fixo'!$I$4,", ",",")&amp;",")))),1,0)</f>
        <v>0</v>
      </c>
      <c r="I59" s="2">
        <f t="shared" si="3"/>
        <v>0</v>
      </c>
      <c r="J59" s="2">
        <f>H59*IF('Dano fixo'!$J$4="",$A59,MIN($A59,MAX(0,'Dano fixo'!$J$4-I58)))</f>
        <v>0</v>
      </c>
      <c r="K59" s="2">
        <f>IF(AND($A59&gt;0,N('Dano fixo'!$L$5)&gt;0,OR('Dano fixo'!$G$5="Todos",ISNUMBER(SEARCH(","&amp;'Rotação'!$I59&amp;",",","&amp;SUBSTITUTE('Dano fixo'!$G$5,", ",",")&amp;","))),OR('Dano fixo'!$H$5="",ISNUMBER(SEARCH(","&amp;'Rotação'!$R59&amp;",",","&amp;SUBSTITUTE('Dano fixo'!$H$5,", ",",")&amp;","))),OR('Dano fixo'!$I$5="",ISNUMBER(SEARCH(","&amp;'Rotação'!$K59&amp;",",","&amp;SUBSTITUTE('Dano fixo'!$I$5,", ",",")&amp;",")))),1,0)</f>
        <v>0</v>
      </c>
      <c r="L59" s="2">
        <f t="shared" si="4"/>
        <v>0</v>
      </c>
      <c r="M59" s="2">
        <f>K59*IF('Dano fixo'!$J$5="",$A59,MIN($A59,MAX(0,'Dano fixo'!$J$5-L58)))</f>
        <v>0</v>
      </c>
      <c r="N59" s="2">
        <f>IF(AND($A59&gt;0,N('Dano fixo'!$L$6)&gt;0,OR('Dano fixo'!$G$6="Todos",ISNUMBER(SEARCH(","&amp;'Rotação'!$I59&amp;",",","&amp;SUBSTITUTE('Dano fixo'!$G$6,", ",",")&amp;","))),OR('Dano fixo'!$H$6="",ISNUMBER(SEARCH(","&amp;'Rotação'!$R59&amp;",",","&amp;SUBSTITUTE('Dano fixo'!$H$6,", ",",")&amp;","))),OR('Dano fixo'!$I$6="",ISNUMBER(SEARCH(","&amp;'Rotação'!$K59&amp;",",","&amp;SUBSTITUTE('Dano fixo'!$I$6,", ",",")&amp;",")))),1,0)</f>
        <v>0</v>
      </c>
      <c r="O59" s="2">
        <f t="shared" si="5"/>
        <v>0</v>
      </c>
      <c r="P59" s="2">
        <f>N59*IF('Dano fixo'!$J$6="",$A59,MIN($A59,MAX(0,'Dano fixo'!$J$6-O58)))</f>
        <v>0</v>
      </c>
      <c r="Q59" s="2">
        <f>IF(AND($A59&gt;0,N('Dano fixo'!$L$7)&gt;0,OR('Dano fixo'!$G$7="Todos",ISNUMBER(SEARCH(","&amp;'Rotação'!$I59&amp;",",","&amp;SUBSTITUTE('Dano fixo'!$G$7,", ",",")&amp;","))),OR('Dano fixo'!$H$7="",ISNUMBER(SEARCH(","&amp;'Rotação'!$R59&amp;",",","&amp;SUBSTITUTE('Dano fixo'!$H$7,", ",",")&amp;","))),OR('Dano fixo'!$I$7="",ISNUMBER(SEARCH(","&amp;'Rotação'!$K59&amp;",",","&amp;SUBSTITUTE('Dano fixo'!$I$7,", ",",")&amp;",")))),1,0)</f>
        <v>0</v>
      </c>
      <c r="R59" s="2">
        <f t="shared" si="6"/>
        <v>0</v>
      </c>
      <c r="S59" s="2">
        <f>Q59*IF('Dano fixo'!$J$7="",$A59,MIN($A59,MAX(0,'Dano fixo'!$J$7-R58)))</f>
        <v>0</v>
      </c>
      <c r="T59" s="2">
        <f>IF(AND($A59&gt;0,N('Dano fixo'!$L$8)&gt;0,OR('Dano fixo'!$G$8="Todos",ISNUMBER(SEARCH(","&amp;'Rotação'!$I59&amp;",",","&amp;SUBSTITUTE('Dano fixo'!$G$8,", ",",")&amp;","))),OR('Dano fixo'!$H$8="",ISNUMBER(SEARCH(","&amp;'Rotação'!$R59&amp;",",","&amp;SUBSTITUTE('Dano fixo'!$H$8,", ",",")&amp;","))),OR('Dano fixo'!$I$8="",ISNUMBER(SEARCH(","&amp;'Rotação'!$K59&amp;",",","&amp;SUBSTITUTE('Dano fixo'!$I$8,", ",",")&amp;",")))),1,0)</f>
        <v>0</v>
      </c>
      <c r="U59" s="2">
        <f t="shared" si="7"/>
        <v>0</v>
      </c>
      <c r="V59" s="2">
        <f>T59*IF('Dano fixo'!$J$8="",$A59,MIN($A59,MAX(0,'Dano fixo'!$J$8-U58)))</f>
        <v>0</v>
      </c>
      <c r="W59" s="2">
        <f>IF(AND($A59&gt;0,N('Dano fixo'!$L$9)&gt;0,OR('Dano fixo'!$G$9="Todos",ISNUMBER(SEARCH(","&amp;'Rotação'!$I59&amp;",",","&amp;SUBSTITUTE('Dano fixo'!$G$9,", ",",")&amp;","))),OR('Dano fixo'!$H$9="",ISNUMBER(SEARCH(","&amp;'Rotação'!$R59&amp;",",","&amp;SUBSTITUTE('Dano fixo'!$H$9,", ",",")&amp;","))),OR('Dano fixo'!$I$9="",ISNUMBER(SEARCH(","&amp;'Rotação'!$K59&amp;",",","&amp;SUBSTITUTE('Dano fixo'!$I$9,", ",",")&amp;",")))),1,0)</f>
        <v>0</v>
      </c>
      <c r="X59" s="2">
        <f t="shared" si="8"/>
        <v>0</v>
      </c>
      <c r="Y59" s="2">
        <f>W59*IF('Dano fixo'!$J$9="",$A59,MIN($A59,MAX(0,'Dano fixo'!$J$9-X58)))</f>
        <v>0</v>
      </c>
      <c r="Z59" s="2">
        <f>IF(AND($A59&gt;0,N('Dano fixo'!$L$10)&gt;0,OR('Dano fixo'!$G$10="Todos",ISNUMBER(SEARCH(","&amp;'Rotação'!$I59&amp;",",","&amp;SUBSTITUTE('Dano fixo'!$G$10,", ",",")&amp;","))),OR('Dano fixo'!$H$10="",ISNUMBER(SEARCH(","&amp;'Rotação'!$R59&amp;",",","&amp;SUBSTITUTE('Dano fixo'!$H$10,", ",",")&amp;","))),OR('Dano fixo'!$I$10="",ISNUMBER(SEARCH(","&amp;'Rotação'!$K59&amp;",",","&amp;SUBSTITUTE('Dano fixo'!$I$10,", ",",")&amp;",")))),1,0)</f>
        <v>0</v>
      </c>
      <c r="AA59" s="2">
        <f t="shared" si="9"/>
        <v>0</v>
      </c>
      <c r="AB59" s="2">
        <f>Z59*IF('Dano fixo'!$J$10="",$A59,MIN($A59,MAX(0,'Dano fixo'!$J$10-AA58)))</f>
        <v>0</v>
      </c>
      <c r="AC59" s="2">
        <f>IF(AND($A59&gt;0,N('Dano fixo'!$L$11)&gt;0,OR('Dano fixo'!$G$11="Todos",ISNUMBER(SEARCH(","&amp;'Rotação'!$I59&amp;",",","&amp;SUBSTITUTE('Dano fixo'!$G$11,", ",",")&amp;","))),OR('Dano fixo'!$H$11="",ISNUMBER(SEARCH(","&amp;'Rotação'!$R59&amp;",",","&amp;SUBSTITUTE('Dano fixo'!$H$11,", ",",")&amp;","))),OR('Dano fixo'!$I$11="",ISNUMBER(SEARCH(","&amp;'Rotação'!$K59&amp;",",","&amp;SUBSTITUTE('Dano fixo'!$I$11,", ",",")&amp;",")))),1,0)</f>
        <v>0</v>
      </c>
      <c r="AD59" s="2">
        <f t="shared" si="10"/>
        <v>0</v>
      </c>
      <c r="AE59" s="2">
        <f>AC59*IF('Dano fixo'!$J$11="",$A59,MIN($A59,MAX(0,'Dano fixo'!$J$11-AD58)))</f>
        <v>0</v>
      </c>
      <c r="AF59" s="2">
        <f>D59*'Dano fixo'!$L$2+G59*'Dano fixo'!$L$3+J59*'Dano fixo'!$L$4+M59*'Dano fixo'!$L$5+P59*'Dano fixo'!$L$6+S59*'Dano fixo'!$L$7+V59*'Dano fixo'!$L$8+Y59*'Dano fixo'!$L$9+AB59*'Dano fixo'!$L$10+AE59*'Dano fixo'!$L$11</f>
        <v>0</v>
      </c>
    </row>
    <row r="60" ht="15.75" customHeight="1">
      <c r="A60" s="2">
        <f t="array" ref="A60">IF(ISNUMBER('Rotação'!$J60),IF('Rotação'!$B60="",1,'Rotação'!$B60)*IF(ISNUMBER('Rotação'!$H60),MAX(1,N(INDEX(L_Golpes!$BN$2:$BN$6000,'Rotação'!$H60))),1),0)</f>
        <v>0</v>
      </c>
      <c r="B60" s="2">
        <f>IF(AND($A60&gt;0,N('Dano fixo'!$L$2)&gt;0,OR('Dano fixo'!$G$2="Todos",ISNUMBER(SEARCH(","&amp;'Rotação'!$I60&amp;",",","&amp;SUBSTITUTE('Dano fixo'!$G$2,", ",",")&amp;","))),OR('Dano fixo'!$H$2="",ISNUMBER(SEARCH(","&amp;'Rotação'!$R60&amp;",",","&amp;SUBSTITUTE('Dano fixo'!$H$2,", ",",")&amp;","))),OR('Dano fixo'!$I$2="",ISNUMBER(SEARCH(","&amp;'Rotação'!$K60&amp;",",","&amp;SUBSTITUTE('Dano fixo'!$I$2,", ",",")&amp;",")))),1,0)</f>
        <v>0</v>
      </c>
      <c r="C60" s="2">
        <f t="shared" si="1"/>
        <v>0</v>
      </c>
      <c r="D60" s="2">
        <f>B60*IF('Dano fixo'!$J$2="",$A60,MIN($A60,MAX(0,'Dano fixo'!$J$2-C59)))</f>
        <v>0</v>
      </c>
      <c r="E60" s="2">
        <f>IF(AND($A60&gt;0,N('Dano fixo'!$L$3)&gt;0,OR('Dano fixo'!$G$3="Todos",ISNUMBER(SEARCH(","&amp;'Rotação'!$I60&amp;",",","&amp;SUBSTITUTE('Dano fixo'!$G$3,", ",",")&amp;","))),OR('Dano fixo'!$H$3="",ISNUMBER(SEARCH(","&amp;'Rotação'!$R60&amp;",",","&amp;SUBSTITUTE('Dano fixo'!$H$3,", ",",")&amp;","))),OR('Dano fixo'!$I$3="",ISNUMBER(SEARCH(","&amp;'Rotação'!$K60&amp;",",","&amp;SUBSTITUTE('Dano fixo'!$I$3,", ",",")&amp;",")))),1,0)</f>
        <v>0</v>
      </c>
      <c r="F60" s="2">
        <f t="shared" si="2"/>
        <v>0</v>
      </c>
      <c r="G60" s="2">
        <f>E60*IF('Dano fixo'!$J$3="",$A60,MIN($A60,MAX(0,'Dano fixo'!$J$3-F59)))</f>
        <v>0</v>
      </c>
      <c r="H60" s="2">
        <f>IF(AND($A60&gt;0,N('Dano fixo'!$L$4)&gt;0,OR('Dano fixo'!$G$4="Todos",ISNUMBER(SEARCH(","&amp;'Rotação'!$I60&amp;",",","&amp;SUBSTITUTE('Dano fixo'!$G$4,", ",",")&amp;","))),OR('Dano fixo'!$H$4="",ISNUMBER(SEARCH(","&amp;'Rotação'!$R60&amp;",",","&amp;SUBSTITUTE('Dano fixo'!$H$4,", ",",")&amp;","))),OR('Dano fixo'!$I$4="",ISNUMBER(SEARCH(","&amp;'Rotação'!$K60&amp;",",","&amp;SUBSTITUTE('Dano fixo'!$I$4,", ",",")&amp;",")))),1,0)</f>
        <v>0</v>
      </c>
      <c r="I60" s="2">
        <f t="shared" si="3"/>
        <v>0</v>
      </c>
      <c r="J60" s="2">
        <f>H60*IF('Dano fixo'!$J$4="",$A60,MIN($A60,MAX(0,'Dano fixo'!$J$4-I59)))</f>
        <v>0</v>
      </c>
      <c r="K60" s="2">
        <f>IF(AND($A60&gt;0,N('Dano fixo'!$L$5)&gt;0,OR('Dano fixo'!$G$5="Todos",ISNUMBER(SEARCH(","&amp;'Rotação'!$I60&amp;",",","&amp;SUBSTITUTE('Dano fixo'!$G$5,", ",",")&amp;","))),OR('Dano fixo'!$H$5="",ISNUMBER(SEARCH(","&amp;'Rotação'!$R60&amp;",",","&amp;SUBSTITUTE('Dano fixo'!$H$5,", ",",")&amp;","))),OR('Dano fixo'!$I$5="",ISNUMBER(SEARCH(","&amp;'Rotação'!$K60&amp;",",","&amp;SUBSTITUTE('Dano fixo'!$I$5,", ",",")&amp;",")))),1,0)</f>
        <v>0</v>
      </c>
      <c r="L60" s="2">
        <f t="shared" si="4"/>
        <v>0</v>
      </c>
      <c r="M60" s="2">
        <f>K60*IF('Dano fixo'!$J$5="",$A60,MIN($A60,MAX(0,'Dano fixo'!$J$5-L59)))</f>
        <v>0</v>
      </c>
      <c r="N60" s="2">
        <f>IF(AND($A60&gt;0,N('Dano fixo'!$L$6)&gt;0,OR('Dano fixo'!$G$6="Todos",ISNUMBER(SEARCH(","&amp;'Rotação'!$I60&amp;",",","&amp;SUBSTITUTE('Dano fixo'!$G$6,", ",",")&amp;","))),OR('Dano fixo'!$H$6="",ISNUMBER(SEARCH(","&amp;'Rotação'!$R60&amp;",",","&amp;SUBSTITUTE('Dano fixo'!$H$6,", ",",")&amp;","))),OR('Dano fixo'!$I$6="",ISNUMBER(SEARCH(","&amp;'Rotação'!$K60&amp;",",","&amp;SUBSTITUTE('Dano fixo'!$I$6,", ",",")&amp;",")))),1,0)</f>
        <v>0</v>
      </c>
      <c r="O60" s="2">
        <f t="shared" si="5"/>
        <v>0</v>
      </c>
      <c r="P60" s="2">
        <f>N60*IF('Dano fixo'!$J$6="",$A60,MIN($A60,MAX(0,'Dano fixo'!$J$6-O59)))</f>
        <v>0</v>
      </c>
      <c r="Q60" s="2">
        <f>IF(AND($A60&gt;0,N('Dano fixo'!$L$7)&gt;0,OR('Dano fixo'!$G$7="Todos",ISNUMBER(SEARCH(","&amp;'Rotação'!$I60&amp;",",","&amp;SUBSTITUTE('Dano fixo'!$G$7,", ",",")&amp;","))),OR('Dano fixo'!$H$7="",ISNUMBER(SEARCH(","&amp;'Rotação'!$R60&amp;",",","&amp;SUBSTITUTE('Dano fixo'!$H$7,", ",",")&amp;","))),OR('Dano fixo'!$I$7="",ISNUMBER(SEARCH(","&amp;'Rotação'!$K60&amp;",",","&amp;SUBSTITUTE('Dano fixo'!$I$7,", ",",")&amp;",")))),1,0)</f>
        <v>0</v>
      </c>
      <c r="R60" s="2">
        <f t="shared" si="6"/>
        <v>0</v>
      </c>
      <c r="S60" s="2">
        <f>Q60*IF('Dano fixo'!$J$7="",$A60,MIN($A60,MAX(0,'Dano fixo'!$J$7-R59)))</f>
        <v>0</v>
      </c>
      <c r="T60" s="2">
        <f>IF(AND($A60&gt;0,N('Dano fixo'!$L$8)&gt;0,OR('Dano fixo'!$G$8="Todos",ISNUMBER(SEARCH(","&amp;'Rotação'!$I60&amp;",",","&amp;SUBSTITUTE('Dano fixo'!$G$8,", ",",")&amp;","))),OR('Dano fixo'!$H$8="",ISNUMBER(SEARCH(","&amp;'Rotação'!$R60&amp;",",","&amp;SUBSTITUTE('Dano fixo'!$H$8,", ",",")&amp;","))),OR('Dano fixo'!$I$8="",ISNUMBER(SEARCH(","&amp;'Rotação'!$K60&amp;",",","&amp;SUBSTITUTE('Dano fixo'!$I$8,", ",",")&amp;",")))),1,0)</f>
        <v>0</v>
      </c>
      <c r="U60" s="2">
        <f t="shared" si="7"/>
        <v>0</v>
      </c>
      <c r="V60" s="2">
        <f>T60*IF('Dano fixo'!$J$8="",$A60,MIN($A60,MAX(0,'Dano fixo'!$J$8-U59)))</f>
        <v>0</v>
      </c>
      <c r="W60" s="2">
        <f>IF(AND($A60&gt;0,N('Dano fixo'!$L$9)&gt;0,OR('Dano fixo'!$G$9="Todos",ISNUMBER(SEARCH(","&amp;'Rotação'!$I60&amp;",",","&amp;SUBSTITUTE('Dano fixo'!$G$9,", ",",")&amp;","))),OR('Dano fixo'!$H$9="",ISNUMBER(SEARCH(","&amp;'Rotação'!$R60&amp;",",","&amp;SUBSTITUTE('Dano fixo'!$H$9,", ",",")&amp;","))),OR('Dano fixo'!$I$9="",ISNUMBER(SEARCH(","&amp;'Rotação'!$K60&amp;",",","&amp;SUBSTITUTE('Dano fixo'!$I$9,", ",",")&amp;",")))),1,0)</f>
        <v>0</v>
      </c>
      <c r="X60" s="2">
        <f t="shared" si="8"/>
        <v>0</v>
      </c>
      <c r="Y60" s="2">
        <f>W60*IF('Dano fixo'!$J$9="",$A60,MIN($A60,MAX(0,'Dano fixo'!$J$9-X59)))</f>
        <v>0</v>
      </c>
      <c r="Z60" s="2">
        <f>IF(AND($A60&gt;0,N('Dano fixo'!$L$10)&gt;0,OR('Dano fixo'!$G$10="Todos",ISNUMBER(SEARCH(","&amp;'Rotação'!$I60&amp;",",","&amp;SUBSTITUTE('Dano fixo'!$G$10,", ",",")&amp;","))),OR('Dano fixo'!$H$10="",ISNUMBER(SEARCH(","&amp;'Rotação'!$R60&amp;",",","&amp;SUBSTITUTE('Dano fixo'!$H$10,", ",",")&amp;","))),OR('Dano fixo'!$I$10="",ISNUMBER(SEARCH(","&amp;'Rotação'!$K60&amp;",",","&amp;SUBSTITUTE('Dano fixo'!$I$10,", ",",")&amp;",")))),1,0)</f>
        <v>0</v>
      </c>
      <c r="AA60" s="2">
        <f t="shared" si="9"/>
        <v>0</v>
      </c>
      <c r="AB60" s="2">
        <f>Z60*IF('Dano fixo'!$J$10="",$A60,MIN($A60,MAX(0,'Dano fixo'!$J$10-AA59)))</f>
        <v>0</v>
      </c>
      <c r="AC60" s="2">
        <f>IF(AND($A60&gt;0,N('Dano fixo'!$L$11)&gt;0,OR('Dano fixo'!$G$11="Todos",ISNUMBER(SEARCH(","&amp;'Rotação'!$I60&amp;",",","&amp;SUBSTITUTE('Dano fixo'!$G$11,", ",",")&amp;","))),OR('Dano fixo'!$H$11="",ISNUMBER(SEARCH(","&amp;'Rotação'!$R60&amp;",",","&amp;SUBSTITUTE('Dano fixo'!$H$11,", ",",")&amp;","))),OR('Dano fixo'!$I$11="",ISNUMBER(SEARCH(","&amp;'Rotação'!$K60&amp;",",","&amp;SUBSTITUTE('Dano fixo'!$I$11,", ",",")&amp;",")))),1,0)</f>
        <v>0</v>
      </c>
      <c r="AD60" s="2">
        <f t="shared" si="10"/>
        <v>0</v>
      </c>
      <c r="AE60" s="2">
        <f>AC60*IF('Dano fixo'!$J$11="",$A60,MIN($A60,MAX(0,'Dano fixo'!$J$11-AD59)))</f>
        <v>0</v>
      </c>
      <c r="AF60" s="2">
        <f>D60*'Dano fixo'!$L$2+G60*'Dano fixo'!$L$3+J60*'Dano fixo'!$L$4+M60*'Dano fixo'!$L$5+P60*'Dano fixo'!$L$6+S60*'Dano fixo'!$L$7+V60*'Dano fixo'!$L$8+Y60*'Dano fixo'!$L$9+AB60*'Dano fixo'!$L$10+AE60*'Dano fixo'!$L$11</f>
        <v>0</v>
      </c>
    </row>
    <row r="61" ht="15.75" customHeight="1">
      <c r="A61" s="2">
        <f t="array" ref="A61">IF(ISNUMBER('Rotação'!$J61),IF('Rotação'!$B61="",1,'Rotação'!$B61)*IF(ISNUMBER('Rotação'!$H61),MAX(1,N(INDEX(L_Golpes!$BN$2:$BN$6000,'Rotação'!$H61))),1),0)</f>
        <v>0</v>
      </c>
      <c r="B61" s="2">
        <f>IF(AND($A61&gt;0,N('Dano fixo'!$L$2)&gt;0,OR('Dano fixo'!$G$2="Todos",ISNUMBER(SEARCH(","&amp;'Rotação'!$I61&amp;",",","&amp;SUBSTITUTE('Dano fixo'!$G$2,", ",",")&amp;","))),OR('Dano fixo'!$H$2="",ISNUMBER(SEARCH(","&amp;'Rotação'!$R61&amp;",",","&amp;SUBSTITUTE('Dano fixo'!$H$2,", ",",")&amp;","))),OR('Dano fixo'!$I$2="",ISNUMBER(SEARCH(","&amp;'Rotação'!$K61&amp;",",","&amp;SUBSTITUTE('Dano fixo'!$I$2,", ",",")&amp;",")))),1,0)</f>
        <v>0</v>
      </c>
      <c r="C61" s="2">
        <f t="shared" si="1"/>
        <v>0</v>
      </c>
      <c r="D61" s="2">
        <f>B61*IF('Dano fixo'!$J$2="",$A61,MIN($A61,MAX(0,'Dano fixo'!$J$2-C60)))</f>
        <v>0</v>
      </c>
      <c r="E61" s="2">
        <f>IF(AND($A61&gt;0,N('Dano fixo'!$L$3)&gt;0,OR('Dano fixo'!$G$3="Todos",ISNUMBER(SEARCH(","&amp;'Rotação'!$I61&amp;",",","&amp;SUBSTITUTE('Dano fixo'!$G$3,", ",",")&amp;","))),OR('Dano fixo'!$H$3="",ISNUMBER(SEARCH(","&amp;'Rotação'!$R61&amp;",",","&amp;SUBSTITUTE('Dano fixo'!$H$3,", ",",")&amp;","))),OR('Dano fixo'!$I$3="",ISNUMBER(SEARCH(","&amp;'Rotação'!$K61&amp;",",","&amp;SUBSTITUTE('Dano fixo'!$I$3,", ",",")&amp;",")))),1,0)</f>
        <v>0</v>
      </c>
      <c r="F61" s="2">
        <f t="shared" si="2"/>
        <v>0</v>
      </c>
      <c r="G61" s="2">
        <f>E61*IF('Dano fixo'!$J$3="",$A61,MIN($A61,MAX(0,'Dano fixo'!$J$3-F60)))</f>
        <v>0</v>
      </c>
      <c r="H61" s="2">
        <f>IF(AND($A61&gt;0,N('Dano fixo'!$L$4)&gt;0,OR('Dano fixo'!$G$4="Todos",ISNUMBER(SEARCH(","&amp;'Rotação'!$I61&amp;",",","&amp;SUBSTITUTE('Dano fixo'!$G$4,", ",",")&amp;","))),OR('Dano fixo'!$H$4="",ISNUMBER(SEARCH(","&amp;'Rotação'!$R61&amp;",",","&amp;SUBSTITUTE('Dano fixo'!$H$4,", ",",")&amp;","))),OR('Dano fixo'!$I$4="",ISNUMBER(SEARCH(","&amp;'Rotação'!$K61&amp;",",","&amp;SUBSTITUTE('Dano fixo'!$I$4,", ",",")&amp;",")))),1,0)</f>
        <v>0</v>
      </c>
      <c r="I61" s="2">
        <f t="shared" si="3"/>
        <v>0</v>
      </c>
      <c r="J61" s="2">
        <f>H61*IF('Dano fixo'!$J$4="",$A61,MIN($A61,MAX(0,'Dano fixo'!$J$4-I60)))</f>
        <v>0</v>
      </c>
      <c r="K61" s="2">
        <f>IF(AND($A61&gt;0,N('Dano fixo'!$L$5)&gt;0,OR('Dano fixo'!$G$5="Todos",ISNUMBER(SEARCH(","&amp;'Rotação'!$I61&amp;",",","&amp;SUBSTITUTE('Dano fixo'!$G$5,", ",",")&amp;","))),OR('Dano fixo'!$H$5="",ISNUMBER(SEARCH(","&amp;'Rotação'!$R61&amp;",",","&amp;SUBSTITUTE('Dano fixo'!$H$5,", ",",")&amp;","))),OR('Dano fixo'!$I$5="",ISNUMBER(SEARCH(","&amp;'Rotação'!$K61&amp;",",","&amp;SUBSTITUTE('Dano fixo'!$I$5,", ",",")&amp;",")))),1,0)</f>
        <v>0</v>
      </c>
      <c r="L61" s="2">
        <f t="shared" si="4"/>
        <v>0</v>
      </c>
      <c r="M61" s="2">
        <f>K61*IF('Dano fixo'!$J$5="",$A61,MIN($A61,MAX(0,'Dano fixo'!$J$5-L60)))</f>
        <v>0</v>
      </c>
      <c r="N61" s="2">
        <f>IF(AND($A61&gt;0,N('Dano fixo'!$L$6)&gt;0,OR('Dano fixo'!$G$6="Todos",ISNUMBER(SEARCH(","&amp;'Rotação'!$I61&amp;",",","&amp;SUBSTITUTE('Dano fixo'!$G$6,", ",",")&amp;","))),OR('Dano fixo'!$H$6="",ISNUMBER(SEARCH(","&amp;'Rotação'!$R61&amp;",",","&amp;SUBSTITUTE('Dano fixo'!$H$6,", ",",")&amp;","))),OR('Dano fixo'!$I$6="",ISNUMBER(SEARCH(","&amp;'Rotação'!$K61&amp;",",","&amp;SUBSTITUTE('Dano fixo'!$I$6,", ",",")&amp;",")))),1,0)</f>
        <v>0</v>
      </c>
      <c r="O61" s="2">
        <f t="shared" si="5"/>
        <v>0</v>
      </c>
      <c r="P61" s="2">
        <f>N61*IF('Dano fixo'!$J$6="",$A61,MIN($A61,MAX(0,'Dano fixo'!$J$6-O60)))</f>
        <v>0</v>
      </c>
      <c r="Q61" s="2">
        <f>IF(AND($A61&gt;0,N('Dano fixo'!$L$7)&gt;0,OR('Dano fixo'!$G$7="Todos",ISNUMBER(SEARCH(","&amp;'Rotação'!$I61&amp;",",","&amp;SUBSTITUTE('Dano fixo'!$G$7,", ",",")&amp;","))),OR('Dano fixo'!$H$7="",ISNUMBER(SEARCH(","&amp;'Rotação'!$R61&amp;",",","&amp;SUBSTITUTE('Dano fixo'!$H$7,", ",",")&amp;","))),OR('Dano fixo'!$I$7="",ISNUMBER(SEARCH(","&amp;'Rotação'!$K61&amp;",",","&amp;SUBSTITUTE('Dano fixo'!$I$7,", ",",")&amp;",")))),1,0)</f>
        <v>0</v>
      </c>
      <c r="R61" s="2">
        <f t="shared" si="6"/>
        <v>0</v>
      </c>
      <c r="S61" s="2">
        <f>Q61*IF('Dano fixo'!$J$7="",$A61,MIN($A61,MAX(0,'Dano fixo'!$J$7-R60)))</f>
        <v>0</v>
      </c>
      <c r="T61" s="2">
        <f>IF(AND($A61&gt;0,N('Dano fixo'!$L$8)&gt;0,OR('Dano fixo'!$G$8="Todos",ISNUMBER(SEARCH(","&amp;'Rotação'!$I61&amp;",",","&amp;SUBSTITUTE('Dano fixo'!$G$8,", ",",")&amp;","))),OR('Dano fixo'!$H$8="",ISNUMBER(SEARCH(","&amp;'Rotação'!$R61&amp;",",","&amp;SUBSTITUTE('Dano fixo'!$H$8,", ",",")&amp;","))),OR('Dano fixo'!$I$8="",ISNUMBER(SEARCH(","&amp;'Rotação'!$K61&amp;",",","&amp;SUBSTITUTE('Dano fixo'!$I$8,", ",",")&amp;",")))),1,0)</f>
        <v>0</v>
      </c>
      <c r="U61" s="2">
        <f t="shared" si="7"/>
        <v>0</v>
      </c>
      <c r="V61" s="2">
        <f>T61*IF('Dano fixo'!$J$8="",$A61,MIN($A61,MAX(0,'Dano fixo'!$J$8-U60)))</f>
        <v>0</v>
      </c>
      <c r="W61" s="2">
        <f>IF(AND($A61&gt;0,N('Dano fixo'!$L$9)&gt;0,OR('Dano fixo'!$G$9="Todos",ISNUMBER(SEARCH(","&amp;'Rotação'!$I61&amp;",",","&amp;SUBSTITUTE('Dano fixo'!$G$9,", ",",")&amp;","))),OR('Dano fixo'!$H$9="",ISNUMBER(SEARCH(","&amp;'Rotação'!$R61&amp;",",","&amp;SUBSTITUTE('Dano fixo'!$H$9,", ",",")&amp;","))),OR('Dano fixo'!$I$9="",ISNUMBER(SEARCH(","&amp;'Rotação'!$K61&amp;",",","&amp;SUBSTITUTE('Dano fixo'!$I$9,", ",",")&amp;",")))),1,0)</f>
        <v>0</v>
      </c>
      <c r="X61" s="2">
        <f t="shared" si="8"/>
        <v>0</v>
      </c>
      <c r="Y61" s="2">
        <f>W61*IF('Dano fixo'!$J$9="",$A61,MIN($A61,MAX(0,'Dano fixo'!$J$9-X60)))</f>
        <v>0</v>
      </c>
      <c r="Z61" s="2">
        <f>IF(AND($A61&gt;0,N('Dano fixo'!$L$10)&gt;0,OR('Dano fixo'!$G$10="Todos",ISNUMBER(SEARCH(","&amp;'Rotação'!$I61&amp;",",","&amp;SUBSTITUTE('Dano fixo'!$G$10,", ",",")&amp;","))),OR('Dano fixo'!$H$10="",ISNUMBER(SEARCH(","&amp;'Rotação'!$R61&amp;",",","&amp;SUBSTITUTE('Dano fixo'!$H$10,", ",",")&amp;","))),OR('Dano fixo'!$I$10="",ISNUMBER(SEARCH(","&amp;'Rotação'!$K61&amp;",",","&amp;SUBSTITUTE('Dano fixo'!$I$10,", ",",")&amp;",")))),1,0)</f>
        <v>0</v>
      </c>
      <c r="AA61" s="2">
        <f t="shared" si="9"/>
        <v>0</v>
      </c>
      <c r="AB61" s="2">
        <f>Z61*IF('Dano fixo'!$J$10="",$A61,MIN($A61,MAX(0,'Dano fixo'!$J$10-AA60)))</f>
        <v>0</v>
      </c>
      <c r="AC61" s="2">
        <f>IF(AND($A61&gt;0,N('Dano fixo'!$L$11)&gt;0,OR('Dano fixo'!$G$11="Todos",ISNUMBER(SEARCH(","&amp;'Rotação'!$I61&amp;",",","&amp;SUBSTITUTE('Dano fixo'!$G$11,", ",",")&amp;","))),OR('Dano fixo'!$H$11="",ISNUMBER(SEARCH(","&amp;'Rotação'!$R61&amp;",",","&amp;SUBSTITUTE('Dano fixo'!$H$11,", ",",")&amp;","))),OR('Dano fixo'!$I$11="",ISNUMBER(SEARCH(","&amp;'Rotação'!$K61&amp;",",","&amp;SUBSTITUTE('Dano fixo'!$I$11,", ",",")&amp;",")))),1,0)</f>
        <v>0</v>
      </c>
      <c r="AD61" s="2">
        <f t="shared" si="10"/>
        <v>0</v>
      </c>
      <c r="AE61" s="2">
        <f>AC61*IF('Dano fixo'!$J$11="",$A61,MIN($A61,MAX(0,'Dano fixo'!$J$11-AD60)))</f>
        <v>0</v>
      </c>
      <c r="AF61" s="2">
        <f>D61*'Dano fixo'!$L$2+G61*'Dano fixo'!$L$3+J61*'Dano fixo'!$L$4+M61*'Dano fixo'!$L$5+P61*'Dano fixo'!$L$6+S61*'Dano fixo'!$L$7+V61*'Dano fixo'!$L$8+Y61*'Dano fixo'!$L$9+AB61*'Dano fixo'!$L$10+AE61*'Dano fixo'!$L$11</f>
        <v>0</v>
      </c>
    </row>
    <row r="62" ht="15.75" customHeight="1">
      <c r="A62" s="2">
        <f t="array" ref="A62">IF(ISNUMBER('Rotação'!$J62),IF('Rotação'!$B62="",1,'Rotação'!$B62)*IF(ISNUMBER('Rotação'!$H62),MAX(1,N(INDEX(L_Golpes!$BN$2:$BN$6000,'Rotação'!$H62))),1),0)</f>
        <v>0</v>
      </c>
      <c r="B62" s="2">
        <f>IF(AND($A62&gt;0,N('Dano fixo'!$L$2)&gt;0,OR('Dano fixo'!$G$2="Todos",ISNUMBER(SEARCH(","&amp;'Rotação'!$I62&amp;",",","&amp;SUBSTITUTE('Dano fixo'!$G$2,", ",",")&amp;","))),OR('Dano fixo'!$H$2="",ISNUMBER(SEARCH(","&amp;'Rotação'!$R62&amp;",",","&amp;SUBSTITUTE('Dano fixo'!$H$2,", ",",")&amp;","))),OR('Dano fixo'!$I$2="",ISNUMBER(SEARCH(","&amp;'Rotação'!$K62&amp;",",","&amp;SUBSTITUTE('Dano fixo'!$I$2,", ",",")&amp;",")))),1,0)</f>
        <v>0</v>
      </c>
      <c r="C62" s="2">
        <f t="shared" si="1"/>
        <v>0</v>
      </c>
      <c r="D62" s="2">
        <f>B62*IF('Dano fixo'!$J$2="",$A62,MIN($A62,MAX(0,'Dano fixo'!$J$2-C61)))</f>
        <v>0</v>
      </c>
      <c r="E62" s="2">
        <f>IF(AND($A62&gt;0,N('Dano fixo'!$L$3)&gt;0,OR('Dano fixo'!$G$3="Todos",ISNUMBER(SEARCH(","&amp;'Rotação'!$I62&amp;",",","&amp;SUBSTITUTE('Dano fixo'!$G$3,", ",",")&amp;","))),OR('Dano fixo'!$H$3="",ISNUMBER(SEARCH(","&amp;'Rotação'!$R62&amp;",",","&amp;SUBSTITUTE('Dano fixo'!$H$3,", ",",")&amp;","))),OR('Dano fixo'!$I$3="",ISNUMBER(SEARCH(","&amp;'Rotação'!$K62&amp;",",","&amp;SUBSTITUTE('Dano fixo'!$I$3,", ",",")&amp;",")))),1,0)</f>
        <v>0</v>
      </c>
      <c r="F62" s="2">
        <f t="shared" si="2"/>
        <v>0</v>
      </c>
      <c r="G62" s="2">
        <f>E62*IF('Dano fixo'!$J$3="",$A62,MIN($A62,MAX(0,'Dano fixo'!$J$3-F61)))</f>
        <v>0</v>
      </c>
      <c r="H62" s="2">
        <f>IF(AND($A62&gt;0,N('Dano fixo'!$L$4)&gt;0,OR('Dano fixo'!$G$4="Todos",ISNUMBER(SEARCH(","&amp;'Rotação'!$I62&amp;",",","&amp;SUBSTITUTE('Dano fixo'!$G$4,", ",",")&amp;","))),OR('Dano fixo'!$H$4="",ISNUMBER(SEARCH(","&amp;'Rotação'!$R62&amp;",",","&amp;SUBSTITUTE('Dano fixo'!$H$4,", ",",")&amp;","))),OR('Dano fixo'!$I$4="",ISNUMBER(SEARCH(","&amp;'Rotação'!$K62&amp;",",","&amp;SUBSTITUTE('Dano fixo'!$I$4,", ",",")&amp;",")))),1,0)</f>
        <v>0</v>
      </c>
      <c r="I62" s="2">
        <f t="shared" si="3"/>
        <v>0</v>
      </c>
      <c r="J62" s="2">
        <f>H62*IF('Dano fixo'!$J$4="",$A62,MIN($A62,MAX(0,'Dano fixo'!$J$4-I61)))</f>
        <v>0</v>
      </c>
      <c r="K62" s="2">
        <f>IF(AND($A62&gt;0,N('Dano fixo'!$L$5)&gt;0,OR('Dano fixo'!$G$5="Todos",ISNUMBER(SEARCH(","&amp;'Rotação'!$I62&amp;",",","&amp;SUBSTITUTE('Dano fixo'!$G$5,", ",",")&amp;","))),OR('Dano fixo'!$H$5="",ISNUMBER(SEARCH(","&amp;'Rotação'!$R62&amp;",",","&amp;SUBSTITUTE('Dano fixo'!$H$5,", ",",")&amp;","))),OR('Dano fixo'!$I$5="",ISNUMBER(SEARCH(","&amp;'Rotação'!$K62&amp;",",","&amp;SUBSTITUTE('Dano fixo'!$I$5,", ",",")&amp;",")))),1,0)</f>
        <v>0</v>
      </c>
      <c r="L62" s="2">
        <f t="shared" si="4"/>
        <v>0</v>
      </c>
      <c r="M62" s="2">
        <f>K62*IF('Dano fixo'!$J$5="",$A62,MIN($A62,MAX(0,'Dano fixo'!$J$5-L61)))</f>
        <v>0</v>
      </c>
      <c r="N62" s="2">
        <f>IF(AND($A62&gt;0,N('Dano fixo'!$L$6)&gt;0,OR('Dano fixo'!$G$6="Todos",ISNUMBER(SEARCH(","&amp;'Rotação'!$I62&amp;",",","&amp;SUBSTITUTE('Dano fixo'!$G$6,", ",",")&amp;","))),OR('Dano fixo'!$H$6="",ISNUMBER(SEARCH(","&amp;'Rotação'!$R62&amp;",",","&amp;SUBSTITUTE('Dano fixo'!$H$6,", ",",")&amp;","))),OR('Dano fixo'!$I$6="",ISNUMBER(SEARCH(","&amp;'Rotação'!$K62&amp;",",","&amp;SUBSTITUTE('Dano fixo'!$I$6,", ",",")&amp;",")))),1,0)</f>
        <v>0</v>
      </c>
      <c r="O62" s="2">
        <f t="shared" si="5"/>
        <v>0</v>
      </c>
      <c r="P62" s="2">
        <f>N62*IF('Dano fixo'!$J$6="",$A62,MIN($A62,MAX(0,'Dano fixo'!$J$6-O61)))</f>
        <v>0</v>
      </c>
      <c r="Q62" s="2">
        <f>IF(AND($A62&gt;0,N('Dano fixo'!$L$7)&gt;0,OR('Dano fixo'!$G$7="Todos",ISNUMBER(SEARCH(","&amp;'Rotação'!$I62&amp;",",","&amp;SUBSTITUTE('Dano fixo'!$G$7,", ",",")&amp;","))),OR('Dano fixo'!$H$7="",ISNUMBER(SEARCH(","&amp;'Rotação'!$R62&amp;",",","&amp;SUBSTITUTE('Dano fixo'!$H$7,", ",",")&amp;","))),OR('Dano fixo'!$I$7="",ISNUMBER(SEARCH(","&amp;'Rotação'!$K62&amp;",",","&amp;SUBSTITUTE('Dano fixo'!$I$7,", ",",")&amp;",")))),1,0)</f>
        <v>0</v>
      </c>
      <c r="R62" s="2">
        <f t="shared" si="6"/>
        <v>0</v>
      </c>
      <c r="S62" s="2">
        <f>Q62*IF('Dano fixo'!$J$7="",$A62,MIN($A62,MAX(0,'Dano fixo'!$J$7-R61)))</f>
        <v>0</v>
      </c>
      <c r="T62" s="2">
        <f>IF(AND($A62&gt;0,N('Dano fixo'!$L$8)&gt;0,OR('Dano fixo'!$G$8="Todos",ISNUMBER(SEARCH(","&amp;'Rotação'!$I62&amp;",",","&amp;SUBSTITUTE('Dano fixo'!$G$8,", ",",")&amp;","))),OR('Dano fixo'!$H$8="",ISNUMBER(SEARCH(","&amp;'Rotação'!$R62&amp;",",","&amp;SUBSTITUTE('Dano fixo'!$H$8,", ",",")&amp;","))),OR('Dano fixo'!$I$8="",ISNUMBER(SEARCH(","&amp;'Rotação'!$K62&amp;",",","&amp;SUBSTITUTE('Dano fixo'!$I$8,", ",",")&amp;",")))),1,0)</f>
        <v>0</v>
      </c>
      <c r="U62" s="2">
        <f t="shared" si="7"/>
        <v>0</v>
      </c>
      <c r="V62" s="2">
        <f>T62*IF('Dano fixo'!$J$8="",$A62,MIN($A62,MAX(0,'Dano fixo'!$J$8-U61)))</f>
        <v>0</v>
      </c>
      <c r="W62" s="2">
        <f>IF(AND($A62&gt;0,N('Dano fixo'!$L$9)&gt;0,OR('Dano fixo'!$G$9="Todos",ISNUMBER(SEARCH(","&amp;'Rotação'!$I62&amp;",",","&amp;SUBSTITUTE('Dano fixo'!$G$9,", ",",")&amp;","))),OR('Dano fixo'!$H$9="",ISNUMBER(SEARCH(","&amp;'Rotação'!$R62&amp;",",","&amp;SUBSTITUTE('Dano fixo'!$H$9,", ",",")&amp;","))),OR('Dano fixo'!$I$9="",ISNUMBER(SEARCH(","&amp;'Rotação'!$K62&amp;",",","&amp;SUBSTITUTE('Dano fixo'!$I$9,", ",",")&amp;",")))),1,0)</f>
        <v>0</v>
      </c>
      <c r="X62" s="2">
        <f t="shared" si="8"/>
        <v>0</v>
      </c>
      <c r="Y62" s="2">
        <f>W62*IF('Dano fixo'!$J$9="",$A62,MIN($A62,MAX(0,'Dano fixo'!$J$9-X61)))</f>
        <v>0</v>
      </c>
      <c r="Z62" s="2">
        <f>IF(AND($A62&gt;0,N('Dano fixo'!$L$10)&gt;0,OR('Dano fixo'!$G$10="Todos",ISNUMBER(SEARCH(","&amp;'Rotação'!$I62&amp;",",","&amp;SUBSTITUTE('Dano fixo'!$G$10,", ",",")&amp;","))),OR('Dano fixo'!$H$10="",ISNUMBER(SEARCH(","&amp;'Rotação'!$R62&amp;",",","&amp;SUBSTITUTE('Dano fixo'!$H$10,", ",",")&amp;","))),OR('Dano fixo'!$I$10="",ISNUMBER(SEARCH(","&amp;'Rotação'!$K62&amp;",",","&amp;SUBSTITUTE('Dano fixo'!$I$10,", ",",")&amp;",")))),1,0)</f>
        <v>0</v>
      </c>
      <c r="AA62" s="2">
        <f t="shared" si="9"/>
        <v>0</v>
      </c>
      <c r="AB62" s="2">
        <f>Z62*IF('Dano fixo'!$J$10="",$A62,MIN($A62,MAX(0,'Dano fixo'!$J$10-AA61)))</f>
        <v>0</v>
      </c>
      <c r="AC62" s="2">
        <f>IF(AND($A62&gt;0,N('Dano fixo'!$L$11)&gt;0,OR('Dano fixo'!$G$11="Todos",ISNUMBER(SEARCH(","&amp;'Rotação'!$I62&amp;",",","&amp;SUBSTITUTE('Dano fixo'!$G$11,", ",",")&amp;","))),OR('Dano fixo'!$H$11="",ISNUMBER(SEARCH(","&amp;'Rotação'!$R62&amp;",",","&amp;SUBSTITUTE('Dano fixo'!$H$11,", ",",")&amp;","))),OR('Dano fixo'!$I$11="",ISNUMBER(SEARCH(","&amp;'Rotação'!$K62&amp;",",","&amp;SUBSTITUTE('Dano fixo'!$I$11,", ",",")&amp;",")))),1,0)</f>
        <v>0</v>
      </c>
      <c r="AD62" s="2">
        <f t="shared" si="10"/>
        <v>0</v>
      </c>
      <c r="AE62" s="2">
        <f>AC62*IF('Dano fixo'!$J$11="",$A62,MIN($A62,MAX(0,'Dano fixo'!$J$11-AD61)))</f>
        <v>0</v>
      </c>
      <c r="AF62" s="2">
        <f>D62*'Dano fixo'!$L$2+G62*'Dano fixo'!$L$3+J62*'Dano fixo'!$L$4+M62*'Dano fixo'!$L$5+P62*'Dano fixo'!$L$6+S62*'Dano fixo'!$L$7+V62*'Dano fixo'!$L$8+Y62*'Dano fixo'!$L$9+AB62*'Dano fixo'!$L$10+AE62*'Dano fixo'!$L$11</f>
        <v>0</v>
      </c>
    </row>
    <row r="63" ht="15.75" customHeight="1">
      <c r="A63" s="2">
        <f t="array" ref="A63">IF(ISNUMBER('Rotação'!$J63),IF('Rotação'!$B63="",1,'Rotação'!$B63)*IF(ISNUMBER('Rotação'!$H63),MAX(1,N(INDEX(L_Golpes!$BN$2:$BN$6000,'Rotação'!$H63))),1),0)</f>
        <v>0</v>
      </c>
      <c r="B63" s="2">
        <f>IF(AND($A63&gt;0,N('Dano fixo'!$L$2)&gt;0,OR('Dano fixo'!$G$2="Todos",ISNUMBER(SEARCH(","&amp;'Rotação'!$I63&amp;",",","&amp;SUBSTITUTE('Dano fixo'!$G$2,", ",",")&amp;","))),OR('Dano fixo'!$H$2="",ISNUMBER(SEARCH(","&amp;'Rotação'!$R63&amp;",",","&amp;SUBSTITUTE('Dano fixo'!$H$2,", ",",")&amp;","))),OR('Dano fixo'!$I$2="",ISNUMBER(SEARCH(","&amp;'Rotação'!$K63&amp;",",","&amp;SUBSTITUTE('Dano fixo'!$I$2,", ",",")&amp;",")))),1,0)</f>
        <v>0</v>
      </c>
      <c r="C63" s="2">
        <f t="shared" si="1"/>
        <v>0</v>
      </c>
      <c r="D63" s="2">
        <f>B63*IF('Dano fixo'!$J$2="",$A63,MIN($A63,MAX(0,'Dano fixo'!$J$2-C62)))</f>
        <v>0</v>
      </c>
      <c r="E63" s="2">
        <f>IF(AND($A63&gt;0,N('Dano fixo'!$L$3)&gt;0,OR('Dano fixo'!$G$3="Todos",ISNUMBER(SEARCH(","&amp;'Rotação'!$I63&amp;",",","&amp;SUBSTITUTE('Dano fixo'!$G$3,", ",",")&amp;","))),OR('Dano fixo'!$H$3="",ISNUMBER(SEARCH(","&amp;'Rotação'!$R63&amp;",",","&amp;SUBSTITUTE('Dano fixo'!$H$3,", ",",")&amp;","))),OR('Dano fixo'!$I$3="",ISNUMBER(SEARCH(","&amp;'Rotação'!$K63&amp;",",","&amp;SUBSTITUTE('Dano fixo'!$I$3,", ",",")&amp;",")))),1,0)</f>
        <v>0</v>
      </c>
      <c r="F63" s="2">
        <f t="shared" si="2"/>
        <v>0</v>
      </c>
      <c r="G63" s="2">
        <f>E63*IF('Dano fixo'!$J$3="",$A63,MIN($A63,MAX(0,'Dano fixo'!$J$3-F62)))</f>
        <v>0</v>
      </c>
      <c r="H63" s="2">
        <f>IF(AND($A63&gt;0,N('Dano fixo'!$L$4)&gt;0,OR('Dano fixo'!$G$4="Todos",ISNUMBER(SEARCH(","&amp;'Rotação'!$I63&amp;",",","&amp;SUBSTITUTE('Dano fixo'!$G$4,", ",",")&amp;","))),OR('Dano fixo'!$H$4="",ISNUMBER(SEARCH(","&amp;'Rotação'!$R63&amp;",",","&amp;SUBSTITUTE('Dano fixo'!$H$4,", ",",")&amp;","))),OR('Dano fixo'!$I$4="",ISNUMBER(SEARCH(","&amp;'Rotação'!$K63&amp;",",","&amp;SUBSTITUTE('Dano fixo'!$I$4,", ",",")&amp;",")))),1,0)</f>
        <v>0</v>
      </c>
      <c r="I63" s="2">
        <f t="shared" si="3"/>
        <v>0</v>
      </c>
      <c r="J63" s="2">
        <f>H63*IF('Dano fixo'!$J$4="",$A63,MIN($A63,MAX(0,'Dano fixo'!$J$4-I62)))</f>
        <v>0</v>
      </c>
      <c r="K63" s="2">
        <f>IF(AND($A63&gt;0,N('Dano fixo'!$L$5)&gt;0,OR('Dano fixo'!$G$5="Todos",ISNUMBER(SEARCH(","&amp;'Rotação'!$I63&amp;",",","&amp;SUBSTITUTE('Dano fixo'!$G$5,", ",",")&amp;","))),OR('Dano fixo'!$H$5="",ISNUMBER(SEARCH(","&amp;'Rotação'!$R63&amp;",",","&amp;SUBSTITUTE('Dano fixo'!$H$5,", ",",")&amp;","))),OR('Dano fixo'!$I$5="",ISNUMBER(SEARCH(","&amp;'Rotação'!$K63&amp;",",","&amp;SUBSTITUTE('Dano fixo'!$I$5,", ",",")&amp;",")))),1,0)</f>
        <v>0</v>
      </c>
      <c r="L63" s="2">
        <f t="shared" si="4"/>
        <v>0</v>
      </c>
      <c r="M63" s="2">
        <f>K63*IF('Dano fixo'!$J$5="",$A63,MIN($A63,MAX(0,'Dano fixo'!$J$5-L62)))</f>
        <v>0</v>
      </c>
      <c r="N63" s="2">
        <f>IF(AND($A63&gt;0,N('Dano fixo'!$L$6)&gt;0,OR('Dano fixo'!$G$6="Todos",ISNUMBER(SEARCH(","&amp;'Rotação'!$I63&amp;",",","&amp;SUBSTITUTE('Dano fixo'!$G$6,", ",",")&amp;","))),OR('Dano fixo'!$H$6="",ISNUMBER(SEARCH(","&amp;'Rotação'!$R63&amp;",",","&amp;SUBSTITUTE('Dano fixo'!$H$6,", ",",")&amp;","))),OR('Dano fixo'!$I$6="",ISNUMBER(SEARCH(","&amp;'Rotação'!$K63&amp;",",","&amp;SUBSTITUTE('Dano fixo'!$I$6,", ",",")&amp;",")))),1,0)</f>
        <v>0</v>
      </c>
      <c r="O63" s="2">
        <f t="shared" si="5"/>
        <v>0</v>
      </c>
      <c r="P63" s="2">
        <f>N63*IF('Dano fixo'!$J$6="",$A63,MIN($A63,MAX(0,'Dano fixo'!$J$6-O62)))</f>
        <v>0</v>
      </c>
      <c r="Q63" s="2">
        <f>IF(AND($A63&gt;0,N('Dano fixo'!$L$7)&gt;0,OR('Dano fixo'!$G$7="Todos",ISNUMBER(SEARCH(","&amp;'Rotação'!$I63&amp;",",","&amp;SUBSTITUTE('Dano fixo'!$G$7,", ",",")&amp;","))),OR('Dano fixo'!$H$7="",ISNUMBER(SEARCH(","&amp;'Rotação'!$R63&amp;",",","&amp;SUBSTITUTE('Dano fixo'!$H$7,", ",",")&amp;","))),OR('Dano fixo'!$I$7="",ISNUMBER(SEARCH(","&amp;'Rotação'!$K63&amp;",",","&amp;SUBSTITUTE('Dano fixo'!$I$7,", ",",")&amp;",")))),1,0)</f>
        <v>0</v>
      </c>
      <c r="R63" s="2">
        <f t="shared" si="6"/>
        <v>0</v>
      </c>
      <c r="S63" s="2">
        <f>Q63*IF('Dano fixo'!$J$7="",$A63,MIN($A63,MAX(0,'Dano fixo'!$J$7-R62)))</f>
        <v>0</v>
      </c>
      <c r="T63" s="2">
        <f>IF(AND($A63&gt;0,N('Dano fixo'!$L$8)&gt;0,OR('Dano fixo'!$G$8="Todos",ISNUMBER(SEARCH(","&amp;'Rotação'!$I63&amp;",",","&amp;SUBSTITUTE('Dano fixo'!$G$8,", ",",")&amp;","))),OR('Dano fixo'!$H$8="",ISNUMBER(SEARCH(","&amp;'Rotação'!$R63&amp;",",","&amp;SUBSTITUTE('Dano fixo'!$H$8,", ",",")&amp;","))),OR('Dano fixo'!$I$8="",ISNUMBER(SEARCH(","&amp;'Rotação'!$K63&amp;",",","&amp;SUBSTITUTE('Dano fixo'!$I$8,", ",",")&amp;",")))),1,0)</f>
        <v>0</v>
      </c>
      <c r="U63" s="2">
        <f t="shared" si="7"/>
        <v>0</v>
      </c>
      <c r="V63" s="2">
        <f>T63*IF('Dano fixo'!$J$8="",$A63,MIN($A63,MAX(0,'Dano fixo'!$J$8-U62)))</f>
        <v>0</v>
      </c>
      <c r="W63" s="2">
        <f>IF(AND($A63&gt;0,N('Dano fixo'!$L$9)&gt;0,OR('Dano fixo'!$G$9="Todos",ISNUMBER(SEARCH(","&amp;'Rotação'!$I63&amp;",",","&amp;SUBSTITUTE('Dano fixo'!$G$9,", ",",")&amp;","))),OR('Dano fixo'!$H$9="",ISNUMBER(SEARCH(","&amp;'Rotação'!$R63&amp;",",","&amp;SUBSTITUTE('Dano fixo'!$H$9,", ",",")&amp;","))),OR('Dano fixo'!$I$9="",ISNUMBER(SEARCH(","&amp;'Rotação'!$K63&amp;",",","&amp;SUBSTITUTE('Dano fixo'!$I$9,", ",",")&amp;",")))),1,0)</f>
        <v>0</v>
      </c>
      <c r="X63" s="2">
        <f t="shared" si="8"/>
        <v>0</v>
      </c>
      <c r="Y63" s="2">
        <f>W63*IF('Dano fixo'!$J$9="",$A63,MIN($A63,MAX(0,'Dano fixo'!$J$9-X62)))</f>
        <v>0</v>
      </c>
      <c r="Z63" s="2">
        <f>IF(AND($A63&gt;0,N('Dano fixo'!$L$10)&gt;0,OR('Dano fixo'!$G$10="Todos",ISNUMBER(SEARCH(","&amp;'Rotação'!$I63&amp;",",","&amp;SUBSTITUTE('Dano fixo'!$G$10,", ",",")&amp;","))),OR('Dano fixo'!$H$10="",ISNUMBER(SEARCH(","&amp;'Rotação'!$R63&amp;",",","&amp;SUBSTITUTE('Dano fixo'!$H$10,", ",",")&amp;","))),OR('Dano fixo'!$I$10="",ISNUMBER(SEARCH(","&amp;'Rotação'!$K63&amp;",",","&amp;SUBSTITUTE('Dano fixo'!$I$10,", ",",")&amp;",")))),1,0)</f>
        <v>0</v>
      </c>
      <c r="AA63" s="2">
        <f t="shared" si="9"/>
        <v>0</v>
      </c>
      <c r="AB63" s="2">
        <f>Z63*IF('Dano fixo'!$J$10="",$A63,MIN($A63,MAX(0,'Dano fixo'!$J$10-AA62)))</f>
        <v>0</v>
      </c>
      <c r="AC63" s="2">
        <f>IF(AND($A63&gt;0,N('Dano fixo'!$L$11)&gt;0,OR('Dano fixo'!$G$11="Todos",ISNUMBER(SEARCH(","&amp;'Rotação'!$I63&amp;",",","&amp;SUBSTITUTE('Dano fixo'!$G$11,", ",",")&amp;","))),OR('Dano fixo'!$H$11="",ISNUMBER(SEARCH(","&amp;'Rotação'!$R63&amp;",",","&amp;SUBSTITUTE('Dano fixo'!$H$11,", ",",")&amp;","))),OR('Dano fixo'!$I$11="",ISNUMBER(SEARCH(","&amp;'Rotação'!$K63&amp;",",","&amp;SUBSTITUTE('Dano fixo'!$I$11,", ",",")&amp;",")))),1,0)</f>
        <v>0</v>
      </c>
      <c r="AD63" s="2">
        <f t="shared" si="10"/>
        <v>0</v>
      </c>
      <c r="AE63" s="2">
        <f>AC63*IF('Dano fixo'!$J$11="",$A63,MIN($A63,MAX(0,'Dano fixo'!$J$11-AD62)))</f>
        <v>0</v>
      </c>
      <c r="AF63" s="2">
        <f>D63*'Dano fixo'!$L$2+G63*'Dano fixo'!$L$3+J63*'Dano fixo'!$L$4+M63*'Dano fixo'!$L$5+P63*'Dano fixo'!$L$6+S63*'Dano fixo'!$L$7+V63*'Dano fixo'!$L$8+Y63*'Dano fixo'!$L$9+AB63*'Dano fixo'!$L$10+AE63*'Dano fixo'!$L$11</f>
        <v>0</v>
      </c>
    </row>
    <row r="64" ht="15.75" customHeight="1">
      <c r="A64" s="2">
        <f t="array" ref="A64">IF(ISNUMBER('Rotação'!$J64),IF('Rotação'!$B64="",1,'Rotação'!$B64)*IF(ISNUMBER('Rotação'!$H64),MAX(1,N(INDEX(L_Golpes!$BN$2:$BN$6000,'Rotação'!$H64))),1),0)</f>
        <v>0</v>
      </c>
      <c r="B64" s="2">
        <f>IF(AND($A64&gt;0,N('Dano fixo'!$L$2)&gt;0,OR('Dano fixo'!$G$2="Todos",ISNUMBER(SEARCH(","&amp;'Rotação'!$I64&amp;",",","&amp;SUBSTITUTE('Dano fixo'!$G$2,", ",",")&amp;","))),OR('Dano fixo'!$H$2="",ISNUMBER(SEARCH(","&amp;'Rotação'!$R64&amp;",",","&amp;SUBSTITUTE('Dano fixo'!$H$2,", ",",")&amp;","))),OR('Dano fixo'!$I$2="",ISNUMBER(SEARCH(","&amp;'Rotação'!$K64&amp;",",","&amp;SUBSTITUTE('Dano fixo'!$I$2,", ",",")&amp;",")))),1,0)</f>
        <v>0</v>
      </c>
      <c r="C64" s="2">
        <f t="shared" si="1"/>
        <v>0</v>
      </c>
      <c r="D64" s="2">
        <f>B64*IF('Dano fixo'!$J$2="",$A64,MIN($A64,MAX(0,'Dano fixo'!$J$2-C63)))</f>
        <v>0</v>
      </c>
      <c r="E64" s="2">
        <f>IF(AND($A64&gt;0,N('Dano fixo'!$L$3)&gt;0,OR('Dano fixo'!$G$3="Todos",ISNUMBER(SEARCH(","&amp;'Rotação'!$I64&amp;",",","&amp;SUBSTITUTE('Dano fixo'!$G$3,", ",",")&amp;","))),OR('Dano fixo'!$H$3="",ISNUMBER(SEARCH(","&amp;'Rotação'!$R64&amp;",",","&amp;SUBSTITUTE('Dano fixo'!$H$3,", ",",")&amp;","))),OR('Dano fixo'!$I$3="",ISNUMBER(SEARCH(","&amp;'Rotação'!$K64&amp;",",","&amp;SUBSTITUTE('Dano fixo'!$I$3,", ",",")&amp;",")))),1,0)</f>
        <v>0</v>
      </c>
      <c r="F64" s="2">
        <f t="shared" si="2"/>
        <v>0</v>
      </c>
      <c r="G64" s="2">
        <f>E64*IF('Dano fixo'!$J$3="",$A64,MIN($A64,MAX(0,'Dano fixo'!$J$3-F63)))</f>
        <v>0</v>
      </c>
      <c r="H64" s="2">
        <f>IF(AND($A64&gt;0,N('Dano fixo'!$L$4)&gt;0,OR('Dano fixo'!$G$4="Todos",ISNUMBER(SEARCH(","&amp;'Rotação'!$I64&amp;",",","&amp;SUBSTITUTE('Dano fixo'!$G$4,", ",",")&amp;","))),OR('Dano fixo'!$H$4="",ISNUMBER(SEARCH(","&amp;'Rotação'!$R64&amp;",",","&amp;SUBSTITUTE('Dano fixo'!$H$4,", ",",")&amp;","))),OR('Dano fixo'!$I$4="",ISNUMBER(SEARCH(","&amp;'Rotação'!$K64&amp;",",","&amp;SUBSTITUTE('Dano fixo'!$I$4,", ",",")&amp;",")))),1,0)</f>
        <v>0</v>
      </c>
      <c r="I64" s="2">
        <f t="shared" si="3"/>
        <v>0</v>
      </c>
      <c r="J64" s="2">
        <f>H64*IF('Dano fixo'!$J$4="",$A64,MIN($A64,MAX(0,'Dano fixo'!$J$4-I63)))</f>
        <v>0</v>
      </c>
      <c r="K64" s="2">
        <f>IF(AND($A64&gt;0,N('Dano fixo'!$L$5)&gt;0,OR('Dano fixo'!$G$5="Todos",ISNUMBER(SEARCH(","&amp;'Rotação'!$I64&amp;",",","&amp;SUBSTITUTE('Dano fixo'!$G$5,", ",",")&amp;","))),OR('Dano fixo'!$H$5="",ISNUMBER(SEARCH(","&amp;'Rotação'!$R64&amp;",",","&amp;SUBSTITUTE('Dano fixo'!$H$5,", ",",")&amp;","))),OR('Dano fixo'!$I$5="",ISNUMBER(SEARCH(","&amp;'Rotação'!$K64&amp;",",","&amp;SUBSTITUTE('Dano fixo'!$I$5,", ",",")&amp;",")))),1,0)</f>
        <v>0</v>
      </c>
      <c r="L64" s="2">
        <f t="shared" si="4"/>
        <v>0</v>
      </c>
      <c r="M64" s="2">
        <f>K64*IF('Dano fixo'!$J$5="",$A64,MIN($A64,MAX(0,'Dano fixo'!$J$5-L63)))</f>
        <v>0</v>
      </c>
      <c r="N64" s="2">
        <f>IF(AND($A64&gt;0,N('Dano fixo'!$L$6)&gt;0,OR('Dano fixo'!$G$6="Todos",ISNUMBER(SEARCH(","&amp;'Rotação'!$I64&amp;",",","&amp;SUBSTITUTE('Dano fixo'!$G$6,", ",",")&amp;","))),OR('Dano fixo'!$H$6="",ISNUMBER(SEARCH(","&amp;'Rotação'!$R64&amp;",",","&amp;SUBSTITUTE('Dano fixo'!$H$6,", ",",")&amp;","))),OR('Dano fixo'!$I$6="",ISNUMBER(SEARCH(","&amp;'Rotação'!$K64&amp;",",","&amp;SUBSTITUTE('Dano fixo'!$I$6,", ",",")&amp;",")))),1,0)</f>
        <v>0</v>
      </c>
      <c r="O64" s="2">
        <f t="shared" si="5"/>
        <v>0</v>
      </c>
      <c r="P64" s="2">
        <f>N64*IF('Dano fixo'!$J$6="",$A64,MIN($A64,MAX(0,'Dano fixo'!$J$6-O63)))</f>
        <v>0</v>
      </c>
      <c r="Q64" s="2">
        <f>IF(AND($A64&gt;0,N('Dano fixo'!$L$7)&gt;0,OR('Dano fixo'!$G$7="Todos",ISNUMBER(SEARCH(","&amp;'Rotação'!$I64&amp;",",","&amp;SUBSTITUTE('Dano fixo'!$G$7,", ",",")&amp;","))),OR('Dano fixo'!$H$7="",ISNUMBER(SEARCH(","&amp;'Rotação'!$R64&amp;",",","&amp;SUBSTITUTE('Dano fixo'!$H$7,", ",",")&amp;","))),OR('Dano fixo'!$I$7="",ISNUMBER(SEARCH(","&amp;'Rotação'!$K64&amp;",",","&amp;SUBSTITUTE('Dano fixo'!$I$7,", ",",")&amp;",")))),1,0)</f>
        <v>0</v>
      </c>
      <c r="R64" s="2">
        <f t="shared" si="6"/>
        <v>0</v>
      </c>
      <c r="S64" s="2">
        <f>Q64*IF('Dano fixo'!$J$7="",$A64,MIN($A64,MAX(0,'Dano fixo'!$J$7-R63)))</f>
        <v>0</v>
      </c>
      <c r="T64" s="2">
        <f>IF(AND($A64&gt;0,N('Dano fixo'!$L$8)&gt;0,OR('Dano fixo'!$G$8="Todos",ISNUMBER(SEARCH(","&amp;'Rotação'!$I64&amp;",",","&amp;SUBSTITUTE('Dano fixo'!$G$8,", ",",")&amp;","))),OR('Dano fixo'!$H$8="",ISNUMBER(SEARCH(","&amp;'Rotação'!$R64&amp;",",","&amp;SUBSTITUTE('Dano fixo'!$H$8,", ",",")&amp;","))),OR('Dano fixo'!$I$8="",ISNUMBER(SEARCH(","&amp;'Rotação'!$K64&amp;",",","&amp;SUBSTITUTE('Dano fixo'!$I$8,", ",",")&amp;",")))),1,0)</f>
        <v>0</v>
      </c>
      <c r="U64" s="2">
        <f t="shared" si="7"/>
        <v>0</v>
      </c>
      <c r="V64" s="2">
        <f>T64*IF('Dano fixo'!$J$8="",$A64,MIN($A64,MAX(0,'Dano fixo'!$J$8-U63)))</f>
        <v>0</v>
      </c>
      <c r="W64" s="2">
        <f>IF(AND($A64&gt;0,N('Dano fixo'!$L$9)&gt;0,OR('Dano fixo'!$G$9="Todos",ISNUMBER(SEARCH(","&amp;'Rotação'!$I64&amp;",",","&amp;SUBSTITUTE('Dano fixo'!$G$9,", ",",")&amp;","))),OR('Dano fixo'!$H$9="",ISNUMBER(SEARCH(","&amp;'Rotação'!$R64&amp;",",","&amp;SUBSTITUTE('Dano fixo'!$H$9,", ",",")&amp;","))),OR('Dano fixo'!$I$9="",ISNUMBER(SEARCH(","&amp;'Rotação'!$K64&amp;",",","&amp;SUBSTITUTE('Dano fixo'!$I$9,", ",",")&amp;",")))),1,0)</f>
        <v>0</v>
      </c>
      <c r="X64" s="2">
        <f t="shared" si="8"/>
        <v>0</v>
      </c>
      <c r="Y64" s="2">
        <f>W64*IF('Dano fixo'!$J$9="",$A64,MIN($A64,MAX(0,'Dano fixo'!$J$9-X63)))</f>
        <v>0</v>
      </c>
      <c r="Z64" s="2">
        <f>IF(AND($A64&gt;0,N('Dano fixo'!$L$10)&gt;0,OR('Dano fixo'!$G$10="Todos",ISNUMBER(SEARCH(","&amp;'Rotação'!$I64&amp;",",","&amp;SUBSTITUTE('Dano fixo'!$G$10,", ",",")&amp;","))),OR('Dano fixo'!$H$10="",ISNUMBER(SEARCH(","&amp;'Rotação'!$R64&amp;",",","&amp;SUBSTITUTE('Dano fixo'!$H$10,", ",",")&amp;","))),OR('Dano fixo'!$I$10="",ISNUMBER(SEARCH(","&amp;'Rotação'!$K64&amp;",",","&amp;SUBSTITUTE('Dano fixo'!$I$10,", ",",")&amp;",")))),1,0)</f>
        <v>0</v>
      </c>
      <c r="AA64" s="2">
        <f t="shared" si="9"/>
        <v>0</v>
      </c>
      <c r="AB64" s="2">
        <f>Z64*IF('Dano fixo'!$J$10="",$A64,MIN($A64,MAX(0,'Dano fixo'!$J$10-AA63)))</f>
        <v>0</v>
      </c>
      <c r="AC64" s="2">
        <f>IF(AND($A64&gt;0,N('Dano fixo'!$L$11)&gt;0,OR('Dano fixo'!$G$11="Todos",ISNUMBER(SEARCH(","&amp;'Rotação'!$I64&amp;",",","&amp;SUBSTITUTE('Dano fixo'!$G$11,", ",",")&amp;","))),OR('Dano fixo'!$H$11="",ISNUMBER(SEARCH(","&amp;'Rotação'!$R64&amp;",",","&amp;SUBSTITUTE('Dano fixo'!$H$11,", ",",")&amp;","))),OR('Dano fixo'!$I$11="",ISNUMBER(SEARCH(","&amp;'Rotação'!$K64&amp;",",","&amp;SUBSTITUTE('Dano fixo'!$I$11,", ",",")&amp;",")))),1,0)</f>
        <v>0</v>
      </c>
      <c r="AD64" s="2">
        <f t="shared" si="10"/>
        <v>0</v>
      </c>
      <c r="AE64" s="2">
        <f>AC64*IF('Dano fixo'!$J$11="",$A64,MIN($A64,MAX(0,'Dano fixo'!$J$11-AD63)))</f>
        <v>0</v>
      </c>
      <c r="AF64" s="2">
        <f>D64*'Dano fixo'!$L$2+G64*'Dano fixo'!$L$3+J64*'Dano fixo'!$L$4+M64*'Dano fixo'!$L$5+P64*'Dano fixo'!$L$6+S64*'Dano fixo'!$L$7+V64*'Dano fixo'!$L$8+Y64*'Dano fixo'!$L$9+AB64*'Dano fixo'!$L$10+AE64*'Dano fixo'!$L$11</f>
        <v>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3" width="8.71"/>
    <col customWidth="1" min="4" max="4" width="16.0"/>
    <col customWidth="1" min="5" max="5" width="18.0"/>
    <col customWidth="1" min="6" max="6" width="8.0"/>
    <col customWidth="1" min="7" max="7" width="12.0"/>
    <col customWidth="1" min="8" max="26" width="8.71"/>
  </cols>
  <sheetData>
    <row r="1">
      <c r="A1" s="3" t="s">
        <v>699</v>
      </c>
      <c r="B1" s="2"/>
      <c r="C1" s="2"/>
      <c r="D1" s="2" t="s">
        <v>700</v>
      </c>
      <c r="E1" s="2" t="s">
        <v>701</v>
      </c>
      <c r="F1" s="2" t="s">
        <v>702</v>
      </c>
      <c r="G1" s="2" t="s">
        <v>703</v>
      </c>
    </row>
    <row r="2">
      <c r="A2" s="2" t="str">
        <f t="array" ref="A2">IF(1&lt;=$G$2,INDEX('Golpes extras'!$A$2:$A$101,1),IF(1&lt;=$G$3,INDEX(L_Golpes!$A$2:$A$6000,$E$3+1-$G$2-1),IF(1&lt;=$G$4,INDEX(L_Golpes!$A$2:$A$6000,$E$4+1-$G$3-1),IF(1&lt;=$G$5,INDEX(L_Golpes!$A$2:$A$6000,$E$5+1-$G$4-1),IF(1&lt;=$G$6,INDEX(L_Golpes!$A$2:$A$6000,$E$6+1-$G$5-1),"")))))</f>
        <v>Mavuika - Carregado no Supremo</v>
      </c>
      <c r="B2" s="2"/>
      <c r="C2" s="2"/>
      <c r="D2" s="2" t="s">
        <v>704</v>
      </c>
      <c r="E2" s="2">
        <f>COUNTA('Golpes extras'!$A$2:$A$101)</f>
        <v>6</v>
      </c>
      <c r="F2" s="2"/>
      <c r="G2" s="2">
        <f>E2</f>
        <v>6</v>
      </c>
    </row>
    <row r="3">
      <c r="A3" s="2" t="str">
        <f t="array" ref="A3">IF(2&lt;=$G$2,INDEX('Golpes extras'!$A$2:$A$101,2),IF(2&lt;=$G$3,INDEX(L_Golpes!$A$2:$A$6000,$E$3+2-$G$2-1),IF(2&lt;=$G$4,INDEX(L_Golpes!$A$2:$A$6000,$E$4+2-$G$3-1),IF(2&lt;=$G$5,INDEX(L_Golpes!$A$2:$A$6000,$E$5+2-$G$4-1),IF(2&lt;=$G$6,INDEX(L_Golpes!$A$2:$A$6000,$E$6+2-$G$5-1),"")))))</f>
        <v>Mavuika - Carregado final no Supremo</v>
      </c>
      <c r="B3" s="2"/>
      <c r="C3" s="2"/>
      <c r="D3" s="2" t="str">
        <f>Time!B4&amp;""</f>
        <v>Mavuika</v>
      </c>
      <c r="E3" s="2">
        <f>IF(Time!B4="",0,IFERROR(MATCH(Time!B4,L_Golpes!$B$2:$B$6000,0),0))</f>
        <v>36</v>
      </c>
      <c r="F3" s="2">
        <f>IF(E3=0,0,COUNTIF(L_Golpes!$B$2:$B$6000,Time!B4))</f>
        <v>20</v>
      </c>
      <c r="G3" s="2">
        <f t="shared" ref="G3:G6" si="1">G2+F3</f>
        <v>26</v>
      </c>
    </row>
    <row r="4">
      <c r="A4" s="2" t="str">
        <f t="array" ref="A4">IF(3&lt;=$G$2,INDEX('Golpes extras'!$A$2:$A$101,3),IF(3&lt;=$G$3,INDEX(L_Golpes!$A$2:$A$6000,$E$3+3-$G$2-1),IF(3&lt;=$G$4,INDEX(L_Golpes!$A$2:$A$6000,$E$4+3-$G$3-1),IF(3&lt;=$G$5,INDEX(L_Golpes!$A$2:$A$6000,$E$5+3-$G$4-1),IF(3&lt;=$G$6,INDEX(L_Golpes!$A$2:$A$6000,$E$6+3-$G$5-1),"")))))</f>
        <v>Mavuika - Supremo (200 FS)</v>
      </c>
      <c r="B4" s="2"/>
      <c r="C4" s="2"/>
      <c r="D4" s="2" t="str">
        <f>Time!C4&amp;""</f>
        <v>Citlali</v>
      </c>
      <c r="E4" s="2">
        <f>IF(Time!C4="",0,IFERROR(MATCH(Time!C4,L_Golpes!$B$2:$B$6000,0),0))</f>
        <v>15</v>
      </c>
      <c r="F4" s="2">
        <f>IF(E4=0,0,COUNTIF(L_Golpes!$B$2:$B$6000,Time!C4))</f>
        <v>11</v>
      </c>
      <c r="G4" s="2">
        <f t="shared" si="1"/>
        <v>37</v>
      </c>
    </row>
    <row r="5">
      <c r="A5" s="2" t="str">
        <f t="array" ref="A5">IF(4&lt;=$G$2,INDEX('Golpes extras'!$A$2:$A$101,4),IF(4&lt;=$G$3,INDEX(L_Golpes!$A$2:$A$6000,$E$3+4-$G$2-1),IF(4&lt;=$G$4,INDEX(L_Golpes!$A$2:$A$6000,$E$4+4-$G$3-1),IF(4&lt;=$G$5,INDEX(L_Golpes!$A$2:$A$6000,$E$5+4-$G$4-1),IF(4&lt;=$G$6,INDEX(L_Golpes!$A$2:$A$6000,$E$6+4-$G$5-1),"")))))</f>
        <v>Citlali - Obsidian Tzitzimitl (+EM)</v>
      </c>
      <c r="B5" s="2"/>
      <c r="C5" s="2"/>
      <c r="D5" s="2" t="str">
        <f>Time!D4&amp;""</f>
        <v>Iansan</v>
      </c>
      <c r="E5" s="2">
        <f>IF(Time!D4="",0,IFERROR(MATCH(Time!D4,L_Golpes!$B$2:$B$6000,0),0))</f>
        <v>26</v>
      </c>
      <c r="F5" s="2">
        <f>IF(E5=0,0,COUNTIF(L_Golpes!$B$2:$B$6000,Time!D4))</f>
        <v>10</v>
      </c>
      <c r="G5" s="2">
        <f t="shared" si="1"/>
        <v>47</v>
      </c>
    </row>
    <row r="6">
      <c r="A6" s="2" t="str">
        <f t="array" ref="A6">IF(5&lt;=$G$2,INDEX('Golpes extras'!$A$2:$A$101,5),IF(5&lt;=$G$3,INDEX(L_Golpes!$A$2:$A$6000,$E$3+5-$G$2-1),IF(5&lt;=$G$4,INDEX(L_Golpes!$A$2:$A$6000,$E$4+5-$G$3-1),IF(5&lt;=$G$5,INDEX(L_Golpes!$A$2:$A$6000,$E$5+5-$G$4-1),IF(5&lt;=$G$6,INDEX(L_Golpes!$A$2:$A$6000,$E$6+5-$G$5-1),"")))))</f>
        <v>Citlali - Frostfall Storm (+EM)</v>
      </c>
      <c r="B6" s="2"/>
      <c r="C6" s="2"/>
      <c r="D6" s="2" t="str">
        <f>Time!E4&amp;""</f>
        <v>Bennett</v>
      </c>
      <c r="E6" s="2">
        <f>IF(Time!E4="",0,IFERROR(MATCH(Time!E4,L_Golpes!$B$2:$B$6000,0),0))</f>
        <v>1</v>
      </c>
      <c r="F6" s="2">
        <f>IF(E6=0,0,COUNTIF(L_Golpes!$B$2:$B$6000,Time!E4))</f>
        <v>14</v>
      </c>
      <c r="G6" s="2">
        <f t="shared" si="1"/>
        <v>61</v>
      </c>
    </row>
    <row r="7">
      <c r="A7" s="2" t="str">
        <f t="array" ref="A7">IF(6&lt;=$G$2,INDEX('Golpes extras'!$A$2:$A$101,6),IF(6&lt;=$G$3,INDEX(L_Golpes!$A$2:$A$6000,$E$3+6-$G$2-1),IF(6&lt;=$G$4,INDEX(L_Golpes!$A$2:$A$6000,$E$4+6-$G$3-1),IF(6&lt;=$G$5,INDEX(L_Golpes!$A$2:$A$6000,$E$5+6-$G$4-1),IF(6&lt;=$G$6,INDEX(L_Golpes!$A$2:$A$6000,$E$6+6-$G$5-1),"")))))</f>
        <v>Citlali - Ice Storm (+EM)</v>
      </c>
      <c r="B7" s="2"/>
      <c r="C7" s="2"/>
      <c r="D7" s="2"/>
      <c r="E7" s="2"/>
      <c r="F7" s="2"/>
      <c r="G7" s="2"/>
    </row>
    <row r="8">
      <c r="A8" s="2" t="str">
        <f t="array" ref="A8">IF(7&lt;=$G$2,INDEX('Golpes extras'!$A$2:$A$101,7),IF(7&lt;=$G$3,INDEX(L_Golpes!$A$2:$A$6000,$E$3+7-$G$2-1),IF(7&lt;=$G$4,INDEX(L_Golpes!$A$2:$A$6000,$E$4+7-$G$3-1),IF(7&lt;=$G$5,INDEX(L_Golpes!$A$2:$A$6000,$E$5+7-$G$4-1),IF(7&lt;=$G$6,INDEX(L_Golpes!$A$2:$A$6000,$E$6+7-$G$5-1),"")))))</f>
        <v>Mavuika - Normal: 1-Hit DMG</v>
      </c>
      <c r="B8" s="2"/>
      <c r="C8" s="2"/>
      <c r="D8" s="2"/>
      <c r="E8" s="2"/>
      <c r="F8" s="2"/>
      <c r="G8" s="2"/>
    </row>
    <row r="9">
      <c r="A9" s="2" t="str">
        <f t="array" ref="A9">IF(8&lt;=$G$2,INDEX('Golpes extras'!$A$2:$A$101,8),IF(8&lt;=$G$3,INDEX(L_Golpes!$A$2:$A$6000,$E$3+8-$G$2-1),IF(8&lt;=$G$4,INDEX(L_Golpes!$A$2:$A$6000,$E$4+8-$G$3-1),IF(8&lt;=$G$5,INDEX(L_Golpes!$A$2:$A$6000,$E$5+8-$G$4-1),IF(8&lt;=$G$6,INDEX(L_Golpes!$A$2:$A$6000,$E$6+8-$G$5-1),"")))))</f>
        <v>Mavuika - Normal: 2-Hit DMG</v>
      </c>
      <c r="B9" s="2"/>
      <c r="C9" s="2"/>
      <c r="D9" s="2"/>
      <c r="E9" s="2"/>
      <c r="F9" s="2"/>
      <c r="G9" s="2"/>
    </row>
    <row r="10">
      <c r="A10" s="2" t="str">
        <f t="array" ref="A10">IF(9&lt;=$G$2,INDEX('Golpes extras'!$A$2:$A$101,9),IF(9&lt;=$G$3,INDEX(L_Golpes!$A$2:$A$6000,$E$3+9-$G$2-1),IF(9&lt;=$G$4,INDEX(L_Golpes!$A$2:$A$6000,$E$4+9-$G$3-1),IF(9&lt;=$G$5,INDEX(L_Golpes!$A$2:$A$6000,$E$5+9-$G$4-1),IF(9&lt;=$G$6,INDEX(L_Golpes!$A$2:$A$6000,$E$6+9-$G$5-1),"")))))</f>
        <v>Mavuika - Normal: 3-Hit DMG</v>
      </c>
      <c r="B10" s="2"/>
      <c r="C10" s="2"/>
      <c r="D10" s="2"/>
      <c r="E10" s="2"/>
      <c r="F10" s="2"/>
      <c r="G10" s="2"/>
    </row>
    <row r="11">
      <c r="A11" s="2" t="str">
        <f t="array" ref="A11">IF(10&lt;=$G$2,INDEX('Golpes extras'!$A$2:$A$101,10),IF(10&lt;=$G$3,INDEX(L_Golpes!$A$2:$A$6000,$E$3+10-$G$2-1),IF(10&lt;=$G$4,INDEX(L_Golpes!$A$2:$A$6000,$E$4+10-$G$3-1),IF(10&lt;=$G$5,INDEX(L_Golpes!$A$2:$A$6000,$E$5+10-$G$4-1),IF(10&lt;=$G$6,INDEX(L_Golpes!$A$2:$A$6000,$E$6+10-$G$5-1),"")))))</f>
        <v>Mavuika - Normal: 4-Hit DMG</v>
      </c>
      <c r="B11" s="2"/>
      <c r="C11" s="2"/>
      <c r="D11" s="2"/>
      <c r="E11" s="2"/>
      <c r="F11" s="2"/>
      <c r="G11" s="2"/>
    </row>
    <row r="12">
      <c r="A12" s="2" t="str">
        <f t="array" ref="A12">IF(11&lt;=$G$2,INDEX('Golpes extras'!$A$2:$A$101,11),IF(11&lt;=$G$3,INDEX(L_Golpes!$A$2:$A$6000,$E$3+11-$G$2-1),IF(11&lt;=$G$4,INDEX(L_Golpes!$A$2:$A$6000,$E$4+11-$G$3-1),IF(11&lt;=$G$5,INDEX(L_Golpes!$A$2:$A$6000,$E$5+11-$G$4-1),IF(11&lt;=$G$6,INDEX(L_Golpes!$A$2:$A$6000,$E$6+11-$G$5-1),"")))))</f>
        <v>Mavuika - Normal: Charged Attack DMG</v>
      </c>
      <c r="B12" s="2"/>
      <c r="C12" s="2"/>
      <c r="D12" s="2"/>
      <c r="E12" s="2"/>
      <c r="F12" s="2"/>
      <c r="G12" s="2"/>
    </row>
    <row r="13">
      <c r="A13" s="2" t="str">
        <f t="array" ref="A13">IF(12&lt;=$G$2,INDEX('Golpes extras'!$A$2:$A$101,12),IF(12&lt;=$G$3,INDEX(L_Golpes!$A$2:$A$6000,$E$3+12-$G$2-1),IF(12&lt;=$G$4,INDEX(L_Golpes!$A$2:$A$6000,$E$4+12-$G$3-1),IF(12&lt;=$G$5,INDEX(L_Golpes!$A$2:$A$6000,$E$5+12-$G$4-1),IF(12&lt;=$G$6,INDEX(L_Golpes!$A$2:$A$6000,$E$6+12-$G$5-1),"")))))</f>
        <v>Mavuika - Normal: Plunge DMG</v>
      </c>
      <c r="B13" s="2"/>
      <c r="C13" s="2"/>
      <c r="D13" s="2"/>
      <c r="E13" s="2"/>
      <c r="F13" s="2"/>
      <c r="G13" s="2"/>
    </row>
    <row r="14">
      <c r="A14" s="2" t="str">
        <f t="array" ref="A14">IF(13&lt;=$G$2,INDEX('Golpes extras'!$A$2:$A$101,13),IF(13&lt;=$G$3,INDEX(L_Golpes!$A$2:$A$6000,$E$3+13-$G$2-1),IF(13&lt;=$G$4,INDEX(L_Golpes!$A$2:$A$6000,$E$4+13-$G$3-1),IF(13&lt;=$G$5,INDEX(L_Golpes!$A$2:$A$6000,$E$5+13-$G$4-1),IF(13&lt;=$G$6,INDEX(L_Golpes!$A$2:$A$6000,$E$6+13-$G$5-1),"")))))</f>
        <v>Mavuika - Normal: Low Plunge DMG</v>
      </c>
      <c r="B14" s="2"/>
      <c r="C14" s="2"/>
      <c r="D14" s="2"/>
      <c r="E14" s="2"/>
      <c r="F14" s="2"/>
      <c r="G14" s="2"/>
    </row>
    <row r="15">
      <c r="A15" s="2" t="str">
        <f t="array" ref="A15">IF(14&lt;=$G$2,INDEX('Golpes extras'!$A$2:$A$101,14),IF(14&lt;=$G$3,INDEX(L_Golpes!$A$2:$A$6000,$E$3+14-$G$2-1),IF(14&lt;=$G$4,INDEX(L_Golpes!$A$2:$A$6000,$E$4+14-$G$3-1),IF(14&lt;=$G$5,INDEX(L_Golpes!$A$2:$A$6000,$E$5+14-$G$4-1),IF(14&lt;=$G$6,INDEX(L_Golpes!$A$2:$A$6000,$E$6+14-$G$5-1),"")))))</f>
        <v>Mavuika - Normal: High Plunge DMG</v>
      </c>
      <c r="B15" s="2"/>
      <c r="C15" s="2"/>
      <c r="D15" s="2"/>
      <c r="E15" s="2"/>
      <c r="F15" s="2"/>
      <c r="G15" s="2"/>
    </row>
    <row r="16">
      <c r="A16" s="2" t="str">
        <f t="array" ref="A16">IF(15&lt;=$G$2,INDEX('Golpes extras'!$A$2:$A$101,15),IF(15&lt;=$G$3,INDEX(L_Golpes!$A$2:$A$6000,$E$3+15-$G$2-1),IF(15&lt;=$G$4,INDEX(L_Golpes!$A$2:$A$6000,$E$4+15-$G$3-1),IF(15&lt;=$G$5,INDEX(L_Golpes!$A$2:$A$6000,$E$5+15-$G$4-1),IF(15&lt;=$G$6,INDEX(L_Golpes!$A$2:$A$6000,$E$6+15-$G$5-1),"")))))</f>
        <v>Mavuika - Habilidade: Skill DMG</v>
      </c>
      <c r="B16" s="2"/>
      <c r="C16" s="2"/>
      <c r="D16" s="2"/>
      <c r="E16" s="2"/>
      <c r="F16" s="2"/>
      <c r="G16" s="2"/>
    </row>
    <row r="17">
      <c r="A17" s="2" t="str">
        <f t="array" ref="A17">IF(16&lt;=$G$2,INDEX('Golpes extras'!$A$2:$A$101,16),IF(16&lt;=$G$3,INDEX(L_Golpes!$A$2:$A$6000,$E$3+16-$G$2-1),IF(16&lt;=$G$4,INDEX(L_Golpes!$A$2:$A$6000,$E$4+16-$G$3-1),IF(16&lt;=$G$5,INDEX(L_Golpes!$A$2:$A$6000,$E$5+16-$G$4-1),IF(16&lt;=$G$6,INDEX(L_Golpes!$A$2:$A$6000,$E$6+16-$G$5-1),"")))))</f>
        <v>Mavuika - Habilidade: Ring of Searing Radiance DMG</v>
      </c>
      <c r="B17" s="2"/>
      <c r="C17" s="2"/>
      <c r="D17" s="2"/>
      <c r="E17" s="2"/>
      <c r="F17" s="2"/>
      <c r="G17" s="2"/>
    </row>
    <row r="18">
      <c r="A18" s="2" t="str">
        <f t="array" ref="A18">IF(17&lt;=$G$2,INDEX('Golpes extras'!$A$2:$A$101,17),IF(17&lt;=$G$3,INDEX(L_Golpes!$A$2:$A$6000,$E$3+17-$G$2-1),IF(17&lt;=$G$4,INDEX(L_Golpes!$A$2:$A$6000,$E$4+17-$G$3-1),IF(17&lt;=$G$5,INDEX(L_Golpes!$A$2:$A$6000,$E$5+17-$G$4-1),IF(17&lt;=$G$6,INDEX(L_Golpes!$A$2:$A$6000,$E$6+17-$G$5-1),"")))))</f>
        <v>Mavuika - Habilidade: Flamestrider Normal Attack 1-Hit DMG</v>
      </c>
      <c r="B18" s="2"/>
      <c r="C18" s="2"/>
      <c r="D18" s="2"/>
      <c r="E18" s="2"/>
      <c r="F18" s="2"/>
      <c r="G18" s="2"/>
    </row>
    <row r="19">
      <c r="A19" s="2" t="str">
        <f t="array" ref="A19">IF(18&lt;=$G$2,INDEX('Golpes extras'!$A$2:$A$101,18),IF(18&lt;=$G$3,INDEX(L_Golpes!$A$2:$A$6000,$E$3+18-$G$2-1),IF(18&lt;=$G$4,INDEX(L_Golpes!$A$2:$A$6000,$E$4+18-$G$3-1),IF(18&lt;=$G$5,INDEX(L_Golpes!$A$2:$A$6000,$E$5+18-$G$4-1),IF(18&lt;=$G$6,INDEX(L_Golpes!$A$2:$A$6000,$E$6+18-$G$5-1),"")))))</f>
        <v>Mavuika - Habilidade: Flamestrider Normal Attack 2-Hit DMG</v>
      </c>
      <c r="B19" s="2"/>
      <c r="C19" s="2"/>
      <c r="D19" s="2"/>
      <c r="E19" s="2"/>
      <c r="F19" s="2"/>
      <c r="G19" s="2"/>
    </row>
    <row r="20">
      <c r="A20" s="2" t="str">
        <f t="array" ref="A20">IF(19&lt;=$G$2,INDEX('Golpes extras'!$A$2:$A$101,19),IF(19&lt;=$G$3,INDEX(L_Golpes!$A$2:$A$6000,$E$3+19-$G$2-1),IF(19&lt;=$G$4,INDEX(L_Golpes!$A$2:$A$6000,$E$4+19-$G$3-1),IF(19&lt;=$G$5,INDEX(L_Golpes!$A$2:$A$6000,$E$5+19-$G$4-1),IF(19&lt;=$G$6,INDEX(L_Golpes!$A$2:$A$6000,$E$6+19-$G$5-1),"")))))</f>
        <v>Mavuika - Habilidade: Flamestrider Normal Attack 3-Hit DMG</v>
      </c>
      <c r="B20" s="2"/>
      <c r="C20" s="2"/>
      <c r="D20" s="2"/>
      <c r="E20" s="2"/>
      <c r="F20" s="2"/>
      <c r="G20" s="2"/>
    </row>
    <row r="21" ht="15.75" customHeight="1">
      <c r="A21" s="2" t="str">
        <f t="array" ref="A21">IF(20&lt;=$G$2,INDEX('Golpes extras'!$A$2:$A$101,20),IF(20&lt;=$G$3,INDEX(L_Golpes!$A$2:$A$6000,$E$3+20-$G$2-1),IF(20&lt;=$G$4,INDEX(L_Golpes!$A$2:$A$6000,$E$4+20-$G$3-1),IF(20&lt;=$G$5,INDEX(L_Golpes!$A$2:$A$6000,$E$5+20-$G$4-1),IF(20&lt;=$G$6,INDEX(L_Golpes!$A$2:$A$6000,$E$6+20-$G$5-1),"")))))</f>
        <v>Mavuika - Habilidade: Flamestrider Normal Attack 4-Hit DMG</v>
      </c>
      <c r="B21" s="2"/>
      <c r="C21" s="2"/>
      <c r="D21" s="2"/>
      <c r="E21" s="2"/>
      <c r="F21" s="2"/>
      <c r="G21" s="2"/>
    </row>
    <row r="22" ht="15.75" customHeight="1">
      <c r="A22" s="2" t="str">
        <f t="array" ref="A22">IF(21&lt;=$G$2,INDEX('Golpes extras'!$A$2:$A$101,21),IF(21&lt;=$G$3,INDEX(L_Golpes!$A$2:$A$6000,$E$3+21-$G$2-1),IF(21&lt;=$G$4,INDEX(L_Golpes!$A$2:$A$6000,$E$4+21-$G$3-1),IF(21&lt;=$G$5,INDEX(L_Golpes!$A$2:$A$6000,$E$5+21-$G$4-1),IF(21&lt;=$G$6,INDEX(L_Golpes!$A$2:$A$6000,$E$6+21-$G$5-1),"")))))</f>
        <v>Mavuika - Habilidade: Flamestrider Normal Attack 5-Hit DMG</v>
      </c>
      <c r="B22" s="2"/>
      <c r="C22" s="2"/>
      <c r="D22" s="2"/>
      <c r="E22" s="2"/>
      <c r="F22" s="2"/>
      <c r="G22" s="2"/>
    </row>
    <row r="23" ht="15.75" customHeight="1">
      <c r="A23" s="2" t="str">
        <f t="array" ref="A23">IF(22&lt;=$G$2,INDEX('Golpes extras'!$A$2:$A$101,22),IF(22&lt;=$G$3,INDEX(L_Golpes!$A$2:$A$6000,$E$3+22-$G$2-1),IF(22&lt;=$G$4,INDEX(L_Golpes!$A$2:$A$6000,$E$4+22-$G$3-1),IF(22&lt;=$G$5,INDEX(L_Golpes!$A$2:$A$6000,$E$5+22-$G$4-1),IF(22&lt;=$G$6,INDEX(L_Golpes!$A$2:$A$6000,$E$6+22-$G$5-1),"")))))</f>
        <v>Mavuika - Habilidade: Flamestrider Sprint DMG</v>
      </c>
      <c r="B23" s="2"/>
      <c r="C23" s="2"/>
      <c r="D23" s="2"/>
      <c r="E23" s="2"/>
      <c r="F23" s="2"/>
      <c r="G23" s="2"/>
    </row>
    <row r="24" ht="15.75" customHeight="1">
      <c r="A24" s="2" t="str">
        <f t="array" ref="A24">IF(23&lt;=$G$2,INDEX('Golpes extras'!$A$2:$A$101,23),IF(23&lt;=$G$3,INDEX(L_Golpes!$A$2:$A$6000,$E$3+23-$G$2-1),IF(23&lt;=$G$4,INDEX(L_Golpes!$A$2:$A$6000,$E$4+23-$G$3-1),IF(23&lt;=$G$5,INDEX(L_Golpes!$A$2:$A$6000,$E$5+23-$G$4-1),IF(23&lt;=$G$6,INDEX(L_Golpes!$A$2:$A$6000,$E$6+23-$G$5-1),"")))))</f>
        <v>Mavuika - Habilidade: Flamestrider Charged Attack Cyclic DMG</v>
      </c>
      <c r="B24" s="2"/>
      <c r="C24" s="2"/>
      <c r="D24" s="2"/>
      <c r="E24" s="2"/>
      <c r="F24" s="2"/>
      <c r="G24" s="2"/>
    </row>
    <row r="25" ht="15.75" customHeight="1">
      <c r="A25" s="2" t="str">
        <f t="array" ref="A25">IF(24&lt;=$G$2,INDEX('Golpes extras'!$A$2:$A$101,24),IF(24&lt;=$G$3,INDEX(L_Golpes!$A$2:$A$6000,$E$3+24-$G$2-1),IF(24&lt;=$G$4,INDEX(L_Golpes!$A$2:$A$6000,$E$4+24-$G$3-1),IF(24&lt;=$G$5,INDEX(L_Golpes!$A$2:$A$6000,$E$5+24-$G$4-1),IF(24&lt;=$G$6,INDEX(L_Golpes!$A$2:$A$6000,$E$6+24-$G$5-1),"")))))</f>
        <v>Mavuika - Habilidade: Flamestrider Charged Attack Final DMG</v>
      </c>
      <c r="B25" s="2"/>
      <c r="C25" s="2"/>
      <c r="D25" s="2"/>
      <c r="E25" s="2"/>
      <c r="F25" s="2"/>
      <c r="G25" s="2"/>
    </row>
    <row r="26" ht="15.75" customHeight="1">
      <c r="A26" s="2" t="str">
        <f t="array" ref="A26">IF(25&lt;=$G$2,INDEX('Golpes extras'!$A$2:$A$101,25),IF(25&lt;=$G$3,INDEX(L_Golpes!$A$2:$A$6000,$E$3+25-$G$2-1),IF(25&lt;=$G$4,INDEX(L_Golpes!$A$2:$A$6000,$E$4+25-$G$3-1),IF(25&lt;=$G$5,INDEX(L_Golpes!$A$2:$A$6000,$E$5+25-$G$4-1),IF(25&lt;=$G$6,INDEX(L_Golpes!$A$2:$A$6000,$E$6+25-$G$5-1),"")))))</f>
        <v>Mavuika - Habilidade: Flamestrider Plunge DMG</v>
      </c>
      <c r="B26" s="2"/>
      <c r="C26" s="2"/>
      <c r="D26" s="2"/>
      <c r="E26" s="2"/>
      <c r="F26" s="2"/>
      <c r="G26" s="2"/>
    </row>
    <row r="27" ht="15.75" customHeight="1">
      <c r="A27" s="2" t="str">
        <f t="array" ref="A27">IF(26&lt;=$G$2,INDEX('Golpes extras'!$A$2:$A$101,26),IF(26&lt;=$G$3,INDEX(L_Golpes!$A$2:$A$6000,$E$3+26-$G$2-1),IF(26&lt;=$G$4,INDEX(L_Golpes!$A$2:$A$6000,$E$4+26-$G$3-1),IF(26&lt;=$G$5,INDEX(L_Golpes!$A$2:$A$6000,$E$5+26-$G$4-1),IF(26&lt;=$G$6,INDEX(L_Golpes!$A$2:$A$6000,$E$6+26-$G$5-1),"")))))</f>
        <v>Mavuika - Supremo: Skill DMG</v>
      </c>
      <c r="B27" s="2"/>
      <c r="C27" s="2"/>
      <c r="D27" s="2"/>
      <c r="E27" s="2"/>
      <c r="F27" s="2"/>
      <c r="G27" s="2"/>
    </row>
    <row r="28" ht="15.75" customHeight="1">
      <c r="A28" s="2" t="str">
        <f t="array" ref="A28">IF(27&lt;=$G$2,INDEX('Golpes extras'!$A$2:$A$101,27),IF(27&lt;=$G$3,INDEX(L_Golpes!$A$2:$A$6000,$E$3+27-$G$2-1),IF(27&lt;=$G$4,INDEX(L_Golpes!$A$2:$A$6000,$E$4+27-$G$3-1),IF(27&lt;=$G$5,INDEX(L_Golpes!$A$2:$A$6000,$E$5+27-$G$4-1),IF(27&lt;=$G$6,INDEX(L_Golpes!$A$2:$A$6000,$E$6+27-$G$5-1),"")))))</f>
        <v>Citlali - Normal: 1-Hit DMG</v>
      </c>
      <c r="B28" s="2"/>
      <c r="C28" s="2"/>
      <c r="D28" s="2"/>
      <c r="E28" s="2"/>
      <c r="F28" s="2"/>
      <c r="G28" s="2"/>
    </row>
    <row r="29" ht="15.75" customHeight="1">
      <c r="A29" s="2" t="str">
        <f t="array" ref="A29">IF(28&lt;=$G$2,INDEX('Golpes extras'!$A$2:$A$101,28),IF(28&lt;=$G$3,INDEX(L_Golpes!$A$2:$A$6000,$E$3+28-$G$2-1),IF(28&lt;=$G$4,INDEX(L_Golpes!$A$2:$A$6000,$E$4+28-$G$3-1),IF(28&lt;=$G$5,INDEX(L_Golpes!$A$2:$A$6000,$E$5+28-$G$4-1),IF(28&lt;=$G$6,INDEX(L_Golpes!$A$2:$A$6000,$E$6+28-$G$5-1),"")))))</f>
        <v>Citlali - Normal: 2-Hit DMG</v>
      </c>
      <c r="B29" s="2"/>
      <c r="C29" s="2"/>
      <c r="D29" s="2"/>
      <c r="E29" s="2"/>
      <c r="F29" s="2"/>
      <c r="G29" s="2"/>
    </row>
    <row r="30" ht="15.75" customHeight="1">
      <c r="A30" s="2" t="str">
        <f t="array" ref="A30">IF(29&lt;=$G$2,INDEX('Golpes extras'!$A$2:$A$101,29),IF(29&lt;=$G$3,INDEX(L_Golpes!$A$2:$A$6000,$E$3+29-$G$2-1),IF(29&lt;=$G$4,INDEX(L_Golpes!$A$2:$A$6000,$E$4+29-$G$3-1),IF(29&lt;=$G$5,INDEX(L_Golpes!$A$2:$A$6000,$E$5+29-$G$4-1),IF(29&lt;=$G$6,INDEX(L_Golpes!$A$2:$A$6000,$E$6+29-$G$5-1),"")))))</f>
        <v>Citlali - Normal: 3-Hit DMG</v>
      </c>
      <c r="B30" s="2"/>
      <c r="C30" s="2"/>
      <c r="D30" s="2"/>
      <c r="E30" s="2"/>
      <c r="F30" s="2"/>
      <c r="G30" s="2"/>
    </row>
    <row r="31" ht="15.75" customHeight="1">
      <c r="A31" s="2" t="str">
        <f t="array" ref="A31">IF(30&lt;=$G$2,INDEX('Golpes extras'!$A$2:$A$101,30),IF(30&lt;=$G$3,INDEX(L_Golpes!$A$2:$A$6000,$E$3+30-$G$2-1),IF(30&lt;=$G$4,INDEX(L_Golpes!$A$2:$A$6000,$E$4+30-$G$3-1),IF(30&lt;=$G$5,INDEX(L_Golpes!$A$2:$A$6000,$E$5+30-$G$4-1),IF(30&lt;=$G$6,INDEX(L_Golpes!$A$2:$A$6000,$E$6+30-$G$5-1),"")))))</f>
        <v>Citlali - Normal: Charged Attack DMG</v>
      </c>
      <c r="B31" s="2"/>
      <c r="C31" s="2"/>
      <c r="D31" s="2"/>
      <c r="E31" s="2"/>
      <c r="F31" s="2"/>
      <c r="G31" s="2"/>
    </row>
    <row r="32" ht="15.75" customHeight="1">
      <c r="A32" s="2" t="str">
        <f t="array" ref="A32">IF(31&lt;=$G$2,INDEX('Golpes extras'!$A$2:$A$101,31),IF(31&lt;=$G$3,INDEX(L_Golpes!$A$2:$A$6000,$E$3+31-$G$2-1),IF(31&lt;=$G$4,INDEX(L_Golpes!$A$2:$A$6000,$E$4+31-$G$3-1),IF(31&lt;=$G$5,INDEX(L_Golpes!$A$2:$A$6000,$E$5+31-$G$4-1),IF(31&lt;=$G$6,INDEX(L_Golpes!$A$2:$A$6000,$E$6+31-$G$5-1),"")))))</f>
        <v>Citlali - Normal: Plunge DMG</v>
      </c>
      <c r="B32" s="2"/>
      <c r="C32" s="2"/>
      <c r="D32" s="2"/>
      <c r="E32" s="2"/>
      <c r="F32" s="2"/>
      <c r="G32" s="2"/>
    </row>
    <row r="33" ht="15.75" customHeight="1">
      <c r="A33" s="2" t="str">
        <f t="array" ref="A33">IF(32&lt;=$G$2,INDEX('Golpes extras'!$A$2:$A$101,32),IF(32&lt;=$G$3,INDEX(L_Golpes!$A$2:$A$6000,$E$3+32-$G$2-1),IF(32&lt;=$G$4,INDEX(L_Golpes!$A$2:$A$6000,$E$4+32-$G$3-1),IF(32&lt;=$G$5,INDEX(L_Golpes!$A$2:$A$6000,$E$5+32-$G$4-1),IF(32&lt;=$G$6,INDEX(L_Golpes!$A$2:$A$6000,$E$6+32-$G$5-1),"")))))</f>
        <v>Citlali - Normal: Low Plunge DMG</v>
      </c>
      <c r="B33" s="2"/>
      <c r="C33" s="2"/>
      <c r="D33" s="2"/>
      <c r="E33" s="2"/>
      <c r="F33" s="2"/>
      <c r="G33" s="2"/>
    </row>
    <row r="34" ht="15.75" customHeight="1">
      <c r="A34" s="2" t="str">
        <f t="array" ref="A34">IF(33&lt;=$G$2,INDEX('Golpes extras'!$A$2:$A$101,33),IF(33&lt;=$G$3,INDEX(L_Golpes!$A$2:$A$6000,$E$3+33-$G$2-1),IF(33&lt;=$G$4,INDEX(L_Golpes!$A$2:$A$6000,$E$4+33-$G$3-1),IF(33&lt;=$G$5,INDEX(L_Golpes!$A$2:$A$6000,$E$5+33-$G$4-1),IF(33&lt;=$G$6,INDEX(L_Golpes!$A$2:$A$6000,$E$6+33-$G$5-1),"")))))</f>
        <v>Citlali - Normal: High Plunge DMG</v>
      </c>
      <c r="B34" s="2"/>
      <c r="C34" s="2"/>
      <c r="D34" s="2"/>
      <c r="E34" s="2"/>
      <c r="F34" s="2"/>
      <c r="G34" s="2"/>
    </row>
    <row r="35" ht="15.75" customHeight="1">
      <c r="A35" s="2" t="str">
        <f t="array" ref="A35">IF(34&lt;=$G$2,INDEX('Golpes extras'!$A$2:$A$101,34),IF(34&lt;=$G$3,INDEX(L_Golpes!$A$2:$A$6000,$E$3+34-$G$2-1),IF(34&lt;=$G$4,INDEX(L_Golpes!$A$2:$A$6000,$E$4+34-$G$3-1),IF(34&lt;=$G$5,INDEX(L_Golpes!$A$2:$A$6000,$E$5+34-$G$4-1),IF(34&lt;=$G$6,INDEX(L_Golpes!$A$2:$A$6000,$E$6+34-$G$5-1),"")))))</f>
        <v>Citlali - Habilidade: Obsidian Tzitzimitl DMG</v>
      </c>
      <c r="B35" s="2"/>
      <c r="C35" s="2"/>
      <c r="D35" s="2"/>
      <c r="E35" s="2"/>
      <c r="F35" s="2"/>
      <c r="G35" s="2"/>
    </row>
    <row r="36" ht="15.75" customHeight="1">
      <c r="A36" s="2" t="str">
        <f t="array" ref="A36">IF(35&lt;=$G$2,INDEX('Golpes extras'!$A$2:$A$101,35),IF(35&lt;=$G$3,INDEX(L_Golpes!$A$2:$A$6000,$E$3+35-$G$2-1),IF(35&lt;=$G$4,INDEX(L_Golpes!$A$2:$A$6000,$E$4+35-$G$3-1),IF(35&lt;=$G$5,INDEX(L_Golpes!$A$2:$A$6000,$E$5+35-$G$4-1),IF(35&lt;=$G$6,INDEX(L_Golpes!$A$2:$A$6000,$E$6+35-$G$5-1),"")))))</f>
        <v>Citlali - Habilidade: Frostfall Storm DMG</v>
      </c>
      <c r="B36" s="2"/>
      <c r="C36" s="2"/>
      <c r="D36" s="2"/>
      <c r="E36" s="2"/>
      <c r="F36" s="2"/>
      <c r="G36" s="2"/>
    </row>
    <row r="37" ht="15.75" customHeight="1">
      <c r="A37" s="2" t="str">
        <f t="array" ref="A37">IF(36&lt;=$G$2,INDEX('Golpes extras'!$A$2:$A$101,36),IF(36&lt;=$G$3,INDEX(L_Golpes!$A$2:$A$6000,$E$3+36-$G$2-1),IF(36&lt;=$G$4,INDEX(L_Golpes!$A$2:$A$6000,$E$4+36-$G$3-1),IF(36&lt;=$G$5,INDEX(L_Golpes!$A$2:$A$6000,$E$5+36-$G$4-1),IF(36&lt;=$G$6,INDEX(L_Golpes!$A$2:$A$6000,$E$6+36-$G$5-1),"")))))</f>
        <v>Citlali - Supremo: Ice Storm DMG</v>
      </c>
      <c r="B37" s="2"/>
      <c r="C37" s="2"/>
      <c r="D37" s="2"/>
      <c r="E37" s="2"/>
      <c r="F37" s="2"/>
      <c r="G37" s="2"/>
    </row>
    <row r="38" ht="15.75" customHeight="1">
      <c r="A38" s="2" t="str">
        <f t="array" ref="A38">IF(37&lt;=$G$2,INDEX('Golpes extras'!$A$2:$A$101,37),IF(37&lt;=$G$3,INDEX(L_Golpes!$A$2:$A$6000,$E$3+37-$G$2-1),IF(37&lt;=$G$4,INDEX(L_Golpes!$A$2:$A$6000,$E$4+37-$G$3-1),IF(37&lt;=$G$5,INDEX(L_Golpes!$A$2:$A$6000,$E$5+37-$G$4-1),IF(37&lt;=$G$6,INDEX(L_Golpes!$A$2:$A$6000,$E$6+37-$G$5-1),"")))))</f>
        <v>Citlali - Supremo: Spiritvessel Skull DMG</v>
      </c>
      <c r="B38" s="2"/>
      <c r="C38" s="2"/>
      <c r="D38" s="2"/>
      <c r="E38" s="2"/>
      <c r="F38" s="2"/>
      <c r="G38" s="2"/>
    </row>
    <row r="39" ht="15.75" customHeight="1">
      <c r="A39" s="2" t="str">
        <f t="array" ref="A39">IF(38&lt;=$G$2,INDEX('Golpes extras'!$A$2:$A$101,38),IF(38&lt;=$G$3,INDEX(L_Golpes!$A$2:$A$6000,$E$3+38-$G$2-1),IF(38&lt;=$G$4,INDEX(L_Golpes!$A$2:$A$6000,$E$4+38-$G$3-1),IF(38&lt;=$G$5,INDEX(L_Golpes!$A$2:$A$6000,$E$5+38-$G$4-1),IF(38&lt;=$G$6,INDEX(L_Golpes!$A$2:$A$6000,$E$6+38-$G$5-1),"")))))</f>
        <v>Iansan - Normal: 1-Hit DMG</v>
      </c>
      <c r="B39" s="2"/>
      <c r="C39" s="2"/>
      <c r="D39" s="2"/>
      <c r="E39" s="2"/>
      <c r="F39" s="2"/>
      <c r="G39" s="2"/>
    </row>
    <row r="40" ht="15.75" customHeight="1">
      <c r="A40" s="2" t="str">
        <f t="array" ref="A40">IF(39&lt;=$G$2,INDEX('Golpes extras'!$A$2:$A$101,39),IF(39&lt;=$G$3,INDEX(L_Golpes!$A$2:$A$6000,$E$3+39-$G$2-1),IF(39&lt;=$G$4,INDEX(L_Golpes!$A$2:$A$6000,$E$4+39-$G$3-1),IF(39&lt;=$G$5,INDEX(L_Golpes!$A$2:$A$6000,$E$5+39-$G$4-1),IF(39&lt;=$G$6,INDEX(L_Golpes!$A$2:$A$6000,$E$6+39-$G$5-1),"")))))</f>
        <v>Iansan - Normal: 2-Hit DMG</v>
      </c>
      <c r="B40" s="2"/>
      <c r="C40" s="2"/>
      <c r="D40" s="2"/>
      <c r="E40" s="2"/>
      <c r="F40" s="2"/>
      <c r="G40" s="2"/>
    </row>
    <row r="41" ht="15.75" customHeight="1">
      <c r="A41" s="2" t="str">
        <f t="array" ref="A41">IF(40&lt;=$G$2,INDEX('Golpes extras'!$A$2:$A$101,40),IF(40&lt;=$G$3,INDEX(L_Golpes!$A$2:$A$6000,$E$3+40-$G$2-1),IF(40&lt;=$G$4,INDEX(L_Golpes!$A$2:$A$6000,$E$4+40-$G$3-1),IF(40&lt;=$G$5,INDEX(L_Golpes!$A$2:$A$6000,$E$5+40-$G$4-1),IF(40&lt;=$G$6,INDEX(L_Golpes!$A$2:$A$6000,$E$6+40-$G$5-1),"")))))</f>
        <v>Iansan - Normal: 3-Hit DMG</v>
      </c>
      <c r="B41" s="2"/>
      <c r="C41" s="2"/>
      <c r="D41" s="2"/>
      <c r="E41" s="2"/>
      <c r="F41" s="2"/>
      <c r="G41" s="2"/>
    </row>
    <row r="42" ht="15.75" customHeight="1">
      <c r="A42" s="2" t="str">
        <f t="array" ref="A42">IF(41&lt;=$G$2,INDEX('Golpes extras'!$A$2:$A$101,41),IF(41&lt;=$G$3,INDEX(L_Golpes!$A$2:$A$6000,$E$3+41-$G$2-1),IF(41&lt;=$G$4,INDEX(L_Golpes!$A$2:$A$6000,$E$4+41-$G$3-1),IF(41&lt;=$G$5,INDEX(L_Golpes!$A$2:$A$6000,$E$5+41-$G$4-1),IF(41&lt;=$G$6,INDEX(L_Golpes!$A$2:$A$6000,$E$6+41-$G$5-1),"")))))</f>
        <v>Iansan - Normal: Charged Attack DMG</v>
      </c>
      <c r="B42" s="2"/>
      <c r="C42" s="2"/>
      <c r="D42" s="2"/>
      <c r="E42" s="2"/>
      <c r="F42" s="2"/>
      <c r="G42" s="2"/>
    </row>
    <row r="43" ht="15.75" customHeight="1">
      <c r="A43" s="2" t="str">
        <f t="array" ref="A43">IF(42&lt;=$G$2,INDEX('Golpes extras'!$A$2:$A$101,42),IF(42&lt;=$G$3,INDEX(L_Golpes!$A$2:$A$6000,$E$3+42-$G$2-1),IF(42&lt;=$G$4,INDEX(L_Golpes!$A$2:$A$6000,$E$4+42-$G$3-1),IF(42&lt;=$G$5,INDEX(L_Golpes!$A$2:$A$6000,$E$5+42-$G$4-1),IF(42&lt;=$G$6,INDEX(L_Golpes!$A$2:$A$6000,$E$6+42-$G$5-1),"")))))</f>
        <v>Iansan - Normal: Swift Stormflight DMG</v>
      </c>
      <c r="B43" s="2"/>
      <c r="C43" s="2"/>
      <c r="D43" s="2"/>
      <c r="E43" s="2"/>
      <c r="F43" s="2"/>
      <c r="G43" s="2"/>
    </row>
    <row r="44" ht="15.75" customHeight="1">
      <c r="A44" s="2" t="str">
        <f t="array" ref="A44">IF(43&lt;=$G$2,INDEX('Golpes extras'!$A$2:$A$101,43),IF(43&lt;=$G$3,INDEX(L_Golpes!$A$2:$A$6000,$E$3+43-$G$2-1),IF(43&lt;=$G$4,INDEX(L_Golpes!$A$2:$A$6000,$E$4+43-$G$3-1),IF(43&lt;=$G$5,INDEX(L_Golpes!$A$2:$A$6000,$E$5+43-$G$4-1),IF(43&lt;=$G$6,INDEX(L_Golpes!$A$2:$A$6000,$E$6+43-$G$5-1),"")))))</f>
        <v>Iansan - Normal: Plunge DMG</v>
      </c>
      <c r="B44" s="2"/>
      <c r="C44" s="2"/>
      <c r="D44" s="2"/>
      <c r="E44" s="2"/>
      <c r="F44" s="2"/>
      <c r="G44" s="2"/>
    </row>
    <row r="45" ht="15.75" customHeight="1">
      <c r="A45" s="2" t="str">
        <f t="array" ref="A45">IF(44&lt;=$G$2,INDEX('Golpes extras'!$A$2:$A$101,44),IF(44&lt;=$G$3,INDEX(L_Golpes!$A$2:$A$6000,$E$3+44-$G$2-1),IF(44&lt;=$G$4,INDEX(L_Golpes!$A$2:$A$6000,$E$4+44-$G$3-1),IF(44&lt;=$G$5,INDEX(L_Golpes!$A$2:$A$6000,$E$5+44-$G$4-1),IF(44&lt;=$G$6,INDEX(L_Golpes!$A$2:$A$6000,$E$6+44-$G$5-1),"")))))</f>
        <v>Iansan - Normal: Low Plunge DMG</v>
      </c>
      <c r="B45" s="2"/>
      <c r="C45" s="2"/>
      <c r="D45" s="2"/>
      <c r="E45" s="2"/>
      <c r="F45" s="2"/>
      <c r="G45" s="2"/>
    </row>
    <row r="46" ht="15.75" customHeight="1">
      <c r="A46" s="2" t="str">
        <f t="array" ref="A46">IF(45&lt;=$G$2,INDEX('Golpes extras'!$A$2:$A$101,45),IF(45&lt;=$G$3,INDEX(L_Golpes!$A$2:$A$6000,$E$3+45-$G$2-1),IF(45&lt;=$G$4,INDEX(L_Golpes!$A$2:$A$6000,$E$4+45-$G$3-1),IF(45&lt;=$G$5,INDEX(L_Golpes!$A$2:$A$6000,$E$5+45-$G$4-1),IF(45&lt;=$G$6,INDEX(L_Golpes!$A$2:$A$6000,$E$6+45-$G$5-1),"")))))</f>
        <v>Iansan - Normal: High Plunge DMG</v>
      </c>
      <c r="B46" s="2"/>
      <c r="C46" s="2"/>
      <c r="D46" s="2"/>
      <c r="E46" s="2"/>
      <c r="F46" s="2"/>
      <c r="G46" s="2"/>
    </row>
    <row r="47" ht="15.75" customHeight="1">
      <c r="A47" s="2" t="str">
        <f t="array" ref="A47">IF(46&lt;=$G$2,INDEX('Golpes extras'!$A$2:$A$101,46),IF(46&lt;=$G$3,INDEX(L_Golpes!$A$2:$A$6000,$E$3+46-$G$2-1),IF(46&lt;=$G$4,INDEX(L_Golpes!$A$2:$A$6000,$E$4+46-$G$3-1),IF(46&lt;=$G$5,INDEX(L_Golpes!$A$2:$A$6000,$E$5+46-$G$4-1),IF(46&lt;=$G$6,INDEX(L_Golpes!$A$2:$A$6000,$E$6+46-$G$5-1),"")))))</f>
        <v>Iansan - Habilidade: Skill DMG</v>
      </c>
      <c r="B47" s="2"/>
      <c r="C47" s="2"/>
      <c r="D47" s="2"/>
      <c r="E47" s="2"/>
      <c r="F47" s="2"/>
      <c r="G47" s="2"/>
    </row>
    <row r="48" ht="15.75" customHeight="1">
      <c r="A48" s="2" t="str">
        <f t="array" ref="A48">IF(47&lt;=$G$2,INDEX('Golpes extras'!$A$2:$A$101,47),IF(47&lt;=$G$3,INDEX(L_Golpes!$A$2:$A$6000,$E$3+47-$G$2-1),IF(47&lt;=$G$4,INDEX(L_Golpes!$A$2:$A$6000,$E$4+47-$G$3-1),IF(47&lt;=$G$5,INDEX(L_Golpes!$A$2:$A$6000,$E$5+47-$G$4-1),IF(47&lt;=$G$6,INDEX(L_Golpes!$A$2:$A$6000,$E$6+47-$G$5-1),"")))))</f>
        <v>Iansan - Supremo: Skill DMG</v>
      </c>
      <c r="B48" s="2"/>
      <c r="C48" s="2"/>
      <c r="D48" s="2"/>
      <c r="E48" s="2"/>
      <c r="F48" s="2"/>
      <c r="G48" s="2"/>
    </row>
    <row r="49" ht="15.75" customHeight="1">
      <c r="A49" s="2" t="str">
        <f t="array" ref="A49">IF(48&lt;=$G$2,INDEX('Golpes extras'!$A$2:$A$101,48),IF(48&lt;=$G$3,INDEX(L_Golpes!$A$2:$A$6000,$E$3+48-$G$2-1),IF(48&lt;=$G$4,INDEX(L_Golpes!$A$2:$A$6000,$E$4+48-$G$3-1),IF(48&lt;=$G$5,INDEX(L_Golpes!$A$2:$A$6000,$E$5+48-$G$4-1),IF(48&lt;=$G$6,INDEX(L_Golpes!$A$2:$A$6000,$E$6+48-$G$5-1),"")))))</f>
        <v>Bennett - Normal: 1-Hit DMG</v>
      </c>
      <c r="B49" s="2"/>
      <c r="C49" s="2"/>
      <c r="D49" s="2"/>
      <c r="E49" s="2"/>
      <c r="F49" s="2"/>
      <c r="G49" s="2"/>
    </row>
    <row r="50" ht="15.75" customHeight="1">
      <c r="A50" s="2" t="str">
        <f t="array" ref="A50">IF(49&lt;=$G$2,INDEX('Golpes extras'!$A$2:$A$101,49),IF(49&lt;=$G$3,INDEX(L_Golpes!$A$2:$A$6000,$E$3+49-$G$2-1),IF(49&lt;=$G$4,INDEX(L_Golpes!$A$2:$A$6000,$E$4+49-$G$3-1),IF(49&lt;=$G$5,INDEX(L_Golpes!$A$2:$A$6000,$E$5+49-$G$4-1),IF(49&lt;=$G$6,INDEX(L_Golpes!$A$2:$A$6000,$E$6+49-$G$5-1),"")))))</f>
        <v>Bennett - Normal: 2-Hit DMG</v>
      </c>
      <c r="B50" s="2"/>
      <c r="C50" s="2"/>
      <c r="D50" s="2"/>
      <c r="E50" s="2"/>
      <c r="F50" s="2"/>
      <c r="G50" s="2"/>
    </row>
    <row r="51" ht="15.75" customHeight="1">
      <c r="A51" s="2" t="str">
        <f t="array" ref="A51">IF(50&lt;=$G$2,INDEX('Golpes extras'!$A$2:$A$101,50),IF(50&lt;=$G$3,INDEX(L_Golpes!$A$2:$A$6000,$E$3+50-$G$2-1),IF(50&lt;=$G$4,INDEX(L_Golpes!$A$2:$A$6000,$E$4+50-$G$3-1),IF(50&lt;=$G$5,INDEX(L_Golpes!$A$2:$A$6000,$E$5+50-$G$4-1),IF(50&lt;=$G$6,INDEX(L_Golpes!$A$2:$A$6000,$E$6+50-$G$5-1),"")))))</f>
        <v>Bennett - Normal: 3-Hit DMG</v>
      </c>
      <c r="B51" s="2"/>
      <c r="C51" s="2"/>
      <c r="D51" s="2"/>
      <c r="E51" s="2"/>
      <c r="F51" s="2"/>
      <c r="G51" s="2"/>
    </row>
    <row r="52" ht="15.75" customHeight="1">
      <c r="A52" s="2" t="str">
        <f t="array" ref="A52">IF(51&lt;=$G$2,INDEX('Golpes extras'!$A$2:$A$101,51),IF(51&lt;=$G$3,INDEX(L_Golpes!$A$2:$A$6000,$E$3+51-$G$2-1),IF(51&lt;=$G$4,INDEX(L_Golpes!$A$2:$A$6000,$E$4+51-$G$3-1),IF(51&lt;=$G$5,INDEX(L_Golpes!$A$2:$A$6000,$E$5+51-$G$4-1),IF(51&lt;=$G$6,INDEX(L_Golpes!$A$2:$A$6000,$E$6+51-$G$5-1),"")))))</f>
        <v>Bennett - Normal: 4-Hit DMG</v>
      </c>
      <c r="B52" s="2"/>
      <c r="C52" s="2"/>
      <c r="D52" s="2"/>
      <c r="E52" s="2"/>
      <c r="F52" s="2"/>
      <c r="G52" s="2"/>
    </row>
    <row r="53" ht="15.75" customHeight="1">
      <c r="A53" s="2" t="str">
        <f t="array" ref="A53">IF(52&lt;=$G$2,INDEX('Golpes extras'!$A$2:$A$101,52),IF(52&lt;=$G$3,INDEX(L_Golpes!$A$2:$A$6000,$E$3+52-$G$2-1),IF(52&lt;=$G$4,INDEX(L_Golpes!$A$2:$A$6000,$E$4+52-$G$3-1),IF(52&lt;=$G$5,INDEX(L_Golpes!$A$2:$A$6000,$E$5+52-$G$4-1),IF(52&lt;=$G$6,INDEX(L_Golpes!$A$2:$A$6000,$E$6+52-$G$5-1),"")))))</f>
        <v>Bennett - Normal: 5-Hit DMG</v>
      </c>
      <c r="B53" s="2"/>
      <c r="C53" s="2"/>
      <c r="D53" s="2"/>
      <c r="E53" s="2"/>
      <c r="F53" s="2"/>
      <c r="G53" s="2"/>
    </row>
    <row r="54" ht="15.75" customHeight="1">
      <c r="A54" s="2" t="str">
        <f t="array" ref="A54">IF(53&lt;=$G$2,INDEX('Golpes extras'!$A$2:$A$101,53),IF(53&lt;=$G$3,INDEX(L_Golpes!$A$2:$A$6000,$E$3+53-$G$2-1),IF(53&lt;=$G$4,INDEX(L_Golpes!$A$2:$A$6000,$E$4+53-$G$3-1),IF(53&lt;=$G$5,INDEX(L_Golpes!$A$2:$A$6000,$E$5+53-$G$4-1),IF(53&lt;=$G$6,INDEX(L_Golpes!$A$2:$A$6000,$E$6+53-$G$5-1),"")))))</f>
        <v>Bennett - Normal: Charged Attack DMG</v>
      </c>
      <c r="B54" s="2"/>
      <c r="C54" s="2"/>
      <c r="D54" s="2"/>
      <c r="E54" s="2"/>
      <c r="F54" s="2"/>
      <c r="G54" s="2"/>
    </row>
    <row r="55" ht="15.75" customHeight="1">
      <c r="A55" s="2" t="str">
        <f t="array" ref="A55">IF(54&lt;=$G$2,INDEX('Golpes extras'!$A$2:$A$101,54),IF(54&lt;=$G$3,INDEX(L_Golpes!$A$2:$A$6000,$E$3+54-$G$2-1),IF(54&lt;=$G$4,INDEX(L_Golpes!$A$2:$A$6000,$E$4+54-$G$3-1),IF(54&lt;=$G$5,INDEX(L_Golpes!$A$2:$A$6000,$E$5+54-$G$4-1),IF(54&lt;=$G$6,INDEX(L_Golpes!$A$2:$A$6000,$E$6+54-$G$5-1),"")))))</f>
        <v>Bennett - Normal: Plunge DMG</v>
      </c>
      <c r="B55" s="2"/>
      <c r="C55" s="2"/>
      <c r="D55" s="2"/>
      <c r="E55" s="2"/>
      <c r="F55" s="2"/>
      <c r="G55" s="2"/>
    </row>
    <row r="56" ht="15.75" customHeight="1">
      <c r="A56" s="2" t="str">
        <f t="array" ref="A56">IF(55&lt;=$G$2,INDEX('Golpes extras'!$A$2:$A$101,55),IF(55&lt;=$G$3,INDEX(L_Golpes!$A$2:$A$6000,$E$3+55-$G$2-1),IF(55&lt;=$G$4,INDEX(L_Golpes!$A$2:$A$6000,$E$4+55-$G$3-1),IF(55&lt;=$G$5,INDEX(L_Golpes!$A$2:$A$6000,$E$5+55-$G$4-1),IF(55&lt;=$G$6,INDEX(L_Golpes!$A$2:$A$6000,$E$6+55-$G$5-1),"")))))</f>
        <v>Bennett - Normal: Low Plunge DMG</v>
      </c>
      <c r="B56" s="2"/>
      <c r="C56" s="2"/>
      <c r="D56" s="2"/>
      <c r="E56" s="2"/>
      <c r="F56" s="2"/>
      <c r="G56" s="2"/>
    </row>
    <row r="57" ht="15.75" customHeight="1">
      <c r="A57" s="2" t="str">
        <f t="array" ref="A57">IF(56&lt;=$G$2,INDEX('Golpes extras'!$A$2:$A$101,56),IF(56&lt;=$G$3,INDEX(L_Golpes!$A$2:$A$6000,$E$3+56-$G$2-1),IF(56&lt;=$G$4,INDEX(L_Golpes!$A$2:$A$6000,$E$4+56-$G$3-1),IF(56&lt;=$G$5,INDEX(L_Golpes!$A$2:$A$6000,$E$5+56-$G$4-1),IF(56&lt;=$G$6,INDEX(L_Golpes!$A$2:$A$6000,$E$6+56-$G$5-1),"")))))</f>
        <v>Bennett - Normal: High Plunge DMG</v>
      </c>
      <c r="B57" s="2"/>
      <c r="C57" s="2"/>
      <c r="D57" s="2"/>
      <c r="E57" s="2"/>
      <c r="F57" s="2"/>
      <c r="G57" s="2"/>
    </row>
    <row r="58" ht="15.75" customHeight="1">
      <c r="A58" s="2" t="str">
        <f t="array" ref="A58">IF(57&lt;=$G$2,INDEX('Golpes extras'!$A$2:$A$101,57),IF(57&lt;=$G$3,INDEX(L_Golpes!$A$2:$A$6000,$E$3+57-$G$2-1),IF(57&lt;=$G$4,INDEX(L_Golpes!$A$2:$A$6000,$E$4+57-$G$3-1),IF(57&lt;=$G$5,INDEX(L_Golpes!$A$2:$A$6000,$E$5+57-$G$4-1),IF(57&lt;=$G$6,INDEX(L_Golpes!$A$2:$A$6000,$E$6+57-$G$5-1),"")))))</f>
        <v>Bennett - Habilidade: Press DMG</v>
      </c>
      <c r="B58" s="2"/>
      <c r="C58" s="2"/>
      <c r="D58" s="2"/>
      <c r="E58" s="2"/>
      <c r="F58" s="2"/>
      <c r="G58" s="2"/>
    </row>
    <row r="59" ht="15.75" customHeight="1">
      <c r="A59" s="2" t="str">
        <f t="array" ref="A59">IF(58&lt;=$G$2,INDEX('Golpes extras'!$A$2:$A$101,58),IF(58&lt;=$G$3,INDEX(L_Golpes!$A$2:$A$6000,$E$3+58-$G$2-1),IF(58&lt;=$G$4,INDEX(L_Golpes!$A$2:$A$6000,$E$4+58-$G$3-1),IF(58&lt;=$G$5,INDEX(L_Golpes!$A$2:$A$6000,$E$5+58-$G$4-1),IF(58&lt;=$G$6,INDEX(L_Golpes!$A$2:$A$6000,$E$6+58-$G$5-1),"")))))</f>
        <v>Bennett - Habilidade: Charge Level 1 DMG</v>
      </c>
      <c r="B59" s="2"/>
      <c r="C59" s="2"/>
      <c r="D59" s="2"/>
      <c r="E59" s="2"/>
      <c r="F59" s="2"/>
      <c r="G59" s="2"/>
    </row>
    <row r="60" ht="15.75" customHeight="1">
      <c r="A60" s="2" t="str">
        <f t="array" ref="A60">IF(59&lt;=$G$2,INDEX('Golpes extras'!$A$2:$A$101,59),IF(59&lt;=$G$3,INDEX(L_Golpes!$A$2:$A$6000,$E$3+59-$G$2-1),IF(59&lt;=$G$4,INDEX(L_Golpes!$A$2:$A$6000,$E$4+59-$G$3-1),IF(59&lt;=$G$5,INDEX(L_Golpes!$A$2:$A$6000,$E$5+59-$G$4-1),IF(59&lt;=$G$6,INDEX(L_Golpes!$A$2:$A$6000,$E$6+59-$G$5-1),"")))))</f>
        <v>Bennett - Habilidade: Charge Level 2 DMG</v>
      </c>
      <c r="B60" s="2"/>
      <c r="C60" s="2"/>
      <c r="D60" s="2"/>
      <c r="E60" s="2"/>
      <c r="F60" s="2"/>
      <c r="G60" s="2"/>
    </row>
    <row r="61" ht="15.75" customHeight="1">
      <c r="A61" s="2" t="str">
        <f t="array" ref="A61">IF(60&lt;=$G$2,INDEX('Golpes extras'!$A$2:$A$101,60),IF(60&lt;=$G$3,INDEX(L_Golpes!$A$2:$A$6000,$E$3+60-$G$2-1),IF(60&lt;=$G$4,INDEX(L_Golpes!$A$2:$A$6000,$E$4+60-$G$3-1),IF(60&lt;=$G$5,INDEX(L_Golpes!$A$2:$A$6000,$E$5+60-$G$4-1),IF(60&lt;=$G$6,INDEX(L_Golpes!$A$2:$A$6000,$E$6+60-$G$5-1),"")))))</f>
        <v>Bennett - Habilidade: Explosion DMG</v>
      </c>
      <c r="B61" s="2"/>
      <c r="C61" s="2"/>
      <c r="D61" s="2"/>
      <c r="E61" s="2"/>
      <c r="F61" s="2"/>
      <c r="G61" s="2"/>
    </row>
    <row r="62" ht="15.75" customHeight="1">
      <c r="A62" s="2" t="str">
        <f t="array" ref="A62">IF(61&lt;=$G$2,INDEX('Golpes extras'!$A$2:$A$101,61),IF(61&lt;=$G$3,INDEX(L_Golpes!$A$2:$A$6000,$E$3+61-$G$2-1),IF(61&lt;=$G$4,INDEX(L_Golpes!$A$2:$A$6000,$E$4+61-$G$3-1),IF(61&lt;=$G$5,INDEX(L_Golpes!$A$2:$A$6000,$E$5+61-$G$4-1),IF(61&lt;=$G$6,INDEX(L_Golpes!$A$2:$A$6000,$E$6+61-$G$5-1),"")))))</f>
        <v>Bennett - Supremo: Skill DMG</v>
      </c>
      <c r="B62" s="2"/>
      <c r="C62" s="2"/>
      <c r="D62" s="2"/>
      <c r="E62" s="2"/>
      <c r="F62" s="2"/>
      <c r="G62" s="2"/>
    </row>
    <row r="63" ht="15.75" customHeight="1">
      <c r="A63" s="2" t="str">
        <f t="array" ref="A63">IF(62&lt;=$G$2,INDEX('Golpes extras'!$A$2:$A$101,62),IF(62&lt;=$G$3,INDEX(L_Golpes!$A$2:$A$6000,$E$3+62-$G$2-1),IF(62&lt;=$G$4,INDEX(L_Golpes!$A$2:$A$6000,$E$4+62-$G$3-1),IF(62&lt;=$G$5,INDEX(L_Golpes!$A$2:$A$6000,$E$5+62-$G$4-1),IF(62&lt;=$G$6,INDEX(L_Golpes!$A$2:$A$6000,$E$6+62-$G$5-1),"")))))</f>
        <v/>
      </c>
      <c r="B63" s="2"/>
      <c r="C63" s="2"/>
      <c r="D63" s="2"/>
      <c r="E63" s="2"/>
      <c r="F63" s="2"/>
      <c r="G63" s="2"/>
    </row>
    <row r="64" ht="15.75" customHeight="1">
      <c r="A64" s="2" t="str">
        <f t="array" ref="A64">IF(63&lt;=$G$2,INDEX('Golpes extras'!$A$2:$A$101,63),IF(63&lt;=$G$3,INDEX(L_Golpes!$A$2:$A$6000,$E$3+63-$G$2-1),IF(63&lt;=$G$4,INDEX(L_Golpes!$A$2:$A$6000,$E$4+63-$G$3-1),IF(63&lt;=$G$5,INDEX(L_Golpes!$A$2:$A$6000,$E$5+63-$G$4-1),IF(63&lt;=$G$6,INDEX(L_Golpes!$A$2:$A$6000,$E$6+63-$G$5-1),"")))))</f>
        <v/>
      </c>
      <c r="B64" s="2"/>
      <c r="C64" s="2"/>
      <c r="D64" s="2"/>
      <c r="E64" s="2"/>
      <c r="F64" s="2"/>
      <c r="G64" s="2"/>
    </row>
    <row r="65" ht="15.75" customHeight="1">
      <c r="A65" s="2" t="str">
        <f t="array" ref="A65">IF(64&lt;=$G$2,INDEX('Golpes extras'!$A$2:$A$101,64),IF(64&lt;=$G$3,INDEX(L_Golpes!$A$2:$A$6000,$E$3+64-$G$2-1),IF(64&lt;=$G$4,INDEX(L_Golpes!$A$2:$A$6000,$E$4+64-$G$3-1),IF(64&lt;=$G$5,INDEX(L_Golpes!$A$2:$A$6000,$E$5+64-$G$4-1),IF(64&lt;=$G$6,INDEX(L_Golpes!$A$2:$A$6000,$E$6+64-$G$5-1),"")))))</f>
        <v/>
      </c>
      <c r="B65" s="2"/>
      <c r="C65" s="2"/>
      <c r="D65" s="2"/>
      <c r="E65" s="2"/>
      <c r="F65" s="2"/>
      <c r="G65" s="2"/>
    </row>
    <row r="66" ht="15.75" customHeight="1">
      <c r="A66" s="2" t="str">
        <f t="array" ref="A66">IF(65&lt;=$G$2,INDEX('Golpes extras'!$A$2:$A$101,65),IF(65&lt;=$G$3,INDEX(L_Golpes!$A$2:$A$6000,$E$3+65-$G$2-1),IF(65&lt;=$G$4,INDEX(L_Golpes!$A$2:$A$6000,$E$4+65-$G$3-1),IF(65&lt;=$G$5,INDEX(L_Golpes!$A$2:$A$6000,$E$5+65-$G$4-1),IF(65&lt;=$G$6,INDEX(L_Golpes!$A$2:$A$6000,$E$6+65-$G$5-1),"")))))</f>
        <v/>
      </c>
      <c r="B66" s="2"/>
      <c r="C66" s="2"/>
      <c r="D66" s="2"/>
      <c r="E66" s="2"/>
      <c r="F66" s="2"/>
      <c r="G66" s="2"/>
    </row>
    <row r="67" ht="15.75" customHeight="1">
      <c r="A67" s="2" t="str">
        <f t="array" ref="A67">IF(66&lt;=$G$2,INDEX('Golpes extras'!$A$2:$A$101,66),IF(66&lt;=$G$3,INDEX(L_Golpes!$A$2:$A$6000,$E$3+66-$G$2-1),IF(66&lt;=$G$4,INDEX(L_Golpes!$A$2:$A$6000,$E$4+66-$G$3-1),IF(66&lt;=$G$5,INDEX(L_Golpes!$A$2:$A$6000,$E$5+66-$G$4-1),IF(66&lt;=$G$6,INDEX(L_Golpes!$A$2:$A$6000,$E$6+66-$G$5-1),"")))))</f>
        <v/>
      </c>
      <c r="B67" s="2"/>
      <c r="C67" s="2"/>
      <c r="D67" s="2"/>
      <c r="E67" s="2"/>
      <c r="F67" s="2"/>
      <c r="G67" s="2"/>
    </row>
    <row r="68" ht="15.75" customHeight="1">
      <c r="A68" s="2" t="str">
        <f t="array" ref="A68">IF(67&lt;=$G$2,INDEX('Golpes extras'!$A$2:$A$101,67),IF(67&lt;=$G$3,INDEX(L_Golpes!$A$2:$A$6000,$E$3+67-$G$2-1),IF(67&lt;=$G$4,INDEX(L_Golpes!$A$2:$A$6000,$E$4+67-$G$3-1),IF(67&lt;=$G$5,INDEX(L_Golpes!$A$2:$A$6000,$E$5+67-$G$4-1),IF(67&lt;=$G$6,INDEX(L_Golpes!$A$2:$A$6000,$E$6+67-$G$5-1),"")))))</f>
        <v/>
      </c>
      <c r="B68" s="2"/>
      <c r="C68" s="2"/>
      <c r="D68" s="2"/>
      <c r="E68" s="2"/>
      <c r="F68" s="2"/>
      <c r="G68" s="2"/>
    </row>
    <row r="69" ht="15.75" customHeight="1">
      <c r="A69" s="2" t="str">
        <f t="array" ref="A69">IF(68&lt;=$G$2,INDEX('Golpes extras'!$A$2:$A$101,68),IF(68&lt;=$G$3,INDEX(L_Golpes!$A$2:$A$6000,$E$3+68-$G$2-1),IF(68&lt;=$G$4,INDEX(L_Golpes!$A$2:$A$6000,$E$4+68-$G$3-1),IF(68&lt;=$G$5,INDEX(L_Golpes!$A$2:$A$6000,$E$5+68-$G$4-1),IF(68&lt;=$G$6,INDEX(L_Golpes!$A$2:$A$6000,$E$6+68-$G$5-1),"")))))</f>
        <v/>
      </c>
      <c r="B69" s="2"/>
      <c r="C69" s="2"/>
      <c r="D69" s="2"/>
      <c r="E69" s="2"/>
      <c r="F69" s="2"/>
      <c r="G69" s="2"/>
    </row>
    <row r="70" ht="15.75" customHeight="1">
      <c r="A70" s="2" t="str">
        <f t="array" ref="A70">IF(69&lt;=$G$2,INDEX('Golpes extras'!$A$2:$A$101,69),IF(69&lt;=$G$3,INDEX(L_Golpes!$A$2:$A$6000,$E$3+69-$G$2-1),IF(69&lt;=$G$4,INDEX(L_Golpes!$A$2:$A$6000,$E$4+69-$G$3-1),IF(69&lt;=$G$5,INDEX(L_Golpes!$A$2:$A$6000,$E$5+69-$G$4-1),IF(69&lt;=$G$6,INDEX(L_Golpes!$A$2:$A$6000,$E$6+69-$G$5-1),"")))))</f>
        <v/>
      </c>
      <c r="B70" s="2"/>
      <c r="C70" s="2"/>
      <c r="D70" s="2"/>
      <c r="E70" s="2"/>
      <c r="F70" s="2"/>
      <c r="G70" s="2"/>
    </row>
    <row r="71" ht="15.75" customHeight="1">
      <c r="A71" s="2" t="str">
        <f t="array" ref="A71">IF(70&lt;=$G$2,INDEX('Golpes extras'!$A$2:$A$101,70),IF(70&lt;=$G$3,INDEX(L_Golpes!$A$2:$A$6000,$E$3+70-$G$2-1),IF(70&lt;=$G$4,INDEX(L_Golpes!$A$2:$A$6000,$E$4+70-$G$3-1),IF(70&lt;=$G$5,INDEX(L_Golpes!$A$2:$A$6000,$E$5+70-$G$4-1),IF(70&lt;=$G$6,INDEX(L_Golpes!$A$2:$A$6000,$E$6+70-$G$5-1),"")))))</f>
        <v/>
      </c>
      <c r="B71" s="2"/>
      <c r="C71" s="2"/>
      <c r="D71" s="2"/>
      <c r="E71" s="2"/>
      <c r="F71" s="2"/>
      <c r="G71" s="2"/>
    </row>
    <row r="72" ht="15.75" customHeight="1">
      <c r="A72" s="2" t="str">
        <f t="array" ref="A72">IF(71&lt;=$G$2,INDEX('Golpes extras'!$A$2:$A$101,71),IF(71&lt;=$G$3,INDEX(L_Golpes!$A$2:$A$6000,$E$3+71-$G$2-1),IF(71&lt;=$G$4,INDEX(L_Golpes!$A$2:$A$6000,$E$4+71-$G$3-1),IF(71&lt;=$G$5,INDEX(L_Golpes!$A$2:$A$6000,$E$5+71-$G$4-1),IF(71&lt;=$G$6,INDEX(L_Golpes!$A$2:$A$6000,$E$6+71-$G$5-1),"")))))</f>
        <v/>
      </c>
      <c r="B72" s="2"/>
      <c r="C72" s="2"/>
      <c r="D72" s="2"/>
      <c r="E72" s="2"/>
      <c r="F72" s="2"/>
      <c r="G72" s="2"/>
    </row>
    <row r="73" ht="15.75" customHeight="1">
      <c r="A73" s="2" t="str">
        <f t="array" ref="A73">IF(72&lt;=$G$2,INDEX('Golpes extras'!$A$2:$A$101,72),IF(72&lt;=$G$3,INDEX(L_Golpes!$A$2:$A$6000,$E$3+72-$G$2-1),IF(72&lt;=$G$4,INDEX(L_Golpes!$A$2:$A$6000,$E$4+72-$G$3-1),IF(72&lt;=$G$5,INDEX(L_Golpes!$A$2:$A$6000,$E$5+72-$G$4-1),IF(72&lt;=$G$6,INDEX(L_Golpes!$A$2:$A$6000,$E$6+72-$G$5-1),"")))))</f>
        <v/>
      </c>
      <c r="B73" s="2"/>
      <c r="C73" s="2"/>
      <c r="D73" s="2"/>
      <c r="E73" s="2"/>
      <c r="F73" s="2"/>
      <c r="G73" s="2"/>
    </row>
    <row r="74" ht="15.75" customHeight="1">
      <c r="A74" s="2" t="str">
        <f t="array" ref="A74">IF(73&lt;=$G$2,INDEX('Golpes extras'!$A$2:$A$101,73),IF(73&lt;=$G$3,INDEX(L_Golpes!$A$2:$A$6000,$E$3+73-$G$2-1),IF(73&lt;=$G$4,INDEX(L_Golpes!$A$2:$A$6000,$E$4+73-$G$3-1),IF(73&lt;=$G$5,INDEX(L_Golpes!$A$2:$A$6000,$E$5+73-$G$4-1),IF(73&lt;=$G$6,INDEX(L_Golpes!$A$2:$A$6000,$E$6+73-$G$5-1),"")))))</f>
        <v/>
      </c>
      <c r="B74" s="2"/>
      <c r="C74" s="2"/>
      <c r="D74" s="2"/>
      <c r="E74" s="2"/>
      <c r="F74" s="2"/>
      <c r="G74" s="2"/>
    </row>
    <row r="75" ht="15.75" customHeight="1">
      <c r="A75" s="2" t="str">
        <f t="array" ref="A75">IF(74&lt;=$G$2,INDEX('Golpes extras'!$A$2:$A$101,74),IF(74&lt;=$G$3,INDEX(L_Golpes!$A$2:$A$6000,$E$3+74-$G$2-1),IF(74&lt;=$G$4,INDEX(L_Golpes!$A$2:$A$6000,$E$4+74-$G$3-1),IF(74&lt;=$G$5,INDEX(L_Golpes!$A$2:$A$6000,$E$5+74-$G$4-1),IF(74&lt;=$G$6,INDEX(L_Golpes!$A$2:$A$6000,$E$6+74-$G$5-1),"")))))</f>
        <v/>
      </c>
      <c r="B75" s="2"/>
      <c r="C75" s="2"/>
      <c r="D75" s="2"/>
      <c r="E75" s="2"/>
      <c r="F75" s="2"/>
      <c r="G75" s="2"/>
    </row>
    <row r="76" ht="15.75" customHeight="1">
      <c r="A76" s="2" t="str">
        <f t="array" ref="A76">IF(75&lt;=$G$2,INDEX('Golpes extras'!$A$2:$A$101,75),IF(75&lt;=$G$3,INDEX(L_Golpes!$A$2:$A$6000,$E$3+75-$G$2-1),IF(75&lt;=$G$4,INDEX(L_Golpes!$A$2:$A$6000,$E$4+75-$G$3-1),IF(75&lt;=$G$5,INDEX(L_Golpes!$A$2:$A$6000,$E$5+75-$G$4-1),IF(75&lt;=$G$6,INDEX(L_Golpes!$A$2:$A$6000,$E$6+75-$G$5-1),"")))))</f>
        <v/>
      </c>
      <c r="B76" s="2"/>
      <c r="C76" s="2"/>
      <c r="D76" s="2"/>
      <c r="E76" s="2"/>
      <c r="F76" s="2"/>
      <c r="G76" s="2"/>
    </row>
    <row r="77" ht="15.75" customHeight="1">
      <c r="A77" s="2" t="str">
        <f t="array" ref="A77">IF(76&lt;=$G$2,INDEX('Golpes extras'!$A$2:$A$101,76),IF(76&lt;=$G$3,INDEX(L_Golpes!$A$2:$A$6000,$E$3+76-$G$2-1),IF(76&lt;=$G$4,INDEX(L_Golpes!$A$2:$A$6000,$E$4+76-$G$3-1),IF(76&lt;=$G$5,INDEX(L_Golpes!$A$2:$A$6000,$E$5+76-$G$4-1),IF(76&lt;=$G$6,INDEX(L_Golpes!$A$2:$A$6000,$E$6+76-$G$5-1),"")))))</f>
        <v/>
      </c>
      <c r="B77" s="2"/>
      <c r="C77" s="2"/>
      <c r="D77" s="2"/>
      <c r="E77" s="2"/>
      <c r="F77" s="2"/>
      <c r="G77" s="2"/>
    </row>
    <row r="78" ht="15.75" customHeight="1">
      <c r="A78" s="2" t="str">
        <f t="array" ref="A78">IF(77&lt;=$G$2,INDEX('Golpes extras'!$A$2:$A$101,77),IF(77&lt;=$G$3,INDEX(L_Golpes!$A$2:$A$6000,$E$3+77-$G$2-1),IF(77&lt;=$G$4,INDEX(L_Golpes!$A$2:$A$6000,$E$4+77-$G$3-1),IF(77&lt;=$G$5,INDEX(L_Golpes!$A$2:$A$6000,$E$5+77-$G$4-1),IF(77&lt;=$G$6,INDEX(L_Golpes!$A$2:$A$6000,$E$6+77-$G$5-1),"")))))</f>
        <v/>
      </c>
      <c r="B78" s="2"/>
      <c r="C78" s="2"/>
      <c r="D78" s="2"/>
      <c r="E78" s="2"/>
      <c r="F78" s="2"/>
      <c r="G78" s="2"/>
    </row>
    <row r="79" ht="15.75" customHeight="1">
      <c r="A79" s="2" t="str">
        <f t="array" ref="A79">IF(78&lt;=$G$2,INDEX('Golpes extras'!$A$2:$A$101,78),IF(78&lt;=$G$3,INDEX(L_Golpes!$A$2:$A$6000,$E$3+78-$G$2-1),IF(78&lt;=$G$4,INDEX(L_Golpes!$A$2:$A$6000,$E$4+78-$G$3-1),IF(78&lt;=$G$5,INDEX(L_Golpes!$A$2:$A$6000,$E$5+78-$G$4-1),IF(78&lt;=$G$6,INDEX(L_Golpes!$A$2:$A$6000,$E$6+78-$G$5-1),"")))))</f>
        <v/>
      </c>
      <c r="B79" s="2"/>
      <c r="C79" s="2"/>
      <c r="D79" s="2"/>
      <c r="E79" s="2"/>
      <c r="F79" s="2"/>
      <c r="G79" s="2"/>
    </row>
    <row r="80" ht="15.75" customHeight="1">
      <c r="A80" s="2" t="str">
        <f t="array" ref="A80">IF(79&lt;=$G$2,INDEX('Golpes extras'!$A$2:$A$101,79),IF(79&lt;=$G$3,INDEX(L_Golpes!$A$2:$A$6000,$E$3+79-$G$2-1),IF(79&lt;=$G$4,INDEX(L_Golpes!$A$2:$A$6000,$E$4+79-$G$3-1),IF(79&lt;=$G$5,INDEX(L_Golpes!$A$2:$A$6000,$E$5+79-$G$4-1),IF(79&lt;=$G$6,INDEX(L_Golpes!$A$2:$A$6000,$E$6+79-$G$5-1),"")))))</f>
        <v/>
      </c>
      <c r="B80" s="2"/>
      <c r="C80" s="2"/>
      <c r="D80" s="2"/>
      <c r="E80" s="2"/>
      <c r="F80" s="2"/>
      <c r="G80" s="2"/>
    </row>
    <row r="81" ht="15.75" customHeight="1">
      <c r="A81" s="2" t="str">
        <f t="array" ref="A81">IF(80&lt;=$G$2,INDEX('Golpes extras'!$A$2:$A$101,80),IF(80&lt;=$G$3,INDEX(L_Golpes!$A$2:$A$6000,$E$3+80-$G$2-1),IF(80&lt;=$G$4,INDEX(L_Golpes!$A$2:$A$6000,$E$4+80-$G$3-1),IF(80&lt;=$G$5,INDEX(L_Golpes!$A$2:$A$6000,$E$5+80-$G$4-1),IF(80&lt;=$G$6,INDEX(L_Golpes!$A$2:$A$6000,$E$6+80-$G$5-1),"")))))</f>
        <v/>
      </c>
      <c r="B81" s="2"/>
      <c r="C81" s="2"/>
      <c r="D81" s="2"/>
      <c r="E81" s="2"/>
      <c r="F81" s="2"/>
      <c r="G81" s="2"/>
    </row>
    <row r="82" ht="15.75" customHeight="1">
      <c r="A82" s="2" t="str">
        <f t="array" ref="A82">IF(81&lt;=$G$2,INDEX('Golpes extras'!$A$2:$A$101,81),IF(81&lt;=$G$3,INDEX(L_Golpes!$A$2:$A$6000,$E$3+81-$G$2-1),IF(81&lt;=$G$4,INDEX(L_Golpes!$A$2:$A$6000,$E$4+81-$G$3-1),IF(81&lt;=$G$5,INDEX(L_Golpes!$A$2:$A$6000,$E$5+81-$G$4-1),IF(81&lt;=$G$6,INDEX(L_Golpes!$A$2:$A$6000,$E$6+81-$G$5-1),"")))))</f>
        <v/>
      </c>
      <c r="B82" s="2"/>
      <c r="C82" s="2"/>
      <c r="D82" s="2"/>
      <c r="E82" s="2"/>
      <c r="F82" s="2"/>
      <c r="G82" s="2"/>
    </row>
    <row r="83" ht="15.75" customHeight="1">
      <c r="A83" s="2" t="str">
        <f t="array" ref="A83">IF(82&lt;=$G$2,INDEX('Golpes extras'!$A$2:$A$101,82),IF(82&lt;=$G$3,INDEX(L_Golpes!$A$2:$A$6000,$E$3+82-$G$2-1),IF(82&lt;=$G$4,INDEX(L_Golpes!$A$2:$A$6000,$E$4+82-$G$3-1),IF(82&lt;=$G$5,INDEX(L_Golpes!$A$2:$A$6000,$E$5+82-$G$4-1),IF(82&lt;=$G$6,INDEX(L_Golpes!$A$2:$A$6000,$E$6+82-$G$5-1),"")))))</f>
        <v/>
      </c>
      <c r="B83" s="2"/>
      <c r="C83" s="2"/>
      <c r="D83" s="2"/>
      <c r="E83" s="2"/>
      <c r="F83" s="2"/>
      <c r="G83" s="2"/>
    </row>
    <row r="84" ht="15.75" customHeight="1">
      <c r="A84" s="2" t="str">
        <f t="array" ref="A84">IF(83&lt;=$G$2,INDEX('Golpes extras'!$A$2:$A$101,83),IF(83&lt;=$G$3,INDEX(L_Golpes!$A$2:$A$6000,$E$3+83-$G$2-1),IF(83&lt;=$G$4,INDEX(L_Golpes!$A$2:$A$6000,$E$4+83-$G$3-1),IF(83&lt;=$G$5,INDEX(L_Golpes!$A$2:$A$6000,$E$5+83-$G$4-1),IF(83&lt;=$G$6,INDEX(L_Golpes!$A$2:$A$6000,$E$6+83-$G$5-1),"")))))</f>
        <v/>
      </c>
      <c r="B84" s="2"/>
      <c r="C84" s="2"/>
      <c r="D84" s="2"/>
      <c r="E84" s="2"/>
      <c r="F84" s="2"/>
      <c r="G84" s="2"/>
    </row>
    <row r="85" ht="15.75" customHeight="1">
      <c r="A85" s="2" t="str">
        <f t="array" ref="A85">IF(84&lt;=$G$2,INDEX('Golpes extras'!$A$2:$A$101,84),IF(84&lt;=$G$3,INDEX(L_Golpes!$A$2:$A$6000,$E$3+84-$G$2-1),IF(84&lt;=$G$4,INDEX(L_Golpes!$A$2:$A$6000,$E$4+84-$G$3-1),IF(84&lt;=$G$5,INDEX(L_Golpes!$A$2:$A$6000,$E$5+84-$G$4-1),IF(84&lt;=$G$6,INDEX(L_Golpes!$A$2:$A$6000,$E$6+84-$G$5-1),"")))))</f>
        <v/>
      </c>
      <c r="B85" s="2"/>
      <c r="C85" s="2"/>
      <c r="D85" s="2"/>
      <c r="E85" s="2"/>
      <c r="F85" s="2"/>
      <c r="G85" s="2"/>
    </row>
    <row r="86" ht="15.75" customHeight="1">
      <c r="A86" s="2" t="str">
        <f t="array" ref="A86">IF(85&lt;=$G$2,INDEX('Golpes extras'!$A$2:$A$101,85),IF(85&lt;=$G$3,INDEX(L_Golpes!$A$2:$A$6000,$E$3+85-$G$2-1),IF(85&lt;=$G$4,INDEX(L_Golpes!$A$2:$A$6000,$E$4+85-$G$3-1),IF(85&lt;=$G$5,INDEX(L_Golpes!$A$2:$A$6000,$E$5+85-$G$4-1),IF(85&lt;=$G$6,INDEX(L_Golpes!$A$2:$A$6000,$E$6+85-$G$5-1),"")))))</f>
        <v/>
      </c>
      <c r="B86" s="2"/>
      <c r="C86" s="2"/>
      <c r="D86" s="2"/>
      <c r="E86" s="2"/>
      <c r="F86" s="2"/>
      <c r="G86" s="2"/>
    </row>
    <row r="87" ht="15.75" customHeight="1">
      <c r="A87" s="2" t="str">
        <f t="array" ref="A87">IF(86&lt;=$G$2,INDEX('Golpes extras'!$A$2:$A$101,86),IF(86&lt;=$G$3,INDEX(L_Golpes!$A$2:$A$6000,$E$3+86-$G$2-1),IF(86&lt;=$G$4,INDEX(L_Golpes!$A$2:$A$6000,$E$4+86-$G$3-1),IF(86&lt;=$G$5,INDEX(L_Golpes!$A$2:$A$6000,$E$5+86-$G$4-1),IF(86&lt;=$G$6,INDEX(L_Golpes!$A$2:$A$6000,$E$6+86-$G$5-1),"")))))</f>
        <v/>
      </c>
      <c r="B87" s="2"/>
      <c r="C87" s="2"/>
      <c r="D87" s="2"/>
      <c r="E87" s="2"/>
      <c r="F87" s="2"/>
      <c r="G87" s="2"/>
    </row>
    <row r="88" ht="15.75" customHeight="1">
      <c r="A88" s="2" t="str">
        <f t="array" ref="A88">IF(87&lt;=$G$2,INDEX('Golpes extras'!$A$2:$A$101,87),IF(87&lt;=$G$3,INDEX(L_Golpes!$A$2:$A$6000,$E$3+87-$G$2-1),IF(87&lt;=$G$4,INDEX(L_Golpes!$A$2:$A$6000,$E$4+87-$G$3-1),IF(87&lt;=$G$5,INDEX(L_Golpes!$A$2:$A$6000,$E$5+87-$G$4-1),IF(87&lt;=$G$6,INDEX(L_Golpes!$A$2:$A$6000,$E$6+87-$G$5-1),"")))))</f>
        <v/>
      </c>
      <c r="B88" s="2"/>
      <c r="C88" s="2"/>
      <c r="D88" s="2"/>
      <c r="E88" s="2"/>
      <c r="F88" s="2"/>
      <c r="G88" s="2"/>
    </row>
    <row r="89" ht="15.75" customHeight="1">
      <c r="A89" s="2" t="str">
        <f t="array" ref="A89">IF(88&lt;=$G$2,INDEX('Golpes extras'!$A$2:$A$101,88),IF(88&lt;=$G$3,INDEX(L_Golpes!$A$2:$A$6000,$E$3+88-$G$2-1),IF(88&lt;=$G$4,INDEX(L_Golpes!$A$2:$A$6000,$E$4+88-$G$3-1),IF(88&lt;=$G$5,INDEX(L_Golpes!$A$2:$A$6000,$E$5+88-$G$4-1),IF(88&lt;=$G$6,INDEX(L_Golpes!$A$2:$A$6000,$E$6+88-$G$5-1),"")))))</f>
        <v/>
      </c>
      <c r="B89" s="2"/>
      <c r="C89" s="2"/>
      <c r="D89" s="2"/>
      <c r="E89" s="2"/>
      <c r="F89" s="2"/>
      <c r="G89" s="2"/>
    </row>
    <row r="90" ht="15.75" customHeight="1">
      <c r="A90" s="2" t="str">
        <f t="array" ref="A90">IF(89&lt;=$G$2,INDEX('Golpes extras'!$A$2:$A$101,89),IF(89&lt;=$G$3,INDEX(L_Golpes!$A$2:$A$6000,$E$3+89-$G$2-1),IF(89&lt;=$G$4,INDEX(L_Golpes!$A$2:$A$6000,$E$4+89-$G$3-1),IF(89&lt;=$G$5,INDEX(L_Golpes!$A$2:$A$6000,$E$5+89-$G$4-1),IF(89&lt;=$G$6,INDEX(L_Golpes!$A$2:$A$6000,$E$6+89-$G$5-1),"")))))</f>
        <v/>
      </c>
      <c r="B90" s="2"/>
      <c r="C90" s="2"/>
      <c r="D90" s="2"/>
      <c r="E90" s="2"/>
      <c r="F90" s="2"/>
      <c r="G90" s="2"/>
    </row>
    <row r="91" ht="15.75" customHeight="1">
      <c r="A91" s="2" t="str">
        <f t="array" ref="A91">IF(90&lt;=$G$2,INDEX('Golpes extras'!$A$2:$A$101,90),IF(90&lt;=$G$3,INDEX(L_Golpes!$A$2:$A$6000,$E$3+90-$G$2-1),IF(90&lt;=$G$4,INDEX(L_Golpes!$A$2:$A$6000,$E$4+90-$G$3-1),IF(90&lt;=$G$5,INDEX(L_Golpes!$A$2:$A$6000,$E$5+90-$G$4-1),IF(90&lt;=$G$6,INDEX(L_Golpes!$A$2:$A$6000,$E$6+90-$G$5-1),"")))))</f>
        <v/>
      </c>
      <c r="B91" s="2"/>
      <c r="C91" s="2"/>
      <c r="D91" s="2"/>
      <c r="E91" s="2"/>
      <c r="F91" s="2"/>
      <c r="G91" s="2"/>
    </row>
    <row r="92" ht="15.75" customHeight="1">
      <c r="A92" s="2" t="str">
        <f t="array" ref="A92">IF(91&lt;=$G$2,INDEX('Golpes extras'!$A$2:$A$101,91),IF(91&lt;=$G$3,INDEX(L_Golpes!$A$2:$A$6000,$E$3+91-$G$2-1),IF(91&lt;=$G$4,INDEX(L_Golpes!$A$2:$A$6000,$E$4+91-$G$3-1),IF(91&lt;=$G$5,INDEX(L_Golpes!$A$2:$A$6000,$E$5+91-$G$4-1),IF(91&lt;=$G$6,INDEX(L_Golpes!$A$2:$A$6000,$E$6+91-$G$5-1),"")))))</f>
        <v/>
      </c>
      <c r="B92" s="2"/>
      <c r="C92" s="2"/>
      <c r="D92" s="2"/>
      <c r="E92" s="2"/>
      <c r="F92" s="2"/>
      <c r="G92" s="2"/>
    </row>
    <row r="93" ht="15.75" customHeight="1">
      <c r="A93" s="2" t="str">
        <f t="array" ref="A93">IF(92&lt;=$G$2,INDEX('Golpes extras'!$A$2:$A$101,92),IF(92&lt;=$G$3,INDEX(L_Golpes!$A$2:$A$6000,$E$3+92-$G$2-1),IF(92&lt;=$G$4,INDEX(L_Golpes!$A$2:$A$6000,$E$4+92-$G$3-1),IF(92&lt;=$G$5,INDEX(L_Golpes!$A$2:$A$6000,$E$5+92-$G$4-1),IF(92&lt;=$G$6,INDEX(L_Golpes!$A$2:$A$6000,$E$6+92-$G$5-1),"")))))</f>
        <v/>
      </c>
      <c r="B93" s="2"/>
      <c r="C93" s="2"/>
      <c r="D93" s="2"/>
      <c r="E93" s="2"/>
      <c r="F93" s="2"/>
      <c r="G93" s="2"/>
    </row>
    <row r="94" ht="15.75" customHeight="1">
      <c r="A94" s="2" t="str">
        <f t="array" ref="A94">IF(93&lt;=$G$2,INDEX('Golpes extras'!$A$2:$A$101,93),IF(93&lt;=$G$3,INDEX(L_Golpes!$A$2:$A$6000,$E$3+93-$G$2-1),IF(93&lt;=$G$4,INDEX(L_Golpes!$A$2:$A$6000,$E$4+93-$G$3-1),IF(93&lt;=$G$5,INDEX(L_Golpes!$A$2:$A$6000,$E$5+93-$G$4-1),IF(93&lt;=$G$6,INDEX(L_Golpes!$A$2:$A$6000,$E$6+93-$G$5-1),"")))))</f>
        <v/>
      </c>
      <c r="B94" s="2"/>
      <c r="C94" s="2"/>
      <c r="D94" s="2"/>
      <c r="E94" s="2"/>
      <c r="F94" s="2"/>
      <c r="G94" s="2"/>
    </row>
    <row r="95" ht="15.75" customHeight="1">
      <c r="A95" s="2" t="str">
        <f t="array" ref="A95">IF(94&lt;=$G$2,INDEX('Golpes extras'!$A$2:$A$101,94),IF(94&lt;=$G$3,INDEX(L_Golpes!$A$2:$A$6000,$E$3+94-$G$2-1),IF(94&lt;=$G$4,INDEX(L_Golpes!$A$2:$A$6000,$E$4+94-$G$3-1),IF(94&lt;=$G$5,INDEX(L_Golpes!$A$2:$A$6000,$E$5+94-$G$4-1),IF(94&lt;=$G$6,INDEX(L_Golpes!$A$2:$A$6000,$E$6+94-$G$5-1),"")))))</f>
        <v/>
      </c>
      <c r="B95" s="2"/>
      <c r="C95" s="2"/>
      <c r="D95" s="2"/>
      <c r="E95" s="2"/>
      <c r="F95" s="2"/>
      <c r="G95" s="2"/>
    </row>
    <row r="96" ht="15.75" customHeight="1">
      <c r="A96" s="2" t="str">
        <f t="array" ref="A96">IF(95&lt;=$G$2,INDEX('Golpes extras'!$A$2:$A$101,95),IF(95&lt;=$G$3,INDEX(L_Golpes!$A$2:$A$6000,$E$3+95-$G$2-1),IF(95&lt;=$G$4,INDEX(L_Golpes!$A$2:$A$6000,$E$4+95-$G$3-1),IF(95&lt;=$G$5,INDEX(L_Golpes!$A$2:$A$6000,$E$5+95-$G$4-1),IF(95&lt;=$G$6,INDEX(L_Golpes!$A$2:$A$6000,$E$6+95-$G$5-1),"")))))</f>
        <v/>
      </c>
      <c r="B96" s="2"/>
      <c r="C96" s="2"/>
      <c r="D96" s="2"/>
      <c r="E96" s="2"/>
      <c r="F96" s="2"/>
      <c r="G96" s="2"/>
    </row>
    <row r="97" ht="15.75" customHeight="1">
      <c r="A97" s="2" t="str">
        <f t="array" ref="A97">IF(96&lt;=$G$2,INDEX('Golpes extras'!$A$2:$A$101,96),IF(96&lt;=$G$3,INDEX(L_Golpes!$A$2:$A$6000,$E$3+96-$G$2-1),IF(96&lt;=$G$4,INDEX(L_Golpes!$A$2:$A$6000,$E$4+96-$G$3-1),IF(96&lt;=$G$5,INDEX(L_Golpes!$A$2:$A$6000,$E$5+96-$G$4-1),IF(96&lt;=$G$6,INDEX(L_Golpes!$A$2:$A$6000,$E$6+96-$G$5-1),"")))))</f>
        <v/>
      </c>
      <c r="B97" s="2"/>
      <c r="C97" s="2"/>
      <c r="D97" s="2"/>
      <c r="E97" s="2"/>
      <c r="F97" s="2"/>
      <c r="G97" s="2"/>
    </row>
    <row r="98" ht="15.75" customHeight="1">
      <c r="A98" s="2" t="str">
        <f t="array" ref="A98">IF(97&lt;=$G$2,INDEX('Golpes extras'!$A$2:$A$101,97),IF(97&lt;=$G$3,INDEX(L_Golpes!$A$2:$A$6000,$E$3+97-$G$2-1),IF(97&lt;=$G$4,INDEX(L_Golpes!$A$2:$A$6000,$E$4+97-$G$3-1),IF(97&lt;=$G$5,INDEX(L_Golpes!$A$2:$A$6000,$E$5+97-$G$4-1),IF(97&lt;=$G$6,INDEX(L_Golpes!$A$2:$A$6000,$E$6+97-$G$5-1),"")))))</f>
        <v/>
      </c>
      <c r="B98" s="2"/>
      <c r="C98" s="2"/>
      <c r="D98" s="2"/>
      <c r="E98" s="2"/>
      <c r="F98" s="2"/>
      <c r="G98" s="2"/>
    </row>
    <row r="99" ht="15.75" customHeight="1">
      <c r="A99" s="2" t="str">
        <f t="array" ref="A99">IF(98&lt;=$G$2,INDEX('Golpes extras'!$A$2:$A$101,98),IF(98&lt;=$G$3,INDEX(L_Golpes!$A$2:$A$6000,$E$3+98-$G$2-1),IF(98&lt;=$G$4,INDEX(L_Golpes!$A$2:$A$6000,$E$4+98-$G$3-1),IF(98&lt;=$G$5,INDEX(L_Golpes!$A$2:$A$6000,$E$5+98-$G$4-1),IF(98&lt;=$G$6,INDEX(L_Golpes!$A$2:$A$6000,$E$6+98-$G$5-1),"")))))</f>
        <v/>
      </c>
      <c r="B99" s="2"/>
      <c r="C99" s="2"/>
      <c r="D99" s="2"/>
      <c r="E99" s="2"/>
      <c r="F99" s="2"/>
      <c r="G99" s="2"/>
    </row>
    <row r="100" ht="15.75" customHeight="1">
      <c r="A100" s="2" t="str">
        <f t="array" ref="A100">IF(99&lt;=$G$2,INDEX('Golpes extras'!$A$2:$A$101,99),IF(99&lt;=$G$3,INDEX(L_Golpes!$A$2:$A$6000,$E$3+99-$G$2-1),IF(99&lt;=$G$4,INDEX(L_Golpes!$A$2:$A$6000,$E$4+99-$G$3-1),IF(99&lt;=$G$5,INDEX(L_Golpes!$A$2:$A$6000,$E$5+99-$G$4-1),IF(99&lt;=$G$6,INDEX(L_Golpes!$A$2:$A$6000,$E$6+99-$G$5-1),"")))))</f>
        <v/>
      </c>
      <c r="B100" s="2"/>
      <c r="C100" s="2"/>
      <c r="D100" s="2"/>
      <c r="E100" s="2"/>
      <c r="F100" s="2"/>
      <c r="G100" s="2"/>
    </row>
    <row r="101" ht="15.75" customHeight="1">
      <c r="A101" s="2" t="str">
        <f t="array" ref="A101">IF(100&lt;=$G$2,INDEX('Golpes extras'!$A$2:$A$101,100),IF(100&lt;=$G$3,INDEX(L_Golpes!$A$2:$A$6000,$E$3+100-$G$2-1),IF(100&lt;=$G$4,INDEX(L_Golpes!$A$2:$A$6000,$E$4+100-$G$3-1),IF(100&lt;=$G$5,INDEX(L_Golpes!$A$2:$A$6000,$E$5+100-$G$4-1),IF(100&lt;=$G$6,INDEX(L_Golpes!$A$2:$A$6000,$E$6+100-$G$5-1),"")))))</f>
        <v/>
      </c>
      <c r="B101" s="2"/>
      <c r="C101" s="2"/>
      <c r="D101" s="2"/>
      <c r="E101" s="2"/>
      <c r="F101" s="2"/>
      <c r="G101" s="2"/>
    </row>
    <row r="102" ht="15.75" customHeight="1">
      <c r="A102" s="2" t="str">
        <f t="array" ref="A102">IF(101&lt;=$G$2,INDEX('Golpes extras'!$A$2:$A$101,101),IF(101&lt;=$G$3,INDEX(L_Golpes!$A$2:$A$6000,$E$3+101-$G$2-1),IF(101&lt;=$G$4,INDEX(L_Golpes!$A$2:$A$6000,$E$4+101-$G$3-1),IF(101&lt;=$G$5,INDEX(L_Golpes!$A$2:$A$6000,$E$5+101-$G$4-1),IF(101&lt;=$G$6,INDEX(L_Golpes!$A$2:$A$6000,$E$6+101-$G$5-1),"")))))</f>
        <v/>
      </c>
      <c r="B102" s="2"/>
      <c r="C102" s="2"/>
      <c r="D102" s="2"/>
      <c r="E102" s="2"/>
      <c r="F102" s="2"/>
      <c r="G102" s="2"/>
    </row>
    <row r="103" ht="15.75" customHeight="1">
      <c r="A103" s="2" t="str">
        <f t="array" ref="A103">IF(102&lt;=$G$2,INDEX('Golpes extras'!$A$2:$A$101,102),IF(102&lt;=$G$3,INDEX(L_Golpes!$A$2:$A$6000,$E$3+102-$G$2-1),IF(102&lt;=$G$4,INDEX(L_Golpes!$A$2:$A$6000,$E$4+102-$G$3-1),IF(102&lt;=$G$5,INDEX(L_Golpes!$A$2:$A$6000,$E$5+102-$G$4-1),IF(102&lt;=$G$6,INDEX(L_Golpes!$A$2:$A$6000,$E$6+102-$G$5-1),"")))))</f>
        <v/>
      </c>
      <c r="B103" s="2"/>
      <c r="C103" s="2"/>
      <c r="D103" s="2"/>
      <c r="E103" s="2"/>
      <c r="F103" s="2"/>
      <c r="G103" s="2"/>
    </row>
    <row r="104" ht="15.75" customHeight="1">
      <c r="A104" s="2" t="str">
        <f t="array" ref="A104">IF(103&lt;=$G$2,INDEX('Golpes extras'!$A$2:$A$101,103),IF(103&lt;=$G$3,INDEX(L_Golpes!$A$2:$A$6000,$E$3+103-$G$2-1),IF(103&lt;=$G$4,INDEX(L_Golpes!$A$2:$A$6000,$E$4+103-$G$3-1),IF(103&lt;=$G$5,INDEX(L_Golpes!$A$2:$A$6000,$E$5+103-$G$4-1),IF(103&lt;=$G$6,INDEX(L_Golpes!$A$2:$A$6000,$E$6+103-$G$5-1),"")))))</f>
        <v/>
      </c>
      <c r="B104" s="2"/>
      <c r="C104" s="2"/>
      <c r="D104" s="2"/>
      <c r="E104" s="2"/>
      <c r="F104" s="2"/>
      <c r="G104" s="2"/>
    </row>
    <row r="105" ht="15.75" customHeight="1">
      <c r="A105" s="2" t="str">
        <f t="array" ref="A105">IF(104&lt;=$G$2,INDEX('Golpes extras'!$A$2:$A$101,104),IF(104&lt;=$G$3,INDEX(L_Golpes!$A$2:$A$6000,$E$3+104-$G$2-1),IF(104&lt;=$G$4,INDEX(L_Golpes!$A$2:$A$6000,$E$4+104-$G$3-1),IF(104&lt;=$G$5,INDEX(L_Golpes!$A$2:$A$6000,$E$5+104-$G$4-1),IF(104&lt;=$G$6,INDEX(L_Golpes!$A$2:$A$6000,$E$6+104-$G$5-1),"")))))</f>
        <v/>
      </c>
      <c r="B105" s="2"/>
      <c r="C105" s="2"/>
      <c r="D105" s="2"/>
      <c r="E105" s="2"/>
      <c r="F105" s="2"/>
      <c r="G105" s="2"/>
    </row>
    <row r="106" ht="15.75" customHeight="1">
      <c r="A106" s="2" t="str">
        <f t="array" ref="A106">IF(105&lt;=$G$2,INDEX('Golpes extras'!$A$2:$A$101,105),IF(105&lt;=$G$3,INDEX(L_Golpes!$A$2:$A$6000,$E$3+105-$G$2-1),IF(105&lt;=$G$4,INDEX(L_Golpes!$A$2:$A$6000,$E$4+105-$G$3-1),IF(105&lt;=$G$5,INDEX(L_Golpes!$A$2:$A$6000,$E$5+105-$G$4-1),IF(105&lt;=$G$6,INDEX(L_Golpes!$A$2:$A$6000,$E$6+105-$G$5-1),"")))))</f>
        <v/>
      </c>
      <c r="B106" s="2"/>
      <c r="C106" s="2"/>
      <c r="D106" s="2"/>
      <c r="E106" s="2"/>
      <c r="F106" s="2"/>
      <c r="G106" s="2"/>
    </row>
    <row r="107" ht="15.75" customHeight="1">
      <c r="A107" s="2" t="str">
        <f t="array" ref="A107">IF(106&lt;=$G$2,INDEX('Golpes extras'!$A$2:$A$101,106),IF(106&lt;=$G$3,INDEX(L_Golpes!$A$2:$A$6000,$E$3+106-$G$2-1),IF(106&lt;=$G$4,INDEX(L_Golpes!$A$2:$A$6000,$E$4+106-$G$3-1),IF(106&lt;=$G$5,INDEX(L_Golpes!$A$2:$A$6000,$E$5+106-$G$4-1),IF(106&lt;=$G$6,INDEX(L_Golpes!$A$2:$A$6000,$E$6+106-$G$5-1),"")))))</f>
        <v/>
      </c>
      <c r="B107" s="2"/>
      <c r="C107" s="2"/>
      <c r="D107" s="2"/>
      <c r="E107" s="2"/>
      <c r="F107" s="2"/>
      <c r="G107" s="2"/>
    </row>
    <row r="108" ht="15.75" customHeight="1">
      <c r="A108" s="2" t="str">
        <f t="array" ref="A108">IF(107&lt;=$G$2,INDEX('Golpes extras'!$A$2:$A$101,107),IF(107&lt;=$G$3,INDEX(L_Golpes!$A$2:$A$6000,$E$3+107-$G$2-1),IF(107&lt;=$G$4,INDEX(L_Golpes!$A$2:$A$6000,$E$4+107-$G$3-1),IF(107&lt;=$G$5,INDEX(L_Golpes!$A$2:$A$6000,$E$5+107-$G$4-1),IF(107&lt;=$G$6,INDEX(L_Golpes!$A$2:$A$6000,$E$6+107-$G$5-1),"")))))</f>
        <v/>
      </c>
      <c r="B108" s="2"/>
      <c r="C108" s="2"/>
      <c r="D108" s="2"/>
      <c r="E108" s="2"/>
      <c r="F108" s="2"/>
      <c r="G108" s="2"/>
    </row>
    <row r="109" ht="15.75" customHeight="1">
      <c r="A109" s="2" t="str">
        <f t="array" ref="A109">IF(108&lt;=$G$2,INDEX('Golpes extras'!$A$2:$A$101,108),IF(108&lt;=$G$3,INDEX(L_Golpes!$A$2:$A$6000,$E$3+108-$G$2-1),IF(108&lt;=$G$4,INDEX(L_Golpes!$A$2:$A$6000,$E$4+108-$G$3-1),IF(108&lt;=$G$5,INDEX(L_Golpes!$A$2:$A$6000,$E$5+108-$G$4-1),IF(108&lt;=$G$6,INDEX(L_Golpes!$A$2:$A$6000,$E$6+108-$G$5-1),"")))))</f>
        <v/>
      </c>
      <c r="B109" s="2"/>
      <c r="C109" s="2"/>
      <c r="D109" s="2"/>
      <c r="E109" s="2"/>
      <c r="F109" s="2"/>
      <c r="G109" s="2"/>
    </row>
    <row r="110" ht="15.75" customHeight="1">
      <c r="A110" s="2" t="str">
        <f t="array" ref="A110">IF(109&lt;=$G$2,INDEX('Golpes extras'!$A$2:$A$101,109),IF(109&lt;=$G$3,INDEX(L_Golpes!$A$2:$A$6000,$E$3+109-$G$2-1),IF(109&lt;=$G$4,INDEX(L_Golpes!$A$2:$A$6000,$E$4+109-$G$3-1),IF(109&lt;=$G$5,INDEX(L_Golpes!$A$2:$A$6000,$E$5+109-$G$4-1),IF(109&lt;=$G$6,INDEX(L_Golpes!$A$2:$A$6000,$E$6+109-$G$5-1),"")))))</f>
        <v/>
      </c>
      <c r="B110" s="2"/>
      <c r="C110" s="2"/>
      <c r="D110" s="2"/>
      <c r="E110" s="2"/>
      <c r="F110" s="2"/>
      <c r="G110" s="2"/>
    </row>
    <row r="111" ht="15.75" customHeight="1">
      <c r="A111" s="2" t="str">
        <f t="array" ref="A111">IF(110&lt;=$G$2,INDEX('Golpes extras'!$A$2:$A$101,110),IF(110&lt;=$G$3,INDEX(L_Golpes!$A$2:$A$6000,$E$3+110-$G$2-1),IF(110&lt;=$G$4,INDEX(L_Golpes!$A$2:$A$6000,$E$4+110-$G$3-1),IF(110&lt;=$G$5,INDEX(L_Golpes!$A$2:$A$6000,$E$5+110-$G$4-1),IF(110&lt;=$G$6,INDEX(L_Golpes!$A$2:$A$6000,$E$6+110-$G$5-1),"")))))</f>
        <v/>
      </c>
      <c r="B111" s="2"/>
      <c r="C111" s="2"/>
      <c r="D111" s="2"/>
      <c r="E111" s="2"/>
      <c r="F111" s="2"/>
      <c r="G111" s="2"/>
    </row>
    <row r="112" ht="15.75" customHeight="1">
      <c r="A112" s="2" t="str">
        <f t="array" ref="A112">IF(111&lt;=$G$2,INDEX('Golpes extras'!$A$2:$A$101,111),IF(111&lt;=$G$3,INDEX(L_Golpes!$A$2:$A$6000,$E$3+111-$G$2-1),IF(111&lt;=$G$4,INDEX(L_Golpes!$A$2:$A$6000,$E$4+111-$G$3-1),IF(111&lt;=$G$5,INDEX(L_Golpes!$A$2:$A$6000,$E$5+111-$G$4-1),IF(111&lt;=$G$6,INDEX(L_Golpes!$A$2:$A$6000,$E$6+111-$G$5-1),"")))))</f>
        <v/>
      </c>
      <c r="B112" s="2"/>
      <c r="C112" s="2"/>
      <c r="D112" s="2"/>
      <c r="E112" s="2"/>
      <c r="F112" s="2"/>
      <c r="G112" s="2"/>
    </row>
    <row r="113" ht="15.75" customHeight="1">
      <c r="A113" s="2" t="str">
        <f t="array" ref="A113">IF(112&lt;=$G$2,INDEX('Golpes extras'!$A$2:$A$101,112),IF(112&lt;=$G$3,INDEX(L_Golpes!$A$2:$A$6000,$E$3+112-$G$2-1),IF(112&lt;=$G$4,INDEX(L_Golpes!$A$2:$A$6000,$E$4+112-$G$3-1),IF(112&lt;=$G$5,INDEX(L_Golpes!$A$2:$A$6000,$E$5+112-$G$4-1),IF(112&lt;=$G$6,INDEX(L_Golpes!$A$2:$A$6000,$E$6+112-$G$5-1),"")))))</f>
        <v/>
      </c>
      <c r="B113" s="2"/>
      <c r="C113" s="2"/>
      <c r="D113" s="2"/>
      <c r="E113" s="2"/>
      <c r="F113" s="2"/>
      <c r="G113" s="2"/>
    </row>
    <row r="114" ht="15.75" customHeight="1">
      <c r="A114" s="2" t="str">
        <f t="array" ref="A114">IF(113&lt;=$G$2,INDEX('Golpes extras'!$A$2:$A$101,113),IF(113&lt;=$G$3,INDEX(L_Golpes!$A$2:$A$6000,$E$3+113-$G$2-1),IF(113&lt;=$G$4,INDEX(L_Golpes!$A$2:$A$6000,$E$4+113-$G$3-1),IF(113&lt;=$G$5,INDEX(L_Golpes!$A$2:$A$6000,$E$5+113-$G$4-1),IF(113&lt;=$G$6,INDEX(L_Golpes!$A$2:$A$6000,$E$6+113-$G$5-1),"")))))</f>
        <v/>
      </c>
      <c r="B114" s="2"/>
      <c r="C114" s="2"/>
      <c r="D114" s="2"/>
      <c r="E114" s="2"/>
      <c r="F114" s="2"/>
      <c r="G114" s="2"/>
    </row>
    <row r="115" ht="15.75" customHeight="1">
      <c r="A115" s="2" t="str">
        <f t="array" ref="A115">IF(114&lt;=$G$2,INDEX('Golpes extras'!$A$2:$A$101,114),IF(114&lt;=$G$3,INDEX(L_Golpes!$A$2:$A$6000,$E$3+114-$G$2-1),IF(114&lt;=$G$4,INDEX(L_Golpes!$A$2:$A$6000,$E$4+114-$G$3-1),IF(114&lt;=$G$5,INDEX(L_Golpes!$A$2:$A$6000,$E$5+114-$G$4-1),IF(114&lt;=$G$6,INDEX(L_Golpes!$A$2:$A$6000,$E$6+114-$G$5-1),"")))))</f>
        <v/>
      </c>
      <c r="B115" s="2"/>
      <c r="C115" s="2"/>
      <c r="D115" s="2"/>
      <c r="E115" s="2"/>
      <c r="F115" s="2"/>
      <c r="G115" s="2"/>
    </row>
    <row r="116" ht="15.75" customHeight="1">
      <c r="A116" s="2" t="str">
        <f t="array" ref="A116">IF(115&lt;=$G$2,INDEX('Golpes extras'!$A$2:$A$101,115),IF(115&lt;=$G$3,INDEX(L_Golpes!$A$2:$A$6000,$E$3+115-$G$2-1),IF(115&lt;=$G$4,INDEX(L_Golpes!$A$2:$A$6000,$E$4+115-$G$3-1),IF(115&lt;=$G$5,INDEX(L_Golpes!$A$2:$A$6000,$E$5+115-$G$4-1),IF(115&lt;=$G$6,INDEX(L_Golpes!$A$2:$A$6000,$E$6+115-$G$5-1),"")))))</f>
        <v/>
      </c>
      <c r="B116" s="2"/>
      <c r="C116" s="2"/>
      <c r="D116" s="2"/>
      <c r="E116" s="2"/>
      <c r="F116" s="2"/>
      <c r="G116" s="2"/>
    </row>
    <row r="117" ht="15.75" customHeight="1">
      <c r="A117" s="2" t="str">
        <f t="array" ref="A117">IF(116&lt;=$G$2,INDEX('Golpes extras'!$A$2:$A$101,116),IF(116&lt;=$G$3,INDEX(L_Golpes!$A$2:$A$6000,$E$3+116-$G$2-1),IF(116&lt;=$G$4,INDEX(L_Golpes!$A$2:$A$6000,$E$4+116-$G$3-1),IF(116&lt;=$G$5,INDEX(L_Golpes!$A$2:$A$6000,$E$5+116-$G$4-1),IF(116&lt;=$G$6,INDEX(L_Golpes!$A$2:$A$6000,$E$6+116-$G$5-1),"")))))</f>
        <v/>
      </c>
      <c r="B117" s="2"/>
      <c r="C117" s="2"/>
      <c r="D117" s="2"/>
      <c r="E117" s="2"/>
      <c r="F117" s="2"/>
      <c r="G117" s="2"/>
    </row>
    <row r="118" ht="15.75" customHeight="1">
      <c r="A118" s="2" t="str">
        <f t="array" ref="A118">IF(117&lt;=$G$2,INDEX('Golpes extras'!$A$2:$A$101,117),IF(117&lt;=$G$3,INDEX(L_Golpes!$A$2:$A$6000,$E$3+117-$G$2-1),IF(117&lt;=$G$4,INDEX(L_Golpes!$A$2:$A$6000,$E$4+117-$G$3-1),IF(117&lt;=$G$5,INDEX(L_Golpes!$A$2:$A$6000,$E$5+117-$G$4-1),IF(117&lt;=$G$6,INDEX(L_Golpes!$A$2:$A$6000,$E$6+117-$G$5-1),"")))))</f>
        <v/>
      </c>
      <c r="B118" s="2"/>
      <c r="C118" s="2"/>
      <c r="D118" s="2"/>
      <c r="E118" s="2"/>
      <c r="F118" s="2"/>
      <c r="G118" s="2"/>
    </row>
    <row r="119" ht="15.75" customHeight="1">
      <c r="A119" s="2" t="str">
        <f t="array" ref="A119">IF(118&lt;=$G$2,INDEX('Golpes extras'!$A$2:$A$101,118),IF(118&lt;=$G$3,INDEX(L_Golpes!$A$2:$A$6000,$E$3+118-$G$2-1),IF(118&lt;=$G$4,INDEX(L_Golpes!$A$2:$A$6000,$E$4+118-$G$3-1),IF(118&lt;=$G$5,INDEX(L_Golpes!$A$2:$A$6000,$E$5+118-$G$4-1),IF(118&lt;=$G$6,INDEX(L_Golpes!$A$2:$A$6000,$E$6+118-$G$5-1),"")))))</f>
        <v/>
      </c>
      <c r="B119" s="2"/>
      <c r="C119" s="2"/>
      <c r="D119" s="2"/>
      <c r="E119" s="2"/>
      <c r="F119" s="2"/>
      <c r="G119" s="2"/>
    </row>
    <row r="120" ht="15.75" customHeight="1">
      <c r="A120" s="2" t="str">
        <f t="array" ref="A120">IF(119&lt;=$G$2,INDEX('Golpes extras'!$A$2:$A$101,119),IF(119&lt;=$G$3,INDEX(L_Golpes!$A$2:$A$6000,$E$3+119-$G$2-1),IF(119&lt;=$G$4,INDEX(L_Golpes!$A$2:$A$6000,$E$4+119-$G$3-1),IF(119&lt;=$G$5,INDEX(L_Golpes!$A$2:$A$6000,$E$5+119-$G$4-1),IF(119&lt;=$G$6,INDEX(L_Golpes!$A$2:$A$6000,$E$6+119-$G$5-1),"")))))</f>
        <v/>
      </c>
      <c r="B120" s="2"/>
      <c r="C120" s="2"/>
      <c r="D120" s="2"/>
      <c r="E120" s="2"/>
      <c r="F120" s="2"/>
      <c r="G120" s="2"/>
    </row>
    <row r="121" ht="15.75" customHeight="1">
      <c r="A121" s="2" t="str">
        <f t="array" ref="A121">IF(120&lt;=$G$2,INDEX('Golpes extras'!$A$2:$A$101,120),IF(120&lt;=$G$3,INDEX(L_Golpes!$A$2:$A$6000,$E$3+120-$G$2-1),IF(120&lt;=$G$4,INDEX(L_Golpes!$A$2:$A$6000,$E$4+120-$G$3-1),IF(120&lt;=$G$5,INDEX(L_Golpes!$A$2:$A$6000,$E$5+120-$G$4-1),IF(120&lt;=$G$6,INDEX(L_Golpes!$A$2:$A$6000,$E$6+120-$G$5-1),"")))))</f>
        <v/>
      </c>
      <c r="B121" s="2"/>
      <c r="C121" s="2"/>
      <c r="D121" s="2"/>
      <c r="E121" s="2"/>
      <c r="F121" s="2"/>
      <c r="G121" s="2"/>
    </row>
    <row r="122" ht="15.75" customHeight="1">
      <c r="A122" s="2" t="str">
        <f t="array" ref="A122">IF(121&lt;=$G$2,INDEX('Golpes extras'!$A$2:$A$101,121),IF(121&lt;=$G$3,INDEX(L_Golpes!$A$2:$A$6000,$E$3+121-$G$2-1),IF(121&lt;=$G$4,INDEX(L_Golpes!$A$2:$A$6000,$E$4+121-$G$3-1),IF(121&lt;=$G$5,INDEX(L_Golpes!$A$2:$A$6000,$E$5+121-$G$4-1),IF(121&lt;=$G$6,INDEX(L_Golpes!$A$2:$A$6000,$E$6+121-$G$5-1),"")))))</f>
        <v/>
      </c>
      <c r="B122" s="2"/>
      <c r="C122" s="2"/>
      <c r="D122" s="2"/>
      <c r="E122" s="2"/>
      <c r="F122" s="2"/>
      <c r="G122" s="2"/>
    </row>
    <row r="123" ht="15.75" customHeight="1">
      <c r="A123" s="2" t="str">
        <f t="array" ref="A123">IF(122&lt;=$G$2,INDEX('Golpes extras'!$A$2:$A$101,122),IF(122&lt;=$G$3,INDEX(L_Golpes!$A$2:$A$6000,$E$3+122-$G$2-1),IF(122&lt;=$G$4,INDEX(L_Golpes!$A$2:$A$6000,$E$4+122-$G$3-1),IF(122&lt;=$G$5,INDEX(L_Golpes!$A$2:$A$6000,$E$5+122-$G$4-1),IF(122&lt;=$G$6,INDEX(L_Golpes!$A$2:$A$6000,$E$6+122-$G$5-1),"")))))</f>
        <v/>
      </c>
      <c r="B123" s="2"/>
      <c r="C123" s="2"/>
      <c r="D123" s="2"/>
      <c r="E123" s="2"/>
      <c r="F123" s="2"/>
      <c r="G123" s="2"/>
    </row>
    <row r="124" ht="15.75" customHeight="1">
      <c r="A124" s="2" t="str">
        <f t="array" ref="A124">IF(123&lt;=$G$2,INDEX('Golpes extras'!$A$2:$A$101,123),IF(123&lt;=$G$3,INDEX(L_Golpes!$A$2:$A$6000,$E$3+123-$G$2-1),IF(123&lt;=$G$4,INDEX(L_Golpes!$A$2:$A$6000,$E$4+123-$G$3-1),IF(123&lt;=$G$5,INDEX(L_Golpes!$A$2:$A$6000,$E$5+123-$G$4-1),IF(123&lt;=$G$6,INDEX(L_Golpes!$A$2:$A$6000,$E$6+123-$G$5-1),"")))))</f>
        <v/>
      </c>
      <c r="B124" s="2"/>
      <c r="C124" s="2"/>
      <c r="D124" s="2"/>
      <c r="E124" s="2"/>
      <c r="F124" s="2"/>
      <c r="G124" s="2"/>
    </row>
    <row r="125" ht="15.75" customHeight="1">
      <c r="A125" s="2" t="str">
        <f t="array" ref="A125">IF(124&lt;=$G$2,INDEX('Golpes extras'!$A$2:$A$101,124),IF(124&lt;=$G$3,INDEX(L_Golpes!$A$2:$A$6000,$E$3+124-$G$2-1),IF(124&lt;=$G$4,INDEX(L_Golpes!$A$2:$A$6000,$E$4+124-$G$3-1),IF(124&lt;=$G$5,INDEX(L_Golpes!$A$2:$A$6000,$E$5+124-$G$4-1),IF(124&lt;=$G$6,INDEX(L_Golpes!$A$2:$A$6000,$E$6+124-$G$5-1),"")))))</f>
        <v/>
      </c>
      <c r="B125" s="2"/>
      <c r="C125" s="2"/>
      <c r="D125" s="2"/>
      <c r="E125" s="2"/>
      <c r="F125" s="2"/>
      <c r="G125" s="2"/>
    </row>
    <row r="126" ht="15.75" customHeight="1">
      <c r="A126" s="2" t="str">
        <f t="array" ref="A126">IF(125&lt;=$G$2,INDEX('Golpes extras'!$A$2:$A$101,125),IF(125&lt;=$G$3,INDEX(L_Golpes!$A$2:$A$6000,$E$3+125-$G$2-1),IF(125&lt;=$G$4,INDEX(L_Golpes!$A$2:$A$6000,$E$4+125-$G$3-1),IF(125&lt;=$G$5,INDEX(L_Golpes!$A$2:$A$6000,$E$5+125-$G$4-1),IF(125&lt;=$G$6,INDEX(L_Golpes!$A$2:$A$6000,$E$6+125-$G$5-1),"")))))</f>
        <v/>
      </c>
      <c r="B126" s="2"/>
      <c r="C126" s="2"/>
      <c r="D126" s="2"/>
      <c r="E126" s="2"/>
      <c r="F126" s="2"/>
      <c r="G126" s="2"/>
    </row>
    <row r="127" ht="15.75" customHeight="1">
      <c r="A127" s="2" t="str">
        <f t="array" ref="A127">IF(126&lt;=$G$2,INDEX('Golpes extras'!$A$2:$A$101,126),IF(126&lt;=$G$3,INDEX(L_Golpes!$A$2:$A$6000,$E$3+126-$G$2-1),IF(126&lt;=$G$4,INDEX(L_Golpes!$A$2:$A$6000,$E$4+126-$G$3-1),IF(126&lt;=$G$5,INDEX(L_Golpes!$A$2:$A$6000,$E$5+126-$G$4-1),IF(126&lt;=$G$6,INDEX(L_Golpes!$A$2:$A$6000,$E$6+126-$G$5-1),"")))))</f>
        <v/>
      </c>
      <c r="B127" s="2"/>
      <c r="C127" s="2"/>
      <c r="D127" s="2"/>
      <c r="E127" s="2"/>
      <c r="F127" s="2"/>
      <c r="G127" s="2"/>
    </row>
    <row r="128" ht="15.75" customHeight="1">
      <c r="A128" s="2" t="str">
        <f t="array" ref="A128">IF(127&lt;=$G$2,INDEX('Golpes extras'!$A$2:$A$101,127),IF(127&lt;=$G$3,INDEX(L_Golpes!$A$2:$A$6000,$E$3+127-$G$2-1),IF(127&lt;=$G$4,INDEX(L_Golpes!$A$2:$A$6000,$E$4+127-$G$3-1),IF(127&lt;=$G$5,INDEX(L_Golpes!$A$2:$A$6000,$E$5+127-$G$4-1),IF(127&lt;=$G$6,INDEX(L_Golpes!$A$2:$A$6000,$E$6+127-$G$5-1),"")))))</f>
        <v/>
      </c>
      <c r="B128" s="2"/>
      <c r="C128" s="2"/>
      <c r="D128" s="2"/>
      <c r="E128" s="2"/>
      <c r="F128" s="2"/>
      <c r="G128" s="2"/>
    </row>
    <row r="129" ht="15.75" customHeight="1">
      <c r="A129" s="2" t="str">
        <f t="array" ref="A129">IF(128&lt;=$G$2,INDEX('Golpes extras'!$A$2:$A$101,128),IF(128&lt;=$G$3,INDEX(L_Golpes!$A$2:$A$6000,$E$3+128-$G$2-1),IF(128&lt;=$G$4,INDEX(L_Golpes!$A$2:$A$6000,$E$4+128-$G$3-1),IF(128&lt;=$G$5,INDEX(L_Golpes!$A$2:$A$6000,$E$5+128-$G$4-1),IF(128&lt;=$G$6,INDEX(L_Golpes!$A$2:$A$6000,$E$6+128-$G$5-1),"")))))</f>
        <v/>
      </c>
      <c r="B129" s="2"/>
      <c r="C129" s="2"/>
      <c r="D129" s="2"/>
      <c r="E129" s="2"/>
      <c r="F129" s="2"/>
      <c r="G129" s="2"/>
    </row>
    <row r="130" ht="15.75" customHeight="1">
      <c r="A130" s="2" t="str">
        <f t="array" ref="A130">IF(129&lt;=$G$2,INDEX('Golpes extras'!$A$2:$A$101,129),IF(129&lt;=$G$3,INDEX(L_Golpes!$A$2:$A$6000,$E$3+129-$G$2-1),IF(129&lt;=$G$4,INDEX(L_Golpes!$A$2:$A$6000,$E$4+129-$G$3-1),IF(129&lt;=$G$5,INDEX(L_Golpes!$A$2:$A$6000,$E$5+129-$G$4-1),IF(129&lt;=$G$6,INDEX(L_Golpes!$A$2:$A$6000,$E$6+129-$G$5-1),"")))))</f>
        <v/>
      </c>
      <c r="B130" s="2"/>
      <c r="C130" s="2"/>
      <c r="D130" s="2"/>
      <c r="E130" s="2"/>
      <c r="F130" s="2"/>
      <c r="G130" s="2"/>
    </row>
    <row r="131" ht="15.75" customHeight="1">
      <c r="A131" s="2" t="str">
        <f t="array" ref="A131">IF(130&lt;=$G$2,INDEX('Golpes extras'!$A$2:$A$101,130),IF(130&lt;=$G$3,INDEX(L_Golpes!$A$2:$A$6000,$E$3+130-$G$2-1),IF(130&lt;=$G$4,INDEX(L_Golpes!$A$2:$A$6000,$E$4+130-$G$3-1),IF(130&lt;=$G$5,INDEX(L_Golpes!$A$2:$A$6000,$E$5+130-$G$4-1),IF(130&lt;=$G$6,INDEX(L_Golpes!$A$2:$A$6000,$E$6+130-$G$5-1),"")))))</f>
        <v/>
      </c>
      <c r="B131" s="2"/>
      <c r="C131" s="2"/>
      <c r="D131" s="2"/>
      <c r="E131" s="2"/>
      <c r="F131" s="2"/>
      <c r="G131" s="2"/>
    </row>
    <row r="132" ht="15.75" customHeight="1">
      <c r="A132" s="2" t="str">
        <f t="array" ref="A132">IF(131&lt;=$G$2,INDEX('Golpes extras'!$A$2:$A$101,131),IF(131&lt;=$G$3,INDEX(L_Golpes!$A$2:$A$6000,$E$3+131-$G$2-1),IF(131&lt;=$G$4,INDEX(L_Golpes!$A$2:$A$6000,$E$4+131-$G$3-1),IF(131&lt;=$G$5,INDEX(L_Golpes!$A$2:$A$6000,$E$5+131-$G$4-1),IF(131&lt;=$G$6,INDEX(L_Golpes!$A$2:$A$6000,$E$6+131-$G$5-1),"")))))</f>
        <v/>
      </c>
      <c r="B132" s="2"/>
      <c r="C132" s="2"/>
      <c r="D132" s="2"/>
      <c r="E132" s="2"/>
      <c r="F132" s="2"/>
      <c r="G132" s="2"/>
    </row>
    <row r="133" ht="15.75" customHeight="1">
      <c r="A133" s="2" t="str">
        <f t="array" ref="A133">IF(132&lt;=$G$2,INDEX('Golpes extras'!$A$2:$A$101,132),IF(132&lt;=$G$3,INDEX(L_Golpes!$A$2:$A$6000,$E$3+132-$G$2-1),IF(132&lt;=$G$4,INDEX(L_Golpes!$A$2:$A$6000,$E$4+132-$G$3-1),IF(132&lt;=$G$5,INDEX(L_Golpes!$A$2:$A$6000,$E$5+132-$G$4-1),IF(132&lt;=$G$6,INDEX(L_Golpes!$A$2:$A$6000,$E$6+132-$G$5-1),"")))))</f>
        <v/>
      </c>
      <c r="B133" s="2"/>
      <c r="C133" s="2"/>
      <c r="D133" s="2"/>
      <c r="E133" s="2"/>
      <c r="F133" s="2"/>
      <c r="G133" s="2"/>
    </row>
    <row r="134" ht="15.75" customHeight="1">
      <c r="A134" s="2" t="str">
        <f t="array" ref="A134">IF(133&lt;=$G$2,INDEX('Golpes extras'!$A$2:$A$101,133),IF(133&lt;=$G$3,INDEX(L_Golpes!$A$2:$A$6000,$E$3+133-$G$2-1),IF(133&lt;=$G$4,INDEX(L_Golpes!$A$2:$A$6000,$E$4+133-$G$3-1),IF(133&lt;=$G$5,INDEX(L_Golpes!$A$2:$A$6000,$E$5+133-$G$4-1),IF(133&lt;=$G$6,INDEX(L_Golpes!$A$2:$A$6000,$E$6+133-$G$5-1),"")))))</f>
        <v/>
      </c>
      <c r="B134" s="2"/>
      <c r="C134" s="2"/>
      <c r="D134" s="2"/>
      <c r="E134" s="2"/>
      <c r="F134" s="2"/>
      <c r="G134" s="2"/>
    </row>
    <row r="135" ht="15.75" customHeight="1">
      <c r="A135" s="2" t="str">
        <f t="array" ref="A135">IF(134&lt;=$G$2,INDEX('Golpes extras'!$A$2:$A$101,134),IF(134&lt;=$G$3,INDEX(L_Golpes!$A$2:$A$6000,$E$3+134-$G$2-1),IF(134&lt;=$G$4,INDEX(L_Golpes!$A$2:$A$6000,$E$4+134-$G$3-1),IF(134&lt;=$G$5,INDEX(L_Golpes!$A$2:$A$6000,$E$5+134-$G$4-1),IF(134&lt;=$G$6,INDEX(L_Golpes!$A$2:$A$6000,$E$6+134-$G$5-1),"")))))</f>
        <v/>
      </c>
      <c r="B135" s="2"/>
      <c r="C135" s="2"/>
      <c r="D135" s="2"/>
      <c r="E135" s="2"/>
      <c r="F135" s="2"/>
      <c r="G135" s="2"/>
    </row>
    <row r="136" ht="15.75" customHeight="1">
      <c r="A136" s="2" t="str">
        <f t="array" ref="A136">IF(135&lt;=$G$2,INDEX('Golpes extras'!$A$2:$A$101,135),IF(135&lt;=$G$3,INDEX(L_Golpes!$A$2:$A$6000,$E$3+135-$G$2-1),IF(135&lt;=$G$4,INDEX(L_Golpes!$A$2:$A$6000,$E$4+135-$G$3-1),IF(135&lt;=$G$5,INDEX(L_Golpes!$A$2:$A$6000,$E$5+135-$G$4-1),IF(135&lt;=$G$6,INDEX(L_Golpes!$A$2:$A$6000,$E$6+135-$G$5-1),"")))))</f>
        <v/>
      </c>
      <c r="B136" s="2"/>
      <c r="C136" s="2"/>
      <c r="D136" s="2"/>
      <c r="E136" s="2"/>
      <c r="F136" s="2"/>
      <c r="G136" s="2"/>
    </row>
    <row r="137" ht="15.75" customHeight="1">
      <c r="A137" s="2" t="str">
        <f t="array" ref="A137">IF(136&lt;=$G$2,INDEX('Golpes extras'!$A$2:$A$101,136),IF(136&lt;=$G$3,INDEX(L_Golpes!$A$2:$A$6000,$E$3+136-$G$2-1),IF(136&lt;=$G$4,INDEX(L_Golpes!$A$2:$A$6000,$E$4+136-$G$3-1),IF(136&lt;=$G$5,INDEX(L_Golpes!$A$2:$A$6000,$E$5+136-$G$4-1),IF(136&lt;=$G$6,INDEX(L_Golpes!$A$2:$A$6000,$E$6+136-$G$5-1),"")))))</f>
        <v/>
      </c>
      <c r="B137" s="2"/>
      <c r="C137" s="2"/>
      <c r="D137" s="2"/>
      <c r="E137" s="2"/>
      <c r="F137" s="2"/>
      <c r="G137" s="2"/>
    </row>
    <row r="138" ht="15.75" customHeight="1">
      <c r="A138" s="2" t="str">
        <f t="array" ref="A138">IF(137&lt;=$G$2,INDEX('Golpes extras'!$A$2:$A$101,137),IF(137&lt;=$G$3,INDEX(L_Golpes!$A$2:$A$6000,$E$3+137-$G$2-1),IF(137&lt;=$G$4,INDEX(L_Golpes!$A$2:$A$6000,$E$4+137-$G$3-1),IF(137&lt;=$G$5,INDEX(L_Golpes!$A$2:$A$6000,$E$5+137-$G$4-1),IF(137&lt;=$G$6,INDEX(L_Golpes!$A$2:$A$6000,$E$6+137-$G$5-1),"")))))</f>
        <v/>
      </c>
      <c r="B138" s="2"/>
      <c r="C138" s="2"/>
      <c r="D138" s="2"/>
      <c r="E138" s="2"/>
      <c r="F138" s="2"/>
      <c r="G138" s="2"/>
    </row>
    <row r="139" ht="15.75" customHeight="1">
      <c r="A139" s="2" t="str">
        <f t="array" ref="A139">IF(138&lt;=$G$2,INDEX('Golpes extras'!$A$2:$A$101,138),IF(138&lt;=$G$3,INDEX(L_Golpes!$A$2:$A$6000,$E$3+138-$G$2-1),IF(138&lt;=$G$4,INDEX(L_Golpes!$A$2:$A$6000,$E$4+138-$G$3-1),IF(138&lt;=$G$5,INDEX(L_Golpes!$A$2:$A$6000,$E$5+138-$G$4-1),IF(138&lt;=$G$6,INDEX(L_Golpes!$A$2:$A$6000,$E$6+138-$G$5-1),"")))))</f>
        <v/>
      </c>
      <c r="B139" s="2"/>
      <c r="C139" s="2"/>
      <c r="D139" s="2"/>
      <c r="E139" s="2"/>
      <c r="F139" s="2"/>
      <c r="G139" s="2"/>
    </row>
    <row r="140" ht="15.75" customHeight="1">
      <c r="A140" s="2" t="str">
        <f t="array" ref="A140">IF(139&lt;=$G$2,INDEX('Golpes extras'!$A$2:$A$101,139),IF(139&lt;=$G$3,INDEX(L_Golpes!$A$2:$A$6000,$E$3+139-$G$2-1),IF(139&lt;=$G$4,INDEX(L_Golpes!$A$2:$A$6000,$E$4+139-$G$3-1),IF(139&lt;=$G$5,INDEX(L_Golpes!$A$2:$A$6000,$E$5+139-$G$4-1),IF(139&lt;=$G$6,INDEX(L_Golpes!$A$2:$A$6000,$E$6+139-$G$5-1),"")))))</f>
        <v/>
      </c>
      <c r="B140" s="2"/>
      <c r="C140" s="2"/>
      <c r="D140" s="2"/>
      <c r="E140" s="2"/>
      <c r="F140" s="2"/>
      <c r="G140" s="2"/>
    </row>
    <row r="141" ht="15.75" customHeight="1">
      <c r="A141" s="2" t="str">
        <f t="array" ref="A141">IF(140&lt;=$G$2,INDEX('Golpes extras'!$A$2:$A$101,140),IF(140&lt;=$G$3,INDEX(L_Golpes!$A$2:$A$6000,$E$3+140-$G$2-1),IF(140&lt;=$G$4,INDEX(L_Golpes!$A$2:$A$6000,$E$4+140-$G$3-1),IF(140&lt;=$G$5,INDEX(L_Golpes!$A$2:$A$6000,$E$5+140-$G$4-1),IF(140&lt;=$G$6,INDEX(L_Golpes!$A$2:$A$6000,$E$6+140-$G$5-1),"")))))</f>
        <v/>
      </c>
      <c r="B141" s="2"/>
      <c r="C141" s="2"/>
      <c r="D141" s="2"/>
      <c r="E141" s="2"/>
      <c r="F141" s="2"/>
      <c r="G141" s="2"/>
    </row>
    <row r="142" ht="15.75" customHeight="1">
      <c r="A142" s="2" t="str">
        <f t="array" ref="A142">IF(141&lt;=$G$2,INDEX('Golpes extras'!$A$2:$A$101,141),IF(141&lt;=$G$3,INDEX(L_Golpes!$A$2:$A$6000,$E$3+141-$G$2-1),IF(141&lt;=$G$4,INDEX(L_Golpes!$A$2:$A$6000,$E$4+141-$G$3-1),IF(141&lt;=$G$5,INDEX(L_Golpes!$A$2:$A$6000,$E$5+141-$G$4-1),IF(141&lt;=$G$6,INDEX(L_Golpes!$A$2:$A$6000,$E$6+141-$G$5-1),"")))))</f>
        <v/>
      </c>
      <c r="B142" s="2"/>
      <c r="C142" s="2"/>
      <c r="D142" s="2"/>
      <c r="E142" s="2"/>
      <c r="F142" s="2"/>
      <c r="G142" s="2"/>
    </row>
    <row r="143" ht="15.75" customHeight="1">
      <c r="A143" s="2" t="str">
        <f t="array" ref="A143">IF(142&lt;=$G$2,INDEX('Golpes extras'!$A$2:$A$101,142),IF(142&lt;=$G$3,INDEX(L_Golpes!$A$2:$A$6000,$E$3+142-$G$2-1),IF(142&lt;=$G$4,INDEX(L_Golpes!$A$2:$A$6000,$E$4+142-$G$3-1),IF(142&lt;=$G$5,INDEX(L_Golpes!$A$2:$A$6000,$E$5+142-$G$4-1),IF(142&lt;=$G$6,INDEX(L_Golpes!$A$2:$A$6000,$E$6+142-$G$5-1),"")))))</f>
        <v/>
      </c>
      <c r="B143" s="2"/>
      <c r="C143" s="2"/>
      <c r="D143" s="2"/>
      <c r="E143" s="2"/>
      <c r="F143" s="2"/>
      <c r="G143" s="2"/>
    </row>
    <row r="144" ht="15.75" customHeight="1">
      <c r="A144" s="2" t="str">
        <f t="array" ref="A144">IF(143&lt;=$G$2,INDEX('Golpes extras'!$A$2:$A$101,143),IF(143&lt;=$G$3,INDEX(L_Golpes!$A$2:$A$6000,$E$3+143-$G$2-1),IF(143&lt;=$G$4,INDEX(L_Golpes!$A$2:$A$6000,$E$4+143-$G$3-1),IF(143&lt;=$G$5,INDEX(L_Golpes!$A$2:$A$6000,$E$5+143-$G$4-1),IF(143&lt;=$G$6,INDEX(L_Golpes!$A$2:$A$6000,$E$6+143-$G$5-1),"")))))</f>
        <v/>
      </c>
      <c r="B144" s="2"/>
      <c r="C144" s="2"/>
      <c r="D144" s="2"/>
      <c r="E144" s="2"/>
      <c r="F144" s="2"/>
      <c r="G144" s="2"/>
    </row>
    <row r="145" ht="15.75" customHeight="1">
      <c r="A145" s="2" t="str">
        <f t="array" ref="A145">IF(144&lt;=$G$2,INDEX('Golpes extras'!$A$2:$A$101,144),IF(144&lt;=$G$3,INDEX(L_Golpes!$A$2:$A$6000,$E$3+144-$G$2-1),IF(144&lt;=$G$4,INDEX(L_Golpes!$A$2:$A$6000,$E$4+144-$G$3-1),IF(144&lt;=$G$5,INDEX(L_Golpes!$A$2:$A$6000,$E$5+144-$G$4-1),IF(144&lt;=$G$6,INDEX(L_Golpes!$A$2:$A$6000,$E$6+144-$G$5-1),"")))))</f>
        <v/>
      </c>
      <c r="B145" s="2"/>
      <c r="C145" s="2"/>
      <c r="D145" s="2"/>
      <c r="E145" s="2"/>
      <c r="F145" s="2"/>
      <c r="G145" s="2"/>
    </row>
    <row r="146" ht="15.75" customHeight="1">
      <c r="A146" s="2" t="str">
        <f t="array" ref="A146">IF(145&lt;=$G$2,INDEX('Golpes extras'!$A$2:$A$101,145),IF(145&lt;=$G$3,INDEX(L_Golpes!$A$2:$A$6000,$E$3+145-$G$2-1),IF(145&lt;=$G$4,INDEX(L_Golpes!$A$2:$A$6000,$E$4+145-$G$3-1),IF(145&lt;=$G$5,INDEX(L_Golpes!$A$2:$A$6000,$E$5+145-$G$4-1),IF(145&lt;=$G$6,INDEX(L_Golpes!$A$2:$A$6000,$E$6+145-$G$5-1),"")))))</f>
        <v/>
      </c>
      <c r="B146" s="2"/>
      <c r="C146" s="2"/>
      <c r="D146" s="2"/>
      <c r="E146" s="2"/>
      <c r="F146" s="2"/>
      <c r="G146" s="2"/>
    </row>
    <row r="147" ht="15.75" customHeight="1">
      <c r="A147" s="2" t="str">
        <f t="array" ref="A147">IF(146&lt;=$G$2,INDEX('Golpes extras'!$A$2:$A$101,146),IF(146&lt;=$G$3,INDEX(L_Golpes!$A$2:$A$6000,$E$3+146-$G$2-1),IF(146&lt;=$G$4,INDEX(L_Golpes!$A$2:$A$6000,$E$4+146-$G$3-1),IF(146&lt;=$G$5,INDEX(L_Golpes!$A$2:$A$6000,$E$5+146-$G$4-1),IF(146&lt;=$G$6,INDEX(L_Golpes!$A$2:$A$6000,$E$6+146-$G$5-1),"")))))</f>
        <v/>
      </c>
      <c r="B147" s="2"/>
      <c r="C147" s="2"/>
      <c r="D147" s="2"/>
      <c r="E147" s="2"/>
      <c r="F147" s="2"/>
      <c r="G147" s="2"/>
    </row>
    <row r="148" ht="15.75" customHeight="1">
      <c r="A148" s="2" t="str">
        <f t="array" ref="A148">IF(147&lt;=$G$2,INDEX('Golpes extras'!$A$2:$A$101,147),IF(147&lt;=$G$3,INDEX(L_Golpes!$A$2:$A$6000,$E$3+147-$G$2-1),IF(147&lt;=$G$4,INDEX(L_Golpes!$A$2:$A$6000,$E$4+147-$G$3-1),IF(147&lt;=$G$5,INDEX(L_Golpes!$A$2:$A$6000,$E$5+147-$G$4-1),IF(147&lt;=$G$6,INDEX(L_Golpes!$A$2:$A$6000,$E$6+147-$G$5-1),"")))))</f>
        <v/>
      </c>
      <c r="B148" s="2"/>
      <c r="C148" s="2"/>
      <c r="D148" s="2"/>
      <c r="E148" s="2"/>
      <c r="F148" s="2"/>
      <c r="G148" s="2"/>
    </row>
    <row r="149" ht="15.75" customHeight="1">
      <c r="A149" s="2" t="str">
        <f t="array" ref="A149">IF(148&lt;=$G$2,INDEX('Golpes extras'!$A$2:$A$101,148),IF(148&lt;=$G$3,INDEX(L_Golpes!$A$2:$A$6000,$E$3+148-$G$2-1),IF(148&lt;=$G$4,INDEX(L_Golpes!$A$2:$A$6000,$E$4+148-$G$3-1),IF(148&lt;=$G$5,INDEX(L_Golpes!$A$2:$A$6000,$E$5+148-$G$4-1),IF(148&lt;=$G$6,INDEX(L_Golpes!$A$2:$A$6000,$E$6+148-$G$5-1),"")))))</f>
        <v/>
      </c>
      <c r="B149" s="2"/>
      <c r="C149" s="2"/>
      <c r="D149" s="2"/>
      <c r="E149" s="2"/>
      <c r="F149" s="2"/>
      <c r="G149" s="2"/>
    </row>
    <row r="150" ht="15.75" customHeight="1">
      <c r="A150" s="2" t="str">
        <f t="array" ref="A150">IF(149&lt;=$G$2,INDEX('Golpes extras'!$A$2:$A$101,149),IF(149&lt;=$G$3,INDEX(L_Golpes!$A$2:$A$6000,$E$3+149-$G$2-1),IF(149&lt;=$G$4,INDEX(L_Golpes!$A$2:$A$6000,$E$4+149-$G$3-1),IF(149&lt;=$G$5,INDEX(L_Golpes!$A$2:$A$6000,$E$5+149-$G$4-1),IF(149&lt;=$G$6,INDEX(L_Golpes!$A$2:$A$6000,$E$6+149-$G$5-1),"")))))</f>
        <v/>
      </c>
      <c r="B150" s="2"/>
      <c r="C150" s="2"/>
      <c r="D150" s="2"/>
      <c r="E150" s="2"/>
      <c r="F150" s="2"/>
      <c r="G150" s="2"/>
    </row>
    <row r="151" ht="15.75" customHeight="1">
      <c r="A151" s="2" t="str">
        <f t="array" ref="A151">IF(150&lt;=$G$2,INDEX('Golpes extras'!$A$2:$A$101,150),IF(150&lt;=$G$3,INDEX(L_Golpes!$A$2:$A$6000,$E$3+150-$G$2-1),IF(150&lt;=$G$4,INDEX(L_Golpes!$A$2:$A$6000,$E$4+150-$G$3-1),IF(150&lt;=$G$5,INDEX(L_Golpes!$A$2:$A$6000,$E$5+150-$G$4-1),IF(150&lt;=$G$6,INDEX(L_Golpes!$A$2:$A$6000,$E$6+150-$G$5-1),"")))))</f>
        <v/>
      </c>
      <c r="B151" s="2"/>
      <c r="C151" s="2"/>
      <c r="D151" s="2"/>
      <c r="E151" s="2"/>
      <c r="F151" s="2"/>
      <c r="G151" s="2"/>
    </row>
    <row r="152" ht="15.75" customHeight="1">
      <c r="A152" s="2" t="str">
        <f t="array" ref="A152">IF(151&lt;=$G$2,INDEX('Golpes extras'!$A$2:$A$101,151),IF(151&lt;=$G$3,INDEX(L_Golpes!$A$2:$A$6000,$E$3+151-$G$2-1),IF(151&lt;=$G$4,INDEX(L_Golpes!$A$2:$A$6000,$E$4+151-$G$3-1),IF(151&lt;=$G$5,INDEX(L_Golpes!$A$2:$A$6000,$E$5+151-$G$4-1),IF(151&lt;=$G$6,INDEX(L_Golpes!$A$2:$A$6000,$E$6+151-$G$5-1),"")))))</f>
        <v/>
      </c>
      <c r="B152" s="2"/>
      <c r="C152" s="2"/>
      <c r="D152" s="2"/>
      <c r="E152" s="2"/>
      <c r="F152" s="2"/>
      <c r="G152" s="2"/>
    </row>
    <row r="153" ht="15.75" customHeight="1">
      <c r="A153" s="2" t="str">
        <f t="array" ref="A153">IF(152&lt;=$G$2,INDEX('Golpes extras'!$A$2:$A$101,152),IF(152&lt;=$G$3,INDEX(L_Golpes!$A$2:$A$6000,$E$3+152-$G$2-1),IF(152&lt;=$G$4,INDEX(L_Golpes!$A$2:$A$6000,$E$4+152-$G$3-1),IF(152&lt;=$G$5,INDEX(L_Golpes!$A$2:$A$6000,$E$5+152-$G$4-1),IF(152&lt;=$G$6,INDEX(L_Golpes!$A$2:$A$6000,$E$6+152-$G$5-1),"")))))</f>
        <v/>
      </c>
      <c r="B153" s="2"/>
      <c r="C153" s="2"/>
      <c r="D153" s="2"/>
      <c r="E153" s="2"/>
      <c r="F153" s="2"/>
      <c r="G153" s="2"/>
    </row>
    <row r="154" ht="15.75" customHeight="1">
      <c r="A154" s="2" t="str">
        <f t="array" ref="A154">IF(153&lt;=$G$2,INDEX('Golpes extras'!$A$2:$A$101,153),IF(153&lt;=$G$3,INDEX(L_Golpes!$A$2:$A$6000,$E$3+153-$G$2-1),IF(153&lt;=$G$4,INDEX(L_Golpes!$A$2:$A$6000,$E$4+153-$G$3-1),IF(153&lt;=$G$5,INDEX(L_Golpes!$A$2:$A$6000,$E$5+153-$G$4-1),IF(153&lt;=$G$6,INDEX(L_Golpes!$A$2:$A$6000,$E$6+153-$G$5-1),"")))))</f>
        <v/>
      </c>
      <c r="B154" s="2"/>
      <c r="C154" s="2"/>
      <c r="D154" s="2"/>
      <c r="E154" s="2"/>
      <c r="F154" s="2"/>
      <c r="G154" s="2"/>
    </row>
    <row r="155" ht="15.75" customHeight="1">
      <c r="A155" s="2" t="str">
        <f t="array" ref="A155">IF(154&lt;=$G$2,INDEX('Golpes extras'!$A$2:$A$101,154),IF(154&lt;=$G$3,INDEX(L_Golpes!$A$2:$A$6000,$E$3+154-$G$2-1),IF(154&lt;=$G$4,INDEX(L_Golpes!$A$2:$A$6000,$E$4+154-$G$3-1),IF(154&lt;=$G$5,INDEX(L_Golpes!$A$2:$A$6000,$E$5+154-$G$4-1),IF(154&lt;=$G$6,INDEX(L_Golpes!$A$2:$A$6000,$E$6+154-$G$5-1),"")))))</f>
        <v/>
      </c>
      <c r="B155" s="2"/>
      <c r="C155" s="2"/>
      <c r="D155" s="2"/>
      <c r="E155" s="2"/>
      <c r="F155" s="2"/>
      <c r="G155" s="2"/>
    </row>
    <row r="156" ht="15.75" customHeight="1">
      <c r="A156" s="2" t="str">
        <f t="array" ref="A156">IF(155&lt;=$G$2,INDEX('Golpes extras'!$A$2:$A$101,155),IF(155&lt;=$G$3,INDEX(L_Golpes!$A$2:$A$6000,$E$3+155-$G$2-1),IF(155&lt;=$G$4,INDEX(L_Golpes!$A$2:$A$6000,$E$4+155-$G$3-1),IF(155&lt;=$G$5,INDEX(L_Golpes!$A$2:$A$6000,$E$5+155-$G$4-1),IF(155&lt;=$G$6,INDEX(L_Golpes!$A$2:$A$6000,$E$6+155-$G$5-1),"")))))</f>
        <v/>
      </c>
      <c r="B156" s="2"/>
      <c r="C156" s="2"/>
      <c r="D156" s="2"/>
      <c r="E156" s="2"/>
      <c r="F156" s="2"/>
      <c r="G156" s="2"/>
    </row>
    <row r="157" ht="15.75" customHeight="1">
      <c r="A157" s="2" t="str">
        <f t="array" ref="A157">IF(156&lt;=$G$2,INDEX('Golpes extras'!$A$2:$A$101,156),IF(156&lt;=$G$3,INDEX(L_Golpes!$A$2:$A$6000,$E$3+156-$G$2-1),IF(156&lt;=$G$4,INDEX(L_Golpes!$A$2:$A$6000,$E$4+156-$G$3-1),IF(156&lt;=$G$5,INDEX(L_Golpes!$A$2:$A$6000,$E$5+156-$G$4-1),IF(156&lt;=$G$6,INDEX(L_Golpes!$A$2:$A$6000,$E$6+156-$G$5-1),"")))))</f>
        <v/>
      </c>
      <c r="B157" s="2"/>
      <c r="C157" s="2"/>
      <c r="D157" s="2"/>
      <c r="E157" s="2"/>
      <c r="F157" s="2"/>
      <c r="G157" s="2"/>
    </row>
    <row r="158" ht="15.75" customHeight="1">
      <c r="A158" s="2" t="str">
        <f t="array" ref="A158">IF(157&lt;=$G$2,INDEX('Golpes extras'!$A$2:$A$101,157),IF(157&lt;=$G$3,INDEX(L_Golpes!$A$2:$A$6000,$E$3+157-$G$2-1),IF(157&lt;=$G$4,INDEX(L_Golpes!$A$2:$A$6000,$E$4+157-$G$3-1),IF(157&lt;=$G$5,INDEX(L_Golpes!$A$2:$A$6000,$E$5+157-$G$4-1),IF(157&lt;=$G$6,INDEX(L_Golpes!$A$2:$A$6000,$E$6+157-$G$5-1),"")))))</f>
        <v/>
      </c>
      <c r="B158" s="2"/>
      <c r="C158" s="2"/>
      <c r="D158" s="2"/>
      <c r="E158" s="2"/>
      <c r="F158" s="2"/>
      <c r="G158" s="2"/>
    </row>
    <row r="159" ht="15.75" customHeight="1">
      <c r="A159" s="2" t="str">
        <f t="array" ref="A159">IF(158&lt;=$G$2,INDEX('Golpes extras'!$A$2:$A$101,158),IF(158&lt;=$G$3,INDEX(L_Golpes!$A$2:$A$6000,$E$3+158-$G$2-1),IF(158&lt;=$G$4,INDEX(L_Golpes!$A$2:$A$6000,$E$4+158-$G$3-1),IF(158&lt;=$G$5,INDEX(L_Golpes!$A$2:$A$6000,$E$5+158-$G$4-1),IF(158&lt;=$G$6,INDEX(L_Golpes!$A$2:$A$6000,$E$6+158-$G$5-1),"")))))</f>
        <v/>
      </c>
      <c r="B159" s="2"/>
      <c r="C159" s="2"/>
      <c r="D159" s="2"/>
      <c r="E159" s="2"/>
      <c r="F159" s="2"/>
      <c r="G159" s="2"/>
    </row>
    <row r="160" ht="15.75" customHeight="1">
      <c r="A160" s="2" t="str">
        <f t="array" ref="A160">IF(159&lt;=$G$2,INDEX('Golpes extras'!$A$2:$A$101,159),IF(159&lt;=$G$3,INDEX(L_Golpes!$A$2:$A$6000,$E$3+159-$G$2-1),IF(159&lt;=$G$4,INDEX(L_Golpes!$A$2:$A$6000,$E$4+159-$G$3-1),IF(159&lt;=$G$5,INDEX(L_Golpes!$A$2:$A$6000,$E$5+159-$G$4-1),IF(159&lt;=$G$6,INDEX(L_Golpes!$A$2:$A$6000,$E$6+159-$G$5-1),"")))))</f>
        <v/>
      </c>
      <c r="B160" s="2"/>
      <c r="C160" s="2"/>
      <c r="D160" s="2"/>
      <c r="E160" s="2"/>
      <c r="F160" s="2"/>
      <c r="G160" s="2"/>
    </row>
    <row r="161" ht="15.75" customHeight="1">
      <c r="A161" s="2" t="str">
        <f t="array" ref="A161">IF(160&lt;=$G$2,INDEX('Golpes extras'!$A$2:$A$101,160),IF(160&lt;=$G$3,INDEX(L_Golpes!$A$2:$A$6000,$E$3+160-$G$2-1),IF(160&lt;=$G$4,INDEX(L_Golpes!$A$2:$A$6000,$E$4+160-$G$3-1),IF(160&lt;=$G$5,INDEX(L_Golpes!$A$2:$A$6000,$E$5+160-$G$4-1),IF(160&lt;=$G$6,INDEX(L_Golpes!$A$2:$A$6000,$E$6+160-$G$5-1),"")))))</f>
        <v/>
      </c>
      <c r="B161" s="2"/>
      <c r="C161" s="2"/>
      <c r="D161" s="2"/>
      <c r="E161" s="2"/>
      <c r="F161" s="2"/>
      <c r="G161" s="2"/>
    </row>
    <row r="162" ht="15.75" customHeight="1">
      <c r="A162" s="2" t="str">
        <f t="array" ref="A162">IF(161&lt;=$G$2,INDEX('Golpes extras'!$A$2:$A$101,161),IF(161&lt;=$G$3,INDEX(L_Golpes!$A$2:$A$6000,$E$3+161-$G$2-1),IF(161&lt;=$G$4,INDEX(L_Golpes!$A$2:$A$6000,$E$4+161-$G$3-1),IF(161&lt;=$G$5,INDEX(L_Golpes!$A$2:$A$6000,$E$5+161-$G$4-1),IF(161&lt;=$G$6,INDEX(L_Golpes!$A$2:$A$6000,$E$6+161-$G$5-1),"")))))</f>
        <v/>
      </c>
      <c r="B162" s="2"/>
      <c r="C162" s="2"/>
      <c r="D162" s="2"/>
      <c r="E162" s="2"/>
      <c r="F162" s="2"/>
      <c r="G162" s="2"/>
    </row>
    <row r="163" ht="15.75" customHeight="1">
      <c r="A163" s="2" t="str">
        <f t="array" ref="A163">IF(162&lt;=$G$2,INDEX('Golpes extras'!$A$2:$A$101,162),IF(162&lt;=$G$3,INDEX(L_Golpes!$A$2:$A$6000,$E$3+162-$G$2-1),IF(162&lt;=$G$4,INDEX(L_Golpes!$A$2:$A$6000,$E$4+162-$G$3-1),IF(162&lt;=$G$5,INDEX(L_Golpes!$A$2:$A$6000,$E$5+162-$G$4-1),IF(162&lt;=$G$6,INDEX(L_Golpes!$A$2:$A$6000,$E$6+162-$G$5-1),"")))))</f>
        <v/>
      </c>
      <c r="B163" s="2"/>
      <c r="C163" s="2"/>
      <c r="D163" s="2"/>
      <c r="E163" s="2"/>
      <c r="F163" s="2"/>
      <c r="G163" s="2"/>
    </row>
    <row r="164" ht="15.75" customHeight="1">
      <c r="A164" s="2" t="str">
        <f t="array" ref="A164">IF(163&lt;=$G$2,INDEX('Golpes extras'!$A$2:$A$101,163),IF(163&lt;=$G$3,INDEX(L_Golpes!$A$2:$A$6000,$E$3+163-$G$2-1),IF(163&lt;=$G$4,INDEX(L_Golpes!$A$2:$A$6000,$E$4+163-$G$3-1),IF(163&lt;=$G$5,INDEX(L_Golpes!$A$2:$A$6000,$E$5+163-$G$4-1),IF(163&lt;=$G$6,INDEX(L_Golpes!$A$2:$A$6000,$E$6+163-$G$5-1),"")))))</f>
        <v/>
      </c>
      <c r="B164" s="2"/>
      <c r="C164" s="2"/>
      <c r="D164" s="2"/>
      <c r="E164" s="2"/>
      <c r="F164" s="2"/>
      <c r="G164" s="2"/>
    </row>
    <row r="165" ht="15.75" customHeight="1">
      <c r="A165" s="2" t="str">
        <f t="array" ref="A165">IF(164&lt;=$G$2,INDEX('Golpes extras'!$A$2:$A$101,164),IF(164&lt;=$G$3,INDEX(L_Golpes!$A$2:$A$6000,$E$3+164-$G$2-1),IF(164&lt;=$G$4,INDEX(L_Golpes!$A$2:$A$6000,$E$4+164-$G$3-1),IF(164&lt;=$G$5,INDEX(L_Golpes!$A$2:$A$6000,$E$5+164-$G$4-1),IF(164&lt;=$G$6,INDEX(L_Golpes!$A$2:$A$6000,$E$6+164-$G$5-1),"")))))</f>
        <v/>
      </c>
      <c r="B165" s="2"/>
      <c r="C165" s="2"/>
      <c r="D165" s="2"/>
      <c r="E165" s="2"/>
      <c r="F165" s="2"/>
      <c r="G165" s="2"/>
    </row>
    <row r="166" ht="15.75" customHeight="1">
      <c r="A166" s="2" t="str">
        <f t="array" ref="A166">IF(165&lt;=$G$2,INDEX('Golpes extras'!$A$2:$A$101,165),IF(165&lt;=$G$3,INDEX(L_Golpes!$A$2:$A$6000,$E$3+165-$G$2-1),IF(165&lt;=$G$4,INDEX(L_Golpes!$A$2:$A$6000,$E$4+165-$G$3-1),IF(165&lt;=$G$5,INDEX(L_Golpes!$A$2:$A$6000,$E$5+165-$G$4-1),IF(165&lt;=$G$6,INDEX(L_Golpes!$A$2:$A$6000,$E$6+165-$G$5-1),"")))))</f>
        <v/>
      </c>
      <c r="B166" s="2"/>
      <c r="C166" s="2"/>
      <c r="D166" s="2"/>
      <c r="E166" s="2"/>
      <c r="F166" s="2"/>
      <c r="G166" s="2"/>
    </row>
    <row r="167" ht="15.75" customHeight="1">
      <c r="A167" s="2" t="str">
        <f t="array" ref="A167">IF(166&lt;=$G$2,INDEX('Golpes extras'!$A$2:$A$101,166),IF(166&lt;=$G$3,INDEX(L_Golpes!$A$2:$A$6000,$E$3+166-$G$2-1),IF(166&lt;=$G$4,INDEX(L_Golpes!$A$2:$A$6000,$E$4+166-$G$3-1),IF(166&lt;=$G$5,INDEX(L_Golpes!$A$2:$A$6000,$E$5+166-$G$4-1),IF(166&lt;=$G$6,INDEX(L_Golpes!$A$2:$A$6000,$E$6+166-$G$5-1),"")))))</f>
        <v/>
      </c>
      <c r="B167" s="2"/>
      <c r="C167" s="2"/>
      <c r="D167" s="2"/>
      <c r="E167" s="2"/>
      <c r="F167" s="2"/>
      <c r="G167" s="2"/>
    </row>
    <row r="168" ht="15.75" customHeight="1">
      <c r="A168" s="2" t="str">
        <f t="array" ref="A168">IF(167&lt;=$G$2,INDEX('Golpes extras'!$A$2:$A$101,167),IF(167&lt;=$G$3,INDEX(L_Golpes!$A$2:$A$6000,$E$3+167-$G$2-1),IF(167&lt;=$G$4,INDEX(L_Golpes!$A$2:$A$6000,$E$4+167-$G$3-1),IF(167&lt;=$G$5,INDEX(L_Golpes!$A$2:$A$6000,$E$5+167-$G$4-1),IF(167&lt;=$G$6,INDEX(L_Golpes!$A$2:$A$6000,$E$6+167-$G$5-1),"")))))</f>
        <v/>
      </c>
      <c r="B168" s="2"/>
      <c r="C168" s="2"/>
      <c r="D168" s="2"/>
      <c r="E168" s="2"/>
      <c r="F168" s="2"/>
      <c r="G168" s="2"/>
    </row>
    <row r="169" ht="15.75" customHeight="1">
      <c r="A169" s="2" t="str">
        <f t="array" ref="A169">IF(168&lt;=$G$2,INDEX('Golpes extras'!$A$2:$A$101,168),IF(168&lt;=$G$3,INDEX(L_Golpes!$A$2:$A$6000,$E$3+168-$G$2-1),IF(168&lt;=$G$4,INDEX(L_Golpes!$A$2:$A$6000,$E$4+168-$G$3-1),IF(168&lt;=$G$5,INDEX(L_Golpes!$A$2:$A$6000,$E$5+168-$G$4-1),IF(168&lt;=$G$6,INDEX(L_Golpes!$A$2:$A$6000,$E$6+168-$G$5-1),"")))))</f>
        <v/>
      </c>
      <c r="B169" s="2"/>
      <c r="C169" s="2"/>
      <c r="D169" s="2"/>
      <c r="E169" s="2"/>
      <c r="F169" s="2"/>
      <c r="G169" s="2"/>
    </row>
    <row r="170" ht="15.75" customHeight="1">
      <c r="A170" s="2" t="str">
        <f t="array" ref="A170">IF(169&lt;=$G$2,INDEX('Golpes extras'!$A$2:$A$101,169),IF(169&lt;=$G$3,INDEX(L_Golpes!$A$2:$A$6000,$E$3+169-$G$2-1),IF(169&lt;=$G$4,INDEX(L_Golpes!$A$2:$A$6000,$E$4+169-$G$3-1),IF(169&lt;=$G$5,INDEX(L_Golpes!$A$2:$A$6000,$E$5+169-$G$4-1),IF(169&lt;=$G$6,INDEX(L_Golpes!$A$2:$A$6000,$E$6+169-$G$5-1),"")))))</f>
        <v/>
      </c>
      <c r="B170" s="2"/>
      <c r="C170" s="2"/>
      <c r="D170" s="2"/>
      <c r="E170" s="2"/>
      <c r="F170" s="2"/>
      <c r="G170" s="2"/>
    </row>
    <row r="171" ht="15.75" customHeight="1">
      <c r="A171" s="2" t="str">
        <f t="array" ref="A171">IF(170&lt;=$G$2,INDEX('Golpes extras'!$A$2:$A$101,170),IF(170&lt;=$G$3,INDEX(L_Golpes!$A$2:$A$6000,$E$3+170-$G$2-1),IF(170&lt;=$G$4,INDEX(L_Golpes!$A$2:$A$6000,$E$4+170-$G$3-1),IF(170&lt;=$G$5,INDEX(L_Golpes!$A$2:$A$6000,$E$5+170-$G$4-1),IF(170&lt;=$G$6,INDEX(L_Golpes!$A$2:$A$6000,$E$6+170-$G$5-1),"")))))</f>
        <v/>
      </c>
      <c r="B171" s="2"/>
      <c r="C171" s="2"/>
      <c r="D171" s="2"/>
      <c r="E171" s="2"/>
      <c r="F171" s="2"/>
      <c r="G171" s="2"/>
    </row>
    <row r="172" ht="15.75" customHeight="1">
      <c r="A172" s="2" t="str">
        <f t="array" ref="A172">IF(171&lt;=$G$2,INDEX('Golpes extras'!$A$2:$A$101,171),IF(171&lt;=$G$3,INDEX(L_Golpes!$A$2:$A$6000,$E$3+171-$G$2-1),IF(171&lt;=$G$4,INDEX(L_Golpes!$A$2:$A$6000,$E$4+171-$G$3-1),IF(171&lt;=$G$5,INDEX(L_Golpes!$A$2:$A$6000,$E$5+171-$G$4-1),IF(171&lt;=$G$6,INDEX(L_Golpes!$A$2:$A$6000,$E$6+171-$G$5-1),"")))))</f>
        <v/>
      </c>
      <c r="B172" s="2"/>
      <c r="C172" s="2"/>
      <c r="D172" s="2"/>
      <c r="E172" s="2"/>
      <c r="F172" s="2"/>
      <c r="G172" s="2"/>
    </row>
    <row r="173" ht="15.75" customHeight="1">
      <c r="A173" s="2" t="str">
        <f t="array" ref="A173">IF(172&lt;=$G$2,INDEX('Golpes extras'!$A$2:$A$101,172),IF(172&lt;=$G$3,INDEX(L_Golpes!$A$2:$A$6000,$E$3+172-$G$2-1),IF(172&lt;=$G$4,INDEX(L_Golpes!$A$2:$A$6000,$E$4+172-$G$3-1),IF(172&lt;=$G$5,INDEX(L_Golpes!$A$2:$A$6000,$E$5+172-$G$4-1),IF(172&lt;=$G$6,INDEX(L_Golpes!$A$2:$A$6000,$E$6+172-$G$5-1),"")))))</f>
        <v/>
      </c>
      <c r="B173" s="2"/>
      <c r="C173" s="2"/>
      <c r="D173" s="2"/>
      <c r="E173" s="2"/>
      <c r="F173" s="2"/>
      <c r="G173" s="2"/>
    </row>
    <row r="174" ht="15.75" customHeight="1">
      <c r="A174" s="2" t="str">
        <f t="array" ref="A174">IF(173&lt;=$G$2,INDEX('Golpes extras'!$A$2:$A$101,173),IF(173&lt;=$G$3,INDEX(L_Golpes!$A$2:$A$6000,$E$3+173-$G$2-1),IF(173&lt;=$G$4,INDEX(L_Golpes!$A$2:$A$6000,$E$4+173-$G$3-1),IF(173&lt;=$G$5,INDEX(L_Golpes!$A$2:$A$6000,$E$5+173-$G$4-1),IF(173&lt;=$G$6,INDEX(L_Golpes!$A$2:$A$6000,$E$6+173-$G$5-1),"")))))</f>
        <v/>
      </c>
      <c r="B174" s="2"/>
      <c r="C174" s="2"/>
      <c r="D174" s="2"/>
      <c r="E174" s="2"/>
      <c r="F174" s="2"/>
      <c r="G174" s="2"/>
    </row>
    <row r="175" ht="15.75" customHeight="1">
      <c r="A175" s="2" t="str">
        <f t="array" ref="A175">IF(174&lt;=$G$2,INDEX('Golpes extras'!$A$2:$A$101,174),IF(174&lt;=$G$3,INDEX(L_Golpes!$A$2:$A$6000,$E$3+174-$G$2-1),IF(174&lt;=$G$4,INDEX(L_Golpes!$A$2:$A$6000,$E$4+174-$G$3-1),IF(174&lt;=$G$5,INDEX(L_Golpes!$A$2:$A$6000,$E$5+174-$G$4-1),IF(174&lt;=$G$6,INDEX(L_Golpes!$A$2:$A$6000,$E$6+174-$G$5-1),"")))))</f>
        <v/>
      </c>
      <c r="B175" s="2"/>
      <c r="C175" s="2"/>
      <c r="D175" s="2"/>
      <c r="E175" s="2"/>
      <c r="F175" s="2"/>
      <c r="G175" s="2"/>
    </row>
    <row r="176" ht="15.75" customHeight="1">
      <c r="A176" s="2" t="str">
        <f t="array" ref="A176">IF(175&lt;=$G$2,INDEX('Golpes extras'!$A$2:$A$101,175),IF(175&lt;=$G$3,INDEX(L_Golpes!$A$2:$A$6000,$E$3+175-$G$2-1),IF(175&lt;=$G$4,INDEX(L_Golpes!$A$2:$A$6000,$E$4+175-$G$3-1),IF(175&lt;=$G$5,INDEX(L_Golpes!$A$2:$A$6000,$E$5+175-$G$4-1),IF(175&lt;=$G$6,INDEX(L_Golpes!$A$2:$A$6000,$E$6+175-$G$5-1),"")))))</f>
        <v/>
      </c>
      <c r="B176" s="2"/>
      <c r="C176" s="2"/>
      <c r="D176" s="2"/>
      <c r="E176" s="2"/>
      <c r="F176" s="2"/>
      <c r="G176" s="2"/>
    </row>
    <row r="177" ht="15.75" customHeight="1">
      <c r="A177" s="2" t="str">
        <f t="array" ref="A177">IF(176&lt;=$G$2,INDEX('Golpes extras'!$A$2:$A$101,176),IF(176&lt;=$G$3,INDEX(L_Golpes!$A$2:$A$6000,$E$3+176-$G$2-1),IF(176&lt;=$G$4,INDEX(L_Golpes!$A$2:$A$6000,$E$4+176-$G$3-1),IF(176&lt;=$G$5,INDEX(L_Golpes!$A$2:$A$6000,$E$5+176-$G$4-1),IF(176&lt;=$G$6,INDEX(L_Golpes!$A$2:$A$6000,$E$6+176-$G$5-1),"")))))</f>
        <v/>
      </c>
      <c r="B177" s="2"/>
      <c r="C177" s="2"/>
      <c r="D177" s="2"/>
      <c r="E177" s="2"/>
      <c r="F177" s="2"/>
      <c r="G177" s="2"/>
    </row>
    <row r="178" ht="15.75" customHeight="1">
      <c r="A178" s="2" t="str">
        <f t="array" ref="A178">IF(177&lt;=$G$2,INDEX('Golpes extras'!$A$2:$A$101,177),IF(177&lt;=$G$3,INDEX(L_Golpes!$A$2:$A$6000,$E$3+177-$G$2-1),IF(177&lt;=$G$4,INDEX(L_Golpes!$A$2:$A$6000,$E$4+177-$G$3-1),IF(177&lt;=$G$5,INDEX(L_Golpes!$A$2:$A$6000,$E$5+177-$G$4-1),IF(177&lt;=$G$6,INDEX(L_Golpes!$A$2:$A$6000,$E$6+177-$G$5-1),"")))))</f>
        <v/>
      </c>
      <c r="B178" s="2"/>
      <c r="C178" s="2"/>
      <c r="D178" s="2"/>
      <c r="E178" s="2"/>
      <c r="F178" s="2"/>
      <c r="G178" s="2"/>
    </row>
    <row r="179" ht="15.75" customHeight="1">
      <c r="A179" s="2" t="str">
        <f t="array" ref="A179">IF(178&lt;=$G$2,INDEX('Golpes extras'!$A$2:$A$101,178),IF(178&lt;=$G$3,INDEX(L_Golpes!$A$2:$A$6000,$E$3+178-$G$2-1),IF(178&lt;=$G$4,INDEX(L_Golpes!$A$2:$A$6000,$E$4+178-$G$3-1),IF(178&lt;=$G$5,INDEX(L_Golpes!$A$2:$A$6000,$E$5+178-$G$4-1),IF(178&lt;=$G$6,INDEX(L_Golpes!$A$2:$A$6000,$E$6+178-$G$5-1),"")))))</f>
        <v/>
      </c>
      <c r="B179" s="2"/>
      <c r="C179" s="2"/>
      <c r="D179" s="2"/>
      <c r="E179" s="2"/>
      <c r="F179" s="2"/>
      <c r="G179" s="2"/>
    </row>
    <row r="180" ht="15.75" customHeight="1">
      <c r="A180" s="2" t="str">
        <f t="array" ref="A180">IF(179&lt;=$G$2,INDEX('Golpes extras'!$A$2:$A$101,179),IF(179&lt;=$G$3,INDEX(L_Golpes!$A$2:$A$6000,$E$3+179-$G$2-1),IF(179&lt;=$G$4,INDEX(L_Golpes!$A$2:$A$6000,$E$4+179-$G$3-1),IF(179&lt;=$G$5,INDEX(L_Golpes!$A$2:$A$6000,$E$5+179-$G$4-1),IF(179&lt;=$G$6,INDEX(L_Golpes!$A$2:$A$6000,$E$6+179-$G$5-1),"")))))</f>
        <v/>
      </c>
      <c r="B180" s="2"/>
      <c r="C180" s="2"/>
      <c r="D180" s="2"/>
      <c r="E180" s="2"/>
      <c r="F180" s="2"/>
      <c r="G180" s="2"/>
    </row>
    <row r="181" ht="15.75" customHeight="1">
      <c r="A181" s="2" t="str">
        <f t="array" ref="A181">IF(180&lt;=$G$2,INDEX('Golpes extras'!$A$2:$A$101,180),IF(180&lt;=$G$3,INDEX(L_Golpes!$A$2:$A$6000,$E$3+180-$G$2-1),IF(180&lt;=$G$4,INDEX(L_Golpes!$A$2:$A$6000,$E$4+180-$G$3-1),IF(180&lt;=$G$5,INDEX(L_Golpes!$A$2:$A$6000,$E$5+180-$G$4-1),IF(180&lt;=$G$6,INDEX(L_Golpes!$A$2:$A$6000,$E$6+180-$G$5-1),"")))))</f>
        <v/>
      </c>
      <c r="B181" s="2"/>
      <c r="C181" s="2"/>
      <c r="D181" s="2"/>
      <c r="E181" s="2"/>
      <c r="F181" s="2"/>
      <c r="G181" s="2"/>
    </row>
    <row r="182" ht="15.75" customHeight="1">
      <c r="A182" s="2" t="str">
        <f t="array" ref="A182">IF(181&lt;=$G$2,INDEX('Golpes extras'!$A$2:$A$101,181),IF(181&lt;=$G$3,INDEX(L_Golpes!$A$2:$A$6000,$E$3+181-$G$2-1),IF(181&lt;=$G$4,INDEX(L_Golpes!$A$2:$A$6000,$E$4+181-$G$3-1),IF(181&lt;=$G$5,INDEX(L_Golpes!$A$2:$A$6000,$E$5+181-$G$4-1),IF(181&lt;=$G$6,INDEX(L_Golpes!$A$2:$A$6000,$E$6+181-$G$5-1),"")))))</f>
        <v/>
      </c>
      <c r="B182" s="2"/>
      <c r="C182" s="2"/>
      <c r="D182" s="2"/>
      <c r="E182" s="2"/>
      <c r="F182" s="2"/>
      <c r="G182" s="2"/>
    </row>
    <row r="183" ht="15.75" customHeight="1">
      <c r="A183" s="2" t="str">
        <f t="array" ref="A183">IF(182&lt;=$G$2,INDEX('Golpes extras'!$A$2:$A$101,182),IF(182&lt;=$G$3,INDEX(L_Golpes!$A$2:$A$6000,$E$3+182-$G$2-1),IF(182&lt;=$G$4,INDEX(L_Golpes!$A$2:$A$6000,$E$4+182-$G$3-1),IF(182&lt;=$G$5,INDEX(L_Golpes!$A$2:$A$6000,$E$5+182-$G$4-1),IF(182&lt;=$G$6,INDEX(L_Golpes!$A$2:$A$6000,$E$6+182-$G$5-1),"")))))</f>
        <v/>
      </c>
      <c r="B183" s="2"/>
      <c r="C183" s="2"/>
      <c r="D183" s="2"/>
      <c r="E183" s="2"/>
      <c r="F183" s="2"/>
      <c r="G183" s="2"/>
    </row>
    <row r="184" ht="15.75" customHeight="1">
      <c r="A184" s="2" t="str">
        <f t="array" ref="A184">IF(183&lt;=$G$2,INDEX('Golpes extras'!$A$2:$A$101,183),IF(183&lt;=$G$3,INDEX(L_Golpes!$A$2:$A$6000,$E$3+183-$G$2-1),IF(183&lt;=$G$4,INDEX(L_Golpes!$A$2:$A$6000,$E$4+183-$G$3-1),IF(183&lt;=$G$5,INDEX(L_Golpes!$A$2:$A$6000,$E$5+183-$G$4-1),IF(183&lt;=$G$6,INDEX(L_Golpes!$A$2:$A$6000,$E$6+183-$G$5-1),"")))))</f>
        <v/>
      </c>
      <c r="B184" s="2"/>
      <c r="C184" s="2"/>
      <c r="D184" s="2"/>
      <c r="E184" s="2"/>
      <c r="F184" s="2"/>
      <c r="G184" s="2"/>
    </row>
    <row r="185" ht="15.75" customHeight="1">
      <c r="A185" s="2" t="str">
        <f t="array" ref="A185">IF(184&lt;=$G$2,INDEX('Golpes extras'!$A$2:$A$101,184),IF(184&lt;=$G$3,INDEX(L_Golpes!$A$2:$A$6000,$E$3+184-$G$2-1),IF(184&lt;=$G$4,INDEX(L_Golpes!$A$2:$A$6000,$E$4+184-$G$3-1),IF(184&lt;=$G$5,INDEX(L_Golpes!$A$2:$A$6000,$E$5+184-$G$4-1),IF(184&lt;=$G$6,INDEX(L_Golpes!$A$2:$A$6000,$E$6+184-$G$5-1),"")))))</f>
        <v/>
      </c>
      <c r="B185" s="2"/>
      <c r="C185" s="2"/>
      <c r="D185" s="2"/>
      <c r="E185" s="2"/>
      <c r="F185" s="2"/>
      <c r="G185" s="2"/>
    </row>
    <row r="186" ht="15.75" customHeight="1">
      <c r="A186" s="2" t="str">
        <f t="array" ref="A186">IF(185&lt;=$G$2,INDEX('Golpes extras'!$A$2:$A$101,185),IF(185&lt;=$G$3,INDEX(L_Golpes!$A$2:$A$6000,$E$3+185-$G$2-1),IF(185&lt;=$G$4,INDEX(L_Golpes!$A$2:$A$6000,$E$4+185-$G$3-1),IF(185&lt;=$G$5,INDEX(L_Golpes!$A$2:$A$6000,$E$5+185-$G$4-1),IF(185&lt;=$G$6,INDEX(L_Golpes!$A$2:$A$6000,$E$6+185-$G$5-1),"")))))</f>
        <v/>
      </c>
      <c r="B186" s="2"/>
      <c r="C186" s="2"/>
      <c r="D186" s="2"/>
      <c r="E186" s="2"/>
      <c r="F186" s="2"/>
      <c r="G186" s="2"/>
    </row>
    <row r="187" ht="15.75" customHeight="1">
      <c r="A187" s="2" t="str">
        <f t="array" ref="A187">IF(186&lt;=$G$2,INDEX('Golpes extras'!$A$2:$A$101,186),IF(186&lt;=$G$3,INDEX(L_Golpes!$A$2:$A$6000,$E$3+186-$G$2-1),IF(186&lt;=$G$4,INDEX(L_Golpes!$A$2:$A$6000,$E$4+186-$G$3-1),IF(186&lt;=$G$5,INDEX(L_Golpes!$A$2:$A$6000,$E$5+186-$G$4-1),IF(186&lt;=$G$6,INDEX(L_Golpes!$A$2:$A$6000,$E$6+186-$G$5-1),"")))))</f>
        <v/>
      </c>
      <c r="B187" s="2"/>
      <c r="C187" s="2"/>
      <c r="D187" s="2"/>
      <c r="E187" s="2"/>
      <c r="F187" s="2"/>
      <c r="G187" s="2"/>
    </row>
    <row r="188" ht="15.75" customHeight="1">
      <c r="A188" s="2" t="str">
        <f t="array" ref="A188">IF(187&lt;=$G$2,INDEX('Golpes extras'!$A$2:$A$101,187),IF(187&lt;=$G$3,INDEX(L_Golpes!$A$2:$A$6000,$E$3+187-$G$2-1),IF(187&lt;=$G$4,INDEX(L_Golpes!$A$2:$A$6000,$E$4+187-$G$3-1),IF(187&lt;=$G$5,INDEX(L_Golpes!$A$2:$A$6000,$E$5+187-$G$4-1),IF(187&lt;=$G$6,INDEX(L_Golpes!$A$2:$A$6000,$E$6+187-$G$5-1),"")))))</f>
        <v/>
      </c>
      <c r="B188" s="2"/>
      <c r="C188" s="2"/>
      <c r="D188" s="2"/>
      <c r="E188" s="2"/>
      <c r="F188" s="2"/>
      <c r="G188" s="2"/>
    </row>
    <row r="189" ht="15.75" customHeight="1">
      <c r="A189" s="2" t="str">
        <f t="array" ref="A189">IF(188&lt;=$G$2,INDEX('Golpes extras'!$A$2:$A$101,188),IF(188&lt;=$G$3,INDEX(L_Golpes!$A$2:$A$6000,$E$3+188-$G$2-1),IF(188&lt;=$G$4,INDEX(L_Golpes!$A$2:$A$6000,$E$4+188-$G$3-1),IF(188&lt;=$G$5,INDEX(L_Golpes!$A$2:$A$6000,$E$5+188-$G$4-1),IF(188&lt;=$G$6,INDEX(L_Golpes!$A$2:$A$6000,$E$6+188-$G$5-1),"")))))</f>
        <v/>
      </c>
      <c r="B189" s="2"/>
      <c r="C189" s="2"/>
      <c r="D189" s="2"/>
      <c r="E189" s="2"/>
      <c r="F189" s="2"/>
      <c r="G189" s="2"/>
    </row>
    <row r="190" ht="15.75" customHeight="1">
      <c r="A190" s="2" t="str">
        <f t="array" ref="A190">IF(189&lt;=$G$2,INDEX('Golpes extras'!$A$2:$A$101,189),IF(189&lt;=$G$3,INDEX(L_Golpes!$A$2:$A$6000,$E$3+189-$G$2-1),IF(189&lt;=$G$4,INDEX(L_Golpes!$A$2:$A$6000,$E$4+189-$G$3-1),IF(189&lt;=$G$5,INDEX(L_Golpes!$A$2:$A$6000,$E$5+189-$G$4-1),IF(189&lt;=$G$6,INDEX(L_Golpes!$A$2:$A$6000,$E$6+189-$G$5-1),"")))))</f>
        <v/>
      </c>
      <c r="B190" s="2"/>
      <c r="C190" s="2"/>
      <c r="D190" s="2"/>
      <c r="E190" s="2"/>
      <c r="F190" s="2"/>
      <c r="G190" s="2"/>
    </row>
    <row r="191" ht="15.75" customHeight="1">
      <c r="A191" s="2" t="str">
        <f t="array" ref="A191">IF(190&lt;=$G$2,INDEX('Golpes extras'!$A$2:$A$101,190),IF(190&lt;=$G$3,INDEX(L_Golpes!$A$2:$A$6000,$E$3+190-$G$2-1),IF(190&lt;=$G$4,INDEX(L_Golpes!$A$2:$A$6000,$E$4+190-$G$3-1),IF(190&lt;=$G$5,INDEX(L_Golpes!$A$2:$A$6000,$E$5+190-$G$4-1),IF(190&lt;=$G$6,INDEX(L_Golpes!$A$2:$A$6000,$E$6+190-$G$5-1),"")))))</f>
        <v/>
      </c>
      <c r="B191" s="2"/>
      <c r="C191" s="2"/>
      <c r="D191" s="2"/>
      <c r="E191" s="2"/>
      <c r="F191" s="2"/>
      <c r="G191" s="2"/>
    </row>
    <row r="192" ht="15.75" customHeight="1">
      <c r="A192" s="2" t="str">
        <f t="array" ref="A192">IF(191&lt;=$G$2,INDEX('Golpes extras'!$A$2:$A$101,191),IF(191&lt;=$G$3,INDEX(L_Golpes!$A$2:$A$6000,$E$3+191-$G$2-1),IF(191&lt;=$G$4,INDEX(L_Golpes!$A$2:$A$6000,$E$4+191-$G$3-1),IF(191&lt;=$G$5,INDEX(L_Golpes!$A$2:$A$6000,$E$5+191-$G$4-1),IF(191&lt;=$G$6,INDEX(L_Golpes!$A$2:$A$6000,$E$6+191-$G$5-1),"")))))</f>
        <v/>
      </c>
      <c r="B192" s="2"/>
      <c r="C192" s="2"/>
      <c r="D192" s="2"/>
      <c r="E192" s="2"/>
      <c r="F192" s="2"/>
      <c r="G192" s="2"/>
    </row>
    <row r="193" ht="15.75" customHeight="1">
      <c r="A193" s="2" t="str">
        <f t="array" ref="A193">IF(192&lt;=$G$2,INDEX('Golpes extras'!$A$2:$A$101,192),IF(192&lt;=$G$3,INDEX(L_Golpes!$A$2:$A$6000,$E$3+192-$G$2-1),IF(192&lt;=$G$4,INDEX(L_Golpes!$A$2:$A$6000,$E$4+192-$G$3-1),IF(192&lt;=$G$5,INDEX(L_Golpes!$A$2:$A$6000,$E$5+192-$G$4-1),IF(192&lt;=$G$6,INDEX(L_Golpes!$A$2:$A$6000,$E$6+192-$G$5-1),"")))))</f>
        <v/>
      </c>
      <c r="B193" s="2"/>
      <c r="C193" s="2"/>
      <c r="D193" s="2"/>
      <c r="E193" s="2"/>
      <c r="F193" s="2"/>
      <c r="G193" s="2"/>
    </row>
    <row r="194" ht="15.75" customHeight="1">
      <c r="A194" s="2" t="str">
        <f t="array" ref="A194">IF(193&lt;=$G$2,INDEX('Golpes extras'!$A$2:$A$101,193),IF(193&lt;=$G$3,INDEX(L_Golpes!$A$2:$A$6000,$E$3+193-$G$2-1),IF(193&lt;=$G$4,INDEX(L_Golpes!$A$2:$A$6000,$E$4+193-$G$3-1),IF(193&lt;=$G$5,INDEX(L_Golpes!$A$2:$A$6000,$E$5+193-$G$4-1),IF(193&lt;=$G$6,INDEX(L_Golpes!$A$2:$A$6000,$E$6+193-$G$5-1),"")))))</f>
        <v/>
      </c>
      <c r="B194" s="2"/>
      <c r="C194" s="2"/>
      <c r="D194" s="2"/>
      <c r="E194" s="2"/>
      <c r="F194" s="2"/>
      <c r="G194" s="2"/>
    </row>
    <row r="195" ht="15.75" customHeight="1">
      <c r="A195" s="2" t="str">
        <f t="array" ref="A195">IF(194&lt;=$G$2,INDEX('Golpes extras'!$A$2:$A$101,194),IF(194&lt;=$G$3,INDEX(L_Golpes!$A$2:$A$6000,$E$3+194-$G$2-1),IF(194&lt;=$G$4,INDEX(L_Golpes!$A$2:$A$6000,$E$4+194-$G$3-1),IF(194&lt;=$G$5,INDEX(L_Golpes!$A$2:$A$6000,$E$5+194-$G$4-1),IF(194&lt;=$G$6,INDEX(L_Golpes!$A$2:$A$6000,$E$6+194-$G$5-1),"")))))</f>
        <v/>
      </c>
      <c r="B195" s="2"/>
      <c r="C195" s="2"/>
      <c r="D195" s="2"/>
      <c r="E195" s="2"/>
      <c r="F195" s="2"/>
      <c r="G195" s="2"/>
    </row>
    <row r="196" ht="15.75" customHeight="1">
      <c r="A196" s="2" t="str">
        <f t="array" ref="A196">IF(195&lt;=$G$2,INDEX('Golpes extras'!$A$2:$A$101,195),IF(195&lt;=$G$3,INDEX(L_Golpes!$A$2:$A$6000,$E$3+195-$G$2-1),IF(195&lt;=$G$4,INDEX(L_Golpes!$A$2:$A$6000,$E$4+195-$G$3-1),IF(195&lt;=$G$5,INDEX(L_Golpes!$A$2:$A$6000,$E$5+195-$G$4-1),IF(195&lt;=$G$6,INDEX(L_Golpes!$A$2:$A$6000,$E$6+195-$G$5-1),"")))))</f>
        <v/>
      </c>
      <c r="B196" s="2"/>
      <c r="C196" s="2"/>
      <c r="D196" s="2"/>
      <c r="E196" s="2"/>
      <c r="F196" s="2"/>
      <c r="G196" s="2"/>
    </row>
    <row r="197" ht="15.75" customHeight="1">
      <c r="A197" s="2" t="str">
        <f t="array" ref="A197">IF(196&lt;=$G$2,INDEX('Golpes extras'!$A$2:$A$101,196),IF(196&lt;=$G$3,INDEX(L_Golpes!$A$2:$A$6000,$E$3+196-$G$2-1),IF(196&lt;=$G$4,INDEX(L_Golpes!$A$2:$A$6000,$E$4+196-$G$3-1),IF(196&lt;=$G$5,INDEX(L_Golpes!$A$2:$A$6000,$E$5+196-$G$4-1),IF(196&lt;=$G$6,INDEX(L_Golpes!$A$2:$A$6000,$E$6+196-$G$5-1),"")))))</f>
        <v/>
      </c>
      <c r="B197" s="2"/>
      <c r="C197" s="2"/>
      <c r="D197" s="2"/>
      <c r="E197" s="2"/>
      <c r="F197" s="2"/>
      <c r="G197" s="2"/>
    </row>
    <row r="198" ht="15.75" customHeight="1">
      <c r="A198" s="2" t="str">
        <f t="array" ref="A198">IF(197&lt;=$G$2,INDEX('Golpes extras'!$A$2:$A$101,197),IF(197&lt;=$G$3,INDEX(L_Golpes!$A$2:$A$6000,$E$3+197-$G$2-1),IF(197&lt;=$G$4,INDEX(L_Golpes!$A$2:$A$6000,$E$4+197-$G$3-1),IF(197&lt;=$G$5,INDEX(L_Golpes!$A$2:$A$6000,$E$5+197-$G$4-1),IF(197&lt;=$G$6,INDEX(L_Golpes!$A$2:$A$6000,$E$6+197-$G$5-1),"")))))</f>
        <v/>
      </c>
      <c r="B198" s="2"/>
      <c r="C198" s="2"/>
      <c r="D198" s="2"/>
      <c r="E198" s="2"/>
      <c r="F198" s="2"/>
      <c r="G198" s="2"/>
    </row>
    <row r="199" ht="15.75" customHeight="1">
      <c r="A199" s="2" t="str">
        <f t="array" ref="A199">IF(198&lt;=$G$2,INDEX('Golpes extras'!$A$2:$A$101,198),IF(198&lt;=$G$3,INDEX(L_Golpes!$A$2:$A$6000,$E$3+198-$G$2-1),IF(198&lt;=$G$4,INDEX(L_Golpes!$A$2:$A$6000,$E$4+198-$G$3-1),IF(198&lt;=$G$5,INDEX(L_Golpes!$A$2:$A$6000,$E$5+198-$G$4-1),IF(198&lt;=$G$6,INDEX(L_Golpes!$A$2:$A$6000,$E$6+198-$G$5-1),"")))))</f>
        <v/>
      </c>
      <c r="B199" s="2"/>
      <c r="C199" s="2"/>
      <c r="D199" s="2"/>
      <c r="E199" s="2"/>
      <c r="F199" s="2"/>
      <c r="G199" s="2"/>
    </row>
    <row r="200" ht="15.75" customHeight="1">
      <c r="A200" s="2" t="str">
        <f t="array" ref="A200">IF(199&lt;=$G$2,INDEX('Golpes extras'!$A$2:$A$101,199),IF(199&lt;=$G$3,INDEX(L_Golpes!$A$2:$A$6000,$E$3+199-$G$2-1),IF(199&lt;=$G$4,INDEX(L_Golpes!$A$2:$A$6000,$E$4+199-$G$3-1),IF(199&lt;=$G$5,INDEX(L_Golpes!$A$2:$A$6000,$E$5+199-$G$4-1),IF(199&lt;=$G$6,INDEX(L_Golpes!$A$2:$A$6000,$E$6+199-$G$5-1),"")))))</f>
        <v/>
      </c>
      <c r="B200" s="2"/>
      <c r="C200" s="2"/>
      <c r="D200" s="2"/>
      <c r="E200" s="2"/>
      <c r="F200" s="2"/>
      <c r="G200" s="2"/>
    </row>
    <row r="201" ht="15.75" customHeight="1">
      <c r="A201" s="2" t="str">
        <f t="array" ref="A201">IF(200&lt;=$G$2,INDEX('Golpes extras'!$A$2:$A$101,200),IF(200&lt;=$G$3,INDEX(L_Golpes!$A$2:$A$6000,$E$3+200-$G$2-1),IF(200&lt;=$G$4,INDEX(L_Golpes!$A$2:$A$6000,$E$4+200-$G$3-1),IF(200&lt;=$G$5,INDEX(L_Golpes!$A$2:$A$6000,$E$5+200-$G$4-1),IF(200&lt;=$G$6,INDEX(L_Golpes!$A$2:$A$6000,$E$6+200-$G$5-1),"")))))</f>
        <v/>
      </c>
      <c r="B201" s="2"/>
      <c r="C201" s="2"/>
      <c r="D201" s="2"/>
      <c r="E201" s="2"/>
      <c r="F201" s="2"/>
      <c r="G201" s="2"/>
    </row>
    <row r="202" ht="15.75" customHeight="1">
      <c r="A202" s="2" t="str">
        <f t="array" ref="A202">IF(201&lt;=$G$2,INDEX('Golpes extras'!$A$2:$A$101,201),IF(201&lt;=$G$3,INDEX(L_Golpes!$A$2:$A$6000,$E$3+201-$G$2-1),IF(201&lt;=$G$4,INDEX(L_Golpes!$A$2:$A$6000,$E$4+201-$G$3-1),IF(201&lt;=$G$5,INDEX(L_Golpes!$A$2:$A$6000,$E$5+201-$G$4-1),IF(201&lt;=$G$6,INDEX(L_Golpes!$A$2:$A$6000,$E$6+201-$G$5-1),"")))))</f>
        <v/>
      </c>
      <c r="B202" s="2"/>
      <c r="C202" s="2"/>
      <c r="D202" s="2"/>
      <c r="E202" s="2"/>
      <c r="F202" s="2"/>
      <c r="G202" s="2"/>
    </row>
    <row r="203" ht="15.75" customHeight="1">
      <c r="A203" s="2" t="str">
        <f t="array" ref="A203">IF(202&lt;=$G$2,INDEX('Golpes extras'!$A$2:$A$101,202),IF(202&lt;=$G$3,INDEX(L_Golpes!$A$2:$A$6000,$E$3+202-$G$2-1),IF(202&lt;=$G$4,INDEX(L_Golpes!$A$2:$A$6000,$E$4+202-$G$3-1),IF(202&lt;=$G$5,INDEX(L_Golpes!$A$2:$A$6000,$E$5+202-$G$4-1),IF(202&lt;=$G$6,INDEX(L_Golpes!$A$2:$A$6000,$E$6+202-$G$5-1),"")))))</f>
        <v/>
      </c>
      <c r="B203" s="2"/>
      <c r="C203" s="2"/>
      <c r="D203" s="2"/>
      <c r="E203" s="2"/>
      <c r="F203" s="2"/>
      <c r="G203" s="2"/>
    </row>
    <row r="204" ht="15.75" customHeight="1">
      <c r="A204" s="2" t="str">
        <f t="array" ref="A204">IF(203&lt;=$G$2,INDEX('Golpes extras'!$A$2:$A$101,203),IF(203&lt;=$G$3,INDEX(L_Golpes!$A$2:$A$6000,$E$3+203-$G$2-1),IF(203&lt;=$G$4,INDEX(L_Golpes!$A$2:$A$6000,$E$4+203-$G$3-1),IF(203&lt;=$G$5,INDEX(L_Golpes!$A$2:$A$6000,$E$5+203-$G$4-1),IF(203&lt;=$G$6,INDEX(L_Golpes!$A$2:$A$6000,$E$6+203-$G$5-1),"")))))</f>
        <v/>
      </c>
      <c r="B204" s="2"/>
      <c r="C204" s="2"/>
      <c r="D204" s="2"/>
      <c r="E204" s="2"/>
      <c r="F204" s="2"/>
      <c r="G204" s="2"/>
    </row>
    <row r="205" ht="15.75" customHeight="1">
      <c r="A205" s="2" t="str">
        <f t="array" ref="A205">IF(204&lt;=$G$2,INDEX('Golpes extras'!$A$2:$A$101,204),IF(204&lt;=$G$3,INDEX(L_Golpes!$A$2:$A$6000,$E$3+204-$G$2-1),IF(204&lt;=$G$4,INDEX(L_Golpes!$A$2:$A$6000,$E$4+204-$G$3-1),IF(204&lt;=$G$5,INDEX(L_Golpes!$A$2:$A$6000,$E$5+204-$G$4-1),IF(204&lt;=$G$6,INDEX(L_Golpes!$A$2:$A$6000,$E$6+204-$G$5-1),"")))))</f>
        <v/>
      </c>
      <c r="B205" s="2"/>
      <c r="C205" s="2"/>
      <c r="D205" s="2"/>
      <c r="E205" s="2"/>
      <c r="F205" s="2"/>
      <c r="G205" s="2"/>
    </row>
    <row r="206" ht="15.75" customHeight="1">
      <c r="A206" s="2" t="str">
        <f t="array" ref="A206">IF(205&lt;=$G$2,INDEX('Golpes extras'!$A$2:$A$101,205),IF(205&lt;=$G$3,INDEX(L_Golpes!$A$2:$A$6000,$E$3+205-$G$2-1),IF(205&lt;=$G$4,INDEX(L_Golpes!$A$2:$A$6000,$E$4+205-$G$3-1),IF(205&lt;=$G$5,INDEX(L_Golpes!$A$2:$A$6000,$E$5+205-$G$4-1),IF(205&lt;=$G$6,INDEX(L_Golpes!$A$2:$A$6000,$E$6+205-$G$5-1),"")))))</f>
        <v/>
      </c>
      <c r="B206" s="2"/>
      <c r="C206" s="2"/>
      <c r="D206" s="2"/>
      <c r="E206" s="2"/>
      <c r="F206" s="2"/>
      <c r="G206" s="2"/>
    </row>
    <row r="207" ht="15.75" customHeight="1">
      <c r="A207" s="2" t="str">
        <f t="array" ref="A207">IF(206&lt;=$G$2,INDEX('Golpes extras'!$A$2:$A$101,206),IF(206&lt;=$G$3,INDEX(L_Golpes!$A$2:$A$6000,$E$3+206-$G$2-1),IF(206&lt;=$G$4,INDEX(L_Golpes!$A$2:$A$6000,$E$4+206-$G$3-1),IF(206&lt;=$G$5,INDEX(L_Golpes!$A$2:$A$6000,$E$5+206-$G$4-1),IF(206&lt;=$G$6,INDEX(L_Golpes!$A$2:$A$6000,$E$6+206-$G$5-1),"")))))</f>
        <v/>
      </c>
      <c r="B207" s="2"/>
      <c r="C207" s="2"/>
      <c r="D207" s="2"/>
      <c r="E207" s="2"/>
      <c r="F207" s="2"/>
      <c r="G207" s="2"/>
    </row>
    <row r="208" ht="15.75" customHeight="1">
      <c r="A208" s="2" t="str">
        <f t="array" ref="A208">IF(207&lt;=$G$2,INDEX('Golpes extras'!$A$2:$A$101,207),IF(207&lt;=$G$3,INDEX(L_Golpes!$A$2:$A$6000,$E$3+207-$G$2-1),IF(207&lt;=$G$4,INDEX(L_Golpes!$A$2:$A$6000,$E$4+207-$G$3-1),IF(207&lt;=$G$5,INDEX(L_Golpes!$A$2:$A$6000,$E$5+207-$G$4-1),IF(207&lt;=$G$6,INDEX(L_Golpes!$A$2:$A$6000,$E$6+207-$G$5-1),"")))))</f>
        <v/>
      </c>
      <c r="B208" s="2"/>
      <c r="C208" s="2"/>
      <c r="D208" s="2"/>
      <c r="E208" s="2"/>
      <c r="F208" s="2"/>
      <c r="G208" s="2"/>
    </row>
    <row r="209" ht="15.75" customHeight="1">
      <c r="A209" s="2" t="str">
        <f t="array" ref="A209">IF(208&lt;=$G$2,INDEX('Golpes extras'!$A$2:$A$101,208),IF(208&lt;=$G$3,INDEX(L_Golpes!$A$2:$A$6000,$E$3+208-$G$2-1),IF(208&lt;=$G$4,INDEX(L_Golpes!$A$2:$A$6000,$E$4+208-$G$3-1),IF(208&lt;=$G$5,INDEX(L_Golpes!$A$2:$A$6000,$E$5+208-$G$4-1),IF(208&lt;=$G$6,INDEX(L_Golpes!$A$2:$A$6000,$E$6+208-$G$5-1),"")))))</f>
        <v/>
      </c>
      <c r="B209" s="2"/>
      <c r="C209" s="2"/>
      <c r="D209" s="2"/>
      <c r="E209" s="2"/>
      <c r="F209" s="2"/>
      <c r="G209" s="2"/>
    </row>
    <row r="210" ht="15.75" customHeight="1">
      <c r="A210" s="2" t="str">
        <f t="array" ref="A210">IF(209&lt;=$G$2,INDEX('Golpes extras'!$A$2:$A$101,209),IF(209&lt;=$G$3,INDEX(L_Golpes!$A$2:$A$6000,$E$3+209-$G$2-1),IF(209&lt;=$G$4,INDEX(L_Golpes!$A$2:$A$6000,$E$4+209-$G$3-1),IF(209&lt;=$G$5,INDEX(L_Golpes!$A$2:$A$6000,$E$5+209-$G$4-1),IF(209&lt;=$G$6,INDEX(L_Golpes!$A$2:$A$6000,$E$6+209-$G$5-1),"")))))</f>
        <v/>
      </c>
      <c r="B210" s="2"/>
      <c r="C210" s="2"/>
      <c r="D210" s="2"/>
      <c r="E210" s="2"/>
      <c r="F210" s="2"/>
      <c r="G210" s="2"/>
    </row>
    <row r="211" ht="15.75" customHeight="1">
      <c r="A211" s="2" t="str">
        <f t="array" ref="A211">IF(210&lt;=$G$2,INDEX('Golpes extras'!$A$2:$A$101,210),IF(210&lt;=$G$3,INDEX(L_Golpes!$A$2:$A$6000,$E$3+210-$G$2-1),IF(210&lt;=$G$4,INDEX(L_Golpes!$A$2:$A$6000,$E$4+210-$G$3-1),IF(210&lt;=$G$5,INDEX(L_Golpes!$A$2:$A$6000,$E$5+210-$G$4-1),IF(210&lt;=$G$6,INDEX(L_Golpes!$A$2:$A$6000,$E$6+210-$G$5-1),"")))))</f>
        <v/>
      </c>
      <c r="B211" s="2"/>
      <c r="C211" s="2"/>
      <c r="D211" s="2"/>
      <c r="E211" s="2"/>
      <c r="F211" s="2"/>
      <c r="G211" s="2"/>
    </row>
    <row r="212" ht="15.75" customHeight="1">
      <c r="A212" s="2" t="str">
        <f t="array" ref="A212">IF(211&lt;=$G$2,INDEX('Golpes extras'!$A$2:$A$101,211),IF(211&lt;=$G$3,INDEX(L_Golpes!$A$2:$A$6000,$E$3+211-$G$2-1),IF(211&lt;=$G$4,INDEX(L_Golpes!$A$2:$A$6000,$E$4+211-$G$3-1),IF(211&lt;=$G$5,INDEX(L_Golpes!$A$2:$A$6000,$E$5+211-$G$4-1),IF(211&lt;=$G$6,INDEX(L_Golpes!$A$2:$A$6000,$E$6+211-$G$5-1),"")))))</f>
        <v/>
      </c>
      <c r="B212" s="2"/>
      <c r="C212" s="2"/>
      <c r="D212" s="2"/>
      <c r="E212" s="2"/>
      <c r="F212" s="2"/>
      <c r="G212" s="2"/>
    </row>
    <row r="213" ht="15.75" customHeight="1">
      <c r="A213" s="2" t="str">
        <f t="array" ref="A213">IF(212&lt;=$G$2,INDEX('Golpes extras'!$A$2:$A$101,212),IF(212&lt;=$G$3,INDEX(L_Golpes!$A$2:$A$6000,$E$3+212-$G$2-1),IF(212&lt;=$G$4,INDEX(L_Golpes!$A$2:$A$6000,$E$4+212-$G$3-1),IF(212&lt;=$G$5,INDEX(L_Golpes!$A$2:$A$6000,$E$5+212-$G$4-1),IF(212&lt;=$G$6,INDEX(L_Golpes!$A$2:$A$6000,$E$6+212-$G$5-1),"")))))</f>
        <v/>
      </c>
      <c r="B213" s="2"/>
      <c r="C213" s="2"/>
      <c r="D213" s="2"/>
      <c r="E213" s="2"/>
      <c r="F213" s="2"/>
      <c r="G213" s="2"/>
    </row>
    <row r="214" ht="15.75" customHeight="1">
      <c r="A214" s="2" t="str">
        <f t="array" ref="A214">IF(213&lt;=$G$2,INDEX('Golpes extras'!$A$2:$A$101,213),IF(213&lt;=$G$3,INDEX(L_Golpes!$A$2:$A$6000,$E$3+213-$G$2-1),IF(213&lt;=$G$4,INDEX(L_Golpes!$A$2:$A$6000,$E$4+213-$G$3-1),IF(213&lt;=$G$5,INDEX(L_Golpes!$A$2:$A$6000,$E$5+213-$G$4-1),IF(213&lt;=$G$6,INDEX(L_Golpes!$A$2:$A$6000,$E$6+213-$G$5-1),"")))))</f>
        <v/>
      </c>
      <c r="B214" s="2"/>
      <c r="C214" s="2"/>
      <c r="D214" s="2"/>
      <c r="E214" s="2"/>
      <c r="F214" s="2"/>
      <c r="G214" s="2"/>
    </row>
    <row r="215" ht="15.75" customHeight="1">
      <c r="A215" s="2" t="str">
        <f t="array" ref="A215">IF(214&lt;=$G$2,INDEX('Golpes extras'!$A$2:$A$101,214),IF(214&lt;=$G$3,INDEX(L_Golpes!$A$2:$A$6000,$E$3+214-$G$2-1),IF(214&lt;=$G$4,INDEX(L_Golpes!$A$2:$A$6000,$E$4+214-$G$3-1),IF(214&lt;=$G$5,INDEX(L_Golpes!$A$2:$A$6000,$E$5+214-$G$4-1),IF(214&lt;=$G$6,INDEX(L_Golpes!$A$2:$A$6000,$E$6+214-$G$5-1),"")))))</f>
        <v/>
      </c>
      <c r="B215" s="2"/>
      <c r="C215" s="2"/>
      <c r="D215" s="2"/>
      <c r="E215" s="2"/>
      <c r="F215" s="2"/>
      <c r="G215" s="2"/>
    </row>
    <row r="216" ht="15.75" customHeight="1">
      <c r="A216" s="2" t="str">
        <f t="array" ref="A216">IF(215&lt;=$G$2,INDEX('Golpes extras'!$A$2:$A$101,215),IF(215&lt;=$G$3,INDEX(L_Golpes!$A$2:$A$6000,$E$3+215-$G$2-1),IF(215&lt;=$G$4,INDEX(L_Golpes!$A$2:$A$6000,$E$4+215-$G$3-1),IF(215&lt;=$G$5,INDEX(L_Golpes!$A$2:$A$6000,$E$5+215-$G$4-1),IF(215&lt;=$G$6,INDEX(L_Golpes!$A$2:$A$6000,$E$6+215-$G$5-1),"")))))</f>
        <v/>
      </c>
      <c r="B216" s="2"/>
      <c r="C216" s="2"/>
      <c r="D216" s="2"/>
      <c r="E216" s="2"/>
      <c r="F216" s="2"/>
      <c r="G216" s="2"/>
    </row>
    <row r="217" ht="15.75" customHeight="1">
      <c r="A217" s="2" t="str">
        <f t="array" ref="A217">IF(216&lt;=$G$2,INDEX('Golpes extras'!$A$2:$A$101,216),IF(216&lt;=$G$3,INDEX(L_Golpes!$A$2:$A$6000,$E$3+216-$G$2-1),IF(216&lt;=$G$4,INDEX(L_Golpes!$A$2:$A$6000,$E$4+216-$G$3-1),IF(216&lt;=$G$5,INDEX(L_Golpes!$A$2:$A$6000,$E$5+216-$G$4-1),IF(216&lt;=$G$6,INDEX(L_Golpes!$A$2:$A$6000,$E$6+216-$G$5-1),"")))))</f>
        <v/>
      </c>
      <c r="B217" s="2"/>
      <c r="C217" s="2"/>
      <c r="D217" s="2"/>
      <c r="E217" s="2"/>
      <c r="F217" s="2"/>
      <c r="G217" s="2"/>
    </row>
    <row r="218" ht="15.75" customHeight="1">
      <c r="A218" s="2" t="str">
        <f t="array" ref="A218">IF(217&lt;=$G$2,INDEX('Golpes extras'!$A$2:$A$101,217),IF(217&lt;=$G$3,INDEX(L_Golpes!$A$2:$A$6000,$E$3+217-$G$2-1),IF(217&lt;=$G$4,INDEX(L_Golpes!$A$2:$A$6000,$E$4+217-$G$3-1),IF(217&lt;=$G$5,INDEX(L_Golpes!$A$2:$A$6000,$E$5+217-$G$4-1),IF(217&lt;=$G$6,INDEX(L_Golpes!$A$2:$A$6000,$E$6+217-$G$5-1),"")))))</f>
        <v/>
      </c>
      <c r="B218" s="2"/>
      <c r="C218" s="2"/>
      <c r="D218" s="2"/>
      <c r="E218" s="2"/>
      <c r="F218" s="2"/>
      <c r="G218" s="2"/>
    </row>
    <row r="219" ht="15.75" customHeight="1">
      <c r="A219" s="2" t="str">
        <f t="array" ref="A219">IF(218&lt;=$G$2,INDEX('Golpes extras'!$A$2:$A$101,218),IF(218&lt;=$G$3,INDEX(L_Golpes!$A$2:$A$6000,$E$3+218-$G$2-1),IF(218&lt;=$G$4,INDEX(L_Golpes!$A$2:$A$6000,$E$4+218-$G$3-1),IF(218&lt;=$G$5,INDEX(L_Golpes!$A$2:$A$6000,$E$5+218-$G$4-1),IF(218&lt;=$G$6,INDEX(L_Golpes!$A$2:$A$6000,$E$6+218-$G$5-1),"")))))</f>
        <v/>
      </c>
      <c r="B219" s="2"/>
      <c r="C219" s="2"/>
      <c r="D219" s="2"/>
      <c r="E219" s="2"/>
      <c r="F219" s="2"/>
      <c r="G219" s="2"/>
    </row>
    <row r="220" ht="15.75" customHeight="1">
      <c r="A220" s="2" t="str">
        <f t="array" ref="A220">IF(219&lt;=$G$2,INDEX('Golpes extras'!$A$2:$A$101,219),IF(219&lt;=$G$3,INDEX(L_Golpes!$A$2:$A$6000,$E$3+219-$G$2-1),IF(219&lt;=$G$4,INDEX(L_Golpes!$A$2:$A$6000,$E$4+219-$G$3-1),IF(219&lt;=$G$5,INDEX(L_Golpes!$A$2:$A$6000,$E$5+219-$G$4-1),IF(219&lt;=$G$6,INDEX(L_Golpes!$A$2:$A$6000,$E$6+219-$G$5-1),"")))))</f>
        <v/>
      </c>
      <c r="B220" s="2"/>
      <c r="C220" s="2"/>
      <c r="D220" s="2"/>
      <c r="E220" s="2"/>
      <c r="F220" s="2"/>
      <c r="G220" s="2"/>
    </row>
    <row r="221" ht="15.75" customHeight="1">
      <c r="A221" s="2" t="str">
        <f t="array" ref="A221">IF(220&lt;=$G$2,INDEX('Golpes extras'!$A$2:$A$101,220),IF(220&lt;=$G$3,INDEX(L_Golpes!$A$2:$A$6000,$E$3+220-$G$2-1),IF(220&lt;=$G$4,INDEX(L_Golpes!$A$2:$A$6000,$E$4+220-$G$3-1),IF(220&lt;=$G$5,INDEX(L_Golpes!$A$2:$A$6000,$E$5+220-$G$4-1),IF(220&lt;=$G$6,INDEX(L_Golpes!$A$2:$A$6000,$E$6+220-$G$5-1),"")))))</f>
        <v/>
      </c>
      <c r="B221" s="2"/>
      <c r="C221" s="2"/>
      <c r="D221" s="2"/>
      <c r="E221" s="2"/>
      <c r="F221" s="2"/>
      <c r="G221" s="2"/>
    </row>
    <row r="222" ht="15.75" customHeight="1">
      <c r="A222" s="2" t="str">
        <f t="array" ref="A222">IF(221&lt;=$G$2,INDEX('Golpes extras'!$A$2:$A$101,221),IF(221&lt;=$G$3,INDEX(L_Golpes!$A$2:$A$6000,$E$3+221-$G$2-1),IF(221&lt;=$G$4,INDEX(L_Golpes!$A$2:$A$6000,$E$4+221-$G$3-1),IF(221&lt;=$G$5,INDEX(L_Golpes!$A$2:$A$6000,$E$5+221-$G$4-1),IF(221&lt;=$G$6,INDEX(L_Golpes!$A$2:$A$6000,$E$6+221-$G$5-1),"")))))</f>
        <v/>
      </c>
      <c r="B222" s="2"/>
      <c r="C222" s="2"/>
      <c r="D222" s="2"/>
      <c r="E222" s="2"/>
      <c r="F222" s="2"/>
      <c r="G222" s="2"/>
    </row>
    <row r="223" ht="15.75" customHeight="1">
      <c r="A223" s="2" t="str">
        <f t="array" ref="A223">IF(222&lt;=$G$2,INDEX('Golpes extras'!$A$2:$A$101,222),IF(222&lt;=$G$3,INDEX(L_Golpes!$A$2:$A$6000,$E$3+222-$G$2-1),IF(222&lt;=$G$4,INDEX(L_Golpes!$A$2:$A$6000,$E$4+222-$G$3-1),IF(222&lt;=$G$5,INDEX(L_Golpes!$A$2:$A$6000,$E$5+222-$G$4-1),IF(222&lt;=$G$6,INDEX(L_Golpes!$A$2:$A$6000,$E$6+222-$G$5-1),"")))))</f>
        <v/>
      </c>
      <c r="B223" s="2"/>
      <c r="C223" s="2"/>
      <c r="D223" s="2"/>
      <c r="E223" s="2"/>
      <c r="F223" s="2"/>
      <c r="G223" s="2"/>
    </row>
    <row r="224" ht="15.75" customHeight="1">
      <c r="A224" s="2" t="str">
        <f t="array" ref="A224">IF(223&lt;=$G$2,INDEX('Golpes extras'!$A$2:$A$101,223),IF(223&lt;=$G$3,INDEX(L_Golpes!$A$2:$A$6000,$E$3+223-$G$2-1),IF(223&lt;=$G$4,INDEX(L_Golpes!$A$2:$A$6000,$E$4+223-$G$3-1),IF(223&lt;=$G$5,INDEX(L_Golpes!$A$2:$A$6000,$E$5+223-$G$4-1),IF(223&lt;=$G$6,INDEX(L_Golpes!$A$2:$A$6000,$E$6+223-$G$5-1),"")))))</f>
        <v/>
      </c>
      <c r="B224" s="2"/>
      <c r="C224" s="2"/>
      <c r="D224" s="2"/>
      <c r="E224" s="2"/>
      <c r="F224" s="2"/>
      <c r="G224" s="2"/>
    </row>
    <row r="225" ht="15.75" customHeight="1">
      <c r="A225" s="2" t="str">
        <f t="array" ref="A225">IF(224&lt;=$G$2,INDEX('Golpes extras'!$A$2:$A$101,224),IF(224&lt;=$G$3,INDEX(L_Golpes!$A$2:$A$6000,$E$3+224-$G$2-1),IF(224&lt;=$G$4,INDEX(L_Golpes!$A$2:$A$6000,$E$4+224-$G$3-1),IF(224&lt;=$G$5,INDEX(L_Golpes!$A$2:$A$6000,$E$5+224-$G$4-1),IF(224&lt;=$G$6,INDEX(L_Golpes!$A$2:$A$6000,$E$6+224-$G$5-1),"")))))</f>
        <v/>
      </c>
      <c r="B225" s="2"/>
      <c r="C225" s="2"/>
      <c r="D225" s="2"/>
      <c r="E225" s="2"/>
      <c r="F225" s="2"/>
      <c r="G225" s="2"/>
    </row>
    <row r="226" ht="15.75" customHeight="1">
      <c r="A226" s="2" t="str">
        <f t="array" ref="A226">IF(225&lt;=$G$2,INDEX('Golpes extras'!$A$2:$A$101,225),IF(225&lt;=$G$3,INDEX(L_Golpes!$A$2:$A$6000,$E$3+225-$G$2-1),IF(225&lt;=$G$4,INDEX(L_Golpes!$A$2:$A$6000,$E$4+225-$G$3-1),IF(225&lt;=$G$5,INDEX(L_Golpes!$A$2:$A$6000,$E$5+225-$G$4-1),IF(225&lt;=$G$6,INDEX(L_Golpes!$A$2:$A$6000,$E$6+225-$G$5-1),"")))))</f>
        <v/>
      </c>
      <c r="B226" s="2"/>
      <c r="C226" s="2"/>
      <c r="D226" s="2"/>
      <c r="E226" s="2"/>
      <c r="F226" s="2"/>
      <c r="G226" s="2"/>
    </row>
    <row r="227" ht="15.75" customHeight="1">
      <c r="A227" s="2" t="str">
        <f t="array" ref="A227">IF(226&lt;=$G$2,INDEX('Golpes extras'!$A$2:$A$101,226),IF(226&lt;=$G$3,INDEX(L_Golpes!$A$2:$A$6000,$E$3+226-$G$2-1),IF(226&lt;=$G$4,INDEX(L_Golpes!$A$2:$A$6000,$E$4+226-$G$3-1),IF(226&lt;=$G$5,INDEX(L_Golpes!$A$2:$A$6000,$E$5+226-$G$4-1),IF(226&lt;=$G$6,INDEX(L_Golpes!$A$2:$A$6000,$E$6+226-$G$5-1),"")))))</f>
        <v/>
      </c>
      <c r="B227" s="2"/>
      <c r="C227" s="2"/>
      <c r="D227" s="2"/>
      <c r="E227" s="2"/>
      <c r="F227" s="2"/>
      <c r="G227" s="2"/>
    </row>
    <row r="228" ht="15.75" customHeight="1">
      <c r="A228" s="2" t="str">
        <f t="array" ref="A228">IF(227&lt;=$G$2,INDEX('Golpes extras'!$A$2:$A$101,227),IF(227&lt;=$G$3,INDEX(L_Golpes!$A$2:$A$6000,$E$3+227-$G$2-1),IF(227&lt;=$G$4,INDEX(L_Golpes!$A$2:$A$6000,$E$4+227-$G$3-1),IF(227&lt;=$G$5,INDEX(L_Golpes!$A$2:$A$6000,$E$5+227-$G$4-1),IF(227&lt;=$G$6,INDEX(L_Golpes!$A$2:$A$6000,$E$6+227-$G$5-1),"")))))</f>
        <v/>
      </c>
      <c r="B228" s="2"/>
      <c r="C228" s="2"/>
      <c r="D228" s="2"/>
      <c r="E228" s="2"/>
      <c r="F228" s="2"/>
      <c r="G228" s="2"/>
    </row>
    <row r="229" ht="15.75" customHeight="1">
      <c r="A229" s="2" t="str">
        <f t="array" ref="A229">IF(228&lt;=$G$2,INDEX('Golpes extras'!$A$2:$A$101,228),IF(228&lt;=$G$3,INDEX(L_Golpes!$A$2:$A$6000,$E$3+228-$G$2-1),IF(228&lt;=$G$4,INDEX(L_Golpes!$A$2:$A$6000,$E$4+228-$G$3-1),IF(228&lt;=$G$5,INDEX(L_Golpes!$A$2:$A$6000,$E$5+228-$G$4-1),IF(228&lt;=$G$6,INDEX(L_Golpes!$A$2:$A$6000,$E$6+228-$G$5-1),"")))))</f>
        <v/>
      </c>
      <c r="B229" s="2"/>
      <c r="C229" s="2"/>
      <c r="D229" s="2"/>
      <c r="E229" s="2"/>
      <c r="F229" s="2"/>
      <c r="G229" s="2"/>
    </row>
    <row r="230" ht="15.75" customHeight="1">
      <c r="A230" s="2" t="str">
        <f t="array" ref="A230">IF(229&lt;=$G$2,INDEX('Golpes extras'!$A$2:$A$101,229),IF(229&lt;=$G$3,INDEX(L_Golpes!$A$2:$A$6000,$E$3+229-$G$2-1),IF(229&lt;=$G$4,INDEX(L_Golpes!$A$2:$A$6000,$E$4+229-$G$3-1),IF(229&lt;=$G$5,INDEX(L_Golpes!$A$2:$A$6000,$E$5+229-$G$4-1),IF(229&lt;=$G$6,INDEX(L_Golpes!$A$2:$A$6000,$E$6+229-$G$5-1),"")))))</f>
        <v/>
      </c>
      <c r="B230" s="2"/>
      <c r="C230" s="2"/>
      <c r="D230" s="2"/>
      <c r="E230" s="2"/>
      <c r="F230" s="2"/>
      <c r="G230" s="2"/>
    </row>
    <row r="231" ht="15.75" customHeight="1">
      <c r="A231" s="2" t="str">
        <f t="array" ref="A231">IF(230&lt;=$G$2,INDEX('Golpes extras'!$A$2:$A$101,230),IF(230&lt;=$G$3,INDEX(L_Golpes!$A$2:$A$6000,$E$3+230-$G$2-1),IF(230&lt;=$G$4,INDEX(L_Golpes!$A$2:$A$6000,$E$4+230-$G$3-1),IF(230&lt;=$G$5,INDEX(L_Golpes!$A$2:$A$6000,$E$5+230-$G$4-1),IF(230&lt;=$G$6,INDEX(L_Golpes!$A$2:$A$6000,$E$6+230-$G$5-1),"")))))</f>
        <v/>
      </c>
      <c r="B231" s="2"/>
      <c r="C231" s="2"/>
      <c r="D231" s="2"/>
      <c r="E231" s="2"/>
      <c r="F231" s="2"/>
      <c r="G231" s="2"/>
    </row>
    <row r="232" ht="15.75" customHeight="1">
      <c r="A232" s="2" t="str">
        <f t="array" ref="A232">IF(231&lt;=$G$2,INDEX('Golpes extras'!$A$2:$A$101,231),IF(231&lt;=$G$3,INDEX(L_Golpes!$A$2:$A$6000,$E$3+231-$G$2-1),IF(231&lt;=$G$4,INDEX(L_Golpes!$A$2:$A$6000,$E$4+231-$G$3-1),IF(231&lt;=$G$5,INDEX(L_Golpes!$A$2:$A$6000,$E$5+231-$G$4-1),IF(231&lt;=$G$6,INDEX(L_Golpes!$A$2:$A$6000,$E$6+231-$G$5-1),"")))))</f>
        <v/>
      </c>
      <c r="B232" s="2"/>
      <c r="C232" s="2"/>
      <c r="D232" s="2"/>
      <c r="E232" s="2"/>
      <c r="F232" s="2"/>
      <c r="G232" s="2"/>
    </row>
    <row r="233" ht="15.75" customHeight="1">
      <c r="A233" s="2" t="str">
        <f t="array" ref="A233">IF(232&lt;=$G$2,INDEX('Golpes extras'!$A$2:$A$101,232),IF(232&lt;=$G$3,INDEX(L_Golpes!$A$2:$A$6000,$E$3+232-$G$2-1),IF(232&lt;=$G$4,INDEX(L_Golpes!$A$2:$A$6000,$E$4+232-$G$3-1),IF(232&lt;=$G$5,INDEX(L_Golpes!$A$2:$A$6000,$E$5+232-$G$4-1),IF(232&lt;=$G$6,INDEX(L_Golpes!$A$2:$A$6000,$E$6+232-$G$5-1),"")))))</f>
        <v/>
      </c>
      <c r="B233" s="2"/>
      <c r="C233" s="2"/>
      <c r="D233" s="2"/>
      <c r="E233" s="2"/>
      <c r="F233" s="2"/>
      <c r="G233" s="2"/>
    </row>
    <row r="234" ht="15.75" customHeight="1">
      <c r="A234" s="2" t="str">
        <f t="array" ref="A234">IF(233&lt;=$G$2,INDEX('Golpes extras'!$A$2:$A$101,233),IF(233&lt;=$G$3,INDEX(L_Golpes!$A$2:$A$6000,$E$3+233-$G$2-1),IF(233&lt;=$G$4,INDEX(L_Golpes!$A$2:$A$6000,$E$4+233-$G$3-1),IF(233&lt;=$G$5,INDEX(L_Golpes!$A$2:$A$6000,$E$5+233-$G$4-1),IF(233&lt;=$G$6,INDEX(L_Golpes!$A$2:$A$6000,$E$6+233-$G$5-1),"")))))</f>
        <v/>
      </c>
      <c r="B234" s="2"/>
      <c r="C234" s="2"/>
      <c r="D234" s="2"/>
      <c r="E234" s="2"/>
      <c r="F234" s="2"/>
      <c r="G234" s="2"/>
    </row>
    <row r="235" ht="15.75" customHeight="1">
      <c r="A235" s="2" t="str">
        <f t="array" ref="A235">IF(234&lt;=$G$2,INDEX('Golpes extras'!$A$2:$A$101,234),IF(234&lt;=$G$3,INDEX(L_Golpes!$A$2:$A$6000,$E$3+234-$G$2-1),IF(234&lt;=$G$4,INDEX(L_Golpes!$A$2:$A$6000,$E$4+234-$G$3-1),IF(234&lt;=$G$5,INDEX(L_Golpes!$A$2:$A$6000,$E$5+234-$G$4-1),IF(234&lt;=$G$6,INDEX(L_Golpes!$A$2:$A$6000,$E$6+234-$G$5-1),"")))))</f>
        <v/>
      </c>
      <c r="B235" s="2"/>
      <c r="C235" s="2"/>
      <c r="D235" s="2"/>
      <c r="E235" s="2"/>
      <c r="F235" s="2"/>
      <c r="G235" s="2"/>
    </row>
    <row r="236" ht="15.75" customHeight="1">
      <c r="A236" s="2" t="str">
        <f t="array" ref="A236">IF(235&lt;=$G$2,INDEX('Golpes extras'!$A$2:$A$101,235),IF(235&lt;=$G$3,INDEX(L_Golpes!$A$2:$A$6000,$E$3+235-$G$2-1),IF(235&lt;=$G$4,INDEX(L_Golpes!$A$2:$A$6000,$E$4+235-$G$3-1),IF(235&lt;=$G$5,INDEX(L_Golpes!$A$2:$A$6000,$E$5+235-$G$4-1),IF(235&lt;=$G$6,INDEX(L_Golpes!$A$2:$A$6000,$E$6+235-$G$5-1),"")))))</f>
        <v/>
      </c>
      <c r="B236" s="2"/>
      <c r="C236" s="2"/>
      <c r="D236" s="2"/>
      <c r="E236" s="2"/>
      <c r="F236" s="2"/>
      <c r="G236" s="2"/>
    </row>
    <row r="237" ht="15.75" customHeight="1">
      <c r="A237" s="2" t="str">
        <f t="array" ref="A237">IF(236&lt;=$G$2,INDEX('Golpes extras'!$A$2:$A$101,236),IF(236&lt;=$G$3,INDEX(L_Golpes!$A$2:$A$6000,$E$3+236-$G$2-1),IF(236&lt;=$G$4,INDEX(L_Golpes!$A$2:$A$6000,$E$4+236-$G$3-1),IF(236&lt;=$G$5,INDEX(L_Golpes!$A$2:$A$6000,$E$5+236-$G$4-1),IF(236&lt;=$G$6,INDEX(L_Golpes!$A$2:$A$6000,$E$6+236-$G$5-1),"")))))</f>
        <v/>
      </c>
      <c r="B237" s="2"/>
      <c r="C237" s="2"/>
      <c r="D237" s="2"/>
      <c r="E237" s="2"/>
      <c r="F237" s="2"/>
      <c r="G237" s="2"/>
    </row>
    <row r="238" ht="15.75" customHeight="1">
      <c r="A238" s="2" t="str">
        <f t="array" ref="A238">IF(237&lt;=$G$2,INDEX('Golpes extras'!$A$2:$A$101,237),IF(237&lt;=$G$3,INDEX(L_Golpes!$A$2:$A$6000,$E$3+237-$G$2-1),IF(237&lt;=$G$4,INDEX(L_Golpes!$A$2:$A$6000,$E$4+237-$G$3-1),IF(237&lt;=$G$5,INDEX(L_Golpes!$A$2:$A$6000,$E$5+237-$G$4-1),IF(237&lt;=$G$6,INDEX(L_Golpes!$A$2:$A$6000,$E$6+237-$G$5-1),"")))))</f>
        <v/>
      </c>
      <c r="B238" s="2"/>
      <c r="C238" s="2"/>
      <c r="D238" s="2"/>
      <c r="E238" s="2"/>
      <c r="F238" s="2"/>
      <c r="G238" s="2"/>
    </row>
    <row r="239" ht="15.75" customHeight="1">
      <c r="A239" s="2" t="str">
        <f t="array" ref="A239">IF(238&lt;=$G$2,INDEX('Golpes extras'!$A$2:$A$101,238),IF(238&lt;=$G$3,INDEX(L_Golpes!$A$2:$A$6000,$E$3+238-$G$2-1),IF(238&lt;=$G$4,INDEX(L_Golpes!$A$2:$A$6000,$E$4+238-$G$3-1),IF(238&lt;=$G$5,INDEX(L_Golpes!$A$2:$A$6000,$E$5+238-$G$4-1),IF(238&lt;=$G$6,INDEX(L_Golpes!$A$2:$A$6000,$E$6+238-$G$5-1),"")))))</f>
        <v/>
      </c>
      <c r="B239" s="2"/>
      <c r="C239" s="2"/>
      <c r="D239" s="2"/>
      <c r="E239" s="2"/>
      <c r="F239" s="2"/>
      <c r="G239" s="2"/>
    </row>
    <row r="240" ht="15.75" customHeight="1">
      <c r="A240" s="2" t="str">
        <f t="array" ref="A240">IF(239&lt;=$G$2,INDEX('Golpes extras'!$A$2:$A$101,239),IF(239&lt;=$G$3,INDEX(L_Golpes!$A$2:$A$6000,$E$3+239-$G$2-1),IF(239&lt;=$G$4,INDEX(L_Golpes!$A$2:$A$6000,$E$4+239-$G$3-1),IF(239&lt;=$G$5,INDEX(L_Golpes!$A$2:$A$6000,$E$5+239-$G$4-1),IF(239&lt;=$G$6,INDEX(L_Golpes!$A$2:$A$6000,$E$6+239-$G$5-1),"")))))</f>
        <v/>
      </c>
      <c r="B240" s="2"/>
      <c r="C240" s="2"/>
      <c r="D240" s="2"/>
      <c r="E240" s="2"/>
      <c r="F240" s="2"/>
      <c r="G240" s="2"/>
    </row>
    <row r="241" ht="15.75" customHeight="1">
      <c r="A241" s="2" t="str">
        <f t="array" ref="A241">IF(240&lt;=$G$2,INDEX('Golpes extras'!$A$2:$A$101,240),IF(240&lt;=$G$3,INDEX(L_Golpes!$A$2:$A$6000,$E$3+240-$G$2-1),IF(240&lt;=$G$4,INDEX(L_Golpes!$A$2:$A$6000,$E$4+240-$G$3-1),IF(240&lt;=$G$5,INDEX(L_Golpes!$A$2:$A$6000,$E$5+240-$G$4-1),IF(240&lt;=$G$6,INDEX(L_Golpes!$A$2:$A$6000,$E$6+240-$G$5-1),"")))))</f>
        <v/>
      </c>
      <c r="B241" s="2"/>
      <c r="C241" s="2"/>
      <c r="D241" s="2"/>
      <c r="E241" s="2"/>
      <c r="F241" s="2"/>
      <c r="G241" s="2"/>
    </row>
    <row r="242" ht="15.75" customHeight="1">
      <c r="A242" s="2" t="str">
        <f t="array" ref="A242">IF(241&lt;=$G$2,INDEX('Golpes extras'!$A$2:$A$101,241),IF(241&lt;=$G$3,INDEX(L_Golpes!$A$2:$A$6000,$E$3+241-$G$2-1),IF(241&lt;=$G$4,INDEX(L_Golpes!$A$2:$A$6000,$E$4+241-$G$3-1),IF(241&lt;=$G$5,INDEX(L_Golpes!$A$2:$A$6000,$E$5+241-$G$4-1),IF(241&lt;=$G$6,INDEX(L_Golpes!$A$2:$A$6000,$E$6+241-$G$5-1),"")))))</f>
        <v/>
      </c>
      <c r="B242" s="2"/>
      <c r="C242" s="2"/>
      <c r="D242" s="2"/>
      <c r="E242" s="2"/>
      <c r="F242" s="2"/>
      <c r="G242" s="2"/>
    </row>
    <row r="243" ht="15.75" customHeight="1">
      <c r="A243" s="2" t="str">
        <f t="array" ref="A243">IF(242&lt;=$G$2,INDEX('Golpes extras'!$A$2:$A$101,242),IF(242&lt;=$G$3,INDEX(L_Golpes!$A$2:$A$6000,$E$3+242-$G$2-1),IF(242&lt;=$G$4,INDEX(L_Golpes!$A$2:$A$6000,$E$4+242-$G$3-1),IF(242&lt;=$G$5,INDEX(L_Golpes!$A$2:$A$6000,$E$5+242-$G$4-1),IF(242&lt;=$G$6,INDEX(L_Golpes!$A$2:$A$6000,$E$6+242-$G$5-1),"")))))</f>
        <v/>
      </c>
      <c r="B243" s="2"/>
      <c r="C243" s="2"/>
      <c r="D243" s="2"/>
      <c r="E243" s="2"/>
      <c r="F243" s="2"/>
      <c r="G243" s="2"/>
    </row>
    <row r="244" ht="15.75" customHeight="1">
      <c r="A244" s="2" t="str">
        <f t="array" ref="A244">IF(243&lt;=$G$2,INDEX('Golpes extras'!$A$2:$A$101,243),IF(243&lt;=$G$3,INDEX(L_Golpes!$A$2:$A$6000,$E$3+243-$G$2-1),IF(243&lt;=$G$4,INDEX(L_Golpes!$A$2:$A$6000,$E$4+243-$G$3-1),IF(243&lt;=$G$5,INDEX(L_Golpes!$A$2:$A$6000,$E$5+243-$G$4-1),IF(243&lt;=$G$6,INDEX(L_Golpes!$A$2:$A$6000,$E$6+243-$G$5-1),"")))))</f>
        <v/>
      </c>
      <c r="B244" s="2"/>
      <c r="C244" s="2"/>
      <c r="D244" s="2"/>
      <c r="E244" s="2"/>
      <c r="F244" s="2"/>
      <c r="G244" s="2"/>
    </row>
    <row r="245" ht="15.75" customHeight="1">
      <c r="A245" s="2" t="str">
        <f t="array" ref="A245">IF(244&lt;=$G$2,INDEX('Golpes extras'!$A$2:$A$101,244),IF(244&lt;=$G$3,INDEX(L_Golpes!$A$2:$A$6000,$E$3+244-$G$2-1),IF(244&lt;=$G$4,INDEX(L_Golpes!$A$2:$A$6000,$E$4+244-$G$3-1),IF(244&lt;=$G$5,INDEX(L_Golpes!$A$2:$A$6000,$E$5+244-$G$4-1),IF(244&lt;=$G$6,INDEX(L_Golpes!$A$2:$A$6000,$E$6+244-$G$5-1),"")))))</f>
        <v/>
      </c>
      <c r="B245" s="2"/>
      <c r="C245" s="2"/>
      <c r="D245" s="2"/>
      <c r="E245" s="2"/>
      <c r="F245" s="2"/>
      <c r="G245" s="2"/>
    </row>
    <row r="246" ht="15.75" customHeight="1">
      <c r="A246" s="2" t="str">
        <f t="array" ref="A246">IF(245&lt;=$G$2,INDEX('Golpes extras'!$A$2:$A$101,245),IF(245&lt;=$G$3,INDEX(L_Golpes!$A$2:$A$6000,$E$3+245-$G$2-1),IF(245&lt;=$G$4,INDEX(L_Golpes!$A$2:$A$6000,$E$4+245-$G$3-1),IF(245&lt;=$G$5,INDEX(L_Golpes!$A$2:$A$6000,$E$5+245-$G$4-1),IF(245&lt;=$G$6,INDEX(L_Golpes!$A$2:$A$6000,$E$6+245-$G$5-1),"")))))</f>
        <v/>
      </c>
      <c r="B246" s="2"/>
      <c r="C246" s="2"/>
      <c r="D246" s="2"/>
      <c r="E246" s="2"/>
      <c r="F246" s="2"/>
      <c r="G246" s="2"/>
    </row>
    <row r="247" ht="15.75" customHeight="1">
      <c r="A247" s="2" t="str">
        <f t="array" ref="A247">IF(246&lt;=$G$2,INDEX('Golpes extras'!$A$2:$A$101,246),IF(246&lt;=$G$3,INDEX(L_Golpes!$A$2:$A$6000,$E$3+246-$G$2-1),IF(246&lt;=$G$4,INDEX(L_Golpes!$A$2:$A$6000,$E$4+246-$G$3-1),IF(246&lt;=$G$5,INDEX(L_Golpes!$A$2:$A$6000,$E$5+246-$G$4-1),IF(246&lt;=$G$6,INDEX(L_Golpes!$A$2:$A$6000,$E$6+246-$G$5-1),"")))))</f>
        <v/>
      </c>
      <c r="B247" s="2"/>
      <c r="C247" s="2"/>
      <c r="D247" s="2"/>
      <c r="E247" s="2"/>
      <c r="F247" s="2"/>
      <c r="G247" s="2"/>
    </row>
    <row r="248" ht="15.75" customHeight="1">
      <c r="A248" s="2" t="str">
        <f t="array" ref="A248">IF(247&lt;=$G$2,INDEX('Golpes extras'!$A$2:$A$101,247),IF(247&lt;=$G$3,INDEX(L_Golpes!$A$2:$A$6000,$E$3+247-$G$2-1),IF(247&lt;=$G$4,INDEX(L_Golpes!$A$2:$A$6000,$E$4+247-$G$3-1),IF(247&lt;=$G$5,INDEX(L_Golpes!$A$2:$A$6000,$E$5+247-$G$4-1),IF(247&lt;=$G$6,INDEX(L_Golpes!$A$2:$A$6000,$E$6+247-$G$5-1),"")))))</f>
        <v/>
      </c>
      <c r="B248" s="2"/>
      <c r="C248" s="2"/>
      <c r="D248" s="2"/>
      <c r="E248" s="2"/>
      <c r="F248" s="2"/>
      <c r="G248" s="2"/>
    </row>
    <row r="249" ht="15.75" customHeight="1">
      <c r="A249" s="2" t="str">
        <f t="array" ref="A249">IF(248&lt;=$G$2,INDEX('Golpes extras'!$A$2:$A$101,248),IF(248&lt;=$G$3,INDEX(L_Golpes!$A$2:$A$6000,$E$3+248-$G$2-1),IF(248&lt;=$G$4,INDEX(L_Golpes!$A$2:$A$6000,$E$4+248-$G$3-1),IF(248&lt;=$G$5,INDEX(L_Golpes!$A$2:$A$6000,$E$5+248-$G$4-1),IF(248&lt;=$G$6,INDEX(L_Golpes!$A$2:$A$6000,$E$6+248-$G$5-1),"")))))</f>
        <v/>
      </c>
      <c r="B249" s="2"/>
      <c r="C249" s="2"/>
      <c r="D249" s="2"/>
      <c r="E249" s="2"/>
      <c r="F249" s="2"/>
      <c r="G249" s="2"/>
    </row>
    <row r="250" ht="15.75" customHeight="1">
      <c r="A250" s="2" t="str">
        <f t="array" ref="A250">IF(249&lt;=$G$2,INDEX('Golpes extras'!$A$2:$A$101,249),IF(249&lt;=$G$3,INDEX(L_Golpes!$A$2:$A$6000,$E$3+249-$G$2-1),IF(249&lt;=$G$4,INDEX(L_Golpes!$A$2:$A$6000,$E$4+249-$G$3-1),IF(249&lt;=$G$5,INDEX(L_Golpes!$A$2:$A$6000,$E$5+249-$G$4-1),IF(249&lt;=$G$6,INDEX(L_Golpes!$A$2:$A$6000,$E$6+249-$G$5-1),"")))))</f>
        <v/>
      </c>
      <c r="B250" s="2"/>
      <c r="C250" s="2"/>
      <c r="D250" s="2"/>
      <c r="E250" s="2"/>
      <c r="F250" s="2"/>
      <c r="G250" s="2"/>
    </row>
    <row r="251" ht="15.75" customHeight="1">
      <c r="A251" s="2" t="str">
        <f t="array" ref="A251">IF(250&lt;=$G$2,INDEX('Golpes extras'!$A$2:$A$101,250),IF(250&lt;=$G$3,INDEX(L_Golpes!$A$2:$A$6000,$E$3+250-$G$2-1),IF(250&lt;=$G$4,INDEX(L_Golpes!$A$2:$A$6000,$E$4+250-$G$3-1),IF(250&lt;=$G$5,INDEX(L_Golpes!$A$2:$A$6000,$E$5+250-$G$4-1),IF(250&lt;=$G$6,INDEX(L_Golpes!$A$2:$A$6000,$E$6+250-$G$5-1),"")))))</f>
        <v/>
      </c>
      <c r="B251" s="2"/>
      <c r="C251" s="2"/>
      <c r="D251" s="2"/>
      <c r="E251" s="2"/>
      <c r="F251" s="2"/>
      <c r="G251" s="2"/>
    </row>
    <row r="252" ht="15.75" customHeight="1">
      <c r="A252" s="2" t="str">
        <f t="array" ref="A252">IF(251&lt;=$G$2,INDEX('Golpes extras'!$A$2:$A$101,251),IF(251&lt;=$G$3,INDEX(L_Golpes!$A$2:$A$6000,$E$3+251-$G$2-1),IF(251&lt;=$G$4,INDEX(L_Golpes!$A$2:$A$6000,$E$4+251-$G$3-1),IF(251&lt;=$G$5,INDEX(L_Golpes!$A$2:$A$6000,$E$5+251-$G$4-1),IF(251&lt;=$G$6,INDEX(L_Golpes!$A$2:$A$6000,$E$6+251-$G$5-1),"")))))</f>
        <v/>
      </c>
      <c r="B252" s="2"/>
      <c r="C252" s="2"/>
      <c r="D252" s="2"/>
      <c r="E252" s="2"/>
      <c r="F252" s="2"/>
      <c r="G252" s="2"/>
    </row>
    <row r="253" ht="15.75" customHeight="1">
      <c r="A253" s="2" t="str">
        <f t="array" ref="A253">IF(252&lt;=$G$2,INDEX('Golpes extras'!$A$2:$A$101,252),IF(252&lt;=$G$3,INDEX(L_Golpes!$A$2:$A$6000,$E$3+252-$G$2-1),IF(252&lt;=$G$4,INDEX(L_Golpes!$A$2:$A$6000,$E$4+252-$G$3-1),IF(252&lt;=$G$5,INDEX(L_Golpes!$A$2:$A$6000,$E$5+252-$G$4-1),IF(252&lt;=$G$6,INDEX(L_Golpes!$A$2:$A$6000,$E$6+252-$G$5-1),"")))))</f>
        <v/>
      </c>
      <c r="B253" s="2"/>
      <c r="C253" s="2"/>
      <c r="D253" s="2"/>
      <c r="E253" s="2"/>
      <c r="F253" s="2"/>
      <c r="G253" s="2"/>
    </row>
    <row r="254" ht="15.75" customHeight="1">
      <c r="A254" s="2" t="str">
        <f t="array" ref="A254">IF(253&lt;=$G$2,INDEX('Golpes extras'!$A$2:$A$101,253),IF(253&lt;=$G$3,INDEX(L_Golpes!$A$2:$A$6000,$E$3+253-$G$2-1),IF(253&lt;=$G$4,INDEX(L_Golpes!$A$2:$A$6000,$E$4+253-$G$3-1),IF(253&lt;=$G$5,INDEX(L_Golpes!$A$2:$A$6000,$E$5+253-$G$4-1),IF(253&lt;=$G$6,INDEX(L_Golpes!$A$2:$A$6000,$E$6+253-$G$5-1),"")))))</f>
        <v/>
      </c>
      <c r="B254" s="2"/>
      <c r="C254" s="2"/>
      <c r="D254" s="2"/>
      <c r="E254" s="2"/>
      <c r="F254" s="2"/>
      <c r="G254" s="2"/>
    </row>
    <row r="255" ht="15.75" customHeight="1">
      <c r="A255" s="2" t="str">
        <f t="array" ref="A255">IF(254&lt;=$G$2,INDEX('Golpes extras'!$A$2:$A$101,254),IF(254&lt;=$G$3,INDEX(L_Golpes!$A$2:$A$6000,$E$3+254-$G$2-1),IF(254&lt;=$G$4,INDEX(L_Golpes!$A$2:$A$6000,$E$4+254-$G$3-1),IF(254&lt;=$G$5,INDEX(L_Golpes!$A$2:$A$6000,$E$5+254-$G$4-1),IF(254&lt;=$G$6,INDEX(L_Golpes!$A$2:$A$6000,$E$6+254-$G$5-1),"")))))</f>
        <v/>
      </c>
      <c r="B255" s="2"/>
      <c r="C255" s="2"/>
      <c r="D255" s="2"/>
      <c r="E255" s="2"/>
      <c r="F255" s="2"/>
      <c r="G255" s="2"/>
    </row>
    <row r="256" ht="15.75" customHeight="1">
      <c r="A256" s="2" t="str">
        <f t="array" ref="A256">IF(255&lt;=$G$2,INDEX('Golpes extras'!$A$2:$A$101,255),IF(255&lt;=$G$3,INDEX(L_Golpes!$A$2:$A$6000,$E$3+255-$G$2-1),IF(255&lt;=$G$4,INDEX(L_Golpes!$A$2:$A$6000,$E$4+255-$G$3-1),IF(255&lt;=$G$5,INDEX(L_Golpes!$A$2:$A$6000,$E$5+255-$G$4-1),IF(255&lt;=$G$6,INDEX(L_Golpes!$A$2:$A$6000,$E$6+255-$G$5-1),"")))))</f>
        <v/>
      </c>
      <c r="B256" s="2"/>
      <c r="C256" s="2"/>
      <c r="D256" s="2"/>
      <c r="E256" s="2"/>
      <c r="F256" s="2"/>
      <c r="G256" s="2"/>
    </row>
    <row r="257" ht="15.75" customHeight="1">
      <c r="A257" s="2" t="str">
        <f t="array" ref="A257">IF(256&lt;=$G$2,INDEX('Golpes extras'!$A$2:$A$101,256),IF(256&lt;=$G$3,INDEX(L_Golpes!$A$2:$A$6000,$E$3+256-$G$2-1),IF(256&lt;=$G$4,INDEX(L_Golpes!$A$2:$A$6000,$E$4+256-$G$3-1),IF(256&lt;=$G$5,INDEX(L_Golpes!$A$2:$A$6000,$E$5+256-$G$4-1),IF(256&lt;=$G$6,INDEX(L_Golpes!$A$2:$A$6000,$E$6+256-$G$5-1),"")))))</f>
        <v/>
      </c>
      <c r="B257" s="2"/>
      <c r="C257" s="2"/>
      <c r="D257" s="2"/>
      <c r="E257" s="2"/>
      <c r="F257" s="2"/>
      <c r="G257" s="2"/>
    </row>
    <row r="258" ht="15.75" customHeight="1">
      <c r="A258" s="2" t="str">
        <f t="array" ref="A258">IF(257&lt;=$G$2,INDEX('Golpes extras'!$A$2:$A$101,257),IF(257&lt;=$G$3,INDEX(L_Golpes!$A$2:$A$6000,$E$3+257-$G$2-1),IF(257&lt;=$G$4,INDEX(L_Golpes!$A$2:$A$6000,$E$4+257-$G$3-1),IF(257&lt;=$G$5,INDEX(L_Golpes!$A$2:$A$6000,$E$5+257-$G$4-1),IF(257&lt;=$G$6,INDEX(L_Golpes!$A$2:$A$6000,$E$6+257-$G$5-1),"")))))</f>
        <v/>
      </c>
      <c r="B258" s="2"/>
      <c r="C258" s="2"/>
      <c r="D258" s="2"/>
      <c r="E258" s="2"/>
      <c r="F258" s="2"/>
      <c r="G258" s="2"/>
    </row>
    <row r="259" ht="15.75" customHeight="1">
      <c r="A259" s="2" t="str">
        <f t="array" ref="A259">IF(258&lt;=$G$2,INDEX('Golpes extras'!$A$2:$A$101,258),IF(258&lt;=$G$3,INDEX(L_Golpes!$A$2:$A$6000,$E$3+258-$G$2-1),IF(258&lt;=$G$4,INDEX(L_Golpes!$A$2:$A$6000,$E$4+258-$G$3-1),IF(258&lt;=$G$5,INDEX(L_Golpes!$A$2:$A$6000,$E$5+258-$G$4-1),IF(258&lt;=$G$6,INDEX(L_Golpes!$A$2:$A$6000,$E$6+258-$G$5-1),"")))))</f>
        <v/>
      </c>
      <c r="B259" s="2"/>
      <c r="C259" s="2"/>
      <c r="D259" s="2"/>
      <c r="E259" s="2"/>
      <c r="F259" s="2"/>
      <c r="G259" s="2"/>
    </row>
    <row r="260" ht="15.75" customHeight="1">
      <c r="A260" s="2" t="str">
        <f t="array" ref="A260">IF(259&lt;=$G$2,INDEX('Golpes extras'!$A$2:$A$101,259),IF(259&lt;=$G$3,INDEX(L_Golpes!$A$2:$A$6000,$E$3+259-$G$2-1),IF(259&lt;=$G$4,INDEX(L_Golpes!$A$2:$A$6000,$E$4+259-$G$3-1),IF(259&lt;=$G$5,INDEX(L_Golpes!$A$2:$A$6000,$E$5+259-$G$4-1),IF(259&lt;=$G$6,INDEX(L_Golpes!$A$2:$A$6000,$E$6+259-$G$5-1),"")))))</f>
        <v/>
      </c>
      <c r="B260" s="2"/>
      <c r="C260" s="2"/>
      <c r="D260" s="2"/>
      <c r="E260" s="2"/>
      <c r="F260" s="2"/>
      <c r="G260" s="2"/>
    </row>
    <row r="261" ht="15.75" customHeight="1">
      <c r="A261" s="2" t="str">
        <f t="array" ref="A261">IF(260&lt;=$G$2,INDEX('Golpes extras'!$A$2:$A$101,260),IF(260&lt;=$G$3,INDEX(L_Golpes!$A$2:$A$6000,$E$3+260-$G$2-1),IF(260&lt;=$G$4,INDEX(L_Golpes!$A$2:$A$6000,$E$4+260-$G$3-1),IF(260&lt;=$G$5,INDEX(L_Golpes!$A$2:$A$6000,$E$5+260-$G$4-1),IF(260&lt;=$G$6,INDEX(L_Golpes!$A$2:$A$6000,$E$6+260-$G$5-1),"")))))</f>
        <v/>
      </c>
      <c r="B261" s="2"/>
      <c r="C261" s="2"/>
      <c r="D261" s="2"/>
      <c r="E261" s="2"/>
      <c r="F261" s="2"/>
      <c r="G261" s="2"/>
    </row>
    <row r="262" ht="15.75" customHeight="1">
      <c r="A262" s="2" t="str">
        <f t="array" ref="A262">IF(261&lt;=$G$2,INDEX('Golpes extras'!$A$2:$A$101,261),IF(261&lt;=$G$3,INDEX(L_Golpes!$A$2:$A$6000,$E$3+261-$G$2-1),IF(261&lt;=$G$4,INDEX(L_Golpes!$A$2:$A$6000,$E$4+261-$G$3-1),IF(261&lt;=$G$5,INDEX(L_Golpes!$A$2:$A$6000,$E$5+261-$G$4-1),IF(261&lt;=$G$6,INDEX(L_Golpes!$A$2:$A$6000,$E$6+261-$G$5-1),"")))))</f>
        <v/>
      </c>
      <c r="B262" s="2"/>
      <c r="C262" s="2"/>
      <c r="D262" s="2"/>
      <c r="E262" s="2"/>
      <c r="F262" s="2"/>
      <c r="G262" s="2"/>
    </row>
    <row r="263" ht="15.75" customHeight="1">
      <c r="A263" s="2" t="str">
        <f t="array" ref="A263">IF(262&lt;=$G$2,INDEX('Golpes extras'!$A$2:$A$101,262),IF(262&lt;=$G$3,INDEX(L_Golpes!$A$2:$A$6000,$E$3+262-$G$2-1),IF(262&lt;=$G$4,INDEX(L_Golpes!$A$2:$A$6000,$E$4+262-$G$3-1),IF(262&lt;=$G$5,INDEX(L_Golpes!$A$2:$A$6000,$E$5+262-$G$4-1),IF(262&lt;=$G$6,INDEX(L_Golpes!$A$2:$A$6000,$E$6+262-$G$5-1),"")))))</f>
        <v/>
      </c>
      <c r="B263" s="2"/>
      <c r="C263" s="2"/>
      <c r="D263" s="2"/>
      <c r="E263" s="2"/>
      <c r="F263" s="2"/>
      <c r="G263" s="2"/>
    </row>
    <row r="264" ht="15.75" customHeight="1">
      <c r="A264" s="2" t="str">
        <f t="array" ref="A264">IF(263&lt;=$G$2,INDEX('Golpes extras'!$A$2:$A$101,263),IF(263&lt;=$G$3,INDEX(L_Golpes!$A$2:$A$6000,$E$3+263-$G$2-1),IF(263&lt;=$G$4,INDEX(L_Golpes!$A$2:$A$6000,$E$4+263-$G$3-1),IF(263&lt;=$G$5,INDEX(L_Golpes!$A$2:$A$6000,$E$5+263-$G$4-1),IF(263&lt;=$G$6,INDEX(L_Golpes!$A$2:$A$6000,$E$6+263-$G$5-1),"")))))</f>
        <v/>
      </c>
      <c r="B264" s="2"/>
      <c r="C264" s="2"/>
      <c r="D264" s="2"/>
      <c r="E264" s="2"/>
      <c r="F264" s="2"/>
      <c r="G264" s="2"/>
    </row>
    <row r="265" ht="15.75" customHeight="1">
      <c r="A265" s="2" t="str">
        <f t="array" ref="A265">IF(264&lt;=$G$2,INDEX('Golpes extras'!$A$2:$A$101,264),IF(264&lt;=$G$3,INDEX(L_Golpes!$A$2:$A$6000,$E$3+264-$G$2-1),IF(264&lt;=$G$4,INDEX(L_Golpes!$A$2:$A$6000,$E$4+264-$G$3-1),IF(264&lt;=$G$5,INDEX(L_Golpes!$A$2:$A$6000,$E$5+264-$G$4-1),IF(264&lt;=$G$6,INDEX(L_Golpes!$A$2:$A$6000,$E$6+264-$G$5-1),"")))))</f>
        <v/>
      </c>
      <c r="B265" s="2"/>
      <c r="C265" s="2"/>
      <c r="D265" s="2"/>
      <c r="E265" s="2"/>
      <c r="F265" s="2"/>
      <c r="G265" s="2"/>
    </row>
    <row r="266" ht="15.75" customHeight="1">
      <c r="A266" s="2" t="str">
        <f t="array" ref="A266">IF(265&lt;=$G$2,INDEX('Golpes extras'!$A$2:$A$101,265),IF(265&lt;=$G$3,INDEX(L_Golpes!$A$2:$A$6000,$E$3+265-$G$2-1),IF(265&lt;=$G$4,INDEX(L_Golpes!$A$2:$A$6000,$E$4+265-$G$3-1),IF(265&lt;=$G$5,INDEX(L_Golpes!$A$2:$A$6000,$E$5+265-$G$4-1),IF(265&lt;=$G$6,INDEX(L_Golpes!$A$2:$A$6000,$E$6+265-$G$5-1),"")))))</f>
        <v/>
      </c>
      <c r="B266" s="2"/>
      <c r="C266" s="2"/>
      <c r="D266" s="2"/>
      <c r="E266" s="2"/>
      <c r="F266" s="2"/>
      <c r="G266" s="2"/>
    </row>
    <row r="267" ht="15.75" customHeight="1">
      <c r="A267" s="2" t="str">
        <f t="array" ref="A267">IF(266&lt;=$G$2,INDEX('Golpes extras'!$A$2:$A$101,266),IF(266&lt;=$G$3,INDEX(L_Golpes!$A$2:$A$6000,$E$3+266-$G$2-1),IF(266&lt;=$G$4,INDEX(L_Golpes!$A$2:$A$6000,$E$4+266-$G$3-1),IF(266&lt;=$G$5,INDEX(L_Golpes!$A$2:$A$6000,$E$5+266-$G$4-1),IF(266&lt;=$G$6,INDEX(L_Golpes!$A$2:$A$6000,$E$6+266-$G$5-1),"")))))</f>
        <v/>
      </c>
      <c r="B267" s="2"/>
      <c r="C267" s="2"/>
      <c r="D267" s="2"/>
      <c r="E267" s="2"/>
      <c r="F267" s="2"/>
      <c r="G267" s="2"/>
    </row>
    <row r="268" ht="15.75" customHeight="1">
      <c r="A268" s="2" t="str">
        <f t="array" ref="A268">IF(267&lt;=$G$2,INDEX('Golpes extras'!$A$2:$A$101,267),IF(267&lt;=$G$3,INDEX(L_Golpes!$A$2:$A$6000,$E$3+267-$G$2-1),IF(267&lt;=$G$4,INDEX(L_Golpes!$A$2:$A$6000,$E$4+267-$G$3-1),IF(267&lt;=$G$5,INDEX(L_Golpes!$A$2:$A$6000,$E$5+267-$G$4-1),IF(267&lt;=$G$6,INDEX(L_Golpes!$A$2:$A$6000,$E$6+267-$G$5-1),"")))))</f>
        <v/>
      </c>
      <c r="B268" s="2"/>
      <c r="C268" s="2"/>
      <c r="D268" s="2"/>
      <c r="E268" s="2"/>
      <c r="F268" s="2"/>
      <c r="G268" s="2"/>
    </row>
    <row r="269" ht="15.75" customHeight="1">
      <c r="A269" s="2" t="str">
        <f t="array" ref="A269">IF(268&lt;=$G$2,INDEX('Golpes extras'!$A$2:$A$101,268),IF(268&lt;=$G$3,INDEX(L_Golpes!$A$2:$A$6000,$E$3+268-$G$2-1),IF(268&lt;=$G$4,INDEX(L_Golpes!$A$2:$A$6000,$E$4+268-$G$3-1),IF(268&lt;=$G$5,INDEX(L_Golpes!$A$2:$A$6000,$E$5+268-$G$4-1),IF(268&lt;=$G$6,INDEX(L_Golpes!$A$2:$A$6000,$E$6+268-$G$5-1),"")))))</f>
        <v/>
      </c>
      <c r="B269" s="2"/>
      <c r="C269" s="2"/>
      <c r="D269" s="2"/>
      <c r="E269" s="2"/>
      <c r="F269" s="2"/>
      <c r="G269" s="2"/>
    </row>
    <row r="270" ht="15.75" customHeight="1">
      <c r="A270" s="2" t="str">
        <f t="array" ref="A270">IF(269&lt;=$G$2,INDEX('Golpes extras'!$A$2:$A$101,269),IF(269&lt;=$G$3,INDEX(L_Golpes!$A$2:$A$6000,$E$3+269-$G$2-1),IF(269&lt;=$G$4,INDEX(L_Golpes!$A$2:$A$6000,$E$4+269-$G$3-1),IF(269&lt;=$G$5,INDEX(L_Golpes!$A$2:$A$6000,$E$5+269-$G$4-1),IF(269&lt;=$G$6,INDEX(L_Golpes!$A$2:$A$6000,$E$6+269-$G$5-1),"")))))</f>
        <v/>
      </c>
      <c r="B270" s="2"/>
      <c r="C270" s="2"/>
      <c r="D270" s="2"/>
      <c r="E270" s="2"/>
      <c r="F270" s="2"/>
      <c r="G270" s="2"/>
    </row>
    <row r="271" ht="15.75" customHeight="1">
      <c r="A271" s="2" t="str">
        <f t="array" ref="A271">IF(270&lt;=$G$2,INDEX('Golpes extras'!$A$2:$A$101,270),IF(270&lt;=$G$3,INDEX(L_Golpes!$A$2:$A$6000,$E$3+270-$G$2-1),IF(270&lt;=$G$4,INDEX(L_Golpes!$A$2:$A$6000,$E$4+270-$G$3-1),IF(270&lt;=$G$5,INDEX(L_Golpes!$A$2:$A$6000,$E$5+270-$G$4-1),IF(270&lt;=$G$6,INDEX(L_Golpes!$A$2:$A$6000,$E$6+270-$G$5-1),"")))))</f>
        <v/>
      </c>
      <c r="B271" s="2"/>
      <c r="C271" s="2"/>
      <c r="D271" s="2"/>
      <c r="E271" s="2"/>
      <c r="F271" s="2"/>
      <c r="G271" s="2"/>
    </row>
    <row r="272" ht="15.75" customHeight="1">
      <c r="A272" s="2" t="str">
        <f t="array" ref="A272">IF(271&lt;=$G$2,INDEX('Golpes extras'!$A$2:$A$101,271),IF(271&lt;=$G$3,INDEX(L_Golpes!$A$2:$A$6000,$E$3+271-$G$2-1),IF(271&lt;=$G$4,INDEX(L_Golpes!$A$2:$A$6000,$E$4+271-$G$3-1),IF(271&lt;=$G$5,INDEX(L_Golpes!$A$2:$A$6000,$E$5+271-$G$4-1),IF(271&lt;=$G$6,INDEX(L_Golpes!$A$2:$A$6000,$E$6+271-$G$5-1),"")))))</f>
        <v/>
      </c>
      <c r="B272" s="2"/>
      <c r="C272" s="2"/>
      <c r="D272" s="2"/>
      <c r="E272" s="2"/>
      <c r="F272" s="2"/>
      <c r="G272" s="2"/>
    </row>
    <row r="273" ht="15.75" customHeight="1">
      <c r="A273" s="2" t="str">
        <f t="array" ref="A273">IF(272&lt;=$G$2,INDEX('Golpes extras'!$A$2:$A$101,272),IF(272&lt;=$G$3,INDEX(L_Golpes!$A$2:$A$6000,$E$3+272-$G$2-1),IF(272&lt;=$G$4,INDEX(L_Golpes!$A$2:$A$6000,$E$4+272-$G$3-1),IF(272&lt;=$G$5,INDEX(L_Golpes!$A$2:$A$6000,$E$5+272-$G$4-1),IF(272&lt;=$G$6,INDEX(L_Golpes!$A$2:$A$6000,$E$6+272-$G$5-1),"")))))</f>
        <v/>
      </c>
      <c r="B273" s="2"/>
      <c r="C273" s="2"/>
      <c r="D273" s="2"/>
      <c r="E273" s="2"/>
      <c r="F273" s="2"/>
      <c r="G273" s="2"/>
    </row>
    <row r="274" ht="15.75" customHeight="1">
      <c r="A274" s="2" t="str">
        <f t="array" ref="A274">IF(273&lt;=$G$2,INDEX('Golpes extras'!$A$2:$A$101,273),IF(273&lt;=$G$3,INDEX(L_Golpes!$A$2:$A$6000,$E$3+273-$G$2-1),IF(273&lt;=$G$4,INDEX(L_Golpes!$A$2:$A$6000,$E$4+273-$G$3-1),IF(273&lt;=$G$5,INDEX(L_Golpes!$A$2:$A$6000,$E$5+273-$G$4-1),IF(273&lt;=$G$6,INDEX(L_Golpes!$A$2:$A$6000,$E$6+273-$G$5-1),"")))))</f>
        <v/>
      </c>
      <c r="B274" s="2"/>
      <c r="C274" s="2"/>
      <c r="D274" s="2"/>
      <c r="E274" s="2"/>
      <c r="F274" s="2"/>
      <c r="G274" s="2"/>
    </row>
    <row r="275" ht="15.75" customHeight="1">
      <c r="A275" s="2" t="str">
        <f t="array" ref="A275">IF(274&lt;=$G$2,INDEX('Golpes extras'!$A$2:$A$101,274),IF(274&lt;=$G$3,INDEX(L_Golpes!$A$2:$A$6000,$E$3+274-$G$2-1),IF(274&lt;=$G$4,INDEX(L_Golpes!$A$2:$A$6000,$E$4+274-$G$3-1),IF(274&lt;=$G$5,INDEX(L_Golpes!$A$2:$A$6000,$E$5+274-$G$4-1),IF(274&lt;=$G$6,INDEX(L_Golpes!$A$2:$A$6000,$E$6+274-$G$5-1),"")))))</f>
        <v/>
      </c>
      <c r="B275" s="2"/>
      <c r="C275" s="2"/>
      <c r="D275" s="2"/>
      <c r="E275" s="2"/>
      <c r="F275" s="2"/>
      <c r="G275" s="2"/>
    </row>
    <row r="276" ht="15.75" customHeight="1">
      <c r="A276" s="2" t="str">
        <f t="array" ref="A276">IF(275&lt;=$G$2,INDEX('Golpes extras'!$A$2:$A$101,275),IF(275&lt;=$G$3,INDEX(L_Golpes!$A$2:$A$6000,$E$3+275-$G$2-1),IF(275&lt;=$G$4,INDEX(L_Golpes!$A$2:$A$6000,$E$4+275-$G$3-1),IF(275&lt;=$G$5,INDEX(L_Golpes!$A$2:$A$6000,$E$5+275-$G$4-1),IF(275&lt;=$G$6,INDEX(L_Golpes!$A$2:$A$6000,$E$6+275-$G$5-1),"")))))</f>
        <v/>
      </c>
      <c r="B276" s="2"/>
      <c r="C276" s="2"/>
      <c r="D276" s="2"/>
      <c r="E276" s="2"/>
      <c r="F276" s="2"/>
      <c r="G276" s="2"/>
    </row>
    <row r="277" ht="15.75" customHeight="1">
      <c r="A277" s="2" t="str">
        <f t="array" ref="A277">IF(276&lt;=$G$2,INDEX('Golpes extras'!$A$2:$A$101,276),IF(276&lt;=$G$3,INDEX(L_Golpes!$A$2:$A$6000,$E$3+276-$G$2-1),IF(276&lt;=$G$4,INDEX(L_Golpes!$A$2:$A$6000,$E$4+276-$G$3-1),IF(276&lt;=$G$5,INDEX(L_Golpes!$A$2:$A$6000,$E$5+276-$G$4-1),IF(276&lt;=$G$6,INDEX(L_Golpes!$A$2:$A$6000,$E$6+276-$G$5-1),"")))))</f>
        <v/>
      </c>
      <c r="B277" s="2"/>
      <c r="C277" s="2"/>
      <c r="D277" s="2"/>
      <c r="E277" s="2"/>
      <c r="F277" s="2"/>
      <c r="G277" s="2"/>
    </row>
    <row r="278" ht="15.75" customHeight="1">
      <c r="A278" s="2" t="str">
        <f t="array" ref="A278">IF(277&lt;=$G$2,INDEX('Golpes extras'!$A$2:$A$101,277),IF(277&lt;=$G$3,INDEX(L_Golpes!$A$2:$A$6000,$E$3+277-$G$2-1),IF(277&lt;=$G$4,INDEX(L_Golpes!$A$2:$A$6000,$E$4+277-$G$3-1),IF(277&lt;=$G$5,INDEX(L_Golpes!$A$2:$A$6000,$E$5+277-$G$4-1),IF(277&lt;=$G$6,INDEX(L_Golpes!$A$2:$A$6000,$E$6+277-$G$5-1),"")))))</f>
        <v/>
      </c>
      <c r="B278" s="2"/>
      <c r="C278" s="2"/>
      <c r="D278" s="2"/>
      <c r="E278" s="2"/>
      <c r="F278" s="2"/>
      <c r="G278" s="2"/>
    </row>
    <row r="279" ht="15.75" customHeight="1">
      <c r="A279" s="2" t="str">
        <f t="array" ref="A279">IF(278&lt;=$G$2,INDEX('Golpes extras'!$A$2:$A$101,278),IF(278&lt;=$G$3,INDEX(L_Golpes!$A$2:$A$6000,$E$3+278-$G$2-1),IF(278&lt;=$G$4,INDEX(L_Golpes!$A$2:$A$6000,$E$4+278-$G$3-1),IF(278&lt;=$G$5,INDEX(L_Golpes!$A$2:$A$6000,$E$5+278-$G$4-1),IF(278&lt;=$G$6,INDEX(L_Golpes!$A$2:$A$6000,$E$6+278-$G$5-1),"")))))</f>
        <v/>
      </c>
      <c r="B279" s="2"/>
      <c r="C279" s="2"/>
      <c r="D279" s="2"/>
      <c r="E279" s="2"/>
      <c r="F279" s="2"/>
      <c r="G279" s="2"/>
    </row>
    <row r="280" ht="15.75" customHeight="1">
      <c r="A280" s="2" t="str">
        <f t="array" ref="A280">IF(279&lt;=$G$2,INDEX('Golpes extras'!$A$2:$A$101,279),IF(279&lt;=$G$3,INDEX(L_Golpes!$A$2:$A$6000,$E$3+279-$G$2-1),IF(279&lt;=$G$4,INDEX(L_Golpes!$A$2:$A$6000,$E$4+279-$G$3-1),IF(279&lt;=$G$5,INDEX(L_Golpes!$A$2:$A$6000,$E$5+279-$G$4-1),IF(279&lt;=$G$6,INDEX(L_Golpes!$A$2:$A$6000,$E$6+279-$G$5-1),"")))))</f>
        <v/>
      </c>
      <c r="B280" s="2"/>
      <c r="C280" s="2"/>
      <c r="D280" s="2"/>
      <c r="E280" s="2"/>
      <c r="F280" s="2"/>
      <c r="G280" s="2"/>
    </row>
    <row r="281" ht="15.75" customHeight="1">
      <c r="A281" s="2" t="str">
        <f t="array" ref="A281">IF(280&lt;=$G$2,INDEX('Golpes extras'!$A$2:$A$101,280),IF(280&lt;=$G$3,INDEX(L_Golpes!$A$2:$A$6000,$E$3+280-$G$2-1),IF(280&lt;=$G$4,INDEX(L_Golpes!$A$2:$A$6000,$E$4+280-$G$3-1),IF(280&lt;=$G$5,INDEX(L_Golpes!$A$2:$A$6000,$E$5+280-$G$4-1),IF(280&lt;=$G$6,INDEX(L_Golpes!$A$2:$A$6000,$E$6+280-$G$5-1),"")))))</f>
        <v/>
      </c>
      <c r="B281" s="2"/>
      <c r="C281" s="2"/>
      <c r="D281" s="2"/>
      <c r="E281" s="2"/>
      <c r="F281" s="2"/>
      <c r="G281" s="2"/>
    </row>
    <row r="282" ht="15.75" customHeight="1">
      <c r="A282" s="2" t="str">
        <f t="array" ref="A282">IF(281&lt;=$G$2,INDEX('Golpes extras'!$A$2:$A$101,281),IF(281&lt;=$G$3,INDEX(L_Golpes!$A$2:$A$6000,$E$3+281-$G$2-1),IF(281&lt;=$G$4,INDEX(L_Golpes!$A$2:$A$6000,$E$4+281-$G$3-1),IF(281&lt;=$G$5,INDEX(L_Golpes!$A$2:$A$6000,$E$5+281-$G$4-1),IF(281&lt;=$G$6,INDEX(L_Golpes!$A$2:$A$6000,$E$6+281-$G$5-1),"")))))</f>
        <v/>
      </c>
      <c r="B282" s="2"/>
      <c r="C282" s="2"/>
      <c r="D282" s="2"/>
      <c r="E282" s="2"/>
      <c r="F282" s="2"/>
      <c r="G282" s="2"/>
    </row>
    <row r="283" ht="15.75" customHeight="1">
      <c r="A283" s="2" t="str">
        <f t="array" ref="A283">IF(282&lt;=$G$2,INDEX('Golpes extras'!$A$2:$A$101,282),IF(282&lt;=$G$3,INDEX(L_Golpes!$A$2:$A$6000,$E$3+282-$G$2-1),IF(282&lt;=$G$4,INDEX(L_Golpes!$A$2:$A$6000,$E$4+282-$G$3-1),IF(282&lt;=$G$5,INDEX(L_Golpes!$A$2:$A$6000,$E$5+282-$G$4-1),IF(282&lt;=$G$6,INDEX(L_Golpes!$A$2:$A$6000,$E$6+282-$G$5-1),"")))))</f>
        <v/>
      </c>
      <c r="B283" s="2"/>
      <c r="C283" s="2"/>
      <c r="D283" s="2"/>
      <c r="E283" s="2"/>
      <c r="F283" s="2"/>
      <c r="G283" s="2"/>
    </row>
    <row r="284" ht="15.75" customHeight="1">
      <c r="A284" s="2" t="str">
        <f t="array" ref="A284">IF(283&lt;=$G$2,INDEX('Golpes extras'!$A$2:$A$101,283),IF(283&lt;=$G$3,INDEX(L_Golpes!$A$2:$A$6000,$E$3+283-$G$2-1),IF(283&lt;=$G$4,INDEX(L_Golpes!$A$2:$A$6000,$E$4+283-$G$3-1),IF(283&lt;=$G$5,INDEX(L_Golpes!$A$2:$A$6000,$E$5+283-$G$4-1),IF(283&lt;=$G$6,INDEX(L_Golpes!$A$2:$A$6000,$E$6+283-$G$5-1),"")))))</f>
        <v/>
      </c>
      <c r="B284" s="2"/>
      <c r="C284" s="2"/>
      <c r="D284" s="2"/>
      <c r="E284" s="2"/>
      <c r="F284" s="2"/>
      <c r="G284" s="2"/>
    </row>
    <row r="285" ht="15.75" customHeight="1">
      <c r="A285" s="2" t="str">
        <f t="array" ref="A285">IF(284&lt;=$G$2,INDEX('Golpes extras'!$A$2:$A$101,284),IF(284&lt;=$G$3,INDEX(L_Golpes!$A$2:$A$6000,$E$3+284-$G$2-1),IF(284&lt;=$G$4,INDEX(L_Golpes!$A$2:$A$6000,$E$4+284-$G$3-1),IF(284&lt;=$G$5,INDEX(L_Golpes!$A$2:$A$6000,$E$5+284-$G$4-1),IF(284&lt;=$G$6,INDEX(L_Golpes!$A$2:$A$6000,$E$6+284-$G$5-1),"")))))</f>
        <v/>
      </c>
      <c r="B285" s="2"/>
      <c r="C285" s="2"/>
      <c r="D285" s="2"/>
      <c r="E285" s="2"/>
      <c r="F285" s="2"/>
      <c r="G285" s="2"/>
    </row>
    <row r="286" ht="15.75" customHeight="1">
      <c r="A286" s="2" t="str">
        <f t="array" ref="A286">IF(285&lt;=$G$2,INDEX('Golpes extras'!$A$2:$A$101,285),IF(285&lt;=$G$3,INDEX(L_Golpes!$A$2:$A$6000,$E$3+285-$G$2-1),IF(285&lt;=$G$4,INDEX(L_Golpes!$A$2:$A$6000,$E$4+285-$G$3-1),IF(285&lt;=$G$5,INDEX(L_Golpes!$A$2:$A$6000,$E$5+285-$G$4-1),IF(285&lt;=$G$6,INDEX(L_Golpes!$A$2:$A$6000,$E$6+285-$G$5-1),"")))))</f>
        <v/>
      </c>
      <c r="B286" s="2"/>
      <c r="C286" s="2"/>
      <c r="D286" s="2"/>
      <c r="E286" s="2"/>
      <c r="F286" s="2"/>
      <c r="G286" s="2"/>
    </row>
    <row r="287" ht="15.75" customHeight="1">
      <c r="A287" s="2" t="str">
        <f t="array" ref="A287">IF(286&lt;=$G$2,INDEX('Golpes extras'!$A$2:$A$101,286),IF(286&lt;=$G$3,INDEX(L_Golpes!$A$2:$A$6000,$E$3+286-$G$2-1),IF(286&lt;=$G$4,INDEX(L_Golpes!$A$2:$A$6000,$E$4+286-$G$3-1),IF(286&lt;=$G$5,INDEX(L_Golpes!$A$2:$A$6000,$E$5+286-$G$4-1),IF(286&lt;=$G$6,INDEX(L_Golpes!$A$2:$A$6000,$E$6+286-$G$5-1),"")))))</f>
        <v/>
      </c>
      <c r="B287" s="2"/>
      <c r="C287" s="2"/>
      <c r="D287" s="2"/>
      <c r="E287" s="2"/>
      <c r="F287" s="2"/>
      <c r="G287" s="2"/>
    </row>
    <row r="288" ht="15.75" customHeight="1">
      <c r="A288" s="2" t="str">
        <f t="array" ref="A288">IF(287&lt;=$G$2,INDEX('Golpes extras'!$A$2:$A$101,287),IF(287&lt;=$G$3,INDEX(L_Golpes!$A$2:$A$6000,$E$3+287-$G$2-1),IF(287&lt;=$G$4,INDEX(L_Golpes!$A$2:$A$6000,$E$4+287-$G$3-1),IF(287&lt;=$G$5,INDEX(L_Golpes!$A$2:$A$6000,$E$5+287-$G$4-1),IF(287&lt;=$G$6,INDEX(L_Golpes!$A$2:$A$6000,$E$6+287-$G$5-1),"")))))</f>
        <v/>
      </c>
      <c r="B288" s="2"/>
      <c r="C288" s="2"/>
      <c r="D288" s="2"/>
      <c r="E288" s="2"/>
      <c r="F288" s="2"/>
      <c r="G288" s="2"/>
    </row>
    <row r="289" ht="15.75" customHeight="1">
      <c r="A289" s="2" t="str">
        <f t="array" ref="A289">IF(288&lt;=$G$2,INDEX('Golpes extras'!$A$2:$A$101,288),IF(288&lt;=$G$3,INDEX(L_Golpes!$A$2:$A$6000,$E$3+288-$G$2-1),IF(288&lt;=$G$4,INDEX(L_Golpes!$A$2:$A$6000,$E$4+288-$G$3-1),IF(288&lt;=$G$5,INDEX(L_Golpes!$A$2:$A$6000,$E$5+288-$G$4-1),IF(288&lt;=$G$6,INDEX(L_Golpes!$A$2:$A$6000,$E$6+288-$G$5-1),"")))))</f>
        <v/>
      </c>
      <c r="B289" s="2"/>
      <c r="C289" s="2"/>
      <c r="D289" s="2"/>
      <c r="E289" s="2"/>
      <c r="F289" s="2"/>
      <c r="G289" s="2"/>
    </row>
    <row r="290" ht="15.75" customHeight="1">
      <c r="A290" s="2" t="str">
        <f t="array" ref="A290">IF(289&lt;=$G$2,INDEX('Golpes extras'!$A$2:$A$101,289),IF(289&lt;=$G$3,INDEX(L_Golpes!$A$2:$A$6000,$E$3+289-$G$2-1),IF(289&lt;=$G$4,INDEX(L_Golpes!$A$2:$A$6000,$E$4+289-$G$3-1),IF(289&lt;=$G$5,INDEX(L_Golpes!$A$2:$A$6000,$E$5+289-$G$4-1),IF(289&lt;=$G$6,INDEX(L_Golpes!$A$2:$A$6000,$E$6+289-$G$5-1),"")))))</f>
        <v/>
      </c>
      <c r="B290" s="2"/>
      <c r="C290" s="2"/>
      <c r="D290" s="2"/>
      <c r="E290" s="2"/>
      <c r="F290" s="2"/>
      <c r="G290" s="2"/>
    </row>
    <row r="291" ht="15.75" customHeight="1">
      <c r="A291" s="2" t="str">
        <f t="array" ref="A291">IF(290&lt;=$G$2,INDEX('Golpes extras'!$A$2:$A$101,290),IF(290&lt;=$G$3,INDEX(L_Golpes!$A$2:$A$6000,$E$3+290-$G$2-1),IF(290&lt;=$G$4,INDEX(L_Golpes!$A$2:$A$6000,$E$4+290-$G$3-1),IF(290&lt;=$G$5,INDEX(L_Golpes!$A$2:$A$6000,$E$5+290-$G$4-1),IF(290&lt;=$G$6,INDEX(L_Golpes!$A$2:$A$6000,$E$6+290-$G$5-1),"")))))</f>
        <v/>
      </c>
      <c r="B291" s="2"/>
      <c r="C291" s="2"/>
      <c r="D291" s="2"/>
      <c r="E291" s="2"/>
      <c r="F291" s="2"/>
      <c r="G291" s="2"/>
    </row>
    <row r="292" ht="15.75" customHeight="1">
      <c r="A292" s="2" t="str">
        <f t="array" ref="A292">IF(291&lt;=$G$2,INDEX('Golpes extras'!$A$2:$A$101,291),IF(291&lt;=$G$3,INDEX(L_Golpes!$A$2:$A$6000,$E$3+291-$G$2-1),IF(291&lt;=$G$4,INDEX(L_Golpes!$A$2:$A$6000,$E$4+291-$G$3-1),IF(291&lt;=$G$5,INDEX(L_Golpes!$A$2:$A$6000,$E$5+291-$G$4-1),IF(291&lt;=$G$6,INDEX(L_Golpes!$A$2:$A$6000,$E$6+291-$G$5-1),"")))))</f>
        <v/>
      </c>
      <c r="B292" s="2"/>
      <c r="C292" s="2"/>
      <c r="D292" s="2"/>
      <c r="E292" s="2"/>
      <c r="F292" s="2"/>
      <c r="G292" s="2"/>
    </row>
    <row r="293" ht="15.75" customHeight="1">
      <c r="A293" s="2" t="str">
        <f t="array" ref="A293">IF(292&lt;=$G$2,INDEX('Golpes extras'!$A$2:$A$101,292),IF(292&lt;=$G$3,INDEX(L_Golpes!$A$2:$A$6000,$E$3+292-$G$2-1),IF(292&lt;=$G$4,INDEX(L_Golpes!$A$2:$A$6000,$E$4+292-$G$3-1),IF(292&lt;=$G$5,INDEX(L_Golpes!$A$2:$A$6000,$E$5+292-$G$4-1),IF(292&lt;=$G$6,INDEX(L_Golpes!$A$2:$A$6000,$E$6+292-$G$5-1),"")))))</f>
        <v/>
      </c>
      <c r="B293" s="2"/>
      <c r="C293" s="2"/>
      <c r="D293" s="2"/>
      <c r="E293" s="2"/>
      <c r="F293" s="2"/>
      <c r="G293" s="2"/>
    </row>
    <row r="294" ht="15.75" customHeight="1">
      <c r="A294" s="2" t="str">
        <f t="array" ref="A294">IF(293&lt;=$G$2,INDEX('Golpes extras'!$A$2:$A$101,293),IF(293&lt;=$G$3,INDEX(L_Golpes!$A$2:$A$6000,$E$3+293-$G$2-1),IF(293&lt;=$G$4,INDEX(L_Golpes!$A$2:$A$6000,$E$4+293-$G$3-1),IF(293&lt;=$G$5,INDEX(L_Golpes!$A$2:$A$6000,$E$5+293-$G$4-1),IF(293&lt;=$G$6,INDEX(L_Golpes!$A$2:$A$6000,$E$6+293-$G$5-1),"")))))</f>
        <v/>
      </c>
      <c r="B294" s="2"/>
      <c r="C294" s="2"/>
      <c r="D294" s="2"/>
      <c r="E294" s="2"/>
      <c r="F294" s="2"/>
      <c r="G294" s="2"/>
    </row>
    <row r="295" ht="15.75" customHeight="1">
      <c r="A295" s="2" t="str">
        <f t="array" ref="A295">IF(294&lt;=$G$2,INDEX('Golpes extras'!$A$2:$A$101,294),IF(294&lt;=$G$3,INDEX(L_Golpes!$A$2:$A$6000,$E$3+294-$G$2-1),IF(294&lt;=$G$4,INDEX(L_Golpes!$A$2:$A$6000,$E$4+294-$G$3-1),IF(294&lt;=$G$5,INDEX(L_Golpes!$A$2:$A$6000,$E$5+294-$G$4-1),IF(294&lt;=$G$6,INDEX(L_Golpes!$A$2:$A$6000,$E$6+294-$G$5-1),"")))))</f>
        <v/>
      </c>
      <c r="B295" s="2"/>
      <c r="C295" s="2"/>
      <c r="D295" s="2"/>
      <c r="E295" s="2"/>
      <c r="F295" s="2"/>
      <c r="G295" s="2"/>
    </row>
    <row r="296" ht="15.75" customHeight="1">
      <c r="A296" s="2" t="str">
        <f t="array" ref="A296">IF(295&lt;=$G$2,INDEX('Golpes extras'!$A$2:$A$101,295),IF(295&lt;=$G$3,INDEX(L_Golpes!$A$2:$A$6000,$E$3+295-$G$2-1),IF(295&lt;=$G$4,INDEX(L_Golpes!$A$2:$A$6000,$E$4+295-$G$3-1),IF(295&lt;=$G$5,INDEX(L_Golpes!$A$2:$A$6000,$E$5+295-$G$4-1),IF(295&lt;=$G$6,INDEX(L_Golpes!$A$2:$A$6000,$E$6+295-$G$5-1),"")))))</f>
        <v/>
      </c>
      <c r="B296" s="2"/>
      <c r="C296" s="2"/>
      <c r="D296" s="2"/>
      <c r="E296" s="2"/>
      <c r="F296" s="2"/>
      <c r="G296" s="2"/>
    </row>
    <row r="297" ht="15.75" customHeight="1">
      <c r="A297" s="2" t="str">
        <f t="array" ref="A297">IF(296&lt;=$G$2,INDEX('Golpes extras'!$A$2:$A$101,296),IF(296&lt;=$G$3,INDEX(L_Golpes!$A$2:$A$6000,$E$3+296-$G$2-1),IF(296&lt;=$G$4,INDEX(L_Golpes!$A$2:$A$6000,$E$4+296-$G$3-1),IF(296&lt;=$G$5,INDEX(L_Golpes!$A$2:$A$6000,$E$5+296-$G$4-1),IF(296&lt;=$G$6,INDEX(L_Golpes!$A$2:$A$6000,$E$6+296-$G$5-1),"")))))</f>
        <v/>
      </c>
      <c r="B297" s="2"/>
      <c r="C297" s="2"/>
      <c r="D297" s="2"/>
      <c r="E297" s="2"/>
      <c r="F297" s="2"/>
      <c r="G297" s="2"/>
    </row>
    <row r="298" ht="15.75" customHeight="1">
      <c r="A298" s="2" t="str">
        <f t="array" ref="A298">IF(297&lt;=$G$2,INDEX('Golpes extras'!$A$2:$A$101,297),IF(297&lt;=$G$3,INDEX(L_Golpes!$A$2:$A$6000,$E$3+297-$G$2-1),IF(297&lt;=$G$4,INDEX(L_Golpes!$A$2:$A$6000,$E$4+297-$G$3-1),IF(297&lt;=$G$5,INDEX(L_Golpes!$A$2:$A$6000,$E$5+297-$G$4-1),IF(297&lt;=$G$6,INDEX(L_Golpes!$A$2:$A$6000,$E$6+297-$G$5-1),"")))))</f>
        <v/>
      </c>
      <c r="B298" s="2"/>
      <c r="C298" s="2"/>
      <c r="D298" s="2"/>
      <c r="E298" s="2"/>
      <c r="F298" s="2"/>
      <c r="G298" s="2"/>
    </row>
    <row r="299" ht="15.75" customHeight="1">
      <c r="A299" s="2" t="str">
        <f t="array" ref="A299">IF(298&lt;=$G$2,INDEX('Golpes extras'!$A$2:$A$101,298),IF(298&lt;=$G$3,INDEX(L_Golpes!$A$2:$A$6000,$E$3+298-$G$2-1),IF(298&lt;=$G$4,INDEX(L_Golpes!$A$2:$A$6000,$E$4+298-$G$3-1),IF(298&lt;=$G$5,INDEX(L_Golpes!$A$2:$A$6000,$E$5+298-$G$4-1),IF(298&lt;=$G$6,INDEX(L_Golpes!$A$2:$A$6000,$E$6+298-$G$5-1),"")))))</f>
        <v/>
      </c>
      <c r="B299" s="2"/>
      <c r="C299" s="2"/>
      <c r="D299" s="2"/>
      <c r="E299" s="2"/>
      <c r="F299" s="2"/>
      <c r="G299" s="2"/>
    </row>
    <row r="300" ht="15.75" customHeight="1">
      <c r="A300" s="2" t="str">
        <f t="array" ref="A300">IF(299&lt;=$G$2,INDEX('Golpes extras'!$A$2:$A$101,299),IF(299&lt;=$G$3,INDEX(L_Golpes!$A$2:$A$6000,$E$3+299-$G$2-1),IF(299&lt;=$G$4,INDEX(L_Golpes!$A$2:$A$6000,$E$4+299-$G$3-1),IF(299&lt;=$G$5,INDEX(L_Golpes!$A$2:$A$6000,$E$5+299-$G$4-1),IF(299&lt;=$G$6,INDEX(L_Golpes!$A$2:$A$6000,$E$6+299-$G$5-1),"")))))</f>
        <v/>
      </c>
      <c r="B300" s="2"/>
      <c r="C300" s="2"/>
      <c r="D300" s="2"/>
      <c r="E300" s="2"/>
      <c r="F300" s="2"/>
      <c r="G300" s="2"/>
    </row>
    <row r="301" ht="15.75" customHeight="1">
      <c r="A301" s="2" t="str">
        <f t="array" ref="A301">IF(300&lt;=$G$2,INDEX('Golpes extras'!$A$2:$A$101,300),IF(300&lt;=$G$3,INDEX(L_Golpes!$A$2:$A$6000,$E$3+300-$G$2-1),IF(300&lt;=$G$4,INDEX(L_Golpes!$A$2:$A$6000,$E$4+300-$G$3-1),IF(300&lt;=$G$5,INDEX(L_Golpes!$A$2:$A$6000,$E$5+300-$G$4-1),IF(300&lt;=$G$6,INDEX(L_Golpes!$A$2:$A$6000,$E$6+300-$G$5-1),"")))))</f>
        <v/>
      </c>
      <c r="B301" s="2"/>
      <c r="C301" s="2"/>
      <c r="D301" s="2"/>
      <c r="E301" s="2"/>
      <c r="F301" s="2"/>
      <c r="G301" s="2"/>
    </row>
    <row r="302" ht="15.75" customHeight="1">
      <c r="A302" s="2" t="str">
        <f t="array" ref="A302">IF(301&lt;=$G$2,INDEX('Golpes extras'!$A$2:$A$101,301),IF(301&lt;=$G$3,INDEX(L_Golpes!$A$2:$A$6000,$E$3+301-$G$2-1),IF(301&lt;=$G$4,INDEX(L_Golpes!$A$2:$A$6000,$E$4+301-$G$3-1),IF(301&lt;=$G$5,INDEX(L_Golpes!$A$2:$A$6000,$E$5+301-$G$4-1),IF(301&lt;=$G$6,INDEX(L_Golpes!$A$2:$A$6000,$E$6+301-$G$5-1),"")))))</f>
        <v/>
      </c>
      <c r="B302" s="2"/>
      <c r="C302" s="2"/>
      <c r="D302" s="2"/>
      <c r="E302" s="2"/>
      <c r="F302" s="2"/>
      <c r="G302" s="2"/>
    </row>
    <row r="303" ht="15.75" customHeight="1">
      <c r="A303" s="2" t="str">
        <f t="array" ref="A303">IF(302&lt;=$G$2,INDEX('Golpes extras'!$A$2:$A$101,302),IF(302&lt;=$G$3,INDEX(L_Golpes!$A$2:$A$6000,$E$3+302-$G$2-1),IF(302&lt;=$G$4,INDEX(L_Golpes!$A$2:$A$6000,$E$4+302-$G$3-1),IF(302&lt;=$G$5,INDEX(L_Golpes!$A$2:$A$6000,$E$5+302-$G$4-1),IF(302&lt;=$G$6,INDEX(L_Golpes!$A$2:$A$6000,$E$6+302-$G$5-1),"")))))</f>
        <v/>
      </c>
      <c r="B303" s="2"/>
      <c r="C303" s="2"/>
      <c r="D303" s="2"/>
      <c r="E303" s="2"/>
      <c r="F303" s="2"/>
      <c r="G303" s="2"/>
    </row>
    <row r="304" ht="15.75" customHeight="1">
      <c r="A304" s="2" t="str">
        <f t="array" ref="A304">IF(303&lt;=$G$2,INDEX('Golpes extras'!$A$2:$A$101,303),IF(303&lt;=$G$3,INDEX(L_Golpes!$A$2:$A$6000,$E$3+303-$G$2-1),IF(303&lt;=$G$4,INDEX(L_Golpes!$A$2:$A$6000,$E$4+303-$G$3-1),IF(303&lt;=$G$5,INDEX(L_Golpes!$A$2:$A$6000,$E$5+303-$G$4-1),IF(303&lt;=$G$6,INDEX(L_Golpes!$A$2:$A$6000,$E$6+303-$G$5-1),"")))))</f>
        <v/>
      </c>
      <c r="B304" s="2"/>
      <c r="C304" s="2"/>
      <c r="D304" s="2"/>
      <c r="E304" s="2"/>
      <c r="F304" s="2"/>
      <c r="G304" s="2"/>
    </row>
    <row r="305" ht="15.75" customHeight="1">
      <c r="A305" s="2" t="str">
        <f t="array" ref="A305">IF(304&lt;=$G$2,INDEX('Golpes extras'!$A$2:$A$101,304),IF(304&lt;=$G$3,INDEX(L_Golpes!$A$2:$A$6000,$E$3+304-$G$2-1),IF(304&lt;=$G$4,INDEX(L_Golpes!$A$2:$A$6000,$E$4+304-$G$3-1),IF(304&lt;=$G$5,INDEX(L_Golpes!$A$2:$A$6000,$E$5+304-$G$4-1),IF(304&lt;=$G$6,INDEX(L_Golpes!$A$2:$A$6000,$E$6+304-$G$5-1),"")))))</f>
        <v/>
      </c>
      <c r="B305" s="2"/>
      <c r="C305" s="2"/>
      <c r="D305" s="2"/>
      <c r="E305" s="2"/>
      <c r="F305" s="2"/>
      <c r="G305" s="2"/>
    </row>
    <row r="306" ht="15.75" customHeight="1">
      <c r="A306" s="2" t="str">
        <f t="array" ref="A306">IF(305&lt;=$G$2,INDEX('Golpes extras'!$A$2:$A$101,305),IF(305&lt;=$G$3,INDEX(L_Golpes!$A$2:$A$6000,$E$3+305-$G$2-1),IF(305&lt;=$G$4,INDEX(L_Golpes!$A$2:$A$6000,$E$4+305-$G$3-1),IF(305&lt;=$G$5,INDEX(L_Golpes!$A$2:$A$6000,$E$5+305-$G$4-1),IF(305&lt;=$G$6,INDEX(L_Golpes!$A$2:$A$6000,$E$6+305-$G$5-1),"")))))</f>
        <v/>
      </c>
      <c r="B306" s="2"/>
      <c r="C306" s="2"/>
      <c r="D306" s="2"/>
      <c r="E306" s="2"/>
      <c r="F306" s="2"/>
      <c r="G306" s="2"/>
    </row>
    <row r="307" ht="15.75" customHeight="1">
      <c r="A307" s="2" t="str">
        <f t="array" ref="A307">IF(306&lt;=$G$2,INDEX('Golpes extras'!$A$2:$A$101,306),IF(306&lt;=$G$3,INDEX(L_Golpes!$A$2:$A$6000,$E$3+306-$G$2-1),IF(306&lt;=$G$4,INDEX(L_Golpes!$A$2:$A$6000,$E$4+306-$G$3-1),IF(306&lt;=$G$5,INDEX(L_Golpes!$A$2:$A$6000,$E$5+306-$G$4-1),IF(306&lt;=$G$6,INDEX(L_Golpes!$A$2:$A$6000,$E$6+306-$G$5-1),"")))))</f>
        <v/>
      </c>
      <c r="B307" s="2"/>
      <c r="C307" s="2"/>
      <c r="D307" s="2"/>
      <c r="E307" s="2"/>
      <c r="F307" s="2"/>
      <c r="G307" s="2"/>
    </row>
    <row r="308" ht="15.75" customHeight="1">
      <c r="A308" s="2" t="str">
        <f t="array" ref="A308">IF(307&lt;=$G$2,INDEX('Golpes extras'!$A$2:$A$101,307),IF(307&lt;=$G$3,INDEX(L_Golpes!$A$2:$A$6000,$E$3+307-$G$2-1),IF(307&lt;=$G$4,INDEX(L_Golpes!$A$2:$A$6000,$E$4+307-$G$3-1),IF(307&lt;=$G$5,INDEX(L_Golpes!$A$2:$A$6000,$E$5+307-$G$4-1),IF(307&lt;=$G$6,INDEX(L_Golpes!$A$2:$A$6000,$E$6+307-$G$5-1),"")))))</f>
        <v/>
      </c>
      <c r="B308" s="2"/>
      <c r="C308" s="2"/>
      <c r="D308" s="2"/>
      <c r="E308" s="2"/>
      <c r="F308" s="2"/>
      <c r="G308" s="2"/>
    </row>
    <row r="309" ht="15.75" customHeight="1">
      <c r="A309" s="2" t="str">
        <f t="array" ref="A309">IF(308&lt;=$G$2,INDEX('Golpes extras'!$A$2:$A$101,308),IF(308&lt;=$G$3,INDEX(L_Golpes!$A$2:$A$6000,$E$3+308-$G$2-1),IF(308&lt;=$G$4,INDEX(L_Golpes!$A$2:$A$6000,$E$4+308-$G$3-1),IF(308&lt;=$G$5,INDEX(L_Golpes!$A$2:$A$6000,$E$5+308-$G$4-1),IF(308&lt;=$G$6,INDEX(L_Golpes!$A$2:$A$6000,$E$6+308-$G$5-1),"")))))</f>
        <v/>
      </c>
      <c r="B309" s="2"/>
      <c r="C309" s="2"/>
      <c r="D309" s="2"/>
      <c r="E309" s="2"/>
      <c r="F309" s="2"/>
      <c r="G309" s="2"/>
    </row>
    <row r="310" ht="15.75" customHeight="1">
      <c r="A310" s="2" t="str">
        <f t="array" ref="A310">IF(309&lt;=$G$2,INDEX('Golpes extras'!$A$2:$A$101,309),IF(309&lt;=$G$3,INDEX(L_Golpes!$A$2:$A$6000,$E$3+309-$G$2-1),IF(309&lt;=$G$4,INDEX(L_Golpes!$A$2:$A$6000,$E$4+309-$G$3-1),IF(309&lt;=$G$5,INDEX(L_Golpes!$A$2:$A$6000,$E$5+309-$G$4-1),IF(309&lt;=$G$6,INDEX(L_Golpes!$A$2:$A$6000,$E$6+309-$G$5-1),"")))))</f>
        <v/>
      </c>
      <c r="B310" s="2"/>
      <c r="C310" s="2"/>
      <c r="D310" s="2"/>
      <c r="E310" s="2"/>
      <c r="F310" s="2"/>
      <c r="G310" s="2"/>
    </row>
    <row r="311" ht="15.75" customHeight="1">
      <c r="A311" s="2" t="str">
        <f t="array" ref="A311">IF(310&lt;=$G$2,INDEX('Golpes extras'!$A$2:$A$101,310),IF(310&lt;=$G$3,INDEX(L_Golpes!$A$2:$A$6000,$E$3+310-$G$2-1),IF(310&lt;=$G$4,INDEX(L_Golpes!$A$2:$A$6000,$E$4+310-$G$3-1),IF(310&lt;=$G$5,INDEX(L_Golpes!$A$2:$A$6000,$E$5+310-$G$4-1),IF(310&lt;=$G$6,INDEX(L_Golpes!$A$2:$A$6000,$E$6+310-$G$5-1),"")))))</f>
        <v/>
      </c>
      <c r="B311" s="2"/>
      <c r="C311" s="2"/>
      <c r="D311" s="2"/>
      <c r="E311" s="2"/>
      <c r="F311" s="2"/>
      <c r="G311" s="2"/>
    </row>
    <row r="312" ht="15.75" customHeight="1">
      <c r="A312" s="2" t="str">
        <f t="array" ref="A312">IF(311&lt;=$G$2,INDEX('Golpes extras'!$A$2:$A$101,311),IF(311&lt;=$G$3,INDEX(L_Golpes!$A$2:$A$6000,$E$3+311-$G$2-1),IF(311&lt;=$G$4,INDEX(L_Golpes!$A$2:$A$6000,$E$4+311-$G$3-1),IF(311&lt;=$G$5,INDEX(L_Golpes!$A$2:$A$6000,$E$5+311-$G$4-1),IF(311&lt;=$G$6,INDEX(L_Golpes!$A$2:$A$6000,$E$6+311-$G$5-1),"")))))</f>
        <v/>
      </c>
      <c r="B312" s="2"/>
      <c r="C312" s="2"/>
      <c r="D312" s="2"/>
      <c r="E312" s="2"/>
      <c r="F312" s="2"/>
      <c r="G312" s="2"/>
    </row>
    <row r="313" ht="15.75" customHeight="1">
      <c r="A313" s="2" t="str">
        <f t="array" ref="A313">IF(312&lt;=$G$2,INDEX('Golpes extras'!$A$2:$A$101,312),IF(312&lt;=$G$3,INDEX(L_Golpes!$A$2:$A$6000,$E$3+312-$G$2-1),IF(312&lt;=$G$4,INDEX(L_Golpes!$A$2:$A$6000,$E$4+312-$G$3-1),IF(312&lt;=$G$5,INDEX(L_Golpes!$A$2:$A$6000,$E$5+312-$G$4-1),IF(312&lt;=$G$6,INDEX(L_Golpes!$A$2:$A$6000,$E$6+312-$G$5-1),"")))))</f>
        <v/>
      </c>
      <c r="B313" s="2"/>
      <c r="C313" s="2"/>
      <c r="D313" s="2"/>
      <c r="E313" s="2"/>
      <c r="F313" s="2"/>
      <c r="G313" s="2"/>
    </row>
    <row r="314" ht="15.75" customHeight="1">
      <c r="A314" s="2" t="str">
        <f t="array" ref="A314">IF(313&lt;=$G$2,INDEX('Golpes extras'!$A$2:$A$101,313),IF(313&lt;=$G$3,INDEX(L_Golpes!$A$2:$A$6000,$E$3+313-$G$2-1),IF(313&lt;=$G$4,INDEX(L_Golpes!$A$2:$A$6000,$E$4+313-$G$3-1),IF(313&lt;=$G$5,INDEX(L_Golpes!$A$2:$A$6000,$E$5+313-$G$4-1),IF(313&lt;=$G$6,INDEX(L_Golpes!$A$2:$A$6000,$E$6+313-$G$5-1),"")))))</f>
        <v/>
      </c>
      <c r="B314" s="2"/>
      <c r="C314" s="2"/>
      <c r="D314" s="2"/>
      <c r="E314" s="2"/>
      <c r="F314" s="2"/>
      <c r="G314" s="2"/>
    </row>
    <row r="315" ht="15.75" customHeight="1">
      <c r="A315" s="2" t="str">
        <f t="array" ref="A315">IF(314&lt;=$G$2,INDEX('Golpes extras'!$A$2:$A$101,314),IF(314&lt;=$G$3,INDEX(L_Golpes!$A$2:$A$6000,$E$3+314-$G$2-1),IF(314&lt;=$G$4,INDEX(L_Golpes!$A$2:$A$6000,$E$4+314-$G$3-1),IF(314&lt;=$G$5,INDEX(L_Golpes!$A$2:$A$6000,$E$5+314-$G$4-1),IF(314&lt;=$G$6,INDEX(L_Golpes!$A$2:$A$6000,$E$6+314-$G$5-1),"")))))</f>
        <v/>
      </c>
      <c r="B315" s="2"/>
      <c r="C315" s="2"/>
      <c r="D315" s="2"/>
      <c r="E315" s="2"/>
      <c r="F315" s="2"/>
      <c r="G315" s="2"/>
    </row>
    <row r="316" ht="15.75" customHeight="1">
      <c r="A316" s="2" t="str">
        <f t="array" ref="A316">IF(315&lt;=$G$2,INDEX('Golpes extras'!$A$2:$A$101,315),IF(315&lt;=$G$3,INDEX(L_Golpes!$A$2:$A$6000,$E$3+315-$G$2-1),IF(315&lt;=$G$4,INDEX(L_Golpes!$A$2:$A$6000,$E$4+315-$G$3-1),IF(315&lt;=$G$5,INDEX(L_Golpes!$A$2:$A$6000,$E$5+315-$G$4-1),IF(315&lt;=$G$6,INDEX(L_Golpes!$A$2:$A$6000,$E$6+315-$G$5-1),"")))))</f>
        <v/>
      </c>
      <c r="B316" s="2"/>
      <c r="C316" s="2"/>
      <c r="D316" s="2"/>
      <c r="E316" s="2"/>
      <c r="F316" s="2"/>
      <c r="G316" s="2"/>
    </row>
    <row r="317" ht="15.75" customHeight="1">
      <c r="A317" s="2" t="str">
        <f t="array" ref="A317">IF(316&lt;=$G$2,INDEX('Golpes extras'!$A$2:$A$101,316),IF(316&lt;=$G$3,INDEX(L_Golpes!$A$2:$A$6000,$E$3+316-$G$2-1),IF(316&lt;=$G$4,INDEX(L_Golpes!$A$2:$A$6000,$E$4+316-$G$3-1),IF(316&lt;=$G$5,INDEX(L_Golpes!$A$2:$A$6000,$E$5+316-$G$4-1),IF(316&lt;=$G$6,INDEX(L_Golpes!$A$2:$A$6000,$E$6+316-$G$5-1),"")))))</f>
        <v/>
      </c>
      <c r="B317" s="2"/>
      <c r="C317" s="2"/>
      <c r="D317" s="2"/>
      <c r="E317" s="2"/>
      <c r="F317" s="2"/>
      <c r="G317" s="2"/>
    </row>
    <row r="318" ht="15.75" customHeight="1">
      <c r="A318" s="2" t="str">
        <f t="array" ref="A318">IF(317&lt;=$G$2,INDEX('Golpes extras'!$A$2:$A$101,317),IF(317&lt;=$G$3,INDEX(L_Golpes!$A$2:$A$6000,$E$3+317-$G$2-1),IF(317&lt;=$G$4,INDEX(L_Golpes!$A$2:$A$6000,$E$4+317-$G$3-1),IF(317&lt;=$G$5,INDEX(L_Golpes!$A$2:$A$6000,$E$5+317-$G$4-1),IF(317&lt;=$G$6,INDEX(L_Golpes!$A$2:$A$6000,$E$6+317-$G$5-1),"")))))</f>
        <v/>
      </c>
      <c r="B318" s="2"/>
      <c r="C318" s="2"/>
      <c r="D318" s="2"/>
      <c r="E318" s="2"/>
      <c r="F318" s="2"/>
      <c r="G318" s="2"/>
    </row>
    <row r="319" ht="15.75" customHeight="1">
      <c r="A319" s="2" t="str">
        <f t="array" ref="A319">IF(318&lt;=$G$2,INDEX('Golpes extras'!$A$2:$A$101,318),IF(318&lt;=$G$3,INDEX(L_Golpes!$A$2:$A$6000,$E$3+318-$G$2-1),IF(318&lt;=$G$4,INDEX(L_Golpes!$A$2:$A$6000,$E$4+318-$G$3-1),IF(318&lt;=$G$5,INDEX(L_Golpes!$A$2:$A$6000,$E$5+318-$G$4-1),IF(318&lt;=$G$6,INDEX(L_Golpes!$A$2:$A$6000,$E$6+318-$G$5-1),"")))))</f>
        <v/>
      </c>
      <c r="B319" s="2"/>
      <c r="C319" s="2"/>
      <c r="D319" s="2"/>
      <c r="E319" s="2"/>
      <c r="F319" s="2"/>
      <c r="G319" s="2"/>
    </row>
    <row r="320" ht="15.75" customHeight="1">
      <c r="A320" s="2" t="str">
        <f t="array" ref="A320">IF(319&lt;=$G$2,INDEX('Golpes extras'!$A$2:$A$101,319),IF(319&lt;=$G$3,INDEX(L_Golpes!$A$2:$A$6000,$E$3+319-$G$2-1),IF(319&lt;=$G$4,INDEX(L_Golpes!$A$2:$A$6000,$E$4+319-$G$3-1),IF(319&lt;=$G$5,INDEX(L_Golpes!$A$2:$A$6000,$E$5+319-$G$4-1),IF(319&lt;=$G$6,INDEX(L_Golpes!$A$2:$A$6000,$E$6+319-$G$5-1),"")))))</f>
        <v/>
      </c>
      <c r="B320" s="2"/>
      <c r="C320" s="2"/>
      <c r="D320" s="2"/>
      <c r="E320" s="2"/>
      <c r="F320" s="2"/>
      <c r="G320" s="2"/>
    </row>
    <row r="321" ht="15.75" customHeight="1">
      <c r="A321" s="2" t="str">
        <f t="array" ref="A321">IF(320&lt;=$G$2,INDEX('Golpes extras'!$A$2:$A$101,320),IF(320&lt;=$G$3,INDEX(L_Golpes!$A$2:$A$6000,$E$3+320-$G$2-1),IF(320&lt;=$G$4,INDEX(L_Golpes!$A$2:$A$6000,$E$4+320-$G$3-1),IF(320&lt;=$G$5,INDEX(L_Golpes!$A$2:$A$6000,$E$5+320-$G$4-1),IF(320&lt;=$G$6,INDEX(L_Golpes!$A$2:$A$6000,$E$6+320-$G$5-1),"")))))</f>
        <v/>
      </c>
      <c r="B321" s="2"/>
      <c r="C321" s="2"/>
      <c r="D321" s="2"/>
      <c r="E321" s="2"/>
      <c r="F321" s="2"/>
      <c r="G321" s="2"/>
    </row>
    <row r="322" ht="15.75" customHeight="1">
      <c r="A322" s="2" t="str">
        <f t="array" ref="A322">IF(321&lt;=$G$2,INDEX('Golpes extras'!$A$2:$A$101,321),IF(321&lt;=$G$3,INDEX(L_Golpes!$A$2:$A$6000,$E$3+321-$G$2-1),IF(321&lt;=$G$4,INDEX(L_Golpes!$A$2:$A$6000,$E$4+321-$G$3-1),IF(321&lt;=$G$5,INDEX(L_Golpes!$A$2:$A$6000,$E$5+321-$G$4-1),IF(321&lt;=$G$6,INDEX(L_Golpes!$A$2:$A$6000,$E$6+321-$G$5-1),"")))))</f>
        <v/>
      </c>
      <c r="B322" s="2"/>
      <c r="C322" s="2"/>
      <c r="D322" s="2"/>
      <c r="E322" s="2"/>
      <c r="F322" s="2"/>
      <c r="G322" s="2"/>
    </row>
    <row r="323" ht="15.75" customHeight="1">
      <c r="A323" s="2" t="str">
        <f t="array" ref="A323">IF(322&lt;=$G$2,INDEX('Golpes extras'!$A$2:$A$101,322),IF(322&lt;=$G$3,INDEX(L_Golpes!$A$2:$A$6000,$E$3+322-$G$2-1),IF(322&lt;=$G$4,INDEX(L_Golpes!$A$2:$A$6000,$E$4+322-$G$3-1),IF(322&lt;=$G$5,INDEX(L_Golpes!$A$2:$A$6000,$E$5+322-$G$4-1),IF(322&lt;=$G$6,INDEX(L_Golpes!$A$2:$A$6000,$E$6+322-$G$5-1),"")))))</f>
        <v/>
      </c>
      <c r="B323" s="2"/>
      <c r="C323" s="2"/>
      <c r="D323" s="2"/>
      <c r="E323" s="2"/>
      <c r="F323" s="2"/>
      <c r="G323" s="2"/>
    </row>
    <row r="324" ht="15.75" customHeight="1">
      <c r="A324" s="2" t="str">
        <f t="array" ref="A324">IF(323&lt;=$G$2,INDEX('Golpes extras'!$A$2:$A$101,323),IF(323&lt;=$G$3,INDEX(L_Golpes!$A$2:$A$6000,$E$3+323-$G$2-1),IF(323&lt;=$G$4,INDEX(L_Golpes!$A$2:$A$6000,$E$4+323-$G$3-1),IF(323&lt;=$G$5,INDEX(L_Golpes!$A$2:$A$6000,$E$5+323-$G$4-1),IF(323&lt;=$G$6,INDEX(L_Golpes!$A$2:$A$6000,$E$6+323-$G$5-1),"")))))</f>
        <v/>
      </c>
      <c r="B324" s="2"/>
      <c r="C324" s="2"/>
      <c r="D324" s="2"/>
      <c r="E324" s="2"/>
      <c r="F324" s="2"/>
      <c r="G324" s="2"/>
    </row>
    <row r="325" ht="15.75" customHeight="1">
      <c r="A325" s="2" t="str">
        <f t="array" ref="A325">IF(324&lt;=$G$2,INDEX('Golpes extras'!$A$2:$A$101,324),IF(324&lt;=$G$3,INDEX(L_Golpes!$A$2:$A$6000,$E$3+324-$G$2-1),IF(324&lt;=$G$4,INDEX(L_Golpes!$A$2:$A$6000,$E$4+324-$G$3-1),IF(324&lt;=$G$5,INDEX(L_Golpes!$A$2:$A$6000,$E$5+324-$G$4-1),IF(324&lt;=$G$6,INDEX(L_Golpes!$A$2:$A$6000,$E$6+324-$G$5-1),"")))))</f>
        <v/>
      </c>
      <c r="B325" s="2"/>
      <c r="C325" s="2"/>
      <c r="D325" s="2"/>
      <c r="E325" s="2"/>
      <c r="F325" s="2"/>
      <c r="G325" s="2"/>
    </row>
    <row r="326" ht="15.75" customHeight="1">
      <c r="A326" s="2" t="str">
        <f t="array" ref="A326">IF(325&lt;=$G$2,INDEX('Golpes extras'!$A$2:$A$101,325),IF(325&lt;=$G$3,INDEX(L_Golpes!$A$2:$A$6000,$E$3+325-$G$2-1),IF(325&lt;=$G$4,INDEX(L_Golpes!$A$2:$A$6000,$E$4+325-$G$3-1),IF(325&lt;=$G$5,INDEX(L_Golpes!$A$2:$A$6000,$E$5+325-$G$4-1),IF(325&lt;=$G$6,INDEX(L_Golpes!$A$2:$A$6000,$E$6+325-$G$5-1),"")))))</f>
        <v/>
      </c>
      <c r="B326" s="2"/>
      <c r="C326" s="2"/>
      <c r="D326" s="2"/>
      <c r="E326" s="2"/>
      <c r="F326" s="2"/>
      <c r="G326" s="2"/>
    </row>
    <row r="327" ht="15.75" customHeight="1">
      <c r="A327" s="2" t="str">
        <f t="array" ref="A327">IF(326&lt;=$G$2,INDEX('Golpes extras'!$A$2:$A$101,326),IF(326&lt;=$G$3,INDEX(L_Golpes!$A$2:$A$6000,$E$3+326-$G$2-1),IF(326&lt;=$G$4,INDEX(L_Golpes!$A$2:$A$6000,$E$4+326-$G$3-1),IF(326&lt;=$G$5,INDEX(L_Golpes!$A$2:$A$6000,$E$5+326-$G$4-1),IF(326&lt;=$G$6,INDEX(L_Golpes!$A$2:$A$6000,$E$6+326-$G$5-1),"")))))</f>
        <v/>
      </c>
      <c r="B327" s="2"/>
      <c r="C327" s="2"/>
      <c r="D327" s="2"/>
      <c r="E327" s="2"/>
      <c r="F327" s="2"/>
      <c r="G327" s="2"/>
    </row>
    <row r="328" ht="15.75" customHeight="1">
      <c r="A328" s="2" t="str">
        <f t="array" ref="A328">IF(327&lt;=$G$2,INDEX('Golpes extras'!$A$2:$A$101,327),IF(327&lt;=$G$3,INDEX(L_Golpes!$A$2:$A$6000,$E$3+327-$G$2-1),IF(327&lt;=$G$4,INDEX(L_Golpes!$A$2:$A$6000,$E$4+327-$G$3-1),IF(327&lt;=$G$5,INDEX(L_Golpes!$A$2:$A$6000,$E$5+327-$G$4-1),IF(327&lt;=$G$6,INDEX(L_Golpes!$A$2:$A$6000,$E$6+327-$G$5-1),"")))))</f>
        <v/>
      </c>
      <c r="B328" s="2"/>
      <c r="C328" s="2"/>
      <c r="D328" s="2"/>
      <c r="E328" s="2"/>
      <c r="F328" s="2"/>
      <c r="G328" s="2"/>
    </row>
    <row r="329" ht="15.75" customHeight="1">
      <c r="A329" s="2" t="str">
        <f t="array" ref="A329">IF(328&lt;=$G$2,INDEX('Golpes extras'!$A$2:$A$101,328),IF(328&lt;=$G$3,INDEX(L_Golpes!$A$2:$A$6000,$E$3+328-$G$2-1),IF(328&lt;=$G$4,INDEX(L_Golpes!$A$2:$A$6000,$E$4+328-$G$3-1),IF(328&lt;=$G$5,INDEX(L_Golpes!$A$2:$A$6000,$E$5+328-$G$4-1),IF(328&lt;=$G$6,INDEX(L_Golpes!$A$2:$A$6000,$E$6+328-$G$5-1),"")))))</f>
        <v/>
      </c>
      <c r="B329" s="2"/>
      <c r="C329" s="2"/>
      <c r="D329" s="2"/>
      <c r="E329" s="2"/>
      <c r="F329" s="2"/>
      <c r="G329" s="2"/>
    </row>
    <row r="330" ht="15.75" customHeight="1">
      <c r="A330" s="2" t="str">
        <f t="array" ref="A330">IF(329&lt;=$G$2,INDEX('Golpes extras'!$A$2:$A$101,329),IF(329&lt;=$G$3,INDEX(L_Golpes!$A$2:$A$6000,$E$3+329-$G$2-1),IF(329&lt;=$G$4,INDEX(L_Golpes!$A$2:$A$6000,$E$4+329-$G$3-1),IF(329&lt;=$G$5,INDEX(L_Golpes!$A$2:$A$6000,$E$5+329-$G$4-1),IF(329&lt;=$G$6,INDEX(L_Golpes!$A$2:$A$6000,$E$6+329-$G$5-1),"")))))</f>
        <v/>
      </c>
      <c r="B330" s="2"/>
      <c r="C330" s="2"/>
      <c r="D330" s="2"/>
      <c r="E330" s="2"/>
      <c r="F330" s="2"/>
      <c r="G330" s="2"/>
    </row>
    <row r="331" ht="15.75" customHeight="1">
      <c r="A331" s="2" t="str">
        <f t="array" ref="A331">IF(330&lt;=$G$2,INDEX('Golpes extras'!$A$2:$A$101,330),IF(330&lt;=$G$3,INDEX(L_Golpes!$A$2:$A$6000,$E$3+330-$G$2-1),IF(330&lt;=$G$4,INDEX(L_Golpes!$A$2:$A$6000,$E$4+330-$G$3-1),IF(330&lt;=$G$5,INDEX(L_Golpes!$A$2:$A$6000,$E$5+330-$G$4-1),IF(330&lt;=$G$6,INDEX(L_Golpes!$A$2:$A$6000,$E$6+330-$G$5-1),"")))))</f>
        <v/>
      </c>
      <c r="B331" s="2"/>
      <c r="C331" s="2"/>
      <c r="D331" s="2"/>
      <c r="E331" s="2"/>
      <c r="F331" s="2"/>
      <c r="G331" s="2"/>
    </row>
    <row r="332" ht="15.75" customHeight="1">
      <c r="A332" s="2" t="str">
        <f t="array" ref="A332">IF(331&lt;=$G$2,INDEX('Golpes extras'!$A$2:$A$101,331),IF(331&lt;=$G$3,INDEX(L_Golpes!$A$2:$A$6000,$E$3+331-$G$2-1),IF(331&lt;=$G$4,INDEX(L_Golpes!$A$2:$A$6000,$E$4+331-$G$3-1),IF(331&lt;=$G$5,INDEX(L_Golpes!$A$2:$A$6000,$E$5+331-$G$4-1),IF(331&lt;=$G$6,INDEX(L_Golpes!$A$2:$A$6000,$E$6+331-$G$5-1),"")))))</f>
        <v/>
      </c>
      <c r="B332" s="2"/>
      <c r="C332" s="2"/>
      <c r="D332" s="2"/>
      <c r="E332" s="2"/>
      <c r="F332" s="2"/>
      <c r="G332" s="2"/>
    </row>
    <row r="333" ht="15.75" customHeight="1">
      <c r="A333" s="2" t="str">
        <f t="array" ref="A333">IF(332&lt;=$G$2,INDEX('Golpes extras'!$A$2:$A$101,332),IF(332&lt;=$G$3,INDEX(L_Golpes!$A$2:$A$6000,$E$3+332-$G$2-1),IF(332&lt;=$G$4,INDEX(L_Golpes!$A$2:$A$6000,$E$4+332-$G$3-1),IF(332&lt;=$G$5,INDEX(L_Golpes!$A$2:$A$6000,$E$5+332-$G$4-1),IF(332&lt;=$G$6,INDEX(L_Golpes!$A$2:$A$6000,$E$6+332-$G$5-1),"")))))</f>
        <v/>
      </c>
      <c r="B333" s="2"/>
      <c r="C333" s="2"/>
      <c r="D333" s="2"/>
      <c r="E333" s="2"/>
      <c r="F333" s="2"/>
      <c r="G333" s="2"/>
    </row>
    <row r="334" ht="15.75" customHeight="1">
      <c r="A334" s="2" t="str">
        <f t="array" ref="A334">IF(333&lt;=$G$2,INDEX('Golpes extras'!$A$2:$A$101,333),IF(333&lt;=$G$3,INDEX(L_Golpes!$A$2:$A$6000,$E$3+333-$G$2-1),IF(333&lt;=$G$4,INDEX(L_Golpes!$A$2:$A$6000,$E$4+333-$G$3-1),IF(333&lt;=$G$5,INDEX(L_Golpes!$A$2:$A$6000,$E$5+333-$G$4-1),IF(333&lt;=$G$6,INDEX(L_Golpes!$A$2:$A$6000,$E$6+333-$G$5-1),"")))))</f>
        <v/>
      </c>
      <c r="B334" s="2"/>
      <c r="C334" s="2"/>
      <c r="D334" s="2"/>
      <c r="E334" s="2"/>
      <c r="F334" s="2"/>
      <c r="G334" s="2"/>
    </row>
    <row r="335" ht="15.75" customHeight="1">
      <c r="A335" s="2" t="str">
        <f t="array" ref="A335">IF(334&lt;=$G$2,INDEX('Golpes extras'!$A$2:$A$101,334),IF(334&lt;=$G$3,INDEX(L_Golpes!$A$2:$A$6000,$E$3+334-$G$2-1),IF(334&lt;=$G$4,INDEX(L_Golpes!$A$2:$A$6000,$E$4+334-$G$3-1),IF(334&lt;=$G$5,INDEX(L_Golpes!$A$2:$A$6000,$E$5+334-$G$4-1),IF(334&lt;=$G$6,INDEX(L_Golpes!$A$2:$A$6000,$E$6+334-$G$5-1),"")))))</f>
        <v/>
      </c>
      <c r="B335" s="2"/>
      <c r="C335" s="2"/>
      <c r="D335" s="2"/>
      <c r="E335" s="2"/>
      <c r="F335" s="2"/>
      <c r="G335" s="2"/>
    </row>
    <row r="336" ht="15.75" customHeight="1">
      <c r="A336" s="2" t="str">
        <f t="array" ref="A336">IF(335&lt;=$G$2,INDEX('Golpes extras'!$A$2:$A$101,335),IF(335&lt;=$G$3,INDEX(L_Golpes!$A$2:$A$6000,$E$3+335-$G$2-1),IF(335&lt;=$G$4,INDEX(L_Golpes!$A$2:$A$6000,$E$4+335-$G$3-1),IF(335&lt;=$G$5,INDEX(L_Golpes!$A$2:$A$6000,$E$5+335-$G$4-1),IF(335&lt;=$G$6,INDEX(L_Golpes!$A$2:$A$6000,$E$6+335-$G$5-1),"")))))</f>
        <v/>
      </c>
      <c r="B336" s="2"/>
      <c r="C336" s="2"/>
      <c r="D336" s="2"/>
      <c r="E336" s="2"/>
      <c r="F336" s="2"/>
      <c r="G336" s="2"/>
    </row>
    <row r="337" ht="15.75" customHeight="1">
      <c r="A337" s="2" t="str">
        <f t="array" ref="A337">IF(336&lt;=$G$2,INDEX('Golpes extras'!$A$2:$A$101,336),IF(336&lt;=$G$3,INDEX(L_Golpes!$A$2:$A$6000,$E$3+336-$G$2-1),IF(336&lt;=$G$4,INDEX(L_Golpes!$A$2:$A$6000,$E$4+336-$G$3-1),IF(336&lt;=$G$5,INDEX(L_Golpes!$A$2:$A$6000,$E$5+336-$G$4-1),IF(336&lt;=$G$6,INDEX(L_Golpes!$A$2:$A$6000,$E$6+336-$G$5-1),"")))))</f>
        <v/>
      </c>
      <c r="B337" s="2"/>
      <c r="C337" s="2"/>
      <c r="D337" s="2"/>
      <c r="E337" s="2"/>
      <c r="F337" s="2"/>
      <c r="G337" s="2"/>
    </row>
    <row r="338" ht="15.75" customHeight="1">
      <c r="A338" s="2" t="str">
        <f t="array" ref="A338">IF(337&lt;=$G$2,INDEX('Golpes extras'!$A$2:$A$101,337),IF(337&lt;=$G$3,INDEX(L_Golpes!$A$2:$A$6000,$E$3+337-$G$2-1),IF(337&lt;=$G$4,INDEX(L_Golpes!$A$2:$A$6000,$E$4+337-$G$3-1),IF(337&lt;=$G$5,INDEX(L_Golpes!$A$2:$A$6000,$E$5+337-$G$4-1),IF(337&lt;=$G$6,INDEX(L_Golpes!$A$2:$A$6000,$E$6+337-$G$5-1),"")))))</f>
        <v/>
      </c>
      <c r="B338" s="2"/>
      <c r="C338" s="2"/>
      <c r="D338" s="2"/>
      <c r="E338" s="2"/>
      <c r="F338" s="2"/>
      <c r="G338" s="2"/>
    </row>
    <row r="339" ht="15.75" customHeight="1">
      <c r="A339" s="2" t="str">
        <f t="array" ref="A339">IF(338&lt;=$G$2,INDEX('Golpes extras'!$A$2:$A$101,338),IF(338&lt;=$G$3,INDEX(L_Golpes!$A$2:$A$6000,$E$3+338-$G$2-1),IF(338&lt;=$G$4,INDEX(L_Golpes!$A$2:$A$6000,$E$4+338-$G$3-1),IF(338&lt;=$G$5,INDEX(L_Golpes!$A$2:$A$6000,$E$5+338-$G$4-1),IF(338&lt;=$G$6,INDEX(L_Golpes!$A$2:$A$6000,$E$6+338-$G$5-1),"")))))</f>
        <v/>
      </c>
      <c r="B339" s="2"/>
      <c r="C339" s="2"/>
      <c r="D339" s="2"/>
      <c r="E339" s="2"/>
      <c r="F339" s="2"/>
      <c r="G339" s="2"/>
    </row>
    <row r="340" ht="15.75" customHeight="1">
      <c r="A340" s="2" t="str">
        <f t="array" ref="A340">IF(339&lt;=$G$2,INDEX('Golpes extras'!$A$2:$A$101,339),IF(339&lt;=$G$3,INDEX(L_Golpes!$A$2:$A$6000,$E$3+339-$G$2-1),IF(339&lt;=$G$4,INDEX(L_Golpes!$A$2:$A$6000,$E$4+339-$G$3-1),IF(339&lt;=$G$5,INDEX(L_Golpes!$A$2:$A$6000,$E$5+339-$G$4-1),IF(339&lt;=$G$6,INDEX(L_Golpes!$A$2:$A$6000,$E$6+339-$G$5-1),"")))))</f>
        <v/>
      </c>
      <c r="B340" s="2"/>
      <c r="C340" s="2"/>
      <c r="D340" s="2"/>
      <c r="E340" s="2"/>
      <c r="F340" s="2"/>
      <c r="G340" s="2"/>
    </row>
    <row r="341" ht="15.75" customHeight="1">
      <c r="A341" s="2" t="str">
        <f t="array" ref="A341">IF(340&lt;=$G$2,INDEX('Golpes extras'!$A$2:$A$101,340),IF(340&lt;=$G$3,INDEX(L_Golpes!$A$2:$A$6000,$E$3+340-$G$2-1),IF(340&lt;=$G$4,INDEX(L_Golpes!$A$2:$A$6000,$E$4+340-$G$3-1),IF(340&lt;=$G$5,INDEX(L_Golpes!$A$2:$A$6000,$E$5+340-$G$4-1),IF(340&lt;=$G$6,INDEX(L_Golpes!$A$2:$A$6000,$E$6+340-$G$5-1),"")))))</f>
        <v/>
      </c>
      <c r="B341" s="2"/>
      <c r="C341" s="2"/>
      <c r="D341" s="2"/>
      <c r="E341" s="2"/>
      <c r="F341" s="2"/>
      <c r="G341" s="2"/>
    </row>
    <row r="342" ht="15.75" customHeight="1">
      <c r="A342" s="2" t="str">
        <f t="array" ref="A342">IF(341&lt;=$G$2,INDEX('Golpes extras'!$A$2:$A$101,341),IF(341&lt;=$G$3,INDEX(L_Golpes!$A$2:$A$6000,$E$3+341-$G$2-1),IF(341&lt;=$G$4,INDEX(L_Golpes!$A$2:$A$6000,$E$4+341-$G$3-1),IF(341&lt;=$G$5,INDEX(L_Golpes!$A$2:$A$6000,$E$5+341-$G$4-1),IF(341&lt;=$G$6,INDEX(L_Golpes!$A$2:$A$6000,$E$6+341-$G$5-1),"")))))</f>
        <v/>
      </c>
      <c r="B342" s="2"/>
      <c r="C342" s="2"/>
      <c r="D342" s="2"/>
      <c r="E342" s="2"/>
      <c r="F342" s="2"/>
      <c r="G342" s="2"/>
    </row>
    <row r="343" ht="15.75" customHeight="1">
      <c r="A343" s="2" t="str">
        <f t="array" ref="A343">IF(342&lt;=$G$2,INDEX('Golpes extras'!$A$2:$A$101,342),IF(342&lt;=$G$3,INDEX(L_Golpes!$A$2:$A$6000,$E$3+342-$G$2-1),IF(342&lt;=$G$4,INDEX(L_Golpes!$A$2:$A$6000,$E$4+342-$G$3-1),IF(342&lt;=$G$5,INDEX(L_Golpes!$A$2:$A$6000,$E$5+342-$G$4-1),IF(342&lt;=$G$6,INDEX(L_Golpes!$A$2:$A$6000,$E$6+342-$G$5-1),"")))))</f>
        <v/>
      </c>
      <c r="B343" s="2"/>
      <c r="C343" s="2"/>
      <c r="D343" s="2"/>
      <c r="E343" s="2"/>
      <c r="F343" s="2"/>
      <c r="G343" s="2"/>
    </row>
    <row r="344" ht="15.75" customHeight="1">
      <c r="A344" s="2" t="str">
        <f t="array" ref="A344">IF(343&lt;=$G$2,INDEX('Golpes extras'!$A$2:$A$101,343),IF(343&lt;=$G$3,INDEX(L_Golpes!$A$2:$A$6000,$E$3+343-$G$2-1),IF(343&lt;=$G$4,INDEX(L_Golpes!$A$2:$A$6000,$E$4+343-$G$3-1),IF(343&lt;=$G$5,INDEX(L_Golpes!$A$2:$A$6000,$E$5+343-$G$4-1),IF(343&lt;=$G$6,INDEX(L_Golpes!$A$2:$A$6000,$E$6+343-$G$5-1),"")))))</f>
        <v/>
      </c>
      <c r="B344" s="2"/>
      <c r="C344" s="2"/>
      <c r="D344" s="2"/>
      <c r="E344" s="2"/>
      <c r="F344" s="2"/>
      <c r="G344" s="2"/>
    </row>
    <row r="345" ht="15.75" customHeight="1">
      <c r="A345" s="2" t="str">
        <f t="array" ref="A345">IF(344&lt;=$G$2,INDEX('Golpes extras'!$A$2:$A$101,344),IF(344&lt;=$G$3,INDEX(L_Golpes!$A$2:$A$6000,$E$3+344-$G$2-1),IF(344&lt;=$G$4,INDEX(L_Golpes!$A$2:$A$6000,$E$4+344-$G$3-1),IF(344&lt;=$G$5,INDEX(L_Golpes!$A$2:$A$6000,$E$5+344-$G$4-1),IF(344&lt;=$G$6,INDEX(L_Golpes!$A$2:$A$6000,$E$6+344-$G$5-1),"")))))</f>
        <v/>
      </c>
      <c r="B345" s="2"/>
      <c r="C345" s="2"/>
      <c r="D345" s="2"/>
      <c r="E345" s="2"/>
      <c r="F345" s="2"/>
      <c r="G345" s="2"/>
    </row>
    <row r="346" ht="15.75" customHeight="1">
      <c r="A346" s="2" t="str">
        <f t="array" ref="A346">IF(345&lt;=$G$2,INDEX('Golpes extras'!$A$2:$A$101,345),IF(345&lt;=$G$3,INDEX(L_Golpes!$A$2:$A$6000,$E$3+345-$G$2-1),IF(345&lt;=$G$4,INDEX(L_Golpes!$A$2:$A$6000,$E$4+345-$G$3-1),IF(345&lt;=$G$5,INDEX(L_Golpes!$A$2:$A$6000,$E$5+345-$G$4-1),IF(345&lt;=$G$6,INDEX(L_Golpes!$A$2:$A$6000,$E$6+345-$G$5-1),"")))))</f>
        <v/>
      </c>
      <c r="B346" s="2"/>
      <c r="C346" s="2"/>
      <c r="D346" s="2"/>
      <c r="E346" s="2"/>
      <c r="F346" s="2"/>
      <c r="G346" s="2"/>
    </row>
    <row r="347" ht="15.75" customHeight="1">
      <c r="A347" s="2" t="str">
        <f t="array" ref="A347">IF(346&lt;=$G$2,INDEX('Golpes extras'!$A$2:$A$101,346),IF(346&lt;=$G$3,INDEX(L_Golpes!$A$2:$A$6000,$E$3+346-$G$2-1),IF(346&lt;=$G$4,INDEX(L_Golpes!$A$2:$A$6000,$E$4+346-$G$3-1),IF(346&lt;=$G$5,INDEX(L_Golpes!$A$2:$A$6000,$E$5+346-$G$4-1),IF(346&lt;=$G$6,INDEX(L_Golpes!$A$2:$A$6000,$E$6+346-$G$5-1),"")))))</f>
        <v/>
      </c>
      <c r="B347" s="2"/>
      <c r="C347" s="2"/>
      <c r="D347" s="2"/>
      <c r="E347" s="2"/>
      <c r="F347" s="2"/>
      <c r="G347" s="2"/>
    </row>
    <row r="348" ht="15.75" customHeight="1">
      <c r="A348" s="2" t="str">
        <f t="array" ref="A348">IF(347&lt;=$G$2,INDEX('Golpes extras'!$A$2:$A$101,347),IF(347&lt;=$G$3,INDEX(L_Golpes!$A$2:$A$6000,$E$3+347-$G$2-1),IF(347&lt;=$G$4,INDEX(L_Golpes!$A$2:$A$6000,$E$4+347-$G$3-1),IF(347&lt;=$G$5,INDEX(L_Golpes!$A$2:$A$6000,$E$5+347-$G$4-1),IF(347&lt;=$G$6,INDEX(L_Golpes!$A$2:$A$6000,$E$6+347-$G$5-1),"")))))</f>
        <v/>
      </c>
      <c r="B348" s="2"/>
      <c r="C348" s="2"/>
      <c r="D348" s="2"/>
      <c r="E348" s="2"/>
      <c r="F348" s="2"/>
      <c r="G348" s="2"/>
    </row>
    <row r="349" ht="15.75" customHeight="1">
      <c r="A349" s="2" t="str">
        <f t="array" ref="A349">IF(348&lt;=$G$2,INDEX('Golpes extras'!$A$2:$A$101,348),IF(348&lt;=$G$3,INDEX(L_Golpes!$A$2:$A$6000,$E$3+348-$G$2-1),IF(348&lt;=$G$4,INDEX(L_Golpes!$A$2:$A$6000,$E$4+348-$G$3-1),IF(348&lt;=$G$5,INDEX(L_Golpes!$A$2:$A$6000,$E$5+348-$G$4-1),IF(348&lt;=$G$6,INDEX(L_Golpes!$A$2:$A$6000,$E$6+348-$G$5-1),"")))))</f>
        <v/>
      </c>
      <c r="B349" s="2"/>
      <c r="C349" s="2"/>
      <c r="D349" s="2"/>
      <c r="E349" s="2"/>
      <c r="F349" s="2"/>
      <c r="G349" s="2"/>
    </row>
    <row r="350" ht="15.75" customHeight="1">
      <c r="A350" s="2" t="str">
        <f t="array" ref="A350">IF(349&lt;=$G$2,INDEX('Golpes extras'!$A$2:$A$101,349),IF(349&lt;=$G$3,INDEX(L_Golpes!$A$2:$A$6000,$E$3+349-$G$2-1),IF(349&lt;=$G$4,INDEX(L_Golpes!$A$2:$A$6000,$E$4+349-$G$3-1),IF(349&lt;=$G$5,INDEX(L_Golpes!$A$2:$A$6000,$E$5+349-$G$4-1),IF(349&lt;=$G$6,INDEX(L_Golpes!$A$2:$A$6000,$E$6+349-$G$5-1),"")))))</f>
        <v/>
      </c>
      <c r="B350" s="2"/>
      <c r="C350" s="2"/>
      <c r="D350" s="2"/>
      <c r="E350" s="2"/>
      <c r="F350" s="2"/>
      <c r="G350" s="2"/>
    </row>
    <row r="351" ht="15.75" customHeight="1">
      <c r="A351" s="2" t="str">
        <f t="array" ref="A351">IF(350&lt;=$G$2,INDEX('Golpes extras'!$A$2:$A$101,350),IF(350&lt;=$G$3,INDEX(L_Golpes!$A$2:$A$6000,$E$3+350-$G$2-1),IF(350&lt;=$G$4,INDEX(L_Golpes!$A$2:$A$6000,$E$4+350-$G$3-1),IF(350&lt;=$G$5,INDEX(L_Golpes!$A$2:$A$6000,$E$5+350-$G$4-1),IF(350&lt;=$G$6,INDEX(L_Golpes!$A$2:$A$6000,$E$6+350-$G$5-1),"")))))</f>
        <v/>
      </c>
      <c r="B351" s="2"/>
      <c r="C351" s="2"/>
      <c r="D351" s="2"/>
      <c r="E351" s="2"/>
      <c r="F351" s="2"/>
      <c r="G351" s="2"/>
    </row>
    <row r="352" ht="15.75" customHeight="1">
      <c r="A352" s="2" t="str">
        <f t="array" ref="A352">IF(351&lt;=$G$2,INDEX('Golpes extras'!$A$2:$A$101,351),IF(351&lt;=$G$3,INDEX(L_Golpes!$A$2:$A$6000,$E$3+351-$G$2-1),IF(351&lt;=$G$4,INDEX(L_Golpes!$A$2:$A$6000,$E$4+351-$G$3-1),IF(351&lt;=$G$5,INDEX(L_Golpes!$A$2:$A$6000,$E$5+351-$G$4-1),IF(351&lt;=$G$6,INDEX(L_Golpes!$A$2:$A$6000,$E$6+351-$G$5-1),"")))))</f>
        <v/>
      </c>
      <c r="B352" s="2"/>
      <c r="C352" s="2"/>
      <c r="D352" s="2"/>
      <c r="E352" s="2"/>
      <c r="F352" s="2"/>
      <c r="G352" s="2"/>
    </row>
    <row r="353" ht="15.75" customHeight="1">
      <c r="A353" s="2" t="str">
        <f t="array" ref="A353">IF(352&lt;=$G$2,INDEX('Golpes extras'!$A$2:$A$101,352),IF(352&lt;=$G$3,INDEX(L_Golpes!$A$2:$A$6000,$E$3+352-$G$2-1),IF(352&lt;=$G$4,INDEX(L_Golpes!$A$2:$A$6000,$E$4+352-$G$3-1),IF(352&lt;=$G$5,INDEX(L_Golpes!$A$2:$A$6000,$E$5+352-$G$4-1),IF(352&lt;=$G$6,INDEX(L_Golpes!$A$2:$A$6000,$E$6+352-$G$5-1),"")))))</f>
        <v/>
      </c>
      <c r="B353" s="2"/>
      <c r="C353" s="2"/>
      <c r="D353" s="2"/>
      <c r="E353" s="2"/>
      <c r="F353" s="2"/>
      <c r="G353" s="2"/>
    </row>
    <row r="354" ht="15.75" customHeight="1">
      <c r="A354" s="2" t="str">
        <f t="array" ref="A354">IF(353&lt;=$G$2,INDEX('Golpes extras'!$A$2:$A$101,353),IF(353&lt;=$G$3,INDEX(L_Golpes!$A$2:$A$6000,$E$3+353-$G$2-1),IF(353&lt;=$G$4,INDEX(L_Golpes!$A$2:$A$6000,$E$4+353-$G$3-1),IF(353&lt;=$G$5,INDEX(L_Golpes!$A$2:$A$6000,$E$5+353-$G$4-1),IF(353&lt;=$G$6,INDEX(L_Golpes!$A$2:$A$6000,$E$6+353-$G$5-1),"")))))</f>
        <v/>
      </c>
      <c r="B354" s="2"/>
      <c r="C354" s="2"/>
      <c r="D354" s="2"/>
      <c r="E354" s="2"/>
      <c r="F354" s="2"/>
      <c r="G354" s="2"/>
    </row>
    <row r="355" ht="15.75" customHeight="1">
      <c r="A355" s="2" t="str">
        <f t="array" ref="A355">IF(354&lt;=$G$2,INDEX('Golpes extras'!$A$2:$A$101,354),IF(354&lt;=$G$3,INDEX(L_Golpes!$A$2:$A$6000,$E$3+354-$G$2-1),IF(354&lt;=$G$4,INDEX(L_Golpes!$A$2:$A$6000,$E$4+354-$G$3-1),IF(354&lt;=$G$5,INDEX(L_Golpes!$A$2:$A$6000,$E$5+354-$G$4-1),IF(354&lt;=$G$6,INDEX(L_Golpes!$A$2:$A$6000,$E$6+354-$G$5-1),"")))))</f>
        <v/>
      </c>
      <c r="B355" s="2"/>
      <c r="C355" s="2"/>
      <c r="D355" s="2"/>
      <c r="E355" s="2"/>
      <c r="F355" s="2"/>
      <c r="G355" s="2"/>
    </row>
    <row r="356" ht="15.75" customHeight="1">
      <c r="A356" s="2" t="str">
        <f t="array" ref="A356">IF(355&lt;=$G$2,INDEX('Golpes extras'!$A$2:$A$101,355),IF(355&lt;=$G$3,INDEX(L_Golpes!$A$2:$A$6000,$E$3+355-$G$2-1),IF(355&lt;=$G$4,INDEX(L_Golpes!$A$2:$A$6000,$E$4+355-$G$3-1),IF(355&lt;=$G$5,INDEX(L_Golpes!$A$2:$A$6000,$E$5+355-$G$4-1),IF(355&lt;=$G$6,INDEX(L_Golpes!$A$2:$A$6000,$E$6+355-$G$5-1),"")))))</f>
        <v/>
      </c>
      <c r="B356" s="2"/>
      <c r="C356" s="2"/>
      <c r="D356" s="2"/>
      <c r="E356" s="2"/>
      <c r="F356" s="2"/>
      <c r="G356" s="2"/>
    </row>
    <row r="357" ht="15.75" customHeight="1">
      <c r="A357" s="2" t="str">
        <f t="array" ref="A357">IF(356&lt;=$G$2,INDEX('Golpes extras'!$A$2:$A$101,356),IF(356&lt;=$G$3,INDEX(L_Golpes!$A$2:$A$6000,$E$3+356-$G$2-1),IF(356&lt;=$G$4,INDEX(L_Golpes!$A$2:$A$6000,$E$4+356-$G$3-1),IF(356&lt;=$G$5,INDEX(L_Golpes!$A$2:$A$6000,$E$5+356-$G$4-1),IF(356&lt;=$G$6,INDEX(L_Golpes!$A$2:$A$6000,$E$6+356-$G$5-1),"")))))</f>
        <v/>
      </c>
      <c r="B357" s="2"/>
      <c r="C357" s="2"/>
      <c r="D357" s="2"/>
      <c r="E357" s="2"/>
      <c r="F357" s="2"/>
      <c r="G357" s="2"/>
    </row>
    <row r="358" ht="15.75" customHeight="1">
      <c r="A358" s="2" t="str">
        <f t="array" ref="A358">IF(357&lt;=$G$2,INDEX('Golpes extras'!$A$2:$A$101,357),IF(357&lt;=$G$3,INDEX(L_Golpes!$A$2:$A$6000,$E$3+357-$G$2-1),IF(357&lt;=$G$4,INDEX(L_Golpes!$A$2:$A$6000,$E$4+357-$G$3-1),IF(357&lt;=$G$5,INDEX(L_Golpes!$A$2:$A$6000,$E$5+357-$G$4-1),IF(357&lt;=$G$6,INDEX(L_Golpes!$A$2:$A$6000,$E$6+357-$G$5-1),"")))))</f>
        <v/>
      </c>
      <c r="B358" s="2"/>
      <c r="C358" s="2"/>
      <c r="D358" s="2"/>
      <c r="E358" s="2"/>
      <c r="F358" s="2"/>
      <c r="G358" s="2"/>
    </row>
    <row r="359" ht="15.75" customHeight="1">
      <c r="A359" s="2" t="str">
        <f t="array" ref="A359">IF(358&lt;=$G$2,INDEX('Golpes extras'!$A$2:$A$101,358),IF(358&lt;=$G$3,INDEX(L_Golpes!$A$2:$A$6000,$E$3+358-$G$2-1),IF(358&lt;=$G$4,INDEX(L_Golpes!$A$2:$A$6000,$E$4+358-$G$3-1),IF(358&lt;=$G$5,INDEX(L_Golpes!$A$2:$A$6000,$E$5+358-$G$4-1),IF(358&lt;=$G$6,INDEX(L_Golpes!$A$2:$A$6000,$E$6+358-$G$5-1),"")))))</f>
        <v/>
      </c>
      <c r="B359" s="2"/>
      <c r="C359" s="2"/>
      <c r="D359" s="2"/>
      <c r="E359" s="2"/>
      <c r="F359" s="2"/>
      <c r="G359" s="2"/>
    </row>
    <row r="360" ht="15.75" customHeight="1">
      <c r="A360" s="2" t="str">
        <f t="array" ref="A360">IF(359&lt;=$G$2,INDEX('Golpes extras'!$A$2:$A$101,359),IF(359&lt;=$G$3,INDEX(L_Golpes!$A$2:$A$6000,$E$3+359-$G$2-1),IF(359&lt;=$G$4,INDEX(L_Golpes!$A$2:$A$6000,$E$4+359-$G$3-1),IF(359&lt;=$G$5,INDEX(L_Golpes!$A$2:$A$6000,$E$5+359-$G$4-1),IF(359&lt;=$G$6,INDEX(L_Golpes!$A$2:$A$6000,$E$6+359-$G$5-1),"")))))</f>
        <v/>
      </c>
      <c r="B360" s="2"/>
      <c r="C360" s="2"/>
      <c r="D360" s="2"/>
      <c r="E360" s="2"/>
      <c r="F360" s="2"/>
      <c r="G360" s="2"/>
    </row>
    <row r="361" ht="15.75" customHeight="1">
      <c r="A361" s="2" t="str">
        <f t="array" ref="A361">IF(360&lt;=$G$2,INDEX('Golpes extras'!$A$2:$A$101,360),IF(360&lt;=$G$3,INDEX(L_Golpes!$A$2:$A$6000,$E$3+360-$G$2-1),IF(360&lt;=$G$4,INDEX(L_Golpes!$A$2:$A$6000,$E$4+360-$G$3-1),IF(360&lt;=$G$5,INDEX(L_Golpes!$A$2:$A$6000,$E$5+360-$G$4-1),IF(360&lt;=$G$6,INDEX(L_Golpes!$A$2:$A$6000,$E$6+360-$G$5-1),"")))))</f>
        <v/>
      </c>
      <c r="B361" s="2"/>
      <c r="C361" s="2"/>
      <c r="D361" s="2"/>
      <c r="E361" s="2"/>
      <c r="F361" s="2"/>
      <c r="G361" s="2"/>
    </row>
    <row r="362" ht="15.75" customHeight="1">
      <c r="A362" s="2" t="str">
        <f t="array" ref="A362">IF(361&lt;=$G$2,INDEX('Golpes extras'!$A$2:$A$101,361),IF(361&lt;=$G$3,INDEX(L_Golpes!$A$2:$A$6000,$E$3+361-$G$2-1),IF(361&lt;=$G$4,INDEX(L_Golpes!$A$2:$A$6000,$E$4+361-$G$3-1),IF(361&lt;=$G$5,INDEX(L_Golpes!$A$2:$A$6000,$E$5+361-$G$4-1),IF(361&lt;=$G$6,INDEX(L_Golpes!$A$2:$A$6000,$E$6+361-$G$5-1),"")))))</f>
        <v/>
      </c>
      <c r="B362" s="2"/>
      <c r="C362" s="2"/>
      <c r="D362" s="2"/>
      <c r="E362" s="2"/>
      <c r="F362" s="2"/>
      <c r="G362" s="2"/>
    </row>
    <row r="363" ht="15.75" customHeight="1">
      <c r="A363" s="2" t="str">
        <f t="array" ref="A363">IF(362&lt;=$G$2,INDEX('Golpes extras'!$A$2:$A$101,362),IF(362&lt;=$G$3,INDEX(L_Golpes!$A$2:$A$6000,$E$3+362-$G$2-1),IF(362&lt;=$G$4,INDEX(L_Golpes!$A$2:$A$6000,$E$4+362-$G$3-1),IF(362&lt;=$G$5,INDEX(L_Golpes!$A$2:$A$6000,$E$5+362-$G$4-1),IF(362&lt;=$G$6,INDEX(L_Golpes!$A$2:$A$6000,$E$6+362-$G$5-1),"")))))</f>
        <v/>
      </c>
      <c r="B363" s="2"/>
      <c r="C363" s="2"/>
      <c r="D363" s="2"/>
      <c r="E363" s="2"/>
      <c r="F363" s="2"/>
      <c r="G363" s="2"/>
    </row>
    <row r="364" ht="15.75" customHeight="1">
      <c r="A364" s="2" t="str">
        <f t="array" ref="A364">IF(363&lt;=$G$2,INDEX('Golpes extras'!$A$2:$A$101,363),IF(363&lt;=$G$3,INDEX(L_Golpes!$A$2:$A$6000,$E$3+363-$G$2-1),IF(363&lt;=$G$4,INDEX(L_Golpes!$A$2:$A$6000,$E$4+363-$G$3-1),IF(363&lt;=$G$5,INDEX(L_Golpes!$A$2:$A$6000,$E$5+363-$G$4-1),IF(363&lt;=$G$6,INDEX(L_Golpes!$A$2:$A$6000,$E$6+363-$G$5-1),"")))))</f>
        <v/>
      </c>
      <c r="B364" s="2"/>
      <c r="C364" s="2"/>
      <c r="D364" s="2"/>
      <c r="E364" s="2"/>
      <c r="F364" s="2"/>
      <c r="G364" s="2"/>
    </row>
    <row r="365" ht="15.75" customHeight="1">
      <c r="A365" s="2" t="str">
        <f t="array" ref="A365">IF(364&lt;=$G$2,INDEX('Golpes extras'!$A$2:$A$101,364),IF(364&lt;=$G$3,INDEX(L_Golpes!$A$2:$A$6000,$E$3+364-$G$2-1),IF(364&lt;=$G$4,INDEX(L_Golpes!$A$2:$A$6000,$E$4+364-$G$3-1),IF(364&lt;=$G$5,INDEX(L_Golpes!$A$2:$A$6000,$E$5+364-$G$4-1),IF(364&lt;=$G$6,INDEX(L_Golpes!$A$2:$A$6000,$E$6+364-$G$5-1),"")))))</f>
        <v/>
      </c>
      <c r="B365" s="2"/>
      <c r="C365" s="2"/>
      <c r="D365" s="2"/>
      <c r="E365" s="2"/>
      <c r="F365" s="2"/>
      <c r="G365" s="2"/>
    </row>
    <row r="366" ht="15.75" customHeight="1">
      <c r="A366" s="2" t="str">
        <f t="array" ref="A366">IF(365&lt;=$G$2,INDEX('Golpes extras'!$A$2:$A$101,365),IF(365&lt;=$G$3,INDEX(L_Golpes!$A$2:$A$6000,$E$3+365-$G$2-1),IF(365&lt;=$G$4,INDEX(L_Golpes!$A$2:$A$6000,$E$4+365-$G$3-1),IF(365&lt;=$G$5,INDEX(L_Golpes!$A$2:$A$6000,$E$5+365-$G$4-1),IF(365&lt;=$G$6,INDEX(L_Golpes!$A$2:$A$6000,$E$6+365-$G$5-1),"")))))</f>
        <v/>
      </c>
      <c r="B366" s="2"/>
      <c r="C366" s="2"/>
      <c r="D366" s="2"/>
      <c r="E366" s="2"/>
      <c r="F366" s="2"/>
      <c r="G366" s="2"/>
    </row>
    <row r="367" ht="15.75" customHeight="1">
      <c r="A367" s="2" t="str">
        <f t="array" ref="A367">IF(366&lt;=$G$2,INDEX('Golpes extras'!$A$2:$A$101,366),IF(366&lt;=$G$3,INDEX(L_Golpes!$A$2:$A$6000,$E$3+366-$G$2-1),IF(366&lt;=$G$4,INDEX(L_Golpes!$A$2:$A$6000,$E$4+366-$G$3-1),IF(366&lt;=$G$5,INDEX(L_Golpes!$A$2:$A$6000,$E$5+366-$G$4-1),IF(366&lt;=$G$6,INDEX(L_Golpes!$A$2:$A$6000,$E$6+366-$G$5-1),"")))))</f>
        <v/>
      </c>
      <c r="B367" s="2"/>
      <c r="C367" s="2"/>
      <c r="D367" s="2"/>
      <c r="E367" s="2"/>
      <c r="F367" s="2"/>
      <c r="G367" s="2"/>
    </row>
    <row r="368" ht="15.75" customHeight="1">
      <c r="A368" s="2" t="str">
        <f t="array" ref="A368">IF(367&lt;=$G$2,INDEX('Golpes extras'!$A$2:$A$101,367),IF(367&lt;=$G$3,INDEX(L_Golpes!$A$2:$A$6000,$E$3+367-$G$2-1),IF(367&lt;=$G$4,INDEX(L_Golpes!$A$2:$A$6000,$E$4+367-$G$3-1),IF(367&lt;=$G$5,INDEX(L_Golpes!$A$2:$A$6000,$E$5+367-$G$4-1),IF(367&lt;=$G$6,INDEX(L_Golpes!$A$2:$A$6000,$E$6+367-$G$5-1),"")))))</f>
        <v/>
      </c>
      <c r="B368" s="2"/>
      <c r="C368" s="2"/>
      <c r="D368" s="2"/>
      <c r="E368" s="2"/>
      <c r="F368" s="2"/>
      <c r="G368" s="2"/>
    </row>
    <row r="369" ht="15.75" customHeight="1">
      <c r="A369" s="2" t="str">
        <f t="array" ref="A369">IF(368&lt;=$G$2,INDEX('Golpes extras'!$A$2:$A$101,368),IF(368&lt;=$G$3,INDEX(L_Golpes!$A$2:$A$6000,$E$3+368-$G$2-1),IF(368&lt;=$G$4,INDEX(L_Golpes!$A$2:$A$6000,$E$4+368-$G$3-1),IF(368&lt;=$G$5,INDEX(L_Golpes!$A$2:$A$6000,$E$5+368-$G$4-1),IF(368&lt;=$G$6,INDEX(L_Golpes!$A$2:$A$6000,$E$6+368-$G$5-1),"")))))</f>
        <v/>
      </c>
      <c r="B369" s="2"/>
      <c r="C369" s="2"/>
      <c r="D369" s="2"/>
      <c r="E369" s="2"/>
      <c r="F369" s="2"/>
      <c r="G369" s="2"/>
    </row>
    <row r="370" ht="15.75" customHeight="1">
      <c r="A370" s="2" t="str">
        <f t="array" ref="A370">IF(369&lt;=$G$2,INDEX('Golpes extras'!$A$2:$A$101,369),IF(369&lt;=$G$3,INDEX(L_Golpes!$A$2:$A$6000,$E$3+369-$G$2-1),IF(369&lt;=$G$4,INDEX(L_Golpes!$A$2:$A$6000,$E$4+369-$G$3-1),IF(369&lt;=$G$5,INDEX(L_Golpes!$A$2:$A$6000,$E$5+369-$G$4-1),IF(369&lt;=$G$6,INDEX(L_Golpes!$A$2:$A$6000,$E$6+369-$G$5-1),"")))))</f>
        <v/>
      </c>
      <c r="B370" s="2"/>
      <c r="C370" s="2"/>
      <c r="D370" s="2"/>
      <c r="E370" s="2"/>
      <c r="F370" s="2"/>
      <c r="G370" s="2"/>
    </row>
    <row r="371" ht="15.75" customHeight="1">
      <c r="A371" s="2" t="str">
        <f t="array" ref="A371">IF(370&lt;=$G$2,INDEX('Golpes extras'!$A$2:$A$101,370),IF(370&lt;=$G$3,INDEX(L_Golpes!$A$2:$A$6000,$E$3+370-$G$2-1),IF(370&lt;=$G$4,INDEX(L_Golpes!$A$2:$A$6000,$E$4+370-$G$3-1),IF(370&lt;=$G$5,INDEX(L_Golpes!$A$2:$A$6000,$E$5+370-$G$4-1),IF(370&lt;=$G$6,INDEX(L_Golpes!$A$2:$A$6000,$E$6+370-$G$5-1),"")))))</f>
        <v/>
      </c>
      <c r="B371" s="2"/>
      <c r="C371" s="2"/>
      <c r="D371" s="2"/>
      <c r="E371" s="2"/>
      <c r="F371" s="2"/>
      <c r="G371" s="2"/>
    </row>
    <row r="372" ht="15.75" customHeight="1">
      <c r="A372" s="2" t="str">
        <f t="array" ref="A372">IF(371&lt;=$G$2,INDEX('Golpes extras'!$A$2:$A$101,371),IF(371&lt;=$G$3,INDEX(L_Golpes!$A$2:$A$6000,$E$3+371-$G$2-1),IF(371&lt;=$G$4,INDEX(L_Golpes!$A$2:$A$6000,$E$4+371-$G$3-1),IF(371&lt;=$G$5,INDEX(L_Golpes!$A$2:$A$6000,$E$5+371-$G$4-1),IF(371&lt;=$G$6,INDEX(L_Golpes!$A$2:$A$6000,$E$6+371-$G$5-1),"")))))</f>
        <v/>
      </c>
      <c r="B372" s="2"/>
      <c r="C372" s="2"/>
      <c r="D372" s="2"/>
      <c r="E372" s="2"/>
      <c r="F372" s="2"/>
      <c r="G372" s="2"/>
    </row>
    <row r="373" ht="15.75" customHeight="1">
      <c r="A373" s="2" t="str">
        <f t="array" ref="A373">IF(372&lt;=$G$2,INDEX('Golpes extras'!$A$2:$A$101,372),IF(372&lt;=$G$3,INDEX(L_Golpes!$A$2:$A$6000,$E$3+372-$G$2-1),IF(372&lt;=$G$4,INDEX(L_Golpes!$A$2:$A$6000,$E$4+372-$G$3-1),IF(372&lt;=$G$5,INDEX(L_Golpes!$A$2:$A$6000,$E$5+372-$G$4-1),IF(372&lt;=$G$6,INDEX(L_Golpes!$A$2:$A$6000,$E$6+372-$G$5-1),"")))))</f>
        <v/>
      </c>
      <c r="B373" s="2"/>
      <c r="C373" s="2"/>
      <c r="D373" s="2"/>
      <c r="E373" s="2"/>
      <c r="F373" s="2"/>
      <c r="G373" s="2"/>
    </row>
    <row r="374" ht="15.75" customHeight="1">
      <c r="A374" s="2" t="str">
        <f t="array" ref="A374">IF(373&lt;=$G$2,INDEX('Golpes extras'!$A$2:$A$101,373),IF(373&lt;=$G$3,INDEX(L_Golpes!$A$2:$A$6000,$E$3+373-$G$2-1),IF(373&lt;=$G$4,INDEX(L_Golpes!$A$2:$A$6000,$E$4+373-$G$3-1),IF(373&lt;=$G$5,INDEX(L_Golpes!$A$2:$A$6000,$E$5+373-$G$4-1),IF(373&lt;=$G$6,INDEX(L_Golpes!$A$2:$A$6000,$E$6+373-$G$5-1),"")))))</f>
        <v/>
      </c>
      <c r="B374" s="2"/>
      <c r="C374" s="2"/>
      <c r="D374" s="2"/>
      <c r="E374" s="2"/>
      <c r="F374" s="2"/>
      <c r="G374" s="2"/>
    </row>
    <row r="375" ht="15.75" customHeight="1">
      <c r="A375" s="2" t="str">
        <f t="array" ref="A375">IF(374&lt;=$G$2,INDEX('Golpes extras'!$A$2:$A$101,374),IF(374&lt;=$G$3,INDEX(L_Golpes!$A$2:$A$6000,$E$3+374-$G$2-1),IF(374&lt;=$G$4,INDEX(L_Golpes!$A$2:$A$6000,$E$4+374-$G$3-1),IF(374&lt;=$G$5,INDEX(L_Golpes!$A$2:$A$6000,$E$5+374-$G$4-1),IF(374&lt;=$G$6,INDEX(L_Golpes!$A$2:$A$6000,$E$6+374-$G$5-1),"")))))</f>
        <v/>
      </c>
      <c r="B375" s="2"/>
      <c r="C375" s="2"/>
      <c r="D375" s="2"/>
      <c r="E375" s="2"/>
      <c r="F375" s="2"/>
      <c r="G375" s="2"/>
    </row>
    <row r="376" ht="15.75" customHeight="1">
      <c r="A376" s="2" t="str">
        <f t="array" ref="A376">IF(375&lt;=$G$2,INDEX('Golpes extras'!$A$2:$A$101,375),IF(375&lt;=$G$3,INDEX(L_Golpes!$A$2:$A$6000,$E$3+375-$G$2-1),IF(375&lt;=$G$4,INDEX(L_Golpes!$A$2:$A$6000,$E$4+375-$G$3-1),IF(375&lt;=$G$5,INDEX(L_Golpes!$A$2:$A$6000,$E$5+375-$G$4-1),IF(375&lt;=$G$6,INDEX(L_Golpes!$A$2:$A$6000,$E$6+375-$G$5-1),"")))))</f>
        <v/>
      </c>
      <c r="B376" s="2"/>
      <c r="C376" s="2"/>
      <c r="D376" s="2"/>
      <c r="E376" s="2"/>
      <c r="F376" s="2"/>
      <c r="G376" s="2"/>
    </row>
    <row r="377" ht="15.75" customHeight="1">
      <c r="A377" s="2" t="str">
        <f t="array" ref="A377">IF(376&lt;=$G$2,INDEX('Golpes extras'!$A$2:$A$101,376),IF(376&lt;=$G$3,INDEX(L_Golpes!$A$2:$A$6000,$E$3+376-$G$2-1),IF(376&lt;=$G$4,INDEX(L_Golpes!$A$2:$A$6000,$E$4+376-$G$3-1),IF(376&lt;=$G$5,INDEX(L_Golpes!$A$2:$A$6000,$E$5+376-$G$4-1),IF(376&lt;=$G$6,INDEX(L_Golpes!$A$2:$A$6000,$E$6+376-$G$5-1),"")))))</f>
        <v/>
      </c>
      <c r="B377" s="2"/>
      <c r="C377" s="2"/>
      <c r="D377" s="2"/>
      <c r="E377" s="2"/>
      <c r="F377" s="2"/>
      <c r="G377" s="2"/>
    </row>
    <row r="378" ht="15.75" customHeight="1">
      <c r="A378" s="2" t="str">
        <f t="array" ref="A378">IF(377&lt;=$G$2,INDEX('Golpes extras'!$A$2:$A$101,377),IF(377&lt;=$G$3,INDEX(L_Golpes!$A$2:$A$6000,$E$3+377-$G$2-1),IF(377&lt;=$G$4,INDEX(L_Golpes!$A$2:$A$6000,$E$4+377-$G$3-1),IF(377&lt;=$G$5,INDEX(L_Golpes!$A$2:$A$6000,$E$5+377-$G$4-1),IF(377&lt;=$G$6,INDEX(L_Golpes!$A$2:$A$6000,$E$6+377-$G$5-1),"")))))</f>
        <v/>
      </c>
      <c r="B378" s="2"/>
      <c r="C378" s="2"/>
      <c r="D378" s="2"/>
      <c r="E378" s="2"/>
      <c r="F378" s="2"/>
      <c r="G378" s="2"/>
    </row>
    <row r="379" ht="15.75" customHeight="1">
      <c r="A379" s="2" t="str">
        <f t="array" ref="A379">IF(378&lt;=$G$2,INDEX('Golpes extras'!$A$2:$A$101,378),IF(378&lt;=$G$3,INDEX(L_Golpes!$A$2:$A$6000,$E$3+378-$G$2-1),IF(378&lt;=$G$4,INDEX(L_Golpes!$A$2:$A$6000,$E$4+378-$G$3-1),IF(378&lt;=$G$5,INDEX(L_Golpes!$A$2:$A$6000,$E$5+378-$G$4-1),IF(378&lt;=$G$6,INDEX(L_Golpes!$A$2:$A$6000,$E$6+378-$G$5-1),"")))))</f>
        <v/>
      </c>
      <c r="B379" s="2"/>
      <c r="C379" s="2"/>
      <c r="D379" s="2"/>
      <c r="E379" s="2"/>
      <c r="F379" s="2"/>
      <c r="G379" s="2"/>
    </row>
    <row r="380" ht="15.75" customHeight="1">
      <c r="A380" s="2" t="str">
        <f t="array" ref="A380">IF(379&lt;=$G$2,INDEX('Golpes extras'!$A$2:$A$101,379),IF(379&lt;=$G$3,INDEX(L_Golpes!$A$2:$A$6000,$E$3+379-$G$2-1),IF(379&lt;=$G$4,INDEX(L_Golpes!$A$2:$A$6000,$E$4+379-$G$3-1),IF(379&lt;=$G$5,INDEX(L_Golpes!$A$2:$A$6000,$E$5+379-$G$4-1),IF(379&lt;=$G$6,INDEX(L_Golpes!$A$2:$A$6000,$E$6+379-$G$5-1),"")))))</f>
        <v/>
      </c>
      <c r="B380" s="2"/>
      <c r="C380" s="2"/>
      <c r="D380" s="2"/>
      <c r="E380" s="2"/>
      <c r="F380" s="2"/>
      <c r="G380" s="2"/>
    </row>
    <row r="381" ht="15.75" customHeight="1">
      <c r="A381" s="2" t="str">
        <f t="array" ref="A381">IF(380&lt;=$G$2,INDEX('Golpes extras'!$A$2:$A$101,380),IF(380&lt;=$G$3,INDEX(L_Golpes!$A$2:$A$6000,$E$3+380-$G$2-1),IF(380&lt;=$G$4,INDEX(L_Golpes!$A$2:$A$6000,$E$4+380-$G$3-1),IF(380&lt;=$G$5,INDEX(L_Golpes!$A$2:$A$6000,$E$5+380-$G$4-1),IF(380&lt;=$G$6,INDEX(L_Golpes!$A$2:$A$6000,$E$6+380-$G$5-1),"")))))</f>
        <v/>
      </c>
      <c r="B381" s="2"/>
      <c r="C381" s="2"/>
      <c r="D381" s="2"/>
      <c r="E381" s="2"/>
      <c r="F381" s="2"/>
      <c r="G381" s="2"/>
    </row>
    <row r="382" ht="15.75" customHeight="1">
      <c r="A382" s="2" t="str">
        <f t="array" ref="A382">IF(381&lt;=$G$2,INDEX('Golpes extras'!$A$2:$A$101,381),IF(381&lt;=$G$3,INDEX(L_Golpes!$A$2:$A$6000,$E$3+381-$G$2-1),IF(381&lt;=$G$4,INDEX(L_Golpes!$A$2:$A$6000,$E$4+381-$G$3-1),IF(381&lt;=$G$5,INDEX(L_Golpes!$A$2:$A$6000,$E$5+381-$G$4-1),IF(381&lt;=$G$6,INDEX(L_Golpes!$A$2:$A$6000,$E$6+381-$G$5-1),"")))))</f>
        <v/>
      </c>
      <c r="B382" s="2"/>
      <c r="C382" s="2"/>
      <c r="D382" s="2"/>
      <c r="E382" s="2"/>
      <c r="F382" s="2"/>
      <c r="G382" s="2"/>
    </row>
    <row r="383" ht="15.75" customHeight="1">
      <c r="A383" s="2" t="str">
        <f t="array" ref="A383">IF(382&lt;=$G$2,INDEX('Golpes extras'!$A$2:$A$101,382),IF(382&lt;=$G$3,INDEX(L_Golpes!$A$2:$A$6000,$E$3+382-$G$2-1),IF(382&lt;=$G$4,INDEX(L_Golpes!$A$2:$A$6000,$E$4+382-$G$3-1),IF(382&lt;=$G$5,INDEX(L_Golpes!$A$2:$A$6000,$E$5+382-$G$4-1),IF(382&lt;=$G$6,INDEX(L_Golpes!$A$2:$A$6000,$E$6+382-$G$5-1),"")))))</f>
        <v/>
      </c>
      <c r="B383" s="2"/>
      <c r="C383" s="2"/>
      <c r="D383" s="2"/>
      <c r="E383" s="2"/>
      <c r="F383" s="2"/>
      <c r="G383" s="2"/>
    </row>
    <row r="384" ht="15.75" customHeight="1">
      <c r="A384" s="2" t="str">
        <f t="array" ref="A384">IF(383&lt;=$G$2,INDEX('Golpes extras'!$A$2:$A$101,383),IF(383&lt;=$G$3,INDEX(L_Golpes!$A$2:$A$6000,$E$3+383-$G$2-1),IF(383&lt;=$G$4,INDEX(L_Golpes!$A$2:$A$6000,$E$4+383-$G$3-1),IF(383&lt;=$G$5,INDEX(L_Golpes!$A$2:$A$6000,$E$5+383-$G$4-1),IF(383&lt;=$G$6,INDEX(L_Golpes!$A$2:$A$6000,$E$6+383-$G$5-1),"")))))</f>
        <v/>
      </c>
      <c r="B384" s="2"/>
      <c r="C384" s="2"/>
      <c r="D384" s="2"/>
      <c r="E384" s="2"/>
      <c r="F384" s="2"/>
      <c r="G384" s="2"/>
    </row>
    <row r="385" ht="15.75" customHeight="1">
      <c r="A385" s="2" t="str">
        <f t="array" ref="A385">IF(384&lt;=$G$2,INDEX('Golpes extras'!$A$2:$A$101,384),IF(384&lt;=$G$3,INDEX(L_Golpes!$A$2:$A$6000,$E$3+384-$G$2-1),IF(384&lt;=$G$4,INDEX(L_Golpes!$A$2:$A$6000,$E$4+384-$G$3-1),IF(384&lt;=$G$5,INDEX(L_Golpes!$A$2:$A$6000,$E$5+384-$G$4-1),IF(384&lt;=$G$6,INDEX(L_Golpes!$A$2:$A$6000,$E$6+384-$G$5-1),"")))))</f>
        <v/>
      </c>
      <c r="B385" s="2"/>
      <c r="C385" s="2"/>
      <c r="D385" s="2"/>
      <c r="E385" s="2"/>
      <c r="F385" s="2"/>
      <c r="G385" s="2"/>
    </row>
    <row r="386" ht="15.75" customHeight="1">
      <c r="A386" s="2" t="str">
        <f t="array" ref="A386">IF(385&lt;=$G$2,INDEX('Golpes extras'!$A$2:$A$101,385),IF(385&lt;=$G$3,INDEX(L_Golpes!$A$2:$A$6000,$E$3+385-$G$2-1),IF(385&lt;=$G$4,INDEX(L_Golpes!$A$2:$A$6000,$E$4+385-$G$3-1),IF(385&lt;=$G$5,INDEX(L_Golpes!$A$2:$A$6000,$E$5+385-$G$4-1),IF(385&lt;=$G$6,INDEX(L_Golpes!$A$2:$A$6000,$E$6+385-$G$5-1),"")))))</f>
        <v/>
      </c>
      <c r="B386" s="2"/>
      <c r="C386" s="2"/>
      <c r="D386" s="2"/>
      <c r="E386" s="2"/>
      <c r="F386" s="2"/>
      <c r="G386" s="2"/>
    </row>
    <row r="387" ht="15.75" customHeight="1">
      <c r="A387" s="2" t="str">
        <f t="array" ref="A387">IF(386&lt;=$G$2,INDEX('Golpes extras'!$A$2:$A$101,386),IF(386&lt;=$G$3,INDEX(L_Golpes!$A$2:$A$6000,$E$3+386-$G$2-1),IF(386&lt;=$G$4,INDEX(L_Golpes!$A$2:$A$6000,$E$4+386-$G$3-1),IF(386&lt;=$G$5,INDEX(L_Golpes!$A$2:$A$6000,$E$5+386-$G$4-1),IF(386&lt;=$G$6,INDEX(L_Golpes!$A$2:$A$6000,$E$6+386-$G$5-1),"")))))</f>
        <v/>
      </c>
      <c r="B387" s="2"/>
      <c r="C387" s="2"/>
      <c r="D387" s="2"/>
      <c r="E387" s="2"/>
      <c r="F387" s="2"/>
      <c r="G387" s="2"/>
    </row>
    <row r="388" ht="15.75" customHeight="1">
      <c r="A388" s="2" t="str">
        <f t="array" ref="A388">IF(387&lt;=$G$2,INDEX('Golpes extras'!$A$2:$A$101,387),IF(387&lt;=$G$3,INDEX(L_Golpes!$A$2:$A$6000,$E$3+387-$G$2-1),IF(387&lt;=$G$4,INDEX(L_Golpes!$A$2:$A$6000,$E$4+387-$G$3-1),IF(387&lt;=$G$5,INDEX(L_Golpes!$A$2:$A$6000,$E$5+387-$G$4-1),IF(387&lt;=$G$6,INDEX(L_Golpes!$A$2:$A$6000,$E$6+387-$G$5-1),"")))))</f>
        <v/>
      </c>
      <c r="B388" s="2"/>
      <c r="C388" s="2"/>
      <c r="D388" s="2"/>
      <c r="E388" s="2"/>
      <c r="F388" s="2"/>
      <c r="G388" s="2"/>
    </row>
    <row r="389" ht="15.75" customHeight="1">
      <c r="A389" s="2" t="str">
        <f t="array" ref="A389">IF(388&lt;=$G$2,INDEX('Golpes extras'!$A$2:$A$101,388),IF(388&lt;=$G$3,INDEX(L_Golpes!$A$2:$A$6000,$E$3+388-$G$2-1),IF(388&lt;=$G$4,INDEX(L_Golpes!$A$2:$A$6000,$E$4+388-$G$3-1),IF(388&lt;=$G$5,INDEX(L_Golpes!$A$2:$A$6000,$E$5+388-$G$4-1),IF(388&lt;=$G$6,INDEX(L_Golpes!$A$2:$A$6000,$E$6+388-$G$5-1),"")))))</f>
        <v/>
      </c>
      <c r="B389" s="2"/>
      <c r="C389" s="2"/>
      <c r="D389" s="2"/>
      <c r="E389" s="2"/>
      <c r="F389" s="2"/>
      <c r="G389" s="2"/>
    </row>
    <row r="390" ht="15.75" customHeight="1">
      <c r="A390" s="2" t="str">
        <f t="array" ref="A390">IF(389&lt;=$G$2,INDEX('Golpes extras'!$A$2:$A$101,389),IF(389&lt;=$G$3,INDEX(L_Golpes!$A$2:$A$6000,$E$3+389-$G$2-1),IF(389&lt;=$G$4,INDEX(L_Golpes!$A$2:$A$6000,$E$4+389-$G$3-1),IF(389&lt;=$G$5,INDEX(L_Golpes!$A$2:$A$6000,$E$5+389-$G$4-1),IF(389&lt;=$G$6,INDEX(L_Golpes!$A$2:$A$6000,$E$6+389-$G$5-1),"")))))</f>
        <v/>
      </c>
      <c r="B390" s="2"/>
      <c r="C390" s="2"/>
      <c r="D390" s="2"/>
      <c r="E390" s="2"/>
      <c r="F390" s="2"/>
      <c r="G390" s="2"/>
    </row>
    <row r="391" ht="15.75" customHeight="1">
      <c r="A391" s="2" t="str">
        <f t="array" ref="A391">IF(390&lt;=$G$2,INDEX('Golpes extras'!$A$2:$A$101,390),IF(390&lt;=$G$3,INDEX(L_Golpes!$A$2:$A$6000,$E$3+390-$G$2-1),IF(390&lt;=$G$4,INDEX(L_Golpes!$A$2:$A$6000,$E$4+390-$G$3-1),IF(390&lt;=$G$5,INDEX(L_Golpes!$A$2:$A$6000,$E$5+390-$G$4-1),IF(390&lt;=$G$6,INDEX(L_Golpes!$A$2:$A$6000,$E$6+390-$G$5-1),"")))))</f>
        <v/>
      </c>
      <c r="B391" s="2"/>
      <c r="C391" s="2"/>
      <c r="D391" s="2"/>
      <c r="E391" s="2"/>
      <c r="F391" s="2"/>
      <c r="G391" s="2"/>
    </row>
    <row r="392" ht="15.75" customHeight="1">
      <c r="A392" s="2" t="str">
        <f t="array" ref="A392">IF(391&lt;=$G$2,INDEX('Golpes extras'!$A$2:$A$101,391),IF(391&lt;=$G$3,INDEX(L_Golpes!$A$2:$A$6000,$E$3+391-$G$2-1),IF(391&lt;=$G$4,INDEX(L_Golpes!$A$2:$A$6000,$E$4+391-$G$3-1),IF(391&lt;=$G$5,INDEX(L_Golpes!$A$2:$A$6000,$E$5+391-$G$4-1),IF(391&lt;=$G$6,INDEX(L_Golpes!$A$2:$A$6000,$E$6+391-$G$5-1),"")))))</f>
        <v/>
      </c>
      <c r="B392" s="2"/>
      <c r="C392" s="2"/>
      <c r="D392" s="2"/>
      <c r="E392" s="2"/>
      <c r="F392" s="2"/>
      <c r="G392" s="2"/>
    </row>
    <row r="393" ht="15.75" customHeight="1">
      <c r="A393" s="2" t="str">
        <f t="array" ref="A393">IF(392&lt;=$G$2,INDEX('Golpes extras'!$A$2:$A$101,392),IF(392&lt;=$G$3,INDEX(L_Golpes!$A$2:$A$6000,$E$3+392-$G$2-1),IF(392&lt;=$G$4,INDEX(L_Golpes!$A$2:$A$6000,$E$4+392-$G$3-1),IF(392&lt;=$G$5,INDEX(L_Golpes!$A$2:$A$6000,$E$5+392-$G$4-1),IF(392&lt;=$G$6,INDEX(L_Golpes!$A$2:$A$6000,$E$6+392-$G$5-1),"")))))</f>
        <v/>
      </c>
      <c r="B393" s="2"/>
      <c r="C393" s="2"/>
      <c r="D393" s="2"/>
      <c r="E393" s="2"/>
      <c r="F393" s="2"/>
      <c r="G393" s="2"/>
    </row>
    <row r="394" ht="15.75" customHeight="1">
      <c r="A394" s="2" t="str">
        <f t="array" ref="A394">IF(393&lt;=$G$2,INDEX('Golpes extras'!$A$2:$A$101,393),IF(393&lt;=$G$3,INDEX(L_Golpes!$A$2:$A$6000,$E$3+393-$G$2-1),IF(393&lt;=$G$4,INDEX(L_Golpes!$A$2:$A$6000,$E$4+393-$G$3-1),IF(393&lt;=$G$5,INDEX(L_Golpes!$A$2:$A$6000,$E$5+393-$G$4-1),IF(393&lt;=$G$6,INDEX(L_Golpes!$A$2:$A$6000,$E$6+393-$G$5-1),"")))))</f>
        <v/>
      </c>
      <c r="B394" s="2"/>
      <c r="C394" s="2"/>
      <c r="D394" s="2"/>
      <c r="E394" s="2"/>
      <c r="F394" s="2"/>
      <c r="G394" s="2"/>
    </row>
    <row r="395" ht="15.75" customHeight="1">
      <c r="A395" s="2" t="str">
        <f t="array" ref="A395">IF(394&lt;=$G$2,INDEX('Golpes extras'!$A$2:$A$101,394),IF(394&lt;=$G$3,INDEX(L_Golpes!$A$2:$A$6000,$E$3+394-$G$2-1),IF(394&lt;=$G$4,INDEX(L_Golpes!$A$2:$A$6000,$E$4+394-$G$3-1),IF(394&lt;=$G$5,INDEX(L_Golpes!$A$2:$A$6000,$E$5+394-$G$4-1),IF(394&lt;=$G$6,INDEX(L_Golpes!$A$2:$A$6000,$E$6+394-$G$5-1),"")))))</f>
        <v/>
      </c>
      <c r="B395" s="2"/>
      <c r="C395" s="2"/>
      <c r="D395" s="2"/>
      <c r="E395" s="2"/>
      <c r="F395" s="2"/>
      <c r="G395" s="2"/>
    </row>
    <row r="396" ht="15.75" customHeight="1">
      <c r="A396" s="2" t="str">
        <f t="array" ref="A396">IF(395&lt;=$G$2,INDEX('Golpes extras'!$A$2:$A$101,395),IF(395&lt;=$G$3,INDEX(L_Golpes!$A$2:$A$6000,$E$3+395-$G$2-1),IF(395&lt;=$G$4,INDEX(L_Golpes!$A$2:$A$6000,$E$4+395-$G$3-1),IF(395&lt;=$G$5,INDEX(L_Golpes!$A$2:$A$6000,$E$5+395-$G$4-1),IF(395&lt;=$G$6,INDEX(L_Golpes!$A$2:$A$6000,$E$6+395-$G$5-1),"")))))</f>
        <v/>
      </c>
      <c r="B396" s="2"/>
      <c r="C396" s="2"/>
      <c r="D396" s="2"/>
      <c r="E396" s="2"/>
      <c r="F396" s="2"/>
      <c r="G396" s="2"/>
    </row>
    <row r="397" ht="15.75" customHeight="1">
      <c r="A397" s="2" t="str">
        <f t="array" ref="A397">IF(396&lt;=$G$2,INDEX('Golpes extras'!$A$2:$A$101,396),IF(396&lt;=$G$3,INDEX(L_Golpes!$A$2:$A$6000,$E$3+396-$G$2-1),IF(396&lt;=$G$4,INDEX(L_Golpes!$A$2:$A$6000,$E$4+396-$G$3-1),IF(396&lt;=$G$5,INDEX(L_Golpes!$A$2:$A$6000,$E$5+396-$G$4-1),IF(396&lt;=$G$6,INDEX(L_Golpes!$A$2:$A$6000,$E$6+396-$G$5-1),"")))))</f>
        <v/>
      </c>
      <c r="B397" s="2"/>
      <c r="C397" s="2"/>
      <c r="D397" s="2"/>
      <c r="E397" s="2"/>
      <c r="F397" s="2"/>
      <c r="G397" s="2"/>
    </row>
    <row r="398" ht="15.75" customHeight="1">
      <c r="A398" s="2" t="str">
        <f t="array" ref="A398">IF(397&lt;=$G$2,INDEX('Golpes extras'!$A$2:$A$101,397),IF(397&lt;=$G$3,INDEX(L_Golpes!$A$2:$A$6000,$E$3+397-$G$2-1),IF(397&lt;=$G$4,INDEX(L_Golpes!$A$2:$A$6000,$E$4+397-$G$3-1),IF(397&lt;=$G$5,INDEX(L_Golpes!$A$2:$A$6000,$E$5+397-$G$4-1),IF(397&lt;=$G$6,INDEX(L_Golpes!$A$2:$A$6000,$E$6+397-$G$5-1),"")))))</f>
        <v/>
      </c>
      <c r="B398" s="2"/>
      <c r="C398" s="2"/>
      <c r="D398" s="2"/>
      <c r="E398" s="2"/>
      <c r="F398" s="2"/>
      <c r="G398" s="2"/>
    </row>
    <row r="399" ht="15.75" customHeight="1">
      <c r="A399" s="2" t="str">
        <f t="array" ref="A399">IF(398&lt;=$G$2,INDEX('Golpes extras'!$A$2:$A$101,398),IF(398&lt;=$G$3,INDEX(L_Golpes!$A$2:$A$6000,$E$3+398-$G$2-1),IF(398&lt;=$G$4,INDEX(L_Golpes!$A$2:$A$6000,$E$4+398-$G$3-1),IF(398&lt;=$G$5,INDEX(L_Golpes!$A$2:$A$6000,$E$5+398-$G$4-1),IF(398&lt;=$G$6,INDEX(L_Golpes!$A$2:$A$6000,$E$6+398-$G$5-1),"")))))</f>
        <v/>
      </c>
      <c r="B399" s="2"/>
      <c r="C399" s="2"/>
      <c r="D399" s="2"/>
      <c r="E399" s="2"/>
      <c r="F399" s="2"/>
      <c r="G399" s="2"/>
    </row>
    <row r="400" ht="15.75" customHeight="1">
      <c r="A400" s="2" t="str">
        <f t="array" ref="A400">IF(399&lt;=$G$2,INDEX('Golpes extras'!$A$2:$A$101,399),IF(399&lt;=$G$3,INDEX(L_Golpes!$A$2:$A$6000,$E$3+399-$G$2-1),IF(399&lt;=$G$4,INDEX(L_Golpes!$A$2:$A$6000,$E$4+399-$G$3-1),IF(399&lt;=$G$5,INDEX(L_Golpes!$A$2:$A$6000,$E$5+399-$G$4-1),IF(399&lt;=$G$6,INDEX(L_Golpes!$A$2:$A$6000,$E$6+399-$G$5-1),"")))))</f>
        <v/>
      </c>
      <c r="B400" s="2"/>
      <c r="C400" s="2"/>
      <c r="D400" s="2"/>
      <c r="E400" s="2"/>
      <c r="F400" s="2"/>
      <c r="G400" s="2"/>
    </row>
    <row r="401" ht="15.75" customHeight="1">
      <c r="A401" s="2" t="str">
        <f t="array" ref="A401">IF(400&lt;=$G$2,INDEX('Golpes extras'!$A$2:$A$101,400),IF(400&lt;=$G$3,INDEX(L_Golpes!$A$2:$A$6000,$E$3+400-$G$2-1),IF(400&lt;=$G$4,INDEX(L_Golpes!$A$2:$A$6000,$E$4+400-$G$3-1),IF(400&lt;=$G$5,INDEX(L_Golpes!$A$2:$A$6000,$E$5+400-$G$4-1),IF(400&lt;=$G$6,INDEX(L_Golpes!$A$2:$A$6000,$E$6+400-$G$5-1),"")))))</f>
        <v/>
      </c>
      <c r="B401" s="2"/>
      <c r="C401" s="2"/>
      <c r="D401" s="2"/>
      <c r="E401" s="2"/>
      <c r="F401" s="2"/>
      <c r="G401" s="2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11" width="8.71"/>
    <col customWidth="1" min="12" max="12" width="40.0"/>
    <col customWidth="1" min="13" max="26" width="8.71"/>
  </cols>
  <sheetData>
    <row r="1">
      <c r="A1" s="36" t="s">
        <v>705</v>
      </c>
      <c r="B1" s="36" t="s">
        <v>53</v>
      </c>
      <c r="C1" s="36" t="s">
        <v>68</v>
      </c>
      <c r="D1" s="36" t="s">
        <v>706</v>
      </c>
      <c r="E1" s="36" t="s">
        <v>337</v>
      </c>
      <c r="F1" s="36" t="s">
        <v>338</v>
      </c>
      <c r="G1" s="36" t="s">
        <v>339</v>
      </c>
      <c r="H1" s="36" t="s">
        <v>340</v>
      </c>
      <c r="I1" s="36" t="s">
        <v>341</v>
      </c>
      <c r="J1" s="36" t="s">
        <v>707</v>
      </c>
      <c r="K1" s="2"/>
      <c r="L1" s="2" t="s">
        <v>708</v>
      </c>
    </row>
    <row r="2">
      <c r="A2" s="2" t="s">
        <v>64</v>
      </c>
      <c r="B2" s="2" t="s">
        <v>709</v>
      </c>
      <c r="C2" s="2" t="s">
        <v>710</v>
      </c>
      <c r="D2" s="2">
        <v>4.0</v>
      </c>
      <c r="E2" s="2">
        <v>12397.0</v>
      </c>
      <c r="F2" s="2">
        <v>191.0</v>
      </c>
      <c r="G2" s="2">
        <v>771.0</v>
      </c>
      <c r="H2" s="2" t="s">
        <v>91</v>
      </c>
      <c r="I2" s="2">
        <v>0.267</v>
      </c>
      <c r="J2" s="2" t="s">
        <v>711</v>
      </c>
      <c r="K2" s="2"/>
      <c r="L2" s="2" t="s">
        <v>712</v>
      </c>
    </row>
    <row r="3">
      <c r="A3" s="2" t="s">
        <v>57</v>
      </c>
      <c r="B3" s="2" t="s">
        <v>713</v>
      </c>
      <c r="C3" s="2" t="s">
        <v>714</v>
      </c>
      <c r="D3" s="2">
        <v>5.0</v>
      </c>
      <c r="E3" s="2">
        <v>11634.0</v>
      </c>
      <c r="F3" s="2">
        <v>127.0</v>
      </c>
      <c r="G3" s="2">
        <v>763.0</v>
      </c>
      <c r="H3" s="2" t="s">
        <v>90</v>
      </c>
      <c r="I3" s="2">
        <v>115.0</v>
      </c>
      <c r="J3" s="2" t="s">
        <v>715</v>
      </c>
      <c r="K3" s="2"/>
      <c r="L3" s="2"/>
    </row>
    <row r="4">
      <c r="A4" s="2" t="s">
        <v>61</v>
      </c>
      <c r="B4" s="2" t="s">
        <v>716</v>
      </c>
      <c r="C4" s="2" t="s">
        <v>717</v>
      </c>
      <c r="D4" s="2">
        <v>4.0</v>
      </c>
      <c r="E4" s="2">
        <v>10657.0</v>
      </c>
      <c r="F4" s="2">
        <v>257.0</v>
      </c>
      <c r="G4" s="2">
        <v>638.0</v>
      </c>
      <c r="H4" s="2" t="s">
        <v>92</v>
      </c>
      <c r="I4" s="2">
        <v>0.24</v>
      </c>
      <c r="J4" s="2" t="s">
        <v>718</v>
      </c>
      <c r="K4" s="2"/>
      <c r="L4" s="2"/>
    </row>
    <row r="5">
      <c r="A5" s="2" t="s">
        <v>46</v>
      </c>
      <c r="B5" s="2" t="s">
        <v>709</v>
      </c>
      <c r="C5" s="2" t="s">
        <v>719</v>
      </c>
      <c r="D5" s="2">
        <v>5.0</v>
      </c>
      <c r="E5" s="2">
        <v>12552.0</v>
      </c>
      <c r="F5" s="2">
        <v>359.0</v>
      </c>
      <c r="G5" s="2">
        <v>792.0</v>
      </c>
      <c r="H5" s="2" t="s">
        <v>100</v>
      </c>
      <c r="I5" s="2">
        <v>0.384</v>
      </c>
      <c r="J5" s="2" t="s">
        <v>720</v>
      </c>
      <c r="K5" s="2"/>
      <c r="L5" s="2"/>
    </row>
    <row r="6">
      <c r="A6" s="2" t="s">
        <v>721</v>
      </c>
      <c r="B6" s="2" t="s">
        <v>722</v>
      </c>
      <c r="C6" s="2" t="s">
        <v>710</v>
      </c>
      <c r="D6" s="2">
        <v>5.0</v>
      </c>
      <c r="E6" s="2">
        <v>11231.0</v>
      </c>
      <c r="F6" s="2">
        <v>219.0</v>
      </c>
      <c r="G6" s="2">
        <v>705.0</v>
      </c>
      <c r="H6" s="2" t="s">
        <v>92</v>
      </c>
      <c r="I6" s="2">
        <v>0.24</v>
      </c>
      <c r="J6" s="2" t="s">
        <v>723</v>
      </c>
      <c r="K6" s="2"/>
      <c r="L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6" width="8.71"/>
  </cols>
  <sheetData>
    <row r="1">
      <c r="A1" s="36" t="s">
        <v>705</v>
      </c>
      <c r="B1" s="36" t="s">
        <v>45</v>
      </c>
      <c r="C1" s="36" t="s">
        <v>706</v>
      </c>
      <c r="D1" s="36" t="s">
        <v>338</v>
      </c>
      <c r="E1" s="36" t="s">
        <v>724</v>
      </c>
      <c r="F1" s="36" t="s">
        <v>725</v>
      </c>
      <c r="G1" s="2"/>
    </row>
    <row r="2">
      <c r="A2" s="2" t="s">
        <v>73</v>
      </c>
      <c r="B2" s="2" t="s">
        <v>719</v>
      </c>
      <c r="C2" s="2">
        <v>5.0</v>
      </c>
      <c r="D2" s="2">
        <v>741.0</v>
      </c>
      <c r="E2" s="2" t="s">
        <v>101</v>
      </c>
      <c r="F2" s="2">
        <v>0.11</v>
      </c>
      <c r="G2" s="2" t="s">
        <v>726</v>
      </c>
    </row>
    <row r="3">
      <c r="A3" s="2" t="s">
        <v>82</v>
      </c>
      <c r="B3" s="2" t="s">
        <v>710</v>
      </c>
      <c r="C3" s="2">
        <v>5.0</v>
      </c>
      <c r="D3" s="2">
        <v>674.0</v>
      </c>
      <c r="E3" s="2" t="s">
        <v>100</v>
      </c>
      <c r="F3" s="2">
        <v>0.441</v>
      </c>
      <c r="G3" s="2" t="s">
        <v>727</v>
      </c>
    </row>
    <row r="4">
      <c r="A4" s="2" t="s">
        <v>267</v>
      </c>
      <c r="B4" s="2" t="s">
        <v>719</v>
      </c>
      <c r="C4" s="2">
        <v>5.0</v>
      </c>
      <c r="D4" s="2">
        <v>608.0</v>
      </c>
      <c r="E4" s="2" t="s">
        <v>101</v>
      </c>
      <c r="F4" s="2">
        <v>0.331</v>
      </c>
      <c r="G4" s="2"/>
    </row>
    <row r="5">
      <c r="A5" s="2" t="s">
        <v>728</v>
      </c>
      <c r="B5" s="2" t="s">
        <v>710</v>
      </c>
      <c r="C5" s="2">
        <v>3.0</v>
      </c>
      <c r="D5" s="2">
        <v>401.0</v>
      </c>
      <c r="E5" s="2" t="s">
        <v>92</v>
      </c>
      <c r="F5" s="2">
        <v>0.352</v>
      </c>
      <c r="G5" s="2" t="s">
        <v>729</v>
      </c>
    </row>
    <row r="6">
      <c r="A6" s="2" t="s">
        <v>78</v>
      </c>
      <c r="B6" s="2" t="s">
        <v>717</v>
      </c>
      <c r="C6" s="2">
        <v>5.0</v>
      </c>
      <c r="D6" s="2">
        <v>608.0</v>
      </c>
      <c r="E6" s="2" t="s">
        <v>91</v>
      </c>
      <c r="F6" s="2">
        <v>0.551</v>
      </c>
      <c r="G6" s="2" t="s">
        <v>730</v>
      </c>
    </row>
    <row r="7">
      <c r="A7" s="2" t="s">
        <v>265</v>
      </c>
      <c r="B7" s="2" t="s">
        <v>719</v>
      </c>
      <c r="C7" s="2">
        <v>4.0</v>
      </c>
      <c r="D7" s="2">
        <v>510.0</v>
      </c>
      <c r="E7" s="2" t="s">
        <v>101</v>
      </c>
      <c r="F7" s="2">
        <v>0.276</v>
      </c>
      <c r="G7" s="2"/>
    </row>
    <row r="8">
      <c r="A8" s="2" t="s">
        <v>75</v>
      </c>
      <c r="B8" s="2" t="s">
        <v>714</v>
      </c>
      <c r="C8" s="2">
        <v>3.0</v>
      </c>
      <c r="D8" s="2">
        <v>401.0</v>
      </c>
      <c r="E8" s="2" t="s">
        <v>212</v>
      </c>
      <c r="F8" s="2">
        <v>0.352</v>
      </c>
      <c r="G8" s="2" t="s">
        <v>731</v>
      </c>
    </row>
    <row r="9">
      <c r="A9" s="2" t="s">
        <v>732</v>
      </c>
      <c r="B9" s="2" t="s">
        <v>719</v>
      </c>
      <c r="C9" s="2">
        <v>5.0</v>
      </c>
      <c r="D9" s="2">
        <v>674.0</v>
      </c>
      <c r="E9" s="2" t="s">
        <v>101</v>
      </c>
      <c r="F9" s="2">
        <v>0.221</v>
      </c>
      <c r="G9" s="2"/>
    </row>
    <row r="10">
      <c r="A10" s="2" t="s">
        <v>263</v>
      </c>
      <c r="B10" s="2" t="s">
        <v>719</v>
      </c>
      <c r="C10" s="2">
        <v>5.0</v>
      </c>
      <c r="D10" s="2">
        <v>608.0</v>
      </c>
      <c r="E10" s="2" t="s">
        <v>92</v>
      </c>
      <c r="F10" s="2">
        <v>0.496</v>
      </c>
      <c r="G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8.71"/>
    <col customWidth="1" min="3" max="3" width="50.0"/>
    <col customWidth="1" min="4" max="4" width="80.0"/>
    <col customWidth="1" min="5" max="26" width="8.71"/>
  </cols>
  <sheetData>
    <row r="1">
      <c r="A1" s="36" t="s">
        <v>705</v>
      </c>
      <c r="B1" s="36" t="s">
        <v>733</v>
      </c>
      <c r="C1" s="36" t="s">
        <v>734</v>
      </c>
      <c r="D1" s="36" t="s">
        <v>735</v>
      </c>
    </row>
    <row r="2">
      <c r="A2" s="2" t="s">
        <v>289</v>
      </c>
      <c r="B2" s="2">
        <v>5.0</v>
      </c>
      <c r="C2" s="2" t="s">
        <v>736</v>
      </c>
      <c r="D2" s="2" t="s">
        <v>737</v>
      </c>
    </row>
    <row r="3">
      <c r="A3" s="2" t="s">
        <v>291</v>
      </c>
      <c r="B3" s="2">
        <v>5.0</v>
      </c>
      <c r="C3" s="2" t="s">
        <v>738</v>
      </c>
      <c r="D3" s="2" t="s">
        <v>739</v>
      </c>
    </row>
    <row r="4">
      <c r="A4" s="2" t="s">
        <v>85</v>
      </c>
      <c r="B4" s="2">
        <v>4.0</v>
      </c>
      <c r="C4" s="2" t="s">
        <v>740</v>
      </c>
      <c r="D4" s="2" t="s">
        <v>741</v>
      </c>
    </row>
    <row r="5">
      <c r="A5" s="2" t="s">
        <v>87</v>
      </c>
      <c r="B5" s="2">
        <v>5.0</v>
      </c>
      <c r="C5" s="2" t="s">
        <v>742</v>
      </c>
      <c r="D5" s="2" t="s">
        <v>743</v>
      </c>
    </row>
    <row r="6">
      <c r="A6" s="2" t="s">
        <v>84</v>
      </c>
      <c r="B6" s="2">
        <v>5.0</v>
      </c>
      <c r="C6" s="2" t="s">
        <v>744</v>
      </c>
      <c r="D6" s="2" t="s">
        <v>745</v>
      </c>
    </row>
    <row r="7">
      <c r="A7" s="2" t="s">
        <v>86</v>
      </c>
      <c r="B7" s="2">
        <v>5.0</v>
      </c>
      <c r="C7" s="2" t="s">
        <v>746</v>
      </c>
      <c r="D7" s="2" t="s">
        <v>747</v>
      </c>
    </row>
    <row r="8">
      <c r="A8" s="2" t="s">
        <v>292</v>
      </c>
      <c r="B8" s="2">
        <v>5.0</v>
      </c>
      <c r="C8" s="2" t="s">
        <v>738</v>
      </c>
      <c r="D8" s="2" t="s">
        <v>748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58.0"/>
    <col customWidth="1" min="2" max="2" width="14.0"/>
    <col customWidth="1" min="3" max="4" width="12.0"/>
    <col customWidth="1" min="5" max="5" width="40.0"/>
    <col customWidth="1" min="6" max="66" width="8.71"/>
  </cols>
  <sheetData>
    <row r="1">
      <c r="A1" s="36" t="s">
        <v>36</v>
      </c>
      <c r="B1" s="36" t="s">
        <v>35</v>
      </c>
      <c r="C1" s="36" t="s">
        <v>47</v>
      </c>
      <c r="D1" s="36" t="s">
        <v>45</v>
      </c>
      <c r="E1" s="36" t="s">
        <v>749</v>
      </c>
      <c r="F1" s="36" t="s">
        <v>750</v>
      </c>
      <c r="G1" s="36" t="s">
        <v>751</v>
      </c>
      <c r="H1" s="36" t="s">
        <v>752</v>
      </c>
      <c r="I1" s="36" t="s">
        <v>753</v>
      </c>
      <c r="J1" s="36" t="s">
        <v>754</v>
      </c>
      <c r="K1" s="36" t="s">
        <v>755</v>
      </c>
      <c r="L1" s="36" t="s">
        <v>756</v>
      </c>
      <c r="M1" s="36" t="s">
        <v>757</v>
      </c>
      <c r="N1" s="36" t="s">
        <v>758</v>
      </c>
      <c r="O1" s="36" t="s">
        <v>759</v>
      </c>
      <c r="P1" s="36" t="s">
        <v>760</v>
      </c>
      <c r="Q1" s="36" t="s">
        <v>761</v>
      </c>
      <c r="R1" s="36" t="s">
        <v>762</v>
      </c>
      <c r="S1" s="36" t="s">
        <v>763</v>
      </c>
      <c r="T1" s="36" t="s">
        <v>764</v>
      </c>
      <c r="U1" s="36" t="s">
        <v>765</v>
      </c>
      <c r="V1" s="36" t="s">
        <v>766</v>
      </c>
      <c r="W1" s="36" t="s">
        <v>767</v>
      </c>
      <c r="X1" s="36" t="s">
        <v>768</v>
      </c>
      <c r="Y1" s="36" t="s">
        <v>769</v>
      </c>
      <c r="Z1" s="36" t="s">
        <v>770</v>
      </c>
      <c r="AA1" s="36" t="s">
        <v>771</v>
      </c>
      <c r="AB1" s="36" t="s">
        <v>772</v>
      </c>
      <c r="AC1" s="36" t="s">
        <v>773</v>
      </c>
      <c r="AD1" s="36" t="s">
        <v>774</v>
      </c>
      <c r="AE1" s="36" t="s">
        <v>775</v>
      </c>
      <c r="AF1" s="36" t="s">
        <v>776</v>
      </c>
      <c r="AG1" s="36" t="s">
        <v>777</v>
      </c>
      <c r="AH1" s="36" t="s">
        <v>778</v>
      </c>
      <c r="AI1" s="36" t="s">
        <v>779</v>
      </c>
      <c r="AJ1" s="36" t="s">
        <v>780</v>
      </c>
      <c r="AK1" s="36" t="s">
        <v>781</v>
      </c>
      <c r="AL1" s="36" t="s">
        <v>782</v>
      </c>
      <c r="AM1" s="36" t="s">
        <v>783</v>
      </c>
      <c r="AN1" s="36" t="s">
        <v>784</v>
      </c>
      <c r="AO1" s="36" t="s">
        <v>785</v>
      </c>
      <c r="AP1" s="36" t="s">
        <v>786</v>
      </c>
      <c r="AQ1" s="36" t="s">
        <v>787</v>
      </c>
      <c r="AR1" s="36" t="s">
        <v>788</v>
      </c>
      <c r="AS1" s="36" t="s">
        <v>789</v>
      </c>
      <c r="AT1" s="36" t="s">
        <v>790</v>
      </c>
      <c r="AU1" s="36" t="s">
        <v>791</v>
      </c>
      <c r="AV1" s="36" t="s">
        <v>792</v>
      </c>
      <c r="AW1" s="36" t="s">
        <v>793</v>
      </c>
      <c r="AX1" s="36" t="s">
        <v>794</v>
      </c>
      <c r="AY1" s="36" t="s">
        <v>795</v>
      </c>
      <c r="AZ1" s="36" t="s">
        <v>796</v>
      </c>
      <c r="BA1" s="36" t="s">
        <v>797</v>
      </c>
      <c r="BB1" s="36" t="s">
        <v>798</v>
      </c>
      <c r="BC1" s="36" t="s">
        <v>799</v>
      </c>
      <c r="BD1" s="36" t="s">
        <v>800</v>
      </c>
      <c r="BE1" s="36" t="s">
        <v>801</v>
      </c>
      <c r="BF1" s="36" t="s">
        <v>802</v>
      </c>
      <c r="BG1" s="36" t="s">
        <v>803</v>
      </c>
      <c r="BH1" s="36" t="s">
        <v>804</v>
      </c>
      <c r="BI1" s="36" t="s">
        <v>805</v>
      </c>
      <c r="BJ1" s="36" t="s">
        <v>806</v>
      </c>
      <c r="BK1" s="36" t="s">
        <v>807</v>
      </c>
      <c r="BL1" s="36" t="s">
        <v>808</v>
      </c>
      <c r="BM1" s="36" t="s">
        <v>809</v>
      </c>
      <c r="BN1" s="36" t="s">
        <v>810</v>
      </c>
    </row>
    <row r="2">
      <c r="A2" s="2" t="s">
        <v>811</v>
      </c>
      <c r="B2" s="2" t="s">
        <v>64</v>
      </c>
      <c r="C2" s="2" t="s">
        <v>812</v>
      </c>
      <c r="D2" s="2" t="s">
        <v>812</v>
      </c>
      <c r="E2" s="2" t="s">
        <v>813</v>
      </c>
      <c r="F2" s="2">
        <v>0.4455</v>
      </c>
      <c r="G2" s="2">
        <v>0.4817</v>
      </c>
      <c r="H2" s="2">
        <v>0.518</v>
      </c>
      <c r="I2" s="2">
        <v>0.5698</v>
      </c>
      <c r="J2" s="2">
        <v>0.6061</v>
      </c>
      <c r="K2" s="2">
        <v>0.6475</v>
      </c>
      <c r="L2" s="2">
        <v>0.7045</v>
      </c>
      <c r="M2" s="2">
        <v>0.7615</v>
      </c>
      <c r="N2" s="2">
        <v>0.8184</v>
      </c>
      <c r="O2" s="2">
        <v>0.8806</v>
      </c>
      <c r="P2" s="2">
        <v>0.9428</v>
      </c>
      <c r="Q2" s="2">
        <v>1.0049</v>
      </c>
      <c r="R2" s="2">
        <v>1.0671</v>
      </c>
      <c r="S2" s="2">
        <v>1.1292</v>
      </c>
      <c r="T2" s="2">
        <v>1.1914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0.0</v>
      </c>
      <c r="BC2" s="2">
        <v>0.0</v>
      </c>
      <c r="BD2" s="2">
        <v>0.0</v>
      </c>
      <c r="BE2" s="2">
        <v>0.0</v>
      </c>
      <c r="BF2" s="2">
        <v>0.0</v>
      </c>
      <c r="BG2" s="2">
        <v>0.0</v>
      </c>
      <c r="BH2" s="2">
        <v>0.0</v>
      </c>
      <c r="BI2" s="2">
        <v>0.0</v>
      </c>
      <c r="BJ2" s="2">
        <v>0.0</v>
      </c>
      <c r="BK2" s="2">
        <v>0.0</v>
      </c>
      <c r="BL2" s="2">
        <v>0.0</v>
      </c>
      <c r="BM2" s="2">
        <v>0.0</v>
      </c>
      <c r="BN2" s="2">
        <v>1.0</v>
      </c>
    </row>
    <row r="3">
      <c r="A3" s="2" t="s">
        <v>814</v>
      </c>
      <c r="B3" s="2" t="s">
        <v>64</v>
      </c>
      <c r="C3" s="2" t="s">
        <v>812</v>
      </c>
      <c r="D3" s="2" t="s">
        <v>812</v>
      </c>
      <c r="E3" s="2" t="s">
        <v>815</v>
      </c>
      <c r="F3" s="2">
        <v>0.4274</v>
      </c>
      <c r="G3" s="2">
        <v>0.4622</v>
      </c>
      <c r="H3" s="2">
        <v>0.497</v>
      </c>
      <c r="I3" s="2">
        <v>0.5467</v>
      </c>
      <c r="J3" s="2">
        <v>0.5815</v>
      </c>
      <c r="K3" s="2">
        <v>0.6212</v>
      </c>
      <c r="L3" s="2">
        <v>0.6759</v>
      </c>
      <c r="M3" s="2">
        <v>0.7306</v>
      </c>
      <c r="N3" s="2">
        <v>0.7853</v>
      </c>
      <c r="O3" s="2">
        <v>0.8449</v>
      </c>
      <c r="P3" s="2">
        <v>0.9045</v>
      </c>
      <c r="Q3" s="2">
        <v>0.9642</v>
      </c>
      <c r="R3" s="2">
        <v>1.0238</v>
      </c>
      <c r="S3" s="2">
        <v>1.0835</v>
      </c>
      <c r="T3" s="2">
        <v>1.1431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1.0</v>
      </c>
    </row>
    <row r="4">
      <c r="A4" s="2" t="s">
        <v>816</v>
      </c>
      <c r="B4" s="2" t="s">
        <v>64</v>
      </c>
      <c r="C4" s="2" t="s">
        <v>812</v>
      </c>
      <c r="D4" s="2" t="s">
        <v>812</v>
      </c>
      <c r="E4" s="2" t="s">
        <v>817</v>
      </c>
      <c r="F4" s="2">
        <v>0.5461</v>
      </c>
      <c r="G4" s="2">
        <v>0.5906</v>
      </c>
      <c r="H4" s="2">
        <v>0.635</v>
      </c>
      <c r="I4" s="2">
        <v>0.6985</v>
      </c>
      <c r="J4" s="2">
        <v>0.743</v>
      </c>
      <c r="K4" s="2">
        <v>0.7937</v>
      </c>
      <c r="L4" s="2">
        <v>0.8636</v>
      </c>
      <c r="M4" s="2">
        <v>0.9334</v>
      </c>
      <c r="N4" s="2">
        <v>1.0033</v>
      </c>
      <c r="O4" s="2">
        <v>1.0795</v>
      </c>
      <c r="P4" s="2">
        <v>1.1557</v>
      </c>
      <c r="Q4" s="2">
        <v>1.2319</v>
      </c>
      <c r="R4" s="2">
        <v>1.3081</v>
      </c>
      <c r="S4" s="2">
        <v>1.3843</v>
      </c>
      <c r="T4" s="2">
        <v>1.4605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1.0</v>
      </c>
    </row>
    <row r="5">
      <c r="A5" s="2" t="s">
        <v>818</v>
      </c>
      <c r="B5" s="2" t="s">
        <v>64</v>
      </c>
      <c r="C5" s="2" t="s">
        <v>812</v>
      </c>
      <c r="D5" s="2" t="s">
        <v>812</v>
      </c>
      <c r="E5" s="2" t="s">
        <v>819</v>
      </c>
      <c r="F5" s="2">
        <v>0.5968</v>
      </c>
      <c r="G5" s="2">
        <v>0.6454</v>
      </c>
      <c r="H5" s="2">
        <v>0.694</v>
      </c>
      <c r="I5" s="2">
        <v>0.7634</v>
      </c>
      <c r="J5" s="2">
        <v>0.812</v>
      </c>
      <c r="K5" s="2">
        <v>0.8675</v>
      </c>
      <c r="L5" s="2">
        <v>0.9438</v>
      </c>
      <c r="M5" s="2">
        <v>1.0202</v>
      </c>
      <c r="N5" s="2">
        <v>1.0965</v>
      </c>
      <c r="O5" s="2">
        <v>1.1798</v>
      </c>
      <c r="P5" s="2">
        <v>1.2631</v>
      </c>
      <c r="Q5" s="2">
        <v>1.3464</v>
      </c>
      <c r="R5" s="2">
        <v>1.4296</v>
      </c>
      <c r="S5" s="2">
        <v>1.5129</v>
      </c>
      <c r="T5" s="2">
        <v>1.5962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1.0</v>
      </c>
    </row>
    <row r="6">
      <c r="A6" s="2" t="s">
        <v>820</v>
      </c>
      <c r="B6" s="2" t="s">
        <v>64</v>
      </c>
      <c r="C6" s="2" t="s">
        <v>812</v>
      </c>
      <c r="D6" s="2" t="s">
        <v>812</v>
      </c>
      <c r="E6" s="2" t="s">
        <v>821</v>
      </c>
      <c r="F6" s="2">
        <v>0.719</v>
      </c>
      <c r="G6" s="2">
        <v>0.7775</v>
      </c>
      <c r="H6" s="2">
        <v>0.836</v>
      </c>
      <c r="I6" s="2">
        <v>0.9196</v>
      </c>
      <c r="J6" s="2">
        <v>0.9781</v>
      </c>
      <c r="K6" s="2">
        <v>1.045</v>
      </c>
      <c r="L6" s="2">
        <v>1.137</v>
      </c>
      <c r="M6" s="2">
        <v>1.2289</v>
      </c>
      <c r="N6" s="2">
        <v>1.3209</v>
      </c>
      <c r="O6" s="2">
        <v>1.4212</v>
      </c>
      <c r="P6" s="2">
        <v>1.5215</v>
      </c>
      <c r="Q6" s="2">
        <v>1.6218</v>
      </c>
      <c r="R6" s="2">
        <v>1.7222</v>
      </c>
      <c r="S6" s="2">
        <v>1.8225</v>
      </c>
      <c r="T6" s="2">
        <v>1.9228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0.0</v>
      </c>
      <c r="BE6" s="2">
        <v>0.0</v>
      </c>
      <c r="BF6" s="2">
        <v>0.0</v>
      </c>
      <c r="BG6" s="2">
        <v>0.0</v>
      </c>
      <c r="BH6" s="2">
        <v>0.0</v>
      </c>
      <c r="BI6" s="2">
        <v>0.0</v>
      </c>
      <c r="BJ6" s="2">
        <v>0.0</v>
      </c>
      <c r="BK6" s="2">
        <v>0.0</v>
      </c>
      <c r="BL6" s="2">
        <v>0.0</v>
      </c>
      <c r="BM6" s="2">
        <v>0.0</v>
      </c>
      <c r="BN6" s="2">
        <v>1.0</v>
      </c>
    </row>
    <row r="7">
      <c r="A7" s="2" t="s">
        <v>822</v>
      </c>
      <c r="B7" s="2" t="s">
        <v>64</v>
      </c>
      <c r="C7" s="2" t="s">
        <v>812</v>
      </c>
      <c r="D7" s="2" t="s">
        <v>823</v>
      </c>
      <c r="E7" s="2" t="s">
        <v>824</v>
      </c>
      <c r="F7" s="2">
        <v>1.1662</v>
      </c>
      <c r="G7" s="2">
        <v>1.2611</v>
      </c>
      <c r="H7" s="2">
        <v>1.356</v>
      </c>
      <c r="I7" s="2">
        <v>1.4916</v>
      </c>
      <c r="J7" s="2">
        <v>1.5865</v>
      </c>
      <c r="K7" s="2">
        <v>1.695</v>
      </c>
      <c r="L7" s="2">
        <v>1.8442</v>
      </c>
      <c r="M7" s="2">
        <v>1.9933</v>
      </c>
      <c r="N7" s="2">
        <v>2.1425</v>
      </c>
      <c r="O7" s="2">
        <v>2.3052</v>
      </c>
      <c r="P7" s="2">
        <v>2.4679</v>
      </c>
      <c r="Q7" s="2">
        <v>2.6306</v>
      </c>
      <c r="R7" s="2">
        <v>2.7934</v>
      </c>
      <c r="S7" s="2">
        <v>2.9561</v>
      </c>
      <c r="T7" s="2">
        <v>3.1188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2.0</v>
      </c>
    </row>
    <row r="8">
      <c r="A8" s="2" t="s">
        <v>825</v>
      </c>
      <c r="B8" s="2" t="s">
        <v>64</v>
      </c>
      <c r="C8" s="2" t="s">
        <v>812</v>
      </c>
      <c r="D8" s="2" t="s">
        <v>826</v>
      </c>
      <c r="E8" s="2" t="s">
        <v>827</v>
      </c>
      <c r="F8" s="2">
        <v>0.6393</v>
      </c>
      <c r="G8" s="2">
        <v>0.6914</v>
      </c>
      <c r="H8" s="2">
        <v>0.7434</v>
      </c>
      <c r="I8" s="2">
        <v>0.8177</v>
      </c>
      <c r="J8" s="2">
        <v>0.8698</v>
      </c>
      <c r="K8" s="2">
        <v>0.9293</v>
      </c>
      <c r="L8" s="2">
        <v>1.011</v>
      </c>
      <c r="M8" s="2">
        <v>1.0928</v>
      </c>
      <c r="N8" s="2">
        <v>1.1746</v>
      </c>
      <c r="O8" s="2">
        <v>1.2638</v>
      </c>
      <c r="P8" s="2">
        <v>1.353</v>
      </c>
      <c r="Q8" s="2">
        <v>1.4422</v>
      </c>
      <c r="R8" s="2">
        <v>1.5314</v>
      </c>
      <c r="S8" s="2">
        <v>1.6206</v>
      </c>
      <c r="T8" s="2">
        <v>1.7098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1.0</v>
      </c>
    </row>
    <row r="9">
      <c r="A9" s="2" t="s">
        <v>828</v>
      </c>
      <c r="B9" s="2" t="s">
        <v>64</v>
      </c>
      <c r="C9" s="2" t="s">
        <v>812</v>
      </c>
      <c r="D9" s="2" t="s">
        <v>826</v>
      </c>
      <c r="E9" s="2" t="s">
        <v>829</v>
      </c>
      <c r="F9" s="2">
        <v>1.2784</v>
      </c>
      <c r="G9" s="2">
        <v>1.3824</v>
      </c>
      <c r="H9" s="2">
        <v>1.4865</v>
      </c>
      <c r="I9" s="2">
        <v>1.6351</v>
      </c>
      <c r="J9" s="2">
        <v>1.7392</v>
      </c>
      <c r="K9" s="2">
        <v>1.8581</v>
      </c>
      <c r="L9" s="2">
        <v>2.0216</v>
      </c>
      <c r="M9" s="2">
        <v>2.1851</v>
      </c>
      <c r="N9" s="2">
        <v>2.3486</v>
      </c>
      <c r="O9" s="2">
        <v>2.527</v>
      </c>
      <c r="P9" s="2">
        <v>2.7054</v>
      </c>
      <c r="Q9" s="2">
        <v>2.8838</v>
      </c>
      <c r="R9" s="2">
        <v>3.0622</v>
      </c>
      <c r="S9" s="2">
        <v>3.2405</v>
      </c>
      <c r="T9" s="2">
        <v>3.4189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1.0</v>
      </c>
    </row>
    <row r="10">
      <c r="A10" s="2" t="s">
        <v>830</v>
      </c>
      <c r="B10" s="2" t="s">
        <v>64</v>
      </c>
      <c r="C10" s="2" t="s">
        <v>812</v>
      </c>
      <c r="D10" s="2" t="s">
        <v>826</v>
      </c>
      <c r="E10" s="2" t="s">
        <v>829</v>
      </c>
      <c r="F10" s="2">
        <v>1.5968</v>
      </c>
      <c r="G10" s="2">
        <v>1.7267</v>
      </c>
      <c r="H10" s="2">
        <v>1.8567</v>
      </c>
      <c r="I10" s="2">
        <v>2.0424</v>
      </c>
      <c r="J10" s="2">
        <v>2.1723</v>
      </c>
      <c r="K10" s="2">
        <v>2.3209</v>
      </c>
      <c r="L10" s="2">
        <v>2.5251</v>
      </c>
      <c r="M10" s="2">
        <v>2.7293</v>
      </c>
      <c r="N10" s="2">
        <v>2.9336</v>
      </c>
      <c r="O10" s="2">
        <v>3.1564</v>
      </c>
      <c r="P10" s="2">
        <v>3.3792</v>
      </c>
      <c r="Q10" s="2">
        <v>3.602</v>
      </c>
      <c r="R10" s="2">
        <v>3.8248</v>
      </c>
      <c r="S10" s="2">
        <v>4.0476</v>
      </c>
      <c r="T10" s="2">
        <v>4.2704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1.0</v>
      </c>
    </row>
    <row r="11">
      <c r="A11" s="2" t="s">
        <v>831</v>
      </c>
      <c r="B11" s="2" t="s">
        <v>64</v>
      </c>
      <c r="C11" s="2" t="s">
        <v>832</v>
      </c>
      <c r="D11" s="2" t="s">
        <v>832</v>
      </c>
      <c r="E11" s="2" t="s">
        <v>833</v>
      </c>
      <c r="F11" s="2">
        <v>1.376</v>
      </c>
      <c r="G11" s="2">
        <v>1.4792</v>
      </c>
      <c r="H11" s="2">
        <v>1.5824</v>
      </c>
      <c r="I11" s="2">
        <v>1.72</v>
      </c>
      <c r="J11" s="2">
        <v>1.8232</v>
      </c>
      <c r="K11" s="2">
        <v>1.9264</v>
      </c>
      <c r="L11" s="2">
        <v>2.064</v>
      </c>
      <c r="M11" s="2">
        <v>2.2016</v>
      </c>
      <c r="N11" s="2">
        <v>2.3392</v>
      </c>
      <c r="O11" s="2">
        <v>2.4768</v>
      </c>
      <c r="P11" s="2">
        <v>2.6144</v>
      </c>
      <c r="Q11" s="2">
        <v>2.752</v>
      </c>
      <c r="R11" s="2">
        <v>2.924</v>
      </c>
      <c r="S11" s="2">
        <v>3.096</v>
      </c>
      <c r="T11" s="2">
        <v>3.268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0.0</v>
      </c>
      <c r="BJ11" s="2">
        <v>0.0</v>
      </c>
      <c r="BK11" s="2">
        <v>0.0</v>
      </c>
      <c r="BL11" s="2">
        <v>0.0</v>
      </c>
      <c r="BM11" s="2">
        <v>0.0</v>
      </c>
      <c r="BN11" s="2">
        <v>1.0</v>
      </c>
    </row>
    <row r="12">
      <c r="A12" s="2" t="s">
        <v>834</v>
      </c>
      <c r="B12" s="2" t="s">
        <v>64</v>
      </c>
      <c r="C12" s="2" t="s">
        <v>832</v>
      </c>
      <c r="D12" s="2" t="s">
        <v>832</v>
      </c>
      <c r="E12" s="2" t="s">
        <v>835</v>
      </c>
      <c r="F12" s="2">
        <v>1.76</v>
      </c>
      <c r="G12" s="2">
        <v>1.892</v>
      </c>
      <c r="H12" s="2">
        <v>2.024</v>
      </c>
      <c r="I12" s="2">
        <v>2.2</v>
      </c>
      <c r="J12" s="2">
        <v>2.332</v>
      </c>
      <c r="K12" s="2">
        <v>2.464</v>
      </c>
      <c r="L12" s="2">
        <v>2.64</v>
      </c>
      <c r="M12" s="2">
        <v>2.816</v>
      </c>
      <c r="N12" s="2">
        <v>2.992</v>
      </c>
      <c r="O12" s="2">
        <v>3.168</v>
      </c>
      <c r="P12" s="2">
        <v>3.344</v>
      </c>
      <c r="Q12" s="2">
        <v>3.52</v>
      </c>
      <c r="R12" s="2">
        <v>3.74</v>
      </c>
      <c r="S12" s="2">
        <v>3.96</v>
      </c>
      <c r="T12" s="2">
        <v>4.18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2.0</v>
      </c>
    </row>
    <row r="13">
      <c r="A13" s="2" t="s">
        <v>836</v>
      </c>
      <c r="B13" s="2" t="s">
        <v>64</v>
      </c>
      <c r="C13" s="2" t="s">
        <v>832</v>
      </c>
      <c r="D13" s="2" t="s">
        <v>832</v>
      </c>
      <c r="E13" s="2" t="s">
        <v>837</v>
      </c>
      <c r="F13" s="2">
        <v>1.84</v>
      </c>
      <c r="G13" s="2">
        <v>1.978</v>
      </c>
      <c r="H13" s="2">
        <v>2.116</v>
      </c>
      <c r="I13" s="2">
        <v>2.3</v>
      </c>
      <c r="J13" s="2">
        <v>2.438</v>
      </c>
      <c r="K13" s="2">
        <v>2.576</v>
      </c>
      <c r="L13" s="2">
        <v>2.76</v>
      </c>
      <c r="M13" s="2">
        <v>2.944</v>
      </c>
      <c r="N13" s="2">
        <v>3.128</v>
      </c>
      <c r="O13" s="2">
        <v>3.312</v>
      </c>
      <c r="P13" s="2">
        <v>3.496</v>
      </c>
      <c r="Q13" s="2">
        <v>3.68</v>
      </c>
      <c r="R13" s="2">
        <v>3.91</v>
      </c>
      <c r="S13" s="2">
        <v>4.14</v>
      </c>
      <c r="T13" s="2">
        <v>4.37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2.0</v>
      </c>
    </row>
    <row r="14">
      <c r="A14" s="2" t="s">
        <v>838</v>
      </c>
      <c r="B14" s="2" t="s">
        <v>64</v>
      </c>
      <c r="C14" s="2" t="s">
        <v>832</v>
      </c>
      <c r="D14" s="2" t="s">
        <v>832</v>
      </c>
      <c r="E14" s="2" t="s">
        <v>839</v>
      </c>
      <c r="F14" s="2">
        <v>1.32</v>
      </c>
      <c r="G14" s="2">
        <v>1.419</v>
      </c>
      <c r="H14" s="2">
        <v>1.518</v>
      </c>
      <c r="I14" s="2">
        <v>1.65</v>
      </c>
      <c r="J14" s="2">
        <v>1.749</v>
      </c>
      <c r="K14" s="2">
        <v>1.848</v>
      </c>
      <c r="L14" s="2">
        <v>1.98</v>
      </c>
      <c r="M14" s="2">
        <v>2.112</v>
      </c>
      <c r="N14" s="2">
        <v>2.244</v>
      </c>
      <c r="O14" s="2">
        <v>2.376</v>
      </c>
      <c r="P14" s="2">
        <v>2.508</v>
      </c>
      <c r="Q14" s="2">
        <v>2.64</v>
      </c>
      <c r="R14" s="2">
        <v>2.805</v>
      </c>
      <c r="S14" s="2">
        <v>2.97</v>
      </c>
      <c r="T14" s="2">
        <v>3.135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1.0</v>
      </c>
    </row>
    <row r="15">
      <c r="A15" s="2" t="s">
        <v>501</v>
      </c>
      <c r="B15" s="2" t="s">
        <v>64</v>
      </c>
      <c r="C15" s="2" t="s">
        <v>840</v>
      </c>
      <c r="D15" s="2" t="s">
        <v>840</v>
      </c>
      <c r="E15" s="2" t="s">
        <v>841</v>
      </c>
      <c r="F15" s="2">
        <v>2.328</v>
      </c>
      <c r="G15" s="2">
        <v>2.5026</v>
      </c>
      <c r="H15" s="2">
        <v>2.6772</v>
      </c>
      <c r="I15" s="2">
        <v>2.91</v>
      </c>
      <c r="J15" s="2">
        <v>3.0846</v>
      </c>
      <c r="K15" s="2">
        <v>3.2592</v>
      </c>
      <c r="L15" s="2">
        <v>3.492</v>
      </c>
      <c r="M15" s="2">
        <v>3.7248</v>
      </c>
      <c r="N15" s="2">
        <v>3.9576</v>
      </c>
      <c r="O15" s="2">
        <v>4.1904</v>
      </c>
      <c r="P15" s="2">
        <v>4.4232</v>
      </c>
      <c r="Q15" s="2">
        <v>4.656</v>
      </c>
      <c r="R15" s="2">
        <v>4.947</v>
      </c>
      <c r="S15" s="2">
        <v>5.238</v>
      </c>
      <c r="T15" s="2">
        <v>5.529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0.0</v>
      </c>
      <c r="BD15" s="2">
        <v>0.0</v>
      </c>
      <c r="BE15" s="2">
        <v>0.0</v>
      </c>
      <c r="BF15" s="2">
        <v>0.0</v>
      </c>
      <c r="BG15" s="2">
        <v>0.0</v>
      </c>
      <c r="BH15" s="2">
        <v>0.0</v>
      </c>
      <c r="BI15" s="2">
        <v>0.0</v>
      </c>
      <c r="BJ15" s="2">
        <v>0.0</v>
      </c>
      <c r="BK15" s="2">
        <v>0.0</v>
      </c>
      <c r="BL15" s="2">
        <v>0.0</v>
      </c>
      <c r="BM15" s="2">
        <v>0.0</v>
      </c>
      <c r="BN15" s="2">
        <v>1.0</v>
      </c>
    </row>
    <row r="16">
      <c r="A16" s="2" t="s">
        <v>842</v>
      </c>
      <c r="B16" s="2" t="s">
        <v>57</v>
      </c>
      <c r="C16" s="2" t="s">
        <v>812</v>
      </c>
      <c r="D16" s="2" t="s">
        <v>812</v>
      </c>
      <c r="E16" s="2" t="s">
        <v>813</v>
      </c>
      <c r="F16" s="2">
        <v>0.4341</v>
      </c>
      <c r="G16" s="2">
        <v>0.4666</v>
      </c>
      <c r="H16" s="2">
        <v>0.4992</v>
      </c>
      <c r="I16" s="2">
        <v>0.5426</v>
      </c>
      <c r="J16" s="2">
        <v>0.5751</v>
      </c>
      <c r="K16" s="2">
        <v>0.6077</v>
      </c>
      <c r="L16" s="2">
        <v>0.6511</v>
      </c>
      <c r="M16" s="2">
        <v>0.6945</v>
      </c>
      <c r="N16" s="2">
        <v>0.7379</v>
      </c>
      <c r="O16" s="2">
        <v>0.7813</v>
      </c>
      <c r="P16" s="2">
        <v>0.8247</v>
      </c>
      <c r="Q16" s="2">
        <v>0.8681</v>
      </c>
      <c r="R16" s="2">
        <v>0.9224</v>
      </c>
      <c r="S16" s="2">
        <v>0.9767</v>
      </c>
      <c r="T16" s="2">
        <v>1.0309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1.0</v>
      </c>
    </row>
    <row r="17">
      <c r="A17" s="2" t="s">
        <v>843</v>
      </c>
      <c r="B17" s="2" t="s">
        <v>57</v>
      </c>
      <c r="C17" s="2" t="s">
        <v>812</v>
      </c>
      <c r="D17" s="2" t="s">
        <v>812</v>
      </c>
      <c r="E17" s="2" t="s">
        <v>815</v>
      </c>
      <c r="F17" s="2">
        <v>0.3881</v>
      </c>
      <c r="G17" s="2">
        <v>0.4172</v>
      </c>
      <c r="H17" s="2">
        <v>0.4464</v>
      </c>
      <c r="I17" s="2">
        <v>0.4852</v>
      </c>
      <c r="J17" s="2">
        <v>0.5143</v>
      </c>
      <c r="K17" s="2">
        <v>0.5434</v>
      </c>
      <c r="L17" s="2">
        <v>0.5822</v>
      </c>
      <c r="M17" s="2">
        <v>0.621</v>
      </c>
      <c r="N17" s="2">
        <v>0.6598</v>
      </c>
      <c r="O17" s="2">
        <v>0.6986</v>
      </c>
      <c r="P17" s="2">
        <v>0.7375</v>
      </c>
      <c r="Q17" s="2">
        <v>0.7763</v>
      </c>
      <c r="R17" s="2">
        <v>0.8248</v>
      </c>
      <c r="S17" s="2">
        <v>0.8733</v>
      </c>
      <c r="T17" s="2">
        <v>0.9218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1.0</v>
      </c>
    </row>
    <row r="18">
      <c r="A18" s="2" t="s">
        <v>844</v>
      </c>
      <c r="B18" s="2" t="s">
        <v>57</v>
      </c>
      <c r="C18" s="2" t="s">
        <v>812</v>
      </c>
      <c r="D18" s="2" t="s">
        <v>812</v>
      </c>
      <c r="E18" s="2" t="s">
        <v>817</v>
      </c>
      <c r="F18" s="2">
        <v>0.5377</v>
      </c>
      <c r="G18" s="2">
        <v>0.578</v>
      </c>
      <c r="H18" s="2">
        <v>0.6184</v>
      </c>
      <c r="I18" s="2">
        <v>0.6721</v>
      </c>
      <c r="J18" s="2">
        <v>0.7125</v>
      </c>
      <c r="K18" s="2">
        <v>0.7528</v>
      </c>
      <c r="L18" s="2">
        <v>0.8066</v>
      </c>
      <c r="M18" s="2">
        <v>0.8603</v>
      </c>
      <c r="N18" s="2">
        <v>0.9141</v>
      </c>
      <c r="O18" s="2">
        <v>0.9679</v>
      </c>
      <c r="P18" s="2">
        <v>1.0217</v>
      </c>
      <c r="Q18" s="2">
        <v>1.0754</v>
      </c>
      <c r="R18" s="2">
        <v>1.1426</v>
      </c>
      <c r="S18" s="2">
        <v>1.2099</v>
      </c>
      <c r="T18" s="2">
        <v>1.2771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0.0</v>
      </c>
      <c r="BE18" s="2">
        <v>0.0</v>
      </c>
      <c r="BF18" s="2">
        <v>0.0</v>
      </c>
      <c r="BG18" s="2">
        <v>0.0</v>
      </c>
      <c r="BH18" s="2">
        <v>0.0</v>
      </c>
      <c r="BI18" s="2">
        <v>0.0</v>
      </c>
      <c r="BJ18" s="2">
        <v>0.0</v>
      </c>
      <c r="BK18" s="2">
        <v>0.0</v>
      </c>
      <c r="BL18" s="2">
        <v>0.0</v>
      </c>
      <c r="BM18" s="2">
        <v>0.0</v>
      </c>
      <c r="BN18" s="2">
        <v>1.0</v>
      </c>
    </row>
    <row r="19">
      <c r="A19" s="2" t="s">
        <v>845</v>
      </c>
      <c r="B19" s="2" t="s">
        <v>57</v>
      </c>
      <c r="C19" s="2" t="s">
        <v>812</v>
      </c>
      <c r="D19" s="2" t="s">
        <v>823</v>
      </c>
      <c r="E19" s="2" t="s">
        <v>824</v>
      </c>
      <c r="F19" s="2">
        <v>0.992</v>
      </c>
      <c r="G19" s="2">
        <v>1.0664</v>
      </c>
      <c r="H19" s="2">
        <v>1.1408</v>
      </c>
      <c r="I19" s="2">
        <v>1.24</v>
      </c>
      <c r="J19" s="2">
        <v>1.3144</v>
      </c>
      <c r="K19" s="2">
        <v>1.3888</v>
      </c>
      <c r="L19" s="2">
        <v>1.488</v>
      </c>
      <c r="M19" s="2">
        <v>1.5872</v>
      </c>
      <c r="N19" s="2">
        <v>1.6864</v>
      </c>
      <c r="O19" s="2">
        <v>1.7856</v>
      </c>
      <c r="P19" s="2">
        <v>1.8848</v>
      </c>
      <c r="Q19" s="2">
        <v>1.984</v>
      </c>
      <c r="R19" s="2">
        <v>2.108</v>
      </c>
      <c r="S19" s="2">
        <v>2.232</v>
      </c>
      <c r="T19" s="2">
        <v>2.356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1.0</v>
      </c>
    </row>
    <row r="20">
      <c r="A20" s="2" t="s">
        <v>846</v>
      </c>
      <c r="B20" s="2" t="s">
        <v>57</v>
      </c>
      <c r="C20" s="2" t="s">
        <v>812</v>
      </c>
      <c r="D20" s="2" t="s">
        <v>826</v>
      </c>
      <c r="E20" s="2" t="s">
        <v>827</v>
      </c>
      <c r="F20" s="2">
        <v>0.5683</v>
      </c>
      <c r="G20" s="2">
        <v>0.6145</v>
      </c>
      <c r="H20" s="2">
        <v>0.6608</v>
      </c>
      <c r="I20" s="2">
        <v>0.7269</v>
      </c>
      <c r="J20" s="2">
        <v>0.7731</v>
      </c>
      <c r="K20" s="2">
        <v>0.826</v>
      </c>
      <c r="L20" s="2">
        <v>0.8987</v>
      </c>
      <c r="M20" s="2">
        <v>0.9714</v>
      </c>
      <c r="N20" s="2">
        <v>1.0441</v>
      </c>
      <c r="O20" s="2">
        <v>1.1234</v>
      </c>
      <c r="P20" s="2">
        <v>1.2027</v>
      </c>
      <c r="Q20" s="2">
        <v>1.282</v>
      </c>
      <c r="R20" s="2">
        <v>1.3612</v>
      </c>
      <c r="S20" s="2">
        <v>1.4405</v>
      </c>
      <c r="T20" s="2">
        <v>1.5198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1.0</v>
      </c>
    </row>
    <row r="21" ht="15.75" customHeight="1">
      <c r="A21" s="2" t="s">
        <v>847</v>
      </c>
      <c r="B21" s="2" t="s">
        <v>57</v>
      </c>
      <c r="C21" s="2" t="s">
        <v>812</v>
      </c>
      <c r="D21" s="2" t="s">
        <v>826</v>
      </c>
      <c r="E21" s="2" t="s">
        <v>829</v>
      </c>
      <c r="F21" s="2">
        <v>1.1363</v>
      </c>
      <c r="G21" s="2">
        <v>1.2288</v>
      </c>
      <c r="H21" s="2">
        <v>1.3213</v>
      </c>
      <c r="I21" s="2">
        <v>1.4535</v>
      </c>
      <c r="J21" s="2">
        <v>1.5459</v>
      </c>
      <c r="K21" s="2">
        <v>1.6516</v>
      </c>
      <c r="L21" s="2">
        <v>1.797</v>
      </c>
      <c r="M21" s="2">
        <v>1.9423</v>
      </c>
      <c r="N21" s="2">
        <v>2.0877</v>
      </c>
      <c r="O21" s="2">
        <v>2.2462</v>
      </c>
      <c r="P21" s="2">
        <v>2.4048</v>
      </c>
      <c r="Q21" s="2">
        <v>2.5634</v>
      </c>
      <c r="R21" s="2">
        <v>2.7219</v>
      </c>
      <c r="S21" s="2">
        <v>2.8805</v>
      </c>
      <c r="T21" s="2">
        <v>3.039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0.0</v>
      </c>
      <c r="BN21" s="2">
        <v>1.0</v>
      </c>
    </row>
    <row r="22" ht="15.75" customHeight="1">
      <c r="A22" s="2" t="s">
        <v>848</v>
      </c>
      <c r="B22" s="2" t="s">
        <v>57</v>
      </c>
      <c r="C22" s="2" t="s">
        <v>812</v>
      </c>
      <c r="D22" s="2" t="s">
        <v>826</v>
      </c>
      <c r="E22" s="2" t="s">
        <v>829</v>
      </c>
      <c r="F22" s="2">
        <v>1.4193</v>
      </c>
      <c r="G22" s="2">
        <v>1.5349</v>
      </c>
      <c r="H22" s="2">
        <v>1.6504</v>
      </c>
      <c r="I22" s="2">
        <v>1.8154</v>
      </c>
      <c r="J22" s="2">
        <v>1.931</v>
      </c>
      <c r="K22" s="2">
        <v>2.063</v>
      </c>
      <c r="L22" s="2">
        <v>2.2445</v>
      </c>
      <c r="M22" s="2">
        <v>2.4261</v>
      </c>
      <c r="N22" s="2">
        <v>2.6076</v>
      </c>
      <c r="O22" s="2">
        <v>2.8057</v>
      </c>
      <c r="P22" s="2">
        <v>3.0037</v>
      </c>
      <c r="Q22" s="2">
        <v>3.2018</v>
      </c>
      <c r="R22" s="2">
        <v>3.3998</v>
      </c>
      <c r="S22" s="2">
        <v>3.5979</v>
      </c>
      <c r="T22" s="2">
        <v>3.7959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1.0</v>
      </c>
    </row>
    <row r="23" ht="15.75" customHeight="1">
      <c r="A23" s="2" t="s">
        <v>179</v>
      </c>
      <c r="B23" s="2" t="s">
        <v>57</v>
      </c>
      <c r="C23" s="2" t="s">
        <v>832</v>
      </c>
      <c r="D23" s="2" t="s">
        <v>832</v>
      </c>
      <c r="E23" s="2" t="s">
        <v>849</v>
      </c>
      <c r="F23" s="2">
        <v>0.7296</v>
      </c>
      <c r="G23" s="2">
        <v>0.7843</v>
      </c>
      <c r="H23" s="2">
        <v>0.839</v>
      </c>
      <c r="I23" s="2">
        <v>0.912</v>
      </c>
      <c r="J23" s="2">
        <v>0.9667</v>
      </c>
      <c r="K23" s="2">
        <v>1.0214</v>
      </c>
      <c r="L23" s="2">
        <v>1.0944</v>
      </c>
      <c r="M23" s="2">
        <v>1.1674</v>
      </c>
      <c r="N23" s="2">
        <v>1.2403</v>
      </c>
      <c r="O23" s="2">
        <v>1.3133</v>
      </c>
      <c r="P23" s="2">
        <v>1.3862</v>
      </c>
      <c r="Q23" s="2">
        <v>1.4592</v>
      </c>
      <c r="R23" s="2">
        <v>1.5504</v>
      </c>
      <c r="S23" s="2">
        <v>1.6416</v>
      </c>
      <c r="T23" s="2">
        <v>1.7328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1.0</v>
      </c>
    </row>
    <row r="24" ht="15.75" customHeight="1">
      <c r="A24" s="2" t="s">
        <v>182</v>
      </c>
      <c r="B24" s="2" t="s">
        <v>57</v>
      </c>
      <c r="C24" s="2" t="s">
        <v>832</v>
      </c>
      <c r="D24" s="2" t="s">
        <v>832</v>
      </c>
      <c r="E24" s="2" t="s">
        <v>850</v>
      </c>
      <c r="F24" s="2">
        <v>0.1702</v>
      </c>
      <c r="G24" s="2">
        <v>0.183</v>
      </c>
      <c r="H24" s="2">
        <v>0.1958</v>
      </c>
      <c r="I24" s="2">
        <v>0.2128</v>
      </c>
      <c r="J24" s="2">
        <v>0.2256</v>
      </c>
      <c r="K24" s="2">
        <v>0.2383</v>
      </c>
      <c r="L24" s="2">
        <v>0.2554</v>
      </c>
      <c r="M24" s="2">
        <v>0.2724</v>
      </c>
      <c r="N24" s="2">
        <v>0.2894</v>
      </c>
      <c r="O24" s="2">
        <v>0.3064</v>
      </c>
      <c r="P24" s="2">
        <v>0.3235</v>
      </c>
      <c r="Q24" s="2">
        <v>0.3405</v>
      </c>
      <c r="R24" s="2">
        <v>0.3618</v>
      </c>
      <c r="S24" s="2">
        <v>0.383</v>
      </c>
      <c r="T24" s="2">
        <v>0.4043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1.0</v>
      </c>
    </row>
    <row r="25" ht="15.75" customHeight="1">
      <c r="A25" s="2" t="s">
        <v>186</v>
      </c>
      <c r="B25" s="2" t="s">
        <v>57</v>
      </c>
      <c r="C25" s="2" t="s">
        <v>840</v>
      </c>
      <c r="D25" s="2" t="s">
        <v>840</v>
      </c>
      <c r="E25" s="2" t="s">
        <v>851</v>
      </c>
      <c r="F25" s="2">
        <v>5.376</v>
      </c>
      <c r="G25" s="2">
        <v>5.7792</v>
      </c>
      <c r="H25" s="2">
        <v>6.1824</v>
      </c>
      <c r="I25" s="2">
        <v>6.72</v>
      </c>
      <c r="J25" s="2">
        <v>7.1232</v>
      </c>
      <c r="K25" s="2">
        <v>7.5264</v>
      </c>
      <c r="L25" s="2">
        <v>8.064</v>
      </c>
      <c r="M25" s="2">
        <v>8.6016</v>
      </c>
      <c r="N25" s="2">
        <v>9.1392</v>
      </c>
      <c r="O25" s="2">
        <v>9.6768</v>
      </c>
      <c r="P25" s="2">
        <v>10.2144</v>
      </c>
      <c r="Q25" s="2">
        <v>10.752</v>
      </c>
      <c r="R25" s="2">
        <v>11.424</v>
      </c>
      <c r="S25" s="2">
        <v>12.096</v>
      </c>
      <c r="T25" s="2">
        <v>12.768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1.0</v>
      </c>
    </row>
    <row r="26" ht="15.75" customHeight="1">
      <c r="A26" s="2" t="s">
        <v>486</v>
      </c>
      <c r="B26" s="2" t="s">
        <v>57</v>
      </c>
      <c r="C26" s="2" t="s">
        <v>840</v>
      </c>
      <c r="D26" s="2" t="s">
        <v>840</v>
      </c>
      <c r="E26" s="2" t="s">
        <v>852</v>
      </c>
      <c r="F26" s="2">
        <v>1.344</v>
      </c>
      <c r="G26" s="2">
        <v>1.4448</v>
      </c>
      <c r="H26" s="2">
        <v>1.5456</v>
      </c>
      <c r="I26" s="2">
        <v>1.68</v>
      </c>
      <c r="J26" s="2">
        <v>1.7808</v>
      </c>
      <c r="K26" s="2">
        <v>1.8816</v>
      </c>
      <c r="L26" s="2">
        <v>2.016</v>
      </c>
      <c r="M26" s="2">
        <v>2.1504</v>
      </c>
      <c r="N26" s="2">
        <v>2.2848</v>
      </c>
      <c r="O26" s="2">
        <v>2.4192</v>
      </c>
      <c r="P26" s="2">
        <v>2.5536</v>
      </c>
      <c r="Q26" s="2">
        <v>2.688</v>
      </c>
      <c r="R26" s="2">
        <v>2.856</v>
      </c>
      <c r="S26" s="2">
        <v>3.024</v>
      </c>
      <c r="T26" s="2">
        <v>3.192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1.0</v>
      </c>
    </row>
    <row r="27" ht="15.75" customHeight="1">
      <c r="A27" s="2" t="s">
        <v>853</v>
      </c>
      <c r="B27" s="2" t="s">
        <v>61</v>
      </c>
      <c r="C27" s="2" t="s">
        <v>812</v>
      </c>
      <c r="D27" s="2" t="s">
        <v>812</v>
      </c>
      <c r="E27" s="2" t="s">
        <v>813</v>
      </c>
      <c r="F27" s="2">
        <v>0.4698</v>
      </c>
      <c r="G27" s="2">
        <v>0.508</v>
      </c>
      <c r="H27" s="2">
        <v>0.5462</v>
      </c>
      <c r="I27" s="2">
        <v>0.6009</v>
      </c>
      <c r="J27" s="2">
        <v>0.6391</v>
      </c>
      <c r="K27" s="2">
        <v>0.6828</v>
      </c>
      <c r="L27" s="2">
        <v>0.7429</v>
      </c>
      <c r="M27" s="2">
        <v>0.803</v>
      </c>
      <c r="N27" s="2">
        <v>0.863</v>
      </c>
      <c r="O27" s="2">
        <v>0.9286</v>
      </c>
      <c r="P27" s="2">
        <v>0.9941</v>
      </c>
      <c r="Q27" s="2">
        <v>1.0597</v>
      </c>
      <c r="R27" s="2">
        <v>1.1252</v>
      </c>
      <c r="S27" s="2">
        <v>1.1908</v>
      </c>
      <c r="T27" s="2">
        <v>1.2563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1.0</v>
      </c>
    </row>
    <row r="28" ht="15.75" customHeight="1">
      <c r="A28" s="2" t="s">
        <v>854</v>
      </c>
      <c r="B28" s="2" t="s">
        <v>61</v>
      </c>
      <c r="C28" s="2" t="s">
        <v>812</v>
      </c>
      <c r="D28" s="2" t="s">
        <v>812</v>
      </c>
      <c r="E28" s="2" t="s">
        <v>815</v>
      </c>
      <c r="F28" s="2">
        <v>0.4276</v>
      </c>
      <c r="G28" s="2">
        <v>0.4625</v>
      </c>
      <c r="H28" s="2">
        <v>0.4973</v>
      </c>
      <c r="I28" s="2">
        <v>0.547</v>
      </c>
      <c r="J28" s="2">
        <v>0.5818</v>
      </c>
      <c r="K28" s="2">
        <v>0.6216</v>
      </c>
      <c r="L28" s="2">
        <v>0.6763</v>
      </c>
      <c r="M28" s="2">
        <v>0.731</v>
      </c>
      <c r="N28" s="2">
        <v>0.7857</v>
      </c>
      <c r="O28" s="2">
        <v>0.8453</v>
      </c>
      <c r="P28" s="2">
        <v>0.905</v>
      </c>
      <c r="Q28" s="2">
        <v>0.9647</v>
      </c>
      <c r="R28" s="2">
        <v>1.0244</v>
      </c>
      <c r="S28" s="2">
        <v>1.084</v>
      </c>
      <c r="T28" s="2">
        <v>1.1437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1.0</v>
      </c>
    </row>
    <row r="29" ht="15.75" customHeight="1">
      <c r="A29" s="2" t="s">
        <v>855</v>
      </c>
      <c r="B29" s="2" t="s">
        <v>61</v>
      </c>
      <c r="C29" s="2" t="s">
        <v>812</v>
      </c>
      <c r="D29" s="2" t="s">
        <v>812</v>
      </c>
      <c r="E29" s="2" t="s">
        <v>817</v>
      </c>
      <c r="F29" s="2">
        <v>0.6439</v>
      </c>
      <c r="G29" s="2">
        <v>0.6963</v>
      </c>
      <c r="H29" s="2">
        <v>0.7487</v>
      </c>
      <c r="I29" s="2">
        <v>0.8236</v>
      </c>
      <c r="J29" s="2">
        <v>0.876</v>
      </c>
      <c r="K29" s="2">
        <v>0.9359</v>
      </c>
      <c r="L29" s="2">
        <v>1.0182</v>
      </c>
      <c r="M29" s="2">
        <v>1.1006</v>
      </c>
      <c r="N29" s="2">
        <v>1.1829</v>
      </c>
      <c r="O29" s="2">
        <v>1.2728</v>
      </c>
      <c r="P29" s="2">
        <v>1.3626</v>
      </c>
      <c r="Q29" s="2">
        <v>1.4525</v>
      </c>
      <c r="R29" s="2">
        <v>1.5423</v>
      </c>
      <c r="S29" s="2">
        <v>1.6322</v>
      </c>
      <c r="T29" s="2">
        <v>1.722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1.0</v>
      </c>
    </row>
    <row r="30" ht="15.75" customHeight="1">
      <c r="A30" s="2" t="s">
        <v>856</v>
      </c>
      <c r="B30" s="2" t="s">
        <v>61</v>
      </c>
      <c r="C30" s="2" t="s">
        <v>812</v>
      </c>
      <c r="D30" s="2" t="s">
        <v>823</v>
      </c>
      <c r="E30" s="2" t="s">
        <v>824</v>
      </c>
      <c r="F30" s="2">
        <v>1.0028</v>
      </c>
      <c r="G30" s="2">
        <v>1.0844</v>
      </c>
      <c r="H30" s="2">
        <v>1.166</v>
      </c>
      <c r="I30" s="2">
        <v>1.2826</v>
      </c>
      <c r="J30" s="2">
        <v>1.3642</v>
      </c>
      <c r="K30" s="2">
        <v>1.4575</v>
      </c>
      <c r="L30" s="2">
        <v>1.5858</v>
      </c>
      <c r="M30" s="2">
        <v>1.714</v>
      </c>
      <c r="N30" s="2">
        <v>1.8423</v>
      </c>
      <c r="O30" s="2">
        <v>1.9822</v>
      </c>
      <c r="P30" s="2">
        <v>2.1221</v>
      </c>
      <c r="Q30" s="2">
        <v>2.262</v>
      </c>
      <c r="R30" s="2">
        <v>2.402</v>
      </c>
      <c r="S30" s="2">
        <v>2.5419</v>
      </c>
      <c r="T30" s="2">
        <v>2.6818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1.0</v>
      </c>
    </row>
    <row r="31" ht="15.75" customHeight="1">
      <c r="A31" s="2" t="s">
        <v>857</v>
      </c>
      <c r="B31" s="2" t="s">
        <v>61</v>
      </c>
      <c r="C31" s="2" t="s">
        <v>812</v>
      </c>
      <c r="D31" s="2" t="s">
        <v>812</v>
      </c>
      <c r="E31" s="2" t="s">
        <v>858</v>
      </c>
      <c r="F31" s="2">
        <v>0.8419</v>
      </c>
      <c r="G31" s="2">
        <v>0.9105</v>
      </c>
      <c r="H31" s="2">
        <v>0.979</v>
      </c>
      <c r="I31" s="2">
        <v>1.0769</v>
      </c>
      <c r="J31" s="2">
        <v>1.1454</v>
      </c>
      <c r="K31" s="2">
        <v>1.2237</v>
      </c>
      <c r="L31" s="2">
        <v>1.3314</v>
      </c>
      <c r="M31" s="2">
        <v>1.4391</v>
      </c>
      <c r="N31" s="2">
        <v>1.5468</v>
      </c>
      <c r="O31" s="2">
        <v>1.6643</v>
      </c>
      <c r="P31" s="2">
        <v>1.7818</v>
      </c>
      <c r="Q31" s="2">
        <v>1.8993</v>
      </c>
      <c r="R31" s="2">
        <v>2.0167</v>
      </c>
      <c r="S31" s="2">
        <v>2.1342</v>
      </c>
      <c r="T31" s="2">
        <v>2.2517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1.0</v>
      </c>
    </row>
    <row r="32" ht="15.75" customHeight="1">
      <c r="A32" s="2" t="s">
        <v>859</v>
      </c>
      <c r="B32" s="2" t="s">
        <v>61</v>
      </c>
      <c r="C32" s="2" t="s">
        <v>812</v>
      </c>
      <c r="D32" s="2" t="s">
        <v>826</v>
      </c>
      <c r="E32" s="2" t="s">
        <v>827</v>
      </c>
      <c r="F32" s="2">
        <v>0.6393</v>
      </c>
      <c r="G32" s="2">
        <v>0.6914</v>
      </c>
      <c r="H32" s="2">
        <v>0.7434</v>
      </c>
      <c r="I32" s="2">
        <v>0.8177</v>
      </c>
      <c r="J32" s="2">
        <v>0.8698</v>
      </c>
      <c r="K32" s="2">
        <v>0.9293</v>
      </c>
      <c r="L32" s="2">
        <v>1.011</v>
      </c>
      <c r="M32" s="2">
        <v>1.0928</v>
      </c>
      <c r="N32" s="2">
        <v>1.1746</v>
      </c>
      <c r="O32" s="2">
        <v>1.2638</v>
      </c>
      <c r="P32" s="2">
        <v>1.353</v>
      </c>
      <c r="Q32" s="2">
        <v>1.4422</v>
      </c>
      <c r="R32" s="2">
        <v>1.5314</v>
      </c>
      <c r="S32" s="2">
        <v>1.6206</v>
      </c>
      <c r="T32" s="2">
        <v>1.7098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1.0</v>
      </c>
    </row>
    <row r="33" ht="15.75" customHeight="1">
      <c r="A33" s="2" t="s">
        <v>860</v>
      </c>
      <c r="B33" s="2" t="s">
        <v>61</v>
      </c>
      <c r="C33" s="2" t="s">
        <v>812</v>
      </c>
      <c r="D33" s="2" t="s">
        <v>826</v>
      </c>
      <c r="E33" s="2" t="s">
        <v>829</v>
      </c>
      <c r="F33" s="2">
        <v>1.2784</v>
      </c>
      <c r="G33" s="2">
        <v>1.3824</v>
      </c>
      <c r="H33" s="2">
        <v>1.4865</v>
      </c>
      <c r="I33" s="2">
        <v>1.6351</v>
      </c>
      <c r="J33" s="2">
        <v>1.7392</v>
      </c>
      <c r="K33" s="2">
        <v>1.8581</v>
      </c>
      <c r="L33" s="2">
        <v>2.0216</v>
      </c>
      <c r="M33" s="2">
        <v>2.1851</v>
      </c>
      <c r="N33" s="2">
        <v>2.3486</v>
      </c>
      <c r="O33" s="2">
        <v>2.527</v>
      </c>
      <c r="P33" s="2">
        <v>2.7054</v>
      </c>
      <c r="Q33" s="2">
        <v>2.8838</v>
      </c>
      <c r="R33" s="2">
        <v>3.0622</v>
      </c>
      <c r="S33" s="2">
        <v>3.2405</v>
      </c>
      <c r="T33" s="2">
        <v>3.4189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1.0</v>
      </c>
    </row>
    <row r="34" ht="15.75" customHeight="1">
      <c r="A34" s="2" t="s">
        <v>861</v>
      </c>
      <c r="B34" s="2" t="s">
        <v>61</v>
      </c>
      <c r="C34" s="2" t="s">
        <v>812</v>
      </c>
      <c r="D34" s="2" t="s">
        <v>826</v>
      </c>
      <c r="E34" s="2" t="s">
        <v>829</v>
      </c>
      <c r="F34" s="2">
        <v>1.5968</v>
      </c>
      <c r="G34" s="2">
        <v>1.7267</v>
      </c>
      <c r="H34" s="2">
        <v>1.8567</v>
      </c>
      <c r="I34" s="2">
        <v>2.0424</v>
      </c>
      <c r="J34" s="2">
        <v>2.1723</v>
      </c>
      <c r="K34" s="2">
        <v>2.3209</v>
      </c>
      <c r="L34" s="2">
        <v>2.5251</v>
      </c>
      <c r="M34" s="2">
        <v>2.7293</v>
      </c>
      <c r="N34" s="2">
        <v>2.9336</v>
      </c>
      <c r="O34" s="2">
        <v>3.1564</v>
      </c>
      <c r="P34" s="2">
        <v>3.3792</v>
      </c>
      <c r="Q34" s="2">
        <v>3.602</v>
      </c>
      <c r="R34" s="2">
        <v>3.8248</v>
      </c>
      <c r="S34" s="2">
        <v>4.0476</v>
      </c>
      <c r="T34" s="2">
        <v>4.2704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1.0</v>
      </c>
    </row>
    <row r="35" ht="15.75" customHeight="1">
      <c r="A35" s="2" t="s">
        <v>491</v>
      </c>
      <c r="B35" s="2" t="s">
        <v>61</v>
      </c>
      <c r="C35" s="2" t="s">
        <v>832</v>
      </c>
      <c r="D35" s="2" t="s">
        <v>832</v>
      </c>
      <c r="E35" s="2" t="s">
        <v>841</v>
      </c>
      <c r="F35" s="2">
        <v>2.864</v>
      </c>
      <c r="G35" s="2">
        <v>3.0788</v>
      </c>
      <c r="H35" s="2">
        <v>3.2936</v>
      </c>
      <c r="I35" s="2">
        <v>3.58</v>
      </c>
      <c r="J35" s="2">
        <v>3.7948</v>
      </c>
      <c r="K35" s="2">
        <v>4.0096</v>
      </c>
      <c r="L35" s="2">
        <v>4.296</v>
      </c>
      <c r="M35" s="2">
        <v>4.5824</v>
      </c>
      <c r="N35" s="2">
        <v>4.8688</v>
      </c>
      <c r="O35" s="2">
        <v>5.1552</v>
      </c>
      <c r="P35" s="2">
        <v>5.4416</v>
      </c>
      <c r="Q35" s="2">
        <v>5.728</v>
      </c>
      <c r="R35" s="2">
        <v>6.086</v>
      </c>
      <c r="S35" s="2">
        <v>6.444</v>
      </c>
      <c r="T35" s="2">
        <v>6.802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0.0</v>
      </c>
      <c r="BM35" s="2">
        <v>0.0</v>
      </c>
      <c r="BN35" s="2">
        <v>1.0</v>
      </c>
    </row>
    <row r="36" ht="15.75" customHeight="1">
      <c r="A36" s="2" t="s">
        <v>496</v>
      </c>
      <c r="B36" s="2" t="s">
        <v>61</v>
      </c>
      <c r="C36" s="2" t="s">
        <v>840</v>
      </c>
      <c r="D36" s="2" t="s">
        <v>840</v>
      </c>
      <c r="E36" s="2" t="s">
        <v>841</v>
      </c>
      <c r="F36" s="2">
        <v>4.304</v>
      </c>
      <c r="G36" s="2">
        <v>4.6268</v>
      </c>
      <c r="H36" s="2">
        <v>4.9496</v>
      </c>
      <c r="I36" s="2">
        <v>5.38</v>
      </c>
      <c r="J36" s="2">
        <v>5.7028</v>
      </c>
      <c r="K36" s="2">
        <v>6.0256</v>
      </c>
      <c r="L36" s="2">
        <v>6.456</v>
      </c>
      <c r="M36" s="2">
        <v>6.8864</v>
      </c>
      <c r="N36" s="2">
        <v>7.3168</v>
      </c>
      <c r="O36" s="2">
        <v>7.7472</v>
      </c>
      <c r="P36" s="2">
        <v>8.1776</v>
      </c>
      <c r="Q36" s="2">
        <v>8.608</v>
      </c>
      <c r="R36" s="2">
        <v>9.146</v>
      </c>
      <c r="S36" s="2">
        <v>9.684</v>
      </c>
      <c r="T36" s="2">
        <v>10.222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0.0</v>
      </c>
      <c r="BE36" s="2">
        <v>0.0</v>
      </c>
      <c r="BF36" s="2">
        <v>0.0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  <c r="BL36" s="2">
        <v>0.0</v>
      </c>
      <c r="BM36" s="2">
        <v>0.0</v>
      </c>
      <c r="BN36" s="2">
        <v>1.0</v>
      </c>
    </row>
    <row r="37" ht="15.75" customHeight="1">
      <c r="A37" s="2" t="s">
        <v>862</v>
      </c>
      <c r="B37" s="2" t="s">
        <v>46</v>
      </c>
      <c r="C37" s="2" t="s">
        <v>812</v>
      </c>
      <c r="D37" s="2" t="s">
        <v>812</v>
      </c>
      <c r="E37" s="2" t="s">
        <v>813</v>
      </c>
      <c r="F37" s="2">
        <v>0.8004</v>
      </c>
      <c r="G37" s="2">
        <v>0.8655</v>
      </c>
      <c r="H37" s="2">
        <v>0.9306</v>
      </c>
      <c r="I37" s="2">
        <v>1.0237</v>
      </c>
      <c r="J37" s="2">
        <v>1.0888</v>
      </c>
      <c r="K37" s="2">
        <v>1.1633</v>
      </c>
      <c r="L37" s="2">
        <v>1.2657</v>
      </c>
      <c r="M37" s="2">
        <v>1.368</v>
      </c>
      <c r="N37" s="2">
        <v>1.4704</v>
      </c>
      <c r="O37" s="2">
        <v>1.5821</v>
      </c>
      <c r="P37" s="2">
        <v>1.6938</v>
      </c>
      <c r="Q37" s="2">
        <v>1.8054</v>
      </c>
      <c r="R37" s="2">
        <v>1.9171</v>
      </c>
      <c r="S37" s="2">
        <v>2.0288</v>
      </c>
      <c r="T37" s="2">
        <v>2.1405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1.0</v>
      </c>
    </row>
    <row r="38" ht="15.75" customHeight="1">
      <c r="A38" s="2" t="s">
        <v>863</v>
      </c>
      <c r="B38" s="2" t="s">
        <v>46</v>
      </c>
      <c r="C38" s="2" t="s">
        <v>812</v>
      </c>
      <c r="D38" s="2" t="s">
        <v>812</v>
      </c>
      <c r="E38" s="2" t="s">
        <v>815</v>
      </c>
      <c r="F38" s="2">
        <v>0.7296</v>
      </c>
      <c r="G38" s="2">
        <v>0.789</v>
      </c>
      <c r="H38" s="2">
        <v>0.8484</v>
      </c>
      <c r="I38" s="2">
        <v>0.9332</v>
      </c>
      <c r="J38" s="2">
        <v>0.9926</v>
      </c>
      <c r="K38" s="2">
        <v>1.0604</v>
      </c>
      <c r="L38" s="2">
        <v>1.1538</v>
      </c>
      <c r="M38" s="2">
        <v>1.2472</v>
      </c>
      <c r="N38" s="2">
        <v>1.3404</v>
      </c>
      <c r="O38" s="2">
        <v>1.4422</v>
      </c>
      <c r="P38" s="2">
        <v>1.544</v>
      </c>
      <c r="Q38" s="2">
        <v>1.6458</v>
      </c>
      <c r="R38" s="2">
        <v>1.7476</v>
      </c>
      <c r="S38" s="2">
        <v>1.8494</v>
      </c>
      <c r="T38" s="2">
        <v>1.9512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2.0</v>
      </c>
    </row>
    <row r="39" ht="15.75" customHeight="1">
      <c r="A39" s="2" t="s">
        <v>864</v>
      </c>
      <c r="B39" s="2" t="s">
        <v>46</v>
      </c>
      <c r="C39" s="2" t="s">
        <v>812</v>
      </c>
      <c r="D39" s="2" t="s">
        <v>812</v>
      </c>
      <c r="E39" s="2" t="s">
        <v>817</v>
      </c>
      <c r="F39" s="2">
        <v>0.9966</v>
      </c>
      <c r="G39" s="2">
        <v>1.0779</v>
      </c>
      <c r="H39" s="2">
        <v>1.1589</v>
      </c>
      <c r="I39" s="2">
        <v>1.2747</v>
      </c>
      <c r="J39" s="2">
        <v>1.356</v>
      </c>
      <c r="K39" s="2">
        <v>1.4487</v>
      </c>
      <c r="L39" s="2">
        <v>1.5762</v>
      </c>
      <c r="M39" s="2">
        <v>1.7037</v>
      </c>
      <c r="N39" s="2">
        <v>1.8312</v>
      </c>
      <c r="O39" s="2">
        <v>1.9701</v>
      </c>
      <c r="P39" s="2">
        <v>2.1093</v>
      </c>
      <c r="Q39" s="2">
        <v>2.2485</v>
      </c>
      <c r="R39" s="2">
        <v>2.3874</v>
      </c>
      <c r="S39" s="2">
        <v>2.5266</v>
      </c>
      <c r="T39" s="2">
        <v>2.6655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0.0</v>
      </c>
      <c r="BE39" s="2">
        <v>0.0</v>
      </c>
      <c r="BF39" s="2">
        <v>0.0</v>
      </c>
      <c r="BG39" s="2">
        <v>0.0</v>
      </c>
      <c r="BH39" s="2">
        <v>0.0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3.0</v>
      </c>
    </row>
    <row r="40" ht="15.75" customHeight="1">
      <c r="A40" s="2" t="s">
        <v>865</v>
      </c>
      <c r="B40" s="2" t="s">
        <v>46</v>
      </c>
      <c r="C40" s="2" t="s">
        <v>812</v>
      </c>
      <c r="D40" s="2" t="s">
        <v>812</v>
      </c>
      <c r="E40" s="2" t="s">
        <v>819</v>
      </c>
      <c r="F40" s="2">
        <v>1.1619</v>
      </c>
      <c r="G40" s="2">
        <v>1.2565</v>
      </c>
      <c r="H40" s="2">
        <v>1.3511</v>
      </c>
      <c r="I40" s="2">
        <v>1.4862</v>
      </c>
      <c r="J40" s="2">
        <v>1.5808</v>
      </c>
      <c r="K40" s="2">
        <v>1.6889</v>
      </c>
      <c r="L40" s="2">
        <v>1.8375</v>
      </c>
      <c r="M40" s="2">
        <v>1.9861</v>
      </c>
      <c r="N40" s="2">
        <v>2.1347</v>
      </c>
      <c r="O40" s="2">
        <v>2.2968</v>
      </c>
      <c r="P40" s="2">
        <v>2.459</v>
      </c>
      <c r="Q40" s="2">
        <v>2.6211</v>
      </c>
      <c r="R40" s="2">
        <v>2.7832</v>
      </c>
      <c r="S40" s="2">
        <v>2.9454</v>
      </c>
      <c r="T40" s="2">
        <v>3.1075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1.0</v>
      </c>
    </row>
    <row r="41" ht="15.75" customHeight="1">
      <c r="A41" s="2" t="s">
        <v>866</v>
      </c>
      <c r="B41" s="2" t="s">
        <v>46</v>
      </c>
      <c r="C41" s="2" t="s">
        <v>812</v>
      </c>
      <c r="D41" s="2" t="s">
        <v>823</v>
      </c>
      <c r="E41" s="2" t="s">
        <v>824</v>
      </c>
      <c r="F41" s="2">
        <v>1.9384</v>
      </c>
      <c r="G41" s="2">
        <v>2.0962</v>
      </c>
      <c r="H41" s="2">
        <v>2.254</v>
      </c>
      <c r="I41" s="2">
        <v>2.4794</v>
      </c>
      <c r="J41" s="2">
        <v>2.6372</v>
      </c>
      <c r="K41" s="2">
        <v>2.8175</v>
      </c>
      <c r="L41" s="2">
        <v>3.0654</v>
      </c>
      <c r="M41" s="2">
        <v>3.3134</v>
      </c>
      <c r="N41" s="2">
        <v>3.5613</v>
      </c>
      <c r="O41" s="2">
        <v>3.8318</v>
      </c>
      <c r="P41" s="2">
        <v>4.1023</v>
      </c>
      <c r="Q41" s="2">
        <v>4.3728</v>
      </c>
      <c r="R41" s="2">
        <v>4.6432</v>
      </c>
      <c r="S41" s="2">
        <v>4.9137</v>
      </c>
      <c r="T41" s="2">
        <v>5.1842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0.0</v>
      </c>
      <c r="BN41" s="2">
        <v>1.0</v>
      </c>
    </row>
    <row r="42" ht="15.75" customHeight="1">
      <c r="A42" s="2" t="s">
        <v>867</v>
      </c>
      <c r="B42" s="2" t="s">
        <v>46</v>
      </c>
      <c r="C42" s="2" t="s">
        <v>812</v>
      </c>
      <c r="D42" s="2" t="s">
        <v>826</v>
      </c>
      <c r="E42" s="2" t="s">
        <v>827</v>
      </c>
      <c r="F42" s="2">
        <v>0.7459</v>
      </c>
      <c r="G42" s="2">
        <v>0.8066</v>
      </c>
      <c r="H42" s="2">
        <v>0.8673</v>
      </c>
      <c r="I42" s="2">
        <v>0.954</v>
      </c>
      <c r="J42" s="2">
        <v>1.0147</v>
      </c>
      <c r="K42" s="2">
        <v>1.0841</v>
      </c>
      <c r="L42" s="2">
        <v>1.1795</v>
      </c>
      <c r="M42" s="2">
        <v>1.2749</v>
      </c>
      <c r="N42" s="2">
        <v>1.3703</v>
      </c>
      <c r="O42" s="2">
        <v>1.4744</v>
      </c>
      <c r="P42" s="2">
        <v>1.5785</v>
      </c>
      <c r="Q42" s="2">
        <v>1.6826</v>
      </c>
      <c r="R42" s="2">
        <v>1.7866</v>
      </c>
      <c r="S42" s="2">
        <v>1.8907</v>
      </c>
      <c r="T42" s="2">
        <v>1.9948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0.0</v>
      </c>
      <c r="BE42" s="2">
        <v>0.0</v>
      </c>
      <c r="BF42" s="2">
        <v>0.0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0.0</v>
      </c>
      <c r="BM42" s="2">
        <v>0.0</v>
      </c>
      <c r="BN42" s="2">
        <v>1.0</v>
      </c>
    </row>
    <row r="43" ht="15.75" customHeight="1">
      <c r="A43" s="2" t="s">
        <v>868</v>
      </c>
      <c r="B43" s="2" t="s">
        <v>46</v>
      </c>
      <c r="C43" s="2" t="s">
        <v>812</v>
      </c>
      <c r="D43" s="2" t="s">
        <v>826</v>
      </c>
      <c r="E43" s="2" t="s">
        <v>829</v>
      </c>
      <c r="F43" s="2">
        <v>1.4914</v>
      </c>
      <c r="G43" s="2">
        <v>1.6128</v>
      </c>
      <c r="H43" s="2">
        <v>1.7342</v>
      </c>
      <c r="I43" s="2">
        <v>1.9077</v>
      </c>
      <c r="J43" s="2">
        <v>2.0291</v>
      </c>
      <c r="K43" s="2">
        <v>2.1678</v>
      </c>
      <c r="L43" s="2">
        <v>2.3586</v>
      </c>
      <c r="M43" s="2">
        <v>2.5493</v>
      </c>
      <c r="N43" s="2">
        <v>2.7401</v>
      </c>
      <c r="O43" s="2">
        <v>2.9482</v>
      </c>
      <c r="P43" s="2">
        <v>3.1563</v>
      </c>
      <c r="Q43" s="2">
        <v>3.3644</v>
      </c>
      <c r="R43" s="2">
        <v>3.5725</v>
      </c>
      <c r="S43" s="2">
        <v>3.7806</v>
      </c>
      <c r="T43" s="2">
        <v>3.9887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0.0</v>
      </c>
      <c r="BI43" s="2">
        <v>0.0</v>
      </c>
      <c r="BJ43" s="2">
        <v>0.0</v>
      </c>
      <c r="BK43" s="2">
        <v>0.0</v>
      </c>
      <c r="BL43" s="2">
        <v>0.0</v>
      </c>
      <c r="BM43" s="2">
        <v>0.0</v>
      </c>
      <c r="BN43" s="2">
        <v>1.0</v>
      </c>
    </row>
    <row r="44" ht="15.75" customHeight="1">
      <c r="A44" s="2" t="s">
        <v>869</v>
      </c>
      <c r="B44" s="2" t="s">
        <v>46</v>
      </c>
      <c r="C44" s="2" t="s">
        <v>812</v>
      </c>
      <c r="D44" s="2" t="s">
        <v>826</v>
      </c>
      <c r="E44" s="2" t="s">
        <v>829</v>
      </c>
      <c r="F44" s="2">
        <v>1.8629</v>
      </c>
      <c r="G44" s="2">
        <v>2.0145</v>
      </c>
      <c r="H44" s="2">
        <v>2.1662</v>
      </c>
      <c r="I44" s="2">
        <v>2.3828</v>
      </c>
      <c r="J44" s="2">
        <v>2.5344</v>
      </c>
      <c r="K44" s="2">
        <v>2.7077</v>
      </c>
      <c r="L44" s="2">
        <v>2.946</v>
      </c>
      <c r="M44" s="2">
        <v>3.1842</v>
      </c>
      <c r="N44" s="2">
        <v>3.4225</v>
      </c>
      <c r="O44" s="2">
        <v>3.6825</v>
      </c>
      <c r="P44" s="2">
        <v>3.9424</v>
      </c>
      <c r="Q44" s="2">
        <v>4.2023</v>
      </c>
      <c r="R44" s="2">
        <v>4.4623</v>
      </c>
      <c r="S44" s="2">
        <v>4.7222</v>
      </c>
      <c r="T44" s="2">
        <v>4.9821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0.0</v>
      </c>
      <c r="AT44" s="2">
        <v>0.0</v>
      </c>
      <c r="AU44" s="2">
        <v>0.0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2">
        <v>0.0</v>
      </c>
      <c r="BD44" s="2">
        <v>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0.0</v>
      </c>
      <c r="BM44" s="2">
        <v>0.0</v>
      </c>
      <c r="BN44" s="2">
        <v>1.0</v>
      </c>
    </row>
    <row r="45" ht="15.75" customHeight="1">
      <c r="A45" s="2" t="s">
        <v>870</v>
      </c>
      <c r="B45" s="2" t="s">
        <v>46</v>
      </c>
      <c r="C45" s="2" t="s">
        <v>832</v>
      </c>
      <c r="D45" s="2" t="s">
        <v>832</v>
      </c>
      <c r="E45" s="2" t="s">
        <v>841</v>
      </c>
      <c r="F45" s="2">
        <v>0.744</v>
      </c>
      <c r="G45" s="2">
        <v>0.7998</v>
      </c>
      <c r="H45" s="2">
        <v>0.8556</v>
      </c>
      <c r="I45" s="2">
        <v>0.93</v>
      </c>
      <c r="J45" s="2">
        <v>0.9858</v>
      </c>
      <c r="K45" s="2">
        <v>1.0416</v>
      </c>
      <c r="L45" s="2">
        <v>1.116</v>
      </c>
      <c r="M45" s="2">
        <v>1.1904</v>
      </c>
      <c r="N45" s="2">
        <v>1.2648</v>
      </c>
      <c r="O45" s="2">
        <v>1.3392</v>
      </c>
      <c r="P45" s="2">
        <v>1.4136</v>
      </c>
      <c r="Q45" s="2">
        <v>1.488</v>
      </c>
      <c r="R45" s="2">
        <v>1.581</v>
      </c>
      <c r="S45" s="2">
        <v>1.674</v>
      </c>
      <c r="T45" s="2">
        <v>1.767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0.0</v>
      </c>
      <c r="BE45" s="2">
        <v>0.0</v>
      </c>
      <c r="BF45" s="2">
        <v>0.0</v>
      </c>
      <c r="BG45" s="2">
        <v>0.0</v>
      </c>
      <c r="BH45" s="2">
        <v>0.0</v>
      </c>
      <c r="BI45" s="2">
        <v>0.0</v>
      </c>
      <c r="BJ45" s="2">
        <v>0.0</v>
      </c>
      <c r="BK45" s="2">
        <v>0.0</v>
      </c>
      <c r="BL45" s="2">
        <v>0.0</v>
      </c>
      <c r="BM45" s="2">
        <v>0.0</v>
      </c>
      <c r="BN45" s="2">
        <v>1.0</v>
      </c>
    </row>
    <row r="46" ht="15.75" customHeight="1">
      <c r="A46" s="2" t="s">
        <v>871</v>
      </c>
      <c r="B46" s="2" t="s">
        <v>46</v>
      </c>
      <c r="C46" s="2" t="s">
        <v>832</v>
      </c>
      <c r="D46" s="2" t="s">
        <v>832</v>
      </c>
      <c r="E46" s="2" t="s">
        <v>872</v>
      </c>
      <c r="F46" s="2">
        <v>1.28</v>
      </c>
      <c r="G46" s="2">
        <v>1.376</v>
      </c>
      <c r="H46" s="2">
        <v>1.472</v>
      </c>
      <c r="I46" s="2">
        <v>1.6</v>
      </c>
      <c r="J46" s="2">
        <v>1.696</v>
      </c>
      <c r="K46" s="2">
        <v>1.792</v>
      </c>
      <c r="L46" s="2">
        <v>1.92</v>
      </c>
      <c r="M46" s="2">
        <v>2.048</v>
      </c>
      <c r="N46" s="2">
        <v>2.176</v>
      </c>
      <c r="O46" s="2">
        <v>2.304</v>
      </c>
      <c r="P46" s="2">
        <v>2.432</v>
      </c>
      <c r="Q46" s="2">
        <v>2.56</v>
      </c>
      <c r="R46" s="2">
        <v>2.72</v>
      </c>
      <c r="S46" s="2">
        <v>2.88</v>
      </c>
      <c r="T46" s="2">
        <v>3.04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0.0</v>
      </c>
      <c r="BE46" s="2">
        <v>0.0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1.0</v>
      </c>
    </row>
    <row r="47" ht="15.75" customHeight="1">
      <c r="A47" s="2" t="s">
        <v>873</v>
      </c>
      <c r="B47" s="2" t="s">
        <v>46</v>
      </c>
      <c r="C47" s="2" t="s">
        <v>832</v>
      </c>
      <c r="D47" s="2" t="s">
        <v>812</v>
      </c>
      <c r="E47" s="2" t="s">
        <v>874</v>
      </c>
      <c r="F47" s="2">
        <v>0.5726</v>
      </c>
      <c r="G47" s="2">
        <v>0.6193</v>
      </c>
      <c r="H47" s="2">
        <v>0.6659</v>
      </c>
      <c r="I47" s="2">
        <v>0.7325</v>
      </c>
      <c r="J47" s="2">
        <v>0.7791</v>
      </c>
      <c r="K47" s="2">
        <v>0.8323</v>
      </c>
      <c r="L47" s="2">
        <v>0.9056</v>
      </c>
      <c r="M47" s="2">
        <v>0.9788</v>
      </c>
      <c r="N47" s="2">
        <v>1.0521</v>
      </c>
      <c r="O47" s="2">
        <v>1.132</v>
      </c>
      <c r="P47" s="2">
        <v>1.2119</v>
      </c>
      <c r="Q47" s="2">
        <v>1.2918</v>
      </c>
      <c r="R47" s="2">
        <v>1.3717</v>
      </c>
      <c r="S47" s="2">
        <v>1.4516</v>
      </c>
      <c r="T47" s="2">
        <v>1.5315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0.0</v>
      </c>
      <c r="AU47" s="2">
        <v>0.0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2">
        <v>0.0</v>
      </c>
      <c r="BC47" s="2">
        <v>0.0</v>
      </c>
      <c r="BD47" s="2">
        <v>0.0</v>
      </c>
      <c r="BE47" s="2">
        <v>0.0</v>
      </c>
      <c r="BF47" s="2">
        <v>0.0</v>
      </c>
      <c r="BG47" s="2">
        <v>0.0</v>
      </c>
      <c r="BH47" s="2">
        <v>0.0</v>
      </c>
      <c r="BI47" s="2">
        <v>0.0</v>
      </c>
      <c r="BJ47" s="2">
        <v>0.0</v>
      </c>
      <c r="BK47" s="2">
        <v>0.0</v>
      </c>
      <c r="BL47" s="2">
        <v>0.0</v>
      </c>
      <c r="BM47" s="2">
        <v>0.0</v>
      </c>
      <c r="BN47" s="2">
        <v>1.0</v>
      </c>
    </row>
    <row r="48" ht="15.75" customHeight="1">
      <c r="A48" s="2" t="s">
        <v>875</v>
      </c>
      <c r="B48" s="2" t="s">
        <v>46</v>
      </c>
      <c r="C48" s="2" t="s">
        <v>832</v>
      </c>
      <c r="D48" s="2" t="s">
        <v>812</v>
      </c>
      <c r="E48" s="2" t="s">
        <v>876</v>
      </c>
      <c r="F48" s="2">
        <v>0.5913</v>
      </c>
      <c r="G48" s="2">
        <v>0.6395</v>
      </c>
      <c r="H48" s="2">
        <v>0.6876</v>
      </c>
      <c r="I48" s="2">
        <v>0.7563</v>
      </c>
      <c r="J48" s="2">
        <v>0.8045</v>
      </c>
      <c r="K48" s="2">
        <v>0.8595</v>
      </c>
      <c r="L48" s="2">
        <v>0.9351</v>
      </c>
      <c r="M48" s="2">
        <v>1.0108</v>
      </c>
      <c r="N48" s="2">
        <v>1.0864</v>
      </c>
      <c r="O48" s="2">
        <v>1.1689</v>
      </c>
      <c r="P48" s="2">
        <v>1.2514</v>
      </c>
      <c r="Q48" s="2">
        <v>1.3339</v>
      </c>
      <c r="R48" s="2">
        <v>1.4164</v>
      </c>
      <c r="S48" s="2">
        <v>1.4989</v>
      </c>
      <c r="T48" s="2">
        <v>1.5815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0.0</v>
      </c>
      <c r="BC48" s="2">
        <v>0.0</v>
      </c>
      <c r="BD48" s="2">
        <v>0.0</v>
      </c>
      <c r="BE48" s="2">
        <v>0.0</v>
      </c>
      <c r="BF48" s="2">
        <v>0.0</v>
      </c>
      <c r="BG48" s="2">
        <v>0.0</v>
      </c>
      <c r="BH48" s="2">
        <v>0.0</v>
      </c>
      <c r="BI48" s="2">
        <v>0.0</v>
      </c>
      <c r="BJ48" s="2">
        <v>0.0</v>
      </c>
      <c r="BK48" s="2">
        <v>0.0</v>
      </c>
      <c r="BL48" s="2">
        <v>0.0</v>
      </c>
      <c r="BM48" s="2">
        <v>0.0</v>
      </c>
      <c r="BN48" s="2">
        <v>1.0</v>
      </c>
    </row>
    <row r="49" ht="15.75" customHeight="1">
      <c r="A49" s="2" t="s">
        <v>877</v>
      </c>
      <c r="B49" s="2" t="s">
        <v>46</v>
      </c>
      <c r="C49" s="2" t="s">
        <v>832</v>
      </c>
      <c r="D49" s="2" t="s">
        <v>812</v>
      </c>
      <c r="E49" s="2" t="s">
        <v>878</v>
      </c>
      <c r="F49" s="2">
        <v>0.6999</v>
      </c>
      <c r="G49" s="2">
        <v>0.7568</v>
      </c>
      <c r="H49" s="2">
        <v>0.8138</v>
      </c>
      <c r="I49" s="2">
        <v>0.8952</v>
      </c>
      <c r="J49" s="2">
        <v>0.9521</v>
      </c>
      <c r="K49" s="2">
        <v>1.0172</v>
      </c>
      <c r="L49" s="2">
        <v>1.1068</v>
      </c>
      <c r="M49" s="2">
        <v>1.1963</v>
      </c>
      <c r="N49" s="2">
        <v>1.2858</v>
      </c>
      <c r="O49" s="2">
        <v>1.3835</v>
      </c>
      <c r="P49" s="2">
        <v>1.4811</v>
      </c>
      <c r="Q49" s="2">
        <v>1.5788</v>
      </c>
      <c r="R49" s="2">
        <v>1.6764</v>
      </c>
      <c r="S49" s="2">
        <v>1.7741</v>
      </c>
      <c r="T49" s="2">
        <v>1.8717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0.0</v>
      </c>
      <c r="BE49" s="2">
        <v>0.0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0.0</v>
      </c>
      <c r="BL49" s="2">
        <v>0.0</v>
      </c>
      <c r="BM49" s="2">
        <v>0.0</v>
      </c>
      <c r="BN49" s="2">
        <v>1.0</v>
      </c>
    </row>
    <row r="50" ht="15.75" customHeight="1">
      <c r="A50" s="2" t="s">
        <v>879</v>
      </c>
      <c r="B50" s="2" t="s">
        <v>46</v>
      </c>
      <c r="C50" s="2" t="s">
        <v>832</v>
      </c>
      <c r="D50" s="2" t="s">
        <v>812</v>
      </c>
      <c r="E50" s="2" t="s">
        <v>880</v>
      </c>
      <c r="F50" s="2">
        <v>0.697</v>
      </c>
      <c r="G50" s="2">
        <v>0.7538</v>
      </c>
      <c r="H50" s="2">
        <v>0.8105</v>
      </c>
      <c r="I50" s="2">
        <v>0.8916</v>
      </c>
      <c r="J50" s="2">
        <v>0.9483</v>
      </c>
      <c r="K50" s="2">
        <v>1.0131</v>
      </c>
      <c r="L50" s="2">
        <v>1.1023</v>
      </c>
      <c r="M50" s="2">
        <v>1.1915</v>
      </c>
      <c r="N50" s="2">
        <v>1.2806</v>
      </c>
      <c r="O50" s="2">
        <v>1.3779</v>
      </c>
      <c r="P50" s="2">
        <v>1.4751</v>
      </c>
      <c r="Q50" s="2">
        <v>1.5724</v>
      </c>
      <c r="R50" s="2">
        <v>1.6697</v>
      </c>
      <c r="S50" s="2">
        <v>1.7669</v>
      </c>
      <c r="T50" s="2">
        <v>1.8642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2">
        <v>0.0</v>
      </c>
      <c r="AT50" s="2">
        <v>0.0</v>
      </c>
      <c r="AU50" s="2">
        <v>0.0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2">
        <v>0.0</v>
      </c>
      <c r="BC50" s="2">
        <v>0.0</v>
      </c>
      <c r="BD50" s="2">
        <v>0.0</v>
      </c>
      <c r="BE50" s="2">
        <v>0.0</v>
      </c>
      <c r="BF50" s="2">
        <v>0.0</v>
      </c>
      <c r="BG50" s="2">
        <v>0.0</v>
      </c>
      <c r="BH50" s="2">
        <v>0.0</v>
      </c>
      <c r="BI50" s="2">
        <v>0.0</v>
      </c>
      <c r="BJ50" s="2">
        <v>0.0</v>
      </c>
      <c r="BK50" s="2">
        <v>0.0</v>
      </c>
      <c r="BL50" s="2">
        <v>0.0</v>
      </c>
      <c r="BM50" s="2">
        <v>0.0</v>
      </c>
      <c r="BN50" s="2">
        <v>1.0</v>
      </c>
    </row>
    <row r="51" ht="15.75" customHeight="1">
      <c r="A51" s="2" t="s">
        <v>881</v>
      </c>
      <c r="B51" s="2" t="s">
        <v>46</v>
      </c>
      <c r="C51" s="2" t="s">
        <v>832</v>
      </c>
      <c r="D51" s="2" t="s">
        <v>812</v>
      </c>
      <c r="E51" s="2" t="s">
        <v>882</v>
      </c>
      <c r="F51" s="2">
        <v>0.91</v>
      </c>
      <c r="G51" s="2">
        <v>0.9841</v>
      </c>
      <c r="H51" s="2">
        <v>1.0582</v>
      </c>
      <c r="I51" s="2">
        <v>1.164</v>
      </c>
      <c r="J51" s="2">
        <v>1.2381</v>
      </c>
      <c r="K51" s="2">
        <v>1.3227</v>
      </c>
      <c r="L51" s="2">
        <v>1.4391</v>
      </c>
      <c r="M51" s="2">
        <v>1.5555</v>
      </c>
      <c r="N51" s="2">
        <v>1.6719</v>
      </c>
      <c r="O51" s="2">
        <v>1.7989</v>
      </c>
      <c r="P51" s="2">
        <v>1.9259</v>
      </c>
      <c r="Q51" s="2">
        <v>2.0529</v>
      </c>
      <c r="R51" s="2">
        <v>2.1799</v>
      </c>
      <c r="S51" s="2">
        <v>2.3068</v>
      </c>
      <c r="T51" s="2">
        <v>2.4338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0.0</v>
      </c>
      <c r="BE51" s="2">
        <v>0.0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0.0</v>
      </c>
      <c r="BM51" s="2">
        <v>0.0</v>
      </c>
      <c r="BN51" s="2">
        <v>1.0</v>
      </c>
    </row>
    <row r="52" ht="15.75" customHeight="1">
      <c r="A52" s="2" t="s">
        <v>294</v>
      </c>
      <c r="B52" s="2" t="s">
        <v>46</v>
      </c>
      <c r="C52" s="2" t="s">
        <v>832</v>
      </c>
      <c r="D52" s="2" t="s">
        <v>832</v>
      </c>
      <c r="E52" s="2" t="s">
        <v>883</v>
      </c>
      <c r="F52" s="2">
        <v>0.8084</v>
      </c>
      <c r="G52" s="2">
        <v>0.8742</v>
      </c>
      <c r="H52" s="2">
        <v>0.94</v>
      </c>
      <c r="I52" s="2">
        <v>1.034</v>
      </c>
      <c r="J52" s="2">
        <v>1.0998</v>
      </c>
      <c r="K52" s="2">
        <v>1.175</v>
      </c>
      <c r="L52" s="2">
        <v>1.2784</v>
      </c>
      <c r="M52" s="2">
        <v>1.3818</v>
      </c>
      <c r="N52" s="2">
        <v>1.4852</v>
      </c>
      <c r="O52" s="2">
        <v>1.598</v>
      </c>
      <c r="P52" s="2">
        <v>1.7108</v>
      </c>
      <c r="Q52" s="2">
        <v>1.8236</v>
      </c>
      <c r="R52" s="2">
        <v>1.9364</v>
      </c>
      <c r="S52" s="2">
        <v>2.0492</v>
      </c>
      <c r="T52" s="2">
        <v>2.162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0.0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0.0</v>
      </c>
      <c r="BJ52" s="2">
        <v>0.0</v>
      </c>
      <c r="BK52" s="2">
        <v>0.0</v>
      </c>
      <c r="BL52" s="2">
        <v>0.0</v>
      </c>
      <c r="BM52" s="2">
        <v>0.0</v>
      </c>
      <c r="BN52" s="2">
        <v>1.0</v>
      </c>
    </row>
    <row r="53" ht="15.75" customHeight="1">
      <c r="A53" s="2" t="s">
        <v>93</v>
      </c>
      <c r="B53" s="2" t="s">
        <v>46</v>
      </c>
      <c r="C53" s="2" t="s">
        <v>832</v>
      </c>
      <c r="D53" s="2" t="s">
        <v>823</v>
      </c>
      <c r="E53" s="2" t="s">
        <v>884</v>
      </c>
      <c r="F53" s="2">
        <v>0.989</v>
      </c>
      <c r="G53" s="2">
        <v>1.0695</v>
      </c>
      <c r="H53" s="2">
        <v>1.15</v>
      </c>
      <c r="I53" s="2">
        <v>1.265</v>
      </c>
      <c r="J53" s="2">
        <v>1.3455</v>
      </c>
      <c r="K53" s="2">
        <v>1.4375</v>
      </c>
      <c r="L53" s="2">
        <v>1.564</v>
      </c>
      <c r="M53" s="2">
        <v>1.6905</v>
      </c>
      <c r="N53" s="2">
        <v>1.817</v>
      </c>
      <c r="O53" s="2">
        <v>1.955</v>
      </c>
      <c r="P53" s="2">
        <v>2.093</v>
      </c>
      <c r="Q53" s="2">
        <v>2.231</v>
      </c>
      <c r="R53" s="2">
        <v>2.369</v>
      </c>
      <c r="S53" s="2">
        <v>2.507</v>
      </c>
      <c r="T53" s="2">
        <v>2.645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1.0</v>
      </c>
    </row>
    <row r="54" ht="15.75" customHeight="1">
      <c r="A54" s="2" t="s">
        <v>173</v>
      </c>
      <c r="B54" s="2" t="s">
        <v>46</v>
      </c>
      <c r="C54" s="2" t="s">
        <v>832</v>
      </c>
      <c r="D54" s="2" t="s">
        <v>823</v>
      </c>
      <c r="E54" s="2" t="s">
        <v>885</v>
      </c>
      <c r="F54" s="2">
        <v>1.376</v>
      </c>
      <c r="G54" s="2">
        <v>1.488</v>
      </c>
      <c r="H54" s="2">
        <v>1.6</v>
      </c>
      <c r="I54" s="2">
        <v>1.76</v>
      </c>
      <c r="J54" s="2">
        <v>1.872</v>
      </c>
      <c r="K54" s="2">
        <v>2.0</v>
      </c>
      <c r="L54" s="2">
        <v>2.176</v>
      </c>
      <c r="M54" s="2">
        <v>2.352</v>
      </c>
      <c r="N54" s="2">
        <v>2.528</v>
      </c>
      <c r="O54" s="2">
        <v>2.72</v>
      </c>
      <c r="P54" s="2">
        <v>2.912</v>
      </c>
      <c r="Q54" s="2">
        <v>3.104</v>
      </c>
      <c r="R54" s="2">
        <v>3.296</v>
      </c>
      <c r="S54" s="2">
        <v>3.488</v>
      </c>
      <c r="T54" s="2">
        <v>3.68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1.0</v>
      </c>
    </row>
    <row r="55" ht="15.75" customHeight="1">
      <c r="A55" s="2" t="s">
        <v>886</v>
      </c>
      <c r="B55" s="2" t="s">
        <v>46</v>
      </c>
      <c r="C55" s="2" t="s">
        <v>832</v>
      </c>
      <c r="D55" s="2" t="s">
        <v>826</v>
      </c>
      <c r="E55" s="2" t="s">
        <v>887</v>
      </c>
      <c r="F55" s="2">
        <v>1.5996</v>
      </c>
      <c r="G55" s="2">
        <v>1.7298</v>
      </c>
      <c r="H55" s="2">
        <v>1.86</v>
      </c>
      <c r="I55" s="2">
        <v>2.046</v>
      </c>
      <c r="J55" s="2">
        <v>2.1762</v>
      </c>
      <c r="K55" s="2">
        <v>2.325</v>
      </c>
      <c r="L55" s="2">
        <v>2.5296</v>
      </c>
      <c r="M55" s="2">
        <v>2.7342</v>
      </c>
      <c r="N55" s="2">
        <v>2.9388</v>
      </c>
      <c r="O55" s="2">
        <v>3.162</v>
      </c>
      <c r="P55" s="2">
        <v>3.3852</v>
      </c>
      <c r="Q55" s="2">
        <v>3.6084</v>
      </c>
      <c r="R55" s="2">
        <v>3.8316</v>
      </c>
      <c r="S55" s="2">
        <v>4.0548</v>
      </c>
      <c r="T55" s="2">
        <v>4.278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0.0</v>
      </c>
      <c r="BC55" s="2">
        <v>0.0</v>
      </c>
      <c r="BD55" s="2">
        <v>0.0</v>
      </c>
      <c r="BE55" s="2">
        <v>0.0</v>
      </c>
      <c r="BF55" s="2">
        <v>0.0</v>
      </c>
      <c r="BG55" s="2">
        <v>0.0</v>
      </c>
      <c r="BH55" s="2">
        <v>0.0</v>
      </c>
      <c r="BI55" s="2">
        <v>0.0</v>
      </c>
      <c r="BJ55" s="2">
        <v>0.0</v>
      </c>
      <c r="BK55" s="2">
        <v>0.0</v>
      </c>
      <c r="BL55" s="2">
        <v>0.0</v>
      </c>
      <c r="BM55" s="2">
        <v>0.0</v>
      </c>
      <c r="BN55" s="2">
        <v>1.0</v>
      </c>
    </row>
    <row r="56" ht="15.75" customHeight="1">
      <c r="A56" s="2" t="s">
        <v>176</v>
      </c>
      <c r="B56" s="2" t="s">
        <v>46</v>
      </c>
      <c r="C56" s="2" t="s">
        <v>840</v>
      </c>
      <c r="D56" s="2" t="s">
        <v>840</v>
      </c>
      <c r="E56" s="2" t="s">
        <v>841</v>
      </c>
      <c r="F56" s="2">
        <v>4.448</v>
      </c>
      <c r="G56" s="2">
        <v>4.7816</v>
      </c>
      <c r="H56" s="2">
        <v>5.1152</v>
      </c>
      <c r="I56" s="2">
        <v>5.56</v>
      </c>
      <c r="J56" s="2">
        <v>5.8936</v>
      </c>
      <c r="K56" s="2">
        <v>6.2272</v>
      </c>
      <c r="L56" s="2">
        <v>6.672</v>
      </c>
      <c r="M56" s="2">
        <v>7.1168</v>
      </c>
      <c r="N56" s="2">
        <v>7.5616</v>
      </c>
      <c r="O56" s="2">
        <v>8.0064</v>
      </c>
      <c r="P56" s="2">
        <v>8.4512</v>
      </c>
      <c r="Q56" s="2">
        <v>8.896</v>
      </c>
      <c r="R56" s="2">
        <v>9.452</v>
      </c>
      <c r="S56" s="2">
        <v>10.008</v>
      </c>
      <c r="T56" s="2">
        <v>10.564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0.0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0.0</v>
      </c>
      <c r="BM56" s="2">
        <v>0.0</v>
      </c>
      <c r="BN56" s="2">
        <v>1.0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